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тегорії з комісією за замовле" sheetId="1" r:id="rId5"/>
    <sheet state="visible" name="Категорії з комісією за перехід" sheetId="2" r:id="rId6"/>
  </sheets>
  <definedNames/>
  <calcPr/>
</workbook>
</file>

<file path=xl/sharedStrings.xml><?xml version="1.0" encoding="utf-8"?>
<sst xmlns="http://schemas.openxmlformats.org/spreadsheetml/2006/main" count="2" uniqueCount="2">
  <si>
    <r>
      <rPr>
        <rFont val="Arial"/>
        <b val="0"/>
        <sz val="14.0"/>
      </rPr>
      <t xml:space="preserve">За замовчуванням продавці працюють за єдиною комісією (від 4.2%). </t>
    </r>
    <r>
      <rPr>
        <rFont val="Arial"/>
        <b val="0"/>
        <color rgb="FF1155CC"/>
        <sz val="14.0"/>
        <u/>
      </rPr>
      <t>Новачки та топ-продавці</t>
    </r>
    <r>
      <rPr>
        <rFont val="Arial"/>
        <b val="0"/>
        <sz val="14.0"/>
      </rPr>
      <t xml:space="preserve"> можуть увімкнути </t>
    </r>
    <r>
      <rPr>
        <rFont val="Arial"/>
        <b val="0"/>
        <color rgb="FF1155CC"/>
        <sz val="14.0"/>
        <u/>
      </rPr>
      <t>інші режими</t>
    </r>
    <r>
      <rPr>
        <rFont val="Arial"/>
        <b val="0"/>
        <sz val="14.0"/>
      </rPr>
      <t>: «Економ» — зі зниженою вдвічі комісією (від 2.1% до 12%) або «Більше продажів» чи «Турбо» — з вищою комісію та просуванням у видачі.</t>
    </r>
  </si>
  <si>
    <r>
      <rPr>
        <rFont val="Arial"/>
        <sz val="14.0"/>
      </rPr>
      <t xml:space="preserve">За замовчуванням продавці працюють за єдиною комісією. </t>
    </r>
    <r>
      <rPr>
        <rFont val="Arial"/>
        <color rgb="FF1155CC"/>
        <sz val="14.0"/>
        <u/>
      </rPr>
      <t>Новачки та топ-продавці</t>
    </r>
    <r>
      <rPr>
        <rFont val="Arial"/>
        <sz val="14.0"/>
      </rPr>
      <t xml:space="preserve"> можуть увімкнути</t>
    </r>
    <r>
      <rPr>
        <rFont val="Arial"/>
        <color rgb="FF1155CC"/>
        <sz val="14.0"/>
        <u/>
      </rPr>
      <t xml:space="preserve"> інші режими</t>
    </r>
    <r>
      <rPr>
        <rFont val="Arial"/>
        <sz val="14.0"/>
      </rPr>
      <t>: «Економ» — зі зниженою вдвічі комісією або «Більше продажів» чи «Турбо» — з вищою комісію та просуванням у видачі.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</si>
</sst>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0">
    <font>
      <sz val="10.0"/>
      <color rgb="FF000000"/>
      <name val="Arial"/>
      <scheme val="minor"/>
    </font>
    <font>
      <u/>
      <sz val="14.0"/>
      <color rgb="FF0000FF"/>
      <name val="Arial"/>
    </font>
    <font>
      <b/>
      <u/>
      <sz val="14.0"/>
      <color rgb="FF0000FF"/>
      <name val="Arial"/>
    </font>
    <font>
      <b/>
      <sz val="10.0"/>
      <color rgb="FF1D1C1D"/>
      <name val="Arial"/>
      <scheme val="minor"/>
    </font>
    <font>
      <b/>
      <sz val="10.0"/>
      <color rgb="FF1D1C1D"/>
      <name val="Slack-Lato"/>
    </font>
    <font>
      <b/>
      <sz val="10.0"/>
      <color theme="1"/>
      <name val="Arial"/>
      <scheme val="minor"/>
    </font>
    <font>
      <b/>
      <sz val="10.0"/>
      <color theme="1"/>
      <name val="Arial"/>
    </font>
    <font>
      <color theme="1"/>
      <name val="Arial"/>
    </font>
    <font>
      <color rgb="FF333333"/>
      <name val="Arial"/>
    </font>
    <font>
      <color rgb="FF01011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ill="1" applyFont="1">
      <alignment horizontal="left" vertical="center"/>
    </xf>
    <xf borderId="0" fillId="3" fontId="4" numFmtId="0" xfId="0" applyAlignment="1" applyFill="1" applyFont="1">
      <alignment horizontal="left" vertical="center"/>
    </xf>
    <xf borderId="0" fillId="4" fontId="5" numFmtId="0" xfId="0" applyAlignment="1" applyFill="1" applyFont="1">
      <alignment vertical="center"/>
    </xf>
    <xf borderId="0" fillId="4" fontId="6" numFmtId="10" xfId="0" applyAlignment="1" applyFill="1" applyFont="1" applyNumberFormat="1">
      <alignment vertical="center"/>
    </xf>
    <xf borderId="0" fillId="4" fontId="5" numFmtId="1" xfId="0" applyAlignment="1" applyFill="1" applyFont="1" applyNumberFormat="1">
      <alignment horizontal="left" shrinkToFit="0" vertical="center" wrapText="1"/>
    </xf>
    <xf borderId="0" fillId="4" fontId="6" numFmtId="1" xfId="0" applyAlignment="1" applyFill="1" applyFont="1" applyNumberFormat="1">
      <alignment horizontal="left" shrinkToFit="0" vertical="center" wrapText="1"/>
    </xf>
    <xf borderId="0" fillId="4" fontId="5" numFmtId="2" xfId="0" applyAlignment="1" applyFill="1" applyFont="1" applyNumberFormat="1">
      <alignment horizontal="center" shrinkToFit="0" vertical="center" wrapText="1"/>
    </xf>
    <xf borderId="0" fillId="4" fontId="5" numFmtId="164" xfId="0" applyAlignment="1" applyFill="1" applyFont="1" applyNumberFormat="1">
      <alignment horizontal="center" shrinkToFit="0" vertical="center" wrapText="1"/>
    </xf>
    <xf borderId="0" fillId="4" fontId="6" numFmtId="10" xfId="0" applyAlignment="1" applyFill="1" applyFont="1" applyNumberFormat="1">
      <alignment horizontal="center" shrinkToFit="0" vertical="center" wrapText="1"/>
    </xf>
    <xf borderId="0" fillId="4" fontId="5" numFmtId="4" xfId="0" applyAlignment="1" applyFill="1" applyFont="1" applyNumberFormat="1">
      <alignment horizontal="center" shrinkToFit="0" vertical="center" wrapText="1"/>
    </xf>
    <xf borderId="0" fillId="0" fontId="7" numFmtId="0" xfId="0" applyAlignment="1" applyFont="1">
      <alignment vertical="bottom"/>
    </xf>
    <xf borderId="0" fillId="4" fontId="6" numFmtId="2" xfId="0" applyAlignment="1" applyFill="1" applyFont="1" applyNumberFormat="1">
      <alignment horizontal="center" shrinkToFit="0" vertical="center" wrapText="1"/>
    </xf>
    <xf borderId="0" fillId="0" fontId="7" numFmtId="2" xfId="0" applyAlignment="1" applyFont="1" applyNumberFormat="1">
      <alignment vertical="bottom"/>
    </xf>
    <xf borderId="0" fillId="0" fontId="7" numFmtId="10" xfId="0" applyAlignment="1" applyFont="1" applyNumberFormat="1">
      <alignment vertical="bottom"/>
    </xf>
    <xf borderId="0" fillId="0" fontId="7" numFmtId="1" xfId="0" applyAlignment="1" applyFont="1" applyNumberFormat="1">
      <alignment horizontal="left" vertical="bottom"/>
    </xf>
    <xf borderId="0" fillId="2" fontId="7" numFmtId="2" xfId="0" applyAlignment="1" applyFill="1" applyFont="1" applyNumberFormat="1">
      <alignment horizontal="center" vertical="bottom"/>
    </xf>
    <xf borderId="0" fillId="2" fontId="7" numFmtId="10" xfId="0" applyAlignment="1" applyFill="1" applyFont="1" applyNumberFormat="1">
      <alignment horizontal="center" vertical="bottom"/>
    </xf>
    <xf borderId="0" fillId="2" fontId="7" numFmtId="0" xfId="0" applyAlignment="1" applyFill="1" applyFont="1">
      <alignment vertical="bottom"/>
    </xf>
    <xf borderId="0" fillId="2" fontId="7" numFmtId="10" xfId="0" applyAlignment="1" applyFill="1" applyFont="1" applyNumberFormat="1">
      <alignment vertical="bottom"/>
    </xf>
    <xf borderId="0" fillId="2" fontId="7" numFmtId="1" xfId="0" applyAlignment="1" applyFill="1" applyFont="1" applyNumberFormat="1">
      <alignment horizontal="left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vertical="bottom"/>
    </xf>
    <xf borderId="0" fillId="2" fontId="8" numFmtId="1" xfId="0" applyAlignment="1" applyFill="1" applyFont="1" applyNumberFormat="1">
      <alignment horizontal="left" vertical="bottom"/>
    </xf>
    <xf borderId="0" fillId="2" fontId="9" numFmtId="10" xfId="0" applyAlignment="1" applyFill="1" applyFont="1" applyNumberFormat="1">
      <alignment vertical="bottom"/>
    </xf>
    <xf borderId="0" fillId="2" fontId="7" numFmtId="10" xfId="0" applyAlignment="1" applyFill="1" applyFont="1" applyNumberFormat="1">
      <alignment shrinkToFit="0" vertical="bottom" wrapText="0"/>
    </xf>
    <xf borderId="0" fillId="0" fontId="7" numFmtId="2" xfId="0" applyAlignment="1" applyFont="1" applyNumberFormat="1">
      <alignment horizontal="center" vertical="bottom"/>
    </xf>
    <xf borderId="0" fillId="2" fontId="7" numFmtId="2" xfId="0" applyAlignment="1" applyFill="1" applyFont="1" applyNumberFormat="1">
      <alignment vertical="bottom"/>
    </xf>
    <xf borderId="0" fillId="2" fontId="9" numFmtId="1" xfId="0" applyAlignment="1" applyFill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prom.ua/hc/uk/articles/633888653276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prom.ua/hc/uk/articles/633888653276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6.5"/>
    <col customWidth="1" min="3" max="3" width="16.63"/>
    <col customWidth="1" min="4" max="4" width="15.0"/>
    <col customWidth="1" min="5" max="5" width="19.88"/>
    <col customWidth="1" min="6" max="6" width="11.0"/>
    <col customWidth="1" min="7" max="7" width="9.63"/>
    <col customWidth="1" min="8" max="8" width="24.38"/>
    <col customWidth="1" min="9" max="13" width="19.88"/>
  </cols>
  <sheetData>
    <row r="1">
      <c r="A1" s="2" t="s">
        <v>0</v>
      </c>
    </row>
    <row r="2" ht="17.25" customHeight="1"/>
    <row r="3" ht="14.25" customHeight="1"/>
    <row r="4">
      <c r="A4" s="4" t="str">
        <f>IFERROR(__xludf.DUMMYFUNCTION("IMPORTRANGE(""https://docs.google.com/spreadsheets/d/1v-4uBY0y56FSD4s83yBDt_GT1LlsFgfhxpEbZtgBgb8/edit#gid=1035114521"",""Категорії з комісією за замовлення!A:M"")"),"Категорія 0 рівня")</f>
        <v>Категорія 0 рівня</v>
      </c>
      <c r="B4" s="6" t="str">
        <f>IFERROR(__xludf.DUMMYFUNCTION("""COMPUTED_VALUE"""),"Категорія 1 рівня")</f>
        <v>Категорія 1 рівня</v>
      </c>
      <c r="C4" s="6" t="str">
        <f>IFERROR(__xludf.DUMMYFUNCTION("""COMPUTED_VALUE"""),"Категорія 2 рівня")</f>
        <v>Категорія 2 рівня</v>
      </c>
      <c r="D4" s="6" t="str">
        <f>IFERROR(__xludf.DUMMYFUNCTION("""COMPUTED_VALUE"""),"Категорія 3 рівня")</f>
        <v>Категорія 3 рівня</v>
      </c>
      <c r="E4" s="6" t="str">
        <f>IFERROR(__xludf.DUMMYFUNCTION("""COMPUTED_VALUE"""),"Категорія 4 рівня")</f>
        <v>Категорія 4 рівня</v>
      </c>
      <c r="F4" s="8" t="str">
        <f>IFERROR(__xludf.DUMMYFUNCTION("""COMPUTED_VALUE"""),"Рівень категорії")</f>
        <v>Рівень категорії</v>
      </c>
      <c r="G4" s="8" t="str">
        <f>IFERROR(__xludf.DUMMYFUNCTION("""COMPUTED_VALUE"""),"ID категорії")</f>
        <v>ID категорії</v>
      </c>
      <c r="H4" s="8" t="str">
        <f>IFERROR(__xludf.DUMMYFUNCTION("""COMPUTED_VALUE"""),"Категорія")</f>
        <v>Категорія</v>
      </c>
      <c r="I4" s="11" t="str">
        <f>IFERROR(__xludf.DUMMYFUNCTION("""COMPUTED_VALUE"""),"Комісія для режиму «Економ»")</f>
        <v>Комісія для режиму «Економ»</v>
      </c>
      <c r="J4" s="11" t="str">
        <f>IFERROR(__xludf.DUMMYFUNCTION("""COMPUTED_VALUE"""),"Єдина комісія")</f>
        <v>Єдина комісія</v>
      </c>
      <c r="K4" s="11" t="str">
        <f>IFERROR(__xludf.DUMMYFUNCTION("""COMPUTED_VALUE"""),"Комісія для «Більше продажів»")</f>
        <v>Комісія для «Більше продажів»</v>
      </c>
      <c r="L4" s="14" t="str">
        <f>IFERROR(__xludf.DUMMYFUNCTION("""COMPUTED_VALUE"""),"Комісія для «Турбо»")</f>
        <v>Комісія для «Турбо»</v>
      </c>
      <c r="M4" s="14" t="str">
        <f>IFERROR(__xludf.DUMMYFUNCTION("""COMPUTED_VALUE"""),"Комісія за перехід в рекламних блоках («Турбо»), грн")</f>
        <v>Комісія за перехід в рекламних блоках («Турбо»), грн</v>
      </c>
    </row>
    <row r="5">
      <c r="A5" s="13" t="str">
        <f>IFERROR(__xludf.DUMMYFUNCTION("""COMPUTED_VALUE"""),"товари")</f>
        <v>товари</v>
      </c>
      <c r="B5" s="16" t="str">
        <f>IFERROR(__xludf.DUMMYFUNCTION("""COMPUTED_VALUE"""),"авіа-, ж/д-, водний транспорт")</f>
        <v>авіа-, ж/д-, водний транспорт</v>
      </c>
      <c r="C5" s="16" t="str">
        <f>IFERROR(__xludf.DUMMYFUNCTION("""COMPUTED_VALUE"""),"водний транспорт")</f>
        <v>водний транспорт</v>
      </c>
      <c r="D5" s="16" t="str">
        <f>IFERROR(__xludf.DUMMYFUNCTION("""COMPUTED_VALUE"""),"системи управління судном")</f>
        <v>системи управління судном</v>
      </c>
      <c r="E5" s="16" t="str">
        <f>IFERROR(__xludf.DUMMYFUNCTION("""COMPUTED_VALUE"""),"аксесуари для систем управління судном")</f>
        <v>аксесуари для систем управління судном</v>
      </c>
      <c r="F5" s="17">
        <f>IFERROR(__xludf.DUMMYFUNCTION("""COMPUTED_VALUE"""),4.0)</f>
        <v>4</v>
      </c>
      <c r="G5" s="17" t="str">
        <f>IFERROR(__xludf.DUMMYFUNCTION("""COMPUTED_VALUE"""),"12070905")</f>
        <v>12070905</v>
      </c>
      <c r="H5" s="17" t="str">
        <f>IFERROR(__xludf.DUMMYFUNCTION("""COMPUTED_VALUE"""),"аксесуари для систем управління судном")</f>
        <v>аксесуари для систем управління судном</v>
      </c>
      <c r="I5" s="19">
        <f>IFERROR(__xludf.DUMMYFUNCTION("""COMPUTED_VALUE"""),0.0466)</f>
        <v>0.0466</v>
      </c>
      <c r="J5" s="19">
        <f>IFERROR(__xludf.DUMMYFUNCTION("""COMPUTED_VALUE"""),0.0931)</f>
        <v>0.0931</v>
      </c>
      <c r="K5" s="19">
        <f>IFERROR(__xludf.DUMMYFUNCTION("""COMPUTED_VALUE"""),0.1164)</f>
        <v>0.1164</v>
      </c>
      <c r="L5" s="19">
        <f>IFERROR(__xludf.DUMMYFUNCTION("""COMPUTED_VALUE"""),0.1397)</f>
        <v>0.1397</v>
      </c>
      <c r="M5" s="18">
        <f>IFERROR(__xludf.DUMMYFUNCTION("""COMPUTED_VALUE"""),1.71)</f>
        <v>1.71</v>
      </c>
    </row>
    <row r="6">
      <c r="A6" s="13" t="str">
        <f>IFERROR(__xludf.DUMMYFUNCTION("""COMPUTED_VALUE"""),"товари")</f>
        <v>товари</v>
      </c>
      <c r="B6" s="16" t="str">
        <f>IFERROR(__xludf.DUMMYFUNCTION("""COMPUTED_VALUE"""),"авіа-, ж/д-, водний транспорт")</f>
        <v>авіа-, ж/д-, водний транспорт</v>
      </c>
      <c r="C6" s="16" t="str">
        <f>IFERROR(__xludf.DUMMYFUNCTION("""COMPUTED_VALUE"""),"водний транспорт")</f>
        <v>водний транспорт</v>
      </c>
      <c r="D6" s="16" t="str">
        <f>IFERROR(__xludf.DUMMYFUNCTION("""COMPUTED_VALUE"""),"байдарки, рафти, каяки")</f>
        <v>байдарки, рафти, каяки</v>
      </c>
      <c r="E6" s="16" t="str">
        <f>IFERROR(__xludf.DUMMYFUNCTION("""COMPUTED_VALUE"""),"байдарки, рафти, каяки")</f>
        <v>байдарки, рафти, каяки</v>
      </c>
      <c r="F6" s="17">
        <f>IFERROR(__xludf.DUMMYFUNCTION("""COMPUTED_VALUE"""),3.0)</f>
        <v>3</v>
      </c>
      <c r="G6" s="17" t="str">
        <f>IFERROR(__xludf.DUMMYFUNCTION("""COMPUTED_VALUE"""),"2049")</f>
        <v>2049</v>
      </c>
      <c r="H6" s="17" t="str">
        <f>IFERROR(__xludf.DUMMYFUNCTION("""COMPUTED_VALUE"""),"байдарки, рафти, каяки")</f>
        <v>байдарки, рафти, каяки</v>
      </c>
      <c r="I6" s="19">
        <f>IFERROR(__xludf.DUMMYFUNCTION("""COMPUTED_VALUE"""),0.03)</f>
        <v>0.03</v>
      </c>
      <c r="J6" s="19">
        <f>IFERROR(__xludf.DUMMYFUNCTION("""COMPUTED_VALUE"""),0.06)</f>
        <v>0.06</v>
      </c>
      <c r="K6" s="19">
        <f>IFERROR(__xludf.DUMMYFUNCTION("""COMPUTED_VALUE"""),0.075)</f>
        <v>0.075</v>
      </c>
      <c r="L6" s="19">
        <f>IFERROR(__xludf.DUMMYFUNCTION("""COMPUTED_VALUE"""),0.09)</f>
        <v>0.09</v>
      </c>
      <c r="M6" s="18">
        <f>IFERROR(__xludf.DUMMYFUNCTION("""COMPUTED_VALUE"""),2.08)</f>
        <v>2.08</v>
      </c>
    </row>
    <row r="7">
      <c r="A7" s="13" t="str">
        <f>IFERROR(__xludf.DUMMYFUNCTION("""COMPUTED_VALUE"""),"товари")</f>
        <v>товари</v>
      </c>
      <c r="B7" s="16" t="str">
        <f>IFERROR(__xludf.DUMMYFUNCTION("""COMPUTED_VALUE"""),"авіа-, ж/д-, водний транспорт")</f>
        <v>авіа-, ж/д-, водний транспорт</v>
      </c>
      <c r="C7" s="16" t="str">
        <f>IFERROR(__xludf.DUMMYFUNCTION("""COMPUTED_VALUE"""),"водний транспорт")</f>
        <v>водний транспорт</v>
      </c>
      <c r="D7" s="16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" s="16" t="str">
        <f>IFERROR(__xludf.DUMMYFUNCTION("""COMPUTED_VALUE"""),"буйки, кранці")</f>
        <v>буйки, кранці</v>
      </c>
      <c r="F7" s="17">
        <f>IFERROR(__xludf.DUMMYFUNCTION("""COMPUTED_VALUE"""),4.0)</f>
        <v>4</v>
      </c>
      <c r="G7" s="17" t="str">
        <f>IFERROR(__xludf.DUMMYFUNCTION("""COMPUTED_VALUE"""),"12070610")</f>
        <v>12070610</v>
      </c>
      <c r="H7" s="17" t="str">
        <f>IFERROR(__xludf.DUMMYFUNCTION("""COMPUTED_VALUE"""),"буйки, кранці")</f>
        <v>буйки, кранці</v>
      </c>
      <c r="I7" s="19">
        <f>IFERROR(__xludf.DUMMYFUNCTION("""COMPUTED_VALUE"""),0.0555)</f>
        <v>0.0555</v>
      </c>
      <c r="J7" s="19">
        <f>IFERROR(__xludf.DUMMYFUNCTION("""COMPUTED_VALUE"""),0.1109)</f>
        <v>0.1109</v>
      </c>
      <c r="K7" s="19">
        <f>IFERROR(__xludf.DUMMYFUNCTION("""COMPUTED_VALUE"""),0.1386)</f>
        <v>0.1386</v>
      </c>
      <c r="L7" s="19">
        <f>IFERROR(__xludf.DUMMYFUNCTION("""COMPUTED_VALUE"""),0.1664)</f>
        <v>0.1664</v>
      </c>
      <c r="M7" s="18">
        <f>IFERROR(__xludf.DUMMYFUNCTION("""COMPUTED_VALUE"""),2.34)</f>
        <v>2.34</v>
      </c>
    </row>
    <row r="8">
      <c r="A8" s="13" t="str">
        <f>IFERROR(__xludf.DUMMYFUNCTION("""COMPUTED_VALUE"""),"товари")</f>
        <v>товари</v>
      </c>
      <c r="B8" s="16" t="str">
        <f>IFERROR(__xludf.DUMMYFUNCTION("""COMPUTED_VALUE"""),"авіа-, ж/д-, водний транспорт")</f>
        <v>авіа-, ж/д-, водний транспорт</v>
      </c>
      <c r="C8" s="16" t="str">
        <f>IFERROR(__xludf.DUMMYFUNCTION("""COMPUTED_VALUE"""),"водний транспорт")</f>
        <v>водний транспорт</v>
      </c>
      <c r="D8" s="16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8" s="16" t="str">
        <f>IFERROR(__xludf.DUMMYFUNCTION("""COMPUTED_VALUE"""),"весла, багори")</f>
        <v>весла, багори</v>
      </c>
      <c r="F8" s="17">
        <f>IFERROR(__xludf.DUMMYFUNCTION("""COMPUTED_VALUE"""),4.0)</f>
        <v>4</v>
      </c>
      <c r="G8" s="17" t="str">
        <f>IFERROR(__xludf.DUMMYFUNCTION("""COMPUTED_VALUE"""),"12070609")</f>
        <v>12070609</v>
      </c>
      <c r="H8" s="17" t="str">
        <f>IFERROR(__xludf.DUMMYFUNCTION("""COMPUTED_VALUE"""),"весла, багори")</f>
        <v>весла, багори</v>
      </c>
      <c r="I8" s="19">
        <f>IFERROR(__xludf.DUMMYFUNCTION("""COMPUTED_VALUE"""),0.0522)</f>
        <v>0.0522</v>
      </c>
      <c r="J8" s="19">
        <f>IFERROR(__xludf.DUMMYFUNCTION("""COMPUTED_VALUE"""),0.1044)</f>
        <v>0.1044</v>
      </c>
      <c r="K8" s="19">
        <f>IFERROR(__xludf.DUMMYFUNCTION("""COMPUTED_VALUE"""),0.1305)</f>
        <v>0.1305</v>
      </c>
      <c r="L8" s="19">
        <f>IFERROR(__xludf.DUMMYFUNCTION("""COMPUTED_VALUE"""),0.1566)</f>
        <v>0.1566</v>
      </c>
      <c r="M8" s="18">
        <f>IFERROR(__xludf.DUMMYFUNCTION("""COMPUTED_VALUE"""),2.34)</f>
        <v>2.34</v>
      </c>
    </row>
    <row r="9">
      <c r="A9" s="13" t="str">
        <f>IFERROR(__xludf.DUMMYFUNCTION("""COMPUTED_VALUE"""),"товари")</f>
        <v>товари</v>
      </c>
      <c r="B9" s="16" t="str">
        <f>IFERROR(__xludf.DUMMYFUNCTION("""COMPUTED_VALUE"""),"авіа-, ж/д-, водний транспорт")</f>
        <v>авіа-, ж/д-, водний транспорт</v>
      </c>
      <c r="C9" s="16" t="str">
        <f>IFERROR(__xludf.DUMMYFUNCTION("""COMPUTED_VALUE"""),"водний транспорт")</f>
        <v>водний транспорт</v>
      </c>
      <c r="D9" s="16" t="str">
        <f>IFERROR(__xludf.DUMMYFUNCTION("""COMPUTED_VALUE"""),"засоби порятунку на воді")</f>
        <v>засоби порятунку на воді</v>
      </c>
      <c r="E9" s="16" t="str">
        <f>IFERROR(__xludf.DUMMYFUNCTION("""COMPUTED_VALUE"""),"засоби порятунку на воді")</f>
        <v>засоби порятунку на воді</v>
      </c>
      <c r="F9" s="17">
        <f>IFERROR(__xludf.DUMMYFUNCTION("""COMPUTED_VALUE"""),3.0)</f>
        <v>3</v>
      </c>
      <c r="G9" s="17" t="str">
        <f>IFERROR(__xludf.DUMMYFUNCTION("""COMPUTED_VALUE"""),"3006")</f>
        <v>3006</v>
      </c>
      <c r="H9" s="17" t="str">
        <f>IFERROR(__xludf.DUMMYFUNCTION("""COMPUTED_VALUE"""),"засоби порятунку на воді")</f>
        <v>засоби порятунку на воді</v>
      </c>
      <c r="I9" s="19">
        <f>IFERROR(__xludf.DUMMYFUNCTION("""COMPUTED_VALUE"""),0.055)</f>
        <v>0.055</v>
      </c>
      <c r="J9" s="19">
        <f>IFERROR(__xludf.DUMMYFUNCTION("""COMPUTED_VALUE"""),0.11)</f>
        <v>0.11</v>
      </c>
      <c r="K9" s="19">
        <f>IFERROR(__xludf.DUMMYFUNCTION("""COMPUTED_VALUE"""),0.1375)</f>
        <v>0.1375</v>
      </c>
      <c r="L9" s="19">
        <f>IFERROR(__xludf.DUMMYFUNCTION("""COMPUTED_VALUE"""),0.165)</f>
        <v>0.165</v>
      </c>
      <c r="M9" s="18">
        <f>IFERROR(__xludf.DUMMYFUNCTION("""COMPUTED_VALUE"""),4.14)</f>
        <v>4.14</v>
      </c>
    </row>
    <row r="10">
      <c r="A10" s="13" t="str">
        <f>IFERROR(__xludf.DUMMYFUNCTION("""COMPUTED_VALUE"""),"товари")</f>
        <v>товари</v>
      </c>
      <c r="B10" s="16" t="str">
        <f>IFERROR(__xludf.DUMMYFUNCTION("""COMPUTED_VALUE"""),"авіа-, ж/д-, водний транспорт")</f>
        <v>авіа-, ж/д-, водний транспорт</v>
      </c>
      <c r="C10" s="16" t="str">
        <f>IFERROR(__xludf.DUMMYFUNCTION("""COMPUTED_VALUE"""),"водний транспорт")</f>
        <v>водний транспорт</v>
      </c>
      <c r="D10" s="16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0" s="16" t="str">
        <f>IFERROR(__xludf.DUMMYFUNCTION("""COMPUTED_VALUE"""),"комплектуючі та аксесуари для човнів")</f>
        <v>комплектуючі та аксесуари для човнів</v>
      </c>
      <c r="F10" s="17">
        <f>IFERROR(__xludf.DUMMYFUNCTION("""COMPUTED_VALUE"""),4.0)</f>
        <v>4</v>
      </c>
      <c r="G10" s="17" t="str">
        <f>IFERROR(__xludf.DUMMYFUNCTION("""COMPUTED_VALUE"""),"12070407")</f>
        <v>12070407</v>
      </c>
      <c r="H10" s="17" t="str">
        <f>IFERROR(__xludf.DUMMYFUNCTION("""COMPUTED_VALUE"""),"комплектуючі та аксесуари для човнів")</f>
        <v>комплектуючі та аксесуари для човнів</v>
      </c>
      <c r="I10" s="19">
        <f>IFERROR(__xludf.DUMMYFUNCTION("""COMPUTED_VALUE"""),0.035)</f>
        <v>0.035</v>
      </c>
      <c r="J10" s="19">
        <f>IFERROR(__xludf.DUMMYFUNCTION("""COMPUTED_VALUE"""),0.07)</f>
        <v>0.07</v>
      </c>
      <c r="K10" s="19">
        <f>IFERROR(__xludf.DUMMYFUNCTION("""COMPUTED_VALUE"""),0.0875)</f>
        <v>0.0875</v>
      </c>
      <c r="L10" s="19">
        <f>IFERROR(__xludf.DUMMYFUNCTION("""COMPUTED_VALUE"""),0.105)</f>
        <v>0.105</v>
      </c>
      <c r="M10" s="18">
        <f>IFERROR(__xludf.DUMMYFUNCTION("""COMPUTED_VALUE"""),1.53)</f>
        <v>1.53</v>
      </c>
    </row>
    <row r="11">
      <c r="A11" s="13" t="str">
        <f>IFERROR(__xludf.DUMMYFUNCTION("""COMPUTED_VALUE"""),"товари")</f>
        <v>товари</v>
      </c>
      <c r="B11" s="16" t="str">
        <f>IFERROR(__xludf.DUMMYFUNCTION("""COMPUTED_VALUE"""),"авіа-, ж/д-, водний транспорт")</f>
        <v>авіа-, ж/д-, водний транспорт</v>
      </c>
      <c r="C11" s="16" t="str">
        <f>IFERROR(__xludf.DUMMYFUNCTION("""COMPUTED_VALUE"""),"водний транспорт")</f>
        <v>водний транспорт</v>
      </c>
      <c r="D11" s="16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1" s="16" t="str">
        <f>IFERROR(__xludf.DUMMYFUNCTION("""COMPUTED_VALUE"""),"комплектуючі, запчастини до водного транспорту, загальне")</f>
        <v>комплектуючі, запчастини до водного транспорту, загальне</v>
      </c>
      <c r="F11" s="17">
        <f>IFERROR(__xludf.DUMMYFUNCTION("""COMPUTED_VALUE"""),4.0)</f>
        <v>4</v>
      </c>
      <c r="G11" s="17" t="str">
        <f>IFERROR(__xludf.DUMMYFUNCTION("""COMPUTED_VALUE"""),"12070605")</f>
        <v>12070605</v>
      </c>
      <c r="H11" s="17" t="str">
        <f>IFERROR(__xludf.DUMMYFUNCTION("""COMPUTED_VALUE"""),"комплектуючі, запчастини до водного транспорту, загальне")</f>
        <v>комплектуючі, запчастини до водного транспорту, загальне</v>
      </c>
      <c r="I11" s="19">
        <f>IFERROR(__xludf.DUMMYFUNCTION("""COMPUTED_VALUE"""),0.125)</f>
        <v>0.125</v>
      </c>
      <c r="J11" s="19">
        <f>IFERROR(__xludf.DUMMYFUNCTION("""COMPUTED_VALUE"""),0.25)</f>
        <v>0.25</v>
      </c>
      <c r="K11" s="19">
        <f>IFERROR(__xludf.DUMMYFUNCTION("""COMPUTED_VALUE"""),0.3125)</f>
        <v>0.3125</v>
      </c>
      <c r="L11" s="19">
        <f>IFERROR(__xludf.DUMMYFUNCTION("""COMPUTED_VALUE"""),0.375)</f>
        <v>0.375</v>
      </c>
      <c r="M11" s="18">
        <f>IFERROR(__xludf.DUMMYFUNCTION("""COMPUTED_VALUE"""),4.33)</f>
        <v>4.33</v>
      </c>
    </row>
    <row r="12">
      <c r="A12" s="13" t="str">
        <f>IFERROR(__xludf.DUMMYFUNCTION("""COMPUTED_VALUE"""),"товари")</f>
        <v>товари</v>
      </c>
      <c r="B12" s="16" t="str">
        <f>IFERROR(__xludf.DUMMYFUNCTION("""COMPUTED_VALUE"""),"авіа-, ж/д-, водний транспорт")</f>
        <v>авіа-, ж/д-, водний транспорт</v>
      </c>
      <c r="C12" s="16" t="str">
        <f>IFERROR(__xludf.DUMMYFUNCTION("""COMPUTED_VALUE"""),"водний транспорт")</f>
        <v>водний транспорт</v>
      </c>
      <c r="D12" s="16" t="str">
        <f>IFERROR(__xludf.DUMMYFUNCTION("""COMPUTED_VALUE"""),"мотори для човнів")</f>
        <v>мотори для човнів</v>
      </c>
      <c r="E12" s="16" t="str">
        <f>IFERROR(__xludf.DUMMYFUNCTION("""COMPUTED_VALUE"""),"мотори для човнів")</f>
        <v>мотори для човнів</v>
      </c>
      <c r="F12" s="17">
        <f>IFERROR(__xludf.DUMMYFUNCTION("""COMPUTED_VALUE"""),3.0)</f>
        <v>3</v>
      </c>
      <c r="G12" s="17" t="str">
        <f>IFERROR(__xludf.DUMMYFUNCTION("""COMPUTED_VALUE"""),"12070601")</f>
        <v>12070601</v>
      </c>
      <c r="H12" s="17" t="str">
        <f>IFERROR(__xludf.DUMMYFUNCTION("""COMPUTED_VALUE"""),"мотори для човнів")</f>
        <v>мотори для човнів</v>
      </c>
      <c r="I12" s="19">
        <f>IFERROR(__xludf.DUMMYFUNCTION("""COMPUTED_VALUE"""),0.031)</f>
        <v>0.031</v>
      </c>
      <c r="J12" s="19">
        <f>IFERROR(__xludf.DUMMYFUNCTION("""COMPUTED_VALUE"""),0.062)</f>
        <v>0.062</v>
      </c>
      <c r="K12" s="19">
        <f>IFERROR(__xludf.DUMMYFUNCTION("""COMPUTED_VALUE"""),0.0775)</f>
        <v>0.0775</v>
      </c>
      <c r="L12" s="19">
        <f>IFERROR(__xludf.DUMMYFUNCTION("""COMPUTED_VALUE"""),0.093)</f>
        <v>0.093</v>
      </c>
      <c r="M12" s="18">
        <f>IFERROR(__xludf.DUMMYFUNCTION("""COMPUTED_VALUE"""),2.25)</f>
        <v>2.25</v>
      </c>
    </row>
    <row r="13">
      <c r="A13" s="13" t="str">
        <f>IFERROR(__xludf.DUMMYFUNCTION("""COMPUTED_VALUE"""),"товари")</f>
        <v>товари</v>
      </c>
      <c r="B13" s="16" t="str">
        <f>IFERROR(__xludf.DUMMYFUNCTION("""COMPUTED_VALUE"""),"авіа-, ж/д-, водний транспорт")</f>
        <v>авіа-, ж/д-, водний транспорт</v>
      </c>
      <c r="C13" s="16" t="str">
        <f>IFERROR(__xludf.DUMMYFUNCTION("""COMPUTED_VALUE"""),"водний транспорт")</f>
        <v>водний транспорт</v>
      </c>
      <c r="D13" s="16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3" s="16" t="str">
        <f>IFERROR(__xludf.DUMMYFUNCTION("""COMPUTED_VALUE"""),"паливне обладнання для човнів і катерів")</f>
        <v>паливне обладнання для човнів і катерів</v>
      </c>
      <c r="F13" s="17">
        <f>IFERROR(__xludf.DUMMYFUNCTION("""COMPUTED_VALUE"""),4.0)</f>
        <v>4</v>
      </c>
      <c r="G13" s="17" t="str">
        <f>IFERROR(__xludf.DUMMYFUNCTION("""COMPUTED_VALUE"""),"12070607")</f>
        <v>12070607</v>
      </c>
      <c r="H13" s="17" t="str">
        <f>IFERROR(__xludf.DUMMYFUNCTION("""COMPUTED_VALUE"""),"паливне обладнання для човнів і катерів")</f>
        <v>паливне обладнання для човнів і катерів</v>
      </c>
      <c r="I13" s="19">
        <f>IFERROR(__xludf.DUMMYFUNCTION("""COMPUTED_VALUE"""),0.0423)</f>
        <v>0.0423</v>
      </c>
      <c r="J13" s="19">
        <f>IFERROR(__xludf.DUMMYFUNCTION("""COMPUTED_VALUE"""),0.0846)</f>
        <v>0.0846</v>
      </c>
      <c r="K13" s="19">
        <f>IFERROR(__xludf.DUMMYFUNCTION("""COMPUTED_VALUE"""),0.1058)</f>
        <v>0.1058</v>
      </c>
      <c r="L13" s="19">
        <f>IFERROR(__xludf.DUMMYFUNCTION("""COMPUTED_VALUE"""),0.1269)</f>
        <v>0.1269</v>
      </c>
      <c r="M13" s="18">
        <f>IFERROR(__xludf.DUMMYFUNCTION("""COMPUTED_VALUE"""),2.34)</f>
        <v>2.34</v>
      </c>
    </row>
    <row r="14">
      <c r="A14" s="13" t="str">
        <f>IFERROR(__xludf.DUMMYFUNCTION("""COMPUTED_VALUE"""),"товари")</f>
        <v>товари</v>
      </c>
      <c r="B14" s="16" t="str">
        <f>IFERROR(__xludf.DUMMYFUNCTION("""COMPUTED_VALUE"""),"авіа-, ж/д-, водний транспорт")</f>
        <v>авіа-, ж/д-, водний транспорт</v>
      </c>
      <c r="C14" s="16" t="str">
        <f>IFERROR(__xludf.DUMMYFUNCTION("""COMPUTED_VALUE"""),"залізничний транспорт і комплектуючі")</f>
        <v>залізничний транспорт і комплектуючі</v>
      </c>
      <c r="D14" s="16" t="str">
        <f>IFERROR(__xludf.DUMMYFUNCTION("""COMPUTED_VALUE"""),"залізничний інструмент")</f>
        <v>залізничний інструмент</v>
      </c>
      <c r="E14" s="16" t="str">
        <f>IFERROR(__xludf.DUMMYFUNCTION("""COMPUTED_VALUE"""),"ручной залізничний інструмент")</f>
        <v>ручной залізничний інструмент</v>
      </c>
      <c r="F14" s="17">
        <f>IFERROR(__xludf.DUMMYFUNCTION("""COMPUTED_VALUE"""),4.0)</f>
        <v>4</v>
      </c>
      <c r="G14" s="17" t="str">
        <f>IFERROR(__xludf.DUMMYFUNCTION("""COMPUTED_VALUE"""),"14201301")</f>
        <v>14201301</v>
      </c>
      <c r="H14" s="17" t="str">
        <f>IFERROR(__xludf.DUMMYFUNCTION("""COMPUTED_VALUE"""),"ручной залізничний інструмент")</f>
        <v>ручной залізничний інструмент</v>
      </c>
      <c r="I14" s="19">
        <f>IFERROR(__xludf.DUMMYFUNCTION("""COMPUTED_VALUE"""),0.0515)</f>
        <v>0.0515</v>
      </c>
      <c r="J14" s="19">
        <f>IFERROR(__xludf.DUMMYFUNCTION("""COMPUTED_VALUE"""),0.103)</f>
        <v>0.103</v>
      </c>
      <c r="K14" s="19">
        <f>IFERROR(__xludf.DUMMYFUNCTION("""COMPUTED_VALUE"""),0.1288)</f>
        <v>0.1288</v>
      </c>
      <c r="L14" s="19">
        <f>IFERROR(__xludf.DUMMYFUNCTION("""COMPUTED_VALUE"""),0.1545)</f>
        <v>0.1545</v>
      </c>
      <c r="M14" s="18">
        <f>IFERROR(__xludf.DUMMYFUNCTION("""COMPUTED_VALUE"""),2.08)</f>
        <v>2.08</v>
      </c>
    </row>
    <row r="15">
      <c r="A15" s="13" t="str">
        <f>IFERROR(__xludf.DUMMYFUNCTION("""COMPUTED_VALUE"""),"товари")</f>
        <v>товари</v>
      </c>
      <c r="B15" s="16" t="str">
        <f>IFERROR(__xludf.DUMMYFUNCTION("""COMPUTED_VALUE"""),"авіа-, ж/д-, водний транспорт")</f>
        <v>авіа-, ж/д-, водний транспорт</v>
      </c>
      <c r="C15" s="16" t="str">
        <f>IFERROR(__xludf.DUMMYFUNCTION("""COMPUTED_VALUE"""),"водний транспорт")</f>
        <v>водний транспорт</v>
      </c>
      <c r="D15" s="16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5" s="16" t="str">
        <f>IFERROR(__xludf.DUMMYFUNCTION("""COMPUTED_VALUE"""),"суднові сходи, транці")</f>
        <v>суднові сходи, транці</v>
      </c>
      <c r="F15" s="17">
        <f>IFERROR(__xludf.DUMMYFUNCTION("""COMPUTED_VALUE"""),4.0)</f>
        <v>4</v>
      </c>
      <c r="G15" s="17" t="str">
        <f>IFERROR(__xludf.DUMMYFUNCTION("""COMPUTED_VALUE"""),"12070615")</f>
        <v>12070615</v>
      </c>
      <c r="H15" s="17" t="str">
        <f>IFERROR(__xludf.DUMMYFUNCTION("""COMPUTED_VALUE"""),"суднові сходи, транці")</f>
        <v>суднові сходи, транці</v>
      </c>
      <c r="I15" s="19">
        <f>IFERROR(__xludf.DUMMYFUNCTION("""COMPUTED_VALUE"""),0.0493)</f>
        <v>0.0493</v>
      </c>
      <c r="J15" s="19">
        <f>IFERROR(__xludf.DUMMYFUNCTION("""COMPUTED_VALUE"""),0.0985)</f>
        <v>0.0985</v>
      </c>
      <c r="K15" s="19">
        <f>IFERROR(__xludf.DUMMYFUNCTION("""COMPUTED_VALUE"""),0.1231)</f>
        <v>0.1231</v>
      </c>
      <c r="L15" s="19">
        <f>IFERROR(__xludf.DUMMYFUNCTION("""COMPUTED_VALUE"""),0.1478)</f>
        <v>0.1478</v>
      </c>
      <c r="M15" s="18">
        <f>IFERROR(__xludf.DUMMYFUNCTION("""COMPUTED_VALUE"""),2.34)</f>
        <v>2.34</v>
      </c>
    </row>
    <row r="16">
      <c r="A16" s="13" t="str">
        <f>IFERROR(__xludf.DUMMYFUNCTION("""COMPUTED_VALUE"""),"товари")</f>
        <v>товари</v>
      </c>
      <c r="B16" s="16" t="str">
        <f>IFERROR(__xludf.DUMMYFUNCTION("""COMPUTED_VALUE"""),"авіа-, ж/д-, водний транспорт")</f>
        <v>авіа-, ж/д-, водний транспорт</v>
      </c>
      <c r="C16" s="16" t="str">
        <f>IFERROR(__xludf.DUMMYFUNCTION("""COMPUTED_VALUE"""),"водний транспорт")</f>
        <v>водний транспорт</v>
      </c>
      <c r="D16" s="16" t="str">
        <f>IFERROR(__xludf.DUMMYFUNCTION("""COMPUTED_VALUE"""),"суднові системи водопостачання та каналізації")</f>
        <v>суднові системи водопостачання та каналізації</v>
      </c>
      <c r="E16" s="16" t="str">
        <f>IFERROR(__xludf.DUMMYFUNCTION("""COMPUTED_VALUE"""),"трюмні помпи судна")</f>
        <v>трюмні помпи судна</v>
      </c>
      <c r="F16" s="17">
        <f>IFERROR(__xludf.DUMMYFUNCTION("""COMPUTED_VALUE"""),4.0)</f>
        <v>4</v>
      </c>
      <c r="G16" s="17" t="str">
        <f>IFERROR(__xludf.DUMMYFUNCTION("""COMPUTED_VALUE"""),"12071105")</f>
        <v>12071105</v>
      </c>
      <c r="H16" s="17" t="str">
        <f>IFERROR(__xludf.DUMMYFUNCTION("""COMPUTED_VALUE"""),"трюмні помпи судна")</f>
        <v>трюмні помпи судна</v>
      </c>
      <c r="I16" s="19">
        <f>IFERROR(__xludf.DUMMYFUNCTION("""COMPUTED_VALUE"""),0.0749)</f>
        <v>0.0749</v>
      </c>
      <c r="J16" s="19">
        <f>IFERROR(__xludf.DUMMYFUNCTION("""COMPUTED_VALUE"""),0.1498)</f>
        <v>0.1498</v>
      </c>
      <c r="K16" s="19">
        <f>IFERROR(__xludf.DUMMYFUNCTION("""COMPUTED_VALUE"""),0.1873)</f>
        <v>0.1873</v>
      </c>
      <c r="L16" s="19">
        <f>IFERROR(__xludf.DUMMYFUNCTION("""COMPUTED_VALUE"""),0.2247)</f>
        <v>0.2247</v>
      </c>
      <c r="M16" s="18">
        <f>IFERROR(__xludf.DUMMYFUNCTION("""COMPUTED_VALUE"""),1.26)</f>
        <v>1.26</v>
      </c>
    </row>
    <row r="17">
      <c r="A17" s="13" t="str">
        <f>IFERROR(__xludf.DUMMYFUNCTION("""COMPUTED_VALUE"""),"товари")</f>
        <v>товари</v>
      </c>
      <c r="B17" s="16" t="str">
        <f>IFERROR(__xludf.DUMMYFUNCTION("""COMPUTED_VALUE"""),"авіа-, ж/д-, водний транспорт")</f>
        <v>авіа-, ж/д-, водний транспорт</v>
      </c>
      <c r="C17" s="16" t="str">
        <f>IFERROR(__xludf.DUMMYFUNCTION("""COMPUTED_VALUE"""),"водний транспорт")</f>
        <v>водний транспорт</v>
      </c>
      <c r="D17" s="16" t="str">
        <f>IFERROR(__xludf.DUMMYFUNCTION("""COMPUTED_VALUE"""),"човни")</f>
        <v>човни</v>
      </c>
      <c r="E17" s="16" t="str">
        <f>IFERROR(__xludf.DUMMYFUNCTION("""COMPUTED_VALUE"""),"човни")</f>
        <v>човни</v>
      </c>
      <c r="F17" s="17">
        <f>IFERROR(__xludf.DUMMYFUNCTION("""COMPUTED_VALUE"""),3.0)</f>
        <v>3</v>
      </c>
      <c r="G17" s="17" t="str">
        <f>IFERROR(__xludf.DUMMYFUNCTION("""COMPUTED_VALUE"""),"12070402")</f>
        <v>12070402</v>
      </c>
      <c r="H17" s="17" t="str">
        <f>IFERROR(__xludf.DUMMYFUNCTION("""COMPUTED_VALUE"""),"човни")</f>
        <v>човни</v>
      </c>
      <c r="I17" s="19">
        <f>IFERROR(__xludf.DUMMYFUNCTION("""COMPUTED_VALUE"""),0.0362)</f>
        <v>0.0362</v>
      </c>
      <c r="J17" s="19">
        <f>IFERROR(__xludf.DUMMYFUNCTION("""COMPUTED_VALUE"""),0.0724)</f>
        <v>0.0724</v>
      </c>
      <c r="K17" s="19">
        <f>IFERROR(__xludf.DUMMYFUNCTION("""COMPUTED_VALUE"""),0.0905)</f>
        <v>0.0905</v>
      </c>
      <c r="L17" s="19">
        <f>IFERROR(__xludf.DUMMYFUNCTION("""COMPUTED_VALUE"""),0.1086)</f>
        <v>0.1086</v>
      </c>
      <c r="M17" s="18">
        <f>IFERROR(__xludf.DUMMYFUNCTION("""COMPUTED_VALUE"""),1.53)</f>
        <v>1.53</v>
      </c>
    </row>
    <row r="18">
      <c r="A18" s="13" t="str">
        <f>IFERROR(__xludf.DUMMYFUNCTION("""COMPUTED_VALUE"""),"товари")</f>
        <v>товари</v>
      </c>
      <c r="B18" s="16" t="str">
        <f>IFERROR(__xludf.DUMMYFUNCTION("""COMPUTED_VALUE"""),"авто-, мото")</f>
        <v>авто-, мото</v>
      </c>
      <c r="C18" s="16" t="str">
        <f>IFERROR(__xludf.DUMMYFUNCTION("""COMPUTED_VALUE"""),"автомобільна електроніка")</f>
        <v>автомобільна електроніка</v>
      </c>
      <c r="D18" s="16" t="str">
        <f>IFERROR(__xludf.DUMMYFUNCTION("""COMPUTED_VALUE"""),"gps")</f>
        <v>gps</v>
      </c>
      <c r="E18" s="16" t="str">
        <f>IFERROR(__xludf.DUMMYFUNCTION("""COMPUTED_VALUE"""),"gps-навігатори")</f>
        <v>gps-навігатори</v>
      </c>
      <c r="F18" s="17">
        <f>IFERROR(__xludf.DUMMYFUNCTION("""COMPUTED_VALUE"""),4.0)</f>
        <v>4</v>
      </c>
      <c r="G18" s="17" t="str">
        <f>IFERROR(__xludf.DUMMYFUNCTION("""COMPUTED_VALUE"""),"340404")</f>
        <v>340404</v>
      </c>
      <c r="H18" s="17" t="str">
        <f>IFERROR(__xludf.DUMMYFUNCTION("""COMPUTED_VALUE"""),"gps-навігатори")</f>
        <v>gps-навігатори</v>
      </c>
      <c r="I18" s="19">
        <f>IFERROR(__xludf.DUMMYFUNCTION("""COMPUTED_VALUE"""),0.0748)</f>
        <v>0.0748</v>
      </c>
      <c r="J18" s="19">
        <f>IFERROR(__xludf.DUMMYFUNCTION("""COMPUTED_VALUE"""),0.1495)</f>
        <v>0.1495</v>
      </c>
      <c r="K18" s="19">
        <f>IFERROR(__xludf.DUMMYFUNCTION("""COMPUTED_VALUE"""),0.1869)</f>
        <v>0.1869</v>
      </c>
      <c r="L18" s="19">
        <f>IFERROR(__xludf.DUMMYFUNCTION("""COMPUTED_VALUE"""),0.2243)</f>
        <v>0.2243</v>
      </c>
      <c r="M18" s="18">
        <f>IFERROR(__xludf.DUMMYFUNCTION("""COMPUTED_VALUE"""),3.96)</f>
        <v>3.96</v>
      </c>
    </row>
    <row r="19">
      <c r="A19" s="13" t="str">
        <f>IFERROR(__xludf.DUMMYFUNCTION("""COMPUTED_VALUE"""),"товари")</f>
        <v>товари</v>
      </c>
      <c r="B19" s="16" t="str">
        <f>IFERROR(__xludf.DUMMYFUNCTION("""COMPUTED_VALUE"""),"авто-, мото")</f>
        <v>авто-, мото</v>
      </c>
      <c r="C19" s="16" t="str">
        <f>IFERROR(__xludf.DUMMYFUNCTION("""COMPUTED_VALUE"""),"автомобільна електроніка")</f>
        <v>автомобільна електроніка</v>
      </c>
      <c r="D19" s="16" t="str">
        <f>IFERROR(__xludf.DUMMYFUNCTION("""COMPUTED_VALUE"""),"gps")</f>
        <v>gps</v>
      </c>
      <c r="E19" s="16" t="str">
        <f>IFERROR(__xludf.DUMMYFUNCTION("""COMPUTED_VALUE"""),"gps-трекери")</f>
        <v>gps-трекери</v>
      </c>
      <c r="F19" s="17">
        <f>IFERROR(__xludf.DUMMYFUNCTION("""COMPUTED_VALUE"""),4.0)</f>
        <v>4</v>
      </c>
      <c r="G19" s="17" t="str">
        <f>IFERROR(__xludf.DUMMYFUNCTION("""COMPUTED_VALUE"""),"5091001")</f>
        <v>5091001</v>
      </c>
      <c r="H19" s="17" t="str">
        <f>IFERROR(__xludf.DUMMYFUNCTION("""COMPUTED_VALUE"""),"gps-трекери")</f>
        <v>gps-трекери</v>
      </c>
      <c r="I19" s="19">
        <f>IFERROR(__xludf.DUMMYFUNCTION("""COMPUTED_VALUE"""),0.0812)</f>
        <v>0.0812</v>
      </c>
      <c r="J19" s="19">
        <f>IFERROR(__xludf.DUMMYFUNCTION("""COMPUTED_VALUE"""),0.1624)</f>
        <v>0.1624</v>
      </c>
      <c r="K19" s="19">
        <f>IFERROR(__xludf.DUMMYFUNCTION("""COMPUTED_VALUE"""),0.203)</f>
        <v>0.203</v>
      </c>
      <c r="L19" s="19">
        <f>IFERROR(__xludf.DUMMYFUNCTION("""COMPUTED_VALUE"""),0.2436)</f>
        <v>0.2436</v>
      </c>
      <c r="M19" s="18">
        <f>IFERROR(__xludf.DUMMYFUNCTION("""COMPUTED_VALUE"""),3.96)</f>
        <v>3.96</v>
      </c>
    </row>
    <row r="20">
      <c r="A20" s="13" t="str">
        <f>IFERROR(__xludf.DUMMYFUNCTION("""COMPUTED_VALUE"""),"товари")</f>
        <v>товари</v>
      </c>
      <c r="B20" s="16" t="str">
        <f>IFERROR(__xludf.DUMMYFUNCTION("""COMPUTED_VALUE"""),"авто-, мото")</f>
        <v>авто-, мото</v>
      </c>
      <c r="C20" s="16" t="str">
        <f>IFERROR(__xludf.DUMMYFUNCTION("""COMPUTED_VALUE"""),"автомобільна електроніка")</f>
        <v>автомобільна електроніка</v>
      </c>
      <c r="D20" s="16" t="str">
        <f>IFERROR(__xludf.DUMMYFUNCTION("""COMPUTED_VALUE"""),"gps")</f>
        <v>gps</v>
      </c>
      <c r="E20" s="16" t="str">
        <f>IFERROR(__xludf.DUMMYFUNCTION("""COMPUTED_VALUE"""),"gps, загальне")</f>
        <v>gps, загальне</v>
      </c>
      <c r="F20" s="17">
        <f>IFERROR(__xludf.DUMMYFUNCTION("""COMPUTED_VALUE"""),4.0)</f>
        <v>4</v>
      </c>
      <c r="G20" s="17" t="str">
        <f>IFERROR(__xludf.DUMMYFUNCTION("""COMPUTED_VALUE"""),"5091003")</f>
        <v>5091003</v>
      </c>
      <c r="H20" s="17" t="str">
        <f>IFERROR(__xludf.DUMMYFUNCTION("""COMPUTED_VALUE"""),"gps, загальне")</f>
        <v>gps, загальне</v>
      </c>
      <c r="I20" s="19">
        <f>IFERROR(__xludf.DUMMYFUNCTION("""COMPUTED_VALUE"""),0.125)</f>
        <v>0.125</v>
      </c>
      <c r="J20" s="19">
        <f>IFERROR(__xludf.DUMMYFUNCTION("""COMPUTED_VALUE"""),0.25)</f>
        <v>0.25</v>
      </c>
      <c r="K20" s="19">
        <f>IFERROR(__xludf.DUMMYFUNCTION("""COMPUTED_VALUE"""),0.3125)</f>
        <v>0.3125</v>
      </c>
      <c r="L20" s="19">
        <f>IFERROR(__xludf.DUMMYFUNCTION("""COMPUTED_VALUE"""),0.375)</f>
        <v>0.375</v>
      </c>
      <c r="M20" s="18">
        <f>IFERROR(__xludf.DUMMYFUNCTION("""COMPUTED_VALUE"""),4.33)</f>
        <v>4.33</v>
      </c>
    </row>
    <row r="21">
      <c r="A21" s="13" t="str">
        <f>IFERROR(__xludf.DUMMYFUNCTION("""COMPUTED_VALUE"""),"товари")</f>
        <v>товари</v>
      </c>
      <c r="B21" s="16" t="str">
        <f>IFERROR(__xludf.DUMMYFUNCTION("""COMPUTED_VALUE"""),"авто-, мото")</f>
        <v>авто-, мото</v>
      </c>
      <c r="C21" s="16" t="str">
        <f>IFERROR(__xludf.DUMMYFUNCTION("""COMPUTED_VALUE"""),"автозапчастини")</f>
        <v>автозапчастини</v>
      </c>
      <c r="D21" s="16" t="str">
        <f>IFERROR(__xludf.DUMMYFUNCTION("""COMPUTED_VALUE"""),"світлові прилади транспорту")</f>
        <v>світлові прилади транспорту</v>
      </c>
      <c r="E21" s="16" t="str">
        <f>IFERROR(__xludf.DUMMYFUNCTION("""COMPUTED_VALUE"""),"led- лампи автомобільні")</f>
        <v>led- лампи автомобільні</v>
      </c>
      <c r="F21" s="17">
        <f>IFERROR(__xludf.DUMMYFUNCTION("""COMPUTED_VALUE"""),4.0)</f>
        <v>4</v>
      </c>
      <c r="G21" s="17" t="str">
        <f>IFERROR(__xludf.DUMMYFUNCTION("""COMPUTED_VALUE"""),"12020613")</f>
        <v>12020613</v>
      </c>
      <c r="H21" s="17" t="str">
        <f>IFERROR(__xludf.DUMMYFUNCTION("""COMPUTED_VALUE"""),"led- лампи автомобільні")</f>
        <v>led- лампи автомобільні</v>
      </c>
      <c r="I21" s="19">
        <f>IFERROR(__xludf.DUMMYFUNCTION("""COMPUTED_VALUE"""),0.0731)</f>
        <v>0.0731</v>
      </c>
      <c r="J21" s="19">
        <f>IFERROR(__xludf.DUMMYFUNCTION("""COMPUTED_VALUE"""),0.1462)</f>
        <v>0.1462</v>
      </c>
      <c r="K21" s="19">
        <f>IFERROR(__xludf.DUMMYFUNCTION("""COMPUTED_VALUE"""),0.1828)</f>
        <v>0.1828</v>
      </c>
      <c r="L21" s="19">
        <f>IFERROR(__xludf.DUMMYFUNCTION("""COMPUTED_VALUE"""),0.2193)</f>
        <v>0.2193</v>
      </c>
      <c r="M21" s="18">
        <f>IFERROR(__xludf.DUMMYFUNCTION("""COMPUTED_VALUE"""),2.16)</f>
        <v>2.16</v>
      </c>
    </row>
    <row r="22">
      <c r="A22" s="13" t="str">
        <f>IFERROR(__xludf.DUMMYFUNCTION("""COMPUTED_VALUE"""),"товари")</f>
        <v>товари</v>
      </c>
      <c r="B22" s="16" t="str">
        <f>IFERROR(__xludf.DUMMYFUNCTION("""COMPUTED_VALUE"""),"авто-, мото")</f>
        <v>авто-, мото</v>
      </c>
      <c r="C22" s="16" t="str">
        <f>IFERROR(__xludf.DUMMYFUNCTION("""COMPUTED_VALUE"""),"авто-, мото, загальне")</f>
        <v>авто-, мото, загальне</v>
      </c>
      <c r="D22" s="16" t="str">
        <f>IFERROR(__xludf.DUMMYFUNCTION("""COMPUTED_VALUE"""),"авто-, мото, загальне")</f>
        <v>авто-, мото, загальне</v>
      </c>
      <c r="E22" s="16" t="str">
        <f>IFERROR(__xludf.DUMMYFUNCTION("""COMPUTED_VALUE"""),"авто-, мото, загальне")</f>
        <v>авто-, мото, загальне</v>
      </c>
      <c r="F22" s="17">
        <f>IFERROR(__xludf.DUMMYFUNCTION("""COMPUTED_VALUE"""),2.0)</f>
        <v>2</v>
      </c>
      <c r="G22" s="17" t="str">
        <f>IFERROR(__xludf.DUMMYFUNCTION("""COMPUTED_VALUE"""),"5501")</f>
        <v>5501</v>
      </c>
      <c r="H22" s="17" t="str">
        <f>IFERROR(__xludf.DUMMYFUNCTION("""COMPUTED_VALUE"""),"авто-, мото, загальне")</f>
        <v>авто-, мото, загальне</v>
      </c>
      <c r="I22" s="19">
        <f>IFERROR(__xludf.DUMMYFUNCTION("""COMPUTED_VALUE"""),0.125)</f>
        <v>0.125</v>
      </c>
      <c r="J22" s="19">
        <f>IFERROR(__xludf.DUMMYFUNCTION("""COMPUTED_VALUE"""),0.25)</f>
        <v>0.25</v>
      </c>
      <c r="K22" s="19">
        <f>IFERROR(__xludf.DUMMYFUNCTION("""COMPUTED_VALUE"""),0.3125)</f>
        <v>0.3125</v>
      </c>
      <c r="L22" s="19">
        <f>IFERROR(__xludf.DUMMYFUNCTION("""COMPUTED_VALUE"""),0.375)</f>
        <v>0.375</v>
      </c>
      <c r="M22" s="18">
        <f>IFERROR(__xludf.DUMMYFUNCTION("""COMPUTED_VALUE"""),4.33)</f>
        <v>4.33</v>
      </c>
    </row>
    <row r="23">
      <c r="A23" s="13" t="str">
        <f>IFERROR(__xludf.DUMMYFUNCTION("""COMPUTED_VALUE"""),"товари")</f>
        <v>товари</v>
      </c>
      <c r="B23" s="13" t="str">
        <f>IFERROR(__xludf.DUMMYFUNCTION("""COMPUTED_VALUE"""),"авто-, мото")</f>
        <v>авто-, мото</v>
      </c>
      <c r="C23" s="16" t="str">
        <f>IFERROR(__xludf.DUMMYFUNCTION("""COMPUTED_VALUE"""),"аксесуари для авто")</f>
        <v>аксесуари для авто</v>
      </c>
      <c r="D23" s="16" t="str">
        <f>IFERROR(__xludf.DUMMYFUNCTION("""COMPUTED_VALUE"""),"автоаксесуари, загальне")</f>
        <v>автоаксесуари, загальне</v>
      </c>
      <c r="E23" s="16" t="str">
        <f>IFERROR(__xludf.DUMMYFUNCTION("""COMPUTED_VALUE"""),"автоаксесуари, загальне")</f>
        <v>автоаксесуари, загальне</v>
      </c>
      <c r="F23" s="17">
        <f>IFERROR(__xludf.DUMMYFUNCTION("""COMPUTED_VALUE"""),3.0)</f>
        <v>3</v>
      </c>
      <c r="G23" s="17" t="str">
        <f>IFERROR(__xludf.DUMMYFUNCTION("""COMPUTED_VALUE"""),"121221")</f>
        <v>121221</v>
      </c>
      <c r="H23" s="17" t="str">
        <f>IFERROR(__xludf.DUMMYFUNCTION("""COMPUTED_VALUE"""),"автоаксесуари, загальне")</f>
        <v>автоаксесуари, загальне</v>
      </c>
      <c r="I23" s="19">
        <f>IFERROR(__xludf.DUMMYFUNCTION("""COMPUTED_VALUE"""),0.125)</f>
        <v>0.125</v>
      </c>
      <c r="J23" s="19">
        <f>IFERROR(__xludf.DUMMYFUNCTION("""COMPUTED_VALUE"""),0.25)</f>
        <v>0.25</v>
      </c>
      <c r="K23" s="19">
        <f>IFERROR(__xludf.DUMMYFUNCTION("""COMPUTED_VALUE"""),0.3125)</f>
        <v>0.3125</v>
      </c>
      <c r="L23" s="19">
        <f>IFERROR(__xludf.DUMMYFUNCTION("""COMPUTED_VALUE"""),0.375)</f>
        <v>0.375</v>
      </c>
      <c r="M23" s="18">
        <f>IFERROR(__xludf.DUMMYFUNCTION("""COMPUTED_VALUE"""),4.33)</f>
        <v>4.33</v>
      </c>
    </row>
    <row r="24">
      <c r="A24" s="13" t="str">
        <f>IFERROR(__xludf.DUMMYFUNCTION("""COMPUTED_VALUE"""),"товари")</f>
        <v>товари</v>
      </c>
      <c r="B24" s="13" t="str">
        <f>IFERROR(__xludf.DUMMYFUNCTION("""COMPUTED_VALUE"""),"авто-, мото")</f>
        <v>авто-, мото</v>
      </c>
      <c r="C24" s="16" t="str">
        <f>IFERROR(__xludf.DUMMYFUNCTION("""COMPUTED_VALUE"""),"автомобільна електроніка")</f>
        <v>автомобільна електроніка</v>
      </c>
      <c r="D24" s="16" t="str">
        <f>IFERROR(__xludf.DUMMYFUNCTION("""COMPUTED_VALUE"""),"автозвук")</f>
        <v>автозвук</v>
      </c>
      <c r="E24" s="16" t="str">
        <f>IFERROR(__xludf.DUMMYFUNCTION("""COMPUTED_VALUE"""),"автоакустика, загальне")</f>
        <v>автоакустика, загальне</v>
      </c>
      <c r="F24" s="17">
        <f>IFERROR(__xludf.DUMMYFUNCTION("""COMPUTED_VALUE"""),4.0)</f>
        <v>4</v>
      </c>
      <c r="G24" s="17" t="str">
        <f>IFERROR(__xludf.DUMMYFUNCTION("""COMPUTED_VALUE"""),"340422")</f>
        <v>340422</v>
      </c>
      <c r="H24" s="17" t="str">
        <f>IFERROR(__xludf.DUMMYFUNCTION("""COMPUTED_VALUE"""),"автоакустика, загальне")</f>
        <v>автоакустика, загальне</v>
      </c>
      <c r="I24" s="19">
        <f>IFERROR(__xludf.DUMMYFUNCTION("""COMPUTED_VALUE"""),0.125)</f>
        <v>0.125</v>
      </c>
      <c r="J24" s="19">
        <f>IFERROR(__xludf.DUMMYFUNCTION("""COMPUTED_VALUE"""),0.25)</f>
        <v>0.25</v>
      </c>
      <c r="K24" s="19">
        <f>IFERROR(__xludf.DUMMYFUNCTION("""COMPUTED_VALUE"""),0.3125)</f>
        <v>0.3125</v>
      </c>
      <c r="L24" s="19">
        <f>IFERROR(__xludf.DUMMYFUNCTION("""COMPUTED_VALUE"""),0.375)</f>
        <v>0.375</v>
      </c>
      <c r="M24" s="18">
        <f>IFERROR(__xludf.DUMMYFUNCTION("""COMPUTED_VALUE"""),4.33)</f>
        <v>4.33</v>
      </c>
    </row>
    <row r="25">
      <c r="A25" s="13" t="str">
        <f>IFERROR(__xludf.DUMMYFUNCTION("""COMPUTED_VALUE"""),"товари")</f>
        <v>товари</v>
      </c>
      <c r="B25" s="16" t="str">
        <f>IFERROR(__xludf.DUMMYFUNCTION("""COMPUTED_VALUE"""),"авто-, мото")</f>
        <v>авто-, мото</v>
      </c>
      <c r="C25" s="16" t="str">
        <f>IFERROR(__xludf.DUMMYFUNCTION("""COMPUTED_VALUE"""),"автозапчастини")</f>
        <v>автозапчастини</v>
      </c>
      <c r="D25" s="16" t="str">
        <f>IFERROR(__xludf.DUMMYFUNCTION("""COMPUTED_VALUE"""),"автодзеркала і комплектуючі")</f>
        <v>автодзеркала і комплектуючі</v>
      </c>
      <c r="E25" s="16" t="str">
        <f>IFERROR(__xludf.DUMMYFUNCTION("""COMPUTED_VALUE"""),"автодзеркала і комплектуючі")</f>
        <v>автодзеркала і комплектуючі</v>
      </c>
      <c r="F25" s="17">
        <f>IFERROR(__xludf.DUMMYFUNCTION("""COMPUTED_VALUE"""),3.0)</f>
        <v>3</v>
      </c>
      <c r="G25" s="17" t="str">
        <f>IFERROR(__xludf.DUMMYFUNCTION("""COMPUTED_VALUE"""),"550202")</f>
        <v>550202</v>
      </c>
      <c r="H25" s="17" t="str">
        <f>IFERROR(__xludf.DUMMYFUNCTION("""COMPUTED_VALUE"""),"автодзеркала і комплектуючі")</f>
        <v>автодзеркала і комплектуючі</v>
      </c>
      <c r="I25" s="19">
        <f>IFERROR(__xludf.DUMMYFUNCTION("""COMPUTED_VALUE"""),0.0547)</f>
        <v>0.0547</v>
      </c>
      <c r="J25" s="19">
        <f>IFERROR(__xludf.DUMMYFUNCTION("""COMPUTED_VALUE"""),0.1094)</f>
        <v>0.1094</v>
      </c>
      <c r="K25" s="19">
        <f>IFERROR(__xludf.DUMMYFUNCTION("""COMPUTED_VALUE"""),0.1368)</f>
        <v>0.1368</v>
      </c>
      <c r="L25" s="19">
        <f>IFERROR(__xludf.DUMMYFUNCTION("""COMPUTED_VALUE"""),0.1641)</f>
        <v>0.1641</v>
      </c>
      <c r="M25" s="18">
        <f>IFERROR(__xludf.DUMMYFUNCTION("""COMPUTED_VALUE"""),1.26)</f>
        <v>1.26</v>
      </c>
    </row>
    <row r="26">
      <c r="A26" s="13" t="str">
        <f>IFERROR(__xludf.DUMMYFUNCTION("""COMPUTED_VALUE"""),"товари")</f>
        <v>товари</v>
      </c>
      <c r="B26" s="16" t="str">
        <f>IFERROR(__xludf.DUMMYFUNCTION("""COMPUTED_VALUE"""),"авто-, мото")</f>
        <v>авто-, мото</v>
      </c>
      <c r="C26" s="16" t="str">
        <f>IFERROR(__xludf.DUMMYFUNCTION("""COMPUTED_VALUE"""),"автомобільна електроніка")</f>
        <v>автомобільна електроніка</v>
      </c>
      <c r="D26" s="16" t="str">
        <f>IFERROR(__xludf.DUMMYFUNCTION("""COMPUTED_VALUE"""),"автоелектроніка, загальне")</f>
        <v>автоелектроніка, загальне</v>
      </c>
      <c r="E26" s="16" t="str">
        <f>IFERROR(__xludf.DUMMYFUNCTION("""COMPUTED_VALUE"""),"автоелектроніка, загальне")</f>
        <v>автоелектроніка, загальне</v>
      </c>
      <c r="F26" s="17">
        <f>IFERROR(__xludf.DUMMYFUNCTION("""COMPUTED_VALUE"""),3.0)</f>
        <v>3</v>
      </c>
      <c r="G26" s="17" t="str">
        <f>IFERROR(__xludf.DUMMYFUNCTION("""COMPUTED_VALUE"""),"340499")</f>
        <v>340499</v>
      </c>
      <c r="H26" s="17" t="str">
        <f>IFERROR(__xludf.DUMMYFUNCTION("""COMPUTED_VALUE"""),"автоелектроніка, загальне")</f>
        <v>автоелектроніка, загальне</v>
      </c>
      <c r="I26" s="19">
        <f>IFERROR(__xludf.DUMMYFUNCTION("""COMPUTED_VALUE"""),0.125)</f>
        <v>0.125</v>
      </c>
      <c r="J26" s="19">
        <f>IFERROR(__xludf.DUMMYFUNCTION("""COMPUTED_VALUE"""),0.25)</f>
        <v>0.25</v>
      </c>
      <c r="K26" s="19">
        <f>IFERROR(__xludf.DUMMYFUNCTION("""COMPUTED_VALUE"""),0.3125)</f>
        <v>0.3125</v>
      </c>
      <c r="L26" s="19">
        <f>IFERROR(__xludf.DUMMYFUNCTION("""COMPUTED_VALUE"""),0.375)</f>
        <v>0.375</v>
      </c>
      <c r="M26" s="18">
        <f>IFERROR(__xludf.DUMMYFUNCTION("""COMPUTED_VALUE"""),4.33)</f>
        <v>4.33</v>
      </c>
    </row>
    <row r="27">
      <c r="A27" s="13" t="str">
        <f>IFERROR(__xludf.DUMMYFUNCTION("""COMPUTED_VALUE"""),"товари")</f>
        <v>товари</v>
      </c>
      <c r="B27" s="16" t="str">
        <f>IFERROR(__xludf.DUMMYFUNCTION("""COMPUTED_VALUE"""),"авто-, мото")</f>
        <v>авто-, мото</v>
      </c>
      <c r="C27" s="16" t="str">
        <f>IFERROR(__xludf.DUMMYFUNCTION("""COMPUTED_VALUE"""),"автозапчастини")</f>
        <v>автозапчастини</v>
      </c>
      <c r="D27" s="16" t="str">
        <f>IFERROR(__xludf.DUMMYFUNCTION("""COMPUTED_VALUE"""),"автозапчастини, загальне")</f>
        <v>автозапчастини, загальне</v>
      </c>
      <c r="E27" s="16" t="str">
        <f>IFERROR(__xludf.DUMMYFUNCTION("""COMPUTED_VALUE"""),"автозапчастини, загальне")</f>
        <v>автозапчастини, загальне</v>
      </c>
      <c r="F27" s="17">
        <f>IFERROR(__xludf.DUMMYFUNCTION("""COMPUTED_VALUE"""),3.0)</f>
        <v>3</v>
      </c>
      <c r="G27" s="17" t="str">
        <f>IFERROR(__xludf.DUMMYFUNCTION("""COMPUTED_VALUE"""),"341501")</f>
        <v>341501</v>
      </c>
      <c r="H27" s="17" t="str">
        <f>IFERROR(__xludf.DUMMYFUNCTION("""COMPUTED_VALUE"""),"автозапчастини, загальне")</f>
        <v>автозапчастини, загальне</v>
      </c>
      <c r="I27" s="19">
        <f>IFERROR(__xludf.DUMMYFUNCTION("""COMPUTED_VALUE"""),0.125)</f>
        <v>0.125</v>
      </c>
      <c r="J27" s="19">
        <f>IFERROR(__xludf.DUMMYFUNCTION("""COMPUTED_VALUE"""),0.25)</f>
        <v>0.25</v>
      </c>
      <c r="K27" s="19">
        <f>IFERROR(__xludf.DUMMYFUNCTION("""COMPUTED_VALUE"""),0.3125)</f>
        <v>0.3125</v>
      </c>
      <c r="L27" s="19">
        <f>IFERROR(__xludf.DUMMYFUNCTION("""COMPUTED_VALUE"""),0.375)</f>
        <v>0.375</v>
      </c>
      <c r="M27" s="18">
        <f>IFERROR(__xludf.DUMMYFUNCTION("""COMPUTED_VALUE"""),4.33)</f>
        <v>4.33</v>
      </c>
    </row>
    <row r="28">
      <c r="A28" s="13" t="str">
        <f>IFERROR(__xludf.DUMMYFUNCTION("""COMPUTED_VALUE"""),"товари")</f>
        <v>товари</v>
      </c>
      <c r="B28" s="16" t="str">
        <f>IFERROR(__xludf.DUMMYFUNCTION("""COMPUTED_VALUE"""),"авто-, мото")</f>
        <v>авто-, мото</v>
      </c>
      <c r="C28" s="16" t="str">
        <f>IFERROR(__xludf.DUMMYFUNCTION("""COMPUTED_VALUE"""),"автоінструмент")</f>
        <v>автоінструмент</v>
      </c>
      <c r="D28" s="16" t="str">
        <f>IFERROR(__xludf.DUMMYFUNCTION("""COMPUTED_VALUE"""),"автоінструмент, загальне")</f>
        <v>автоінструмент, загальне</v>
      </c>
      <c r="E28" s="16" t="str">
        <f>IFERROR(__xludf.DUMMYFUNCTION("""COMPUTED_VALUE"""),"автоінструмент, загальне")</f>
        <v>автоінструмент, загальне</v>
      </c>
      <c r="F28" s="17">
        <f>IFERROR(__xludf.DUMMYFUNCTION("""COMPUTED_VALUE"""),3.0)</f>
        <v>3</v>
      </c>
      <c r="G28" s="17" t="str">
        <f>IFERROR(__xludf.DUMMYFUNCTION("""COMPUTED_VALUE"""),"12110204")</f>
        <v>12110204</v>
      </c>
      <c r="H28" s="17" t="str">
        <f>IFERROR(__xludf.DUMMYFUNCTION("""COMPUTED_VALUE"""),"автоінструмент, загальне")</f>
        <v>автоінструмент, загальне</v>
      </c>
      <c r="I28" s="19">
        <f>IFERROR(__xludf.DUMMYFUNCTION("""COMPUTED_VALUE"""),0.125)</f>
        <v>0.125</v>
      </c>
      <c r="J28" s="19">
        <f>IFERROR(__xludf.DUMMYFUNCTION("""COMPUTED_VALUE"""),0.25)</f>
        <v>0.25</v>
      </c>
      <c r="K28" s="19">
        <f>IFERROR(__xludf.DUMMYFUNCTION("""COMPUTED_VALUE"""),0.3125)</f>
        <v>0.3125</v>
      </c>
      <c r="L28" s="19">
        <f>IFERROR(__xludf.DUMMYFUNCTION("""COMPUTED_VALUE"""),0.375)</f>
        <v>0.375</v>
      </c>
      <c r="M28" s="18">
        <f>IFERROR(__xludf.DUMMYFUNCTION("""COMPUTED_VALUE"""),4.33)</f>
        <v>4.33</v>
      </c>
    </row>
    <row r="29">
      <c r="A29" s="13" t="str">
        <f>IFERROR(__xludf.DUMMYFUNCTION("""COMPUTED_VALUE"""),"товари")</f>
        <v>товари</v>
      </c>
      <c r="B29" s="16" t="str">
        <f>IFERROR(__xludf.DUMMYFUNCTION("""COMPUTED_VALUE"""),"авто-, мото")</f>
        <v>авто-, мото</v>
      </c>
      <c r="C29" s="16" t="str">
        <f>IFERROR(__xludf.DUMMYFUNCTION("""COMPUTED_VALUE"""),"автохімія, автокосметика і автомастила")</f>
        <v>автохімія, автокосметика і автомастила</v>
      </c>
      <c r="D29" s="16" t="str">
        <f>IFERROR(__xludf.DUMMYFUNCTION("""COMPUTED_VALUE"""),"автокраски, автоемалі")</f>
        <v>автокраски, автоемалі</v>
      </c>
      <c r="E29" s="16" t="str">
        <f>IFERROR(__xludf.DUMMYFUNCTION("""COMPUTED_VALUE"""),"автокраски, автоемалі, загальне")</f>
        <v>автокраски, автоемалі, загальне</v>
      </c>
      <c r="F29" s="17">
        <f>IFERROR(__xludf.DUMMYFUNCTION("""COMPUTED_VALUE"""),4.0)</f>
        <v>4</v>
      </c>
      <c r="G29" s="17" t="str">
        <f>IFERROR(__xludf.DUMMYFUNCTION("""COMPUTED_VALUE"""),"341613")</f>
        <v>341613</v>
      </c>
      <c r="H29" s="17" t="str">
        <f>IFERROR(__xludf.DUMMYFUNCTION("""COMPUTED_VALUE"""),"автокраски, автоемалі, загальне")</f>
        <v>автокраски, автоемалі, загальне</v>
      </c>
      <c r="I29" s="19">
        <f>IFERROR(__xludf.DUMMYFUNCTION("""COMPUTED_VALUE"""),0.125)</f>
        <v>0.125</v>
      </c>
      <c r="J29" s="19">
        <f>IFERROR(__xludf.DUMMYFUNCTION("""COMPUTED_VALUE"""),0.25)</f>
        <v>0.25</v>
      </c>
      <c r="K29" s="19">
        <f>IFERROR(__xludf.DUMMYFUNCTION("""COMPUTED_VALUE"""),0.3125)</f>
        <v>0.3125</v>
      </c>
      <c r="L29" s="19">
        <f>IFERROR(__xludf.DUMMYFUNCTION("""COMPUTED_VALUE"""),0.375)</f>
        <v>0.375</v>
      </c>
      <c r="M29" s="18">
        <f>IFERROR(__xludf.DUMMYFUNCTION("""COMPUTED_VALUE"""),4.33)</f>
        <v>4.33</v>
      </c>
    </row>
    <row r="30">
      <c r="A30" s="13" t="str">
        <f>IFERROR(__xludf.DUMMYFUNCTION("""COMPUTED_VALUE"""),"товари")</f>
        <v>товари</v>
      </c>
      <c r="B30" s="16" t="str">
        <f>IFERROR(__xludf.DUMMYFUNCTION("""COMPUTED_VALUE"""),"авто-, мото")</f>
        <v>авто-, мото</v>
      </c>
      <c r="C30" s="16" t="str">
        <f>IFERROR(__xludf.DUMMYFUNCTION("""COMPUTED_VALUE"""),"автомобільна електроніка")</f>
        <v>автомобільна електроніка</v>
      </c>
      <c r="D30" s="16" t="str">
        <f>IFERROR(__xludf.DUMMYFUNCTION("""COMPUTED_VALUE"""),"автозвук")</f>
        <v>автозвук</v>
      </c>
      <c r="E30" s="16" t="str">
        <f>IFERROR(__xludf.DUMMYFUNCTION("""COMPUTED_VALUE"""),"автомагнітоли")</f>
        <v>автомагнітоли</v>
      </c>
      <c r="F30" s="17">
        <f>IFERROR(__xludf.DUMMYFUNCTION("""COMPUTED_VALUE"""),4.0)</f>
        <v>4</v>
      </c>
      <c r="G30" s="17" t="str">
        <f>IFERROR(__xludf.DUMMYFUNCTION("""COMPUTED_VALUE"""),"340415")</f>
        <v>340415</v>
      </c>
      <c r="H30" s="17" t="str">
        <f>IFERROR(__xludf.DUMMYFUNCTION("""COMPUTED_VALUE"""),"автомагнітоли")</f>
        <v>автомагнітоли</v>
      </c>
      <c r="I30" s="19">
        <f>IFERROR(__xludf.DUMMYFUNCTION("""COMPUTED_VALUE"""),0.0728)</f>
        <v>0.0728</v>
      </c>
      <c r="J30" s="19">
        <f>IFERROR(__xludf.DUMMYFUNCTION("""COMPUTED_VALUE"""),0.1456)</f>
        <v>0.1456</v>
      </c>
      <c r="K30" s="19">
        <f>IFERROR(__xludf.DUMMYFUNCTION("""COMPUTED_VALUE"""),0.182)</f>
        <v>0.182</v>
      </c>
      <c r="L30" s="19">
        <f>IFERROR(__xludf.DUMMYFUNCTION("""COMPUTED_VALUE"""),0.2184)</f>
        <v>0.2184</v>
      </c>
      <c r="M30" s="18">
        <f>IFERROR(__xludf.DUMMYFUNCTION("""COMPUTED_VALUE"""),2.79)</f>
        <v>2.79</v>
      </c>
    </row>
    <row r="31">
      <c r="A31" s="13" t="str">
        <f>IFERROR(__xludf.DUMMYFUNCTION("""COMPUTED_VALUE"""),"товари")</f>
        <v>товари</v>
      </c>
      <c r="B31" s="16" t="str">
        <f>IFERROR(__xludf.DUMMYFUNCTION("""COMPUTED_VALUE"""),"авто-, мото")</f>
        <v>авто-, мото</v>
      </c>
      <c r="C31" s="16" t="str">
        <f>IFERROR(__xludf.DUMMYFUNCTION("""COMPUTED_VALUE"""),"автомобільна електроніка")</f>
        <v>автомобільна електроніка</v>
      </c>
      <c r="D31" s="16" t="str">
        <f>IFERROR(__xludf.DUMMYFUNCTION("""COMPUTED_VALUE"""),"автозвук")</f>
        <v>автозвук</v>
      </c>
      <c r="E31" s="16" t="str">
        <f>IFERROR(__xludf.DUMMYFUNCTION("""COMPUTED_VALUE"""),"автомобільна акустика")</f>
        <v>автомобільна акустика</v>
      </c>
      <c r="F31" s="17">
        <f>IFERROR(__xludf.DUMMYFUNCTION("""COMPUTED_VALUE"""),4.0)</f>
        <v>4</v>
      </c>
      <c r="G31" s="17" t="str">
        <f>IFERROR(__xludf.DUMMYFUNCTION("""COMPUTED_VALUE"""),"340419")</f>
        <v>340419</v>
      </c>
      <c r="H31" s="17" t="str">
        <f>IFERROR(__xludf.DUMMYFUNCTION("""COMPUTED_VALUE"""),"автомобільна акустика")</f>
        <v>автомобільна акустика</v>
      </c>
      <c r="I31" s="19">
        <f>IFERROR(__xludf.DUMMYFUNCTION("""COMPUTED_VALUE"""),0.0738)</f>
        <v>0.0738</v>
      </c>
      <c r="J31" s="19">
        <f>IFERROR(__xludf.DUMMYFUNCTION("""COMPUTED_VALUE"""),0.1475)</f>
        <v>0.1475</v>
      </c>
      <c r="K31" s="19">
        <f>IFERROR(__xludf.DUMMYFUNCTION("""COMPUTED_VALUE"""),0.1844)</f>
        <v>0.1844</v>
      </c>
      <c r="L31" s="19">
        <f>IFERROR(__xludf.DUMMYFUNCTION("""COMPUTED_VALUE"""),0.2213)</f>
        <v>0.2213</v>
      </c>
      <c r="M31" s="18">
        <f>IFERROR(__xludf.DUMMYFUNCTION("""COMPUTED_VALUE"""),2.79)</f>
        <v>2.79</v>
      </c>
    </row>
    <row r="32">
      <c r="A32" s="13" t="str">
        <f>IFERROR(__xludf.DUMMYFUNCTION("""COMPUTED_VALUE"""),"товари")</f>
        <v>товари</v>
      </c>
      <c r="B32" s="16" t="str">
        <f>IFERROR(__xludf.DUMMYFUNCTION("""COMPUTED_VALUE"""),"авто-, мото")</f>
        <v>авто-, мото</v>
      </c>
      <c r="C32" s="16" t="str">
        <f>IFERROR(__xludf.DUMMYFUNCTION("""COMPUTED_VALUE"""),"електрообладнання автомобілів")</f>
        <v>електрообладнання автомобілів</v>
      </c>
      <c r="D32" s="16" t="str">
        <f>IFERROR(__xludf.DUMMYFUNCTION("""COMPUTED_VALUE"""),"автомобільна проводка, дроти, клеми і роз'єми")</f>
        <v>автомобільна проводка, дроти, клеми і роз'єми</v>
      </c>
      <c r="E32" s="16" t="str">
        <f>IFERROR(__xludf.DUMMYFUNCTION("""COMPUTED_VALUE"""),"автомобільна проводка, дроти, клеми і роз'єми")</f>
        <v>автомобільна проводка, дроти, клеми і роз'єми</v>
      </c>
      <c r="F32" s="17">
        <f>IFERROR(__xludf.DUMMYFUNCTION("""COMPUTED_VALUE"""),3.0)</f>
        <v>3</v>
      </c>
      <c r="G32" s="17" t="str">
        <f>IFERROR(__xludf.DUMMYFUNCTION("""COMPUTED_VALUE"""),"120224")</f>
        <v>120224</v>
      </c>
      <c r="H32" s="17" t="str">
        <f>IFERROR(__xludf.DUMMYFUNCTION("""COMPUTED_VALUE"""),"автомобільна проводка, дроти, клеми і роз'єми")</f>
        <v>автомобільна проводка, дроти, клеми і роз'єми</v>
      </c>
      <c r="I32" s="19">
        <f>IFERROR(__xludf.DUMMYFUNCTION("""COMPUTED_VALUE"""),0.0505)</f>
        <v>0.0505</v>
      </c>
      <c r="J32" s="19">
        <f>IFERROR(__xludf.DUMMYFUNCTION("""COMPUTED_VALUE"""),0.1009)</f>
        <v>0.1009</v>
      </c>
      <c r="K32" s="19">
        <f>IFERROR(__xludf.DUMMYFUNCTION("""COMPUTED_VALUE"""),0.1261)</f>
        <v>0.1261</v>
      </c>
      <c r="L32" s="19">
        <f>IFERROR(__xludf.DUMMYFUNCTION("""COMPUTED_VALUE"""),0.1514)</f>
        <v>0.1514</v>
      </c>
      <c r="M32" s="18">
        <f>IFERROR(__xludf.DUMMYFUNCTION("""COMPUTED_VALUE"""),1.05)</f>
        <v>1.05</v>
      </c>
    </row>
    <row r="33">
      <c r="A33" s="13" t="str">
        <f>IFERROR(__xludf.DUMMYFUNCTION("""COMPUTED_VALUE"""),"товари")</f>
        <v>товари</v>
      </c>
      <c r="B33" s="16" t="str">
        <f>IFERROR(__xludf.DUMMYFUNCTION("""COMPUTED_VALUE"""),"авто-, мото")</f>
        <v>авто-, мото</v>
      </c>
      <c r="C33" s="16" t="str">
        <f>IFERROR(__xludf.DUMMYFUNCTION("""COMPUTED_VALUE"""),"автохімія, автокосметика і автомастила")</f>
        <v>автохімія, автокосметика і автомастила</v>
      </c>
      <c r="D33" s="16" t="str">
        <f>IFERROR(__xludf.DUMMYFUNCTION("""COMPUTED_VALUE"""),"автомобільні поліролі та шампуні")</f>
        <v>автомобільні поліролі та шампуні</v>
      </c>
      <c r="E33" s="16" t="str">
        <f>IFERROR(__xludf.DUMMYFUNCTION("""COMPUTED_VALUE"""),"автомобільний віск")</f>
        <v>автомобільний віск</v>
      </c>
      <c r="F33" s="17">
        <f>IFERROR(__xludf.DUMMYFUNCTION("""COMPUTED_VALUE"""),4.0)</f>
        <v>4</v>
      </c>
      <c r="G33" s="17" t="str">
        <f>IFERROR(__xludf.DUMMYFUNCTION("""COMPUTED_VALUE"""),"341203")</f>
        <v>341203</v>
      </c>
      <c r="H33" s="17" t="str">
        <f>IFERROR(__xludf.DUMMYFUNCTION("""COMPUTED_VALUE"""),"автомобільний віск")</f>
        <v>автомобільний віск</v>
      </c>
      <c r="I33" s="19">
        <f>IFERROR(__xludf.DUMMYFUNCTION("""COMPUTED_VALUE"""),0.0776)</f>
        <v>0.0776</v>
      </c>
      <c r="J33" s="19">
        <f>IFERROR(__xludf.DUMMYFUNCTION("""COMPUTED_VALUE"""),0.1551)</f>
        <v>0.1551</v>
      </c>
      <c r="K33" s="19">
        <f>IFERROR(__xludf.DUMMYFUNCTION("""COMPUTED_VALUE"""),0.1939)</f>
        <v>0.1939</v>
      </c>
      <c r="L33" s="19">
        <f>IFERROR(__xludf.DUMMYFUNCTION("""COMPUTED_VALUE"""),0.2327)</f>
        <v>0.2327</v>
      </c>
      <c r="M33" s="18">
        <f>IFERROR(__xludf.DUMMYFUNCTION("""COMPUTED_VALUE"""),2.16)</f>
        <v>2.16</v>
      </c>
    </row>
    <row r="34">
      <c r="A34" s="13" t="str">
        <f>IFERROR(__xludf.DUMMYFUNCTION("""COMPUTED_VALUE"""),"товари")</f>
        <v>товари</v>
      </c>
      <c r="B34" s="16" t="str">
        <f>IFERROR(__xludf.DUMMYFUNCTION("""COMPUTED_VALUE"""),"авто-, мото")</f>
        <v>авто-, мото</v>
      </c>
      <c r="C34" s="16" t="str">
        <f>IFERROR(__xludf.DUMMYFUNCTION("""COMPUTED_VALUE"""),"автомобільна електроніка")</f>
        <v>автомобільна електроніка</v>
      </c>
      <c r="D34" s="16" t="str">
        <f>IFERROR(__xludf.DUMMYFUNCTION("""COMPUTED_VALUE"""),"автомобільні fm трансмітери")</f>
        <v>автомобільні fm трансмітери</v>
      </c>
      <c r="E34" s="16" t="str">
        <f>IFERROR(__xludf.DUMMYFUNCTION("""COMPUTED_VALUE"""),"автомобільні fm трансмітери")</f>
        <v>автомобільні fm трансмітери</v>
      </c>
      <c r="F34" s="17">
        <f>IFERROR(__xludf.DUMMYFUNCTION("""COMPUTED_VALUE"""),3.0)</f>
        <v>3</v>
      </c>
      <c r="G34" s="17" t="str">
        <f>IFERROR(__xludf.DUMMYFUNCTION("""COMPUTED_VALUE"""),"340411")</f>
        <v>340411</v>
      </c>
      <c r="H34" s="17" t="str">
        <f>IFERROR(__xludf.DUMMYFUNCTION("""COMPUTED_VALUE"""),"автомобільні fm трансмітери")</f>
        <v>автомобільні fm трансмітери</v>
      </c>
      <c r="I34" s="19">
        <f>IFERROR(__xludf.DUMMYFUNCTION("""COMPUTED_VALUE"""),0.0829)</f>
        <v>0.0829</v>
      </c>
      <c r="J34" s="19">
        <f>IFERROR(__xludf.DUMMYFUNCTION("""COMPUTED_VALUE"""),0.1658)</f>
        <v>0.1658</v>
      </c>
      <c r="K34" s="19">
        <f>IFERROR(__xludf.DUMMYFUNCTION("""COMPUTED_VALUE"""),0.2073)</f>
        <v>0.2073</v>
      </c>
      <c r="L34" s="19">
        <f>IFERROR(__xludf.DUMMYFUNCTION("""COMPUTED_VALUE"""),0.2487)</f>
        <v>0.2487</v>
      </c>
      <c r="M34" s="18">
        <f>IFERROR(__xludf.DUMMYFUNCTION("""COMPUTED_VALUE"""),2.25)</f>
        <v>2.25</v>
      </c>
    </row>
    <row r="35">
      <c r="A35" s="13" t="str">
        <f>IFERROR(__xludf.DUMMYFUNCTION("""COMPUTED_VALUE"""),"товари")</f>
        <v>товари</v>
      </c>
      <c r="B35" s="16" t="str">
        <f>IFERROR(__xludf.DUMMYFUNCTION("""COMPUTED_VALUE"""),"авто-, мото")</f>
        <v>авто-, мото</v>
      </c>
      <c r="C35" s="16" t="str">
        <f>IFERROR(__xludf.DUMMYFUNCTION("""COMPUTED_VALUE"""),"автомобільна електроніка")</f>
        <v>автомобільна електроніка</v>
      </c>
      <c r="D35" s="16" t="str">
        <f>IFERROR(__xludf.DUMMYFUNCTION("""COMPUTED_VALUE"""),"автомобільні адаптери живлення")</f>
        <v>автомобільні адаптери живлення</v>
      </c>
      <c r="E35" s="16" t="str">
        <f>IFERROR(__xludf.DUMMYFUNCTION("""COMPUTED_VALUE"""),"автомобільні адаптери живлення")</f>
        <v>автомобільні адаптери живлення</v>
      </c>
      <c r="F35" s="17">
        <f>IFERROR(__xludf.DUMMYFUNCTION("""COMPUTED_VALUE"""),3.0)</f>
        <v>3</v>
      </c>
      <c r="G35" s="17" t="str">
        <f>IFERROR(__xludf.DUMMYFUNCTION("""COMPUTED_VALUE"""),"121243")</f>
        <v>121243</v>
      </c>
      <c r="H35" s="17" t="str">
        <f>IFERROR(__xludf.DUMMYFUNCTION("""COMPUTED_VALUE"""),"автомобільні адаптери живлення")</f>
        <v>автомобільні адаптери живлення</v>
      </c>
      <c r="I35" s="19">
        <f>IFERROR(__xludf.DUMMYFUNCTION("""COMPUTED_VALUE"""),0.0534)</f>
        <v>0.0534</v>
      </c>
      <c r="J35" s="19">
        <f>IFERROR(__xludf.DUMMYFUNCTION("""COMPUTED_VALUE"""),0.1067)</f>
        <v>0.1067</v>
      </c>
      <c r="K35" s="19">
        <f>IFERROR(__xludf.DUMMYFUNCTION("""COMPUTED_VALUE"""),0.1334)</f>
        <v>0.1334</v>
      </c>
      <c r="L35" s="19">
        <f>IFERROR(__xludf.DUMMYFUNCTION("""COMPUTED_VALUE"""),0.1601)</f>
        <v>0.1601</v>
      </c>
      <c r="M35" s="18">
        <f>IFERROR(__xludf.DUMMYFUNCTION("""COMPUTED_VALUE"""),1.05)</f>
        <v>1.05</v>
      </c>
    </row>
    <row r="36">
      <c r="A36" s="13" t="str">
        <f>IFERROR(__xludf.DUMMYFUNCTION("""COMPUTED_VALUE"""),"товари")</f>
        <v>товари</v>
      </c>
      <c r="B36" s="16" t="str">
        <f>IFERROR(__xludf.DUMMYFUNCTION("""COMPUTED_VALUE"""),"авто-, мото")</f>
        <v>авто-, мото</v>
      </c>
      <c r="C36" s="16" t="str">
        <f>IFERROR(__xludf.DUMMYFUNCTION("""COMPUTED_VALUE"""),"аксесуари для авто")</f>
        <v>аксесуари для авто</v>
      </c>
      <c r="D36" s="16" t="str">
        <f>IFERROR(__xludf.DUMMYFUNCTION("""COMPUTED_VALUE"""),"аксесуари для автотюнингу")</f>
        <v>аксесуари для автотюнингу</v>
      </c>
      <c r="E36" s="16" t="str">
        <f>IFERROR(__xludf.DUMMYFUNCTION("""COMPUTED_VALUE"""),"автомобільні аеродинамічні обвіси")</f>
        <v>автомобільні аеродинамічні обвіси</v>
      </c>
      <c r="F36" s="17">
        <f>IFERROR(__xludf.DUMMYFUNCTION("""COMPUTED_VALUE"""),4.0)</f>
        <v>4</v>
      </c>
      <c r="G36" s="17" t="str">
        <f>IFERROR(__xludf.DUMMYFUNCTION("""COMPUTED_VALUE"""),"12123201")</f>
        <v>12123201</v>
      </c>
      <c r="H36" s="17" t="str">
        <f>IFERROR(__xludf.DUMMYFUNCTION("""COMPUTED_VALUE"""),"автомобільні аеродинамічні обвіси")</f>
        <v>автомобільні аеродинамічні обвіси</v>
      </c>
      <c r="I36" s="19">
        <f>IFERROR(__xludf.DUMMYFUNCTION("""COMPUTED_VALUE"""),0.0565)</f>
        <v>0.0565</v>
      </c>
      <c r="J36" s="19">
        <f>IFERROR(__xludf.DUMMYFUNCTION("""COMPUTED_VALUE"""),0.113)</f>
        <v>0.113</v>
      </c>
      <c r="K36" s="19">
        <f>IFERROR(__xludf.DUMMYFUNCTION("""COMPUTED_VALUE"""),0.1413)</f>
        <v>0.1413</v>
      </c>
      <c r="L36" s="19">
        <f>IFERROR(__xludf.DUMMYFUNCTION("""COMPUTED_VALUE"""),0.1695)</f>
        <v>0.1695</v>
      </c>
      <c r="M36" s="18">
        <f>IFERROR(__xludf.DUMMYFUNCTION("""COMPUTED_VALUE"""),1.53)</f>
        <v>1.53</v>
      </c>
    </row>
    <row r="37">
      <c r="A37" s="13" t="str">
        <f>IFERROR(__xludf.DUMMYFUNCTION("""COMPUTED_VALUE"""),"товари")</f>
        <v>товари</v>
      </c>
      <c r="B37" s="16" t="str">
        <f>IFERROR(__xludf.DUMMYFUNCTION("""COMPUTED_VALUE"""),"авто-, мото")</f>
        <v>авто-, мото</v>
      </c>
      <c r="C37" s="16" t="str">
        <f>IFERROR(__xludf.DUMMYFUNCTION("""COMPUTED_VALUE"""),"електрообладнання автомобілів")</f>
        <v>електрообладнання автомобілів</v>
      </c>
      <c r="D37" s="16" t="str">
        <f>IFERROR(__xludf.DUMMYFUNCTION("""COMPUTED_VALUE"""),"автомобільні акумулятори")</f>
        <v>автомобільні акумулятори</v>
      </c>
      <c r="E37" s="16" t="str">
        <f>IFERROR(__xludf.DUMMYFUNCTION("""COMPUTED_VALUE"""),"автомобільні акумулятори")</f>
        <v>автомобільні акумулятори</v>
      </c>
      <c r="F37" s="17">
        <f>IFERROR(__xludf.DUMMYFUNCTION("""COMPUTED_VALUE"""),3.0)</f>
        <v>3</v>
      </c>
      <c r="G37" s="17" t="str">
        <f>IFERROR(__xludf.DUMMYFUNCTION("""COMPUTED_VALUE"""),"120201")</f>
        <v>120201</v>
      </c>
      <c r="H37" s="17" t="str">
        <f>IFERROR(__xludf.DUMMYFUNCTION("""COMPUTED_VALUE"""),"автомобільні акумулятори")</f>
        <v>автомобільні акумулятори</v>
      </c>
      <c r="I37" s="19">
        <f>IFERROR(__xludf.DUMMYFUNCTION("""COMPUTED_VALUE"""),0.0485)</f>
        <v>0.0485</v>
      </c>
      <c r="J37" s="19">
        <f>IFERROR(__xludf.DUMMYFUNCTION("""COMPUTED_VALUE"""),0.097)</f>
        <v>0.097</v>
      </c>
      <c r="K37" s="19">
        <f>IFERROR(__xludf.DUMMYFUNCTION("""COMPUTED_VALUE"""),0.1213)</f>
        <v>0.1213</v>
      </c>
      <c r="L37" s="19">
        <f>IFERROR(__xludf.DUMMYFUNCTION("""COMPUTED_VALUE"""),0.1455)</f>
        <v>0.1455</v>
      </c>
      <c r="M37" s="18">
        <f>IFERROR(__xludf.DUMMYFUNCTION("""COMPUTED_VALUE"""),2.61)</f>
        <v>2.61</v>
      </c>
    </row>
    <row r="38">
      <c r="A38" s="13" t="str">
        <f>IFERROR(__xludf.DUMMYFUNCTION("""COMPUTED_VALUE"""),"товари")</f>
        <v>товари</v>
      </c>
      <c r="B38" s="16" t="str">
        <f>IFERROR(__xludf.DUMMYFUNCTION("""COMPUTED_VALUE"""),"авто-, мото")</f>
        <v>авто-, мото</v>
      </c>
      <c r="C38" s="16" t="str">
        <f>IFERROR(__xludf.DUMMYFUNCTION("""COMPUTED_VALUE"""),"автомобільна електроніка")</f>
        <v>автомобільна електроніка</v>
      </c>
      <c r="D38" s="16" t="str">
        <f>IFERROR(__xludf.DUMMYFUNCTION("""COMPUTED_VALUE"""),"автозвук")</f>
        <v>автозвук</v>
      </c>
      <c r="E38" s="16" t="str">
        <f>IFERROR(__xludf.DUMMYFUNCTION("""COMPUTED_VALUE"""),"автомобільні акустичні дроти і перехідники")</f>
        <v>автомобільні акустичні дроти і перехідники</v>
      </c>
      <c r="F38" s="17">
        <f>IFERROR(__xludf.DUMMYFUNCTION("""COMPUTED_VALUE"""),4.0)</f>
        <v>4</v>
      </c>
      <c r="G38" s="17" t="str">
        <f>IFERROR(__xludf.DUMMYFUNCTION("""COMPUTED_VALUE"""),"340431")</f>
        <v>340431</v>
      </c>
      <c r="H38" s="17" t="str">
        <f>IFERROR(__xludf.DUMMYFUNCTION("""COMPUTED_VALUE"""),"автомобільні акустичні дроти і перехідники")</f>
        <v>автомобільні акустичні дроти і перехідники</v>
      </c>
      <c r="I38" s="19">
        <f>IFERROR(__xludf.DUMMYFUNCTION("""COMPUTED_VALUE"""),0.079)</f>
        <v>0.079</v>
      </c>
      <c r="J38" s="19">
        <f>IFERROR(__xludf.DUMMYFUNCTION("""COMPUTED_VALUE"""),0.1579)</f>
        <v>0.1579</v>
      </c>
      <c r="K38" s="19">
        <f>IFERROR(__xludf.DUMMYFUNCTION("""COMPUTED_VALUE"""),0.1974)</f>
        <v>0.1974</v>
      </c>
      <c r="L38" s="19">
        <f>IFERROR(__xludf.DUMMYFUNCTION("""COMPUTED_VALUE"""),0.2369)</f>
        <v>0.2369</v>
      </c>
      <c r="M38" s="18">
        <f>IFERROR(__xludf.DUMMYFUNCTION("""COMPUTED_VALUE"""),2.79)</f>
        <v>2.79</v>
      </c>
    </row>
    <row r="39">
      <c r="A39" s="13" t="str">
        <f>IFERROR(__xludf.DUMMYFUNCTION("""COMPUTED_VALUE"""),"товари")</f>
        <v>товари</v>
      </c>
      <c r="B39" s="16" t="str">
        <f>IFERROR(__xludf.DUMMYFUNCTION("""COMPUTED_VALUE"""),"авто-, мото")</f>
        <v>авто-, мото</v>
      </c>
      <c r="C39" s="16" t="str">
        <f>IFERROR(__xludf.DUMMYFUNCTION("""COMPUTED_VALUE"""),"автомобільна електроніка")</f>
        <v>автомобільна електроніка</v>
      </c>
      <c r="D39" s="16" t="str">
        <f>IFERROR(__xludf.DUMMYFUNCTION("""COMPUTED_VALUE"""),"автомобільні антени")</f>
        <v>автомобільні антени</v>
      </c>
      <c r="E39" s="16" t="str">
        <f>IFERROR(__xludf.DUMMYFUNCTION("""COMPUTED_VALUE"""),"автомобільні антени")</f>
        <v>автомобільні антени</v>
      </c>
      <c r="F39" s="17">
        <f>IFERROR(__xludf.DUMMYFUNCTION("""COMPUTED_VALUE"""),3.0)</f>
        <v>3</v>
      </c>
      <c r="G39" s="17" t="str">
        <f>IFERROR(__xludf.DUMMYFUNCTION("""COMPUTED_VALUE"""),"340409")</f>
        <v>340409</v>
      </c>
      <c r="H39" s="17" t="str">
        <f>IFERROR(__xludf.DUMMYFUNCTION("""COMPUTED_VALUE"""),"автомобільні антени")</f>
        <v>автомобільні антени</v>
      </c>
      <c r="I39" s="19">
        <f>IFERROR(__xludf.DUMMYFUNCTION("""COMPUTED_VALUE"""),0.0783)</f>
        <v>0.0783</v>
      </c>
      <c r="J39" s="19">
        <f>IFERROR(__xludf.DUMMYFUNCTION("""COMPUTED_VALUE"""),0.1566)</f>
        <v>0.1566</v>
      </c>
      <c r="K39" s="19">
        <f>IFERROR(__xludf.DUMMYFUNCTION("""COMPUTED_VALUE"""),0.1958)</f>
        <v>0.1958</v>
      </c>
      <c r="L39" s="19">
        <f>IFERROR(__xludf.DUMMYFUNCTION("""COMPUTED_VALUE"""),0.2349)</f>
        <v>0.2349</v>
      </c>
      <c r="M39" s="18">
        <f>IFERROR(__xludf.DUMMYFUNCTION("""COMPUTED_VALUE"""),1.05)</f>
        <v>1.05</v>
      </c>
    </row>
    <row r="40">
      <c r="A40" s="13" t="str">
        <f>IFERROR(__xludf.DUMMYFUNCTION("""COMPUTED_VALUE"""),"товари")</f>
        <v>товари</v>
      </c>
      <c r="B40" s="16" t="str">
        <f>IFERROR(__xludf.DUMMYFUNCTION("""COMPUTED_VALUE"""),"авто-, мото")</f>
        <v>авто-, мото</v>
      </c>
      <c r="C40" s="16" t="str">
        <f>IFERROR(__xludf.DUMMYFUNCTION("""COMPUTED_VALUE"""),"автомобільна електроніка")</f>
        <v>автомобільна електроніка</v>
      </c>
      <c r="D40" s="16" t="str">
        <f>IFERROR(__xludf.DUMMYFUNCTION("""COMPUTED_VALUE"""),"автомобільні відеореєстратори")</f>
        <v>автомобільні відеореєстратори</v>
      </c>
      <c r="E40" s="16" t="str">
        <f>IFERROR(__xludf.DUMMYFUNCTION("""COMPUTED_VALUE"""),"автомобільні відеореєстратори")</f>
        <v>автомобільні відеореєстратори</v>
      </c>
      <c r="F40" s="17">
        <f>IFERROR(__xludf.DUMMYFUNCTION("""COMPUTED_VALUE"""),3.0)</f>
        <v>3</v>
      </c>
      <c r="G40" s="17" t="str">
        <f>IFERROR(__xludf.DUMMYFUNCTION("""COMPUTED_VALUE"""),"340416")</f>
        <v>340416</v>
      </c>
      <c r="H40" s="17" t="str">
        <f>IFERROR(__xludf.DUMMYFUNCTION("""COMPUTED_VALUE"""),"автомобільні відеореєстратори")</f>
        <v>автомобільні відеореєстратори</v>
      </c>
      <c r="I40" s="19">
        <f>IFERROR(__xludf.DUMMYFUNCTION("""COMPUTED_VALUE"""),0.0762)</f>
        <v>0.0762</v>
      </c>
      <c r="J40" s="19">
        <f>IFERROR(__xludf.DUMMYFUNCTION("""COMPUTED_VALUE"""),0.1523)</f>
        <v>0.1523</v>
      </c>
      <c r="K40" s="19">
        <f>IFERROR(__xludf.DUMMYFUNCTION("""COMPUTED_VALUE"""),0.1904)</f>
        <v>0.1904</v>
      </c>
      <c r="L40" s="19">
        <f>IFERROR(__xludf.DUMMYFUNCTION("""COMPUTED_VALUE"""),0.2285)</f>
        <v>0.2285</v>
      </c>
      <c r="M40" s="18">
        <f>IFERROR(__xludf.DUMMYFUNCTION("""COMPUTED_VALUE"""),3.06)</f>
        <v>3.06</v>
      </c>
    </row>
    <row r="41">
      <c r="A41" s="13" t="str">
        <f>IFERROR(__xludf.DUMMYFUNCTION("""COMPUTED_VALUE"""),"товари")</f>
        <v>товари</v>
      </c>
      <c r="B41" s="16" t="str">
        <f>IFERROR(__xludf.DUMMYFUNCTION("""COMPUTED_VALUE"""),"авто-, мото")</f>
        <v>авто-, мото</v>
      </c>
      <c r="C41" s="16" t="str">
        <f>IFERROR(__xludf.DUMMYFUNCTION("""COMPUTED_VALUE"""),"автомобільна електроніка")</f>
        <v>автомобільна електроніка</v>
      </c>
      <c r="D41" s="16" t="str">
        <f>IFERROR(__xludf.DUMMYFUNCTION("""COMPUTED_VALUE"""),"автомобільні відеосистеми")</f>
        <v>автомобільні відеосистеми</v>
      </c>
      <c r="E41" s="16" t="str">
        <f>IFERROR(__xludf.DUMMYFUNCTION("""COMPUTED_VALUE"""),"автомобільні відеосистеми, загальне")</f>
        <v>автомобільні відеосистеми, загальне</v>
      </c>
      <c r="F41" s="17">
        <f>IFERROR(__xludf.DUMMYFUNCTION("""COMPUTED_VALUE"""),4.0)</f>
        <v>4</v>
      </c>
      <c r="G41" s="17" t="str">
        <f>IFERROR(__xludf.DUMMYFUNCTION("""COMPUTED_VALUE"""),"340418")</f>
        <v>340418</v>
      </c>
      <c r="H41" s="17" t="str">
        <f>IFERROR(__xludf.DUMMYFUNCTION("""COMPUTED_VALUE"""),"автомобільні відеосистеми, загальне")</f>
        <v>автомобільні відеосистеми, загальне</v>
      </c>
      <c r="I41" s="19">
        <f>IFERROR(__xludf.DUMMYFUNCTION("""COMPUTED_VALUE"""),0.125)</f>
        <v>0.125</v>
      </c>
      <c r="J41" s="19">
        <f>IFERROR(__xludf.DUMMYFUNCTION("""COMPUTED_VALUE"""),0.25)</f>
        <v>0.25</v>
      </c>
      <c r="K41" s="19">
        <f>IFERROR(__xludf.DUMMYFUNCTION("""COMPUTED_VALUE"""),0.3125)</f>
        <v>0.3125</v>
      </c>
      <c r="L41" s="19">
        <f>IFERROR(__xludf.DUMMYFUNCTION("""COMPUTED_VALUE"""),0.375)</f>
        <v>0.375</v>
      </c>
      <c r="M41" s="18">
        <f>IFERROR(__xludf.DUMMYFUNCTION("""COMPUTED_VALUE"""),4.33)</f>
        <v>4.33</v>
      </c>
    </row>
    <row r="42">
      <c r="A42" s="13" t="str">
        <f>IFERROR(__xludf.DUMMYFUNCTION("""COMPUTED_VALUE"""),"товари")</f>
        <v>товари</v>
      </c>
      <c r="B42" s="16" t="str">
        <f>IFERROR(__xludf.DUMMYFUNCTION("""COMPUTED_VALUE"""),"авто-, мото")</f>
        <v>авто-, мото</v>
      </c>
      <c r="C42" s="16" t="str">
        <f>IFERROR(__xludf.DUMMYFUNCTION("""COMPUTED_VALUE"""),"аксесуари для авто")</f>
        <v>аксесуари для авто</v>
      </c>
      <c r="D42" s="16" t="str">
        <f>IFERROR(__xludf.DUMMYFUNCTION("""COMPUTED_VALUE"""),"аксесуари салону автомобіля")</f>
        <v>аксесуари салону автомобіля</v>
      </c>
      <c r="E42" s="16" t="str">
        <f>IFERROR(__xludf.DUMMYFUNCTION("""COMPUTED_VALUE"""),"автомобільні вішалки і столики")</f>
        <v>автомобільні вішалки і столики</v>
      </c>
      <c r="F42" s="17">
        <f>IFERROR(__xludf.DUMMYFUNCTION("""COMPUTED_VALUE"""),4.0)</f>
        <v>4</v>
      </c>
      <c r="G42" s="17" t="str">
        <f>IFERROR(__xludf.DUMMYFUNCTION("""COMPUTED_VALUE"""),"121263")</f>
        <v>121263</v>
      </c>
      <c r="H42" s="17" t="str">
        <f>IFERROR(__xludf.DUMMYFUNCTION("""COMPUTED_VALUE"""),"автомобільні вішалки і столики")</f>
        <v>автомобільні вішалки і столики</v>
      </c>
      <c r="I42" s="19">
        <f>IFERROR(__xludf.DUMMYFUNCTION("""COMPUTED_VALUE"""),0.0765)</f>
        <v>0.0765</v>
      </c>
      <c r="J42" s="19">
        <f>IFERROR(__xludf.DUMMYFUNCTION("""COMPUTED_VALUE"""),0.153)</f>
        <v>0.153</v>
      </c>
      <c r="K42" s="19">
        <f>IFERROR(__xludf.DUMMYFUNCTION("""COMPUTED_VALUE"""),0.1913)</f>
        <v>0.1913</v>
      </c>
      <c r="L42" s="19">
        <f>IFERROR(__xludf.DUMMYFUNCTION("""COMPUTED_VALUE"""),0.2295)</f>
        <v>0.2295</v>
      </c>
      <c r="M42" s="18">
        <f>IFERROR(__xludf.DUMMYFUNCTION("""COMPUTED_VALUE"""),2.53)</f>
        <v>2.53</v>
      </c>
    </row>
    <row r="43">
      <c r="A43" s="13" t="str">
        <f>IFERROR(__xludf.DUMMYFUNCTION("""COMPUTED_VALUE"""),"товари")</f>
        <v>товари</v>
      </c>
      <c r="B43" s="16" t="str">
        <f>IFERROR(__xludf.DUMMYFUNCTION("""COMPUTED_VALUE"""),"авто-, мото")</f>
        <v>авто-, мото</v>
      </c>
      <c r="C43" s="16" t="str">
        <f>IFERROR(__xludf.DUMMYFUNCTION("""COMPUTED_VALUE"""),"автозапчастини")</f>
        <v>автозапчастини</v>
      </c>
      <c r="D43" s="16" t="str">
        <f>IFERROR(__xludf.DUMMYFUNCTION("""COMPUTED_VALUE"""),"система охолодження двигуна")</f>
        <v>система охолодження двигуна</v>
      </c>
      <c r="E43" s="16" t="str">
        <f>IFERROR(__xludf.DUMMYFUNCTION("""COMPUTED_VALUE"""),"автомобільні водяні насоси")</f>
        <v>автомобільні водяні насоси</v>
      </c>
      <c r="F43" s="17">
        <f>IFERROR(__xludf.DUMMYFUNCTION("""COMPUTED_VALUE"""),4.0)</f>
        <v>4</v>
      </c>
      <c r="G43" s="17" t="str">
        <f>IFERROR(__xludf.DUMMYFUNCTION("""COMPUTED_VALUE"""),"12020420")</f>
        <v>12020420</v>
      </c>
      <c r="H43" s="17" t="str">
        <f>IFERROR(__xludf.DUMMYFUNCTION("""COMPUTED_VALUE"""),"автомобільні водяні насоси")</f>
        <v>автомобільні водяні насоси</v>
      </c>
      <c r="I43" s="19">
        <f>IFERROR(__xludf.DUMMYFUNCTION("""COMPUTED_VALUE"""),0.0538)</f>
        <v>0.0538</v>
      </c>
      <c r="J43" s="19">
        <f>IFERROR(__xludf.DUMMYFUNCTION("""COMPUTED_VALUE"""),0.1075)</f>
        <v>0.1075</v>
      </c>
      <c r="K43" s="19">
        <f>IFERROR(__xludf.DUMMYFUNCTION("""COMPUTED_VALUE"""),0.1344)</f>
        <v>0.1344</v>
      </c>
      <c r="L43" s="19">
        <f>IFERROR(__xludf.DUMMYFUNCTION("""COMPUTED_VALUE"""),0.1613)</f>
        <v>0.1613</v>
      </c>
      <c r="M43" s="18">
        <f>IFERROR(__xludf.DUMMYFUNCTION("""COMPUTED_VALUE"""),2.08)</f>
        <v>2.08</v>
      </c>
    </row>
    <row r="44">
      <c r="A44" s="13" t="str">
        <f>IFERROR(__xludf.DUMMYFUNCTION("""COMPUTED_VALUE"""),"товари")</f>
        <v>товари</v>
      </c>
      <c r="B44" s="16" t="str">
        <f>IFERROR(__xludf.DUMMYFUNCTION("""COMPUTED_VALUE"""),"авто-, мото")</f>
        <v>авто-, мото</v>
      </c>
      <c r="C44" s="16" t="str">
        <f>IFERROR(__xludf.DUMMYFUNCTION("""COMPUTED_VALUE"""),"автозапчастини")</f>
        <v>автозапчастини</v>
      </c>
      <c r="D44" s="16" t="str">
        <f>IFERROR(__xludf.DUMMYFUNCTION("""COMPUTED_VALUE"""),"деталі ходової")</f>
        <v>деталі ходової</v>
      </c>
      <c r="E44" s="16" t="str">
        <f>IFERROR(__xludf.DUMMYFUNCTION("""COMPUTED_VALUE"""),"автомобільні втулки ")</f>
        <v>автомобільні втулки </v>
      </c>
      <c r="F44" s="17">
        <f>IFERROR(__xludf.DUMMYFUNCTION("""COMPUTED_VALUE"""),4.0)</f>
        <v>4</v>
      </c>
      <c r="G44" s="17" t="str">
        <f>IFERROR(__xludf.DUMMYFUNCTION("""COMPUTED_VALUE"""),"341556")</f>
        <v>341556</v>
      </c>
      <c r="H44" s="17" t="str">
        <f>IFERROR(__xludf.DUMMYFUNCTION("""COMPUTED_VALUE"""),"автомобільні втулки ")</f>
        <v>автомобільні втулки </v>
      </c>
      <c r="I44" s="19">
        <f>IFERROR(__xludf.DUMMYFUNCTION("""COMPUTED_VALUE"""),0.0552)</f>
        <v>0.0552</v>
      </c>
      <c r="J44" s="19">
        <f>IFERROR(__xludf.DUMMYFUNCTION("""COMPUTED_VALUE"""),0.1103)</f>
        <v>0.1103</v>
      </c>
      <c r="K44" s="19">
        <f>IFERROR(__xludf.DUMMYFUNCTION("""COMPUTED_VALUE"""),0.1379)</f>
        <v>0.1379</v>
      </c>
      <c r="L44" s="19">
        <f>IFERROR(__xludf.DUMMYFUNCTION("""COMPUTED_VALUE"""),0.1655)</f>
        <v>0.1655</v>
      </c>
      <c r="M44" s="18">
        <f>IFERROR(__xludf.DUMMYFUNCTION("""COMPUTED_VALUE"""),1.53)</f>
        <v>1.53</v>
      </c>
    </row>
    <row r="45">
      <c r="A45" s="13" t="str">
        <f>IFERROR(__xludf.DUMMYFUNCTION("""COMPUTED_VALUE"""),"товари")</f>
        <v>товари</v>
      </c>
      <c r="B45" s="16" t="str">
        <f>IFERROR(__xludf.DUMMYFUNCTION("""COMPUTED_VALUE"""),"авто-, мото")</f>
        <v>авто-, мото</v>
      </c>
      <c r="C45" s="16" t="str">
        <f>IFERROR(__xludf.DUMMYFUNCTION("""COMPUTED_VALUE"""),"автохімія, автокосметика і автомастила")</f>
        <v>автохімія, автокосметика і автомастила</v>
      </c>
      <c r="D45" s="16" t="str">
        <f>IFERROR(__xludf.DUMMYFUNCTION("""COMPUTED_VALUE"""),"автомобільні герметики, клеї")</f>
        <v>автомобільні герметики, клеї</v>
      </c>
      <c r="E45" s="16" t="str">
        <f>IFERROR(__xludf.DUMMYFUNCTION("""COMPUTED_VALUE"""),"автомобільні герметики, клеї")</f>
        <v>автомобільні герметики, клеї</v>
      </c>
      <c r="F45" s="17">
        <f>IFERROR(__xludf.DUMMYFUNCTION("""COMPUTED_VALUE"""),3.0)</f>
        <v>3</v>
      </c>
      <c r="G45" s="17" t="str">
        <f>IFERROR(__xludf.DUMMYFUNCTION("""COMPUTED_VALUE"""),"341609")</f>
        <v>341609</v>
      </c>
      <c r="H45" s="17" t="str">
        <f>IFERROR(__xludf.DUMMYFUNCTION("""COMPUTED_VALUE"""),"автомобільні герметики, клеї")</f>
        <v>автомобільні герметики, клеї</v>
      </c>
      <c r="I45" s="19">
        <f>IFERROR(__xludf.DUMMYFUNCTION("""COMPUTED_VALUE"""),0.0774)</f>
        <v>0.0774</v>
      </c>
      <c r="J45" s="19">
        <f>IFERROR(__xludf.DUMMYFUNCTION("""COMPUTED_VALUE"""),0.1547)</f>
        <v>0.1547</v>
      </c>
      <c r="K45" s="19">
        <f>IFERROR(__xludf.DUMMYFUNCTION("""COMPUTED_VALUE"""),0.1934)</f>
        <v>0.1934</v>
      </c>
      <c r="L45" s="19">
        <f>IFERROR(__xludf.DUMMYFUNCTION("""COMPUTED_VALUE"""),0.2321)</f>
        <v>0.2321</v>
      </c>
      <c r="M45" s="18">
        <f>IFERROR(__xludf.DUMMYFUNCTION("""COMPUTED_VALUE"""),1.05)</f>
        <v>1.05</v>
      </c>
    </row>
    <row r="46">
      <c r="A46" s="13" t="str">
        <f>IFERROR(__xludf.DUMMYFUNCTION("""COMPUTED_VALUE"""),"товари")</f>
        <v>товари</v>
      </c>
      <c r="B46" s="16" t="str">
        <f>IFERROR(__xludf.DUMMYFUNCTION("""COMPUTED_VALUE"""),"авто-, мото")</f>
        <v>авто-, мото</v>
      </c>
      <c r="C46" s="16" t="str">
        <f>IFERROR(__xludf.DUMMYFUNCTION("""COMPUTED_VALUE"""),"аксесуари для авто")</f>
        <v>аксесуари для авто</v>
      </c>
      <c r="D46" s="16" t="str">
        <f>IFERROR(__xludf.DUMMYFUNCTION("""COMPUTED_VALUE"""),"аксесуари салону автомобіля")</f>
        <v>аксесуари салону автомобіля</v>
      </c>
      <c r="E46" s="16" t="str">
        <f>IFERROR(__xludf.DUMMYFUNCTION("""COMPUTED_VALUE"""),"автомобільні годинники")</f>
        <v>автомобільні годинники</v>
      </c>
      <c r="F46" s="17">
        <f>IFERROR(__xludf.DUMMYFUNCTION("""COMPUTED_VALUE"""),4.0)</f>
        <v>4</v>
      </c>
      <c r="G46" s="17" t="str">
        <f>IFERROR(__xludf.DUMMYFUNCTION("""COMPUTED_VALUE"""),"12126402")</f>
        <v>12126402</v>
      </c>
      <c r="H46" s="17" t="str">
        <f>IFERROR(__xludf.DUMMYFUNCTION("""COMPUTED_VALUE"""),"автомобільні годинники")</f>
        <v>автомобільні годинники</v>
      </c>
      <c r="I46" s="19">
        <f>IFERROR(__xludf.DUMMYFUNCTION("""COMPUTED_VALUE"""),0.0768)</f>
        <v>0.0768</v>
      </c>
      <c r="J46" s="19">
        <f>IFERROR(__xludf.DUMMYFUNCTION("""COMPUTED_VALUE"""),0.1536)</f>
        <v>0.1536</v>
      </c>
      <c r="K46" s="19">
        <f>IFERROR(__xludf.DUMMYFUNCTION("""COMPUTED_VALUE"""),0.192)</f>
        <v>0.192</v>
      </c>
      <c r="L46" s="19">
        <f>IFERROR(__xludf.DUMMYFUNCTION("""COMPUTED_VALUE"""),0.2304)</f>
        <v>0.2304</v>
      </c>
      <c r="M46" s="18">
        <f>IFERROR(__xludf.DUMMYFUNCTION("""COMPUTED_VALUE"""),2.53)</f>
        <v>2.53</v>
      </c>
    </row>
    <row r="47">
      <c r="A47" s="13" t="str">
        <f>IFERROR(__xludf.DUMMYFUNCTION("""COMPUTED_VALUE"""),"товари")</f>
        <v>товари</v>
      </c>
      <c r="B47" s="16" t="str">
        <f>IFERROR(__xludf.DUMMYFUNCTION("""COMPUTED_VALUE"""),"авто-, мото")</f>
        <v>авто-, мото</v>
      </c>
      <c r="C47" s="16" t="str">
        <f>IFERROR(__xludf.DUMMYFUNCTION("""COMPUTED_VALUE"""),"автозапчастини")</f>
        <v>автозапчастини</v>
      </c>
      <c r="D47" s="16" t="str">
        <f>IFERROR(__xludf.DUMMYFUNCTION("""COMPUTED_VALUE"""),"кузовні запчастини")</f>
        <v>кузовні запчастини</v>
      </c>
      <c r="E47" s="16" t="str">
        <f>IFERROR(__xludf.DUMMYFUNCTION("""COMPUTED_VALUE"""),"автомобільні дахи")</f>
        <v>автомобільні дахи</v>
      </c>
      <c r="F47" s="17">
        <f>IFERROR(__xludf.DUMMYFUNCTION("""COMPUTED_VALUE"""),4.0)</f>
        <v>4</v>
      </c>
      <c r="G47" s="17" t="str">
        <f>IFERROR(__xludf.DUMMYFUNCTION("""COMPUTED_VALUE"""),"341594")</f>
        <v>341594</v>
      </c>
      <c r="H47" s="17" t="str">
        <f>IFERROR(__xludf.DUMMYFUNCTION("""COMPUTED_VALUE"""),"автомобільні дахи")</f>
        <v>автомобільні дахи</v>
      </c>
      <c r="I47" s="19">
        <f>IFERROR(__xludf.DUMMYFUNCTION("""COMPUTED_VALUE"""),0.0651)</f>
        <v>0.0651</v>
      </c>
      <c r="J47" s="19">
        <f>IFERROR(__xludf.DUMMYFUNCTION("""COMPUTED_VALUE"""),0.1302)</f>
        <v>0.1302</v>
      </c>
      <c r="K47" s="19">
        <f>IFERROR(__xludf.DUMMYFUNCTION("""COMPUTED_VALUE"""),0.1628)</f>
        <v>0.1628</v>
      </c>
      <c r="L47" s="19">
        <f>IFERROR(__xludf.DUMMYFUNCTION("""COMPUTED_VALUE"""),0.1953)</f>
        <v>0.1953</v>
      </c>
      <c r="M47" s="18">
        <f>IFERROR(__xludf.DUMMYFUNCTION("""COMPUTED_VALUE"""),1.53)</f>
        <v>1.53</v>
      </c>
    </row>
    <row r="48">
      <c r="A48" s="13" t="str">
        <f>IFERROR(__xludf.DUMMYFUNCTION("""COMPUTED_VALUE"""),"товари")</f>
        <v>товари</v>
      </c>
      <c r="B48" s="16" t="str">
        <f>IFERROR(__xludf.DUMMYFUNCTION("""COMPUTED_VALUE"""),"авто-, мото")</f>
        <v>авто-, мото</v>
      </c>
      <c r="C48" s="16" t="str">
        <f>IFERROR(__xludf.DUMMYFUNCTION("""COMPUTED_VALUE"""),"автозапчастини")</f>
        <v>автозапчастини</v>
      </c>
      <c r="D48" s="16" t="str">
        <f>IFERROR(__xludf.DUMMYFUNCTION("""COMPUTED_VALUE"""),"кузовні запчастини")</f>
        <v>кузовні запчастини</v>
      </c>
      <c r="E48" s="16" t="str">
        <f>IFERROR(__xludf.DUMMYFUNCTION("""COMPUTED_VALUE"""),"автомобільні двері")</f>
        <v>автомобільні двері</v>
      </c>
      <c r="F48" s="17">
        <f>IFERROR(__xludf.DUMMYFUNCTION("""COMPUTED_VALUE"""),4.0)</f>
        <v>4</v>
      </c>
      <c r="G48" s="17" t="str">
        <f>IFERROR(__xludf.DUMMYFUNCTION("""COMPUTED_VALUE"""),"341532")</f>
        <v>341532</v>
      </c>
      <c r="H48" s="17" t="str">
        <f>IFERROR(__xludf.DUMMYFUNCTION("""COMPUTED_VALUE"""),"автомобільні двері")</f>
        <v>автомобільні двері</v>
      </c>
      <c r="I48" s="19">
        <f>IFERROR(__xludf.DUMMYFUNCTION("""COMPUTED_VALUE"""),0.0545)</f>
        <v>0.0545</v>
      </c>
      <c r="J48" s="19">
        <f>IFERROR(__xludf.DUMMYFUNCTION("""COMPUTED_VALUE"""),0.109)</f>
        <v>0.109</v>
      </c>
      <c r="K48" s="19">
        <f>IFERROR(__xludf.DUMMYFUNCTION("""COMPUTED_VALUE"""),0.1363)</f>
        <v>0.1363</v>
      </c>
      <c r="L48" s="19">
        <f>IFERROR(__xludf.DUMMYFUNCTION("""COMPUTED_VALUE"""),0.1635)</f>
        <v>0.1635</v>
      </c>
      <c r="M48" s="18">
        <f>IFERROR(__xludf.DUMMYFUNCTION("""COMPUTED_VALUE"""),1.53)</f>
        <v>1.53</v>
      </c>
    </row>
    <row r="49">
      <c r="A49" s="13" t="str">
        <f>IFERROR(__xludf.DUMMYFUNCTION("""COMPUTED_VALUE"""),"товари")</f>
        <v>товари</v>
      </c>
      <c r="B49" s="16" t="str">
        <f>IFERROR(__xludf.DUMMYFUNCTION("""COMPUTED_VALUE"""),"авто-, мото")</f>
        <v>авто-, мото</v>
      </c>
      <c r="C49" s="16" t="str">
        <f>IFERROR(__xludf.DUMMYFUNCTION("""COMPUTED_VALUE"""),"автозапчастини")</f>
        <v>автозапчастини</v>
      </c>
      <c r="D49" s="16" t="str">
        <f>IFERROR(__xludf.DUMMYFUNCTION("""COMPUTED_VALUE"""),"кузовні запчастини")</f>
        <v>кузовні запчастини</v>
      </c>
      <c r="E49" s="16" t="str">
        <f>IFERROR(__xludf.DUMMYFUNCTION("""COMPUTED_VALUE"""),"автомобільні дверні ручки")</f>
        <v>автомобільні дверні ручки</v>
      </c>
      <c r="F49" s="17">
        <f>IFERROR(__xludf.DUMMYFUNCTION("""COMPUTED_VALUE"""),4.0)</f>
        <v>4</v>
      </c>
      <c r="G49" s="17" t="str">
        <f>IFERROR(__xludf.DUMMYFUNCTION("""COMPUTED_VALUE"""),"341549")</f>
        <v>341549</v>
      </c>
      <c r="H49" s="17" t="str">
        <f>IFERROR(__xludf.DUMMYFUNCTION("""COMPUTED_VALUE"""),"автомобільні дверні ручки")</f>
        <v>автомобільні дверні ручки</v>
      </c>
      <c r="I49" s="19">
        <f>IFERROR(__xludf.DUMMYFUNCTION("""COMPUTED_VALUE"""),0.0697)</f>
        <v>0.0697</v>
      </c>
      <c r="J49" s="19">
        <f>IFERROR(__xludf.DUMMYFUNCTION("""COMPUTED_VALUE"""),0.1394)</f>
        <v>0.1394</v>
      </c>
      <c r="K49" s="19">
        <f>IFERROR(__xludf.DUMMYFUNCTION("""COMPUTED_VALUE"""),0.1743)</f>
        <v>0.1743</v>
      </c>
      <c r="L49" s="19">
        <f>IFERROR(__xludf.DUMMYFUNCTION("""COMPUTED_VALUE"""),0.2091)</f>
        <v>0.2091</v>
      </c>
      <c r="M49" s="18">
        <f>IFERROR(__xludf.DUMMYFUNCTION("""COMPUTED_VALUE"""),1.53)</f>
        <v>1.53</v>
      </c>
    </row>
    <row r="50">
      <c r="A50" s="13" t="str">
        <f>IFERROR(__xludf.DUMMYFUNCTION("""COMPUTED_VALUE"""),"товари")</f>
        <v>товари</v>
      </c>
      <c r="B50" s="16" t="str">
        <f>IFERROR(__xludf.DUMMYFUNCTION("""COMPUTED_VALUE"""),"авто-, мото")</f>
        <v>авто-, мото</v>
      </c>
      <c r="C50" s="16" t="str">
        <f>IFERROR(__xludf.DUMMYFUNCTION("""COMPUTED_VALUE"""),"аксесуари для авто")</f>
        <v>аксесуари для авто</v>
      </c>
      <c r="D50" s="16" t="str">
        <f>IFERROR(__xludf.DUMMYFUNCTION("""COMPUTED_VALUE"""),"аксесуари для автотюнингу")</f>
        <v>аксесуари для автотюнингу</v>
      </c>
      <c r="E50" s="16" t="str">
        <f>IFERROR(__xludf.DUMMYFUNCTION("""COMPUTED_VALUE"""),"автомобільні декоративні накладки")</f>
        <v>автомобільні декоративні накладки</v>
      </c>
      <c r="F50" s="17">
        <f>IFERROR(__xludf.DUMMYFUNCTION("""COMPUTED_VALUE"""),4.0)</f>
        <v>4</v>
      </c>
      <c r="G50" s="17" t="str">
        <f>IFERROR(__xludf.DUMMYFUNCTION("""COMPUTED_VALUE"""),"12123206")</f>
        <v>12123206</v>
      </c>
      <c r="H50" s="17" t="str">
        <f>IFERROR(__xludf.DUMMYFUNCTION("""COMPUTED_VALUE"""),"автомобільні декоративні накладки")</f>
        <v>автомобільні декоративні накладки</v>
      </c>
      <c r="I50" s="19">
        <f>IFERROR(__xludf.DUMMYFUNCTION("""COMPUTED_VALUE"""),0.0774)</f>
        <v>0.0774</v>
      </c>
      <c r="J50" s="19">
        <f>IFERROR(__xludf.DUMMYFUNCTION("""COMPUTED_VALUE"""),0.1548)</f>
        <v>0.1548</v>
      </c>
      <c r="K50" s="19">
        <f>IFERROR(__xludf.DUMMYFUNCTION("""COMPUTED_VALUE"""),0.1935)</f>
        <v>0.1935</v>
      </c>
      <c r="L50" s="19">
        <f>IFERROR(__xludf.DUMMYFUNCTION("""COMPUTED_VALUE"""),0.2322)</f>
        <v>0.2322</v>
      </c>
      <c r="M50" s="18">
        <f>IFERROR(__xludf.DUMMYFUNCTION("""COMPUTED_VALUE"""),1.53)</f>
        <v>1.53</v>
      </c>
    </row>
    <row r="51">
      <c r="A51" s="13" t="str">
        <f>IFERROR(__xludf.DUMMYFUNCTION("""COMPUTED_VALUE"""),"товари")</f>
        <v>товари</v>
      </c>
      <c r="B51" s="16" t="str">
        <f>IFERROR(__xludf.DUMMYFUNCTION("""COMPUTED_VALUE"""),"авто-, мото")</f>
        <v>авто-, мото</v>
      </c>
      <c r="C51" s="16" t="str">
        <f>IFERROR(__xludf.DUMMYFUNCTION("""COMPUTED_VALUE"""),"аксесуари для авто")</f>
        <v>аксесуари для авто</v>
      </c>
      <c r="D51" s="16" t="str">
        <f>IFERROR(__xludf.DUMMYFUNCTION("""COMPUTED_VALUE"""),"аксесуари для кузова автомобіля")</f>
        <v>аксесуари для кузова автомобіля</v>
      </c>
      <c r="E51" s="16" t="str">
        <f>IFERROR(__xludf.DUMMYFUNCTION("""COMPUTED_VALUE"""),"автомобільні дефлектори")</f>
        <v>автомобільні дефлектори</v>
      </c>
      <c r="F51" s="17">
        <f>IFERROR(__xludf.DUMMYFUNCTION("""COMPUTED_VALUE"""),4.0)</f>
        <v>4</v>
      </c>
      <c r="G51" s="17" t="str">
        <f>IFERROR(__xludf.DUMMYFUNCTION("""COMPUTED_VALUE"""),"121203")</f>
        <v>121203</v>
      </c>
      <c r="H51" s="17" t="str">
        <f>IFERROR(__xludf.DUMMYFUNCTION("""COMPUTED_VALUE"""),"автомобільні дефлектори")</f>
        <v>автомобільні дефлектори</v>
      </c>
      <c r="I51" s="19">
        <f>IFERROR(__xludf.DUMMYFUNCTION("""COMPUTED_VALUE"""),0.058)</f>
        <v>0.058</v>
      </c>
      <c r="J51" s="19">
        <f>IFERROR(__xludf.DUMMYFUNCTION("""COMPUTED_VALUE"""),0.116)</f>
        <v>0.116</v>
      </c>
      <c r="K51" s="19">
        <f>IFERROR(__xludf.DUMMYFUNCTION("""COMPUTED_VALUE"""),0.145)</f>
        <v>0.145</v>
      </c>
      <c r="L51" s="19">
        <f>IFERROR(__xludf.DUMMYFUNCTION("""COMPUTED_VALUE"""),0.174)</f>
        <v>0.174</v>
      </c>
      <c r="M51" s="18">
        <f>IFERROR(__xludf.DUMMYFUNCTION("""COMPUTED_VALUE"""),1.63)</f>
        <v>1.63</v>
      </c>
    </row>
    <row r="52">
      <c r="A52" s="13" t="str">
        <f>IFERROR(__xludf.DUMMYFUNCTION("""COMPUTED_VALUE"""),"товари")</f>
        <v>товари</v>
      </c>
      <c r="B52" s="16" t="str">
        <f>IFERROR(__xludf.DUMMYFUNCTION("""COMPUTED_VALUE"""),"авто-, мото")</f>
        <v>авто-, мото</v>
      </c>
      <c r="C52" s="16" t="str">
        <f>IFERROR(__xludf.DUMMYFUNCTION("""COMPUTED_VALUE"""),"диски і шини")</f>
        <v>диски і шини</v>
      </c>
      <c r="D52" s="16" t="str">
        <f>IFERROR(__xludf.DUMMYFUNCTION("""COMPUTED_VALUE"""),"автомобільні диски та шини, загальне")</f>
        <v>автомобільні диски та шини, загальне</v>
      </c>
      <c r="E52" s="16" t="str">
        <f>IFERROR(__xludf.DUMMYFUNCTION("""COMPUTED_VALUE"""),"автомобільні диски та шини, загальне")</f>
        <v>автомобільні диски та шини, загальне</v>
      </c>
      <c r="F52" s="17">
        <f>IFERROR(__xludf.DUMMYFUNCTION("""COMPUTED_VALUE"""),3.0)</f>
        <v>3</v>
      </c>
      <c r="G52" s="17" t="str">
        <f>IFERROR(__xludf.DUMMYFUNCTION("""COMPUTED_VALUE"""),"80120210")</f>
        <v>80120210</v>
      </c>
      <c r="H52" s="17" t="str">
        <f>IFERROR(__xludf.DUMMYFUNCTION("""COMPUTED_VALUE"""),"автомобільні диски та шини, загальне")</f>
        <v>автомобільні диски та шини, загальне</v>
      </c>
      <c r="I52" s="19">
        <f>IFERROR(__xludf.DUMMYFUNCTION("""COMPUTED_VALUE"""),0.125)</f>
        <v>0.125</v>
      </c>
      <c r="J52" s="19">
        <f>IFERROR(__xludf.DUMMYFUNCTION("""COMPUTED_VALUE"""),0.25)</f>
        <v>0.25</v>
      </c>
      <c r="K52" s="19">
        <f>IFERROR(__xludf.DUMMYFUNCTION("""COMPUTED_VALUE"""),0.3125)</f>
        <v>0.3125</v>
      </c>
      <c r="L52" s="19">
        <f>IFERROR(__xludf.DUMMYFUNCTION("""COMPUTED_VALUE"""),0.375)</f>
        <v>0.375</v>
      </c>
      <c r="M52" s="18">
        <f>IFERROR(__xludf.DUMMYFUNCTION("""COMPUTED_VALUE"""),4.33)</f>
        <v>4.33</v>
      </c>
    </row>
    <row r="53">
      <c r="A53" s="13" t="str">
        <f>IFERROR(__xludf.DUMMYFUNCTION("""COMPUTED_VALUE"""),"товари")</f>
        <v>товари</v>
      </c>
      <c r="B53" s="16" t="str">
        <f>IFERROR(__xludf.DUMMYFUNCTION("""COMPUTED_VALUE"""),"авто-, мото")</f>
        <v>авто-, мото</v>
      </c>
      <c r="C53" s="16" t="str">
        <f>IFERROR(__xludf.DUMMYFUNCTION("""COMPUTED_VALUE"""),"автозапчастини")</f>
        <v>автозапчастини</v>
      </c>
      <c r="D53" s="16" t="str">
        <f>IFERROR(__xludf.DUMMYFUNCTION("""COMPUTED_VALUE"""),"система охолодження двигуна")</f>
        <v>система охолодження двигуна</v>
      </c>
      <c r="E53" s="16" t="str">
        <f>IFERROR(__xludf.DUMMYFUNCTION("""COMPUTED_VALUE"""),"автомобільні дифузори і вентилятори")</f>
        <v>автомобільні дифузори і вентилятори</v>
      </c>
      <c r="F53" s="17">
        <f>IFERROR(__xludf.DUMMYFUNCTION("""COMPUTED_VALUE"""),4.0)</f>
        <v>4</v>
      </c>
      <c r="G53" s="17" t="str">
        <f>IFERROR(__xludf.DUMMYFUNCTION("""COMPUTED_VALUE"""),"341540")</f>
        <v>341540</v>
      </c>
      <c r="H53" s="17" t="str">
        <f>IFERROR(__xludf.DUMMYFUNCTION("""COMPUTED_VALUE"""),"автомобільні дифузори і вентилятори")</f>
        <v>автомобільні дифузори і вентилятори</v>
      </c>
      <c r="I53" s="19">
        <f>IFERROR(__xludf.DUMMYFUNCTION("""COMPUTED_VALUE"""),0.0512)</f>
        <v>0.0512</v>
      </c>
      <c r="J53" s="19">
        <f>IFERROR(__xludf.DUMMYFUNCTION("""COMPUTED_VALUE"""),0.1023)</f>
        <v>0.1023</v>
      </c>
      <c r="K53" s="19">
        <f>IFERROR(__xludf.DUMMYFUNCTION("""COMPUTED_VALUE"""),0.1279)</f>
        <v>0.1279</v>
      </c>
      <c r="L53" s="19">
        <f>IFERROR(__xludf.DUMMYFUNCTION("""COMPUTED_VALUE"""),0.1535)</f>
        <v>0.1535</v>
      </c>
      <c r="M53" s="18">
        <f>IFERROR(__xludf.DUMMYFUNCTION("""COMPUTED_VALUE"""),2.08)</f>
        <v>2.08</v>
      </c>
    </row>
    <row r="54">
      <c r="A54" s="13" t="str">
        <f>IFERROR(__xludf.DUMMYFUNCTION("""COMPUTED_VALUE"""),"товари")</f>
        <v>товари</v>
      </c>
      <c r="B54" s="16" t="str">
        <f>IFERROR(__xludf.DUMMYFUNCTION("""COMPUTED_VALUE"""),"авто-, мото")</f>
        <v>авто-, мото</v>
      </c>
      <c r="C54" s="16" t="str">
        <f>IFERROR(__xludf.DUMMYFUNCTION("""COMPUTED_VALUE"""),"автоінструмент")</f>
        <v>автоінструмент</v>
      </c>
      <c r="D54" s="16" t="str">
        <f>IFERROR(__xludf.DUMMYFUNCTION("""COMPUTED_VALUE"""),"автомобільні домкрати, підставки")</f>
        <v>автомобільні домкрати, підставки</v>
      </c>
      <c r="E54" s="16" t="str">
        <f>IFERROR(__xludf.DUMMYFUNCTION("""COMPUTED_VALUE"""),"автомобільні домкрати, підставки")</f>
        <v>автомобільні домкрати, підставки</v>
      </c>
      <c r="F54" s="17">
        <f>IFERROR(__xludf.DUMMYFUNCTION("""COMPUTED_VALUE"""),3.0)</f>
        <v>3</v>
      </c>
      <c r="G54" s="17" t="str">
        <f>IFERROR(__xludf.DUMMYFUNCTION("""COMPUTED_VALUE"""),"12110201")</f>
        <v>12110201</v>
      </c>
      <c r="H54" s="17" t="str">
        <f>IFERROR(__xludf.DUMMYFUNCTION("""COMPUTED_VALUE"""),"автомобільні домкрати, підставки")</f>
        <v>автомобільні домкрати, підставки</v>
      </c>
      <c r="I54" s="19">
        <f>IFERROR(__xludf.DUMMYFUNCTION("""COMPUTED_VALUE"""),0.0735)</f>
        <v>0.0735</v>
      </c>
      <c r="J54" s="19">
        <f>IFERROR(__xludf.DUMMYFUNCTION("""COMPUTED_VALUE"""),0.1469)</f>
        <v>0.1469</v>
      </c>
      <c r="K54" s="19">
        <f>IFERROR(__xludf.DUMMYFUNCTION("""COMPUTED_VALUE"""),0.1836)</f>
        <v>0.1836</v>
      </c>
      <c r="L54" s="19">
        <f>IFERROR(__xludf.DUMMYFUNCTION("""COMPUTED_VALUE"""),0.2204)</f>
        <v>0.2204</v>
      </c>
      <c r="M54" s="18">
        <f>IFERROR(__xludf.DUMMYFUNCTION("""COMPUTED_VALUE"""),3.88)</f>
        <v>3.88</v>
      </c>
    </row>
    <row r="55">
      <c r="A55" s="13" t="str">
        <f>IFERROR(__xludf.DUMMYFUNCTION("""COMPUTED_VALUE"""),"товари")</f>
        <v>товари</v>
      </c>
      <c r="B55" s="16" t="str">
        <f>IFERROR(__xludf.DUMMYFUNCTION("""COMPUTED_VALUE"""),"авто-, мото")</f>
        <v>авто-, мото</v>
      </c>
      <c r="C55" s="16" t="str">
        <f>IFERROR(__xludf.DUMMYFUNCTION("""COMPUTED_VALUE"""),"автозапчастини")</f>
        <v>автозапчастини</v>
      </c>
      <c r="D55" s="16" t="str">
        <f>IFERROR(__xludf.DUMMYFUNCTION("""COMPUTED_VALUE"""),"система запалювання двигуна")</f>
        <v>система запалювання двигуна</v>
      </c>
      <c r="E55" s="16" t="str">
        <f>IFERROR(__xludf.DUMMYFUNCTION("""COMPUTED_VALUE"""),"автомобільні дроти запалювання")</f>
        <v>автомобільні дроти запалювання</v>
      </c>
      <c r="F55" s="17">
        <f>IFERROR(__xludf.DUMMYFUNCTION("""COMPUTED_VALUE"""),4.0)</f>
        <v>4</v>
      </c>
      <c r="G55" s="17" t="str">
        <f>IFERROR(__xludf.DUMMYFUNCTION("""COMPUTED_VALUE"""),"12020504")</f>
        <v>12020504</v>
      </c>
      <c r="H55" s="17" t="str">
        <f>IFERROR(__xludf.DUMMYFUNCTION("""COMPUTED_VALUE"""),"автомобільні дроти запалювання")</f>
        <v>автомобільні дроти запалювання</v>
      </c>
      <c r="I55" s="19">
        <f>IFERROR(__xludf.DUMMYFUNCTION("""COMPUTED_VALUE"""),0.0544)</f>
        <v>0.0544</v>
      </c>
      <c r="J55" s="19">
        <f>IFERROR(__xludf.DUMMYFUNCTION("""COMPUTED_VALUE"""),0.1088)</f>
        <v>0.1088</v>
      </c>
      <c r="K55" s="19">
        <f>IFERROR(__xludf.DUMMYFUNCTION("""COMPUTED_VALUE"""),0.136)</f>
        <v>0.136</v>
      </c>
      <c r="L55" s="19">
        <f>IFERROR(__xludf.DUMMYFUNCTION("""COMPUTED_VALUE"""),0.1632)</f>
        <v>0.1632</v>
      </c>
      <c r="M55" s="18">
        <f>IFERROR(__xludf.DUMMYFUNCTION("""COMPUTED_VALUE"""),1.71)</f>
        <v>1.71</v>
      </c>
    </row>
    <row r="56">
      <c r="A56" s="13" t="str">
        <f>IFERROR(__xludf.DUMMYFUNCTION("""COMPUTED_VALUE"""),"товари")</f>
        <v>товари</v>
      </c>
      <c r="B56" s="16" t="str">
        <f>IFERROR(__xludf.DUMMYFUNCTION("""COMPUTED_VALUE"""),"авто-, мото")</f>
        <v>авто-, мото</v>
      </c>
      <c r="C56" s="16" t="str">
        <f>IFERROR(__xludf.DUMMYFUNCTION("""COMPUTED_VALUE"""),"електрообладнання автомобілів")</f>
        <v>електрообладнання автомобілів</v>
      </c>
      <c r="D56" s="16" t="str">
        <f>IFERROR(__xludf.DUMMYFUNCTION("""COMPUTED_VALUE"""),"автомобільні електродвигуни, коректори і приводи")</f>
        <v>автомобільні електродвигуни, коректори і приводи</v>
      </c>
      <c r="E56" s="16" t="str">
        <f>IFERROR(__xludf.DUMMYFUNCTION("""COMPUTED_VALUE"""),"автомобільні електродвигуни, коректори і приводи")</f>
        <v>автомобільні електродвигуни, коректори і приводи</v>
      </c>
      <c r="F56" s="17">
        <f>IFERROR(__xludf.DUMMYFUNCTION("""COMPUTED_VALUE"""),3.0)</f>
        <v>3</v>
      </c>
      <c r="G56" s="17" t="str">
        <f>IFERROR(__xludf.DUMMYFUNCTION("""COMPUTED_VALUE"""),"12020303")</f>
        <v>12020303</v>
      </c>
      <c r="H56" s="17" t="str">
        <f>IFERROR(__xludf.DUMMYFUNCTION("""COMPUTED_VALUE"""),"автомобільні електродвигуни, коректори і приводи")</f>
        <v>автомобільні електродвигуни, коректори і приводи</v>
      </c>
      <c r="I56" s="19">
        <f>IFERROR(__xludf.DUMMYFUNCTION("""COMPUTED_VALUE"""),0.055)</f>
        <v>0.055</v>
      </c>
      <c r="J56" s="19">
        <f>IFERROR(__xludf.DUMMYFUNCTION("""COMPUTED_VALUE"""),0.11)</f>
        <v>0.11</v>
      </c>
      <c r="K56" s="19">
        <f>IFERROR(__xludf.DUMMYFUNCTION("""COMPUTED_VALUE"""),0.1375)</f>
        <v>0.1375</v>
      </c>
      <c r="L56" s="19">
        <f>IFERROR(__xludf.DUMMYFUNCTION("""COMPUTED_VALUE"""),0.165)</f>
        <v>0.165</v>
      </c>
      <c r="M56" s="18">
        <f>IFERROR(__xludf.DUMMYFUNCTION("""COMPUTED_VALUE"""),1.05)</f>
        <v>1.05</v>
      </c>
    </row>
    <row r="57">
      <c r="A57" s="13" t="str">
        <f>IFERROR(__xludf.DUMMYFUNCTION("""COMPUTED_VALUE"""),"товари")</f>
        <v>товари</v>
      </c>
      <c r="B57" s="16" t="str">
        <f>IFERROR(__xludf.DUMMYFUNCTION("""COMPUTED_VALUE"""),"авто-, мото")</f>
        <v>авто-, мото</v>
      </c>
      <c r="C57" s="16" t="str">
        <f>IFERROR(__xludf.DUMMYFUNCTION("""COMPUTED_VALUE"""),"аксесуари для авто")</f>
        <v>аксесуари для авто</v>
      </c>
      <c r="D57" s="16" t="str">
        <f>IFERROR(__xludf.DUMMYFUNCTION("""COMPUTED_VALUE"""),"автомобільні електронні аксесуари")</f>
        <v>автомобільні електронні аксесуари</v>
      </c>
      <c r="E57" s="16" t="str">
        <f>IFERROR(__xludf.DUMMYFUNCTION("""COMPUTED_VALUE"""),"автомобільні електронні аксесуари, загальне")</f>
        <v>автомобільні електронні аксесуари, загальне</v>
      </c>
      <c r="F57" s="17">
        <f>IFERROR(__xludf.DUMMYFUNCTION("""COMPUTED_VALUE"""),4.0)</f>
        <v>4</v>
      </c>
      <c r="G57" s="17" t="str">
        <f>IFERROR(__xludf.DUMMYFUNCTION("""COMPUTED_VALUE"""),"12125901")</f>
        <v>12125901</v>
      </c>
      <c r="H57" s="17" t="str">
        <f>IFERROR(__xludf.DUMMYFUNCTION("""COMPUTED_VALUE"""),"автомобільні електронні аксесуари, загальне")</f>
        <v>автомобільні електронні аксесуари, загальне</v>
      </c>
      <c r="I57" s="19">
        <f>IFERROR(__xludf.DUMMYFUNCTION("""COMPUTED_VALUE"""),0.125)</f>
        <v>0.125</v>
      </c>
      <c r="J57" s="19">
        <f>IFERROR(__xludf.DUMMYFUNCTION("""COMPUTED_VALUE"""),0.25)</f>
        <v>0.25</v>
      </c>
      <c r="K57" s="19">
        <f>IFERROR(__xludf.DUMMYFUNCTION("""COMPUTED_VALUE"""),0.3125)</f>
        <v>0.3125</v>
      </c>
      <c r="L57" s="19">
        <f>IFERROR(__xludf.DUMMYFUNCTION("""COMPUTED_VALUE"""),0.375)</f>
        <v>0.375</v>
      </c>
      <c r="M57" s="18">
        <f>IFERROR(__xludf.DUMMYFUNCTION("""COMPUTED_VALUE"""),4.33)</f>
        <v>4.33</v>
      </c>
    </row>
    <row r="58">
      <c r="A58" s="13" t="str">
        <f>IFERROR(__xludf.DUMMYFUNCTION("""COMPUTED_VALUE"""),"товари")</f>
        <v>товари</v>
      </c>
      <c r="B58" s="16" t="str">
        <f>IFERROR(__xludf.DUMMYFUNCTION("""COMPUTED_VALUE"""),"авто-, мото")</f>
        <v>авто-, мото</v>
      </c>
      <c r="C58" s="16" t="str">
        <f>IFERROR(__xludf.DUMMYFUNCTION("""COMPUTED_VALUE"""),"автозапчастини")</f>
        <v>автозапчастини</v>
      </c>
      <c r="D58" s="16" t="str">
        <f>IFERROR(__xludf.DUMMYFUNCTION("""COMPUTED_VALUE"""),"кузовні запчастини")</f>
        <v>кузовні запчастини</v>
      </c>
      <c r="E58" s="16" t="str">
        <f>IFERROR(__xludf.DUMMYFUNCTION("""COMPUTED_VALUE"""),"автомобільні емблеми")</f>
        <v>автомобільні емблеми</v>
      </c>
      <c r="F58" s="17">
        <f>IFERROR(__xludf.DUMMYFUNCTION("""COMPUTED_VALUE"""),4.0)</f>
        <v>4</v>
      </c>
      <c r="G58" s="17" t="str">
        <f>IFERROR(__xludf.DUMMYFUNCTION("""COMPUTED_VALUE"""),"120235")</f>
        <v>120235</v>
      </c>
      <c r="H58" s="17" t="str">
        <f>IFERROR(__xludf.DUMMYFUNCTION("""COMPUTED_VALUE"""),"автомобільні емблеми")</f>
        <v>автомобільні емблеми</v>
      </c>
      <c r="I58" s="19">
        <f>IFERROR(__xludf.DUMMYFUNCTION("""COMPUTED_VALUE"""),0.0699)</f>
        <v>0.0699</v>
      </c>
      <c r="J58" s="19">
        <f>IFERROR(__xludf.DUMMYFUNCTION("""COMPUTED_VALUE"""),0.1398)</f>
        <v>0.1398</v>
      </c>
      <c r="K58" s="19">
        <f>IFERROR(__xludf.DUMMYFUNCTION("""COMPUTED_VALUE"""),0.1748)</f>
        <v>0.1748</v>
      </c>
      <c r="L58" s="19">
        <f>IFERROR(__xludf.DUMMYFUNCTION("""COMPUTED_VALUE"""),0.2097)</f>
        <v>0.2097</v>
      </c>
      <c r="M58" s="18">
        <f>IFERROR(__xludf.DUMMYFUNCTION("""COMPUTED_VALUE"""),1.53)</f>
        <v>1.53</v>
      </c>
    </row>
    <row r="59">
      <c r="A59" s="13" t="str">
        <f>IFERROR(__xludf.DUMMYFUNCTION("""COMPUTED_VALUE"""),"товари")</f>
        <v>товари</v>
      </c>
      <c r="B59" s="16" t="str">
        <f>IFERROR(__xludf.DUMMYFUNCTION("""COMPUTED_VALUE"""),"авто-, мото")</f>
        <v>авто-, мото</v>
      </c>
      <c r="C59" s="16" t="str">
        <f>IFERROR(__xludf.DUMMYFUNCTION("""COMPUTED_VALUE"""),"автозапчастини")</f>
        <v>автозапчастини</v>
      </c>
      <c r="D59" s="16" t="str">
        <f>IFERROR(__xludf.DUMMYFUNCTION("""COMPUTED_VALUE"""),"кузовні запчастини")</f>
        <v>кузовні запчастини</v>
      </c>
      <c r="E59" s="16" t="str">
        <f>IFERROR(__xludf.DUMMYFUNCTION("""COMPUTED_VALUE"""),"автомобільні замки і ключі")</f>
        <v>автомобільні замки і ключі</v>
      </c>
      <c r="F59" s="17">
        <f>IFERROR(__xludf.DUMMYFUNCTION("""COMPUTED_VALUE"""),4.0)</f>
        <v>4</v>
      </c>
      <c r="G59" s="17" t="str">
        <f>IFERROR(__xludf.DUMMYFUNCTION("""COMPUTED_VALUE"""),"341550")</f>
        <v>341550</v>
      </c>
      <c r="H59" s="17" t="str">
        <f>IFERROR(__xludf.DUMMYFUNCTION("""COMPUTED_VALUE"""),"автомобільні замки і ключі")</f>
        <v>автомобільні замки і ключі</v>
      </c>
      <c r="I59" s="19">
        <f>IFERROR(__xludf.DUMMYFUNCTION("""COMPUTED_VALUE"""),0.0702)</f>
        <v>0.0702</v>
      </c>
      <c r="J59" s="19">
        <f>IFERROR(__xludf.DUMMYFUNCTION("""COMPUTED_VALUE"""),0.1404)</f>
        <v>0.1404</v>
      </c>
      <c r="K59" s="19">
        <f>IFERROR(__xludf.DUMMYFUNCTION("""COMPUTED_VALUE"""),0.1755)</f>
        <v>0.1755</v>
      </c>
      <c r="L59" s="19">
        <f>IFERROR(__xludf.DUMMYFUNCTION("""COMPUTED_VALUE"""),0.2106)</f>
        <v>0.2106</v>
      </c>
      <c r="M59" s="18">
        <f>IFERROR(__xludf.DUMMYFUNCTION("""COMPUTED_VALUE"""),1.53)</f>
        <v>1.53</v>
      </c>
    </row>
    <row r="60">
      <c r="A60" s="13" t="str">
        <f>IFERROR(__xludf.DUMMYFUNCTION("""COMPUTED_VALUE"""),"товари")</f>
        <v>товари</v>
      </c>
      <c r="B60" s="16" t="str">
        <f>IFERROR(__xludf.DUMMYFUNCTION("""COMPUTED_VALUE"""),"авто-, мото")</f>
        <v>авто-, мото</v>
      </c>
      <c r="C60" s="16" t="str">
        <f>IFERROR(__xludf.DUMMYFUNCTION("""COMPUTED_VALUE"""),"електрообладнання автомобілів")</f>
        <v>електрообладнання автомобілів</v>
      </c>
      <c r="D60" s="16" t="str">
        <f>IFERROR(__xludf.DUMMYFUNCTION("""COMPUTED_VALUE"""),"автомобільні запобіжники і перемикачі")</f>
        <v>автомобільні запобіжники і перемикачі</v>
      </c>
      <c r="E60" s="16" t="str">
        <f>IFERROR(__xludf.DUMMYFUNCTION("""COMPUTED_VALUE"""),"автомобільні запобіжники і перемикачі")</f>
        <v>автомобільні запобіжники і перемикачі</v>
      </c>
      <c r="F60" s="17">
        <f>IFERROR(__xludf.DUMMYFUNCTION("""COMPUTED_VALUE"""),3.0)</f>
        <v>3</v>
      </c>
      <c r="G60" s="17" t="str">
        <f>IFERROR(__xludf.DUMMYFUNCTION("""COMPUTED_VALUE"""),"12020307")</f>
        <v>12020307</v>
      </c>
      <c r="H60" s="17" t="str">
        <f>IFERROR(__xludf.DUMMYFUNCTION("""COMPUTED_VALUE"""),"автомобільні запобіжники і перемикачі")</f>
        <v>автомобільні запобіжники і перемикачі</v>
      </c>
      <c r="I60" s="19">
        <f>IFERROR(__xludf.DUMMYFUNCTION("""COMPUTED_VALUE"""),0.0522)</f>
        <v>0.0522</v>
      </c>
      <c r="J60" s="19">
        <f>IFERROR(__xludf.DUMMYFUNCTION("""COMPUTED_VALUE"""),0.1044)</f>
        <v>0.1044</v>
      </c>
      <c r="K60" s="19">
        <f>IFERROR(__xludf.DUMMYFUNCTION("""COMPUTED_VALUE"""),0.1305)</f>
        <v>0.1305</v>
      </c>
      <c r="L60" s="19">
        <f>IFERROR(__xludf.DUMMYFUNCTION("""COMPUTED_VALUE"""),0.1566)</f>
        <v>0.1566</v>
      </c>
      <c r="M60" s="18">
        <f>IFERROR(__xludf.DUMMYFUNCTION("""COMPUTED_VALUE"""),1.05)</f>
        <v>1.05</v>
      </c>
    </row>
    <row r="61">
      <c r="A61" s="13" t="str">
        <f>IFERROR(__xludf.DUMMYFUNCTION("""COMPUTED_VALUE"""),"товари")</f>
        <v>товари</v>
      </c>
      <c r="B61" s="16" t="str">
        <f>IFERROR(__xludf.DUMMYFUNCTION("""COMPUTED_VALUE"""),"авто-, мото")</f>
        <v>авто-, мото</v>
      </c>
      <c r="C61" s="16" t="str">
        <f>IFERROR(__xludf.DUMMYFUNCTION("""COMPUTED_VALUE"""),"автохімія, автокосметика і автомастила")</f>
        <v>автохімія, автокосметика і автомастила</v>
      </c>
      <c r="D61" s="16" t="str">
        <f>IFERROR(__xludf.DUMMYFUNCTION("""COMPUTED_VALUE"""),"автомобільні засоби для видалення подряпин")</f>
        <v>автомобільні засоби для видалення подряпин</v>
      </c>
      <c r="E61" s="16" t="str">
        <f>IFERROR(__xludf.DUMMYFUNCTION("""COMPUTED_VALUE"""),"автомобільні засоби для видалення подряпин")</f>
        <v>автомобільні засоби для видалення подряпин</v>
      </c>
      <c r="F61" s="17">
        <f>IFERROR(__xludf.DUMMYFUNCTION("""COMPUTED_VALUE"""),3.0)</f>
        <v>3</v>
      </c>
      <c r="G61" s="17" t="str">
        <f>IFERROR(__xludf.DUMMYFUNCTION("""COMPUTED_VALUE"""),"341602")</f>
        <v>341602</v>
      </c>
      <c r="H61" s="17" t="str">
        <f>IFERROR(__xludf.DUMMYFUNCTION("""COMPUTED_VALUE"""),"автомобільні засоби для видалення подряпин")</f>
        <v>автомобільні засоби для видалення подряпин</v>
      </c>
      <c r="I61" s="19">
        <f>IFERROR(__xludf.DUMMYFUNCTION("""COMPUTED_VALUE"""),0.0826)</f>
        <v>0.0826</v>
      </c>
      <c r="J61" s="19">
        <f>IFERROR(__xludf.DUMMYFUNCTION("""COMPUTED_VALUE"""),0.1651)</f>
        <v>0.1651</v>
      </c>
      <c r="K61" s="19">
        <f>IFERROR(__xludf.DUMMYFUNCTION("""COMPUTED_VALUE"""),0.2064)</f>
        <v>0.2064</v>
      </c>
      <c r="L61" s="19">
        <f>IFERROR(__xludf.DUMMYFUNCTION("""COMPUTED_VALUE"""),0.2477)</f>
        <v>0.2477</v>
      </c>
      <c r="M61" s="18">
        <f>IFERROR(__xludf.DUMMYFUNCTION("""COMPUTED_VALUE"""),1.05)</f>
        <v>1.05</v>
      </c>
    </row>
    <row r="62">
      <c r="A62" s="13" t="str">
        <f>IFERROR(__xludf.DUMMYFUNCTION("""COMPUTED_VALUE"""),"товари")</f>
        <v>товари</v>
      </c>
      <c r="B62" s="16" t="str">
        <f>IFERROR(__xludf.DUMMYFUNCTION("""COMPUTED_VALUE"""),"авто-, мото")</f>
        <v>авто-, мото</v>
      </c>
      <c r="C62" s="16" t="str">
        <f>IFERROR(__xludf.DUMMYFUNCTION("""COMPUTED_VALUE"""),"аксесуари для авто")</f>
        <v>аксесуари для авто</v>
      </c>
      <c r="D62" s="16" t="str">
        <f>IFERROR(__xludf.DUMMYFUNCTION("""COMPUTED_VALUE"""),"аксесуари для автотюнингу")</f>
        <v>аксесуари для автотюнингу</v>
      </c>
      <c r="E62" s="16" t="str">
        <f>IFERROR(__xludf.DUMMYFUNCTION("""COMPUTED_VALUE"""),"автомобільні захисні обвіси")</f>
        <v>автомобільні захисні обвіси</v>
      </c>
      <c r="F62" s="17">
        <f>IFERROR(__xludf.DUMMYFUNCTION("""COMPUTED_VALUE"""),4.0)</f>
        <v>4</v>
      </c>
      <c r="G62" s="17" t="str">
        <f>IFERROR(__xludf.DUMMYFUNCTION("""COMPUTED_VALUE"""),"12123204")</f>
        <v>12123204</v>
      </c>
      <c r="H62" s="17" t="str">
        <f>IFERROR(__xludf.DUMMYFUNCTION("""COMPUTED_VALUE"""),"автомобільні захисні обвіси")</f>
        <v>автомобільні захисні обвіси</v>
      </c>
      <c r="I62" s="19">
        <f>IFERROR(__xludf.DUMMYFUNCTION("""COMPUTED_VALUE"""),0.0625)</f>
        <v>0.0625</v>
      </c>
      <c r="J62" s="19">
        <f>IFERROR(__xludf.DUMMYFUNCTION("""COMPUTED_VALUE"""),0.1249)</f>
        <v>0.1249</v>
      </c>
      <c r="K62" s="19">
        <f>IFERROR(__xludf.DUMMYFUNCTION("""COMPUTED_VALUE"""),0.1561)</f>
        <v>0.1561</v>
      </c>
      <c r="L62" s="19">
        <f>IFERROR(__xludf.DUMMYFUNCTION("""COMPUTED_VALUE"""),0.1874)</f>
        <v>0.1874</v>
      </c>
      <c r="M62" s="18">
        <f>IFERROR(__xludf.DUMMYFUNCTION("""COMPUTED_VALUE"""),1.53)</f>
        <v>1.53</v>
      </c>
    </row>
    <row r="63">
      <c r="A63" s="13" t="str">
        <f>IFERROR(__xludf.DUMMYFUNCTION("""COMPUTED_VALUE"""),"товари")</f>
        <v>товари</v>
      </c>
      <c r="B63" s="16" t="str">
        <f>IFERROR(__xludf.DUMMYFUNCTION("""COMPUTED_VALUE"""),"авто-, мото")</f>
        <v>авто-, мото</v>
      </c>
      <c r="C63" s="16" t="str">
        <f>IFERROR(__xludf.DUMMYFUNCTION("""COMPUTED_VALUE"""),"електрообладнання автомобілів")</f>
        <v>електрообладнання автомобілів</v>
      </c>
      <c r="D63" s="16" t="str">
        <f>IFERROR(__xludf.DUMMYFUNCTION("""COMPUTED_VALUE"""),"автомобільні звукові сигнали і клаксони")</f>
        <v>автомобільні звукові сигнали і клаксони</v>
      </c>
      <c r="E63" s="16" t="str">
        <f>IFERROR(__xludf.DUMMYFUNCTION("""COMPUTED_VALUE"""),"автомобільні звукові сигнали і клаксони")</f>
        <v>автомобільні звукові сигнали і клаксони</v>
      </c>
      <c r="F63" s="17">
        <f>IFERROR(__xludf.DUMMYFUNCTION("""COMPUTED_VALUE"""),3.0)</f>
        <v>3</v>
      </c>
      <c r="G63" s="17" t="str">
        <f>IFERROR(__xludf.DUMMYFUNCTION("""COMPUTED_VALUE"""),"12020305")</f>
        <v>12020305</v>
      </c>
      <c r="H63" s="17" t="str">
        <f>IFERROR(__xludf.DUMMYFUNCTION("""COMPUTED_VALUE"""),"автомобільні звукові сигнали і клаксони")</f>
        <v>автомобільні звукові сигнали і клаксони</v>
      </c>
      <c r="I63" s="19">
        <f>IFERROR(__xludf.DUMMYFUNCTION("""COMPUTED_VALUE"""),0.0544)</f>
        <v>0.0544</v>
      </c>
      <c r="J63" s="19">
        <f>IFERROR(__xludf.DUMMYFUNCTION("""COMPUTED_VALUE"""),0.1088)</f>
        <v>0.1088</v>
      </c>
      <c r="K63" s="19">
        <f>IFERROR(__xludf.DUMMYFUNCTION("""COMPUTED_VALUE"""),0.136)</f>
        <v>0.136</v>
      </c>
      <c r="L63" s="19">
        <f>IFERROR(__xludf.DUMMYFUNCTION("""COMPUTED_VALUE"""),0.1632)</f>
        <v>0.1632</v>
      </c>
      <c r="M63" s="18">
        <f>IFERROR(__xludf.DUMMYFUNCTION("""COMPUTED_VALUE"""),1.44)</f>
        <v>1.44</v>
      </c>
    </row>
    <row r="64">
      <c r="A64" s="13" t="str">
        <f>IFERROR(__xludf.DUMMYFUNCTION("""COMPUTED_VALUE"""),"товари")</f>
        <v>товари</v>
      </c>
      <c r="B64" s="16" t="str">
        <f>IFERROR(__xludf.DUMMYFUNCTION("""COMPUTED_VALUE"""),"авто-, мото")</f>
        <v>авто-, мото</v>
      </c>
      <c r="C64" s="16" t="str">
        <f>IFERROR(__xludf.DUMMYFUNCTION("""COMPUTED_VALUE"""),"електрообладнання автомобілів")</f>
        <v>електрообладнання автомобілів</v>
      </c>
      <c r="D64" s="16" t="str">
        <f>IFERROR(__xludf.DUMMYFUNCTION("""COMPUTED_VALUE"""),"автомобільні індикатори, панелі приладів і керування")</f>
        <v>автомобільні індикатори, панелі приладів і керування</v>
      </c>
      <c r="E64" s="16" t="str">
        <f>IFERROR(__xludf.DUMMYFUNCTION("""COMPUTED_VALUE"""),"автомобільні індикатори, панелі приладів і керування")</f>
        <v>автомобільні індикатори, панелі приладів і керування</v>
      </c>
      <c r="F64" s="17">
        <f>IFERROR(__xludf.DUMMYFUNCTION("""COMPUTED_VALUE"""),3.0)</f>
        <v>3</v>
      </c>
      <c r="G64" s="17" t="str">
        <f>IFERROR(__xludf.DUMMYFUNCTION("""COMPUTED_VALUE"""),"120211")</f>
        <v>120211</v>
      </c>
      <c r="H64" s="17" t="str">
        <f>IFERROR(__xludf.DUMMYFUNCTION("""COMPUTED_VALUE"""),"автомобільні індикатори, панелі приладів і керування")</f>
        <v>автомобільні індикатори, панелі приладів і керування</v>
      </c>
      <c r="I64" s="19">
        <f>IFERROR(__xludf.DUMMYFUNCTION("""COMPUTED_VALUE"""),0.0717)</f>
        <v>0.0717</v>
      </c>
      <c r="J64" s="19">
        <f>IFERROR(__xludf.DUMMYFUNCTION("""COMPUTED_VALUE"""),0.1434)</f>
        <v>0.1434</v>
      </c>
      <c r="K64" s="19">
        <f>IFERROR(__xludf.DUMMYFUNCTION("""COMPUTED_VALUE"""),0.1793)</f>
        <v>0.1793</v>
      </c>
      <c r="L64" s="19">
        <f>IFERROR(__xludf.DUMMYFUNCTION("""COMPUTED_VALUE"""),0.2151)</f>
        <v>0.2151</v>
      </c>
      <c r="M64" s="18">
        <f>IFERROR(__xludf.DUMMYFUNCTION("""COMPUTED_VALUE"""),1.05)</f>
        <v>1.05</v>
      </c>
    </row>
    <row r="65">
      <c r="A65" s="13" t="str">
        <f>IFERROR(__xludf.DUMMYFUNCTION("""COMPUTED_VALUE"""),"товари")</f>
        <v>товари</v>
      </c>
      <c r="B65" s="16" t="str">
        <f>IFERROR(__xludf.DUMMYFUNCTION("""COMPUTED_VALUE"""),"авто-, мото")</f>
        <v>авто-, мото</v>
      </c>
      <c r="C65" s="16" t="str">
        <f>IFERROR(__xludf.DUMMYFUNCTION("""COMPUTED_VALUE"""),"автомобільна електроніка")</f>
        <v>автомобільна електроніка</v>
      </c>
      <c r="D65" s="16" t="str">
        <f>IFERROR(__xludf.DUMMYFUNCTION("""COMPUTED_VALUE"""),"автомобільні відеосистеми")</f>
        <v>автомобільні відеосистеми</v>
      </c>
      <c r="E65" s="16" t="str">
        <f>IFERROR(__xludf.DUMMYFUNCTION("""COMPUTED_VALUE"""),"автомобільні камери")</f>
        <v>автомобільні камери</v>
      </c>
      <c r="F65" s="17">
        <f>IFERROR(__xludf.DUMMYFUNCTION("""COMPUTED_VALUE"""),4.0)</f>
        <v>4</v>
      </c>
      <c r="G65" s="17" t="str">
        <f>IFERROR(__xludf.DUMMYFUNCTION("""COMPUTED_VALUE"""),"340407")</f>
        <v>340407</v>
      </c>
      <c r="H65" s="17" t="str">
        <f>IFERROR(__xludf.DUMMYFUNCTION("""COMPUTED_VALUE"""),"автомобільні камери")</f>
        <v>автомобільні камери</v>
      </c>
      <c r="I65" s="19">
        <f>IFERROR(__xludf.DUMMYFUNCTION("""COMPUTED_VALUE"""),0.077)</f>
        <v>0.077</v>
      </c>
      <c r="J65" s="19">
        <f>IFERROR(__xludf.DUMMYFUNCTION("""COMPUTED_VALUE"""),0.154)</f>
        <v>0.154</v>
      </c>
      <c r="K65" s="19">
        <f>IFERROR(__xludf.DUMMYFUNCTION("""COMPUTED_VALUE"""),0.1925)</f>
        <v>0.1925</v>
      </c>
      <c r="L65" s="19">
        <f>IFERROR(__xludf.DUMMYFUNCTION("""COMPUTED_VALUE"""),0.231)</f>
        <v>0.231</v>
      </c>
      <c r="M65" s="18">
        <f>IFERROR(__xludf.DUMMYFUNCTION("""COMPUTED_VALUE"""),1.71)</f>
        <v>1.71</v>
      </c>
    </row>
    <row r="66">
      <c r="A66" s="13" t="str">
        <f>IFERROR(__xludf.DUMMYFUNCTION("""COMPUTED_VALUE"""),"товари")</f>
        <v>товари</v>
      </c>
      <c r="B66" s="16" t="str">
        <f>IFERROR(__xludf.DUMMYFUNCTION("""COMPUTED_VALUE"""),"авто-, мото")</f>
        <v>авто-, мото</v>
      </c>
      <c r="C66" s="16" t="str">
        <f>IFERROR(__xludf.DUMMYFUNCTION("""COMPUTED_VALUE"""),"аксесуари для авто")</f>
        <v>аксесуари для авто</v>
      </c>
      <c r="D66" s="16" t="str">
        <f>IFERROR(__xludf.DUMMYFUNCTION("""COMPUTED_VALUE"""),"аксесуари салону автомобіля")</f>
        <v>аксесуари салону автомобіля</v>
      </c>
      <c r="E66" s="16" t="str">
        <f>IFERROR(__xludf.DUMMYFUNCTION("""COMPUTED_VALUE"""),"автомобільні килимки")</f>
        <v>автомобільні килимки</v>
      </c>
      <c r="F66" s="17">
        <f>IFERROR(__xludf.DUMMYFUNCTION("""COMPUTED_VALUE"""),4.0)</f>
        <v>4</v>
      </c>
      <c r="G66" s="17" t="str">
        <f>IFERROR(__xludf.DUMMYFUNCTION("""COMPUTED_VALUE"""),"121202")</f>
        <v>121202</v>
      </c>
      <c r="H66" s="17" t="str">
        <f>IFERROR(__xludf.DUMMYFUNCTION("""COMPUTED_VALUE"""),"автомобільні килимки")</f>
        <v>автомобільні килимки</v>
      </c>
      <c r="I66" s="19">
        <f>IFERROR(__xludf.DUMMYFUNCTION("""COMPUTED_VALUE"""),0.0586)</f>
        <v>0.0586</v>
      </c>
      <c r="J66" s="19">
        <f>IFERROR(__xludf.DUMMYFUNCTION("""COMPUTED_VALUE"""),0.1171)</f>
        <v>0.1171</v>
      </c>
      <c r="K66" s="19">
        <f>IFERROR(__xludf.DUMMYFUNCTION("""COMPUTED_VALUE"""),0.1464)</f>
        <v>0.1464</v>
      </c>
      <c r="L66" s="19">
        <f>IFERROR(__xludf.DUMMYFUNCTION("""COMPUTED_VALUE"""),0.1757)</f>
        <v>0.1757</v>
      </c>
      <c r="M66" s="18">
        <f>IFERROR(__xludf.DUMMYFUNCTION("""COMPUTED_VALUE"""),2.53)</f>
        <v>2.53</v>
      </c>
    </row>
    <row r="67">
      <c r="A67" s="13" t="str">
        <f>IFERROR(__xludf.DUMMYFUNCTION("""COMPUTED_VALUE"""),"товари")</f>
        <v>товари</v>
      </c>
      <c r="B67" s="16" t="str">
        <f>IFERROR(__xludf.DUMMYFUNCTION("""COMPUTED_VALUE"""),"авто-, мото")</f>
        <v>авто-, мото</v>
      </c>
      <c r="C67" s="16" t="str">
        <f>IFERROR(__xludf.DUMMYFUNCTION("""COMPUTED_VALUE"""),"електрообладнання автомобілів")</f>
        <v>електрообладнання автомобілів</v>
      </c>
      <c r="D67" s="16" t="str">
        <f>IFERROR(__xludf.DUMMYFUNCTION("""COMPUTED_VALUE"""),"автомобільні кнопки та перемикачі")</f>
        <v>автомобільні кнопки та перемикачі</v>
      </c>
      <c r="E67" s="16" t="str">
        <f>IFERROR(__xludf.DUMMYFUNCTION("""COMPUTED_VALUE"""),"автомобільні кнопки та перемикачі")</f>
        <v>автомобільні кнопки та перемикачі</v>
      </c>
      <c r="F67" s="17">
        <f>IFERROR(__xludf.DUMMYFUNCTION("""COMPUTED_VALUE"""),3.0)</f>
        <v>3</v>
      </c>
      <c r="G67" s="17" t="str">
        <f>IFERROR(__xludf.DUMMYFUNCTION("""COMPUTED_VALUE"""),"12020311")</f>
        <v>12020311</v>
      </c>
      <c r="H67" s="17" t="str">
        <f>IFERROR(__xludf.DUMMYFUNCTION("""COMPUTED_VALUE"""),"автомобільні кнопки та перемикачі")</f>
        <v>автомобільні кнопки та перемикачі</v>
      </c>
      <c r="I67" s="19">
        <f>IFERROR(__xludf.DUMMYFUNCTION("""COMPUTED_VALUE"""),0.0596)</f>
        <v>0.0596</v>
      </c>
      <c r="J67" s="19">
        <f>IFERROR(__xludf.DUMMYFUNCTION("""COMPUTED_VALUE"""),0.1191)</f>
        <v>0.1191</v>
      </c>
      <c r="K67" s="19">
        <f>IFERROR(__xludf.DUMMYFUNCTION("""COMPUTED_VALUE"""),0.1489)</f>
        <v>0.1489</v>
      </c>
      <c r="L67" s="19">
        <f>IFERROR(__xludf.DUMMYFUNCTION("""COMPUTED_VALUE"""),0.1787)</f>
        <v>0.1787</v>
      </c>
      <c r="M67" s="18">
        <f>IFERROR(__xludf.DUMMYFUNCTION("""COMPUTED_VALUE"""),1.05)</f>
        <v>1.05</v>
      </c>
    </row>
    <row r="68">
      <c r="A68" s="13" t="str">
        <f>IFERROR(__xludf.DUMMYFUNCTION("""COMPUTED_VALUE"""),"товари")</f>
        <v>товари</v>
      </c>
      <c r="B68" s="16" t="str">
        <f>IFERROR(__xludf.DUMMYFUNCTION("""COMPUTED_VALUE"""),"авто-, мото")</f>
        <v>авто-, мото</v>
      </c>
      <c r="C68" s="16" t="str">
        <f>IFERROR(__xludf.DUMMYFUNCTION("""COMPUTED_VALUE"""),"автозапчастини")</f>
        <v>автозапчастини</v>
      </c>
      <c r="D68" s="16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68" s="16" t="str">
        <f>IFERROR(__xludf.DUMMYFUNCTION("""COMPUTED_VALUE"""),"автомобільні комплектуючі для кондиціонерів, опалення, охолодження, загальне")</f>
        <v>автомобільні комплектуючі для кондиціонерів, опалення, охолодження, загальне</v>
      </c>
      <c r="F68" s="17">
        <f>IFERROR(__xludf.DUMMYFUNCTION("""COMPUTED_VALUE"""),4.0)</f>
        <v>4</v>
      </c>
      <c r="G68" s="17" t="str">
        <f>IFERROR(__xludf.DUMMYFUNCTION("""COMPUTED_VALUE"""),"12021601")</f>
        <v>12021601</v>
      </c>
      <c r="H68" s="17" t="str">
        <f>IFERROR(__xludf.DUMMYFUNCTION("""COMPUTED_VALUE"""),"автомобільні комплектуючі для кондиціонерів, опалення, охолодження, загальне")</f>
        <v>автомобільні комплектуючі для кондиціонерів, опалення, охолодження, загальне</v>
      </c>
      <c r="I68" s="19">
        <f>IFERROR(__xludf.DUMMYFUNCTION("""COMPUTED_VALUE"""),0.125)</f>
        <v>0.125</v>
      </c>
      <c r="J68" s="19">
        <f>IFERROR(__xludf.DUMMYFUNCTION("""COMPUTED_VALUE"""),0.25)</f>
        <v>0.25</v>
      </c>
      <c r="K68" s="19">
        <f>IFERROR(__xludf.DUMMYFUNCTION("""COMPUTED_VALUE"""),0.3125)</f>
        <v>0.3125</v>
      </c>
      <c r="L68" s="19">
        <f>IFERROR(__xludf.DUMMYFUNCTION("""COMPUTED_VALUE"""),0.375)</f>
        <v>0.375</v>
      </c>
      <c r="M68" s="18">
        <f>IFERROR(__xludf.DUMMYFUNCTION("""COMPUTED_VALUE"""),4.33)</f>
        <v>4.33</v>
      </c>
    </row>
    <row r="69">
      <c r="A69" s="13" t="str">
        <f>IFERROR(__xludf.DUMMYFUNCTION("""COMPUTED_VALUE"""),"товари")</f>
        <v>товари</v>
      </c>
      <c r="B69" s="16" t="str">
        <f>IFERROR(__xludf.DUMMYFUNCTION("""COMPUTED_VALUE"""),"авто-, мото")</f>
        <v>авто-, мото</v>
      </c>
      <c r="C69" s="16" t="str">
        <f>IFERROR(__xludf.DUMMYFUNCTION("""COMPUTED_VALUE"""),"автозапчастини")</f>
        <v>автозапчастини</v>
      </c>
      <c r="D69" s="16" t="str">
        <f>IFERROR(__xludf.DUMMYFUNCTION("""COMPUTED_VALUE"""),"система запалювання двигуна")</f>
        <v>система запалювання двигуна</v>
      </c>
      <c r="E69" s="16" t="str">
        <f>IFERROR(__xludf.DUMMYFUNCTION("""COMPUTED_VALUE"""),"автомобільні комутатори")</f>
        <v>автомобільні комутатори</v>
      </c>
      <c r="F69" s="17">
        <f>IFERROR(__xludf.DUMMYFUNCTION("""COMPUTED_VALUE"""),4.0)</f>
        <v>4</v>
      </c>
      <c r="G69" s="17" t="str">
        <f>IFERROR(__xludf.DUMMYFUNCTION("""COMPUTED_VALUE"""),"12020507")</f>
        <v>12020507</v>
      </c>
      <c r="H69" s="17" t="str">
        <f>IFERROR(__xludf.DUMMYFUNCTION("""COMPUTED_VALUE"""),"автомобільні комутатори")</f>
        <v>автомобільні комутатори</v>
      </c>
      <c r="I69" s="19">
        <f>IFERROR(__xludf.DUMMYFUNCTION("""COMPUTED_VALUE"""),0.0551)</f>
        <v>0.0551</v>
      </c>
      <c r="J69" s="19">
        <f>IFERROR(__xludf.DUMMYFUNCTION("""COMPUTED_VALUE"""),0.1101)</f>
        <v>0.1101</v>
      </c>
      <c r="K69" s="19">
        <f>IFERROR(__xludf.DUMMYFUNCTION("""COMPUTED_VALUE"""),0.1376)</f>
        <v>0.1376</v>
      </c>
      <c r="L69" s="19">
        <f>IFERROR(__xludf.DUMMYFUNCTION("""COMPUTED_VALUE"""),0.1652)</f>
        <v>0.1652</v>
      </c>
      <c r="M69" s="18">
        <f>IFERROR(__xludf.DUMMYFUNCTION("""COMPUTED_VALUE"""),1.71)</f>
        <v>1.71</v>
      </c>
    </row>
    <row r="70">
      <c r="A70" s="13" t="str">
        <f>IFERROR(__xludf.DUMMYFUNCTION("""COMPUTED_VALUE"""),"товари")</f>
        <v>товари</v>
      </c>
      <c r="B70" s="16" t="str">
        <f>IFERROR(__xludf.DUMMYFUNCTION("""COMPUTED_VALUE"""),"авто-, мото")</f>
        <v>авто-, мото</v>
      </c>
      <c r="C70" s="16" t="str">
        <f>IFERROR(__xludf.DUMMYFUNCTION("""COMPUTED_VALUE"""),"автозапчастини")</f>
        <v>автозапчастини</v>
      </c>
      <c r="D70" s="16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70" s="16" t="str">
        <f>IFERROR(__xludf.DUMMYFUNCTION("""COMPUTED_VALUE"""),"автомобільні кондиціонери")</f>
        <v>автомобільні кондиціонери</v>
      </c>
      <c r="F70" s="17">
        <f>IFERROR(__xludf.DUMMYFUNCTION("""COMPUTED_VALUE"""),4.0)</f>
        <v>4</v>
      </c>
      <c r="G70" s="17" t="str">
        <f>IFERROR(__xludf.DUMMYFUNCTION("""COMPUTED_VALUE"""),"12021607")</f>
        <v>12021607</v>
      </c>
      <c r="H70" s="17" t="str">
        <f>IFERROR(__xludf.DUMMYFUNCTION("""COMPUTED_VALUE"""),"автомобільні кондиціонери")</f>
        <v>автомобільні кондиціонери</v>
      </c>
      <c r="I70" s="19">
        <f>IFERROR(__xludf.DUMMYFUNCTION("""COMPUTED_VALUE"""),0.0553)</f>
        <v>0.0553</v>
      </c>
      <c r="J70" s="19">
        <f>IFERROR(__xludf.DUMMYFUNCTION("""COMPUTED_VALUE"""),0.1105)</f>
        <v>0.1105</v>
      </c>
      <c r="K70" s="19">
        <f>IFERROR(__xludf.DUMMYFUNCTION("""COMPUTED_VALUE"""),0.1381)</f>
        <v>0.1381</v>
      </c>
      <c r="L70" s="19">
        <f>IFERROR(__xludf.DUMMYFUNCTION("""COMPUTED_VALUE"""),0.1658)</f>
        <v>0.1658</v>
      </c>
      <c r="M70" s="18">
        <f>IFERROR(__xludf.DUMMYFUNCTION("""COMPUTED_VALUE"""),1.44)</f>
        <v>1.44</v>
      </c>
    </row>
    <row r="71">
      <c r="A71" s="13" t="str">
        <f>IFERROR(__xludf.DUMMYFUNCTION("""COMPUTED_VALUE"""),"товари")</f>
        <v>товари</v>
      </c>
      <c r="B71" s="16" t="str">
        <f>IFERROR(__xludf.DUMMYFUNCTION("""COMPUTED_VALUE"""),"авто-, мото")</f>
        <v>авто-, мото</v>
      </c>
      <c r="C71" s="16" t="str">
        <f>IFERROR(__xludf.DUMMYFUNCTION("""COMPUTED_VALUE"""),"аксесуари для авто")</f>
        <v>аксесуари для авто</v>
      </c>
      <c r="D71" s="16" t="str">
        <f>IFERROR(__xludf.DUMMYFUNCTION("""COMPUTED_VALUE"""),"багажники і кріплення на дах")</f>
        <v>багажники і кріплення на дах</v>
      </c>
      <c r="E71" s="16" t="str">
        <f>IFERROR(__xludf.DUMMYFUNCTION("""COMPUTED_VALUE"""),"автомобільні кріплення для лиж")</f>
        <v>автомобільні кріплення для лиж</v>
      </c>
      <c r="F71" s="17">
        <f>IFERROR(__xludf.DUMMYFUNCTION("""COMPUTED_VALUE"""),4.0)</f>
        <v>4</v>
      </c>
      <c r="G71" s="17" t="str">
        <f>IFERROR(__xludf.DUMMYFUNCTION("""COMPUTED_VALUE"""),"121208")</f>
        <v>121208</v>
      </c>
      <c r="H71" s="17" t="str">
        <f>IFERROR(__xludf.DUMMYFUNCTION("""COMPUTED_VALUE"""),"автомобільні кріплення для лиж")</f>
        <v>автомобільні кріплення для лиж</v>
      </c>
      <c r="I71" s="19">
        <f>IFERROR(__xludf.DUMMYFUNCTION("""COMPUTED_VALUE"""),0.0681)</f>
        <v>0.0681</v>
      </c>
      <c r="J71" s="19">
        <f>IFERROR(__xludf.DUMMYFUNCTION("""COMPUTED_VALUE"""),0.1361)</f>
        <v>0.1361</v>
      </c>
      <c r="K71" s="19">
        <f>IFERROR(__xludf.DUMMYFUNCTION("""COMPUTED_VALUE"""),0.1701)</f>
        <v>0.1701</v>
      </c>
      <c r="L71" s="19">
        <f>IFERROR(__xludf.DUMMYFUNCTION("""COMPUTED_VALUE"""),0.2042)</f>
        <v>0.2042</v>
      </c>
      <c r="M71" s="18">
        <f>IFERROR(__xludf.DUMMYFUNCTION("""COMPUTED_VALUE"""),1.63)</f>
        <v>1.63</v>
      </c>
    </row>
    <row r="72">
      <c r="A72" s="13" t="str">
        <f>IFERROR(__xludf.DUMMYFUNCTION("""COMPUTED_VALUE"""),"товари")</f>
        <v>товари</v>
      </c>
      <c r="B72" s="16" t="str">
        <f>IFERROR(__xludf.DUMMYFUNCTION("""COMPUTED_VALUE"""),"авто-, мото")</f>
        <v>авто-, мото</v>
      </c>
      <c r="C72" s="16" t="str">
        <f>IFERROR(__xludf.DUMMYFUNCTION("""COMPUTED_VALUE"""),"автозапчастини")</f>
        <v>автозапчастини</v>
      </c>
      <c r="D72" s="16" t="str">
        <f>IFERROR(__xludf.DUMMYFUNCTION("""COMPUTED_VALUE"""),"кузовні запчастини")</f>
        <v>кузовні запчастини</v>
      </c>
      <c r="E72" s="16" t="str">
        <f>IFERROR(__xludf.DUMMYFUNCTION("""COMPUTED_VALUE"""),"автомобільні кронштейни ")</f>
        <v>автомобільні кронштейни </v>
      </c>
      <c r="F72" s="17">
        <f>IFERROR(__xludf.DUMMYFUNCTION("""COMPUTED_VALUE"""),4.0)</f>
        <v>4</v>
      </c>
      <c r="G72" s="17" t="str">
        <f>IFERROR(__xludf.DUMMYFUNCTION("""COMPUTED_VALUE"""),"341631")</f>
        <v>341631</v>
      </c>
      <c r="H72" s="17" t="str">
        <f>IFERROR(__xludf.DUMMYFUNCTION("""COMPUTED_VALUE"""),"автомобільні кронштейни ")</f>
        <v>автомобільні кронштейни </v>
      </c>
      <c r="I72" s="19">
        <f>IFERROR(__xludf.DUMMYFUNCTION("""COMPUTED_VALUE"""),0.0583)</f>
        <v>0.0583</v>
      </c>
      <c r="J72" s="19">
        <f>IFERROR(__xludf.DUMMYFUNCTION("""COMPUTED_VALUE"""),0.1166)</f>
        <v>0.1166</v>
      </c>
      <c r="K72" s="19">
        <f>IFERROR(__xludf.DUMMYFUNCTION("""COMPUTED_VALUE"""),0.1458)</f>
        <v>0.1458</v>
      </c>
      <c r="L72" s="19">
        <f>IFERROR(__xludf.DUMMYFUNCTION("""COMPUTED_VALUE"""),0.1749)</f>
        <v>0.1749</v>
      </c>
      <c r="M72" s="18">
        <f>IFERROR(__xludf.DUMMYFUNCTION("""COMPUTED_VALUE"""),1.53)</f>
        <v>1.53</v>
      </c>
    </row>
    <row r="73">
      <c r="A73" s="13" t="str">
        <f>IFERROR(__xludf.DUMMYFUNCTION("""COMPUTED_VALUE"""),"товари")</f>
        <v>товари</v>
      </c>
      <c r="B73" s="16" t="str">
        <f>IFERROR(__xludf.DUMMYFUNCTION("""COMPUTED_VALUE"""),"авто-, мото")</f>
        <v>авто-, мото</v>
      </c>
      <c r="C73" s="16" t="str">
        <f>IFERROR(__xludf.DUMMYFUNCTION("""COMPUTED_VALUE"""),"додаткове обладнання")</f>
        <v>додаткове обладнання</v>
      </c>
      <c r="D73" s="16" t="str">
        <f>IFERROR(__xludf.DUMMYFUNCTION("""COMPUTED_VALUE"""),"автомобільні лебідки")</f>
        <v>автомобільні лебідки</v>
      </c>
      <c r="E73" s="16" t="str">
        <f>IFERROR(__xludf.DUMMYFUNCTION("""COMPUTED_VALUE"""),"автомобільні лебідки")</f>
        <v>автомобільні лебідки</v>
      </c>
      <c r="F73" s="17">
        <f>IFERROR(__xludf.DUMMYFUNCTION("""COMPUTED_VALUE"""),4.0)</f>
        <v>4</v>
      </c>
      <c r="G73" s="17" t="str">
        <f>IFERROR(__xludf.DUMMYFUNCTION("""COMPUTED_VALUE"""),"341401")</f>
        <v>341401</v>
      </c>
      <c r="H73" s="17" t="str">
        <f>IFERROR(__xludf.DUMMYFUNCTION("""COMPUTED_VALUE"""),"автомобільні лебідки")</f>
        <v>автомобільні лебідки</v>
      </c>
      <c r="I73" s="19">
        <f>IFERROR(__xludf.DUMMYFUNCTION("""COMPUTED_VALUE"""),0.06)</f>
        <v>0.06</v>
      </c>
      <c r="J73" s="19">
        <f>IFERROR(__xludf.DUMMYFUNCTION("""COMPUTED_VALUE"""),0.12)</f>
        <v>0.12</v>
      </c>
      <c r="K73" s="19">
        <f>IFERROR(__xludf.DUMMYFUNCTION("""COMPUTED_VALUE"""),0.15)</f>
        <v>0.15</v>
      </c>
      <c r="L73" s="19">
        <f>IFERROR(__xludf.DUMMYFUNCTION("""COMPUTED_VALUE"""),0.18)</f>
        <v>0.18</v>
      </c>
      <c r="M73" s="18">
        <f>IFERROR(__xludf.DUMMYFUNCTION("""COMPUTED_VALUE"""),3.15)</f>
        <v>3.15</v>
      </c>
    </row>
    <row r="74">
      <c r="A74" s="13" t="str">
        <f>IFERROR(__xludf.DUMMYFUNCTION("""COMPUTED_VALUE"""),"товари")</f>
        <v>товари</v>
      </c>
      <c r="B74" s="16" t="str">
        <f>IFERROR(__xludf.DUMMYFUNCTION("""COMPUTED_VALUE"""),"авто-, мото")</f>
        <v>авто-, мото</v>
      </c>
      <c r="C74" s="16" t="str">
        <f>IFERROR(__xludf.DUMMYFUNCTION("""COMPUTED_VALUE"""),"аксесуари для авто")</f>
        <v>аксесуари для авто</v>
      </c>
      <c r="D74" s="16" t="str">
        <f>IFERROR(__xludf.DUMMYFUNCTION("""COMPUTED_VALUE"""),"аксесуари салону автомобіля")</f>
        <v>аксесуари салону автомобіля</v>
      </c>
      <c r="E74" s="16" t="str">
        <f>IFERROR(__xludf.DUMMYFUNCTION("""COMPUTED_VALUE"""),"автомобільні липкі килимки")</f>
        <v>автомобільні липкі килимки</v>
      </c>
      <c r="F74" s="17">
        <f>IFERROR(__xludf.DUMMYFUNCTION("""COMPUTED_VALUE"""),4.0)</f>
        <v>4</v>
      </c>
      <c r="G74" s="17" t="str">
        <f>IFERROR(__xludf.DUMMYFUNCTION("""COMPUTED_VALUE"""),"121256")</f>
        <v>121256</v>
      </c>
      <c r="H74" s="17" t="str">
        <f>IFERROR(__xludf.DUMMYFUNCTION("""COMPUTED_VALUE"""),"автомобільні липкі килимки")</f>
        <v>автомобільні липкі килимки</v>
      </c>
      <c r="I74" s="19">
        <f>IFERROR(__xludf.DUMMYFUNCTION("""COMPUTED_VALUE"""),0.0768)</f>
        <v>0.0768</v>
      </c>
      <c r="J74" s="19">
        <f>IFERROR(__xludf.DUMMYFUNCTION("""COMPUTED_VALUE"""),0.1536)</f>
        <v>0.1536</v>
      </c>
      <c r="K74" s="19">
        <f>IFERROR(__xludf.DUMMYFUNCTION("""COMPUTED_VALUE"""),0.192)</f>
        <v>0.192</v>
      </c>
      <c r="L74" s="19">
        <f>IFERROR(__xludf.DUMMYFUNCTION("""COMPUTED_VALUE"""),0.2304)</f>
        <v>0.2304</v>
      </c>
      <c r="M74" s="18">
        <f>IFERROR(__xludf.DUMMYFUNCTION("""COMPUTED_VALUE"""),2.53)</f>
        <v>2.53</v>
      </c>
    </row>
    <row r="75">
      <c r="A75" s="13" t="str">
        <f>IFERROR(__xludf.DUMMYFUNCTION("""COMPUTED_VALUE"""),"товари")</f>
        <v>товари</v>
      </c>
      <c r="B75" s="16" t="str">
        <f>IFERROR(__xludf.DUMMYFUNCTION("""COMPUTED_VALUE"""),"авто-, мото")</f>
        <v>авто-, мото</v>
      </c>
      <c r="C75" s="16" t="str">
        <f>IFERROR(__xludf.DUMMYFUNCTION("""COMPUTED_VALUE"""),"автозапчастини")</f>
        <v>автозапчастини</v>
      </c>
      <c r="D75" s="16" t="str">
        <f>IFERROR(__xludf.DUMMYFUNCTION("""COMPUTED_VALUE"""),"кузовні запчастини")</f>
        <v>кузовні запчастини</v>
      </c>
      <c r="E75" s="16" t="str">
        <f>IFERROR(__xludf.DUMMYFUNCTION("""COMPUTED_VALUE"""),"автомобільні люки")</f>
        <v>автомобільні люки</v>
      </c>
      <c r="F75" s="17">
        <f>IFERROR(__xludf.DUMMYFUNCTION("""COMPUTED_VALUE"""),4.0)</f>
        <v>4</v>
      </c>
      <c r="G75" s="17" t="str">
        <f>IFERROR(__xludf.DUMMYFUNCTION("""COMPUTED_VALUE"""),"121239")</f>
        <v>121239</v>
      </c>
      <c r="H75" s="17" t="str">
        <f>IFERROR(__xludf.DUMMYFUNCTION("""COMPUTED_VALUE"""),"автомобільні люки")</f>
        <v>автомобільні люки</v>
      </c>
      <c r="I75" s="19">
        <f>IFERROR(__xludf.DUMMYFUNCTION("""COMPUTED_VALUE"""),0.0651)</f>
        <v>0.0651</v>
      </c>
      <c r="J75" s="19">
        <f>IFERROR(__xludf.DUMMYFUNCTION("""COMPUTED_VALUE"""),0.1302)</f>
        <v>0.1302</v>
      </c>
      <c r="K75" s="19">
        <f>IFERROR(__xludf.DUMMYFUNCTION("""COMPUTED_VALUE"""),0.1628)</f>
        <v>0.1628</v>
      </c>
      <c r="L75" s="19">
        <f>IFERROR(__xludf.DUMMYFUNCTION("""COMPUTED_VALUE"""),0.1953)</f>
        <v>0.1953</v>
      </c>
      <c r="M75" s="18">
        <f>IFERROR(__xludf.DUMMYFUNCTION("""COMPUTED_VALUE"""),1.53)</f>
        <v>1.53</v>
      </c>
    </row>
    <row r="76">
      <c r="A76" s="13" t="str">
        <f>IFERROR(__xludf.DUMMYFUNCTION("""COMPUTED_VALUE"""),"товари")</f>
        <v>товари</v>
      </c>
      <c r="B76" s="16" t="str">
        <f>IFERROR(__xludf.DUMMYFUNCTION("""COMPUTED_VALUE"""),"авто-, мото")</f>
        <v>авто-, мото</v>
      </c>
      <c r="C76" s="16" t="str">
        <f>IFERROR(__xludf.DUMMYFUNCTION("""COMPUTED_VALUE"""),"автозапчастини")</f>
        <v>автозапчастини</v>
      </c>
      <c r="D76" s="16" t="str">
        <f>IFERROR(__xludf.DUMMYFUNCTION("""COMPUTED_VALUE"""),"система змащування двигуна")</f>
        <v>система змащування двигуна</v>
      </c>
      <c r="E76" s="16" t="str">
        <f>IFERROR(__xludf.DUMMYFUNCTION("""COMPUTED_VALUE"""),"автомобільні масляні насоси")</f>
        <v>автомобільні масляні насоси</v>
      </c>
      <c r="F76" s="17">
        <f>IFERROR(__xludf.DUMMYFUNCTION("""COMPUTED_VALUE"""),4.0)</f>
        <v>4</v>
      </c>
      <c r="G76" s="17" t="str">
        <f>IFERROR(__xludf.DUMMYFUNCTION("""COMPUTED_VALUE"""),"12020421")</f>
        <v>12020421</v>
      </c>
      <c r="H76" s="17" t="str">
        <f>IFERROR(__xludf.DUMMYFUNCTION("""COMPUTED_VALUE"""),"автомобільні масляні насоси")</f>
        <v>автомобільні масляні насоси</v>
      </c>
      <c r="I76" s="19">
        <f>IFERROR(__xludf.DUMMYFUNCTION("""COMPUTED_VALUE"""),0.0592)</f>
        <v>0.0592</v>
      </c>
      <c r="J76" s="19">
        <f>IFERROR(__xludf.DUMMYFUNCTION("""COMPUTED_VALUE"""),0.1183)</f>
        <v>0.1183</v>
      </c>
      <c r="K76" s="19">
        <f>IFERROR(__xludf.DUMMYFUNCTION("""COMPUTED_VALUE"""),0.1479)</f>
        <v>0.1479</v>
      </c>
      <c r="L76" s="19">
        <f>IFERROR(__xludf.DUMMYFUNCTION("""COMPUTED_VALUE"""),0.1775)</f>
        <v>0.1775</v>
      </c>
      <c r="M76" s="18">
        <f>IFERROR(__xludf.DUMMYFUNCTION("""COMPUTED_VALUE"""),1.8)</f>
        <v>1.8</v>
      </c>
    </row>
    <row r="77">
      <c r="A77" s="13" t="str">
        <f>IFERROR(__xludf.DUMMYFUNCTION("""COMPUTED_VALUE"""),"товари")</f>
        <v>товари</v>
      </c>
      <c r="B77" s="16" t="str">
        <f>IFERROR(__xludf.DUMMYFUNCTION("""COMPUTED_VALUE"""),"авто-, мото")</f>
        <v>авто-, мото</v>
      </c>
      <c r="C77" s="16" t="str">
        <f>IFERROR(__xludf.DUMMYFUNCTION("""COMPUTED_VALUE"""),"аксесуари для авто")</f>
        <v>аксесуари для авто</v>
      </c>
      <c r="D77" s="16" t="str">
        <f>IFERROR(__xludf.DUMMYFUNCTION("""COMPUTED_VALUE"""),"аксесуари для кузова автомобіля")</f>
        <v>аксесуари для кузова автомобіля</v>
      </c>
      <c r="E77" s="16" t="str">
        <f>IFERROR(__xludf.DUMMYFUNCTION("""COMPUTED_VALUE"""),"автомобільні молдинги")</f>
        <v>автомобільні молдинги</v>
      </c>
      <c r="F77" s="17">
        <f>IFERROR(__xludf.DUMMYFUNCTION("""COMPUTED_VALUE"""),4.0)</f>
        <v>4</v>
      </c>
      <c r="G77" s="17" t="str">
        <f>IFERROR(__xludf.DUMMYFUNCTION("""COMPUTED_VALUE"""),"121222")</f>
        <v>121222</v>
      </c>
      <c r="H77" s="17" t="str">
        <f>IFERROR(__xludf.DUMMYFUNCTION("""COMPUTED_VALUE"""),"автомобільні молдинги")</f>
        <v>автомобільні молдинги</v>
      </c>
      <c r="I77" s="19">
        <f>IFERROR(__xludf.DUMMYFUNCTION("""COMPUTED_VALUE"""),0.076)</f>
        <v>0.076</v>
      </c>
      <c r="J77" s="19">
        <f>IFERROR(__xludf.DUMMYFUNCTION("""COMPUTED_VALUE"""),0.1519)</f>
        <v>0.1519</v>
      </c>
      <c r="K77" s="19">
        <f>IFERROR(__xludf.DUMMYFUNCTION("""COMPUTED_VALUE"""),0.1899)</f>
        <v>0.1899</v>
      </c>
      <c r="L77" s="19">
        <f>IFERROR(__xludf.DUMMYFUNCTION("""COMPUTED_VALUE"""),0.2279)</f>
        <v>0.2279</v>
      </c>
      <c r="M77" s="18">
        <f>IFERROR(__xludf.DUMMYFUNCTION("""COMPUTED_VALUE"""),1.63)</f>
        <v>1.63</v>
      </c>
    </row>
    <row r="78">
      <c r="A78" s="13" t="str">
        <f>IFERROR(__xludf.DUMMYFUNCTION("""COMPUTED_VALUE"""),"товари")</f>
        <v>товари</v>
      </c>
      <c r="B78" s="16" t="str">
        <f>IFERROR(__xludf.DUMMYFUNCTION("""COMPUTED_VALUE"""),"авто-, мото")</f>
        <v>авто-, мото</v>
      </c>
      <c r="C78" s="16" t="str">
        <f>IFERROR(__xludf.DUMMYFUNCTION("""COMPUTED_VALUE"""),"автомобільна електроніка")</f>
        <v>автомобільна електроніка</v>
      </c>
      <c r="D78" s="16" t="str">
        <f>IFERROR(__xludf.DUMMYFUNCTION("""COMPUTED_VALUE"""),"автомобільні відеосистеми")</f>
        <v>автомобільні відеосистеми</v>
      </c>
      <c r="E78" s="16" t="str">
        <f>IFERROR(__xludf.DUMMYFUNCTION("""COMPUTED_VALUE"""),"автомобільні монітори")</f>
        <v>автомобільні монітори</v>
      </c>
      <c r="F78" s="17">
        <f>IFERROR(__xludf.DUMMYFUNCTION("""COMPUTED_VALUE"""),4.0)</f>
        <v>4</v>
      </c>
      <c r="G78" s="17" t="str">
        <f>IFERROR(__xludf.DUMMYFUNCTION("""COMPUTED_VALUE"""),"340425")</f>
        <v>340425</v>
      </c>
      <c r="H78" s="17" t="str">
        <f>IFERROR(__xludf.DUMMYFUNCTION("""COMPUTED_VALUE"""),"автомобільні монітори")</f>
        <v>автомобільні монітори</v>
      </c>
      <c r="I78" s="19">
        <f>IFERROR(__xludf.DUMMYFUNCTION("""COMPUTED_VALUE"""),0.077)</f>
        <v>0.077</v>
      </c>
      <c r="J78" s="19">
        <f>IFERROR(__xludf.DUMMYFUNCTION("""COMPUTED_VALUE"""),0.154)</f>
        <v>0.154</v>
      </c>
      <c r="K78" s="19">
        <f>IFERROR(__xludf.DUMMYFUNCTION("""COMPUTED_VALUE"""),0.1925)</f>
        <v>0.1925</v>
      </c>
      <c r="L78" s="19">
        <f>IFERROR(__xludf.DUMMYFUNCTION("""COMPUTED_VALUE"""),0.231)</f>
        <v>0.231</v>
      </c>
      <c r="M78" s="18">
        <f>IFERROR(__xludf.DUMMYFUNCTION("""COMPUTED_VALUE"""),1.71)</f>
        <v>1.71</v>
      </c>
    </row>
    <row r="79">
      <c r="A79" s="13" t="str">
        <f>IFERROR(__xludf.DUMMYFUNCTION("""COMPUTED_VALUE"""),"товари")</f>
        <v>товари</v>
      </c>
      <c r="B79" s="16" t="str">
        <f>IFERROR(__xludf.DUMMYFUNCTION("""COMPUTED_VALUE"""),"авто-, мото")</f>
        <v>авто-, мото</v>
      </c>
      <c r="C79" s="16" t="str">
        <f>IFERROR(__xludf.DUMMYFUNCTION("""COMPUTED_VALUE"""),"автоінструмент")</f>
        <v>автоінструмент</v>
      </c>
      <c r="D79" s="16" t="str">
        <f>IFERROR(__xludf.DUMMYFUNCTION("""COMPUTED_VALUE"""),"автомобільні насоси, компресори та манометри")</f>
        <v>автомобільні насоси, компресори та манометри</v>
      </c>
      <c r="E79" s="16" t="str">
        <f>IFERROR(__xludf.DUMMYFUNCTION("""COMPUTED_VALUE"""),"автомобільні насоси, компресори та манометри")</f>
        <v>автомобільні насоси, компресори та манометри</v>
      </c>
      <c r="F79" s="17">
        <f>IFERROR(__xludf.DUMMYFUNCTION("""COMPUTED_VALUE"""),3.0)</f>
        <v>3</v>
      </c>
      <c r="G79" s="17" t="str">
        <f>IFERROR(__xludf.DUMMYFUNCTION("""COMPUTED_VALUE"""),"12110205")</f>
        <v>12110205</v>
      </c>
      <c r="H79" s="17" t="str">
        <f>IFERROR(__xludf.DUMMYFUNCTION("""COMPUTED_VALUE"""),"автомобільні насоси, компресори та манометри")</f>
        <v>автомобільні насоси, компресори та манометри</v>
      </c>
      <c r="I79" s="19">
        <f>IFERROR(__xludf.DUMMYFUNCTION("""COMPUTED_VALUE"""),0.0762)</f>
        <v>0.0762</v>
      </c>
      <c r="J79" s="19">
        <f>IFERROR(__xludf.DUMMYFUNCTION("""COMPUTED_VALUE"""),0.1524)</f>
        <v>0.1524</v>
      </c>
      <c r="K79" s="19">
        <f>IFERROR(__xludf.DUMMYFUNCTION("""COMPUTED_VALUE"""),0.1905)</f>
        <v>0.1905</v>
      </c>
      <c r="L79" s="19">
        <f>IFERROR(__xludf.DUMMYFUNCTION("""COMPUTED_VALUE"""),0.2286)</f>
        <v>0.2286</v>
      </c>
      <c r="M79" s="18">
        <f>IFERROR(__xludf.DUMMYFUNCTION("""COMPUTED_VALUE"""),3.15)</f>
        <v>3.15</v>
      </c>
    </row>
    <row r="80">
      <c r="A80" s="13" t="str">
        <f>IFERROR(__xludf.DUMMYFUNCTION("""COMPUTED_VALUE"""),"товари")</f>
        <v>товари</v>
      </c>
      <c r="B80" s="16" t="str">
        <f>IFERROR(__xludf.DUMMYFUNCTION("""COMPUTED_VALUE"""),"авто-, мото")</f>
        <v>авто-, мото</v>
      </c>
      <c r="C80" s="16" t="str">
        <f>IFERROR(__xludf.DUMMYFUNCTION("""COMPUTED_VALUE"""),"автохімія, автокосметика і автомастила")</f>
        <v>автохімія, автокосметика і автомастила</v>
      </c>
      <c r="D80" s="16" t="str">
        <f>IFERROR(__xludf.DUMMYFUNCTION("""COMPUTED_VALUE"""),"авто, мото масла, мастила та рідини")</f>
        <v>авто, мото масла, мастила та рідини</v>
      </c>
      <c r="E80" s="16" t="str">
        <f>IFERROR(__xludf.DUMMYFUNCTION("""COMPUTED_VALUE"""),"автомобільні оливи і мастила, загальне")</f>
        <v>автомобільні оливи і мастила, загальне</v>
      </c>
      <c r="F80" s="17">
        <f>IFERROR(__xludf.DUMMYFUNCTION("""COMPUTED_VALUE"""),4.0)</f>
        <v>4</v>
      </c>
      <c r="G80" s="17" t="str">
        <f>IFERROR(__xludf.DUMMYFUNCTION("""COMPUTED_VALUE"""),"341005")</f>
        <v>341005</v>
      </c>
      <c r="H80" s="17" t="str">
        <f>IFERROR(__xludf.DUMMYFUNCTION("""COMPUTED_VALUE"""),"автомобільні оливи і мастила, загальне")</f>
        <v>автомобільні оливи і мастила, загальне</v>
      </c>
      <c r="I80" s="19">
        <f>IFERROR(__xludf.DUMMYFUNCTION("""COMPUTED_VALUE"""),0.125)</f>
        <v>0.125</v>
      </c>
      <c r="J80" s="19">
        <f>IFERROR(__xludf.DUMMYFUNCTION("""COMPUTED_VALUE"""),0.25)</f>
        <v>0.25</v>
      </c>
      <c r="K80" s="19">
        <f>IFERROR(__xludf.DUMMYFUNCTION("""COMPUTED_VALUE"""),0.3125)</f>
        <v>0.3125</v>
      </c>
      <c r="L80" s="19">
        <f>IFERROR(__xludf.DUMMYFUNCTION("""COMPUTED_VALUE"""),0.375)</f>
        <v>0.375</v>
      </c>
      <c r="M80" s="18">
        <f>IFERROR(__xludf.DUMMYFUNCTION("""COMPUTED_VALUE"""),4.33)</f>
        <v>4.33</v>
      </c>
    </row>
    <row r="81">
      <c r="A81" s="13" t="str">
        <f>IFERROR(__xludf.DUMMYFUNCTION("""COMPUTED_VALUE"""),"товари")</f>
        <v>товари</v>
      </c>
      <c r="B81" s="16" t="str">
        <f>IFERROR(__xludf.DUMMYFUNCTION("""COMPUTED_VALUE"""),"авто-, мото")</f>
        <v>авто-, мото</v>
      </c>
      <c r="C81" s="16" t="str">
        <f>IFERROR(__xludf.DUMMYFUNCTION("""COMPUTED_VALUE"""),"автозапчастини")</f>
        <v>автозапчастини</v>
      </c>
      <c r="D81" s="16" t="str">
        <f>IFERROR(__xludf.DUMMYFUNCTION("""COMPUTED_VALUE"""),"деталі ходової")</f>
        <v>деталі ходової</v>
      </c>
      <c r="E81" s="16" t="str">
        <f>IFERROR(__xludf.DUMMYFUNCTION("""COMPUTED_VALUE"""),"автомобільні опори стійок")</f>
        <v>автомобільні опори стійок</v>
      </c>
      <c r="F81" s="17">
        <f>IFERROR(__xludf.DUMMYFUNCTION("""COMPUTED_VALUE"""),4.0)</f>
        <v>4</v>
      </c>
      <c r="G81" s="17" t="str">
        <f>IFERROR(__xludf.DUMMYFUNCTION("""COMPUTED_VALUE"""),"341554")</f>
        <v>341554</v>
      </c>
      <c r="H81" s="17" t="str">
        <f>IFERROR(__xludf.DUMMYFUNCTION("""COMPUTED_VALUE"""),"автомобільні опори стійок")</f>
        <v>автомобільні опори стійок</v>
      </c>
      <c r="I81" s="19">
        <f>IFERROR(__xludf.DUMMYFUNCTION("""COMPUTED_VALUE"""),0.0552)</f>
        <v>0.0552</v>
      </c>
      <c r="J81" s="19">
        <f>IFERROR(__xludf.DUMMYFUNCTION("""COMPUTED_VALUE"""),0.1103)</f>
        <v>0.1103</v>
      </c>
      <c r="K81" s="19">
        <f>IFERROR(__xludf.DUMMYFUNCTION("""COMPUTED_VALUE"""),0.1379)</f>
        <v>0.1379</v>
      </c>
      <c r="L81" s="19">
        <f>IFERROR(__xludf.DUMMYFUNCTION("""COMPUTED_VALUE"""),0.1655)</f>
        <v>0.1655</v>
      </c>
      <c r="M81" s="18">
        <f>IFERROR(__xludf.DUMMYFUNCTION("""COMPUTED_VALUE"""),1.53)</f>
        <v>1.53</v>
      </c>
    </row>
    <row r="82">
      <c r="A82" s="13" t="str">
        <f>IFERROR(__xludf.DUMMYFUNCTION("""COMPUTED_VALUE"""),"товари")</f>
        <v>товари</v>
      </c>
      <c r="B82" s="16" t="str">
        <f>IFERROR(__xludf.DUMMYFUNCTION("""COMPUTED_VALUE"""),"авто-, мото")</f>
        <v>авто-, мото</v>
      </c>
      <c r="C82" s="16" t="str">
        <f>IFERROR(__xludf.DUMMYFUNCTION("""COMPUTED_VALUE"""),"аксесуари для авто")</f>
        <v>аксесуари для авто</v>
      </c>
      <c r="D82" s="16" t="str">
        <f>IFERROR(__xludf.DUMMYFUNCTION("""COMPUTED_VALUE"""),"автомобільні органайзери")</f>
        <v>автомобільні органайзери</v>
      </c>
      <c r="E82" s="16" t="str">
        <f>IFERROR(__xludf.DUMMYFUNCTION("""COMPUTED_VALUE"""),"автомобільні органайзери")</f>
        <v>автомобільні органайзери</v>
      </c>
      <c r="F82" s="17">
        <f>IFERROR(__xludf.DUMMYFUNCTION("""COMPUTED_VALUE"""),3.0)</f>
        <v>3</v>
      </c>
      <c r="G82" s="17" t="str">
        <f>IFERROR(__xludf.DUMMYFUNCTION("""COMPUTED_VALUE"""),"121245")</f>
        <v>121245</v>
      </c>
      <c r="H82" s="17" t="str">
        <f>IFERROR(__xludf.DUMMYFUNCTION("""COMPUTED_VALUE"""),"автомобільні органайзери")</f>
        <v>автомобільні органайзери</v>
      </c>
      <c r="I82" s="19">
        <f>IFERROR(__xludf.DUMMYFUNCTION("""COMPUTED_VALUE"""),0.0801)</f>
        <v>0.0801</v>
      </c>
      <c r="J82" s="19">
        <f>IFERROR(__xludf.DUMMYFUNCTION("""COMPUTED_VALUE"""),0.1602)</f>
        <v>0.1602</v>
      </c>
      <c r="K82" s="19">
        <f>IFERROR(__xludf.DUMMYFUNCTION("""COMPUTED_VALUE"""),0.2003)</f>
        <v>0.2003</v>
      </c>
      <c r="L82" s="19">
        <f>IFERROR(__xludf.DUMMYFUNCTION("""COMPUTED_VALUE"""),0.2403)</f>
        <v>0.2403</v>
      </c>
      <c r="M82" s="18">
        <f>IFERROR(__xludf.DUMMYFUNCTION("""COMPUTED_VALUE"""),3.15)</f>
        <v>3.15</v>
      </c>
    </row>
    <row r="83">
      <c r="A83" s="13" t="str">
        <f>IFERROR(__xludf.DUMMYFUNCTION("""COMPUTED_VALUE"""),"товари")</f>
        <v>товари</v>
      </c>
      <c r="B83" s="16" t="str">
        <f>IFERROR(__xludf.DUMMYFUNCTION("""COMPUTED_VALUE"""),"авто-, мото")</f>
        <v>авто-, мото</v>
      </c>
      <c r="C83" s="16" t="str">
        <f>IFERROR(__xludf.DUMMYFUNCTION("""COMPUTED_VALUE"""),"автохімія, автокосметика і автомастила")</f>
        <v>автохімія, автокосметика і автомастила</v>
      </c>
      <c r="D83" s="16" t="str">
        <f>IFERROR(__xludf.DUMMYFUNCTION("""COMPUTED_VALUE"""),"авто, мото масла, мастила та рідини")</f>
        <v>авто, мото масла, мастила та рідини</v>
      </c>
      <c r="E83" s="16" t="str">
        <f>IFERROR(__xludf.DUMMYFUNCTION("""COMPUTED_VALUE"""),"автомобільні охолоджуючі рідини")</f>
        <v>автомобільні охолоджуючі рідини</v>
      </c>
      <c r="F83" s="17">
        <f>IFERROR(__xludf.DUMMYFUNCTION("""COMPUTED_VALUE"""),4.0)</f>
        <v>4</v>
      </c>
      <c r="G83" s="17" t="str">
        <f>IFERROR(__xludf.DUMMYFUNCTION("""COMPUTED_VALUE"""),"341015")</f>
        <v>341015</v>
      </c>
      <c r="H83" s="17" t="str">
        <f>IFERROR(__xludf.DUMMYFUNCTION("""COMPUTED_VALUE"""),"автомобільні охолоджуючі рідини")</f>
        <v>автомобільні охолоджуючі рідини</v>
      </c>
      <c r="I83" s="19">
        <f>IFERROR(__xludf.DUMMYFUNCTION("""COMPUTED_VALUE"""),0.0757)</f>
        <v>0.0757</v>
      </c>
      <c r="J83" s="19">
        <f>IFERROR(__xludf.DUMMYFUNCTION("""COMPUTED_VALUE"""),0.1513)</f>
        <v>0.1513</v>
      </c>
      <c r="K83" s="19">
        <f>IFERROR(__xludf.DUMMYFUNCTION("""COMPUTED_VALUE"""),0.1891)</f>
        <v>0.1891</v>
      </c>
      <c r="L83" s="19">
        <f>IFERROR(__xludf.DUMMYFUNCTION("""COMPUTED_VALUE"""),0.227)</f>
        <v>0.227</v>
      </c>
      <c r="M83" s="18">
        <f>IFERROR(__xludf.DUMMYFUNCTION("""COMPUTED_VALUE"""),2.88)</f>
        <v>2.88</v>
      </c>
    </row>
    <row r="84">
      <c r="A84" s="13" t="str">
        <f>IFERROR(__xludf.DUMMYFUNCTION("""COMPUTED_VALUE"""),"товари")</f>
        <v>товари</v>
      </c>
      <c r="B84" s="16" t="str">
        <f>IFERROR(__xludf.DUMMYFUNCTION("""COMPUTED_VALUE"""),"авто-, мото")</f>
        <v>авто-, мото</v>
      </c>
      <c r="C84" s="16" t="str">
        <f>IFERROR(__xludf.DUMMYFUNCTION("""COMPUTED_VALUE"""),"автохімія, автокосметика і автомастила")</f>
        <v>автохімія, автокосметика і автомастила</v>
      </c>
      <c r="D84" s="16" t="str">
        <f>IFERROR(__xludf.DUMMYFUNCTION("""COMPUTED_VALUE"""),"автомобільні очищувачі")</f>
        <v>автомобільні очищувачі</v>
      </c>
      <c r="E84" s="16" t="str">
        <f>IFERROR(__xludf.DUMMYFUNCTION("""COMPUTED_VALUE"""),"автомобільні очищувачі")</f>
        <v>автомобільні очищувачі</v>
      </c>
      <c r="F84" s="17">
        <f>IFERROR(__xludf.DUMMYFUNCTION("""COMPUTED_VALUE"""),3.0)</f>
        <v>3</v>
      </c>
      <c r="G84" s="17" t="str">
        <f>IFERROR(__xludf.DUMMYFUNCTION("""COMPUTED_VALUE"""),"341603")</f>
        <v>341603</v>
      </c>
      <c r="H84" s="17" t="str">
        <f>IFERROR(__xludf.DUMMYFUNCTION("""COMPUTED_VALUE"""),"автомобільні очищувачі")</f>
        <v>автомобільні очищувачі</v>
      </c>
      <c r="I84" s="19">
        <f>IFERROR(__xludf.DUMMYFUNCTION("""COMPUTED_VALUE"""),0.078)</f>
        <v>0.078</v>
      </c>
      <c r="J84" s="19">
        <f>IFERROR(__xludf.DUMMYFUNCTION("""COMPUTED_VALUE"""),0.156)</f>
        <v>0.156</v>
      </c>
      <c r="K84" s="19">
        <f>IFERROR(__xludf.DUMMYFUNCTION("""COMPUTED_VALUE"""),0.195)</f>
        <v>0.195</v>
      </c>
      <c r="L84" s="19">
        <f>IFERROR(__xludf.DUMMYFUNCTION("""COMPUTED_VALUE"""),0.234)</f>
        <v>0.234</v>
      </c>
      <c r="M84" s="18">
        <f>IFERROR(__xludf.DUMMYFUNCTION("""COMPUTED_VALUE"""),2.34)</f>
        <v>2.34</v>
      </c>
    </row>
    <row r="85">
      <c r="A85" s="13" t="str">
        <f>IFERROR(__xludf.DUMMYFUNCTION("""COMPUTED_VALUE"""),"товари")</f>
        <v>товари</v>
      </c>
      <c r="B85" s="16" t="str">
        <f>IFERROR(__xludf.DUMMYFUNCTION("""COMPUTED_VALUE"""),"авто-, мото")</f>
        <v>авто-, мото</v>
      </c>
      <c r="C85" s="16" t="str">
        <f>IFERROR(__xludf.DUMMYFUNCTION("""COMPUTED_VALUE"""),"аксесуари для авто")</f>
        <v>аксесуари для авто</v>
      </c>
      <c r="D85" s="16" t="str">
        <f>IFERROR(__xludf.DUMMYFUNCTION("""COMPUTED_VALUE"""),"автомобільні електронні аксесуари")</f>
        <v>автомобільні електронні аксесуари</v>
      </c>
      <c r="E85" s="16" t="str">
        <f>IFERROR(__xludf.DUMMYFUNCTION("""COMPUTED_VALUE"""),"автомобільні очищувачі повітря")</f>
        <v>автомобільні очищувачі повітря</v>
      </c>
      <c r="F85" s="17">
        <f>IFERROR(__xludf.DUMMYFUNCTION("""COMPUTED_VALUE"""),4.0)</f>
        <v>4</v>
      </c>
      <c r="G85" s="17" t="str">
        <f>IFERROR(__xludf.DUMMYFUNCTION("""COMPUTED_VALUE"""),"121247")</f>
        <v>121247</v>
      </c>
      <c r="H85" s="17" t="str">
        <f>IFERROR(__xludf.DUMMYFUNCTION("""COMPUTED_VALUE"""),"автомобільні очищувачі повітря")</f>
        <v>автомобільні очищувачі повітря</v>
      </c>
      <c r="I85" s="19">
        <f>IFERROR(__xludf.DUMMYFUNCTION("""COMPUTED_VALUE"""),0.0746)</f>
        <v>0.0746</v>
      </c>
      <c r="J85" s="19">
        <f>IFERROR(__xludf.DUMMYFUNCTION("""COMPUTED_VALUE"""),0.1492)</f>
        <v>0.1492</v>
      </c>
      <c r="K85" s="19">
        <f>IFERROR(__xludf.DUMMYFUNCTION("""COMPUTED_VALUE"""),0.1865)</f>
        <v>0.1865</v>
      </c>
      <c r="L85" s="19">
        <f>IFERROR(__xludf.DUMMYFUNCTION("""COMPUTED_VALUE"""),0.2238)</f>
        <v>0.2238</v>
      </c>
      <c r="M85" s="18">
        <f>IFERROR(__xludf.DUMMYFUNCTION("""COMPUTED_VALUE"""),2.88)</f>
        <v>2.88</v>
      </c>
    </row>
    <row r="86">
      <c r="A86" s="13" t="str">
        <f>IFERROR(__xludf.DUMMYFUNCTION("""COMPUTED_VALUE"""),"товари")</f>
        <v>товари</v>
      </c>
      <c r="B86" s="16" t="str">
        <f>IFERROR(__xludf.DUMMYFUNCTION("""COMPUTED_VALUE"""),"авто-, мото")</f>
        <v>авто-, мото</v>
      </c>
      <c r="C86" s="16" t="str">
        <f>IFERROR(__xludf.DUMMYFUNCTION("""COMPUTED_VALUE"""),"автозапчастини")</f>
        <v>автозапчастини</v>
      </c>
      <c r="D86" s="16" t="str">
        <f>IFERROR(__xludf.DUMMYFUNCTION("""COMPUTED_VALUE"""),"система живлення двигуна")</f>
        <v>система живлення двигуна</v>
      </c>
      <c r="E86" s="16" t="str">
        <f>IFERROR(__xludf.DUMMYFUNCTION("""COMPUTED_VALUE"""),"автомобільні паливні насоси")</f>
        <v>автомобільні паливні насоси</v>
      </c>
      <c r="F86" s="17">
        <f>IFERROR(__xludf.DUMMYFUNCTION("""COMPUTED_VALUE"""),4.0)</f>
        <v>4</v>
      </c>
      <c r="G86" s="17" t="str">
        <f>IFERROR(__xludf.DUMMYFUNCTION("""COMPUTED_VALUE"""),"12020419")</f>
        <v>12020419</v>
      </c>
      <c r="H86" s="17" t="str">
        <f>IFERROR(__xludf.DUMMYFUNCTION("""COMPUTED_VALUE"""),"автомобільні паливні насоси")</f>
        <v>автомобільні паливні насоси</v>
      </c>
      <c r="I86" s="19">
        <f>IFERROR(__xludf.DUMMYFUNCTION("""COMPUTED_VALUE"""),0.0507)</f>
        <v>0.0507</v>
      </c>
      <c r="J86" s="19">
        <f>IFERROR(__xludf.DUMMYFUNCTION("""COMPUTED_VALUE"""),0.1014)</f>
        <v>0.1014</v>
      </c>
      <c r="K86" s="19">
        <f>IFERROR(__xludf.DUMMYFUNCTION("""COMPUTED_VALUE"""),0.1268)</f>
        <v>0.1268</v>
      </c>
      <c r="L86" s="19">
        <f>IFERROR(__xludf.DUMMYFUNCTION("""COMPUTED_VALUE"""),0.1521)</f>
        <v>0.1521</v>
      </c>
      <c r="M86" s="18">
        <f>IFERROR(__xludf.DUMMYFUNCTION("""COMPUTED_VALUE"""),1.53)</f>
        <v>1.53</v>
      </c>
    </row>
    <row r="87">
      <c r="A87" s="13" t="str">
        <f>IFERROR(__xludf.DUMMYFUNCTION("""COMPUTED_VALUE"""),"товари")</f>
        <v>товари</v>
      </c>
      <c r="B87" s="16" t="str">
        <f>IFERROR(__xludf.DUMMYFUNCTION("""COMPUTED_VALUE"""),"авто-, мото")</f>
        <v>авто-, мото</v>
      </c>
      <c r="C87" s="16" t="str">
        <f>IFERROR(__xludf.DUMMYFUNCTION("""COMPUTED_VALUE"""),"автозапчастини")</f>
        <v>автозапчастини</v>
      </c>
      <c r="D87" s="16" t="str">
        <f>IFERROR(__xludf.DUMMYFUNCTION("""COMPUTED_VALUE"""),"органи керування")</f>
        <v>органи керування</v>
      </c>
      <c r="E87" s="16" t="str">
        <f>IFERROR(__xludf.DUMMYFUNCTION("""COMPUTED_VALUE"""),"автомобільні педалі ")</f>
        <v>автомобільні педалі </v>
      </c>
      <c r="F87" s="17">
        <f>IFERROR(__xludf.DUMMYFUNCTION("""COMPUTED_VALUE"""),4.0)</f>
        <v>4</v>
      </c>
      <c r="G87" s="17" t="str">
        <f>IFERROR(__xludf.DUMMYFUNCTION("""COMPUTED_VALUE"""),"12023707")</f>
        <v>12023707</v>
      </c>
      <c r="H87" s="17" t="str">
        <f>IFERROR(__xludf.DUMMYFUNCTION("""COMPUTED_VALUE"""),"автомобільні педалі ")</f>
        <v>автомобільні педалі </v>
      </c>
      <c r="I87" s="19">
        <f>IFERROR(__xludf.DUMMYFUNCTION("""COMPUTED_VALUE"""),0.0524)</f>
        <v>0.0524</v>
      </c>
      <c r="J87" s="19">
        <f>IFERROR(__xludf.DUMMYFUNCTION("""COMPUTED_VALUE"""),0.1047)</f>
        <v>0.1047</v>
      </c>
      <c r="K87" s="19">
        <f>IFERROR(__xludf.DUMMYFUNCTION("""COMPUTED_VALUE"""),0.1309)</f>
        <v>0.1309</v>
      </c>
      <c r="L87" s="19">
        <f>IFERROR(__xludf.DUMMYFUNCTION("""COMPUTED_VALUE"""),0.1571)</f>
        <v>0.1571</v>
      </c>
      <c r="M87" s="18">
        <f>IFERROR(__xludf.DUMMYFUNCTION("""COMPUTED_VALUE"""),1.71)</f>
        <v>1.71</v>
      </c>
    </row>
    <row r="88">
      <c r="A88" s="13" t="str">
        <f>IFERROR(__xludf.DUMMYFUNCTION("""COMPUTED_VALUE"""),"товари")</f>
        <v>товари</v>
      </c>
      <c r="B88" s="16" t="str">
        <f>IFERROR(__xludf.DUMMYFUNCTION("""COMPUTED_VALUE"""),"авто-, мото")</f>
        <v>авто-, мото</v>
      </c>
      <c r="C88" s="16" t="str">
        <f>IFERROR(__xludf.DUMMYFUNCTION("""COMPUTED_VALUE"""),"автозапчастини")</f>
        <v>автозапчастини</v>
      </c>
      <c r="D88" s="16" t="str">
        <f>IFERROR(__xludf.DUMMYFUNCTION("""COMPUTED_VALUE"""),"світлові прилади транспорту")</f>
        <v>світлові прилади транспорту</v>
      </c>
      <c r="E88" s="16" t="str">
        <f>IFERROR(__xludf.DUMMYFUNCTION("""COMPUTED_VALUE"""),"автомобільні передні фари")</f>
        <v>автомобільні передні фари</v>
      </c>
      <c r="F88" s="17">
        <f>IFERROR(__xludf.DUMMYFUNCTION("""COMPUTED_VALUE"""),4.0)</f>
        <v>4</v>
      </c>
      <c r="G88" s="17" t="str">
        <f>IFERROR(__xludf.DUMMYFUNCTION("""COMPUTED_VALUE"""),"12020601")</f>
        <v>12020601</v>
      </c>
      <c r="H88" s="17" t="str">
        <f>IFERROR(__xludf.DUMMYFUNCTION("""COMPUTED_VALUE"""),"автомобільні передні фари")</f>
        <v>автомобільні передні фари</v>
      </c>
      <c r="I88" s="19">
        <f>IFERROR(__xludf.DUMMYFUNCTION("""COMPUTED_VALUE"""),0.0696)</f>
        <v>0.0696</v>
      </c>
      <c r="J88" s="19">
        <f>IFERROR(__xludf.DUMMYFUNCTION("""COMPUTED_VALUE"""),0.1391)</f>
        <v>0.1391</v>
      </c>
      <c r="K88" s="19">
        <f>IFERROR(__xludf.DUMMYFUNCTION("""COMPUTED_VALUE"""),0.1739)</f>
        <v>0.1739</v>
      </c>
      <c r="L88" s="19">
        <f>IFERROR(__xludf.DUMMYFUNCTION("""COMPUTED_VALUE"""),0.2087)</f>
        <v>0.2087</v>
      </c>
      <c r="M88" s="18">
        <f>IFERROR(__xludf.DUMMYFUNCTION("""COMPUTED_VALUE"""),2.16)</f>
        <v>2.16</v>
      </c>
    </row>
    <row r="89">
      <c r="A89" s="13" t="str">
        <f>IFERROR(__xludf.DUMMYFUNCTION("""COMPUTED_VALUE"""),"товари")</f>
        <v>товари</v>
      </c>
      <c r="B89" s="16" t="str">
        <f>IFERROR(__xludf.DUMMYFUNCTION("""COMPUTED_VALUE"""),"авто-, мото")</f>
        <v>авто-, мото</v>
      </c>
      <c r="C89" s="16" t="str">
        <f>IFERROR(__xludf.DUMMYFUNCTION("""COMPUTED_VALUE"""),"аксесуари для авто")</f>
        <v>аксесуари для авто</v>
      </c>
      <c r="D89" s="16" t="str">
        <f>IFERROR(__xludf.DUMMYFUNCTION("""COMPUTED_VALUE"""),"автомобільні електронні аксесуари")</f>
        <v>автомобільні електронні аксесуари</v>
      </c>
      <c r="E89" s="16" t="str">
        <f>IFERROR(__xludf.DUMMYFUNCTION("""COMPUTED_VALUE"""),"автомобільні пилососи та повітродуви")</f>
        <v>автомобільні пилососи та повітродуви</v>
      </c>
      <c r="F89" s="17">
        <f>IFERROR(__xludf.DUMMYFUNCTION("""COMPUTED_VALUE"""),4.0)</f>
        <v>4</v>
      </c>
      <c r="G89" s="17" t="str">
        <f>IFERROR(__xludf.DUMMYFUNCTION("""COMPUTED_VALUE"""),"12125905")</f>
        <v>12125905</v>
      </c>
      <c r="H89" s="17" t="str">
        <f>IFERROR(__xludf.DUMMYFUNCTION("""COMPUTED_VALUE"""),"автомобільні пилососи та повітродуви")</f>
        <v>автомобільні пилососи та повітродуви</v>
      </c>
      <c r="I89" s="19">
        <f>IFERROR(__xludf.DUMMYFUNCTION("""COMPUTED_VALUE"""),0.0769)</f>
        <v>0.0769</v>
      </c>
      <c r="J89" s="19">
        <f>IFERROR(__xludf.DUMMYFUNCTION("""COMPUTED_VALUE"""),0.1538)</f>
        <v>0.1538</v>
      </c>
      <c r="K89" s="19">
        <f>IFERROR(__xludf.DUMMYFUNCTION("""COMPUTED_VALUE"""),0.1923)</f>
        <v>0.1923</v>
      </c>
      <c r="L89" s="19">
        <f>IFERROR(__xludf.DUMMYFUNCTION("""COMPUTED_VALUE"""),0.2307)</f>
        <v>0.2307</v>
      </c>
      <c r="M89" s="18">
        <f>IFERROR(__xludf.DUMMYFUNCTION("""COMPUTED_VALUE"""),2.88)</f>
        <v>2.88</v>
      </c>
    </row>
    <row r="90">
      <c r="A90" s="13" t="str">
        <f>IFERROR(__xludf.DUMMYFUNCTION("""COMPUTED_VALUE"""),"товари")</f>
        <v>товари</v>
      </c>
      <c r="B90" s="16" t="str">
        <f>IFERROR(__xludf.DUMMYFUNCTION("""COMPUTED_VALUE"""),"авто-, мото")</f>
        <v>авто-, мото</v>
      </c>
      <c r="C90" s="16" t="str">
        <f>IFERROR(__xludf.DUMMYFUNCTION("""COMPUTED_VALUE"""),"аксесуари для авто")</f>
        <v>аксесуари для авто</v>
      </c>
      <c r="D90" s="16" t="str">
        <f>IFERROR(__xludf.DUMMYFUNCTION("""COMPUTED_VALUE"""),"аксесуари салону автомобіля")</f>
        <v>аксесуари салону автомобіля</v>
      </c>
      <c r="E90" s="16" t="str">
        <f>IFERROR(__xludf.DUMMYFUNCTION("""COMPUTED_VALUE"""),"автомобільні підвіски")</f>
        <v>автомобільні підвіски</v>
      </c>
      <c r="F90" s="17">
        <f>IFERROR(__xludf.DUMMYFUNCTION("""COMPUTED_VALUE"""),4.0)</f>
        <v>4</v>
      </c>
      <c r="G90" s="17" t="str">
        <f>IFERROR(__xludf.DUMMYFUNCTION("""COMPUTED_VALUE"""),"121262")</f>
        <v>121262</v>
      </c>
      <c r="H90" s="17" t="str">
        <f>IFERROR(__xludf.DUMMYFUNCTION("""COMPUTED_VALUE"""),"автомобільні підвіски")</f>
        <v>автомобільні підвіски</v>
      </c>
      <c r="I90" s="19">
        <f>IFERROR(__xludf.DUMMYFUNCTION("""COMPUTED_VALUE"""),0.0849)</f>
        <v>0.0849</v>
      </c>
      <c r="J90" s="19">
        <f>IFERROR(__xludf.DUMMYFUNCTION("""COMPUTED_VALUE"""),0.1698)</f>
        <v>0.1698</v>
      </c>
      <c r="K90" s="19">
        <f>IFERROR(__xludf.DUMMYFUNCTION("""COMPUTED_VALUE"""),0.2123)</f>
        <v>0.2123</v>
      </c>
      <c r="L90" s="19">
        <f>IFERROR(__xludf.DUMMYFUNCTION("""COMPUTED_VALUE"""),0.2547)</f>
        <v>0.2547</v>
      </c>
      <c r="M90" s="18">
        <f>IFERROR(__xludf.DUMMYFUNCTION("""COMPUTED_VALUE"""),2.53)</f>
        <v>2.53</v>
      </c>
    </row>
    <row r="91">
      <c r="A91" s="13" t="str">
        <f>IFERROR(__xludf.DUMMYFUNCTION("""COMPUTED_VALUE"""),"товари")</f>
        <v>товари</v>
      </c>
      <c r="B91" s="16" t="str">
        <f>IFERROR(__xludf.DUMMYFUNCTION("""COMPUTED_VALUE"""),"авто-, мото")</f>
        <v>авто-, мото</v>
      </c>
      <c r="C91" s="16" t="str">
        <f>IFERROR(__xludf.DUMMYFUNCTION("""COMPUTED_VALUE"""),"автозапчастини")</f>
        <v>автозапчастини</v>
      </c>
      <c r="D91" s="16" t="str">
        <f>IFERROR(__xludf.DUMMYFUNCTION("""COMPUTED_VALUE"""),"кузовні запчастини")</f>
        <v>кузовні запчастини</v>
      </c>
      <c r="E91" s="16" t="str">
        <f>IFERROR(__xludf.DUMMYFUNCTION("""COMPUTED_VALUE"""),"автомобільні підкрилки")</f>
        <v>автомобільні підкрилки</v>
      </c>
      <c r="F91" s="17">
        <f>IFERROR(__xludf.DUMMYFUNCTION("""COMPUTED_VALUE"""),4.0)</f>
        <v>4</v>
      </c>
      <c r="G91" s="17" t="str">
        <f>IFERROR(__xludf.DUMMYFUNCTION("""COMPUTED_VALUE"""),"121235")</f>
        <v>121235</v>
      </c>
      <c r="H91" s="17" t="str">
        <f>IFERROR(__xludf.DUMMYFUNCTION("""COMPUTED_VALUE"""),"автомобільні підкрилки")</f>
        <v>автомобільні підкрилки</v>
      </c>
      <c r="I91" s="19">
        <f>IFERROR(__xludf.DUMMYFUNCTION("""COMPUTED_VALUE"""),0.0549)</f>
        <v>0.0549</v>
      </c>
      <c r="J91" s="19">
        <f>IFERROR(__xludf.DUMMYFUNCTION("""COMPUTED_VALUE"""),0.1098)</f>
        <v>0.1098</v>
      </c>
      <c r="K91" s="19">
        <f>IFERROR(__xludf.DUMMYFUNCTION("""COMPUTED_VALUE"""),0.1373)</f>
        <v>0.1373</v>
      </c>
      <c r="L91" s="19">
        <f>IFERROR(__xludf.DUMMYFUNCTION("""COMPUTED_VALUE"""),0.1647)</f>
        <v>0.1647</v>
      </c>
      <c r="M91" s="18">
        <f>IFERROR(__xludf.DUMMYFUNCTION("""COMPUTED_VALUE"""),1.53)</f>
        <v>1.53</v>
      </c>
    </row>
    <row r="92">
      <c r="A92" s="13" t="str">
        <f>IFERROR(__xludf.DUMMYFUNCTION("""COMPUTED_VALUE"""),"товари")</f>
        <v>товари</v>
      </c>
      <c r="B92" s="16" t="str">
        <f>IFERROR(__xludf.DUMMYFUNCTION("""COMPUTED_VALUE"""),"авто-, мото")</f>
        <v>авто-, мото</v>
      </c>
      <c r="C92" s="16" t="str">
        <f>IFERROR(__xludf.DUMMYFUNCTION("""COMPUTED_VALUE"""),"аксесуари для авто")</f>
        <v>аксесуари для авто</v>
      </c>
      <c r="D92" s="16" t="str">
        <f>IFERROR(__xludf.DUMMYFUNCTION("""COMPUTED_VALUE"""),"аксесуари салону автомобіля")</f>
        <v>аксесуари салону автомобіля</v>
      </c>
      <c r="E92" s="16" t="str">
        <f>IFERROR(__xludf.DUMMYFUNCTION("""COMPUTED_VALUE"""),"автомобільні підлокітники")</f>
        <v>автомобільні підлокітники</v>
      </c>
      <c r="F92" s="17">
        <f>IFERROR(__xludf.DUMMYFUNCTION("""COMPUTED_VALUE"""),4.0)</f>
        <v>4</v>
      </c>
      <c r="G92" s="17" t="str">
        <f>IFERROR(__xludf.DUMMYFUNCTION("""COMPUTED_VALUE"""),"121253")</f>
        <v>121253</v>
      </c>
      <c r="H92" s="17" t="str">
        <f>IFERROR(__xludf.DUMMYFUNCTION("""COMPUTED_VALUE"""),"автомобільні підлокітники")</f>
        <v>автомобільні підлокітники</v>
      </c>
      <c r="I92" s="19">
        <f>IFERROR(__xludf.DUMMYFUNCTION("""COMPUTED_VALUE"""),0.0775)</f>
        <v>0.0775</v>
      </c>
      <c r="J92" s="19">
        <f>IFERROR(__xludf.DUMMYFUNCTION("""COMPUTED_VALUE"""),0.1549)</f>
        <v>0.1549</v>
      </c>
      <c r="K92" s="19">
        <f>IFERROR(__xludf.DUMMYFUNCTION("""COMPUTED_VALUE"""),0.1936)</f>
        <v>0.1936</v>
      </c>
      <c r="L92" s="19">
        <f>IFERROR(__xludf.DUMMYFUNCTION("""COMPUTED_VALUE"""),0.2324)</f>
        <v>0.2324</v>
      </c>
      <c r="M92" s="18">
        <f>IFERROR(__xludf.DUMMYFUNCTION("""COMPUTED_VALUE"""),2.53)</f>
        <v>2.53</v>
      </c>
    </row>
    <row r="93">
      <c r="A93" s="13" t="str">
        <f>IFERROR(__xludf.DUMMYFUNCTION("""COMPUTED_VALUE"""),"товари")</f>
        <v>товари</v>
      </c>
      <c r="B93" s="16" t="str">
        <f>IFERROR(__xludf.DUMMYFUNCTION("""COMPUTED_VALUE"""),"авто-, мото")</f>
        <v>авто-, мото</v>
      </c>
      <c r="C93" s="16" t="str">
        <f>IFERROR(__xludf.DUMMYFUNCTION("""COMPUTED_VALUE"""),"автомобільна електроніка")</f>
        <v>автомобільна електроніка</v>
      </c>
      <c r="D93" s="16" t="str">
        <f>IFERROR(__xludf.DUMMYFUNCTION("""COMPUTED_VALUE"""),"автозвук")</f>
        <v>автозвук</v>
      </c>
      <c r="E93" s="16" t="str">
        <f>IFERROR(__xludf.DUMMYFUNCTION("""COMPUTED_VALUE"""),"автомобільні підсилювачі")</f>
        <v>автомобільні підсилювачі</v>
      </c>
      <c r="F93" s="17">
        <f>IFERROR(__xludf.DUMMYFUNCTION("""COMPUTED_VALUE"""),4.0)</f>
        <v>4</v>
      </c>
      <c r="G93" s="17" t="str">
        <f>IFERROR(__xludf.DUMMYFUNCTION("""COMPUTED_VALUE"""),"340421")</f>
        <v>340421</v>
      </c>
      <c r="H93" s="17" t="str">
        <f>IFERROR(__xludf.DUMMYFUNCTION("""COMPUTED_VALUE"""),"автомобільні підсилювачі")</f>
        <v>автомобільні підсилювачі</v>
      </c>
      <c r="I93" s="19">
        <f>IFERROR(__xludf.DUMMYFUNCTION("""COMPUTED_VALUE"""),0.0702)</f>
        <v>0.0702</v>
      </c>
      <c r="J93" s="19">
        <f>IFERROR(__xludf.DUMMYFUNCTION("""COMPUTED_VALUE"""),0.1404)</f>
        <v>0.1404</v>
      </c>
      <c r="K93" s="19">
        <f>IFERROR(__xludf.DUMMYFUNCTION("""COMPUTED_VALUE"""),0.1755)</f>
        <v>0.1755</v>
      </c>
      <c r="L93" s="19">
        <f>IFERROR(__xludf.DUMMYFUNCTION("""COMPUTED_VALUE"""),0.2106)</f>
        <v>0.2106</v>
      </c>
      <c r="M93" s="18">
        <f>IFERROR(__xludf.DUMMYFUNCTION("""COMPUTED_VALUE"""),2.79)</f>
        <v>2.79</v>
      </c>
    </row>
    <row r="94">
      <c r="A94" s="13" t="str">
        <f>IFERROR(__xludf.DUMMYFUNCTION("""COMPUTED_VALUE"""),"товари")</f>
        <v>товари</v>
      </c>
      <c r="B94" s="16" t="str">
        <f>IFERROR(__xludf.DUMMYFUNCTION("""COMPUTED_VALUE"""),"авто-, мото")</f>
        <v>авто-, мото</v>
      </c>
      <c r="C94" s="16" t="str">
        <f>IFERROR(__xludf.DUMMYFUNCTION("""COMPUTED_VALUE"""),"аксесуари для авто")</f>
        <v>аксесуари для авто</v>
      </c>
      <c r="D94" s="16" t="str">
        <f>IFERROR(__xludf.DUMMYFUNCTION("""COMPUTED_VALUE"""),"аксесуари для автотюнингу")</f>
        <v>аксесуари для автотюнингу</v>
      </c>
      <c r="E94" s="16" t="str">
        <f>IFERROR(__xludf.DUMMYFUNCTION("""COMPUTED_VALUE"""),"автомобільні підсилювачі жорсткості")</f>
        <v>автомобільні підсилювачі жорсткості</v>
      </c>
      <c r="F94" s="17">
        <f>IFERROR(__xludf.DUMMYFUNCTION("""COMPUTED_VALUE"""),4.0)</f>
        <v>4</v>
      </c>
      <c r="G94" s="17" t="str">
        <f>IFERROR(__xludf.DUMMYFUNCTION("""COMPUTED_VALUE"""),"121233")</f>
        <v>121233</v>
      </c>
      <c r="H94" s="17" t="str">
        <f>IFERROR(__xludf.DUMMYFUNCTION("""COMPUTED_VALUE"""),"автомобільні підсилювачі жорсткості")</f>
        <v>автомобільні підсилювачі жорсткості</v>
      </c>
      <c r="I94" s="19">
        <f>IFERROR(__xludf.DUMMYFUNCTION("""COMPUTED_VALUE"""),0.0595)</f>
        <v>0.0595</v>
      </c>
      <c r="J94" s="19">
        <f>IFERROR(__xludf.DUMMYFUNCTION("""COMPUTED_VALUE"""),0.119)</f>
        <v>0.119</v>
      </c>
      <c r="K94" s="19">
        <f>IFERROR(__xludf.DUMMYFUNCTION("""COMPUTED_VALUE"""),0.1488)</f>
        <v>0.1488</v>
      </c>
      <c r="L94" s="19">
        <f>IFERROR(__xludf.DUMMYFUNCTION("""COMPUTED_VALUE"""),0.1785)</f>
        <v>0.1785</v>
      </c>
      <c r="M94" s="18">
        <f>IFERROR(__xludf.DUMMYFUNCTION("""COMPUTED_VALUE"""),1.53)</f>
        <v>1.53</v>
      </c>
    </row>
    <row r="95">
      <c r="A95" s="13" t="str">
        <f>IFERROR(__xludf.DUMMYFUNCTION("""COMPUTED_VALUE"""),"товари")</f>
        <v>товари</v>
      </c>
      <c r="B95" s="16" t="str">
        <f>IFERROR(__xludf.DUMMYFUNCTION("""COMPUTED_VALUE"""),"авто-, мото")</f>
        <v>авто-, мото</v>
      </c>
      <c r="C95" s="16" t="str">
        <f>IFERROR(__xludf.DUMMYFUNCTION("""COMPUTED_VALUE"""),"аксесуари для авто")</f>
        <v>аксесуари для авто</v>
      </c>
      <c r="D95" s="16" t="str">
        <f>IFERROR(__xludf.DUMMYFUNCTION("""COMPUTED_VALUE"""),"аксесуари для автотюнингу")</f>
        <v>аксесуари для автотюнингу</v>
      </c>
      <c r="E95" s="16" t="str">
        <f>IFERROR(__xludf.DUMMYFUNCTION("""COMPUTED_VALUE"""),"автомобільні плівки")</f>
        <v>автомобільні плівки</v>
      </c>
      <c r="F95" s="17">
        <f>IFERROR(__xludf.DUMMYFUNCTION("""COMPUTED_VALUE"""),4.0)</f>
        <v>4</v>
      </c>
      <c r="G95" s="17" t="str">
        <f>IFERROR(__xludf.DUMMYFUNCTION("""COMPUTED_VALUE"""),"12123203")</f>
        <v>12123203</v>
      </c>
      <c r="H95" s="17" t="str">
        <f>IFERROR(__xludf.DUMMYFUNCTION("""COMPUTED_VALUE"""),"автомобільні плівки")</f>
        <v>автомобільні плівки</v>
      </c>
      <c r="I95" s="19">
        <f>IFERROR(__xludf.DUMMYFUNCTION("""COMPUTED_VALUE"""),0.0784)</f>
        <v>0.0784</v>
      </c>
      <c r="J95" s="19">
        <f>IFERROR(__xludf.DUMMYFUNCTION("""COMPUTED_VALUE"""),0.1568)</f>
        <v>0.1568</v>
      </c>
      <c r="K95" s="19">
        <f>IFERROR(__xludf.DUMMYFUNCTION("""COMPUTED_VALUE"""),0.196)</f>
        <v>0.196</v>
      </c>
      <c r="L95" s="19">
        <f>IFERROR(__xludf.DUMMYFUNCTION("""COMPUTED_VALUE"""),0.2352)</f>
        <v>0.2352</v>
      </c>
      <c r="M95" s="18">
        <f>IFERROR(__xludf.DUMMYFUNCTION("""COMPUTED_VALUE"""),1.53)</f>
        <v>1.53</v>
      </c>
    </row>
    <row r="96">
      <c r="A96" s="13" t="str">
        <f>IFERROR(__xludf.DUMMYFUNCTION("""COMPUTED_VALUE"""),"товари")</f>
        <v>товари</v>
      </c>
      <c r="B96" s="16" t="str">
        <f>IFERROR(__xludf.DUMMYFUNCTION("""COMPUTED_VALUE"""),"авто-, мото")</f>
        <v>авто-, мото</v>
      </c>
      <c r="C96" s="16" t="str">
        <f>IFERROR(__xludf.DUMMYFUNCTION("""COMPUTED_VALUE"""),"автохімія, автокосметика і автомастила")</f>
        <v>автохімія, автокосметика і автомастила</v>
      </c>
      <c r="D96" s="16" t="str">
        <f>IFERROR(__xludf.DUMMYFUNCTION("""COMPUTED_VALUE"""),"автомобільні поліролі та шампуні")</f>
        <v>автомобільні поліролі та шампуні</v>
      </c>
      <c r="E96" s="16" t="str">
        <f>IFERROR(__xludf.DUMMYFUNCTION("""COMPUTED_VALUE"""),"автомобільні поліролі та шампуні, загальне")</f>
        <v>автомобільні поліролі та шампуні, загальне</v>
      </c>
      <c r="F96" s="17">
        <f>IFERROR(__xludf.DUMMYFUNCTION("""COMPUTED_VALUE"""),4.0)</f>
        <v>4</v>
      </c>
      <c r="G96" s="17" t="str">
        <f>IFERROR(__xludf.DUMMYFUNCTION("""COMPUTED_VALUE"""),"341205")</f>
        <v>341205</v>
      </c>
      <c r="H96" s="17" t="str">
        <f>IFERROR(__xludf.DUMMYFUNCTION("""COMPUTED_VALUE"""),"автомобільні поліролі та шампуні, загальне")</f>
        <v>автомобільні поліролі та шампуні, загальне</v>
      </c>
      <c r="I96" s="19">
        <f>IFERROR(__xludf.DUMMYFUNCTION("""COMPUTED_VALUE"""),0.125)</f>
        <v>0.125</v>
      </c>
      <c r="J96" s="19">
        <f>IFERROR(__xludf.DUMMYFUNCTION("""COMPUTED_VALUE"""),0.25)</f>
        <v>0.25</v>
      </c>
      <c r="K96" s="19">
        <f>IFERROR(__xludf.DUMMYFUNCTION("""COMPUTED_VALUE"""),0.3125)</f>
        <v>0.3125</v>
      </c>
      <c r="L96" s="19">
        <f>IFERROR(__xludf.DUMMYFUNCTION("""COMPUTED_VALUE"""),0.375)</f>
        <v>0.375</v>
      </c>
      <c r="M96" s="18">
        <f>IFERROR(__xludf.DUMMYFUNCTION("""COMPUTED_VALUE"""),4.33)</f>
        <v>4.33</v>
      </c>
    </row>
    <row r="97">
      <c r="A97" s="13" t="str">
        <f>IFERROR(__xludf.DUMMYFUNCTION("""COMPUTED_VALUE"""),"товари")</f>
        <v>товари</v>
      </c>
      <c r="B97" s="16" t="str">
        <f>IFERROR(__xludf.DUMMYFUNCTION("""COMPUTED_VALUE"""),"авто-, мото")</f>
        <v>авто-, мото</v>
      </c>
      <c r="C97" s="16" t="str">
        <f>IFERROR(__xludf.DUMMYFUNCTION("""COMPUTED_VALUE"""),"аксесуари для авто")</f>
        <v>аксесуари для авто</v>
      </c>
      <c r="D97" s="16" t="str">
        <f>IFERROR(__xludf.DUMMYFUNCTION("""COMPUTED_VALUE"""),"аксесуари салону автомобіля")</f>
        <v>аксесуари салону автомобіля</v>
      </c>
      <c r="E97" s="16" t="str">
        <f>IFERROR(__xludf.DUMMYFUNCTION("""COMPUTED_VALUE"""),"автомобільні попільнички")</f>
        <v>автомобільні попільнички</v>
      </c>
      <c r="F97" s="17">
        <f>IFERROR(__xludf.DUMMYFUNCTION("""COMPUTED_VALUE"""),4.0)</f>
        <v>4</v>
      </c>
      <c r="G97" s="17" t="str">
        <f>IFERROR(__xludf.DUMMYFUNCTION("""COMPUTED_VALUE"""),"121241")</f>
        <v>121241</v>
      </c>
      <c r="H97" s="17" t="str">
        <f>IFERROR(__xludf.DUMMYFUNCTION("""COMPUTED_VALUE"""),"автомобільні попільнички")</f>
        <v>автомобільні попільнички</v>
      </c>
      <c r="I97" s="19">
        <f>IFERROR(__xludf.DUMMYFUNCTION("""COMPUTED_VALUE"""),0.0768)</f>
        <v>0.0768</v>
      </c>
      <c r="J97" s="19">
        <f>IFERROR(__xludf.DUMMYFUNCTION("""COMPUTED_VALUE"""),0.1536)</f>
        <v>0.1536</v>
      </c>
      <c r="K97" s="19">
        <f>IFERROR(__xludf.DUMMYFUNCTION("""COMPUTED_VALUE"""),0.192)</f>
        <v>0.192</v>
      </c>
      <c r="L97" s="19">
        <f>IFERROR(__xludf.DUMMYFUNCTION("""COMPUTED_VALUE"""),0.2304)</f>
        <v>0.2304</v>
      </c>
      <c r="M97" s="18">
        <f>IFERROR(__xludf.DUMMYFUNCTION("""COMPUTED_VALUE"""),2.53)</f>
        <v>2.53</v>
      </c>
    </row>
    <row r="98">
      <c r="A98" s="13" t="str">
        <f>IFERROR(__xludf.DUMMYFUNCTION("""COMPUTED_VALUE"""),"товари")</f>
        <v>товари</v>
      </c>
      <c r="B98" s="16" t="str">
        <f>IFERROR(__xludf.DUMMYFUNCTION("""COMPUTED_VALUE"""),"авто-, мото")</f>
        <v>авто-, мото</v>
      </c>
      <c r="C98" s="16" t="str">
        <f>IFERROR(__xludf.DUMMYFUNCTION("""COMPUTED_VALUE"""),"аксесуари для авто")</f>
        <v>аксесуари для авто</v>
      </c>
      <c r="D98" s="16" t="str">
        <f>IFERROR(__xludf.DUMMYFUNCTION("""COMPUTED_VALUE"""),"аксесуари для кузова автомобіля")</f>
        <v>аксесуари для кузова автомобіля</v>
      </c>
      <c r="E98" s="16" t="str">
        <f>IFERROR(__xludf.DUMMYFUNCTION("""COMPUTED_VALUE"""),"автомобільні пороги, підніжки")</f>
        <v>автомобільні пороги, підніжки</v>
      </c>
      <c r="F98" s="17">
        <f>IFERROR(__xludf.DUMMYFUNCTION("""COMPUTED_VALUE"""),4.0)</f>
        <v>4</v>
      </c>
      <c r="G98" s="17" t="str">
        <f>IFERROR(__xludf.DUMMYFUNCTION("""COMPUTED_VALUE"""),"12121001")</f>
        <v>12121001</v>
      </c>
      <c r="H98" s="17" t="str">
        <f>IFERROR(__xludf.DUMMYFUNCTION("""COMPUTED_VALUE"""),"автомобільні пороги, підніжки")</f>
        <v>автомобільні пороги, підніжки</v>
      </c>
      <c r="I98" s="19">
        <f>IFERROR(__xludf.DUMMYFUNCTION("""COMPUTED_VALUE"""),0.053)</f>
        <v>0.053</v>
      </c>
      <c r="J98" s="19">
        <f>IFERROR(__xludf.DUMMYFUNCTION("""COMPUTED_VALUE"""),0.106)</f>
        <v>0.106</v>
      </c>
      <c r="K98" s="19">
        <f>IFERROR(__xludf.DUMMYFUNCTION("""COMPUTED_VALUE"""),0.1325)</f>
        <v>0.1325</v>
      </c>
      <c r="L98" s="19">
        <f>IFERROR(__xludf.DUMMYFUNCTION("""COMPUTED_VALUE"""),0.159)</f>
        <v>0.159</v>
      </c>
      <c r="M98" s="18">
        <f>IFERROR(__xludf.DUMMYFUNCTION("""COMPUTED_VALUE"""),1.63)</f>
        <v>1.63</v>
      </c>
    </row>
    <row r="99">
      <c r="A99" s="13" t="str">
        <f>IFERROR(__xludf.DUMMYFUNCTION("""COMPUTED_VALUE"""),"товари")</f>
        <v>товари</v>
      </c>
      <c r="B99" s="16" t="str">
        <f>IFERROR(__xludf.DUMMYFUNCTION("""COMPUTED_VALUE"""),"авто-, мото")</f>
        <v>авто-, мото</v>
      </c>
      <c r="C99" s="16" t="str">
        <f>IFERROR(__xludf.DUMMYFUNCTION("""COMPUTED_VALUE"""),"автозапчастини")</f>
        <v>автозапчастини</v>
      </c>
      <c r="D99" s="16" t="str">
        <f>IFERROR(__xludf.DUMMYFUNCTION("""COMPUTED_VALUE"""),"двигуни і деталі двигуна")</f>
        <v>двигуни і деталі двигуна</v>
      </c>
      <c r="E99" s="16" t="str">
        <f>IFERROR(__xludf.DUMMYFUNCTION("""COMPUTED_VALUE"""),"автомобільні приводні ремені  ")</f>
        <v>автомобільні приводні ремені  </v>
      </c>
      <c r="F99" s="17">
        <f>IFERROR(__xludf.DUMMYFUNCTION("""COMPUTED_VALUE"""),4.0)</f>
        <v>4</v>
      </c>
      <c r="G99" s="17" t="str">
        <f>IFERROR(__xludf.DUMMYFUNCTION("""COMPUTED_VALUE"""),"34160103")</f>
        <v>34160103</v>
      </c>
      <c r="H99" s="17" t="str">
        <f>IFERROR(__xludf.DUMMYFUNCTION("""COMPUTED_VALUE"""),"автомобільні приводні ремені  ")</f>
        <v>автомобільні приводні ремені  </v>
      </c>
      <c r="I99" s="19">
        <f>IFERROR(__xludf.DUMMYFUNCTION("""COMPUTED_VALUE"""),0.0555)</f>
        <v>0.0555</v>
      </c>
      <c r="J99" s="19">
        <f>IFERROR(__xludf.DUMMYFUNCTION("""COMPUTED_VALUE"""),0.111)</f>
        <v>0.111</v>
      </c>
      <c r="K99" s="19">
        <f>IFERROR(__xludf.DUMMYFUNCTION("""COMPUTED_VALUE"""),0.1388)</f>
        <v>0.1388</v>
      </c>
      <c r="L99" s="19">
        <f>IFERROR(__xludf.DUMMYFUNCTION("""COMPUTED_VALUE"""),0.1665)</f>
        <v>0.1665</v>
      </c>
      <c r="M99" s="18">
        <f>IFERROR(__xludf.DUMMYFUNCTION("""COMPUTED_VALUE"""),1.53)</f>
        <v>1.53</v>
      </c>
    </row>
    <row r="100">
      <c r="A100" s="13" t="str">
        <f>IFERROR(__xludf.DUMMYFUNCTION("""COMPUTED_VALUE"""),"товари")</f>
        <v>товари</v>
      </c>
      <c r="B100" s="16" t="str">
        <f>IFERROR(__xludf.DUMMYFUNCTION("""COMPUTED_VALUE"""),"авто-, мото")</f>
        <v>авто-, мото</v>
      </c>
      <c r="C100" s="16" t="str">
        <f>IFERROR(__xludf.DUMMYFUNCTION("""COMPUTED_VALUE"""),"автомобільна електроніка")</f>
        <v>автомобільна електроніка</v>
      </c>
      <c r="D100" s="16" t="str">
        <f>IFERROR(__xludf.DUMMYFUNCTION("""COMPUTED_VALUE"""),"автомобільні проектори")</f>
        <v>автомобільні проектори</v>
      </c>
      <c r="E100" s="16" t="str">
        <f>IFERROR(__xludf.DUMMYFUNCTION("""COMPUTED_VALUE"""),"автомобільні проектори")</f>
        <v>автомобільні проектори</v>
      </c>
      <c r="F100" s="17">
        <f>IFERROR(__xludf.DUMMYFUNCTION("""COMPUTED_VALUE"""),3.0)</f>
        <v>3</v>
      </c>
      <c r="G100" s="17" t="str">
        <f>IFERROR(__xludf.DUMMYFUNCTION("""COMPUTED_VALUE"""),"340438")</f>
        <v>340438</v>
      </c>
      <c r="H100" s="17" t="str">
        <f>IFERROR(__xludf.DUMMYFUNCTION("""COMPUTED_VALUE"""),"автомобільні проектори")</f>
        <v>автомобільні проектори</v>
      </c>
      <c r="I100" s="19">
        <f>IFERROR(__xludf.DUMMYFUNCTION("""COMPUTED_VALUE"""),0.0778)</f>
        <v>0.0778</v>
      </c>
      <c r="J100" s="19">
        <f>IFERROR(__xludf.DUMMYFUNCTION("""COMPUTED_VALUE"""),0.1555)</f>
        <v>0.1555</v>
      </c>
      <c r="K100" s="19">
        <f>IFERROR(__xludf.DUMMYFUNCTION("""COMPUTED_VALUE"""),0.1944)</f>
        <v>0.1944</v>
      </c>
      <c r="L100" s="19">
        <f>IFERROR(__xludf.DUMMYFUNCTION("""COMPUTED_VALUE"""),0.2333)</f>
        <v>0.2333</v>
      </c>
      <c r="M100" s="18">
        <f>IFERROR(__xludf.DUMMYFUNCTION("""COMPUTED_VALUE"""),2.25)</f>
        <v>2.25</v>
      </c>
    </row>
    <row r="101">
      <c r="A101" s="13" t="str">
        <f>IFERROR(__xludf.DUMMYFUNCTION("""COMPUTED_VALUE"""),"товари")</f>
        <v>товари</v>
      </c>
      <c r="B101" s="16" t="str">
        <f>IFERROR(__xludf.DUMMYFUNCTION("""COMPUTED_VALUE"""),"авто-, мото")</f>
        <v>авто-, мото</v>
      </c>
      <c r="C101" s="16" t="str">
        <f>IFERROR(__xludf.DUMMYFUNCTION("""COMPUTED_VALUE"""),"аксесуари для авто")</f>
        <v>аксесуари для авто</v>
      </c>
      <c r="D101" s="16" t="str">
        <f>IFERROR(__xludf.DUMMYFUNCTION("""COMPUTED_VALUE"""),"автомобільні електронні аксесуари")</f>
        <v>автомобільні електронні аксесуари</v>
      </c>
      <c r="E101" s="16" t="str">
        <f>IFERROR(__xludf.DUMMYFUNCTION("""COMPUTED_VALUE"""),"автомобільні пуско-зарядні пристрої")</f>
        <v>автомобільні пуско-зарядні пристрої</v>
      </c>
      <c r="F101" s="17">
        <f>IFERROR(__xludf.DUMMYFUNCTION("""COMPUTED_VALUE"""),4.0)</f>
        <v>4</v>
      </c>
      <c r="G101" s="17" t="str">
        <f>IFERROR(__xludf.DUMMYFUNCTION("""COMPUTED_VALUE"""),"410202")</f>
        <v>410202</v>
      </c>
      <c r="H101" s="17" t="str">
        <f>IFERROR(__xludf.DUMMYFUNCTION("""COMPUTED_VALUE"""),"автомобільні пуско-зарядні пристрої")</f>
        <v>автомобільні пуско-зарядні пристрої</v>
      </c>
      <c r="I101" s="19">
        <f>IFERROR(__xludf.DUMMYFUNCTION("""COMPUTED_VALUE"""),0.0733)</f>
        <v>0.0733</v>
      </c>
      <c r="J101" s="19">
        <f>IFERROR(__xludf.DUMMYFUNCTION("""COMPUTED_VALUE"""),0.1466)</f>
        <v>0.1466</v>
      </c>
      <c r="K101" s="19">
        <f>IFERROR(__xludf.DUMMYFUNCTION("""COMPUTED_VALUE"""),0.1833)</f>
        <v>0.1833</v>
      </c>
      <c r="L101" s="19">
        <f>IFERROR(__xludf.DUMMYFUNCTION("""COMPUTED_VALUE"""),0.2199)</f>
        <v>0.2199</v>
      </c>
      <c r="M101" s="18">
        <f>IFERROR(__xludf.DUMMYFUNCTION("""COMPUTED_VALUE"""),2.88)</f>
        <v>2.88</v>
      </c>
    </row>
    <row r="102">
      <c r="A102" s="13" t="str">
        <f>IFERROR(__xludf.DUMMYFUNCTION("""COMPUTED_VALUE"""),"товари")</f>
        <v>товари</v>
      </c>
      <c r="B102" s="16" t="str">
        <f>IFERROR(__xludf.DUMMYFUNCTION("""COMPUTED_VALUE"""),"авто-, мото")</f>
        <v>авто-, мото</v>
      </c>
      <c r="C102" s="16" t="str">
        <f>IFERROR(__xludf.DUMMYFUNCTION("""COMPUTED_VALUE"""),"аксесуари для авто")</f>
        <v>аксесуари для авто</v>
      </c>
      <c r="D102" s="16" t="str">
        <f>IFERROR(__xludf.DUMMYFUNCTION("""COMPUTED_VALUE"""),"багажники і кріплення на дах")</f>
        <v>багажники і кріплення на дах</v>
      </c>
      <c r="E102" s="16" t="str">
        <f>IFERROR(__xludf.DUMMYFUNCTION("""COMPUTED_VALUE"""),"автомобільні рейлінги")</f>
        <v>автомобільні рейлінги</v>
      </c>
      <c r="F102" s="17">
        <f>IFERROR(__xludf.DUMMYFUNCTION("""COMPUTED_VALUE"""),4.0)</f>
        <v>4</v>
      </c>
      <c r="G102" s="17" t="str">
        <f>IFERROR(__xludf.DUMMYFUNCTION("""COMPUTED_VALUE"""),"12125702")</f>
        <v>12125702</v>
      </c>
      <c r="H102" s="17" t="str">
        <f>IFERROR(__xludf.DUMMYFUNCTION("""COMPUTED_VALUE"""),"автомобільні рейлінги")</f>
        <v>автомобільні рейлінги</v>
      </c>
      <c r="I102" s="19">
        <f>IFERROR(__xludf.DUMMYFUNCTION("""COMPUTED_VALUE"""),0.0717)</f>
        <v>0.0717</v>
      </c>
      <c r="J102" s="19">
        <f>IFERROR(__xludf.DUMMYFUNCTION("""COMPUTED_VALUE"""),0.1433)</f>
        <v>0.1433</v>
      </c>
      <c r="K102" s="19">
        <f>IFERROR(__xludf.DUMMYFUNCTION("""COMPUTED_VALUE"""),0.1791)</f>
        <v>0.1791</v>
      </c>
      <c r="L102" s="19">
        <f>IFERROR(__xludf.DUMMYFUNCTION("""COMPUTED_VALUE"""),0.215)</f>
        <v>0.215</v>
      </c>
      <c r="M102" s="18">
        <f>IFERROR(__xludf.DUMMYFUNCTION("""COMPUTED_VALUE"""),1.63)</f>
        <v>1.63</v>
      </c>
    </row>
    <row r="103">
      <c r="A103" s="13" t="str">
        <f>IFERROR(__xludf.DUMMYFUNCTION("""COMPUTED_VALUE"""),"товари")</f>
        <v>товари</v>
      </c>
      <c r="B103" s="16" t="str">
        <f>IFERROR(__xludf.DUMMYFUNCTION("""COMPUTED_VALUE"""),"авто-, мото")</f>
        <v>авто-, мото</v>
      </c>
      <c r="C103" s="16" t="str">
        <f>IFERROR(__xludf.DUMMYFUNCTION("""COMPUTED_VALUE"""),"електрообладнання автомобілів")</f>
        <v>електрообладнання автомобілів</v>
      </c>
      <c r="D103" s="16" t="str">
        <f>IFERROR(__xludf.DUMMYFUNCTION("""COMPUTED_VALUE"""),"автомобільні реле і датчики")</f>
        <v>автомобільні реле і датчики</v>
      </c>
      <c r="E103" s="16" t="str">
        <f>IFERROR(__xludf.DUMMYFUNCTION("""COMPUTED_VALUE"""),"автомобільні реле і датчики")</f>
        <v>автомобільні реле і датчики</v>
      </c>
      <c r="F103" s="17">
        <f>IFERROR(__xludf.DUMMYFUNCTION("""COMPUTED_VALUE"""),3.0)</f>
        <v>3</v>
      </c>
      <c r="G103" s="17" t="str">
        <f>IFERROR(__xludf.DUMMYFUNCTION("""COMPUTED_VALUE"""),"12020304")</f>
        <v>12020304</v>
      </c>
      <c r="H103" s="17" t="str">
        <f>IFERROR(__xludf.DUMMYFUNCTION("""COMPUTED_VALUE"""),"автомобільні реле і датчики")</f>
        <v>автомобільні реле і датчики</v>
      </c>
      <c r="I103" s="19">
        <f>IFERROR(__xludf.DUMMYFUNCTION("""COMPUTED_VALUE"""),0.0551)</f>
        <v>0.0551</v>
      </c>
      <c r="J103" s="19">
        <f>IFERROR(__xludf.DUMMYFUNCTION("""COMPUTED_VALUE"""),0.1101)</f>
        <v>0.1101</v>
      </c>
      <c r="K103" s="19">
        <f>IFERROR(__xludf.DUMMYFUNCTION("""COMPUTED_VALUE"""),0.1376)</f>
        <v>0.1376</v>
      </c>
      <c r="L103" s="19">
        <f>IFERROR(__xludf.DUMMYFUNCTION("""COMPUTED_VALUE"""),0.1652)</f>
        <v>0.1652</v>
      </c>
      <c r="M103" s="18">
        <f>IFERROR(__xludf.DUMMYFUNCTION("""COMPUTED_VALUE"""),1.05)</f>
        <v>1.05</v>
      </c>
    </row>
    <row r="104">
      <c r="A104" s="13" t="str">
        <f>IFERROR(__xludf.DUMMYFUNCTION("""COMPUTED_VALUE"""),"товари")</f>
        <v>товари</v>
      </c>
      <c r="B104" s="16" t="str">
        <f>IFERROR(__xludf.DUMMYFUNCTION("""COMPUTED_VALUE"""),"авто-, мото")</f>
        <v>авто-, мото</v>
      </c>
      <c r="C104" s="16" t="str">
        <f>IFERROR(__xludf.DUMMYFUNCTION("""COMPUTED_VALUE"""),"автозапчастини")</f>
        <v>автозапчастини</v>
      </c>
      <c r="D104" s="16" t="str">
        <f>IFERROR(__xludf.DUMMYFUNCTION("""COMPUTED_VALUE"""),"деталі салону автомобіля")</f>
        <v>деталі салону автомобіля</v>
      </c>
      <c r="E104" s="16" t="str">
        <f>IFERROR(__xludf.DUMMYFUNCTION("""COMPUTED_VALUE"""),"автомобільні ремені і подушки безпеки")</f>
        <v>автомобільні ремені і подушки безпеки</v>
      </c>
      <c r="F104" s="17">
        <f>IFERROR(__xludf.DUMMYFUNCTION("""COMPUTED_VALUE"""),4.0)</f>
        <v>4</v>
      </c>
      <c r="G104" s="17" t="str">
        <f>IFERROR(__xludf.DUMMYFUNCTION("""COMPUTED_VALUE"""),"341547")</f>
        <v>341547</v>
      </c>
      <c r="H104" s="17" t="str">
        <f>IFERROR(__xludf.DUMMYFUNCTION("""COMPUTED_VALUE"""),"автомобільні ремені і подушки безпеки")</f>
        <v>автомобільні ремені і подушки безпеки</v>
      </c>
      <c r="I104" s="19">
        <f>IFERROR(__xludf.DUMMYFUNCTION("""COMPUTED_VALUE"""),0.0604)</f>
        <v>0.0604</v>
      </c>
      <c r="J104" s="19">
        <f>IFERROR(__xludf.DUMMYFUNCTION("""COMPUTED_VALUE"""),0.1207)</f>
        <v>0.1207</v>
      </c>
      <c r="K104" s="19">
        <f>IFERROR(__xludf.DUMMYFUNCTION("""COMPUTED_VALUE"""),0.1509)</f>
        <v>0.1509</v>
      </c>
      <c r="L104" s="19">
        <f>IFERROR(__xludf.DUMMYFUNCTION("""COMPUTED_VALUE"""),0.1811)</f>
        <v>0.1811</v>
      </c>
      <c r="M104" s="18">
        <f>IFERROR(__xludf.DUMMYFUNCTION("""COMPUTED_VALUE"""),1.05)</f>
        <v>1.05</v>
      </c>
    </row>
    <row r="105">
      <c r="A105" s="13" t="str">
        <f>IFERROR(__xludf.DUMMYFUNCTION("""COMPUTED_VALUE"""),"товари")</f>
        <v>товари</v>
      </c>
      <c r="B105" s="16" t="str">
        <f>IFERROR(__xludf.DUMMYFUNCTION("""COMPUTED_VALUE"""),"авто-, мото")</f>
        <v>авто-, мото</v>
      </c>
      <c r="C105" s="16" t="str">
        <f>IFERROR(__xludf.DUMMYFUNCTION("""COMPUTED_VALUE"""),"аксесуари для авто")</f>
        <v>аксесуари для авто</v>
      </c>
      <c r="D105" s="16" t="str">
        <f>IFERROR(__xludf.DUMMYFUNCTION("""COMPUTED_VALUE"""),"аксесуари для автотюнингу")</f>
        <v>аксесуари для автотюнингу</v>
      </c>
      <c r="E105" s="16" t="str">
        <f>IFERROR(__xludf.DUMMYFUNCTION("""COMPUTED_VALUE"""),"автомобільні решітки на бампери і радіатори")</f>
        <v>автомобільні решітки на бампери і радіатори</v>
      </c>
      <c r="F105" s="17">
        <f>IFERROR(__xludf.DUMMYFUNCTION("""COMPUTED_VALUE"""),4.0)</f>
        <v>4</v>
      </c>
      <c r="G105" s="17" t="str">
        <f>IFERROR(__xludf.DUMMYFUNCTION("""COMPUTED_VALUE"""),"121227")</f>
        <v>121227</v>
      </c>
      <c r="H105" s="17" t="str">
        <f>IFERROR(__xludf.DUMMYFUNCTION("""COMPUTED_VALUE"""),"автомобільні решітки на бампери і радіатори")</f>
        <v>автомобільні решітки на бампери і радіатори</v>
      </c>
      <c r="I105" s="19">
        <f>IFERROR(__xludf.DUMMYFUNCTION("""COMPUTED_VALUE"""),0.0745)</f>
        <v>0.0745</v>
      </c>
      <c r="J105" s="19">
        <f>IFERROR(__xludf.DUMMYFUNCTION("""COMPUTED_VALUE"""),0.149)</f>
        <v>0.149</v>
      </c>
      <c r="K105" s="19">
        <f>IFERROR(__xludf.DUMMYFUNCTION("""COMPUTED_VALUE"""),0.1863)</f>
        <v>0.1863</v>
      </c>
      <c r="L105" s="19">
        <f>IFERROR(__xludf.DUMMYFUNCTION("""COMPUTED_VALUE"""),0.2235)</f>
        <v>0.2235</v>
      </c>
      <c r="M105" s="18">
        <f>IFERROR(__xludf.DUMMYFUNCTION("""COMPUTED_VALUE"""),1.53)</f>
        <v>1.53</v>
      </c>
    </row>
    <row r="106">
      <c r="A106" s="13" t="str">
        <f>IFERROR(__xludf.DUMMYFUNCTION("""COMPUTED_VALUE"""),"товари")</f>
        <v>товари</v>
      </c>
      <c r="B106" s="16" t="str">
        <f>IFERROR(__xludf.DUMMYFUNCTION("""COMPUTED_VALUE"""),"авто-, мото")</f>
        <v>авто-, мото</v>
      </c>
      <c r="C106" s="16" t="str">
        <f>IFERROR(__xludf.DUMMYFUNCTION("""COMPUTED_VALUE"""),"аксесуари для авто")</f>
        <v>аксесуари для авто</v>
      </c>
      <c r="D106" s="16" t="str">
        <f>IFERROR(__xludf.DUMMYFUNCTION("""COMPUTED_VALUE"""),"автомобільні електронні аксесуари")</f>
        <v>автомобільні електронні аксесуари</v>
      </c>
      <c r="E106" s="16" t="str">
        <f>IFERROR(__xludf.DUMMYFUNCTION("""COMPUTED_VALUE"""),"автомобільні салонні вентилятори")</f>
        <v>автомобільні салонні вентилятори</v>
      </c>
      <c r="F106" s="17">
        <f>IFERROR(__xludf.DUMMYFUNCTION("""COMPUTED_VALUE"""),4.0)</f>
        <v>4</v>
      </c>
      <c r="G106" s="17" t="str">
        <f>IFERROR(__xludf.DUMMYFUNCTION("""COMPUTED_VALUE"""),"12125904")</f>
        <v>12125904</v>
      </c>
      <c r="H106" s="17" t="str">
        <f>IFERROR(__xludf.DUMMYFUNCTION("""COMPUTED_VALUE"""),"автомобільні салонні вентилятори")</f>
        <v>автомобільні салонні вентилятори</v>
      </c>
      <c r="I106" s="19">
        <f>IFERROR(__xludf.DUMMYFUNCTION("""COMPUTED_VALUE"""),0.0729)</f>
        <v>0.0729</v>
      </c>
      <c r="J106" s="19">
        <f>IFERROR(__xludf.DUMMYFUNCTION("""COMPUTED_VALUE"""),0.1458)</f>
        <v>0.1458</v>
      </c>
      <c r="K106" s="19">
        <f>IFERROR(__xludf.DUMMYFUNCTION("""COMPUTED_VALUE"""),0.1823)</f>
        <v>0.1823</v>
      </c>
      <c r="L106" s="19">
        <f>IFERROR(__xludf.DUMMYFUNCTION("""COMPUTED_VALUE"""),0.2187)</f>
        <v>0.2187</v>
      </c>
      <c r="M106" s="18">
        <f>IFERROR(__xludf.DUMMYFUNCTION("""COMPUTED_VALUE"""),2.88)</f>
        <v>2.88</v>
      </c>
    </row>
    <row r="107">
      <c r="A107" s="13" t="str">
        <f>IFERROR(__xludf.DUMMYFUNCTION("""COMPUTED_VALUE"""),"товари")</f>
        <v>товари</v>
      </c>
      <c r="B107" s="16" t="str">
        <f>IFERROR(__xludf.DUMMYFUNCTION("""COMPUTED_VALUE"""),"авто-, мото")</f>
        <v>авто-, мото</v>
      </c>
      <c r="C107" s="16" t="str">
        <f>IFERROR(__xludf.DUMMYFUNCTION("""COMPUTED_VALUE"""),"автохімія, автокосметика і автомастила")</f>
        <v>автохімія, автокосметика і автомастила</v>
      </c>
      <c r="D107" s="16" t="str">
        <f>IFERROR(__xludf.DUMMYFUNCTION("""COMPUTED_VALUE"""),"автомобільні серветки та губки")</f>
        <v>автомобільні серветки та губки</v>
      </c>
      <c r="E107" s="16" t="str">
        <f>IFERROR(__xludf.DUMMYFUNCTION("""COMPUTED_VALUE"""),"автомобільні серветки та губки")</f>
        <v>автомобільні серветки та губки</v>
      </c>
      <c r="F107" s="17">
        <f>IFERROR(__xludf.DUMMYFUNCTION("""COMPUTED_VALUE"""),3.0)</f>
        <v>3</v>
      </c>
      <c r="G107" s="17" t="str">
        <f>IFERROR(__xludf.DUMMYFUNCTION("""COMPUTED_VALUE"""),"341607")</f>
        <v>341607</v>
      </c>
      <c r="H107" s="17" t="str">
        <f>IFERROR(__xludf.DUMMYFUNCTION("""COMPUTED_VALUE"""),"автомобільні серветки та губки")</f>
        <v>автомобільні серветки та губки</v>
      </c>
      <c r="I107" s="19">
        <f>IFERROR(__xludf.DUMMYFUNCTION("""COMPUTED_VALUE"""),0.0771)</f>
        <v>0.0771</v>
      </c>
      <c r="J107" s="19">
        <f>IFERROR(__xludf.DUMMYFUNCTION("""COMPUTED_VALUE"""),0.1542)</f>
        <v>0.1542</v>
      </c>
      <c r="K107" s="19">
        <f>IFERROR(__xludf.DUMMYFUNCTION("""COMPUTED_VALUE"""),0.1928)</f>
        <v>0.1928</v>
      </c>
      <c r="L107" s="19">
        <f>IFERROR(__xludf.DUMMYFUNCTION("""COMPUTED_VALUE"""),0.2313)</f>
        <v>0.2313</v>
      </c>
      <c r="M107" s="18">
        <f>IFERROR(__xludf.DUMMYFUNCTION("""COMPUTED_VALUE"""),1.05)</f>
        <v>1.05</v>
      </c>
    </row>
    <row r="108">
      <c r="A108" s="13" t="str">
        <f>IFERROR(__xludf.DUMMYFUNCTION("""COMPUTED_VALUE"""),"товари")</f>
        <v>товари</v>
      </c>
      <c r="B108" s="16" t="str">
        <f>IFERROR(__xludf.DUMMYFUNCTION("""COMPUTED_VALUE"""),"авто-, мото")</f>
        <v>авто-, мото</v>
      </c>
      <c r="C108" s="16" t="str">
        <f>IFERROR(__xludf.DUMMYFUNCTION("""COMPUTED_VALUE"""),"автозапчастини")</f>
        <v>автозапчастини</v>
      </c>
      <c r="D108" s="16" t="str">
        <f>IFERROR(__xludf.DUMMYFUNCTION("""COMPUTED_VALUE"""),"деталі салону автомобіля")</f>
        <v>деталі салону автомобіля</v>
      </c>
      <c r="E108" s="16" t="str">
        <f>IFERROR(__xludf.DUMMYFUNCTION("""COMPUTED_VALUE"""),"автомобільні сидіння ")</f>
        <v>автомобільні сидіння </v>
      </c>
      <c r="F108" s="17">
        <f>IFERROR(__xludf.DUMMYFUNCTION("""COMPUTED_VALUE"""),4.0)</f>
        <v>4</v>
      </c>
      <c r="G108" s="17" t="str">
        <f>IFERROR(__xludf.DUMMYFUNCTION("""COMPUTED_VALUE"""),"120233")</f>
        <v>120233</v>
      </c>
      <c r="H108" s="17" t="str">
        <f>IFERROR(__xludf.DUMMYFUNCTION("""COMPUTED_VALUE"""),"автомобільні сидіння ")</f>
        <v>автомобільні сидіння </v>
      </c>
      <c r="I108" s="19">
        <f>IFERROR(__xludf.DUMMYFUNCTION("""COMPUTED_VALUE"""),0.0604)</f>
        <v>0.0604</v>
      </c>
      <c r="J108" s="19">
        <f>IFERROR(__xludf.DUMMYFUNCTION("""COMPUTED_VALUE"""),0.1207)</f>
        <v>0.1207</v>
      </c>
      <c r="K108" s="19">
        <f>IFERROR(__xludf.DUMMYFUNCTION("""COMPUTED_VALUE"""),0.1509)</f>
        <v>0.1509</v>
      </c>
      <c r="L108" s="19">
        <f>IFERROR(__xludf.DUMMYFUNCTION("""COMPUTED_VALUE"""),0.1811)</f>
        <v>0.1811</v>
      </c>
      <c r="M108" s="18">
        <f>IFERROR(__xludf.DUMMYFUNCTION("""COMPUTED_VALUE"""),1.05)</f>
        <v>1.05</v>
      </c>
    </row>
    <row r="109">
      <c r="A109" s="13" t="str">
        <f>IFERROR(__xludf.DUMMYFUNCTION("""COMPUTED_VALUE"""),"товари")</f>
        <v>товари</v>
      </c>
      <c r="B109" s="16" t="str">
        <f>IFERROR(__xludf.DUMMYFUNCTION("""COMPUTED_VALUE"""),"авто-, мото")</f>
        <v>авто-, мото</v>
      </c>
      <c r="C109" s="16" t="str">
        <f>IFERROR(__xludf.DUMMYFUNCTION("""COMPUTED_VALUE"""),"автохімія, автокосметика і автомастила")</f>
        <v>автохімія, автокосметика і автомастила</v>
      </c>
      <c r="D109" s="16" t="str">
        <f>IFERROR(__xludf.DUMMYFUNCTION("""COMPUTED_VALUE"""),"авто, мото масла, мастила та рідини")</f>
        <v>авто, мото масла, мастила та рідини</v>
      </c>
      <c r="E109" s="16" t="str">
        <f>IFERROR(__xludf.DUMMYFUNCTION("""COMPUTED_VALUE"""),"автомобільні універсальні мастила")</f>
        <v>автомобільні універсальні мастила</v>
      </c>
      <c r="F109" s="17">
        <f>IFERROR(__xludf.DUMMYFUNCTION("""COMPUTED_VALUE"""),4.0)</f>
        <v>4</v>
      </c>
      <c r="G109" s="17" t="str">
        <f>IFERROR(__xludf.DUMMYFUNCTION("""COMPUTED_VALUE"""),"341019")</f>
        <v>341019</v>
      </c>
      <c r="H109" s="17" t="str">
        <f>IFERROR(__xludf.DUMMYFUNCTION("""COMPUTED_VALUE"""),"автомобільні універсальні мастила")</f>
        <v>автомобільні універсальні мастила</v>
      </c>
      <c r="I109" s="19">
        <f>IFERROR(__xludf.DUMMYFUNCTION("""COMPUTED_VALUE"""),0.0763)</f>
        <v>0.0763</v>
      </c>
      <c r="J109" s="19">
        <f>IFERROR(__xludf.DUMMYFUNCTION("""COMPUTED_VALUE"""),0.1526)</f>
        <v>0.1526</v>
      </c>
      <c r="K109" s="19">
        <f>IFERROR(__xludf.DUMMYFUNCTION("""COMPUTED_VALUE"""),0.1908)</f>
        <v>0.1908</v>
      </c>
      <c r="L109" s="19">
        <f>IFERROR(__xludf.DUMMYFUNCTION("""COMPUTED_VALUE"""),0.2289)</f>
        <v>0.2289</v>
      </c>
      <c r="M109" s="18">
        <f>IFERROR(__xludf.DUMMYFUNCTION("""COMPUTED_VALUE"""),2.88)</f>
        <v>2.88</v>
      </c>
    </row>
    <row r="110">
      <c r="A110" s="13" t="str">
        <f>IFERROR(__xludf.DUMMYFUNCTION("""COMPUTED_VALUE"""),"товари")</f>
        <v>товари</v>
      </c>
      <c r="B110" s="16" t="str">
        <f>IFERROR(__xludf.DUMMYFUNCTION("""COMPUTED_VALUE"""),"авто-, мото")</f>
        <v>авто-, мото</v>
      </c>
      <c r="C110" s="16" t="str">
        <f>IFERROR(__xludf.DUMMYFUNCTION("""COMPUTED_VALUE"""),"аксесуари для авто")</f>
        <v>аксесуари для авто</v>
      </c>
      <c r="D110" s="16" t="str">
        <f>IFERROR(__xludf.DUMMYFUNCTION("""COMPUTED_VALUE"""),"автомобільні утеплювачі")</f>
        <v>автомобільні утеплювачі</v>
      </c>
      <c r="E110" s="16" t="str">
        <f>IFERROR(__xludf.DUMMYFUNCTION("""COMPUTED_VALUE"""),"автомобільні утеплювачі")</f>
        <v>автомобільні утеплювачі</v>
      </c>
      <c r="F110" s="17">
        <f>IFERROR(__xludf.DUMMYFUNCTION("""COMPUTED_VALUE"""),3.0)</f>
        <v>3</v>
      </c>
      <c r="G110" s="17" t="str">
        <f>IFERROR(__xludf.DUMMYFUNCTION("""COMPUTED_VALUE"""),"121236")</f>
        <v>121236</v>
      </c>
      <c r="H110" s="17" t="str">
        <f>IFERROR(__xludf.DUMMYFUNCTION("""COMPUTED_VALUE"""),"автомобільні утеплювачі")</f>
        <v>автомобільні утеплювачі</v>
      </c>
      <c r="I110" s="19">
        <f>IFERROR(__xludf.DUMMYFUNCTION("""COMPUTED_VALUE"""),0.0749)</f>
        <v>0.0749</v>
      </c>
      <c r="J110" s="19">
        <f>IFERROR(__xludf.DUMMYFUNCTION("""COMPUTED_VALUE"""),0.1497)</f>
        <v>0.1497</v>
      </c>
      <c r="K110" s="19">
        <f>IFERROR(__xludf.DUMMYFUNCTION("""COMPUTED_VALUE"""),0.1871)</f>
        <v>0.1871</v>
      </c>
      <c r="L110" s="19">
        <f>IFERROR(__xludf.DUMMYFUNCTION("""COMPUTED_VALUE"""),0.2246)</f>
        <v>0.2246</v>
      </c>
      <c r="M110" s="18">
        <f>IFERROR(__xludf.DUMMYFUNCTION("""COMPUTED_VALUE"""),1.05)</f>
        <v>1.05</v>
      </c>
    </row>
    <row r="111">
      <c r="A111" s="13" t="str">
        <f>IFERROR(__xludf.DUMMYFUNCTION("""COMPUTED_VALUE"""),"товари")</f>
        <v>товари</v>
      </c>
      <c r="B111" s="16" t="str">
        <f>IFERROR(__xludf.DUMMYFUNCTION("""COMPUTED_VALUE"""),"авто-, мото")</f>
        <v>авто-, мото</v>
      </c>
      <c r="C111" s="16" t="str">
        <f>IFERROR(__xludf.DUMMYFUNCTION("""COMPUTED_VALUE"""),"аксесуари для авто")</f>
        <v>аксесуари для авто</v>
      </c>
      <c r="D111" s="16" t="str">
        <f>IFERROR(__xludf.DUMMYFUNCTION("""COMPUTED_VALUE"""),"аксесуари для кузова автомобіля")</f>
        <v>аксесуари для кузова автомобіля</v>
      </c>
      <c r="E111" s="16" t="str">
        <f>IFERROR(__xludf.DUMMYFUNCTION("""COMPUTED_VALUE"""),"автомобільні ущільнювачі")</f>
        <v>автомобільні ущільнювачі</v>
      </c>
      <c r="F111" s="17">
        <f>IFERROR(__xludf.DUMMYFUNCTION("""COMPUTED_VALUE"""),4.0)</f>
        <v>4</v>
      </c>
      <c r="G111" s="17" t="str">
        <f>IFERROR(__xludf.DUMMYFUNCTION("""COMPUTED_VALUE"""),"12126803")</f>
        <v>12126803</v>
      </c>
      <c r="H111" s="17" t="str">
        <f>IFERROR(__xludf.DUMMYFUNCTION("""COMPUTED_VALUE"""),"автомобільні ущільнювачі")</f>
        <v>автомобільні ущільнювачі</v>
      </c>
      <c r="I111" s="19">
        <f>IFERROR(__xludf.DUMMYFUNCTION("""COMPUTED_VALUE"""),0.0594)</f>
        <v>0.0594</v>
      </c>
      <c r="J111" s="19">
        <f>IFERROR(__xludf.DUMMYFUNCTION("""COMPUTED_VALUE"""),0.1187)</f>
        <v>0.1187</v>
      </c>
      <c r="K111" s="19">
        <f>IFERROR(__xludf.DUMMYFUNCTION("""COMPUTED_VALUE"""),0.1484)</f>
        <v>0.1484</v>
      </c>
      <c r="L111" s="19">
        <f>IFERROR(__xludf.DUMMYFUNCTION("""COMPUTED_VALUE"""),0.1781)</f>
        <v>0.1781</v>
      </c>
      <c r="M111" s="18">
        <f>IFERROR(__xludf.DUMMYFUNCTION("""COMPUTED_VALUE"""),1.63)</f>
        <v>1.63</v>
      </c>
    </row>
    <row r="112">
      <c r="A112" s="13" t="str">
        <f>IFERROR(__xludf.DUMMYFUNCTION("""COMPUTED_VALUE"""),"товари")</f>
        <v>товари</v>
      </c>
      <c r="B112" s="16" t="str">
        <f>IFERROR(__xludf.DUMMYFUNCTION("""COMPUTED_VALUE"""),"авто-, мото")</f>
        <v>авто-, мото</v>
      </c>
      <c r="C112" s="16" t="str">
        <f>IFERROR(__xludf.DUMMYFUNCTION("""COMPUTED_VALUE"""),"автохімія, автокосметика і автомастила")</f>
        <v>автохімія, автокосметика і автомастила</v>
      </c>
      <c r="D112" s="16" t="str">
        <f>IFERROR(__xludf.DUMMYFUNCTION("""COMPUTED_VALUE"""),"автокраски, автоемалі")</f>
        <v>автокраски, автоемалі</v>
      </c>
      <c r="E112" s="16" t="str">
        <f>IFERROR(__xludf.DUMMYFUNCTION("""COMPUTED_VALUE"""),"автомобільні фарби, лаки та грунтовки")</f>
        <v>автомобільні фарби, лаки та грунтовки</v>
      </c>
      <c r="F112" s="17">
        <f>IFERROR(__xludf.DUMMYFUNCTION("""COMPUTED_VALUE"""),4.0)</f>
        <v>4</v>
      </c>
      <c r="G112" s="17" t="str">
        <f>IFERROR(__xludf.DUMMYFUNCTION("""COMPUTED_VALUE"""),"81103")</f>
        <v>81103</v>
      </c>
      <c r="H112" s="17" t="str">
        <f>IFERROR(__xludf.DUMMYFUNCTION("""COMPUTED_VALUE"""),"автомобільні фарби, лаки та грунтовки")</f>
        <v>автомобільні фарби, лаки та грунтовки</v>
      </c>
      <c r="I112" s="19">
        <f>IFERROR(__xludf.DUMMYFUNCTION("""COMPUTED_VALUE"""),0.0678)</f>
        <v>0.0678</v>
      </c>
      <c r="J112" s="19">
        <f>IFERROR(__xludf.DUMMYFUNCTION("""COMPUTED_VALUE"""),0.1355)</f>
        <v>0.1355</v>
      </c>
      <c r="K112" s="19">
        <f>IFERROR(__xludf.DUMMYFUNCTION("""COMPUTED_VALUE"""),0.1694)</f>
        <v>0.1694</v>
      </c>
      <c r="L112" s="19">
        <f>IFERROR(__xludf.DUMMYFUNCTION("""COMPUTED_VALUE"""),0.2033)</f>
        <v>0.2033</v>
      </c>
      <c r="M112" s="18">
        <f>IFERROR(__xludf.DUMMYFUNCTION("""COMPUTED_VALUE"""),1.05)</f>
        <v>1.05</v>
      </c>
    </row>
    <row r="113">
      <c r="A113" s="13" t="str">
        <f>IFERROR(__xludf.DUMMYFUNCTION("""COMPUTED_VALUE"""),"товари")</f>
        <v>товари</v>
      </c>
      <c r="B113" s="16" t="str">
        <f>IFERROR(__xludf.DUMMYFUNCTION("""COMPUTED_VALUE"""),"авто-, мото")</f>
        <v>авто-, мото</v>
      </c>
      <c r="C113" s="16" t="str">
        <f>IFERROR(__xludf.DUMMYFUNCTION("""COMPUTED_VALUE"""),"автозапчастини")</f>
        <v>автозапчастини</v>
      </c>
      <c r="D113" s="16" t="str">
        <f>IFERROR(__xludf.DUMMYFUNCTION("""COMPUTED_VALUE"""),"фільтри для авто-, мото- і вантажної техніки")</f>
        <v>фільтри для авто-, мото- і вантажної техніки</v>
      </c>
      <c r="E113" s="16" t="str">
        <f>IFERROR(__xludf.DUMMYFUNCTION("""COMPUTED_VALUE"""),"автомобільні фільтри, загальне")</f>
        <v>автомобільні фільтри, загальне</v>
      </c>
      <c r="F113" s="17">
        <f>IFERROR(__xludf.DUMMYFUNCTION("""COMPUTED_VALUE"""),4.0)</f>
        <v>4</v>
      </c>
      <c r="G113" s="17" t="str">
        <f>IFERROR(__xludf.DUMMYFUNCTION("""COMPUTED_VALUE"""),"12021005")</f>
        <v>12021005</v>
      </c>
      <c r="H113" s="17" t="str">
        <f>IFERROR(__xludf.DUMMYFUNCTION("""COMPUTED_VALUE"""),"автомобільні фільтри, загальне")</f>
        <v>автомобільні фільтри, загальне</v>
      </c>
      <c r="I113" s="19">
        <f>IFERROR(__xludf.DUMMYFUNCTION("""COMPUTED_VALUE"""),0.125)</f>
        <v>0.125</v>
      </c>
      <c r="J113" s="19">
        <f>IFERROR(__xludf.DUMMYFUNCTION("""COMPUTED_VALUE"""),0.25)</f>
        <v>0.25</v>
      </c>
      <c r="K113" s="19">
        <f>IFERROR(__xludf.DUMMYFUNCTION("""COMPUTED_VALUE"""),0.3125)</f>
        <v>0.3125</v>
      </c>
      <c r="L113" s="19">
        <f>IFERROR(__xludf.DUMMYFUNCTION("""COMPUTED_VALUE"""),0.375)</f>
        <v>0.375</v>
      </c>
      <c r="M113" s="18">
        <f>IFERROR(__xludf.DUMMYFUNCTION("""COMPUTED_VALUE"""),4.33)</f>
        <v>4.33</v>
      </c>
    </row>
    <row r="114">
      <c r="A114" s="13" t="str">
        <f>IFERROR(__xludf.DUMMYFUNCTION("""COMPUTED_VALUE"""),"товари")</f>
        <v>товари</v>
      </c>
      <c r="B114" s="16" t="str">
        <f>IFERROR(__xludf.DUMMYFUNCTION("""COMPUTED_VALUE"""),"авто-, мото")</f>
        <v>авто-, мото</v>
      </c>
      <c r="C114" s="16" t="str">
        <f>IFERROR(__xludf.DUMMYFUNCTION("""COMPUTED_VALUE"""),"аксесуари для авто")</f>
        <v>аксесуари для авто</v>
      </c>
      <c r="D114" s="16" t="str">
        <f>IFERROR(__xludf.DUMMYFUNCTION("""COMPUTED_VALUE"""),"аксесуари для кузова автомобіля")</f>
        <v>аксесуари для кузова автомобіля</v>
      </c>
      <c r="E114" s="16" t="str">
        <f>IFERROR(__xludf.DUMMYFUNCTION("""COMPUTED_VALUE"""),"автомобільні чохли")</f>
        <v>автомобільні чохли</v>
      </c>
      <c r="F114" s="17">
        <f>IFERROR(__xludf.DUMMYFUNCTION("""COMPUTED_VALUE"""),4.0)</f>
        <v>4</v>
      </c>
      <c r="G114" s="17" t="str">
        <f>IFERROR(__xludf.DUMMYFUNCTION("""COMPUTED_VALUE"""),"121224")</f>
        <v>121224</v>
      </c>
      <c r="H114" s="17" t="str">
        <f>IFERROR(__xludf.DUMMYFUNCTION("""COMPUTED_VALUE"""),"автомобільні чохли")</f>
        <v>автомобільні чохли</v>
      </c>
      <c r="I114" s="19">
        <f>IFERROR(__xludf.DUMMYFUNCTION("""COMPUTED_VALUE"""),0.0763)</f>
        <v>0.0763</v>
      </c>
      <c r="J114" s="19">
        <f>IFERROR(__xludf.DUMMYFUNCTION("""COMPUTED_VALUE"""),0.1525)</f>
        <v>0.1525</v>
      </c>
      <c r="K114" s="19">
        <f>IFERROR(__xludf.DUMMYFUNCTION("""COMPUTED_VALUE"""),0.1906)</f>
        <v>0.1906</v>
      </c>
      <c r="L114" s="19">
        <f>IFERROR(__xludf.DUMMYFUNCTION("""COMPUTED_VALUE"""),0.2288)</f>
        <v>0.2288</v>
      </c>
      <c r="M114" s="18">
        <f>IFERROR(__xludf.DUMMYFUNCTION("""COMPUTED_VALUE"""),1.63)</f>
        <v>1.63</v>
      </c>
    </row>
    <row r="115">
      <c r="A115" s="13" t="str">
        <f>IFERROR(__xludf.DUMMYFUNCTION("""COMPUTED_VALUE"""),"товари")</f>
        <v>товари</v>
      </c>
      <c r="B115" s="16" t="str">
        <f>IFERROR(__xludf.DUMMYFUNCTION("""COMPUTED_VALUE"""),"авто-, мото")</f>
        <v>авто-, мото</v>
      </c>
      <c r="C115" s="16" t="str">
        <f>IFERROR(__xludf.DUMMYFUNCTION("""COMPUTED_VALUE"""),"аксесуари для авто")</f>
        <v>аксесуари для авто</v>
      </c>
      <c r="D115" s="16" t="str">
        <f>IFERROR(__xludf.DUMMYFUNCTION("""COMPUTED_VALUE"""),"аксесуари для кузова автомобіля")</f>
        <v>аксесуари для кузова автомобіля</v>
      </c>
      <c r="E115" s="16" t="str">
        <f>IFERROR(__xludf.DUMMYFUNCTION("""COMPUTED_VALUE"""),"автомобільні шашки")</f>
        <v>автомобільні шашки</v>
      </c>
      <c r="F115" s="17">
        <f>IFERROR(__xludf.DUMMYFUNCTION("""COMPUTED_VALUE"""),4.0)</f>
        <v>4</v>
      </c>
      <c r="G115" s="17" t="str">
        <f>IFERROR(__xludf.DUMMYFUNCTION("""COMPUTED_VALUE"""),"121228")</f>
        <v>121228</v>
      </c>
      <c r="H115" s="17" t="str">
        <f>IFERROR(__xludf.DUMMYFUNCTION("""COMPUTED_VALUE"""),"автомобільні шашки")</f>
        <v>автомобільні шашки</v>
      </c>
      <c r="I115" s="19">
        <f>IFERROR(__xludf.DUMMYFUNCTION("""COMPUTED_VALUE"""),0.0714)</f>
        <v>0.0714</v>
      </c>
      <c r="J115" s="19">
        <f>IFERROR(__xludf.DUMMYFUNCTION("""COMPUTED_VALUE"""),0.1428)</f>
        <v>0.1428</v>
      </c>
      <c r="K115" s="19">
        <f>IFERROR(__xludf.DUMMYFUNCTION("""COMPUTED_VALUE"""),0.1785)</f>
        <v>0.1785</v>
      </c>
      <c r="L115" s="19">
        <f>IFERROR(__xludf.DUMMYFUNCTION("""COMPUTED_VALUE"""),0.2142)</f>
        <v>0.2142</v>
      </c>
      <c r="M115" s="18">
        <f>IFERROR(__xludf.DUMMYFUNCTION("""COMPUTED_VALUE"""),1.63)</f>
        <v>1.63</v>
      </c>
    </row>
    <row r="116">
      <c r="A116" s="13" t="str">
        <f>IFERROR(__xludf.DUMMYFUNCTION("""COMPUTED_VALUE"""),"товари")</f>
        <v>товари</v>
      </c>
      <c r="B116" s="16" t="str">
        <f>IFERROR(__xludf.DUMMYFUNCTION("""COMPUTED_VALUE"""),"авто-, мото")</f>
        <v>авто-, мото</v>
      </c>
      <c r="C116" s="16" t="str">
        <f>IFERROR(__xludf.DUMMYFUNCTION("""COMPUTED_VALUE"""),"автозапчастини")</f>
        <v>автозапчастини</v>
      </c>
      <c r="D116" s="16" t="str">
        <f>IFERROR(__xludf.DUMMYFUNCTION("""COMPUTED_VALUE"""),"деталі ходової")</f>
        <v>деталі ходової</v>
      </c>
      <c r="E116" s="16" t="str">
        <f>IFERROR(__xludf.DUMMYFUNCTION("""COMPUTED_VALUE"""),"автомобільні шкворені")</f>
        <v>автомобільні шкворені</v>
      </c>
      <c r="F116" s="17">
        <f>IFERROR(__xludf.DUMMYFUNCTION("""COMPUTED_VALUE"""),4.0)</f>
        <v>4</v>
      </c>
      <c r="G116" s="17" t="str">
        <f>IFERROR(__xludf.DUMMYFUNCTION("""COMPUTED_VALUE"""),"341587")</f>
        <v>341587</v>
      </c>
      <c r="H116" s="17" t="str">
        <f>IFERROR(__xludf.DUMMYFUNCTION("""COMPUTED_VALUE"""),"автомобільні шкворені")</f>
        <v>автомобільні шкворені</v>
      </c>
      <c r="I116" s="19">
        <f>IFERROR(__xludf.DUMMYFUNCTION("""COMPUTED_VALUE"""),0.0526)</f>
        <v>0.0526</v>
      </c>
      <c r="J116" s="19">
        <f>IFERROR(__xludf.DUMMYFUNCTION("""COMPUTED_VALUE"""),0.1051)</f>
        <v>0.1051</v>
      </c>
      <c r="K116" s="19">
        <f>IFERROR(__xludf.DUMMYFUNCTION("""COMPUTED_VALUE"""),0.1314)</f>
        <v>0.1314</v>
      </c>
      <c r="L116" s="19">
        <f>IFERROR(__xludf.DUMMYFUNCTION("""COMPUTED_VALUE"""),0.1577)</f>
        <v>0.1577</v>
      </c>
      <c r="M116" s="18">
        <f>IFERROR(__xludf.DUMMYFUNCTION("""COMPUTED_VALUE"""),1.53)</f>
        <v>1.53</v>
      </c>
    </row>
    <row r="117">
      <c r="A117" s="13" t="str">
        <f>IFERROR(__xludf.DUMMYFUNCTION("""COMPUTED_VALUE"""),"товари")</f>
        <v>товари</v>
      </c>
      <c r="B117" s="16" t="str">
        <f>IFERROR(__xludf.DUMMYFUNCTION("""COMPUTED_VALUE"""),"авто-, мото")</f>
        <v>авто-, мото</v>
      </c>
      <c r="C117" s="16" t="str">
        <f>IFERROR(__xludf.DUMMYFUNCTION("""COMPUTED_VALUE"""),"автохімія, автокосметика і автомастила")</f>
        <v>автохімія, автокосметика і автомастила</v>
      </c>
      <c r="D117" s="16" t="str">
        <f>IFERROR(__xludf.DUMMYFUNCTION("""COMPUTED_VALUE"""),"автокраски, автоемалі")</f>
        <v>автокраски, автоемалі</v>
      </c>
      <c r="E117" s="16" t="str">
        <f>IFERROR(__xludf.DUMMYFUNCTION("""COMPUTED_VALUE"""),"автомобільні шпаклівки")</f>
        <v>автомобільні шпаклівки</v>
      </c>
      <c r="F117" s="17">
        <f>IFERROR(__xludf.DUMMYFUNCTION("""COMPUTED_VALUE"""),4.0)</f>
        <v>4</v>
      </c>
      <c r="G117" s="17" t="str">
        <f>IFERROR(__xludf.DUMMYFUNCTION("""COMPUTED_VALUE"""),"341611")</f>
        <v>341611</v>
      </c>
      <c r="H117" s="17" t="str">
        <f>IFERROR(__xludf.DUMMYFUNCTION("""COMPUTED_VALUE"""),"автомобільні шпаклівки")</f>
        <v>автомобільні шпаклівки</v>
      </c>
      <c r="I117" s="19">
        <f>IFERROR(__xludf.DUMMYFUNCTION("""COMPUTED_VALUE"""),0.0787)</f>
        <v>0.0787</v>
      </c>
      <c r="J117" s="19">
        <f>IFERROR(__xludf.DUMMYFUNCTION("""COMPUTED_VALUE"""),0.1574)</f>
        <v>0.1574</v>
      </c>
      <c r="K117" s="19">
        <f>IFERROR(__xludf.DUMMYFUNCTION("""COMPUTED_VALUE"""),0.1968)</f>
        <v>0.1968</v>
      </c>
      <c r="L117" s="19">
        <f>IFERROR(__xludf.DUMMYFUNCTION("""COMPUTED_VALUE"""),0.2361)</f>
        <v>0.2361</v>
      </c>
      <c r="M117" s="18">
        <f>IFERROR(__xludf.DUMMYFUNCTION("""COMPUTED_VALUE"""),1.05)</f>
        <v>1.05</v>
      </c>
    </row>
    <row r="118">
      <c r="A118" s="13" t="str">
        <f>IFERROR(__xludf.DUMMYFUNCTION("""COMPUTED_VALUE"""),"товари")</f>
        <v>товари</v>
      </c>
      <c r="B118" s="16" t="str">
        <f>IFERROR(__xludf.DUMMYFUNCTION("""COMPUTED_VALUE"""),"авто-, мото")</f>
        <v>авто-, мото</v>
      </c>
      <c r="C118" s="16" t="str">
        <f>IFERROR(__xludf.DUMMYFUNCTION("""COMPUTED_VALUE"""),"аксесуари для авто")</f>
        <v>аксесуари для авто</v>
      </c>
      <c r="D118" s="16" t="str">
        <f>IFERROR(__xludf.DUMMYFUNCTION("""COMPUTED_VALUE"""),"аксесуари салону автомобіля")</f>
        <v>аксесуари салону автомобіля</v>
      </c>
      <c r="E118" s="16" t="str">
        <f>IFERROR(__xludf.DUMMYFUNCTION("""COMPUTED_VALUE"""),"автомобільні шторки")</f>
        <v>автомобільні шторки</v>
      </c>
      <c r="F118" s="17">
        <f>IFERROR(__xludf.DUMMYFUNCTION("""COMPUTED_VALUE"""),4.0)</f>
        <v>4</v>
      </c>
      <c r="G118" s="17" t="str">
        <f>IFERROR(__xludf.DUMMYFUNCTION("""COMPUTED_VALUE"""),"121251")</f>
        <v>121251</v>
      </c>
      <c r="H118" s="17" t="str">
        <f>IFERROR(__xludf.DUMMYFUNCTION("""COMPUTED_VALUE"""),"автомобільні шторки")</f>
        <v>автомобільні шторки</v>
      </c>
      <c r="I118" s="19">
        <f>IFERROR(__xludf.DUMMYFUNCTION("""COMPUTED_VALUE"""),0.0798)</f>
        <v>0.0798</v>
      </c>
      <c r="J118" s="19">
        <f>IFERROR(__xludf.DUMMYFUNCTION("""COMPUTED_VALUE"""),0.1595)</f>
        <v>0.1595</v>
      </c>
      <c r="K118" s="19">
        <f>IFERROR(__xludf.DUMMYFUNCTION("""COMPUTED_VALUE"""),0.1994)</f>
        <v>0.1994</v>
      </c>
      <c r="L118" s="19">
        <f>IFERROR(__xludf.DUMMYFUNCTION("""COMPUTED_VALUE"""),0.2393)</f>
        <v>0.2393</v>
      </c>
      <c r="M118" s="18">
        <f>IFERROR(__xludf.DUMMYFUNCTION("""COMPUTED_VALUE"""),2.53)</f>
        <v>2.53</v>
      </c>
    </row>
    <row r="119">
      <c r="A119" s="13" t="str">
        <f>IFERROR(__xludf.DUMMYFUNCTION("""COMPUTED_VALUE"""),"товари")</f>
        <v>товари</v>
      </c>
      <c r="B119" s="16" t="str">
        <f>IFERROR(__xludf.DUMMYFUNCTION("""COMPUTED_VALUE"""),"авто-, мото")</f>
        <v>авто-, мото</v>
      </c>
      <c r="C119" s="16" t="str">
        <f>IFERROR(__xludf.DUMMYFUNCTION("""COMPUTED_VALUE"""),"аксесуари для авто")</f>
        <v>аксесуари для авто</v>
      </c>
      <c r="D119" s="16" t="str">
        <f>IFERROR(__xludf.DUMMYFUNCTION("""COMPUTED_VALUE"""),"автомобільні щітки та скребки")</f>
        <v>автомобільні щітки та скребки</v>
      </c>
      <c r="E119" s="16" t="str">
        <f>IFERROR(__xludf.DUMMYFUNCTION("""COMPUTED_VALUE"""),"автомобільні щітки та скребки")</f>
        <v>автомобільні щітки та скребки</v>
      </c>
      <c r="F119" s="17">
        <f>IFERROR(__xludf.DUMMYFUNCTION("""COMPUTED_VALUE"""),3.0)</f>
        <v>3</v>
      </c>
      <c r="G119" s="17" t="str">
        <f>IFERROR(__xludf.DUMMYFUNCTION("""COMPUTED_VALUE"""),"121250")</f>
        <v>121250</v>
      </c>
      <c r="H119" s="17" t="str">
        <f>IFERROR(__xludf.DUMMYFUNCTION("""COMPUTED_VALUE"""),"автомобільні щітки та скребки")</f>
        <v>автомобільні щітки та скребки</v>
      </c>
      <c r="I119" s="19">
        <f>IFERROR(__xludf.DUMMYFUNCTION("""COMPUTED_VALUE"""),0.0752)</f>
        <v>0.0752</v>
      </c>
      <c r="J119" s="19">
        <f>IFERROR(__xludf.DUMMYFUNCTION("""COMPUTED_VALUE"""),0.1504)</f>
        <v>0.1504</v>
      </c>
      <c r="K119" s="19">
        <f>IFERROR(__xludf.DUMMYFUNCTION("""COMPUTED_VALUE"""),0.188)</f>
        <v>0.188</v>
      </c>
      <c r="L119" s="19">
        <f>IFERROR(__xludf.DUMMYFUNCTION("""COMPUTED_VALUE"""),0.2256)</f>
        <v>0.2256</v>
      </c>
      <c r="M119" s="18">
        <f>IFERROR(__xludf.DUMMYFUNCTION("""COMPUTED_VALUE"""),2.08)</f>
        <v>2.08</v>
      </c>
    </row>
    <row r="120">
      <c r="A120" s="13" t="str">
        <f>IFERROR(__xludf.DUMMYFUNCTION("""COMPUTED_VALUE"""),"товари")</f>
        <v>товари</v>
      </c>
      <c r="B120" s="16" t="str">
        <f>IFERROR(__xludf.DUMMYFUNCTION("""COMPUTED_VALUE"""),"авто-, мото")</f>
        <v>авто-, мото</v>
      </c>
      <c r="C120" s="16" t="str">
        <f>IFERROR(__xludf.DUMMYFUNCTION("""COMPUTED_VALUE"""),"автомобільна електроніка")</f>
        <v>автомобільна електроніка</v>
      </c>
      <c r="D120" s="16" t="str">
        <f>IFERROR(__xludf.DUMMYFUNCTION("""COMPUTED_VALUE"""),"протиугінні системи і аксесуари")</f>
        <v>протиугінні системи і аксесуари</v>
      </c>
      <c r="E120" s="16" t="str">
        <f>IFERROR(__xludf.DUMMYFUNCTION("""COMPUTED_VALUE"""),"автосигналізації")</f>
        <v>автосигналізації</v>
      </c>
      <c r="F120" s="17">
        <f>IFERROR(__xludf.DUMMYFUNCTION("""COMPUTED_VALUE"""),4.0)</f>
        <v>4</v>
      </c>
      <c r="G120" s="17" t="str">
        <f>IFERROR(__xludf.DUMMYFUNCTION("""COMPUTED_VALUE"""),"340406")</f>
        <v>340406</v>
      </c>
      <c r="H120" s="17" t="str">
        <f>IFERROR(__xludf.DUMMYFUNCTION("""COMPUTED_VALUE"""),"автосигналізації")</f>
        <v>автосигналізації</v>
      </c>
      <c r="I120" s="19">
        <f>IFERROR(__xludf.DUMMYFUNCTION("""COMPUTED_VALUE"""),0.0722)</f>
        <v>0.0722</v>
      </c>
      <c r="J120" s="19">
        <f>IFERROR(__xludf.DUMMYFUNCTION("""COMPUTED_VALUE"""),0.1443)</f>
        <v>0.1443</v>
      </c>
      <c r="K120" s="19">
        <f>IFERROR(__xludf.DUMMYFUNCTION("""COMPUTED_VALUE"""),0.1804)</f>
        <v>0.1804</v>
      </c>
      <c r="L120" s="19">
        <f>IFERROR(__xludf.DUMMYFUNCTION("""COMPUTED_VALUE"""),0.2165)</f>
        <v>0.2165</v>
      </c>
      <c r="M120" s="18">
        <f>IFERROR(__xludf.DUMMYFUNCTION("""COMPUTED_VALUE"""),1.8)</f>
        <v>1.8</v>
      </c>
    </row>
    <row r="121">
      <c r="A121" s="13" t="str">
        <f>IFERROR(__xludf.DUMMYFUNCTION("""COMPUTED_VALUE"""),"товари")</f>
        <v>товари</v>
      </c>
      <c r="B121" s="16" t="str">
        <f>IFERROR(__xludf.DUMMYFUNCTION("""COMPUTED_VALUE"""),"авто-, мото")</f>
        <v>авто-, мото</v>
      </c>
      <c r="C121" s="16" t="str">
        <f>IFERROR(__xludf.DUMMYFUNCTION("""COMPUTED_VALUE"""),"автозапчастини")</f>
        <v>автозапчастини</v>
      </c>
      <c r="D121" s="16" t="str">
        <f>IFERROR(__xludf.DUMMYFUNCTION("""COMPUTED_VALUE"""),"автоскло")</f>
        <v>автоскло</v>
      </c>
      <c r="E121" s="16" t="str">
        <f>IFERROR(__xludf.DUMMYFUNCTION("""COMPUTED_VALUE"""),"автоскло")</f>
        <v>автоскло</v>
      </c>
      <c r="F121" s="17">
        <f>IFERROR(__xludf.DUMMYFUNCTION("""COMPUTED_VALUE"""),3.0)</f>
        <v>3</v>
      </c>
      <c r="G121" s="17" t="str">
        <f>IFERROR(__xludf.DUMMYFUNCTION("""COMPUTED_VALUE"""),"120212")</f>
        <v>120212</v>
      </c>
      <c r="H121" s="17" t="str">
        <f>IFERROR(__xludf.DUMMYFUNCTION("""COMPUTED_VALUE"""),"автоскло")</f>
        <v>автоскло</v>
      </c>
      <c r="I121" s="19">
        <f>IFERROR(__xludf.DUMMYFUNCTION("""COMPUTED_VALUE"""),0.046)</f>
        <v>0.046</v>
      </c>
      <c r="J121" s="19">
        <f>IFERROR(__xludf.DUMMYFUNCTION("""COMPUTED_VALUE"""),0.092)</f>
        <v>0.092</v>
      </c>
      <c r="K121" s="19">
        <f>IFERROR(__xludf.DUMMYFUNCTION("""COMPUTED_VALUE"""),0.115)</f>
        <v>0.115</v>
      </c>
      <c r="L121" s="19">
        <f>IFERROR(__xludf.DUMMYFUNCTION("""COMPUTED_VALUE"""),0.138)</f>
        <v>0.138</v>
      </c>
      <c r="M121" s="18">
        <f>IFERROR(__xludf.DUMMYFUNCTION("""COMPUTED_VALUE"""),1.05)</f>
        <v>1.05</v>
      </c>
    </row>
    <row r="122">
      <c r="A122" s="13" t="str">
        <f>IFERROR(__xludf.DUMMYFUNCTION("""COMPUTED_VALUE"""),"товари")</f>
        <v>товари</v>
      </c>
      <c r="B122" s="16" t="str">
        <f>IFERROR(__xludf.DUMMYFUNCTION("""COMPUTED_VALUE"""),"авто-, мото")</f>
        <v>авто-, мото</v>
      </c>
      <c r="C122" s="16" t="str">
        <f>IFERROR(__xludf.DUMMYFUNCTION("""COMPUTED_VALUE"""),"аксесуари для авто")</f>
        <v>аксесуари для авто</v>
      </c>
      <c r="D122" s="16" t="str">
        <f>IFERROR(__xludf.DUMMYFUNCTION("""COMPUTED_VALUE"""),"автомобільні електронні аксесуари")</f>
        <v>автомобільні електронні аксесуари</v>
      </c>
      <c r="E122" s="16" t="str">
        <f>IFERROR(__xludf.DUMMYFUNCTION("""COMPUTED_VALUE"""),"автохолодильники")</f>
        <v>автохолодильники</v>
      </c>
      <c r="F122" s="17">
        <f>IFERROR(__xludf.DUMMYFUNCTION("""COMPUTED_VALUE"""),4.0)</f>
        <v>4</v>
      </c>
      <c r="G122" s="17" t="str">
        <f>IFERROR(__xludf.DUMMYFUNCTION("""COMPUTED_VALUE"""),"240403")</f>
        <v>240403</v>
      </c>
      <c r="H122" s="17" t="str">
        <f>IFERROR(__xludf.DUMMYFUNCTION("""COMPUTED_VALUE"""),"автохолодильники")</f>
        <v>автохолодильники</v>
      </c>
      <c r="I122" s="19">
        <f>IFERROR(__xludf.DUMMYFUNCTION("""COMPUTED_VALUE"""),0.0672)</f>
        <v>0.0672</v>
      </c>
      <c r="J122" s="19">
        <f>IFERROR(__xludf.DUMMYFUNCTION("""COMPUTED_VALUE"""),0.1343)</f>
        <v>0.1343</v>
      </c>
      <c r="K122" s="19">
        <f>IFERROR(__xludf.DUMMYFUNCTION("""COMPUTED_VALUE"""),0.1679)</f>
        <v>0.1679</v>
      </c>
      <c r="L122" s="19">
        <f>IFERROR(__xludf.DUMMYFUNCTION("""COMPUTED_VALUE"""),0.2015)</f>
        <v>0.2015</v>
      </c>
      <c r="M122" s="18">
        <f>IFERROR(__xludf.DUMMYFUNCTION("""COMPUTED_VALUE"""),2.88)</f>
        <v>2.88</v>
      </c>
    </row>
    <row r="123">
      <c r="A123" s="13" t="str">
        <f>IFERROR(__xludf.DUMMYFUNCTION("""COMPUTED_VALUE"""),"товари")</f>
        <v>товари</v>
      </c>
      <c r="B123" s="16" t="str">
        <f>IFERROR(__xludf.DUMMYFUNCTION("""COMPUTED_VALUE"""),"авто-, мото")</f>
        <v>авто-, мото</v>
      </c>
      <c r="C123" s="16" t="str">
        <f>IFERROR(__xludf.DUMMYFUNCTION("""COMPUTED_VALUE"""),"аксесуари для авто")</f>
        <v>аксесуари для авто</v>
      </c>
      <c r="D123" s="16" t="str">
        <f>IFERROR(__xludf.DUMMYFUNCTION("""COMPUTED_VALUE"""),"автомобільні електронні аксесуари")</f>
        <v>автомобільні електронні аксесуари</v>
      </c>
      <c r="E123" s="16" t="str">
        <f>IFERROR(__xludf.DUMMYFUNCTION("""COMPUTED_VALUE"""),"авточайники")</f>
        <v>авточайники</v>
      </c>
      <c r="F123" s="17">
        <f>IFERROR(__xludf.DUMMYFUNCTION("""COMPUTED_VALUE"""),4.0)</f>
        <v>4</v>
      </c>
      <c r="G123" s="17" t="str">
        <f>IFERROR(__xludf.DUMMYFUNCTION("""COMPUTED_VALUE"""),"12125903")</f>
        <v>12125903</v>
      </c>
      <c r="H123" s="17" t="str">
        <f>IFERROR(__xludf.DUMMYFUNCTION("""COMPUTED_VALUE"""),"авточайники")</f>
        <v>авточайники</v>
      </c>
      <c r="I123" s="19">
        <f>IFERROR(__xludf.DUMMYFUNCTION("""COMPUTED_VALUE"""),0.0759)</f>
        <v>0.0759</v>
      </c>
      <c r="J123" s="19">
        <f>IFERROR(__xludf.DUMMYFUNCTION("""COMPUTED_VALUE"""),0.1518)</f>
        <v>0.1518</v>
      </c>
      <c r="K123" s="19">
        <f>IFERROR(__xludf.DUMMYFUNCTION("""COMPUTED_VALUE"""),0.1898)</f>
        <v>0.1898</v>
      </c>
      <c r="L123" s="19">
        <f>IFERROR(__xludf.DUMMYFUNCTION("""COMPUTED_VALUE"""),0.2277)</f>
        <v>0.2277</v>
      </c>
      <c r="M123" s="18">
        <f>IFERROR(__xludf.DUMMYFUNCTION("""COMPUTED_VALUE"""),2.88)</f>
        <v>2.88</v>
      </c>
    </row>
    <row r="124">
      <c r="A124" s="13" t="str">
        <f>IFERROR(__xludf.DUMMYFUNCTION("""COMPUTED_VALUE"""),"товари")</f>
        <v>товари</v>
      </c>
      <c r="B124" s="16" t="str">
        <f>IFERROR(__xludf.DUMMYFUNCTION("""COMPUTED_VALUE"""),"авто-, мото")</f>
        <v>авто-, мото</v>
      </c>
      <c r="C124" s="16" t="str">
        <f>IFERROR(__xludf.DUMMYFUNCTION("""COMPUTED_VALUE"""),"автохімія, автокосметика і автомастила")</f>
        <v>автохімія, автокосметика і автомастила</v>
      </c>
      <c r="D124" s="16" t="str">
        <f>IFERROR(__xludf.DUMMYFUNCTION("""COMPUTED_VALUE"""),"автомобільні поліролі та шампуні")</f>
        <v>автомобільні поліролі та шампуні</v>
      </c>
      <c r="E124" s="16" t="str">
        <f>IFERROR(__xludf.DUMMYFUNCTION("""COMPUTED_VALUE"""),"автошампуні")</f>
        <v>автошампуні</v>
      </c>
      <c r="F124" s="17">
        <f>IFERROR(__xludf.DUMMYFUNCTION("""COMPUTED_VALUE"""),4.0)</f>
        <v>4</v>
      </c>
      <c r="G124" s="17" t="str">
        <f>IFERROR(__xludf.DUMMYFUNCTION("""COMPUTED_VALUE"""),"341201")</f>
        <v>341201</v>
      </c>
      <c r="H124" s="17" t="str">
        <f>IFERROR(__xludf.DUMMYFUNCTION("""COMPUTED_VALUE"""),"автошампуні")</f>
        <v>автошампуні</v>
      </c>
      <c r="I124" s="19">
        <f>IFERROR(__xludf.DUMMYFUNCTION("""COMPUTED_VALUE"""),0.0785)</f>
        <v>0.0785</v>
      </c>
      <c r="J124" s="19">
        <f>IFERROR(__xludf.DUMMYFUNCTION("""COMPUTED_VALUE"""),0.157)</f>
        <v>0.157</v>
      </c>
      <c r="K124" s="19">
        <f>IFERROR(__xludf.DUMMYFUNCTION("""COMPUTED_VALUE"""),0.1963)</f>
        <v>0.1963</v>
      </c>
      <c r="L124" s="19">
        <f>IFERROR(__xludf.DUMMYFUNCTION("""COMPUTED_VALUE"""),0.2355)</f>
        <v>0.2355</v>
      </c>
      <c r="M124" s="18">
        <f>IFERROR(__xludf.DUMMYFUNCTION("""COMPUTED_VALUE"""),2.16)</f>
        <v>2.16</v>
      </c>
    </row>
    <row r="125">
      <c r="A125" s="13" t="str">
        <f>IFERROR(__xludf.DUMMYFUNCTION("""COMPUTED_VALUE"""),"товари")</f>
        <v>товари</v>
      </c>
      <c r="B125" s="16" t="str">
        <f>IFERROR(__xludf.DUMMYFUNCTION("""COMPUTED_VALUE"""),"авто-, мото")</f>
        <v>авто-, мото</v>
      </c>
      <c r="C125" s="16" t="str">
        <f>IFERROR(__xludf.DUMMYFUNCTION("""COMPUTED_VALUE"""),"аксесуари для авто")</f>
        <v>аксесуари для авто</v>
      </c>
      <c r="D125" s="16" t="str">
        <f>IFERROR(__xludf.DUMMYFUNCTION("""COMPUTED_VALUE"""),"аксесуари для автотюнингу")</f>
        <v>аксесуари для автотюнингу</v>
      </c>
      <c r="E125" s="16" t="str">
        <f>IFERROR(__xludf.DUMMYFUNCTION("""COMPUTED_VALUE"""),"аксесуари для автотюнингу, загальне")</f>
        <v>аксесуари для автотюнингу, загальне</v>
      </c>
      <c r="F125" s="17">
        <f>IFERROR(__xludf.DUMMYFUNCTION("""COMPUTED_VALUE"""),4.0)</f>
        <v>4</v>
      </c>
      <c r="G125" s="17" t="str">
        <f>IFERROR(__xludf.DUMMYFUNCTION("""COMPUTED_VALUE"""),"121218")</f>
        <v>121218</v>
      </c>
      <c r="H125" s="17" t="str">
        <f>IFERROR(__xludf.DUMMYFUNCTION("""COMPUTED_VALUE"""),"аксесуари для автотюнингу, загальне")</f>
        <v>аксесуари для автотюнингу, загальне</v>
      </c>
      <c r="I125" s="19">
        <f>IFERROR(__xludf.DUMMYFUNCTION("""COMPUTED_VALUE"""),0.125)</f>
        <v>0.125</v>
      </c>
      <c r="J125" s="19">
        <f>IFERROR(__xludf.DUMMYFUNCTION("""COMPUTED_VALUE"""),0.25)</f>
        <v>0.25</v>
      </c>
      <c r="K125" s="19">
        <f>IFERROR(__xludf.DUMMYFUNCTION("""COMPUTED_VALUE"""),0.3125)</f>
        <v>0.3125</v>
      </c>
      <c r="L125" s="19">
        <f>IFERROR(__xludf.DUMMYFUNCTION("""COMPUTED_VALUE"""),0.375)</f>
        <v>0.375</v>
      </c>
      <c r="M125" s="18">
        <f>IFERROR(__xludf.DUMMYFUNCTION("""COMPUTED_VALUE"""),4.33)</f>
        <v>4.33</v>
      </c>
    </row>
    <row r="126">
      <c r="A126" s="13" t="str">
        <f>IFERROR(__xludf.DUMMYFUNCTION("""COMPUTED_VALUE"""),"товари")</f>
        <v>товари</v>
      </c>
      <c r="B126" s="16" t="str">
        <f>IFERROR(__xludf.DUMMYFUNCTION("""COMPUTED_VALUE"""),"авто-, мото")</f>
        <v>авто-, мото</v>
      </c>
      <c r="C126" s="16" t="str">
        <f>IFERROR(__xludf.DUMMYFUNCTION("""COMPUTED_VALUE"""),"аксесуари для авто")</f>
        <v>аксесуари для авто</v>
      </c>
      <c r="D126" s="16" t="str">
        <f>IFERROR(__xludf.DUMMYFUNCTION("""COMPUTED_VALUE"""),"аксесуари для кузова автомобіля")</f>
        <v>аксесуари для кузова автомобіля</v>
      </c>
      <c r="E126" s="16" t="str">
        <f>IFERROR(__xludf.DUMMYFUNCTION("""COMPUTED_VALUE"""),"аксесуари для кузова автомобіля, загальне")</f>
        <v>аксесуари для кузова автомобіля, загальне</v>
      </c>
      <c r="F126" s="17">
        <f>IFERROR(__xludf.DUMMYFUNCTION("""COMPUTED_VALUE"""),4.0)</f>
        <v>4</v>
      </c>
      <c r="G126" s="17" t="str">
        <f>IFERROR(__xludf.DUMMYFUNCTION("""COMPUTED_VALUE"""),"12126801")</f>
        <v>12126801</v>
      </c>
      <c r="H126" s="17" t="str">
        <f>IFERROR(__xludf.DUMMYFUNCTION("""COMPUTED_VALUE"""),"аксесуари для кузова автомобіля, загальне")</f>
        <v>аксесуари для кузова автомобіля, загальне</v>
      </c>
      <c r="I126" s="19">
        <f>IFERROR(__xludf.DUMMYFUNCTION("""COMPUTED_VALUE"""),0.125)</f>
        <v>0.125</v>
      </c>
      <c r="J126" s="19">
        <f>IFERROR(__xludf.DUMMYFUNCTION("""COMPUTED_VALUE"""),0.25)</f>
        <v>0.25</v>
      </c>
      <c r="K126" s="19">
        <f>IFERROR(__xludf.DUMMYFUNCTION("""COMPUTED_VALUE"""),0.3125)</f>
        <v>0.3125</v>
      </c>
      <c r="L126" s="19">
        <f>IFERROR(__xludf.DUMMYFUNCTION("""COMPUTED_VALUE"""),0.375)</f>
        <v>0.375</v>
      </c>
      <c r="M126" s="18">
        <f>IFERROR(__xludf.DUMMYFUNCTION("""COMPUTED_VALUE"""),4.33)</f>
        <v>4.33</v>
      </c>
    </row>
    <row r="127">
      <c r="A127" s="13" t="str">
        <f>IFERROR(__xludf.DUMMYFUNCTION("""COMPUTED_VALUE"""),"товари")</f>
        <v>товари</v>
      </c>
      <c r="B127" s="16" t="str">
        <f>IFERROR(__xludf.DUMMYFUNCTION("""COMPUTED_VALUE"""),"авто-, мото")</f>
        <v>авто-, мото</v>
      </c>
      <c r="C127" s="16" t="str">
        <f>IFERROR(__xludf.DUMMYFUNCTION("""COMPUTED_VALUE"""),"мототехніка")</f>
        <v>мототехніка</v>
      </c>
      <c r="D127" s="16" t="str">
        <f>IFERROR(__xludf.DUMMYFUNCTION("""COMPUTED_VALUE"""),"аксесуари для мототехніки")</f>
        <v>аксесуари для мототехніки</v>
      </c>
      <c r="E127" s="16" t="str">
        <f>IFERROR(__xludf.DUMMYFUNCTION("""COMPUTED_VALUE"""),"аксесуари для мототехніки")</f>
        <v>аксесуари для мототехніки</v>
      </c>
      <c r="F127" s="17">
        <f>IFERROR(__xludf.DUMMYFUNCTION("""COMPUTED_VALUE"""),3.0)</f>
        <v>3</v>
      </c>
      <c r="G127" s="17" t="str">
        <f>IFERROR(__xludf.DUMMYFUNCTION("""COMPUTED_VALUE"""),"3407")</f>
        <v>3407</v>
      </c>
      <c r="H127" s="17" t="str">
        <f>IFERROR(__xludf.DUMMYFUNCTION("""COMPUTED_VALUE"""),"аксесуари для мототехніки")</f>
        <v>аксесуари для мототехніки</v>
      </c>
      <c r="I127" s="19">
        <f>IFERROR(__xludf.DUMMYFUNCTION("""COMPUTED_VALUE"""),0.0795)</f>
        <v>0.0795</v>
      </c>
      <c r="J127" s="19">
        <f>IFERROR(__xludf.DUMMYFUNCTION("""COMPUTED_VALUE"""),0.159)</f>
        <v>0.159</v>
      </c>
      <c r="K127" s="19">
        <f>IFERROR(__xludf.DUMMYFUNCTION("""COMPUTED_VALUE"""),0.1988)</f>
        <v>0.1988</v>
      </c>
      <c r="L127" s="19">
        <f>IFERROR(__xludf.DUMMYFUNCTION("""COMPUTED_VALUE"""),0.2385)</f>
        <v>0.2385</v>
      </c>
      <c r="M127" s="18">
        <f>IFERROR(__xludf.DUMMYFUNCTION("""COMPUTED_VALUE"""),1.98)</f>
        <v>1.98</v>
      </c>
    </row>
    <row r="128">
      <c r="A128" s="13" t="str">
        <f>IFERROR(__xludf.DUMMYFUNCTION("""COMPUTED_VALUE"""),"товари")</f>
        <v>товари</v>
      </c>
      <c r="B128" s="16" t="str">
        <f>IFERROR(__xludf.DUMMYFUNCTION("""COMPUTED_VALUE"""),"авто-, мото")</f>
        <v>авто-, мото</v>
      </c>
      <c r="C128" s="16" t="str">
        <f>IFERROR(__xludf.DUMMYFUNCTION("""COMPUTED_VALUE"""),"мототехніка")</f>
        <v>мототехніка</v>
      </c>
      <c r="D128" s="16" t="str">
        <f>IFERROR(__xludf.DUMMYFUNCTION("""COMPUTED_VALUE"""),"аксесуари для мототехніки")</f>
        <v>аксесуари для мототехніки</v>
      </c>
      <c r="E128" s="16" t="str">
        <f>IFERROR(__xludf.DUMMYFUNCTION("""COMPUTED_VALUE"""),"аксесуари для мототехніки")</f>
        <v>аксесуари для мототехніки</v>
      </c>
      <c r="F128" s="17">
        <f>IFERROR(__xludf.DUMMYFUNCTION("""COMPUTED_VALUE"""),3.0)</f>
        <v>3</v>
      </c>
      <c r="G128" s="17">
        <f>IFERROR(__xludf.DUMMYFUNCTION("""COMPUTED_VALUE"""),120312.0)</f>
        <v>120312</v>
      </c>
      <c r="H128" s="17" t="str">
        <f>IFERROR(__xludf.DUMMYFUNCTION("""COMPUTED_VALUE"""),"аксесуари для мототехніки")</f>
        <v>аксесуари для мототехніки</v>
      </c>
      <c r="I128" s="19">
        <f>IFERROR(__xludf.DUMMYFUNCTION("""COMPUTED_VALUE"""),0.0795)</f>
        <v>0.0795</v>
      </c>
      <c r="J128" s="19">
        <f>IFERROR(__xludf.DUMMYFUNCTION("""COMPUTED_VALUE"""),0.159)</f>
        <v>0.159</v>
      </c>
      <c r="K128" s="19">
        <f>IFERROR(__xludf.DUMMYFUNCTION("""COMPUTED_VALUE"""),0.1988)</f>
        <v>0.1988</v>
      </c>
      <c r="L128" s="19">
        <f>IFERROR(__xludf.DUMMYFUNCTION("""COMPUTED_VALUE"""),0.2385)</f>
        <v>0.2385</v>
      </c>
      <c r="M128" s="18">
        <f>IFERROR(__xludf.DUMMYFUNCTION("""COMPUTED_VALUE"""),1.98)</f>
        <v>1.98</v>
      </c>
    </row>
    <row r="129">
      <c r="A129" s="13" t="str">
        <f>IFERROR(__xludf.DUMMYFUNCTION("""COMPUTED_VALUE"""),"товари")</f>
        <v>товари</v>
      </c>
      <c r="B129" s="16" t="str">
        <f>IFERROR(__xludf.DUMMYFUNCTION("""COMPUTED_VALUE"""),"авто-, мото")</f>
        <v>авто-, мото</v>
      </c>
      <c r="C129" s="16" t="str">
        <f>IFERROR(__xludf.DUMMYFUNCTION("""COMPUTED_VALUE"""),"автомобільна електроніка")</f>
        <v>автомобільна електроніка</v>
      </c>
      <c r="D129" s="16" t="str">
        <f>IFERROR(__xludf.DUMMYFUNCTION("""COMPUTED_VALUE"""),"протиугінні системи і аксесуари")</f>
        <v>протиугінні системи і аксесуари</v>
      </c>
      <c r="E129" s="16" t="str">
        <f>IFERROR(__xludf.DUMMYFUNCTION("""COMPUTED_VALUE"""),"аксесуари до протиугінних систем")</f>
        <v>аксесуари до протиугінних систем</v>
      </c>
      <c r="F129" s="17">
        <f>IFERROR(__xludf.DUMMYFUNCTION("""COMPUTED_VALUE"""),4.0)</f>
        <v>4</v>
      </c>
      <c r="G129" s="17" t="str">
        <f>IFERROR(__xludf.DUMMYFUNCTION("""COMPUTED_VALUE"""),"340434")</f>
        <v>340434</v>
      </c>
      <c r="H129" s="17" t="str">
        <f>IFERROR(__xludf.DUMMYFUNCTION("""COMPUTED_VALUE"""),"аксесуари до протиугінних систем")</f>
        <v>аксесуари до протиугінних систем</v>
      </c>
      <c r="I129" s="19">
        <f>IFERROR(__xludf.DUMMYFUNCTION("""COMPUTED_VALUE"""),0.0722)</f>
        <v>0.0722</v>
      </c>
      <c r="J129" s="19">
        <f>IFERROR(__xludf.DUMMYFUNCTION("""COMPUTED_VALUE"""),0.1443)</f>
        <v>0.1443</v>
      </c>
      <c r="K129" s="19">
        <f>IFERROR(__xludf.DUMMYFUNCTION("""COMPUTED_VALUE"""),0.1804)</f>
        <v>0.1804</v>
      </c>
      <c r="L129" s="19">
        <f>IFERROR(__xludf.DUMMYFUNCTION("""COMPUTED_VALUE"""),0.2165)</f>
        <v>0.2165</v>
      </c>
      <c r="M129" s="18">
        <f>IFERROR(__xludf.DUMMYFUNCTION("""COMPUTED_VALUE"""),1.8)</f>
        <v>1.8</v>
      </c>
    </row>
    <row r="130">
      <c r="A130" s="13" t="str">
        <f>IFERROR(__xludf.DUMMYFUNCTION("""COMPUTED_VALUE"""),"товари")</f>
        <v>товари</v>
      </c>
      <c r="B130" s="16" t="str">
        <f>IFERROR(__xludf.DUMMYFUNCTION("""COMPUTED_VALUE"""),"авто-, мото")</f>
        <v>авто-, мото</v>
      </c>
      <c r="C130" s="16" t="str">
        <f>IFERROR(__xludf.DUMMYFUNCTION("""COMPUTED_VALUE"""),"аксесуари для авто")</f>
        <v>аксесуари для авто</v>
      </c>
      <c r="D130" s="16" t="str">
        <f>IFERROR(__xludf.DUMMYFUNCTION("""COMPUTED_VALUE"""),"аксесуари салону автомобіля")</f>
        <v>аксесуари салону автомобіля</v>
      </c>
      <c r="E130" s="16" t="str">
        <f>IFERROR(__xludf.DUMMYFUNCTION("""COMPUTED_VALUE"""),"аксесуари салону автомобіля, загальне")</f>
        <v>аксесуари салону автомобіля, загальне</v>
      </c>
      <c r="F130" s="17">
        <f>IFERROR(__xludf.DUMMYFUNCTION("""COMPUTED_VALUE"""),4.0)</f>
        <v>4</v>
      </c>
      <c r="G130" s="17" t="str">
        <f>IFERROR(__xludf.DUMMYFUNCTION("""COMPUTED_VALUE"""),"12126401")</f>
        <v>12126401</v>
      </c>
      <c r="H130" s="17" t="str">
        <f>IFERROR(__xludf.DUMMYFUNCTION("""COMPUTED_VALUE"""),"аксесуари салону автомобіля, загальне")</f>
        <v>аксесуари салону автомобіля, загальне</v>
      </c>
      <c r="I130" s="19">
        <f>IFERROR(__xludf.DUMMYFUNCTION("""COMPUTED_VALUE"""),0.125)</f>
        <v>0.125</v>
      </c>
      <c r="J130" s="19">
        <f>IFERROR(__xludf.DUMMYFUNCTION("""COMPUTED_VALUE"""),0.25)</f>
        <v>0.25</v>
      </c>
      <c r="K130" s="19">
        <f>IFERROR(__xludf.DUMMYFUNCTION("""COMPUTED_VALUE"""),0.3125)</f>
        <v>0.3125</v>
      </c>
      <c r="L130" s="19">
        <f>IFERROR(__xludf.DUMMYFUNCTION("""COMPUTED_VALUE"""),0.375)</f>
        <v>0.375</v>
      </c>
      <c r="M130" s="18">
        <f>IFERROR(__xludf.DUMMYFUNCTION("""COMPUTED_VALUE"""),4.33)</f>
        <v>4.33</v>
      </c>
    </row>
    <row r="131">
      <c r="A131" s="13" t="str">
        <f>IFERROR(__xludf.DUMMYFUNCTION("""COMPUTED_VALUE"""),"товари")</f>
        <v>товари</v>
      </c>
      <c r="B131" s="16" t="str">
        <f>IFERROR(__xludf.DUMMYFUNCTION("""COMPUTED_VALUE"""),"авто-, мото")</f>
        <v>авто-, мото</v>
      </c>
      <c r="C131" s="16" t="str">
        <f>IFERROR(__xludf.DUMMYFUNCTION("""COMPUTED_VALUE"""),"мототехніка")</f>
        <v>мототехніка</v>
      </c>
      <c r="D131" s="16" t="str">
        <f>IFERROR(__xludf.DUMMYFUNCTION("""COMPUTED_VALUE"""),"запчастини для мототехніки")</f>
        <v>запчастини для мототехніки</v>
      </c>
      <c r="E131" s="16" t="str">
        <f>IFERROR(__xludf.DUMMYFUNCTION("""COMPUTED_VALUE"""),"акумулятори для мототехніки")</f>
        <v>акумулятори для мототехніки</v>
      </c>
      <c r="F131" s="17">
        <f>IFERROR(__xludf.DUMMYFUNCTION("""COMPUTED_VALUE"""),4.0)</f>
        <v>4</v>
      </c>
      <c r="G131" s="17" t="str">
        <f>IFERROR(__xludf.DUMMYFUNCTION("""COMPUTED_VALUE"""),"340602")</f>
        <v>340602</v>
      </c>
      <c r="H131" s="17" t="str">
        <f>IFERROR(__xludf.DUMMYFUNCTION("""COMPUTED_VALUE"""),"акумулятори для мототехніки")</f>
        <v>акумулятори для мототехніки</v>
      </c>
      <c r="I131" s="19">
        <f>IFERROR(__xludf.DUMMYFUNCTION("""COMPUTED_VALUE"""),0.058)</f>
        <v>0.058</v>
      </c>
      <c r="J131" s="19">
        <f>IFERROR(__xludf.DUMMYFUNCTION("""COMPUTED_VALUE"""),0.116)</f>
        <v>0.116</v>
      </c>
      <c r="K131" s="19">
        <f>IFERROR(__xludf.DUMMYFUNCTION("""COMPUTED_VALUE"""),0.145)</f>
        <v>0.145</v>
      </c>
      <c r="L131" s="19">
        <f>IFERROR(__xludf.DUMMYFUNCTION("""COMPUTED_VALUE"""),0.174)</f>
        <v>0.174</v>
      </c>
      <c r="M131" s="18">
        <f>IFERROR(__xludf.DUMMYFUNCTION("""COMPUTED_VALUE"""),1.98)</f>
        <v>1.98</v>
      </c>
    </row>
    <row r="132">
      <c r="A132" s="13" t="str">
        <f>IFERROR(__xludf.DUMMYFUNCTION("""COMPUTED_VALUE"""),"товари")</f>
        <v>товари</v>
      </c>
      <c r="B132" s="16" t="str">
        <f>IFERROR(__xludf.DUMMYFUNCTION("""COMPUTED_VALUE"""),"авто-, мото")</f>
        <v>авто-, мото</v>
      </c>
      <c r="C132" s="16" t="str">
        <f>IFERROR(__xludf.DUMMYFUNCTION("""COMPUTED_VALUE"""),"аксесуари для авто")</f>
        <v>аксесуари для авто</v>
      </c>
      <c r="D132" s="16" t="str">
        <f>IFERROR(__xludf.DUMMYFUNCTION("""COMPUTED_VALUE"""),"аксесуари салону автомобіля")</f>
        <v>аксесуари салону автомобіля</v>
      </c>
      <c r="E132" s="16" t="str">
        <f>IFERROR(__xludf.DUMMYFUNCTION("""COMPUTED_VALUE"""),"акустичні полки, корпусу, платформи і подіуми")</f>
        <v>акустичні полки, корпусу, платформи і подіуми</v>
      </c>
      <c r="F132" s="17">
        <f>IFERROR(__xludf.DUMMYFUNCTION("""COMPUTED_VALUE"""),4.0)</f>
        <v>4</v>
      </c>
      <c r="G132" s="17" t="str">
        <f>IFERROR(__xludf.DUMMYFUNCTION("""COMPUTED_VALUE"""),"121254")</f>
        <v>121254</v>
      </c>
      <c r="H132" s="17" t="str">
        <f>IFERROR(__xludf.DUMMYFUNCTION("""COMPUTED_VALUE"""),"акустичні полки, корпусу, платформи і подіуми")</f>
        <v>акустичні полки, корпусу, платформи і подіуми</v>
      </c>
      <c r="I132" s="19">
        <f>IFERROR(__xludf.DUMMYFUNCTION("""COMPUTED_VALUE"""),0.0772)</f>
        <v>0.0772</v>
      </c>
      <c r="J132" s="19">
        <f>IFERROR(__xludf.DUMMYFUNCTION("""COMPUTED_VALUE"""),0.1543)</f>
        <v>0.1543</v>
      </c>
      <c r="K132" s="19">
        <f>IFERROR(__xludf.DUMMYFUNCTION("""COMPUTED_VALUE"""),0.1929)</f>
        <v>0.1929</v>
      </c>
      <c r="L132" s="19">
        <f>IFERROR(__xludf.DUMMYFUNCTION("""COMPUTED_VALUE"""),0.2315)</f>
        <v>0.2315</v>
      </c>
      <c r="M132" s="18">
        <f>IFERROR(__xludf.DUMMYFUNCTION("""COMPUTED_VALUE"""),2.53)</f>
        <v>2.53</v>
      </c>
    </row>
    <row r="133">
      <c r="A133" s="13" t="str">
        <f>IFERROR(__xludf.DUMMYFUNCTION("""COMPUTED_VALUE"""),"товари")</f>
        <v>товари</v>
      </c>
      <c r="B133" s="16" t="str">
        <f>IFERROR(__xludf.DUMMYFUNCTION("""COMPUTED_VALUE"""),"авто-, мото")</f>
        <v>авто-, мото</v>
      </c>
      <c r="C133" s="16" t="str">
        <f>IFERROR(__xludf.DUMMYFUNCTION("""COMPUTED_VALUE"""),"аксесуари для авто")</f>
        <v>аксесуари для авто</v>
      </c>
      <c r="D133" s="16" t="str">
        <f>IFERROR(__xludf.DUMMYFUNCTION("""COMPUTED_VALUE"""),"аксесуари для автотюнингу")</f>
        <v>аксесуари для автотюнингу</v>
      </c>
      <c r="E133" s="16" t="str">
        <f>IFERROR(__xludf.DUMMYFUNCTION("""COMPUTED_VALUE"""),"альтернативна оптика")</f>
        <v>альтернативна оптика</v>
      </c>
      <c r="F133" s="17">
        <f>IFERROR(__xludf.DUMMYFUNCTION("""COMPUTED_VALUE"""),4.0)</f>
        <v>4</v>
      </c>
      <c r="G133" s="17" t="str">
        <f>IFERROR(__xludf.DUMMYFUNCTION("""COMPUTED_VALUE"""),"12123208")</f>
        <v>12123208</v>
      </c>
      <c r="H133" s="17" t="str">
        <f>IFERROR(__xludf.DUMMYFUNCTION("""COMPUTED_VALUE"""),"альтернативна оптика")</f>
        <v>альтернативна оптика</v>
      </c>
      <c r="I133" s="19">
        <f>IFERROR(__xludf.DUMMYFUNCTION("""COMPUTED_VALUE"""),0.0683)</f>
        <v>0.0683</v>
      </c>
      <c r="J133" s="19">
        <f>IFERROR(__xludf.DUMMYFUNCTION("""COMPUTED_VALUE"""),0.1366)</f>
        <v>0.1366</v>
      </c>
      <c r="K133" s="19">
        <f>IFERROR(__xludf.DUMMYFUNCTION("""COMPUTED_VALUE"""),0.1708)</f>
        <v>0.1708</v>
      </c>
      <c r="L133" s="19">
        <f>IFERROR(__xludf.DUMMYFUNCTION("""COMPUTED_VALUE"""),0.2049)</f>
        <v>0.2049</v>
      </c>
      <c r="M133" s="18">
        <f>IFERROR(__xludf.DUMMYFUNCTION("""COMPUTED_VALUE"""),1.53)</f>
        <v>1.53</v>
      </c>
    </row>
    <row r="134">
      <c r="A134" s="13" t="str">
        <f>IFERROR(__xludf.DUMMYFUNCTION("""COMPUTED_VALUE"""),"товари")</f>
        <v>товари</v>
      </c>
      <c r="B134" s="16" t="str">
        <f>IFERROR(__xludf.DUMMYFUNCTION("""COMPUTED_VALUE"""),"авто-, мото")</f>
        <v>авто-, мото</v>
      </c>
      <c r="C134" s="16" t="str">
        <f>IFERROR(__xludf.DUMMYFUNCTION("""COMPUTED_VALUE"""),"автозапчастини")</f>
        <v>автозапчастини</v>
      </c>
      <c r="D134" s="16" t="str">
        <f>IFERROR(__xludf.DUMMYFUNCTION("""COMPUTED_VALUE"""),"кузовні запчастини")</f>
        <v>кузовні запчастини</v>
      </c>
      <c r="E134" s="16" t="str">
        <f>IFERROR(__xludf.DUMMYFUNCTION("""COMPUTED_VALUE"""),"амортизатори капота, багажника")</f>
        <v>амортизатори капота, багажника</v>
      </c>
      <c r="F134" s="17">
        <f>IFERROR(__xludf.DUMMYFUNCTION("""COMPUTED_VALUE"""),4.0)</f>
        <v>4</v>
      </c>
      <c r="G134" s="17" t="str">
        <f>IFERROR(__xludf.DUMMYFUNCTION("""COMPUTED_VALUE"""),"341585")</f>
        <v>341585</v>
      </c>
      <c r="H134" s="17" t="str">
        <f>IFERROR(__xludf.DUMMYFUNCTION("""COMPUTED_VALUE"""),"амортизатори капота, багажника")</f>
        <v>амортизатори капота, багажника</v>
      </c>
      <c r="I134" s="19">
        <f>IFERROR(__xludf.DUMMYFUNCTION("""COMPUTED_VALUE"""),0.0549)</f>
        <v>0.0549</v>
      </c>
      <c r="J134" s="19">
        <f>IFERROR(__xludf.DUMMYFUNCTION("""COMPUTED_VALUE"""),0.1098)</f>
        <v>0.1098</v>
      </c>
      <c r="K134" s="19">
        <f>IFERROR(__xludf.DUMMYFUNCTION("""COMPUTED_VALUE"""),0.1373)</f>
        <v>0.1373</v>
      </c>
      <c r="L134" s="19">
        <f>IFERROR(__xludf.DUMMYFUNCTION("""COMPUTED_VALUE"""),0.1647)</f>
        <v>0.1647</v>
      </c>
      <c r="M134" s="18">
        <f>IFERROR(__xludf.DUMMYFUNCTION("""COMPUTED_VALUE"""),1.53)</f>
        <v>1.53</v>
      </c>
    </row>
    <row r="135">
      <c r="A135" s="13" t="str">
        <f>IFERROR(__xludf.DUMMYFUNCTION("""COMPUTED_VALUE"""),"товари")</f>
        <v>товари</v>
      </c>
      <c r="B135" s="16" t="str">
        <f>IFERROR(__xludf.DUMMYFUNCTION("""COMPUTED_VALUE"""),"авто-, мото")</f>
        <v>авто-, мото</v>
      </c>
      <c r="C135" s="16" t="str">
        <f>IFERROR(__xludf.DUMMYFUNCTION("""COMPUTED_VALUE"""),"автозапчастини")</f>
        <v>автозапчастини</v>
      </c>
      <c r="D135" s="16" t="str">
        <f>IFERROR(__xludf.DUMMYFUNCTION("""COMPUTED_VALUE"""),"деталі ходової")</f>
        <v>деталі ходової</v>
      </c>
      <c r="E135" s="16" t="str">
        <f>IFERROR(__xludf.DUMMYFUNCTION("""COMPUTED_VALUE"""),"амортизатори, стійки, подушки стійок")</f>
        <v>амортизатори, стійки, подушки стійок</v>
      </c>
      <c r="F135" s="17">
        <f>IFERROR(__xludf.DUMMYFUNCTION("""COMPUTED_VALUE"""),4.0)</f>
        <v>4</v>
      </c>
      <c r="G135" s="17" t="str">
        <f>IFERROR(__xludf.DUMMYFUNCTION("""COMPUTED_VALUE"""),"120220")</f>
        <v>120220</v>
      </c>
      <c r="H135" s="17" t="str">
        <f>IFERROR(__xludf.DUMMYFUNCTION("""COMPUTED_VALUE"""),"амортизатори, стійки, подушки стійок")</f>
        <v>амортизатори, стійки, подушки стійок</v>
      </c>
      <c r="I135" s="19">
        <f>IFERROR(__xludf.DUMMYFUNCTION("""COMPUTED_VALUE"""),0.0529)</f>
        <v>0.0529</v>
      </c>
      <c r="J135" s="19">
        <f>IFERROR(__xludf.DUMMYFUNCTION("""COMPUTED_VALUE"""),0.1058)</f>
        <v>0.1058</v>
      </c>
      <c r="K135" s="19">
        <f>IFERROR(__xludf.DUMMYFUNCTION("""COMPUTED_VALUE"""),0.1323)</f>
        <v>0.1323</v>
      </c>
      <c r="L135" s="19">
        <f>IFERROR(__xludf.DUMMYFUNCTION("""COMPUTED_VALUE"""),0.1587)</f>
        <v>0.1587</v>
      </c>
      <c r="M135" s="18">
        <f>IFERROR(__xludf.DUMMYFUNCTION("""COMPUTED_VALUE"""),1.53)</f>
        <v>1.53</v>
      </c>
    </row>
    <row r="136">
      <c r="A136" s="13" t="str">
        <f>IFERROR(__xludf.DUMMYFUNCTION("""COMPUTED_VALUE"""),"товари")</f>
        <v>товари</v>
      </c>
      <c r="B136" s="16" t="str">
        <f>IFERROR(__xludf.DUMMYFUNCTION("""COMPUTED_VALUE"""),"авто-, мото")</f>
        <v>авто-, мото</v>
      </c>
      <c r="C136" s="16" t="str">
        <f>IFERROR(__xludf.DUMMYFUNCTION("""COMPUTED_VALUE"""),"автохімія, автокосметика і автомастила")</f>
        <v>автохімія, автокосметика і автомастила</v>
      </c>
      <c r="D136" s="16" t="str">
        <f>IFERROR(__xludf.DUMMYFUNCTION("""COMPUTED_VALUE"""),"антикорозійний захист")</f>
        <v>антикорозійний захист</v>
      </c>
      <c r="E136" s="16" t="str">
        <f>IFERROR(__xludf.DUMMYFUNCTION("""COMPUTED_VALUE"""),"антикорозійний захист")</f>
        <v>антикорозійний захист</v>
      </c>
      <c r="F136" s="17">
        <f>IFERROR(__xludf.DUMMYFUNCTION("""COMPUTED_VALUE"""),3.0)</f>
        <v>3</v>
      </c>
      <c r="G136" s="17" t="str">
        <f>IFERROR(__xludf.DUMMYFUNCTION("""COMPUTED_VALUE"""),"341604")</f>
        <v>341604</v>
      </c>
      <c r="H136" s="17" t="str">
        <f>IFERROR(__xludf.DUMMYFUNCTION("""COMPUTED_VALUE"""),"антикорозійний захист")</f>
        <v>антикорозійний захист</v>
      </c>
      <c r="I136" s="19">
        <f>IFERROR(__xludf.DUMMYFUNCTION("""COMPUTED_VALUE"""),0.0785)</f>
        <v>0.0785</v>
      </c>
      <c r="J136" s="19">
        <f>IFERROR(__xludf.DUMMYFUNCTION("""COMPUTED_VALUE"""),0.157)</f>
        <v>0.157</v>
      </c>
      <c r="K136" s="19">
        <f>IFERROR(__xludf.DUMMYFUNCTION("""COMPUTED_VALUE"""),0.1963)</f>
        <v>0.1963</v>
      </c>
      <c r="L136" s="19">
        <f>IFERROR(__xludf.DUMMYFUNCTION("""COMPUTED_VALUE"""),0.2355)</f>
        <v>0.2355</v>
      </c>
      <c r="M136" s="18">
        <f>IFERROR(__xludf.DUMMYFUNCTION("""COMPUTED_VALUE"""),1.05)</f>
        <v>1.05</v>
      </c>
    </row>
    <row r="137">
      <c r="A137" s="13" t="str">
        <f>IFERROR(__xludf.DUMMYFUNCTION("""COMPUTED_VALUE"""),"товари")</f>
        <v>товари</v>
      </c>
      <c r="B137" s="16" t="str">
        <f>IFERROR(__xludf.DUMMYFUNCTION("""COMPUTED_VALUE"""),"авто-, мото")</f>
        <v>авто-, мото</v>
      </c>
      <c r="C137" s="16" t="str">
        <f>IFERROR(__xludf.DUMMYFUNCTION("""COMPUTED_VALUE"""),"автомобільна електроніка")</f>
        <v>автомобільна електроніка</v>
      </c>
      <c r="D137" s="16" t="str">
        <f>IFERROR(__xludf.DUMMYFUNCTION("""COMPUTED_VALUE"""),"антирадари")</f>
        <v>антирадари</v>
      </c>
      <c r="E137" s="16" t="str">
        <f>IFERROR(__xludf.DUMMYFUNCTION("""COMPUTED_VALUE"""),"антирадари")</f>
        <v>антирадари</v>
      </c>
      <c r="F137" s="17">
        <f>IFERROR(__xludf.DUMMYFUNCTION("""COMPUTED_VALUE"""),3.0)</f>
        <v>3</v>
      </c>
      <c r="G137" s="17" t="str">
        <f>IFERROR(__xludf.DUMMYFUNCTION("""COMPUTED_VALUE"""),"340405")</f>
        <v>340405</v>
      </c>
      <c r="H137" s="17" t="str">
        <f>IFERROR(__xludf.DUMMYFUNCTION("""COMPUTED_VALUE"""),"антирадари")</f>
        <v>антирадари</v>
      </c>
      <c r="I137" s="19">
        <f>IFERROR(__xludf.DUMMYFUNCTION("""COMPUTED_VALUE"""),0.0385)</f>
        <v>0.0385</v>
      </c>
      <c r="J137" s="19">
        <f>IFERROR(__xludf.DUMMYFUNCTION("""COMPUTED_VALUE"""),0.077)</f>
        <v>0.077</v>
      </c>
      <c r="K137" s="19">
        <f>IFERROR(__xludf.DUMMYFUNCTION("""COMPUTED_VALUE"""),0.0963)</f>
        <v>0.0963</v>
      </c>
      <c r="L137" s="19">
        <f>IFERROR(__xludf.DUMMYFUNCTION("""COMPUTED_VALUE"""),0.1155)</f>
        <v>0.1155</v>
      </c>
      <c r="M137" s="18">
        <f>IFERROR(__xludf.DUMMYFUNCTION("""COMPUTED_VALUE"""),1.53)</f>
        <v>1.53</v>
      </c>
    </row>
    <row r="138">
      <c r="A138" s="13" t="str">
        <f>IFERROR(__xludf.DUMMYFUNCTION("""COMPUTED_VALUE"""),"товари")</f>
        <v>товари</v>
      </c>
      <c r="B138" s="16" t="str">
        <f>IFERROR(__xludf.DUMMYFUNCTION("""COMPUTED_VALUE"""),"авто-, мото")</f>
        <v>авто-, мото</v>
      </c>
      <c r="C138" s="16" t="str">
        <f>IFERROR(__xludf.DUMMYFUNCTION("""COMPUTED_VALUE"""),"аксесуари для авто")</f>
        <v>аксесуари для авто</v>
      </c>
      <c r="D138" s="16" t="str">
        <f>IFERROR(__xludf.DUMMYFUNCTION("""COMPUTED_VALUE"""),"аксесуари салону автомобіля")</f>
        <v>аксесуари салону автомобіля</v>
      </c>
      <c r="E138" s="16" t="str">
        <f>IFERROR(__xludf.DUMMYFUNCTION("""COMPUTED_VALUE"""),"ароматизатори автомобільні")</f>
        <v>ароматизатори автомобільні</v>
      </c>
      <c r="F138" s="17">
        <f>IFERROR(__xludf.DUMMYFUNCTION("""COMPUTED_VALUE"""),4.0)</f>
        <v>4</v>
      </c>
      <c r="G138" s="17" t="str">
        <f>IFERROR(__xludf.DUMMYFUNCTION("""COMPUTED_VALUE"""),"121231")</f>
        <v>121231</v>
      </c>
      <c r="H138" s="17" t="str">
        <f>IFERROR(__xludf.DUMMYFUNCTION("""COMPUTED_VALUE"""),"ароматизатори автомобільні")</f>
        <v>ароматизатори автомобільні</v>
      </c>
      <c r="I138" s="19">
        <f>IFERROR(__xludf.DUMMYFUNCTION("""COMPUTED_VALUE"""),0.0772)</f>
        <v>0.0772</v>
      </c>
      <c r="J138" s="19">
        <f>IFERROR(__xludf.DUMMYFUNCTION("""COMPUTED_VALUE"""),0.1543)</f>
        <v>0.1543</v>
      </c>
      <c r="K138" s="19">
        <f>IFERROR(__xludf.DUMMYFUNCTION("""COMPUTED_VALUE"""),0.1929)</f>
        <v>0.1929</v>
      </c>
      <c r="L138" s="19">
        <f>IFERROR(__xludf.DUMMYFUNCTION("""COMPUTED_VALUE"""),0.2315)</f>
        <v>0.2315</v>
      </c>
      <c r="M138" s="18">
        <f>IFERROR(__xludf.DUMMYFUNCTION("""COMPUTED_VALUE"""),2.53)</f>
        <v>2.53</v>
      </c>
    </row>
    <row r="139">
      <c r="A139" s="13" t="str">
        <f>IFERROR(__xludf.DUMMYFUNCTION("""COMPUTED_VALUE"""),"товари")</f>
        <v>товари</v>
      </c>
      <c r="B139" s="16" t="str">
        <f>IFERROR(__xludf.DUMMYFUNCTION("""COMPUTED_VALUE"""),"авто-, мото")</f>
        <v>авто-, мото</v>
      </c>
      <c r="C139" s="16" t="str">
        <f>IFERROR(__xludf.DUMMYFUNCTION("""COMPUTED_VALUE"""),"аксесуари для авто")</f>
        <v>аксесуари для авто</v>
      </c>
      <c r="D139" s="16" t="str">
        <f>IFERROR(__xludf.DUMMYFUNCTION("""COMPUTED_VALUE"""),"багажники і кріплення на дах")</f>
        <v>багажники і кріплення на дах</v>
      </c>
      <c r="E139" s="16" t="str">
        <f>IFERROR(__xludf.DUMMYFUNCTION("""COMPUTED_VALUE"""),"багажники і кріплення на дах, загальне")</f>
        <v>багажники і кріплення на дах, загальне</v>
      </c>
      <c r="F139" s="17">
        <f>IFERROR(__xludf.DUMMYFUNCTION("""COMPUTED_VALUE"""),4.0)</f>
        <v>4</v>
      </c>
      <c r="G139" s="17" t="str">
        <f>IFERROR(__xludf.DUMMYFUNCTION("""COMPUTED_VALUE"""),"12125701")</f>
        <v>12125701</v>
      </c>
      <c r="H139" s="17" t="str">
        <f>IFERROR(__xludf.DUMMYFUNCTION("""COMPUTED_VALUE"""),"багажники і кріплення на дах, загальне")</f>
        <v>багажники і кріплення на дах, загальне</v>
      </c>
      <c r="I139" s="19">
        <f>IFERROR(__xludf.DUMMYFUNCTION("""COMPUTED_VALUE"""),0.125)</f>
        <v>0.125</v>
      </c>
      <c r="J139" s="19">
        <f>IFERROR(__xludf.DUMMYFUNCTION("""COMPUTED_VALUE"""),0.25)</f>
        <v>0.25</v>
      </c>
      <c r="K139" s="19">
        <f>IFERROR(__xludf.DUMMYFUNCTION("""COMPUTED_VALUE"""),0.3125)</f>
        <v>0.3125</v>
      </c>
      <c r="L139" s="19">
        <f>IFERROR(__xludf.DUMMYFUNCTION("""COMPUTED_VALUE"""),0.375)</f>
        <v>0.375</v>
      </c>
      <c r="M139" s="18">
        <f>IFERROR(__xludf.DUMMYFUNCTION("""COMPUTED_VALUE"""),4.33)</f>
        <v>4.33</v>
      </c>
    </row>
    <row r="140">
      <c r="A140" s="13" t="str">
        <f>IFERROR(__xludf.DUMMYFUNCTION("""COMPUTED_VALUE"""),"товари")</f>
        <v>товари</v>
      </c>
      <c r="B140" s="16" t="str">
        <f>IFERROR(__xludf.DUMMYFUNCTION("""COMPUTED_VALUE"""),"авто-, мото")</f>
        <v>авто-, мото</v>
      </c>
      <c r="C140" s="16" t="str">
        <f>IFERROR(__xludf.DUMMYFUNCTION("""COMPUTED_VALUE"""),"аксесуари для авто")</f>
        <v>аксесуари для авто</v>
      </c>
      <c r="D140" s="16" t="str">
        <f>IFERROR(__xludf.DUMMYFUNCTION("""COMPUTED_VALUE"""),"багажники і кріплення на дах")</f>
        <v>багажники і кріплення на дах</v>
      </c>
      <c r="E140" s="16" t="str">
        <f>IFERROR(__xludf.DUMMYFUNCTION("""COMPUTED_VALUE"""),"багажники на дах")</f>
        <v>багажники на дах</v>
      </c>
      <c r="F140" s="17">
        <f>IFERROR(__xludf.DUMMYFUNCTION("""COMPUTED_VALUE"""),4.0)</f>
        <v>4</v>
      </c>
      <c r="G140" s="17" t="str">
        <f>IFERROR(__xludf.DUMMYFUNCTION("""COMPUTED_VALUE"""),"121205")</f>
        <v>121205</v>
      </c>
      <c r="H140" s="17" t="str">
        <f>IFERROR(__xludf.DUMMYFUNCTION("""COMPUTED_VALUE"""),"багажники на дах")</f>
        <v>багажники на дах</v>
      </c>
      <c r="I140" s="19">
        <f>IFERROR(__xludf.DUMMYFUNCTION("""COMPUTED_VALUE"""),0.0671)</f>
        <v>0.0671</v>
      </c>
      <c r="J140" s="19">
        <f>IFERROR(__xludf.DUMMYFUNCTION("""COMPUTED_VALUE"""),0.1342)</f>
        <v>0.1342</v>
      </c>
      <c r="K140" s="19">
        <f>IFERROR(__xludf.DUMMYFUNCTION("""COMPUTED_VALUE"""),0.1678)</f>
        <v>0.1678</v>
      </c>
      <c r="L140" s="19">
        <f>IFERROR(__xludf.DUMMYFUNCTION("""COMPUTED_VALUE"""),0.2013)</f>
        <v>0.2013</v>
      </c>
      <c r="M140" s="18">
        <f>IFERROR(__xludf.DUMMYFUNCTION("""COMPUTED_VALUE"""),1.63)</f>
        <v>1.63</v>
      </c>
    </row>
    <row r="141">
      <c r="A141" s="13" t="str">
        <f>IFERROR(__xludf.DUMMYFUNCTION("""COMPUTED_VALUE"""),"товари")</f>
        <v>товари</v>
      </c>
      <c r="B141" s="16" t="str">
        <f>IFERROR(__xludf.DUMMYFUNCTION("""COMPUTED_VALUE"""),"авто-, мото")</f>
        <v>авто-, мото</v>
      </c>
      <c r="C141" s="16" t="str">
        <f>IFERROR(__xludf.DUMMYFUNCTION("""COMPUTED_VALUE"""),"мототехніка")</f>
        <v>мототехніка</v>
      </c>
      <c r="D141" s="16" t="str">
        <f>IFERROR(__xludf.DUMMYFUNCTION("""COMPUTED_VALUE"""),"аксесуари для мототехніки")</f>
        <v>аксесуари для мототехніки</v>
      </c>
      <c r="E141" s="16" t="str">
        <f>IFERROR(__xludf.DUMMYFUNCTION("""COMPUTED_VALUE"""),"багажні системи та аксесуари для мототехніки")</f>
        <v>багажні системи та аксесуари для мототехніки</v>
      </c>
      <c r="F141" s="17">
        <f>IFERROR(__xludf.DUMMYFUNCTION("""COMPUTED_VALUE"""),4.0)</f>
        <v>4</v>
      </c>
      <c r="G141" s="17">
        <f>IFERROR(__xludf.DUMMYFUNCTION("""COMPUTED_VALUE"""),1.2031202E7)</f>
        <v>12031202</v>
      </c>
      <c r="H141" s="17" t="str">
        <f>IFERROR(__xludf.DUMMYFUNCTION("""COMPUTED_VALUE"""),"багажні системи та аксесуари для мототехніки")</f>
        <v>багажні системи та аксесуари для мототехніки</v>
      </c>
      <c r="I141" s="19">
        <f>IFERROR(__xludf.DUMMYFUNCTION("""COMPUTED_VALUE"""),0.0651)</f>
        <v>0.0651</v>
      </c>
      <c r="J141" s="19">
        <f>IFERROR(__xludf.DUMMYFUNCTION("""COMPUTED_VALUE"""),0.1302)</f>
        <v>0.1302</v>
      </c>
      <c r="K141" s="19">
        <f>IFERROR(__xludf.DUMMYFUNCTION("""COMPUTED_VALUE"""),0.1628)</f>
        <v>0.1628</v>
      </c>
      <c r="L141" s="19">
        <f>IFERROR(__xludf.DUMMYFUNCTION("""COMPUTED_VALUE"""),0.1953)</f>
        <v>0.1953</v>
      </c>
      <c r="M141" s="18">
        <f>IFERROR(__xludf.DUMMYFUNCTION("""COMPUTED_VALUE"""),1.53)</f>
        <v>1.53</v>
      </c>
    </row>
    <row r="142">
      <c r="A142" s="13" t="str">
        <f>IFERROR(__xludf.DUMMYFUNCTION("""COMPUTED_VALUE"""),"товари")</f>
        <v>товари</v>
      </c>
      <c r="B142" s="16" t="str">
        <f>IFERROR(__xludf.DUMMYFUNCTION("""COMPUTED_VALUE"""),"авто-, мото")</f>
        <v>авто-, мото</v>
      </c>
      <c r="C142" s="16" t="str">
        <f>IFERROR(__xludf.DUMMYFUNCTION("""COMPUTED_VALUE"""),"автозапчастини")</f>
        <v>автозапчастини</v>
      </c>
      <c r="D142" s="16" t="str">
        <f>IFERROR(__xludf.DUMMYFUNCTION("""COMPUTED_VALUE"""),"деталі ходової")</f>
        <v>деталі ходової</v>
      </c>
      <c r="E142" s="16" t="str">
        <f>IFERROR(__xludf.DUMMYFUNCTION("""COMPUTED_VALUE"""),"балки передньої і задньої підвіски")</f>
        <v>балки передньої і задньої підвіски</v>
      </c>
      <c r="F142" s="17">
        <f>IFERROR(__xludf.DUMMYFUNCTION("""COMPUTED_VALUE"""),4.0)</f>
        <v>4</v>
      </c>
      <c r="G142" s="17" t="str">
        <f>IFERROR(__xludf.DUMMYFUNCTION("""COMPUTED_VALUE"""),"341584")</f>
        <v>341584</v>
      </c>
      <c r="H142" s="17" t="str">
        <f>IFERROR(__xludf.DUMMYFUNCTION("""COMPUTED_VALUE"""),"балки передньої і задньої підвіски")</f>
        <v>балки передньої і задньої підвіски</v>
      </c>
      <c r="I142" s="19">
        <f>IFERROR(__xludf.DUMMYFUNCTION("""COMPUTED_VALUE"""),0.0554)</f>
        <v>0.0554</v>
      </c>
      <c r="J142" s="19">
        <f>IFERROR(__xludf.DUMMYFUNCTION("""COMPUTED_VALUE"""),0.1108)</f>
        <v>0.1108</v>
      </c>
      <c r="K142" s="19">
        <f>IFERROR(__xludf.DUMMYFUNCTION("""COMPUTED_VALUE"""),0.1385)</f>
        <v>0.1385</v>
      </c>
      <c r="L142" s="19">
        <f>IFERROR(__xludf.DUMMYFUNCTION("""COMPUTED_VALUE"""),0.1662)</f>
        <v>0.1662</v>
      </c>
      <c r="M142" s="18">
        <f>IFERROR(__xludf.DUMMYFUNCTION("""COMPUTED_VALUE"""),1.53)</f>
        <v>1.53</v>
      </c>
    </row>
    <row r="143">
      <c r="A143" s="13" t="str">
        <f>IFERROR(__xludf.DUMMYFUNCTION("""COMPUTED_VALUE"""),"товари")</f>
        <v>товари</v>
      </c>
      <c r="B143" s="16" t="str">
        <f>IFERROR(__xludf.DUMMYFUNCTION("""COMPUTED_VALUE"""),"авто-, мото")</f>
        <v>авто-, мото</v>
      </c>
      <c r="C143" s="16" t="str">
        <f>IFERROR(__xludf.DUMMYFUNCTION("""COMPUTED_VALUE"""),"автозапчастини")</f>
        <v>автозапчастини</v>
      </c>
      <c r="D143" s="16" t="str">
        <f>IFERROR(__xludf.DUMMYFUNCTION("""COMPUTED_VALUE"""),"кузовні запчастини")</f>
        <v>кузовні запчастини</v>
      </c>
      <c r="E143" s="16" t="str">
        <f>IFERROR(__xludf.DUMMYFUNCTION("""COMPUTED_VALUE"""),"бампери")</f>
        <v>бампери</v>
      </c>
      <c r="F143" s="17">
        <f>IFERROR(__xludf.DUMMYFUNCTION("""COMPUTED_VALUE"""),4.0)</f>
        <v>4</v>
      </c>
      <c r="G143" s="17" t="str">
        <f>IFERROR(__xludf.DUMMYFUNCTION("""COMPUTED_VALUE"""),"121214")</f>
        <v>121214</v>
      </c>
      <c r="H143" s="17" t="str">
        <f>IFERROR(__xludf.DUMMYFUNCTION("""COMPUTED_VALUE"""),"бампери")</f>
        <v>бампери</v>
      </c>
      <c r="I143" s="19">
        <f>IFERROR(__xludf.DUMMYFUNCTION("""COMPUTED_VALUE"""),0.0545)</f>
        <v>0.0545</v>
      </c>
      <c r="J143" s="19">
        <f>IFERROR(__xludf.DUMMYFUNCTION("""COMPUTED_VALUE"""),0.109)</f>
        <v>0.109</v>
      </c>
      <c r="K143" s="19">
        <f>IFERROR(__xludf.DUMMYFUNCTION("""COMPUTED_VALUE"""),0.1363)</f>
        <v>0.1363</v>
      </c>
      <c r="L143" s="19">
        <f>IFERROR(__xludf.DUMMYFUNCTION("""COMPUTED_VALUE"""),0.1635)</f>
        <v>0.1635</v>
      </c>
      <c r="M143" s="18">
        <f>IFERROR(__xludf.DUMMYFUNCTION("""COMPUTED_VALUE"""),1.53)</f>
        <v>1.53</v>
      </c>
    </row>
    <row r="144">
      <c r="A144" s="13" t="str">
        <f>IFERROR(__xludf.DUMMYFUNCTION("""COMPUTED_VALUE"""),"товари")</f>
        <v>товари</v>
      </c>
      <c r="B144" s="16" t="str">
        <f>IFERROR(__xludf.DUMMYFUNCTION("""COMPUTED_VALUE"""),"авто-, мото")</f>
        <v>авто-, мото</v>
      </c>
      <c r="C144" s="16" t="str">
        <f>IFERROR(__xludf.DUMMYFUNCTION("""COMPUTED_VALUE"""),"автозапчастини")</f>
        <v>автозапчастини</v>
      </c>
      <c r="D144" s="16" t="str">
        <f>IFERROR(__xludf.DUMMYFUNCTION("""COMPUTED_VALUE"""),"деталі салону автомобіля")</f>
        <v>деталі салону автомобіля</v>
      </c>
      <c r="E144" s="16" t="str">
        <f>IFERROR(__xludf.DUMMYFUNCTION("""COMPUTED_VALUE"""),"бардачки та органайзери салону")</f>
        <v>бардачки та органайзери салону</v>
      </c>
      <c r="F144" s="17">
        <f>IFERROR(__xludf.DUMMYFUNCTION("""COMPUTED_VALUE"""),4.0)</f>
        <v>4</v>
      </c>
      <c r="G144" s="17" t="str">
        <f>IFERROR(__xludf.DUMMYFUNCTION("""COMPUTED_VALUE"""),"341593")</f>
        <v>341593</v>
      </c>
      <c r="H144" s="17" t="str">
        <f>IFERROR(__xludf.DUMMYFUNCTION("""COMPUTED_VALUE"""),"бардачки та органайзери салону")</f>
        <v>бардачки та органайзери салону</v>
      </c>
      <c r="I144" s="19">
        <f>IFERROR(__xludf.DUMMYFUNCTION("""COMPUTED_VALUE"""),0.056)</f>
        <v>0.056</v>
      </c>
      <c r="J144" s="19">
        <f>IFERROR(__xludf.DUMMYFUNCTION("""COMPUTED_VALUE"""),0.1119)</f>
        <v>0.1119</v>
      </c>
      <c r="K144" s="19">
        <f>IFERROR(__xludf.DUMMYFUNCTION("""COMPUTED_VALUE"""),0.1399)</f>
        <v>0.1399</v>
      </c>
      <c r="L144" s="19">
        <f>IFERROR(__xludf.DUMMYFUNCTION("""COMPUTED_VALUE"""),0.1679)</f>
        <v>0.1679</v>
      </c>
      <c r="M144" s="18">
        <f>IFERROR(__xludf.DUMMYFUNCTION("""COMPUTED_VALUE"""),1.05)</f>
        <v>1.05</v>
      </c>
    </row>
    <row r="145">
      <c r="A145" s="13" t="str">
        <f>IFERROR(__xludf.DUMMYFUNCTION("""COMPUTED_VALUE"""),"товари")</f>
        <v>товари</v>
      </c>
      <c r="B145" s="16" t="str">
        <f>IFERROR(__xludf.DUMMYFUNCTION("""COMPUTED_VALUE"""),"авто-, мото")</f>
        <v>авто-, мото</v>
      </c>
      <c r="C145" s="16" t="str">
        <f>IFERROR(__xludf.DUMMYFUNCTION("""COMPUTED_VALUE"""),"автозапчастини")</f>
        <v>автозапчастини</v>
      </c>
      <c r="D145" s="16" t="str">
        <f>IFERROR(__xludf.DUMMYFUNCTION("""COMPUTED_VALUE"""),"система охолодження двигуна")</f>
        <v>система охолодження двигуна</v>
      </c>
      <c r="E145" s="16" t="str">
        <f>IFERROR(__xludf.DUMMYFUNCTION("""COMPUTED_VALUE"""),"бачки радіатора")</f>
        <v>бачки радіатора</v>
      </c>
      <c r="F145" s="17">
        <f>IFERROR(__xludf.DUMMYFUNCTION("""COMPUTED_VALUE"""),4.0)</f>
        <v>4</v>
      </c>
      <c r="G145" s="17" t="str">
        <f>IFERROR(__xludf.DUMMYFUNCTION("""COMPUTED_VALUE"""),"120245")</f>
        <v>120245</v>
      </c>
      <c r="H145" s="17" t="str">
        <f>IFERROR(__xludf.DUMMYFUNCTION("""COMPUTED_VALUE"""),"бачки радіатора")</f>
        <v>бачки радіатора</v>
      </c>
      <c r="I145" s="19">
        <f>IFERROR(__xludf.DUMMYFUNCTION("""COMPUTED_VALUE"""),0.0554)</f>
        <v>0.0554</v>
      </c>
      <c r="J145" s="19">
        <f>IFERROR(__xludf.DUMMYFUNCTION("""COMPUTED_VALUE"""),0.1107)</f>
        <v>0.1107</v>
      </c>
      <c r="K145" s="19">
        <f>IFERROR(__xludf.DUMMYFUNCTION("""COMPUTED_VALUE"""),0.1384)</f>
        <v>0.1384</v>
      </c>
      <c r="L145" s="19">
        <f>IFERROR(__xludf.DUMMYFUNCTION("""COMPUTED_VALUE"""),0.1661)</f>
        <v>0.1661</v>
      </c>
      <c r="M145" s="18">
        <f>IFERROR(__xludf.DUMMYFUNCTION("""COMPUTED_VALUE"""),2.08)</f>
        <v>2.08</v>
      </c>
    </row>
    <row r="146">
      <c r="A146" s="13" t="str">
        <f>IFERROR(__xludf.DUMMYFUNCTION("""COMPUTED_VALUE"""),"товари")</f>
        <v>товари</v>
      </c>
      <c r="B146" s="16" t="str">
        <f>IFERROR(__xludf.DUMMYFUNCTION("""COMPUTED_VALUE"""),"авто-, мото")</f>
        <v>авто-, мото</v>
      </c>
      <c r="C146" s="16" t="str">
        <f>IFERROR(__xludf.DUMMYFUNCTION("""COMPUTED_VALUE"""),"автозапчастини")</f>
        <v>автозапчастини</v>
      </c>
      <c r="D146" s="16" t="str">
        <f>IFERROR(__xludf.DUMMYFUNCTION("""COMPUTED_VALUE"""),"система очищення вікон і фар автомобіля")</f>
        <v>система очищення вікон і фар автомобіля</v>
      </c>
      <c r="E146" s="16" t="str">
        <f>IFERROR(__xludf.DUMMYFUNCTION("""COMPUTED_VALUE"""),"бачки, баки, ємності")</f>
        <v>бачки, баки, ємності</v>
      </c>
      <c r="F146" s="17">
        <f>IFERROR(__xludf.DUMMYFUNCTION("""COMPUTED_VALUE"""),4.0)</f>
        <v>4</v>
      </c>
      <c r="G146" s="17" t="str">
        <f>IFERROR(__xludf.DUMMYFUNCTION("""COMPUTED_VALUE"""),"120221")</f>
        <v>120221</v>
      </c>
      <c r="H146" s="17" t="str">
        <f>IFERROR(__xludf.DUMMYFUNCTION("""COMPUTED_VALUE"""),"бачки, баки, ємності")</f>
        <v>бачки, баки, ємності</v>
      </c>
      <c r="I146" s="19">
        <f>IFERROR(__xludf.DUMMYFUNCTION("""COMPUTED_VALUE"""),0.0617)</f>
        <v>0.0617</v>
      </c>
      <c r="J146" s="19">
        <f>IFERROR(__xludf.DUMMYFUNCTION("""COMPUTED_VALUE"""),0.1233)</f>
        <v>0.1233</v>
      </c>
      <c r="K146" s="19">
        <f>IFERROR(__xludf.DUMMYFUNCTION("""COMPUTED_VALUE"""),0.1541)</f>
        <v>0.1541</v>
      </c>
      <c r="L146" s="19">
        <f>IFERROR(__xludf.DUMMYFUNCTION("""COMPUTED_VALUE"""),0.185)</f>
        <v>0.185</v>
      </c>
      <c r="M146" s="18">
        <f>IFERROR(__xludf.DUMMYFUNCTION("""COMPUTED_VALUE"""),1.05)</f>
        <v>1.05</v>
      </c>
    </row>
    <row r="147">
      <c r="A147" s="13" t="str">
        <f>IFERROR(__xludf.DUMMYFUNCTION("""COMPUTED_VALUE"""),"товари")</f>
        <v>товари</v>
      </c>
      <c r="B147" s="16" t="str">
        <f>IFERROR(__xludf.DUMMYFUNCTION("""COMPUTED_VALUE"""),"авто-, мото")</f>
        <v>авто-, мото</v>
      </c>
      <c r="C147" s="16" t="str">
        <f>IFERROR(__xludf.DUMMYFUNCTION("""COMPUTED_VALUE"""),"автозапчастини")</f>
        <v>автозапчастини</v>
      </c>
      <c r="D147" s="16" t="str">
        <f>IFERROR(__xludf.DUMMYFUNCTION("""COMPUTED_VALUE"""),"світлові прилади транспорту")</f>
        <v>світлові прилади транспорту</v>
      </c>
      <c r="E147" s="16" t="str">
        <f>IFERROR(__xludf.DUMMYFUNCTION("""COMPUTED_VALUE"""),"блоки розпалювання")</f>
        <v>блоки розпалювання</v>
      </c>
      <c r="F147" s="17">
        <f>IFERROR(__xludf.DUMMYFUNCTION("""COMPUTED_VALUE"""),4.0)</f>
        <v>4</v>
      </c>
      <c r="G147" s="17" t="str">
        <f>IFERROR(__xludf.DUMMYFUNCTION("""COMPUTED_VALUE"""),"390303")</f>
        <v>390303</v>
      </c>
      <c r="H147" s="17" t="str">
        <f>IFERROR(__xludf.DUMMYFUNCTION("""COMPUTED_VALUE"""),"блоки розпалювання")</f>
        <v>блоки розпалювання</v>
      </c>
      <c r="I147" s="19">
        <f>IFERROR(__xludf.DUMMYFUNCTION("""COMPUTED_VALUE"""),0.0735)</f>
        <v>0.0735</v>
      </c>
      <c r="J147" s="19">
        <f>IFERROR(__xludf.DUMMYFUNCTION("""COMPUTED_VALUE"""),0.1469)</f>
        <v>0.1469</v>
      </c>
      <c r="K147" s="19">
        <f>IFERROR(__xludf.DUMMYFUNCTION("""COMPUTED_VALUE"""),0.1836)</f>
        <v>0.1836</v>
      </c>
      <c r="L147" s="19">
        <f>IFERROR(__xludf.DUMMYFUNCTION("""COMPUTED_VALUE"""),0.2204)</f>
        <v>0.2204</v>
      </c>
      <c r="M147" s="18">
        <f>IFERROR(__xludf.DUMMYFUNCTION("""COMPUTED_VALUE"""),2.16)</f>
        <v>2.16</v>
      </c>
    </row>
    <row r="148">
      <c r="A148" s="13" t="str">
        <f>IFERROR(__xludf.DUMMYFUNCTION("""COMPUTED_VALUE"""),"товари")</f>
        <v>товари</v>
      </c>
      <c r="B148" s="16" t="str">
        <f>IFERROR(__xludf.DUMMYFUNCTION("""COMPUTED_VALUE"""),"авто-, мото")</f>
        <v>авто-, мото</v>
      </c>
      <c r="C148" s="16" t="str">
        <f>IFERROR(__xludf.DUMMYFUNCTION("""COMPUTED_VALUE"""),"електрообладнання автомобілів")</f>
        <v>електрообладнання автомобілів</v>
      </c>
      <c r="D148" s="16" t="str">
        <f>IFERROR(__xludf.DUMMYFUNCTION("""COMPUTED_VALUE"""),"блоки управління")</f>
        <v>блоки управління</v>
      </c>
      <c r="E148" s="16" t="str">
        <f>IFERROR(__xludf.DUMMYFUNCTION("""COMPUTED_VALUE"""),"блоки управління")</f>
        <v>блоки управління</v>
      </c>
      <c r="F148" s="17">
        <f>IFERROR(__xludf.DUMMYFUNCTION("""COMPUTED_VALUE"""),3.0)</f>
        <v>3</v>
      </c>
      <c r="G148" s="17" t="str">
        <f>IFERROR(__xludf.DUMMYFUNCTION("""COMPUTED_VALUE"""),"12020306")</f>
        <v>12020306</v>
      </c>
      <c r="H148" s="17" t="str">
        <f>IFERROR(__xludf.DUMMYFUNCTION("""COMPUTED_VALUE"""),"блоки управління")</f>
        <v>блоки управління</v>
      </c>
      <c r="I148" s="19">
        <f>IFERROR(__xludf.DUMMYFUNCTION("""COMPUTED_VALUE"""),0.0513)</f>
        <v>0.0513</v>
      </c>
      <c r="J148" s="19">
        <f>IFERROR(__xludf.DUMMYFUNCTION("""COMPUTED_VALUE"""),0.1026)</f>
        <v>0.1026</v>
      </c>
      <c r="K148" s="19">
        <f>IFERROR(__xludf.DUMMYFUNCTION("""COMPUTED_VALUE"""),0.1283)</f>
        <v>0.1283</v>
      </c>
      <c r="L148" s="19">
        <f>IFERROR(__xludf.DUMMYFUNCTION("""COMPUTED_VALUE"""),0.1539)</f>
        <v>0.1539</v>
      </c>
      <c r="M148" s="18">
        <f>IFERROR(__xludf.DUMMYFUNCTION("""COMPUTED_VALUE"""),1.63)</f>
        <v>1.63</v>
      </c>
    </row>
    <row r="149">
      <c r="A149" s="13" t="str">
        <f>IFERROR(__xludf.DUMMYFUNCTION("""COMPUTED_VALUE"""),"товари")</f>
        <v>товари</v>
      </c>
      <c r="B149" s="16" t="str">
        <f>IFERROR(__xludf.DUMMYFUNCTION("""COMPUTED_VALUE"""),"авто-, мото")</f>
        <v>авто-, мото</v>
      </c>
      <c r="C149" s="16" t="str">
        <f>IFERROR(__xludf.DUMMYFUNCTION("""COMPUTED_VALUE"""),"автозапчастини")</f>
        <v>автозапчастини</v>
      </c>
      <c r="D149" s="16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149" s="16" t="str">
        <f>IFERROR(__xludf.DUMMYFUNCTION("""COMPUTED_VALUE"""),"блоки управління кондиціонером")</f>
        <v>блоки управління кондиціонером</v>
      </c>
      <c r="F149" s="17">
        <f>IFERROR(__xludf.DUMMYFUNCTION("""COMPUTED_VALUE"""),4.0)</f>
        <v>4</v>
      </c>
      <c r="G149" s="17" t="str">
        <f>IFERROR(__xludf.DUMMYFUNCTION("""COMPUTED_VALUE"""),"12021604")</f>
        <v>12021604</v>
      </c>
      <c r="H149" s="17" t="str">
        <f>IFERROR(__xludf.DUMMYFUNCTION("""COMPUTED_VALUE"""),"блоки управління кондиціонером")</f>
        <v>блоки управління кондиціонером</v>
      </c>
      <c r="I149" s="19">
        <f>IFERROR(__xludf.DUMMYFUNCTION("""COMPUTED_VALUE"""),0.0491)</f>
        <v>0.0491</v>
      </c>
      <c r="J149" s="19">
        <f>IFERROR(__xludf.DUMMYFUNCTION("""COMPUTED_VALUE"""),0.0982)</f>
        <v>0.0982</v>
      </c>
      <c r="K149" s="19">
        <f>IFERROR(__xludf.DUMMYFUNCTION("""COMPUTED_VALUE"""),0.1228)</f>
        <v>0.1228</v>
      </c>
      <c r="L149" s="19">
        <f>IFERROR(__xludf.DUMMYFUNCTION("""COMPUTED_VALUE"""),0.1473)</f>
        <v>0.1473</v>
      </c>
      <c r="M149" s="18">
        <f>IFERROR(__xludf.DUMMYFUNCTION("""COMPUTED_VALUE"""),1.44)</f>
        <v>1.44</v>
      </c>
    </row>
    <row r="150">
      <c r="A150" s="13" t="str">
        <f>IFERROR(__xludf.DUMMYFUNCTION("""COMPUTED_VALUE"""),"товари")</f>
        <v>товари</v>
      </c>
      <c r="B150" s="16" t="str">
        <f>IFERROR(__xludf.DUMMYFUNCTION("""COMPUTED_VALUE"""),"авто-, мото")</f>
        <v>авто-, мото</v>
      </c>
      <c r="C150" s="16" t="str">
        <f>IFERROR(__xludf.DUMMYFUNCTION("""COMPUTED_VALUE"""),"автозапчастини")</f>
        <v>автозапчастини</v>
      </c>
      <c r="D150" s="16" t="str">
        <f>IFERROR(__xludf.DUMMYFUNCTION("""COMPUTED_VALUE"""),"кузовні запчастини")</f>
        <v>кузовні запчастини</v>
      </c>
      <c r="E150" s="16" t="str">
        <f>IFERROR(__xludf.DUMMYFUNCTION("""COMPUTED_VALUE"""),"боковини кузова")</f>
        <v>боковини кузова</v>
      </c>
      <c r="F150" s="17">
        <f>IFERROR(__xludf.DUMMYFUNCTION("""COMPUTED_VALUE"""),4.0)</f>
        <v>4</v>
      </c>
      <c r="G150" s="17" t="str">
        <f>IFERROR(__xludf.DUMMYFUNCTION("""COMPUTED_VALUE"""),"341586")</f>
        <v>341586</v>
      </c>
      <c r="H150" s="17" t="str">
        <f>IFERROR(__xludf.DUMMYFUNCTION("""COMPUTED_VALUE"""),"боковини кузова")</f>
        <v>боковини кузова</v>
      </c>
      <c r="I150" s="19">
        <f>IFERROR(__xludf.DUMMYFUNCTION("""COMPUTED_VALUE"""),0.0545)</f>
        <v>0.0545</v>
      </c>
      <c r="J150" s="19">
        <f>IFERROR(__xludf.DUMMYFUNCTION("""COMPUTED_VALUE"""),0.109)</f>
        <v>0.109</v>
      </c>
      <c r="K150" s="19">
        <f>IFERROR(__xludf.DUMMYFUNCTION("""COMPUTED_VALUE"""),0.1363)</f>
        <v>0.1363</v>
      </c>
      <c r="L150" s="19">
        <f>IFERROR(__xludf.DUMMYFUNCTION("""COMPUTED_VALUE"""),0.1635)</f>
        <v>0.1635</v>
      </c>
      <c r="M150" s="18">
        <f>IFERROR(__xludf.DUMMYFUNCTION("""COMPUTED_VALUE"""),1.53)</f>
        <v>1.53</v>
      </c>
    </row>
    <row r="151">
      <c r="A151" s="13" t="str">
        <f>IFERROR(__xludf.DUMMYFUNCTION("""COMPUTED_VALUE"""),"товари")</f>
        <v>товари</v>
      </c>
      <c r="B151" s="16" t="str">
        <f>IFERROR(__xludf.DUMMYFUNCTION("""COMPUTED_VALUE"""),"авто-, мото")</f>
        <v>авто-, мото</v>
      </c>
      <c r="C151" s="16" t="str">
        <f>IFERROR(__xludf.DUMMYFUNCTION("""COMPUTED_VALUE"""),"диски і шини")</f>
        <v>диски і шини</v>
      </c>
      <c r="D151" s="16" t="str">
        <f>IFERROR(__xludf.DUMMYFUNCTION("""COMPUTED_VALUE"""),"болти, секретні болти, гайки")</f>
        <v>болти, секретні болти, гайки</v>
      </c>
      <c r="E151" s="16" t="str">
        <f>IFERROR(__xludf.DUMMYFUNCTION("""COMPUTED_VALUE"""),"болти, секретні болти, гайки")</f>
        <v>болти, секретні болти, гайки</v>
      </c>
      <c r="F151" s="17">
        <f>IFERROR(__xludf.DUMMYFUNCTION("""COMPUTED_VALUE"""),3.0)</f>
        <v>3</v>
      </c>
      <c r="G151" s="17" t="str">
        <f>IFERROR(__xludf.DUMMYFUNCTION("""COMPUTED_VALUE"""),"341576")</f>
        <v>341576</v>
      </c>
      <c r="H151" s="17" t="str">
        <f>IFERROR(__xludf.DUMMYFUNCTION("""COMPUTED_VALUE"""),"болти, секретні болти, гайки")</f>
        <v>болти, секретні болти, гайки</v>
      </c>
      <c r="I151" s="19">
        <f>IFERROR(__xludf.DUMMYFUNCTION("""COMPUTED_VALUE"""),0.0761)</f>
        <v>0.0761</v>
      </c>
      <c r="J151" s="19">
        <f>IFERROR(__xludf.DUMMYFUNCTION("""COMPUTED_VALUE"""),0.1521)</f>
        <v>0.1521</v>
      </c>
      <c r="K151" s="19">
        <f>IFERROR(__xludf.DUMMYFUNCTION("""COMPUTED_VALUE"""),0.1901)</f>
        <v>0.1901</v>
      </c>
      <c r="L151" s="19">
        <f>IFERROR(__xludf.DUMMYFUNCTION("""COMPUTED_VALUE"""),0.2282)</f>
        <v>0.2282</v>
      </c>
      <c r="M151" s="18">
        <f>IFERROR(__xludf.DUMMYFUNCTION("""COMPUTED_VALUE"""),1.98)</f>
        <v>1.98</v>
      </c>
    </row>
    <row r="152">
      <c r="A152" s="13" t="str">
        <f>IFERROR(__xludf.DUMMYFUNCTION("""COMPUTED_VALUE"""),"товари")</f>
        <v>товари</v>
      </c>
      <c r="B152" s="16" t="str">
        <f>IFERROR(__xludf.DUMMYFUNCTION("""COMPUTED_VALUE"""),"авто-, мото")</f>
        <v>авто-, мото</v>
      </c>
      <c r="C152" s="16" t="str">
        <f>IFERROR(__xludf.DUMMYFUNCTION("""COMPUTED_VALUE"""),"автомобільна електроніка")</f>
        <v>автомобільна електроніка</v>
      </c>
      <c r="D152" s="16" t="str">
        <f>IFERROR(__xludf.DUMMYFUNCTION("""COMPUTED_VALUE"""),"бортові комп'ютери")</f>
        <v>бортові комп'ютери</v>
      </c>
      <c r="E152" s="16" t="str">
        <f>IFERROR(__xludf.DUMMYFUNCTION("""COMPUTED_VALUE"""),"бортові комп'ютери")</f>
        <v>бортові комп'ютери</v>
      </c>
      <c r="F152" s="17">
        <f>IFERROR(__xludf.DUMMYFUNCTION("""COMPUTED_VALUE"""),3.0)</f>
        <v>3</v>
      </c>
      <c r="G152" s="17" t="str">
        <f>IFERROR(__xludf.DUMMYFUNCTION("""COMPUTED_VALUE"""),"340408")</f>
        <v>340408</v>
      </c>
      <c r="H152" s="17" t="str">
        <f>IFERROR(__xludf.DUMMYFUNCTION("""COMPUTED_VALUE"""),"бортові комп'ютери")</f>
        <v>бортові комп'ютери</v>
      </c>
      <c r="I152" s="19">
        <f>IFERROR(__xludf.DUMMYFUNCTION("""COMPUTED_VALUE"""),0.0709)</f>
        <v>0.0709</v>
      </c>
      <c r="J152" s="19">
        <f>IFERROR(__xludf.DUMMYFUNCTION("""COMPUTED_VALUE"""),0.1417)</f>
        <v>0.1417</v>
      </c>
      <c r="K152" s="19">
        <f>IFERROR(__xludf.DUMMYFUNCTION("""COMPUTED_VALUE"""),0.1771)</f>
        <v>0.1771</v>
      </c>
      <c r="L152" s="19">
        <f>IFERROR(__xludf.DUMMYFUNCTION("""COMPUTED_VALUE"""),0.2126)</f>
        <v>0.2126</v>
      </c>
      <c r="M152" s="18">
        <f>IFERROR(__xludf.DUMMYFUNCTION("""COMPUTED_VALUE"""),1.05)</f>
        <v>1.05</v>
      </c>
    </row>
    <row r="153">
      <c r="A153" s="13" t="str">
        <f>IFERROR(__xludf.DUMMYFUNCTION("""COMPUTED_VALUE"""),"товари")</f>
        <v>товари</v>
      </c>
      <c r="B153" s="16" t="str">
        <f>IFERROR(__xludf.DUMMYFUNCTION("""COMPUTED_VALUE"""),"авто-, мото")</f>
        <v>авто-, мото</v>
      </c>
      <c r="C153" s="16" t="str">
        <f>IFERROR(__xludf.DUMMYFUNCTION("""COMPUTED_VALUE"""),"автозапчастини")</f>
        <v>автозапчастини</v>
      </c>
      <c r="D153" s="16" t="str">
        <f>IFERROR(__xludf.DUMMYFUNCTION("""COMPUTED_VALUE"""),"кузовні запчастини")</f>
        <v>кузовні запчастини</v>
      </c>
      <c r="E153" s="16" t="str">
        <f>IFERROR(__xludf.DUMMYFUNCTION("""COMPUTED_VALUE"""),"бризковики")</f>
        <v>бризковики</v>
      </c>
      <c r="F153" s="17">
        <f>IFERROR(__xludf.DUMMYFUNCTION("""COMPUTED_VALUE"""),4.0)</f>
        <v>4</v>
      </c>
      <c r="G153" s="17" t="str">
        <f>IFERROR(__xludf.DUMMYFUNCTION("""COMPUTED_VALUE"""),"12122901")</f>
        <v>12122901</v>
      </c>
      <c r="H153" s="17" t="str">
        <f>IFERROR(__xludf.DUMMYFUNCTION("""COMPUTED_VALUE"""),"бризковики")</f>
        <v>бризковики</v>
      </c>
      <c r="I153" s="19">
        <f>IFERROR(__xludf.DUMMYFUNCTION("""COMPUTED_VALUE"""),0.0702)</f>
        <v>0.0702</v>
      </c>
      <c r="J153" s="19">
        <f>IFERROR(__xludf.DUMMYFUNCTION("""COMPUTED_VALUE"""),0.1404)</f>
        <v>0.1404</v>
      </c>
      <c r="K153" s="19">
        <f>IFERROR(__xludf.DUMMYFUNCTION("""COMPUTED_VALUE"""),0.1755)</f>
        <v>0.1755</v>
      </c>
      <c r="L153" s="19">
        <f>IFERROR(__xludf.DUMMYFUNCTION("""COMPUTED_VALUE"""),0.2106)</f>
        <v>0.2106</v>
      </c>
      <c r="M153" s="18">
        <f>IFERROR(__xludf.DUMMYFUNCTION("""COMPUTED_VALUE"""),1.53)</f>
        <v>1.53</v>
      </c>
    </row>
    <row r="154">
      <c r="A154" s="13" t="str">
        <f>IFERROR(__xludf.DUMMYFUNCTION("""COMPUTED_VALUE"""),"товари")</f>
        <v>товари</v>
      </c>
      <c r="B154" s="16" t="str">
        <f>IFERROR(__xludf.DUMMYFUNCTION("""COMPUTED_VALUE"""),"авто-, мото")</f>
        <v>авто-, мото</v>
      </c>
      <c r="C154" s="16" t="str">
        <f>IFERROR(__xludf.DUMMYFUNCTION("""COMPUTED_VALUE"""),"автозапчастини")</f>
        <v>автозапчастини</v>
      </c>
      <c r="D154" s="16" t="str">
        <f>IFERROR(__xludf.DUMMYFUNCTION("""COMPUTED_VALUE"""),"деталі ходової")</f>
        <v>деталі ходової</v>
      </c>
      <c r="E154" s="16" t="str">
        <f>IFERROR(__xludf.DUMMYFUNCTION("""COMPUTED_VALUE"""),"важелі, тяги")</f>
        <v>важелі, тяги</v>
      </c>
      <c r="F154" s="17">
        <f>IFERROR(__xludf.DUMMYFUNCTION("""COMPUTED_VALUE"""),4.0)</f>
        <v>4</v>
      </c>
      <c r="G154" s="17" t="str">
        <f>IFERROR(__xludf.DUMMYFUNCTION("""COMPUTED_VALUE"""),"341600")</f>
        <v>341600</v>
      </c>
      <c r="H154" s="17" t="str">
        <f>IFERROR(__xludf.DUMMYFUNCTION("""COMPUTED_VALUE"""),"важелі, тяги")</f>
        <v>важелі, тяги</v>
      </c>
      <c r="I154" s="19">
        <f>IFERROR(__xludf.DUMMYFUNCTION("""COMPUTED_VALUE"""),0.0497)</f>
        <v>0.0497</v>
      </c>
      <c r="J154" s="19">
        <f>IFERROR(__xludf.DUMMYFUNCTION("""COMPUTED_VALUE"""),0.0993)</f>
        <v>0.0993</v>
      </c>
      <c r="K154" s="19">
        <f>IFERROR(__xludf.DUMMYFUNCTION("""COMPUTED_VALUE"""),0.1241)</f>
        <v>0.1241</v>
      </c>
      <c r="L154" s="19">
        <f>IFERROR(__xludf.DUMMYFUNCTION("""COMPUTED_VALUE"""),0.149)</f>
        <v>0.149</v>
      </c>
      <c r="M154" s="18">
        <f>IFERROR(__xludf.DUMMYFUNCTION("""COMPUTED_VALUE"""),1.53)</f>
        <v>1.53</v>
      </c>
    </row>
    <row r="155">
      <c r="A155" s="13" t="str">
        <f>IFERROR(__xludf.DUMMYFUNCTION("""COMPUTED_VALUE"""),"товари")</f>
        <v>товари</v>
      </c>
      <c r="B155" s="16" t="str">
        <f>IFERROR(__xludf.DUMMYFUNCTION("""COMPUTED_VALUE"""),"авто-, мото")</f>
        <v>авто-, мото</v>
      </c>
      <c r="C155" s="16" t="str">
        <f>IFERROR(__xludf.DUMMYFUNCTION("""COMPUTED_VALUE"""),"автозапчастини")</f>
        <v>автозапчастини</v>
      </c>
      <c r="D155" s="16" t="str">
        <f>IFERROR(__xludf.DUMMYFUNCTION("""COMPUTED_VALUE"""),"деталі трансмісії транспорту")</f>
        <v>деталі трансмісії транспорту</v>
      </c>
      <c r="E155" s="16" t="str">
        <f>IFERROR(__xludf.DUMMYFUNCTION("""COMPUTED_VALUE"""),"вали для коробки передач і редуктора")</f>
        <v>вали для коробки передач і редуктора</v>
      </c>
      <c r="F155" s="17">
        <f>IFERROR(__xludf.DUMMYFUNCTION("""COMPUTED_VALUE"""),4.0)</f>
        <v>4</v>
      </c>
      <c r="G155" s="17" t="str">
        <f>IFERROR(__xludf.DUMMYFUNCTION("""COMPUTED_VALUE"""),"12023806")</f>
        <v>12023806</v>
      </c>
      <c r="H155" s="17" t="str">
        <f>IFERROR(__xludf.DUMMYFUNCTION("""COMPUTED_VALUE"""),"вали для коробки передач і редуктора")</f>
        <v>вали для коробки передач і редуктора</v>
      </c>
      <c r="I155" s="19">
        <f>IFERROR(__xludf.DUMMYFUNCTION("""COMPUTED_VALUE"""),0.0622)</f>
        <v>0.0622</v>
      </c>
      <c r="J155" s="19">
        <f>IFERROR(__xludf.DUMMYFUNCTION("""COMPUTED_VALUE"""),0.1243)</f>
        <v>0.1243</v>
      </c>
      <c r="K155" s="19">
        <f>IFERROR(__xludf.DUMMYFUNCTION("""COMPUTED_VALUE"""),0.1554)</f>
        <v>0.1554</v>
      </c>
      <c r="L155" s="19">
        <f>IFERROR(__xludf.DUMMYFUNCTION("""COMPUTED_VALUE"""),0.1865)</f>
        <v>0.1865</v>
      </c>
      <c r="M155" s="18">
        <f>IFERROR(__xludf.DUMMYFUNCTION("""COMPUTED_VALUE"""),1.53)</f>
        <v>1.53</v>
      </c>
    </row>
    <row r="156">
      <c r="A156" s="13" t="str">
        <f>IFERROR(__xludf.DUMMYFUNCTION("""COMPUTED_VALUE"""),"товари")</f>
        <v>товари</v>
      </c>
      <c r="B156" s="16" t="str">
        <f>IFERROR(__xludf.DUMMYFUNCTION("""COMPUTED_VALUE"""),"авто-, мото")</f>
        <v>авто-, мото</v>
      </c>
      <c r="C156" s="16" t="str">
        <f>IFERROR(__xludf.DUMMYFUNCTION("""COMPUTED_VALUE"""),"аксесуари для авто")</f>
        <v>аксесуари для авто</v>
      </c>
      <c r="D156" s="16" t="str">
        <f>IFERROR(__xludf.DUMMYFUNCTION("""COMPUTED_VALUE"""),"багажники і кріплення на дах")</f>
        <v>багажники і кріплення на дах</v>
      </c>
      <c r="E156" s="16" t="str">
        <f>IFERROR(__xludf.DUMMYFUNCTION("""COMPUTED_VALUE"""),"вантажні бокси")</f>
        <v>вантажні бокси</v>
      </c>
      <c r="F156" s="17">
        <f>IFERROR(__xludf.DUMMYFUNCTION("""COMPUTED_VALUE"""),4.0)</f>
        <v>4</v>
      </c>
      <c r="G156" s="17" t="str">
        <f>IFERROR(__xludf.DUMMYFUNCTION("""COMPUTED_VALUE"""),"121204")</f>
        <v>121204</v>
      </c>
      <c r="H156" s="17" t="str">
        <f>IFERROR(__xludf.DUMMYFUNCTION("""COMPUTED_VALUE"""),"вантажні бокси")</f>
        <v>вантажні бокси</v>
      </c>
      <c r="I156" s="19">
        <f>IFERROR(__xludf.DUMMYFUNCTION("""COMPUTED_VALUE"""),0.0642)</f>
        <v>0.0642</v>
      </c>
      <c r="J156" s="19">
        <f>IFERROR(__xludf.DUMMYFUNCTION("""COMPUTED_VALUE"""),0.1283)</f>
        <v>0.1283</v>
      </c>
      <c r="K156" s="19">
        <f>IFERROR(__xludf.DUMMYFUNCTION("""COMPUTED_VALUE"""),0.1604)</f>
        <v>0.1604</v>
      </c>
      <c r="L156" s="19">
        <f>IFERROR(__xludf.DUMMYFUNCTION("""COMPUTED_VALUE"""),0.1925)</f>
        <v>0.1925</v>
      </c>
      <c r="M156" s="18">
        <f>IFERROR(__xludf.DUMMYFUNCTION("""COMPUTED_VALUE"""),1.63)</f>
        <v>1.63</v>
      </c>
    </row>
    <row r="157">
      <c r="A157" s="13" t="str">
        <f>IFERROR(__xludf.DUMMYFUNCTION("""COMPUTED_VALUE"""),"товари")</f>
        <v>товари</v>
      </c>
      <c r="B157" s="16" t="str">
        <f>IFERROR(__xludf.DUMMYFUNCTION("""COMPUTED_VALUE"""),"авто-, мото")</f>
        <v>авто-, мото</v>
      </c>
      <c r="C157" s="16" t="str">
        <f>IFERROR(__xludf.DUMMYFUNCTION("""COMPUTED_VALUE"""),"диски і шини")</f>
        <v>диски і шини</v>
      </c>
      <c r="D157" s="16" t="str">
        <f>IFERROR(__xludf.DUMMYFUNCTION("""COMPUTED_VALUE"""),"шини")</f>
        <v>шини</v>
      </c>
      <c r="E157" s="16" t="str">
        <f>IFERROR(__xludf.DUMMYFUNCTION("""COMPUTED_VALUE"""),"вантажні шини")</f>
        <v>вантажні шини</v>
      </c>
      <c r="F157" s="17">
        <f>IFERROR(__xludf.DUMMYFUNCTION("""COMPUTED_VALUE"""),4.0)</f>
        <v>4</v>
      </c>
      <c r="G157" s="17" t="str">
        <f>IFERROR(__xludf.DUMMYFUNCTION("""COMPUTED_VALUE"""),"801228")</f>
        <v>801228</v>
      </c>
      <c r="H157" s="17" t="str">
        <f>IFERROR(__xludf.DUMMYFUNCTION("""COMPUTED_VALUE"""),"вантажні шини")</f>
        <v>вантажні шини</v>
      </c>
      <c r="I157" s="19">
        <f>IFERROR(__xludf.DUMMYFUNCTION("""COMPUTED_VALUE"""),0.033)</f>
        <v>0.033</v>
      </c>
      <c r="J157" s="19">
        <f>IFERROR(__xludf.DUMMYFUNCTION("""COMPUTED_VALUE"""),0.066)</f>
        <v>0.066</v>
      </c>
      <c r="K157" s="19">
        <f>IFERROR(__xludf.DUMMYFUNCTION("""COMPUTED_VALUE"""),0.0825)</f>
        <v>0.0825</v>
      </c>
      <c r="L157" s="19">
        <f>IFERROR(__xludf.DUMMYFUNCTION("""COMPUTED_VALUE"""),0.099)</f>
        <v>0.099</v>
      </c>
      <c r="M157" s="18">
        <f>IFERROR(__xludf.DUMMYFUNCTION("""COMPUTED_VALUE"""),2.25)</f>
        <v>2.25</v>
      </c>
    </row>
    <row r="158">
      <c r="A158" s="13" t="str">
        <f>IFERROR(__xludf.DUMMYFUNCTION("""COMPUTED_VALUE"""),"товари")</f>
        <v>товари</v>
      </c>
      <c r="B158" s="16" t="str">
        <f>IFERROR(__xludf.DUMMYFUNCTION("""COMPUTED_VALUE"""),"авто-, мото")</f>
        <v>авто-, мото</v>
      </c>
      <c r="C158" s="16" t="str">
        <f>IFERROR(__xludf.DUMMYFUNCTION("""COMPUTED_VALUE"""),"аксесуари для авто")</f>
        <v>аксесуари для авто</v>
      </c>
      <c r="D158" s="16" t="str">
        <f>IFERROR(__xludf.DUMMYFUNCTION("""COMPUTED_VALUE"""),"багажники і кріплення на дах")</f>
        <v>багажники і кріплення на дах</v>
      </c>
      <c r="E158" s="16" t="str">
        <f>IFERROR(__xludf.DUMMYFUNCTION("""COMPUTED_VALUE"""),"велокріплення")</f>
        <v>велокріплення</v>
      </c>
      <c r="F158" s="17">
        <f>IFERROR(__xludf.DUMMYFUNCTION("""COMPUTED_VALUE"""),4.0)</f>
        <v>4</v>
      </c>
      <c r="G158" s="17" t="str">
        <f>IFERROR(__xludf.DUMMYFUNCTION("""COMPUTED_VALUE"""),"121206")</f>
        <v>121206</v>
      </c>
      <c r="H158" s="17" t="str">
        <f>IFERROR(__xludf.DUMMYFUNCTION("""COMPUTED_VALUE"""),"велокріплення")</f>
        <v>велокріплення</v>
      </c>
      <c r="I158" s="19">
        <f>IFERROR(__xludf.DUMMYFUNCTION("""COMPUTED_VALUE"""),0.0681)</f>
        <v>0.0681</v>
      </c>
      <c r="J158" s="19">
        <f>IFERROR(__xludf.DUMMYFUNCTION("""COMPUTED_VALUE"""),0.1361)</f>
        <v>0.1361</v>
      </c>
      <c r="K158" s="19">
        <f>IFERROR(__xludf.DUMMYFUNCTION("""COMPUTED_VALUE"""),0.1701)</f>
        <v>0.1701</v>
      </c>
      <c r="L158" s="19">
        <f>IFERROR(__xludf.DUMMYFUNCTION("""COMPUTED_VALUE"""),0.2042)</f>
        <v>0.2042</v>
      </c>
      <c r="M158" s="18">
        <f>IFERROR(__xludf.DUMMYFUNCTION("""COMPUTED_VALUE"""),1.63)</f>
        <v>1.63</v>
      </c>
    </row>
    <row r="159">
      <c r="A159" s="13" t="str">
        <f>IFERROR(__xludf.DUMMYFUNCTION("""COMPUTED_VALUE"""),"товари")</f>
        <v>товари</v>
      </c>
      <c r="B159" s="16" t="str">
        <f>IFERROR(__xludf.DUMMYFUNCTION("""COMPUTED_VALUE"""),"авто-, мото")</f>
        <v>авто-, мото</v>
      </c>
      <c r="C159" s="16" t="str">
        <f>IFERROR(__xludf.DUMMYFUNCTION("""COMPUTED_VALUE"""),"автозапчастини")</f>
        <v>автозапчастини</v>
      </c>
      <c r="D159" s="16" t="str">
        <f>IFERROR(__xludf.DUMMYFUNCTION("""COMPUTED_VALUE"""),"система випуску відпрацьованих газів")</f>
        <v>система випуску відпрацьованих газів</v>
      </c>
      <c r="E159" s="16" t="str">
        <f>IFERROR(__xludf.DUMMYFUNCTION("""COMPUTED_VALUE"""),"випускні колектори")</f>
        <v>випускні колектори</v>
      </c>
      <c r="F159" s="17">
        <f>IFERROR(__xludf.DUMMYFUNCTION("""COMPUTED_VALUE"""),4.0)</f>
        <v>4</v>
      </c>
      <c r="G159" s="17" t="str">
        <f>IFERROR(__xludf.DUMMYFUNCTION("""COMPUTED_VALUE"""),"12021502")</f>
        <v>12021502</v>
      </c>
      <c r="H159" s="17" t="str">
        <f>IFERROR(__xludf.DUMMYFUNCTION("""COMPUTED_VALUE"""),"випускні колектори")</f>
        <v>випускні колектори</v>
      </c>
      <c r="I159" s="19">
        <f>IFERROR(__xludf.DUMMYFUNCTION("""COMPUTED_VALUE"""),0.0589)</f>
        <v>0.0589</v>
      </c>
      <c r="J159" s="19">
        <f>IFERROR(__xludf.DUMMYFUNCTION("""COMPUTED_VALUE"""),0.1178)</f>
        <v>0.1178</v>
      </c>
      <c r="K159" s="19">
        <f>IFERROR(__xludf.DUMMYFUNCTION("""COMPUTED_VALUE"""),0.1473)</f>
        <v>0.1473</v>
      </c>
      <c r="L159" s="19">
        <f>IFERROR(__xludf.DUMMYFUNCTION("""COMPUTED_VALUE"""),0.1767)</f>
        <v>0.1767</v>
      </c>
      <c r="M159" s="18">
        <f>IFERROR(__xludf.DUMMYFUNCTION("""COMPUTED_VALUE"""),1.53)</f>
        <v>1.53</v>
      </c>
    </row>
    <row r="160">
      <c r="A160" s="13" t="str">
        <f>IFERROR(__xludf.DUMMYFUNCTION("""COMPUTED_VALUE"""),"товари")</f>
        <v>товари</v>
      </c>
      <c r="B160" s="16" t="str">
        <f>IFERROR(__xludf.DUMMYFUNCTION("""COMPUTED_VALUE"""),"авто-, мото")</f>
        <v>авто-, мото</v>
      </c>
      <c r="C160" s="16" t="str">
        <f>IFERROR(__xludf.DUMMYFUNCTION("""COMPUTED_VALUE"""),"автохімія, автокосметика і автомастила")</f>
        <v>автохімія, автокосметика і автомастила</v>
      </c>
      <c r="D160" s="16" t="str">
        <f>IFERROR(__xludf.DUMMYFUNCTION("""COMPUTED_VALUE"""),"витратні матеріали, автохімія й автокосметика, загальне")</f>
        <v>витратні матеріали, автохімія й автокосметика, загальне</v>
      </c>
      <c r="E160" s="16" t="str">
        <f>IFERROR(__xludf.DUMMYFUNCTION("""COMPUTED_VALUE"""),"витратні матеріали, автохімія й автокосметика, загальне")</f>
        <v>витратні матеріали, автохімія й автокосметика, загальне</v>
      </c>
      <c r="F160" s="17">
        <f>IFERROR(__xludf.DUMMYFUNCTION("""COMPUTED_VALUE"""),3.0)</f>
        <v>3</v>
      </c>
      <c r="G160" s="17" t="str">
        <f>IFERROR(__xludf.DUMMYFUNCTION("""COMPUTED_VALUE"""),"341605")</f>
        <v>341605</v>
      </c>
      <c r="H160" s="17" t="str">
        <f>IFERROR(__xludf.DUMMYFUNCTION("""COMPUTED_VALUE"""),"витратні матеріали, автохімія й автокосметика, загальне")</f>
        <v>витратні матеріали, автохімія й автокосметика, загальне</v>
      </c>
      <c r="I160" s="19">
        <f>IFERROR(__xludf.DUMMYFUNCTION("""COMPUTED_VALUE"""),0.125)</f>
        <v>0.125</v>
      </c>
      <c r="J160" s="19">
        <f>IFERROR(__xludf.DUMMYFUNCTION("""COMPUTED_VALUE"""),0.25)</f>
        <v>0.25</v>
      </c>
      <c r="K160" s="19">
        <f>IFERROR(__xludf.DUMMYFUNCTION("""COMPUTED_VALUE"""),0.3125)</f>
        <v>0.3125</v>
      </c>
      <c r="L160" s="19">
        <f>IFERROR(__xludf.DUMMYFUNCTION("""COMPUTED_VALUE"""),0.375)</f>
        <v>0.375</v>
      </c>
      <c r="M160" s="18">
        <f>IFERROR(__xludf.DUMMYFUNCTION("""COMPUTED_VALUE"""),4.33)</f>
        <v>4.33</v>
      </c>
    </row>
    <row r="161">
      <c r="A161" s="13" t="str">
        <f>IFERROR(__xludf.DUMMYFUNCTION("""COMPUTED_VALUE"""),"товари")</f>
        <v>товари</v>
      </c>
      <c r="B161" s="16" t="str">
        <f>IFERROR(__xludf.DUMMYFUNCTION("""COMPUTED_VALUE"""),"авто-, мото")</f>
        <v>авто-, мото</v>
      </c>
      <c r="C161" s="16" t="str">
        <f>IFERROR(__xludf.DUMMYFUNCTION("""COMPUTED_VALUE"""),"автозапчастини")</f>
        <v>автозапчастини</v>
      </c>
      <c r="D161" s="16" t="str">
        <f>IFERROR(__xludf.DUMMYFUNCTION("""COMPUTED_VALUE"""),"система випуску відпрацьованих газів")</f>
        <v>система випуску відпрацьованих газів</v>
      </c>
      <c r="E161" s="16" t="str">
        <f>IFERROR(__xludf.DUMMYFUNCTION("""COMPUTED_VALUE"""),"вихлопна система, загальне")</f>
        <v>вихлопна система, загальне</v>
      </c>
      <c r="F161" s="17">
        <f>IFERROR(__xludf.DUMMYFUNCTION("""COMPUTED_VALUE"""),4.0)</f>
        <v>4</v>
      </c>
      <c r="G161" s="17" t="str">
        <f>IFERROR(__xludf.DUMMYFUNCTION("""COMPUTED_VALUE"""),"12021504")</f>
        <v>12021504</v>
      </c>
      <c r="H161" s="17" t="str">
        <f>IFERROR(__xludf.DUMMYFUNCTION("""COMPUTED_VALUE"""),"вихлопна система, загальне")</f>
        <v>вихлопна система, загальне</v>
      </c>
      <c r="I161" s="19">
        <f>IFERROR(__xludf.DUMMYFUNCTION("""COMPUTED_VALUE"""),0.125)</f>
        <v>0.125</v>
      </c>
      <c r="J161" s="19">
        <f>IFERROR(__xludf.DUMMYFUNCTION("""COMPUTED_VALUE"""),0.25)</f>
        <v>0.25</v>
      </c>
      <c r="K161" s="19">
        <f>IFERROR(__xludf.DUMMYFUNCTION("""COMPUTED_VALUE"""),0.3125)</f>
        <v>0.3125</v>
      </c>
      <c r="L161" s="19">
        <f>IFERROR(__xludf.DUMMYFUNCTION("""COMPUTED_VALUE"""),0.375)</f>
        <v>0.375</v>
      </c>
      <c r="M161" s="18">
        <f>IFERROR(__xludf.DUMMYFUNCTION("""COMPUTED_VALUE"""),4.33)</f>
        <v>4.33</v>
      </c>
    </row>
    <row r="162">
      <c r="A162" s="13" t="str">
        <f>IFERROR(__xludf.DUMMYFUNCTION("""COMPUTED_VALUE"""),"товари")</f>
        <v>товари</v>
      </c>
      <c r="B162" s="16" t="str">
        <f>IFERROR(__xludf.DUMMYFUNCTION("""COMPUTED_VALUE"""),"авто-, мото")</f>
        <v>авто-, мото</v>
      </c>
      <c r="C162" s="16" t="str">
        <f>IFERROR(__xludf.DUMMYFUNCTION("""COMPUTED_VALUE"""),"автозапчастини")</f>
        <v>автозапчастини</v>
      </c>
      <c r="D162" s="16" t="str">
        <f>IFERROR(__xludf.DUMMYFUNCTION("""COMPUTED_VALUE"""),"система випуску відпрацьованих газів")</f>
        <v>система випуску відпрацьованих газів</v>
      </c>
      <c r="E162" s="16" t="str">
        <f>IFERROR(__xludf.DUMMYFUNCTION("""COMPUTED_VALUE"""),"вихлопні системи в зборі")</f>
        <v>вихлопні системи в зборі</v>
      </c>
      <c r="F162" s="17">
        <f>IFERROR(__xludf.DUMMYFUNCTION("""COMPUTED_VALUE"""),4.0)</f>
        <v>4</v>
      </c>
      <c r="G162" s="17" t="str">
        <f>IFERROR(__xludf.DUMMYFUNCTION("""COMPUTED_VALUE"""),"12021510")</f>
        <v>12021510</v>
      </c>
      <c r="H162" s="17" t="str">
        <f>IFERROR(__xludf.DUMMYFUNCTION("""COMPUTED_VALUE"""),"вихлопні системи в зборі")</f>
        <v>вихлопні системи в зборі</v>
      </c>
      <c r="I162" s="19">
        <f>IFERROR(__xludf.DUMMYFUNCTION("""COMPUTED_VALUE"""),0.0537)</f>
        <v>0.0537</v>
      </c>
      <c r="J162" s="19">
        <f>IFERROR(__xludf.DUMMYFUNCTION("""COMPUTED_VALUE"""),0.1074)</f>
        <v>0.1074</v>
      </c>
      <c r="K162" s="19">
        <f>IFERROR(__xludf.DUMMYFUNCTION("""COMPUTED_VALUE"""),0.1343)</f>
        <v>0.1343</v>
      </c>
      <c r="L162" s="19">
        <f>IFERROR(__xludf.DUMMYFUNCTION("""COMPUTED_VALUE"""),0.1611)</f>
        <v>0.1611</v>
      </c>
      <c r="M162" s="18">
        <f>IFERROR(__xludf.DUMMYFUNCTION("""COMPUTED_VALUE"""),1.53)</f>
        <v>1.53</v>
      </c>
    </row>
    <row r="163">
      <c r="A163" s="13" t="str">
        <f>IFERROR(__xludf.DUMMYFUNCTION("""COMPUTED_VALUE"""),"товари")</f>
        <v>товари</v>
      </c>
      <c r="B163" s="16" t="str">
        <f>IFERROR(__xludf.DUMMYFUNCTION("""COMPUTED_VALUE"""),"авто-, мото")</f>
        <v>авто-, мото</v>
      </c>
      <c r="C163" s="16" t="str">
        <f>IFERROR(__xludf.DUMMYFUNCTION("""COMPUTED_VALUE"""),"автозапчастини")</f>
        <v>автозапчастини</v>
      </c>
      <c r="D163" s="16" t="str">
        <f>IFERROR(__xludf.DUMMYFUNCTION("""COMPUTED_VALUE"""),"світлові прилади транспорту")</f>
        <v>світлові прилади транспорту</v>
      </c>
      <c r="E163" s="16" t="str">
        <f>IFERROR(__xludf.DUMMYFUNCTION("""COMPUTED_VALUE"""),"відбивачі, корпуса фар і ліхтарів")</f>
        <v>відбивачі, корпуса фар і ліхтарів</v>
      </c>
      <c r="F163" s="17">
        <f>IFERROR(__xludf.DUMMYFUNCTION("""COMPUTED_VALUE"""),4.0)</f>
        <v>4</v>
      </c>
      <c r="G163" s="17" t="str">
        <f>IFERROR(__xludf.DUMMYFUNCTION("""COMPUTED_VALUE"""),"12020611")</f>
        <v>12020611</v>
      </c>
      <c r="H163" s="17" t="str">
        <f>IFERROR(__xludf.DUMMYFUNCTION("""COMPUTED_VALUE"""),"відбивачі, корпуса фар і ліхтарів")</f>
        <v>відбивачі, корпуса фар і ліхтарів</v>
      </c>
      <c r="I163" s="19">
        <f>IFERROR(__xludf.DUMMYFUNCTION("""COMPUTED_VALUE"""),0.0731)</f>
        <v>0.0731</v>
      </c>
      <c r="J163" s="19">
        <f>IFERROR(__xludf.DUMMYFUNCTION("""COMPUTED_VALUE"""),0.1462)</f>
        <v>0.1462</v>
      </c>
      <c r="K163" s="19">
        <f>IFERROR(__xludf.DUMMYFUNCTION("""COMPUTED_VALUE"""),0.1828)</f>
        <v>0.1828</v>
      </c>
      <c r="L163" s="19">
        <f>IFERROR(__xludf.DUMMYFUNCTION("""COMPUTED_VALUE"""),0.2193)</f>
        <v>0.2193</v>
      </c>
      <c r="M163" s="18">
        <f>IFERROR(__xludf.DUMMYFUNCTION("""COMPUTED_VALUE"""),2.16)</f>
        <v>2.16</v>
      </c>
    </row>
    <row r="164">
      <c r="A164" s="13" t="str">
        <f>IFERROR(__xludf.DUMMYFUNCTION("""COMPUTED_VALUE"""),"товари")</f>
        <v>товари</v>
      </c>
      <c r="B164" s="16" t="str">
        <f>IFERROR(__xludf.DUMMYFUNCTION("""COMPUTED_VALUE"""),"авто-, мото")</f>
        <v>авто-, мото</v>
      </c>
      <c r="C164" s="16" t="str">
        <f>IFERROR(__xludf.DUMMYFUNCTION("""COMPUTED_VALUE"""),"автозапчастини")</f>
        <v>автозапчастини</v>
      </c>
      <c r="D164" s="16" t="str">
        <f>IFERROR(__xludf.DUMMYFUNCTION("""COMPUTED_VALUE"""),"кривошипно-шатунний механізм (кшм)")</f>
        <v>кривошипно-шатунний механізм (кшм)</v>
      </c>
      <c r="E164" s="16" t="str">
        <f>IFERROR(__xludf.DUMMYFUNCTION("""COMPUTED_VALUE"""),"вкладиші корінні і шатунні")</f>
        <v>вкладиші корінні і шатунні</v>
      </c>
      <c r="F164" s="17">
        <f>IFERROR(__xludf.DUMMYFUNCTION("""COMPUTED_VALUE"""),4.0)</f>
        <v>4</v>
      </c>
      <c r="G164" s="17" t="str">
        <f>IFERROR(__xludf.DUMMYFUNCTION("""COMPUTED_VALUE"""),"12020406")</f>
        <v>12020406</v>
      </c>
      <c r="H164" s="17" t="str">
        <f>IFERROR(__xludf.DUMMYFUNCTION("""COMPUTED_VALUE"""),"вкладиші корінні і шатунні")</f>
        <v>вкладиші корінні і шатунні</v>
      </c>
      <c r="I164" s="19">
        <f>IFERROR(__xludf.DUMMYFUNCTION("""COMPUTED_VALUE"""),0.052)</f>
        <v>0.052</v>
      </c>
      <c r="J164" s="19">
        <f>IFERROR(__xludf.DUMMYFUNCTION("""COMPUTED_VALUE"""),0.104)</f>
        <v>0.104</v>
      </c>
      <c r="K164" s="19">
        <f>IFERROR(__xludf.DUMMYFUNCTION("""COMPUTED_VALUE"""),0.13)</f>
        <v>0.13</v>
      </c>
      <c r="L164" s="19">
        <f>IFERROR(__xludf.DUMMYFUNCTION("""COMPUTED_VALUE"""),0.156)</f>
        <v>0.156</v>
      </c>
      <c r="M164" s="18">
        <f>IFERROR(__xludf.DUMMYFUNCTION("""COMPUTED_VALUE"""),1.98)</f>
        <v>1.98</v>
      </c>
    </row>
    <row r="165">
      <c r="A165" s="13" t="str">
        <f>IFERROR(__xludf.DUMMYFUNCTION("""COMPUTED_VALUE"""),"товари")</f>
        <v>товари</v>
      </c>
      <c r="B165" s="16" t="str">
        <f>IFERROR(__xludf.DUMMYFUNCTION("""COMPUTED_VALUE"""),"авто-, мото")</f>
        <v>авто-, мото</v>
      </c>
      <c r="C165" s="16" t="str">
        <f>IFERROR(__xludf.DUMMYFUNCTION("""COMPUTED_VALUE"""),"аксесуари для авто")</f>
        <v>аксесуари для авто</v>
      </c>
      <c r="D165" s="16" t="str">
        <f>IFERROR(__xludf.DUMMYFUNCTION("""COMPUTED_VALUE"""),"аксесуари для кузова автомобіля")</f>
        <v>аксесуари для кузова автомобіля</v>
      </c>
      <c r="E165" s="16" t="str">
        <f>IFERROR(__xludf.DUMMYFUNCTION("""COMPUTED_VALUE"""),"внутрішні накладки на пороги")</f>
        <v>внутрішні накладки на пороги</v>
      </c>
      <c r="F165" s="17">
        <f>IFERROR(__xludf.DUMMYFUNCTION("""COMPUTED_VALUE"""),4.0)</f>
        <v>4</v>
      </c>
      <c r="G165" s="17" t="str">
        <f>IFERROR(__xludf.DUMMYFUNCTION("""COMPUTED_VALUE"""),"121220")</f>
        <v>121220</v>
      </c>
      <c r="H165" s="17" t="str">
        <f>IFERROR(__xludf.DUMMYFUNCTION("""COMPUTED_VALUE"""),"внутрішні накладки на пороги")</f>
        <v>внутрішні накладки на пороги</v>
      </c>
      <c r="I165" s="19">
        <f>IFERROR(__xludf.DUMMYFUNCTION("""COMPUTED_VALUE"""),0.0769)</f>
        <v>0.0769</v>
      </c>
      <c r="J165" s="19">
        <f>IFERROR(__xludf.DUMMYFUNCTION("""COMPUTED_VALUE"""),0.1538)</f>
        <v>0.1538</v>
      </c>
      <c r="K165" s="19">
        <f>IFERROR(__xludf.DUMMYFUNCTION("""COMPUTED_VALUE"""),0.1923)</f>
        <v>0.1923</v>
      </c>
      <c r="L165" s="19">
        <f>IFERROR(__xludf.DUMMYFUNCTION("""COMPUTED_VALUE"""),0.2307)</f>
        <v>0.2307</v>
      </c>
      <c r="M165" s="18">
        <f>IFERROR(__xludf.DUMMYFUNCTION("""COMPUTED_VALUE"""),1.63)</f>
        <v>1.63</v>
      </c>
    </row>
    <row r="166">
      <c r="A166" s="13" t="str">
        <f>IFERROR(__xludf.DUMMYFUNCTION("""COMPUTED_VALUE"""),"товари")</f>
        <v>товари</v>
      </c>
      <c r="B166" s="16" t="str">
        <f>IFERROR(__xludf.DUMMYFUNCTION("""COMPUTED_VALUE"""),"авто-, мото")</f>
        <v>авто-, мото</v>
      </c>
      <c r="C166" s="16" t="str">
        <f>IFERROR(__xludf.DUMMYFUNCTION("""COMPUTED_VALUE"""),"автозапчастини")</f>
        <v>автозапчастини</v>
      </c>
      <c r="D166" s="16" t="str">
        <f>IFERROR(__xludf.DUMMYFUNCTION("""COMPUTED_VALUE"""),"система живлення двигуна")</f>
        <v>система живлення двигуна</v>
      </c>
      <c r="E166" s="16" t="str">
        <f>IFERROR(__xludf.DUMMYFUNCTION("""COMPUTED_VALUE"""),"впускні колектори")</f>
        <v>впускні колектори</v>
      </c>
      <c r="F166" s="17">
        <f>IFERROR(__xludf.DUMMYFUNCTION("""COMPUTED_VALUE"""),4.0)</f>
        <v>4</v>
      </c>
      <c r="G166" s="17" t="str">
        <f>IFERROR(__xludf.DUMMYFUNCTION("""COMPUTED_VALUE"""),"12021511")</f>
        <v>12021511</v>
      </c>
      <c r="H166" s="17" t="str">
        <f>IFERROR(__xludf.DUMMYFUNCTION("""COMPUTED_VALUE"""),"впускні колектори")</f>
        <v>впускні колектори</v>
      </c>
      <c r="I166" s="19">
        <f>IFERROR(__xludf.DUMMYFUNCTION("""COMPUTED_VALUE"""),0.0562)</f>
        <v>0.0562</v>
      </c>
      <c r="J166" s="19">
        <f>IFERROR(__xludf.DUMMYFUNCTION("""COMPUTED_VALUE"""),0.1124)</f>
        <v>0.1124</v>
      </c>
      <c r="K166" s="19">
        <f>IFERROR(__xludf.DUMMYFUNCTION("""COMPUTED_VALUE"""),0.1405)</f>
        <v>0.1405</v>
      </c>
      <c r="L166" s="19">
        <f>IFERROR(__xludf.DUMMYFUNCTION("""COMPUTED_VALUE"""),0.1686)</f>
        <v>0.1686</v>
      </c>
      <c r="M166" s="18">
        <f>IFERROR(__xludf.DUMMYFUNCTION("""COMPUTED_VALUE"""),1.53)</f>
        <v>1.53</v>
      </c>
    </row>
    <row r="167">
      <c r="A167" s="13" t="str">
        <f>IFERROR(__xludf.DUMMYFUNCTION("""COMPUTED_VALUE"""),"товари")</f>
        <v>товари</v>
      </c>
      <c r="B167" s="16" t="str">
        <f>IFERROR(__xludf.DUMMYFUNCTION("""COMPUTED_VALUE"""),"авто-, мото")</f>
        <v>авто-, мото</v>
      </c>
      <c r="C167" s="16" t="str">
        <f>IFERROR(__xludf.DUMMYFUNCTION("""COMPUTED_VALUE"""),"все для то")</f>
        <v>все для то</v>
      </c>
      <c r="D167" s="16" t="str">
        <f>IFERROR(__xludf.DUMMYFUNCTION("""COMPUTED_VALUE"""),"все для то, загальне")</f>
        <v>все для то, загальне</v>
      </c>
      <c r="E167" s="16" t="str">
        <f>IFERROR(__xludf.DUMMYFUNCTION("""COMPUTED_VALUE"""),"все для то, загальне")</f>
        <v>все для то, загальне</v>
      </c>
      <c r="F167" s="17">
        <f>IFERROR(__xludf.DUMMYFUNCTION("""COMPUTED_VALUE"""),3.0)</f>
        <v>3</v>
      </c>
      <c r="G167" s="17" t="str">
        <f>IFERROR(__xludf.DUMMYFUNCTION("""COMPUTED_VALUE"""),"550601")</f>
        <v>550601</v>
      </c>
      <c r="H167" s="17" t="str">
        <f>IFERROR(__xludf.DUMMYFUNCTION("""COMPUTED_VALUE"""),"все для то, загальне")</f>
        <v>все для то, загальне</v>
      </c>
      <c r="I167" s="19">
        <f>IFERROR(__xludf.DUMMYFUNCTION("""COMPUTED_VALUE"""),0.125)</f>
        <v>0.125</v>
      </c>
      <c r="J167" s="19">
        <f>IFERROR(__xludf.DUMMYFUNCTION("""COMPUTED_VALUE"""),0.25)</f>
        <v>0.25</v>
      </c>
      <c r="K167" s="19">
        <f>IFERROR(__xludf.DUMMYFUNCTION("""COMPUTED_VALUE"""),0.3125)</f>
        <v>0.3125</v>
      </c>
      <c r="L167" s="19">
        <f>IFERROR(__xludf.DUMMYFUNCTION("""COMPUTED_VALUE"""),0.375)</f>
        <v>0.375</v>
      </c>
      <c r="M167" s="18">
        <f>IFERROR(__xludf.DUMMYFUNCTION("""COMPUTED_VALUE"""),4.33)</f>
        <v>4.33</v>
      </c>
    </row>
    <row r="168">
      <c r="A168" s="13" t="str">
        <f>IFERROR(__xludf.DUMMYFUNCTION("""COMPUTED_VALUE"""),"товари")</f>
        <v>товари</v>
      </c>
      <c r="B168" s="16" t="str">
        <f>IFERROR(__xludf.DUMMYFUNCTION("""COMPUTED_VALUE"""),"авто-, мото")</f>
        <v>авто-, мото</v>
      </c>
      <c r="C168" s="16" t="str">
        <f>IFERROR(__xludf.DUMMYFUNCTION("""COMPUTED_VALUE"""),"додаткове обладнання")</f>
        <v>додаткове обладнання</v>
      </c>
      <c r="D168" s="16" t="str">
        <f>IFERROR(__xludf.DUMMYFUNCTION("""COMPUTED_VALUE"""),"газобалонне обладнання і комплектуючі для автотранспорту")</f>
        <v>газобалонне обладнання і комплектуючі для автотранспорту</v>
      </c>
      <c r="E168" s="16" t="str">
        <f>IFERROR(__xludf.DUMMYFUNCTION("""COMPUTED_VALUE"""),"газобалонне обладнання і комплектуючі для автотранспорту")</f>
        <v>газобалонне обладнання і комплектуючі для автотранспорту</v>
      </c>
      <c r="F168" s="17">
        <f>IFERROR(__xludf.DUMMYFUNCTION("""COMPUTED_VALUE"""),3.0)</f>
        <v>3</v>
      </c>
      <c r="G168" s="17" t="str">
        <f>IFERROR(__xludf.DUMMYFUNCTION("""COMPUTED_VALUE"""),"3419")</f>
        <v>3419</v>
      </c>
      <c r="H168" s="17" t="str">
        <f>IFERROR(__xludf.DUMMYFUNCTION("""COMPUTED_VALUE"""),"газобалонне обладнання і комплектуючі для автотранспорту")</f>
        <v>газобалонне обладнання і комплектуючі для автотранспорту</v>
      </c>
      <c r="I168" s="19">
        <f>IFERROR(__xludf.DUMMYFUNCTION("""COMPUTED_VALUE"""),0.0551)</f>
        <v>0.0551</v>
      </c>
      <c r="J168" s="19">
        <f>IFERROR(__xludf.DUMMYFUNCTION("""COMPUTED_VALUE"""),0.1101)</f>
        <v>0.1101</v>
      </c>
      <c r="K168" s="19">
        <f>IFERROR(__xludf.DUMMYFUNCTION("""COMPUTED_VALUE"""),0.1376)</f>
        <v>0.1376</v>
      </c>
      <c r="L168" s="19">
        <f>IFERROR(__xludf.DUMMYFUNCTION("""COMPUTED_VALUE"""),0.1652)</f>
        <v>0.1652</v>
      </c>
      <c r="M168" s="18">
        <f>IFERROR(__xludf.DUMMYFUNCTION("""COMPUTED_VALUE"""),2.34)</f>
        <v>2.34</v>
      </c>
    </row>
    <row r="169">
      <c r="A169" s="13" t="str">
        <f>IFERROR(__xludf.DUMMYFUNCTION("""COMPUTED_VALUE"""),"товари")</f>
        <v>товари</v>
      </c>
      <c r="B169" s="16" t="str">
        <f>IFERROR(__xludf.DUMMYFUNCTION("""COMPUTED_VALUE"""),"авто-, мото")</f>
        <v>авто-, мото</v>
      </c>
      <c r="C169" s="16" t="str">
        <f>IFERROR(__xludf.DUMMYFUNCTION("""COMPUTED_VALUE"""),"автозапчастини")</f>
        <v>автозапчастини</v>
      </c>
      <c r="D169" s="16" t="str">
        <f>IFERROR(__xludf.DUMMYFUNCTION("""COMPUTED_VALUE"""),"газорозподільний механізм (грм)")</f>
        <v>газорозподільний механізм (грм)</v>
      </c>
      <c r="E169" s="16" t="str">
        <f>IFERROR(__xludf.DUMMYFUNCTION("""COMPUTED_VALUE"""),"газорозподільний механізм, загальне")</f>
        <v>газорозподільний механізм, загальне</v>
      </c>
      <c r="F169" s="17">
        <f>IFERROR(__xludf.DUMMYFUNCTION("""COMPUTED_VALUE"""),4.0)</f>
        <v>4</v>
      </c>
      <c r="G169" s="17" t="str">
        <f>IFERROR(__xludf.DUMMYFUNCTION("""COMPUTED_VALUE"""),"550210")</f>
        <v>550210</v>
      </c>
      <c r="H169" s="17" t="str">
        <f>IFERROR(__xludf.DUMMYFUNCTION("""COMPUTED_VALUE"""),"газорозподільний механізм, загальне")</f>
        <v>газорозподільний механізм, загальне</v>
      </c>
      <c r="I169" s="19">
        <f>IFERROR(__xludf.DUMMYFUNCTION("""COMPUTED_VALUE"""),0.125)</f>
        <v>0.125</v>
      </c>
      <c r="J169" s="19">
        <f>IFERROR(__xludf.DUMMYFUNCTION("""COMPUTED_VALUE"""),0.25)</f>
        <v>0.25</v>
      </c>
      <c r="K169" s="19">
        <f>IFERROR(__xludf.DUMMYFUNCTION("""COMPUTED_VALUE"""),0.3125)</f>
        <v>0.3125</v>
      </c>
      <c r="L169" s="19">
        <f>IFERROR(__xludf.DUMMYFUNCTION("""COMPUTED_VALUE"""),0.375)</f>
        <v>0.375</v>
      </c>
      <c r="M169" s="18">
        <f>IFERROR(__xludf.DUMMYFUNCTION("""COMPUTED_VALUE"""),4.33)</f>
        <v>4.33</v>
      </c>
    </row>
    <row r="170">
      <c r="A170" s="13" t="str">
        <f>IFERROR(__xludf.DUMMYFUNCTION("""COMPUTED_VALUE"""),"товари")</f>
        <v>товари</v>
      </c>
      <c r="B170" s="16" t="str">
        <f>IFERROR(__xludf.DUMMYFUNCTION("""COMPUTED_VALUE"""),"авто-, мото")</f>
        <v>авто-, мото</v>
      </c>
      <c r="C170" s="16" t="str">
        <f>IFERROR(__xludf.DUMMYFUNCTION("""COMPUTED_VALUE"""),"автозапчастини")</f>
        <v>автозапчастини</v>
      </c>
      <c r="D170" s="16" t="str">
        <f>IFERROR(__xludf.DUMMYFUNCTION("""COMPUTED_VALUE"""),"запчастини гальмівної системи")</f>
        <v>запчастини гальмівної системи</v>
      </c>
      <c r="E170" s="16" t="str">
        <f>IFERROR(__xludf.DUMMYFUNCTION("""COMPUTED_VALUE"""),"гальмівні барабани")</f>
        <v>гальмівні барабани</v>
      </c>
      <c r="F170" s="17">
        <f>IFERROR(__xludf.DUMMYFUNCTION("""COMPUTED_VALUE"""),4.0)</f>
        <v>4</v>
      </c>
      <c r="G170" s="17" t="str">
        <f>IFERROR(__xludf.DUMMYFUNCTION("""COMPUTED_VALUE"""),"120230")</f>
        <v>120230</v>
      </c>
      <c r="H170" s="17" t="str">
        <f>IFERROR(__xludf.DUMMYFUNCTION("""COMPUTED_VALUE"""),"гальмівні барабани")</f>
        <v>гальмівні барабани</v>
      </c>
      <c r="I170" s="19">
        <f>IFERROR(__xludf.DUMMYFUNCTION("""COMPUTED_VALUE"""),0.0533)</f>
        <v>0.0533</v>
      </c>
      <c r="J170" s="19">
        <f>IFERROR(__xludf.DUMMYFUNCTION("""COMPUTED_VALUE"""),0.1065)</f>
        <v>0.1065</v>
      </c>
      <c r="K170" s="19">
        <f>IFERROR(__xludf.DUMMYFUNCTION("""COMPUTED_VALUE"""),0.1331)</f>
        <v>0.1331</v>
      </c>
      <c r="L170" s="19">
        <f>IFERROR(__xludf.DUMMYFUNCTION("""COMPUTED_VALUE"""),0.1598)</f>
        <v>0.1598</v>
      </c>
      <c r="M170" s="18">
        <f>IFERROR(__xludf.DUMMYFUNCTION("""COMPUTED_VALUE"""),1.63)</f>
        <v>1.63</v>
      </c>
    </row>
    <row r="171">
      <c r="A171" s="13" t="str">
        <f>IFERROR(__xludf.DUMMYFUNCTION("""COMPUTED_VALUE"""),"товари")</f>
        <v>товари</v>
      </c>
      <c r="B171" s="16" t="str">
        <f>IFERROR(__xludf.DUMMYFUNCTION("""COMPUTED_VALUE"""),"авто-, мото")</f>
        <v>авто-, мото</v>
      </c>
      <c r="C171" s="16" t="str">
        <f>IFERROR(__xludf.DUMMYFUNCTION("""COMPUTED_VALUE"""),"автозапчастини")</f>
        <v>автозапчастини</v>
      </c>
      <c r="D171" s="16" t="str">
        <f>IFERROR(__xludf.DUMMYFUNCTION("""COMPUTED_VALUE"""),"запчастини гальмівної системи")</f>
        <v>запчастини гальмівної системи</v>
      </c>
      <c r="E171" s="16" t="str">
        <f>IFERROR(__xludf.DUMMYFUNCTION("""COMPUTED_VALUE"""),"гальмівні диски")</f>
        <v>гальмівні диски</v>
      </c>
      <c r="F171" s="17">
        <f>IFERROR(__xludf.DUMMYFUNCTION("""COMPUTED_VALUE"""),4.0)</f>
        <v>4</v>
      </c>
      <c r="G171" s="17" t="str">
        <f>IFERROR(__xludf.DUMMYFUNCTION("""COMPUTED_VALUE"""),"120228")</f>
        <v>120228</v>
      </c>
      <c r="H171" s="17" t="str">
        <f>IFERROR(__xludf.DUMMYFUNCTION("""COMPUTED_VALUE"""),"гальмівні диски")</f>
        <v>гальмівні диски</v>
      </c>
      <c r="I171" s="19">
        <f>IFERROR(__xludf.DUMMYFUNCTION("""COMPUTED_VALUE"""),0.0542)</f>
        <v>0.0542</v>
      </c>
      <c r="J171" s="19">
        <f>IFERROR(__xludf.DUMMYFUNCTION("""COMPUTED_VALUE"""),0.1084)</f>
        <v>0.1084</v>
      </c>
      <c r="K171" s="19">
        <f>IFERROR(__xludf.DUMMYFUNCTION("""COMPUTED_VALUE"""),0.1355)</f>
        <v>0.1355</v>
      </c>
      <c r="L171" s="19">
        <f>IFERROR(__xludf.DUMMYFUNCTION("""COMPUTED_VALUE"""),0.1626)</f>
        <v>0.1626</v>
      </c>
      <c r="M171" s="18">
        <f>IFERROR(__xludf.DUMMYFUNCTION("""COMPUTED_VALUE"""),1.63)</f>
        <v>1.63</v>
      </c>
    </row>
    <row r="172">
      <c r="A172" s="13" t="str">
        <f>IFERROR(__xludf.DUMMYFUNCTION("""COMPUTED_VALUE"""),"товари")</f>
        <v>товари</v>
      </c>
      <c r="B172" s="16" t="str">
        <f>IFERROR(__xludf.DUMMYFUNCTION("""COMPUTED_VALUE"""),"авто-, мото")</f>
        <v>авто-, мото</v>
      </c>
      <c r="C172" s="16" t="str">
        <f>IFERROR(__xludf.DUMMYFUNCTION("""COMPUTED_VALUE"""),"автозапчастини")</f>
        <v>автозапчастини</v>
      </c>
      <c r="D172" s="16" t="str">
        <f>IFERROR(__xludf.DUMMYFUNCTION("""COMPUTED_VALUE"""),"запчастини гальмівної системи")</f>
        <v>запчастини гальмівної системи</v>
      </c>
      <c r="E172" s="16" t="str">
        <f>IFERROR(__xludf.DUMMYFUNCTION("""COMPUTED_VALUE"""),"гальмівні колодки")</f>
        <v>гальмівні колодки</v>
      </c>
      <c r="F172" s="17">
        <f>IFERROR(__xludf.DUMMYFUNCTION("""COMPUTED_VALUE"""),4.0)</f>
        <v>4</v>
      </c>
      <c r="G172" s="17" t="str">
        <f>IFERROR(__xludf.DUMMYFUNCTION("""COMPUTED_VALUE"""),"120229")</f>
        <v>120229</v>
      </c>
      <c r="H172" s="17" t="str">
        <f>IFERROR(__xludf.DUMMYFUNCTION("""COMPUTED_VALUE"""),"гальмівні колодки")</f>
        <v>гальмівні колодки</v>
      </c>
      <c r="I172" s="19">
        <f>IFERROR(__xludf.DUMMYFUNCTION("""COMPUTED_VALUE"""),0.0549)</f>
        <v>0.0549</v>
      </c>
      <c r="J172" s="19">
        <f>IFERROR(__xludf.DUMMYFUNCTION("""COMPUTED_VALUE"""),0.1097)</f>
        <v>0.1097</v>
      </c>
      <c r="K172" s="19">
        <f>IFERROR(__xludf.DUMMYFUNCTION("""COMPUTED_VALUE"""),0.1371)</f>
        <v>0.1371</v>
      </c>
      <c r="L172" s="19">
        <f>IFERROR(__xludf.DUMMYFUNCTION("""COMPUTED_VALUE"""),0.1646)</f>
        <v>0.1646</v>
      </c>
      <c r="M172" s="18">
        <f>IFERROR(__xludf.DUMMYFUNCTION("""COMPUTED_VALUE"""),1.63)</f>
        <v>1.63</v>
      </c>
    </row>
    <row r="173">
      <c r="A173" s="13" t="str">
        <f>IFERROR(__xludf.DUMMYFUNCTION("""COMPUTED_VALUE"""),"товари")</f>
        <v>товари</v>
      </c>
      <c r="B173" s="16" t="str">
        <f>IFERROR(__xludf.DUMMYFUNCTION("""COMPUTED_VALUE"""),"авто-, мото")</f>
        <v>авто-, мото</v>
      </c>
      <c r="C173" s="16" t="str">
        <f>IFERROR(__xludf.DUMMYFUNCTION("""COMPUTED_VALUE"""),"автохімія, автокосметика і автомастила")</f>
        <v>автохімія, автокосметика і автомастила</v>
      </c>
      <c r="D173" s="16" t="str">
        <f>IFERROR(__xludf.DUMMYFUNCTION("""COMPUTED_VALUE"""),"авто, мото масла, мастила та рідини")</f>
        <v>авто, мото масла, мастила та рідини</v>
      </c>
      <c r="E173" s="16" t="str">
        <f>IFERROR(__xludf.DUMMYFUNCTION("""COMPUTED_VALUE"""),"гальмівні рідини")</f>
        <v>гальмівні рідини</v>
      </c>
      <c r="F173" s="17">
        <f>IFERROR(__xludf.DUMMYFUNCTION("""COMPUTED_VALUE"""),4.0)</f>
        <v>4</v>
      </c>
      <c r="G173" s="17" t="str">
        <f>IFERROR(__xludf.DUMMYFUNCTION("""COMPUTED_VALUE"""),"341016")</f>
        <v>341016</v>
      </c>
      <c r="H173" s="17" t="str">
        <f>IFERROR(__xludf.DUMMYFUNCTION("""COMPUTED_VALUE"""),"гальмівні рідини")</f>
        <v>гальмівні рідини</v>
      </c>
      <c r="I173" s="19">
        <f>IFERROR(__xludf.DUMMYFUNCTION("""COMPUTED_VALUE"""),0.076)</f>
        <v>0.076</v>
      </c>
      <c r="J173" s="19">
        <f>IFERROR(__xludf.DUMMYFUNCTION("""COMPUTED_VALUE"""),0.152)</f>
        <v>0.152</v>
      </c>
      <c r="K173" s="19">
        <f>IFERROR(__xludf.DUMMYFUNCTION("""COMPUTED_VALUE"""),0.19)</f>
        <v>0.19</v>
      </c>
      <c r="L173" s="19">
        <f>IFERROR(__xludf.DUMMYFUNCTION("""COMPUTED_VALUE"""),0.228)</f>
        <v>0.228</v>
      </c>
      <c r="M173" s="18">
        <f>IFERROR(__xludf.DUMMYFUNCTION("""COMPUTED_VALUE"""),2.88)</f>
        <v>2.88</v>
      </c>
    </row>
    <row r="174">
      <c r="A174" s="13" t="str">
        <f>IFERROR(__xludf.DUMMYFUNCTION("""COMPUTED_VALUE"""),"товари")</f>
        <v>товари</v>
      </c>
      <c r="B174" s="16" t="str">
        <f>IFERROR(__xludf.DUMMYFUNCTION("""COMPUTED_VALUE"""),"авто-, мото")</f>
        <v>авто-, мото</v>
      </c>
      <c r="C174" s="16" t="str">
        <f>IFERROR(__xludf.DUMMYFUNCTION("""COMPUTED_VALUE"""),"автозапчастини")</f>
        <v>автозапчастини</v>
      </c>
      <c r="D174" s="16" t="str">
        <f>IFERROR(__xludf.DUMMYFUNCTION("""COMPUTED_VALUE"""),"запчастини гальмівної системи")</f>
        <v>запчастини гальмівної системи</v>
      </c>
      <c r="E174" s="16" t="str">
        <f>IFERROR(__xludf.DUMMYFUNCTION("""COMPUTED_VALUE"""),"гальмівні супорти, ремкомплекти супорта")</f>
        <v>гальмівні супорти, ремкомплекти супорта</v>
      </c>
      <c r="F174" s="17">
        <f>IFERROR(__xludf.DUMMYFUNCTION("""COMPUTED_VALUE"""),4.0)</f>
        <v>4</v>
      </c>
      <c r="G174" s="17" t="str">
        <f>IFERROR(__xludf.DUMMYFUNCTION("""COMPUTED_VALUE"""),"120239")</f>
        <v>120239</v>
      </c>
      <c r="H174" s="17" t="str">
        <f>IFERROR(__xludf.DUMMYFUNCTION("""COMPUTED_VALUE"""),"гальмівні супорти, ремкомплекти супорта")</f>
        <v>гальмівні супорти, ремкомплекти супорта</v>
      </c>
      <c r="I174" s="19">
        <f>IFERROR(__xludf.DUMMYFUNCTION("""COMPUTED_VALUE"""),0.0549)</f>
        <v>0.0549</v>
      </c>
      <c r="J174" s="19">
        <f>IFERROR(__xludf.DUMMYFUNCTION("""COMPUTED_VALUE"""),0.1097)</f>
        <v>0.1097</v>
      </c>
      <c r="K174" s="19">
        <f>IFERROR(__xludf.DUMMYFUNCTION("""COMPUTED_VALUE"""),0.1371)</f>
        <v>0.1371</v>
      </c>
      <c r="L174" s="19">
        <f>IFERROR(__xludf.DUMMYFUNCTION("""COMPUTED_VALUE"""),0.1646)</f>
        <v>0.1646</v>
      </c>
      <c r="M174" s="18">
        <f>IFERROR(__xludf.DUMMYFUNCTION("""COMPUTED_VALUE"""),1.63)</f>
        <v>1.63</v>
      </c>
    </row>
    <row r="175">
      <c r="A175" s="13" t="str">
        <f>IFERROR(__xludf.DUMMYFUNCTION("""COMPUTED_VALUE"""),"товари")</f>
        <v>товари</v>
      </c>
      <c r="B175" s="16" t="str">
        <f>IFERROR(__xludf.DUMMYFUNCTION("""COMPUTED_VALUE"""),"авто-, мото")</f>
        <v>авто-, мото</v>
      </c>
      <c r="C175" s="16" t="str">
        <f>IFERROR(__xludf.DUMMYFUNCTION("""COMPUTED_VALUE"""),"автозапчастини")</f>
        <v>автозапчастини</v>
      </c>
      <c r="D175" s="16" t="str">
        <f>IFERROR(__xludf.DUMMYFUNCTION("""COMPUTED_VALUE"""),"запчастини гальмівної системи")</f>
        <v>запчастини гальмівної системи</v>
      </c>
      <c r="E175" s="16" t="str">
        <f>IFERROR(__xludf.DUMMYFUNCTION("""COMPUTED_VALUE"""),"гальмівні циліндри")</f>
        <v>гальмівні циліндри</v>
      </c>
      <c r="F175" s="17">
        <f>IFERROR(__xludf.DUMMYFUNCTION("""COMPUTED_VALUE"""),4.0)</f>
        <v>4</v>
      </c>
      <c r="G175" s="17" t="str">
        <f>IFERROR(__xludf.DUMMYFUNCTION("""COMPUTED_VALUE"""),"120231")</f>
        <v>120231</v>
      </c>
      <c r="H175" s="17" t="str">
        <f>IFERROR(__xludf.DUMMYFUNCTION("""COMPUTED_VALUE"""),"гальмівні циліндри")</f>
        <v>гальмівні циліндри</v>
      </c>
      <c r="I175" s="19">
        <f>IFERROR(__xludf.DUMMYFUNCTION("""COMPUTED_VALUE"""),0.0539)</f>
        <v>0.0539</v>
      </c>
      <c r="J175" s="19">
        <f>IFERROR(__xludf.DUMMYFUNCTION("""COMPUTED_VALUE"""),0.1078)</f>
        <v>0.1078</v>
      </c>
      <c r="K175" s="19">
        <f>IFERROR(__xludf.DUMMYFUNCTION("""COMPUTED_VALUE"""),0.1348)</f>
        <v>0.1348</v>
      </c>
      <c r="L175" s="19">
        <f>IFERROR(__xludf.DUMMYFUNCTION("""COMPUTED_VALUE"""),0.1617)</f>
        <v>0.1617</v>
      </c>
      <c r="M175" s="18">
        <f>IFERROR(__xludf.DUMMYFUNCTION("""COMPUTED_VALUE"""),1.63)</f>
        <v>1.63</v>
      </c>
    </row>
    <row r="176">
      <c r="A176" s="13" t="str">
        <f>IFERROR(__xludf.DUMMYFUNCTION("""COMPUTED_VALUE"""),"товари")</f>
        <v>товари</v>
      </c>
      <c r="B176" s="16" t="str">
        <f>IFERROR(__xludf.DUMMYFUNCTION("""COMPUTED_VALUE"""),"авто-, мото")</f>
        <v>авто-, мото</v>
      </c>
      <c r="C176" s="16" t="str">
        <f>IFERROR(__xludf.DUMMYFUNCTION("""COMPUTED_VALUE"""),"автозапчастини")</f>
        <v>автозапчастини</v>
      </c>
      <c r="D176" s="16" t="str">
        <f>IFERROR(__xludf.DUMMYFUNCTION("""COMPUTED_VALUE"""),"запчастини гальмівної системи")</f>
        <v>запчастини гальмівної системи</v>
      </c>
      <c r="E176" s="16" t="str">
        <f>IFERROR(__xludf.DUMMYFUNCTION("""COMPUTED_VALUE"""),"гальмівні шланги, труби")</f>
        <v>гальмівні шланги, труби</v>
      </c>
      <c r="F176" s="17">
        <f>IFERROR(__xludf.DUMMYFUNCTION("""COMPUTED_VALUE"""),4.0)</f>
        <v>4</v>
      </c>
      <c r="G176" s="17" t="str">
        <f>IFERROR(__xludf.DUMMYFUNCTION("""COMPUTED_VALUE"""),"120222")</f>
        <v>120222</v>
      </c>
      <c r="H176" s="17" t="str">
        <f>IFERROR(__xludf.DUMMYFUNCTION("""COMPUTED_VALUE"""),"гальмівні шланги, труби")</f>
        <v>гальмівні шланги, труби</v>
      </c>
      <c r="I176" s="19">
        <f>IFERROR(__xludf.DUMMYFUNCTION("""COMPUTED_VALUE"""),0.0546)</f>
        <v>0.0546</v>
      </c>
      <c r="J176" s="19">
        <f>IFERROR(__xludf.DUMMYFUNCTION("""COMPUTED_VALUE"""),0.1091)</f>
        <v>0.1091</v>
      </c>
      <c r="K176" s="19">
        <f>IFERROR(__xludf.DUMMYFUNCTION("""COMPUTED_VALUE"""),0.1364)</f>
        <v>0.1364</v>
      </c>
      <c r="L176" s="19">
        <f>IFERROR(__xludf.DUMMYFUNCTION("""COMPUTED_VALUE"""),0.1637)</f>
        <v>0.1637</v>
      </c>
      <c r="M176" s="18">
        <f>IFERROR(__xludf.DUMMYFUNCTION("""COMPUTED_VALUE"""),1.63)</f>
        <v>1.63</v>
      </c>
    </row>
    <row r="177">
      <c r="A177" s="13" t="str">
        <f>IFERROR(__xludf.DUMMYFUNCTION("""COMPUTED_VALUE"""),"товари")</f>
        <v>товари</v>
      </c>
      <c r="B177" s="16" t="str">
        <f>IFERROR(__xludf.DUMMYFUNCTION("""COMPUTED_VALUE"""),"авто-, мото")</f>
        <v>авто-, мото</v>
      </c>
      <c r="C177" s="16" t="str">
        <f>IFERROR(__xludf.DUMMYFUNCTION("""COMPUTED_VALUE"""),"електрообладнання автомобілів")</f>
        <v>електрообладнання автомобілів</v>
      </c>
      <c r="D177" s="16" t="str">
        <f>IFERROR(__xludf.DUMMYFUNCTION("""COMPUTED_VALUE"""),"генератори, альтернатори і комплектуючі")</f>
        <v>генератори, альтернатори і комплектуючі</v>
      </c>
      <c r="E177" s="16" t="str">
        <f>IFERROR(__xludf.DUMMYFUNCTION("""COMPUTED_VALUE"""),"генератори, альтернатори і комплектуючі")</f>
        <v>генератори, альтернатори і комплектуючі</v>
      </c>
      <c r="F177" s="17">
        <f>IFERROR(__xludf.DUMMYFUNCTION("""COMPUTED_VALUE"""),3.0)</f>
        <v>3</v>
      </c>
      <c r="G177" s="17" t="str">
        <f>IFERROR(__xludf.DUMMYFUNCTION("""COMPUTED_VALUE"""),"12020302")</f>
        <v>12020302</v>
      </c>
      <c r="H177" s="17" t="str">
        <f>IFERROR(__xludf.DUMMYFUNCTION("""COMPUTED_VALUE"""),"генератори, альтернатори і комплектуючі")</f>
        <v>генератори, альтернатори і комплектуючі</v>
      </c>
      <c r="I177" s="19">
        <f>IFERROR(__xludf.DUMMYFUNCTION("""COMPUTED_VALUE"""),0.0508)</f>
        <v>0.0508</v>
      </c>
      <c r="J177" s="19">
        <f>IFERROR(__xludf.DUMMYFUNCTION("""COMPUTED_VALUE"""),0.1016)</f>
        <v>0.1016</v>
      </c>
      <c r="K177" s="19">
        <f>IFERROR(__xludf.DUMMYFUNCTION("""COMPUTED_VALUE"""),0.127)</f>
        <v>0.127</v>
      </c>
      <c r="L177" s="19">
        <f>IFERROR(__xludf.DUMMYFUNCTION("""COMPUTED_VALUE"""),0.1524)</f>
        <v>0.1524</v>
      </c>
      <c r="M177" s="18">
        <f>IFERROR(__xludf.DUMMYFUNCTION("""COMPUTED_VALUE"""),1.26)</f>
        <v>1.26</v>
      </c>
    </row>
    <row r="178">
      <c r="A178" s="13" t="str">
        <f>IFERROR(__xludf.DUMMYFUNCTION("""COMPUTED_VALUE"""),"товари")</f>
        <v>товари</v>
      </c>
      <c r="B178" s="16" t="str">
        <f>IFERROR(__xludf.DUMMYFUNCTION("""COMPUTED_VALUE"""),"авто-, мото")</f>
        <v>авто-, мото</v>
      </c>
      <c r="C178" s="16" t="str">
        <f>IFERROR(__xludf.DUMMYFUNCTION("""COMPUTED_VALUE"""),"автозапчастини")</f>
        <v>автозапчастини</v>
      </c>
      <c r="D178" s="16" t="str">
        <f>IFERROR(__xludf.DUMMYFUNCTION("""COMPUTED_VALUE"""),"газорозподільний механізм (грм)")</f>
        <v>газорозподільний механізм (грм)</v>
      </c>
      <c r="E178" s="16" t="str">
        <f>IFERROR(__xludf.DUMMYFUNCTION("""COMPUTED_VALUE"""),"гідрокомпенсатори")</f>
        <v>гідрокомпенсатори</v>
      </c>
      <c r="F178" s="17">
        <f>IFERROR(__xludf.DUMMYFUNCTION("""COMPUTED_VALUE"""),4.0)</f>
        <v>4</v>
      </c>
      <c r="G178" s="17" t="str">
        <f>IFERROR(__xludf.DUMMYFUNCTION("""COMPUTED_VALUE"""),"12020417")</f>
        <v>12020417</v>
      </c>
      <c r="H178" s="17" t="str">
        <f>IFERROR(__xludf.DUMMYFUNCTION("""COMPUTED_VALUE"""),"гідрокомпенсатори")</f>
        <v>гідрокомпенсатори</v>
      </c>
      <c r="I178" s="19">
        <f>IFERROR(__xludf.DUMMYFUNCTION("""COMPUTED_VALUE"""),0.0445)</f>
        <v>0.0445</v>
      </c>
      <c r="J178" s="19">
        <f>IFERROR(__xludf.DUMMYFUNCTION("""COMPUTED_VALUE"""),0.089)</f>
        <v>0.089</v>
      </c>
      <c r="K178" s="19">
        <f>IFERROR(__xludf.DUMMYFUNCTION("""COMPUTED_VALUE"""),0.1113)</f>
        <v>0.1113</v>
      </c>
      <c r="L178" s="19">
        <f>IFERROR(__xludf.DUMMYFUNCTION("""COMPUTED_VALUE"""),0.1335)</f>
        <v>0.1335</v>
      </c>
      <c r="M178" s="18">
        <f>IFERROR(__xludf.DUMMYFUNCTION("""COMPUTED_VALUE"""),1.53)</f>
        <v>1.53</v>
      </c>
    </row>
    <row r="179">
      <c r="A179" s="13" t="str">
        <f>IFERROR(__xludf.DUMMYFUNCTION("""COMPUTED_VALUE"""),"товари")</f>
        <v>товари</v>
      </c>
      <c r="B179" s="13" t="str">
        <f>IFERROR(__xludf.DUMMYFUNCTION("""COMPUTED_VALUE"""),"авто-, мото")</f>
        <v>авто-, мото</v>
      </c>
      <c r="C179" s="16" t="str">
        <f>IFERROR(__xludf.DUMMYFUNCTION("""COMPUTED_VALUE"""),"автозапчастини")</f>
        <v>автозапчастини</v>
      </c>
      <c r="D179" s="16" t="str">
        <f>IFERROR(__xludf.DUMMYFUNCTION("""COMPUTED_VALUE"""),"органи керування")</f>
        <v>органи керування</v>
      </c>
      <c r="E179" s="16" t="str">
        <f>IFERROR(__xludf.DUMMYFUNCTION("""COMPUTED_VALUE"""),"гідропідсилювач керма і комплектуючі")</f>
        <v>гідропідсилювач керма і комплектуючі</v>
      </c>
      <c r="F179" s="17">
        <f>IFERROR(__xludf.DUMMYFUNCTION("""COMPUTED_VALUE"""),4.0)</f>
        <v>4</v>
      </c>
      <c r="G179" s="17" t="str">
        <f>IFERROR(__xludf.DUMMYFUNCTION("""COMPUTED_VALUE"""),"12023704")</f>
        <v>12023704</v>
      </c>
      <c r="H179" s="17" t="str">
        <f>IFERROR(__xludf.DUMMYFUNCTION("""COMPUTED_VALUE"""),"гідропідсилювач керма і комплектуючі")</f>
        <v>гідропідсилювач керма і комплектуючі</v>
      </c>
      <c r="I179" s="19">
        <f>IFERROR(__xludf.DUMMYFUNCTION("""COMPUTED_VALUE"""),0.0589)</f>
        <v>0.0589</v>
      </c>
      <c r="J179" s="19">
        <f>IFERROR(__xludf.DUMMYFUNCTION("""COMPUTED_VALUE"""),0.1177)</f>
        <v>0.1177</v>
      </c>
      <c r="K179" s="19">
        <f>IFERROR(__xludf.DUMMYFUNCTION("""COMPUTED_VALUE"""),0.1471)</f>
        <v>0.1471</v>
      </c>
      <c r="L179" s="19">
        <f>IFERROR(__xludf.DUMMYFUNCTION("""COMPUTED_VALUE"""),0.1766)</f>
        <v>0.1766</v>
      </c>
      <c r="M179" s="18">
        <f>IFERROR(__xludf.DUMMYFUNCTION("""COMPUTED_VALUE"""),1.71)</f>
        <v>1.71</v>
      </c>
    </row>
    <row r="180">
      <c r="A180" s="13" t="str">
        <f>IFERROR(__xludf.DUMMYFUNCTION("""COMPUTED_VALUE"""),"товари")</f>
        <v>товари</v>
      </c>
      <c r="B180" s="16" t="str">
        <f>IFERROR(__xludf.DUMMYFUNCTION("""COMPUTED_VALUE"""),"авто-, мото")</f>
        <v>авто-, мото</v>
      </c>
      <c r="C180" s="16" t="str">
        <f>IFERROR(__xludf.DUMMYFUNCTION("""COMPUTED_VALUE"""),"автозапчастини")</f>
        <v>автозапчастини</v>
      </c>
      <c r="D180" s="16" t="str">
        <f>IFERROR(__xludf.DUMMYFUNCTION("""COMPUTED_VALUE"""),"кривошипно-шатунний механізм (кшм)")</f>
        <v>кривошипно-шатунний механізм (кшм)</v>
      </c>
      <c r="E180" s="16" t="str">
        <f>IFERROR(__xludf.DUMMYFUNCTION("""COMPUTED_VALUE"""),"гільзи двигуна")</f>
        <v>гільзи двигуна</v>
      </c>
      <c r="F180" s="17">
        <f>IFERROR(__xludf.DUMMYFUNCTION("""COMPUTED_VALUE"""),4.0)</f>
        <v>4</v>
      </c>
      <c r="G180" s="17" t="str">
        <f>IFERROR(__xludf.DUMMYFUNCTION("""COMPUTED_VALUE"""),"12020413")</f>
        <v>12020413</v>
      </c>
      <c r="H180" s="17" t="str">
        <f>IFERROR(__xludf.DUMMYFUNCTION("""COMPUTED_VALUE"""),"гільзи двигуна")</f>
        <v>гільзи двигуна</v>
      </c>
      <c r="I180" s="19">
        <f>IFERROR(__xludf.DUMMYFUNCTION("""COMPUTED_VALUE"""),0.0468)</f>
        <v>0.0468</v>
      </c>
      <c r="J180" s="19">
        <f>IFERROR(__xludf.DUMMYFUNCTION("""COMPUTED_VALUE"""),0.0936)</f>
        <v>0.0936</v>
      </c>
      <c r="K180" s="19">
        <f>IFERROR(__xludf.DUMMYFUNCTION("""COMPUTED_VALUE"""),0.117)</f>
        <v>0.117</v>
      </c>
      <c r="L180" s="19">
        <f>IFERROR(__xludf.DUMMYFUNCTION("""COMPUTED_VALUE"""),0.1404)</f>
        <v>0.1404</v>
      </c>
      <c r="M180" s="18">
        <f>IFERROR(__xludf.DUMMYFUNCTION("""COMPUTED_VALUE"""),1.98)</f>
        <v>1.98</v>
      </c>
    </row>
    <row r="181">
      <c r="A181" s="13" t="str">
        <f>IFERROR(__xludf.DUMMYFUNCTION("""COMPUTED_VALUE"""),"товари")</f>
        <v>товари</v>
      </c>
      <c r="B181" s="16" t="str">
        <f>IFERROR(__xludf.DUMMYFUNCTION("""COMPUTED_VALUE"""),"авто-, мото")</f>
        <v>авто-, мото</v>
      </c>
      <c r="C181" s="16" t="str">
        <f>IFERROR(__xludf.DUMMYFUNCTION("""COMPUTED_VALUE"""),"автозапчастини")</f>
        <v>автозапчастини</v>
      </c>
      <c r="D181" s="16" t="str">
        <f>IFERROR(__xludf.DUMMYFUNCTION("""COMPUTED_VALUE"""),"система випуску відпрацьованих газів")</f>
        <v>система випуску відпрацьованих газів</v>
      </c>
      <c r="E181" s="16" t="str">
        <f>IFERROR(__xludf.DUMMYFUNCTION("""COMPUTED_VALUE"""),"глушники")</f>
        <v>глушники</v>
      </c>
      <c r="F181" s="17">
        <f>IFERROR(__xludf.DUMMYFUNCTION("""COMPUTED_VALUE"""),4.0)</f>
        <v>4</v>
      </c>
      <c r="G181" s="17" t="str">
        <f>IFERROR(__xludf.DUMMYFUNCTION("""COMPUTED_VALUE"""),"120217")</f>
        <v>120217</v>
      </c>
      <c r="H181" s="17" t="str">
        <f>IFERROR(__xludf.DUMMYFUNCTION("""COMPUTED_VALUE"""),"глушники")</f>
        <v>глушники</v>
      </c>
      <c r="I181" s="19">
        <f>IFERROR(__xludf.DUMMYFUNCTION("""COMPUTED_VALUE"""),0.0537)</f>
        <v>0.0537</v>
      </c>
      <c r="J181" s="19">
        <f>IFERROR(__xludf.DUMMYFUNCTION("""COMPUTED_VALUE"""),0.1074)</f>
        <v>0.1074</v>
      </c>
      <c r="K181" s="19">
        <f>IFERROR(__xludf.DUMMYFUNCTION("""COMPUTED_VALUE"""),0.1343)</f>
        <v>0.1343</v>
      </c>
      <c r="L181" s="19">
        <f>IFERROR(__xludf.DUMMYFUNCTION("""COMPUTED_VALUE"""),0.1611)</f>
        <v>0.1611</v>
      </c>
      <c r="M181" s="18">
        <f>IFERROR(__xludf.DUMMYFUNCTION("""COMPUTED_VALUE"""),1.53)</f>
        <v>1.53</v>
      </c>
    </row>
    <row r="182">
      <c r="A182" s="13" t="str">
        <f>IFERROR(__xludf.DUMMYFUNCTION("""COMPUTED_VALUE"""),"товари")</f>
        <v>товари</v>
      </c>
      <c r="B182" s="16" t="str">
        <f>IFERROR(__xludf.DUMMYFUNCTION("""COMPUTED_VALUE"""),"авто-, мото")</f>
        <v>авто-, мото</v>
      </c>
      <c r="C182" s="16" t="str">
        <f>IFERROR(__xludf.DUMMYFUNCTION("""COMPUTED_VALUE"""),"мототехніка")</f>
        <v>мототехніка</v>
      </c>
      <c r="D182" s="16" t="str">
        <f>IFERROR(__xludf.DUMMYFUNCTION("""COMPUTED_VALUE"""),"запчастини для мототехніки")</f>
        <v>запчастини для мототехніки</v>
      </c>
      <c r="E182" s="16" t="str">
        <f>IFERROR(__xludf.DUMMYFUNCTION("""COMPUTED_VALUE"""),"деталі двигуна для мототехніки")</f>
        <v>деталі двигуна для мототехніки</v>
      </c>
      <c r="F182" s="17">
        <f>IFERROR(__xludf.DUMMYFUNCTION("""COMPUTED_VALUE"""),5.0)</f>
        <v>5</v>
      </c>
      <c r="G182" s="17">
        <f>IFERROR(__xludf.DUMMYFUNCTION("""COMPUTED_VALUE"""),340627.0)</f>
        <v>340627</v>
      </c>
      <c r="H182" s="17" t="str">
        <f>IFERROR(__xludf.DUMMYFUNCTION("""COMPUTED_VALUE"""),"головка циліндра та грм для мототехніки")</f>
        <v>головка циліндра та грм для мототехніки</v>
      </c>
      <c r="I182" s="19">
        <f>IFERROR(__xludf.DUMMYFUNCTION("""COMPUTED_VALUE"""),0.0555)</f>
        <v>0.0555</v>
      </c>
      <c r="J182" s="19">
        <f>IFERROR(__xludf.DUMMYFUNCTION("""COMPUTED_VALUE"""),0.111)</f>
        <v>0.111</v>
      </c>
      <c r="K182" s="19">
        <f>IFERROR(__xludf.DUMMYFUNCTION("""COMPUTED_VALUE"""),0.1388)</f>
        <v>0.1388</v>
      </c>
      <c r="L182" s="19">
        <f>IFERROR(__xludf.DUMMYFUNCTION("""COMPUTED_VALUE"""),0.1665)</f>
        <v>0.1665</v>
      </c>
      <c r="M182" s="18">
        <f>IFERROR(__xludf.DUMMYFUNCTION("""COMPUTED_VALUE"""),1.98)</f>
        <v>1.98</v>
      </c>
    </row>
    <row r="183">
      <c r="A183" s="13" t="str">
        <f>IFERROR(__xludf.DUMMYFUNCTION("""COMPUTED_VALUE"""),"товари")</f>
        <v>товари</v>
      </c>
      <c r="B183" s="16" t="str">
        <f>IFERROR(__xludf.DUMMYFUNCTION("""COMPUTED_VALUE"""),"авто-, мото")</f>
        <v>авто-, мото</v>
      </c>
      <c r="C183" s="16" t="str">
        <f>IFERROR(__xludf.DUMMYFUNCTION("""COMPUTED_VALUE"""),"автозапчастини")</f>
        <v>автозапчастини</v>
      </c>
      <c r="D183" s="16" t="str">
        <f>IFERROR(__xludf.DUMMYFUNCTION("""COMPUTED_VALUE"""),"кривошипно-шатунний механізм (кшм)")</f>
        <v>кривошипно-шатунний механізм (кшм)</v>
      </c>
      <c r="E183" s="16" t="str">
        <f>IFERROR(__xludf.DUMMYFUNCTION("""COMPUTED_VALUE"""),"головки блоку циліндрів")</f>
        <v>головки блоку циліндрів</v>
      </c>
      <c r="F183" s="17">
        <f>IFERROR(__xludf.DUMMYFUNCTION("""COMPUTED_VALUE"""),4.0)</f>
        <v>4</v>
      </c>
      <c r="G183" s="17">
        <f>IFERROR(__xludf.DUMMYFUNCTION("""COMPUTED_VALUE"""),1.202041E7)</f>
        <v>12020410</v>
      </c>
      <c r="H183" s="17" t="str">
        <f>IFERROR(__xludf.DUMMYFUNCTION("""COMPUTED_VALUE"""),"головки блоку циліндрів")</f>
        <v>головки блоку циліндрів</v>
      </c>
      <c r="I183" s="19">
        <f>IFERROR(__xludf.DUMMYFUNCTION("""COMPUTED_VALUE"""),0.0504)</f>
        <v>0.0504</v>
      </c>
      <c r="J183" s="19">
        <f>IFERROR(__xludf.DUMMYFUNCTION("""COMPUTED_VALUE"""),0.1008)</f>
        <v>0.1008</v>
      </c>
      <c r="K183" s="19">
        <f>IFERROR(__xludf.DUMMYFUNCTION("""COMPUTED_VALUE"""),0.126)</f>
        <v>0.126</v>
      </c>
      <c r="L183" s="19">
        <f>IFERROR(__xludf.DUMMYFUNCTION("""COMPUTED_VALUE"""),0.1512)</f>
        <v>0.1512</v>
      </c>
      <c r="M183" s="18">
        <f>IFERROR(__xludf.DUMMYFUNCTION("""COMPUTED_VALUE"""),1.98)</f>
        <v>1.98</v>
      </c>
    </row>
    <row r="184">
      <c r="A184" s="13" t="str">
        <f>IFERROR(__xludf.DUMMYFUNCTION("""COMPUTED_VALUE"""),"товари")</f>
        <v>товари</v>
      </c>
      <c r="B184" s="16" t="str">
        <f>IFERROR(__xludf.DUMMYFUNCTION("""COMPUTED_VALUE"""),"авто-, мото")</f>
        <v>авто-, мото</v>
      </c>
      <c r="C184" s="16" t="str">
        <f>IFERROR(__xludf.DUMMYFUNCTION("""COMPUTED_VALUE"""),"автозапчастини")</f>
        <v>автозапчастини</v>
      </c>
      <c r="D184" s="16" t="str">
        <f>IFERROR(__xludf.DUMMYFUNCTION("""COMPUTED_VALUE"""),"система живлення двигуна")</f>
        <v>система живлення двигуна</v>
      </c>
      <c r="E184" s="16" t="str">
        <f>IFERROR(__xludf.DUMMYFUNCTION("""COMPUTED_VALUE"""),"горловини, пробки паливного бака")</f>
        <v>горловини, пробки паливного бака</v>
      </c>
      <c r="F184" s="17">
        <f>IFERROR(__xludf.DUMMYFUNCTION("""COMPUTED_VALUE"""),4.0)</f>
        <v>4</v>
      </c>
      <c r="G184" s="17" t="str">
        <f>IFERROR(__xludf.DUMMYFUNCTION("""COMPUTED_VALUE"""),"341567")</f>
        <v>341567</v>
      </c>
      <c r="H184" s="17" t="str">
        <f>IFERROR(__xludf.DUMMYFUNCTION("""COMPUTED_VALUE"""),"горловини, пробки паливного бака")</f>
        <v>горловини, пробки паливного бака</v>
      </c>
      <c r="I184" s="19">
        <f>IFERROR(__xludf.DUMMYFUNCTION("""COMPUTED_VALUE"""),0.0543)</f>
        <v>0.0543</v>
      </c>
      <c r="J184" s="19">
        <f>IFERROR(__xludf.DUMMYFUNCTION("""COMPUTED_VALUE"""),0.1085)</f>
        <v>0.1085</v>
      </c>
      <c r="K184" s="19">
        <f>IFERROR(__xludf.DUMMYFUNCTION("""COMPUTED_VALUE"""),0.1356)</f>
        <v>0.1356</v>
      </c>
      <c r="L184" s="19">
        <f>IFERROR(__xludf.DUMMYFUNCTION("""COMPUTED_VALUE"""),0.1628)</f>
        <v>0.1628</v>
      </c>
      <c r="M184" s="18">
        <f>IFERROR(__xludf.DUMMYFUNCTION("""COMPUTED_VALUE"""),1.53)</f>
        <v>1.53</v>
      </c>
    </row>
    <row r="185">
      <c r="A185" s="13" t="str">
        <f>IFERROR(__xludf.DUMMYFUNCTION("""COMPUTED_VALUE"""),"товари")</f>
        <v>товари</v>
      </c>
      <c r="B185" s="16" t="str">
        <f>IFERROR(__xludf.DUMMYFUNCTION("""COMPUTED_VALUE"""),"авто-, мото")</f>
        <v>авто-, мото</v>
      </c>
      <c r="C185" s="16" t="str">
        <f>IFERROR(__xludf.DUMMYFUNCTION("""COMPUTED_VALUE"""),"автозапчастини")</f>
        <v>автозапчастини</v>
      </c>
      <c r="D185" s="16" t="str">
        <f>IFERROR(__xludf.DUMMYFUNCTION("""COMPUTED_VALUE"""),"система випуску відпрацьованих газів")</f>
        <v>система випуску відпрацьованих газів</v>
      </c>
      <c r="E185" s="16" t="str">
        <f>IFERROR(__xludf.DUMMYFUNCTION("""COMPUTED_VALUE"""),"гофри для вихлопних систем")</f>
        <v>гофри для вихлопних систем</v>
      </c>
      <c r="F185" s="17">
        <f>IFERROR(__xludf.DUMMYFUNCTION("""COMPUTED_VALUE"""),4.0)</f>
        <v>4</v>
      </c>
      <c r="G185" s="17" t="str">
        <f>IFERROR(__xludf.DUMMYFUNCTION("""COMPUTED_VALUE"""),"12021506")</f>
        <v>12021506</v>
      </c>
      <c r="H185" s="17" t="str">
        <f>IFERROR(__xludf.DUMMYFUNCTION("""COMPUTED_VALUE"""),"гофри для вихлопних систем")</f>
        <v>гофри для вихлопних систем</v>
      </c>
      <c r="I185" s="19">
        <f>IFERROR(__xludf.DUMMYFUNCTION("""COMPUTED_VALUE"""),0.0521)</f>
        <v>0.0521</v>
      </c>
      <c r="J185" s="19">
        <f>IFERROR(__xludf.DUMMYFUNCTION("""COMPUTED_VALUE"""),0.1041)</f>
        <v>0.1041</v>
      </c>
      <c r="K185" s="19">
        <f>IFERROR(__xludf.DUMMYFUNCTION("""COMPUTED_VALUE"""),0.1301)</f>
        <v>0.1301</v>
      </c>
      <c r="L185" s="19">
        <f>IFERROR(__xludf.DUMMYFUNCTION("""COMPUTED_VALUE"""),0.1562)</f>
        <v>0.1562</v>
      </c>
      <c r="M185" s="18">
        <f>IFERROR(__xludf.DUMMYFUNCTION("""COMPUTED_VALUE"""),1.53)</f>
        <v>1.53</v>
      </c>
    </row>
    <row r="186">
      <c r="A186" s="13" t="str">
        <f>IFERROR(__xludf.DUMMYFUNCTION("""COMPUTED_VALUE"""),"товари")</f>
        <v>товари</v>
      </c>
      <c r="B186" s="16" t="str">
        <f>IFERROR(__xludf.DUMMYFUNCTION("""COMPUTED_VALUE"""),"авто-, мото")</f>
        <v>авто-, мото</v>
      </c>
      <c r="C186" s="16" t="str">
        <f>IFERROR(__xludf.DUMMYFUNCTION("""COMPUTED_VALUE"""),"мототехніка")</f>
        <v>мототехніка</v>
      </c>
      <c r="D186" s="16" t="str">
        <f>IFERROR(__xludf.DUMMYFUNCTION("""COMPUTED_VALUE"""),"запчастини для мототехніки")</f>
        <v>запчастини для мототехніки</v>
      </c>
      <c r="E186" s="16" t="str">
        <f>IFERROR(__xludf.DUMMYFUNCTION("""COMPUTED_VALUE"""),"двигуни мототехніки в зборі")</f>
        <v>двигуни мототехніки в зборі</v>
      </c>
      <c r="F186" s="17">
        <f>IFERROR(__xludf.DUMMYFUNCTION("""COMPUTED_VALUE"""),4.0)</f>
        <v>4</v>
      </c>
      <c r="G186" s="17">
        <f>IFERROR(__xludf.DUMMYFUNCTION("""COMPUTED_VALUE"""),340624.0)</f>
        <v>340624</v>
      </c>
      <c r="H186" s="17" t="str">
        <f>IFERROR(__xludf.DUMMYFUNCTION("""COMPUTED_VALUE"""),"двигуни мототехніки в зборі")</f>
        <v>двигуни мототехніки в зборі</v>
      </c>
      <c r="I186" s="19">
        <f>IFERROR(__xludf.DUMMYFUNCTION("""COMPUTED_VALUE"""),0.0555)</f>
        <v>0.0555</v>
      </c>
      <c r="J186" s="19">
        <f>IFERROR(__xludf.DUMMYFUNCTION("""COMPUTED_VALUE"""),0.111)</f>
        <v>0.111</v>
      </c>
      <c r="K186" s="19">
        <f>IFERROR(__xludf.DUMMYFUNCTION("""COMPUTED_VALUE"""),0.1388)</f>
        <v>0.1388</v>
      </c>
      <c r="L186" s="19">
        <f>IFERROR(__xludf.DUMMYFUNCTION("""COMPUTED_VALUE"""),0.1665)</f>
        <v>0.1665</v>
      </c>
      <c r="M186" s="18">
        <f>IFERROR(__xludf.DUMMYFUNCTION("""COMPUTED_VALUE"""),1.98)</f>
        <v>1.98</v>
      </c>
    </row>
    <row r="187">
      <c r="A187" s="13" t="str">
        <f>IFERROR(__xludf.DUMMYFUNCTION("""COMPUTED_VALUE"""),"товари")</f>
        <v>товари</v>
      </c>
      <c r="B187" s="16" t="str">
        <f>IFERROR(__xludf.DUMMYFUNCTION("""COMPUTED_VALUE"""),"авто-, мото")</f>
        <v>авто-, мото</v>
      </c>
      <c r="C187" s="16" t="str">
        <f>IFERROR(__xludf.DUMMYFUNCTION("""COMPUTED_VALUE"""),"мототехніка")</f>
        <v>мототехніка</v>
      </c>
      <c r="D187" s="16" t="str">
        <f>IFERROR(__xludf.DUMMYFUNCTION("""COMPUTED_VALUE"""),"запчастини для мототехніки")</f>
        <v>запчастини для мототехніки</v>
      </c>
      <c r="E187" s="16" t="str">
        <f>IFERROR(__xludf.DUMMYFUNCTION("""COMPUTED_VALUE"""),"деталі вихлопної системи мототехніки")</f>
        <v>деталі вихлопної системи мототехніки</v>
      </c>
      <c r="F187" s="17">
        <f>IFERROR(__xludf.DUMMYFUNCTION("""COMPUTED_VALUE"""),4.0)</f>
        <v>4</v>
      </c>
      <c r="G187" s="17" t="str">
        <f>IFERROR(__xludf.DUMMYFUNCTION("""COMPUTED_VALUE"""),"340611")</f>
        <v>340611</v>
      </c>
      <c r="H187" s="17" t="str">
        <f>IFERROR(__xludf.DUMMYFUNCTION("""COMPUTED_VALUE"""),"деталі вихлопної системи мототехніки")</f>
        <v>деталі вихлопної системи мототехніки</v>
      </c>
      <c r="I187" s="19">
        <f>IFERROR(__xludf.DUMMYFUNCTION("""COMPUTED_VALUE"""),0.0552)</f>
        <v>0.0552</v>
      </c>
      <c r="J187" s="19">
        <f>IFERROR(__xludf.DUMMYFUNCTION("""COMPUTED_VALUE"""),0.1104)</f>
        <v>0.1104</v>
      </c>
      <c r="K187" s="19">
        <f>IFERROR(__xludf.DUMMYFUNCTION("""COMPUTED_VALUE"""),0.138)</f>
        <v>0.138</v>
      </c>
      <c r="L187" s="19">
        <f>IFERROR(__xludf.DUMMYFUNCTION("""COMPUTED_VALUE"""),0.1656)</f>
        <v>0.1656</v>
      </c>
      <c r="M187" s="18">
        <f>IFERROR(__xludf.DUMMYFUNCTION("""COMPUTED_VALUE"""),1.98)</f>
        <v>1.98</v>
      </c>
    </row>
    <row r="188">
      <c r="A188" s="13" t="str">
        <f>IFERROR(__xludf.DUMMYFUNCTION("""COMPUTED_VALUE"""),"товари")</f>
        <v>товари</v>
      </c>
      <c r="B188" s="16" t="str">
        <f>IFERROR(__xludf.DUMMYFUNCTION("""COMPUTED_VALUE"""),"авто-, мото")</f>
        <v>авто-, мото</v>
      </c>
      <c r="C188" s="16" t="str">
        <f>IFERROR(__xludf.DUMMYFUNCTION("""COMPUTED_VALUE"""),"автозапчастини")</f>
        <v>автозапчастини</v>
      </c>
      <c r="D188" s="16" t="str">
        <f>IFERROR(__xludf.DUMMYFUNCTION("""COMPUTED_VALUE"""),"запчастини гальмівної системи")</f>
        <v>запчастини гальмівної системи</v>
      </c>
      <c r="E188" s="16" t="str">
        <f>IFERROR(__xludf.DUMMYFUNCTION("""COMPUTED_VALUE"""),"деталі гальмівних систем abs, ebd")</f>
        <v>деталі гальмівних систем abs, ebd</v>
      </c>
      <c r="F188" s="17">
        <f>IFERROR(__xludf.DUMMYFUNCTION("""COMPUTED_VALUE"""),4.0)</f>
        <v>4</v>
      </c>
      <c r="G188" s="17" t="str">
        <f>IFERROR(__xludf.DUMMYFUNCTION("""COMPUTED_VALUE"""),"341618")</f>
        <v>341618</v>
      </c>
      <c r="H188" s="17" t="str">
        <f>IFERROR(__xludf.DUMMYFUNCTION("""COMPUTED_VALUE"""),"деталі гальмівних систем abs, ebd")</f>
        <v>деталі гальмівних систем abs, ebd</v>
      </c>
      <c r="I188" s="19">
        <f>IFERROR(__xludf.DUMMYFUNCTION("""COMPUTED_VALUE"""),0.0533)</f>
        <v>0.0533</v>
      </c>
      <c r="J188" s="19">
        <f>IFERROR(__xludf.DUMMYFUNCTION("""COMPUTED_VALUE"""),0.1066)</f>
        <v>0.1066</v>
      </c>
      <c r="K188" s="19">
        <f>IFERROR(__xludf.DUMMYFUNCTION("""COMPUTED_VALUE"""),0.1333)</f>
        <v>0.1333</v>
      </c>
      <c r="L188" s="19">
        <f>IFERROR(__xludf.DUMMYFUNCTION("""COMPUTED_VALUE"""),0.1599)</f>
        <v>0.1599</v>
      </c>
      <c r="M188" s="18">
        <f>IFERROR(__xludf.DUMMYFUNCTION("""COMPUTED_VALUE"""),1.63)</f>
        <v>1.63</v>
      </c>
    </row>
    <row r="189">
      <c r="A189" s="13" t="str">
        <f>IFERROR(__xludf.DUMMYFUNCTION("""COMPUTED_VALUE"""),"товари")</f>
        <v>товари</v>
      </c>
      <c r="B189" s="16" t="str">
        <f>IFERROR(__xludf.DUMMYFUNCTION("""COMPUTED_VALUE"""),"авто-, мото")</f>
        <v>авто-, мото</v>
      </c>
      <c r="C189" s="16" t="str">
        <f>IFERROR(__xludf.DUMMYFUNCTION("""COMPUTED_VALUE"""),"автозапчастини")</f>
        <v>автозапчастини</v>
      </c>
      <c r="D189" s="16" t="str">
        <f>IFERROR(__xludf.DUMMYFUNCTION("""COMPUTED_VALUE"""),"запчастини гальмівної системи")</f>
        <v>запчастини гальмівної системи</v>
      </c>
      <c r="E189" s="16" t="str">
        <f>IFERROR(__xludf.DUMMYFUNCTION("""COMPUTED_VALUE"""),"деталі гальмівної системи вантажівок")</f>
        <v>деталі гальмівної системи вантажівок</v>
      </c>
      <c r="F189" s="17">
        <f>IFERROR(__xludf.DUMMYFUNCTION("""COMPUTED_VALUE"""),4.0)</f>
        <v>4</v>
      </c>
      <c r="G189" s="17" t="str">
        <f>IFERROR(__xludf.DUMMYFUNCTION("""COMPUTED_VALUE"""),"342216")</f>
        <v>342216</v>
      </c>
      <c r="H189" s="17" t="str">
        <f>IFERROR(__xludf.DUMMYFUNCTION("""COMPUTED_VALUE"""),"деталі гальмівної системи вантажівок")</f>
        <v>деталі гальмівної системи вантажівок</v>
      </c>
      <c r="I189" s="19">
        <f>IFERROR(__xludf.DUMMYFUNCTION("""COMPUTED_VALUE"""),0.0533)</f>
        <v>0.0533</v>
      </c>
      <c r="J189" s="19">
        <f>IFERROR(__xludf.DUMMYFUNCTION("""COMPUTED_VALUE"""),0.1066)</f>
        <v>0.1066</v>
      </c>
      <c r="K189" s="19">
        <f>IFERROR(__xludf.DUMMYFUNCTION("""COMPUTED_VALUE"""),0.1333)</f>
        <v>0.1333</v>
      </c>
      <c r="L189" s="19">
        <f>IFERROR(__xludf.DUMMYFUNCTION("""COMPUTED_VALUE"""),0.1599)</f>
        <v>0.1599</v>
      </c>
      <c r="M189" s="18">
        <f>IFERROR(__xludf.DUMMYFUNCTION("""COMPUTED_VALUE"""),1.63)</f>
        <v>1.63</v>
      </c>
    </row>
    <row r="190">
      <c r="A190" s="13" t="str">
        <f>IFERROR(__xludf.DUMMYFUNCTION("""COMPUTED_VALUE"""),"товари")</f>
        <v>товари</v>
      </c>
      <c r="B190" s="16" t="str">
        <f>IFERROR(__xludf.DUMMYFUNCTION("""COMPUTED_VALUE"""),"авто-, мото")</f>
        <v>авто-, мото</v>
      </c>
      <c r="C190" s="16" t="str">
        <f>IFERROR(__xludf.DUMMYFUNCTION("""COMPUTED_VALUE"""),"мототехніка")</f>
        <v>мототехніка</v>
      </c>
      <c r="D190" s="16" t="str">
        <f>IFERROR(__xludf.DUMMYFUNCTION("""COMPUTED_VALUE"""),"запчастини для мототехніки")</f>
        <v>запчастини для мототехніки</v>
      </c>
      <c r="E190" s="16" t="str">
        <f>IFERROR(__xludf.DUMMYFUNCTION("""COMPUTED_VALUE"""),"деталі гальмівної системи мототехніки")</f>
        <v>деталі гальмівної системи мототехніки</v>
      </c>
      <c r="F190" s="17">
        <f>IFERROR(__xludf.DUMMYFUNCTION("""COMPUTED_VALUE"""),4.0)</f>
        <v>4</v>
      </c>
      <c r="G190" s="17" t="str">
        <f>IFERROR(__xludf.DUMMYFUNCTION("""COMPUTED_VALUE"""),"340604")</f>
        <v>340604</v>
      </c>
      <c r="H190" s="17" t="str">
        <f>IFERROR(__xludf.DUMMYFUNCTION("""COMPUTED_VALUE"""),"деталі гальмівної системи мототехніки")</f>
        <v>деталі гальмівної системи мототехніки</v>
      </c>
      <c r="I190" s="19">
        <f>IFERROR(__xludf.DUMMYFUNCTION("""COMPUTED_VALUE"""),0.0752)</f>
        <v>0.0752</v>
      </c>
      <c r="J190" s="19">
        <f>IFERROR(__xludf.DUMMYFUNCTION("""COMPUTED_VALUE"""),0.1504)</f>
        <v>0.1504</v>
      </c>
      <c r="K190" s="19">
        <f>IFERROR(__xludf.DUMMYFUNCTION("""COMPUTED_VALUE"""),0.188)</f>
        <v>0.188</v>
      </c>
      <c r="L190" s="19">
        <f>IFERROR(__xludf.DUMMYFUNCTION("""COMPUTED_VALUE"""),0.2256)</f>
        <v>0.2256</v>
      </c>
      <c r="M190" s="18">
        <f>IFERROR(__xludf.DUMMYFUNCTION("""COMPUTED_VALUE"""),1.98)</f>
        <v>1.98</v>
      </c>
    </row>
    <row r="191">
      <c r="A191" s="13" t="str">
        <f>IFERROR(__xludf.DUMMYFUNCTION("""COMPUTED_VALUE"""),"товари")</f>
        <v>товари</v>
      </c>
      <c r="B191" s="16" t="str">
        <f>IFERROR(__xludf.DUMMYFUNCTION("""COMPUTED_VALUE"""),"авто-, мото")</f>
        <v>авто-, мото</v>
      </c>
      <c r="C191" s="16" t="str">
        <f>IFERROR(__xludf.DUMMYFUNCTION("""COMPUTED_VALUE"""),"мототехніка")</f>
        <v>мототехніка</v>
      </c>
      <c r="D191" s="16" t="str">
        <f>IFERROR(__xludf.DUMMYFUNCTION("""COMPUTED_VALUE"""),"запчастини для мототехніки")</f>
        <v>запчастини для мототехніки</v>
      </c>
      <c r="E191" s="16" t="str">
        <f>IFERROR(__xludf.DUMMYFUNCTION("""COMPUTED_VALUE"""),"деталі двигуна для мототехніки")</f>
        <v>деталі двигуна для мототехніки</v>
      </c>
      <c r="F191" s="17">
        <f>IFERROR(__xludf.DUMMYFUNCTION("""COMPUTED_VALUE"""),4.0)</f>
        <v>4</v>
      </c>
      <c r="G191" s="17">
        <f>IFERROR(__xludf.DUMMYFUNCTION("""COMPUTED_VALUE"""),340622.0)</f>
        <v>340622</v>
      </c>
      <c r="H191" s="17" t="str">
        <f>IFERROR(__xludf.DUMMYFUNCTION("""COMPUTED_VALUE"""),"деталі двигуна для мототехніки")</f>
        <v>деталі двигуна для мототехніки</v>
      </c>
      <c r="I191" s="19">
        <f>IFERROR(__xludf.DUMMYFUNCTION("""COMPUTED_VALUE"""),0.0555)</f>
        <v>0.0555</v>
      </c>
      <c r="J191" s="19">
        <f>IFERROR(__xludf.DUMMYFUNCTION("""COMPUTED_VALUE"""),0.111)</f>
        <v>0.111</v>
      </c>
      <c r="K191" s="19">
        <f>IFERROR(__xludf.DUMMYFUNCTION("""COMPUTED_VALUE"""),0.1388)</f>
        <v>0.1388</v>
      </c>
      <c r="L191" s="19">
        <f>IFERROR(__xludf.DUMMYFUNCTION("""COMPUTED_VALUE"""),0.1665)</f>
        <v>0.1665</v>
      </c>
      <c r="M191" s="18">
        <f>IFERROR(__xludf.DUMMYFUNCTION("""COMPUTED_VALUE"""),1.98)</f>
        <v>1.98</v>
      </c>
    </row>
    <row r="192">
      <c r="A192" s="13" t="str">
        <f>IFERROR(__xludf.DUMMYFUNCTION("""COMPUTED_VALUE"""),"товари")</f>
        <v>товари</v>
      </c>
      <c r="B192" s="16" t="str">
        <f>IFERROR(__xludf.DUMMYFUNCTION("""COMPUTED_VALUE"""),"авто-, мото")</f>
        <v>авто-, мото</v>
      </c>
      <c r="C192" s="16" t="str">
        <f>IFERROR(__xludf.DUMMYFUNCTION("""COMPUTED_VALUE"""),"мототехніка")</f>
        <v>мототехніка</v>
      </c>
      <c r="D192" s="16" t="str">
        <f>IFERROR(__xludf.DUMMYFUNCTION("""COMPUTED_VALUE"""),"запчастини для мототехніки")</f>
        <v>запчастини для мототехніки</v>
      </c>
      <c r="E192" s="16" t="str">
        <f>IFERROR(__xludf.DUMMYFUNCTION("""COMPUTED_VALUE"""),"деталі двигуна мототехніки")</f>
        <v>деталі двигуна мототехніки</v>
      </c>
      <c r="F192" s="17">
        <f>IFERROR(__xludf.DUMMYFUNCTION("""COMPUTED_VALUE"""),4.0)</f>
        <v>4</v>
      </c>
      <c r="G192" s="17" t="str">
        <f>IFERROR(__xludf.DUMMYFUNCTION("""COMPUTED_VALUE"""),"340610")</f>
        <v>340610</v>
      </c>
      <c r="H192" s="17" t="str">
        <f>IFERROR(__xludf.DUMMYFUNCTION("""COMPUTED_VALUE"""),"деталі двигуна мототехніки")</f>
        <v>деталі двигуна мототехніки</v>
      </c>
      <c r="I192" s="19">
        <f>IFERROR(__xludf.DUMMYFUNCTION("""COMPUTED_VALUE"""),0.0555)</f>
        <v>0.0555</v>
      </c>
      <c r="J192" s="19">
        <f>IFERROR(__xludf.DUMMYFUNCTION("""COMPUTED_VALUE"""),0.111)</f>
        <v>0.111</v>
      </c>
      <c r="K192" s="19">
        <f>IFERROR(__xludf.DUMMYFUNCTION("""COMPUTED_VALUE"""),0.1388)</f>
        <v>0.1388</v>
      </c>
      <c r="L192" s="19">
        <f>IFERROR(__xludf.DUMMYFUNCTION("""COMPUTED_VALUE"""),0.1665)</f>
        <v>0.1665</v>
      </c>
      <c r="M192" s="18">
        <f>IFERROR(__xludf.DUMMYFUNCTION("""COMPUTED_VALUE"""),1.98)</f>
        <v>1.98</v>
      </c>
    </row>
    <row r="193">
      <c r="A193" s="13" t="str">
        <f>IFERROR(__xludf.DUMMYFUNCTION("""COMPUTED_VALUE"""),"товари")</f>
        <v>товари</v>
      </c>
      <c r="B193" s="16" t="str">
        <f>IFERROR(__xludf.DUMMYFUNCTION("""COMPUTED_VALUE"""),"авто-, мото")</f>
        <v>авто-, мото</v>
      </c>
      <c r="C193" s="16" t="str">
        <f>IFERROR(__xludf.DUMMYFUNCTION("""COMPUTED_VALUE"""),"автозапчастини")</f>
        <v>автозапчастини</v>
      </c>
      <c r="D193" s="16" t="str">
        <f>IFERROR(__xludf.DUMMYFUNCTION("""COMPUTED_VALUE"""),"двигуни і деталі двигуна")</f>
        <v>двигуни і деталі двигуна</v>
      </c>
      <c r="E193" s="16" t="str">
        <f>IFERROR(__xludf.DUMMYFUNCTION("""COMPUTED_VALUE"""),"деталі двигуна, загальне")</f>
        <v>деталі двигуна, загальне</v>
      </c>
      <c r="F193" s="17">
        <f>IFERROR(__xludf.DUMMYFUNCTION("""COMPUTED_VALUE"""),4.0)</f>
        <v>4</v>
      </c>
      <c r="G193" s="17" t="str">
        <f>IFERROR(__xludf.DUMMYFUNCTION("""COMPUTED_VALUE"""),"12020418")</f>
        <v>12020418</v>
      </c>
      <c r="H193" s="17" t="str">
        <f>IFERROR(__xludf.DUMMYFUNCTION("""COMPUTED_VALUE"""),"деталі двигуна, загальне")</f>
        <v>деталі двигуна, загальне</v>
      </c>
      <c r="I193" s="19">
        <f>IFERROR(__xludf.DUMMYFUNCTION("""COMPUTED_VALUE"""),0.125)</f>
        <v>0.125</v>
      </c>
      <c r="J193" s="19">
        <f>IFERROR(__xludf.DUMMYFUNCTION("""COMPUTED_VALUE"""),0.25)</f>
        <v>0.25</v>
      </c>
      <c r="K193" s="19">
        <f>IFERROR(__xludf.DUMMYFUNCTION("""COMPUTED_VALUE"""),0.3125)</f>
        <v>0.3125</v>
      </c>
      <c r="L193" s="19">
        <f>IFERROR(__xludf.DUMMYFUNCTION("""COMPUTED_VALUE"""),0.375)</f>
        <v>0.375</v>
      </c>
      <c r="M193" s="18">
        <f>IFERROR(__xludf.DUMMYFUNCTION("""COMPUTED_VALUE"""),4.33)</f>
        <v>4.33</v>
      </c>
    </row>
    <row r="194">
      <c r="A194" s="13" t="str">
        <f>IFERROR(__xludf.DUMMYFUNCTION("""COMPUTED_VALUE"""),"товари")</f>
        <v>товари</v>
      </c>
      <c r="B194" s="13" t="str">
        <f>IFERROR(__xludf.DUMMYFUNCTION("""COMPUTED_VALUE"""),"авто-, мото")</f>
        <v>авто-, мото</v>
      </c>
      <c r="C194" s="16" t="str">
        <f>IFERROR(__xludf.DUMMYFUNCTION("""COMPUTED_VALUE"""),"автозапчастини")</f>
        <v>автозапчастини</v>
      </c>
      <c r="D194" s="16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194" s="16" t="str">
        <f>IFERROR(__xludf.DUMMYFUNCTION("""COMPUTED_VALUE"""),"деталі для автокондиціонерів")</f>
        <v>деталі для автокондиціонерів</v>
      </c>
      <c r="F194" s="17">
        <f>IFERROR(__xludf.DUMMYFUNCTION("""COMPUTED_VALUE"""),4.0)</f>
        <v>4</v>
      </c>
      <c r="G194" s="17" t="str">
        <f>IFERROR(__xludf.DUMMYFUNCTION("""COMPUTED_VALUE"""),"12021606")</f>
        <v>12021606</v>
      </c>
      <c r="H194" s="17" t="str">
        <f>IFERROR(__xludf.DUMMYFUNCTION("""COMPUTED_VALUE"""),"деталі для автокондиціонерів")</f>
        <v>деталі для автокондиціонерів</v>
      </c>
      <c r="I194" s="19">
        <f>IFERROR(__xludf.DUMMYFUNCTION("""COMPUTED_VALUE"""),0.0573)</f>
        <v>0.0573</v>
      </c>
      <c r="J194" s="19">
        <f>IFERROR(__xludf.DUMMYFUNCTION("""COMPUTED_VALUE"""),0.1145)</f>
        <v>0.1145</v>
      </c>
      <c r="K194" s="19">
        <f>IFERROR(__xludf.DUMMYFUNCTION("""COMPUTED_VALUE"""),0.1431)</f>
        <v>0.1431</v>
      </c>
      <c r="L194" s="19">
        <f>IFERROR(__xludf.DUMMYFUNCTION("""COMPUTED_VALUE"""),0.1718)</f>
        <v>0.1718</v>
      </c>
      <c r="M194" s="18">
        <f>IFERROR(__xludf.DUMMYFUNCTION("""COMPUTED_VALUE"""),1.44)</f>
        <v>1.44</v>
      </c>
    </row>
    <row r="195">
      <c r="A195" s="13" t="str">
        <f>IFERROR(__xludf.DUMMYFUNCTION("""COMPUTED_VALUE"""),"товари")</f>
        <v>товари</v>
      </c>
      <c r="B195" s="16" t="str">
        <f>IFERROR(__xludf.DUMMYFUNCTION("""COMPUTED_VALUE"""),"авто-, мото")</f>
        <v>авто-, мото</v>
      </c>
      <c r="C195" s="16" t="str">
        <f>IFERROR(__xludf.DUMMYFUNCTION("""COMPUTED_VALUE"""),"автозапчастини")</f>
        <v>автозапчастини</v>
      </c>
      <c r="D195" s="16" t="str">
        <f>IFERROR(__xludf.DUMMYFUNCTION("""COMPUTED_VALUE"""),"кривошипно-шатунний механізм (кшм)")</f>
        <v>кривошипно-шатунний механізм (кшм)</v>
      </c>
      <c r="E195" s="16" t="str">
        <f>IFERROR(__xludf.DUMMYFUNCTION("""COMPUTED_VALUE"""),"деталі кшм")</f>
        <v>деталі кшм</v>
      </c>
      <c r="F195" s="17">
        <f>IFERROR(__xludf.DUMMYFUNCTION("""COMPUTED_VALUE"""),4.0)</f>
        <v>4</v>
      </c>
      <c r="G195" s="17" t="str">
        <f>IFERROR(__xludf.DUMMYFUNCTION("""COMPUTED_VALUE"""),"550208")</f>
        <v>550208</v>
      </c>
      <c r="H195" s="17" t="str">
        <f>IFERROR(__xludf.DUMMYFUNCTION("""COMPUTED_VALUE"""),"деталі кшм")</f>
        <v>деталі кшм</v>
      </c>
      <c r="I195" s="19">
        <f>IFERROR(__xludf.DUMMYFUNCTION("""COMPUTED_VALUE"""),0.052)</f>
        <v>0.052</v>
      </c>
      <c r="J195" s="19">
        <f>IFERROR(__xludf.DUMMYFUNCTION("""COMPUTED_VALUE"""),0.104)</f>
        <v>0.104</v>
      </c>
      <c r="K195" s="19">
        <f>IFERROR(__xludf.DUMMYFUNCTION("""COMPUTED_VALUE"""),0.13)</f>
        <v>0.13</v>
      </c>
      <c r="L195" s="19">
        <f>IFERROR(__xludf.DUMMYFUNCTION("""COMPUTED_VALUE"""),0.156)</f>
        <v>0.156</v>
      </c>
      <c r="M195" s="18">
        <f>IFERROR(__xludf.DUMMYFUNCTION("""COMPUTED_VALUE"""),1.98)</f>
        <v>1.98</v>
      </c>
    </row>
    <row r="196">
      <c r="A196" s="13" t="str">
        <f>IFERROR(__xludf.DUMMYFUNCTION("""COMPUTED_VALUE"""),"товари")</f>
        <v>товари</v>
      </c>
      <c r="B196" s="16" t="str">
        <f>IFERROR(__xludf.DUMMYFUNCTION("""COMPUTED_VALUE"""),"авто-, мото")</f>
        <v>авто-, мото</v>
      </c>
      <c r="C196" s="16" t="str">
        <f>IFERROR(__xludf.DUMMYFUNCTION("""COMPUTED_VALUE"""),"мототехніка")</f>
        <v>мототехніка</v>
      </c>
      <c r="D196" s="16" t="str">
        <f>IFERROR(__xludf.DUMMYFUNCTION("""COMPUTED_VALUE"""),"запчастини для мототехніки")</f>
        <v>запчастини для мототехніки</v>
      </c>
      <c r="E196" s="16" t="str">
        <f>IFERROR(__xludf.DUMMYFUNCTION("""COMPUTED_VALUE"""),"деталі приводу для мототехніки")</f>
        <v>деталі приводу для мототехніки</v>
      </c>
      <c r="F196" s="17">
        <f>IFERROR(__xludf.DUMMYFUNCTION("""COMPUTED_VALUE"""),4.0)</f>
        <v>4</v>
      </c>
      <c r="G196" s="17" t="str">
        <f>IFERROR(__xludf.DUMMYFUNCTION("""COMPUTED_VALUE"""),"340608")</f>
        <v>340608</v>
      </c>
      <c r="H196" s="17" t="str">
        <f>IFERROR(__xludf.DUMMYFUNCTION("""COMPUTED_VALUE"""),"деталі приводу для мототехніки")</f>
        <v>деталі приводу для мототехніки</v>
      </c>
      <c r="I196" s="19">
        <f>IFERROR(__xludf.DUMMYFUNCTION("""COMPUTED_VALUE"""),0.0737)</f>
        <v>0.0737</v>
      </c>
      <c r="J196" s="19">
        <f>IFERROR(__xludf.DUMMYFUNCTION("""COMPUTED_VALUE"""),0.1474)</f>
        <v>0.1474</v>
      </c>
      <c r="K196" s="19">
        <f>IFERROR(__xludf.DUMMYFUNCTION("""COMPUTED_VALUE"""),0.1843)</f>
        <v>0.1843</v>
      </c>
      <c r="L196" s="19">
        <f>IFERROR(__xludf.DUMMYFUNCTION("""COMPUTED_VALUE"""),0.2211)</f>
        <v>0.2211</v>
      </c>
      <c r="M196" s="18">
        <f>IFERROR(__xludf.DUMMYFUNCTION("""COMPUTED_VALUE"""),1.98)</f>
        <v>1.98</v>
      </c>
    </row>
    <row r="197">
      <c r="A197" s="13" t="str">
        <f>IFERROR(__xludf.DUMMYFUNCTION("""COMPUTED_VALUE"""),"товари")</f>
        <v>товари</v>
      </c>
      <c r="B197" s="16" t="str">
        <f>IFERROR(__xludf.DUMMYFUNCTION("""COMPUTED_VALUE"""),"авто-, мото")</f>
        <v>авто-, мото</v>
      </c>
      <c r="C197" s="16" t="str">
        <f>IFERROR(__xludf.DUMMYFUNCTION("""COMPUTED_VALUE"""),"мототехніка")</f>
        <v>мототехніка</v>
      </c>
      <c r="D197" s="16" t="str">
        <f>IFERROR(__xludf.DUMMYFUNCTION("""COMPUTED_VALUE"""),"запчастини для мототехніки")</f>
        <v>запчастини для мототехніки</v>
      </c>
      <c r="E197" s="16" t="str">
        <f>IFERROR(__xludf.DUMMYFUNCTION("""COMPUTED_VALUE"""),"деталі рами і облицювання")</f>
        <v>деталі рами і облицювання</v>
      </c>
      <c r="F197" s="17">
        <f>IFERROR(__xludf.DUMMYFUNCTION("""COMPUTED_VALUE"""),4.0)</f>
        <v>4</v>
      </c>
      <c r="G197" s="17" t="str">
        <f>IFERROR(__xludf.DUMMYFUNCTION("""COMPUTED_VALUE"""),"340603")</f>
        <v>340603</v>
      </c>
      <c r="H197" s="17" t="str">
        <f>IFERROR(__xludf.DUMMYFUNCTION("""COMPUTED_VALUE"""),"деталі рами і облицювання")</f>
        <v>деталі рами і облицювання</v>
      </c>
      <c r="I197" s="19">
        <f>IFERROR(__xludf.DUMMYFUNCTION("""COMPUTED_VALUE"""),0.0752)</f>
        <v>0.0752</v>
      </c>
      <c r="J197" s="19">
        <f>IFERROR(__xludf.DUMMYFUNCTION("""COMPUTED_VALUE"""),0.1504)</f>
        <v>0.1504</v>
      </c>
      <c r="K197" s="19">
        <f>IFERROR(__xludf.DUMMYFUNCTION("""COMPUTED_VALUE"""),0.188)</f>
        <v>0.188</v>
      </c>
      <c r="L197" s="19">
        <f>IFERROR(__xludf.DUMMYFUNCTION("""COMPUTED_VALUE"""),0.2256)</f>
        <v>0.2256</v>
      </c>
      <c r="M197" s="18">
        <f>IFERROR(__xludf.DUMMYFUNCTION("""COMPUTED_VALUE"""),1.98)</f>
        <v>1.98</v>
      </c>
    </row>
    <row r="198">
      <c r="A198" s="13" t="str">
        <f>IFERROR(__xludf.DUMMYFUNCTION("""COMPUTED_VALUE"""),"товари")</f>
        <v>товари</v>
      </c>
      <c r="B198" s="16" t="str">
        <f>IFERROR(__xludf.DUMMYFUNCTION("""COMPUTED_VALUE"""),"авто-, мото")</f>
        <v>авто-, мото</v>
      </c>
      <c r="C198" s="16" t="str">
        <f>IFERROR(__xludf.DUMMYFUNCTION("""COMPUTED_VALUE"""),"мототехніка")</f>
        <v>мототехніка</v>
      </c>
      <c r="D198" s="16" t="str">
        <f>IFERROR(__xludf.DUMMYFUNCTION("""COMPUTED_VALUE"""),"запчастини для мототехніки")</f>
        <v>запчастини для мототехніки</v>
      </c>
      <c r="E198" s="16" t="str">
        <f>IFERROR(__xludf.DUMMYFUNCTION("""COMPUTED_VALUE"""),"деталі рульового управління мототехніки")</f>
        <v>деталі рульового управління мототехніки</v>
      </c>
      <c r="F198" s="17">
        <f>IFERROR(__xludf.DUMMYFUNCTION("""COMPUTED_VALUE"""),4.0)</f>
        <v>4</v>
      </c>
      <c r="G198" s="17" t="str">
        <f>IFERROR(__xludf.DUMMYFUNCTION("""COMPUTED_VALUE"""),"340616")</f>
        <v>340616</v>
      </c>
      <c r="H198" s="17" t="str">
        <f>IFERROR(__xludf.DUMMYFUNCTION("""COMPUTED_VALUE"""),"деталі рульового управління мототехніки")</f>
        <v>деталі рульового управління мототехніки</v>
      </c>
      <c r="I198" s="19">
        <f>IFERROR(__xludf.DUMMYFUNCTION("""COMPUTED_VALUE"""),0.0728)</f>
        <v>0.0728</v>
      </c>
      <c r="J198" s="19">
        <f>IFERROR(__xludf.DUMMYFUNCTION("""COMPUTED_VALUE"""),0.1455)</f>
        <v>0.1455</v>
      </c>
      <c r="K198" s="19">
        <f>IFERROR(__xludf.DUMMYFUNCTION("""COMPUTED_VALUE"""),0.1819)</f>
        <v>0.1819</v>
      </c>
      <c r="L198" s="19">
        <f>IFERROR(__xludf.DUMMYFUNCTION("""COMPUTED_VALUE"""),0.2183)</f>
        <v>0.2183</v>
      </c>
      <c r="M198" s="18">
        <f>IFERROR(__xludf.DUMMYFUNCTION("""COMPUTED_VALUE"""),1.98)</f>
        <v>1.98</v>
      </c>
    </row>
    <row r="199">
      <c r="A199" s="13" t="str">
        <f>IFERROR(__xludf.DUMMYFUNCTION("""COMPUTED_VALUE"""),"товари")</f>
        <v>товари</v>
      </c>
      <c r="B199" s="16" t="str">
        <f>IFERROR(__xludf.DUMMYFUNCTION("""COMPUTED_VALUE"""),"авто-, мото")</f>
        <v>авто-, мото</v>
      </c>
      <c r="C199" s="16" t="str">
        <f>IFERROR(__xludf.DUMMYFUNCTION("""COMPUTED_VALUE"""),"автозапчастини")</f>
        <v>автозапчастини</v>
      </c>
      <c r="D199" s="16" t="str">
        <f>IFERROR(__xludf.DUMMYFUNCTION("""COMPUTED_VALUE"""),"деталі салону автомобіля")</f>
        <v>деталі салону автомобіля</v>
      </c>
      <c r="E199" s="16" t="str">
        <f>IFERROR(__xludf.DUMMYFUNCTION("""COMPUTED_VALUE"""),"деталі салону автомобіля, загальне")</f>
        <v>деталі салону автомобіля, загальне</v>
      </c>
      <c r="F199" s="17">
        <f>IFERROR(__xludf.DUMMYFUNCTION("""COMPUTED_VALUE"""),4.0)</f>
        <v>4</v>
      </c>
      <c r="G199" s="17" t="str">
        <f>IFERROR(__xludf.DUMMYFUNCTION("""COMPUTED_VALUE"""),"341590")</f>
        <v>341590</v>
      </c>
      <c r="H199" s="17" t="str">
        <f>IFERROR(__xludf.DUMMYFUNCTION("""COMPUTED_VALUE"""),"деталі салону автомобіля, загальне")</f>
        <v>деталі салону автомобіля, загальне</v>
      </c>
      <c r="I199" s="19">
        <f>IFERROR(__xludf.DUMMYFUNCTION("""COMPUTED_VALUE"""),0.125)</f>
        <v>0.125</v>
      </c>
      <c r="J199" s="19">
        <f>IFERROR(__xludf.DUMMYFUNCTION("""COMPUTED_VALUE"""),0.25)</f>
        <v>0.25</v>
      </c>
      <c r="K199" s="19">
        <f>IFERROR(__xludf.DUMMYFUNCTION("""COMPUTED_VALUE"""),0.3125)</f>
        <v>0.3125</v>
      </c>
      <c r="L199" s="19">
        <f>IFERROR(__xludf.DUMMYFUNCTION("""COMPUTED_VALUE"""),0.375)</f>
        <v>0.375</v>
      </c>
      <c r="M199" s="18">
        <f>IFERROR(__xludf.DUMMYFUNCTION("""COMPUTED_VALUE"""),4.33)</f>
        <v>4.33</v>
      </c>
    </row>
    <row r="200">
      <c r="A200" s="13" t="str">
        <f>IFERROR(__xludf.DUMMYFUNCTION("""COMPUTED_VALUE"""),"товари")</f>
        <v>товари</v>
      </c>
      <c r="B200" s="16" t="str">
        <f>IFERROR(__xludf.DUMMYFUNCTION("""COMPUTED_VALUE"""),"авто-, мото")</f>
        <v>авто-, мото</v>
      </c>
      <c r="C200" s="16" t="str">
        <f>IFERROR(__xludf.DUMMYFUNCTION("""COMPUTED_VALUE"""),"автозапчастини")</f>
        <v>автозапчастини</v>
      </c>
      <c r="D200" s="16" t="str">
        <f>IFERROR(__xludf.DUMMYFUNCTION("""COMPUTED_VALUE"""),"система змащування двигуна")</f>
        <v>система змащування двигуна</v>
      </c>
      <c r="E200" s="16" t="str">
        <f>IFERROR(__xludf.DUMMYFUNCTION("""COMPUTED_VALUE"""),"деталі системи змащення, загальне")</f>
        <v>деталі системи змащення, загальне</v>
      </c>
      <c r="F200" s="17">
        <f>IFERROR(__xludf.DUMMYFUNCTION("""COMPUTED_VALUE"""),4.0)</f>
        <v>4</v>
      </c>
      <c r="G200" s="17" t="str">
        <f>IFERROR(__xludf.DUMMYFUNCTION("""COMPUTED_VALUE"""),"550204")</f>
        <v>550204</v>
      </c>
      <c r="H200" s="17" t="str">
        <f>IFERROR(__xludf.DUMMYFUNCTION("""COMPUTED_VALUE"""),"деталі системи змащення, загальне")</f>
        <v>деталі системи змащення, загальне</v>
      </c>
      <c r="I200" s="19">
        <f>IFERROR(__xludf.DUMMYFUNCTION("""COMPUTED_VALUE"""),0.125)</f>
        <v>0.125</v>
      </c>
      <c r="J200" s="19">
        <f>IFERROR(__xludf.DUMMYFUNCTION("""COMPUTED_VALUE"""),0.25)</f>
        <v>0.25</v>
      </c>
      <c r="K200" s="19">
        <f>IFERROR(__xludf.DUMMYFUNCTION("""COMPUTED_VALUE"""),0.3125)</f>
        <v>0.3125</v>
      </c>
      <c r="L200" s="19">
        <f>IFERROR(__xludf.DUMMYFUNCTION("""COMPUTED_VALUE"""),0.375)</f>
        <v>0.375</v>
      </c>
      <c r="M200" s="18">
        <f>IFERROR(__xludf.DUMMYFUNCTION("""COMPUTED_VALUE"""),4.33)</f>
        <v>4.33</v>
      </c>
    </row>
    <row r="201">
      <c r="A201" s="13" t="str">
        <f>IFERROR(__xludf.DUMMYFUNCTION("""COMPUTED_VALUE"""),"товари")</f>
        <v>товари</v>
      </c>
      <c r="B201" s="16" t="str">
        <f>IFERROR(__xludf.DUMMYFUNCTION("""COMPUTED_VALUE"""),"авто-, мото")</f>
        <v>авто-, мото</v>
      </c>
      <c r="C201" s="16" t="str">
        <f>IFERROR(__xludf.DUMMYFUNCTION("""COMPUTED_VALUE"""),"мототехніка")</f>
        <v>мототехніка</v>
      </c>
      <c r="D201" s="16" t="str">
        <f>IFERROR(__xludf.DUMMYFUNCTION("""COMPUTED_VALUE"""),"запчастини для мототехніки")</f>
        <v>запчастини для мототехніки</v>
      </c>
      <c r="E201" s="16" t="str">
        <f>IFERROR(__xludf.DUMMYFUNCTION("""COMPUTED_VALUE"""),"деталі системи охолодження мототехніки")</f>
        <v>деталі системи охолодження мототехніки</v>
      </c>
      <c r="F201" s="17">
        <f>IFERROR(__xludf.DUMMYFUNCTION("""COMPUTED_VALUE"""),4.0)</f>
        <v>4</v>
      </c>
      <c r="G201" s="17" t="str">
        <f>IFERROR(__xludf.DUMMYFUNCTION("""COMPUTED_VALUE"""),"340607")</f>
        <v>340607</v>
      </c>
      <c r="H201" s="17" t="str">
        <f>IFERROR(__xludf.DUMMYFUNCTION("""COMPUTED_VALUE"""),"деталі системи охолодження мототехніки")</f>
        <v>деталі системи охолодження мототехніки</v>
      </c>
      <c r="I201" s="19">
        <f>IFERROR(__xludf.DUMMYFUNCTION("""COMPUTED_VALUE"""),0.0645)</f>
        <v>0.0645</v>
      </c>
      <c r="J201" s="19">
        <f>IFERROR(__xludf.DUMMYFUNCTION("""COMPUTED_VALUE"""),0.1289)</f>
        <v>0.1289</v>
      </c>
      <c r="K201" s="19">
        <f>IFERROR(__xludf.DUMMYFUNCTION("""COMPUTED_VALUE"""),0.1611)</f>
        <v>0.1611</v>
      </c>
      <c r="L201" s="19">
        <f>IFERROR(__xludf.DUMMYFUNCTION("""COMPUTED_VALUE"""),0.1934)</f>
        <v>0.1934</v>
      </c>
      <c r="M201" s="18">
        <f>IFERROR(__xludf.DUMMYFUNCTION("""COMPUTED_VALUE"""),1.98)</f>
        <v>1.98</v>
      </c>
    </row>
    <row r="202">
      <c r="A202" s="13" t="str">
        <f>IFERROR(__xludf.DUMMYFUNCTION("""COMPUTED_VALUE"""),"товари")</f>
        <v>товари</v>
      </c>
      <c r="B202" s="16" t="str">
        <f>IFERROR(__xludf.DUMMYFUNCTION("""COMPUTED_VALUE"""),"авто-, мото")</f>
        <v>авто-, мото</v>
      </c>
      <c r="C202" s="16" t="str">
        <f>IFERROR(__xludf.DUMMYFUNCTION("""COMPUTED_VALUE"""),"автозапчастини")</f>
        <v>автозапчастини</v>
      </c>
      <c r="D202" s="16" t="str">
        <f>IFERROR(__xludf.DUMMYFUNCTION("""COMPUTED_VALUE"""),"система живлення двигуна")</f>
        <v>система живлення двигуна</v>
      </c>
      <c r="E202" s="16" t="str">
        <f>IFERROR(__xludf.DUMMYFUNCTION("""COMPUTED_VALUE"""),"деталі системи живлення, загальне")</f>
        <v>деталі системи живлення, загальне</v>
      </c>
      <c r="F202" s="17">
        <f>IFERROR(__xludf.DUMMYFUNCTION("""COMPUTED_VALUE"""),4.0)</f>
        <v>4</v>
      </c>
      <c r="G202" s="17" t="str">
        <f>IFERROR(__xludf.DUMMYFUNCTION("""COMPUTED_VALUE"""),"341580")</f>
        <v>341580</v>
      </c>
      <c r="H202" s="17" t="str">
        <f>IFERROR(__xludf.DUMMYFUNCTION("""COMPUTED_VALUE"""),"деталі системи живлення, загальне")</f>
        <v>деталі системи живлення, загальне</v>
      </c>
      <c r="I202" s="19">
        <f>IFERROR(__xludf.DUMMYFUNCTION("""COMPUTED_VALUE"""),0.125)</f>
        <v>0.125</v>
      </c>
      <c r="J202" s="19">
        <f>IFERROR(__xludf.DUMMYFUNCTION("""COMPUTED_VALUE"""),0.25)</f>
        <v>0.25</v>
      </c>
      <c r="K202" s="19">
        <f>IFERROR(__xludf.DUMMYFUNCTION("""COMPUTED_VALUE"""),0.3125)</f>
        <v>0.3125</v>
      </c>
      <c r="L202" s="19">
        <f>IFERROR(__xludf.DUMMYFUNCTION("""COMPUTED_VALUE"""),0.375)</f>
        <v>0.375</v>
      </c>
      <c r="M202" s="18">
        <f>IFERROR(__xludf.DUMMYFUNCTION("""COMPUTED_VALUE"""),4.33)</f>
        <v>4.33</v>
      </c>
    </row>
    <row r="203">
      <c r="A203" s="13" t="str">
        <f>IFERROR(__xludf.DUMMYFUNCTION("""COMPUTED_VALUE"""),"товари")</f>
        <v>товари</v>
      </c>
      <c r="B203" s="16" t="str">
        <f>IFERROR(__xludf.DUMMYFUNCTION("""COMPUTED_VALUE"""),"авто-, мото")</f>
        <v>авто-, мото</v>
      </c>
      <c r="C203" s="16" t="str">
        <f>IFERROR(__xludf.DUMMYFUNCTION("""COMPUTED_VALUE"""),"автозапчастини")</f>
        <v>автозапчастини</v>
      </c>
      <c r="D203" s="16" t="str">
        <f>IFERROR(__xludf.DUMMYFUNCTION("""COMPUTED_VALUE"""),"деталі трансмісії транспорту")</f>
        <v>деталі трансмісії транспорту</v>
      </c>
      <c r="E203" s="16" t="str">
        <f>IFERROR(__xludf.DUMMYFUNCTION("""COMPUTED_VALUE"""),"деталі трансмісії, загальний")</f>
        <v>деталі трансмісії, загальний</v>
      </c>
      <c r="F203" s="17">
        <f>IFERROR(__xludf.DUMMYFUNCTION("""COMPUTED_VALUE"""),4.0)</f>
        <v>4</v>
      </c>
      <c r="G203" s="17" t="str">
        <f>IFERROR(__xludf.DUMMYFUNCTION("""COMPUTED_VALUE"""),"1202071")</f>
        <v>1202071</v>
      </c>
      <c r="H203" s="17" t="str">
        <f>IFERROR(__xludf.DUMMYFUNCTION("""COMPUTED_VALUE"""),"деталі трансмісії, загальний")</f>
        <v>деталі трансмісії, загальний</v>
      </c>
      <c r="I203" s="19">
        <f>IFERROR(__xludf.DUMMYFUNCTION("""COMPUTED_VALUE"""),0.125)</f>
        <v>0.125</v>
      </c>
      <c r="J203" s="19">
        <f>IFERROR(__xludf.DUMMYFUNCTION("""COMPUTED_VALUE"""),0.25)</f>
        <v>0.25</v>
      </c>
      <c r="K203" s="19">
        <f>IFERROR(__xludf.DUMMYFUNCTION("""COMPUTED_VALUE"""),0.3125)</f>
        <v>0.3125</v>
      </c>
      <c r="L203" s="19">
        <f>IFERROR(__xludf.DUMMYFUNCTION("""COMPUTED_VALUE"""),0.375)</f>
        <v>0.375</v>
      </c>
      <c r="M203" s="18">
        <f>IFERROR(__xludf.DUMMYFUNCTION("""COMPUTED_VALUE"""),4.33)</f>
        <v>4.33</v>
      </c>
    </row>
    <row r="204">
      <c r="A204" s="13" t="str">
        <f>IFERROR(__xludf.DUMMYFUNCTION("""COMPUTED_VALUE"""),"товари")</f>
        <v>товари</v>
      </c>
      <c r="B204" s="16" t="str">
        <f>IFERROR(__xludf.DUMMYFUNCTION("""COMPUTED_VALUE"""),"авто-, мото")</f>
        <v>авто-, мото</v>
      </c>
      <c r="C204" s="16" t="str">
        <f>IFERROR(__xludf.DUMMYFUNCTION("""COMPUTED_VALUE"""),"мототехніка")</f>
        <v>мототехніка</v>
      </c>
      <c r="D204" s="16" t="str">
        <f>IFERROR(__xludf.DUMMYFUNCTION("""COMPUTED_VALUE"""),"запчастини для мототехніки")</f>
        <v>запчастини для мототехніки</v>
      </c>
      <c r="E204" s="16" t="str">
        <f>IFERROR(__xludf.DUMMYFUNCTION("""COMPUTED_VALUE"""),"деталі ходової частини мототехніки")</f>
        <v>деталі ходової частини мототехніки</v>
      </c>
      <c r="F204" s="17">
        <f>IFERROR(__xludf.DUMMYFUNCTION("""COMPUTED_VALUE"""),4.0)</f>
        <v>4</v>
      </c>
      <c r="G204" s="17" t="str">
        <f>IFERROR(__xludf.DUMMYFUNCTION("""COMPUTED_VALUE"""),"340619")</f>
        <v>340619</v>
      </c>
      <c r="H204" s="17" t="str">
        <f>IFERROR(__xludf.DUMMYFUNCTION("""COMPUTED_VALUE"""),"деталі ходової частини мототехніки")</f>
        <v>деталі ходової частини мототехніки</v>
      </c>
      <c r="I204" s="19">
        <f>IFERROR(__xludf.DUMMYFUNCTION("""COMPUTED_VALUE"""),0.0752)</f>
        <v>0.0752</v>
      </c>
      <c r="J204" s="19">
        <f>IFERROR(__xludf.DUMMYFUNCTION("""COMPUTED_VALUE"""),0.1504)</f>
        <v>0.1504</v>
      </c>
      <c r="K204" s="19">
        <f>IFERROR(__xludf.DUMMYFUNCTION("""COMPUTED_VALUE"""),0.188)</f>
        <v>0.188</v>
      </c>
      <c r="L204" s="19">
        <f>IFERROR(__xludf.DUMMYFUNCTION("""COMPUTED_VALUE"""),0.2256)</f>
        <v>0.2256</v>
      </c>
      <c r="M204" s="18">
        <f>IFERROR(__xludf.DUMMYFUNCTION("""COMPUTED_VALUE"""),1.98)</f>
        <v>1.98</v>
      </c>
    </row>
    <row r="205">
      <c r="A205" s="13" t="str">
        <f>IFERROR(__xludf.DUMMYFUNCTION("""COMPUTED_VALUE"""),"товари")</f>
        <v>товари</v>
      </c>
      <c r="B205" s="16" t="str">
        <f>IFERROR(__xludf.DUMMYFUNCTION("""COMPUTED_VALUE"""),"авто-, мото")</f>
        <v>авто-, мото</v>
      </c>
      <c r="C205" s="16" t="str">
        <f>IFERROR(__xludf.DUMMYFUNCTION("""COMPUTED_VALUE"""),"автозапчастини")</f>
        <v>автозапчастини</v>
      </c>
      <c r="D205" s="16" t="str">
        <f>IFERROR(__xludf.DUMMYFUNCTION("""COMPUTED_VALUE"""),"деталі ходової")</f>
        <v>деталі ходової</v>
      </c>
      <c r="E205" s="16" t="str">
        <f>IFERROR(__xludf.DUMMYFUNCTION("""COMPUTED_VALUE"""),"деталі ходової, загальне")</f>
        <v>деталі ходової, загальне</v>
      </c>
      <c r="F205" s="17">
        <f>IFERROR(__xludf.DUMMYFUNCTION("""COMPUTED_VALUE"""),4.0)</f>
        <v>4</v>
      </c>
      <c r="G205" s="17" t="str">
        <f>IFERROR(__xludf.DUMMYFUNCTION("""COMPUTED_VALUE"""),"341537")</f>
        <v>341537</v>
      </c>
      <c r="H205" s="17" t="str">
        <f>IFERROR(__xludf.DUMMYFUNCTION("""COMPUTED_VALUE"""),"деталі ходової, загальне")</f>
        <v>деталі ходової, загальне</v>
      </c>
      <c r="I205" s="19">
        <f>IFERROR(__xludf.DUMMYFUNCTION("""COMPUTED_VALUE"""),0.125)</f>
        <v>0.125</v>
      </c>
      <c r="J205" s="19">
        <f>IFERROR(__xludf.DUMMYFUNCTION("""COMPUTED_VALUE"""),0.25)</f>
        <v>0.25</v>
      </c>
      <c r="K205" s="19">
        <f>IFERROR(__xludf.DUMMYFUNCTION("""COMPUTED_VALUE"""),0.3125)</f>
        <v>0.3125</v>
      </c>
      <c r="L205" s="19">
        <f>IFERROR(__xludf.DUMMYFUNCTION("""COMPUTED_VALUE"""),0.375)</f>
        <v>0.375</v>
      </c>
      <c r="M205" s="18">
        <f>IFERROR(__xludf.DUMMYFUNCTION("""COMPUTED_VALUE"""),4.33)</f>
        <v>4.33</v>
      </c>
    </row>
    <row r="206">
      <c r="A206" s="13" t="str">
        <f>IFERROR(__xludf.DUMMYFUNCTION("""COMPUTED_VALUE"""),"товари")</f>
        <v>товари</v>
      </c>
      <c r="B206" s="16" t="str">
        <f>IFERROR(__xludf.DUMMYFUNCTION("""COMPUTED_VALUE"""),"авто-, мото")</f>
        <v>авто-, мото</v>
      </c>
      <c r="C206" s="16" t="str">
        <f>IFERROR(__xludf.DUMMYFUNCTION("""COMPUTED_VALUE"""),"додаткове обладнання")</f>
        <v>додаткове обладнання</v>
      </c>
      <c r="D206" s="16" t="str">
        <f>IFERROR(__xludf.DUMMYFUNCTION("""COMPUTED_VALUE"""),"додаткове обладнання, загальне")</f>
        <v>додаткове обладнання, загальне</v>
      </c>
      <c r="E206" s="16" t="str">
        <f>IFERROR(__xludf.DUMMYFUNCTION("""COMPUTED_VALUE"""),"додаткове обладнання, загальне")</f>
        <v>додаткове обладнання, загальне</v>
      </c>
      <c r="F206" s="17">
        <f>IFERROR(__xludf.DUMMYFUNCTION("""COMPUTED_VALUE"""),3.0)</f>
        <v>3</v>
      </c>
      <c r="G206" s="17" t="str">
        <f>IFERROR(__xludf.DUMMYFUNCTION("""COMPUTED_VALUE"""),"342601")</f>
        <v>342601</v>
      </c>
      <c r="H206" s="17" t="str">
        <f>IFERROR(__xludf.DUMMYFUNCTION("""COMPUTED_VALUE"""),"додаткове обладнання, загальне")</f>
        <v>додаткове обладнання, загальне</v>
      </c>
      <c r="I206" s="19">
        <f>IFERROR(__xludf.DUMMYFUNCTION("""COMPUTED_VALUE"""),0.125)</f>
        <v>0.125</v>
      </c>
      <c r="J206" s="19">
        <f>IFERROR(__xludf.DUMMYFUNCTION("""COMPUTED_VALUE"""),0.25)</f>
        <v>0.25</v>
      </c>
      <c r="K206" s="19">
        <f>IFERROR(__xludf.DUMMYFUNCTION("""COMPUTED_VALUE"""),0.3125)</f>
        <v>0.3125</v>
      </c>
      <c r="L206" s="19">
        <f>IFERROR(__xludf.DUMMYFUNCTION("""COMPUTED_VALUE"""),0.375)</f>
        <v>0.375</v>
      </c>
      <c r="M206" s="18">
        <f>IFERROR(__xludf.DUMMYFUNCTION("""COMPUTED_VALUE"""),4.33)</f>
        <v>4.33</v>
      </c>
    </row>
    <row r="207">
      <c r="A207" s="13" t="str">
        <f>IFERROR(__xludf.DUMMYFUNCTION("""COMPUTED_VALUE"""),"товари")</f>
        <v>товари</v>
      </c>
      <c r="B207" s="16" t="str">
        <f>IFERROR(__xludf.DUMMYFUNCTION("""COMPUTED_VALUE"""),"авто-, мото")</f>
        <v>авто-, мото</v>
      </c>
      <c r="C207" s="16" t="str">
        <f>IFERROR(__xludf.DUMMYFUNCTION("""COMPUTED_VALUE"""),"автозапчастини")</f>
        <v>автозапчастини</v>
      </c>
      <c r="D207" s="16" t="str">
        <f>IFERROR(__xludf.DUMMYFUNCTION("""COMPUTED_VALUE"""),"світлові прилади транспорту")</f>
        <v>світлові прилади транспорту</v>
      </c>
      <c r="E207" s="16" t="str">
        <f>IFERROR(__xludf.DUMMYFUNCTION("""COMPUTED_VALUE"""),"додаткові, протитуманні фари")</f>
        <v>додаткові, протитуманні фари</v>
      </c>
      <c r="F207" s="17">
        <f>IFERROR(__xludf.DUMMYFUNCTION("""COMPUTED_VALUE"""),4.0)</f>
        <v>4</v>
      </c>
      <c r="G207" s="17" t="str">
        <f>IFERROR(__xludf.DUMMYFUNCTION("""COMPUTED_VALUE"""),"12020603")</f>
        <v>12020603</v>
      </c>
      <c r="H207" s="17" t="str">
        <f>IFERROR(__xludf.DUMMYFUNCTION("""COMPUTED_VALUE"""),"додаткові, протитуманні фари")</f>
        <v>додаткові, протитуманні фари</v>
      </c>
      <c r="I207" s="19">
        <f>IFERROR(__xludf.DUMMYFUNCTION("""COMPUTED_VALUE"""),0.0735)</f>
        <v>0.0735</v>
      </c>
      <c r="J207" s="19">
        <f>IFERROR(__xludf.DUMMYFUNCTION("""COMPUTED_VALUE"""),0.1469)</f>
        <v>0.1469</v>
      </c>
      <c r="K207" s="19">
        <f>IFERROR(__xludf.DUMMYFUNCTION("""COMPUTED_VALUE"""),0.1836)</f>
        <v>0.1836</v>
      </c>
      <c r="L207" s="19">
        <f>IFERROR(__xludf.DUMMYFUNCTION("""COMPUTED_VALUE"""),0.2204)</f>
        <v>0.2204</v>
      </c>
      <c r="M207" s="18">
        <f>IFERROR(__xludf.DUMMYFUNCTION("""COMPUTED_VALUE"""),2.16)</f>
        <v>2.16</v>
      </c>
    </row>
    <row r="208">
      <c r="A208" s="13" t="str">
        <f>IFERROR(__xludf.DUMMYFUNCTION("""COMPUTED_VALUE"""),"товари")</f>
        <v>товари</v>
      </c>
      <c r="B208" s="16" t="str">
        <f>IFERROR(__xludf.DUMMYFUNCTION("""COMPUTED_VALUE"""),"авто-, мото")</f>
        <v>авто-, мото</v>
      </c>
      <c r="C208" s="16" t="str">
        <f>IFERROR(__xludf.DUMMYFUNCTION("""COMPUTED_VALUE"""),"автозапчастини")</f>
        <v>автозапчастини</v>
      </c>
      <c r="D208" s="16" t="str">
        <f>IFERROR(__xludf.DUMMYFUNCTION("""COMPUTED_VALUE"""),"система живлення двигуна")</f>
        <v>система живлення двигуна</v>
      </c>
      <c r="E208" s="16" t="str">
        <f>IFERROR(__xludf.DUMMYFUNCTION("""COMPUTED_VALUE"""),"дросельні заслінки")</f>
        <v>дросельні заслінки</v>
      </c>
      <c r="F208" s="17">
        <f>IFERROR(__xludf.DUMMYFUNCTION("""COMPUTED_VALUE"""),4.0)</f>
        <v>4</v>
      </c>
      <c r="G208" s="17" t="str">
        <f>IFERROR(__xludf.DUMMYFUNCTION("""COMPUTED_VALUE"""),"12020428")</f>
        <v>12020428</v>
      </c>
      <c r="H208" s="17" t="str">
        <f>IFERROR(__xludf.DUMMYFUNCTION("""COMPUTED_VALUE"""),"дросельні заслінки")</f>
        <v>дросельні заслінки</v>
      </c>
      <c r="I208" s="19">
        <f>IFERROR(__xludf.DUMMYFUNCTION("""COMPUTED_VALUE"""),0.0514)</f>
        <v>0.0514</v>
      </c>
      <c r="J208" s="19">
        <f>IFERROR(__xludf.DUMMYFUNCTION("""COMPUTED_VALUE"""),0.1027)</f>
        <v>0.1027</v>
      </c>
      <c r="K208" s="19">
        <f>IFERROR(__xludf.DUMMYFUNCTION("""COMPUTED_VALUE"""),0.1284)</f>
        <v>0.1284</v>
      </c>
      <c r="L208" s="19">
        <f>IFERROR(__xludf.DUMMYFUNCTION("""COMPUTED_VALUE"""),0.1541)</f>
        <v>0.1541</v>
      </c>
      <c r="M208" s="18">
        <f>IFERROR(__xludf.DUMMYFUNCTION("""COMPUTED_VALUE"""),1.53)</f>
        <v>1.53</v>
      </c>
    </row>
    <row r="209">
      <c r="A209" s="13" t="str">
        <f>IFERROR(__xludf.DUMMYFUNCTION("""COMPUTED_VALUE"""),"товари")</f>
        <v>товари</v>
      </c>
      <c r="B209" s="16" t="str">
        <f>IFERROR(__xludf.DUMMYFUNCTION("""COMPUTED_VALUE"""),"авто-, мото")</f>
        <v>авто-, мото</v>
      </c>
      <c r="C209" s="16" t="str">
        <f>IFERROR(__xludf.DUMMYFUNCTION("""COMPUTED_VALUE"""),"аксесуари для авто")</f>
        <v>аксесуари для авто</v>
      </c>
      <c r="D209" s="16" t="str">
        <f>IFERROR(__xludf.DUMMYFUNCTION("""COMPUTED_VALUE"""),"засоби аварійної безпеки")</f>
        <v>засоби аварійної безпеки</v>
      </c>
      <c r="E209" s="16" t="str">
        <f>IFERROR(__xludf.DUMMYFUNCTION("""COMPUTED_VALUE"""),"дроти прикурювання")</f>
        <v>дроти прикурювання</v>
      </c>
      <c r="F209" s="17">
        <f>IFERROR(__xludf.DUMMYFUNCTION("""COMPUTED_VALUE"""),4.0)</f>
        <v>4</v>
      </c>
      <c r="G209" s="17" t="str">
        <f>IFERROR(__xludf.DUMMYFUNCTION("""COMPUTED_VALUE"""),"121265")</f>
        <v>121265</v>
      </c>
      <c r="H209" s="17" t="str">
        <f>IFERROR(__xludf.DUMMYFUNCTION("""COMPUTED_VALUE"""),"дроти прикурювання")</f>
        <v>дроти прикурювання</v>
      </c>
      <c r="I209" s="19">
        <f>IFERROR(__xludf.DUMMYFUNCTION("""COMPUTED_VALUE"""),0.0754)</f>
        <v>0.0754</v>
      </c>
      <c r="J209" s="19">
        <f>IFERROR(__xludf.DUMMYFUNCTION("""COMPUTED_VALUE"""),0.1508)</f>
        <v>0.1508</v>
      </c>
      <c r="K209" s="19">
        <f>IFERROR(__xludf.DUMMYFUNCTION("""COMPUTED_VALUE"""),0.1885)</f>
        <v>0.1885</v>
      </c>
      <c r="L209" s="19">
        <f>IFERROR(__xludf.DUMMYFUNCTION("""COMPUTED_VALUE"""),0.2262)</f>
        <v>0.2262</v>
      </c>
      <c r="M209" s="18">
        <f>IFERROR(__xludf.DUMMYFUNCTION("""COMPUTED_VALUE"""),1.71)</f>
        <v>1.71</v>
      </c>
    </row>
    <row r="210">
      <c r="A210" s="13" t="str">
        <f>IFERROR(__xludf.DUMMYFUNCTION("""COMPUTED_VALUE"""),"товари")</f>
        <v>товари</v>
      </c>
      <c r="B210" s="16" t="str">
        <f>IFERROR(__xludf.DUMMYFUNCTION("""COMPUTED_VALUE"""),"авто-, мото")</f>
        <v>авто-, мото</v>
      </c>
      <c r="C210" s="16" t="str">
        <f>IFERROR(__xludf.DUMMYFUNCTION("""COMPUTED_VALUE"""),"аксесуари для авто")</f>
        <v>аксесуари для авто</v>
      </c>
      <c r="D210" s="16" t="str">
        <f>IFERROR(__xludf.DUMMYFUNCTION("""COMPUTED_VALUE"""),"аксесуари для автотюнингу")</f>
        <v>аксесуари для автотюнингу</v>
      </c>
      <c r="E210" s="16" t="str">
        <f>IFERROR(__xludf.DUMMYFUNCTION("""COMPUTED_VALUE"""),"еквалайзери на скло")</f>
        <v>еквалайзери на скло</v>
      </c>
      <c r="F210" s="17">
        <f>IFERROR(__xludf.DUMMYFUNCTION("""COMPUTED_VALUE"""),4.0)</f>
        <v>4</v>
      </c>
      <c r="G210" s="17" t="str">
        <f>IFERROR(__xludf.DUMMYFUNCTION("""COMPUTED_VALUE"""),"12123210")</f>
        <v>12123210</v>
      </c>
      <c r="H210" s="17" t="str">
        <f>IFERROR(__xludf.DUMMYFUNCTION("""COMPUTED_VALUE"""),"еквалайзери на скло")</f>
        <v>еквалайзери на скло</v>
      </c>
      <c r="I210" s="19">
        <f>IFERROR(__xludf.DUMMYFUNCTION("""COMPUTED_VALUE"""),0.0719)</f>
        <v>0.0719</v>
      </c>
      <c r="J210" s="19">
        <f>IFERROR(__xludf.DUMMYFUNCTION("""COMPUTED_VALUE"""),0.1438)</f>
        <v>0.1438</v>
      </c>
      <c r="K210" s="19">
        <f>IFERROR(__xludf.DUMMYFUNCTION("""COMPUTED_VALUE"""),0.1798)</f>
        <v>0.1798</v>
      </c>
      <c r="L210" s="19">
        <f>IFERROR(__xludf.DUMMYFUNCTION("""COMPUTED_VALUE"""),0.2157)</f>
        <v>0.2157</v>
      </c>
      <c r="M210" s="18">
        <f>IFERROR(__xludf.DUMMYFUNCTION("""COMPUTED_VALUE"""),1.53)</f>
        <v>1.53</v>
      </c>
    </row>
    <row r="211">
      <c r="A211" s="13" t="str">
        <f>IFERROR(__xludf.DUMMYFUNCTION("""COMPUTED_VALUE"""),"товари")</f>
        <v>товари</v>
      </c>
      <c r="B211" s="16" t="str">
        <f>IFERROR(__xludf.DUMMYFUNCTION("""COMPUTED_VALUE"""),"авто-, мото")</f>
        <v>авто-, мото</v>
      </c>
      <c r="C211" s="16" t="str">
        <f>IFERROR(__xludf.DUMMYFUNCTION("""COMPUTED_VALUE"""),"електромобільні зарядні пристрої та станції")</f>
        <v>електромобільні зарядні пристрої та станції</v>
      </c>
      <c r="D211" s="16" t="str">
        <f>IFERROR(__xludf.DUMMYFUNCTION("""COMPUTED_VALUE"""),"електромобільні зарядні пристрої та станції")</f>
        <v>електромобільні зарядні пристрої та станції</v>
      </c>
      <c r="E211" s="16" t="str">
        <f>IFERROR(__xludf.DUMMYFUNCTION("""COMPUTED_VALUE"""),"електромобільні зарядні пристрої та станції")</f>
        <v>електромобільні зарядні пристрої та станції</v>
      </c>
      <c r="F211" s="17">
        <f>IFERROR(__xludf.DUMMYFUNCTION("""COMPUTED_VALUE"""),2.0)</f>
        <v>2</v>
      </c>
      <c r="G211" s="17" t="str">
        <f>IFERROR(__xludf.DUMMYFUNCTION("""COMPUTED_VALUE"""),"5505")</f>
        <v>5505</v>
      </c>
      <c r="H211" s="17" t="str">
        <f>IFERROR(__xludf.DUMMYFUNCTION("""COMPUTED_VALUE"""),"електромобільні зарядні пристрої та станції")</f>
        <v>електромобільні зарядні пристрої та станції</v>
      </c>
      <c r="I211" s="19">
        <f>IFERROR(__xludf.DUMMYFUNCTION("""COMPUTED_VALUE"""),0.0611)</f>
        <v>0.0611</v>
      </c>
      <c r="J211" s="19">
        <f>IFERROR(__xludf.DUMMYFUNCTION("""COMPUTED_VALUE"""),0.1221)</f>
        <v>0.1221</v>
      </c>
      <c r="K211" s="19">
        <f>IFERROR(__xludf.DUMMYFUNCTION("""COMPUTED_VALUE"""),0.1526)</f>
        <v>0.1526</v>
      </c>
      <c r="L211" s="19">
        <f>IFERROR(__xludf.DUMMYFUNCTION("""COMPUTED_VALUE"""),0.1832)</f>
        <v>0.1832</v>
      </c>
      <c r="M211" s="18">
        <f>IFERROR(__xludf.DUMMYFUNCTION("""COMPUTED_VALUE"""),3.06)</f>
        <v>3.06</v>
      </c>
    </row>
    <row r="212">
      <c r="A212" s="13" t="str">
        <f>IFERROR(__xludf.DUMMYFUNCTION("""COMPUTED_VALUE"""),"товари")</f>
        <v>товари</v>
      </c>
      <c r="B212" s="16" t="str">
        <f>IFERROR(__xludf.DUMMYFUNCTION("""COMPUTED_VALUE"""),"авто-, мото")</f>
        <v>авто-, мото</v>
      </c>
      <c r="C212" s="16" t="str">
        <f>IFERROR(__xludf.DUMMYFUNCTION("""COMPUTED_VALUE"""),"електрообладнання автомобілів")</f>
        <v>електрообладнання автомобілів</v>
      </c>
      <c r="D212" s="16" t="str">
        <f>IFERROR(__xludf.DUMMYFUNCTION("""COMPUTED_VALUE"""),"електрообладнання автомобілів, загальне")</f>
        <v>електрообладнання автомобілів, загальне</v>
      </c>
      <c r="E212" s="16" t="str">
        <f>IFERROR(__xludf.DUMMYFUNCTION("""COMPUTED_VALUE"""),"електрообладнання автомобілів, загальне")</f>
        <v>електрообладнання автомобілів, загальне</v>
      </c>
      <c r="F212" s="17">
        <f>IFERROR(__xludf.DUMMYFUNCTION("""COMPUTED_VALUE"""),3.0)</f>
        <v>3</v>
      </c>
      <c r="G212" s="17" t="str">
        <f>IFERROR(__xludf.DUMMYFUNCTION("""COMPUTED_VALUE"""),"12020399")</f>
        <v>12020399</v>
      </c>
      <c r="H212" s="17" t="str">
        <f>IFERROR(__xludf.DUMMYFUNCTION("""COMPUTED_VALUE"""),"електрообладнання автомобілів, загальне")</f>
        <v>електрообладнання автомобілів, загальне</v>
      </c>
      <c r="I212" s="19">
        <f>IFERROR(__xludf.DUMMYFUNCTION("""COMPUTED_VALUE"""),0.125)</f>
        <v>0.125</v>
      </c>
      <c r="J212" s="19">
        <f>IFERROR(__xludf.DUMMYFUNCTION("""COMPUTED_VALUE"""),0.25)</f>
        <v>0.25</v>
      </c>
      <c r="K212" s="19">
        <f>IFERROR(__xludf.DUMMYFUNCTION("""COMPUTED_VALUE"""),0.3125)</f>
        <v>0.3125</v>
      </c>
      <c r="L212" s="19">
        <f>IFERROR(__xludf.DUMMYFUNCTION("""COMPUTED_VALUE"""),0.375)</f>
        <v>0.375</v>
      </c>
      <c r="M212" s="18">
        <f>IFERROR(__xludf.DUMMYFUNCTION("""COMPUTED_VALUE"""),4.33)</f>
        <v>4.33</v>
      </c>
    </row>
    <row r="213">
      <c r="A213" s="13" t="str">
        <f>IFERROR(__xludf.DUMMYFUNCTION("""COMPUTED_VALUE"""),"товари")</f>
        <v>товари</v>
      </c>
      <c r="B213" s="16" t="str">
        <f>IFERROR(__xludf.DUMMYFUNCTION("""COMPUTED_VALUE"""),"авто-, мото")</f>
        <v>авто-, мото</v>
      </c>
      <c r="C213" s="16" t="str">
        <f>IFERROR(__xludf.DUMMYFUNCTION("""COMPUTED_VALUE"""),"мототехніка")</f>
        <v>мототехніка</v>
      </c>
      <c r="D213" s="16" t="str">
        <f>IFERROR(__xludf.DUMMYFUNCTION("""COMPUTED_VALUE"""),"запчастини для мототехніки")</f>
        <v>запчастини для мототехніки</v>
      </c>
      <c r="E213" s="16" t="str">
        <f>IFERROR(__xludf.DUMMYFUNCTION("""COMPUTED_VALUE"""),"електрообладнання для мототехніки")</f>
        <v>електрообладнання для мототехніки</v>
      </c>
      <c r="F213" s="17">
        <f>IFERROR(__xludf.DUMMYFUNCTION("""COMPUTED_VALUE"""),4.0)</f>
        <v>4</v>
      </c>
      <c r="G213" s="17" t="str">
        <f>IFERROR(__xludf.DUMMYFUNCTION("""COMPUTED_VALUE"""),"340609")</f>
        <v>340609</v>
      </c>
      <c r="H213" s="17" t="str">
        <f>IFERROR(__xludf.DUMMYFUNCTION("""COMPUTED_VALUE"""),"електрообладнання для мототехніки")</f>
        <v>електрообладнання для мототехніки</v>
      </c>
      <c r="I213" s="19">
        <f>IFERROR(__xludf.DUMMYFUNCTION("""COMPUTED_VALUE"""),0.0724)</f>
        <v>0.0724</v>
      </c>
      <c r="J213" s="19">
        <f>IFERROR(__xludf.DUMMYFUNCTION("""COMPUTED_VALUE"""),0.1448)</f>
        <v>0.1448</v>
      </c>
      <c r="K213" s="19">
        <f>IFERROR(__xludf.DUMMYFUNCTION("""COMPUTED_VALUE"""),0.181)</f>
        <v>0.181</v>
      </c>
      <c r="L213" s="19">
        <f>IFERROR(__xludf.DUMMYFUNCTION("""COMPUTED_VALUE"""),0.2172)</f>
        <v>0.2172</v>
      </c>
      <c r="M213" s="18">
        <f>IFERROR(__xludf.DUMMYFUNCTION("""COMPUTED_VALUE"""),1.98)</f>
        <v>1.98</v>
      </c>
    </row>
    <row r="214">
      <c r="A214" s="13" t="str">
        <f>IFERROR(__xludf.DUMMYFUNCTION("""COMPUTED_VALUE"""),"товари")</f>
        <v>товари</v>
      </c>
      <c r="B214" s="16" t="str">
        <f>IFERROR(__xludf.DUMMYFUNCTION("""COMPUTED_VALUE"""),"авто-, мото")</f>
        <v>авто-, мото</v>
      </c>
      <c r="C214" s="16" t="str">
        <f>IFERROR(__xludf.DUMMYFUNCTION("""COMPUTED_VALUE"""),"мототехніка")</f>
        <v>мототехніка</v>
      </c>
      <c r="D214" s="16" t="str">
        <f>IFERROR(__xludf.DUMMYFUNCTION("""COMPUTED_VALUE"""),"електроскутери, електромотоцикли")</f>
        <v>електроскутери, електромотоцикли</v>
      </c>
      <c r="E214" s="16" t="str">
        <f>IFERROR(__xludf.DUMMYFUNCTION("""COMPUTED_VALUE"""),"електроскутери, електромотоцикли")</f>
        <v>електроскутери, електромотоцикли</v>
      </c>
      <c r="F214" s="17">
        <f>IFERROR(__xludf.DUMMYFUNCTION("""COMPUTED_VALUE"""),3.0)</f>
        <v>3</v>
      </c>
      <c r="G214" s="17">
        <f>IFERROR(__xludf.DUMMYFUNCTION("""COMPUTED_VALUE"""),3405.0)</f>
        <v>3405</v>
      </c>
      <c r="H214" s="17" t="str">
        <f>IFERROR(__xludf.DUMMYFUNCTION("""COMPUTED_VALUE"""),"електроскутери, електромотоцикли")</f>
        <v>електроскутери, електромотоцикли</v>
      </c>
      <c r="I214" s="19">
        <f>IFERROR(__xludf.DUMMYFUNCTION("""COMPUTED_VALUE"""),0.0481)</f>
        <v>0.0481</v>
      </c>
      <c r="J214" s="19">
        <f>IFERROR(__xludf.DUMMYFUNCTION("""COMPUTED_VALUE"""),0.0961)</f>
        <v>0.0961</v>
      </c>
      <c r="K214" s="19">
        <f>IFERROR(__xludf.DUMMYFUNCTION("""COMPUTED_VALUE"""),0.1201)</f>
        <v>0.1201</v>
      </c>
      <c r="L214" s="19">
        <f>IFERROR(__xludf.DUMMYFUNCTION("""COMPUTED_VALUE"""),0.1442)</f>
        <v>0.1442</v>
      </c>
      <c r="M214" s="18">
        <f>IFERROR(__xludf.DUMMYFUNCTION("""COMPUTED_VALUE"""),1.53)</f>
        <v>1.53</v>
      </c>
    </row>
    <row r="215">
      <c r="A215" s="13" t="str">
        <f>IFERROR(__xludf.DUMMYFUNCTION("""COMPUTED_VALUE"""),"товари")</f>
        <v>товари</v>
      </c>
      <c r="B215" s="16" t="str">
        <f>IFERROR(__xludf.DUMMYFUNCTION("""COMPUTED_VALUE"""),"авто-, мото")</f>
        <v>авто-, мото</v>
      </c>
      <c r="C215" s="16" t="str">
        <f>IFERROR(__xludf.DUMMYFUNCTION("""COMPUTED_VALUE"""),"автозапчастини")</f>
        <v>автозапчастини</v>
      </c>
      <c r="D215" s="16" t="str">
        <f>IFERROR(__xludf.DUMMYFUNCTION("""COMPUTED_VALUE"""),"запчастини гальмівної системи")</f>
        <v>запчастини гальмівної системи</v>
      </c>
      <c r="E215" s="16" t="str">
        <f>IFERROR(__xludf.DUMMYFUNCTION("""COMPUTED_VALUE"""),"елементи гальмівної системи, загальне")</f>
        <v>елементи гальмівної системи, загальне</v>
      </c>
      <c r="F215" s="17">
        <f>IFERROR(__xludf.DUMMYFUNCTION("""COMPUTED_VALUE"""),4.0)</f>
        <v>4</v>
      </c>
      <c r="G215" s="17" t="str">
        <f>IFERROR(__xludf.DUMMYFUNCTION("""COMPUTED_VALUE"""),"120202")</f>
        <v>120202</v>
      </c>
      <c r="H215" s="17" t="str">
        <f>IFERROR(__xludf.DUMMYFUNCTION("""COMPUTED_VALUE"""),"елементи гальмівної системи, загальне")</f>
        <v>елементи гальмівної системи, загальне</v>
      </c>
      <c r="I215" s="19">
        <f>IFERROR(__xludf.DUMMYFUNCTION("""COMPUTED_VALUE"""),0.125)</f>
        <v>0.125</v>
      </c>
      <c r="J215" s="19">
        <f>IFERROR(__xludf.DUMMYFUNCTION("""COMPUTED_VALUE"""),0.25)</f>
        <v>0.25</v>
      </c>
      <c r="K215" s="19">
        <f>IFERROR(__xludf.DUMMYFUNCTION("""COMPUTED_VALUE"""),0.3125)</f>
        <v>0.3125</v>
      </c>
      <c r="L215" s="19">
        <f>IFERROR(__xludf.DUMMYFUNCTION("""COMPUTED_VALUE"""),0.375)</f>
        <v>0.375</v>
      </c>
      <c r="M215" s="18">
        <f>IFERROR(__xludf.DUMMYFUNCTION("""COMPUTED_VALUE"""),4.33)</f>
        <v>4.33</v>
      </c>
    </row>
    <row r="216">
      <c r="A216" s="13" t="str">
        <f>IFERROR(__xludf.DUMMYFUNCTION("""COMPUTED_VALUE"""),"товари")</f>
        <v>товари</v>
      </c>
      <c r="B216" s="16" t="str">
        <f>IFERROR(__xludf.DUMMYFUNCTION("""COMPUTED_VALUE"""),"авто-, мото")</f>
        <v>авто-, мото</v>
      </c>
      <c r="C216" s="16" t="str">
        <f>IFERROR(__xludf.DUMMYFUNCTION("""COMPUTED_VALUE"""),"мототехніка")</f>
        <v>мототехніка</v>
      </c>
      <c r="D216" s="16" t="str">
        <f>IFERROR(__xludf.DUMMYFUNCTION("""COMPUTED_VALUE"""),"запчастини для мототехніки")</f>
        <v>запчастини для мототехніки</v>
      </c>
      <c r="E216" s="16" t="str">
        <f>IFERROR(__xludf.DUMMYFUNCTION("""COMPUTED_VALUE"""),"елементи зчеплення для мототехніки")</f>
        <v>елементи зчеплення для мототехніки</v>
      </c>
      <c r="F216" s="17">
        <f>IFERROR(__xludf.DUMMYFUNCTION("""COMPUTED_VALUE"""),4.0)</f>
        <v>4</v>
      </c>
      <c r="G216" s="17" t="str">
        <f>IFERROR(__xludf.DUMMYFUNCTION("""COMPUTED_VALUE"""),"340606")</f>
        <v>340606</v>
      </c>
      <c r="H216" s="17" t="str">
        <f>IFERROR(__xludf.DUMMYFUNCTION("""COMPUTED_VALUE"""),"елементи зчеплення для мототехніки")</f>
        <v>елементи зчеплення для мототехніки</v>
      </c>
      <c r="I216" s="19">
        <f>IFERROR(__xludf.DUMMYFUNCTION("""COMPUTED_VALUE"""),0.0752)</f>
        <v>0.0752</v>
      </c>
      <c r="J216" s="19">
        <f>IFERROR(__xludf.DUMMYFUNCTION("""COMPUTED_VALUE"""),0.1504)</f>
        <v>0.1504</v>
      </c>
      <c r="K216" s="19">
        <f>IFERROR(__xludf.DUMMYFUNCTION("""COMPUTED_VALUE"""),0.188)</f>
        <v>0.188</v>
      </c>
      <c r="L216" s="19">
        <f>IFERROR(__xludf.DUMMYFUNCTION("""COMPUTED_VALUE"""),0.2256)</f>
        <v>0.2256</v>
      </c>
      <c r="M216" s="18">
        <f>IFERROR(__xludf.DUMMYFUNCTION("""COMPUTED_VALUE"""),1.98)</f>
        <v>1.98</v>
      </c>
    </row>
    <row r="217">
      <c r="A217" s="13" t="str">
        <f>IFERROR(__xludf.DUMMYFUNCTION("""COMPUTED_VALUE"""),"товари")</f>
        <v>товари</v>
      </c>
      <c r="B217" s="16" t="str">
        <f>IFERROR(__xludf.DUMMYFUNCTION("""COMPUTED_VALUE"""),"авто-, мото")</f>
        <v>авто-, мото</v>
      </c>
      <c r="C217" s="16" t="str">
        <f>IFERROR(__xludf.DUMMYFUNCTION("""COMPUTED_VALUE"""),"автозапчастини")</f>
        <v>автозапчастини</v>
      </c>
      <c r="D217" s="16" t="str">
        <f>IFERROR(__xludf.DUMMYFUNCTION("""COMPUTED_VALUE"""),"деталі трансмісії транспорту")</f>
        <v>деталі трансмісії транспорту</v>
      </c>
      <c r="E217" s="16" t="str">
        <f>IFERROR(__xludf.DUMMYFUNCTION("""COMPUTED_VALUE"""),"елементи механізму зчеплення")</f>
        <v>елементи механізму зчеплення</v>
      </c>
      <c r="F217" s="17">
        <f>IFERROR(__xludf.DUMMYFUNCTION("""COMPUTED_VALUE"""),4.0)</f>
        <v>4</v>
      </c>
      <c r="G217" s="17" t="str">
        <f>IFERROR(__xludf.DUMMYFUNCTION("""COMPUTED_VALUE"""),"120213")</f>
        <v>120213</v>
      </c>
      <c r="H217" s="17" t="str">
        <f>IFERROR(__xludf.DUMMYFUNCTION("""COMPUTED_VALUE"""),"елементи механізму зчеплення")</f>
        <v>елементи механізму зчеплення</v>
      </c>
      <c r="I217" s="19">
        <f>IFERROR(__xludf.DUMMYFUNCTION("""COMPUTED_VALUE"""),0.0571)</f>
        <v>0.0571</v>
      </c>
      <c r="J217" s="19">
        <f>IFERROR(__xludf.DUMMYFUNCTION("""COMPUTED_VALUE"""),0.1141)</f>
        <v>0.1141</v>
      </c>
      <c r="K217" s="19">
        <f>IFERROR(__xludf.DUMMYFUNCTION("""COMPUTED_VALUE"""),0.1426)</f>
        <v>0.1426</v>
      </c>
      <c r="L217" s="19">
        <f>IFERROR(__xludf.DUMMYFUNCTION("""COMPUTED_VALUE"""),0.1712)</f>
        <v>0.1712</v>
      </c>
      <c r="M217" s="18">
        <f>IFERROR(__xludf.DUMMYFUNCTION("""COMPUTED_VALUE"""),1.53)</f>
        <v>1.53</v>
      </c>
    </row>
    <row r="218">
      <c r="A218" s="13" t="str">
        <f>IFERROR(__xludf.DUMMYFUNCTION("""COMPUTED_VALUE"""),"товари")</f>
        <v>товари</v>
      </c>
      <c r="B218" s="16" t="str">
        <f>IFERROR(__xludf.DUMMYFUNCTION("""COMPUTED_VALUE"""),"авто-, мото")</f>
        <v>авто-, мото</v>
      </c>
      <c r="C218" s="16" t="str">
        <f>IFERROR(__xludf.DUMMYFUNCTION("""COMPUTED_VALUE"""),"автомобільна електроніка")</f>
        <v>автомобільна електроніка</v>
      </c>
      <c r="D218" s="16" t="str">
        <f>IFERROR(__xludf.DUMMYFUNCTION("""COMPUTED_VALUE"""),"автозвук")</f>
        <v>автозвук</v>
      </c>
      <c r="E218" s="16" t="str">
        <f>IFERROR(__xludf.DUMMYFUNCTION("""COMPUTED_VALUE"""),"емулятори чейнджера")</f>
        <v>емулятори чейнджера</v>
      </c>
      <c r="F218" s="17">
        <f>IFERROR(__xludf.DUMMYFUNCTION("""COMPUTED_VALUE"""),4.0)</f>
        <v>4</v>
      </c>
      <c r="G218" s="17" t="str">
        <f>IFERROR(__xludf.DUMMYFUNCTION("""COMPUTED_VALUE"""),"340424")</f>
        <v>340424</v>
      </c>
      <c r="H218" s="17" t="str">
        <f>IFERROR(__xludf.DUMMYFUNCTION("""COMPUTED_VALUE"""),"емулятори чейнджера")</f>
        <v>емулятори чейнджера</v>
      </c>
      <c r="I218" s="19">
        <f>IFERROR(__xludf.DUMMYFUNCTION("""COMPUTED_VALUE"""),0.066)</f>
        <v>0.066</v>
      </c>
      <c r="J218" s="19">
        <f>IFERROR(__xludf.DUMMYFUNCTION("""COMPUTED_VALUE"""),0.132)</f>
        <v>0.132</v>
      </c>
      <c r="K218" s="19">
        <f>IFERROR(__xludf.DUMMYFUNCTION("""COMPUTED_VALUE"""),0.165)</f>
        <v>0.165</v>
      </c>
      <c r="L218" s="19">
        <f>IFERROR(__xludf.DUMMYFUNCTION("""COMPUTED_VALUE"""),0.198)</f>
        <v>0.198</v>
      </c>
      <c r="M218" s="18">
        <f>IFERROR(__xludf.DUMMYFUNCTION("""COMPUTED_VALUE"""),2.79)</f>
        <v>2.79</v>
      </c>
    </row>
    <row r="219">
      <c r="A219" s="13" t="str">
        <f>IFERROR(__xludf.DUMMYFUNCTION("""COMPUTED_VALUE"""),"товари")</f>
        <v>товари</v>
      </c>
      <c r="B219" s="16" t="str">
        <f>IFERROR(__xludf.DUMMYFUNCTION("""COMPUTED_VALUE"""),"авто-, мото")</f>
        <v>авто-, мото</v>
      </c>
      <c r="C219" s="16" t="str">
        <f>IFERROR(__xludf.DUMMYFUNCTION("""COMPUTED_VALUE"""),"автозапчастини")</f>
        <v>автозапчастини</v>
      </c>
      <c r="D219" s="16" t="str">
        <f>IFERROR(__xludf.DUMMYFUNCTION("""COMPUTED_VALUE"""),"світлові прилади транспорту")</f>
        <v>світлові прилади транспорту</v>
      </c>
      <c r="E219" s="16" t="str">
        <f>IFERROR(__xludf.DUMMYFUNCTION("""COMPUTED_VALUE"""),"задні ліхтарі, ліхтарі видимості")</f>
        <v>задні ліхтарі, ліхтарі видимості</v>
      </c>
      <c r="F219" s="17">
        <f>IFERROR(__xludf.DUMMYFUNCTION("""COMPUTED_VALUE"""),4.0)</f>
        <v>4</v>
      </c>
      <c r="G219" s="17" t="str">
        <f>IFERROR(__xludf.DUMMYFUNCTION("""COMPUTED_VALUE"""),"12020602")</f>
        <v>12020602</v>
      </c>
      <c r="H219" s="17" t="str">
        <f>IFERROR(__xludf.DUMMYFUNCTION("""COMPUTED_VALUE"""),"задні ліхтарі, ліхтарі видимості")</f>
        <v>задні ліхтарі, ліхтарі видимості</v>
      </c>
      <c r="I219" s="19">
        <f>IFERROR(__xludf.DUMMYFUNCTION("""COMPUTED_VALUE"""),0.0731)</f>
        <v>0.0731</v>
      </c>
      <c r="J219" s="19">
        <f>IFERROR(__xludf.DUMMYFUNCTION("""COMPUTED_VALUE"""),0.1462)</f>
        <v>0.1462</v>
      </c>
      <c r="K219" s="19">
        <f>IFERROR(__xludf.DUMMYFUNCTION("""COMPUTED_VALUE"""),0.1828)</f>
        <v>0.1828</v>
      </c>
      <c r="L219" s="19">
        <f>IFERROR(__xludf.DUMMYFUNCTION("""COMPUTED_VALUE"""),0.2193)</f>
        <v>0.2193</v>
      </c>
      <c r="M219" s="18">
        <f>IFERROR(__xludf.DUMMYFUNCTION("""COMPUTED_VALUE"""),2.16)</f>
        <v>2.16</v>
      </c>
    </row>
    <row r="220">
      <c r="A220" s="13" t="str">
        <f>IFERROR(__xludf.DUMMYFUNCTION("""COMPUTED_VALUE"""),"товари")</f>
        <v>товари</v>
      </c>
      <c r="B220" s="16" t="str">
        <f>IFERROR(__xludf.DUMMYFUNCTION("""COMPUTED_VALUE"""),"авто-, мото")</f>
        <v>авто-, мото</v>
      </c>
      <c r="C220" s="16" t="str">
        <f>IFERROR(__xludf.DUMMYFUNCTION("""COMPUTED_VALUE"""),"автозапчастини")</f>
        <v>автозапчастини</v>
      </c>
      <c r="D220" s="16" t="str">
        <f>IFERROR(__xludf.DUMMYFUNCTION("""COMPUTED_VALUE"""),"кузовні запчастини")</f>
        <v>кузовні запчастини</v>
      </c>
      <c r="E220" s="16" t="str">
        <f>IFERROR(__xludf.DUMMYFUNCTION("""COMPUTED_VALUE"""),"задні панелі кузова")</f>
        <v>задні панелі кузова</v>
      </c>
      <c r="F220" s="17">
        <f>IFERROR(__xludf.DUMMYFUNCTION("""COMPUTED_VALUE"""),4.0)</f>
        <v>4</v>
      </c>
      <c r="G220" s="17" t="str">
        <f>IFERROR(__xludf.DUMMYFUNCTION("""COMPUTED_VALUE"""),"341565")</f>
        <v>341565</v>
      </c>
      <c r="H220" s="17" t="str">
        <f>IFERROR(__xludf.DUMMYFUNCTION("""COMPUTED_VALUE"""),"задні панелі кузова")</f>
        <v>задні панелі кузова</v>
      </c>
      <c r="I220" s="19">
        <f>IFERROR(__xludf.DUMMYFUNCTION("""COMPUTED_VALUE"""),0.0545)</f>
        <v>0.0545</v>
      </c>
      <c r="J220" s="19">
        <f>IFERROR(__xludf.DUMMYFUNCTION("""COMPUTED_VALUE"""),0.109)</f>
        <v>0.109</v>
      </c>
      <c r="K220" s="19">
        <f>IFERROR(__xludf.DUMMYFUNCTION("""COMPUTED_VALUE"""),0.1363)</f>
        <v>0.1363</v>
      </c>
      <c r="L220" s="19">
        <f>IFERROR(__xludf.DUMMYFUNCTION("""COMPUTED_VALUE"""),0.1635)</f>
        <v>0.1635</v>
      </c>
      <c r="M220" s="18">
        <f>IFERROR(__xludf.DUMMYFUNCTION("""COMPUTED_VALUE"""),1.53)</f>
        <v>1.53</v>
      </c>
    </row>
    <row r="221">
      <c r="A221" s="13" t="str">
        <f>IFERROR(__xludf.DUMMYFUNCTION("""COMPUTED_VALUE"""),"товари")</f>
        <v>товари</v>
      </c>
      <c r="B221" s="16" t="str">
        <f>IFERROR(__xludf.DUMMYFUNCTION("""COMPUTED_VALUE"""),"авто-, мото")</f>
        <v>авто-, мото</v>
      </c>
      <c r="C221" s="16" t="str">
        <f>IFERROR(__xludf.DUMMYFUNCTION("""COMPUTED_VALUE"""),"автозапчастини")</f>
        <v>автозапчастини</v>
      </c>
      <c r="D221" s="16" t="str">
        <f>IFERROR(__xludf.DUMMYFUNCTION("""COMPUTED_VALUE"""),"деталі мостів і приводу трансмісії")</f>
        <v>деталі мостів і приводу трансмісії</v>
      </c>
      <c r="E221" s="16" t="str">
        <f>IFERROR(__xludf.DUMMYFUNCTION("""COMPUTED_VALUE"""),"задній міст автомобіля")</f>
        <v>задній міст автомобіля</v>
      </c>
      <c r="F221" s="17">
        <f>IFERROR(__xludf.DUMMYFUNCTION("""COMPUTED_VALUE"""),4.0)</f>
        <v>4</v>
      </c>
      <c r="G221" s="17" t="str">
        <f>IFERROR(__xludf.DUMMYFUNCTION("""COMPUTED_VALUE"""),"341572")</f>
        <v>341572</v>
      </c>
      <c r="H221" s="17" t="str">
        <f>IFERROR(__xludf.DUMMYFUNCTION("""COMPUTED_VALUE"""),"задній міст автомобіля")</f>
        <v>задній міст автомобіля</v>
      </c>
      <c r="I221" s="19">
        <f>IFERROR(__xludf.DUMMYFUNCTION("""COMPUTED_VALUE"""),0.0473)</f>
        <v>0.0473</v>
      </c>
      <c r="J221" s="19">
        <f>IFERROR(__xludf.DUMMYFUNCTION("""COMPUTED_VALUE"""),0.0946)</f>
        <v>0.0946</v>
      </c>
      <c r="K221" s="19">
        <f>IFERROR(__xludf.DUMMYFUNCTION("""COMPUTED_VALUE"""),0.1183)</f>
        <v>0.1183</v>
      </c>
      <c r="L221" s="19">
        <f>IFERROR(__xludf.DUMMYFUNCTION("""COMPUTED_VALUE"""),0.1419)</f>
        <v>0.1419</v>
      </c>
      <c r="M221" s="18">
        <f>IFERROR(__xludf.DUMMYFUNCTION("""COMPUTED_VALUE"""),1.71)</f>
        <v>1.71</v>
      </c>
    </row>
    <row r="222">
      <c r="A222" s="13" t="str">
        <f>IFERROR(__xludf.DUMMYFUNCTION("""COMPUTED_VALUE"""),"товари")</f>
        <v>товари</v>
      </c>
      <c r="B222" s="16" t="str">
        <f>IFERROR(__xludf.DUMMYFUNCTION("""COMPUTED_VALUE"""),"авто-, мото")</f>
        <v>авто-, мото</v>
      </c>
      <c r="C222" s="16" t="str">
        <f>IFERROR(__xludf.DUMMYFUNCTION("""COMPUTED_VALUE"""),"автозапчастини")</f>
        <v>автозапчастини</v>
      </c>
      <c r="D222" s="16" t="str">
        <f>IFERROR(__xludf.DUMMYFUNCTION("""COMPUTED_VALUE"""),"система запалювання двигуна")</f>
        <v>система запалювання двигуна</v>
      </c>
      <c r="E222" s="16" t="str">
        <f>IFERROR(__xludf.DUMMYFUNCTION("""COMPUTED_VALUE"""),"замки запалювання і ключі")</f>
        <v>замки запалювання і ключі</v>
      </c>
      <c r="F222" s="17">
        <f>IFERROR(__xludf.DUMMYFUNCTION("""COMPUTED_VALUE"""),4.0)</f>
        <v>4</v>
      </c>
      <c r="G222" s="17" t="str">
        <f>IFERROR(__xludf.DUMMYFUNCTION("""COMPUTED_VALUE"""),"12020505")</f>
        <v>12020505</v>
      </c>
      <c r="H222" s="17" t="str">
        <f>IFERROR(__xludf.DUMMYFUNCTION("""COMPUTED_VALUE"""),"замки запалювання і ключі")</f>
        <v>замки запалювання і ключі</v>
      </c>
      <c r="I222" s="19">
        <f>IFERROR(__xludf.DUMMYFUNCTION("""COMPUTED_VALUE"""),0.0541)</f>
        <v>0.0541</v>
      </c>
      <c r="J222" s="19">
        <f>IFERROR(__xludf.DUMMYFUNCTION("""COMPUTED_VALUE"""),0.1082)</f>
        <v>0.1082</v>
      </c>
      <c r="K222" s="19">
        <f>IFERROR(__xludf.DUMMYFUNCTION("""COMPUTED_VALUE"""),0.1353)</f>
        <v>0.1353</v>
      </c>
      <c r="L222" s="19">
        <f>IFERROR(__xludf.DUMMYFUNCTION("""COMPUTED_VALUE"""),0.1623)</f>
        <v>0.1623</v>
      </c>
      <c r="M222" s="18">
        <f>IFERROR(__xludf.DUMMYFUNCTION("""COMPUTED_VALUE"""),1.71)</f>
        <v>1.71</v>
      </c>
    </row>
    <row r="223">
      <c r="A223" s="13" t="str">
        <f>IFERROR(__xludf.DUMMYFUNCTION("""COMPUTED_VALUE"""),"товари")</f>
        <v>товари</v>
      </c>
      <c r="B223" s="16" t="str">
        <f>IFERROR(__xludf.DUMMYFUNCTION("""COMPUTED_VALUE"""),"авто-, мото")</f>
        <v>авто-, мото</v>
      </c>
      <c r="C223" s="16" t="str">
        <f>IFERROR(__xludf.DUMMYFUNCTION("""COMPUTED_VALUE"""),"мототехніка")</f>
        <v>мототехніка</v>
      </c>
      <c r="D223" s="16" t="str">
        <f>IFERROR(__xludf.DUMMYFUNCTION("""COMPUTED_VALUE"""),"запчастини для мототехніки")</f>
        <v>запчастини для мототехніки</v>
      </c>
      <c r="E223" s="16" t="str">
        <f>IFERROR(__xludf.DUMMYFUNCTION("""COMPUTED_VALUE"""),"деталі двигуна для мототехніки")</f>
        <v>деталі двигуна для мототехніки</v>
      </c>
      <c r="F223" s="17">
        <f>IFERROR(__xludf.DUMMYFUNCTION("""COMPUTED_VALUE"""),5.0)</f>
        <v>5</v>
      </c>
      <c r="G223" s="17">
        <f>IFERROR(__xludf.DUMMYFUNCTION("""COMPUTED_VALUE"""),340623.0)</f>
        <v>340623</v>
      </c>
      <c r="H223" s="17" t="str">
        <f>IFERROR(__xludf.DUMMYFUNCTION("""COMPUTED_VALUE"""),"запчастини двигуна мототехніки, загальне")</f>
        <v>запчастини двигуна мототехніки, загальне</v>
      </c>
      <c r="I223" s="19">
        <f>IFERROR(__xludf.DUMMYFUNCTION("""COMPUTED_VALUE"""),0.125)</f>
        <v>0.125</v>
      </c>
      <c r="J223" s="19">
        <f>IFERROR(__xludf.DUMMYFUNCTION("""COMPUTED_VALUE"""),0.25)</f>
        <v>0.25</v>
      </c>
      <c r="K223" s="19">
        <f>IFERROR(__xludf.DUMMYFUNCTION("""COMPUTED_VALUE"""),0.3125)</f>
        <v>0.3125</v>
      </c>
      <c r="L223" s="19">
        <f>IFERROR(__xludf.DUMMYFUNCTION("""COMPUTED_VALUE"""),0.375)</f>
        <v>0.375</v>
      </c>
      <c r="M223" s="18">
        <f>IFERROR(__xludf.DUMMYFUNCTION("""COMPUTED_VALUE"""),4.33)</f>
        <v>4.33</v>
      </c>
    </row>
    <row r="224">
      <c r="A224" s="13" t="str">
        <f>IFERROR(__xludf.DUMMYFUNCTION("""COMPUTED_VALUE"""),"товари")</f>
        <v>товари</v>
      </c>
      <c r="B224" s="16" t="str">
        <f>IFERROR(__xludf.DUMMYFUNCTION("""COMPUTED_VALUE"""),"авто-, мото")</f>
        <v>авто-, мото</v>
      </c>
      <c r="C224" s="16" t="str">
        <f>IFERROR(__xludf.DUMMYFUNCTION("""COMPUTED_VALUE"""),"мототехніка")</f>
        <v>мототехніка</v>
      </c>
      <c r="D224" s="16" t="str">
        <f>IFERROR(__xludf.DUMMYFUNCTION("""COMPUTED_VALUE"""),"запчастини для мототехніки")</f>
        <v>запчастини для мототехніки</v>
      </c>
      <c r="E224" s="16" t="str">
        <f>IFERROR(__xludf.DUMMYFUNCTION("""COMPUTED_VALUE"""),"запчастини для мототехніки, загальне")</f>
        <v>запчастини для мототехніки, загальне</v>
      </c>
      <c r="F224" s="17">
        <f>IFERROR(__xludf.DUMMYFUNCTION("""COMPUTED_VALUE"""),4.0)</f>
        <v>4</v>
      </c>
      <c r="G224" s="17" t="str">
        <f>IFERROR(__xludf.DUMMYFUNCTION("""COMPUTED_VALUE"""),"340601")</f>
        <v>340601</v>
      </c>
      <c r="H224" s="17" t="str">
        <f>IFERROR(__xludf.DUMMYFUNCTION("""COMPUTED_VALUE"""),"запчастини для мототехніки, загальне")</f>
        <v>запчастини для мототехніки, загальне</v>
      </c>
      <c r="I224" s="19">
        <f>IFERROR(__xludf.DUMMYFUNCTION("""COMPUTED_VALUE"""),0.125)</f>
        <v>0.125</v>
      </c>
      <c r="J224" s="19">
        <f>IFERROR(__xludf.DUMMYFUNCTION("""COMPUTED_VALUE"""),0.25)</f>
        <v>0.25</v>
      </c>
      <c r="K224" s="19">
        <f>IFERROR(__xludf.DUMMYFUNCTION("""COMPUTED_VALUE"""),0.3125)</f>
        <v>0.3125</v>
      </c>
      <c r="L224" s="19">
        <f>IFERROR(__xludf.DUMMYFUNCTION("""COMPUTED_VALUE"""),0.375)</f>
        <v>0.375</v>
      </c>
      <c r="M224" s="18">
        <f>IFERROR(__xludf.DUMMYFUNCTION("""COMPUTED_VALUE"""),4.33)</f>
        <v>4.33</v>
      </c>
    </row>
    <row r="225">
      <c r="A225" s="13" t="str">
        <f>IFERROR(__xludf.DUMMYFUNCTION("""COMPUTED_VALUE"""),"товари")</f>
        <v>товари</v>
      </c>
      <c r="B225" s="16" t="str">
        <f>IFERROR(__xludf.DUMMYFUNCTION("""COMPUTED_VALUE"""),"авто-, мото")</f>
        <v>авто-, мото</v>
      </c>
      <c r="C225" s="16" t="str">
        <f>IFERROR(__xludf.DUMMYFUNCTION("""COMPUTED_VALUE"""),"аксесуари для авто")</f>
        <v>аксесуари для авто</v>
      </c>
      <c r="D225" s="16" t="str">
        <f>IFERROR(__xludf.DUMMYFUNCTION("""COMPUTED_VALUE"""),"засоби аварійної безпеки")</f>
        <v>засоби аварійної безпеки</v>
      </c>
      <c r="E225" s="16" t="str">
        <f>IFERROR(__xludf.DUMMYFUNCTION("""COMPUTED_VALUE"""),"засоби аварійної безпеки, загальне")</f>
        <v>засоби аварійної безпеки, загальне</v>
      </c>
      <c r="F225" s="17">
        <f>IFERROR(__xludf.DUMMYFUNCTION("""COMPUTED_VALUE"""),4.0)</f>
        <v>4</v>
      </c>
      <c r="G225" s="17" t="str">
        <f>IFERROR(__xludf.DUMMYFUNCTION("""COMPUTED_VALUE"""),"12126901")</f>
        <v>12126901</v>
      </c>
      <c r="H225" s="17" t="str">
        <f>IFERROR(__xludf.DUMMYFUNCTION("""COMPUTED_VALUE"""),"засоби аварійної безпеки, загальне")</f>
        <v>засоби аварійної безпеки, загальне</v>
      </c>
      <c r="I225" s="19">
        <f>IFERROR(__xludf.DUMMYFUNCTION("""COMPUTED_VALUE"""),0.125)</f>
        <v>0.125</v>
      </c>
      <c r="J225" s="19">
        <f>IFERROR(__xludf.DUMMYFUNCTION("""COMPUTED_VALUE"""),0.25)</f>
        <v>0.25</v>
      </c>
      <c r="K225" s="19">
        <f>IFERROR(__xludf.DUMMYFUNCTION("""COMPUTED_VALUE"""),0.3125)</f>
        <v>0.3125</v>
      </c>
      <c r="L225" s="19">
        <f>IFERROR(__xludf.DUMMYFUNCTION("""COMPUTED_VALUE"""),0.375)</f>
        <v>0.375</v>
      </c>
      <c r="M225" s="18">
        <f>IFERROR(__xludf.DUMMYFUNCTION("""COMPUTED_VALUE"""),4.33)</f>
        <v>4.33</v>
      </c>
    </row>
    <row r="226">
      <c r="A226" s="13" t="str">
        <f>IFERROR(__xludf.DUMMYFUNCTION("""COMPUTED_VALUE"""),"товари")</f>
        <v>товари</v>
      </c>
      <c r="B226" s="16" t="str">
        <f>IFERROR(__xludf.DUMMYFUNCTION("""COMPUTED_VALUE"""),"авто-, мото")</f>
        <v>авто-, мото</v>
      </c>
      <c r="C226" s="16" t="str">
        <f>IFERROR(__xludf.DUMMYFUNCTION("""COMPUTED_VALUE"""),"автохімія, автокосметика і автомастила")</f>
        <v>автохімія, автокосметика і автомастила</v>
      </c>
      <c r="D226" s="16" t="str">
        <f>IFERROR(__xludf.DUMMYFUNCTION("""COMPUTED_VALUE"""),"засоби від запітніння і розморожувачі стекол")</f>
        <v>засоби від запітніння і розморожувачі стекол</v>
      </c>
      <c r="E226" s="16" t="str">
        <f>IFERROR(__xludf.DUMMYFUNCTION("""COMPUTED_VALUE"""),"засоби від запітніння і розморожувачі стекол")</f>
        <v>засоби від запітніння і розморожувачі стекол</v>
      </c>
      <c r="F226" s="17">
        <f>IFERROR(__xludf.DUMMYFUNCTION("""COMPUTED_VALUE"""),3.0)</f>
        <v>3</v>
      </c>
      <c r="G226" s="17" t="str">
        <f>IFERROR(__xludf.DUMMYFUNCTION("""COMPUTED_VALUE"""),"341610")</f>
        <v>341610</v>
      </c>
      <c r="H226" s="17" t="str">
        <f>IFERROR(__xludf.DUMMYFUNCTION("""COMPUTED_VALUE"""),"засоби від запітніння і розморожувачі стекол")</f>
        <v>засоби від запітніння і розморожувачі стекол</v>
      </c>
      <c r="I226" s="19">
        <f>IFERROR(__xludf.DUMMYFUNCTION("""COMPUTED_VALUE"""),0.078)</f>
        <v>0.078</v>
      </c>
      <c r="J226" s="19">
        <f>IFERROR(__xludf.DUMMYFUNCTION("""COMPUTED_VALUE"""),0.156)</f>
        <v>0.156</v>
      </c>
      <c r="K226" s="19">
        <f>IFERROR(__xludf.DUMMYFUNCTION("""COMPUTED_VALUE"""),0.195)</f>
        <v>0.195</v>
      </c>
      <c r="L226" s="19">
        <f>IFERROR(__xludf.DUMMYFUNCTION("""COMPUTED_VALUE"""),0.234)</f>
        <v>0.234</v>
      </c>
      <c r="M226" s="18">
        <f>IFERROR(__xludf.DUMMYFUNCTION("""COMPUTED_VALUE"""),1.05)</f>
        <v>1.05</v>
      </c>
    </row>
    <row r="227">
      <c r="A227" s="13" t="str">
        <f>IFERROR(__xludf.DUMMYFUNCTION("""COMPUTED_VALUE"""),"товари")</f>
        <v>товари</v>
      </c>
      <c r="B227" s="16" t="str">
        <f>IFERROR(__xludf.DUMMYFUNCTION("""COMPUTED_VALUE"""),"авто-, мото")</f>
        <v>авто-, мото</v>
      </c>
      <c r="C227" s="16" t="str">
        <f>IFERROR(__xludf.DUMMYFUNCTION("""COMPUTED_VALUE"""),"автохімія, автокосметика і автомастила")</f>
        <v>автохімія, автокосметика і автомастила</v>
      </c>
      <c r="D227" s="16" t="str">
        <f>IFERROR(__xludf.DUMMYFUNCTION("""COMPUTED_VALUE"""),"авто, мото масла, мастила та рідини")</f>
        <v>авто, мото масла, мастила та рідини</v>
      </c>
      <c r="E227" s="16" t="str">
        <f>IFERROR(__xludf.DUMMYFUNCTION("""COMPUTED_VALUE"""),"засоби догляду за мототехнікою")</f>
        <v>засоби догляду за мототехнікою</v>
      </c>
      <c r="F227" s="17">
        <f>IFERROR(__xludf.DUMMYFUNCTION("""COMPUTED_VALUE"""),4.0)</f>
        <v>4</v>
      </c>
      <c r="G227" s="17" t="str">
        <f>IFERROR(__xludf.DUMMYFUNCTION("""COMPUTED_VALUE"""),"341020")</f>
        <v>341020</v>
      </c>
      <c r="H227" s="17" t="str">
        <f>IFERROR(__xludf.DUMMYFUNCTION("""COMPUTED_VALUE"""),"засоби догляду за мототехнікою")</f>
        <v>засоби догляду за мототехнікою</v>
      </c>
      <c r="I227" s="19">
        <f>IFERROR(__xludf.DUMMYFUNCTION("""COMPUTED_VALUE"""),0.0776)</f>
        <v>0.0776</v>
      </c>
      <c r="J227" s="19">
        <f>IFERROR(__xludf.DUMMYFUNCTION("""COMPUTED_VALUE"""),0.1552)</f>
        <v>0.1552</v>
      </c>
      <c r="K227" s="19">
        <f>IFERROR(__xludf.DUMMYFUNCTION("""COMPUTED_VALUE"""),0.194)</f>
        <v>0.194</v>
      </c>
      <c r="L227" s="19">
        <f>IFERROR(__xludf.DUMMYFUNCTION("""COMPUTED_VALUE"""),0.2328)</f>
        <v>0.2328</v>
      </c>
      <c r="M227" s="18">
        <f>IFERROR(__xludf.DUMMYFUNCTION("""COMPUTED_VALUE"""),2.88)</f>
        <v>2.88</v>
      </c>
    </row>
    <row r="228">
      <c r="A228" s="20" t="str">
        <f>IFERROR(__xludf.DUMMYFUNCTION("""COMPUTED_VALUE"""),"товари")</f>
        <v>товари</v>
      </c>
      <c r="B228" s="21" t="str">
        <f>IFERROR(__xludf.DUMMYFUNCTION("""COMPUTED_VALUE"""),"авто-, мото")</f>
        <v>авто-, мото</v>
      </c>
      <c r="C228" s="21" t="str">
        <f>IFERROR(__xludf.DUMMYFUNCTION("""COMPUTED_VALUE"""),"диски і шини")</f>
        <v>диски і шини</v>
      </c>
      <c r="D228" s="21" t="str">
        <f>IFERROR(__xludf.DUMMYFUNCTION("""COMPUTED_VALUE"""),"засоби підвищення прохідності")</f>
        <v>засоби підвищення прохідності</v>
      </c>
      <c r="E228" s="21" t="str">
        <f>IFERROR(__xludf.DUMMYFUNCTION("""COMPUTED_VALUE"""),"засоби підвищення прохідності")</f>
        <v>засоби підвищення прохідності</v>
      </c>
      <c r="F228" s="22">
        <f>IFERROR(__xludf.DUMMYFUNCTION("""COMPUTED_VALUE"""),3.0)</f>
        <v>3</v>
      </c>
      <c r="G228" s="22" t="str">
        <f>IFERROR(__xludf.DUMMYFUNCTION("""COMPUTED_VALUE"""),"121215")</f>
        <v>121215</v>
      </c>
      <c r="H228" s="22" t="str">
        <f>IFERROR(__xludf.DUMMYFUNCTION("""COMPUTED_VALUE"""),"засоби підвищення прохідності")</f>
        <v>засоби підвищення прохідності</v>
      </c>
      <c r="I228" s="19">
        <f>IFERROR(__xludf.DUMMYFUNCTION("""COMPUTED_VALUE"""),0.0727)</f>
        <v>0.0727</v>
      </c>
      <c r="J228" s="19">
        <f>IFERROR(__xludf.DUMMYFUNCTION("""COMPUTED_VALUE"""),0.1454)</f>
        <v>0.1454</v>
      </c>
      <c r="K228" s="19">
        <f>IFERROR(__xludf.DUMMYFUNCTION("""COMPUTED_VALUE"""),0.1818)</f>
        <v>0.1818</v>
      </c>
      <c r="L228" s="19">
        <f>IFERROR(__xludf.DUMMYFUNCTION("""COMPUTED_VALUE"""),0.2181)</f>
        <v>0.2181</v>
      </c>
      <c r="M228" s="18">
        <f>IFERROR(__xludf.DUMMYFUNCTION("""COMPUTED_VALUE"""),1.71)</f>
        <v>1.71</v>
      </c>
    </row>
    <row r="229">
      <c r="A229" s="13" t="str">
        <f>IFERROR(__xludf.DUMMYFUNCTION("""COMPUTED_VALUE"""),"товари")</f>
        <v>товари</v>
      </c>
      <c r="B229" s="16" t="str">
        <f>IFERROR(__xludf.DUMMYFUNCTION("""COMPUTED_VALUE"""),"авто-, мото")</f>
        <v>авто-, мото</v>
      </c>
      <c r="C229" s="16" t="str">
        <f>IFERROR(__xludf.DUMMYFUNCTION("""COMPUTED_VALUE"""),"автохімія, автокосметика і автомастила")</f>
        <v>автохімія, автокосметика і автомастила</v>
      </c>
      <c r="D229" s="16" t="str">
        <f>IFERROR(__xludf.DUMMYFUNCTION("""COMPUTED_VALUE"""),"засоби по догляду за шинами")</f>
        <v>засоби по догляду за шинами</v>
      </c>
      <c r="E229" s="16" t="str">
        <f>IFERROR(__xludf.DUMMYFUNCTION("""COMPUTED_VALUE"""),"засоби по догляду за шинами")</f>
        <v>засоби по догляду за шинами</v>
      </c>
      <c r="F229" s="17">
        <f>IFERROR(__xludf.DUMMYFUNCTION("""COMPUTED_VALUE"""),3.0)</f>
        <v>3</v>
      </c>
      <c r="G229" s="17" t="str">
        <f>IFERROR(__xludf.DUMMYFUNCTION("""COMPUTED_VALUE"""),"341626")</f>
        <v>341626</v>
      </c>
      <c r="H229" s="17" t="str">
        <f>IFERROR(__xludf.DUMMYFUNCTION("""COMPUTED_VALUE"""),"засоби по догляду за шинами")</f>
        <v>засоби по догляду за шинами</v>
      </c>
      <c r="I229" s="19">
        <f>IFERROR(__xludf.DUMMYFUNCTION("""COMPUTED_VALUE"""),0.0678)</f>
        <v>0.0678</v>
      </c>
      <c r="J229" s="19">
        <f>IFERROR(__xludf.DUMMYFUNCTION("""COMPUTED_VALUE"""),0.1355)</f>
        <v>0.1355</v>
      </c>
      <c r="K229" s="19">
        <f>IFERROR(__xludf.DUMMYFUNCTION("""COMPUTED_VALUE"""),0.1694)</f>
        <v>0.1694</v>
      </c>
      <c r="L229" s="19">
        <f>IFERROR(__xludf.DUMMYFUNCTION("""COMPUTED_VALUE"""),0.2033)</f>
        <v>0.2033</v>
      </c>
      <c r="M229" s="18">
        <f>IFERROR(__xludf.DUMMYFUNCTION("""COMPUTED_VALUE"""),1.05)</f>
        <v>1.05</v>
      </c>
    </row>
    <row r="230">
      <c r="A230" s="13" t="str">
        <f>IFERROR(__xludf.DUMMYFUNCTION("""COMPUTED_VALUE"""),"товари")</f>
        <v>товари</v>
      </c>
      <c r="B230" s="16" t="str">
        <f>IFERROR(__xludf.DUMMYFUNCTION("""COMPUTED_VALUE"""),"авто-, мото")</f>
        <v>авто-, мото</v>
      </c>
      <c r="C230" s="16" t="str">
        <f>IFERROR(__xludf.DUMMYFUNCTION("""COMPUTED_VALUE"""),"мототехніка")</f>
        <v>мототехніка</v>
      </c>
      <c r="D230" s="16" t="str">
        <f>IFERROR(__xludf.DUMMYFUNCTION("""COMPUTED_VALUE"""),"запчастини для мототехніки")</f>
        <v>запчастини для мототехніки</v>
      </c>
      <c r="E230" s="16" t="str">
        <f>IFERROR(__xludf.DUMMYFUNCTION("""COMPUTED_VALUE"""),"захисні накладки для мототехніки")</f>
        <v>захисні накладки для мототехніки</v>
      </c>
      <c r="F230" s="17">
        <f>IFERROR(__xludf.DUMMYFUNCTION("""COMPUTED_VALUE"""),4.0)</f>
        <v>4</v>
      </c>
      <c r="G230" s="17" t="str">
        <f>IFERROR(__xludf.DUMMYFUNCTION("""COMPUTED_VALUE"""),"340615")</f>
        <v>340615</v>
      </c>
      <c r="H230" s="17" t="str">
        <f>IFERROR(__xludf.DUMMYFUNCTION("""COMPUTED_VALUE"""),"захисні накладки для мототехніки")</f>
        <v>захисні накладки для мототехніки</v>
      </c>
      <c r="I230" s="19">
        <f>IFERROR(__xludf.DUMMYFUNCTION("""COMPUTED_VALUE"""),0.0752)</f>
        <v>0.0752</v>
      </c>
      <c r="J230" s="19">
        <f>IFERROR(__xludf.DUMMYFUNCTION("""COMPUTED_VALUE"""),0.1504)</f>
        <v>0.1504</v>
      </c>
      <c r="K230" s="19">
        <f>IFERROR(__xludf.DUMMYFUNCTION("""COMPUTED_VALUE"""),0.188)</f>
        <v>0.188</v>
      </c>
      <c r="L230" s="19">
        <f>IFERROR(__xludf.DUMMYFUNCTION("""COMPUTED_VALUE"""),0.2256)</f>
        <v>0.2256</v>
      </c>
      <c r="M230" s="18">
        <f>IFERROR(__xludf.DUMMYFUNCTION("""COMPUTED_VALUE"""),1.98)</f>
        <v>1.98</v>
      </c>
    </row>
    <row r="231">
      <c r="A231" s="13" t="str">
        <f>IFERROR(__xludf.DUMMYFUNCTION("""COMPUTED_VALUE"""),"товари")</f>
        <v>товари</v>
      </c>
      <c r="B231" s="16" t="str">
        <f>IFERROR(__xludf.DUMMYFUNCTION("""COMPUTED_VALUE"""),"авто-, мото")</f>
        <v>авто-, мото</v>
      </c>
      <c r="C231" s="16" t="str">
        <f>IFERROR(__xludf.DUMMYFUNCTION("""COMPUTED_VALUE"""),"автозапчастини")</f>
        <v>автозапчастини</v>
      </c>
      <c r="D231" s="16" t="str">
        <f>IFERROR(__xludf.DUMMYFUNCTION("""COMPUTED_VALUE"""),"кузовні запчастини")</f>
        <v>кузовні запчастини</v>
      </c>
      <c r="E231" s="16" t="str">
        <f>IFERROR(__xludf.DUMMYFUNCTION("""COMPUTED_VALUE"""),"захист картера і кпп")</f>
        <v>захист картера і кпп</v>
      </c>
      <c r="F231" s="17">
        <f>IFERROR(__xludf.DUMMYFUNCTION("""COMPUTED_VALUE"""),4.0)</f>
        <v>4</v>
      </c>
      <c r="G231" s="17" t="str">
        <f>IFERROR(__xludf.DUMMYFUNCTION("""COMPUTED_VALUE"""),"120225")</f>
        <v>120225</v>
      </c>
      <c r="H231" s="17" t="str">
        <f>IFERROR(__xludf.DUMMYFUNCTION("""COMPUTED_VALUE"""),"захист картера і кпп")</f>
        <v>захист картера і кпп</v>
      </c>
      <c r="I231" s="19">
        <f>IFERROR(__xludf.DUMMYFUNCTION("""COMPUTED_VALUE"""),0.059)</f>
        <v>0.059</v>
      </c>
      <c r="J231" s="19">
        <f>IFERROR(__xludf.DUMMYFUNCTION("""COMPUTED_VALUE"""),0.1179)</f>
        <v>0.1179</v>
      </c>
      <c r="K231" s="19">
        <f>IFERROR(__xludf.DUMMYFUNCTION("""COMPUTED_VALUE"""),0.1474)</f>
        <v>0.1474</v>
      </c>
      <c r="L231" s="19">
        <f>IFERROR(__xludf.DUMMYFUNCTION("""COMPUTED_VALUE"""),0.1769)</f>
        <v>0.1769</v>
      </c>
      <c r="M231" s="18">
        <f>IFERROR(__xludf.DUMMYFUNCTION("""COMPUTED_VALUE"""),1.53)</f>
        <v>1.53</v>
      </c>
    </row>
    <row r="232">
      <c r="A232" s="13" t="str">
        <f>IFERROR(__xludf.DUMMYFUNCTION("""COMPUTED_VALUE"""),"товари")</f>
        <v>товари</v>
      </c>
      <c r="B232" s="16" t="str">
        <f>IFERROR(__xludf.DUMMYFUNCTION("""COMPUTED_VALUE"""),"авто-, мото")</f>
        <v>авто-, мото</v>
      </c>
      <c r="C232" s="16" t="str">
        <f>IFERROR(__xludf.DUMMYFUNCTION("""COMPUTED_VALUE"""),"автомобільна електроніка")</f>
        <v>автомобільна електроніка</v>
      </c>
      <c r="D232" s="16" t="str">
        <f>IFERROR(__xludf.DUMMYFUNCTION("""COMPUTED_VALUE"""),"протиугінні системи і аксесуари")</f>
        <v>протиугінні системи і аксесуари</v>
      </c>
      <c r="E232" s="16" t="str">
        <f>IFERROR(__xludf.DUMMYFUNCTION("""COMPUTED_VALUE"""),"іммобілайзери")</f>
        <v>іммобілайзери</v>
      </c>
      <c r="F232" s="17">
        <f>IFERROR(__xludf.DUMMYFUNCTION("""COMPUTED_VALUE"""),4.0)</f>
        <v>4</v>
      </c>
      <c r="G232" s="17" t="str">
        <f>IFERROR(__xludf.DUMMYFUNCTION("""COMPUTED_VALUE"""),"340430")</f>
        <v>340430</v>
      </c>
      <c r="H232" s="17" t="str">
        <f>IFERROR(__xludf.DUMMYFUNCTION("""COMPUTED_VALUE"""),"іммобілайзери")</f>
        <v>іммобілайзери</v>
      </c>
      <c r="I232" s="19">
        <f>IFERROR(__xludf.DUMMYFUNCTION("""COMPUTED_VALUE"""),0.0722)</f>
        <v>0.0722</v>
      </c>
      <c r="J232" s="19">
        <f>IFERROR(__xludf.DUMMYFUNCTION("""COMPUTED_VALUE"""),0.1443)</f>
        <v>0.1443</v>
      </c>
      <c r="K232" s="19">
        <f>IFERROR(__xludf.DUMMYFUNCTION("""COMPUTED_VALUE"""),0.1804)</f>
        <v>0.1804</v>
      </c>
      <c r="L232" s="19">
        <f>IFERROR(__xludf.DUMMYFUNCTION("""COMPUTED_VALUE"""),0.2165)</f>
        <v>0.2165</v>
      </c>
      <c r="M232" s="18">
        <f>IFERROR(__xludf.DUMMYFUNCTION("""COMPUTED_VALUE"""),1.8)</f>
        <v>1.8</v>
      </c>
    </row>
    <row r="233">
      <c r="A233" s="13" t="str">
        <f>IFERROR(__xludf.DUMMYFUNCTION("""COMPUTED_VALUE"""),"товари")</f>
        <v>товари</v>
      </c>
      <c r="B233" s="16" t="str">
        <f>IFERROR(__xludf.DUMMYFUNCTION("""COMPUTED_VALUE"""),"авто-, мото")</f>
        <v>авто-, мото</v>
      </c>
      <c r="C233" s="16" t="str">
        <f>IFERROR(__xludf.DUMMYFUNCTION("""COMPUTED_VALUE"""),"мототехніка")</f>
        <v>мототехніка</v>
      </c>
      <c r="D233" s="16" t="str">
        <f>IFERROR(__xludf.DUMMYFUNCTION("""COMPUTED_VALUE"""),"інструмент для ремонту мототехніки")</f>
        <v>інструмент для ремонту мототехніки</v>
      </c>
      <c r="E233" s="16" t="str">
        <f>IFERROR(__xludf.DUMMYFUNCTION("""COMPUTED_VALUE"""),"інструмент для ремонту мототехніки")</f>
        <v>інструмент для ремонту мототехніки</v>
      </c>
      <c r="F233" s="17">
        <f>IFERROR(__xludf.DUMMYFUNCTION("""COMPUTED_VALUE"""),3.0)</f>
        <v>3</v>
      </c>
      <c r="G233" s="17" t="str">
        <f>IFERROR(__xludf.DUMMYFUNCTION("""COMPUTED_VALUE"""),"3408")</f>
        <v>3408</v>
      </c>
      <c r="H233" s="17" t="str">
        <f>IFERROR(__xludf.DUMMYFUNCTION("""COMPUTED_VALUE"""),"інструмент для ремонту мототехніки")</f>
        <v>інструмент для ремонту мототехніки</v>
      </c>
      <c r="I233" s="19">
        <f>IFERROR(__xludf.DUMMYFUNCTION("""COMPUTED_VALUE"""),0.0539)</f>
        <v>0.0539</v>
      </c>
      <c r="J233" s="19">
        <f>IFERROR(__xludf.DUMMYFUNCTION("""COMPUTED_VALUE"""),0.1078)</f>
        <v>0.1078</v>
      </c>
      <c r="K233" s="19">
        <f>IFERROR(__xludf.DUMMYFUNCTION("""COMPUTED_VALUE"""),0.1348)</f>
        <v>0.1348</v>
      </c>
      <c r="L233" s="19">
        <f>IFERROR(__xludf.DUMMYFUNCTION("""COMPUTED_VALUE"""),0.1617)</f>
        <v>0.1617</v>
      </c>
      <c r="M233" s="18">
        <f>IFERROR(__xludf.DUMMYFUNCTION("""COMPUTED_VALUE"""),1.44)</f>
        <v>1.44</v>
      </c>
    </row>
    <row r="234">
      <c r="A234" s="13" t="str">
        <f>IFERROR(__xludf.DUMMYFUNCTION("""COMPUTED_VALUE"""),"товари")</f>
        <v>товари</v>
      </c>
      <c r="B234" s="16" t="str">
        <f>IFERROR(__xludf.DUMMYFUNCTION("""COMPUTED_VALUE"""),"авто-, мото")</f>
        <v>авто-, мото</v>
      </c>
      <c r="C234" s="16" t="str">
        <f>IFERROR(__xludf.DUMMYFUNCTION("""COMPUTED_VALUE"""),"диски і шини")</f>
        <v>диски і шини</v>
      </c>
      <c r="D234" s="16" t="str">
        <f>IFERROR(__xludf.DUMMYFUNCTION("""COMPUTED_VALUE"""),"камери для шин та ободні стрічки")</f>
        <v>камери для шин та ободні стрічки</v>
      </c>
      <c r="E234" s="16" t="str">
        <f>IFERROR(__xludf.DUMMYFUNCTION("""COMPUTED_VALUE"""),"камери для шин та ободні стрічки")</f>
        <v>камери для шин та ободні стрічки</v>
      </c>
      <c r="F234" s="17">
        <f>IFERROR(__xludf.DUMMYFUNCTION("""COMPUTED_VALUE"""),3.0)</f>
        <v>3</v>
      </c>
      <c r="G234" s="17" t="str">
        <f>IFERROR(__xludf.DUMMYFUNCTION("""COMPUTED_VALUE"""),"801219")</f>
        <v>801219</v>
      </c>
      <c r="H234" s="17" t="str">
        <f>IFERROR(__xludf.DUMMYFUNCTION("""COMPUTED_VALUE"""),"камери для шин та ободні стрічки")</f>
        <v>камери для шин та ободні стрічки</v>
      </c>
      <c r="I234" s="19">
        <f>IFERROR(__xludf.DUMMYFUNCTION("""COMPUTED_VALUE"""),0.0771)</f>
        <v>0.0771</v>
      </c>
      <c r="J234" s="19">
        <f>IFERROR(__xludf.DUMMYFUNCTION("""COMPUTED_VALUE"""),0.1542)</f>
        <v>0.1542</v>
      </c>
      <c r="K234" s="19">
        <f>IFERROR(__xludf.DUMMYFUNCTION("""COMPUTED_VALUE"""),0.1928)</f>
        <v>0.1928</v>
      </c>
      <c r="L234" s="19">
        <f>IFERROR(__xludf.DUMMYFUNCTION("""COMPUTED_VALUE"""),0.2313)</f>
        <v>0.2313</v>
      </c>
      <c r="M234" s="18">
        <f>IFERROR(__xludf.DUMMYFUNCTION("""COMPUTED_VALUE"""),1.63)</f>
        <v>1.63</v>
      </c>
    </row>
    <row r="235">
      <c r="A235" s="13" t="str">
        <f>IFERROR(__xludf.DUMMYFUNCTION("""COMPUTED_VALUE"""),"товари")</f>
        <v>товари</v>
      </c>
      <c r="B235" s="16" t="str">
        <f>IFERROR(__xludf.DUMMYFUNCTION("""COMPUTED_VALUE"""),"авто-, мото")</f>
        <v>авто-, мото</v>
      </c>
      <c r="C235" s="16" t="str">
        <f>IFERROR(__xludf.DUMMYFUNCTION("""COMPUTED_VALUE"""),"аксесуари для авто")</f>
        <v>аксесуари для авто</v>
      </c>
      <c r="D235" s="16" t="str">
        <f>IFERROR(__xludf.DUMMYFUNCTION("""COMPUTED_VALUE"""),"каністри, лійки для палива")</f>
        <v>каністри, лійки для палива</v>
      </c>
      <c r="E235" s="16" t="str">
        <f>IFERROR(__xludf.DUMMYFUNCTION("""COMPUTED_VALUE"""),"каністри, лійки для палива")</f>
        <v>каністри, лійки для палива</v>
      </c>
      <c r="F235" s="17">
        <f>IFERROR(__xludf.DUMMYFUNCTION("""COMPUTED_VALUE"""),3.0)</f>
        <v>3</v>
      </c>
      <c r="G235" s="17" t="str">
        <f>IFERROR(__xludf.DUMMYFUNCTION("""COMPUTED_VALUE"""),"121270")</f>
        <v>121270</v>
      </c>
      <c r="H235" s="17" t="str">
        <f>IFERROR(__xludf.DUMMYFUNCTION("""COMPUTED_VALUE"""),"каністри, лійки для палива")</f>
        <v>каністри, лійки для палива</v>
      </c>
      <c r="I235" s="19">
        <f>IFERROR(__xludf.DUMMYFUNCTION("""COMPUTED_VALUE"""),0.0759)</f>
        <v>0.0759</v>
      </c>
      <c r="J235" s="19">
        <f>IFERROR(__xludf.DUMMYFUNCTION("""COMPUTED_VALUE"""),0.1517)</f>
        <v>0.1517</v>
      </c>
      <c r="K235" s="19">
        <f>IFERROR(__xludf.DUMMYFUNCTION("""COMPUTED_VALUE"""),0.1896)</f>
        <v>0.1896</v>
      </c>
      <c r="L235" s="19">
        <f>IFERROR(__xludf.DUMMYFUNCTION("""COMPUTED_VALUE"""),0.2276)</f>
        <v>0.2276</v>
      </c>
      <c r="M235" s="18">
        <f>IFERROR(__xludf.DUMMYFUNCTION("""COMPUTED_VALUE"""),2.25)</f>
        <v>2.25</v>
      </c>
    </row>
    <row r="236">
      <c r="A236" s="13" t="str">
        <f>IFERROR(__xludf.DUMMYFUNCTION("""COMPUTED_VALUE"""),"товари")</f>
        <v>товари</v>
      </c>
      <c r="B236" s="16" t="str">
        <f>IFERROR(__xludf.DUMMYFUNCTION("""COMPUTED_VALUE"""),"авто-, мото")</f>
        <v>авто-, мото</v>
      </c>
      <c r="C236" s="16" t="str">
        <f>IFERROR(__xludf.DUMMYFUNCTION("""COMPUTED_VALUE"""),"автозапчастини")</f>
        <v>автозапчастини</v>
      </c>
      <c r="D236" s="16" t="str">
        <f>IFERROR(__xludf.DUMMYFUNCTION("""COMPUTED_VALUE"""),"кузовні запчастини")</f>
        <v>кузовні запчастини</v>
      </c>
      <c r="E236" s="16" t="str">
        <f>IFERROR(__xludf.DUMMYFUNCTION("""COMPUTED_VALUE"""),"капоти")</f>
        <v>капоти</v>
      </c>
      <c r="F236" s="17">
        <f>IFERROR(__xludf.DUMMYFUNCTION("""COMPUTED_VALUE"""),4.0)</f>
        <v>4</v>
      </c>
      <c r="G236" s="17" t="str">
        <f>IFERROR(__xludf.DUMMYFUNCTION("""COMPUTED_VALUE"""),"341530")</f>
        <v>341530</v>
      </c>
      <c r="H236" s="17" t="str">
        <f>IFERROR(__xludf.DUMMYFUNCTION("""COMPUTED_VALUE"""),"капоти")</f>
        <v>капоти</v>
      </c>
      <c r="I236" s="19">
        <f>IFERROR(__xludf.DUMMYFUNCTION("""COMPUTED_VALUE"""),0.0545)</f>
        <v>0.0545</v>
      </c>
      <c r="J236" s="19">
        <f>IFERROR(__xludf.DUMMYFUNCTION("""COMPUTED_VALUE"""),0.109)</f>
        <v>0.109</v>
      </c>
      <c r="K236" s="19">
        <f>IFERROR(__xludf.DUMMYFUNCTION("""COMPUTED_VALUE"""),0.1363)</f>
        <v>0.1363</v>
      </c>
      <c r="L236" s="19">
        <f>IFERROR(__xludf.DUMMYFUNCTION("""COMPUTED_VALUE"""),0.1635)</f>
        <v>0.1635</v>
      </c>
      <c r="M236" s="18">
        <f>IFERROR(__xludf.DUMMYFUNCTION("""COMPUTED_VALUE"""),1.53)</f>
        <v>1.53</v>
      </c>
    </row>
    <row r="237">
      <c r="A237" s="13" t="str">
        <f>IFERROR(__xludf.DUMMYFUNCTION("""COMPUTED_VALUE"""),"товари")</f>
        <v>товари</v>
      </c>
      <c r="B237" s="16" t="str">
        <f>IFERROR(__xludf.DUMMYFUNCTION("""COMPUTED_VALUE"""),"авто-, мото")</f>
        <v>авто-, мото</v>
      </c>
      <c r="C237" s="16" t="str">
        <f>IFERROR(__xludf.DUMMYFUNCTION("""COMPUTED_VALUE"""),"автозапчастини")</f>
        <v>автозапчастини</v>
      </c>
      <c r="D237" s="16" t="str">
        <f>IFERROR(__xludf.DUMMYFUNCTION("""COMPUTED_VALUE"""),"система живлення двигуна")</f>
        <v>система живлення двигуна</v>
      </c>
      <c r="E237" s="16" t="str">
        <f>IFERROR(__xludf.DUMMYFUNCTION("""COMPUTED_VALUE"""),"карбюратори і комплектуючі")</f>
        <v>карбюратори і комплектуючі</v>
      </c>
      <c r="F237" s="17">
        <f>IFERROR(__xludf.DUMMYFUNCTION("""COMPUTED_VALUE"""),4.0)</f>
        <v>4</v>
      </c>
      <c r="G237" s="17" t="str">
        <f>IFERROR(__xludf.DUMMYFUNCTION("""COMPUTED_VALUE"""),"12020415")</f>
        <v>12020415</v>
      </c>
      <c r="H237" s="17" t="str">
        <f>IFERROR(__xludf.DUMMYFUNCTION("""COMPUTED_VALUE"""),"карбюратори і комплектуючі")</f>
        <v>карбюратори і комплектуючі</v>
      </c>
      <c r="I237" s="19">
        <f>IFERROR(__xludf.DUMMYFUNCTION("""COMPUTED_VALUE"""),0.0536)</f>
        <v>0.0536</v>
      </c>
      <c r="J237" s="19">
        <f>IFERROR(__xludf.DUMMYFUNCTION("""COMPUTED_VALUE"""),0.1072)</f>
        <v>0.1072</v>
      </c>
      <c r="K237" s="19">
        <f>IFERROR(__xludf.DUMMYFUNCTION("""COMPUTED_VALUE"""),0.134)</f>
        <v>0.134</v>
      </c>
      <c r="L237" s="19">
        <f>IFERROR(__xludf.DUMMYFUNCTION("""COMPUTED_VALUE"""),0.1608)</f>
        <v>0.1608</v>
      </c>
      <c r="M237" s="18">
        <f>IFERROR(__xludf.DUMMYFUNCTION("""COMPUTED_VALUE"""),1.53)</f>
        <v>1.53</v>
      </c>
    </row>
    <row r="238">
      <c r="A238" s="13" t="str">
        <f>IFERROR(__xludf.DUMMYFUNCTION("""COMPUTED_VALUE"""),"товари")</f>
        <v>товари</v>
      </c>
      <c r="B238" s="16" t="str">
        <f>IFERROR(__xludf.DUMMYFUNCTION("""COMPUTED_VALUE"""),"авто-, мото")</f>
        <v>авто-, мото</v>
      </c>
      <c r="C238" s="16" t="str">
        <f>IFERROR(__xludf.DUMMYFUNCTION("""COMPUTED_VALUE"""),"автозапчастини")</f>
        <v>автозапчастини</v>
      </c>
      <c r="D238" s="16" t="str">
        <f>IFERROR(__xludf.DUMMYFUNCTION("""COMPUTED_VALUE"""),"деталі мостів і приводу трансмісії")</f>
        <v>деталі мостів і приводу трансмісії</v>
      </c>
      <c r="E238" s="16" t="str">
        <f>IFERROR(__xludf.DUMMYFUNCTION("""COMPUTED_VALUE"""),"карданна передача")</f>
        <v>карданна передача</v>
      </c>
      <c r="F238" s="17">
        <f>IFERROR(__xludf.DUMMYFUNCTION("""COMPUTED_VALUE"""),4.0)</f>
        <v>4</v>
      </c>
      <c r="G238" s="17" t="str">
        <f>IFERROR(__xludf.DUMMYFUNCTION("""COMPUTED_VALUE"""),"12023805")</f>
        <v>12023805</v>
      </c>
      <c r="H238" s="17" t="str">
        <f>IFERROR(__xludf.DUMMYFUNCTION("""COMPUTED_VALUE"""),"карданна передача")</f>
        <v>карданна передача</v>
      </c>
      <c r="I238" s="19">
        <f>IFERROR(__xludf.DUMMYFUNCTION("""COMPUTED_VALUE"""),0.0516)</f>
        <v>0.0516</v>
      </c>
      <c r="J238" s="19">
        <f>IFERROR(__xludf.DUMMYFUNCTION("""COMPUTED_VALUE"""),0.1031)</f>
        <v>0.1031</v>
      </c>
      <c r="K238" s="19">
        <f>IFERROR(__xludf.DUMMYFUNCTION("""COMPUTED_VALUE"""),0.1289)</f>
        <v>0.1289</v>
      </c>
      <c r="L238" s="19">
        <f>IFERROR(__xludf.DUMMYFUNCTION("""COMPUTED_VALUE"""),0.1547)</f>
        <v>0.1547</v>
      </c>
      <c r="M238" s="18">
        <f>IFERROR(__xludf.DUMMYFUNCTION("""COMPUTED_VALUE"""),1.71)</f>
        <v>1.71</v>
      </c>
    </row>
    <row r="239">
      <c r="A239" s="13" t="str">
        <f>IFERROR(__xludf.DUMMYFUNCTION("""COMPUTED_VALUE"""),"товари")</f>
        <v>товари</v>
      </c>
      <c r="B239" s="16" t="str">
        <f>IFERROR(__xludf.DUMMYFUNCTION("""COMPUTED_VALUE"""),"авто-, мото")</f>
        <v>авто-, мото</v>
      </c>
      <c r="C239" s="16" t="str">
        <f>IFERROR(__xludf.DUMMYFUNCTION("""COMPUTED_VALUE"""),"автозапчастини")</f>
        <v>автозапчастини</v>
      </c>
      <c r="D239" s="16" t="str">
        <f>IFERROR(__xludf.DUMMYFUNCTION("""COMPUTED_VALUE"""),"система випуску відпрацьованих газів")</f>
        <v>система випуску відпрацьованих газів</v>
      </c>
      <c r="E239" s="16" t="str">
        <f>IFERROR(__xludf.DUMMYFUNCTION("""COMPUTED_VALUE"""),"каталізатори для транспорту")</f>
        <v>каталізатори для транспорту</v>
      </c>
      <c r="F239" s="17">
        <f>IFERROR(__xludf.DUMMYFUNCTION("""COMPUTED_VALUE"""),4.0)</f>
        <v>4</v>
      </c>
      <c r="G239" s="17" t="str">
        <f>IFERROR(__xludf.DUMMYFUNCTION("""COMPUTED_VALUE"""),"12021501")</f>
        <v>12021501</v>
      </c>
      <c r="H239" s="17" t="str">
        <f>IFERROR(__xludf.DUMMYFUNCTION("""COMPUTED_VALUE"""),"каталізатори для транспорту")</f>
        <v>каталізатори для транспорту</v>
      </c>
      <c r="I239" s="19">
        <f>IFERROR(__xludf.DUMMYFUNCTION("""COMPUTED_VALUE"""),0.055)</f>
        <v>0.055</v>
      </c>
      <c r="J239" s="19">
        <f>IFERROR(__xludf.DUMMYFUNCTION("""COMPUTED_VALUE"""),0.11)</f>
        <v>0.11</v>
      </c>
      <c r="K239" s="19">
        <f>IFERROR(__xludf.DUMMYFUNCTION("""COMPUTED_VALUE"""),0.1375)</f>
        <v>0.1375</v>
      </c>
      <c r="L239" s="19">
        <f>IFERROR(__xludf.DUMMYFUNCTION("""COMPUTED_VALUE"""),0.165)</f>
        <v>0.165</v>
      </c>
      <c r="M239" s="18">
        <f>IFERROR(__xludf.DUMMYFUNCTION("""COMPUTED_VALUE"""),1.53)</f>
        <v>1.53</v>
      </c>
    </row>
    <row r="240">
      <c r="A240" s="13" t="str">
        <f>IFERROR(__xludf.DUMMYFUNCTION("""COMPUTED_VALUE"""),"товари")</f>
        <v>товари</v>
      </c>
      <c r="B240" s="16" t="str">
        <f>IFERROR(__xludf.DUMMYFUNCTION("""COMPUTED_VALUE"""),"авто-, мото")</f>
        <v>авто-, мото</v>
      </c>
      <c r="C240" s="16" t="str">
        <f>IFERROR(__xludf.DUMMYFUNCTION("""COMPUTED_VALUE"""),"автозапчастини")</f>
        <v>автозапчастини</v>
      </c>
      <c r="D240" s="16" t="str">
        <f>IFERROR(__xludf.DUMMYFUNCTION("""COMPUTED_VALUE"""),"деталі салону автомобіля")</f>
        <v>деталі салону автомобіля</v>
      </c>
      <c r="E240" s="16" t="str">
        <f>IFERROR(__xludf.DUMMYFUNCTION("""COMPUTED_VALUE"""),"кермо")</f>
        <v>кермо</v>
      </c>
      <c r="F240" s="17">
        <f>IFERROR(__xludf.DUMMYFUNCTION("""COMPUTED_VALUE"""),4.0)</f>
        <v>4</v>
      </c>
      <c r="G240" s="17" t="str">
        <f>IFERROR(__xludf.DUMMYFUNCTION("""COMPUTED_VALUE"""),"121216")</f>
        <v>121216</v>
      </c>
      <c r="H240" s="17" t="str">
        <f>IFERROR(__xludf.DUMMYFUNCTION("""COMPUTED_VALUE"""),"кермо")</f>
        <v>кермо</v>
      </c>
      <c r="I240" s="19">
        <f>IFERROR(__xludf.DUMMYFUNCTION("""COMPUTED_VALUE"""),0.056)</f>
        <v>0.056</v>
      </c>
      <c r="J240" s="19">
        <f>IFERROR(__xludf.DUMMYFUNCTION("""COMPUTED_VALUE"""),0.1119)</f>
        <v>0.1119</v>
      </c>
      <c r="K240" s="19">
        <f>IFERROR(__xludf.DUMMYFUNCTION("""COMPUTED_VALUE"""),0.1399)</f>
        <v>0.1399</v>
      </c>
      <c r="L240" s="19">
        <f>IFERROR(__xludf.DUMMYFUNCTION("""COMPUTED_VALUE"""),0.1679)</f>
        <v>0.1679</v>
      </c>
      <c r="M240" s="18">
        <f>IFERROR(__xludf.DUMMYFUNCTION("""COMPUTED_VALUE"""),1.05)</f>
        <v>1.05</v>
      </c>
    </row>
    <row r="241">
      <c r="A241" s="13" t="str">
        <f>IFERROR(__xludf.DUMMYFUNCTION("""COMPUTED_VALUE"""),"товари")</f>
        <v>товари</v>
      </c>
      <c r="B241" s="16" t="str">
        <f>IFERROR(__xludf.DUMMYFUNCTION("""COMPUTED_VALUE"""),"авто-, мото")</f>
        <v>авто-, мото</v>
      </c>
      <c r="C241" s="16" t="str">
        <f>IFERROR(__xludf.DUMMYFUNCTION("""COMPUTED_VALUE"""),"автозапчастини")</f>
        <v>автозапчастини</v>
      </c>
      <c r="D241" s="16" t="str">
        <f>IFERROR(__xludf.DUMMYFUNCTION("""COMPUTED_VALUE"""),"органи керування")</f>
        <v>органи керування</v>
      </c>
      <c r="E241" s="16" t="str">
        <f>IFERROR(__xludf.DUMMYFUNCTION("""COMPUTED_VALUE"""),"кермові тяги")</f>
        <v>кермові тяги</v>
      </c>
      <c r="F241" s="17">
        <f>IFERROR(__xludf.DUMMYFUNCTION("""COMPUTED_VALUE"""),4.0)</f>
        <v>4</v>
      </c>
      <c r="G241" s="17" t="str">
        <f>IFERROR(__xludf.DUMMYFUNCTION("""COMPUTED_VALUE"""),"12023701")</f>
        <v>12023701</v>
      </c>
      <c r="H241" s="17" t="str">
        <f>IFERROR(__xludf.DUMMYFUNCTION("""COMPUTED_VALUE"""),"кермові тяги")</f>
        <v>кермові тяги</v>
      </c>
      <c r="I241" s="19">
        <f>IFERROR(__xludf.DUMMYFUNCTION("""COMPUTED_VALUE"""),0.0543)</f>
        <v>0.0543</v>
      </c>
      <c r="J241" s="19">
        <f>IFERROR(__xludf.DUMMYFUNCTION("""COMPUTED_VALUE"""),0.1086)</f>
        <v>0.1086</v>
      </c>
      <c r="K241" s="19">
        <f>IFERROR(__xludf.DUMMYFUNCTION("""COMPUTED_VALUE"""),0.1358)</f>
        <v>0.1358</v>
      </c>
      <c r="L241" s="19">
        <f>IFERROR(__xludf.DUMMYFUNCTION("""COMPUTED_VALUE"""),0.1629)</f>
        <v>0.1629</v>
      </c>
      <c r="M241" s="18">
        <f>IFERROR(__xludf.DUMMYFUNCTION("""COMPUTED_VALUE"""),1.71)</f>
        <v>1.71</v>
      </c>
    </row>
    <row r="242">
      <c r="A242" s="13" t="str">
        <f>IFERROR(__xludf.DUMMYFUNCTION("""COMPUTED_VALUE"""),"товари")</f>
        <v>товари</v>
      </c>
      <c r="B242" s="16" t="str">
        <f>IFERROR(__xludf.DUMMYFUNCTION("""COMPUTED_VALUE"""),"авто-, мото")</f>
        <v>авто-, мото</v>
      </c>
      <c r="C242" s="16" t="str">
        <f>IFERROR(__xludf.DUMMYFUNCTION("""COMPUTED_VALUE"""),"автозапчастини")</f>
        <v>автозапчастини</v>
      </c>
      <c r="D242" s="16" t="str">
        <f>IFERROR(__xludf.DUMMYFUNCTION("""COMPUTED_VALUE"""),"газорозподільний механізм (грм)")</f>
        <v>газорозподільний механізм (грм)</v>
      </c>
      <c r="E242" s="16" t="str">
        <f>IFERROR(__xludf.DUMMYFUNCTION("""COMPUTED_VALUE"""),"клапани, осі, коромисла двигуна, штовхачі клапанів")</f>
        <v>клапани, осі, коромисла двигуна, штовхачі клапанів</v>
      </c>
      <c r="F242" s="17">
        <f>IFERROR(__xludf.DUMMYFUNCTION("""COMPUTED_VALUE"""),4.0)</f>
        <v>4</v>
      </c>
      <c r="G242" s="17" t="str">
        <f>IFERROR(__xludf.DUMMYFUNCTION("""COMPUTED_VALUE"""),"12020407")</f>
        <v>12020407</v>
      </c>
      <c r="H242" s="17" t="str">
        <f>IFERROR(__xludf.DUMMYFUNCTION("""COMPUTED_VALUE"""),"клапани, осі, коромисла двигуна, штовхачі клапанів")</f>
        <v>клапани, осі, коромисла двигуна, штовхачі клапанів</v>
      </c>
      <c r="I242" s="19">
        <f>IFERROR(__xludf.DUMMYFUNCTION("""COMPUTED_VALUE"""),0.0523)</f>
        <v>0.0523</v>
      </c>
      <c r="J242" s="19">
        <f>IFERROR(__xludf.DUMMYFUNCTION("""COMPUTED_VALUE"""),0.1045)</f>
        <v>0.1045</v>
      </c>
      <c r="K242" s="19">
        <f>IFERROR(__xludf.DUMMYFUNCTION("""COMPUTED_VALUE"""),0.1306)</f>
        <v>0.1306</v>
      </c>
      <c r="L242" s="19">
        <f>IFERROR(__xludf.DUMMYFUNCTION("""COMPUTED_VALUE"""),0.1568)</f>
        <v>0.1568</v>
      </c>
      <c r="M242" s="18">
        <f>IFERROR(__xludf.DUMMYFUNCTION("""COMPUTED_VALUE"""),1.53)</f>
        <v>1.53</v>
      </c>
    </row>
    <row r="243">
      <c r="A243" s="13" t="str">
        <f>IFERROR(__xludf.DUMMYFUNCTION("""COMPUTED_VALUE"""),"товари")</f>
        <v>товари</v>
      </c>
      <c r="B243" s="16" t="str">
        <f>IFERROR(__xludf.DUMMYFUNCTION("""COMPUTED_VALUE"""),"авто-, мото")</f>
        <v>авто-, мото</v>
      </c>
      <c r="C243" s="16" t="str">
        <f>IFERROR(__xludf.DUMMYFUNCTION("""COMPUTED_VALUE"""),"диски і шини")</f>
        <v>диски і шини</v>
      </c>
      <c r="D243" s="16" t="str">
        <f>IFERROR(__xludf.DUMMYFUNCTION("""COMPUTED_VALUE"""),"ковпаки для дисків")</f>
        <v>ковпаки для дисків</v>
      </c>
      <c r="E243" s="16" t="str">
        <f>IFERROR(__xludf.DUMMYFUNCTION("""COMPUTED_VALUE"""),"ковпаки для дисків")</f>
        <v>ковпаки для дисків</v>
      </c>
      <c r="F243" s="17">
        <f>IFERROR(__xludf.DUMMYFUNCTION("""COMPUTED_VALUE"""),3.0)</f>
        <v>3</v>
      </c>
      <c r="G243" s="17" t="str">
        <f>IFERROR(__xludf.DUMMYFUNCTION("""COMPUTED_VALUE"""),"80120209")</f>
        <v>80120209</v>
      </c>
      <c r="H243" s="17" t="str">
        <f>IFERROR(__xludf.DUMMYFUNCTION("""COMPUTED_VALUE"""),"ковпаки для дисків")</f>
        <v>ковпаки для дисків</v>
      </c>
      <c r="I243" s="19">
        <f>IFERROR(__xludf.DUMMYFUNCTION("""COMPUTED_VALUE"""),0.0727)</f>
        <v>0.0727</v>
      </c>
      <c r="J243" s="19">
        <f>IFERROR(__xludf.DUMMYFUNCTION("""COMPUTED_VALUE"""),0.1453)</f>
        <v>0.1453</v>
      </c>
      <c r="K243" s="19">
        <f>IFERROR(__xludf.DUMMYFUNCTION("""COMPUTED_VALUE"""),0.1816)</f>
        <v>0.1816</v>
      </c>
      <c r="L243" s="19">
        <f>IFERROR(__xludf.DUMMYFUNCTION("""COMPUTED_VALUE"""),0.218)</f>
        <v>0.218</v>
      </c>
      <c r="M243" s="18">
        <f>IFERROR(__xludf.DUMMYFUNCTION("""COMPUTED_VALUE"""),1.26)</f>
        <v>1.26</v>
      </c>
    </row>
    <row r="244">
      <c r="A244" s="13" t="str">
        <f>IFERROR(__xludf.DUMMYFUNCTION("""COMPUTED_VALUE"""),"товари")</f>
        <v>товари</v>
      </c>
      <c r="B244" s="16" t="str">
        <f>IFERROR(__xludf.DUMMYFUNCTION("""COMPUTED_VALUE"""),"авто-, мото")</f>
        <v>авто-, мото</v>
      </c>
      <c r="C244" s="16" t="str">
        <f>IFERROR(__xludf.DUMMYFUNCTION("""COMPUTED_VALUE"""),"мототехніка")</f>
        <v>мототехніка</v>
      </c>
      <c r="D244" s="16" t="str">
        <f>IFERROR(__xludf.DUMMYFUNCTION("""COMPUTED_VALUE"""),"запчастини для мототехніки")</f>
        <v>запчастини для мототехніки</v>
      </c>
      <c r="E244" s="16" t="str">
        <f>IFERROR(__xludf.DUMMYFUNCTION("""COMPUTED_VALUE"""),"колеса для мототехніки")</f>
        <v>колеса для мототехніки</v>
      </c>
      <c r="F244" s="17">
        <f>IFERROR(__xludf.DUMMYFUNCTION("""COMPUTED_VALUE"""),4.0)</f>
        <v>4</v>
      </c>
      <c r="G244" s="17" t="str">
        <f>IFERROR(__xludf.DUMMYFUNCTION("""COMPUTED_VALUE"""),"340620")</f>
        <v>340620</v>
      </c>
      <c r="H244" s="17" t="str">
        <f>IFERROR(__xludf.DUMMYFUNCTION("""COMPUTED_VALUE"""),"колеса для мототехніки")</f>
        <v>колеса для мототехніки</v>
      </c>
      <c r="I244" s="19">
        <f>IFERROR(__xludf.DUMMYFUNCTION("""COMPUTED_VALUE"""),0.0535)</f>
        <v>0.0535</v>
      </c>
      <c r="J244" s="19">
        <f>IFERROR(__xludf.DUMMYFUNCTION("""COMPUTED_VALUE"""),0.107)</f>
        <v>0.107</v>
      </c>
      <c r="K244" s="19">
        <f>IFERROR(__xludf.DUMMYFUNCTION("""COMPUTED_VALUE"""),0.1338)</f>
        <v>0.1338</v>
      </c>
      <c r="L244" s="19">
        <f>IFERROR(__xludf.DUMMYFUNCTION("""COMPUTED_VALUE"""),0.1605)</f>
        <v>0.1605</v>
      </c>
      <c r="M244" s="18">
        <f>IFERROR(__xludf.DUMMYFUNCTION("""COMPUTED_VALUE"""),1.98)</f>
        <v>1.98</v>
      </c>
    </row>
    <row r="245">
      <c r="A245" s="13" t="str">
        <f>IFERROR(__xludf.DUMMYFUNCTION("""COMPUTED_VALUE"""),"товари")</f>
        <v>товари</v>
      </c>
      <c r="B245" s="16" t="str">
        <f>IFERROR(__xludf.DUMMYFUNCTION("""COMPUTED_VALUE"""),"авто-, мото")</f>
        <v>авто-, мото</v>
      </c>
      <c r="C245" s="16" t="str">
        <f>IFERROR(__xludf.DUMMYFUNCTION("""COMPUTED_VALUE"""),"мототехніка")</f>
        <v>мототехніка</v>
      </c>
      <c r="D245" s="16" t="str">
        <f>IFERROR(__xludf.DUMMYFUNCTION("""COMPUTED_VALUE"""),"запчастини для мототехніки")</f>
        <v>запчастини для мототехніки</v>
      </c>
      <c r="E245" s="16" t="str">
        <f>IFERROR(__xludf.DUMMYFUNCTION("""COMPUTED_VALUE"""),"деталі двигуна для мототехніки")</f>
        <v>деталі двигуна для мототехніки</v>
      </c>
      <c r="F245" s="17">
        <f>IFERROR(__xludf.DUMMYFUNCTION("""COMPUTED_VALUE"""),5.0)</f>
        <v>5</v>
      </c>
      <c r="G245" s="17">
        <f>IFERROR(__xludf.DUMMYFUNCTION("""COMPUTED_VALUE"""),340626.0)</f>
        <v>340626</v>
      </c>
      <c r="H245" s="17" t="str">
        <f>IFERROR(__xludf.DUMMYFUNCTION("""COMPUTED_VALUE"""),"колінвал і шатунний механізм (кшм) для мототехніки")</f>
        <v>колінвал і шатунний механізм (кшм) для мототехніки</v>
      </c>
      <c r="I245" s="19">
        <f>IFERROR(__xludf.DUMMYFUNCTION("""COMPUTED_VALUE"""),0.0468)</f>
        <v>0.0468</v>
      </c>
      <c r="J245" s="19">
        <f>IFERROR(__xludf.DUMMYFUNCTION("""COMPUTED_VALUE"""),0.0936)</f>
        <v>0.0936</v>
      </c>
      <c r="K245" s="19">
        <f>IFERROR(__xludf.DUMMYFUNCTION("""COMPUTED_VALUE"""),0.117)</f>
        <v>0.117</v>
      </c>
      <c r="L245" s="19">
        <f>IFERROR(__xludf.DUMMYFUNCTION("""COMPUTED_VALUE"""),0.1404)</f>
        <v>0.1404</v>
      </c>
      <c r="M245" s="18">
        <f>IFERROR(__xludf.DUMMYFUNCTION("""COMPUTED_VALUE"""),1.98)</f>
        <v>1.98</v>
      </c>
    </row>
    <row r="246">
      <c r="A246" s="13" t="str">
        <f>IFERROR(__xludf.DUMMYFUNCTION("""COMPUTED_VALUE"""),"товари")</f>
        <v>товари</v>
      </c>
      <c r="B246" s="16" t="str">
        <f>IFERROR(__xludf.DUMMYFUNCTION("""COMPUTED_VALUE"""),"авто-, мото")</f>
        <v>авто-, мото</v>
      </c>
      <c r="C246" s="16" t="str">
        <f>IFERROR(__xludf.DUMMYFUNCTION("""COMPUTED_VALUE"""),"диски і шини")</f>
        <v>диски і шини</v>
      </c>
      <c r="D246" s="16" t="str">
        <f>IFERROR(__xludf.DUMMYFUNCTION("""COMPUTED_VALUE"""),"колісні диски")</f>
        <v>колісні диски</v>
      </c>
      <c r="E246" s="16" t="str">
        <f>IFERROR(__xludf.DUMMYFUNCTION("""COMPUTED_VALUE"""),"колісні диски")</f>
        <v>колісні диски</v>
      </c>
      <c r="F246" s="17">
        <f>IFERROR(__xludf.DUMMYFUNCTION("""COMPUTED_VALUE"""),3.0)</f>
        <v>3</v>
      </c>
      <c r="G246" s="17" t="str">
        <f>IFERROR(__xludf.DUMMYFUNCTION("""COMPUTED_VALUE"""),"801220")</f>
        <v>801220</v>
      </c>
      <c r="H246" s="17" t="str">
        <f>IFERROR(__xludf.DUMMYFUNCTION("""COMPUTED_VALUE"""),"колісні диски")</f>
        <v>колісні диски</v>
      </c>
      <c r="I246" s="19">
        <f>IFERROR(__xludf.DUMMYFUNCTION("""COMPUTED_VALUE"""),0.021)</f>
        <v>0.021</v>
      </c>
      <c r="J246" s="19">
        <f>IFERROR(__xludf.DUMMYFUNCTION("""COMPUTED_VALUE"""),0.042)</f>
        <v>0.042</v>
      </c>
      <c r="K246" s="19">
        <f>IFERROR(__xludf.DUMMYFUNCTION("""COMPUTED_VALUE"""),0.0525)</f>
        <v>0.0525</v>
      </c>
      <c r="L246" s="19">
        <f>IFERROR(__xludf.DUMMYFUNCTION("""COMPUTED_VALUE"""),0.063)</f>
        <v>0.063</v>
      </c>
      <c r="M246" s="18">
        <f>IFERROR(__xludf.DUMMYFUNCTION("""COMPUTED_VALUE"""),1.05)</f>
        <v>1.05</v>
      </c>
    </row>
    <row r="247">
      <c r="A247" s="13" t="str">
        <f>IFERROR(__xludf.DUMMYFUNCTION("""COMPUTED_VALUE"""),"товари")</f>
        <v>товари</v>
      </c>
      <c r="B247" s="16" t="str">
        <f>IFERROR(__xludf.DUMMYFUNCTION("""COMPUTED_VALUE"""),"авто-, мото")</f>
        <v>авто-, мото</v>
      </c>
      <c r="C247" s="16" t="str">
        <f>IFERROR(__xludf.DUMMYFUNCTION("""COMPUTED_VALUE"""),"автозапчастини")</f>
        <v>автозапчастини</v>
      </c>
      <c r="D247" s="16" t="str">
        <f>IFERROR(__xludf.DUMMYFUNCTION("""COMPUTED_VALUE"""),"фільтри для авто-, мото- і вантажної техніки")</f>
        <v>фільтри для авто-, мото- і вантажної техніки</v>
      </c>
      <c r="E247" s="16" t="str">
        <f>IFERROR(__xludf.DUMMYFUNCTION("""COMPUTED_VALUE"""),"комплекти автомобільних фільтрів")</f>
        <v>комплекти автомобільних фільтрів</v>
      </c>
      <c r="F247" s="17">
        <f>IFERROR(__xludf.DUMMYFUNCTION("""COMPUTED_VALUE"""),4.0)</f>
        <v>4</v>
      </c>
      <c r="G247" s="17" t="str">
        <f>IFERROR(__xludf.DUMMYFUNCTION("""COMPUTED_VALUE"""),"12021006")</f>
        <v>12021006</v>
      </c>
      <c r="H247" s="17" t="str">
        <f>IFERROR(__xludf.DUMMYFUNCTION("""COMPUTED_VALUE"""),"комплекти автомобільних фільтрів")</f>
        <v>комплекти автомобільних фільтрів</v>
      </c>
      <c r="I247" s="19">
        <f>IFERROR(__xludf.DUMMYFUNCTION("""COMPUTED_VALUE"""),0.0465)</f>
        <v>0.0465</v>
      </c>
      <c r="J247" s="19">
        <f>IFERROR(__xludf.DUMMYFUNCTION("""COMPUTED_VALUE"""),0.093)</f>
        <v>0.093</v>
      </c>
      <c r="K247" s="19">
        <f>IFERROR(__xludf.DUMMYFUNCTION("""COMPUTED_VALUE"""),0.1163)</f>
        <v>0.1163</v>
      </c>
      <c r="L247" s="19">
        <f>IFERROR(__xludf.DUMMYFUNCTION("""COMPUTED_VALUE"""),0.1395)</f>
        <v>0.1395</v>
      </c>
      <c r="M247" s="18">
        <f>IFERROR(__xludf.DUMMYFUNCTION("""COMPUTED_VALUE"""),1.05)</f>
        <v>1.05</v>
      </c>
    </row>
    <row r="248">
      <c r="A248" s="13" t="str">
        <f>IFERROR(__xludf.DUMMYFUNCTION("""COMPUTED_VALUE"""),"товари")</f>
        <v>товари</v>
      </c>
      <c r="B248" s="16" t="str">
        <f>IFERROR(__xludf.DUMMYFUNCTION("""COMPUTED_VALUE"""),"авто-, мото")</f>
        <v>авто-, мото</v>
      </c>
      <c r="C248" s="16" t="str">
        <f>IFERROR(__xludf.DUMMYFUNCTION("""COMPUTED_VALUE"""),"диски і шини")</f>
        <v>диски і шини</v>
      </c>
      <c r="D248" s="16" t="str">
        <f>IFERROR(__xludf.DUMMYFUNCTION("""COMPUTED_VALUE"""),"комплекти коліс в зборі")</f>
        <v>комплекти коліс в зборі</v>
      </c>
      <c r="E248" s="16" t="str">
        <f>IFERROR(__xludf.DUMMYFUNCTION("""COMPUTED_VALUE"""),"комплекти коліс в зборі")</f>
        <v>комплекти коліс в зборі</v>
      </c>
      <c r="F248" s="17">
        <f>IFERROR(__xludf.DUMMYFUNCTION("""COMPUTED_VALUE"""),3.0)</f>
        <v>3</v>
      </c>
      <c r="G248" s="17" t="str">
        <f>IFERROR(__xludf.DUMMYFUNCTION("""COMPUTED_VALUE"""),"341509")</f>
        <v>341509</v>
      </c>
      <c r="H248" s="17" t="str">
        <f>IFERROR(__xludf.DUMMYFUNCTION("""COMPUTED_VALUE"""),"комплекти коліс в зборі")</f>
        <v>комплекти коліс в зборі</v>
      </c>
      <c r="I248" s="19">
        <f>IFERROR(__xludf.DUMMYFUNCTION("""COMPUTED_VALUE"""),0.0352)</f>
        <v>0.0352</v>
      </c>
      <c r="J248" s="19">
        <f>IFERROR(__xludf.DUMMYFUNCTION("""COMPUTED_VALUE"""),0.0704)</f>
        <v>0.0704</v>
      </c>
      <c r="K248" s="19">
        <f>IFERROR(__xludf.DUMMYFUNCTION("""COMPUTED_VALUE"""),0.088)</f>
        <v>0.088</v>
      </c>
      <c r="L248" s="19">
        <f>IFERROR(__xludf.DUMMYFUNCTION("""COMPUTED_VALUE"""),0.1056)</f>
        <v>0.1056</v>
      </c>
      <c r="M248" s="18">
        <f>IFERROR(__xludf.DUMMYFUNCTION("""COMPUTED_VALUE"""),1.05)</f>
        <v>1.05</v>
      </c>
    </row>
    <row r="249">
      <c r="A249" s="13" t="str">
        <f>IFERROR(__xludf.DUMMYFUNCTION("""COMPUTED_VALUE"""),"товари")</f>
        <v>товари</v>
      </c>
      <c r="B249" s="16" t="str">
        <f>IFERROR(__xludf.DUMMYFUNCTION("""COMPUTED_VALUE"""),"авто-, мото")</f>
        <v>авто-, мото</v>
      </c>
      <c r="C249" s="16" t="str">
        <f>IFERROR(__xludf.DUMMYFUNCTION("""COMPUTED_VALUE"""),"автозапчастини")</f>
        <v>автозапчастини</v>
      </c>
      <c r="D249" s="16" t="str">
        <f>IFERROR(__xludf.DUMMYFUNCTION("""COMPUTED_VALUE"""),"світлові прилади транспорту")</f>
        <v>світлові прилади транспорту</v>
      </c>
      <c r="E249" s="16" t="str">
        <f>IFERROR(__xludf.DUMMYFUNCTION("""COMPUTED_VALUE"""),"комплекти ксенону")</f>
        <v>комплекти ксенону</v>
      </c>
      <c r="F249" s="17">
        <f>IFERROR(__xludf.DUMMYFUNCTION("""COMPUTED_VALUE"""),4.0)</f>
        <v>4</v>
      </c>
      <c r="G249" s="17" t="str">
        <f>IFERROR(__xludf.DUMMYFUNCTION("""COMPUTED_VALUE"""),"121207")</f>
        <v>121207</v>
      </c>
      <c r="H249" s="17" t="str">
        <f>IFERROR(__xludf.DUMMYFUNCTION("""COMPUTED_VALUE"""),"комплекти ксенону")</f>
        <v>комплекти ксенону</v>
      </c>
      <c r="I249" s="19">
        <f>IFERROR(__xludf.DUMMYFUNCTION("""COMPUTED_VALUE"""),0.0735)</f>
        <v>0.0735</v>
      </c>
      <c r="J249" s="19">
        <f>IFERROR(__xludf.DUMMYFUNCTION("""COMPUTED_VALUE"""),0.1469)</f>
        <v>0.1469</v>
      </c>
      <c r="K249" s="19">
        <f>IFERROR(__xludf.DUMMYFUNCTION("""COMPUTED_VALUE"""),0.1836)</f>
        <v>0.1836</v>
      </c>
      <c r="L249" s="19">
        <f>IFERROR(__xludf.DUMMYFUNCTION("""COMPUTED_VALUE"""),0.2204)</f>
        <v>0.2204</v>
      </c>
      <c r="M249" s="18">
        <f>IFERROR(__xludf.DUMMYFUNCTION("""COMPUTED_VALUE"""),2.16)</f>
        <v>2.16</v>
      </c>
    </row>
    <row r="250">
      <c r="A250" s="13" t="str">
        <f>IFERROR(__xludf.DUMMYFUNCTION("""COMPUTED_VALUE"""),"товари")</f>
        <v>товари</v>
      </c>
      <c r="B250" s="16" t="str">
        <f>IFERROR(__xludf.DUMMYFUNCTION("""COMPUTED_VALUE"""),"авто-, мото")</f>
        <v>авто-, мото</v>
      </c>
      <c r="C250" s="16" t="str">
        <f>IFERROR(__xludf.DUMMYFUNCTION("""COMPUTED_VALUE"""),"автозапчастини")</f>
        <v>автозапчастини</v>
      </c>
      <c r="D250" s="16" t="str">
        <f>IFERROR(__xludf.DUMMYFUNCTION("""COMPUTED_VALUE"""),"запчастини гальмівної системи")</f>
        <v>запчастини гальмівної системи</v>
      </c>
      <c r="E250" s="16" t="str">
        <f>IFERROR(__xludf.DUMMYFUNCTION("""COMPUTED_VALUE"""),"комплектуючі гальмівної системи")</f>
        <v>комплектуючі гальмівної системи</v>
      </c>
      <c r="F250" s="17">
        <f>IFERROR(__xludf.DUMMYFUNCTION("""COMPUTED_VALUE"""),4.0)</f>
        <v>4</v>
      </c>
      <c r="G250" s="17" t="str">
        <f>IFERROR(__xludf.DUMMYFUNCTION("""COMPUTED_VALUE"""),"341633")</f>
        <v>341633</v>
      </c>
      <c r="H250" s="17" t="str">
        <f>IFERROR(__xludf.DUMMYFUNCTION("""COMPUTED_VALUE"""),"комплектуючі гальмівної системи")</f>
        <v>комплектуючі гальмівної системи</v>
      </c>
      <c r="I250" s="19">
        <f>IFERROR(__xludf.DUMMYFUNCTION("""COMPUTED_VALUE"""),0.0507)</f>
        <v>0.0507</v>
      </c>
      <c r="J250" s="19">
        <f>IFERROR(__xludf.DUMMYFUNCTION("""COMPUTED_VALUE"""),0.1013)</f>
        <v>0.1013</v>
      </c>
      <c r="K250" s="19">
        <f>IFERROR(__xludf.DUMMYFUNCTION("""COMPUTED_VALUE"""),0.1266)</f>
        <v>0.1266</v>
      </c>
      <c r="L250" s="19">
        <f>IFERROR(__xludf.DUMMYFUNCTION("""COMPUTED_VALUE"""),0.152)</f>
        <v>0.152</v>
      </c>
      <c r="M250" s="18">
        <f>IFERROR(__xludf.DUMMYFUNCTION("""COMPUTED_VALUE"""),1.63)</f>
        <v>1.63</v>
      </c>
    </row>
    <row r="251">
      <c r="A251" s="13" t="str">
        <f>IFERROR(__xludf.DUMMYFUNCTION("""COMPUTED_VALUE"""),"товари")</f>
        <v>товари</v>
      </c>
      <c r="B251" s="16" t="str">
        <f>IFERROR(__xludf.DUMMYFUNCTION("""COMPUTED_VALUE"""),"авто-, мото")</f>
        <v>авто-, мото</v>
      </c>
      <c r="C251" s="16" t="str">
        <f>IFERROR(__xludf.DUMMYFUNCTION("""COMPUTED_VALUE"""),"автозапчастини")</f>
        <v>автозапчастини</v>
      </c>
      <c r="D251" s="16" t="str">
        <f>IFERROR(__xludf.DUMMYFUNCTION("""COMPUTED_VALUE"""),"система живлення двигуна")</f>
        <v>система живлення двигуна</v>
      </c>
      <c r="E251" s="16" t="str">
        <f>IFERROR(__xludf.DUMMYFUNCTION("""COMPUTED_VALUE"""),"комплектуючі системи живлення")</f>
        <v>комплектуючі системи живлення</v>
      </c>
      <c r="F251" s="17">
        <f>IFERROR(__xludf.DUMMYFUNCTION("""COMPUTED_VALUE"""),4.0)</f>
        <v>4</v>
      </c>
      <c r="G251" s="17" t="str">
        <f>IFERROR(__xludf.DUMMYFUNCTION("""COMPUTED_VALUE"""),"341632")</f>
        <v>341632</v>
      </c>
      <c r="H251" s="17" t="str">
        <f>IFERROR(__xludf.DUMMYFUNCTION("""COMPUTED_VALUE"""),"комплектуючі системи живлення")</f>
        <v>комплектуючі системи живлення</v>
      </c>
      <c r="I251" s="19">
        <f>IFERROR(__xludf.DUMMYFUNCTION("""COMPUTED_VALUE"""),0.0543)</f>
        <v>0.0543</v>
      </c>
      <c r="J251" s="19">
        <f>IFERROR(__xludf.DUMMYFUNCTION("""COMPUTED_VALUE"""),0.1085)</f>
        <v>0.1085</v>
      </c>
      <c r="K251" s="19">
        <f>IFERROR(__xludf.DUMMYFUNCTION("""COMPUTED_VALUE"""),0.1356)</f>
        <v>0.1356</v>
      </c>
      <c r="L251" s="19">
        <f>IFERROR(__xludf.DUMMYFUNCTION("""COMPUTED_VALUE"""),0.1628)</f>
        <v>0.1628</v>
      </c>
      <c r="M251" s="18">
        <f>IFERROR(__xludf.DUMMYFUNCTION("""COMPUTED_VALUE"""),1.53)</f>
        <v>1.53</v>
      </c>
    </row>
    <row r="252">
      <c r="A252" s="13" t="str">
        <f>IFERROR(__xludf.DUMMYFUNCTION("""COMPUTED_VALUE"""),"товари")</f>
        <v>товари</v>
      </c>
      <c r="B252" s="16" t="str">
        <f>IFERROR(__xludf.DUMMYFUNCTION("""COMPUTED_VALUE"""),"авто-, мото")</f>
        <v>авто-, мото</v>
      </c>
      <c r="C252" s="16" t="str">
        <f>IFERROR(__xludf.DUMMYFUNCTION("""COMPUTED_VALUE"""),"автозапчастини")</f>
        <v>автозапчастини</v>
      </c>
      <c r="D252" s="16" t="str">
        <f>IFERROR(__xludf.DUMMYFUNCTION("""COMPUTED_VALUE"""),"система запалювання двигуна")</f>
        <v>система запалювання двигуна</v>
      </c>
      <c r="E252" s="16" t="str">
        <f>IFERROR(__xludf.DUMMYFUNCTION("""COMPUTED_VALUE"""),"комплектуючі системи запалювання")</f>
        <v>комплектуючі системи запалювання</v>
      </c>
      <c r="F252" s="17">
        <f>IFERROR(__xludf.DUMMYFUNCTION("""COMPUTED_VALUE"""),4.0)</f>
        <v>4</v>
      </c>
      <c r="G252" s="17" t="str">
        <f>IFERROR(__xludf.DUMMYFUNCTION("""COMPUTED_VALUE"""),"12020508")</f>
        <v>12020508</v>
      </c>
      <c r="H252" s="17" t="str">
        <f>IFERROR(__xludf.DUMMYFUNCTION("""COMPUTED_VALUE"""),"комплектуючі системи запалювання")</f>
        <v>комплектуючі системи запалювання</v>
      </c>
      <c r="I252" s="19">
        <f>IFERROR(__xludf.DUMMYFUNCTION("""COMPUTED_VALUE"""),0.0551)</f>
        <v>0.0551</v>
      </c>
      <c r="J252" s="19">
        <f>IFERROR(__xludf.DUMMYFUNCTION("""COMPUTED_VALUE"""),0.1101)</f>
        <v>0.1101</v>
      </c>
      <c r="K252" s="19">
        <f>IFERROR(__xludf.DUMMYFUNCTION("""COMPUTED_VALUE"""),0.1376)</f>
        <v>0.1376</v>
      </c>
      <c r="L252" s="19">
        <f>IFERROR(__xludf.DUMMYFUNCTION("""COMPUTED_VALUE"""),0.1652)</f>
        <v>0.1652</v>
      </c>
      <c r="M252" s="18">
        <f>IFERROR(__xludf.DUMMYFUNCTION("""COMPUTED_VALUE"""),1.71)</f>
        <v>1.71</v>
      </c>
    </row>
    <row r="253">
      <c r="A253" s="13" t="str">
        <f>IFERROR(__xludf.DUMMYFUNCTION("""COMPUTED_VALUE"""),"товари")</f>
        <v>товари</v>
      </c>
      <c r="B253" s="16" t="str">
        <f>IFERROR(__xludf.DUMMYFUNCTION("""COMPUTED_VALUE"""),"авто-, мото")</f>
        <v>авто-, мото</v>
      </c>
      <c r="C253" s="16" t="str">
        <f>IFERROR(__xludf.DUMMYFUNCTION("""COMPUTED_VALUE"""),"автозапчастини")</f>
        <v>автозапчастини</v>
      </c>
      <c r="D253" s="16" t="str">
        <f>IFERROR(__xludf.DUMMYFUNCTION("""COMPUTED_VALUE"""),"система змащування двигуна")</f>
        <v>система змащування двигуна</v>
      </c>
      <c r="E253" s="16" t="str">
        <f>IFERROR(__xludf.DUMMYFUNCTION("""COMPUTED_VALUE"""),"комплектуючі системи змащення")</f>
        <v>комплектуючі системи змащення</v>
      </c>
      <c r="F253" s="17">
        <f>IFERROR(__xludf.DUMMYFUNCTION("""COMPUTED_VALUE"""),4.0)</f>
        <v>4</v>
      </c>
      <c r="G253" s="17" t="str">
        <f>IFERROR(__xludf.DUMMYFUNCTION("""COMPUTED_VALUE"""),"550205")</f>
        <v>550205</v>
      </c>
      <c r="H253" s="17" t="str">
        <f>IFERROR(__xludf.DUMMYFUNCTION("""COMPUTED_VALUE"""),"комплектуючі системи змащення")</f>
        <v>комплектуючі системи змащення</v>
      </c>
      <c r="I253" s="19">
        <f>IFERROR(__xludf.DUMMYFUNCTION("""COMPUTED_VALUE"""),0.0553)</f>
        <v>0.0553</v>
      </c>
      <c r="J253" s="19">
        <f>IFERROR(__xludf.DUMMYFUNCTION("""COMPUTED_VALUE"""),0.1105)</f>
        <v>0.1105</v>
      </c>
      <c r="K253" s="19">
        <f>IFERROR(__xludf.DUMMYFUNCTION("""COMPUTED_VALUE"""),0.1381)</f>
        <v>0.1381</v>
      </c>
      <c r="L253" s="19">
        <f>IFERROR(__xludf.DUMMYFUNCTION("""COMPUTED_VALUE"""),0.1658)</f>
        <v>0.1658</v>
      </c>
      <c r="M253" s="18">
        <f>IFERROR(__xludf.DUMMYFUNCTION("""COMPUTED_VALUE"""),1.8)</f>
        <v>1.8</v>
      </c>
    </row>
    <row r="254">
      <c r="A254" s="13" t="str">
        <f>IFERROR(__xludf.DUMMYFUNCTION("""COMPUTED_VALUE"""),"товари")</f>
        <v>товари</v>
      </c>
      <c r="B254" s="16" t="str">
        <f>IFERROR(__xludf.DUMMYFUNCTION("""COMPUTED_VALUE"""),"авто-, мото")</f>
        <v>авто-, мото</v>
      </c>
      <c r="C254" s="16" t="str">
        <f>IFERROR(__xludf.DUMMYFUNCTION("""COMPUTED_VALUE"""),"автозапчастини")</f>
        <v>автозапчастини</v>
      </c>
      <c r="D254" s="16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254" s="16" t="str">
        <f>IFERROR(__xludf.DUMMYFUNCTION("""COMPUTED_VALUE"""),"комплектуючі системи опалення")</f>
        <v>комплектуючі системи опалення</v>
      </c>
      <c r="F254" s="17">
        <f>IFERROR(__xludf.DUMMYFUNCTION("""COMPUTED_VALUE"""),4.0)</f>
        <v>4</v>
      </c>
      <c r="G254" s="17" t="str">
        <f>IFERROR(__xludf.DUMMYFUNCTION("""COMPUTED_VALUE"""),"12021605")</f>
        <v>12021605</v>
      </c>
      <c r="H254" s="17" t="str">
        <f>IFERROR(__xludf.DUMMYFUNCTION("""COMPUTED_VALUE"""),"комплектуючі системи опалення")</f>
        <v>комплектуючі системи опалення</v>
      </c>
      <c r="I254" s="19">
        <f>IFERROR(__xludf.DUMMYFUNCTION("""COMPUTED_VALUE"""),0.0507)</f>
        <v>0.0507</v>
      </c>
      <c r="J254" s="19">
        <f>IFERROR(__xludf.DUMMYFUNCTION("""COMPUTED_VALUE"""),0.1014)</f>
        <v>0.1014</v>
      </c>
      <c r="K254" s="19">
        <f>IFERROR(__xludf.DUMMYFUNCTION("""COMPUTED_VALUE"""),0.1268)</f>
        <v>0.1268</v>
      </c>
      <c r="L254" s="19">
        <f>IFERROR(__xludf.DUMMYFUNCTION("""COMPUTED_VALUE"""),0.1521)</f>
        <v>0.1521</v>
      </c>
      <c r="M254" s="18">
        <f>IFERROR(__xludf.DUMMYFUNCTION("""COMPUTED_VALUE"""),1.44)</f>
        <v>1.44</v>
      </c>
    </row>
    <row r="255">
      <c r="A255" s="13" t="str">
        <f>IFERROR(__xludf.DUMMYFUNCTION("""COMPUTED_VALUE"""),"товари")</f>
        <v>товари</v>
      </c>
      <c r="B255" s="16" t="str">
        <f>IFERROR(__xludf.DUMMYFUNCTION("""COMPUTED_VALUE"""),"авто-, мото")</f>
        <v>авто-, мото</v>
      </c>
      <c r="C255" s="16" t="str">
        <f>IFERROR(__xludf.DUMMYFUNCTION("""COMPUTED_VALUE"""),"автозапчастини")</f>
        <v>автозапчастини</v>
      </c>
      <c r="D255" s="16" t="str">
        <f>IFERROR(__xludf.DUMMYFUNCTION("""COMPUTED_VALUE"""),"система очищення вікон і фар автомобіля")</f>
        <v>система очищення вікон і фар автомобіля</v>
      </c>
      <c r="E255" s="16" t="str">
        <f>IFERROR(__xludf.DUMMYFUNCTION("""COMPUTED_VALUE"""),"комплектуючі системи склоочисника")</f>
        <v>комплектуючі системи склоочисника</v>
      </c>
      <c r="F255" s="17">
        <f>IFERROR(__xludf.DUMMYFUNCTION("""COMPUTED_VALUE"""),4.0)</f>
        <v>4</v>
      </c>
      <c r="G255" s="17" t="str">
        <f>IFERROR(__xludf.DUMMYFUNCTION("""COMPUTED_VALUE"""),"120242")</f>
        <v>120242</v>
      </c>
      <c r="H255" s="17" t="str">
        <f>IFERROR(__xludf.DUMMYFUNCTION("""COMPUTED_VALUE"""),"комплектуючі системи склоочисника")</f>
        <v>комплектуючі системи склоочисника</v>
      </c>
      <c r="I255" s="19">
        <f>IFERROR(__xludf.DUMMYFUNCTION("""COMPUTED_VALUE"""),0.0691)</f>
        <v>0.0691</v>
      </c>
      <c r="J255" s="19">
        <f>IFERROR(__xludf.DUMMYFUNCTION("""COMPUTED_VALUE"""),0.1381)</f>
        <v>0.1381</v>
      </c>
      <c r="K255" s="19">
        <f>IFERROR(__xludf.DUMMYFUNCTION("""COMPUTED_VALUE"""),0.1726)</f>
        <v>0.1726</v>
      </c>
      <c r="L255" s="19">
        <f>IFERROR(__xludf.DUMMYFUNCTION("""COMPUTED_VALUE"""),0.2072)</f>
        <v>0.2072</v>
      </c>
      <c r="M255" s="18">
        <f>IFERROR(__xludf.DUMMYFUNCTION("""COMPUTED_VALUE"""),1.05)</f>
        <v>1.05</v>
      </c>
    </row>
    <row r="256">
      <c r="A256" s="13" t="str">
        <f>IFERROR(__xludf.DUMMYFUNCTION("""COMPUTED_VALUE"""),"товари")</f>
        <v>товари</v>
      </c>
      <c r="B256" s="16" t="str">
        <f>IFERROR(__xludf.DUMMYFUNCTION("""COMPUTED_VALUE"""),"авто-, мото")</f>
        <v>авто-, мото</v>
      </c>
      <c r="C256" s="16" t="str">
        <f>IFERROR(__xludf.DUMMYFUNCTION("""COMPUTED_VALUE"""),"автозапчастини")</f>
        <v>автозапчастини</v>
      </c>
      <c r="D256" s="16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256" s="16" t="str">
        <f>IFERROR(__xludf.DUMMYFUNCTION("""COMPUTED_VALUE"""),"компресори кондиціонера")</f>
        <v>компресори кондиціонера</v>
      </c>
      <c r="F256" s="17">
        <f>IFERROR(__xludf.DUMMYFUNCTION("""COMPUTED_VALUE"""),4.0)</f>
        <v>4</v>
      </c>
      <c r="G256" s="17" t="str">
        <f>IFERROR(__xludf.DUMMYFUNCTION("""COMPUTED_VALUE"""),"12021603")</f>
        <v>12021603</v>
      </c>
      <c r="H256" s="17" t="str">
        <f>IFERROR(__xludf.DUMMYFUNCTION("""COMPUTED_VALUE"""),"компресори кондиціонера")</f>
        <v>компресори кондиціонера</v>
      </c>
      <c r="I256" s="19">
        <f>IFERROR(__xludf.DUMMYFUNCTION("""COMPUTED_VALUE"""),0.045)</f>
        <v>0.045</v>
      </c>
      <c r="J256" s="19">
        <f>IFERROR(__xludf.DUMMYFUNCTION("""COMPUTED_VALUE"""),0.09)</f>
        <v>0.09</v>
      </c>
      <c r="K256" s="19">
        <f>IFERROR(__xludf.DUMMYFUNCTION("""COMPUTED_VALUE"""),0.1125)</f>
        <v>0.1125</v>
      </c>
      <c r="L256" s="19">
        <f>IFERROR(__xludf.DUMMYFUNCTION("""COMPUTED_VALUE"""),0.135)</f>
        <v>0.135</v>
      </c>
      <c r="M256" s="18">
        <f>IFERROR(__xludf.DUMMYFUNCTION("""COMPUTED_VALUE"""),1.44)</f>
        <v>1.44</v>
      </c>
    </row>
    <row r="257">
      <c r="A257" s="13" t="str">
        <f>IFERROR(__xludf.DUMMYFUNCTION("""COMPUTED_VALUE"""),"товари")</f>
        <v>товари</v>
      </c>
      <c r="B257" s="16" t="str">
        <f>IFERROR(__xludf.DUMMYFUNCTION("""COMPUTED_VALUE"""),"авто-, мото")</f>
        <v>авто-, мото</v>
      </c>
      <c r="C257" s="16" t="str">
        <f>IFERROR(__xludf.DUMMYFUNCTION("""COMPUTED_VALUE"""),"автозапчастини")</f>
        <v>автозапчастини</v>
      </c>
      <c r="D257" s="16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257" s="16" t="str">
        <f>IFERROR(__xludf.DUMMYFUNCTION("""COMPUTED_VALUE"""),"конденсатори кондиціонера")</f>
        <v>конденсатори кондиціонера</v>
      </c>
      <c r="F257" s="17">
        <f>IFERROR(__xludf.DUMMYFUNCTION("""COMPUTED_VALUE"""),4.0)</f>
        <v>4</v>
      </c>
      <c r="G257" s="17" t="str">
        <f>IFERROR(__xludf.DUMMYFUNCTION("""COMPUTED_VALUE"""),"12021602")</f>
        <v>12021602</v>
      </c>
      <c r="H257" s="17" t="str">
        <f>IFERROR(__xludf.DUMMYFUNCTION("""COMPUTED_VALUE"""),"конденсатори кондиціонера")</f>
        <v>конденсатори кондиціонера</v>
      </c>
      <c r="I257" s="19">
        <f>IFERROR(__xludf.DUMMYFUNCTION("""COMPUTED_VALUE"""),0.0553)</f>
        <v>0.0553</v>
      </c>
      <c r="J257" s="19">
        <f>IFERROR(__xludf.DUMMYFUNCTION("""COMPUTED_VALUE"""),0.1105)</f>
        <v>0.1105</v>
      </c>
      <c r="K257" s="19">
        <f>IFERROR(__xludf.DUMMYFUNCTION("""COMPUTED_VALUE"""),0.1381)</f>
        <v>0.1381</v>
      </c>
      <c r="L257" s="19">
        <f>IFERROR(__xludf.DUMMYFUNCTION("""COMPUTED_VALUE"""),0.1658)</f>
        <v>0.1658</v>
      </c>
      <c r="M257" s="18">
        <f>IFERROR(__xludf.DUMMYFUNCTION("""COMPUTED_VALUE"""),1.44)</f>
        <v>1.44</v>
      </c>
    </row>
    <row r="258">
      <c r="A258" s="13" t="str">
        <f>IFERROR(__xludf.DUMMYFUNCTION("""COMPUTED_VALUE"""),"товари")</f>
        <v>товари</v>
      </c>
      <c r="B258" s="16" t="str">
        <f>IFERROR(__xludf.DUMMYFUNCTION("""COMPUTED_VALUE"""),"авто-, мото")</f>
        <v>авто-, мото</v>
      </c>
      <c r="C258" s="16" t="str">
        <f>IFERROR(__xludf.DUMMYFUNCTION("""COMPUTED_VALUE"""),"автозапчастини")</f>
        <v>автозапчастини</v>
      </c>
      <c r="D258" s="16" t="str">
        <f>IFERROR(__xludf.DUMMYFUNCTION("""COMPUTED_VALUE"""),"деталі трансмісії транспорту")</f>
        <v>деталі трансмісії транспорту</v>
      </c>
      <c r="E258" s="16" t="str">
        <f>IFERROR(__xludf.DUMMYFUNCTION("""COMPUTED_VALUE"""),"коробки відбору потужності")</f>
        <v>коробки відбору потужності</v>
      </c>
      <c r="F258" s="17">
        <f>IFERROR(__xludf.DUMMYFUNCTION("""COMPUTED_VALUE"""),4.0)</f>
        <v>4</v>
      </c>
      <c r="G258" s="17" t="str">
        <f>IFERROR(__xludf.DUMMYFUNCTION("""COMPUTED_VALUE"""),"342203")</f>
        <v>342203</v>
      </c>
      <c r="H258" s="17" t="str">
        <f>IFERROR(__xludf.DUMMYFUNCTION("""COMPUTED_VALUE"""),"коробки відбору потужності")</f>
        <v>коробки відбору потужності</v>
      </c>
      <c r="I258" s="19">
        <f>IFERROR(__xludf.DUMMYFUNCTION("""COMPUTED_VALUE"""),0.0475)</f>
        <v>0.0475</v>
      </c>
      <c r="J258" s="19">
        <f>IFERROR(__xludf.DUMMYFUNCTION("""COMPUTED_VALUE"""),0.095)</f>
        <v>0.095</v>
      </c>
      <c r="K258" s="19">
        <f>IFERROR(__xludf.DUMMYFUNCTION("""COMPUTED_VALUE"""),0.1188)</f>
        <v>0.1188</v>
      </c>
      <c r="L258" s="19">
        <f>IFERROR(__xludf.DUMMYFUNCTION("""COMPUTED_VALUE"""),0.1425)</f>
        <v>0.1425</v>
      </c>
      <c r="M258" s="18">
        <f>IFERROR(__xludf.DUMMYFUNCTION("""COMPUTED_VALUE"""),1.53)</f>
        <v>1.53</v>
      </c>
    </row>
    <row r="259">
      <c r="A259" s="13" t="str">
        <f>IFERROR(__xludf.DUMMYFUNCTION("""COMPUTED_VALUE"""),"товари")</f>
        <v>товари</v>
      </c>
      <c r="B259" s="16" t="str">
        <f>IFERROR(__xludf.DUMMYFUNCTION("""COMPUTED_VALUE"""),"авто-, мото")</f>
        <v>авто-, мото</v>
      </c>
      <c r="C259" s="16" t="str">
        <f>IFERROR(__xludf.DUMMYFUNCTION("""COMPUTED_VALUE"""),"автозапчастини")</f>
        <v>автозапчастини</v>
      </c>
      <c r="D259" s="16" t="str">
        <f>IFERROR(__xludf.DUMMYFUNCTION("""COMPUTED_VALUE"""),"система запалювання двигуна")</f>
        <v>система запалювання двигуна</v>
      </c>
      <c r="E259" s="16" t="str">
        <f>IFERROR(__xludf.DUMMYFUNCTION("""COMPUTED_VALUE"""),"котушки запалювання, модулі запалювання")</f>
        <v>котушки запалювання, модулі запалювання</v>
      </c>
      <c r="F259" s="17">
        <f>IFERROR(__xludf.DUMMYFUNCTION("""COMPUTED_VALUE"""),4.0)</f>
        <v>4</v>
      </c>
      <c r="G259" s="17" t="str">
        <f>IFERROR(__xludf.DUMMYFUNCTION("""COMPUTED_VALUE"""),"12020502")</f>
        <v>12020502</v>
      </c>
      <c r="H259" s="17" t="str">
        <f>IFERROR(__xludf.DUMMYFUNCTION("""COMPUTED_VALUE"""),"котушки запалювання, модулі запалювання")</f>
        <v>котушки запалювання, модулі запалювання</v>
      </c>
      <c r="I259" s="19">
        <f>IFERROR(__xludf.DUMMYFUNCTION("""COMPUTED_VALUE"""),0.0544)</f>
        <v>0.0544</v>
      </c>
      <c r="J259" s="19">
        <f>IFERROR(__xludf.DUMMYFUNCTION("""COMPUTED_VALUE"""),0.1088)</f>
        <v>0.1088</v>
      </c>
      <c r="K259" s="19">
        <f>IFERROR(__xludf.DUMMYFUNCTION("""COMPUTED_VALUE"""),0.136)</f>
        <v>0.136</v>
      </c>
      <c r="L259" s="19">
        <f>IFERROR(__xludf.DUMMYFUNCTION("""COMPUTED_VALUE"""),0.1632)</f>
        <v>0.1632</v>
      </c>
      <c r="M259" s="18">
        <f>IFERROR(__xludf.DUMMYFUNCTION("""COMPUTED_VALUE"""),1.71)</f>
        <v>1.71</v>
      </c>
    </row>
    <row r="260">
      <c r="A260" s="13" t="str">
        <f>IFERROR(__xludf.DUMMYFUNCTION("""COMPUTED_VALUE"""),"товари")</f>
        <v>товари</v>
      </c>
      <c r="B260" s="16" t="str">
        <f>IFERROR(__xludf.DUMMYFUNCTION("""COMPUTED_VALUE"""),"авто-, мото")</f>
        <v>авто-, мото</v>
      </c>
      <c r="C260" s="16" t="str">
        <f>IFERROR(__xludf.DUMMYFUNCTION("""COMPUTED_VALUE"""),"автозапчастини")</f>
        <v>автозапчастини</v>
      </c>
      <c r="D260" s="16" t="str">
        <f>IFERROR(__xludf.DUMMYFUNCTION("""COMPUTED_VALUE"""),"кузовні запчастини")</f>
        <v>кузовні запчастини</v>
      </c>
      <c r="E260" s="16" t="str">
        <f>IFERROR(__xludf.DUMMYFUNCTION("""COMPUTED_VALUE"""),"крила, арки автомобільні")</f>
        <v>крила, арки автомобільні</v>
      </c>
      <c r="F260" s="17">
        <f>IFERROR(__xludf.DUMMYFUNCTION("""COMPUTED_VALUE"""),4.0)</f>
        <v>4</v>
      </c>
      <c r="G260" s="17" t="str">
        <f>IFERROR(__xludf.DUMMYFUNCTION("""COMPUTED_VALUE"""),"341531")</f>
        <v>341531</v>
      </c>
      <c r="H260" s="17" t="str">
        <f>IFERROR(__xludf.DUMMYFUNCTION("""COMPUTED_VALUE"""),"крила, арки автомобільні")</f>
        <v>крила, арки автомобільні</v>
      </c>
      <c r="I260" s="19">
        <f>IFERROR(__xludf.DUMMYFUNCTION("""COMPUTED_VALUE"""),0.0551)</f>
        <v>0.0551</v>
      </c>
      <c r="J260" s="19">
        <f>IFERROR(__xludf.DUMMYFUNCTION("""COMPUTED_VALUE"""),0.1101)</f>
        <v>0.1101</v>
      </c>
      <c r="K260" s="19">
        <f>IFERROR(__xludf.DUMMYFUNCTION("""COMPUTED_VALUE"""),0.1376)</f>
        <v>0.1376</v>
      </c>
      <c r="L260" s="19">
        <f>IFERROR(__xludf.DUMMYFUNCTION("""COMPUTED_VALUE"""),0.1652)</f>
        <v>0.1652</v>
      </c>
      <c r="M260" s="18">
        <f>IFERROR(__xludf.DUMMYFUNCTION("""COMPUTED_VALUE"""),1.53)</f>
        <v>1.53</v>
      </c>
    </row>
    <row r="261">
      <c r="A261" s="13" t="str">
        <f>IFERROR(__xludf.DUMMYFUNCTION("""COMPUTED_VALUE"""),"товари")</f>
        <v>товари</v>
      </c>
      <c r="B261" s="16" t="str">
        <f>IFERROR(__xludf.DUMMYFUNCTION("""COMPUTED_VALUE"""),"авто-, мото")</f>
        <v>авто-, мото</v>
      </c>
      <c r="C261" s="16" t="str">
        <f>IFERROR(__xludf.DUMMYFUNCTION("""COMPUTED_VALUE"""),"автозапчастини")</f>
        <v>автозапчастини</v>
      </c>
      <c r="D261" s="16" t="str">
        <f>IFERROR(__xludf.DUMMYFUNCTION("""COMPUTED_VALUE"""),"кузовні запчастини")</f>
        <v>кузовні запчастини</v>
      </c>
      <c r="E261" s="16" t="str">
        <f>IFERROR(__xludf.DUMMYFUNCTION("""COMPUTED_VALUE"""),"кришки багажника")</f>
        <v>кришки багажника</v>
      </c>
      <c r="F261" s="17">
        <f>IFERROR(__xludf.DUMMYFUNCTION("""COMPUTED_VALUE"""),4.0)</f>
        <v>4</v>
      </c>
      <c r="G261" s="17" t="str">
        <f>IFERROR(__xludf.DUMMYFUNCTION("""COMPUTED_VALUE"""),"341533")</f>
        <v>341533</v>
      </c>
      <c r="H261" s="17" t="str">
        <f>IFERROR(__xludf.DUMMYFUNCTION("""COMPUTED_VALUE"""),"кришки багажника")</f>
        <v>кришки багажника</v>
      </c>
      <c r="I261" s="19">
        <f>IFERROR(__xludf.DUMMYFUNCTION("""COMPUTED_VALUE"""),0.0651)</f>
        <v>0.0651</v>
      </c>
      <c r="J261" s="19">
        <f>IFERROR(__xludf.DUMMYFUNCTION("""COMPUTED_VALUE"""),0.1302)</f>
        <v>0.1302</v>
      </c>
      <c r="K261" s="19">
        <f>IFERROR(__xludf.DUMMYFUNCTION("""COMPUTED_VALUE"""),0.1628)</f>
        <v>0.1628</v>
      </c>
      <c r="L261" s="19">
        <f>IFERROR(__xludf.DUMMYFUNCTION("""COMPUTED_VALUE"""),0.1953)</f>
        <v>0.1953</v>
      </c>
      <c r="M261" s="18">
        <f>IFERROR(__xludf.DUMMYFUNCTION("""COMPUTED_VALUE"""),1.53)</f>
        <v>1.53</v>
      </c>
    </row>
    <row r="262">
      <c r="A262" s="13" t="str">
        <f>IFERROR(__xludf.DUMMYFUNCTION("""COMPUTED_VALUE"""),"товари")</f>
        <v>товари</v>
      </c>
      <c r="B262" s="16" t="str">
        <f>IFERROR(__xludf.DUMMYFUNCTION("""COMPUTED_VALUE"""),"авто-, мото")</f>
        <v>авто-, мото</v>
      </c>
      <c r="C262" s="16" t="str">
        <f>IFERROR(__xludf.DUMMYFUNCTION("""COMPUTED_VALUE"""),"автозапчастини")</f>
        <v>автозапчастини</v>
      </c>
      <c r="D262" s="16" t="str">
        <f>IFERROR(__xludf.DUMMYFUNCTION("""COMPUTED_VALUE"""),"кривошипно-шатунний механізм (кшм)")</f>
        <v>кривошипно-шатунний механізм (кшм)</v>
      </c>
      <c r="E262" s="16" t="str">
        <f>IFERROR(__xludf.DUMMYFUNCTION("""COMPUTED_VALUE"""),"кришки головки блоку циліндрів")</f>
        <v>кришки головки блоку циліндрів</v>
      </c>
      <c r="F262" s="17">
        <f>IFERROR(__xludf.DUMMYFUNCTION("""COMPUTED_VALUE"""),4.0)</f>
        <v>4</v>
      </c>
      <c r="G262" s="17" t="str">
        <f>IFERROR(__xludf.DUMMYFUNCTION("""COMPUTED_VALUE"""),"12020425")</f>
        <v>12020425</v>
      </c>
      <c r="H262" s="17" t="str">
        <f>IFERROR(__xludf.DUMMYFUNCTION("""COMPUTED_VALUE"""),"кришки головки блоку циліндрів")</f>
        <v>кришки головки блоку циліндрів</v>
      </c>
      <c r="I262" s="19">
        <f>IFERROR(__xludf.DUMMYFUNCTION("""COMPUTED_VALUE"""),0.0416)</f>
        <v>0.0416</v>
      </c>
      <c r="J262" s="19">
        <f>IFERROR(__xludf.DUMMYFUNCTION("""COMPUTED_VALUE"""),0.0832)</f>
        <v>0.0832</v>
      </c>
      <c r="K262" s="19">
        <f>IFERROR(__xludf.DUMMYFUNCTION("""COMPUTED_VALUE"""),0.104)</f>
        <v>0.104</v>
      </c>
      <c r="L262" s="19">
        <f>IFERROR(__xludf.DUMMYFUNCTION("""COMPUTED_VALUE"""),0.1248)</f>
        <v>0.1248</v>
      </c>
      <c r="M262" s="18">
        <f>IFERROR(__xludf.DUMMYFUNCTION("""COMPUTED_VALUE"""),1.98)</f>
        <v>1.98</v>
      </c>
    </row>
    <row r="263">
      <c r="A263" s="13" t="str">
        <f>IFERROR(__xludf.DUMMYFUNCTION("""COMPUTED_VALUE"""),"товари")</f>
        <v>товари</v>
      </c>
      <c r="B263" s="16" t="str">
        <f>IFERROR(__xludf.DUMMYFUNCTION("""COMPUTED_VALUE"""),"авто-, мото")</f>
        <v>авто-, мото</v>
      </c>
      <c r="C263" s="16" t="str">
        <f>IFERROR(__xludf.DUMMYFUNCTION("""COMPUTED_VALUE"""),"автозапчастини")</f>
        <v>автозапчастини</v>
      </c>
      <c r="D263" s="16" t="str">
        <f>IFERROR(__xludf.DUMMYFUNCTION("""COMPUTED_VALUE"""),"система запалювання двигуна")</f>
        <v>система запалювання двигуна</v>
      </c>
      <c r="E263" s="16" t="str">
        <f>IFERROR(__xludf.DUMMYFUNCTION("""COMPUTED_VALUE"""),"кришки розподільника запалювання")</f>
        <v>кришки розподільника запалювання</v>
      </c>
      <c r="F263" s="17">
        <f>IFERROR(__xludf.DUMMYFUNCTION("""COMPUTED_VALUE"""),4.0)</f>
        <v>4</v>
      </c>
      <c r="G263" s="17" t="str">
        <f>IFERROR(__xludf.DUMMYFUNCTION("""COMPUTED_VALUE"""),"12020509")</f>
        <v>12020509</v>
      </c>
      <c r="H263" s="17" t="str">
        <f>IFERROR(__xludf.DUMMYFUNCTION("""COMPUTED_VALUE"""),"кришки розподільника запалювання")</f>
        <v>кришки розподільника запалювання</v>
      </c>
      <c r="I263" s="19">
        <f>IFERROR(__xludf.DUMMYFUNCTION("""COMPUTED_VALUE"""),0.0562)</f>
        <v>0.0562</v>
      </c>
      <c r="J263" s="19">
        <f>IFERROR(__xludf.DUMMYFUNCTION("""COMPUTED_VALUE"""),0.1124)</f>
        <v>0.1124</v>
      </c>
      <c r="K263" s="19">
        <f>IFERROR(__xludf.DUMMYFUNCTION("""COMPUTED_VALUE"""),0.1405)</f>
        <v>0.1405</v>
      </c>
      <c r="L263" s="19">
        <f>IFERROR(__xludf.DUMMYFUNCTION("""COMPUTED_VALUE"""),0.1686)</f>
        <v>0.1686</v>
      </c>
      <c r="M263" s="18">
        <f>IFERROR(__xludf.DUMMYFUNCTION("""COMPUTED_VALUE"""),1.71)</f>
        <v>1.71</v>
      </c>
    </row>
    <row r="264">
      <c r="A264" s="13" t="str">
        <f>IFERROR(__xludf.DUMMYFUNCTION("""COMPUTED_VALUE"""),"товари")</f>
        <v>товари</v>
      </c>
      <c r="B264" s="16" t="str">
        <f>IFERROR(__xludf.DUMMYFUNCTION("""COMPUTED_VALUE"""),"авто-, мото")</f>
        <v>авто-, мото</v>
      </c>
      <c r="C264" s="16" t="str">
        <f>IFERROR(__xludf.DUMMYFUNCTION("""COMPUTED_VALUE"""),"автозапчастини")</f>
        <v>автозапчастини</v>
      </c>
      <c r="D264" s="16" t="str">
        <f>IFERROR(__xludf.DUMMYFUNCTION("""COMPUTED_VALUE"""),"деталі ходової")</f>
        <v>деталі ходової</v>
      </c>
      <c r="E264" s="16" t="str">
        <f>IFERROR(__xludf.DUMMYFUNCTION("""COMPUTED_VALUE"""),"кріплення вузлів підвіски")</f>
        <v>кріплення вузлів підвіски</v>
      </c>
      <c r="F264" s="17">
        <f>IFERROR(__xludf.DUMMYFUNCTION("""COMPUTED_VALUE"""),4.0)</f>
        <v>4</v>
      </c>
      <c r="G264" s="17" t="str">
        <f>IFERROR(__xludf.DUMMYFUNCTION("""COMPUTED_VALUE"""),"341588")</f>
        <v>341588</v>
      </c>
      <c r="H264" s="17" t="str">
        <f>IFERROR(__xludf.DUMMYFUNCTION("""COMPUTED_VALUE"""),"кріплення вузлів підвіски")</f>
        <v>кріплення вузлів підвіски</v>
      </c>
      <c r="I264" s="19">
        <f>IFERROR(__xludf.DUMMYFUNCTION("""COMPUTED_VALUE"""),0.0554)</f>
        <v>0.0554</v>
      </c>
      <c r="J264" s="19">
        <f>IFERROR(__xludf.DUMMYFUNCTION("""COMPUTED_VALUE"""),0.1108)</f>
        <v>0.1108</v>
      </c>
      <c r="K264" s="19">
        <f>IFERROR(__xludf.DUMMYFUNCTION("""COMPUTED_VALUE"""),0.1385)</f>
        <v>0.1385</v>
      </c>
      <c r="L264" s="19">
        <f>IFERROR(__xludf.DUMMYFUNCTION("""COMPUTED_VALUE"""),0.1662)</f>
        <v>0.1662</v>
      </c>
      <c r="M264" s="18">
        <f>IFERROR(__xludf.DUMMYFUNCTION("""COMPUTED_VALUE"""),1.53)</f>
        <v>1.53</v>
      </c>
    </row>
    <row r="265">
      <c r="A265" s="13" t="str">
        <f>IFERROR(__xludf.DUMMYFUNCTION("""COMPUTED_VALUE"""),"товари")</f>
        <v>товари</v>
      </c>
      <c r="B265" s="16" t="str">
        <f>IFERROR(__xludf.DUMMYFUNCTION("""COMPUTED_VALUE"""),"авто-, мото")</f>
        <v>авто-, мото</v>
      </c>
      <c r="C265" s="16" t="str">
        <f>IFERROR(__xludf.DUMMYFUNCTION("""COMPUTED_VALUE"""),"автозапчастини")</f>
        <v>автозапчастини</v>
      </c>
      <c r="D265" s="16" t="str">
        <f>IFERROR(__xludf.DUMMYFUNCTION("""COMPUTED_VALUE"""),"система випуску відпрацьованих газів")</f>
        <v>система випуску відпрацьованих газів</v>
      </c>
      <c r="E265" s="16" t="str">
        <f>IFERROR(__xludf.DUMMYFUNCTION("""COMPUTED_VALUE"""),"кріплення елементів вихлопної системи")</f>
        <v>кріплення елементів вихлопної системи</v>
      </c>
      <c r="F265" s="17">
        <f>IFERROR(__xludf.DUMMYFUNCTION("""COMPUTED_VALUE"""),4.0)</f>
        <v>4</v>
      </c>
      <c r="G265" s="17" t="str">
        <f>IFERROR(__xludf.DUMMYFUNCTION("""COMPUTED_VALUE"""),"12021512")</f>
        <v>12021512</v>
      </c>
      <c r="H265" s="17" t="str">
        <f>IFERROR(__xludf.DUMMYFUNCTION("""COMPUTED_VALUE"""),"кріплення елементів вихлопної системи")</f>
        <v>кріплення елементів вихлопної системи</v>
      </c>
      <c r="I265" s="19">
        <f>IFERROR(__xludf.DUMMYFUNCTION("""COMPUTED_VALUE"""),0.0544)</f>
        <v>0.0544</v>
      </c>
      <c r="J265" s="19">
        <f>IFERROR(__xludf.DUMMYFUNCTION("""COMPUTED_VALUE"""),0.1087)</f>
        <v>0.1087</v>
      </c>
      <c r="K265" s="19">
        <f>IFERROR(__xludf.DUMMYFUNCTION("""COMPUTED_VALUE"""),0.1359)</f>
        <v>0.1359</v>
      </c>
      <c r="L265" s="19">
        <f>IFERROR(__xludf.DUMMYFUNCTION("""COMPUTED_VALUE"""),0.1631)</f>
        <v>0.1631</v>
      </c>
      <c r="M265" s="18">
        <f>IFERROR(__xludf.DUMMYFUNCTION("""COMPUTED_VALUE"""),1.53)</f>
        <v>1.53</v>
      </c>
    </row>
    <row r="266">
      <c r="A266" s="13" t="str">
        <f>IFERROR(__xludf.DUMMYFUNCTION("""COMPUTED_VALUE"""),"товари")</f>
        <v>товари</v>
      </c>
      <c r="B266" s="16" t="str">
        <f>IFERROR(__xludf.DUMMYFUNCTION("""COMPUTED_VALUE"""),"авто-, мото")</f>
        <v>авто-, мото</v>
      </c>
      <c r="C266" s="16" t="str">
        <f>IFERROR(__xludf.DUMMYFUNCTION("""COMPUTED_VALUE"""),"аксесуари для авто")</f>
        <v>аксесуари для авто</v>
      </c>
      <c r="D266" s="16" t="str">
        <f>IFERROR(__xludf.DUMMYFUNCTION("""COMPUTED_VALUE"""),"аксесуари для кузова автомобіля")</f>
        <v>аксесуари для кузова автомобіля</v>
      </c>
      <c r="E266" s="16" t="str">
        <f>IFERROR(__xludf.DUMMYFUNCTION("""COMPUTED_VALUE"""),"кронштейни запасного колеса")</f>
        <v>кронштейни запасного колеса</v>
      </c>
      <c r="F266" s="17">
        <f>IFERROR(__xludf.DUMMYFUNCTION("""COMPUTED_VALUE"""),4.0)</f>
        <v>4</v>
      </c>
      <c r="G266" s="17" t="str">
        <f>IFERROR(__xludf.DUMMYFUNCTION("""COMPUTED_VALUE"""),"12126802")</f>
        <v>12126802</v>
      </c>
      <c r="H266" s="17" t="str">
        <f>IFERROR(__xludf.DUMMYFUNCTION("""COMPUTED_VALUE"""),"кронштейни запасного колеса")</f>
        <v>кронштейни запасного колеса</v>
      </c>
      <c r="I266" s="19">
        <f>IFERROR(__xludf.DUMMYFUNCTION("""COMPUTED_VALUE"""),0.0678)</f>
        <v>0.0678</v>
      </c>
      <c r="J266" s="19">
        <f>IFERROR(__xludf.DUMMYFUNCTION("""COMPUTED_VALUE"""),0.1356)</f>
        <v>0.1356</v>
      </c>
      <c r="K266" s="19">
        <f>IFERROR(__xludf.DUMMYFUNCTION("""COMPUTED_VALUE"""),0.1695)</f>
        <v>0.1695</v>
      </c>
      <c r="L266" s="19">
        <f>IFERROR(__xludf.DUMMYFUNCTION("""COMPUTED_VALUE"""),0.2034)</f>
        <v>0.2034</v>
      </c>
      <c r="M266" s="18">
        <f>IFERROR(__xludf.DUMMYFUNCTION("""COMPUTED_VALUE"""),1.63)</f>
        <v>1.63</v>
      </c>
    </row>
    <row r="267">
      <c r="A267" s="13" t="str">
        <f>IFERROR(__xludf.DUMMYFUNCTION("""COMPUTED_VALUE"""),"товари")</f>
        <v>товари</v>
      </c>
      <c r="B267" s="16" t="str">
        <f>IFERROR(__xludf.DUMMYFUNCTION("""COMPUTED_VALUE"""),"авто-, мото")</f>
        <v>авто-, мото</v>
      </c>
      <c r="C267" s="16" t="str">
        <f>IFERROR(__xludf.DUMMYFUNCTION("""COMPUTED_VALUE"""),"автозапчастини")</f>
        <v>автозапчастини</v>
      </c>
      <c r="D267" s="16" t="str">
        <f>IFERROR(__xludf.DUMMYFUNCTION("""COMPUTED_VALUE"""),"кузовні запчастини")</f>
        <v>кузовні запчастини</v>
      </c>
      <c r="E267" s="16" t="str">
        <f>IFERROR(__xludf.DUMMYFUNCTION("""COMPUTED_VALUE"""),"кузови легкових автомобілів")</f>
        <v>кузови легкових автомобілів</v>
      </c>
      <c r="F267" s="17">
        <f>IFERROR(__xludf.DUMMYFUNCTION("""COMPUTED_VALUE"""),4.0)</f>
        <v>4</v>
      </c>
      <c r="G267" s="17" t="str">
        <f>IFERROR(__xludf.DUMMYFUNCTION("""COMPUTED_VALUE"""),"341624")</f>
        <v>341624</v>
      </c>
      <c r="H267" s="17" t="str">
        <f>IFERROR(__xludf.DUMMYFUNCTION("""COMPUTED_VALUE"""),"кузови легкових автомобілів")</f>
        <v>кузови легкових автомобілів</v>
      </c>
      <c r="I267" s="19">
        <f>IFERROR(__xludf.DUMMYFUNCTION("""COMPUTED_VALUE"""),0.0651)</f>
        <v>0.0651</v>
      </c>
      <c r="J267" s="19">
        <f>IFERROR(__xludf.DUMMYFUNCTION("""COMPUTED_VALUE"""),0.1302)</f>
        <v>0.1302</v>
      </c>
      <c r="K267" s="19">
        <f>IFERROR(__xludf.DUMMYFUNCTION("""COMPUTED_VALUE"""),0.1628)</f>
        <v>0.1628</v>
      </c>
      <c r="L267" s="19">
        <f>IFERROR(__xludf.DUMMYFUNCTION("""COMPUTED_VALUE"""),0.1953)</f>
        <v>0.1953</v>
      </c>
      <c r="M267" s="18">
        <f>IFERROR(__xludf.DUMMYFUNCTION("""COMPUTED_VALUE"""),1.53)</f>
        <v>1.53</v>
      </c>
    </row>
    <row r="268">
      <c r="A268" s="13" t="str">
        <f>IFERROR(__xludf.DUMMYFUNCTION("""COMPUTED_VALUE"""),"товари")</f>
        <v>товари</v>
      </c>
      <c r="B268" s="16" t="str">
        <f>IFERROR(__xludf.DUMMYFUNCTION("""COMPUTED_VALUE"""),"авто-, мото")</f>
        <v>авто-, мото</v>
      </c>
      <c r="C268" s="16" t="str">
        <f>IFERROR(__xludf.DUMMYFUNCTION("""COMPUTED_VALUE"""),"автозапчастини")</f>
        <v>автозапчастини</v>
      </c>
      <c r="D268" s="16" t="str">
        <f>IFERROR(__xludf.DUMMYFUNCTION("""COMPUTED_VALUE"""),"кузовні запчастини")</f>
        <v>кузовні запчастини</v>
      </c>
      <c r="E268" s="16" t="str">
        <f>IFERROR(__xludf.DUMMYFUNCTION("""COMPUTED_VALUE"""),"кузовні запчастини, загальне")</f>
        <v>кузовні запчастини, загальне</v>
      </c>
      <c r="F268" s="17">
        <f>IFERROR(__xludf.DUMMYFUNCTION("""COMPUTED_VALUE"""),4.0)</f>
        <v>4</v>
      </c>
      <c r="G268" s="17" t="str">
        <f>IFERROR(__xludf.DUMMYFUNCTION("""COMPUTED_VALUE"""),"120227")</f>
        <v>120227</v>
      </c>
      <c r="H268" s="17" t="str">
        <f>IFERROR(__xludf.DUMMYFUNCTION("""COMPUTED_VALUE"""),"кузовні запчастини, загальне")</f>
        <v>кузовні запчастини, загальне</v>
      </c>
      <c r="I268" s="19">
        <f>IFERROR(__xludf.DUMMYFUNCTION("""COMPUTED_VALUE"""),0.125)</f>
        <v>0.125</v>
      </c>
      <c r="J268" s="19">
        <f>IFERROR(__xludf.DUMMYFUNCTION("""COMPUTED_VALUE"""),0.25)</f>
        <v>0.25</v>
      </c>
      <c r="K268" s="19">
        <f>IFERROR(__xludf.DUMMYFUNCTION("""COMPUTED_VALUE"""),0.3125)</f>
        <v>0.3125</v>
      </c>
      <c r="L268" s="19">
        <f>IFERROR(__xludf.DUMMYFUNCTION("""COMPUTED_VALUE"""),0.375)</f>
        <v>0.375</v>
      </c>
      <c r="M268" s="18">
        <f>IFERROR(__xludf.DUMMYFUNCTION("""COMPUTED_VALUE"""),4.33)</f>
        <v>4.33</v>
      </c>
    </row>
    <row r="269">
      <c r="A269" s="13" t="str">
        <f>IFERROR(__xludf.DUMMYFUNCTION("""COMPUTED_VALUE"""),"товари")</f>
        <v>товари</v>
      </c>
      <c r="B269" s="16" t="str">
        <f>IFERROR(__xludf.DUMMYFUNCTION("""COMPUTED_VALUE"""),"авто-, мото")</f>
        <v>авто-, мото</v>
      </c>
      <c r="C269" s="16" t="str">
        <f>IFERROR(__xludf.DUMMYFUNCTION("""COMPUTED_VALUE"""),"автозапчастини")</f>
        <v>автозапчастини</v>
      </c>
      <c r="D269" s="16" t="str">
        <f>IFERROR(__xludf.DUMMYFUNCTION("""COMPUTED_VALUE"""),"деталі ходової")</f>
        <v>деталі ходової</v>
      </c>
      <c r="E269" s="16" t="str">
        <f>IFERROR(__xludf.DUMMYFUNCTION("""COMPUTED_VALUE"""),"кульові опори")</f>
        <v>кульові опори</v>
      </c>
      <c r="F269" s="17">
        <f>IFERROR(__xludf.DUMMYFUNCTION("""COMPUTED_VALUE"""),4.0)</f>
        <v>4</v>
      </c>
      <c r="G269" s="17" t="str">
        <f>IFERROR(__xludf.DUMMYFUNCTION("""COMPUTED_VALUE"""),"341528")</f>
        <v>341528</v>
      </c>
      <c r="H269" s="17" t="str">
        <f>IFERROR(__xludf.DUMMYFUNCTION("""COMPUTED_VALUE"""),"кульові опори")</f>
        <v>кульові опори</v>
      </c>
      <c r="I269" s="19">
        <f>IFERROR(__xludf.DUMMYFUNCTION("""COMPUTED_VALUE"""),0.0542)</f>
        <v>0.0542</v>
      </c>
      <c r="J269" s="19">
        <f>IFERROR(__xludf.DUMMYFUNCTION("""COMPUTED_VALUE"""),0.1084)</f>
        <v>0.1084</v>
      </c>
      <c r="K269" s="19">
        <f>IFERROR(__xludf.DUMMYFUNCTION("""COMPUTED_VALUE"""),0.1355)</f>
        <v>0.1355</v>
      </c>
      <c r="L269" s="19">
        <f>IFERROR(__xludf.DUMMYFUNCTION("""COMPUTED_VALUE"""),0.1626)</f>
        <v>0.1626</v>
      </c>
      <c r="M269" s="18">
        <f>IFERROR(__xludf.DUMMYFUNCTION("""COMPUTED_VALUE"""),1.53)</f>
        <v>1.53</v>
      </c>
    </row>
    <row r="270">
      <c r="A270" s="13" t="str">
        <f>IFERROR(__xludf.DUMMYFUNCTION("""COMPUTED_VALUE"""),"товари")</f>
        <v>товари</v>
      </c>
      <c r="B270" s="16" t="str">
        <f>IFERROR(__xludf.DUMMYFUNCTION("""COMPUTED_VALUE"""),"авто-, мото")</f>
        <v>авто-, мото</v>
      </c>
      <c r="C270" s="16" t="str">
        <f>IFERROR(__xludf.DUMMYFUNCTION("""COMPUTED_VALUE"""),"аксесуари для авто")</f>
        <v>аксесуари для авто</v>
      </c>
      <c r="D270" s="16" t="str">
        <f>IFERROR(__xludf.DUMMYFUNCTION("""COMPUTED_VALUE"""),"аксесуари для автотюнингу")</f>
        <v>аксесуари для автотюнингу</v>
      </c>
      <c r="E270" s="16" t="str">
        <f>IFERROR(__xludf.DUMMYFUNCTION("""COMPUTED_VALUE"""),"кунги і хардтопи для позашляховиків")</f>
        <v>кунги і хардтопи для позашляховиків</v>
      </c>
      <c r="F270" s="17">
        <f>IFERROR(__xludf.DUMMYFUNCTION("""COMPUTED_VALUE"""),4.0)</f>
        <v>4</v>
      </c>
      <c r="G270" s="17" t="str">
        <f>IFERROR(__xludf.DUMMYFUNCTION("""COMPUTED_VALUE"""),"12123202")</f>
        <v>12123202</v>
      </c>
      <c r="H270" s="17" t="str">
        <f>IFERROR(__xludf.DUMMYFUNCTION("""COMPUTED_VALUE"""),"кунги і хардтопи для позашляховиків")</f>
        <v>кунги і хардтопи для позашляховиків</v>
      </c>
      <c r="I270" s="19">
        <f>IFERROR(__xludf.DUMMYFUNCTION("""COMPUTED_VALUE"""),0.0715)</f>
        <v>0.0715</v>
      </c>
      <c r="J270" s="19">
        <f>IFERROR(__xludf.DUMMYFUNCTION("""COMPUTED_VALUE"""),0.143)</f>
        <v>0.143</v>
      </c>
      <c r="K270" s="19">
        <f>IFERROR(__xludf.DUMMYFUNCTION("""COMPUTED_VALUE"""),0.1788)</f>
        <v>0.1788</v>
      </c>
      <c r="L270" s="19">
        <f>IFERROR(__xludf.DUMMYFUNCTION("""COMPUTED_VALUE"""),0.2145)</f>
        <v>0.2145</v>
      </c>
      <c r="M270" s="18">
        <f>IFERROR(__xludf.DUMMYFUNCTION("""COMPUTED_VALUE"""),1.53)</f>
        <v>1.53</v>
      </c>
    </row>
    <row r="271">
      <c r="A271" s="13" t="str">
        <f>IFERROR(__xludf.DUMMYFUNCTION("""COMPUTED_VALUE"""),"товари")</f>
        <v>товари</v>
      </c>
      <c r="B271" s="16" t="str">
        <f>IFERROR(__xludf.DUMMYFUNCTION("""COMPUTED_VALUE"""),"авто-, мото")</f>
        <v>авто-, мото</v>
      </c>
      <c r="C271" s="16" t="str">
        <f>IFERROR(__xludf.DUMMYFUNCTION("""COMPUTED_VALUE"""),"автозапчастини")</f>
        <v>автозапчастини</v>
      </c>
      <c r="D271" s="16" t="str">
        <f>IFERROR(__xludf.DUMMYFUNCTION("""COMPUTED_VALUE"""),"світлові прилади транспорту")</f>
        <v>світлові прилади транспорту</v>
      </c>
      <c r="E271" s="16" t="str">
        <f>IFERROR(__xludf.DUMMYFUNCTION("""COMPUTED_VALUE"""),"лампочки для світлових приладів автомобіля")</f>
        <v>лампочки для світлових приладів автомобіля</v>
      </c>
      <c r="F271" s="17">
        <f>IFERROR(__xludf.DUMMYFUNCTION("""COMPUTED_VALUE"""),4.0)</f>
        <v>4</v>
      </c>
      <c r="G271" s="17" t="str">
        <f>IFERROR(__xludf.DUMMYFUNCTION("""COMPUTED_VALUE"""),"12020604")</f>
        <v>12020604</v>
      </c>
      <c r="H271" s="17" t="str">
        <f>IFERROR(__xludf.DUMMYFUNCTION("""COMPUTED_VALUE"""),"лампочки для світлових приладів автомобіля")</f>
        <v>лампочки для світлових приладів автомобіля</v>
      </c>
      <c r="I271" s="19">
        <f>IFERROR(__xludf.DUMMYFUNCTION("""COMPUTED_VALUE"""),0.0731)</f>
        <v>0.0731</v>
      </c>
      <c r="J271" s="19">
        <f>IFERROR(__xludf.DUMMYFUNCTION("""COMPUTED_VALUE"""),0.1462)</f>
        <v>0.1462</v>
      </c>
      <c r="K271" s="19">
        <f>IFERROR(__xludf.DUMMYFUNCTION("""COMPUTED_VALUE"""),0.1828)</f>
        <v>0.1828</v>
      </c>
      <c r="L271" s="19">
        <f>IFERROR(__xludf.DUMMYFUNCTION("""COMPUTED_VALUE"""),0.2193)</f>
        <v>0.2193</v>
      </c>
      <c r="M271" s="18">
        <f>IFERROR(__xludf.DUMMYFUNCTION("""COMPUTED_VALUE"""),2.16)</f>
        <v>2.16</v>
      </c>
    </row>
    <row r="272">
      <c r="A272" s="13" t="str">
        <f>IFERROR(__xludf.DUMMYFUNCTION("""COMPUTED_VALUE"""),"товари")</f>
        <v>товари</v>
      </c>
      <c r="B272" s="16" t="str">
        <f>IFERROR(__xludf.DUMMYFUNCTION("""COMPUTED_VALUE"""),"авто-, мото")</f>
        <v>авто-, мото</v>
      </c>
      <c r="C272" s="16" t="str">
        <f>IFERROR(__xludf.DUMMYFUNCTION("""COMPUTED_VALUE"""),"додаткове обладнання")</f>
        <v>додаткове обладнання</v>
      </c>
      <c r="D272" s="16" t="str">
        <f>IFERROR(__xludf.DUMMYFUNCTION("""COMPUTED_VALUE"""),"автомобільні лебідки")</f>
        <v>автомобільні лебідки</v>
      </c>
      <c r="E272" s="16" t="str">
        <f>IFERROR(__xludf.DUMMYFUNCTION("""COMPUTED_VALUE"""),"лебідки автомобільні та аксесуари, загальне")</f>
        <v>лебідки автомобільні та аксесуари, загальне</v>
      </c>
      <c r="F272" s="17">
        <f>IFERROR(__xludf.DUMMYFUNCTION("""COMPUTED_VALUE"""),4.0)</f>
        <v>4</v>
      </c>
      <c r="G272" s="17" t="str">
        <f>IFERROR(__xludf.DUMMYFUNCTION("""COMPUTED_VALUE"""),"341404")</f>
        <v>341404</v>
      </c>
      <c r="H272" s="17" t="str">
        <f>IFERROR(__xludf.DUMMYFUNCTION("""COMPUTED_VALUE"""),"лебідки автомобільні та аксесуари, загальне")</f>
        <v>лебідки автомобільні та аксесуари, загальне</v>
      </c>
      <c r="I272" s="19">
        <f>IFERROR(__xludf.DUMMYFUNCTION("""COMPUTED_VALUE"""),0.125)</f>
        <v>0.125</v>
      </c>
      <c r="J272" s="19">
        <f>IFERROR(__xludf.DUMMYFUNCTION("""COMPUTED_VALUE"""),0.25)</f>
        <v>0.25</v>
      </c>
      <c r="K272" s="19">
        <f>IFERROR(__xludf.DUMMYFUNCTION("""COMPUTED_VALUE"""),0.3125)</f>
        <v>0.3125</v>
      </c>
      <c r="L272" s="19">
        <f>IFERROR(__xludf.DUMMYFUNCTION("""COMPUTED_VALUE"""),0.375)</f>
        <v>0.375</v>
      </c>
      <c r="M272" s="18">
        <f>IFERROR(__xludf.DUMMYFUNCTION("""COMPUTED_VALUE"""),4.33)</f>
        <v>4.33</v>
      </c>
    </row>
    <row r="273">
      <c r="A273" s="13" t="str">
        <f>IFERROR(__xludf.DUMMYFUNCTION("""COMPUTED_VALUE"""),"товари")</f>
        <v>товари</v>
      </c>
      <c r="B273" s="16" t="str">
        <f>IFERROR(__xludf.DUMMYFUNCTION("""COMPUTED_VALUE"""),"авто-, мото")</f>
        <v>авто-, мото</v>
      </c>
      <c r="C273" s="16" t="str">
        <f>IFERROR(__xludf.DUMMYFUNCTION("""COMPUTED_VALUE"""),"автозапчастини")</f>
        <v>автозапчастини</v>
      </c>
      <c r="D273" s="16" t="str">
        <f>IFERROR(__xludf.DUMMYFUNCTION("""COMPUTED_VALUE"""),"кузовні запчастини")</f>
        <v>кузовні запчастини</v>
      </c>
      <c r="E273" s="16" t="str">
        <f>IFERROR(__xludf.DUMMYFUNCTION("""COMPUTED_VALUE"""),"лонжерони, підрамники")</f>
        <v>лонжерони, підрамники</v>
      </c>
      <c r="F273" s="17">
        <f>IFERROR(__xludf.DUMMYFUNCTION("""COMPUTED_VALUE"""),4.0)</f>
        <v>4</v>
      </c>
      <c r="G273" s="17" t="str">
        <f>IFERROR(__xludf.DUMMYFUNCTION("""COMPUTED_VALUE"""),"341625")</f>
        <v>341625</v>
      </c>
      <c r="H273" s="17" t="str">
        <f>IFERROR(__xludf.DUMMYFUNCTION("""COMPUTED_VALUE"""),"лонжерони, підрамники")</f>
        <v>лонжерони, підрамники</v>
      </c>
      <c r="I273" s="19">
        <f>IFERROR(__xludf.DUMMYFUNCTION("""COMPUTED_VALUE"""),0.0545)</f>
        <v>0.0545</v>
      </c>
      <c r="J273" s="19">
        <f>IFERROR(__xludf.DUMMYFUNCTION("""COMPUTED_VALUE"""),0.109)</f>
        <v>0.109</v>
      </c>
      <c r="K273" s="19">
        <f>IFERROR(__xludf.DUMMYFUNCTION("""COMPUTED_VALUE"""),0.1363)</f>
        <v>0.1363</v>
      </c>
      <c r="L273" s="19">
        <f>IFERROR(__xludf.DUMMYFUNCTION("""COMPUTED_VALUE"""),0.1635)</f>
        <v>0.1635</v>
      </c>
      <c r="M273" s="18">
        <f>IFERROR(__xludf.DUMMYFUNCTION("""COMPUTED_VALUE"""),1.53)</f>
        <v>1.53</v>
      </c>
    </row>
    <row r="274">
      <c r="A274" s="13" t="str">
        <f>IFERROR(__xludf.DUMMYFUNCTION("""COMPUTED_VALUE"""),"товари")</f>
        <v>товари</v>
      </c>
      <c r="B274" s="16" t="str">
        <f>IFERROR(__xludf.DUMMYFUNCTION("""COMPUTED_VALUE"""),"авто-, мото")</f>
        <v>авто-, мото</v>
      </c>
      <c r="C274" s="16" t="str">
        <f>IFERROR(__xludf.DUMMYFUNCTION("""COMPUTED_VALUE"""),"автозапчастини")</f>
        <v>автозапчастини</v>
      </c>
      <c r="D274" s="16" t="str">
        <f>IFERROR(__xludf.DUMMYFUNCTION("""COMPUTED_VALUE"""),"кузовні запчастини")</f>
        <v>кузовні запчастини</v>
      </c>
      <c r="E274" s="16" t="str">
        <f>IFERROR(__xludf.DUMMYFUNCTION("""COMPUTED_VALUE"""),"люки, кришки бензобака")</f>
        <v>люки, кришки бензобака</v>
      </c>
      <c r="F274" s="17">
        <f>IFERROR(__xludf.DUMMYFUNCTION("""COMPUTED_VALUE"""),4.0)</f>
        <v>4</v>
      </c>
      <c r="G274" s="17" t="str">
        <f>IFERROR(__xludf.DUMMYFUNCTION("""COMPUTED_VALUE"""),"341627")</f>
        <v>341627</v>
      </c>
      <c r="H274" s="17" t="str">
        <f>IFERROR(__xludf.DUMMYFUNCTION("""COMPUTED_VALUE"""),"люки, кришки бензобака")</f>
        <v>люки, кришки бензобака</v>
      </c>
      <c r="I274" s="19">
        <f>IFERROR(__xludf.DUMMYFUNCTION("""COMPUTED_VALUE"""),0.0583)</f>
        <v>0.0583</v>
      </c>
      <c r="J274" s="19">
        <f>IFERROR(__xludf.DUMMYFUNCTION("""COMPUTED_VALUE"""),0.1166)</f>
        <v>0.1166</v>
      </c>
      <c r="K274" s="19">
        <f>IFERROR(__xludf.DUMMYFUNCTION("""COMPUTED_VALUE"""),0.1458)</f>
        <v>0.1458</v>
      </c>
      <c r="L274" s="19">
        <f>IFERROR(__xludf.DUMMYFUNCTION("""COMPUTED_VALUE"""),0.1749)</f>
        <v>0.1749</v>
      </c>
      <c r="M274" s="18">
        <f>IFERROR(__xludf.DUMMYFUNCTION("""COMPUTED_VALUE"""),1.53)</f>
        <v>1.53</v>
      </c>
    </row>
    <row r="275">
      <c r="A275" s="13" t="str">
        <f>IFERROR(__xludf.DUMMYFUNCTION("""COMPUTED_VALUE"""),"товари")</f>
        <v>товари</v>
      </c>
      <c r="B275" s="16" t="str">
        <f>IFERROR(__xludf.DUMMYFUNCTION("""COMPUTED_VALUE"""),"авто-, мото")</f>
        <v>авто-, мото</v>
      </c>
      <c r="C275" s="16" t="str">
        <f>IFERROR(__xludf.DUMMYFUNCTION("""COMPUTED_VALUE"""),"автозапчастини")</f>
        <v>автозапчастини</v>
      </c>
      <c r="D275" s="16" t="str">
        <f>IFERROR(__xludf.DUMMYFUNCTION("""COMPUTED_VALUE"""),"система змащування двигуна")</f>
        <v>система змащування двигуна</v>
      </c>
      <c r="E275" s="16" t="str">
        <f>IFERROR(__xludf.DUMMYFUNCTION("""COMPUTED_VALUE"""),"масляні фільтри ")</f>
        <v>масляні фільтри </v>
      </c>
      <c r="F275" s="17">
        <f>IFERROR(__xludf.DUMMYFUNCTION("""COMPUTED_VALUE"""),4.0)</f>
        <v>4</v>
      </c>
      <c r="G275" s="17" t="str">
        <f>IFERROR(__xludf.DUMMYFUNCTION("""COMPUTED_VALUE"""),"12021001")</f>
        <v>12021001</v>
      </c>
      <c r="H275" s="17" t="str">
        <f>IFERROR(__xludf.DUMMYFUNCTION("""COMPUTED_VALUE"""),"масляні фільтри ")</f>
        <v>масляні фільтри </v>
      </c>
      <c r="I275" s="19">
        <f>IFERROR(__xludf.DUMMYFUNCTION("""COMPUTED_VALUE"""),0.0553)</f>
        <v>0.0553</v>
      </c>
      <c r="J275" s="19">
        <f>IFERROR(__xludf.DUMMYFUNCTION("""COMPUTED_VALUE"""),0.1105)</f>
        <v>0.1105</v>
      </c>
      <c r="K275" s="19">
        <f>IFERROR(__xludf.DUMMYFUNCTION("""COMPUTED_VALUE"""),0.1381)</f>
        <v>0.1381</v>
      </c>
      <c r="L275" s="19">
        <f>IFERROR(__xludf.DUMMYFUNCTION("""COMPUTED_VALUE"""),0.1658)</f>
        <v>0.1658</v>
      </c>
      <c r="M275" s="18">
        <f>IFERROR(__xludf.DUMMYFUNCTION("""COMPUTED_VALUE"""),1.8)</f>
        <v>1.8</v>
      </c>
    </row>
    <row r="276">
      <c r="A276" s="13" t="str">
        <f>IFERROR(__xludf.DUMMYFUNCTION("""COMPUTED_VALUE"""),"товари")</f>
        <v>товари</v>
      </c>
      <c r="B276" s="16" t="str">
        <f>IFERROR(__xludf.DUMMYFUNCTION("""COMPUTED_VALUE"""),"авто-, мото")</f>
        <v>авто-, мото</v>
      </c>
      <c r="C276" s="16" t="str">
        <f>IFERROR(__xludf.DUMMYFUNCTION("""COMPUTED_VALUE"""),"аксесуари для авто")</f>
        <v>аксесуари для авто</v>
      </c>
      <c r="D276" s="16" t="str">
        <f>IFERROR(__xludf.DUMMYFUNCTION("""COMPUTED_VALUE"""),"аксесуари для автотюнингу")</f>
        <v>аксесуари для автотюнингу</v>
      </c>
      <c r="E276" s="16" t="str">
        <f>IFERROR(__xludf.DUMMYFUNCTION("""COMPUTED_VALUE"""),"матеріали для вібро і шумоізоляції автомобіля")</f>
        <v>матеріали для вібро і шумоізоляції автомобіля</v>
      </c>
      <c r="F276" s="17">
        <f>IFERROR(__xludf.DUMMYFUNCTION("""COMPUTED_VALUE"""),4.0)</f>
        <v>4</v>
      </c>
      <c r="G276" s="17" t="str">
        <f>IFERROR(__xludf.DUMMYFUNCTION("""COMPUTED_VALUE"""),"12123207")</f>
        <v>12123207</v>
      </c>
      <c r="H276" s="17" t="str">
        <f>IFERROR(__xludf.DUMMYFUNCTION("""COMPUTED_VALUE"""),"матеріали для вібро і шумоізоляції автомобіля")</f>
        <v>матеріали для вібро і шумоізоляції автомобіля</v>
      </c>
      <c r="I276" s="19">
        <f>IFERROR(__xludf.DUMMYFUNCTION("""COMPUTED_VALUE"""),0.0781)</f>
        <v>0.0781</v>
      </c>
      <c r="J276" s="19">
        <f>IFERROR(__xludf.DUMMYFUNCTION("""COMPUTED_VALUE"""),0.1561)</f>
        <v>0.1561</v>
      </c>
      <c r="K276" s="19">
        <f>IFERROR(__xludf.DUMMYFUNCTION("""COMPUTED_VALUE"""),0.1951)</f>
        <v>0.1951</v>
      </c>
      <c r="L276" s="19">
        <f>IFERROR(__xludf.DUMMYFUNCTION("""COMPUTED_VALUE"""),0.2342)</f>
        <v>0.2342</v>
      </c>
      <c r="M276" s="18">
        <f>IFERROR(__xludf.DUMMYFUNCTION("""COMPUTED_VALUE"""),1.53)</f>
        <v>1.53</v>
      </c>
    </row>
    <row r="277">
      <c r="A277" s="13" t="str">
        <f>IFERROR(__xludf.DUMMYFUNCTION("""COMPUTED_VALUE"""),"товари")</f>
        <v>товари</v>
      </c>
      <c r="B277" s="16" t="str">
        <f>IFERROR(__xludf.DUMMYFUNCTION("""COMPUTED_VALUE"""),"авто-, мото")</f>
        <v>авто-, мото</v>
      </c>
      <c r="C277" s="16" t="str">
        <f>IFERROR(__xludf.DUMMYFUNCTION("""COMPUTED_VALUE"""),"автозапчастини")</f>
        <v>автозапчастини</v>
      </c>
      <c r="D277" s="16" t="str">
        <f>IFERROR(__xludf.DUMMYFUNCTION("""COMPUTED_VALUE"""),"деталі ходової")</f>
        <v>деталі ходової</v>
      </c>
      <c r="E277" s="16" t="str">
        <f>IFERROR(__xludf.DUMMYFUNCTION("""COMPUTED_VALUE"""),"маточини")</f>
        <v>маточини</v>
      </c>
      <c r="F277" s="17">
        <f>IFERROR(__xludf.DUMMYFUNCTION("""COMPUTED_VALUE"""),4.0)</f>
        <v>4</v>
      </c>
      <c r="G277" s="17" t="str">
        <f>IFERROR(__xludf.DUMMYFUNCTION("""COMPUTED_VALUE"""),"341535")</f>
        <v>341535</v>
      </c>
      <c r="H277" s="17" t="str">
        <f>IFERROR(__xludf.DUMMYFUNCTION("""COMPUTED_VALUE"""),"маточини")</f>
        <v>маточини</v>
      </c>
      <c r="I277" s="19">
        <f>IFERROR(__xludf.DUMMYFUNCTION("""COMPUTED_VALUE"""),0.0526)</f>
        <v>0.0526</v>
      </c>
      <c r="J277" s="19">
        <f>IFERROR(__xludf.DUMMYFUNCTION("""COMPUTED_VALUE"""),0.1051)</f>
        <v>0.1051</v>
      </c>
      <c r="K277" s="19">
        <f>IFERROR(__xludf.DUMMYFUNCTION("""COMPUTED_VALUE"""),0.1314)</f>
        <v>0.1314</v>
      </c>
      <c r="L277" s="19">
        <f>IFERROR(__xludf.DUMMYFUNCTION("""COMPUTED_VALUE"""),0.1577)</f>
        <v>0.1577</v>
      </c>
      <c r="M277" s="18">
        <f>IFERROR(__xludf.DUMMYFUNCTION("""COMPUTED_VALUE"""),1.53)</f>
        <v>1.53</v>
      </c>
    </row>
    <row r="278">
      <c r="A278" s="13" t="str">
        <f>IFERROR(__xludf.DUMMYFUNCTION("""COMPUTED_VALUE"""),"товари")</f>
        <v>товари</v>
      </c>
      <c r="B278" s="16" t="str">
        <f>IFERROR(__xludf.DUMMYFUNCTION("""COMPUTED_VALUE"""),"авто-, мото")</f>
        <v>авто-, мото</v>
      </c>
      <c r="C278" s="16" t="str">
        <f>IFERROR(__xludf.DUMMYFUNCTION("""COMPUTED_VALUE"""),"автозапчастини")</f>
        <v>автозапчастини</v>
      </c>
      <c r="D278" s="16" t="str">
        <f>IFERROR(__xludf.DUMMYFUNCTION("""COMPUTED_VALUE"""),"кривошипно-шатунний механізм (кшм)")</f>
        <v>кривошипно-шатунний механізм (кшм)</v>
      </c>
      <c r="E278" s="16" t="str">
        <f>IFERROR(__xludf.DUMMYFUNCTION("""COMPUTED_VALUE"""),"маховики двигунів")</f>
        <v>маховики двигунів</v>
      </c>
      <c r="F278" s="17">
        <f>IFERROR(__xludf.DUMMYFUNCTION("""COMPUTED_VALUE"""),4.0)</f>
        <v>4</v>
      </c>
      <c r="G278" s="17" t="str">
        <f>IFERROR(__xludf.DUMMYFUNCTION("""COMPUTED_VALUE"""),"12020426")</f>
        <v>12020426</v>
      </c>
      <c r="H278" s="17" t="str">
        <f>IFERROR(__xludf.DUMMYFUNCTION("""COMPUTED_VALUE"""),"маховики двигунів")</f>
        <v>маховики двигунів</v>
      </c>
      <c r="I278" s="19">
        <f>IFERROR(__xludf.DUMMYFUNCTION("""COMPUTED_VALUE"""),0.0449)</f>
        <v>0.0449</v>
      </c>
      <c r="J278" s="19">
        <f>IFERROR(__xludf.DUMMYFUNCTION("""COMPUTED_VALUE"""),0.0897)</f>
        <v>0.0897</v>
      </c>
      <c r="K278" s="19">
        <f>IFERROR(__xludf.DUMMYFUNCTION("""COMPUTED_VALUE"""),0.1121)</f>
        <v>0.1121</v>
      </c>
      <c r="L278" s="19">
        <f>IFERROR(__xludf.DUMMYFUNCTION("""COMPUTED_VALUE"""),0.1346)</f>
        <v>0.1346</v>
      </c>
      <c r="M278" s="18">
        <f>IFERROR(__xludf.DUMMYFUNCTION("""COMPUTED_VALUE"""),1.98)</f>
        <v>1.98</v>
      </c>
    </row>
    <row r="279">
      <c r="A279" s="13" t="str">
        <f>IFERROR(__xludf.DUMMYFUNCTION("""COMPUTED_VALUE"""),"товари")</f>
        <v>товари</v>
      </c>
      <c r="B279" s="16" t="str">
        <f>IFERROR(__xludf.DUMMYFUNCTION("""COMPUTED_VALUE"""),"авто-, мото")</f>
        <v>авто-, мото</v>
      </c>
      <c r="C279" s="16" t="str">
        <f>IFERROR(__xludf.DUMMYFUNCTION("""COMPUTED_VALUE"""),"додаткове обладнання")</f>
        <v>додаткове обладнання</v>
      </c>
      <c r="D279" s="16" t="str">
        <f>IFERROR(__xludf.DUMMYFUNCTION("""COMPUTED_VALUE"""),"механічні протиугонні системи")</f>
        <v>механічні протиугонні системи</v>
      </c>
      <c r="E279" s="16" t="str">
        <f>IFERROR(__xludf.DUMMYFUNCTION("""COMPUTED_VALUE"""),"механічні протиугонні системи")</f>
        <v>механічні протиугонні системи</v>
      </c>
      <c r="F279" s="17">
        <f>IFERROR(__xludf.DUMMYFUNCTION("""COMPUTED_VALUE"""),3.0)</f>
        <v>3</v>
      </c>
      <c r="G279" s="17" t="str">
        <f>IFERROR(__xludf.DUMMYFUNCTION("""COMPUTED_VALUE"""),"120219")</f>
        <v>120219</v>
      </c>
      <c r="H279" s="17" t="str">
        <f>IFERROR(__xludf.DUMMYFUNCTION("""COMPUTED_VALUE"""),"механічні протиугонні системи")</f>
        <v>механічні протиугонні системи</v>
      </c>
      <c r="I279" s="19">
        <f>IFERROR(__xludf.DUMMYFUNCTION("""COMPUTED_VALUE"""),0.0736)</f>
        <v>0.0736</v>
      </c>
      <c r="J279" s="19">
        <f>IFERROR(__xludf.DUMMYFUNCTION("""COMPUTED_VALUE"""),0.1472)</f>
        <v>0.1472</v>
      </c>
      <c r="K279" s="19">
        <f>IFERROR(__xludf.DUMMYFUNCTION("""COMPUTED_VALUE"""),0.184)</f>
        <v>0.184</v>
      </c>
      <c r="L279" s="19">
        <f>IFERROR(__xludf.DUMMYFUNCTION("""COMPUTED_VALUE"""),0.2208)</f>
        <v>0.2208</v>
      </c>
      <c r="M279" s="18">
        <f>IFERROR(__xludf.DUMMYFUNCTION("""COMPUTED_VALUE"""),1.05)</f>
        <v>1.05</v>
      </c>
    </row>
    <row r="280">
      <c r="A280" s="13" t="str">
        <f>IFERROR(__xludf.DUMMYFUNCTION("""COMPUTED_VALUE"""),"товари")</f>
        <v>товари</v>
      </c>
      <c r="B280" s="16" t="str">
        <f>IFERROR(__xludf.DUMMYFUNCTION("""COMPUTED_VALUE"""),"авто-, мото")</f>
        <v>авто-, мото</v>
      </c>
      <c r="C280" s="16" t="str">
        <f>IFERROR(__xludf.DUMMYFUNCTION("""COMPUTED_VALUE"""),"мототехніка")</f>
        <v>мототехніка</v>
      </c>
      <c r="D280" s="16" t="str">
        <f>IFERROR(__xludf.DUMMYFUNCTION("""COMPUTED_VALUE"""),"аксесуари для мототехніки")</f>
        <v>аксесуари для мототехніки</v>
      </c>
      <c r="E280" s="16" t="str">
        <f>IFERROR(__xludf.DUMMYFUNCTION("""COMPUTED_VALUE"""),"мотоаксесуари, загальне")</f>
        <v>мотоаксесуари, загальне</v>
      </c>
      <c r="F280" s="17">
        <f>IFERROR(__xludf.DUMMYFUNCTION("""COMPUTED_VALUE"""),4.0)</f>
        <v>4</v>
      </c>
      <c r="G280" s="17">
        <f>IFERROR(__xludf.DUMMYFUNCTION("""COMPUTED_VALUE"""),1.2031201E7)</f>
        <v>12031201</v>
      </c>
      <c r="H280" s="17" t="str">
        <f>IFERROR(__xludf.DUMMYFUNCTION("""COMPUTED_VALUE"""),"мотоаксесуари, загальне")</f>
        <v>мотоаксесуари, загальне</v>
      </c>
      <c r="I280" s="19">
        <f>IFERROR(__xludf.DUMMYFUNCTION("""COMPUTED_VALUE"""),0.125)</f>
        <v>0.125</v>
      </c>
      <c r="J280" s="19">
        <f>IFERROR(__xludf.DUMMYFUNCTION("""COMPUTED_VALUE"""),0.25)</f>
        <v>0.25</v>
      </c>
      <c r="K280" s="19">
        <f>IFERROR(__xludf.DUMMYFUNCTION("""COMPUTED_VALUE"""),0.3125)</f>
        <v>0.3125</v>
      </c>
      <c r="L280" s="19">
        <f>IFERROR(__xludf.DUMMYFUNCTION("""COMPUTED_VALUE"""),0.375)</f>
        <v>0.375</v>
      </c>
      <c r="M280" s="18">
        <f>IFERROR(__xludf.DUMMYFUNCTION("""COMPUTED_VALUE"""),4.33)</f>
        <v>4.33</v>
      </c>
    </row>
    <row r="281">
      <c r="A281" s="13" t="str">
        <f>IFERROR(__xludf.DUMMYFUNCTION("""COMPUTED_VALUE"""),"товари")</f>
        <v>товари</v>
      </c>
      <c r="B281" s="16" t="str">
        <f>IFERROR(__xludf.DUMMYFUNCTION("""COMPUTED_VALUE"""),"авто-, мото")</f>
        <v>авто-, мото</v>
      </c>
      <c r="C281" s="16" t="str">
        <f>IFERROR(__xludf.DUMMYFUNCTION("""COMPUTED_VALUE"""),"мототехніка")</f>
        <v>мототехніка</v>
      </c>
      <c r="D281" s="16" t="str">
        <f>IFERROR(__xludf.DUMMYFUNCTION("""COMPUTED_VALUE"""),"мотоекіпірування")</f>
        <v>мотоекіпірування</v>
      </c>
      <c r="E281" s="16" t="str">
        <f>IFERROR(__xludf.DUMMYFUNCTION("""COMPUTED_VALUE"""),"мотоботи")</f>
        <v>мотоботи</v>
      </c>
      <c r="F281" s="17">
        <f>IFERROR(__xludf.DUMMYFUNCTION("""COMPUTED_VALUE"""),4.0)</f>
        <v>4</v>
      </c>
      <c r="G281" s="17" t="str">
        <f>IFERROR(__xludf.DUMMYFUNCTION("""COMPUTED_VALUE"""),"3220401")</f>
        <v>3220401</v>
      </c>
      <c r="H281" s="17" t="str">
        <f>IFERROR(__xludf.DUMMYFUNCTION("""COMPUTED_VALUE"""),"мотоботи")</f>
        <v>мотоботи</v>
      </c>
      <c r="I281" s="19">
        <f>IFERROR(__xludf.DUMMYFUNCTION("""COMPUTED_VALUE"""),0.0685)</f>
        <v>0.0685</v>
      </c>
      <c r="J281" s="19">
        <f>IFERROR(__xludf.DUMMYFUNCTION("""COMPUTED_VALUE"""),0.137)</f>
        <v>0.137</v>
      </c>
      <c r="K281" s="19">
        <f>IFERROR(__xludf.DUMMYFUNCTION("""COMPUTED_VALUE"""),0.1713)</f>
        <v>0.1713</v>
      </c>
      <c r="L281" s="19">
        <f>IFERROR(__xludf.DUMMYFUNCTION("""COMPUTED_VALUE"""),0.2055)</f>
        <v>0.2055</v>
      </c>
      <c r="M281" s="18">
        <f>IFERROR(__xludf.DUMMYFUNCTION("""COMPUTED_VALUE"""),1.98)</f>
        <v>1.98</v>
      </c>
    </row>
    <row r="282">
      <c r="A282" s="13" t="str">
        <f>IFERROR(__xludf.DUMMYFUNCTION("""COMPUTED_VALUE"""),"товари")</f>
        <v>товари</v>
      </c>
      <c r="B282" s="16" t="str">
        <f>IFERROR(__xludf.DUMMYFUNCTION("""COMPUTED_VALUE"""),"авто-, мото")</f>
        <v>авто-, мото</v>
      </c>
      <c r="C282" s="16" t="str">
        <f>IFERROR(__xludf.DUMMYFUNCTION("""COMPUTED_VALUE"""),"мототехніка")</f>
        <v>мототехніка</v>
      </c>
      <c r="D282" s="16" t="str">
        <f>IFERROR(__xludf.DUMMYFUNCTION("""COMPUTED_VALUE"""),"мотоекіпірування")</f>
        <v>мотоекіпірування</v>
      </c>
      <c r="E282" s="16" t="str">
        <f>IFERROR(__xludf.DUMMYFUNCTION("""COMPUTED_VALUE"""),"мотоекіпіровка, загальне")</f>
        <v>мотоекіпіровка, загальне</v>
      </c>
      <c r="F282" s="17">
        <f>IFERROR(__xludf.DUMMYFUNCTION("""COMPUTED_VALUE"""),4.0)</f>
        <v>4</v>
      </c>
      <c r="G282" s="17" t="str">
        <f>IFERROR(__xludf.DUMMYFUNCTION("""COMPUTED_VALUE"""),"33805")</f>
        <v>33805</v>
      </c>
      <c r="H282" s="17" t="str">
        <f>IFERROR(__xludf.DUMMYFUNCTION("""COMPUTED_VALUE"""),"мотоекіпіровка, загальне")</f>
        <v>мотоекіпіровка, загальне</v>
      </c>
      <c r="I282" s="19">
        <f>IFERROR(__xludf.DUMMYFUNCTION("""COMPUTED_VALUE"""),0.125)</f>
        <v>0.125</v>
      </c>
      <c r="J282" s="19">
        <f>IFERROR(__xludf.DUMMYFUNCTION("""COMPUTED_VALUE"""),0.25)</f>
        <v>0.25</v>
      </c>
      <c r="K282" s="19">
        <f>IFERROR(__xludf.DUMMYFUNCTION("""COMPUTED_VALUE"""),0.3125)</f>
        <v>0.3125</v>
      </c>
      <c r="L282" s="19">
        <f>IFERROR(__xludf.DUMMYFUNCTION("""COMPUTED_VALUE"""),0.375)</f>
        <v>0.375</v>
      </c>
      <c r="M282" s="18">
        <f>IFERROR(__xludf.DUMMYFUNCTION("""COMPUTED_VALUE"""),4.33)</f>
        <v>4.33</v>
      </c>
    </row>
    <row r="283">
      <c r="A283" s="13" t="str">
        <f>IFERROR(__xludf.DUMMYFUNCTION("""COMPUTED_VALUE"""),"товари")</f>
        <v>товари</v>
      </c>
      <c r="B283" s="16" t="str">
        <f>IFERROR(__xludf.DUMMYFUNCTION("""COMPUTED_VALUE"""),"авто-, мото")</f>
        <v>авто-, мото</v>
      </c>
      <c r="C283" s="16" t="str">
        <f>IFERROR(__xludf.DUMMYFUNCTION("""COMPUTED_VALUE"""),"мототехніка")</f>
        <v>мототехніка</v>
      </c>
      <c r="D283" s="16" t="str">
        <f>IFERROR(__xludf.DUMMYFUNCTION("""COMPUTED_VALUE"""),"аксесуари для мототехніки")</f>
        <v>аксесуари для мототехніки</v>
      </c>
      <c r="E283" s="16" t="str">
        <f>IFERROR(__xludf.DUMMYFUNCTION("""COMPUTED_VALUE"""),"мотоелектроніка та гаджети")</f>
        <v>мотоелектроніка та гаджети</v>
      </c>
      <c r="F283" s="17">
        <f>IFERROR(__xludf.DUMMYFUNCTION("""COMPUTED_VALUE"""),4.0)</f>
        <v>4</v>
      </c>
      <c r="G283" s="17">
        <f>IFERROR(__xludf.DUMMYFUNCTION("""COMPUTED_VALUE"""),1.2031207E7)</f>
        <v>12031207</v>
      </c>
      <c r="H283" s="17" t="str">
        <f>IFERROR(__xludf.DUMMYFUNCTION("""COMPUTED_VALUE"""),"мотоелектроніка та гаджети")</f>
        <v>мотоелектроніка та гаджети</v>
      </c>
      <c r="I283" s="19">
        <f>IFERROR(__xludf.DUMMYFUNCTION("""COMPUTED_VALUE"""),0.0772)</f>
        <v>0.0772</v>
      </c>
      <c r="J283" s="19">
        <f>IFERROR(__xludf.DUMMYFUNCTION("""COMPUTED_VALUE"""),0.1544)</f>
        <v>0.1544</v>
      </c>
      <c r="K283" s="19">
        <f>IFERROR(__xludf.DUMMYFUNCTION("""COMPUTED_VALUE"""),0.193)</f>
        <v>0.193</v>
      </c>
      <c r="L283" s="19">
        <f>IFERROR(__xludf.DUMMYFUNCTION("""COMPUTED_VALUE"""),0.2316)</f>
        <v>0.2316</v>
      </c>
      <c r="M283" s="18">
        <f>IFERROR(__xludf.DUMMYFUNCTION("""COMPUTED_VALUE"""),1.98)</f>
        <v>1.98</v>
      </c>
    </row>
    <row r="284">
      <c r="A284" s="13" t="str">
        <f>IFERROR(__xludf.DUMMYFUNCTION("""COMPUTED_VALUE"""),"товари")</f>
        <v>товари</v>
      </c>
      <c r="B284" s="16" t="str">
        <f>IFERROR(__xludf.DUMMYFUNCTION("""COMPUTED_VALUE"""),"авто-, мото")</f>
        <v>авто-, мото</v>
      </c>
      <c r="C284" s="16" t="str">
        <f>IFERROR(__xludf.DUMMYFUNCTION("""COMPUTED_VALUE"""),"мототехніка")</f>
        <v>мототехніка</v>
      </c>
      <c r="D284" s="16" t="str">
        <f>IFERROR(__xludf.DUMMYFUNCTION("""COMPUTED_VALUE"""),"мотоекіпірування")</f>
        <v>мотоекіпірування</v>
      </c>
      <c r="E284" s="16" t="str">
        <f>IFERROR(__xludf.DUMMYFUNCTION("""COMPUTED_VALUE"""),"мотозахист")</f>
        <v>мотозахист</v>
      </c>
      <c r="F284" s="17">
        <f>IFERROR(__xludf.DUMMYFUNCTION("""COMPUTED_VALUE"""),4.0)</f>
        <v>4</v>
      </c>
      <c r="G284" s="17" t="str">
        <f>IFERROR(__xludf.DUMMYFUNCTION("""COMPUTED_VALUE"""),"33807")</f>
        <v>33807</v>
      </c>
      <c r="H284" s="17" t="str">
        <f>IFERROR(__xludf.DUMMYFUNCTION("""COMPUTED_VALUE"""),"мотозахист")</f>
        <v>мотозахист</v>
      </c>
      <c r="I284" s="19">
        <f>IFERROR(__xludf.DUMMYFUNCTION("""COMPUTED_VALUE"""),0.0772)</f>
        <v>0.0772</v>
      </c>
      <c r="J284" s="19">
        <f>IFERROR(__xludf.DUMMYFUNCTION("""COMPUTED_VALUE"""),0.1544)</f>
        <v>0.1544</v>
      </c>
      <c r="K284" s="19">
        <f>IFERROR(__xludf.DUMMYFUNCTION("""COMPUTED_VALUE"""),0.193)</f>
        <v>0.193</v>
      </c>
      <c r="L284" s="19">
        <f>IFERROR(__xludf.DUMMYFUNCTION("""COMPUTED_VALUE"""),0.2316)</f>
        <v>0.2316</v>
      </c>
      <c r="M284" s="18">
        <f>IFERROR(__xludf.DUMMYFUNCTION("""COMPUTED_VALUE"""),1.98)</f>
        <v>1.98</v>
      </c>
    </row>
    <row r="285">
      <c r="A285" s="13" t="str">
        <f>IFERROR(__xludf.DUMMYFUNCTION("""COMPUTED_VALUE"""),"товари")</f>
        <v>товари</v>
      </c>
      <c r="B285" s="16" t="str">
        <f>IFERROR(__xludf.DUMMYFUNCTION("""COMPUTED_VALUE"""),"авто-, мото")</f>
        <v>авто-, мото</v>
      </c>
      <c r="C285" s="16" t="str">
        <f>IFERROR(__xludf.DUMMYFUNCTION("""COMPUTED_VALUE"""),"мототехніка")</f>
        <v>мототехніка</v>
      </c>
      <c r="D285" s="16" t="str">
        <f>IFERROR(__xludf.DUMMYFUNCTION("""COMPUTED_VALUE"""),"аксесуари для мототехніки")</f>
        <v>аксесуари для мототехніки</v>
      </c>
      <c r="E285" s="16" t="str">
        <f>IFERROR(__xludf.DUMMYFUNCTION("""COMPUTED_VALUE"""),"мотозахист і обвіс")</f>
        <v>мотозахист і обвіс</v>
      </c>
      <c r="F285" s="17">
        <f>IFERROR(__xludf.DUMMYFUNCTION("""COMPUTED_VALUE"""),4.0)</f>
        <v>4</v>
      </c>
      <c r="G285" s="17">
        <f>IFERROR(__xludf.DUMMYFUNCTION("""COMPUTED_VALUE"""),1.2031204E7)</f>
        <v>12031204</v>
      </c>
      <c r="H285" s="17" t="str">
        <f>IFERROR(__xludf.DUMMYFUNCTION("""COMPUTED_VALUE"""),"мотозахист і обвіс")</f>
        <v>мотозахист і обвіс</v>
      </c>
      <c r="I285" s="19">
        <f>IFERROR(__xludf.DUMMYFUNCTION("""COMPUTED_VALUE"""),0.0772)</f>
        <v>0.0772</v>
      </c>
      <c r="J285" s="19">
        <f>IFERROR(__xludf.DUMMYFUNCTION("""COMPUTED_VALUE"""),0.1544)</f>
        <v>0.1544</v>
      </c>
      <c r="K285" s="19">
        <f>IFERROR(__xludf.DUMMYFUNCTION("""COMPUTED_VALUE"""),0.193)</f>
        <v>0.193</v>
      </c>
      <c r="L285" s="19">
        <f>IFERROR(__xludf.DUMMYFUNCTION("""COMPUTED_VALUE"""),0.2316)</f>
        <v>0.2316</v>
      </c>
      <c r="M285" s="18">
        <f>IFERROR(__xludf.DUMMYFUNCTION("""COMPUTED_VALUE"""),1.98)</f>
        <v>1.98</v>
      </c>
    </row>
    <row r="286">
      <c r="A286" s="13" t="str">
        <f>IFERROR(__xludf.DUMMYFUNCTION("""COMPUTED_VALUE"""),"товари")</f>
        <v>товари</v>
      </c>
      <c r="B286" s="16" t="str">
        <f>IFERROR(__xludf.DUMMYFUNCTION("""COMPUTED_VALUE"""),"авто-, мото")</f>
        <v>авто-, мото</v>
      </c>
      <c r="C286" s="16" t="str">
        <f>IFERROR(__xludf.DUMMYFUNCTION("""COMPUTED_VALUE"""),"мототехніка")</f>
        <v>мототехніка</v>
      </c>
      <c r="D286" s="16" t="str">
        <f>IFERROR(__xludf.DUMMYFUNCTION("""COMPUTED_VALUE"""),"мотоекіпірування")</f>
        <v>мотоекіпірування</v>
      </c>
      <c r="E286" s="16" t="str">
        <f>IFERROR(__xludf.DUMMYFUNCTION("""COMPUTED_VALUE"""),"мотокомбінезони")</f>
        <v>мотокомбінезони</v>
      </c>
      <c r="F286" s="17">
        <f>IFERROR(__xludf.DUMMYFUNCTION("""COMPUTED_VALUE"""),4.0)</f>
        <v>4</v>
      </c>
      <c r="G286" s="17" t="str">
        <f>IFERROR(__xludf.DUMMYFUNCTION("""COMPUTED_VALUE"""),"33808")</f>
        <v>33808</v>
      </c>
      <c r="H286" s="17" t="str">
        <f>IFERROR(__xludf.DUMMYFUNCTION("""COMPUTED_VALUE"""),"мотокомбінезони")</f>
        <v>мотокомбінезони</v>
      </c>
      <c r="I286" s="19">
        <f>IFERROR(__xludf.DUMMYFUNCTION("""COMPUTED_VALUE"""),0.072)</f>
        <v>0.072</v>
      </c>
      <c r="J286" s="19">
        <f>IFERROR(__xludf.DUMMYFUNCTION("""COMPUTED_VALUE"""),0.1439)</f>
        <v>0.1439</v>
      </c>
      <c r="K286" s="19">
        <f>IFERROR(__xludf.DUMMYFUNCTION("""COMPUTED_VALUE"""),0.1799)</f>
        <v>0.1799</v>
      </c>
      <c r="L286" s="19">
        <f>IFERROR(__xludf.DUMMYFUNCTION("""COMPUTED_VALUE"""),0.2159)</f>
        <v>0.2159</v>
      </c>
      <c r="M286" s="18">
        <f>IFERROR(__xludf.DUMMYFUNCTION("""COMPUTED_VALUE"""),1.98)</f>
        <v>1.98</v>
      </c>
    </row>
    <row r="287">
      <c r="A287" s="13" t="str">
        <f>IFERROR(__xludf.DUMMYFUNCTION("""COMPUTED_VALUE"""),"товари")</f>
        <v>товари</v>
      </c>
      <c r="B287" s="16" t="str">
        <f>IFERROR(__xludf.DUMMYFUNCTION("""COMPUTED_VALUE"""),"авто-, мото")</f>
        <v>авто-, мото</v>
      </c>
      <c r="C287" s="16" t="str">
        <f>IFERROR(__xludf.DUMMYFUNCTION("""COMPUTED_VALUE"""),"мототехніка")</f>
        <v>мототехніка</v>
      </c>
      <c r="D287" s="16" t="str">
        <f>IFERROR(__xludf.DUMMYFUNCTION("""COMPUTED_VALUE"""),"аксесуари для мототехніки")</f>
        <v>аксесуари для мототехніки</v>
      </c>
      <c r="E287" s="16" t="str">
        <f>IFERROR(__xludf.DUMMYFUNCTION("""COMPUTED_VALUE"""),"мотокріплення та фурнітура")</f>
        <v>мотокріплення та фурнітура</v>
      </c>
      <c r="F287" s="17">
        <f>IFERROR(__xludf.DUMMYFUNCTION("""COMPUTED_VALUE"""),4.0)</f>
        <v>4</v>
      </c>
      <c r="G287" s="17">
        <f>IFERROR(__xludf.DUMMYFUNCTION("""COMPUTED_VALUE"""),1.2031206E7)</f>
        <v>12031206</v>
      </c>
      <c r="H287" s="17" t="str">
        <f>IFERROR(__xludf.DUMMYFUNCTION("""COMPUTED_VALUE"""),"мотокріплення та фурнітура")</f>
        <v>мотокріплення та фурнітура</v>
      </c>
      <c r="I287" s="19">
        <f>IFERROR(__xludf.DUMMYFUNCTION("""COMPUTED_VALUE"""),0.0772)</f>
        <v>0.0772</v>
      </c>
      <c r="J287" s="19">
        <f>IFERROR(__xludf.DUMMYFUNCTION("""COMPUTED_VALUE"""),0.1544)</f>
        <v>0.1544</v>
      </c>
      <c r="K287" s="19">
        <f>IFERROR(__xludf.DUMMYFUNCTION("""COMPUTED_VALUE"""),0.193)</f>
        <v>0.193</v>
      </c>
      <c r="L287" s="19">
        <f>IFERROR(__xludf.DUMMYFUNCTION("""COMPUTED_VALUE"""),0.2316)</f>
        <v>0.2316</v>
      </c>
      <c r="M287" s="18">
        <f>IFERROR(__xludf.DUMMYFUNCTION("""COMPUTED_VALUE"""),1.98)</f>
        <v>1.98</v>
      </c>
    </row>
    <row r="288">
      <c r="A288" s="13" t="str">
        <f>IFERROR(__xludf.DUMMYFUNCTION("""COMPUTED_VALUE"""),"товари")</f>
        <v>товари</v>
      </c>
      <c r="B288" s="16" t="str">
        <f>IFERROR(__xludf.DUMMYFUNCTION("""COMPUTED_VALUE"""),"авто-, мото")</f>
        <v>авто-, мото</v>
      </c>
      <c r="C288" s="16" t="str">
        <f>IFERROR(__xludf.DUMMYFUNCTION("""COMPUTED_VALUE"""),"мототехніка")</f>
        <v>мототехніка</v>
      </c>
      <c r="D288" s="16" t="str">
        <f>IFERROR(__xludf.DUMMYFUNCTION("""COMPUTED_VALUE"""),"мотоекіпірування")</f>
        <v>мотоекіпірування</v>
      </c>
      <c r="E288" s="16" t="str">
        <f>IFERROR(__xludf.DUMMYFUNCTION("""COMPUTED_VALUE"""),"мотокуртки")</f>
        <v>мотокуртки</v>
      </c>
      <c r="F288" s="17">
        <f>IFERROR(__xludf.DUMMYFUNCTION("""COMPUTED_VALUE"""),4.0)</f>
        <v>4</v>
      </c>
      <c r="G288" s="17" t="str">
        <f>IFERROR(__xludf.DUMMYFUNCTION("""COMPUTED_VALUE"""),"33803")</f>
        <v>33803</v>
      </c>
      <c r="H288" s="17" t="str">
        <f>IFERROR(__xludf.DUMMYFUNCTION("""COMPUTED_VALUE"""),"мотокуртки")</f>
        <v>мотокуртки</v>
      </c>
      <c r="I288" s="19">
        <f>IFERROR(__xludf.DUMMYFUNCTION("""COMPUTED_VALUE"""),0.0636)</f>
        <v>0.0636</v>
      </c>
      <c r="J288" s="19">
        <f>IFERROR(__xludf.DUMMYFUNCTION("""COMPUTED_VALUE"""),0.1271)</f>
        <v>0.1271</v>
      </c>
      <c r="K288" s="19">
        <f>IFERROR(__xludf.DUMMYFUNCTION("""COMPUTED_VALUE"""),0.1589)</f>
        <v>0.1589</v>
      </c>
      <c r="L288" s="19">
        <f>IFERROR(__xludf.DUMMYFUNCTION("""COMPUTED_VALUE"""),0.1907)</f>
        <v>0.1907</v>
      </c>
      <c r="M288" s="18">
        <f>IFERROR(__xludf.DUMMYFUNCTION("""COMPUTED_VALUE"""),1.98)</f>
        <v>1.98</v>
      </c>
    </row>
    <row r="289">
      <c r="A289" s="13" t="str">
        <f>IFERROR(__xludf.DUMMYFUNCTION("""COMPUTED_VALUE"""),"товари")</f>
        <v>товари</v>
      </c>
      <c r="B289" s="16" t="str">
        <f>IFERROR(__xludf.DUMMYFUNCTION("""COMPUTED_VALUE"""),"авто-, мото")</f>
        <v>авто-, мото</v>
      </c>
      <c r="C289" s="16" t="str">
        <f>IFERROR(__xludf.DUMMYFUNCTION("""COMPUTED_VALUE"""),"мототехніка")</f>
        <v>мототехніка</v>
      </c>
      <c r="D289" s="16" t="str">
        <f>IFERROR(__xludf.DUMMYFUNCTION("""COMPUTED_VALUE"""),"мотоекіпірування")</f>
        <v>мотоекіпірування</v>
      </c>
      <c r="E289" s="16" t="str">
        <f>IFERROR(__xludf.DUMMYFUNCTION("""COMPUTED_VALUE"""),"мотоокуляри")</f>
        <v>мотоокуляри</v>
      </c>
      <c r="F289" s="17">
        <f>IFERROR(__xludf.DUMMYFUNCTION("""COMPUTED_VALUE"""),4.0)</f>
        <v>4</v>
      </c>
      <c r="G289" s="17" t="str">
        <f>IFERROR(__xludf.DUMMYFUNCTION("""COMPUTED_VALUE"""),"33809")</f>
        <v>33809</v>
      </c>
      <c r="H289" s="17" t="str">
        <f>IFERROR(__xludf.DUMMYFUNCTION("""COMPUTED_VALUE"""),"мотоокуляри")</f>
        <v>мотоокуляри</v>
      </c>
      <c r="I289" s="19">
        <f>IFERROR(__xludf.DUMMYFUNCTION("""COMPUTED_VALUE"""),0.0776)</f>
        <v>0.0776</v>
      </c>
      <c r="J289" s="19">
        <f>IFERROR(__xludf.DUMMYFUNCTION("""COMPUTED_VALUE"""),0.1551)</f>
        <v>0.1551</v>
      </c>
      <c r="K289" s="19">
        <f>IFERROR(__xludf.DUMMYFUNCTION("""COMPUTED_VALUE"""),0.1939)</f>
        <v>0.1939</v>
      </c>
      <c r="L289" s="19">
        <f>IFERROR(__xludf.DUMMYFUNCTION("""COMPUTED_VALUE"""),0.2327)</f>
        <v>0.2327</v>
      </c>
      <c r="M289" s="18">
        <f>IFERROR(__xludf.DUMMYFUNCTION("""COMPUTED_VALUE"""),1.98)</f>
        <v>1.98</v>
      </c>
    </row>
    <row r="290">
      <c r="A290" s="13" t="str">
        <f>IFERROR(__xludf.DUMMYFUNCTION("""COMPUTED_VALUE"""),"товари")</f>
        <v>товари</v>
      </c>
      <c r="B290" s="16" t="str">
        <f>IFERROR(__xludf.DUMMYFUNCTION("""COMPUTED_VALUE"""),"авто-, мото")</f>
        <v>авто-, мото</v>
      </c>
      <c r="C290" s="16" t="str">
        <f>IFERROR(__xludf.DUMMYFUNCTION("""COMPUTED_VALUE"""),"автохімія, автокосметика і автомастила")</f>
        <v>автохімія, автокосметика і автомастила</v>
      </c>
      <c r="D290" s="16" t="str">
        <f>IFERROR(__xludf.DUMMYFUNCTION("""COMPUTED_VALUE"""),"авто, мото масла, мастила та рідини")</f>
        <v>авто, мото масла, мастила та рідини</v>
      </c>
      <c r="E290" s="16" t="str">
        <f>IFERROR(__xludf.DUMMYFUNCTION("""COMPUTED_VALUE"""),"моторні мастила")</f>
        <v>моторні мастила</v>
      </c>
      <c r="F290" s="17">
        <f>IFERROR(__xludf.DUMMYFUNCTION("""COMPUTED_VALUE"""),4.0)</f>
        <v>4</v>
      </c>
      <c r="G290" s="17" t="str">
        <f>IFERROR(__xludf.DUMMYFUNCTION("""COMPUTED_VALUE"""),"341022")</f>
        <v>341022</v>
      </c>
      <c r="H290" s="17" t="str">
        <f>IFERROR(__xludf.DUMMYFUNCTION("""COMPUTED_VALUE"""),"моторні мастила")</f>
        <v>моторні мастила</v>
      </c>
      <c r="I290" s="19">
        <f>IFERROR(__xludf.DUMMYFUNCTION("""COMPUTED_VALUE"""),0.0737)</f>
        <v>0.0737</v>
      </c>
      <c r="J290" s="19">
        <f>IFERROR(__xludf.DUMMYFUNCTION("""COMPUTED_VALUE"""),0.1474)</f>
        <v>0.1474</v>
      </c>
      <c r="K290" s="19">
        <f>IFERROR(__xludf.DUMMYFUNCTION("""COMPUTED_VALUE"""),0.1843)</f>
        <v>0.1843</v>
      </c>
      <c r="L290" s="19">
        <f>IFERROR(__xludf.DUMMYFUNCTION("""COMPUTED_VALUE"""),0.2211)</f>
        <v>0.2211</v>
      </c>
      <c r="M290" s="18">
        <f>IFERROR(__xludf.DUMMYFUNCTION("""COMPUTED_VALUE"""),2.88)</f>
        <v>2.88</v>
      </c>
    </row>
    <row r="291">
      <c r="A291" s="13" t="str">
        <f>IFERROR(__xludf.DUMMYFUNCTION("""COMPUTED_VALUE"""),"товари")</f>
        <v>товари</v>
      </c>
      <c r="B291" s="16" t="str">
        <f>IFERROR(__xludf.DUMMYFUNCTION("""COMPUTED_VALUE"""),"авто-, мото")</f>
        <v>авто-, мото</v>
      </c>
      <c r="C291" s="16" t="str">
        <f>IFERROR(__xludf.DUMMYFUNCTION("""COMPUTED_VALUE"""),"мототехніка")</f>
        <v>мототехніка</v>
      </c>
      <c r="D291" s="16" t="str">
        <f>IFERROR(__xludf.DUMMYFUNCTION("""COMPUTED_VALUE"""),"мотоекіпірування")</f>
        <v>мотоекіпірування</v>
      </c>
      <c r="E291" s="16" t="str">
        <f>IFERROR(__xludf.DUMMYFUNCTION("""COMPUTED_VALUE"""),"моторукавиці")</f>
        <v>моторукавиці</v>
      </c>
      <c r="F291" s="17">
        <f>IFERROR(__xludf.DUMMYFUNCTION("""COMPUTED_VALUE"""),4.0)</f>
        <v>4</v>
      </c>
      <c r="G291" s="17" t="str">
        <f>IFERROR(__xludf.DUMMYFUNCTION("""COMPUTED_VALUE"""),"33802")</f>
        <v>33802</v>
      </c>
      <c r="H291" s="17" t="str">
        <f>IFERROR(__xludf.DUMMYFUNCTION("""COMPUTED_VALUE"""),"моторукавиці")</f>
        <v>моторукавиці</v>
      </c>
      <c r="I291" s="19">
        <f>IFERROR(__xludf.DUMMYFUNCTION("""COMPUTED_VALUE"""),0.0772)</f>
        <v>0.0772</v>
      </c>
      <c r="J291" s="19">
        <f>IFERROR(__xludf.DUMMYFUNCTION("""COMPUTED_VALUE"""),0.1544)</f>
        <v>0.1544</v>
      </c>
      <c r="K291" s="19">
        <f>IFERROR(__xludf.DUMMYFUNCTION("""COMPUTED_VALUE"""),0.193)</f>
        <v>0.193</v>
      </c>
      <c r="L291" s="19">
        <f>IFERROR(__xludf.DUMMYFUNCTION("""COMPUTED_VALUE"""),0.2316)</f>
        <v>0.2316</v>
      </c>
      <c r="M291" s="18">
        <f>IFERROR(__xludf.DUMMYFUNCTION("""COMPUTED_VALUE"""),1.98)</f>
        <v>1.98</v>
      </c>
    </row>
    <row r="292">
      <c r="A292" s="13" t="str">
        <f>IFERROR(__xludf.DUMMYFUNCTION("""COMPUTED_VALUE"""),"товари")</f>
        <v>товари</v>
      </c>
      <c r="B292" s="16" t="str">
        <f>IFERROR(__xludf.DUMMYFUNCTION("""COMPUTED_VALUE"""),"авто-, мото")</f>
        <v>авто-, мото</v>
      </c>
      <c r="C292" s="16" t="str">
        <f>IFERROR(__xludf.DUMMYFUNCTION("""COMPUTED_VALUE"""),"мототехніка")</f>
        <v>мототехніка</v>
      </c>
      <c r="D292" s="16" t="str">
        <f>IFERROR(__xludf.DUMMYFUNCTION("""COMPUTED_VALUE"""),"аксесуари для мототехніки")</f>
        <v>аксесуари для мототехніки</v>
      </c>
      <c r="E292" s="16" t="str">
        <f>IFERROR(__xludf.DUMMYFUNCTION("""COMPUTED_VALUE"""),"мотостайлінг")</f>
        <v>мотостайлінг</v>
      </c>
      <c r="F292" s="17">
        <f>IFERROR(__xludf.DUMMYFUNCTION("""COMPUTED_VALUE"""),4.0)</f>
        <v>4</v>
      </c>
      <c r="G292" s="17">
        <f>IFERROR(__xludf.DUMMYFUNCTION("""COMPUTED_VALUE"""),1.2031205E7)</f>
        <v>12031205</v>
      </c>
      <c r="H292" s="17" t="str">
        <f>IFERROR(__xludf.DUMMYFUNCTION("""COMPUTED_VALUE"""),"мотостайлінг")</f>
        <v>мотостайлінг</v>
      </c>
      <c r="I292" s="19">
        <f>IFERROR(__xludf.DUMMYFUNCTION("""COMPUTED_VALUE"""),0.0733)</f>
        <v>0.0733</v>
      </c>
      <c r="J292" s="19">
        <f>IFERROR(__xludf.DUMMYFUNCTION("""COMPUTED_VALUE"""),0.1466)</f>
        <v>0.1466</v>
      </c>
      <c r="K292" s="19">
        <f>IFERROR(__xludf.DUMMYFUNCTION("""COMPUTED_VALUE"""),0.1833)</f>
        <v>0.1833</v>
      </c>
      <c r="L292" s="19">
        <f>IFERROR(__xludf.DUMMYFUNCTION("""COMPUTED_VALUE"""),0.2199)</f>
        <v>0.2199</v>
      </c>
      <c r="M292" s="18">
        <f>IFERROR(__xludf.DUMMYFUNCTION("""COMPUTED_VALUE"""),1.98)</f>
        <v>1.98</v>
      </c>
    </row>
    <row r="293">
      <c r="A293" s="13" t="str">
        <f>IFERROR(__xludf.DUMMYFUNCTION("""COMPUTED_VALUE"""),"товари")</f>
        <v>товари</v>
      </c>
      <c r="B293" s="16" t="str">
        <f>IFERROR(__xludf.DUMMYFUNCTION("""COMPUTED_VALUE"""),"авто-, мото")</f>
        <v>авто-, мото</v>
      </c>
      <c r="C293" s="16" t="str">
        <f>IFERROR(__xludf.DUMMYFUNCTION("""COMPUTED_VALUE"""),"мототехніка")</f>
        <v>мототехніка</v>
      </c>
      <c r="D293" s="16" t="str">
        <f>IFERROR(__xludf.DUMMYFUNCTION("""COMPUTED_VALUE"""),"мототехніка, загальне")</f>
        <v>мототехніка, загальне</v>
      </c>
      <c r="E293" s="16" t="str">
        <f>IFERROR(__xludf.DUMMYFUNCTION("""COMPUTED_VALUE"""),"мототехніка, загальне")</f>
        <v>мототехніка, загальне</v>
      </c>
      <c r="F293" s="17">
        <f>IFERROR(__xludf.DUMMYFUNCTION("""COMPUTED_VALUE"""),3.0)</f>
        <v>3</v>
      </c>
      <c r="G293" s="17" t="str">
        <f>IFERROR(__xludf.DUMMYFUNCTION("""COMPUTED_VALUE"""),"120302")</f>
        <v>120302</v>
      </c>
      <c r="H293" s="17" t="str">
        <f>IFERROR(__xludf.DUMMYFUNCTION("""COMPUTED_VALUE"""),"мототехніка, загальне")</f>
        <v>мототехніка, загальне</v>
      </c>
      <c r="I293" s="19">
        <f>IFERROR(__xludf.DUMMYFUNCTION("""COMPUTED_VALUE"""),0.125)</f>
        <v>0.125</v>
      </c>
      <c r="J293" s="19">
        <f>IFERROR(__xludf.DUMMYFUNCTION("""COMPUTED_VALUE"""),0.25)</f>
        <v>0.25</v>
      </c>
      <c r="K293" s="19">
        <f>IFERROR(__xludf.DUMMYFUNCTION("""COMPUTED_VALUE"""),0.3125)</f>
        <v>0.3125</v>
      </c>
      <c r="L293" s="19">
        <f>IFERROR(__xludf.DUMMYFUNCTION("""COMPUTED_VALUE"""),0.375)</f>
        <v>0.375</v>
      </c>
      <c r="M293" s="18">
        <f>IFERROR(__xludf.DUMMYFUNCTION("""COMPUTED_VALUE"""),4.33)</f>
        <v>4.33</v>
      </c>
    </row>
    <row r="294">
      <c r="A294" s="13" t="str">
        <f>IFERROR(__xludf.DUMMYFUNCTION("""COMPUTED_VALUE"""),"товари")</f>
        <v>товари</v>
      </c>
      <c r="B294" s="16" t="str">
        <f>IFERROR(__xludf.DUMMYFUNCTION("""COMPUTED_VALUE"""),"авто-, мото")</f>
        <v>авто-, мото</v>
      </c>
      <c r="C294" s="16" t="str">
        <f>IFERROR(__xludf.DUMMYFUNCTION("""COMPUTED_VALUE"""),"мототехніка")</f>
        <v>мототехніка</v>
      </c>
      <c r="D294" s="16" t="str">
        <f>IFERROR(__xludf.DUMMYFUNCTION("""COMPUTED_VALUE"""),"моточохли")</f>
        <v>моточохли</v>
      </c>
      <c r="E294" s="16" t="str">
        <f>IFERROR(__xludf.DUMMYFUNCTION("""COMPUTED_VALUE"""),"моточохли")</f>
        <v>моточохли</v>
      </c>
      <c r="F294" s="17">
        <f>IFERROR(__xludf.DUMMYFUNCTION("""COMPUTED_VALUE"""),3.0)</f>
        <v>3</v>
      </c>
      <c r="G294" s="17" t="str">
        <f>IFERROR(__xludf.DUMMYFUNCTION("""COMPUTED_VALUE"""),"121267")</f>
        <v>121267</v>
      </c>
      <c r="H294" s="17" t="str">
        <f>IFERROR(__xludf.DUMMYFUNCTION("""COMPUTED_VALUE"""),"моточохли")</f>
        <v>моточохли</v>
      </c>
      <c r="I294" s="19">
        <f>IFERROR(__xludf.DUMMYFUNCTION("""COMPUTED_VALUE"""),0.0501)</f>
        <v>0.0501</v>
      </c>
      <c r="J294" s="19">
        <f>IFERROR(__xludf.DUMMYFUNCTION("""COMPUTED_VALUE"""),0.1001)</f>
        <v>0.1001</v>
      </c>
      <c r="K294" s="19">
        <f>IFERROR(__xludf.DUMMYFUNCTION("""COMPUTED_VALUE"""),0.1251)</f>
        <v>0.1251</v>
      </c>
      <c r="L294" s="19">
        <f>IFERROR(__xludf.DUMMYFUNCTION("""COMPUTED_VALUE"""),0.1502)</f>
        <v>0.1502</v>
      </c>
      <c r="M294" s="18">
        <f>IFERROR(__xludf.DUMMYFUNCTION("""COMPUTED_VALUE"""),1.53)</f>
        <v>1.53</v>
      </c>
    </row>
    <row r="295">
      <c r="A295" s="13" t="str">
        <f>IFERROR(__xludf.DUMMYFUNCTION("""COMPUTED_VALUE"""),"товари")</f>
        <v>товари</v>
      </c>
      <c r="B295" s="16" t="str">
        <f>IFERROR(__xludf.DUMMYFUNCTION("""COMPUTED_VALUE"""),"авто-, мото")</f>
        <v>авто-, мото</v>
      </c>
      <c r="C295" s="16" t="str">
        <f>IFERROR(__xludf.DUMMYFUNCTION("""COMPUTED_VALUE"""),"диски і шини")</f>
        <v>диски і шини</v>
      </c>
      <c r="D295" s="16" t="str">
        <f>IFERROR(__xludf.DUMMYFUNCTION("""COMPUTED_VALUE"""),"шини")</f>
        <v>шини</v>
      </c>
      <c r="E295" s="16" t="str">
        <f>IFERROR(__xludf.DUMMYFUNCTION("""COMPUTED_VALUE"""),"мотошини")</f>
        <v>мотошини</v>
      </c>
      <c r="F295" s="17">
        <f>IFERROR(__xludf.DUMMYFUNCTION("""COMPUTED_VALUE"""),4.0)</f>
        <v>4</v>
      </c>
      <c r="G295" s="17" t="str">
        <f>IFERROR(__xludf.DUMMYFUNCTION("""COMPUTED_VALUE"""),"801226")</f>
        <v>801226</v>
      </c>
      <c r="H295" s="17" t="str">
        <f>IFERROR(__xludf.DUMMYFUNCTION("""COMPUTED_VALUE"""),"мотошини")</f>
        <v>мотошини</v>
      </c>
      <c r="I295" s="19">
        <f>IFERROR(__xludf.DUMMYFUNCTION("""COMPUTED_VALUE"""),0.0285)</f>
        <v>0.0285</v>
      </c>
      <c r="J295" s="19">
        <f>IFERROR(__xludf.DUMMYFUNCTION("""COMPUTED_VALUE"""),0.057)</f>
        <v>0.057</v>
      </c>
      <c r="K295" s="19">
        <f>IFERROR(__xludf.DUMMYFUNCTION("""COMPUTED_VALUE"""),0.0713)</f>
        <v>0.0713</v>
      </c>
      <c r="L295" s="19">
        <f>IFERROR(__xludf.DUMMYFUNCTION("""COMPUTED_VALUE"""),0.0855)</f>
        <v>0.0855</v>
      </c>
      <c r="M295" s="18">
        <f>IFERROR(__xludf.DUMMYFUNCTION("""COMPUTED_VALUE"""),2.25)</f>
        <v>2.25</v>
      </c>
    </row>
    <row r="296">
      <c r="A296" s="13" t="str">
        <f>IFERROR(__xludf.DUMMYFUNCTION("""COMPUTED_VALUE"""),"товари")</f>
        <v>товари</v>
      </c>
      <c r="B296" s="16" t="str">
        <f>IFERROR(__xludf.DUMMYFUNCTION("""COMPUTED_VALUE"""),"авто-, мото")</f>
        <v>авто-, мото</v>
      </c>
      <c r="C296" s="16" t="str">
        <f>IFERROR(__xludf.DUMMYFUNCTION("""COMPUTED_VALUE"""),"мототехніка")</f>
        <v>мототехніка</v>
      </c>
      <c r="D296" s="16" t="str">
        <f>IFERROR(__xludf.DUMMYFUNCTION("""COMPUTED_VALUE"""),"мотоекіпірування")</f>
        <v>мотоекіпірування</v>
      </c>
      <c r="E296" s="16" t="str">
        <f>IFERROR(__xludf.DUMMYFUNCTION("""COMPUTED_VALUE"""),"мотошоломи")</f>
        <v>мотошоломи</v>
      </c>
      <c r="F296" s="17">
        <f>IFERROR(__xludf.DUMMYFUNCTION("""COMPUTED_VALUE"""),4.0)</f>
        <v>4</v>
      </c>
      <c r="G296" s="17" t="str">
        <f>IFERROR(__xludf.DUMMYFUNCTION("""COMPUTED_VALUE"""),"33804")</f>
        <v>33804</v>
      </c>
      <c r="H296" s="17" t="str">
        <f>IFERROR(__xludf.DUMMYFUNCTION("""COMPUTED_VALUE"""),"мотошоломи")</f>
        <v>мотошоломи</v>
      </c>
      <c r="I296" s="19">
        <f>IFERROR(__xludf.DUMMYFUNCTION("""COMPUTED_VALUE"""),0.0733)</f>
        <v>0.0733</v>
      </c>
      <c r="J296" s="19">
        <f>IFERROR(__xludf.DUMMYFUNCTION("""COMPUTED_VALUE"""),0.1466)</f>
        <v>0.1466</v>
      </c>
      <c r="K296" s="19">
        <f>IFERROR(__xludf.DUMMYFUNCTION("""COMPUTED_VALUE"""),0.1833)</f>
        <v>0.1833</v>
      </c>
      <c r="L296" s="19">
        <f>IFERROR(__xludf.DUMMYFUNCTION("""COMPUTED_VALUE"""),0.2199)</f>
        <v>0.2199</v>
      </c>
      <c r="M296" s="18">
        <f>IFERROR(__xludf.DUMMYFUNCTION("""COMPUTED_VALUE"""),1.98)</f>
        <v>1.98</v>
      </c>
    </row>
    <row r="297">
      <c r="A297" s="13" t="str">
        <f>IFERROR(__xludf.DUMMYFUNCTION("""COMPUTED_VALUE"""),"товари")</f>
        <v>товари</v>
      </c>
      <c r="B297" s="16" t="str">
        <f>IFERROR(__xludf.DUMMYFUNCTION("""COMPUTED_VALUE"""),"авто-, мото")</f>
        <v>авто-, мото</v>
      </c>
      <c r="C297" s="16" t="str">
        <f>IFERROR(__xludf.DUMMYFUNCTION("""COMPUTED_VALUE"""),"мототехніка")</f>
        <v>мототехніка</v>
      </c>
      <c r="D297" s="16" t="str">
        <f>IFERROR(__xludf.DUMMYFUNCTION("""COMPUTED_VALUE"""),"мотоекіпірування")</f>
        <v>мотоекіпірування</v>
      </c>
      <c r="E297" s="16" t="str">
        <f>IFERROR(__xludf.DUMMYFUNCTION("""COMPUTED_VALUE"""),"мотоштани")</f>
        <v>мотоштани</v>
      </c>
      <c r="F297" s="17">
        <f>IFERROR(__xludf.DUMMYFUNCTION("""COMPUTED_VALUE"""),4.0)</f>
        <v>4</v>
      </c>
      <c r="G297" s="17" t="str">
        <f>IFERROR(__xludf.DUMMYFUNCTION("""COMPUTED_VALUE"""),"33806")</f>
        <v>33806</v>
      </c>
      <c r="H297" s="17" t="str">
        <f>IFERROR(__xludf.DUMMYFUNCTION("""COMPUTED_VALUE"""),"мотоштани")</f>
        <v>мотоштани</v>
      </c>
      <c r="I297" s="19">
        <f>IFERROR(__xludf.DUMMYFUNCTION("""COMPUTED_VALUE"""),0.0701)</f>
        <v>0.0701</v>
      </c>
      <c r="J297" s="19">
        <f>IFERROR(__xludf.DUMMYFUNCTION("""COMPUTED_VALUE"""),0.1401)</f>
        <v>0.1401</v>
      </c>
      <c r="K297" s="19">
        <f>IFERROR(__xludf.DUMMYFUNCTION("""COMPUTED_VALUE"""),0.1751)</f>
        <v>0.1751</v>
      </c>
      <c r="L297" s="19">
        <f>IFERROR(__xludf.DUMMYFUNCTION("""COMPUTED_VALUE"""),0.2102)</f>
        <v>0.2102</v>
      </c>
      <c r="M297" s="18">
        <f>IFERROR(__xludf.DUMMYFUNCTION("""COMPUTED_VALUE"""),1.98)</f>
        <v>1.98</v>
      </c>
    </row>
    <row r="298">
      <c r="A298" s="13" t="str">
        <f>IFERROR(__xludf.DUMMYFUNCTION("""COMPUTED_VALUE"""),"товари")</f>
        <v>товари</v>
      </c>
      <c r="B298" s="16" t="str">
        <f>IFERROR(__xludf.DUMMYFUNCTION("""COMPUTED_VALUE"""),"авто-, мото")</f>
        <v>авто-, мото</v>
      </c>
      <c r="C298" s="16" t="str">
        <f>IFERROR(__xludf.DUMMYFUNCTION("""COMPUTED_VALUE"""),"автозапчастини")</f>
        <v>автозапчастини</v>
      </c>
      <c r="D298" s="16" t="str">
        <f>IFERROR(__xludf.DUMMYFUNCTION("""COMPUTED_VALUE"""),"деталі мостів і приводу трансмісії")</f>
        <v>деталі мостів і приводу трансмісії</v>
      </c>
      <c r="E298" s="16" t="str">
        <f>IFERROR(__xludf.DUMMYFUNCTION("""COMPUTED_VALUE"""),"муфти вільного ходу")</f>
        <v>муфти вільного ходу</v>
      </c>
      <c r="F298" s="17">
        <f>IFERROR(__xludf.DUMMYFUNCTION("""COMPUTED_VALUE"""),4.0)</f>
        <v>4</v>
      </c>
      <c r="G298" s="17" t="str">
        <f>IFERROR(__xludf.DUMMYFUNCTION("""COMPUTED_VALUE"""),"12023820")</f>
        <v>12023820</v>
      </c>
      <c r="H298" s="17" t="str">
        <f>IFERROR(__xludf.DUMMYFUNCTION("""COMPUTED_VALUE"""),"муфти вільного ходу")</f>
        <v>муфти вільного ходу</v>
      </c>
      <c r="I298" s="19">
        <f>IFERROR(__xludf.DUMMYFUNCTION("""COMPUTED_VALUE"""),0.0421)</f>
        <v>0.0421</v>
      </c>
      <c r="J298" s="19">
        <f>IFERROR(__xludf.DUMMYFUNCTION("""COMPUTED_VALUE"""),0.0842)</f>
        <v>0.0842</v>
      </c>
      <c r="K298" s="19">
        <f>IFERROR(__xludf.DUMMYFUNCTION("""COMPUTED_VALUE"""),0.1053)</f>
        <v>0.1053</v>
      </c>
      <c r="L298" s="19">
        <f>IFERROR(__xludf.DUMMYFUNCTION("""COMPUTED_VALUE"""),0.1263)</f>
        <v>0.1263</v>
      </c>
      <c r="M298" s="18">
        <f>IFERROR(__xludf.DUMMYFUNCTION("""COMPUTED_VALUE"""),1.71)</f>
        <v>1.71</v>
      </c>
    </row>
    <row r="299">
      <c r="A299" s="13" t="str">
        <f>IFERROR(__xludf.DUMMYFUNCTION("""COMPUTED_VALUE"""),"товари")</f>
        <v>товари</v>
      </c>
      <c r="B299" s="16" t="str">
        <f>IFERROR(__xludf.DUMMYFUNCTION("""COMPUTED_VALUE"""),"авто-, мото")</f>
        <v>авто-, мото</v>
      </c>
      <c r="C299" s="16" t="str">
        <f>IFERROR(__xludf.DUMMYFUNCTION("""COMPUTED_VALUE"""),"автозапчастини")</f>
        <v>автозапчастини</v>
      </c>
      <c r="D299" s="16" t="str">
        <f>IFERROR(__xludf.DUMMYFUNCTION("""COMPUTED_VALUE"""),"деталі мостів і приводу трансмісії")</f>
        <v>деталі мостів і приводу трансмісії</v>
      </c>
      <c r="E299" s="16" t="str">
        <f>IFERROR(__xludf.DUMMYFUNCTION("""COMPUTED_VALUE"""),"муфти карданного валу")</f>
        <v>муфти карданного валу</v>
      </c>
      <c r="F299" s="17">
        <f>IFERROR(__xludf.DUMMYFUNCTION("""COMPUTED_VALUE"""),4.0)</f>
        <v>4</v>
      </c>
      <c r="G299" s="17" t="str">
        <f>IFERROR(__xludf.DUMMYFUNCTION("""COMPUTED_VALUE"""),"12023811")</f>
        <v>12023811</v>
      </c>
      <c r="H299" s="17" t="str">
        <f>IFERROR(__xludf.DUMMYFUNCTION("""COMPUTED_VALUE"""),"муфти карданного валу")</f>
        <v>муфти карданного валу</v>
      </c>
      <c r="I299" s="19">
        <f>IFERROR(__xludf.DUMMYFUNCTION("""COMPUTED_VALUE"""),0.0529)</f>
        <v>0.0529</v>
      </c>
      <c r="J299" s="19">
        <f>IFERROR(__xludf.DUMMYFUNCTION("""COMPUTED_VALUE"""),0.1057)</f>
        <v>0.1057</v>
      </c>
      <c r="K299" s="19">
        <f>IFERROR(__xludf.DUMMYFUNCTION("""COMPUTED_VALUE"""),0.1321)</f>
        <v>0.1321</v>
      </c>
      <c r="L299" s="19">
        <f>IFERROR(__xludf.DUMMYFUNCTION("""COMPUTED_VALUE"""),0.1586)</f>
        <v>0.1586</v>
      </c>
      <c r="M299" s="18">
        <f>IFERROR(__xludf.DUMMYFUNCTION("""COMPUTED_VALUE"""),1.71)</f>
        <v>1.71</v>
      </c>
    </row>
    <row r="300">
      <c r="A300" s="13" t="str">
        <f>IFERROR(__xludf.DUMMYFUNCTION("""COMPUTED_VALUE"""),"товари")</f>
        <v>товари</v>
      </c>
      <c r="B300" s="16" t="str">
        <f>IFERROR(__xludf.DUMMYFUNCTION("""COMPUTED_VALUE"""),"авто-, мото")</f>
        <v>авто-, мото</v>
      </c>
      <c r="C300" s="16" t="str">
        <f>IFERROR(__xludf.DUMMYFUNCTION("""COMPUTED_VALUE"""),"аксесуари для авто")</f>
        <v>аксесуари для авто</v>
      </c>
      <c r="D300" s="16" t="str">
        <f>IFERROR(__xludf.DUMMYFUNCTION("""COMPUTED_VALUE"""),"засоби аварійної безпеки")</f>
        <v>засоби аварійної безпеки</v>
      </c>
      <c r="E300" s="16" t="str">
        <f>IFERROR(__xludf.DUMMYFUNCTION("""COMPUTED_VALUE"""),"набори і аксесуари для автомобіліста")</f>
        <v>набори і аксесуари для автомобіліста</v>
      </c>
      <c r="F300" s="17">
        <f>IFERROR(__xludf.DUMMYFUNCTION("""COMPUTED_VALUE"""),4.0)</f>
        <v>4</v>
      </c>
      <c r="G300" s="17" t="str">
        <f>IFERROR(__xludf.DUMMYFUNCTION("""COMPUTED_VALUE"""),"121246")</f>
        <v>121246</v>
      </c>
      <c r="H300" s="17" t="str">
        <f>IFERROR(__xludf.DUMMYFUNCTION("""COMPUTED_VALUE"""),"набори і аксесуари для автомобіліста")</f>
        <v>набори і аксесуари для автомобіліста</v>
      </c>
      <c r="I300" s="19">
        <f>IFERROR(__xludf.DUMMYFUNCTION("""COMPUTED_VALUE"""),0.0774)</f>
        <v>0.0774</v>
      </c>
      <c r="J300" s="19">
        <f>IFERROR(__xludf.DUMMYFUNCTION("""COMPUTED_VALUE"""),0.1547)</f>
        <v>0.1547</v>
      </c>
      <c r="K300" s="19">
        <f>IFERROR(__xludf.DUMMYFUNCTION("""COMPUTED_VALUE"""),0.1934)</f>
        <v>0.1934</v>
      </c>
      <c r="L300" s="19">
        <f>IFERROR(__xludf.DUMMYFUNCTION("""COMPUTED_VALUE"""),0.2321)</f>
        <v>0.2321</v>
      </c>
      <c r="M300" s="18">
        <f>IFERROR(__xludf.DUMMYFUNCTION("""COMPUTED_VALUE"""),1.71)</f>
        <v>1.71</v>
      </c>
    </row>
    <row r="301">
      <c r="A301" s="13" t="str">
        <f>IFERROR(__xludf.DUMMYFUNCTION("""COMPUTED_VALUE"""),"товари")</f>
        <v>товари</v>
      </c>
      <c r="B301" s="16" t="str">
        <f>IFERROR(__xludf.DUMMYFUNCTION("""COMPUTED_VALUE"""),"авто-, мото")</f>
        <v>авто-, мото</v>
      </c>
      <c r="C301" s="16" t="str">
        <f>IFERROR(__xludf.DUMMYFUNCTION("""COMPUTED_VALUE"""),"аксесуари для авто")</f>
        <v>аксесуари для авто</v>
      </c>
      <c r="D301" s="16" t="str">
        <f>IFERROR(__xludf.DUMMYFUNCTION("""COMPUTED_VALUE"""),"аксесуари для автотюнингу")</f>
        <v>аксесуари для автотюнингу</v>
      </c>
      <c r="E301" s="16" t="str">
        <f>IFERROR(__xludf.DUMMYFUNCTION("""COMPUTED_VALUE"""),"наклейки для транспорту")</f>
        <v>наклейки для транспорту</v>
      </c>
      <c r="F301" s="17">
        <f>IFERROR(__xludf.DUMMYFUNCTION("""COMPUTED_VALUE"""),4.0)</f>
        <v>4</v>
      </c>
      <c r="G301" s="17" t="str">
        <f>IFERROR(__xludf.DUMMYFUNCTION("""COMPUTED_VALUE"""),"12123205")</f>
        <v>12123205</v>
      </c>
      <c r="H301" s="17" t="str">
        <f>IFERROR(__xludf.DUMMYFUNCTION("""COMPUTED_VALUE"""),"наклейки для транспорту")</f>
        <v>наклейки для транспорту</v>
      </c>
      <c r="I301" s="19">
        <f>IFERROR(__xludf.DUMMYFUNCTION("""COMPUTED_VALUE"""),0.0778)</f>
        <v>0.0778</v>
      </c>
      <c r="J301" s="19">
        <f>IFERROR(__xludf.DUMMYFUNCTION("""COMPUTED_VALUE"""),0.1555)</f>
        <v>0.1555</v>
      </c>
      <c r="K301" s="19">
        <f>IFERROR(__xludf.DUMMYFUNCTION("""COMPUTED_VALUE"""),0.1944)</f>
        <v>0.1944</v>
      </c>
      <c r="L301" s="19">
        <f>IFERROR(__xludf.DUMMYFUNCTION("""COMPUTED_VALUE"""),0.2333)</f>
        <v>0.2333</v>
      </c>
      <c r="M301" s="18">
        <f>IFERROR(__xludf.DUMMYFUNCTION("""COMPUTED_VALUE"""),1.53)</f>
        <v>1.53</v>
      </c>
    </row>
    <row r="302">
      <c r="A302" s="13" t="str">
        <f>IFERROR(__xludf.DUMMYFUNCTION("""COMPUTED_VALUE"""),"товари")</f>
        <v>товари</v>
      </c>
      <c r="B302" s="16" t="str">
        <f>IFERROR(__xludf.DUMMYFUNCTION("""COMPUTED_VALUE"""),"авто-, мото")</f>
        <v>авто-, мото</v>
      </c>
      <c r="C302" s="16" t="str">
        <f>IFERROR(__xludf.DUMMYFUNCTION("""COMPUTED_VALUE"""),"автозапчастини")</f>
        <v>автозапчастини</v>
      </c>
      <c r="D302" s="16" t="str">
        <f>IFERROR(__xludf.DUMMYFUNCTION("""COMPUTED_VALUE"""),"органи керування")</f>
        <v>органи керування</v>
      </c>
      <c r="E302" s="16" t="str">
        <f>IFERROR(__xludf.DUMMYFUNCTION("""COMPUTED_VALUE"""),"наконечники рульових тяг")</f>
        <v>наконечники рульових тяг</v>
      </c>
      <c r="F302" s="17">
        <f>IFERROR(__xludf.DUMMYFUNCTION("""COMPUTED_VALUE"""),4.0)</f>
        <v>4</v>
      </c>
      <c r="G302" s="17" t="str">
        <f>IFERROR(__xludf.DUMMYFUNCTION("""COMPUTED_VALUE"""),"12023702")</f>
        <v>12023702</v>
      </c>
      <c r="H302" s="17" t="str">
        <f>IFERROR(__xludf.DUMMYFUNCTION("""COMPUTED_VALUE"""),"наконечники рульових тяг")</f>
        <v>наконечники рульових тяг</v>
      </c>
      <c r="I302" s="19">
        <f>IFERROR(__xludf.DUMMYFUNCTION("""COMPUTED_VALUE"""),0.0563)</f>
        <v>0.0563</v>
      </c>
      <c r="J302" s="19">
        <f>IFERROR(__xludf.DUMMYFUNCTION("""COMPUTED_VALUE"""),0.1125)</f>
        <v>0.1125</v>
      </c>
      <c r="K302" s="19">
        <f>IFERROR(__xludf.DUMMYFUNCTION("""COMPUTED_VALUE"""),0.1406)</f>
        <v>0.1406</v>
      </c>
      <c r="L302" s="19">
        <f>IFERROR(__xludf.DUMMYFUNCTION("""COMPUTED_VALUE"""),0.1688)</f>
        <v>0.1688</v>
      </c>
      <c r="M302" s="18">
        <f>IFERROR(__xludf.DUMMYFUNCTION("""COMPUTED_VALUE"""),1.71)</f>
        <v>1.71</v>
      </c>
    </row>
    <row r="303">
      <c r="A303" s="13" t="str">
        <f>IFERROR(__xludf.DUMMYFUNCTION("""COMPUTED_VALUE"""),"товари")</f>
        <v>товари</v>
      </c>
      <c r="B303" s="16" t="str">
        <f>IFERROR(__xludf.DUMMYFUNCTION("""COMPUTED_VALUE"""),"авто-, мото")</f>
        <v>авто-, мото</v>
      </c>
      <c r="C303" s="16" t="str">
        <f>IFERROR(__xludf.DUMMYFUNCTION("""COMPUTED_VALUE"""),"автозапчастини")</f>
        <v>автозапчастини</v>
      </c>
      <c r="D303" s="16" t="str">
        <f>IFERROR(__xludf.DUMMYFUNCTION("""COMPUTED_VALUE"""),"система випуску відпрацьованих газів")</f>
        <v>система випуску відпрацьованих газів</v>
      </c>
      <c r="E303" s="16" t="str">
        <f>IFERROR(__xludf.DUMMYFUNCTION("""COMPUTED_VALUE"""),"насадки і наконечники на глушник")</f>
        <v>насадки і наконечники на глушник</v>
      </c>
      <c r="F303" s="17">
        <f>IFERROR(__xludf.DUMMYFUNCTION("""COMPUTED_VALUE"""),4.0)</f>
        <v>4</v>
      </c>
      <c r="G303" s="17" t="str">
        <f>IFERROR(__xludf.DUMMYFUNCTION("""COMPUTED_VALUE"""),"12021508")</f>
        <v>12021508</v>
      </c>
      <c r="H303" s="17" t="str">
        <f>IFERROR(__xludf.DUMMYFUNCTION("""COMPUTED_VALUE"""),"насадки і наконечники на глушник")</f>
        <v>насадки і наконечники на глушник</v>
      </c>
      <c r="I303" s="19">
        <f>IFERROR(__xludf.DUMMYFUNCTION("""COMPUTED_VALUE"""),0.069)</f>
        <v>0.069</v>
      </c>
      <c r="J303" s="19">
        <f>IFERROR(__xludf.DUMMYFUNCTION("""COMPUTED_VALUE"""),0.1379)</f>
        <v>0.1379</v>
      </c>
      <c r="K303" s="19">
        <f>IFERROR(__xludf.DUMMYFUNCTION("""COMPUTED_VALUE"""),0.1724)</f>
        <v>0.1724</v>
      </c>
      <c r="L303" s="19">
        <f>IFERROR(__xludf.DUMMYFUNCTION("""COMPUTED_VALUE"""),0.2069)</f>
        <v>0.2069</v>
      </c>
      <c r="M303" s="18">
        <f>IFERROR(__xludf.DUMMYFUNCTION("""COMPUTED_VALUE"""),1.53)</f>
        <v>1.53</v>
      </c>
    </row>
    <row r="304">
      <c r="A304" s="13" t="str">
        <f>IFERROR(__xludf.DUMMYFUNCTION("""COMPUTED_VALUE"""),"товари")</f>
        <v>товари</v>
      </c>
      <c r="B304" s="16" t="str">
        <f>IFERROR(__xludf.DUMMYFUNCTION("""COMPUTED_VALUE"""),"авто-, мото")</f>
        <v>авто-, мото</v>
      </c>
      <c r="C304" s="16" t="str">
        <f>IFERROR(__xludf.DUMMYFUNCTION("""COMPUTED_VALUE"""),"автозапчастини")</f>
        <v>автозапчастини</v>
      </c>
      <c r="D304" s="16" t="str">
        <f>IFERROR(__xludf.DUMMYFUNCTION("""COMPUTED_VALUE"""),"деталі салону автомобіля")</f>
        <v>деталі салону автомобіля</v>
      </c>
      <c r="E304" s="16" t="str">
        <f>IFERROR(__xludf.DUMMYFUNCTION("""COMPUTED_VALUE"""),"обшивки дверей, багажника, стель, накладки салону")</f>
        <v>обшивки дверей, багажника, стель, накладки салону</v>
      </c>
      <c r="F304" s="17">
        <f>IFERROR(__xludf.DUMMYFUNCTION("""COMPUTED_VALUE"""),4.0)</f>
        <v>4</v>
      </c>
      <c r="G304" s="17" t="str">
        <f>IFERROR(__xludf.DUMMYFUNCTION("""COMPUTED_VALUE"""),"341553")</f>
        <v>341553</v>
      </c>
      <c r="H304" s="17" t="str">
        <f>IFERROR(__xludf.DUMMYFUNCTION("""COMPUTED_VALUE"""),"обшивки дверей, багажника, стель, накладки салону")</f>
        <v>обшивки дверей, багажника, стель, накладки салону</v>
      </c>
      <c r="I304" s="19">
        <f>IFERROR(__xludf.DUMMYFUNCTION("""COMPUTED_VALUE"""),0.0505)</f>
        <v>0.0505</v>
      </c>
      <c r="J304" s="19">
        <f>IFERROR(__xludf.DUMMYFUNCTION("""COMPUTED_VALUE"""),0.101)</f>
        <v>0.101</v>
      </c>
      <c r="K304" s="19">
        <f>IFERROR(__xludf.DUMMYFUNCTION("""COMPUTED_VALUE"""),0.1263)</f>
        <v>0.1263</v>
      </c>
      <c r="L304" s="19">
        <f>IFERROR(__xludf.DUMMYFUNCTION("""COMPUTED_VALUE"""),0.1515)</f>
        <v>0.1515</v>
      </c>
      <c r="M304" s="18">
        <f>IFERROR(__xludf.DUMMYFUNCTION("""COMPUTED_VALUE"""),1.05)</f>
        <v>1.05</v>
      </c>
    </row>
    <row r="305">
      <c r="A305" s="20" t="str">
        <f>IFERROR(__xludf.DUMMYFUNCTION("""COMPUTED_VALUE"""),"товари")</f>
        <v>товари</v>
      </c>
      <c r="B305" s="21" t="str">
        <f>IFERROR(__xludf.DUMMYFUNCTION("""COMPUTED_VALUE"""),"авто-, мото")</f>
        <v>авто-, мото</v>
      </c>
      <c r="C305" s="21" t="str">
        <f>IFERROR(__xludf.DUMMYFUNCTION("""COMPUTED_VALUE"""),"автохімія, автокосметика і автомастила")</f>
        <v>автохімія, автокосметика і автомастила</v>
      </c>
      <c r="D305" s="21" t="str">
        <f>IFERROR(__xludf.DUMMYFUNCTION("""COMPUTED_VALUE"""),"авто, мото масла, мастила та рідини")</f>
        <v>авто, мото масла, мастила та рідини</v>
      </c>
      <c r="E305" s="21" t="str">
        <f>IFERROR(__xludf.DUMMYFUNCTION("""COMPUTED_VALUE"""),"оливи і рідини для гідропідсилювача")</f>
        <v>оливи і рідини для гідропідсилювача</v>
      </c>
      <c r="F305" s="22">
        <f>IFERROR(__xludf.DUMMYFUNCTION("""COMPUTED_VALUE"""),4.0)</f>
        <v>4</v>
      </c>
      <c r="G305" s="22" t="str">
        <f>IFERROR(__xludf.DUMMYFUNCTION("""COMPUTED_VALUE"""),"341018")</f>
        <v>341018</v>
      </c>
      <c r="H305" s="22" t="str">
        <f>IFERROR(__xludf.DUMMYFUNCTION("""COMPUTED_VALUE"""),"оливи і рідини для гідропідсилювача")</f>
        <v>оливи і рідини для гідропідсилювача</v>
      </c>
      <c r="I305" s="19">
        <f>IFERROR(__xludf.DUMMYFUNCTION("""COMPUTED_VALUE"""),0.0595)</f>
        <v>0.0595</v>
      </c>
      <c r="J305" s="19">
        <f>IFERROR(__xludf.DUMMYFUNCTION("""COMPUTED_VALUE"""),0.119)</f>
        <v>0.119</v>
      </c>
      <c r="K305" s="19">
        <f>IFERROR(__xludf.DUMMYFUNCTION("""COMPUTED_VALUE"""),0.1488)</f>
        <v>0.1488</v>
      </c>
      <c r="L305" s="19">
        <f>IFERROR(__xludf.DUMMYFUNCTION("""COMPUTED_VALUE"""),0.1785)</f>
        <v>0.1785</v>
      </c>
      <c r="M305" s="18">
        <f>IFERROR(__xludf.DUMMYFUNCTION("""COMPUTED_VALUE"""),2.88)</f>
        <v>2.88</v>
      </c>
    </row>
    <row r="306">
      <c r="A306" s="13" t="str">
        <f>IFERROR(__xludf.DUMMYFUNCTION("""COMPUTED_VALUE"""),"товари")</f>
        <v>товари</v>
      </c>
      <c r="B306" s="16" t="str">
        <f>IFERROR(__xludf.DUMMYFUNCTION("""COMPUTED_VALUE"""),"авто-, мото")</f>
        <v>авто-, мото</v>
      </c>
      <c r="C306" s="16" t="str">
        <f>IFERROR(__xludf.DUMMYFUNCTION("""COMPUTED_VALUE"""),"мототехніка")</f>
        <v>мототехніка</v>
      </c>
      <c r="D306" s="16" t="str">
        <f>IFERROR(__xludf.DUMMYFUNCTION("""COMPUTED_VALUE"""),"аксесуари для мототехніки")</f>
        <v>аксесуари для мототехніки</v>
      </c>
      <c r="E306" s="16" t="str">
        <f>IFERROR(__xludf.DUMMYFUNCTION("""COMPUTED_VALUE"""),"органи керування та дзеркала для мототехніки")</f>
        <v>органи керування та дзеркала для мототехніки</v>
      </c>
      <c r="F306" s="17">
        <f>IFERROR(__xludf.DUMMYFUNCTION("""COMPUTED_VALUE"""),4.0)</f>
        <v>4</v>
      </c>
      <c r="G306" s="17">
        <f>IFERROR(__xludf.DUMMYFUNCTION("""COMPUTED_VALUE"""),1.2031203E7)</f>
        <v>12031203</v>
      </c>
      <c r="H306" s="17" t="str">
        <f>IFERROR(__xludf.DUMMYFUNCTION("""COMPUTED_VALUE"""),"органи керування та дзеркала для мототехніки")</f>
        <v>органи керування та дзеркала для мототехніки</v>
      </c>
      <c r="I306" s="19">
        <f>IFERROR(__xludf.DUMMYFUNCTION("""COMPUTED_VALUE"""),0.0547)</f>
        <v>0.0547</v>
      </c>
      <c r="J306" s="19">
        <f>IFERROR(__xludf.DUMMYFUNCTION("""COMPUTED_VALUE"""),0.1094)</f>
        <v>0.1094</v>
      </c>
      <c r="K306" s="19">
        <f>IFERROR(__xludf.DUMMYFUNCTION("""COMPUTED_VALUE"""),0.1368)</f>
        <v>0.1368</v>
      </c>
      <c r="L306" s="19">
        <f>IFERROR(__xludf.DUMMYFUNCTION("""COMPUTED_VALUE"""),0.1641)</f>
        <v>0.1641</v>
      </c>
      <c r="M306" s="18">
        <f>IFERROR(__xludf.DUMMYFUNCTION("""COMPUTED_VALUE"""),1.26)</f>
        <v>1.26</v>
      </c>
    </row>
    <row r="307">
      <c r="A307" s="13" t="str">
        <f>IFERROR(__xludf.DUMMYFUNCTION("""COMPUTED_VALUE"""),"товари")</f>
        <v>товари</v>
      </c>
      <c r="B307" s="16" t="str">
        <f>IFERROR(__xludf.DUMMYFUNCTION("""COMPUTED_VALUE"""),"авто-, мото")</f>
        <v>авто-, мото</v>
      </c>
      <c r="C307" s="16" t="str">
        <f>IFERROR(__xludf.DUMMYFUNCTION("""COMPUTED_VALUE"""),"мототехніка")</f>
        <v>мототехніка</v>
      </c>
      <c r="D307" s="16" t="str">
        <f>IFERROR(__xludf.DUMMYFUNCTION("""COMPUTED_VALUE"""),"запчастини для мототехніки")</f>
        <v>запчастини для мототехніки</v>
      </c>
      <c r="E307" s="16" t="str">
        <f>IFERROR(__xludf.DUMMYFUNCTION("""COMPUTED_VALUE"""),"паливна система мототехніки")</f>
        <v>паливна система мототехніки</v>
      </c>
      <c r="F307" s="17">
        <f>IFERROR(__xludf.DUMMYFUNCTION("""COMPUTED_VALUE"""),4.0)</f>
        <v>4</v>
      </c>
      <c r="G307" s="17" t="str">
        <f>IFERROR(__xludf.DUMMYFUNCTION("""COMPUTED_VALUE"""),"340614")</f>
        <v>340614</v>
      </c>
      <c r="H307" s="17" t="str">
        <f>IFERROR(__xludf.DUMMYFUNCTION("""COMPUTED_VALUE"""),"паливна система мототехніки")</f>
        <v>паливна система мототехніки</v>
      </c>
      <c r="I307" s="19">
        <f>IFERROR(__xludf.DUMMYFUNCTION("""COMPUTED_VALUE"""),0.0665)</f>
        <v>0.0665</v>
      </c>
      <c r="J307" s="19">
        <f>IFERROR(__xludf.DUMMYFUNCTION("""COMPUTED_VALUE"""),0.133)</f>
        <v>0.133</v>
      </c>
      <c r="K307" s="19">
        <f>IFERROR(__xludf.DUMMYFUNCTION("""COMPUTED_VALUE"""),0.1663)</f>
        <v>0.1663</v>
      </c>
      <c r="L307" s="19">
        <f>IFERROR(__xludf.DUMMYFUNCTION("""COMPUTED_VALUE"""),0.1995)</f>
        <v>0.1995</v>
      </c>
      <c r="M307" s="18">
        <f>IFERROR(__xludf.DUMMYFUNCTION("""COMPUTED_VALUE"""),1.98)</f>
        <v>1.98</v>
      </c>
    </row>
    <row r="308">
      <c r="A308" s="13" t="str">
        <f>IFERROR(__xludf.DUMMYFUNCTION("""COMPUTED_VALUE"""),"товари")</f>
        <v>товари</v>
      </c>
      <c r="B308" s="16" t="str">
        <f>IFERROR(__xludf.DUMMYFUNCTION("""COMPUTED_VALUE"""),"авто-, мото")</f>
        <v>авто-, мото</v>
      </c>
      <c r="C308" s="16" t="str">
        <f>IFERROR(__xludf.DUMMYFUNCTION("""COMPUTED_VALUE"""),"автозапчастини")</f>
        <v>автозапчастини</v>
      </c>
      <c r="D308" s="16" t="str">
        <f>IFERROR(__xludf.DUMMYFUNCTION("""COMPUTED_VALUE"""),"система живлення двигуна")</f>
        <v>система живлення двигуна</v>
      </c>
      <c r="E308" s="16" t="str">
        <f>IFERROR(__xludf.DUMMYFUNCTION("""COMPUTED_VALUE"""),"паливні насоси високого тиску")</f>
        <v>паливні насоси високого тиску</v>
      </c>
      <c r="F308" s="17">
        <f>IFERROR(__xludf.DUMMYFUNCTION("""COMPUTED_VALUE"""),4.0)</f>
        <v>4</v>
      </c>
      <c r="G308" s="17" t="str">
        <f>IFERROR(__xludf.DUMMYFUNCTION("""COMPUTED_VALUE"""),"341505")</f>
        <v>341505</v>
      </c>
      <c r="H308" s="17" t="str">
        <f>IFERROR(__xludf.DUMMYFUNCTION("""COMPUTED_VALUE"""),"паливні насоси високого тиску")</f>
        <v>паливні насоси високого тиску</v>
      </c>
      <c r="I308" s="19">
        <f>IFERROR(__xludf.DUMMYFUNCTION("""COMPUTED_VALUE"""),0.0517)</f>
        <v>0.0517</v>
      </c>
      <c r="J308" s="19">
        <f>IFERROR(__xludf.DUMMYFUNCTION("""COMPUTED_VALUE"""),0.1033)</f>
        <v>0.1033</v>
      </c>
      <c r="K308" s="19">
        <f>IFERROR(__xludf.DUMMYFUNCTION("""COMPUTED_VALUE"""),0.1291)</f>
        <v>0.1291</v>
      </c>
      <c r="L308" s="19">
        <f>IFERROR(__xludf.DUMMYFUNCTION("""COMPUTED_VALUE"""),0.155)</f>
        <v>0.155</v>
      </c>
      <c r="M308" s="18">
        <f>IFERROR(__xludf.DUMMYFUNCTION("""COMPUTED_VALUE"""),1.53)</f>
        <v>1.53</v>
      </c>
    </row>
    <row r="309">
      <c r="A309" s="13" t="str">
        <f>IFERROR(__xludf.DUMMYFUNCTION("""COMPUTED_VALUE"""),"товари")</f>
        <v>товари</v>
      </c>
      <c r="B309" s="16" t="str">
        <f>IFERROR(__xludf.DUMMYFUNCTION("""COMPUTED_VALUE"""),"авто-, мото")</f>
        <v>авто-, мото</v>
      </c>
      <c r="C309" s="16" t="str">
        <f>IFERROR(__xludf.DUMMYFUNCTION("""COMPUTED_VALUE"""),"автозапчастини")</f>
        <v>автозапчастини</v>
      </c>
      <c r="D309" s="16" t="str">
        <f>IFERROR(__xludf.DUMMYFUNCTION("""COMPUTED_VALUE"""),"система живлення двигуна")</f>
        <v>система живлення двигуна</v>
      </c>
      <c r="E309" s="16" t="str">
        <f>IFERROR(__xludf.DUMMYFUNCTION("""COMPUTED_VALUE"""),"паливні насоси низького тиску")</f>
        <v>паливні насоси низького тиску</v>
      </c>
      <c r="F309" s="17">
        <f>IFERROR(__xludf.DUMMYFUNCTION("""COMPUTED_VALUE"""),4.0)</f>
        <v>4</v>
      </c>
      <c r="G309" s="17" t="str">
        <f>IFERROR(__xludf.DUMMYFUNCTION("""COMPUTED_VALUE"""),"341503")</f>
        <v>341503</v>
      </c>
      <c r="H309" s="17" t="str">
        <f>IFERROR(__xludf.DUMMYFUNCTION("""COMPUTED_VALUE"""),"паливні насоси низького тиску")</f>
        <v>паливні насоси низького тиску</v>
      </c>
      <c r="I309" s="19">
        <f>IFERROR(__xludf.DUMMYFUNCTION("""COMPUTED_VALUE"""),0.0507)</f>
        <v>0.0507</v>
      </c>
      <c r="J309" s="19">
        <f>IFERROR(__xludf.DUMMYFUNCTION("""COMPUTED_VALUE"""),0.1014)</f>
        <v>0.1014</v>
      </c>
      <c r="K309" s="19">
        <f>IFERROR(__xludf.DUMMYFUNCTION("""COMPUTED_VALUE"""),0.1268)</f>
        <v>0.1268</v>
      </c>
      <c r="L309" s="19">
        <f>IFERROR(__xludf.DUMMYFUNCTION("""COMPUTED_VALUE"""),0.1521)</f>
        <v>0.1521</v>
      </c>
      <c r="M309" s="18">
        <f>IFERROR(__xludf.DUMMYFUNCTION("""COMPUTED_VALUE"""),1.53)</f>
        <v>1.53</v>
      </c>
    </row>
    <row r="310">
      <c r="A310" s="13" t="str">
        <f>IFERROR(__xludf.DUMMYFUNCTION("""COMPUTED_VALUE"""),"товари")</f>
        <v>товари</v>
      </c>
      <c r="B310" s="16" t="str">
        <f>IFERROR(__xludf.DUMMYFUNCTION("""COMPUTED_VALUE"""),"авто-, мото")</f>
        <v>авто-, мото</v>
      </c>
      <c r="C310" s="16" t="str">
        <f>IFERROR(__xludf.DUMMYFUNCTION("""COMPUTED_VALUE"""),"автохімія, автокосметика і автомастила")</f>
        <v>автохімія, автокосметика і автомастила</v>
      </c>
      <c r="D310" s="16" t="str">
        <f>IFERROR(__xludf.DUMMYFUNCTION("""COMPUTED_VALUE"""),"паливні присадки")</f>
        <v>паливні присадки</v>
      </c>
      <c r="E310" s="16" t="str">
        <f>IFERROR(__xludf.DUMMYFUNCTION("""COMPUTED_VALUE"""),"паливні присадки")</f>
        <v>паливні присадки</v>
      </c>
      <c r="F310" s="17">
        <f>IFERROR(__xludf.DUMMYFUNCTION("""COMPUTED_VALUE"""),3.0)</f>
        <v>3</v>
      </c>
      <c r="G310" s="17" t="str">
        <f>IFERROR(__xludf.DUMMYFUNCTION("""COMPUTED_VALUE"""),"83205")</f>
        <v>83205</v>
      </c>
      <c r="H310" s="17" t="str">
        <f>IFERROR(__xludf.DUMMYFUNCTION("""COMPUTED_VALUE"""),"паливні присадки")</f>
        <v>паливні присадки</v>
      </c>
      <c r="I310" s="19">
        <f>IFERROR(__xludf.DUMMYFUNCTION("""COMPUTED_VALUE"""),0.0758)</f>
        <v>0.0758</v>
      </c>
      <c r="J310" s="19">
        <f>IFERROR(__xludf.DUMMYFUNCTION("""COMPUTED_VALUE"""),0.1515)</f>
        <v>0.1515</v>
      </c>
      <c r="K310" s="19">
        <f>IFERROR(__xludf.DUMMYFUNCTION("""COMPUTED_VALUE"""),0.1894)</f>
        <v>0.1894</v>
      </c>
      <c r="L310" s="19">
        <f>IFERROR(__xludf.DUMMYFUNCTION("""COMPUTED_VALUE"""),0.2273)</f>
        <v>0.2273</v>
      </c>
      <c r="M310" s="18">
        <f>IFERROR(__xludf.DUMMYFUNCTION("""COMPUTED_VALUE"""),2.53)</f>
        <v>2.53</v>
      </c>
    </row>
    <row r="311">
      <c r="A311" s="13" t="str">
        <f>IFERROR(__xludf.DUMMYFUNCTION("""COMPUTED_VALUE"""),"товари")</f>
        <v>товари</v>
      </c>
      <c r="B311" s="16" t="str">
        <f>IFERROR(__xludf.DUMMYFUNCTION("""COMPUTED_VALUE"""),"авто-, мото")</f>
        <v>авто-, мото</v>
      </c>
      <c r="C311" s="16" t="str">
        <f>IFERROR(__xludf.DUMMYFUNCTION("""COMPUTED_VALUE"""),"автозапчастини")</f>
        <v>автозапчастини</v>
      </c>
      <c r="D311" s="16" t="str">
        <f>IFERROR(__xludf.DUMMYFUNCTION("""COMPUTED_VALUE"""),"система живлення двигуна")</f>
        <v>система живлення двигуна</v>
      </c>
      <c r="E311" s="16" t="str">
        <f>IFERROR(__xludf.DUMMYFUNCTION("""COMPUTED_VALUE"""),"паливні трубки, магістралі і рампи")</f>
        <v>паливні трубки, магістралі і рампи</v>
      </c>
      <c r="F311" s="17">
        <f>IFERROR(__xludf.DUMMYFUNCTION("""COMPUTED_VALUE"""),4.0)</f>
        <v>4</v>
      </c>
      <c r="G311" s="17" t="str">
        <f>IFERROR(__xludf.DUMMYFUNCTION("""COMPUTED_VALUE"""),"341598")</f>
        <v>341598</v>
      </c>
      <c r="H311" s="17" t="str">
        <f>IFERROR(__xludf.DUMMYFUNCTION("""COMPUTED_VALUE"""),"паливні трубки, магістралі і рампи")</f>
        <v>паливні трубки, магістралі і рампи</v>
      </c>
      <c r="I311" s="19">
        <f>IFERROR(__xludf.DUMMYFUNCTION("""COMPUTED_VALUE"""),0.0527)</f>
        <v>0.0527</v>
      </c>
      <c r="J311" s="19">
        <f>IFERROR(__xludf.DUMMYFUNCTION("""COMPUTED_VALUE"""),0.1053)</f>
        <v>0.1053</v>
      </c>
      <c r="K311" s="19">
        <f>IFERROR(__xludf.DUMMYFUNCTION("""COMPUTED_VALUE"""),0.1316)</f>
        <v>0.1316</v>
      </c>
      <c r="L311" s="19">
        <f>IFERROR(__xludf.DUMMYFUNCTION("""COMPUTED_VALUE"""),0.158)</f>
        <v>0.158</v>
      </c>
      <c r="M311" s="18">
        <f>IFERROR(__xludf.DUMMYFUNCTION("""COMPUTED_VALUE"""),1.53)</f>
        <v>1.53</v>
      </c>
    </row>
    <row r="312">
      <c r="A312" s="13" t="str">
        <f>IFERROR(__xludf.DUMMYFUNCTION("""COMPUTED_VALUE"""),"товари")</f>
        <v>товари</v>
      </c>
      <c r="B312" s="16" t="str">
        <f>IFERROR(__xludf.DUMMYFUNCTION("""COMPUTED_VALUE"""),"авто-, мото")</f>
        <v>авто-, мото</v>
      </c>
      <c r="C312" s="16" t="str">
        <f>IFERROR(__xludf.DUMMYFUNCTION("""COMPUTED_VALUE"""),"автозапчастини")</f>
        <v>автозапчастини</v>
      </c>
      <c r="D312" s="16" t="str">
        <f>IFERROR(__xludf.DUMMYFUNCTION("""COMPUTED_VALUE"""),"система живлення двигуна")</f>
        <v>система живлення двигуна</v>
      </c>
      <c r="E312" s="16" t="str">
        <f>IFERROR(__xludf.DUMMYFUNCTION("""COMPUTED_VALUE"""),"паливні, масляні баки")</f>
        <v>паливні, масляні баки</v>
      </c>
      <c r="F312" s="17">
        <f>IFERROR(__xludf.DUMMYFUNCTION("""COMPUTED_VALUE"""),4.0)</f>
        <v>4</v>
      </c>
      <c r="G312" s="17" t="str">
        <f>IFERROR(__xludf.DUMMYFUNCTION("""COMPUTED_VALUE"""),"341578")</f>
        <v>341578</v>
      </c>
      <c r="H312" s="17" t="str">
        <f>IFERROR(__xludf.DUMMYFUNCTION("""COMPUTED_VALUE"""),"паливні, масляні баки")</f>
        <v>паливні, масляні баки</v>
      </c>
      <c r="I312" s="19">
        <f>IFERROR(__xludf.DUMMYFUNCTION("""COMPUTED_VALUE"""),0.0445)</f>
        <v>0.0445</v>
      </c>
      <c r="J312" s="19">
        <f>IFERROR(__xludf.DUMMYFUNCTION("""COMPUTED_VALUE"""),0.089)</f>
        <v>0.089</v>
      </c>
      <c r="K312" s="19">
        <f>IFERROR(__xludf.DUMMYFUNCTION("""COMPUTED_VALUE"""),0.1113)</f>
        <v>0.1113</v>
      </c>
      <c r="L312" s="19">
        <f>IFERROR(__xludf.DUMMYFUNCTION("""COMPUTED_VALUE"""),0.1335)</f>
        <v>0.1335</v>
      </c>
      <c r="M312" s="18">
        <f>IFERROR(__xludf.DUMMYFUNCTION("""COMPUTED_VALUE"""),1.53)</f>
        <v>1.53</v>
      </c>
    </row>
    <row r="313">
      <c r="A313" s="13" t="str">
        <f>IFERROR(__xludf.DUMMYFUNCTION("""COMPUTED_VALUE"""),"товари")</f>
        <v>товари</v>
      </c>
      <c r="B313" s="16" t="str">
        <f>IFERROR(__xludf.DUMMYFUNCTION("""COMPUTED_VALUE"""),"авто-, мото")</f>
        <v>авто-, мото</v>
      </c>
      <c r="C313" s="16" t="str">
        <f>IFERROR(__xludf.DUMMYFUNCTION("""COMPUTED_VALUE"""),"автомобільна електроніка")</f>
        <v>автомобільна електроніка</v>
      </c>
      <c r="D313" s="16" t="str">
        <f>IFERROR(__xludf.DUMMYFUNCTION("""COMPUTED_VALUE"""),"парктроніки")</f>
        <v>парктроніки</v>
      </c>
      <c r="E313" s="16" t="str">
        <f>IFERROR(__xludf.DUMMYFUNCTION("""COMPUTED_VALUE"""),"парктроніки")</f>
        <v>парктроніки</v>
      </c>
      <c r="F313" s="17">
        <f>IFERROR(__xludf.DUMMYFUNCTION("""COMPUTED_VALUE"""),3.0)</f>
        <v>3</v>
      </c>
      <c r="G313" s="17" t="str">
        <f>IFERROR(__xludf.DUMMYFUNCTION("""COMPUTED_VALUE"""),"1210")</f>
        <v>1210</v>
      </c>
      <c r="H313" s="17" t="str">
        <f>IFERROR(__xludf.DUMMYFUNCTION("""COMPUTED_VALUE"""),"парктроніки")</f>
        <v>парктроніки</v>
      </c>
      <c r="I313" s="19">
        <f>IFERROR(__xludf.DUMMYFUNCTION("""COMPUTED_VALUE"""),0.076)</f>
        <v>0.076</v>
      </c>
      <c r="J313" s="19">
        <f>IFERROR(__xludf.DUMMYFUNCTION("""COMPUTED_VALUE"""),0.152)</f>
        <v>0.152</v>
      </c>
      <c r="K313" s="19">
        <f>IFERROR(__xludf.DUMMYFUNCTION("""COMPUTED_VALUE"""),0.19)</f>
        <v>0.19</v>
      </c>
      <c r="L313" s="19">
        <f>IFERROR(__xludf.DUMMYFUNCTION("""COMPUTED_VALUE"""),0.228)</f>
        <v>0.228</v>
      </c>
      <c r="M313" s="18">
        <f>IFERROR(__xludf.DUMMYFUNCTION("""COMPUTED_VALUE"""),2.25)</f>
        <v>2.25</v>
      </c>
    </row>
    <row r="314">
      <c r="A314" s="13" t="str">
        <f>IFERROR(__xludf.DUMMYFUNCTION("""COMPUTED_VALUE"""),"товари")</f>
        <v>товари</v>
      </c>
      <c r="B314" s="16" t="str">
        <f>IFERROR(__xludf.DUMMYFUNCTION("""COMPUTED_VALUE"""),"авто-, мото")</f>
        <v>авто-, мото</v>
      </c>
      <c r="C314" s="16" t="str">
        <f>IFERROR(__xludf.DUMMYFUNCTION("""COMPUTED_VALUE"""),"автозапчастини")</f>
        <v>автозапчастини</v>
      </c>
      <c r="D314" s="16" t="str">
        <f>IFERROR(__xludf.DUMMYFUNCTION("""COMPUTED_VALUE"""),"кузовні запчастини")</f>
        <v>кузовні запчастини</v>
      </c>
      <c r="E314" s="16" t="str">
        <f>IFERROR(__xludf.DUMMYFUNCTION("""COMPUTED_VALUE"""),"передні панелі кузова")</f>
        <v>передні панелі кузова</v>
      </c>
      <c r="F314" s="17">
        <f>IFERROR(__xludf.DUMMYFUNCTION("""COMPUTED_VALUE"""),4.0)</f>
        <v>4</v>
      </c>
      <c r="G314" s="17" t="str">
        <f>IFERROR(__xludf.DUMMYFUNCTION("""COMPUTED_VALUE"""),"341557")</f>
        <v>341557</v>
      </c>
      <c r="H314" s="17" t="str">
        <f>IFERROR(__xludf.DUMMYFUNCTION("""COMPUTED_VALUE"""),"передні панелі кузова")</f>
        <v>передні панелі кузова</v>
      </c>
      <c r="I314" s="19">
        <f>IFERROR(__xludf.DUMMYFUNCTION("""COMPUTED_VALUE"""),0.0545)</f>
        <v>0.0545</v>
      </c>
      <c r="J314" s="19">
        <f>IFERROR(__xludf.DUMMYFUNCTION("""COMPUTED_VALUE"""),0.109)</f>
        <v>0.109</v>
      </c>
      <c r="K314" s="19">
        <f>IFERROR(__xludf.DUMMYFUNCTION("""COMPUTED_VALUE"""),0.1363)</f>
        <v>0.1363</v>
      </c>
      <c r="L314" s="19">
        <f>IFERROR(__xludf.DUMMYFUNCTION("""COMPUTED_VALUE"""),0.1635)</f>
        <v>0.1635</v>
      </c>
      <c r="M314" s="18">
        <f>IFERROR(__xludf.DUMMYFUNCTION("""COMPUTED_VALUE"""),1.53)</f>
        <v>1.53</v>
      </c>
    </row>
    <row r="315">
      <c r="A315" s="13" t="str">
        <f>IFERROR(__xludf.DUMMYFUNCTION("""COMPUTED_VALUE"""),"товари")</f>
        <v>товари</v>
      </c>
      <c r="B315" s="16" t="str">
        <f>IFERROR(__xludf.DUMMYFUNCTION("""COMPUTED_VALUE"""),"авто-, мото")</f>
        <v>авто-, мото</v>
      </c>
      <c r="C315" s="16" t="str">
        <f>IFERROR(__xludf.DUMMYFUNCTION("""COMPUTED_VALUE"""),"автозапчастини")</f>
        <v>автозапчастини</v>
      </c>
      <c r="D315" s="16" t="str">
        <f>IFERROR(__xludf.DUMMYFUNCTION("""COMPUTED_VALUE"""),"деталі мостів і приводу трансмісії")</f>
        <v>деталі мостів і приводу трансмісії</v>
      </c>
      <c r="E315" s="16" t="str">
        <f>IFERROR(__xludf.DUMMYFUNCTION("""COMPUTED_VALUE"""),"передній міст автомобіля")</f>
        <v>передній міст автомобіля</v>
      </c>
      <c r="F315" s="17">
        <f>IFERROR(__xludf.DUMMYFUNCTION("""COMPUTED_VALUE"""),4.0)</f>
        <v>4</v>
      </c>
      <c r="G315" s="17" t="str">
        <f>IFERROR(__xludf.DUMMYFUNCTION("""COMPUTED_VALUE"""),"341570")</f>
        <v>341570</v>
      </c>
      <c r="H315" s="17" t="str">
        <f>IFERROR(__xludf.DUMMYFUNCTION("""COMPUTED_VALUE"""),"передній міст автомобіля")</f>
        <v>передній міст автомобіля</v>
      </c>
      <c r="I315" s="19">
        <f>IFERROR(__xludf.DUMMYFUNCTION("""COMPUTED_VALUE"""),0.0421)</f>
        <v>0.0421</v>
      </c>
      <c r="J315" s="19">
        <f>IFERROR(__xludf.DUMMYFUNCTION("""COMPUTED_VALUE"""),0.0842)</f>
        <v>0.0842</v>
      </c>
      <c r="K315" s="19">
        <f>IFERROR(__xludf.DUMMYFUNCTION("""COMPUTED_VALUE"""),0.1053)</f>
        <v>0.1053</v>
      </c>
      <c r="L315" s="19">
        <f>IFERROR(__xludf.DUMMYFUNCTION("""COMPUTED_VALUE"""),0.1263)</f>
        <v>0.1263</v>
      </c>
      <c r="M315" s="18">
        <f>IFERROR(__xludf.DUMMYFUNCTION("""COMPUTED_VALUE"""),1.71)</f>
        <v>1.71</v>
      </c>
    </row>
    <row r="316">
      <c r="A316" s="13" t="str">
        <f>IFERROR(__xludf.DUMMYFUNCTION("""COMPUTED_VALUE"""),"товари")</f>
        <v>товари</v>
      </c>
      <c r="B316" s="16" t="str">
        <f>IFERROR(__xludf.DUMMYFUNCTION("""COMPUTED_VALUE"""),"авто-, мото")</f>
        <v>авто-, мото</v>
      </c>
      <c r="C316" s="16" t="str">
        <f>IFERROR(__xludf.DUMMYFUNCTION("""COMPUTED_VALUE"""),"автозапчастини")</f>
        <v>автозапчастини</v>
      </c>
      <c r="D316" s="16" t="str">
        <f>IFERROR(__xludf.DUMMYFUNCTION("""COMPUTED_VALUE"""),"передпускові підігрівачі та автономні обігрівачі")</f>
        <v>передпускові підігрівачі та автономні обігрівачі</v>
      </c>
      <c r="E316" s="16" t="str">
        <f>IFERROR(__xludf.DUMMYFUNCTION("""COMPUTED_VALUE"""),"передпускові підігрівачі та автономні обігрівачі")</f>
        <v>передпускові підігрівачі та автономні обігрівачі</v>
      </c>
      <c r="F316" s="17">
        <f>IFERROR(__xludf.DUMMYFUNCTION("""COMPUTED_VALUE"""),3.0)</f>
        <v>3</v>
      </c>
      <c r="G316" s="17" t="str">
        <f>IFERROR(__xludf.DUMMYFUNCTION("""COMPUTED_VALUE"""),"341520")</f>
        <v>341520</v>
      </c>
      <c r="H316" s="17" t="str">
        <f>IFERROR(__xludf.DUMMYFUNCTION("""COMPUTED_VALUE"""),"передпускові підігрівачі та автономні обігрівачі")</f>
        <v>передпускові підігрівачі та автономні обігрівачі</v>
      </c>
      <c r="I316" s="19">
        <f>IFERROR(__xludf.DUMMYFUNCTION("""COMPUTED_VALUE"""),0.0405)</f>
        <v>0.0405</v>
      </c>
      <c r="J316" s="19">
        <f>IFERROR(__xludf.DUMMYFUNCTION("""COMPUTED_VALUE"""),0.081)</f>
        <v>0.081</v>
      </c>
      <c r="K316" s="19">
        <f>IFERROR(__xludf.DUMMYFUNCTION("""COMPUTED_VALUE"""),0.1013)</f>
        <v>0.1013</v>
      </c>
      <c r="L316" s="19">
        <f>IFERROR(__xludf.DUMMYFUNCTION("""COMPUTED_VALUE"""),0.1215)</f>
        <v>0.1215</v>
      </c>
      <c r="M316" s="18">
        <f>IFERROR(__xludf.DUMMYFUNCTION("""COMPUTED_VALUE"""),3.06)</f>
        <v>3.06</v>
      </c>
    </row>
    <row r="317">
      <c r="A317" s="13" t="str">
        <f>IFERROR(__xludf.DUMMYFUNCTION("""COMPUTED_VALUE"""),"товари")</f>
        <v>товари</v>
      </c>
      <c r="B317" s="16" t="str">
        <f>IFERROR(__xludf.DUMMYFUNCTION("""COMPUTED_VALUE"""),"авто-, мото")</f>
        <v>авто-, мото</v>
      </c>
      <c r="C317" s="16" t="str">
        <f>IFERROR(__xludf.DUMMYFUNCTION("""COMPUTED_VALUE"""),"автомобільна електроніка")</f>
        <v>автомобільна електроніка</v>
      </c>
      <c r="D317" s="16" t="str">
        <f>IFERROR(__xludf.DUMMYFUNCTION("""COMPUTED_VALUE"""),"автозвук")</f>
        <v>автозвук</v>
      </c>
      <c r="E317" s="16" t="str">
        <f>IFERROR(__xludf.DUMMYFUNCTION("""COMPUTED_VALUE"""),"перехідні рамки для автомагнітол")</f>
        <v>перехідні рамки для автомагнітол</v>
      </c>
      <c r="F317" s="17">
        <f>IFERROR(__xludf.DUMMYFUNCTION("""COMPUTED_VALUE"""),4.0)</f>
        <v>4</v>
      </c>
      <c r="G317" s="17" t="str">
        <f>IFERROR(__xludf.DUMMYFUNCTION("""COMPUTED_VALUE"""),"121238")</f>
        <v>121238</v>
      </c>
      <c r="H317" s="17" t="str">
        <f>IFERROR(__xludf.DUMMYFUNCTION("""COMPUTED_VALUE"""),"перехідні рамки для автомагнітол")</f>
        <v>перехідні рамки для автомагнітол</v>
      </c>
      <c r="I317" s="19">
        <f>IFERROR(__xludf.DUMMYFUNCTION("""COMPUTED_VALUE"""),0.0764)</f>
        <v>0.0764</v>
      </c>
      <c r="J317" s="19">
        <f>IFERROR(__xludf.DUMMYFUNCTION("""COMPUTED_VALUE"""),0.1527)</f>
        <v>0.1527</v>
      </c>
      <c r="K317" s="19">
        <f>IFERROR(__xludf.DUMMYFUNCTION("""COMPUTED_VALUE"""),0.1909)</f>
        <v>0.1909</v>
      </c>
      <c r="L317" s="19">
        <f>IFERROR(__xludf.DUMMYFUNCTION("""COMPUTED_VALUE"""),0.2291)</f>
        <v>0.2291</v>
      </c>
      <c r="M317" s="18">
        <f>IFERROR(__xludf.DUMMYFUNCTION("""COMPUTED_VALUE"""),2.79)</f>
        <v>2.79</v>
      </c>
    </row>
    <row r="318">
      <c r="A318" s="13" t="str">
        <f>IFERROR(__xludf.DUMMYFUNCTION("""COMPUTED_VALUE"""),"товари")</f>
        <v>товари</v>
      </c>
      <c r="B318" s="16" t="str">
        <f>IFERROR(__xludf.DUMMYFUNCTION("""COMPUTED_VALUE"""),"авто-, мото")</f>
        <v>авто-, мото</v>
      </c>
      <c r="C318" s="16" t="str">
        <f>IFERROR(__xludf.DUMMYFUNCTION("""COMPUTED_VALUE"""),"автозапчастини")</f>
        <v>автозапчастини</v>
      </c>
      <c r="D318" s="16" t="str">
        <f>IFERROR(__xludf.DUMMYFUNCTION("""COMPUTED_VALUE"""),"кузовні запчастини")</f>
        <v>кузовні запчастини</v>
      </c>
      <c r="E318" s="16" t="str">
        <f>IFERROR(__xludf.DUMMYFUNCTION("""COMPUTED_VALUE"""),"петлі, обмежувачі автомобільні")</f>
        <v>петлі, обмежувачі автомобільні</v>
      </c>
      <c r="F318" s="17">
        <f>IFERROR(__xludf.DUMMYFUNCTION("""COMPUTED_VALUE"""),4.0)</f>
        <v>4</v>
      </c>
      <c r="G318" s="17" t="str">
        <f>IFERROR(__xludf.DUMMYFUNCTION("""COMPUTED_VALUE"""),"341551")</f>
        <v>341551</v>
      </c>
      <c r="H318" s="17" t="str">
        <f>IFERROR(__xludf.DUMMYFUNCTION("""COMPUTED_VALUE"""),"петлі, обмежувачі автомобільні")</f>
        <v>петлі, обмежувачі автомобільні</v>
      </c>
      <c r="I318" s="19">
        <f>IFERROR(__xludf.DUMMYFUNCTION("""COMPUTED_VALUE"""),0.0582)</f>
        <v>0.0582</v>
      </c>
      <c r="J318" s="19">
        <f>IFERROR(__xludf.DUMMYFUNCTION("""COMPUTED_VALUE"""),0.1164)</f>
        <v>0.1164</v>
      </c>
      <c r="K318" s="19">
        <f>IFERROR(__xludf.DUMMYFUNCTION("""COMPUTED_VALUE"""),0.1455)</f>
        <v>0.1455</v>
      </c>
      <c r="L318" s="19">
        <f>IFERROR(__xludf.DUMMYFUNCTION("""COMPUTED_VALUE"""),0.1746)</f>
        <v>0.1746</v>
      </c>
      <c r="M318" s="18">
        <f>IFERROR(__xludf.DUMMYFUNCTION("""COMPUTED_VALUE"""),1.53)</f>
        <v>1.53</v>
      </c>
    </row>
    <row r="319">
      <c r="A319" s="13" t="str">
        <f>IFERROR(__xludf.DUMMYFUNCTION("""COMPUTED_VALUE"""),"товари")</f>
        <v>товари</v>
      </c>
      <c r="B319" s="16" t="str">
        <f>IFERROR(__xludf.DUMMYFUNCTION("""COMPUTED_VALUE"""),"авто-, мото")</f>
        <v>авто-, мото</v>
      </c>
      <c r="C319" s="16" t="str">
        <f>IFERROR(__xludf.DUMMYFUNCTION("""COMPUTED_VALUE"""),"автозапчастини")</f>
        <v>автозапчастини</v>
      </c>
      <c r="D319" s="16" t="str">
        <f>IFERROR(__xludf.DUMMYFUNCTION("""COMPUTED_VALUE"""),"деталі ходової")</f>
        <v>деталі ходової</v>
      </c>
      <c r="E319" s="16" t="str">
        <f>IFERROR(__xludf.DUMMYFUNCTION("""COMPUTED_VALUE"""),"пильовики, відбійники")</f>
        <v>пильовики, відбійники</v>
      </c>
      <c r="F319" s="17">
        <f>IFERROR(__xludf.DUMMYFUNCTION("""COMPUTED_VALUE"""),4.0)</f>
        <v>4</v>
      </c>
      <c r="G319" s="17" t="str">
        <f>IFERROR(__xludf.DUMMYFUNCTION("""COMPUTED_VALUE"""),"341523")</f>
        <v>341523</v>
      </c>
      <c r="H319" s="17" t="str">
        <f>IFERROR(__xludf.DUMMYFUNCTION("""COMPUTED_VALUE"""),"пильовики, відбійники")</f>
        <v>пильовики, відбійники</v>
      </c>
      <c r="I319" s="19">
        <f>IFERROR(__xludf.DUMMYFUNCTION("""COMPUTED_VALUE"""),0.0555)</f>
        <v>0.0555</v>
      </c>
      <c r="J319" s="19">
        <f>IFERROR(__xludf.DUMMYFUNCTION("""COMPUTED_VALUE"""),0.111)</f>
        <v>0.111</v>
      </c>
      <c r="K319" s="19">
        <f>IFERROR(__xludf.DUMMYFUNCTION("""COMPUTED_VALUE"""),0.1388)</f>
        <v>0.1388</v>
      </c>
      <c r="L319" s="19">
        <f>IFERROR(__xludf.DUMMYFUNCTION("""COMPUTED_VALUE"""),0.1665)</f>
        <v>0.1665</v>
      </c>
      <c r="M319" s="18">
        <f>IFERROR(__xludf.DUMMYFUNCTION("""COMPUTED_VALUE"""),1.53)</f>
        <v>1.53</v>
      </c>
    </row>
    <row r="320">
      <c r="A320" s="13" t="str">
        <f>IFERROR(__xludf.DUMMYFUNCTION("""COMPUTED_VALUE"""),"товари")</f>
        <v>товари</v>
      </c>
      <c r="B320" s="16" t="str">
        <f>IFERROR(__xludf.DUMMYFUNCTION("""COMPUTED_VALUE"""),"авто-, мото")</f>
        <v>авто-, мото</v>
      </c>
      <c r="C320" s="16" t="str">
        <f>IFERROR(__xludf.DUMMYFUNCTION("""COMPUTED_VALUE"""),"автозапчастини")</f>
        <v>автозапчастини</v>
      </c>
      <c r="D320" s="16" t="str">
        <f>IFERROR(__xludf.DUMMYFUNCTION("""COMPUTED_VALUE"""),"система змащування двигуна")</f>
        <v>система змащування двигуна</v>
      </c>
      <c r="E320" s="16" t="str">
        <f>IFERROR(__xludf.DUMMYFUNCTION("""COMPUTED_VALUE"""),"піддони двигуна")</f>
        <v>піддони двигуна</v>
      </c>
      <c r="F320" s="17">
        <f>IFERROR(__xludf.DUMMYFUNCTION("""COMPUTED_VALUE"""),4.0)</f>
        <v>4</v>
      </c>
      <c r="G320" s="17" t="str">
        <f>IFERROR(__xludf.DUMMYFUNCTION("""COMPUTED_VALUE"""),"12020424")</f>
        <v>12020424</v>
      </c>
      <c r="H320" s="17" t="str">
        <f>IFERROR(__xludf.DUMMYFUNCTION("""COMPUTED_VALUE"""),"піддони двигуна")</f>
        <v>піддони двигуна</v>
      </c>
      <c r="I320" s="19">
        <f>IFERROR(__xludf.DUMMYFUNCTION("""COMPUTED_VALUE"""),0.0559)</f>
        <v>0.0559</v>
      </c>
      <c r="J320" s="19">
        <f>IFERROR(__xludf.DUMMYFUNCTION("""COMPUTED_VALUE"""),0.1118)</f>
        <v>0.1118</v>
      </c>
      <c r="K320" s="19">
        <f>IFERROR(__xludf.DUMMYFUNCTION("""COMPUTED_VALUE"""),0.1398)</f>
        <v>0.1398</v>
      </c>
      <c r="L320" s="19">
        <f>IFERROR(__xludf.DUMMYFUNCTION("""COMPUTED_VALUE"""),0.1677)</f>
        <v>0.1677</v>
      </c>
      <c r="M320" s="18">
        <f>IFERROR(__xludf.DUMMYFUNCTION("""COMPUTED_VALUE"""),1.8)</f>
        <v>1.8</v>
      </c>
    </row>
    <row r="321">
      <c r="A321" s="13" t="str">
        <f>IFERROR(__xludf.DUMMYFUNCTION("""COMPUTED_VALUE"""),"товари")</f>
        <v>товари</v>
      </c>
      <c r="B321" s="16" t="str">
        <f>IFERROR(__xludf.DUMMYFUNCTION("""COMPUTED_VALUE"""),"авто-, мото")</f>
        <v>авто-, мото</v>
      </c>
      <c r="C321" s="16" t="str">
        <f>IFERROR(__xludf.DUMMYFUNCTION("""COMPUTED_VALUE"""),"автомобільна електроніка")</f>
        <v>автомобільна електроніка</v>
      </c>
      <c r="D321" s="16" t="str">
        <f>IFERROR(__xludf.DUMMYFUNCTION("""COMPUTED_VALUE"""),"підігрів автомобільних сидінь і дзеркал")</f>
        <v>підігрів автомобільних сидінь і дзеркал</v>
      </c>
      <c r="E321" s="16" t="str">
        <f>IFERROR(__xludf.DUMMYFUNCTION("""COMPUTED_VALUE"""),"підігрів автомобільних сидінь і дзеркал")</f>
        <v>підігрів автомобільних сидінь і дзеркал</v>
      </c>
      <c r="F321" s="17">
        <f>IFERROR(__xludf.DUMMYFUNCTION("""COMPUTED_VALUE"""),3.0)</f>
        <v>3</v>
      </c>
      <c r="G321" s="17" t="str">
        <f>IFERROR(__xludf.DUMMYFUNCTION("""COMPUTED_VALUE"""),"340414")</f>
        <v>340414</v>
      </c>
      <c r="H321" s="17" t="str">
        <f>IFERROR(__xludf.DUMMYFUNCTION("""COMPUTED_VALUE"""),"підігрів автомобільних сидінь і дзеркал")</f>
        <v>підігрів автомобільних сидінь і дзеркал</v>
      </c>
      <c r="I321" s="19">
        <f>IFERROR(__xludf.DUMMYFUNCTION("""COMPUTED_VALUE"""),0.0653)</f>
        <v>0.0653</v>
      </c>
      <c r="J321" s="19">
        <f>IFERROR(__xludf.DUMMYFUNCTION("""COMPUTED_VALUE"""),0.1305)</f>
        <v>0.1305</v>
      </c>
      <c r="K321" s="19">
        <f>IFERROR(__xludf.DUMMYFUNCTION("""COMPUTED_VALUE"""),0.1631)</f>
        <v>0.1631</v>
      </c>
      <c r="L321" s="19">
        <f>IFERROR(__xludf.DUMMYFUNCTION("""COMPUTED_VALUE"""),0.1958)</f>
        <v>0.1958</v>
      </c>
      <c r="M321" s="18">
        <f>IFERROR(__xludf.DUMMYFUNCTION("""COMPUTED_VALUE"""),1.26)</f>
        <v>1.26</v>
      </c>
    </row>
    <row r="322">
      <c r="A322" s="13" t="str">
        <f>IFERROR(__xludf.DUMMYFUNCTION("""COMPUTED_VALUE"""),"товари")</f>
        <v>товари</v>
      </c>
      <c r="B322" s="16" t="str">
        <f>IFERROR(__xludf.DUMMYFUNCTION("""COMPUTED_VALUE"""),"авто-, мото")</f>
        <v>авто-, мото</v>
      </c>
      <c r="C322" s="16" t="str">
        <f>IFERROR(__xludf.DUMMYFUNCTION("""COMPUTED_VALUE"""),"мототехніка")</f>
        <v>мототехніка</v>
      </c>
      <c r="D322" s="16" t="str">
        <f>IFERROR(__xludf.DUMMYFUNCTION("""COMPUTED_VALUE"""),"запчастини для мототехніки")</f>
        <v>запчастини для мототехніки</v>
      </c>
      <c r="E322" s="16" t="str">
        <f>IFERROR(__xludf.DUMMYFUNCTION("""COMPUTED_VALUE"""),"підніжки для мототехніки")</f>
        <v>підніжки для мототехніки</v>
      </c>
      <c r="F322" s="17">
        <f>IFERROR(__xludf.DUMMYFUNCTION("""COMPUTED_VALUE"""),4.0)</f>
        <v>4</v>
      </c>
      <c r="G322" s="17" t="str">
        <f>IFERROR(__xludf.DUMMYFUNCTION("""COMPUTED_VALUE"""),"340613")</f>
        <v>340613</v>
      </c>
      <c r="H322" s="17" t="str">
        <f>IFERROR(__xludf.DUMMYFUNCTION("""COMPUTED_VALUE"""),"підніжки для мототехніки")</f>
        <v>підніжки для мототехніки</v>
      </c>
      <c r="I322" s="19">
        <f>IFERROR(__xludf.DUMMYFUNCTION("""COMPUTED_VALUE"""),0.0752)</f>
        <v>0.0752</v>
      </c>
      <c r="J322" s="19">
        <f>IFERROR(__xludf.DUMMYFUNCTION("""COMPUTED_VALUE"""),0.1504)</f>
        <v>0.1504</v>
      </c>
      <c r="K322" s="19">
        <f>IFERROR(__xludf.DUMMYFUNCTION("""COMPUTED_VALUE"""),0.188)</f>
        <v>0.188</v>
      </c>
      <c r="L322" s="19">
        <f>IFERROR(__xludf.DUMMYFUNCTION("""COMPUTED_VALUE"""),0.2256)</f>
        <v>0.2256</v>
      </c>
      <c r="M322" s="18">
        <f>IFERROR(__xludf.DUMMYFUNCTION("""COMPUTED_VALUE"""),1.98)</f>
        <v>1.98</v>
      </c>
    </row>
    <row r="323">
      <c r="A323" s="13" t="str">
        <f>IFERROR(__xludf.DUMMYFUNCTION("""COMPUTED_VALUE"""),"товари")</f>
        <v>товари</v>
      </c>
      <c r="B323" s="16" t="str">
        <f>IFERROR(__xludf.DUMMYFUNCTION("""COMPUTED_VALUE"""),"авто-, мото")</f>
        <v>авто-, мото</v>
      </c>
      <c r="C323" s="16" t="str">
        <f>IFERROR(__xludf.DUMMYFUNCTION("""COMPUTED_VALUE"""),"електрообладнання автомобілів")</f>
        <v>електрообладнання автомобілів</v>
      </c>
      <c r="D323" s="16" t="str">
        <f>IFERROR(__xludf.DUMMYFUNCTION("""COMPUTED_VALUE"""),"підрульові шлейфи")</f>
        <v>підрульові шлейфи</v>
      </c>
      <c r="E323" s="16" t="str">
        <f>IFERROR(__xludf.DUMMYFUNCTION("""COMPUTED_VALUE"""),"підрульові шлейфи")</f>
        <v>підрульові шлейфи</v>
      </c>
      <c r="F323" s="17">
        <f>IFERROR(__xludf.DUMMYFUNCTION("""COMPUTED_VALUE"""),3.0)</f>
        <v>3</v>
      </c>
      <c r="G323" s="17" t="str">
        <f>IFERROR(__xludf.DUMMYFUNCTION("""COMPUTED_VALUE"""),"12020310")</f>
        <v>12020310</v>
      </c>
      <c r="H323" s="17" t="str">
        <f>IFERROR(__xludf.DUMMYFUNCTION("""COMPUTED_VALUE"""),"підрульові шлейфи")</f>
        <v>підрульові шлейфи</v>
      </c>
      <c r="I323" s="19">
        <f>IFERROR(__xludf.DUMMYFUNCTION("""COMPUTED_VALUE"""),0.0534)</f>
        <v>0.0534</v>
      </c>
      <c r="J323" s="19">
        <f>IFERROR(__xludf.DUMMYFUNCTION("""COMPUTED_VALUE"""),0.1067)</f>
        <v>0.1067</v>
      </c>
      <c r="K323" s="19">
        <f>IFERROR(__xludf.DUMMYFUNCTION("""COMPUTED_VALUE"""),0.1334)</f>
        <v>0.1334</v>
      </c>
      <c r="L323" s="19">
        <f>IFERROR(__xludf.DUMMYFUNCTION("""COMPUTED_VALUE"""),0.1601)</f>
        <v>0.1601</v>
      </c>
      <c r="M323" s="18">
        <f>IFERROR(__xludf.DUMMYFUNCTION("""COMPUTED_VALUE"""),1.05)</f>
        <v>1.05</v>
      </c>
    </row>
    <row r="324">
      <c r="A324" s="13" t="str">
        <f>IFERROR(__xludf.DUMMYFUNCTION("""COMPUTED_VALUE"""),"товари")</f>
        <v>товари</v>
      </c>
      <c r="B324" s="16" t="str">
        <f>IFERROR(__xludf.DUMMYFUNCTION("""COMPUTED_VALUE"""),"авто-, мото")</f>
        <v>авто-, мото</v>
      </c>
      <c r="C324" s="16" t="str">
        <f>IFERROR(__xludf.DUMMYFUNCTION("""COMPUTED_VALUE"""),"аксесуари для авто")</f>
        <v>аксесуари для авто</v>
      </c>
      <c r="D324" s="16" t="str">
        <f>IFERROR(__xludf.DUMMYFUNCTION("""COMPUTED_VALUE"""),"аксесуари для автотюнингу")</f>
        <v>аксесуари для автотюнингу</v>
      </c>
      <c r="E324" s="16" t="str">
        <f>IFERROR(__xludf.DUMMYFUNCTION("""COMPUTED_VALUE"""),"підсвічування салону, дверей, днища")</f>
        <v>підсвічування салону, дверей, днища</v>
      </c>
      <c r="F324" s="17">
        <f>IFERROR(__xludf.DUMMYFUNCTION("""COMPUTED_VALUE"""),4.0)</f>
        <v>4</v>
      </c>
      <c r="G324" s="17" t="str">
        <f>IFERROR(__xludf.DUMMYFUNCTION("""COMPUTED_VALUE"""),"12123209")</f>
        <v>12123209</v>
      </c>
      <c r="H324" s="17" t="str">
        <f>IFERROR(__xludf.DUMMYFUNCTION("""COMPUTED_VALUE"""),"підсвічування салону, дверей, днища")</f>
        <v>підсвічування салону, дверей, днища</v>
      </c>
      <c r="I324" s="19">
        <f>IFERROR(__xludf.DUMMYFUNCTION("""COMPUTED_VALUE"""),0.0719)</f>
        <v>0.0719</v>
      </c>
      <c r="J324" s="19">
        <f>IFERROR(__xludf.DUMMYFUNCTION("""COMPUTED_VALUE"""),0.1438)</f>
        <v>0.1438</v>
      </c>
      <c r="K324" s="19">
        <f>IFERROR(__xludf.DUMMYFUNCTION("""COMPUTED_VALUE"""),0.1798)</f>
        <v>0.1798</v>
      </c>
      <c r="L324" s="19">
        <f>IFERROR(__xludf.DUMMYFUNCTION("""COMPUTED_VALUE"""),0.2157)</f>
        <v>0.2157</v>
      </c>
      <c r="M324" s="18">
        <f>IFERROR(__xludf.DUMMYFUNCTION("""COMPUTED_VALUE"""),1.53)</f>
        <v>1.53</v>
      </c>
    </row>
    <row r="325">
      <c r="A325" s="13" t="str">
        <f>IFERROR(__xludf.DUMMYFUNCTION("""COMPUTED_VALUE"""),"товари")</f>
        <v>товари</v>
      </c>
      <c r="B325" s="16" t="str">
        <f>IFERROR(__xludf.DUMMYFUNCTION("""COMPUTED_VALUE"""),"авто-, мото")</f>
        <v>авто-, мото</v>
      </c>
      <c r="C325" s="16" t="str">
        <f>IFERROR(__xludf.DUMMYFUNCTION("""COMPUTED_VALUE"""),"автохімія, автокосметика і автомастила")</f>
        <v>автохімія, автокосметика і автомастила</v>
      </c>
      <c r="D325" s="16" t="str">
        <f>IFERROR(__xludf.DUMMYFUNCTION("""COMPUTED_VALUE"""),"автокраски, автоемалі")</f>
        <v>автокраски, автоемалі</v>
      </c>
      <c r="E325" s="16" t="str">
        <f>IFERROR(__xludf.DUMMYFUNCTION("""COMPUTED_VALUE"""),"підсилювачі адгезії")</f>
        <v>підсилювачі адгезії</v>
      </c>
      <c r="F325" s="17">
        <f>IFERROR(__xludf.DUMMYFUNCTION("""COMPUTED_VALUE"""),4.0)</f>
        <v>4</v>
      </c>
      <c r="G325" s="17" t="str">
        <f>IFERROR(__xludf.DUMMYFUNCTION("""COMPUTED_VALUE"""),"341621")</f>
        <v>341621</v>
      </c>
      <c r="H325" s="17" t="str">
        <f>IFERROR(__xludf.DUMMYFUNCTION("""COMPUTED_VALUE"""),"підсилювачі адгезії")</f>
        <v>підсилювачі адгезії</v>
      </c>
      <c r="I325" s="19">
        <f>IFERROR(__xludf.DUMMYFUNCTION("""COMPUTED_VALUE"""),0.0778)</f>
        <v>0.0778</v>
      </c>
      <c r="J325" s="19">
        <f>IFERROR(__xludf.DUMMYFUNCTION("""COMPUTED_VALUE"""),0.1555)</f>
        <v>0.1555</v>
      </c>
      <c r="K325" s="19">
        <f>IFERROR(__xludf.DUMMYFUNCTION("""COMPUTED_VALUE"""),0.1944)</f>
        <v>0.1944</v>
      </c>
      <c r="L325" s="19">
        <f>IFERROR(__xludf.DUMMYFUNCTION("""COMPUTED_VALUE"""),0.2333)</f>
        <v>0.2333</v>
      </c>
      <c r="M325" s="18">
        <f>IFERROR(__xludf.DUMMYFUNCTION("""COMPUTED_VALUE"""),1.05)</f>
        <v>1.05</v>
      </c>
    </row>
    <row r="326">
      <c r="A326" s="13" t="str">
        <f>IFERROR(__xludf.DUMMYFUNCTION("""COMPUTED_VALUE"""),"товари")</f>
        <v>товари</v>
      </c>
      <c r="B326" s="16" t="str">
        <f>IFERROR(__xludf.DUMMYFUNCTION("""COMPUTED_VALUE"""),"авто-, мото")</f>
        <v>авто-, мото</v>
      </c>
      <c r="C326" s="16" t="str">
        <f>IFERROR(__xludf.DUMMYFUNCTION("""COMPUTED_VALUE"""),"автозапчастини")</f>
        <v>автозапчастини</v>
      </c>
      <c r="D326" s="16" t="str">
        <f>IFERROR(__xludf.DUMMYFUNCTION("""COMPUTED_VALUE"""),"кузовні запчастини")</f>
        <v>кузовні запчастини</v>
      </c>
      <c r="E326" s="16" t="str">
        <f>IFERROR(__xludf.DUMMYFUNCTION("""COMPUTED_VALUE"""),"підсилювачі бампера, буфер бампера")</f>
        <v>підсилювачі бампера, буфер бампера</v>
      </c>
      <c r="F326" s="17">
        <f>IFERROR(__xludf.DUMMYFUNCTION("""COMPUTED_VALUE"""),4.0)</f>
        <v>4</v>
      </c>
      <c r="G326" s="17" t="str">
        <f>IFERROR(__xludf.DUMMYFUNCTION("""COMPUTED_VALUE"""),"120234")</f>
        <v>120234</v>
      </c>
      <c r="H326" s="17" t="str">
        <f>IFERROR(__xludf.DUMMYFUNCTION("""COMPUTED_VALUE"""),"підсилювачі бампера, буфер бампера")</f>
        <v>підсилювачі бампера, буфер бампера</v>
      </c>
      <c r="I326" s="19">
        <f>IFERROR(__xludf.DUMMYFUNCTION("""COMPUTED_VALUE"""),0.0606)</f>
        <v>0.0606</v>
      </c>
      <c r="J326" s="19">
        <f>IFERROR(__xludf.DUMMYFUNCTION("""COMPUTED_VALUE"""),0.1212)</f>
        <v>0.1212</v>
      </c>
      <c r="K326" s="19">
        <f>IFERROR(__xludf.DUMMYFUNCTION("""COMPUTED_VALUE"""),0.1515)</f>
        <v>0.1515</v>
      </c>
      <c r="L326" s="19">
        <f>IFERROR(__xludf.DUMMYFUNCTION("""COMPUTED_VALUE"""),0.1818)</f>
        <v>0.1818</v>
      </c>
      <c r="M326" s="18">
        <f>IFERROR(__xludf.DUMMYFUNCTION("""COMPUTED_VALUE"""),1.53)</f>
        <v>1.53</v>
      </c>
    </row>
    <row r="327">
      <c r="A327" s="13" t="str">
        <f>IFERROR(__xludf.DUMMYFUNCTION("""COMPUTED_VALUE"""),"товари")</f>
        <v>товари</v>
      </c>
      <c r="B327" s="16" t="str">
        <f>IFERROR(__xludf.DUMMYFUNCTION("""COMPUTED_VALUE"""),"авто-, мото")</f>
        <v>авто-, мото</v>
      </c>
      <c r="C327" s="16" t="str">
        <f>IFERROR(__xludf.DUMMYFUNCTION("""COMPUTED_VALUE"""),"автозапчастини")</f>
        <v>автозапчастини</v>
      </c>
      <c r="D327" s="16" t="str">
        <f>IFERROR(__xludf.DUMMYFUNCTION("""COMPUTED_VALUE"""),"запчастини гальмівної системи")</f>
        <v>запчастини гальмівної системи</v>
      </c>
      <c r="E327" s="16" t="str">
        <f>IFERROR(__xludf.DUMMYFUNCTION("""COMPUTED_VALUE"""),"підсилювачі гальм")</f>
        <v>підсилювачі гальм</v>
      </c>
      <c r="F327" s="17">
        <f>IFERROR(__xludf.DUMMYFUNCTION("""COMPUTED_VALUE"""),4.0)</f>
        <v>4</v>
      </c>
      <c r="G327" s="17" t="str">
        <f>IFERROR(__xludf.DUMMYFUNCTION("""COMPUTED_VALUE"""),"341581")</f>
        <v>341581</v>
      </c>
      <c r="H327" s="17" t="str">
        <f>IFERROR(__xludf.DUMMYFUNCTION("""COMPUTED_VALUE"""),"підсилювачі гальм")</f>
        <v>підсилювачі гальм</v>
      </c>
      <c r="I327" s="19">
        <f>IFERROR(__xludf.DUMMYFUNCTION("""COMPUTED_VALUE"""),0.0539)</f>
        <v>0.0539</v>
      </c>
      <c r="J327" s="19">
        <f>IFERROR(__xludf.DUMMYFUNCTION("""COMPUTED_VALUE"""),0.1078)</f>
        <v>0.1078</v>
      </c>
      <c r="K327" s="19">
        <f>IFERROR(__xludf.DUMMYFUNCTION("""COMPUTED_VALUE"""),0.1348)</f>
        <v>0.1348</v>
      </c>
      <c r="L327" s="19">
        <f>IFERROR(__xludf.DUMMYFUNCTION("""COMPUTED_VALUE"""),0.1617)</f>
        <v>0.1617</v>
      </c>
      <c r="M327" s="18">
        <f>IFERROR(__xludf.DUMMYFUNCTION("""COMPUTED_VALUE"""),1.63)</f>
        <v>1.63</v>
      </c>
    </row>
    <row r="328">
      <c r="A328" s="13" t="str">
        <f>IFERROR(__xludf.DUMMYFUNCTION("""COMPUTED_VALUE"""),"товари")</f>
        <v>товари</v>
      </c>
      <c r="B328" s="16" t="str">
        <f>IFERROR(__xludf.DUMMYFUNCTION("""COMPUTED_VALUE"""),"авто-, мото")</f>
        <v>авто-, мото</v>
      </c>
      <c r="C328" s="16" t="str">
        <f>IFERROR(__xludf.DUMMYFUNCTION("""COMPUTED_VALUE"""),"автозапчастини")</f>
        <v>автозапчастини</v>
      </c>
      <c r="D328" s="16" t="str">
        <f>IFERROR(__xludf.DUMMYFUNCTION("""COMPUTED_VALUE"""),"деталі ходової")</f>
        <v>деталі ходової</v>
      </c>
      <c r="E328" s="16" t="str">
        <f>IFERROR(__xludf.DUMMYFUNCTION("""COMPUTED_VALUE"""),"підшипники для транспорту")</f>
        <v>підшипники для транспорту</v>
      </c>
      <c r="F328" s="17">
        <f>IFERROR(__xludf.DUMMYFUNCTION("""COMPUTED_VALUE"""),4.0)</f>
        <v>4</v>
      </c>
      <c r="G328" s="17">
        <f>IFERROR(__xludf.DUMMYFUNCTION("""COMPUTED_VALUE"""),120209.0)</f>
        <v>120209</v>
      </c>
      <c r="H328" s="17" t="str">
        <f>IFERROR(__xludf.DUMMYFUNCTION("""COMPUTED_VALUE"""),"підшипники для транспорту")</f>
        <v>підшипники для транспорту</v>
      </c>
      <c r="I328" s="19">
        <f>IFERROR(__xludf.DUMMYFUNCTION("""COMPUTED_VALUE"""),0.0555)</f>
        <v>0.0555</v>
      </c>
      <c r="J328" s="19">
        <f>IFERROR(__xludf.DUMMYFUNCTION("""COMPUTED_VALUE"""),0.111)</f>
        <v>0.111</v>
      </c>
      <c r="K328" s="19">
        <f>IFERROR(__xludf.DUMMYFUNCTION("""COMPUTED_VALUE"""),0.1388)</f>
        <v>0.1388</v>
      </c>
      <c r="L328" s="19">
        <f>IFERROR(__xludf.DUMMYFUNCTION("""COMPUTED_VALUE"""),0.1665)</f>
        <v>0.1665</v>
      </c>
      <c r="M328" s="18">
        <f>IFERROR(__xludf.DUMMYFUNCTION("""COMPUTED_VALUE"""),1.53)</f>
        <v>1.53</v>
      </c>
    </row>
    <row r="329">
      <c r="A329" s="13" t="str">
        <f>IFERROR(__xludf.DUMMYFUNCTION("""COMPUTED_VALUE"""),"товари")</f>
        <v>товари</v>
      </c>
      <c r="B329" s="16" t="str">
        <f>IFERROR(__xludf.DUMMYFUNCTION("""COMPUTED_VALUE"""),"авто-, мото")</f>
        <v>авто-, мото</v>
      </c>
      <c r="C329" s="16" t="str">
        <f>IFERROR(__xludf.DUMMYFUNCTION("""COMPUTED_VALUE"""),"автозапчастини")</f>
        <v>автозапчастини</v>
      </c>
      <c r="D329" s="16" t="str">
        <f>IFERROR(__xludf.DUMMYFUNCTION("""COMPUTED_VALUE"""),"деталі салону автомобіля")</f>
        <v>деталі салону автомобіля</v>
      </c>
      <c r="E329" s="16" t="str">
        <f>IFERROR(__xludf.DUMMYFUNCTION("""COMPUTED_VALUE"""),"пістони, заглушки, кріпильні елементи")</f>
        <v>пістони, заглушки, кріпильні елементи</v>
      </c>
      <c r="F329" s="17">
        <f>IFERROR(__xludf.DUMMYFUNCTION("""COMPUTED_VALUE"""),4.0)</f>
        <v>4</v>
      </c>
      <c r="G329" s="17" t="str">
        <f>IFERROR(__xludf.DUMMYFUNCTION("""COMPUTED_VALUE"""),"341539")</f>
        <v>341539</v>
      </c>
      <c r="H329" s="17" t="str">
        <f>IFERROR(__xludf.DUMMYFUNCTION("""COMPUTED_VALUE"""),"пістони, заглушки, кріпильні елементи")</f>
        <v>пістони, заглушки, кріпильні елементи</v>
      </c>
      <c r="I329" s="19">
        <f>IFERROR(__xludf.DUMMYFUNCTION("""COMPUTED_VALUE"""),0.0554)</f>
        <v>0.0554</v>
      </c>
      <c r="J329" s="19">
        <f>IFERROR(__xludf.DUMMYFUNCTION("""COMPUTED_VALUE"""),0.1107)</f>
        <v>0.1107</v>
      </c>
      <c r="K329" s="19">
        <f>IFERROR(__xludf.DUMMYFUNCTION("""COMPUTED_VALUE"""),0.1384)</f>
        <v>0.1384</v>
      </c>
      <c r="L329" s="19">
        <f>IFERROR(__xludf.DUMMYFUNCTION("""COMPUTED_VALUE"""),0.1661)</f>
        <v>0.1661</v>
      </c>
      <c r="M329" s="18">
        <f>IFERROR(__xludf.DUMMYFUNCTION("""COMPUTED_VALUE"""),1.05)</f>
        <v>1.05</v>
      </c>
    </row>
    <row r="330">
      <c r="A330" s="13" t="str">
        <f>IFERROR(__xludf.DUMMYFUNCTION("""COMPUTED_VALUE"""),"товари")</f>
        <v>товари</v>
      </c>
      <c r="B330" s="16" t="str">
        <f>IFERROR(__xludf.DUMMYFUNCTION("""COMPUTED_VALUE"""),"авто-, мото")</f>
        <v>авто-, мото</v>
      </c>
      <c r="C330" s="16" t="str">
        <f>IFERROR(__xludf.DUMMYFUNCTION("""COMPUTED_VALUE"""),"автозапчастини")</f>
        <v>автозапчастини</v>
      </c>
      <c r="D330" s="16" t="str">
        <f>IFERROR(__xludf.DUMMYFUNCTION("""COMPUTED_VALUE"""),"світлові прилади транспорту")</f>
        <v>світлові прилади транспорту</v>
      </c>
      <c r="E330" s="16" t="str">
        <f>IFERROR(__xludf.DUMMYFUNCTION("""COMPUTED_VALUE"""),"плафони внутрішнього освітлення")</f>
        <v>плафони внутрішнього освітлення</v>
      </c>
      <c r="F330" s="17">
        <f>IFERROR(__xludf.DUMMYFUNCTION("""COMPUTED_VALUE"""),4.0)</f>
        <v>4</v>
      </c>
      <c r="G330" s="17" t="str">
        <f>IFERROR(__xludf.DUMMYFUNCTION("""COMPUTED_VALUE"""),"12020606")</f>
        <v>12020606</v>
      </c>
      <c r="H330" s="17" t="str">
        <f>IFERROR(__xludf.DUMMYFUNCTION("""COMPUTED_VALUE"""),"плафони внутрішнього освітлення")</f>
        <v>плафони внутрішнього освітлення</v>
      </c>
      <c r="I330" s="19">
        <f>IFERROR(__xludf.DUMMYFUNCTION("""COMPUTED_VALUE"""),0.0731)</f>
        <v>0.0731</v>
      </c>
      <c r="J330" s="19">
        <f>IFERROR(__xludf.DUMMYFUNCTION("""COMPUTED_VALUE"""),0.1462)</f>
        <v>0.1462</v>
      </c>
      <c r="K330" s="19">
        <f>IFERROR(__xludf.DUMMYFUNCTION("""COMPUTED_VALUE"""),0.1828)</f>
        <v>0.1828</v>
      </c>
      <c r="L330" s="19">
        <f>IFERROR(__xludf.DUMMYFUNCTION("""COMPUTED_VALUE"""),0.2193)</f>
        <v>0.2193</v>
      </c>
      <c r="M330" s="18">
        <f>IFERROR(__xludf.DUMMYFUNCTION("""COMPUTED_VALUE"""),2.16)</f>
        <v>2.16</v>
      </c>
    </row>
    <row r="331">
      <c r="A331" s="13" t="str">
        <f>IFERROR(__xludf.DUMMYFUNCTION("""COMPUTED_VALUE"""),"товари")</f>
        <v>товари</v>
      </c>
      <c r="B331" s="16" t="str">
        <f>IFERROR(__xludf.DUMMYFUNCTION("""COMPUTED_VALUE"""),"авто-, мото")</f>
        <v>авто-, мото</v>
      </c>
      <c r="C331" s="16" t="str">
        <f>IFERROR(__xludf.DUMMYFUNCTION("""COMPUTED_VALUE"""),"додаткове обладнання")</f>
        <v>додаткове обладнання</v>
      </c>
      <c r="D331" s="16" t="str">
        <f>IFERROR(__xludf.DUMMYFUNCTION("""COMPUTED_VALUE"""),"пневматична підвіска")</f>
        <v>пневматична підвіска</v>
      </c>
      <c r="E331" s="16" t="str">
        <f>IFERROR(__xludf.DUMMYFUNCTION("""COMPUTED_VALUE"""),"пневматична підвіска")</f>
        <v>пневматична підвіска</v>
      </c>
      <c r="F331" s="17">
        <f>IFERROR(__xludf.DUMMYFUNCTION("""COMPUTED_VALUE"""),3.0)</f>
        <v>3</v>
      </c>
      <c r="G331" s="17" t="str">
        <f>IFERROR(__xludf.DUMMYFUNCTION("""COMPUTED_VALUE"""),"342603")</f>
        <v>342603</v>
      </c>
      <c r="H331" s="17" t="str">
        <f>IFERROR(__xludf.DUMMYFUNCTION("""COMPUTED_VALUE"""),"пневматична підвіска")</f>
        <v>пневматична підвіска</v>
      </c>
      <c r="I331" s="19">
        <f>IFERROR(__xludf.DUMMYFUNCTION("""COMPUTED_VALUE"""),0.0504)</f>
        <v>0.0504</v>
      </c>
      <c r="J331" s="19">
        <f>IFERROR(__xludf.DUMMYFUNCTION("""COMPUTED_VALUE"""),0.1007)</f>
        <v>0.1007</v>
      </c>
      <c r="K331" s="19">
        <f>IFERROR(__xludf.DUMMYFUNCTION("""COMPUTED_VALUE"""),0.1259)</f>
        <v>0.1259</v>
      </c>
      <c r="L331" s="19">
        <f>IFERROR(__xludf.DUMMYFUNCTION("""COMPUTED_VALUE"""),0.1511)</f>
        <v>0.1511</v>
      </c>
      <c r="M331" s="18">
        <f>IFERROR(__xludf.DUMMYFUNCTION("""COMPUTED_VALUE"""),3.78)</f>
        <v>3.78</v>
      </c>
    </row>
    <row r="332">
      <c r="A332" s="13" t="str">
        <f>IFERROR(__xludf.DUMMYFUNCTION("""COMPUTED_VALUE"""),"товари")</f>
        <v>товари</v>
      </c>
      <c r="B332" s="16" t="str">
        <f>IFERROR(__xludf.DUMMYFUNCTION("""COMPUTED_VALUE"""),"авто-, мото")</f>
        <v>авто-, мото</v>
      </c>
      <c r="C332" s="16" t="str">
        <f>IFERROR(__xludf.DUMMYFUNCTION("""COMPUTED_VALUE"""),"автозапчастини")</f>
        <v>автозапчастини</v>
      </c>
      <c r="D332" s="16" t="str">
        <f>IFERROR(__xludf.DUMMYFUNCTION("""COMPUTED_VALUE"""),"деталі ходової")</f>
        <v>деталі ходової</v>
      </c>
      <c r="E332" s="16" t="str">
        <f>IFERROR(__xludf.DUMMYFUNCTION("""COMPUTED_VALUE"""),"пневморессори, пневмоподушки")</f>
        <v>пневморессори, пневмоподушки</v>
      </c>
      <c r="F332" s="17">
        <f>IFERROR(__xludf.DUMMYFUNCTION("""COMPUTED_VALUE"""),4.0)</f>
        <v>4</v>
      </c>
      <c r="G332" s="17" t="str">
        <f>IFERROR(__xludf.DUMMYFUNCTION("""COMPUTED_VALUE"""),"342206")</f>
        <v>342206</v>
      </c>
      <c r="H332" s="17" t="str">
        <f>IFERROR(__xludf.DUMMYFUNCTION("""COMPUTED_VALUE"""),"пневморессори, пневмоподушки")</f>
        <v>пневморессори, пневмоподушки</v>
      </c>
      <c r="I332" s="19">
        <f>IFERROR(__xludf.DUMMYFUNCTION("""COMPUTED_VALUE"""),0.0497)</f>
        <v>0.0497</v>
      </c>
      <c r="J332" s="19">
        <f>IFERROR(__xludf.DUMMYFUNCTION("""COMPUTED_VALUE"""),0.0993)</f>
        <v>0.0993</v>
      </c>
      <c r="K332" s="19">
        <f>IFERROR(__xludf.DUMMYFUNCTION("""COMPUTED_VALUE"""),0.1241)</f>
        <v>0.1241</v>
      </c>
      <c r="L332" s="19">
        <f>IFERROR(__xludf.DUMMYFUNCTION("""COMPUTED_VALUE"""),0.149)</f>
        <v>0.149</v>
      </c>
      <c r="M332" s="18">
        <f>IFERROR(__xludf.DUMMYFUNCTION("""COMPUTED_VALUE"""),1.53)</f>
        <v>1.53</v>
      </c>
    </row>
    <row r="333">
      <c r="A333" s="13" t="str">
        <f>IFERROR(__xludf.DUMMYFUNCTION("""COMPUTED_VALUE"""),"товари")</f>
        <v>товари</v>
      </c>
      <c r="B333" s="16" t="str">
        <f>IFERROR(__xludf.DUMMYFUNCTION("""COMPUTED_VALUE"""),"авто-, мото")</f>
        <v>авто-, мото</v>
      </c>
      <c r="C333" s="16" t="str">
        <f>IFERROR(__xludf.DUMMYFUNCTION("""COMPUTED_VALUE"""),"аксесуари для авто")</f>
        <v>аксесуари для авто</v>
      </c>
      <c r="D333" s="16" t="str">
        <f>IFERROR(__xludf.DUMMYFUNCTION("""COMPUTED_VALUE"""),"аксесуари для автотюнингу")</f>
        <v>аксесуари для автотюнингу</v>
      </c>
      <c r="E333" s="16" t="str">
        <f>IFERROR(__xludf.DUMMYFUNCTION("""COMPUTED_VALUE"""),"повітрозабірники")</f>
        <v>повітрозабірники</v>
      </c>
      <c r="F333" s="17">
        <f>IFERROR(__xludf.DUMMYFUNCTION("""COMPUTED_VALUE"""),4.0)</f>
        <v>4</v>
      </c>
      <c r="G333" s="17" t="str">
        <f>IFERROR(__xludf.DUMMYFUNCTION("""COMPUTED_VALUE"""),"121213")</f>
        <v>121213</v>
      </c>
      <c r="H333" s="17" t="str">
        <f>IFERROR(__xludf.DUMMYFUNCTION("""COMPUTED_VALUE"""),"повітрозабірники")</f>
        <v>повітрозабірники</v>
      </c>
      <c r="I333" s="19">
        <f>IFERROR(__xludf.DUMMYFUNCTION("""COMPUTED_VALUE"""),0.0595)</f>
        <v>0.0595</v>
      </c>
      <c r="J333" s="19">
        <f>IFERROR(__xludf.DUMMYFUNCTION("""COMPUTED_VALUE"""),0.119)</f>
        <v>0.119</v>
      </c>
      <c r="K333" s="19">
        <f>IFERROR(__xludf.DUMMYFUNCTION("""COMPUTED_VALUE"""),0.1488)</f>
        <v>0.1488</v>
      </c>
      <c r="L333" s="19">
        <f>IFERROR(__xludf.DUMMYFUNCTION("""COMPUTED_VALUE"""),0.1785)</f>
        <v>0.1785</v>
      </c>
      <c r="M333" s="18">
        <f>IFERROR(__xludf.DUMMYFUNCTION("""COMPUTED_VALUE"""),1.53)</f>
        <v>1.53</v>
      </c>
    </row>
    <row r="334">
      <c r="A334" s="13" t="str">
        <f>IFERROR(__xludf.DUMMYFUNCTION("""COMPUTED_VALUE"""),"товари")</f>
        <v>товари</v>
      </c>
      <c r="B334" s="16" t="str">
        <f>IFERROR(__xludf.DUMMYFUNCTION("""COMPUTED_VALUE"""),"авто-, мото")</f>
        <v>авто-, мото</v>
      </c>
      <c r="C334" s="16" t="str">
        <f>IFERROR(__xludf.DUMMYFUNCTION("""COMPUTED_VALUE"""),"автозапчастини")</f>
        <v>автозапчастини</v>
      </c>
      <c r="D334" s="16" t="str">
        <f>IFERROR(__xludf.DUMMYFUNCTION("""COMPUTED_VALUE"""),"система живлення двигуна")</f>
        <v>система живлення двигуна</v>
      </c>
      <c r="E334" s="16" t="str">
        <f>IFERROR(__xludf.DUMMYFUNCTION("""COMPUTED_VALUE"""),"повітряні фільтри ")</f>
        <v>повітряні фільтри </v>
      </c>
      <c r="F334" s="17">
        <f>IFERROR(__xludf.DUMMYFUNCTION("""COMPUTED_VALUE"""),4.0)</f>
        <v>4</v>
      </c>
      <c r="G334" s="17" t="str">
        <f>IFERROR(__xludf.DUMMYFUNCTION("""COMPUTED_VALUE"""),"12021002")</f>
        <v>12021002</v>
      </c>
      <c r="H334" s="17" t="str">
        <f>IFERROR(__xludf.DUMMYFUNCTION("""COMPUTED_VALUE"""),"повітряні фільтри ")</f>
        <v>повітряні фільтри </v>
      </c>
      <c r="I334" s="19">
        <f>IFERROR(__xludf.DUMMYFUNCTION("""COMPUTED_VALUE"""),0.054)</f>
        <v>0.054</v>
      </c>
      <c r="J334" s="19">
        <f>IFERROR(__xludf.DUMMYFUNCTION("""COMPUTED_VALUE"""),0.1079)</f>
        <v>0.1079</v>
      </c>
      <c r="K334" s="19">
        <f>IFERROR(__xludf.DUMMYFUNCTION("""COMPUTED_VALUE"""),0.1349)</f>
        <v>0.1349</v>
      </c>
      <c r="L334" s="19">
        <f>IFERROR(__xludf.DUMMYFUNCTION("""COMPUTED_VALUE"""),0.1619)</f>
        <v>0.1619</v>
      </c>
      <c r="M334" s="18">
        <f>IFERROR(__xludf.DUMMYFUNCTION("""COMPUTED_VALUE"""),1.53)</f>
        <v>1.53</v>
      </c>
    </row>
    <row r="335">
      <c r="A335" s="13" t="str">
        <f>IFERROR(__xludf.DUMMYFUNCTION("""COMPUTED_VALUE"""),"товари")</f>
        <v>товари</v>
      </c>
      <c r="B335" s="16" t="str">
        <f>IFERROR(__xludf.DUMMYFUNCTION("""COMPUTED_VALUE"""),"авто-, мото")</f>
        <v>авто-, мото</v>
      </c>
      <c r="C335" s="16" t="str">
        <f>IFERROR(__xludf.DUMMYFUNCTION("""COMPUTED_VALUE"""),"автозапчастини")</f>
        <v>автозапчастини</v>
      </c>
      <c r="D335" s="16" t="str">
        <f>IFERROR(__xludf.DUMMYFUNCTION("""COMPUTED_VALUE"""),"деталі ходової")</f>
        <v>деталі ходової</v>
      </c>
      <c r="E335" s="16" t="str">
        <f>IFERROR(__xludf.DUMMYFUNCTION("""COMPUTED_VALUE"""),"поворотні кулаки")</f>
        <v>поворотні кулаки</v>
      </c>
      <c r="F335" s="17">
        <f>IFERROR(__xludf.DUMMYFUNCTION("""COMPUTED_VALUE"""),4.0)</f>
        <v>4</v>
      </c>
      <c r="G335" s="17" t="str">
        <f>IFERROR(__xludf.DUMMYFUNCTION("""COMPUTED_VALUE"""),"341583")</f>
        <v>341583</v>
      </c>
      <c r="H335" s="17" t="str">
        <f>IFERROR(__xludf.DUMMYFUNCTION("""COMPUTED_VALUE"""),"поворотні кулаки")</f>
        <v>поворотні кулаки</v>
      </c>
      <c r="I335" s="19">
        <f>IFERROR(__xludf.DUMMYFUNCTION("""COMPUTED_VALUE"""),0.0532)</f>
        <v>0.0532</v>
      </c>
      <c r="J335" s="19">
        <f>IFERROR(__xludf.DUMMYFUNCTION("""COMPUTED_VALUE"""),0.1064)</f>
        <v>0.1064</v>
      </c>
      <c r="K335" s="19">
        <f>IFERROR(__xludf.DUMMYFUNCTION("""COMPUTED_VALUE"""),0.133)</f>
        <v>0.133</v>
      </c>
      <c r="L335" s="19">
        <f>IFERROR(__xludf.DUMMYFUNCTION("""COMPUTED_VALUE"""),0.1596)</f>
        <v>0.1596</v>
      </c>
      <c r="M335" s="18">
        <f>IFERROR(__xludf.DUMMYFUNCTION("""COMPUTED_VALUE"""),1.53)</f>
        <v>1.53</v>
      </c>
    </row>
    <row r="336">
      <c r="A336" s="13" t="str">
        <f>IFERROR(__xludf.DUMMYFUNCTION("""COMPUTED_VALUE"""),"товари")</f>
        <v>товари</v>
      </c>
      <c r="B336" s="16" t="str">
        <f>IFERROR(__xludf.DUMMYFUNCTION("""COMPUTED_VALUE"""),"авто-, мото")</f>
        <v>авто-, мото</v>
      </c>
      <c r="C336" s="16" t="str">
        <f>IFERROR(__xludf.DUMMYFUNCTION("""COMPUTED_VALUE"""),"автозапчастини")</f>
        <v>автозапчастини</v>
      </c>
      <c r="D336" s="16" t="str">
        <f>IFERROR(__xludf.DUMMYFUNCTION("""COMPUTED_VALUE"""),"світлові прилади транспорту")</f>
        <v>світлові прилади транспорту</v>
      </c>
      <c r="E336" s="16" t="str">
        <f>IFERROR(__xludf.DUMMYFUNCTION("""COMPUTED_VALUE"""),"повторювачі поворотів")</f>
        <v>повторювачі поворотів</v>
      </c>
      <c r="F336" s="17">
        <f>IFERROR(__xludf.DUMMYFUNCTION("""COMPUTED_VALUE"""),4.0)</f>
        <v>4</v>
      </c>
      <c r="G336" s="17" t="str">
        <f>IFERROR(__xludf.DUMMYFUNCTION("""COMPUTED_VALUE"""),"12020605")</f>
        <v>12020605</v>
      </c>
      <c r="H336" s="17" t="str">
        <f>IFERROR(__xludf.DUMMYFUNCTION("""COMPUTED_VALUE"""),"повторювачі поворотів")</f>
        <v>повторювачі поворотів</v>
      </c>
      <c r="I336" s="19">
        <f>IFERROR(__xludf.DUMMYFUNCTION("""COMPUTED_VALUE"""),0.0725)</f>
        <v>0.0725</v>
      </c>
      <c r="J336" s="19">
        <f>IFERROR(__xludf.DUMMYFUNCTION("""COMPUTED_VALUE"""),0.1449)</f>
        <v>0.1449</v>
      </c>
      <c r="K336" s="19">
        <f>IFERROR(__xludf.DUMMYFUNCTION("""COMPUTED_VALUE"""),0.1811)</f>
        <v>0.1811</v>
      </c>
      <c r="L336" s="19">
        <f>IFERROR(__xludf.DUMMYFUNCTION("""COMPUTED_VALUE"""),0.2174)</f>
        <v>0.2174</v>
      </c>
      <c r="M336" s="18">
        <f>IFERROR(__xludf.DUMMYFUNCTION("""COMPUTED_VALUE"""),2.16)</f>
        <v>2.16</v>
      </c>
    </row>
    <row r="337">
      <c r="A337" s="13" t="str">
        <f>IFERROR(__xludf.DUMMYFUNCTION("""COMPUTED_VALUE"""),"товари")</f>
        <v>товари</v>
      </c>
      <c r="B337" s="16" t="str">
        <f>IFERROR(__xludf.DUMMYFUNCTION("""COMPUTED_VALUE"""),"авто-, мото")</f>
        <v>авто-, мото</v>
      </c>
      <c r="C337" s="16" t="str">
        <f>IFERROR(__xludf.DUMMYFUNCTION("""COMPUTED_VALUE"""),"автозапчастини")</f>
        <v>автозапчастини</v>
      </c>
      <c r="D337" s="16" t="str">
        <f>IFERROR(__xludf.DUMMYFUNCTION("""COMPUTED_VALUE"""),"двигуни і деталі двигуна")</f>
        <v>двигуни і деталі двигуна</v>
      </c>
      <c r="E337" s="16" t="str">
        <f>IFERROR(__xludf.DUMMYFUNCTION("""COMPUTED_VALUE"""),"подушки двигуна")</f>
        <v>подушки двигуна</v>
      </c>
      <c r="F337" s="17">
        <f>IFERROR(__xludf.DUMMYFUNCTION("""COMPUTED_VALUE"""),4.0)</f>
        <v>4</v>
      </c>
      <c r="G337" s="17" t="str">
        <f>IFERROR(__xludf.DUMMYFUNCTION("""COMPUTED_VALUE"""),"12020416")</f>
        <v>12020416</v>
      </c>
      <c r="H337" s="17" t="str">
        <f>IFERROR(__xludf.DUMMYFUNCTION("""COMPUTED_VALUE"""),"подушки двигуна")</f>
        <v>подушки двигуна</v>
      </c>
      <c r="I337" s="19">
        <f>IFERROR(__xludf.DUMMYFUNCTION("""COMPUTED_VALUE"""),0.0549)</f>
        <v>0.0549</v>
      </c>
      <c r="J337" s="19">
        <f>IFERROR(__xludf.DUMMYFUNCTION("""COMPUTED_VALUE"""),0.1097)</f>
        <v>0.1097</v>
      </c>
      <c r="K337" s="19">
        <f>IFERROR(__xludf.DUMMYFUNCTION("""COMPUTED_VALUE"""),0.1371)</f>
        <v>0.1371</v>
      </c>
      <c r="L337" s="19">
        <f>IFERROR(__xludf.DUMMYFUNCTION("""COMPUTED_VALUE"""),0.1646)</f>
        <v>0.1646</v>
      </c>
      <c r="M337" s="18">
        <f>IFERROR(__xludf.DUMMYFUNCTION("""COMPUTED_VALUE"""),1.53)</f>
        <v>1.53</v>
      </c>
    </row>
    <row r="338">
      <c r="A338" s="13" t="str">
        <f>IFERROR(__xludf.DUMMYFUNCTION("""COMPUTED_VALUE"""),"товари")</f>
        <v>товари</v>
      </c>
      <c r="B338" s="16" t="str">
        <f>IFERROR(__xludf.DUMMYFUNCTION("""COMPUTED_VALUE"""),"авто-, мото")</f>
        <v>авто-, мото</v>
      </c>
      <c r="C338" s="16" t="str">
        <f>IFERROR(__xludf.DUMMYFUNCTION("""COMPUTED_VALUE"""),"автохімія, автокосметика і автомастила")</f>
        <v>автохімія, автокосметика і автомастила</v>
      </c>
      <c r="D338" s="16" t="str">
        <f>IFERROR(__xludf.DUMMYFUNCTION("""COMPUTED_VALUE"""),"автомобільні поліролі та шампуні")</f>
        <v>автомобільні поліролі та шампуні</v>
      </c>
      <c r="E338" s="16" t="str">
        <f>IFERROR(__xludf.DUMMYFUNCTION("""COMPUTED_VALUE"""),"поліролі")</f>
        <v>поліролі</v>
      </c>
      <c r="F338" s="17">
        <f>IFERROR(__xludf.DUMMYFUNCTION("""COMPUTED_VALUE"""),4.0)</f>
        <v>4</v>
      </c>
      <c r="G338" s="17" t="str">
        <f>IFERROR(__xludf.DUMMYFUNCTION("""COMPUTED_VALUE"""),"341202")</f>
        <v>341202</v>
      </c>
      <c r="H338" s="17" t="str">
        <f>IFERROR(__xludf.DUMMYFUNCTION("""COMPUTED_VALUE"""),"поліролі")</f>
        <v>поліролі</v>
      </c>
      <c r="I338" s="19">
        <f>IFERROR(__xludf.DUMMYFUNCTION("""COMPUTED_VALUE"""),0.0776)</f>
        <v>0.0776</v>
      </c>
      <c r="J338" s="19">
        <f>IFERROR(__xludf.DUMMYFUNCTION("""COMPUTED_VALUE"""),0.1551)</f>
        <v>0.1551</v>
      </c>
      <c r="K338" s="19">
        <f>IFERROR(__xludf.DUMMYFUNCTION("""COMPUTED_VALUE"""),0.1939)</f>
        <v>0.1939</v>
      </c>
      <c r="L338" s="19">
        <f>IFERROR(__xludf.DUMMYFUNCTION("""COMPUTED_VALUE"""),0.2327)</f>
        <v>0.2327</v>
      </c>
      <c r="M338" s="18">
        <f>IFERROR(__xludf.DUMMYFUNCTION("""COMPUTED_VALUE"""),2.16)</f>
        <v>2.16</v>
      </c>
    </row>
    <row r="339">
      <c r="A339" s="13" t="str">
        <f>IFERROR(__xludf.DUMMYFUNCTION("""COMPUTED_VALUE"""),"товари")</f>
        <v>товари</v>
      </c>
      <c r="B339" s="16" t="str">
        <f>IFERROR(__xludf.DUMMYFUNCTION("""COMPUTED_VALUE"""),"авто-, мото")</f>
        <v>авто-, мото</v>
      </c>
      <c r="C339" s="16" t="str">
        <f>IFERROR(__xludf.DUMMYFUNCTION("""COMPUTED_VALUE"""),"автозапчастини")</f>
        <v>автозапчастини</v>
      </c>
      <c r="D339" s="16" t="str">
        <f>IFERROR(__xludf.DUMMYFUNCTION("""COMPUTED_VALUE"""),"система випуску відпрацьованих газів")</f>
        <v>система випуску відпрацьованих газів</v>
      </c>
      <c r="E339" s="16" t="str">
        <f>IFERROR(__xludf.DUMMYFUNCTION("""COMPUTED_VALUE"""),"полум'ягасники")</f>
        <v>полум'ягасники</v>
      </c>
      <c r="F339" s="17">
        <f>IFERROR(__xludf.DUMMYFUNCTION("""COMPUTED_VALUE"""),4.0)</f>
        <v>4</v>
      </c>
      <c r="G339" s="17" t="str">
        <f>IFERROR(__xludf.DUMMYFUNCTION("""COMPUTED_VALUE"""),"12021507")</f>
        <v>12021507</v>
      </c>
      <c r="H339" s="17" t="str">
        <f>IFERROR(__xludf.DUMMYFUNCTION("""COMPUTED_VALUE"""),"полум'ягасники")</f>
        <v>полум'ягасники</v>
      </c>
      <c r="I339" s="19">
        <f>IFERROR(__xludf.DUMMYFUNCTION("""COMPUTED_VALUE"""),0.055)</f>
        <v>0.055</v>
      </c>
      <c r="J339" s="19">
        <f>IFERROR(__xludf.DUMMYFUNCTION("""COMPUTED_VALUE"""),0.11)</f>
        <v>0.11</v>
      </c>
      <c r="K339" s="19">
        <f>IFERROR(__xludf.DUMMYFUNCTION("""COMPUTED_VALUE"""),0.1375)</f>
        <v>0.1375</v>
      </c>
      <c r="L339" s="19">
        <f>IFERROR(__xludf.DUMMYFUNCTION("""COMPUTED_VALUE"""),0.165)</f>
        <v>0.165</v>
      </c>
      <c r="M339" s="18">
        <f>IFERROR(__xludf.DUMMYFUNCTION("""COMPUTED_VALUE"""),1.53)</f>
        <v>1.53</v>
      </c>
    </row>
    <row r="340">
      <c r="A340" s="13" t="str">
        <f>IFERROR(__xludf.DUMMYFUNCTION("""COMPUTED_VALUE"""),"товари")</f>
        <v>товари</v>
      </c>
      <c r="B340" s="16" t="str">
        <f>IFERROR(__xludf.DUMMYFUNCTION("""COMPUTED_VALUE"""),"авто-, мото")</f>
        <v>авто-, мото</v>
      </c>
      <c r="C340" s="16" t="str">
        <f>IFERROR(__xludf.DUMMYFUNCTION("""COMPUTED_VALUE"""),"автозапчастини")</f>
        <v>автозапчастини</v>
      </c>
      <c r="D340" s="16" t="str">
        <f>IFERROR(__xludf.DUMMYFUNCTION("""COMPUTED_VALUE"""),"кривошипно-шатунний механізм (кшм)")</f>
        <v>кривошипно-шатунний механізм (кшм)</v>
      </c>
      <c r="E340" s="16" t="str">
        <f>IFERROR(__xludf.DUMMYFUNCTION("""COMPUTED_VALUE"""),"поршневі групи")</f>
        <v>поршневі групи</v>
      </c>
      <c r="F340" s="17">
        <f>IFERROR(__xludf.DUMMYFUNCTION("""COMPUTED_VALUE"""),4.0)</f>
        <v>4</v>
      </c>
      <c r="G340" s="17" t="str">
        <f>IFERROR(__xludf.DUMMYFUNCTION("""COMPUTED_VALUE"""),"12020402")</f>
        <v>12020402</v>
      </c>
      <c r="H340" s="17" t="str">
        <f>IFERROR(__xludf.DUMMYFUNCTION("""COMPUTED_VALUE"""),"поршневі групи")</f>
        <v>поршневі групи</v>
      </c>
      <c r="I340" s="19">
        <f>IFERROR(__xludf.DUMMYFUNCTION("""COMPUTED_VALUE"""),0.0468)</f>
        <v>0.0468</v>
      </c>
      <c r="J340" s="19">
        <f>IFERROR(__xludf.DUMMYFUNCTION("""COMPUTED_VALUE"""),0.0936)</f>
        <v>0.0936</v>
      </c>
      <c r="K340" s="19">
        <f>IFERROR(__xludf.DUMMYFUNCTION("""COMPUTED_VALUE"""),0.117)</f>
        <v>0.117</v>
      </c>
      <c r="L340" s="19">
        <f>IFERROR(__xludf.DUMMYFUNCTION("""COMPUTED_VALUE"""),0.1404)</f>
        <v>0.1404</v>
      </c>
      <c r="M340" s="18">
        <f>IFERROR(__xludf.DUMMYFUNCTION("""COMPUTED_VALUE"""),1.98)</f>
        <v>1.98</v>
      </c>
    </row>
    <row r="341">
      <c r="A341" s="13" t="str">
        <f>IFERROR(__xludf.DUMMYFUNCTION("""COMPUTED_VALUE"""),"товари")</f>
        <v>товари</v>
      </c>
      <c r="B341" s="16" t="str">
        <f>IFERROR(__xludf.DUMMYFUNCTION("""COMPUTED_VALUE"""),"авто-, мото")</f>
        <v>авто-, мото</v>
      </c>
      <c r="C341" s="16" t="str">
        <f>IFERROR(__xludf.DUMMYFUNCTION("""COMPUTED_VALUE"""),"автозапчастини")</f>
        <v>автозапчастини</v>
      </c>
      <c r="D341" s="16" t="str">
        <f>IFERROR(__xludf.DUMMYFUNCTION("""COMPUTED_VALUE"""),"кривошипно-шатунний механізм (кшм)")</f>
        <v>кривошипно-шатунний механізм (кшм)</v>
      </c>
      <c r="E341" s="16" t="str">
        <f>IFERROR(__xludf.DUMMYFUNCTION("""COMPUTED_VALUE"""),"поршневі кільця")</f>
        <v>поршневі кільця</v>
      </c>
      <c r="F341" s="17">
        <f>IFERROR(__xludf.DUMMYFUNCTION("""COMPUTED_VALUE"""),4.0)</f>
        <v>4</v>
      </c>
      <c r="G341" s="17" t="str">
        <f>IFERROR(__xludf.DUMMYFUNCTION("""COMPUTED_VALUE"""),"12020403")</f>
        <v>12020403</v>
      </c>
      <c r="H341" s="17" t="str">
        <f>IFERROR(__xludf.DUMMYFUNCTION("""COMPUTED_VALUE"""),"поршневі кільця")</f>
        <v>поршневі кільця</v>
      </c>
      <c r="I341" s="19">
        <f>IFERROR(__xludf.DUMMYFUNCTION("""COMPUTED_VALUE"""),0.0501)</f>
        <v>0.0501</v>
      </c>
      <c r="J341" s="19">
        <f>IFERROR(__xludf.DUMMYFUNCTION("""COMPUTED_VALUE"""),0.1001)</f>
        <v>0.1001</v>
      </c>
      <c r="K341" s="19">
        <f>IFERROR(__xludf.DUMMYFUNCTION("""COMPUTED_VALUE"""),0.1251)</f>
        <v>0.1251</v>
      </c>
      <c r="L341" s="19">
        <f>IFERROR(__xludf.DUMMYFUNCTION("""COMPUTED_VALUE"""),0.1502)</f>
        <v>0.1502</v>
      </c>
      <c r="M341" s="18">
        <f>IFERROR(__xludf.DUMMYFUNCTION("""COMPUTED_VALUE"""),1.98)</f>
        <v>1.98</v>
      </c>
    </row>
    <row r="342">
      <c r="A342" s="13" t="str">
        <f>IFERROR(__xludf.DUMMYFUNCTION("""COMPUTED_VALUE"""),"товари")</f>
        <v>товари</v>
      </c>
      <c r="B342" s="16" t="str">
        <f>IFERROR(__xludf.DUMMYFUNCTION("""COMPUTED_VALUE"""),"авто-, мото")</f>
        <v>авто-, мото</v>
      </c>
      <c r="C342" s="16" t="str">
        <f>IFERROR(__xludf.DUMMYFUNCTION("""COMPUTED_VALUE"""),"автозапчастини")</f>
        <v>автозапчастини</v>
      </c>
      <c r="D342" s="16" t="str">
        <f>IFERROR(__xludf.DUMMYFUNCTION("""COMPUTED_VALUE"""),"кривошипно-шатунний механізм (кшм)")</f>
        <v>кривошипно-шатунний механізм (кшм)</v>
      </c>
      <c r="E342" s="16" t="str">
        <f>IFERROR(__xludf.DUMMYFUNCTION("""COMPUTED_VALUE"""),"поршневі пальці")</f>
        <v>поршневі пальці</v>
      </c>
      <c r="F342" s="17">
        <f>IFERROR(__xludf.DUMMYFUNCTION("""COMPUTED_VALUE"""),4.0)</f>
        <v>4</v>
      </c>
      <c r="G342" s="17" t="str">
        <f>IFERROR(__xludf.DUMMYFUNCTION("""COMPUTED_VALUE"""),"12020422")</f>
        <v>12020422</v>
      </c>
      <c r="H342" s="17" t="str">
        <f>IFERROR(__xludf.DUMMYFUNCTION("""COMPUTED_VALUE"""),"поршневі пальці")</f>
        <v>поршневі пальці</v>
      </c>
      <c r="I342" s="19">
        <f>IFERROR(__xludf.DUMMYFUNCTION("""COMPUTED_VALUE"""),0.0468)</f>
        <v>0.0468</v>
      </c>
      <c r="J342" s="19">
        <f>IFERROR(__xludf.DUMMYFUNCTION("""COMPUTED_VALUE"""),0.0936)</f>
        <v>0.0936</v>
      </c>
      <c r="K342" s="19">
        <f>IFERROR(__xludf.DUMMYFUNCTION("""COMPUTED_VALUE"""),0.117)</f>
        <v>0.117</v>
      </c>
      <c r="L342" s="19">
        <f>IFERROR(__xludf.DUMMYFUNCTION("""COMPUTED_VALUE"""),0.1404)</f>
        <v>0.1404</v>
      </c>
      <c r="M342" s="18">
        <f>IFERROR(__xludf.DUMMYFUNCTION("""COMPUTED_VALUE"""),1.98)</f>
        <v>1.98</v>
      </c>
    </row>
    <row r="343">
      <c r="A343" s="13" t="str">
        <f>IFERROR(__xludf.DUMMYFUNCTION("""COMPUTED_VALUE"""),"товари")</f>
        <v>товари</v>
      </c>
      <c r="B343" s="16" t="str">
        <f>IFERROR(__xludf.DUMMYFUNCTION("""COMPUTED_VALUE"""),"авто-, мото")</f>
        <v>авто-, мото</v>
      </c>
      <c r="C343" s="16" t="str">
        <f>IFERROR(__xludf.DUMMYFUNCTION("""COMPUTED_VALUE"""),"автозапчастини")</f>
        <v>автозапчастини</v>
      </c>
      <c r="D343" s="16" t="str">
        <f>IFERROR(__xludf.DUMMYFUNCTION("""COMPUTED_VALUE"""),"кривошипно-шатунний механізм (кшм)")</f>
        <v>кривошипно-шатунний механізм (кшм)</v>
      </c>
      <c r="E343" s="16" t="str">
        <f>IFERROR(__xludf.DUMMYFUNCTION("""COMPUTED_VALUE"""),"поршні")</f>
        <v>поршні</v>
      </c>
      <c r="F343" s="17">
        <f>IFERROR(__xludf.DUMMYFUNCTION("""COMPUTED_VALUE"""),4.0)</f>
        <v>4</v>
      </c>
      <c r="G343" s="17" t="str">
        <f>IFERROR(__xludf.DUMMYFUNCTION("""COMPUTED_VALUE"""),"12020401")</f>
        <v>12020401</v>
      </c>
      <c r="H343" s="17" t="str">
        <f>IFERROR(__xludf.DUMMYFUNCTION("""COMPUTED_VALUE"""),"поршні")</f>
        <v>поршні</v>
      </c>
      <c r="I343" s="19">
        <f>IFERROR(__xludf.DUMMYFUNCTION("""COMPUTED_VALUE"""),0.0468)</f>
        <v>0.0468</v>
      </c>
      <c r="J343" s="19">
        <f>IFERROR(__xludf.DUMMYFUNCTION("""COMPUTED_VALUE"""),0.0936)</f>
        <v>0.0936</v>
      </c>
      <c r="K343" s="19">
        <f>IFERROR(__xludf.DUMMYFUNCTION("""COMPUTED_VALUE"""),0.117)</f>
        <v>0.117</v>
      </c>
      <c r="L343" s="19">
        <f>IFERROR(__xludf.DUMMYFUNCTION("""COMPUTED_VALUE"""),0.1404)</f>
        <v>0.1404</v>
      </c>
      <c r="M343" s="18">
        <f>IFERROR(__xludf.DUMMYFUNCTION("""COMPUTED_VALUE"""),1.98)</f>
        <v>1.98</v>
      </c>
    </row>
    <row r="344">
      <c r="A344" s="13" t="str">
        <f>IFERROR(__xludf.DUMMYFUNCTION("""COMPUTED_VALUE"""),"товари")</f>
        <v>товари</v>
      </c>
      <c r="B344" s="16" t="str">
        <f>IFERROR(__xludf.DUMMYFUNCTION("""COMPUTED_VALUE"""),"авто-, мото")</f>
        <v>авто-, мото</v>
      </c>
      <c r="C344" s="16" t="str">
        <f>IFERROR(__xludf.DUMMYFUNCTION("""COMPUTED_VALUE"""),"автозапчастини")</f>
        <v>автозапчастини</v>
      </c>
      <c r="D344" s="16" t="str">
        <f>IFERROR(__xludf.DUMMYFUNCTION("""COMPUTED_VALUE"""),"система випуску відпрацьованих газів")</f>
        <v>система випуску відпрацьованих газів</v>
      </c>
      <c r="E344" s="16" t="str">
        <f>IFERROR(__xludf.DUMMYFUNCTION("""COMPUTED_VALUE"""),"прийомні труби глушника")</f>
        <v>прийомні труби глушника</v>
      </c>
      <c r="F344" s="17">
        <f>IFERROR(__xludf.DUMMYFUNCTION("""COMPUTED_VALUE"""),4.0)</f>
        <v>4</v>
      </c>
      <c r="G344" s="17" t="str">
        <f>IFERROR(__xludf.DUMMYFUNCTION("""COMPUTED_VALUE"""),"12021503")</f>
        <v>12021503</v>
      </c>
      <c r="H344" s="17" t="str">
        <f>IFERROR(__xludf.DUMMYFUNCTION("""COMPUTED_VALUE"""),"прийомні труби глушника")</f>
        <v>прийомні труби глушника</v>
      </c>
      <c r="I344" s="19">
        <f>IFERROR(__xludf.DUMMYFUNCTION("""COMPUTED_VALUE"""),0.0537)</f>
        <v>0.0537</v>
      </c>
      <c r="J344" s="19">
        <f>IFERROR(__xludf.DUMMYFUNCTION("""COMPUTED_VALUE"""),0.1074)</f>
        <v>0.1074</v>
      </c>
      <c r="K344" s="19">
        <f>IFERROR(__xludf.DUMMYFUNCTION("""COMPUTED_VALUE"""),0.1343)</f>
        <v>0.1343</v>
      </c>
      <c r="L344" s="19">
        <f>IFERROR(__xludf.DUMMYFUNCTION("""COMPUTED_VALUE"""),0.1611)</f>
        <v>0.1611</v>
      </c>
      <c r="M344" s="18">
        <f>IFERROR(__xludf.DUMMYFUNCTION("""COMPUTED_VALUE"""),1.53)</f>
        <v>1.53</v>
      </c>
    </row>
    <row r="345">
      <c r="A345" s="13" t="str">
        <f>IFERROR(__xludf.DUMMYFUNCTION("""COMPUTED_VALUE"""),"товари")</f>
        <v>товари</v>
      </c>
      <c r="B345" s="16" t="str">
        <f>IFERROR(__xludf.DUMMYFUNCTION("""COMPUTED_VALUE"""),"авто-, мото")</f>
        <v>авто-, мото</v>
      </c>
      <c r="C345" s="16" t="str">
        <f>IFERROR(__xludf.DUMMYFUNCTION("""COMPUTED_VALUE"""),"автохімія, автокосметика і автомастила")</f>
        <v>автохімія, автокосметика і автомастила</v>
      </c>
      <c r="D345" s="16" t="str">
        <f>IFERROR(__xludf.DUMMYFUNCTION("""COMPUTED_VALUE"""),"авто, мото масла, мастила та рідини")</f>
        <v>авто, мото масла, мастила та рідини</v>
      </c>
      <c r="E345" s="16" t="str">
        <f>IFERROR(__xludf.DUMMYFUNCTION("""COMPUTED_VALUE"""),"присадки в масла й змащення")</f>
        <v>присадки в масла й змащення</v>
      </c>
      <c r="F345" s="17">
        <f>IFERROR(__xludf.DUMMYFUNCTION("""COMPUTED_VALUE"""),4.0)</f>
        <v>4</v>
      </c>
      <c r="G345" s="17" t="str">
        <f>IFERROR(__xludf.DUMMYFUNCTION("""COMPUTED_VALUE"""),"341024")</f>
        <v>341024</v>
      </c>
      <c r="H345" s="17" t="str">
        <f>IFERROR(__xludf.DUMMYFUNCTION("""COMPUTED_VALUE"""),"присадки в масла й змащення")</f>
        <v>присадки в масла й змащення</v>
      </c>
      <c r="I345" s="19">
        <f>IFERROR(__xludf.DUMMYFUNCTION("""COMPUTED_VALUE"""),0.0767)</f>
        <v>0.0767</v>
      </c>
      <c r="J345" s="19">
        <f>IFERROR(__xludf.DUMMYFUNCTION("""COMPUTED_VALUE"""),0.1533)</f>
        <v>0.1533</v>
      </c>
      <c r="K345" s="19">
        <f>IFERROR(__xludf.DUMMYFUNCTION("""COMPUTED_VALUE"""),0.1916)</f>
        <v>0.1916</v>
      </c>
      <c r="L345" s="19">
        <f>IFERROR(__xludf.DUMMYFUNCTION("""COMPUTED_VALUE"""),0.23)</f>
        <v>0.23</v>
      </c>
      <c r="M345" s="18">
        <f>IFERROR(__xludf.DUMMYFUNCTION("""COMPUTED_VALUE"""),2.88)</f>
        <v>2.88</v>
      </c>
    </row>
    <row r="346">
      <c r="A346" s="13" t="str">
        <f>IFERROR(__xludf.DUMMYFUNCTION("""COMPUTED_VALUE"""),"товари")</f>
        <v>товари</v>
      </c>
      <c r="B346" s="16" t="str">
        <f>IFERROR(__xludf.DUMMYFUNCTION("""COMPUTED_VALUE"""),"авто-, мото")</f>
        <v>авто-, мото</v>
      </c>
      <c r="C346" s="16" t="str">
        <f>IFERROR(__xludf.DUMMYFUNCTION("""COMPUTED_VALUE"""),"аксесуари для авто")</f>
        <v>аксесуари для авто</v>
      </c>
      <c r="D346" s="16" t="str">
        <f>IFERROR(__xludf.DUMMYFUNCTION("""COMPUTED_VALUE"""),"пристрої для економії палива")</f>
        <v>пристрої для економії палива</v>
      </c>
      <c r="E346" s="16" t="str">
        <f>IFERROR(__xludf.DUMMYFUNCTION("""COMPUTED_VALUE"""),"пристрої для економії палива")</f>
        <v>пристрої для економії палива</v>
      </c>
      <c r="F346" s="17">
        <f>IFERROR(__xludf.DUMMYFUNCTION("""COMPUTED_VALUE"""),3.0)</f>
        <v>3</v>
      </c>
      <c r="G346" s="17" t="str">
        <f>IFERROR(__xludf.DUMMYFUNCTION("""COMPUTED_VALUE"""),"121244")</f>
        <v>121244</v>
      </c>
      <c r="H346" s="17" t="str">
        <f>IFERROR(__xludf.DUMMYFUNCTION("""COMPUTED_VALUE"""),"пристрої для економії палива")</f>
        <v>пристрої для економії палива</v>
      </c>
      <c r="I346" s="19">
        <f>IFERROR(__xludf.DUMMYFUNCTION("""COMPUTED_VALUE"""),0.077)</f>
        <v>0.077</v>
      </c>
      <c r="J346" s="19">
        <f>IFERROR(__xludf.DUMMYFUNCTION("""COMPUTED_VALUE"""),0.154)</f>
        <v>0.154</v>
      </c>
      <c r="K346" s="19">
        <f>IFERROR(__xludf.DUMMYFUNCTION("""COMPUTED_VALUE"""),0.1925)</f>
        <v>0.1925</v>
      </c>
      <c r="L346" s="19">
        <f>IFERROR(__xludf.DUMMYFUNCTION("""COMPUTED_VALUE"""),0.231)</f>
        <v>0.231</v>
      </c>
      <c r="M346" s="18">
        <f>IFERROR(__xludf.DUMMYFUNCTION("""COMPUTED_VALUE"""),1.26)</f>
        <v>1.26</v>
      </c>
    </row>
    <row r="347">
      <c r="A347" s="13" t="str">
        <f>IFERROR(__xludf.DUMMYFUNCTION("""COMPUTED_VALUE"""),"товари")</f>
        <v>товари</v>
      </c>
      <c r="B347" s="16" t="str">
        <f>IFERROR(__xludf.DUMMYFUNCTION("""COMPUTED_VALUE"""),"авто-, мото")</f>
        <v>авто-, мото</v>
      </c>
      <c r="C347" s="16" t="str">
        <f>IFERROR(__xludf.DUMMYFUNCTION("""COMPUTED_VALUE"""),"аксесуари для авто")</f>
        <v>аксесуари для авто</v>
      </c>
      <c r="D347" s="16" t="str">
        <f>IFERROR(__xludf.DUMMYFUNCTION("""COMPUTED_VALUE"""),"засоби аварійної безпеки")</f>
        <v>засоби аварійної безпеки</v>
      </c>
      <c r="E347" s="16" t="str">
        <f>IFERROR(__xludf.DUMMYFUNCTION("""COMPUTED_VALUE"""),"проблискові маячки, спецсигнали та сирени")</f>
        <v>проблискові маячки, спецсигнали та сирени</v>
      </c>
      <c r="F347" s="17">
        <f>IFERROR(__xludf.DUMMYFUNCTION("""COMPUTED_VALUE"""),4.0)</f>
        <v>4</v>
      </c>
      <c r="G347" s="17" t="str">
        <f>IFERROR(__xludf.DUMMYFUNCTION("""COMPUTED_VALUE"""),"300402")</f>
        <v>300402</v>
      </c>
      <c r="H347" s="17" t="str">
        <f>IFERROR(__xludf.DUMMYFUNCTION("""COMPUTED_VALUE"""),"проблискові маячки, спецсигнали та сирени")</f>
        <v>проблискові маячки, спецсигнали та сирени</v>
      </c>
      <c r="I347" s="19">
        <f>IFERROR(__xludf.DUMMYFUNCTION("""COMPUTED_VALUE"""),0.0712)</f>
        <v>0.0712</v>
      </c>
      <c r="J347" s="19">
        <f>IFERROR(__xludf.DUMMYFUNCTION("""COMPUTED_VALUE"""),0.1423)</f>
        <v>0.1423</v>
      </c>
      <c r="K347" s="19">
        <f>IFERROR(__xludf.DUMMYFUNCTION("""COMPUTED_VALUE"""),0.1779)</f>
        <v>0.1779</v>
      </c>
      <c r="L347" s="19">
        <f>IFERROR(__xludf.DUMMYFUNCTION("""COMPUTED_VALUE"""),0.2135)</f>
        <v>0.2135</v>
      </c>
      <c r="M347" s="18">
        <f>IFERROR(__xludf.DUMMYFUNCTION("""COMPUTED_VALUE"""),1.71)</f>
        <v>1.71</v>
      </c>
    </row>
    <row r="348">
      <c r="A348" s="13" t="str">
        <f>IFERROR(__xludf.DUMMYFUNCTION("""COMPUTED_VALUE"""),"товари")</f>
        <v>товари</v>
      </c>
      <c r="B348" s="16" t="str">
        <f>IFERROR(__xludf.DUMMYFUNCTION("""COMPUTED_VALUE"""),"авто-, мото")</f>
        <v>авто-, мото</v>
      </c>
      <c r="C348" s="16" t="str">
        <f>IFERROR(__xludf.DUMMYFUNCTION("""COMPUTED_VALUE"""),"автозапчастини")</f>
        <v>автозапчастини</v>
      </c>
      <c r="D348" s="16" t="str">
        <f>IFERROR(__xludf.DUMMYFUNCTION("""COMPUTED_VALUE"""),"двигуни і деталі двигуна")</f>
        <v>двигуни і деталі двигуна</v>
      </c>
      <c r="E348" s="16" t="str">
        <f>IFERROR(__xludf.DUMMYFUNCTION("""COMPUTED_VALUE"""),"прокладки для техніки")</f>
        <v>прокладки для техніки</v>
      </c>
      <c r="F348" s="17">
        <f>IFERROR(__xludf.DUMMYFUNCTION("""COMPUTED_VALUE"""),4.0)</f>
        <v>4</v>
      </c>
      <c r="G348" s="17" t="str">
        <f>IFERROR(__xludf.DUMMYFUNCTION("""COMPUTED_VALUE"""),"12020404")</f>
        <v>12020404</v>
      </c>
      <c r="H348" s="17" t="str">
        <f>IFERROR(__xludf.DUMMYFUNCTION("""COMPUTED_VALUE"""),"прокладки для техніки")</f>
        <v>прокладки для техніки</v>
      </c>
      <c r="I348" s="19">
        <f>IFERROR(__xludf.DUMMYFUNCTION("""COMPUTED_VALUE"""),0.0542)</f>
        <v>0.0542</v>
      </c>
      <c r="J348" s="19">
        <f>IFERROR(__xludf.DUMMYFUNCTION("""COMPUTED_VALUE"""),0.1084)</f>
        <v>0.1084</v>
      </c>
      <c r="K348" s="19">
        <f>IFERROR(__xludf.DUMMYFUNCTION("""COMPUTED_VALUE"""),0.1355)</f>
        <v>0.1355</v>
      </c>
      <c r="L348" s="19">
        <f>IFERROR(__xludf.DUMMYFUNCTION("""COMPUTED_VALUE"""),0.1626)</f>
        <v>0.1626</v>
      </c>
      <c r="M348" s="18">
        <f>IFERROR(__xludf.DUMMYFUNCTION("""COMPUTED_VALUE"""),1.53)</f>
        <v>1.53</v>
      </c>
    </row>
    <row r="349">
      <c r="A349" s="13" t="str">
        <f>IFERROR(__xludf.DUMMYFUNCTION("""COMPUTED_VALUE"""),"товари")</f>
        <v>товари</v>
      </c>
      <c r="B349" s="16" t="str">
        <f>IFERROR(__xludf.DUMMYFUNCTION("""COMPUTED_VALUE"""),"авто-, мото")</f>
        <v>авто-, мото</v>
      </c>
      <c r="C349" s="16" t="str">
        <f>IFERROR(__xludf.DUMMYFUNCTION("""COMPUTED_VALUE"""),"мототехніка")</f>
        <v>мототехніка</v>
      </c>
      <c r="D349" s="16" t="str">
        <f>IFERROR(__xludf.DUMMYFUNCTION("""COMPUTED_VALUE"""),"запчастини для мототехніки")</f>
        <v>запчастини для мототехніки</v>
      </c>
      <c r="E349" s="16" t="str">
        <f>IFERROR(__xludf.DUMMYFUNCTION("""COMPUTED_VALUE"""),"деталі двигуна для мототехніки")</f>
        <v>деталі двигуна для мототехніки</v>
      </c>
      <c r="F349" s="17">
        <f>IFERROR(__xludf.DUMMYFUNCTION("""COMPUTED_VALUE"""),5.0)</f>
        <v>5</v>
      </c>
      <c r="G349" s="17">
        <f>IFERROR(__xludf.DUMMYFUNCTION("""COMPUTED_VALUE"""),340629.0)</f>
        <v>340629</v>
      </c>
      <c r="H349" s="17" t="str">
        <f>IFERROR(__xludf.DUMMYFUNCTION("""COMPUTED_VALUE"""),"прокладки та сальники для мототехніки")</f>
        <v>прокладки та сальники для мототехніки</v>
      </c>
      <c r="I349" s="19">
        <f>IFERROR(__xludf.DUMMYFUNCTION("""COMPUTED_VALUE"""),0.0555)</f>
        <v>0.0555</v>
      </c>
      <c r="J349" s="19">
        <f>IFERROR(__xludf.DUMMYFUNCTION("""COMPUTED_VALUE"""),0.111)</f>
        <v>0.111</v>
      </c>
      <c r="K349" s="19">
        <f>IFERROR(__xludf.DUMMYFUNCTION("""COMPUTED_VALUE"""),0.1388)</f>
        <v>0.1388</v>
      </c>
      <c r="L349" s="19">
        <f>IFERROR(__xludf.DUMMYFUNCTION("""COMPUTED_VALUE"""),0.1665)</f>
        <v>0.1665</v>
      </c>
      <c r="M349" s="18">
        <f>IFERROR(__xludf.DUMMYFUNCTION("""COMPUTED_VALUE"""),1.98)</f>
        <v>1.98</v>
      </c>
    </row>
    <row r="350">
      <c r="A350" s="13" t="str">
        <f>IFERROR(__xludf.DUMMYFUNCTION("""COMPUTED_VALUE"""),"товари")</f>
        <v>товари</v>
      </c>
      <c r="B350" s="16" t="str">
        <f>IFERROR(__xludf.DUMMYFUNCTION("""COMPUTED_VALUE"""),"авто-, мото")</f>
        <v>авто-, мото</v>
      </c>
      <c r="C350" s="16" t="str">
        <f>IFERROR(__xludf.DUMMYFUNCTION("""COMPUTED_VALUE"""),"автохімія, автокосметика і автомастила")</f>
        <v>автохімія, автокосметика і автомастила</v>
      </c>
      <c r="D350" s="16" t="str">
        <f>IFERROR(__xludf.DUMMYFUNCTION("""COMPUTED_VALUE"""),"авто, мото масла, мастила та рідини")</f>
        <v>авто, мото масла, мастила та рідини</v>
      </c>
      <c r="E350" s="16" t="str">
        <f>IFERROR(__xludf.DUMMYFUNCTION("""COMPUTED_VALUE"""),"промивні рідини для авто, мото техніки")</f>
        <v>промивні рідини для авто, мото техніки</v>
      </c>
      <c r="F350" s="17">
        <f>IFERROR(__xludf.DUMMYFUNCTION("""COMPUTED_VALUE"""),4.0)</f>
        <v>4</v>
      </c>
      <c r="G350" s="17" t="str">
        <f>IFERROR(__xludf.DUMMYFUNCTION("""COMPUTED_VALUE"""),"341021")</f>
        <v>341021</v>
      </c>
      <c r="H350" s="17" t="str">
        <f>IFERROR(__xludf.DUMMYFUNCTION("""COMPUTED_VALUE"""),"промивні рідини для авто, мото техніки")</f>
        <v>промивні рідини для авто, мото техніки</v>
      </c>
      <c r="I350" s="19">
        <f>IFERROR(__xludf.DUMMYFUNCTION("""COMPUTED_VALUE"""),0.077)</f>
        <v>0.077</v>
      </c>
      <c r="J350" s="19">
        <f>IFERROR(__xludf.DUMMYFUNCTION("""COMPUTED_VALUE"""),0.1539)</f>
        <v>0.1539</v>
      </c>
      <c r="K350" s="19">
        <f>IFERROR(__xludf.DUMMYFUNCTION("""COMPUTED_VALUE"""),0.1924)</f>
        <v>0.1924</v>
      </c>
      <c r="L350" s="19">
        <f>IFERROR(__xludf.DUMMYFUNCTION("""COMPUTED_VALUE"""),0.2309)</f>
        <v>0.2309</v>
      </c>
      <c r="M350" s="18">
        <f>IFERROR(__xludf.DUMMYFUNCTION("""COMPUTED_VALUE"""),2.88)</f>
        <v>2.88</v>
      </c>
    </row>
    <row r="351">
      <c r="A351" s="13" t="str">
        <f>IFERROR(__xludf.DUMMYFUNCTION("""COMPUTED_VALUE"""),"товари")</f>
        <v>товари</v>
      </c>
      <c r="B351" s="16" t="str">
        <f>IFERROR(__xludf.DUMMYFUNCTION("""COMPUTED_VALUE"""),"авто-, мото")</f>
        <v>авто-, мото</v>
      </c>
      <c r="C351" s="16" t="str">
        <f>IFERROR(__xludf.DUMMYFUNCTION("""COMPUTED_VALUE"""),"додаткове обладнання")</f>
        <v>додаткове обладнання</v>
      </c>
      <c r="D351" s="16" t="str">
        <f>IFERROR(__xludf.DUMMYFUNCTION("""COMPUTED_VALUE"""),"проставки для збільшення кліренсу")</f>
        <v>проставки для збільшення кліренсу</v>
      </c>
      <c r="E351" s="16" t="str">
        <f>IFERROR(__xludf.DUMMYFUNCTION("""COMPUTED_VALUE"""),"проставки для збільшення кліренсу")</f>
        <v>проставки для збільшення кліренсу</v>
      </c>
      <c r="F351" s="17">
        <f>IFERROR(__xludf.DUMMYFUNCTION("""COMPUTED_VALUE"""),3.0)</f>
        <v>3</v>
      </c>
      <c r="G351" s="17" t="str">
        <f>IFERROR(__xludf.DUMMYFUNCTION("""COMPUTED_VALUE"""),"342604")</f>
        <v>342604</v>
      </c>
      <c r="H351" s="17" t="str">
        <f>IFERROR(__xludf.DUMMYFUNCTION("""COMPUTED_VALUE"""),"проставки для збільшення кліренсу")</f>
        <v>проставки для збільшення кліренсу</v>
      </c>
      <c r="I351" s="19">
        <f>IFERROR(__xludf.DUMMYFUNCTION("""COMPUTED_VALUE"""),0.0535)</f>
        <v>0.0535</v>
      </c>
      <c r="J351" s="19">
        <f>IFERROR(__xludf.DUMMYFUNCTION("""COMPUTED_VALUE"""),0.107)</f>
        <v>0.107</v>
      </c>
      <c r="K351" s="19">
        <f>IFERROR(__xludf.DUMMYFUNCTION("""COMPUTED_VALUE"""),0.1338)</f>
        <v>0.1338</v>
      </c>
      <c r="L351" s="19">
        <f>IFERROR(__xludf.DUMMYFUNCTION("""COMPUTED_VALUE"""),0.1605)</f>
        <v>0.1605</v>
      </c>
      <c r="M351" s="18">
        <f>IFERROR(__xludf.DUMMYFUNCTION("""COMPUTED_VALUE"""),1.53)</f>
        <v>1.53</v>
      </c>
    </row>
    <row r="352">
      <c r="A352" s="13" t="str">
        <f>IFERROR(__xludf.DUMMYFUNCTION("""COMPUTED_VALUE"""),"товари")</f>
        <v>товари</v>
      </c>
      <c r="B352" s="16" t="str">
        <f>IFERROR(__xludf.DUMMYFUNCTION("""COMPUTED_VALUE"""),"авто-, мото")</f>
        <v>авто-, мото</v>
      </c>
      <c r="C352" s="16" t="str">
        <f>IFERROR(__xludf.DUMMYFUNCTION("""COMPUTED_VALUE"""),"диски і шини")</f>
        <v>диски і шини</v>
      </c>
      <c r="D352" s="16" t="str">
        <f>IFERROR(__xludf.DUMMYFUNCTION("""COMPUTED_VALUE"""),"проставки, центрувальні кільця для дисків")</f>
        <v>проставки, центрувальні кільця для дисків</v>
      </c>
      <c r="E352" s="16" t="str">
        <f>IFERROR(__xludf.DUMMYFUNCTION("""COMPUTED_VALUE"""),"проставки, центрувальні кільця для дисків")</f>
        <v>проставки, центрувальні кільця для дисків</v>
      </c>
      <c r="F352" s="17">
        <f>IFERROR(__xludf.DUMMYFUNCTION("""COMPUTED_VALUE"""),3.0)</f>
        <v>3</v>
      </c>
      <c r="G352" s="17" t="str">
        <f>IFERROR(__xludf.DUMMYFUNCTION("""COMPUTED_VALUE"""),"801224")</f>
        <v>801224</v>
      </c>
      <c r="H352" s="17" t="str">
        <f>IFERROR(__xludf.DUMMYFUNCTION("""COMPUTED_VALUE"""),"проставки, центрувальні кільця для дисків")</f>
        <v>проставки, центрувальні кільця для дисків</v>
      </c>
      <c r="I352" s="19">
        <f>IFERROR(__xludf.DUMMYFUNCTION("""COMPUTED_VALUE"""),0.0565)</f>
        <v>0.0565</v>
      </c>
      <c r="J352" s="19">
        <f>IFERROR(__xludf.DUMMYFUNCTION("""COMPUTED_VALUE"""),0.113)</f>
        <v>0.113</v>
      </c>
      <c r="K352" s="19">
        <f>IFERROR(__xludf.DUMMYFUNCTION("""COMPUTED_VALUE"""),0.1413)</f>
        <v>0.1413</v>
      </c>
      <c r="L352" s="19">
        <f>IFERROR(__xludf.DUMMYFUNCTION("""COMPUTED_VALUE"""),0.1695)</f>
        <v>0.1695</v>
      </c>
      <c r="M352" s="18">
        <f>IFERROR(__xludf.DUMMYFUNCTION("""COMPUTED_VALUE"""),1.44)</f>
        <v>1.44</v>
      </c>
    </row>
    <row r="353">
      <c r="A353" s="13" t="str">
        <f>IFERROR(__xludf.DUMMYFUNCTION("""COMPUTED_VALUE"""),"товари")</f>
        <v>товари</v>
      </c>
      <c r="B353" s="16" t="str">
        <f>IFERROR(__xludf.DUMMYFUNCTION("""COMPUTED_VALUE"""),"авто-, мото")</f>
        <v>авто-, мото</v>
      </c>
      <c r="C353" s="16" t="str">
        <f>IFERROR(__xludf.DUMMYFUNCTION("""COMPUTED_VALUE"""),"автозапчастини")</f>
        <v>автозапчастини</v>
      </c>
      <c r="D353" s="16" t="str">
        <f>IFERROR(__xludf.DUMMYFUNCTION("""COMPUTED_VALUE"""),"деталі ходової")</f>
        <v>деталі ходової</v>
      </c>
      <c r="E353" s="16" t="str">
        <f>IFERROR(__xludf.DUMMYFUNCTION("""COMPUTED_VALUE"""),"пружини, ресори для техніки")</f>
        <v>пружини, ресори для техніки</v>
      </c>
      <c r="F353" s="17">
        <f>IFERROR(__xludf.DUMMYFUNCTION("""COMPUTED_VALUE"""),4.0)</f>
        <v>4</v>
      </c>
      <c r="G353" s="17" t="str">
        <f>IFERROR(__xludf.DUMMYFUNCTION("""COMPUTED_VALUE"""),"341599")</f>
        <v>341599</v>
      </c>
      <c r="H353" s="17" t="str">
        <f>IFERROR(__xludf.DUMMYFUNCTION("""COMPUTED_VALUE"""),"пружини, ресори для техніки")</f>
        <v>пружини, ресори для техніки</v>
      </c>
      <c r="I353" s="19">
        <f>IFERROR(__xludf.DUMMYFUNCTION("""COMPUTED_VALUE"""),0.0552)</f>
        <v>0.0552</v>
      </c>
      <c r="J353" s="19">
        <f>IFERROR(__xludf.DUMMYFUNCTION("""COMPUTED_VALUE"""),0.1103)</f>
        <v>0.1103</v>
      </c>
      <c r="K353" s="19">
        <f>IFERROR(__xludf.DUMMYFUNCTION("""COMPUTED_VALUE"""),0.1379)</f>
        <v>0.1379</v>
      </c>
      <c r="L353" s="19">
        <f>IFERROR(__xludf.DUMMYFUNCTION("""COMPUTED_VALUE"""),0.1655)</f>
        <v>0.1655</v>
      </c>
      <c r="M353" s="18">
        <f>IFERROR(__xludf.DUMMYFUNCTION("""COMPUTED_VALUE"""),1.53)</f>
        <v>1.53</v>
      </c>
    </row>
    <row r="354">
      <c r="A354" s="13" t="str">
        <f>IFERROR(__xludf.DUMMYFUNCTION("""COMPUTED_VALUE"""),"товари")</f>
        <v>товари</v>
      </c>
      <c r="B354" s="16" t="str">
        <f>IFERROR(__xludf.DUMMYFUNCTION("""COMPUTED_VALUE"""),"авто-, мото")</f>
        <v>авто-, мото</v>
      </c>
      <c r="C354" s="16" t="str">
        <f>IFERROR(__xludf.DUMMYFUNCTION("""COMPUTED_VALUE"""),"автозапчастини")</f>
        <v>автозапчастини</v>
      </c>
      <c r="D354" s="16" t="str">
        <f>IFERROR(__xludf.DUMMYFUNCTION("""COMPUTED_VALUE"""),"система охолодження двигуна")</f>
        <v>система охолодження двигуна</v>
      </c>
      <c r="E354" s="16" t="str">
        <f>IFERROR(__xludf.DUMMYFUNCTION("""COMPUTED_VALUE"""),"радіатори автомобільні")</f>
        <v>радіатори автомобільні</v>
      </c>
      <c r="F354" s="17">
        <f>IFERROR(__xludf.DUMMYFUNCTION("""COMPUTED_VALUE"""),4.0)</f>
        <v>4</v>
      </c>
      <c r="G354" s="17" t="str">
        <f>IFERROR(__xludf.DUMMYFUNCTION("""COMPUTED_VALUE"""),"120218")</f>
        <v>120218</v>
      </c>
      <c r="H354" s="17" t="str">
        <f>IFERROR(__xludf.DUMMYFUNCTION("""COMPUTED_VALUE"""),"радіатори автомобільні")</f>
        <v>радіатори автомобільні</v>
      </c>
      <c r="I354" s="19">
        <f>IFERROR(__xludf.DUMMYFUNCTION("""COMPUTED_VALUE"""),0.0521)</f>
        <v>0.0521</v>
      </c>
      <c r="J354" s="19">
        <f>IFERROR(__xludf.DUMMYFUNCTION("""COMPUTED_VALUE"""),0.1042)</f>
        <v>0.1042</v>
      </c>
      <c r="K354" s="19">
        <f>IFERROR(__xludf.DUMMYFUNCTION("""COMPUTED_VALUE"""),0.1303)</f>
        <v>0.1303</v>
      </c>
      <c r="L354" s="19">
        <f>IFERROR(__xludf.DUMMYFUNCTION("""COMPUTED_VALUE"""),0.1563)</f>
        <v>0.1563</v>
      </c>
      <c r="M354" s="18">
        <f>IFERROR(__xludf.DUMMYFUNCTION("""COMPUTED_VALUE"""),2.08)</f>
        <v>2.08</v>
      </c>
    </row>
    <row r="355">
      <c r="A355" s="13" t="str">
        <f>IFERROR(__xludf.DUMMYFUNCTION("""COMPUTED_VALUE"""),"товари")</f>
        <v>товари</v>
      </c>
      <c r="B355" s="16" t="str">
        <f>IFERROR(__xludf.DUMMYFUNCTION("""COMPUTED_VALUE"""),"авто-, мото")</f>
        <v>авто-, мото</v>
      </c>
      <c r="C355" s="16" t="str">
        <f>IFERROR(__xludf.DUMMYFUNCTION("""COMPUTED_VALUE"""),"аксесуари для авто")</f>
        <v>аксесуари для авто</v>
      </c>
      <c r="D355" s="16" t="str">
        <f>IFERROR(__xludf.DUMMYFUNCTION("""COMPUTED_VALUE"""),"аксесуари для кузова автомобіля")</f>
        <v>аксесуари для кузова автомобіля</v>
      </c>
      <c r="E355" s="16" t="str">
        <f>IFERROR(__xludf.DUMMYFUNCTION("""COMPUTED_VALUE"""),"рамки для номерних знаків")</f>
        <v>рамки для номерних знаків</v>
      </c>
      <c r="F355" s="17">
        <f>IFERROR(__xludf.DUMMYFUNCTION("""COMPUTED_VALUE"""),4.0)</f>
        <v>4</v>
      </c>
      <c r="G355" s="17" t="str">
        <f>IFERROR(__xludf.DUMMYFUNCTION("""COMPUTED_VALUE"""),"121230")</f>
        <v>121230</v>
      </c>
      <c r="H355" s="17" t="str">
        <f>IFERROR(__xludf.DUMMYFUNCTION("""COMPUTED_VALUE"""),"рамки для номерних знаків")</f>
        <v>рамки для номерних знаків</v>
      </c>
      <c r="I355" s="19">
        <f>IFERROR(__xludf.DUMMYFUNCTION("""COMPUTED_VALUE"""),0.075)</f>
        <v>0.075</v>
      </c>
      <c r="J355" s="19">
        <f>IFERROR(__xludf.DUMMYFUNCTION("""COMPUTED_VALUE"""),0.1499)</f>
        <v>0.1499</v>
      </c>
      <c r="K355" s="19">
        <f>IFERROR(__xludf.DUMMYFUNCTION("""COMPUTED_VALUE"""),0.1874)</f>
        <v>0.1874</v>
      </c>
      <c r="L355" s="19">
        <f>IFERROR(__xludf.DUMMYFUNCTION("""COMPUTED_VALUE"""),0.2249)</f>
        <v>0.2249</v>
      </c>
      <c r="M355" s="18">
        <f>IFERROR(__xludf.DUMMYFUNCTION("""COMPUTED_VALUE"""),1.63)</f>
        <v>1.63</v>
      </c>
    </row>
    <row r="356">
      <c r="A356" s="13" t="str">
        <f>IFERROR(__xludf.DUMMYFUNCTION("""COMPUTED_VALUE"""),"товари")</f>
        <v>товари</v>
      </c>
      <c r="B356" s="16" t="str">
        <f>IFERROR(__xludf.DUMMYFUNCTION("""COMPUTED_VALUE"""),"авто-, мото")</f>
        <v>авто-, мото</v>
      </c>
      <c r="C356" s="16" t="str">
        <f>IFERROR(__xludf.DUMMYFUNCTION("""COMPUTED_VALUE"""),"автозапчастини")</f>
        <v>автозапчастини</v>
      </c>
      <c r="D356" s="16" t="str">
        <f>IFERROR(__xludf.DUMMYFUNCTION("""COMPUTED_VALUE"""),"система живлення двигуна")</f>
        <v>система живлення двигуна</v>
      </c>
      <c r="E356" s="16" t="str">
        <f>IFERROR(__xludf.DUMMYFUNCTION("""COMPUTED_VALUE"""),"регулятори тиску палива")</f>
        <v>регулятори тиску палива</v>
      </c>
      <c r="F356" s="17">
        <f>IFERROR(__xludf.DUMMYFUNCTION("""COMPUTED_VALUE"""),4.0)</f>
        <v>4</v>
      </c>
      <c r="G356" s="17" t="str">
        <f>IFERROR(__xludf.DUMMYFUNCTION("""COMPUTED_VALUE"""),"341579")</f>
        <v>341579</v>
      </c>
      <c r="H356" s="17" t="str">
        <f>IFERROR(__xludf.DUMMYFUNCTION("""COMPUTED_VALUE"""),"регулятори тиску палива")</f>
        <v>регулятори тиску палива</v>
      </c>
      <c r="I356" s="19">
        <f>IFERROR(__xludf.DUMMYFUNCTION("""COMPUTED_VALUE"""),0.053)</f>
        <v>0.053</v>
      </c>
      <c r="J356" s="19">
        <f>IFERROR(__xludf.DUMMYFUNCTION("""COMPUTED_VALUE"""),0.1059)</f>
        <v>0.1059</v>
      </c>
      <c r="K356" s="19">
        <f>IFERROR(__xludf.DUMMYFUNCTION("""COMPUTED_VALUE"""),0.1324)</f>
        <v>0.1324</v>
      </c>
      <c r="L356" s="19">
        <f>IFERROR(__xludf.DUMMYFUNCTION("""COMPUTED_VALUE"""),0.1589)</f>
        <v>0.1589</v>
      </c>
      <c r="M356" s="18">
        <f>IFERROR(__xludf.DUMMYFUNCTION("""COMPUTED_VALUE"""),1.53)</f>
        <v>1.53</v>
      </c>
    </row>
    <row r="357">
      <c r="A357" s="13" t="str">
        <f>IFERROR(__xludf.DUMMYFUNCTION("""COMPUTED_VALUE"""),"товари")</f>
        <v>товари</v>
      </c>
      <c r="B357" s="16" t="str">
        <f>IFERROR(__xludf.DUMMYFUNCTION("""COMPUTED_VALUE"""),"авто-, мото")</f>
        <v>авто-, мото</v>
      </c>
      <c r="C357" s="16" t="str">
        <f>IFERROR(__xludf.DUMMYFUNCTION("""COMPUTED_VALUE"""),"автозапчастини")</f>
        <v>автозапчастини</v>
      </c>
      <c r="D357" s="16" t="str">
        <f>IFERROR(__xludf.DUMMYFUNCTION("""COMPUTED_VALUE"""),"деталі мостів і приводу трансмісії")</f>
        <v>деталі мостів і приводу трансмісії</v>
      </c>
      <c r="E357" s="16" t="str">
        <f>IFERROR(__xludf.DUMMYFUNCTION("""COMPUTED_VALUE"""),"редуктори мостів")</f>
        <v>редуктори мостів</v>
      </c>
      <c r="F357" s="17">
        <f>IFERROR(__xludf.DUMMYFUNCTION("""COMPUTED_VALUE"""),4.0)</f>
        <v>4</v>
      </c>
      <c r="G357" s="17" t="str">
        <f>IFERROR(__xludf.DUMMYFUNCTION("""COMPUTED_VALUE"""),"12023818")</f>
        <v>12023818</v>
      </c>
      <c r="H357" s="17" t="str">
        <f>IFERROR(__xludf.DUMMYFUNCTION("""COMPUTED_VALUE"""),"редуктори мостів")</f>
        <v>редуктори мостів</v>
      </c>
      <c r="I357" s="19">
        <f>IFERROR(__xludf.DUMMYFUNCTION("""COMPUTED_VALUE"""),0.0421)</f>
        <v>0.0421</v>
      </c>
      <c r="J357" s="19">
        <f>IFERROR(__xludf.DUMMYFUNCTION("""COMPUTED_VALUE"""),0.0842)</f>
        <v>0.0842</v>
      </c>
      <c r="K357" s="19">
        <f>IFERROR(__xludf.DUMMYFUNCTION("""COMPUTED_VALUE"""),0.1053)</f>
        <v>0.1053</v>
      </c>
      <c r="L357" s="19">
        <f>IFERROR(__xludf.DUMMYFUNCTION("""COMPUTED_VALUE"""),0.1263)</f>
        <v>0.1263</v>
      </c>
      <c r="M357" s="18">
        <f>IFERROR(__xludf.DUMMYFUNCTION("""COMPUTED_VALUE"""),1.71)</f>
        <v>1.71</v>
      </c>
    </row>
    <row r="358">
      <c r="A358" s="13" t="str">
        <f>IFERROR(__xludf.DUMMYFUNCTION("""COMPUTED_VALUE"""),"товари")</f>
        <v>товари</v>
      </c>
      <c r="B358" s="16" t="str">
        <f>IFERROR(__xludf.DUMMYFUNCTION("""COMPUTED_VALUE"""),"авто-, мото")</f>
        <v>авто-, мото</v>
      </c>
      <c r="C358" s="16" t="str">
        <f>IFERROR(__xludf.DUMMYFUNCTION("""COMPUTED_VALUE"""),"автозапчастини")</f>
        <v>автозапчастини</v>
      </c>
      <c r="D358" s="16" t="str">
        <f>IFERROR(__xludf.DUMMYFUNCTION("""COMPUTED_VALUE"""),"система випуску відпрацьованих газів")</f>
        <v>система випуску відпрацьованих газів</v>
      </c>
      <c r="E358" s="16" t="str">
        <f>IFERROR(__xludf.DUMMYFUNCTION("""COMPUTED_VALUE"""),"резонатори")</f>
        <v>резонатори</v>
      </c>
      <c r="F358" s="17">
        <f>IFERROR(__xludf.DUMMYFUNCTION("""COMPUTED_VALUE"""),4.0)</f>
        <v>4</v>
      </c>
      <c r="G358" s="17" t="str">
        <f>IFERROR(__xludf.DUMMYFUNCTION("""COMPUTED_VALUE"""),"12021505")</f>
        <v>12021505</v>
      </c>
      <c r="H358" s="17" t="str">
        <f>IFERROR(__xludf.DUMMYFUNCTION("""COMPUTED_VALUE"""),"резонатори")</f>
        <v>резонатори</v>
      </c>
      <c r="I358" s="19">
        <f>IFERROR(__xludf.DUMMYFUNCTION("""COMPUTED_VALUE"""),0.0537)</f>
        <v>0.0537</v>
      </c>
      <c r="J358" s="19">
        <f>IFERROR(__xludf.DUMMYFUNCTION("""COMPUTED_VALUE"""),0.1074)</f>
        <v>0.1074</v>
      </c>
      <c r="K358" s="19">
        <f>IFERROR(__xludf.DUMMYFUNCTION("""COMPUTED_VALUE"""),0.1343)</f>
        <v>0.1343</v>
      </c>
      <c r="L358" s="19">
        <f>IFERROR(__xludf.DUMMYFUNCTION("""COMPUTED_VALUE"""),0.1611)</f>
        <v>0.1611</v>
      </c>
      <c r="M358" s="18">
        <f>IFERROR(__xludf.DUMMYFUNCTION("""COMPUTED_VALUE"""),1.53)</f>
        <v>1.53</v>
      </c>
    </row>
    <row r="359">
      <c r="A359" s="13" t="str">
        <f>IFERROR(__xludf.DUMMYFUNCTION("""COMPUTED_VALUE"""),"товари")</f>
        <v>товари</v>
      </c>
      <c r="B359" s="16" t="str">
        <f>IFERROR(__xludf.DUMMYFUNCTION("""COMPUTED_VALUE"""),"авто-, мото")</f>
        <v>авто-, мото</v>
      </c>
      <c r="C359" s="16" t="str">
        <f>IFERROR(__xludf.DUMMYFUNCTION("""COMPUTED_VALUE"""),"автозапчастини")</f>
        <v>автозапчастини</v>
      </c>
      <c r="D359" s="16" t="str">
        <f>IFERROR(__xludf.DUMMYFUNCTION("""COMPUTED_VALUE"""),"двигуни і деталі двигуна")</f>
        <v>двигуни і деталі двигуна</v>
      </c>
      <c r="E359" s="16" t="str">
        <f>IFERROR(__xludf.DUMMYFUNCTION("""COMPUTED_VALUE"""),"ремені вариаторні")</f>
        <v>ремені вариаторні</v>
      </c>
      <c r="F359" s="17">
        <f>IFERROR(__xludf.DUMMYFUNCTION("""COMPUTED_VALUE"""),4.0)</f>
        <v>4</v>
      </c>
      <c r="G359" s="17" t="str">
        <f>IFERROR(__xludf.DUMMYFUNCTION("""COMPUTED_VALUE"""),"34160104")</f>
        <v>34160104</v>
      </c>
      <c r="H359" s="17" t="str">
        <f>IFERROR(__xludf.DUMMYFUNCTION("""COMPUTED_VALUE"""),"ремені вариаторні")</f>
        <v>ремені вариаторні</v>
      </c>
      <c r="I359" s="19">
        <f>IFERROR(__xludf.DUMMYFUNCTION("""COMPUTED_VALUE"""),0.0661)</f>
        <v>0.0661</v>
      </c>
      <c r="J359" s="19">
        <f>IFERROR(__xludf.DUMMYFUNCTION("""COMPUTED_VALUE"""),0.1322)</f>
        <v>0.1322</v>
      </c>
      <c r="K359" s="19">
        <f>IFERROR(__xludf.DUMMYFUNCTION("""COMPUTED_VALUE"""),0.1653)</f>
        <v>0.1653</v>
      </c>
      <c r="L359" s="19">
        <f>IFERROR(__xludf.DUMMYFUNCTION("""COMPUTED_VALUE"""),0.1983)</f>
        <v>0.1983</v>
      </c>
      <c r="M359" s="18">
        <f>IFERROR(__xludf.DUMMYFUNCTION("""COMPUTED_VALUE"""),1.53)</f>
        <v>1.53</v>
      </c>
    </row>
    <row r="360">
      <c r="A360" s="13" t="str">
        <f>IFERROR(__xludf.DUMMYFUNCTION("""COMPUTED_VALUE"""),"товари")</f>
        <v>товари</v>
      </c>
      <c r="B360" s="16" t="str">
        <f>IFERROR(__xludf.DUMMYFUNCTION("""COMPUTED_VALUE"""),"авто-, мото")</f>
        <v>авто-, мото</v>
      </c>
      <c r="C360" s="16" t="str">
        <f>IFERROR(__xludf.DUMMYFUNCTION("""COMPUTED_VALUE"""),"автозапчастини")</f>
        <v>автозапчастини</v>
      </c>
      <c r="D360" s="16" t="str">
        <f>IFERROR(__xludf.DUMMYFUNCTION("""COMPUTED_VALUE"""),"газорозподільний механізм (грм)")</f>
        <v>газорозподільний механізм (грм)</v>
      </c>
      <c r="E360" s="16" t="str">
        <f>IFERROR(__xludf.DUMMYFUNCTION("""COMPUTED_VALUE"""),"ремені грм, ланцюги грм")</f>
        <v>ремені грм, ланцюги грм</v>
      </c>
      <c r="F360" s="17">
        <f>IFERROR(__xludf.DUMMYFUNCTION("""COMPUTED_VALUE"""),4.0)</f>
        <v>4</v>
      </c>
      <c r="G360" s="17" t="str">
        <f>IFERROR(__xludf.DUMMYFUNCTION("""COMPUTED_VALUE"""),"34160101")</f>
        <v>34160101</v>
      </c>
      <c r="H360" s="17" t="str">
        <f>IFERROR(__xludf.DUMMYFUNCTION("""COMPUTED_VALUE"""),"ремені грм, ланцюги грм")</f>
        <v>ремені грм, ланцюги грм</v>
      </c>
      <c r="I360" s="19">
        <f>IFERROR(__xludf.DUMMYFUNCTION("""COMPUTED_VALUE"""),0.0526)</f>
        <v>0.0526</v>
      </c>
      <c r="J360" s="19">
        <f>IFERROR(__xludf.DUMMYFUNCTION("""COMPUTED_VALUE"""),0.1052)</f>
        <v>0.1052</v>
      </c>
      <c r="K360" s="19">
        <f>IFERROR(__xludf.DUMMYFUNCTION("""COMPUTED_VALUE"""),0.1315)</f>
        <v>0.1315</v>
      </c>
      <c r="L360" s="19">
        <f>IFERROR(__xludf.DUMMYFUNCTION("""COMPUTED_VALUE"""),0.1578)</f>
        <v>0.1578</v>
      </c>
      <c r="M360" s="18">
        <f>IFERROR(__xludf.DUMMYFUNCTION("""COMPUTED_VALUE"""),1.53)</f>
        <v>1.53</v>
      </c>
    </row>
    <row r="361">
      <c r="A361" s="13" t="str">
        <f>IFERROR(__xludf.DUMMYFUNCTION("""COMPUTED_VALUE"""),"товари")</f>
        <v>товари</v>
      </c>
      <c r="B361" s="16" t="str">
        <f>IFERROR(__xludf.DUMMYFUNCTION("""COMPUTED_VALUE"""),"авто-, мото")</f>
        <v>авто-, мото</v>
      </c>
      <c r="C361" s="16" t="str">
        <f>IFERROR(__xludf.DUMMYFUNCTION("""COMPUTED_VALUE"""),"автозапчастини")</f>
        <v>автозапчастини</v>
      </c>
      <c r="D361" s="16" t="str">
        <f>IFERROR(__xludf.DUMMYFUNCTION("""COMPUTED_VALUE"""),"ремкомплекти автомобільні")</f>
        <v>ремкомплекти автомобільні</v>
      </c>
      <c r="E361" s="16" t="str">
        <f>IFERROR(__xludf.DUMMYFUNCTION("""COMPUTED_VALUE"""),"ремкомплекти автомобільні")</f>
        <v>ремкомплекти автомобільні</v>
      </c>
      <c r="F361" s="17">
        <f>IFERROR(__xludf.DUMMYFUNCTION("""COMPUTED_VALUE"""),3.0)</f>
        <v>3</v>
      </c>
      <c r="G361" s="17" t="str">
        <f>IFERROR(__xludf.DUMMYFUNCTION("""COMPUTED_VALUE"""),"341568")</f>
        <v>341568</v>
      </c>
      <c r="H361" s="17" t="str">
        <f>IFERROR(__xludf.DUMMYFUNCTION("""COMPUTED_VALUE"""),"ремкомплекти автомобільні")</f>
        <v>ремкомплекти автомобільні</v>
      </c>
      <c r="I361" s="19">
        <f>IFERROR(__xludf.DUMMYFUNCTION("""COMPUTED_VALUE"""),0.0605)</f>
        <v>0.0605</v>
      </c>
      <c r="J361" s="19">
        <f>IFERROR(__xludf.DUMMYFUNCTION("""COMPUTED_VALUE"""),0.121)</f>
        <v>0.121</v>
      </c>
      <c r="K361" s="19">
        <f>IFERROR(__xludf.DUMMYFUNCTION("""COMPUTED_VALUE"""),0.1513)</f>
        <v>0.1513</v>
      </c>
      <c r="L361" s="19">
        <f>IFERROR(__xludf.DUMMYFUNCTION("""COMPUTED_VALUE"""),0.1815)</f>
        <v>0.1815</v>
      </c>
      <c r="M361" s="18">
        <f>IFERROR(__xludf.DUMMYFUNCTION("""COMPUTED_VALUE"""),1.05)</f>
        <v>1.05</v>
      </c>
    </row>
    <row r="362">
      <c r="A362" s="13" t="str">
        <f>IFERROR(__xludf.DUMMYFUNCTION("""COMPUTED_VALUE"""),"товари")</f>
        <v>товари</v>
      </c>
      <c r="B362" s="16" t="str">
        <f>IFERROR(__xludf.DUMMYFUNCTION("""COMPUTED_VALUE"""),"авто-, мото")</f>
        <v>авто-, мото</v>
      </c>
      <c r="C362" s="16" t="str">
        <f>IFERROR(__xludf.DUMMYFUNCTION("""COMPUTED_VALUE"""),"автохімія, автокосметика і автомастила")</f>
        <v>автохімія, автокосметика і автомастила</v>
      </c>
      <c r="D362" s="16" t="str">
        <f>IFERROR(__xludf.DUMMYFUNCTION("""COMPUTED_VALUE"""),"рідини для склоочисника")</f>
        <v>рідини для склоочисника</v>
      </c>
      <c r="E362" s="16" t="str">
        <f>IFERROR(__xludf.DUMMYFUNCTION("""COMPUTED_VALUE"""),"рідини для склоочисника")</f>
        <v>рідини для склоочисника</v>
      </c>
      <c r="F362" s="17">
        <f>IFERROR(__xludf.DUMMYFUNCTION("""COMPUTED_VALUE"""),3.0)</f>
        <v>3</v>
      </c>
      <c r="G362" s="17" t="str">
        <f>IFERROR(__xludf.DUMMYFUNCTION("""COMPUTED_VALUE"""),"341608")</f>
        <v>341608</v>
      </c>
      <c r="H362" s="17" t="str">
        <f>IFERROR(__xludf.DUMMYFUNCTION("""COMPUTED_VALUE"""),"рідини для склоочисника")</f>
        <v>рідини для склоочисника</v>
      </c>
      <c r="I362" s="19">
        <f>IFERROR(__xludf.DUMMYFUNCTION("""COMPUTED_VALUE"""),0.0752)</f>
        <v>0.0752</v>
      </c>
      <c r="J362" s="19">
        <f>IFERROR(__xludf.DUMMYFUNCTION("""COMPUTED_VALUE"""),0.1503)</f>
        <v>0.1503</v>
      </c>
      <c r="K362" s="19">
        <f>IFERROR(__xludf.DUMMYFUNCTION("""COMPUTED_VALUE"""),0.1879)</f>
        <v>0.1879</v>
      </c>
      <c r="L362" s="19">
        <f>IFERROR(__xludf.DUMMYFUNCTION("""COMPUTED_VALUE"""),0.2255)</f>
        <v>0.2255</v>
      </c>
      <c r="M362" s="18">
        <f>IFERROR(__xludf.DUMMYFUNCTION("""COMPUTED_VALUE"""),2.88)</f>
        <v>2.88</v>
      </c>
    </row>
    <row r="363">
      <c r="A363" s="13" t="str">
        <f>IFERROR(__xludf.DUMMYFUNCTION("""COMPUTED_VALUE"""),"товари")</f>
        <v>товари</v>
      </c>
      <c r="B363" s="16" t="str">
        <f>IFERROR(__xludf.DUMMYFUNCTION("""COMPUTED_VALUE"""),"авто-, мото")</f>
        <v>авто-, мото</v>
      </c>
      <c r="C363" s="16" t="str">
        <f>IFERROR(__xludf.DUMMYFUNCTION("""COMPUTED_VALUE"""),"автохімія, автокосметика і автомастила")</f>
        <v>автохімія, автокосметика і автомастила</v>
      </c>
      <c r="D363" s="16" t="str">
        <f>IFERROR(__xludf.DUMMYFUNCTION("""COMPUTED_VALUE"""),"рідка гума")</f>
        <v>рідка гума</v>
      </c>
      <c r="E363" s="16" t="str">
        <f>IFERROR(__xludf.DUMMYFUNCTION("""COMPUTED_VALUE"""),"рідка гума")</f>
        <v>рідка гума</v>
      </c>
      <c r="F363" s="17">
        <f>IFERROR(__xludf.DUMMYFUNCTION("""COMPUTED_VALUE"""),3.0)</f>
        <v>3</v>
      </c>
      <c r="G363" s="17" t="str">
        <f>IFERROR(__xludf.DUMMYFUNCTION("""COMPUTED_VALUE"""),"341630")</f>
        <v>341630</v>
      </c>
      <c r="H363" s="17" t="str">
        <f>IFERROR(__xludf.DUMMYFUNCTION("""COMPUTED_VALUE"""),"рідка гума")</f>
        <v>рідка гума</v>
      </c>
      <c r="I363" s="19">
        <f>IFERROR(__xludf.DUMMYFUNCTION("""COMPUTED_VALUE"""),0.0795)</f>
        <v>0.0795</v>
      </c>
      <c r="J363" s="19">
        <f>IFERROR(__xludf.DUMMYFUNCTION("""COMPUTED_VALUE"""),0.1589)</f>
        <v>0.1589</v>
      </c>
      <c r="K363" s="19">
        <f>IFERROR(__xludf.DUMMYFUNCTION("""COMPUTED_VALUE"""),0.1986)</f>
        <v>0.1986</v>
      </c>
      <c r="L363" s="19">
        <f>IFERROR(__xludf.DUMMYFUNCTION("""COMPUTED_VALUE"""),0.2384)</f>
        <v>0.2384</v>
      </c>
      <c r="M363" s="18">
        <f>IFERROR(__xludf.DUMMYFUNCTION("""COMPUTED_VALUE"""),2.79)</f>
        <v>2.79</v>
      </c>
    </row>
    <row r="364">
      <c r="A364" s="13" t="str">
        <f>IFERROR(__xludf.DUMMYFUNCTION("""COMPUTED_VALUE"""),"товари")</f>
        <v>товари</v>
      </c>
      <c r="B364" s="16" t="str">
        <f>IFERROR(__xludf.DUMMYFUNCTION("""COMPUTED_VALUE"""),"авто-, мото")</f>
        <v>авто-, мото</v>
      </c>
      <c r="C364" s="16" t="str">
        <f>IFERROR(__xludf.DUMMYFUNCTION("""COMPUTED_VALUE"""),"автомобільна електроніка")</f>
        <v>автомобільна електроніка</v>
      </c>
      <c r="D364" s="16" t="str">
        <f>IFERROR(__xludf.DUMMYFUNCTION("""COMPUTED_VALUE"""),"розгалужувачі для прикурювача")</f>
        <v>розгалужувачі для прикурювача</v>
      </c>
      <c r="E364" s="16" t="str">
        <f>IFERROR(__xludf.DUMMYFUNCTION("""COMPUTED_VALUE"""),"розгалужувачі для прикурювача")</f>
        <v>розгалужувачі для прикурювача</v>
      </c>
      <c r="F364" s="17">
        <f>IFERROR(__xludf.DUMMYFUNCTION("""COMPUTED_VALUE"""),3.0)</f>
        <v>3</v>
      </c>
      <c r="G364" s="17" t="str">
        <f>IFERROR(__xludf.DUMMYFUNCTION("""COMPUTED_VALUE"""),"121240")</f>
        <v>121240</v>
      </c>
      <c r="H364" s="17" t="str">
        <f>IFERROR(__xludf.DUMMYFUNCTION("""COMPUTED_VALUE"""),"розгалужувачі для прикурювача")</f>
        <v>розгалужувачі для прикурювача</v>
      </c>
      <c r="I364" s="19">
        <f>IFERROR(__xludf.DUMMYFUNCTION("""COMPUTED_VALUE"""),0.0782)</f>
        <v>0.0782</v>
      </c>
      <c r="J364" s="19">
        <f>IFERROR(__xludf.DUMMYFUNCTION("""COMPUTED_VALUE"""),0.1563)</f>
        <v>0.1563</v>
      </c>
      <c r="K364" s="19">
        <f>IFERROR(__xludf.DUMMYFUNCTION("""COMPUTED_VALUE"""),0.1954)</f>
        <v>0.1954</v>
      </c>
      <c r="L364" s="19">
        <f>IFERROR(__xludf.DUMMYFUNCTION("""COMPUTED_VALUE"""),0.2345)</f>
        <v>0.2345</v>
      </c>
      <c r="M364" s="18">
        <f>IFERROR(__xludf.DUMMYFUNCTION("""COMPUTED_VALUE"""),1.05)</f>
        <v>1.05</v>
      </c>
    </row>
    <row r="365">
      <c r="A365" s="13" t="str">
        <f>IFERROR(__xludf.DUMMYFUNCTION("""COMPUTED_VALUE"""),"товари")</f>
        <v>товари</v>
      </c>
      <c r="B365" s="16" t="str">
        <f>IFERROR(__xludf.DUMMYFUNCTION("""COMPUTED_VALUE"""),"авто-, мото")</f>
        <v>авто-, мото</v>
      </c>
      <c r="C365" s="16" t="str">
        <f>IFERROR(__xludf.DUMMYFUNCTION("""COMPUTED_VALUE"""),"автозапчастини")</f>
        <v>автозапчастини</v>
      </c>
      <c r="D365" s="16" t="str">
        <f>IFERROR(__xludf.DUMMYFUNCTION("""COMPUTED_VALUE"""),"деталі мостів і приводу трансмісії")</f>
        <v>деталі мостів і приводу трансмісії</v>
      </c>
      <c r="E365" s="16" t="str">
        <f>IFERROR(__xludf.DUMMYFUNCTION("""COMPUTED_VALUE"""),"роздавальні коробки")</f>
        <v>роздавальні коробки</v>
      </c>
      <c r="F365" s="17">
        <f>IFERROR(__xludf.DUMMYFUNCTION("""COMPUTED_VALUE"""),4.0)</f>
        <v>4</v>
      </c>
      <c r="G365" s="17" t="str">
        <f>IFERROR(__xludf.DUMMYFUNCTION("""COMPUTED_VALUE"""),"12023809")</f>
        <v>12023809</v>
      </c>
      <c r="H365" s="17" t="str">
        <f>IFERROR(__xludf.DUMMYFUNCTION("""COMPUTED_VALUE"""),"роздавальні коробки")</f>
        <v>роздавальні коробки</v>
      </c>
      <c r="I365" s="19">
        <f>IFERROR(__xludf.DUMMYFUNCTION("""COMPUTED_VALUE"""),0.0474)</f>
        <v>0.0474</v>
      </c>
      <c r="J365" s="19">
        <f>IFERROR(__xludf.DUMMYFUNCTION("""COMPUTED_VALUE"""),0.0948)</f>
        <v>0.0948</v>
      </c>
      <c r="K365" s="19">
        <f>IFERROR(__xludf.DUMMYFUNCTION("""COMPUTED_VALUE"""),0.1185)</f>
        <v>0.1185</v>
      </c>
      <c r="L365" s="19">
        <f>IFERROR(__xludf.DUMMYFUNCTION("""COMPUTED_VALUE"""),0.1422)</f>
        <v>0.1422</v>
      </c>
      <c r="M365" s="18">
        <f>IFERROR(__xludf.DUMMYFUNCTION("""COMPUTED_VALUE"""),1.71)</f>
        <v>1.71</v>
      </c>
    </row>
    <row r="366">
      <c r="A366" s="13" t="str">
        <f>IFERROR(__xludf.DUMMYFUNCTION("""COMPUTED_VALUE"""),"товари")</f>
        <v>товари</v>
      </c>
      <c r="B366" s="16" t="str">
        <f>IFERROR(__xludf.DUMMYFUNCTION("""COMPUTED_VALUE"""),"авто-, мото")</f>
        <v>авто-, мото</v>
      </c>
      <c r="C366" s="16" t="str">
        <f>IFERROR(__xludf.DUMMYFUNCTION("""COMPUTED_VALUE"""),"автозапчастини")</f>
        <v>автозапчастини</v>
      </c>
      <c r="D366" s="16" t="str">
        <f>IFERROR(__xludf.DUMMYFUNCTION("""COMPUTED_VALUE"""),"система живлення двигуна")</f>
        <v>система живлення двигуна</v>
      </c>
      <c r="E366" s="16" t="str">
        <f>IFERROR(__xludf.DUMMYFUNCTION("""COMPUTED_VALUE"""),"розпилювачі і паливні форсунки")</f>
        <v>розпилювачі і паливні форсунки</v>
      </c>
      <c r="F366" s="17">
        <f>IFERROR(__xludf.DUMMYFUNCTION("""COMPUTED_VALUE"""),4.0)</f>
        <v>4</v>
      </c>
      <c r="G366" s="17" t="str">
        <f>IFERROR(__xludf.DUMMYFUNCTION("""COMPUTED_VALUE"""),"12020414")</f>
        <v>12020414</v>
      </c>
      <c r="H366" s="17" t="str">
        <f>IFERROR(__xludf.DUMMYFUNCTION("""COMPUTED_VALUE"""),"розпилювачі і паливні форсунки")</f>
        <v>розпилювачі і паливні форсунки</v>
      </c>
      <c r="I366" s="19">
        <f>IFERROR(__xludf.DUMMYFUNCTION("""COMPUTED_VALUE"""),0.0507)</f>
        <v>0.0507</v>
      </c>
      <c r="J366" s="19">
        <f>IFERROR(__xludf.DUMMYFUNCTION("""COMPUTED_VALUE"""),0.1014)</f>
        <v>0.1014</v>
      </c>
      <c r="K366" s="19">
        <f>IFERROR(__xludf.DUMMYFUNCTION("""COMPUTED_VALUE"""),0.1268)</f>
        <v>0.1268</v>
      </c>
      <c r="L366" s="19">
        <f>IFERROR(__xludf.DUMMYFUNCTION("""COMPUTED_VALUE"""),0.1521)</f>
        <v>0.1521</v>
      </c>
      <c r="M366" s="18">
        <f>IFERROR(__xludf.DUMMYFUNCTION("""COMPUTED_VALUE"""),1.53)</f>
        <v>1.53</v>
      </c>
    </row>
    <row r="367">
      <c r="A367" s="13" t="str">
        <f>IFERROR(__xludf.DUMMYFUNCTION("""COMPUTED_VALUE"""),"товари")</f>
        <v>товари</v>
      </c>
      <c r="B367" s="16" t="str">
        <f>IFERROR(__xludf.DUMMYFUNCTION("""COMPUTED_VALUE"""),"авто-, мото")</f>
        <v>авто-, мото</v>
      </c>
      <c r="C367" s="16" t="str">
        <f>IFERROR(__xludf.DUMMYFUNCTION("""COMPUTED_VALUE"""),"автозапчастини")</f>
        <v>автозапчастини</v>
      </c>
      <c r="D367" s="16" t="str">
        <f>IFERROR(__xludf.DUMMYFUNCTION("""COMPUTED_VALUE"""),"газорозподільний механізм (грм)")</f>
        <v>газорозподільний механізм (грм)</v>
      </c>
      <c r="E367" s="16" t="str">
        <f>IFERROR(__xludf.DUMMYFUNCTION("""COMPUTED_VALUE"""),"розподільний вал, шестерні розподільного валу")</f>
        <v>розподільний вал, шестерні розподільного валу</v>
      </c>
      <c r="F367" s="17">
        <f>IFERROR(__xludf.DUMMYFUNCTION("""COMPUTED_VALUE"""),4.0)</f>
        <v>4</v>
      </c>
      <c r="G367" s="17" t="str">
        <f>IFERROR(__xludf.DUMMYFUNCTION("""COMPUTED_VALUE"""),"12020408")</f>
        <v>12020408</v>
      </c>
      <c r="H367" s="17" t="str">
        <f>IFERROR(__xludf.DUMMYFUNCTION("""COMPUTED_VALUE"""),"розподільний вал, шестерні розподільного валу")</f>
        <v>розподільний вал, шестерні розподільного валу</v>
      </c>
      <c r="I367" s="19">
        <f>IFERROR(__xludf.DUMMYFUNCTION("""COMPUTED_VALUE"""),0.0529)</f>
        <v>0.0529</v>
      </c>
      <c r="J367" s="19">
        <f>IFERROR(__xludf.DUMMYFUNCTION("""COMPUTED_VALUE"""),0.1058)</f>
        <v>0.1058</v>
      </c>
      <c r="K367" s="19">
        <f>IFERROR(__xludf.DUMMYFUNCTION("""COMPUTED_VALUE"""),0.1323)</f>
        <v>0.1323</v>
      </c>
      <c r="L367" s="19">
        <f>IFERROR(__xludf.DUMMYFUNCTION("""COMPUTED_VALUE"""),0.1587)</f>
        <v>0.1587</v>
      </c>
      <c r="M367" s="18">
        <f>IFERROR(__xludf.DUMMYFUNCTION("""COMPUTED_VALUE"""),1.53)</f>
        <v>1.53</v>
      </c>
    </row>
    <row r="368">
      <c r="A368" s="13" t="str">
        <f>IFERROR(__xludf.DUMMYFUNCTION("""COMPUTED_VALUE"""),"товари")</f>
        <v>товари</v>
      </c>
      <c r="B368" s="16" t="str">
        <f>IFERROR(__xludf.DUMMYFUNCTION("""COMPUTED_VALUE"""),"авто-, мото")</f>
        <v>авто-, мото</v>
      </c>
      <c r="C368" s="16" t="str">
        <f>IFERROR(__xludf.DUMMYFUNCTION("""COMPUTED_VALUE"""),"автозапчастини")</f>
        <v>автозапчастини</v>
      </c>
      <c r="D368" s="16" t="str">
        <f>IFERROR(__xludf.DUMMYFUNCTION("""COMPUTED_VALUE"""),"двигуни і деталі двигуна")</f>
        <v>двигуни і деталі двигуна</v>
      </c>
      <c r="E368" s="16" t="str">
        <f>IFERROR(__xludf.DUMMYFUNCTION("""COMPUTED_VALUE"""),"ролики та натягувачі")</f>
        <v>ролики та натягувачі</v>
      </c>
      <c r="F368" s="17">
        <f>IFERROR(__xludf.DUMMYFUNCTION("""COMPUTED_VALUE"""),4.0)</f>
        <v>4</v>
      </c>
      <c r="G368" s="17" t="str">
        <f>IFERROR(__xludf.DUMMYFUNCTION("""COMPUTED_VALUE"""),"12020412")</f>
        <v>12020412</v>
      </c>
      <c r="H368" s="17" t="str">
        <f>IFERROR(__xludf.DUMMYFUNCTION("""COMPUTED_VALUE"""),"ролики та натягувачі")</f>
        <v>ролики та натягувачі</v>
      </c>
      <c r="I368" s="19">
        <f>IFERROR(__xludf.DUMMYFUNCTION("""COMPUTED_VALUE"""),0.0536)</f>
        <v>0.0536</v>
      </c>
      <c r="J368" s="19">
        <f>IFERROR(__xludf.DUMMYFUNCTION("""COMPUTED_VALUE"""),0.1071)</f>
        <v>0.1071</v>
      </c>
      <c r="K368" s="19">
        <f>IFERROR(__xludf.DUMMYFUNCTION("""COMPUTED_VALUE"""),0.1339)</f>
        <v>0.1339</v>
      </c>
      <c r="L368" s="19">
        <f>IFERROR(__xludf.DUMMYFUNCTION("""COMPUTED_VALUE"""),0.1607)</f>
        <v>0.1607</v>
      </c>
      <c r="M368" s="18">
        <f>IFERROR(__xludf.DUMMYFUNCTION("""COMPUTED_VALUE"""),1.53)</f>
        <v>1.53</v>
      </c>
    </row>
    <row r="369">
      <c r="A369" s="13" t="str">
        <f>IFERROR(__xludf.DUMMYFUNCTION("""COMPUTED_VALUE"""),"товари")</f>
        <v>товари</v>
      </c>
      <c r="B369" s="16" t="str">
        <f>IFERROR(__xludf.DUMMYFUNCTION("""COMPUTED_VALUE"""),"авто-, мото")</f>
        <v>авто-, мото</v>
      </c>
      <c r="C369" s="16" t="str">
        <f>IFERROR(__xludf.DUMMYFUNCTION("""COMPUTED_VALUE"""),"автозапчастини")</f>
        <v>автозапчастини</v>
      </c>
      <c r="D369" s="16" t="str">
        <f>IFERROR(__xludf.DUMMYFUNCTION("""COMPUTED_VALUE"""),"органи керування")</f>
        <v>органи керування</v>
      </c>
      <c r="E369" s="16" t="str">
        <f>IFERROR(__xludf.DUMMYFUNCTION("""COMPUTED_VALUE"""),"рульовий механізм")</f>
        <v>рульовий механізм</v>
      </c>
      <c r="F369" s="17">
        <f>IFERROR(__xludf.DUMMYFUNCTION("""COMPUTED_VALUE"""),4.0)</f>
        <v>4</v>
      </c>
      <c r="G369" s="17" t="str">
        <f>IFERROR(__xludf.DUMMYFUNCTION("""COMPUTED_VALUE"""),"12023703")</f>
        <v>12023703</v>
      </c>
      <c r="H369" s="17" t="str">
        <f>IFERROR(__xludf.DUMMYFUNCTION("""COMPUTED_VALUE"""),"рульовий механізм")</f>
        <v>рульовий механізм</v>
      </c>
      <c r="I369" s="19">
        <f>IFERROR(__xludf.DUMMYFUNCTION("""COMPUTED_VALUE"""),0.043)</f>
        <v>0.043</v>
      </c>
      <c r="J369" s="19">
        <f>IFERROR(__xludf.DUMMYFUNCTION("""COMPUTED_VALUE"""),0.086)</f>
        <v>0.086</v>
      </c>
      <c r="K369" s="19">
        <f>IFERROR(__xludf.DUMMYFUNCTION("""COMPUTED_VALUE"""),0.1075)</f>
        <v>0.1075</v>
      </c>
      <c r="L369" s="19">
        <f>IFERROR(__xludf.DUMMYFUNCTION("""COMPUTED_VALUE"""),0.129)</f>
        <v>0.129</v>
      </c>
      <c r="M369" s="18">
        <f>IFERROR(__xludf.DUMMYFUNCTION("""COMPUTED_VALUE"""),1.71)</f>
        <v>1.71</v>
      </c>
    </row>
    <row r="370">
      <c r="A370" s="13" t="str">
        <f>IFERROR(__xludf.DUMMYFUNCTION("""COMPUTED_VALUE"""),"товари")</f>
        <v>товари</v>
      </c>
      <c r="B370" s="16" t="str">
        <f>IFERROR(__xludf.DUMMYFUNCTION("""COMPUTED_VALUE"""),"авто-, мото")</f>
        <v>авто-, мото</v>
      </c>
      <c r="C370" s="16" t="str">
        <f>IFERROR(__xludf.DUMMYFUNCTION("""COMPUTED_VALUE"""),"автозапчастини")</f>
        <v>автозапчастини</v>
      </c>
      <c r="D370" s="16" t="str">
        <f>IFERROR(__xludf.DUMMYFUNCTION("""COMPUTED_VALUE"""),"деталі салону автомобіля")</f>
        <v>деталі салону автомобіля</v>
      </c>
      <c r="E370" s="16" t="str">
        <f>IFERROR(__xludf.DUMMYFUNCTION("""COMPUTED_VALUE"""),"ручки кпп і ручника")</f>
        <v>ручки кпп і ручника</v>
      </c>
      <c r="F370" s="17">
        <f>IFERROR(__xludf.DUMMYFUNCTION("""COMPUTED_VALUE"""),4.0)</f>
        <v>4</v>
      </c>
      <c r="G370" s="17" t="str">
        <f>IFERROR(__xludf.DUMMYFUNCTION("""COMPUTED_VALUE"""),"341564")</f>
        <v>341564</v>
      </c>
      <c r="H370" s="17" t="str">
        <f>IFERROR(__xludf.DUMMYFUNCTION("""COMPUTED_VALUE"""),"ручки кпп і ручника")</f>
        <v>ручки кпп і ручника</v>
      </c>
      <c r="I370" s="19">
        <f>IFERROR(__xludf.DUMMYFUNCTION("""COMPUTED_VALUE"""),0.0743)</f>
        <v>0.0743</v>
      </c>
      <c r="J370" s="19">
        <f>IFERROR(__xludf.DUMMYFUNCTION("""COMPUTED_VALUE"""),0.1485)</f>
        <v>0.1485</v>
      </c>
      <c r="K370" s="19">
        <f>IFERROR(__xludf.DUMMYFUNCTION("""COMPUTED_VALUE"""),0.1856)</f>
        <v>0.1856</v>
      </c>
      <c r="L370" s="19">
        <f>IFERROR(__xludf.DUMMYFUNCTION("""COMPUTED_VALUE"""),0.2228)</f>
        <v>0.2228</v>
      </c>
      <c r="M370" s="18">
        <f>IFERROR(__xludf.DUMMYFUNCTION("""COMPUTED_VALUE"""),1.05)</f>
        <v>1.05</v>
      </c>
    </row>
    <row r="371">
      <c r="A371" s="13" t="str">
        <f>IFERROR(__xludf.DUMMYFUNCTION("""COMPUTED_VALUE"""),"товари")</f>
        <v>товари</v>
      </c>
      <c r="B371" s="16" t="str">
        <f>IFERROR(__xludf.DUMMYFUNCTION("""COMPUTED_VALUE"""),"авто-, мото")</f>
        <v>авто-, мото</v>
      </c>
      <c r="C371" s="16" t="str">
        <f>IFERROR(__xludf.DUMMYFUNCTION("""COMPUTED_VALUE"""),"автозапчастини")</f>
        <v>автозапчастини</v>
      </c>
      <c r="D371" s="16" t="str">
        <f>IFERROR(__xludf.DUMMYFUNCTION("""COMPUTED_VALUE"""),"деталі ходової")</f>
        <v>деталі ходової</v>
      </c>
      <c r="E371" s="16" t="str">
        <f>IFERROR(__xludf.DUMMYFUNCTION("""COMPUTED_VALUE"""),"сайлентблоки")</f>
        <v>сайлентблоки</v>
      </c>
      <c r="F371" s="17">
        <f>IFERROR(__xludf.DUMMYFUNCTION("""COMPUTED_VALUE"""),4.0)</f>
        <v>4</v>
      </c>
      <c r="G371" s="17" t="str">
        <f>IFERROR(__xludf.DUMMYFUNCTION("""COMPUTED_VALUE"""),"120236")</f>
        <v>120236</v>
      </c>
      <c r="H371" s="17" t="str">
        <f>IFERROR(__xludf.DUMMYFUNCTION("""COMPUTED_VALUE"""),"сайлентблоки")</f>
        <v>сайлентблоки</v>
      </c>
      <c r="I371" s="19">
        <f>IFERROR(__xludf.DUMMYFUNCTION("""COMPUTED_VALUE"""),0.0562)</f>
        <v>0.0562</v>
      </c>
      <c r="J371" s="19">
        <f>IFERROR(__xludf.DUMMYFUNCTION("""COMPUTED_VALUE"""),0.1123)</f>
        <v>0.1123</v>
      </c>
      <c r="K371" s="19">
        <f>IFERROR(__xludf.DUMMYFUNCTION("""COMPUTED_VALUE"""),0.1404)</f>
        <v>0.1404</v>
      </c>
      <c r="L371" s="19">
        <f>IFERROR(__xludf.DUMMYFUNCTION("""COMPUTED_VALUE"""),0.1685)</f>
        <v>0.1685</v>
      </c>
      <c r="M371" s="18">
        <f>IFERROR(__xludf.DUMMYFUNCTION("""COMPUTED_VALUE"""),1.53)</f>
        <v>1.53</v>
      </c>
    </row>
    <row r="372">
      <c r="A372" s="13" t="str">
        <f>IFERROR(__xludf.DUMMYFUNCTION("""COMPUTED_VALUE"""),"товари")</f>
        <v>товари</v>
      </c>
      <c r="B372" s="16" t="str">
        <f>IFERROR(__xludf.DUMMYFUNCTION("""COMPUTED_VALUE"""),"авто-, мото")</f>
        <v>авто-, мото</v>
      </c>
      <c r="C372" s="16" t="str">
        <f>IFERROR(__xludf.DUMMYFUNCTION("""COMPUTED_VALUE"""),"автозапчастини")</f>
        <v>автозапчастини</v>
      </c>
      <c r="D372" s="16" t="str">
        <f>IFERROR(__xludf.DUMMYFUNCTION("""COMPUTED_VALUE"""),"двигуни і деталі двигуна")</f>
        <v>двигуни і деталі двигуна</v>
      </c>
      <c r="E372" s="16" t="str">
        <f>IFERROR(__xludf.DUMMYFUNCTION("""COMPUTED_VALUE"""),"сальники")</f>
        <v>сальники</v>
      </c>
      <c r="F372" s="17">
        <f>IFERROR(__xludf.DUMMYFUNCTION("""COMPUTED_VALUE"""),4.0)</f>
        <v>4</v>
      </c>
      <c r="G372" s="17" t="str">
        <f>IFERROR(__xludf.DUMMYFUNCTION("""COMPUTED_VALUE"""),"12020405")</f>
        <v>12020405</v>
      </c>
      <c r="H372" s="17" t="str">
        <f>IFERROR(__xludf.DUMMYFUNCTION("""COMPUTED_VALUE"""),"сальники")</f>
        <v>сальники</v>
      </c>
      <c r="I372" s="19">
        <f>IFERROR(__xludf.DUMMYFUNCTION("""COMPUTED_VALUE"""),0.0546)</f>
        <v>0.0546</v>
      </c>
      <c r="J372" s="19">
        <f>IFERROR(__xludf.DUMMYFUNCTION("""COMPUTED_VALUE"""),0.1091)</f>
        <v>0.1091</v>
      </c>
      <c r="K372" s="19">
        <f>IFERROR(__xludf.DUMMYFUNCTION("""COMPUTED_VALUE"""),0.1364)</f>
        <v>0.1364</v>
      </c>
      <c r="L372" s="19">
        <f>IFERROR(__xludf.DUMMYFUNCTION("""COMPUTED_VALUE"""),0.1637)</f>
        <v>0.1637</v>
      </c>
      <c r="M372" s="18">
        <f>IFERROR(__xludf.DUMMYFUNCTION("""COMPUTED_VALUE"""),1.53)</f>
        <v>1.53</v>
      </c>
    </row>
    <row r="373">
      <c r="A373" s="13" t="str">
        <f>IFERROR(__xludf.DUMMYFUNCTION("""COMPUTED_VALUE"""),"товари")</f>
        <v>товари</v>
      </c>
      <c r="B373" s="16" t="str">
        <f>IFERROR(__xludf.DUMMYFUNCTION("""COMPUTED_VALUE"""),"авто-, мото")</f>
        <v>авто-, мото</v>
      </c>
      <c r="C373" s="16" t="str">
        <f>IFERROR(__xludf.DUMMYFUNCTION("""COMPUTED_VALUE"""),"аксесуари для авто")</f>
        <v>аксесуари для авто</v>
      </c>
      <c r="D373" s="16" t="str">
        <f>IFERROR(__xludf.DUMMYFUNCTION("""COMPUTED_VALUE"""),"самоклеючі кишені для талонів")</f>
        <v>самоклеючі кишені для талонів</v>
      </c>
      <c r="E373" s="16" t="str">
        <f>IFERROR(__xludf.DUMMYFUNCTION("""COMPUTED_VALUE"""),"самоклеючі кишені для талонів")</f>
        <v>самоклеючі кишені для талонів</v>
      </c>
      <c r="F373" s="17">
        <f>IFERROR(__xludf.DUMMYFUNCTION("""COMPUTED_VALUE"""),3.0)</f>
        <v>3</v>
      </c>
      <c r="G373" s="17" t="str">
        <f>IFERROR(__xludf.DUMMYFUNCTION("""COMPUTED_VALUE"""),"121242")</f>
        <v>121242</v>
      </c>
      <c r="H373" s="17" t="str">
        <f>IFERROR(__xludf.DUMMYFUNCTION("""COMPUTED_VALUE"""),"самоклеючі кишені для талонів")</f>
        <v>самоклеючі кишені для талонів</v>
      </c>
      <c r="I373" s="19">
        <f>IFERROR(__xludf.DUMMYFUNCTION("""COMPUTED_VALUE"""),0.0754)</f>
        <v>0.0754</v>
      </c>
      <c r="J373" s="19">
        <f>IFERROR(__xludf.DUMMYFUNCTION("""COMPUTED_VALUE"""),0.1508)</f>
        <v>0.1508</v>
      </c>
      <c r="K373" s="19">
        <f>IFERROR(__xludf.DUMMYFUNCTION("""COMPUTED_VALUE"""),0.1885)</f>
        <v>0.1885</v>
      </c>
      <c r="L373" s="19">
        <f>IFERROR(__xludf.DUMMYFUNCTION("""COMPUTED_VALUE"""),0.2262)</f>
        <v>0.2262</v>
      </c>
      <c r="M373" s="18">
        <f>IFERROR(__xludf.DUMMYFUNCTION("""COMPUTED_VALUE"""),1.05)</f>
        <v>1.05</v>
      </c>
    </row>
    <row r="374">
      <c r="A374" s="13" t="str">
        <f>IFERROR(__xludf.DUMMYFUNCTION("""COMPUTED_VALUE"""),"товари")</f>
        <v>товари</v>
      </c>
      <c r="B374" s="16" t="str">
        <f>IFERROR(__xludf.DUMMYFUNCTION("""COMPUTED_VALUE"""),"авто-, мото")</f>
        <v>авто-, мото</v>
      </c>
      <c r="C374" s="16" t="str">
        <f>IFERROR(__xludf.DUMMYFUNCTION("""COMPUTED_VALUE"""),"мототехніка")</f>
        <v>мототехніка</v>
      </c>
      <c r="D374" s="16" t="str">
        <f>IFERROR(__xludf.DUMMYFUNCTION("""COMPUTED_VALUE"""),"запчастини для мототехніки")</f>
        <v>запчастини для мототехніки</v>
      </c>
      <c r="E374" s="16" t="str">
        <f>IFERROR(__xludf.DUMMYFUNCTION("""COMPUTED_VALUE"""),"світлові прилади для мототехніки")</f>
        <v>світлові прилади для мототехніки</v>
      </c>
      <c r="F374" s="17">
        <f>IFERROR(__xludf.DUMMYFUNCTION("""COMPUTED_VALUE"""),4.0)</f>
        <v>4</v>
      </c>
      <c r="G374" s="17" t="str">
        <f>IFERROR(__xludf.DUMMYFUNCTION("""COMPUTED_VALUE"""),"340617")</f>
        <v>340617</v>
      </c>
      <c r="H374" s="17" t="str">
        <f>IFERROR(__xludf.DUMMYFUNCTION("""COMPUTED_VALUE"""),"світлові прилади для мототехніки")</f>
        <v>світлові прилади для мототехніки</v>
      </c>
      <c r="I374" s="19">
        <f>IFERROR(__xludf.DUMMYFUNCTION("""COMPUTED_VALUE"""),0.0752)</f>
        <v>0.0752</v>
      </c>
      <c r="J374" s="19">
        <f>IFERROR(__xludf.DUMMYFUNCTION("""COMPUTED_VALUE"""),0.1504)</f>
        <v>0.1504</v>
      </c>
      <c r="K374" s="19">
        <f>IFERROR(__xludf.DUMMYFUNCTION("""COMPUTED_VALUE"""),0.188)</f>
        <v>0.188</v>
      </c>
      <c r="L374" s="19">
        <f>IFERROR(__xludf.DUMMYFUNCTION("""COMPUTED_VALUE"""),0.2256)</f>
        <v>0.2256</v>
      </c>
      <c r="M374" s="18">
        <f>IFERROR(__xludf.DUMMYFUNCTION("""COMPUTED_VALUE"""),1.98)</f>
        <v>1.98</v>
      </c>
    </row>
    <row r="375">
      <c r="A375" s="13" t="str">
        <f>IFERROR(__xludf.DUMMYFUNCTION("""COMPUTED_VALUE"""),"товари")</f>
        <v>товари</v>
      </c>
      <c r="B375" s="16" t="str">
        <f>IFERROR(__xludf.DUMMYFUNCTION("""COMPUTED_VALUE"""),"авто-, мото")</f>
        <v>авто-, мото</v>
      </c>
      <c r="C375" s="16" t="str">
        <f>IFERROR(__xludf.DUMMYFUNCTION("""COMPUTED_VALUE"""),"автозапчастини")</f>
        <v>автозапчастини</v>
      </c>
      <c r="D375" s="16" t="str">
        <f>IFERROR(__xludf.DUMMYFUNCTION("""COMPUTED_VALUE"""),"світлові прилади транспорту")</f>
        <v>світлові прилади транспорту</v>
      </c>
      <c r="E375" s="16" t="str">
        <f>IFERROR(__xludf.DUMMYFUNCTION("""COMPUTED_VALUE"""),"світлові прилади транспорту, загальне")</f>
        <v>світлові прилади транспорту, загальне</v>
      </c>
      <c r="F375" s="17">
        <f>IFERROR(__xludf.DUMMYFUNCTION("""COMPUTED_VALUE"""),4.0)</f>
        <v>4</v>
      </c>
      <c r="G375" s="17" t="str">
        <f>IFERROR(__xludf.DUMMYFUNCTION("""COMPUTED_VALUE"""),"12020612")</f>
        <v>12020612</v>
      </c>
      <c r="H375" s="17" t="str">
        <f>IFERROR(__xludf.DUMMYFUNCTION("""COMPUTED_VALUE"""),"світлові прилади транспорту, загальне")</f>
        <v>світлові прилади транспорту, загальне</v>
      </c>
      <c r="I375" s="19">
        <f>IFERROR(__xludf.DUMMYFUNCTION("""COMPUTED_VALUE"""),0.125)</f>
        <v>0.125</v>
      </c>
      <c r="J375" s="19">
        <f>IFERROR(__xludf.DUMMYFUNCTION("""COMPUTED_VALUE"""),0.25)</f>
        <v>0.25</v>
      </c>
      <c r="K375" s="19">
        <f>IFERROR(__xludf.DUMMYFUNCTION("""COMPUTED_VALUE"""),0.3125)</f>
        <v>0.3125</v>
      </c>
      <c r="L375" s="19">
        <f>IFERROR(__xludf.DUMMYFUNCTION("""COMPUTED_VALUE"""),0.375)</f>
        <v>0.375</v>
      </c>
      <c r="M375" s="18">
        <f>IFERROR(__xludf.DUMMYFUNCTION("""COMPUTED_VALUE"""),4.33)</f>
        <v>4.33</v>
      </c>
    </row>
    <row r="376">
      <c r="A376" s="13" t="str">
        <f>IFERROR(__xludf.DUMMYFUNCTION("""COMPUTED_VALUE"""),"товари")</f>
        <v>товари</v>
      </c>
      <c r="B376" s="16" t="str">
        <f>IFERROR(__xludf.DUMMYFUNCTION("""COMPUTED_VALUE"""),"авто-, мото")</f>
        <v>авто-, мото</v>
      </c>
      <c r="C376" s="16" t="str">
        <f>IFERROR(__xludf.DUMMYFUNCTION("""COMPUTED_VALUE"""),"мототехніка")</f>
        <v>мототехніка</v>
      </c>
      <c r="D376" s="16" t="str">
        <f>IFERROR(__xludf.DUMMYFUNCTION("""COMPUTED_VALUE"""),"запчастини для мототехніки")</f>
        <v>запчастини для мототехніки</v>
      </c>
      <c r="E376" s="16" t="str">
        <f>IFERROR(__xludf.DUMMYFUNCTION("""COMPUTED_VALUE"""),"свічки запалювання для мототехніки")</f>
        <v>свічки запалювання для мототехніки</v>
      </c>
      <c r="F376" s="17">
        <f>IFERROR(__xludf.DUMMYFUNCTION("""COMPUTED_VALUE"""),4.0)</f>
        <v>4</v>
      </c>
      <c r="G376" s="17" t="str">
        <f>IFERROR(__xludf.DUMMYFUNCTION("""COMPUTED_VALUE"""),"340621")</f>
        <v>340621</v>
      </c>
      <c r="H376" s="17" t="str">
        <f>IFERROR(__xludf.DUMMYFUNCTION("""COMPUTED_VALUE"""),"свічки запалювання для мототехніки")</f>
        <v>свічки запалювання для мототехніки</v>
      </c>
      <c r="I376" s="19">
        <f>IFERROR(__xludf.DUMMYFUNCTION("""COMPUTED_VALUE"""),0.0568)</f>
        <v>0.0568</v>
      </c>
      <c r="J376" s="19">
        <f>IFERROR(__xludf.DUMMYFUNCTION("""COMPUTED_VALUE"""),0.1136)</f>
        <v>0.1136</v>
      </c>
      <c r="K376" s="19">
        <f>IFERROR(__xludf.DUMMYFUNCTION("""COMPUTED_VALUE"""),0.142)</f>
        <v>0.142</v>
      </c>
      <c r="L376" s="19">
        <f>IFERROR(__xludf.DUMMYFUNCTION("""COMPUTED_VALUE"""),0.1704)</f>
        <v>0.1704</v>
      </c>
      <c r="M376" s="18">
        <f>IFERROR(__xludf.DUMMYFUNCTION("""COMPUTED_VALUE"""),1.98)</f>
        <v>1.98</v>
      </c>
    </row>
    <row r="377">
      <c r="A377" s="13" t="str">
        <f>IFERROR(__xludf.DUMMYFUNCTION("""COMPUTED_VALUE"""),"товари")</f>
        <v>товари</v>
      </c>
      <c r="B377" s="16" t="str">
        <f>IFERROR(__xludf.DUMMYFUNCTION("""COMPUTED_VALUE"""),"авто-, мото")</f>
        <v>авто-, мото</v>
      </c>
      <c r="C377" s="16" t="str">
        <f>IFERROR(__xludf.DUMMYFUNCTION("""COMPUTED_VALUE"""),"автозапчастини")</f>
        <v>автозапчастини</v>
      </c>
      <c r="D377" s="16" t="str">
        <f>IFERROR(__xludf.DUMMYFUNCTION("""COMPUTED_VALUE"""),"система запалювання двигуна")</f>
        <v>система запалювання двигуна</v>
      </c>
      <c r="E377" s="16" t="str">
        <f>IFERROR(__xludf.DUMMYFUNCTION("""COMPUTED_VALUE"""),"свічки розжарювання і запалювання")</f>
        <v>свічки розжарювання і запалювання</v>
      </c>
      <c r="F377" s="17">
        <f>IFERROR(__xludf.DUMMYFUNCTION("""COMPUTED_VALUE"""),4.0)</f>
        <v>4</v>
      </c>
      <c r="G377" s="17" t="str">
        <f>IFERROR(__xludf.DUMMYFUNCTION("""COMPUTED_VALUE"""),"12020501")</f>
        <v>12020501</v>
      </c>
      <c r="H377" s="17" t="str">
        <f>IFERROR(__xludf.DUMMYFUNCTION("""COMPUTED_VALUE"""),"свічки розжарювання і запалювання")</f>
        <v>свічки розжарювання і запалювання</v>
      </c>
      <c r="I377" s="19">
        <f>IFERROR(__xludf.DUMMYFUNCTION("""COMPUTED_VALUE"""),0.047)</f>
        <v>0.047</v>
      </c>
      <c r="J377" s="19">
        <f>IFERROR(__xludf.DUMMYFUNCTION("""COMPUTED_VALUE"""),0.094)</f>
        <v>0.094</v>
      </c>
      <c r="K377" s="19">
        <f>IFERROR(__xludf.DUMMYFUNCTION("""COMPUTED_VALUE"""),0.1175)</f>
        <v>0.1175</v>
      </c>
      <c r="L377" s="19">
        <f>IFERROR(__xludf.DUMMYFUNCTION("""COMPUTED_VALUE"""),0.141)</f>
        <v>0.141</v>
      </c>
      <c r="M377" s="18">
        <f>IFERROR(__xludf.DUMMYFUNCTION("""COMPUTED_VALUE"""),1.71)</f>
        <v>1.71</v>
      </c>
    </row>
    <row r="378">
      <c r="A378" s="13" t="str">
        <f>IFERROR(__xludf.DUMMYFUNCTION("""COMPUTED_VALUE"""),"товари")</f>
        <v>товари</v>
      </c>
      <c r="B378" s="16" t="str">
        <f>IFERROR(__xludf.DUMMYFUNCTION("""COMPUTED_VALUE"""),"авто-, мото")</f>
        <v>авто-, мото</v>
      </c>
      <c r="C378" s="16" t="str">
        <f>IFERROR(__xludf.DUMMYFUNCTION("""COMPUTED_VALUE"""),"автозапчастини")</f>
        <v>автозапчастини</v>
      </c>
      <c r="D378" s="16" t="str">
        <f>IFERROR(__xludf.DUMMYFUNCTION("""COMPUTED_VALUE"""),"деталі мостів і приводу трансмісії")</f>
        <v>деталі мостів і приводу трансмісії</v>
      </c>
      <c r="E378" s="16" t="str">
        <f>IFERROR(__xludf.DUMMYFUNCTION("""COMPUTED_VALUE"""),"середній міст автомобіля")</f>
        <v>середній міст автомобіля</v>
      </c>
      <c r="F378" s="17">
        <f>IFERROR(__xludf.DUMMYFUNCTION("""COMPUTED_VALUE"""),4.0)</f>
        <v>4</v>
      </c>
      <c r="G378" s="17" t="str">
        <f>IFERROR(__xludf.DUMMYFUNCTION("""COMPUTED_VALUE"""),"341571")</f>
        <v>341571</v>
      </c>
      <c r="H378" s="17" t="str">
        <f>IFERROR(__xludf.DUMMYFUNCTION("""COMPUTED_VALUE"""),"середній міст автомобіля")</f>
        <v>середній міст автомобіля</v>
      </c>
      <c r="I378" s="19">
        <f>IFERROR(__xludf.DUMMYFUNCTION("""COMPUTED_VALUE"""),0.0474)</f>
        <v>0.0474</v>
      </c>
      <c r="J378" s="19">
        <f>IFERROR(__xludf.DUMMYFUNCTION("""COMPUTED_VALUE"""),0.0948)</f>
        <v>0.0948</v>
      </c>
      <c r="K378" s="19">
        <f>IFERROR(__xludf.DUMMYFUNCTION("""COMPUTED_VALUE"""),0.1185)</f>
        <v>0.1185</v>
      </c>
      <c r="L378" s="19">
        <f>IFERROR(__xludf.DUMMYFUNCTION("""COMPUTED_VALUE"""),0.1422)</f>
        <v>0.1422</v>
      </c>
      <c r="M378" s="18">
        <f>IFERROR(__xludf.DUMMYFUNCTION("""COMPUTED_VALUE"""),1.71)</f>
        <v>1.71</v>
      </c>
    </row>
    <row r="379">
      <c r="A379" s="13" t="str">
        <f>IFERROR(__xludf.DUMMYFUNCTION("""COMPUTED_VALUE"""),"товари")</f>
        <v>товари</v>
      </c>
      <c r="B379" s="16" t="str">
        <f>IFERROR(__xludf.DUMMYFUNCTION("""COMPUTED_VALUE"""),"авто-, мото")</f>
        <v>авто-, мото</v>
      </c>
      <c r="C379" s="16" t="str">
        <f>IFERROR(__xludf.DUMMYFUNCTION("""COMPUTED_VALUE"""),"мототехніка")</f>
        <v>мототехніка</v>
      </c>
      <c r="D379" s="16" t="str">
        <f>IFERROR(__xludf.DUMMYFUNCTION("""COMPUTED_VALUE"""),"запчастини для мототехніки")</f>
        <v>запчастини для мототехніки</v>
      </c>
      <c r="E379" s="16" t="str">
        <f>IFERROR(__xludf.DUMMYFUNCTION("""COMPUTED_VALUE"""),"сидіння для мототехніки")</f>
        <v>сидіння для мототехніки</v>
      </c>
      <c r="F379" s="17">
        <f>IFERROR(__xludf.DUMMYFUNCTION("""COMPUTED_VALUE"""),4.0)</f>
        <v>4</v>
      </c>
      <c r="G379" s="17" t="str">
        <f>IFERROR(__xludf.DUMMYFUNCTION("""COMPUTED_VALUE"""),"340618")</f>
        <v>340618</v>
      </c>
      <c r="H379" s="17" t="str">
        <f>IFERROR(__xludf.DUMMYFUNCTION("""COMPUTED_VALUE"""),"сидіння для мототехніки")</f>
        <v>сидіння для мототехніки</v>
      </c>
      <c r="I379" s="19">
        <f>IFERROR(__xludf.DUMMYFUNCTION("""COMPUTED_VALUE"""),0.0752)</f>
        <v>0.0752</v>
      </c>
      <c r="J379" s="19">
        <f>IFERROR(__xludf.DUMMYFUNCTION("""COMPUTED_VALUE"""),0.1504)</f>
        <v>0.1504</v>
      </c>
      <c r="K379" s="19">
        <f>IFERROR(__xludf.DUMMYFUNCTION("""COMPUTED_VALUE"""),0.188)</f>
        <v>0.188</v>
      </c>
      <c r="L379" s="19">
        <f>IFERROR(__xludf.DUMMYFUNCTION("""COMPUTED_VALUE"""),0.2256)</f>
        <v>0.2256</v>
      </c>
      <c r="M379" s="18">
        <f>IFERROR(__xludf.DUMMYFUNCTION("""COMPUTED_VALUE"""),1.98)</f>
        <v>1.98</v>
      </c>
    </row>
    <row r="380">
      <c r="A380" s="13" t="str">
        <f>IFERROR(__xludf.DUMMYFUNCTION("""COMPUTED_VALUE"""),"товари")</f>
        <v>товари</v>
      </c>
      <c r="B380" s="16" t="str">
        <f>IFERROR(__xludf.DUMMYFUNCTION("""COMPUTED_VALUE"""),"авто-, мото")</f>
        <v>авто-, мото</v>
      </c>
      <c r="C380" s="16" t="str">
        <f>IFERROR(__xludf.DUMMYFUNCTION("""COMPUTED_VALUE"""),"автозапчастини")</f>
        <v>автозапчастини</v>
      </c>
      <c r="D380" s="16" t="str">
        <f>IFERROR(__xludf.DUMMYFUNCTION("""COMPUTED_VALUE"""),"деталі трансмісії транспорту")</f>
        <v>деталі трансмісії транспорту</v>
      </c>
      <c r="E380" s="16" t="str">
        <f>IFERROR(__xludf.DUMMYFUNCTION("""COMPUTED_VALUE"""),"синхронізатори коробки передач")</f>
        <v>синхронізатори коробки передач</v>
      </c>
      <c r="F380" s="17">
        <f>IFERROR(__xludf.DUMMYFUNCTION("""COMPUTED_VALUE"""),4.0)</f>
        <v>4</v>
      </c>
      <c r="G380" s="17" t="str">
        <f>IFERROR(__xludf.DUMMYFUNCTION("""COMPUTED_VALUE"""),"12023808")</f>
        <v>12023808</v>
      </c>
      <c r="H380" s="17" t="str">
        <f>IFERROR(__xludf.DUMMYFUNCTION("""COMPUTED_VALUE"""),"синхронізатори коробки передач")</f>
        <v>синхронізатори коробки передач</v>
      </c>
      <c r="I380" s="19">
        <f>IFERROR(__xludf.DUMMYFUNCTION("""COMPUTED_VALUE"""),0.0475)</f>
        <v>0.0475</v>
      </c>
      <c r="J380" s="19">
        <f>IFERROR(__xludf.DUMMYFUNCTION("""COMPUTED_VALUE"""),0.095)</f>
        <v>0.095</v>
      </c>
      <c r="K380" s="19">
        <f>IFERROR(__xludf.DUMMYFUNCTION("""COMPUTED_VALUE"""),0.1188)</f>
        <v>0.1188</v>
      </c>
      <c r="L380" s="19">
        <f>IFERROR(__xludf.DUMMYFUNCTION("""COMPUTED_VALUE"""),0.1425)</f>
        <v>0.1425</v>
      </c>
      <c r="M380" s="18">
        <f>IFERROR(__xludf.DUMMYFUNCTION("""COMPUTED_VALUE"""),1.53)</f>
        <v>1.53</v>
      </c>
    </row>
    <row r="381">
      <c r="A381" s="13" t="str">
        <f>IFERROR(__xludf.DUMMYFUNCTION("""COMPUTED_VALUE"""),"товари")</f>
        <v>товари</v>
      </c>
      <c r="B381" s="16" t="str">
        <f>IFERROR(__xludf.DUMMYFUNCTION("""COMPUTED_VALUE"""),"авто-, мото")</f>
        <v>авто-, мото</v>
      </c>
      <c r="C381" s="16" t="str">
        <f>IFERROR(__xludf.DUMMYFUNCTION("""COMPUTED_VALUE"""),"автозапчастини")</f>
        <v>автозапчастини</v>
      </c>
      <c r="D381" s="16" t="str">
        <f>IFERROR(__xludf.DUMMYFUNCTION("""COMPUTED_VALUE"""),"система очищення вікон і фар автомобіля")</f>
        <v>система очищення вікон і фар автомобіля</v>
      </c>
      <c r="E381" s="16" t="str">
        <f>IFERROR(__xludf.DUMMYFUNCTION("""COMPUTED_VALUE"""),"система очищення вікон і фар автомобіля, загальне")</f>
        <v>система очищення вікон і фар автомобіля, загальне</v>
      </c>
      <c r="F381" s="17">
        <f>IFERROR(__xludf.DUMMYFUNCTION("""COMPUTED_VALUE"""),4.0)</f>
        <v>4</v>
      </c>
      <c r="G381" s="17" t="str">
        <f>IFERROR(__xludf.DUMMYFUNCTION("""COMPUTED_VALUE"""),"341596")</f>
        <v>341596</v>
      </c>
      <c r="H381" s="17" t="str">
        <f>IFERROR(__xludf.DUMMYFUNCTION("""COMPUTED_VALUE"""),"система очищення вікон і фар автомобіля, загальне")</f>
        <v>система очищення вікон і фар автомобіля, загальне</v>
      </c>
      <c r="I381" s="19">
        <f>IFERROR(__xludf.DUMMYFUNCTION("""COMPUTED_VALUE"""),0.125)</f>
        <v>0.125</v>
      </c>
      <c r="J381" s="19">
        <f>IFERROR(__xludf.DUMMYFUNCTION("""COMPUTED_VALUE"""),0.25)</f>
        <v>0.25</v>
      </c>
      <c r="K381" s="19">
        <f>IFERROR(__xludf.DUMMYFUNCTION("""COMPUTED_VALUE"""),0.3125)</f>
        <v>0.3125</v>
      </c>
      <c r="L381" s="19">
        <f>IFERROR(__xludf.DUMMYFUNCTION("""COMPUTED_VALUE"""),0.375)</f>
        <v>0.375</v>
      </c>
      <c r="M381" s="18">
        <f>IFERROR(__xludf.DUMMYFUNCTION("""COMPUTED_VALUE"""),4.33)</f>
        <v>4.33</v>
      </c>
    </row>
    <row r="382">
      <c r="A382" s="13" t="str">
        <f>IFERROR(__xludf.DUMMYFUNCTION("""COMPUTED_VALUE"""),"товари")</f>
        <v>товари</v>
      </c>
      <c r="B382" s="16" t="str">
        <f>IFERROR(__xludf.DUMMYFUNCTION("""COMPUTED_VALUE"""),"авто-, мото")</f>
        <v>авто-, мото</v>
      </c>
      <c r="C382" s="16" t="str">
        <f>IFERROR(__xludf.DUMMYFUNCTION("""COMPUTED_VALUE"""),"автомобільна електроніка")</f>
        <v>автомобільна електроніка</v>
      </c>
      <c r="D382" s="16" t="str">
        <f>IFERROR(__xludf.DUMMYFUNCTION("""COMPUTED_VALUE"""),"системи круїз-контролю")</f>
        <v>системи круїз-контролю</v>
      </c>
      <c r="E382" s="16" t="str">
        <f>IFERROR(__xludf.DUMMYFUNCTION("""COMPUTED_VALUE"""),"системи круїз-контролю")</f>
        <v>системи круїз-контролю</v>
      </c>
      <c r="F382" s="17">
        <f>IFERROR(__xludf.DUMMYFUNCTION("""COMPUTED_VALUE"""),3.0)</f>
        <v>3</v>
      </c>
      <c r="G382" s="17" t="str">
        <f>IFERROR(__xludf.DUMMYFUNCTION("""COMPUTED_VALUE"""),"340423")</f>
        <v>340423</v>
      </c>
      <c r="H382" s="17" t="str">
        <f>IFERROR(__xludf.DUMMYFUNCTION("""COMPUTED_VALUE"""),"системи круїз-контролю")</f>
        <v>системи круїз-контролю</v>
      </c>
      <c r="I382" s="19">
        <f>IFERROR(__xludf.DUMMYFUNCTION("""COMPUTED_VALUE"""),0.0571)</f>
        <v>0.0571</v>
      </c>
      <c r="J382" s="19">
        <f>IFERROR(__xludf.DUMMYFUNCTION("""COMPUTED_VALUE"""),0.1141)</f>
        <v>0.1141</v>
      </c>
      <c r="K382" s="19">
        <f>IFERROR(__xludf.DUMMYFUNCTION("""COMPUTED_VALUE"""),0.1426)</f>
        <v>0.1426</v>
      </c>
      <c r="L382" s="19">
        <f>IFERROR(__xludf.DUMMYFUNCTION("""COMPUTED_VALUE"""),0.1712)</f>
        <v>0.1712</v>
      </c>
      <c r="M382" s="18">
        <f>IFERROR(__xludf.DUMMYFUNCTION("""COMPUTED_VALUE"""),1.05)</f>
        <v>1.05</v>
      </c>
    </row>
    <row r="383">
      <c r="A383" s="13" t="str">
        <f>IFERROR(__xludf.DUMMYFUNCTION("""COMPUTED_VALUE"""),"товари")</f>
        <v>товари</v>
      </c>
      <c r="B383" s="16" t="str">
        <f>IFERROR(__xludf.DUMMYFUNCTION("""COMPUTED_VALUE"""),"авто-, мото")</f>
        <v>авто-, мото</v>
      </c>
      <c r="C383" s="16" t="str">
        <f>IFERROR(__xludf.DUMMYFUNCTION("""COMPUTED_VALUE"""),"автозапчастини")</f>
        <v>автозапчастини</v>
      </c>
      <c r="D383" s="16" t="str">
        <f>IFERROR(__xludf.DUMMYFUNCTION("""COMPUTED_VALUE"""),"світлові прилади транспорту")</f>
        <v>світлові прилади транспорту</v>
      </c>
      <c r="E383" s="16" t="str">
        <f>IFERROR(__xludf.DUMMYFUNCTION("""COMPUTED_VALUE"""),"скло фар і ліхтарів")</f>
        <v>скло фар і ліхтарів</v>
      </c>
      <c r="F383" s="17">
        <f>IFERROR(__xludf.DUMMYFUNCTION("""COMPUTED_VALUE"""),4.0)</f>
        <v>4</v>
      </c>
      <c r="G383" s="17" t="str">
        <f>IFERROR(__xludf.DUMMYFUNCTION("""COMPUTED_VALUE"""),"12020610")</f>
        <v>12020610</v>
      </c>
      <c r="H383" s="17" t="str">
        <f>IFERROR(__xludf.DUMMYFUNCTION("""COMPUTED_VALUE"""),"скло фар і ліхтарів")</f>
        <v>скло фар і ліхтарів</v>
      </c>
      <c r="I383" s="19">
        <f>IFERROR(__xludf.DUMMYFUNCTION("""COMPUTED_VALUE"""),0.0722)</f>
        <v>0.0722</v>
      </c>
      <c r="J383" s="19">
        <f>IFERROR(__xludf.DUMMYFUNCTION("""COMPUTED_VALUE"""),0.1443)</f>
        <v>0.1443</v>
      </c>
      <c r="K383" s="19">
        <f>IFERROR(__xludf.DUMMYFUNCTION("""COMPUTED_VALUE"""),0.1804)</f>
        <v>0.1804</v>
      </c>
      <c r="L383" s="19">
        <f>IFERROR(__xludf.DUMMYFUNCTION("""COMPUTED_VALUE"""),0.2165)</f>
        <v>0.2165</v>
      </c>
      <c r="M383" s="18">
        <f>IFERROR(__xludf.DUMMYFUNCTION("""COMPUTED_VALUE"""),2.16)</f>
        <v>2.16</v>
      </c>
    </row>
    <row r="384">
      <c r="A384" s="13" t="str">
        <f>IFERROR(__xludf.DUMMYFUNCTION("""COMPUTED_VALUE"""),"товари")</f>
        <v>товари</v>
      </c>
      <c r="B384" s="16" t="str">
        <f>IFERROR(__xludf.DUMMYFUNCTION("""COMPUTED_VALUE"""),"авто-, мото")</f>
        <v>авто-, мото</v>
      </c>
      <c r="C384" s="16" t="str">
        <f>IFERROR(__xludf.DUMMYFUNCTION("""COMPUTED_VALUE"""),"автозапчастини")</f>
        <v>автозапчастини</v>
      </c>
      <c r="D384" s="16" t="str">
        <f>IFERROR(__xludf.DUMMYFUNCTION("""COMPUTED_VALUE"""),"склоочисники, двірники")</f>
        <v>склоочисники, двірники</v>
      </c>
      <c r="E384" s="16" t="str">
        <f>IFERROR(__xludf.DUMMYFUNCTION("""COMPUTED_VALUE"""),"склоочисники, двірники")</f>
        <v>склоочисники, двірники</v>
      </c>
      <c r="F384" s="17">
        <f>IFERROR(__xludf.DUMMYFUNCTION("""COMPUTED_VALUE"""),3.0)</f>
        <v>3</v>
      </c>
      <c r="G384" s="17" t="str">
        <f>IFERROR(__xludf.DUMMYFUNCTION("""COMPUTED_VALUE"""),"120223")</f>
        <v>120223</v>
      </c>
      <c r="H384" s="17" t="str">
        <f>IFERROR(__xludf.DUMMYFUNCTION("""COMPUTED_VALUE"""),"склоочисники, двірники")</f>
        <v>склоочисники, двірники</v>
      </c>
      <c r="I384" s="19">
        <f>IFERROR(__xludf.DUMMYFUNCTION("""COMPUTED_VALUE"""),0.0718)</f>
        <v>0.0718</v>
      </c>
      <c r="J384" s="19">
        <f>IFERROR(__xludf.DUMMYFUNCTION("""COMPUTED_VALUE"""),0.1436)</f>
        <v>0.1436</v>
      </c>
      <c r="K384" s="19">
        <f>IFERROR(__xludf.DUMMYFUNCTION("""COMPUTED_VALUE"""),0.1795)</f>
        <v>0.1795</v>
      </c>
      <c r="L384" s="19">
        <f>IFERROR(__xludf.DUMMYFUNCTION("""COMPUTED_VALUE"""),0.2154)</f>
        <v>0.2154</v>
      </c>
      <c r="M384" s="18">
        <f>IFERROR(__xludf.DUMMYFUNCTION("""COMPUTED_VALUE"""),1.53)</f>
        <v>1.53</v>
      </c>
    </row>
    <row r="385">
      <c r="A385" s="13" t="str">
        <f>IFERROR(__xludf.DUMMYFUNCTION("""COMPUTED_VALUE"""),"товари")</f>
        <v>товари</v>
      </c>
      <c r="B385" s="16" t="str">
        <f>IFERROR(__xludf.DUMMYFUNCTION("""COMPUTED_VALUE"""),"авто-, мото")</f>
        <v>авто-, мото</v>
      </c>
      <c r="C385" s="16" t="str">
        <f>IFERROR(__xludf.DUMMYFUNCTION("""COMPUTED_VALUE"""),"автозапчастини")</f>
        <v>автозапчастини</v>
      </c>
      <c r="D385" s="16" t="str">
        <f>IFERROR(__xludf.DUMMYFUNCTION("""COMPUTED_VALUE"""),"кузовні запчастини")</f>
        <v>кузовні запчастини</v>
      </c>
      <c r="E385" s="16" t="str">
        <f>IFERROR(__xludf.DUMMYFUNCTION("""COMPUTED_VALUE"""),"склопідйомники")</f>
        <v>склопідйомники</v>
      </c>
      <c r="F385" s="17">
        <f>IFERROR(__xludf.DUMMYFUNCTION("""COMPUTED_VALUE"""),4.0)</f>
        <v>4</v>
      </c>
      <c r="G385" s="17" t="str">
        <f>IFERROR(__xludf.DUMMYFUNCTION("""COMPUTED_VALUE"""),"341552")</f>
        <v>341552</v>
      </c>
      <c r="H385" s="17" t="str">
        <f>IFERROR(__xludf.DUMMYFUNCTION("""COMPUTED_VALUE"""),"склопідйомники")</f>
        <v>склопідйомники</v>
      </c>
      <c r="I385" s="19">
        <f>IFERROR(__xludf.DUMMYFUNCTION("""COMPUTED_VALUE"""),0.0583)</f>
        <v>0.0583</v>
      </c>
      <c r="J385" s="19">
        <f>IFERROR(__xludf.DUMMYFUNCTION("""COMPUTED_VALUE"""),0.1166)</f>
        <v>0.1166</v>
      </c>
      <c r="K385" s="19">
        <f>IFERROR(__xludf.DUMMYFUNCTION("""COMPUTED_VALUE"""),0.1458)</f>
        <v>0.1458</v>
      </c>
      <c r="L385" s="19">
        <f>IFERROR(__xludf.DUMMYFUNCTION("""COMPUTED_VALUE"""),0.1749)</f>
        <v>0.1749</v>
      </c>
      <c r="M385" s="18">
        <f>IFERROR(__xludf.DUMMYFUNCTION("""COMPUTED_VALUE"""),1.53)</f>
        <v>1.53</v>
      </c>
    </row>
    <row r="386">
      <c r="A386" s="13" t="str">
        <f>IFERROR(__xludf.DUMMYFUNCTION("""COMPUTED_VALUE"""),"товари")</f>
        <v>товари</v>
      </c>
      <c r="B386" s="16" t="str">
        <f>IFERROR(__xludf.DUMMYFUNCTION("""COMPUTED_VALUE"""),"авто-, мото")</f>
        <v>авто-, мото</v>
      </c>
      <c r="C386" s="16" t="str">
        <f>IFERROR(__xludf.DUMMYFUNCTION("""COMPUTED_VALUE"""),"мототехніка")</f>
        <v>мототехніка</v>
      </c>
      <c r="D386" s="16" t="str">
        <f>IFERROR(__xludf.DUMMYFUNCTION("""COMPUTED_VALUE"""),"снігоходи")</f>
        <v>снігоходи</v>
      </c>
      <c r="E386" s="16" t="str">
        <f>IFERROR(__xludf.DUMMYFUNCTION("""COMPUTED_VALUE"""),"снігоходи")</f>
        <v>снігоходи</v>
      </c>
      <c r="F386" s="17">
        <f>IFERROR(__xludf.DUMMYFUNCTION("""COMPUTED_VALUE"""),3.0)</f>
        <v>3</v>
      </c>
      <c r="G386" s="17" t="str">
        <f>IFERROR(__xludf.DUMMYFUNCTION("""COMPUTED_VALUE"""),"120306")</f>
        <v>120306</v>
      </c>
      <c r="H386" s="17" t="str">
        <f>IFERROR(__xludf.DUMMYFUNCTION("""COMPUTED_VALUE"""),"снігоходи")</f>
        <v>снігоходи</v>
      </c>
      <c r="I386" s="19">
        <f>IFERROR(__xludf.DUMMYFUNCTION("""COMPUTED_VALUE"""),0.0585)</f>
        <v>0.0585</v>
      </c>
      <c r="J386" s="19">
        <f>IFERROR(__xludf.DUMMYFUNCTION("""COMPUTED_VALUE"""),0.117)</f>
        <v>0.117</v>
      </c>
      <c r="K386" s="19">
        <f>IFERROR(__xludf.DUMMYFUNCTION("""COMPUTED_VALUE"""),0.1463)</f>
        <v>0.1463</v>
      </c>
      <c r="L386" s="19">
        <f>IFERROR(__xludf.DUMMYFUNCTION("""COMPUTED_VALUE"""),0.1755)</f>
        <v>0.1755</v>
      </c>
      <c r="M386" s="18">
        <f>IFERROR(__xludf.DUMMYFUNCTION("""COMPUTED_VALUE"""),1.05)</f>
        <v>1.05</v>
      </c>
    </row>
    <row r="387">
      <c r="A387" s="13" t="str">
        <f>IFERROR(__xludf.DUMMYFUNCTION("""COMPUTED_VALUE"""),"товари")</f>
        <v>товари</v>
      </c>
      <c r="B387" s="16" t="str">
        <f>IFERROR(__xludf.DUMMYFUNCTION("""COMPUTED_VALUE"""),"авто-, мото")</f>
        <v>авто-, мото</v>
      </c>
      <c r="C387" s="16" t="str">
        <f>IFERROR(__xludf.DUMMYFUNCTION("""COMPUTED_VALUE"""),"аксесуари для авто")</f>
        <v>аксесуари для авто</v>
      </c>
      <c r="D387" s="16" t="str">
        <f>IFERROR(__xludf.DUMMYFUNCTION("""COMPUTED_VALUE"""),"аксесуари салону автомобіля")</f>
        <v>аксесуари салону автомобіля</v>
      </c>
      <c r="E387" s="16" t="str">
        <f>IFERROR(__xludf.DUMMYFUNCTION("""COMPUTED_VALUE"""),"сонцезахисні козирки для салону автомобіля")</f>
        <v>сонцезахисні козирки для салону автомобіля</v>
      </c>
      <c r="F387" s="17">
        <f>IFERROR(__xludf.DUMMYFUNCTION("""COMPUTED_VALUE"""),4.0)</f>
        <v>4</v>
      </c>
      <c r="G387" s="17" t="str">
        <f>IFERROR(__xludf.DUMMYFUNCTION("""COMPUTED_VALUE"""),"121248")</f>
        <v>121248</v>
      </c>
      <c r="H387" s="17" t="str">
        <f>IFERROR(__xludf.DUMMYFUNCTION("""COMPUTED_VALUE"""),"сонцезахисні козирки для салону автомобіля")</f>
        <v>сонцезахисні козирки для салону автомобіля</v>
      </c>
      <c r="I387" s="19">
        <f>IFERROR(__xludf.DUMMYFUNCTION("""COMPUTED_VALUE"""),0.0746)</f>
        <v>0.0746</v>
      </c>
      <c r="J387" s="19">
        <f>IFERROR(__xludf.DUMMYFUNCTION("""COMPUTED_VALUE"""),0.1491)</f>
        <v>0.1491</v>
      </c>
      <c r="K387" s="19">
        <f>IFERROR(__xludf.DUMMYFUNCTION("""COMPUTED_VALUE"""),0.1864)</f>
        <v>0.1864</v>
      </c>
      <c r="L387" s="19">
        <f>IFERROR(__xludf.DUMMYFUNCTION("""COMPUTED_VALUE"""),0.2237)</f>
        <v>0.2237</v>
      </c>
      <c r="M387" s="18">
        <f>IFERROR(__xludf.DUMMYFUNCTION("""COMPUTED_VALUE"""),2.53)</f>
        <v>2.53</v>
      </c>
    </row>
    <row r="388">
      <c r="A388" s="13" t="str">
        <f>IFERROR(__xludf.DUMMYFUNCTION("""COMPUTED_VALUE"""),"товари")</f>
        <v>товари</v>
      </c>
      <c r="B388" s="16" t="str">
        <f>IFERROR(__xludf.DUMMYFUNCTION("""COMPUTED_VALUE"""),"авто-, мото")</f>
        <v>авто-, мото</v>
      </c>
      <c r="C388" s="16" t="str">
        <f>IFERROR(__xludf.DUMMYFUNCTION("""COMPUTED_VALUE"""),"аксесуари для авто")</f>
        <v>аксесуари для авто</v>
      </c>
      <c r="D388" s="16" t="str">
        <f>IFERROR(__xludf.DUMMYFUNCTION("""COMPUTED_VALUE"""),"аксесуари для автотюнингу")</f>
        <v>аксесуари для автотюнингу</v>
      </c>
      <c r="E388" s="16" t="str">
        <f>IFERROR(__xludf.DUMMYFUNCTION("""COMPUTED_VALUE"""),"спойлери")</f>
        <v>спойлери</v>
      </c>
      <c r="F388" s="17">
        <f>IFERROR(__xludf.DUMMYFUNCTION("""COMPUTED_VALUE"""),4.0)</f>
        <v>4</v>
      </c>
      <c r="G388" s="17" t="str">
        <f>IFERROR(__xludf.DUMMYFUNCTION("""COMPUTED_VALUE"""),"121209")</f>
        <v>121209</v>
      </c>
      <c r="H388" s="17" t="str">
        <f>IFERROR(__xludf.DUMMYFUNCTION("""COMPUTED_VALUE"""),"спойлери")</f>
        <v>спойлери</v>
      </c>
      <c r="I388" s="19">
        <f>IFERROR(__xludf.DUMMYFUNCTION("""COMPUTED_VALUE"""),0.0768)</f>
        <v>0.0768</v>
      </c>
      <c r="J388" s="19">
        <f>IFERROR(__xludf.DUMMYFUNCTION("""COMPUTED_VALUE"""),0.1535)</f>
        <v>0.1535</v>
      </c>
      <c r="K388" s="19">
        <f>IFERROR(__xludf.DUMMYFUNCTION("""COMPUTED_VALUE"""),0.1919)</f>
        <v>0.1919</v>
      </c>
      <c r="L388" s="19">
        <f>IFERROR(__xludf.DUMMYFUNCTION("""COMPUTED_VALUE"""),0.2303)</f>
        <v>0.2303</v>
      </c>
      <c r="M388" s="18">
        <f>IFERROR(__xludf.DUMMYFUNCTION("""COMPUTED_VALUE"""),1.53)</f>
        <v>1.53</v>
      </c>
    </row>
    <row r="389">
      <c r="A389" s="13" t="str">
        <f>IFERROR(__xludf.DUMMYFUNCTION("""COMPUTED_VALUE"""),"товари")</f>
        <v>товари</v>
      </c>
      <c r="B389" s="16" t="str">
        <f>IFERROR(__xludf.DUMMYFUNCTION("""COMPUTED_VALUE"""),"авто-, мото")</f>
        <v>авто-, мото</v>
      </c>
      <c r="C389" s="16" t="str">
        <f>IFERROR(__xludf.DUMMYFUNCTION("""COMPUTED_VALUE"""),"автозапчастини")</f>
        <v>автозапчастини</v>
      </c>
      <c r="D389" s="16" t="str">
        <f>IFERROR(__xludf.DUMMYFUNCTION("""COMPUTED_VALUE"""),"деталі ходової")</f>
        <v>деталі ходової</v>
      </c>
      <c r="E389" s="16" t="str">
        <f>IFERROR(__xludf.DUMMYFUNCTION("""COMPUTED_VALUE"""),"стабілізатори, тяги стабілізатора, стійки стабілізатора")</f>
        <v>стабілізатори, тяги стабілізатора, стійки стабілізатора</v>
      </c>
      <c r="F389" s="17">
        <f>IFERROR(__xludf.DUMMYFUNCTION("""COMPUTED_VALUE"""),4.0)</f>
        <v>4</v>
      </c>
      <c r="G389" s="17" t="str">
        <f>IFERROR(__xludf.DUMMYFUNCTION("""COMPUTED_VALUE"""),"341536")</f>
        <v>341536</v>
      </c>
      <c r="H389" s="17" t="str">
        <f>IFERROR(__xludf.DUMMYFUNCTION("""COMPUTED_VALUE"""),"стабілізатори, тяги стабілізатора, стійки стабілізатора")</f>
        <v>стабілізатори, тяги стабілізатора, стійки стабілізатора</v>
      </c>
      <c r="I389" s="19">
        <f>IFERROR(__xludf.DUMMYFUNCTION("""COMPUTED_VALUE"""),0.0542)</f>
        <v>0.0542</v>
      </c>
      <c r="J389" s="19">
        <f>IFERROR(__xludf.DUMMYFUNCTION("""COMPUTED_VALUE"""),0.1084)</f>
        <v>0.1084</v>
      </c>
      <c r="K389" s="19">
        <f>IFERROR(__xludf.DUMMYFUNCTION("""COMPUTED_VALUE"""),0.1355)</f>
        <v>0.1355</v>
      </c>
      <c r="L389" s="19">
        <f>IFERROR(__xludf.DUMMYFUNCTION("""COMPUTED_VALUE"""),0.1626)</f>
        <v>0.1626</v>
      </c>
      <c r="M389" s="18">
        <f>IFERROR(__xludf.DUMMYFUNCTION("""COMPUTED_VALUE"""),1.53)</f>
        <v>1.53</v>
      </c>
    </row>
    <row r="390">
      <c r="A390" s="13" t="str">
        <f>IFERROR(__xludf.DUMMYFUNCTION("""COMPUTED_VALUE"""),"товари")</f>
        <v>товари</v>
      </c>
      <c r="B390" s="16" t="str">
        <f>IFERROR(__xludf.DUMMYFUNCTION("""COMPUTED_VALUE"""),"авто-, мото")</f>
        <v>авто-, мото</v>
      </c>
      <c r="C390" s="16" t="str">
        <f>IFERROR(__xludf.DUMMYFUNCTION("""COMPUTED_VALUE"""),"електрообладнання автомобілів")</f>
        <v>електрообладнання автомобілів</v>
      </c>
      <c r="D390" s="16" t="str">
        <f>IFERROR(__xludf.DUMMYFUNCTION("""COMPUTED_VALUE"""),"стартери і комплектуючі")</f>
        <v>стартери і комплектуючі</v>
      </c>
      <c r="E390" s="16" t="str">
        <f>IFERROR(__xludf.DUMMYFUNCTION("""COMPUTED_VALUE"""),"стартери і комплектуючі")</f>
        <v>стартери і комплектуючі</v>
      </c>
      <c r="F390" s="17">
        <f>IFERROR(__xludf.DUMMYFUNCTION("""COMPUTED_VALUE"""),3.0)</f>
        <v>3</v>
      </c>
      <c r="G390" s="17" t="str">
        <f>IFERROR(__xludf.DUMMYFUNCTION("""COMPUTED_VALUE"""),"12020301")</f>
        <v>12020301</v>
      </c>
      <c r="H390" s="17" t="str">
        <f>IFERROR(__xludf.DUMMYFUNCTION("""COMPUTED_VALUE"""),"стартери і комплектуючі")</f>
        <v>стартери і комплектуючі</v>
      </c>
      <c r="I390" s="19">
        <f>IFERROR(__xludf.DUMMYFUNCTION("""COMPUTED_VALUE"""),0.0512)</f>
        <v>0.0512</v>
      </c>
      <c r="J390" s="19">
        <f>IFERROR(__xludf.DUMMYFUNCTION("""COMPUTED_VALUE"""),0.1024)</f>
        <v>0.1024</v>
      </c>
      <c r="K390" s="19">
        <f>IFERROR(__xludf.DUMMYFUNCTION("""COMPUTED_VALUE"""),0.128)</f>
        <v>0.128</v>
      </c>
      <c r="L390" s="19">
        <f>IFERROR(__xludf.DUMMYFUNCTION("""COMPUTED_VALUE"""),0.1536)</f>
        <v>0.1536</v>
      </c>
      <c r="M390" s="18">
        <f>IFERROR(__xludf.DUMMYFUNCTION("""COMPUTED_VALUE"""),1.98)</f>
        <v>1.98</v>
      </c>
    </row>
    <row r="391">
      <c r="A391" s="13" t="str">
        <f>IFERROR(__xludf.DUMMYFUNCTION("""COMPUTED_VALUE"""),"товари")</f>
        <v>товари</v>
      </c>
      <c r="B391" s="16" t="str">
        <f>IFERROR(__xludf.DUMMYFUNCTION("""COMPUTED_VALUE"""),"авто-, мото")</f>
        <v>авто-, мото</v>
      </c>
      <c r="C391" s="16" t="str">
        <f>IFERROR(__xludf.DUMMYFUNCTION("""COMPUTED_VALUE"""),"аксесуари для авто")</f>
        <v>аксесуари для авто</v>
      </c>
      <c r="D391" s="16" t="str">
        <f>IFERROR(__xludf.DUMMYFUNCTION("""COMPUTED_VALUE"""),"аксесуари для кузова автомобіля")</f>
        <v>аксесуари для кузова автомобіля</v>
      </c>
      <c r="E391" s="16" t="str">
        <f>IFERROR(__xludf.DUMMYFUNCTION("""COMPUTED_VALUE"""),"стрічки для контурного маркування транспортних засобів, катафоти")</f>
        <v>стрічки для контурного маркування транспортних засобів, катафоти</v>
      </c>
      <c r="F391" s="17">
        <f>IFERROR(__xludf.DUMMYFUNCTION("""COMPUTED_VALUE"""),4.0)</f>
        <v>4</v>
      </c>
      <c r="G391" s="17" t="str">
        <f>IFERROR(__xludf.DUMMYFUNCTION("""COMPUTED_VALUE"""),"121225")</f>
        <v>121225</v>
      </c>
      <c r="H391" s="17" t="str">
        <f>IFERROR(__xludf.DUMMYFUNCTION("""COMPUTED_VALUE"""),"стрічки для контурного маркування транспортних засобів, катафоти")</f>
        <v>стрічки для контурного маркування транспортних засобів, катафоти</v>
      </c>
      <c r="I391" s="19">
        <f>IFERROR(__xludf.DUMMYFUNCTION("""COMPUTED_VALUE"""),0.0708)</f>
        <v>0.0708</v>
      </c>
      <c r="J391" s="19">
        <f>IFERROR(__xludf.DUMMYFUNCTION("""COMPUTED_VALUE"""),0.1415)</f>
        <v>0.1415</v>
      </c>
      <c r="K391" s="19">
        <f>IFERROR(__xludf.DUMMYFUNCTION("""COMPUTED_VALUE"""),0.1769)</f>
        <v>0.1769</v>
      </c>
      <c r="L391" s="19">
        <f>IFERROR(__xludf.DUMMYFUNCTION("""COMPUTED_VALUE"""),0.2123)</f>
        <v>0.2123</v>
      </c>
      <c r="M391" s="18">
        <f>IFERROR(__xludf.DUMMYFUNCTION("""COMPUTED_VALUE"""),1.63)</f>
        <v>1.63</v>
      </c>
    </row>
    <row r="392">
      <c r="A392" s="13" t="str">
        <f>IFERROR(__xludf.DUMMYFUNCTION("""COMPUTED_VALUE"""),"товари")</f>
        <v>товари</v>
      </c>
      <c r="B392" s="16" t="str">
        <f>IFERROR(__xludf.DUMMYFUNCTION("""COMPUTED_VALUE"""),"авто-, мото")</f>
        <v>авто-, мото</v>
      </c>
      <c r="C392" s="16" t="str">
        <f>IFERROR(__xludf.DUMMYFUNCTION("""COMPUTED_VALUE"""),"автозапчастини")</f>
        <v>автозапчастини</v>
      </c>
      <c r="D392" s="16" t="str">
        <f>IFERROR(__xludf.DUMMYFUNCTION("""COMPUTED_VALUE"""),"деталі ходової")</f>
        <v>деталі ходової</v>
      </c>
      <c r="E392" s="16" t="str">
        <f>IFERROR(__xludf.DUMMYFUNCTION("""COMPUTED_VALUE"""),"ступичні болти, шпильки і гайки")</f>
        <v>ступичні болти, шпильки і гайки</v>
      </c>
      <c r="F392" s="17">
        <f>IFERROR(__xludf.DUMMYFUNCTION("""COMPUTED_VALUE"""),4.0)</f>
        <v>4</v>
      </c>
      <c r="G392" s="17" t="str">
        <f>IFERROR(__xludf.DUMMYFUNCTION("""COMPUTED_VALUE"""),"341566")</f>
        <v>341566</v>
      </c>
      <c r="H392" s="17" t="str">
        <f>IFERROR(__xludf.DUMMYFUNCTION("""COMPUTED_VALUE"""),"ступичні болти, шпильки і гайки")</f>
        <v>ступичні болти, шпильки і гайки</v>
      </c>
      <c r="I392" s="19">
        <f>IFERROR(__xludf.DUMMYFUNCTION("""COMPUTED_VALUE"""),0.0704)</f>
        <v>0.0704</v>
      </c>
      <c r="J392" s="19">
        <f>IFERROR(__xludf.DUMMYFUNCTION("""COMPUTED_VALUE"""),0.1408)</f>
        <v>0.1408</v>
      </c>
      <c r="K392" s="19">
        <f>IFERROR(__xludf.DUMMYFUNCTION("""COMPUTED_VALUE"""),0.176)</f>
        <v>0.176</v>
      </c>
      <c r="L392" s="19">
        <f>IFERROR(__xludf.DUMMYFUNCTION("""COMPUTED_VALUE"""),0.2112)</f>
        <v>0.2112</v>
      </c>
      <c r="M392" s="18">
        <f>IFERROR(__xludf.DUMMYFUNCTION("""COMPUTED_VALUE"""),1.53)</f>
        <v>1.53</v>
      </c>
    </row>
    <row r="393">
      <c r="A393" s="13" t="str">
        <f>IFERROR(__xludf.DUMMYFUNCTION("""COMPUTED_VALUE"""),"товари")</f>
        <v>товари</v>
      </c>
      <c r="B393" s="16" t="str">
        <f>IFERROR(__xludf.DUMMYFUNCTION("""COMPUTED_VALUE"""),"авто-, мото")</f>
        <v>авто-, мото</v>
      </c>
      <c r="C393" s="16" t="str">
        <f>IFERROR(__xludf.DUMMYFUNCTION("""COMPUTED_VALUE"""),"аксесуари для авто")</f>
        <v>аксесуари для авто</v>
      </c>
      <c r="D393" s="16" t="str">
        <f>IFERROR(__xludf.DUMMYFUNCTION("""COMPUTED_VALUE"""),"засоби аварійної безпеки")</f>
        <v>засоби аварійної безпеки</v>
      </c>
      <c r="E393" s="16" t="str">
        <f>IFERROR(__xludf.DUMMYFUNCTION("""COMPUTED_VALUE"""),"стяжні, буксирувальні гаки та троси")</f>
        <v>стяжні, буксирувальні гаки та троси</v>
      </c>
      <c r="F393" s="17">
        <f>IFERROR(__xludf.DUMMYFUNCTION("""COMPUTED_VALUE"""),4.0)</f>
        <v>4</v>
      </c>
      <c r="G393" s="17" t="str">
        <f>IFERROR(__xludf.DUMMYFUNCTION("""COMPUTED_VALUE"""),"121249")</f>
        <v>121249</v>
      </c>
      <c r="H393" s="17" t="str">
        <f>IFERROR(__xludf.DUMMYFUNCTION("""COMPUTED_VALUE"""),"стяжні, буксирувальні гаки та троси")</f>
        <v>стяжні, буксирувальні гаки та троси</v>
      </c>
      <c r="I393" s="19">
        <f>IFERROR(__xludf.DUMMYFUNCTION("""COMPUTED_VALUE"""),0.0761)</f>
        <v>0.0761</v>
      </c>
      <c r="J393" s="19">
        <f>IFERROR(__xludf.DUMMYFUNCTION("""COMPUTED_VALUE"""),0.1521)</f>
        <v>0.1521</v>
      </c>
      <c r="K393" s="19">
        <f>IFERROR(__xludf.DUMMYFUNCTION("""COMPUTED_VALUE"""),0.1901)</f>
        <v>0.1901</v>
      </c>
      <c r="L393" s="19">
        <f>IFERROR(__xludf.DUMMYFUNCTION("""COMPUTED_VALUE"""),0.2282)</f>
        <v>0.2282</v>
      </c>
      <c r="M393" s="18">
        <f>IFERROR(__xludf.DUMMYFUNCTION("""COMPUTED_VALUE"""),1.71)</f>
        <v>1.71</v>
      </c>
    </row>
    <row r="394">
      <c r="A394" s="13" t="str">
        <f>IFERROR(__xludf.DUMMYFUNCTION("""COMPUTED_VALUE"""),"товари")</f>
        <v>товари</v>
      </c>
      <c r="B394" s="16" t="str">
        <f>IFERROR(__xludf.DUMMYFUNCTION("""COMPUTED_VALUE"""),"авто-, мото")</f>
        <v>авто-, мото</v>
      </c>
      <c r="C394" s="16" t="str">
        <f>IFERROR(__xludf.DUMMYFUNCTION("""COMPUTED_VALUE"""),"автозапчастини")</f>
        <v>автозапчастини</v>
      </c>
      <c r="D394" s="16" t="str">
        <f>IFERROR(__xludf.DUMMYFUNCTION("""COMPUTED_VALUE"""),"система охолодження двигуна")</f>
        <v>система охолодження двигуна</v>
      </c>
      <c r="E394" s="16" t="str">
        <f>IFERROR(__xludf.DUMMYFUNCTION("""COMPUTED_VALUE"""),"термостати і комплектуючі системи охолодження")</f>
        <v>термостати і комплектуючі системи охолодження</v>
      </c>
      <c r="F394" s="17">
        <f>IFERROR(__xludf.DUMMYFUNCTION("""COMPUTED_VALUE"""),4.0)</f>
        <v>4</v>
      </c>
      <c r="G394" s="17" t="str">
        <f>IFERROR(__xludf.DUMMYFUNCTION("""COMPUTED_VALUE"""),"120214")</f>
        <v>120214</v>
      </c>
      <c r="H394" s="17" t="str">
        <f>IFERROR(__xludf.DUMMYFUNCTION("""COMPUTED_VALUE"""),"термостати і комплектуючі системи охолодження")</f>
        <v>термостати і комплектуючі системи охолодження</v>
      </c>
      <c r="I394" s="19">
        <f>IFERROR(__xludf.DUMMYFUNCTION("""COMPUTED_VALUE"""),0.0541)</f>
        <v>0.0541</v>
      </c>
      <c r="J394" s="19">
        <f>IFERROR(__xludf.DUMMYFUNCTION("""COMPUTED_VALUE"""),0.1081)</f>
        <v>0.1081</v>
      </c>
      <c r="K394" s="19">
        <f>IFERROR(__xludf.DUMMYFUNCTION("""COMPUTED_VALUE"""),0.1351)</f>
        <v>0.1351</v>
      </c>
      <c r="L394" s="19">
        <f>IFERROR(__xludf.DUMMYFUNCTION("""COMPUTED_VALUE"""),0.1622)</f>
        <v>0.1622</v>
      </c>
      <c r="M394" s="18">
        <f>IFERROR(__xludf.DUMMYFUNCTION("""COMPUTED_VALUE"""),2.08)</f>
        <v>2.08</v>
      </c>
    </row>
    <row r="395">
      <c r="A395" s="13" t="str">
        <f>IFERROR(__xludf.DUMMYFUNCTION("""COMPUTED_VALUE"""),"товари")</f>
        <v>товари</v>
      </c>
      <c r="B395" s="16" t="str">
        <f>IFERROR(__xludf.DUMMYFUNCTION("""COMPUTED_VALUE"""),"авто-, мото")</f>
        <v>авто-, мото</v>
      </c>
      <c r="C395" s="16" t="str">
        <f>IFERROR(__xludf.DUMMYFUNCTION("""COMPUTED_VALUE"""),"аксесуари для авто")</f>
        <v>аксесуари для авто</v>
      </c>
      <c r="D395" s="16" t="str">
        <f>IFERROR(__xludf.DUMMYFUNCTION("""COMPUTED_VALUE"""),"аксесуари для автотюнингу")</f>
        <v>аксесуари для автотюнингу</v>
      </c>
      <c r="E395" s="16" t="str">
        <f>IFERROR(__xludf.DUMMYFUNCTION("""COMPUTED_VALUE"""),"тканини для оббивки салону автомобілів")</f>
        <v>тканини для оббивки салону автомобілів</v>
      </c>
      <c r="F395" s="17">
        <f>IFERROR(__xludf.DUMMYFUNCTION("""COMPUTED_VALUE"""),4.0)</f>
        <v>4</v>
      </c>
      <c r="G395" s="17" t="str">
        <f>IFERROR(__xludf.DUMMYFUNCTION("""COMPUTED_VALUE"""),"121237")</f>
        <v>121237</v>
      </c>
      <c r="H395" s="17" t="str">
        <f>IFERROR(__xludf.DUMMYFUNCTION("""COMPUTED_VALUE"""),"тканини для оббивки салону автомобілів")</f>
        <v>тканини для оббивки салону автомобілів</v>
      </c>
      <c r="I395" s="19">
        <f>IFERROR(__xludf.DUMMYFUNCTION("""COMPUTED_VALUE"""),0.0752)</f>
        <v>0.0752</v>
      </c>
      <c r="J395" s="19">
        <f>IFERROR(__xludf.DUMMYFUNCTION("""COMPUTED_VALUE"""),0.1503)</f>
        <v>0.1503</v>
      </c>
      <c r="K395" s="19">
        <f>IFERROR(__xludf.DUMMYFUNCTION("""COMPUTED_VALUE"""),0.1879)</f>
        <v>0.1879</v>
      </c>
      <c r="L395" s="19">
        <f>IFERROR(__xludf.DUMMYFUNCTION("""COMPUTED_VALUE"""),0.2255)</f>
        <v>0.2255</v>
      </c>
      <c r="M395" s="18">
        <f>IFERROR(__xludf.DUMMYFUNCTION("""COMPUTED_VALUE"""),1.53)</f>
        <v>1.53</v>
      </c>
    </row>
    <row r="396">
      <c r="A396" s="13" t="str">
        <f>IFERROR(__xludf.DUMMYFUNCTION("""COMPUTED_VALUE"""),"товари")</f>
        <v>товари</v>
      </c>
      <c r="B396" s="16" t="str">
        <f>IFERROR(__xludf.DUMMYFUNCTION("""COMPUTED_VALUE"""),"авто-, мото")</f>
        <v>авто-, мото</v>
      </c>
      <c r="C396" s="16" t="str">
        <f>IFERROR(__xludf.DUMMYFUNCTION("""COMPUTED_VALUE"""),"автозапчастини")</f>
        <v>автозапчастини</v>
      </c>
      <c r="D396" s="16" t="str">
        <f>IFERROR(__xludf.DUMMYFUNCTION("""COMPUTED_VALUE"""),"деталі салону автомобіля")</f>
        <v>деталі салону автомобіля</v>
      </c>
      <c r="E396" s="16" t="str">
        <f>IFERROR(__xludf.DUMMYFUNCTION("""COMPUTED_VALUE"""),"торпедо, накладки на торпедо, повітроводи")</f>
        <v>торпедо, накладки на торпедо, повітроводи</v>
      </c>
      <c r="F396" s="17">
        <f>IFERROR(__xludf.DUMMYFUNCTION("""COMPUTED_VALUE"""),4.0)</f>
        <v>4</v>
      </c>
      <c r="G396" s="17" t="str">
        <f>IFERROR(__xludf.DUMMYFUNCTION("""COMPUTED_VALUE"""),"341597")</f>
        <v>341597</v>
      </c>
      <c r="H396" s="17" t="str">
        <f>IFERROR(__xludf.DUMMYFUNCTION("""COMPUTED_VALUE"""),"торпедо, накладки на торпедо, повітроводи")</f>
        <v>торпедо, накладки на торпедо, повітроводи</v>
      </c>
      <c r="I396" s="19">
        <f>IFERROR(__xludf.DUMMYFUNCTION("""COMPUTED_VALUE"""),0.0604)</f>
        <v>0.0604</v>
      </c>
      <c r="J396" s="19">
        <f>IFERROR(__xludf.DUMMYFUNCTION("""COMPUTED_VALUE"""),0.1207)</f>
        <v>0.1207</v>
      </c>
      <c r="K396" s="19">
        <f>IFERROR(__xludf.DUMMYFUNCTION("""COMPUTED_VALUE"""),0.1509)</f>
        <v>0.1509</v>
      </c>
      <c r="L396" s="19">
        <f>IFERROR(__xludf.DUMMYFUNCTION("""COMPUTED_VALUE"""),0.1811)</f>
        <v>0.1811</v>
      </c>
      <c r="M396" s="18">
        <f>IFERROR(__xludf.DUMMYFUNCTION("""COMPUTED_VALUE"""),1.05)</f>
        <v>1.05</v>
      </c>
    </row>
    <row r="397">
      <c r="A397" s="13" t="str">
        <f>IFERROR(__xludf.DUMMYFUNCTION("""COMPUTED_VALUE"""),"товари")</f>
        <v>товари</v>
      </c>
      <c r="B397" s="16" t="str">
        <f>IFERROR(__xludf.DUMMYFUNCTION("""COMPUTED_VALUE"""),"авто-, мото")</f>
        <v>авто-, мото</v>
      </c>
      <c r="C397" s="16" t="str">
        <f>IFERROR(__xludf.DUMMYFUNCTION("""COMPUTED_VALUE"""),"автозапчастини")</f>
        <v>автозапчастини</v>
      </c>
      <c r="D397" s="16" t="str">
        <f>IFERROR(__xludf.DUMMYFUNCTION("""COMPUTED_VALUE"""),"деталі ходової")</f>
        <v>деталі ходової</v>
      </c>
      <c r="E397" s="16" t="str">
        <f>IFERROR(__xludf.DUMMYFUNCTION("""COMPUTED_VALUE"""),"торсіони")</f>
        <v>торсіони</v>
      </c>
      <c r="F397" s="17">
        <f>IFERROR(__xludf.DUMMYFUNCTION("""COMPUTED_VALUE"""),4.0)</f>
        <v>4</v>
      </c>
      <c r="G397" s="17" t="str">
        <f>IFERROR(__xludf.DUMMYFUNCTION("""COMPUTED_VALUE"""),"120232")</f>
        <v>120232</v>
      </c>
      <c r="H397" s="17" t="str">
        <f>IFERROR(__xludf.DUMMYFUNCTION("""COMPUTED_VALUE"""),"торсіони")</f>
        <v>торсіони</v>
      </c>
      <c r="I397" s="19">
        <f>IFERROR(__xludf.DUMMYFUNCTION("""COMPUTED_VALUE"""),0.0497)</f>
        <v>0.0497</v>
      </c>
      <c r="J397" s="19">
        <f>IFERROR(__xludf.DUMMYFUNCTION("""COMPUTED_VALUE"""),0.0993)</f>
        <v>0.0993</v>
      </c>
      <c r="K397" s="19">
        <f>IFERROR(__xludf.DUMMYFUNCTION("""COMPUTED_VALUE"""),0.1241)</f>
        <v>0.1241</v>
      </c>
      <c r="L397" s="19">
        <f>IFERROR(__xludf.DUMMYFUNCTION("""COMPUTED_VALUE"""),0.149)</f>
        <v>0.149</v>
      </c>
      <c r="M397" s="18">
        <f>IFERROR(__xludf.DUMMYFUNCTION("""COMPUTED_VALUE"""),1.53)</f>
        <v>1.53</v>
      </c>
    </row>
    <row r="398">
      <c r="A398" s="13" t="str">
        <f>IFERROR(__xludf.DUMMYFUNCTION("""COMPUTED_VALUE"""),"товари")</f>
        <v>товари</v>
      </c>
      <c r="B398" s="16" t="str">
        <f>IFERROR(__xludf.DUMMYFUNCTION("""COMPUTED_VALUE"""),"авто-, мото")</f>
        <v>авто-, мото</v>
      </c>
      <c r="C398" s="16" t="str">
        <f>IFERROR(__xludf.DUMMYFUNCTION("""COMPUTED_VALUE"""),"автозапчастини")</f>
        <v>автозапчастини</v>
      </c>
      <c r="D398" s="16" t="str">
        <f>IFERROR(__xludf.DUMMYFUNCTION("""COMPUTED_VALUE"""),"система запалювання двигуна")</f>
        <v>система запалювання двигуна</v>
      </c>
      <c r="E398" s="16" t="str">
        <f>IFERROR(__xludf.DUMMYFUNCTION("""COMPUTED_VALUE"""),"трамблер автомобільні")</f>
        <v>трамблер автомобільні</v>
      </c>
      <c r="F398" s="17">
        <f>IFERROR(__xludf.DUMMYFUNCTION("""COMPUTED_VALUE"""),4.0)</f>
        <v>4</v>
      </c>
      <c r="G398" s="17" t="str">
        <f>IFERROR(__xludf.DUMMYFUNCTION("""COMPUTED_VALUE"""),"12020506")</f>
        <v>12020506</v>
      </c>
      <c r="H398" s="17" t="str">
        <f>IFERROR(__xludf.DUMMYFUNCTION("""COMPUTED_VALUE"""),"трамблер автомобільні")</f>
        <v>трамблер автомобільні</v>
      </c>
      <c r="I398" s="19">
        <f>IFERROR(__xludf.DUMMYFUNCTION("""COMPUTED_VALUE"""),0.0551)</f>
        <v>0.0551</v>
      </c>
      <c r="J398" s="19">
        <f>IFERROR(__xludf.DUMMYFUNCTION("""COMPUTED_VALUE"""),0.1101)</f>
        <v>0.1101</v>
      </c>
      <c r="K398" s="19">
        <f>IFERROR(__xludf.DUMMYFUNCTION("""COMPUTED_VALUE"""),0.1376)</f>
        <v>0.1376</v>
      </c>
      <c r="L398" s="19">
        <f>IFERROR(__xludf.DUMMYFUNCTION("""COMPUTED_VALUE"""),0.1652)</f>
        <v>0.1652</v>
      </c>
      <c r="M398" s="18">
        <f>IFERROR(__xludf.DUMMYFUNCTION("""COMPUTED_VALUE"""),1.71)</f>
        <v>1.71</v>
      </c>
    </row>
    <row r="399">
      <c r="A399" s="13" t="str">
        <f>IFERROR(__xludf.DUMMYFUNCTION("""COMPUTED_VALUE"""),"товари")</f>
        <v>товари</v>
      </c>
      <c r="B399" s="16" t="str">
        <f>IFERROR(__xludf.DUMMYFUNCTION("""COMPUTED_VALUE"""),"авто-, мото")</f>
        <v>авто-, мото</v>
      </c>
      <c r="C399" s="16" t="str">
        <f>IFERROR(__xludf.DUMMYFUNCTION("""COMPUTED_VALUE"""),"автохімія, автокосметика і автомастила")</f>
        <v>автохімія, автокосметика і автомастила</v>
      </c>
      <c r="D399" s="16" t="str">
        <f>IFERROR(__xludf.DUMMYFUNCTION("""COMPUTED_VALUE"""),"авто, мото масла, мастила та рідини")</f>
        <v>авто, мото масла, мастила та рідини</v>
      </c>
      <c r="E399" s="16" t="str">
        <f>IFERROR(__xludf.DUMMYFUNCTION("""COMPUTED_VALUE"""),"трансмісійні та гідравлічні оливи")</f>
        <v>трансмісійні та гідравлічні оливи</v>
      </c>
      <c r="F399" s="17">
        <f>IFERROR(__xludf.DUMMYFUNCTION("""COMPUTED_VALUE"""),4.0)</f>
        <v>4</v>
      </c>
      <c r="G399" s="17" t="str">
        <f>IFERROR(__xludf.DUMMYFUNCTION("""COMPUTED_VALUE"""),"341023")</f>
        <v>341023</v>
      </c>
      <c r="H399" s="17" t="str">
        <f>IFERROR(__xludf.DUMMYFUNCTION("""COMPUTED_VALUE"""),"трансмісійні та гідравлічні оливи")</f>
        <v>трансмісійні та гідравлічні оливи</v>
      </c>
      <c r="I399" s="19">
        <f>IFERROR(__xludf.DUMMYFUNCTION("""COMPUTED_VALUE"""),0.075)</f>
        <v>0.075</v>
      </c>
      <c r="J399" s="19">
        <f>IFERROR(__xludf.DUMMYFUNCTION("""COMPUTED_VALUE"""),0.15)</f>
        <v>0.15</v>
      </c>
      <c r="K399" s="19">
        <f>IFERROR(__xludf.DUMMYFUNCTION("""COMPUTED_VALUE"""),0.1875)</f>
        <v>0.1875</v>
      </c>
      <c r="L399" s="19">
        <f>IFERROR(__xludf.DUMMYFUNCTION("""COMPUTED_VALUE"""),0.225)</f>
        <v>0.225</v>
      </c>
      <c r="M399" s="18">
        <f>IFERROR(__xludf.DUMMYFUNCTION("""COMPUTED_VALUE"""),2.88)</f>
        <v>2.88</v>
      </c>
    </row>
    <row r="400">
      <c r="A400" s="13" t="str">
        <f>IFERROR(__xludf.DUMMYFUNCTION("""COMPUTED_VALUE"""),"товари")</f>
        <v>товари</v>
      </c>
      <c r="B400" s="16" t="str">
        <f>IFERROR(__xludf.DUMMYFUNCTION("""COMPUTED_VALUE"""),"авто-, мото")</f>
        <v>авто-, мото</v>
      </c>
      <c r="C400" s="16" t="str">
        <f>IFERROR(__xludf.DUMMYFUNCTION("""COMPUTED_VALUE"""),"мототехніка")</f>
        <v>мототехніка</v>
      </c>
      <c r="D400" s="16" t="str">
        <f>IFERROR(__xludf.DUMMYFUNCTION("""COMPUTED_VALUE"""),"запчастини для мототехніки")</f>
        <v>запчастини для мототехніки</v>
      </c>
      <c r="E400" s="16" t="str">
        <f>IFERROR(__xludf.DUMMYFUNCTION("""COMPUTED_VALUE"""),"деталі двигуна для мототехніки")</f>
        <v>деталі двигуна для мототехніки</v>
      </c>
      <c r="F400" s="17">
        <f>IFERROR(__xludf.DUMMYFUNCTION("""COMPUTED_VALUE"""),5.0)</f>
        <v>5</v>
      </c>
      <c r="G400" s="17">
        <f>IFERROR(__xludf.DUMMYFUNCTION("""COMPUTED_VALUE"""),340628.0)</f>
        <v>340628</v>
      </c>
      <c r="H400" s="17" t="str">
        <f>IFERROR(__xludf.DUMMYFUNCTION("""COMPUTED_VALUE"""),"трансмісія та система пуску для мототехніки")</f>
        <v>трансмісія та система пуску для мототехніки</v>
      </c>
      <c r="I400" s="19">
        <f>IFERROR(__xludf.DUMMYFUNCTION("""COMPUTED_VALUE"""),0.0555)</f>
        <v>0.0555</v>
      </c>
      <c r="J400" s="19">
        <f>IFERROR(__xludf.DUMMYFUNCTION("""COMPUTED_VALUE"""),0.111)</f>
        <v>0.111</v>
      </c>
      <c r="K400" s="19">
        <f>IFERROR(__xludf.DUMMYFUNCTION("""COMPUTED_VALUE"""),0.1388)</f>
        <v>0.1388</v>
      </c>
      <c r="L400" s="19">
        <f>IFERROR(__xludf.DUMMYFUNCTION("""COMPUTED_VALUE"""),0.1665)</f>
        <v>0.1665</v>
      </c>
      <c r="M400" s="18">
        <f>IFERROR(__xludf.DUMMYFUNCTION("""COMPUTED_VALUE"""),1.98)</f>
        <v>1.98</v>
      </c>
    </row>
    <row r="401">
      <c r="A401" s="13" t="str">
        <f>IFERROR(__xludf.DUMMYFUNCTION("""COMPUTED_VALUE"""),"товари")</f>
        <v>товари</v>
      </c>
      <c r="B401" s="16" t="str">
        <f>IFERROR(__xludf.DUMMYFUNCTION("""COMPUTED_VALUE"""),"авто-, мото")</f>
        <v>авто-, мото</v>
      </c>
      <c r="C401" s="16" t="str">
        <f>IFERROR(__xludf.DUMMYFUNCTION("""COMPUTED_VALUE"""),"автозапчастини")</f>
        <v>автозапчастини</v>
      </c>
      <c r="D401" s="16" t="str">
        <f>IFERROR(__xludf.DUMMYFUNCTION("""COMPUTED_VALUE"""),"органи керування")</f>
        <v>органи керування</v>
      </c>
      <c r="E401" s="16" t="str">
        <f>IFERROR(__xludf.DUMMYFUNCTION("""COMPUTED_VALUE"""),"троси автомобільні")</f>
        <v>троси автомобільні</v>
      </c>
      <c r="F401" s="17">
        <f>IFERROR(__xludf.DUMMYFUNCTION("""COMPUTED_VALUE"""),4.0)</f>
        <v>4</v>
      </c>
      <c r="G401" s="17" t="str">
        <f>IFERROR(__xludf.DUMMYFUNCTION("""COMPUTED_VALUE"""),"12023705")</f>
        <v>12023705</v>
      </c>
      <c r="H401" s="17" t="str">
        <f>IFERROR(__xludf.DUMMYFUNCTION("""COMPUTED_VALUE"""),"троси автомобільні")</f>
        <v>троси автомобільні</v>
      </c>
      <c r="I401" s="19">
        <f>IFERROR(__xludf.DUMMYFUNCTION("""COMPUTED_VALUE"""),0.0553)</f>
        <v>0.0553</v>
      </c>
      <c r="J401" s="19">
        <f>IFERROR(__xludf.DUMMYFUNCTION("""COMPUTED_VALUE"""),0.1106)</f>
        <v>0.1106</v>
      </c>
      <c r="K401" s="19">
        <f>IFERROR(__xludf.DUMMYFUNCTION("""COMPUTED_VALUE"""),0.1383)</f>
        <v>0.1383</v>
      </c>
      <c r="L401" s="19">
        <f>IFERROR(__xludf.DUMMYFUNCTION("""COMPUTED_VALUE"""),0.1659)</f>
        <v>0.1659</v>
      </c>
      <c r="M401" s="18">
        <f>IFERROR(__xludf.DUMMYFUNCTION("""COMPUTED_VALUE"""),1.71)</f>
        <v>1.71</v>
      </c>
    </row>
    <row r="402">
      <c r="A402" s="13" t="str">
        <f>IFERROR(__xludf.DUMMYFUNCTION("""COMPUTED_VALUE"""),"товари")</f>
        <v>товари</v>
      </c>
      <c r="B402" s="16" t="str">
        <f>IFERROR(__xludf.DUMMYFUNCTION("""COMPUTED_VALUE"""),"авто-, мото")</f>
        <v>авто-, мото</v>
      </c>
      <c r="C402" s="16" t="str">
        <f>IFERROR(__xludf.DUMMYFUNCTION("""COMPUTED_VALUE"""),"мототехніка")</f>
        <v>мототехніка</v>
      </c>
      <c r="D402" s="16" t="str">
        <f>IFERROR(__xludf.DUMMYFUNCTION("""COMPUTED_VALUE"""),"запчастини для мототехніки")</f>
        <v>запчастини для мототехніки</v>
      </c>
      <c r="E402" s="16" t="str">
        <f>IFERROR(__xludf.DUMMYFUNCTION("""COMPUTED_VALUE"""),"троси для мототехніки")</f>
        <v>троси для мототехніки</v>
      </c>
      <c r="F402" s="17">
        <f>IFERROR(__xludf.DUMMYFUNCTION("""COMPUTED_VALUE"""),4.0)</f>
        <v>4</v>
      </c>
      <c r="G402" s="17" t="str">
        <f>IFERROR(__xludf.DUMMYFUNCTION("""COMPUTED_VALUE"""),"340605")</f>
        <v>340605</v>
      </c>
      <c r="H402" s="17" t="str">
        <f>IFERROR(__xludf.DUMMYFUNCTION("""COMPUTED_VALUE"""),"троси для мототехніки")</f>
        <v>троси для мототехніки</v>
      </c>
      <c r="I402" s="19">
        <f>IFERROR(__xludf.DUMMYFUNCTION("""COMPUTED_VALUE"""),0.0752)</f>
        <v>0.0752</v>
      </c>
      <c r="J402" s="19">
        <f>IFERROR(__xludf.DUMMYFUNCTION("""COMPUTED_VALUE"""),0.1504)</f>
        <v>0.1504</v>
      </c>
      <c r="K402" s="19">
        <f>IFERROR(__xludf.DUMMYFUNCTION("""COMPUTED_VALUE"""),0.188)</f>
        <v>0.188</v>
      </c>
      <c r="L402" s="19">
        <f>IFERROR(__xludf.DUMMYFUNCTION("""COMPUTED_VALUE"""),0.2256)</f>
        <v>0.2256</v>
      </c>
      <c r="M402" s="18">
        <f>IFERROR(__xludf.DUMMYFUNCTION("""COMPUTED_VALUE"""),1.98)</f>
        <v>1.98</v>
      </c>
    </row>
    <row r="403">
      <c r="A403" s="13" t="str">
        <f>IFERROR(__xludf.DUMMYFUNCTION("""COMPUTED_VALUE"""),"товари")</f>
        <v>товари</v>
      </c>
      <c r="B403" s="16" t="str">
        <f>IFERROR(__xludf.DUMMYFUNCTION("""COMPUTED_VALUE"""),"авто-, мото")</f>
        <v>авто-, мото</v>
      </c>
      <c r="C403" s="16" t="str">
        <f>IFERROR(__xludf.DUMMYFUNCTION("""COMPUTED_VALUE"""),"додаткове обладнання")</f>
        <v>додаткове обладнання</v>
      </c>
      <c r="D403" s="16" t="str">
        <f>IFERROR(__xludf.DUMMYFUNCTION("""COMPUTED_VALUE"""),"автомобільні лебідки")</f>
        <v>автомобільні лебідки</v>
      </c>
      <c r="E403" s="16" t="str">
        <f>IFERROR(__xludf.DUMMYFUNCTION("""COMPUTED_VALUE"""),"троси та запасні частини для автомобільних лебідок")</f>
        <v>троси та запасні частини для автомобільних лебідок</v>
      </c>
      <c r="F403" s="17">
        <f>IFERROR(__xludf.DUMMYFUNCTION("""COMPUTED_VALUE"""),4.0)</f>
        <v>4</v>
      </c>
      <c r="G403" s="17" t="str">
        <f>IFERROR(__xludf.DUMMYFUNCTION("""COMPUTED_VALUE"""),"341403")</f>
        <v>341403</v>
      </c>
      <c r="H403" s="17" t="str">
        <f>IFERROR(__xludf.DUMMYFUNCTION("""COMPUTED_VALUE"""),"троси та запасні частини для автомобільних лебідок")</f>
        <v>троси та запасні частини для автомобільних лебідок</v>
      </c>
      <c r="I403" s="19">
        <f>IFERROR(__xludf.DUMMYFUNCTION("""COMPUTED_VALUE"""),0.0615)</f>
        <v>0.0615</v>
      </c>
      <c r="J403" s="19">
        <f>IFERROR(__xludf.DUMMYFUNCTION("""COMPUTED_VALUE"""),0.123)</f>
        <v>0.123</v>
      </c>
      <c r="K403" s="19">
        <f>IFERROR(__xludf.DUMMYFUNCTION("""COMPUTED_VALUE"""),0.1538)</f>
        <v>0.1538</v>
      </c>
      <c r="L403" s="19">
        <f>IFERROR(__xludf.DUMMYFUNCTION("""COMPUTED_VALUE"""),0.1845)</f>
        <v>0.1845</v>
      </c>
      <c r="M403" s="18">
        <f>IFERROR(__xludf.DUMMYFUNCTION("""COMPUTED_VALUE"""),3.15)</f>
        <v>3.15</v>
      </c>
    </row>
    <row r="404">
      <c r="A404" s="13" t="str">
        <f>IFERROR(__xludf.DUMMYFUNCTION("""COMPUTED_VALUE"""),"товари")</f>
        <v>товари</v>
      </c>
      <c r="B404" s="16" t="str">
        <f>IFERROR(__xludf.DUMMYFUNCTION("""COMPUTED_VALUE"""),"авто-, мото")</f>
        <v>авто-, мото</v>
      </c>
      <c r="C404" s="16" t="str">
        <f>IFERROR(__xludf.DUMMYFUNCTION("""COMPUTED_VALUE"""),"автозапчастини")</f>
        <v>автозапчастини</v>
      </c>
      <c r="D404" s="16" t="str">
        <f>IFERROR(__xludf.DUMMYFUNCTION("""COMPUTED_VALUE"""),"двигуни і деталі двигуна")</f>
        <v>двигуни і деталі двигуна</v>
      </c>
      <c r="E404" s="16" t="str">
        <f>IFERROR(__xludf.DUMMYFUNCTION("""COMPUTED_VALUE"""),"турбіни, турбокомпресори")</f>
        <v>турбіни, турбокомпресори</v>
      </c>
      <c r="F404" s="17">
        <f>IFERROR(__xludf.DUMMYFUNCTION("""COMPUTED_VALUE"""),4.0)</f>
        <v>4</v>
      </c>
      <c r="G404" s="17" t="str">
        <f>IFERROR(__xludf.DUMMYFUNCTION("""COMPUTED_VALUE"""),"341524")</f>
        <v>341524</v>
      </c>
      <c r="H404" s="17" t="str">
        <f>IFERROR(__xludf.DUMMYFUNCTION("""COMPUTED_VALUE"""),"турбіни, турбокомпресори")</f>
        <v>турбіни, турбокомпресори</v>
      </c>
      <c r="I404" s="19">
        <f>IFERROR(__xludf.DUMMYFUNCTION("""COMPUTED_VALUE"""),0.047)</f>
        <v>0.047</v>
      </c>
      <c r="J404" s="19">
        <f>IFERROR(__xludf.DUMMYFUNCTION("""COMPUTED_VALUE"""),0.094)</f>
        <v>0.094</v>
      </c>
      <c r="K404" s="19">
        <f>IFERROR(__xludf.DUMMYFUNCTION("""COMPUTED_VALUE"""),0.1175)</f>
        <v>0.1175</v>
      </c>
      <c r="L404" s="19">
        <f>IFERROR(__xludf.DUMMYFUNCTION("""COMPUTED_VALUE"""),0.141)</f>
        <v>0.141</v>
      </c>
      <c r="M404" s="18">
        <f>IFERROR(__xludf.DUMMYFUNCTION("""COMPUTED_VALUE"""),1.53)</f>
        <v>1.53</v>
      </c>
    </row>
    <row r="405">
      <c r="A405" s="13" t="str">
        <f>IFERROR(__xludf.DUMMYFUNCTION("""COMPUTED_VALUE"""),"товари")</f>
        <v>товари</v>
      </c>
      <c r="B405" s="16" t="str">
        <f>IFERROR(__xludf.DUMMYFUNCTION("""COMPUTED_VALUE"""),"авто-, мото")</f>
        <v>авто-, мото</v>
      </c>
      <c r="C405" s="16" t="str">
        <f>IFERROR(__xludf.DUMMYFUNCTION("""COMPUTED_VALUE"""),"аксесуари для авто")</f>
        <v>аксесуари для авто</v>
      </c>
      <c r="D405" s="16" t="str">
        <f>IFERROR(__xludf.DUMMYFUNCTION("""COMPUTED_VALUE"""),"засоби аварійної безпеки")</f>
        <v>засоби аварійної безпеки</v>
      </c>
      <c r="E405" s="16" t="str">
        <f>IFERROR(__xludf.DUMMYFUNCTION("""COMPUTED_VALUE"""),"противідкатні упори, черевики")</f>
        <v>противідкатні упори, черевики</v>
      </c>
      <c r="F405" s="17">
        <f>IFERROR(__xludf.DUMMYFUNCTION("""COMPUTED_VALUE"""),4.0)</f>
        <v>4</v>
      </c>
      <c r="G405" s="17" t="str">
        <f>IFERROR(__xludf.DUMMYFUNCTION("""COMPUTED_VALUE"""),"121255")</f>
        <v>121255</v>
      </c>
      <c r="H405" s="17" t="str">
        <f>IFERROR(__xludf.DUMMYFUNCTION("""COMPUTED_VALUE"""),"противідкатні упори, черевики")</f>
        <v>противідкатні упори, черевики</v>
      </c>
      <c r="I405" s="19">
        <f>IFERROR(__xludf.DUMMYFUNCTION("""COMPUTED_VALUE"""),0.0738)</f>
        <v>0.0738</v>
      </c>
      <c r="J405" s="19">
        <f>IFERROR(__xludf.DUMMYFUNCTION("""COMPUTED_VALUE"""),0.1475)</f>
        <v>0.1475</v>
      </c>
      <c r="K405" s="19">
        <f>IFERROR(__xludf.DUMMYFUNCTION("""COMPUTED_VALUE"""),0.1844)</f>
        <v>0.1844</v>
      </c>
      <c r="L405" s="19">
        <f>IFERROR(__xludf.DUMMYFUNCTION("""COMPUTED_VALUE"""),0.2213)</f>
        <v>0.2213</v>
      </c>
      <c r="M405" s="18">
        <f>IFERROR(__xludf.DUMMYFUNCTION("""COMPUTED_VALUE"""),1.71)</f>
        <v>1.71</v>
      </c>
    </row>
    <row r="406">
      <c r="A406" s="13" t="str">
        <f>IFERROR(__xludf.DUMMYFUNCTION("""COMPUTED_VALUE"""),"товари")</f>
        <v>товари</v>
      </c>
      <c r="B406" s="16" t="str">
        <f>IFERROR(__xludf.DUMMYFUNCTION("""COMPUTED_VALUE"""),"авто-, мото")</f>
        <v>авто-, мото</v>
      </c>
      <c r="C406" s="16" t="str">
        <f>IFERROR(__xludf.DUMMYFUNCTION("""COMPUTED_VALUE"""),"автозапчастини")</f>
        <v>автозапчастини</v>
      </c>
      <c r="D406" s="16" t="str">
        <f>IFERROR(__xludf.DUMMYFUNCTION("""COMPUTED_VALUE"""),"кузовні запчастини")</f>
        <v>кузовні запчастини</v>
      </c>
      <c r="E406" s="16" t="str">
        <f>IFERROR(__xludf.DUMMYFUNCTION("""COMPUTED_VALUE"""),"фаркопи")</f>
        <v>фаркопи</v>
      </c>
      <c r="F406" s="17">
        <f>IFERROR(__xludf.DUMMYFUNCTION("""COMPUTED_VALUE"""),4.0)</f>
        <v>4</v>
      </c>
      <c r="G406" s="17" t="str">
        <f>IFERROR(__xludf.DUMMYFUNCTION("""COMPUTED_VALUE"""),"121212")</f>
        <v>121212</v>
      </c>
      <c r="H406" s="17" t="str">
        <f>IFERROR(__xludf.DUMMYFUNCTION("""COMPUTED_VALUE"""),"фаркопи")</f>
        <v>фаркопи</v>
      </c>
      <c r="I406" s="19">
        <f>IFERROR(__xludf.DUMMYFUNCTION("""COMPUTED_VALUE"""),0.0712)</f>
        <v>0.0712</v>
      </c>
      <c r="J406" s="19">
        <f>IFERROR(__xludf.DUMMYFUNCTION("""COMPUTED_VALUE"""),0.1424)</f>
        <v>0.1424</v>
      </c>
      <c r="K406" s="19">
        <f>IFERROR(__xludf.DUMMYFUNCTION("""COMPUTED_VALUE"""),0.178)</f>
        <v>0.178</v>
      </c>
      <c r="L406" s="19">
        <f>IFERROR(__xludf.DUMMYFUNCTION("""COMPUTED_VALUE"""),0.2136)</f>
        <v>0.2136</v>
      </c>
      <c r="M406" s="18">
        <f>IFERROR(__xludf.DUMMYFUNCTION("""COMPUTED_VALUE"""),1.53)</f>
        <v>1.53</v>
      </c>
    </row>
    <row r="407">
      <c r="A407" s="13" t="str">
        <f>IFERROR(__xludf.DUMMYFUNCTION("""COMPUTED_VALUE"""),"товари")</f>
        <v>товари</v>
      </c>
      <c r="B407" s="16" t="str">
        <f>IFERROR(__xludf.DUMMYFUNCTION("""COMPUTED_VALUE"""),"авто-, мото")</f>
        <v>авто-, мото</v>
      </c>
      <c r="C407" s="16" t="str">
        <f>IFERROR(__xludf.DUMMYFUNCTION("""COMPUTED_VALUE"""),"мототехніка")</f>
        <v>мототехніка</v>
      </c>
      <c r="D407" s="16" t="str">
        <f>IFERROR(__xludf.DUMMYFUNCTION("""COMPUTED_VALUE"""),"запчастини для мототехніки")</f>
        <v>запчастини для мототехніки</v>
      </c>
      <c r="E407" s="16" t="str">
        <f>IFERROR(__xludf.DUMMYFUNCTION("""COMPUTED_VALUE"""),"фільтри для мототехніки")</f>
        <v>фільтри для мототехніки</v>
      </c>
      <c r="F407" s="17">
        <f>IFERROR(__xludf.DUMMYFUNCTION("""COMPUTED_VALUE"""),4.0)</f>
        <v>4</v>
      </c>
      <c r="G407" s="17" t="str">
        <f>IFERROR(__xludf.DUMMYFUNCTION("""COMPUTED_VALUE"""),"340612")</f>
        <v>340612</v>
      </c>
      <c r="H407" s="17" t="str">
        <f>IFERROR(__xludf.DUMMYFUNCTION("""COMPUTED_VALUE"""),"фільтри для мототехніки")</f>
        <v>фільтри для мототехніки</v>
      </c>
      <c r="I407" s="19">
        <f>IFERROR(__xludf.DUMMYFUNCTION("""COMPUTED_VALUE"""),0.0665)</f>
        <v>0.0665</v>
      </c>
      <c r="J407" s="19">
        <f>IFERROR(__xludf.DUMMYFUNCTION("""COMPUTED_VALUE"""),0.133)</f>
        <v>0.133</v>
      </c>
      <c r="K407" s="19">
        <f>IFERROR(__xludf.DUMMYFUNCTION("""COMPUTED_VALUE"""),0.1663)</f>
        <v>0.1663</v>
      </c>
      <c r="L407" s="19">
        <f>IFERROR(__xludf.DUMMYFUNCTION("""COMPUTED_VALUE"""),0.1995)</f>
        <v>0.1995</v>
      </c>
      <c r="M407" s="18">
        <f>IFERROR(__xludf.DUMMYFUNCTION("""COMPUTED_VALUE"""),1.98)</f>
        <v>1.98</v>
      </c>
    </row>
    <row r="408">
      <c r="A408" s="13" t="str">
        <f>IFERROR(__xludf.DUMMYFUNCTION("""COMPUTED_VALUE"""),"товари")</f>
        <v>товари</v>
      </c>
      <c r="B408" s="16" t="str">
        <f>IFERROR(__xludf.DUMMYFUNCTION("""COMPUTED_VALUE"""),"авто-, мото")</f>
        <v>авто-, мото</v>
      </c>
      <c r="C408" s="16" t="str">
        <f>IFERROR(__xludf.DUMMYFUNCTION("""COMPUTED_VALUE"""),"автозапчастини")</f>
        <v>автозапчастини</v>
      </c>
      <c r="D408" s="16" t="str">
        <f>IFERROR(__xludf.DUMMYFUNCTION("""COMPUTED_VALUE"""),"система живлення двигуна")</f>
        <v>система живлення двигуна</v>
      </c>
      <c r="E408" s="16" t="str">
        <f>IFERROR(__xludf.DUMMYFUNCTION("""COMPUTED_VALUE"""),"фільтри паливні")</f>
        <v>фільтри паливні</v>
      </c>
      <c r="F408" s="17">
        <f>IFERROR(__xludf.DUMMYFUNCTION("""COMPUTED_VALUE"""),4.0)</f>
        <v>4</v>
      </c>
      <c r="G408" s="17" t="str">
        <f>IFERROR(__xludf.DUMMYFUNCTION("""COMPUTED_VALUE"""),"12021003")</f>
        <v>12021003</v>
      </c>
      <c r="H408" s="17" t="str">
        <f>IFERROR(__xludf.DUMMYFUNCTION("""COMPUTED_VALUE"""),"фільтри паливні")</f>
        <v>фільтри паливні</v>
      </c>
      <c r="I408" s="19">
        <f>IFERROR(__xludf.DUMMYFUNCTION("""COMPUTED_VALUE"""),0.053)</f>
        <v>0.053</v>
      </c>
      <c r="J408" s="19">
        <f>IFERROR(__xludf.DUMMYFUNCTION("""COMPUTED_VALUE"""),0.1059)</f>
        <v>0.1059</v>
      </c>
      <c r="K408" s="19">
        <f>IFERROR(__xludf.DUMMYFUNCTION("""COMPUTED_VALUE"""),0.1324)</f>
        <v>0.1324</v>
      </c>
      <c r="L408" s="19">
        <f>IFERROR(__xludf.DUMMYFUNCTION("""COMPUTED_VALUE"""),0.1589)</f>
        <v>0.1589</v>
      </c>
      <c r="M408" s="18">
        <f>IFERROR(__xludf.DUMMYFUNCTION("""COMPUTED_VALUE"""),1.53)</f>
        <v>1.53</v>
      </c>
    </row>
    <row r="409">
      <c r="A409" s="13" t="str">
        <f>IFERROR(__xludf.DUMMYFUNCTION("""COMPUTED_VALUE"""),"товари")</f>
        <v>товари</v>
      </c>
      <c r="B409" s="16" t="str">
        <f>IFERROR(__xludf.DUMMYFUNCTION("""COMPUTED_VALUE"""),"авто-, мото")</f>
        <v>авто-, мото</v>
      </c>
      <c r="C409" s="16" t="str">
        <f>IFERROR(__xludf.DUMMYFUNCTION("""COMPUTED_VALUE"""),"автозапчастини")</f>
        <v>автозапчастини</v>
      </c>
      <c r="D409" s="16" t="str">
        <f>IFERROR(__xludf.DUMMYFUNCTION("""COMPUTED_VALUE"""),"фільтри для авто-, мото- і вантажної техніки")</f>
        <v>фільтри для авто-, мото- і вантажної техніки</v>
      </c>
      <c r="E409" s="16" t="str">
        <f>IFERROR(__xludf.DUMMYFUNCTION("""COMPUTED_VALUE"""),"фільтри салону")</f>
        <v>фільтри салону</v>
      </c>
      <c r="F409" s="17">
        <f>IFERROR(__xludf.DUMMYFUNCTION("""COMPUTED_VALUE"""),4.0)</f>
        <v>4</v>
      </c>
      <c r="G409" s="17" t="str">
        <f>IFERROR(__xludf.DUMMYFUNCTION("""COMPUTED_VALUE"""),"12021004")</f>
        <v>12021004</v>
      </c>
      <c r="H409" s="17" t="str">
        <f>IFERROR(__xludf.DUMMYFUNCTION("""COMPUTED_VALUE"""),"фільтри салону")</f>
        <v>фільтри салону</v>
      </c>
      <c r="I409" s="19">
        <f>IFERROR(__xludf.DUMMYFUNCTION("""COMPUTED_VALUE"""),0.0529)</f>
        <v>0.0529</v>
      </c>
      <c r="J409" s="19">
        <f>IFERROR(__xludf.DUMMYFUNCTION("""COMPUTED_VALUE"""),0.1058)</f>
        <v>0.1058</v>
      </c>
      <c r="K409" s="19">
        <f>IFERROR(__xludf.DUMMYFUNCTION("""COMPUTED_VALUE"""),0.1323)</f>
        <v>0.1323</v>
      </c>
      <c r="L409" s="19">
        <f>IFERROR(__xludf.DUMMYFUNCTION("""COMPUTED_VALUE"""),0.1587)</f>
        <v>0.1587</v>
      </c>
      <c r="M409" s="18">
        <f>IFERROR(__xludf.DUMMYFUNCTION("""COMPUTED_VALUE"""),1.05)</f>
        <v>1.05</v>
      </c>
    </row>
    <row r="410">
      <c r="A410" s="13" t="str">
        <f>IFERROR(__xludf.DUMMYFUNCTION("""COMPUTED_VALUE"""),"товари")</f>
        <v>товари</v>
      </c>
      <c r="B410" s="16" t="str">
        <f>IFERROR(__xludf.DUMMYFUNCTION("""COMPUTED_VALUE"""),"авто-, мото")</f>
        <v>авто-, мото</v>
      </c>
      <c r="C410" s="16" t="str">
        <f>IFERROR(__xludf.DUMMYFUNCTION("""COMPUTED_VALUE"""),"автозапчастини")</f>
        <v>автозапчастини</v>
      </c>
      <c r="D410" s="16" t="str">
        <f>IFERROR(__xludf.DUMMYFUNCTION("""COMPUTED_VALUE"""),"деталі трансмісії транспорту")</f>
        <v>деталі трансмісії транспорту</v>
      </c>
      <c r="E410" s="16" t="str">
        <f>IFERROR(__xludf.DUMMYFUNCTION("""COMPUTED_VALUE"""),"фільтри трансмісійні")</f>
        <v>фільтри трансмісійні</v>
      </c>
      <c r="F410" s="17">
        <f>IFERROR(__xludf.DUMMYFUNCTION("""COMPUTED_VALUE"""),4.0)</f>
        <v>4</v>
      </c>
      <c r="G410" s="17" t="str">
        <f>IFERROR(__xludf.DUMMYFUNCTION("""COMPUTED_VALUE"""),"12021007")</f>
        <v>12021007</v>
      </c>
      <c r="H410" s="17" t="str">
        <f>IFERROR(__xludf.DUMMYFUNCTION("""COMPUTED_VALUE"""),"фільтри трансмісійні")</f>
        <v>фільтри трансмісійні</v>
      </c>
      <c r="I410" s="19">
        <f>IFERROR(__xludf.DUMMYFUNCTION("""COMPUTED_VALUE"""),0.0534)</f>
        <v>0.0534</v>
      </c>
      <c r="J410" s="19">
        <f>IFERROR(__xludf.DUMMYFUNCTION("""COMPUTED_VALUE"""),0.1067)</f>
        <v>0.1067</v>
      </c>
      <c r="K410" s="19">
        <f>IFERROR(__xludf.DUMMYFUNCTION("""COMPUTED_VALUE"""),0.1334)</f>
        <v>0.1334</v>
      </c>
      <c r="L410" s="19">
        <f>IFERROR(__xludf.DUMMYFUNCTION("""COMPUTED_VALUE"""),0.1601)</f>
        <v>0.1601</v>
      </c>
      <c r="M410" s="18">
        <f>IFERROR(__xludf.DUMMYFUNCTION("""COMPUTED_VALUE"""),1.53)</f>
        <v>1.53</v>
      </c>
    </row>
    <row r="411">
      <c r="A411" s="13" t="str">
        <f>IFERROR(__xludf.DUMMYFUNCTION("""COMPUTED_VALUE"""),"товари")</f>
        <v>товари</v>
      </c>
      <c r="B411" s="16" t="str">
        <f>IFERROR(__xludf.DUMMYFUNCTION("""COMPUTED_VALUE"""),"авто-, мото")</f>
        <v>авто-, мото</v>
      </c>
      <c r="C411" s="16" t="str">
        <f>IFERROR(__xludf.DUMMYFUNCTION("""COMPUTED_VALUE"""),"автохімія, автокосметика і автомастила")</f>
        <v>автохімія, автокосметика і автомастила</v>
      </c>
      <c r="D411" s="16" t="str">
        <f>IFERROR(__xludf.DUMMYFUNCTION("""COMPUTED_VALUE"""),"хімічні засоби для двигуна")</f>
        <v>хімічні засоби для двигуна</v>
      </c>
      <c r="E411" s="16" t="str">
        <f>IFERROR(__xludf.DUMMYFUNCTION("""COMPUTED_VALUE"""),"хімічні засоби для двигуна")</f>
        <v>хімічні засоби для двигуна</v>
      </c>
      <c r="F411" s="17">
        <f>IFERROR(__xludf.DUMMYFUNCTION("""COMPUTED_VALUE"""),3.0)</f>
        <v>3</v>
      </c>
      <c r="G411" s="17" t="str">
        <f>IFERROR(__xludf.DUMMYFUNCTION("""COMPUTED_VALUE"""),"341606")</f>
        <v>341606</v>
      </c>
      <c r="H411" s="17" t="str">
        <f>IFERROR(__xludf.DUMMYFUNCTION("""COMPUTED_VALUE"""),"хімічні засоби для двигуна")</f>
        <v>хімічні засоби для двигуна</v>
      </c>
      <c r="I411" s="19">
        <f>IFERROR(__xludf.DUMMYFUNCTION("""COMPUTED_VALUE"""),0.0722)</f>
        <v>0.0722</v>
      </c>
      <c r="J411" s="19">
        <f>IFERROR(__xludf.DUMMYFUNCTION("""COMPUTED_VALUE"""),0.1443)</f>
        <v>0.1443</v>
      </c>
      <c r="K411" s="19">
        <f>IFERROR(__xludf.DUMMYFUNCTION("""COMPUTED_VALUE"""),0.1804)</f>
        <v>0.1804</v>
      </c>
      <c r="L411" s="19">
        <f>IFERROR(__xludf.DUMMYFUNCTION("""COMPUTED_VALUE"""),0.2165)</f>
        <v>0.2165</v>
      </c>
      <c r="M411" s="18">
        <f>IFERROR(__xludf.DUMMYFUNCTION("""COMPUTED_VALUE"""),1.05)</f>
        <v>1.05</v>
      </c>
    </row>
    <row r="412">
      <c r="A412" s="13" t="str">
        <f>IFERROR(__xludf.DUMMYFUNCTION("""COMPUTED_VALUE"""),"товари")</f>
        <v>товари</v>
      </c>
      <c r="B412" s="16" t="str">
        <f>IFERROR(__xludf.DUMMYFUNCTION("""COMPUTED_VALUE"""),"авто-, мото")</f>
        <v>авто-, мото</v>
      </c>
      <c r="C412" s="16" t="str">
        <f>IFERROR(__xludf.DUMMYFUNCTION("""COMPUTED_VALUE"""),"автохімія, автокосметика і автомастила")</f>
        <v>автохімія, автокосметика і автомастила</v>
      </c>
      <c r="D412" s="16" t="str">
        <f>IFERROR(__xludf.DUMMYFUNCTION("""COMPUTED_VALUE"""),"хімічні засоби для трансмісії")</f>
        <v>хімічні засоби для трансмісії</v>
      </c>
      <c r="E412" s="16" t="str">
        <f>IFERROR(__xludf.DUMMYFUNCTION("""COMPUTED_VALUE"""),"хімічні засоби для трансмісії")</f>
        <v>хімічні засоби для трансмісії</v>
      </c>
      <c r="F412" s="17">
        <f>IFERROR(__xludf.DUMMYFUNCTION("""COMPUTED_VALUE"""),3.0)</f>
        <v>3</v>
      </c>
      <c r="G412" s="17" t="str">
        <f>IFERROR(__xludf.DUMMYFUNCTION("""COMPUTED_VALUE"""),"341616")</f>
        <v>341616</v>
      </c>
      <c r="H412" s="17" t="str">
        <f>IFERROR(__xludf.DUMMYFUNCTION("""COMPUTED_VALUE"""),"хімічні засоби для трансмісії")</f>
        <v>хімічні засоби для трансмісії</v>
      </c>
      <c r="I412" s="19">
        <f>IFERROR(__xludf.DUMMYFUNCTION("""COMPUTED_VALUE"""),0.0752)</f>
        <v>0.0752</v>
      </c>
      <c r="J412" s="19">
        <f>IFERROR(__xludf.DUMMYFUNCTION("""COMPUTED_VALUE"""),0.1503)</f>
        <v>0.1503</v>
      </c>
      <c r="K412" s="19">
        <f>IFERROR(__xludf.DUMMYFUNCTION("""COMPUTED_VALUE"""),0.1879)</f>
        <v>0.1879</v>
      </c>
      <c r="L412" s="19">
        <f>IFERROR(__xludf.DUMMYFUNCTION("""COMPUTED_VALUE"""),0.2255)</f>
        <v>0.2255</v>
      </c>
      <c r="M412" s="18">
        <f>IFERROR(__xludf.DUMMYFUNCTION("""COMPUTED_VALUE"""),1.26)</f>
        <v>1.26</v>
      </c>
    </row>
    <row r="413">
      <c r="A413" s="13" t="str">
        <f>IFERROR(__xludf.DUMMYFUNCTION("""COMPUTED_VALUE"""),"товари")</f>
        <v>товари</v>
      </c>
      <c r="B413" s="16" t="str">
        <f>IFERROR(__xludf.DUMMYFUNCTION("""COMPUTED_VALUE"""),"авто-, мото")</f>
        <v>авто-, мото</v>
      </c>
      <c r="C413" s="16" t="str">
        <f>IFERROR(__xludf.DUMMYFUNCTION("""COMPUTED_VALUE"""),"автомобільна електроніка")</f>
        <v>автомобільна електроніка</v>
      </c>
      <c r="D413" s="16" t="str">
        <f>IFERROR(__xludf.DUMMYFUNCTION("""COMPUTED_VALUE"""),"протиугінні системи і аксесуари")</f>
        <v>протиугінні системи і аксесуари</v>
      </c>
      <c r="E413" s="16" t="str">
        <f>IFERROR(__xludf.DUMMYFUNCTION("""COMPUTED_VALUE"""),"центральні замки")</f>
        <v>центральні замки</v>
      </c>
      <c r="F413" s="17">
        <f>IFERROR(__xludf.DUMMYFUNCTION("""COMPUTED_VALUE"""),4.0)</f>
        <v>4</v>
      </c>
      <c r="G413" s="17" t="str">
        <f>IFERROR(__xludf.DUMMYFUNCTION("""COMPUTED_VALUE"""),"340433")</f>
        <v>340433</v>
      </c>
      <c r="H413" s="17" t="str">
        <f>IFERROR(__xludf.DUMMYFUNCTION("""COMPUTED_VALUE"""),"центральні замки")</f>
        <v>центральні замки</v>
      </c>
      <c r="I413" s="19">
        <f>IFERROR(__xludf.DUMMYFUNCTION("""COMPUTED_VALUE"""),0.0722)</f>
        <v>0.0722</v>
      </c>
      <c r="J413" s="19">
        <f>IFERROR(__xludf.DUMMYFUNCTION("""COMPUTED_VALUE"""),0.1443)</f>
        <v>0.1443</v>
      </c>
      <c r="K413" s="19">
        <f>IFERROR(__xludf.DUMMYFUNCTION("""COMPUTED_VALUE"""),0.1804)</f>
        <v>0.1804</v>
      </c>
      <c r="L413" s="19">
        <f>IFERROR(__xludf.DUMMYFUNCTION("""COMPUTED_VALUE"""),0.2165)</f>
        <v>0.2165</v>
      </c>
      <c r="M413" s="18">
        <f>IFERROR(__xludf.DUMMYFUNCTION("""COMPUTED_VALUE"""),1.8)</f>
        <v>1.8</v>
      </c>
    </row>
    <row r="414">
      <c r="A414" s="13" t="str">
        <f>IFERROR(__xludf.DUMMYFUNCTION("""COMPUTED_VALUE"""),"товари")</f>
        <v>товари</v>
      </c>
      <c r="B414" s="16" t="str">
        <f>IFERROR(__xludf.DUMMYFUNCTION("""COMPUTED_VALUE"""),"авто-, мото")</f>
        <v>авто-, мото</v>
      </c>
      <c r="C414" s="16" t="str">
        <f>IFERROR(__xludf.DUMMYFUNCTION("""COMPUTED_VALUE"""),"мототехніка")</f>
        <v>мототехніка</v>
      </c>
      <c r="D414" s="16" t="str">
        <f>IFERROR(__xludf.DUMMYFUNCTION("""COMPUTED_VALUE"""),"запчастини для мототехніки")</f>
        <v>запчастини для мототехніки</v>
      </c>
      <c r="E414" s="16" t="str">
        <f>IFERROR(__xludf.DUMMYFUNCTION("""COMPUTED_VALUE"""),"деталі двигуна для мототехніки")</f>
        <v>деталі двигуна для мототехніки</v>
      </c>
      <c r="F414" s="17">
        <f>IFERROR(__xludf.DUMMYFUNCTION("""COMPUTED_VALUE"""),5.0)</f>
        <v>5</v>
      </c>
      <c r="G414" s="17">
        <f>IFERROR(__xludf.DUMMYFUNCTION("""COMPUTED_VALUE"""),340625.0)</f>
        <v>340625</v>
      </c>
      <c r="H414" s="17" t="str">
        <f>IFERROR(__xludf.DUMMYFUNCTION("""COMPUTED_VALUE"""),"циліндро-поршнева група (цпг) мототехніки")</f>
        <v>циліндро-поршнева група (цпг) мототехніки</v>
      </c>
      <c r="I414" s="19">
        <f>IFERROR(__xludf.DUMMYFUNCTION("""COMPUTED_VALUE"""),0.0539)</f>
        <v>0.0539</v>
      </c>
      <c r="J414" s="19">
        <f>IFERROR(__xludf.DUMMYFUNCTION("""COMPUTED_VALUE"""),0.1078)</f>
        <v>0.1078</v>
      </c>
      <c r="K414" s="19">
        <f>IFERROR(__xludf.DUMMYFUNCTION("""COMPUTED_VALUE"""),0.1348)</f>
        <v>0.1348</v>
      </c>
      <c r="L414" s="19">
        <f>IFERROR(__xludf.DUMMYFUNCTION("""COMPUTED_VALUE"""),0.1617)</f>
        <v>0.1617</v>
      </c>
      <c r="M414" s="18">
        <f>IFERROR(__xludf.DUMMYFUNCTION("""COMPUTED_VALUE"""),1.63)</f>
        <v>1.63</v>
      </c>
    </row>
    <row r="415">
      <c r="A415" s="13" t="str">
        <f>IFERROR(__xludf.DUMMYFUNCTION("""COMPUTED_VALUE"""),"товари")</f>
        <v>товари</v>
      </c>
      <c r="B415" s="16" t="str">
        <f>IFERROR(__xludf.DUMMYFUNCTION("""COMPUTED_VALUE"""),"авто-, мото")</f>
        <v>авто-, мото</v>
      </c>
      <c r="C415" s="16" t="str">
        <f>IFERROR(__xludf.DUMMYFUNCTION("""COMPUTED_VALUE"""),"автомобільна електроніка")</f>
        <v>автомобільна електроніка</v>
      </c>
      <c r="D415" s="16" t="str">
        <f>IFERROR(__xludf.DUMMYFUNCTION("""COMPUTED_VALUE"""),"gps")</f>
        <v>gps</v>
      </c>
      <c r="E415" s="16" t="str">
        <f>IFERROR(__xludf.DUMMYFUNCTION("""COMPUTED_VALUE"""),"чохли для навігаторів")</f>
        <v>чохли для навігаторів</v>
      </c>
      <c r="F415" s="17">
        <f>IFERROR(__xludf.DUMMYFUNCTION("""COMPUTED_VALUE"""),4.0)</f>
        <v>4</v>
      </c>
      <c r="G415" s="17" t="str">
        <f>IFERROR(__xludf.DUMMYFUNCTION("""COMPUTED_VALUE"""),"380250")</f>
        <v>380250</v>
      </c>
      <c r="H415" s="17" t="str">
        <f>IFERROR(__xludf.DUMMYFUNCTION("""COMPUTED_VALUE"""),"чохли для навігаторів")</f>
        <v>чохли для навігаторів</v>
      </c>
      <c r="I415" s="19">
        <f>IFERROR(__xludf.DUMMYFUNCTION("""COMPUTED_VALUE"""),0.078)</f>
        <v>0.078</v>
      </c>
      <c r="J415" s="19">
        <f>IFERROR(__xludf.DUMMYFUNCTION("""COMPUTED_VALUE"""),0.156)</f>
        <v>0.156</v>
      </c>
      <c r="K415" s="19">
        <f>IFERROR(__xludf.DUMMYFUNCTION("""COMPUTED_VALUE"""),0.195)</f>
        <v>0.195</v>
      </c>
      <c r="L415" s="19">
        <f>IFERROR(__xludf.DUMMYFUNCTION("""COMPUTED_VALUE"""),0.234)</f>
        <v>0.234</v>
      </c>
      <c r="M415" s="18">
        <f>IFERROR(__xludf.DUMMYFUNCTION("""COMPUTED_VALUE"""),3.96)</f>
        <v>3.96</v>
      </c>
    </row>
    <row r="416">
      <c r="A416" s="13" t="str">
        <f>IFERROR(__xludf.DUMMYFUNCTION("""COMPUTED_VALUE"""),"товари")</f>
        <v>товари</v>
      </c>
      <c r="B416" s="16" t="str">
        <f>IFERROR(__xludf.DUMMYFUNCTION("""COMPUTED_VALUE"""),"авто-, мото")</f>
        <v>авто-, мото</v>
      </c>
      <c r="C416" s="16" t="str">
        <f>IFERROR(__xludf.DUMMYFUNCTION("""COMPUTED_VALUE"""),"аксесуари для авто")</f>
        <v>аксесуари для авто</v>
      </c>
      <c r="D416" s="16" t="str">
        <f>IFERROR(__xludf.DUMMYFUNCTION("""COMPUTED_VALUE"""),"аксесуари салону автомобіля")</f>
        <v>аксесуари салону автомобіля</v>
      </c>
      <c r="E416" s="16" t="str">
        <f>IFERROR(__xludf.DUMMYFUNCTION("""COMPUTED_VALUE"""),"чохли і ручки керма")</f>
        <v>чохли і ручки керма</v>
      </c>
      <c r="F416" s="17">
        <f>IFERROR(__xludf.DUMMYFUNCTION("""COMPUTED_VALUE"""),4.0)</f>
        <v>4</v>
      </c>
      <c r="G416" s="17" t="str">
        <f>IFERROR(__xludf.DUMMYFUNCTION("""COMPUTED_VALUE"""),"121217")</f>
        <v>121217</v>
      </c>
      <c r="H416" s="17" t="str">
        <f>IFERROR(__xludf.DUMMYFUNCTION("""COMPUTED_VALUE"""),"чохли і ручки керма")</f>
        <v>чохли і ручки керма</v>
      </c>
      <c r="I416" s="19">
        <f>IFERROR(__xludf.DUMMYFUNCTION("""COMPUTED_VALUE"""),0.0775)</f>
        <v>0.0775</v>
      </c>
      <c r="J416" s="19">
        <f>IFERROR(__xludf.DUMMYFUNCTION("""COMPUTED_VALUE"""),0.1549)</f>
        <v>0.1549</v>
      </c>
      <c r="K416" s="19">
        <f>IFERROR(__xludf.DUMMYFUNCTION("""COMPUTED_VALUE"""),0.1936)</f>
        <v>0.1936</v>
      </c>
      <c r="L416" s="19">
        <f>IFERROR(__xludf.DUMMYFUNCTION("""COMPUTED_VALUE"""),0.2324)</f>
        <v>0.2324</v>
      </c>
      <c r="M416" s="18">
        <f>IFERROR(__xludf.DUMMYFUNCTION("""COMPUTED_VALUE"""),2.53)</f>
        <v>2.53</v>
      </c>
    </row>
    <row r="417">
      <c r="A417" s="13" t="str">
        <f>IFERROR(__xludf.DUMMYFUNCTION("""COMPUTED_VALUE"""),"товари")</f>
        <v>товари</v>
      </c>
      <c r="B417" s="16" t="str">
        <f>IFERROR(__xludf.DUMMYFUNCTION("""COMPUTED_VALUE"""),"авто-, мото")</f>
        <v>авто-, мото</v>
      </c>
      <c r="C417" s="16" t="str">
        <f>IFERROR(__xludf.DUMMYFUNCTION("""COMPUTED_VALUE"""),"аксесуари для авто")</f>
        <v>аксесуари для авто</v>
      </c>
      <c r="D417" s="16" t="str">
        <f>IFERROR(__xludf.DUMMYFUNCTION("""COMPUTED_VALUE"""),"аксесуари салону автомобіля")</f>
        <v>аксесуари салону автомобіля</v>
      </c>
      <c r="E417" s="16" t="str">
        <f>IFERROR(__xludf.DUMMYFUNCTION("""COMPUTED_VALUE"""),"чохли ручок кпп")</f>
        <v>чохли ручок кпп</v>
      </c>
      <c r="F417" s="17">
        <f>IFERROR(__xludf.DUMMYFUNCTION("""COMPUTED_VALUE"""),4.0)</f>
        <v>4</v>
      </c>
      <c r="G417" s="17" t="str">
        <f>IFERROR(__xludf.DUMMYFUNCTION("""COMPUTED_VALUE"""),"12120103")</f>
        <v>12120103</v>
      </c>
      <c r="H417" s="17" t="str">
        <f>IFERROR(__xludf.DUMMYFUNCTION("""COMPUTED_VALUE"""),"чохли ручок кпп")</f>
        <v>чохли ручок кпп</v>
      </c>
      <c r="I417" s="19">
        <f>IFERROR(__xludf.DUMMYFUNCTION("""COMPUTED_VALUE"""),0.0772)</f>
        <v>0.0772</v>
      </c>
      <c r="J417" s="19">
        <f>IFERROR(__xludf.DUMMYFUNCTION("""COMPUTED_VALUE"""),0.1543)</f>
        <v>0.1543</v>
      </c>
      <c r="K417" s="19">
        <f>IFERROR(__xludf.DUMMYFUNCTION("""COMPUTED_VALUE"""),0.1929)</f>
        <v>0.1929</v>
      </c>
      <c r="L417" s="19">
        <f>IFERROR(__xludf.DUMMYFUNCTION("""COMPUTED_VALUE"""),0.2315)</f>
        <v>0.2315</v>
      </c>
      <c r="M417" s="18">
        <f>IFERROR(__xludf.DUMMYFUNCTION("""COMPUTED_VALUE"""),2.53)</f>
        <v>2.53</v>
      </c>
    </row>
    <row r="418">
      <c r="A418" s="13" t="str">
        <f>IFERROR(__xludf.DUMMYFUNCTION("""COMPUTED_VALUE"""),"товари")</f>
        <v>товари</v>
      </c>
      <c r="B418" s="16" t="str">
        <f>IFERROR(__xludf.DUMMYFUNCTION("""COMPUTED_VALUE"""),"авто-, мото")</f>
        <v>авто-, мото</v>
      </c>
      <c r="C418" s="16" t="str">
        <f>IFERROR(__xludf.DUMMYFUNCTION("""COMPUTED_VALUE"""),"аксесуари для авто")</f>
        <v>аксесуари для авто</v>
      </c>
      <c r="D418" s="16" t="str">
        <f>IFERROR(__xludf.DUMMYFUNCTION("""COMPUTED_VALUE"""),"аксесуари салону автомобіля")</f>
        <v>аксесуари салону автомобіля</v>
      </c>
      <c r="E418" s="16" t="str">
        <f>IFERROR(__xludf.DUMMYFUNCTION("""COMPUTED_VALUE"""),"чохли, ковпаки для запасного колеса")</f>
        <v>чохли, ковпаки для запасного колеса</v>
      </c>
      <c r="F418" s="17">
        <f>IFERROR(__xludf.DUMMYFUNCTION("""COMPUTED_VALUE"""),4.0)</f>
        <v>4</v>
      </c>
      <c r="G418" s="17" t="str">
        <f>IFERROR(__xludf.DUMMYFUNCTION("""COMPUTED_VALUE"""),"12120102")</f>
        <v>12120102</v>
      </c>
      <c r="H418" s="17" t="str">
        <f>IFERROR(__xludf.DUMMYFUNCTION("""COMPUTED_VALUE"""),"чохли, ковпаки для запасного колеса")</f>
        <v>чохли, ковпаки для запасного колеса</v>
      </c>
      <c r="I418" s="19">
        <f>IFERROR(__xludf.DUMMYFUNCTION("""COMPUTED_VALUE"""),0.0768)</f>
        <v>0.0768</v>
      </c>
      <c r="J418" s="19">
        <f>IFERROR(__xludf.DUMMYFUNCTION("""COMPUTED_VALUE"""),0.1536)</f>
        <v>0.1536</v>
      </c>
      <c r="K418" s="19">
        <f>IFERROR(__xludf.DUMMYFUNCTION("""COMPUTED_VALUE"""),0.192)</f>
        <v>0.192</v>
      </c>
      <c r="L418" s="19">
        <f>IFERROR(__xludf.DUMMYFUNCTION("""COMPUTED_VALUE"""),0.2304)</f>
        <v>0.2304</v>
      </c>
      <c r="M418" s="18">
        <f>IFERROR(__xludf.DUMMYFUNCTION("""COMPUTED_VALUE"""),2.53)</f>
        <v>2.53</v>
      </c>
    </row>
    <row r="419">
      <c r="A419" s="13" t="str">
        <f>IFERROR(__xludf.DUMMYFUNCTION("""COMPUTED_VALUE"""),"товари")</f>
        <v>товари</v>
      </c>
      <c r="B419" s="16" t="str">
        <f>IFERROR(__xludf.DUMMYFUNCTION("""COMPUTED_VALUE"""),"авто-, мото")</f>
        <v>авто-, мото</v>
      </c>
      <c r="C419" s="16" t="str">
        <f>IFERROR(__xludf.DUMMYFUNCTION("""COMPUTED_VALUE"""),"аксесуари для авто")</f>
        <v>аксесуари для авто</v>
      </c>
      <c r="D419" s="16" t="str">
        <f>IFERROR(__xludf.DUMMYFUNCTION("""COMPUTED_VALUE"""),"аксесуари салону автомобіля")</f>
        <v>аксесуари салону автомобіля</v>
      </c>
      <c r="E419" s="16" t="str">
        <f>IFERROR(__xludf.DUMMYFUNCTION("""COMPUTED_VALUE"""),"чохли, накидки, майки для автокрісел")</f>
        <v>чохли, накидки, майки для автокрісел</v>
      </c>
      <c r="F419" s="17">
        <f>IFERROR(__xludf.DUMMYFUNCTION("""COMPUTED_VALUE"""),4.0)</f>
        <v>4</v>
      </c>
      <c r="G419" s="17" t="str">
        <f>IFERROR(__xludf.DUMMYFUNCTION("""COMPUTED_VALUE"""),"121234")</f>
        <v>121234</v>
      </c>
      <c r="H419" s="17" t="str">
        <f>IFERROR(__xludf.DUMMYFUNCTION("""COMPUTED_VALUE"""),"чохли, накидки, майки для автокрісел")</f>
        <v>чохли, накидки, майки для автокрісел</v>
      </c>
      <c r="I419" s="19">
        <f>IFERROR(__xludf.DUMMYFUNCTION("""COMPUTED_VALUE"""),0.0755)</f>
        <v>0.0755</v>
      </c>
      <c r="J419" s="19">
        <f>IFERROR(__xludf.DUMMYFUNCTION("""COMPUTED_VALUE"""),0.151)</f>
        <v>0.151</v>
      </c>
      <c r="K419" s="19">
        <f>IFERROR(__xludf.DUMMYFUNCTION("""COMPUTED_VALUE"""),0.1888)</f>
        <v>0.1888</v>
      </c>
      <c r="L419" s="19">
        <f>IFERROR(__xludf.DUMMYFUNCTION("""COMPUTED_VALUE"""),0.2265)</f>
        <v>0.2265</v>
      </c>
      <c r="M419" s="18">
        <f>IFERROR(__xludf.DUMMYFUNCTION("""COMPUTED_VALUE"""),2.53)</f>
        <v>2.53</v>
      </c>
    </row>
    <row r="420">
      <c r="A420" s="13" t="str">
        <f>IFERROR(__xludf.DUMMYFUNCTION("""COMPUTED_VALUE"""),"товари")</f>
        <v>товари</v>
      </c>
      <c r="B420" s="16" t="str">
        <f>IFERROR(__xludf.DUMMYFUNCTION("""COMPUTED_VALUE"""),"авто-, мото")</f>
        <v>авто-, мото</v>
      </c>
      <c r="C420" s="16" t="str">
        <f>IFERROR(__xludf.DUMMYFUNCTION("""COMPUTED_VALUE"""),"автозапчастини")</f>
        <v>автозапчастини</v>
      </c>
      <c r="D420" s="16" t="str">
        <f>IFERROR(__xludf.DUMMYFUNCTION("""COMPUTED_VALUE"""),"деталі мостів і приводу трансмісії")</f>
        <v>деталі мостів і приводу трансмісії</v>
      </c>
      <c r="E420" s="16" t="str">
        <f>IFERROR(__xludf.DUMMYFUNCTION("""COMPUTED_VALUE"""),"шарніри рівних кутових швидкостей, привідні вали")</f>
        <v>шарніри рівних кутових швидкостей, привідні вали</v>
      </c>
      <c r="F420" s="17">
        <f>IFERROR(__xludf.DUMMYFUNCTION("""COMPUTED_VALUE"""),4.0)</f>
        <v>4</v>
      </c>
      <c r="G420" s="17" t="str">
        <f>IFERROR(__xludf.DUMMYFUNCTION("""COMPUTED_VALUE"""),"12023803")</f>
        <v>12023803</v>
      </c>
      <c r="H420" s="17" t="str">
        <f>IFERROR(__xludf.DUMMYFUNCTION("""COMPUTED_VALUE"""),"шарніри рівних кутових швидкостей, привідні вали")</f>
        <v>шарніри рівних кутових швидкостей, привідні вали</v>
      </c>
      <c r="I420" s="19">
        <f>IFERROR(__xludf.DUMMYFUNCTION("""COMPUTED_VALUE"""),0.0473)</f>
        <v>0.0473</v>
      </c>
      <c r="J420" s="19">
        <f>IFERROR(__xludf.DUMMYFUNCTION("""COMPUTED_VALUE"""),0.0946)</f>
        <v>0.0946</v>
      </c>
      <c r="K420" s="19">
        <f>IFERROR(__xludf.DUMMYFUNCTION("""COMPUTED_VALUE"""),0.1183)</f>
        <v>0.1183</v>
      </c>
      <c r="L420" s="19">
        <f>IFERROR(__xludf.DUMMYFUNCTION("""COMPUTED_VALUE"""),0.1419)</f>
        <v>0.1419</v>
      </c>
      <c r="M420" s="18">
        <f>IFERROR(__xludf.DUMMYFUNCTION("""COMPUTED_VALUE"""),1.71)</f>
        <v>1.71</v>
      </c>
    </row>
    <row r="421">
      <c r="A421" s="13" t="str">
        <f>IFERROR(__xludf.DUMMYFUNCTION("""COMPUTED_VALUE"""),"товари")</f>
        <v>товари</v>
      </c>
      <c r="B421" s="16" t="str">
        <f>IFERROR(__xludf.DUMMYFUNCTION("""COMPUTED_VALUE"""),"авто-, мото")</f>
        <v>авто-, мото</v>
      </c>
      <c r="C421" s="16" t="str">
        <f>IFERROR(__xludf.DUMMYFUNCTION("""COMPUTED_VALUE"""),"автозапчастини")</f>
        <v>автозапчастини</v>
      </c>
      <c r="D421" s="16" t="str">
        <f>IFERROR(__xludf.DUMMYFUNCTION("""COMPUTED_VALUE"""),"кривошипно-шатунний механізм (кшм)")</f>
        <v>кривошипно-шатунний механізм (кшм)</v>
      </c>
      <c r="E421" s="16" t="str">
        <f>IFERROR(__xludf.DUMMYFUNCTION("""COMPUTED_VALUE"""),"шатуни")</f>
        <v>шатуни</v>
      </c>
      <c r="F421" s="17">
        <f>IFERROR(__xludf.DUMMYFUNCTION("""COMPUTED_VALUE"""),4.0)</f>
        <v>4</v>
      </c>
      <c r="G421" s="17" t="str">
        <f>IFERROR(__xludf.DUMMYFUNCTION("""COMPUTED_VALUE"""),"12020409")</f>
        <v>12020409</v>
      </c>
      <c r="H421" s="17" t="str">
        <f>IFERROR(__xludf.DUMMYFUNCTION("""COMPUTED_VALUE"""),"шатуни")</f>
        <v>шатуни</v>
      </c>
      <c r="I421" s="19">
        <f>IFERROR(__xludf.DUMMYFUNCTION("""COMPUTED_VALUE"""),0.052)</f>
        <v>0.052</v>
      </c>
      <c r="J421" s="19">
        <f>IFERROR(__xludf.DUMMYFUNCTION("""COMPUTED_VALUE"""),0.104)</f>
        <v>0.104</v>
      </c>
      <c r="K421" s="19">
        <f>IFERROR(__xludf.DUMMYFUNCTION("""COMPUTED_VALUE"""),0.13)</f>
        <v>0.13</v>
      </c>
      <c r="L421" s="19">
        <f>IFERROR(__xludf.DUMMYFUNCTION("""COMPUTED_VALUE"""),0.156)</f>
        <v>0.156</v>
      </c>
      <c r="M421" s="18">
        <f>IFERROR(__xludf.DUMMYFUNCTION("""COMPUTED_VALUE"""),1.98)</f>
        <v>1.98</v>
      </c>
    </row>
    <row r="422">
      <c r="A422" s="13" t="str">
        <f>IFERROR(__xludf.DUMMYFUNCTION("""COMPUTED_VALUE"""),"товари")</f>
        <v>товари</v>
      </c>
      <c r="B422" s="16" t="str">
        <f>IFERROR(__xludf.DUMMYFUNCTION("""COMPUTED_VALUE"""),"авто-, мото")</f>
        <v>авто-, мото</v>
      </c>
      <c r="C422" s="16" t="str">
        <f>IFERROR(__xludf.DUMMYFUNCTION("""COMPUTED_VALUE"""),"автозапчастини")</f>
        <v>автозапчастини</v>
      </c>
      <c r="D422" s="16" t="str">
        <f>IFERROR(__xludf.DUMMYFUNCTION("""COMPUTED_VALUE"""),"деталі трансмісії транспорту")</f>
        <v>деталі трансмісії транспорту</v>
      </c>
      <c r="E422" s="16" t="str">
        <f>IFERROR(__xludf.DUMMYFUNCTION("""COMPUTED_VALUE"""),"шестерні трансмісії")</f>
        <v>шестерні трансмісії</v>
      </c>
      <c r="F422" s="17">
        <f>IFERROR(__xludf.DUMMYFUNCTION("""COMPUTED_VALUE"""),4.0)</f>
        <v>4</v>
      </c>
      <c r="G422" s="17" t="str">
        <f>IFERROR(__xludf.DUMMYFUNCTION("""COMPUTED_VALUE"""),"12023807")</f>
        <v>12023807</v>
      </c>
      <c r="H422" s="17" t="str">
        <f>IFERROR(__xludf.DUMMYFUNCTION("""COMPUTED_VALUE"""),"шестерні трансмісії")</f>
        <v>шестерні трансмісії</v>
      </c>
      <c r="I422" s="19">
        <f>IFERROR(__xludf.DUMMYFUNCTION("""COMPUTED_VALUE"""),0.0475)</f>
        <v>0.0475</v>
      </c>
      <c r="J422" s="19">
        <f>IFERROR(__xludf.DUMMYFUNCTION("""COMPUTED_VALUE"""),0.095)</f>
        <v>0.095</v>
      </c>
      <c r="K422" s="19">
        <f>IFERROR(__xludf.DUMMYFUNCTION("""COMPUTED_VALUE"""),0.1188)</f>
        <v>0.1188</v>
      </c>
      <c r="L422" s="19">
        <f>IFERROR(__xludf.DUMMYFUNCTION("""COMPUTED_VALUE"""),0.1425)</f>
        <v>0.1425</v>
      </c>
      <c r="M422" s="18">
        <f>IFERROR(__xludf.DUMMYFUNCTION("""COMPUTED_VALUE"""),1.53)</f>
        <v>1.53</v>
      </c>
    </row>
    <row r="423">
      <c r="A423" s="13" t="str">
        <f>IFERROR(__xludf.DUMMYFUNCTION("""COMPUTED_VALUE"""),"товари")</f>
        <v>товари</v>
      </c>
      <c r="B423" s="16" t="str">
        <f>IFERROR(__xludf.DUMMYFUNCTION("""COMPUTED_VALUE"""),"авто-, мото")</f>
        <v>авто-, мото</v>
      </c>
      <c r="C423" s="16" t="str">
        <f>IFERROR(__xludf.DUMMYFUNCTION("""COMPUTED_VALUE"""),"диски і шини")</f>
        <v>диски і шини</v>
      </c>
      <c r="D423" s="16" t="str">
        <f>IFERROR(__xludf.DUMMYFUNCTION("""COMPUTED_VALUE"""),"шини")</f>
        <v>шини</v>
      </c>
      <c r="E423" s="16" t="str">
        <f>IFERROR(__xludf.DUMMYFUNCTION("""COMPUTED_VALUE"""),"шини для легкових авто")</f>
        <v>шини для легкових авто</v>
      </c>
      <c r="F423" s="17">
        <f>IFERROR(__xludf.DUMMYFUNCTION("""COMPUTED_VALUE"""),4.0)</f>
        <v>4</v>
      </c>
      <c r="G423" s="17" t="str">
        <f>IFERROR(__xludf.DUMMYFUNCTION("""COMPUTED_VALUE"""),"801227")</f>
        <v>801227</v>
      </c>
      <c r="H423" s="17" t="str">
        <f>IFERROR(__xludf.DUMMYFUNCTION("""COMPUTED_VALUE"""),"шини для легкових авто")</f>
        <v>шини для легкових авто</v>
      </c>
      <c r="I423" s="19">
        <f>IFERROR(__xludf.DUMMYFUNCTION("""COMPUTED_VALUE"""),0.0285)</f>
        <v>0.0285</v>
      </c>
      <c r="J423" s="19">
        <f>IFERROR(__xludf.DUMMYFUNCTION("""COMPUTED_VALUE"""),0.057)</f>
        <v>0.057</v>
      </c>
      <c r="K423" s="19">
        <f>IFERROR(__xludf.DUMMYFUNCTION("""COMPUTED_VALUE"""),0.0713)</f>
        <v>0.0713</v>
      </c>
      <c r="L423" s="19">
        <f>IFERROR(__xludf.DUMMYFUNCTION("""COMPUTED_VALUE"""),0.0855)</f>
        <v>0.0855</v>
      </c>
      <c r="M423" s="18">
        <f>IFERROR(__xludf.DUMMYFUNCTION("""COMPUTED_VALUE"""),2.25)</f>
        <v>2.25</v>
      </c>
    </row>
    <row r="424">
      <c r="A424" s="13" t="str">
        <f>IFERROR(__xludf.DUMMYFUNCTION("""COMPUTED_VALUE"""),"товари")</f>
        <v>товари</v>
      </c>
      <c r="B424" s="16" t="str">
        <f>IFERROR(__xludf.DUMMYFUNCTION("""COMPUTED_VALUE"""),"авто-, мото")</f>
        <v>авто-, мото</v>
      </c>
      <c r="C424" s="16" t="str">
        <f>IFERROR(__xludf.DUMMYFUNCTION("""COMPUTED_VALUE"""),"диски і шини")</f>
        <v>диски і шини</v>
      </c>
      <c r="D424" s="16" t="str">
        <f>IFERROR(__xludf.DUMMYFUNCTION("""COMPUTED_VALUE"""),"шини")</f>
        <v>шини</v>
      </c>
      <c r="E424" s="16" t="str">
        <f>IFERROR(__xludf.DUMMYFUNCTION("""COMPUTED_VALUE"""),"шини для спецтехніки")</f>
        <v>шини для спецтехніки</v>
      </c>
      <c r="F424" s="17">
        <f>IFERROR(__xludf.DUMMYFUNCTION("""COMPUTED_VALUE"""),4.0)</f>
        <v>4</v>
      </c>
      <c r="G424" s="17" t="str">
        <f>IFERROR(__xludf.DUMMYFUNCTION("""COMPUTED_VALUE"""),"801225")</f>
        <v>801225</v>
      </c>
      <c r="H424" s="17" t="str">
        <f>IFERROR(__xludf.DUMMYFUNCTION("""COMPUTED_VALUE"""),"шини для спецтехніки")</f>
        <v>шини для спецтехніки</v>
      </c>
      <c r="I424" s="19">
        <f>IFERROR(__xludf.DUMMYFUNCTION("""COMPUTED_VALUE"""),0.0337)</f>
        <v>0.0337</v>
      </c>
      <c r="J424" s="19">
        <f>IFERROR(__xludf.DUMMYFUNCTION("""COMPUTED_VALUE"""),0.0674)</f>
        <v>0.0674</v>
      </c>
      <c r="K424" s="19">
        <f>IFERROR(__xludf.DUMMYFUNCTION("""COMPUTED_VALUE"""),0.0843)</f>
        <v>0.0843</v>
      </c>
      <c r="L424" s="19">
        <f>IFERROR(__xludf.DUMMYFUNCTION("""COMPUTED_VALUE"""),0.1011)</f>
        <v>0.1011</v>
      </c>
      <c r="M424" s="18">
        <f>IFERROR(__xludf.DUMMYFUNCTION("""COMPUTED_VALUE"""),2.25)</f>
        <v>2.25</v>
      </c>
    </row>
    <row r="425">
      <c r="A425" s="13" t="str">
        <f>IFERROR(__xludf.DUMMYFUNCTION("""COMPUTED_VALUE"""),"товари")</f>
        <v>товари</v>
      </c>
      <c r="B425" s="16" t="str">
        <f>IFERROR(__xludf.DUMMYFUNCTION("""COMPUTED_VALUE"""),"авто-, мото")</f>
        <v>авто-, мото</v>
      </c>
      <c r="C425" s="16" t="str">
        <f>IFERROR(__xludf.DUMMYFUNCTION("""COMPUTED_VALUE"""),"диски і шини")</f>
        <v>диски і шини</v>
      </c>
      <c r="D425" s="16" t="str">
        <f>IFERROR(__xludf.DUMMYFUNCTION("""COMPUTED_VALUE"""),"шини")</f>
        <v>шини</v>
      </c>
      <c r="E425" s="16" t="str">
        <f>IFERROR(__xludf.DUMMYFUNCTION("""COMPUTED_VALUE"""),"шини, загальне")</f>
        <v>шини, загальне</v>
      </c>
      <c r="F425" s="17">
        <f>IFERROR(__xludf.DUMMYFUNCTION("""COMPUTED_VALUE"""),4.0)</f>
        <v>4</v>
      </c>
      <c r="G425" s="17" t="str">
        <f>IFERROR(__xludf.DUMMYFUNCTION("""COMPUTED_VALUE"""),"801230")</f>
        <v>801230</v>
      </c>
      <c r="H425" s="17" t="str">
        <f>IFERROR(__xludf.DUMMYFUNCTION("""COMPUTED_VALUE"""),"шини, загальне")</f>
        <v>шини, загальне</v>
      </c>
      <c r="I425" s="19">
        <f>IFERROR(__xludf.DUMMYFUNCTION("""COMPUTED_VALUE"""),0.125)</f>
        <v>0.125</v>
      </c>
      <c r="J425" s="19">
        <f>IFERROR(__xludf.DUMMYFUNCTION("""COMPUTED_VALUE"""),0.25)</f>
        <v>0.25</v>
      </c>
      <c r="K425" s="19">
        <f>IFERROR(__xludf.DUMMYFUNCTION("""COMPUTED_VALUE"""),0.3125)</f>
        <v>0.3125</v>
      </c>
      <c r="L425" s="19">
        <f>IFERROR(__xludf.DUMMYFUNCTION("""COMPUTED_VALUE"""),0.375)</f>
        <v>0.375</v>
      </c>
      <c r="M425" s="18">
        <f>IFERROR(__xludf.DUMMYFUNCTION("""COMPUTED_VALUE"""),2.25)</f>
        <v>2.25</v>
      </c>
    </row>
    <row r="426">
      <c r="A426" s="13" t="str">
        <f>IFERROR(__xludf.DUMMYFUNCTION("""COMPUTED_VALUE"""),"товари")</f>
        <v>товари</v>
      </c>
      <c r="B426" s="16" t="str">
        <f>IFERROR(__xludf.DUMMYFUNCTION("""COMPUTED_VALUE"""),"авто-, мото")</f>
        <v>авто-, мото</v>
      </c>
      <c r="C426" s="16" t="str">
        <f>IFERROR(__xludf.DUMMYFUNCTION("""COMPUTED_VALUE"""),"диски і шини")</f>
        <v>диски і шини</v>
      </c>
      <c r="D426" s="16" t="str">
        <f>IFERROR(__xludf.DUMMYFUNCTION("""COMPUTED_VALUE"""),"шинні ремкомплекти")</f>
        <v>шинні ремкомплекти</v>
      </c>
      <c r="E426" s="16" t="str">
        <f>IFERROR(__xludf.DUMMYFUNCTION("""COMPUTED_VALUE"""),"шинні ремкомплекти")</f>
        <v>шинні ремкомплекти</v>
      </c>
      <c r="F426" s="17">
        <f>IFERROR(__xludf.DUMMYFUNCTION("""COMPUTED_VALUE"""),3.0)</f>
        <v>3</v>
      </c>
      <c r="G426" s="17" t="str">
        <f>IFERROR(__xludf.DUMMYFUNCTION("""COMPUTED_VALUE"""),"121261")</f>
        <v>121261</v>
      </c>
      <c r="H426" s="17" t="str">
        <f>IFERROR(__xludf.DUMMYFUNCTION("""COMPUTED_VALUE"""),"шинні ремкомплекти")</f>
        <v>шинні ремкомплекти</v>
      </c>
      <c r="I426" s="19">
        <f>IFERROR(__xludf.DUMMYFUNCTION("""COMPUTED_VALUE"""),0.075)</f>
        <v>0.075</v>
      </c>
      <c r="J426" s="19">
        <f>IFERROR(__xludf.DUMMYFUNCTION("""COMPUTED_VALUE"""),0.15)</f>
        <v>0.15</v>
      </c>
      <c r="K426" s="19">
        <f>IFERROR(__xludf.DUMMYFUNCTION("""COMPUTED_VALUE"""),0.1875)</f>
        <v>0.1875</v>
      </c>
      <c r="L426" s="19">
        <f>IFERROR(__xludf.DUMMYFUNCTION("""COMPUTED_VALUE"""),0.225)</f>
        <v>0.225</v>
      </c>
      <c r="M426" s="18">
        <f>IFERROR(__xludf.DUMMYFUNCTION("""COMPUTED_VALUE"""),1.05)</f>
        <v>1.05</v>
      </c>
    </row>
    <row r="427">
      <c r="A427" s="13" t="str">
        <f>IFERROR(__xludf.DUMMYFUNCTION("""COMPUTED_VALUE"""),"товари")</f>
        <v>товари</v>
      </c>
      <c r="B427" s="16" t="str">
        <f>IFERROR(__xludf.DUMMYFUNCTION("""COMPUTED_VALUE"""),"авто-, мото")</f>
        <v>авто-, мото</v>
      </c>
      <c r="C427" s="16" t="str">
        <f>IFERROR(__xludf.DUMMYFUNCTION("""COMPUTED_VALUE"""),"автозапчастини")</f>
        <v>автозапчастини</v>
      </c>
      <c r="D427" s="16" t="str">
        <f>IFERROR(__xludf.DUMMYFUNCTION("""COMPUTED_VALUE"""),"двигуни і деталі двигуна")</f>
        <v>двигуни і деталі двигуна</v>
      </c>
      <c r="E427" s="16" t="str">
        <f>IFERROR(__xludf.DUMMYFUNCTION("""COMPUTED_VALUE"""),"шківи двигунів")</f>
        <v>шківи двигунів</v>
      </c>
      <c r="F427" s="17">
        <f>IFERROR(__xludf.DUMMYFUNCTION("""COMPUTED_VALUE"""),4.0)</f>
        <v>4</v>
      </c>
      <c r="G427" s="17" t="str">
        <f>IFERROR(__xludf.DUMMYFUNCTION("""COMPUTED_VALUE"""),"12020427")</f>
        <v>12020427</v>
      </c>
      <c r="H427" s="17" t="str">
        <f>IFERROR(__xludf.DUMMYFUNCTION("""COMPUTED_VALUE"""),"шківи двигунів")</f>
        <v>шківи двигунів</v>
      </c>
      <c r="I427" s="19">
        <f>IFERROR(__xludf.DUMMYFUNCTION("""COMPUTED_VALUE"""),0.047)</f>
        <v>0.047</v>
      </c>
      <c r="J427" s="19">
        <f>IFERROR(__xludf.DUMMYFUNCTION("""COMPUTED_VALUE"""),0.094)</f>
        <v>0.094</v>
      </c>
      <c r="K427" s="19">
        <f>IFERROR(__xludf.DUMMYFUNCTION("""COMPUTED_VALUE"""),0.1175)</f>
        <v>0.1175</v>
      </c>
      <c r="L427" s="19">
        <f>IFERROR(__xludf.DUMMYFUNCTION("""COMPUTED_VALUE"""),0.141)</f>
        <v>0.141</v>
      </c>
      <c r="M427" s="18">
        <f>IFERROR(__xludf.DUMMYFUNCTION("""COMPUTED_VALUE"""),1.53)</f>
        <v>1.53</v>
      </c>
    </row>
    <row r="428">
      <c r="A428" s="13" t="str">
        <f>IFERROR(__xludf.DUMMYFUNCTION("""COMPUTED_VALUE"""),"товари")</f>
        <v>товари</v>
      </c>
      <c r="B428" s="16" t="str">
        <f>IFERROR(__xludf.DUMMYFUNCTION("""COMPUTED_VALUE"""),"авто-, мото")</f>
        <v>авто-, мото</v>
      </c>
      <c r="C428" s="16" t="str">
        <f>IFERROR(__xludf.DUMMYFUNCTION("""COMPUTED_VALUE"""),"автозапчастини")</f>
        <v>автозапчастини</v>
      </c>
      <c r="D428" s="16" t="str">
        <f>IFERROR(__xludf.DUMMYFUNCTION("""COMPUTED_VALUE"""),"система живлення двигуна")</f>
        <v>система живлення двигуна</v>
      </c>
      <c r="E428" s="16" t="str">
        <f>IFERROR(__xludf.DUMMYFUNCTION("""COMPUTED_VALUE"""),"штатні повітрозабірники і комплектуючі")</f>
        <v>штатні повітрозабірники і комплектуючі</v>
      </c>
      <c r="F428" s="17">
        <f>IFERROR(__xludf.DUMMYFUNCTION("""COMPUTED_VALUE"""),4.0)</f>
        <v>4</v>
      </c>
      <c r="G428" s="17" t="str">
        <f>IFERROR(__xludf.DUMMYFUNCTION("""COMPUTED_VALUE"""),"120243")</f>
        <v>120243</v>
      </c>
      <c r="H428" s="17" t="str">
        <f>IFERROR(__xludf.DUMMYFUNCTION("""COMPUTED_VALUE"""),"штатні повітрозабірники і комплектуючі")</f>
        <v>штатні повітрозабірники і комплектуючі</v>
      </c>
      <c r="I428" s="19">
        <f>IFERROR(__xludf.DUMMYFUNCTION("""COMPUTED_VALUE"""),0.0546)</f>
        <v>0.0546</v>
      </c>
      <c r="J428" s="19">
        <f>IFERROR(__xludf.DUMMYFUNCTION("""COMPUTED_VALUE"""),0.1092)</f>
        <v>0.1092</v>
      </c>
      <c r="K428" s="19">
        <f>IFERROR(__xludf.DUMMYFUNCTION("""COMPUTED_VALUE"""),0.1365)</f>
        <v>0.1365</v>
      </c>
      <c r="L428" s="19">
        <f>IFERROR(__xludf.DUMMYFUNCTION("""COMPUTED_VALUE"""),0.1638)</f>
        <v>0.1638</v>
      </c>
      <c r="M428" s="18">
        <f>IFERROR(__xludf.DUMMYFUNCTION("""COMPUTED_VALUE"""),1.53)</f>
        <v>1.53</v>
      </c>
    </row>
    <row r="429">
      <c r="A429" s="13" t="str">
        <f>IFERROR(__xludf.DUMMYFUNCTION("""COMPUTED_VALUE"""),"товари")</f>
        <v>товари</v>
      </c>
      <c r="B429" s="16" t="str">
        <f>IFERROR(__xludf.DUMMYFUNCTION("""COMPUTED_VALUE"""),"аксесуари та прикраси")</f>
        <v>аксесуари та прикраси</v>
      </c>
      <c r="C429" s="16" t="str">
        <f>IFERROR(__xludf.DUMMYFUNCTION("""COMPUTED_VALUE"""),"aксесуари")</f>
        <v>aксесуари</v>
      </c>
      <c r="D429" s="16" t="str">
        <f>IFERROR(__xludf.DUMMYFUNCTION("""COMPUTED_VALUE"""),"автомобільні рукавички")</f>
        <v>автомобільні рукавички</v>
      </c>
      <c r="E429" s="16" t="str">
        <f>IFERROR(__xludf.DUMMYFUNCTION("""COMPUTED_VALUE"""),"автомобільні рукавички")</f>
        <v>автомобільні рукавички</v>
      </c>
      <c r="F429" s="17">
        <f>IFERROR(__xludf.DUMMYFUNCTION("""COMPUTED_VALUE"""),3.0)</f>
        <v>3</v>
      </c>
      <c r="G429" s="17" t="str">
        <f>IFERROR(__xludf.DUMMYFUNCTION("""COMPUTED_VALUE"""),"203101")</f>
        <v>203101</v>
      </c>
      <c r="H429" s="17" t="str">
        <f>IFERROR(__xludf.DUMMYFUNCTION("""COMPUTED_VALUE"""),"автомобільні рукавички")</f>
        <v>автомобільні рукавички</v>
      </c>
      <c r="I429" s="19">
        <f>IFERROR(__xludf.DUMMYFUNCTION("""COMPUTED_VALUE"""),0.0855)</f>
        <v>0.0855</v>
      </c>
      <c r="J429" s="19">
        <f>IFERROR(__xludf.DUMMYFUNCTION("""COMPUTED_VALUE"""),0.1709)</f>
        <v>0.1709</v>
      </c>
      <c r="K429" s="19">
        <f>IFERROR(__xludf.DUMMYFUNCTION("""COMPUTED_VALUE"""),0.2136)</f>
        <v>0.2136</v>
      </c>
      <c r="L429" s="19">
        <f>IFERROR(__xludf.DUMMYFUNCTION("""COMPUTED_VALUE"""),0.2564)</f>
        <v>0.2564</v>
      </c>
      <c r="M429" s="18">
        <f>IFERROR(__xludf.DUMMYFUNCTION("""COMPUTED_VALUE"""),1.71)</f>
        <v>1.71</v>
      </c>
    </row>
    <row r="430">
      <c r="A430" s="13" t="str">
        <f>IFERROR(__xludf.DUMMYFUNCTION("""COMPUTED_VALUE"""),"товари")</f>
        <v>товари</v>
      </c>
      <c r="B430" s="16" t="str">
        <f>IFERROR(__xludf.DUMMYFUNCTION("""COMPUTED_VALUE"""),"аксесуари та прикраси")</f>
        <v>аксесуари та прикраси</v>
      </c>
      <c r="C430" s="16" t="str">
        <f>IFERROR(__xludf.DUMMYFUNCTION("""COMPUTED_VALUE"""),"aксесуари")</f>
        <v>aксесуари</v>
      </c>
      <c r="D430" s="16" t="str">
        <f>IFERROR(__xludf.DUMMYFUNCTION("""COMPUTED_VALUE"""),"аксесуари для волосся")</f>
        <v>аксесуари для волосся</v>
      </c>
      <c r="E430" s="16" t="str">
        <f>IFERROR(__xludf.DUMMYFUNCTION("""COMPUTED_VALUE"""),"аксесуари для волосся, загальне")</f>
        <v>аксесуари для волосся, загальне</v>
      </c>
      <c r="F430" s="17">
        <f>IFERROR(__xludf.DUMMYFUNCTION("""COMPUTED_VALUE"""),4.0)</f>
        <v>4</v>
      </c>
      <c r="G430" s="17" t="str">
        <f>IFERROR(__xludf.DUMMYFUNCTION("""COMPUTED_VALUE"""),"3390199")</f>
        <v>3390199</v>
      </c>
      <c r="H430" s="17" t="str">
        <f>IFERROR(__xludf.DUMMYFUNCTION("""COMPUTED_VALUE"""),"аксесуари для волосся, загальне")</f>
        <v>аксесуари для волосся, загальне</v>
      </c>
      <c r="I430" s="19">
        <f>IFERROR(__xludf.DUMMYFUNCTION("""COMPUTED_VALUE"""),0.125)</f>
        <v>0.125</v>
      </c>
      <c r="J430" s="19">
        <f>IFERROR(__xludf.DUMMYFUNCTION("""COMPUTED_VALUE"""),0.25)</f>
        <v>0.25</v>
      </c>
      <c r="K430" s="19">
        <f>IFERROR(__xludf.DUMMYFUNCTION("""COMPUTED_VALUE"""),0.3125)</f>
        <v>0.3125</v>
      </c>
      <c r="L430" s="19">
        <f>IFERROR(__xludf.DUMMYFUNCTION("""COMPUTED_VALUE"""),0.375)</f>
        <v>0.375</v>
      </c>
      <c r="M430" s="18">
        <f>IFERROR(__xludf.DUMMYFUNCTION("""COMPUTED_VALUE"""),4.33)</f>
        <v>4.33</v>
      </c>
    </row>
    <row r="431">
      <c r="A431" s="13" t="str">
        <f>IFERROR(__xludf.DUMMYFUNCTION("""COMPUTED_VALUE"""),"товари")</f>
        <v>товари</v>
      </c>
      <c r="B431" s="16" t="str">
        <f>IFERROR(__xludf.DUMMYFUNCTION("""COMPUTED_VALUE"""),"аксесуари та прикраси")</f>
        <v>аксесуари та прикраси</v>
      </c>
      <c r="C431" s="16" t="str">
        <f>IFERROR(__xludf.DUMMYFUNCTION("""COMPUTED_VALUE"""),"aксесуари")</f>
        <v>aксесуари</v>
      </c>
      <c r="D431" s="16" t="str">
        <f>IFERROR(__xludf.DUMMYFUNCTION("""COMPUTED_VALUE"""),"аксесуари для волосся")</f>
        <v>аксесуари для волосся</v>
      </c>
      <c r="E431" s="16" t="str">
        <f>IFERROR(__xludf.DUMMYFUNCTION("""COMPUTED_VALUE"""),"аксесуари для створення зачісок")</f>
        <v>аксесуари для створення зачісок</v>
      </c>
      <c r="F431" s="17">
        <f>IFERROR(__xludf.DUMMYFUNCTION("""COMPUTED_VALUE"""),4.0)</f>
        <v>4</v>
      </c>
      <c r="G431" s="17" t="str">
        <f>IFERROR(__xludf.DUMMYFUNCTION("""COMPUTED_VALUE"""),"3390114")</f>
        <v>3390114</v>
      </c>
      <c r="H431" s="17" t="str">
        <f>IFERROR(__xludf.DUMMYFUNCTION("""COMPUTED_VALUE"""),"аксесуари для створення зачісок")</f>
        <v>аксесуари для створення зачісок</v>
      </c>
      <c r="I431" s="19">
        <f>IFERROR(__xludf.DUMMYFUNCTION("""COMPUTED_VALUE"""),0.0801)</f>
        <v>0.0801</v>
      </c>
      <c r="J431" s="19">
        <f>IFERROR(__xludf.DUMMYFUNCTION("""COMPUTED_VALUE"""),0.1602)</f>
        <v>0.1602</v>
      </c>
      <c r="K431" s="19">
        <f>IFERROR(__xludf.DUMMYFUNCTION("""COMPUTED_VALUE"""),0.2003)</f>
        <v>0.2003</v>
      </c>
      <c r="L431" s="19">
        <f>IFERROR(__xludf.DUMMYFUNCTION("""COMPUTED_VALUE"""),0.2403)</f>
        <v>0.2403</v>
      </c>
      <c r="M431" s="18">
        <f>IFERROR(__xludf.DUMMYFUNCTION("""COMPUTED_VALUE"""),1.26)</f>
        <v>1.26</v>
      </c>
    </row>
    <row r="432">
      <c r="A432" s="13" t="str">
        <f>IFERROR(__xludf.DUMMYFUNCTION("""COMPUTED_VALUE"""),"товари")</f>
        <v>товари</v>
      </c>
      <c r="B432" s="16" t="str">
        <f>IFERROR(__xludf.DUMMYFUNCTION("""COMPUTED_VALUE"""),"аксесуари та прикраси")</f>
        <v>аксесуари та прикраси</v>
      </c>
      <c r="C432" s="16" t="str">
        <f>IFERROR(__xludf.DUMMYFUNCTION("""COMPUTED_VALUE"""),"сумки, валізи, портфелі")</f>
        <v>сумки, валізи, портфелі</v>
      </c>
      <c r="D432" s="16" t="str">
        <f>IFERROR(__xludf.DUMMYFUNCTION("""COMPUTED_VALUE"""),"аксесуари для сумок")</f>
        <v>аксесуари для сумок</v>
      </c>
      <c r="E432" s="16" t="str">
        <f>IFERROR(__xludf.DUMMYFUNCTION("""COMPUTED_VALUE"""),"аксесуари для сумок")</f>
        <v>аксесуари для сумок</v>
      </c>
      <c r="F432" s="17">
        <f>IFERROR(__xludf.DUMMYFUNCTION("""COMPUTED_VALUE"""),3.0)</f>
        <v>3</v>
      </c>
      <c r="G432" s="17" t="str">
        <f>IFERROR(__xludf.DUMMYFUNCTION("""COMPUTED_VALUE"""),"152415")</f>
        <v>152415</v>
      </c>
      <c r="H432" s="17" t="str">
        <f>IFERROR(__xludf.DUMMYFUNCTION("""COMPUTED_VALUE"""),"аксесуари для сумок")</f>
        <v>аксесуари для сумок</v>
      </c>
      <c r="I432" s="19">
        <f>IFERROR(__xludf.DUMMYFUNCTION("""COMPUTED_VALUE"""),0.0965)</f>
        <v>0.0965</v>
      </c>
      <c r="J432" s="19">
        <f>IFERROR(__xludf.DUMMYFUNCTION("""COMPUTED_VALUE"""),0.193)</f>
        <v>0.193</v>
      </c>
      <c r="K432" s="19">
        <f>IFERROR(__xludf.DUMMYFUNCTION("""COMPUTED_VALUE"""),0.2413)</f>
        <v>0.2413</v>
      </c>
      <c r="L432" s="19">
        <f>IFERROR(__xludf.DUMMYFUNCTION("""COMPUTED_VALUE"""),0.2895)</f>
        <v>0.2895</v>
      </c>
      <c r="M432" s="18">
        <f>IFERROR(__xludf.DUMMYFUNCTION("""COMPUTED_VALUE"""),1.05)</f>
        <v>1.05</v>
      </c>
    </row>
    <row r="433">
      <c r="A433" s="13" t="str">
        <f>IFERROR(__xludf.DUMMYFUNCTION("""COMPUTED_VALUE"""),"товари")</f>
        <v>товари</v>
      </c>
      <c r="B433" s="16" t="str">
        <f>IFERROR(__xludf.DUMMYFUNCTION("""COMPUTED_VALUE"""),"аксесуари та прикраси")</f>
        <v>аксесуари та прикраси</v>
      </c>
      <c r="C433" s="16" t="str">
        <f>IFERROR(__xludf.DUMMYFUNCTION("""COMPUTED_VALUE"""),"аксесуари та прикраси")</f>
        <v>аксесуари та прикраси</v>
      </c>
      <c r="D433" s="16" t="str">
        <f>IFERROR(__xludf.DUMMYFUNCTION("""COMPUTED_VALUE"""),"аксесуари та прикраси")</f>
        <v>аксесуари та прикраси</v>
      </c>
      <c r="E433" s="16" t="str">
        <f>IFERROR(__xludf.DUMMYFUNCTION("""COMPUTED_VALUE"""),"аксесуари та прикраси")</f>
        <v>аксесуари та прикраси</v>
      </c>
      <c r="F433" s="17">
        <f>IFERROR(__xludf.DUMMYFUNCTION("""COMPUTED_VALUE"""),2.0)</f>
        <v>2</v>
      </c>
      <c r="G433" s="17" t="str">
        <f>IFERROR(__xludf.DUMMYFUNCTION("""COMPUTED_VALUE"""),"381001")</f>
        <v>381001</v>
      </c>
      <c r="H433" s="17" t="str">
        <f>IFERROR(__xludf.DUMMYFUNCTION("""COMPUTED_VALUE"""),"аксесуари та прикраси")</f>
        <v>аксесуари та прикраси</v>
      </c>
      <c r="I433" s="19">
        <f>IFERROR(__xludf.DUMMYFUNCTION("""COMPUTED_VALUE"""),0.108)</f>
        <v>0.108</v>
      </c>
      <c r="J433" s="19">
        <f>IFERROR(__xludf.DUMMYFUNCTION("""COMPUTED_VALUE"""),0.216)</f>
        <v>0.216</v>
      </c>
      <c r="K433" s="19">
        <f>IFERROR(__xludf.DUMMYFUNCTION("""COMPUTED_VALUE"""),0.27)</f>
        <v>0.27</v>
      </c>
      <c r="L433" s="19">
        <f>IFERROR(__xludf.DUMMYFUNCTION("""COMPUTED_VALUE"""),0.324)</f>
        <v>0.324</v>
      </c>
      <c r="M433" s="18">
        <f>IFERROR(__xludf.DUMMYFUNCTION("""COMPUTED_VALUE"""),4.33)</f>
        <v>4.33</v>
      </c>
    </row>
    <row r="434">
      <c r="A434" s="13" t="str">
        <f>IFERROR(__xludf.DUMMYFUNCTION("""COMPUTED_VALUE"""),"товари")</f>
        <v>товари</v>
      </c>
      <c r="B434" s="16" t="str">
        <f>IFERROR(__xludf.DUMMYFUNCTION("""COMPUTED_VALUE"""),"аксесуари та прикраси")</f>
        <v>аксесуари та прикраси</v>
      </c>
      <c r="C434" s="16" t="str">
        <f>IFERROR(__xludf.DUMMYFUNCTION("""COMPUTED_VALUE"""),"aксесуари")</f>
        <v>aксесуари</v>
      </c>
      <c r="D434" s="16" t="str">
        <f>IFERROR(__xludf.DUMMYFUNCTION("""COMPUTED_VALUE"""),"головні убори")</f>
        <v>головні убори</v>
      </c>
      <c r="E434" s="16" t="str">
        <f>IFERROR(__xludf.DUMMYFUNCTION("""COMPUTED_VALUE"""),"бандани і бафи")</f>
        <v>бандани і бафи</v>
      </c>
      <c r="F434" s="17">
        <f>IFERROR(__xludf.DUMMYFUNCTION("""COMPUTED_VALUE"""),4.0)</f>
        <v>4</v>
      </c>
      <c r="G434" s="17" t="str">
        <f>IFERROR(__xludf.DUMMYFUNCTION("""COMPUTED_VALUE"""),"3390101")</f>
        <v>3390101</v>
      </c>
      <c r="H434" s="17" t="str">
        <f>IFERROR(__xludf.DUMMYFUNCTION("""COMPUTED_VALUE"""),"бандани і бафи")</f>
        <v>бандани і бафи</v>
      </c>
      <c r="I434" s="19">
        <f>IFERROR(__xludf.DUMMYFUNCTION("""COMPUTED_VALUE"""),0.1012)</f>
        <v>0.1012</v>
      </c>
      <c r="J434" s="19">
        <f>IFERROR(__xludf.DUMMYFUNCTION("""COMPUTED_VALUE"""),0.2024)</f>
        <v>0.2024</v>
      </c>
      <c r="K434" s="19">
        <f>IFERROR(__xludf.DUMMYFUNCTION("""COMPUTED_VALUE"""),0.253)</f>
        <v>0.253</v>
      </c>
      <c r="L434" s="19">
        <f>IFERROR(__xludf.DUMMYFUNCTION("""COMPUTED_VALUE"""),0.3036)</f>
        <v>0.3036</v>
      </c>
      <c r="M434" s="18">
        <f>IFERROR(__xludf.DUMMYFUNCTION("""COMPUTED_VALUE"""),1.63)</f>
        <v>1.63</v>
      </c>
    </row>
    <row r="435">
      <c r="A435" s="20" t="str">
        <f>IFERROR(__xludf.DUMMYFUNCTION("""COMPUTED_VALUE"""),"товари")</f>
        <v>товари</v>
      </c>
      <c r="B435" s="21" t="str">
        <f>IFERROR(__xludf.DUMMYFUNCTION("""COMPUTED_VALUE"""),"аксесуари та прикраси")</f>
        <v>аксесуари та прикраси</v>
      </c>
      <c r="C435" s="21" t="str">
        <f>IFERROR(__xludf.DUMMYFUNCTION("""COMPUTED_VALUE"""),"aксесуари")</f>
        <v>aксесуари</v>
      </c>
      <c r="D435" s="21" t="str">
        <f>IFERROR(__xludf.DUMMYFUNCTION("""COMPUTED_VALUE"""),"головні убори")</f>
        <v>головні убори</v>
      </c>
      <c r="E435" s="21" t="str">
        <f>IFERROR(__xludf.DUMMYFUNCTION("""COMPUTED_VALUE"""),"бейсболки і кепки")</f>
        <v>бейсболки і кепки</v>
      </c>
      <c r="F435" s="22">
        <f>IFERROR(__xludf.DUMMYFUNCTION("""COMPUTED_VALUE"""),4.0)</f>
        <v>4</v>
      </c>
      <c r="G435" s="22" t="str">
        <f>IFERROR(__xludf.DUMMYFUNCTION("""COMPUTED_VALUE"""),"32708")</f>
        <v>32708</v>
      </c>
      <c r="H435" s="22" t="str">
        <f>IFERROR(__xludf.DUMMYFUNCTION("""COMPUTED_VALUE"""),"бейсболки і кепки")</f>
        <v>бейсболки і кепки</v>
      </c>
      <c r="I435" s="19">
        <f>IFERROR(__xludf.DUMMYFUNCTION("""COMPUTED_VALUE"""),0.0993)</f>
        <v>0.0993</v>
      </c>
      <c r="J435" s="19">
        <f>IFERROR(__xludf.DUMMYFUNCTION("""COMPUTED_VALUE"""),0.1985)</f>
        <v>0.1985</v>
      </c>
      <c r="K435" s="19">
        <f>IFERROR(__xludf.DUMMYFUNCTION("""COMPUTED_VALUE"""),0.2481)</f>
        <v>0.2481</v>
      </c>
      <c r="L435" s="19">
        <f>IFERROR(__xludf.DUMMYFUNCTION("""COMPUTED_VALUE"""),0.2978)</f>
        <v>0.2978</v>
      </c>
      <c r="M435" s="18">
        <f>IFERROR(__xludf.DUMMYFUNCTION("""COMPUTED_VALUE"""),1.63)</f>
        <v>1.63</v>
      </c>
    </row>
    <row r="436">
      <c r="A436" s="13" t="str">
        <f>IFERROR(__xludf.DUMMYFUNCTION("""COMPUTED_VALUE"""),"товари")</f>
        <v>товари</v>
      </c>
      <c r="B436" s="16" t="str">
        <f>IFERROR(__xludf.DUMMYFUNCTION("""COMPUTED_VALUE"""),"аксесуари та прикраси")</f>
        <v>аксесуари та прикраси</v>
      </c>
      <c r="C436" s="16" t="str">
        <f>IFERROR(__xludf.DUMMYFUNCTION("""COMPUTED_VALUE"""),"aксесуари")</f>
        <v>aксесуари</v>
      </c>
      <c r="D436" s="16" t="str">
        <f>IFERROR(__xludf.DUMMYFUNCTION("""COMPUTED_VALUE"""),"головні убори")</f>
        <v>головні убори</v>
      </c>
      <c r="E436" s="16" t="str">
        <f>IFERROR(__xludf.DUMMYFUNCTION("""COMPUTED_VALUE"""),"берети")</f>
        <v>берети</v>
      </c>
      <c r="F436" s="17">
        <f>IFERROR(__xludf.DUMMYFUNCTION("""COMPUTED_VALUE"""),4.0)</f>
        <v>4</v>
      </c>
      <c r="G436" s="17" t="str">
        <f>IFERROR(__xludf.DUMMYFUNCTION("""COMPUTED_VALUE"""),"32702")</f>
        <v>32702</v>
      </c>
      <c r="H436" s="17" t="str">
        <f>IFERROR(__xludf.DUMMYFUNCTION("""COMPUTED_VALUE"""),"берети")</f>
        <v>берети</v>
      </c>
      <c r="I436" s="19">
        <f>IFERROR(__xludf.DUMMYFUNCTION("""COMPUTED_VALUE"""),0.099)</f>
        <v>0.099</v>
      </c>
      <c r="J436" s="19">
        <f>IFERROR(__xludf.DUMMYFUNCTION("""COMPUTED_VALUE"""),0.1979)</f>
        <v>0.1979</v>
      </c>
      <c r="K436" s="19">
        <f>IFERROR(__xludf.DUMMYFUNCTION("""COMPUTED_VALUE"""),0.2474)</f>
        <v>0.2474</v>
      </c>
      <c r="L436" s="19">
        <f>IFERROR(__xludf.DUMMYFUNCTION("""COMPUTED_VALUE"""),0.2969)</f>
        <v>0.2969</v>
      </c>
      <c r="M436" s="18">
        <f>IFERROR(__xludf.DUMMYFUNCTION("""COMPUTED_VALUE"""),1.63)</f>
        <v>1.63</v>
      </c>
    </row>
    <row r="437">
      <c r="A437" s="13" t="str">
        <f>IFERROR(__xludf.DUMMYFUNCTION("""COMPUTED_VALUE"""),"товари")</f>
        <v>товари</v>
      </c>
      <c r="B437" s="16" t="str">
        <f>IFERROR(__xludf.DUMMYFUNCTION("""COMPUTED_VALUE"""),"аксесуари та прикраси")</f>
        <v>аксесуари та прикраси</v>
      </c>
      <c r="C437" s="16" t="str">
        <f>IFERROR(__xludf.DUMMYFUNCTION("""COMPUTED_VALUE"""),"біжутерія")</f>
        <v>біжутерія</v>
      </c>
      <c r="D437" s="16" t="str">
        <f>IFERROR(__xludf.DUMMYFUNCTION("""COMPUTED_VALUE"""),"біжутерія, загальне")</f>
        <v>біжутерія, загальне</v>
      </c>
      <c r="E437" s="16" t="str">
        <f>IFERROR(__xludf.DUMMYFUNCTION("""COMPUTED_VALUE"""),"біжутерія, загальне")</f>
        <v>біжутерія, загальне</v>
      </c>
      <c r="F437" s="17">
        <f>IFERROR(__xludf.DUMMYFUNCTION("""COMPUTED_VALUE"""),3.0)</f>
        <v>3</v>
      </c>
      <c r="G437" s="17" t="str">
        <f>IFERROR(__xludf.DUMMYFUNCTION("""COMPUTED_VALUE"""),"36090399")</f>
        <v>36090399</v>
      </c>
      <c r="H437" s="17" t="str">
        <f>IFERROR(__xludf.DUMMYFUNCTION("""COMPUTED_VALUE"""),"біжутерія, загальне")</f>
        <v>біжутерія, загальне</v>
      </c>
      <c r="I437" s="19">
        <f>IFERROR(__xludf.DUMMYFUNCTION("""COMPUTED_VALUE"""),0.125)</f>
        <v>0.125</v>
      </c>
      <c r="J437" s="19">
        <f>IFERROR(__xludf.DUMMYFUNCTION("""COMPUTED_VALUE"""),0.25)</f>
        <v>0.25</v>
      </c>
      <c r="K437" s="19">
        <f>IFERROR(__xludf.DUMMYFUNCTION("""COMPUTED_VALUE"""),0.3125)</f>
        <v>0.3125</v>
      </c>
      <c r="L437" s="19">
        <f>IFERROR(__xludf.DUMMYFUNCTION("""COMPUTED_VALUE"""),0.375)</f>
        <v>0.375</v>
      </c>
      <c r="M437" s="18">
        <f>IFERROR(__xludf.DUMMYFUNCTION("""COMPUTED_VALUE"""),4.33)</f>
        <v>4.33</v>
      </c>
    </row>
    <row r="438">
      <c r="A438" s="13" t="str">
        <f>IFERROR(__xludf.DUMMYFUNCTION("""COMPUTED_VALUE"""),"товари")</f>
        <v>товари</v>
      </c>
      <c r="B438" s="16" t="str">
        <f>IFERROR(__xludf.DUMMYFUNCTION("""COMPUTED_VALUE"""),"аксесуари та прикраси")</f>
        <v>аксесуари та прикраси</v>
      </c>
      <c r="C438" s="16" t="str">
        <f>IFERROR(__xludf.DUMMYFUNCTION("""COMPUTED_VALUE"""),"біжутерія")</f>
        <v>біжутерія</v>
      </c>
      <c r="D438" s="16" t="str">
        <f>IFERROR(__xludf.DUMMYFUNCTION("""COMPUTED_VALUE"""),"браслети")</f>
        <v>браслети</v>
      </c>
      <c r="E438" s="16" t="str">
        <f>IFERROR(__xludf.DUMMYFUNCTION("""COMPUTED_VALUE"""),"браслети")</f>
        <v>браслети</v>
      </c>
      <c r="F438" s="17">
        <f>IFERROR(__xludf.DUMMYFUNCTION("""COMPUTED_VALUE"""),3.0)</f>
        <v>3</v>
      </c>
      <c r="G438" s="17" t="str">
        <f>IFERROR(__xludf.DUMMYFUNCTION("""COMPUTED_VALUE"""),"36090301")</f>
        <v>36090301</v>
      </c>
      <c r="H438" s="17" t="str">
        <f>IFERROR(__xludf.DUMMYFUNCTION("""COMPUTED_VALUE"""),"браслети")</f>
        <v>браслети</v>
      </c>
      <c r="I438" s="19">
        <f>IFERROR(__xludf.DUMMYFUNCTION("""COMPUTED_VALUE"""),0.0908)</f>
        <v>0.0908</v>
      </c>
      <c r="J438" s="19">
        <f>IFERROR(__xludf.DUMMYFUNCTION("""COMPUTED_VALUE"""),0.1816)</f>
        <v>0.1816</v>
      </c>
      <c r="K438" s="19">
        <f>IFERROR(__xludf.DUMMYFUNCTION("""COMPUTED_VALUE"""),0.227)</f>
        <v>0.227</v>
      </c>
      <c r="L438" s="19">
        <f>IFERROR(__xludf.DUMMYFUNCTION("""COMPUTED_VALUE"""),0.2724)</f>
        <v>0.2724</v>
      </c>
      <c r="M438" s="18">
        <f>IFERROR(__xludf.DUMMYFUNCTION("""COMPUTED_VALUE"""),1.98)</f>
        <v>1.98</v>
      </c>
    </row>
    <row r="439">
      <c r="A439" s="13" t="str">
        <f>IFERROR(__xludf.DUMMYFUNCTION("""COMPUTED_VALUE"""),"товари")</f>
        <v>товари</v>
      </c>
      <c r="B439" s="16" t="str">
        <f>IFERROR(__xludf.DUMMYFUNCTION("""COMPUTED_VALUE"""),"аксесуари та прикраси")</f>
        <v>аксесуари та прикраси</v>
      </c>
      <c r="C439" s="16" t="str">
        <f>IFERROR(__xludf.DUMMYFUNCTION("""COMPUTED_VALUE"""),"біжутерія")</f>
        <v>біжутерія</v>
      </c>
      <c r="D439" s="16" t="str">
        <f>IFERROR(__xludf.DUMMYFUNCTION("""COMPUTED_VALUE"""),"брошки")</f>
        <v>брошки</v>
      </c>
      <c r="E439" s="16" t="str">
        <f>IFERROR(__xludf.DUMMYFUNCTION("""COMPUTED_VALUE"""),"брошки")</f>
        <v>брошки</v>
      </c>
      <c r="F439" s="17">
        <f>IFERROR(__xludf.DUMMYFUNCTION("""COMPUTED_VALUE"""),3.0)</f>
        <v>3</v>
      </c>
      <c r="G439" s="17" t="str">
        <f>IFERROR(__xludf.DUMMYFUNCTION("""COMPUTED_VALUE"""),"36090303")</f>
        <v>36090303</v>
      </c>
      <c r="H439" s="17" t="str">
        <f>IFERROR(__xludf.DUMMYFUNCTION("""COMPUTED_VALUE"""),"брошки")</f>
        <v>брошки</v>
      </c>
      <c r="I439" s="19">
        <f>IFERROR(__xludf.DUMMYFUNCTION("""COMPUTED_VALUE"""),0.0949)</f>
        <v>0.0949</v>
      </c>
      <c r="J439" s="19">
        <f>IFERROR(__xludf.DUMMYFUNCTION("""COMPUTED_VALUE"""),0.1897)</f>
        <v>0.1897</v>
      </c>
      <c r="K439" s="19">
        <f>IFERROR(__xludf.DUMMYFUNCTION("""COMPUTED_VALUE"""),0.2371)</f>
        <v>0.2371</v>
      </c>
      <c r="L439" s="19">
        <f>IFERROR(__xludf.DUMMYFUNCTION("""COMPUTED_VALUE"""),0.2846)</f>
        <v>0.2846</v>
      </c>
      <c r="M439" s="18">
        <f>IFERROR(__xludf.DUMMYFUNCTION("""COMPUTED_VALUE"""),1.53)</f>
        <v>1.53</v>
      </c>
    </row>
    <row r="440">
      <c r="A440" s="13" t="str">
        <f>IFERROR(__xludf.DUMMYFUNCTION("""COMPUTED_VALUE"""),"товари")</f>
        <v>товари</v>
      </c>
      <c r="B440" s="16" t="str">
        <f>IFERROR(__xludf.DUMMYFUNCTION("""COMPUTED_VALUE"""),"аксесуари та прикраси")</f>
        <v>аксесуари та прикраси</v>
      </c>
      <c r="C440" s="16" t="str">
        <f>IFERROR(__xludf.DUMMYFUNCTION("""COMPUTED_VALUE"""),"прикраси з натурального каменю")</f>
        <v>прикраси з натурального каменю</v>
      </c>
      <c r="D440" s="16" t="str">
        <f>IFERROR(__xludf.DUMMYFUNCTION("""COMPUTED_VALUE"""),"брошки із натуральним камінням")</f>
        <v>брошки із натуральним камінням</v>
      </c>
      <c r="E440" s="16" t="str">
        <f>IFERROR(__xludf.DUMMYFUNCTION("""COMPUTED_VALUE"""),"брошки із натуральним камінням")</f>
        <v>брошки із натуральним камінням</v>
      </c>
      <c r="F440" s="17">
        <f>IFERROR(__xludf.DUMMYFUNCTION("""COMPUTED_VALUE"""),3.0)</f>
        <v>3</v>
      </c>
      <c r="G440" s="17" t="str">
        <f>IFERROR(__xludf.DUMMYFUNCTION("""COMPUTED_VALUE"""),"1360511")</f>
        <v>1360511</v>
      </c>
      <c r="H440" s="17" t="str">
        <f>IFERROR(__xludf.DUMMYFUNCTION("""COMPUTED_VALUE"""),"брошки із натуральним камінням")</f>
        <v>брошки із натуральним камінням</v>
      </c>
      <c r="I440" s="19">
        <f>IFERROR(__xludf.DUMMYFUNCTION("""COMPUTED_VALUE"""),0.0922)</f>
        <v>0.0922</v>
      </c>
      <c r="J440" s="19">
        <f>IFERROR(__xludf.DUMMYFUNCTION("""COMPUTED_VALUE"""),0.1844)</f>
        <v>0.1844</v>
      </c>
      <c r="K440" s="19">
        <f>IFERROR(__xludf.DUMMYFUNCTION("""COMPUTED_VALUE"""),0.2305)</f>
        <v>0.2305</v>
      </c>
      <c r="L440" s="19">
        <f>IFERROR(__xludf.DUMMYFUNCTION("""COMPUTED_VALUE"""),0.2766)</f>
        <v>0.2766</v>
      </c>
      <c r="M440" s="18">
        <f>IFERROR(__xludf.DUMMYFUNCTION("""COMPUTED_VALUE"""),1.71)</f>
        <v>1.71</v>
      </c>
    </row>
    <row r="441">
      <c r="A441" s="13" t="str">
        <f>IFERROR(__xludf.DUMMYFUNCTION("""COMPUTED_VALUE"""),"товари")</f>
        <v>товари</v>
      </c>
      <c r="B441" s="16" t="str">
        <f>IFERROR(__xludf.DUMMYFUNCTION("""COMPUTED_VALUE"""),"аксесуари та прикраси")</f>
        <v>аксесуари та прикраси</v>
      </c>
      <c r="C441" s="16" t="str">
        <f>IFERROR(__xludf.DUMMYFUNCTION("""COMPUTED_VALUE"""),"aксесуари")</f>
        <v>aксесуари</v>
      </c>
      <c r="D441" s="16" t="str">
        <f>IFERROR(__xludf.DUMMYFUNCTION("""COMPUTED_VALUE"""),"візитівки та картхолдери")</f>
        <v>візитівки та картхолдери</v>
      </c>
      <c r="E441" s="16" t="str">
        <f>IFERROR(__xludf.DUMMYFUNCTION("""COMPUTED_VALUE"""),"візитівки та картхолдери")</f>
        <v>візитівки та картхолдери</v>
      </c>
      <c r="F441" s="17">
        <f>IFERROR(__xludf.DUMMYFUNCTION("""COMPUTED_VALUE"""),3.0)</f>
        <v>3</v>
      </c>
      <c r="G441" s="17" t="str">
        <f>IFERROR(__xludf.DUMMYFUNCTION("""COMPUTED_VALUE"""),"211115")</f>
        <v>211115</v>
      </c>
      <c r="H441" s="17" t="str">
        <f>IFERROR(__xludf.DUMMYFUNCTION("""COMPUTED_VALUE"""),"візитівки та картхолдери")</f>
        <v>візитівки та картхолдери</v>
      </c>
      <c r="I441" s="19">
        <f>IFERROR(__xludf.DUMMYFUNCTION("""COMPUTED_VALUE"""),0.0864)</f>
        <v>0.0864</v>
      </c>
      <c r="J441" s="19">
        <f>IFERROR(__xludf.DUMMYFUNCTION("""COMPUTED_VALUE"""),0.1727)</f>
        <v>0.1727</v>
      </c>
      <c r="K441" s="19">
        <f>IFERROR(__xludf.DUMMYFUNCTION("""COMPUTED_VALUE"""),0.2159)</f>
        <v>0.2159</v>
      </c>
      <c r="L441" s="19">
        <f>IFERROR(__xludf.DUMMYFUNCTION("""COMPUTED_VALUE"""),0.2591)</f>
        <v>0.2591</v>
      </c>
      <c r="M441" s="18">
        <f>IFERROR(__xludf.DUMMYFUNCTION("""COMPUTED_VALUE"""),2.16)</f>
        <v>2.16</v>
      </c>
    </row>
    <row r="442">
      <c r="A442" s="13" t="str">
        <f>IFERROR(__xludf.DUMMYFUNCTION("""COMPUTED_VALUE"""),"товари")</f>
        <v>товари</v>
      </c>
      <c r="B442" s="16" t="str">
        <f>IFERROR(__xludf.DUMMYFUNCTION("""COMPUTED_VALUE"""),"аксесуари та прикраси")</f>
        <v>аксесуари та прикраси</v>
      </c>
      <c r="C442" s="16" t="str">
        <f>IFERROR(__xludf.DUMMYFUNCTION("""COMPUTED_VALUE"""),"aксесуари")</f>
        <v>aксесуари</v>
      </c>
      <c r="D442" s="16" t="str">
        <f>IFERROR(__xludf.DUMMYFUNCTION("""COMPUTED_VALUE"""),"віяла")</f>
        <v>віяла</v>
      </c>
      <c r="E442" s="16" t="str">
        <f>IFERROR(__xludf.DUMMYFUNCTION("""COMPUTED_VALUE"""),"віяла")</f>
        <v>віяла</v>
      </c>
      <c r="F442" s="17">
        <f>IFERROR(__xludf.DUMMYFUNCTION("""COMPUTED_VALUE"""),3.0)</f>
        <v>3</v>
      </c>
      <c r="G442" s="17" t="str">
        <f>IFERROR(__xludf.DUMMYFUNCTION("""COMPUTED_VALUE"""),"33904")</f>
        <v>33904</v>
      </c>
      <c r="H442" s="17" t="str">
        <f>IFERROR(__xludf.DUMMYFUNCTION("""COMPUTED_VALUE"""),"віяла")</f>
        <v>віяла</v>
      </c>
      <c r="I442" s="19">
        <f>IFERROR(__xludf.DUMMYFUNCTION("""COMPUTED_VALUE"""),0.1054)</f>
        <v>0.1054</v>
      </c>
      <c r="J442" s="19">
        <f>IFERROR(__xludf.DUMMYFUNCTION("""COMPUTED_VALUE"""),0.2108)</f>
        <v>0.2108</v>
      </c>
      <c r="K442" s="19">
        <f>IFERROR(__xludf.DUMMYFUNCTION("""COMPUTED_VALUE"""),0.2635)</f>
        <v>0.2635</v>
      </c>
      <c r="L442" s="19">
        <f>IFERROR(__xludf.DUMMYFUNCTION("""COMPUTED_VALUE"""),0.3162)</f>
        <v>0.3162</v>
      </c>
      <c r="M442" s="18">
        <f>IFERROR(__xludf.DUMMYFUNCTION("""COMPUTED_VALUE"""),1.05)</f>
        <v>1.05</v>
      </c>
    </row>
    <row r="443">
      <c r="A443" s="13" t="str">
        <f>IFERROR(__xludf.DUMMYFUNCTION("""COMPUTED_VALUE"""),"товари")</f>
        <v>товари</v>
      </c>
      <c r="B443" s="16" t="str">
        <f>IFERROR(__xludf.DUMMYFUNCTION("""COMPUTED_VALUE"""),"аксесуари та прикраси")</f>
        <v>аксесуари та прикраси</v>
      </c>
      <c r="C443" s="16" t="str">
        <f>IFERROR(__xludf.DUMMYFUNCTION("""COMPUTED_VALUE"""),"aксесуари")</f>
        <v>aксесуари</v>
      </c>
      <c r="D443" s="16" t="str">
        <f>IFERROR(__xludf.DUMMYFUNCTION("""COMPUTED_VALUE"""),"галантерея та аксесуари, загальне")</f>
        <v>галантерея та аксесуари, загальне</v>
      </c>
      <c r="E443" s="16" t="str">
        <f>IFERROR(__xludf.DUMMYFUNCTION("""COMPUTED_VALUE"""),"галантерея та аксесуари, загальне")</f>
        <v>галантерея та аксесуари, загальне</v>
      </c>
      <c r="F443" s="17">
        <f>IFERROR(__xludf.DUMMYFUNCTION("""COMPUTED_VALUE"""),3.0)</f>
        <v>3</v>
      </c>
      <c r="G443" s="17" t="str">
        <f>IFERROR(__xludf.DUMMYFUNCTION("""COMPUTED_VALUE"""),"33911")</f>
        <v>33911</v>
      </c>
      <c r="H443" s="17" t="str">
        <f>IFERROR(__xludf.DUMMYFUNCTION("""COMPUTED_VALUE"""),"галантерея та аксесуари, загальне")</f>
        <v>галантерея та аксесуари, загальне</v>
      </c>
      <c r="I443" s="19">
        <f>IFERROR(__xludf.DUMMYFUNCTION("""COMPUTED_VALUE"""),0.125)</f>
        <v>0.125</v>
      </c>
      <c r="J443" s="19">
        <f>IFERROR(__xludf.DUMMYFUNCTION("""COMPUTED_VALUE"""),0.25)</f>
        <v>0.25</v>
      </c>
      <c r="K443" s="19">
        <f>IFERROR(__xludf.DUMMYFUNCTION("""COMPUTED_VALUE"""),0.3125)</f>
        <v>0.3125</v>
      </c>
      <c r="L443" s="19">
        <f>IFERROR(__xludf.DUMMYFUNCTION("""COMPUTED_VALUE"""),0.375)</f>
        <v>0.375</v>
      </c>
      <c r="M443" s="18">
        <f>IFERROR(__xludf.DUMMYFUNCTION("""COMPUTED_VALUE"""),4.33)</f>
        <v>4.33</v>
      </c>
    </row>
    <row r="444">
      <c r="A444" s="13" t="str">
        <f>IFERROR(__xludf.DUMMYFUNCTION("""COMPUTED_VALUE"""),"товари")</f>
        <v>товари</v>
      </c>
      <c r="B444" s="16" t="str">
        <f>IFERROR(__xludf.DUMMYFUNCTION("""COMPUTED_VALUE"""),"аксесуари та прикраси")</f>
        <v>аксесуари та прикраси</v>
      </c>
      <c r="C444" s="16" t="str">
        <f>IFERROR(__xludf.DUMMYFUNCTION("""COMPUTED_VALUE"""),"aксесуари")</f>
        <v>aксесуари</v>
      </c>
      <c r="D444" s="16" t="str">
        <f>IFERROR(__xludf.DUMMYFUNCTION("""COMPUTED_VALUE"""),"гаманці та портмоне")</f>
        <v>гаманці та портмоне</v>
      </c>
      <c r="E444" s="16" t="str">
        <f>IFERROR(__xludf.DUMMYFUNCTION("""COMPUTED_VALUE"""),"гаманці та портмоне")</f>
        <v>гаманці та портмоне</v>
      </c>
      <c r="F444" s="17">
        <f>IFERROR(__xludf.DUMMYFUNCTION("""COMPUTED_VALUE"""),3.0)</f>
        <v>3</v>
      </c>
      <c r="G444" s="17" t="str">
        <f>IFERROR(__xludf.DUMMYFUNCTION("""COMPUTED_VALUE"""),"152405")</f>
        <v>152405</v>
      </c>
      <c r="H444" s="17" t="str">
        <f>IFERROR(__xludf.DUMMYFUNCTION("""COMPUTED_VALUE"""),"гаманці та портмоне")</f>
        <v>гаманці та портмоне</v>
      </c>
      <c r="I444" s="19">
        <f>IFERROR(__xludf.DUMMYFUNCTION("""COMPUTED_VALUE"""),0.0994)</f>
        <v>0.0994</v>
      </c>
      <c r="J444" s="19">
        <f>IFERROR(__xludf.DUMMYFUNCTION("""COMPUTED_VALUE"""),0.1988)</f>
        <v>0.1988</v>
      </c>
      <c r="K444" s="19">
        <f>IFERROR(__xludf.DUMMYFUNCTION("""COMPUTED_VALUE"""),0.2485)</f>
        <v>0.2485</v>
      </c>
      <c r="L444" s="19">
        <f>IFERROR(__xludf.DUMMYFUNCTION("""COMPUTED_VALUE"""),0.2982)</f>
        <v>0.2982</v>
      </c>
      <c r="M444" s="18">
        <f>IFERROR(__xludf.DUMMYFUNCTION("""COMPUTED_VALUE"""),2.25)</f>
        <v>2.25</v>
      </c>
    </row>
    <row r="445">
      <c r="A445" s="13" t="str">
        <f>IFERROR(__xludf.DUMMYFUNCTION("""COMPUTED_VALUE"""),"товари")</f>
        <v>товари</v>
      </c>
      <c r="B445" s="16" t="str">
        <f>IFERROR(__xludf.DUMMYFUNCTION("""COMPUTED_VALUE"""),"аксесуари та прикраси")</f>
        <v>аксесуари та прикраси</v>
      </c>
      <c r="C445" s="16" t="str">
        <f>IFERROR(__xludf.DUMMYFUNCTION("""COMPUTED_VALUE"""),"aксесуари")</f>
        <v>aксесуари</v>
      </c>
      <c r="D445" s="16" t="str">
        <f>IFERROR(__xludf.DUMMYFUNCTION("""COMPUTED_VALUE"""),"головні убори")</f>
        <v>головні убори</v>
      </c>
      <c r="E445" s="16" t="str">
        <f>IFERROR(__xludf.DUMMYFUNCTION("""COMPUTED_VALUE"""),"головні убори, загальне")</f>
        <v>головні убори, загальне</v>
      </c>
      <c r="F445" s="17">
        <f>IFERROR(__xludf.DUMMYFUNCTION("""COMPUTED_VALUE"""),4.0)</f>
        <v>4</v>
      </c>
      <c r="G445" s="17" t="str">
        <f>IFERROR(__xludf.DUMMYFUNCTION("""COMPUTED_VALUE"""),"32716")</f>
        <v>32716</v>
      </c>
      <c r="H445" s="17" t="str">
        <f>IFERROR(__xludf.DUMMYFUNCTION("""COMPUTED_VALUE"""),"головні убори, загальне")</f>
        <v>головні убори, загальне</v>
      </c>
      <c r="I445" s="19">
        <f>IFERROR(__xludf.DUMMYFUNCTION("""COMPUTED_VALUE"""),0.125)</f>
        <v>0.125</v>
      </c>
      <c r="J445" s="19">
        <f>IFERROR(__xludf.DUMMYFUNCTION("""COMPUTED_VALUE"""),0.25)</f>
        <v>0.25</v>
      </c>
      <c r="K445" s="19">
        <f>IFERROR(__xludf.DUMMYFUNCTION("""COMPUTED_VALUE"""),0.3125)</f>
        <v>0.3125</v>
      </c>
      <c r="L445" s="19">
        <f>IFERROR(__xludf.DUMMYFUNCTION("""COMPUTED_VALUE"""),0.375)</f>
        <v>0.375</v>
      </c>
      <c r="M445" s="18">
        <f>IFERROR(__xludf.DUMMYFUNCTION("""COMPUTED_VALUE"""),4.33)</f>
        <v>4.33</v>
      </c>
    </row>
    <row r="446">
      <c r="A446" s="13" t="str">
        <f>IFERROR(__xludf.DUMMYFUNCTION("""COMPUTED_VALUE"""),"товари")</f>
        <v>товари</v>
      </c>
      <c r="B446" s="16" t="str">
        <f>IFERROR(__xludf.DUMMYFUNCTION("""COMPUTED_VALUE"""),"аксесуари та прикраси")</f>
        <v>аксесуари та прикраси</v>
      </c>
      <c r="C446" s="16" t="str">
        <f>IFERROR(__xludf.DUMMYFUNCTION("""COMPUTED_VALUE"""),"сумки, валізи, портфелі")</f>
        <v>сумки, валізи, портфелі</v>
      </c>
      <c r="D446" s="16" t="str">
        <f>IFERROR(__xludf.DUMMYFUNCTION("""COMPUTED_VALUE"""),"господарські сумки")</f>
        <v>господарські сумки</v>
      </c>
      <c r="E446" s="16" t="str">
        <f>IFERROR(__xludf.DUMMYFUNCTION("""COMPUTED_VALUE"""),"господарські сумки")</f>
        <v>господарські сумки</v>
      </c>
      <c r="F446" s="17">
        <f>IFERROR(__xludf.DUMMYFUNCTION("""COMPUTED_VALUE"""),3.0)</f>
        <v>3</v>
      </c>
      <c r="G446" s="17" t="str">
        <f>IFERROR(__xludf.DUMMYFUNCTION("""COMPUTED_VALUE"""),"380530")</f>
        <v>380530</v>
      </c>
      <c r="H446" s="17" t="str">
        <f>IFERROR(__xludf.DUMMYFUNCTION("""COMPUTED_VALUE"""),"господарські сумки")</f>
        <v>господарські сумки</v>
      </c>
      <c r="I446" s="19">
        <f>IFERROR(__xludf.DUMMYFUNCTION("""COMPUTED_VALUE"""),0.0769)</f>
        <v>0.0769</v>
      </c>
      <c r="J446" s="19">
        <f>IFERROR(__xludf.DUMMYFUNCTION("""COMPUTED_VALUE"""),0.1538)</f>
        <v>0.1538</v>
      </c>
      <c r="K446" s="19">
        <f>IFERROR(__xludf.DUMMYFUNCTION("""COMPUTED_VALUE"""),0.1923)</f>
        <v>0.1923</v>
      </c>
      <c r="L446" s="19">
        <f>IFERROR(__xludf.DUMMYFUNCTION("""COMPUTED_VALUE"""),0.2307)</f>
        <v>0.2307</v>
      </c>
      <c r="M446" s="18">
        <f>IFERROR(__xludf.DUMMYFUNCTION("""COMPUTED_VALUE"""),2.61)</f>
        <v>2.61</v>
      </c>
    </row>
    <row r="447">
      <c r="A447" s="13" t="str">
        <f>IFERROR(__xludf.DUMMYFUNCTION("""COMPUTED_VALUE"""),"товари")</f>
        <v>товари</v>
      </c>
      <c r="B447" s="16" t="str">
        <f>IFERROR(__xludf.DUMMYFUNCTION("""COMPUTED_VALUE"""),"аксесуари та прикраси")</f>
        <v>аксесуари та прикраси</v>
      </c>
      <c r="C447" s="16" t="str">
        <f>IFERROR(__xludf.DUMMYFUNCTION("""COMPUTED_VALUE"""),"дитячі аксесуари")</f>
        <v>дитячі аксесуари</v>
      </c>
      <c r="D447" s="16" t="str">
        <f>IFERROR(__xludf.DUMMYFUNCTION("""COMPUTED_VALUE"""),"дитячі аксесуари, загальне")</f>
        <v>дитячі аксесуари, загальне</v>
      </c>
      <c r="E447" s="16" t="str">
        <f>IFERROR(__xludf.DUMMYFUNCTION("""COMPUTED_VALUE"""),"дитячі аксесуари, загальне")</f>
        <v>дитячі аксесуари, загальне</v>
      </c>
      <c r="F447" s="17">
        <f>IFERROR(__xludf.DUMMYFUNCTION("""COMPUTED_VALUE"""),3.0)</f>
        <v>3</v>
      </c>
      <c r="G447" s="17" t="str">
        <f>IFERROR(__xludf.DUMMYFUNCTION("""COMPUTED_VALUE"""),"36308")</f>
        <v>36308</v>
      </c>
      <c r="H447" s="17" t="str">
        <f>IFERROR(__xludf.DUMMYFUNCTION("""COMPUTED_VALUE"""),"дитячі аксесуари, загальне")</f>
        <v>дитячі аксесуари, загальне</v>
      </c>
      <c r="I447" s="19">
        <f>IFERROR(__xludf.DUMMYFUNCTION("""COMPUTED_VALUE"""),0.125)</f>
        <v>0.125</v>
      </c>
      <c r="J447" s="19">
        <f>IFERROR(__xludf.DUMMYFUNCTION("""COMPUTED_VALUE"""),0.25)</f>
        <v>0.25</v>
      </c>
      <c r="K447" s="19">
        <f>IFERROR(__xludf.DUMMYFUNCTION("""COMPUTED_VALUE"""),0.3125)</f>
        <v>0.3125</v>
      </c>
      <c r="L447" s="19">
        <f>IFERROR(__xludf.DUMMYFUNCTION("""COMPUTED_VALUE"""),0.375)</f>
        <v>0.375</v>
      </c>
      <c r="M447" s="18">
        <f>IFERROR(__xludf.DUMMYFUNCTION("""COMPUTED_VALUE"""),4.33)</f>
        <v>4.33</v>
      </c>
    </row>
    <row r="448">
      <c r="A448" s="13" t="str">
        <f>IFERROR(__xludf.DUMMYFUNCTION("""COMPUTED_VALUE"""),"товари")</f>
        <v>товари</v>
      </c>
      <c r="B448" s="16" t="str">
        <f>IFERROR(__xludf.DUMMYFUNCTION("""COMPUTED_VALUE"""),"аксесуари та прикраси")</f>
        <v>аксесуари та прикраси</v>
      </c>
      <c r="C448" s="16" t="str">
        <f>IFERROR(__xludf.DUMMYFUNCTION("""COMPUTED_VALUE"""),"дитячі аксесуари")</f>
        <v>дитячі аксесуари</v>
      </c>
      <c r="D448" s="16" t="str">
        <f>IFERROR(__xludf.DUMMYFUNCTION("""COMPUTED_VALUE"""),"дитячі гаманці")</f>
        <v>дитячі гаманці</v>
      </c>
      <c r="E448" s="16" t="str">
        <f>IFERROR(__xludf.DUMMYFUNCTION("""COMPUTED_VALUE"""),"дитячі гаманці")</f>
        <v>дитячі гаманці</v>
      </c>
      <c r="F448" s="17">
        <f>IFERROR(__xludf.DUMMYFUNCTION("""COMPUTED_VALUE"""),3.0)</f>
        <v>3</v>
      </c>
      <c r="G448" s="17" t="str">
        <f>IFERROR(__xludf.DUMMYFUNCTION("""COMPUTED_VALUE"""),"15240504")</f>
        <v>15240504</v>
      </c>
      <c r="H448" s="17" t="str">
        <f>IFERROR(__xludf.DUMMYFUNCTION("""COMPUTED_VALUE"""),"дитячі гаманці")</f>
        <v>дитячі гаманці</v>
      </c>
      <c r="I448" s="19">
        <f>IFERROR(__xludf.DUMMYFUNCTION("""COMPUTED_VALUE"""),0.0816)</f>
        <v>0.0816</v>
      </c>
      <c r="J448" s="19">
        <f>IFERROR(__xludf.DUMMYFUNCTION("""COMPUTED_VALUE"""),0.1632)</f>
        <v>0.1632</v>
      </c>
      <c r="K448" s="19">
        <f>IFERROR(__xludf.DUMMYFUNCTION("""COMPUTED_VALUE"""),0.204)</f>
        <v>0.204</v>
      </c>
      <c r="L448" s="19">
        <f>IFERROR(__xludf.DUMMYFUNCTION("""COMPUTED_VALUE"""),0.2448)</f>
        <v>0.2448</v>
      </c>
      <c r="M448" s="18">
        <f>IFERROR(__xludf.DUMMYFUNCTION("""COMPUTED_VALUE"""),1.05)</f>
        <v>1.05</v>
      </c>
    </row>
    <row r="449">
      <c r="A449" s="13" t="str">
        <f>IFERROR(__xludf.DUMMYFUNCTION("""COMPUTED_VALUE"""),"товари")</f>
        <v>товари</v>
      </c>
      <c r="B449" s="16" t="str">
        <f>IFERROR(__xludf.DUMMYFUNCTION("""COMPUTED_VALUE"""),"аксесуари та прикраси")</f>
        <v>аксесуари та прикраси</v>
      </c>
      <c r="C449" s="16" t="str">
        <f>IFERROR(__xludf.DUMMYFUNCTION("""COMPUTED_VALUE"""),"дитячі аксесуари")</f>
        <v>дитячі аксесуари</v>
      </c>
      <c r="D449" s="16" t="str">
        <f>IFERROR(__xludf.DUMMYFUNCTION("""COMPUTED_VALUE"""),"дитячі головні убори ")</f>
        <v>дитячі головні убори </v>
      </c>
      <c r="E449" s="16" t="str">
        <f>IFERROR(__xludf.DUMMYFUNCTION("""COMPUTED_VALUE"""),"дитячі головні убори ")</f>
        <v>дитячі головні убори </v>
      </c>
      <c r="F449" s="17">
        <f>IFERROR(__xludf.DUMMYFUNCTION("""COMPUTED_VALUE"""),3.0)</f>
        <v>3</v>
      </c>
      <c r="G449" s="17" t="str">
        <f>IFERROR(__xludf.DUMMYFUNCTION("""COMPUTED_VALUE"""),"32705")</f>
        <v>32705</v>
      </c>
      <c r="H449" s="17" t="str">
        <f>IFERROR(__xludf.DUMMYFUNCTION("""COMPUTED_VALUE"""),"дитячі головні убори ")</f>
        <v>дитячі головні убори </v>
      </c>
      <c r="I449" s="19">
        <f>IFERROR(__xludf.DUMMYFUNCTION("""COMPUTED_VALUE"""),0.0968)</f>
        <v>0.0968</v>
      </c>
      <c r="J449" s="19">
        <f>IFERROR(__xludf.DUMMYFUNCTION("""COMPUTED_VALUE"""),0.1936)</f>
        <v>0.1936</v>
      </c>
      <c r="K449" s="19">
        <f>IFERROR(__xludf.DUMMYFUNCTION("""COMPUTED_VALUE"""),0.242)</f>
        <v>0.242</v>
      </c>
      <c r="L449" s="19">
        <f>IFERROR(__xludf.DUMMYFUNCTION("""COMPUTED_VALUE"""),0.2904)</f>
        <v>0.2904</v>
      </c>
      <c r="M449" s="18">
        <f>IFERROR(__xludf.DUMMYFUNCTION("""COMPUTED_VALUE"""),2.53)</f>
        <v>2.53</v>
      </c>
    </row>
    <row r="450">
      <c r="A450" s="13" t="str">
        <f>IFERROR(__xludf.DUMMYFUNCTION("""COMPUTED_VALUE"""),"товари")</f>
        <v>товари</v>
      </c>
      <c r="B450" s="16" t="str">
        <f>IFERROR(__xludf.DUMMYFUNCTION("""COMPUTED_VALUE"""),"аксесуари та прикраси")</f>
        <v>аксесуари та прикраси</v>
      </c>
      <c r="C450" s="16" t="str">
        <f>IFERROR(__xludf.DUMMYFUNCTION("""COMPUTED_VALUE"""),"дитячі аксесуари")</f>
        <v>дитячі аксесуари</v>
      </c>
      <c r="D450" s="16" t="str">
        <f>IFERROR(__xludf.DUMMYFUNCTION("""COMPUTED_VALUE"""),"дитячі дощовики ")</f>
        <v>дитячі дощовики </v>
      </c>
      <c r="E450" s="16" t="str">
        <f>IFERROR(__xludf.DUMMYFUNCTION("""COMPUTED_VALUE"""),"дитячі дощовики ")</f>
        <v>дитячі дощовики </v>
      </c>
      <c r="F450" s="17">
        <f>IFERROR(__xludf.DUMMYFUNCTION("""COMPUTED_VALUE"""),3.0)</f>
        <v>3</v>
      </c>
      <c r="G450" s="17" t="str">
        <f>IFERROR(__xludf.DUMMYFUNCTION("""COMPUTED_VALUE"""),"31126")</f>
        <v>31126</v>
      </c>
      <c r="H450" s="17" t="str">
        <f>IFERROR(__xludf.DUMMYFUNCTION("""COMPUTED_VALUE"""),"дитячі дощовики ")</f>
        <v>дитячі дощовики </v>
      </c>
      <c r="I450" s="19">
        <f>IFERROR(__xludf.DUMMYFUNCTION("""COMPUTED_VALUE"""),0.1033)</f>
        <v>0.1033</v>
      </c>
      <c r="J450" s="19">
        <f>IFERROR(__xludf.DUMMYFUNCTION("""COMPUTED_VALUE"""),0.2066)</f>
        <v>0.2066</v>
      </c>
      <c r="K450" s="19">
        <f>IFERROR(__xludf.DUMMYFUNCTION("""COMPUTED_VALUE"""),0.2583)</f>
        <v>0.2583</v>
      </c>
      <c r="L450" s="19">
        <f>IFERROR(__xludf.DUMMYFUNCTION("""COMPUTED_VALUE"""),0.3099)</f>
        <v>0.3099</v>
      </c>
      <c r="M450" s="18">
        <f>IFERROR(__xludf.DUMMYFUNCTION("""COMPUTED_VALUE"""),1.53)</f>
        <v>1.53</v>
      </c>
    </row>
    <row r="451">
      <c r="A451" s="13" t="str">
        <f>IFERROR(__xludf.DUMMYFUNCTION("""COMPUTED_VALUE"""),"товари")</f>
        <v>товари</v>
      </c>
      <c r="B451" s="16" t="str">
        <f>IFERROR(__xludf.DUMMYFUNCTION("""COMPUTED_VALUE"""),"аксесуари та прикраси")</f>
        <v>аксесуари та прикраси</v>
      </c>
      <c r="C451" s="16" t="str">
        <f>IFERROR(__xludf.DUMMYFUNCTION("""COMPUTED_VALUE"""),"дитячі аксесуари")</f>
        <v>дитячі аксесуари</v>
      </c>
      <c r="D451" s="16" t="str">
        <f>IFERROR(__xludf.DUMMYFUNCTION("""COMPUTED_VALUE"""),"дитячі комплекти шарф-шапка-рукавички")</f>
        <v>дитячі комплекти шарф-шапка-рукавички</v>
      </c>
      <c r="E451" s="16" t="str">
        <f>IFERROR(__xludf.DUMMYFUNCTION("""COMPUTED_VALUE"""),"дитячі комплекти шарф-шапка-рукавички")</f>
        <v>дитячі комплекти шарф-шапка-рукавички</v>
      </c>
      <c r="F451" s="17">
        <f>IFERROR(__xludf.DUMMYFUNCTION("""COMPUTED_VALUE"""),3.0)</f>
        <v>3</v>
      </c>
      <c r="G451" s="17" t="str">
        <f>IFERROR(__xludf.DUMMYFUNCTION("""COMPUTED_VALUE"""),"36304")</f>
        <v>36304</v>
      </c>
      <c r="H451" s="17" t="str">
        <f>IFERROR(__xludf.DUMMYFUNCTION("""COMPUTED_VALUE"""),"дитячі комплекти шарф-шапка-рукавички")</f>
        <v>дитячі комплекти шарф-шапка-рукавички</v>
      </c>
      <c r="I451" s="19">
        <f>IFERROR(__xludf.DUMMYFUNCTION("""COMPUTED_VALUE"""),0.0978)</f>
        <v>0.0978</v>
      </c>
      <c r="J451" s="19">
        <f>IFERROR(__xludf.DUMMYFUNCTION("""COMPUTED_VALUE"""),0.1955)</f>
        <v>0.1955</v>
      </c>
      <c r="K451" s="19">
        <f>IFERROR(__xludf.DUMMYFUNCTION("""COMPUTED_VALUE"""),0.2444)</f>
        <v>0.2444</v>
      </c>
      <c r="L451" s="19">
        <f>IFERROR(__xludf.DUMMYFUNCTION("""COMPUTED_VALUE"""),0.2933)</f>
        <v>0.2933</v>
      </c>
      <c r="M451" s="18">
        <f>IFERROR(__xludf.DUMMYFUNCTION("""COMPUTED_VALUE"""),1.05)</f>
        <v>1.05</v>
      </c>
    </row>
    <row r="452">
      <c r="A452" s="13" t="str">
        <f>IFERROR(__xludf.DUMMYFUNCTION("""COMPUTED_VALUE"""),"товари")</f>
        <v>товари</v>
      </c>
      <c r="B452" s="16" t="str">
        <f>IFERROR(__xludf.DUMMYFUNCTION("""COMPUTED_VALUE"""),"аксесуари та прикраси")</f>
        <v>аксесуари та прикраси</v>
      </c>
      <c r="C452" s="16" t="str">
        <f>IFERROR(__xludf.DUMMYFUNCTION("""COMPUTED_VALUE"""),"дитячі аксесуари")</f>
        <v>дитячі аксесуари</v>
      </c>
      <c r="D452" s="16" t="str">
        <f>IFERROR(__xludf.DUMMYFUNCTION("""COMPUTED_VALUE"""),"дитячі краватки і шийні аксесуари")</f>
        <v>дитячі краватки і шийні аксесуари</v>
      </c>
      <c r="E452" s="16" t="str">
        <f>IFERROR(__xludf.DUMMYFUNCTION("""COMPUTED_VALUE"""),"дитячі краватки і шийні аксесуари")</f>
        <v>дитячі краватки і шийні аксесуари</v>
      </c>
      <c r="F452" s="17">
        <f>IFERROR(__xludf.DUMMYFUNCTION("""COMPUTED_VALUE"""),3.0)</f>
        <v>3</v>
      </c>
      <c r="G452" s="17" t="str">
        <f>IFERROR(__xludf.DUMMYFUNCTION("""COMPUTED_VALUE"""),"36307")</f>
        <v>36307</v>
      </c>
      <c r="H452" s="17" t="str">
        <f>IFERROR(__xludf.DUMMYFUNCTION("""COMPUTED_VALUE"""),"дитячі краватки і шийні аксесуари")</f>
        <v>дитячі краватки і шийні аксесуари</v>
      </c>
      <c r="I452" s="19">
        <f>IFERROR(__xludf.DUMMYFUNCTION("""COMPUTED_VALUE"""),0.0547)</f>
        <v>0.0547</v>
      </c>
      <c r="J452" s="19">
        <f>IFERROR(__xludf.DUMMYFUNCTION("""COMPUTED_VALUE"""),0.1093)</f>
        <v>0.1093</v>
      </c>
      <c r="K452" s="19">
        <f>IFERROR(__xludf.DUMMYFUNCTION("""COMPUTED_VALUE"""),0.1366)</f>
        <v>0.1366</v>
      </c>
      <c r="L452" s="19">
        <f>IFERROR(__xludf.DUMMYFUNCTION("""COMPUTED_VALUE"""),0.164)</f>
        <v>0.164</v>
      </c>
      <c r="M452" s="18">
        <f>IFERROR(__xludf.DUMMYFUNCTION("""COMPUTED_VALUE"""),1.05)</f>
        <v>1.05</v>
      </c>
    </row>
    <row r="453">
      <c r="A453" s="13" t="str">
        <f>IFERROR(__xludf.DUMMYFUNCTION("""COMPUTED_VALUE"""),"товари")</f>
        <v>товари</v>
      </c>
      <c r="B453" s="16" t="str">
        <f>IFERROR(__xludf.DUMMYFUNCTION("""COMPUTED_VALUE"""),"аксесуари та прикраси")</f>
        <v>аксесуари та прикраси</v>
      </c>
      <c r="C453" s="16" t="str">
        <f>IFERROR(__xludf.DUMMYFUNCTION("""COMPUTED_VALUE"""),"дитячі аксесуари")</f>
        <v>дитячі аксесуари</v>
      </c>
      <c r="D453" s="16" t="str">
        <f>IFERROR(__xludf.DUMMYFUNCTION("""COMPUTED_VALUE"""),"дитячі парасолі")</f>
        <v>дитячі парасолі</v>
      </c>
      <c r="E453" s="16" t="str">
        <f>IFERROR(__xludf.DUMMYFUNCTION("""COMPUTED_VALUE"""),"дитячі парасолі")</f>
        <v>дитячі парасолі</v>
      </c>
      <c r="F453" s="17">
        <f>IFERROR(__xludf.DUMMYFUNCTION("""COMPUTED_VALUE"""),3.0)</f>
        <v>3</v>
      </c>
      <c r="G453" s="17" t="str">
        <f>IFERROR(__xludf.DUMMYFUNCTION("""COMPUTED_VALUE"""),"36305")</f>
        <v>36305</v>
      </c>
      <c r="H453" s="17" t="str">
        <f>IFERROR(__xludf.DUMMYFUNCTION("""COMPUTED_VALUE"""),"дитячі парасолі")</f>
        <v>дитячі парасолі</v>
      </c>
      <c r="I453" s="19">
        <f>IFERROR(__xludf.DUMMYFUNCTION("""COMPUTED_VALUE"""),0.0732)</f>
        <v>0.0732</v>
      </c>
      <c r="J453" s="19">
        <f>IFERROR(__xludf.DUMMYFUNCTION("""COMPUTED_VALUE"""),0.1463)</f>
        <v>0.1463</v>
      </c>
      <c r="K453" s="19">
        <f>IFERROR(__xludf.DUMMYFUNCTION("""COMPUTED_VALUE"""),0.1829)</f>
        <v>0.1829</v>
      </c>
      <c r="L453" s="19">
        <f>IFERROR(__xludf.DUMMYFUNCTION("""COMPUTED_VALUE"""),0.2195)</f>
        <v>0.2195</v>
      </c>
      <c r="M453" s="18">
        <f>IFERROR(__xludf.DUMMYFUNCTION("""COMPUTED_VALUE"""),1.05)</f>
        <v>1.05</v>
      </c>
    </row>
    <row r="454">
      <c r="A454" s="13" t="str">
        <f>IFERROR(__xludf.DUMMYFUNCTION("""COMPUTED_VALUE"""),"товари")</f>
        <v>товари</v>
      </c>
      <c r="B454" s="16" t="str">
        <f>IFERROR(__xludf.DUMMYFUNCTION("""COMPUTED_VALUE"""),"аксесуари та прикраси")</f>
        <v>аксесуари та прикраси</v>
      </c>
      <c r="C454" s="16" t="str">
        <f>IFERROR(__xludf.DUMMYFUNCTION("""COMPUTED_VALUE"""),"біжутерія")</f>
        <v>біжутерія</v>
      </c>
      <c r="D454" s="16" t="str">
        <f>IFERROR(__xludf.DUMMYFUNCTION("""COMPUTED_VALUE"""),"дитячі прикраси")</f>
        <v>дитячі прикраси</v>
      </c>
      <c r="E454" s="16" t="str">
        <f>IFERROR(__xludf.DUMMYFUNCTION("""COMPUTED_VALUE"""),"дитячі прикраси")</f>
        <v>дитячі прикраси</v>
      </c>
      <c r="F454" s="17">
        <f>IFERROR(__xludf.DUMMYFUNCTION("""COMPUTED_VALUE"""),3.0)</f>
        <v>3</v>
      </c>
      <c r="G454" s="17" t="str">
        <f>IFERROR(__xludf.DUMMYFUNCTION("""COMPUTED_VALUE"""),"15090305")</f>
        <v>15090305</v>
      </c>
      <c r="H454" s="17" t="str">
        <f>IFERROR(__xludf.DUMMYFUNCTION("""COMPUTED_VALUE"""),"дитячі прикраси")</f>
        <v>дитячі прикраси</v>
      </c>
      <c r="I454" s="19">
        <f>IFERROR(__xludf.DUMMYFUNCTION("""COMPUTED_VALUE"""),0.066)</f>
        <v>0.066</v>
      </c>
      <c r="J454" s="19">
        <f>IFERROR(__xludf.DUMMYFUNCTION("""COMPUTED_VALUE"""),0.132)</f>
        <v>0.132</v>
      </c>
      <c r="K454" s="19">
        <f>IFERROR(__xludf.DUMMYFUNCTION("""COMPUTED_VALUE"""),0.165)</f>
        <v>0.165</v>
      </c>
      <c r="L454" s="19">
        <f>IFERROR(__xludf.DUMMYFUNCTION("""COMPUTED_VALUE"""),0.198)</f>
        <v>0.198</v>
      </c>
      <c r="M454" s="18">
        <f>IFERROR(__xludf.DUMMYFUNCTION("""COMPUTED_VALUE"""),1.05)</f>
        <v>1.05</v>
      </c>
    </row>
    <row r="455">
      <c r="A455" s="13" t="str">
        <f>IFERROR(__xludf.DUMMYFUNCTION("""COMPUTED_VALUE"""),"товари")</f>
        <v>товари</v>
      </c>
      <c r="B455" s="16" t="str">
        <f>IFERROR(__xludf.DUMMYFUNCTION("""COMPUTED_VALUE"""),"аксесуари та прикраси")</f>
        <v>аксесуари та прикраси</v>
      </c>
      <c r="C455" s="16" t="str">
        <f>IFERROR(__xludf.DUMMYFUNCTION("""COMPUTED_VALUE"""),"дитячі аксесуари")</f>
        <v>дитячі аксесуари</v>
      </c>
      <c r="D455" s="16" t="str">
        <f>IFERROR(__xludf.DUMMYFUNCTION("""COMPUTED_VALUE"""),"дитячі ремені і підтяжки ")</f>
        <v>дитячі ремені і підтяжки </v>
      </c>
      <c r="E455" s="16" t="str">
        <f>IFERROR(__xludf.DUMMYFUNCTION("""COMPUTED_VALUE"""),"дитячі ремені і підтяжки ")</f>
        <v>дитячі ремені і підтяжки </v>
      </c>
      <c r="F455" s="17">
        <f>IFERROR(__xludf.DUMMYFUNCTION("""COMPUTED_VALUE"""),3.0)</f>
        <v>3</v>
      </c>
      <c r="G455" s="17" t="str">
        <f>IFERROR(__xludf.DUMMYFUNCTION("""COMPUTED_VALUE"""),"36301")</f>
        <v>36301</v>
      </c>
      <c r="H455" s="17" t="str">
        <f>IFERROR(__xludf.DUMMYFUNCTION("""COMPUTED_VALUE"""),"дитячі ремені і підтяжки ")</f>
        <v>дитячі ремені і підтяжки </v>
      </c>
      <c r="I455" s="19">
        <f>IFERROR(__xludf.DUMMYFUNCTION("""COMPUTED_VALUE"""),0.0981)</f>
        <v>0.0981</v>
      </c>
      <c r="J455" s="19">
        <f>IFERROR(__xludf.DUMMYFUNCTION("""COMPUTED_VALUE"""),0.1962)</f>
        <v>0.1962</v>
      </c>
      <c r="K455" s="19">
        <f>IFERROR(__xludf.DUMMYFUNCTION("""COMPUTED_VALUE"""),0.2453)</f>
        <v>0.2453</v>
      </c>
      <c r="L455" s="19">
        <f>IFERROR(__xludf.DUMMYFUNCTION("""COMPUTED_VALUE"""),0.2943)</f>
        <v>0.2943</v>
      </c>
      <c r="M455" s="18">
        <f>IFERROR(__xludf.DUMMYFUNCTION("""COMPUTED_VALUE"""),1.05)</f>
        <v>1.05</v>
      </c>
    </row>
    <row r="456">
      <c r="A456" s="13" t="str">
        <f>IFERROR(__xludf.DUMMYFUNCTION("""COMPUTED_VALUE"""),"товари")</f>
        <v>товари</v>
      </c>
      <c r="B456" s="16" t="str">
        <f>IFERROR(__xludf.DUMMYFUNCTION("""COMPUTED_VALUE"""),"аксесуари та прикраси")</f>
        <v>аксесуари та прикраси</v>
      </c>
      <c r="C456" s="16" t="str">
        <f>IFERROR(__xludf.DUMMYFUNCTION("""COMPUTED_VALUE"""),"дитячі аксесуари")</f>
        <v>дитячі аксесуари</v>
      </c>
      <c r="D456" s="16" t="str">
        <f>IFERROR(__xludf.DUMMYFUNCTION("""COMPUTED_VALUE"""),"дитячі рукавички, рукавиці")</f>
        <v>дитячі рукавички, рукавиці</v>
      </c>
      <c r="E456" s="16" t="str">
        <f>IFERROR(__xludf.DUMMYFUNCTION("""COMPUTED_VALUE"""),"дитячі рукавички, рукавиці")</f>
        <v>дитячі рукавички, рукавиці</v>
      </c>
      <c r="F456" s="17">
        <f>IFERROR(__xludf.DUMMYFUNCTION("""COMPUTED_VALUE"""),3.0)</f>
        <v>3</v>
      </c>
      <c r="G456" s="17" t="str">
        <f>IFERROR(__xludf.DUMMYFUNCTION("""COMPUTED_VALUE"""),"36302")</f>
        <v>36302</v>
      </c>
      <c r="H456" s="17" t="str">
        <f>IFERROR(__xludf.DUMMYFUNCTION("""COMPUTED_VALUE"""),"дитячі рукавички, рукавиці")</f>
        <v>дитячі рукавички, рукавиці</v>
      </c>
      <c r="I456" s="19">
        <f>IFERROR(__xludf.DUMMYFUNCTION("""COMPUTED_VALUE"""),0.0871)</f>
        <v>0.0871</v>
      </c>
      <c r="J456" s="19">
        <f>IFERROR(__xludf.DUMMYFUNCTION("""COMPUTED_VALUE"""),0.1742)</f>
        <v>0.1742</v>
      </c>
      <c r="K456" s="19">
        <f>IFERROR(__xludf.DUMMYFUNCTION("""COMPUTED_VALUE"""),0.2178)</f>
        <v>0.2178</v>
      </c>
      <c r="L456" s="19">
        <f>IFERROR(__xludf.DUMMYFUNCTION("""COMPUTED_VALUE"""),0.2613)</f>
        <v>0.2613</v>
      </c>
      <c r="M456" s="18">
        <f>IFERROR(__xludf.DUMMYFUNCTION("""COMPUTED_VALUE"""),1.8)</f>
        <v>1.8</v>
      </c>
    </row>
    <row r="457">
      <c r="A457" s="13" t="str">
        <f>IFERROR(__xludf.DUMMYFUNCTION("""COMPUTED_VALUE"""),"товари")</f>
        <v>товари</v>
      </c>
      <c r="B457" s="16" t="str">
        <f>IFERROR(__xludf.DUMMYFUNCTION("""COMPUTED_VALUE"""),"аксесуари та прикраси")</f>
        <v>аксесуари та прикраси</v>
      </c>
      <c r="C457" s="16" t="str">
        <f>IFERROR(__xludf.DUMMYFUNCTION("""COMPUTED_VALUE"""),"дитячі аксесуари")</f>
        <v>дитячі аксесуари</v>
      </c>
      <c r="D457" s="16" t="str">
        <f>IFERROR(__xludf.DUMMYFUNCTION("""COMPUTED_VALUE"""),"дитячі сумки і рюкзаки")</f>
        <v>дитячі сумки і рюкзаки</v>
      </c>
      <c r="E457" s="16" t="str">
        <f>IFERROR(__xludf.DUMMYFUNCTION("""COMPUTED_VALUE"""),"дитячі сумки і рюкзаки")</f>
        <v>дитячі сумки і рюкзаки</v>
      </c>
      <c r="F457" s="17">
        <f>IFERROR(__xludf.DUMMYFUNCTION("""COMPUTED_VALUE"""),3.0)</f>
        <v>3</v>
      </c>
      <c r="G457" s="17" t="str">
        <f>IFERROR(__xludf.DUMMYFUNCTION("""COMPUTED_VALUE"""),"380501")</f>
        <v>380501</v>
      </c>
      <c r="H457" s="17" t="str">
        <f>IFERROR(__xludf.DUMMYFUNCTION("""COMPUTED_VALUE"""),"дитячі сумки і рюкзаки")</f>
        <v>дитячі сумки і рюкзаки</v>
      </c>
      <c r="I457" s="19">
        <f>IFERROR(__xludf.DUMMYFUNCTION("""COMPUTED_VALUE"""),0.0763)</f>
        <v>0.0763</v>
      </c>
      <c r="J457" s="19">
        <f>IFERROR(__xludf.DUMMYFUNCTION("""COMPUTED_VALUE"""),0.1526)</f>
        <v>0.1526</v>
      </c>
      <c r="K457" s="19">
        <f>IFERROR(__xludf.DUMMYFUNCTION("""COMPUTED_VALUE"""),0.1908)</f>
        <v>0.1908</v>
      </c>
      <c r="L457" s="19">
        <f>IFERROR(__xludf.DUMMYFUNCTION("""COMPUTED_VALUE"""),0.2289)</f>
        <v>0.2289</v>
      </c>
      <c r="M457" s="18">
        <f>IFERROR(__xludf.DUMMYFUNCTION("""COMPUTED_VALUE"""),1.44)</f>
        <v>1.44</v>
      </c>
    </row>
    <row r="458">
      <c r="A458" s="13" t="str">
        <f>IFERROR(__xludf.DUMMYFUNCTION("""COMPUTED_VALUE"""),"товари")</f>
        <v>товари</v>
      </c>
      <c r="B458" s="16" t="str">
        <f>IFERROR(__xludf.DUMMYFUNCTION("""COMPUTED_VALUE"""),"аксесуари та прикраси")</f>
        <v>аксесуари та прикраси</v>
      </c>
      <c r="C458" s="16" t="str">
        <f>IFERROR(__xludf.DUMMYFUNCTION("""COMPUTED_VALUE"""),"дитячі аксесуари")</f>
        <v>дитячі аксесуари</v>
      </c>
      <c r="D458" s="16" t="str">
        <f>IFERROR(__xludf.DUMMYFUNCTION("""COMPUTED_VALUE"""),"дитячі шарфи, манішки")</f>
        <v>дитячі шарфи, манішки</v>
      </c>
      <c r="E458" s="16" t="str">
        <f>IFERROR(__xludf.DUMMYFUNCTION("""COMPUTED_VALUE"""),"дитячі шарфи, манішки")</f>
        <v>дитячі шарфи, манішки</v>
      </c>
      <c r="F458" s="17">
        <f>IFERROR(__xludf.DUMMYFUNCTION("""COMPUTED_VALUE"""),3.0)</f>
        <v>3</v>
      </c>
      <c r="G458" s="17" t="str">
        <f>IFERROR(__xludf.DUMMYFUNCTION("""COMPUTED_VALUE"""),"36306")</f>
        <v>36306</v>
      </c>
      <c r="H458" s="17" t="str">
        <f>IFERROR(__xludf.DUMMYFUNCTION("""COMPUTED_VALUE"""),"дитячі шарфи, манішки")</f>
        <v>дитячі шарфи, манішки</v>
      </c>
      <c r="I458" s="19">
        <f>IFERROR(__xludf.DUMMYFUNCTION("""COMPUTED_VALUE"""),0.0976)</f>
        <v>0.0976</v>
      </c>
      <c r="J458" s="19">
        <f>IFERROR(__xludf.DUMMYFUNCTION("""COMPUTED_VALUE"""),0.1951)</f>
        <v>0.1951</v>
      </c>
      <c r="K458" s="19">
        <f>IFERROR(__xludf.DUMMYFUNCTION("""COMPUTED_VALUE"""),0.2439)</f>
        <v>0.2439</v>
      </c>
      <c r="L458" s="19">
        <f>IFERROR(__xludf.DUMMYFUNCTION("""COMPUTED_VALUE"""),0.2927)</f>
        <v>0.2927</v>
      </c>
      <c r="M458" s="18">
        <f>IFERROR(__xludf.DUMMYFUNCTION("""COMPUTED_VALUE"""),1.05)</f>
        <v>1.05</v>
      </c>
    </row>
    <row r="459">
      <c r="A459" s="13" t="str">
        <f>IFERROR(__xludf.DUMMYFUNCTION("""COMPUTED_VALUE"""),"товари")</f>
        <v>товари</v>
      </c>
      <c r="B459" s="16" t="str">
        <f>IFERROR(__xludf.DUMMYFUNCTION("""COMPUTED_VALUE"""),"аксесуари та прикраси")</f>
        <v>аксесуари та прикраси</v>
      </c>
      <c r="C459" s="16" t="str">
        <f>IFERROR(__xludf.DUMMYFUNCTION("""COMPUTED_VALUE"""),"aксесуари")</f>
        <v>aксесуари</v>
      </c>
      <c r="D459" s="16" t="str">
        <f>IFERROR(__xludf.DUMMYFUNCTION("""COMPUTED_VALUE"""),"аксесуари для волосся")</f>
        <v>аксесуари для волосся</v>
      </c>
      <c r="E459" s="16" t="str">
        <f>IFERROR(__xludf.DUMMYFUNCTION("""COMPUTED_VALUE"""),"діадеми")</f>
        <v>діадеми</v>
      </c>
      <c r="F459" s="17">
        <f>IFERROR(__xludf.DUMMYFUNCTION("""COMPUTED_VALUE"""),4.0)</f>
        <v>4</v>
      </c>
      <c r="G459" s="17" t="str">
        <f>IFERROR(__xludf.DUMMYFUNCTION("""COMPUTED_VALUE"""),"3390112")</f>
        <v>3390112</v>
      </c>
      <c r="H459" s="17" t="str">
        <f>IFERROR(__xludf.DUMMYFUNCTION("""COMPUTED_VALUE"""),"діадеми")</f>
        <v>діадеми</v>
      </c>
      <c r="I459" s="19">
        <f>IFERROR(__xludf.DUMMYFUNCTION("""COMPUTED_VALUE"""),0.0856)</f>
        <v>0.0856</v>
      </c>
      <c r="J459" s="19">
        <f>IFERROR(__xludf.DUMMYFUNCTION("""COMPUTED_VALUE"""),0.1712)</f>
        <v>0.1712</v>
      </c>
      <c r="K459" s="19">
        <f>IFERROR(__xludf.DUMMYFUNCTION("""COMPUTED_VALUE"""),0.214)</f>
        <v>0.214</v>
      </c>
      <c r="L459" s="19">
        <f>IFERROR(__xludf.DUMMYFUNCTION("""COMPUTED_VALUE"""),0.2568)</f>
        <v>0.2568</v>
      </c>
      <c r="M459" s="18">
        <f>IFERROR(__xludf.DUMMYFUNCTION("""COMPUTED_VALUE"""),1.26)</f>
        <v>1.26</v>
      </c>
    </row>
    <row r="460">
      <c r="A460" s="13" t="str">
        <f>IFERROR(__xludf.DUMMYFUNCTION("""COMPUTED_VALUE"""),"товари")</f>
        <v>товари</v>
      </c>
      <c r="B460" s="16" t="str">
        <f>IFERROR(__xludf.DUMMYFUNCTION("""COMPUTED_VALUE"""),"аксесуари та прикраси")</f>
        <v>аксесуари та прикраси</v>
      </c>
      <c r="C460" s="16" t="str">
        <f>IFERROR(__xludf.DUMMYFUNCTION("""COMPUTED_VALUE"""),"сумки, валізи, портфелі")</f>
        <v>сумки, валізи, портфелі</v>
      </c>
      <c r="D460" s="16" t="str">
        <f>IFERROR(__xludf.DUMMYFUNCTION("""COMPUTED_VALUE"""),"дорожні сумки та валізи")</f>
        <v>дорожні сумки та валізи</v>
      </c>
      <c r="E460" s="16" t="str">
        <f>IFERROR(__xludf.DUMMYFUNCTION("""COMPUTED_VALUE"""),"дорожні сумки та валізи")</f>
        <v>дорожні сумки та валізи</v>
      </c>
      <c r="F460" s="17">
        <f>IFERROR(__xludf.DUMMYFUNCTION("""COMPUTED_VALUE"""),3.0)</f>
        <v>3</v>
      </c>
      <c r="G460" s="17" t="str">
        <f>IFERROR(__xludf.DUMMYFUNCTION("""COMPUTED_VALUE"""),"152404")</f>
        <v>152404</v>
      </c>
      <c r="H460" s="17" t="str">
        <f>IFERROR(__xludf.DUMMYFUNCTION("""COMPUTED_VALUE"""),"дорожні сумки та валізи")</f>
        <v>дорожні сумки та валізи</v>
      </c>
      <c r="I460" s="19">
        <f>IFERROR(__xludf.DUMMYFUNCTION("""COMPUTED_VALUE"""),0.0922)</f>
        <v>0.0922</v>
      </c>
      <c r="J460" s="19">
        <f>IFERROR(__xludf.DUMMYFUNCTION("""COMPUTED_VALUE"""),0.1843)</f>
        <v>0.1843</v>
      </c>
      <c r="K460" s="19">
        <f>IFERROR(__xludf.DUMMYFUNCTION("""COMPUTED_VALUE"""),0.2304)</f>
        <v>0.2304</v>
      </c>
      <c r="L460" s="19">
        <f>IFERROR(__xludf.DUMMYFUNCTION("""COMPUTED_VALUE"""),0.2765)</f>
        <v>0.2765</v>
      </c>
      <c r="M460" s="18">
        <f>IFERROR(__xludf.DUMMYFUNCTION("""COMPUTED_VALUE"""),3.15)</f>
        <v>3.15</v>
      </c>
    </row>
    <row r="461">
      <c r="A461" s="13" t="str">
        <f>IFERROR(__xludf.DUMMYFUNCTION("""COMPUTED_VALUE"""),"товари")</f>
        <v>товари</v>
      </c>
      <c r="B461" s="16" t="str">
        <f>IFERROR(__xludf.DUMMYFUNCTION("""COMPUTED_VALUE"""),"аксесуари та прикраси")</f>
        <v>аксесуари та прикраси</v>
      </c>
      <c r="C461" s="16" t="str">
        <f>IFERROR(__xludf.DUMMYFUNCTION("""COMPUTED_VALUE"""),"aксесуари")</f>
        <v>aксесуари</v>
      </c>
      <c r="D461" s="16" t="str">
        <f>IFERROR(__xludf.DUMMYFUNCTION("""COMPUTED_VALUE"""),"дощовики")</f>
        <v>дощовики</v>
      </c>
      <c r="E461" s="16" t="str">
        <f>IFERROR(__xludf.DUMMYFUNCTION("""COMPUTED_VALUE"""),"дощовики")</f>
        <v>дощовики</v>
      </c>
      <c r="F461" s="17">
        <f>IFERROR(__xludf.DUMMYFUNCTION("""COMPUTED_VALUE"""),3.0)</f>
        <v>3</v>
      </c>
      <c r="G461" s="17" t="str">
        <f>IFERROR(__xludf.DUMMYFUNCTION("""COMPUTED_VALUE"""),"33915")</f>
        <v>33915</v>
      </c>
      <c r="H461" s="17" t="str">
        <f>IFERROR(__xludf.DUMMYFUNCTION("""COMPUTED_VALUE"""),"дощовики")</f>
        <v>дощовики</v>
      </c>
      <c r="I461" s="19">
        <f>IFERROR(__xludf.DUMMYFUNCTION("""COMPUTED_VALUE"""),0.0665)</f>
        <v>0.0665</v>
      </c>
      <c r="J461" s="19">
        <f>IFERROR(__xludf.DUMMYFUNCTION("""COMPUTED_VALUE"""),0.133)</f>
        <v>0.133</v>
      </c>
      <c r="K461" s="19">
        <f>IFERROR(__xludf.DUMMYFUNCTION("""COMPUTED_VALUE"""),0.1663)</f>
        <v>0.1663</v>
      </c>
      <c r="L461" s="19">
        <f>IFERROR(__xludf.DUMMYFUNCTION("""COMPUTED_VALUE"""),0.1995)</f>
        <v>0.1995</v>
      </c>
      <c r="M461" s="18">
        <f>IFERROR(__xludf.DUMMYFUNCTION("""COMPUTED_VALUE"""),1.98)</f>
        <v>1.98</v>
      </c>
    </row>
    <row r="462">
      <c r="A462" s="13" t="str">
        <f>IFERROR(__xludf.DUMMYFUNCTION("""COMPUTED_VALUE"""),"товари")</f>
        <v>товари</v>
      </c>
      <c r="B462" s="16" t="str">
        <f>IFERROR(__xludf.DUMMYFUNCTION("""COMPUTED_VALUE"""),"аксесуари та прикраси")</f>
        <v>аксесуари та прикраси</v>
      </c>
      <c r="C462" s="16" t="str">
        <f>IFERROR(__xludf.DUMMYFUNCTION("""COMPUTED_VALUE"""),"сумки, валізи, портфелі")</f>
        <v>сумки, валізи, портфелі</v>
      </c>
      <c r="D462" s="16" t="str">
        <f>IFERROR(__xludf.DUMMYFUNCTION("""COMPUTED_VALUE"""),"жіночі сумочки і клатчі")</f>
        <v>жіночі сумочки і клатчі</v>
      </c>
      <c r="E462" s="16" t="str">
        <f>IFERROR(__xludf.DUMMYFUNCTION("""COMPUTED_VALUE"""),"жіночі сумочки і клатчі")</f>
        <v>жіночі сумочки і клатчі</v>
      </c>
      <c r="F462" s="17">
        <f>IFERROR(__xludf.DUMMYFUNCTION("""COMPUTED_VALUE"""),3.0)</f>
        <v>3</v>
      </c>
      <c r="G462" s="17" t="str">
        <f>IFERROR(__xludf.DUMMYFUNCTION("""COMPUTED_VALUE"""),"152403")</f>
        <v>152403</v>
      </c>
      <c r="H462" s="17" t="str">
        <f>IFERROR(__xludf.DUMMYFUNCTION("""COMPUTED_VALUE"""),"жіночі сумочки і клатчі")</f>
        <v>жіночі сумочки і клатчі</v>
      </c>
      <c r="I462" s="19">
        <f>IFERROR(__xludf.DUMMYFUNCTION("""COMPUTED_VALUE"""),0.0968)</f>
        <v>0.0968</v>
      </c>
      <c r="J462" s="19">
        <f>IFERROR(__xludf.DUMMYFUNCTION("""COMPUTED_VALUE"""),0.1936)</f>
        <v>0.1936</v>
      </c>
      <c r="K462" s="19">
        <f>IFERROR(__xludf.DUMMYFUNCTION("""COMPUTED_VALUE"""),0.242)</f>
        <v>0.242</v>
      </c>
      <c r="L462" s="19">
        <f>IFERROR(__xludf.DUMMYFUNCTION("""COMPUTED_VALUE"""),0.2904)</f>
        <v>0.2904</v>
      </c>
      <c r="M462" s="18">
        <f>IFERROR(__xludf.DUMMYFUNCTION("""COMPUTED_VALUE"""),2.25)</f>
        <v>2.25</v>
      </c>
    </row>
    <row r="463">
      <c r="A463" s="13" t="str">
        <f>IFERROR(__xludf.DUMMYFUNCTION("""COMPUTED_VALUE"""),"товари")</f>
        <v>товари</v>
      </c>
      <c r="B463" s="16" t="str">
        <f>IFERROR(__xludf.DUMMYFUNCTION("""COMPUTED_VALUE"""),"аксесуари та прикраси")</f>
        <v>аксесуари та прикраси</v>
      </c>
      <c r="C463" s="16" t="str">
        <f>IFERROR(__xludf.DUMMYFUNCTION("""COMPUTED_VALUE"""),"біжутерія")</f>
        <v>біжутерія</v>
      </c>
      <c r="D463" s="16" t="str">
        <f>IFERROR(__xludf.DUMMYFUNCTION("""COMPUTED_VALUE"""),"запонки та затискачі для краватки")</f>
        <v>запонки та затискачі для краватки</v>
      </c>
      <c r="E463" s="16" t="str">
        <f>IFERROR(__xludf.DUMMYFUNCTION("""COMPUTED_VALUE"""),"запонки та затискачі для краватки")</f>
        <v>запонки та затискачі для краватки</v>
      </c>
      <c r="F463" s="17">
        <f>IFERROR(__xludf.DUMMYFUNCTION("""COMPUTED_VALUE"""),3.0)</f>
        <v>3</v>
      </c>
      <c r="G463" s="17" t="str">
        <f>IFERROR(__xludf.DUMMYFUNCTION("""COMPUTED_VALUE"""),"36090310")</f>
        <v>36090310</v>
      </c>
      <c r="H463" s="17" t="str">
        <f>IFERROR(__xludf.DUMMYFUNCTION("""COMPUTED_VALUE"""),"запонки та затискачі для краватки")</f>
        <v>запонки та затискачі для краватки</v>
      </c>
      <c r="I463" s="19">
        <f>IFERROR(__xludf.DUMMYFUNCTION("""COMPUTED_VALUE"""),0.0984)</f>
        <v>0.0984</v>
      </c>
      <c r="J463" s="19">
        <f>IFERROR(__xludf.DUMMYFUNCTION("""COMPUTED_VALUE"""),0.1968)</f>
        <v>0.1968</v>
      </c>
      <c r="K463" s="19">
        <f>IFERROR(__xludf.DUMMYFUNCTION("""COMPUTED_VALUE"""),0.246)</f>
        <v>0.246</v>
      </c>
      <c r="L463" s="19">
        <f>IFERROR(__xludf.DUMMYFUNCTION("""COMPUTED_VALUE"""),0.2952)</f>
        <v>0.2952</v>
      </c>
      <c r="M463" s="18">
        <f>IFERROR(__xludf.DUMMYFUNCTION("""COMPUTED_VALUE"""),1.8)</f>
        <v>1.8</v>
      </c>
    </row>
    <row r="464">
      <c r="A464" s="13" t="str">
        <f>IFERROR(__xludf.DUMMYFUNCTION("""COMPUTED_VALUE"""),"товари")</f>
        <v>товари</v>
      </c>
      <c r="B464" s="16" t="str">
        <f>IFERROR(__xludf.DUMMYFUNCTION("""COMPUTED_VALUE"""),"аксесуари та прикраси")</f>
        <v>аксесуари та прикраси</v>
      </c>
      <c r="C464" s="16" t="str">
        <f>IFERROR(__xludf.DUMMYFUNCTION("""COMPUTED_VALUE"""),"aксесуари")</f>
        <v>aксесуари</v>
      </c>
      <c r="D464" s="16" t="str">
        <f>IFERROR(__xludf.DUMMYFUNCTION("""COMPUTED_VALUE"""),"захисні маски для обличчя")</f>
        <v>захисні маски для обличчя</v>
      </c>
      <c r="E464" s="16" t="str">
        <f>IFERROR(__xludf.DUMMYFUNCTION("""COMPUTED_VALUE"""),"захисні маски для обличчя")</f>
        <v>захисні маски для обличчя</v>
      </c>
      <c r="F464" s="17">
        <f>IFERROR(__xludf.DUMMYFUNCTION("""COMPUTED_VALUE"""),3.0)</f>
        <v>3</v>
      </c>
      <c r="G464" s="17" t="str">
        <f>IFERROR(__xludf.DUMMYFUNCTION("""COMPUTED_VALUE"""),"33918")</f>
        <v>33918</v>
      </c>
      <c r="H464" s="17" t="str">
        <f>IFERROR(__xludf.DUMMYFUNCTION("""COMPUTED_VALUE"""),"захисні маски для обличчя")</f>
        <v>захисні маски для обличчя</v>
      </c>
      <c r="I464" s="19">
        <f>IFERROR(__xludf.DUMMYFUNCTION("""COMPUTED_VALUE"""),0.0801)</f>
        <v>0.0801</v>
      </c>
      <c r="J464" s="19">
        <f>IFERROR(__xludf.DUMMYFUNCTION("""COMPUTED_VALUE"""),0.1601)</f>
        <v>0.1601</v>
      </c>
      <c r="K464" s="19">
        <f>IFERROR(__xludf.DUMMYFUNCTION("""COMPUTED_VALUE"""),0.2001)</f>
        <v>0.2001</v>
      </c>
      <c r="L464" s="19">
        <f>IFERROR(__xludf.DUMMYFUNCTION("""COMPUTED_VALUE"""),0.2402)</f>
        <v>0.2402</v>
      </c>
      <c r="M464" s="18">
        <f>IFERROR(__xludf.DUMMYFUNCTION("""COMPUTED_VALUE"""),3.9)</f>
        <v>3.9</v>
      </c>
    </row>
    <row r="465">
      <c r="A465" s="13" t="str">
        <f>IFERROR(__xludf.DUMMYFUNCTION("""COMPUTED_VALUE"""),"товари")</f>
        <v>товари</v>
      </c>
      <c r="B465" s="16" t="str">
        <f>IFERROR(__xludf.DUMMYFUNCTION("""COMPUTED_VALUE"""),"аксесуари та прикраси")</f>
        <v>аксесуари та прикраси</v>
      </c>
      <c r="C465" s="16" t="str">
        <f>IFERROR(__xludf.DUMMYFUNCTION("""COMPUTED_VALUE"""),"aксесуари")</f>
        <v>aксесуари</v>
      </c>
      <c r="D465" s="16" t="str">
        <f>IFERROR(__xludf.DUMMYFUNCTION("""COMPUTED_VALUE"""),"знімні рукави")</f>
        <v>знімні рукави</v>
      </c>
      <c r="E465" s="16" t="str">
        <f>IFERROR(__xludf.DUMMYFUNCTION("""COMPUTED_VALUE"""),"знімні рукави")</f>
        <v>знімні рукави</v>
      </c>
      <c r="F465" s="17">
        <f>IFERROR(__xludf.DUMMYFUNCTION("""COMPUTED_VALUE"""),3.0)</f>
        <v>3</v>
      </c>
      <c r="G465" s="17" t="str">
        <f>IFERROR(__xludf.DUMMYFUNCTION("""COMPUTED_VALUE"""),"33914")</f>
        <v>33914</v>
      </c>
      <c r="H465" s="17" t="str">
        <f>IFERROR(__xludf.DUMMYFUNCTION("""COMPUTED_VALUE"""),"знімні рукави")</f>
        <v>знімні рукави</v>
      </c>
      <c r="I465" s="19">
        <f>IFERROR(__xludf.DUMMYFUNCTION("""COMPUTED_VALUE"""),0.0855)</f>
        <v>0.0855</v>
      </c>
      <c r="J465" s="19">
        <f>IFERROR(__xludf.DUMMYFUNCTION("""COMPUTED_VALUE"""),0.1709)</f>
        <v>0.1709</v>
      </c>
      <c r="K465" s="19">
        <f>IFERROR(__xludf.DUMMYFUNCTION("""COMPUTED_VALUE"""),0.2136)</f>
        <v>0.2136</v>
      </c>
      <c r="L465" s="19">
        <f>IFERROR(__xludf.DUMMYFUNCTION("""COMPUTED_VALUE"""),0.2564)</f>
        <v>0.2564</v>
      </c>
      <c r="M465" s="18">
        <f>IFERROR(__xludf.DUMMYFUNCTION("""COMPUTED_VALUE"""),1.05)</f>
        <v>1.05</v>
      </c>
    </row>
    <row r="466">
      <c r="A466" s="13" t="str">
        <f>IFERROR(__xludf.DUMMYFUNCTION("""COMPUTED_VALUE"""),"товари")</f>
        <v>товари</v>
      </c>
      <c r="B466" s="16" t="str">
        <f>IFERROR(__xludf.DUMMYFUNCTION("""COMPUTED_VALUE"""),"аксесуари та прикраси")</f>
        <v>аксесуари та прикраси</v>
      </c>
      <c r="C466" s="16" t="str">
        <f>IFERROR(__xludf.DUMMYFUNCTION("""COMPUTED_VALUE"""),"ювелірні вироби")</f>
        <v>ювелірні вироби</v>
      </c>
      <c r="D466" s="16" t="str">
        <f>IFERROR(__xludf.DUMMYFUNCTION("""COMPUTED_VALUE"""),"ювелірні вироби з золота")</f>
        <v>ювелірні вироби з золота</v>
      </c>
      <c r="E466" s="16" t="str">
        <f>IFERROR(__xludf.DUMMYFUNCTION("""COMPUTED_VALUE"""),"золоті браслети")</f>
        <v>золоті браслети</v>
      </c>
      <c r="F466" s="17">
        <f>IFERROR(__xludf.DUMMYFUNCTION("""COMPUTED_VALUE"""),4.0)</f>
        <v>4</v>
      </c>
      <c r="G466" s="17" t="str">
        <f>IFERROR(__xludf.DUMMYFUNCTION("""COMPUTED_VALUE"""),"15090205")</f>
        <v>15090205</v>
      </c>
      <c r="H466" s="17" t="str">
        <f>IFERROR(__xludf.DUMMYFUNCTION("""COMPUTED_VALUE"""),"золоті браслети")</f>
        <v>золоті браслети</v>
      </c>
      <c r="I466" s="19">
        <f>IFERROR(__xludf.DUMMYFUNCTION("""COMPUTED_VALUE"""),0.0948)</f>
        <v>0.0948</v>
      </c>
      <c r="J466" s="19">
        <f>IFERROR(__xludf.DUMMYFUNCTION("""COMPUTED_VALUE"""),0.1896)</f>
        <v>0.1896</v>
      </c>
      <c r="K466" s="19">
        <f>IFERROR(__xludf.DUMMYFUNCTION("""COMPUTED_VALUE"""),0.237)</f>
        <v>0.237</v>
      </c>
      <c r="L466" s="19">
        <f>IFERROR(__xludf.DUMMYFUNCTION("""COMPUTED_VALUE"""),0.2844)</f>
        <v>0.2844</v>
      </c>
      <c r="M466" s="18">
        <f>IFERROR(__xludf.DUMMYFUNCTION("""COMPUTED_VALUE"""),1.53)</f>
        <v>1.53</v>
      </c>
    </row>
    <row r="467">
      <c r="A467" s="13" t="str">
        <f>IFERROR(__xludf.DUMMYFUNCTION("""COMPUTED_VALUE"""),"товари")</f>
        <v>товари</v>
      </c>
      <c r="B467" s="16" t="str">
        <f>IFERROR(__xludf.DUMMYFUNCTION("""COMPUTED_VALUE"""),"аксесуари та прикраси")</f>
        <v>аксесуари та прикраси</v>
      </c>
      <c r="C467" s="16" t="str">
        <f>IFERROR(__xludf.DUMMYFUNCTION("""COMPUTED_VALUE"""),"ювелірні вироби")</f>
        <v>ювелірні вироби</v>
      </c>
      <c r="D467" s="16" t="str">
        <f>IFERROR(__xludf.DUMMYFUNCTION("""COMPUTED_VALUE"""),"ювелірні вироби з золота")</f>
        <v>ювелірні вироби з золота</v>
      </c>
      <c r="E467" s="16" t="str">
        <f>IFERROR(__xludf.DUMMYFUNCTION("""COMPUTED_VALUE"""),"золоті брошки")</f>
        <v>золоті брошки</v>
      </c>
      <c r="F467" s="17">
        <f>IFERROR(__xludf.DUMMYFUNCTION("""COMPUTED_VALUE"""),4.0)</f>
        <v>4</v>
      </c>
      <c r="G467" s="17" t="str">
        <f>IFERROR(__xludf.DUMMYFUNCTION("""COMPUTED_VALUE"""),"15090207")</f>
        <v>15090207</v>
      </c>
      <c r="H467" s="17" t="str">
        <f>IFERROR(__xludf.DUMMYFUNCTION("""COMPUTED_VALUE"""),"золоті брошки")</f>
        <v>золоті брошки</v>
      </c>
      <c r="I467" s="19">
        <f>IFERROR(__xludf.DUMMYFUNCTION("""COMPUTED_VALUE"""),0.0956)</f>
        <v>0.0956</v>
      </c>
      <c r="J467" s="19">
        <f>IFERROR(__xludf.DUMMYFUNCTION("""COMPUTED_VALUE"""),0.1912)</f>
        <v>0.1912</v>
      </c>
      <c r="K467" s="19">
        <f>IFERROR(__xludf.DUMMYFUNCTION("""COMPUTED_VALUE"""),0.239)</f>
        <v>0.239</v>
      </c>
      <c r="L467" s="19">
        <f>IFERROR(__xludf.DUMMYFUNCTION("""COMPUTED_VALUE"""),0.2868)</f>
        <v>0.2868</v>
      </c>
      <c r="M467" s="18">
        <f>IFERROR(__xludf.DUMMYFUNCTION("""COMPUTED_VALUE"""),1.53)</f>
        <v>1.53</v>
      </c>
    </row>
    <row r="468">
      <c r="A468" s="13" t="str">
        <f>IFERROR(__xludf.DUMMYFUNCTION("""COMPUTED_VALUE"""),"товари")</f>
        <v>товари</v>
      </c>
      <c r="B468" s="16" t="str">
        <f>IFERROR(__xludf.DUMMYFUNCTION("""COMPUTED_VALUE"""),"аксесуари та прикраси")</f>
        <v>аксесуари та прикраси</v>
      </c>
      <c r="C468" s="16" t="str">
        <f>IFERROR(__xludf.DUMMYFUNCTION("""COMPUTED_VALUE"""),"ювелірні вироби")</f>
        <v>ювелірні вироби</v>
      </c>
      <c r="D468" s="16" t="str">
        <f>IFERROR(__xludf.DUMMYFUNCTION("""COMPUTED_VALUE"""),"ювелірні вироби з золота")</f>
        <v>ювелірні вироби з золота</v>
      </c>
      <c r="E468" s="16" t="str">
        <f>IFERROR(__xludf.DUMMYFUNCTION("""COMPUTED_VALUE"""),"золоті булавки")</f>
        <v>золоті булавки</v>
      </c>
      <c r="F468" s="17">
        <f>IFERROR(__xludf.DUMMYFUNCTION("""COMPUTED_VALUE"""),4.0)</f>
        <v>4</v>
      </c>
      <c r="G468" s="17" t="str">
        <f>IFERROR(__xludf.DUMMYFUNCTION("""COMPUTED_VALUE"""),"15090213")</f>
        <v>15090213</v>
      </c>
      <c r="H468" s="17" t="str">
        <f>IFERROR(__xludf.DUMMYFUNCTION("""COMPUTED_VALUE"""),"золоті булавки")</f>
        <v>золоті булавки</v>
      </c>
      <c r="I468" s="19">
        <f>IFERROR(__xludf.DUMMYFUNCTION("""COMPUTED_VALUE"""),0.0995)</f>
        <v>0.0995</v>
      </c>
      <c r="J468" s="19">
        <f>IFERROR(__xludf.DUMMYFUNCTION("""COMPUTED_VALUE"""),0.199)</f>
        <v>0.199</v>
      </c>
      <c r="K468" s="19">
        <f>IFERROR(__xludf.DUMMYFUNCTION("""COMPUTED_VALUE"""),0.2488)</f>
        <v>0.2488</v>
      </c>
      <c r="L468" s="19">
        <f>IFERROR(__xludf.DUMMYFUNCTION("""COMPUTED_VALUE"""),0.2985)</f>
        <v>0.2985</v>
      </c>
      <c r="M468" s="18">
        <f>IFERROR(__xludf.DUMMYFUNCTION("""COMPUTED_VALUE"""),1.53)</f>
        <v>1.53</v>
      </c>
    </row>
    <row r="469">
      <c r="A469" s="13" t="str">
        <f>IFERROR(__xludf.DUMMYFUNCTION("""COMPUTED_VALUE"""),"товари")</f>
        <v>товари</v>
      </c>
      <c r="B469" s="16" t="str">
        <f>IFERROR(__xludf.DUMMYFUNCTION("""COMPUTED_VALUE"""),"аксесуари та прикраси")</f>
        <v>аксесуари та прикраси</v>
      </c>
      <c r="C469" s="16" t="str">
        <f>IFERROR(__xludf.DUMMYFUNCTION("""COMPUTED_VALUE"""),"ювелірні вироби")</f>
        <v>ювелірні вироби</v>
      </c>
      <c r="D469" s="16" t="str">
        <f>IFERROR(__xludf.DUMMYFUNCTION("""COMPUTED_VALUE"""),"ювелірні вироби з золота")</f>
        <v>ювелірні вироби з золота</v>
      </c>
      <c r="E469" s="16" t="str">
        <f>IFERROR(__xludf.DUMMYFUNCTION("""COMPUTED_VALUE"""),"золоті каблучки")</f>
        <v>золоті каблучки</v>
      </c>
      <c r="F469" s="17">
        <f>IFERROR(__xludf.DUMMYFUNCTION("""COMPUTED_VALUE"""),4.0)</f>
        <v>4</v>
      </c>
      <c r="G469" s="17" t="str">
        <f>IFERROR(__xludf.DUMMYFUNCTION("""COMPUTED_VALUE"""),"15090201")</f>
        <v>15090201</v>
      </c>
      <c r="H469" s="17" t="str">
        <f>IFERROR(__xludf.DUMMYFUNCTION("""COMPUTED_VALUE"""),"золоті каблучки")</f>
        <v>золоті каблучки</v>
      </c>
      <c r="I469" s="19">
        <f>IFERROR(__xludf.DUMMYFUNCTION("""COMPUTED_VALUE"""),0.0829)</f>
        <v>0.0829</v>
      </c>
      <c r="J469" s="19">
        <f>IFERROR(__xludf.DUMMYFUNCTION("""COMPUTED_VALUE"""),0.1658)</f>
        <v>0.1658</v>
      </c>
      <c r="K469" s="19">
        <f>IFERROR(__xludf.DUMMYFUNCTION("""COMPUTED_VALUE"""),0.2073)</f>
        <v>0.2073</v>
      </c>
      <c r="L469" s="19">
        <f>IFERROR(__xludf.DUMMYFUNCTION("""COMPUTED_VALUE"""),0.2487)</f>
        <v>0.2487</v>
      </c>
      <c r="M469" s="18">
        <f>IFERROR(__xludf.DUMMYFUNCTION("""COMPUTED_VALUE"""),1.53)</f>
        <v>1.53</v>
      </c>
    </row>
    <row r="470">
      <c r="A470" s="13" t="str">
        <f>IFERROR(__xludf.DUMMYFUNCTION("""COMPUTED_VALUE"""),"товари")</f>
        <v>товари</v>
      </c>
      <c r="B470" s="16" t="str">
        <f>IFERROR(__xludf.DUMMYFUNCTION("""COMPUTED_VALUE"""),"аксесуари та прикраси")</f>
        <v>аксесуари та прикраси</v>
      </c>
      <c r="C470" s="16" t="str">
        <f>IFERROR(__xludf.DUMMYFUNCTION("""COMPUTED_VALUE"""),"ювелірні вироби")</f>
        <v>ювелірні вироби</v>
      </c>
      <c r="D470" s="16" t="str">
        <f>IFERROR(__xludf.DUMMYFUNCTION("""COMPUTED_VALUE"""),"ювелірні вироби з золота")</f>
        <v>ювелірні вироби з золота</v>
      </c>
      <c r="E470" s="16" t="str">
        <f>IFERROR(__xludf.DUMMYFUNCTION("""COMPUTED_VALUE"""),"золоті кольє")</f>
        <v>золоті кольє</v>
      </c>
      <c r="F470" s="17">
        <f>IFERROR(__xludf.DUMMYFUNCTION("""COMPUTED_VALUE"""),4.0)</f>
        <v>4</v>
      </c>
      <c r="G470" s="17" t="str">
        <f>IFERROR(__xludf.DUMMYFUNCTION("""COMPUTED_VALUE"""),"15090208")</f>
        <v>15090208</v>
      </c>
      <c r="H470" s="17" t="str">
        <f>IFERROR(__xludf.DUMMYFUNCTION("""COMPUTED_VALUE"""),"золоті кольє")</f>
        <v>золоті кольє</v>
      </c>
      <c r="I470" s="19">
        <f>IFERROR(__xludf.DUMMYFUNCTION("""COMPUTED_VALUE"""),0.0948)</f>
        <v>0.0948</v>
      </c>
      <c r="J470" s="19">
        <f>IFERROR(__xludf.DUMMYFUNCTION("""COMPUTED_VALUE"""),0.1896)</f>
        <v>0.1896</v>
      </c>
      <c r="K470" s="19">
        <f>IFERROR(__xludf.DUMMYFUNCTION("""COMPUTED_VALUE"""),0.237)</f>
        <v>0.237</v>
      </c>
      <c r="L470" s="19">
        <f>IFERROR(__xludf.DUMMYFUNCTION("""COMPUTED_VALUE"""),0.2844)</f>
        <v>0.2844</v>
      </c>
      <c r="M470" s="18">
        <f>IFERROR(__xludf.DUMMYFUNCTION("""COMPUTED_VALUE"""),1.53)</f>
        <v>1.53</v>
      </c>
    </row>
    <row r="471">
      <c r="A471" s="13" t="str">
        <f>IFERROR(__xludf.DUMMYFUNCTION("""COMPUTED_VALUE"""),"товари")</f>
        <v>товари</v>
      </c>
      <c r="B471" s="16" t="str">
        <f>IFERROR(__xludf.DUMMYFUNCTION("""COMPUTED_VALUE"""),"аксесуари та прикраси")</f>
        <v>аксесуари та прикраси</v>
      </c>
      <c r="C471" s="16" t="str">
        <f>IFERROR(__xludf.DUMMYFUNCTION("""COMPUTED_VALUE"""),"ювелірні вироби")</f>
        <v>ювелірні вироби</v>
      </c>
      <c r="D471" s="16" t="str">
        <f>IFERROR(__xludf.DUMMYFUNCTION("""COMPUTED_VALUE"""),"ювелірні вироби з золота")</f>
        <v>ювелірні вироби з золота</v>
      </c>
      <c r="E471" s="16" t="str">
        <f>IFERROR(__xludf.DUMMYFUNCTION("""COMPUTED_VALUE"""),"золоті кулони")</f>
        <v>золоті кулони</v>
      </c>
      <c r="F471" s="17">
        <f>IFERROR(__xludf.DUMMYFUNCTION("""COMPUTED_VALUE"""),4.0)</f>
        <v>4</v>
      </c>
      <c r="G471" s="17" t="str">
        <f>IFERROR(__xludf.DUMMYFUNCTION("""COMPUTED_VALUE"""),"15090204")</f>
        <v>15090204</v>
      </c>
      <c r="H471" s="17" t="str">
        <f>IFERROR(__xludf.DUMMYFUNCTION("""COMPUTED_VALUE"""),"золоті кулони")</f>
        <v>золоті кулони</v>
      </c>
      <c r="I471" s="19">
        <f>IFERROR(__xludf.DUMMYFUNCTION("""COMPUTED_VALUE"""),0.0927)</f>
        <v>0.0927</v>
      </c>
      <c r="J471" s="19">
        <f>IFERROR(__xludf.DUMMYFUNCTION("""COMPUTED_VALUE"""),0.1853)</f>
        <v>0.1853</v>
      </c>
      <c r="K471" s="19">
        <f>IFERROR(__xludf.DUMMYFUNCTION("""COMPUTED_VALUE"""),0.2316)</f>
        <v>0.2316</v>
      </c>
      <c r="L471" s="19">
        <f>IFERROR(__xludf.DUMMYFUNCTION("""COMPUTED_VALUE"""),0.278)</f>
        <v>0.278</v>
      </c>
      <c r="M471" s="18">
        <f>IFERROR(__xludf.DUMMYFUNCTION("""COMPUTED_VALUE"""),1.53)</f>
        <v>1.53</v>
      </c>
    </row>
    <row r="472">
      <c r="A472" s="13" t="str">
        <f>IFERROR(__xludf.DUMMYFUNCTION("""COMPUTED_VALUE"""),"товари")</f>
        <v>товари</v>
      </c>
      <c r="B472" s="16" t="str">
        <f>IFERROR(__xludf.DUMMYFUNCTION("""COMPUTED_VALUE"""),"аксесуари та прикраси")</f>
        <v>аксесуари та прикраси</v>
      </c>
      <c r="C472" s="16" t="str">
        <f>IFERROR(__xludf.DUMMYFUNCTION("""COMPUTED_VALUE"""),"ювелірні вироби")</f>
        <v>ювелірні вироби</v>
      </c>
      <c r="D472" s="16" t="str">
        <f>IFERROR(__xludf.DUMMYFUNCTION("""COMPUTED_VALUE"""),"ювелірні вироби з золота")</f>
        <v>ювелірні вироби з золота</v>
      </c>
      <c r="E472" s="16" t="str">
        <f>IFERROR(__xludf.DUMMYFUNCTION("""COMPUTED_VALUE"""),"золоті ланцюжки")</f>
        <v>золоті ланцюжки</v>
      </c>
      <c r="F472" s="17">
        <f>IFERROR(__xludf.DUMMYFUNCTION("""COMPUTED_VALUE"""),4.0)</f>
        <v>4</v>
      </c>
      <c r="G472" s="17" t="str">
        <f>IFERROR(__xludf.DUMMYFUNCTION("""COMPUTED_VALUE"""),"15090206")</f>
        <v>15090206</v>
      </c>
      <c r="H472" s="17" t="str">
        <f>IFERROR(__xludf.DUMMYFUNCTION("""COMPUTED_VALUE"""),"золоті ланцюжки")</f>
        <v>золоті ланцюжки</v>
      </c>
      <c r="I472" s="19">
        <f>IFERROR(__xludf.DUMMYFUNCTION("""COMPUTED_VALUE"""),0.0855)</f>
        <v>0.0855</v>
      </c>
      <c r="J472" s="19">
        <f>IFERROR(__xludf.DUMMYFUNCTION("""COMPUTED_VALUE"""),0.171)</f>
        <v>0.171</v>
      </c>
      <c r="K472" s="19">
        <f>IFERROR(__xludf.DUMMYFUNCTION("""COMPUTED_VALUE"""),0.2138)</f>
        <v>0.2138</v>
      </c>
      <c r="L472" s="19">
        <f>IFERROR(__xludf.DUMMYFUNCTION("""COMPUTED_VALUE"""),0.2565)</f>
        <v>0.2565</v>
      </c>
      <c r="M472" s="18">
        <f>IFERROR(__xludf.DUMMYFUNCTION("""COMPUTED_VALUE"""),1.53)</f>
        <v>1.53</v>
      </c>
    </row>
    <row r="473">
      <c r="A473" s="13" t="str">
        <f>IFERROR(__xludf.DUMMYFUNCTION("""COMPUTED_VALUE"""),"товари")</f>
        <v>товари</v>
      </c>
      <c r="B473" s="16" t="str">
        <f>IFERROR(__xludf.DUMMYFUNCTION("""COMPUTED_VALUE"""),"аксесуари та прикраси")</f>
        <v>аксесуари та прикраси</v>
      </c>
      <c r="C473" s="16" t="str">
        <f>IFERROR(__xludf.DUMMYFUNCTION("""COMPUTED_VALUE"""),"ювелірні вироби")</f>
        <v>ювелірні вироби</v>
      </c>
      <c r="D473" s="16" t="str">
        <f>IFERROR(__xludf.DUMMYFUNCTION("""COMPUTED_VALUE"""),"ювелірні вироби з золота")</f>
        <v>ювелірні вироби з золота</v>
      </c>
      <c r="E473" s="16" t="str">
        <f>IFERROR(__xludf.DUMMYFUNCTION("""COMPUTED_VALUE"""),"золоті сережки")</f>
        <v>золоті сережки</v>
      </c>
      <c r="F473" s="17">
        <f>IFERROR(__xludf.DUMMYFUNCTION("""COMPUTED_VALUE"""),4.0)</f>
        <v>4</v>
      </c>
      <c r="G473" s="17" t="str">
        <f>IFERROR(__xludf.DUMMYFUNCTION("""COMPUTED_VALUE"""),"15090202")</f>
        <v>15090202</v>
      </c>
      <c r="H473" s="17" t="str">
        <f>IFERROR(__xludf.DUMMYFUNCTION("""COMPUTED_VALUE"""),"золоті сережки")</f>
        <v>золоті сережки</v>
      </c>
      <c r="I473" s="19">
        <f>IFERROR(__xludf.DUMMYFUNCTION("""COMPUTED_VALUE"""),0.0894)</f>
        <v>0.0894</v>
      </c>
      <c r="J473" s="19">
        <f>IFERROR(__xludf.DUMMYFUNCTION("""COMPUTED_VALUE"""),0.1788)</f>
        <v>0.1788</v>
      </c>
      <c r="K473" s="19">
        <f>IFERROR(__xludf.DUMMYFUNCTION("""COMPUTED_VALUE"""),0.2235)</f>
        <v>0.2235</v>
      </c>
      <c r="L473" s="19">
        <f>IFERROR(__xludf.DUMMYFUNCTION("""COMPUTED_VALUE"""),0.2682)</f>
        <v>0.2682</v>
      </c>
      <c r="M473" s="18">
        <f>IFERROR(__xludf.DUMMYFUNCTION("""COMPUTED_VALUE"""),1.53)</f>
        <v>1.53</v>
      </c>
    </row>
    <row r="474">
      <c r="A474" s="13" t="str">
        <f>IFERROR(__xludf.DUMMYFUNCTION("""COMPUTED_VALUE"""),"товари")</f>
        <v>товари</v>
      </c>
      <c r="B474" s="16" t="str">
        <f>IFERROR(__xludf.DUMMYFUNCTION("""COMPUTED_VALUE"""),"аксесуари та прикраси")</f>
        <v>аксесуари та прикраси</v>
      </c>
      <c r="C474" s="16" t="str">
        <f>IFERROR(__xludf.DUMMYFUNCTION("""COMPUTED_VALUE"""),"aксесуари")</f>
        <v>aксесуари</v>
      </c>
      <c r="D474" s="16" t="str">
        <f>IFERROR(__xludf.DUMMYFUNCTION("""COMPUTED_VALUE"""),"головні убори")</f>
        <v>головні убори</v>
      </c>
      <c r="E474" s="16" t="str">
        <f>IFERROR(__xludf.DUMMYFUNCTION("""COMPUTED_VALUE"""),"капелюхи")</f>
        <v>капелюхи</v>
      </c>
      <c r="F474" s="17">
        <f>IFERROR(__xludf.DUMMYFUNCTION("""COMPUTED_VALUE"""),4.0)</f>
        <v>4</v>
      </c>
      <c r="G474" s="17" t="str">
        <f>IFERROR(__xludf.DUMMYFUNCTION("""COMPUTED_VALUE"""),"32715")</f>
        <v>32715</v>
      </c>
      <c r="H474" s="17" t="str">
        <f>IFERROR(__xludf.DUMMYFUNCTION("""COMPUTED_VALUE"""),"капелюхи")</f>
        <v>капелюхи</v>
      </c>
      <c r="I474" s="19">
        <f>IFERROR(__xludf.DUMMYFUNCTION("""COMPUTED_VALUE"""),0.1006)</f>
        <v>0.1006</v>
      </c>
      <c r="J474" s="19">
        <f>IFERROR(__xludf.DUMMYFUNCTION("""COMPUTED_VALUE"""),0.2011)</f>
        <v>0.2011</v>
      </c>
      <c r="K474" s="19">
        <f>IFERROR(__xludf.DUMMYFUNCTION("""COMPUTED_VALUE"""),0.2514)</f>
        <v>0.2514</v>
      </c>
      <c r="L474" s="19">
        <f>IFERROR(__xludf.DUMMYFUNCTION("""COMPUTED_VALUE"""),0.3017)</f>
        <v>0.3017</v>
      </c>
      <c r="M474" s="18">
        <f>IFERROR(__xludf.DUMMYFUNCTION("""COMPUTED_VALUE"""),1.63)</f>
        <v>1.63</v>
      </c>
    </row>
    <row r="475">
      <c r="A475" s="13" t="str">
        <f>IFERROR(__xludf.DUMMYFUNCTION("""COMPUTED_VALUE"""),"товари")</f>
        <v>товари</v>
      </c>
      <c r="B475" s="16" t="str">
        <f>IFERROR(__xludf.DUMMYFUNCTION("""COMPUTED_VALUE"""),"аксесуари та прикраси")</f>
        <v>аксесуари та прикраси</v>
      </c>
      <c r="C475" s="16" t="str">
        <f>IFERROR(__xludf.DUMMYFUNCTION("""COMPUTED_VALUE"""),"біжутерія")</f>
        <v>біжутерія</v>
      </c>
      <c r="D475" s="16" t="str">
        <f>IFERROR(__xludf.DUMMYFUNCTION("""COMPUTED_VALUE"""),"кільця та ​​персні")</f>
        <v>кільця та ​​персні</v>
      </c>
      <c r="E475" s="16" t="str">
        <f>IFERROR(__xludf.DUMMYFUNCTION("""COMPUTED_VALUE"""),"кільця та ​​персні")</f>
        <v>кільця та ​​персні</v>
      </c>
      <c r="F475" s="17">
        <f>IFERROR(__xludf.DUMMYFUNCTION("""COMPUTED_VALUE"""),3.0)</f>
        <v>3</v>
      </c>
      <c r="G475" s="17" t="str">
        <f>IFERROR(__xludf.DUMMYFUNCTION("""COMPUTED_VALUE"""),"36090309")</f>
        <v>36090309</v>
      </c>
      <c r="H475" s="17" t="str">
        <f>IFERROR(__xludf.DUMMYFUNCTION("""COMPUTED_VALUE"""),"кільця та ​​персні")</f>
        <v>кільця та ​​персні</v>
      </c>
      <c r="I475" s="19">
        <f>IFERROR(__xludf.DUMMYFUNCTION("""COMPUTED_VALUE"""),0.0824)</f>
        <v>0.0824</v>
      </c>
      <c r="J475" s="19">
        <f>IFERROR(__xludf.DUMMYFUNCTION("""COMPUTED_VALUE"""),0.1648)</f>
        <v>0.1648</v>
      </c>
      <c r="K475" s="19">
        <f>IFERROR(__xludf.DUMMYFUNCTION("""COMPUTED_VALUE"""),0.206)</f>
        <v>0.206</v>
      </c>
      <c r="L475" s="19">
        <f>IFERROR(__xludf.DUMMYFUNCTION("""COMPUTED_VALUE"""),0.2472)</f>
        <v>0.2472</v>
      </c>
      <c r="M475" s="18">
        <f>IFERROR(__xludf.DUMMYFUNCTION("""COMPUTED_VALUE"""),1.05)</f>
        <v>1.05</v>
      </c>
    </row>
    <row r="476">
      <c r="A476" s="13" t="str">
        <f>IFERROR(__xludf.DUMMYFUNCTION("""COMPUTED_VALUE"""),"товари")</f>
        <v>товари</v>
      </c>
      <c r="B476" s="16" t="str">
        <f>IFERROR(__xludf.DUMMYFUNCTION("""COMPUTED_VALUE"""),"аксесуари та прикраси")</f>
        <v>аксесуари та прикраси</v>
      </c>
      <c r="C476" s="16" t="str">
        <f>IFERROR(__xludf.DUMMYFUNCTION("""COMPUTED_VALUE"""),"біжутерія")</f>
        <v>біжутерія</v>
      </c>
      <c r="D476" s="16" t="str">
        <f>IFERROR(__xludf.DUMMYFUNCTION("""COMPUTED_VALUE"""),"кольє та намисто")</f>
        <v>кольє та намисто</v>
      </c>
      <c r="E476" s="16" t="str">
        <f>IFERROR(__xludf.DUMMYFUNCTION("""COMPUTED_VALUE"""),"кольє та намисто")</f>
        <v>кольє та намисто</v>
      </c>
      <c r="F476" s="17">
        <f>IFERROR(__xludf.DUMMYFUNCTION("""COMPUTED_VALUE"""),3.0)</f>
        <v>3</v>
      </c>
      <c r="G476" s="17" t="str">
        <f>IFERROR(__xludf.DUMMYFUNCTION("""COMPUTED_VALUE"""),"36090308")</f>
        <v>36090308</v>
      </c>
      <c r="H476" s="17" t="str">
        <f>IFERROR(__xludf.DUMMYFUNCTION("""COMPUTED_VALUE"""),"кольє та намисто")</f>
        <v>кольє та намисто</v>
      </c>
      <c r="I476" s="19">
        <f>IFERROR(__xludf.DUMMYFUNCTION("""COMPUTED_VALUE"""),0.0995)</f>
        <v>0.0995</v>
      </c>
      <c r="J476" s="19">
        <f>IFERROR(__xludf.DUMMYFUNCTION("""COMPUTED_VALUE"""),0.1989)</f>
        <v>0.1989</v>
      </c>
      <c r="K476" s="19">
        <f>IFERROR(__xludf.DUMMYFUNCTION("""COMPUTED_VALUE"""),0.2486)</f>
        <v>0.2486</v>
      </c>
      <c r="L476" s="19">
        <f>IFERROR(__xludf.DUMMYFUNCTION("""COMPUTED_VALUE"""),0.2984)</f>
        <v>0.2984</v>
      </c>
      <c r="M476" s="18">
        <f>IFERROR(__xludf.DUMMYFUNCTION("""COMPUTED_VALUE"""),1.05)</f>
        <v>1.05</v>
      </c>
    </row>
    <row r="477">
      <c r="A477" s="13" t="str">
        <f>IFERROR(__xludf.DUMMYFUNCTION("""COMPUTED_VALUE"""),"товари")</f>
        <v>товари</v>
      </c>
      <c r="B477" s="16" t="str">
        <f>IFERROR(__xludf.DUMMYFUNCTION("""COMPUTED_VALUE"""),"аксесуари та прикраси")</f>
        <v>аксесуари та прикраси</v>
      </c>
      <c r="C477" s="16" t="str">
        <f>IFERROR(__xludf.DUMMYFUNCTION("""COMPUTED_VALUE"""),"aксесуари")</f>
        <v>aксесуари</v>
      </c>
      <c r="D477" s="16" t="str">
        <f>IFERROR(__xludf.DUMMYFUNCTION("""COMPUTED_VALUE"""),"коміри і манжети")</f>
        <v>коміри і манжети</v>
      </c>
      <c r="E477" s="16" t="str">
        <f>IFERROR(__xludf.DUMMYFUNCTION("""COMPUTED_VALUE"""),"коміри і манжети")</f>
        <v>коміри і манжети</v>
      </c>
      <c r="F477" s="17">
        <f>IFERROR(__xludf.DUMMYFUNCTION("""COMPUTED_VALUE"""),3.0)</f>
        <v>3</v>
      </c>
      <c r="G477" s="17" t="str">
        <f>IFERROR(__xludf.DUMMYFUNCTION("""COMPUTED_VALUE"""),"33908")</f>
        <v>33908</v>
      </c>
      <c r="H477" s="17" t="str">
        <f>IFERROR(__xludf.DUMMYFUNCTION("""COMPUTED_VALUE"""),"коміри і манжети")</f>
        <v>коміри і манжети</v>
      </c>
      <c r="I477" s="19">
        <f>IFERROR(__xludf.DUMMYFUNCTION("""COMPUTED_VALUE"""),0.099)</f>
        <v>0.099</v>
      </c>
      <c r="J477" s="19">
        <f>IFERROR(__xludf.DUMMYFUNCTION("""COMPUTED_VALUE"""),0.1979)</f>
        <v>0.1979</v>
      </c>
      <c r="K477" s="19">
        <f>IFERROR(__xludf.DUMMYFUNCTION("""COMPUTED_VALUE"""),0.2474)</f>
        <v>0.2474</v>
      </c>
      <c r="L477" s="19">
        <f>IFERROR(__xludf.DUMMYFUNCTION("""COMPUTED_VALUE"""),0.2969)</f>
        <v>0.2969</v>
      </c>
      <c r="M477" s="18">
        <f>IFERROR(__xludf.DUMMYFUNCTION("""COMPUTED_VALUE"""),1.05)</f>
        <v>1.05</v>
      </c>
    </row>
    <row r="478">
      <c r="A478" s="13" t="str">
        <f>IFERROR(__xludf.DUMMYFUNCTION("""COMPUTED_VALUE"""),"товари")</f>
        <v>товари</v>
      </c>
      <c r="B478" s="16" t="str">
        <f>IFERROR(__xludf.DUMMYFUNCTION("""COMPUTED_VALUE"""),"аксесуари та прикраси")</f>
        <v>аксесуари та прикраси</v>
      </c>
      <c r="C478" s="16" t="str">
        <f>IFERROR(__xludf.DUMMYFUNCTION("""COMPUTED_VALUE"""),"біжутерія")</f>
        <v>біжутерія</v>
      </c>
      <c r="D478" s="16" t="str">
        <f>IFERROR(__xludf.DUMMYFUNCTION("""COMPUTED_VALUE"""),"комплекти біжутерії")</f>
        <v>комплекти біжутерії</v>
      </c>
      <c r="E478" s="16" t="str">
        <f>IFERROR(__xludf.DUMMYFUNCTION("""COMPUTED_VALUE"""),"комплекти біжутерії")</f>
        <v>комплекти біжутерії</v>
      </c>
      <c r="F478" s="17">
        <f>IFERROR(__xludf.DUMMYFUNCTION("""COMPUTED_VALUE"""),3.0)</f>
        <v>3</v>
      </c>
      <c r="G478" s="17" t="str">
        <f>IFERROR(__xludf.DUMMYFUNCTION("""COMPUTED_VALUE"""),"36090306")</f>
        <v>36090306</v>
      </c>
      <c r="H478" s="17" t="str">
        <f>IFERROR(__xludf.DUMMYFUNCTION("""COMPUTED_VALUE"""),"комплекти біжутерії")</f>
        <v>комплекти біжутерії</v>
      </c>
      <c r="I478" s="19">
        <f>IFERROR(__xludf.DUMMYFUNCTION("""COMPUTED_VALUE"""),0.0993)</f>
        <v>0.0993</v>
      </c>
      <c r="J478" s="19">
        <f>IFERROR(__xludf.DUMMYFUNCTION("""COMPUTED_VALUE"""),0.1985)</f>
        <v>0.1985</v>
      </c>
      <c r="K478" s="19">
        <f>IFERROR(__xludf.DUMMYFUNCTION("""COMPUTED_VALUE"""),0.2481)</f>
        <v>0.2481</v>
      </c>
      <c r="L478" s="19">
        <f>IFERROR(__xludf.DUMMYFUNCTION("""COMPUTED_VALUE"""),0.2978)</f>
        <v>0.2978</v>
      </c>
      <c r="M478" s="18">
        <f>IFERROR(__xludf.DUMMYFUNCTION("""COMPUTED_VALUE"""),1.05)</f>
        <v>1.05</v>
      </c>
    </row>
    <row r="479">
      <c r="A479" s="13" t="str">
        <f>IFERROR(__xludf.DUMMYFUNCTION("""COMPUTED_VALUE"""),"товари")</f>
        <v>товари</v>
      </c>
      <c r="B479" s="16" t="str">
        <f>IFERROR(__xludf.DUMMYFUNCTION("""COMPUTED_VALUE"""),"аксесуари та прикраси")</f>
        <v>аксесуари та прикраси</v>
      </c>
      <c r="C479" s="16" t="str">
        <f>IFERROR(__xludf.DUMMYFUNCTION("""COMPUTED_VALUE"""),"ювелірні вироби")</f>
        <v>ювелірні вироби</v>
      </c>
      <c r="D479" s="16" t="str">
        <f>IFERROR(__xludf.DUMMYFUNCTION("""COMPUTED_VALUE"""),"ювелірні вироби з золота")</f>
        <v>ювелірні вироби з золота</v>
      </c>
      <c r="E479" s="16" t="str">
        <f>IFERROR(__xludf.DUMMYFUNCTION("""COMPUTED_VALUE"""),"комплекти прикрас з золота")</f>
        <v>комплекти прикрас з золота</v>
      </c>
      <c r="F479" s="17">
        <f>IFERROR(__xludf.DUMMYFUNCTION("""COMPUTED_VALUE"""),4.0)</f>
        <v>4</v>
      </c>
      <c r="G479" s="17" t="str">
        <f>IFERROR(__xludf.DUMMYFUNCTION("""COMPUTED_VALUE"""),"15090210")</f>
        <v>15090210</v>
      </c>
      <c r="H479" s="17" t="str">
        <f>IFERROR(__xludf.DUMMYFUNCTION("""COMPUTED_VALUE"""),"комплекти прикрас з золота")</f>
        <v>комплекти прикрас з золота</v>
      </c>
      <c r="I479" s="19">
        <f>IFERROR(__xludf.DUMMYFUNCTION("""COMPUTED_VALUE"""),0.081)</f>
        <v>0.081</v>
      </c>
      <c r="J479" s="19">
        <f>IFERROR(__xludf.DUMMYFUNCTION("""COMPUTED_VALUE"""),0.1619)</f>
        <v>0.1619</v>
      </c>
      <c r="K479" s="19">
        <f>IFERROR(__xludf.DUMMYFUNCTION("""COMPUTED_VALUE"""),0.2024)</f>
        <v>0.2024</v>
      </c>
      <c r="L479" s="19">
        <f>IFERROR(__xludf.DUMMYFUNCTION("""COMPUTED_VALUE"""),0.2429)</f>
        <v>0.2429</v>
      </c>
      <c r="M479" s="18">
        <f>IFERROR(__xludf.DUMMYFUNCTION("""COMPUTED_VALUE"""),1.53)</f>
        <v>1.53</v>
      </c>
    </row>
    <row r="480">
      <c r="A480" s="13" t="str">
        <f>IFERROR(__xludf.DUMMYFUNCTION("""COMPUTED_VALUE"""),"товари")</f>
        <v>товари</v>
      </c>
      <c r="B480" s="16" t="str">
        <f>IFERROR(__xludf.DUMMYFUNCTION("""COMPUTED_VALUE"""),"аксесуари та прикраси")</f>
        <v>аксесуари та прикраси</v>
      </c>
      <c r="C480" s="16" t="str">
        <f>IFERROR(__xludf.DUMMYFUNCTION("""COMPUTED_VALUE"""),"ювелірні вироби")</f>
        <v>ювелірні вироби</v>
      </c>
      <c r="D480" s="16" t="str">
        <f>IFERROR(__xludf.DUMMYFUNCTION("""COMPUTED_VALUE"""),"ювелірні вироби зі срібла")</f>
        <v>ювелірні вироби зі срібла</v>
      </c>
      <c r="E480" s="16" t="str">
        <f>IFERROR(__xludf.DUMMYFUNCTION("""COMPUTED_VALUE"""),"комплекти прикрас зі срібла")</f>
        <v>комплекти прикрас зі срібла</v>
      </c>
      <c r="F480" s="17">
        <f>IFERROR(__xludf.DUMMYFUNCTION("""COMPUTED_VALUE"""),4.0)</f>
        <v>4</v>
      </c>
      <c r="G480" s="17" t="str">
        <f>IFERROR(__xludf.DUMMYFUNCTION("""COMPUTED_VALUE"""),"15091308")</f>
        <v>15091308</v>
      </c>
      <c r="H480" s="17" t="str">
        <f>IFERROR(__xludf.DUMMYFUNCTION("""COMPUTED_VALUE"""),"комплекти прикрас зі срібла")</f>
        <v>комплекти прикрас зі срібла</v>
      </c>
      <c r="I480" s="19">
        <f>IFERROR(__xludf.DUMMYFUNCTION("""COMPUTED_VALUE"""),0.081)</f>
        <v>0.081</v>
      </c>
      <c r="J480" s="19">
        <f>IFERROR(__xludf.DUMMYFUNCTION("""COMPUTED_VALUE"""),0.162)</f>
        <v>0.162</v>
      </c>
      <c r="K480" s="19">
        <f>IFERROR(__xludf.DUMMYFUNCTION("""COMPUTED_VALUE"""),0.2025)</f>
        <v>0.2025</v>
      </c>
      <c r="L480" s="19">
        <f>IFERROR(__xludf.DUMMYFUNCTION("""COMPUTED_VALUE"""),0.243)</f>
        <v>0.243</v>
      </c>
      <c r="M480" s="18">
        <f>IFERROR(__xludf.DUMMYFUNCTION("""COMPUTED_VALUE"""),3.43)</f>
        <v>3.43</v>
      </c>
    </row>
    <row r="481">
      <c r="A481" s="13" t="str">
        <f>IFERROR(__xludf.DUMMYFUNCTION("""COMPUTED_VALUE"""),"товари")</f>
        <v>товари</v>
      </c>
      <c r="B481" s="16" t="str">
        <f>IFERROR(__xludf.DUMMYFUNCTION("""COMPUTED_VALUE"""),"аксесуари та прикраси")</f>
        <v>аксесуари та прикраси</v>
      </c>
      <c r="C481" s="16" t="str">
        <f>IFERROR(__xludf.DUMMYFUNCTION("""COMPUTED_VALUE"""),"aксесуари")</f>
        <v>aксесуари</v>
      </c>
      <c r="D481" s="16" t="str">
        <f>IFERROR(__xludf.DUMMYFUNCTION("""COMPUTED_VALUE"""),"комплекти шарф-шапка-рукавички")</f>
        <v>комплекти шарф-шапка-рукавички</v>
      </c>
      <c r="E481" s="16" t="str">
        <f>IFERROR(__xludf.DUMMYFUNCTION("""COMPUTED_VALUE"""),"комплекти шарф-шапка-рукавички")</f>
        <v>комплекти шарф-шапка-рукавички</v>
      </c>
      <c r="F481" s="17">
        <f>IFERROR(__xludf.DUMMYFUNCTION("""COMPUTED_VALUE"""),3.0)</f>
        <v>3</v>
      </c>
      <c r="G481" s="17" t="str">
        <f>IFERROR(__xludf.DUMMYFUNCTION("""COMPUTED_VALUE"""),"33906")</f>
        <v>33906</v>
      </c>
      <c r="H481" s="17" t="str">
        <f>IFERROR(__xludf.DUMMYFUNCTION("""COMPUTED_VALUE"""),"комплекти шарф-шапка-рукавички")</f>
        <v>комплекти шарф-шапка-рукавички</v>
      </c>
      <c r="I481" s="19">
        <f>IFERROR(__xludf.DUMMYFUNCTION("""COMPUTED_VALUE"""),0.0945)</f>
        <v>0.0945</v>
      </c>
      <c r="J481" s="19">
        <f>IFERROR(__xludf.DUMMYFUNCTION("""COMPUTED_VALUE"""),0.1889)</f>
        <v>0.1889</v>
      </c>
      <c r="K481" s="19">
        <f>IFERROR(__xludf.DUMMYFUNCTION("""COMPUTED_VALUE"""),0.2361)</f>
        <v>0.2361</v>
      </c>
      <c r="L481" s="19">
        <f>IFERROR(__xludf.DUMMYFUNCTION("""COMPUTED_VALUE"""),0.2834)</f>
        <v>0.2834</v>
      </c>
      <c r="M481" s="18">
        <f>IFERROR(__xludf.DUMMYFUNCTION("""COMPUTED_VALUE"""),1.05)</f>
        <v>1.05</v>
      </c>
    </row>
    <row r="482">
      <c r="A482" s="13" t="str">
        <f>IFERROR(__xludf.DUMMYFUNCTION("""COMPUTED_VALUE"""),"товари")</f>
        <v>товари</v>
      </c>
      <c r="B482" s="16" t="str">
        <f>IFERROR(__xludf.DUMMYFUNCTION("""COMPUTED_VALUE"""),"аксесуари та прикраси")</f>
        <v>аксесуари та прикраси</v>
      </c>
      <c r="C482" s="16" t="str">
        <f>IFERROR(__xludf.DUMMYFUNCTION("""COMPUTED_VALUE"""),"сумки, валізи, портфелі")</f>
        <v>сумки, валізи, портфелі</v>
      </c>
      <c r="D482" s="16" t="str">
        <f>IFERROR(__xludf.DUMMYFUNCTION("""COMPUTED_VALUE"""),"косметички і кейси для косметики")</f>
        <v>косметички і кейси для косметики</v>
      </c>
      <c r="E482" s="16" t="str">
        <f>IFERROR(__xludf.DUMMYFUNCTION("""COMPUTED_VALUE"""),"косметички і кейси для косметики")</f>
        <v>косметички і кейси для косметики</v>
      </c>
      <c r="F482" s="17">
        <f>IFERROR(__xludf.DUMMYFUNCTION("""COMPUTED_VALUE"""),3.0)</f>
        <v>3</v>
      </c>
      <c r="G482" s="17" t="str">
        <f>IFERROR(__xludf.DUMMYFUNCTION("""COMPUTED_VALUE"""),"152407")</f>
        <v>152407</v>
      </c>
      <c r="H482" s="17" t="str">
        <f>IFERROR(__xludf.DUMMYFUNCTION("""COMPUTED_VALUE"""),"косметички і кейси для косметики")</f>
        <v>косметички і кейси для косметики</v>
      </c>
      <c r="I482" s="19">
        <f>IFERROR(__xludf.DUMMYFUNCTION("""COMPUTED_VALUE"""),0.0993)</f>
        <v>0.0993</v>
      </c>
      <c r="J482" s="19">
        <f>IFERROR(__xludf.DUMMYFUNCTION("""COMPUTED_VALUE"""),0.1985)</f>
        <v>0.1985</v>
      </c>
      <c r="K482" s="19">
        <f>IFERROR(__xludf.DUMMYFUNCTION("""COMPUTED_VALUE"""),0.2481)</f>
        <v>0.2481</v>
      </c>
      <c r="L482" s="19">
        <f>IFERROR(__xludf.DUMMYFUNCTION("""COMPUTED_VALUE"""),0.2978)</f>
        <v>0.2978</v>
      </c>
      <c r="M482" s="18">
        <f>IFERROR(__xludf.DUMMYFUNCTION("""COMPUTED_VALUE"""),1.98)</f>
        <v>1.98</v>
      </c>
    </row>
    <row r="483">
      <c r="A483" s="13" t="str">
        <f>IFERROR(__xludf.DUMMYFUNCTION("""COMPUTED_VALUE"""),"товари")</f>
        <v>товари</v>
      </c>
      <c r="B483" s="16" t="str">
        <f>IFERROR(__xludf.DUMMYFUNCTION("""COMPUTED_VALUE"""),"аксесуари та прикраси")</f>
        <v>аксесуари та прикраси</v>
      </c>
      <c r="C483" s="16" t="str">
        <f>IFERROR(__xludf.DUMMYFUNCTION("""COMPUTED_VALUE"""),"aксесуари")</f>
        <v>aксесуари</v>
      </c>
      <c r="D483" s="16" t="str">
        <f>IFERROR(__xludf.DUMMYFUNCTION("""COMPUTED_VALUE"""),"краватки та краватки-метелики")</f>
        <v>краватки та краватки-метелики</v>
      </c>
      <c r="E483" s="16" t="str">
        <f>IFERROR(__xludf.DUMMYFUNCTION("""COMPUTED_VALUE"""),"краватки та краватки-метелики")</f>
        <v>краватки та краватки-метелики</v>
      </c>
      <c r="F483" s="17">
        <f>IFERROR(__xludf.DUMMYFUNCTION("""COMPUTED_VALUE"""),3.0)</f>
        <v>3</v>
      </c>
      <c r="G483" s="17" t="str">
        <f>IFERROR(__xludf.DUMMYFUNCTION("""COMPUTED_VALUE"""),"3261")</f>
        <v>3261</v>
      </c>
      <c r="H483" s="17" t="str">
        <f>IFERROR(__xludf.DUMMYFUNCTION("""COMPUTED_VALUE"""),"краватки та краватки-метелики")</f>
        <v>краватки та краватки-метелики</v>
      </c>
      <c r="I483" s="19">
        <f>IFERROR(__xludf.DUMMYFUNCTION("""COMPUTED_VALUE"""),0.0983)</f>
        <v>0.0983</v>
      </c>
      <c r="J483" s="19">
        <f>IFERROR(__xludf.DUMMYFUNCTION("""COMPUTED_VALUE"""),0.1966)</f>
        <v>0.1966</v>
      </c>
      <c r="K483" s="19">
        <f>IFERROR(__xludf.DUMMYFUNCTION("""COMPUTED_VALUE"""),0.2458)</f>
        <v>0.2458</v>
      </c>
      <c r="L483" s="19">
        <f>IFERROR(__xludf.DUMMYFUNCTION("""COMPUTED_VALUE"""),0.2949)</f>
        <v>0.2949</v>
      </c>
      <c r="M483" s="18">
        <f>IFERROR(__xludf.DUMMYFUNCTION("""COMPUTED_VALUE"""),1.26)</f>
        <v>1.26</v>
      </c>
    </row>
    <row r="484">
      <c r="A484" s="13" t="str">
        <f>IFERROR(__xludf.DUMMYFUNCTION("""COMPUTED_VALUE"""),"товари")</f>
        <v>товари</v>
      </c>
      <c r="B484" s="16" t="str">
        <f>IFERROR(__xludf.DUMMYFUNCTION("""COMPUTED_VALUE"""),"аксесуари та прикраси")</f>
        <v>аксесуари та прикраси</v>
      </c>
      <c r="C484" s="16" t="str">
        <f>IFERROR(__xludf.DUMMYFUNCTION("""COMPUTED_VALUE"""),"біжутерія")</f>
        <v>біжутерія</v>
      </c>
      <c r="D484" s="16" t="str">
        <f>IFERROR(__xludf.DUMMYFUNCTION("""COMPUTED_VALUE"""),"кулони")</f>
        <v>кулони</v>
      </c>
      <c r="E484" s="16" t="str">
        <f>IFERROR(__xludf.DUMMYFUNCTION("""COMPUTED_VALUE"""),"кулони")</f>
        <v>кулони</v>
      </c>
      <c r="F484" s="17">
        <f>IFERROR(__xludf.DUMMYFUNCTION("""COMPUTED_VALUE"""),3.0)</f>
        <v>3</v>
      </c>
      <c r="G484" s="17" t="str">
        <f>IFERROR(__xludf.DUMMYFUNCTION("""COMPUTED_VALUE"""),"15090303")</f>
        <v>15090303</v>
      </c>
      <c r="H484" s="17" t="str">
        <f>IFERROR(__xludf.DUMMYFUNCTION("""COMPUTED_VALUE"""),"кулони")</f>
        <v>кулони</v>
      </c>
      <c r="I484" s="19">
        <f>IFERROR(__xludf.DUMMYFUNCTION("""COMPUTED_VALUE"""),0.1002)</f>
        <v>0.1002</v>
      </c>
      <c r="J484" s="19">
        <f>IFERROR(__xludf.DUMMYFUNCTION("""COMPUTED_VALUE"""),0.2004)</f>
        <v>0.2004</v>
      </c>
      <c r="K484" s="19">
        <f>IFERROR(__xludf.DUMMYFUNCTION("""COMPUTED_VALUE"""),0.2505)</f>
        <v>0.2505</v>
      </c>
      <c r="L484" s="19">
        <f>IFERROR(__xludf.DUMMYFUNCTION("""COMPUTED_VALUE"""),0.3006)</f>
        <v>0.3006</v>
      </c>
      <c r="M484" s="18">
        <f>IFERROR(__xludf.DUMMYFUNCTION("""COMPUTED_VALUE"""),1.05)</f>
        <v>1.05</v>
      </c>
    </row>
    <row r="485">
      <c r="A485" s="13" t="str">
        <f>IFERROR(__xludf.DUMMYFUNCTION("""COMPUTED_VALUE"""),"товари")</f>
        <v>товари</v>
      </c>
      <c r="B485" s="16" t="str">
        <f>IFERROR(__xludf.DUMMYFUNCTION("""COMPUTED_VALUE"""),"аксесуари та прикраси")</f>
        <v>аксесуари та прикраси</v>
      </c>
      <c r="C485" s="16" t="str">
        <f>IFERROR(__xludf.DUMMYFUNCTION("""COMPUTED_VALUE"""),"прикраси з натурального каменю")</f>
        <v>прикраси з натурального каменю</v>
      </c>
      <c r="D485" s="16" t="str">
        <f>IFERROR(__xludf.DUMMYFUNCTION("""COMPUTED_VALUE"""),"кулони із натуральним камінням")</f>
        <v>кулони із натуральним камінням</v>
      </c>
      <c r="E485" s="16" t="str">
        <f>IFERROR(__xludf.DUMMYFUNCTION("""COMPUTED_VALUE"""),"кулони із натуральним камінням")</f>
        <v>кулони із натуральним камінням</v>
      </c>
      <c r="F485" s="17">
        <f>IFERROR(__xludf.DUMMYFUNCTION("""COMPUTED_VALUE"""),3.0)</f>
        <v>3</v>
      </c>
      <c r="G485" s="17" t="str">
        <f>IFERROR(__xludf.DUMMYFUNCTION("""COMPUTED_VALUE"""),"1360513")</f>
        <v>1360513</v>
      </c>
      <c r="H485" s="17" t="str">
        <f>IFERROR(__xludf.DUMMYFUNCTION("""COMPUTED_VALUE"""),"кулони із натуральним камінням")</f>
        <v>кулони із натуральним камінням</v>
      </c>
      <c r="I485" s="19">
        <f>IFERROR(__xludf.DUMMYFUNCTION("""COMPUTED_VALUE"""),0.0632)</f>
        <v>0.0632</v>
      </c>
      <c r="J485" s="19">
        <f>IFERROR(__xludf.DUMMYFUNCTION("""COMPUTED_VALUE"""),0.1263)</f>
        <v>0.1263</v>
      </c>
      <c r="K485" s="19">
        <f>IFERROR(__xludf.DUMMYFUNCTION("""COMPUTED_VALUE"""),0.1579)</f>
        <v>0.1579</v>
      </c>
      <c r="L485" s="19">
        <f>IFERROR(__xludf.DUMMYFUNCTION("""COMPUTED_VALUE"""),0.1895)</f>
        <v>0.1895</v>
      </c>
      <c r="M485" s="18">
        <f>IFERROR(__xludf.DUMMYFUNCTION("""COMPUTED_VALUE"""),1.05)</f>
        <v>1.05</v>
      </c>
    </row>
    <row r="486">
      <c r="A486" s="13" t="str">
        <f>IFERROR(__xludf.DUMMYFUNCTION("""COMPUTED_VALUE"""),"товари")</f>
        <v>товари</v>
      </c>
      <c r="B486" s="16" t="str">
        <f>IFERROR(__xludf.DUMMYFUNCTION("""COMPUTED_VALUE"""),"аксесуари та прикраси")</f>
        <v>аксесуари та прикраси</v>
      </c>
      <c r="C486" s="16" t="str">
        <f>IFERROR(__xludf.DUMMYFUNCTION("""COMPUTED_VALUE"""),"aксесуари")</f>
        <v>aксесуари</v>
      </c>
      <c r="D486" s="16" t="str">
        <f>IFERROR(__xludf.DUMMYFUNCTION("""COMPUTED_VALUE"""),"маски для сну")</f>
        <v>маски для сну</v>
      </c>
      <c r="E486" s="16" t="str">
        <f>IFERROR(__xludf.DUMMYFUNCTION("""COMPUTED_VALUE"""),"маски для сну")</f>
        <v>маски для сну</v>
      </c>
      <c r="F486" s="17">
        <f>IFERROR(__xludf.DUMMYFUNCTION("""COMPUTED_VALUE"""),3.0)</f>
        <v>3</v>
      </c>
      <c r="G486" s="17" t="str">
        <f>IFERROR(__xludf.DUMMYFUNCTION("""COMPUTED_VALUE"""),"32602")</f>
        <v>32602</v>
      </c>
      <c r="H486" s="17" t="str">
        <f>IFERROR(__xludf.DUMMYFUNCTION("""COMPUTED_VALUE"""),"маски для сну")</f>
        <v>маски для сну</v>
      </c>
      <c r="I486" s="19">
        <f>IFERROR(__xludf.DUMMYFUNCTION("""COMPUTED_VALUE"""),0.0998)</f>
        <v>0.0998</v>
      </c>
      <c r="J486" s="19">
        <f>IFERROR(__xludf.DUMMYFUNCTION("""COMPUTED_VALUE"""),0.1995)</f>
        <v>0.1995</v>
      </c>
      <c r="K486" s="19">
        <f>IFERROR(__xludf.DUMMYFUNCTION("""COMPUTED_VALUE"""),0.2494)</f>
        <v>0.2494</v>
      </c>
      <c r="L486" s="19">
        <f>IFERROR(__xludf.DUMMYFUNCTION("""COMPUTED_VALUE"""),0.2993)</f>
        <v>0.2993</v>
      </c>
      <c r="M486" s="18">
        <f>IFERROR(__xludf.DUMMYFUNCTION("""COMPUTED_VALUE"""),1.71)</f>
        <v>1.71</v>
      </c>
    </row>
    <row r="487">
      <c r="A487" s="13" t="str">
        <f>IFERROR(__xludf.DUMMYFUNCTION("""COMPUTED_VALUE"""),"товари")</f>
        <v>товари</v>
      </c>
      <c r="B487" s="16" t="str">
        <f>IFERROR(__xludf.DUMMYFUNCTION("""COMPUTED_VALUE"""),"аксесуари та прикраси")</f>
        <v>аксесуари та прикраси</v>
      </c>
      <c r="C487" s="16" t="str">
        <f>IFERROR(__xludf.DUMMYFUNCTION("""COMPUTED_VALUE"""),"ювелірні вироби")</f>
        <v>ювелірні вироби</v>
      </c>
      <c r="D487" s="16" t="str">
        <f>IFERROR(__xludf.DUMMYFUNCTION("""COMPUTED_VALUE"""),"намиста і браслети з дорогоцінних каменів")</f>
        <v>намиста і браслети з дорогоцінних каменів</v>
      </c>
      <c r="E487" s="16" t="str">
        <f>IFERROR(__xludf.DUMMYFUNCTION("""COMPUTED_VALUE"""),"намиста і браслети з дорогоцінних каменів")</f>
        <v>намиста і браслети з дорогоцінних каменів</v>
      </c>
      <c r="F487" s="17">
        <f>IFERROR(__xludf.DUMMYFUNCTION("""COMPUTED_VALUE"""),3.0)</f>
        <v>3</v>
      </c>
      <c r="G487" s="17" t="str">
        <f>IFERROR(__xludf.DUMMYFUNCTION("""COMPUTED_VALUE"""),"150908")</f>
        <v>150908</v>
      </c>
      <c r="H487" s="17" t="str">
        <f>IFERROR(__xludf.DUMMYFUNCTION("""COMPUTED_VALUE"""),"намиста і браслети з дорогоцінних каменів")</f>
        <v>намиста і браслети з дорогоцінних каменів</v>
      </c>
      <c r="I487" s="19">
        <f>IFERROR(__xludf.DUMMYFUNCTION("""COMPUTED_VALUE"""),0.0814)</f>
        <v>0.0814</v>
      </c>
      <c r="J487" s="19">
        <f>IFERROR(__xludf.DUMMYFUNCTION("""COMPUTED_VALUE"""),0.1627)</f>
        <v>0.1627</v>
      </c>
      <c r="K487" s="19">
        <f>IFERROR(__xludf.DUMMYFUNCTION("""COMPUTED_VALUE"""),0.2034)</f>
        <v>0.2034</v>
      </c>
      <c r="L487" s="19">
        <f>IFERROR(__xludf.DUMMYFUNCTION("""COMPUTED_VALUE"""),0.2441)</f>
        <v>0.2441</v>
      </c>
      <c r="M487" s="18">
        <f>IFERROR(__xludf.DUMMYFUNCTION("""COMPUTED_VALUE"""),1.63)</f>
        <v>1.63</v>
      </c>
    </row>
    <row r="488">
      <c r="A488" s="13" t="str">
        <f>IFERROR(__xludf.DUMMYFUNCTION("""COMPUTED_VALUE"""),"товари")</f>
        <v>товари</v>
      </c>
      <c r="B488" s="16" t="str">
        <f>IFERROR(__xludf.DUMMYFUNCTION("""COMPUTED_VALUE"""),"аксесуари та прикраси")</f>
        <v>аксесуари та прикраси</v>
      </c>
      <c r="C488" s="16" t="str">
        <f>IFERROR(__xludf.DUMMYFUNCTION("""COMPUTED_VALUE"""),"прикраси з натурального каменю")</f>
        <v>прикраси з натурального каменю</v>
      </c>
      <c r="D488" s="16" t="str">
        <f>IFERROR(__xludf.DUMMYFUNCTION("""COMPUTED_VALUE"""),"намиста і браслети з натуральних каменів")</f>
        <v>намиста і браслети з натуральних каменів</v>
      </c>
      <c r="E488" s="16" t="str">
        <f>IFERROR(__xludf.DUMMYFUNCTION("""COMPUTED_VALUE"""),"намиста і браслети з натуральних каменів")</f>
        <v>намиста і браслети з натуральних каменів</v>
      </c>
      <c r="F488" s="17">
        <f>IFERROR(__xludf.DUMMYFUNCTION("""COMPUTED_VALUE"""),3.0)</f>
        <v>3</v>
      </c>
      <c r="G488" s="17" t="str">
        <f>IFERROR(__xludf.DUMMYFUNCTION("""COMPUTED_VALUE"""),"1360510")</f>
        <v>1360510</v>
      </c>
      <c r="H488" s="17" t="str">
        <f>IFERROR(__xludf.DUMMYFUNCTION("""COMPUTED_VALUE"""),"намиста і браслети з натуральних каменів")</f>
        <v>намиста і браслети з натуральних каменів</v>
      </c>
      <c r="I488" s="19">
        <f>IFERROR(__xludf.DUMMYFUNCTION("""COMPUTED_VALUE"""),0.084)</f>
        <v>0.084</v>
      </c>
      <c r="J488" s="19">
        <f>IFERROR(__xludf.DUMMYFUNCTION("""COMPUTED_VALUE"""),0.1679)</f>
        <v>0.1679</v>
      </c>
      <c r="K488" s="19">
        <f>IFERROR(__xludf.DUMMYFUNCTION("""COMPUTED_VALUE"""),0.2099)</f>
        <v>0.2099</v>
      </c>
      <c r="L488" s="19">
        <f>IFERROR(__xludf.DUMMYFUNCTION("""COMPUTED_VALUE"""),0.2519)</f>
        <v>0.2519</v>
      </c>
      <c r="M488" s="18">
        <f>IFERROR(__xludf.DUMMYFUNCTION("""COMPUTED_VALUE"""),1.05)</f>
        <v>1.05</v>
      </c>
    </row>
    <row r="489">
      <c r="A489" s="13" t="str">
        <f>IFERROR(__xludf.DUMMYFUNCTION("""COMPUTED_VALUE"""),"товари")</f>
        <v>товари</v>
      </c>
      <c r="B489" s="16" t="str">
        <f>IFERROR(__xludf.DUMMYFUNCTION("""COMPUTED_VALUE"""),"аксесуари та прикраси")</f>
        <v>аксесуари та прикраси</v>
      </c>
      <c r="C489" s="16" t="str">
        <f>IFERROR(__xludf.DUMMYFUNCTION("""COMPUTED_VALUE"""),"aксесуари")</f>
        <v>aксесуари</v>
      </c>
      <c r="D489" s="16" t="str">
        <f>IFERROR(__xludf.DUMMYFUNCTION("""COMPUTED_VALUE"""),"наручні та кишенькові годинники")</f>
        <v>наручні та кишенькові годинники</v>
      </c>
      <c r="E489" s="16" t="str">
        <f>IFERROR(__xludf.DUMMYFUNCTION("""COMPUTED_VALUE"""),"наручні та кишенькові годинники")</f>
        <v>наручні та кишенькові годинники</v>
      </c>
      <c r="F489" s="17">
        <f>IFERROR(__xludf.DUMMYFUNCTION("""COMPUTED_VALUE"""),3.0)</f>
        <v>3</v>
      </c>
      <c r="G489" s="17" t="str">
        <f>IFERROR(__xludf.DUMMYFUNCTION("""COMPUTED_VALUE"""),"151105")</f>
        <v>151105</v>
      </c>
      <c r="H489" s="17" t="str">
        <f>IFERROR(__xludf.DUMMYFUNCTION("""COMPUTED_VALUE"""),"наручні та кишенькові годинники")</f>
        <v>наручні та кишенькові годинники</v>
      </c>
      <c r="I489" s="19">
        <f>IFERROR(__xludf.DUMMYFUNCTION("""COMPUTED_VALUE"""),0.1177)</f>
        <v>0.1177</v>
      </c>
      <c r="J489" s="19">
        <f>IFERROR(__xludf.DUMMYFUNCTION("""COMPUTED_VALUE"""),0.2353)</f>
        <v>0.2353</v>
      </c>
      <c r="K489" s="19">
        <f>IFERROR(__xludf.DUMMYFUNCTION("""COMPUTED_VALUE"""),0.2941)</f>
        <v>0.2941</v>
      </c>
      <c r="L489" s="19">
        <f>IFERROR(__xludf.DUMMYFUNCTION("""COMPUTED_VALUE"""),0.353)</f>
        <v>0.353</v>
      </c>
      <c r="M489" s="18">
        <f>IFERROR(__xludf.DUMMYFUNCTION("""COMPUTED_VALUE"""),2.53)</f>
        <v>2.53</v>
      </c>
    </row>
    <row r="490">
      <c r="A490" s="13" t="str">
        <f>IFERROR(__xludf.DUMMYFUNCTION("""COMPUTED_VALUE"""),"товари")</f>
        <v>товари</v>
      </c>
      <c r="B490" s="16" t="str">
        <f>IFERROR(__xludf.DUMMYFUNCTION("""COMPUTED_VALUE"""),"аксесуари та прикраси")</f>
        <v>аксесуари та прикраси</v>
      </c>
      <c r="C490" s="16" t="str">
        <f>IFERROR(__xludf.DUMMYFUNCTION("""COMPUTED_VALUE"""),"aксесуари")</f>
        <v>aксесуари</v>
      </c>
      <c r="D490" s="16" t="str">
        <f>IFERROR(__xludf.DUMMYFUNCTION("""COMPUTED_VALUE"""),"обкладинки для документів")</f>
        <v>обкладинки для документів</v>
      </c>
      <c r="E490" s="16" t="str">
        <f>IFERROR(__xludf.DUMMYFUNCTION("""COMPUTED_VALUE"""),"обкладинки для документів")</f>
        <v>обкладинки для документів</v>
      </c>
      <c r="F490" s="17">
        <f>IFERROR(__xludf.DUMMYFUNCTION("""COMPUTED_VALUE"""),3.0)</f>
        <v>3</v>
      </c>
      <c r="G490" s="17" t="str">
        <f>IFERROR(__xludf.DUMMYFUNCTION("""COMPUTED_VALUE"""),"152413")</f>
        <v>152413</v>
      </c>
      <c r="H490" s="17" t="str">
        <f>IFERROR(__xludf.DUMMYFUNCTION("""COMPUTED_VALUE"""),"обкладинки для документів")</f>
        <v>обкладинки для документів</v>
      </c>
      <c r="I490" s="19">
        <f>IFERROR(__xludf.DUMMYFUNCTION("""COMPUTED_VALUE"""),0.119)</f>
        <v>0.119</v>
      </c>
      <c r="J490" s="19">
        <f>IFERROR(__xludf.DUMMYFUNCTION("""COMPUTED_VALUE"""),0.238)</f>
        <v>0.238</v>
      </c>
      <c r="K490" s="19">
        <f>IFERROR(__xludf.DUMMYFUNCTION("""COMPUTED_VALUE"""),0.2975)</f>
        <v>0.2975</v>
      </c>
      <c r="L490" s="19">
        <f>IFERROR(__xludf.DUMMYFUNCTION("""COMPUTED_VALUE"""),0.357)</f>
        <v>0.357</v>
      </c>
      <c r="M490" s="18">
        <f>IFERROR(__xludf.DUMMYFUNCTION("""COMPUTED_VALUE"""),1.26)</f>
        <v>1.26</v>
      </c>
    </row>
    <row r="491">
      <c r="A491" s="13" t="str">
        <f>IFERROR(__xludf.DUMMYFUNCTION("""COMPUTED_VALUE"""),"товари")</f>
        <v>товари</v>
      </c>
      <c r="B491" s="16" t="str">
        <f>IFERROR(__xludf.DUMMYFUNCTION("""COMPUTED_VALUE"""),"аксесуари та прикраси")</f>
        <v>аксесуари та прикраси</v>
      </c>
      <c r="C491" s="16" t="str">
        <f>IFERROR(__xludf.DUMMYFUNCTION("""COMPUTED_VALUE"""),"aксесуари")</f>
        <v>aксесуари</v>
      </c>
      <c r="D491" s="16" t="str">
        <f>IFERROR(__xludf.DUMMYFUNCTION("""COMPUTED_VALUE"""),"аксесуари для волосся")</f>
        <v>аксесуари для волосся</v>
      </c>
      <c r="E491" s="16" t="str">
        <f>IFERROR(__xludf.DUMMYFUNCTION("""COMPUTED_VALUE"""),"обручі і вінки на голову")</f>
        <v>обручі і вінки на голову</v>
      </c>
      <c r="F491" s="17">
        <f>IFERROR(__xludf.DUMMYFUNCTION("""COMPUTED_VALUE"""),4.0)</f>
        <v>4</v>
      </c>
      <c r="G491" s="17" t="str">
        <f>IFERROR(__xludf.DUMMYFUNCTION("""COMPUTED_VALUE"""),"3390109")</f>
        <v>3390109</v>
      </c>
      <c r="H491" s="17" t="str">
        <f>IFERROR(__xludf.DUMMYFUNCTION("""COMPUTED_VALUE"""),"обручі і вінки на голову")</f>
        <v>обручі і вінки на голову</v>
      </c>
      <c r="I491" s="19">
        <f>IFERROR(__xludf.DUMMYFUNCTION("""COMPUTED_VALUE"""),0.0772)</f>
        <v>0.0772</v>
      </c>
      <c r="J491" s="19">
        <f>IFERROR(__xludf.DUMMYFUNCTION("""COMPUTED_VALUE"""),0.1543)</f>
        <v>0.1543</v>
      </c>
      <c r="K491" s="19">
        <f>IFERROR(__xludf.DUMMYFUNCTION("""COMPUTED_VALUE"""),0.1929)</f>
        <v>0.1929</v>
      </c>
      <c r="L491" s="19">
        <f>IFERROR(__xludf.DUMMYFUNCTION("""COMPUTED_VALUE"""),0.2315)</f>
        <v>0.2315</v>
      </c>
      <c r="M491" s="18">
        <f>IFERROR(__xludf.DUMMYFUNCTION("""COMPUTED_VALUE"""),1.26)</f>
        <v>1.26</v>
      </c>
    </row>
    <row r="492">
      <c r="A492" s="13" t="str">
        <f>IFERROR(__xludf.DUMMYFUNCTION("""COMPUTED_VALUE"""),"товари")</f>
        <v>товари</v>
      </c>
      <c r="B492" s="16" t="str">
        <f>IFERROR(__xludf.DUMMYFUNCTION("""COMPUTED_VALUE"""),"аксесуари та прикраси")</f>
        <v>аксесуари та прикраси</v>
      </c>
      <c r="C492" s="16" t="str">
        <f>IFERROR(__xludf.DUMMYFUNCTION("""COMPUTED_VALUE"""),"aксесуари")</f>
        <v>aксесуари</v>
      </c>
      <c r="D492" s="16" t="str">
        <f>IFERROR(__xludf.DUMMYFUNCTION("""COMPUTED_VALUE"""),"парасолі")</f>
        <v>парасолі</v>
      </c>
      <c r="E492" s="16" t="str">
        <f>IFERROR(__xludf.DUMMYFUNCTION("""COMPUTED_VALUE"""),"парасолі")</f>
        <v>парасолі</v>
      </c>
      <c r="F492" s="17">
        <f>IFERROR(__xludf.DUMMYFUNCTION("""COMPUTED_VALUE"""),3.0)</f>
        <v>3</v>
      </c>
      <c r="G492" s="17" t="str">
        <f>IFERROR(__xludf.DUMMYFUNCTION("""COMPUTED_VALUE"""),"1527")</f>
        <v>1527</v>
      </c>
      <c r="H492" s="17" t="str">
        <f>IFERROR(__xludf.DUMMYFUNCTION("""COMPUTED_VALUE"""),"парасолі")</f>
        <v>парасолі</v>
      </c>
      <c r="I492" s="19">
        <f>IFERROR(__xludf.DUMMYFUNCTION("""COMPUTED_VALUE"""),0.1007)</f>
        <v>0.1007</v>
      </c>
      <c r="J492" s="19">
        <f>IFERROR(__xludf.DUMMYFUNCTION("""COMPUTED_VALUE"""),0.2014)</f>
        <v>0.2014</v>
      </c>
      <c r="K492" s="19">
        <f>IFERROR(__xludf.DUMMYFUNCTION("""COMPUTED_VALUE"""),0.2518)</f>
        <v>0.2518</v>
      </c>
      <c r="L492" s="19">
        <f>IFERROR(__xludf.DUMMYFUNCTION("""COMPUTED_VALUE"""),0.3021)</f>
        <v>0.3021</v>
      </c>
      <c r="M492" s="18">
        <f>IFERROR(__xludf.DUMMYFUNCTION("""COMPUTED_VALUE"""),1.98)</f>
        <v>1.98</v>
      </c>
    </row>
    <row r="493">
      <c r="A493" s="13" t="str">
        <f>IFERROR(__xludf.DUMMYFUNCTION("""COMPUTED_VALUE"""),"товари")</f>
        <v>товари</v>
      </c>
      <c r="B493" s="16" t="str">
        <f>IFERROR(__xludf.DUMMYFUNCTION("""COMPUTED_VALUE"""),"аксесуари та прикраси")</f>
        <v>аксесуари та прикраси</v>
      </c>
      <c r="C493" s="16" t="str">
        <f>IFERROR(__xludf.DUMMYFUNCTION("""COMPUTED_VALUE"""),"прикраси з натурального каменю")</f>
        <v>прикраси з натурального каменю</v>
      </c>
      <c r="D493" s="16" t="str">
        <f>IFERROR(__xludf.DUMMYFUNCTION("""COMPUTED_VALUE"""),"перстні з натуральними каменями")</f>
        <v>перстні з натуральними каменями</v>
      </c>
      <c r="E493" s="16" t="str">
        <f>IFERROR(__xludf.DUMMYFUNCTION("""COMPUTED_VALUE"""),"перстні з натуральними каменями")</f>
        <v>перстні з натуральними каменями</v>
      </c>
      <c r="F493" s="17">
        <f>IFERROR(__xludf.DUMMYFUNCTION("""COMPUTED_VALUE"""),3.0)</f>
        <v>3</v>
      </c>
      <c r="G493" s="17" t="str">
        <f>IFERROR(__xludf.DUMMYFUNCTION("""COMPUTED_VALUE"""),"1360509")</f>
        <v>1360509</v>
      </c>
      <c r="H493" s="17" t="str">
        <f>IFERROR(__xludf.DUMMYFUNCTION("""COMPUTED_VALUE"""),"перстні з натуральними каменями")</f>
        <v>перстні з натуральними каменями</v>
      </c>
      <c r="I493" s="19">
        <f>IFERROR(__xludf.DUMMYFUNCTION("""COMPUTED_VALUE"""),0.0749)</f>
        <v>0.0749</v>
      </c>
      <c r="J493" s="19">
        <f>IFERROR(__xludf.DUMMYFUNCTION("""COMPUTED_VALUE"""),0.1498)</f>
        <v>0.1498</v>
      </c>
      <c r="K493" s="19">
        <f>IFERROR(__xludf.DUMMYFUNCTION("""COMPUTED_VALUE"""),0.1873)</f>
        <v>0.1873</v>
      </c>
      <c r="L493" s="19">
        <f>IFERROR(__xludf.DUMMYFUNCTION("""COMPUTED_VALUE"""),0.2247)</f>
        <v>0.2247</v>
      </c>
      <c r="M493" s="18">
        <f>IFERROR(__xludf.DUMMYFUNCTION("""COMPUTED_VALUE"""),1.05)</f>
        <v>1.05</v>
      </c>
    </row>
    <row r="494">
      <c r="A494" s="13" t="str">
        <f>IFERROR(__xludf.DUMMYFUNCTION("""COMPUTED_VALUE"""),"товари")</f>
        <v>товари</v>
      </c>
      <c r="B494" s="16" t="str">
        <f>IFERROR(__xludf.DUMMYFUNCTION("""COMPUTED_VALUE"""),"аксесуари та прикраси")</f>
        <v>аксесуари та прикраси</v>
      </c>
      <c r="C494" s="16" t="str">
        <f>IFERROR(__xludf.DUMMYFUNCTION("""COMPUTED_VALUE"""),"aксесуари")</f>
        <v>aксесуари</v>
      </c>
      <c r="D494" s="16" t="str">
        <f>IFERROR(__xludf.DUMMYFUNCTION("""COMPUTED_VALUE"""),"перуки і шиньйони")</f>
        <v>перуки і шиньйони</v>
      </c>
      <c r="E494" s="16" t="str">
        <f>IFERROR(__xludf.DUMMYFUNCTION("""COMPUTED_VALUE"""),"перуки і шиньйони")</f>
        <v>перуки і шиньйони</v>
      </c>
      <c r="F494" s="17">
        <f>IFERROR(__xludf.DUMMYFUNCTION("""COMPUTED_VALUE"""),3.0)</f>
        <v>3</v>
      </c>
      <c r="G494" s="17" t="str">
        <f>IFERROR(__xludf.DUMMYFUNCTION("""COMPUTED_VALUE"""),"3390113")</f>
        <v>3390113</v>
      </c>
      <c r="H494" s="17" t="str">
        <f>IFERROR(__xludf.DUMMYFUNCTION("""COMPUTED_VALUE"""),"перуки і шиньйони")</f>
        <v>перуки і шиньйони</v>
      </c>
      <c r="I494" s="19">
        <f>IFERROR(__xludf.DUMMYFUNCTION("""COMPUTED_VALUE"""),0.08)</f>
        <v>0.08</v>
      </c>
      <c r="J494" s="19">
        <f>IFERROR(__xludf.DUMMYFUNCTION("""COMPUTED_VALUE"""),0.1599)</f>
        <v>0.1599</v>
      </c>
      <c r="K494" s="19">
        <f>IFERROR(__xludf.DUMMYFUNCTION("""COMPUTED_VALUE"""),0.1999)</f>
        <v>0.1999</v>
      </c>
      <c r="L494" s="19">
        <f>IFERROR(__xludf.DUMMYFUNCTION("""COMPUTED_VALUE"""),0.2399)</f>
        <v>0.2399</v>
      </c>
      <c r="M494" s="18">
        <f>IFERROR(__xludf.DUMMYFUNCTION("""COMPUTED_VALUE"""),2.08)</f>
        <v>2.08</v>
      </c>
    </row>
    <row r="495">
      <c r="A495" s="13" t="str">
        <f>IFERROR(__xludf.DUMMYFUNCTION("""COMPUTED_VALUE"""),"товари")</f>
        <v>товари</v>
      </c>
      <c r="B495" s="16" t="str">
        <f>IFERROR(__xludf.DUMMYFUNCTION("""COMPUTED_VALUE"""),"аксесуари та прикраси")</f>
        <v>аксесуари та прикраси</v>
      </c>
      <c r="C495" s="16" t="str">
        <f>IFERROR(__xludf.DUMMYFUNCTION("""COMPUTED_VALUE"""),"aксесуари")</f>
        <v>aксесуари</v>
      </c>
      <c r="D495" s="16" t="str">
        <f>IFERROR(__xludf.DUMMYFUNCTION("""COMPUTED_VALUE"""),"підтяжки для штанів")</f>
        <v>підтяжки для штанів</v>
      </c>
      <c r="E495" s="16" t="str">
        <f>IFERROR(__xludf.DUMMYFUNCTION("""COMPUTED_VALUE"""),"підтяжки для штанів")</f>
        <v>підтяжки для штанів</v>
      </c>
      <c r="F495" s="17">
        <f>IFERROR(__xludf.DUMMYFUNCTION("""COMPUTED_VALUE"""),3.0)</f>
        <v>3</v>
      </c>
      <c r="G495" s="17" t="str">
        <f>IFERROR(__xludf.DUMMYFUNCTION("""COMPUTED_VALUE"""),"33905")</f>
        <v>33905</v>
      </c>
      <c r="H495" s="17" t="str">
        <f>IFERROR(__xludf.DUMMYFUNCTION("""COMPUTED_VALUE"""),"підтяжки для штанів")</f>
        <v>підтяжки для штанів</v>
      </c>
      <c r="I495" s="19">
        <f>IFERROR(__xludf.DUMMYFUNCTION("""COMPUTED_VALUE"""),0.0979)</f>
        <v>0.0979</v>
      </c>
      <c r="J495" s="19">
        <f>IFERROR(__xludf.DUMMYFUNCTION("""COMPUTED_VALUE"""),0.1957)</f>
        <v>0.1957</v>
      </c>
      <c r="K495" s="19">
        <f>IFERROR(__xludf.DUMMYFUNCTION("""COMPUTED_VALUE"""),0.2446)</f>
        <v>0.2446</v>
      </c>
      <c r="L495" s="19">
        <f>IFERROR(__xludf.DUMMYFUNCTION("""COMPUTED_VALUE"""),0.2936)</f>
        <v>0.2936</v>
      </c>
      <c r="M495" s="18">
        <f>IFERROR(__xludf.DUMMYFUNCTION("""COMPUTED_VALUE"""),1.05)</f>
        <v>1.05</v>
      </c>
    </row>
    <row r="496">
      <c r="A496" s="13" t="str">
        <f>IFERROR(__xludf.DUMMYFUNCTION("""COMPUTED_VALUE"""),"товари")</f>
        <v>товари</v>
      </c>
      <c r="B496" s="16" t="str">
        <f>IFERROR(__xludf.DUMMYFUNCTION("""COMPUTED_VALUE"""),"аксесуари та прикраси")</f>
        <v>аксесуари та прикраси</v>
      </c>
      <c r="C496" s="16" t="str">
        <f>IFERROR(__xludf.DUMMYFUNCTION("""COMPUTED_VALUE"""),"aксесуари")</f>
        <v>aксесуари</v>
      </c>
      <c r="D496" s="16" t="str">
        <f>IFERROR(__xludf.DUMMYFUNCTION("""COMPUTED_VALUE"""),"головні убори")</f>
        <v>головні убори</v>
      </c>
      <c r="E496" s="16" t="str">
        <f>IFERROR(__xludf.DUMMYFUNCTION("""COMPUTED_VALUE"""),"пов'язки і теплі навушники")</f>
        <v>пов'язки і теплі навушники</v>
      </c>
      <c r="F496" s="17">
        <f>IFERROR(__xludf.DUMMYFUNCTION("""COMPUTED_VALUE"""),4.0)</f>
        <v>4</v>
      </c>
      <c r="G496" s="17" t="str">
        <f>IFERROR(__xludf.DUMMYFUNCTION("""COMPUTED_VALUE"""),"32717")</f>
        <v>32717</v>
      </c>
      <c r="H496" s="17" t="str">
        <f>IFERROR(__xludf.DUMMYFUNCTION("""COMPUTED_VALUE"""),"пов'язки і теплі навушники")</f>
        <v>пов'язки і теплі навушники</v>
      </c>
      <c r="I496" s="19">
        <f>IFERROR(__xludf.DUMMYFUNCTION("""COMPUTED_VALUE"""),0.0993)</f>
        <v>0.0993</v>
      </c>
      <c r="J496" s="19">
        <f>IFERROR(__xludf.DUMMYFUNCTION("""COMPUTED_VALUE"""),0.1985)</f>
        <v>0.1985</v>
      </c>
      <c r="K496" s="19">
        <f>IFERROR(__xludf.DUMMYFUNCTION("""COMPUTED_VALUE"""),0.2481)</f>
        <v>0.2481</v>
      </c>
      <c r="L496" s="19">
        <f>IFERROR(__xludf.DUMMYFUNCTION("""COMPUTED_VALUE"""),0.2978)</f>
        <v>0.2978</v>
      </c>
      <c r="M496" s="18">
        <f>IFERROR(__xludf.DUMMYFUNCTION("""COMPUTED_VALUE"""),1.63)</f>
        <v>1.63</v>
      </c>
    </row>
    <row r="497">
      <c r="A497" s="13" t="str">
        <f>IFERROR(__xludf.DUMMYFUNCTION("""COMPUTED_VALUE"""),"товари")</f>
        <v>товари</v>
      </c>
      <c r="B497" s="16" t="str">
        <f>IFERROR(__xludf.DUMMYFUNCTION("""COMPUTED_VALUE"""),"аксесуари та прикраси")</f>
        <v>аксесуари та прикраси</v>
      </c>
      <c r="C497" s="16" t="str">
        <f>IFERROR(__xludf.DUMMYFUNCTION("""COMPUTED_VALUE"""),"сумки, валізи, портфелі")</f>
        <v>сумки, валізи, портфелі</v>
      </c>
      <c r="D497" s="16" t="str">
        <f>IFERROR(__xludf.DUMMYFUNCTION("""COMPUTED_VALUE"""),"портфелі ділові")</f>
        <v>портфелі ділові</v>
      </c>
      <c r="E497" s="16" t="str">
        <f>IFERROR(__xludf.DUMMYFUNCTION("""COMPUTED_VALUE"""),"портфелі ділові")</f>
        <v>портфелі ділові</v>
      </c>
      <c r="F497" s="17">
        <f>IFERROR(__xludf.DUMMYFUNCTION("""COMPUTED_VALUE"""),3.0)</f>
        <v>3</v>
      </c>
      <c r="G497" s="17" t="str">
        <f>IFERROR(__xludf.DUMMYFUNCTION("""COMPUTED_VALUE"""),"152402")</f>
        <v>152402</v>
      </c>
      <c r="H497" s="17" t="str">
        <f>IFERROR(__xludf.DUMMYFUNCTION("""COMPUTED_VALUE"""),"портфелі ділові")</f>
        <v>портфелі ділові</v>
      </c>
      <c r="I497" s="19">
        <f>IFERROR(__xludf.DUMMYFUNCTION("""COMPUTED_VALUE"""),0.0781)</f>
        <v>0.0781</v>
      </c>
      <c r="J497" s="19">
        <f>IFERROR(__xludf.DUMMYFUNCTION("""COMPUTED_VALUE"""),0.1562)</f>
        <v>0.1562</v>
      </c>
      <c r="K497" s="19">
        <f>IFERROR(__xludf.DUMMYFUNCTION("""COMPUTED_VALUE"""),0.1953)</f>
        <v>0.1953</v>
      </c>
      <c r="L497" s="19">
        <f>IFERROR(__xludf.DUMMYFUNCTION("""COMPUTED_VALUE"""),0.2343)</f>
        <v>0.2343</v>
      </c>
      <c r="M497" s="18">
        <f>IFERROR(__xludf.DUMMYFUNCTION("""COMPUTED_VALUE"""),2.25)</f>
        <v>2.25</v>
      </c>
    </row>
    <row r="498">
      <c r="A498" s="13" t="str">
        <f>IFERROR(__xludf.DUMMYFUNCTION("""COMPUTED_VALUE"""),"товари")</f>
        <v>товари</v>
      </c>
      <c r="B498" s="16" t="str">
        <f>IFERROR(__xludf.DUMMYFUNCTION("""COMPUTED_VALUE"""),"аксесуари та прикраси")</f>
        <v>аксесуари та прикраси</v>
      </c>
      <c r="C498" s="16" t="str">
        <f>IFERROR(__xludf.DUMMYFUNCTION("""COMPUTED_VALUE"""),"біжутерія")</f>
        <v>біжутерія</v>
      </c>
      <c r="D498" s="16" t="str">
        <f>IFERROR(__xludf.DUMMYFUNCTION("""COMPUTED_VALUE"""),"прикраси для пірсингу")</f>
        <v>прикраси для пірсингу</v>
      </c>
      <c r="E498" s="16" t="str">
        <f>IFERROR(__xludf.DUMMYFUNCTION("""COMPUTED_VALUE"""),"прикраси для пірсингу")</f>
        <v>прикраси для пірсингу</v>
      </c>
      <c r="F498" s="17">
        <f>IFERROR(__xludf.DUMMYFUNCTION("""COMPUTED_VALUE"""),3.0)</f>
        <v>3</v>
      </c>
      <c r="G498" s="17" t="str">
        <f>IFERROR(__xludf.DUMMYFUNCTION("""COMPUTED_VALUE"""),"36090302")</f>
        <v>36090302</v>
      </c>
      <c r="H498" s="17" t="str">
        <f>IFERROR(__xludf.DUMMYFUNCTION("""COMPUTED_VALUE"""),"прикраси для пірсингу")</f>
        <v>прикраси для пірсингу</v>
      </c>
      <c r="I498" s="19">
        <f>IFERROR(__xludf.DUMMYFUNCTION("""COMPUTED_VALUE"""),0.0989)</f>
        <v>0.0989</v>
      </c>
      <c r="J498" s="19">
        <f>IFERROR(__xludf.DUMMYFUNCTION("""COMPUTED_VALUE"""),0.1978)</f>
        <v>0.1978</v>
      </c>
      <c r="K498" s="19">
        <f>IFERROR(__xludf.DUMMYFUNCTION("""COMPUTED_VALUE"""),0.2473)</f>
        <v>0.2473</v>
      </c>
      <c r="L498" s="19">
        <f>IFERROR(__xludf.DUMMYFUNCTION("""COMPUTED_VALUE"""),0.2967)</f>
        <v>0.2967</v>
      </c>
      <c r="M498" s="18">
        <f>IFERROR(__xludf.DUMMYFUNCTION("""COMPUTED_VALUE"""),1.05)</f>
        <v>1.05</v>
      </c>
    </row>
    <row r="499">
      <c r="A499" s="13" t="str">
        <f>IFERROR(__xludf.DUMMYFUNCTION("""COMPUTED_VALUE"""),"товари")</f>
        <v>товари</v>
      </c>
      <c r="B499" s="16" t="str">
        <f>IFERROR(__xludf.DUMMYFUNCTION("""COMPUTED_VALUE"""),"аксесуари та прикраси")</f>
        <v>аксесуари та прикраси</v>
      </c>
      <c r="C499" s="16" t="str">
        <f>IFERROR(__xludf.DUMMYFUNCTION("""COMPUTED_VALUE"""),"aксесуари")</f>
        <v>aксесуари</v>
      </c>
      <c r="D499" s="16" t="str">
        <f>IFERROR(__xludf.DUMMYFUNCTION("""COMPUTED_VALUE"""),"аксесуари для волосся")</f>
        <v>аксесуари для волосся</v>
      </c>
      <c r="E499" s="16" t="str">
        <f>IFERROR(__xludf.DUMMYFUNCTION("""COMPUTED_VALUE"""),"резинки і банти для волосся")</f>
        <v>резинки і банти для волосся</v>
      </c>
      <c r="F499" s="17">
        <f>IFERROR(__xludf.DUMMYFUNCTION("""COMPUTED_VALUE"""),4.0)</f>
        <v>4</v>
      </c>
      <c r="G499" s="17" t="str">
        <f>IFERROR(__xludf.DUMMYFUNCTION("""COMPUTED_VALUE"""),"3390103")</f>
        <v>3390103</v>
      </c>
      <c r="H499" s="17" t="str">
        <f>IFERROR(__xludf.DUMMYFUNCTION("""COMPUTED_VALUE"""),"резинки і банти для волосся")</f>
        <v>резинки і банти для волосся</v>
      </c>
      <c r="I499" s="19">
        <f>IFERROR(__xludf.DUMMYFUNCTION("""COMPUTED_VALUE"""),0.0772)</f>
        <v>0.0772</v>
      </c>
      <c r="J499" s="19">
        <f>IFERROR(__xludf.DUMMYFUNCTION("""COMPUTED_VALUE"""),0.1543)</f>
        <v>0.1543</v>
      </c>
      <c r="K499" s="19">
        <f>IFERROR(__xludf.DUMMYFUNCTION("""COMPUTED_VALUE"""),0.1929)</f>
        <v>0.1929</v>
      </c>
      <c r="L499" s="19">
        <f>IFERROR(__xludf.DUMMYFUNCTION("""COMPUTED_VALUE"""),0.2315)</f>
        <v>0.2315</v>
      </c>
      <c r="M499" s="18">
        <f>IFERROR(__xludf.DUMMYFUNCTION("""COMPUTED_VALUE"""),1.26)</f>
        <v>1.26</v>
      </c>
    </row>
    <row r="500">
      <c r="A500" s="13" t="str">
        <f>IFERROR(__xludf.DUMMYFUNCTION("""COMPUTED_VALUE"""),"товари")</f>
        <v>товари</v>
      </c>
      <c r="B500" s="16" t="str">
        <f>IFERROR(__xludf.DUMMYFUNCTION("""COMPUTED_VALUE"""),"аксесуари та прикраси")</f>
        <v>аксесуари та прикраси</v>
      </c>
      <c r="C500" s="16" t="str">
        <f>IFERROR(__xludf.DUMMYFUNCTION("""COMPUTED_VALUE"""),"aксесуари")</f>
        <v>aксесуари</v>
      </c>
      <c r="D500" s="16" t="str">
        <f>IFERROR(__xludf.DUMMYFUNCTION("""COMPUTED_VALUE"""),"ремені та пояси")</f>
        <v>ремені та пояси</v>
      </c>
      <c r="E500" s="16" t="str">
        <f>IFERROR(__xludf.DUMMYFUNCTION("""COMPUTED_VALUE"""),"ремені та пояси")</f>
        <v>ремені та пояси</v>
      </c>
      <c r="F500" s="17">
        <f>IFERROR(__xludf.DUMMYFUNCTION("""COMPUTED_VALUE"""),3.0)</f>
        <v>3</v>
      </c>
      <c r="G500" s="17" t="str">
        <f>IFERROR(__xludf.DUMMYFUNCTION("""COMPUTED_VALUE"""),"32801")</f>
        <v>32801</v>
      </c>
      <c r="H500" s="17" t="str">
        <f>IFERROR(__xludf.DUMMYFUNCTION("""COMPUTED_VALUE"""),"ремені та пояси")</f>
        <v>ремені та пояси</v>
      </c>
      <c r="I500" s="19">
        <f>IFERROR(__xludf.DUMMYFUNCTION("""COMPUTED_VALUE"""),0.1017)</f>
        <v>0.1017</v>
      </c>
      <c r="J500" s="19">
        <f>IFERROR(__xludf.DUMMYFUNCTION("""COMPUTED_VALUE"""),0.2034)</f>
        <v>0.2034</v>
      </c>
      <c r="K500" s="19">
        <f>IFERROR(__xludf.DUMMYFUNCTION("""COMPUTED_VALUE"""),0.2543)</f>
        <v>0.2543</v>
      </c>
      <c r="L500" s="19">
        <f>IFERROR(__xludf.DUMMYFUNCTION("""COMPUTED_VALUE"""),0.3051)</f>
        <v>0.3051</v>
      </c>
      <c r="M500" s="18">
        <f>IFERROR(__xludf.DUMMYFUNCTION("""COMPUTED_VALUE"""),4.14)</f>
        <v>4.14</v>
      </c>
    </row>
    <row r="501">
      <c r="A501" s="13" t="str">
        <f>IFERROR(__xludf.DUMMYFUNCTION("""COMPUTED_VALUE"""),"товари")</f>
        <v>товари</v>
      </c>
      <c r="B501" s="16" t="str">
        <f>IFERROR(__xludf.DUMMYFUNCTION("""COMPUTED_VALUE"""),"аксесуари та прикраси")</f>
        <v>аксесуари та прикраси</v>
      </c>
      <c r="C501" s="16" t="str">
        <f>IFERROR(__xludf.DUMMYFUNCTION("""COMPUTED_VALUE"""),"наручні і кишенькові годинники")</f>
        <v>наручні і кишенькові годинники</v>
      </c>
      <c r="D501" s="16" t="str">
        <f>IFERROR(__xludf.DUMMYFUNCTION("""COMPUTED_VALUE"""),"ремінці та браслети для годинників")</f>
        <v>ремінці та браслети для годинників</v>
      </c>
      <c r="E501" s="16" t="str">
        <f>IFERROR(__xludf.DUMMYFUNCTION("""COMPUTED_VALUE"""),"ремінці та браслети для годинників")</f>
        <v>ремінці та браслети для годинників</v>
      </c>
      <c r="F501" s="17">
        <f>IFERROR(__xludf.DUMMYFUNCTION("""COMPUTED_VALUE"""),3.0)</f>
        <v>3</v>
      </c>
      <c r="G501" s="17" t="str">
        <f>IFERROR(__xludf.DUMMYFUNCTION("""COMPUTED_VALUE"""),"36110710")</f>
        <v>36110710</v>
      </c>
      <c r="H501" s="17" t="str">
        <f>IFERROR(__xludf.DUMMYFUNCTION("""COMPUTED_VALUE"""),"ремінці та браслети для годинників")</f>
        <v>ремінці та браслети для годинників</v>
      </c>
      <c r="I501" s="19">
        <f>IFERROR(__xludf.DUMMYFUNCTION("""COMPUTED_VALUE"""),0.104)</f>
        <v>0.104</v>
      </c>
      <c r="J501" s="19">
        <f>IFERROR(__xludf.DUMMYFUNCTION("""COMPUTED_VALUE"""),0.208)</f>
        <v>0.208</v>
      </c>
      <c r="K501" s="19">
        <f>IFERROR(__xludf.DUMMYFUNCTION("""COMPUTED_VALUE"""),0.26)</f>
        <v>0.26</v>
      </c>
      <c r="L501" s="19">
        <f>IFERROR(__xludf.DUMMYFUNCTION("""COMPUTED_VALUE"""),0.312)</f>
        <v>0.312</v>
      </c>
      <c r="M501" s="18">
        <f>IFERROR(__xludf.DUMMYFUNCTION("""COMPUTED_VALUE"""),1.05)</f>
        <v>1.05</v>
      </c>
    </row>
    <row r="502">
      <c r="A502" s="13" t="str">
        <f>IFERROR(__xludf.DUMMYFUNCTION("""COMPUTED_VALUE"""),"товари")</f>
        <v>товари</v>
      </c>
      <c r="B502" s="16" t="str">
        <f>IFERROR(__xludf.DUMMYFUNCTION("""COMPUTED_VALUE"""),"аксесуари та прикраси")</f>
        <v>аксесуари та прикраси</v>
      </c>
      <c r="C502" s="16" t="str">
        <f>IFERROR(__xludf.DUMMYFUNCTION("""COMPUTED_VALUE"""),"aксесуари")</f>
        <v>aксесуари</v>
      </c>
      <c r="D502" s="16" t="str">
        <f>IFERROR(__xludf.DUMMYFUNCTION("""COMPUTED_VALUE"""),"рукавиці")</f>
        <v>рукавиці</v>
      </c>
      <c r="E502" s="16" t="str">
        <f>IFERROR(__xludf.DUMMYFUNCTION("""COMPUTED_VALUE"""),"рукавиці")</f>
        <v>рукавиці</v>
      </c>
      <c r="F502" s="17">
        <f>IFERROR(__xludf.DUMMYFUNCTION("""COMPUTED_VALUE"""),3.0)</f>
        <v>3</v>
      </c>
      <c r="G502" s="17" t="str">
        <f>IFERROR(__xludf.DUMMYFUNCTION("""COMPUTED_VALUE"""),"324")</f>
        <v>324</v>
      </c>
      <c r="H502" s="17" t="str">
        <f>IFERROR(__xludf.DUMMYFUNCTION("""COMPUTED_VALUE"""),"рукавиці")</f>
        <v>рукавиці</v>
      </c>
      <c r="I502" s="19">
        <f>IFERROR(__xludf.DUMMYFUNCTION("""COMPUTED_VALUE"""),0.0947)</f>
        <v>0.0947</v>
      </c>
      <c r="J502" s="19">
        <f>IFERROR(__xludf.DUMMYFUNCTION("""COMPUTED_VALUE"""),0.1893)</f>
        <v>0.1893</v>
      </c>
      <c r="K502" s="19">
        <f>IFERROR(__xludf.DUMMYFUNCTION("""COMPUTED_VALUE"""),0.2366)</f>
        <v>0.2366</v>
      </c>
      <c r="L502" s="19">
        <f>IFERROR(__xludf.DUMMYFUNCTION("""COMPUTED_VALUE"""),0.284)</f>
        <v>0.284</v>
      </c>
      <c r="M502" s="18">
        <f>IFERROR(__xludf.DUMMYFUNCTION("""COMPUTED_VALUE"""),1.53)</f>
        <v>1.53</v>
      </c>
    </row>
    <row r="503">
      <c r="A503" s="13" t="str">
        <f>IFERROR(__xludf.DUMMYFUNCTION("""COMPUTED_VALUE"""),"товари")</f>
        <v>товари</v>
      </c>
      <c r="B503" s="16" t="str">
        <f>IFERROR(__xludf.DUMMYFUNCTION("""COMPUTED_VALUE"""),"аксесуари та прикраси")</f>
        <v>аксесуари та прикраси</v>
      </c>
      <c r="C503" s="16" t="str">
        <f>IFERROR(__xludf.DUMMYFUNCTION("""COMPUTED_VALUE"""),"біжутерія")</f>
        <v>біжутерія</v>
      </c>
      <c r="D503" s="16" t="str">
        <f>IFERROR(__xludf.DUMMYFUNCTION("""COMPUTED_VALUE"""),"сережки")</f>
        <v>сережки</v>
      </c>
      <c r="E503" s="16" t="str">
        <f>IFERROR(__xludf.DUMMYFUNCTION("""COMPUTED_VALUE"""),"сережки")</f>
        <v>сережки</v>
      </c>
      <c r="F503" s="17">
        <f>IFERROR(__xludf.DUMMYFUNCTION("""COMPUTED_VALUE"""),3.0)</f>
        <v>3</v>
      </c>
      <c r="G503" s="17" t="str">
        <f>IFERROR(__xludf.DUMMYFUNCTION("""COMPUTED_VALUE"""),"36090305")</f>
        <v>36090305</v>
      </c>
      <c r="H503" s="17" t="str">
        <f>IFERROR(__xludf.DUMMYFUNCTION("""COMPUTED_VALUE"""),"сережки")</f>
        <v>сережки</v>
      </c>
      <c r="I503" s="19">
        <f>IFERROR(__xludf.DUMMYFUNCTION("""COMPUTED_VALUE"""),0.1006)</f>
        <v>0.1006</v>
      </c>
      <c r="J503" s="19">
        <f>IFERROR(__xludf.DUMMYFUNCTION("""COMPUTED_VALUE"""),0.2011)</f>
        <v>0.2011</v>
      </c>
      <c r="K503" s="19">
        <f>IFERROR(__xludf.DUMMYFUNCTION("""COMPUTED_VALUE"""),0.2514)</f>
        <v>0.2514</v>
      </c>
      <c r="L503" s="19">
        <f>IFERROR(__xludf.DUMMYFUNCTION("""COMPUTED_VALUE"""),0.3017)</f>
        <v>0.3017</v>
      </c>
      <c r="M503" s="18">
        <f>IFERROR(__xludf.DUMMYFUNCTION("""COMPUTED_VALUE"""),1.71)</f>
        <v>1.71</v>
      </c>
    </row>
    <row r="504">
      <c r="A504" s="13" t="str">
        <f>IFERROR(__xludf.DUMMYFUNCTION("""COMPUTED_VALUE"""),"товари")</f>
        <v>товари</v>
      </c>
      <c r="B504" s="16" t="str">
        <f>IFERROR(__xludf.DUMMYFUNCTION("""COMPUTED_VALUE"""),"аксесуари та прикраси")</f>
        <v>аксесуари та прикраси</v>
      </c>
      <c r="C504" s="16" t="str">
        <f>IFERROR(__xludf.DUMMYFUNCTION("""COMPUTED_VALUE"""),"прикраси з натурального каменю")</f>
        <v>прикраси з натурального каменю</v>
      </c>
      <c r="D504" s="16" t="str">
        <f>IFERROR(__xludf.DUMMYFUNCTION("""COMPUTED_VALUE"""),"сережки із натуральним камінням")</f>
        <v>сережки із натуральним камінням</v>
      </c>
      <c r="E504" s="16" t="str">
        <f>IFERROR(__xludf.DUMMYFUNCTION("""COMPUTED_VALUE"""),"сережки із натуральним камінням")</f>
        <v>сережки із натуральним камінням</v>
      </c>
      <c r="F504" s="17">
        <f>IFERROR(__xludf.DUMMYFUNCTION("""COMPUTED_VALUE"""),3.0)</f>
        <v>3</v>
      </c>
      <c r="G504" s="17" t="str">
        <f>IFERROR(__xludf.DUMMYFUNCTION("""COMPUTED_VALUE"""),"1360512")</f>
        <v>1360512</v>
      </c>
      <c r="H504" s="17" t="str">
        <f>IFERROR(__xludf.DUMMYFUNCTION("""COMPUTED_VALUE"""),"сережки із натуральним камінням")</f>
        <v>сережки із натуральним камінням</v>
      </c>
      <c r="I504" s="19">
        <f>IFERROR(__xludf.DUMMYFUNCTION("""COMPUTED_VALUE"""),0.0893)</f>
        <v>0.0893</v>
      </c>
      <c r="J504" s="19">
        <f>IFERROR(__xludf.DUMMYFUNCTION("""COMPUTED_VALUE"""),0.1786)</f>
        <v>0.1786</v>
      </c>
      <c r="K504" s="19">
        <f>IFERROR(__xludf.DUMMYFUNCTION("""COMPUTED_VALUE"""),0.2233)</f>
        <v>0.2233</v>
      </c>
      <c r="L504" s="19">
        <f>IFERROR(__xludf.DUMMYFUNCTION("""COMPUTED_VALUE"""),0.2679)</f>
        <v>0.2679</v>
      </c>
      <c r="M504" s="18">
        <f>IFERROR(__xludf.DUMMYFUNCTION("""COMPUTED_VALUE"""),1.05)</f>
        <v>1.05</v>
      </c>
    </row>
    <row r="505">
      <c r="A505" s="13" t="str">
        <f>IFERROR(__xludf.DUMMYFUNCTION("""COMPUTED_VALUE"""),"товари")</f>
        <v>товари</v>
      </c>
      <c r="B505" s="16" t="str">
        <f>IFERROR(__xludf.DUMMYFUNCTION("""COMPUTED_VALUE"""),"аксесуари та прикраси")</f>
        <v>аксесуари та прикраси</v>
      </c>
      <c r="C505" s="16" t="str">
        <f>IFERROR(__xludf.DUMMYFUNCTION("""COMPUTED_VALUE"""),"наручні і кишенькові годинники")</f>
        <v>наручні і кишенькові годинники</v>
      </c>
      <c r="D505" s="16" t="str">
        <f>IFERROR(__xludf.DUMMYFUNCTION("""COMPUTED_VALUE"""),"скриньки для годинників")</f>
        <v>скриньки для годинників</v>
      </c>
      <c r="E505" s="16" t="str">
        <f>IFERROR(__xludf.DUMMYFUNCTION("""COMPUTED_VALUE"""),"скриньки для годинників")</f>
        <v>скриньки для годинників</v>
      </c>
      <c r="F505" s="17">
        <f>IFERROR(__xludf.DUMMYFUNCTION("""COMPUTED_VALUE"""),3.0)</f>
        <v>3</v>
      </c>
      <c r="G505" s="17" t="str">
        <f>IFERROR(__xludf.DUMMYFUNCTION("""COMPUTED_VALUE"""),"36110730")</f>
        <v>36110730</v>
      </c>
      <c r="H505" s="17" t="str">
        <f>IFERROR(__xludf.DUMMYFUNCTION("""COMPUTED_VALUE"""),"скриньки для годинників")</f>
        <v>скриньки для годинників</v>
      </c>
      <c r="I505" s="19">
        <f>IFERROR(__xludf.DUMMYFUNCTION("""COMPUTED_VALUE"""),0.1125)</f>
        <v>0.1125</v>
      </c>
      <c r="J505" s="19">
        <f>IFERROR(__xludf.DUMMYFUNCTION("""COMPUTED_VALUE"""),0.2249)</f>
        <v>0.2249</v>
      </c>
      <c r="K505" s="19">
        <f>IFERROR(__xludf.DUMMYFUNCTION("""COMPUTED_VALUE"""),0.2811)</f>
        <v>0.2811</v>
      </c>
      <c r="L505" s="19">
        <f>IFERROR(__xludf.DUMMYFUNCTION("""COMPUTED_VALUE"""),0.3374)</f>
        <v>0.3374</v>
      </c>
      <c r="M505" s="18">
        <f>IFERROR(__xludf.DUMMYFUNCTION("""COMPUTED_VALUE"""),1.98)</f>
        <v>1.98</v>
      </c>
    </row>
    <row r="506">
      <c r="A506" s="13" t="str">
        <f>IFERROR(__xludf.DUMMYFUNCTION("""COMPUTED_VALUE"""),"товари")</f>
        <v>товари</v>
      </c>
      <c r="B506" s="16" t="str">
        <f>IFERROR(__xludf.DUMMYFUNCTION("""COMPUTED_VALUE"""),"аксесуари та прикраси")</f>
        <v>аксесуари та прикраси</v>
      </c>
      <c r="C506" s="16" t="str">
        <f>IFERROR(__xludf.DUMMYFUNCTION("""COMPUTED_VALUE"""),"aксесуари")</f>
        <v>aксесуари</v>
      </c>
      <c r="D506" s="16" t="str">
        <f>IFERROR(__xludf.DUMMYFUNCTION("""COMPUTED_VALUE"""),"сонцезахисні окуляри")</f>
        <v>сонцезахисні окуляри</v>
      </c>
      <c r="E506" s="16" t="str">
        <f>IFERROR(__xludf.DUMMYFUNCTION("""COMPUTED_VALUE"""),"сонцезахисні окуляри")</f>
        <v>сонцезахисні окуляри</v>
      </c>
      <c r="F506" s="17">
        <f>IFERROR(__xludf.DUMMYFUNCTION("""COMPUTED_VALUE"""),3.0)</f>
        <v>3</v>
      </c>
      <c r="G506" s="17" t="str">
        <f>IFERROR(__xludf.DUMMYFUNCTION("""COMPUTED_VALUE"""),"33902")</f>
        <v>33902</v>
      </c>
      <c r="H506" s="17" t="str">
        <f>IFERROR(__xludf.DUMMYFUNCTION("""COMPUTED_VALUE"""),"сонцезахисні окуляри")</f>
        <v>сонцезахисні окуляри</v>
      </c>
      <c r="I506" s="19">
        <f>IFERROR(__xludf.DUMMYFUNCTION("""COMPUTED_VALUE"""),0.0971)</f>
        <v>0.0971</v>
      </c>
      <c r="J506" s="19">
        <f>IFERROR(__xludf.DUMMYFUNCTION("""COMPUTED_VALUE"""),0.1941)</f>
        <v>0.1941</v>
      </c>
      <c r="K506" s="19">
        <f>IFERROR(__xludf.DUMMYFUNCTION("""COMPUTED_VALUE"""),0.2426)</f>
        <v>0.2426</v>
      </c>
      <c r="L506" s="19">
        <f>IFERROR(__xludf.DUMMYFUNCTION("""COMPUTED_VALUE"""),0.2912)</f>
        <v>0.2912</v>
      </c>
      <c r="M506" s="18">
        <f>IFERROR(__xludf.DUMMYFUNCTION("""COMPUTED_VALUE"""),1.98)</f>
        <v>1.98</v>
      </c>
    </row>
    <row r="507">
      <c r="A507" s="13" t="str">
        <f>IFERROR(__xludf.DUMMYFUNCTION("""COMPUTED_VALUE"""),"товари")</f>
        <v>товари</v>
      </c>
      <c r="B507" s="16" t="str">
        <f>IFERROR(__xludf.DUMMYFUNCTION("""COMPUTED_VALUE"""),"аксесуари та прикраси")</f>
        <v>аксесуари та прикраси</v>
      </c>
      <c r="C507" s="16" t="str">
        <f>IFERROR(__xludf.DUMMYFUNCTION("""COMPUTED_VALUE"""),"ювелірні вироби")</f>
        <v>ювелірні вироби</v>
      </c>
      <c r="D507" s="16" t="str">
        <f>IFERROR(__xludf.DUMMYFUNCTION("""COMPUTED_VALUE"""),"ювелірні вироби зі срібла")</f>
        <v>ювелірні вироби зі срібла</v>
      </c>
      <c r="E507" s="16" t="str">
        <f>IFERROR(__xludf.DUMMYFUNCTION("""COMPUTED_VALUE"""),"срібні браслети")</f>
        <v>срібні браслети</v>
      </c>
      <c r="F507" s="17">
        <f>IFERROR(__xludf.DUMMYFUNCTION("""COMPUTED_VALUE"""),4.0)</f>
        <v>4</v>
      </c>
      <c r="G507" s="17" t="str">
        <f>IFERROR(__xludf.DUMMYFUNCTION("""COMPUTED_VALUE"""),"15091304")</f>
        <v>15091304</v>
      </c>
      <c r="H507" s="17" t="str">
        <f>IFERROR(__xludf.DUMMYFUNCTION("""COMPUTED_VALUE"""),"срібні браслети")</f>
        <v>срібні браслети</v>
      </c>
      <c r="I507" s="19">
        <f>IFERROR(__xludf.DUMMYFUNCTION("""COMPUTED_VALUE"""),0.0901)</f>
        <v>0.0901</v>
      </c>
      <c r="J507" s="19">
        <f>IFERROR(__xludf.DUMMYFUNCTION("""COMPUTED_VALUE"""),0.1802)</f>
        <v>0.1802</v>
      </c>
      <c r="K507" s="19">
        <f>IFERROR(__xludf.DUMMYFUNCTION("""COMPUTED_VALUE"""),0.2253)</f>
        <v>0.2253</v>
      </c>
      <c r="L507" s="19">
        <f>IFERROR(__xludf.DUMMYFUNCTION("""COMPUTED_VALUE"""),0.2703)</f>
        <v>0.2703</v>
      </c>
      <c r="M507" s="18">
        <f>IFERROR(__xludf.DUMMYFUNCTION("""COMPUTED_VALUE"""),3.43)</f>
        <v>3.43</v>
      </c>
    </row>
    <row r="508">
      <c r="A508" s="13" t="str">
        <f>IFERROR(__xludf.DUMMYFUNCTION("""COMPUTED_VALUE"""),"товари")</f>
        <v>товари</v>
      </c>
      <c r="B508" s="16" t="str">
        <f>IFERROR(__xludf.DUMMYFUNCTION("""COMPUTED_VALUE"""),"аксесуари та прикраси")</f>
        <v>аксесуари та прикраси</v>
      </c>
      <c r="C508" s="16" t="str">
        <f>IFERROR(__xludf.DUMMYFUNCTION("""COMPUTED_VALUE"""),"ювелірні вироби")</f>
        <v>ювелірні вироби</v>
      </c>
      <c r="D508" s="16" t="str">
        <f>IFERROR(__xludf.DUMMYFUNCTION("""COMPUTED_VALUE"""),"ювелірні вироби зі срібла")</f>
        <v>ювелірні вироби зі срібла</v>
      </c>
      <c r="E508" s="16" t="str">
        <f>IFERROR(__xludf.DUMMYFUNCTION("""COMPUTED_VALUE"""),"срібні брошки")</f>
        <v>срібні брошки</v>
      </c>
      <c r="F508" s="17">
        <f>IFERROR(__xludf.DUMMYFUNCTION("""COMPUTED_VALUE"""),4.0)</f>
        <v>4</v>
      </c>
      <c r="G508" s="17" t="str">
        <f>IFERROR(__xludf.DUMMYFUNCTION("""COMPUTED_VALUE"""),"15091306")</f>
        <v>15091306</v>
      </c>
      <c r="H508" s="17" t="str">
        <f>IFERROR(__xludf.DUMMYFUNCTION("""COMPUTED_VALUE"""),"срібні брошки")</f>
        <v>срібні брошки</v>
      </c>
      <c r="I508" s="19">
        <f>IFERROR(__xludf.DUMMYFUNCTION("""COMPUTED_VALUE"""),0.0957)</f>
        <v>0.0957</v>
      </c>
      <c r="J508" s="19">
        <f>IFERROR(__xludf.DUMMYFUNCTION("""COMPUTED_VALUE"""),0.1913)</f>
        <v>0.1913</v>
      </c>
      <c r="K508" s="19">
        <f>IFERROR(__xludf.DUMMYFUNCTION("""COMPUTED_VALUE"""),0.2391)</f>
        <v>0.2391</v>
      </c>
      <c r="L508" s="19">
        <f>IFERROR(__xludf.DUMMYFUNCTION("""COMPUTED_VALUE"""),0.287)</f>
        <v>0.287</v>
      </c>
      <c r="M508" s="18">
        <f>IFERROR(__xludf.DUMMYFUNCTION("""COMPUTED_VALUE"""),3.43)</f>
        <v>3.43</v>
      </c>
    </row>
    <row r="509">
      <c r="A509" s="13" t="str">
        <f>IFERROR(__xludf.DUMMYFUNCTION("""COMPUTED_VALUE"""),"товари")</f>
        <v>товари</v>
      </c>
      <c r="B509" s="16" t="str">
        <f>IFERROR(__xludf.DUMMYFUNCTION("""COMPUTED_VALUE"""),"аксесуари та прикраси")</f>
        <v>аксесуари та прикраси</v>
      </c>
      <c r="C509" s="16" t="str">
        <f>IFERROR(__xludf.DUMMYFUNCTION("""COMPUTED_VALUE"""),"ювелірні вироби")</f>
        <v>ювелірні вироби</v>
      </c>
      <c r="D509" s="16" t="str">
        <f>IFERROR(__xludf.DUMMYFUNCTION("""COMPUTED_VALUE"""),"ювелірні вироби зі срібла")</f>
        <v>ювелірні вироби зі срібла</v>
      </c>
      <c r="E509" s="16" t="str">
        <f>IFERROR(__xludf.DUMMYFUNCTION("""COMPUTED_VALUE"""),"срібні каблучки")</f>
        <v>срібні каблучки</v>
      </c>
      <c r="F509" s="17">
        <f>IFERROR(__xludf.DUMMYFUNCTION("""COMPUTED_VALUE"""),4.0)</f>
        <v>4</v>
      </c>
      <c r="G509" s="17" t="str">
        <f>IFERROR(__xludf.DUMMYFUNCTION("""COMPUTED_VALUE"""),"15091301")</f>
        <v>15091301</v>
      </c>
      <c r="H509" s="17" t="str">
        <f>IFERROR(__xludf.DUMMYFUNCTION("""COMPUTED_VALUE"""),"срібні каблучки")</f>
        <v>срібні каблучки</v>
      </c>
      <c r="I509" s="19">
        <f>IFERROR(__xludf.DUMMYFUNCTION("""COMPUTED_VALUE"""),0.083)</f>
        <v>0.083</v>
      </c>
      <c r="J509" s="19">
        <f>IFERROR(__xludf.DUMMYFUNCTION("""COMPUTED_VALUE"""),0.1659)</f>
        <v>0.1659</v>
      </c>
      <c r="K509" s="19">
        <f>IFERROR(__xludf.DUMMYFUNCTION("""COMPUTED_VALUE"""),0.2074)</f>
        <v>0.2074</v>
      </c>
      <c r="L509" s="19">
        <f>IFERROR(__xludf.DUMMYFUNCTION("""COMPUTED_VALUE"""),0.2489)</f>
        <v>0.2489</v>
      </c>
      <c r="M509" s="18">
        <f>IFERROR(__xludf.DUMMYFUNCTION("""COMPUTED_VALUE"""),3.43)</f>
        <v>3.43</v>
      </c>
    </row>
    <row r="510">
      <c r="A510" s="13" t="str">
        <f>IFERROR(__xludf.DUMMYFUNCTION("""COMPUTED_VALUE"""),"товари")</f>
        <v>товари</v>
      </c>
      <c r="B510" s="16" t="str">
        <f>IFERROR(__xludf.DUMMYFUNCTION("""COMPUTED_VALUE"""),"аксесуари та прикраси")</f>
        <v>аксесуари та прикраси</v>
      </c>
      <c r="C510" s="16" t="str">
        <f>IFERROR(__xludf.DUMMYFUNCTION("""COMPUTED_VALUE"""),"ювелірні вироби")</f>
        <v>ювелірні вироби</v>
      </c>
      <c r="D510" s="16" t="str">
        <f>IFERROR(__xludf.DUMMYFUNCTION("""COMPUTED_VALUE"""),"ювелірні вироби зі срібла")</f>
        <v>ювелірні вироби зі срібла</v>
      </c>
      <c r="E510" s="16" t="str">
        <f>IFERROR(__xludf.DUMMYFUNCTION("""COMPUTED_VALUE"""),"срібні кольє")</f>
        <v>срібні кольє</v>
      </c>
      <c r="F510" s="17">
        <f>IFERROR(__xludf.DUMMYFUNCTION("""COMPUTED_VALUE"""),4.0)</f>
        <v>4</v>
      </c>
      <c r="G510" s="17" t="str">
        <f>IFERROR(__xludf.DUMMYFUNCTION("""COMPUTED_VALUE"""),"15091307")</f>
        <v>15091307</v>
      </c>
      <c r="H510" s="17" t="str">
        <f>IFERROR(__xludf.DUMMYFUNCTION("""COMPUTED_VALUE"""),"срібні кольє")</f>
        <v>срібні кольє</v>
      </c>
      <c r="I510" s="19">
        <f>IFERROR(__xludf.DUMMYFUNCTION("""COMPUTED_VALUE"""),0.0866)</f>
        <v>0.0866</v>
      </c>
      <c r="J510" s="19">
        <f>IFERROR(__xludf.DUMMYFUNCTION("""COMPUTED_VALUE"""),0.1731)</f>
        <v>0.1731</v>
      </c>
      <c r="K510" s="19">
        <f>IFERROR(__xludf.DUMMYFUNCTION("""COMPUTED_VALUE"""),0.2164)</f>
        <v>0.2164</v>
      </c>
      <c r="L510" s="19">
        <f>IFERROR(__xludf.DUMMYFUNCTION("""COMPUTED_VALUE"""),0.2597)</f>
        <v>0.2597</v>
      </c>
      <c r="M510" s="18">
        <f>IFERROR(__xludf.DUMMYFUNCTION("""COMPUTED_VALUE"""),3.43)</f>
        <v>3.43</v>
      </c>
    </row>
    <row r="511">
      <c r="A511" s="13" t="str">
        <f>IFERROR(__xludf.DUMMYFUNCTION("""COMPUTED_VALUE"""),"товари")</f>
        <v>товари</v>
      </c>
      <c r="B511" s="16" t="str">
        <f>IFERROR(__xludf.DUMMYFUNCTION("""COMPUTED_VALUE"""),"аксесуари та прикраси")</f>
        <v>аксесуари та прикраси</v>
      </c>
      <c r="C511" s="16" t="str">
        <f>IFERROR(__xludf.DUMMYFUNCTION("""COMPUTED_VALUE"""),"ювелірні вироби")</f>
        <v>ювелірні вироби</v>
      </c>
      <c r="D511" s="16" t="str">
        <f>IFERROR(__xludf.DUMMYFUNCTION("""COMPUTED_VALUE"""),"ювелірні вироби зі срібла")</f>
        <v>ювелірні вироби зі срібла</v>
      </c>
      <c r="E511" s="16" t="str">
        <f>IFERROR(__xludf.DUMMYFUNCTION("""COMPUTED_VALUE"""),"срібні кулони")</f>
        <v>срібні кулони</v>
      </c>
      <c r="F511" s="17">
        <f>IFERROR(__xludf.DUMMYFUNCTION("""COMPUTED_VALUE"""),4.0)</f>
        <v>4</v>
      </c>
      <c r="G511" s="17" t="str">
        <f>IFERROR(__xludf.DUMMYFUNCTION("""COMPUTED_VALUE"""),"15091303")</f>
        <v>15091303</v>
      </c>
      <c r="H511" s="17" t="str">
        <f>IFERROR(__xludf.DUMMYFUNCTION("""COMPUTED_VALUE"""),"срібні кулони")</f>
        <v>срібні кулони</v>
      </c>
      <c r="I511" s="19">
        <f>IFERROR(__xludf.DUMMYFUNCTION("""COMPUTED_VALUE"""),0.0927)</f>
        <v>0.0927</v>
      </c>
      <c r="J511" s="19">
        <f>IFERROR(__xludf.DUMMYFUNCTION("""COMPUTED_VALUE"""),0.1854)</f>
        <v>0.1854</v>
      </c>
      <c r="K511" s="19">
        <f>IFERROR(__xludf.DUMMYFUNCTION("""COMPUTED_VALUE"""),0.2318)</f>
        <v>0.2318</v>
      </c>
      <c r="L511" s="19">
        <f>IFERROR(__xludf.DUMMYFUNCTION("""COMPUTED_VALUE"""),0.2781)</f>
        <v>0.2781</v>
      </c>
      <c r="M511" s="18">
        <f>IFERROR(__xludf.DUMMYFUNCTION("""COMPUTED_VALUE"""),3.43)</f>
        <v>3.43</v>
      </c>
    </row>
    <row r="512">
      <c r="A512" s="13" t="str">
        <f>IFERROR(__xludf.DUMMYFUNCTION("""COMPUTED_VALUE"""),"товари")</f>
        <v>товари</v>
      </c>
      <c r="B512" s="16" t="str">
        <f>IFERROR(__xludf.DUMMYFUNCTION("""COMPUTED_VALUE"""),"аксесуари та прикраси")</f>
        <v>аксесуари та прикраси</v>
      </c>
      <c r="C512" s="16" t="str">
        <f>IFERROR(__xludf.DUMMYFUNCTION("""COMPUTED_VALUE"""),"ювелірні вироби")</f>
        <v>ювелірні вироби</v>
      </c>
      <c r="D512" s="16" t="str">
        <f>IFERROR(__xludf.DUMMYFUNCTION("""COMPUTED_VALUE"""),"ювелірні вироби зі срібла")</f>
        <v>ювелірні вироби зі срібла</v>
      </c>
      <c r="E512" s="16" t="str">
        <f>IFERROR(__xludf.DUMMYFUNCTION("""COMPUTED_VALUE"""),"срібні ланцюжки")</f>
        <v>срібні ланцюжки</v>
      </c>
      <c r="F512" s="17">
        <f>IFERROR(__xludf.DUMMYFUNCTION("""COMPUTED_VALUE"""),4.0)</f>
        <v>4</v>
      </c>
      <c r="G512" s="17" t="str">
        <f>IFERROR(__xludf.DUMMYFUNCTION("""COMPUTED_VALUE"""),"15091305")</f>
        <v>15091305</v>
      </c>
      <c r="H512" s="17" t="str">
        <f>IFERROR(__xludf.DUMMYFUNCTION("""COMPUTED_VALUE"""),"срібні ланцюжки")</f>
        <v>срібні ланцюжки</v>
      </c>
      <c r="I512" s="19">
        <f>IFERROR(__xludf.DUMMYFUNCTION("""COMPUTED_VALUE"""),0.0856)</f>
        <v>0.0856</v>
      </c>
      <c r="J512" s="19">
        <f>IFERROR(__xludf.DUMMYFUNCTION("""COMPUTED_VALUE"""),0.1711)</f>
        <v>0.1711</v>
      </c>
      <c r="K512" s="19">
        <f>IFERROR(__xludf.DUMMYFUNCTION("""COMPUTED_VALUE"""),0.2139)</f>
        <v>0.2139</v>
      </c>
      <c r="L512" s="19">
        <f>IFERROR(__xludf.DUMMYFUNCTION("""COMPUTED_VALUE"""),0.2567)</f>
        <v>0.2567</v>
      </c>
      <c r="M512" s="18">
        <f>IFERROR(__xludf.DUMMYFUNCTION("""COMPUTED_VALUE"""),3.43)</f>
        <v>3.43</v>
      </c>
    </row>
    <row r="513">
      <c r="A513" s="13" t="str">
        <f>IFERROR(__xludf.DUMMYFUNCTION("""COMPUTED_VALUE"""),"товари")</f>
        <v>товари</v>
      </c>
      <c r="B513" s="16" t="str">
        <f>IFERROR(__xludf.DUMMYFUNCTION("""COMPUTED_VALUE"""),"аксесуари та прикраси")</f>
        <v>аксесуари та прикраси</v>
      </c>
      <c r="C513" s="16" t="str">
        <f>IFERROR(__xludf.DUMMYFUNCTION("""COMPUTED_VALUE"""),"ювелірні вироби")</f>
        <v>ювелірні вироби</v>
      </c>
      <c r="D513" s="16" t="str">
        <f>IFERROR(__xludf.DUMMYFUNCTION("""COMPUTED_VALUE"""),"ювелірні вироби зі срібла")</f>
        <v>ювелірні вироби зі срібла</v>
      </c>
      <c r="E513" s="16" t="str">
        <f>IFERROR(__xludf.DUMMYFUNCTION("""COMPUTED_VALUE"""),"срібні сережки")</f>
        <v>срібні сережки</v>
      </c>
      <c r="F513" s="17">
        <f>IFERROR(__xludf.DUMMYFUNCTION("""COMPUTED_VALUE"""),4.0)</f>
        <v>4</v>
      </c>
      <c r="G513" s="17" t="str">
        <f>IFERROR(__xludf.DUMMYFUNCTION("""COMPUTED_VALUE"""),"15091302")</f>
        <v>15091302</v>
      </c>
      <c r="H513" s="17" t="str">
        <f>IFERROR(__xludf.DUMMYFUNCTION("""COMPUTED_VALUE"""),"срібні сережки")</f>
        <v>срібні сережки</v>
      </c>
      <c r="I513" s="19">
        <f>IFERROR(__xludf.DUMMYFUNCTION("""COMPUTED_VALUE"""),0.0895)</f>
        <v>0.0895</v>
      </c>
      <c r="J513" s="19">
        <f>IFERROR(__xludf.DUMMYFUNCTION("""COMPUTED_VALUE"""),0.1789)</f>
        <v>0.1789</v>
      </c>
      <c r="K513" s="19">
        <f>IFERROR(__xludf.DUMMYFUNCTION("""COMPUTED_VALUE"""),0.2236)</f>
        <v>0.2236</v>
      </c>
      <c r="L513" s="19">
        <f>IFERROR(__xludf.DUMMYFUNCTION("""COMPUTED_VALUE"""),0.2684)</f>
        <v>0.2684</v>
      </c>
      <c r="M513" s="18">
        <f>IFERROR(__xludf.DUMMYFUNCTION("""COMPUTED_VALUE"""),3.43)</f>
        <v>3.43</v>
      </c>
    </row>
    <row r="514">
      <c r="A514" s="13" t="str">
        <f>IFERROR(__xludf.DUMMYFUNCTION("""COMPUTED_VALUE"""),"товари")</f>
        <v>товари</v>
      </c>
      <c r="B514" s="16" t="str">
        <f>IFERROR(__xludf.DUMMYFUNCTION("""COMPUTED_VALUE"""),"аксесуари та прикраси")</f>
        <v>аксесуари та прикраси</v>
      </c>
      <c r="C514" s="16" t="str">
        <f>IFERROR(__xludf.DUMMYFUNCTION("""COMPUTED_VALUE"""),"aксесуари")</f>
        <v>aксесуари</v>
      </c>
      <c r="D514" s="16" t="str">
        <f>IFERROR(__xludf.DUMMYFUNCTION("""COMPUTED_VALUE"""),"аксесуари для волосся")</f>
        <v>аксесуари для волосся</v>
      </c>
      <c r="E514" s="16" t="str">
        <f>IFERROR(__xludf.DUMMYFUNCTION("""COMPUTED_VALUE"""),"стрічки і пов'язки для волосся")</f>
        <v>стрічки і пов'язки для волосся</v>
      </c>
      <c r="F514" s="17">
        <f>IFERROR(__xludf.DUMMYFUNCTION("""COMPUTED_VALUE"""),4.0)</f>
        <v>4</v>
      </c>
      <c r="G514" s="17" t="str">
        <f>IFERROR(__xludf.DUMMYFUNCTION("""COMPUTED_VALUE"""),"3390107")</f>
        <v>3390107</v>
      </c>
      <c r="H514" s="17" t="str">
        <f>IFERROR(__xludf.DUMMYFUNCTION("""COMPUTED_VALUE"""),"стрічки і пов'язки для волосся")</f>
        <v>стрічки і пов'язки для волосся</v>
      </c>
      <c r="I514" s="19">
        <f>IFERROR(__xludf.DUMMYFUNCTION("""COMPUTED_VALUE"""),0.0782)</f>
        <v>0.0782</v>
      </c>
      <c r="J514" s="19">
        <f>IFERROR(__xludf.DUMMYFUNCTION("""COMPUTED_VALUE"""),0.1563)</f>
        <v>0.1563</v>
      </c>
      <c r="K514" s="19">
        <f>IFERROR(__xludf.DUMMYFUNCTION("""COMPUTED_VALUE"""),0.1954)</f>
        <v>0.1954</v>
      </c>
      <c r="L514" s="19">
        <f>IFERROR(__xludf.DUMMYFUNCTION("""COMPUTED_VALUE"""),0.2345)</f>
        <v>0.2345</v>
      </c>
      <c r="M514" s="18">
        <f>IFERROR(__xludf.DUMMYFUNCTION("""COMPUTED_VALUE"""),1.26)</f>
        <v>1.26</v>
      </c>
    </row>
    <row r="515">
      <c r="A515" s="13" t="str">
        <f>IFERROR(__xludf.DUMMYFUNCTION("""COMPUTED_VALUE"""),"товари")</f>
        <v>товари</v>
      </c>
      <c r="B515" s="16" t="str">
        <f>IFERROR(__xludf.DUMMYFUNCTION("""COMPUTED_VALUE"""),"аксесуари та прикраси")</f>
        <v>аксесуари та прикраси</v>
      </c>
      <c r="C515" s="16" t="str">
        <f>IFERROR(__xludf.DUMMYFUNCTION("""COMPUTED_VALUE"""),"сумки, валізи, портфелі")</f>
        <v>сумки, валізи, портфелі</v>
      </c>
      <c r="D515" s="16" t="str">
        <f>IFERROR(__xludf.DUMMYFUNCTION("""COMPUTED_VALUE"""),"сумки і портфелі, загальне")</f>
        <v>сумки і портфелі, загальне</v>
      </c>
      <c r="E515" s="16" t="str">
        <f>IFERROR(__xludf.DUMMYFUNCTION("""COMPUTED_VALUE"""),"сумки і портфелі, загальне")</f>
        <v>сумки і портфелі, загальне</v>
      </c>
      <c r="F515" s="17">
        <f>IFERROR(__xludf.DUMMYFUNCTION("""COMPUTED_VALUE"""),3.0)</f>
        <v>3</v>
      </c>
      <c r="G515" s="17" t="str">
        <f>IFERROR(__xludf.DUMMYFUNCTION("""COMPUTED_VALUE"""),"152499")</f>
        <v>152499</v>
      </c>
      <c r="H515" s="17" t="str">
        <f>IFERROR(__xludf.DUMMYFUNCTION("""COMPUTED_VALUE"""),"сумки і портфелі, загальне")</f>
        <v>сумки і портфелі, загальне</v>
      </c>
      <c r="I515" s="19">
        <f>IFERROR(__xludf.DUMMYFUNCTION("""COMPUTED_VALUE"""),0.125)</f>
        <v>0.125</v>
      </c>
      <c r="J515" s="19">
        <f>IFERROR(__xludf.DUMMYFUNCTION("""COMPUTED_VALUE"""),0.25)</f>
        <v>0.25</v>
      </c>
      <c r="K515" s="19">
        <f>IFERROR(__xludf.DUMMYFUNCTION("""COMPUTED_VALUE"""),0.3125)</f>
        <v>0.3125</v>
      </c>
      <c r="L515" s="19">
        <f>IFERROR(__xludf.DUMMYFUNCTION("""COMPUTED_VALUE"""),0.375)</f>
        <v>0.375</v>
      </c>
      <c r="M515" s="18">
        <f>IFERROR(__xludf.DUMMYFUNCTION("""COMPUTED_VALUE"""),4.33)</f>
        <v>4.33</v>
      </c>
    </row>
    <row r="516">
      <c r="A516" s="13" t="str">
        <f>IFERROR(__xludf.DUMMYFUNCTION("""COMPUTED_VALUE"""),"товари")</f>
        <v>товари</v>
      </c>
      <c r="B516" s="16" t="str">
        <f>IFERROR(__xludf.DUMMYFUNCTION("""COMPUTED_VALUE"""),"аксесуари та прикраси")</f>
        <v>аксесуари та прикраси</v>
      </c>
      <c r="C516" s="16" t="str">
        <f>IFERROR(__xludf.DUMMYFUNCTION("""COMPUTED_VALUE"""),"aксесуари")</f>
        <v>aксесуари</v>
      </c>
      <c r="D516" s="16" t="str">
        <f>IFERROR(__xludf.DUMMYFUNCTION("""COMPUTED_VALUE"""),"головні убори")</f>
        <v>головні убори</v>
      </c>
      <c r="E516" s="16" t="str">
        <f>IFERROR(__xludf.DUMMYFUNCTION("""COMPUTED_VALUE"""),"тюбетейки")</f>
        <v>тюбетейки</v>
      </c>
      <c r="F516" s="17">
        <f>IFERROR(__xludf.DUMMYFUNCTION("""COMPUTED_VALUE"""),4.0)</f>
        <v>4</v>
      </c>
      <c r="G516" s="17" t="str">
        <f>IFERROR(__xludf.DUMMYFUNCTION("""COMPUTED_VALUE"""),"32719")</f>
        <v>32719</v>
      </c>
      <c r="H516" s="17" t="str">
        <f>IFERROR(__xludf.DUMMYFUNCTION("""COMPUTED_VALUE"""),"тюбетейки")</f>
        <v>тюбетейки</v>
      </c>
      <c r="I516" s="19">
        <f>IFERROR(__xludf.DUMMYFUNCTION("""COMPUTED_VALUE"""),0.098)</f>
        <v>0.098</v>
      </c>
      <c r="J516" s="19">
        <f>IFERROR(__xludf.DUMMYFUNCTION("""COMPUTED_VALUE"""),0.1959)</f>
        <v>0.1959</v>
      </c>
      <c r="K516" s="19">
        <f>IFERROR(__xludf.DUMMYFUNCTION("""COMPUTED_VALUE"""),0.2449)</f>
        <v>0.2449</v>
      </c>
      <c r="L516" s="19">
        <f>IFERROR(__xludf.DUMMYFUNCTION("""COMPUTED_VALUE"""),0.2939)</f>
        <v>0.2939</v>
      </c>
      <c r="M516" s="18">
        <f>IFERROR(__xludf.DUMMYFUNCTION("""COMPUTED_VALUE"""),1.63)</f>
        <v>1.63</v>
      </c>
    </row>
    <row r="517">
      <c r="A517" s="13" t="str">
        <f>IFERROR(__xludf.DUMMYFUNCTION("""COMPUTED_VALUE"""),"товари")</f>
        <v>товари</v>
      </c>
      <c r="B517" s="16" t="str">
        <f>IFERROR(__xludf.DUMMYFUNCTION("""COMPUTED_VALUE"""),"аксесуари та прикраси")</f>
        <v>аксесуари та прикраси</v>
      </c>
      <c r="C517" s="16" t="str">
        <f>IFERROR(__xludf.DUMMYFUNCTION("""COMPUTED_VALUE"""),"ювелірні вироби")</f>
        <v>ювелірні вироби</v>
      </c>
      <c r="D517" s="16" t="str">
        <f>IFERROR(__xludf.DUMMYFUNCTION("""COMPUTED_VALUE"""),"футляри та підставки для коштовностей")</f>
        <v>футляри та підставки для коштовностей</v>
      </c>
      <c r="E517" s="16" t="str">
        <f>IFERROR(__xludf.DUMMYFUNCTION("""COMPUTED_VALUE"""),"футляри та підставки для коштовностей")</f>
        <v>футляри та підставки для коштовностей</v>
      </c>
      <c r="F517" s="17">
        <f>IFERROR(__xludf.DUMMYFUNCTION("""COMPUTED_VALUE"""),3.0)</f>
        <v>3</v>
      </c>
      <c r="G517" s="17" t="str">
        <f>IFERROR(__xludf.DUMMYFUNCTION("""COMPUTED_VALUE"""),"152406")</f>
        <v>152406</v>
      </c>
      <c r="H517" s="17" t="str">
        <f>IFERROR(__xludf.DUMMYFUNCTION("""COMPUTED_VALUE"""),"футляри та підставки для коштовностей")</f>
        <v>футляри та підставки для коштовностей</v>
      </c>
      <c r="I517" s="19">
        <f>IFERROR(__xludf.DUMMYFUNCTION("""COMPUTED_VALUE"""),0.0789)</f>
        <v>0.0789</v>
      </c>
      <c r="J517" s="19">
        <f>IFERROR(__xludf.DUMMYFUNCTION("""COMPUTED_VALUE"""),0.1577)</f>
        <v>0.1577</v>
      </c>
      <c r="K517" s="19">
        <f>IFERROR(__xludf.DUMMYFUNCTION("""COMPUTED_VALUE"""),0.1971)</f>
        <v>0.1971</v>
      </c>
      <c r="L517" s="19">
        <f>IFERROR(__xludf.DUMMYFUNCTION("""COMPUTED_VALUE"""),0.2366)</f>
        <v>0.2366</v>
      </c>
      <c r="M517" s="18">
        <f>IFERROR(__xludf.DUMMYFUNCTION("""COMPUTED_VALUE"""),4.05)</f>
        <v>4.05</v>
      </c>
    </row>
    <row r="518">
      <c r="A518" s="13" t="str">
        <f>IFERROR(__xludf.DUMMYFUNCTION("""COMPUTED_VALUE"""),"товари")</f>
        <v>товари</v>
      </c>
      <c r="B518" s="16" t="str">
        <f>IFERROR(__xludf.DUMMYFUNCTION("""COMPUTED_VALUE"""),"аксесуари та прикраси")</f>
        <v>аксесуари та прикраси</v>
      </c>
      <c r="C518" s="16" t="str">
        <f>IFERROR(__xludf.DUMMYFUNCTION("""COMPUTED_VALUE"""),"aксесуари")</f>
        <v>aксесуари</v>
      </c>
      <c r="D518" s="16" t="str">
        <f>IFERROR(__xludf.DUMMYFUNCTION("""COMPUTED_VALUE"""),"холдери для документів")</f>
        <v>холдери для документів</v>
      </c>
      <c r="E518" s="16" t="str">
        <f>IFERROR(__xludf.DUMMYFUNCTION("""COMPUTED_VALUE"""),"холдери для документів")</f>
        <v>холдери для документів</v>
      </c>
      <c r="F518" s="17">
        <f>IFERROR(__xludf.DUMMYFUNCTION("""COMPUTED_VALUE"""),3.0)</f>
        <v>3</v>
      </c>
      <c r="G518" s="17" t="str">
        <f>IFERROR(__xludf.DUMMYFUNCTION("""COMPUTED_VALUE"""),"33916")</f>
        <v>33916</v>
      </c>
      <c r="H518" s="17" t="str">
        <f>IFERROR(__xludf.DUMMYFUNCTION("""COMPUTED_VALUE"""),"холдери для документів")</f>
        <v>холдери для документів</v>
      </c>
      <c r="I518" s="19">
        <f>IFERROR(__xludf.DUMMYFUNCTION("""COMPUTED_VALUE"""),0.0998)</f>
        <v>0.0998</v>
      </c>
      <c r="J518" s="19">
        <f>IFERROR(__xludf.DUMMYFUNCTION("""COMPUTED_VALUE"""),0.1995)</f>
        <v>0.1995</v>
      </c>
      <c r="K518" s="19">
        <f>IFERROR(__xludf.DUMMYFUNCTION("""COMPUTED_VALUE"""),0.2494)</f>
        <v>0.2494</v>
      </c>
      <c r="L518" s="19">
        <f>IFERROR(__xludf.DUMMYFUNCTION("""COMPUTED_VALUE"""),0.2993)</f>
        <v>0.2993</v>
      </c>
      <c r="M518" s="18">
        <f>IFERROR(__xludf.DUMMYFUNCTION("""COMPUTED_VALUE"""),1.44)</f>
        <v>1.44</v>
      </c>
    </row>
    <row r="519">
      <c r="A519" s="13" t="str">
        <f>IFERROR(__xludf.DUMMYFUNCTION("""COMPUTED_VALUE"""),"товари")</f>
        <v>товари</v>
      </c>
      <c r="B519" s="16" t="str">
        <f>IFERROR(__xludf.DUMMYFUNCTION("""COMPUTED_VALUE"""),"аксесуари та прикраси")</f>
        <v>аксесуари та прикраси</v>
      </c>
      <c r="C519" s="16" t="str">
        <f>IFERROR(__xludf.DUMMYFUNCTION("""COMPUTED_VALUE"""),"шарфи, хустки, шалі")</f>
        <v>шарфи, хустки, шалі</v>
      </c>
      <c r="D519" s="16" t="str">
        <f>IFERROR(__xludf.DUMMYFUNCTION("""COMPUTED_VALUE"""),"хустки, шалі, палантини")</f>
        <v>хустки, шалі, палантини</v>
      </c>
      <c r="E519" s="16" t="str">
        <f>IFERROR(__xludf.DUMMYFUNCTION("""COMPUTED_VALUE"""),"хустки, шалі, палантини")</f>
        <v>хустки, шалі, палантини</v>
      </c>
      <c r="F519" s="17">
        <f>IFERROR(__xludf.DUMMYFUNCTION("""COMPUTED_VALUE"""),3.0)</f>
        <v>3</v>
      </c>
      <c r="G519" s="17" t="str">
        <f>IFERROR(__xludf.DUMMYFUNCTION("""COMPUTED_VALUE"""),"31307")</f>
        <v>31307</v>
      </c>
      <c r="H519" s="17" t="str">
        <f>IFERROR(__xludf.DUMMYFUNCTION("""COMPUTED_VALUE"""),"хустки, шалі, палантини")</f>
        <v>хустки, шалі, палантини</v>
      </c>
      <c r="I519" s="19">
        <f>IFERROR(__xludf.DUMMYFUNCTION("""COMPUTED_VALUE"""),0.093)</f>
        <v>0.093</v>
      </c>
      <c r="J519" s="19">
        <f>IFERROR(__xludf.DUMMYFUNCTION("""COMPUTED_VALUE"""),0.1859)</f>
        <v>0.1859</v>
      </c>
      <c r="K519" s="19">
        <f>IFERROR(__xludf.DUMMYFUNCTION("""COMPUTED_VALUE"""),0.2324)</f>
        <v>0.2324</v>
      </c>
      <c r="L519" s="19">
        <f>IFERROR(__xludf.DUMMYFUNCTION("""COMPUTED_VALUE"""),0.2789)</f>
        <v>0.2789</v>
      </c>
      <c r="M519" s="18">
        <f>IFERROR(__xludf.DUMMYFUNCTION("""COMPUTED_VALUE"""),2.08)</f>
        <v>2.08</v>
      </c>
    </row>
    <row r="520">
      <c r="A520" s="13" t="str">
        <f>IFERROR(__xludf.DUMMYFUNCTION("""COMPUTED_VALUE"""),"товари")</f>
        <v>товари</v>
      </c>
      <c r="B520" s="16" t="str">
        <f>IFERROR(__xludf.DUMMYFUNCTION("""COMPUTED_VALUE"""),"аксесуари та прикраси")</f>
        <v>аксесуари та прикраси</v>
      </c>
      <c r="C520" s="16" t="str">
        <f>IFERROR(__xludf.DUMMYFUNCTION("""COMPUTED_VALUE"""),"сумки, валізи, портфелі")</f>
        <v>сумки, валізи, портфелі</v>
      </c>
      <c r="D520" s="16" t="str">
        <f>IFERROR(__xludf.DUMMYFUNCTION("""COMPUTED_VALUE"""),"чоловічі сумки ")</f>
        <v>чоловічі сумки </v>
      </c>
      <c r="E520" s="16" t="str">
        <f>IFERROR(__xludf.DUMMYFUNCTION("""COMPUTED_VALUE"""),"чоловічі сумки ")</f>
        <v>чоловічі сумки </v>
      </c>
      <c r="F520" s="17">
        <f>IFERROR(__xludf.DUMMYFUNCTION("""COMPUTED_VALUE"""),3.0)</f>
        <v>3</v>
      </c>
      <c r="G520" s="17" t="str">
        <f>IFERROR(__xludf.DUMMYFUNCTION("""COMPUTED_VALUE"""),"152411")</f>
        <v>152411</v>
      </c>
      <c r="H520" s="17" t="str">
        <f>IFERROR(__xludf.DUMMYFUNCTION("""COMPUTED_VALUE"""),"чоловічі сумки ")</f>
        <v>чоловічі сумки </v>
      </c>
      <c r="I520" s="19">
        <f>IFERROR(__xludf.DUMMYFUNCTION("""COMPUTED_VALUE"""),0.0968)</f>
        <v>0.0968</v>
      </c>
      <c r="J520" s="19">
        <f>IFERROR(__xludf.DUMMYFUNCTION("""COMPUTED_VALUE"""),0.1936)</f>
        <v>0.1936</v>
      </c>
      <c r="K520" s="19">
        <f>IFERROR(__xludf.DUMMYFUNCTION("""COMPUTED_VALUE"""),0.242)</f>
        <v>0.242</v>
      </c>
      <c r="L520" s="19">
        <f>IFERROR(__xludf.DUMMYFUNCTION("""COMPUTED_VALUE"""),0.2904)</f>
        <v>0.2904</v>
      </c>
      <c r="M520" s="18">
        <f>IFERROR(__xludf.DUMMYFUNCTION("""COMPUTED_VALUE"""),1.63)</f>
        <v>1.63</v>
      </c>
    </row>
    <row r="521">
      <c r="A521" s="13" t="str">
        <f>IFERROR(__xludf.DUMMYFUNCTION("""COMPUTED_VALUE"""),"товари")</f>
        <v>товари</v>
      </c>
      <c r="B521" s="16" t="str">
        <f>IFERROR(__xludf.DUMMYFUNCTION("""COMPUTED_VALUE"""),"аксесуари та прикраси")</f>
        <v>аксесуари та прикраси</v>
      </c>
      <c r="C521" s="16" t="str">
        <f>IFERROR(__xludf.DUMMYFUNCTION("""COMPUTED_VALUE"""),"aксесуари")</f>
        <v>aксесуари</v>
      </c>
      <c r="D521" s="16" t="str">
        <f>IFERROR(__xludf.DUMMYFUNCTION("""COMPUTED_VALUE"""),"чохли для ключів")</f>
        <v>чохли для ключів</v>
      </c>
      <c r="E521" s="16" t="str">
        <f>IFERROR(__xludf.DUMMYFUNCTION("""COMPUTED_VALUE"""),"чохли для ключів")</f>
        <v>чохли для ключів</v>
      </c>
      <c r="F521" s="17">
        <f>IFERROR(__xludf.DUMMYFUNCTION("""COMPUTED_VALUE"""),3.0)</f>
        <v>3</v>
      </c>
      <c r="G521" s="17" t="str">
        <f>IFERROR(__xludf.DUMMYFUNCTION("""COMPUTED_VALUE"""),"380310")</f>
        <v>380310</v>
      </c>
      <c r="H521" s="17" t="str">
        <f>IFERROR(__xludf.DUMMYFUNCTION("""COMPUTED_VALUE"""),"чохли для ключів")</f>
        <v>чохли для ключів</v>
      </c>
      <c r="I521" s="19">
        <f>IFERROR(__xludf.DUMMYFUNCTION("""COMPUTED_VALUE"""),0.0967)</f>
        <v>0.0967</v>
      </c>
      <c r="J521" s="19">
        <f>IFERROR(__xludf.DUMMYFUNCTION("""COMPUTED_VALUE"""),0.1933)</f>
        <v>0.1933</v>
      </c>
      <c r="K521" s="19">
        <f>IFERROR(__xludf.DUMMYFUNCTION("""COMPUTED_VALUE"""),0.2416)</f>
        <v>0.2416</v>
      </c>
      <c r="L521" s="19">
        <f>IFERROR(__xludf.DUMMYFUNCTION("""COMPUTED_VALUE"""),0.29)</f>
        <v>0.29</v>
      </c>
      <c r="M521" s="18">
        <f>IFERROR(__xludf.DUMMYFUNCTION("""COMPUTED_VALUE"""),1.05)</f>
        <v>1.05</v>
      </c>
    </row>
    <row r="522">
      <c r="A522" s="13" t="str">
        <f>IFERROR(__xludf.DUMMYFUNCTION("""COMPUTED_VALUE"""),"товари")</f>
        <v>товари</v>
      </c>
      <c r="B522" s="16" t="str">
        <f>IFERROR(__xludf.DUMMYFUNCTION("""COMPUTED_VALUE"""),"аксесуари та прикраси")</f>
        <v>аксесуари та прикраси</v>
      </c>
      <c r="C522" s="16" t="str">
        <f>IFERROR(__xludf.DUMMYFUNCTION("""COMPUTED_VALUE"""),"aксесуари")</f>
        <v>aксесуари</v>
      </c>
      <c r="D522" s="16" t="str">
        <f>IFERROR(__xludf.DUMMYFUNCTION("""COMPUTED_VALUE"""),"головні убори")</f>
        <v>головні убори</v>
      </c>
      <c r="E522" s="16" t="str">
        <f>IFERROR(__xludf.DUMMYFUNCTION("""COMPUTED_VALUE"""),"шапки")</f>
        <v>шапки</v>
      </c>
      <c r="F522" s="17">
        <f>IFERROR(__xludf.DUMMYFUNCTION("""COMPUTED_VALUE"""),4.0)</f>
        <v>4</v>
      </c>
      <c r="G522" s="17" t="str">
        <f>IFERROR(__xludf.DUMMYFUNCTION("""COMPUTED_VALUE"""),"32710")</f>
        <v>32710</v>
      </c>
      <c r="H522" s="17" t="str">
        <f>IFERROR(__xludf.DUMMYFUNCTION("""COMPUTED_VALUE"""),"шапки")</f>
        <v>шапки</v>
      </c>
      <c r="I522" s="19">
        <f>IFERROR(__xludf.DUMMYFUNCTION("""COMPUTED_VALUE"""),0.098)</f>
        <v>0.098</v>
      </c>
      <c r="J522" s="19">
        <f>IFERROR(__xludf.DUMMYFUNCTION("""COMPUTED_VALUE"""),0.1959)</f>
        <v>0.1959</v>
      </c>
      <c r="K522" s="19">
        <f>IFERROR(__xludf.DUMMYFUNCTION("""COMPUTED_VALUE"""),0.2449)</f>
        <v>0.2449</v>
      </c>
      <c r="L522" s="19">
        <f>IFERROR(__xludf.DUMMYFUNCTION("""COMPUTED_VALUE"""),0.2939)</f>
        <v>0.2939</v>
      </c>
      <c r="M522" s="18">
        <f>IFERROR(__xludf.DUMMYFUNCTION("""COMPUTED_VALUE"""),1.63)</f>
        <v>1.63</v>
      </c>
    </row>
    <row r="523">
      <c r="A523" s="13" t="str">
        <f>IFERROR(__xludf.DUMMYFUNCTION("""COMPUTED_VALUE"""),"товари")</f>
        <v>товари</v>
      </c>
      <c r="B523" s="16" t="str">
        <f>IFERROR(__xludf.DUMMYFUNCTION("""COMPUTED_VALUE"""),"аксесуари та прикраси")</f>
        <v>аксесуари та прикраси</v>
      </c>
      <c r="C523" s="16" t="str">
        <f>IFERROR(__xludf.DUMMYFUNCTION("""COMPUTED_VALUE"""),"ювелірні вироби")</f>
        <v>ювелірні вироби</v>
      </c>
      <c r="D523" s="16" t="str">
        <f>IFERROR(__xludf.DUMMYFUNCTION("""COMPUTED_VALUE"""),"ювелірні вироби зі срібла")</f>
        <v>ювелірні вироби зі срібла</v>
      </c>
      <c r="E523" s="16" t="str">
        <f>IFERROR(__xludf.DUMMYFUNCTION("""COMPUTED_VALUE"""),"шарми")</f>
        <v>шарми</v>
      </c>
      <c r="F523" s="17">
        <f>IFERROR(__xludf.DUMMYFUNCTION("""COMPUTED_VALUE"""),4.0)</f>
        <v>4</v>
      </c>
      <c r="G523" s="17" t="str">
        <f>IFERROR(__xludf.DUMMYFUNCTION("""COMPUTED_VALUE"""),"15091310")</f>
        <v>15091310</v>
      </c>
      <c r="H523" s="17" t="str">
        <f>IFERROR(__xludf.DUMMYFUNCTION("""COMPUTED_VALUE"""),"шарми")</f>
        <v>шарми</v>
      </c>
      <c r="I523" s="19">
        <f>IFERROR(__xludf.DUMMYFUNCTION("""COMPUTED_VALUE"""),0.0901)</f>
        <v>0.0901</v>
      </c>
      <c r="J523" s="19">
        <f>IFERROR(__xludf.DUMMYFUNCTION("""COMPUTED_VALUE"""),0.1802)</f>
        <v>0.1802</v>
      </c>
      <c r="K523" s="19">
        <f>IFERROR(__xludf.DUMMYFUNCTION("""COMPUTED_VALUE"""),0.2253)</f>
        <v>0.2253</v>
      </c>
      <c r="L523" s="19">
        <f>IFERROR(__xludf.DUMMYFUNCTION("""COMPUTED_VALUE"""),0.2703)</f>
        <v>0.2703</v>
      </c>
      <c r="M523" s="18">
        <f>IFERROR(__xludf.DUMMYFUNCTION("""COMPUTED_VALUE"""),3.43)</f>
        <v>3.43</v>
      </c>
    </row>
    <row r="524">
      <c r="A524" s="13" t="str">
        <f>IFERROR(__xludf.DUMMYFUNCTION("""COMPUTED_VALUE"""),"товари")</f>
        <v>товари</v>
      </c>
      <c r="B524" s="16" t="str">
        <f>IFERROR(__xludf.DUMMYFUNCTION("""COMPUTED_VALUE"""),"аксесуари та прикраси")</f>
        <v>аксесуари та прикраси</v>
      </c>
      <c r="C524" s="16" t="str">
        <f>IFERROR(__xludf.DUMMYFUNCTION("""COMPUTED_VALUE"""),"шарфи, хустки, шалі")</f>
        <v>шарфи, хустки, шалі</v>
      </c>
      <c r="D524" s="16" t="str">
        <f>IFERROR(__xludf.DUMMYFUNCTION("""COMPUTED_VALUE"""),"шарфи")</f>
        <v>шарфи</v>
      </c>
      <c r="E524" s="16" t="str">
        <f>IFERROR(__xludf.DUMMYFUNCTION("""COMPUTED_VALUE"""),"шарфи")</f>
        <v>шарфи</v>
      </c>
      <c r="F524" s="17">
        <f>IFERROR(__xludf.DUMMYFUNCTION("""COMPUTED_VALUE"""),3.0)</f>
        <v>3</v>
      </c>
      <c r="G524" s="17" t="str">
        <f>IFERROR(__xludf.DUMMYFUNCTION("""COMPUTED_VALUE"""),"32503")</f>
        <v>32503</v>
      </c>
      <c r="H524" s="17" t="str">
        <f>IFERROR(__xludf.DUMMYFUNCTION("""COMPUTED_VALUE"""),"шарфи")</f>
        <v>шарфи</v>
      </c>
      <c r="I524" s="19">
        <f>IFERROR(__xludf.DUMMYFUNCTION("""COMPUTED_VALUE"""),0.0968)</f>
        <v>0.0968</v>
      </c>
      <c r="J524" s="19">
        <f>IFERROR(__xludf.DUMMYFUNCTION("""COMPUTED_VALUE"""),0.1936)</f>
        <v>0.1936</v>
      </c>
      <c r="K524" s="19">
        <f>IFERROR(__xludf.DUMMYFUNCTION("""COMPUTED_VALUE"""),0.242)</f>
        <v>0.242</v>
      </c>
      <c r="L524" s="19">
        <f>IFERROR(__xludf.DUMMYFUNCTION("""COMPUTED_VALUE"""),0.2904)</f>
        <v>0.2904</v>
      </c>
      <c r="M524" s="18">
        <f>IFERROR(__xludf.DUMMYFUNCTION("""COMPUTED_VALUE"""),1.44)</f>
        <v>1.44</v>
      </c>
    </row>
    <row r="525">
      <c r="A525" s="13" t="str">
        <f>IFERROR(__xludf.DUMMYFUNCTION("""COMPUTED_VALUE"""),"товари")</f>
        <v>товари</v>
      </c>
      <c r="B525" s="16" t="str">
        <f>IFERROR(__xludf.DUMMYFUNCTION("""COMPUTED_VALUE"""),"аксесуари та прикраси")</f>
        <v>аксесуари та прикраси</v>
      </c>
      <c r="C525" s="16" t="str">
        <f>IFERROR(__xludf.DUMMYFUNCTION("""COMPUTED_VALUE"""),"шарфи, хустки, шалі")</f>
        <v>шарфи, хустки, шалі</v>
      </c>
      <c r="D525" s="16" t="str">
        <f>IFERROR(__xludf.DUMMYFUNCTION("""COMPUTED_VALUE"""),"шарфи, шалі, загальне")</f>
        <v>шарфи, шалі, загальне</v>
      </c>
      <c r="E525" s="16" t="str">
        <f>IFERROR(__xludf.DUMMYFUNCTION("""COMPUTED_VALUE"""),"шарфи, шалі, загальне")</f>
        <v>шарфи, шалі, загальне</v>
      </c>
      <c r="F525" s="17">
        <f>IFERROR(__xludf.DUMMYFUNCTION("""COMPUTED_VALUE"""),3.0)</f>
        <v>3</v>
      </c>
      <c r="G525" s="17" t="str">
        <f>IFERROR(__xludf.DUMMYFUNCTION("""COMPUTED_VALUE"""),"32599")</f>
        <v>32599</v>
      </c>
      <c r="H525" s="17" t="str">
        <f>IFERROR(__xludf.DUMMYFUNCTION("""COMPUTED_VALUE"""),"шарфи, шалі, загальне")</f>
        <v>шарфи, шалі, загальне</v>
      </c>
      <c r="I525" s="19">
        <f>IFERROR(__xludf.DUMMYFUNCTION("""COMPUTED_VALUE"""),0.125)</f>
        <v>0.125</v>
      </c>
      <c r="J525" s="19">
        <f>IFERROR(__xludf.DUMMYFUNCTION("""COMPUTED_VALUE"""),0.25)</f>
        <v>0.25</v>
      </c>
      <c r="K525" s="19">
        <f>IFERROR(__xludf.DUMMYFUNCTION("""COMPUTED_VALUE"""),0.3125)</f>
        <v>0.3125</v>
      </c>
      <c r="L525" s="19">
        <f>IFERROR(__xludf.DUMMYFUNCTION("""COMPUTED_VALUE"""),0.375)</f>
        <v>0.375</v>
      </c>
      <c r="M525" s="18">
        <f>IFERROR(__xludf.DUMMYFUNCTION("""COMPUTED_VALUE"""),4.33)</f>
        <v>4.33</v>
      </c>
    </row>
    <row r="526">
      <c r="A526" s="13" t="str">
        <f>IFERROR(__xludf.DUMMYFUNCTION("""COMPUTED_VALUE"""),"товари")</f>
        <v>товари</v>
      </c>
      <c r="B526" s="16" t="str">
        <f>IFERROR(__xludf.DUMMYFUNCTION("""COMPUTED_VALUE"""),"аксесуари та прикраси")</f>
        <v>аксесуари та прикраси</v>
      </c>
      <c r="C526" s="16" t="str">
        <f>IFERROR(__xludf.DUMMYFUNCTION("""COMPUTED_VALUE"""),"дитячі аксесуари")</f>
        <v>дитячі аксесуари</v>
      </c>
      <c r="D526" s="16" t="str">
        <f>IFERROR(__xludf.DUMMYFUNCTION("""COMPUTED_VALUE"""),"шкільні рюкзаки та портфелі ")</f>
        <v>шкільні рюкзаки та портфелі </v>
      </c>
      <c r="E526" s="16" t="str">
        <f>IFERROR(__xludf.DUMMYFUNCTION("""COMPUTED_VALUE"""),"шкільні рюкзаки та портфелі ")</f>
        <v>шкільні рюкзаки та портфелі </v>
      </c>
      <c r="F526" s="17">
        <f>IFERROR(__xludf.DUMMYFUNCTION("""COMPUTED_VALUE"""),3.0)</f>
        <v>3</v>
      </c>
      <c r="G526" s="17" t="str">
        <f>IFERROR(__xludf.DUMMYFUNCTION("""COMPUTED_VALUE"""),"380520")</f>
        <v>380520</v>
      </c>
      <c r="H526" s="17" t="str">
        <f>IFERROR(__xludf.DUMMYFUNCTION("""COMPUTED_VALUE"""),"шкільні рюкзаки та портфелі ")</f>
        <v>шкільні рюкзаки та портфелі </v>
      </c>
      <c r="I526" s="19">
        <f>IFERROR(__xludf.DUMMYFUNCTION("""COMPUTED_VALUE"""),0.0774)</f>
        <v>0.0774</v>
      </c>
      <c r="J526" s="19">
        <f>IFERROR(__xludf.DUMMYFUNCTION("""COMPUTED_VALUE"""),0.1547)</f>
        <v>0.1547</v>
      </c>
      <c r="K526" s="19">
        <f>IFERROR(__xludf.DUMMYFUNCTION("""COMPUTED_VALUE"""),0.1934)</f>
        <v>0.1934</v>
      </c>
      <c r="L526" s="19">
        <f>IFERROR(__xludf.DUMMYFUNCTION("""COMPUTED_VALUE"""),0.2321)</f>
        <v>0.2321</v>
      </c>
      <c r="M526" s="18">
        <f>IFERROR(__xludf.DUMMYFUNCTION("""COMPUTED_VALUE"""),2.16)</f>
        <v>2.16</v>
      </c>
    </row>
    <row r="527">
      <c r="A527" s="13" t="str">
        <f>IFERROR(__xludf.DUMMYFUNCTION("""COMPUTED_VALUE"""),"товари")</f>
        <v>товари</v>
      </c>
      <c r="B527" s="16" t="str">
        <f>IFERROR(__xludf.DUMMYFUNCTION("""COMPUTED_VALUE"""),"аксесуари та прикраси")</f>
        <v>аксесуари та прикраси</v>
      </c>
      <c r="C527" s="16" t="str">
        <f>IFERROR(__xludf.DUMMYFUNCTION("""COMPUTED_VALUE"""),"aксесуари")</f>
        <v>aксесуари</v>
      </c>
      <c r="D527" s="16" t="str">
        <f>IFERROR(__xludf.DUMMYFUNCTION("""COMPUTED_VALUE"""),"аксесуари для волосся")</f>
        <v>аксесуари для волосся</v>
      </c>
      <c r="E527" s="16" t="str">
        <f>IFERROR(__xludf.DUMMYFUNCTION("""COMPUTED_VALUE"""),"шпильки і затискачі для волосся")</f>
        <v>шпильки і затискачі для волосся</v>
      </c>
      <c r="F527" s="17">
        <f>IFERROR(__xludf.DUMMYFUNCTION("""COMPUTED_VALUE"""),4.0)</f>
        <v>4</v>
      </c>
      <c r="G527" s="17" t="str">
        <f>IFERROR(__xludf.DUMMYFUNCTION("""COMPUTED_VALUE"""),"3390104")</f>
        <v>3390104</v>
      </c>
      <c r="H527" s="17" t="str">
        <f>IFERROR(__xludf.DUMMYFUNCTION("""COMPUTED_VALUE"""),"шпильки і затискачі для волосся")</f>
        <v>шпильки і затискачі для волосся</v>
      </c>
      <c r="I527" s="19">
        <f>IFERROR(__xludf.DUMMYFUNCTION("""COMPUTED_VALUE"""),0.0775)</f>
        <v>0.0775</v>
      </c>
      <c r="J527" s="19">
        <f>IFERROR(__xludf.DUMMYFUNCTION("""COMPUTED_VALUE"""),0.155)</f>
        <v>0.155</v>
      </c>
      <c r="K527" s="19">
        <f>IFERROR(__xludf.DUMMYFUNCTION("""COMPUTED_VALUE"""),0.1938)</f>
        <v>0.1938</v>
      </c>
      <c r="L527" s="19">
        <f>IFERROR(__xludf.DUMMYFUNCTION("""COMPUTED_VALUE"""),0.2325)</f>
        <v>0.2325</v>
      </c>
      <c r="M527" s="18">
        <f>IFERROR(__xludf.DUMMYFUNCTION("""COMPUTED_VALUE"""),1.26)</f>
        <v>1.26</v>
      </c>
    </row>
    <row r="528">
      <c r="A528" s="13" t="str">
        <f>IFERROR(__xludf.DUMMYFUNCTION("""COMPUTED_VALUE"""),"товари")</f>
        <v>товари</v>
      </c>
      <c r="B528" s="16" t="str">
        <f>IFERROR(__xludf.DUMMYFUNCTION("""COMPUTED_VALUE"""),"аксесуари та прикраси")</f>
        <v>аксесуари та прикраси</v>
      </c>
      <c r="C528" s="16" t="str">
        <f>IFERROR(__xludf.DUMMYFUNCTION("""COMPUTED_VALUE"""),"ювелірні вироби")</f>
        <v>ювелірні вироби</v>
      </c>
      <c r="D528" s="16" t="str">
        <f>IFERROR(__xludf.DUMMYFUNCTION("""COMPUTED_VALUE"""),"ювелірна фурнітура")</f>
        <v>ювелірна фурнітура</v>
      </c>
      <c r="E528" s="16" t="str">
        <f>IFERROR(__xludf.DUMMYFUNCTION("""COMPUTED_VALUE"""),"ювелірна фурнітура")</f>
        <v>ювелірна фурнітура</v>
      </c>
      <c r="F528" s="17">
        <f>IFERROR(__xludf.DUMMYFUNCTION("""COMPUTED_VALUE"""),3.0)</f>
        <v>3</v>
      </c>
      <c r="G528" s="17" t="str">
        <f>IFERROR(__xludf.DUMMYFUNCTION("""COMPUTED_VALUE"""),"360950")</f>
        <v>360950</v>
      </c>
      <c r="H528" s="17" t="str">
        <f>IFERROR(__xludf.DUMMYFUNCTION("""COMPUTED_VALUE"""),"ювелірна фурнітура")</f>
        <v>ювелірна фурнітура</v>
      </c>
      <c r="I528" s="19">
        <f>IFERROR(__xludf.DUMMYFUNCTION("""COMPUTED_VALUE"""),0.0447)</f>
        <v>0.0447</v>
      </c>
      <c r="J528" s="19">
        <f>IFERROR(__xludf.DUMMYFUNCTION("""COMPUTED_VALUE"""),0.0893)</f>
        <v>0.0893</v>
      </c>
      <c r="K528" s="19">
        <f>IFERROR(__xludf.DUMMYFUNCTION("""COMPUTED_VALUE"""),0.1116)</f>
        <v>0.1116</v>
      </c>
      <c r="L528" s="19">
        <f>IFERROR(__xludf.DUMMYFUNCTION("""COMPUTED_VALUE"""),0.134)</f>
        <v>0.134</v>
      </c>
      <c r="M528" s="18">
        <f>IFERROR(__xludf.DUMMYFUNCTION("""COMPUTED_VALUE"""),1.05)</f>
        <v>1.05</v>
      </c>
    </row>
    <row r="529">
      <c r="A529" s="13" t="str">
        <f>IFERROR(__xludf.DUMMYFUNCTION("""COMPUTED_VALUE"""),"товари")</f>
        <v>товари</v>
      </c>
      <c r="B529" s="16" t="str">
        <f>IFERROR(__xludf.DUMMYFUNCTION("""COMPUTED_VALUE"""),"аксесуари та прикраси")</f>
        <v>аксесуари та прикраси</v>
      </c>
      <c r="C529" s="16" t="str">
        <f>IFERROR(__xludf.DUMMYFUNCTION("""COMPUTED_VALUE"""),"ювелірні вироби")</f>
        <v>ювелірні вироби</v>
      </c>
      <c r="D529" s="16" t="str">
        <f>IFERROR(__xludf.DUMMYFUNCTION("""COMPUTED_VALUE"""),"ювелірне каміння")</f>
        <v>ювелірне каміння</v>
      </c>
      <c r="E529" s="16" t="str">
        <f>IFERROR(__xludf.DUMMYFUNCTION("""COMPUTED_VALUE"""),"ювелірне каміння")</f>
        <v>ювелірне каміння</v>
      </c>
      <c r="F529" s="17">
        <f>IFERROR(__xludf.DUMMYFUNCTION("""COMPUTED_VALUE"""),3.0)</f>
        <v>3</v>
      </c>
      <c r="G529" s="17" t="str">
        <f>IFERROR(__xludf.DUMMYFUNCTION("""COMPUTED_VALUE"""),"360930")</f>
        <v>360930</v>
      </c>
      <c r="H529" s="17" t="str">
        <f>IFERROR(__xludf.DUMMYFUNCTION("""COMPUTED_VALUE"""),"ювелірне каміння")</f>
        <v>ювелірне каміння</v>
      </c>
      <c r="I529" s="19">
        <f>IFERROR(__xludf.DUMMYFUNCTION("""COMPUTED_VALUE"""),0.0963)</f>
        <v>0.0963</v>
      </c>
      <c r="J529" s="19">
        <f>IFERROR(__xludf.DUMMYFUNCTION("""COMPUTED_VALUE"""),0.1926)</f>
        <v>0.1926</v>
      </c>
      <c r="K529" s="19">
        <f>IFERROR(__xludf.DUMMYFUNCTION("""COMPUTED_VALUE"""),0.2408)</f>
        <v>0.2408</v>
      </c>
      <c r="L529" s="19">
        <f>IFERROR(__xludf.DUMMYFUNCTION("""COMPUTED_VALUE"""),0.2889)</f>
        <v>0.2889</v>
      </c>
      <c r="M529" s="18">
        <f>IFERROR(__xludf.DUMMYFUNCTION("""COMPUTED_VALUE"""),1.05)</f>
        <v>1.05</v>
      </c>
    </row>
    <row r="530">
      <c r="A530" s="13" t="str">
        <f>IFERROR(__xludf.DUMMYFUNCTION("""COMPUTED_VALUE"""),"товари")</f>
        <v>товари</v>
      </c>
      <c r="B530" s="16" t="str">
        <f>IFERROR(__xludf.DUMMYFUNCTION("""COMPUTED_VALUE"""),"аксесуари та прикраси")</f>
        <v>аксесуари та прикраси</v>
      </c>
      <c r="C530" s="16" t="str">
        <f>IFERROR(__xludf.DUMMYFUNCTION("""COMPUTED_VALUE"""),"ювелірні вироби")</f>
        <v>ювелірні вироби</v>
      </c>
      <c r="D530" s="16" t="str">
        <f>IFERROR(__xludf.DUMMYFUNCTION("""COMPUTED_VALUE"""),"ювелірні вироби з золота")</f>
        <v>ювелірні вироби з золота</v>
      </c>
      <c r="E530" s="16" t="str">
        <f>IFERROR(__xludf.DUMMYFUNCTION("""COMPUTED_VALUE"""),"ювелірні вироби з золота, загальне")</f>
        <v>ювелірні вироби з золота, загальне</v>
      </c>
      <c r="F530" s="17">
        <f>IFERROR(__xludf.DUMMYFUNCTION("""COMPUTED_VALUE"""),4.0)</f>
        <v>4</v>
      </c>
      <c r="G530" s="17" t="str">
        <f>IFERROR(__xludf.DUMMYFUNCTION("""COMPUTED_VALUE"""),"15090211")</f>
        <v>15090211</v>
      </c>
      <c r="H530" s="17" t="str">
        <f>IFERROR(__xludf.DUMMYFUNCTION("""COMPUTED_VALUE"""),"ювелірні вироби з золота, загальне")</f>
        <v>ювелірні вироби з золота, загальне</v>
      </c>
      <c r="I530" s="19">
        <f>IFERROR(__xludf.DUMMYFUNCTION("""COMPUTED_VALUE"""),0.125)</f>
        <v>0.125</v>
      </c>
      <c r="J530" s="19">
        <f>IFERROR(__xludf.DUMMYFUNCTION("""COMPUTED_VALUE"""),0.25)</f>
        <v>0.25</v>
      </c>
      <c r="K530" s="19">
        <f>IFERROR(__xludf.DUMMYFUNCTION("""COMPUTED_VALUE"""),0.3125)</f>
        <v>0.3125</v>
      </c>
      <c r="L530" s="19">
        <f>IFERROR(__xludf.DUMMYFUNCTION("""COMPUTED_VALUE"""),0.375)</f>
        <v>0.375</v>
      </c>
      <c r="M530" s="18">
        <f>IFERROR(__xludf.DUMMYFUNCTION("""COMPUTED_VALUE"""),4.33)</f>
        <v>4.33</v>
      </c>
    </row>
    <row r="531">
      <c r="A531" s="13" t="str">
        <f>IFERROR(__xludf.DUMMYFUNCTION("""COMPUTED_VALUE"""),"товари")</f>
        <v>товари</v>
      </c>
      <c r="B531" s="16" t="str">
        <f>IFERROR(__xludf.DUMMYFUNCTION("""COMPUTED_VALUE"""),"аксесуари та прикраси")</f>
        <v>аксесуари та прикраси</v>
      </c>
      <c r="C531" s="16" t="str">
        <f>IFERROR(__xludf.DUMMYFUNCTION("""COMPUTED_VALUE"""),"ювелірні вироби")</f>
        <v>ювелірні вироби</v>
      </c>
      <c r="D531" s="16" t="str">
        <f>IFERROR(__xludf.DUMMYFUNCTION("""COMPUTED_VALUE"""),"ювелірні вироби з платини")</f>
        <v>ювелірні вироби з платини</v>
      </c>
      <c r="E531" s="16" t="str">
        <f>IFERROR(__xludf.DUMMYFUNCTION("""COMPUTED_VALUE"""),"ювелірні вироби з платини")</f>
        <v>ювелірні вироби з платини</v>
      </c>
      <c r="F531" s="17">
        <f>IFERROR(__xludf.DUMMYFUNCTION("""COMPUTED_VALUE"""),3.0)</f>
        <v>3</v>
      </c>
      <c r="G531" s="17" t="str">
        <f>IFERROR(__xludf.DUMMYFUNCTION("""COMPUTED_VALUE"""),"150909")</f>
        <v>150909</v>
      </c>
      <c r="H531" s="17" t="str">
        <f>IFERROR(__xludf.DUMMYFUNCTION("""COMPUTED_VALUE"""),"ювелірні вироби з платини")</f>
        <v>ювелірні вироби з платини</v>
      </c>
      <c r="I531" s="19">
        <f>IFERROR(__xludf.DUMMYFUNCTION("""COMPUTED_VALUE"""),0.0607)</f>
        <v>0.0607</v>
      </c>
      <c r="J531" s="19">
        <f>IFERROR(__xludf.DUMMYFUNCTION("""COMPUTED_VALUE"""),0.1214)</f>
        <v>0.1214</v>
      </c>
      <c r="K531" s="19">
        <f>IFERROR(__xludf.DUMMYFUNCTION("""COMPUTED_VALUE"""),0.1518)</f>
        <v>0.1518</v>
      </c>
      <c r="L531" s="19">
        <f>IFERROR(__xludf.DUMMYFUNCTION("""COMPUTED_VALUE"""),0.1821)</f>
        <v>0.1821</v>
      </c>
      <c r="M531" s="18">
        <f>IFERROR(__xludf.DUMMYFUNCTION("""COMPUTED_VALUE"""),1.05)</f>
        <v>1.05</v>
      </c>
    </row>
    <row r="532">
      <c r="A532" s="13" t="str">
        <f>IFERROR(__xludf.DUMMYFUNCTION("""COMPUTED_VALUE"""),"товари")</f>
        <v>товари</v>
      </c>
      <c r="B532" s="16" t="str">
        <f>IFERROR(__xludf.DUMMYFUNCTION("""COMPUTED_VALUE"""),"аксесуари та прикраси")</f>
        <v>аксесуари та прикраси</v>
      </c>
      <c r="C532" s="16" t="str">
        <f>IFERROR(__xludf.DUMMYFUNCTION("""COMPUTED_VALUE"""),"ювелірні вироби")</f>
        <v>ювелірні вироби</v>
      </c>
      <c r="D532" s="16" t="str">
        <f>IFERROR(__xludf.DUMMYFUNCTION("""COMPUTED_VALUE"""),"ювелірні вироби зі срібла")</f>
        <v>ювелірні вироби зі срібла</v>
      </c>
      <c r="E532" s="16" t="str">
        <f>IFERROR(__xludf.DUMMYFUNCTION("""COMPUTED_VALUE"""),"ювелірні вироби з срібла, загальне")</f>
        <v>ювелірні вироби з срібла, загальне</v>
      </c>
      <c r="F532" s="17">
        <f>IFERROR(__xludf.DUMMYFUNCTION("""COMPUTED_VALUE"""),4.0)</f>
        <v>4</v>
      </c>
      <c r="G532" s="17" t="str">
        <f>IFERROR(__xludf.DUMMYFUNCTION("""COMPUTED_VALUE"""),"15091309")</f>
        <v>15091309</v>
      </c>
      <c r="H532" s="17" t="str">
        <f>IFERROR(__xludf.DUMMYFUNCTION("""COMPUTED_VALUE"""),"ювелірні вироби з срібла, загальне")</f>
        <v>ювелірні вироби з срібла, загальне</v>
      </c>
      <c r="I532" s="19">
        <f>IFERROR(__xludf.DUMMYFUNCTION("""COMPUTED_VALUE"""),0.125)</f>
        <v>0.125</v>
      </c>
      <c r="J532" s="19">
        <f>IFERROR(__xludf.DUMMYFUNCTION("""COMPUTED_VALUE"""),0.25)</f>
        <v>0.25</v>
      </c>
      <c r="K532" s="19">
        <f>IFERROR(__xludf.DUMMYFUNCTION("""COMPUTED_VALUE"""),0.3125)</f>
        <v>0.3125</v>
      </c>
      <c r="L532" s="19">
        <f>IFERROR(__xludf.DUMMYFUNCTION("""COMPUTED_VALUE"""),0.375)</f>
        <v>0.375</v>
      </c>
      <c r="M532" s="18">
        <f>IFERROR(__xludf.DUMMYFUNCTION("""COMPUTED_VALUE"""),4.33)</f>
        <v>4.33</v>
      </c>
    </row>
    <row r="533">
      <c r="A533" s="13" t="str">
        <f>IFERROR(__xludf.DUMMYFUNCTION("""COMPUTED_VALUE"""),"товари")</f>
        <v>товари</v>
      </c>
      <c r="B533" s="16" t="str">
        <f>IFERROR(__xludf.DUMMYFUNCTION("""COMPUTED_VALUE"""),"аксесуари та прикраси")</f>
        <v>аксесуари та прикраси</v>
      </c>
      <c r="C533" s="16" t="str">
        <f>IFERROR(__xludf.DUMMYFUNCTION("""COMPUTED_VALUE"""),"ювелірні вироби")</f>
        <v>ювелірні вироби</v>
      </c>
      <c r="D533" s="16" t="str">
        <f>IFERROR(__xludf.DUMMYFUNCTION("""COMPUTED_VALUE"""),"ювелірні вироби, загальне")</f>
        <v>ювелірні вироби, загальне</v>
      </c>
      <c r="E533" s="16" t="str">
        <f>IFERROR(__xludf.DUMMYFUNCTION("""COMPUTED_VALUE"""),"ювелірні вироби, загальне")</f>
        <v>ювелірні вироби, загальне</v>
      </c>
      <c r="F533" s="17">
        <f>IFERROR(__xludf.DUMMYFUNCTION("""COMPUTED_VALUE"""),3.0)</f>
        <v>3</v>
      </c>
      <c r="G533" s="17" t="str">
        <f>IFERROR(__xludf.DUMMYFUNCTION("""COMPUTED_VALUE"""),"150911")</f>
        <v>150911</v>
      </c>
      <c r="H533" s="17" t="str">
        <f>IFERROR(__xludf.DUMMYFUNCTION("""COMPUTED_VALUE"""),"ювелірні вироби, загальне")</f>
        <v>ювелірні вироби, загальне</v>
      </c>
      <c r="I533" s="19">
        <f>IFERROR(__xludf.DUMMYFUNCTION("""COMPUTED_VALUE"""),0.125)</f>
        <v>0.125</v>
      </c>
      <c r="J533" s="19">
        <f>IFERROR(__xludf.DUMMYFUNCTION("""COMPUTED_VALUE"""),0.25)</f>
        <v>0.25</v>
      </c>
      <c r="K533" s="19">
        <f>IFERROR(__xludf.DUMMYFUNCTION("""COMPUTED_VALUE"""),0.3125)</f>
        <v>0.3125</v>
      </c>
      <c r="L533" s="19">
        <f>IFERROR(__xludf.DUMMYFUNCTION("""COMPUTED_VALUE"""),0.375)</f>
        <v>0.375</v>
      </c>
      <c r="M533" s="18">
        <f>IFERROR(__xludf.DUMMYFUNCTION("""COMPUTED_VALUE"""),4.33)</f>
        <v>4.33</v>
      </c>
    </row>
    <row r="534">
      <c r="A534" s="13" t="str">
        <f>IFERROR(__xludf.DUMMYFUNCTION("""COMPUTED_VALUE"""),"товари")</f>
        <v>товари</v>
      </c>
      <c r="B534" s="16" t="str">
        <f>IFERROR(__xludf.DUMMYFUNCTION("""COMPUTED_VALUE"""),"антикваріат і колекціонування")</f>
        <v>антикваріат і колекціонування</v>
      </c>
      <c r="C534" s="16" t="str">
        <f>IFERROR(__xludf.DUMMYFUNCTION("""COMPUTED_VALUE"""),"антикваріат для дому")</f>
        <v>антикваріат для дому</v>
      </c>
      <c r="D534" s="16" t="str">
        <f>IFERROR(__xludf.DUMMYFUNCTION("""COMPUTED_VALUE"""),"антикваріат для дому")</f>
        <v>антикваріат для дому</v>
      </c>
      <c r="E534" s="16" t="str">
        <f>IFERROR(__xludf.DUMMYFUNCTION("""COMPUTED_VALUE"""),"антикваріат для дому")</f>
        <v>антикваріат для дому</v>
      </c>
      <c r="F534" s="17">
        <f>IFERROR(__xludf.DUMMYFUNCTION("""COMPUTED_VALUE"""),2.0)</f>
        <v>2</v>
      </c>
      <c r="G534" s="17" t="str">
        <f>IFERROR(__xludf.DUMMYFUNCTION("""COMPUTED_VALUE"""),"170308")</f>
        <v>170308</v>
      </c>
      <c r="H534" s="17" t="str">
        <f>IFERROR(__xludf.DUMMYFUNCTION("""COMPUTED_VALUE"""),"антикваріат для дому")</f>
        <v>антикваріат для дому</v>
      </c>
      <c r="I534" s="19">
        <f>IFERROR(__xludf.DUMMYFUNCTION("""COMPUTED_VALUE"""),0.0383)</f>
        <v>0.0383</v>
      </c>
      <c r="J534" s="19">
        <f>IFERROR(__xludf.DUMMYFUNCTION("""COMPUTED_VALUE"""),0.0766)</f>
        <v>0.0766</v>
      </c>
      <c r="K534" s="19">
        <f>IFERROR(__xludf.DUMMYFUNCTION("""COMPUTED_VALUE"""),0.0958)</f>
        <v>0.0958</v>
      </c>
      <c r="L534" s="19">
        <f>IFERROR(__xludf.DUMMYFUNCTION("""COMPUTED_VALUE"""),0.1149)</f>
        <v>0.1149</v>
      </c>
      <c r="M534" s="18">
        <f>IFERROR(__xludf.DUMMYFUNCTION("""COMPUTED_VALUE"""),1.05)</f>
        <v>1.05</v>
      </c>
    </row>
    <row r="535">
      <c r="A535" s="13" t="str">
        <f>IFERROR(__xludf.DUMMYFUNCTION("""COMPUTED_VALUE"""),"товари")</f>
        <v>товари</v>
      </c>
      <c r="B535" s="16" t="str">
        <f>IFERROR(__xludf.DUMMYFUNCTION("""COMPUTED_VALUE"""),"антикваріат і колекціонування")</f>
        <v>антикваріат і колекціонування</v>
      </c>
      <c r="C535" s="16" t="str">
        <f>IFERROR(__xludf.DUMMYFUNCTION("""COMPUTED_VALUE"""),"антикварне мистецтво")</f>
        <v>антикварне мистецтво</v>
      </c>
      <c r="D535" s="16" t="str">
        <f>IFERROR(__xludf.DUMMYFUNCTION("""COMPUTED_VALUE"""),"антикварне мистецтво")</f>
        <v>антикварне мистецтво</v>
      </c>
      <c r="E535" s="16" t="str">
        <f>IFERROR(__xludf.DUMMYFUNCTION("""COMPUTED_VALUE"""),"антикварне мистецтво")</f>
        <v>антикварне мистецтво</v>
      </c>
      <c r="F535" s="17">
        <f>IFERROR(__xludf.DUMMYFUNCTION("""COMPUTED_VALUE"""),2.0)</f>
        <v>2</v>
      </c>
      <c r="G535" s="17" t="str">
        <f>IFERROR(__xludf.DUMMYFUNCTION("""COMPUTED_VALUE"""),"170312")</f>
        <v>170312</v>
      </c>
      <c r="H535" s="17" t="str">
        <f>IFERROR(__xludf.DUMMYFUNCTION("""COMPUTED_VALUE"""),"антикварне мистецтво")</f>
        <v>антикварне мистецтво</v>
      </c>
      <c r="I535" s="19">
        <f>IFERROR(__xludf.DUMMYFUNCTION("""COMPUTED_VALUE"""),0.0383)</f>
        <v>0.0383</v>
      </c>
      <c r="J535" s="19">
        <f>IFERROR(__xludf.DUMMYFUNCTION("""COMPUTED_VALUE"""),0.0766)</f>
        <v>0.0766</v>
      </c>
      <c r="K535" s="19">
        <f>IFERROR(__xludf.DUMMYFUNCTION("""COMPUTED_VALUE"""),0.0958)</f>
        <v>0.0958</v>
      </c>
      <c r="L535" s="19">
        <f>IFERROR(__xludf.DUMMYFUNCTION("""COMPUTED_VALUE"""),0.1149)</f>
        <v>0.1149</v>
      </c>
      <c r="M535" s="18">
        <f>IFERROR(__xludf.DUMMYFUNCTION("""COMPUTED_VALUE"""),1.71)</f>
        <v>1.71</v>
      </c>
    </row>
    <row r="536">
      <c r="A536" s="13" t="str">
        <f>IFERROR(__xludf.DUMMYFUNCTION("""COMPUTED_VALUE"""),"товари")</f>
        <v>товари</v>
      </c>
      <c r="B536" s="16" t="str">
        <f>IFERROR(__xludf.DUMMYFUNCTION("""COMPUTED_VALUE"""),"антикваріат і колекціонування")</f>
        <v>антикваріат і колекціонування</v>
      </c>
      <c r="C536" s="16" t="str">
        <f>IFERROR(__xludf.DUMMYFUNCTION("""COMPUTED_VALUE"""),"антикварні відзнаки та нагороди")</f>
        <v>антикварні відзнаки та нагороди</v>
      </c>
      <c r="D536" s="16" t="str">
        <f>IFERROR(__xludf.DUMMYFUNCTION("""COMPUTED_VALUE"""),"антикварні відзнаки та нагороди")</f>
        <v>антикварні відзнаки та нагороди</v>
      </c>
      <c r="E536" s="16" t="str">
        <f>IFERROR(__xludf.DUMMYFUNCTION("""COMPUTED_VALUE"""),"антикварні відзнаки та нагороди")</f>
        <v>антикварні відзнаки та нагороди</v>
      </c>
      <c r="F536" s="17">
        <f>IFERROR(__xludf.DUMMYFUNCTION("""COMPUTED_VALUE"""),2.0)</f>
        <v>2</v>
      </c>
      <c r="G536" s="17" t="str">
        <f>IFERROR(__xludf.DUMMYFUNCTION("""COMPUTED_VALUE"""),"170310")</f>
        <v>170310</v>
      </c>
      <c r="H536" s="17" t="str">
        <f>IFERROR(__xludf.DUMMYFUNCTION("""COMPUTED_VALUE"""),"антикварні відзнаки та нагороди")</f>
        <v>антикварні відзнаки та нагороди</v>
      </c>
      <c r="I536" s="19">
        <f>IFERROR(__xludf.DUMMYFUNCTION("""COMPUTED_VALUE"""),0.0383)</f>
        <v>0.0383</v>
      </c>
      <c r="J536" s="19">
        <f>IFERROR(__xludf.DUMMYFUNCTION("""COMPUTED_VALUE"""),0.0766)</f>
        <v>0.0766</v>
      </c>
      <c r="K536" s="19">
        <f>IFERROR(__xludf.DUMMYFUNCTION("""COMPUTED_VALUE"""),0.0958)</f>
        <v>0.0958</v>
      </c>
      <c r="L536" s="19">
        <f>IFERROR(__xludf.DUMMYFUNCTION("""COMPUTED_VALUE"""),0.1149)</f>
        <v>0.1149</v>
      </c>
      <c r="M536" s="18">
        <f>IFERROR(__xludf.DUMMYFUNCTION("""COMPUTED_VALUE"""),1.8)</f>
        <v>1.8</v>
      </c>
    </row>
    <row r="537">
      <c r="A537" s="13" t="str">
        <f>IFERROR(__xludf.DUMMYFUNCTION("""COMPUTED_VALUE"""),"товари")</f>
        <v>товари</v>
      </c>
      <c r="B537" s="16" t="str">
        <f>IFERROR(__xludf.DUMMYFUNCTION("""COMPUTED_VALUE"""),"антикваріат і колекціонування")</f>
        <v>антикваріат і колекціонування</v>
      </c>
      <c r="C537" s="16" t="str">
        <f>IFERROR(__xludf.DUMMYFUNCTION("""COMPUTED_VALUE"""),"антикварні та колекційні шаблі, пістолети та обладунки")</f>
        <v>антикварні та колекційні шаблі, пістолети та обладунки</v>
      </c>
      <c r="D537" s="16" t="str">
        <f>IFERROR(__xludf.DUMMYFUNCTION("""COMPUTED_VALUE"""),"антикварні та колекційні шаблі, пістолети та обладунки")</f>
        <v>антикварні та колекційні шаблі, пістолети та обладунки</v>
      </c>
      <c r="E537" s="16" t="str">
        <f>IFERROR(__xludf.DUMMYFUNCTION("""COMPUTED_VALUE"""),"антикварні та колекційні шаблі, пістолети та обладунки")</f>
        <v>антикварні та колекційні шаблі, пістолети та обладунки</v>
      </c>
      <c r="F537" s="17">
        <f>IFERROR(__xludf.DUMMYFUNCTION("""COMPUTED_VALUE"""),2.0)</f>
        <v>2</v>
      </c>
      <c r="G537" s="17" t="str">
        <f>IFERROR(__xludf.DUMMYFUNCTION("""COMPUTED_VALUE"""),"170307")</f>
        <v>170307</v>
      </c>
      <c r="H537" s="17" t="str">
        <f>IFERROR(__xludf.DUMMYFUNCTION("""COMPUTED_VALUE"""),"антикварні та колекційні шаблі, пістолети та обладунки")</f>
        <v>антикварні та колекційні шаблі, пістолети та обладунки</v>
      </c>
      <c r="I537" s="19">
        <f>IFERROR(__xludf.DUMMYFUNCTION("""COMPUTED_VALUE"""),0.0383)</f>
        <v>0.0383</v>
      </c>
      <c r="J537" s="19">
        <f>IFERROR(__xludf.DUMMYFUNCTION("""COMPUTED_VALUE"""),0.0766)</f>
        <v>0.0766</v>
      </c>
      <c r="K537" s="19">
        <f>IFERROR(__xludf.DUMMYFUNCTION("""COMPUTED_VALUE"""),0.0958)</f>
        <v>0.0958</v>
      </c>
      <c r="L537" s="19">
        <f>IFERROR(__xludf.DUMMYFUNCTION("""COMPUTED_VALUE"""),0.1149)</f>
        <v>0.1149</v>
      </c>
      <c r="M537" s="18">
        <f>IFERROR(__xludf.DUMMYFUNCTION("""COMPUTED_VALUE"""),1.05)</f>
        <v>1.05</v>
      </c>
    </row>
    <row r="538">
      <c r="A538" s="13" t="str">
        <f>IFERROR(__xludf.DUMMYFUNCTION("""COMPUTED_VALUE"""),"товари")</f>
        <v>товари</v>
      </c>
      <c r="B538" s="16" t="str">
        <f>IFERROR(__xludf.DUMMYFUNCTION("""COMPUTED_VALUE"""),"антикваріат і колекціонування")</f>
        <v>антикваріат і колекціонування</v>
      </c>
      <c r="C538" s="16" t="str">
        <f>IFERROR(__xludf.DUMMYFUNCTION("""COMPUTED_VALUE"""),"колекційні мінерали")</f>
        <v>колекційні мінерали</v>
      </c>
      <c r="D538" s="16" t="str">
        <f>IFERROR(__xludf.DUMMYFUNCTION("""COMPUTED_VALUE"""),"колекційні мінерали")</f>
        <v>колекційні мінерали</v>
      </c>
      <c r="E538" s="16" t="str">
        <f>IFERROR(__xludf.DUMMYFUNCTION("""COMPUTED_VALUE"""),"колекційні мінерали")</f>
        <v>колекційні мінерали</v>
      </c>
      <c r="F538" s="17">
        <f>IFERROR(__xludf.DUMMYFUNCTION("""COMPUTED_VALUE"""),2.0)</f>
        <v>2</v>
      </c>
      <c r="G538" s="17" t="str">
        <f>IFERROR(__xludf.DUMMYFUNCTION("""COMPUTED_VALUE"""),"370706")</f>
        <v>370706</v>
      </c>
      <c r="H538" s="17" t="str">
        <f>IFERROR(__xludf.DUMMYFUNCTION("""COMPUTED_VALUE"""),"колекційні мінерали")</f>
        <v>колекційні мінерали</v>
      </c>
      <c r="I538" s="19">
        <f>IFERROR(__xludf.DUMMYFUNCTION("""COMPUTED_VALUE"""),0.0383)</f>
        <v>0.0383</v>
      </c>
      <c r="J538" s="19">
        <f>IFERROR(__xludf.DUMMYFUNCTION("""COMPUTED_VALUE"""),0.0766)</f>
        <v>0.0766</v>
      </c>
      <c r="K538" s="19">
        <f>IFERROR(__xludf.DUMMYFUNCTION("""COMPUTED_VALUE"""),0.0958)</f>
        <v>0.0958</v>
      </c>
      <c r="L538" s="19">
        <f>IFERROR(__xludf.DUMMYFUNCTION("""COMPUTED_VALUE"""),0.1149)</f>
        <v>0.1149</v>
      </c>
      <c r="M538" s="18">
        <f>IFERROR(__xludf.DUMMYFUNCTION("""COMPUTED_VALUE"""),1.05)</f>
        <v>1.05</v>
      </c>
    </row>
    <row r="539">
      <c r="A539" s="13" t="str">
        <f>IFERROR(__xludf.DUMMYFUNCTION("""COMPUTED_VALUE"""),"товари")</f>
        <v>товари</v>
      </c>
      <c r="B539" s="16" t="str">
        <f>IFERROR(__xludf.DUMMYFUNCTION("""COMPUTED_VALUE"""),"антикваріат і колекціонування")</f>
        <v>антикваріат і колекціонування</v>
      </c>
      <c r="C539" s="16" t="str">
        <f>IFERROR(__xludf.DUMMYFUNCTION("""COMPUTED_VALUE"""),"колекційні моделі транспорту")</f>
        <v>колекційні моделі транспорту</v>
      </c>
      <c r="D539" s="16" t="str">
        <f>IFERROR(__xludf.DUMMYFUNCTION("""COMPUTED_VALUE"""),"колекційні моделі транспорту")</f>
        <v>колекційні моделі транспорту</v>
      </c>
      <c r="E539" s="16" t="str">
        <f>IFERROR(__xludf.DUMMYFUNCTION("""COMPUTED_VALUE"""),"колекційні моделі транспорту")</f>
        <v>колекційні моделі транспорту</v>
      </c>
      <c r="F539" s="17">
        <f>IFERROR(__xludf.DUMMYFUNCTION("""COMPUTED_VALUE"""),2.0)</f>
        <v>2</v>
      </c>
      <c r="G539" s="17" t="str">
        <f>IFERROR(__xludf.DUMMYFUNCTION("""COMPUTED_VALUE"""),"370705")</f>
        <v>370705</v>
      </c>
      <c r="H539" s="17" t="str">
        <f>IFERROR(__xludf.DUMMYFUNCTION("""COMPUTED_VALUE"""),"колекційні моделі транспорту")</f>
        <v>колекційні моделі транспорту</v>
      </c>
      <c r="I539" s="19">
        <f>IFERROR(__xludf.DUMMYFUNCTION("""COMPUTED_VALUE"""),0.0747)</f>
        <v>0.0747</v>
      </c>
      <c r="J539" s="19">
        <f>IFERROR(__xludf.DUMMYFUNCTION("""COMPUTED_VALUE"""),0.1494)</f>
        <v>0.1494</v>
      </c>
      <c r="K539" s="19">
        <f>IFERROR(__xludf.DUMMYFUNCTION("""COMPUTED_VALUE"""),0.1868)</f>
        <v>0.1868</v>
      </c>
      <c r="L539" s="19">
        <f>IFERROR(__xludf.DUMMYFUNCTION("""COMPUTED_VALUE"""),0.2241)</f>
        <v>0.2241</v>
      </c>
      <c r="M539" s="18">
        <f>IFERROR(__xludf.DUMMYFUNCTION("""COMPUTED_VALUE"""),1.05)</f>
        <v>1.05</v>
      </c>
    </row>
    <row r="540">
      <c r="A540" s="13" t="str">
        <f>IFERROR(__xludf.DUMMYFUNCTION("""COMPUTED_VALUE"""),"товари")</f>
        <v>товари</v>
      </c>
      <c r="B540" s="16" t="str">
        <f>IFERROR(__xludf.DUMMYFUNCTION("""COMPUTED_VALUE"""),"антикваріат і колекціонування")</f>
        <v>антикваріат і колекціонування</v>
      </c>
      <c r="C540" s="16" t="str">
        <f>IFERROR(__xludf.DUMMYFUNCTION("""COMPUTED_VALUE"""),"моделізм")</f>
        <v>моделізм</v>
      </c>
      <c r="D540" s="16" t="str">
        <f>IFERROR(__xludf.DUMMYFUNCTION("""COMPUTED_VALUE"""),"моделізм")</f>
        <v>моделізм</v>
      </c>
      <c r="E540" s="16" t="str">
        <f>IFERROR(__xludf.DUMMYFUNCTION("""COMPUTED_VALUE"""),"моделізм")</f>
        <v>моделізм</v>
      </c>
      <c r="F540" s="17">
        <f>IFERROR(__xludf.DUMMYFUNCTION("""COMPUTED_VALUE"""),2.0)</f>
        <v>2</v>
      </c>
      <c r="G540" s="17" t="str">
        <f>IFERROR(__xludf.DUMMYFUNCTION("""COMPUTED_VALUE"""),"370703")</f>
        <v>370703</v>
      </c>
      <c r="H540" s="17" t="str">
        <f>IFERROR(__xludf.DUMMYFUNCTION("""COMPUTED_VALUE"""),"моделізм")</f>
        <v>моделізм</v>
      </c>
      <c r="I540" s="19">
        <f>IFERROR(__xludf.DUMMYFUNCTION("""COMPUTED_VALUE"""),0.0447)</f>
        <v>0.0447</v>
      </c>
      <c r="J540" s="19">
        <f>IFERROR(__xludf.DUMMYFUNCTION("""COMPUTED_VALUE"""),0.0893)</f>
        <v>0.0893</v>
      </c>
      <c r="K540" s="19">
        <f>IFERROR(__xludf.DUMMYFUNCTION("""COMPUTED_VALUE"""),0.1116)</f>
        <v>0.1116</v>
      </c>
      <c r="L540" s="19">
        <f>IFERROR(__xludf.DUMMYFUNCTION("""COMPUTED_VALUE"""),0.134)</f>
        <v>0.134</v>
      </c>
      <c r="M540" s="18">
        <f>IFERROR(__xludf.DUMMYFUNCTION("""COMPUTED_VALUE"""),1.05)</f>
        <v>1.05</v>
      </c>
    </row>
    <row r="541">
      <c r="A541" s="13" t="str">
        <f>IFERROR(__xludf.DUMMYFUNCTION("""COMPUTED_VALUE"""),"товари")</f>
        <v>товари</v>
      </c>
      <c r="B541" s="16" t="str">
        <f>IFERROR(__xludf.DUMMYFUNCTION("""COMPUTED_VALUE"""),"антикваріат і колекціонування")</f>
        <v>антикваріат і колекціонування</v>
      </c>
      <c r="C541" s="16" t="str">
        <f>IFERROR(__xludf.DUMMYFUNCTION("""COMPUTED_VALUE"""),"нумізматика, боністика")</f>
        <v>нумізматика, боністика</v>
      </c>
      <c r="D541" s="16" t="str">
        <f>IFERROR(__xludf.DUMMYFUNCTION("""COMPUTED_VALUE"""),"нумізматика, боністика")</f>
        <v>нумізматика, боністика</v>
      </c>
      <c r="E541" s="16" t="str">
        <f>IFERROR(__xludf.DUMMYFUNCTION("""COMPUTED_VALUE"""),"нумізматика, боністика")</f>
        <v>нумізматика, боністика</v>
      </c>
      <c r="F541" s="17">
        <f>IFERROR(__xludf.DUMMYFUNCTION("""COMPUTED_VALUE"""),2.0)</f>
        <v>2</v>
      </c>
      <c r="G541" s="17" t="str">
        <f>IFERROR(__xludf.DUMMYFUNCTION("""COMPUTED_VALUE"""),"3809")</f>
        <v>3809</v>
      </c>
      <c r="H541" s="17" t="str">
        <f>IFERROR(__xludf.DUMMYFUNCTION("""COMPUTED_VALUE"""),"нумізматика, боністика")</f>
        <v>нумізматика, боністика</v>
      </c>
      <c r="I541" s="19">
        <f>IFERROR(__xludf.DUMMYFUNCTION("""COMPUTED_VALUE"""),0.0722)</f>
        <v>0.0722</v>
      </c>
      <c r="J541" s="19">
        <f>IFERROR(__xludf.DUMMYFUNCTION("""COMPUTED_VALUE"""),0.1443)</f>
        <v>0.1443</v>
      </c>
      <c r="K541" s="19">
        <f>IFERROR(__xludf.DUMMYFUNCTION("""COMPUTED_VALUE"""),0.1804)</f>
        <v>0.1804</v>
      </c>
      <c r="L541" s="19">
        <f>IFERROR(__xludf.DUMMYFUNCTION("""COMPUTED_VALUE"""),0.2165)</f>
        <v>0.2165</v>
      </c>
      <c r="M541" s="18">
        <f>IFERROR(__xludf.DUMMYFUNCTION("""COMPUTED_VALUE"""),1.44)</f>
        <v>1.44</v>
      </c>
    </row>
    <row r="542">
      <c r="A542" s="13" t="str">
        <f>IFERROR(__xludf.DUMMYFUNCTION("""COMPUTED_VALUE"""),"товари")</f>
        <v>товари</v>
      </c>
      <c r="B542" s="16" t="str">
        <f>IFERROR(__xludf.DUMMYFUNCTION("""COMPUTED_VALUE"""),"антикваріат і колекціонування")</f>
        <v>антикваріат і колекціонування</v>
      </c>
      <c r="C542" s="16" t="str">
        <f>IFERROR(__xludf.DUMMYFUNCTION("""COMPUTED_VALUE"""),"філателія")</f>
        <v>філателія</v>
      </c>
      <c r="D542" s="16" t="str">
        <f>IFERROR(__xludf.DUMMYFUNCTION("""COMPUTED_VALUE"""),"філателія")</f>
        <v>філателія</v>
      </c>
      <c r="E542" s="16" t="str">
        <f>IFERROR(__xludf.DUMMYFUNCTION("""COMPUTED_VALUE"""),"філателія")</f>
        <v>філателія</v>
      </c>
      <c r="F542" s="17">
        <f>IFERROR(__xludf.DUMMYFUNCTION("""COMPUTED_VALUE"""),2.0)</f>
        <v>2</v>
      </c>
      <c r="G542" s="17" t="str">
        <f>IFERROR(__xludf.DUMMYFUNCTION("""COMPUTED_VALUE"""),"370701")</f>
        <v>370701</v>
      </c>
      <c r="H542" s="17" t="str">
        <f>IFERROR(__xludf.DUMMYFUNCTION("""COMPUTED_VALUE"""),"філателія")</f>
        <v>філателія</v>
      </c>
      <c r="I542" s="19">
        <f>IFERROR(__xludf.DUMMYFUNCTION("""COMPUTED_VALUE"""),0.0697)</f>
        <v>0.0697</v>
      </c>
      <c r="J542" s="19">
        <f>IFERROR(__xludf.DUMMYFUNCTION("""COMPUTED_VALUE"""),0.1394)</f>
        <v>0.1394</v>
      </c>
      <c r="K542" s="19">
        <f>IFERROR(__xludf.DUMMYFUNCTION("""COMPUTED_VALUE"""),0.1743)</f>
        <v>0.1743</v>
      </c>
      <c r="L542" s="19">
        <f>IFERROR(__xludf.DUMMYFUNCTION("""COMPUTED_VALUE"""),0.2091)</f>
        <v>0.2091</v>
      </c>
      <c r="M542" s="18">
        <f>IFERROR(__xludf.DUMMYFUNCTION("""COMPUTED_VALUE"""),5.4)</f>
        <v>5.4</v>
      </c>
    </row>
    <row r="543">
      <c r="A543" s="13" t="str">
        <f>IFERROR(__xludf.DUMMYFUNCTION("""COMPUTED_VALUE"""),"товари")</f>
        <v>товари</v>
      </c>
      <c r="B543" s="16" t="str">
        <f>IFERROR(__xludf.DUMMYFUNCTION("""COMPUTED_VALUE"""),"безпека та захист")</f>
        <v>безпека та захист</v>
      </c>
      <c r="C543" s="16" t="str">
        <f>IFERROR(__xludf.DUMMYFUNCTION("""COMPUTED_VALUE"""),"безпека та захист, загальне")</f>
        <v>безпека та захист, загальне</v>
      </c>
      <c r="D543" s="16" t="str">
        <f>IFERROR(__xludf.DUMMYFUNCTION("""COMPUTED_VALUE"""),"безпека та захист, загальне")</f>
        <v>безпека та захист, загальне</v>
      </c>
      <c r="E543" s="16" t="str">
        <f>IFERROR(__xludf.DUMMYFUNCTION("""COMPUTED_VALUE"""),"безпека та захист, загальне")</f>
        <v>безпека та захист, загальне</v>
      </c>
      <c r="F543" s="17">
        <f>IFERROR(__xludf.DUMMYFUNCTION("""COMPUTED_VALUE"""),2.0)</f>
        <v>2</v>
      </c>
      <c r="G543" s="17" t="str">
        <f>IFERROR(__xludf.DUMMYFUNCTION("""COMPUTED_VALUE"""),"3016")</f>
        <v>3016</v>
      </c>
      <c r="H543" s="17" t="str">
        <f>IFERROR(__xludf.DUMMYFUNCTION("""COMPUTED_VALUE"""),"безпека та захист, загальне")</f>
        <v>безпека та захист, загальне</v>
      </c>
      <c r="I543" s="19">
        <f>IFERROR(__xludf.DUMMYFUNCTION("""COMPUTED_VALUE"""),0.125)</f>
        <v>0.125</v>
      </c>
      <c r="J543" s="19">
        <f>IFERROR(__xludf.DUMMYFUNCTION("""COMPUTED_VALUE"""),0.25)</f>
        <v>0.25</v>
      </c>
      <c r="K543" s="19">
        <f>IFERROR(__xludf.DUMMYFUNCTION("""COMPUTED_VALUE"""),0.3125)</f>
        <v>0.3125</v>
      </c>
      <c r="L543" s="19">
        <f>IFERROR(__xludf.DUMMYFUNCTION("""COMPUTED_VALUE"""),0.375)</f>
        <v>0.375</v>
      </c>
      <c r="M543" s="18">
        <f>IFERROR(__xludf.DUMMYFUNCTION("""COMPUTED_VALUE"""),4.33)</f>
        <v>4.33</v>
      </c>
    </row>
    <row r="544">
      <c r="A544" s="13" t="str">
        <f>IFERROR(__xludf.DUMMYFUNCTION("""COMPUTED_VALUE"""),"товари")</f>
        <v>товари</v>
      </c>
      <c r="B544" s="16" t="str">
        <f>IFERROR(__xludf.DUMMYFUNCTION("""COMPUTED_VALUE"""),"безпека та захист")</f>
        <v>безпека та захист</v>
      </c>
      <c r="C544" s="16" t="str">
        <f>IFERROR(__xludf.DUMMYFUNCTION("""COMPUTED_VALUE"""),"системи охорони та оповіщення")</f>
        <v>системи охорони та оповіщення</v>
      </c>
      <c r="D544" s="16" t="str">
        <f>IFERROR(__xludf.DUMMYFUNCTION("""COMPUTED_VALUE"""),"брелоки, пульти для охоронних систем")</f>
        <v>брелоки, пульти для охоронних систем</v>
      </c>
      <c r="E544" s="16" t="str">
        <f>IFERROR(__xludf.DUMMYFUNCTION("""COMPUTED_VALUE"""),"брелоки, пульти для охоронних систем")</f>
        <v>брелоки, пульти для охоронних систем</v>
      </c>
      <c r="F544" s="17">
        <f>IFERROR(__xludf.DUMMYFUNCTION("""COMPUTED_VALUE"""),3.0)</f>
        <v>3</v>
      </c>
      <c r="G544" s="17" t="str">
        <f>IFERROR(__xludf.DUMMYFUNCTION("""COMPUTED_VALUE"""),"302307")</f>
        <v>302307</v>
      </c>
      <c r="H544" s="17" t="str">
        <f>IFERROR(__xludf.DUMMYFUNCTION("""COMPUTED_VALUE"""),"брелоки, пульти для охоронних систем")</f>
        <v>брелоки, пульти для охоронних систем</v>
      </c>
      <c r="I544" s="19">
        <f>IFERROR(__xludf.DUMMYFUNCTION("""COMPUTED_VALUE"""),0.0593)</f>
        <v>0.0593</v>
      </c>
      <c r="J544" s="19">
        <f>IFERROR(__xludf.DUMMYFUNCTION("""COMPUTED_VALUE"""),0.1186)</f>
        <v>0.1186</v>
      </c>
      <c r="K544" s="19">
        <f>IFERROR(__xludf.DUMMYFUNCTION("""COMPUTED_VALUE"""),0.1483)</f>
        <v>0.1483</v>
      </c>
      <c r="L544" s="19">
        <f>IFERROR(__xludf.DUMMYFUNCTION("""COMPUTED_VALUE"""),0.1779)</f>
        <v>0.1779</v>
      </c>
      <c r="M544" s="18">
        <f>IFERROR(__xludf.DUMMYFUNCTION("""COMPUTED_VALUE"""),2.25)</f>
        <v>2.25</v>
      </c>
    </row>
    <row r="545">
      <c r="A545" s="13" t="str">
        <f>IFERROR(__xludf.DUMMYFUNCTION("""COMPUTED_VALUE"""),"товари")</f>
        <v>товари</v>
      </c>
      <c r="B545" s="16" t="str">
        <f>IFERROR(__xludf.DUMMYFUNCTION("""COMPUTED_VALUE"""),"безпека та захист")</f>
        <v>безпека та захист</v>
      </c>
      <c r="C545" s="16" t="str">
        <f>IFERROR(__xludf.DUMMYFUNCTION("""COMPUTED_VALUE"""),"засоби індивідуального захисту")</f>
        <v>засоби індивідуального захисту</v>
      </c>
      <c r="D545" s="16" t="str">
        <f>IFERROR(__xludf.DUMMYFUNCTION("""COMPUTED_VALUE"""),"будівельні каски ")</f>
        <v>будівельні каски </v>
      </c>
      <c r="E545" s="16" t="str">
        <f>IFERROR(__xludf.DUMMYFUNCTION("""COMPUTED_VALUE"""),"будівельні каски ")</f>
        <v>будівельні каски </v>
      </c>
      <c r="F545" s="17">
        <f>IFERROR(__xludf.DUMMYFUNCTION("""COMPUTED_VALUE"""),3.0)</f>
        <v>3</v>
      </c>
      <c r="G545" s="17" t="str">
        <f>IFERROR(__xludf.DUMMYFUNCTION("""COMPUTED_VALUE"""),"301911")</f>
        <v>301911</v>
      </c>
      <c r="H545" s="17" t="str">
        <f>IFERROR(__xludf.DUMMYFUNCTION("""COMPUTED_VALUE"""),"будівельні каски ")</f>
        <v>будівельні каски </v>
      </c>
      <c r="I545" s="19">
        <f>IFERROR(__xludf.DUMMYFUNCTION("""COMPUTED_VALUE"""),0.0593)</f>
        <v>0.0593</v>
      </c>
      <c r="J545" s="19">
        <f>IFERROR(__xludf.DUMMYFUNCTION("""COMPUTED_VALUE"""),0.1186)</f>
        <v>0.1186</v>
      </c>
      <c r="K545" s="19">
        <f>IFERROR(__xludf.DUMMYFUNCTION("""COMPUTED_VALUE"""),0.1483)</f>
        <v>0.1483</v>
      </c>
      <c r="L545" s="19">
        <f>IFERROR(__xludf.DUMMYFUNCTION("""COMPUTED_VALUE"""),0.1779)</f>
        <v>0.1779</v>
      </c>
      <c r="M545" s="18">
        <f>IFERROR(__xludf.DUMMYFUNCTION("""COMPUTED_VALUE"""),1.53)</f>
        <v>1.53</v>
      </c>
    </row>
    <row r="546">
      <c r="A546" s="13" t="str">
        <f>IFERROR(__xludf.DUMMYFUNCTION("""COMPUTED_VALUE"""),"товари")</f>
        <v>товари</v>
      </c>
      <c r="B546" s="16" t="str">
        <f>IFERROR(__xludf.DUMMYFUNCTION("""COMPUTED_VALUE"""),"безпека та захист")</f>
        <v>безпека та захист</v>
      </c>
      <c r="C546" s="16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46" s="16" t="str">
        <f>IFERROR(__xludf.DUMMYFUNCTION("""COMPUTED_VALUE"""),"пломби та пломбіратори")</f>
        <v>пломби та пломбіратори</v>
      </c>
      <c r="E546" s="16" t="str">
        <f>IFERROR(__xludf.DUMMYFUNCTION("""COMPUTED_VALUE"""),"витратні матеріали для опломбування")</f>
        <v>витратні матеріали для опломбування</v>
      </c>
      <c r="F546" s="17">
        <f>IFERROR(__xludf.DUMMYFUNCTION("""COMPUTED_VALUE"""),4.0)</f>
        <v>4</v>
      </c>
      <c r="G546" s="17" t="str">
        <f>IFERROR(__xludf.DUMMYFUNCTION("""COMPUTED_VALUE"""),"302007")</f>
        <v>302007</v>
      </c>
      <c r="H546" s="17" t="str">
        <f>IFERROR(__xludf.DUMMYFUNCTION("""COMPUTED_VALUE"""),"витратні матеріали для опломбування")</f>
        <v>витратні матеріали для опломбування</v>
      </c>
      <c r="I546" s="19">
        <f>IFERROR(__xludf.DUMMYFUNCTION("""COMPUTED_VALUE"""),0.0639)</f>
        <v>0.0639</v>
      </c>
      <c r="J546" s="19">
        <f>IFERROR(__xludf.DUMMYFUNCTION("""COMPUTED_VALUE"""),0.1278)</f>
        <v>0.1278</v>
      </c>
      <c r="K546" s="19">
        <f>IFERROR(__xludf.DUMMYFUNCTION("""COMPUTED_VALUE"""),0.1598)</f>
        <v>0.1598</v>
      </c>
      <c r="L546" s="19">
        <f>IFERROR(__xludf.DUMMYFUNCTION("""COMPUTED_VALUE"""),0.1917)</f>
        <v>0.1917</v>
      </c>
      <c r="M546" s="18">
        <f>IFERROR(__xludf.DUMMYFUNCTION("""COMPUTED_VALUE"""),1.71)</f>
        <v>1.71</v>
      </c>
    </row>
    <row r="547">
      <c r="A547" s="13" t="str">
        <f>IFERROR(__xludf.DUMMYFUNCTION("""COMPUTED_VALUE"""),"товари")</f>
        <v>товари</v>
      </c>
      <c r="B547" s="16" t="str">
        <f>IFERROR(__xludf.DUMMYFUNCTION("""COMPUTED_VALUE"""),"безпека та захист")</f>
        <v>безпека та захист</v>
      </c>
      <c r="C547" s="16" t="str">
        <f>IFERROR(__xludf.DUMMYFUNCTION("""COMPUTED_VALUE"""),"технічні засоби відеоспостереження")</f>
        <v>технічні засоби відеоспостереження</v>
      </c>
      <c r="D547" s="16" t="str">
        <f>IFERROR(__xludf.DUMMYFUNCTION("""COMPUTED_VALUE"""),"відеокамери-обманки, муляжі")</f>
        <v>відеокамери-обманки, муляжі</v>
      </c>
      <c r="E547" s="16" t="str">
        <f>IFERROR(__xludf.DUMMYFUNCTION("""COMPUTED_VALUE"""),"відеокамери-обманки, муляжі")</f>
        <v>відеокамери-обманки, муляжі</v>
      </c>
      <c r="F547" s="17">
        <f>IFERROR(__xludf.DUMMYFUNCTION("""COMPUTED_VALUE"""),3.0)</f>
        <v>3</v>
      </c>
      <c r="G547" s="17" t="str">
        <f>IFERROR(__xludf.DUMMYFUNCTION("""COMPUTED_VALUE"""),"301107")</f>
        <v>301107</v>
      </c>
      <c r="H547" s="17" t="str">
        <f>IFERROR(__xludf.DUMMYFUNCTION("""COMPUTED_VALUE"""),"відеокамери-обманки, муляжі")</f>
        <v>відеокамери-обманки, муляжі</v>
      </c>
      <c r="I547" s="19">
        <f>IFERROR(__xludf.DUMMYFUNCTION("""COMPUTED_VALUE"""),0.0801)</f>
        <v>0.0801</v>
      </c>
      <c r="J547" s="19">
        <f>IFERROR(__xludf.DUMMYFUNCTION("""COMPUTED_VALUE"""),0.1602)</f>
        <v>0.1602</v>
      </c>
      <c r="K547" s="19">
        <f>IFERROR(__xludf.DUMMYFUNCTION("""COMPUTED_VALUE"""),0.2003)</f>
        <v>0.2003</v>
      </c>
      <c r="L547" s="19">
        <f>IFERROR(__xludf.DUMMYFUNCTION("""COMPUTED_VALUE"""),0.2403)</f>
        <v>0.2403</v>
      </c>
      <c r="M547" s="18">
        <f>IFERROR(__xludf.DUMMYFUNCTION("""COMPUTED_VALUE"""),1.8)</f>
        <v>1.8</v>
      </c>
    </row>
    <row r="548">
      <c r="A548" s="13" t="str">
        <f>IFERROR(__xludf.DUMMYFUNCTION("""COMPUTED_VALUE"""),"товари")</f>
        <v>товари</v>
      </c>
      <c r="B548" s="16" t="str">
        <f>IFERROR(__xludf.DUMMYFUNCTION("""COMPUTED_VALUE"""),"безпека та захист")</f>
        <v>безпека та захист</v>
      </c>
      <c r="C548" s="16" t="str">
        <f>IFERROR(__xludf.DUMMYFUNCTION("""COMPUTED_VALUE"""),"системи і засоби пожежної безпеки")</f>
        <v>системи і засоби пожежної безпеки</v>
      </c>
      <c r="D548" s="16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48" s="16" t="str">
        <f>IFERROR(__xludf.DUMMYFUNCTION("""COMPUTED_VALUE"""),"вогнегасники")</f>
        <v>вогнегасники</v>
      </c>
      <c r="F548" s="17">
        <f>IFERROR(__xludf.DUMMYFUNCTION("""COMPUTED_VALUE"""),4.0)</f>
        <v>4</v>
      </c>
      <c r="G548" s="17" t="str">
        <f>IFERROR(__xludf.DUMMYFUNCTION("""COMPUTED_VALUE"""),"300902")</f>
        <v>300902</v>
      </c>
      <c r="H548" s="17" t="str">
        <f>IFERROR(__xludf.DUMMYFUNCTION("""COMPUTED_VALUE"""),"вогнегасники")</f>
        <v>вогнегасники</v>
      </c>
      <c r="I548" s="19">
        <f>IFERROR(__xludf.DUMMYFUNCTION("""COMPUTED_VALUE"""),0.056)</f>
        <v>0.056</v>
      </c>
      <c r="J548" s="19">
        <f>IFERROR(__xludf.DUMMYFUNCTION("""COMPUTED_VALUE"""),0.112)</f>
        <v>0.112</v>
      </c>
      <c r="K548" s="19">
        <f>IFERROR(__xludf.DUMMYFUNCTION("""COMPUTED_VALUE"""),0.14)</f>
        <v>0.14</v>
      </c>
      <c r="L548" s="19">
        <f>IFERROR(__xludf.DUMMYFUNCTION("""COMPUTED_VALUE"""),0.168)</f>
        <v>0.168</v>
      </c>
      <c r="M548" s="18">
        <f>IFERROR(__xludf.DUMMYFUNCTION("""COMPUTED_VALUE"""),3.33)</f>
        <v>3.33</v>
      </c>
    </row>
    <row r="549">
      <c r="A549" s="13" t="str">
        <f>IFERROR(__xludf.DUMMYFUNCTION("""COMPUTED_VALUE"""),"товари")</f>
        <v>товари</v>
      </c>
      <c r="B549" s="16" t="str">
        <f>IFERROR(__xludf.DUMMYFUNCTION("""COMPUTED_VALUE"""),"безпека та захист")</f>
        <v>безпека та захист</v>
      </c>
      <c r="C549" s="16" t="str">
        <f>IFERROR(__xludf.DUMMYFUNCTION("""COMPUTED_VALUE"""),"системи охорони та оповіщення")</f>
        <v>системи охорони та оповіщення</v>
      </c>
      <c r="D549" s="16" t="str">
        <f>IFERROR(__xludf.DUMMYFUNCTION("""COMPUTED_VALUE"""),"гучномовці")</f>
        <v>гучномовці</v>
      </c>
      <c r="E549" s="16" t="str">
        <f>IFERROR(__xludf.DUMMYFUNCTION("""COMPUTED_VALUE"""),"гучномовці")</f>
        <v>гучномовці</v>
      </c>
      <c r="F549" s="17">
        <f>IFERROR(__xludf.DUMMYFUNCTION("""COMPUTED_VALUE"""),3.0)</f>
        <v>3</v>
      </c>
      <c r="G549" s="17" t="str">
        <f>IFERROR(__xludf.DUMMYFUNCTION("""COMPUTED_VALUE"""),"6371818")</f>
        <v>6371818</v>
      </c>
      <c r="H549" s="17" t="str">
        <f>IFERROR(__xludf.DUMMYFUNCTION("""COMPUTED_VALUE"""),"гучномовці")</f>
        <v>гучномовці</v>
      </c>
      <c r="I549" s="19">
        <f>IFERROR(__xludf.DUMMYFUNCTION("""COMPUTED_VALUE"""),0.0772)</f>
        <v>0.0772</v>
      </c>
      <c r="J549" s="19">
        <f>IFERROR(__xludf.DUMMYFUNCTION("""COMPUTED_VALUE"""),0.1544)</f>
        <v>0.1544</v>
      </c>
      <c r="K549" s="19">
        <f>IFERROR(__xludf.DUMMYFUNCTION("""COMPUTED_VALUE"""),0.193)</f>
        <v>0.193</v>
      </c>
      <c r="L549" s="19">
        <f>IFERROR(__xludf.DUMMYFUNCTION("""COMPUTED_VALUE"""),0.2316)</f>
        <v>0.2316</v>
      </c>
      <c r="M549" s="18">
        <f>IFERROR(__xludf.DUMMYFUNCTION("""COMPUTED_VALUE"""),1.53)</f>
        <v>1.53</v>
      </c>
    </row>
    <row r="550">
      <c r="A550" s="13" t="str">
        <f>IFERROR(__xludf.DUMMYFUNCTION("""COMPUTED_VALUE"""),"товари")</f>
        <v>товари</v>
      </c>
      <c r="B550" s="16" t="str">
        <f>IFERROR(__xludf.DUMMYFUNCTION("""COMPUTED_VALUE"""),"безпека та захист")</f>
        <v>безпека та захист</v>
      </c>
      <c r="C550" s="16" t="str">
        <f>IFERROR(__xludf.DUMMYFUNCTION("""COMPUTED_VALUE"""),"засоби організації дорожнього руху")</f>
        <v>засоби організації дорожнього руху</v>
      </c>
      <c r="D550" s="16" t="str">
        <f>IFERROR(__xludf.DUMMYFUNCTION("""COMPUTED_VALUE"""),"дорожні знаки")</f>
        <v>дорожні знаки</v>
      </c>
      <c r="E550" s="16" t="str">
        <f>IFERROR(__xludf.DUMMYFUNCTION("""COMPUTED_VALUE"""),"дорожні знаки")</f>
        <v>дорожні знаки</v>
      </c>
      <c r="F550" s="17">
        <f>IFERROR(__xludf.DUMMYFUNCTION("""COMPUTED_VALUE"""),3.0)</f>
        <v>3</v>
      </c>
      <c r="G550" s="17" t="str">
        <f>IFERROR(__xludf.DUMMYFUNCTION("""COMPUTED_VALUE"""),"301502")</f>
        <v>301502</v>
      </c>
      <c r="H550" s="17" t="str">
        <f>IFERROR(__xludf.DUMMYFUNCTION("""COMPUTED_VALUE"""),"дорожні знаки")</f>
        <v>дорожні знаки</v>
      </c>
      <c r="I550" s="19">
        <f>IFERROR(__xludf.DUMMYFUNCTION("""COMPUTED_VALUE"""),0.0447)</f>
        <v>0.0447</v>
      </c>
      <c r="J550" s="19">
        <f>IFERROR(__xludf.DUMMYFUNCTION("""COMPUTED_VALUE"""),0.0893)</f>
        <v>0.0893</v>
      </c>
      <c r="K550" s="19">
        <f>IFERROR(__xludf.DUMMYFUNCTION("""COMPUTED_VALUE"""),0.1116)</f>
        <v>0.1116</v>
      </c>
      <c r="L550" s="19">
        <f>IFERROR(__xludf.DUMMYFUNCTION("""COMPUTED_VALUE"""),0.134)</f>
        <v>0.134</v>
      </c>
      <c r="M550" s="18">
        <f>IFERROR(__xludf.DUMMYFUNCTION("""COMPUTED_VALUE"""),2.34)</f>
        <v>2.34</v>
      </c>
    </row>
    <row r="551">
      <c r="A551" s="13" t="str">
        <f>IFERROR(__xludf.DUMMYFUNCTION("""COMPUTED_VALUE"""),"товари")</f>
        <v>товари</v>
      </c>
      <c r="B551" s="16" t="str">
        <f>IFERROR(__xludf.DUMMYFUNCTION("""COMPUTED_VALUE"""),"безпека та захист")</f>
        <v>безпека та захист</v>
      </c>
      <c r="C551" s="16" t="str">
        <f>IFERROR(__xludf.DUMMYFUNCTION("""COMPUTED_VALUE"""),"обладнання електронне, прилади захисту й безпеки")</f>
        <v>обладнання електронне, прилади захисту й безпеки</v>
      </c>
      <c r="D551" s="16" t="str">
        <f>IFERROR(__xludf.DUMMYFUNCTION("""COMPUTED_VALUE"""),"електронне обладнання, прилади захисту й безпеки, загальне")</f>
        <v>електронне обладнання, прилади захисту й безпеки, загальне</v>
      </c>
      <c r="E551" s="16" t="str">
        <f>IFERROR(__xludf.DUMMYFUNCTION("""COMPUTED_VALUE"""),"електронне обладнання, прилади захисту й безпеки, загальне")</f>
        <v>електронне обладнання, прилади захисту й безпеки, загальне</v>
      </c>
      <c r="F551" s="17">
        <f>IFERROR(__xludf.DUMMYFUNCTION("""COMPUTED_VALUE"""),3.0)</f>
        <v>3</v>
      </c>
      <c r="G551" s="17" t="str">
        <f>IFERROR(__xludf.DUMMYFUNCTION("""COMPUTED_VALUE"""),"300414")</f>
        <v>300414</v>
      </c>
      <c r="H551" s="17" t="str">
        <f>IFERROR(__xludf.DUMMYFUNCTION("""COMPUTED_VALUE"""),"електронне обладнання, прилади захисту й безпеки, загальне")</f>
        <v>електронне обладнання, прилади захисту й безпеки, загальне</v>
      </c>
      <c r="I551" s="19">
        <f>IFERROR(__xludf.DUMMYFUNCTION("""COMPUTED_VALUE"""),0.125)</f>
        <v>0.125</v>
      </c>
      <c r="J551" s="19">
        <f>IFERROR(__xludf.DUMMYFUNCTION("""COMPUTED_VALUE"""),0.25)</f>
        <v>0.25</v>
      </c>
      <c r="K551" s="19">
        <f>IFERROR(__xludf.DUMMYFUNCTION("""COMPUTED_VALUE"""),0.3125)</f>
        <v>0.3125</v>
      </c>
      <c r="L551" s="19">
        <f>IFERROR(__xludf.DUMMYFUNCTION("""COMPUTED_VALUE"""),0.375)</f>
        <v>0.375</v>
      </c>
      <c r="M551" s="18">
        <f>IFERROR(__xludf.DUMMYFUNCTION("""COMPUTED_VALUE"""),4.33)</f>
        <v>4.33</v>
      </c>
    </row>
    <row r="552">
      <c r="A552" s="13" t="str">
        <f>IFERROR(__xludf.DUMMYFUNCTION("""COMPUTED_VALUE"""),"товари")</f>
        <v>товари</v>
      </c>
      <c r="B552" s="16" t="str">
        <f>IFERROR(__xludf.DUMMYFUNCTION("""COMPUTED_VALUE"""),"безпека та захист")</f>
        <v>безпека та захист</v>
      </c>
      <c r="C552" s="16" t="str">
        <f>IFERROR(__xludf.DUMMYFUNCTION("""COMPUTED_VALUE"""),"засоби індивідуального захисту")</f>
        <v>засоби індивідуального захисту</v>
      </c>
      <c r="D552" s="16" t="str">
        <f>IFERROR(__xludf.DUMMYFUNCTION("""COMPUTED_VALUE"""),"засоби безпеки праці")</f>
        <v>засоби безпеки праці</v>
      </c>
      <c r="E552" s="16" t="str">
        <f>IFERROR(__xludf.DUMMYFUNCTION("""COMPUTED_VALUE"""),"засоби безпеки праці, загальне")</f>
        <v>засоби безпеки праці, загальне</v>
      </c>
      <c r="F552" s="17">
        <f>IFERROR(__xludf.DUMMYFUNCTION("""COMPUTED_VALUE"""),4.0)</f>
        <v>4</v>
      </c>
      <c r="G552" s="17" t="str">
        <f>IFERROR(__xludf.DUMMYFUNCTION("""COMPUTED_VALUE"""),"14201801")</f>
        <v>14201801</v>
      </c>
      <c r="H552" s="17" t="str">
        <f>IFERROR(__xludf.DUMMYFUNCTION("""COMPUTED_VALUE"""),"засоби безпеки праці, загальне")</f>
        <v>засоби безпеки праці, загальне</v>
      </c>
      <c r="I552" s="19">
        <f>IFERROR(__xludf.DUMMYFUNCTION("""COMPUTED_VALUE"""),0.125)</f>
        <v>0.125</v>
      </c>
      <c r="J552" s="19">
        <f>IFERROR(__xludf.DUMMYFUNCTION("""COMPUTED_VALUE"""),0.25)</f>
        <v>0.25</v>
      </c>
      <c r="K552" s="19">
        <f>IFERROR(__xludf.DUMMYFUNCTION("""COMPUTED_VALUE"""),0.3125)</f>
        <v>0.3125</v>
      </c>
      <c r="L552" s="19">
        <f>IFERROR(__xludf.DUMMYFUNCTION("""COMPUTED_VALUE"""),0.375)</f>
        <v>0.375</v>
      </c>
      <c r="M552" s="18">
        <f>IFERROR(__xludf.DUMMYFUNCTION("""COMPUTED_VALUE"""),4.33)</f>
        <v>4.33</v>
      </c>
    </row>
    <row r="553">
      <c r="A553" s="13" t="str">
        <f>IFERROR(__xludf.DUMMYFUNCTION("""COMPUTED_VALUE"""),"товари")</f>
        <v>товари</v>
      </c>
      <c r="B553" s="16" t="str">
        <f>IFERROR(__xludf.DUMMYFUNCTION("""COMPUTED_VALUE"""),"безпека та захист")</f>
        <v>безпека та захист</v>
      </c>
      <c r="C553" s="16" t="str">
        <f>IFERROR(__xludf.DUMMYFUNCTION("""COMPUTED_VALUE"""),"засоби індивідуального захисту")</f>
        <v>засоби індивідуального захисту</v>
      </c>
      <c r="D553" s="16" t="str">
        <f>IFERROR(__xludf.DUMMYFUNCTION("""COMPUTED_VALUE"""),"засоби захисту від падінь та лази")</f>
        <v>засоби захисту від падінь та лази</v>
      </c>
      <c r="E553" s="16" t="str">
        <f>IFERROR(__xludf.DUMMYFUNCTION("""COMPUTED_VALUE"""),"засоби захисту від падінь та лази")</f>
        <v>засоби захисту від падінь та лази</v>
      </c>
      <c r="F553" s="17">
        <f>IFERROR(__xludf.DUMMYFUNCTION("""COMPUTED_VALUE"""),3.0)</f>
        <v>3</v>
      </c>
      <c r="G553" s="17" t="str">
        <f>IFERROR(__xludf.DUMMYFUNCTION("""COMPUTED_VALUE"""),"301916")</f>
        <v>301916</v>
      </c>
      <c r="H553" s="17" t="str">
        <f>IFERROR(__xludf.DUMMYFUNCTION("""COMPUTED_VALUE"""),"засоби захисту від падінь та лази")</f>
        <v>засоби захисту від падінь та лази</v>
      </c>
      <c r="I553" s="19">
        <f>IFERROR(__xludf.DUMMYFUNCTION("""COMPUTED_VALUE"""),0.0593)</f>
        <v>0.0593</v>
      </c>
      <c r="J553" s="19">
        <f>IFERROR(__xludf.DUMMYFUNCTION("""COMPUTED_VALUE"""),0.1186)</f>
        <v>0.1186</v>
      </c>
      <c r="K553" s="19">
        <f>IFERROR(__xludf.DUMMYFUNCTION("""COMPUTED_VALUE"""),0.1483)</f>
        <v>0.1483</v>
      </c>
      <c r="L553" s="19">
        <f>IFERROR(__xludf.DUMMYFUNCTION("""COMPUTED_VALUE"""),0.1779)</f>
        <v>0.1779</v>
      </c>
      <c r="M553" s="18">
        <f>IFERROR(__xludf.DUMMYFUNCTION("""COMPUTED_VALUE"""),4.23)</f>
        <v>4.23</v>
      </c>
    </row>
    <row r="554">
      <c r="A554" s="13" t="str">
        <f>IFERROR(__xludf.DUMMYFUNCTION("""COMPUTED_VALUE"""),"товари")</f>
        <v>товари</v>
      </c>
      <c r="B554" s="16" t="str">
        <f>IFERROR(__xludf.DUMMYFUNCTION("""COMPUTED_VALUE"""),"безпека та захист")</f>
        <v>безпека та захист</v>
      </c>
      <c r="C554" s="16" t="str">
        <f>IFERROR(__xludf.DUMMYFUNCTION("""COMPUTED_VALUE"""),"засоби індивідуального захисту")</f>
        <v>засоби індивідуального захисту</v>
      </c>
      <c r="D554" s="16" t="str">
        <f>IFERROR(__xludf.DUMMYFUNCTION("""COMPUTED_VALUE"""),"засоби захисту органів дихання")</f>
        <v>засоби захисту органів дихання</v>
      </c>
      <c r="E554" s="16" t="str">
        <f>IFERROR(__xludf.DUMMYFUNCTION("""COMPUTED_VALUE"""),"засоби захисту органів дихання")</f>
        <v>засоби захисту органів дихання</v>
      </c>
      <c r="F554" s="17">
        <f>IFERROR(__xludf.DUMMYFUNCTION("""COMPUTED_VALUE"""),3.0)</f>
        <v>3</v>
      </c>
      <c r="G554" s="17" t="str">
        <f>IFERROR(__xludf.DUMMYFUNCTION("""COMPUTED_VALUE"""),"301901")</f>
        <v>301901</v>
      </c>
      <c r="H554" s="17" t="str">
        <f>IFERROR(__xludf.DUMMYFUNCTION("""COMPUTED_VALUE"""),"засоби захисту органів дихання")</f>
        <v>засоби захисту органів дихання</v>
      </c>
      <c r="I554" s="19">
        <f>IFERROR(__xludf.DUMMYFUNCTION("""COMPUTED_VALUE"""),0.005)</f>
        <v>0.005</v>
      </c>
      <c r="J554" s="19">
        <f>IFERROR(__xludf.DUMMYFUNCTION("""COMPUTED_VALUE"""),0.01)</f>
        <v>0.01</v>
      </c>
      <c r="K554" s="19">
        <f>IFERROR(__xludf.DUMMYFUNCTION("""COMPUTED_VALUE"""),0.0125)</f>
        <v>0.0125</v>
      </c>
      <c r="L554" s="19">
        <f>IFERROR(__xludf.DUMMYFUNCTION("""COMPUTED_VALUE"""),0.015)</f>
        <v>0.015</v>
      </c>
      <c r="M554" s="18">
        <f>IFERROR(__xludf.DUMMYFUNCTION("""COMPUTED_VALUE"""),1.05)</f>
        <v>1.05</v>
      </c>
    </row>
    <row r="555">
      <c r="A555" s="13" t="str">
        <f>IFERROR(__xludf.DUMMYFUNCTION("""COMPUTED_VALUE"""),"товари")</f>
        <v>товари</v>
      </c>
      <c r="B555" s="16" t="str">
        <f>IFERROR(__xludf.DUMMYFUNCTION("""COMPUTED_VALUE"""),"безпека та захист")</f>
        <v>безпека та захист</v>
      </c>
      <c r="C555" s="16" t="str">
        <f>IFERROR(__xludf.DUMMYFUNCTION("""COMPUTED_VALUE"""),"засоби індивідуального захисту")</f>
        <v>засоби індивідуального захисту</v>
      </c>
      <c r="D555" s="16" t="str">
        <f>IFERROR(__xludf.DUMMYFUNCTION("""COMPUTED_VALUE"""),"засоби безпеки праці")</f>
        <v>засоби безпеки праці</v>
      </c>
      <c r="E555" s="16" t="str">
        <f>IFERROR(__xludf.DUMMYFUNCTION("""COMPUTED_VALUE"""),"засоби захисту очей")</f>
        <v>засоби захисту очей</v>
      </c>
      <c r="F555" s="17">
        <f>IFERROR(__xludf.DUMMYFUNCTION("""COMPUTED_VALUE"""),4.0)</f>
        <v>4</v>
      </c>
      <c r="G555" s="17" t="str">
        <f>IFERROR(__xludf.DUMMYFUNCTION("""COMPUTED_VALUE"""),"301908")</f>
        <v>301908</v>
      </c>
      <c r="H555" s="17" t="str">
        <f>IFERROR(__xludf.DUMMYFUNCTION("""COMPUTED_VALUE"""),"засоби захисту очей")</f>
        <v>засоби захисту очей</v>
      </c>
      <c r="I555" s="19">
        <f>IFERROR(__xludf.DUMMYFUNCTION("""COMPUTED_VALUE"""),0.0617)</f>
        <v>0.0617</v>
      </c>
      <c r="J555" s="19">
        <f>IFERROR(__xludf.DUMMYFUNCTION("""COMPUTED_VALUE"""),0.1233)</f>
        <v>0.1233</v>
      </c>
      <c r="K555" s="19">
        <f>IFERROR(__xludf.DUMMYFUNCTION("""COMPUTED_VALUE"""),0.1541)</f>
        <v>0.1541</v>
      </c>
      <c r="L555" s="19">
        <f>IFERROR(__xludf.DUMMYFUNCTION("""COMPUTED_VALUE"""),0.185)</f>
        <v>0.185</v>
      </c>
      <c r="M555" s="18">
        <f>IFERROR(__xludf.DUMMYFUNCTION("""COMPUTED_VALUE"""),2.34)</f>
        <v>2.34</v>
      </c>
    </row>
    <row r="556">
      <c r="A556" s="13" t="str">
        <f>IFERROR(__xludf.DUMMYFUNCTION("""COMPUTED_VALUE"""),"товари")</f>
        <v>товари</v>
      </c>
      <c r="B556" s="16" t="str">
        <f>IFERROR(__xludf.DUMMYFUNCTION("""COMPUTED_VALUE"""),"безпека та захист")</f>
        <v>безпека та захист</v>
      </c>
      <c r="C556" s="16" t="str">
        <f>IFERROR(__xludf.DUMMYFUNCTION("""COMPUTED_VALUE"""),"засоби індивідуального захисту")</f>
        <v>засоби індивідуального захисту</v>
      </c>
      <c r="D556" s="16" t="str">
        <f>IFERROR(__xludf.DUMMYFUNCTION("""COMPUTED_VALUE"""),"засоби індивідуального захисту, загальне")</f>
        <v>засоби індивідуального захисту, загальне</v>
      </c>
      <c r="E556" s="16" t="str">
        <f>IFERROR(__xludf.DUMMYFUNCTION("""COMPUTED_VALUE"""),"засоби індивідуального захисту, загальне")</f>
        <v>засоби індивідуального захисту, загальне</v>
      </c>
      <c r="F556" s="17">
        <f>IFERROR(__xludf.DUMMYFUNCTION("""COMPUTED_VALUE"""),3.0)</f>
        <v>3</v>
      </c>
      <c r="G556" s="17" t="str">
        <f>IFERROR(__xludf.DUMMYFUNCTION("""COMPUTED_VALUE"""),"301906")</f>
        <v>301906</v>
      </c>
      <c r="H556" s="17" t="str">
        <f>IFERROR(__xludf.DUMMYFUNCTION("""COMPUTED_VALUE"""),"засоби індивідуального захисту, загальне")</f>
        <v>засоби індивідуального захисту, загальне</v>
      </c>
      <c r="I556" s="19">
        <f>IFERROR(__xludf.DUMMYFUNCTION("""COMPUTED_VALUE"""),0.125)</f>
        <v>0.125</v>
      </c>
      <c r="J556" s="19">
        <f>IFERROR(__xludf.DUMMYFUNCTION("""COMPUTED_VALUE"""),0.25)</f>
        <v>0.25</v>
      </c>
      <c r="K556" s="19">
        <f>IFERROR(__xludf.DUMMYFUNCTION("""COMPUTED_VALUE"""),0.3125)</f>
        <v>0.3125</v>
      </c>
      <c r="L556" s="19">
        <f>IFERROR(__xludf.DUMMYFUNCTION("""COMPUTED_VALUE"""),0.375)</f>
        <v>0.375</v>
      </c>
      <c r="M556" s="18">
        <f>IFERROR(__xludf.DUMMYFUNCTION("""COMPUTED_VALUE"""),4.33)</f>
        <v>4.33</v>
      </c>
    </row>
    <row r="557">
      <c r="A557" s="13" t="str">
        <f>IFERROR(__xludf.DUMMYFUNCTION("""COMPUTED_VALUE"""),"товари")</f>
        <v>товари</v>
      </c>
      <c r="B557" s="16" t="str">
        <f>IFERROR(__xludf.DUMMYFUNCTION("""COMPUTED_VALUE"""),"безпека та захист")</f>
        <v>безпека та захист</v>
      </c>
      <c r="C557" s="16" t="str">
        <f>IFERROR(__xludf.DUMMYFUNCTION("""COMPUTED_VALUE"""),"засоби індивідуального захисту")</f>
        <v>засоби індивідуального захисту</v>
      </c>
      <c r="D557" s="16" t="str">
        <f>IFERROR(__xludf.DUMMYFUNCTION("""COMPUTED_VALUE"""),"захисні дерматологічні засоби")</f>
        <v>захисні дерматологічні засоби</v>
      </c>
      <c r="E557" s="16" t="str">
        <f>IFERROR(__xludf.DUMMYFUNCTION("""COMPUTED_VALUE"""),"захисні дерматологічні засоби")</f>
        <v>захисні дерматологічні засоби</v>
      </c>
      <c r="F557" s="17">
        <f>IFERROR(__xludf.DUMMYFUNCTION("""COMPUTED_VALUE"""),3.0)</f>
        <v>3</v>
      </c>
      <c r="G557" s="17" t="str">
        <f>IFERROR(__xludf.DUMMYFUNCTION("""COMPUTED_VALUE"""),"301912")</f>
        <v>301912</v>
      </c>
      <c r="H557" s="17" t="str">
        <f>IFERROR(__xludf.DUMMYFUNCTION("""COMPUTED_VALUE"""),"захисні дерматологічні засоби")</f>
        <v>захисні дерматологічні засоби</v>
      </c>
      <c r="I557" s="19">
        <f>IFERROR(__xludf.DUMMYFUNCTION("""COMPUTED_VALUE"""),0.0429)</f>
        <v>0.0429</v>
      </c>
      <c r="J557" s="19">
        <f>IFERROR(__xludf.DUMMYFUNCTION("""COMPUTED_VALUE"""),0.0858)</f>
        <v>0.0858</v>
      </c>
      <c r="K557" s="19">
        <f>IFERROR(__xludf.DUMMYFUNCTION("""COMPUTED_VALUE"""),0.1073)</f>
        <v>0.1073</v>
      </c>
      <c r="L557" s="19">
        <f>IFERROR(__xludf.DUMMYFUNCTION("""COMPUTED_VALUE"""),0.1287)</f>
        <v>0.1287</v>
      </c>
      <c r="M557" s="18">
        <f>IFERROR(__xludf.DUMMYFUNCTION("""COMPUTED_VALUE"""),1.8)</f>
        <v>1.8</v>
      </c>
    </row>
    <row r="558">
      <c r="A558" s="13" t="str">
        <f>IFERROR(__xludf.DUMMYFUNCTION("""COMPUTED_VALUE"""),"товари")</f>
        <v>товари</v>
      </c>
      <c r="B558" s="16" t="str">
        <f>IFERROR(__xludf.DUMMYFUNCTION("""COMPUTED_VALUE"""),"безпека та захист")</f>
        <v>безпека та захист</v>
      </c>
      <c r="C558" s="16" t="str">
        <f>IFERROR(__xludf.DUMMYFUNCTION("""COMPUTED_VALUE"""),"засоби індивідуального захисту")</f>
        <v>засоби індивідуального захисту</v>
      </c>
      <c r="D558" s="16" t="str">
        <f>IFERROR(__xludf.DUMMYFUNCTION("""COMPUTED_VALUE"""),"засоби безпеки праці")</f>
        <v>засоби безпеки праці</v>
      </c>
      <c r="E558" s="16" t="str">
        <f>IFERROR(__xludf.DUMMYFUNCTION("""COMPUTED_VALUE"""),"зварювальні маски")</f>
        <v>зварювальні маски</v>
      </c>
      <c r="F558" s="17">
        <f>IFERROR(__xludf.DUMMYFUNCTION("""COMPUTED_VALUE"""),4.0)</f>
        <v>4</v>
      </c>
      <c r="G558" s="17" t="str">
        <f>IFERROR(__xludf.DUMMYFUNCTION("""COMPUTED_VALUE"""),"301902")</f>
        <v>301902</v>
      </c>
      <c r="H558" s="17" t="str">
        <f>IFERROR(__xludf.DUMMYFUNCTION("""COMPUTED_VALUE"""),"зварювальні маски")</f>
        <v>зварювальні маски</v>
      </c>
      <c r="I558" s="19">
        <f>IFERROR(__xludf.DUMMYFUNCTION("""COMPUTED_VALUE"""),0.0505)</f>
        <v>0.0505</v>
      </c>
      <c r="J558" s="19">
        <f>IFERROR(__xludf.DUMMYFUNCTION("""COMPUTED_VALUE"""),0.101)</f>
        <v>0.101</v>
      </c>
      <c r="K558" s="19">
        <f>IFERROR(__xludf.DUMMYFUNCTION("""COMPUTED_VALUE"""),0.1263)</f>
        <v>0.1263</v>
      </c>
      <c r="L558" s="19">
        <f>IFERROR(__xludf.DUMMYFUNCTION("""COMPUTED_VALUE"""),0.1515)</f>
        <v>0.1515</v>
      </c>
      <c r="M558" s="18">
        <f>IFERROR(__xludf.DUMMYFUNCTION("""COMPUTED_VALUE"""),2.34)</f>
        <v>2.34</v>
      </c>
    </row>
    <row r="559">
      <c r="A559" s="13" t="str">
        <f>IFERROR(__xludf.DUMMYFUNCTION("""COMPUTED_VALUE"""),"товари")</f>
        <v>товари</v>
      </c>
      <c r="B559" s="16" t="str">
        <f>IFERROR(__xludf.DUMMYFUNCTION("""COMPUTED_VALUE"""),"безпека та захист")</f>
        <v>безпека та захист</v>
      </c>
      <c r="C559" s="16" t="str">
        <f>IFERROR(__xludf.DUMMYFUNCTION("""COMPUTED_VALUE"""),"системи і засоби пожежної безпеки")</f>
        <v>системи і засоби пожежної безпеки</v>
      </c>
      <c r="D559" s="16" t="str">
        <f>IFERROR(__xludf.DUMMYFUNCTION("""COMPUTED_VALUE"""),"знаки і таблички безпеки")</f>
        <v>знаки і таблички безпеки</v>
      </c>
      <c r="E559" s="16" t="str">
        <f>IFERROR(__xludf.DUMMYFUNCTION("""COMPUTED_VALUE"""),"знаки і таблички безпеки")</f>
        <v>знаки і таблички безпеки</v>
      </c>
      <c r="F559" s="17">
        <f>IFERROR(__xludf.DUMMYFUNCTION("""COMPUTED_VALUE"""),3.0)</f>
        <v>3</v>
      </c>
      <c r="G559" s="17" t="str">
        <f>IFERROR(__xludf.DUMMYFUNCTION("""COMPUTED_VALUE"""),"3017")</f>
        <v>3017</v>
      </c>
      <c r="H559" s="17" t="str">
        <f>IFERROR(__xludf.DUMMYFUNCTION("""COMPUTED_VALUE"""),"знаки і таблички безпеки")</f>
        <v>знаки і таблички безпеки</v>
      </c>
      <c r="I559" s="19">
        <f>IFERROR(__xludf.DUMMYFUNCTION("""COMPUTED_VALUE"""),0.0482)</f>
        <v>0.0482</v>
      </c>
      <c r="J559" s="19">
        <f>IFERROR(__xludf.DUMMYFUNCTION("""COMPUTED_VALUE"""),0.0964)</f>
        <v>0.0964</v>
      </c>
      <c r="K559" s="19">
        <f>IFERROR(__xludf.DUMMYFUNCTION("""COMPUTED_VALUE"""),0.1205)</f>
        <v>0.1205</v>
      </c>
      <c r="L559" s="19">
        <f>IFERROR(__xludf.DUMMYFUNCTION("""COMPUTED_VALUE"""),0.1446)</f>
        <v>0.1446</v>
      </c>
      <c r="M559" s="18">
        <f>IFERROR(__xludf.DUMMYFUNCTION("""COMPUTED_VALUE"""),3.98)</f>
        <v>3.98</v>
      </c>
    </row>
    <row r="560">
      <c r="A560" s="13" t="str">
        <f>IFERROR(__xludf.DUMMYFUNCTION("""COMPUTED_VALUE"""),"товари")</f>
        <v>товари</v>
      </c>
      <c r="B560" s="16" t="str">
        <f>IFERROR(__xludf.DUMMYFUNCTION("""COMPUTED_VALUE"""),"безпека та захист")</f>
        <v>безпека та захист</v>
      </c>
      <c r="C560" s="16" t="str">
        <f>IFERROR(__xludf.DUMMYFUNCTION("""COMPUTED_VALUE"""),"технічні засоби відеоспостереження")</f>
        <v>технічні засоби відеоспостереження</v>
      </c>
      <c r="D560" s="16" t="str">
        <f>IFERROR(__xludf.DUMMYFUNCTION("""COMPUTED_VALUE"""),"камери відеоспостереження")</f>
        <v>камери відеоспостереження</v>
      </c>
      <c r="E560" s="16" t="str">
        <f>IFERROR(__xludf.DUMMYFUNCTION("""COMPUTED_VALUE"""),"камери відеоспостереження")</f>
        <v>камери відеоспостереження</v>
      </c>
      <c r="F560" s="17">
        <f>IFERROR(__xludf.DUMMYFUNCTION("""COMPUTED_VALUE"""),3.0)</f>
        <v>3</v>
      </c>
      <c r="G560" s="17" t="str">
        <f>IFERROR(__xludf.DUMMYFUNCTION("""COMPUTED_VALUE"""),"301105")</f>
        <v>301105</v>
      </c>
      <c r="H560" s="17" t="str">
        <f>IFERROR(__xludf.DUMMYFUNCTION("""COMPUTED_VALUE"""),"камери відеоспостереження")</f>
        <v>камери відеоспостереження</v>
      </c>
      <c r="I560" s="19">
        <f>IFERROR(__xludf.DUMMYFUNCTION("""COMPUTED_VALUE"""),0.0853)</f>
        <v>0.0853</v>
      </c>
      <c r="J560" s="19">
        <f>IFERROR(__xludf.DUMMYFUNCTION("""COMPUTED_VALUE"""),0.1706)</f>
        <v>0.1706</v>
      </c>
      <c r="K560" s="19">
        <f>IFERROR(__xludf.DUMMYFUNCTION("""COMPUTED_VALUE"""),0.2133)</f>
        <v>0.2133</v>
      </c>
      <c r="L560" s="19">
        <f>IFERROR(__xludf.DUMMYFUNCTION("""COMPUTED_VALUE"""),0.2559)</f>
        <v>0.2559</v>
      </c>
      <c r="M560" s="18">
        <f>IFERROR(__xludf.DUMMYFUNCTION("""COMPUTED_VALUE"""),4.33)</f>
        <v>4.33</v>
      </c>
    </row>
    <row r="561">
      <c r="A561" s="13" t="str">
        <f>IFERROR(__xludf.DUMMYFUNCTION("""COMPUTED_VALUE"""),"товари")</f>
        <v>товари</v>
      </c>
      <c r="B561" s="16" t="str">
        <f>IFERROR(__xludf.DUMMYFUNCTION("""COMPUTED_VALUE"""),"безпека та захист")</f>
        <v>безпека та захист</v>
      </c>
      <c r="C561" s="16" t="str">
        <f>IFERROR(__xludf.DUMMYFUNCTION("""COMPUTED_VALUE"""),"засоби індивідуального захисту")</f>
        <v>засоби індивідуального захисту</v>
      </c>
      <c r="D561" s="16" t="str">
        <f>IFERROR(__xludf.DUMMYFUNCTION("""COMPUTED_VALUE"""),"килимки діелектричні")</f>
        <v>килимки діелектричні</v>
      </c>
      <c r="E561" s="16" t="str">
        <f>IFERROR(__xludf.DUMMYFUNCTION("""COMPUTED_VALUE"""),"килимки діелектричні")</f>
        <v>килимки діелектричні</v>
      </c>
      <c r="F561" s="17">
        <f>IFERROR(__xludf.DUMMYFUNCTION("""COMPUTED_VALUE"""),3.0)</f>
        <v>3</v>
      </c>
      <c r="G561" s="17" t="str">
        <f>IFERROR(__xludf.DUMMYFUNCTION("""COMPUTED_VALUE"""),"301905")</f>
        <v>301905</v>
      </c>
      <c r="H561" s="17" t="str">
        <f>IFERROR(__xludf.DUMMYFUNCTION("""COMPUTED_VALUE"""),"килимки діелектричні")</f>
        <v>килимки діелектричні</v>
      </c>
      <c r="I561" s="19">
        <f>IFERROR(__xludf.DUMMYFUNCTION("""COMPUTED_VALUE"""),0.0516)</f>
        <v>0.0516</v>
      </c>
      <c r="J561" s="19">
        <f>IFERROR(__xludf.DUMMYFUNCTION("""COMPUTED_VALUE"""),0.1032)</f>
        <v>0.1032</v>
      </c>
      <c r="K561" s="19">
        <f>IFERROR(__xludf.DUMMYFUNCTION("""COMPUTED_VALUE"""),0.129)</f>
        <v>0.129</v>
      </c>
      <c r="L561" s="19">
        <f>IFERROR(__xludf.DUMMYFUNCTION("""COMPUTED_VALUE"""),0.1548)</f>
        <v>0.1548</v>
      </c>
      <c r="M561" s="18">
        <f>IFERROR(__xludf.DUMMYFUNCTION("""COMPUTED_VALUE"""),3.78)</f>
        <v>3.78</v>
      </c>
    </row>
    <row r="562">
      <c r="A562" s="13" t="str">
        <f>IFERROR(__xludf.DUMMYFUNCTION("""COMPUTED_VALUE"""),"товари")</f>
        <v>товари</v>
      </c>
      <c r="B562" s="16" t="str">
        <f>IFERROR(__xludf.DUMMYFUNCTION("""COMPUTED_VALUE"""),"безпека та захист")</f>
        <v>безпека та захист</v>
      </c>
      <c r="C562" s="16" t="str">
        <f>IFERROR(__xludf.DUMMYFUNCTION("""COMPUTED_VALUE"""),"технічні засоби відеоспостереження")</f>
        <v>технічні засоби відеоспостереження</v>
      </c>
      <c r="D562" s="16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562" s="16" t="str">
        <f>IFERROR(__xludf.DUMMYFUNCTION("""COMPUTED_VALUE"""),"кожухи і кронштейни")</f>
        <v>кожухи і кронштейни</v>
      </c>
      <c r="F562" s="17">
        <f>IFERROR(__xludf.DUMMYFUNCTION("""COMPUTED_VALUE"""),4.0)</f>
        <v>4</v>
      </c>
      <c r="G562" s="17" t="str">
        <f>IFERROR(__xludf.DUMMYFUNCTION("""COMPUTED_VALUE"""),"301112")</f>
        <v>301112</v>
      </c>
      <c r="H562" s="17" t="str">
        <f>IFERROR(__xludf.DUMMYFUNCTION("""COMPUTED_VALUE"""),"кожухи і кронштейни")</f>
        <v>кожухи і кронштейни</v>
      </c>
      <c r="I562" s="19">
        <f>IFERROR(__xludf.DUMMYFUNCTION("""COMPUTED_VALUE"""),0.0727)</f>
        <v>0.0727</v>
      </c>
      <c r="J562" s="19">
        <f>IFERROR(__xludf.DUMMYFUNCTION("""COMPUTED_VALUE"""),0.1453)</f>
        <v>0.1453</v>
      </c>
      <c r="K562" s="19">
        <f>IFERROR(__xludf.DUMMYFUNCTION("""COMPUTED_VALUE"""),0.1816)</f>
        <v>0.1816</v>
      </c>
      <c r="L562" s="19">
        <f>IFERROR(__xludf.DUMMYFUNCTION("""COMPUTED_VALUE"""),0.218)</f>
        <v>0.218</v>
      </c>
      <c r="M562" s="18">
        <f>IFERROR(__xludf.DUMMYFUNCTION("""COMPUTED_VALUE"""),1.05)</f>
        <v>1.05</v>
      </c>
    </row>
    <row r="563">
      <c r="A563" s="13" t="str">
        <f>IFERROR(__xludf.DUMMYFUNCTION("""COMPUTED_VALUE"""),"товари")</f>
        <v>товари</v>
      </c>
      <c r="B563" s="16" t="str">
        <f>IFERROR(__xludf.DUMMYFUNCTION("""COMPUTED_VALUE"""),"безпека та захист")</f>
        <v>безпека та захист</v>
      </c>
      <c r="C563" s="16" t="str">
        <f>IFERROR(__xludf.DUMMYFUNCTION("""COMPUTED_VALUE"""),"системи і засоби пожежної безпеки")</f>
        <v>системи і засоби пожежної безпеки</v>
      </c>
      <c r="D563" s="16" t="str">
        <f>IFERROR(__xludf.DUMMYFUNCTION("""COMPUTED_VALUE"""),"блискавкозахист і заземлення")</f>
        <v>блискавкозахист і заземлення</v>
      </c>
      <c r="E563" s="16" t="str">
        <f>IFERROR(__xludf.DUMMYFUNCTION("""COMPUTED_VALUE"""),"комплектуючі для блискавкозахисту/заземлення")</f>
        <v>комплектуючі для блискавкозахисту/заземлення</v>
      </c>
      <c r="F563" s="17">
        <f>IFERROR(__xludf.DUMMYFUNCTION("""COMPUTED_VALUE"""),4.0)</f>
        <v>4</v>
      </c>
      <c r="G563" s="17">
        <f>IFERROR(__xludf.DUMMYFUNCTION("""COMPUTED_VALUE"""),300307.0)</f>
        <v>300307</v>
      </c>
      <c r="H563" s="17" t="str">
        <f>IFERROR(__xludf.DUMMYFUNCTION("""COMPUTED_VALUE"""),"комплектуючі для блискавкозахисту/заземлення")</f>
        <v>комплектуючі для блискавкозахисту/заземлення</v>
      </c>
      <c r="I563" s="19">
        <f>IFERROR(__xludf.DUMMYFUNCTION("""COMPUTED_VALUE"""),0.055)</f>
        <v>0.055</v>
      </c>
      <c r="J563" s="19">
        <f>IFERROR(__xludf.DUMMYFUNCTION("""COMPUTED_VALUE"""),0.11)</f>
        <v>0.11</v>
      </c>
      <c r="K563" s="19">
        <f>IFERROR(__xludf.DUMMYFUNCTION("""COMPUTED_VALUE"""),0.1375)</f>
        <v>0.1375</v>
      </c>
      <c r="L563" s="19">
        <f>IFERROR(__xludf.DUMMYFUNCTION("""COMPUTED_VALUE"""),0.165)</f>
        <v>0.165</v>
      </c>
      <c r="M563" s="18">
        <f>IFERROR(__xludf.DUMMYFUNCTION("""COMPUTED_VALUE"""),2.25)</f>
        <v>2.25</v>
      </c>
    </row>
    <row r="564">
      <c r="A564" s="13" t="str">
        <f>IFERROR(__xludf.DUMMYFUNCTION("""COMPUTED_VALUE"""),"товари")</f>
        <v>товари</v>
      </c>
      <c r="B564" s="16" t="str">
        <f>IFERROR(__xludf.DUMMYFUNCTION("""COMPUTED_VALUE"""),"безпека та захист")</f>
        <v>безпека та захист</v>
      </c>
      <c r="C564" s="16" t="str">
        <f>IFERROR(__xludf.DUMMYFUNCTION("""COMPUTED_VALUE"""),"технічні засоби відеоспостереження")</f>
        <v>технічні засоби відеоспостереження</v>
      </c>
      <c r="D564" s="16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564" s="16" t="str">
        <f>IFERROR(__xludf.DUMMYFUNCTION("""COMPUTED_VALUE"""),"комплектуючі для систем відеоспостереження, загальне")</f>
        <v>комплектуючі для систем відеоспостереження, загальне</v>
      </c>
      <c r="F564" s="17">
        <f>IFERROR(__xludf.DUMMYFUNCTION("""COMPUTED_VALUE"""),4.0)</f>
        <v>4</v>
      </c>
      <c r="G564" s="17" t="str">
        <f>IFERROR(__xludf.DUMMYFUNCTION("""COMPUTED_VALUE"""),"301109")</f>
        <v>301109</v>
      </c>
      <c r="H564" s="17" t="str">
        <f>IFERROR(__xludf.DUMMYFUNCTION("""COMPUTED_VALUE"""),"комплектуючі для систем відеоспостереження, загальне")</f>
        <v>комплектуючі для систем відеоспостереження, загальне</v>
      </c>
      <c r="I564" s="19">
        <f>IFERROR(__xludf.DUMMYFUNCTION("""COMPUTED_VALUE"""),0.125)</f>
        <v>0.125</v>
      </c>
      <c r="J564" s="19">
        <f>IFERROR(__xludf.DUMMYFUNCTION("""COMPUTED_VALUE"""),0.25)</f>
        <v>0.25</v>
      </c>
      <c r="K564" s="19">
        <f>IFERROR(__xludf.DUMMYFUNCTION("""COMPUTED_VALUE"""),0.3125)</f>
        <v>0.3125</v>
      </c>
      <c r="L564" s="19">
        <f>IFERROR(__xludf.DUMMYFUNCTION("""COMPUTED_VALUE"""),0.375)</f>
        <v>0.375</v>
      </c>
      <c r="M564" s="18">
        <f>IFERROR(__xludf.DUMMYFUNCTION("""COMPUTED_VALUE"""),4.33)</f>
        <v>4.33</v>
      </c>
    </row>
    <row r="565">
      <c r="A565" s="13" t="str">
        <f>IFERROR(__xludf.DUMMYFUNCTION("""COMPUTED_VALUE"""),"товари")</f>
        <v>товари</v>
      </c>
      <c r="B565" s="16" t="str">
        <f>IFERROR(__xludf.DUMMYFUNCTION("""COMPUTED_VALUE"""),"безпека та захист")</f>
        <v>безпека та захист</v>
      </c>
      <c r="C565" s="16" t="str">
        <f>IFERROR(__xludf.DUMMYFUNCTION("""COMPUTED_VALUE"""),"системи охорони та оповіщення")</f>
        <v>системи охорони та оповіщення</v>
      </c>
      <c r="D565" s="16" t="str">
        <f>IFERROR(__xludf.DUMMYFUNCTION("""COMPUTED_VALUE"""),"короби та корпуси для охоронних систем")</f>
        <v>короби та корпуси для охоронних систем</v>
      </c>
      <c r="E565" s="16" t="str">
        <f>IFERROR(__xludf.DUMMYFUNCTION("""COMPUTED_VALUE"""),"короби та корпуси для охоронних систем")</f>
        <v>короби та корпуси для охоронних систем</v>
      </c>
      <c r="F565" s="17">
        <f>IFERROR(__xludf.DUMMYFUNCTION("""COMPUTED_VALUE"""),3.0)</f>
        <v>3</v>
      </c>
      <c r="G565" s="17" t="str">
        <f>IFERROR(__xludf.DUMMYFUNCTION("""COMPUTED_VALUE"""),"302309")</f>
        <v>302309</v>
      </c>
      <c r="H565" s="17" t="str">
        <f>IFERROR(__xludf.DUMMYFUNCTION("""COMPUTED_VALUE"""),"короби та корпуси для охоронних систем")</f>
        <v>короби та корпуси для охоронних систем</v>
      </c>
      <c r="I565" s="19">
        <f>IFERROR(__xludf.DUMMYFUNCTION("""COMPUTED_VALUE"""),0.047)</f>
        <v>0.047</v>
      </c>
      <c r="J565" s="19">
        <f>IFERROR(__xludf.DUMMYFUNCTION("""COMPUTED_VALUE"""),0.0939)</f>
        <v>0.0939</v>
      </c>
      <c r="K565" s="19">
        <f>IFERROR(__xludf.DUMMYFUNCTION("""COMPUTED_VALUE"""),0.1174)</f>
        <v>0.1174</v>
      </c>
      <c r="L565" s="19">
        <f>IFERROR(__xludf.DUMMYFUNCTION("""COMPUTED_VALUE"""),0.1409)</f>
        <v>0.1409</v>
      </c>
      <c r="M565" s="18">
        <f>IFERROR(__xludf.DUMMYFUNCTION("""COMPUTED_VALUE"""),1.98)</f>
        <v>1.98</v>
      </c>
    </row>
    <row r="566">
      <c r="A566" s="13" t="str">
        <f>IFERROR(__xludf.DUMMYFUNCTION("""COMPUTED_VALUE"""),"товари")</f>
        <v>товари</v>
      </c>
      <c r="B566" s="16" t="str">
        <f>IFERROR(__xludf.DUMMYFUNCTION("""COMPUTED_VALUE"""),"безпека та захист")</f>
        <v>безпека та захист</v>
      </c>
      <c r="C566" s="16" t="str">
        <f>IFERROR(__xludf.DUMMYFUNCTION("""COMPUTED_VALUE"""),"пістолети, гвинтівки і револьвери")</f>
        <v>пістолети, гвинтівки і револьвери</v>
      </c>
      <c r="D566" s="16" t="str">
        <f>IFERROR(__xludf.DUMMYFUNCTION("""COMPUTED_VALUE"""),"пневматична гвинтівки і пістолети")</f>
        <v>пневматична гвинтівки і пістолети</v>
      </c>
      <c r="E566" s="16" t="str">
        <f>IFERROR(__xludf.DUMMYFUNCTION("""COMPUTED_VALUE"""),"кулі для пневматичних пістолетів і гвинтівок")</f>
        <v>кулі для пневматичних пістолетів і гвинтівок</v>
      </c>
      <c r="F566" s="17">
        <f>IFERROR(__xludf.DUMMYFUNCTION("""COMPUTED_VALUE"""),4.0)</f>
        <v>4</v>
      </c>
      <c r="G566" s="17" t="str">
        <f>IFERROR(__xludf.DUMMYFUNCTION("""COMPUTED_VALUE"""),"302109")</f>
        <v>302109</v>
      </c>
      <c r="H566" s="17" t="str">
        <f>IFERROR(__xludf.DUMMYFUNCTION("""COMPUTED_VALUE"""),"кулі для пневматичних пістолетів і гвинтівок")</f>
        <v>кулі для пневматичних пістолетів і гвинтівок</v>
      </c>
      <c r="I566" s="19">
        <f>IFERROR(__xludf.DUMMYFUNCTION("""COMPUTED_VALUE"""),0.0592)</f>
        <v>0.0592</v>
      </c>
      <c r="J566" s="19">
        <f>IFERROR(__xludf.DUMMYFUNCTION("""COMPUTED_VALUE"""),0.1184)</f>
        <v>0.1184</v>
      </c>
      <c r="K566" s="19">
        <f>IFERROR(__xludf.DUMMYFUNCTION("""COMPUTED_VALUE"""),0.148)</f>
        <v>0.148</v>
      </c>
      <c r="L566" s="19">
        <f>IFERROR(__xludf.DUMMYFUNCTION("""COMPUTED_VALUE"""),0.1776)</f>
        <v>0.1776</v>
      </c>
      <c r="M566" s="18">
        <f>IFERROR(__xludf.DUMMYFUNCTION("""COMPUTED_VALUE"""),2.34)</f>
        <v>2.34</v>
      </c>
    </row>
    <row r="567">
      <c r="A567" s="13" t="str">
        <f>IFERROR(__xludf.DUMMYFUNCTION("""COMPUTED_VALUE"""),"товари")</f>
        <v>товари</v>
      </c>
      <c r="B567" s="16" t="str">
        <f>IFERROR(__xludf.DUMMYFUNCTION("""COMPUTED_VALUE"""),"безпека та захист")</f>
        <v>безпека та захист</v>
      </c>
      <c r="C567" s="16" t="str">
        <f>IFERROR(__xludf.DUMMYFUNCTION("""COMPUTED_VALUE"""),"засоби організації дорожнього руху")</f>
        <v>засоби організації дорожнього руху</v>
      </c>
      <c r="D567" s="16" t="str">
        <f>IFERROR(__xludf.DUMMYFUNCTION("""COMPUTED_VALUE"""),"маркувальні позначення і знаки небезпеки")</f>
        <v>маркувальні позначення і знаки небезпеки</v>
      </c>
      <c r="E567" s="16" t="str">
        <f>IFERROR(__xludf.DUMMYFUNCTION("""COMPUTED_VALUE"""),"маркувальні позначення і знаки небезпеки")</f>
        <v>маркувальні позначення і знаки небезпеки</v>
      </c>
      <c r="F567" s="17">
        <f>IFERROR(__xludf.DUMMYFUNCTION("""COMPUTED_VALUE"""),3.0)</f>
        <v>3</v>
      </c>
      <c r="G567" s="17" t="str">
        <f>IFERROR(__xludf.DUMMYFUNCTION("""COMPUTED_VALUE"""),"301510")</f>
        <v>301510</v>
      </c>
      <c r="H567" s="17" t="str">
        <f>IFERROR(__xludf.DUMMYFUNCTION("""COMPUTED_VALUE"""),"маркувальні позначення і знаки небезпеки")</f>
        <v>маркувальні позначення і знаки небезпеки</v>
      </c>
      <c r="I567" s="19">
        <f>IFERROR(__xludf.DUMMYFUNCTION("""COMPUTED_VALUE"""),0.0447)</f>
        <v>0.0447</v>
      </c>
      <c r="J567" s="19">
        <f>IFERROR(__xludf.DUMMYFUNCTION("""COMPUTED_VALUE"""),0.0893)</f>
        <v>0.0893</v>
      </c>
      <c r="K567" s="19">
        <f>IFERROR(__xludf.DUMMYFUNCTION("""COMPUTED_VALUE"""),0.1116)</f>
        <v>0.1116</v>
      </c>
      <c r="L567" s="19">
        <f>IFERROR(__xludf.DUMMYFUNCTION("""COMPUTED_VALUE"""),0.134)</f>
        <v>0.134</v>
      </c>
      <c r="M567" s="18">
        <f>IFERROR(__xludf.DUMMYFUNCTION("""COMPUTED_VALUE"""),2.79)</f>
        <v>2.79</v>
      </c>
    </row>
    <row r="568">
      <c r="A568" s="13" t="str">
        <f>IFERROR(__xludf.DUMMYFUNCTION("""COMPUTED_VALUE"""),"товари")</f>
        <v>товари</v>
      </c>
      <c r="B568" s="16" t="str">
        <f>IFERROR(__xludf.DUMMYFUNCTION("""COMPUTED_VALUE"""),"безпека та захист")</f>
        <v>безпека та захист</v>
      </c>
      <c r="C568" s="16" t="str">
        <f>IFERROR(__xludf.DUMMYFUNCTION("""COMPUTED_VALUE"""),"пістолети, гвинтівки і револьвери")</f>
        <v>пістолети, гвинтівки і револьвери</v>
      </c>
      <c r="D568" s="16" t="str">
        <f>IFERROR(__xludf.DUMMYFUNCTION("""COMPUTED_VALUE"""),"міні-тири, мішені для стрільби")</f>
        <v>міні-тири, мішені для стрільби</v>
      </c>
      <c r="E568" s="16" t="str">
        <f>IFERROR(__xludf.DUMMYFUNCTION("""COMPUTED_VALUE"""),"міні-тири, мішені для стрільби")</f>
        <v>міні-тири, мішені для стрільби</v>
      </c>
      <c r="F568" s="17">
        <f>IFERROR(__xludf.DUMMYFUNCTION("""COMPUTED_VALUE"""),3.0)</f>
        <v>3</v>
      </c>
      <c r="G568" s="17" t="str">
        <f>IFERROR(__xludf.DUMMYFUNCTION("""COMPUTED_VALUE"""),"302120")</f>
        <v>302120</v>
      </c>
      <c r="H568" s="17" t="str">
        <f>IFERROR(__xludf.DUMMYFUNCTION("""COMPUTED_VALUE"""),"міні-тири, мішені для стрільби")</f>
        <v>міні-тири, мішені для стрільби</v>
      </c>
      <c r="I568" s="19">
        <f>IFERROR(__xludf.DUMMYFUNCTION("""COMPUTED_VALUE"""),0.0524)</f>
        <v>0.0524</v>
      </c>
      <c r="J568" s="19">
        <f>IFERROR(__xludf.DUMMYFUNCTION("""COMPUTED_VALUE"""),0.1047)</f>
        <v>0.1047</v>
      </c>
      <c r="K568" s="19">
        <f>IFERROR(__xludf.DUMMYFUNCTION("""COMPUTED_VALUE"""),0.1309)</f>
        <v>0.1309</v>
      </c>
      <c r="L568" s="19">
        <f>IFERROR(__xludf.DUMMYFUNCTION("""COMPUTED_VALUE"""),0.1571)</f>
        <v>0.1571</v>
      </c>
      <c r="M568" s="18">
        <f>IFERROR(__xludf.DUMMYFUNCTION("""COMPUTED_VALUE"""),1.98)</f>
        <v>1.98</v>
      </c>
    </row>
    <row r="569">
      <c r="A569" s="13" t="str">
        <f>IFERROR(__xludf.DUMMYFUNCTION("""COMPUTED_VALUE"""),"товари")</f>
        <v>товари</v>
      </c>
      <c r="B569" s="16" t="str">
        <f>IFERROR(__xludf.DUMMYFUNCTION("""COMPUTED_VALUE"""),"безпека та захист")</f>
        <v>безпека та захист</v>
      </c>
      <c r="C569" s="16" t="str">
        <f>IFERROR(__xludf.DUMMYFUNCTION("""COMPUTED_VALUE"""),"системи і засоби пожежної безпеки")</f>
        <v>системи і засоби пожежної безпеки</v>
      </c>
      <c r="D569" s="16" t="str">
        <f>IFERROR(__xludf.DUMMYFUNCTION("""COMPUTED_VALUE"""),"пожежна автоматика")</f>
        <v>пожежна автоматика</v>
      </c>
      <c r="E569" s="16" t="str">
        <f>IFERROR(__xludf.DUMMYFUNCTION("""COMPUTED_VALUE"""),"модулі контролю та управління")</f>
        <v>модулі контролю та управління</v>
      </c>
      <c r="F569" s="17">
        <f>IFERROR(__xludf.DUMMYFUNCTION("""COMPUTED_VALUE"""),4.0)</f>
        <v>4</v>
      </c>
      <c r="G569" s="17" t="str">
        <f>IFERROR(__xludf.DUMMYFUNCTION("""COMPUTED_VALUE"""),"300934")</f>
        <v>300934</v>
      </c>
      <c r="H569" s="17" t="str">
        <f>IFERROR(__xludf.DUMMYFUNCTION("""COMPUTED_VALUE"""),"модулі контролю та управління")</f>
        <v>модулі контролю та управління</v>
      </c>
      <c r="I569" s="19">
        <f>IFERROR(__xludf.DUMMYFUNCTION("""COMPUTED_VALUE"""),0.0585)</f>
        <v>0.0585</v>
      </c>
      <c r="J569" s="19">
        <f>IFERROR(__xludf.DUMMYFUNCTION("""COMPUTED_VALUE"""),0.117)</f>
        <v>0.117</v>
      </c>
      <c r="K569" s="19">
        <f>IFERROR(__xludf.DUMMYFUNCTION("""COMPUTED_VALUE"""),0.1463)</f>
        <v>0.1463</v>
      </c>
      <c r="L569" s="19">
        <f>IFERROR(__xludf.DUMMYFUNCTION("""COMPUTED_VALUE"""),0.1755)</f>
        <v>0.1755</v>
      </c>
      <c r="M569" s="18">
        <f>IFERROR(__xludf.DUMMYFUNCTION("""COMPUTED_VALUE"""),1.71)</f>
        <v>1.71</v>
      </c>
    </row>
    <row r="570">
      <c r="A570" s="13" t="str">
        <f>IFERROR(__xludf.DUMMYFUNCTION("""COMPUTED_VALUE"""),"товари")</f>
        <v>товари</v>
      </c>
      <c r="B570" s="16" t="str">
        <f>IFERROR(__xludf.DUMMYFUNCTION("""COMPUTED_VALUE"""),"безпека та захист")</f>
        <v>безпека та захист</v>
      </c>
      <c r="C570" s="16" t="str">
        <f>IFERROR(__xludf.DUMMYFUNCTION("""COMPUTED_VALUE"""),"засоби організації дорожнього руху")</f>
        <v>засоби організації дорожнього руху</v>
      </c>
      <c r="D570" s="16" t="str">
        <f>IFERROR(__xludf.DUMMYFUNCTION("""COMPUTED_VALUE"""),"наліпки та світловідбивні елементи")</f>
        <v>наліпки та світловідбивні елементи</v>
      </c>
      <c r="E570" s="16" t="str">
        <f>IFERROR(__xludf.DUMMYFUNCTION("""COMPUTED_VALUE"""),"наліпки та світловідбивні елементи")</f>
        <v>наліпки та світловідбивні елементи</v>
      </c>
      <c r="F570" s="17">
        <f>IFERROR(__xludf.DUMMYFUNCTION("""COMPUTED_VALUE"""),3.0)</f>
        <v>3</v>
      </c>
      <c r="G570" s="17" t="str">
        <f>IFERROR(__xludf.DUMMYFUNCTION("""COMPUTED_VALUE"""),"301514")</f>
        <v>301514</v>
      </c>
      <c r="H570" s="17" t="str">
        <f>IFERROR(__xludf.DUMMYFUNCTION("""COMPUTED_VALUE"""),"наліпки та світловідбивні елементи")</f>
        <v>наліпки та світловідбивні елементи</v>
      </c>
      <c r="I570" s="19">
        <f>IFERROR(__xludf.DUMMYFUNCTION("""COMPUTED_VALUE"""),0.093)</f>
        <v>0.093</v>
      </c>
      <c r="J570" s="19">
        <f>IFERROR(__xludf.DUMMYFUNCTION("""COMPUTED_VALUE"""),0.1859)</f>
        <v>0.1859</v>
      </c>
      <c r="K570" s="19">
        <f>IFERROR(__xludf.DUMMYFUNCTION("""COMPUTED_VALUE"""),0.2324)</f>
        <v>0.2324</v>
      </c>
      <c r="L570" s="19">
        <f>IFERROR(__xludf.DUMMYFUNCTION("""COMPUTED_VALUE"""),0.2789)</f>
        <v>0.2789</v>
      </c>
      <c r="M570" s="18">
        <f>IFERROR(__xludf.DUMMYFUNCTION("""COMPUTED_VALUE"""),1.05)</f>
        <v>1.05</v>
      </c>
    </row>
    <row r="571">
      <c r="A571" s="13" t="str">
        <f>IFERROR(__xludf.DUMMYFUNCTION("""COMPUTED_VALUE"""),"товари")</f>
        <v>товари</v>
      </c>
      <c r="B571" s="16" t="str">
        <f>IFERROR(__xludf.DUMMYFUNCTION("""COMPUTED_VALUE"""),"безпека та захист")</f>
        <v>безпека та захист</v>
      </c>
      <c r="C571" s="16" t="str">
        <f>IFERROR(__xludf.DUMMYFUNCTION("""COMPUTED_VALUE"""),"системи охорони та оповіщення")</f>
        <v>системи охорони та оповіщення</v>
      </c>
      <c r="D571" s="16" t="str">
        <f>IFERROR(__xludf.DUMMYFUNCTION("""COMPUTED_VALUE"""),"оглядові дзеркала безпеки")</f>
        <v>оглядові дзеркала безпеки</v>
      </c>
      <c r="E571" s="16" t="str">
        <f>IFERROR(__xludf.DUMMYFUNCTION("""COMPUTED_VALUE"""),"оглядові дзеркала безпеки")</f>
        <v>оглядові дзеркала безпеки</v>
      </c>
      <c r="F571" s="17">
        <f>IFERROR(__xludf.DUMMYFUNCTION("""COMPUTED_VALUE"""),3.0)</f>
        <v>3</v>
      </c>
      <c r="G571" s="17" t="str">
        <f>IFERROR(__xludf.DUMMYFUNCTION("""COMPUTED_VALUE"""),"301507")</f>
        <v>301507</v>
      </c>
      <c r="H571" s="17" t="str">
        <f>IFERROR(__xludf.DUMMYFUNCTION("""COMPUTED_VALUE"""),"оглядові дзеркала безпеки")</f>
        <v>оглядові дзеркала безпеки</v>
      </c>
      <c r="I571" s="19">
        <f>IFERROR(__xludf.DUMMYFUNCTION("""COMPUTED_VALUE"""),0.0539)</f>
        <v>0.0539</v>
      </c>
      <c r="J571" s="19">
        <f>IFERROR(__xludf.DUMMYFUNCTION("""COMPUTED_VALUE"""),0.1078)</f>
        <v>0.1078</v>
      </c>
      <c r="K571" s="19">
        <f>IFERROR(__xludf.DUMMYFUNCTION("""COMPUTED_VALUE"""),0.1348)</f>
        <v>0.1348</v>
      </c>
      <c r="L571" s="19">
        <f>IFERROR(__xludf.DUMMYFUNCTION("""COMPUTED_VALUE"""),0.1617)</f>
        <v>0.1617</v>
      </c>
      <c r="M571" s="18">
        <f>IFERROR(__xludf.DUMMYFUNCTION("""COMPUTED_VALUE"""),3.78)</f>
        <v>3.78</v>
      </c>
    </row>
    <row r="572">
      <c r="A572" s="13" t="str">
        <f>IFERROR(__xludf.DUMMYFUNCTION("""COMPUTED_VALUE"""),"товари")</f>
        <v>товари</v>
      </c>
      <c r="B572" s="16" t="str">
        <f>IFERROR(__xludf.DUMMYFUNCTION("""COMPUTED_VALUE"""),"безпека та захист")</f>
        <v>безпека та захист</v>
      </c>
      <c r="C572" s="16" t="str">
        <f>IFERROR(__xludf.DUMMYFUNCTION("""COMPUTED_VALUE"""),"системи охорони та оповіщення")</f>
        <v>системи охорони та оповіщення</v>
      </c>
      <c r="D572" s="16" t="str">
        <f>IFERROR(__xludf.DUMMYFUNCTION("""COMPUTED_VALUE"""),"охоронні голосові сповіщувачі")</f>
        <v>охоронні голосові сповіщувачі</v>
      </c>
      <c r="E572" s="16" t="str">
        <f>IFERROR(__xludf.DUMMYFUNCTION("""COMPUTED_VALUE"""),"охоронні голосові сповіщувачі")</f>
        <v>охоронні голосові сповіщувачі</v>
      </c>
      <c r="F572" s="17">
        <f>IFERROR(__xludf.DUMMYFUNCTION("""COMPUTED_VALUE"""),3.0)</f>
        <v>3</v>
      </c>
      <c r="G572" s="17" t="str">
        <f>IFERROR(__xludf.DUMMYFUNCTION("""COMPUTED_VALUE"""),"302304")</f>
        <v>302304</v>
      </c>
      <c r="H572" s="17" t="str">
        <f>IFERROR(__xludf.DUMMYFUNCTION("""COMPUTED_VALUE"""),"охоронні голосові сповіщувачі")</f>
        <v>охоронні голосові сповіщувачі</v>
      </c>
      <c r="I572" s="19">
        <f>IFERROR(__xludf.DUMMYFUNCTION("""COMPUTED_VALUE"""),0.0493)</f>
        <v>0.0493</v>
      </c>
      <c r="J572" s="19">
        <f>IFERROR(__xludf.DUMMYFUNCTION("""COMPUTED_VALUE"""),0.0986)</f>
        <v>0.0986</v>
      </c>
      <c r="K572" s="19">
        <f>IFERROR(__xludf.DUMMYFUNCTION("""COMPUTED_VALUE"""),0.1233)</f>
        <v>0.1233</v>
      </c>
      <c r="L572" s="19">
        <f>IFERROR(__xludf.DUMMYFUNCTION("""COMPUTED_VALUE"""),0.1479)</f>
        <v>0.1479</v>
      </c>
      <c r="M572" s="18">
        <f>IFERROR(__xludf.DUMMYFUNCTION("""COMPUTED_VALUE"""),1.71)</f>
        <v>1.71</v>
      </c>
    </row>
    <row r="573">
      <c r="A573" s="13" t="str">
        <f>IFERROR(__xludf.DUMMYFUNCTION("""COMPUTED_VALUE"""),"товари")</f>
        <v>товари</v>
      </c>
      <c r="B573" s="16" t="str">
        <f>IFERROR(__xludf.DUMMYFUNCTION("""COMPUTED_VALUE"""),"безпека та захист")</f>
        <v>безпека та захист</v>
      </c>
      <c r="C573" s="16" t="str">
        <f>IFERROR(__xludf.DUMMYFUNCTION("""COMPUTED_VALUE"""),"системи охорони та оповіщення")</f>
        <v>системи охорони та оповіщення</v>
      </c>
      <c r="D573" s="16" t="str">
        <f>IFERROR(__xludf.DUMMYFUNCTION("""COMPUTED_VALUE"""),"охоронні сповіщувачі")</f>
        <v>охоронні сповіщувачі</v>
      </c>
      <c r="E573" s="16" t="str">
        <f>IFERROR(__xludf.DUMMYFUNCTION("""COMPUTED_VALUE"""),"охоронні сповіщувачі")</f>
        <v>охоронні сповіщувачі</v>
      </c>
      <c r="F573" s="17">
        <f>IFERROR(__xludf.DUMMYFUNCTION("""COMPUTED_VALUE"""),3.0)</f>
        <v>3</v>
      </c>
      <c r="G573" s="17" t="str">
        <f>IFERROR(__xludf.DUMMYFUNCTION("""COMPUTED_VALUE"""),"302302")</f>
        <v>302302</v>
      </c>
      <c r="H573" s="17" t="str">
        <f>IFERROR(__xludf.DUMMYFUNCTION("""COMPUTED_VALUE"""),"охоронні сповіщувачі")</f>
        <v>охоронні сповіщувачі</v>
      </c>
      <c r="I573" s="19">
        <f>IFERROR(__xludf.DUMMYFUNCTION("""COMPUTED_VALUE"""),0.0516)</f>
        <v>0.0516</v>
      </c>
      <c r="J573" s="19">
        <f>IFERROR(__xludf.DUMMYFUNCTION("""COMPUTED_VALUE"""),0.1032)</f>
        <v>0.1032</v>
      </c>
      <c r="K573" s="19">
        <f>IFERROR(__xludf.DUMMYFUNCTION("""COMPUTED_VALUE"""),0.129)</f>
        <v>0.129</v>
      </c>
      <c r="L573" s="19">
        <f>IFERROR(__xludf.DUMMYFUNCTION("""COMPUTED_VALUE"""),0.1548)</f>
        <v>0.1548</v>
      </c>
      <c r="M573" s="18">
        <f>IFERROR(__xludf.DUMMYFUNCTION("""COMPUTED_VALUE"""),1.8)</f>
        <v>1.8</v>
      </c>
    </row>
    <row r="574">
      <c r="A574" s="13" t="str">
        <f>IFERROR(__xludf.DUMMYFUNCTION("""COMPUTED_VALUE"""),"товари")</f>
        <v>товари</v>
      </c>
      <c r="B574" s="16" t="str">
        <f>IFERROR(__xludf.DUMMYFUNCTION("""COMPUTED_VALUE"""),"безпека та захист")</f>
        <v>безпека та захист</v>
      </c>
      <c r="C574" s="16" t="str">
        <f>IFERROR(__xludf.DUMMYFUNCTION("""COMPUTED_VALUE"""),"системи і засоби пожежної безпеки")</f>
        <v>системи і засоби пожежної безпеки</v>
      </c>
      <c r="D574" s="16" t="str">
        <f>IFERROR(__xludf.DUMMYFUNCTION("""COMPUTED_VALUE"""),"блискавкозахист і заземлення")</f>
        <v>блискавкозахист і заземлення</v>
      </c>
      <c r="E574" s="16" t="str">
        <f>IFERROR(__xludf.DUMMYFUNCTION("""COMPUTED_VALUE"""),"пзіп")</f>
        <v>пзіп</v>
      </c>
      <c r="F574" s="17">
        <f>IFERROR(__xludf.DUMMYFUNCTION("""COMPUTED_VALUE"""),4.0)</f>
        <v>4</v>
      </c>
      <c r="G574" s="17" t="str">
        <f>IFERROR(__xludf.DUMMYFUNCTION("""COMPUTED_VALUE"""),"300303")</f>
        <v>300303</v>
      </c>
      <c r="H574" s="17" t="str">
        <f>IFERROR(__xludf.DUMMYFUNCTION("""COMPUTED_VALUE"""),"пзіп")</f>
        <v>пзіп</v>
      </c>
      <c r="I574" s="19">
        <f>IFERROR(__xludf.DUMMYFUNCTION("""COMPUTED_VALUE"""),0.0752)</f>
        <v>0.0752</v>
      </c>
      <c r="J574" s="19">
        <f>IFERROR(__xludf.DUMMYFUNCTION("""COMPUTED_VALUE"""),0.1504)</f>
        <v>0.1504</v>
      </c>
      <c r="K574" s="19">
        <f>IFERROR(__xludf.DUMMYFUNCTION("""COMPUTED_VALUE"""),0.188)</f>
        <v>0.188</v>
      </c>
      <c r="L574" s="19">
        <f>IFERROR(__xludf.DUMMYFUNCTION("""COMPUTED_VALUE"""),0.2256)</f>
        <v>0.2256</v>
      </c>
      <c r="M574" s="18">
        <f>IFERROR(__xludf.DUMMYFUNCTION("""COMPUTED_VALUE"""),2.25)</f>
        <v>2.25</v>
      </c>
    </row>
    <row r="575">
      <c r="A575" s="13" t="str">
        <f>IFERROR(__xludf.DUMMYFUNCTION("""COMPUTED_VALUE"""),"товари")</f>
        <v>товари</v>
      </c>
      <c r="B575" s="16" t="str">
        <f>IFERROR(__xludf.DUMMYFUNCTION("""COMPUTED_VALUE"""),"безпека та захист")</f>
        <v>безпека та захист</v>
      </c>
      <c r="C575" s="16" t="str">
        <f>IFERROR(__xludf.DUMMYFUNCTION("""COMPUTED_VALUE"""),"технічні засоби відеоспостереження")</f>
        <v>технічні засоби відеоспостереження</v>
      </c>
      <c r="D575" s="16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575" s="16" t="str">
        <f>IFERROR(__xludf.DUMMYFUNCTION("""COMPUTED_VALUE"""),"плати і карти відеоспостереження")</f>
        <v>плати і карти відеоспостереження</v>
      </c>
      <c r="F575" s="17">
        <f>IFERROR(__xludf.DUMMYFUNCTION("""COMPUTED_VALUE"""),4.0)</f>
        <v>4</v>
      </c>
      <c r="G575" s="17" t="str">
        <f>IFERROR(__xludf.DUMMYFUNCTION("""COMPUTED_VALUE"""),"301111")</f>
        <v>301111</v>
      </c>
      <c r="H575" s="17" t="str">
        <f>IFERROR(__xludf.DUMMYFUNCTION("""COMPUTED_VALUE"""),"плати і карти відеоспостереження")</f>
        <v>плати і карти відеоспостереження</v>
      </c>
      <c r="I575" s="19">
        <f>IFERROR(__xludf.DUMMYFUNCTION("""COMPUTED_VALUE"""),0.0708)</f>
        <v>0.0708</v>
      </c>
      <c r="J575" s="19">
        <f>IFERROR(__xludf.DUMMYFUNCTION("""COMPUTED_VALUE"""),0.1416)</f>
        <v>0.1416</v>
      </c>
      <c r="K575" s="19">
        <f>IFERROR(__xludf.DUMMYFUNCTION("""COMPUTED_VALUE"""),0.177)</f>
        <v>0.177</v>
      </c>
      <c r="L575" s="19">
        <f>IFERROR(__xludf.DUMMYFUNCTION("""COMPUTED_VALUE"""),0.2124)</f>
        <v>0.2124</v>
      </c>
      <c r="M575" s="18">
        <f>IFERROR(__xludf.DUMMYFUNCTION("""COMPUTED_VALUE"""),1.05)</f>
        <v>1.05</v>
      </c>
    </row>
    <row r="576">
      <c r="A576" s="13" t="str">
        <f>IFERROR(__xludf.DUMMYFUNCTION("""COMPUTED_VALUE"""),"товари")</f>
        <v>товари</v>
      </c>
      <c r="B576" s="16" t="str">
        <f>IFERROR(__xludf.DUMMYFUNCTION("""COMPUTED_VALUE"""),"безпека та захист")</f>
        <v>безпека та захист</v>
      </c>
      <c r="C576" s="16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76" s="16" t="str">
        <f>IFERROR(__xludf.DUMMYFUNCTION("""COMPUTED_VALUE"""),"пломби та пломбіратори")</f>
        <v>пломби та пломбіратори</v>
      </c>
      <c r="E576" s="16" t="str">
        <f>IFERROR(__xludf.DUMMYFUNCTION("""COMPUTED_VALUE"""),"пломби для контролю і збереження")</f>
        <v>пломби для контролю і збереження</v>
      </c>
      <c r="F576" s="17">
        <f>IFERROR(__xludf.DUMMYFUNCTION("""COMPUTED_VALUE"""),4.0)</f>
        <v>4</v>
      </c>
      <c r="G576" s="17" t="str">
        <f>IFERROR(__xludf.DUMMYFUNCTION("""COMPUTED_VALUE"""),"302006")</f>
        <v>302006</v>
      </c>
      <c r="H576" s="17" t="str">
        <f>IFERROR(__xludf.DUMMYFUNCTION("""COMPUTED_VALUE"""),"пломби для контролю і збереження")</f>
        <v>пломби для контролю і збереження</v>
      </c>
      <c r="I576" s="19">
        <f>IFERROR(__xludf.DUMMYFUNCTION("""COMPUTED_VALUE"""),0.0639)</f>
        <v>0.0639</v>
      </c>
      <c r="J576" s="19">
        <f>IFERROR(__xludf.DUMMYFUNCTION("""COMPUTED_VALUE"""),0.1278)</f>
        <v>0.1278</v>
      </c>
      <c r="K576" s="19">
        <f>IFERROR(__xludf.DUMMYFUNCTION("""COMPUTED_VALUE"""),0.1598)</f>
        <v>0.1598</v>
      </c>
      <c r="L576" s="19">
        <f>IFERROR(__xludf.DUMMYFUNCTION("""COMPUTED_VALUE"""),0.1917)</f>
        <v>0.1917</v>
      </c>
      <c r="M576" s="18">
        <f>IFERROR(__xludf.DUMMYFUNCTION("""COMPUTED_VALUE"""),1.71)</f>
        <v>1.71</v>
      </c>
    </row>
    <row r="577">
      <c r="A577" s="13" t="str">
        <f>IFERROR(__xludf.DUMMYFUNCTION("""COMPUTED_VALUE"""),"товари")</f>
        <v>товари</v>
      </c>
      <c r="B577" s="16" t="str">
        <f>IFERROR(__xludf.DUMMYFUNCTION("""COMPUTED_VALUE"""),"безпека та захист")</f>
        <v>безпека та захист</v>
      </c>
      <c r="C577" s="16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77" s="16" t="str">
        <f>IFERROR(__xludf.DUMMYFUNCTION("""COMPUTED_VALUE"""),"пломби та пломбіратори")</f>
        <v>пломби та пломбіратори</v>
      </c>
      <c r="E577" s="16" t="str">
        <f>IFERROR(__xludf.DUMMYFUNCTION("""COMPUTED_VALUE"""),"пломбіратори")</f>
        <v>пломбіратори</v>
      </c>
      <c r="F577" s="17">
        <f>IFERROR(__xludf.DUMMYFUNCTION("""COMPUTED_VALUE"""),4.0)</f>
        <v>4</v>
      </c>
      <c r="G577" s="17" t="str">
        <f>IFERROR(__xludf.DUMMYFUNCTION("""COMPUTED_VALUE"""),"302003")</f>
        <v>302003</v>
      </c>
      <c r="H577" s="17" t="str">
        <f>IFERROR(__xludf.DUMMYFUNCTION("""COMPUTED_VALUE"""),"пломбіратори")</f>
        <v>пломбіратори</v>
      </c>
      <c r="I577" s="19">
        <f>IFERROR(__xludf.DUMMYFUNCTION("""COMPUTED_VALUE"""),0.0639)</f>
        <v>0.0639</v>
      </c>
      <c r="J577" s="19">
        <f>IFERROR(__xludf.DUMMYFUNCTION("""COMPUTED_VALUE"""),0.1278)</f>
        <v>0.1278</v>
      </c>
      <c r="K577" s="19">
        <f>IFERROR(__xludf.DUMMYFUNCTION("""COMPUTED_VALUE"""),0.1598)</f>
        <v>0.1598</v>
      </c>
      <c r="L577" s="19">
        <f>IFERROR(__xludf.DUMMYFUNCTION("""COMPUTED_VALUE"""),0.1917)</f>
        <v>0.1917</v>
      </c>
      <c r="M577" s="18">
        <f>IFERROR(__xludf.DUMMYFUNCTION("""COMPUTED_VALUE"""),1.71)</f>
        <v>1.71</v>
      </c>
    </row>
    <row r="578">
      <c r="A578" s="13" t="str">
        <f>IFERROR(__xludf.DUMMYFUNCTION("""COMPUTED_VALUE"""),"товари")</f>
        <v>товари</v>
      </c>
      <c r="B578" s="16" t="str">
        <f>IFERROR(__xludf.DUMMYFUNCTION("""COMPUTED_VALUE"""),"безпека та захист")</f>
        <v>безпека та захист</v>
      </c>
      <c r="C578" s="16" t="str">
        <f>IFERROR(__xludf.DUMMYFUNCTION("""COMPUTED_VALUE"""),"пістолети, гвинтівки і револьвери")</f>
        <v>пістолети, гвинтівки і револьвери</v>
      </c>
      <c r="D578" s="16" t="str">
        <f>IFERROR(__xludf.DUMMYFUNCTION("""COMPUTED_VALUE"""),"пневматична гвинтівки і пістолети")</f>
        <v>пневматична гвинтівки і пістолети</v>
      </c>
      <c r="E578" s="16" t="str">
        <f>IFERROR(__xludf.DUMMYFUNCTION("""COMPUTED_VALUE"""),"пневматичні пістолети і гвинтівки")</f>
        <v>пневматичні пістолети і гвинтівки</v>
      </c>
      <c r="F578" s="17">
        <f>IFERROR(__xludf.DUMMYFUNCTION("""COMPUTED_VALUE"""),4.0)</f>
        <v>4</v>
      </c>
      <c r="G578" s="17" t="str">
        <f>IFERROR(__xludf.DUMMYFUNCTION("""COMPUTED_VALUE"""),"181603")</f>
        <v>181603</v>
      </c>
      <c r="H578" s="17" t="str">
        <f>IFERROR(__xludf.DUMMYFUNCTION("""COMPUTED_VALUE"""),"пневматичні пістолети і гвинтівки")</f>
        <v>пневматичні пістолети і гвинтівки</v>
      </c>
      <c r="I578" s="19">
        <f>IFERROR(__xludf.DUMMYFUNCTION("""COMPUTED_VALUE"""),0.0527)</f>
        <v>0.0527</v>
      </c>
      <c r="J578" s="19">
        <f>IFERROR(__xludf.DUMMYFUNCTION("""COMPUTED_VALUE"""),0.1054)</f>
        <v>0.1054</v>
      </c>
      <c r="K578" s="19">
        <f>IFERROR(__xludf.DUMMYFUNCTION("""COMPUTED_VALUE"""),0.1318)</f>
        <v>0.1318</v>
      </c>
      <c r="L578" s="19">
        <f>IFERROR(__xludf.DUMMYFUNCTION("""COMPUTED_VALUE"""),0.1581)</f>
        <v>0.1581</v>
      </c>
      <c r="M578" s="18">
        <f>IFERROR(__xludf.DUMMYFUNCTION("""COMPUTED_VALUE"""),2.34)</f>
        <v>2.34</v>
      </c>
    </row>
    <row r="579">
      <c r="A579" s="13" t="str">
        <f>IFERROR(__xludf.DUMMYFUNCTION("""COMPUTED_VALUE"""),"товари")</f>
        <v>товари</v>
      </c>
      <c r="B579" s="16" t="str">
        <f>IFERROR(__xludf.DUMMYFUNCTION("""COMPUTED_VALUE"""),"безпека та захист")</f>
        <v>безпека та захист</v>
      </c>
      <c r="C579" s="16" t="str">
        <f>IFERROR(__xludf.DUMMYFUNCTION("""COMPUTED_VALUE"""),"системи і засоби пожежної безпеки")</f>
        <v>системи і засоби пожежної безпеки</v>
      </c>
      <c r="D579" s="16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79" s="16" t="str">
        <f>IFERROR(__xludf.DUMMYFUNCTION("""COMPUTED_VALUE"""),"пожежний інвентар")</f>
        <v>пожежний інвентар</v>
      </c>
      <c r="F579" s="17">
        <f>IFERROR(__xludf.DUMMYFUNCTION("""COMPUTED_VALUE"""),4.0)</f>
        <v>4</v>
      </c>
      <c r="G579" s="17" t="str">
        <f>IFERROR(__xludf.DUMMYFUNCTION("""COMPUTED_VALUE"""),"300940")</f>
        <v>300940</v>
      </c>
      <c r="H579" s="17" t="str">
        <f>IFERROR(__xludf.DUMMYFUNCTION("""COMPUTED_VALUE"""),"пожежний інвентар")</f>
        <v>пожежний інвентар</v>
      </c>
      <c r="I579" s="19">
        <f>IFERROR(__xludf.DUMMYFUNCTION("""COMPUTED_VALUE"""),0.052)</f>
        <v>0.052</v>
      </c>
      <c r="J579" s="19">
        <f>IFERROR(__xludf.DUMMYFUNCTION("""COMPUTED_VALUE"""),0.104)</f>
        <v>0.104</v>
      </c>
      <c r="K579" s="19">
        <f>IFERROR(__xludf.DUMMYFUNCTION("""COMPUTED_VALUE"""),0.13)</f>
        <v>0.13</v>
      </c>
      <c r="L579" s="19">
        <f>IFERROR(__xludf.DUMMYFUNCTION("""COMPUTED_VALUE"""),0.156)</f>
        <v>0.156</v>
      </c>
      <c r="M579" s="18">
        <f>IFERROR(__xludf.DUMMYFUNCTION("""COMPUTED_VALUE"""),3.33)</f>
        <v>3.33</v>
      </c>
    </row>
    <row r="580">
      <c r="A580" s="13" t="str">
        <f>IFERROR(__xludf.DUMMYFUNCTION("""COMPUTED_VALUE"""),"товари")</f>
        <v>товари</v>
      </c>
      <c r="B580" s="16" t="str">
        <f>IFERROR(__xludf.DUMMYFUNCTION("""COMPUTED_VALUE"""),"безпека та захист")</f>
        <v>безпека та захист</v>
      </c>
      <c r="C580" s="16" t="str">
        <f>IFERROR(__xludf.DUMMYFUNCTION("""COMPUTED_VALUE"""),"системи і засоби пожежної безпеки")</f>
        <v>системи і засоби пожежної безпеки</v>
      </c>
      <c r="D580" s="16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80" s="16" t="str">
        <f>IFERROR(__xludf.DUMMYFUNCTION("""COMPUTED_VALUE"""),"пожежний інструмент")</f>
        <v>пожежний інструмент</v>
      </c>
      <c r="F580" s="17">
        <f>IFERROR(__xludf.DUMMYFUNCTION("""COMPUTED_VALUE"""),4.0)</f>
        <v>4</v>
      </c>
      <c r="G580" s="17" t="str">
        <f>IFERROR(__xludf.DUMMYFUNCTION("""COMPUTED_VALUE"""),"300905")</f>
        <v>300905</v>
      </c>
      <c r="H580" s="17" t="str">
        <f>IFERROR(__xludf.DUMMYFUNCTION("""COMPUTED_VALUE"""),"пожежний інструмент")</f>
        <v>пожежний інструмент</v>
      </c>
      <c r="I580" s="19">
        <f>IFERROR(__xludf.DUMMYFUNCTION("""COMPUTED_VALUE"""),0.052)</f>
        <v>0.052</v>
      </c>
      <c r="J580" s="19">
        <f>IFERROR(__xludf.DUMMYFUNCTION("""COMPUTED_VALUE"""),0.104)</f>
        <v>0.104</v>
      </c>
      <c r="K580" s="19">
        <f>IFERROR(__xludf.DUMMYFUNCTION("""COMPUTED_VALUE"""),0.13)</f>
        <v>0.13</v>
      </c>
      <c r="L580" s="19">
        <f>IFERROR(__xludf.DUMMYFUNCTION("""COMPUTED_VALUE"""),0.156)</f>
        <v>0.156</v>
      </c>
      <c r="M580" s="18">
        <f>IFERROR(__xludf.DUMMYFUNCTION("""COMPUTED_VALUE"""),3.33)</f>
        <v>3.33</v>
      </c>
    </row>
    <row r="581">
      <c r="A581" s="13" t="str">
        <f>IFERROR(__xludf.DUMMYFUNCTION("""COMPUTED_VALUE"""),"товари")</f>
        <v>товари</v>
      </c>
      <c r="B581" s="16" t="str">
        <f>IFERROR(__xludf.DUMMYFUNCTION("""COMPUTED_VALUE"""),"безпека та захист")</f>
        <v>безпека та захист</v>
      </c>
      <c r="C581" s="16" t="str">
        <f>IFERROR(__xludf.DUMMYFUNCTION("""COMPUTED_VALUE"""),"спеціальні технічні засоби")</f>
        <v>спеціальні технічні засоби</v>
      </c>
      <c r="D581" s="16" t="str">
        <f>IFERROR(__xludf.DUMMYFUNCTION("""COMPUTED_VALUE"""),"пристрої виявлення прихованих відеокамер і жучків")</f>
        <v>пристрої виявлення прихованих відеокамер і жучків</v>
      </c>
      <c r="E581" s="16" t="str">
        <f>IFERROR(__xludf.DUMMYFUNCTION("""COMPUTED_VALUE"""),"пристрої виявлення прихованих відеокамер і жучків")</f>
        <v>пристрої виявлення прихованих відеокамер і жучків</v>
      </c>
      <c r="F581" s="17">
        <f>IFERROR(__xludf.DUMMYFUNCTION("""COMPUTED_VALUE"""),3.0)</f>
        <v>3</v>
      </c>
      <c r="G581" s="17" t="str">
        <f>IFERROR(__xludf.DUMMYFUNCTION("""COMPUTED_VALUE"""),"300406")</f>
        <v>300406</v>
      </c>
      <c r="H581" s="17" t="str">
        <f>IFERROR(__xludf.DUMMYFUNCTION("""COMPUTED_VALUE"""),"пристрої виявлення прихованих відеокамер і жучків")</f>
        <v>пристрої виявлення прихованих відеокамер і жучків</v>
      </c>
      <c r="I581" s="19">
        <f>IFERROR(__xludf.DUMMYFUNCTION("""COMPUTED_VALUE"""),0.0695)</f>
        <v>0.0695</v>
      </c>
      <c r="J581" s="19">
        <f>IFERROR(__xludf.DUMMYFUNCTION("""COMPUTED_VALUE"""),0.139)</f>
        <v>0.139</v>
      </c>
      <c r="K581" s="19">
        <f>IFERROR(__xludf.DUMMYFUNCTION("""COMPUTED_VALUE"""),0.1738)</f>
        <v>0.1738</v>
      </c>
      <c r="L581" s="19">
        <f>IFERROR(__xludf.DUMMYFUNCTION("""COMPUTED_VALUE"""),0.2085)</f>
        <v>0.2085</v>
      </c>
      <c r="M581" s="18">
        <f>IFERROR(__xludf.DUMMYFUNCTION("""COMPUTED_VALUE"""),1.26)</f>
        <v>1.26</v>
      </c>
    </row>
    <row r="582">
      <c r="A582" s="13" t="str">
        <f>IFERROR(__xludf.DUMMYFUNCTION("""COMPUTED_VALUE"""),"товари")</f>
        <v>товари</v>
      </c>
      <c r="B582" s="16" t="str">
        <f>IFERROR(__xludf.DUMMYFUNCTION("""COMPUTED_VALUE"""),"безпека та захист")</f>
        <v>безпека та захист</v>
      </c>
      <c r="C582" s="16" t="str">
        <f>IFERROR(__xludf.DUMMYFUNCTION("""COMPUTED_VALUE"""),"системи охорони та оповіщення")</f>
        <v>системи охорони та оповіщення</v>
      </c>
      <c r="D582" s="16" t="str">
        <f>IFERROR(__xludf.DUMMYFUNCTION("""COMPUTED_VALUE"""),"протикрадіжні системи")</f>
        <v>протикрадіжні системи</v>
      </c>
      <c r="E582" s="16" t="str">
        <f>IFERROR(__xludf.DUMMYFUNCTION("""COMPUTED_VALUE"""),"протикрадіжні системи")</f>
        <v>протикрадіжні системи</v>
      </c>
      <c r="F582" s="17">
        <f>IFERROR(__xludf.DUMMYFUNCTION("""COMPUTED_VALUE"""),3.0)</f>
        <v>3</v>
      </c>
      <c r="G582" s="17" t="str">
        <f>IFERROR(__xludf.DUMMYFUNCTION("""COMPUTED_VALUE"""),"300405")</f>
        <v>300405</v>
      </c>
      <c r="H582" s="17" t="str">
        <f>IFERROR(__xludf.DUMMYFUNCTION("""COMPUTED_VALUE"""),"протикрадіжні системи")</f>
        <v>протикрадіжні системи</v>
      </c>
      <c r="I582" s="19">
        <f>IFERROR(__xludf.DUMMYFUNCTION("""COMPUTED_VALUE"""),0.0532)</f>
        <v>0.0532</v>
      </c>
      <c r="J582" s="19">
        <f>IFERROR(__xludf.DUMMYFUNCTION("""COMPUTED_VALUE"""),0.1063)</f>
        <v>0.1063</v>
      </c>
      <c r="K582" s="19">
        <f>IFERROR(__xludf.DUMMYFUNCTION("""COMPUTED_VALUE"""),0.1329)</f>
        <v>0.1329</v>
      </c>
      <c r="L582" s="19">
        <f>IFERROR(__xludf.DUMMYFUNCTION("""COMPUTED_VALUE"""),0.1595)</f>
        <v>0.1595</v>
      </c>
      <c r="M582" s="18">
        <f>IFERROR(__xludf.DUMMYFUNCTION("""COMPUTED_VALUE"""),5.4)</f>
        <v>5.4</v>
      </c>
    </row>
    <row r="583">
      <c r="A583" s="13" t="str">
        <f>IFERROR(__xludf.DUMMYFUNCTION("""COMPUTED_VALUE"""),"товари")</f>
        <v>товари</v>
      </c>
      <c r="B583" s="16" t="str">
        <f>IFERROR(__xludf.DUMMYFUNCTION("""COMPUTED_VALUE"""),"безпека та захист")</f>
        <v>безпека та захист</v>
      </c>
      <c r="C583" s="16" t="str">
        <f>IFERROR(__xludf.DUMMYFUNCTION("""COMPUTED_VALUE"""),"системи охорони та оповіщення")</f>
        <v>системи охорони та оповіщення</v>
      </c>
      <c r="D583" s="16" t="str">
        <f>IFERROR(__xludf.DUMMYFUNCTION("""COMPUTED_VALUE"""),"протикражні датчики і мітки")</f>
        <v>протикражні датчики і мітки</v>
      </c>
      <c r="E583" s="16" t="str">
        <f>IFERROR(__xludf.DUMMYFUNCTION("""COMPUTED_VALUE"""),"протикражні датчики і мітки")</f>
        <v>протикражні датчики і мітки</v>
      </c>
      <c r="F583" s="17">
        <f>IFERROR(__xludf.DUMMYFUNCTION("""COMPUTED_VALUE"""),3.0)</f>
        <v>3</v>
      </c>
      <c r="G583" s="17" t="str">
        <f>IFERROR(__xludf.DUMMYFUNCTION("""COMPUTED_VALUE"""),"300422")</f>
        <v>300422</v>
      </c>
      <c r="H583" s="17" t="str">
        <f>IFERROR(__xludf.DUMMYFUNCTION("""COMPUTED_VALUE"""),"протикражні датчики і мітки")</f>
        <v>протикражні датчики і мітки</v>
      </c>
      <c r="I583" s="19">
        <f>IFERROR(__xludf.DUMMYFUNCTION("""COMPUTED_VALUE"""),0.0524)</f>
        <v>0.0524</v>
      </c>
      <c r="J583" s="19">
        <f>IFERROR(__xludf.DUMMYFUNCTION("""COMPUTED_VALUE"""),0.1047)</f>
        <v>0.1047</v>
      </c>
      <c r="K583" s="19">
        <f>IFERROR(__xludf.DUMMYFUNCTION("""COMPUTED_VALUE"""),0.1309)</f>
        <v>0.1309</v>
      </c>
      <c r="L583" s="19">
        <f>IFERROR(__xludf.DUMMYFUNCTION("""COMPUTED_VALUE"""),0.1571)</f>
        <v>0.1571</v>
      </c>
      <c r="M583" s="18">
        <f>IFERROR(__xludf.DUMMYFUNCTION("""COMPUTED_VALUE"""),3.15)</f>
        <v>3.15</v>
      </c>
    </row>
    <row r="584">
      <c r="A584" s="13" t="str">
        <f>IFERROR(__xludf.DUMMYFUNCTION("""COMPUTED_VALUE"""),"товари")</f>
        <v>товари</v>
      </c>
      <c r="B584" s="16" t="str">
        <f>IFERROR(__xludf.DUMMYFUNCTION("""COMPUTED_VALUE"""),"безпека та захист")</f>
        <v>безпека та захист</v>
      </c>
      <c r="C584" s="16" t="str">
        <f>IFERROR(__xludf.DUMMYFUNCTION("""COMPUTED_VALUE"""),"пістолети, гвинтівки і револьвери")</f>
        <v>пістолети, гвинтівки і револьвери</v>
      </c>
      <c r="D584" s="16" t="str">
        <f>IFERROR(__xludf.DUMMYFUNCTION("""COMPUTED_VALUE"""),"револьвери під патрон флобера")</f>
        <v>револьвери під патрон флобера</v>
      </c>
      <c r="E584" s="16" t="str">
        <f>IFERROR(__xludf.DUMMYFUNCTION("""COMPUTED_VALUE"""),"револьвери під патрон флобера")</f>
        <v>револьвери під патрон флобера</v>
      </c>
      <c r="F584" s="17">
        <f>IFERROR(__xludf.DUMMYFUNCTION("""COMPUTED_VALUE"""),3.0)</f>
        <v>3</v>
      </c>
      <c r="G584" s="17" t="str">
        <f>IFERROR(__xludf.DUMMYFUNCTION("""COMPUTED_VALUE"""),"181604")</f>
        <v>181604</v>
      </c>
      <c r="H584" s="17" t="str">
        <f>IFERROR(__xludf.DUMMYFUNCTION("""COMPUTED_VALUE"""),"револьвери під патрон флобера")</f>
        <v>револьвери під патрон флобера</v>
      </c>
      <c r="I584" s="19">
        <f>IFERROR(__xludf.DUMMYFUNCTION("""COMPUTED_VALUE"""),0.0529)</f>
        <v>0.0529</v>
      </c>
      <c r="J584" s="19">
        <f>IFERROR(__xludf.DUMMYFUNCTION("""COMPUTED_VALUE"""),0.1058)</f>
        <v>0.1058</v>
      </c>
      <c r="K584" s="19">
        <f>IFERROR(__xludf.DUMMYFUNCTION("""COMPUTED_VALUE"""),0.1323)</f>
        <v>0.1323</v>
      </c>
      <c r="L584" s="19">
        <f>IFERROR(__xludf.DUMMYFUNCTION("""COMPUTED_VALUE"""),0.1587)</f>
        <v>0.1587</v>
      </c>
      <c r="M584" s="18">
        <f>IFERROR(__xludf.DUMMYFUNCTION("""COMPUTED_VALUE"""),2.88)</f>
        <v>2.88</v>
      </c>
    </row>
    <row r="585">
      <c r="A585" s="13" t="str">
        <f>IFERROR(__xludf.DUMMYFUNCTION("""COMPUTED_VALUE"""),"товари")</f>
        <v>товари</v>
      </c>
      <c r="B585" s="16" t="str">
        <f>IFERROR(__xludf.DUMMYFUNCTION("""COMPUTED_VALUE"""),"безпека та захист")</f>
        <v>безпека та захист</v>
      </c>
      <c r="C585" s="16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85" s="16" t="str">
        <f>IFERROR(__xludf.DUMMYFUNCTION("""COMPUTED_VALUE"""),"сейфи")</f>
        <v>сейфи</v>
      </c>
      <c r="E585" s="16" t="str">
        <f>IFERROR(__xludf.DUMMYFUNCTION("""COMPUTED_VALUE"""),"сейфи")</f>
        <v>сейфи</v>
      </c>
      <c r="F585" s="17">
        <f>IFERROR(__xludf.DUMMYFUNCTION("""COMPUTED_VALUE"""),3.0)</f>
        <v>3</v>
      </c>
      <c r="G585" s="17" t="str">
        <f>IFERROR(__xludf.DUMMYFUNCTION("""COMPUTED_VALUE"""),"301201")</f>
        <v>301201</v>
      </c>
      <c r="H585" s="17" t="str">
        <f>IFERROR(__xludf.DUMMYFUNCTION("""COMPUTED_VALUE"""),"сейфи")</f>
        <v>сейфи</v>
      </c>
      <c r="I585" s="19">
        <f>IFERROR(__xludf.DUMMYFUNCTION("""COMPUTED_VALUE"""),0.0669)</f>
        <v>0.0669</v>
      </c>
      <c r="J585" s="19">
        <f>IFERROR(__xludf.DUMMYFUNCTION("""COMPUTED_VALUE"""),0.1337)</f>
        <v>0.1337</v>
      </c>
      <c r="K585" s="19">
        <f>IFERROR(__xludf.DUMMYFUNCTION("""COMPUTED_VALUE"""),0.1671)</f>
        <v>0.1671</v>
      </c>
      <c r="L585" s="19">
        <f>IFERROR(__xludf.DUMMYFUNCTION("""COMPUTED_VALUE"""),0.2006)</f>
        <v>0.2006</v>
      </c>
      <c r="M585" s="18">
        <f>IFERROR(__xludf.DUMMYFUNCTION("""COMPUTED_VALUE"""),3.98)</f>
        <v>3.98</v>
      </c>
    </row>
    <row r="586">
      <c r="A586" s="13" t="str">
        <f>IFERROR(__xludf.DUMMYFUNCTION("""COMPUTED_VALUE"""),"товари")</f>
        <v>товари</v>
      </c>
      <c r="B586" s="16" t="str">
        <f>IFERROR(__xludf.DUMMYFUNCTION("""COMPUTED_VALUE"""),"безпека та захист")</f>
        <v>безпека та захист</v>
      </c>
      <c r="C586" s="16" t="str">
        <f>IFERROR(__xludf.DUMMYFUNCTION("""COMPUTED_VALUE"""),"обладнання електронне, прилади захисту й безпеки")</f>
        <v>обладнання електронне, прилади захисту й безпеки</v>
      </c>
      <c r="D586" s="16" t="str">
        <f>IFERROR(__xludf.DUMMYFUNCTION("""COMPUTED_VALUE"""),"системи захисту від потопу")</f>
        <v>системи захисту від потопу</v>
      </c>
      <c r="E586" s="16" t="str">
        <f>IFERROR(__xludf.DUMMYFUNCTION("""COMPUTED_VALUE"""),"системи захисту від потопу")</f>
        <v>системи захисту від потопу</v>
      </c>
      <c r="F586" s="17">
        <f>IFERROR(__xludf.DUMMYFUNCTION("""COMPUTED_VALUE"""),3.0)</f>
        <v>3</v>
      </c>
      <c r="G586" s="17" t="str">
        <f>IFERROR(__xludf.DUMMYFUNCTION("""COMPUTED_VALUE"""),"300418")</f>
        <v>300418</v>
      </c>
      <c r="H586" s="17" t="str">
        <f>IFERROR(__xludf.DUMMYFUNCTION("""COMPUTED_VALUE"""),"системи захисту від потопу")</f>
        <v>системи захисту від потопу</v>
      </c>
      <c r="I586" s="19">
        <f>IFERROR(__xludf.DUMMYFUNCTION("""COMPUTED_VALUE"""),0.0663)</f>
        <v>0.0663</v>
      </c>
      <c r="J586" s="19">
        <f>IFERROR(__xludf.DUMMYFUNCTION("""COMPUTED_VALUE"""),0.1325)</f>
        <v>0.1325</v>
      </c>
      <c r="K586" s="19">
        <f>IFERROR(__xludf.DUMMYFUNCTION("""COMPUTED_VALUE"""),0.1656)</f>
        <v>0.1656</v>
      </c>
      <c r="L586" s="19">
        <f>IFERROR(__xludf.DUMMYFUNCTION("""COMPUTED_VALUE"""),0.1988)</f>
        <v>0.1988</v>
      </c>
      <c r="M586" s="18">
        <f>IFERROR(__xludf.DUMMYFUNCTION("""COMPUTED_VALUE"""),4.13)</f>
        <v>4.13</v>
      </c>
    </row>
    <row r="587">
      <c r="A587" s="13" t="str">
        <f>IFERROR(__xludf.DUMMYFUNCTION("""COMPUTED_VALUE"""),"товари")</f>
        <v>товари</v>
      </c>
      <c r="B587" s="16" t="str">
        <f>IFERROR(__xludf.DUMMYFUNCTION("""COMPUTED_VALUE"""),"безпека та захист")</f>
        <v>безпека та захист</v>
      </c>
      <c r="C587" s="16" t="str">
        <f>IFERROR(__xludf.DUMMYFUNCTION("""COMPUTED_VALUE"""),"системи і засоби пожежної безпеки")</f>
        <v>системи і засоби пожежної безпеки</v>
      </c>
      <c r="D587" s="16" t="str">
        <f>IFERROR(__xludf.DUMMYFUNCTION("""COMPUTED_VALUE"""),"блискавкозахист і заземлення")</f>
        <v>блискавкозахист і заземлення</v>
      </c>
      <c r="E587" s="16" t="str">
        <f>IFERROR(__xludf.DUMMYFUNCTION("""COMPUTED_VALUE"""),"системи і комплекти блискавкозахисту/заземлення")</f>
        <v>системи і комплекти блискавкозахисту/заземлення</v>
      </c>
      <c r="F587" s="17">
        <f>IFERROR(__xludf.DUMMYFUNCTION("""COMPUTED_VALUE"""),4.0)</f>
        <v>4</v>
      </c>
      <c r="G587" s="17" t="str">
        <f>IFERROR(__xludf.DUMMYFUNCTION("""COMPUTED_VALUE"""),"300308")</f>
        <v>300308</v>
      </c>
      <c r="H587" s="17" t="str">
        <f>IFERROR(__xludf.DUMMYFUNCTION("""COMPUTED_VALUE"""),"системи і комплекти блискавкозахисту/заземлення")</f>
        <v>системи і комплекти блискавкозахисту/заземлення</v>
      </c>
      <c r="I587" s="19">
        <f>IFERROR(__xludf.DUMMYFUNCTION("""COMPUTED_VALUE"""),0.0746)</f>
        <v>0.0746</v>
      </c>
      <c r="J587" s="19">
        <f>IFERROR(__xludf.DUMMYFUNCTION("""COMPUTED_VALUE"""),0.1491)</f>
        <v>0.1491</v>
      </c>
      <c r="K587" s="19">
        <f>IFERROR(__xludf.DUMMYFUNCTION("""COMPUTED_VALUE"""),0.1864)</f>
        <v>0.1864</v>
      </c>
      <c r="L587" s="19">
        <f>IFERROR(__xludf.DUMMYFUNCTION("""COMPUTED_VALUE"""),0.2237)</f>
        <v>0.2237</v>
      </c>
      <c r="M587" s="18">
        <f>IFERROR(__xludf.DUMMYFUNCTION("""COMPUTED_VALUE"""),2.25)</f>
        <v>2.25</v>
      </c>
    </row>
    <row r="588">
      <c r="A588" s="13" t="str">
        <f>IFERROR(__xludf.DUMMYFUNCTION("""COMPUTED_VALUE"""),"товари")</f>
        <v>товари</v>
      </c>
      <c r="B588" s="16" t="str">
        <f>IFERROR(__xludf.DUMMYFUNCTION("""COMPUTED_VALUE"""),"безпека та захист")</f>
        <v>безпека та захист</v>
      </c>
      <c r="C588" s="16" t="str">
        <f>IFERROR(__xludf.DUMMYFUNCTION("""COMPUTED_VALUE"""),"системи охорони та оповіщення")</f>
        <v>системи охорони та оповіщення</v>
      </c>
      <c r="D588" s="16" t="str">
        <f>IFERROR(__xludf.DUMMYFUNCTION("""COMPUTED_VALUE"""),"системи охорони та оповіщення, загальне")</f>
        <v>системи охорони та оповіщення, загальне</v>
      </c>
      <c r="E588" s="16" t="str">
        <f>IFERROR(__xludf.DUMMYFUNCTION("""COMPUTED_VALUE"""),"системи охорони та оповіщення, загальне")</f>
        <v>системи охорони та оповіщення, загальне</v>
      </c>
      <c r="F588" s="17">
        <f>IFERROR(__xludf.DUMMYFUNCTION("""COMPUTED_VALUE"""),3.0)</f>
        <v>3</v>
      </c>
      <c r="G588" s="17" t="str">
        <f>IFERROR(__xludf.DUMMYFUNCTION("""COMPUTED_VALUE"""),"302301")</f>
        <v>302301</v>
      </c>
      <c r="H588" s="17" t="str">
        <f>IFERROR(__xludf.DUMMYFUNCTION("""COMPUTED_VALUE"""),"системи охорони та оповіщення, загальне")</f>
        <v>системи охорони та оповіщення, загальне</v>
      </c>
      <c r="I588" s="19">
        <f>IFERROR(__xludf.DUMMYFUNCTION("""COMPUTED_VALUE"""),0.125)</f>
        <v>0.125</v>
      </c>
      <c r="J588" s="19">
        <f>IFERROR(__xludf.DUMMYFUNCTION("""COMPUTED_VALUE"""),0.25)</f>
        <v>0.25</v>
      </c>
      <c r="K588" s="19">
        <f>IFERROR(__xludf.DUMMYFUNCTION("""COMPUTED_VALUE"""),0.3125)</f>
        <v>0.3125</v>
      </c>
      <c r="L588" s="19">
        <f>IFERROR(__xludf.DUMMYFUNCTION("""COMPUTED_VALUE"""),0.375)</f>
        <v>0.375</v>
      </c>
      <c r="M588" s="18">
        <f>IFERROR(__xludf.DUMMYFUNCTION("""COMPUTED_VALUE"""),4.33)</f>
        <v>4.33</v>
      </c>
    </row>
    <row r="589">
      <c r="A589" s="13" t="str">
        <f>IFERROR(__xludf.DUMMYFUNCTION("""COMPUTED_VALUE"""),"товари")</f>
        <v>товари</v>
      </c>
      <c r="B589" s="16" t="str">
        <f>IFERROR(__xludf.DUMMYFUNCTION("""COMPUTED_VALUE"""),"безпека та захист")</f>
        <v>безпека та захист</v>
      </c>
      <c r="C589" s="16" t="str">
        <f>IFERROR(__xludf.DUMMYFUNCTION("""COMPUTED_VALUE"""),"спеціальні технічні засоби")</f>
        <v>спеціальні технічні засоби</v>
      </c>
      <c r="D589" s="16" t="str">
        <f>IFERROR(__xludf.DUMMYFUNCTION("""COMPUTED_VALUE"""),"скануючі приймачі")</f>
        <v>скануючі приймачі</v>
      </c>
      <c r="E589" s="16" t="str">
        <f>IFERROR(__xludf.DUMMYFUNCTION("""COMPUTED_VALUE"""),"скануючі приймачі")</f>
        <v>скануючі приймачі</v>
      </c>
      <c r="F589" s="17">
        <f>IFERROR(__xludf.DUMMYFUNCTION("""COMPUTED_VALUE"""),3.0)</f>
        <v>3</v>
      </c>
      <c r="G589" s="17" t="str">
        <f>IFERROR(__xludf.DUMMYFUNCTION("""COMPUTED_VALUE"""),"300417")</f>
        <v>300417</v>
      </c>
      <c r="H589" s="17" t="str">
        <f>IFERROR(__xludf.DUMMYFUNCTION("""COMPUTED_VALUE"""),"скануючі приймачі")</f>
        <v>скануючі приймачі</v>
      </c>
      <c r="I589" s="19">
        <f>IFERROR(__xludf.DUMMYFUNCTION("""COMPUTED_VALUE"""),0.0516)</f>
        <v>0.0516</v>
      </c>
      <c r="J589" s="19">
        <f>IFERROR(__xludf.DUMMYFUNCTION("""COMPUTED_VALUE"""),0.1032)</f>
        <v>0.1032</v>
      </c>
      <c r="K589" s="19">
        <f>IFERROR(__xludf.DUMMYFUNCTION("""COMPUTED_VALUE"""),0.129)</f>
        <v>0.129</v>
      </c>
      <c r="L589" s="19">
        <f>IFERROR(__xludf.DUMMYFUNCTION("""COMPUTED_VALUE"""),0.1548)</f>
        <v>0.1548</v>
      </c>
      <c r="M589" s="18">
        <f>IFERROR(__xludf.DUMMYFUNCTION("""COMPUTED_VALUE"""),1.05)</f>
        <v>1.05</v>
      </c>
    </row>
    <row r="590">
      <c r="A590" s="13" t="str">
        <f>IFERROR(__xludf.DUMMYFUNCTION("""COMPUTED_VALUE"""),"товари")</f>
        <v>товари</v>
      </c>
      <c r="B590" s="16" t="str">
        <f>IFERROR(__xludf.DUMMYFUNCTION("""COMPUTED_VALUE"""),"безпека та захист")</f>
        <v>безпека та захист</v>
      </c>
      <c r="C590" s="16" t="str">
        <f>IFERROR(__xludf.DUMMYFUNCTION("""COMPUTED_VALUE"""),"засоби індивідуального захисту")</f>
        <v>засоби індивідуального захисту</v>
      </c>
      <c r="D590" s="16" t="str">
        <f>IFERROR(__xludf.DUMMYFUNCTION("""COMPUTED_VALUE"""),"тактичні ручки")</f>
        <v>тактичні ручки</v>
      </c>
      <c r="E590" s="16" t="str">
        <f>IFERROR(__xludf.DUMMYFUNCTION("""COMPUTED_VALUE"""),"тактичні ручки")</f>
        <v>тактичні ручки</v>
      </c>
      <c r="F590" s="17">
        <f>IFERROR(__xludf.DUMMYFUNCTION("""COMPUTED_VALUE"""),3.0)</f>
        <v>3</v>
      </c>
      <c r="G590" s="17" t="str">
        <f>IFERROR(__xludf.DUMMYFUNCTION("""COMPUTED_VALUE"""),"301917")</f>
        <v>301917</v>
      </c>
      <c r="H590" s="17" t="str">
        <f>IFERROR(__xludf.DUMMYFUNCTION("""COMPUTED_VALUE"""),"тактичні ручки")</f>
        <v>тактичні ручки</v>
      </c>
      <c r="I590" s="19">
        <f>IFERROR(__xludf.DUMMYFUNCTION("""COMPUTED_VALUE"""),0.0494)</f>
        <v>0.0494</v>
      </c>
      <c r="J590" s="19">
        <f>IFERROR(__xludf.DUMMYFUNCTION("""COMPUTED_VALUE"""),0.0988)</f>
        <v>0.0988</v>
      </c>
      <c r="K590" s="19">
        <f>IFERROR(__xludf.DUMMYFUNCTION("""COMPUTED_VALUE"""),0.1235)</f>
        <v>0.1235</v>
      </c>
      <c r="L590" s="19">
        <f>IFERROR(__xludf.DUMMYFUNCTION("""COMPUTED_VALUE"""),0.1482)</f>
        <v>0.1482</v>
      </c>
      <c r="M590" s="18">
        <f>IFERROR(__xludf.DUMMYFUNCTION("""COMPUTED_VALUE"""),1.53)</f>
        <v>1.53</v>
      </c>
    </row>
    <row r="591">
      <c r="A591" s="13" t="str">
        <f>IFERROR(__xludf.DUMMYFUNCTION("""COMPUTED_VALUE"""),"товари")</f>
        <v>товари</v>
      </c>
      <c r="B591" s="16" t="str">
        <f>IFERROR(__xludf.DUMMYFUNCTION("""COMPUTED_VALUE"""),"безпека та захист")</f>
        <v>безпека та захист</v>
      </c>
      <c r="C591" s="16" t="str">
        <f>IFERROR(__xludf.DUMMYFUNCTION("""COMPUTED_VALUE"""),"спеціальні технічні засоби")</f>
        <v>спеціальні технічні засоби</v>
      </c>
      <c r="D591" s="16" t="str">
        <f>IFERROR(__xludf.DUMMYFUNCTION("""COMPUTED_VALUE"""),"технічний захист інформації")</f>
        <v>технічний захист інформації</v>
      </c>
      <c r="E591" s="16" t="str">
        <f>IFERROR(__xludf.DUMMYFUNCTION("""COMPUTED_VALUE"""),"технічний захист інформації")</f>
        <v>технічний захист інформації</v>
      </c>
      <c r="F591" s="17">
        <f>IFERROR(__xludf.DUMMYFUNCTION("""COMPUTED_VALUE"""),3.0)</f>
        <v>3</v>
      </c>
      <c r="G591" s="17" t="str">
        <f>IFERROR(__xludf.DUMMYFUNCTION("""COMPUTED_VALUE"""),"300404")</f>
        <v>300404</v>
      </c>
      <c r="H591" s="17" t="str">
        <f>IFERROR(__xludf.DUMMYFUNCTION("""COMPUTED_VALUE"""),"технічний захист інформації")</f>
        <v>технічний захист інформації</v>
      </c>
      <c r="I591" s="19">
        <f>IFERROR(__xludf.DUMMYFUNCTION("""COMPUTED_VALUE"""),0.0702)</f>
        <v>0.0702</v>
      </c>
      <c r="J591" s="19">
        <f>IFERROR(__xludf.DUMMYFUNCTION("""COMPUTED_VALUE"""),0.1403)</f>
        <v>0.1403</v>
      </c>
      <c r="K591" s="19">
        <f>IFERROR(__xludf.DUMMYFUNCTION("""COMPUTED_VALUE"""),0.1754)</f>
        <v>0.1754</v>
      </c>
      <c r="L591" s="19">
        <f>IFERROR(__xludf.DUMMYFUNCTION("""COMPUTED_VALUE"""),0.2105)</f>
        <v>0.2105</v>
      </c>
      <c r="M591" s="18">
        <f>IFERROR(__xludf.DUMMYFUNCTION("""COMPUTED_VALUE"""),3.06)</f>
        <v>3.06</v>
      </c>
    </row>
    <row r="592">
      <c r="A592" s="13" t="str">
        <f>IFERROR(__xludf.DUMMYFUNCTION("""COMPUTED_VALUE"""),"товари")</f>
        <v>товари</v>
      </c>
      <c r="B592" s="16" t="str">
        <f>IFERROR(__xludf.DUMMYFUNCTION("""COMPUTED_VALUE"""),"безпека та захист")</f>
        <v>безпека та захист</v>
      </c>
      <c r="C592" s="16" t="str">
        <f>IFERROR(__xludf.DUMMYFUNCTION("""COMPUTED_VALUE"""),"технічні засоби відеоспостереження")</f>
        <v>технічні засоби відеоспостереження</v>
      </c>
      <c r="D592" s="16" t="str">
        <f>IFERROR(__xludf.DUMMYFUNCTION("""COMPUTED_VALUE"""),"технічні засоби відеоспостереження, загальне")</f>
        <v>технічні засоби відеоспостереження, загальне</v>
      </c>
      <c r="E592" s="16" t="str">
        <f>IFERROR(__xludf.DUMMYFUNCTION("""COMPUTED_VALUE"""),"технічні засоби відеоспостереження, загальне")</f>
        <v>технічні засоби відеоспостереження, загальне</v>
      </c>
      <c r="F592" s="17">
        <f>IFERROR(__xludf.DUMMYFUNCTION("""COMPUTED_VALUE"""),3.0)</f>
        <v>3</v>
      </c>
      <c r="G592" s="17" t="str">
        <f>IFERROR(__xludf.DUMMYFUNCTION("""COMPUTED_VALUE"""),"301103")</f>
        <v>301103</v>
      </c>
      <c r="H592" s="17" t="str">
        <f>IFERROR(__xludf.DUMMYFUNCTION("""COMPUTED_VALUE"""),"технічні засоби відеоспостереження, загальне")</f>
        <v>технічні засоби відеоспостереження, загальне</v>
      </c>
      <c r="I592" s="19">
        <f>IFERROR(__xludf.DUMMYFUNCTION("""COMPUTED_VALUE"""),0.125)</f>
        <v>0.125</v>
      </c>
      <c r="J592" s="19">
        <f>IFERROR(__xludf.DUMMYFUNCTION("""COMPUTED_VALUE"""),0.25)</f>
        <v>0.25</v>
      </c>
      <c r="K592" s="19">
        <f>IFERROR(__xludf.DUMMYFUNCTION("""COMPUTED_VALUE"""),0.3125)</f>
        <v>0.3125</v>
      </c>
      <c r="L592" s="19">
        <f>IFERROR(__xludf.DUMMYFUNCTION("""COMPUTED_VALUE"""),0.375)</f>
        <v>0.375</v>
      </c>
      <c r="M592" s="18">
        <f>IFERROR(__xludf.DUMMYFUNCTION("""COMPUTED_VALUE"""),4.33)</f>
        <v>4.33</v>
      </c>
    </row>
    <row r="593">
      <c r="A593" s="13" t="str">
        <f>IFERROR(__xludf.DUMMYFUNCTION("""COMPUTED_VALUE"""),"товари")</f>
        <v>товари</v>
      </c>
      <c r="B593" s="16" t="str">
        <f>IFERROR(__xludf.DUMMYFUNCTION("""COMPUTED_VALUE"""),"безпека та захист")</f>
        <v>безпека та захист</v>
      </c>
      <c r="C593" s="16" t="str">
        <f>IFERROR(__xludf.DUMMYFUNCTION("""COMPUTED_VALUE"""),"засоби організації дорожнього руху")</f>
        <v>засоби організації дорожнього руху</v>
      </c>
      <c r="D593" s="16" t="str">
        <f>IFERROR(__xludf.DUMMYFUNCTION("""COMPUTED_VALUE"""),"тимчасові дорожні огорожі")</f>
        <v>тимчасові дорожні огорожі</v>
      </c>
      <c r="E593" s="16" t="str">
        <f>IFERROR(__xludf.DUMMYFUNCTION("""COMPUTED_VALUE"""),"тимчасові дорожні огорожі")</f>
        <v>тимчасові дорожні огорожі</v>
      </c>
      <c r="F593" s="17">
        <f>IFERROR(__xludf.DUMMYFUNCTION("""COMPUTED_VALUE"""),3.0)</f>
        <v>3</v>
      </c>
      <c r="G593" s="17" t="str">
        <f>IFERROR(__xludf.DUMMYFUNCTION("""COMPUTED_VALUE"""),"301501")</f>
        <v>301501</v>
      </c>
      <c r="H593" s="17" t="str">
        <f>IFERROR(__xludf.DUMMYFUNCTION("""COMPUTED_VALUE"""),"тимчасові дорожні огорожі")</f>
        <v>тимчасові дорожні огорожі</v>
      </c>
      <c r="I593" s="19">
        <f>IFERROR(__xludf.DUMMYFUNCTION("""COMPUTED_VALUE"""),0.0777)</f>
        <v>0.0777</v>
      </c>
      <c r="J593" s="19">
        <f>IFERROR(__xludf.DUMMYFUNCTION("""COMPUTED_VALUE"""),0.1553)</f>
        <v>0.1553</v>
      </c>
      <c r="K593" s="19">
        <f>IFERROR(__xludf.DUMMYFUNCTION("""COMPUTED_VALUE"""),0.1941)</f>
        <v>0.1941</v>
      </c>
      <c r="L593" s="19">
        <f>IFERROR(__xludf.DUMMYFUNCTION("""COMPUTED_VALUE"""),0.233)</f>
        <v>0.233</v>
      </c>
      <c r="M593" s="18">
        <f>IFERROR(__xludf.DUMMYFUNCTION("""COMPUTED_VALUE"""),3.06)</f>
        <v>3.06</v>
      </c>
    </row>
    <row r="594">
      <c r="A594" s="13" t="str">
        <f>IFERROR(__xludf.DUMMYFUNCTION("""COMPUTED_VALUE"""),"товари")</f>
        <v>товари</v>
      </c>
      <c r="B594" s="16" t="str">
        <f>IFERROR(__xludf.DUMMYFUNCTION("""COMPUTED_VALUE"""),"безпека та захист")</f>
        <v>безпека та захист</v>
      </c>
      <c r="C594" s="16" t="str">
        <f>IFERROR(__xludf.DUMMYFUNCTION("""COMPUTED_VALUE"""),"пістолети, гвинтівки і револьвери")</f>
        <v>пістолети, гвинтівки і револьвери</v>
      </c>
      <c r="D594" s="16" t="str">
        <f>IFERROR(__xludf.DUMMYFUNCTION("""COMPUTED_VALUE"""),"тренувальні пістолети і ножі")</f>
        <v>тренувальні пістолети і ножі</v>
      </c>
      <c r="E594" s="16" t="str">
        <f>IFERROR(__xludf.DUMMYFUNCTION("""COMPUTED_VALUE"""),"тренувальні пістолети і ножі")</f>
        <v>тренувальні пістолети і ножі</v>
      </c>
      <c r="F594" s="17">
        <f>IFERROR(__xludf.DUMMYFUNCTION("""COMPUTED_VALUE"""),3.0)</f>
        <v>3</v>
      </c>
      <c r="G594" s="17" t="str">
        <f>IFERROR(__xludf.DUMMYFUNCTION("""COMPUTED_VALUE"""),"302122")</f>
        <v>302122</v>
      </c>
      <c r="H594" s="17" t="str">
        <f>IFERROR(__xludf.DUMMYFUNCTION("""COMPUTED_VALUE"""),"тренувальні пістолети і ножі")</f>
        <v>тренувальні пістолети і ножі</v>
      </c>
      <c r="I594" s="19">
        <f>IFERROR(__xludf.DUMMYFUNCTION("""COMPUTED_VALUE"""),0.054)</f>
        <v>0.054</v>
      </c>
      <c r="J594" s="19">
        <f>IFERROR(__xludf.DUMMYFUNCTION("""COMPUTED_VALUE"""),0.1079)</f>
        <v>0.1079</v>
      </c>
      <c r="K594" s="19">
        <f>IFERROR(__xludf.DUMMYFUNCTION("""COMPUTED_VALUE"""),0.1349)</f>
        <v>0.1349</v>
      </c>
      <c r="L594" s="19">
        <f>IFERROR(__xludf.DUMMYFUNCTION("""COMPUTED_VALUE"""),0.1619)</f>
        <v>0.1619</v>
      </c>
      <c r="M594" s="18">
        <f>IFERROR(__xludf.DUMMYFUNCTION("""COMPUTED_VALUE"""),1.05)</f>
        <v>1.05</v>
      </c>
    </row>
    <row r="595">
      <c r="A595" s="13" t="str">
        <f>IFERROR(__xludf.DUMMYFUNCTION("""COMPUTED_VALUE"""),"товари")</f>
        <v>товари</v>
      </c>
      <c r="B595" s="16" t="str">
        <f>IFERROR(__xludf.DUMMYFUNCTION("""COMPUTED_VALUE"""),"безпека та захист")</f>
        <v>безпека та захист</v>
      </c>
      <c r="C595" s="16" t="str">
        <f>IFERROR(__xludf.DUMMYFUNCTION("""COMPUTED_VALUE"""),"системи і засоби пожежної безпеки")</f>
        <v>системи і засоби пожежної безпеки</v>
      </c>
      <c r="D595" s="16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95" s="16" t="str">
        <f>IFERROR(__xludf.DUMMYFUNCTION("""COMPUTED_VALUE"""),"шафи пожежні")</f>
        <v>шафи пожежні</v>
      </c>
      <c r="F595" s="17">
        <f>IFERROR(__xludf.DUMMYFUNCTION("""COMPUTED_VALUE"""),4.0)</f>
        <v>4</v>
      </c>
      <c r="G595" s="17" t="str">
        <f>IFERROR(__xludf.DUMMYFUNCTION("""COMPUTED_VALUE"""),"300915")</f>
        <v>300915</v>
      </c>
      <c r="H595" s="17" t="str">
        <f>IFERROR(__xludf.DUMMYFUNCTION("""COMPUTED_VALUE"""),"шафи пожежні")</f>
        <v>шафи пожежні</v>
      </c>
      <c r="I595" s="19">
        <f>IFERROR(__xludf.DUMMYFUNCTION("""COMPUTED_VALUE"""),0.052)</f>
        <v>0.052</v>
      </c>
      <c r="J595" s="19">
        <f>IFERROR(__xludf.DUMMYFUNCTION("""COMPUTED_VALUE"""),0.104)</f>
        <v>0.104</v>
      </c>
      <c r="K595" s="19">
        <f>IFERROR(__xludf.DUMMYFUNCTION("""COMPUTED_VALUE"""),0.13)</f>
        <v>0.13</v>
      </c>
      <c r="L595" s="19">
        <f>IFERROR(__xludf.DUMMYFUNCTION("""COMPUTED_VALUE"""),0.156)</f>
        <v>0.156</v>
      </c>
      <c r="M595" s="18">
        <f>IFERROR(__xludf.DUMMYFUNCTION("""COMPUTED_VALUE"""),3.33)</f>
        <v>3.33</v>
      </c>
    </row>
    <row r="596">
      <c r="A596" s="13" t="str">
        <f>IFERROR(__xludf.DUMMYFUNCTION("""COMPUTED_VALUE"""),"товари")</f>
        <v>товари</v>
      </c>
      <c r="B596" s="16" t="str">
        <f>IFERROR(__xludf.DUMMYFUNCTION("""COMPUTED_VALUE"""),"будівництво")</f>
        <v>будівництво</v>
      </c>
      <c r="C596" s="16" t="str">
        <f>IFERROR(__xludf.DUMMYFUNCTION("""COMPUTED_VALUE"""),"будівельні матеріали")</f>
        <v>будівельні матеріали</v>
      </c>
      <c r="D596" s="16" t="str">
        <f>IFERROR(__xludf.DUMMYFUNCTION("""COMPUTED_VALUE"""),"ворота, огорожі, шлагбауми та комплектуючі")</f>
        <v>ворота, огорожі, шлагбауми та комплектуючі</v>
      </c>
      <c r="E596" s="16" t="str">
        <f>IFERROR(__xludf.DUMMYFUNCTION("""COMPUTED_VALUE"""),"автоматика для воріт")</f>
        <v>автоматика для воріт</v>
      </c>
      <c r="F596" s="17">
        <f>IFERROR(__xludf.DUMMYFUNCTION("""COMPUTED_VALUE"""),4.0)</f>
        <v>4</v>
      </c>
      <c r="G596" s="17">
        <f>IFERROR(__xludf.DUMMYFUNCTION("""COMPUTED_VALUE"""),1.3560902E7)</f>
        <v>13560902</v>
      </c>
      <c r="H596" s="17" t="str">
        <f>IFERROR(__xludf.DUMMYFUNCTION("""COMPUTED_VALUE"""),"автоматика для воріт")</f>
        <v>автоматика для воріт</v>
      </c>
      <c r="I596" s="19">
        <f>IFERROR(__xludf.DUMMYFUNCTION("""COMPUTED_VALUE"""),0.0697)</f>
        <v>0.0697</v>
      </c>
      <c r="J596" s="19">
        <f>IFERROR(__xludf.DUMMYFUNCTION("""COMPUTED_VALUE"""),0.1394)</f>
        <v>0.1394</v>
      </c>
      <c r="K596" s="19">
        <f>IFERROR(__xludf.DUMMYFUNCTION("""COMPUTED_VALUE"""),0.1743)</f>
        <v>0.1743</v>
      </c>
      <c r="L596" s="19">
        <f>IFERROR(__xludf.DUMMYFUNCTION("""COMPUTED_VALUE"""),0.2091)</f>
        <v>0.2091</v>
      </c>
      <c r="M596" s="18">
        <f>IFERROR(__xludf.DUMMYFUNCTION("""COMPUTED_VALUE"""),5.4)</f>
        <v>5.4</v>
      </c>
    </row>
    <row r="597">
      <c r="A597" s="13" t="str">
        <f>IFERROR(__xludf.DUMMYFUNCTION("""COMPUTED_VALUE"""),"товари")</f>
        <v>товари</v>
      </c>
      <c r="B597" s="16" t="str">
        <f>IFERROR(__xludf.DUMMYFUNCTION("""COMPUTED_VALUE"""),"будівництво")</f>
        <v>будівництво</v>
      </c>
      <c r="C597" s="16" t="str">
        <f>IFERROR(__xludf.DUMMYFUNCTION("""COMPUTED_VALUE"""),"водо-, газо-, теплозабезпечення")</f>
        <v>водо-, газо-, теплозабезпечення</v>
      </c>
      <c r="D597" s="16" t="str">
        <f>IFERROR(__xludf.DUMMYFUNCTION("""COMPUTED_VALUE"""),"автоматичні регулятори")</f>
        <v>автоматичні регулятори</v>
      </c>
      <c r="E597" s="16" t="str">
        <f>IFERROR(__xludf.DUMMYFUNCTION("""COMPUTED_VALUE"""),"автоматичні регулятори тиску")</f>
        <v>автоматичні регулятори тиску</v>
      </c>
      <c r="F597" s="17">
        <f>IFERROR(__xludf.DUMMYFUNCTION("""COMPUTED_VALUE"""),4.0)</f>
        <v>4</v>
      </c>
      <c r="G597" s="17" t="str">
        <f>IFERROR(__xludf.DUMMYFUNCTION("""COMPUTED_VALUE"""),"13240902")</f>
        <v>13240902</v>
      </c>
      <c r="H597" s="17" t="str">
        <f>IFERROR(__xludf.DUMMYFUNCTION("""COMPUTED_VALUE"""),"автоматичні регулятори тиску")</f>
        <v>автоматичні регулятори тиску</v>
      </c>
      <c r="I597" s="19">
        <f>IFERROR(__xludf.DUMMYFUNCTION("""COMPUTED_VALUE"""),0.0765)</f>
        <v>0.0765</v>
      </c>
      <c r="J597" s="19">
        <f>IFERROR(__xludf.DUMMYFUNCTION("""COMPUTED_VALUE"""),0.1529)</f>
        <v>0.1529</v>
      </c>
      <c r="K597" s="19">
        <f>IFERROR(__xludf.DUMMYFUNCTION("""COMPUTED_VALUE"""),0.1911)</f>
        <v>0.1911</v>
      </c>
      <c r="L597" s="19">
        <f>IFERROR(__xludf.DUMMYFUNCTION("""COMPUTED_VALUE"""),0.2294)</f>
        <v>0.2294</v>
      </c>
      <c r="M597" s="18">
        <f>IFERROR(__xludf.DUMMYFUNCTION("""COMPUTED_VALUE"""),1.71)</f>
        <v>1.71</v>
      </c>
    </row>
    <row r="598">
      <c r="A598" s="13" t="str">
        <f>IFERROR(__xludf.DUMMYFUNCTION("""COMPUTED_VALUE"""),"товари")</f>
        <v>товари</v>
      </c>
      <c r="B598" s="16" t="str">
        <f>IFERROR(__xludf.DUMMYFUNCTION("""COMPUTED_VALUE"""),"будівництво")</f>
        <v>будівництво</v>
      </c>
      <c r="C598" s="16" t="str">
        <f>IFERROR(__xludf.DUMMYFUNCTION("""COMPUTED_VALUE"""),"будівельні матеріали")</f>
        <v>будівельні матеріали</v>
      </c>
      <c r="D598" s="16" t="str">
        <f>IFERROR(__xludf.DUMMYFUNCTION("""COMPUTED_VALUE"""),"теплоізоляційні матеріали")</f>
        <v>теплоізоляційні матеріали</v>
      </c>
      <c r="E598" s="16" t="str">
        <f>IFERROR(__xludf.DUMMYFUNCTION("""COMPUTED_VALUE"""),"азбестова теплоізоляція")</f>
        <v>азбестова теплоізоляція</v>
      </c>
      <c r="F598" s="17">
        <f>IFERROR(__xludf.DUMMYFUNCTION("""COMPUTED_VALUE"""),4.0)</f>
        <v>4</v>
      </c>
      <c r="G598" s="17" t="str">
        <f>IFERROR(__xludf.DUMMYFUNCTION("""COMPUTED_VALUE"""),"133415")</f>
        <v>133415</v>
      </c>
      <c r="H598" s="17" t="str">
        <f>IFERROR(__xludf.DUMMYFUNCTION("""COMPUTED_VALUE"""),"азбестова теплоізоляція")</f>
        <v>азбестова теплоізоляція</v>
      </c>
      <c r="I598" s="19">
        <f>IFERROR(__xludf.DUMMYFUNCTION("""COMPUTED_VALUE"""),0.0442)</f>
        <v>0.0442</v>
      </c>
      <c r="J598" s="19">
        <f>IFERROR(__xludf.DUMMYFUNCTION("""COMPUTED_VALUE"""),0.0884)</f>
        <v>0.0884</v>
      </c>
      <c r="K598" s="19">
        <f>IFERROR(__xludf.DUMMYFUNCTION("""COMPUTED_VALUE"""),0.1105)</f>
        <v>0.1105</v>
      </c>
      <c r="L598" s="19">
        <f>IFERROR(__xludf.DUMMYFUNCTION("""COMPUTED_VALUE"""),0.1326)</f>
        <v>0.1326</v>
      </c>
      <c r="M598" s="18">
        <f>IFERROR(__xludf.DUMMYFUNCTION("""COMPUTED_VALUE"""),3.88)</f>
        <v>3.88</v>
      </c>
    </row>
    <row r="599">
      <c r="A599" s="13" t="str">
        <f>IFERROR(__xludf.DUMMYFUNCTION("""COMPUTED_VALUE"""),"товари")</f>
        <v>товари</v>
      </c>
      <c r="B599" s="16" t="str">
        <f>IFERROR(__xludf.DUMMYFUNCTION("""COMPUTED_VALUE"""),"будівництво")</f>
        <v>будівництво</v>
      </c>
      <c r="C599" s="16" t="str">
        <f>IFERROR(__xludf.DUMMYFUNCTION("""COMPUTED_VALUE"""),"будівельні матеріали")</f>
        <v>будівельні матеріали</v>
      </c>
      <c r="D599" s="16" t="str">
        <f>IFERROR(__xludf.DUMMYFUNCTION("""COMPUTED_VALUE"""),"ворота, огорожі, шлагбауми та комплектуючі")</f>
        <v>ворота, огорожі, шлагбауми та комплектуючі</v>
      </c>
      <c r="E599" s="16" t="str">
        <f>IFERROR(__xludf.DUMMYFUNCTION("""COMPUTED_VALUE"""),"аксесуари для воріт і шлагбаумів")</f>
        <v>аксесуари для воріт і шлагбаумів</v>
      </c>
      <c r="F599" s="17">
        <f>IFERROR(__xludf.DUMMYFUNCTION("""COMPUTED_VALUE"""),4.0)</f>
        <v>4</v>
      </c>
      <c r="G599" s="17" t="str">
        <f>IFERROR(__xludf.DUMMYFUNCTION("""COMPUTED_VALUE"""),"13560901")</f>
        <v>13560901</v>
      </c>
      <c r="H599" s="17" t="str">
        <f>IFERROR(__xludf.DUMMYFUNCTION("""COMPUTED_VALUE"""),"аксесуари для воріт і шлагбаумів")</f>
        <v>аксесуари для воріт і шлагбаумів</v>
      </c>
      <c r="I599" s="19">
        <f>IFERROR(__xludf.DUMMYFUNCTION("""COMPUTED_VALUE"""),0.0333)</f>
        <v>0.0333</v>
      </c>
      <c r="J599" s="19">
        <f>IFERROR(__xludf.DUMMYFUNCTION("""COMPUTED_VALUE"""),0.0665)</f>
        <v>0.0665</v>
      </c>
      <c r="K599" s="19">
        <f>IFERROR(__xludf.DUMMYFUNCTION("""COMPUTED_VALUE"""),0.0831)</f>
        <v>0.0831</v>
      </c>
      <c r="L599" s="19">
        <f>IFERROR(__xludf.DUMMYFUNCTION("""COMPUTED_VALUE"""),0.0998)</f>
        <v>0.0998</v>
      </c>
      <c r="M599" s="18">
        <f>IFERROR(__xludf.DUMMYFUNCTION("""COMPUTED_VALUE"""),5.4)</f>
        <v>5.4</v>
      </c>
    </row>
    <row r="600">
      <c r="A600" s="13" t="str">
        <f>IFERROR(__xludf.DUMMYFUNCTION("""COMPUTED_VALUE"""),"товари")</f>
        <v>товари</v>
      </c>
      <c r="B600" s="16" t="str">
        <f>IFERROR(__xludf.DUMMYFUNCTION("""COMPUTED_VALUE"""),"будівництво")</f>
        <v>будівництво</v>
      </c>
      <c r="C600" s="16" t="str">
        <f>IFERROR(__xludf.DUMMYFUNCTION("""COMPUTED_VALUE"""),"будівельні матеріали")</f>
        <v>будівельні матеріали</v>
      </c>
      <c r="D600" s="16" t="str">
        <f>IFERROR(__xludf.DUMMYFUNCTION("""COMPUTED_VALUE"""),"теплоізоляційні матеріали")</f>
        <v>теплоізоляційні матеріали</v>
      </c>
      <c r="E600" s="16" t="str">
        <f>IFERROR(__xludf.DUMMYFUNCTION("""COMPUTED_VALUE"""),"алюмінієвий скотч")</f>
        <v>алюмінієвий скотч</v>
      </c>
      <c r="F600" s="17">
        <f>IFERROR(__xludf.DUMMYFUNCTION("""COMPUTED_VALUE"""),4.0)</f>
        <v>4</v>
      </c>
      <c r="G600" s="17" t="str">
        <f>IFERROR(__xludf.DUMMYFUNCTION("""COMPUTED_VALUE"""),"133416")</f>
        <v>133416</v>
      </c>
      <c r="H600" s="17" t="str">
        <f>IFERROR(__xludf.DUMMYFUNCTION("""COMPUTED_VALUE"""),"алюмінієвий скотч")</f>
        <v>алюмінієвий скотч</v>
      </c>
      <c r="I600" s="19">
        <f>IFERROR(__xludf.DUMMYFUNCTION("""COMPUTED_VALUE"""),0.0516)</f>
        <v>0.0516</v>
      </c>
      <c r="J600" s="19">
        <f>IFERROR(__xludf.DUMMYFUNCTION("""COMPUTED_VALUE"""),0.1032)</f>
        <v>0.1032</v>
      </c>
      <c r="K600" s="19">
        <f>IFERROR(__xludf.DUMMYFUNCTION("""COMPUTED_VALUE"""),0.129)</f>
        <v>0.129</v>
      </c>
      <c r="L600" s="19">
        <f>IFERROR(__xludf.DUMMYFUNCTION("""COMPUTED_VALUE"""),0.1548)</f>
        <v>0.1548</v>
      </c>
      <c r="M600" s="18">
        <f>IFERROR(__xludf.DUMMYFUNCTION("""COMPUTED_VALUE"""),3.88)</f>
        <v>3.88</v>
      </c>
    </row>
    <row r="601">
      <c r="A601" s="13" t="str">
        <f>IFERROR(__xludf.DUMMYFUNCTION("""COMPUTED_VALUE"""),"товари")</f>
        <v>товари</v>
      </c>
      <c r="B601" s="16" t="str">
        <f>IFERROR(__xludf.DUMMYFUNCTION("""COMPUTED_VALUE"""),"будівництво")</f>
        <v>будівництво</v>
      </c>
      <c r="C601" s="16" t="str">
        <f>IFERROR(__xludf.DUMMYFUNCTION("""COMPUTED_VALUE"""),"басейни")</f>
        <v>басейни</v>
      </c>
      <c r="D601" s="16" t="str">
        <f>IFERROR(__xludf.DUMMYFUNCTION("""COMPUTED_VALUE"""),"басейни, загальне")</f>
        <v>басейни, загальне</v>
      </c>
      <c r="E601" s="16" t="str">
        <f>IFERROR(__xludf.DUMMYFUNCTION("""COMPUTED_VALUE"""),"басейни, загальне")</f>
        <v>басейни, загальне</v>
      </c>
      <c r="F601" s="17">
        <f>IFERROR(__xludf.DUMMYFUNCTION("""COMPUTED_VALUE"""),3.0)</f>
        <v>3</v>
      </c>
      <c r="G601" s="17" t="str">
        <f>IFERROR(__xludf.DUMMYFUNCTION("""COMPUTED_VALUE"""),"180802")</f>
        <v>180802</v>
      </c>
      <c r="H601" s="17" t="str">
        <f>IFERROR(__xludf.DUMMYFUNCTION("""COMPUTED_VALUE"""),"басейни, загальне")</f>
        <v>басейни, загальне</v>
      </c>
      <c r="I601" s="19">
        <f>IFERROR(__xludf.DUMMYFUNCTION("""COMPUTED_VALUE"""),0.125)</f>
        <v>0.125</v>
      </c>
      <c r="J601" s="19">
        <f>IFERROR(__xludf.DUMMYFUNCTION("""COMPUTED_VALUE"""),0.25)</f>
        <v>0.25</v>
      </c>
      <c r="K601" s="19">
        <f>IFERROR(__xludf.DUMMYFUNCTION("""COMPUTED_VALUE"""),0.3125)</f>
        <v>0.3125</v>
      </c>
      <c r="L601" s="19">
        <f>IFERROR(__xludf.DUMMYFUNCTION("""COMPUTED_VALUE"""),0.375)</f>
        <v>0.375</v>
      </c>
      <c r="M601" s="18">
        <f>IFERROR(__xludf.DUMMYFUNCTION("""COMPUTED_VALUE"""),4.33)</f>
        <v>4.33</v>
      </c>
    </row>
    <row r="602">
      <c r="A602" s="13" t="str">
        <f>IFERROR(__xludf.DUMMYFUNCTION("""COMPUTED_VALUE"""),"товари")</f>
        <v>товари</v>
      </c>
      <c r="B602" s="16" t="str">
        <f>IFERROR(__xludf.DUMMYFUNCTION("""COMPUTED_VALUE"""),"будівництво")</f>
        <v>будівництво</v>
      </c>
      <c r="C602" s="16" t="str">
        <f>IFERROR(__xludf.DUMMYFUNCTION("""COMPUTED_VALUE"""),"будівельна техніка та обладнання")</f>
        <v>будівельна техніка та обладнання</v>
      </c>
      <c r="D602" s="16" t="str">
        <f>IFERROR(__xludf.DUMMYFUNCTION("""COMPUTED_VALUE"""),"машини та обладнання для бетонних робіт")</f>
        <v>машини та обладнання для бетонних робіт</v>
      </c>
      <c r="E602" s="16" t="str">
        <f>IFERROR(__xludf.DUMMYFUNCTION("""COMPUTED_VALUE"""),"бетономішалки")</f>
        <v>бетономішалки</v>
      </c>
      <c r="F602" s="17">
        <f>IFERROR(__xludf.DUMMYFUNCTION("""COMPUTED_VALUE"""),4.0)</f>
        <v>4</v>
      </c>
      <c r="G602" s="17" t="str">
        <f>IFERROR(__xludf.DUMMYFUNCTION("""COMPUTED_VALUE"""),"132604")</f>
        <v>132604</v>
      </c>
      <c r="H602" s="17" t="str">
        <f>IFERROR(__xludf.DUMMYFUNCTION("""COMPUTED_VALUE"""),"бетономішалки")</f>
        <v>бетономішалки</v>
      </c>
      <c r="I602" s="19">
        <f>IFERROR(__xludf.DUMMYFUNCTION("""COMPUTED_VALUE"""),0.043)</f>
        <v>0.043</v>
      </c>
      <c r="J602" s="19">
        <f>IFERROR(__xludf.DUMMYFUNCTION("""COMPUTED_VALUE"""),0.086)</f>
        <v>0.086</v>
      </c>
      <c r="K602" s="19">
        <f>IFERROR(__xludf.DUMMYFUNCTION("""COMPUTED_VALUE"""),0.1075)</f>
        <v>0.1075</v>
      </c>
      <c r="L602" s="19">
        <f>IFERROR(__xludf.DUMMYFUNCTION("""COMPUTED_VALUE"""),0.129)</f>
        <v>0.129</v>
      </c>
      <c r="M602" s="18">
        <f>IFERROR(__xludf.DUMMYFUNCTION("""COMPUTED_VALUE"""),4.35)</f>
        <v>4.35</v>
      </c>
    </row>
    <row r="603">
      <c r="A603" s="13" t="str">
        <f>IFERROR(__xludf.DUMMYFUNCTION("""COMPUTED_VALUE"""),"товари")</f>
        <v>товари</v>
      </c>
      <c r="B603" s="16" t="str">
        <f>IFERROR(__xludf.DUMMYFUNCTION("""COMPUTED_VALUE"""),"будівництво")</f>
        <v>будівництво</v>
      </c>
      <c r="C603" s="16" t="str">
        <f>IFERROR(__xludf.DUMMYFUNCTION("""COMPUTED_VALUE"""),"будівельні матеріали")</f>
        <v>будівельні матеріали</v>
      </c>
      <c r="D603" s="16" t="str">
        <f>IFERROR(__xludf.DUMMYFUNCTION("""COMPUTED_VALUE"""),"пиломатеріали")</f>
        <v>пиломатеріали</v>
      </c>
      <c r="E603" s="16" t="str">
        <f>IFERROR(__xludf.DUMMYFUNCTION("""COMPUTED_VALUE"""),"блок-хаус")</f>
        <v>блок-хаус</v>
      </c>
      <c r="F603" s="17">
        <f>IFERROR(__xludf.DUMMYFUNCTION("""COMPUTED_VALUE"""),4.0)</f>
        <v>4</v>
      </c>
      <c r="G603" s="17" t="str">
        <f>IFERROR(__xludf.DUMMYFUNCTION("""COMPUTED_VALUE"""),"131120")</f>
        <v>131120</v>
      </c>
      <c r="H603" s="17" t="str">
        <f>IFERROR(__xludf.DUMMYFUNCTION("""COMPUTED_VALUE"""),"блок-хаус")</f>
        <v>блок-хаус</v>
      </c>
      <c r="I603" s="19">
        <f>IFERROR(__xludf.DUMMYFUNCTION("""COMPUTED_VALUE"""),0.0259)</f>
        <v>0.0259</v>
      </c>
      <c r="J603" s="19">
        <f>IFERROR(__xludf.DUMMYFUNCTION("""COMPUTED_VALUE"""),0.0517)</f>
        <v>0.0517</v>
      </c>
      <c r="K603" s="19">
        <f>IFERROR(__xludf.DUMMYFUNCTION("""COMPUTED_VALUE"""),0.0646)</f>
        <v>0.0646</v>
      </c>
      <c r="L603" s="19">
        <f>IFERROR(__xludf.DUMMYFUNCTION("""COMPUTED_VALUE"""),0.0776)</f>
        <v>0.0776</v>
      </c>
      <c r="M603" s="18">
        <f>IFERROR(__xludf.DUMMYFUNCTION("""COMPUTED_VALUE"""),2.88)</f>
        <v>2.88</v>
      </c>
    </row>
    <row r="604">
      <c r="A604" s="13" t="str">
        <f>IFERROR(__xludf.DUMMYFUNCTION("""COMPUTED_VALUE"""),"товари")</f>
        <v>товари</v>
      </c>
      <c r="B604" s="16" t="str">
        <f>IFERROR(__xludf.DUMMYFUNCTION("""COMPUTED_VALUE"""),"будівництво")</f>
        <v>будівництво</v>
      </c>
      <c r="C604" s="16" t="str">
        <f>IFERROR(__xludf.DUMMYFUNCTION("""COMPUTED_VALUE"""),"будівельні матеріали")</f>
        <v>будівельні матеріали</v>
      </c>
      <c r="D604" s="16" t="str">
        <f>IFERROR(__xludf.DUMMYFUNCTION("""COMPUTED_VALUE"""),"в'яжучі матеріали, сухі будівельні суміші")</f>
        <v>в'яжучі матеріали, сухі будівельні суміші</v>
      </c>
      <c r="E604" s="16" t="str">
        <f>IFERROR(__xludf.DUMMYFUNCTION("""COMPUTED_VALUE"""),"будівельна, кормова крейда")</f>
        <v>будівельна, кормова крейда</v>
      </c>
      <c r="F604" s="17">
        <f>IFERROR(__xludf.DUMMYFUNCTION("""COMPUTED_VALUE"""),4.0)</f>
        <v>4</v>
      </c>
      <c r="G604" s="17" t="str">
        <f>IFERROR(__xludf.DUMMYFUNCTION("""COMPUTED_VALUE"""),"13070606")</f>
        <v>13070606</v>
      </c>
      <c r="H604" s="17" t="str">
        <f>IFERROR(__xludf.DUMMYFUNCTION("""COMPUTED_VALUE"""),"будівельна, кормова крейда")</f>
        <v>будівельна, кормова крейда</v>
      </c>
      <c r="I604" s="19">
        <f>IFERROR(__xludf.DUMMYFUNCTION("""COMPUTED_VALUE"""),0.055)</f>
        <v>0.055</v>
      </c>
      <c r="J604" s="19">
        <f>IFERROR(__xludf.DUMMYFUNCTION("""COMPUTED_VALUE"""),0.11)</f>
        <v>0.11</v>
      </c>
      <c r="K604" s="19">
        <f>IFERROR(__xludf.DUMMYFUNCTION("""COMPUTED_VALUE"""),0.1375)</f>
        <v>0.1375</v>
      </c>
      <c r="L604" s="19">
        <f>IFERROR(__xludf.DUMMYFUNCTION("""COMPUTED_VALUE"""),0.165)</f>
        <v>0.165</v>
      </c>
      <c r="M604" s="18">
        <f>IFERROR(__xludf.DUMMYFUNCTION("""COMPUTED_VALUE"""),1.71)</f>
        <v>1.71</v>
      </c>
    </row>
    <row r="605">
      <c r="A605" s="13" t="str">
        <f>IFERROR(__xludf.DUMMYFUNCTION("""COMPUTED_VALUE"""),"товари")</f>
        <v>товари</v>
      </c>
      <c r="B605" s="16" t="str">
        <f>IFERROR(__xludf.DUMMYFUNCTION("""COMPUTED_VALUE"""),"будівництво")</f>
        <v>будівництво</v>
      </c>
      <c r="C605" s="16" t="str">
        <f>IFERROR(__xludf.DUMMYFUNCTION("""COMPUTED_VALUE"""),"будівельні матеріали")</f>
        <v>будівельні матеріали</v>
      </c>
      <c r="D605" s="16" t="str">
        <f>IFERROR(__xludf.DUMMYFUNCTION("""COMPUTED_VALUE"""),"будівельний металопрокат")</f>
        <v>будівельний металопрокат</v>
      </c>
      <c r="E605" s="16" t="str">
        <f>IFERROR(__xludf.DUMMYFUNCTION("""COMPUTED_VALUE"""),"будівельний металопрокат, загальне")</f>
        <v>будівельний металопрокат, загальне</v>
      </c>
      <c r="F605" s="17">
        <f>IFERROR(__xludf.DUMMYFUNCTION("""COMPUTED_VALUE"""),4.0)</f>
        <v>4</v>
      </c>
      <c r="G605" s="17" t="str">
        <f>IFERROR(__xludf.DUMMYFUNCTION("""COMPUTED_VALUE"""),"13120601")</f>
        <v>13120601</v>
      </c>
      <c r="H605" s="17" t="str">
        <f>IFERROR(__xludf.DUMMYFUNCTION("""COMPUTED_VALUE"""),"будівельний металопрокат, загальне")</f>
        <v>будівельний металопрокат, загальне</v>
      </c>
      <c r="I605" s="19">
        <f>IFERROR(__xludf.DUMMYFUNCTION("""COMPUTED_VALUE"""),0.125)</f>
        <v>0.125</v>
      </c>
      <c r="J605" s="19">
        <f>IFERROR(__xludf.DUMMYFUNCTION("""COMPUTED_VALUE"""),0.25)</f>
        <v>0.25</v>
      </c>
      <c r="K605" s="19">
        <f>IFERROR(__xludf.DUMMYFUNCTION("""COMPUTED_VALUE"""),0.3125)</f>
        <v>0.3125</v>
      </c>
      <c r="L605" s="19">
        <f>IFERROR(__xludf.DUMMYFUNCTION("""COMPUTED_VALUE"""),0.375)</f>
        <v>0.375</v>
      </c>
      <c r="M605" s="18">
        <f>IFERROR(__xludf.DUMMYFUNCTION("""COMPUTED_VALUE"""),4.33)</f>
        <v>4.33</v>
      </c>
    </row>
    <row r="606">
      <c r="A606" s="13" t="str">
        <f>IFERROR(__xludf.DUMMYFUNCTION("""COMPUTED_VALUE"""),"товари")</f>
        <v>товари</v>
      </c>
      <c r="B606" s="16" t="str">
        <f>IFERROR(__xludf.DUMMYFUNCTION("""COMPUTED_VALUE"""),"будівництво")</f>
        <v>будівництво</v>
      </c>
      <c r="C606" s="16" t="str">
        <f>IFERROR(__xludf.DUMMYFUNCTION("""COMPUTED_VALUE"""),"будівельні матеріали")</f>
        <v>будівельні матеріали</v>
      </c>
      <c r="D606" s="16" t="str">
        <f>IFERROR(__xludf.DUMMYFUNCTION("""COMPUTED_VALUE"""),"будівельні матеріали, загальне")</f>
        <v>будівельні матеріали, загальне</v>
      </c>
      <c r="E606" s="16" t="str">
        <f>IFERROR(__xludf.DUMMYFUNCTION("""COMPUTED_VALUE"""),"будівельні матеріали, загальне")</f>
        <v>будівельні матеріали, загальне</v>
      </c>
      <c r="F606" s="17">
        <f>IFERROR(__xludf.DUMMYFUNCTION("""COMPUTED_VALUE"""),3.0)</f>
        <v>3</v>
      </c>
      <c r="G606" s="17" t="str">
        <f>IFERROR(__xludf.DUMMYFUNCTION("""COMPUTED_VALUE"""),"130740")</f>
        <v>130740</v>
      </c>
      <c r="H606" s="17" t="str">
        <f>IFERROR(__xludf.DUMMYFUNCTION("""COMPUTED_VALUE"""),"будівельні матеріали, загальне")</f>
        <v>будівельні матеріали, загальне</v>
      </c>
      <c r="I606" s="19">
        <f>IFERROR(__xludf.DUMMYFUNCTION("""COMPUTED_VALUE"""),0.125)</f>
        <v>0.125</v>
      </c>
      <c r="J606" s="19">
        <f>IFERROR(__xludf.DUMMYFUNCTION("""COMPUTED_VALUE"""),0.25)</f>
        <v>0.25</v>
      </c>
      <c r="K606" s="19">
        <f>IFERROR(__xludf.DUMMYFUNCTION("""COMPUTED_VALUE"""),0.3125)</f>
        <v>0.3125</v>
      </c>
      <c r="L606" s="19">
        <f>IFERROR(__xludf.DUMMYFUNCTION("""COMPUTED_VALUE"""),0.375)</f>
        <v>0.375</v>
      </c>
      <c r="M606" s="18">
        <f>IFERROR(__xludf.DUMMYFUNCTION("""COMPUTED_VALUE"""),4.33)</f>
        <v>4.33</v>
      </c>
    </row>
    <row r="607">
      <c r="A607" s="13" t="str">
        <f>IFERROR(__xludf.DUMMYFUNCTION("""COMPUTED_VALUE"""),"товари")</f>
        <v>товари</v>
      </c>
      <c r="B607" s="16" t="str">
        <f>IFERROR(__xludf.DUMMYFUNCTION("""COMPUTED_VALUE"""),"будівництво")</f>
        <v>будівництво</v>
      </c>
      <c r="C607" s="16" t="str">
        <f>IFERROR(__xludf.DUMMYFUNCTION("""COMPUTED_VALUE"""),"будівельні матеріали")</f>
        <v>будівельні матеріали</v>
      </c>
      <c r="D607" s="16" t="str">
        <f>IFERROR(__xludf.DUMMYFUNCTION("""COMPUTED_VALUE"""),"в'яжучі матеріали, сухі будівельні суміші")</f>
        <v>в'яжучі матеріали, сухі будівельні суміші</v>
      </c>
      <c r="E607" s="16" t="str">
        <f>IFERROR(__xludf.DUMMYFUNCTION("""COMPUTED_VALUE"""),"будівельні ремонтні суміші")</f>
        <v>будівельні ремонтні суміші</v>
      </c>
      <c r="F607" s="17">
        <f>IFERROR(__xludf.DUMMYFUNCTION("""COMPUTED_VALUE"""),4.0)</f>
        <v>4</v>
      </c>
      <c r="G607" s="17" t="str">
        <f>IFERROR(__xludf.DUMMYFUNCTION("""COMPUTED_VALUE"""),"13070511")</f>
        <v>13070511</v>
      </c>
      <c r="H607" s="17" t="str">
        <f>IFERROR(__xludf.DUMMYFUNCTION("""COMPUTED_VALUE"""),"будівельні ремонтні суміші")</f>
        <v>будівельні ремонтні суміші</v>
      </c>
      <c r="I607" s="19">
        <f>IFERROR(__xludf.DUMMYFUNCTION("""COMPUTED_VALUE"""),0.0475)</f>
        <v>0.0475</v>
      </c>
      <c r="J607" s="19">
        <f>IFERROR(__xludf.DUMMYFUNCTION("""COMPUTED_VALUE"""),0.095)</f>
        <v>0.095</v>
      </c>
      <c r="K607" s="19">
        <f>IFERROR(__xludf.DUMMYFUNCTION("""COMPUTED_VALUE"""),0.1188)</f>
        <v>0.1188</v>
      </c>
      <c r="L607" s="19">
        <f>IFERROR(__xludf.DUMMYFUNCTION("""COMPUTED_VALUE"""),0.1425)</f>
        <v>0.1425</v>
      </c>
      <c r="M607" s="18">
        <f>IFERROR(__xludf.DUMMYFUNCTION("""COMPUTED_VALUE"""),1.71)</f>
        <v>1.71</v>
      </c>
    </row>
    <row r="608">
      <c r="A608" s="13" t="str">
        <f>IFERROR(__xludf.DUMMYFUNCTION("""COMPUTED_VALUE"""),"товари")</f>
        <v>товари</v>
      </c>
      <c r="B608" s="16" t="str">
        <f>IFERROR(__xludf.DUMMYFUNCTION("""COMPUTED_VALUE"""),"будівництво")</f>
        <v>будівництво</v>
      </c>
      <c r="C608" s="16" t="str">
        <f>IFERROR(__xludf.DUMMYFUNCTION("""COMPUTED_VALUE"""),"будівельна техніка та обладнання")</f>
        <v>будівельна техніка та обладнання</v>
      </c>
      <c r="D608" s="16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608" s="16" t="str">
        <f>IFERROR(__xludf.DUMMYFUNCTION("""COMPUTED_VALUE"""),"будівельні та садові драбини")</f>
        <v>будівельні та садові драбини</v>
      </c>
      <c r="F608" s="17">
        <f>IFERROR(__xludf.DUMMYFUNCTION("""COMPUTED_VALUE"""),4.0)</f>
        <v>4</v>
      </c>
      <c r="G608" s="17" t="str">
        <f>IFERROR(__xludf.DUMMYFUNCTION("""COMPUTED_VALUE"""),"13070703")</f>
        <v>13070703</v>
      </c>
      <c r="H608" s="17" t="str">
        <f>IFERROR(__xludf.DUMMYFUNCTION("""COMPUTED_VALUE"""),"будівельні та садові драбини")</f>
        <v>будівельні та садові драбини</v>
      </c>
      <c r="I608" s="19">
        <f>IFERROR(__xludf.DUMMYFUNCTION("""COMPUTED_VALUE"""),0.0591)</f>
        <v>0.0591</v>
      </c>
      <c r="J608" s="19">
        <f>IFERROR(__xludf.DUMMYFUNCTION("""COMPUTED_VALUE"""),0.1182)</f>
        <v>0.1182</v>
      </c>
      <c r="K608" s="19">
        <f>IFERROR(__xludf.DUMMYFUNCTION("""COMPUTED_VALUE"""),0.1478)</f>
        <v>0.1478</v>
      </c>
      <c r="L608" s="19">
        <f>IFERROR(__xludf.DUMMYFUNCTION("""COMPUTED_VALUE"""),0.1773)</f>
        <v>0.1773</v>
      </c>
      <c r="M608" s="18">
        <f>IFERROR(__xludf.DUMMYFUNCTION("""COMPUTED_VALUE"""),5.4)</f>
        <v>5.4</v>
      </c>
    </row>
    <row r="609">
      <c r="A609" s="16" t="str">
        <f>IFERROR(__xludf.DUMMYFUNCTION("""COMPUTED_VALUE"""),"товари")</f>
        <v>товари</v>
      </c>
      <c r="B609" s="16" t="str">
        <f>IFERROR(__xludf.DUMMYFUNCTION("""COMPUTED_VALUE"""),"будівництво")</f>
        <v>будівництво</v>
      </c>
      <c r="C609" s="16" t="str">
        <f>IFERROR(__xludf.DUMMYFUNCTION("""COMPUTED_VALUE"""),"оздоблювальні матеріали")</f>
        <v>оздоблювальні матеріали</v>
      </c>
      <c r="D609" s="16" t="str">
        <f>IFERROR(__xludf.DUMMYFUNCTION("""COMPUTED_VALUE"""),"лакофарбові будівельні матеріали")</f>
        <v>лакофарбові будівельні матеріали</v>
      </c>
      <c r="E609" s="16" t="str">
        <f>IFERROR(__xludf.DUMMYFUNCTION("""COMPUTED_VALUE"""),"будівельні фарби")</f>
        <v>будівельні фарби</v>
      </c>
      <c r="F609" s="17">
        <f>IFERROR(__xludf.DUMMYFUNCTION("""COMPUTED_VALUE"""),4.0)</f>
        <v>4</v>
      </c>
      <c r="G609" s="17" t="str">
        <f>IFERROR(__xludf.DUMMYFUNCTION("""COMPUTED_VALUE"""),"13071002")</f>
        <v>13071002</v>
      </c>
      <c r="H609" s="17" t="str">
        <f>IFERROR(__xludf.DUMMYFUNCTION("""COMPUTED_VALUE"""),"будівельні фарби")</f>
        <v>будівельні фарби</v>
      </c>
      <c r="I609" s="19">
        <f>IFERROR(__xludf.DUMMYFUNCTION("""COMPUTED_VALUE"""),0.0588)</f>
        <v>0.0588</v>
      </c>
      <c r="J609" s="19">
        <f>IFERROR(__xludf.DUMMYFUNCTION("""COMPUTED_VALUE"""),0.1175)</f>
        <v>0.1175</v>
      </c>
      <c r="K609" s="19">
        <f>IFERROR(__xludf.DUMMYFUNCTION("""COMPUTED_VALUE"""),0.1469)</f>
        <v>0.1469</v>
      </c>
      <c r="L609" s="19">
        <f>IFERROR(__xludf.DUMMYFUNCTION("""COMPUTED_VALUE"""),0.1763)</f>
        <v>0.1763</v>
      </c>
      <c r="M609" s="18">
        <f>IFERROR(__xludf.DUMMYFUNCTION("""COMPUTED_VALUE"""),3.88)</f>
        <v>3.88</v>
      </c>
    </row>
    <row r="610">
      <c r="A610" s="16" t="str">
        <f>IFERROR(__xludf.DUMMYFUNCTION("""COMPUTED_VALUE"""),"товари")</f>
        <v>товари</v>
      </c>
      <c r="B610" s="16" t="str">
        <f>IFERROR(__xludf.DUMMYFUNCTION("""COMPUTED_VALUE"""),"будівництво")</f>
        <v>будівництво</v>
      </c>
      <c r="C610" s="16" t="str">
        <f>IFERROR(__xludf.DUMMYFUNCTION("""COMPUTED_VALUE"""),"водо-, газо-, теплозабезпечення")</f>
        <v>водо-, газо-, теплозабезпечення</v>
      </c>
      <c r="D610" s="16" t="str">
        <f>IFERROR(__xludf.DUMMYFUNCTION("""COMPUTED_VALUE"""),"запірна арматура")</f>
        <v>запірна арматура</v>
      </c>
      <c r="E610" s="16" t="str">
        <f>IFERROR(__xludf.DUMMYFUNCTION("""COMPUTED_VALUE"""),"вентилі")</f>
        <v>вентилі</v>
      </c>
      <c r="F610" s="17">
        <f>IFERROR(__xludf.DUMMYFUNCTION("""COMPUTED_VALUE"""),4.0)</f>
        <v>4</v>
      </c>
      <c r="G610" s="17" t="str">
        <f>IFERROR(__xludf.DUMMYFUNCTION("""COMPUTED_VALUE"""),"13100613")</f>
        <v>13100613</v>
      </c>
      <c r="H610" s="17" t="str">
        <f>IFERROR(__xludf.DUMMYFUNCTION("""COMPUTED_VALUE"""),"вентилі")</f>
        <v>вентилі</v>
      </c>
      <c r="I610" s="19">
        <f>IFERROR(__xludf.DUMMYFUNCTION("""COMPUTED_VALUE"""),0.0765)</f>
        <v>0.0765</v>
      </c>
      <c r="J610" s="19">
        <f>IFERROR(__xludf.DUMMYFUNCTION("""COMPUTED_VALUE"""),0.1529)</f>
        <v>0.1529</v>
      </c>
      <c r="K610" s="19">
        <f>IFERROR(__xludf.DUMMYFUNCTION("""COMPUTED_VALUE"""),0.1911)</f>
        <v>0.1911</v>
      </c>
      <c r="L610" s="19">
        <f>IFERROR(__xludf.DUMMYFUNCTION("""COMPUTED_VALUE"""),0.2294)</f>
        <v>0.2294</v>
      </c>
      <c r="M610" s="18">
        <f>IFERROR(__xludf.DUMMYFUNCTION("""COMPUTED_VALUE"""),1.71)</f>
        <v>1.71</v>
      </c>
    </row>
    <row r="611">
      <c r="A611" s="16" t="str">
        <f>IFERROR(__xludf.DUMMYFUNCTION("""COMPUTED_VALUE"""),"товари")</f>
        <v>товари</v>
      </c>
      <c r="B611" s="16" t="str">
        <f>IFERROR(__xludf.DUMMYFUNCTION("""COMPUTED_VALUE"""),"будівництво")</f>
        <v>будівництво</v>
      </c>
      <c r="C611" s="16" t="str">
        <f>IFERROR(__xludf.DUMMYFUNCTION("""COMPUTED_VALUE"""),"вентиляційні системи")</f>
        <v>вентиляційні системи</v>
      </c>
      <c r="D611" s="16" t="str">
        <f>IFERROR(__xludf.DUMMYFUNCTION("""COMPUTED_VALUE"""),"вентиляційне обладнання, загальне")</f>
        <v>вентиляційне обладнання, загальне</v>
      </c>
      <c r="E611" s="16" t="str">
        <f>IFERROR(__xludf.DUMMYFUNCTION("""COMPUTED_VALUE"""),"вентиляційне обладнання, загальне")</f>
        <v>вентиляційне обладнання, загальне</v>
      </c>
      <c r="F611" s="17">
        <f>IFERROR(__xludf.DUMMYFUNCTION("""COMPUTED_VALUE"""),3.0)</f>
        <v>3</v>
      </c>
      <c r="G611" s="17" t="str">
        <f>IFERROR(__xludf.DUMMYFUNCTION("""COMPUTED_VALUE"""),"142211")</f>
        <v>142211</v>
      </c>
      <c r="H611" s="17" t="str">
        <f>IFERROR(__xludf.DUMMYFUNCTION("""COMPUTED_VALUE"""),"вентиляційне обладнання, загальне")</f>
        <v>вентиляційне обладнання, загальне</v>
      </c>
      <c r="I611" s="19">
        <f>IFERROR(__xludf.DUMMYFUNCTION("""COMPUTED_VALUE"""),0.125)</f>
        <v>0.125</v>
      </c>
      <c r="J611" s="19">
        <f>IFERROR(__xludf.DUMMYFUNCTION("""COMPUTED_VALUE"""),0.25)</f>
        <v>0.25</v>
      </c>
      <c r="K611" s="19">
        <f>IFERROR(__xludf.DUMMYFUNCTION("""COMPUTED_VALUE"""),0.3125)</f>
        <v>0.3125</v>
      </c>
      <c r="L611" s="19">
        <f>IFERROR(__xludf.DUMMYFUNCTION("""COMPUTED_VALUE"""),0.375)</f>
        <v>0.375</v>
      </c>
      <c r="M611" s="18">
        <f>IFERROR(__xludf.DUMMYFUNCTION("""COMPUTED_VALUE"""),4.33)</f>
        <v>4.33</v>
      </c>
    </row>
    <row r="612">
      <c r="A612" s="16" t="str">
        <f>IFERROR(__xludf.DUMMYFUNCTION("""COMPUTED_VALUE"""),"товари")</f>
        <v>товари</v>
      </c>
      <c r="B612" s="16" t="str">
        <f>IFERROR(__xludf.DUMMYFUNCTION("""COMPUTED_VALUE"""),"будівництво")</f>
        <v>будівництво</v>
      </c>
      <c r="C612" s="16" t="str">
        <f>IFERROR(__xludf.DUMMYFUNCTION("""COMPUTED_VALUE"""),"басейни")</f>
        <v>басейни</v>
      </c>
      <c r="D612" s="16" t="str">
        <f>IFERROR(__xludf.DUMMYFUNCTION("""COMPUTED_VALUE"""),"витратні матеріали для басейнів")</f>
        <v>витратні матеріали для басейнів</v>
      </c>
      <c r="E612" s="16" t="str">
        <f>IFERROR(__xludf.DUMMYFUNCTION("""COMPUTED_VALUE"""),"витратні матеріали для басейнів")</f>
        <v>витратні матеріали для басейнів</v>
      </c>
      <c r="F612" s="17">
        <f>IFERROR(__xludf.DUMMYFUNCTION("""COMPUTED_VALUE"""),3.0)</f>
        <v>3</v>
      </c>
      <c r="G612" s="17" t="str">
        <f>IFERROR(__xludf.DUMMYFUNCTION("""COMPUTED_VALUE"""),"180807")</f>
        <v>180807</v>
      </c>
      <c r="H612" s="17" t="str">
        <f>IFERROR(__xludf.DUMMYFUNCTION("""COMPUTED_VALUE"""),"витратні матеріали для басейнів")</f>
        <v>витратні матеріали для басейнів</v>
      </c>
      <c r="I612" s="19">
        <f>IFERROR(__xludf.DUMMYFUNCTION("""COMPUTED_VALUE"""),0.0769)</f>
        <v>0.0769</v>
      </c>
      <c r="J612" s="19">
        <f>IFERROR(__xludf.DUMMYFUNCTION("""COMPUTED_VALUE"""),0.1538)</f>
        <v>0.1538</v>
      </c>
      <c r="K612" s="19">
        <f>IFERROR(__xludf.DUMMYFUNCTION("""COMPUTED_VALUE"""),0.1923)</f>
        <v>0.1923</v>
      </c>
      <c r="L612" s="19">
        <f>IFERROR(__xludf.DUMMYFUNCTION("""COMPUTED_VALUE"""),0.2307)</f>
        <v>0.2307</v>
      </c>
      <c r="M612" s="18">
        <f>IFERROR(__xludf.DUMMYFUNCTION("""COMPUTED_VALUE"""),5.4)</f>
        <v>5.4</v>
      </c>
    </row>
    <row r="613">
      <c r="A613" s="16" t="str">
        <f>IFERROR(__xludf.DUMMYFUNCTION("""COMPUTED_VALUE"""),"товари")</f>
        <v>товари</v>
      </c>
      <c r="B613" s="16" t="str">
        <f>IFERROR(__xludf.DUMMYFUNCTION("""COMPUTED_VALUE"""),"будівництво")</f>
        <v>будівництво</v>
      </c>
      <c r="C613" s="16" t="str">
        <f>IFERROR(__xludf.DUMMYFUNCTION("""COMPUTED_VALUE"""),"водо-, газо-, теплозабезпечення")</f>
        <v>водо-, газо-, теплозабезпечення</v>
      </c>
      <c r="D613" s="16" t="str">
        <f>IFERROR(__xludf.DUMMYFUNCTION("""COMPUTED_VALUE"""),"фітинги для труб")</f>
        <v>фітинги для труб</v>
      </c>
      <c r="E613" s="16" t="str">
        <f>IFERROR(__xludf.DUMMYFUNCTION("""COMPUTED_VALUE"""),"відводи, обходи")</f>
        <v>відводи, обходи</v>
      </c>
      <c r="F613" s="17">
        <f>IFERROR(__xludf.DUMMYFUNCTION("""COMPUTED_VALUE"""),4.0)</f>
        <v>4</v>
      </c>
      <c r="G613" s="17" t="str">
        <f>IFERROR(__xludf.DUMMYFUNCTION("""COMPUTED_VALUE"""),"13100603")</f>
        <v>13100603</v>
      </c>
      <c r="H613" s="17" t="str">
        <f>IFERROR(__xludf.DUMMYFUNCTION("""COMPUTED_VALUE"""),"відводи, обходи")</f>
        <v>відводи, обходи</v>
      </c>
      <c r="I613" s="19">
        <f>IFERROR(__xludf.DUMMYFUNCTION("""COMPUTED_VALUE"""),0.0747)</f>
        <v>0.0747</v>
      </c>
      <c r="J613" s="19">
        <f>IFERROR(__xludf.DUMMYFUNCTION("""COMPUTED_VALUE"""),0.1494)</f>
        <v>0.1494</v>
      </c>
      <c r="K613" s="19">
        <f>IFERROR(__xludf.DUMMYFUNCTION("""COMPUTED_VALUE"""),0.1868)</f>
        <v>0.1868</v>
      </c>
      <c r="L613" s="19">
        <f>IFERROR(__xludf.DUMMYFUNCTION("""COMPUTED_VALUE"""),0.2241)</f>
        <v>0.2241</v>
      </c>
      <c r="M613" s="18">
        <f>IFERROR(__xludf.DUMMYFUNCTION("""COMPUTED_VALUE"""),1.53)</f>
        <v>1.53</v>
      </c>
    </row>
    <row r="614">
      <c r="A614" s="16" t="str">
        <f>IFERROR(__xludf.DUMMYFUNCTION("""COMPUTED_VALUE"""),"товари")</f>
        <v>товари</v>
      </c>
      <c r="B614" s="16" t="str">
        <f>IFERROR(__xludf.DUMMYFUNCTION("""COMPUTED_VALUE"""),"будівництво")</f>
        <v>будівництво</v>
      </c>
      <c r="C614" s="16" t="str">
        <f>IFERROR(__xludf.DUMMYFUNCTION("""COMPUTED_VALUE"""),"будівельні матеріали")</f>
        <v>будівельні матеріали</v>
      </c>
      <c r="D614" s="16" t="str">
        <f>IFERROR(__xludf.DUMMYFUNCTION("""COMPUTED_VALUE"""),"вогнезахисні матеріали")</f>
        <v>вогнезахисні матеріали</v>
      </c>
      <c r="E614" s="16" t="str">
        <f>IFERROR(__xludf.DUMMYFUNCTION("""COMPUTED_VALUE"""),"вогнезахисні матеріали")</f>
        <v>вогнезахисні матеріали</v>
      </c>
      <c r="F614" s="17">
        <f>IFERROR(__xludf.DUMMYFUNCTION("""COMPUTED_VALUE"""),3.0)</f>
        <v>3</v>
      </c>
      <c r="G614" s="17" t="str">
        <f>IFERROR(__xludf.DUMMYFUNCTION("""COMPUTED_VALUE"""),"130709")</f>
        <v>130709</v>
      </c>
      <c r="H614" s="17" t="str">
        <f>IFERROR(__xludf.DUMMYFUNCTION("""COMPUTED_VALUE"""),"вогнезахисні матеріали")</f>
        <v>вогнезахисні матеріали</v>
      </c>
      <c r="I614" s="19">
        <f>IFERROR(__xludf.DUMMYFUNCTION("""COMPUTED_VALUE"""),0.0561)</f>
        <v>0.0561</v>
      </c>
      <c r="J614" s="19">
        <f>IFERROR(__xludf.DUMMYFUNCTION("""COMPUTED_VALUE"""),0.1122)</f>
        <v>0.1122</v>
      </c>
      <c r="K614" s="19">
        <f>IFERROR(__xludf.DUMMYFUNCTION("""COMPUTED_VALUE"""),0.1403)</f>
        <v>0.1403</v>
      </c>
      <c r="L614" s="19">
        <f>IFERROR(__xludf.DUMMYFUNCTION("""COMPUTED_VALUE"""),0.1683)</f>
        <v>0.1683</v>
      </c>
      <c r="M614" s="18">
        <f>IFERROR(__xludf.DUMMYFUNCTION("""COMPUTED_VALUE"""),3.88)</f>
        <v>3.88</v>
      </c>
    </row>
    <row r="615">
      <c r="A615" s="16" t="str">
        <f>IFERROR(__xludf.DUMMYFUNCTION("""COMPUTED_VALUE"""),"товари")</f>
        <v>товари</v>
      </c>
      <c r="B615" s="16" t="str">
        <f>IFERROR(__xludf.DUMMYFUNCTION("""COMPUTED_VALUE"""),"будівництво")</f>
        <v>будівництво</v>
      </c>
      <c r="C615" s="16" t="str">
        <f>IFERROR(__xludf.DUMMYFUNCTION("""COMPUTED_VALUE"""),"водо-, газо-, теплозабезпечення")</f>
        <v>водо-, газо-, теплозабезпечення</v>
      </c>
      <c r="D615" s="16" t="str">
        <f>IFERROR(__xludf.DUMMYFUNCTION("""COMPUTED_VALUE"""),"запірна арматура")</f>
        <v>запірна арматура</v>
      </c>
      <c r="E615" s="16" t="str">
        <f>IFERROR(__xludf.DUMMYFUNCTION("""COMPUTED_VALUE"""),"водоструминні елеватори")</f>
        <v>водоструминні елеватори</v>
      </c>
      <c r="F615" s="17">
        <f>IFERROR(__xludf.DUMMYFUNCTION("""COMPUTED_VALUE"""),4.0)</f>
        <v>4</v>
      </c>
      <c r="G615" s="17" t="str">
        <f>IFERROR(__xludf.DUMMYFUNCTION("""COMPUTED_VALUE"""),"13100641")</f>
        <v>13100641</v>
      </c>
      <c r="H615" s="17" t="str">
        <f>IFERROR(__xludf.DUMMYFUNCTION("""COMPUTED_VALUE"""),"водоструминні елеватори")</f>
        <v>водоструминні елеватори</v>
      </c>
      <c r="I615" s="19">
        <f>IFERROR(__xludf.DUMMYFUNCTION("""COMPUTED_VALUE"""),0.0694)</f>
        <v>0.0694</v>
      </c>
      <c r="J615" s="19">
        <f>IFERROR(__xludf.DUMMYFUNCTION("""COMPUTED_VALUE"""),0.1388)</f>
        <v>0.1388</v>
      </c>
      <c r="K615" s="19">
        <f>IFERROR(__xludf.DUMMYFUNCTION("""COMPUTED_VALUE"""),0.1735)</f>
        <v>0.1735</v>
      </c>
      <c r="L615" s="19">
        <f>IFERROR(__xludf.DUMMYFUNCTION("""COMPUTED_VALUE"""),0.2082)</f>
        <v>0.2082</v>
      </c>
      <c r="M615" s="18">
        <f>IFERROR(__xludf.DUMMYFUNCTION("""COMPUTED_VALUE"""),1.71)</f>
        <v>1.71</v>
      </c>
    </row>
    <row r="616">
      <c r="A616" s="16" t="str">
        <f>IFERROR(__xludf.DUMMYFUNCTION("""COMPUTED_VALUE"""),"товари")</f>
        <v>товари</v>
      </c>
      <c r="B616" s="16" t="str">
        <f>IFERROR(__xludf.DUMMYFUNCTION("""COMPUTED_VALUE"""),"будівництво")</f>
        <v>будівництво</v>
      </c>
      <c r="C616" s="16" t="str">
        <f>IFERROR(__xludf.DUMMYFUNCTION("""COMPUTED_VALUE"""),"водо-, газо-, теплозабезпечення")</f>
        <v>водо-, газо-, теплозабезпечення</v>
      </c>
      <c r="D616" s="16" t="str">
        <f>IFERROR(__xludf.DUMMYFUNCTION("""COMPUTED_VALUE"""),"фітинги для труб")</f>
        <v>фітинги для труб</v>
      </c>
      <c r="E616" s="16" t="str">
        <f>IFERROR(__xludf.DUMMYFUNCTION("""COMPUTED_VALUE"""),"втулки під фланець")</f>
        <v>втулки під фланець</v>
      </c>
      <c r="F616" s="17">
        <f>IFERROR(__xludf.DUMMYFUNCTION("""COMPUTED_VALUE"""),4.0)</f>
        <v>4</v>
      </c>
      <c r="G616" s="17" t="str">
        <f>IFERROR(__xludf.DUMMYFUNCTION("""COMPUTED_VALUE"""),"13100623")</f>
        <v>13100623</v>
      </c>
      <c r="H616" s="17" t="str">
        <f>IFERROR(__xludf.DUMMYFUNCTION("""COMPUTED_VALUE"""),"втулки під фланець")</f>
        <v>втулки під фланець</v>
      </c>
      <c r="I616" s="19">
        <f>IFERROR(__xludf.DUMMYFUNCTION("""COMPUTED_VALUE"""),0.0747)</f>
        <v>0.0747</v>
      </c>
      <c r="J616" s="19">
        <f>IFERROR(__xludf.DUMMYFUNCTION("""COMPUTED_VALUE"""),0.1494)</f>
        <v>0.1494</v>
      </c>
      <c r="K616" s="19">
        <f>IFERROR(__xludf.DUMMYFUNCTION("""COMPUTED_VALUE"""),0.1868)</f>
        <v>0.1868</v>
      </c>
      <c r="L616" s="19">
        <f>IFERROR(__xludf.DUMMYFUNCTION("""COMPUTED_VALUE"""),0.2241)</f>
        <v>0.2241</v>
      </c>
      <c r="M616" s="18">
        <f>IFERROR(__xludf.DUMMYFUNCTION("""COMPUTED_VALUE"""),1.53)</f>
        <v>1.53</v>
      </c>
    </row>
    <row r="617">
      <c r="A617" s="16" t="str">
        <f>IFERROR(__xludf.DUMMYFUNCTION("""COMPUTED_VALUE"""),"товари")</f>
        <v>товари</v>
      </c>
      <c r="B617" s="16" t="str">
        <f>IFERROR(__xludf.DUMMYFUNCTION("""COMPUTED_VALUE"""),"будівництво")</f>
        <v>будівництво</v>
      </c>
      <c r="C617" s="16" t="str">
        <f>IFERROR(__xludf.DUMMYFUNCTION("""COMPUTED_VALUE"""),"будівельні матеріали")</f>
        <v>будівельні матеріали</v>
      </c>
      <c r="D617" s="16" t="str">
        <f>IFERROR(__xludf.DUMMYFUNCTION("""COMPUTED_VALUE"""),"гідроізоляційні матеріали")</f>
        <v>гідроізоляційні матеріали</v>
      </c>
      <c r="E617" s="16" t="str">
        <f>IFERROR(__xludf.DUMMYFUNCTION("""COMPUTED_VALUE"""),"гідроізоляційні матеріали, загальне")</f>
        <v>гідроізоляційні матеріали, загальне</v>
      </c>
      <c r="F617" s="17">
        <f>IFERROR(__xludf.DUMMYFUNCTION("""COMPUTED_VALUE"""),4.0)</f>
        <v>4</v>
      </c>
      <c r="G617" s="17" t="str">
        <f>IFERROR(__xludf.DUMMYFUNCTION("""COMPUTED_VALUE"""),"132307")</f>
        <v>132307</v>
      </c>
      <c r="H617" s="17" t="str">
        <f>IFERROR(__xludf.DUMMYFUNCTION("""COMPUTED_VALUE"""),"гідроізоляційні матеріали, загальне")</f>
        <v>гідроізоляційні матеріали, загальне</v>
      </c>
      <c r="I617" s="19">
        <f>IFERROR(__xludf.DUMMYFUNCTION("""COMPUTED_VALUE"""),0.125)</f>
        <v>0.125</v>
      </c>
      <c r="J617" s="19">
        <f>IFERROR(__xludf.DUMMYFUNCTION("""COMPUTED_VALUE"""),0.25)</f>
        <v>0.25</v>
      </c>
      <c r="K617" s="19">
        <f>IFERROR(__xludf.DUMMYFUNCTION("""COMPUTED_VALUE"""),0.3125)</f>
        <v>0.3125</v>
      </c>
      <c r="L617" s="19">
        <f>IFERROR(__xludf.DUMMYFUNCTION("""COMPUTED_VALUE"""),0.375)</f>
        <v>0.375</v>
      </c>
      <c r="M617" s="18">
        <f>IFERROR(__xludf.DUMMYFUNCTION("""COMPUTED_VALUE"""),4.33)</f>
        <v>4.33</v>
      </c>
    </row>
    <row r="618">
      <c r="A618" s="16" t="str">
        <f>IFERROR(__xludf.DUMMYFUNCTION("""COMPUTED_VALUE"""),"товари")</f>
        <v>товари</v>
      </c>
      <c r="B618" s="16" t="str">
        <f>IFERROR(__xludf.DUMMYFUNCTION("""COMPUTED_VALUE"""),"будівництво")</f>
        <v>будівництво</v>
      </c>
      <c r="C618" s="16" t="str">
        <f>IFERROR(__xludf.DUMMYFUNCTION("""COMPUTED_VALUE"""),"будівельні матеріали")</f>
        <v>будівельні матеріали</v>
      </c>
      <c r="D618" s="16" t="str">
        <f>IFERROR(__xludf.DUMMYFUNCTION("""COMPUTED_VALUE"""),"гідроізоляційні матеріали")</f>
        <v>гідроізоляційні матеріали</v>
      </c>
      <c r="E618" s="16" t="str">
        <f>IFERROR(__xludf.DUMMYFUNCTION("""COMPUTED_VALUE"""),"гідроізоляційні ущільнювачі")</f>
        <v>гідроізоляційні ущільнювачі</v>
      </c>
      <c r="F618" s="17">
        <f>IFERROR(__xludf.DUMMYFUNCTION("""COMPUTED_VALUE"""),4.0)</f>
        <v>4</v>
      </c>
      <c r="G618" s="17" t="str">
        <f>IFERROR(__xludf.DUMMYFUNCTION("""COMPUTED_VALUE"""),"132308")</f>
        <v>132308</v>
      </c>
      <c r="H618" s="17" t="str">
        <f>IFERROR(__xludf.DUMMYFUNCTION("""COMPUTED_VALUE"""),"гідроізоляційні ущільнювачі")</f>
        <v>гідроізоляційні ущільнювачі</v>
      </c>
      <c r="I618" s="19">
        <f>IFERROR(__xludf.DUMMYFUNCTION("""COMPUTED_VALUE"""),0.03)</f>
        <v>0.03</v>
      </c>
      <c r="J618" s="19">
        <f>IFERROR(__xludf.DUMMYFUNCTION("""COMPUTED_VALUE"""),0.06)</f>
        <v>0.06</v>
      </c>
      <c r="K618" s="19">
        <f>IFERROR(__xludf.DUMMYFUNCTION("""COMPUTED_VALUE"""),0.075)</f>
        <v>0.075</v>
      </c>
      <c r="L618" s="19">
        <f>IFERROR(__xludf.DUMMYFUNCTION("""COMPUTED_VALUE"""),0.09)</f>
        <v>0.09</v>
      </c>
      <c r="M618" s="18">
        <f>IFERROR(__xludf.DUMMYFUNCTION("""COMPUTED_VALUE"""),3.75)</f>
        <v>3.75</v>
      </c>
    </row>
    <row r="619">
      <c r="A619" s="16" t="str">
        <f>IFERROR(__xludf.DUMMYFUNCTION("""COMPUTED_VALUE"""),"товари")</f>
        <v>товари</v>
      </c>
      <c r="B619" s="16" t="str">
        <f>IFERROR(__xludf.DUMMYFUNCTION("""COMPUTED_VALUE"""),"будівництво")</f>
        <v>будівництво</v>
      </c>
      <c r="C619" s="16" t="str">
        <f>IFERROR(__xludf.DUMMYFUNCTION("""COMPUTED_VALUE"""),"будівельні матеріали")</f>
        <v>будівельні матеріали</v>
      </c>
      <c r="D619" s="16" t="str">
        <f>IFERROR(__xludf.DUMMYFUNCTION("""COMPUTED_VALUE"""),"гідроізоляційні матеріали")</f>
        <v>гідроізоляційні матеріали</v>
      </c>
      <c r="E619" s="16" t="str">
        <f>IFERROR(__xludf.DUMMYFUNCTION("""COMPUTED_VALUE"""),"гідрофобні просочення, гідрофобізатори")</f>
        <v>гідрофобні просочення, гідрофобізатори</v>
      </c>
      <c r="F619" s="17">
        <f>IFERROR(__xludf.DUMMYFUNCTION("""COMPUTED_VALUE"""),4.0)</f>
        <v>4</v>
      </c>
      <c r="G619" s="17" t="str">
        <f>IFERROR(__xludf.DUMMYFUNCTION("""COMPUTED_VALUE"""),"132303")</f>
        <v>132303</v>
      </c>
      <c r="H619" s="17" t="str">
        <f>IFERROR(__xludf.DUMMYFUNCTION("""COMPUTED_VALUE"""),"гідрофобні просочення, гідрофобізатори")</f>
        <v>гідрофобні просочення, гідрофобізатори</v>
      </c>
      <c r="I619" s="19">
        <f>IFERROR(__xludf.DUMMYFUNCTION("""COMPUTED_VALUE"""),0.0293)</f>
        <v>0.0293</v>
      </c>
      <c r="J619" s="19">
        <f>IFERROR(__xludf.DUMMYFUNCTION("""COMPUTED_VALUE"""),0.0585)</f>
        <v>0.0585</v>
      </c>
      <c r="K619" s="19">
        <f>IFERROR(__xludf.DUMMYFUNCTION("""COMPUTED_VALUE"""),0.0731)</f>
        <v>0.0731</v>
      </c>
      <c r="L619" s="19">
        <f>IFERROR(__xludf.DUMMYFUNCTION("""COMPUTED_VALUE"""),0.0878)</f>
        <v>0.0878</v>
      </c>
      <c r="M619" s="18">
        <f>IFERROR(__xludf.DUMMYFUNCTION("""COMPUTED_VALUE"""),3.75)</f>
        <v>3.75</v>
      </c>
    </row>
    <row r="620">
      <c r="A620" s="16" t="str">
        <f>IFERROR(__xludf.DUMMYFUNCTION("""COMPUTED_VALUE"""),"товари")</f>
        <v>товари</v>
      </c>
      <c r="B620" s="16" t="str">
        <f>IFERROR(__xludf.DUMMYFUNCTION("""COMPUTED_VALUE"""),"будівництво")</f>
        <v>будівництво</v>
      </c>
      <c r="C620" s="16" t="str">
        <f>IFERROR(__xludf.DUMMYFUNCTION("""COMPUTED_VALUE"""),"будівельні матеріали")</f>
        <v>будівельні матеріали</v>
      </c>
      <c r="D620" s="16" t="str">
        <f>IFERROR(__xludf.DUMMYFUNCTION("""COMPUTED_VALUE"""),"в'яжучі матеріали, сухі будівельні суміші")</f>
        <v>в'яжучі матеріали, сухі будівельні суміші</v>
      </c>
      <c r="E620" s="16" t="str">
        <f>IFERROR(__xludf.DUMMYFUNCTION("""COMPUTED_VALUE"""),"гіпс")</f>
        <v>гіпс</v>
      </c>
      <c r="F620" s="17">
        <f>IFERROR(__xludf.DUMMYFUNCTION("""COMPUTED_VALUE"""),4.0)</f>
        <v>4</v>
      </c>
      <c r="G620" s="17" t="str">
        <f>IFERROR(__xludf.DUMMYFUNCTION("""COMPUTED_VALUE"""),"1309")</f>
        <v>1309</v>
      </c>
      <c r="H620" s="17" t="str">
        <f>IFERROR(__xludf.DUMMYFUNCTION("""COMPUTED_VALUE"""),"гіпс")</f>
        <v>гіпс</v>
      </c>
      <c r="I620" s="19">
        <f>IFERROR(__xludf.DUMMYFUNCTION("""COMPUTED_VALUE"""),0.0475)</f>
        <v>0.0475</v>
      </c>
      <c r="J620" s="19">
        <f>IFERROR(__xludf.DUMMYFUNCTION("""COMPUTED_VALUE"""),0.095)</f>
        <v>0.095</v>
      </c>
      <c r="K620" s="19">
        <f>IFERROR(__xludf.DUMMYFUNCTION("""COMPUTED_VALUE"""),0.1188)</f>
        <v>0.1188</v>
      </c>
      <c r="L620" s="19">
        <f>IFERROR(__xludf.DUMMYFUNCTION("""COMPUTED_VALUE"""),0.1425)</f>
        <v>0.1425</v>
      </c>
      <c r="M620" s="18">
        <f>IFERROR(__xludf.DUMMYFUNCTION("""COMPUTED_VALUE"""),1.71)</f>
        <v>1.71</v>
      </c>
    </row>
    <row r="621">
      <c r="A621" s="16" t="str">
        <f>IFERROR(__xludf.DUMMYFUNCTION("""COMPUTED_VALUE"""),"товари")</f>
        <v>товари</v>
      </c>
      <c r="B621" s="16" t="str">
        <f>IFERROR(__xludf.DUMMYFUNCTION("""COMPUTED_VALUE"""),"будівництво")</f>
        <v>будівництво</v>
      </c>
      <c r="C621" s="16" t="str">
        <f>IFERROR(__xludf.DUMMYFUNCTION("""COMPUTED_VALUE"""),"будівельна техніка та обладнання")</f>
        <v>будівельна техніка та обладнання</v>
      </c>
      <c r="D621" s="16" t="str">
        <f>IFERROR(__xludf.DUMMYFUNCTION("""COMPUTED_VALUE"""),"машини та обладнання для бетонних робіт")</f>
        <v>машини та обладнання для бетонних робіт</v>
      </c>
      <c r="E621" s="16" t="str">
        <f>IFERROR(__xludf.DUMMYFUNCTION("""COMPUTED_VALUE"""),"глибинні вібратори")</f>
        <v>глибинні вібратори</v>
      </c>
      <c r="F621" s="17">
        <f>IFERROR(__xludf.DUMMYFUNCTION("""COMPUTED_VALUE"""),4.0)</f>
        <v>4</v>
      </c>
      <c r="G621" s="17" t="str">
        <f>IFERROR(__xludf.DUMMYFUNCTION("""COMPUTED_VALUE"""),"13040305")</f>
        <v>13040305</v>
      </c>
      <c r="H621" s="17" t="str">
        <f>IFERROR(__xludf.DUMMYFUNCTION("""COMPUTED_VALUE"""),"глибинні вібратори")</f>
        <v>глибинні вібратори</v>
      </c>
      <c r="I621" s="19">
        <f>IFERROR(__xludf.DUMMYFUNCTION("""COMPUTED_VALUE"""),0.0502)</f>
        <v>0.0502</v>
      </c>
      <c r="J621" s="19">
        <f>IFERROR(__xludf.DUMMYFUNCTION("""COMPUTED_VALUE"""),0.1004)</f>
        <v>0.1004</v>
      </c>
      <c r="K621" s="19">
        <f>IFERROR(__xludf.DUMMYFUNCTION("""COMPUTED_VALUE"""),0.1255)</f>
        <v>0.1255</v>
      </c>
      <c r="L621" s="19">
        <f>IFERROR(__xludf.DUMMYFUNCTION("""COMPUTED_VALUE"""),0.1506)</f>
        <v>0.1506</v>
      </c>
      <c r="M621" s="18">
        <f>IFERROR(__xludf.DUMMYFUNCTION("""COMPUTED_VALUE"""),4.35)</f>
        <v>4.35</v>
      </c>
    </row>
    <row r="622">
      <c r="A622" s="16" t="str">
        <f>IFERROR(__xludf.DUMMYFUNCTION("""COMPUTED_VALUE"""),"товари")</f>
        <v>товари</v>
      </c>
      <c r="B622" s="16" t="str">
        <f>IFERROR(__xludf.DUMMYFUNCTION("""COMPUTED_VALUE"""),"будівництво")</f>
        <v>будівництво</v>
      </c>
      <c r="C622" s="16" t="str">
        <f>IFERROR(__xludf.DUMMYFUNCTION("""COMPUTED_VALUE"""),"водо-, газо-, теплозабезпечення")</f>
        <v>водо-, газо-, теплозабезпечення</v>
      </c>
      <c r="D622" s="16" t="str">
        <f>IFERROR(__xludf.DUMMYFUNCTION("""COMPUTED_VALUE"""),"труби")</f>
        <v>труби</v>
      </c>
      <c r="E622" s="16" t="str">
        <f>IFERROR(__xludf.DUMMYFUNCTION("""COMPUTED_VALUE"""),"гофровані нержавіючі труби")</f>
        <v>гофровані нержавіючі труби</v>
      </c>
      <c r="F622" s="17">
        <f>IFERROR(__xludf.DUMMYFUNCTION("""COMPUTED_VALUE"""),4.0)</f>
        <v>4</v>
      </c>
      <c r="G622" s="17" t="str">
        <f>IFERROR(__xludf.DUMMYFUNCTION("""COMPUTED_VALUE"""),"131024")</f>
        <v>131024</v>
      </c>
      <c r="H622" s="17" t="str">
        <f>IFERROR(__xludf.DUMMYFUNCTION("""COMPUTED_VALUE"""),"гофровані нержавіючі труби")</f>
        <v>гофровані нержавіючі труби</v>
      </c>
      <c r="I622" s="19">
        <f>IFERROR(__xludf.DUMMYFUNCTION("""COMPUTED_VALUE"""),0.035)</f>
        <v>0.035</v>
      </c>
      <c r="J622" s="19">
        <f>IFERROR(__xludf.DUMMYFUNCTION("""COMPUTED_VALUE"""),0.07)</f>
        <v>0.07</v>
      </c>
      <c r="K622" s="19">
        <f>IFERROR(__xludf.DUMMYFUNCTION("""COMPUTED_VALUE"""),0.0875)</f>
        <v>0.0875</v>
      </c>
      <c r="L622" s="19">
        <f>IFERROR(__xludf.DUMMYFUNCTION("""COMPUTED_VALUE"""),0.105)</f>
        <v>0.105</v>
      </c>
      <c r="M622" s="18">
        <f>IFERROR(__xludf.DUMMYFUNCTION("""COMPUTED_VALUE"""),5.03)</f>
        <v>5.03</v>
      </c>
    </row>
    <row r="623">
      <c r="A623" s="16" t="str">
        <f>IFERROR(__xludf.DUMMYFUNCTION("""COMPUTED_VALUE"""),"товари")</f>
        <v>товари</v>
      </c>
      <c r="B623" s="16" t="str">
        <f>IFERROR(__xludf.DUMMYFUNCTION("""COMPUTED_VALUE"""),"будівництво")</f>
        <v>будівництво</v>
      </c>
      <c r="C623" s="16" t="str">
        <f>IFERROR(__xludf.DUMMYFUNCTION("""COMPUTED_VALUE"""),"оздоблювальні матеріали")</f>
        <v>оздоблювальні матеріали</v>
      </c>
      <c r="D623" s="16" t="str">
        <f>IFERROR(__xludf.DUMMYFUNCTION("""COMPUTED_VALUE"""),"лакофарбові будівельні матеріали")</f>
        <v>лакофарбові будівельні матеріали</v>
      </c>
      <c r="E623" s="16" t="str">
        <f>IFERROR(__xludf.DUMMYFUNCTION("""COMPUTED_VALUE"""),"ґрунтовки")</f>
        <v>ґрунтовки</v>
      </c>
      <c r="F623" s="17">
        <f>IFERROR(__xludf.DUMMYFUNCTION("""COMPUTED_VALUE"""),4.0)</f>
        <v>4</v>
      </c>
      <c r="G623" s="17" t="str">
        <f>IFERROR(__xludf.DUMMYFUNCTION("""COMPUTED_VALUE"""),"81112")</f>
        <v>81112</v>
      </c>
      <c r="H623" s="17" t="str">
        <f>IFERROR(__xludf.DUMMYFUNCTION("""COMPUTED_VALUE"""),"ґрунтовки")</f>
        <v>ґрунтовки</v>
      </c>
      <c r="I623" s="19">
        <f>IFERROR(__xludf.DUMMYFUNCTION("""COMPUTED_VALUE"""),0.0523)</f>
        <v>0.0523</v>
      </c>
      <c r="J623" s="19">
        <f>IFERROR(__xludf.DUMMYFUNCTION("""COMPUTED_VALUE"""),0.1045)</f>
        <v>0.1045</v>
      </c>
      <c r="K623" s="19">
        <f>IFERROR(__xludf.DUMMYFUNCTION("""COMPUTED_VALUE"""),0.1306)</f>
        <v>0.1306</v>
      </c>
      <c r="L623" s="19">
        <f>IFERROR(__xludf.DUMMYFUNCTION("""COMPUTED_VALUE"""),0.1568)</f>
        <v>0.1568</v>
      </c>
      <c r="M623" s="18">
        <f>IFERROR(__xludf.DUMMYFUNCTION("""COMPUTED_VALUE"""),3.88)</f>
        <v>3.88</v>
      </c>
    </row>
    <row r="624">
      <c r="A624" s="16" t="str">
        <f>IFERROR(__xludf.DUMMYFUNCTION("""COMPUTED_VALUE"""),"товари")</f>
        <v>товари</v>
      </c>
      <c r="B624" s="16" t="str">
        <f>IFERROR(__xludf.DUMMYFUNCTION("""COMPUTED_VALUE"""),"будівництво")</f>
        <v>будівництво</v>
      </c>
      <c r="C624" s="16" t="str">
        <f>IFERROR(__xludf.DUMMYFUNCTION("""COMPUTED_VALUE"""),"водо-, газо-, теплозабезпечення")</f>
        <v>водо-, газо-, теплозабезпечення</v>
      </c>
      <c r="D624" s="16" t="str">
        <f>IFERROR(__xludf.DUMMYFUNCTION("""COMPUTED_VALUE"""),"опалювальне обладнання")</f>
        <v>опалювальне обладнання</v>
      </c>
      <c r="E624" s="16" t="str">
        <f>IFERROR(__xludf.DUMMYFUNCTION("""COMPUTED_VALUE"""),"групи безпеки")</f>
        <v>групи безпеки</v>
      </c>
      <c r="F624" s="17">
        <f>IFERROR(__xludf.DUMMYFUNCTION("""COMPUTED_VALUE"""),4.0)</f>
        <v>4</v>
      </c>
      <c r="G624" s="17" t="str">
        <f>IFERROR(__xludf.DUMMYFUNCTION("""COMPUTED_VALUE"""),"13240130")</f>
        <v>13240130</v>
      </c>
      <c r="H624" s="17" t="str">
        <f>IFERROR(__xludf.DUMMYFUNCTION("""COMPUTED_VALUE"""),"групи безпеки")</f>
        <v>групи безпеки</v>
      </c>
      <c r="I624" s="19">
        <f>IFERROR(__xludf.DUMMYFUNCTION("""COMPUTED_VALUE"""),0.0706)</f>
        <v>0.0706</v>
      </c>
      <c r="J624" s="19">
        <f>IFERROR(__xludf.DUMMYFUNCTION("""COMPUTED_VALUE"""),0.1412)</f>
        <v>0.1412</v>
      </c>
      <c r="K624" s="19">
        <f>IFERROR(__xludf.DUMMYFUNCTION("""COMPUTED_VALUE"""),0.1765)</f>
        <v>0.1765</v>
      </c>
      <c r="L624" s="19">
        <f>IFERROR(__xludf.DUMMYFUNCTION("""COMPUTED_VALUE"""),0.2118)</f>
        <v>0.2118</v>
      </c>
      <c r="M624" s="18">
        <f>IFERROR(__xludf.DUMMYFUNCTION("""COMPUTED_VALUE"""),5.4)</f>
        <v>5.4</v>
      </c>
    </row>
    <row r="625">
      <c r="A625" s="16" t="str">
        <f>IFERROR(__xludf.DUMMYFUNCTION("""COMPUTED_VALUE"""),"товари")</f>
        <v>товари</v>
      </c>
      <c r="B625" s="16" t="str">
        <f>IFERROR(__xludf.DUMMYFUNCTION("""COMPUTED_VALUE"""),"будівництво")</f>
        <v>будівництво</v>
      </c>
      <c r="C625" s="16" t="str">
        <f>IFERROR(__xludf.DUMMYFUNCTION("""COMPUTED_VALUE"""),"оздоблювальні матеріали")</f>
        <v>оздоблювальні матеріали</v>
      </c>
      <c r="D625" s="16" t="str">
        <f>IFERROR(__xludf.DUMMYFUNCTION("""COMPUTED_VALUE"""),"лакофарбові будівельні матеріали")</f>
        <v>лакофарбові будівельні матеріали</v>
      </c>
      <c r="E625" s="16" t="str">
        <f>IFERROR(__xludf.DUMMYFUNCTION("""COMPUTED_VALUE"""),"декоративні покриття")</f>
        <v>декоративні покриття</v>
      </c>
      <c r="F625" s="17">
        <f>IFERROR(__xludf.DUMMYFUNCTION("""COMPUTED_VALUE"""),4.0)</f>
        <v>4</v>
      </c>
      <c r="G625" s="17" t="str">
        <f>IFERROR(__xludf.DUMMYFUNCTION("""COMPUTED_VALUE"""),"13073606")</f>
        <v>13073606</v>
      </c>
      <c r="H625" s="17" t="str">
        <f>IFERROR(__xludf.DUMMYFUNCTION("""COMPUTED_VALUE"""),"декоративні покриття")</f>
        <v>декоративні покриття</v>
      </c>
      <c r="I625" s="19">
        <f>IFERROR(__xludf.DUMMYFUNCTION("""COMPUTED_VALUE"""),0.0551)</f>
        <v>0.0551</v>
      </c>
      <c r="J625" s="19">
        <f>IFERROR(__xludf.DUMMYFUNCTION("""COMPUTED_VALUE"""),0.1101)</f>
        <v>0.1101</v>
      </c>
      <c r="K625" s="19">
        <f>IFERROR(__xludf.DUMMYFUNCTION("""COMPUTED_VALUE"""),0.1376)</f>
        <v>0.1376</v>
      </c>
      <c r="L625" s="19">
        <f>IFERROR(__xludf.DUMMYFUNCTION("""COMPUTED_VALUE"""),0.1652)</f>
        <v>0.1652</v>
      </c>
      <c r="M625" s="18">
        <f>IFERROR(__xludf.DUMMYFUNCTION("""COMPUTED_VALUE"""),3.88)</f>
        <v>3.88</v>
      </c>
    </row>
    <row r="626">
      <c r="A626" s="16" t="str">
        <f>IFERROR(__xludf.DUMMYFUNCTION("""COMPUTED_VALUE"""),"товари")</f>
        <v>товари</v>
      </c>
      <c r="B626" s="16" t="str">
        <f>IFERROR(__xludf.DUMMYFUNCTION("""COMPUTED_VALUE"""),"будівництво")</f>
        <v>будівництво</v>
      </c>
      <c r="C626" s="16" t="str">
        <f>IFERROR(__xludf.DUMMYFUNCTION("""COMPUTED_VALUE"""),"будівельні матеріали")</f>
        <v>будівельні матеріали</v>
      </c>
      <c r="D626" s="16" t="str">
        <f>IFERROR(__xludf.DUMMYFUNCTION("""COMPUTED_VALUE"""),"пиломатеріали")</f>
        <v>пиломатеріали</v>
      </c>
      <c r="E626" s="16" t="str">
        <f>IFERROR(__xludf.DUMMYFUNCTION("""COMPUTED_VALUE"""),"дерев'яні рейки")</f>
        <v>дерев'яні рейки</v>
      </c>
      <c r="F626" s="17">
        <f>IFERROR(__xludf.DUMMYFUNCTION("""COMPUTED_VALUE"""),4.0)</f>
        <v>4</v>
      </c>
      <c r="G626" s="17" t="str">
        <f>IFERROR(__xludf.DUMMYFUNCTION("""COMPUTED_VALUE"""),"131123")</f>
        <v>131123</v>
      </c>
      <c r="H626" s="17" t="str">
        <f>IFERROR(__xludf.DUMMYFUNCTION("""COMPUTED_VALUE"""),"дерев'яні рейки")</f>
        <v>дерев'яні рейки</v>
      </c>
      <c r="I626" s="19">
        <f>IFERROR(__xludf.DUMMYFUNCTION("""COMPUTED_VALUE"""),0.0259)</f>
        <v>0.0259</v>
      </c>
      <c r="J626" s="19">
        <f>IFERROR(__xludf.DUMMYFUNCTION("""COMPUTED_VALUE"""),0.0517)</f>
        <v>0.0517</v>
      </c>
      <c r="K626" s="19">
        <f>IFERROR(__xludf.DUMMYFUNCTION("""COMPUTED_VALUE"""),0.0646)</f>
        <v>0.0646</v>
      </c>
      <c r="L626" s="19">
        <f>IFERROR(__xludf.DUMMYFUNCTION("""COMPUTED_VALUE"""),0.0776)</f>
        <v>0.0776</v>
      </c>
      <c r="M626" s="18">
        <f>IFERROR(__xludf.DUMMYFUNCTION("""COMPUTED_VALUE"""),2.88)</f>
        <v>2.88</v>
      </c>
    </row>
    <row r="627">
      <c r="A627" s="16" t="str">
        <f>IFERROR(__xludf.DUMMYFUNCTION("""COMPUTED_VALUE"""),"товари")</f>
        <v>товари</v>
      </c>
      <c r="B627" s="16" t="str">
        <f>IFERROR(__xludf.DUMMYFUNCTION("""COMPUTED_VALUE"""),"будівництво")</f>
        <v>будівництво</v>
      </c>
      <c r="C627" s="16" t="str">
        <f>IFERROR(__xludf.DUMMYFUNCTION("""COMPUTED_VALUE"""),"будівельні матеріали")</f>
        <v>будівельні матеріали</v>
      </c>
      <c r="D627" s="16" t="str">
        <f>IFERROR(__xludf.DUMMYFUNCTION("""COMPUTED_VALUE"""),"пиломатеріали")</f>
        <v>пиломатеріали</v>
      </c>
      <c r="E627" s="16" t="str">
        <f>IFERROR(__xludf.DUMMYFUNCTION("""COMPUTED_VALUE"""),"деревна тирса та стружка")</f>
        <v>деревна тирса та стружка</v>
      </c>
      <c r="F627" s="17">
        <f>IFERROR(__xludf.DUMMYFUNCTION("""COMPUTED_VALUE"""),4.0)</f>
        <v>4</v>
      </c>
      <c r="G627" s="17" t="str">
        <f>IFERROR(__xludf.DUMMYFUNCTION("""COMPUTED_VALUE"""),"131125")</f>
        <v>131125</v>
      </c>
      <c r="H627" s="17" t="str">
        <f>IFERROR(__xludf.DUMMYFUNCTION("""COMPUTED_VALUE"""),"деревна тирса та стружка")</f>
        <v>деревна тирса та стружка</v>
      </c>
      <c r="I627" s="19">
        <f>IFERROR(__xludf.DUMMYFUNCTION("""COMPUTED_VALUE"""),0.0285)</f>
        <v>0.0285</v>
      </c>
      <c r="J627" s="19">
        <f>IFERROR(__xludf.DUMMYFUNCTION("""COMPUTED_VALUE"""),0.057)</f>
        <v>0.057</v>
      </c>
      <c r="K627" s="19">
        <f>IFERROR(__xludf.DUMMYFUNCTION("""COMPUTED_VALUE"""),0.0713)</f>
        <v>0.0713</v>
      </c>
      <c r="L627" s="19">
        <f>IFERROR(__xludf.DUMMYFUNCTION("""COMPUTED_VALUE"""),0.0855)</f>
        <v>0.0855</v>
      </c>
      <c r="M627" s="18">
        <f>IFERROR(__xludf.DUMMYFUNCTION("""COMPUTED_VALUE"""),2.88)</f>
        <v>2.88</v>
      </c>
    </row>
    <row r="628">
      <c r="A628" s="16" t="str">
        <f>IFERROR(__xludf.DUMMYFUNCTION("""COMPUTED_VALUE"""),"товари")</f>
        <v>товари</v>
      </c>
      <c r="B628" s="16" t="str">
        <f>IFERROR(__xludf.DUMMYFUNCTION("""COMPUTED_VALUE"""),"будівництво")</f>
        <v>будівництво</v>
      </c>
      <c r="C628" s="16" t="str">
        <f>IFERROR(__xludf.DUMMYFUNCTION("""COMPUTED_VALUE"""),"будівельна техніка та обладнання")</f>
        <v>будівельна техніка та обладнання</v>
      </c>
      <c r="D628" s="16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628" s="16" t="str">
        <f>IFERROR(__xludf.DUMMYFUNCTION("""COMPUTED_VALUE"""),"драбини")</f>
        <v>драбини</v>
      </c>
      <c r="F628" s="17">
        <f>IFERROR(__xludf.DUMMYFUNCTION("""COMPUTED_VALUE"""),4.0)</f>
        <v>4</v>
      </c>
      <c r="G628" s="17" t="str">
        <f>IFERROR(__xludf.DUMMYFUNCTION("""COMPUTED_VALUE"""),"13070701")</f>
        <v>13070701</v>
      </c>
      <c r="H628" s="17" t="str">
        <f>IFERROR(__xludf.DUMMYFUNCTION("""COMPUTED_VALUE"""),"драбини")</f>
        <v>драбини</v>
      </c>
      <c r="I628" s="19">
        <f>IFERROR(__xludf.DUMMYFUNCTION("""COMPUTED_VALUE"""),0.0591)</f>
        <v>0.0591</v>
      </c>
      <c r="J628" s="19">
        <f>IFERROR(__xludf.DUMMYFUNCTION("""COMPUTED_VALUE"""),0.1182)</f>
        <v>0.1182</v>
      </c>
      <c r="K628" s="19">
        <f>IFERROR(__xludf.DUMMYFUNCTION("""COMPUTED_VALUE"""),0.1478)</f>
        <v>0.1478</v>
      </c>
      <c r="L628" s="19">
        <f>IFERROR(__xludf.DUMMYFUNCTION("""COMPUTED_VALUE"""),0.1773)</f>
        <v>0.1773</v>
      </c>
      <c r="M628" s="18">
        <f>IFERROR(__xludf.DUMMYFUNCTION("""COMPUTED_VALUE"""),5.4)</f>
        <v>5.4</v>
      </c>
    </row>
    <row r="629">
      <c r="A629" s="16" t="str">
        <f>IFERROR(__xludf.DUMMYFUNCTION("""COMPUTED_VALUE"""),"товари")</f>
        <v>товари</v>
      </c>
      <c r="B629" s="16" t="str">
        <f>IFERROR(__xludf.DUMMYFUNCTION("""COMPUTED_VALUE"""),"будівництво")</f>
        <v>будівництво</v>
      </c>
      <c r="C629" s="16" t="str">
        <f>IFERROR(__xludf.DUMMYFUNCTION("""COMPUTED_VALUE"""),"водо-, газо-, теплозабезпечення")</f>
        <v>водо-, газо-, теплозабезпечення</v>
      </c>
      <c r="D629" s="16" t="str">
        <f>IFERROR(__xludf.DUMMYFUNCTION("""COMPUTED_VALUE"""),"обладнання для газопостачання")</f>
        <v>обладнання для газопостачання</v>
      </c>
      <c r="E629" s="16" t="str">
        <f>IFERROR(__xludf.DUMMYFUNCTION("""COMPUTED_VALUE"""),"електромагнітні клапани для води, газу")</f>
        <v>електромагнітні клапани для води, газу</v>
      </c>
      <c r="F629" s="17">
        <f>IFERROR(__xludf.DUMMYFUNCTION("""COMPUTED_VALUE"""),4.0)</f>
        <v>4</v>
      </c>
      <c r="G629" s="17" t="str">
        <f>IFERROR(__xludf.DUMMYFUNCTION("""COMPUTED_VALUE"""),"13240606")</f>
        <v>13240606</v>
      </c>
      <c r="H629" s="17" t="str">
        <f>IFERROR(__xludf.DUMMYFUNCTION("""COMPUTED_VALUE"""),"електромагнітні клапани для води, газу")</f>
        <v>електромагнітні клапани для води, газу</v>
      </c>
      <c r="I629" s="19">
        <f>IFERROR(__xludf.DUMMYFUNCTION("""COMPUTED_VALUE"""),0.0493)</f>
        <v>0.0493</v>
      </c>
      <c r="J629" s="19">
        <f>IFERROR(__xludf.DUMMYFUNCTION("""COMPUTED_VALUE"""),0.0986)</f>
        <v>0.0986</v>
      </c>
      <c r="K629" s="19">
        <f>IFERROR(__xludf.DUMMYFUNCTION("""COMPUTED_VALUE"""),0.1233)</f>
        <v>0.1233</v>
      </c>
      <c r="L629" s="19">
        <f>IFERROR(__xludf.DUMMYFUNCTION("""COMPUTED_VALUE"""),0.1479)</f>
        <v>0.1479</v>
      </c>
      <c r="M629" s="18">
        <f>IFERROR(__xludf.DUMMYFUNCTION("""COMPUTED_VALUE"""),1.71)</f>
        <v>1.71</v>
      </c>
    </row>
    <row r="630">
      <c r="A630" s="16" t="str">
        <f>IFERROR(__xludf.DUMMYFUNCTION("""COMPUTED_VALUE"""),"товари")</f>
        <v>товари</v>
      </c>
      <c r="B630" s="16" t="str">
        <f>IFERROR(__xludf.DUMMYFUNCTION("""COMPUTED_VALUE"""),"будівництво")</f>
        <v>будівництво</v>
      </c>
      <c r="C630" s="16" t="str">
        <f>IFERROR(__xludf.DUMMYFUNCTION("""COMPUTED_VALUE"""),"оздоблювальні матеріали")</f>
        <v>оздоблювальні матеріали</v>
      </c>
      <c r="D630" s="16" t="str">
        <f>IFERROR(__xludf.DUMMYFUNCTION("""COMPUTED_VALUE"""),"лакофарбові будівельні матеріали")</f>
        <v>лакофарбові будівельні матеріали</v>
      </c>
      <c r="E630" s="16" t="str">
        <f>IFERROR(__xludf.DUMMYFUNCTION("""COMPUTED_VALUE"""),"емалі")</f>
        <v>емалі</v>
      </c>
      <c r="F630" s="17">
        <f>IFERROR(__xludf.DUMMYFUNCTION("""COMPUTED_VALUE"""),4.0)</f>
        <v>4</v>
      </c>
      <c r="G630" s="17" t="str">
        <f>IFERROR(__xludf.DUMMYFUNCTION("""COMPUTED_VALUE"""),"13073604")</f>
        <v>13073604</v>
      </c>
      <c r="H630" s="17" t="str">
        <f>IFERROR(__xludf.DUMMYFUNCTION("""COMPUTED_VALUE"""),"емалі")</f>
        <v>емалі</v>
      </c>
      <c r="I630" s="19">
        <f>IFERROR(__xludf.DUMMYFUNCTION("""COMPUTED_VALUE"""),0.0591)</f>
        <v>0.0591</v>
      </c>
      <c r="J630" s="19">
        <f>IFERROR(__xludf.DUMMYFUNCTION("""COMPUTED_VALUE"""),0.1181)</f>
        <v>0.1181</v>
      </c>
      <c r="K630" s="19">
        <f>IFERROR(__xludf.DUMMYFUNCTION("""COMPUTED_VALUE"""),0.1476)</f>
        <v>0.1476</v>
      </c>
      <c r="L630" s="19">
        <f>IFERROR(__xludf.DUMMYFUNCTION("""COMPUTED_VALUE"""),0.1772)</f>
        <v>0.1772</v>
      </c>
      <c r="M630" s="18">
        <f>IFERROR(__xludf.DUMMYFUNCTION("""COMPUTED_VALUE"""),3.88)</f>
        <v>3.88</v>
      </c>
    </row>
    <row r="631">
      <c r="A631" s="16" t="str">
        <f>IFERROR(__xludf.DUMMYFUNCTION("""COMPUTED_VALUE"""),"товари")</f>
        <v>товари</v>
      </c>
      <c r="B631" s="16" t="str">
        <f>IFERROR(__xludf.DUMMYFUNCTION("""COMPUTED_VALUE"""),"будівництво")</f>
        <v>будівництво</v>
      </c>
      <c r="C631" s="16" t="str">
        <f>IFERROR(__xludf.DUMMYFUNCTION("""COMPUTED_VALUE"""),"водо-, газо-, теплозабезпечення")</f>
        <v>водо-, газо-, теплозабезпечення</v>
      </c>
      <c r="D631" s="16" t="str">
        <f>IFERROR(__xludf.DUMMYFUNCTION("""COMPUTED_VALUE"""),"фітинги для труб")</f>
        <v>фітинги для труб</v>
      </c>
      <c r="E631" s="16" t="str">
        <f>IFERROR(__xludf.DUMMYFUNCTION("""COMPUTED_VALUE"""),"з'єднання «американка»")</f>
        <v>з'єднання «американка»</v>
      </c>
      <c r="F631" s="17">
        <f>IFERROR(__xludf.DUMMYFUNCTION("""COMPUTED_VALUE"""),4.0)</f>
        <v>4</v>
      </c>
      <c r="G631" s="17" t="str">
        <f>IFERROR(__xludf.DUMMYFUNCTION("""COMPUTED_VALUE"""),"13100648")</f>
        <v>13100648</v>
      </c>
      <c r="H631" s="17" t="str">
        <f>IFERROR(__xludf.DUMMYFUNCTION("""COMPUTED_VALUE"""),"з'єднання «американка»")</f>
        <v>з'єднання «американка»</v>
      </c>
      <c r="I631" s="19">
        <f>IFERROR(__xludf.DUMMYFUNCTION("""COMPUTED_VALUE"""),0.0747)</f>
        <v>0.0747</v>
      </c>
      <c r="J631" s="19">
        <f>IFERROR(__xludf.DUMMYFUNCTION("""COMPUTED_VALUE"""),0.1494)</f>
        <v>0.1494</v>
      </c>
      <c r="K631" s="19">
        <f>IFERROR(__xludf.DUMMYFUNCTION("""COMPUTED_VALUE"""),0.1868)</f>
        <v>0.1868</v>
      </c>
      <c r="L631" s="19">
        <f>IFERROR(__xludf.DUMMYFUNCTION("""COMPUTED_VALUE"""),0.2241)</f>
        <v>0.2241</v>
      </c>
      <c r="M631" s="18">
        <f>IFERROR(__xludf.DUMMYFUNCTION("""COMPUTED_VALUE"""),1.53)</f>
        <v>1.53</v>
      </c>
    </row>
    <row r="632">
      <c r="A632" s="16" t="str">
        <f>IFERROR(__xludf.DUMMYFUNCTION("""COMPUTED_VALUE"""),"товари")</f>
        <v>товари</v>
      </c>
      <c r="B632" s="16" t="str">
        <f>IFERROR(__xludf.DUMMYFUNCTION("""COMPUTED_VALUE"""),"будівництво")</f>
        <v>будівництво</v>
      </c>
      <c r="C632" s="16" t="str">
        <f>IFERROR(__xludf.DUMMYFUNCTION("""COMPUTED_VALUE"""),"водо-, газо-, теплозабезпечення")</f>
        <v>водо-, газо-, теплозабезпечення</v>
      </c>
      <c r="D632" s="16" t="str">
        <f>IFERROR(__xludf.DUMMYFUNCTION("""COMPUTED_VALUE"""),"фітинги для труб")</f>
        <v>фітинги для труб</v>
      </c>
      <c r="E632" s="16" t="str">
        <f>IFERROR(__xludf.DUMMYFUNCTION("""COMPUTED_VALUE"""),"заглушки")</f>
        <v>заглушки</v>
      </c>
      <c r="F632" s="17">
        <f>IFERROR(__xludf.DUMMYFUNCTION("""COMPUTED_VALUE"""),4.0)</f>
        <v>4</v>
      </c>
      <c r="G632" s="17" t="str">
        <f>IFERROR(__xludf.DUMMYFUNCTION("""COMPUTED_VALUE"""),"13100602")</f>
        <v>13100602</v>
      </c>
      <c r="H632" s="17" t="str">
        <f>IFERROR(__xludf.DUMMYFUNCTION("""COMPUTED_VALUE"""),"заглушки")</f>
        <v>заглушки</v>
      </c>
      <c r="I632" s="19">
        <f>IFERROR(__xludf.DUMMYFUNCTION("""COMPUTED_VALUE"""),0.0747)</f>
        <v>0.0747</v>
      </c>
      <c r="J632" s="19">
        <f>IFERROR(__xludf.DUMMYFUNCTION("""COMPUTED_VALUE"""),0.1494)</f>
        <v>0.1494</v>
      </c>
      <c r="K632" s="19">
        <f>IFERROR(__xludf.DUMMYFUNCTION("""COMPUTED_VALUE"""),0.1868)</f>
        <v>0.1868</v>
      </c>
      <c r="L632" s="19">
        <f>IFERROR(__xludf.DUMMYFUNCTION("""COMPUTED_VALUE"""),0.2241)</f>
        <v>0.2241</v>
      </c>
      <c r="M632" s="18">
        <f>IFERROR(__xludf.DUMMYFUNCTION("""COMPUTED_VALUE"""),1.53)</f>
        <v>1.53</v>
      </c>
    </row>
    <row r="633">
      <c r="A633" s="16" t="str">
        <f>IFERROR(__xludf.DUMMYFUNCTION("""COMPUTED_VALUE"""),"товари")</f>
        <v>товари</v>
      </c>
      <c r="B633" s="16" t="str">
        <f>IFERROR(__xludf.DUMMYFUNCTION("""COMPUTED_VALUE"""),"будівництво")</f>
        <v>будівництво</v>
      </c>
      <c r="C633" s="16" t="str">
        <f>IFERROR(__xludf.DUMMYFUNCTION("""COMPUTED_VALUE"""),"водо-, газо-, теплозабезпечення")</f>
        <v>водо-, газо-, теплозабезпечення</v>
      </c>
      <c r="D633" s="16" t="str">
        <f>IFERROR(__xludf.DUMMYFUNCTION("""COMPUTED_VALUE"""),"запірна арматура")</f>
        <v>запірна арматура</v>
      </c>
      <c r="E633" s="16" t="str">
        <f>IFERROR(__xludf.DUMMYFUNCTION("""COMPUTED_VALUE"""),"засувки")</f>
        <v>засувки</v>
      </c>
      <c r="F633" s="17">
        <f>IFERROR(__xludf.DUMMYFUNCTION("""COMPUTED_VALUE"""),4.0)</f>
        <v>4</v>
      </c>
      <c r="G633" s="17" t="str">
        <f>IFERROR(__xludf.DUMMYFUNCTION("""COMPUTED_VALUE"""),"13100615")</f>
        <v>13100615</v>
      </c>
      <c r="H633" s="17" t="str">
        <f>IFERROR(__xludf.DUMMYFUNCTION("""COMPUTED_VALUE"""),"засувки")</f>
        <v>засувки</v>
      </c>
      <c r="I633" s="19">
        <f>IFERROR(__xludf.DUMMYFUNCTION("""COMPUTED_VALUE"""),0.0749)</f>
        <v>0.0749</v>
      </c>
      <c r="J633" s="19">
        <f>IFERROR(__xludf.DUMMYFUNCTION("""COMPUTED_VALUE"""),0.1497)</f>
        <v>0.1497</v>
      </c>
      <c r="K633" s="19">
        <f>IFERROR(__xludf.DUMMYFUNCTION("""COMPUTED_VALUE"""),0.1871)</f>
        <v>0.1871</v>
      </c>
      <c r="L633" s="19">
        <f>IFERROR(__xludf.DUMMYFUNCTION("""COMPUTED_VALUE"""),0.2246)</f>
        <v>0.2246</v>
      </c>
      <c r="M633" s="18">
        <f>IFERROR(__xludf.DUMMYFUNCTION("""COMPUTED_VALUE"""),1.71)</f>
        <v>1.71</v>
      </c>
    </row>
    <row r="634">
      <c r="A634" s="16" t="str">
        <f>IFERROR(__xludf.DUMMYFUNCTION("""COMPUTED_VALUE"""),"товари")</f>
        <v>товари</v>
      </c>
      <c r="B634" s="16" t="str">
        <f>IFERROR(__xludf.DUMMYFUNCTION("""COMPUTED_VALUE"""),"будівництво")</f>
        <v>будівництво</v>
      </c>
      <c r="C634" s="16" t="str">
        <f>IFERROR(__xludf.DUMMYFUNCTION("""COMPUTED_VALUE"""),"оздоблювальні матеріали")</f>
        <v>оздоблювальні матеріали</v>
      </c>
      <c r="D634" s="16" t="str">
        <f>IFERROR(__xludf.DUMMYFUNCTION("""COMPUTED_VALUE"""),"лакофарбові будівельні матеріали")</f>
        <v>лакофарбові будівельні матеріали</v>
      </c>
      <c r="E634" s="16" t="str">
        <f>IFERROR(__xludf.DUMMYFUNCTION("""COMPUTED_VALUE"""),"затверджувач")</f>
        <v>затверджувач</v>
      </c>
      <c r="F634" s="17">
        <f>IFERROR(__xludf.DUMMYFUNCTION("""COMPUTED_VALUE"""),4.0)</f>
        <v>4</v>
      </c>
      <c r="G634" s="17" t="str">
        <f>IFERROR(__xludf.DUMMYFUNCTION("""COMPUTED_VALUE"""),"13073605")</f>
        <v>13073605</v>
      </c>
      <c r="H634" s="17" t="str">
        <f>IFERROR(__xludf.DUMMYFUNCTION("""COMPUTED_VALUE"""),"затверджувач")</f>
        <v>затверджувач</v>
      </c>
      <c r="I634" s="19">
        <f>IFERROR(__xludf.DUMMYFUNCTION("""COMPUTED_VALUE"""),0.0707)</f>
        <v>0.0707</v>
      </c>
      <c r="J634" s="19">
        <f>IFERROR(__xludf.DUMMYFUNCTION("""COMPUTED_VALUE"""),0.1413)</f>
        <v>0.1413</v>
      </c>
      <c r="K634" s="19">
        <f>IFERROR(__xludf.DUMMYFUNCTION("""COMPUTED_VALUE"""),0.1766)</f>
        <v>0.1766</v>
      </c>
      <c r="L634" s="19">
        <f>IFERROR(__xludf.DUMMYFUNCTION("""COMPUTED_VALUE"""),0.212)</f>
        <v>0.212</v>
      </c>
      <c r="M634" s="18">
        <f>IFERROR(__xludf.DUMMYFUNCTION("""COMPUTED_VALUE"""),3.88)</f>
        <v>3.88</v>
      </c>
    </row>
    <row r="635">
      <c r="A635" s="16" t="str">
        <f>IFERROR(__xludf.DUMMYFUNCTION("""COMPUTED_VALUE"""),"товари")</f>
        <v>товари</v>
      </c>
      <c r="B635" s="16" t="str">
        <f>IFERROR(__xludf.DUMMYFUNCTION("""COMPUTED_VALUE"""),"будівництво")</f>
        <v>будівництво</v>
      </c>
      <c r="C635" s="16" t="str">
        <f>IFERROR(__xludf.DUMMYFUNCTION("""COMPUTED_VALUE"""),"будівельні матеріали")</f>
        <v>будівельні матеріали</v>
      </c>
      <c r="D635" s="16" t="str">
        <f>IFERROR(__xludf.DUMMYFUNCTION("""COMPUTED_VALUE"""),"звукоізоляційні матеріали")</f>
        <v>звукоізоляційні матеріали</v>
      </c>
      <c r="E635" s="16" t="str">
        <f>IFERROR(__xludf.DUMMYFUNCTION("""COMPUTED_VALUE"""),"звукоізоляційні матеріали")</f>
        <v>звукоізоляційні матеріали</v>
      </c>
      <c r="F635" s="17">
        <f>IFERROR(__xludf.DUMMYFUNCTION("""COMPUTED_VALUE"""),3.0)</f>
        <v>3</v>
      </c>
      <c r="G635" s="17" t="str">
        <f>IFERROR(__xludf.DUMMYFUNCTION("""COMPUTED_VALUE"""),"1322")</f>
        <v>1322</v>
      </c>
      <c r="H635" s="17" t="str">
        <f>IFERROR(__xludf.DUMMYFUNCTION("""COMPUTED_VALUE"""),"звукоізоляційні матеріали")</f>
        <v>звукоізоляційні матеріали</v>
      </c>
      <c r="I635" s="19">
        <f>IFERROR(__xludf.DUMMYFUNCTION("""COMPUTED_VALUE"""),0.0617)</f>
        <v>0.0617</v>
      </c>
      <c r="J635" s="19">
        <f>IFERROR(__xludf.DUMMYFUNCTION("""COMPUTED_VALUE"""),0.1233)</f>
        <v>0.1233</v>
      </c>
      <c r="K635" s="19">
        <f>IFERROR(__xludf.DUMMYFUNCTION("""COMPUTED_VALUE"""),0.1541)</f>
        <v>0.1541</v>
      </c>
      <c r="L635" s="19">
        <f>IFERROR(__xludf.DUMMYFUNCTION("""COMPUTED_VALUE"""),0.185)</f>
        <v>0.185</v>
      </c>
      <c r="M635" s="18">
        <f>IFERROR(__xludf.DUMMYFUNCTION("""COMPUTED_VALUE"""),2.61)</f>
        <v>2.61</v>
      </c>
    </row>
    <row r="636">
      <c r="A636" s="16" t="str">
        <f>IFERROR(__xludf.DUMMYFUNCTION("""COMPUTED_VALUE"""),"товари")</f>
        <v>товари</v>
      </c>
      <c r="B636" s="16" t="str">
        <f>IFERROR(__xludf.DUMMYFUNCTION("""COMPUTED_VALUE"""),"будівництво")</f>
        <v>будівництво</v>
      </c>
      <c r="C636" s="16" t="str">
        <f>IFERROR(__xludf.DUMMYFUNCTION("""COMPUTED_VALUE"""),"водо-, газо-, теплозабезпечення")</f>
        <v>водо-, газо-, теплозабезпечення</v>
      </c>
      <c r="D636" s="16" t="str">
        <f>IFERROR(__xludf.DUMMYFUNCTION("""COMPUTED_VALUE"""),"фітинги для труб")</f>
        <v>фітинги для труб</v>
      </c>
      <c r="E636" s="16" t="str">
        <f>IFERROR(__xludf.DUMMYFUNCTION("""COMPUTED_VALUE"""),"згони")</f>
        <v>згони</v>
      </c>
      <c r="F636" s="17">
        <f>IFERROR(__xludf.DUMMYFUNCTION("""COMPUTED_VALUE"""),4.0)</f>
        <v>4</v>
      </c>
      <c r="G636" s="17" t="str">
        <f>IFERROR(__xludf.DUMMYFUNCTION("""COMPUTED_VALUE"""),"13100624")</f>
        <v>13100624</v>
      </c>
      <c r="H636" s="17" t="str">
        <f>IFERROR(__xludf.DUMMYFUNCTION("""COMPUTED_VALUE"""),"згони")</f>
        <v>згони</v>
      </c>
      <c r="I636" s="19">
        <f>IFERROR(__xludf.DUMMYFUNCTION("""COMPUTED_VALUE"""),0.0747)</f>
        <v>0.0747</v>
      </c>
      <c r="J636" s="19">
        <f>IFERROR(__xludf.DUMMYFUNCTION("""COMPUTED_VALUE"""),0.1494)</f>
        <v>0.1494</v>
      </c>
      <c r="K636" s="19">
        <f>IFERROR(__xludf.DUMMYFUNCTION("""COMPUTED_VALUE"""),0.1868)</f>
        <v>0.1868</v>
      </c>
      <c r="L636" s="19">
        <f>IFERROR(__xludf.DUMMYFUNCTION("""COMPUTED_VALUE"""),0.2241)</f>
        <v>0.2241</v>
      </c>
      <c r="M636" s="18">
        <f>IFERROR(__xludf.DUMMYFUNCTION("""COMPUTED_VALUE"""),1.53)</f>
        <v>1.53</v>
      </c>
    </row>
    <row r="637">
      <c r="A637" s="13" t="str">
        <f>IFERROR(__xludf.DUMMYFUNCTION("""COMPUTED_VALUE"""),"товари")</f>
        <v>товари</v>
      </c>
      <c r="B637" s="16" t="str">
        <f>IFERROR(__xludf.DUMMYFUNCTION("""COMPUTED_VALUE"""),"будівництво")</f>
        <v>будівництво</v>
      </c>
      <c r="C637" s="16" t="str">
        <f>IFERROR(__xludf.DUMMYFUNCTION("""COMPUTED_VALUE"""),"водо-, газо-, теплозабезпечення")</f>
        <v>водо-, газо-, теплозабезпечення</v>
      </c>
      <c r="D637" s="16" t="str">
        <f>IFERROR(__xludf.DUMMYFUNCTION("""COMPUTED_VALUE"""),"каналізаційне обладнання")</f>
        <v>каналізаційне обладнання</v>
      </c>
      <c r="E637" s="16" t="str">
        <f>IFERROR(__xludf.DUMMYFUNCTION("""COMPUTED_VALUE"""),"зливоприймачі")</f>
        <v>зливоприймачі</v>
      </c>
      <c r="F637" s="17">
        <f>IFERROR(__xludf.DUMMYFUNCTION("""COMPUTED_VALUE"""),4.0)</f>
        <v>4</v>
      </c>
      <c r="G637" s="17" t="str">
        <f>IFERROR(__xludf.DUMMYFUNCTION("""COMPUTED_VALUE"""),"13240503")</f>
        <v>13240503</v>
      </c>
      <c r="H637" s="17" t="str">
        <f>IFERROR(__xludf.DUMMYFUNCTION("""COMPUTED_VALUE"""),"зливоприймачі")</f>
        <v>зливоприймачі</v>
      </c>
      <c r="I637" s="19">
        <f>IFERROR(__xludf.DUMMYFUNCTION("""COMPUTED_VALUE"""),0.082)</f>
        <v>0.082</v>
      </c>
      <c r="J637" s="19">
        <f>IFERROR(__xludf.DUMMYFUNCTION("""COMPUTED_VALUE"""),0.1639)</f>
        <v>0.1639</v>
      </c>
      <c r="K637" s="19">
        <f>IFERROR(__xludf.DUMMYFUNCTION("""COMPUTED_VALUE"""),0.2049)</f>
        <v>0.2049</v>
      </c>
      <c r="L637" s="19">
        <f>IFERROR(__xludf.DUMMYFUNCTION("""COMPUTED_VALUE"""),0.2459)</f>
        <v>0.2459</v>
      </c>
      <c r="M637" s="18">
        <f>IFERROR(__xludf.DUMMYFUNCTION("""COMPUTED_VALUE"""),1.53)</f>
        <v>1.53</v>
      </c>
    </row>
    <row r="638">
      <c r="A638" s="13" t="str">
        <f>IFERROR(__xludf.DUMMYFUNCTION("""COMPUTED_VALUE"""),"товари")</f>
        <v>товари</v>
      </c>
      <c r="B638" s="16" t="str">
        <f>IFERROR(__xludf.DUMMYFUNCTION("""COMPUTED_VALUE"""),"будівництво")</f>
        <v>будівництво</v>
      </c>
      <c r="C638" s="16" t="str">
        <f>IFERROR(__xludf.DUMMYFUNCTION("""COMPUTED_VALUE"""),"будівельні матеріали")</f>
        <v>будівельні матеріали</v>
      </c>
      <c r="D638" s="16" t="str">
        <f>IFERROR(__xludf.DUMMYFUNCTION("""COMPUTED_VALUE"""),"гідроізоляційні матеріали")</f>
        <v>гідроізоляційні матеріали</v>
      </c>
      <c r="E638" s="16" t="str">
        <f>IFERROR(__xludf.DUMMYFUNCTION("""COMPUTED_VALUE"""),"ін'єкційні гідроізоляційні матеріали")</f>
        <v>ін'єкційні гідроізоляційні матеріали</v>
      </c>
      <c r="F638" s="17">
        <f>IFERROR(__xludf.DUMMYFUNCTION("""COMPUTED_VALUE"""),4.0)</f>
        <v>4</v>
      </c>
      <c r="G638" s="17" t="str">
        <f>IFERROR(__xludf.DUMMYFUNCTION("""COMPUTED_VALUE"""),"132311")</f>
        <v>132311</v>
      </c>
      <c r="H638" s="17" t="str">
        <f>IFERROR(__xludf.DUMMYFUNCTION("""COMPUTED_VALUE"""),"ін'єкційні гідроізоляційні матеріали")</f>
        <v>ін'єкційні гідроізоляційні матеріали</v>
      </c>
      <c r="I638" s="19">
        <f>IFERROR(__xludf.DUMMYFUNCTION("""COMPUTED_VALUE"""),0.03)</f>
        <v>0.03</v>
      </c>
      <c r="J638" s="19">
        <f>IFERROR(__xludf.DUMMYFUNCTION("""COMPUTED_VALUE"""),0.06)</f>
        <v>0.06</v>
      </c>
      <c r="K638" s="19">
        <f>IFERROR(__xludf.DUMMYFUNCTION("""COMPUTED_VALUE"""),0.075)</f>
        <v>0.075</v>
      </c>
      <c r="L638" s="19">
        <f>IFERROR(__xludf.DUMMYFUNCTION("""COMPUTED_VALUE"""),0.09)</f>
        <v>0.09</v>
      </c>
      <c r="M638" s="18">
        <f>IFERROR(__xludf.DUMMYFUNCTION("""COMPUTED_VALUE"""),3.75)</f>
        <v>3.75</v>
      </c>
    </row>
    <row r="639">
      <c r="A639" s="13" t="str">
        <f>IFERROR(__xludf.DUMMYFUNCTION("""COMPUTED_VALUE"""),"товари")</f>
        <v>товари</v>
      </c>
      <c r="B639" s="16" t="str">
        <f>IFERROR(__xludf.DUMMYFUNCTION("""COMPUTED_VALUE"""),"будівництво")</f>
        <v>будівництво</v>
      </c>
      <c r="C639" s="16" t="str">
        <f>IFERROR(__xludf.DUMMYFUNCTION("""COMPUTED_VALUE"""),"водо-, газо-, теплозабезпечення")</f>
        <v>водо-, газо-, теплозабезпечення</v>
      </c>
      <c r="D639" s="16" t="str">
        <f>IFERROR(__xludf.DUMMYFUNCTION("""COMPUTED_VALUE"""),"каналізаційне обладнання")</f>
        <v>каналізаційне обладнання</v>
      </c>
      <c r="E639" s="16" t="str">
        <f>IFERROR(__xludf.DUMMYFUNCTION("""COMPUTED_VALUE"""),"каналізаційне обладнання, загальне")</f>
        <v>каналізаційне обладнання, загальне</v>
      </c>
      <c r="F639" s="17">
        <f>IFERROR(__xludf.DUMMYFUNCTION("""COMPUTED_VALUE"""),4.0)</f>
        <v>4</v>
      </c>
      <c r="G639" s="17" t="str">
        <f>IFERROR(__xludf.DUMMYFUNCTION("""COMPUTED_VALUE"""),"13240508")</f>
        <v>13240508</v>
      </c>
      <c r="H639" s="17" t="str">
        <f>IFERROR(__xludf.DUMMYFUNCTION("""COMPUTED_VALUE"""),"каналізаційне обладнання, загальне")</f>
        <v>каналізаційне обладнання, загальне</v>
      </c>
      <c r="I639" s="19">
        <f>IFERROR(__xludf.DUMMYFUNCTION("""COMPUTED_VALUE"""),0.125)</f>
        <v>0.125</v>
      </c>
      <c r="J639" s="19">
        <f>IFERROR(__xludf.DUMMYFUNCTION("""COMPUTED_VALUE"""),0.25)</f>
        <v>0.25</v>
      </c>
      <c r="K639" s="19">
        <f>IFERROR(__xludf.DUMMYFUNCTION("""COMPUTED_VALUE"""),0.3125)</f>
        <v>0.3125</v>
      </c>
      <c r="L639" s="19">
        <f>IFERROR(__xludf.DUMMYFUNCTION("""COMPUTED_VALUE"""),0.375)</f>
        <v>0.375</v>
      </c>
      <c r="M639" s="18">
        <f>IFERROR(__xludf.DUMMYFUNCTION("""COMPUTED_VALUE"""),4.33)</f>
        <v>4.33</v>
      </c>
    </row>
    <row r="640">
      <c r="A640" s="13" t="str">
        <f>IFERROR(__xludf.DUMMYFUNCTION("""COMPUTED_VALUE"""),"товари")</f>
        <v>товари</v>
      </c>
      <c r="B640" s="16" t="str">
        <f>IFERROR(__xludf.DUMMYFUNCTION("""COMPUTED_VALUE"""),"будівництво")</f>
        <v>будівництво</v>
      </c>
      <c r="C640" s="16" t="str">
        <f>IFERROR(__xludf.DUMMYFUNCTION("""COMPUTED_VALUE"""),"водо-, газо-, теплозабезпечення")</f>
        <v>водо-, газо-, теплозабезпечення</v>
      </c>
      <c r="D640" s="16" t="str">
        <f>IFERROR(__xludf.DUMMYFUNCTION("""COMPUTED_VALUE"""),"каналізаційне обладнання")</f>
        <v>каналізаційне обладнання</v>
      </c>
      <c r="E640" s="16" t="str">
        <f>IFERROR(__xludf.DUMMYFUNCTION("""COMPUTED_VALUE"""),"каналізаційні люки")</f>
        <v>каналізаційні люки</v>
      </c>
      <c r="F640" s="17">
        <f>IFERROR(__xludf.DUMMYFUNCTION("""COMPUTED_VALUE"""),4.0)</f>
        <v>4</v>
      </c>
      <c r="G640" s="17" t="str">
        <f>IFERROR(__xludf.DUMMYFUNCTION("""COMPUTED_VALUE"""),"13240504")</f>
        <v>13240504</v>
      </c>
      <c r="H640" s="17" t="str">
        <f>IFERROR(__xludf.DUMMYFUNCTION("""COMPUTED_VALUE"""),"каналізаційні люки")</f>
        <v>каналізаційні люки</v>
      </c>
      <c r="I640" s="19">
        <f>IFERROR(__xludf.DUMMYFUNCTION("""COMPUTED_VALUE"""),0.0747)</f>
        <v>0.0747</v>
      </c>
      <c r="J640" s="19">
        <f>IFERROR(__xludf.DUMMYFUNCTION("""COMPUTED_VALUE"""),0.1494)</f>
        <v>0.1494</v>
      </c>
      <c r="K640" s="19">
        <f>IFERROR(__xludf.DUMMYFUNCTION("""COMPUTED_VALUE"""),0.1868)</f>
        <v>0.1868</v>
      </c>
      <c r="L640" s="19">
        <f>IFERROR(__xludf.DUMMYFUNCTION("""COMPUTED_VALUE"""),0.2241)</f>
        <v>0.2241</v>
      </c>
      <c r="M640" s="18">
        <f>IFERROR(__xludf.DUMMYFUNCTION("""COMPUTED_VALUE"""),1.53)</f>
        <v>1.53</v>
      </c>
    </row>
    <row r="641">
      <c r="A641" s="13" t="str">
        <f>IFERROR(__xludf.DUMMYFUNCTION("""COMPUTED_VALUE"""),"товари")</f>
        <v>товари</v>
      </c>
      <c r="B641" s="16" t="str">
        <f>IFERROR(__xludf.DUMMYFUNCTION("""COMPUTED_VALUE"""),"будівництво")</f>
        <v>будівництво</v>
      </c>
      <c r="C641" s="16" t="str">
        <f>IFERROR(__xludf.DUMMYFUNCTION("""COMPUTED_VALUE"""),"будівельні матеріали")</f>
        <v>будівельні матеріали</v>
      </c>
      <c r="D641" s="16" t="str">
        <f>IFERROR(__xludf.DUMMYFUNCTION("""COMPUTED_VALUE"""),"сипкі матеріали")</f>
        <v>сипкі матеріали</v>
      </c>
      <c r="E641" s="16" t="str">
        <f>IFERROR(__xludf.DUMMYFUNCTION("""COMPUTED_VALUE"""),"керамзит, шунгізит")</f>
        <v>керамзит, шунгізит</v>
      </c>
      <c r="F641" s="17">
        <f>IFERROR(__xludf.DUMMYFUNCTION("""COMPUTED_VALUE"""),4.0)</f>
        <v>4</v>
      </c>
      <c r="G641" s="17" t="str">
        <f>IFERROR(__xludf.DUMMYFUNCTION("""COMPUTED_VALUE"""),"13070603")</f>
        <v>13070603</v>
      </c>
      <c r="H641" s="17" t="str">
        <f>IFERROR(__xludf.DUMMYFUNCTION("""COMPUTED_VALUE"""),"керамзит, шунгізит")</f>
        <v>керамзит, шунгізит</v>
      </c>
      <c r="I641" s="19">
        <f>IFERROR(__xludf.DUMMYFUNCTION("""COMPUTED_VALUE"""),0.03)</f>
        <v>0.03</v>
      </c>
      <c r="J641" s="19">
        <f>IFERROR(__xludf.DUMMYFUNCTION("""COMPUTED_VALUE"""),0.06)</f>
        <v>0.06</v>
      </c>
      <c r="K641" s="19">
        <f>IFERROR(__xludf.DUMMYFUNCTION("""COMPUTED_VALUE"""),0.075)</f>
        <v>0.075</v>
      </c>
      <c r="L641" s="19">
        <f>IFERROR(__xludf.DUMMYFUNCTION("""COMPUTED_VALUE"""),0.09)</f>
        <v>0.09</v>
      </c>
      <c r="M641" s="18">
        <f>IFERROR(__xludf.DUMMYFUNCTION("""COMPUTED_VALUE"""),5.4)</f>
        <v>5.4</v>
      </c>
    </row>
    <row r="642">
      <c r="A642" s="13" t="str">
        <f>IFERROR(__xludf.DUMMYFUNCTION("""COMPUTED_VALUE"""),"товари")</f>
        <v>товари</v>
      </c>
      <c r="B642" s="16" t="str">
        <f>IFERROR(__xludf.DUMMYFUNCTION("""COMPUTED_VALUE"""),"будівництво")</f>
        <v>будівництво</v>
      </c>
      <c r="C642" s="16" t="str">
        <f>IFERROR(__xludf.DUMMYFUNCTION("""COMPUTED_VALUE"""),"будівельні матеріали")</f>
        <v>будівельні матеріали</v>
      </c>
      <c r="D642" s="16" t="str">
        <f>IFERROR(__xludf.DUMMYFUNCTION("""COMPUTED_VALUE"""),"теплоізоляційні матеріали")</f>
        <v>теплоізоляційні матеріали</v>
      </c>
      <c r="E642" s="16" t="str">
        <f>IFERROR(__xludf.DUMMYFUNCTION("""COMPUTED_VALUE"""),"керамічні теплоізоляційні матеріали")</f>
        <v>керамічні теплоізоляційні матеріали</v>
      </c>
      <c r="F642" s="17">
        <f>IFERROR(__xludf.DUMMYFUNCTION("""COMPUTED_VALUE"""),4.0)</f>
        <v>4</v>
      </c>
      <c r="G642" s="17" t="str">
        <f>IFERROR(__xludf.DUMMYFUNCTION("""COMPUTED_VALUE"""),"146703")</f>
        <v>146703</v>
      </c>
      <c r="H642" s="17" t="str">
        <f>IFERROR(__xludf.DUMMYFUNCTION("""COMPUTED_VALUE"""),"керамічні теплоізоляційні матеріали")</f>
        <v>керамічні теплоізоляційні матеріали</v>
      </c>
      <c r="I642" s="19">
        <f>IFERROR(__xludf.DUMMYFUNCTION("""COMPUTED_VALUE"""),0.0442)</f>
        <v>0.0442</v>
      </c>
      <c r="J642" s="19">
        <f>IFERROR(__xludf.DUMMYFUNCTION("""COMPUTED_VALUE"""),0.0884)</f>
        <v>0.0884</v>
      </c>
      <c r="K642" s="19">
        <f>IFERROR(__xludf.DUMMYFUNCTION("""COMPUTED_VALUE"""),0.1105)</f>
        <v>0.1105</v>
      </c>
      <c r="L642" s="19">
        <f>IFERROR(__xludf.DUMMYFUNCTION("""COMPUTED_VALUE"""),0.1326)</f>
        <v>0.1326</v>
      </c>
      <c r="M642" s="18">
        <f>IFERROR(__xludf.DUMMYFUNCTION("""COMPUTED_VALUE"""),3.88)</f>
        <v>3.88</v>
      </c>
    </row>
    <row r="643">
      <c r="A643" s="13" t="str">
        <f>IFERROR(__xludf.DUMMYFUNCTION("""COMPUTED_VALUE"""),"товари")</f>
        <v>товари</v>
      </c>
      <c r="B643" s="16" t="str">
        <f>IFERROR(__xludf.DUMMYFUNCTION("""COMPUTED_VALUE"""),"будівництво")</f>
        <v>будівництво</v>
      </c>
      <c r="C643" s="16" t="str">
        <f>IFERROR(__xludf.DUMMYFUNCTION("""COMPUTED_VALUE"""),"водо-, газо-, теплозабезпечення")</f>
        <v>водо-, газо-, теплозабезпечення</v>
      </c>
      <c r="D643" s="16" t="str">
        <f>IFERROR(__xludf.DUMMYFUNCTION("""COMPUTED_VALUE"""),"запірна арматура")</f>
        <v>запірна арматура</v>
      </c>
      <c r="E643" s="16" t="str">
        <f>IFERROR(__xludf.DUMMYFUNCTION("""COMPUTED_VALUE"""),"клапани")</f>
        <v>клапани</v>
      </c>
      <c r="F643" s="17">
        <f>IFERROR(__xludf.DUMMYFUNCTION("""COMPUTED_VALUE"""),4.0)</f>
        <v>4</v>
      </c>
      <c r="G643" s="17" t="str">
        <f>IFERROR(__xludf.DUMMYFUNCTION("""COMPUTED_VALUE"""),"13100633")</f>
        <v>13100633</v>
      </c>
      <c r="H643" s="17" t="str">
        <f>IFERROR(__xludf.DUMMYFUNCTION("""COMPUTED_VALUE"""),"клапани")</f>
        <v>клапани</v>
      </c>
      <c r="I643" s="19">
        <f>IFERROR(__xludf.DUMMYFUNCTION("""COMPUTED_VALUE"""),0.0749)</f>
        <v>0.0749</v>
      </c>
      <c r="J643" s="19">
        <f>IFERROR(__xludf.DUMMYFUNCTION("""COMPUTED_VALUE"""),0.1497)</f>
        <v>0.1497</v>
      </c>
      <c r="K643" s="19">
        <f>IFERROR(__xludf.DUMMYFUNCTION("""COMPUTED_VALUE"""),0.1871)</f>
        <v>0.1871</v>
      </c>
      <c r="L643" s="19">
        <f>IFERROR(__xludf.DUMMYFUNCTION("""COMPUTED_VALUE"""),0.2246)</f>
        <v>0.2246</v>
      </c>
      <c r="M643" s="18">
        <f>IFERROR(__xludf.DUMMYFUNCTION("""COMPUTED_VALUE"""),1.71)</f>
        <v>1.71</v>
      </c>
    </row>
    <row r="644">
      <c r="A644" s="13" t="str">
        <f>IFERROR(__xludf.DUMMYFUNCTION("""COMPUTED_VALUE"""),"товари")</f>
        <v>товари</v>
      </c>
      <c r="B644" s="16" t="str">
        <f>IFERROR(__xludf.DUMMYFUNCTION("""COMPUTED_VALUE"""),"будівництво")</f>
        <v>будівництво</v>
      </c>
      <c r="C644" s="16" t="str">
        <f>IFERROR(__xludf.DUMMYFUNCTION("""COMPUTED_VALUE"""),"оздоблювальні матеріали")</f>
        <v>оздоблювальні матеріали</v>
      </c>
      <c r="D644" s="16" t="str">
        <f>IFERROR(__xludf.DUMMYFUNCTION("""COMPUTED_VALUE"""),"лакофарбові будівельні матеріали")</f>
        <v>лакофарбові будівельні матеріали</v>
      </c>
      <c r="E644" s="16" t="str">
        <f>IFERROR(__xludf.DUMMYFUNCTION("""COMPUTED_VALUE"""),"колери")</f>
        <v>колери</v>
      </c>
      <c r="F644" s="17">
        <f>IFERROR(__xludf.DUMMYFUNCTION("""COMPUTED_VALUE"""),4.0)</f>
        <v>4</v>
      </c>
      <c r="G644" s="17" t="str">
        <f>IFERROR(__xludf.DUMMYFUNCTION("""COMPUTED_VALUE"""),"13071007")</f>
        <v>13071007</v>
      </c>
      <c r="H644" s="17" t="str">
        <f>IFERROR(__xludf.DUMMYFUNCTION("""COMPUTED_VALUE"""),"колери")</f>
        <v>колери</v>
      </c>
      <c r="I644" s="19">
        <f>IFERROR(__xludf.DUMMYFUNCTION("""COMPUTED_VALUE"""),0.0596)</f>
        <v>0.0596</v>
      </c>
      <c r="J644" s="19">
        <f>IFERROR(__xludf.DUMMYFUNCTION("""COMPUTED_VALUE"""),0.1192)</f>
        <v>0.1192</v>
      </c>
      <c r="K644" s="19">
        <f>IFERROR(__xludf.DUMMYFUNCTION("""COMPUTED_VALUE"""),0.149)</f>
        <v>0.149</v>
      </c>
      <c r="L644" s="19">
        <f>IFERROR(__xludf.DUMMYFUNCTION("""COMPUTED_VALUE"""),0.1788)</f>
        <v>0.1788</v>
      </c>
      <c r="M644" s="18">
        <f>IFERROR(__xludf.DUMMYFUNCTION("""COMPUTED_VALUE"""),3.88)</f>
        <v>3.88</v>
      </c>
    </row>
    <row r="645">
      <c r="A645" s="13" t="str">
        <f>IFERROR(__xludf.DUMMYFUNCTION("""COMPUTED_VALUE"""),"товари")</f>
        <v>товари</v>
      </c>
      <c r="B645" s="16" t="str">
        <f>IFERROR(__xludf.DUMMYFUNCTION("""COMPUTED_VALUE"""),"будівництво")</f>
        <v>будівництво</v>
      </c>
      <c r="C645" s="16" t="str">
        <f>IFERROR(__xludf.DUMMYFUNCTION("""COMPUTED_VALUE"""),"водо-, газо-, теплозабезпечення")</f>
        <v>водо-, газо-, теплозабезпечення</v>
      </c>
      <c r="D645" s="16" t="str">
        <f>IFERROR(__xludf.DUMMYFUNCTION("""COMPUTED_VALUE"""),"фітинги для труб")</f>
        <v>фітинги для труб</v>
      </c>
      <c r="E645" s="16" t="str">
        <f>IFERROR(__xludf.DUMMYFUNCTION("""COMPUTED_VALUE"""),"компенсаційні петлі та патрубки")</f>
        <v>компенсаційні петлі та патрубки</v>
      </c>
      <c r="F645" s="17">
        <f>IFERROR(__xludf.DUMMYFUNCTION("""COMPUTED_VALUE"""),4.0)</f>
        <v>4</v>
      </c>
      <c r="G645" s="17" t="str">
        <f>IFERROR(__xludf.DUMMYFUNCTION("""COMPUTED_VALUE"""),"13100650")</f>
        <v>13100650</v>
      </c>
      <c r="H645" s="17" t="str">
        <f>IFERROR(__xludf.DUMMYFUNCTION("""COMPUTED_VALUE"""),"компенсаційні петлі та патрубки")</f>
        <v>компенсаційні петлі та патрубки</v>
      </c>
      <c r="I645" s="19">
        <f>IFERROR(__xludf.DUMMYFUNCTION("""COMPUTED_VALUE"""),0.0747)</f>
        <v>0.0747</v>
      </c>
      <c r="J645" s="19">
        <f>IFERROR(__xludf.DUMMYFUNCTION("""COMPUTED_VALUE"""),0.1494)</f>
        <v>0.1494</v>
      </c>
      <c r="K645" s="19">
        <f>IFERROR(__xludf.DUMMYFUNCTION("""COMPUTED_VALUE"""),0.1868)</f>
        <v>0.1868</v>
      </c>
      <c r="L645" s="19">
        <f>IFERROR(__xludf.DUMMYFUNCTION("""COMPUTED_VALUE"""),0.2241)</f>
        <v>0.2241</v>
      </c>
      <c r="M645" s="18">
        <f>IFERROR(__xludf.DUMMYFUNCTION("""COMPUTED_VALUE"""),1.53)</f>
        <v>1.53</v>
      </c>
    </row>
    <row r="646">
      <c r="A646" s="13" t="str">
        <f>IFERROR(__xludf.DUMMYFUNCTION("""COMPUTED_VALUE"""),"товари")</f>
        <v>товари</v>
      </c>
      <c r="B646" s="16" t="str">
        <f>IFERROR(__xludf.DUMMYFUNCTION("""COMPUTED_VALUE"""),"будівництво")</f>
        <v>будівництво</v>
      </c>
      <c r="C646" s="16" t="str">
        <f>IFERROR(__xludf.DUMMYFUNCTION("""COMPUTED_VALUE"""),"оздоблювальні матеріали")</f>
        <v>оздоблювальні матеріали</v>
      </c>
      <c r="D646" s="16" t="str">
        <f>IFERROR(__xludf.DUMMYFUNCTION("""COMPUTED_VALUE"""),"матеріали для гіпсокартонних робіт")</f>
        <v>матеріали для гіпсокартонних робіт</v>
      </c>
      <c r="E646" s="16" t="str">
        <f>IFERROR(__xludf.DUMMYFUNCTION("""COMPUTED_VALUE"""),"комплектуючі для гіпсокартону")</f>
        <v>комплектуючі для гіпсокартону</v>
      </c>
      <c r="F646" s="17">
        <f>IFERROR(__xludf.DUMMYFUNCTION("""COMPUTED_VALUE"""),4.0)</f>
        <v>4</v>
      </c>
      <c r="G646" s="17" t="str">
        <f>IFERROR(__xludf.DUMMYFUNCTION("""COMPUTED_VALUE"""),"13260703")</f>
        <v>13260703</v>
      </c>
      <c r="H646" s="17" t="str">
        <f>IFERROR(__xludf.DUMMYFUNCTION("""COMPUTED_VALUE"""),"комплектуючі для гіпсокартону")</f>
        <v>комплектуючі для гіпсокартону</v>
      </c>
      <c r="I646" s="19">
        <f>IFERROR(__xludf.DUMMYFUNCTION("""COMPUTED_VALUE"""),0.0609)</f>
        <v>0.0609</v>
      </c>
      <c r="J646" s="19">
        <f>IFERROR(__xludf.DUMMYFUNCTION("""COMPUTED_VALUE"""),0.1217)</f>
        <v>0.1217</v>
      </c>
      <c r="K646" s="19">
        <f>IFERROR(__xludf.DUMMYFUNCTION("""COMPUTED_VALUE"""),0.1521)</f>
        <v>0.1521</v>
      </c>
      <c r="L646" s="19">
        <f>IFERROR(__xludf.DUMMYFUNCTION("""COMPUTED_VALUE"""),0.1826)</f>
        <v>0.1826</v>
      </c>
      <c r="M646" s="18">
        <f>IFERROR(__xludf.DUMMYFUNCTION("""COMPUTED_VALUE"""),1.53)</f>
        <v>1.53</v>
      </c>
    </row>
    <row r="647">
      <c r="A647" s="13" t="str">
        <f>IFERROR(__xludf.DUMMYFUNCTION("""COMPUTED_VALUE"""),"товари")</f>
        <v>товари</v>
      </c>
      <c r="B647" s="16" t="str">
        <f>IFERROR(__xludf.DUMMYFUNCTION("""COMPUTED_VALUE"""),"будівництво")</f>
        <v>будівництво</v>
      </c>
      <c r="C647" s="16" t="str">
        <f>IFERROR(__xludf.DUMMYFUNCTION("""COMPUTED_VALUE"""),"будівельна техніка та обладнання")</f>
        <v>будівельна техніка та обладнання</v>
      </c>
      <c r="D647" s="16" t="str">
        <f>IFERROR(__xludf.DUMMYFUNCTION("""COMPUTED_VALUE"""),"комплектуючі для будівельного обладнання")</f>
        <v>комплектуючі для будівельного обладнання</v>
      </c>
      <c r="E647" s="16" t="str">
        <f>IFERROR(__xludf.DUMMYFUNCTION("""COMPUTED_VALUE"""),"комплектуючі для оздоблювального та покрівельного обладнання")</f>
        <v>комплектуючі для оздоблювального та покрівельного обладнання</v>
      </c>
      <c r="F647" s="17">
        <f>IFERROR(__xludf.DUMMYFUNCTION("""COMPUTED_VALUE"""),4.0)</f>
        <v>4</v>
      </c>
      <c r="G647" s="17" t="str">
        <f>IFERROR(__xludf.DUMMYFUNCTION("""COMPUTED_VALUE"""),"13040704")</f>
        <v>13040704</v>
      </c>
      <c r="H647" s="17" t="str">
        <f>IFERROR(__xludf.DUMMYFUNCTION("""COMPUTED_VALUE"""),"комплектуючі для оздоблювального та покрівельного обладнання")</f>
        <v>комплектуючі для оздоблювального та покрівельного обладнання</v>
      </c>
      <c r="I647" s="19">
        <f>IFERROR(__xludf.DUMMYFUNCTION("""COMPUTED_VALUE"""),0.064)</f>
        <v>0.064</v>
      </c>
      <c r="J647" s="19">
        <f>IFERROR(__xludf.DUMMYFUNCTION("""COMPUTED_VALUE"""),0.128)</f>
        <v>0.128</v>
      </c>
      <c r="K647" s="19">
        <f>IFERROR(__xludf.DUMMYFUNCTION("""COMPUTED_VALUE"""),0.16)</f>
        <v>0.16</v>
      </c>
      <c r="L647" s="19">
        <f>IFERROR(__xludf.DUMMYFUNCTION("""COMPUTED_VALUE"""),0.192)</f>
        <v>0.192</v>
      </c>
      <c r="M647" s="18">
        <f>IFERROR(__xludf.DUMMYFUNCTION("""COMPUTED_VALUE"""),4.14)</f>
        <v>4.14</v>
      </c>
    </row>
    <row r="648">
      <c r="A648" s="13" t="str">
        <f>IFERROR(__xludf.DUMMYFUNCTION("""COMPUTED_VALUE"""),"товари")</f>
        <v>товари</v>
      </c>
      <c r="B648" s="16" t="str">
        <f>IFERROR(__xludf.DUMMYFUNCTION("""COMPUTED_VALUE"""),"будівництво")</f>
        <v>будівництво</v>
      </c>
      <c r="C648" s="16" t="str">
        <f>IFERROR(__xludf.DUMMYFUNCTION("""COMPUTED_VALUE"""),"будівельні матеріали")</f>
        <v>будівельні матеріали</v>
      </c>
      <c r="D648" s="16" t="str">
        <f>IFERROR(__xludf.DUMMYFUNCTION("""COMPUTED_VALUE"""),"ворота, огорожі, шлагбауми та комплектуючі")</f>
        <v>ворота, огорожі, шлагбауми та комплектуючі</v>
      </c>
      <c r="E648" s="16" t="str">
        <f>IFERROR(__xludf.DUMMYFUNCTION("""COMPUTED_VALUE"""),"комплектуючі для парканів")</f>
        <v>комплектуючі для парканів</v>
      </c>
      <c r="F648" s="17">
        <f>IFERROR(__xludf.DUMMYFUNCTION("""COMPUTED_VALUE"""),4.0)</f>
        <v>4</v>
      </c>
      <c r="G648" s="17" t="str">
        <f>IFERROR(__xludf.DUMMYFUNCTION("""COMPUTED_VALUE"""),"130726")</f>
        <v>130726</v>
      </c>
      <c r="H648" s="17" t="str">
        <f>IFERROR(__xludf.DUMMYFUNCTION("""COMPUTED_VALUE"""),"комплектуючі для парканів")</f>
        <v>комплектуючі для парканів</v>
      </c>
      <c r="I648" s="19">
        <f>IFERROR(__xludf.DUMMYFUNCTION("""COMPUTED_VALUE"""),0.0458)</f>
        <v>0.0458</v>
      </c>
      <c r="J648" s="19">
        <f>IFERROR(__xludf.DUMMYFUNCTION("""COMPUTED_VALUE"""),0.0916)</f>
        <v>0.0916</v>
      </c>
      <c r="K648" s="19">
        <f>IFERROR(__xludf.DUMMYFUNCTION("""COMPUTED_VALUE"""),0.1145)</f>
        <v>0.1145</v>
      </c>
      <c r="L648" s="19">
        <f>IFERROR(__xludf.DUMMYFUNCTION("""COMPUTED_VALUE"""),0.1374)</f>
        <v>0.1374</v>
      </c>
      <c r="M648" s="18">
        <f>IFERROR(__xludf.DUMMYFUNCTION("""COMPUTED_VALUE"""),5.4)</f>
        <v>5.4</v>
      </c>
    </row>
    <row r="649">
      <c r="A649" s="13" t="str">
        <f>IFERROR(__xludf.DUMMYFUNCTION("""COMPUTED_VALUE"""),"товари")</f>
        <v>товари</v>
      </c>
      <c r="B649" s="16" t="str">
        <f>IFERROR(__xludf.DUMMYFUNCTION("""COMPUTED_VALUE"""),"будівництво")</f>
        <v>будівництво</v>
      </c>
      <c r="C649" s="16" t="str">
        <f>IFERROR(__xludf.DUMMYFUNCTION("""COMPUTED_VALUE"""),"будівельні матеріали")</f>
        <v>будівельні матеріали</v>
      </c>
      <c r="D649" s="16" t="str">
        <f>IFERROR(__xludf.DUMMYFUNCTION("""COMPUTED_VALUE"""),"покрівельні матеріали")</f>
        <v>покрівельні матеріали</v>
      </c>
      <c r="E649" s="16" t="str">
        <f>IFERROR(__xludf.DUMMYFUNCTION("""COMPUTED_VALUE"""),"комплектуючі для покрівлі")</f>
        <v>комплектуючі для покрівлі</v>
      </c>
      <c r="F649" s="17">
        <f>IFERROR(__xludf.DUMMYFUNCTION("""COMPUTED_VALUE"""),4.0)</f>
        <v>4</v>
      </c>
      <c r="G649" s="17" t="str">
        <f>IFERROR(__xludf.DUMMYFUNCTION("""COMPUTED_VALUE"""),"135021")</f>
        <v>135021</v>
      </c>
      <c r="H649" s="17" t="str">
        <f>IFERROR(__xludf.DUMMYFUNCTION("""COMPUTED_VALUE"""),"комплектуючі для покрівлі")</f>
        <v>комплектуючі для покрівлі</v>
      </c>
      <c r="I649" s="19">
        <f>IFERROR(__xludf.DUMMYFUNCTION("""COMPUTED_VALUE"""),0.0263)</f>
        <v>0.0263</v>
      </c>
      <c r="J649" s="19">
        <f>IFERROR(__xludf.DUMMYFUNCTION("""COMPUTED_VALUE"""),0.0526)</f>
        <v>0.0526</v>
      </c>
      <c r="K649" s="19">
        <f>IFERROR(__xludf.DUMMYFUNCTION("""COMPUTED_VALUE"""),0.0658)</f>
        <v>0.0658</v>
      </c>
      <c r="L649" s="19">
        <f>IFERROR(__xludf.DUMMYFUNCTION("""COMPUTED_VALUE"""),0.0789)</f>
        <v>0.0789</v>
      </c>
      <c r="M649" s="18">
        <f>IFERROR(__xludf.DUMMYFUNCTION("""COMPUTED_VALUE"""),1.53)</f>
        <v>1.53</v>
      </c>
    </row>
    <row r="650">
      <c r="A650" s="13" t="str">
        <f>IFERROR(__xludf.DUMMYFUNCTION("""COMPUTED_VALUE"""),"товари")</f>
        <v>товари</v>
      </c>
      <c r="B650" s="16" t="str">
        <f>IFERROR(__xludf.DUMMYFUNCTION("""COMPUTED_VALUE"""),"будівництво")</f>
        <v>будівництво</v>
      </c>
      <c r="C650" s="16" t="str">
        <f>IFERROR(__xludf.DUMMYFUNCTION("""COMPUTED_VALUE"""),"будівельні матеріали")</f>
        <v>будівельні матеріали</v>
      </c>
      <c r="D650" s="16" t="str">
        <f>IFERROR(__xludf.DUMMYFUNCTION("""COMPUTED_VALUE"""),"пластикові будівельні матеріали")</f>
        <v>пластикові будівельні матеріали</v>
      </c>
      <c r="E650" s="16" t="str">
        <f>IFERROR(__xludf.DUMMYFUNCTION("""COMPUTED_VALUE"""),"комплектуючі для полікарбонату та панелей пвх")</f>
        <v>комплектуючі для полікарбонату та панелей пвх</v>
      </c>
      <c r="F650" s="17">
        <f>IFERROR(__xludf.DUMMYFUNCTION("""COMPUTED_VALUE"""),4.0)</f>
        <v>4</v>
      </c>
      <c r="G650" s="17" t="str">
        <f>IFERROR(__xludf.DUMMYFUNCTION("""COMPUTED_VALUE"""),"131714")</f>
        <v>131714</v>
      </c>
      <c r="H650" s="17" t="str">
        <f>IFERROR(__xludf.DUMMYFUNCTION("""COMPUTED_VALUE"""),"комплектуючі для полікарбонату та панелей пвх")</f>
        <v>комплектуючі для полікарбонату та панелей пвх</v>
      </c>
      <c r="I650" s="19">
        <f>IFERROR(__xludf.DUMMYFUNCTION("""COMPUTED_VALUE"""),0.0333)</f>
        <v>0.0333</v>
      </c>
      <c r="J650" s="19">
        <f>IFERROR(__xludf.DUMMYFUNCTION("""COMPUTED_VALUE"""),0.0665)</f>
        <v>0.0665</v>
      </c>
      <c r="K650" s="19">
        <f>IFERROR(__xludf.DUMMYFUNCTION("""COMPUTED_VALUE"""),0.0831)</f>
        <v>0.0831</v>
      </c>
      <c r="L650" s="19">
        <f>IFERROR(__xludf.DUMMYFUNCTION("""COMPUTED_VALUE"""),0.0998)</f>
        <v>0.0998</v>
      </c>
      <c r="M650" s="18">
        <f>IFERROR(__xludf.DUMMYFUNCTION("""COMPUTED_VALUE"""),1.53)</f>
        <v>1.53</v>
      </c>
    </row>
    <row r="651">
      <c r="A651" s="13" t="str">
        <f>IFERROR(__xludf.DUMMYFUNCTION("""COMPUTED_VALUE"""),"товари")</f>
        <v>товари</v>
      </c>
      <c r="B651" s="16" t="str">
        <f>IFERROR(__xludf.DUMMYFUNCTION("""COMPUTED_VALUE"""),"будівництво")</f>
        <v>будівництво</v>
      </c>
      <c r="C651" s="16" t="str">
        <f>IFERROR(__xludf.DUMMYFUNCTION("""COMPUTED_VALUE"""),"будівельна техніка та обладнання")</f>
        <v>будівельна техніка та обладнання</v>
      </c>
      <c r="D651" s="16" t="str">
        <f>IFERROR(__xludf.DUMMYFUNCTION("""COMPUTED_VALUE"""),"комплектуючі для будівельного обладнання")</f>
        <v>комплектуючі для будівельного обладнання</v>
      </c>
      <c r="E651" s="16" t="str">
        <f>IFERROR(__xludf.DUMMYFUNCTION("""COMPUTED_VALUE"""),"комплектуючі для садово-будівельних тачок")</f>
        <v>комплектуючі для садово-будівельних тачок</v>
      </c>
      <c r="F651" s="17">
        <f>IFERROR(__xludf.DUMMYFUNCTION("""COMPUTED_VALUE"""),4.0)</f>
        <v>4</v>
      </c>
      <c r="G651" s="17" t="str">
        <f>IFERROR(__xludf.DUMMYFUNCTION("""COMPUTED_VALUE"""),"13040703")</f>
        <v>13040703</v>
      </c>
      <c r="H651" s="17" t="str">
        <f>IFERROR(__xludf.DUMMYFUNCTION("""COMPUTED_VALUE"""),"комплектуючі для садово-будівельних тачок")</f>
        <v>комплектуючі для садово-будівельних тачок</v>
      </c>
      <c r="I651" s="19">
        <f>IFERROR(__xludf.DUMMYFUNCTION("""COMPUTED_VALUE"""),0.073)</f>
        <v>0.073</v>
      </c>
      <c r="J651" s="19">
        <f>IFERROR(__xludf.DUMMYFUNCTION("""COMPUTED_VALUE"""),0.1459)</f>
        <v>0.1459</v>
      </c>
      <c r="K651" s="19">
        <f>IFERROR(__xludf.DUMMYFUNCTION("""COMPUTED_VALUE"""),0.1824)</f>
        <v>0.1824</v>
      </c>
      <c r="L651" s="19">
        <f>IFERROR(__xludf.DUMMYFUNCTION("""COMPUTED_VALUE"""),0.2189)</f>
        <v>0.2189</v>
      </c>
      <c r="M651" s="18">
        <f>IFERROR(__xludf.DUMMYFUNCTION("""COMPUTED_VALUE"""),4.14)</f>
        <v>4.14</v>
      </c>
    </row>
    <row r="652">
      <c r="A652" s="13" t="str">
        <f>IFERROR(__xludf.DUMMYFUNCTION("""COMPUTED_VALUE"""),"товари")</f>
        <v>товари</v>
      </c>
      <c r="B652" s="16" t="str">
        <f>IFERROR(__xludf.DUMMYFUNCTION("""COMPUTED_VALUE"""),"будівництво")</f>
        <v>будівництво</v>
      </c>
      <c r="C652" s="16" t="str">
        <f>IFERROR(__xludf.DUMMYFUNCTION("""COMPUTED_VALUE"""),"вентиляційні системи")</f>
        <v>вентиляційні системи</v>
      </c>
      <c r="D652" s="16" t="str">
        <f>IFERROR(__xludf.DUMMYFUNCTION("""COMPUTED_VALUE"""),"комплектуючі для систем вентиляції")</f>
        <v>комплектуючі для систем вентиляції</v>
      </c>
      <c r="E652" s="16" t="str">
        <f>IFERROR(__xludf.DUMMYFUNCTION("""COMPUTED_VALUE"""),"комплектуючі для систем вентиляції")</f>
        <v>комплектуючі для систем вентиляції</v>
      </c>
      <c r="F652" s="17">
        <f>IFERROR(__xludf.DUMMYFUNCTION("""COMPUTED_VALUE"""),3.0)</f>
        <v>3</v>
      </c>
      <c r="G652" s="17">
        <f>IFERROR(__xludf.DUMMYFUNCTION("""COMPUTED_VALUE"""),142217.0)</f>
        <v>142217</v>
      </c>
      <c r="H652" s="17" t="str">
        <f>IFERROR(__xludf.DUMMYFUNCTION("""COMPUTED_VALUE"""),"комплектуючі для систем вентиляції")</f>
        <v>комплектуючі для систем вентиляції</v>
      </c>
      <c r="I652" s="19">
        <f>IFERROR(__xludf.DUMMYFUNCTION("""COMPUTED_VALUE"""),0.0648)</f>
        <v>0.0648</v>
      </c>
      <c r="J652" s="19">
        <f>IFERROR(__xludf.DUMMYFUNCTION("""COMPUTED_VALUE"""),0.1296)</f>
        <v>0.1296</v>
      </c>
      <c r="K652" s="19">
        <f>IFERROR(__xludf.DUMMYFUNCTION("""COMPUTED_VALUE"""),0.162)</f>
        <v>0.162</v>
      </c>
      <c r="L652" s="19">
        <f>IFERROR(__xludf.DUMMYFUNCTION("""COMPUTED_VALUE"""),0.1944)</f>
        <v>0.1944</v>
      </c>
      <c r="M652" s="18">
        <f>IFERROR(__xludf.DUMMYFUNCTION("""COMPUTED_VALUE"""),2.61)</f>
        <v>2.61</v>
      </c>
    </row>
    <row r="653">
      <c r="A653" s="13" t="str">
        <f>IFERROR(__xludf.DUMMYFUNCTION("""COMPUTED_VALUE"""),"товари")</f>
        <v>товари</v>
      </c>
      <c r="B653" s="16" t="str">
        <f>IFERROR(__xludf.DUMMYFUNCTION("""COMPUTED_VALUE"""),"будівництво")</f>
        <v>будівництво</v>
      </c>
      <c r="C653" s="16" t="str">
        <f>IFERROR(__xludf.DUMMYFUNCTION("""COMPUTED_VALUE"""),"будівельні матеріали")</f>
        <v>будівельні матеріали</v>
      </c>
      <c r="D653" s="16" t="str">
        <f>IFERROR(__xludf.DUMMYFUNCTION("""COMPUTED_VALUE"""),"сходи та комплектуючі для сходів")</f>
        <v>сходи та комплектуючі для сходів</v>
      </c>
      <c r="E653" s="16" t="str">
        <f>IFERROR(__xludf.DUMMYFUNCTION("""COMPUTED_VALUE"""),"комплектуючі для сходів")</f>
        <v>комплектуючі для сходів</v>
      </c>
      <c r="F653" s="17">
        <f>IFERROR(__xludf.DUMMYFUNCTION("""COMPUTED_VALUE"""),4.0)</f>
        <v>4</v>
      </c>
      <c r="G653" s="17" t="str">
        <f>IFERROR(__xludf.DUMMYFUNCTION("""COMPUTED_VALUE"""),"1358")</f>
        <v>1358</v>
      </c>
      <c r="H653" s="17" t="str">
        <f>IFERROR(__xludf.DUMMYFUNCTION("""COMPUTED_VALUE"""),"комплектуючі для сходів")</f>
        <v>комплектуючі для сходів</v>
      </c>
      <c r="I653" s="19">
        <f>IFERROR(__xludf.DUMMYFUNCTION("""COMPUTED_VALUE"""),0.0263)</f>
        <v>0.0263</v>
      </c>
      <c r="J653" s="19">
        <f>IFERROR(__xludf.DUMMYFUNCTION("""COMPUTED_VALUE"""),0.0526)</f>
        <v>0.0526</v>
      </c>
      <c r="K653" s="19">
        <f>IFERROR(__xludf.DUMMYFUNCTION("""COMPUTED_VALUE"""),0.0658)</f>
        <v>0.0658</v>
      </c>
      <c r="L653" s="19">
        <f>IFERROR(__xludf.DUMMYFUNCTION("""COMPUTED_VALUE"""),0.0789)</f>
        <v>0.0789</v>
      </c>
      <c r="M653" s="18">
        <f>IFERROR(__xludf.DUMMYFUNCTION("""COMPUTED_VALUE"""),1.53)</f>
        <v>1.53</v>
      </c>
    </row>
    <row r="654">
      <c r="A654" s="13" t="str">
        <f>IFERROR(__xludf.DUMMYFUNCTION("""COMPUTED_VALUE"""),"товари")</f>
        <v>товари</v>
      </c>
      <c r="B654" s="16" t="str">
        <f>IFERROR(__xludf.DUMMYFUNCTION("""COMPUTED_VALUE"""),"будівництво")</f>
        <v>будівництво</v>
      </c>
      <c r="C654" s="16" t="str">
        <f>IFERROR(__xludf.DUMMYFUNCTION("""COMPUTED_VALUE"""),"будівельна техніка та обладнання")</f>
        <v>будівельна техніка та обладнання</v>
      </c>
      <c r="D654" s="16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654" s="16" t="str">
        <f>IFERROR(__xludf.DUMMYFUNCTION("""COMPUTED_VALUE"""),"комплектуючі для сходів та будівельних риштувань")</f>
        <v>комплектуючі для сходів та будівельних риштувань</v>
      </c>
      <c r="F654" s="17">
        <f>IFERROR(__xludf.DUMMYFUNCTION("""COMPUTED_VALUE"""),4.0)</f>
        <v>4</v>
      </c>
      <c r="G654" s="17" t="str">
        <f>IFERROR(__xludf.DUMMYFUNCTION("""COMPUTED_VALUE"""),"1354")</f>
        <v>1354</v>
      </c>
      <c r="H654" s="17" t="str">
        <f>IFERROR(__xludf.DUMMYFUNCTION("""COMPUTED_VALUE"""),"комплектуючі для сходів та будівельних риштувань")</f>
        <v>комплектуючі для сходів та будівельних риштувань</v>
      </c>
      <c r="I654" s="19">
        <f>IFERROR(__xludf.DUMMYFUNCTION("""COMPUTED_VALUE"""),0.0492)</f>
        <v>0.0492</v>
      </c>
      <c r="J654" s="19">
        <f>IFERROR(__xludf.DUMMYFUNCTION("""COMPUTED_VALUE"""),0.0984)</f>
        <v>0.0984</v>
      </c>
      <c r="K654" s="19">
        <f>IFERROR(__xludf.DUMMYFUNCTION("""COMPUTED_VALUE"""),0.123)</f>
        <v>0.123</v>
      </c>
      <c r="L654" s="19">
        <f>IFERROR(__xludf.DUMMYFUNCTION("""COMPUTED_VALUE"""),0.1476)</f>
        <v>0.1476</v>
      </c>
      <c r="M654" s="18">
        <f>IFERROR(__xludf.DUMMYFUNCTION("""COMPUTED_VALUE"""),5.4)</f>
        <v>5.4</v>
      </c>
    </row>
    <row r="655">
      <c r="A655" s="13" t="str">
        <f>IFERROR(__xludf.DUMMYFUNCTION("""COMPUTED_VALUE"""),"товари")</f>
        <v>товари</v>
      </c>
      <c r="B655" s="16" t="str">
        <f>IFERROR(__xludf.DUMMYFUNCTION("""COMPUTED_VALUE"""),"будівництво")</f>
        <v>будівництво</v>
      </c>
      <c r="C655" s="16" t="str">
        <f>IFERROR(__xludf.DUMMYFUNCTION("""COMPUTED_VALUE"""),"водо-, газо-, теплозабезпечення")</f>
        <v>водо-, газо-, теплозабезпечення</v>
      </c>
      <c r="D655" s="16" t="str">
        <f>IFERROR(__xludf.DUMMYFUNCTION("""COMPUTED_VALUE"""),"запірна арматура")</f>
        <v>запірна арматура</v>
      </c>
      <c r="E655" s="16" t="str">
        <f>IFERROR(__xludf.DUMMYFUNCTION("""COMPUTED_VALUE"""),"комплектуючі до запірної арматури")</f>
        <v>комплектуючі до запірної арматури</v>
      </c>
      <c r="F655" s="17">
        <f>IFERROR(__xludf.DUMMYFUNCTION("""COMPUTED_VALUE"""),4.0)</f>
        <v>4</v>
      </c>
      <c r="G655" s="17" t="str">
        <f>IFERROR(__xludf.DUMMYFUNCTION("""COMPUTED_VALUE"""),"13100647")</f>
        <v>13100647</v>
      </c>
      <c r="H655" s="17" t="str">
        <f>IFERROR(__xludf.DUMMYFUNCTION("""COMPUTED_VALUE"""),"комплектуючі до запірної арматури")</f>
        <v>комплектуючі до запірної арматури</v>
      </c>
      <c r="I655" s="19">
        <f>IFERROR(__xludf.DUMMYFUNCTION("""COMPUTED_VALUE"""),0.0749)</f>
        <v>0.0749</v>
      </c>
      <c r="J655" s="19">
        <f>IFERROR(__xludf.DUMMYFUNCTION("""COMPUTED_VALUE"""),0.1497)</f>
        <v>0.1497</v>
      </c>
      <c r="K655" s="19">
        <f>IFERROR(__xludf.DUMMYFUNCTION("""COMPUTED_VALUE"""),0.1871)</f>
        <v>0.1871</v>
      </c>
      <c r="L655" s="19">
        <f>IFERROR(__xludf.DUMMYFUNCTION("""COMPUTED_VALUE"""),0.2246)</f>
        <v>0.2246</v>
      </c>
      <c r="M655" s="18">
        <f>IFERROR(__xludf.DUMMYFUNCTION("""COMPUTED_VALUE"""),1.71)</f>
        <v>1.71</v>
      </c>
    </row>
    <row r="656">
      <c r="A656" s="13" t="str">
        <f>IFERROR(__xludf.DUMMYFUNCTION("""COMPUTED_VALUE"""),"товари")</f>
        <v>товари</v>
      </c>
      <c r="B656" s="16" t="str">
        <f>IFERROR(__xludf.DUMMYFUNCTION("""COMPUTED_VALUE"""),"будівництво")</f>
        <v>будівництво</v>
      </c>
      <c r="C656" s="16" t="str">
        <f>IFERROR(__xludf.DUMMYFUNCTION("""COMPUTED_VALUE"""),"будівельна техніка та обладнання")</f>
        <v>будівельна техніка та обладнання</v>
      </c>
      <c r="D656" s="16" t="str">
        <f>IFERROR(__xludf.DUMMYFUNCTION("""COMPUTED_VALUE"""),"машини та обладнання для бетонних робіт")</f>
        <v>машини та обладнання для бетонних робіт</v>
      </c>
      <c r="E656" s="16" t="str">
        <f>IFERROR(__xludf.DUMMYFUNCTION("""COMPUTED_VALUE"""),"комплектуючі обладнання для бетонних робіт")</f>
        <v>комплектуючі обладнання для бетонних робіт</v>
      </c>
      <c r="F656" s="17">
        <f>IFERROR(__xludf.DUMMYFUNCTION("""COMPUTED_VALUE"""),4.0)</f>
        <v>4</v>
      </c>
      <c r="G656" s="17" t="str">
        <f>IFERROR(__xludf.DUMMYFUNCTION("""COMPUTED_VALUE"""),"13040313")</f>
        <v>13040313</v>
      </c>
      <c r="H656" s="17" t="str">
        <f>IFERROR(__xludf.DUMMYFUNCTION("""COMPUTED_VALUE"""),"комплектуючі обладнання для бетонних робіт")</f>
        <v>комплектуючі обладнання для бетонних робіт</v>
      </c>
      <c r="I656" s="19">
        <f>IFERROR(__xludf.DUMMYFUNCTION("""COMPUTED_VALUE"""),0.0722)</f>
        <v>0.0722</v>
      </c>
      <c r="J656" s="19">
        <f>IFERROR(__xludf.DUMMYFUNCTION("""COMPUTED_VALUE"""),0.1443)</f>
        <v>0.1443</v>
      </c>
      <c r="K656" s="19">
        <f>IFERROR(__xludf.DUMMYFUNCTION("""COMPUTED_VALUE"""),0.1804)</f>
        <v>0.1804</v>
      </c>
      <c r="L656" s="19">
        <f>IFERROR(__xludf.DUMMYFUNCTION("""COMPUTED_VALUE"""),0.2165)</f>
        <v>0.2165</v>
      </c>
      <c r="M656" s="18">
        <f>IFERROR(__xludf.DUMMYFUNCTION("""COMPUTED_VALUE"""),4.35)</f>
        <v>4.35</v>
      </c>
    </row>
    <row r="657">
      <c r="A657" s="13" t="str">
        <f>IFERROR(__xludf.DUMMYFUNCTION("""COMPUTED_VALUE"""),"товари")</f>
        <v>товари</v>
      </c>
      <c r="B657" s="16" t="str">
        <f>IFERROR(__xludf.DUMMYFUNCTION("""COMPUTED_VALUE"""),"будівництво")</f>
        <v>будівництво</v>
      </c>
      <c r="C657" s="16" t="str">
        <f>IFERROR(__xludf.DUMMYFUNCTION("""COMPUTED_VALUE"""),"будівельні матеріали")</f>
        <v>будівельні матеріали</v>
      </c>
      <c r="D657" s="16" t="str">
        <f>IFERROR(__xludf.DUMMYFUNCTION("""COMPUTED_VALUE"""),"пластикові будівельні матеріали")</f>
        <v>пластикові будівельні матеріали</v>
      </c>
      <c r="E657" s="16" t="str">
        <f>IFERROR(__xludf.DUMMYFUNCTION("""COMPUTED_VALUE"""),"композитна арматура та прути")</f>
        <v>композитна арматура та прути</v>
      </c>
      <c r="F657" s="17">
        <f>IFERROR(__xludf.DUMMYFUNCTION("""COMPUTED_VALUE"""),4.0)</f>
        <v>4</v>
      </c>
      <c r="G657" s="17" t="str">
        <f>IFERROR(__xludf.DUMMYFUNCTION("""COMPUTED_VALUE"""),"131711")</f>
        <v>131711</v>
      </c>
      <c r="H657" s="17" t="str">
        <f>IFERROR(__xludf.DUMMYFUNCTION("""COMPUTED_VALUE"""),"композитна арматура та прути")</f>
        <v>композитна арматура та прути</v>
      </c>
      <c r="I657" s="19">
        <f>IFERROR(__xludf.DUMMYFUNCTION("""COMPUTED_VALUE"""),0.0259)</f>
        <v>0.0259</v>
      </c>
      <c r="J657" s="19">
        <f>IFERROR(__xludf.DUMMYFUNCTION("""COMPUTED_VALUE"""),0.0517)</f>
        <v>0.0517</v>
      </c>
      <c r="K657" s="19">
        <f>IFERROR(__xludf.DUMMYFUNCTION("""COMPUTED_VALUE"""),0.0646)</f>
        <v>0.0646</v>
      </c>
      <c r="L657" s="19">
        <f>IFERROR(__xludf.DUMMYFUNCTION("""COMPUTED_VALUE"""),0.0776)</f>
        <v>0.0776</v>
      </c>
      <c r="M657" s="18">
        <f>IFERROR(__xludf.DUMMYFUNCTION("""COMPUTED_VALUE"""),1.53)</f>
        <v>1.53</v>
      </c>
    </row>
    <row r="658">
      <c r="A658" s="13" t="str">
        <f>IFERROR(__xludf.DUMMYFUNCTION("""COMPUTED_VALUE"""),"товари")</f>
        <v>товари</v>
      </c>
      <c r="B658" s="16" t="str">
        <f>IFERROR(__xludf.DUMMYFUNCTION("""COMPUTED_VALUE"""),"будівництво")</f>
        <v>будівництво</v>
      </c>
      <c r="C658" s="16" t="str">
        <f>IFERROR(__xludf.DUMMYFUNCTION("""COMPUTED_VALUE"""),"водо-, газо-, теплозабезпечення")</f>
        <v>водо-, газо-, теплозабезпечення</v>
      </c>
      <c r="D658" s="16" t="str">
        <f>IFERROR(__xludf.DUMMYFUNCTION("""COMPUTED_VALUE"""),"труби")</f>
        <v>труби</v>
      </c>
      <c r="E658" s="16" t="str">
        <f>IFERROR(__xludf.DUMMYFUNCTION("""COMPUTED_VALUE"""),"композитні труби")</f>
        <v>композитні труби</v>
      </c>
      <c r="F658" s="17">
        <f>IFERROR(__xludf.DUMMYFUNCTION("""COMPUTED_VALUE"""),4.0)</f>
        <v>4</v>
      </c>
      <c r="G658" s="17" t="str">
        <f>IFERROR(__xludf.DUMMYFUNCTION("""COMPUTED_VALUE"""),"131002")</f>
        <v>131002</v>
      </c>
      <c r="H658" s="17" t="str">
        <f>IFERROR(__xludf.DUMMYFUNCTION("""COMPUTED_VALUE"""),"композитні труби")</f>
        <v>композитні труби</v>
      </c>
      <c r="I658" s="19">
        <f>IFERROR(__xludf.DUMMYFUNCTION("""COMPUTED_VALUE"""),0.035)</f>
        <v>0.035</v>
      </c>
      <c r="J658" s="19">
        <f>IFERROR(__xludf.DUMMYFUNCTION("""COMPUTED_VALUE"""),0.07)</f>
        <v>0.07</v>
      </c>
      <c r="K658" s="19">
        <f>IFERROR(__xludf.DUMMYFUNCTION("""COMPUTED_VALUE"""),0.0875)</f>
        <v>0.0875</v>
      </c>
      <c r="L658" s="19">
        <f>IFERROR(__xludf.DUMMYFUNCTION("""COMPUTED_VALUE"""),0.105)</f>
        <v>0.105</v>
      </c>
      <c r="M658" s="18">
        <f>IFERROR(__xludf.DUMMYFUNCTION("""COMPUTED_VALUE"""),5.03)</f>
        <v>5.03</v>
      </c>
    </row>
    <row r="659">
      <c r="A659" s="13" t="str">
        <f>IFERROR(__xludf.DUMMYFUNCTION("""COMPUTED_VALUE"""),"товари")</f>
        <v>товари</v>
      </c>
      <c r="B659" s="16" t="str">
        <f>IFERROR(__xludf.DUMMYFUNCTION("""COMPUTED_VALUE"""),"будівництво")</f>
        <v>будівництво</v>
      </c>
      <c r="C659" s="16" t="str">
        <f>IFERROR(__xludf.DUMMYFUNCTION("""COMPUTED_VALUE"""),"водо-, газо-, теплозабезпечення")</f>
        <v>водо-, газо-, теплозабезпечення</v>
      </c>
      <c r="D659" s="16" t="str">
        <f>IFERROR(__xludf.DUMMYFUNCTION("""COMPUTED_VALUE"""),"фітинги для труб")</f>
        <v>фітинги для труб</v>
      </c>
      <c r="E659" s="16" t="str">
        <f>IFERROR(__xludf.DUMMYFUNCTION("""COMPUTED_VALUE"""),"контргайки")</f>
        <v>контргайки</v>
      </c>
      <c r="F659" s="17">
        <f>IFERROR(__xludf.DUMMYFUNCTION("""COMPUTED_VALUE"""),4.0)</f>
        <v>4</v>
      </c>
      <c r="G659" s="17" t="str">
        <f>IFERROR(__xludf.DUMMYFUNCTION("""COMPUTED_VALUE"""),"13100646")</f>
        <v>13100646</v>
      </c>
      <c r="H659" s="17" t="str">
        <f>IFERROR(__xludf.DUMMYFUNCTION("""COMPUTED_VALUE"""),"контргайки")</f>
        <v>контргайки</v>
      </c>
      <c r="I659" s="19">
        <f>IFERROR(__xludf.DUMMYFUNCTION("""COMPUTED_VALUE"""),0.0747)</f>
        <v>0.0747</v>
      </c>
      <c r="J659" s="19">
        <f>IFERROR(__xludf.DUMMYFUNCTION("""COMPUTED_VALUE"""),0.1494)</f>
        <v>0.1494</v>
      </c>
      <c r="K659" s="19">
        <f>IFERROR(__xludf.DUMMYFUNCTION("""COMPUTED_VALUE"""),0.1868)</f>
        <v>0.1868</v>
      </c>
      <c r="L659" s="19">
        <f>IFERROR(__xludf.DUMMYFUNCTION("""COMPUTED_VALUE"""),0.2241)</f>
        <v>0.2241</v>
      </c>
      <c r="M659" s="18">
        <f>IFERROR(__xludf.DUMMYFUNCTION("""COMPUTED_VALUE"""),1.53)</f>
        <v>1.53</v>
      </c>
    </row>
    <row r="660">
      <c r="A660" s="13" t="str">
        <f>IFERROR(__xludf.DUMMYFUNCTION("""COMPUTED_VALUE"""),"товари")</f>
        <v>товари</v>
      </c>
      <c r="B660" s="16" t="str">
        <f>IFERROR(__xludf.DUMMYFUNCTION("""COMPUTED_VALUE"""),"будівництво")</f>
        <v>будівництво</v>
      </c>
      <c r="C660" s="16" t="str">
        <f>IFERROR(__xludf.DUMMYFUNCTION("""COMPUTED_VALUE"""),"водо-, газо-, теплозабезпечення")</f>
        <v>водо-, газо-, теплозабезпечення</v>
      </c>
      <c r="D660" s="16" t="str">
        <f>IFERROR(__xludf.DUMMYFUNCTION("""COMPUTED_VALUE"""),"фітинги для труб")</f>
        <v>фітинги для труб</v>
      </c>
      <c r="E660" s="16" t="str">
        <f>IFERROR(__xludf.DUMMYFUNCTION("""COMPUTED_VALUE"""),"косинці для труб")</f>
        <v>косинці для труб</v>
      </c>
      <c r="F660" s="17">
        <f>IFERROR(__xludf.DUMMYFUNCTION("""COMPUTED_VALUE"""),4.0)</f>
        <v>4</v>
      </c>
      <c r="G660" s="17" t="str">
        <f>IFERROR(__xludf.DUMMYFUNCTION("""COMPUTED_VALUE"""),"13100601")</f>
        <v>13100601</v>
      </c>
      <c r="H660" s="17" t="str">
        <f>IFERROR(__xludf.DUMMYFUNCTION("""COMPUTED_VALUE"""),"косинці для труб")</f>
        <v>косинці для труб</v>
      </c>
      <c r="I660" s="19">
        <f>IFERROR(__xludf.DUMMYFUNCTION("""COMPUTED_VALUE"""),0.0747)</f>
        <v>0.0747</v>
      </c>
      <c r="J660" s="19">
        <f>IFERROR(__xludf.DUMMYFUNCTION("""COMPUTED_VALUE"""),0.1494)</f>
        <v>0.1494</v>
      </c>
      <c r="K660" s="19">
        <f>IFERROR(__xludf.DUMMYFUNCTION("""COMPUTED_VALUE"""),0.1868)</f>
        <v>0.1868</v>
      </c>
      <c r="L660" s="19">
        <f>IFERROR(__xludf.DUMMYFUNCTION("""COMPUTED_VALUE"""),0.2241)</f>
        <v>0.2241</v>
      </c>
      <c r="M660" s="18">
        <f>IFERROR(__xludf.DUMMYFUNCTION("""COMPUTED_VALUE"""),1.53)</f>
        <v>1.53</v>
      </c>
    </row>
    <row r="661">
      <c r="A661" s="13" t="str">
        <f>IFERROR(__xludf.DUMMYFUNCTION("""COMPUTED_VALUE"""),"товари")</f>
        <v>товари</v>
      </c>
      <c r="B661" s="16" t="str">
        <f>IFERROR(__xludf.DUMMYFUNCTION("""COMPUTED_VALUE"""),"будівництво")</f>
        <v>будівництво</v>
      </c>
      <c r="C661" s="16" t="str">
        <f>IFERROR(__xludf.DUMMYFUNCTION("""COMPUTED_VALUE"""),"водо-, газо-, теплозабезпечення")</f>
        <v>водо-, газо-, теплозабезпечення</v>
      </c>
      <c r="D661" s="16" t="str">
        <f>IFERROR(__xludf.DUMMYFUNCTION("""COMPUTED_VALUE"""),"запірна арматура")</f>
        <v>запірна арматура</v>
      </c>
      <c r="E661" s="16" t="str">
        <f>IFERROR(__xludf.DUMMYFUNCTION("""COMPUTED_VALUE"""),"кульові, коркові крани")</f>
        <v>кульові, коркові крани</v>
      </c>
      <c r="F661" s="17">
        <f>IFERROR(__xludf.DUMMYFUNCTION("""COMPUTED_VALUE"""),4.0)</f>
        <v>4</v>
      </c>
      <c r="G661" s="17" t="str">
        <f>IFERROR(__xludf.DUMMYFUNCTION("""COMPUTED_VALUE"""),"13100606")</f>
        <v>13100606</v>
      </c>
      <c r="H661" s="17" t="str">
        <f>IFERROR(__xludf.DUMMYFUNCTION("""COMPUTED_VALUE"""),"кульові, коркові крани")</f>
        <v>кульові, коркові крани</v>
      </c>
      <c r="I661" s="19">
        <f>IFERROR(__xludf.DUMMYFUNCTION("""COMPUTED_VALUE"""),0.0765)</f>
        <v>0.0765</v>
      </c>
      <c r="J661" s="19">
        <f>IFERROR(__xludf.DUMMYFUNCTION("""COMPUTED_VALUE"""),0.1529)</f>
        <v>0.1529</v>
      </c>
      <c r="K661" s="19">
        <f>IFERROR(__xludf.DUMMYFUNCTION("""COMPUTED_VALUE"""),0.1911)</f>
        <v>0.1911</v>
      </c>
      <c r="L661" s="19">
        <f>IFERROR(__xludf.DUMMYFUNCTION("""COMPUTED_VALUE"""),0.2294)</f>
        <v>0.2294</v>
      </c>
      <c r="M661" s="18">
        <f>IFERROR(__xludf.DUMMYFUNCTION("""COMPUTED_VALUE"""),1.71)</f>
        <v>1.71</v>
      </c>
    </row>
    <row r="662">
      <c r="A662" s="13" t="str">
        <f>IFERROR(__xludf.DUMMYFUNCTION("""COMPUTED_VALUE"""),"товари")</f>
        <v>товари</v>
      </c>
      <c r="B662" s="16" t="str">
        <f>IFERROR(__xludf.DUMMYFUNCTION("""COMPUTED_VALUE"""),"будівництво")</f>
        <v>будівництво</v>
      </c>
      <c r="C662" s="16" t="str">
        <f>IFERROR(__xludf.DUMMYFUNCTION("""COMPUTED_VALUE"""),"оздоблювальні матеріали")</f>
        <v>оздоблювальні матеріали</v>
      </c>
      <c r="D662" s="16" t="str">
        <f>IFERROR(__xludf.DUMMYFUNCTION("""COMPUTED_VALUE"""),"лакофарбові будівельні матеріали")</f>
        <v>лакофарбові будівельні матеріали</v>
      </c>
      <c r="E662" s="16" t="str">
        <f>IFERROR(__xludf.DUMMYFUNCTION("""COMPUTED_VALUE"""),"лаки")</f>
        <v>лаки</v>
      </c>
      <c r="F662" s="17">
        <f>IFERROR(__xludf.DUMMYFUNCTION("""COMPUTED_VALUE"""),4.0)</f>
        <v>4</v>
      </c>
      <c r="G662" s="17" t="str">
        <f>IFERROR(__xludf.DUMMYFUNCTION("""COMPUTED_VALUE"""),"81106")</f>
        <v>81106</v>
      </c>
      <c r="H662" s="17" t="str">
        <f>IFERROR(__xludf.DUMMYFUNCTION("""COMPUTED_VALUE"""),"лаки")</f>
        <v>лаки</v>
      </c>
      <c r="I662" s="19">
        <f>IFERROR(__xludf.DUMMYFUNCTION("""COMPUTED_VALUE"""),0.0571)</f>
        <v>0.0571</v>
      </c>
      <c r="J662" s="19">
        <f>IFERROR(__xludf.DUMMYFUNCTION("""COMPUTED_VALUE"""),0.1142)</f>
        <v>0.1142</v>
      </c>
      <c r="K662" s="19">
        <f>IFERROR(__xludf.DUMMYFUNCTION("""COMPUTED_VALUE"""),0.1428)</f>
        <v>0.1428</v>
      </c>
      <c r="L662" s="19">
        <f>IFERROR(__xludf.DUMMYFUNCTION("""COMPUTED_VALUE"""),0.1713)</f>
        <v>0.1713</v>
      </c>
      <c r="M662" s="18">
        <f>IFERROR(__xludf.DUMMYFUNCTION("""COMPUTED_VALUE"""),3.88)</f>
        <v>3.88</v>
      </c>
    </row>
    <row r="663">
      <c r="A663" s="13" t="str">
        <f>IFERROR(__xludf.DUMMYFUNCTION("""COMPUTED_VALUE"""),"товари")</f>
        <v>товари</v>
      </c>
      <c r="B663" s="16" t="str">
        <f>IFERROR(__xludf.DUMMYFUNCTION("""COMPUTED_VALUE"""),"будівництво")</f>
        <v>будівництво</v>
      </c>
      <c r="C663" s="16" t="str">
        <f>IFERROR(__xludf.DUMMYFUNCTION("""COMPUTED_VALUE"""),"оздоблювальні матеріали")</f>
        <v>оздоблювальні матеріали</v>
      </c>
      <c r="D663" s="16" t="str">
        <f>IFERROR(__xludf.DUMMYFUNCTION("""COMPUTED_VALUE"""),"лакофарбові будівельні матеріали")</f>
        <v>лакофарбові будівельні матеріали</v>
      </c>
      <c r="E663" s="16" t="str">
        <f>IFERROR(__xludf.DUMMYFUNCTION("""COMPUTED_VALUE"""),"лакофарбові будівельні матеріали, загальне")</f>
        <v>лакофарбові будівельні матеріали, загальне</v>
      </c>
      <c r="F663" s="17">
        <f>IFERROR(__xludf.DUMMYFUNCTION("""COMPUTED_VALUE"""),4.0)</f>
        <v>4</v>
      </c>
      <c r="G663" s="17" t="str">
        <f>IFERROR(__xludf.DUMMYFUNCTION("""COMPUTED_VALUE"""),"13073602")</f>
        <v>13073602</v>
      </c>
      <c r="H663" s="17" t="str">
        <f>IFERROR(__xludf.DUMMYFUNCTION("""COMPUTED_VALUE"""),"лакофарбові будівельні матеріали, загальне")</f>
        <v>лакофарбові будівельні матеріали, загальне</v>
      </c>
      <c r="I663" s="19">
        <f>IFERROR(__xludf.DUMMYFUNCTION("""COMPUTED_VALUE"""),0.125)</f>
        <v>0.125</v>
      </c>
      <c r="J663" s="19">
        <f>IFERROR(__xludf.DUMMYFUNCTION("""COMPUTED_VALUE"""),0.25)</f>
        <v>0.25</v>
      </c>
      <c r="K663" s="19">
        <f>IFERROR(__xludf.DUMMYFUNCTION("""COMPUTED_VALUE"""),0.3125)</f>
        <v>0.3125</v>
      </c>
      <c r="L663" s="19">
        <f>IFERROR(__xludf.DUMMYFUNCTION("""COMPUTED_VALUE"""),0.375)</f>
        <v>0.375</v>
      </c>
      <c r="M663" s="18">
        <f>IFERROR(__xludf.DUMMYFUNCTION("""COMPUTED_VALUE"""),4.33)</f>
        <v>4.33</v>
      </c>
    </row>
    <row r="664">
      <c r="A664" s="13" t="str">
        <f>IFERROR(__xludf.DUMMYFUNCTION("""COMPUTED_VALUE"""),"товари")</f>
        <v>товари</v>
      </c>
      <c r="B664" s="16" t="str">
        <f>IFERROR(__xludf.DUMMYFUNCTION("""COMPUTED_VALUE"""),"будівництво")</f>
        <v>будівництво</v>
      </c>
      <c r="C664" s="16" t="str">
        <f>IFERROR(__xludf.DUMMYFUNCTION("""COMPUTED_VALUE"""),"будівельні матеріали")</f>
        <v>будівельні матеріали</v>
      </c>
      <c r="D664" s="16" t="str">
        <f>IFERROR(__xludf.DUMMYFUNCTION("""COMPUTED_VALUE"""),"пиломатеріали")</f>
        <v>пиломатеріали</v>
      </c>
      <c r="E664" s="16" t="str">
        <f>IFERROR(__xludf.DUMMYFUNCTION("""COMPUTED_VALUE"""),"ліс-кругляк, колоди")</f>
        <v>ліс-кругляк, колоди</v>
      </c>
      <c r="F664" s="17">
        <f>IFERROR(__xludf.DUMMYFUNCTION("""COMPUTED_VALUE"""),4.0)</f>
        <v>4</v>
      </c>
      <c r="G664" s="17" t="str">
        <f>IFERROR(__xludf.DUMMYFUNCTION("""COMPUTED_VALUE"""),"131121")</f>
        <v>131121</v>
      </c>
      <c r="H664" s="17" t="str">
        <f>IFERROR(__xludf.DUMMYFUNCTION("""COMPUTED_VALUE"""),"ліс-кругляк, колоди")</f>
        <v>ліс-кругляк, колоди</v>
      </c>
      <c r="I664" s="19">
        <f>IFERROR(__xludf.DUMMYFUNCTION("""COMPUTED_VALUE"""),0.0285)</f>
        <v>0.0285</v>
      </c>
      <c r="J664" s="19">
        <f>IFERROR(__xludf.DUMMYFUNCTION("""COMPUTED_VALUE"""),0.057)</f>
        <v>0.057</v>
      </c>
      <c r="K664" s="19">
        <f>IFERROR(__xludf.DUMMYFUNCTION("""COMPUTED_VALUE"""),0.0713)</f>
        <v>0.0713</v>
      </c>
      <c r="L664" s="19">
        <f>IFERROR(__xludf.DUMMYFUNCTION("""COMPUTED_VALUE"""),0.0855)</f>
        <v>0.0855</v>
      </c>
      <c r="M664" s="18">
        <f>IFERROR(__xludf.DUMMYFUNCTION("""COMPUTED_VALUE"""),2.88)</f>
        <v>2.88</v>
      </c>
    </row>
    <row r="665">
      <c r="A665" s="13" t="str">
        <f>IFERROR(__xludf.DUMMYFUNCTION("""COMPUTED_VALUE"""),"товари")</f>
        <v>товари</v>
      </c>
      <c r="B665" s="16" t="str">
        <f>IFERROR(__xludf.DUMMYFUNCTION("""COMPUTED_VALUE"""),"будівництво")</f>
        <v>будівництво</v>
      </c>
      <c r="C665" s="16" t="str">
        <f>IFERROR(__xludf.DUMMYFUNCTION("""COMPUTED_VALUE"""),"водо-, газо-, теплозабезпечення")</f>
        <v>водо-, газо-, теплозабезпечення</v>
      </c>
      <c r="D665" s="16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665" s="16" t="str">
        <f>IFERROR(__xludf.DUMMYFUNCTION("""COMPUTED_VALUE"""),"лічильники води")</f>
        <v>лічильники води</v>
      </c>
      <c r="F665" s="17">
        <f>IFERROR(__xludf.DUMMYFUNCTION("""COMPUTED_VALUE"""),4.0)</f>
        <v>4</v>
      </c>
      <c r="G665" s="17" t="str">
        <f>IFERROR(__xludf.DUMMYFUNCTION("""COMPUTED_VALUE"""),"15370405")</f>
        <v>15370405</v>
      </c>
      <c r="H665" s="17" t="str">
        <f>IFERROR(__xludf.DUMMYFUNCTION("""COMPUTED_VALUE"""),"лічильники води")</f>
        <v>лічильники води</v>
      </c>
      <c r="I665" s="19">
        <f>IFERROR(__xludf.DUMMYFUNCTION("""COMPUTED_VALUE"""),0.0761)</f>
        <v>0.0761</v>
      </c>
      <c r="J665" s="19">
        <f>IFERROR(__xludf.DUMMYFUNCTION("""COMPUTED_VALUE"""),0.1521)</f>
        <v>0.1521</v>
      </c>
      <c r="K665" s="19">
        <f>IFERROR(__xludf.DUMMYFUNCTION("""COMPUTED_VALUE"""),0.1901)</f>
        <v>0.1901</v>
      </c>
      <c r="L665" s="19">
        <f>IFERROR(__xludf.DUMMYFUNCTION("""COMPUTED_VALUE"""),0.2282)</f>
        <v>0.2282</v>
      </c>
      <c r="M665" s="18">
        <f>IFERROR(__xludf.DUMMYFUNCTION("""COMPUTED_VALUE"""),4.05)</f>
        <v>4.05</v>
      </c>
    </row>
    <row r="666">
      <c r="A666" s="13" t="str">
        <f>IFERROR(__xludf.DUMMYFUNCTION("""COMPUTED_VALUE"""),"товари")</f>
        <v>товари</v>
      </c>
      <c r="B666" s="16" t="str">
        <f>IFERROR(__xludf.DUMMYFUNCTION("""COMPUTED_VALUE"""),"будівництво")</f>
        <v>будівництво</v>
      </c>
      <c r="C666" s="16" t="str">
        <f>IFERROR(__xludf.DUMMYFUNCTION("""COMPUTED_VALUE"""),"оздоблювальні матеріали")</f>
        <v>оздоблювальні матеріали</v>
      </c>
      <c r="D666" s="16" t="str">
        <f>IFERROR(__xludf.DUMMYFUNCTION("""COMPUTED_VALUE"""),"матеріали для гіпсокартонних робіт")</f>
        <v>матеріали для гіпсокартонних робіт</v>
      </c>
      <c r="E666" s="16" t="str">
        <f>IFERROR(__xludf.DUMMYFUNCTION("""COMPUTED_VALUE"""),"матеріали для гіпсокартонних робіт, загальне")</f>
        <v>матеріали для гіпсокартонних робіт, загальне</v>
      </c>
      <c r="F666" s="17">
        <f>IFERROR(__xludf.DUMMYFUNCTION("""COMPUTED_VALUE"""),4.0)</f>
        <v>4</v>
      </c>
      <c r="G666" s="17" t="str">
        <f>IFERROR(__xludf.DUMMYFUNCTION("""COMPUTED_VALUE"""),"13260701")</f>
        <v>13260701</v>
      </c>
      <c r="H666" s="17" t="str">
        <f>IFERROR(__xludf.DUMMYFUNCTION("""COMPUTED_VALUE"""),"матеріали для гіпсокартонних робіт, загальне")</f>
        <v>матеріали для гіпсокартонних робіт, загальне</v>
      </c>
      <c r="I666" s="19">
        <f>IFERROR(__xludf.DUMMYFUNCTION("""COMPUTED_VALUE"""),0.125)</f>
        <v>0.125</v>
      </c>
      <c r="J666" s="19">
        <f>IFERROR(__xludf.DUMMYFUNCTION("""COMPUTED_VALUE"""),0.25)</f>
        <v>0.25</v>
      </c>
      <c r="K666" s="19">
        <f>IFERROR(__xludf.DUMMYFUNCTION("""COMPUTED_VALUE"""),0.3125)</f>
        <v>0.3125</v>
      </c>
      <c r="L666" s="19">
        <f>IFERROR(__xludf.DUMMYFUNCTION("""COMPUTED_VALUE"""),0.375)</f>
        <v>0.375</v>
      </c>
      <c r="M666" s="18">
        <f>IFERROR(__xludf.DUMMYFUNCTION("""COMPUTED_VALUE"""),4.33)</f>
        <v>4.33</v>
      </c>
    </row>
    <row r="667">
      <c r="A667" s="13" t="str">
        <f>IFERROR(__xludf.DUMMYFUNCTION("""COMPUTED_VALUE"""),"товари")</f>
        <v>товари</v>
      </c>
      <c r="B667" s="16" t="str">
        <f>IFERROR(__xludf.DUMMYFUNCTION("""COMPUTED_VALUE"""),"будівництво")</f>
        <v>будівництво</v>
      </c>
      <c r="C667" s="16" t="str">
        <f>IFERROR(__xludf.DUMMYFUNCTION("""COMPUTED_VALUE"""),"будівельні матеріали")</f>
        <v>будівельні матеріали</v>
      </c>
      <c r="D667" s="16" t="str">
        <f>IFERROR(__xludf.DUMMYFUNCTION("""COMPUTED_VALUE"""),"пиломатеріали")</f>
        <v>пиломатеріали</v>
      </c>
      <c r="E667" s="16" t="str">
        <f>IFERROR(__xludf.DUMMYFUNCTION("""COMPUTED_VALUE"""),"меблеві щити")</f>
        <v>меблеві щити</v>
      </c>
      <c r="F667" s="17">
        <f>IFERROR(__xludf.DUMMYFUNCTION("""COMPUTED_VALUE"""),4.0)</f>
        <v>4</v>
      </c>
      <c r="G667" s="17" t="str">
        <f>IFERROR(__xludf.DUMMYFUNCTION("""COMPUTED_VALUE"""),"131128")</f>
        <v>131128</v>
      </c>
      <c r="H667" s="17" t="str">
        <f>IFERROR(__xludf.DUMMYFUNCTION("""COMPUTED_VALUE"""),"меблеві щити")</f>
        <v>меблеві щити</v>
      </c>
      <c r="I667" s="19">
        <f>IFERROR(__xludf.DUMMYFUNCTION("""COMPUTED_VALUE"""),0.0259)</f>
        <v>0.0259</v>
      </c>
      <c r="J667" s="19">
        <f>IFERROR(__xludf.DUMMYFUNCTION("""COMPUTED_VALUE"""),0.0517)</f>
        <v>0.0517</v>
      </c>
      <c r="K667" s="19">
        <f>IFERROR(__xludf.DUMMYFUNCTION("""COMPUTED_VALUE"""),0.0646)</f>
        <v>0.0646</v>
      </c>
      <c r="L667" s="19">
        <f>IFERROR(__xludf.DUMMYFUNCTION("""COMPUTED_VALUE"""),0.0776)</f>
        <v>0.0776</v>
      </c>
      <c r="M667" s="18">
        <f>IFERROR(__xludf.DUMMYFUNCTION("""COMPUTED_VALUE"""),2.88)</f>
        <v>2.88</v>
      </c>
    </row>
    <row r="668">
      <c r="A668" s="13" t="str">
        <f>IFERROR(__xludf.DUMMYFUNCTION("""COMPUTED_VALUE"""),"товари")</f>
        <v>товари</v>
      </c>
      <c r="B668" s="16" t="str">
        <f>IFERROR(__xludf.DUMMYFUNCTION("""COMPUTED_VALUE"""),"будівництво")</f>
        <v>будівництво</v>
      </c>
      <c r="C668" s="16" t="str">
        <f>IFERROR(__xludf.DUMMYFUNCTION("""COMPUTED_VALUE"""),"будівельні матеріали")</f>
        <v>будівельні матеріали</v>
      </c>
      <c r="D668" s="16" t="str">
        <f>IFERROR(__xludf.DUMMYFUNCTION("""COMPUTED_VALUE"""),"в'яжучі матеріали, сухі будівельні суміші")</f>
        <v>в'яжучі матеріали, сухі будівельні суміші</v>
      </c>
      <c r="E668" s="16" t="str">
        <f>IFERROR(__xludf.DUMMYFUNCTION("""COMPUTED_VALUE"""),"мурувальні суміші та розчини")</f>
        <v>мурувальні суміші та розчини</v>
      </c>
      <c r="F668" s="17">
        <f>IFERROR(__xludf.DUMMYFUNCTION("""COMPUTED_VALUE"""),4.0)</f>
        <v>4</v>
      </c>
      <c r="G668" s="17" t="str">
        <f>IFERROR(__xludf.DUMMYFUNCTION("""COMPUTED_VALUE"""),"13070509")</f>
        <v>13070509</v>
      </c>
      <c r="H668" s="17" t="str">
        <f>IFERROR(__xludf.DUMMYFUNCTION("""COMPUTED_VALUE"""),"мурувальні суміші та розчини")</f>
        <v>мурувальні суміші та розчини</v>
      </c>
      <c r="I668" s="19">
        <f>IFERROR(__xludf.DUMMYFUNCTION("""COMPUTED_VALUE"""),0.0505)</f>
        <v>0.0505</v>
      </c>
      <c r="J668" s="19">
        <f>IFERROR(__xludf.DUMMYFUNCTION("""COMPUTED_VALUE"""),0.101)</f>
        <v>0.101</v>
      </c>
      <c r="K668" s="19">
        <f>IFERROR(__xludf.DUMMYFUNCTION("""COMPUTED_VALUE"""),0.1263)</f>
        <v>0.1263</v>
      </c>
      <c r="L668" s="19">
        <f>IFERROR(__xludf.DUMMYFUNCTION("""COMPUTED_VALUE"""),0.1515)</f>
        <v>0.1515</v>
      </c>
      <c r="M668" s="18">
        <f>IFERROR(__xludf.DUMMYFUNCTION("""COMPUTED_VALUE"""),1.71)</f>
        <v>1.71</v>
      </c>
    </row>
    <row r="669">
      <c r="A669" s="13" t="str">
        <f>IFERROR(__xludf.DUMMYFUNCTION("""COMPUTED_VALUE"""),"товари")</f>
        <v>товари</v>
      </c>
      <c r="B669" s="16" t="str">
        <f>IFERROR(__xludf.DUMMYFUNCTION("""COMPUTED_VALUE"""),"будівництво")</f>
        <v>будівництво</v>
      </c>
      <c r="C669" s="16" t="str">
        <f>IFERROR(__xludf.DUMMYFUNCTION("""COMPUTED_VALUE"""),"водо-, газо-, теплозабезпечення")</f>
        <v>водо-, газо-, теплозабезпечення</v>
      </c>
      <c r="D669" s="16" t="str">
        <f>IFERROR(__xludf.DUMMYFUNCTION("""COMPUTED_VALUE"""),"фітинги для труб")</f>
        <v>фітинги для труб</v>
      </c>
      <c r="E669" s="16" t="str">
        <f>IFERROR(__xludf.DUMMYFUNCTION("""COMPUTED_VALUE"""),"муфти для труб, монтажні гільзи")</f>
        <v>муфти для труб, монтажні гільзи</v>
      </c>
      <c r="F669" s="17">
        <f>IFERROR(__xludf.DUMMYFUNCTION("""COMPUTED_VALUE"""),4.0)</f>
        <v>4</v>
      </c>
      <c r="G669" s="17" t="str">
        <f>IFERROR(__xludf.DUMMYFUNCTION("""COMPUTED_VALUE"""),"13100610")</f>
        <v>13100610</v>
      </c>
      <c r="H669" s="17" t="str">
        <f>IFERROR(__xludf.DUMMYFUNCTION("""COMPUTED_VALUE"""),"муфти для труб, монтажні гільзи")</f>
        <v>муфти для труб, монтажні гільзи</v>
      </c>
      <c r="I669" s="19">
        <f>IFERROR(__xludf.DUMMYFUNCTION("""COMPUTED_VALUE"""),0.0747)</f>
        <v>0.0747</v>
      </c>
      <c r="J669" s="19">
        <f>IFERROR(__xludf.DUMMYFUNCTION("""COMPUTED_VALUE"""),0.1494)</f>
        <v>0.1494</v>
      </c>
      <c r="K669" s="19">
        <f>IFERROR(__xludf.DUMMYFUNCTION("""COMPUTED_VALUE"""),0.1868)</f>
        <v>0.1868</v>
      </c>
      <c r="L669" s="19">
        <f>IFERROR(__xludf.DUMMYFUNCTION("""COMPUTED_VALUE"""),0.2241)</f>
        <v>0.2241</v>
      </c>
      <c r="M669" s="18">
        <f>IFERROR(__xludf.DUMMYFUNCTION("""COMPUTED_VALUE"""),1.53)</f>
        <v>1.53</v>
      </c>
    </row>
    <row r="670">
      <c r="A670" s="13" t="str">
        <f>IFERROR(__xludf.DUMMYFUNCTION("""COMPUTED_VALUE"""),"товари")</f>
        <v>товари</v>
      </c>
      <c r="B670" s="16" t="str">
        <f>IFERROR(__xludf.DUMMYFUNCTION("""COMPUTED_VALUE"""),"будівництво")</f>
        <v>будівництво</v>
      </c>
      <c r="C670" s="16" t="str">
        <f>IFERROR(__xludf.DUMMYFUNCTION("""COMPUTED_VALUE"""),"будівельні матеріали")</f>
        <v>будівельні матеріали</v>
      </c>
      <c r="D670" s="16" t="str">
        <f>IFERROR(__xludf.DUMMYFUNCTION("""COMPUTED_VALUE"""),"покрівельні матеріали")</f>
        <v>покрівельні матеріали</v>
      </c>
      <c r="E670" s="16" t="str">
        <f>IFERROR(__xludf.DUMMYFUNCTION("""COMPUTED_VALUE"""),"натуральні матеріали для покрівлі та декору")</f>
        <v>натуральні матеріали для покрівлі та декору</v>
      </c>
      <c r="F670" s="17">
        <f>IFERROR(__xludf.DUMMYFUNCTION("""COMPUTED_VALUE"""),4.0)</f>
        <v>4</v>
      </c>
      <c r="G670" s="17" t="str">
        <f>IFERROR(__xludf.DUMMYFUNCTION("""COMPUTED_VALUE"""),"135016")</f>
        <v>135016</v>
      </c>
      <c r="H670" s="17" t="str">
        <f>IFERROR(__xludf.DUMMYFUNCTION("""COMPUTED_VALUE"""),"натуральні матеріали для покрівлі та декору")</f>
        <v>натуральні матеріали для покрівлі та декору</v>
      </c>
      <c r="I670" s="19">
        <f>IFERROR(__xludf.DUMMYFUNCTION("""COMPUTED_VALUE"""),0.03)</f>
        <v>0.03</v>
      </c>
      <c r="J670" s="19">
        <f>IFERROR(__xludf.DUMMYFUNCTION("""COMPUTED_VALUE"""),0.06)</f>
        <v>0.06</v>
      </c>
      <c r="K670" s="19">
        <f>IFERROR(__xludf.DUMMYFUNCTION("""COMPUTED_VALUE"""),0.075)</f>
        <v>0.075</v>
      </c>
      <c r="L670" s="19">
        <f>IFERROR(__xludf.DUMMYFUNCTION("""COMPUTED_VALUE"""),0.09)</f>
        <v>0.09</v>
      </c>
      <c r="M670" s="18">
        <f>IFERROR(__xludf.DUMMYFUNCTION("""COMPUTED_VALUE"""),1.53)</f>
        <v>1.53</v>
      </c>
    </row>
    <row r="671">
      <c r="A671" s="13" t="str">
        <f>IFERROR(__xludf.DUMMYFUNCTION("""COMPUTED_VALUE"""),"товари")</f>
        <v>товари</v>
      </c>
      <c r="B671" s="16" t="str">
        <f>IFERROR(__xludf.DUMMYFUNCTION("""COMPUTED_VALUE"""),"будівництво")</f>
        <v>будівництво</v>
      </c>
      <c r="C671" s="16" t="str">
        <f>IFERROR(__xludf.DUMMYFUNCTION("""COMPUTED_VALUE"""),"водо-, газо-, теплозабезпечення")</f>
        <v>водо-, газо-, теплозабезпечення</v>
      </c>
      <c r="D671" s="16" t="str">
        <f>IFERROR(__xludf.DUMMYFUNCTION("""COMPUTED_VALUE"""),"фітинги для труб")</f>
        <v>фітинги для труб</v>
      </c>
      <c r="E671" s="16" t="str">
        <f>IFERROR(__xludf.DUMMYFUNCTION("""COMPUTED_VALUE"""),"ніпелі")</f>
        <v>ніпелі</v>
      </c>
      <c r="F671" s="17">
        <f>IFERROR(__xludf.DUMMYFUNCTION("""COMPUTED_VALUE"""),4.0)</f>
        <v>4</v>
      </c>
      <c r="G671" s="17" t="str">
        <f>IFERROR(__xludf.DUMMYFUNCTION("""COMPUTED_VALUE"""),"13100625")</f>
        <v>13100625</v>
      </c>
      <c r="H671" s="17" t="str">
        <f>IFERROR(__xludf.DUMMYFUNCTION("""COMPUTED_VALUE"""),"ніпелі")</f>
        <v>ніпелі</v>
      </c>
      <c r="I671" s="19">
        <f>IFERROR(__xludf.DUMMYFUNCTION("""COMPUTED_VALUE"""),0.0747)</f>
        <v>0.0747</v>
      </c>
      <c r="J671" s="19">
        <f>IFERROR(__xludf.DUMMYFUNCTION("""COMPUTED_VALUE"""),0.1494)</f>
        <v>0.1494</v>
      </c>
      <c r="K671" s="19">
        <f>IFERROR(__xludf.DUMMYFUNCTION("""COMPUTED_VALUE"""),0.1868)</f>
        <v>0.1868</v>
      </c>
      <c r="L671" s="19">
        <f>IFERROR(__xludf.DUMMYFUNCTION("""COMPUTED_VALUE"""),0.2241)</f>
        <v>0.2241</v>
      </c>
      <c r="M671" s="18">
        <f>IFERROR(__xludf.DUMMYFUNCTION("""COMPUTED_VALUE"""),1.53)</f>
        <v>1.53</v>
      </c>
    </row>
    <row r="672">
      <c r="A672" s="13" t="str">
        <f>IFERROR(__xludf.DUMMYFUNCTION("""COMPUTED_VALUE"""),"товари")</f>
        <v>товари</v>
      </c>
      <c r="B672" s="16" t="str">
        <f>IFERROR(__xludf.DUMMYFUNCTION("""COMPUTED_VALUE"""),"будівництво")</f>
        <v>будівництво</v>
      </c>
      <c r="C672" s="16" t="str">
        <f>IFERROR(__xludf.DUMMYFUNCTION("""COMPUTED_VALUE"""),"водо-, газо-, теплозабезпечення")</f>
        <v>водо-, газо-, теплозабезпечення</v>
      </c>
      <c r="D672" s="16" t="str">
        <f>IFERROR(__xludf.DUMMYFUNCTION("""COMPUTED_VALUE"""),"обладнання для водо-, газо-, теплозабезпечення, загальне")</f>
        <v>обладнання для водо-, газо-, теплозабезпечення, загальне</v>
      </c>
      <c r="E672" s="16" t="str">
        <f>IFERROR(__xludf.DUMMYFUNCTION("""COMPUTED_VALUE"""),"обладнання для водо-, газо-, теплозабезпечення, загальне")</f>
        <v>обладнання для водо-, газо-, теплозабезпечення, загальне</v>
      </c>
      <c r="F672" s="17">
        <f>IFERROR(__xludf.DUMMYFUNCTION("""COMPUTED_VALUE"""),3.0)</f>
        <v>3</v>
      </c>
      <c r="G672" s="17" t="str">
        <f>IFERROR(__xludf.DUMMYFUNCTION("""COMPUTED_VALUE"""),"132408")</f>
        <v>132408</v>
      </c>
      <c r="H672" s="17" t="str">
        <f>IFERROR(__xludf.DUMMYFUNCTION("""COMPUTED_VALUE"""),"обладнання для водо-, газо-, теплозабезпечення, загальне")</f>
        <v>обладнання для водо-, газо-, теплозабезпечення, загальне</v>
      </c>
      <c r="I672" s="19">
        <f>IFERROR(__xludf.DUMMYFUNCTION("""COMPUTED_VALUE"""),0.125)</f>
        <v>0.125</v>
      </c>
      <c r="J672" s="19">
        <f>IFERROR(__xludf.DUMMYFUNCTION("""COMPUTED_VALUE"""),0.25)</f>
        <v>0.25</v>
      </c>
      <c r="K672" s="19">
        <f>IFERROR(__xludf.DUMMYFUNCTION("""COMPUTED_VALUE"""),0.3125)</f>
        <v>0.3125</v>
      </c>
      <c r="L672" s="19">
        <f>IFERROR(__xludf.DUMMYFUNCTION("""COMPUTED_VALUE"""),0.375)</f>
        <v>0.375</v>
      </c>
      <c r="M672" s="18">
        <f>IFERROR(__xludf.DUMMYFUNCTION("""COMPUTED_VALUE"""),4.33)</f>
        <v>4.33</v>
      </c>
    </row>
    <row r="673">
      <c r="A673" s="13" t="str">
        <f>IFERROR(__xludf.DUMMYFUNCTION("""COMPUTED_VALUE"""),"товари")</f>
        <v>товари</v>
      </c>
      <c r="B673" s="16" t="str">
        <f>IFERROR(__xludf.DUMMYFUNCTION("""COMPUTED_VALUE"""),"будівництво")</f>
        <v>будівництво</v>
      </c>
      <c r="C673" s="16" t="str">
        <f>IFERROR(__xludf.DUMMYFUNCTION("""COMPUTED_VALUE"""),"будівельна техніка та обладнання")</f>
        <v>будівельна техніка та обладнання</v>
      </c>
      <c r="D673" s="16" t="str">
        <f>IFERROR(__xludf.DUMMYFUNCTION("""COMPUTED_VALUE"""),"обладнання для нанесення, звуко-, гідро-, теплоізоляції")</f>
        <v>обладнання для нанесення, звуко-, гідро-, теплоізоляції</v>
      </c>
      <c r="E673" s="16" t="str">
        <f>IFERROR(__xludf.DUMMYFUNCTION("""COMPUTED_VALUE"""),"обладнання для нанесення, звуко-, гідро-, теплоізоляції")</f>
        <v>обладнання для нанесення, звуко-, гідро-, теплоізоляції</v>
      </c>
      <c r="F673" s="17">
        <f>IFERROR(__xludf.DUMMYFUNCTION("""COMPUTED_VALUE"""),3.0)</f>
        <v>3</v>
      </c>
      <c r="G673" s="17" t="str">
        <f>IFERROR(__xludf.DUMMYFUNCTION("""COMPUTED_VALUE"""),"130412")</f>
        <v>130412</v>
      </c>
      <c r="H673" s="17" t="str">
        <f>IFERROR(__xludf.DUMMYFUNCTION("""COMPUTED_VALUE"""),"обладнання для нанесення, звуко-, гідро-, теплоізоляції")</f>
        <v>обладнання для нанесення, звуко-, гідро-, теплоізоляції</v>
      </c>
      <c r="I673" s="19">
        <f>IFERROR(__xludf.DUMMYFUNCTION("""COMPUTED_VALUE"""),0.0462)</f>
        <v>0.0462</v>
      </c>
      <c r="J673" s="19">
        <f>IFERROR(__xludf.DUMMYFUNCTION("""COMPUTED_VALUE"""),0.0924)</f>
        <v>0.0924</v>
      </c>
      <c r="K673" s="19">
        <f>IFERROR(__xludf.DUMMYFUNCTION("""COMPUTED_VALUE"""),0.1155)</f>
        <v>0.1155</v>
      </c>
      <c r="L673" s="19">
        <f>IFERROR(__xludf.DUMMYFUNCTION("""COMPUTED_VALUE"""),0.1386)</f>
        <v>0.1386</v>
      </c>
      <c r="M673" s="18">
        <f>IFERROR(__xludf.DUMMYFUNCTION("""COMPUTED_VALUE"""),2.16)</f>
        <v>2.16</v>
      </c>
    </row>
    <row r="674">
      <c r="A674" s="13" t="str">
        <f>IFERROR(__xludf.DUMMYFUNCTION("""COMPUTED_VALUE"""),"товари")</f>
        <v>товари</v>
      </c>
      <c r="B674" s="16" t="str">
        <f>IFERROR(__xludf.DUMMYFUNCTION("""COMPUTED_VALUE"""),"будівництво")</f>
        <v>будівництво</v>
      </c>
      <c r="C674" s="16" t="str">
        <f>IFERROR(__xludf.DUMMYFUNCTION("""COMPUTED_VALUE"""),"басейни")</f>
        <v>басейни</v>
      </c>
      <c r="D674" s="16" t="str">
        <f>IFERROR(__xludf.DUMMYFUNCTION("""COMPUTED_VALUE"""),"обладнання та аксесуари для басейнів")</f>
        <v>обладнання та аксесуари для басейнів</v>
      </c>
      <c r="E674" s="16" t="str">
        <f>IFERROR(__xludf.DUMMYFUNCTION("""COMPUTED_VALUE"""),"обладнання та аксесуари для басейнів")</f>
        <v>обладнання та аксесуари для басейнів</v>
      </c>
      <c r="F674" s="17">
        <f>IFERROR(__xludf.DUMMYFUNCTION("""COMPUTED_VALUE"""),3.0)</f>
        <v>3</v>
      </c>
      <c r="G674" s="17" t="str">
        <f>IFERROR(__xludf.DUMMYFUNCTION("""COMPUTED_VALUE"""),"180803")</f>
        <v>180803</v>
      </c>
      <c r="H674" s="17" t="str">
        <f>IFERROR(__xludf.DUMMYFUNCTION("""COMPUTED_VALUE"""),"обладнання та аксесуари для басейнів")</f>
        <v>обладнання та аксесуари для басейнів</v>
      </c>
      <c r="I674" s="19">
        <f>IFERROR(__xludf.DUMMYFUNCTION("""COMPUTED_VALUE"""),0.0761)</f>
        <v>0.0761</v>
      </c>
      <c r="J674" s="19">
        <f>IFERROR(__xludf.DUMMYFUNCTION("""COMPUTED_VALUE"""),0.1522)</f>
        <v>0.1522</v>
      </c>
      <c r="K674" s="19">
        <f>IFERROR(__xludf.DUMMYFUNCTION("""COMPUTED_VALUE"""),0.1903)</f>
        <v>0.1903</v>
      </c>
      <c r="L674" s="19">
        <f>IFERROR(__xludf.DUMMYFUNCTION("""COMPUTED_VALUE"""),0.2283)</f>
        <v>0.2283</v>
      </c>
      <c r="M674" s="18">
        <f>IFERROR(__xludf.DUMMYFUNCTION("""COMPUTED_VALUE"""),4.5)</f>
        <v>4.5</v>
      </c>
    </row>
    <row r="675">
      <c r="A675" s="13" t="str">
        <f>IFERROR(__xludf.DUMMYFUNCTION("""COMPUTED_VALUE"""),"товари")</f>
        <v>товари</v>
      </c>
      <c r="B675" s="16" t="str">
        <f>IFERROR(__xludf.DUMMYFUNCTION("""COMPUTED_VALUE"""),"будівництво")</f>
        <v>будівництво</v>
      </c>
      <c r="C675" s="16" t="str">
        <f>IFERROR(__xludf.DUMMYFUNCTION("""COMPUTED_VALUE"""),"будівельні матеріали")</f>
        <v>будівельні матеріали</v>
      </c>
      <c r="D675" s="16" t="str">
        <f>IFERROR(__xludf.DUMMYFUNCTION("""COMPUTED_VALUE"""),"теплоізоляційні матеріали")</f>
        <v>теплоізоляційні матеріали</v>
      </c>
      <c r="E675" s="16" t="str">
        <f>IFERROR(__xludf.DUMMYFUNCTION("""COMPUTED_VALUE"""),"обмащувальна теплоізоляція")</f>
        <v>обмащувальна теплоізоляція</v>
      </c>
      <c r="F675" s="17">
        <f>IFERROR(__xludf.DUMMYFUNCTION("""COMPUTED_VALUE"""),4.0)</f>
        <v>4</v>
      </c>
      <c r="G675" s="17" t="str">
        <f>IFERROR(__xludf.DUMMYFUNCTION("""COMPUTED_VALUE"""),"133419")</f>
        <v>133419</v>
      </c>
      <c r="H675" s="17" t="str">
        <f>IFERROR(__xludf.DUMMYFUNCTION("""COMPUTED_VALUE"""),"обмащувальна теплоізоляція")</f>
        <v>обмащувальна теплоізоляція</v>
      </c>
      <c r="I675" s="19">
        <f>IFERROR(__xludf.DUMMYFUNCTION("""COMPUTED_VALUE"""),0.0442)</f>
        <v>0.0442</v>
      </c>
      <c r="J675" s="19">
        <f>IFERROR(__xludf.DUMMYFUNCTION("""COMPUTED_VALUE"""),0.0884)</f>
        <v>0.0884</v>
      </c>
      <c r="K675" s="19">
        <f>IFERROR(__xludf.DUMMYFUNCTION("""COMPUTED_VALUE"""),0.1105)</f>
        <v>0.1105</v>
      </c>
      <c r="L675" s="19">
        <f>IFERROR(__xludf.DUMMYFUNCTION("""COMPUTED_VALUE"""),0.1326)</f>
        <v>0.1326</v>
      </c>
      <c r="M675" s="18">
        <f>IFERROR(__xludf.DUMMYFUNCTION("""COMPUTED_VALUE"""),3.88)</f>
        <v>3.88</v>
      </c>
    </row>
    <row r="676">
      <c r="A676" s="13" t="str">
        <f>IFERROR(__xludf.DUMMYFUNCTION("""COMPUTED_VALUE"""),"товари")</f>
        <v>товари</v>
      </c>
      <c r="B676" s="16" t="str">
        <f>IFERROR(__xludf.DUMMYFUNCTION("""COMPUTED_VALUE"""),"будівництво")</f>
        <v>будівництво</v>
      </c>
      <c r="C676" s="16" t="str">
        <f>IFERROR(__xludf.DUMMYFUNCTION("""COMPUTED_VALUE"""),"будівельні матеріали")</f>
        <v>будівельні матеріали</v>
      </c>
      <c r="D676" s="16" t="str">
        <f>IFERROR(__xludf.DUMMYFUNCTION("""COMPUTED_VALUE"""),"гідроізоляційні матеріали")</f>
        <v>гідроізоляційні матеріали</v>
      </c>
      <c r="E676" s="16" t="str">
        <f>IFERROR(__xludf.DUMMYFUNCTION("""COMPUTED_VALUE"""),"обмащувальні гідроізоляційні матеріали")</f>
        <v>обмащувальні гідроізоляційні матеріали</v>
      </c>
      <c r="F676" s="17">
        <f>IFERROR(__xludf.DUMMYFUNCTION("""COMPUTED_VALUE"""),4.0)</f>
        <v>4</v>
      </c>
      <c r="G676" s="17" t="str">
        <f>IFERROR(__xludf.DUMMYFUNCTION("""COMPUTED_VALUE"""),"132309")</f>
        <v>132309</v>
      </c>
      <c r="H676" s="17" t="str">
        <f>IFERROR(__xludf.DUMMYFUNCTION("""COMPUTED_VALUE"""),"обмащувальні гідроізоляційні матеріали")</f>
        <v>обмащувальні гідроізоляційні матеріали</v>
      </c>
      <c r="I676" s="19">
        <f>IFERROR(__xludf.DUMMYFUNCTION("""COMPUTED_VALUE"""),0.0296)</f>
        <v>0.0296</v>
      </c>
      <c r="J676" s="19">
        <f>IFERROR(__xludf.DUMMYFUNCTION("""COMPUTED_VALUE"""),0.0591)</f>
        <v>0.0591</v>
      </c>
      <c r="K676" s="19">
        <f>IFERROR(__xludf.DUMMYFUNCTION("""COMPUTED_VALUE"""),0.0739)</f>
        <v>0.0739</v>
      </c>
      <c r="L676" s="19">
        <f>IFERROR(__xludf.DUMMYFUNCTION("""COMPUTED_VALUE"""),0.0887)</f>
        <v>0.0887</v>
      </c>
      <c r="M676" s="18">
        <f>IFERROR(__xludf.DUMMYFUNCTION("""COMPUTED_VALUE"""),3.75)</f>
        <v>3.75</v>
      </c>
    </row>
    <row r="677">
      <c r="A677" s="13" t="str">
        <f>IFERROR(__xludf.DUMMYFUNCTION("""COMPUTED_VALUE"""),"товари")</f>
        <v>товари</v>
      </c>
      <c r="B677" s="16" t="str">
        <f>IFERROR(__xludf.DUMMYFUNCTION("""COMPUTED_VALUE"""),"будівництво")</f>
        <v>будівництво</v>
      </c>
      <c r="C677" s="16" t="str">
        <f>IFERROR(__xludf.DUMMYFUNCTION("""COMPUTED_VALUE"""),"водо-, газо-, теплозабезпечення")</f>
        <v>водо-, газо-, теплозабезпечення</v>
      </c>
      <c r="D677" s="16" t="str">
        <f>IFERROR(__xludf.DUMMYFUNCTION("""COMPUTED_VALUE"""),"фітинги для труб")</f>
        <v>фітинги для труб</v>
      </c>
      <c r="E677" s="16" t="str">
        <f>IFERROR(__xludf.DUMMYFUNCTION("""COMPUTED_VALUE"""),"опори для труб")</f>
        <v>опори для труб</v>
      </c>
      <c r="F677" s="17">
        <f>IFERROR(__xludf.DUMMYFUNCTION("""COMPUTED_VALUE"""),4.0)</f>
        <v>4</v>
      </c>
      <c r="G677" s="17" t="str">
        <f>IFERROR(__xludf.DUMMYFUNCTION("""COMPUTED_VALUE"""),"13100622")</f>
        <v>13100622</v>
      </c>
      <c r="H677" s="17" t="str">
        <f>IFERROR(__xludf.DUMMYFUNCTION("""COMPUTED_VALUE"""),"опори для труб")</f>
        <v>опори для труб</v>
      </c>
      <c r="I677" s="19">
        <f>IFERROR(__xludf.DUMMYFUNCTION("""COMPUTED_VALUE"""),0.0747)</f>
        <v>0.0747</v>
      </c>
      <c r="J677" s="19">
        <f>IFERROR(__xludf.DUMMYFUNCTION("""COMPUTED_VALUE"""),0.1494)</f>
        <v>0.1494</v>
      </c>
      <c r="K677" s="19">
        <f>IFERROR(__xludf.DUMMYFUNCTION("""COMPUTED_VALUE"""),0.1868)</f>
        <v>0.1868</v>
      </c>
      <c r="L677" s="19">
        <f>IFERROR(__xludf.DUMMYFUNCTION("""COMPUTED_VALUE"""),0.2241)</f>
        <v>0.2241</v>
      </c>
      <c r="M677" s="18">
        <f>IFERROR(__xludf.DUMMYFUNCTION("""COMPUTED_VALUE"""),1.53)</f>
        <v>1.53</v>
      </c>
    </row>
    <row r="678">
      <c r="A678" s="13" t="str">
        <f>IFERROR(__xludf.DUMMYFUNCTION("""COMPUTED_VALUE"""),"товари")</f>
        <v>товари</v>
      </c>
      <c r="B678" s="16" t="str">
        <f>IFERROR(__xludf.DUMMYFUNCTION("""COMPUTED_VALUE"""),"будівництво")</f>
        <v>будівництво</v>
      </c>
      <c r="C678" s="16" t="str">
        <f>IFERROR(__xludf.DUMMYFUNCTION("""COMPUTED_VALUE"""),"будівельні матеріали")</f>
        <v>будівельні матеріали</v>
      </c>
      <c r="D678" s="16" t="str">
        <f>IFERROR(__xludf.DUMMYFUNCTION("""COMPUTED_VALUE"""),"теплоізоляційні матеріали")</f>
        <v>теплоізоляційні матеріали</v>
      </c>
      <c r="E678" s="16" t="str">
        <f>IFERROR(__xludf.DUMMYFUNCTION("""COMPUTED_VALUE"""),"пакля")</f>
        <v>пакля</v>
      </c>
      <c r="F678" s="17">
        <f>IFERROR(__xludf.DUMMYFUNCTION("""COMPUTED_VALUE"""),4.0)</f>
        <v>4</v>
      </c>
      <c r="G678" s="17" t="str">
        <f>IFERROR(__xludf.DUMMYFUNCTION("""COMPUTED_VALUE"""),"133403")</f>
        <v>133403</v>
      </c>
      <c r="H678" s="17" t="str">
        <f>IFERROR(__xludf.DUMMYFUNCTION("""COMPUTED_VALUE"""),"пакля")</f>
        <v>пакля</v>
      </c>
      <c r="I678" s="19">
        <f>IFERROR(__xludf.DUMMYFUNCTION("""COMPUTED_VALUE"""),0.0516)</f>
        <v>0.0516</v>
      </c>
      <c r="J678" s="19">
        <f>IFERROR(__xludf.DUMMYFUNCTION("""COMPUTED_VALUE"""),0.1032)</f>
        <v>0.1032</v>
      </c>
      <c r="K678" s="19">
        <f>IFERROR(__xludf.DUMMYFUNCTION("""COMPUTED_VALUE"""),0.129)</f>
        <v>0.129</v>
      </c>
      <c r="L678" s="19">
        <f>IFERROR(__xludf.DUMMYFUNCTION("""COMPUTED_VALUE"""),0.1548)</f>
        <v>0.1548</v>
      </c>
      <c r="M678" s="18">
        <f>IFERROR(__xludf.DUMMYFUNCTION("""COMPUTED_VALUE"""),3.88)</f>
        <v>3.88</v>
      </c>
    </row>
    <row r="679">
      <c r="A679" s="13" t="str">
        <f>IFERROR(__xludf.DUMMYFUNCTION("""COMPUTED_VALUE"""),"товари")</f>
        <v>товари</v>
      </c>
      <c r="B679" s="16" t="str">
        <f>IFERROR(__xludf.DUMMYFUNCTION("""COMPUTED_VALUE"""),"будівництво")</f>
        <v>будівництво</v>
      </c>
      <c r="C679" s="16" t="str">
        <f>IFERROR(__xludf.DUMMYFUNCTION("""COMPUTED_VALUE"""),"будівельні матеріали")</f>
        <v>будівельні матеріали</v>
      </c>
      <c r="D679" s="16" t="str">
        <f>IFERROR(__xludf.DUMMYFUNCTION("""COMPUTED_VALUE"""),"пластикові будівельні матеріали")</f>
        <v>пластикові будівельні матеріали</v>
      </c>
      <c r="E679" s="16" t="str">
        <f>IFERROR(__xludf.DUMMYFUNCTION("""COMPUTED_VALUE"""),"панелі та вагонка пвх")</f>
        <v>панелі та вагонка пвх</v>
      </c>
      <c r="F679" s="17">
        <f>IFERROR(__xludf.DUMMYFUNCTION("""COMPUTED_VALUE"""),4.0)</f>
        <v>4</v>
      </c>
      <c r="G679" s="17" t="str">
        <f>IFERROR(__xludf.DUMMYFUNCTION("""COMPUTED_VALUE"""),"131702")</f>
        <v>131702</v>
      </c>
      <c r="H679" s="17" t="str">
        <f>IFERROR(__xludf.DUMMYFUNCTION("""COMPUTED_VALUE"""),"панелі та вагонка пвх")</f>
        <v>панелі та вагонка пвх</v>
      </c>
      <c r="I679" s="19">
        <f>IFERROR(__xludf.DUMMYFUNCTION("""COMPUTED_VALUE"""),0.0259)</f>
        <v>0.0259</v>
      </c>
      <c r="J679" s="19">
        <f>IFERROR(__xludf.DUMMYFUNCTION("""COMPUTED_VALUE"""),0.0517)</f>
        <v>0.0517</v>
      </c>
      <c r="K679" s="19">
        <f>IFERROR(__xludf.DUMMYFUNCTION("""COMPUTED_VALUE"""),0.0646)</f>
        <v>0.0646</v>
      </c>
      <c r="L679" s="19">
        <f>IFERROR(__xludf.DUMMYFUNCTION("""COMPUTED_VALUE"""),0.0776)</f>
        <v>0.0776</v>
      </c>
      <c r="M679" s="18">
        <f>IFERROR(__xludf.DUMMYFUNCTION("""COMPUTED_VALUE"""),1.53)</f>
        <v>1.53</v>
      </c>
    </row>
    <row r="680">
      <c r="A680" s="13" t="str">
        <f>IFERROR(__xludf.DUMMYFUNCTION("""COMPUTED_VALUE"""),"товари")</f>
        <v>товари</v>
      </c>
      <c r="B680" s="16" t="str">
        <f>IFERROR(__xludf.DUMMYFUNCTION("""COMPUTED_VALUE"""),"будівництво")</f>
        <v>будівництво</v>
      </c>
      <c r="C680" s="16" t="str">
        <f>IFERROR(__xludf.DUMMYFUNCTION("""COMPUTED_VALUE"""),"водо-, газо-, теплозабезпечення")</f>
        <v>водо-, газо-, теплозабезпечення</v>
      </c>
      <c r="D680" s="16" t="str">
        <f>IFERROR(__xludf.DUMMYFUNCTION("""COMPUTED_VALUE"""),"фітинги для труб")</f>
        <v>фітинги для труб</v>
      </c>
      <c r="E680" s="16" t="str">
        <f>IFERROR(__xludf.DUMMYFUNCTION("""COMPUTED_VALUE"""),"перехідники")</f>
        <v>перехідники</v>
      </c>
      <c r="F680" s="17">
        <f>IFERROR(__xludf.DUMMYFUNCTION("""COMPUTED_VALUE"""),4.0)</f>
        <v>4</v>
      </c>
      <c r="G680" s="17" t="str">
        <f>IFERROR(__xludf.DUMMYFUNCTION("""COMPUTED_VALUE"""),"13100607")</f>
        <v>13100607</v>
      </c>
      <c r="H680" s="17" t="str">
        <f>IFERROR(__xludf.DUMMYFUNCTION("""COMPUTED_VALUE"""),"перехідники")</f>
        <v>перехідники</v>
      </c>
      <c r="I680" s="19">
        <f>IFERROR(__xludf.DUMMYFUNCTION("""COMPUTED_VALUE"""),0.0747)</f>
        <v>0.0747</v>
      </c>
      <c r="J680" s="19">
        <f>IFERROR(__xludf.DUMMYFUNCTION("""COMPUTED_VALUE"""),0.1494)</f>
        <v>0.1494</v>
      </c>
      <c r="K680" s="19">
        <f>IFERROR(__xludf.DUMMYFUNCTION("""COMPUTED_VALUE"""),0.1868)</f>
        <v>0.1868</v>
      </c>
      <c r="L680" s="19">
        <f>IFERROR(__xludf.DUMMYFUNCTION("""COMPUTED_VALUE"""),0.2241)</f>
        <v>0.2241</v>
      </c>
      <c r="M680" s="18">
        <f>IFERROR(__xludf.DUMMYFUNCTION("""COMPUTED_VALUE"""),1.53)</f>
        <v>1.53</v>
      </c>
    </row>
    <row r="681">
      <c r="A681" s="13" t="str">
        <f>IFERROR(__xludf.DUMMYFUNCTION("""COMPUTED_VALUE"""),"товари")</f>
        <v>товари</v>
      </c>
      <c r="B681" s="16" t="str">
        <f>IFERROR(__xludf.DUMMYFUNCTION("""COMPUTED_VALUE"""),"будівництво")</f>
        <v>будівництво</v>
      </c>
      <c r="C681" s="16" t="str">
        <f>IFERROR(__xludf.DUMMYFUNCTION("""COMPUTED_VALUE"""),"будівельні матеріали")</f>
        <v>будівельні матеріали</v>
      </c>
      <c r="D681" s="16" t="str">
        <f>IFERROR(__xludf.DUMMYFUNCTION("""COMPUTED_VALUE"""),"теплоізоляційні матеріали")</f>
        <v>теплоізоляційні матеріали</v>
      </c>
      <c r="E681" s="16" t="str">
        <f>IFERROR(__xludf.DUMMYFUNCTION("""COMPUTED_VALUE"""),"пінополіуретанова теплоізоляція")</f>
        <v>пінополіуретанова теплоізоляція</v>
      </c>
      <c r="F681" s="17">
        <f>IFERROR(__xludf.DUMMYFUNCTION("""COMPUTED_VALUE"""),4.0)</f>
        <v>4</v>
      </c>
      <c r="G681" s="17" t="str">
        <f>IFERROR(__xludf.DUMMYFUNCTION("""COMPUTED_VALUE"""),"133413")</f>
        <v>133413</v>
      </c>
      <c r="H681" s="17" t="str">
        <f>IFERROR(__xludf.DUMMYFUNCTION("""COMPUTED_VALUE"""),"пінополіуретанова теплоізоляція")</f>
        <v>пінополіуретанова теплоізоляція</v>
      </c>
      <c r="I681" s="19">
        <f>IFERROR(__xludf.DUMMYFUNCTION("""COMPUTED_VALUE"""),0.0442)</f>
        <v>0.0442</v>
      </c>
      <c r="J681" s="19">
        <f>IFERROR(__xludf.DUMMYFUNCTION("""COMPUTED_VALUE"""),0.0884)</f>
        <v>0.0884</v>
      </c>
      <c r="K681" s="19">
        <f>IFERROR(__xludf.DUMMYFUNCTION("""COMPUTED_VALUE"""),0.1105)</f>
        <v>0.1105</v>
      </c>
      <c r="L681" s="19">
        <f>IFERROR(__xludf.DUMMYFUNCTION("""COMPUTED_VALUE"""),0.1326)</f>
        <v>0.1326</v>
      </c>
      <c r="M681" s="18">
        <f>IFERROR(__xludf.DUMMYFUNCTION("""COMPUTED_VALUE"""),3.88)</f>
        <v>3.88</v>
      </c>
    </row>
    <row r="682">
      <c r="A682" s="13" t="str">
        <f>IFERROR(__xludf.DUMMYFUNCTION("""COMPUTED_VALUE"""),"товари")</f>
        <v>товари</v>
      </c>
      <c r="B682" s="16" t="str">
        <f>IFERROR(__xludf.DUMMYFUNCTION("""COMPUTED_VALUE"""),"будівництво")</f>
        <v>будівництво</v>
      </c>
      <c r="C682" s="16" t="str">
        <f>IFERROR(__xludf.DUMMYFUNCTION("""COMPUTED_VALUE"""),"будівельні матеріали")</f>
        <v>будівельні матеріали</v>
      </c>
      <c r="D682" s="16" t="str">
        <f>IFERROR(__xludf.DUMMYFUNCTION("""COMPUTED_VALUE"""),"пластикові будівельні матеріали")</f>
        <v>пластикові будівельні матеріали</v>
      </c>
      <c r="E682" s="16" t="str">
        <f>IFERROR(__xludf.DUMMYFUNCTION("""COMPUTED_VALUE"""),"пластикові будівельні матеріали, загальне")</f>
        <v>пластикові будівельні матеріали, загальне</v>
      </c>
      <c r="F682" s="17">
        <f>IFERROR(__xludf.DUMMYFUNCTION("""COMPUTED_VALUE"""),4.0)</f>
        <v>4</v>
      </c>
      <c r="G682" s="17" t="str">
        <f>IFERROR(__xludf.DUMMYFUNCTION("""COMPUTED_VALUE"""),"131708")</f>
        <v>131708</v>
      </c>
      <c r="H682" s="17" t="str">
        <f>IFERROR(__xludf.DUMMYFUNCTION("""COMPUTED_VALUE"""),"пластикові будівельні матеріали, загальне")</f>
        <v>пластикові будівельні матеріали, загальне</v>
      </c>
      <c r="I682" s="19">
        <f>IFERROR(__xludf.DUMMYFUNCTION("""COMPUTED_VALUE"""),0.125)</f>
        <v>0.125</v>
      </c>
      <c r="J682" s="19">
        <f>IFERROR(__xludf.DUMMYFUNCTION("""COMPUTED_VALUE"""),0.25)</f>
        <v>0.25</v>
      </c>
      <c r="K682" s="19">
        <f>IFERROR(__xludf.DUMMYFUNCTION("""COMPUTED_VALUE"""),0.3125)</f>
        <v>0.3125</v>
      </c>
      <c r="L682" s="19">
        <f>IFERROR(__xludf.DUMMYFUNCTION("""COMPUTED_VALUE"""),0.375)</f>
        <v>0.375</v>
      </c>
      <c r="M682" s="18">
        <f>IFERROR(__xludf.DUMMYFUNCTION("""COMPUTED_VALUE"""),4.33)</f>
        <v>4.33</v>
      </c>
    </row>
    <row r="683">
      <c r="A683" s="13" t="str">
        <f>IFERROR(__xludf.DUMMYFUNCTION("""COMPUTED_VALUE"""),"товари")</f>
        <v>товари</v>
      </c>
      <c r="B683" s="16" t="str">
        <f>IFERROR(__xludf.DUMMYFUNCTION("""COMPUTED_VALUE"""),"будівництво")</f>
        <v>будівництво</v>
      </c>
      <c r="C683" s="16" t="str">
        <f>IFERROR(__xludf.DUMMYFUNCTION("""COMPUTED_VALUE"""),"будівельні матеріали")</f>
        <v>будівельні матеріали</v>
      </c>
      <c r="D683" s="16" t="str">
        <f>IFERROR(__xludf.DUMMYFUNCTION("""COMPUTED_VALUE"""),"в'яжучі матеріали, сухі будівельні суміші")</f>
        <v>в'яжучі матеріали, сухі будівельні суміші</v>
      </c>
      <c r="E683" s="16" t="str">
        <f>IFERROR(__xludf.DUMMYFUNCTION("""COMPUTED_VALUE"""),"пластифікатори і добавки в розчини")</f>
        <v>пластифікатори і добавки в розчини</v>
      </c>
      <c r="F683" s="17">
        <f>IFERROR(__xludf.DUMMYFUNCTION("""COMPUTED_VALUE"""),4.0)</f>
        <v>4</v>
      </c>
      <c r="G683" s="17" t="str">
        <f>IFERROR(__xludf.DUMMYFUNCTION("""COMPUTED_VALUE"""),"13070502")</f>
        <v>13070502</v>
      </c>
      <c r="H683" s="17" t="str">
        <f>IFERROR(__xludf.DUMMYFUNCTION("""COMPUTED_VALUE"""),"пластифікатори і добавки в розчини")</f>
        <v>пластифікатори і добавки в розчини</v>
      </c>
      <c r="I683" s="19">
        <f>IFERROR(__xludf.DUMMYFUNCTION("""COMPUTED_VALUE"""),0.0583)</f>
        <v>0.0583</v>
      </c>
      <c r="J683" s="19">
        <f>IFERROR(__xludf.DUMMYFUNCTION("""COMPUTED_VALUE"""),0.1166)</f>
        <v>0.1166</v>
      </c>
      <c r="K683" s="19">
        <f>IFERROR(__xludf.DUMMYFUNCTION("""COMPUTED_VALUE"""),0.1458)</f>
        <v>0.1458</v>
      </c>
      <c r="L683" s="19">
        <f>IFERROR(__xludf.DUMMYFUNCTION("""COMPUTED_VALUE"""),0.1749)</f>
        <v>0.1749</v>
      </c>
      <c r="M683" s="18">
        <f>IFERROR(__xludf.DUMMYFUNCTION("""COMPUTED_VALUE"""),1.71)</f>
        <v>1.71</v>
      </c>
    </row>
    <row r="684">
      <c r="A684" s="13" t="str">
        <f>IFERROR(__xludf.DUMMYFUNCTION("""COMPUTED_VALUE"""),"товари")</f>
        <v>товари</v>
      </c>
      <c r="B684" s="16" t="str">
        <f>IFERROR(__xludf.DUMMYFUNCTION("""COMPUTED_VALUE"""),"будівництво")</f>
        <v>будівництво</v>
      </c>
      <c r="C684" s="16" t="str">
        <f>IFERROR(__xludf.DUMMYFUNCTION("""COMPUTED_VALUE"""),"водо-, газо-, теплозабезпечення")</f>
        <v>водо-, газо-, теплозабезпечення</v>
      </c>
      <c r="D684" s="16" t="str">
        <f>IFERROR(__xludf.DUMMYFUNCTION("""COMPUTED_VALUE"""),"обладнання для газопостачання")</f>
        <v>обладнання для газопостачання</v>
      </c>
      <c r="E684" s="16" t="str">
        <f>IFERROR(__xludf.DUMMYFUNCTION("""COMPUTED_VALUE"""),"побутові газові балони")</f>
        <v>побутові газові балони</v>
      </c>
      <c r="F684" s="17">
        <f>IFERROR(__xludf.DUMMYFUNCTION("""COMPUTED_VALUE"""),4.0)</f>
        <v>4</v>
      </c>
      <c r="G684" s="17" t="str">
        <f>IFERROR(__xludf.DUMMYFUNCTION("""COMPUTED_VALUE"""),"13240607")</f>
        <v>13240607</v>
      </c>
      <c r="H684" s="17" t="str">
        <f>IFERROR(__xludf.DUMMYFUNCTION("""COMPUTED_VALUE"""),"побутові газові балони")</f>
        <v>побутові газові балони</v>
      </c>
      <c r="I684" s="19">
        <f>IFERROR(__xludf.DUMMYFUNCTION("""COMPUTED_VALUE"""),0.0493)</f>
        <v>0.0493</v>
      </c>
      <c r="J684" s="19">
        <f>IFERROR(__xludf.DUMMYFUNCTION("""COMPUTED_VALUE"""),0.0986)</f>
        <v>0.0986</v>
      </c>
      <c r="K684" s="19">
        <f>IFERROR(__xludf.DUMMYFUNCTION("""COMPUTED_VALUE"""),0.1233)</f>
        <v>0.1233</v>
      </c>
      <c r="L684" s="19">
        <f>IFERROR(__xludf.DUMMYFUNCTION("""COMPUTED_VALUE"""),0.1479)</f>
        <v>0.1479</v>
      </c>
      <c r="M684" s="18">
        <f>IFERROR(__xludf.DUMMYFUNCTION("""COMPUTED_VALUE"""),1.71)</f>
        <v>1.71</v>
      </c>
    </row>
    <row r="685">
      <c r="A685" s="13" t="str">
        <f>IFERROR(__xludf.DUMMYFUNCTION("""COMPUTED_VALUE"""),"товари")</f>
        <v>товари</v>
      </c>
      <c r="B685" s="16" t="str">
        <f>IFERROR(__xludf.DUMMYFUNCTION("""COMPUTED_VALUE"""),"будівництво")</f>
        <v>будівництво</v>
      </c>
      <c r="C685" s="16" t="str">
        <f>IFERROR(__xludf.DUMMYFUNCTION("""COMPUTED_VALUE"""),"водо-, газо-, теплозабезпечення")</f>
        <v>водо-, газо-, теплозабезпечення</v>
      </c>
      <c r="D685" s="16" t="str">
        <f>IFERROR(__xludf.DUMMYFUNCTION("""COMPUTED_VALUE"""),"обладнання для газопостачання")</f>
        <v>обладнання для газопостачання</v>
      </c>
      <c r="E685" s="16" t="str">
        <f>IFERROR(__xludf.DUMMYFUNCTION("""COMPUTED_VALUE"""),"побутові газові фільтри")</f>
        <v>побутові газові фільтри</v>
      </c>
      <c r="F685" s="17">
        <f>IFERROR(__xludf.DUMMYFUNCTION("""COMPUTED_VALUE"""),4.0)</f>
        <v>4</v>
      </c>
      <c r="G685" s="17" t="str">
        <f>IFERROR(__xludf.DUMMYFUNCTION("""COMPUTED_VALUE"""),"13240601")</f>
        <v>13240601</v>
      </c>
      <c r="H685" s="17" t="str">
        <f>IFERROR(__xludf.DUMMYFUNCTION("""COMPUTED_VALUE"""),"побутові газові фільтри")</f>
        <v>побутові газові фільтри</v>
      </c>
      <c r="I685" s="19">
        <f>IFERROR(__xludf.DUMMYFUNCTION("""COMPUTED_VALUE"""),0.0493)</f>
        <v>0.0493</v>
      </c>
      <c r="J685" s="19">
        <f>IFERROR(__xludf.DUMMYFUNCTION("""COMPUTED_VALUE"""),0.0986)</f>
        <v>0.0986</v>
      </c>
      <c r="K685" s="19">
        <f>IFERROR(__xludf.DUMMYFUNCTION("""COMPUTED_VALUE"""),0.1233)</f>
        <v>0.1233</v>
      </c>
      <c r="L685" s="19">
        <f>IFERROR(__xludf.DUMMYFUNCTION("""COMPUTED_VALUE"""),0.1479)</f>
        <v>0.1479</v>
      </c>
      <c r="M685" s="18">
        <f>IFERROR(__xludf.DUMMYFUNCTION("""COMPUTED_VALUE"""),1.71)</f>
        <v>1.71</v>
      </c>
    </row>
    <row r="686">
      <c r="A686" s="13" t="str">
        <f>IFERROR(__xludf.DUMMYFUNCTION("""COMPUTED_VALUE"""),"товари")</f>
        <v>товари</v>
      </c>
      <c r="B686" s="16" t="str">
        <f>IFERROR(__xludf.DUMMYFUNCTION("""COMPUTED_VALUE"""),"будівництво")</f>
        <v>будівництво</v>
      </c>
      <c r="C686" s="16" t="str">
        <f>IFERROR(__xludf.DUMMYFUNCTION("""COMPUTED_VALUE"""),"водо-, газо-, теплозабезпечення")</f>
        <v>водо-, газо-, теплозабезпечення</v>
      </c>
      <c r="D686" s="16" t="str">
        <f>IFERROR(__xludf.DUMMYFUNCTION("""COMPUTED_VALUE"""),"автоматичні регулятори")</f>
        <v>автоматичні регулятори</v>
      </c>
      <c r="E686" s="16" t="str">
        <f>IFERROR(__xludf.DUMMYFUNCTION("""COMPUTED_VALUE"""),"побутові терморегулятори")</f>
        <v>побутові терморегулятори</v>
      </c>
      <c r="F686" s="17">
        <f>IFERROR(__xludf.DUMMYFUNCTION("""COMPUTED_VALUE"""),4.0)</f>
        <v>4</v>
      </c>
      <c r="G686" s="17" t="str">
        <f>IFERROR(__xludf.DUMMYFUNCTION("""COMPUTED_VALUE"""),"13240901")</f>
        <v>13240901</v>
      </c>
      <c r="H686" s="17" t="str">
        <f>IFERROR(__xludf.DUMMYFUNCTION("""COMPUTED_VALUE"""),"побутові терморегулятори")</f>
        <v>побутові терморегулятори</v>
      </c>
      <c r="I686" s="19">
        <f>IFERROR(__xludf.DUMMYFUNCTION("""COMPUTED_VALUE"""),0.0755)</f>
        <v>0.0755</v>
      </c>
      <c r="J686" s="19">
        <f>IFERROR(__xludf.DUMMYFUNCTION("""COMPUTED_VALUE"""),0.1509)</f>
        <v>0.1509</v>
      </c>
      <c r="K686" s="19">
        <f>IFERROR(__xludf.DUMMYFUNCTION("""COMPUTED_VALUE"""),0.1886)</f>
        <v>0.1886</v>
      </c>
      <c r="L686" s="19">
        <f>IFERROR(__xludf.DUMMYFUNCTION("""COMPUTED_VALUE"""),0.2264)</f>
        <v>0.2264</v>
      </c>
      <c r="M686" s="18">
        <f>IFERROR(__xludf.DUMMYFUNCTION("""COMPUTED_VALUE"""),1.71)</f>
        <v>1.71</v>
      </c>
    </row>
    <row r="687">
      <c r="A687" s="13" t="str">
        <f>IFERROR(__xludf.DUMMYFUNCTION("""COMPUTED_VALUE"""),"товари")</f>
        <v>товари</v>
      </c>
      <c r="B687" s="16" t="str">
        <f>IFERROR(__xludf.DUMMYFUNCTION("""COMPUTED_VALUE"""),"будівництво")</f>
        <v>будівництво</v>
      </c>
      <c r="C687" s="16" t="str">
        <f>IFERROR(__xludf.DUMMYFUNCTION("""COMPUTED_VALUE"""),"водо-, газо-, теплозабезпечення")</f>
        <v>водо-, газо-, теплозабезпечення</v>
      </c>
      <c r="D687" s="16" t="str">
        <f>IFERROR(__xludf.DUMMYFUNCTION("""COMPUTED_VALUE"""),"запірна арматура")</f>
        <v>запірна арматура</v>
      </c>
      <c r="E687" s="16" t="str">
        <f>IFERROR(__xludf.DUMMYFUNCTION("""COMPUTED_VALUE"""),"повітровідводи")</f>
        <v>повітровідводи</v>
      </c>
      <c r="F687" s="17">
        <f>IFERROR(__xludf.DUMMYFUNCTION("""COMPUTED_VALUE"""),4.0)</f>
        <v>4</v>
      </c>
      <c r="G687" s="17" t="str">
        <f>IFERROR(__xludf.DUMMYFUNCTION("""COMPUTED_VALUE"""),"13100627")</f>
        <v>13100627</v>
      </c>
      <c r="H687" s="17" t="str">
        <f>IFERROR(__xludf.DUMMYFUNCTION("""COMPUTED_VALUE"""),"повітровідводи")</f>
        <v>повітровідводи</v>
      </c>
      <c r="I687" s="19">
        <f>IFERROR(__xludf.DUMMYFUNCTION("""COMPUTED_VALUE"""),0.0749)</f>
        <v>0.0749</v>
      </c>
      <c r="J687" s="19">
        <f>IFERROR(__xludf.DUMMYFUNCTION("""COMPUTED_VALUE"""),0.1497)</f>
        <v>0.1497</v>
      </c>
      <c r="K687" s="19">
        <f>IFERROR(__xludf.DUMMYFUNCTION("""COMPUTED_VALUE"""),0.1871)</f>
        <v>0.1871</v>
      </c>
      <c r="L687" s="19">
        <f>IFERROR(__xludf.DUMMYFUNCTION("""COMPUTED_VALUE"""),0.2246)</f>
        <v>0.2246</v>
      </c>
      <c r="M687" s="18">
        <f>IFERROR(__xludf.DUMMYFUNCTION("""COMPUTED_VALUE"""),1.71)</f>
        <v>1.71</v>
      </c>
    </row>
    <row r="688">
      <c r="A688" s="13" t="str">
        <f>IFERROR(__xludf.DUMMYFUNCTION("""COMPUTED_VALUE"""),"товари")</f>
        <v>товари</v>
      </c>
      <c r="B688" s="16" t="str">
        <f>IFERROR(__xludf.DUMMYFUNCTION("""COMPUTED_VALUE"""),"будівництво")</f>
        <v>будівництво</v>
      </c>
      <c r="C688" s="16" t="str">
        <f>IFERROR(__xludf.DUMMYFUNCTION("""COMPUTED_VALUE"""),"водо-, газо-, теплозабезпечення")</f>
        <v>водо-, газо-, теплозабезпечення</v>
      </c>
      <c r="D688" s="16" t="str">
        <f>IFERROR(__xludf.DUMMYFUNCTION("""COMPUTED_VALUE"""),"фітинги для труб")</f>
        <v>фітинги для труб</v>
      </c>
      <c r="E688" s="16" t="str">
        <f>IFERROR(__xludf.DUMMYFUNCTION("""COMPUTED_VALUE"""),"подовжувачі для труб")</f>
        <v>подовжувачі для труб</v>
      </c>
      <c r="F688" s="17">
        <f>IFERROR(__xludf.DUMMYFUNCTION("""COMPUTED_VALUE"""),4.0)</f>
        <v>4</v>
      </c>
      <c r="G688" s="17" t="str">
        <f>IFERROR(__xludf.DUMMYFUNCTION("""COMPUTED_VALUE"""),"13100645")</f>
        <v>13100645</v>
      </c>
      <c r="H688" s="17" t="str">
        <f>IFERROR(__xludf.DUMMYFUNCTION("""COMPUTED_VALUE"""),"подовжувачі для труб")</f>
        <v>подовжувачі для труб</v>
      </c>
      <c r="I688" s="19">
        <f>IFERROR(__xludf.DUMMYFUNCTION("""COMPUTED_VALUE"""),0.0747)</f>
        <v>0.0747</v>
      </c>
      <c r="J688" s="19">
        <f>IFERROR(__xludf.DUMMYFUNCTION("""COMPUTED_VALUE"""),0.1494)</f>
        <v>0.1494</v>
      </c>
      <c r="K688" s="19">
        <f>IFERROR(__xludf.DUMMYFUNCTION("""COMPUTED_VALUE"""),0.1868)</f>
        <v>0.1868</v>
      </c>
      <c r="L688" s="19">
        <f>IFERROR(__xludf.DUMMYFUNCTION("""COMPUTED_VALUE"""),0.2241)</f>
        <v>0.2241</v>
      </c>
      <c r="M688" s="18">
        <f>IFERROR(__xludf.DUMMYFUNCTION("""COMPUTED_VALUE"""),1.53)</f>
        <v>1.53</v>
      </c>
    </row>
    <row r="689">
      <c r="A689" s="13" t="str">
        <f>IFERROR(__xludf.DUMMYFUNCTION("""COMPUTED_VALUE"""),"товари")</f>
        <v>товари</v>
      </c>
      <c r="B689" s="16" t="str">
        <f>IFERROR(__xludf.DUMMYFUNCTION("""COMPUTED_VALUE"""),"будівництво")</f>
        <v>будівництво</v>
      </c>
      <c r="C689" s="16" t="str">
        <f>IFERROR(__xludf.DUMMYFUNCTION("""COMPUTED_VALUE"""),"оздоблювальні матеріали")</f>
        <v>оздоблювальні матеріали</v>
      </c>
      <c r="D689" s="16" t="str">
        <f>IFERROR(__xludf.DUMMYFUNCTION("""COMPUTED_VALUE"""),"лакофарбові будівельні матеріали")</f>
        <v>лакофарбові будівельні матеріали</v>
      </c>
      <c r="E689" s="16" t="str">
        <f>IFERROR(__xludf.DUMMYFUNCTION("""COMPUTED_VALUE"""),"покриття на основі олій, воску для дерев'яних виробів")</f>
        <v>покриття на основі олій, воску для дерев'яних виробів</v>
      </c>
      <c r="F689" s="17">
        <f>IFERROR(__xludf.DUMMYFUNCTION("""COMPUTED_VALUE"""),4.0)</f>
        <v>4</v>
      </c>
      <c r="G689" s="17" t="str">
        <f>IFERROR(__xludf.DUMMYFUNCTION("""COMPUTED_VALUE"""),"13073603")</f>
        <v>13073603</v>
      </c>
      <c r="H689" s="17" t="str">
        <f>IFERROR(__xludf.DUMMYFUNCTION("""COMPUTED_VALUE"""),"покриття на основі олій, воску для дерев'яних виробів")</f>
        <v>покриття на основі олій, воску для дерев'яних виробів</v>
      </c>
      <c r="I689" s="19">
        <f>IFERROR(__xludf.DUMMYFUNCTION("""COMPUTED_VALUE"""),0.059)</f>
        <v>0.059</v>
      </c>
      <c r="J689" s="19">
        <f>IFERROR(__xludf.DUMMYFUNCTION("""COMPUTED_VALUE"""),0.1179)</f>
        <v>0.1179</v>
      </c>
      <c r="K689" s="19">
        <f>IFERROR(__xludf.DUMMYFUNCTION("""COMPUTED_VALUE"""),0.1474)</f>
        <v>0.1474</v>
      </c>
      <c r="L689" s="19">
        <f>IFERROR(__xludf.DUMMYFUNCTION("""COMPUTED_VALUE"""),0.1769)</f>
        <v>0.1769</v>
      </c>
      <c r="M689" s="18">
        <f>IFERROR(__xludf.DUMMYFUNCTION("""COMPUTED_VALUE"""),3.88)</f>
        <v>3.88</v>
      </c>
    </row>
    <row r="690">
      <c r="A690" s="13" t="str">
        <f>IFERROR(__xludf.DUMMYFUNCTION("""COMPUTED_VALUE"""),"товари")</f>
        <v>товари</v>
      </c>
      <c r="B690" s="16" t="str">
        <f>IFERROR(__xludf.DUMMYFUNCTION("""COMPUTED_VALUE"""),"будівництво")</f>
        <v>будівництво</v>
      </c>
      <c r="C690" s="16" t="str">
        <f>IFERROR(__xludf.DUMMYFUNCTION("""COMPUTED_VALUE"""),"будівельні матеріали")</f>
        <v>будівельні матеріали</v>
      </c>
      <c r="D690" s="16" t="str">
        <f>IFERROR(__xludf.DUMMYFUNCTION("""COMPUTED_VALUE"""),"покрівельні матеріали")</f>
        <v>покрівельні матеріали</v>
      </c>
      <c r="E690" s="16" t="str">
        <f>IFERROR(__xludf.DUMMYFUNCTION("""COMPUTED_VALUE"""),"покрівельні матеріали, загальне")</f>
        <v>покрівельні матеріали, загальне</v>
      </c>
      <c r="F690" s="17">
        <f>IFERROR(__xludf.DUMMYFUNCTION("""COMPUTED_VALUE"""),4.0)</f>
        <v>4</v>
      </c>
      <c r="G690" s="17" t="str">
        <f>IFERROR(__xludf.DUMMYFUNCTION("""COMPUTED_VALUE"""),"135009")</f>
        <v>135009</v>
      </c>
      <c r="H690" s="17" t="str">
        <f>IFERROR(__xludf.DUMMYFUNCTION("""COMPUTED_VALUE"""),"покрівельні матеріали, загальне")</f>
        <v>покрівельні матеріали, загальне</v>
      </c>
      <c r="I690" s="19">
        <f>IFERROR(__xludf.DUMMYFUNCTION("""COMPUTED_VALUE"""),0.125)</f>
        <v>0.125</v>
      </c>
      <c r="J690" s="19">
        <f>IFERROR(__xludf.DUMMYFUNCTION("""COMPUTED_VALUE"""),0.25)</f>
        <v>0.25</v>
      </c>
      <c r="K690" s="19">
        <f>IFERROR(__xludf.DUMMYFUNCTION("""COMPUTED_VALUE"""),0.3125)</f>
        <v>0.3125</v>
      </c>
      <c r="L690" s="19">
        <f>IFERROR(__xludf.DUMMYFUNCTION("""COMPUTED_VALUE"""),0.375)</f>
        <v>0.375</v>
      </c>
      <c r="M690" s="18">
        <f>IFERROR(__xludf.DUMMYFUNCTION("""COMPUTED_VALUE"""),4.33)</f>
        <v>4.33</v>
      </c>
    </row>
    <row r="691">
      <c r="A691" s="13" t="str">
        <f>IFERROR(__xludf.DUMMYFUNCTION("""COMPUTED_VALUE"""),"товари")</f>
        <v>товари</v>
      </c>
      <c r="B691" s="16" t="str">
        <f>IFERROR(__xludf.DUMMYFUNCTION("""COMPUTED_VALUE"""),"будівництво")</f>
        <v>будівництво</v>
      </c>
      <c r="C691" s="16" t="str">
        <f>IFERROR(__xludf.DUMMYFUNCTION("""COMPUTED_VALUE"""),"будівельні матеріали")</f>
        <v>будівельні матеріали</v>
      </c>
      <c r="D691" s="16" t="str">
        <f>IFERROR(__xludf.DUMMYFUNCTION("""COMPUTED_VALUE"""),"сходи та комплектуючі для сходів")</f>
        <v>сходи та комплектуючі для сходів</v>
      </c>
      <c r="E691" s="16" t="str">
        <f>IFERROR(__xludf.DUMMYFUNCTION("""COMPUTED_VALUE"""),"протиковзкі накладки")</f>
        <v>протиковзкі накладки</v>
      </c>
      <c r="F691" s="17">
        <f>IFERROR(__xludf.DUMMYFUNCTION("""COMPUTED_VALUE"""),4.0)</f>
        <v>4</v>
      </c>
      <c r="G691" s="17" t="str">
        <f>IFERROR(__xludf.DUMMYFUNCTION("""COMPUTED_VALUE"""),"133005")</f>
        <v>133005</v>
      </c>
      <c r="H691" s="17" t="str">
        <f>IFERROR(__xludf.DUMMYFUNCTION("""COMPUTED_VALUE"""),"протиковзкі накладки")</f>
        <v>протиковзкі накладки</v>
      </c>
      <c r="I691" s="19">
        <f>IFERROR(__xludf.DUMMYFUNCTION("""COMPUTED_VALUE"""),0.0377)</f>
        <v>0.0377</v>
      </c>
      <c r="J691" s="19">
        <f>IFERROR(__xludf.DUMMYFUNCTION("""COMPUTED_VALUE"""),0.0753)</f>
        <v>0.0753</v>
      </c>
      <c r="K691" s="19">
        <f>IFERROR(__xludf.DUMMYFUNCTION("""COMPUTED_VALUE"""),0.0941)</f>
        <v>0.0941</v>
      </c>
      <c r="L691" s="19">
        <f>IFERROR(__xludf.DUMMYFUNCTION("""COMPUTED_VALUE"""),0.113)</f>
        <v>0.113</v>
      </c>
      <c r="M691" s="18">
        <f>IFERROR(__xludf.DUMMYFUNCTION("""COMPUTED_VALUE"""),1.53)</f>
        <v>1.53</v>
      </c>
    </row>
    <row r="692">
      <c r="A692" s="13" t="str">
        <f>IFERROR(__xludf.DUMMYFUNCTION("""COMPUTED_VALUE"""),"товари")</f>
        <v>товари</v>
      </c>
      <c r="B692" s="16" t="str">
        <f>IFERROR(__xludf.DUMMYFUNCTION("""COMPUTED_VALUE"""),"будівництво")</f>
        <v>будівництво</v>
      </c>
      <c r="C692" s="16" t="str">
        <f>IFERROR(__xludf.DUMMYFUNCTION("""COMPUTED_VALUE"""),"оздоблювальні матеріали")</f>
        <v>оздоблювальні матеріали</v>
      </c>
      <c r="D692" s="16" t="str">
        <f>IFERROR(__xludf.DUMMYFUNCTION("""COMPUTED_VALUE"""),"лакофарбові будівельні матеріали")</f>
        <v>лакофарбові будівельні матеріали</v>
      </c>
      <c r="E692" s="16" t="str">
        <f>IFERROR(__xludf.DUMMYFUNCTION("""COMPUTED_VALUE"""),"розчинники, очисники")</f>
        <v>розчинники, очисники</v>
      </c>
      <c r="F692" s="17">
        <f>IFERROR(__xludf.DUMMYFUNCTION("""COMPUTED_VALUE"""),4.0)</f>
        <v>4</v>
      </c>
      <c r="G692" s="17" t="str">
        <f>IFERROR(__xludf.DUMMYFUNCTION("""COMPUTED_VALUE"""),"81114")</f>
        <v>81114</v>
      </c>
      <c r="H692" s="17" t="str">
        <f>IFERROR(__xludf.DUMMYFUNCTION("""COMPUTED_VALUE"""),"розчинники, очисники")</f>
        <v>розчинники, очисники</v>
      </c>
      <c r="I692" s="19">
        <f>IFERROR(__xludf.DUMMYFUNCTION("""COMPUTED_VALUE"""),0.0607)</f>
        <v>0.0607</v>
      </c>
      <c r="J692" s="19">
        <f>IFERROR(__xludf.DUMMYFUNCTION("""COMPUTED_VALUE"""),0.1213)</f>
        <v>0.1213</v>
      </c>
      <c r="K692" s="19">
        <f>IFERROR(__xludf.DUMMYFUNCTION("""COMPUTED_VALUE"""),0.1516)</f>
        <v>0.1516</v>
      </c>
      <c r="L692" s="19">
        <f>IFERROR(__xludf.DUMMYFUNCTION("""COMPUTED_VALUE"""),0.182)</f>
        <v>0.182</v>
      </c>
      <c r="M692" s="18">
        <f>IFERROR(__xludf.DUMMYFUNCTION("""COMPUTED_VALUE"""),3.88)</f>
        <v>3.88</v>
      </c>
    </row>
    <row r="693">
      <c r="A693" s="13" t="str">
        <f>IFERROR(__xludf.DUMMYFUNCTION("""COMPUTED_VALUE"""),"товари")</f>
        <v>товари</v>
      </c>
      <c r="B693" s="16" t="str">
        <f>IFERROR(__xludf.DUMMYFUNCTION("""COMPUTED_VALUE"""),"будівництво")</f>
        <v>будівництво</v>
      </c>
      <c r="C693" s="16" t="str">
        <f>IFERROR(__xludf.DUMMYFUNCTION("""COMPUTED_VALUE"""),"будівельні матеріали")</f>
        <v>будівельні матеріали</v>
      </c>
      <c r="D693" s="16" t="str">
        <f>IFERROR(__xludf.DUMMYFUNCTION("""COMPUTED_VALUE"""),"гідроізоляційні матеріали")</f>
        <v>гідроізоляційні матеріали</v>
      </c>
      <c r="E693" s="16" t="str">
        <f>IFERROR(__xludf.DUMMYFUNCTION("""COMPUTED_VALUE"""),"рулонні і листові гідроізоляційні матеріали")</f>
        <v>рулонні і листові гідроізоляційні матеріали</v>
      </c>
      <c r="F693" s="17">
        <f>IFERROR(__xludf.DUMMYFUNCTION("""COMPUTED_VALUE"""),4.0)</f>
        <v>4</v>
      </c>
      <c r="G693" s="17" t="str">
        <f>IFERROR(__xludf.DUMMYFUNCTION("""COMPUTED_VALUE"""),"135014")</f>
        <v>135014</v>
      </c>
      <c r="H693" s="17" t="str">
        <f>IFERROR(__xludf.DUMMYFUNCTION("""COMPUTED_VALUE"""),"рулонні і листові гідроізоляційні матеріали")</f>
        <v>рулонні і листові гідроізоляційні матеріали</v>
      </c>
      <c r="I693" s="19">
        <f>IFERROR(__xludf.DUMMYFUNCTION("""COMPUTED_VALUE"""),0.0332)</f>
        <v>0.0332</v>
      </c>
      <c r="J693" s="19">
        <f>IFERROR(__xludf.DUMMYFUNCTION("""COMPUTED_VALUE"""),0.0663)</f>
        <v>0.0663</v>
      </c>
      <c r="K693" s="19">
        <f>IFERROR(__xludf.DUMMYFUNCTION("""COMPUTED_VALUE"""),0.0829)</f>
        <v>0.0829</v>
      </c>
      <c r="L693" s="19">
        <f>IFERROR(__xludf.DUMMYFUNCTION("""COMPUTED_VALUE"""),0.0995)</f>
        <v>0.0995</v>
      </c>
      <c r="M693" s="18">
        <f>IFERROR(__xludf.DUMMYFUNCTION("""COMPUTED_VALUE"""),3.75)</f>
        <v>3.75</v>
      </c>
    </row>
    <row r="694">
      <c r="A694" s="13" t="str">
        <f>IFERROR(__xludf.DUMMYFUNCTION("""COMPUTED_VALUE"""),"товари")</f>
        <v>товари</v>
      </c>
      <c r="B694" s="16" t="str">
        <f>IFERROR(__xludf.DUMMYFUNCTION("""COMPUTED_VALUE"""),"будівництво")</f>
        <v>будівництво</v>
      </c>
      <c r="C694" s="16" t="str">
        <f>IFERROR(__xludf.DUMMYFUNCTION("""COMPUTED_VALUE"""),"водо-, газо-, теплозабезпечення")</f>
        <v>водо-, газо-, теплозабезпечення</v>
      </c>
      <c r="D694" s="16" t="str">
        <f>IFERROR(__xludf.DUMMYFUNCTION("""COMPUTED_VALUE"""),"опалювальне обладнання")</f>
        <v>опалювальне обладнання</v>
      </c>
      <c r="E694" s="16" t="str">
        <f>IFERROR(__xludf.DUMMYFUNCTION("""COMPUTED_VALUE"""),"системи антизледеніння та сніготанення")</f>
        <v>системи антизледеніння та сніготанення</v>
      </c>
      <c r="F694" s="17">
        <f>IFERROR(__xludf.DUMMYFUNCTION("""COMPUTED_VALUE"""),4.0)</f>
        <v>4</v>
      </c>
      <c r="G694" s="17" t="str">
        <f>IFERROR(__xludf.DUMMYFUNCTION("""COMPUTED_VALUE"""),"135015")</f>
        <v>135015</v>
      </c>
      <c r="H694" s="17" t="str">
        <f>IFERROR(__xludf.DUMMYFUNCTION("""COMPUTED_VALUE"""),"системи антизледеніння та сніготанення")</f>
        <v>системи антизледеніння та сніготанення</v>
      </c>
      <c r="I694" s="19">
        <f>IFERROR(__xludf.DUMMYFUNCTION("""COMPUTED_VALUE"""),0.0719)</f>
        <v>0.0719</v>
      </c>
      <c r="J694" s="19">
        <f>IFERROR(__xludf.DUMMYFUNCTION("""COMPUTED_VALUE"""),0.1438)</f>
        <v>0.1438</v>
      </c>
      <c r="K694" s="19">
        <f>IFERROR(__xludf.DUMMYFUNCTION("""COMPUTED_VALUE"""),0.1798)</f>
        <v>0.1798</v>
      </c>
      <c r="L694" s="19">
        <f>IFERROR(__xludf.DUMMYFUNCTION("""COMPUTED_VALUE"""),0.2157)</f>
        <v>0.2157</v>
      </c>
      <c r="M694" s="18">
        <f>IFERROR(__xludf.DUMMYFUNCTION("""COMPUTED_VALUE"""),5.4)</f>
        <v>5.4</v>
      </c>
    </row>
    <row r="695">
      <c r="A695" s="13" t="str">
        <f>IFERROR(__xludf.DUMMYFUNCTION("""COMPUTED_VALUE"""),"товари")</f>
        <v>товари</v>
      </c>
      <c r="B695" s="16" t="str">
        <f>IFERROR(__xludf.DUMMYFUNCTION("""COMPUTED_VALUE"""),"будівництво")</f>
        <v>будівництво</v>
      </c>
      <c r="C695" s="16" t="str">
        <f>IFERROR(__xludf.DUMMYFUNCTION("""COMPUTED_VALUE"""),"водо-, газо-, теплозабезпечення")</f>
        <v>водо-, газо-, теплозабезпечення</v>
      </c>
      <c r="D695" s="16" t="str">
        <f>IFERROR(__xludf.DUMMYFUNCTION("""COMPUTED_VALUE"""),"каналізаційне обладнання")</f>
        <v>каналізаційне обладнання</v>
      </c>
      <c r="E695" s="16" t="str">
        <f>IFERROR(__xludf.DUMMYFUNCTION("""COMPUTED_VALUE"""),"системи водовідведення та комплектуючі")</f>
        <v>системи водовідведення та комплектуючі</v>
      </c>
      <c r="F695" s="17">
        <f>IFERROR(__xludf.DUMMYFUNCTION("""COMPUTED_VALUE"""),4.0)</f>
        <v>4</v>
      </c>
      <c r="G695" s="17" t="str">
        <f>IFERROR(__xludf.DUMMYFUNCTION("""COMPUTED_VALUE"""),"13240501")</f>
        <v>13240501</v>
      </c>
      <c r="H695" s="17" t="str">
        <f>IFERROR(__xludf.DUMMYFUNCTION("""COMPUTED_VALUE"""),"системи водовідведення та комплектуючі")</f>
        <v>системи водовідведення та комплектуючі</v>
      </c>
      <c r="I695" s="19">
        <f>IFERROR(__xludf.DUMMYFUNCTION("""COMPUTED_VALUE"""),0.0541)</f>
        <v>0.0541</v>
      </c>
      <c r="J695" s="19">
        <f>IFERROR(__xludf.DUMMYFUNCTION("""COMPUTED_VALUE"""),0.1081)</f>
        <v>0.1081</v>
      </c>
      <c r="K695" s="19">
        <f>IFERROR(__xludf.DUMMYFUNCTION("""COMPUTED_VALUE"""),0.1351)</f>
        <v>0.1351</v>
      </c>
      <c r="L695" s="19">
        <f>IFERROR(__xludf.DUMMYFUNCTION("""COMPUTED_VALUE"""),0.1622)</f>
        <v>0.1622</v>
      </c>
      <c r="M695" s="18">
        <f>IFERROR(__xludf.DUMMYFUNCTION("""COMPUTED_VALUE"""),1.53)</f>
        <v>1.53</v>
      </c>
    </row>
    <row r="696">
      <c r="A696" s="13" t="str">
        <f>IFERROR(__xludf.DUMMYFUNCTION("""COMPUTED_VALUE"""),"товари")</f>
        <v>товари</v>
      </c>
      <c r="B696" s="16" t="str">
        <f>IFERROR(__xludf.DUMMYFUNCTION("""COMPUTED_VALUE"""),"будівництво")</f>
        <v>будівництво</v>
      </c>
      <c r="C696" s="16" t="str">
        <f>IFERROR(__xludf.DUMMYFUNCTION("""COMPUTED_VALUE"""),"будівельні матеріали")</f>
        <v>будівельні матеріали</v>
      </c>
      <c r="D696" s="16" t="str">
        <f>IFERROR(__xludf.DUMMYFUNCTION("""COMPUTED_VALUE"""),"скло та кріплення до нього")</f>
        <v>скло та кріплення до нього</v>
      </c>
      <c r="E696" s="16" t="str">
        <f>IFERROR(__xludf.DUMMYFUNCTION("""COMPUTED_VALUE"""),"системи кріплення для скла та скляних конструкцій")</f>
        <v>системи кріплення для скла та скляних конструкцій</v>
      </c>
      <c r="F696" s="17">
        <f>IFERROR(__xludf.DUMMYFUNCTION("""COMPUTED_VALUE"""),4.0)</f>
        <v>4</v>
      </c>
      <c r="G696" s="17" t="str">
        <f>IFERROR(__xludf.DUMMYFUNCTION("""COMPUTED_VALUE"""),"131503")</f>
        <v>131503</v>
      </c>
      <c r="H696" s="17" t="str">
        <f>IFERROR(__xludf.DUMMYFUNCTION("""COMPUTED_VALUE"""),"системи кріплення для скла та скляних конструкцій")</f>
        <v>системи кріплення для скла та скляних конструкцій</v>
      </c>
      <c r="I696" s="19">
        <f>IFERROR(__xludf.DUMMYFUNCTION("""COMPUTED_VALUE"""),0.0738)</f>
        <v>0.0738</v>
      </c>
      <c r="J696" s="19">
        <f>IFERROR(__xludf.DUMMYFUNCTION("""COMPUTED_VALUE"""),0.1476)</f>
        <v>0.1476</v>
      </c>
      <c r="K696" s="19">
        <f>IFERROR(__xludf.DUMMYFUNCTION("""COMPUTED_VALUE"""),0.1845)</f>
        <v>0.1845</v>
      </c>
      <c r="L696" s="19">
        <f>IFERROR(__xludf.DUMMYFUNCTION("""COMPUTED_VALUE"""),0.2214)</f>
        <v>0.2214</v>
      </c>
      <c r="M696" s="18">
        <f>IFERROR(__xludf.DUMMYFUNCTION("""COMPUTED_VALUE"""),1.71)</f>
        <v>1.71</v>
      </c>
    </row>
    <row r="697">
      <c r="A697" s="13" t="str">
        <f>IFERROR(__xludf.DUMMYFUNCTION("""COMPUTED_VALUE"""),"товари")</f>
        <v>товари</v>
      </c>
      <c r="B697" s="16" t="str">
        <f>IFERROR(__xludf.DUMMYFUNCTION("""COMPUTED_VALUE"""),"будівництво")</f>
        <v>будівництво</v>
      </c>
      <c r="C697" s="16" t="str">
        <f>IFERROR(__xludf.DUMMYFUNCTION("""COMPUTED_VALUE"""),"водо-, газо-, теплозабезпечення")</f>
        <v>водо-, газо-, теплозабезпечення</v>
      </c>
      <c r="D697" s="16" t="str">
        <f>IFERROR(__xludf.DUMMYFUNCTION("""COMPUTED_VALUE"""),"фітинги для труб")</f>
        <v>фітинги для труб</v>
      </c>
      <c r="E697" s="16" t="str">
        <f>IFERROR(__xludf.DUMMYFUNCTION("""COMPUTED_VALUE"""),"сіделки для труб")</f>
        <v>сіделки для труб</v>
      </c>
      <c r="F697" s="17">
        <f>IFERROR(__xludf.DUMMYFUNCTION("""COMPUTED_VALUE"""),4.0)</f>
        <v>4</v>
      </c>
      <c r="G697" s="17" t="str">
        <f>IFERROR(__xludf.DUMMYFUNCTION("""COMPUTED_VALUE"""),"13100643")</f>
        <v>13100643</v>
      </c>
      <c r="H697" s="17" t="str">
        <f>IFERROR(__xludf.DUMMYFUNCTION("""COMPUTED_VALUE"""),"сіделки для труб")</f>
        <v>сіделки для труб</v>
      </c>
      <c r="I697" s="19">
        <f>IFERROR(__xludf.DUMMYFUNCTION("""COMPUTED_VALUE"""),0.0747)</f>
        <v>0.0747</v>
      </c>
      <c r="J697" s="19">
        <f>IFERROR(__xludf.DUMMYFUNCTION("""COMPUTED_VALUE"""),0.1494)</f>
        <v>0.1494</v>
      </c>
      <c r="K697" s="19">
        <f>IFERROR(__xludf.DUMMYFUNCTION("""COMPUTED_VALUE"""),0.1868)</f>
        <v>0.1868</v>
      </c>
      <c r="L697" s="19">
        <f>IFERROR(__xludf.DUMMYFUNCTION("""COMPUTED_VALUE"""),0.2241)</f>
        <v>0.2241</v>
      </c>
      <c r="M697" s="18">
        <f>IFERROR(__xludf.DUMMYFUNCTION("""COMPUTED_VALUE"""),1.53)</f>
        <v>1.53</v>
      </c>
    </row>
    <row r="698">
      <c r="A698" s="13" t="str">
        <f>IFERROR(__xludf.DUMMYFUNCTION("""COMPUTED_VALUE"""),"товари")</f>
        <v>товари</v>
      </c>
      <c r="B698" s="16" t="str">
        <f>IFERROR(__xludf.DUMMYFUNCTION("""COMPUTED_VALUE"""),"будівництво")</f>
        <v>будівництво</v>
      </c>
      <c r="C698" s="16" t="str">
        <f>IFERROR(__xludf.DUMMYFUNCTION("""COMPUTED_VALUE"""),"будівельні матеріали")</f>
        <v>будівельні матеріали</v>
      </c>
      <c r="D698" s="16" t="str">
        <f>IFERROR(__xludf.DUMMYFUNCTION("""COMPUTED_VALUE"""),"скло та кріплення до нього")</f>
        <v>скло та кріплення до нього</v>
      </c>
      <c r="E698" s="16" t="str">
        <f>IFERROR(__xludf.DUMMYFUNCTION("""COMPUTED_VALUE"""),"скло")</f>
        <v>скло</v>
      </c>
      <c r="F698" s="17">
        <f>IFERROR(__xludf.DUMMYFUNCTION("""COMPUTED_VALUE"""),4.0)</f>
        <v>4</v>
      </c>
      <c r="G698" s="17" t="str">
        <f>IFERROR(__xludf.DUMMYFUNCTION("""COMPUTED_VALUE"""),"90903")</f>
        <v>90903</v>
      </c>
      <c r="H698" s="17" t="str">
        <f>IFERROR(__xludf.DUMMYFUNCTION("""COMPUTED_VALUE"""),"скло")</f>
        <v>скло</v>
      </c>
      <c r="I698" s="19">
        <f>IFERROR(__xludf.DUMMYFUNCTION("""COMPUTED_VALUE"""),0.068)</f>
        <v>0.068</v>
      </c>
      <c r="J698" s="19">
        <f>IFERROR(__xludf.DUMMYFUNCTION("""COMPUTED_VALUE"""),0.136)</f>
        <v>0.136</v>
      </c>
      <c r="K698" s="19">
        <f>IFERROR(__xludf.DUMMYFUNCTION("""COMPUTED_VALUE"""),0.17)</f>
        <v>0.17</v>
      </c>
      <c r="L698" s="19">
        <f>IFERROR(__xludf.DUMMYFUNCTION("""COMPUTED_VALUE"""),0.204)</f>
        <v>0.204</v>
      </c>
      <c r="M698" s="18">
        <f>IFERROR(__xludf.DUMMYFUNCTION("""COMPUTED_VALUE"""),1.71)</f>
        <v>1.71</v>
      </c>
    </row>
    <row r="699">
      <c r="A699" s="13" t="str">
        <f>IFERROR(__xludf.DUMMYFUNCTION("""COMPUTED_VALUE"""),"товари")</f>
        <v>товари</v>
      </c>
      <c r="B699" s="16" t="str">
        <f>IFERROR(__xludf.DUMMYFUNCTION("""COMPUTED_VALUE"""),"будівництво")</f>
        <v>будівництво</v>
      </c>
      <c r="C699" s="16" t="str">
        <f>IFERROR(__xludf.DUMMYFUNCTION("""COMPUTED_VALUE"""),"будівельні матеріали")</f>
        <v>будівельні матеріали</v>
      </c>
      <c r="D699" s="16" t="str">
        <f>IFERROR(__xludf.DUMMYFUNCTION("""COMPUTED_VALUE"""),"скло та кріплення до нього")</f>
        <v>скло та кріплення до нього</v>
      </c>
      <c r="E699" s="16" t="str">
        <f>IFERROR(__xludf.DUMMYFUNCTION("""COMPUTED_VALUE"""),"скло для вітражів, фацетні елементи")</f>
        <v>скло для вітражів, фацетні елементи</v>
      </c>
      <c r="F699" s="17">
        <f>IFERROR(__xludf.DUMMYFUNCTION("""COMPUTED_VALUE"""),4.0)</f>
        <v>4</v>
      </c>
      <c r="G699" s="17">
        <f>IFERROR(__xludf.DUMMYFUNCTION("""COMPUTED_VALUE"""),131501.0)</f>
        <v>131501</v>
      </c>
      <c r="H699" s="17" t="str">
        <f>IFERROR(__xludf.DUMMYFUNCTION("""COMPUTED_VALUE"""),"скло для вітражів, фацетні елементи")</f>
        <v>скло для вітражів, фацетні елементи</v>
      </c>
      <c r="I699" s="19">
        <f>IFERROR(__xludf.DUMMYFUNCTION("""COMPUTED_VALUE"""),0.068)</f>
        <v>0.068</v>
      </c>
      <c r="J699" s="19">
        <f>IFERROR(__xludf.DUMMYFUNCTION("""COMPUTED_VALUE"""),0.136)</f>
        <v>0.136</v>
      </c>
      <c r="K699" s="19">
        <f>IFERROR(__xludf.DUMMYFUNCTION("""COMPUTED_VALUE"""),0.17)</f>
        <v>0.17</v>
      </c>
      <c r="L699" s="19">
        <f>IFERROR(__xludf.DUMMYFUNCTION("""COMPUTED_VALUE"""),0.204)</f>
        <v>0.204</v>
      </c>
      <c r="M699" s="18">
        <f>IFERROR(__xludf.DUMMYFUNCTION("""COMPUTED_VALUE"""),1.71)</f>
        <v>1.71</v>
      </c>
    </row>
    <row r="700">
      <c r="A700" s="13" t="str">
        <f>IFERROR(__xludf.DUMMYFUNCTION("""COMPUTED_VALUE"""),"товари")</f>
        <v>товари</v>
      </c>
      <c r="B700" s="16" t="str">
        <f>IFERROR(__xludf.DUMMYFUNCTION("""COMPUTED_VALUE"""),"будівництво")</f>
        <v>будівництво</v>
      </c>
      <c r="C700" s="16" t="str">
        <f>IFERROR(__xludf.DUMMYFUNCTION("""COMPUTED_VALUE"""),"будівельні матеріали")</f>
        <v>будівельні матеріали</v>
      </c>
      <c r="D700" s="16" t="str">
        <f>IFERROR(__xludf.DUMMYFUNCTION("""COMPUTED_VALUE"""),"скло та кріплення до нього")</f>
        <v>скло та кріплення до нього</v>
      </c>
      <c r="E700" s="16" t="str">
        <f>IFERROR(__xludf.DUMMYFUNCTION("""COMPUTED_VALUE"""),"склопакети")</f>
        <v>склопакети</v>
      </c>
      <c r="F700" s="17">
        <f>IFERROR(__xludf.DUMMYFUNCTION("""COMPUTED_VALUE"""),4.0)</f>
        <v>4</v>
      </c>
      <c r="G700" s="17" t="str">
        <f>IFERROR(__xludf.DUMMYFUNCTION("""COMPUTED_VALUE"""),"131505")</f>
        <v>131505</v>
      </c>
      <c r="H700" s="17" t="str">
        <f>IFERROR(__xludf.DUMMYFUNCTION("""COMPUTED_VALUE"""),"склопакети")</f>
        <v>склопакети</v>
      </c>
      <c r="I700" s="19">
        <f>IFERROR(__xludf.DUMMYFUNCTION("""COMPUTED_VALUE"""),0.0567)</f>
        <v>0.0567</v>
      </c>
      <c r="J700" s="19">
        <f>IFERROR(__xludf.DUMMYFUNCTION("""COMPUTED_VALUE"""),0.1133)</f>
        <v>0.1133</v>
      </c>
      <c r="K700" s="19">
        <f>IFERROR(__xludf.DUMMYFUNCTION("""COMPUTED_VALUE"""),0.1416)</f>
        <v>0.1416</v>
      </c>
      <c r="L700" s="19">
        <f>IFERROR(__xludf.DUMMYFUNCTION("""COMPUTED_VALUE"""),0.17)</f>
        <v>0.17</v>
      </c>
      <c r="M700" s="18">
        <f>IFERROR(__xludf.DUMMYFUNCTION("""COMPUTED_VALUE"""),1.71)</f>
        <v>1.71</v>
      </c>
    </row>
    <row r="701">
      <c r="A701" s="13" t="str">
        <f>IFERROR(__xludf.DUMMYFUNCTION("""COMPUTED_VALUE"""),"товари")</f>
        <v>товари</v>
      </c>
      <c r="B701" s="16" t="str">
        <f>IFERROR(__xludf.DUMMYFUNCTION("""COMPUTED_VALUE"""),"будівництво")</f>
        <v>будівництво</v>
      </c>
      <c r="C701" s="16" t="str">
        <f>IFERROR(__xludf.DUMMYFUNCTION("""COMPUTED_VALUE"""),"будівельні матеріали")</f>
        <v>будівельні матеріали</v>
      </c>
      <c r="D701" s="16" t="str">
        <f>IFERROR(__xludf.DUMMYFUNCTION("""COMPUTED_VALUE"""),"гідроізоляційні матеріали")</f>
        <v>гідроізоляційні матеріали</v>
      </c>
      <c r="E701" s="16" t="str">
        <f>IFERROR(__xludf.DUMMYFUNCTION("""COMPUTED_VALUE"""),"сухі гідроізоляційні матеріали")</f>
        <v>сухі гідроізоляційні матеріали</v>
      </c>
      <c r="F701" s="17">
        <f>IFERROR(__xludf.DUMMYFUNCTION("""COMPUTED_VALUE"""),4.0)</f>
        <v>4</v>
      </c>
      <c r="G701" s="17" t="str">
        <f>IFERROR(__xludf.DUMMYFUNCTION("""COMPUTED_VALUE"""),"132302")</f>
        <v>132302</v>
      </c>
      <c r="H701" s="17" t="str">
        <f>IFERROR(__xludf.DUMMYFUNCTION("""COMPUTED_VALUE"""),"сухі гідроізоляційні матеріали")</f>
        <v>сухі гідроізоляційні матеріали</v>
      </c>
      <c r="I701" s="19">
        <f>IFERROR(__xludf.DUMMYFUNCTION("""COMPUTED_VALUE"""),0.0296)</f>
        <v>0.0296</v>
      </c>
      <c r="J701" s="19">
        <f>IFERROR(__xludf.DUMMYFUNCTION("""COMPUTED_VALUE"""),0.0591)</f>
        <v>0.0591</v>
      </c>
      <c r="K701" s="19">
        <f>IFERROR(__xludf.DUMMYFUNCTION("""COMPUTED_VALUE"""),0.0739)</f>
        <v>0.0739</v>
      </c>
      <c r="L701" s="19">
        <f>IFERROR(__xludf.DUMMYFUNCTION("""COMPUTED_VALUE"""),0.0887)</f>
        <v>0.0887</v>
      </c>
      <c r="M701" s="18">
        <f>IFERROR(__xludf.DUMMYFUNCTION("""COMPUTED_VALUE"""),3.75)</f>
        <v>3.75</v>
      </c>
    </row>
    <row r="702">
      <c r="A702" s="13" t="str">
        <f>IFERROR(__xludf.DUMMYFUNCTION("""COMPUTED_VALUE"""),"товари")</f>
        <v>товари</v>
      </c>
      <c r="B702" s="16" t="str">
        <f>IFERROR(__xludf.DUMMYFUNCTION("""COMPUTED_VALUE"""),"будівництво")</f>
        <v>будівництво</v>
      </c>
      <c r="C702" s="16" t="str">
        <f>IFERROR(__xludf.DUMMYFUNCTION("""COMPUTED_VALUE"""),"будівельні матеріали")</f>
        <v>будівельні матеріали</v>
      </c>
      <c r="D702" s="16" t="str">
        <f>IFERROR(__xludf.DUMMYFUNCTION("""COMPUTED_VALUE"""),"сходи та комплектуючі для сходів")</f>
        <v>сходи та комплектуючі для сходів</v>
      </c>
      <c r="E702" s="16" t="str">
        <f>IFERROR(__xludf.DUMMYFUNCTION("""COMPUTED_VALUE"""),"сходи на горище")</f>
        <v>сходи на горище</v>
      </c>
      <c r="F702" s="17">
        <f>IFERROR(__xludf.DUMMYFUNCTION("""COMPUTED_VALUE"""),4.0)</f>
        <v>4</v>
      </c>
      <c r="G702" s="17" t="str">
        <f>IFERROR(__xludf.DUMMYFUNCTION("""COMPUTED_VALUE"""),"133006")</f>
        <v>133006</v>
      </c>
      <c r="H702" s="17" t="str">
        <f>IFERROR(__xludf.DUMMYFUNCTION("""COMPUTED_VALUE"""),"сходи на горище")</f>
        <v>сходи на горище</v>
      </c>
      <c r="I702" s="19">
        <f>IFERROR(__xludf.DUMMYFUNCTION("""COMPUTED_VALUE"""),0.0527)</f>
        <v>0.0527</v>
      </c>
      <c r="J702" s="19">
        <f>IFERROR(__xludf.DUMMYFUNCTION("""COMPUTED_VALUE"""),0.1054)</f>
        <v>0.1054</v>
      </c>
      <c r="K702" s="19">
        <f>IFERROR(__xludf.DUMMYFUNCTION("""COMPUTED_VALUE"""),0.1318)</f>
        <v>0.1318</v>
      </c>
      <c r="L702" s="19">
        <f>IFERROR(__xludf.DUMMYFUNCTION("""COMPUTED_VALUE"""),0.1581)</f>
        <v>0.1581</v>
      </c>
      <c r="M702" s="18">
        <f>IFERROR(__xludf.DUMMYFUNCTION("""COMPUTED_VALUE"""),1.53)</f>
        <v>1.53</v>
      </c>
    </row>
    <row r="703">
      <c r="A703" s="13" t="str">
        <f>IFERROR(__xludf.DUMMYFUNCTION("""COMPUTED_VALUE"""),"товари")</f>
        <v>товари</v>
      </c>
      <c r="B703" s="16" t="str">
        <f>IFERROR(__xludf.DUMMYFUNCTION("""COMPUTED_VALUE"""),"будівництво")</f>
        <v>будівництво</v>
      </c>
      <c r="C703" s="16" t="str">
        <f>IFERROR(__xludf.DUMMYFUNCTION("""COMPUTED_VALUE"""),"будівельні матеріали")</f>
        <v>будівельні матеріали</v>
      </c>
      <c r="D703" s="16" t="str">
        <f>IFERROR(__xludf.DUMMYFUNCTION("""COMPUTED_VALUE"""),"сходи та комплектуючі для сходів")</f>
        <v>сходи та комплектуючі для сходів</v>
      </c>
      <c r="E703" s="16" t="str">
        <f>IFERROR(__xludf.DUMMYFUNCTION("""COMPUTED_VALUE"""),"сходи та комплектуючі для сходів, загальне")</f>
        <v>сходи та комплектуючі для сходів, загальне</v>
      </c>
      <c r="F703" s="17">
        <f>IFERROR(__xludf.DUMMYFUNCTION("""COMPUTED_VALUE"""),4.0)</f>
        <v>4</v>
      </c>
      <c r="G703" s="17" t="str">
        <f>IFERROR(__xludf.DUMMYFUNCTION("""COMPUTED_VALUE"""),"133099")</f>
        <v>133099</v>
      </c>
      <c r="H703" s="17" t="str">
        <f>IFERROR(__xludf.DUMMYFUNCTION("""COMPUTED_VALUE"""),"сходи та комплектуючі для сходів, загальне")</f>
        <v>сходи та комплектуючі для сходів, загальне</v>
      </c>
      <c r="I703" s="19">
        <f>IFERROR(__xludf.DUMMYFUNCTION("""COMPUTED_VALUE"""),0.125)</f>
        <v>0.125</v>
      </c>
      <c r="J703" s="19">
        <f>IFERROR(__xludf.DUMMYFUNCTION("""COMPUTED_VALUE"""),0.25)</f>
        <v>0.25</v>
      </c>
      <c r="K703" s="19">
        <f>IFERROR(__xludf.DUMMYFUNCTION("""COMPUTED_VALUE"""),0.3125)</f>
        <v>0.3125</v>
      </c>
      <c r="L703" s="19">
        <f>IFERROR(__xludf.DUMMYFUNCTION("""COMPUTED_VALUE"""),0.375)</f>
        <v>0.375</v>
      </c>
      <c r="M703" s="18">
        <f>IFERROR(__xludf.DUMMYFUNCTION("""COMPUTED_VALUE"""),4.33)</f>
        <v>4.33</v>
      </c>
    </row>
    <row r="704">
      <c r="A704" s="13" t="str">
        <f>IFERROR(__xludf.DUMMYFUNCTION("""COMPUTED_VALUE"""),"товари")</f>
        <v>товари</v>
      </c>
      <c r="B704" s="16" t="str">
        <f>IFERROR(__xludf.DUMMYFUNCTION("""COMPUTED_VALUE"""),"будівництво")</f>
        <v>будівництво</v>
      </c>
      <c r="C704" s="16" t="str">
        <f>IFERROR(__xludf.DUMMYFUNCTION("""COMPUTED_VALUE"""),"будівельні матеріали")</f>
        <v>будівельні матеріали</v>
      </c>
      <c r="D704" s="16" t="str">
        <f>IFERROR(__xludf.DUMMYFUNCTION("""COMPUTED_VALUE"""),"дорожні матеріали")</f>
        <v>дорожні матеріали</v>
      </c>
      <c r="E704" s="16" t="str">
        <f>IFERROR(__xludf.DUMMYFUNCTION("""COMPUTED_VALUE"""),"тактильні плитки та індикатори")</f>
        <v>тактильні плитки та індикатори</v>
      </c>
      <c r="F704" s="17">
        <f>IFERROR(__xludf.DUMMYFUNCTION("""COMPUTED_VALUE"""),4.0)</f>
        <v>4</v>
      </c>
      <c r="G704" s="17" t="str">
        <f>IFERROR(__xludf.DUMMYFUNCTION("""COMPUTED_VALUE"""),"13072904")</f>
        <v>13072904</v>
      </c>
      <c r="H704" s="17" t="str">
        <f>IFERROR(__xludf.DUMMYFUNCTION("""COMPUTED_VALUE"""),"тактильні плитки та індикатори")</f>
        <v>тактильні плитки та індикатори</v>
      </c>
      <c r="I704" s="19">
        <f>IFERROR(__xludf.DUMMYFUNCTION("""COMPUTED_VALUE"""),0.0797)</f>
        <v>0.0797</v>
      </c>
      <c r="J704" s="19">
        <f>IFERROR(__xludf.DUMMYFUNCTION("""COMPUTED_VALUE"""),0.1593)</f>
        <v>0.1593</v>
      </c>
      <c r="K704" s="19">
        <f>IFERROR(__xludf.DUMMYFUNCTION("""COMPUTED_VALUE"""),0.1991)</f>
        <v>0.1991</v>
      </c>
      <c r="L704" s="19">
        <f>IFERROR(__xludf.DUMMYFUNCTION("""COMPUTED_VALUE"""),0.239)</f>
        <v>0.239</v>
      </c>
      <c r="M704" s="18">
        <f>IFERROR(__xludf.DUMMYFUNCTION("""COMPUTED_VALUE"""),1.71)</f>
        <v>1.71</v>
      </c>
    </row>
    <row r="705">
      <c r="A705" s="13" t="str">
        <f>IFERROR(__xludf.DUMMYFUNCTION("""COMPUTED_VALUE"""),"товари")</f>
        <v>товари</v>
      </c>
      <c r="B705" s="16" t="str">
        <f>IFERROR(__xludf.DUMMYFUNCTION("""COMPUTED_VALUE"""),"будівництво")</f>
        <v>будівництво</v>
      </c>
      <c r="C705" s="16" t="str">
        <f>IFERROR(__xludf.DUMMYFUNCTION("""COMPUTED_VALUE"""),"будівельні матеріали")</f>
        <v>будівельні матеріали</v>
      </c>
      <c r="D705" s="16" t="str">
        <f>IFERROR(__xludf.DUMMYFUNCTION("""COMPUTED_VALUE"""),"теплоізоляційні матеріали")</f>
        <v>теплоізоляційні матеріали</v>
      </c>
      <c r="E705" s="16" t="str">
        <f>IFERROR(__xludf.DUMMYFUNCTION("""COMPUTED_VALUE"""),"теплоізоляційний вермикуліт, перліт")</f>
        <v>теплоізоляційний вермикуліт, перліт</v>
      </c>
      <c r="F705" s="17">
        <f>IFERROR(__xludf.DUMMYFUNCTION("""COMPUTED_VALUE"""),4.0)</f>
        <v>4</v>
      </c>
      <c r="G705" s="17" t="str">
        <f>IFERROR(__xludf.DUMMYFUNCTION("""COMPUTED_VALUE"""),"133412")</f>
        <v>133412</v>
      </c>
      <c r="H705" s="17" t="str">
        <f>IFERROR(__xludf.DUMMYFUNCTION("""COMPUTED_VALUE"""),"теплоізоляційний вермикуліт, перліт")</f>
        <v>теплоізоляційний вермикуліт, перліт</v>
      </c>
      <c r="I705" s="19">
        <f>IFERROR(__xludf.DUMMYFUNCTION("""COMPUTED_VALUE"""),0.03)</f>
        <v>0.03</v>
      </c>
      <c r="J705" s="19">
        <f>IFERROR(__xludf.DUMMYFUNCTION("""COMPUTED_VALUE"""),0.06)</f>
        <v>0.06</v>
      </c>
      <c r="K705" s="19">
        <f>IFERROR(__xludf.DUMMYFUNCTION("""COMPUTED_VALUE"""),0.075)</f>
        <v>0.075</v>
      </c>
      <c r="L705" s="19">
        <f>IFERROR(__xludf.DUMMYFUNCTION("""COMPUTED_VALUE"""),0.09)</f>
        <v>0.09</v>
      </c>
      <c r="M705" s="18">
        <f>IFERROR(__xludf.DUMMYFUNCTION("""COMPUTED_VALUE"""),3.88)</f>
        <v>3.88</v>
      </c>
    </row>
    <row r="706">
      <c r="A706" s="13" t="str">
        <f>IFERROR(__xludf.DUMMYFUNCTION("""COMPUTED_VALUE"""),"товари")</f>
        <v>товари</v>
      </c>
      <c r="B706" s="16" t="str">
        <f>IFERROR(__xludf.DUMMYFUNCTION("""COMPUTED_VALUE"""),"будівництво")</f>
        <v>будівництво</v>
      </c>
      <c r="C706" s="16" t="str">
        <f>IFERROR(__xludf.DUMMYFUNCTION("""COMPUTED_VALUE"""),"будівельні матеріали")</f>
        <v>будівельні матеріали</v>
      </c>
      <c r="D706" s="16" t="str">
        <f>IFERROR(__xludf.DUMMYFUNCTION("""COMPUTED_VALUE"""),"теплоізоляційні матеріали")</f>
        <v>теплоізоляційні матеріали</v>
      </c>
      <c r="E706" s="16" t="str">
        <f>IFERROR(__xludf.DUMMYFUNCTION("""COMPUTED_VALUE"""),"теплоізоляційний пінополіетилен")</f>
        <v>теплоізоляційний пінополіетилен</v>
      </c>
      <c r="F706" s="17">
        <f>IFERROR(__xludf.DUMMYFUNCTION("""COMPUTED_VALUE"""),4.0)</f>
        <v>4</v>
      </c>
      <c r="G706" s="17" t="str">
        <f>IFERROR(__xludf.DUMMYFUNCTION("""COMPUTED_VALUE"""),"133406")</f>
        <v>133406</v>
      </c>
      <c r="H706" s="17" t="str">
        <f>IFERROR(__xludf.DUMMYFUNCTION("""COMPUTED_VALUE"""),"теплоізоляційний пінополіетилен")</f>
        <v>теплоізоляційний пінополіетилен</v>
      </c>
      <c r="I706" s="19">
        <f>IFERROR(__xludf.DUMMYFUNCTION("""COMPUTED_VALUE"""),0.0263)</f>
        <v>0.0263</v>
      </c>
      <c r="J706" s="19">
        <f>IFERROR(__xludf.DUMMYFUNCTION("""COMPUTED_VALUE"""),0.0526)</f>
        <v>0.0526</v>
      </c>
      <c r="K706" s="19">
        <f>IFERROR(__xludf.DUMMYFUNCTION("""COMPUTED_VALUE"""),0.0658)</f>
        <v>0.0658</v>
      </c>
      <c r="L706" s="19">
        <f>IFERROR(__xludf.DUMMYFUNCTION("""COMPUTED_VALUE"""),0.0789)</f>
        <v>0.0789</v>
      </c>
      <c r="M706" s="18">
        <f>IFERROR(__xludf.DUMMYFUNCTION("""COMPUTED_VALUE"""),3.88)</f>
        <v>3.88</v>
      </c>
    </row>
    <row r="707">
      <c r="A707" s="13" t="str">
        <f>IFERROR(__xludf.DUMMYFUNCTION("""COMPUTED_VALUE"""),"товари")</f>
        <v>товари</v>
      </c>
      <c r="B707" s="16" t="str">
        <f>IFERROR(__xludf.DUMMYFUNCTION("""COMPUTED_VALUE"""),"будівництво")</f>
        <v>будівництво</v>
      </c>
      <c r="C707" s="16" t="str">
        <f>IFERROR(__xludf.DUMMYFUNCTION("""COMPUTED_VALUE"""),"будівельні матеріали")</f>
        <v>будівельні матеріали</v>
      </c>
      <c r="D707" s="16" t="str">
        <f>IFERROR(__xludf.DUMMYFUNCTION("""COMPUTED_VALUE"""),"теплоізоляційні матеріали")</f>
        <v>теплоізоляційні матеріали</v>
      </c>
      <c r="E707" s="16" t="str">
        <f>IFERROR(__xludf.DUMMYFUNCTION("""COMPUTED_VALUE"""),"теплоізоляційні матеріали, загальне")</f>
        <v>теплоізоляційні матеріали, загальне</v>
      </c>
      <c r="F707" s="17">
        <f>IFERROR(__xludf.DUMMYFUNCTION("""COMPUTED_VALUE"""),4.0)</f>
        <v>4</v>
      </c>
      <c r="G707" s="17" t="str">
        <f>IFERROR(__xludf.DUMMYFUNCTION("""COMPUTED_VALUE"""),"133411")</f>
        <v>133411</v>
      </c>
      <c r="H707" s="17" t="str">
        <f>IFERROR(__xludf.DUMMYFUNCTION("""COMPUTED_VALUE"""),"теплоізоляційні матеріали, загальне")</f>
        <v>теплоізоляційні матеріали, загальне</v>
      </c>
      <c r="I707" s="19">
        <f>IFERROR(__xludf.DUMMYFUNCTION("""COMPUTED_VALUE"""),0.125)</f>
        <v>0.125</v>
      </c>
      <c r="J707" s="19">
        <f>IFERROR(__xludf.DUMMYFUNCTION("""COMPUTED_VALUE"""),0.25)</f>
        <v>0.25</v>
      </c>
      <c r="K707" s="19">
        <f>IFERROR(__xludf.DUMMYFUNCTION("""COMPUTED_VALUE"""),0.3125)</f>
        <v>0.3125</v>
      </c>
      <c r="L707" s="19">
        <f>IFERROR(__xludf.DUMMYFUNCTION("""COMPUTED_VALUE"""),0.375)</f>
        <v>0.375</v>
      </c>
      <c r="M707" s="18">
        <f>IFERROR(__xludf.DUMMYFUNCTION("""COMPUTED_VALUE"""),4.33)</f>
        <v>4.33</v>
      </c>
    </row>
    <row r="708">
      <c r="A708" s="13" t="str">
        <f>IFERROR(__xludf.DUMMYFUNCTION("""COMPUTED_VALUE"""),"товари")</f>
        <v>товари</v>
      </c>
      <c r="B708" s="16" t="str">
        <f>IFERROR(__xludf.DUMMYFUNCTION("""COMPUTED_VALUE"""),"будівництво")</f>
        <v>будівництво</v>
      </c>
      <c r="C708" s="16" t="str">
        <f>IFERROR(__xludf.DUMMYFUNCTION("""COMPUTED_VALUE"""),"будівельні матеріали")</f>
        <v>будівельні матеріали</v>
      </c>
      <c r="D708" s="16" t="str">
        <f>IFERROR(__xludf.DUMMYFUNCTION("""COMPUTED_VALUE"""),"теплоізоляційні матеріали")</f>
        <v>теплоізоляційні матеріали</v>
      </c>
      <c r="E708" s="16" t="str">
        <f>IFERROR(__xludf.DUMMYFUNCTION("""COMPUTED_VALUE"""),"теплоізоляція для труб")</f>
        <v>теплоізоляція для труб</v>
      </c>
      <c r="F708" s="17">
        <f>IFERROR(__xludf.DUMMYFUNCTION("""COMPUTED_VALUE"""),4.0)</f>
        <v>4</v>
      </c>
      <c r="G708" s="17" t="str">
        <f>IFERROR(__xludf.DUMMYFUNCTION("""COMPUTED_VALUE"""),"133409")</f>
        <v>133409</v>
      </c>
      <c r="H708" s="17" t="str">
        <f>IFERROR(__xludf.DUMMYFUNCTION("""COMPUTED_VALUE"""),"теплоізоляція для труб")</f>
        <v>теплоізоляція для труб</v>
      </c>
      <c r="I708" s="19">
        <f>IFERROR(__xludf.DUMMYFUNCTION("""COMPUTED_VALUE"""),0.0663)</f>
        <v>0.0663</v>
      </c>
      <c r="J708" s="19">
        <f>IFERROR(__xludf.DUMMYFUNCTION("""COMPUTED_VALUE"""),0.1326)</f>
        <v>0.1326</v>
      </c>
      <c r="K708" s="19">
        <f>IFERROR(__xludf.DUMMYFUNCTION("""COMPUTED_VALUE"""),0.1658)</f>
        <v>0.1658</v>
      </c>
      <c r="L708" s="19">
        <f>IFERROR(__xludf.DUMMYFUNCTION("""COMPUTED_VALUE"""),0.1989)</f>
        <v>0.1989</v>
      </c>
      <c r="M708" s="18">
        <f>IFERROR(__xludf.DUMMYFUNCTION("""COMPUTED_VALUE"""),3.88)</f>
        <v>3.88</v>
      </c>
    </row>
    <row r="709">
      <c r="A709" s="13" t="str">
        <f>IFERROR(__xludf.DUMMYFUNCTION("""COMPUTED_VALUE"""),"товари")</f>
        <v>товари</v>
      </c>
      <c r="B709" s="16" t="str">
        <f>IFERROR(__xludf.DUMMYFUNCTION("""COMPUTED_VALUE"""),"будівництво")</f>
        <v>будівництво</v>
      </c>
      <c r="C709" s="16" t="str">
        <f>IFERROR(__xludf.DUMMYFUNCTION("""COMPUTED_VALUE"""),"водо-, газо-, теплозабезпечення")</f>
        <v>водо-, газо-, теплозабезпечення</v>
      </c>
      <c r="D709" s="16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709" s="16" t="str">
        <f>IFERROR(__xludf.DUMMYFUNCTION("""COMPUTED_VALUE"""),"теплолічильники")</f>
        <v>теплолічильники</v>
      </c>
      <c r="F709" s="17">
        <f>IFERROR(__xludf.DUMMYFUNCTION("""COMPUTED_VALUE"""),4.0)</f>
        <v>4</v>
      </c>
      <c r="G709" s="17" t="str">
        <f>IFERROR(__xludf.DUMMYFUNCTION("""COMPUTED_VALUE"""),"153723")</f>
        <v>153723</v>
      </c>
      <c r="H709" s="17" t="str">
        <f>IFERROR(__xludf.DUMMYFUNCTION("""COMPUTED_VALUE"""),"теплолічильники")</f>
        <v>теплолічильники</v>
      </c>
      <c r="I709" s="19">
        <f>IFERROR(__xludf.DUMMYFUNCTION("""COMPUTED_VALUE"""),0.0725)</f>
        <v>0.0725</v>
      </c>
      <c r="J709" s="19">
        <f>IFERROR(__xludf.DUMMYFUNCTION("""COMPUTED_VALUE"""),0.145)</f>
        <v>0.145</v>
      </c>
      <c r="K709" s="19">
        <f>IFERROR(__xludf.DUMMYFUNCTION("""COMPUTED_VALUE"""),0.1813)</f>
        <v>0.1813</v>
      </c>
      <c r="L709" s="19">
        <f>IFERROR(__xludf.DUMMYFUNCTION("""COMPUTED_VALUE"""),0.2175)</f>
        <v>0.2175</v>
      </c>
      <c r="M709" s="18">
        <f>IFERROR(__xludf.DUMMYFUNCTION("""COMPUTED_VALUE"""),4.05)</f>
        <v>4.05</v>
      </c>
    </row>
    <row r="710">
      <c r="A710" s="13" t="str">
        <f>IFERROR(__xludf.DUMMYFUNCTION("""COMPUTED_VALUE"""),"товари")</f>
        <v>товари</v>
      </c>
      <c r="B710" s="16" t="str">
        <f>IFERROR(__xludf.DUMMYFUNCTION("""COMPUTED_VALUE"""),"будівництво")</f>
        <v>будівництво</v>
      </c>
      <c r="C710" s="16" t="str">
        <f>IFERROR(__xludf.DUMMYFUNCTION("""COMPUTED_VALUE"""),"водо-, газо-, теплозабезпечення")</f>
        <v>водо-, газо-, теплозабезпечення</v>
      </c>
      <c r="D710" s="16" t="str">
        <f>IFERROR(__xludf.DUMMYFUNCTION("""COMPUTED_VALUE"""),"запірна арматура")</f>
        <v>запірна арматура</v>
      </c>
      <c r="E710" s="16" t="str">
        <f>IFERROR(__xludf.DUMMYFUNCTION("""COMPUTED_VALUE"""),"термостатичні радіаторні клапани")</f>
        <v>термостатичні радіаторні клапани</v>
      </c>
      <c r="F710" s="17">
        <f>IFERROR(__xludf.DUMMYFUNCTION("""COMPUTED_VALUE"""),4.0)</f>
        <v>4</v>
      </c>
      <c r="G710" s="17" t="str">
        <f>IFERROR(__xludf.DUMMYFUNCTION("""COMPUTED_VALUE"""),"13100626")</f>
        <v>13100626</v>
      </c>
      <c r="H710" s="17" t="str">
        <f>IFERROR(__xludf.DUMMYFUNCTION("""COMPUTED_VALUE"""),"термостатичні радіаторні клапани")</f>
        <v>термостатичні радіаторні клапани</v>
      </c>
      <c r="I710" s="19">
        <f>IFERROR(__xludf.DUMMYFUNCTION("""COMPUTED_VALUE"""),0.0742)</f>
        <v>0.0742</v>
      </c>
      <c r="J710" s="19">
        <f>IFERROR(__xludf.DUMMYFUNCTION("""COMPUTED_VALUE"""),0.1484)</f>
        <v>0.1484</v>
      </c>
      <c r="K710" s="19">
        <f>IFERROR(__xludf.DUMMYFUNCTION("""COMPUTED_VALUE"""),0.1855)</f>
        <v>0.1855</v>
      </c>
      <c r="L710" s="19">
        <f>IFERROR(__xludf.DUMMYFUNCTION("""COMPUTED_VALUE"""),0.2226)</f>
        <v>0.2226</v>
      </c>
      <c r="M710" s="18">
        <f>IFERROR(__xludf.DUMMYFUNCTION("""COMPUTED_VALUE"""),1.71)</f>
        <v>1.71</v>
      </c>
    </row>
    <row r="711">
      <c r="A711" s="13" t="str">
        <f>IFERROR(__xludf.DUMMYFUNCTION("""COMPUTED_VALUE"""),"товари")</f>
        <v>товари</v>
      </c>
      <c r="B711" s="16" t="str">
        <f>IFERROR(__xludf.DUMMYFUNCTION("""COMPUTED_VALUE"""),"будівництво")</f>
        <v>будівництво</v>
      </c>
      <c r="C711" s="16" t="str">
        <f>IFERROR(__xludf.DUMMYFUNCTION("""COMPUTED_VALUE"""),"водо-, газо-, теплозабезпечення")</f>
        <v>водо-, газо-, теплозабезпечення</v>
      </c>
      <c r="D711" s="16" t="str">
        <f>IFERROR(__xludf.DUMMYFUNCTION("""COMPUTED_VALUE"""),"фітинги для труб")</f>
        <v>фітинги для труб</v>
      </c>
      <c r="E711" s="16" t="str">
        <f>IFERROR(__xludf.DUMMYFUNCTION("""COMPUTED_VALUE"""),"трійники")</f>
        <v>трійники</v>
      </c>
      <c r="F711" s="17">
        <f>IFERROR(__xludf.DUMMYFUNCTION("""COMPUTED_VALUE"""),4.0)</f>
        <v>4</v>
      </c>
      <c r="G711" s="17" t="str">
        <f>IFERROR(__xludf.DUMMYFUNCTION("""COMPUTED_VALUE"""),"13100611")</f>
        <v>13100611</v>
      </c>
      <c r="H711" s="17" t="str">
        <f>IFERROR(__xludf.DUMMYFUNCTION("""COMPUTED_VALUE"""),"трійники")</f>
        <v>трійники</v>
      </c>
      <c r="I711" s="19">
        <f>IFERROR(__xludf.DUMMYFUNCTION("""COMPUTED_VALUE"""),0.0747)</f>
        <v>0.0747</v>
      </c>
      <c r="J711" s="19">
        <f>IFERROR(__xludf.DUMMYFUNCTION("""COMPUTED_VALUE"""),0.1494)</f>
        <v>0.1494</v>
      </c>
      <c r="K711" s="19">
        <f>IFERROR(__xludf.DUMMYFUNCTION("""COMPUTED_VALUE"""),0.1868)</f>
        <v>0.1868</v>
      </c>
      <c r="L711" s="19">
        <f>IFERROR(__xludf.DUMMYFUNCTION("""COMPUTED_VALUE"""),0.2241)</f>
        <v>0.2241</v>
      </c>
      <c r="M711" s="18">
        <f>IFERROR(__xludf.DUMMYFUNCTION("""COMPUTED_VALUE"""),1.53)</f>
        <v>1.53</v>
      </c>
    </row>
    <row r="712">
      <c r="A712" s="13" t="str">
        <f>IFERROR(__xludf.DUMMYFUNCTION("""COMPUTED_VALUE"""),"товари")</f>
        <v>товари</v>
      </c>
      <c r="B712" s="16" t="str">
        <f>IFERROR(__xludf.DUMMYFUNCTION("""COMPUTED_VALUE"""),"будівництво")</f>
        <v>будівництво</v>
      </c>
      <c r="C712" s="16" t="str">
        <f>IFERROR(__xludf.DUMMYFUNCTION("""COMPUTED_VALUE"""),"водо-, газо-, теплозабезпечення")</f>
        <v>водо-, газо-, теплозабезпечення</v>
      </c>
      <c r="D712" s="16" t="str">
        <f>IFERROR(__xludf.DUMMYFUNCTION("""COMPUTED_VALUE"""),"труби")</f>
        <v>труби</v>
      </c>
      <c r="E712" s="16" t="str">
        <f>IFERROR(__xludf.DUMMYFUNCTION("""COMPUTED_VALUE"""),"труби, загальне")</f>
        <v>труби, загальне</v>
      </c>
      <c r="F712" s="17">
        <f>IFERROR(__xludf.DUMMYFUNCTION("""COMPUTED_VALUE"""),4.0)</f>
        <v>4</v>
      </c>
      <c r="G712" s="17" t="str">
        <f>IFERROR(__xludf.DUMMYFUNCTION("""COMPUTED_VALUE"""),"131099")</f>
        <v>131099</v>
      </c>
      <c r="H712" s="17" t="str">
        <f>IFERROR(__xludf.DUMMYFUNCTION("""COMPUTED_VALUE"""),"труби, загальне")</f>
        <v>труби, загальне</v>
      </c>
      <c r="I712" s="19">
        <f>IFERROR(__xludf.DUMMYFUNCTION("""COMPUTED_VALUE"""),0.125)</f>
        <v>0.125</v>
      </c>
      <c r="J712" s="19">
        <f>IFERROR(__xludf.DUMMYFUNCTION("""COMPUTED_VALUE"""),0.25)</f>
        <v>0.25</v>
      </c>
      <c r="K712" s="19">
        <f>IFERROR(__xludf.DUMMYFUNCTION("""COMPUTED_VALUE"""),0.3125)</f>
        <v>0.3125</v>
      </c>
      <c r="L712" s="19">
        <f>IFERROR(__xludf.DUMMYFUNCTION("""COMPUTED_VALUE"""),0.375)</f>
        <v>0.375</v>
      </c>
      <c r="M712" s="18">
        <f>IFERROR(__xludf.DUMMYFUNCTION("""COMPUTED_VALUE"""),4.33)</f>
        <v>4.33</v>
      </c>
    </row>
    <row r="713">
      <c r="A713" s="13" t="str">
        <f>IFERROR(__xludf.DUMMYFUNCTION("""COMPUTED_VALUE"""),"товари")</f>
        <v>товари</v>
      </c>
      <c r="B713" s="16" t="str">
        <f>IFERROR(__xludf.DUMMYFUNCTION("""COMPUTED_VALUE"""),"будівництво")</f>
        <v>будівництво</v>
      </c>
      <c r="C713" s="16" t="str">
        <f>IFERROR(__xludf.DUMMYFUNCTION("""COMPUTED_VALUE"""),"будівельні матеріали")</f>
        <v>будівельні матеріали</v>
      </c>
      <c r="D713" s="16" t="str">
        <f>IFERROR(__xludf.DUMMYFUNCTION("""COMPUTED_VALUE"""),"в'яжучі матеріали, сухі будівельні суміші")</f>
        <v>в'яжучі матеріали, сухі будівельні суміші</v>
      </c>
      <c r="E713" s="16" t="str">
        <f>IFERROR(__xludf.DUMMYFUNCTION("""COMPUTED_VALUE"""),"універсальні будівельні суміші")</f>
        <v>універсальні будівельні суміші</v>
      </c>
      <c r="F713" s="17">
        <f>IFERROR(__xludf.DUMMYFUNCTION("""COMPUTED_VALUE"""),4.0)</f>
        <v>4</v>
      </c>
      <c r="G713" s="17" t="str">
        <f>IFERROR(__xludf.DUMMYFUNCTION("""COMPUTED_VALUE"""),"13070510")</f>
        <v>13070510</v>
      </c>
      <c r="H713" s="17" t="str">
        <f>IFERROR(__xludf.DUMMYFUNCTION("""COMPUTED_VALUE"""),"універсальні будівельні суміші")</f>
        <v>універсальні будівельні суміші</v>
      </c>
      <c r="I713" s="19">
        <f>IFERROR(__xludf.DUMMYFUNCTION("""COMPUTED_VALUE"""),0.0475)</f>
        <v>0.0475</v>
      </c>
      <c r="J713" s="19">
        <f>IFERROR(__xludf.DUMMYFUNCTION("""COMPUTED_VALUE"""),0.095)</f>
        <v>0.095</v>
      </c>
      <c r="K713" s="19">
        <f>IFERROR(__xludf.DUMMYFUNCTION("""COMPUTED_VALUE"""),0.1188)</f>
        <v>0.1188</v>
      </c>
      <c r="L713" s="19">
        <f>IFERROR(__xludf.DUMMYFUNCTION("""COMPUTED_VALUE"""),0.1425)</f>
        <v>0.1425</v>
      </c>
      <c r="M713" s="18">
        <f>IFERROR(__xludf.DUMMYFUNCTION("""COMPUTED_VALUE"""),1.71)</f>
        <v>1.71</v>
      </c>
    </row>
    <row r="714">
      <c r="A714" s="13" t="str">
        <f>IFERROR(__xludf.DUMMYFUNCTION("""COMPUTED_VALUE"""),"товари")</f>
        <v>товари</v>
      </c>
      <c r="B714" s="16" t="str">
        <f>IFERROR(__xludf.DUMMYFUNCTION("""COMPUTED_VALUE"""),"будівництво")</f>
        <v>будівництво</v>
      </c>
      <c r="C714" s="16" t="str">
        <f>IFERROR(__xludf.DUMMYFUNCTION("""COMPUTED_VALUE"""),"будівельні матеріали")</f>
        <v>будівельні матеріали</v>
      </c>
      <c r="D714" s="16" t="str">
        <f>IFERROR(__xludf.DUMMYFUNCTION("""COMPUTED_VALUE"""),"фасадні матеріали")</f>
        <v>фасадні матеріали</v>
      </c>
      <c r="E714" s="16" t="str">
        <f>IFERROR(__xludf.DUMMYFUNCTION("""COMPUTED_VALUE"""),"фасадні матеріали, загальне")</f>
        <v>фасадні матеріали, загальне</v>
      </c>
      <c r="F714" s="17">
        <f>IFERROR(__xludf.DUMMYFUNCTION("""COMPUTED_VALUE"""),4.0)</f>
        <v>4</v>
      </c>
      <c r="G714" s="17" t="str">
        <f>IFERROR(__xludf.DUMMYFUNCTION("""COMPUTED_VALUE"""),"13070301")</f>
        <v>13070301</v>
      </c>
      <c r="H714" s="17" t="str">
        <f>IFERROR(__xludf.DUMMYFUNCTION("""COMPUTED_VALUE"""),"фасадні матеріали, загальне")</f>
        <v>фасадні матеріали, загальне</v>
      </c>
      <c r="I714" s="19">
        <f>IFERROR(__xludf.DUMMYFUNCTION("""COMPUTED_VALUE"""),0.125)</f>
        <v>0.125</v>
      </c>
      <c r="J714" s="19">
        <f>IFERROR(__xludf.DUMMYFUNCTION("""COMPUTED_VALUE"""),0.25)</f>
        <v>0.25</v>
      </c>
      <c r="K714" s="19">
        <f>IFERROR(__xludf.DUMMYFUNCTION("""COMPUTED_VALUE"""),0.3125)</f>
        <v>0.3125</v>
      </c>
      <c r="L714" s="19">
        <f>IFERROR(__xludf.DUMMYFUNCTION("""COMPUTED_VALUE"""),0.375)</f>
        <v>0.375</v>
      </c>
      <c r="M714" s="18">
        <f>IFERROR(__xludf.DUMMYFUNCTION("""COMPUTED_VALUE"""),4.33)</f>
        <v>4.33</v>
      </c>
    </row>
    <row r="715">
      <c r="A715" s="13" t="str">
        <f>IFERROR(__xludf.DUMMYFUNCTION("""COMPUTED_VALUE"""),"товари")</f>
        <v>товари</v>
      </c>
      <c r="B715" s="16" t="str">
        <f>IFERROR(__xludf.DUMMYFUNCTION("""COMPUTED_VALUE"""),"будівництво")</f>
        <v>будівництво</v>
      </c>
      <c r="C715" s="16" t="str">
        <f>IFERROR(__xludf.DUMMYFUNCTION("""COMPUTED_VALUE"""),"водо-, газо-, теплозабезпечення")</f>
        <v>водо-, газо-, теплозабезпечення</v>
      </c>
      <c r="D715" s="16" t="str">
        <f>IFERROR(__xludf.DUMMYFUNCTION("""COMPUTED_VALUE"""),"запірна арматура")</f>
        <v>запірна арматура</v>
      </c>
      <c r="E715" s="16" t="str">
        <f>IFERROR(__xludf.DUMMYFUNCTION("""COMPUTED_VALUE"""),"фільтри грубої очистки")</f>
        <v>фільтри грубої очистки</v>
      </c>
      <c r="F715" s="17">
        <f>IFERROR(__xludf.DUMMYFUNCTION("""COMPUTED_VALUE"""),4.0)</f>
        <v>4</v>
      </c>
      <c r="G715" s="17" t="str">
        <f>IFERROR(__xludf.DUMMYFUNCTION("""COMPUTED_VALUE"""),"13100629")</f>
        <v>13100629</v>
      </c>
      <c r="H715" s="17" t="str">
        <f>IFERROR(__xludf.DUMMYFUNCTION("""COMPUTED_VALUE"""),"фільтри грубої очистки")</f>
        <v>фільтри грубої очистки</v>
      </c>
      <c r="I715" s="19">
        <f>IFERROR(__xludf.DUMMYFUNCTION("""COMPUTED_VALUE"""),0.0749)</f>
        <v>0.0749</v>
      </c>
      <c r="J715" s="19">
        <f>IFERROR(__xludf.DUMMYFUNCTION("""COMPUTED_VALUE"""),0.1497)</f>
        <v>0.1497</v>
      </c>
      <c r="K715" s="19">
        <f>IFERROR(__xludf.DUMMYFUNCTION("""COMPUTED_VALUE"""),0.1871)</f>
        <v>0.1871</v>
      </c>
      <c r="L715" s="19">
        <f>IFERROR(__xludf.DUMMYFUNCTION("""COMPUTED_VALUE"""),0.2246)</f>
        <v>0.2246</v>
      </c>
      <c r="M715" s="18">
        <f>IFERROR(__xludf.DUMMYFUNCTION("""COMPUTED_VALUE"""),1.71)</f>
        <v>1.71</v>
      </c>
    </row>
    <row r="716">
      <c r="A716" s="13" t="str">
        <f>IFERROR(__xludf.DUMMYFUNCTION("""COMPUTED_VALUE"""),"товари")</f>
        <v>товари</v>
      </c>
      <c r="B716" s="16" t="str">
        <f>IFERROR(__xludf.DUMMYFUNCTION("""COMPUTED_VALUE"""),"будівництво")</f>
        <v>будівництво</v>
      </c>
      <c r="C716" s="16" t="str">
        <f>IFERROR(__xludf.DUMMYFUNCTION("""COMPUTED_VALUE"""),"водо-, газо-, теплозабезпечення")</f>
        <v>водо-, газо-, теплозабезпечення</v>
      </c>
      <c r="D716" s="16" t="str">
        <f>IFERROR(__xludf.DUMMYFUNCTION("""COMPUTED_VALUE"""),"фітинги для труб")</f>
        <v>фітинги для труб</v>
      </c>
      <c r="E716" s="16" t="str">
        <f>IFERROR(__xludf.DUMMYFUNCTION("""COMPUTED_VALUE"""),"фітинги для труб, загальне")</f>
        <v>фітинги для труб, загальне</v>
      </c>
      <c r="F716" s="17">
        <f>IFERROR(__xludf.DUMMYFUNCTION("""COMPUTED_VALUE"""),4.0)</f>
        <v>4</v>
      </c>
      <c r="G716" s="17" t="str">
        <f>IFERROR(__xludf.DUMMYFUNCTION("""COMPUTED_VALUE"""),"13100609")</f>
        <v>13100609</v>
      </c>
      <c r="H716" s="17" t="str">
        <f>IFERROR(__xludf.DUMMYFUNCTION("""COMPUTED_VALUE"""),"фітинги для труб, загальне")</f>
        <v>фітинги для труб, загальне</v>
      </c>
      <c r="I716" s="19">
        <f>IFERROR(__xludf.DUMMYFUNCTION("""COMPUTED_VALUE"""),0.125)</f>
        <v>0.125</v>
      </c>
      <c r="J716" s="19">
        <f>IFERROR(__xludf.DUMMYFUNCTION("""COMPUTED_VALUE"""),0.25)</f>
        <v>0.25</v>
      </c>
      <c r="K716" s="19">
        <f>IFERROR(__xludf.DUMMYFUNCTION("""COMPUTED_VALUE"""),0.3125)</f>
        <v>0.3125</v>
      </c>
      <c r="L716" s="19">
        <f>IFERROR(__xludf.DUMMYFUNCTION("""COMPUTED_VALUE"""),0.375)</f>
        <v>0.375</v>
      </c>
      <c r="M716" s="18">
        <f>IFERROR(__xludf.DUMMYFUNCTION("""COMPUTED_VALUE"""),4.33)</f>
        <v>4.33</v>
      </c>
    </row>
    <row r="717">
      <c r="A717" s="13" t="str">
        <f>IFERROR(__xludf.DUMMYFUNCTION("""COMPUTED_VALUE"""),"товари")</f>
        <v>товари</v>
      </c>
      <c r="B717" s="16" t="str">
        <f>IFERROR(__xludf.DUMMYFUNCTION("""COMPUTED_VALUE"""),"будівництво")</f>
        <v>будівництво</v>
      </c>
      <c r="C717" s="16" t="str">
        <f>IFERROR(__xludf.DUMMYFUNCTION("""COMPUTED_VALUE"""),"будівельна техніка та обладнання")</f>
        <v>будівельна техніка та обладнання</v>
      </c>
      <c r="D717" s="16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717" s="16" t="str">
        <f>IFERROR(__xludf.DUMMYFUNCTION("""COMPUTED_VALUE"""),"фрезерувальні машини")</f>
        <v>фрезерувальні машини</v>
      </c>
      <c r="F717" s="17">
        <f>IFERROR(__xludf.DUMMYFUNCTION("""COMPUTED_VALUE"""),4.0)</f>
        <v>4</v>
      </c>
      <c r="G717" s="17" t="str">
        <f>IFERROR(__xludf.DUMMYFUNCTION("""COMPUTED_VALUE"""),"13040608")</f>
        <v>13040608</v>
      </c>
      <c r="H717" s="17" t="str">
        <f>IFERROR(__xludf.DUMMYFUNCTION("""COMPUTED_VALUE"""),"фрезерувальні машини")</f>
        <v>фрезерувальні машини</v>
      </c>
      <c r="I717" s="19">
        <f>IFERROR(__xludf.DUMMYFUNCTION("""COMPUTED_VALUE"""),0.0519)</f>
        <v>0.0519</v>
      </c>
      <c r="J717" s="19">
        <f>IFERROR(__xludf.DUMMYFUNCTION("""COMPUTED_VALUE"""),0.1038)</f>
        <v>0.1038</v>
      </c>
      <c r="K717" s="19">
        <f>IFERROR(__xludf.DUMMYFUNCTION("""COMPUTED_VALUE"""),0.1298)</f>
        <v>0.1298</v>
      </c>
      <c r="L717" s="19">
        <f>IFERROR(__xludf.DUMMYFUNCTION("""COMPUTED_VALUE"""),0.1557)</f>
        <v>0.1557</v>
      </c>
      <c r="M717" s="18">
        <f>IFERROR(__xludf.DUMMYFUNCTION("""COMPUTED_VALUE"""),3.78)</f>
        <v>3.78</v>
      </c>
    </row>
    <row r="718">
      <c r="A718" s="13" t="str">
        <f>IFERROR(__xludf.DUMMYFUNCTION("""COMPUTED_VALUE"""),"товари")</f>
        <v>товари</v>
      </c>
      <c r="B718" s="16" t="str">
        <f>IFERROR(__xludf.DUMMYFUNCTION("""COMPUTED_VALUE"""),"будівництво")</f>
        <v>будівництво</v>
      </c>
      <c r="C718" s="16" t="str">
        <f>IFERROR(__xludf.DUMMYFUNCTION("""COMPUTED_VALUE"""),"будівельні матеріали")</f>
        <v>будівельні матеріали</v>
      </c>
      <c r="D718" s="16" t="str">
        <f>IFERROR(__xludf.DUMMYFUNCTION("""COMPUTED_VALUE"""),"ворота, огорожі, шлагбауми та комплектуючі")</f>
        <v>ворота, огорожі, шлагбауми та комплектуючі</v>
      </c>
      <c r="E718" s="16" t="str">
        <f>IFERROR(__xludf.DUMMYFUNCTION("""COMPUTED_VALUE"""),"хвіртки")</f>
        <v>хвіртки</v>
      </c>
      <c r="F718" s="17">
        <f>IFERROR(__xludf.DUMMYFUNCTION("""COMPUTED_VALUE"""),4.0)</f>
        <v>4</v>
      </c>
      <c r="G718" s="17" t="str">
        <f>IFERROR(__xludf.DUMMYFUNCTION("""COMPUTED_VALUE"""),"135610")</f>
        <v>135610</v>
      </c>
      <c r="H718" s="17" t="str">
        <f>IFERROR(__xludf.DUMMYFUNCTION("""COMPUTED_VALUE"""),"хвіртки")</f>
        <v>хвіртки</v>
      </c>
      <c r="I718" s="19">
        <f>IFERROR(__xludf.DUMMYFUNCTION("""COMPUTED_VALUE"""),0.0259)</f>
        <v>0.0259</v>
      </c>
      <c r="J718" s="19">
        <f>IFERROR(__xludf.DUMMYFUNCTION("""COMPUTED_VALUE"""),0.0517)</f>
        <v>0.0517</v>
      </c>
      <c r="K718" s="19">
        <f>IFERROR(__xludf.DUMMYFUNCTION("""COMPUTED_VALUE"""),0.0646)</f>
        <v>0.0646</v>
      </c>
      <c r="L718" s="19">
        <f>IFERROR(__xludf.DUMMYFUNCTION("""COMPUTED_VALUE"""),0.0776)</f>
        <v>0.0776</v>
      </c>
      <c r="M718" s="18">
        <f>IFERROR(__xludf.DUMMYFUNCTION("""COMPUTED_VALUE"""),5.4)</f>
        <v>5.4</v>
      </c>
    </row>
    <row r="719">
      <c r="A719" s="13" t="str">
        <f>IFERROR(__xludf.DUMMYFUNCTION("""COMPUTED_VALUE"""),"товари")</f>
        <v>товари</v>
      </c>
      <c r="B719" s="16" t="str">
        <f>IFERROR(__xludf.DUMMYFUNCTION("""COMPUTED_VALUE"""),"будівництво")</f>
        <v>будівництво</v>
      </c>
      <c r="C719" s="16" t="str">
        <f>IFERROR(__xludf.DUMMYFUNCTION("""COMPUTED_VALUE"""),"водо-, газо-, теплозабезпечення")</f>
        <v>водо-, газо-, теплозабезпечення</v>
      </c>
      <c r="D719" s="16" t="str">
        <f>IFERROR(__xludf.DUMMYFUNCTION("""COMPUTED_VALUE"""),"фітинги для труб")</f>
        <v>фітинги для труб</v>
      </c>
      <c r="E719" s="16" t="str">
        <f>IFERROR(__xludf.DUMMYFUNCTION("""COMPUTED_VALUE"""),"хрестовини")</f>
        <v>хрестовини</v>
      </c>
      <c r="F719" s="17">
        <f>IFERROR(__xludf.DUMMYFUNCTION("""COMPUTED_VALUE"""),4.0)</f>
        <v>4</v>
      </c>
      <c r="G719" s="17" t="str">
        <f>IFERROR(__xludf.DUMMYFUNCTION("""COMPUTED_VALUE"""),"13100642")</f>
        <v>13100642</v>
      </c>
      <c r="H719" s="17" t="str">
        <f>IFERROR(__xludf.DUMMYFUNCTION("""COMPUTED_VALUE"""),"хрестовини")</f>
        <v>хрестовини</v>
      </c>
      <c r="I719" s="19">
        <f>IFERROR(__xludf.DUMMYFUNCTION("""COMPUTED_VALUE"""),0.0747)</f>
        <v>0.0747</v>
      </c>
      <c r="J719" s="19">
        <f>IFERROR(__xludf.DUMMYFUNCTION("""COMPUTED_VALUE"""),0.1494)</f>
        <v>0.1494</v>
      </c>
      <c r="K719" s="19">
        <f>IFERROR(__xludf.DUMMYFUNCTION("""COMPUTED_VALUE"""),0.1868)</f>
        <v>0.1868</v>
      </c>
      <c r="L719" s="19">
        <f>IFERROR(__xludf.DUMMYFUNCTION("""COMPUTED_VALUE"""),0.2241)</f>
        <v>0.2241</v>
      </c>
      <c r="M719" s="18">
        <f>IFERROR(__xludf.DUMMYFUNCTION("""COMPUTED_VALUE"""),1.53)</f>
        <v>1.53</v>
      </c>
    </row>
    <row r="720">
      <c r="A720" s="13" t="str">
        <f>IFERROR(__xludf.DUMMYFUNCTION("""COMPUTED_VALUE"""),"товари")</f>
        <v>товари</v>
      </c>
      <c r="B720" s="16" t="str">
        <f>IFERROR(__xludf.DUMMYFUNCTION("""COMPUTED_VALUE"""),"будівництво")</f>
        <v>будівництво</v>
      </c>
      <c r="C720" s="16" t="str">
        <f>IFERROR(__xludf.DUMMYFUNCTION("""COMPUTED_VALUE"""),"будівельні матеріали")</f>
        <v>будівельні матеріали</v>
      </c>
      <c r="D720" s="16" t="str">
        <f>IFERROR(__xludf.DUMMYFUNCTION("""COMPUTED_VALUE"""),"в'яжучі матеріали, сухі будівельні суміші")</f>
        <v>в'яжучі матеріали, сухі будівельні суміші</v>
      </c>
      <c r="E720" s="16" t="str">
        <f>IFERROR(__xludf.DUMMYFUNCTION("""COMPUTED_VALUE"""),"шпаклівки")</f>
        <v>шпаклівки</v>
      </c>
      <c r="F720" s="17">
        <f>IFERROR(__xludf.DUMMYFUNCTION("""COMPUTED_VALUE"""),4.0)</f>
        <v>4</v>
      </c>
      <c r="G720" s="17" t="str">
        <f>IFERROR(__xludf.DUMMYFUNCTION("""COMPUTED_VALUE"""),"81113")</f>
        <v>81113</v>
      </c>
      <c r="H720" s="17" t="str">
        <f>IFERROR(__xludf.DUMMYFUNCTION("""COMPUTED_VALUE"""),"шпаклівки")</f>
        <v>шпаклівки</v>
      </c>
      <c r="I720" s="19">
        <f>IFERROR(__xludf.DUMMYFUNCTION("""COMPUTED_VALUE"""),0.0505)</f>
        <v>0.0505</v>
      </c>
      <c r="J720" s="19">
        <f>IFERROR(__xludf.DUMMYFUNCTION("""COMPUTED_VALUE"""),0.101)</f>
        <v>0.101</v>
      </c>
      <c r="K720" s="19">
        <f>IFERROR(__xludf.DUMMYFUNCTION("""COMPUTED_VALUE"""),0.1263)</f>
        <v>0.1263</v>
      </c>
      <c r="L720" s="19">
        <f>IFERROR(__xludf.DUMMYFUNCTION("""COMPUTED_VALUE"""),0.1515)</f>
        <v>0.1515</v>
      </c>
      <c r="M720" s="18">
        <f>IFERROR(__xludf.DUMMYFUNCTION("""COMPUTED_VALUE"""),1.71)</f>
        <v>1.71</v>
      </c>
    </row>
    <row r="721">
      <c r="A721" s="13" t="str">
        <f>IFERROR(__xludf.DUMMYFUNCTION("""COMPUTED_VALUE"""),"товари")</f>
        <v>товари</v>
      </c>
      <c r="B721" s="16" t="str">
        <f>IFERROR(__xludf.DUMMYFUNCTION("""COMPUTED_VALUE"""),"будівництво")</f>
        <v>будівництво</v>
      </c>
      <c r="C721" s="16" t="str">
        <f>IFERROR(__xludf.DUMMYFUNCTION("""COMPUTED_VALUE"""),"будівельні матеріали")</f>
        <v>будівельні матеріали</v>
      </c>
      <c r="D721" s="16" t="str">
        <f>IFERROR(__xludf.DUMMYFUNCTION("""COMPUTED_VALUE"""),"пиломатеріали")</f>
        <v>пиломатеріали</v>
      </c>
      <c r="E721" s="16" t="str">
        <f>IFERROR(__xludf.DUMMYFUNCTION("""COMPUTED_VALUE"""),"шпон")</f>
        <v>шпон</v>
      </c>
      <c r="F721" s="17">
        <f>IFERROR(__xludf.DUMMYFUNCTION("""COMPUTED_VALUE"""),4.0)</f>
        <v>4</v>
      </c>
      <c r="G721" s="17" t="str">
        <f>IFERROR(__xludf.DUMMYFUNCTION("""COMPUTED_VALUE"""),"131106")</f>
        <v>131106</v>
      </c>
      <c r="H721" s="17" t="str">
        <f>IFERROR(__xludf.DUMMYFUNCTION("""COMPUTED_VALUE"""),"шпон")</f>
        <v>шпон</v>
      </c>
      <c r="I721" s="19">
        <f>IFERROR(__xludf.DUMMYFUNCTION("""COMPUTED_VALUE"""),0.0259)</f>
        <v>0.0259</v>
      </c>
      <c r="J721" s="19">
        <f>IFERROR(__xludf.DUMMYFUNCTION("""COMPUTED_VALUE"""),0.0517)</f>
        <v>0.0517</v>
      </c>
      <c r="K721" s="19">
        <f>IFERROR(__xludf.DUMMYFUNCTION("""COMPUTED_VALUE"""),0.0646)</f>
        <v>0.0646</v>
      </c>
      <c r="L721" s="19">
        <f>IFERROR(__xludf.DUMMYFUNCTION("""COMPUTED_VALUE"""),0.0776)</f>
        <v>0.0776</v>
      </c>
      <c r="M721" s="18">
        <f>IFERROR(__xludf.DUMMYFUNCTION("""COMPUTED_VALUE"""),2.88)</f>
        <v>2.88</v>
      </c>
    </row>
    <row r="722">
      <c r="A722" s="13" t="str">
        <f>IFERROR(__xludf.DUMMYFUNCTION("""COMPUTED_VALUE"""),"товари")</f>
        <v>товари</v>
      </c>
      <c r="B722" s="16" t="str">
        <f>IFERROR(__xludf.DUMMYFUNCTION("""COMPUTED_VALUE"""),"будівництво")</f>
        <v>будівництво</v>
      </c>
      <c r="C722" s="16" t="str">
        <f>IFERROR(__xludf.DUMMYFUNCTION("""COMPUTED_VALUE"""),"будівельні матеріали")</f>
        <v>будівельні матеріали</v>
      </c>
      <c r="D722" s="16" t="str">
        <f>IFERROR(__xludf.DUMMYFUNCTION("""COMPUTED_VALUE"""),"в'яжучі матеріали, сухі будівельні суміші")</f>
        <v>в'яжучі матеріали, сухі будівельні суміші</v>
      </c>
      <c r="E722" s="16" t="str">
        <f>IFERROR(__xludf.DUMMYFUNCTION("""COMPUTED_VALUE"""),"штукатурка")</f>
        <v>штукатурка</v>
      </c>
      <c r="F722" s="17">
        <f>IFERROR(__xludf.DUMMYFUNCTION("""COMPUTED_VALUE"""),4.0)</f>
        <v>4</v>
      </c>
      <c r="G722" s="17" t="str">
        <f>IFERROR(__xludf.DUMMYFUNCTION("""COMPUTED_VALUE"""),"13070503")</f>
        <v>13070503</v>
      </c>
      <c r="H722" s="17" t="str">
        <f>IFERROR(__xludf.DUMMYFUNCTION("""COMPUTED_VALUE"""),"штукатурка")</f>
        <v>штукатурка</v>
      </c>
      <c r="I722" s="19">
        <f>IFERROR(__xludf.DUMMYFUNCTION("""COMPUTED_VALUE"""),0.0505)</f>
        <v>0.0505</v>
      </c>
      <c r="J722" s="19">
        <f>IFERROR(__xludf.DUMMYFUNCTION("""COMPUTED_VALUE"""),0.101)</f>
        <v>0.101</v>
      </c>
      <c r="K722" s="19">
        <f>IFERROR(__xludf.DUMMYFUNCTION("""COMPUTED_VALUE"""),0.1263)</f>
        <v>0.1263</v>
      </c>
      <c r="L722" s="19">
        <f>IFERROR(__xludf.DUMMYFUNCTION("""COMPUTED_VALUE"""),0.1515)</f>
        <v>0.1515</v>
      </c>
      <c r="M722" s="18">
        <f>IFERROR(__xludf.DUMMYFUNCTION("""COMPUTED_VALUE"""),1.71)</f>
        <v>1.71</v>
      </c>
    </row>
    <row r="723">
      <c r="A723" s="13" t="str">
        <f>IFERROR(__xludf.DUMMYFUNCTION("""COMPUTED_VALUE"""),"товари")</f>
        <v>товари</v>
      </c>
      <c r="B723" s="16" t="str">
        <f>IFERROR(__xludf.DUMMYFUNCTION("""COMPUTED_VALUE"""),"будівництво")</f>
        <v>будівництво</v>
      </c>
      <c r="C723" s="16" t="str">
        <f>IFERROR(__xludf.DUMMYFUNCTION("""COMPUTED_VALUE"""),"будівельні матеріали")</f>
        <v>будівельні матеріали</v>
      </c>
      <c r="D723" s="16" t="str">
        <f>IFERROR(__xludf.DUMMYFUNCTION("""COMPUTED_VALUE"""),"в'яжучі матеріали, сухі будівельні суміші")</f>
        <v>в'яжучі матеріали, сухі будівельні суміші</v>
      </c>
      <c r="E723" s="16" t="str">
        <f>IFERROR(__xludf.DUMMYFUNCTION("""COMPUTED_VALUE"""),"штукатурні маяки і куточки")</f>
        <v>штукатурні маяки і куточки</v>
      </c>
      <c r="F723" s="17">
        <f>IFERROR(__xludf.DUMMYFUNCTION("""COMPUTED_VALUE"""),4.0)</f>
        <v>4</v>
      </c>
      <c r="G723" s="17" t="str">
        <f>IFERROR(__xludf.DUMMYFUNCTION("""COMPUTED_VALUE"""),"1340")</f>
        <v>1340</v>
      </c>
      <c r="H723" s="17" t="str">
        <f>IFERROR(__xludf.DUMMYFUNCTION("""COMPUTED_VALUE"""),"штукатурні маяки і куточки")</f>
        <v>штукатурні маяки і куточки</v>
      </c>
      <c r="I723" s="19">
        <f>IFERROR(__xludf.DUMMYFUNCTION("""COMPUTED_VALUE"""),0.0566)</f>
        <v>0.0566</v>
      </c>
      <c r="J723" s="19">
        <f>IFERROR(__xludf.DUMMYFUNCTION("""COMPUTED_VALUE"""),0.1132)</f>
        <v>0.1132</v>
      </c>
      <c r="K723" s="19">
        <f>IFERROR(__xludf.DUMMYFUNCTION("""COMPUTED_VALUE"""),0.1415)</f>
        <v>0.1415</v>
      </c>
      <c r="L723" s="19">
        <f>IFERROR(__xludf.DUMMYFUNCTION("""COMPUTED_VALUE"""),0.1698)</f>
        <v>0.1698</v>
      </c>
      <c r="M723" s="18">
        <f>IFERROR(__xludf.DUMMYFUNCTION("""COMPUTED_VALUE"""),1.71)</f>
        <v>1.71</v>
      </c>
    </row>
    <row r="724">
      <c r="A724" s="13" t="str">
        <f>IFERROR(__xludf.DUMMYFUNCTION("""COMPUTED_VALUE"""),"товари")</f>
        <v>товари</v>
      </c>
      <c r="B724" s="16" t="str">
        <f>IFERROR(__xludf.DUMMYFUNCTION("""COMPUTED_VALUE"""),"будівництво")</f>
        <v>будівництво</v>
      </c>
      <c r="C724" s="16" t="str">
        <f>IFERROR(__xludf.DUMMYFUNCTION("""COMPUTED_VALUE"""),"водо-, газо-, теплозабезпечення")</f>
        <v>водо-, газо-, теплозабезпечення</v>
      </c>
      <c r="D724" s="16" t="str">
        <f>IFERROR(__xludf.DUMMYFUNCTION("""COMPUTED_VALUE"""),"фітинги для труб")</f>
        <v>фітинги для труб</v>
      </c>
      <c r="E724" s="16" t="str">
        <f>IFERROR(__xludf.DUMMYFUNCTION("""COMPUTED_VALUE"""),"штуцери для труб")</f>
        <v>штуцери для труб</v>
      </c>
      <c r="F724" s="17">
        <f>IFERROR(__xludf.DUMMYFUNCTION("""COMPUTED_VALUE"""),4.0)</f>
        <v>4</v>
      </c>
      <c r="G724" s="17" t="str">
        <f>IFERROR(__xludf.DUMMYFUNCTION("""COMPUTED_VALUE"""),"13100644")</f>
        <v>13100644</v>
      </c>
      <c r="H724" s="17" t="str">
        <f>IFERROR(__xludf.DUMMYFUNCTION("""COMPUTED_VALUE"""),"штуцери для труб")</f>
        <v>штуцери для труб</v>
      </c>
      <c r="I724" s="19">
        <f>IFERROR(__xludf.DUMMYFUNCTION("""COMPUTED_VALUE"""),0.0747)</f>
        <v>0.0747</v>
      </c>
      <c r="J724" s="19">
        <f>IFERROR(__xludf.DUMMYFUNCTION("""COMPUTED_VALUE"""),0.1494)</f>
        <v>0.1494</v>
      </c>
      <c r="K724" s="19">
        <f>IFERROR(__xludf.DUMMYFUNCTION("""COMPUTED_VALUE"""),0.1868)</f>
        <v>0.1868</v>
      </c>
      <c r="L724" s="19">
        <f>IFERROR(__xludf.DUMMYFUNCTION("""COMPUTED_VALUE"""),0.2241)</f>
        <v>0.2241</v>
      </c>
      <c r="M724" s="18">
        <f>IFERROR(__xludf.DUMMYFUNCTION("""COMPUTED_VALUE"""),1.53)</f>
        <v>1.53</v>
      </c>
    </row>
    <row r="725">
      <c r="A725" s="13" t="str">
        <f>IFERROR(__xludf.DUMMYFUNCTION("""COMPUTED_VALUE"""),"товари")</f>
        <v>товари</v>
      </c>
      <c r="B725" s="16" t="str">
        <f>IFERROR(__xludf.DUMMYFUNCTION("""COMPUTED_VALUE"""),"вантажівки, автобуси, спецтехніка")</f>
        <v>вантажівки, автобуси, спецтехніка</v>
      </c>
      <c r="C725" s="16" t="str">
        <f>IFERROR(__xludf.DUMMYFUNCTION("""COMPUTED_VALUE"""),"автобуси, спецтехніка, загальне")</f>
        <v>автобуси, спецтехніка, загальне</v>
      </c>
      <c r="D725" s="16" t="str">
        <f>IFERROR(__xludf.DUMMYFUNCTION("""COMPUTED_VALUE"""),"автобуси, спецтехніка, загальне")</f>
        <v>автобуси, спецтехніка, загальне</v>
      </c>
      <c r="E725" s="16" t="str">
        <f>IFERROR(__xludf.DUMMYFUNCTION("""COMPUTED_VALUE"""),"автобуси, спецтехніка, загальне")</f>
        <v>автобуси, спецтехніка, загальне</v>
      </c>
      <c r="F725" s="17">
        <f>IFERROR(__xludf.DUMMYFUNCTION("""COMPUTED_VALUE"""),2.0)</f>
        <v>2</v>
      </c>
      <c r="G725" s="17" t="str">
        <f>IFERROR(__xludf.DUMMYFUNCTION("""COMPUTED_VALUE"""),"3402")</f>
        <v>3402</v>
      </c>
      <c r="H725" s="17" t="str">
        <f>IFERROR(__xludf.DUMMYFUNCTION("""COMPUTED_VALUE"""),"автобуси, спецтехніка, загальне")</f>
        <v>автобуси, спецтехніка, загальне</v>
      </c>
      <c r="I725" s="19">
        <f>IFERROR(__xludf.DUMMYFUNCTION("""COMPUTED_VALUE"""),0.125)</f>
        <v>0.125</v>
      </c>
      <c r="J725" s="19">
        <f>IFERROR(__xludf.DUMMYFUNCTION("""COMPUTED_VALUE"""),0.25)</f>
        <v>0.25</v>
      </c>
      <c r="K725" s="19">
        <f>IFERROR(__xludf.DUMMYFUNCTION("""COMPUTED_VALUE"""),0.3125)</f>
        <v>0.3125</v>
      </c>
      <c r="L725" s="19">
        <f>IFERROR(__xludf.DUMMYFUNCTION("""COMPUTED_VALUE"""),0.375)</f>
        <v>0.375</v>
      </c>
      <c r="M725" s="18">
        <f>IFERROR(__xludf.DUMMYFUNCTION("""COMPUTED_VALUE"""),4.33)</f>
        <v>4.33</v>
      </c>
    </row>
    <row r="726">
      <c r="A726" s="13" t="str">
        <f>IFERROR(__xludf.DUMMYFUNCTION("""COMPUTED_VALUE"""),"товари")</f>
        <v>товари</v>
      </c>
      <c r="B726" s="16" t="str">
        <f>IFERROR(__xludf.DUMMYFUNCTION("""COMPUTED_VALUE"""),"вантажівки, автобуси, спецтехніка")</f>
        <v>вантажівки, автобуси, спецтехніка</v>
      </c>
      <c r="C726" s="16" t="str">
        <f>IFERROR(__xludf.DUMMYFUNCTION("""COMPUTED_VALUE"""),"автозапчастини та комплектуючі")</f>
        <v>автозапчастини та комплектуючі</v>
      </c>
      <c r="D726" s="16" t="str">
        <f>IFERROR(__xludf.DUMMYFUNCTION("""COMPUTED_VALUE"""),"автозапчастини та комплектуючі, загальне")</f>
        <v>автозапчастини та комплектуючі, загальне</v>
      </c>
      <c r="E726" s="16" t="str">
        <f>IFERROR(__xludf.DUMMYFUNCTION("""COMPUTED_VALUE"""),"автозапчастини та комплектуючі, загальне")</f>
        <v>автозапчастини та комплектуючі, загальне</v>
      </c>
      <c r="F726" s="17">
        <f>IFERROR(__xludf.DUMMYFUNCTION("""COMPUTED_VALUE"""),3.0)</f>
        <v>3</v>
      </c>
      <c r="G726" s="17" t="str">
        <f>IFERROR(__xludf.DUMMYFUNCTION("""COMPUTED_VALUE"""),"1223")</f>
        <v>1223</v>
      </c>
      <c r="H726" s="17" t="str">
        <f>IFERROR(__xludf.DUMMYFUNCTION("""COMPUTED_VALUE"""),"автозапчастини та комплектуючі, загальне")</f>
        <v>автозапчастини та комплектуючі, загальне</v>
      </c>
      <c r="I726" s="19">
        <f>IFERROR(__xludf.DUMMYFUNCTION("""COMPUTED_VALUE"""),0.125)</f>
        <v>0.125</v>
      </c>
      <c r="J726" s="19">
        <f>IFERROR(__xludf.DUMMYFUNCTION("""COMPUTED_VALUE"""),0.25)</f>
        <v>0.25</v>
      </c>
      <c r="K726" s="19">
        <f>IFERROR(__xludf.DUMMYFUNCTION("""COMPUTED_VALUE"""),0.3125)</f>
        <v>0.3125</v>
      </c>
      <c r="L726" s="19">
        <f>IFERROR(__xludf.DUMMYFUNCTION("""COMPUTED_VALUE"""),0.375)</f>
        <v>0.375</v>
      </c>
      <c r="M726" s="18">
        <f>IFERROR(__xludf.DUMMYFUNCTION("""COMPUTED_VALUE"""),4.33)</f>
        <v>4.33</v>
      </c>
    </row>
    <row r="727">
      <c r="A727" s="13" t="str">
        <f>IFERROR(__xludf.DUMMYFUNCTION("""COMPUTED_VALUE"""),"товари")</f>
        <v>товари</v>
      </c>
      <c r="B727" s="16" t="str">
        <f>IFERROR(__xludf.DUMMYFUNCTION("""COMPUTED_VALUE"""),"вантажівки, автобуси, спецтехніка")</f>
        <v>вантажівки, автобуси, спецтехніка</v>
      </c>
      <c r="C727" s="16" t="str">
        <f>IFERROR(__xludf.DUMMYFUNCTION("""COMPUTED_VALUE"""),"автозапчастини та комплектуючі")</f>
        <v>автозапчастини та комплектуючі</v>
      </c>
      <c r="D727" s="16" t="str">
        <f>IFERROR(__xludf.DUMMYFUNCTION("""COMPUTED_VALUE"""),"автомобільне рефрижераторне обладнання")</f>
        <v>автомобільне рефрижераторне обладнання</v>
      </c>
      <c r="E727" s="16" t="str">
        <f>IFERROR(__xludf.DUMMYFUNCTION("""COMPUTED_VALUE"""),"автомобільне рефрижераторне обладнання")</f>
        <v>автомобільне рефрижераторне обладнання</v>
      </c>
      <c r="F727" s="17">
        <f>IFERROR(__xludf.DUMMYFUNCTION("""COMPUTED_VALUE"""),3.0)</f>
        <v>3</v>
      </c>
      <c r="G727" s="17" t="str">
        <f>IFERROR(__xludf.DUMMYFUNCTION("""COMPUTED_VALUE"""),"340105")</f>
        <v>340105</v>
      </c>
      <c r="H727" s="17" t="str">
        <f>IFERROR(__xludf.DUMMYFUNCTION("""COMPUTED_VALUE"""),"автомобільне рефрижераторне обладнання")</f>
        <v>автомобільне рефрижераторне обладнання</v>
      </c>
      <c r="I727" s="19">
        <f>IFERROR(__xludf.DUMMYFUNCTION("""COMPUTED_VALUE"""),0.0622)</f>
        <v>0.0622</v>
      </c>
      <c r="J727" s="19">
        <f>IFERROR(__xludf.DUMMYFUNCTION("""COMPUTED_VALUE"""),0.1243)</f>
        <v>0.1243</v>
      </c>
      <c r="K727" s="19">
        <f>IFERROR(__xludf.DUMMYFUNCTION("""COMPUTED_VALUE"""),0.1554)</f>
        <v>0.1554</v>
      </c>
      <c r="L727" s="19">
        <f>IFERROR(__xludf.DUMMYFUNCTION("""COMPUTED_VALUE"""),0.1865)</f>
        <v>0.1865</v>
      </c>
      <c r="M727" s="18">
        <f>IFERROR(__xludf.DUMMYFUNCTION("""COMPUTED_VALUE"""),3.78)</f>
        <v>3.78</v>
      </c>
    </row>
    <row r="728">
      <c r="A728" s="13" t="str">
        <f>IFERROR(__xludf.DUMMYFUNCTION("""COMPUTED_VALUE"""),"товари")</f>
        <v>товари</v>
      </c>
      <c r="B728" s="16" t="str">
        <f>IFERROR(__xludf.DUMMYFUNCTION("""COMPUTED_VALUE"""),"вантажівки, автобуси, спецтехніка")</f>
        <v>вантажівки, автобуси, спецтехніка</v>
      </c>
      <c r="C728" s="16" t="str">
        <f>IFERROR(__xludf.DUMMYFUNCTION("""COMPUTED_VALUE"""),"автозапчастини та комплектуючі")</f>
        <v>автозапчастини та комплектуючі</v>
      </c>
      <c r="D728" s="16" t="str">
        <f>IFERROR(__xludf.DUMMYFUNCTION("""COMPUTED_VALUE"""),"автомобільні гідравлічні компоненти")</f>
        <v>автомобільні гідравлічні компоненти</v>
      </c>
      <c r="E728" s="16" t="str">
        <f>IFERROR(__xludf.DUMMYFUNCTION("""COMPUTED_VALUE"""),"автомобільні гідравлічні компоненти")</f>
        <v>автомобільні гідравлічні компоненти</v>
      </c>
      <c r="F728" s="17">
        <f>IFERROR(__xludf.DUMMYFUNCTION("""COMPUTED_VALUE"""),3.0)</f>
        <v>3</v>
      </c>
      <c r="G728" s="17" t="str">
        <f>IFERROR(__xludf.DUMMYFUNCTION("""COMPUTED_VALUE"""),"341636")</f>
        <v>341636</v>
      </c>
      <c r="H728" s="17" t="str">
        <f>IFERROR(__xludf.DUMMYFUNCTION("""COMPUTED_VALUE"""),"автомобільні гідравлічні компоненти")</f>
        <v>автомобільні гідравлічні компоненти</v>
      </c>
      <c r="I728" s="19">
        <f>IFERROR(__xludf.DUMMYFUNCTION("""COMPUTED_VALUE"""),0.0515)</f>
        <v>0.0515</v>
      </c>
      <c r="J728" s="19">
        <f>IFERROR(__xludf.DUMMYFUNCTION("""COMPUTED_VALUE"""),0.103)</f>
        <v>0.103</v>
      </c>
      <c r="K728" s="19">
        <f>IFERROR(__xludf.DUMMYFUNCTION("""COMPUTED_VALUE"""),0.1288)</f>
        <v>0.1288</v>
      </c>
      <c r="L728" s="19">
        <f>IFERROR(__xludf.DUMMYFUNCTION("""COMPUTED_VALUE"""),0.1545)</f>
        <v>0.1545</v>
      </c>
      <c r="M728" s="18">
        <f>IFERROR(__xludf.DUMMYFUNCTION("""COMPUTED_VALUE"""),5.4)</f>
        <v>5.4</v>
      </c>
    </row>
    <row r="729">
      <c r="A729" s="13" t="str">
        <f>IFERROR(__xludf.DUMMYFUNCTION("""COMPUTED_VALUE"""),"товари")</f>
        <v>товари</v>
      </c>
      <c r="B729" s="16" t="str">
        <f>IFERROR(__xludf.DUMMYFUNCTION("""COMPUTED_VALUE"""),"вантажівки, автобуси, спецтехніка")</f>
        <v>вантажівки, автобуси, спецтехніка</v>
      </c>
      <c r="C729" s="16" t="str">
        <f>IFERROR(__xludf.DUMMYFUNCTION("""COMPUTED_VALUE"""),"автозапчастини та комплектуючі")</f>
        <v>автозапчастини та комплектуючі</v>
      </c>
      <c r="D729" s="16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29" s="16" t="str">
        <f>IFERROR(__xludf.DUMMYFUNCTION("""COMPUTED_VALUE"""),"відвали")</f>
        <v>відвали</v>
      </c>
      <c r="F729" s="17">
        <f>IFERROR(__xludf.DUMMYFUNCTION("""COMPUTED_VALUE"""),4.0)</f>
        <v>4</v>
      </c>
      <c r="G729" s="17" t="str">
        <f>IFERROR(__xludf.DUMMYFUNCTION("""COMPUTED_VALUE"""),"341542")</f>
        <v>341542</v>
      </c>
      <c r="H729" s="17" t="str">
        <f>IFERROR(__xludf.DUMMYFUNCTION("""COMPUTED_VALUE"""),"відвали")</f>
        <v>відвали</v>
      </c>
      <c r="I729" s="19">
        <f>IFERROR(__xludf.DUMMYFUNCTION("""COMPUTED_VALUE"""),0.0499)</f>
        <v>0.0499</v>
      </c>
      <c r="J729" s="19">
        <f>IFERROR(__xludf.DUMMYFUNCTION("""COMPUTED_VALUE"""),0.0997)</f>
        <v>0.0997</v>
      </c>
      <c r="K729" s="19">
        <f>IFERROR(__xludf.DUMMYFUNCTION("""COMPUTED_VALUE"""),0.1246)</f>
        <v>0.1246</v>
      </c>
      <c r="L729" s="19">
        <f>IFERROR(__xludf.DUMMYFUNCTION("""COMPUTED_VALUE"""),0.1496)</f>
        <v>0.1496</v>
      </c>
      <c r="M729" s="18">
        <f>IFERROR(__xludf.DUMMYFUNCTION("""COMPUTED_VALUE"""),5.4)</f>
        <v>5.4</v>
      </c>
    </row>
    <row r="730">
      <c r="A730" s="13" t="str">
        <f>IFERROR(__xludf.DUMMYFUNCTION("""COMPUTED_VALUE"""),"товари")</f>
        <v>товари</v>
      </c>
      <c r="B730" s="16" t="str">
        <f>IFERROR(__xludf.DUMMYFUNCTION("""COMPUTED_VALUE"""),"вантажівки, автобуси, спецтехніка")</f>
        <v>вантажівки, автобуси, спецтехніка</v>
      </c>
      <c r="C730" s="16" t="str">
        <f>IFERROR(__xludf.DUMMYFUNCTION("""COMPUTED_VALUE"""),"автозапчастини та комплектуючі")</f>
        <v>автозапчастини та комплектуючі</v>
      </c>
      <c r="D730" s="16" t="str">
        <f>IFERROR(__xludf.DUMMYFUNCTION("""COMPUTED_VALUE"""),"гідроциліндри")</f>
        <v>гідроциліндри</v>
      </c>
      <c r="E730" s="16" t="str">
        <f>IFERROR(__xludf.DUMMYFUNCTION("""COMPUTED_VALUE"""),"гідроциліндри")</f>
        <v>гідроциліндри</v>
      </c>
      <c r="F730" s="17">
        <f>IFERROR(__xludf.DUMMYFUNCTION("""COMPUTED_VALUE"""),3.0)</f>
        <v>3</v>
      </c>
      <c r="G730" s="17" t="str">
        <f>IFERROR(__xludf.DUMMYFUNCTION("""COMPUTED_VALUE"""),"341619")</f>
        <v>341619</v>
      </c>
      <c r="H730" s="17" t="str">
        <f>IFERROR(__xludf.DUMMYFUNCTION("""COMPUTED_VALUE"""),"гідроциліндри")</f>
        <v>гідроциліндри</v>
      </c>
      <c r="I730" s="19">
        <f>IFERROR(__xludf.DUMMYFUNCTION("""COMPUTED_VALUE"""),0.0632)</f>
        <v>0.0632</v>
      </c>
      <c r="J730" s="19">
        <f>IFERROR(__xludf.DUMMYFUNCTION("""COMPUTED_VALUE"""),0.1263)</f>
        <v>0.1263</v>
      </c>
      <c r="K730" s="19">
        <f>IFERROR(__xludf.DUMMYFUNCTION("""COMPUTED_VALUE"""),0.1579)</f>
        <v>0.1579</v>
      </c>
      <c r="L730" s="19">
        <f>IFERROR(__xludf.DUMMYFUNCTION("""COMPUTED_VALUE"""),0.1895)</f>
        <v>0.1895</v>
      </c>
      <c r="M730" s="18">
        <f>IFERROR(__xludf.DUMMYFUNCTION("""COMPUTED_VALUE"""),1.53)</f>
        <v>1.53</v>
      </c>
    </row>
    <row r="731">
      <c r="A731" s="13" t="str">
        <f>IFERROR(__xludf.DUMMYFUNCTION("""COMPUTED_VALUE"""),"товари")</f>
        <v>товари</v>
      </c>
      <c r="B731" s="16" t="str">
        <f>IFERROR(__xludf.DUMMYFUNCTION("""COMPUTED_VALUE"""),"вантажівки, автобуси, спецтехніка")</f>
        <v>вантажівки, автобуси, спецтехніка</v>
      </c>
      <c r="C731" s="16" t="str">
        <f>IFERROR(__xludf.DUMMYFUNCTION("""COMPUTED_VALUE"""),"автозапчастини та комплектуючі")</f>
        <v>автозапчастини та комплектуючі</v>
      </c>
      <c r="D731" s="16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31" s="16" t="str">
        <f>IFERROR(__xludf.DUMMYFUNCTION("""COMPUTED_VALUE"""),"диски на борони")</f>
        <v>диски на борони</v>
      </c>
      <c r="F731" s="17">
        <f>IFERROR(__xludf.DUMMYFUNCTION("""COMPUTED_VALUE"""),4.0)</f>
        <v>4</v>
      </c>
      <c r="G731" s="17" t="str">
        <f>IFERROR(__xludf.DUMMYFUNCTION("""COMPUTED_VALUE"""),"341541")</f>
        <v>341541</v>
      </c>
      <c r="H731" s="17" t="str">
        <f>IFERROR(__xludf.DUMMYFUNCTION("""COMPUTED_VALUE"""),"диски на борони")</f>
        <v>диски на борони</v>
      </c>
      <c r="I731" s="19">
        <f>IFERROR(__xludf.DUMMYFUNCTION("""COMPUTED_VALUE"""),0.0578)</f>
        <v>0.0578</v>
      </c>
      <c r="J731" s="19">
        <f>IFERROR(__xludf.DUMMYFUNCTION("""COMPUTED_VALUE"""),0.1155)</f>
        <v>0.1155</v>
      </c>
      <c r="K731" s="19">
        <f>IFERROR(__xludf.DUMMYFUNCTION("""COMPUTED_VALUE"""),0.1444)</f>
        <v>0.1444</v>
      </c>
      <c r="L731" s="19">
        <f>IFERROR(__xludf.DUMMYFUNCTION("""COMPUTED_VALUE"""),0.1733)</f>
        <v>0.1733</v>
      </c>
      <c r="M731" s="18">
        <f>IFERROR(__xludf.DUMMYFUNCTION("""COMPUTED_VALUE"""),5.4)</f>
        <v>5.4</v>
      </c>
    </row>
    <row r="732">
      <c r="A732" s="13" t="str">
        <f>IFERROR(__xludf.DUMMYFUNCTION("""COMPUTED_VALUE"""),"товари")</f>
        <v>товари</v>
      </c>
      <c r="B732" s="16" t="str">
        <f>IFERROR(__xludf.DUMMYFUNCTION("""COMPUTED_VALUE"""),"вантажівки, автобуси, спецтехніка")</f>
        <v>вантажівки, автобуси, спецтехніка</v>
      </c>
      <c r="C732" s="16" t="str">
        <f>IFERROR(__xludf.DUMMYFUNCTION("""COMPUTED_VALUE"""),"автозапчастини та комплектуючі")</f>
        <v>автозапчастини та комплектуючі</v>
      </c>
      <c r="D732" s="16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32" s="16" t="str">
        <f>IFERROR(__xludf.DUMMYFUNCTION("""COMPUTED_VALUE"""),"диски сошників")</f>
        <v>диски сошників</v>
      </c>
      <c r="F732" s="17">
        <f>IFERROR(__xludf.DUMMYFUNCTION("""COMPUTED_VALUE"""),4.0)</f>
        <v>4</v>
      </c>
      <c r="G732" s="17" t="str">
        <f>IFERROR(__xludf.DUMMYFUNCTION("""COMPUTED_VALUE"""),"341641")</f>
        <v>341641</v>
      </c>
      <c r="H732" s="17" t="str">
        <f>IFERROR(__xludf.DUMMYFUNCTION("""COMPUTED_VALUE"""),"диски сошників")</f>
        <v>диски сошників</v>
      </c>
      <c r="I732" s="19">
        <f>IFERROR(__xludf.DUMMYFUNCTION("""COMPUTED_VALUE"""),0.0578)</f>
        <v>0.0578</v>
      </c>
      <c r="J732" s="19">
        <f>IFERROR(__xludf.DUMMYFUNCTION("""COMPUTED_VALUE"""),0.1155)</f>
        <v>0.1155</v>
      </c>
      <c r="K732" s="19">
        <f>IFERROR(__xludf.DUMMYFUNCTION("""COMPUTED_VALUE"""),0.1444)</f>
        <v>0.1444</v>
      </c>
      <c r="L732" s="19">
        <f>IFERROR(__xludf.DUMMYFUNCTION("""COMPUTED_VALUE"""),0.1733)</f>
        <v>0.1733</v>
      </c>
      <c r="M732" s="18">
        <f>IFERROR(__xludf.DUMMYFUNCTION("""COMPUTED_VALUE"""),5.4)</f>
        <v>5.4</v>
      </c>
    </row>
    <row r="733">
      <c r="A733" s="13" t="str">
        <f>IFERROR(__xludf.DUMMYFUNCTION("""COMPUTED_VALUE"""),"товари")</f>
        <v>товари</v>
      </c>
      <c r="B733" s="16" t="str">
        <f>IFERROR(__xludf.DUMMYFUNCTION("""COMPUTED_VALUE"""),"вантажівки, автобуси, спецтехніка")</f>
        <v>вантажівки, автобуси, спецтехніка</v>
      </c>
      <c r="C733" s="16" t="str">
        <f>IFERROR(__xludf.DUMMYFUNCTION("""COMPUTED_VALUE"""),"автозапчастини та комплектуючі")</f>
        <v>автозапчастини та комплектуючі</v>
      </c>
      <c r="D733" s="16" t="str">
        <f>IFERROR(__xludf.DUMMYFUNCTION("""COMPUTED_VALUE"""),"електрообладнання для вантажних автомобілів")</f>
        <v>електрообладнання для вантажних автомобілів</v>
      </c>
      <c r="E733" s="16" t="str">
        <f>IFERROR(__xludf.DUMMYFUNCTION("""COMPUTED_VALUE"""),"електрообладнання для вантажних автомобілів")</f>
        <v>електрообладнання для вантажних автомобілів</v>
      </c>
      <c r="F733" s="17">
        <f>IFERROR(__xludf.DUMMYFUNCTION("""COMPUTED_VALUE"""),3.0)</f>
        <v>3</v>
      </c>
      <c r="G733" s="17" t="str">
        <f>IFERROR(__xludf.DUMMYFUNCTION("""COMPUTED_VALUE"""),"342218")</f>
        <v>342218</v>
      </c>
      <c r="H733" s="17" t="str">
        <f>IFERROR(__xludf.DUMMYFUNCTION("""COMPUTED_VALUE"""),"електрообладнання для вантажних автомобілів")</f>
        <v>електрообладнання для вантажних автомобілів</v>
      </c>
      <c r="I733" s="19">
        <f>IFERROR(__xludf.DUMMYFUNCTION("""COMPUTED_VALUE"""),0.0462)</f>
        <v>0.0462</v>
      </c>
      <c r="J733" s="19">
        <f>IFERROR(__xludf.DUMMYFUNCTION("""COMPUTED_VALUE"""),0.0924)</f>
        <v>0.0924</v>
      </c>
      <c r="K733" s="19">
        <f>IFERROR(__xludf.DUMMYFUNCTION("""COMPUTED_VALUE"""),0.1155)</f>
        <v>0.1155</v>
      </c>
      <c r="L733" s="19">
        <f>IFERROR(__xludf.DUMMYFUNCTION("""COMPUTED_VALUE"""),0.1386)</f>
        <v>0.1386</v>
      </c>
      <c r="M733" s="18">
        <f>IFERROR(__xludf.DUMMYFUNCTION("""COMPUTED_VALUE"""),1.05)</f>
        <v>1.05</v>
      </c>
    </row>
    <row r="734">
      <c r="A734" s="13" t="str">
        <f>IFERROR(__xludf.DUMMYFUNCTION("""COMPUTED_VALUE"""),"товари")</f>
        <v>товари</v>
      </c>
      <c r="B734" s="16" t="str">
        <f>IFERROR(__xludf.DUMMYFUNCTION("""COMPUTED_VALUE"""),"вантажівки, автобуси, спецтехніка")</f>
        <v>вантажівки, автобуси, спецтехніка</v>
      </c>
      <c r="C734" s="16" t="str">
        <f>IFERROR(__xludf.DUMMYFUNCTION("""COMPUTED_VALUE"""),"автозапчастини та комплектуючі")</f>
        <v>автозапчастини та комплектуючі</v>
      </c>
      <c r="D734" s="16" t="str">
        <f>IFERROR(__xludf.DUMMYFUNCTION("""COMPUTED_VALUE"""),"запчастини для землерийної спецтехніки")</f>
        <v>запчастини для землерийної спецтехніки</v>
      </c>
      <c r="E734" s="16" t="str">
        <f>IFERROR(__xludf.DUMMYFUNCTION("""COMPUTED_VALUE"""),"запасні частини до екскаваторів")</f>
        <v>запасні частини до екскаваторів</v>
      </c>
      <c r="F734" s="17">
        <f>IFERROR(__xludf.DUMMYFUNCTION("""COMPUTED_VALUE"""),4.0)</f>
        <v>4</v>
      </c>
      <c r="G734" s="17">
        <f>IFERROR(__xludf.DUMMYFUNCTION("""COMPUTED_VALUE"""),341513.0)</f>
        <v>341513</v>
      </c>
      <c r="H734" s="17" t="str">
        <f>IFERROR(__xludf.DUMMYFUNCTION("""COMPUTED_VALUE"""),"запасні частини до екскаваторів")</f>
        <v>запасні частини до екскаваторів</v>
      </c>
      <c r="I734" s="19">
        <f>IFERROR(__xludf.DUMMYFUNCTION("""COMPUTED_VALUE"""),0.0792)</f>
        <v>0.0792</v>
      </c>
      <c r="J734" s="19">
        <f>IFERROR(__xludf.DUMMYFUNCTION("""COMPUTED_VALUE"""),0.1584)</f>
        <v>0.1584</v>
      </c>
      <c r="K734" s="19">
        <f>IFERROR(__xludf.DUMMYFUNCTION("""COMPUTED_VALUE"""),0.198)</f>
        <v>0.198</v>
      </c>
      <c r="L734" s="19">
        <f>IFERROR(__xludf.DUMMYFUNCTION("""COMPUTED_VALUE"""),0.2376)</f>
        <v>0.2376</v>
      </c>
      <c r="M734" s="18">
        <f>IFERROR(__xludf.DUMMYFUNCTION("""COMPUTED_VALUE"""),1.71)</f>
        <v>1.71</v>
      </c>
    </row>
    <row r="735">
      <c r="A735" s="13" t="str">
        <f>IFERROR(__xludf.DUMMYFUNCTION("""COMPUTED_VALUE"""),"товари")</f>
        <v>товари</v>
      </c>
      <c r="B735" s="16" t="str">
        <f>IFERROR(__xludf.DUMMYFUNCTION("""COMPUTED_VALUE"""),"вантажівки, автобуси, спецтехніка")</f>
        <v>вантажівки, автобуси, спецтехніка</v>
      </c>
      <c r="C735" s="16" t="str">
        <f>IFERROR(__xludf.DUMMYFUNCTION("""COMPUTED_VALUE"""),"автозапчастини та комплектуючі")</f>
        <v>автозапчастини та комплектуючі</v>
      </c>
      <c r="D735" s="16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35" s="16" t="str">
        <f>IFERROR(__xludf.DUMMYFUNCTION("""COMPUTED_VALUE"""),"запасні частини до тракторів")</f>
        <v>запасні частини до тракторів</v>
      </c>
      <c r="F735" s="17">
        <f>IFERROR(__xludf.DUMMYFUNCTION("""COMPUTED_VALUE"""),4.0)</f>
        <v>4</v>
      </c>
      <c r="G735" s="17" t="str">
        <f>IFERROR(__xludf.DUMMYFUNCTION("""COMPUTED_VALUE"""),"341511")</f>
        <v>341511</v>
      </c>
      <c r="H735" s="17" t="str">
        <f>IFERROR(__xludf.DUMMYFUNCTION("""COMPUTED_VALUE"""),"запасні частини до тракторів")</f>
        <v>запасні частини до тракторів</v>
      </c>
      <c r="I735" s="19">
        <f>IFERROR(__xludf.DUMMYFUNCTION("""COMPUTED_VALUE"""),0.0415)</f>
        <v>0.0415</v>
      </c>
      <c r="J735" s="19">
        <f>IFERROR(__xludf.DUMMYFUNCTION("""COMPUTED_VALUE"""),0.083)</f>
        <v>0.083</v>
      </c>
      <c r="K735" s="19">
        <f>IFERROR(__xludf.DUMMYFUNCTION("""COMPUTED_VALUE"""),0.1038)</f>
        <v>0.1038</v>
      </c>
      <c r="L735" s="19">
        <f>IFERROR(__xludf.DUMMYFUNCTION("""COMPUTED_VALUE"""),0.1245)</f>
        <v>0.1245</v>
      </c>
      <c r="M735" s="18">
        <f>IFERROR(__xludf.DUMMYFUNCTION("""COMPUTED_VALUE"""),5.4)</f>
        <v>5.4</v>
      </c>
    </row>
    <row r="736">
      <c r="A736" s="13" t="str">
        <f>IFERROR(__xludf.DUMMYFUNCTION("""COMPUTED_VALUE"""),"товари")</f>
        <v>товари</v>
      </c>
      <c r="B736" s="16" t="str">
        <f>IFERROR(__xludf.DUMMYFUNCTION("""COMPUTED_VALUE"""),"вантажівки, автобуси, спецтехніка")</f>
        <v>вантажівки, автобуси, спецтехніка</v>
      </c>
      <c r="C736" s="16" t="str">
        <f>IFERROR(__xludf.DUMMYFUNCTION("""COMPUTED_VALUE"""),"автозапчастини та комплектуючі")</f>
        <v>автозапчастини та комплектуючі</v>
      </c>
      <c r="D736" s="16" t="str">
        <f>IFERROR(__xludf.DUMMYFUNCTION("""COMPUTED_VALUE"""),"запчастини до дорожньо-будівельної спецтехніки")</f>
        <v>запчастини до дорожньо-будівельної спецтехніки</v>
      </c>
      <c r="E736" s="16" t="str">
        <f>IFERROR(__xludf.DUMMYFUNCTION("""COMPUTED_VALUE"""),"запчастини до дорожньо-будівельної спецтехніки")</f>
        <v>запчастини до дорожньо-будівельної спецтехніки</v>
      </c>
      <c r="F736" s="17">
        <f>IFERROR(__xludf.DUMMYFUNCTION("""COMPUTED_VALUE"""),3.0)</f>
        <v>3</v>
      </c>
      <c r="G736" s="17">
        <f>IFERROR(__xludf.DUMMYFUNCTION("""COMPUTED_VALUE"""),341518.0)</f>
        <v>341518</v>
      </c>
      <c r="H736" s="17" t="str">
        <f>IFERROR(__xludf.DUMMYFUNCTION("""COMPUTED_VALUE"""),"запчастини до дорожньо-будівельної спецтехніки")</f>
        <v>запчастини до дорожньо-будівельної спецтехніки</v>
      </c>
      <c r="I736" s="19">
        <f>IFERROR(__xludf.DUMMYFUNCTION("""COMPUTED_VALUE"""),0.0632)</f>
        <v>0.0632</v>
      </c>
      <c r="J736" s="19">
        <f>IFERROR(__xludf.DUMMYFUNCTION("""COMPUTED_VALUE"""),0.1263)</f>
        <v>0.1263</v>
      </c>
      <c r="K736" s="19">
        <f>IFERROR(__xludf.DUMMYFUNCTION("""COMPUTED_VALUE"""),0.1579)</f>
        <v>0.1579</v>
      </c>
      <c r="L736" s="19">
        <f>IFERROR(__xludf.DUMMYFUNCTION("""COMPUTED_VALUE"""),0.1895)</f>
        <v>0.1895</v>
      </c>
      <c r="M736" s="18">
        <f>IFERROR(__xludf.DUMMYFUNCTION("""COMPUTED_VALUE"""),1.53)</f>
        <v>1.53</v>
      </c>
    </row>
    <row r="737">
      <c r="A737" s="13" t="str">
        <f>IFERROR(__xludf.DUMMYFUNCTION("""COMPUTED_VALUE"""),"товари")</f>
        <v>товари</v>
      </c>
      <c r="B737" s="16" t="str">
        <f>IFERROR(__xludf.DUMMYFUNCTION("""COMPUTED_VALUE"""),"вантажівки, автобуси, спецтехніка")</f>
        <v>вантажівки, автобуси, спецтехніка</v>
      </c>
      <c r="C737" s="16" t="str">
        <f>IFERROR(__xludf.DUMMYFUNCTION("""COMPUTED_VALUE"""),"автозапчастини та комплектуючі")</f>
        <v>автозапчастини та комплектуючі</v>
      </c>
      <c r="D737" s="16" t="str">
        <f>IFERROR(__xludf.DUMMYFUNCTION("""COMPUTED_VALUE"""),"кузова, кабіни, рами")</f>
        <v>кузова, кабіни, рами</v>
      </c>
      <c r="E737" s="16" t="str">
        <f>IFERROR(__xludf.DUMMYFUNCTION("""COMPUTED_VALUE"""),"кабіни та рами для вантажних автомобілів")</f>
        <v>кабіни та рами для вантажних автомобілів</v>
      </c>
      <c r="F737" s="17">
        <f>IFERROR(__xludf.DUMMYFUNCTION("""COMPUTED_VALUE"""),4.0)</f>
        <v>4</v>
      </c>
      <c r="G737" s="17" t="str">
        <f>IFERROR(__xludf.DUMMYFUNCTION("""COMPUTED_VALUE"""),"342201")</f>
        <v>342201</v>
      </c>
      <c r="H737" s="17" t="str">
        <f>IFERROR(__xludf.DUMMYFUNCTION("""COMPUTED_VALUE"""),"кабіни та рами для вантажних автомобілів")</f>
        <v>кабіни та рами для вантажних автомобілів</v>
      </c>
      <c r="I737" s="19">
        <f>IFERROR(__xludf.DUMMYFUNCTION("""COMPUTED_VALUE"""),0.0403)</f>
        <v>0.0403</v>
      </c>
      <c r="J737" s="19">
        <f>IFERROR(__xludf.DUMMYFUNCTION("""COMPUTED_VALUE"""),0.0805)</f>
        <v>0.0805</v>
      </c>
      <c r="K737" s="19">
        <f>IFERROR(__xludf.DUMMYFUNCTION("""COMPUTED_VALUE"""),0.1006)</f>
        <v>0.1006</v>
      </c>
      <c r="L737" s="19">
        <f>IFERROR(__xludf.DUMMYFUNCTION("""COMPUTED_VALUE"""),0.1208)</f>
        <v>0.1208</v>
      </c>
      <c r="M737" s="18">
        <f>IFERROR(__xludf.DUMMYFUNCTION("""COMPUTED_VALUE"""),1.71)</f>
        <v>1.71</v>
      </c>
    </row>
    <row r="738">
      <c r="A738" s="13" t="str">
        <f>IFERROR(__xludf.DUMMYFUNCTION("""COMPUTED_VALUE"""),"товари")</f>
        <v>товари</v>
      </c>
      <c r="B738" s="16" t="str">
        <f>IFERROR(__xludf.DUMMYFUNCTION("""COMPUTED_VALUE"""),"вантажівки, автобуси, спецтехніка")</f>
        <v>вантажівки, автобуси, спецтехніка</v>
      </c>
      <c r="C738" s="16" t="str">
        <f>IFERROR(__xludf.DUMMYFUNCTION("""COMPUTED_VALUE"""),"автобуси, мікроавтобуси")</f>
        <v>автобуси, мікроавтобуси</v>
      </c>
      <c r="D738" s="16" t="str">
        <f>IFERROR(__xludf.DUMMYFUNCTION("""COMPUTED_VALUE"""),"комерційні автомобілі і мікроавтобуси, загальне")</f>
        <v>комерційні автомобілі і мікроавтобуси, загальне</v>
      </c>
      <c r="E738" s="16" t="str">
        <f>IFERROR(__xludf.DUMMYFUNCTION("""COMPUTED_VALUE"""),"комерційні автомобілі і мікроавтобуси, загальне")</f>
        <v>комерційні автомобілі і мікроавтобуси, загальне</v>
      </c>
      <c r="F738" s="17">
        <f>IFERROR(__xludf.DUMMYFUNCTION("""COMPUTED_VALUE"""),3.0)</f>
        <v>3</v>
      </c>
      <c r="G738" s="17" t="str">
        <f>IFERROR(__xludf.DUMMYFUNCTION("""COMPUTED_VALUE"""),"340104")</f>
        <v>340104</v>
      </c>
      <c r="H738" s="17" t="str">
        <f>IFERROR(__xludf.DUMMYFUNCTION("""COMPUTED_VALUE"""),"комерційні автомобілі і мікроавтобуси, загальне")</f>
        <v>комерційні автомобілі і мікроавтобуси, загальне</v>
      </c>
      <c r="I738" s="19">
        <f>IFERROR(__xludf.DUMMYFUNCTION("""COMPUTED_VALUE"""),0.125)</f>
        <v>0.125</v>
      </c>
      <c r="J738" s="19">
        <f>IFERROR(__xludf.DUMMYFUNCTION("""COMPUTED_VALUE"""),0.25)</f>
        <v>0.25</v>
      </c>
      <c r="K738" s="19">
        <f>IFERROR(__xludf.DUMMYFUNCTION("""COMPUTED_VALUE"""),0.3125)</f>
        <v>0.3125</v>
      </c>
      <c r="L738" s="19">
        <f>IFERROR(__xludf.DUMMYFUNCTION("""COMPUTED_VALUE"""),0.375)</f>
        <v>0.375</v>
      </c>
      <c r="M738" s="18">
        <f>IFERROR(__xludf.DUMMYFUNCTION("""COMPUTED_VALUE"""),4.33)</f>
        <v>4.33</v>
      </c>
    </row>
    <row r="739">
      <c r="A739" s="13" t="str">
        <f>IFERROR(__xludf.DUMMYFUNCTION("""COMPUTED_VALUE"""),"товари")</f>
        <v>товари</v>
      </c>
      <c r="B739" s="16" t="str">
        <f>IFERROR(__xludf.DUMMYFUNCTION("""COMPUTED_VALUE"""),"вантажівки, автобуси, спецтехніка")</f>
        <v>вантажівки, автобуси, спецтехніка</v>
      </c>
      <c r="C739" s="16" t="str">
        <f>IFERROR(__xludf.DUMMYFUNCTION("""COMPUTED_VALUE"""),"причепи та напівпричепи")</f>
        <v>причепи та напівпричепи</v>
      </c>
      <c r="D739" s="16" t="str">
        <f>IFERROR(__xludf.DUMMYFUNCTION("""COMPUTED_VALUE"""),"комплектуючі та аксесуари для причепів")</f>
        <v>комплектуючі та аксесуари для причепів</v>
      </c>
      <c r="E739" s="16" t="str">
        <f>IFERROR(__xludf.DUMMYFUNCTION("""COMPUTED_VALUE"""),"комплектуючі та аксесуари для причепів")</f>
        <v>комплектуючі та аксесуари для причепів</v>
      </c>
      <c r="F739" s="17">
        <f>IFERROR(__xludf.DUMMYFUNCTION("""COMPUTED_VALUE"""),3.0)</f>
        <v>3</v>
      </c>
      <c r="G739" s="17" t="str">
        <f>IFERROR(__xludf.DUMMYFUNCTION("""COMPUTED_VALUE"""),"3425")</f>
        <v>3425</v>
      </c>
      <c r="H739" s="17" t="str">
        <f>IFERROR(__xludf.DUMMYFUNCTION("""COMPUTED_VALUE"""),"комплектуючі та аксесуари для причепів")</f>
        <v>комплектуючі та аксесуари для причепів</v>
      </c>
      <c r="I739" s="19">
        <f>IFERROR(__xludf.DUMMYFUNCTION("""COMPUTED_VALUE"""),0.0532)</f>
        <v>0.0532</v>
      </c>
      <c r="J739" s="19">
        <f>IFERROR(__xludf.DUMMYFUNCTION("""COMPUTED_VALUE"""),0.1063)</f>
        <v>0.1063</v>
      </c>
      <c r="K739" s="19">
        <f>IFERROR(__xludf.DUMMYFUNCTION("""COMPUTED_VALUE"""),0.1329)</f>
        <v>0.1329</v>
      </c>
      <c r="L739" s="19">
        <f>IFERROR(__xludf.DUMMYFUNCTION("""COMPUTED_VALUE"""),0.1595)</f>
        <v>0.1595</v>
      </c>
      <c r="M739" s="18">
        <f>IFERROR(__xludf.DUMMYFUNCTION("""COMPUTED_VALUE"""),4.33)</f>
        <v>4.33</v>
      </c>
    </row>
    <row r="740">
      <c r="A740" s="13" t="str">
        <f>IFERROR(__xludf.DUMMYFUNCTION("""COMPUTED_VALUE"""),"товари")</f>
        <v>товари</v>
      </c>
      <c r="B740" s="16" t="str">
        <f>IFERROR(__xludf.DUMMYFUNCTION("""COMPUTED_VALUE"""),"вантажівки, автобуси, спецтехніка")</f>
        <v>вантажівки, автобуси, спецтехніка</v>
      </c>
      <c r="C740" s="16" t="str">
        <f>IFERROR(__xludf.DUMMYFUNCTION("""COMPUTED_VALUE"""),"автозапчастини та комплектуючі")</f>
        <v>автозапчастини та комплектуючі</v>
      </c>
      <c r="D740" s="16" t="str">
        <f>IFERROR(__xludf.DUMMYFUNCTION("""COMPUTED_VALUE"""),"кузова, кабіни, рами")</f>
        <v>кузова, кабіни, рами</v>
      </c>
      <c r="E740" s="16" t="str">
        <f>IFERROR(__xludf.DUMMYFUNCTION("""COMPUTED_VALUE"""),"крила, підкрилки, накладки крил для вантажних автомобілів")</f>
        <v>крила, підкрилки, накладки крил для вантажних автомобілів</v>
      </c>
      <c r="F740" s="17">
        <f>IFERROR(__xludf.DUMMYFUNCTION("""COMPUTED_VALUE"""),4.0)</f>
        <v>4</v>
      </c>
      <c r="G740" s="17" t="str">
        <f>IFERROR(__xludf.DUMMYFUNCTION("""COMPUTED_VALUE"""),"342211")</f>
        <v>342211</v>
      </c>
      <c r="H740" s="17" t="str">
        <f>IFERROR(__xludf.DUMMYFUNCTION("""COMPUTED_VALUE"""),"крила, підкрилки, накладки крил для вантажних автомобілів")</f>
        <v>крила, підкрилки, накладки крил для вантажних автомобілів</v>
      </c>
      <c r="I740" s="19">
        <f>IFERROR(__xludf.DUMMYFUNCTION("""COMPUTED_VALUE"""),0.047)</f>
        <v>0.047</v>
      </c>
      <c r="J740" s="19">
        <f>IFERROR(__xludf.DUMMYFUNCTION("""COMPUTED_VALUE"""),0.0939)</f>
        <v>0.0939</v>
      </c>
      <c r="K740" s="19">
        <f>IFERROR(__xludf.DUMMYFUNCTION("""COMPUTED_VALUE"""),0.1174)</f>
        <v>0.1174</v>
      </c>
      <c r="L740" s="19">
        <f>IFERROR(__xludf.DUMMYFUNCTION("""COMPUTED_VALUE"""),0.1409)</f>
        <v>0.1409</v>
      </c>
      <c r="M740" s="18">
        <f>IFERROR(__xludf.DUMMYFUNCTION("""COMPUTED_VALUE"""),1.71)</f>
        <v>1.71</v>
      </c>
    </row>
    <row r="741">
      <c r="A741" s="13" t="str">
        <f>IFERROR(__xludf.DUMMYFUNCTION("""COMPUTED_VALUE"""),"товари")</f>
        <v>товари</v>
      </c>
      <c r="B741" s="16" t="str">
        <f>IFERROR(__xludf.DUMMYFUNCTION("""COMPUTED_VALUE"""),"вантажівки, автобуси, спецтехніка")</f>
        <v>вантажівки, автобуси, спецтехніка</v>
      </c>
      <c r="C741" s="16" t="str">
        <f>IFERROR(__xludf.DUMMYFUNCTION("""COMPUTED_VALUE"""),"автозапчастини та комплектуючі")</f>
        <v>автозапчастини та комплектуючі</v>
      </c>
      <c r="D741" s="16" t="str">
        <f>IFERROR(__xludf.DUMMYFUNCTION("""COMPUTED_VALUE"""),"кузова, кабіни, рами")</f>
        <v>кузова, кабіни, рами</v>
      </c>
      <c r="E741" s="16" t="str">
        <f>IFERROR(__xludf.DUMMYFUNCTION("""COMPUTED_VALUE"""),"кронштейни вантажних автомобілів")</f>
        <v>кронштейни вантажних автомобілів</v>
      </c>
      <c r="F741" s="17">
        <f>IFERROR(__xludf.DUMMYFUNCTION("""COMPUTED_VALUE"""),4.0)</f>
        <v>4</v>
      </c>
      <c r="G741" s="17" t="str">
        <f>IFERROR(__xludf.DUMMYFUNCTION("""COMPUTED_VALUE"""),"342214")</f>
        <v>342214</v>
      </c>
      <c r="H741" s="17" t="str">
        <f>IFERROR(__xludf.DUMMYFUNCTION("""COMPUTED_VALUE"""),"кронштейни вантажних автомобілів")</f>
        <v>кронштейни вантажних автомобілів</v>
      </c>
      <c r="I741" s="19">
        <f>IFERROR(__xludf.DUMMYFUNCTION("""COMPUTED_VALUE"""),0.047)</f>
        <v>0.047</v>
      </c>
      <c r="J741" s="19">
        <f>IFERROR(__xludf.DUMMYFUNCTION("""COMPUTED_VALUE"""),0.0939)</f>
        <v>0.0939</v>
      </c>
      <c r="K741" s="19">
        <f>IFERROR(__xludf.DUMMYFUNCTION("""COMPUTED_VALUE"""),0.1174)</f>
        <v>0.1174</v>
      </c>
      <c r="L741" s="19">
        <f>IFERROR(__xludf.DUMMYFUNCTION("""COMPUTED_VALUE"""),0.1409)</f>
        <v>0.1409</v>
      </c>
      <c r="M741" s="18">
        <f>IFERROR(__xludf.DUMMYFUNCTION("""COMPUTED_VALUE"""),1.71)</f>
        <v>1.71</v>
      </c>
    </row>
    <row r="742">
      <c r="A742" s="13" t="str">
        <f>IFERROR(__xludf.DUMMYFUNCTION("""COMPUTED_VALUE"""),"товари")</f>
        <v>товари</v>
      </c>
      <c r="B742" s="16" t="str">
        <f>IFERROR(__xludf.DUMMYFUNCTION("""COMPUTED_VALUE"""),"вантажівки, автобуси, спецтехніка")</f>
        <v>вантажівки, автобуси, спецтехніка</v>
      </c>
      <c r="C742" s="16" t="str">
        <f>IFERROR(__xludf.DUMMYFUNCTION("""COMPUTED_VALUE"""),"автозапчастини та комплектуючі")</f>
        <v>автозапчастини та комплектуючі</v>
      </c>
      <c r="D742" s="16" t="str">
        <f>IFERROR(__xludf.DUMMYFUNCTION("""COMPUTED_VALUE"""),"кузова, кабіни, рами")</f>
        <v>кузова, кабіни, рами</v>
      </c>
      <c r="E742" s="16" t="str">
        <f>IFERROR(__xludf.DUMMYFUNCTION("""COMPUTED_VALUE"""),"кутові панелі кабін")</f>
        <v>кутові панелі кабін</v>
      </c>
      <c r="F742" s="17">
        <f>IFERROR(__xludf.DUMMYFUNCTION("""COMPUTED_VALUE"""),4.0)</f>
        <v>4</v>
      </c>
      <c r="G742" s="17" t="str">
        <f>IFERROR(__xludf.DUMMYFUNCTION("""COMPUTED_VALUE"""),"342208")</f>
        <v>342208</v>
      </c>
      <c r="H742" s="17" t="str">
        <f>IFERROR(__xludf.DUMMYFUNCTION("""COMPUTED_VALUE"""),"кутові панелі кабін")</f>
        <v>кутові панелі кабін</v>
      </c>
      <c r="I742" s="19">
        <f>IFERROR(__xludf.DUMMYFUNCTION("""COMPUTED_VALUE"""),0.0403)</f>
        <v>0.0403</v>
      </c>
      <c r="J742" s="19">
        <f>IFERROR(__xludf.DUMMYFUNCTION("""COMPUTED_VALUE"""),0.0805)</f>
        <v>0.0805</v>
      </c>
      <c r="K742" s="19">
        <f>IFERROR(__xludf.DUMMYFUNCTION("""COMPUTED_VALUE"""),0.1006)</f>
        <v>0.1006</v>
      </c>
      <c r="L742" s="19">
        <f>IFERROR(__xludf.DUMMYFUNCTION("""COMPUTED_VALUE"""),0.1208)</f>
        <v>0.1208</v>
      </c>
      <c r="M742" s="18">
        <f>IFERROR(__xludf.DUMMYFUNCTION("""COMPUTED_VALUE"""),1.71)</f>
        <v>1.71</v>
      </c>
    </row>
    <row r="743">
      <c r="A743" s="13" t="str">
        <f>IFERROR(__xludf.DUMMYFUNCTION("""COMPUTED_VALUE"""),"товари")</f>
        <v>товари</v>
      </c>
      <c r="B743" s="16" t="str">
        <f>IFERROR(__xludf.DUMMYFUNCTION("""COMPUTED_VALUE"""),"вантажівки, автобуси, спецтехніка")</f>
        <v>вантажівки, автобуси, спецтехніка</v>
      </c>
      <c r="C743" s="16" t="str">
        <f>IFERROR(__xludf.DUMMYFUNCTION("""COMPUTED_VALUE"""),"автозапчастини та комплектуючі")</f>
        <v>автозапчастини та комплектуючі</v>
      </c>
      <c r="D743" s="16" t="str">
        <f>IFERROR(__xludf.DUMMYFUNCTION("""COMPUTED_VALUE"""),"кузова, кабіни, рами")</f>
        <v>кузова, кабіни, рами</v>
      </c>
      <c r="E743" s="16" t="str">
        <f>IFERROR(__xludf.DUMMYFUNCTION("""COMPUTED_VALUE"""),"механізми підйому кабіни")</f>
        <v>механізми підйому кабіни</v>
      </c>
      <c r="F743" s="17">
        <f>IFERROR(__xludf.DUMMYFUNCTION("""COMPUTED_VALUE"""),4.0)</f>
        <v>4</v>
      </c>
      <c r="G743" s="17" t="str">
        <f>IFERROR(__xludf.DUMMYFUNCTION("""COMPUTED_VALUE"""),"342202")</f>
        <v>342202</v>
      </c>
      <c r="H743" s="17" t="str">
        <f>IFERROR(__xludf.DUMMYFUNCTION("""COMPUTED_VALUE"""),"механізми підйому кабіни")</f>
        <v>механізми підйому кабіни</v>
      </c>
      <c r="I743" s="19">
        <f>IFERROR(__xludf.DUMMYFUNCTION("""COMPUTED_VALUE"""),0.0452)</f>
        <v>0.0452</v>
      </c>
      <c r="J743" s="19">
        <f>IFERROR(__xludf.DUMMYFUNCTION("""COMPUTED_VALUE"""),0.0904)</f>
        <v>0.0904</v>
      </c>
      <c r="K743" s="19">
        <f>IFERROR(__xludf.DUMMYFUNCTION("""COMPUTED_VALUE"""),0.113)</f>
        <v>0.113</v>
      </c>
      <c r="L743" s="19">
        <f>IFERROR(__xludf.DUMMYFUNCTION("""COMPUTED_VALUE"""),0.1356)</f>
        <v>0.1356</v>
      </c>
      <c r="M743" s="18">
        <f>IFERROR(__xludf.DUMMYFUNCTION("""COMPUTED_VALUE"""),1.71)</f>
        <v>1.71</v>
      </c>
    </row>
    <row r="744">
      <c r="A744" s="13" t="str">
        <f>IFERROR(__xludf.DUMMYFUNCTION("""COMPUTED_VALUE"""),"товари")</f>
        <v>товари</v>
      </c>
      <c r="B744" s="16" t="str">
        <f>IFERROR(__xludf.DUMMYFUNCTION("""COMPUTED_VALUE"""),"вантажівки, автобуси, спецтехніка")</f>
        <v>вантажівки, автобуси, спецтехніка</v>
      </c>
      <c r="C744" s="16" t="str">
        <f>IFERROR(__xludf.DUMMYFUNCTION("""COMPUTED_VALUE"""),"автозапчастини та комплектуючі")</f>
        <v>автозапчастини та комплектуючі</v>
      </c>
      <c r="D744" s="16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44" s="16" t="str">
        <f>IFERROR(__xludf.DUMMYFUNCTION("""COMPUTED_VALUE"""),"ножі до сільгосптехніки")</f>
        <v>ножі до сільгосптехніки</v>
      </c>
      <c r="F744" s="17">
        <f>IFERROR(__xludf.DUMMYFUNCTION("""COMPUTED_VALUE"""),4.0)</f>
        <v>4</v>
      </c>
      <c r="G744" s="17" t="str">
        <f>IFERROR(__xludf.DUMMYFUNCTION("""COMPUTED_VALUE"""),"341563")</f>
        <v>341563</v>
      </c>
      <c r="H744" s="17" t="str">
        <f>IFERROR(__xludf.DUMMYFUNCTION("""COMPUTED_VALUE"""),"ножі до сільгосптехніки")</f>
        <v>ножі до сільгосптехніки</v>
      </c>
      <c r="I744" s="19">
        <f>IFERROR(__xludf.DUMMYFUNCTION("""COMPUTED_VALUE"""),0.0578)</f>
        <v>0.0578</v>
      </c>
      <c r="J744" s="19">
        <f>IFERROR(__xludf.DUMMYFUNCTION("""COMPUTED_VALUE"""),0.1155)</f>
        <v>0.1155</v>
      </c>
      <c r="K744" s="19">
        <f>IFERROR(__xludf.DUMMYFUNCTION("""COMPUTED_VALUE"""),0.1444)</f>
        <v>0.1444</v>
      </c>
      <c r="L744" s="19">
        <f>IFERROR(__xludf.DUMMYFUNCTION("""COMPUTED_VALUE"""),0.1733)</f>
        <v>0.1733</v>
      </c>
      <c r="M744" s="18">
        <f>IFERROR(__xludf.DUMMYFUNCTION("""COMPUTED_VALUE"""),5.4)</f>
        <v>5.4</v>
      </c>
    </row>
    <row r="745">
      <c r="A745" s="13" t="str">
        <f>IFERROR(__xludf.DUMMYFUNCTION("""COMPUTED_VALUE"""),"товари")</f>
        <v>товари</v>
      </c>
      <c r="B745" s="16" t="str">
        <f>IFERROR(__xludf.DUMMYFUNCTION("""COMPUTED_VALUE"""),"вантажівки, автобуси, спецтехніка")</f>
        <v>вантажівки, автобуси, спецтехніка</v>
      </c>
      <c r="C745" s="16" t="str">
        <f>IFERROR(__xludf.DUMMYFUNCTION("""COMPUTED_VALUE"""),"автозапчастини та комплектуючі")</f>
        <v>автозапчастини та комплектуючі</v>
      </c>
      <c r="D745" s="16" t="str">
        <f>IFERROR(__xludf.DUMMYFUNCTION("""COMPUTED_VALUE"""),"кузова, кабіни, рами")</f>
        <v>кузова, кабіни, рами</v>
      </c>
      <c r="E745" s="16" t="str">
        <f>IFERROR(__xludf.DUMMYFUNCTION("""COMPUTED_VALUE"""),"підніжки, накладки на підніжки до вантажних автомобілів")</f>
        <v>підніжки, накладки на підніжки до вантажних автомобілів</v>
      </c>
      <c r="F745" s="17">
        <f>IFERROR(__xludf.DUMMYFUNCTION("""COMPUTED_VALUE"""),4.0)</f>
        <v>4</v>
      </c>
      <c r="G745" s="17" t="str">
        <f>IFERROR(__xludf.DUMMYFUNCTION("""COMPUTED_VALUE"""),"342210")</f>
        <v>342210</v>
      </c>
      <c r="H745" s="17" t="str">
        <f>IFERROR(__xludf.DUMMYFUNCTION("""COMPUTED_VALUE"""),"підніжки, накладки на підніжки до вантажних автомобілів")</f>
        <v>підніжки, накладки на підніжки до вантажних автомобілів</v>
      </c>
      <c r="I745" s="19">
        <f>IFERROR(__xludf.DUMMYFUNCTION("""COMPUTED_VALUE"""),0.0403)</f>
        <v>0.0403</v>
      </c>
      <c r="J745" s="19">
        <f>IFERROR(__xludf.DUMMYFUNCTION("""COMPUTED_VALUE"""),0.0805)</f>
        <v>0.0805</v>
      </c>
      <c r="K745" s="19">
        <f>IFERROR(__xludf.DUMMYFUNCTION("""COMPUTED_VALUE"""),0.1006)</f>
        <v>0.1006</v>
      </c>
      <c r="L745" s="19">
        <f>IFERROR(__xludf.DUMMYFUNCTION("""COMPUTED_VALUE"""),0.1208)</f>
        <v>0.1208</v>
      </c>
      <c r="M745" s="18">
        <f>IFERROR(__xludf.DUMMYFUNCTION("""COMPUTED_VALUE"""),1.71)</f>
        <v>1.71</v>
      </c>
    </row>
    <row r="746">
      <c r="A746" s="13" t="str">
        <f>IFERROR(__xludf.DUMMYFUNCTION("""COMPUTED_VALUE"""),"товари")</f>
        <v>товари</v>
      </c>
      <c r="B746" s="16" t="str">
        <f>IFERROR(__xludf.DUMMYFUNCTION("""COMPUTED_VALUE"""),"вантажівки, автобуси, спецтехніка")</f>
        <v>вантажівки, автобуси, спецтехніка</v>
      </c>
      <c r="C746" s="16" t="str">
        <f>IFERROR(__xludf.DUMMYFUNCTION("""COMPUTED_VALUE"""),"автозапчастини та комплектуючі")</f>
        <v>автозапчастини та комплектуючі</v>
      </c>
      <c r="D746" s="16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46" s="16" t="str">
        <f>IFERROR(__xludf.DUMMYFUNCTION("""COMPUTED_VALUE"""),"пружини для сільгосптехніки")</f>
        <v>пружини для сільгосптехніки</v>
      </c>
      <c r="F746" s="17">
        <f>IFERROR(__xludf.DUMMYFUNCTION("""COMPUTED_VALUE"""),4.0)</f>
        <v>4</v>
      </c>
      <c r="G746" s="17" t="str">
        <f>IFERROR(__xludf.DUMMYFUNCTION("""COMPUTED_VALUE"""),"341546")</f>
        <v>341546</v>
      </c>
      <c r="H746" s="17" t="str">
        <f>IFERROR(__xludf.DUMMYFUNCTION("""COMPUTED_VALUE"""),"пружини для сільгосптехніки")</f>
        <v>пружини для сільгосптехніки</v>
      </c>
      <c r="I746" s="19">
        <f>IFERROR(__xludf.DUMMYFUNCTION("""COMPUTED_VALUE"""),0.0578)</f>
        <v>0.0578</v>
      </c>
      <c r="J746" s="19">
        <f>IFERROR(__xludf.DUMMYFUNCTION("""COMPUTED_VALUE"""),0.1155)</f>
        <v>0.1155</v>
      </c>
      <c r="K746" s="19">
        <f>IFERROR(__xludf.DUMMYFUNCTION("""COMPUTED_VALUE"""),0.1444)</f>
        <v>0.1444</v>
      </c>
      <c r="L746" s="19">
        <f>IFERROR(__xludf.DUMMYFUNCTION("""COMPUTED_VALUE"""),0.1733)</f>
        <v>0.1733</v>
      </c>
      <c r="M746" s="18">
        <f>IFERROR(__xludf.DUMMYFUNCTION("""COMPUTED_VALUE"""),5.4)</f>
        <v>5.4</v>
      </c>
    </row>
    <row r="747">
      <c r="A747" s="13" t="str">
        <f>IFERROR(__xludf.DUMMYFUNCTION("""COMPUTED_VALUE"""),"товари")</f>
        <v>товари</v>
      </c>
      <c r="B747" s="16" t="str">
        <f>IFERROR(__xludf.DUMMYFUNCTION("""COMPUTED_VALUE"""),"вантажівки, автобуси, спецтехніка")</f>
        <v>вантажівки, автобуси, спецтехніка</v>
      </c>
      <c r="C747" s="16" t="str">
        <f>IFERROR(__xludf.DUMMYFUNCTION("""COMPUTED_VALUE"""),"автозапчастини та комплектуючі")</f>
        <v>автозапчастини та комплектуючі</v>
      </c>
      <c r="D747" s="16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47" s="16" t="str">
        <f>IFERROR(__xludf.DUMMYFUNCTION("""COMPUTED_VALUE"""),"розпилювачі")</f>
        <v>розпилювачі</v>
      </c>
      <c r="F747" s="17">
        <f>IFERROR(__xludf.DUMMYFUNCTION("""COMPUTED_VALUE"""),4.0)</f>
        <v>4</v>
      </c>
      <c r="G747" s="17" t="str">
        <f>IFERROR(__xludf.DUMMYFUNCTION("""COMPUTED_VALUE"""),"341504")</f>
        <v>341504</v>
      </c>
      <c r="H747" s="17" t="str">
        <f>IFERROR(__xludf.DUMMYFUNCTION("""COMPUTED_VALUE"""),"розпилювачі")</f>
        <v>розпилювачі</v>
      </c>
      <c r="I747" s="19">
        <f>IFERROR(__xludf.DUMMYFUNCTION("""COMPUTED_VALUE"""),0.0495)</f>
        <v>0.0495</v>
      </c>
      <c r="J747" s="19">
        <f>IFERROR(__xludf.DUMMYFUNCTION("""COMPUTED_VALUE"""),0.099)</f>
        <v>0.099</v>
      </c>
      <c r="K747" s="19">
        <f>IFERROR(__xludf.DUMMYFUNCTION("""COMPUTED_VALUE"""),0.1238)</f>
        <v>0.1238</v>
      </c>
      <c r="L747" s="19">
        <f>IFERROR(__xludf.DUMMYFUNCTION("""COMPUTED_VALUE"""),0.1485)</f>
        <v>0.1485</v>
      </c>
      <c r="M747" s="18">
        <f>IFERROR(__xludf.DUMMYFUNCTION("""COMPUTED_VALUE"""),5.4)</f>
        <v>5.4</v>
      </c>
    </row>
    <row r="748">
      <c r="A748" s="13" t="str">
        <f>IFERROR(__xludf.DUMMYFUNCTION("""COMPUTED_VALUE"""),"товари")</f>
        <v>товари</v>
      </c>
      <c r="B748" s="16" t="str">
        <f>IFERROR(__xludf.DUMMYFUNCTION("""COMPUTED_VALUE"""),"весільні товари")</f>
        <v>весільні товари</v>
      </c>
      <c r="C748" s="16" t="str">
        <f>IFERROR(__xludf.DUMMYFUNCTION("""COMPUTED_VALUE"""),"весільні аксесуари")</f>
        <v>весільні аксесуари</v>
      </c>
      <c r="D748" s="16" t="str">
        <f>IFERROR(__xludf.DUMMYFUNCTION("""COMPUTED_VALUE"""),"аксесуари для весільних конкурсів")</f>
        <v>аксесуари для весільних конкурсів</v>
      </c>
      <c r="E748" s="16" t="str">
        <f>IFERROR(__xludf.DUMMYFUNCTION("""COMPUTED_VALUE"""),"аксесуари для весільних конкурсів")</f>
        <v>аксесуари для весільних конкурсів</v>
      </c>
      <c r="F748" s="17">
        <f>IFERROR(__xludf.DUMMYFUNCTION("""COMPUTED_VALUE"""),3.0)</f>
        <v>3</v>
      </c>
      <c r="G748" s="17" t="str">
        <f>IFERROR(__xludf.DUMMYFUNCTION("""COMPUTED_VALUE"""),"3200609")</f>
        <v>3200609</v>
      </c>
      <c r="H748" s="17" t="str">
        <f>IFERROR(__xludf.DUMMYFUNCTION("""COMPUTED_VALUE"""),"аксесуари для весільних конкурсів")</f>
        <v>аксесуари для весільних конкурсів</v>
      </c>
      <c r="I748" s="19">
        <f>IFERROR(__xludf.DUMMYFUNCTION("""COMPUTED_VALUE"""),0.094)</f>
        <v>0.094</v>
      </c>
      <c r="J748" s="19">
        <f>IFERROR(__xludf.DUMMYFUNCTION("""COMPUTED_VALUE"""),0.1879)</f>
        <v>0.1879</v>
      </c>
      <c r="K748" s="19">
        <f>IFERROR(__xludf.DUMMYFUNCTION("""COMPUTED_VALUE"""),0.2349)</f>
        <v>0.2349</v>
      </c>
      <c r="L748" s="19">
        <f>IFERROR(__xludf.DUMMYFUNCTION("""COMPUTED_VALUE"""),0.2819)</f>
        <v>0.2819</v>
      </c>
      <c r="M748" s="18">
        <f>IFERROR(__xludf.DUMMYFUNCTION("""COMPUTED_VALUE"""),1.44)</f>
        <v>1.44</v>
      </c>
    </row>
    <row r="749">
      <c r="A749" s="13" t="str">
        <f>IFERROR(__xludf.DUMMYFUNCTION("""COMPUTED_VALUE"""),"товари")</f>
        <v>товари</v>
      </c>
      <c r="B749" s="16" t="str">
        <f>IFERROR(__xludf.DUMMYFUNCTION("""COMPUTED_VALUE"""),"весільні товари")</f>
        <v>весільні товари</v>
      </c>
      <c r="C749" s="16" t="str">
        <f>IFERROR(__xludf.DUMMYFUNCTION("""COMPUTED_VALUE"""),"вбрання та аксесуари для нареченої")</f>
        <v>вбрання та аксесуари для нареченої</v>
      </c>
      <c r="D749" s="16" t="str">
        <f>IFERROR(__xludf.DUMMYFUNCTION("""COMPUTED_VALUE"""),"аксесуари для нареченої")</f>
        <v>аксесуари для нареченої</v>
      </c>
      <c r="E749" s="16" t="str">
        <f>IFERROR(__xludf.DUMMYFUNCTION("""COMPUTED_VALUE"""),"аксесуари для нареченої")</f>
        <v>аксесуари для нареченої</v>
      </c>
      <c r="F749" s="17">
        <f>IFERROR(__xludf.DUMMYFUNCTION("""COMPUTED_VALUE"""),3.0)</f>
        <v>3</v>
      </c>
      <c r="G749" s="17" t="str">
        <f>IFERROR(__xludf.DUMMYFUNCTION("""COMPUTED_VALUE"""),"32001")</f>
        <v>32001</v>
      </c>
      <c r="H749" s="17" t="str">
        <f>IFERROR(__xludf.DUMMYFUNCTION("""COMPUTED_VALUE"""),"аксесуари для нареченої")</f>
        <v>аксесуари для нареченої</v>
      </c>
      <c r="I749" s="19">
        <f>IFERROR(__xludf.DUMMYFUNCTION("""COMPUTED_VALUE"""),0.0647)</f>
        <v>0.0647</v>
      </c>
      <c r="J749" s="19">
        <f>IFERROR(__xludf.DUMMYFUNCTION("""COMPUTED_VALUE"""),0.1294)</f>
        <v>0.1294</v>
      </c>
      <c r="K749" s="19">
        <f>IFERROR(__xludf.DUMMYFUNCTION("""COMPUTED_VALUE"""),0.1618)</f>
        <v>0.1618</v>
      </c>
      <c r="L749" s="19">
        <f>IFERROR(__xludf.DUMMYFUNCTION("""COMPUTED_VALUE"""),0.1941)</f>
        <v>0.1941</v>
      </c>
      <c r="M749" s="18">
        <f>IFERROR(__xludf.DUMMYFUNCTION("""COMPUTED_VALUE"""),1.05)</f>
        <v>1.05</v>
      </c>
    </row>
    <row r="750">
      <c r="A750" s="13" t="str">
        <f>IFERROR(__xludf.DUMMYFUNCTION("""COMPUTED_VALUE"""),"товари")</f>
        <v>товари</v>
      </c>
      <c r="B750" s="16" t="str">
        <f>IFERROR(__xludf.DUMMYFUNCTION("""COMPUTED_VALUE"""),"весільні товари")</f>
        <v>весільні товари</v>
      </c>
      <c r="C750" s="16" t="str">
        <f>IFERROR(__xludf.DUMMYFUNCTION("""COMPUTED_VALUE"""),"весільні аксесуари")</f>
        <v>весільні аксесуари</v>
      </c>
      <c r="D750" s="16" t="str">
        <f>IFERROR(__xludf.DUMMYFUNCTION("""COMPUTED_VALUE"""),"бонбоньєрки")</f>
        <v>бонбоньєрки</v>
      </c>
      <c r="E750" s="16" t="str">
        <f>IFERROR(__xludf.DUMMYFUNCTION("""COMPUTED_VALUE"""),"бонбоньєрки")</f>
        <v>бонбоньєрки</v>
      </c>
      <c r="F750" s="17">
        <f>IFERROR(__xludf.DUMMYFUNCTION("""COMPUTED_VALUE"""),3.0)</f>
        <v>3</v>
      </c>
      <c r="G750" s="17" t="str">
        <f>IFERROR(__xludf.DUMMYFUNCTION("""COMPUTED_VALUE"""),"1754")</f>
        <v>1754</v>
      </c>
      <c r="H750" s="17" t="str">
        <f>IFERROR(__xludf.DUMMYFUNCTION("""COMPUTED_VALUE"""),"бонбоньєрки")</f>
        <v>бонбоньєрки</v>
      </c>
      <c r="I750" s="19">
        <f>IFERROR(__xludf.DUMMYFUNCTION("""COMPUTED_VALUE"""),0.1017)</f>
        <v>0.1017</v>
      </c>
      <c r="J750" s="19">
        <f>IFERROR(__xludf.DUMMYFUNCTION("""COMPUTED_VALUE"""),0.2033)</f>
        <v>0.2033</v>
      </c>
      <c r="K750" s="19">
        <f>IFERROR(__xludf.DUMMYFUNCTION("""COMPUTED_VALUE"""),0.2541)</f>
        <v>0.2541</v>
      </c>
      <c r="L750" s="19">
        <f>IFERROR(__xludf.DUMMYFUNCTION("""COMPUTED_VALUE"""),0.305)</f>
        <v>0.305</v>
      </c>
      <c r="M750" s="18">
        <f>IFERROR(__xludf.DUMMYFUNCTION("""COMPUTED_VALUE"""),1.8)</f>
        <v>1.8</v>
      </c>
    </row>
    <row r="751">
      <c r="A751" s="13" t="str">
        <f>IFERROR(__xludf.DUMMYFUNCTION("""COMPUTED_VALUE"""),"товари")</f>
        <v>товари</v>
      </c>
      <c r="B751" s="16" t="str">
        <f>IFERROR(__xludf.DUMMYFUNCTION("""COMPUTED_VALUE"""),"весільні товари")</f>
        <v>весільні товари</v>
      </c>
      <c r="C751" s="16" t="str">
        <f>IFERROR(__xludf.DUMMYFUNCTION("""COMPUTED_VALUE"""),"вбрання та аксесуари для нареченого")</f>
        <v>вбрання та аксесуари для нареченого</v>
      </c>
      <c r="D751" s="16" t="str">
        <f>IFERROR(__xludf.DUMMYFUNCTION("""COMPUTED_VALUE"""),"вбрання та аксесуари для нареченого, загальне")</f>
        <v>вбрання та аксесуари для нареченого, загальне</v>
      </c>
      <c r="E751" s="16" t="str">
        <f>IFERROR(__xludf.DUMMYFUNCTION("""COMPUTED_VALUE"""),"вбрання та аксесуари для нареченого, загальне")</f>
        <v>вбрання та аксесуари для нареченого, загальне</v>
      </c>
      <c r="F751" s="17">
        <f>IFERROR(__xludf.DUMMYFUNCTION("""COMPUTED_VALUE"""),3.0)</f>
        <v>3</v>
      </c>
      <c r="G751" s="17" t="str">
        <f>IFERROR(__xludf.DUMMYFUNCTION("""COMPUTED_VALUE"""),"281815")</f>
        <v>281815</v>
      </c>
      <c r="H751" s="17" t="str">
        <f>IFERROR(__xludf.DUMMYFUNCTION("""COMPUTED_VALUE"""),"вбрання та аксесуари для нареченого, загальне")</f>
        <v>вбрання та аксесуари для нареченого, загальне</v>
      </c>
      <c r="I751" s="19">
        <f>IFERROR(__xludf.DUMMYFUNCTION("""COMPUTED_VALUE"""),0.125)</f>
        <v>0.125</v>
      </c>
      <c r="J751" s="19">
        <f>IFERROR(__xludf.DUMMYFUNCTION("""COMPUTED_VALUE"""),0.25)</f>
        <v>0.25</v>
      </c>
      <c r="K751" s="19">
        <f>IFERROR(__xludf.DUMMYFUNCTION("""COMPUTED_VALUE"""),0.3125)</f>
        <v>0.3125</v>
      </c>
      <c r="L751" s="19">
        <f>IFERROR(__xludf.DUMMYFUNCTION("""COMPUTED_VALUE"""),0.375)</f>
        <v>0.375</v>
      </c>
      <c r="M751" s="18">
        <f>IFERROR(__xludf.DUMMYFUNCTION("""COMPUTED_VALUE"""),4.33)</f>
        <v>4.33</v>
      </c>
    </row>
    <row r="752">
      <c r="A752" s="13" t="str">
        <f>IFERROR(__xludf.DUMMYFUNCTION("""COMPUTED_VALUE"""),"товари")</f>
        <v>товари</v>
      </c>
      <c r="B752" s="16" t="str">
        <f>IFERROR(__xludf.DUMMYFUNCTION("""COMPUTED_VALUE"""),"весільні товари")</f>
        <v>весільні товари</v>
      </c>
      <c r="C752" s="16" t="str">
        <f>IFERROR(__xludf.DUMMYFUNCTION("""COMPUTED_VALUE"""),"вбрання та аксесуари для нареченої")</f>
        <v>вбрання та аксесуари для нареченої</v>
      </c>
      <c r="D752" s="16" t="str">
        <f>IFERROR(__xludf.DUMMYFUNCTION("""COMPUTED_VALUE"""),"вбрання та аксесуари для нареченої, загальне")</f>
        <v>вбрання та аксесуари для нареченої, загальне</v>
      </c>
      <c r="E752" s="16" t="str">
        <f>IFERROR(__xludf.DUMMYFUNCTION("""COMPUTED_VALUE"""),"вбрання та аксесуари для нареченої, загальне")</f>
        <v>вбрання та аксесуари для нареченої, загальне</v>
      </c>
      <c r="F752" s="17">
        <f>IFERROR(__xludf.DUMMYFUNCTION("""COMPUTED_VALUE"""),3.0)</f>
        <v>3</v>
      </c>
      <c r="G752" s="17" t="str">
        <f>IFERROR(__xludf.DUMMYFUNCTION("""COMPUTED_VALUE"""),"3600104")</f>
        <v>3600104</v>
      </c>
      <c r="H752" s="17" t="str">
        <f>IFERROR(__xludf.DUMMYFUNCTION("""COMPUTED_VALUE"""),"вбрання та аксесуари для нареченої, загальне")</f>
        <v>вбрання та аксесуари для нареченої, загальне</v>
      </c>
      <c r="I752" s="19">
        <f>IFERROR(__xludf.DUMMYFUNCTION("""COMPUTED_VALUE"""),0.125)</f>
        <v>0.125</v>
      </c>
      <c r="J752" s="19">
        <f>IFERROR(__xludf.DUMMYFUNCTION("""COMPUTED_VALUE"""),0.25)</f>
        <v>0.25</v>
      </c>
      <c r="K752" s="19">
        <f>IFERROR(__xludf.DUMMYFUNCTION("""COMPUTED_VALUE"""),0.3125)</f>
        <v>0.3125</v>
      </c>
      <c r="L752" s="19">
        <f>IFERROR(__xludf.DUMMYFUNCTION("""COMPUTED_VALUE"""),0.375)</f>
        <v>0.375</v>
      </c>
      <c r="M752" s="18">
        <f>IFERROR(__xludf.DUMMYFUNCTION("""COMPUTED_VALUE"""),4.33)</f>
        <v>4.33</v>
      </c>
    </row>
    <row r="753">
      <c r="A753" s="13" t="str">
        <f>IFERROR(__xludf.DUMMYFUNCTION("""COMPUTED_VALUE"""),"товари")</f>
        <v>товари</v>
      </c>
      <c r="B753" s="16" t="str">
        <f>IFERROR(__xludf.DUMMYFUNCTION("""COMPUTED_VALUE"""),"весільні товари")</f>
        <v>весільні товари</v>
      </c>
      <c r="C753" s="16" t="str">
        <f>IFERROR(__xludf.DUMMYFUNCTION("""COMPUTED_VALUE"""),"вбрання та аксесуари для нареченої")</f>
        <v>вбрання та аксесуари для нареченої</v>
      </c>
      <c r="D753" s="16" t="str">
        <f>IFERROR(__xludf.DUMMYFUNCTION("""COMPUTED_VALUE"""),"весільна фата")</f>
        <v>весільна фата</v>
      </c>
      <c r="E753" s="16" t="str">
        <f>IFERROR(__xludf.DUMMYFUNCTION("""COMPUTED_VALUE"""),"весільна фата")</f>
        <v>весільна фата</v>
      </c>
      <c r="F753" s="17">
        <f>IFERROR(__xludf.DUMMYFUNCTION("""COMPUTED_VALUE"""),3.0)</f>
        <v>3</v>
      </c>
      <c r="G753" s="17" t="str">
        <f>IFERROR(__xludf.DUMMYFUNCTION("""COMPUTED_VALUE"""),"32002")</f>
        <v>32002</v>
      </c>
      <c r="H753" s="17" t="str">
        <f>IFERROR(__xludf.DUMMYFUNCTION("""COMPUTED_VALUE"""),"весільна фата")</f>
        <v>весільна фата</v>
      </c>
      <c r="I753" s="19">
        <f>IFERROR(__xludf.DUMMYFUNCTION("""COMPUTED_VALUE"""),0.0996)</f>
        <v>0.0996</v>
      </c>
      <c r="J753" s="19">
        <f>IFERROR(__xludf.DUMMYFUNCTION("""COMPUTED_VALUE"""),0.1992)</f>
        <v>0.1992</v>
      </c>
      <c r="K753" s="19">
        <f>IFERROR(__xludf.DUMMYFUNCTION("""COMPUTED_VALUE"""),0.249)</f>
        <v>0.249</v>
      </c>
      <c r="L753" s="19">
        <f>IFERROR(__xludf.DUMMYFUNCTION("""COMPUTED_VALUE"""),0.2988)</f>
        <v>0.2988</v>
      </c>
      <c r="M753" s="18">
        <f>IFERROR(__xludf.DUMMYFUNCTION("""COMPUTED_VALUE"""),1.05)</f>
        <v>1.05</v>
      </c>
    </row>
    <row r="754">
      <c r="A754" s="13" t="str">
        <f>IFERROR(__xludf.DUMMYFUNCTION("""COMPUTED_VALUE"""),"товари")</f>
        <v>товари</v>
      </c>
      <c r="B754" s="16" t="str">
        <f>IFERROR(__xludf.DUMMYFUNCTION("""COMPUTED_VALUE"""),"весільні товари")</f>
        <v>весільні товари</v>
      </c>
      <c r="C754" s="16" t="str">
        <f>IFERROR(__xludf.DUMMYFUNCTION("""COMPUTED_VALUE"""),"весільні аксесуари")</f>
        <v>весільні аксесуари</v>
      </c>
      <c r="D754" s="16" t="str">
        <f>IFERROR(__xludf.DUMMYFUNCTION("""COMPUTED_VALUE"""),"весільні аксесуари, загальне")</f>
        <v>весільні аксесуари, загальне</v>
      </c>
      <c r="E754" s="16" t="str">
        <f>IFERROR(__xludf.DUMMYFUNCTION("""COMPUTED_VALUE"""),"весільні аксесуари, загальне")</f>
        <v>весільні аксесуари, загальне</v>
      </c>
      <c r="F754" s="17">
        <f>IFERROR(__xludf.DUMMYFUNCTION("""COMPUTED_VALUE"""),3.0)</f>
        <v>3</v>
      </c>
      <c r="G754" s="17" t="str">
        <f>IFERROR(__xludf.DUMMYFUNCTION("""COMPUTED_VALUE"""),"3200603")</f>
        <v>3200603</v>
      </c>
      <c r="H754" s="17" t="str">
        <f>IFERROR(__xludf.DUMMYFUNCTION("""COMPUTED_VALUE"""),"весільні аксесуари, загальне")</f>
        <v>весільні аксесуари, загальне</v>
      </c>
      <c r="I754" s="19">
        <f>IFERROR(__xludf.DUMMYFUNCTION("""COMPUTED_VALUE"""),0.125)</f>
        <v>0.125</v>
      </c>
      <c r="J754" s="19">
        <f>IFERROR(__xludf.DUMMYFUNCTION("""COMPUTED_VALUE"""),0.25)</f>
        <v>0.25</v>
      </c>
      <c r="K754" s="19">
        <f>IFERROR(__xludf.DUMMYFUNCTION("""COMPUTED_VALUE"""),0.3125)</f>
        <v>0.3125</v>
      </c>
      <c r="L754" s="19">
        <f>IFERROR(__xludf.DUMMYFUNCTION("""COMPUTED_VALUE"""),0.375)</f>
        <v>0.375</v>
      </c>
      <c r="M754" s="18">
        <f>IFERROR(__xludf.DUMMYFUNCTION("""COMPUTED_VALUE"""),4.33)</f>
        <v>4.33</v>
      </c>
    </row>
    <row r="755">
      <c r="A755" s="13" t="str">
        <f>IFERROR(__xludf.DUMMYFUNCTION("""COMPUTED_VALUE"""),"товари")</f>
        <v>товари</v>
      </c>
      <c r="B755" s="16" t="str">
        <f>IFERROR(__xludf.DUMMYFUNCTION("""COMPUTED_VALUE"""),"весільні товари")</f>
        <v>весільні товари</v>
      </c>
      <c r="C755" s="16" t="str">
        <f>IFERROR(__xludf.DUMMYFUNCTION("""COMPUTED_VALUE"""),"весільні аксесуари")</f>
        <v>весільні аксесуари</v>
      </c>
      <c r="D755" s="16" t="str">
        <f>IFERROR(__xludf.DUMMYFUNCTION("""COMPUTED_VALUE"""),"весільні альбоми")</f>
        <v>весільні альбоми</v>
      </c>
      <c r="E755" s="16" t="str">
        <f>IFERROR(__xludf.DUMMYFUNCTION("""COMPUTED_VALUE"""),"весільні альбоми")</f>
        <v>весільні альбоми</v>
      </c>
      <c r="F755" s="17">
        <f>IFERROR(__xludf.DUMMYFUNCTION("""COMPUTED_VALUE"""),3.0)</f>
        <v>3</v>
      </c>
      <c r="G755" s="17" t="str">
        <f>IFERROR(__xludf.DUMMYFUNCTION("""COMPUTED_VALUE"""),"281807")</f>
        <v>281807</v>
      </c>
      <c r="H755" s="17" t="str">
        <f>IFERROR(__xludf.DUMMYFUNCTION("""COMPUTED_VALUE"""),"весільні альбоми")</f>
        <v>весільні альбоми</v>
      </c>
      <c r="I755" s="19">
        <f>IFERROR(__xludf.DUMMYFUNCTION("""COMPUTED_VALUE"""),0.0822)</f>
        <v>0.0822</v>
      </c>
      <c r="J755" s="19">
        <f>IFERROR(__xludf.DUMMYFUNCTION("""COMPUTED_VALUE"""),0.1644)</f>
        <v>0.1644</v>
      </c>
      <c r="K755" s="19">
        <f>IFERROR(__xludf.DUMMYFUNCTION("""COMPUTED_VALUE"""),0.2055)</f>
        <v>0.2055</v>
      </c>
      <c r="L755" s="19">
        <f>IFERROR(__xludf.DUMMYFUNCTION("""COMPUTED_VALUE"""),0.2466)</f>
        <v>0.2466</v>
      </c>
      <c r="M755" s="18">
        <f>IFERROR(__xludf.DUMMYFUNCTION("""COMPUTED_VALUE"""),3.24)</f>
        <v>3.24</v>
      </c>
    </row>
    <row r="756">
      <c r="A756" s="13" t="str">
        <f>IFERROR(__xludf.DUMMYFUNCTION("""COMPUTED_VALUE"""),"товари")</f>
        <v>товари</v>
      </c>
      <c r="B756" s="16" t="str">
        <f>IFERROR(__xludf.DUMMYFUNCTION("""COMPUTED_VALUE"""),"весільні товари")</f>
        <v>весільні товари</v>
      </c>
      <c r="C756" s="16" t="str">
        <f>IFERROR(__xludf.DUMMYFUNCTION("""COMPUTED_VALUE"""),"весільні арки")</f>
        <v>весільні арки</v>
      </c>
      <c r="D756" s="16" t="str">
        <f>IFERROR(__xludf.DUMMYFUNCTION("""COMPUTED_VALUE"""),"весільні арки")</f>
        <v>весільні арки</v>
      </c>
      <c r="E756" s="16" t="str">
        <f>IFERROR(__xludf.DUMMYFUNCTION("""COMPUTED_VALUE"""),"весільні арки")</f>
        <v>весільні арки</v>
      </c>
      <c r="F756" s="17">
        <f>IFERROR(__xludf.DUMMYFUNCTION("""COMPUTED_VALUE"""),2.0)</f>
        <v>2</v>
      </c>
      <c r="G756" s="17" t="str">
        <f>IFERROR(__xludf.DUMMYFUNCTION("""COMPUTED_VALUE"""),"281805")</f>
        <v>281805</v>
      </c>
      <c r="H756" s="17" t="str">
        <f>IFERROR(__xludf.DUMMYFUNCTION("""COMPUTED_VALUE"""),"весільні арки")</f>
        <v>весільні арки</v>
      </c>
      <c r="I756" s="19">
        <f>IFERROR(__xludf.DUMMYFUNCTION("""COMPUTED_VALUE"""),0.077)</f>
        <v>0.077</v>
      </c>
      <c r="J756" s="19">
        <f>IFERROR(__xludf.DUMMYFUNCTION("""COMPUTED_VALUE"""),0.154)</f>
        <v>0.154</v>
      </c>
      <c r="K756" s="19">
        <f>IFERROR(__xludf.DUMMYFUNCTION("""COMPUTED_VALUE"""),0.1925)</f>
        <v>0.1925</v>
      </c>
      <c r="L756" s="19">
        <f>IFERROR(__xludf.DUMMYFUNCTION("""COMPUTED_VALUE"""),0.231)</f>
        <v>0.231</v>
      </c>
      <c r="M756" s="18">
        <f>IFERROR(__xludf.DUMMYFUNCTION("""COMPUTED_VALUE"""),2.08)</f>
        <v>2.08</v>
      </c>
    </row>
    <row r="757">
      <c r="A757" s="13" t="str">
        <f>IFERROR(__xludf.DUMMYFUNCTION("""COMPUTED_VALUE"""),"товари")</f>
        <v>товари</v>
      </c>
      <c r="B757" s="16" t="str">
        <f>IFERROR(__xludf.DUMMYFUNCTION("""COMPUTED_VALUE"""),"весільні товари")</f>
        <v>весільні товари</v>
      </c>
      <c r="C757" s="16" t="str">
        <f>IFERROR(__xludf.DUMMYFUNCTION("""COMPUTED_VALUE"""),"весільні аксесуари")</f>
        <v>весільні аксесуари</v>
      </c>
      <c r="D757" s="16" t="str">
        <f>IFERROR(__xludf.DUMMYFUNCTION("""COMPUTED_VALUE"""),"весільні букети та бутоньєрки")</f>
        <v>весільні букети та бутоньєрки</v>
      </c>
      <c r="E757" s="16" t="str">
        <f>IFERROR(__xludf.DUMMYFUNCTION("""COMPUTED_VALUE"""),"весільні букети та бутоньєрки")</f>
        <v>весільні букети та бутоньєрки</v>
      </c>
      <c r="F757" s="17">
        <f>IFERROR(__xludf.DUMMYFUNCTION("""COMPUTED_VALUE"""),3.0)</f>
        <v>3</v>
      </c>
      <c r="G757" s="17" t="str">
        <f>IFERROR(__xludf.DUMMYFUNCTION("""COMPUTED_VALUE"""),"281803")</f>
        <v>281803</v>
      </c>
      <c r="H757" s="17" t="str">
        <f>IFERROR(__xludf.DUMMYFUNCTION("""COMPUTED_VALUE"""),"весільні букети та бутоньєрки")</f>
        <v>весільні букети та бутоньєрки</v>
      </c>
      <c r="I757" s="19">
        <f>IFERROR(__xludf.DUMMYFUNCTION("""COMPUTED_VALUE"""),0.0924)</f>
        <v>0.0924</v>
      </c>
      <c r="J757" s="19">
        <f>IFERROR(__xludf.DUMMYFUNCTION("""COMPUTED_VALUE"""),0.1848)</f>
        <v>0.1848</v>
      </c>
      <c r="K757" s="19">
        <f>IFERROR(__xludf.DUMMYFUNCTION("""COMPUTED_VALUE"""),0.231)</f>
        <v>0.231</v>
      </c>
      <c r="L757" s="19">
        <f>IFERROR(__xludf.DUMMYFUNCTION("""COMPUTED_VALUE"""),0.2772)</f>
        <v>0.2772</v>
      </c>
      <c r="M757" s="18">
        <f>IFERROR(__xludf.DUMMYFUNCTION("""COMPUTED_VALUE"""),1.44)</f>
        <v>1.44</v>
      </c>
    </row>
    <row r="758">
      <c r="A758" s="13" t="str">
        <f>IFERROR(__xludf.DUMMYFUNCTION("""COMPUTED_VALUE"""),"товари")</f>
        <v>товари</v>
      </c>
      <c r="B758" s="16" t="str">
        <f>IFERROR(__xludf.DUMMYFUNCTION("""COMPUTED_VALUE"""),"весільні товари")</f>
        <v>весільні товари</v>
      </c>
      <c r="C758" s="16" t="str">
        <f>IFERROR(__xludf.DUMMYFUNCTION("""COMPUTED_VALUE"""),"весільні аксесуари")</f>
        <v>весільні аксесуари</v>
      </c>
      <c r="D758" s="16" t="str">
        <f>IFERROR(__xludf.DUMMYFUNCTION("""COMPUTED_VALUE"""),"весільні запрошення та розсаджувальні картки")</f>
        <v>весільні запрошення та розсаджувальні картки</v>
      </c>
      <c r="E758" s="16" t="str">
        <f>IFERROR(__xludf.DUMMYFUNCTION("""COMPUTED_VALUE"""),"весільні запрошення та розсаджувальні картки")</f>
        <v>весільні запрошення та розсаджувальні картки</v>
      </c>
      <c r="F758" s="17">
        <f>IFERROR(__xludf.DUMMYFUNCTION("""COMPUTED_VALUE"""),3.0)</f>
        <v>3</v>
      </c>
      <c r="G758" s="17" t="str">
        <f>IFERROR(__xludf.DUMMYFUNCTION("""COMPUTED_VALUE"""),"281801")</f>
        <v>281801</v>
      </c>
      <c r="H758" s="17" t="str">
        <f>IFERROR(__xludf.DUMMYFUNCTION("""COMPUTED_VALUE"""),"весільні запрошення та розсаджувальні картки")</f>
        <v>весільні запрошення та розсаджувальні картки</v>
      </c>
      <c r="I758" s="19">
        <f>IFERROR(__xludf.DUMMYFUNCTION("""COMPUTED_VALUE"""),0.1071)</f>
        <v>0.1071</v>
      </c>
      <c r="J758" s="19">
        <f>IFERROR(__xludf.DUMMYFUNCTION("""COMPUTED_VALUE"""),0.2141)</f>
        <v>0.2141</v>
      </c>
      <c r="K758" s="19">
        <f>IFERROR(__xludf.DUMMYFUNCTION("""COMPUTED_VALUE"""),0.2676)</f>
        <v>0.2676</v>
      </c>
      <c r="L758" s="19">
        <f>IFERROR(__xludf.DUMMYFUNCTION("""COMPUTED_VALUE"""),0.3212)</f>
        <v>0.3212</v>
      </c>
      <c r="M758" s="18">
        <f>IFERROR(__xludf.DUMMYFUNCTION("""COMPUTED_VALUE"""),2.16)</f>
        <v>2.16</v>
      </c>
    </row>
    <row r="759">
      <c r="A759" s="13" t="str">
        <f>IFERROR(__xludf.DUMMYFUNCTION("""COMPUTED_VALUE"""),"товари")</f>
        <v>товари</v>
      </c>
      <c r="B759" s="16" t="str">
        <f>IFERROR(__xludf.DUMMYFUNCTION("""COMPUTED_VALUE"""),"весільні товари")</f>
        <v>весільні товари</v>
      </c>
      <c r="C759" s="16" t="str">
        <f>IFERROR(__xludf.DUMMYFUNCTION("""COMPUTED_VALUE"""),"весільні аксесуари")</f>
        <v>весільні аксесуари</v>
      </c>
      <c r="D759" s="16" t="str">
        <f>IFERROR(__xludf.DUMMYFUNCTION("""COMPUTED_VALUE"""),"весільні келихи")</f>
        <v>весільні келихи</v>
      </c>
      <c r="E759" s="16" t="str">
        <f>IFERROR(__xludf.DUMMYFUNCTION("""COMPUTED_VALUE"""),"весільні келихи")</f>
        <v>весільні келихи</v>
      </c>
      <c r="F759" s="17">
        <f>IFERROR(__xludf.DUMMYFUNCTION("""COMPUTED_VALUE"""),3.0)</f>
        <v>3</v>
      </c>
      <c r="G759" s="17" t="str">
        <f>IFERROR(__xludf.DUMMYFUNCTION("""COMPUTED_VALUE"""),"281804")</f>
        <v>281804</v>
      </c>
      <c r="H759" s="17" t="str">
        <f>IFERROR(__xludf.DUMMYFUNCTION("""COMPUTED_VALUE"""),"весільні келихи")</f>
        <v>весільні келихи</v>
      </c>
      <c r="I759" s="19">
        <f>IFERROR(__xludf.DUMMYFUNCTION("""COMPUTED_VALUE"""),0.082)</f>
        <v>0.082</v>
      </c>
      <c r="J759" s="19">
        <f>IFERROR(__xludf.DUMMYFUNCTION("""COMPUTED_VALUE"""),0.164)</f>
        <v>0.164</v>
      </c>
      <c r="K759" s="19">
        <f>IFERROR(__xludf.DUMMYFUNCTION("""COMPUTED_VALUE"""),0.205)</f>
        <v>0.205</v>
      </c>
      <c r="L759" s="19">
        <f>IFERROR(__xludf.DUMMYFUNCTION("""COMPUTED_VALUE"""),0.246)</f>
        <v>0.246</v>
      </c>
      <c r="M759" s="18">
        <f>IFERROR(__xludf.DUMMYFUNCTION("""COMPUTED_VALUE"""),1.98)</f>
        <v>1.98</v>
      </c>
    </row>
    <row r="760">
      <c r="A760" s="13" t="str">
        <f>IFERROR(__xludf.DUMMYFUNCTION("""COMPUTED_VALUE"""),"товари")</f>
        <v>товари</v>
      </c>
      <c r="B760" s="16" t="str">
        <f>IFERROR(__xludf.DUMMYFUNCTION("""COMPUTED_VALUE"""),"весільні товари")</f>
        <v>весільні товари</v>
      </c>
      <c r="C760" s="16" t="str">
        <f>IFERROR(__xludf.DUMMYFUNCTION("""COMPUTED_VALUE"""),"весільні аксесуари")</f>
        <v>весільні аксесуари</v>
      </c>
      <c r="D760" s="16" t="str">
        <f>IFERROR(__xludf.DUMMYFUNCTION("""COMPUTED_VALUE"""),"весільні коробки для грошей")</f>
        <v>весільні коробки для грошей</v>
      </c>
      <c r="E760" s="16" t="str">
        <f>IFERROR(__xludf.DUMMYFUNCTION("""COMPUTED_VALUE"""),"весільні коробки для грошей")</f>
        <v>весільні коробки для грошей</v>
      </c>
      <c r="F760" s="17">
        <f>IFERROR(__xludf.DUMMYFUNCTION("""COMPUTED_VALUE"""),3.0)</f>
        <v>3</v>
      </c>
      <c r="G760" s="17" t="str">
        <f>IFERROR(__xludf.DUMMYFUNCTION("""COMPUTED_VALUE"""),"3200606")</f>
        <v>3200606</v>
      </c>
      <c r="H760" s="17" t="str">
        <f>IFERROR(__xludf.DUMMYFUNCTION("""COMPUTED_VALUE"""),"весільні коробки для грошей")</f>
        <v>весільні коробки для грошей</v>
      </c>
      <c r="I760" s="19">
        <f>IFERROR(__xludf.DUMMYFUNCTION("""COMPUTED_VALUE"""),0.1193)</f>
        <v>0.1193</v>
      </c>
      <c r="J760" s="19">
        <f>IFERROR(__xludf.DUMMYFUNCTION("""COMPUTED_VALUE"""),0.2385)</f>
        <v>0.2385</v>
      </c>
      <c r="K760" s="19">
        <f>IFERROR(__xludf.DUMMYFUNCTION("""COMPUTED_VALUE"""),0.2981)</f>
        <v>0.2981</v>
      </c>
      <c r="L760" s="19">
        <f>IFERROR(__xludf.DUMMYFUNCTION("""COMPUTED_VALUE"""),0.3578)</f>
        <v>0.3578</v>
      </c>
      <c r="M760" s="18">
        <f>IFERROR(__xludf.DUMMYFUNCTION("""COMPUTED_VALUE"""),2.08)</f>
        <v>2.08</v>
      </c>
    </row>
    <row r="761">
      <c r="A761" s="13" t="str">
        <f>IFERROR(__xludf.DUMMYFUNCTION("""COMPUTED_VALUE"""),"товари")</f>
        <v>товари</v>
      </c>
      <c r="B761" s="16" t="str">
        <f>IFERROR(__xludf.DUMMYFUNCTION("""COMPUTED_VALUE"""),"весільні товари")</f>
        <v>весільні товари</v>
      </c>
      <c r="C761" s="16" t="str">
        <f>IFERROR(__xludf.DUMMYFUNCTION("""COMPUTED_VALUE"""),"весільні аксесуари")</f>
        <v>весільні аксесуари</v>
      </c>
      <c r="D761" s="16" t="str">
        <f>IFERROR(__xludf.DUMMYFUNCTION("""COMPUTED_VALUE"""),"весільні кошики та сита")</f>
        <v>весільні кошики та сита</v>
      </c>
      <c r="E761" s="16" t="str">
        <f>IFERROR(__xludf.DUMMYFUNCTION("""COMPUTED_VALUE"""),"весільні кошики та сита")</f>
        <v>весільні кошики та сита</v>
      </c>
      <c r="F761" s="17">
        <f>IFERROR(__xludf.DUMMYFUNCTION("""COMPUTED_VALUE"""),3.0)</f>
        <v>3</v>
      </c>
      <c r="G761" s="17" t="str">
        <f>IFERROR(__xludf.DUMMYFUNCTION("""COMPUTED_VALUE"""),"3200605")</f>
        <v>3200605</v>
      </c>
      <c r="H761" s="17" t="str">
        <f>IFERROR(__xludf.DUMMYFUNCTION("""COMPUTED_VALUE"""),"весільні кошики та сита")</f>
        <v>весільні кошики та сита</v>
      </c>
      <c r="I761" s="19">
        <f>IFERROR(__xludf.DUMMYFUNCTION("""COMPUTED_VALUE"""),0.0805)</f>
        <v>0.0805</v>
      </c>
      <c r="J761" s="19">
        <f>IFERROR(__xludf.DUMMYFUNCTION("""COMPUTED_VALUE"""),0.161)</f>
        <v>0.161</v>
      </c>
      <c r="K761" s="19">
        <f>IFERROR(__xludf.DUMMYFUNCTION("""COMPUTED_VALUE"""),0.2013)</f>
        <v>0.2013</v>
      </c>
      <c r="L761" s="19">
        <f>IFERROR(__xludf.DUMMYFUNCTION("""COMPUTED_VALUE"""),0.2415)</f>
        <v>0.2415</v>
      </c>
      <c r="M761" s="18">
        <f>IFERROR(__xludf.DUMMYFUNCTION("""COMPUTED_VALUE"""),1.71)</f>
        <v>1.71</v>
      </c>
    </row>
    <row r="762">
      <c r="A762" s="13" t="str">
        <f>IFERROR(__xludf.DUMMYFUNCTION("""COMPUTED_VALUE"""),"товари")</f>
        <v>товари</v>
      </c>
      <c r="B762" s="16" t="str">
        <f>IFERROR(__xludf.DUMMYFUNCTION("""COMPUTED_VALUE"""),"весільні товари")</f>
        <v>весільні товари</v>
      </c>
      <c r="C762" s="16" t="str">
        <f>IFERROR(__xludf.DUMMYFUNCTION("""COMPUTED_VALUE"""),"весільні аксесуари")</f>
        <v>весільні аксесуари</v>
      </c>
      <c r="D762" s="16" t="str">
        <f>IFERROR(__xludf.DUMMYFUNCTION("""COMPUTED_VALUE"""),"весільні рушники")</f>
        <v>весільні рушники</v>
      </c>
      <c r="E762" s="16" t="str">
        <f>IFERROR(__xludf.DUMMYFUNCTION("""COMPUTED_VALUE"""),"весільні рушники")</f>
        <v>весільні рушники</v>
      </c>
      <c r="F762" s="17">
        <f>IFERROR(__xludf.DUMMYFUNCTION("""COMPUTED_VALUE"""),3.0)</f>
        <v>3</v>
      </c>
      <c r="G762" s="17" t="str">
        <f>IFERROR(__xludf.DUMMYFUNCTION("""COMPUTED_VALUE"""),"281808")</f>
        <v>281808</v>
      </c>
      <c r="H762" s="17" t="str">
        <f>IFERROR(__xludf.DUMMYFUNCTION("""COMPUTED_VALUE"""),"весільні рушники")</f>
        <v>весільні рушники</v>
      </c>
      <c r="I762" s="19">
        <f>IFERROR(__xludf.DUMMYFUNCTION("""COMPUTED_VALUE"""),0.0893)</f>
        <v>0.0893</v>
      </c>
      <c r="J762" s="19">
        <f>IFERROR(__xludf.DUMMYFUNCTION("""COMPUTED_VALUE"""),0.1786)</f>
        <v>0.1786</v>
      </c>
      <c r="K762" s="19">
        <f>IFERROR(__xludf.DUMMYFUNCTION("""COMPUTED_VALUE"""),0.2233)</f>
        <v>0.2233</v>
      </c>
      <c r="L762" s="19">
        <f>IFERROR(__xludf.DUMMYFUNCTION("""COMPUTED_VALUE"""),0.2679)</f>
        <v>0.2679</v>
      </c>
      <c r="M762" s="18">
        <f>IFERROR(__xludf.DUMMYFUNCTION("""COMPUTED_VALUE"""),1.71)</f>
        <v>1.71</v>
      </c>
    </row>
    <row r="763">
      <c r="A763" s="13" t="str">
        <f>IFERROR(__xludf.DUMMYFUNCTION("""COMPUTED_VALUE"""),"товари")</f>
        <v>товари</v>
      </c>
      <c r="B763" s="16" t="str">
        <f>IFERROR(__xludf.DUMMYFUNCTION("""COMPUTED_VALUE"""),"весільні товари")</f>
        <v>весільні товари</v>
      </c>
      <c r="C763" s="16" t="str">
        <f>IFERROR(__xludf.DUMMYFUNCTION("""COMPUTED_VALUE"""),"весільні аксесуари")</f>
        <v>весільні аксесуари</v>
      </c>
      <c r="D763" s="16" t="str">
        <f>IFERROR(__xludf.DUMMYFUNCTION("""COMPUTED_VALUE"""),"весільні сувеніри")</f>
        <v>весільні сувеніри</v>
      </c>
      <c r="E763" s="16" t="str">
        <f>IFERROR(__xludf.DUMMYFUNCTION("""COMPUTED_VALUE"""),"весільні сувеніри")</f>
        <v>весільні сувеніри</v>
      </c>
      <c r="F763" s="17">
        <f>IFERROR(__xludf.DUMMYFUNCTION("""COMPUTED_VALUE"""),3.0)</f>
        <v>3</v>
      </c>
      <c r="G763" s="17" t="str">
        <f>IFERROR(__xludf.DUMMYFUNCTION("""COMPUTED_VALUE"""),"281809")</f>
        <v>281809</v>
      </c>
      <c r="H763" s="17" t="str">
        <f>IFERROR(__xludf.DUMMYFUNCTION("""COMPUTED_VALUE"""),"весільні сувеніри")</f>
        <v>весільні сувеніри</v>
      </c>
      <c r="I763" s="19">
        <f>IFERROR(__xludf.DUMMYFUNCTION("""COMPUTED_VALUE"""),0.0955)</f>
        <v>0.0955</v>
      </c>
      <c r="J763" s="19">
        <f>IFERROR(__xludf.DUMMYFUNCTION("""COMPUTED_VALUE"""),0.191)</f>
        <v>0.191</v>
      </c>
      <c r="K763" s="19">
        <f>IFERROR(__xludf.DUMMYFUNCTION("""COMPUTED_VALUE"""),0.2388)</f>
        <v>0.2388</v>
      </c>
      <c r="L763" s="19">
        <f>IFERROR(__xludf.DUMMYFUNCTION("""COMPUTED_VALUE"""),0.2865)</f>
        <v>0.2865</v>
      </c>
      <c r="M763" s="18">
        <f>IFERROR(__xludf.DUMMYFUNCTION("""COMPUTED_VALUE"""),1.71)</f>
        <v>1.71</v>
      </c>
    </row>
    <row r="764">
      <c r="A764" s="13" t="str">
        <f>IFERROR(__xludf.DUMMYFUNCTION("""COMPUTED_VALUE"""),"товари")</f>
        <v>товари</v>
      </c>
      <c r="B764" s="16" t="str">
        <f>IFERROR(__xludf.DUMMYFUNCTION("""COMPUTED_VALUE"""),"весільні товари")</f>
        <v>весільні товари</v>
      </c>
      <c r="C764" s="16" t="str">
        <f>IFERROR(__xludf.DUMMYFUNCTION("""COMPUTED_VALUE"""),"вбрання та аксесуари для нареченої")</f>
        <v>вбрання та аксесуари для нареченої</v>
      </c>
      <c r="D764" s="16" t="str">
        <f>IFERROR(__xludf.DUMMYFUNCTION("""COMPUTED_VALUE"""),"весільні сукні")</f>
        <v>весільні сукні</v>
      </c>
      <c r="E764" s="16" t="str">
        <f>IFERROR(__xludf.DUMMYFUNCTION("""COMPUTED_VALUE"""),"весільні сукні")</f>
        <v>весільні сукні</v>
      </c>
      <c r="F764" s="17">
        <f>IFERROR(__xludf.DUMMYFUNCTION("""COMPUTED_VALUE"""),3.0)</f>
        <v>3</v>
      </c>
      <c r="G764" s="17" t="str">
        <f>IFERROR(__xludf.DUMMYFUNCTION("""COMPUTED_VALUE"""),"32005")</f>
        <v>32005</v>
      </c>
      <c r="H764" s="17" t="str">
        <f>IFERROR(__xludf.DUMMYFUNCTION("""COMPUTED_VALUE"""),"весільні сукні")</f>
        <v>весільні сукні</v>
      </c>
      <c r="I764" s="19">
        <f>IFERROR(__xludf.DUMMYFUNCTION("""COMPUTED_VALUE"""),0.0859)</f>
        <v>0.0859</v>
      </c>
      <c r="J764" s="19">
        <f>IFERROR(__xludf.DUMMYFUNCTION("""COMPUTED_VALUE"""),0.1718)</f>
        <v>0.1718</v>
      </c>
      <c r="K764" s="19">
        <f>IFERROR(__xludf.DUMMYFUNCTION("""COMPUTED_VALUE"""),0.2148)</f>
        <v>0.2148</v>
      </c>
      <c r="L764" s="19">
        <f>IFERROR(__xludf.DUMMYFUNCTION("""COMPUTED_VALUE"""),0.2577)</f>
        <v>0.2577</v>
      </c>
      <c r="M764" s="18">
        <f>IFERROR(__xludf.DUMMYFUNCTION("""COMPUTED_VALUE"""),1.05)</f>
        <v>1.05</v>
      </c>
    </row>
    <row r="765">
      <c r="A765" s="13" t="str">
        <f>IFERROR(__xludf.DUMMYFUNCTION("""COMPUTED_VALUE"""),"товари")</f>
        <v>товари</v>
      </c>
      <c r="B765" s="16" t="str">
        <f>IFERROR(__xludf.DUMMYFUNCTION("""COMPUTED_VALUE"""),"весільні товари")</f>
        <v>весільні товари</v>
      </c>
      <c r="C765" s="16" t="str">
        <f>IFERROR(__xludf.DUMMYFUNCTION("""COMPUTED_VALUE"""),"весільні товари, загальне")</f>
        <v>весільні товари, загальне</v>
      </c>
      <c r="D765" s="16" t="str">
        <f>IFERROR(__xludf.DUMMYFUNCTION("""COMPUTED_VALUE"""),"весільні товари, загальне")</f>
        <v>весільні товари, загальне</v>
      </c>
      <c r="E765" s="16" t="str">
        <f>IFERROR(__xludf.DUMMYFUNCTION("""COMPUTED_VALUE"""),"весільні товари, загальне")</f>
        <v>весільні товари, загальне</v>
      </c>
      <c r="F765" s="17">
        <f>IFERROR(__xludf.DUMMYFUNCTION("""COMPUTED_VALUE"""),2.0)</f>
        <v>2</v>
      </c>
      <c r="G765" s="17" t="str">
        <f>IFERROR(__xludf.DUMMYFUNCTION("""COMPUTED_VALUE"""),"281802")</f>
        <v>281802</v>
      </c>
      <c r="H765" s="17" t="str">
        <f>IFERROR(__xludf.DUMMYFUNCTION("""COMPUTED_VALUE"""),"весільні товари, загальне")</f>
        <v>весільні товари, загальне</v>
      </c>
      <c r="I765" s="19">
        <f>IFERROR(__xludf.DUMMYFUNCTION("""COMPUTED_VALUE"""),0.125)</f>
        <v>0.125</v>
      </c>
      <c r="J765" s="19">
        <f>IFERROR(__xludf.DUMMYFUNCTION("""COMPUTED_VALUE"""),0.25)</f>
        <v>0.25</v>
      </c>
      <c r="K765" s="19">
        <f>IFERROR(__xludf.DUMMYFUNCTION("""COMPUTED_VALUE"""),0.3125)</f>
        <v>0.3125</v>
      </c>
      <c r="L765" s="19">
        <f>IFERROR(__xludf.DUMMYFUNCTION("""COMPUTED_VALUE"""),0.375)</f>
        <v>0.375</v>
      </c>
      <c r="M765" s="18">
        <f>IFERROR(__xludf.DUMMYFUNCTION("""COMPUTED_VALUE"""),4.33)</f>
        <v>4.33</v>
      </c>
    </row>
    <row r="766">
      <c r="A766" s="13" t="str">
        <f>IFERROR(__xludf.DUMMYFUNCTION("""COMPUTED_VALUE"""),"товари")</f>
        <v>товари</v>
      </c>
      <c r="B766" s="16" t="str">
        <f>IFERROR(__xludf.DUMMYFUNCTION("""COMPUTED_VALUE"""),"весільні товари")</f>
        <v>весільні товари</v>
      </c>
      <c r="C766" s="16" t="str">
        <f>IFERROR(__xludf.DUMMYFUNCTION("""COMPUTED_VALUE"""),"вбрання та аксесуари для нареченої")</f>
        <v>вбрання та аксесуари для нареченої</v>
      </c>
      <c r="D766" s="16" t="str">
        <f>IFERROR(__xludf.DUMMYFUNCTION("""COMPUTED_VALUE"""),"жіноче весільне взуття")</f>
        <v>жіноче весільне взуття</v>
      </c>
      <c r="E766" s="16" t="str">
        <f>IFERROR(__xludf.DUMMYFUNCTION("""COMPUTED_VALUE"""),"жіноче весільне взуття")</f>
        <v>жіноче весільне взуття</v>
      </c>
      <c r="F766" s="17">
        <f>IFERROR(__xludf.DUMMYFUNCTION("""COMPUTED_VALUE"""),3.0)</f>
        <v>3</v>
      </c>
      <c r="G766" s="17" t="str">
        <f>IFERROR(__xludf.DUMMYFUNCTION("""COMPUTED_VALUE"""),"281810")</f>
        <v>281810</v>
      </c>
      <c r="H766" s="17" t="str">
        <f>IFERROR(__xludf.DUMMYFUNCTION("""COMPUTED_VALUE"""),"жіноче весільне взуття")</f>
        <v>жіноче весільне взуття</v>
      </c>
      <c r="I766" s="19">
        <f>IFERROR(__xludf.DUMMYFUNCTION("""COMPUTED_VALUE"""),0.0973)</f>
        <v>0.0973</v>
      </c>
      <c r="J766" s="19">
        <f>IFERROR(__xludf.DUMMYFUNCTION("""COMPUTED_VALUE"""),0.1945)</f>
        <v>0.1945</v>
      </c>
      <c r="K766" s="19">
        <f>IFERROR(__xludf.DUMMYFUNCTION("""COMPUTED_VALUE"""),0.2431)</f>
        <v>0.2431</v>
      </c>
      <c r="L766" s="19">
        <f>IFERROR(__xludf.DUMMYFUNCTION("""COMPUTED_VALUE"""),0.2918)</f>
        <v>0.2918</v>
      </c>
      <c r="M766" s="18">
        <f>IFERROR(__xludf.DUMMYFUNCTION("""COMPUTED_VALUE"""),1.05)</f>
        <v>1.05</v>
      </c>
    </row>
    <row r="767">
      <c r="A767" s="13" t="str">
        <f>IFERROR(__xludf.DUMMYFUNCTION("""COMPUTED_VALUE"""),"товари")</f>
        <v>товари</v>
      </c>
      <c r="B767" s="16" t="str">
        <f>IFERROR(__xludf.DUMMYFUNCTION("""COMPUTED_VALUE"""),"весільні товари")</f>
        <v>весільні товари</v>
      </c>
      <c r="C767" s="16" t="str">
        <f>IFERROR(__xludf.DUMMYFUNCTION("""COMPUTED_VALUE"""),"весільні аксесуари")</f>
        <v>весільні аксесуари</v>
      </c>
      <c r="D767" s="16" t="str">
        <f>IFERROR(__xludf.DUMMYFUNCTION("""COMPUTED_VALUE"""),"набори весільних аксесуарів")</f>
        <v>набори весільних аксесуарів</v>
      </c>
      <c r="E767" s="16" t="str">
        <f>IFERROR(__xludf.DUMMYFUNCTION("""COMPUTED_VALUE"""),"набори весільних аксесуарів")</f>
        <v>набори весільних аксесуарів</v>
      </c>
      <c r="F767" s="17">
        <f>IFERROR(__xludf.DUMMYFUNCTION("""COMPUTED_VALUE"""),3.0)</f>
        <v>3</v>
      </c>
      <c r="G767" s="17" t="str">
        <f>IFERROR(__xludf.DUMMYFUNCTION("""COMPUTED_VALUE"""),"3200608")</f>
        <v>3200608</v>
      </c>
      <c r="H767" s="17" t="str">
        <f>IFERROR(__xludf.DUMMYFUNCTION("""COMPUTED_VALUE"""),"набори весільних аксесуарів")</f>
        <v>набори весільних аксесуарів</v>
      </c>
      <c r="I767" s="19">
        <f>IFERROR(__xludf.DUMMYFUNCTION("""COMPUTED_VALUE"""),0.0909)</f>
        <v>0.0909</v>
      </c>
      <c r="J767" s="19">
        <f>IFERROR(__xludf.DUMMYFUNCTION("""COMPUTED_VALUE"""),0.1817)</f>
        <v>0.1817</v>
      </c>
      <c r="K767" s="19">
        <f>IFERROR(__xludf.DUMMYFUNCTION("""COMPUTED_VALUE"""),0.2271)</f>
        <v>0.2271</v>
      </c>
      <c r="L767" s="19">
        <f>IFERROR(__xludf.DUMMYFUNCTION("""COMPUTED_VALUE"""),0.2726)</f>
        <v>0.2726</v>
      </c>
      <c r="M767" s="18">
        <f>IFERROR(__xludf.DUMMYFUNCTION("""COMPUTED_VALUE"""),1.44)</f>
        <v>1.44</v>
      </c>
    </row>
    <row r="768">
      <c r="A768" s="13" t="str">
        <f>IFERROR(__xludf.DUMMYFUNCTION("""COMPUTED_VALUE"""),"товари")</f>
        <v>товари</v>
      </c>
      <c r="B768" s="16" t="str">
        <f>IFERROR(__xludf.DUMMYFUNCTION("""COMPUTED_VALUE"""),"весільні товари")</f>
        <v>весільні товари</v>
      </c>
      <c r="C768" s="16" t="str">
        <f>IFERROR(__xludf.DUMMYFUNCTION("""COMPUTED_VALUE"""),"об'ємні літери та весільні декорації")</f>
        <v>об'ємні літери та весільні декорації</v>
      </c>
      <c r="D768" s="16" t="str">
        <f>IFERROR(__xludf.DUMMYFUNCTION("""COMPUTED_VALUE"""),"об'ємні літери та весільні декорації")</f>
        <v>об'ємні літери та весільні декорації</v>
      </c>
      <c r="E768" s="16" t="str">
        <f>IFERROR(__xludf.DUMMYFUNCTION("""COMPUTED_VALUE"""),"об'ємні літери та весільні декорації")</f>
        <v>об'ємні літери та весільні декорації</v>
      </c>
      <c r="F768" s="17">
        <f>IFERROR(__xludf.DUMMYFUNCTION("""COMPUTED_VALUE"""),2.0)</f>
        <v>2</v>
      </c>
      <c r="G768" s="17" t="str">
        <f>IFERROR(__xludf.DUMMYFUNCTION("""COMPUTED_VALUE"""),"281813")</f>
        <v>281813</v>
      </c>
      <c r="H768" s="17" t="str">
        <f>IFERROR(__xludf.DUMMYFUNCTION("""COMPUTED_VALUE"""),"об'ємні літери та весільні декорації")</f>
        <v>об'ємні літери та весільні декорації</v>
      </c>
      <c r="I768" s="19">
        <f>IFERROR(__xludf.DUMMYFUNCTION("""COMPUTED_VALUE"""),0.1063)</f>
        <v>0.1063</v>
      </c>
      <c r="J768" s="19">
        <f>IFERROR(__xludf.DUMMYFUNCTION("""COMPUTED_VALUE"""),0.2125)</f>
        <v>0.2125</v>
      </c>
      <c r="K768" s="19">
        <f>IFERROR(__xludf.DUMMYFUNCTION("""COMPUTED_VALUE"""),0.2656)</f>
        <v>0.2656</v>
      </c>
      <c r="L768" s="19">
        <f>IFERROR(__xludf.DUMMYFUNCTION("""COMPUTED_VALUE"""),0.3188)</f>
        <v>0.3188</v>
      </c>
      <c r="M768" s="18">
        <f>IFERROR(__xludf.DUMMYFUNCTION("""COMPUTED_VALUE"""),1.05)</f>
        <v>1.05</v>
      </c>
    </row>
    <row r="769">
      <c r="A769" s="13" t="str">
        <f>IFERROR(__xludf.DUMMYFUNCTION("""COMPUTED_VALUE"""),"товари")</f>
        <v>товари</v>
      </c>
      <c r="B769" s="16" t="str">
        <f>IFERROR(__xludf.DUMMYFUNCTION("""COMPUTED_VALUE"""),"весільні товари")</f>
        <v>весільні товари</v>
      </c>
      <c r="C769" s="16" t="str">
        <f>IFERROR(__xludf.DUMMYFUNCTION("""COMPUTED_VALUE"""),"обручки")</f>
        <v>обручки</v>
      </c>
      <c r="D769" s="16" t="str">
        <f>IFERROR(__xludf.DUMMYFUNCTION("""COMPUTED_VALUE"""),"обручки")</f>
        <v>обручки</v>
      </c>
      <c r="E769" s="16" t="str">
        <f>IFERROR(__xludf.DUMMYFUNCTION("""COMPUTED_VALUE"""),"обручки")</f>
        <v>обручки</v>
      </c>
      <c r="F769" s="17">
        <f>IFERROR(__xludf.DUMMYFUNCTION("""COMPUTED_VALUE"""),2.0)</f>
        <v>2</v>
      </c>
      <c r="G769" s="17" t="str">
        <f>IFERROR(__xludf.DUMMYFUNCTION("""COMPUTED_VALUE"""),"150901")</f>
        <v>150901</v>
      </c>
      <c r="H769" s="17" t="str">
        <f>IFERROR(__xludf.DUMMYFUNCTION("""COMPUTED_VALUE"""),"обручки")</f>
        <v>обручки</v>
      </c>
      <c r="I769" s="19">
        <f>IFERROR(__xludf.DUMMYFUNCTION("""COMPUTED_VALUE"""),0.0842)</f>
        <v>0.0842</v>
      </c>
      <c r="J769" s="19">
        <f>IFERROR(__xludf.DUMMYFUNCTION("""COMPUTED_VALUE"""),0.1683)</f>
        <v>0.1683</v>
      </c>
      <c r="K769" s="19">
        <f>IFERROR(__xludf.DUMMYFUNCTION("""COMPUTED_VALUE"""),0.2104)</f>
        <v>0.2104</v>
      </c>
      <c r="L769" s="19">
        <f>IFERROR(__xludf.DUMMYFUNCTION("""COMPUTED_VALUE"""),0.2525)</f>
        <v>0.2525</v>
      </c>
      <c r="M769" s="18">
        <f>IFERROR(__xludf.DUMMYFUNCTION("""COMPUTED_VALUE"""),1.05)</f>
        <v>1.05</v>
      </c>
    </row>
    <row r="770">
      <c r="A770" s="13" t="str">
        <f>IFERROR(__xludf.DUMMYFUNCTION("""COMPUTED_VALUE"""),"товари")</f>
        <v>товари</v>
      </c>
      <c r="B770" s="16" t="str">
        <f>IFERROR(__xludf.DUMMYFUNCTION("""COMPUTED_VALUE"""),"весільні товари")</f>
        <v>весільні товари</v>
      </c>
      <c r="C770" s="16" t="str">
        <f>IFERROR(__xludf.DUMMYFUNCTION("""COMPUTED_VALUE"""),"весільні аксесуари")</f>
        <v>весільні аксесуари</v>
      </c>
      <c r="D770" s="16" t="str">
        <f>IFERROR(__xludf.DUMMYFUNCTION("""COMPUTED_VALUE"""),"подушечки для обручок")</f>
        <v>подушечки для обручок</v>
      </c>
      <c r="E770" s="16" t="str">
        <f>IFERROR(__xludf.DUMMYFUNCTION("""COMPUTED_VALUE"""),"подушечки для обручок")</f>
        <v>подушечки для обручок</v>
      </c>
      <c r="F770" s="17">
        <f>IFERROR(__xludf.DUMMYFUNCTION("""COMPUTED_VALUE"""),3.0)</f>
        <v>3</v>
      </c>
      <c r="G770" s="17" t="str">
        <f>IFERROR(__xludf.DUMMYFUNCTION("""COMPUTED_VALUE"""),"3200601")</f>
        <v>3200601</v>
      </c>
      <c r="H770" s="17" t="str">
        <f>IFERROR(__xludf.DUMMYFUNCTION("""COMPUTED_VALUE"""),"подушечки для обручок")</f>
        <v>подушечки для обручок</v>
      </c>
      <c r="I770" s="19">
        <f>IFERROR(__xludf.DUMMYFUNCTION("""COMPUTED_VALUE"""),0.1184)</f>
        <v>0.1184</v>
      </c>
      <c r="J770" s="19">
        <f>IFERROR(__xludf.DUMMYFUNCTION("""COMPUTED_VALUE"""),0.2368)</f>
        <v>0.2368</v>
      </c>
      <c r="K770" s="19">
        <f>IFERROR(__xludf.DUMMYFUNCTION("""COMPUTED_VALUE"""),0.296)</f>
        <v>0.296</v>
      </c>
      <c r="L770" s="19">
        <f>IFERROR(__xludf.DUMMYFUNCTION("""COMPUTED_VALUE"""),0.3552)</f>
        <v>0.3552</v>
      </c>
      <c r="M770" s="18">
        <f>IFERROR(__xludf.DUMMYFUNCTION("""COMPUTED_VALUE"""),1.71)</f>
        <v>1.71</v>
      </c>
    </row>
    <row r="771">
      <c r="A771" s="13" t="str">
        <f>IFERROR(__xludf.DUMMYFUNCTION("""COMPUTED_VALUE"""),"товари")</f>
        <v>товари</v>
      </c>
      <c r="B771" s="16" t="str">
        <f>IFERROR(__xludf.DUMMYFUNCTION("""COMPUTED_VALUE"""),"весільні товари")</f>
        <v>весільні товари</v>
      </c>
      <c r="C771" s="16" t="str">
        <f>IFERROR(__xludf.DUMMYFUNCTION("""COMPUTED_VALUE"""),"прикраси для весільних машин")</f>
        <v>прикраси для весільних машин</v>
      </c>
      <c r="D771" s="16" t="str">
        <f>IFERROR(__xludf.DUMMYFUNCTION("""COMPUTED_VALUE"""),"прикраси для весільних машин")</f>
        <v>прикраси для весільних машин</v>
      </c>
      <c r="E771" s="16" t="str">
        <f>IFERROR(__xludf.DUMMYFUNCTION("""COMPUTED_VALUE"""),"прикраси для весільних машин")</f>
        <v>прикраси для весільних машин</v>
      </c>
      <c r="F771" s="17">
        <f>IFERROR(__xludf.DUMMYFUNCTION("""COMPUTED_VALUE"""),2.0)</f>
        <v>2</v>
      </c>
      <c r="G771" s="17" t="str">
        <f>IFERROR(__xludf.DUMMYFUNCTION("""COMPUTED_VALUE"""),"281812")</f>
        <v>281812</v>
      </c>
      <c r="H771" s="17" t="str">
        <f>IFERROR(__xludf.DUMMYFUNCTION("""COMPUTED_VALUE"""),"прикраси для весільних машин")</f>
        <v>прикраси для весільних машин</v>
      </c>
      <c r="I771" s="19">
        <f>IFERROR(__xludf.DUMMYFUNCTION("""COMPUTED_VALUE"""),0.0825)</f>
        <v>0.0825</v>
      </c>
      <c r="J771" s="19">
        <f>IFERROR(__xludf.DUMMYFUNCTION("""COMPUTED_VALUE"""),0.165)</f>
        <v>0.165</v>
      </c>
      <c r="K771" s="19">
        <f>IFERROR(__xludf.DUMMYFUNCTION("""COMPUTED_VALUE"""),0.2063)</f>
        <v>0.2063</v>
      </c>
      <c r="L771" s="19">
        <f>IFERROR(__xludf.DUMMYFUNCTION("""COMPUTED_VALUE"""),0.2475)</f>
        <v>0.2475</v>
      </c>
      <c r="M771" s="18">
        <f>IFERROR(__xludf.DUMMYFUNCTION("""COMPUTED_VALUE"""),1.44)</f>
        <v>1.44</v>
      </c>
    </row>
    <row r="772">
      <c r="A772" s="13" t="str">
        <f>IFERROR(__xludf.DUMMYFUNCTION("""COMPUTED_VALUE"""),"товари")</f>
        <v>товари</v>
      </c>
      <c r="B772" s="16" t="str">
        <f>IFERROR(__xludf.DUMMYFUNCTION("""COMPUTED_VALUE"""),"весільні товари")</f>
        <v>весільні товари</v>
      </c>
      <c r="C772" s="16" t="str">
        <f>IFERROR(__xludf.DUMMYFUNCTION("""COMPUTED_VALUE"""),"весільні аксесуари")</f>
        <v>весільні аксесуари</v>
      </c>
      <c r="D772" s="16" t="str">
        <f>IFERROR(__xludf.DUMMYFUNCTION("""COMPUTED_VALUE"""),"фігурки для весільних тортів")</f>
        <v>фігурки для весільних тортів</v>
      </c>
      <c r="E772" s="16" t="str">
        <f>IFERROR(__xludf.DUMMYFUNCTION("""COMPUTED_VALUE"""),"фігурки для весільних тортів")</f>
        <v>фігурки для весільних тортів</v>
      </c>
      <c r="F772" s="17">
        <f>IFERROR(__xludf.DUMMYFUNCTION("""COMPUTED_VALUE"""),3.0)</f>
        <v>3</v>
      </c>
      <c r="G772" s="17" t="str">
        <f>IFERROR(__xludf.DUMMYFUNCTION("""COMPUTED_VALUE"""),"3200607")</f>
        <v>3200607</v>
      </c>
      <c r="H772" s="17" t="str">
        <f>IFERROR(__xludf.DUMMYFUNCTION("""COMPUTED_VALUE"""),"фігурки для весільних тортів")</f>
        <v>фігурки для весільних тортів</v>
      </c>
      <c r="I772" s="19">
        <f>IFERROR(__xludf.DUMMYFUNCTION("""COMPUTED_VALUE"""),0.1071)</f>
        <v>0.1071</v>
      </c>
      <c r="J772" s="19">
        <f>IFERROR(__xludf.DUMMYFUNCTION("""COMPUTED_VALUE"""),0.2141)</f>
        <v>0.2141</v>
      </c>
      <c r="K772" s="19">
        <f>IFERROR(__xludf.DUMMYFUNCTION("""COMPUTED_VALUE"""),0.2676)</f>
        <v>0.2676</v>
      </c>
      <c r="L772" s="19">
        <f>IFERROR(__xludf.DUMMYFUNCTION("""COMPUTED_VALUE"""),0.3212)</f>
        <v>0.3212</v>
      </c>
      <c r="M772" s="18">
        <f>IFERROR(__xludf.DUMMYFUNCTION("""COMPUTED_VALUE"""),1.63)</f>
        <v>1.63</v>
      </c>
    </row>
    <row r="773">
      <c r="A773" s="13" t="str">
        <f>IFERROR(__xludf.DUMMYFUNCTION("""COMPUTED_VALUE"""),"товари")</f>
        <v>товари</v>
      </c>
      <c r="B773" s="16" t="str">
        <f>IFERROR(__xludf.DUMMYFUNCTION("""COMPUTED_VALUE"""),"вироби з металу, пластику, гуми")</f>
        <v>вироби з металу, пластику, гуми</v>
      </c>
      <c r="C773" s="16" t="str">
        <f>IFERROR(__xludf.DUMMYFUNCTION("""COMPUTED_VALUE"""),"металовироби будівельного призначення")</f>
        <v>металовироби будівельного призначення</v>
      </c>
      <c r="D773" s="16" t="str">
        <f>IFERROR(__xludf.DUMMYFUNCTION("""COMPUTED_VALUE"""),"антивандальні решітки, козирки")</f>
        <v>антивандальні решітки, козирки</v>
      </c>
      <c r="E773" s="16" t="str">
        <f>IFERROR(__xludf.DUMMYFUNCTION("""COMPUTED_VALUE"""),"антивандальні решітки, козирки")</f>
        <v>антивандальні решітки, козирки</v>
      </c>
      <c r="F773" s="17">
        <f>IFERROR(__xludf.DUMMYFUNCTION("""COMPUTED_VALUE"""),3.0)</f>
        <v>3</v>
      </c>
      <c r="G773" s="17" t="str">
        <f>IFERROR(__xludf.DUMMYFUNCTION("""COMPUTED_VALUE"""),"421408")</f>
        <v>421408</v>
      </c>
      <c r="H773" s="17" t="str">
        <f>IFERROR(__xludf.DUMMYFUNCTION("""COMPUTED_VALUE"""),"антивандальні решітки, козирки")</f>
        <v>антивандальні решітки, козирки</v>
      </c>
      <c r="I773" s="19">
        <f>IFERROR(__xludf.DUMMYFUNCTION("""COMPUTED_VALUE"""),0.0554)</f>
        <v>0.0554</v>
      </c>
      <c r="J773" s="19">
        <f>IFERROR(__xludf.DUMMYFUNCTION("""COMPUTED_VALUE"""),0.1108)</f>
        <v>0.1108</v>
      </c>
      <c r="K773" s="19">
        <f>IFERROR(__xludf.DUMMYFUNCTION("""COMPUTED_VALUE"""),0.1385)</f>
        <v>0.1385</v>
      </c>
      <c r="L773" s="19">
        <f>IFERROR(__xludf.DUMMYFUNCTION("""COMPUTED_VALUE"""),0.1662)</f>
        <v>0.1662</v>
      </c>
      <c r="M773" s="18">
        <f>IFERROR(__xludf.DUMMYFUNCTION("""COMPUTED_VALUE"""),1.8)</f>
        <v>1.8</v>
      </c>
    </row>
    <row r="774">
      <c r="A774" s="13" t="str">
        <f>IFERROR(__xludf.DUMMYFUNCTION("""COMPUTED_VALUE"""),"товари")</f>
        <v>товари</v>
      </c>
      <c r="B774" s="16" t="str">
        <f>IFERROR(__xludf.DUMMYFUNCTION("""COMPUTED_VALUE"""),"вироби з металу, пластику, гуми")</f>
        <v>вироби з металу, пластику, гуми</v>
      </c>
      <c r="C774" s="16" t="str">
        <f>IFERROR(__xludf.DUMMYFUNCTION("""COMPUTED_VALUE"""),"гумотехнічні вироби")</f>
        <v>гумотехнічні вироби</v>
      </c>
      <c r="D774" s="16" t="str">
        <f>IFERROR(__xludf.DUMMYFUNCTION("""COMPUTED_VALUE"""),"брудознімачі гумові")</f>
        <v>брудознімачі гумові</v>
      </c>
      <c r="E774" s="16" t="str">
        <f>IFERROR(__xludf.DUMMYFUNCTION("""COMPUTED_VALUE"""),"брудознімачі гумові")</f>
        <v>брудознімачі гумові</v>
      </c>
      <c r="F774" s="17">
        <f>IFERROR(__xludf.DUMMYFUNCTION("""COMPUTED_VALUE"""),3.0)</f>
        <v>3</v>
      </c>
      <c r="G774" s="17" t="str">
        <f>IFERROR(__xludf.DUMMYFUNCTION("""COMPUTED_VALUE"""),"801212")</f>
        <v>801212</v>
      </c>
      <c r="H774" s="17" t="str">
        <f>IFERROR(__xludf.DUMMYFUNCTION("""COMPUTED_VALUE"""),"брудознімачі гумові")</f>
        <v>брудознімачі гумові</v>
      </c>
      <c r="I774" s="19">
        <f>IFERROR(__xludf.DUMMYFUNCTION("""COMPUTED_VALUE"""),0.0918)</f>
        <v>0.0918</v>
      </c>
      <c r="J774" s="19">
        <f>IFERROR(__xludf.DUMMYFUNCTION("""COMPUTED_VALUE"""),0.1835)</f>
        <v>0.1835</v>
      </c>
      <c r="K774" s="19">
        <f>IFERROR(__xludf.DUMMYFUNCTION("""COMPUTED_VALUE"""),0.2294)</f>
        <v>0.2294</v>
      </c>
      <c r="L774" s="19">
        <f>IFERROR(__xludf.DUMMYFUNCTION("""COMPUTED_VALUE"""),0.2753)</f>
        <v>0.2753</v>
      </c>
      <c r="M774" s="18">
        <f>IFERROR(__xludf.DUMMYFUNCTION("""COMPUTED_VALUE"""),2.08)</f>
        <v>2.08</v>
      </c>
    </row>
    <row r="775">
      <c r="A775" s="13" t="str">
        <f>IFERROR(__xludf.DUMMYFUNCTION("""COMPUTED_VALUE"""),"товари")</f>
        <v>товари</v>
      </c>
      <c r="B775" s="16" t="str">
        <f>IFERROR(__xludf.DUMMYFUNCTION("""COMPUTED_VALUE"""),"вироби з металу, пластику, гуми")</f>
        <v>вироби з металу, пластику, гуми</v>
      </c>
      <c r="C775" s="16" t="str">
        <f>IFERROR(__xludf.DUMMYFUNCTION("""COMPUTED_VALUE"""),"вироби з металу, пластику, гуми, загальне")</f>
        <v>вироби з металу, пластику, гуми, загальне</v>
      </c>
      <c r="D775" s="16" t="str">
        <f>IFERROR(__xludf.DUMMYFUNCTION("""COMPUTED_VALUE"""),"вироби з металу, пластику, гуми, загальне")</f>
        <v>вироби з металу, пластику, гуми, загальне</v>
      </c>
      <c r="E775" s="16" t="str">
        <f>IFERROR(__xludf.DUMMYFUNCTION("""COMPUTED_VALUE"""),"вироби з металу, пластику, гуми, загальне")</f>
        <v>вироби з металу, пластику, гуми, загальне</v>
      </c>
      <c r="F775" s="17">
        <f>IFERROR(__xludf.DUMMYFUNCTION("""COMPUTED_VALUE"""),2.0)</f>
        <v>2</v>
      </c>
      <c r="G775" s="17" t="str">
        <f>IFERROR(__xludf.DUMMYFUNCTION("""COMPUTED_VALUE"""),"4299")</f>
        <v>4299</v>
      </c>
      <c r="H775" s="17" t="str">
        <f>IFERROR(__xludf.DUMMYFUNCTION("""COMPUTED_VALUE"""),"вироби з металу, пластику, гуми, загальне")</f>
        <v>вироби з металу, пластику, гуми, загальне</v>
      </c>
      <c r="I775" s="19">
        <f>IFERROR(__xludf.DUMMYFUNCTION("""COMPUTED_VALUE"""),0.125)</f>
        <v>0.125</v>
      </c>
      <c r="J775" s="19">
        <f>IFERROR(__xludf.DUMMYFUNCTION("""COMPUTED_VALUE"""),0.25)</f>
        <v>0.25</v>
      </c>
      <c r="K775" s="19">
        <f>IFERROR(__xludf.DUMMYFUNCTION("""COMPUTED_VALUE"""),0.3125)</f>
        <v>0.3125</v>
      </c>
      <c r="L775" s="19">
        <f>IFERROR(__xludf.DUMMYFUNCTION("""COMPUTED_VALUE"""),0.375)</f>
        <v>0.375</v>
      </c>
      <c r="M775" s="18">
        <f>IFERROR(__xludf.DUMMYFUNCTION("""COMPUTED_VALUE"""),4.33)</f>
        <v>4.33</v>
      </c>
    </row>
    <row r="776">
      <c r="A776" s="13" t="str">
        <f>IFERROR(__xludf.DUMMYFUNCTION("""COMPUTED_VALUE"""),"товари")</f>
        <v>товари</v>
      </c>
      <c r="B776" s="16" t="str">
        <f>IFERROR(__xludf.DUMMYFUNCTION("""COMPUTED_VALUE"""),"вироби з металу, пластику, гуми")</f>
        <v>вироби з металу, пластику, гуми</v>
      </c>
      <c r="C776" s="16" t="str">
        <f>IFERROR(__xludf.DUMMYFUNCTION("""COMPUTED_VALUE"""),"гумотехнічні вироби")</f>
        <v>гумотехнічні вироби</v>
      </c>
      <c r="D776" s="16" t="str">
        <f>IFERROR(__xludf.DUMMYFUNCTION("""COMPUTED_VALUE"""),"гумові ремені")</f>
        <v>гумові ремені</v>
      </c>
      <c r="E776" s="16" t="str">
        <f>IFERROR(__xludf.DUMMYFUNCTION("""COMPUTED_VALUE"""),"гумові ремені")</f>
        <v>гумові ремені</v>
      </c>
      <c r="F776" s="17">
        <f>IFERROR(__xludf.DUMMYFUNCTION("""COMPUTED_VALUE"""),3.0)</f>
        <v>3</v>
      </c>
      <c r="G776" s="17" t="str">
        <f>IFERROR(__xludf.DUMMYFUNCTION("""COMPUTED_VALUE"""),"801207")</f>
        <v>801207</v>
      </c>
      <c r="H776" s="17" t="str">
        <f>IFERROR(__xludf.DUMMYFUNCTION("""COMPUTED_VALUE"""),"гумові ремені")</f>
        <v>гумові ремені</v>
      </c>
      <c r="I776" s="19">
        <f>IFERROR(__xludf.DUMMYFUNCTION("""COMPUTED_VALUE"""),0.0585)</f>
        <v>0.0585</v>
      </c>
      <c r="J776" s="19">
        <f>IFERROR(__xludf.DUMMYFUNCTION("""COMPUTED_VALUE"""),0.117)</f>
        <v>0.117</v>
      </c>
      <c r="K776" s="19">
        <f>IFERROR(__xludf.DUMMYFUNCTION("""COMPUTED_VALUE"""),0.1463)</f>
        <v>0.1463</v>
      </c>
      <c r="L776" s="19">
        <f>IFERROR(__xludf.DUMMYFUNCTION("""COMPUTED_VALUE"""),0.1755)</f>
        <v>0.1755</v>
      </c>
      <c r="M776" s="18">
        <f>IFERROR(__xludf.DUMMYFUNCTION("""COMPUTED_VALUE"""),1.53)</f>
        <v>1.53</v>
      </c>
    </row>
    <row r="777">
      <c r="A777" s="13" t="str">
        <f>IFERROR(__xludf.DUMMYFUNCTION("""COMPUTED_VALUE"""),"товари")</f>
        <v>товари</v>
      </c>
      <c r="B777" s="16" t="str">
        <f>IFERROR(__xludf.DUMMYFUNCTION("""COMPUTED_VALUE"""),"вироби з металу, пластику, гуми")</f>
        <v>вироби з металу, пластику, гуми</v>
      </c>
      <c r="C777" s="16" t="str">
        <f>IFERROR(__xludf.DUMMYFUNCTION("""COMPUTED_VALUE"""),"гумові вироби")</f>
        <v>гумові вироби</v>
      </c>
      <c r="D777" s="16" t="str">
        <f>IFERROR(__xludf.DUMMYFUNCTION("""COMPUTED_VALUE"""),"гумові шланги")</f>
        <v>гумові шланги</v>
      </c>
      <c r="E777" s="16" t="str">
        <f>IFERROR(__xludf.DUMMYFUNCTION("""COMPUTED_VALUE"""),"гумові шланги")</f>
        <v>гумові шланги</v>
      </c>
      <c r="F777" s="17">
        <f>IFERROR(__xludf.DUMMYFUNCTION("""COMPUTED_VALUE"""),3.0)</f>
        <v>3</v>
      </c>
      <c r="G777" s="17">
        <f>IFERROR(__xludf.DUMMYFUNCTION("""COMPUTED_VALUE"""),801209.0)</f>
        <v>801209</v>
      </c>
      <c r="H777" s="17" t="str">
        <f>IFERROR(__xludf.DUMMYFUNCTION("""COMPUTED_VALUE"""),"гумові шланги")</f>
        <v>гумові шланги</v>
      </c>
      <c r="I777" s="19">
        <f>IFERROR(__xludf.DUMMYFUNCTION("""COMPUTED_VALUE"""),0.0673)</f>
        <v>0.0673</v>
      </c>
      <c r="J777" s="19">
        <f>IFERROR(__xludf.DUMMYFUNCTION("""COMPUTED_VALUE"""),0.1345)</f>
        <v>0.1345</v>
      </c>
      <c r="K777" s="19">
        <f>IFERROR(__xludf.DUMMYFUNCTION("""COMPUTED_VALUE"""),0.1681)</f>
        <v>0.1681</v>
      </c>
      <c r="L777" s="19">
        <f>IFERROR(__xludf.DUMMYFUNCTION("""COMPUTED_VALUE"""),0.2018)</f>
        <v>0.2018</v>
      </c>
      <c r="M777" s="18">
        <f>IFERROR(__xludf.DUMMYFUNCTION("""COMPUTED_VALUE"""),1.53)</f>
        <v>1.53</v>
      </c>
    </row>
    <row r="778">
      <c r="A778" s="13" t="str">
        <f>IFERROR(__xludf.DUMMYFUNCTION("""COMPUTED_VALUE"""),"товари")</f>
        <v>товари</v>
      </c>
      <c r="B778" s="16" t="str">
        <f>IFERROR(__xludf.DUMMYFUNCTION("""COMPUTED_VALUE"""),"вироби з металу, пластику, гуми")</f>
        <v>вироби з металу, пластику, гуми</v>
      </c>
      <c r="C778" s="16" t="str">
        <f>IFERROR(__xludf.DUMMYFUNCTION("""COMPUTED_VALUE"""),"гумотехнічні вироби")</f>
        <v>гумотехнічні вироби</v>
      </c>
      <c r="D778" s="16" t="str">
        <f>IFERROR(__xludf.DUMMYFUNCTION("""COMPUTED_VALUE"""),"гумовотехнічні вироби, загальне")</f>
        <v>гумовотехнічні вироби, загальне</v>
      </c>
      <c r="E778" s="16" t="str">
        <f>IFERROR(__xludf.DUMMYFUNCTION("""COMPUTED_VALUE"""),"гумовотехнічні вироби, загальне")</f>
        <v>гумовотехнічні вироби, загальне</v>
      </c>
      <c r="F778" s="17">
        <f>IFERROR(__xludf.DUMMYFUNCTION("""COMPUTED_VALUE"""),3.0)</f>
        <v>3</v>
      </c>
      <c r="G778" s="17" t="str">
        <f>IFERROR(__xludf.DUMMYFUNCTION("""COMPUTED_VALUE"""),"801215")</f>
        <v>801215</v>
      </c>
      <c r="H778" s="17" t="str">
        <f>IFERROR(__xludf.DUMMYFUNCTION("""COMPUTED_VALUE"""),"гумовотехнічні вироби, загальне")</f>
        <v>гумовотехнічні вироби, загальне</v>
      </c>
      <c r="I778" s="19">
        <f>IFERROR(__xludf.DUMMYFUNCTION("""COMPUTED_VALUE"""),0.125)</f>
        <v>0.125</v>
      </c>
      <c r="J778" s="19">
        <f>IFERROR(__xludf.DUMMYFUNCTION("""COMPUTED_VALUE"""),0.25)</f>
        <v>0.25</v>
      </c>
      <c r="K778" s="19">
        <f>IFERROR(__xludf.DUMMYFUNCTION("""COMPUTED_VALUE"""),0.3125)</f>
        <v>0.3125</v>
      </c>
      <c r="L778" s="19">
        <f>IFERROR(__xludf.DUMMYFUNCTION("""COMPUTED_VALUE"""),0.375)</f>
        <v>0.375</v>
      </c>
      <c r="M778" s="18">
        <f>IFERROR(__xludf.DUMMYFUNCTION("""COMPUTED_VALUE"""),4.33)</f>
        <v>4.33</v>
      </c>
    </row>
    <row r="779">
      <c r="A779" s="13" t="str">
        <f>IFERROR(__xludf.DUMMYFUNCTION("""COMPUTED_VALUE"""),"товари")</f>
        <v>товари</v>
      </c>
      <c r="B779" s="16" t="str">
        <f>IFERROR(__xludf.DUMMYFUNCTION("""COMPUTED_VALUE"""),"вироби з металу, пластику, гуми")</f>
        <v>вироби з металу, пластику, гуми</v>
      </c>
      <c r="C779" s="16" t="str">
        <f>IFERROR(__xludf.DUMMYFUNCTION("""COMPUTED_VALUE"""),"металовироби промислового призначення")</f>
        <v>металовироби промислового призначення</v>
      </c>
      <c r="D779" s="16" t="str">
        <f>IFERROR(__xludf.DUMMYFUNCTION("""COMPUTED_VALUE"""),"дріт")</f>
        <v>дріт</v>
      </c>
      <c r="E779" s="16" t="str">
        <f>IFERROR(__xludf.DUMMYFUNCTION("""COMPUTED_VALUE"""),"дріт")</f>
        <v>дріт</v>
      </c>
      <c r="F779" s="17">
        <f>IFERROR(__xludf.DUMMYFUNCTION("""COMPUTED_VALUE"""),3.0)</f>
        <v>3</v>
      </c>
      <c r="G779" s="17" t="str">
        <f>IFERROR(__xludf.DUMMYFUNCTION("""COMPUTED_VALUE"""),"421002")</f>
        <v>421002</v>
      </c>
      <c r="H779" s="17" t="str">
        <f>IFERROR(__xludf.DUMMYFUNCTION("""COMPUTED_VALUE"""),"дріт")</f>
        <v>дріт</v>
      </c>
      <c r="I779" s="19">
        <f>IFERROR(__xludf.DUMMYFUNCTION("""COMPUTED_VALUE"""),0.0263)</f>
        <v>0.0263</v>
      </c>
      <c r="J779" s="19">
        <f>IFERROR(__xludf.DUMMYFUNCTION("""COMPUTED_VALUE"""),0.0526)</f>
        <v>0.0526</v>
      </c>
      <c r="K779" s="19">
        <f>IFERROR(__xludf.DUMMYFUNCTION("""COMPUTED_VALUE"""),0.0658)</f>
        <v>0.0658</v>
      </c>
      <c r="L779" s="19">
        <f>IFERROR(__xludf.DUMMYFUNCTION("""COMPUTED_VALUE"""),0.0789)</f>
        <v>0.0789</v>
      </c>
      <c r="M779" s="18">
        <f>IFERROR(__xludf.DUMMYFUNCTION("""COMPUTED_VALUE"""),4.2)</f>
        <v>4.2</v>
      </c>
    </row>
    <row r="780">
      <c r="A780" s="13" t="str">
        <f>IFERROR(__xludf.DUMMYFUNCTION("""COMPUTED_VALUE"""),"товари")</f>
        <v>товари</v>
      </c>
      <c r="B780" s="16" t="str">
        <f>IFERROR(__xludf.DUMMYFUNCTION("""COMPUTED_VALUE"""),"вироби з металу, пластику, гуми")</f>
        <v>вироби з металу, пластику, гуми</v>
      </c>
      <c r="C780" s="16" t="str">
        <f>IFERROR(__xludf.DUMMYFUNCTION("""COMPUTED_VALUE"""),"гумотехнічні вироби")</f>
        <v>гумотехнічні вироби</v>
      </c>
      <c r="D780" s="16" t="str">
        <f>IFERROR(__xludf.DUMMYFUNCTION("""COMPUTED_VALUE"""),"кільця гумові")</f>
        <v>кільця гумові</v>
      </c>
      <c r="E780" s="16" t="str">
        <f>IFERROR(__xludf.DUMMYFUNCTION("""COMPUTED_VALUE"""),"кільця гумові")</f>
        <v>кільця гумові</v>
      </c>
      <c r="F780" s="17">
        <f>IFERROR(__xludf.DUMMYFUNCTION("""COMPUTED_VALUE"""),3.0)</f>
        <v>3</v>
      </c>
      <c r="G780" s="17" t="str">
        <f>IFERROR(__xludf.DUMMYFUNCTION("""COMPUTED_VALUE"""),"801214")</f>
        <v>801214</v>
      </c>
      <c r="H780" s="17" t="str">
        <f>IFERROR(__xludf.DUMMYFUNCTION("""COMPUTED_VALUE"""),"кільця гумові")</f>
        <v>кільця гумові</v>
      </c>
      <c r="I780" s="19">
        <f>IFERROR(__xludf.DUMMYFUNCTION("""COMPUTED_VALUE"""),0.0546)</f>
        <v>0.0546</v>
      </c>
      <c r="J780" s="19">
        <f>IFERROR(__xludf.DUMMYFUNCTION("""COMPUTED_VALUE"""),0.1092)</f>
        <v>0.1092</v>
      </c>
      <c r="K780" s="19">
        <f>IFERROR(__xludf.DUMMYFUNCTION("""COMPUTED_VALUE"""),0.1365)</f>
        <v>0.1365</v>
      </c>
      <c r="L780" s="19">
        <f>IFERROR(__xludf.DUMMYFUNCTION("""COMPUTED_VALUE"""),0.1638)</f>
        <v>0.1638</v>
      </c>
      <c r="M780" s="18">
        <f>IFERROR(__xludf.DUMMYFUNCTION("""COMPUTED_VALUE"""),1.44)</f>
        <v>1.44</v>
      </c>
    </row>
    <row r="781">
      <c r="A781" s="13" t="str">
        <f>IFERROR(__xludf.DUMMYFUNCTION("""COMPUTED_VALUE"""),"товари")</f>
        <v>товари</v>
      </c>
      <c r="B781" s="16" t="str">
        <f>IFERROR(__xludf.DUMMYFUNCTION("""COMPUTED_VALUE"""),"вироби з металу, пластику, гуми")</f>
        <v>вироби з металу, пластику, гуми</v>
      </c>
      <c r="C781" s="16" t="str">
        <f>IFERROR(__xludf.DUMMYFUNCTION("""COMPUTED_VALUE"""),"кування, литво, відливка")</f>
        <v>кування, литво, відливка</v>
      </c>
      <c r="D781" s="16" t="str">
        <f>IFERROR(__xludf.DUMMYFUNCTION("""COMPUTED_VALUE"""),"художня ковка")</f>
        <v>художня ковка</v>
      </c>
      <c r="E781" s="16" t="str">
        <f>IFERROR(__xludf.DUMMYFUNCTION("""COMPUTED_VALUE"""),"ковані декоративні вироби")</f>
        <v>ковані декоративні вироби</v>
      </c>
      <c r="F781" s="17">
        <f>IFERROR(__xludf.DUMMYFUNCTION("""COMPUTED_VALUE"""),4.0)</f>
        <v>4</v>
      </c>
      <c r="G781" s="17" t="str">
        <f>IFERROR(__xludf.DUMMYFUNCTION("""COMPUTED_VALUE"""),"42020103")</f>
        <v>42020103</v>
      </c>
      <c r="H781" s="17" t="str">
        <f>IFERROR(__xludf.DUMMYFUNCTION("""COMPUTED_VALUE"""),"ковані декоративні вироби")</f>
        <v>ковані декоративні вироби</v>
      </c>
      <c r="I781" s="19">
        <f>IFERROR(__xludf.DUMMYFUNCTION("""COMPUTED_VALUE"""),0.0263)</f>
        <v>0.0263</v>
      </c>
      <c r="J781" s="19">
        <f>IFERROR(__xludf.DUMMYFUNCTION("""COMPUTED_VALUE"""),0.0526)</f>
        <v>0.0526</v>
      </c>
      <c r="K781" s="19">
        <f>IFERROR(__xludf.DUMMYFUNCTION("""COMPUTED_VALUE"""),0.0658)</f>
        <v>0.0658</v>
      </c>
      <c r="L781" s="19">
        <f>IFERROR(__xludf.DUMMYFUNCTION("""COMPUTED_VALUE"""),0.0789)</f>
        <v>0.0789</v>
      </c>
      <c r="M781" s="18">
        <f>IFERROR(__xludf.DUMMYFUNCTION("""COMPUTED_VALUE"""),1.71)</f>
        <v>1.71</v>
      </c>
    </row>
    <row r="782">
      <c r="A782" s="13" t="str">
        <f>IFERROR(__xludf.DUMMYFUNCTION("""COMPUTED_VALUE"""),"товари")</f>
        <v>товари</v>
      </c>
      <c r="B782" s="16" t="str">
        <f>IFERROR(__xludf.DUMMYFUNCTION("""COMPUTED_VALUE"""),"вироби з металу, пластику, гуми")</f>
        <v>вироби з металу, пластику, гуми</v>
      </c>
      <c r="C782" s="16" t="str">
        <f>IFERROR(__xludf.DUMMYFUNCTION("""COMPUTED_VALUE"""),"кування, литво, відливка")</f>
        <v>кування, литво, відливка</v>
      </c>
      <c r="D782" s="16" t="str">
        <f>IFERROR(__xludf.DUMMYFUNCTION("""COMPUTED_VALUE"""),"художня ковка")</f>
        <v>художня ковка</v>
      </c>
      <c r="E782" s="16" t="str">
        <f>IFERROR(__xludf.DUMMYFUNCTION("""COMPUTED_VALUE"""),"ковані люстри і світильники")</f>
        <v>ковані люстри і світильники</v>
      </c>
      <c r="F782" s="17">
        <f>IFERROR(__xludf.DUMMYFUNCTION("""COMPUTED_VALUE"""),4.0)</f>
        <v>4</v>
      </c>
      <c r="G782" s="17" t="str">
        <f>IFERROR(__xludf.DUMMYFUNCTION("""COMPUTED_VALUE"""),"420204")</f>
        <v>420204</v>
      </c>
      <c r="H782" s="17" t="str">
        <f>IFERROR(__xludf.DUMMYFUNCTION("""COMPUTED_VALUE"""),"ковані люстри і світильники")</f>
        <v>ковані люстри і світильники</v>
      </c>
      <c r="I782" s="19">
        <f>IFERROR(__xludf.DUMMYFUNCTION("""COMPUTED_VALUE"""),0.035)</f>
        <v>0.035</v>
      </c>
      <c r="J782" s="19">
        <f>IFERROR(__xludf.DUMMYFUNCTION("""COMPUTED_VALUE"""),0.07)</f>
        <v>0.07</v>
      </c>
      <c r="K782" s="19">
        <f>IFERROR(__xludf.DUMMYFUNCTION("""COMPUTED_VALUE"""),0.0875)</f>
        <v>0.0875</v>
      </c>
      <c r="L782" s="19">
        <f>IFERROR(__xludf.DUMMYFUNCTION("""COMPUTED_VALUE"""),0.105)</f>
        <v>0.105</v>
      </c>
      <c r="M782" s="18">
        <f>IFERROR(__xludf.DUMMYFUNCTION("""COMPUTED_VALUE"""),1.71)</f>
        <v>1.71</v>
      </c>
    </row>
    <row r="783">
      <c r="A783" s="13" t="str">
        <f>IFERROR(__xludf.DUMMYFUNCTION("""COMPUTED_VALUE"""),"товари")</f>
        <v>товари</v>
      </c>
      <c r="B783" s="16" t="str">
        <f>IFERROR(__xludf.DUMMYFUNCTION("""COMPUTED_VALUE"""),"вироби з металу, пластику, гуми")</f>
        <v>вироби з металу, пластику, гуми</v>
      </c>
      <c r="C783" s="16" t="str">
        <f>IFERROR(__xludf.DUMMYFUNCTION("""COMPUTED_VALUE"""),"вироби з пластику")</f>
        <v>вироби з пластику</v>
      </c>
      <c r="D783" s="16" t="str">
        <f>IFERROR(__xludf.DUMMYFUNCTION("""COMPUTED_VALUE"""),"пластикові трубки, шланги")</f>
        <v>пластикові трубки, шланги</v>
      </c>
      <c r="E783" s="16" t="str">
        <f>IFERROR(__xludf.DUMMYFUNCTION("""COMPUTED_VALUE"""),"пластикові трубки, шланги")</f>
        <v>пластикові трубки, шланги</v>
      </c>
      <c r="F783" s="17">
        <f>IFERROR(__xludf.DUMMYFUNCTION("""COMPUTED_VALUE"""),3.0)</f>
        <v>3</v>
      </c>
      <c r="G783" s="17" t="str">
        <f>IFERROR(__xludf.DUMMYFUNCTION("""COMPUTED_VALUE"""),"800510")</f>
        <v>800510</v>
      </c>
      <c r="H783" s="17" t="str">
        <f>IFERROR(__xludf.DUMMYFUNCTION("""COMPUTED_VALUE"""),"пластикові трубки, шланги")</f>
        <v>пластикові трубки, шланги</v>
      </c>
      <c r="I783" s="19">
        <f>IFERROR(__xludf.DUMMYFUNCTION("""COMPUTED_VALUE"""),0.0709)</f>
        <v>0.0709</v>
      </c>
      <c r="J783" s="19">
        <f>IFERROR(__xludf.DUMMYFUNCTION("""COMPUTED_VALUE"""),0.1417)</f>
        <v>0.1417</v>
      </c>
      <c r="K783" s="19">
        <f>IFERROR(__xludf.DUMMYFUNCTION("""COMPUTED_VALUE"""),0.1771)</f>
        <v>0.1771</v>
      </c>
      <c r="L783" s="19">
        <f>IFERROR(__xludf.DUMMYFUNCTION("""COMPUTED_VALUE"""),0.2126)</f>
        <v>0.2126</v>
      </c>
      <c r="M783" s="18">
        <f>IFERROR(__xludf.DUMMYFUNCTION("""COMPUTED_VALUE"""),4.13)</f>
        <v>4.13</v>
      </c>
    </row>
    <row r="784">
      <c r="A784" s="13" t="str">
        <f>IFERROR(__xludf.DUMMYFUNCTION("""COMPUTED_VALUE"""),"товари")</f>
        <v>товари</v>
      </c>
      <c r="B784" s="16" t="str">
        <f>IFERROR(__xludf.DUMMYFUNCTION("""COMPUTED_VALUE"""),"вироби з металу, пластику, гуми")</f>
        <v>вироби з металу, пластику, гуми</v>
      </c>
      <c r="C784" s="16" t="str">
        <f>IFERROR(__xludf.DUMMYFUNCTION("""COMPUTED_VALUE"""),"гумотехнічні вироби")</f>
        <v>гумотехнічні вироби</v>
      </c>
      <c r="D784" s="16" t="str">
        <f>IFERROR(__xludf.DUMMYFUNCTION("""COMPUTED_VALUE"""),"прокладки гумові")</f>
        <v>прокладки гумові</v>
      </c>
      <c r="E784" s="16" t="str">
        <f>IFERROR(__xludf.DUMMYFUNCTION("""COMPUTED_VALUE"""),"прокладки гумові")</f>
        <v>прокладки гумові</v>
      </c>
      <c r="F784" s="17">
        <f>IFERROR(__xludf.DUMMYFUNCTION("""COMPUTED_VALUE"""),3.0)</f>
        <v>3</v>
      </c>
      <c r="G784" s="17" t="str">
        <f>IFERROR(__xludf.DUMMYFUNCTION("""COMPUTED_VALUE"""),"801216")</f>
        <v>801216</v>
      </c>
      <c r="H784" s="17" t="str">
        <f>IFERROR(__xludf.DUMMYFUNCTION("""COMPUTED_VALUE"""),"прокладки гумові")</f>
        <v>прокладки гумові</v>
      </c>
      <c r="I784" s="19">
        <f>IFERROR(__xludf.DUMMYFUNCTION("""COMPUTED_VALUE"""),0.0538)</f>
        <v>0.0538</v>
      </c>
      <c r="J784" s="19">
        <f>IFERROR(__xludf.DUMMYFUNCTION("""COMPUTED_VALUE"""),0.1076)</f>
        <v>0.1076</v>
      </c>
      <c r="K784" s="19">
        <f>IFERROR(__xludf.DUMMYFUNCTION("""COMPUTED_VALUE"""),0.1345)</f>
        <v>0.1345</v>
      </c>
      <c r="L784" s="19">
        <f>IFERROR(__xludf.DUMMYFUNCTION("""COMPUTED_VALUE"""),0.1614)</f>
        <v>0.1614</v>
      </c>
      <c r="M784" s="18">
        <f>IFERROR(__xludf.DUMMYFUNCTION("""COMPUTED_VALUE"""),1.98)</f>
        <v>1.98</v>
      </c>
    </row>
    <row r="785">
      <c r="A785" s="13" t="str">
        <f>IFERROR(__xludf.DUMMYFUNCTION("""COMPUTED_VALUE"""),"товари")</f>
        <v>товари</v>
      </c>
      <c r="B785" s="16" t="str">
        <f>IFERROR(__xludf.DUMMYFUNCTION("""COMPUTED_VALUE"""),"вироби з металу, пластику, гуми")</f>
        <v>вироби з металу, пластику, гуми</v>
      </c>
      <c r="C785" s="16" t="str">
        <f>IFERROR(__xludf.DUMMYFUNCTION("""COMPUTED_VALUE"""),"металовироби промислового призначення")</f>
        <v>металовироби промислового призначення</v>
      </c>
      <c r="D785" s="16" t="str">
        <f>IFERROR(__xludf.DUMMYFUNCTION("""COMPUTED_VALUE"""),"пружини і амортизатори")</f>
        <v>пружини і амортизатори</v>
      </c>
      <c r="E785" s="16" t="str">
        <f>IFERROR(__xludf.DUMMYFUNCTION("""COMPUTED_VALUE"""),"пружини і амортизатори")</f>
        <v>пружини і амортизатори</v>
      </c>
      <c r="F785" s="17">
        <f>IFERROR(__xludf.DUMMYFUNCTION("""COMPUTED_VALUE"""),3.0)</f>
        <v>3</v>
      </c>
      <c r="G785" s="17" t="str">
        <f>IFERROR(__xludf.DUMMYFUNCTION("""COMPUTED_VALUE"""),"1466")</f>
        <v>1466</v>
      </c>
      <c r="H785" s="17" t="str">
        <f>IFERROR(__xludf.DUMMYFUNCTION("""COMPUTED_VALUE"""),"пружини і амортизатори")</f>
        <v>пружини і амортизатори</v>
      </c>
      <c r="I785" s="19">
        <f>IFERROR(__xludf.DUMMYFUNCTION("""COMPUTED_VALUE"""),0.0508)</f>
        <v>0.0508</v>
      </c>
      <c r="J785" s="19">
        <f>IFERROR(__xludf.DUMMYFUNCTION("""COMPUTED_VALUE"""),0.1015)</f>
        <v>0.1015</v>
      </c>
      <c r="K785" s="19">
        <f>IFERROR(__xludf.DUMMYFUNCTION("""COMPUTED_VALUE"""),0.1269)</f>
        <v>0.1269</v>
      </c>
      <c r="L785" s="19">
        <f>IFERROR(__xludf.DUMMYFUNCTION("""COMPUTED_VALUE"""),0.1523)</f>
        <v>0.1523</v>
      </c>
      <c r="M785" s="18">
        <f>IFERROR(__xludf.DUMMYFUNCTION("""COMPUTED_VALUE"""),1.71)</f>
        <v>1.71</v>
      </c>
    </row>
    <row r="786">
      <c r="A786" s="13" t="str">
        <f>IFERROR(__xludf.DUMMYFUNCTION("""COMPUTED_VALUE"""),"товари")</f>
        <v>товари</v>
      </c>
      <c r="B786" s="16" t="str">
        <f>IFERROR(__xludf.DUMMYFUNCTION("""COMPUTED_VALUE"""),"вироби з металу, пластику, гуми")</f>
        <v>вироби з металу, пластику, гуми</v>
      </c>
      <c r="C786" s="16" t="str">
        <f>IFERROR(__xludf.DUMMYFUNCTION("""COMPUTED_VALUE"""),"металовироби будівельного призначення")</f>
        <v>металовироби будівельного призначення</v>
      </c>
      <c r="D786" s="16" t="str">
        <f>IFERROR(__xludf.DUMMYFUNCTION("""COMPUTED_VALUE"""),"ревізійні люки")</f>
        <v>ревізійні люки</v>
      </c>
      <c r="E786" s="16" t="str">
        <f>IFERROR(__xludf.DUMMYFUNCTION("""COMPUTED_VALUE"""),"ревізійні люки")</f>
        <v>ревізійні люки</v>
      </c>
      <c r="F786" s="17">
        <f>IFERROR(__xludf.DUMMYFUNCTION("""COMPUTED_VALUE"""),3.0)</f>
        <v>3</v>
      </c>
      <c r="G786" s="17" t="str">
        <f>IFERROR(__xludf.DUMMYFUNCTION("""COMPUTED_VALUE"""),"421406")</f>
        <v>421406</v>
      </c>
      <c r="H786" s="17" t="str">
        <f>IFERROR(__xludf.DUMMYFUNCTION("""COMPUTED_VALUE"""),"ревізійні люки")</f>
        <v>ревізійні люки</v>
      </c>
      <c r="I786" s="19">
        <f>IFERROR(__xludf.DUMMYFUNCTION("""COMPUTED_VALUE"""),0.0725)</f>
        <v>0.0725</v>
      </c>
      <c r="J786" s="19">
        <f>IFERROR(__xludf.DUMMYFUNCTION("""COMPUTED_VALUE"""),0.1449)</f>
        <v>0.1449</v>
      </c>
      <c r="K786" s="19">
        <f>IFERROR(__xludf.DUMMYFUNCTION("""COMPUTED_VALUE"""),0.1811)</f>
        <v>0.1811</v>
      </c>
      <c r="L786" s="19">
        <f>IFERROR(__xludf.DUMMYFUNCTION("""COMPUTED_VALUE"""),0.2174)</f>
        <v>0.2174</v>
      </c>
      <c r="M786" s="18">
        <f>IFERROR(__xludf.DUMMYFUNCTION("""COMPUTED_VALUE"""),5.4)</f>
        <v>5.4</v>
      </c>
    </row>
    <row r="787">
      <c r="A787" s="13" t="str">
        <f>IFERROR(__xludf.DUMMYFUNCTION("""COMPUTED_VALUE"""),"товари")</f>
        <v>товари</v>
      </c>
      <c r="B787" s="16" t="str">
        <f>IFERROR(__xludf.DUMMYFUNCTION("""COMPUTED_VALUE"""),"воєнторг")</f>
        <v>воєнторг</v>
      </c>
      <c r="C787" s="16" t="str">
        <f>IFERROR(__xludf.DUMMYFUNCTION("""COMPUTED_VALUE"""),"тактичний захист та екіпірування")</f>
        <v>тактичний захист та екіпірування</v>
      </c>
      <c r="D787" s="16" t="str">
        <f>IFERROR(__xludf.DUMMYFUNCTION("""COMPUTED_VALUE"""),"аксесуари та комплектуючі для касок та бронежилетів")</f>
        <v>аксесуари та комплектуючі для касок та бронежилетів</v>
      </c>
      <c r="E787" s="16" t="str">
        <f>IFERROR(__xludf.DUMMYFUNCTION("""COMPUTED_VALUE"""),"аксесуари та комплектуючі для касок та бронежилетів")</f>
        <v>аксесуари та комплектуючі для касок та бронежилетів</v>
      </c>
      <c r="F787" s="17">
        <f>IFERROR(__xludf.DUMMYFUNCTION("""COMPUTED_VALUE"""),3.0)</f>
        <v>3</v>
      </c>
      <c r="G787" s="17" t="str">
        <f>IFERROR(__xludf.DUMMYFUNCTION("""COMPUTED_VALUE"""),"300508")</f>
        <v>300508</v>
      </c>
      <c r="H787" s="17" t="str">
        <f>IFERROR(__xludf.DUMMYFUNCTION("""COMPUTED_VALUE"""),"аксесуари та комплектуючі для касок та бронежилетів")</f>
        <v>аксесуари та комплектуючі для касок та бронежилетів</v>
      </c>
      <c r="I787" s="19">
        <f>IFERROR(__xludf.DUMMYFUNCTION("""COMPUTED_VALUE"""),0.005)</f>
        <v>0.005</v>
      </c>
      <c r="J787" s="19">
        <f>IFERROR(__xludf.DUMMYFUNCTION("""COMPUTED_VALUE"""),0.01)</f>
        <v>0.01</v>
      </c>
      <c r="K787" s="19">
        <f>IFERROR(__xludf.DUMMYFUNCTION("""COMPUTED_VALUE"""),0.0125)</f>
        <v>0.0125</v>
      </c>
      <c r="L787" s="19">
        <f>IFERROR(__xludf.DUMMYFUNCTION("""COMPUTED_VALUE"""),0.015)</f>
        <v>0.015</v>
      </c>
      <c r="M787" s="18">
        <f>IFERROR(__xludf.DUMMYFUNCTION("""COMPUTED_VALUE"""),1.05)</f>
        <v>1.05</v>
      </c>
    </row>
    <row r="788">
      <c r="A788" s="13" t="str">
        <f>IFERROR(__xludf.DUMMYFUNCTION("""COMPUTED_VALUE"""),"товари")</f>
        <v>товари</v>
      </c>
      <c r="B788" s="16" t="str">
        <f>IFERROR(__xludf.DUMMYFUNCTION("""COMPUTED_VALUE"""),"воєнторг")</f>
        <v>воєнторг</v>
      </c>
      <c r="C788" s="16" t="str">
        <f>IFERROR(__xludf.DUMMYFUNCTION("""COMPUTED_VALUE"""),"тактичний захист та екіпірування")</f>
        <v>тактичний захист та екіпірування</v>
      </c>
      <c r="D788" s="16" t="str">
        <f>IFERROR(__xludf.DUMMYFUNCTION("""COMPUTED_VALUE"""),"армійські спецсумки і рюкзаки")</f>
        <v>армійські спецсумки і рюкзаки</v>
      </c>
      <c r="E788" s="16" t="str">
        <f>IFERROR(__xludf.DUMMYFUNCTION("""COMPUTED_VALUE"""),"армійські спецсумки і рюкзаки")</f>
        <v>армійські спецсумки і рюкзаки</v>
      </c>
      <c r="F788" s="17">
        <f>IFERROR(__xludf.DUMMYFUNCTION("""COMPUTED_VALUE"""),3.0)</f>
        <v>3</v>
      </c>
      <c r="G788" s="17" t="str">
        <f>IFERROR(__xludf.DUMMYFUNCTION("""COMPUTED_VALUE"""),"152401")</f>
        <v>152401</v>
      </c>
      <c r="H788" s="17" t="str">
        <f>IFERROR(__xludf.DUMMYFUNCTION("""COMPUTED_VALUE"""),"армійські спецсумки і рюкзаки")</f>
        <v>армійські спецсумки і рюкзаки</v>
      </c>
      <c r="I788" s="19">
        <f>IFERROR(__xludf.DUMMYFUNCTION("""COMPUTED_VALUE"""),0.005)</f>
        <v>0.005</v>
      </c>
      <c r="J788" s="19">
        <f>IFERROR(__xludf.DUMMYFUNCTION("""COMPUTED_VALUE"""),0.01)</f>
        <v>0.01</v>
      </c>
      <c r="K788" s="19">
        <f>IFERROR(__xludf.DUMMYFUNCTION("""COMPUTED_VALUE"""),0.0125)</f>
        <v>0.0125</v>
      </c>
      <c r="L788" s="19">
        <f>IFERROR(__xludf.DUMMYFUNCTION("""COMPUTED_VALUE"""),0.015)</f>
        <v>0.015</v>
      </c>
      <c r="M788" s="18">
        <f>IFERROR(__xludf.DUMMYFUNCTION("""COMPUTED_VALUE"""),1.05)</f>
        <v>1.05</v>
      </c>
    </row>
    <row r="789">
      <c r="A789" s="13" t="str">
        <f>IFERROR(__xludf.DUMMYFUNCTION("""COMPUTED_VALUE"""),"товари")</f>
        <v>товари</v>
      </c>
      <c r="B789" s="16" t="str">
        <f>IFERROR(__xludf.DUMMYFUNCTION("""COMPUTED_VALUE"""),"воєнторг")</f>
        <v>воєнторг</v>
      </c>
      <c r="C789" s="16" t="str">
        <f>IFERROR(__xludf.DUMMYFUNCTION("""COMPUTED_VALUE"""),"оптичні прилади і системи")</f>
        <v>оптичні прилади і системи</v>
      </c>
      <c r="D789" s="16" t="str">
        <f>IFERROR(__xludf.DUMMYFUNCTION("""COMPUTED_VALUE"""),"біноклі, моноклі")</f>
        <v>біноклі, моноклі</v>
      </c>
      <c r="E789" s="16" t="str">
        <f>IFERROR(__xludf.DUMMYFUNCTION("""COMPUTED_VALUE"""),"біноклі, моноклі")</f>
        <v>біноклі, моноклі</v>
      </c>
      <c r="F789" s="17">
        <f>IFERROR(__xludf.DUMMYFUNCTION("""COMPUTED_VALUE"""),3.0)</f>
        <v>3</v>
      </c>
      <c r="G789" s="17" t="str">
        <f>IFERROR(__xludf.DUMMYFUNCTION("""COMPUTED_VALUE"""),"1911")</f>
        <v>1911</v>
      </c>
      <c r="H789" s="17" t="str">
        <f>IFERROR(__xludf.DUMMYFUNCTION("""COMPUTED_VALUE"""),"біноклі, моноклі")</f>
        <v>біноклі, моноклі</v>
      </c>
      <c r="I789" s="19">
        <f>IFERROR(__xludf.DUMMYFUNCTION("""COMPUTED_VALUE"""),0.005)</f>
        <v>0.005</v>
      </c>
      <c r="J789" s="19">
        <f>IFERROR(__xludf.DUMMYFUNCTION("""COMPUTED_VALUE"""),0.01)</f>
        <v>0.01</v>
      </c>
      <c r="K789" s="19">
        <f>IFERROR(__xludf.DUMMYFUNCTION("""COMPUTED_VALUE"""),0.0125)</f>
        <v>0.0125</v>
      </c>
      <c r="L789" s="19">
        <f>IFERROR(__xludf.DUMMYFUNCTION("""COMPUTED_VALUE"""),0.015)</f>
        <v>0.015</v>
      </c>
      <c r="M789" s="18">
        <f>IFERROR(__xludf.DUMMYFUNCTION("""COMPUTED_VALUE"""),1.05)</f>
        <v>1.05</v>
      </c>
    </row>
    <row r="790">
      <c r="A790" s="13" t="str">
        <f>IFERROR(__xludf.DUMMYFUNCTION("""COMPUTED_VALUE"""),"товари")</f>
        <v>товари</v>
      </c>
      <c r="B790" s="16" t="str">
        <f>IFERROR(__xludf.DUMMYFUNCTION("""COMPUTED_VALUE"""),"воєнторг")</f>
        <v>воєнторг</v>
      </c>
      <c r="C790" s="16" t="str">
        <f>IFERROR(__xludf.DUMMYFUNCTION("""COMPUTED_VALUE"""),"тактичний захист та екіпірування")</f>
        <v>тактичний захист та екіпірування</v>
      </c>
      <c r="D790" s="16" t="str">
        <f>IFERROR(__xludf.DUMMYFUNCTION("""COMPUTED_VALUE"""),"бронежилети та бронеплити")</f>
        <v>бронежилети та бронеплити</v>
      </c>
      <c r="E790" s="16" t="str">
        <f>IFERROR(__xludf.DUMMYFUNCTION("""COMPUTED_VALUE"""),"бронежилети та бронеплити")</f>
        <v>бронежилети та бронеплити</v>
      </c>
      <c r="F790" s="17">
        <f>IFERROR(__xludf.DUMMYFUNCTION("""COMPUTED_VALUE"""),3.0)</f>
        <v>3</v>
      </c>
      <c r="G790" s="17" t="str">
        <f>IFERROR(__xludf.DUMMYFUNCTION("""COMPUTED_VALUE"""),"300501")</f>
        <v>300501</v>
      </c>
      <c r="H790" s="17" t="str">
        <f>IFERROR(__xludf.DUMMYFUNCTION("""COMPUTED_VALUE"""),"бронежилети та бронеплити")</f>
        <v>бронежилети та бронеплити</v>
      </c>
      <c r="I790" s="19">
        <f>IFERROR(__xludf.DUMMYFUNCTION("""COMPUTED_VALUE"""),0.005)</f>
        <v>0.005</v>
      </c>
      <c r="J790" s="19">
        <f>IFERROR(__xludf.DUMMYFUNCTION("""COMPUTED_VALUE"""),0.01)</f>
        <v>0.01</v>
      </c>
      <c r="K790" s="19">
        <f>IFERROR(__xludf.DUMMYFUNCTION("""COMPUTED_VALUE"""),0.0125)</f>
        <v>0.0125</v>
      </c>
      <c r="L790" s="19">
        <f>IFERROR(__xludf.DUMMYFUNCTION("""COMPUTED_VALUE"""),0.015)</f>
        <v>0.015</v>
      </c>
      <c r="M790" s="18">
        <f>IFERROR(__xludf.DUMMYFUNCTION("""COMPUTED_VALUE"""),1.05)</f>
        <v>1.05</v>
      </c>
    </row>
    <row r="791">
      <c r="A791" s="13" t="str">
        <f>IFERROR(__xludf.DUMMYFUNCTION("""COMPUTED_VALUE"""),"товари")</f>
        <v>товари</v>
      </c>
      <c r="B791" s="16" t="str">
        <f>IFERROR(__xludf.DUMMYFUNCTION("""COMPUTED_VALUE"""),"воєнторг")</f>
        <v>воєнторг</v>
      </c>
      <c r="C791" s="16" t="str">
        <f>IFERROR(__xludf.DUMMYFUNCTION("""COMPUTED_VALUE"""),"тактичний одяг та взуття")</f>
        <v>тактичний одяг та взуття</v>
      </c>
      <c r="D791" s="16" t="str">
        <f>IFERROR(__xludf.DUMMYFUNCTION("""COMPUTED_VALUE"""),"військове обмундирування, загальне")</f>
        <v>військове обмундирування, загальне</v>
      </c>
      <c r="E791" s="16" t="str">
        <f>IFERROR(__xludf.DUMMYFUNCTION("""COMPUTED_VALUE"""),"військове обмундирування, загальне")</f>
        <v>військове обмундирування, загальне</v>
      </c>
      <c r="F791" s="17">
        <f>IFERROR(__xludf.DUMMYFUNCTION("""COMPUTED_VALUE"""),3.0)</f>
        <v>3</v>
      </c>
      <c r="G791" s="17" t="str">
        <f>IFERROR(__xludf.DUMMYFUNCTION("""COMPUTED_VALUE"""),"3082001")</f>
        <v>3082001</v>
      </c>
      <c r="H791" s="17" t="str">
        <f>IFERROR(__xludf.DUMMYFUNCTION("""COMPUTED_VALUE"""),"військове обмундирування, загальне")</f>
        <v>військове обмундирування, загальне</v>
      </c>
      <c r="I791" s="19">
        <f>IFERROR(__xludf.DUMMYFUNCTION("""COMPUTED_VALUE"""),0.125)</f>
        <v>0.125</v>
      </c>
      <c r="J791" s="19">
        <f>IFERROR(__xludf.DUMMYFUNCTION("""COMPUTED_VALUE"""),0.25)</f>
        <v>0.25</v>
      </c>
      <c r="K791" s="19">
        <f>IFERROR(__xludf.DUMMYFUNCTION("""COMPUTED_VALUE"""),0.3125)</f>
        <v>0.3125</v>
      </c>
      <c r="L791" s="19">
        <f>IFERROR(__xludf.DUMMYFUNCTION("""COMPUTED_VALUE"""),0.375)</f>
        <v>0.375</v>
      </c>
      <c r="M791" s="18">
        <f>IFERROR(__xludf.DUMMYFUNCTION("""COMPUTED_VALUE"""),4.33)</f>
        <v>4.33</v>
      </c>
    </row>
    <row r="792">
      <c r="A792" s="13" t="str">
        <f>IFERROR(__xludf.DUMMYFUNCTION("""COMPUTED_VALUE"""),"товари")</f>
        <v>товари</v>
      </c>
      <c r="B792" s="16" t="str">
        <f>IFERROR(__xludf.DUMMYFUNCTION("""COMPUTED_VALUE"""),"воєнторг")</f>
        <v>воєнторг</v>
      </c>
      <c r="C792" s="16" t="str">
        <f>IFERROR(__xludf.DUMMYFUNCTION("""COMPUTED_VALUE"""),"заборонені товари військторг")</f>
        <v>заборонені товари військторг</v>
      </c>
      <c r="D792" s="16" t="str">
        <f>IFERROR(__xludf.DUMMYFUNCTION("""COMPUTED_VALUE"""),"заборонені товари військторг")</f>
        <v>заборонені товари військторг</v>
      </c>
      <c r="E792" s="16" t="str">
        <f>IFERROR(__xludf.DUMMYFUNCTION("""COMPUTED_VALUE"""),"заборонені товари військторг")</f>
        <v>заборонені товари військторг</v>
      </c>
      <c r="F792" s="17">
        <f>IFERROR(__xludf.DUMMYFUNCTION("""COMPUTED_VALUE"""),2.0)</f>
        <v>2</v>
      </c>
      <c r="G792" s="17" t="str">
        <f>IFERROR(__xludf.DUMMYFUNCTION("""COMPUTED_VALUE"""),"6907")</f>
        <v>6907</v>
      </c>
      <c r="H792" s="17" t="str">
        <f>IFERROR(__xludf.DUMMYFUNCTION("""COMPUTED_VALUE"""),"заборонені товари військторг")</f>
        <v>заборонені товари військторг</v>
      </c>
      <c r="I792" s="19">
        <f>IFERROR(__xludf.DUMMYFUNCTION("""COMPUTED_VALUE"""),0.051)</f>
        <v>0.051</v>
      </c>
      <c r="J792" s="19">
        <f>IFERROR(__xludf.DUMMYFUNCTION("""COMPUTED_VALUE"""),0.102)</f>
        <v>0.102</v>
      </c>
      <c r="K792" s="19">
        <f>IFERROR(__xludf.DUMMYFUNCTION("""COMPUTED_VALUE"""),0.1275)</f>
        <v>0.1275</v>
      </c>
      <c r="L792" s="19">
        <f>IFERROR(__xludf.DUMMYFUNCTION("""COMPUTED_VALUE"""),0.153)</f>
        <v>0.153</v>
      </c>
      <c r="M792" s="18">
        <f>IFERROR(__xludf.DUMMYFUNCTION("""COMPUTED_VALUE"""),1.8)</f>
        <v>1.8</v>
      </c>
    </row>
    <row r="793">
      <c r="A793" s="13" t="str">
        <f>IFERROR(__xludf.DUMMYFUNCTION("""COMPUTED_VALUE"""),"товари")</f>
        <v>товари</v>
      </c>
      <c r="B793" s="16" t="str">
        <f>IFERROR(__xludf.DUMMYFUNCTION("""COMPUTED_VALUE"""),"воєнторг")</f>
        <v>воєнторг</v>
      </c>
      <c r="C793" s="16" t="str">
        <f>IFERROR(__xludf.DUMMYFUNCTION("""COMPUTED_VALUE"""),"засоби зв'язку і позиціонування")</f>
        <v>засоби зв'язку і позиціонування</v>
      </c>
      <c r="D793" s="16" t="str">
        <f>IFERROR(__xludf.DUMMYFUNCTION("""COMPUTED_VALUE"""),"засоби зв'язку та позиціонування, загальне")</f>
        <v>засоби зв'язку та позиціонування, загальне</v>
      </c>
      <c r="E793" s="16" t="str">
        <f>IFERROR(__xludf.DUMMYFUNCTION("""COMPUTED_VALUE"""),"засоби зв'язку та позиціонування, загальне")</f>
        <v>засоби зв'язку та позиціонування, загальне</v>
      </c>
      <c r="F793" s="17">
        <f>IFERROR(__xludf.DUMMYFUNCTION("""COMPUTED_VALUE"""),3.0)</f>
        <v>3</v>
      </c>
      <c r="G793" s="17" t="str">
        <f>IFERROR(__xludf.DUMMYFUNCTION("""COMPUTED_VALUE"""),"690301")</f>
        <v>690301</v>
      </c>
      <c r="H793" s="17" t="str">
        <f>IFERROR(__xludf.DUMMYFUNCTION("""COMPUTED_VALUE"""),"засоби зв'язку та позиціонування, загальне")</f>
        <v>засоби зв'язку та позиціонування, загальне</v>
      </c>
      <c r="I793" s="19">
        <f>IFERROR(__xludf.DUMMYFUNCTION("""COMPUTED_VALUE"""),0.125)</f>
        <v>0.125</v>
      </c>
      <c r="J793" s="19">
        <f>IFERROR(__xludf.DUMMYFUNCTION("""COMPUTED_VALUE"""),0.25)</f>
        <v>0.25</v>
      </c>
      <c r="K793" s="19">
        <f>IFERROR(__xludf.DUMMYFUNCTION("""COMPUTED_VALUE"""),0.3125)</f>
        <v>0.3125</v>
      </c>
      <c r="L793" s="19">
        <f>IFERROR(__xludf.DUMMYFUNCTION("""COMPUTED_VALUE"""),0.375)</f>
        <v>0.375</v>
      </c>
      <c r="M793" s="18">
        <f>IFERROR(__xludf.DUMMYFUNCTION("""COMPUTED_VALUE"""),4.33)</f>
        <v>4.33</v>
      </c>
    </row>
    <row r="794">
      <c r="A794" s="13" t="str">
        <f>IFERROR(__xludf.DUMMYFUNCTION("""COMPUTED_VALUE"""),"товари")</f>
        <v>товари</v>
      </c>
      <c r="B794" s="16" t="str">
        <f>IFERROR(__xludf.DUMMYFUNCTION("""COMPUTED_VALUE"""),"воєнторг")</f>
        <v>воєнторг</v>
      </c>
      <c r="C794" s="16" t="str">
        <f>IFERROR(__xludf.DUMMYFUNCTION("""COMPUTED_VALUE"""),"тактичний захист та екіпірування")</f>
        <v>тактичний захист та екіпірування</v>
      </c>
      <c r="D794" s="16" t="str">
        <f>IFERROR(__xludf.DUMMYFUNCTION("""COMPUTED_VALUE"""),"засоби індивідуального захисту, загальне")</f>
        <v>засоби індивідуального захисту, загальне</v>
      </c>
      <c r="E794" s="16" t="str">
        <f>IFERROR(__xludf.DUMMYFUNCTION("""COMPUTED_VALUE"""),"засоби індивідуального захисту, загальне")</f>
        <v>засоби індивідуального захисту, загальне</v>
      </c>
      <c r="F794" s="17">
        <f>IFERROR(__xludf.DUMMYFUNCTION("""COMPUTED_VALUE"""),3.0)</f>
        <v>3</v>
      </c>
      <c r="G794" s="17" t="str">
        <f>IFERROR(__xludf.DUMMYFUNCTION("""COMPUTED_VALUE"""),"690403")</f>
        <v>690403</v>
      </c>
      <c r="H794" s="17" t="str">
        <f>IFERROR(__xludf.DUMMYFUNCTION("""COMPUTED_VALUE"""),"засоби індивідуального захисту, загальне")</f>
        <v>засоби індивідуального захисту, загальне</v>
      </c>
      <c r="I794" s="19">
        <f>IFERROR(__xludf.DUMMYFUNCTION("""COMPUTED_VALUE"""),0.125)</f>
        <v>0.125</v>
      </c>
      <c r="J794" s="19">
        <f>IFERROR(__xludf.DUMMYFUNCTION("""COMPUTED_VALUE"""),0.25)</f>
        <v>0.25</v>
      </c>
      <c r="K794" s="19">
        <f>IFERROR(__xludf.DUMMYFUNCTION("""COMPUTED_VALUE"""),0.3125)</f>
        <v>0.3125</v>
      </c>
      <c r="L794" s="19">
        <f>IFERROR(__xludf.DUMMYFUNCTION("""COMPUTED_VALUE"""),0.375)</f>
        <v>0.375</v>
      </c>
      <c r="M794" s="18">
        <f>IFERROR(__xludf.DUMMYFUNCTION("""COMPUTED_VALUE"""),4.33)</f>
        <v>4.33</v>
      </c>
    </row>
    <row r="795">
      <c r="A795" s="13" t="str">
        <f>IFERROR(__xludf.DUMMYFUNCTION("""COMPUTED_VALUE"""),"товари")</f>
        <v>товари</v>
      </c>
      <c r="B795" s="16" t="str">
        <f>IFERROR(__xludf.DUMMYFUNCTION("""COMPUTED_VALUE"""),"воєнторг")</f>
        <v>воєнторг</v>
      </c>
      <c r="C795" s="16" t="str">
        <f>IFERROR(__xludf.DUMMYFUNCTION("""COMPUTED_VALUE"""),"тактичний захист та екіпірування")</f>
        <v>тактичний захист та екіпірування</v>
      </c>
      <c r="D795" s="16" t="str">
        <f>IFERROR(__xludf.DUMMYFUNCTION("""COMPUTED_VALUE"""),"засоби тактичної медицини")</f>
        <v>засоби тактичної медицини</v>
      </c>
      <c r="E795" s="16" t="str">
        <f>IFERROR(__xludf.DUMMYFUNCTION("""COMPUTED_VALUE"""),"засоби тактичної медицини")</f>
        <v>засоби тактичної медицини</v>
      </c>
      <c r="F795" s="17">
        <f>IFERROR(__xludf.DUMMYFUNCTION("""COMPUTED_VALUE"""),3.0)</f>
        <v>3</v>
      </c>
      <c r="G795" s="17" t="str">
        <f>IFERROR(__xludf.DUMMYFUNCTION("""COMPUTED_VALUE"""),"300510")</f>
        <v>300510</v>
      </c>
      <c r="H795" s="17" t="str">
        <f>IFERROR(__xludf.DUMMYFUNCTION("""COMPUTED_VALUE"""),"засоби тактичної медицини")</f>
        <v>засоби тактичної медицини</v>
      </c>
      <c r="I795" s="19">
        <f>IFERROR(__xludf.DUMMYFUNCTION("""COMPUTED_VALUE"""),0.005)</f>
        <v>0.005</v>
      </c>
      <c r="J795" s="19">
        <f>IFERROR(__xludf.DUMMYFUNCTION("""COMPUTED_VALUE"""),0.01)</f>
        <v>0.01</v>
      </c>
      <c r="K795" s="19">
        <f>IFERROR(__xludf.DUMMYFUNCTION("""COMPUTED_VALUE"""),0.0125)</f>
        <v>0.0125</v>
      </c>
      <c r="L795" s="19">
        <f>IFERROR(__xludf.DUMMYFUNCTION("""COMPUTED_VALUE"""),0.015)</f>
        <v>0.015</v>
      </c>
      <c r="M795" s="18">
        <f>IFERROR(__xludf.DUMMYFUNCTION("""COMPUTED_VALUE"""),1.05)</f>
        <v>1.05</v>
      </c>
    </row>
    <row r="796">
      <c r="A796" s="13" t="str">
        <f>IFERROR(__xludf.DUMMYFUNCTION("""COMPUTED_VALUE"""),"товари")</f>
        <v>товари</v>
      </c>
      <c r="B796" s="16" t="str">
        <f>IFERROR(__xludf.DUMMYFUNCTION("""COMPUTED_VALUE"""),"воєнторг")</f>
        <v>воєнторг</v>
      </c>
      <c r="C796" s="16" t="str">
        <f>IFERROR(__xludf.DUMMYFUNCTION("""COMPUTED_VALUE"""),"тактичний одяг та взуття")</f>
        <v>тактичний одяг та взуття</v>
      </c>
      <c r="D796" s="16" t="str">
        <f>IFERROR(__xludf.DUMMYFUNCTION("""COMPUTED_VALUE"""),"знаки відмінності")</f>
        <v>знаки відмінності</v>
      </c>
      <c r="E796" s="16" t="str">
        <f>IFERROR(__xludf.DUMMYFUNCTION("""COMPUTED_VALUE"""),"знаки відмінності")</f>
        <v>знаки відмінності</v>
      </c>
      <c r="F796" s="17">
        <f>IFERROR(__xludf.DUMMYFUNCTION("""COMPUTED_VALUE"""),3.0)</f>
        <v>3</v>
      </c>
      <c r="G796" s="17" t="str">
        <f>IFERROR(__xludf.DUMMYFUNCTION("""COMPUTED_VALUE"""),"300504")</f>
        <v>300504</v>
      </c>
      <c r="H796" s="17" t="str">
        <f>IFERROR(__xludf.DUMMYFUNCTION("""COMPUTED_VALUE"""),"знаки відмінності")</f>
        <v>знаки відмінності</v>
      </c>
      <c r="I796" s="19">
        <f>IFERROR(__xludf.DUMMYFUNCTION("""COMPUTED_VALUE"""),0.005)</f>
        <v>0.005</v>
      </c>
      <c r="J796" s="19">
        <f>IFERROR(__xludf.DUMMYFUNCTION("""COMPUTED_VALUE"""),0.01)</f>
        <v>0.01</v>
      </c>
      <c r="K796" s="19">
        <f>IFERROR(__xludf.DUMMYFUNCTION("""COMPUTED_VALUE"""),0.0125)</f>
        <v>0.0125</v>
      </c>
      <c r="L796" s="19">
        <f>IFERROR(__xludf.DUMMYFUNCTION("""COMPUTED_VALUE"""),0.015)</f>
        <v>0.015</v>
      </c>
      <c r="M796" s="18">
        <f>IFERROR(__xludf.DUMMYFUNCTION("""COMPUTED_VALUE"""),1.05)</f>
        <v>1.05</v>
      </c>
    </row>
    <row r="797">
      <c r="A797" s="13" t="str">
        <f>IFERROR(__xludf.DUMMYFUNCTION("""COMPUTED_VALUE"""),"товари")</f>
        <v>товари</v>
      </c>
      <c r="B797" s="16" t="str">
        <f>IFERROR(__xludf.DUMMYFUNCTION("""COMPUTED_VALUE"""),"воєнторг")</f>
        <v>воєнторг</v>
      </c>
      <c r="C797" s="16" t="str">
        <f>IFERROR(__xludf.DUMMYFUNCTION("""COMPUTED_VALUE"""),"тактичний захист та екіпірування")</f>
        <v>тактичний захист та екіпірування</v>
      </c>
      <c r="D797" s="16" t="str">
        <f>IFERROR(__xludf.DUMMYFUNCTION("""COMPUTED_VALUE"""),"комплектуючі та аксесуари для пістолетів і рушниць")</f>
        <v>комплектуючі та аксесуари для пістолетів і рушниць</v>
      </c>
      <c r="E797" s="16" t="str">
        <f>IFERROR(__xludf.DUMMYFUNCTION("""COMPUTED_VALUE"""),"комплектуючі та аксесуари для пістолетів і рушниць")</f>
        <v>комплектуючі та аксесуари для пістолетів і рушниць</v>
      </c>
      <c r="F797" s="17">
        <f>IFERROR(__xludf.DUMMYFUNCTION("""COMPUTED_VALUE"""),3.0)</f>
        <v>3</v>
      </c>
      <c r="G797" s="17" t="str">
        <f>IFERROR(__xludf.DUMMYFUNCTION("""COMPUTED_VALUE"""),"302121")</f>
        <v>302121</v>
      </c>
      <c r="H797" s="17" t="str">
        <f>IFERROR(__xludf.DUMMYFUNCTION("""COMPUTED_VALUE"""),"комплектуючі та аксесуари для пістолетів і рушниць")</f>
        <v>комплектуючі та аксесуари для пістолетів і рушниць</v>
      </c>
      <c r="I797" s="19">
        <f>IFERROR(__xludf.DUMMYFUNCTION("""COMPUTED_VALUE"""),0.005)</f>
        <v>0.005</v>
      </c>
      <c r="J797" s="19">
        <f>IFERROR(__xludf.DUMMYFUNCTION("""COMPUTED_VALUE"""),0.01)</f>
        <v>0.01</v>
      </c>
      <c r="K797" s="19">
        <f>IFERROR(__xludf.DUMMYFUNCTION("""COMPUTED_VALUE"""),0.0125)</f>
        <v>0.0125</v>
      </c>
      <c r="L797" s="19">
        <f>IFERROR(__xludf.DUMMYFUNCTION("""COMPUTED_VALUE"""),0.015)</f>
        <v>0.015</v>
      </c>
      <c r="M797" s="18">
        <f>IFERROR(__xludf.DUMMYFUNCTION("""COMPUTED_VALUE"""),1.44)</f>
        <v>1.44</v>
      </c>
    </row>
    <row r="798">
      <c r="A798" s="13" t="str">
        <f>IFERROR(__xludf.DUMMYFUNCTION("""COMPUTED_VALUE"""),"товари")</f>
        <v>товари</v>
      </c>
      <c r="B798" s="16" t="str">
        <f>IFERROR(__xludf.DUMMYFUNCTION("""COMPUTED_VALUE"""),"воєнторг")</f>
        <v>воєнторг</v>
      </c>
      <c r="C798" s="16" t="str">
        <f>IFERROR(__xludf.DUMMYFUNCTION("""COMPUTED_VALUE"""),"тактичний одяг та взуття")</f>
        <v>тактичний одяг та взуття</v>
      </c>
      <c r="D798" s="16" t="str">
        <f>IFERROR(__xludf.DUMMYFUNCTION("""COMPUTED_VALUE"""),"маскувальний одяг")</f>
        <v>маскувальний одяг</v>
      </c>
      <c r="E798" s="16" t="str">
        <f>IFERROR(__xludf.DUMMYFUNCTION("""COMPUTED_VALUE"""),"маскувальний одяг")</f>
        <v>маскувальний одяг</v>
      </c>
      <c r="F798" s="17">
        <f>IFERROR(__xludf.DUMMYFUNCTION("""COMPUTED_VALUE"""),3.0)</f>
        <v>3</v>
      </c>
      <c r="G798" s="17" t="str">
        <f>IFERROR(__xludf.DUMMYFUNCTION("""COMPUTED_VALUE"""),"180307")</f>
        <v>180307</v>
      </c>
      <c r="H798" s="17" t="str">
        <f>IFERROR(__xludf.DUMMYFUNCTION("""COMPUTED_VALUE"""),"маскувальний одяг")</f>
        <v>маскувальний одяг</v>
      </c>
      <c r="I798" s="19">
        <f>IFERROR(__xludf.DUMMYFUNCTION("""COMPUTED_VALUE"""),0.005)</f>
        <v>0.005</v>
      </c>
      <c r="J798" s="19">
        <f>IFERROR(__xludf.DUMMYFUNCTION("""COMPUTED_VALUE"""),0.01)</f>
        <v>0.01</v>
      </c>
      <c r="K798" s="19">
        <f>IFERROR(__xludf.DUMMYFUNCTION("""COMPUTED_VALUE"""),0.0125)</f>
        <v>0.0125</v>
      </c>
      <c r="L798" s="19">
        <f>IFERROR(__xludf.DUMMYFUNCTION("""COMPUTED_VALUE"""),0.015)</f>
        <v>0.015</v>
      </c>
      <c r="M798" s="18">
        <f>IFERROR(__xludf.DUMMYFUNCTION("""COMPUTED_VALUE"""),1.05)</f>
        <v>1.05</v>
      </c>
    </row>
    <row r="799">
      <c r="A799" s="13" t="str">
        <f>IFERROR(__xludf.DUMMYFUNCTION("""COMPUTED_VALUE"""),"товари")</f>
        <v>товари</v>
      </c>
      <c r="B799" s="16" t="str">
        <f>IFERROR(__xludf.DUMMYFUNCTION("""COMPUTED_VALUE"""),"воєнторг")</f>
        <v>воєнторг</v>
      </c>
      <c r="C799" s="16" t="str">
        <f>IFERROR(__xludf.DUMMYFUNCTION("""COMPUTED_VALUE"""),"облаштування побуту")</f>
        <v>облаштування побуту</v>
      </c>
      <c r="D799" s="16" t="str">
        <f>IFERROR(__xludf.DUMMYFUNCTION("""COMPUTED_VALUE"""),"маскування для полювання, засидження")</f>
        <v>маскування для полювання, засидження</v>
      </c>
      <c r="E799" s="16" t="str">
        <f>IFERROR(__xludf.DUMMYFUNCTION("""COMPUTED_VALUE"""),"маскування для полювання, засидження")</f>
        <v>маскування для полювання, засидження</v>
      </c>
      <c r="F799" s="17">
        <f>IFERROR(__xludf.DUMMYFUNCTION("""COMPUTED_VALUE"""),3.0)</f>
        <v>3</v>
      </c>
      <c r="G799" s="17" t="str">
        <f>IFERROR(__xludf.DUMMYFUNCTION("""COMPUTED_VALUE"""),"180303")</f>
        <v>180303</v>
      </c>
      <c r="H799" s="17" t="str">
        <f>IFERROR(__xludf.DUMMYFUNCTION("""COMPUTED_VALUE"""),"маскування для полювання, засидження")</f>
        <v>маскування для полювання, засидження</v>
      </c>
      <c r="I799" s="19">
        <f>IFERROR(__xludf.DUMMYFUNCTION("""COMPUTED_VALUE"""),0.005)</f>
        <v>0.005</v>
      </c>
      <c r="J799" s="19">
        <f>IFERROR(__xludf.DUMMYFUNCTION("""COMPUTED_VALUE"""),0.01)</f>
        <v>0.01</v>
      </c>
      <c r="K799" s="19">
        <f>IFERROR(__xludf.DUMMYFUNCTION("""COMPUTED_VALUE"""),0.0125)</f>
        <v>0.0125</v>
      </c>
      <c r="L799" s="19">
        <f>IFERROR(__xludf.DUMMYFUNCTION("""COMPUTED_VALUE"""),0.015)</f>
        <v>0.015</v>
      </c>
      <c r="M799" s="18">
        <f>IFERROR(__xludf.DUMMYFUNCTION("""COMPUTED_VALUE"""),1.05)</f>
        <v>1.05</v>
      </c>
    </row>
    <row r="800">
      <c r="A800" s="13" t="str">
        <f>IFERROR(__xludf.DUMMYFUNCTION("""COMPUTED_VALUE"""),"товари")</f>
        <v>товари</v>
      </c>
      <c r="B800" s="16" t="str">
        <f>IFERROR(__xludf.DUMMYFUNCTION("""COMPUTED_VALUE"""),"воєнторг")</f>
        <v>воєнторг</v>
      </c>
      <c r="C800" s="16" t="str">
        <f>IFERROR(__xludf.DUMMYFUNCTION("""COMPUTED_VALUE"""),"тактичний захист та екіпірування")</f>
        <v>тактичний захист та екіпірування</v>
      </c>
      <c r="D800" s="16" t="str">
        <f>IFERROR(__xludf.DUMMYFUNCTION("""COMPUTED_VALUE"""),"навісні підсумки і аксесуари до них")</f>
        <v>навісні підсумки і аксесуари до них</v>
      </c>
      <c r="E800" s="16" t="str">
        <f>IFERROR(__xludf.DUMMYFUNCTION("""COMPUTED_VALUE"""),"навісні підсумки і аксесуари до них")</f>
        <v>навісні підсумки і аксесуари до них</v>
      </c>
      <c r="F800" s="17">
        <f>IFERROR(__xludf.DUMMYFUNCTION("""COMPUTED_VALUE"""),3.0)</f>
        <v>3</v>
      </c>
      <c r="G800" s="17" t="str">
        <f>IFERROR(__xludf.DUMMYFUNCTION("""COMPUTED_VALUE"""),"240455")</f>
        <v>240455</v>
      </c>
      <c r="H800" s="17" t="str">
        <f>IFERROR(__xludf.DUMMYFUNCTION("""COMPUTED_VALUE"""),"навісні підсумки і аксесуари до них")</f>
        <v>навісні підсумки і аксесуари до них</v>
      </c>
      <c r="I800" s="19">
        <f>IFERROR(__xludf.DUMMYFUNCTION("""COMPUTED_VALUE"""),0.005)</f>
        <v>0.005</v>
      </c>
      <c r="J800" s="19">
        <f>IFERROR(__xludf.DUMMYFUNCTION("""COMPUTED_VALUE"""),0.01)</f>
        <v>0.01</v>
      </c>
      <c r="K800" s="19">
        <f>IFERROR(__xludf.DUMMYFUNCTION("""COMPUTED_VALUE"""),0.0125)</f>
        <v>0.0125</v>
      </c>
      <c r="L800" s="19">
        <f>IFERROR(__xludf.DUMMYFUNCTION("""COMPUTED_VALUE"""),0.015)</f>
        <v>0.015</v>
      </c>
      <c r="M800" s="18">
        <f>IFERROR(__xludf.DUMMYFUNCTION("""COMPUTED_VALUE"""),1.05)</f>
        <v>1.05</v>
      </c>
    </row>
    <row r="801">
      <c r="A801" s="13" t="str">
        <f>IFERROR(__xludf.DUMMYFUNCTION("""COMPUTED_VALUE"""),"товари")</f>
        <v>товари</v>
      </c>
      <c r="B801" s="16" t="str">
        <f>IFERROR(__xludf.DUMMYFUNCTION("""COMPUTED_VALUE"""),"воєнторг")</f>
        <v>воєнторг</v>
      </c>
      <c r="C801" s="16" t="str">
        <f>IFERROR(__xludf.DUMMYFUNCTION("""COMPUTED_VALUE"""),"тактичний захист та екіпірування")</f>
        <v>тактичний захист та екіпірування</v>
      </c>
      <c r="D801" s="16" t="str">
        <f>IFERROR(__xludf.DUMMYFUNCTION("""COMPUTED_VALUE"""),"навушники та беруші")</f>
        <v>навушники та беруші</v>
      </c>
      <c r="E801" s="16" t="str">
        <f>IFERROR(__xludf.DUMMYFUNCTION("""COMPUTED_VALUE"""),"навушники та беруші")</f>
        <v>навушники та беруші</v>
      </c>
      <c r="F801" s="17">
        <f>IFERROR(__xludf.DUMMYFUNCTION("""COMPUTED_VALUE"""),3.0)</f>
        <v>3</v>
      </c>
      <c r="G801" s="17" t="str">
        <f>IFERROR(__xludf.DUMMYFUNCTION("""COMPUTED_VALUE"""),"301915")</f>
        <v>301915</v>
      </c>
      <c r="H801" s="17" t="str">
        <f>IFERROR(__xludf.DUMMYFUNCTION("""COMPUTED_VALUE"""),"навушники та беруші")</f>
        <v>навушники та беруші</v>
      </c>
      <c r="I801" s="19">
        <f>IFERROR(__xludf.DUMMYFUNCTION("""COMPUTED_VALUE"""),0.005)</f>
        <v>0.005</v>
      </c>
      <c r="J801" s="19">
        <f>IFERROR(__xludf.DUMMYFUNCTION("""COMPUTED_VALUE"""),0.01)</f>
        <v>0.01</v>
      </c>
      <c r="K801" s="19">
        <f>IFERROR(__xludf.DUMMYFUNCTION("""COMPUTED_VALUE"""),0.0125)</f>
        <v>0.0125</v>
      </c>
      <c r="L801" s="19">
        <f>IFERROR(__xludf.DUMMYFUNCTION("""COMPUTED_VALUE"""),0.015)</f>
        <v>0.015</v>
      </c>
      <c r="M801" s="18">
        <f>IFERROR(__xludf.DUMMYFUNCTION("""COMPUTED_VALUE"""),2.34)</f>
        <v>2.34</v>
      </c>
    </row>
    <row r="802">
      <c r="A802" s="13" t="str">
        <f>IFERROR(__xludf.DUMMYFUNCTION("""COMPUTED_VALUE"""),"товари")</f>
        <v>товари</v>
      </c>
      <c r="B802" s="16" t="str">
        <f>IFERROR(__xludf.DUMMYFUNCTION("""COMPUTED_VALUE"""),"воєнторг")</f>
        <v>воєнторг</v>
      </c>
      <c r="C802" s="16" t="str">
        <f>IFERROR(__xludf.DUMMYFUNCTION("""COMPUTED_VALUE"""),"тактичний одяг та взуття")</f>
        <v>тактичний одяг та взуття</v>
      </c>
      <c r="D802" s="16" t="str">
        <f>IFERROR(__xludf.DUMMYFUNCTION("""COMPUTED_VALUE"""),"натільна білизна")</f>
        <v>натільна білизна</v>
      </c>
      <c r="E802" s="16" t="str">
        <f>IFERROR(__xludf.DUMMYFUNCTION("""COMPUTED_VALUE"""),"натільна білизна")</f>
        <v>натільна білизна</v>
      </c>
      <c r="F802" s="17">
        <f>IFERROR(__xludf.DUMMYFUNCTION("""COMPUTED_VALUE"""),3.0)</f>
        <v>3</v>
      </c>
      <c r="G802" s="17" t="str">
        <f>IFERROR(__xludf.DUMMYFUNCTION("""COMPUTED_VALUE"""),"3081803")</f>
        <v>3081803</v>
      </c>
      <c r="H802" s="17" t="str">
        <f>IFERROR(__xludf.DUMMYFUNCTION("""COMPUTED_VALUE"""),"натільна білизна")</f>
        <v>натільна білизна</v>
      </c>
      <c r="I802" s="19">
        <f>IFERROR(__xludf.DUMMYFUNCTION("""COMPUTED_VALUE"""),0.005)</f>
        <v>0.005</v>
      </c>
      <c r="J802" s="19">
        <f>IFERROR(__xludf.DUMMYFUNCTION("""COMPUTED_VALUE"""),0.01)</f>
        <v>0.01</v>
      </c>
      <c r="K802" s="19">
        <f>IFERROR(__xludf.DUMMYFUNCTION("""COMPUTED_VALUE"""),0.0125)</f>
        <v>0.0125</v>
      </c>
      <c r="L802" s="19">
        <f>IFERROR(__xludf.DUMMYFUNCTION("""COMPUTED_VALUE"""),0.015)</f>
        <v>0.015</v>
      </c>
      <c r="M802" s="18">
        <f>IFERROR(__xludf.DUMMYFUNCTION("""COMPUTED_VALUE"""),1.05)</f>
        <v>1.05</v>
      </c>
    </row>
    <row r="803">
      <c r="A803" s="13" t="str">
        <f>IFERROR(__xludf.DUMMYFUNCTION("""COMPUTED_VALUE"""),"товари")</f>
        <v>товари</v>
      </c>
      <c r="B803" s="16" t="str">
        <f>IFERROR(__xludf.DUMMYFUNCTION("""COMPUTED_VALUE"""),"воєнторг")</f>
        <v>воєнторг</v>
      </c>
      <c r="C803" s="16" t="str">
        <f>IFERROR(__xludf.DUMMYFUNCTION("""COMPUTED_VALUE"""),"облаштування побуту")</f>
        <v>облаштування побуту</v>
      </c>
      <c r="D803" s="16" t="str">
        <f>IFERROR(__xludf.DUMMYFUNCTION("""COMPUTED_VALUE"""),"облаштування побуту, загальне")</f>
        <v>облаштування побуту, загальне</v>
      </c>
      <c r="E803" s="16" t="str">
        <f>IFERROR(__xludf.DUMMYFUNCTION("""COMPUTED_VALUE"""),"облаштування побуту, загальне")</f>
        <v>облаштування побуту, загальне</v>
      </c>
      <c r="F803" s="17">
        <f>IFERROR(__xludf.DUMMYFUNCTION("""COMPUTED_VALUE"""),3.0)</f>
        <v>3</v>
      </c>
      <c r="G803" s="17" t="str">
        <f>IFERROR(__xludf.DUMMYFUNCTION("""COMPUTED_VALUE"""),"690601")</f>
        <v>690601</v>
      </c>
      <c r="H803" s="17" t="str">
        <f>IFERROR(__xludf.DUMMYFUNCTION("""COMPUTED_VALUE"""),"облаштування побуту, загальне")</f>
        <v>облаштування побуту, загальне</v>
      </c>
      <c r="I803" s="19">
        <f>IFERROR(__xludf.DUMMYFUNCTION("""COMPUTED_VALUE"""),0.125)</f>
        <v>0.125</v>
      </c>
      <c r="J803" s="19">
        <f>IFERROR(__xludf.DUMMYFUNCTION("""COMPUTED_VALUE"""),0.25)</f>
        <v>0.25</v>
      </c>
      <c r="K803" s="19">
        <f>IFERROR(__xludf.DUMMYFUNCTION("""COMPUTED_VALUE"""),0.3125)</f>
        <v>0.3125</v>
      </c>
      <c r="L803" s="19">
        <f>IFERROR(__xludf.DUMMYFUNCTION("""COMPUTED_VALUE"""),0.375)</f>
        <v>0.375</v>
      </c>
      <c r="M803" s="18">
        <f>IFERROR(__xludf.DUMMYFUNCTION("""COMPUTED_VALUE"""),4.33)</f>
        <v>4.33</v>
      </c>
    </row>
    <row r="804">
      <c r="A804" s="13" t="str">
        <f>IFERROR(__xludf.DUMMYFUNCTION("""COMPUTED_VALUE"""),"товари")</f>
        <v>товари</v>
      </c>
      <c r="B804" s="16" t="str">
        <f>IFERROR(__xludf.DUMMYFUNCTION("""COMPUTED_VALUE"""),"воєнторг")</f>
        <v>воєнторг</v>
      </c>
      <c r="C804" s="16" t="str">
        <f>IFERROR(__xludf.DUMMYFUNCTION("""COMPUTED_VALUE"""),"оптичні прилади і системи")</f>
        <v>оптичні прилади і системи</v>
      </c>
      <c r="D804" s="16" t="str">
        <f>IFERROR(__xludf.DUMMYFUNCTION("""COMPUTED_VALUE"""),"оптичні прибори та системи, загальне")</f>
        <v>оптичні прибори та системи, загальне</v>
      </c>
      <c r="E804" s="16" t="str">
        <f>IFERROR(__xludf.DUMMYFUNCTION("""COMPUTED_VALUE"""),"оптичні прибори та системи, загальне")</f>
        <v>оптичні прибори та системи, загальне</v>
      </c>
      <c r="F804" s="17">
        <f>IFERROR(__xludf.DUMMYFUNCTION("""COMPUTED_VALUE"""),3.0)</f>
        <v>3</v>
      </c>
      <c r="G804" s="17" t="str">
        <f>IFERROR(__xludf.DUMMYFUNCTION("""COMPUTED_VALUE"""),"690501")</f>
        <v>690501</v>
      </c>
      <c r="H804" s="17" t="str">
        <f>IFERROR(__xludf.DUMMYFUNCTION("""COMPUTED_VALUE"""),"оптичні прибори та системи, загальне")</f>
        <v>оптичні прибори та системи, загальне</v>
      </c>
      <c r="I804" s="19">
        <f>IFERROR(__xludf.DUMMYFUNCTION("""COMPUTED_VALUE"""),0.125)</f>
        <v>0.125</v>
      </c>
      <c r="J804" s="19">
        <f>IFERROR(__xludf.DUMMYFUNCTION("""COMPUTED_VALUE"""),0.25)</f>
        <v>0.25</v>
      </c>
      <c r="K804" s="19">
        <f>IFERROR(__xludf.DUMMYFUNCTION("""COMPUTED_VALUE"""),0.3125)</f>
        <v>0.3125</v>
      </c>
      <c r="L804" s="19">
        <f>IFERROR(__xludf.DUMMYFUNCTION("""COMPUTED_VALUE"""),0.375)</f>
        <v>0.375</v>
      </c>
      <c r="M804" s="18">
        <f>IFERROR(__xludf.DUMMYFUNCTION("""COMPUTED_VALUE"""),4.33)</f>
        <v>4.33</v>
      </c>
    </row>
    <row r="805">
      <c r="A805" s="13" t="str">
        <f>IFERROR(__xludf.DUMMYFUNCTION("""COMPUTED_VALUE"""),"товари")</f>
        <v>товари</v>
      </c>
      <c r="B805" s="16" t="str">
        <f>IFERROR(__xludf.DUMMYFUNCTION("""COMPUTED_VALUE"""),"воєнторг")</f>
        <v>воєнторг</v>
      </c>
      <c r="C805" s="16" t="str">
        <f>IFERROR(__xludf.DUMMYFUNCTION("""COMPUTED_VALUE"""),"засоби зв'язку і позиціонування")</f>
        <v>засоби зв'язку і позиціонування</v>
      </c>
      <c r="D805" s="16" t="str">
        <f>IFERROR(__xludf.DUMMYFUNCTION("""COMPUTED_VALUE"""),"переговорні пристрої")</f>
        <v>переговорні пристрої</v>
      </c>
      <c r="E805" s="16" t="str">
        <f>IFERROR(__xludf.DUMMYFUNCTION("""COMPUTED_VALUE"""),"переговорні пристрої")</f>
        <v>переговорні пристрої</v>
      </c>
      <c r="F805" s="17">
        <f>IFERROR(__xludf.DUMMYFUNCTION("""COMPUTED_VALUE"""),3.0)</f>
        <v>3</v>
      </c>
      <c r="G805" s="17" t="str">
        <f>IFERROR(__xludf.DUMMYFUNCTION("""COMPUTED_VALUE"""),"50906")</f>
        <v>50906</v>
      </c>
      <c r="H805" s="17" t="str">
        <f>IFERROR(__xludf.DUMMYFUNCTION("""COMPUTED_VALUE"""),"переговорні пристрої")</f>
        <v>переговорні пристрої</v>
      </c>
      <c r="I805" s="19">
        <f>IFERROR(__xludf.DUMMYFUNCTION("""COMPUTED_VALUE"""),0.005)</f>
        <v>0.005</v>
      </c>
      <c r="J805" s="19">
        <f>IFERROR(__xludf.DUMMYFUNCTION("""COMPUTED_VALUE"""),0.01)</f>
        <v>0.01</v>
      </c>
      <c r="K805" s="19">
        <f>IFERROR(__xludf.DUMMYFUNCTION("""COMPUTED_VALUE"""),0.0125)</f>
        <v>0.0125</v>
      </c>
      <c r="L805" s="19">
        <f>IFERROR(__xludf.DUMMYFUNCTION("""COMPUTED_VALUE"""),0.015)</f>
        <v>0.015</v>
      </c>
      <c r="M805" s="18">
        <f>IFERROR(__xludf.DUMMYFUNCTION("""COMPUTED_VALUE"""),1.05)</f>
        <v>1.05</v>
      </c>
    </row>
    <row r="806">
      <c r="A806" s="13" t="str">
        <f>IFERROR(__xludf.DUMMYFUNCTION("""COMPUTED_VALUE"""),"товари")</f>
        <v>товари</v>
      </c>
      <c r="B806" s="16" t="str">
        <f>IFERROR(__xludf.DUMMYFUNCTION("""COMPUTED_VALUE"""),"воєнторг")</f>
        <v>воєнторг</v>
      </c>
      <c r="C806" s="16" t="str">
        <f>IFERROR(__xludf.DUMMYFUNCTION("""COMPUTED_VALUE"""),"оптичні прилади і системи")</f>
        <v>оптичні прилади і системи</v>
      </c>
      <c r="D806" s="16" t="str">
        <f>IFERROR(__xludf.DUMMYFUNCTION("""COMPUTED_VALUE"""),"прилади нічного бачення")</f>
        <v>прилади нічного бачення</v>
      </c>
      <c r="E806" s="16" t="str">
        <f>IFERROR(__xludf.DUMMYFUNCTION("""COMPUTED_VALUE"""),"прилади нічного бачення")</f>
        <v>прилади нічного бачення</v>
      </c>
      <c r="F806" s="17">
        <f>IFERROR(__xludf.DUMMYFUNCTION("""COMPUTED_VALUE"""),3.0)</f>
        <v>3</v>
      </c>
      <c r="G806" s="17" t="str">
        <f>IFERROR(__xludf.DUMMYFUNCTION("""COMPUTED_VALUE"""),"15370706")</f>
        <v>15370706</v>
      </c>
      <c r="H806" s="17" t="str">
        <f>IFERROR(__xludf.DUMMYFUNCTION("""COMPUTED_VALUE"""),"прилади нічного бачення")</f>
        <v>прилади нічного бачення</v>
      </c>
      <c r="I806" s="19">
        <f>IFERROR(__xludf.DUMMYFUNCTION("""COMPUTED_VALUE"""),0.005)</f>
        <v>0.005</v>
      </c>
      <c r="J806" s="19">
        <f>IFERROR(__xludf.DUMMYFUNCTION("""COMPUTED_VALUE"""),0.01)</f>
        <v>0.01</v>
      </c>
      <c r="K806" s="19">
        <f>IFERROR(__xludf.DUMMYFUNCTION("""COMPUTED_VALUE"""),0.0125)</f>
        <v>0.0125</v>
      </c>
      <c r="L806" s="19">
        <f>IFERROR(__xludf.DUMMYFUNCTION("""COMPUTED_VALUE"""),0.015)</f>
        <v>0.015</v>
      </c>
      <c r="M806" s="18">
        <f>IFERROR(__xludf.DUMMYFUNCTION("""COMPUTED_VALUE"""),1.05)</f>
        <v>1.05</v>
      </c>
    </row>
    <row r="807">
      <c r="A807" s="13" t="str">
        <f>IFERROR(__xludf.DUMMYFUNCTION("""COMPUTED_VALUE"""),"товари")</f>
        <v>товари</v>
      </c>
      <c r="B807" s="16" t="str">
        <f>IFERROR(__xludf.DUMMYFUNCTION("""COMPUTED_VALUE"""),"воєнторг")</f>
        <v>воєнторг</v>
      </c>
      <c r="C807" s="16" t="str">
        <f>IFERROR(__xludf.DUMMYFUNCTION("""COMPUTED_VALUE"""),"оптичні прилади і системи")</f>
        <v>оптичні прилади і системи</v>
      </c>
      <c r="D807" s="16" t="str">
        <f>IFERROR(__xludf.DUMMYFUNCTION("""COMPUTED_VALUE"""),"приціли і мушки")</f>
        <v>приціли і мушки</v>
      </c>
      <c r="E807" s="16" t="str">
        <f>IFERROR(__xludf.DUMMYFUNCTION("""COMPUTED_VALUE"""),"приціли і мушки")</f>
        <v>приціли і мушки</v>
      </c>
      <c r="F807" s="17">
        <f>IFERROR(__xludf.DUMMYFUNCTION("""COMPUTED_VALUE"""),3.0)</f>
        <v>3</v>
      </c>
      <c r="G807" s="17" t="str">
        <f>IFERROR(__xludf.DUMMYFUNCTION("""COMPUTED_VALUE"""),"181613")</f>
        <v>181613</v>
      </c>
      <c r="H807" s="17" t="str">
        <f>IFERROR(__xludf.DUMMYFUNCTION("""COMPUTED_VALUE"""),"приціли і мушки")</f>
        <v>приціли і мушки</v>
      </c>
      <c r="I807" s="19">
        <f>IFERROR(__xludf.DUMMYFUNCTION("""COMPUTED_VALUE"""),0.005)</f>
        <v>0.005</v>
      </c>
      <c r="J807" s="19">
        <f>IFERROR(__xludf.DUMMYFUNCTION("""COMPUTED_VALUE"""),0.01)</f>
        <v>0.01</v>
      </c>
      <c r="K807" s="19">
        <f>IFERROR(__xludf.DUMMYFUNCTION("""COMPUTED_VALUE"""),0.0125)</f>
        <v>0.0125</v>
      </c>
      <c r="L807" s="19">
        <f>IFERROR(__xludf.DUMMYFUNCTION("""COMPUTED_VALUE"""),0.015)</f>
        <v>0.015</v>
      </c>
      <c r="M807" s="18">
        <f>IFERROR(__xludf.DUMMYFUNCTION("""COMPUTED_VALUE"""),1.05)</f>
        <v>1.05</v>
      </c>
    </row>
    <row r="808">
      <c r="A808" s="13" t="str">
        <f>IFERROR(__xludf.DUMMYFUNCTION("""COMPUTED_VALUE"""),"товари")</f>
        <v>товари</v>
      </c>
      <c r="B808" s="16" t="str">
        <f>IFERROR(__xludf.DUMMYFUNCTION("""COMPUTED_VALUE"""),"воєнторг")</f>
        <v>воєнторг</v>
      </c>
      <c r="C808" s="16" t="str">
        <f>IFERROR(__xludf.DUMMYFUNCTION("""COMPUTED_VALUE"""),"тактичний одяг та взуття")</f>
        <v>тактичний одяг та взуття</v>
      </c>
      <c r="D808" s="16" t="str">
        <f>IFERROR(__xludf.DUMMYFUNCTION("""COMPUTED_VALUE"""),"ремені тактичні")</f>
        <v>ремені тактичні</v>
      </c>
      <c r="E808" s="16" t="str">
        <f>IFERROR(__xludf.DUMMYFUNCTION("""COMPUTED_VALUE"""),"ремені тактичні")</f>
        <v>ремені тактичні</v>
      </c>
      <c r="F808" s="17">
        <f>IFERROR(__xludf.DUMMYFUNCTION("""COMPUTED_VALUE"""),3.0)</f>
        <v>3</v>
      </c>
      <c r="G808" s="17" t="str">
        <f>IFERROR(__xludf.DUMMYFUNCTION("""COMPUTED_VALUE"""),"30806")</f>
        <v>30806</v>
      </c>
      <c r="H808" s="17" t="str">
        <f>IFERROR(__xludf.DUMMYFUNCTION("""COMPUTED_VALUE"""),"ремені тактичні")</f>
        <v>ремені тактичні</v>
      </c>
      <c r="I808" s="19">
        <f>IFERROR(__xludf.DUMMYFUNCTION("""COMPUTED_VALUE"""),0.005)</f>
        <v>0.005</v>
      </c>
      <c r="J808" s="19">
        <f>IFERROR(__xludf.DUMMYFUNCTION("""COMPUTED_VALUE"""),0.01)</f>
        <v>0.01</v>
      </c>
      <c r="K808" s="19">
        <f>IFERROR(__xludf.DUMMYFUNCTION("""COMPUTED_VALUE"""),0.0125)</f>
        <v>0.0125</v>
      </c>
      <c r="L808" s="19">
        <f>IFERROR(__xludf.DUMMYFUNCTION("""COMPUTED_VALUE"""),0.015)</f>
        <v>0.015</v>
      </c>
      <c r="M808" s="18">
        <f>IFERROR(__xludf.DUMMYFUNCTION("""COMPUTED_VALUE"""),1.05)</f>
        <v>1.05</v>
      </c>
    </row>
    <row r="809">
      <c r="A809" s="13" t="str">
        <f>IFERROR(__xludf.DUMMYFUNCTION("""COMPUTED_VALUE"""),"товари")</f>
        <v>товари</v>
      </c>
      <c r="B809" s="16" t="str">
        <f>IFERROR(__xludf.DUMMYFUNCTION("""COMPUTED_VALUE"""),"воєнторг")</f>
        <v>воєнторг</v>
      </c>
      <c r="C809" s="16" t="str">
        <f>IFERROR(__xludf.DUMMYFUNCTION("""COMPUTED_VALUE"""),"тактичний захист та екіпірування")</f>
        <v>тактичний захист та екіпірування</v>
      </c>
      <c r="D809" s="16" t="str">
        <f>IFERROR(__xludf.DUMMYFUNCTION("""COMPUTED_VALUE"""),"розвантажувальні жилети та плитоноски без плит")</f>
        <v>розвантажувальні жилети та плитоноски без плит</v>
      </c>
      <c r="E809" s="16" t="str">
        <f>IFERROR(__xludf.DUMMYFUNCTION("""COMPUTED_VALUE"""),"розвантажувальні жилети та плитоноски без плит")</f>
        <v>розвантажувальні жилети та плитоноски без плит</v>
      </c>
      <c r="F809" s="17">
        <f>IFERROR(__xludf.DUMMYFUNCTION("""COMPUTED_VALUE"""),3.0)</f>
        <v>3</v>
      </c>
      <c r="G809" s="17" t="str">
        <f>IFERROR(__xludf.DUMMYFUNCTION("""COMPUTED_VALUE"""),"3082002")</f>
        <v>3082002</v>
      </c>
      <c r="H809" s="17" t="str">
        <f>IFERROR(__xludf.DUMMYFUNCTION("""COMPUTED_VALUE"""),"розвантажувальні жилети та плитоноски без плит")</f>
        <v>розвантажувальні жилети та плитоноски без плит</v>
      </c>
      <c r="I809" s="19">
        <f>IFERROR(__xludf.DUMMYFUNCTION("""COMPUTED_VALUE"""),0.005)</f>
        <v>0.005</v>
      </c>
      <c r="J809" s="19">
        <f>IFERROR(__xludf.DUMMYFUNCTION("""COMPUTED_VALUE"""),0.01)</f>
        <v>0.01</v>
      </c>
      <c r="K809" s="19">
        <f>IFERROR(__xludf.DUMMYFUNCTION("""COMPUTED_VALUE"""),0.0125)</f>
        <v>0.0125</v>
      </c>
      <c r="L809" s="19">
        <f>IFERROR(__xludf.DUMMYFUNCTION("""COMPUTED_VALUE"""),0.015)</f>
        <v>0.015</v>
      </c>
      <c r="M809" s="18">
        <f>IFERROR(__xludf.DUMMYFUNCTION("""COMPUTED_VALUE"""),1.05)</f>
        <v>1.05</v>
      </c>
    </row>
    <row r="810">
      <c r="A810" s="13" t="str">
        <f>IFERROR(__xludf.DUMMYFUNCTION("""COMPUTED_VALUE"""),"товари")</f>
        <v>товари</v>
      </c>
      <c r="B810" s="16" t="str">
        <f>IFERROR(__xludf.DUMMYFUNCTION("""COMPUTED_VALUE"""),"воєнторг")</f>
        <v>воєнторг</v>
      </c>
      <c r="C810" s="16" t="str">
        <f>IFERROR(__xludf.DUMMYFUNCTION("""COMPUTED_VALUE"""),"тактичний одяг та взуття")</f>
        <v>тактичний одяг та взуття</v>
      </c>
      <c r="D810" s="16" t="str">
        <f>IFERROR(__xludf.DUMMYFUNCTION("""COMPUTED_VALUE"""),"тактичне взуття")</f>
        <v>тактичне взуття</v>
      </c>
      <c r="E810" s="16" t="str">
        <f>IFERROR(__xludf.DUMMYFUNCTION("""COMPUTED_VALUE"""),"тактичне взуття")</f>
        <v>тактичне взуття</v>
      </c>
      <c r="F810" s="17">
        <f>IFERROR(__xludf.DUMMYFUNCTION("""COMPUTED_VALUE"""),3.0)</f>
        <v>3</v>
      </c>
      <c r="G810" s="17" t="str">
        <f>IFERROR(__xludf.DUMMYFUNCTION("""COMPUTED_VALUE"""),"690102")</f>
        <v>690102</v>
      </c>
      <c r="H810" s="17" t="str">
        <f>IFERROR(__xludf.DUMMYFUNCTION("""COMPUTED_VALUE"""),"тактичне взуття")</f>
        <v>тактичне взуття</v>
      </c>
      <c r="I810" s="19">
        <f>IFERROR(__xludf.DUMMYFUNCTION("""COMPUTED_VALUE"""),0.005)</f>
        <v>0.005</v>
      </c>
      <c r="J810" s="19">
        <f>IFERROR(__xludf.DUMMYFUNCTION("""COMPUTED_VALUE"""),0.01)</f>
        <v>0.01</v>
      </c>
      <c r="K810" s="19">
        <f>IFERROR(__xludf.DUMMYFUNCTION("""COMPUTED_VALUE"""),0.0125)</f>
        <v>0.0125</v>
      </c>
      <c r="L810" s="19">
        <f>IFERROR(__xludf.DUMMYFUNCTION("""COMPUTED_VALUE"""),0.015)</f>
        <v>0.015</v>
      </c>
      <c r="M810" s="18">
        <f>IFERROR(__xludf.DUMMYFUNCTION("""COMPUTED_VALUE"""),1.05)</f>
        <v>1.05</v>
      </c>
    </row>
    <row r="811">
      <c r="A811" s="13" t="str">
        <f>IFERROR(__xludf.DUMMYFUNCTION("""COMPUTED_VALUE"""),"товари")</f>
        <v>товари</v>
      </c>
      <c r="B811" s="16" t="str">
        <f>IFERROR(__xludf.DUMMYFUNCTION("""COMPUTED_VALUE"""),"воєнторг")</f>
        <v>воєнторг</v>
      </c>
      <c r="C811" s="16" t="str">
        <f>IFERROR(__xludf.DUMMYFUNCTION("""COMPUTED_VALUE"""),"тактичний одяг та взуття")</f>
        <v>тактичний одяг та взуття</v>
      </c>
      <c r="D811" s="16" t="str">
        <f>IFERROR(__xludf.DUMMYFUNCTION("""COMPUTED_VALUE"""),"тактичний і формений одяг")</f>
        <v>тактичний і формений одяг</v>
      </c>
      <c r="E811" s="16" t="str">
        <f>IFERROR(__xludf.DUMMYFUNCTION("""COMPUTED_VALUE"""),"тактичний і формений одяг")</f>
        <v>тактичний і формений одяг</v>
      </c>
      <c r="F811" s="17">
        <f>IFERROR(__xludf.DUMMYFUNCTION("""COMPUTED_VALUE"""),3.0)</f>
        <v>3</v>
      </c>
      <c r="G811" s="17" t="str">
        <f>IFERROR(__xludf.DUMMYFUNCTION("""COMPUTED_VALUE"""),"30807")</f>
        <v>30807</v>
      </c>
      <c r="H811" s="17" t="str">
        <f>IFERROR(__xludf.DUMMYFUNCTION("""COMPUTED_VALUE"""),"тактичний і формений одяг")</f>
        <v>тактичний і формений одяг</v>
      </c>
      <c r="I811" s="19">
        <f>IFERROR(__xludf.DUMMYFUNCTION("""COMPUTED_VALUE"""),0.005)</f>
        <v>0.005</v>
      </c>
      <c r="J811" s="19">
        <f>IFERROR(__xludf.DUMMYFUNCTION("""COMPUTED_VALUE"""),0.01)</f>
        <v>0.01</v>
      </c>
      <c r="K811" s="19">
        <f>IFERROR(__xludf.DUMMYFUNCTION("""COMPUTED_VALUE"""),0.0125)</f>
        <v>0.0125</v>
      </c>
      <c r="L811" s="19">
        <f>IFERROR(__xludf.DUMMYFUNCTION("""COMPUTED_VALUE"""),0.015)</f>
        <v>0.015</v>
      </c>
      <c r="M811" s="18">
        <f>IFERROR(__xludf.DUMMYFUNCTION("""COMPUTED_VALUE"""),1.05)</f>
        <v>1.05</v>
      </c>
    </row>
    <row r="812">
      <c r="A812" s="13" t="str">
        <f>IFERROR(__xludf.DUMMYFUNCTION("""COMPUTED_VALUE"""),"товари")</f>
        <v>товари</v>
      </c>
      <c r="B812" s="16" t="str">
        <f>IFERROR(__xludf.DUMMYFUNCTION("""COMPUTED_VALUE"""),"воєнторг")</f>
        <v>воєнторг</v>
      </c>
      <c r="C812" s="16" t="str">
        <f>IFERROR(__xludf.DUMMYFUNCTION("""COMPUTED_VALUE"""),"тактичний одяг та взуття")</f>
        <v>тактичний одяг та взуття</v>
      </c>
      <c r="D812" s="16" t="str">
        <f>IFERROR(__xludf.DUMMYFUNCTION("""COMPUTED_VALUE"""),"тактичний одяг та взуття, загальне")</f>
        <v>тактичний одяг та взуття, загальне</v>
      </c>
      <c r="E812" s="16" t="str">
        <f>IFERROR(__xludf.DUMMYFUNCTION("""COMPUTED_VALUE"""),"тактичний одяг та взуття, загальне")</f>
        <v>тактичний одяг та взуття, загальне</v>
      </c>
      <c r="F812" s="17">
        <f>IFERROR(__xludf.DUMMYFUNCTION("""COMPUTED_VALUE"""),3.0)</f>
        <v>3</v>
      </c>
      <c r="G812" s="17" t="str">
        <f>IFERROR(__xludf.DUMMYFUNCTION("""COMPUTED_VALUE"""),"690101")</f>
        <v>690101</v>
      </c>
      <c r="H812" s="17" t="str">
        <f>IFERROR(__xludf.DUMMYFUNCTION("""COMPUTED_VALUE"""),"тактичний одяг та взуття, загальне")</f>
        <v>тактичний одяг та взуття, загальне</v>
      </c>
      <c r="I812" s="19">
        <f>IFERROR(__xludf.DUMMYFUNCTION("""COMPUTED_VALUE"""),0.125)</f>
        <v>0.125</v>
      </c>
      <c r="J812" s="19">
        <f>IFERROR(__xludf.DUMMYFUNCTION("""COMPUTED_VALUE"""),0.25)</f>
        <v>0.25</v>
      </c>
      <c r="K812" s="19">
        <f>IFERROR(__xludf.DUMMYFUNCTION("""COMPUTED_VALUE"""),0.3125)</f>
        <v>0.3125</v>
      </c>
      <c r="L812" s="19">
        <f>IFERROR(__xludf.DUMMYFUNCTION("""COMPUTED_VALUE"""),0.375)</f>
        <v>0.375</v>
      </c>
      <c r="M812" s="18">
        <f>IFERROR(__xludf.DUMMYFUNCTION("""COMPUTED_VALUE"""),4.33)</f>
        <v>4.33</v>
      </c>
    </row>
    <row r="813">
      <c r="A813" s="13" t="str">
        <f>IFERROR(__xludf.DUMMYFUNCTION("""COMPUTED_VALUE"""),"товари")</f>
        <v>товари</v>
      </c>
      <c r="B813" s="16" t="str">
        <f>IFERROR(__xludf.DUMMYFUNCTION("""COMPUTED_VALUE"""),"воєнторг")</f>
        <v>воєнторг</v>
      </c>
      <c r="C813" s="16" t="str">
        <f>IFERROR(__xludf.DUMMYFUNCTION("""COMPUTED_VALUE"""),"тактичний захист та екіпірування")</f>
        <v>тактичний захист та екіпірування</v>
      </c>
      <c r="D813" s="16" t="str">
        <f>IFERROR(__xludf.DUMMYFUNCTION("""COMPUTED_VALUE"""),"тактичні джгути та турнікети")</f>
        <v>тактичні джгути та турнікети</v>
      </c>
      <c r="E813" s="16" t="str">
        <f>IFERROR(__xludf.DUMMYFUNCTION("""COMPUTED_VALUE"""),"тактичні джгути та турнікети")</f>
        <v>тактичні джгути та турнікети</v>
      </c>
      <c r="F813" s="17">
        <f>IFERROR(__xludf.DUMMYFUNCTION("""COMPUTED_VALUE"""),3.0)</f>
        <v>3</v>
      </c>
      <c r="G813" s="17" t="str">
        <f>IFERROR(__xludf.DUMMYFUNCTION("""COMPUTED_VALUE"""),"300509")</f>
        <v>300509</v>
      </c>
      <c r="H813" s="17" t="str">
        <f>IFERROR(__xludf.DUMMYFUNCTION("""COMPUTED_VALUE"""),"тактичні джгути та турнікети")</f>
        <v>тактичні джгути та турнікети</v>
      </c>
      <c r="I813" s="19">
        <f>IFERROR(__xludf.DUMMYFUNCTION("""COMPUTED_VALUE"""),0.005)</f>
        <v>0.005</v>
      </c>
      <c r="J813" s="19">
        <f>IFERROR(__xludf.DUMMYFUNCTION("""COMPUTED_VALUE"""),0.01)</f>
        <v>0.01</v>
      </c>
      <c r="K813" s="19">
        <f>IFERROR(__xludf.DUMMYFUNCTION("""COMPUTED_VALUE"""),0.0125)</f>
        <v>0.0125</v>
      </c>
      <c r="L813" s="19">
        <f>IFERROR(__xludf.DUMMYFUNCTION("""COMPUTED_VALUE"""),0.015)</f>
        <v>0.015</v>
      </c>
      <c r="M813" s="18">
        <f>IFERROR(__xludf.DUMMYFUNCTION("""COMPUTED_VALUE"""),1.05)</f>
        <v>1.05</v>
      </c>
    </row>
    <row r="814">
      <c r="A814" s="13" t="str">
        <f>IFERROR(__xludf.DUMMYFUNCTION("""COMPUTED_VALUE"""),"товари")</f>
        <v>товари</v>
      </c>
      <c r="B814" s="16" t="str">
        <f>IFERROR(__xludf.DUMMYFUNCTION("""COMPUTED_VALUE"""),"воєнторг")</f>
        <v>воєнторг</v>
      </c>
      <c r="C814" s="16" t="str">
        <f>IFERROR(__xludf.DUMMYFUNCTION("""COMPUTED_VALUE"""),"тактичний захист та екіпірування")</f>
        <v>тактичний захист та екіпірування</v>
      </c>
      <c r="D814" s="16" t="str">
        <f>IFERROR(__xludf.DUMMYFUNCTION("""COMPUTED_VALUE"""),"тактичні наколінники та налокітники")</f>
        <v>тактичні наколінники та налокітники</v>
      </c>
      <c r="E814" s="16" t="str">
        <f>IFERROR(__xludf.DUMMYFUNCTION("""COMPUTED_VALUE"""),"тактичні наколінники та налокітники")</f>
        <v>тактичні наколінники та налокітники</v>
      </c>
      <c r="F814" s="17">
        <f>IFERROR(__xludf.DUMMYFUNCTION("""COMPUTED_VALUE"""),3.0)</f>
        <v>3</v>
      </c>
      <c r="G814" s="17" t="str">
        <f>IFERROR(__xludf.DUMMYFUNCTION("""COMPUTED_VALUE"""),"300506")</f>
        <v>300506</v>
      </c>
      <c r="H814" s="17" t="str">
        <f>IFERROR(__xludf.DUMMYFUNCTION("""COMPUTED_VALUE"""),"тактичні наколінники та налокітники")</f>
        <v>тактичні наколінники та налокітники</v>
      </c>
      <c r="I814" s="19">
        <f>IFERROR(__xludf.DUMMYFUNCTION("""COMPUTED_VALUE"""),0.005)</f>
        <v>0.005</v>
      </c>
      <c r="J814" s="19">
        <f>IFERROR(__xludf.DUMMYFUNCTION("""COMPUTED_VALUE"""),0.01)</f>
        <v>0.01</v>
      </c>
      <c r="K814" s="19">
        <f>IFERROR(__xludf.DUMMYFUNCTION("""COMPUTED_VALUE"""),0.0125)</f>
        <v>0.0125</v>
      </c>
      <c r="L814" s="19">
        <f>IFERROR(__xludf.DUMMYFUNCTION("""COMPUTED_VALUE"""),0.015)</f>
        <v>0.015</v>
      </c>
      <c r="M814" s="18">
        <f>IFERROR(__xludf.DUMMYFUNCTION("""COMPUTED_VALUE"""),1.05)</f>
        <v>1.05</v>
      </c>
    </row>
    <row r="815">
      <c r="A815" s="13" t="str">
        <f>IFERROR(__xludf.DUMMYFUNCTION("""COMPUTED_VALUE"""),"товари")</f>
        <v>товари</v>
      </c>
      <c r="B815" s="16" t="str">
        <f>IFERROR(__xludf.DUMMYFUNCTION("""COMPUTED_VALUE"""),"воєнторг")</f>
        <v>воєнторг</v>
      </c>
      <c r="C815" s="16" t="str">
        <f>IFERROR(__xludf.DUMMYFUNCTION("""COMPUTED_VALUE"""),"тактичний захист та екіпірування")</f>
        <v>тактичний захист та екіпірування</v>
      </c>
      <c r="D815" s="16" t="str">
        <f>IFERROR(__xludf.DUMMYFUNCTION("""COMPUTED_VALUE"""),"тактичні окуляри")</f>
        <v>тактичні окуляри</v>
      </c>
      <c r="E815" s="16" t="str">
        <f>IFERROR(__xludf.DUMMYFUNCTION("""COMPUTED_VALUE"""),"тактичні окуляри")</f>
        <v>тактичні окуляри</v>
      </c>
      <c r="F815" s="17">
        <f>IFERROR(__xludf.DUMMYFUNCTION("""COMPUTED_VALUE"""),3.0)</f>
        <v>3</v>
      </c>
      <c r="G815" s="17" t="str">
        <f>IFERROR(__xludf.DUMMYFUNCTION("""COMPUTED_VALUE"""),"181301")</f>
        <v>181301</v>
      </c>
      <c r="H815" s="17" t="str">
        <f>IFERROR(__xludf.DUMMYFUNCTION("""COMPUTED_VALUE"""),"тактичні окуляри")</f>
        <v>тактичні окуляри</v>
      </c>
      <c r="I815" s="19">
        <f>IFERROR(__xludf.DUMMYFUNCTION("""COMPUTED_VALUE"""),0.005)</f>
        <v>0.005</v>
      </c>
      <c r="J815" s="19">
        <f>IFERROR(__xludf.DUMMYFUNCTION("""COMPUTED_VALUE"""),0.01)</f>
        <v>0.01</v>
      </c>
      <c r="K815" s="19">
        <f>IFERROR(__xludf.DUMMYFUNCTION("""COMPUTED_VALUE"""),0.0125)</f>
        <v>0.0125</v>
      </c>
      <c r="L815" s="19">
        <f>IFERROR(__xludf.DUMMYFUNCTION("""COMPUTED_VALUE"""),0.015)</f>
        <v>0.015</v>
      </c>
      <c r="M815" s="18">
        <f>IFERROR(__xludf.DUMMYFUNCTION("""COMPUTED_VALUE"""),1.05)</f>
        <v>1.05</v>
      </c>
    </row>
    <row r="816">
      <c r="A816" s="13" t="str">
        <f>IFERROR(__xludf.DUMMYFUNCTION("""COMPUTED_VALUE"""),"товари")</f>
        <v>товари</v>
      </c>
      <c r="B816" s="16" t="str">
        <f>IFERROR(__xludf.DUMMYFUNCTION("""COMPUTED_VALUE"""),"воєнторг")</f>
        <v>воєнторг</v>
      </c>
      <c r="C816" s="16" t="str">
        <f>IFERROR(__xludf.DUMMYFUNCTION("""COMPUTED_VALUE"""),"тактичний одяг та взуття")</f>
        <v>тактичний одяг та взуття</v>
      </c>
      <c r="D816" s="16" t="str">
        <f>IFERROR(__xludf.DUMMYFUNCTION("""COMPUTED_VALUE"""),"тактичні рукавички")</f>
        <v>тактичні рукавички</v>
      </c>
      <c r="E816" s="16" t="str">
        <f>IFERROR(__xludf.DUMMYFUNCTION("""COMPUTED_VALUE"""),"тактичні рукавички")</f>
        <v>тактичні рукавички</v>
      </c>
      <c r="F816" s="17">
        <f>IFERROR(__xludf.DUMMYFUNCTION("""COMPUTED_VALUE"""),3.0)</f>
        <v>3</v>
      </c>
      <c r="G816" s="17" t="str">
        <f>IFERROR(__xludf.DUMMYFUNCTION("""COMPUTED_VALUE"""),"182202")</f>
        <v>182202</v>
      </c>
      <c r="H816" s="17" t="str">
        <f>IFERROR(__xludf.DUMMYFUNCTION("""COMPUTED_VALUE"""),"тактичні рукавички")</f>
        <v>тактичні рукавички</v>
      </c>
      <c r="I816" s="19">
        <f>IFERROR(__xludf.DUMMYFUNCTION("""COMPUTED_VALUE"""),0.005)</f>
        <v>0.005</v>
      </c>
      <c r="J816" s="19">
        <f>IFERROR(__xludf.DUMMYFUNCTION("""COMPUTED_VALUE"""),0.01)</f>
        <v>0.01</v>
      </c>
      <c r="K816" s="19">
        <f>IFERROR(__xludf.DUMMYFUNCTION("""COMPUTED_VALUE"""),0.0125)</f>
        <v>0.0125</v>
      </c>
      <c r="L816" s="19">
        <f>IFERROR(__xludf.DUMMYFUNCTION("""COMPUTED_VALUE"""),0.015)</f>
        <v>0.015</v>
      </c>
      <c r="M816" s="18">
        <f>IFERROR(__xludf.DUMMYFUNCTION("""COMPUTED_VALUE"""),1.05)</f>
        <v>1.05</v>
      </c>
    </row>
    <row r="817">
      <c r="A817" s="13" t="str">
        <f>IFERROR(__xludf.DUMMYFUNCTION("""COMPUTED_VALUE"""),"товари")</f>
        <v>товари</v>
      </c>
      <c r="B817" s="16" t="str">
        <f>IFERROR(__xludf.DUMMYFUNCTION("""COMPUTED_VALUE"""),"воєнторг")</f>
        <v>воєнторг</v>
      </c>
      <c r="C817" s="16" t="str">
        <f>IFERROR(__xludf.DUMMYFUNCTION("""COMPUTED_VALUE"""),"оптичні прилади і системи")</f>
        <v>оптичні прилади і системи</v>
      </c>
      <c r="D817" s="16" t="str">
        <f>IFERROR(__xludf.DUMMYFUNCTION("""COMPUTED_VALUE"""),"тактичні тепловізори")</f>
        <v>тактичні тепловізори</v>
      </c>
      <c r="E817" s="16" t="str">
        <f>IFERROR(__xludf.DUMMYFUNCTION("""COMPUTED_VALUE"""),"тактичні тепловізори")</f>
        <v>тактичні тепловізори</v>
      </c>
      <c r="F817" s="17">
        <f>IFERROR(__xludf.DUMMYFUNCTION("""COMPUTED_VALUE"""),3.0)</f>
        <v>3</v>
      </c>
      <c r="G817" s="17" t="str">
        <f>IFERROR(__xludf.DUMMYFUNCTION("""COMPUTED_VALUE"""),"153729")</f>
        <v>153729</v>
      </c>
      <c r="H817" s="17" t="str">
        <f>IFERROR(__xludf.DUMMYFUNCTION("""COMPUTED_VALUE"""),"тактичні тепловізори")</f>
        <v>тактичні тепловізори</v>
      </c>
      <c r="I817" s="19">
        <f>IFERROR(__xludf.DUMMYFUNCTION("""COMPUTED_VALUE"""),0.005)</f>
        <v>0.005</v>
      </c>
      <c r="J817" s="19">
        <f>IFERROR(__xludf.DUMMYFUNCTION("""COMPUTED_VALUE"""),0.01)</f>
        <v>0.01</v>
      </c>
      <c r="K817" s="19">
        <f>IFERROR(__xludf.DUMMYFUNCTION("""COMPUTED_VALUE"""),0.0125)</f>
        <v>0.0125</v>
      </c>
      <c r="L817" s="19">
        <f>IFERROR(__xludf.DUMMYFUNCTION("""COMPUTED_VALUE"""),0.015)</f>
        <v>0.015</v>
      </c>
      <c r="M817" s="18">
        <f>IFERROR(__xludf.DUMMYFUNCTION("""COMPUTED_VALUE"""),1.05)</f>
        <v>1.05</v>
      </c>
    </row>
    <row r="818">
      <c r="A818" s="13" t="str">
        <f>IFERROR(__xludf.DUMMYFUNCTION("""COMPUTED_VALUE"""),"товари")</f>
        <v>товари</v>
      </c>
      <c r="B818" s="16" t="str">
        <f>IFERROR(__xludf.DUMMYFUNCTION("""COMPUTED_VALUE"""),"воєнторг")</f>
        <v>воєнторг</v>
      </c>
      <c r="C818" s="16" t="str">
        <f>IFERROR(__xludf.DUMMYFUNCTION("""COMPUTED_VALUE"""),"тактичний одяг та взуття")</f>
        <v>тактичний одяг та взуття</v>
      </c>
      <c r="D818" s="16" t="str">
        <f>IFERROR(__xludf.DUMMYFUNCTION("""COMPUTED_VALUE"""),"формені головні убори")</f>
        <v>формені головні убори</v>
      </c>
      <c r="E818" s="16" t="str">
        <f>IFERROR(__xludf.DUMMYFUNCTION("""COMPUTED_VALUE"""),"формені головні убори")</f>
        <v>формені головні убори</v>
      </c>
      <c r="F818" s="17">
        <f>IFERROR(__xludf.DUMMYFUNCTION("""COMPUTED_VALUE"""),3.0)</f>
        <v>3</v>
      </c>
      <c r="G818" s="17" t="str">
        <f>IFERROR(__xludf.DUMMYFUNCTION("""COMPUTED_VALUE"""),"32714")</f>
        <v>32714</v>
      </c>
      <c r="H818" s="17" t="str">
        <f>IFERROR(__xludf.DUMMYFUNCTION("""COMPUTED_VALUE"""),"формені головні убори")</f>
        <v>формені головні убори</v>
      </c>
      <c r="I818" s="19">
        <f>IFERROR(__xludf.DUMMYFUNCTION("""COMPUTED_VALUE"""),0.005)</f>
        <v>0.005</v>
      </c>
      <c r="J818" s="19">
        <f>IFERROR(__xludf.DUMMYFUNCTION("""COMPUTED_VALUE"""),0.01)</f>
        <v>0.01</v>
      </c>
      <c r="K818" s="19">
        <f>IFERROR(__xludf.DUMMYFUNCTION("""COMPUTED_VALUE"""),0.0125)</f>
        <v>0.0125</v>
      </c>
      <c r="L818" s="19">
        <f>IFERROR(__xludf.DUMMYFUNCTION("""COMPUTED_VALUE"""),0.015)</f>
        <v>0.015</v>
      </c>
      <c r="M818" s="18">
        <f>IFERROR(__xludf.DUMMYFUNCTION("""COMPUTED_VALUE"""),1.05)</f>
        <v>1.05</v>
      </c>
    </row>
    <row r="819">
      <c r="A819" s="13" t="str">
        <f>IFERROR(__xludf.DUMMYFUNCTION("""COMPUTED_VALUE"""),"товари")</f>
        <v>товари</v>
      </c>
      <c r="B819" s="16" t="str">
        <f>IFERROR(__xludf.DUMMYFUNCTION("""COMPUTED_VALUE"""),"воєнторг")</f>
        <v>воєнторг</v>
      </c>
      <c r="C819" s="16" t="str">
        <f>IFERROR(__xludf.DUMMYFUNCTION("""COMPUTED_VALUE"""),"тактичний захист та екіпірування")</f>
        <v>тактичний захист та екіпірування</v>
      </c>
      <c r="D819" s="16" t="str">
        <f>IFERROR(__xludf.DUMMYFUNCTION("""COMPUTED_VALUE"""),"шоломи, бронешоломи і каски")</f>
        <v>шоломи, бронешоломи і каски</v>
      </c>
      <c r="E819" s="16" t="str">
        <f>IFERROR(__xludf.DUMMYFUNCTION("""COMPUTED_VALUE"""),"шоломи, бронешоломи і каски")</f>
        <v>шоломи, бронешоломи і каски</v>
      </c>
      <c r="F819" s="17">
        <f>IFERROR(__xludf.DUMMYFUNCTION("""COMPUTED_VALUE"""),3.0)</f>
        <v>3</v>
      </c>
      <c r="G819" s="17" t="str">
        <f>IFERROR(__xludf.DUMMYFUNCTION("""COMPUTED_VALUE"""),"300503")</f>
        <v>300503</v>
      </c>
      <c r="H819" s="17" t="str">
        <f>IFERROR(__xludf.DUMMYFUNCTION("""COMPUTED_VALUE"""),"шоломи, бронешоломи і каски")</f>
        <v>шоломи, бронешоломи і каски</v>
      </c>
      <c r="I819" s="19">
        <f>IFERROR(__xludf.DUMMYFUNCTION("""COMPUTED_VALUE"""),0.005)</f>
        <v>0.005</v>
      </c>
      <c r="J819" s="19">
        <f>IFERROR(__xludf.DUMMYFUNCTION("""COMPUTED_VALUE"""),0.01)</f>
        <v>0.01</v>
      </c>
      <c r="K819" s="19">
        <f>IFERROR(__xludf.DUMMYFUNCTION("""COMPUTED_VALUE"""),0.0125)</f>
        <v>0.0125</v>
      </c>
      <c r="L819" s="19">
        <f>IFERROR(__xludf.DUMMYFUNCTION("""COMPUTED_VALUE"""),0.015)</f>
        <v>0.015</v>
      </c>
      <c r="M819" s="18">
        <f>IFERROR(__xludf.DUMMYFUNCTION("""COMPUTED_VALUE"""),1.05)</f>
        <v>1.05</v>
      </c>
    </row>
    <row r="820">
      <c r="A820" s="13" t="str">
        <f>IFERROR(__xludf.DUMMYFUNCTION("""COMPUTED_VALUE"""),"товари")</f>
        <v>товари</v>
      </c>
      <c r="B820" s="16" t="str">
        <f>IFERROR(__xludf.DUMMYFUNCTION("""COMPUTED_VALUE"""),"товари для дому")</f>
        <v>товари для дому</v>
      </c>
      <c r="C820" s="16" t="str">
        <f>IFERROR(__xludf.DUMMYFUNCTION("""COMPUTED_VALUE"""),"освітлення для дому")</f>
        <v>освітлення для дому</v>
      </c>
      <c r="D820" s="16" t="str">
        <f>IFERROR(__xludf.DUMMYFUNCTION("""COMPUTED_VALUE"""),"led підсвітка інтер'єрів")</f>
        <v>led підсвітка інтер'єрів</v>
      </c>
      <c r="E820" s="16" t="str">
        <f>IFERROR(__xludf.DUMMYFUNCTION("""COMPUTED_VALUE"""),"led підсвітка інтер'єрів")</f>
        <v>led підсвітка інтер'єрів</v>
      </c>
      <c r="F820" s="17">
        <f>IFERROR(__xludf.DUMMYFUNCTION("""COMPUTED_VALUE"""),3.0)</f>
        <v>3</v>
      </c>
      <c r="G820" s="17" t="str">
        <f>IFERROR(__xludf.DUMMYFUNCTION("""COMPUTED_VALUE"""),"15040606")</f>
        <v>15040606</v>
      </c>
      <c r="H820" s="17" t="str">
        <f>IFERROR(__xludf.DUMMYFUNCTION("""COMPUTED_VALUE"""),"led підсвітка інтер'єрів")</f>
        <v>led підсвітка інтер'єрів</v>
      </c>
      <c r="I820" s="19">
        <f>IFERROR(__xludf.DUMMYFUNCTION("""COMPUTED_VALUE"""),0.0769)</f>
        <v>0.0769</v>
      </c>
      <c r="J820" s="19">
        <f>IFERROR(__xludf.DUMMYFUNCTION("""COMPUTED_VALUE"""),0.1537)</f>
        <v>0.1537</v>
      </c>
      <c r="K820" s="19">
        <f>IFERROR(__xludf.DUMMYFUNCTION("""COMPUTED_VALUE"""),0.1921)</f>
        <v>0.1921</v>
      </c>
      <c r="L820" s="19">
        <f>IFERROR(__xludf.DUMMYFUNCTION("""COMPUTED_VALUE"""),0.2306)</f>
        <v>0.2306</v>
      </c>
      <c r="M820" s="18">
        <f>IFERROR(__xludf.DUMMYFUNCTION("""COMPUTED_VALUE"""),3.33)</f>
        <v>3.33</v>
      </c>
    </row>
    <row r="821">
      <c r="A821" s="13" t="str">
        <f>IFERROR(__xludf.DUMMYFUNCTION("""COMPUTED_VALUE"""),"товари")</f>
        <v>товари</v>
      </c>
      <c r="B821" s="16" t="str">
        <f>IFERROR(__xludf.DUMMYFUNCTION("""COMPUTED_VALUE"""),"товари для дому")</f>
        <v>товари для дому</v>
      </c>
      <c r="C821" s="16" t="str">
        <f>IFERROR(__xludf.DUMMYFUNCTION("""COMPUTED_VALUE"""),"посуд")</f>
        <v>посуд</v>
      </c>
      <c r="D821" s="16" t="str">
        <f>IFERROR(__xludf.DUMMYFUNCTION("""COMPUTED_VALUE"""),"посуд для приготування")</f>
        <v>посуд для приготування</v>
      </c>
      <c r="E821" s="16" t="str">
        <f>IFERROR(__xludf.DUMMYFUNCTION("""COMPUTED_VALUE"""),"автоклави побутові")</f>
        <v>автоклави побутові</v>
      </c>
      <c r="F821" s="17">
        <f>IFERROR(__xludf.DUMMYFUNCTION("""COMPUTED_VALUE"""),4.0)</f>
        <v>4</v>
      </c>
      <c r="G821" s="17" t="str">
        <f>IFERROR(__xludf.DUMMYFUNCTION("""COMPUTED_VALUE"""),"151902")</f>
        <v>151902</v>
      </c>
      <c r="H821" s="17" t="str">
        <f>IFERROR(__xludf.DUMMYFUNCTION("""COMPUTED_VALUE"""),"автоклави побутові")</f>
        <v>автоклави побутові</v>
      </c>
      <c r="I821" s="19">
        <f>IFERROR(__xludf.DUMMYFUNCTION("""COMPUTED_VALUE"""),0.0719)</f>
        <v>0.0719</v>
      </c>
      <c r="J821" s="19">
        <f>IFERROR(__xludf.DUMMYFUNCTION("""COMPUTED_VALUE"""),0.1437)</f>
        <v>0.1437</v>
      </c>
      <c r="K821" s="19">
        <f>IFERROR(__xludf.DUMMYFUNCTION("""COMPUTED_VALUE"""),0.1796)</f>
        <v>0.1796</v>
      </c>
      <c r="L821" s="19">
        <f>IFERROR(__xludf.DUMMYFUNCTION("""COMPUTED_VALUE"""),0.2156)</f>
        <v>0.2156</v>
      </c>
      <c r="M821" s="18">
        <f>IFERROR(__xludf.DUMMYFUNCTION("""COMPUTED_VALUE"""),2.53)</f>
        <v>2.53</v>
      </c>
    </row>
    <row r="822">
      <c r="A822" s="13" t="str">
        <f>IFERROR(__xludf.DUMMYFUNCTION("""COMPUTED_VALUE"""),"товари")</f>
        <v>товари</v>
      </c>
      <c r="B822" s="16" t="str">
        <f>IFERROR(__xludf.DUMMYFUNCTION("""COMPUTED_VALUE"""),"дача, сад і город")</f>
        <v>дача, сад і город</v>
      </c>
      <c r="C822" s="16" t="str">
        <f>IFERROR(__xludf.DUMMYFUNCTION("""COMPUTED_VALUE"""),"мінісільгосптехніка")</f>
        <v>мінісільгосптехніка</v>
      </c>
      <c r="D822" s="16" t="str">
        <f>IFERROR(__xludf.DUMMYFUNCTION("""COMPUTED_VALUE"""),"адаптери до мотоблоків")</f>
        <v>адаптери до мотоблоків</v>
      </c>
      <c r="E822" s="16" t="str">
        <f>IFERROR(__xludf.DUMMYFUNCTION("""COMPUTED_VALUE"""),"адаптери до мотоблоків")</f>
        <v>адаптери до мотоблоків</v>
      </c>
      <c r="F822" s="17">
        <f>IFERROR(__xludf.DUMMYFUNCTION("""COMPUTED_VALUE"""),3.0)</f>
        <v>3</v>
      </c>
      <c r="G822" s="17" t="str">
        <f>IFERROR(__xludf.DUMMYFUNCTION("""COMPUTED_VALUE"""),"125031805")</f>
        <v>125031805</v>
      </c>
      <c r="H822" s="17" t="str">
        <f>IFERROR(__xludf.DUMMYFUNCTION("""COMPUTED_VALUE"""),"адаптери до мотоблоків")</f>
        <v>адаптери до мотоблоків</v>
      </c>
      <c r="I822" s="19">
        <f>IFERROR(__xludf.DUMMYFUNCTION("""COMPUTED_VALUE"""),0.0509)</f>
        <v>0.0509</v>
      </c>
      <c r="J822" s="19">
        <f>IFERROR(__xludf.DUMMYFUNCTION("""COMPUTED_VALUE"""),0.1017)</f>
        <v>0.1017</v>
      </c>
      <c r="K822" s="19">
        <f>IFERROR(__xludf.DUMMYFUNCTION("""COMPUTED_VALUE"""),0.1271)</f>
        <v>0.1271</v>
      </c>
      <c r="L822" s="19">
        <f>IFERROR(__xludf.DUMMYFUNCTION("""COMPUTED_VALUE"""),0.1526)</f>
        <v>0.1526</v>
      </c>
      <c r="M822" s="18">
        <f>IFERROR(__xludf.DUMMYFUNCTION("""COMPUTED_VALUE"""),2.08)</f>
        <v>2.08</v>
      </c>
    </row>
    <row r="823">
      <c r="A823" s="13" t="str">
        <f>IFERROR(__xludf.DUMMYFUNCTION("""COMPUTED_VALUE"""),"товари")</f>
        <v>товари</v>
      </c>
      <c r="B823" s="16" t="str">
        <f>IFERROR(__xludf.DUMMYFUNCTION("""COMPUTED_VALUE"""),"дача, сад і город")</f>
        <v>дача, сад і город</v>
      </c>
      <c r="C823" s="16" t="str">
        <f>IFERROR(__xludf.DUMMYFUNCTION("""COMPUTED_VALUE"""),"інструменти для обробки грунту")</f>
        <v>інструменти для обробки грунту</v>
      </c>
      <c r="D823" s="16" t="str">
        <f>IFERROR(__xludf.DUMMYFUNCTION("""COMPUTED_VALUE"""),"аератори, скарифікатори")</f>
        <v>аератори, скарифікатори</v>
      </c>
      <c r="E823" s="16" t="str">
        <f>IFERROR(__xludf.DUMMYFUNCTION("""COMPUTED_VALUE"""),"аератори, скарифікатори")</f>
        <v>аератори, скарифікатори</v>
      </c>
      <c r="F823" s="17">
        <f>IFERROR(__xludf.DUMMYFUNCTION("""COMPUTED_VALUE"""),3.0)</f>
        <v>3</v>
      </c>
      <c r="G823" s="17" t="str">
        <f>IFERROR(__xludf.DUMMYFUNCTION("""COMPUTED_VALUE"""),"1250341")</f>
        <v>1250341</v>
      </c>
      <c r="H823" s="17" t="str">
        <f>IFERROR(__xludf.DUMMYFUNCTION("""COMPUTED_VALUE"""),"аератори, скарифікатори")</f>
        <v>аератори, скарифікатори</v>
      </c>
      <c r="I823" s="19">
        <f>IFERROR(__xludf.DUMMYFUNCTION("""COMPUTED_VALUE"""),0.0538)</f>
        <v>0.0538</v>
      </c>
      <c r="J823" s="19">
        <f>IFERROR(__xludf.DUMMYFUNCTION("""COMPUTED_VALUE"""),0.1076)</f>
        <v>0.1076</v>
      </c>
      <c r="K823" s="19">
        <f>IFERROR(__xludf.DUMMYFUNCTION("""COMPUTED_VALUE"""),0.1345)</f>
        <v>0.1345</v>
      </c>
      <c r="L823" s="19">
        <f>IFERROR(__xludf.DUMMYFUNCTION("""COMPUTED_VALUE"""),0.1614)</f>
        <v>0.1614</v>
      </c>
      <c r="M823" s="18">
        <f>IFERROR(__xludf.DUMMYFUNCTION("""COMPUTED_VALUE"""),1.71)</f>
        <v>1.71</v>
      </c>
    </row>
    <row r="824">
      <c r="A824" s="13" t="str">
        <f>IFERROR(__xludf.DUMMYFUNCTION("""COMPUTED_VALUE"""),"товари")</f>
        <v>товари</v>
      </c>
      <c r="B824" s="16" t="str">
        <f>IFERROR(__xludf.DUMMYFUNCTION("""COMPUTED_VALUE"""),"товари для дому")</f>
        <v>товари для дому</v>
      </c>
      <c r="C824" s="16" t="str">
        <f>IFERROR(__xludf.DUMMYFUNCTION("""COMPUTED_VALUE"""),"посуд")</f>
        <v>посуд</v>
      </c>
      <c r="D824" s="16" t="str">
        <f>IFERROR(__xludf.DUMMYFUNCTION("""COMPUTED_VALUE"""),"аксесуари для бару")</f>
        <v>аксесуари для бару</v>
      </c>
      <c r="E824" s="16" t="str">
        <f>IFERROR(__xludf.DUMMYFUNCTION("""COMPUTED_VALUE"""),"аксесуари для бару, загальне")</f>
        <v>аксесуари для бару, загальне</v>
      </c>
      <c r="F824" s="17">
        <f>IFERROR(__xludf.DUMMYFUNCTION("""COMPUTED_VALUE"""),4.0)</f>
        <v>4</v>
      </c>
      <c r="G824" s="17" t="str">
        <f>IFERROR(__xludf.DUMMYFUNCTION("""COMPUTED_VALUE"""),"152906")</f>
        <v>152906</v>
      </c>
      <c r="H824" s="17" t="str">
        <f>IFERROR(__xludf.DUMMYFUNCTION("""COMPUTED_VALUE"""),"аксесуари для бару, загальне")</f>
        <v>аксесуари для бару, загальне</v>
      </c>
      <c r="I824" s="19">
        <f>IFERROR(__xludf.DUMMYFUNCTION("""COMPUTED_VALUE"""),0.125)</f>
        <v>0.125</v>
      </c>
      <c r="J824" s="19">
        <f>IFERROR(__xludf.DUMMYFUNCTION("""COMPUTED_VALUE"""),0.25)</f>
        <v>0.25</v>
      </c>
      <c r="K824" s="19">
        <f>IFERROR(__xludf.DUMMYFUNCTION("""COMPUTED_VALUE"""),0.3125)</f>
        <v>0.3125</v>
      </c>
      <c r="L824" s="19">
        <f>IFERROR(__xludf.DUMMYFUNCTION("""COMPUTED_VALUE"""),0.375)</f>
        <v>0.375</v>
      </c>
      <c r="M824" s="18">
        <f>IFERROR(__xludf.DUMMYFUNCTION("""COMPUTED_VALUE"""),4.33)</f>
        <v>4.33</v>
      </c>
    </row>
    <row r="825">
      <c r="A825" s="13" t="str">
        <f>IFERROR(__xludf.DUMMYFUNCTION("""COMPUTED_VALUE"""),"товари")</f>
        <v>товари</v>
      </c>
      <c r="B825" s="16" t="str">
        <f>IFERROR(__xludf.DUMMYFUNCTION("""COMPUTED_VALUE"""),"товари для дому")</f>
        <v>товари для дому</v>
      </c>
      <c r="C825" s="16" t="str">
        <f>IFERROR(__xludf.DUMMYFUNCTION("""COMPUTED_VALUE"""),"приналежності для ванної та туалету")</f>
        <v>приналежності для ванної та туалету</v>
      </c>
      <c r="D825" s="16" t="str">
        <f>IFERROR(__xludf.DUMMYFUNCTION("""COMPUTED_VALUE"""),"аксесуари для ванних кімнат")</f>
        <v>аксесуари для ванних кімнат</v>
      </c>
      <c r="E825" s="16" t="str">
        <f>IFERROR(__xludf.DUMMYFUNCTION("""COMPUTED_VALUE"""),"аксесуари для ванних кімнат")</f>
        <v>аксесуари для ванних кімнат</v>
      </c>
      <c r="F825" s="17">
        <f>IFERROR(__xludf.DUMMYFUNCTION("""COMPUTED_VALUE"""),3.0)</f>
        <v>3</v>
      </c>
      <c r="G825" s="17" t="str">
        <f>IFERROR(__xludf.DUMMYFUNCTION("""COMPUTED_VALUE"""),"154003")</f>
        <v>154003</v>
      </c>
      <c r="H825" s="17" t="str">
        <f>IFERROR(__xludf.DUMMYFUNCTION("""COMPUTED_VALUE"""),"аксесуари для ванних кімнат")</f>
        <v>аксесуари для ванних кімнат</v>
      </c>
      <c r="I825" s="19">
        <f>IFERROR(__xludf.DUMMYFUNCTION("""COMPUTED_VALUE"""),0.0805)</f>
        <v>0.0805</v>
      </c>
      <c r="J825" s="19">
        <f>IFERROR(__xludf.DUMMYFUNCTION("""COMPUTED_VALUE"""),0.1609)</f>
        <v>0.1609</v>
      </c>
      <c r="K825" s="19">
        <f>IFERROR(__xludf.DUMMYFUNCTION("""COMPUTED_VALUE"""),0.2011)</f>
        <v>0.2011</v>
      </c>
      <c r="L825" s="19">
        <f>IFERROR(__xludf.DUMMYFUNCTION("""COMPUTED_VALUE"""),0.2414)</f>
        <v>0.2414</v>
      </c>
      <c r="M825" s="18">
        <f>IFERROR(__xludf.DUMMYFUNCTION("""COMPUTED_VALUE"""),2.16)</f>
        <v>2.16</v>
      </c>
    </row>
    <row r="826">
      <c r="A826" s="13" t="str">
        <f>IFERROR(__xludf.DUMMYFUNCTION("""COMPUTED_VALUE"""),"товари")</f>
        <v>товари</v>
      </c>
      <c r="B826" s="16" t="str">
        <f>IFERROR(__xludf.DUMMYFUNCTION("""COMPUTED_VALUE"""),"товари для дому")</f>
        <v>товари для дому</v>
      </c>
      <c r="C826" s="16" t="str">
        <f>IFERROR(__xludf.DUMMYFUNCTION("""COMPUTED_VALUE"""),"розумний будинок")</f>
        <v>розумний будинок</v>
      </c>
      <c r="D826" s="16" t="str">
        <f>IFERROR(__xludf.DUMMYFUNCTION("""COMPUTED_VALUE"""),"аксесуари для домофонного обладнання")</f>
        <v>аксесуари для домофонного обладнання</v>
      </c>
      <c r="E826" s="16" t="str">
        <f>IFERROR(__xludf.DUMMYFUNCTION("""COMPUTED_VALUE"""),"аксесуари для домофонного обладнання")</f>
        <v>аксесуари для домофонного обладнання</v>
      </c>
      <c r="F826" s="17">
        <f>IFERROR(__xludf.DUMMYFUNCTION("""COMPUTED_VALUE"""),3.0)</f>
        <v>3</v>
      </c>
      <c r="G826" s="17" t="str">
        <f>IFERROR(__xludf.DUMMYFUNCTION("""COMPUTED_VALUE"""),"153502")</f>
        <v>153502</v>
      </c>
      <c r="H826" s="17" t="str">
        <f>IFERROR(__xludf.DUMMYFUNCTION("""COMPUTED_VALUE"""),"аксесуари для домофонного обладнання")</f>
        <v>аксесуари для домофонного обладнання</v>
      </c>
      <c r="I826" s="19">
        <f>IFERROR(__xludf.DUMMYFUNCTION("""COMPUTED_VALUE"""),0.0678)</f>
        <v>0.0678</v>
      </c>
      <c r="J826" s="19">
        <f>IFERROR(__xludf.DUMMYFUNCTION("""COMPUTED_VALUE"""),0.1355)</f>
        <v>0.1355</v>
      </c>
      <c r="K826" s="19">
        <f>IFERROR(__xludf.DUMMYFUNCTION("""COMPUTED_VALUE"""),0.1694)</f>
        <v>0.1694</v>
      </c>
      <c r="L826" s="19">
        <f>IFERROR(__xludf.DUMMYFUNCTION("""COMPUTED_VALUE"""),0.2033)</f>
        <v>0.2033</v>
      </c>
      <c r="M826" s="18">
        <f>IFERROR(__xludf.DUMMYFUNCTION("""COMPUTED_VALUE"""),2.34)</f>
        <v>2.34</v>
      </c>
    </row>
    <row r="827">
      <c r="A827" s="13" t="str">
        <f>IFERROR(__xludf.DUMMYFUNCTION("""COMPUTED_VALUE"""),"товари")</f>
        <v>товари</v>
      </c>
      <c r="B827" s="16" t="str">
        <f>IFERROR(__xludf.DUMMYFUNCTION("""COMPUTED_VALUE"""),"товари для дому")</f>
        <v>товари для дому</v>
      </c>
      <c r="C827" s="16" t="str">
        <f>IFERROR(__xludf.DUMMYFUNCTION("""COMPUTED_VALUE"""),"меблі")</f>
        <v>меблі</v>
      </c>
      <c r="D827" s="16" t="str">
        <f>IFERROR(__xludf.DUMMYFUNCTION("""COMPUTED_VALUE"""),"надувні меблі")</f>
        <v>надувні меблі</v>
      </c>
      <c r="E827" s="16" t="str">
        <f>IFERROR(__xludf.DUMMYFUNCTION("""COMPUTED_VALUE"""),"аксесуари для надувних меблів")</f>
        <v>аксесуари для надувних меблів</v>
      </c>
      <c r="F827" s="17">
        <f>IFERROR(__xludf.DUMMYFUNCTION("""COMPUTED_VALUE"""),4.0)</f>
        <v>4</v>
      </c>
      <c r="G827" s="17" t="str">
        <f>IFERROR(__xludf.DUMMYFUNCTION("""COMPUTED_VALUE"""),"370605")</f>
        <v>370605</v>
      </c>
      <c r="H827" s="17" t="str">
        <f>IFERROR(__xludf.DUMMYFUNCTION("""COMPUTED_VALUE"""),"аксесуари для надувних меблів")</f>
        <v>аксесуари для надувних меблів</v>
      </c>
      <c r="I827" s="19">
        <f>IFERROR(__xludf.DUMMYFUNCTION("""COMPUTED_VALUE"""),0.0665)</f>
        <v>0.0665</v>
      </c>
      <c r="J827" s="19">
        <f>IFERROR(__xludf.DUMMYFUNCTION("""COMPUTED_VALUE"""),0.133)</f>
        <v>0.133</v>
      </c>
      <c r="K827" s="19">
        <f>IFERROR(__xludf.DUMMYFUNCTION("""COMPUTED_VALUE"""),0.1663)</f>
        <v>0.1663</v>
      </c>
      <c r="L827" s="19">
        <f>IFERROR(__xludf.DUMMYFUNCTION("""COMPUTED_VALUE"""),0.1995)</f>
        <v>0.1995</v>
      </c>
      <c r="M827" s="18">
        <f>IFERROR(__xludf.DUMMYFUNCTION("""COMPUTED_VALUE"""),3.78)</f>
        <v>3.78</v>
      </c>
    </row>
    <row r="828">
      <c r="A828" s="13" t="str">
        <f>IFERROR(__xludf.DUMMYFUNCTION("""COMPUTED_VALUE"""),"товари")</f>
        <v>товари</v>
      </c>
      <c r="B828" s="16" t="str">
        <f>IFERROR(__xludf.DUMMYFUNCTION("""COMPUTED_VALUE"""),"товари для дому")</f>
        <v>товари для дому</v>
      </c>
      <c r="C828" s="16" t="str">
        <f>IFERROR(__xludf.DUMMYFUNCTION("""COMPUTED_VALUE"""),"посуд")</f>
        <v>посуд</v>
      </c>
      <c r="D828" s="16" t="str">
        <f>IFERROR(__xludf.DUMMYFUNCTION("""COMPUTED_VALUE"""),"кухонне приладдя")</f>
        <v>кухонне приладдя</v>
      </c>
      <c r="E828" s="16" t="str">
        <f>IFERROR(__xludf.DUMMYFUNCTION("""COMPUTED_VALUE"""),"аксесуари для обробки м'яса")</f>
        <v>аксесуари для обробки м'яса</v>
      </c>
      <c r="F828" s="17">
        <f>IFERROR(__xludf.DUMMYFUNCTION("""COMPUTED_VALUE"""),4.0)</f>
        <v>4</v>
      </c>
      <c r="G828" s="17" t="str">
        <f>IFERROR(__xludf.DUMMYFUNCTION("""COMPUTED_VALUE"""),"15230434")</f>
        <v>15230434</v>
      </c>
      <c r="H828" s="17" t="str">
        <f>IFERROR(__xludf.DUMMYFUNCTION("""COMPUTED_VALUE"""),"аксесуари для обробки м'яса")</f>
        <v>аксесуари для обробки м'яса</v>
      </c>
      <c r="I828" s="19">
        <f>IFERROR(__xludf.DUMMYFUNCTION("""COMPUTED_VALUE"""),0.0783)</f>
        <v>0.0783</v>
      </c>
      <c r="J828" s="19">
        <f>IFERROR(__xludf.DUMMYFUNCTION("""COMPUTED_VALUE"""),0.1566)</f>
        <v>0.1566</v>
      </c>
      <c r="K828" s="19">
        <f>IFERROR(__xludf.DUMMYFUNCTION("""COMPUTED_VALUE"""),0.1958)</f>
        <v>0.1958</v>
      </c>
      <c r="L828" s="19">
        <f>IFERROR(__xludf.DUMMYFUNCTION("""COMPUTED_VALUE"""),0.2349)</f>
        <v>0.2349</v>
      </c>
      <c r="M828" s="18">
        <f>IFERROR(__xludf.DUMMYFUNCTION("""COMPUTED_VALUE"""),2.08)</f>
        <v>2.08</v>
      </c>
    </row>
    <row r="829">
      <c r="A829" s="13" t="str">
        <f>IFERROR(__xludf.DUMMYFUNCTION("""COMPUTED_VALUE"""),"товари")</f>
        <v>товари</v>
      </c>
      <c r="B829" s="16" t="str">
        <f>IFERROR(__xludf.DUMMYFUNCTION("""COMPUTED_VALUE"""),"товари для дому")</f>
        <v>товари для дому</v>
      </c>
      <c r="C829" s="16" t="str">
        <f>IFERROR(__xludf.DUMMYFUNCTION("""COMPUTED_VALUE"""),"аксесуари для саун і лазень")</f>
        <v>аксесуари для саун і лазень</v>
      </c>
      <c r="D829" s="16" t="str">
        <f>IFERROR(__xludf.DUMMYFUNCTION("""COMPUTED_VALUE"""),"аксесуари для саун і лазень, загальне")</f>
        <v>аксесуари для саун і лазень, загальне</v>
      </c>
      <c r="E829" s="16" t="str">
        <f>IFERROR(__xludf.DUMMYFUNCTION("""COMPUTED_VALUE"""),"аксесуари для саун і лазень, загальне")</f>
        <v>аксесуари для саун і лазень, загальне</v>
      </c>
      <c r="F829" s="17">
        <f>IFERROR(__xludf.DUMMYFUNCTION("""COMPUTED_VALUE"""),3.0)</f>
        <v>3</v>
      </c>
      <c r="G829" s="17" t="str">
        <f>IFERROR(__xludf.DUMMYFUNCTION("""COMPUTED_VALUE"""),"15050211")</f>
        <v>15050211</v>
      </c>
      <c r="H829" s="17" t="str">
        <f>IFERROR(__xludf.DUMMYFUNCTION("""COMPUTED_VALUE"""),"аксесуари для саун і лазень, загальне")</f>
        <v>аксесуари для саун і лазень, загальне</v>
      </c>
      <c r="I829" s="19">
        <f>IFERROR(__xludf.DUMMYFUNCTION("""COMPUTED_VALUE"""),0.125)</f>
        <v>0.125</v>
      </c>
      <c r="J829" s="19">
        <f>IFERROR(__xludf.DUMMYFUNCTION("""COMPUTED_VALUE"""),0.25)</f>
        <v>0.25</v>
      </c>
      <c r="K829" s="19">
        <f>IFERROR(__xludf.DUMMYFUNCTION("""COMPUTED_VALUE"""),0.3125)</f>
        <v>0.3125</v>
      </c>
      <c r="L829" s="19">
        <f>IFERROR(__xludf.DUMMYFUNCTION("""COMPUTED_VALUE"""),0.375)</f>
        <v>0.375</v>
      </c>
      <c r="M829" s="18">
        <f>IFERROR(__xludf.DUMMYFUNCTION("""COMPUTED_VALUE"""),4.33)</f>
        <v>4.33</v>
      </c>
    </row>
    <row r="830">
      <c r="A830" s="13" t="str">
        <f>IFERROR(__xludf.DUMMYFUNCTION("""COMPUTED_VALUE"""),"товари")</f>
        <v>товари</v>
      </c>
      <c r="B830" s="16" t="str">
        <f>IFERROR(__xludf.DUMMYFUNCTION("""COMPUTED_VALUE"""),"товари для дому")</f>
        <v>товари для дому</v>
      </c>
      <c r="C830" s="16" t="str">
        <f>IFERROR(__xludf.DUMMYFUNCTION("""COMPUTED_VALUE"""),"текстиль")</f>
        <v>текстиль</v>
      </c>
      <c r="D830" s="16" t="str">
        <f>IFERROR(__xludf.DUMMYFUNCTION("""COMPUTED_VALUE"""),"оформлення вікон")</f>
        <v>оформлення вікон</v>
      </c>
      <c r="E830" s="16" t="str">
        <f>IFERROR(__xludf.DUMMYFUNCTION("""COMPUTED_VALUE"""),"аксесуари для штор")</f>
        <v>аксесуари для штор</v>
      </c>
      <c r="F830" s="17">
        <f>IFERROR(__xludf.DUMMYFUNCTION("""COMPUTED_VALUE"""),4.0)</f>
        <v>4</v>
      </c>
      <c r="G830" s="17" t="str">
        <f>IFERROR(__xludf.DUMMYFUNCTION("""COMPUTED_VALUE"""),"4050206")</f>
        <v>4050206</v>
      </c>
      <c r="H830" s="17" t="str">
        <f>IFERROR(__xludf.DUMMYFUNCTION("""COMPUTED_VALUE"""),"аксесуари для штор")</f>
        <v>аксесуари для штор</v>
      </c>
      <c r="I830" s="19">
        <f>IFERROR(__xludf.DUMMYFUNCTION("""COMPUTED_VALUE"""),0.0798)</f>
        <v>0.0798</v>
      </c>
      <c r="J830" s="19">
        <f>IFERROR(__xludf.DUMMYFUNCTION("""COMPUTED_VALUE"""),0.1596)</f>
        <v>0.1596</v>
      </c>
      <c r="K830" s="19">
        <f>IFERROR(__xludf.DUMMYFUNCTION("""COMPUTED_VALUE"""),0.1995)</f>
        <v>0.1995</v>
      </c>
      <c r="L830" s="19">
        <f>IFERROR(__xludf.DUMMYFUNCTION("""COMPUTED_VALUE"""),0.2394)</f>
        <v>0.2394</v>
      </c>
      <c r="M830" s="18">
        <f>IFERROR(__xludf.DUMMYFUNCTION("""COMPUTED_VALUE"""),1.53)</f>
        <v>1.53</v>
      </c>
    </row>
    <row r="831">
      <c r="A831" s="13" t="str">
        <f>IFERROR(__xludf.DUMMYFUNCTION("""COMPUTED_VALUE"""),"товари")</f>
        <v>товари</v>
      </c>
      <c r="B831" s="16" t="str">
        <f>IFERROR(__xludf.DUMMYFUNCTION("""COMPUTED_VALUE"""),"дача, сад і город")</f>
        <v>дача, сад і город</v>
      </c>
      <c r="C831" s="16" t="str">
        <f>IFERROR(__xludf.DUMMYFUNCTION("""COMPUTED_VALUE"""),"аксесуари для барбекю")</f>
        <v>аксесуари для барбекю</v>
      </c>
      <c r="D831" s="16" t="str">
        <f>IFERROR(__xludf.DUMMYFUNCTION("""COMPUTED_VALUE"""),"аксесуари та витратні матеріали для запальничок")</f>
        <v>аксесуари та витратні матеріали для запальничок</v>
      </c>
      <c r="E831" s="16" t="str">
        <f>IFERROR(__xludf.DUMMYFUNCTION("""COMPUTED_VALUE"""),"аксесуари та витратні матеріали для запальничок")</f>
        <v>аксесуари та витратні матеріали для запальничок</v>
      </c>
      <c r="F831" s="17">
        <f>IFERROR(__xludf.DUMMYFUNCTION("""COMPUTED_VALUE"""),3.0)</f>
        <v>3</v>
      </c>
      <c r="G831" s="17" t="str">
        <f>IFERROR(__xludf.DUMMYFUNCTION("""COMPUTED_VALUE"""),"152609")</f>
        <v>152609</v>
      </c>
      <c r="H831" s="17" t="str">
        <f>IFERROR(__xludf.DUMMYFUNCTION("""COMPUTED_VALUE"""),"аксесуари та витратні матеріали для запальничок")</f>
        <v>аксесуари та витратні матеріали для запальничок</v>
      </c>
      <c r="I831" s="19">
        <f>IFERROR(__xludf.DUMMYFUNCTION("""COMPUTED_VALUE"""),0.0922)</f>
        <v>0.0922</v>
      </c>
      <c r="J831" s="19">
        <f>IFERROR(__xludf.DUMMYFUNCTION("""COMPUTED_VALUE"""),0.1844)</f>
        <v>0.1844</v>
      </c>
      <c r="K831" s="19">
        <f>IFERROR(__xludf.DUMMYFUNCTION("""COMPUTED_VALUE"""),0.2305)</f>
        <v>0.2305</v>
      </c>
      <c r="L831" s="19">
        <f>IFERROR(__xludf.DUMMYFUNCTION("""COMPUTED_VALUE"""),0.2766)</f>
        <v>0.2766</v>
      </c>
      <c r="M831" s="18">
        <f>IFERROR(__xludf.DUMMYFUNCTION("""COMPUTED_VALUE"""),1.05)</f>
        <v>1.05</v>
      </c>
    </row>
    <row r="832">
      <c r="A832" s="13" t="str">
        <f>IFERROR(__xludf.DUMMYFUNCTION("""COMPUTED_VALUE"""),"товари")</f>
        <v>товари</v>
      </c>
      <c r="B832" s="16" t="str">
        <f>IFERROR(__xludf.DUMMYFUNCTION("""COMPUTED_VALUE"""),"товари для дому")</f>
        <v>товари для дому</v>
      </c>
      <c r="C832" s="16" t="str">
        <f>IFERROR(__xludf.DUMMYFUNCTION("""COMPUTED_VALUE"""),"догляд за будинком")</f>
        <v>догляд за будинком</v>
      </c>
      <c r="D832" s="16" t="str">
        <f>IFERROR(__xludf.DUMMYFUNCTION("""COMPUTED_VALUE"""),"догляд за особистими речами")</f>
        <v>догляд за особистими речами</v>
      </c>
      <c r="E832" s="16" t="str">
        <f>IFERROR(__xludf.DUMMYFUNCTION("""COMPUTED_VALUE"""),"антистатики та просочення для одягу")</f>
        <v>антистатики та просочення для одягу</v>
      </c>
      <c r="F832" s="17">
        <f>IFERROR(__xludf.DUMMYFUNCTION("""COMPUTED_VALUE"""),4.0)</f>
        <v>4</v>
      </c>
      <c r="G832" s="17" t="str">
        <f>IFERROR(__xludf.DUMMYFUNCTION("""COMPUTED_VALUE"""),"82111")</f>
        <v>82111</v>
      </c>
      <c r="H832" s="17" t="str">
        <f>IFERROR(__xludf.DUMMYFUNCTION("""COMPUTED_VALUE"""),"антистатики та просочення для одягу")</f>
        <v>антистатики та просочення для одягу</v>
      </c>
      <c r="I832" s="19">
        <f>IFERROR(__xludf.DUMMYFUNCTION("""COMPUTED_VALUE"""),0.0776)</f>
        <v>0.0776</v>
      </c>
      <c r="J832" s="19">
        <f>IFERROR(__xludf.DUMMYFUNCTION("""COMPUTED_VALUE"""),0.1552)</f>
        <v>0.1552</v>
      </c>
      <c r="K832" s="19">
        <f>IFERROR(__xludf.DUMMYFUNCTION("""COMPUTED_VALUE"""),0.194)</f>
        <v>0.194</v>
      </c>
      <c r="L832" s="19">
        <f>IFERROR(__xludf.DUMMYFUNCTION("""COMPUTED_VALUE"""),0.2328)</f>
        <v>0.2328</v>
      </c>
      <c r="M832" s="18">
        <f>IFERROR(__xludf.DUMMYFUNCTION("""COMPUTED_VALUE"""),1.98)</f>
        <v>1.98</v>
      </c>
    </row>
    <row r="833">
      <c r="A833" s="13" t="str">
        <f>IFERROR(__xludf.DUMMYFUNCTION("""COMPUTED_VALUE"""),"товари")</f>
        <v>товари</v>
      </c>
      <c r="B833" s="16" t="str">
        <f>IFERROR(__xludf.DUMMYFUNCTION("""COMPUTED_VALUE"""),"товари для дому")</f>
        <v>товари для дому</v>
      </c>
      <c r="C833" s="16" t="str">
        <f>IFERROR(__xludf.DUMMYFUNCTION("""COMPUTED_VALUE"""),"декор для дому")</f>
        <v>декор для дому</v>
      </c>
      <c r="D833" s="16" t="str">
        <f>IFERROR(__xludf.DUMMYFUNCTION("""COMPUTED_VALUE"""),"інтер'єрні аксесуари")</f>
        <v>інтер'єрні аксесуари</v>
      </c>
      <c r="E833" s="16" t="str">
        <f>IFERROR(__xludf.DUMMYFUNCTION("""COMPUTED_VALUE"""),"аромалампи")</f>
        <v>аромалампи</v>
      </c>
      <c r="F833" s="17">
        <f>IFERROR(__xludf.DUMMYFUNCTION("""COMPUTED_VALUE"""),4.0)</f>
        <v>4</v>
      </c>
      <c r="G833" s="17" t="str">
        <f>IFERROR(__xludf.DUMMYFUNCTION("""COMPUTED_VALUE"""),"1731")</f>
        <v>1731</v>
      </c>
      <c r="H833" s="17" t="str">
        <f>IFERROR(__xludf.DUMMYFUNCTION("""COMPUTED_VALUE"""),"аромалампи")</f>
        <v>аромалампи</v>
      </c>
      <c r="I833" s="19">
        <f>IFERROR(__xludf.DUMMYFUNCTION("""COMPUTED_VALUE"""),0.0782)</f>
        <v>0.0782</v>
      </c>
      <c r="J833" s="19">
        <f>IFERROR(__xludf.DUMMYFUNCTION("""COMPUTED_VALUE"""),0.1563)</f>
        <v>0.1563</v>
      </c>
      <c r="K833" s="19">
        <f>IFERROR(__xludf.DUMMYFUNCTION("""COMPUTED_VALUE"""),0.1954)</f>
        <v>0.1954</v>
      </c>
      <c r="L833" s="19">
        <f>IFERROR(__xludf.DUMMYFUNCTION("""COMPUTED_VALUE"""),0.2345)</f>
        <v>0.2345</v>
      </c>
      <c r="M833" s="18">
        <f>IFERROR(__xludf.DUMMYFUNCTION("""COMPUTED_VALUE"""),1.53)</f>
        <v>1.53</v>
      </c>
    </row>
    <row r="834">
      <c r="A834" s="13" t="str">
        <f>IFERROR(__xludf.DUMMYFUNCTION("""COMPUTED_VALUE"""),"товари")</f>
        <v>товари</v>
      </c>
      <c r="B834" s="16" t="str">
        <f>IFERROR(__xludf.DUMMYFUNCTION("""COMPUTED_VALUE"""),"товари для дому")</f>
        <v>товари для дому</v>
      </c>
      <c r="C834" s="16" t="str">
        <f>IFERROR(__xludf.DUMMYFUNCTION("""COMPUTED_VALUE"""),"посуд")</f>
        <v>посуд</v>
      </c>
      <c r="D834" s="16" t="str">
        <f>IFERROR(__xludf.DUMMYFUNCTION("""COMPUTED_VALUE"""),"аксесуари для бару")</f>
        <v>аксесуари для бару</v>
      </c>
      <c r="E834" s="16" t="str">
        <f>IFERROR(__xludf.DUMMYFUNCTION("""COMPUTED_VALUE"""),"багаторазовий лід")</f>
        <v>багаторазовий лід</v>
      </c>
      <c r="F834" s="17">
        <f>IFERROR(__xludf.DUMMYFUNCTION("""COMPUTED_VALUE"""),4.0)</f>
        <v>4</v>
      </c>
      <c r="G834" s="17" t="str">
        <f>IFERROR(__xludf.DUMMYFUNCTION("""COMPUTED_VALUE"""),"152912")</f>
        <v>152912</v>
      </c>
      <c r="H834" s="17" t="str">
        <f>IFERROR(__xludf.DUMMYFUNCTION("""COMPUTED_VALUE"""),"багаторазовий лід")</f>
        <v>багаторазовий лід</v>
      </c>
      <c r="I834" s="19">
        <f>IFERROR(__xludf.DUMMYFUNCTION("""COMPUTED_VALUE"""),0.0765)</f>
        <v>0.0765</v>
      </c>
      <c r="J834" s="19">
        <f>IFERROR(__xludf.DUMMYFUNCTION("""COMPUTED_VALUE"""),0.153)</f>
        <v>0.153</v>
      </c>
      <c r="K834" s="19">
        <f>IFERROR(__xludf.DUMMYFUNCTION("""COMPUTED_VALUE"""),0.1913)</f>
        <v>0.1913</v>
      </c>
      <c r="L834" s="19">
        <f>IFERROR(__xludf.DUMMYFUNCTION("""COMPUTED_VALUE"""),0.2295)</f>
        <v>0.2295</v>
      </c>
      <c r="M834" s="18">
        <f>IFERROR(__xludf.DUMMYFUNCTION("""COMPUTED_VALUE"""),2.7)</f>
        <v>2.7</v>
      </c>
    </row>
    <row r="835">
      <c r="A835" s="13" t="str">
        <f>IFERROR(__xludf.DUMMYFUNCTION("""COMPUTED_VALUE"""),"товари")</f>
        <v>товари</v>
      </c>
      <c r="B835" s="16" t="str">
        <f>IFERROR(__xludf.DUMMYFUNCTION("""COMPUTED_VALUE"""),"товари для дому")</f>
        <v>товари для дому</v>
      </c>
      <c r="C835" s="16" t="str">
        <f>IFERROR(__xludf.DUMMYFUNCTION("""COMPUTED_VALUE"""),"меблі")</f>
        <v>меблі</v>
      </c>
      <c r="D835" s="16" t="str">
        <f>IFERROR(__xludf.DUMMYFUNCTION("""COMPUTED_VALUE"""),"крісла")</f>
        <v>крісла</v>
      </c>
      <c r="E835" s="16" t="str">
        <f>IFERROR(__xludf.DUMMYFUNCTION("""COMPUTED_VALUE"""),"банкетки і пуфики")</f>
        <v>банкетки і пуфики</v>
      </c>
      <c r="F835" s="17">
        <f>IFERROR(__xludf.DUMMYFUNCTION("""COMPUTED_VALUE"""),4.0)</f>
        <v>4</v>
      </c>
      <c r="G835" s="17" t="str">
        <f>IFERROR(__xludf.DUMMYFUNCTION("""COMPUTED_VALUE"""),"15030315")</f>
        <v>15030315</v>
      </c>
      <c r="H835" s="17" t="str">
        <f>IFERROR(__xludf.DUMMYFUNCTION("""COMPUTED_VALUE"""),"банкетки і пуфики")</f>
        <v>банкетки і пуфики</v>
      </c>
      <c r="I835" s="19">
        <f>IFERROR(__xludf.DUMMYFUNCTION("""COMPUTED_VALUE"""),0.0665)</f>
        <v>0.0665</v>
      </c>
      <c r="J835" s="19">
        <f>IFERROR(__xludf.DUMMYFUNCTION("""COMPUTED_VALUE"""),0.133)</f>
        <v>0.133</v>
      </c>
      <c r="K835" s="19">
        <f>IFERROR(__xludf.DUMMYFUNCTION("""COMPUTED_VALUE"""),0.1663)</f>
        <v>0.1663</v>
      </c>
      <c r="L835" s="19">
        <f>IFERROR(__xludf.DUMMYFUNCTION("""COMPUTED_VALUE"""),0.1995)</f>
        <v>0.1995</v>
      </c>
      <c r="M835" s="18">
        <f>IFERROR(__xludf.DUMMYFUNCTION("""COMPUTED_VALUE"""),2.16)</f>
        <v>2.16</v>
      </c>
    </row>
    <row r="836">
      <c r="A836" s="13" t="str">
        <f>IFERROR(__xludf.DUMMYFUNCTION("""COMPUTED_VALUE"""),"товари")</f>
        <v>товари</v>
      </c>
      <c r="B836" s="16" t="str">
        <f>IFERROR(__xludf.DUMMYFUNCTION("""COMPUTED_VALUE"""),"товари для дому")</f>
        <v>товари для дому</v>
      </c>
      <c r="C836" s="16" t="str">
        <f>IFERROR(__xludf.DUMMYFUNCTION("""COMPUTED_VALUE""")," все для консервації")</f>
        <v> все для консервації</v>
      </c>
      <c r="D836" s="16" t="str">
        <f>IFERROR(__xludf.DUMMYFUNCTION("""COMPUTED_VALUE"""),"банки для консервації")</f>
        <v>банки для консервації</v>
      </c>
      <c r="E836" s="16" t="str">
        <f>IFERROR(__xludf.DUMMYFUNCTION("""COMPUTED_VALUE"""),"банки для консервації")</f>
        <v>банки для консервації</v>
      </c>
      <c r="F836" s="17">
        <f>IFERROR(__xludf.DUMMYFUNCTION("""COMPUTED_VALUE"""),3.0)</f>
        <v>3</v>
      </c>
      <c r="G836" s="17" t="str">
        <f>IFERROR(__xludf.DUMMYFUNCTION("""COMPUTED_VALUE"""),"16103")</f>
        <v>16103</v>
      </c>
      <c r="H836" s="17" t="str">
        <f>IFERROR(__xludf.DUMMYFUNCTION("""COMPUTED_VALUE"""),"банки для консервації")</f>
        <v>банки для консервації</v>
      </c>
      <c r="I836" s="19">
        <f>IFERROR(__xludf.DUMMYFUNCTION("""COMPUTED_VALUE"""),0.0727)</f>
        <v>0.0727</v>
      </c>
      <c r="J836" s="19">
        <f>IFERROR(__xludf.DUMMYFUNCTION("""COMPUTED_VALUE"""),0.1453)</f>
        <v>0.1453</v>
      </c>
      <c r="K836" s="19">
        <f>IFERROR(__xludf.DUMMYFUNCTION("""COMPUTED_VALUE"""),0.1816)</f>
        <v>0.1816</v>
      </c>
      <c r="L836" s="19">
        <f>IFERROR(__xludf.DUMMYFUNCTION("""COMPUTED_VALUE"""),0.218)</f>
        <v>0.218</v>
      </c>
      <c r="M836" s="18">
        <f>IFERROR(__xludf.DUMMYFUNCTION("""COMPUTED_VALUE"""),1.63)</f>
        <v>1.63</v>
      </c>
    </row>
    <row r="837">
      <c r="A837" s="13" t="str">
        <f>IFERROR(__xludf.DUMMYFUNCTION("""COMPUTED_VALUE"""),"товари")</f>
        <v>товари</v>
      </c>
      <c r="B837" s="16" t="str">
        <f>IFERROR(__xludf.DUMMYFUNCTION("""COMPUTED_VALUE"""),"товари для дому")</f>
        <v>товари для дому</v>
      </c>
      <c r="C837" s="16" t="str">
        <f>IFERROR(__xludf.DUMMYFUNCTION("""COMPUTED_VALUE""")," все для консервації")</f>
        <v> все для консервації</v>
      </c>
      <c r="D837" s="16" t="str">
        <f>IFERROR(__xludf.DUMMYFUNCTION("""COMPUTED_VALUE"""),"мішки для засолювання")</f>
        <v>мішки для засолювання</v>
      </c>
      <c r="E837" s="16" t="str">
        <f>IFERROR(__xludf.DUMMYFUNCTION("""COMPUTED_VALUE"""),"мішки для засолювання")</f>
        <v>мішки для засолювання</v>
      </c>
      <c r="F837" s="17">
        <f>IFERROR(__xludf.DUMMYFUNCTION("""COMPUTED_VALUE"""),4.0)</f>
        <v>4</v>
      </c>
      <c r="G837" s="17" t="str">
        <f>IFERROR(__xludf.DUMMYFUNCTION("""COMPUTED_VALUE"""),"16104")</f>
        <v>16104</v>
      </c>
      <c r="H837" s="17" t="str">
        <f>IFERROR(__xludf.DUMMYFUNCTION("""COMPUTED_VALUE"""),"мішки для засолювання")</f>
        <v>мішки для засолювання</v>
      </c>
      <c r="I837" s="19">
        <f>IFERROR(__xludf.DUMMYFUNCTION("""COMPUTED_VALUE"""),0.0727)</f>
        <v>0.0727</v>
      </c>
      <c r="J837" s="19">
        <f>IFERROR(__xludf.DUMMYFUNCTION("""COMPUTED_VALUE"""),0.1453)</f>
        <v>0.1453</v>
      </c>
      <c r="K837" s="19">
        <f>IFERROR(__xludf.DUMMYFUNCTION("""COMPUTED_VALUE"""),0.1816)</f>
        <v>0.1816</v>
      </c>
      <c r="L837" s="19">
        <f>IFERROR(__xludf.DUMMYFUNCTION("""COMPUTED_VALUE"""),0.218)</f>
        <v>0.218</v>
      </c>
      <c r="M837" s="18">
        <f>IFERROR(__xludf.DUMMYFUNCTION("""COMPUTED_VALUE"""),1.63)</f>
        <v>1.63</v>
      </c>
    </row>
    <row r="838">
      <c r="A838" s="13" t="str">
        <f>IFERROR(__xludf.DUMMYFUNCTION("""COMPUTED_VALUE"""),"товари")</f>
        <v>товари</v>
      </c>
      <c r="B838" s="16" t="str">
        <f>IFERROR(__xludf.DUMMYFUNCTION("""COMPUTED_VALUE"""),"товари для дому")</f>
        <v>товари для дому</v>
      </c>
      <c r="C838" s="16" t="str">
        <f>IFERROR(__xludf.DUMMYFUNCTION("""COMPUTED_VALUE"""),"текстиль")</f>
        <v>текстиль</v>
      </c>
      <c r="D838" s="16" t="str">
        <f>IFERROR(__xludf.DUMMYFUNCTION("""COMPUTED_VALUE"""),"рушники")</f>
        <v>рушники</v>
      </c>
      <c r="E838" s="16" t="str">
        <f>IFERROR(__xludf.DUMMYFUNCTION("""COMPUTED_VALUE"""),"банні рушники")</f>
        <v>банні рушники</v>
      </c>
      <c r="F838" s="17">
        <f>IFERROR(__xludf.DUMMYFUNCTION("""COMPUTED_VALUE"""),4.0)</f>
        <v>4</v>
      </c>
      <c r="G838" s="17" t="str">
        <f>IFERROR(__xludf.DUMMYFUNCTION("""COMPUTED_VALUE"""),"40305")</f>
        <v>40305</v>
      </c>
      <c r="H838" s="17" t="str">
        <f>IFERROR(__xludf.DUMMYFUNCTION("""COMPUTED_VALUE"""),"банні рушники")</f>
        <v>банні рушники</v>
      </c>
      <c r="I838" s="19">
        <f>IFERROR(__xludf.DUMMYFUNCTION("""COMPUTED_VALUE"""),0.0808)</f>
        <v>0.0808</v>
      </c>
      <c r="J838" s="19">
        <f>IFERROR(__xludf.DUMMYFUNCTION("""COMPUTED_VALUE"""),0.1616)</f>
        <v>0.1616</v>
      </c>
      <c r="K838" s="19">
        <f>IFERROR(__xludf.DUMMYFUNCTION("""COMPUTED_VALUE"""),0.202)</f>
        <v>0.202</v>
      </c>
      <c r="L838" s="19">
        <f>IFERROR(__xludf.DUMMYFUNCTION("""COMPUTED_VALUE"""),0.2424)</f>
        <v>0.2424</v>
      </c>
      <c r="M838" s="18">
        <f>IFERROR(__xludf.DUMMYFUNCTION("""COMPUTED_VALUE"""),1.71)</f>
        <v>1.71</v>
      </c>
    </row>
    <row r="839">
      <c r="A839" s="13" t="str">
        <f>IFERROR(__xludf.DUMMYFUNCTION("""COMPUTED_VALUE"""),"товари")</f>
        <v>товари</v>
      </c>
      <c r="B839" s="16" t="str">
        <f>IFERROR(__xludf.DUMMYFUNCTION("""COMPUTED_VALUE"""),"дача, сад і город")</f>
        <v>дача, сад і город</v>
      </c>
      <c r="C839" s="16" t="str">
        <f>IFERROR(__xludf.DUMMYFUNCTION("""COMPUTED_VALUE"""),"аксесуари для барбекю")</f>
        <v>аксесуари для барбекю</v>
      </c>
      <c r="D839" s="16" t="str">
        <f>IFERROR(__xludf.DUMMYFUNCTION("""COMPUTED_VALUE"""),"барбекю приналежності, загальне")</f>
        <v>барбекю приналежності, загальне</v>
      </c>
      <c r="E839" s="16" t="str">
        <f>IFERROR(__xludf.DUMMYFUNCTION("""COMPUTED_VALUE"""),"барбекю приналежності, загальне")</f>
        <v>барбекю приналежності, загальне</v>
      </c>
      <c r="F839" s="17">
        <f>IFERROR(__xludf.DUMMYFUNCTION("""COMPUTED_VALUE"""),3.0)</f>
        <v>3</v>
      </c>
      <c r="G839" s="17" t="str">
        <f>IFERROR(__xludf.DUMMYFUNCTION("""COMPUTED_VALUE"""),"151701")</f>
        <v>151701</v>
      </c>
      <c r="H839" s="17" t="str">
        <f>IFERROR(__xludf.DUMMYFUNCTION("""COMPUTED_VALUE"""),"барбекю приналежності, загальне")</f>
        <v>барбекю приналежності, загальне</v>
      </c>
      <c r="I839" s="19">
        <f>IFERROR(__xludf.DUMMYFUNCTION("""COMPUTED_VALUE"""),0.125)</f>
        <v>0.125</v>
      </c>
      <c r="J839" s="19">
        <f>IFERROR(__xludf.DUMMYFUNCTION("""COMPUTED_VALUE"""),0.25)</f>
        <v>0.25</v>
      </c>
      <c r="K839" s="19">
        <f>IFERROR(__xludf.DUMMYFUNCTION("""COMPUTED_VALUE"""),0.3125)</f>
        <v>0.3125</v>
      </c>
      <c r="L839" s="19">
        <f>IFERROR(__xludf.DUMMYFUNCTION("""COMPUTED_VALUE"""),0.375)</f>
        <v>0.375</v>
      </c>
      <c r="M839" s="18">
        <f>IFERROR(__xludf.DUMMYFUNCTION("""COMPUTED_VALUE"""),4.33)</f>
        <v>4.33</v>
      </c>
    </row>
    <row r="840">
      <c r="A840" s="13" t="str">
        <f>IFERROR(__xludf.DUMMYFUNCTION("""COMPUTED_VALUE"""),"товари")</f>
        <v>товари</v>
      </c>
      <c r="B840" s="16" t="str">
        <f>IFERROR(__xludf.DUMMYFUNCTION("""COMPUTED_VALUE"""),"товари для дому")</f>
        <v>товари для дому</v>
      </c>
      <c r="C840" s="16" t="str">
        <f>IFERROR(__xludf.DUMMYFUNCTION("""COMPUTED_VALUE"""),"декор для дому")</f>
        <v>декор для дому</v>
      </c>
      <c r="D840" s="16" t="str">
        <f>IFERROR(__xludf.DUMMYFUNCTION("""COMPUTED_VALUE"""),"інтер'єрні аксесуари")</f>
        <v>інтер'єрні аксесуари</v>
      </c>
      <c r="E840" s="16" t="str">
        <f>IFERROR(__xludf.DUMMYFUNCTION("""COMPUTED_VALUE"""),"бари для будинку")</f>
        <v>бари для будинку</v>
      </c>
      <c r="F840" s="17">
        <f>IFERROR(__xludf.DUMMYFUNCTION("""COMPUTED_VALUE"""),4.0)</f>
        <v>4</v>
      </c>
      <c r="G840" s="17" t="str">
        <f>IFERROR(__xludf.DUMMYFUNCTION("""COMPUTED_VALUE"""),"37034005")</f>
        <v>37034005</v>
      </c>
      <c r="H840" s="17" t="str">
        <f>IFERROR(__xludf.DUMMYFUNCTION("""COMPUTED_VALUE"""),"бари для будинку")</f>
        <v>бари для будинку</v>
      </c>
      <c r="I840" s="19">
        <f>IFERROR(__xludf.DUMMYFUNCTION("""COMPUTED_VALUE"""),0.0681)</f>
        <v>0.0681</v>
      </c>
      <c r="J840" s="19">
        <f>IFERROR(__xludf.DUMMYFUNCTION("""COMPUTED_VALUE"""),0.1361)</f>
        <v>0.1361</v>
      </c>
      <c r="K840" s="19">
        <f>IFERROR(__xludf.DUMMYFUNCTION("""COMPUTED_VALUE"""),0.1701)</f>
        <v>0.1701</v>
      </c>
      <c r="L840" s="19">
        <f>IFERROR(__xludf.DUMMYFUNCTION("""COMPUTED_VALUE"""),0.2042)</f>
        <v>0.2042</v>
      </c>
      <c r="M840" s="18">
        <f>IFERROR(__xludf.DUMMYFUNCTION("""COMPUTED_VALUE"""),3.15)</f>
        <v>3.15</v>
      </c>
    </row>
    <row r="841">
      <c r="A841" s="13" t="str">
        <f>IFERROR(__xludf.DUMMYFUNCTION("""COMPUTED_VALUE"""),"товари")</f>
        <v>товари</v>
      </c>
      <c r="B841" s="16" t="str">
        <f>IFERROR(__xludf.DUMMYFUNCTION("""COMPUTED_VALUE"""),"товари для дому")</f>
        <v>товари для дому</v>
      </c>
      <c r="C841" s="16" t="str">
        <f>IFERROR(__xludf.DUMMYFUNCTION("""COMPUTED_VALUE"""),"декор для дому")</f>
        <v>декор для дому</v>
      </c>
      <c r="D841" s="16" t="str">
        <f>IFERROR(__xludf.DUMMYFUNCTION("""COMPUTED_VALUE"""),"годинники та барометри")</f>
        <v>годинники та барометри</v>
      </c>
      <c r="E841" s="16" t="str">
        <f>IFERROR(__xludf.DUMMYFUNCTION("""COMPUTED_VALUE"""),"барометри")</f>
        <v>барометри</v>
      </c>
      <c r="F841" s="17">
        <f>IFERROR(__xludf.DUMMYFUNCTION("""COMPUTED_VALUE"""),4.0)</f>
        <v>4</v>
      </c>
      <c r="G841" s="17" t="str">
        <f>IFERROR(__xludf.DUMMYFUNCTION("""COMPUTED_VALUE"""),"153901")</f>
        <v>153901</v>
      </c>
      <c r="H841" s="17" t="str">
        <f>IFERROR(__xludf.DUMMYFUNCTION("""COMPUTED_VALUE"""),"барометри")</f>
        <v>барометри</v>
      </c>
      <c r="I841" s="19">
        <f>IFERROR(__xludf.DUMMYFUNCTION("""COMPUTED_VALUE"""),0.0553)</f>
        <v>0.0553</v>
      </c>
      <c r="J841" s="19">
        <f>IFERROR(__xludf.DUMMYFUNCTION("""COMPUTED_VALUE"""),0.1106)</f>
        <v>0.1106</v>
      </c>
      <c r="K841" s="19">
        <f>IFERROR(__xludf.DUMMYFUNCTION("""COMPUTED_VALUE"""),0.1383)</f>
        <v>0.1383</v>
      </c>
      <c r="L841" s="19">
        <f>IFERROR(__xludf.DUMMYFUNCTION("""COMPUTED_VALUE"""),0.1659)</f>
        <v>0.1659</v>
      </c>
      <c r="M841" s="18">
        <f>IFERROR(__xludf.DUMMYFUNCTION("""COMPUTED_VALUE"""),2.7)</f>
        <v>2.7</v>
      </c>
    </row>
    <row r="842">
      <c r="A842" s="13" t="str">
        <f>IFERROR(__xludf.DUMMYFUNCTION("""COMPUTED_VALUE"""),"товари")</f>
        <v>товари</v>
      </c>
      <c r="B842" s="16" t="str">
        <f>IFERROR(__xludf.DUMMYFUNCTION("""COMPUTED_VALUE"""),"дача, сад і город")</f>
        <v>дача, сад і город</v>
      </c>
      <c r="C842" s="16" t="str">
        <f>IFERROR(__xludf.DUMMYFUNCTION("""COMPUTED_VALUE"""),"інструменти для обрізки")</f>
        <v>інструменти для обрізки</v>
      </c>
      <c r="D842" s="16" t="str">
        <f>IFERROR(__xludf.DUMMYFUNCTION("""COMPUTED_VALUE"""),"бензопили і електропили")</f>
        <v>бензопили і електропили</v>
      </c>
      <c r="E842" s="16" t="str">
        <f>IFERROR(__xludf.DUMMYFUNCTION("""COMPUTED_VALUE"""),"бензопили і електропили")</f>
        <v>бензопили і електропили</v>
      </c>
      <c r="F842" s="17">
        <f>IFERROR(__xludf.DUMMYFUNCTION("""COMPUTED_VALUE"""),3.0)</f>
        <v>3</v>
      </c>
      <c r="G842" s="17" t="str">
        <f>IFERROR(__xludf.DUMMYFUNCTION("""COMPUTED_VALUE"""),"1250302")</f>
        <v>1250302</v>
      </c>
      <c r="H842" s="17" t="str">
        <f>IFERROR(__xludf.DUMMYFUNCTION("""COMPUTED_VALUE"""),"бензопили і електропили")</f>
        <v>бензопили і електропили</v>
      </c>
      <c r="I842" s="19">
        <f>IFERROR(__xludf.DUMMYFUNCTION("""COMPUTED_VALUE"""),0.05)</f>
        <v>0.05</v>
      </c>
      <c r="J842" s="19">
        <f>IFERROR(__xludf.DUMMYFUNCTION("""COMPUTED_VALUE"""),0.1)</f>
        <v>0.1</v>
      </c>
      <c r="K842" s="19">
        <f>IFERROR(__xludf.DUMMYFUNCTION("""COMPUTED_VALUE"""),0.125)</f>
        <v>0.125</v>
      </c>
      <c r="L842" s="19">
        <f>IFERROR(__xludf.DUMMYFUNCTION("""COMPUTED_VALUE"""),0.15)</f>
        <v>0.15</v>
      </c>
      <c r="M842" s="18">
        <f>IFERROR(__xludf.DUMMYFUNCTION("""COMPUTED_VALUE"""),1.53)</f>
        <v>1.53</v>
      </c>
    </row>
    <row r="843">
      <c r="A843" s="13" t="str">
        <f>IFERROR(__xludf.DUMMYFUNCTION("""COMPUTED_VALUE"""),"товари")</f>
        <v>товари</v>
      </c>
      <c r="B843" s="16" t="str">
        <f>IFERROR(__xludf.DUMMYFUNCTION("""COMPUTED_VALUE"""),"товари для дому")</f>
        <v>товари для дому</v>
      </c>
      <c r="C843" s="16" t="str">
        <f>IFERROR(__xludf.DUMMYFUNCTION("""COMPUTED_VALUE"""),"посуд")</f>
        <v>посуд</v>
      </c>
      <c r="D843" s="16" t="str">
        <f>IFERROR(__xludf.DUMMYFUNCTION("""COMPUTED_VALUE"""),"столовий посуд")</f>
        <v>столовий посуд</v>
      </c>
      <c r="E843" s="16" t="str">
        <f>IFERROR(__xludf.DUMMYFUNCTION("""COMPUTED_VALUE"""),"блюда, стійки для тортів")</f>
        <v>блюда, стійки для тортів</v>
      </c>
      <c r="F843" s="17">
        <f>IFERROR(__xludf.DUMMYFUNCTION("""COMPUTED_VALUE"""),4.0)</f>
        <v>4</v>
      </c>
      <c r="G843" s="17" t="str">
        <f>IFERROR(__xludf.DUMMYFUNCTION("""COMPUTED_VALUE"""),"152301")</f>
        <v>152301</v>
      </c>
      <c r="H843" s="17" t="str">
        <f>IFERROR(__xludf.DUMMYFUNCTION("""COMPUTED_VALUE"""),"блюда, стійки для тортів")</f>
        <v>блюда, стійки для тортів</v>
      </c>
      <c r="I843" s="19">
        <f>IFERROR(__xludf.DUMMYFUNCTION("""COMPUTED_VALUE"""),0.0748)</f>
        <v>0.0748</v>
      </c>
      <c r="J843" s="19">
        <f>IFERROR(__xludf.DUMMYFUNCTION("""COMPUTED_VALUE"""),0.1495)</f>
        <v>0.1495</v>
      </c>
      <c r="K843" s="19">
        <f>IFERROR(__xludf.DUMMYFUNCTION("""COMPUTED_VALUE"""),0.1869)</f>
        <v>0.1869</v>
      </c>
      <c r="L843" s="19">
        <f>IFERROR(__xludf.DUMMYFUNCTION("""COMPUTED_VALUE"""),0.2243)</f>
        <v>0.2243</v>
      </c>
      <c r="M843" s="18">
        <f>IFERROR(__xludf.DUMMYFUNCTION("""COMPUTED_VALUE"""),2.08)</f>
        <v>2.08</v>
      </c>
    </row>
    <row r="844">
      <c r="A844" s="13" t="str">
        <f>IFERROR(__xludf.DUMMYFUNCTION("""COMPUTED_VALUE"""),"товари")</f>
        <v>товари</v>
      </c>
      <c r="B844" s="16" t="str">
        <f>IFERROR(__xludf.DUMMYFUNCTION("""COMPUTED_VALUE"""),"товари для дому")</f>
        <v>товари для дому</v>
      </c>
      <c r="C844" s="16" t="str">
        <f>IFERROR(__xludf.DUMMYFUNCTION("""COMPUTED_VALUE"""),"посуд")</f>
        <v>посуд</v>
      </c>
      <c r="D844" s="16" t="str">
        <f>IFERROR(__xludf.DUMMYFUNCTION("""COMPUTED_VALUE"""),"столовий посуд")</f>
        <v>столовий посуд</v>
      </c>
      <c r="E844" s="16" t="str">
        <f>IFERROR(__xludf.DUMMYFUNCTION("""COMPUTED_VALUE"""),"тортівниці та підставки для тортів")</f>
        <v>тортівниці та підставки для тортів</v>
      </c>
      <c r="F844" s="23"/>
      <c r="G844" s="17" t="str">
        <f>IFERROR(__xludf.DUMMYFUNCTION("""COMPUTED_VALUE"""),"152222")</f>
        <v>152222</v>
      </c>
      <c r="H844" s="17" t="str">
        <f>IFERROR(__xludf.DUMMYFUNCTION("""COMPUTED_VALUE"""),"тортівниці та підставки для тортів")</f>
        <v>тортівниці та підставки для тортів</v>
      </c>
      <c r="I844" s="19">
        <f>IFERROR(__xludf.DUMMYFUNCTION("""COMPUTED_VALUE"""),0.0748)</f>
        <v>0.0748</v>
      </c>
      <c r="J844" s="19">
        <f>IFERROR(__xludf.DUMMYFUNCTION("""COMPUTED_VALUE"""),0.1495)</f>
        <v>0.1495</v>
      </c>
      <c r="K844" s="19">
        <f>IFERROR(__xludf.DUMMYFUNCTION("""COMPUTED_VALUE"""),0.1869)</f>
        <v>0.1869</v>
      </c>
      <c r="L844" s="19">
        <f>IFERROR(__xludf.DUMMYFUNCTION("""COMPUTED_VALUE"""),0.2243)</f>
        <v>0.2243</v>
      </c>
      <c r="M844" s="18">
        <f>IFERROR(__xludf.DUMMYFUNCTION("""COMPUTED_VALUE"""),2.08)</f>
        <v>2.08</v>
      </c>
    </row>
    <row r="845">
      <c r="A845" s="13" t="str">
        <f>IFERROR(__xludf.DUMMYFUNCTION("""COMPUTED_VALUE"""),"товари")</f>
        <v>товари</v>
      </c>
      <c r="B845" s="16" t="str">
        <f>IFERROR(__xludf.DUMMYFUNCTION("""COMPUTED_VALUE"""),"товари для дому")</f>
        <v>товари для дому</v>
      </c>
      <c r="C845" s="16" t="str">
        <f>IFERROR(__xludf.DUMMYFUNCTION("""COMPUTED_VALUE"""),"посуд")</f>
        <v>посуд</v>
      </c>
      <c r="D845" s="16" t="str">
        <f>IFERROR(__xludf.DUMMYFUNCTION("""COMPUTED_VALUE"""),"аксесуари для бару")</f>
        <v>аксесуари для бару</v>
      </c>
      <c r="E845" s="16" t="str">
        <f>IFERROR(__xludf.DUMMYFUNCTION("""COMPUTED_VALUE"""),"бочки та діжки")</f>
        <v>бочки та діжки</v>
      </c>
      <c r="F845" s="17">
        <f>IFERROR(__xludf.DUMMYFUNCTION("""COMPUTED_VALUE"""),4.0)</f>
        <v>4</v>
      </c>
      <c r="G845" s="17" t="str">
        <f>IFERROR(__xludf.DUMMYFUNCTION("""COMPUTED_VALUE"""),"152911")</f>
        <v>152911</v>
      </c>
      <c r="H845" s="17" t="str">
        <f>IFERROR(__xludf.DUMMYFUNCTION("""COMPUTED_VALUE"""),"бочки та діжки")</f>
        <v>бочки та діжки</v>
      </c>
      <c r="I845" s="19">
        <f>IFERROR(__xludf.DUMMYFUNCTION("""COMPUTED_VALUE"""),0.0762)</f>
        <v>0.0762</v>
      </c>
      <c r="J845" s="19">
        <f>IFERROR(__xludf.DUMMYFUNCTION("""COMPUTED_VALUE"""),0.1524)</f>
        <v>0.1524</v>
      </c>
      <c r="K845" s="19">
        <f>IFERROR(__xludf.DUMMYFUNCTION("""COMPUTED_VALUE"""),0.1905)</f>
        <v>0.1905</v>
      </c>
      <c r="L845" s="19">
        <f>IFERROR(__xludf.DUMMYFUNCTION("""COMPUTED_VALUE"""),0.2286)</f>
        <v>0.2286</v>
      </c>
      <c r="M845" s="18">
        <f>IFERROR(__xludf.DUMMYFUNCTION("""COMPUTED_VALUE"""),2.7)</f>
        <v>2.7</v>
      </c>
    </row>
    <row r="846">
      <c r="A846" s="13" t="str">
        <f>IFERROR(__xludf.DUMMYFUNCTION("""COMPUTED_VALUE"""),"товари")</f>
        <v>товари</v>
      </c>
      <c r="B846" s="16" t="str">
        <f>IFERROR(__xludf.DUMMYFUNCTION("""COMPUTED_VALUE"""),"товари для дому")</f>
        <v>товари для дому</v>
      </c>
      <c r="C846" s="16" t="str">
        <f>IFERROR(__xludf.DUMMYFUNCTION("""COMPUTED_VALUE"""),"освітлення для дому")</f>
        <v>освітлення для дому</v>
      </c>
      <c r="D846" s="16" t="str">
        <f>IFERROR(__xludf.DUMMYFUNCTION("""COMPUTED_VALUE"""),"бра, настінні світильники")</f>
        <v>бра, настінні світильники</v>
      </c>
      <c r="E846" s="16" t="str">
        <f>IFERROR(__xludf.DUMMYFUNCTION("""COMPUTED_VALUE"""),"бра, настінні світильники")</f>
        <v>бра, настінні світильники</v>
      </c>
      <c r="F846" s="17">
        <f>IFERROR(__xludf.DUMMYFUNCTION("""COMPUTED_VALUE"""),3.0)</f>
        <v>3</v>
      </c>
      <c r="G846" s="17" t="str">
        <f>IFERROR(__xludf.DUMMYFUNCTION("""COMPUTED_VALUE"""),"39050501")</f>
        <v>39050501</v>
      </c>
      <c r="H846" s="17" t="str">
        <f>IFERROR(__xludf.DUMMYFUNCTION("""COMPUTED_VALUE"""),"бра, настінні світильники")</f>
        <v>бра, настінні світильники</v>
      </c>
      <c r="I846" s="19">
        <f>IFERROR(__xludf.DUMMYFUNCTION("""COMPUTED_VALUE"""),0.0753)</f>
        <v>0.0753</v>
      </c>
      <c r="J846" s="19">
        <f>IFERROR(__xludf.DUMMYFUNCTION("""COMPUTED_VALUE"""),0.1505)</f>
        <v>0.1505</v>
      </c>
      <c r="K846" s="19">
        <f>IFERROR(__xludf.DUMMYFUNCTION("""COMPUTED_VALUE"""),0.1881)</f>
        <v>0.1881</v>
      </c>
      <c r="L846" s="19">
        <f>IFERROR(__xludf.DUMMYFUNCTION("""COMPUTED_VALUE"""),0.2258)</f>
        <v>0.2258</v>
      </c>
      <c r="M846" s="18">
        <f>IFERROR(__xludf.DUMMYFUNCTION("""COMPUTED_VALUE"""),3.33)</f>
        <v>3.33</v>
      </c>
    </row>
    <row r="847">
      <c r="A847" s="13" t="str">
        <f>IFERROR(__xludf.DUMMYFUNCTION("""COMPUTED_VALUE"""),"товари")</f>
        <v>товари</v>
      </c>
      <c r="B847" s="16" t="str">
        <f>IFERROR(__xludf.DUMMYFUNCTION("""COMPUTED_VALUE"""),"товари для дому")</f>
        <v>товари для дому</v>
      </c>
      <c r="C847" s="16" t="str">
        <f>IFERROR(__xludf.DUMMYFUNCTION("""COMPUTED_VALUE"""),"дім і сад, загальне")</f>
        <v>дім і сад, загальне</v>
      </c>
      <c r="D847" s="16" t="str">
        <f>IFERROR(__xludf.DUMMYFUNCTION("""COMPUTED_VALUE"""),"дім і сад, загальне")</f>
        <v>дім і сад, загальне</v>
      </c>
      <c r="E847" s="16" t="str">
        <f>IFERROR(__xludf.DUMMYFUNCTION("""COMPUTED_VALUE"""),"дім і сад, загальне")</f>
        <v>дім і сад, загальне</v>
      </c>
      <c r="F847" s="17">
        <f>IFERROR(__xludf.DUMMYFUNCTION("""COMPUTED_VALUE"""),2.0)</f>
        <v>2</v>
      </c>
      <c r="G847" s="17" t="str">
        <f>IFERROR(__xludf.DUMMYFUNCTION("""COMPUTED_VALUE"""),"1533")</f>
        <v>1533</v>
      </c>
      <c r="H847" s="17" t="str">
        <f>IFERROR(__xludf.DUMMYFUNCTION("""COMPUTED_VALUE"""),"дім і сад, загальне")</f>
        <v>дім і сад, загальне</v>
      </c>
      <c r="I847" s="19">
        <f>IFERROR(__xludf.DUMMYFUNCTION("""COMPUTED_VALUE"""),0.125)</f>
        <v>0.125</v>
      </c>
      <c r="J847" s="19">
        <f>IFERROR(__xludf.DUMMYFUNCTION("""COMPUTED_VALUE"""),0.25)</f>
        <v>0.25</v>
      </c>
      <c r="K847" s="19">
        <f>IFERROR(__xludf.DUMMYFUNCTION("""COMPUTED_VALUE"""),0.3125)</f>
        <v>0.3125</v>
      </c>
      <c r="L847" s="19">
        <f>IFERROR(__xludf.DUMMYFUNCTION("""COMPUTED_VALUE"""),0.375)</f>
        <v>0.375</v>
      </c>
      <c r="M847" s="18">
        <f>IFERROR(__xludf.DUMMYFUNCTION("""COMPUTED_VALUE"""),4.33)</f>
        <v>4.33</v>
      </c>
    </row>
    <row r="848">
      <c r="A848" s="13" t="str">
        <f>IFERROR(__xludf.DUMMYFUNCTION("""COMPUTED_VALUE"""),"товари")</f>
        <v>товари</v>
      </c>
      <c r="B848" s="16" t="str">
        <f>IFERROR(__xludf.DUMMYFUNCTION("""COMPUTED_VALUE"""),"товари для дому")</f>
        <v>товари для дому</v>
      </c>
      <c r="C848" s="16" t="str">
        <f>IFERROR(__xludf.DUMMYFUNCTION("""COMPUTED_VALUE"""),"меблі")</f>
        <v>меблі</v>
      </c>
      <c r="D848" s="16" t="str">
        <f>IFERROR(__xludf.DUMMYFUNCTION("""COMPUTED_VALUE"""),"шафи")</f>
        <v>шафи</v>
      </c>
      <c r="E848" s="16" t="str">
        <f>IFERROR(__xludf.DUMMYFUNCTION("""COMPUTED_VALUE"""),"буфети і серванти")</f>
        <v>буфети і серванти</v>
      </c>
      <c r="F848" s="17">
        <f>IFERROR(__xludf.DUMMYFUNCTION("""COMPUTED_VALUE"""),4.0)</f>
        <v>4</v>
      </c>
      <c r="G848" s="17" t="str">
        <f>IFERROR(__xludf.DUMMYFUNCTION("""COMPUTED_VALUE"""),"37033001")</f>
        <v>37033001</v>
      </c>
      <c r="H848" s="17" t="str">
        <f>IFERROR(__xludf.DUMMYFUNCTION("""COMPUTED_VALUE"""),"буфети і серванти")</f>
        <v>буфети і серванти</v>
      </c>
      <c r="I848" s="19">
        <f>IFERROR(__xludf.DUMMYFUNCTION("""COMPUTED_VALUE"""),0.0681)</f>
        <v>0.0681</v>
      </c>
      <c r="J848" s="19">
        <f>IFERROR(__xludf.DUMMYFUNCTION("""COMPUTED_VALUE"""),0.1361)</f>
        <v>0.1361</v>
      </c>
      <c r="K848" s="19">
        <f>IFERROR(__xludf.DUMMYFUNCTION("""COMPUTED_VALUE"""),0.1701)</f>
        <v>0.1701</v>
      </c>
      <c r="L848" s="19">
        <f>IFERROR(__xludf.DUMMYFUNCTION("""COMPUTED_VALUE"""),0.2042)</f>
        <v>0.2042</v>
      </c>
      <c r="M848" s="18">
        <f>IFERROR(__xludf.DUMMYFUNCTION("""COMPUTED_VALUE"""),3.15)</f>
        <v>3.15</v>
      </c>
    </row>
    <row r="849">
      <c r="A849" s="13" t="str">
        <f>IFERROR(__xludf.DUMMYFUNCTION("""COMPUTED_VALUE"""),"товари")</f>
        <v>товари</v>
      </c>
      <c r="B849" s="16" t="str">
        <f>IFERROR(__xludf.DUMMYFUNCTION("""COMPUTED_VALUE"""),"товари для дому")</f>
        <v>товари для дому</v>
      </c>
      <c r="C849" s="16" t="str">
        <f>IFERROR(__xludf.DUMMYFUNCTION("""COMPUTED_VALUE"""),"декор для дому")</f>
        <v>декор для дому</v>
      </c>
      <c r="D849" s="16" t="str">
        <f>IFERROR(__xludf.DUMMYFUNCTION("""COMPUTED_VALUE"""),"вази")</f>
        <v>вази</v>
      </c>
      <c r="E849" s="16" t="str">
        <f>IFERROR(__xludf.DUMMYFUNCTION("""COMPUTED_VALUE"""),"вази")</f>
        <v>вази</v>
      </c>
      <c r="F849" s="17">
        <f>IFERROR(__xludf.DUMMYFUNCTION("""COMPUTED_VALUE"""),3.0)</f>
        <v>3</v>
      </c>
      <c r="G849" s="17" t="str">
        <f>IFERROR(__xludf.DUMMYFUNCTION("""COMPUTED_VALUE"""),"172805")</f>
        <v>172805</v>
      </c>
      <c r="H849" s="17" t="str">
        <f>IFERROR(__xludf.DUMMYFUNCTION("""COMPUTED_VALUE"""),"вази")</f>
        <v>вази</v>
      </c>
      <c r="I849" s="19">
        <f>IFERROR(__xludf.DUMMYFUNCTION("""COMPUTED_VALUE"""),0.0772)</f>
        <v>0.0772</v>
      </c>
      <c r="J849" s="19">
        <f>IFERROR(__xludf.DUMMYFUNCTION("""COMPUTED_VALUE"""),0.1543)</f>
        <v>0.1543</v>
      </c>
      <c r="K849" s="19">
        <f>IFERROR(__xludf.DUMMYFUNCTION("""COMPUTED_VALUE"""),0.1929)</f>
        <v>0.1929</v>
      </c>
      <c r="L849" s="19">
        <f>IFERROR(__xludf.DUMMYFUNCTION("""COMPUTED_VALUE"""),0.2315)</f>
        <v>0.2315</v>
      </c>
      <c r="M849" s="18">
        <f>IFERROR(__xludf.DUMMYFUNCTION("""COMPUTED_VALUE"""),1.53)</f>
        <v>1.53</v>
      </c>
    </row>
    <row r="850">
      <c r="A850" s="13" t="str">
        <f>IFERROR(__xludf.DUMMYFUNCTION("""COMPUTED_VALUE"""),"товари")</f>
        <v>товари</v>
      </c>
      <c r="B850" s="16" t="str">
        <f>IFERROR(__xludf.DUMMYFUNCTION("""COMPUTED_VALUE"""),"дача, сад і город")</f>
        <v>дача, сад і город</v>
      </c>
      <c r="C850" s="16" t="str">
        <f>IFERROR(__xludf.DUMMYFUNCTION("""COMPUTED_VALUE"""),"садовий декор")</f>
        <v>садовий декор</v>
      </c>
      <c r="D850" s="16" t="str">
        <f>IFERROR(__xludf.DUMMYFUNCTION("""COMPUTED_VALUE"""),"вазони садові")</f>
        <v>вазони садові</v>
      </c>
      <c r="E850" s="16" t="str">
        <f>IFERROR(__xludf.DUMMYFUNCTION("""COMPUTED_VALUE"""),"вазони садові")</f>
        <v>вазони садові</v>
      </c>
      <c r="F850" s="17">
        <f>IFERROR(__xludf.DUMMYFUNCTION("""COMPUTED_VALUE"""),3.0)</f>
        <v>3</v>
      </c>
      <c r="G850" s="17" t="str">
        <f>IFERROR(__xludf.DUMMYFUNCTION("""COMPUTED_VALUE"""),"130111")</f>
        <v>130111</v>
      </c>
      <c r="H850" s="17" t="str">
        <f>IFERROR(__xludf.DUMMYFUNCTION("""COMPUTED_VALUE"""),"вазони садові")</f>
        <v>вазони садові</v>
      </c>
      <c r="I850" s="19">
        <f>IFERROR(__xludf.DUMMYFUNCTION("""COMPUTED_VALUE"""),0.0777)</f>
        <v>0.0777</v>
      </c>
      <c r="J850" s="19">
        <f>IFERROR(__xludf.DUMMYFUNCTION("""COMPUTED_VALUE"""),0.1553)</f>
        <v>0.1553</v>
      </c>
      <c r="K850" s="19">
        <f>IFERROR(__xludf.DUMMYFUNCTION("""COMPUTED_VALUE"""),0.1941)</f>
        <v>0.1941</v>
      </c>
      <c r="L850" s="19">
        <f>IFERROR(__xludf.DUMMYFUNCTION("""COMPUTED_VALUE"""),0.233)</f>
        <v>0.233</v>
      </c>
      <c r="M850" s="18">
        <f>IFERROR(__xludf.DUMMYFUNCTION("""COMPUTED_VALUE"""),1.53)</f>
        <v>1.53</v>
      </c>
    </row>
    <row r="851">
      <c r="A851" s="13" t="str">
        <f>IFERROR(__xludf.DUMMYFUNCTION("""COMPUTED_VALUE"""),"товари")</f>
        <v>товари</v>
      </c>
      <c r="B851" s="16" t="str">
        <f>IFERROR(__xludf.DUMMYFUNCTION("""COMPUTED_VALUE"""),"товари для дому")</f>
        <v>товари для дому</v>
      </c>
      <c r="C851" s="16" t="str">
        <f>IFERROR(__xludf.DUMMYFUNCTION("""COMPUTED_VALUE"""),"рішення для зберігання")</f>
        <v>рішення для зберігання</v>
      </c>
      <c r="D851" s="16" t="str">
        <f>IFERROR(__xludf.DUMMYFUNCTION("""COMPUTED_VALUE"""),"вакуумні системи зберігання")</f>
        <v>вакуумні системи зберігання</v>
      </c>
      <c r="E851" s="16" t="str">
        <f>IFERROR(__xludf.DUMMYFUNCTION("""COMPUTED_VALUE"""),"вакуумні системи зберігання")</f>
        <v>вакуумні системи зберігання</v>
      </c>
      <c r="F851" s="17">
        <f>IFERROR(__xludf.DUMMYFUNCTION("""COMPUTED_VALUE"""),3.0)</f>
        <v>3</v>
      </c>
      <c r="G851" s="17" t="str">
        <f>IFERROR(__xludf.DUMMYFUNCTION("""COMPUTED_VALUE"""),"15230501")</f>
        <v>15230501</v>
      </c>
      <c r="H851" s="17" t="str">
        <f>IFERROR(__xludf.DUMMYFUNCTION("""COMPUTED_VALUE"""),"вакуумні системи зберігання")</f>
        <v>вакуумні системи зберігання</v>
      </c>
      <c r="I851" s="19">
        <f>IFERROR(__xludf.DUMMYFUNCTION("""COMPUTED_VALUE"""),0.081)</f>
        <v>0.081</v>
      </c>
      <c r="J851" s="19">
        <f>IFERROR(__xludf.DUMMYFUNCTION("""COMPUTED_VALUE"""),0.1619)</f>
        <v>0.1619</v>
      </c>
      <c r="K851" s="19">
        <f>IFERROR(__xludf.DUMMYFUNCTION("""COMPUTED_VALUE"""),0.2024)</f>
        <v>0.2024</v>
      </c>
      <c r="L851" s="19">
        <f>IFERROR(__xludf.DUMMYFUNCTION("""COMPUTED_VALUE"""),0.2429)</f>
        <v>0.2429</v>
      </c>
      <c r="M851" s="18">
        <f>IFERROR(__xludf.DUMMYFUNCTION("""COMPUTED_VALUE"""),1.71)</f>
        <v>1.71</v>
      </c>
    </row>
    <row r="852">
      <c r="A852" s="13" t="str">
        <f>IFERROR(__xludf.DUMMYFUNCTION("""COMPUTED_VALUE"""),"товари")</f>
        <v>товари</v>
      </c>
      <c r="B852" s="16" t="str">
        <f>IFERROR(__xludf.DUMMYFUNCTION("""COMPUTED_VALUE"""),"товари для дому")</f>
        <v>товари для дому</v>
      </c>
      <c r="C852" s="16" t="str">
        <f>IFERROR(__xludf.DUMMYFUNCTION("""COMPUTED_VALUE"""),"приналежності для ванної та туалету")</f>
        <v>приналежності для ванної та туалету</v>
      </c>
      <c r="D852" s="16" t="str">
        <f>IFERROR(__xludf.DUMMYFUNCTION("""COMPUTED_VALUE"""),"вантузи")</f>
        <v>вантузи</v>
      </c>
      <c r="E852" s="16" t="str">
        <f>IFERROR(__xludf.DUMMYFUNCTION("""COMPUTED_VALUE"""),"вантузи")</f>
        <v>вантузи</v>
      </c>
      <c r="F852" s="17">
        <f>IFERROR(__xludf.DUMMYFUNCTION("""COMPUTED_VALUE"""),3.0)</f>
        <v>3</v>
      </c>
      <c r="G852" s="17" t="str">
        <f>IFERROR(__xludf.DUMMYFUNCTION("""COMPUTED_VALUE"""),"154010")</f>
        <v>154010</v>
      </c>
      <c r="H852" s="17" t="str">
        <f>IFERROR(__xludf.DUMMYFUNCTION("""COMPUTED_VALUE"""),"вантузи")</f>
        <v>вантузи</v>
      </c>
      <c r="I852" s="19">
        <f>IFERROR(__xludf.DUMMYFUNCTION("""COMPUTED_VALUE"""),0.0774)</f>
        <v>0.0774</v>
      </c>
      <c r="J852" s="19">
        <f>IFERROR(__xludf.DUMMYFUNCTION("""COMPUTED_VALUE"""),0.1547)</f>
        <v>0.1547</v>
      </c>
      <c r="K852" s="19">
        <f>IFERROR(__xludf.DUMMYFUNCTION("""COMPUTED_VALUE"""),0.1934)</f>
        <v>0.1934</v>
      </c>
      <c r="L852" s="19">
        <f>IFERROR(__xludf.DUMMYFUNCTION("""COMPUTED_VALUE"""),0.2321)</f>
        <v>0.2321</v>
      </c>
      <c r="M852" s="18">
        <f>IFERROR(__xludf.DUMMYFUNCTION("""COMPUTED_VALUE"""),1.05)</f>
        <v>1.05</v>
      </c>
    </row>
    <row r="853">
      <c r="A853" s="13" t="str">
        <f>IFERROR(__xludf.DUMMYFUNCTION("""COMPUTED_VALUE"""),"товари")</f>
        <v>товари</v>
      </c>
      <c r="B853" s="16" t="str">
        <f>IFERROR(__xludf.DUMMYFUNCTION("""COMPUTED_VALUE"""),"товари для дому")</f>
        <v>товари для дому</v>
      </c>
      <c r="C853" s="16" t="str">
        <f>IFERROR(__xludf.DUMMYFUNCTION("""COMPUTED_VALUE"""),"догляд за будинком")</f>
        <v>догляд за будинком</v>
      </c>
      <c r="D853" s="16" t="str">
        <f>IFERROR(__xludf.DUMMYFUNCTION("""COMPUTED_VALUE"""),"догляд за особистими речами")</f>
        <v>догляд за особистими речами</v>
      </c>
      <c r="E853" s="16" t="str">
        <f>IFERROR(__xludf.DUMMYFUNCTION("""COMPUTED_VALUE"""),"взуттєві щітки і губки")</f>
        <v>взуттєві щітки і губки</v>
      </c>
      <c r="F853" s="17">
        <f>IFERROR(__xludf.DUMMYFUNCTION("""COMPUTED_VALUE"""),4.0)</f>
        <v>4</v>
      </c>
      <c r="G853" s="17" t="str">
        <f>IFERROR(__xludf.DUMMYFUNCTION("""COMPUTED_VALUE"""),"322100303")</f>
        <v>322100303</v>
      </c>
      <c r="H853" s="17" t="str">
        <f>IFERROR(__xludf.DUMMYFUNCTION("""COMPUTED_VALUE"""),"взуттєві щітки і губки")</f>
        <v>взуттєві щітки і губки</v>
      </c>
      <c r="I853" s="19">
        <f>IFERROR(__xludf.DUMMYFUNCTION("""COMPUTED_VALUE"""),0.0914)</f>
        <v>0.0914</v>
      </c>
      <c r="J853" s="19">
        <f>IFERROR(__xludf.DUMMYFUNCTION("""COMPUTED_VALUE"""),0.1828)</f>
        <v>0.1828</v>
      </c>
      <c r="K853" s="19">
        <f>IFERROR(__xludf.DUMMYFUNCTION("""COMPUTED_VALUE"""),0.2285)</f>
        <v>0.2285</v>
      </c>
      <c r="L853" s="19">
        <f>IFERROR(__xludf.DUMMYFUNCTION("""COMPUTED_VALUE"""),0.2742)</f>
        <v>0.2742</v>
      </c>
      <c r="M853" s="18">
        <f>IFERROR(__xludf.DUMMYFUNCTION("""COMPUTED_VALUE"""),1.98)</f>
        <v>1.98</v>
      </c>
    </row>
    <row r="854">
      <c r="A854" s="13" t="str">
        <f>IFERROR(__xludf.DUMMYFUNCTION("""COMPUTED_VALUE"""),"товари")</f>
        <v>товари</v>
      </c>
      <c r="B854" s="16" t="str">
        <f>IFERROR(__xludf.DUMMYFUNCTION("""COMPUTED_VALUE"""),"товари для дому")</f>
        <v>товари для дому</v>
      </c>
      <c r="C854" s="16" t="str">
        <f>IFERROR(__xludf.DUMMYFUNCTION("""COMPUTED_VALUE"""),"посуд")</f>
        <v>посуд</v>
      </c>
      <c r="D854" s="16" t="str">
        <f>IFERROR(__xludf.DUMMYFUNCTION("""COMPUTED_VALUE"""),"кухонне приладдя")</f>
        <v>кухонне приладдя</v>
      </c>
      <c r="E854" s="16" t="str">
        <f>IFERROR(__xludf.DUMMYFUNCTION("""COMPUTED_VALUE"""),"виймачі кісточок")</f>
        <v>виймачі кісточок</v>
      </c>
      <c r="F854" s="17">
        <f>IFERROR(__xludf.DUMMYFUNCTION("""COMPUTED_VALUE"""),4.0)</f>
        <v>4</v>
      </c>
      <c r="G854" s="17" t="str">
        <f>IFERROR(__xludf.DUMMYFUNCTION("""COMPUTED_VALUE"""),"15230427")</f>
        <v>15230427</v>
      </c>
      <c r="H854" s="17" t="str">
        <f>IFERROR(__xludf.DUMMYFUNCTION("""COMPUTED_VALUE"""),"виймачі кісточок")</f>
        <v>виймачі кісточок</v>
      </c>
      <c r="I854" s="19">
        <f>IFERROR(__xludf.DUMMYFUNCTION("""COMPUTED_VALUE"""),0.0813)</f>
        <v>0.0813</v>
      </c>
      <c r="J854" s="19">
        <f>IFERROR(__xludf.DUMMYFUNCTION("""COMPUTED_VALUE"""),0.1625)</f>
        <v>0.1625</v>
      </c>
      <c r="K854" s="19">
        <f>IFERROR(__xludf.DUMMYFUNCTION("""COMPUTED_VALUE"""),0.2031)</f>
        <v>0.2031</v>
      </c>
      <c r="L854" s="19">
        <f>IFERROR(__xludf.DUMMYFUNCTION("""COMPUTED_VALUE"""),0.2438)</f>
        <v>0.2438</v>
      </c>
      <c r="M854" s="18">
        <f>IFERROR(__xludf.DUMMYFUNCTION("""COMPUTED_VALUE"""),2.08)</f>
        <v>2.08</v>
      </c>
    </row>
    <row r="855">
      <c r="A855" s="13" t="str">
        <f>IFERROR(__xludf.DUMMYFUNCTION("""COMPUTED_VALUE"""),"товари")</f>
        <v>товари</v>
      </c>
      <c r="B855" s="16" t="str">
        <f>IFERROR(__xludf.DUMMYFUNCTION("""COMPUTED_VALUE"""),"дача, сад і город")</f>
        <v>дача, сад і город</v>
      </c>
      <c r="C855" s="16" t="str">
        <f>IFERROR(__xludf.DUMMYFUNCTION("""COMPUTED_VALUE"""),"інструменти для обробки грунту")</f>
        <v>інструменти для обробки грунту</v>
      </c>
      <c r="D855" s="16" t="str">
        <f>IFERROR(__xludf.DUMMYFUNCTION("""COMPUTED_VALUE"""),"вила")</f>
        <v>вила</v>
      </c>
      <c r="E855" s="16" t="str">
        <f>IFERROR(__xludf.DUMMYFUNCTION("""COMPUTED_VALUE"""),"вила")</f>
        <v>вила</v>
      </c>
      <c r="F855" s="17">
        <f>IFERROR(__xludf.DUMMYFUNCTION("""COMPUTED_VALUE"""),3.0)</f>
        <v>3</v>
      </c>
      <c r="G855" s="17" t="str">
        <f>IFERROR(__xludf.DUMMYFUNCTION("""COMPUTED_VALUE"""),"1250303")</f>
        <v>1250303</v>
      </c>
      <c r="H855" s="17" t="str">
        <f>IFERROR(__xludf.DUMMYFUNCTION("""COMPUTED_VALUE"""),"вила")</f>
        <v>вила</v>
      </c>
      <c r="I855" s="19">
        <f>IFERROR(__xludf.DUMMYFUNCTION("""COMPUTED_VALUE"""),0.0737)</f>
        <v>0.0737</v>
      </c>
      <c r="J855" s="19">
        <f>IFERROR(__xludf.DUMMYFUNCTION("""COMPUTED_VALUE"""),0.1473)</f>
        <v>0.1473</v>
      </c>
      <c r="K855" s="19">
        <f>IFERROR(__xludf.DUMMYFUNCTION("""COMPUTED_VALUE"""),0.1841)</f>
        <v>0.1841</v>
      </c>
      <c r="L855" s="19">
        <f>IFERROR(__xludf.DUMMYFUNCTION("""COMPUTED_VALUE"""),0.221)</f>
        <v>0.221</v>
      </c>
      <c r="M855" s="18">
        <f>IFERROR(__xludf.DUMMYFUNCTION("""COMPUTED_VALUE"""),1.71)</f>
        <v>1.71</v>
      </c>
    </row>
    <row r="856">
      <c r="A856" s="13" t="str">
        <f>IFERROR(__xludf.DUMMYFUNCTION("""COMPUTED_VALUE"""),"товари")</f>
        <v>товари</v>
      </c>
      <c r="B856" s="16" t="str">
        <f>IFERROR(__xludf.DUMMYFUNCTION("""COMPUTED_VALUE"""),"товари для дому")</f>
        <v>товари для дому</v>
      </c>
      <c r="C856" s="16" t="str">
        <f>IFERROR(__xludf.DUMMYFUNCTION("""COMPUTED_VALUE"""),"посуд")</f>
        <v>посуд</v>
      </c>
      <c r="D856" s="16" t="str">
        <f>IFERROR(__xludf.DUMMYFUNCTION("""COMPUTED_VALUE"""),"столовий посуд")</f>
        <v>столовий посуд</v>
      </c>
      <c r="E856" s="16" t="str">
        <f>IFERROR(__xludf.DUMMYFUNCTION("""COMPUTED_VALUE"""),"виделки")</f>
        <v>виделки</v>
      </c>
      <c r="F856" s="17">
        <f>IFERROR(__xludf.DUMMYFUNCTION("""COMPUTED_VALUE"""),4.0)</f>
        <v>4</v>
      </c>
      <c r="G856" s="17" t="str">
        <f>IFERROR(__xludf.DUMMYFUNCTION("""COMPUTED_VALUE"""),"152216")</f>
        <v>152216</v>
      </c>
      <c r="H856" s="17" t="str">
        <f>IFERROR(__xludf.DUMMYFUNCTION("""COMPUTED_VALUE"""),"виделки")</f>
        <v>виделки</v>
      </c>
      <c r="I856" s="19">
        <f>IFERROR(__xludf.DUMMYFUNCTION("""COMPUTED_VALUE"""),0.0754)</f>
        <v>0.0754</v>
      </c>
      <c r="J856" s="19">
        <f>IFERROR(__xludf.DUMMYFUNCTION("""COMPUTED_VALUE"""),0.1508)</f>
        <v>0.1508</v>
      </c>
      <c r="K856" s="19">
        <f>IFERROR(__xludf.DUMMYFUNCTION("""COMPUTED_VALUE"""),0.1885)</f>
        <v>0.1885</v>
      </c>
      <c r="L856" s="19">
        <f>IFERROR(__xludf.DUMMYFUNCTION("""COMPUTED_VALUE"""),0.2262)</f>
        <v>0.2262</v>
      </c>
      <c r="M856" s="18">
        <f>IFERROR(__xludf.DUMMYFUNCTION("""COMPUTED_VALUE"""),2.08)</f>
        <v>2.08</v>
      </c>
    </row>
    <row r="857">
      <c r="A857" s="13" t="str">
        <f>IFERROR(__xludf.DUMMYFUNCTION("""COMPUTED_VALUE"""),"товари")</f>
        <v>товари</v>
      </c>
      <c r="B857" s="16" t="str">
        <f>IFERROR(__xludf.DUMMYFUNCTION("""COMPUTED_VALUE"""),"товари для дому")</f>
        <v>товари для дому</v>
      </c>
      <c r="C857" s="16" t="str">
        <f>IFERROR(__xludf.DUMMYFUNCTION("""COMPUTED_VALUE"""),"посуд")</f>
        <v>посуд</v>
      </c>
      <c r="D857" s="16" t="str">
        <f>IFERROR(__xludf.DUMMYFUNCTION("""COMPUTED_VALUE"""),"кухонне приладдя")</f>
        <v>кухонне приладдя</v>
      </c>
      <c r="E857" s="16" t="str">
        <f>IFERROR(__xludf.DUMMYFUNCTION("""COMPUTED_VALUE"""),"вимірювальні ємності")</f>
        <v>вимірювальні ємності</v>
      </c>
      <c r="F857" s="17">
        <f>IFERROR(__xludf.DUMMYFUNCTION("""COMPUTED_VALUE"""),4.0)</f>
        <v>4</v>
      </c>
      <c r="G857" s="17" t="str">
        <f>IFERROR(__xludf.DUMMYFUNCTION("""COMPUTED_VALUE"""),"15230420")</f>
        <v>15230420</v>
      </c>
      <c r="H857" s="17" t="str">
        <f>IFERROR(__xludf.DUMMYFUNCTION("""COMPUTED_VALUE"""),"вимірювальні ємності")</f>
        <v>вимірювальні ємності</v>
      </c>
      <c r="I857" s="19">
        <f>IFERROR(__xludf.DUMMYFUNCTION("""COMPUTED_VALUE"""),0.0783)</f>
        <v>0.0783</v>
      </c>
      <c r="J857" s="19">
        <f>IFERROR(__xludf.DUMMYFUNCTION("""COMPUTED_VALUE"""),0.1566)</f>
        <v>0.1566</v>
      </c>
      <c r="K857" s="19">
        <f>IFERROR(__xludf.DUMMYFUNCTION("""COMPUTED_VALUE"""),0.1958)</f>
        <v>0.1958</v>
      </c>
      <c r="L857" s="19">
        <f>IFERROR(__xludf.DUMMYFUNCTION("""COMPUTED_VALUE"""),0.2349)</f>
        <v>0.2349</v>
      </c>
      <c r="M857" s="18">
        <f>IFERROR(__xludf.DUMMYFUNCTION("""COMPUTED_VALUE"""),2.08)</f>
        <v>2.08</v>
      </c>
    </row>
    <row r="858">
      <c r="A858" s="13" t="str">
        <f>IFERROR(__xludf.DUMMYFUNCTION("""COMPUTED_VALUE"""),"товари")</f>
        <v>товари</v>
      </c>
      <c r="B858" s="16" t="str">
        <f>IFERROR(__xludf.DUMMYFUNCTION("""COMPUTED_VALUE"""),"товари для дому")</f>
        <v>товари для дому</v>
      </c>
      <c r="C858" s="16" t="str">
        <f>IFERROR(__xludf.DUMMYFUNCTION("""COMPUTED_VALUE"""),"посуд")</f>
        <v>посуд</v>
      </c>
      <c r="D858" s="16" t="str">
        <f>IFERROR(__xludf.DUMMYFUNCTION("""COMPUTED_VALUE"""),"аксесуари для бару")</f>
        <v>аксесуари для бару</v>
      </c>
      <c r="E858" s="16" t="str">
        <f>IFERROR(__xludf.DUMMYFUNCTION("""COMPUTED_VALUE"""),"винні набори")</f>
        <v>винні набори</v>
      </c>
      <c r="F858" s="17">
        <f>IFERROR(__xludf.DUMMYFUNCTION("""COMPUTED_VALUE"""),4.0)</f>
        <v>4</v>
      </c>
      <c r="G858" s="17" t="str">
        <f>IFERROR(__xludf.DUMMYFUNCTION("""COMPUTED_VALUE"""),"152908")</f>
        <v>152908</v>
      </c>
      <c r="H858" s="17" t="str">
        <f>IFERROR(__xludf.DUMMYFUNCTION("""COMPUTED_VALUE"""),"винні набори")</f>
        <v>винні набори</v>
      </c>
      <c r="I858" s="19">
        <f>IFERROR(__xludf.DUMMYFUNCTION("""COMPUTED_VALUE"""),0.0762)</f>
        <v>0.0762</v>
      </c>
      <c r="J858" s="19">
        <f>IFERROR(__xludf.DUMMYFUNCTION("""COMPUTED_VALUE"""),0.1524)</f>
        <v>0.1524</v>
      </c>
      <c r="K858" s="19">
        <f>IFERROR(__xludf.DUMMYFUNCTION("""COMPUTED_VALUE"""),0.1905)</f>
        <v>0.1905</v>
      </c>
      <c r="L858" s="19">
        <f>IFERROR(__xludf.DUMMYFUNCTION("""COMPUTED_VALUE"""),0.2286)</f>
        <v>0.2286</v>
      </c>
      <c r="M858" s="18">
        <f>IFERROR(__xludf.DUMMYFUNCTION("""COMPUTED_VALUE"""),2.7)</f>
        <v>2.7</v>
      </c>
    </row>
    <row r="859">
      <c r="A859" s="13" t="str">
        <f>IFERROR(__xludf.DUMMYFUNCTION("""COMPUTED_VALUE"""),"товари")</f>
        <v>товари</v>
      </c>
      <c r="B859" s="16" t="str">
        <f>IFERROR(__xludf.DUMMYFUNCTION("""COMPUTED_VALUE"""),"товари для дому")</f>
        <v>товари для дому</v>
      </c>
      <c r="C859" s="16" t="str">
        <f>IFERROR(__xludf.DUMMYFUNCTION("""COMPUTED_VALUE"""),"меблі")</f>
        <v>меблі</v>
      </c>
      <c r="D859" s="16" t="str">
        <f>IFERROR(__xludf.DUMMYFUNCTION("""COMPUTED_VALUE"""),"комплектуючі для меблів")</f>
        <v>комплектуючі для меблів</v>
      </c>
      <c r="E859" s="16" t="str">
        <f>IFERROR(__xludf.DUMMYFUNCTION("""COMPUTED_VALUE"""),"висувні ящики для ліжок")</f>
        <v>висувні ящики для ліжок</v>
      </c>
      <c r="F859" s="17">
        <f>IFERROR(__xludf.DUMMYFUNCTION("""COMPUTED_VALUE"""),4.0)</f>
        <v>4</v>
      </c>
      <c r="G859" s="17" t="str">
        <f>IFERROR(__xludf.DUMMYFUNCTION("""COMPUTED_VALUE"""),"370828")</f>
        <v>370828</v>
      </c>
      <c r="H859" s="17" t="str">
        <f>IFERROR(__xludf.DUMMYFUNCTION("""COMPUTED_VALUE"""),"висувні ящики для ліжок")</f>
        <v>висувні ящики для ліжок</v>
      </c>
      <c r="I859" s="19">
        <f>IFERROR(__xludf.DUMMYFUNCTION("""COMPUTED_VALUE"""),0.0665)</f>
        <v>0.0665</v>
      </c>
      <c r="J859" s="19">
        <f>IFERROR(__xludf.DUMMYFUNCTION("""COMPUTED_VALUE"""),0.133)</f>
        <v>0.133</v>
      </c>
      <c r="K859" s="19">
        <f>IFERROR(__xludf.DUMMYFUNCTION("""COMPUTED_VALUE"""),0.1663)</f>
        <v>0.1663</v>
      </c>
      <c r="L859" s="19">
        <f>IFERROR(__xludf.DUMMYFUNCTION("""COMPUTED_VALUE"""),0.1995)</f>
        <v>0.1995</v>
      </c>
      <c r="M859" s="18">
        <f>IFERROR(__xludf.DUMMYFUNCTION("""COMPUTED_VALUE"""),1.98)</f>
        <v>1.98</v>
      </c>
    </row>
    <row r="860">
      <c r="A860" s="13" t="str">
        <f>IFERROR(__xludf.DUMMYFUNCTION("""COMPUTED_VALUE"""),"товари")</f>
        <v>товари</v>
      </c>
      <c r="B860" s="16" t="str">
        <f>IFERROR(__xludf.DUMMYFUNCTION("""COMPUTED_VALUE"""),"товари для дому")</f>
        <v>товари для дому</v>
      </c>
      <c r="C860" s="16" t="str">
        <f>IFERROR(__xludf.DUMMYFUNCTION("""COMPUTED_VALUE"""),"посуд")</f>
        <v>посуд</v>
      </c>
      <c r="D860" s="16" t="str">
        <f>IFERROR(__xludf.DUMMYFUNCTION("""COMPUTED_VALUE"""),"аксесуари для бару")</f>
        <v>аксесуари для бару</v>
      </c>
      <c r="E860" s="16" t="str">
        <f>IFERROR(__xludf.DUMMYFUNCTION("""COMPUTED_VALUE"""),"відерця і щипці для льоду")</f>
        <v>відерця і щипці для льоду</v>
      </c>
      <c r="F860" s="17">
        <f>IFERROR(__xludf.DUMMYFUNCTION("""COMPUTED_VALUE"""),4.0)</f>
        <v>4</v>
      </c>
      <c r="G860" s="17" t="str">
        <f>IFERROR(__xludf.DUMMYFUNCTION("""COMPUTED_VALUE"""),"15230407")</f>
        <v>15230407</v>
      </c>
      <c r="H860" s="17" t="str">
        <f>IFERROR(__xludf.DUMMYFUNCTION("""COMPUTED_VALUE"""),"відерця і щипці для льоду")</f>
        <v>відерця і щипці для льоду</v>
      </c>
      <c r="I860" s="19">
        <f>IFERROR(__xludf.DUMMYFUNCTION("""COMPUTED_VALUE"""),0.0762)</f>
        <v>0.0762</v>
      </c>
      <c r="J860" s="19">
        <f>IFERROR(__xludf.DUMMYFUNCTION("""COMPUTED_VALUE"""),0.1524)</f>
        <v>0.1524</v>
      </c>
      <c r="K860" s="19">
        <f>IFERROR(__xludf.DUMMYFUNCTION("""COMPUTED_VALUE"""),0.1905)</f>
        <v>0.1905</v>
      </c>
      <c r="L860" s="19">
        <f>IFERROR(__xludf.DUMMYFUNCTION("""COMPUTED_VALUE"""),0.2286)</f>
        <v>0.2286</v>
      </c>
      <c r="M860" s="18">
        <f>IFERROR(__xludf.DUMMYFUNCTION("""COMPUTED_VALUE"""),2.7)</f>
        <v>2.7</v>
      </c>
    </row>
    <row r="861">
      <c r="A861" s="13" t="str">
        <f>IFERROR(__xludf.DUMMYFUNCTION("""COMPUTED_VALUE"""),"товари")</f>
        <v>товари</v>
      </c>
      <c r="B861" s="16" t="str">
        <f>IFERROR(__xludf.DUMMYFUNCTION("""COMPUTED_VALUE"""),"товари для дому")</f>
        <v>товари для дому</v>
      </c>
      <c r="C861" s="16" t="str">
        <f>IFERROR(__xludf.DUMMYFUNCTION("""COMPUTED_VALUE"""),"догляд за будинком")</f>
        <v>догляд за будинком</v>
      </c>
      <c r="D861" s="16" t="str">
        <f>IFERROR(__xludf.DUMMYFUNCTION("""COMPUTED_VALUE"""),"захист від комах і гризунів")</f>
        <v>захист від комах і гризунів</v>
      </c>
      <c r="E861" s="16" t="str">
        <f>IFERROR(__xludf.DUMMYFUNCTION("""COMPUTED_VALUE"""),"відлякувачі і пастки для комах")</f>
        <v>відлякувачі і пастки для комах</v>
      </c>
      <c r="F861" s="17">
        <f>IFERROR(__xludf.DUMMYFUNCTION("""COMPUTED_VALUE"""),4.0)</f>
        <v>4</v>
      </c>
      <c r="G861" s="17" t="str">
        <f>IFERROR(__xludf.DUMMYFUNCTION("""COMPUTED_VALUE"""),"151802")</f>
        <v>151802</v>
      </c>
      <c r="H861" s="17" t="str">
        <f>IFERROR(__xludf.DUMMYFUNCTION("""COMPUTED_VALUE"""),"відлякувачі і пастки для комах")</f>
        <v>відлякувачі і пастки для комах</v>
      </c>
      <c r="I861" s="19">
        <f>IFERROR(__xludf.DUMMYFUNCTION("""COMPUTED_VALUE"""),0.0775)</f>
        <v>0.0775</v>
      </c>
      <c r="J861" s="19">
        <f>IFERROR(__xludf.DUMMYFUNCTION("""COMPUTED_VALUE"""),0.155)</f>
        <v>0.155</v>
      </c>
      <c r="K861" s="19">
        <f>IFERROR(__xludf.DUMMYFUNCTION("""COMPUTED_VALUE"""),0.1938)</f>
        <v>0.1938</v>
      </c>
      <c r="L861" s="19">
        <f>IFERROR(__xludf.DUMMYFUNCTION("""COMPUTED_VALUE"""),0.2325)</f>
        <v>0.2325</v>
      </c>
      <c r="M861" s="18">
        <f>IFERROR(__xludf.DUMMYFUNCTION("""COMPUTED_VALUE"""),3.06)</f>
        <v>3.06</v>
      </c>
    </row>
    <row r="862">
      <c r="A862" s="13" t="str">
        <f>IFERROR(__xludf.DUMMYFUNCTION("""COMPUTED_VALUE"""),"товари")</f>
        <v>товари</v>
      </c>
      <c r="B862" s="16" t="str">
        <f>IFERROR(__xludf.DUMMYFUNCTION("""COMPUTED_VALUE"""),"товари для дому")</f>
        <v>товари для дому</v>
      </c>
      <c r="C862" s="16" t="str">
        <f>IFERROR(__xludf.DUMMYFUNCTION("""COMPUTED_VALUE"""),"догляд за будинком")</f>
        <v>догляд за будинком</v>
      </c>
      <c r="D862" s="16" t="str">
        <f>IFERROR(__xludf.DUMMYFUNCTION("""COMPUTED_VALUE"""),"захист від комах і гризунів")</f>
        <v>захист від комах і гризунів</v>
      </c>
      <c r="E862" s="16" t="str">
        <f>IFERROR(__xludf.DUMMYFUNCTION("""COMPUTED_VALUE"""),"відлякувачі тварин")</f>
        <v>відлякувачі тварин</v>
      </c>
      <c r="F862" s="17">
        <f>IFERROR(__xludf.DUMMYFUNCTION("""COMPUTED_VALUE"""),4.0)</f>
        <v>4</v>
      </c>
      <c r="G862" s="17" t="str">
        <f>IFERROR(__xludf.DUMMYFUNCTION("""COMPUTED_VALUE"""),"301904")</f>
        <v>301904</v>
      </c>
      <c r="H862" s="17" t="str">
        <f>IFERROR(__xludf.DUMMYFUNCTION("""COMPUTED_VALUE"""),"відлякувачі тварин")</f>
        <v>відлякувачі тварин</v>
      </c>
      <c r="I862" s="19">
        <f>IFERROR(__xludf.DUMMYFUNCTION("""COMPUTED_VALUE"""),0.0775)</f>
        <v>0.0775</v>
      </c>
      <c r="J862" s="19">
        <f>IFERROR(__xludf.DUMMYFUNCTION("""COMPUTED_VALUE"""),0.155)</f>
        <v>0.155</v>
      </c>
      <c r="K862" s="19">
        <f>IFERROR(__xludf.DUMMYFUNCTION("""COMPUTED_VALUE"""),0.1938)</f>
        <v>0.1938</v>
      </c>
      <c r="L862" s="19">
        <f>IFERROR(__xludf.DUMMYFUNCTION("""COMPUTED_VALUE"""),0.2325)</f>
        <v>0.2325</v>
      </c>
      <c r="M862" s="18">
        <f>IFERROR(__xludf.DUMMYFUNCTION("""COMPUTED_VALUE"""),3.06)</f>
        <v>3.06</v>
      </c>
    </row>
    <row r="863">
      <c r="A863" s="13" t="str">
        <f>IFERROR(__xludf.DUMMYFUNCTION("""COMPUTED_VALUE"""),"товари")</f>
        <v>товари</v>
      </c>
      <c r="B863" s="16" t="str">
        <f>IFERROR(__xludf.DUMMYFUNCTION("""COMPUTED_VALUE"""),"товари для дому")</f>
        <v>товари для дому</v>
      </c>
      <c r="C863" s="16" t="str">
        <f>IFERROR(__xludf.DUMMYFUNCTION("""COMPUTED_VALUE"""),"догляд за будинком")</f>
        <v>догляд за будинком</v>
      </c>
      <c r="D863" s="16" t="str">
        <f>IFERROR(__xludf.DUMMYFUNCTION("""COMPUTED_VALUE"""),"прибирання")</f>
        <v>прибирання</v>
      </c>
      <c r="E863" s="16" t="str">
        <f>IFERROR(__xludf.DUMMYFUNCTION("""COMPUTED_VALUE"""),"відра для сміття")</f>
        <v>відра для сміття</v>
      </c>
      <c r="F863" s="17">
        <f>IFERROR(__xludf.DUMMYFUNCTION("""COMPUTED_VALUE"""),4.0)</f>
        <v>4</v>
      </c>
      <c r="G863" s="17" t="str">
        <f>IFERROR(__xludf.DUMMYFUNCTION("""COMPUTED_VALUE"""),"151412")</f>
        <v>151412</v>
      </c>
      <c r="H863" s="17" t="str">
        <f>IFERROR(__xludf.DUMMYFUNCTION("""COMPUTED_VALUE"""),"відра для сміття")</f>
        <v>відра для сміття</v>
      </c>
      <c r="I863" s="19">
        <f>IFERROR(__xludf.DUMMYFUNCTION("""COMPUTED_VALUE"""),0.0729)</f>
        <v>0.0729</v>
      </c>
      <c r="J863" s="19">
        <f>IFERROR(__xludf.DUMMYFUNCTION("""COMPUTED_VALUE"""),0.1458)</f>
        <v>0.1458</v>
      </c>
      <c r="K863" s="19">
        <f>IFERROR(__xludf.DUMMYFUNCTION("""COMPUTED_VALUE"""),0.1823)</f>
        <v>0.1823</v>
      </c>
      <c r="L863" s="19">
        <f>IFERROR(__xludf.DUMMYFUNCTION("""COMPUTED_VALUE"""),0.2187)</f>
        <v>0.2187</v>
      </c>
      <c r="M863" s="18">
        <f>IFERROR(__xludf.DUMMYFUNCTION("""COMPUTED_VALUE"""),2.53)</f>
        <v>2.53</v>
      </c>
    </row>
    <row r="864">
      <c r="A864" s="13" t="str">
        <f>IFERROR(__xludf.DUMMYFUNCTION("""COMPUTED_VALUE"""),"товари")</f>
        <v>товари</v>
      </c>
      <c r="B864" s="16" t="str">
        <f>IFERROR(__xludf.DUMMYFUNCTION("""COMPUTED_VALUE"""),"товари для дому")</f>
        <v>товари для дому</v>
      </c>
      <c r="C864" s="16" t="str">
        <f>IFERROR(__xludf.DUMMYFUNCTION("""COMPUTED_VALUE"""),"аксесуари для саун і лазень")</f>
        <v>аксесуари для саун і лазень</v>
      </c>
      <c r="D864" s="16" t="str">
        <f>IFERROR(__xludf.DUMMYFUNCTION("""COMPUTED_VALUE"""),"відра і ковші для лазні та сауни")</f>
        <v>відра і ковші для лазні та сауни</v>
      </c>
      <c r="E864" s="16" t="str">
        <f>IFERROR(__xludf.DUMMYFUNCTION("""COMPUTED_VALUE"""),"відра і ковші для лазні та сауни")</f>
        <v>відра і ковші для лазні та сауни</v>
      </c>
      <c r="F864" s="17">
        <f>IFERROR(__xludf.DUMMYFUNCTION("""COMPUTED_VALUE"""),3.0)</f>
        <v>3</v>
      </c>
      <c r="G864" s="17" t="str">
        <f>IFERROR(__xludf.DUMMYFUNCTION("""COMPUTED_VALUE"""),"15050212")</f>
        <v>15050212</v>
      </c>
      <c r="H864" s="17" t="str">
        <f>IFERROR(__xludf.DUMMYFUNCTION("""COMPUTED_VALUE"""),"відра і ковші для лазні та сауни")</f>
        <v>відра і ковші для лазні та сауни</v>
      </c>
      <c r="I864" s="19">
        <f>IFERROR(__xludf.DUMMYFUNCTION("""COMPUTED_VALUE"""),0.0536)</f>
        <v>0.0536</v>
      </c>
      <c r="J864" s="19">
        <f>IFERROR(__xludf.DUMMYFUNCTION("""COMPUTED_VALUE"""),0.1071)</f>
        <v>0.1071</v>
      </c>
      <c r="K864" s="19">
        <f>IFERROR(__xludf.DUMMYFUNCTION("""COMPUTED_VALUE"""),0.1339)</f>
        <v>0.1339</v>
      </c>
      <c r="L864" s="19">
        <f>IFERROR(__xludf.DUMMYFUNCTION("""COMPUTED_VALUE"""),0.1607)</f>
        <v>0.1607</v>
      </c>
      <c r="M864" s="18">
        <f>IFERROR(__xludf.DUMMYFUNCTION("""COMPUTED_VALUE"""),3.06)</f>
        <v>3.06</v>
      </c>
    </row>
    <row r="865">
      <c r="A865" s="13" t="str">
        <f>IFERROR(__xludf.DUMMYFUNCTION("""COMPUTED_VALUE"""),"товари")</f>
        <v>товари</v>
      </c>
      <c r="B865" s="16" t="str">
        <f>IFERROR(__xludf.DUMMYFUNCTION("""COMPUTED_VALUE"""),"товари для дому")</f>
        <v>товари для дому</v>
      </c>
      <c r="C865" s="16" t="str">
        <f>IFERROR(__xludf.DUMMYFUNCTION("""COMPUTED_VALUE"""),"аксесуари для саун і лазень")</f>
        <v>аксесуари для саун і лазень</v>
      </c>
      <c r="D865" s="16" t="str">
        <f>IFERROR(__xludf.DUMMYFUNCTION("""COMPUTED_VALUE"""),"віники для лазні та сауни")</f>
        <v>віники для лазні та сауни</v>
      </c>
      <c r="E865" s="16" t="str">
        <f>IFERROR(__xludf.DUMMYFUNCTION("""COMPUTED_VALUE"""),"віники для лазні та сауни")</f>
        <v>віники для лазні та сауни</v>
      </c>
      <c r="F865" s="17">
        <f>IFERROR(__xludf.DUMMYFUNCTION("""COMPUTED_VALUE"""),3.0)</f>
        <v>3</v>
      </c>
      <c r="G865" s="17" t="str">
        <f>IFERROR(__xludf.DUMMYFUNCTION("""COMPUTED_VALUE"""),"15050209")</f>
        <v>15050209</v>
      </c>
      <c r="H865" s="17" t="str">
        <f>IFERROR(__xludf.DUMMYFUNCTION("""COMPUTED_VALUE"""),"віники для лазні та сауни")</f>
        <v>віники для лазні та сауни</v>
      </c>
      <c r="I865" s="19">
        <f>IFERROR(__xludf.DUMMYFUNCTION("""COMPUTED_VALUE"""),0.0525)</f>
        <v>0.0525</v>
      </c>
      <c r="J865" s="19">
        <f>IFERROR(__xludf.DUMMYFUNCTION("""COMPUTED_VALUE"""),0.105)</f>
        <v>0.105</v>
      </c>
      <c r="K865" s="19">
        <f>IFERROR(__xludf.DUMMYFUNCTION("""COMPUTED_VALUE"""),0.1313)</f>
        <v>0.1313</v>
      </c>
      <c r="L865" s="19">
        <f>IFERROR(__xludf.DUMMYFUNCTION("""COMPUTED_VALUE"""),0.1575)</f>
        <v>0.1575</v>
      </c>
      <c r="M865" s="18">
        <f>IFERROR(__xludf.DUMMYFUNCTION("""COMPUTED_VALUE"""),1.05)</f>
        <v>1.05</v>
      </c>
    </row>
    <row r="866">
      <c r="A866" s="13" t="str">
        <f>IFERROR(__xludf.DUMMYFUNCTION("""COMPUTED_VALUE"""),"товари")</f>
        <v>товари</v>
      </c>
      <c r="B866" s="16" t="str">
        <f>IFERROR(__xludf.DUMMYFUNCTION("""COMPUTED_VALUE"""),"товари для дому")</f>
        <v>товари для дому</v>
      </c>
      <c r="C866" s="16" t="str">
        <f>IFERROR(__xludf.DUMMYFUNCTION("""COMPUTED_VALUE"""),"посуд")</f>
        <v>посуд</v>
      </c>
      <c r="D866" s="16" t="str">
        <f>IFERROR(__xludf.DUMMYFUNCTION("""COMPUTED_VALUE"""),"кухонне приладдя")</f>
        <v>кухонне приладдя</v>
      </c>
      <c r="E866" s="16" t="str">
        <f>IFERROR(__xludf.DUMMYFUNCTION("""COMPUTED_VALUE"""),"вінчики")</f>
        <v>вінчики</v>
      </c>
      <c r="F866" s="17">
        <f>IFERROR(__xludf.DUMMYFUNCTION("""COMPUTED_VALUE"""),4.0)</f>
        <v>4</v>
      </c>
      <c r="G866" s="17" t="str">
        <f>IFERROR(__xludf.DUMMYFUNCTION("""COMPUTED_VALUE"""),"15230416")</f>
        <v>15230416</v>
      </c>
      <c r="H866" s="17" t="str">
        <f>IFERROR(__xludf.DUMMYFUNCTION("""COMPUTED_VALUE"""),"вінчики")</f>
        <v>вінчики</v>
      </c>
      <c r="I866" s="19">
        <f>IFERROR(__xludf.DUMMYFUNCTION("""COMPUTED_VALUE"""),0.078)</f>
        <v>0.078</v>
      </c>
      <c r="J866" s="19">
        <f>IFERROR(__xludf.DUMMYFUNCTION("""COMPUTED_VALUE"""),0.156)</f>
        <v>0.156</v>
      </c>
      <c r="K866" s="19">
        <f>IFERROR(__xludf.DUMMYFUNCTION("""COMPUTED_VALUE"""),0.195)</f>
        <v>0.195</v>
      </c>
      <c r="L866" s="19">
        <f>IFERROR(__xludf.DUMMYFUNCTION("""COMPUTED_VALUE"""),0.234)</f>
        <v>0.234</v>
      </c>
      <c r="M866" s="18">
        <f>IFERROR(__xludf.DUMMYFUNCTION("""COMPUTED_VALUE"""),2.08)</f>
        <v>2.08</v>
      </c>
    </row>
    <row r="867">
      <c r="A867" s="13" t="str">
        <f>IFERROR(__xludf.DUMMYFUNCTION("""COMPUTED_VALUE"""),"товари")</f>
        <v>товари</v>
      </c>
      <c r="B867" s="16" t="str">
        <f>IFERROR(__xludf.DUMMYFUNCTION("""COMPUTED_VALUE"""),"товари для дому")</f>
        <v>товари для дому</v>
      </c>
      <c r="C867" s="16" t="str">
        <f>IFERROR(__xludf.DUMMYFUNCTION("""COMPUTED_VALUE"""),"декор для дому")</f>
        <v>декор для дому</v>
      </c>
      <c r="D867" s="16" t="str">
        <f>IFERROR(__xludf.DUMMYFUNCTION("""COMPUTED_VALUE"""),"інтер'єрні аксесуари")</f>
        <v>інтер'єрні аксесуари</v>
      </c>
      <c r="E867" s="16" t="str">
        <f>IFERROR(__xludf.DUMMYFUNCTION("""COMPUTED_VALUE"""),"вітражі")</f>
        <v>вітражі</v>
      </c>
      <c r="F867" s="17">
        <f>IFERROR(__xludf.DUMMYFUNCTION("""COMPUTED_VALUE"""),4.0)</f>
        <v>4</v>
      </c>
      <c r="G867" s="17" t="str">
        <f>IFERROR(__xludf.DUMMYFUNCTION("""COMPUTED_VALUE"""),"371007")</f>
        <v>371007</v>
      </c>
      <c r="H867" s="17" t="str">
        <f>IFERROR(__xludf.DUMMYFUNCTION("""COMPUTED_VALUE"""),"вітражі")</f>
        <v>вітражі</v>
      </c>
      <c r="I867" s="19">
        <f>IFERROR(__xludf.DUMMYFUNCTION("""COMPUTED_VALUE"""),0.0733)</f>
        <v>0.0733</v>
      </c>
      <c r="J867" s="19">
        <f>IFERROR(__xludf.DUMMYFUNCTION("""COMPUTED_VALUE"""),0.1465)</f>
        <v>0.1465</v>
      </c>
      <c r="K867" s="19">
        <f>IFERROR(__xludf.DUMMYFUNCTION("""COMPUTED_VALUE"""),0.1831)</f>
        <v>0.1831</v>
      </c>
      <c r="L867" s="19">
        <f>IFERROR(__xludf.DUMMYFUNCTION("""COMPUTED_VALUE"""),0.2198)</f>
        <v>0.2198</v>
      </c>
      <c r="M867" s="18">
        <f>IFERROR(__xludf.DUMMYFUNCTION("""COMPUTED_VALUE"""),1.53)</f>
        <v>1.53</v>
      </c>
    </row>
    <row r="868">
      <c r="A868" s="13" t="str">
        <f>IFERROR(__xludf.DUMMYFUNCTION("""COMPUTED_VALUE"""),"товари")</f>
        <v>товари</v>
      </c>
      <c r="B868" s="16" t="str">
        <f>IFERROR(__xludf.DUMMYFUNCTION("""COMPUTED_VALUE"""),"товари для дому")</f>
        <v>товари для дому</v>
      </c>
      <c r="C868" s="16" t="str">
        <f>IFERROR(__xludf.DUMMYFUNCTION("""COMPUTED_VALUE"""),"декор для дому")</f>
        <v>декор для дому</v>
      </c>
      <c r="D868" s="16" t="str">
        <f>IFERROR(__xludf.DUMMYFUNCTION("""COMPUTED_VALUE"""),"декор для дому")</f>
        <v>декор для дому</v>
      </c>
      <c r="E868" s="16" t="str">
        <f>IFERROR(__xludf.DUMMYFUNCTION("""COMPUTED_VALUE"""),"аромати для дому")</f>
        <v>аромати для дому</v>
      </c>
      <c r="F868" s="17">
        <f>IFERROR(__xludf.DUMMYFUNCTION("""COMPUTED_VALUE"""),4.0)</f>
        <v>4</v>
      </c>
      <c r="G868" s="17" t="str">
        <f>IFERROR(__xludf.DUMMYFUNCTION("""COMPUTED_VALUE"""),"371039")</f>
        <v>371039</v>
      </c>
      <c r="H868" s="17" t="str">
        <f>IFERROR(__xludf.DUMMYFUNCTION("""COMPUTED_VALUE"""),"аромати для дому")</f>
        <v>аромати для дому</v>
      </c>
      <c r="I868" s="19">
        <f>IFERROR(__xludf.DUMMYFUNCTION("""COMPUTED_VALUE"""),0.125)</f>
        <v>0.125</v>
      </c>
      <c r="J868" s="19">
        <f>IFERROR(__xludf.DUMMYFUNCTION("""COMPUTED_VALUE"""),0.25)</f>
        <v>0.25</v>
      </c>
      <c r="K868" s="19">
        <f>IFERROR(__xludf.DUMMYFUNCTION("""COMPUTED_VALUE"""),0.3125)</f>
        <v>0.3125</v>
      </c>
      <c r="L868" s="19">
        <f>IFERROR(__xludf.DUMMYFUNCTION("""COMPUTED_VALUE"""),0.375)</f>
        <v>0.375</v>
      </c>
      <c r="M868" s="18">
        <f>IFERROR(__xludf.DUMMYFUNCTION("""COMPUTED_VALUE"""),4.33)</f>
        <v>4.33</v>
      </c>
    </row>
    <row r="869">
      <c r="A869" s="13" t="str">
        <f>IFERROR(__xludf.DUMMYFUNCTION("""COMPUTED_VALUE"""),"товари")</f>
        <v>товари</v>
      </c>
      <c r="B869" s="16" t="str">
        <f>IFERROR(__xludf.DUMMYFUNCTION("""COMPUTED_VALUE"""),"товари для дому")</f>
        <v>товари для дому</v>
      </c>
      <c r="C869" s="16" t="str">
        <f>IFERROR(__xludf.DUMMYFUNCTION("""COMPUTED_VALUE"""),"декор для дому")</f>
        <v>декор для дому</v>
      </c>
      <c r="D869" s="16" t="str">
        <f>IFERROR(__xludf.DUMMYFUNCTION("""COMPUTED_VALUE"""),"декор для дому")</f>
        <v>декор для дому</v>
      </c>
      <c r="E869" s="16" t="str">
        <f>IFERROR(__xludf.DUMMYFUNCTION("""COMPUTED_VALUE"""),"декор для дому")</f>
        <v>декор для дому</v>
      </c>
      <c r="F869" s="17">
        <f>IFERROR(__xludf.DUMMYFUNCTION("""COMPUTED_VALUE"""),3.0)</f>
        <v>3</v>
      </c>
      <c r="G869" s="17">
        <f>IFERROR(__xludf.DUMMYFUNCTION("""COMPUTED_VALUE"""),371038.0)</f>
        <v>371038</v>
      </c>
      <c r="H869" s="17" t="str">
        <f>IFERROR(__xludf.DUMMYFUNCTION("""COMPUTED_VALUE"""),"декор для дому")</f>
        <v>декор для дому</v>
      </c>
      <c r="I869" s="19">
        <f>IFERROR(__xludf.DUMMYFUNCTION("""COMPUTED_VALUE"""),0.0749)</f>
        <v>0.0749</v>
      </c>
      <c r="J869" s="19">
        <f>IFERROR(__xludf.DUMMYFUNCTION("""COMPUTED_VALUE"""),0.1497)</f>
        <v>0.1497</v>
      </c>
      <c r="K869" s="19">
        <f>IFERROR(__xludf.DUMMYFUNCTION("""COMPUTED_VALUE"""),0.1871)</f>
        <v>0.1871</v>
      </c>
      <c r="L869" s="19">
        <f>IFERROR(__xludf.DUMMYFUNCTION("""COMPUTED_VALUE"""),0.2246)</f>
        <v>0.2246</v>
      </c>
      <c r="M869" s="18">
        <f>IFERROR(__xludf.DUMMYFUNCTION("""COMPUTED_VALUE"""),2.53)</f>
        <v>2.53</v>
      </c>
    </row>
    <row r="870">
      <c r="A870" s="13" t="str">
        <f>IFERROR(__xludf.DUMMYFUNCTION("""COMPUTED_VALUE"""),"товари")</f>
        <v>товари</v>
      </c>
      <c r="B870" s="16" t="str">
        <f>IFERROR(__xludf.DUMMYFUNCTION("""COMPUTED_VALUE"""),"товари для дому")</f>
        <v>товари для дому</v>
      </c>
      <c r="C870" s="16" t="str">
        <f>IFERROR(__xludf.DUMMYFUNCTION("""COMPUTED_VALUE"""),"декор для дому")</f>
        <v>декор для дому</v>
      </c>
      <c r="D870" s="16" t="str">
        <f>IFERROR(__xludf.DUMMYFUNCTION("""COMPUTED_VALUE"""),"настінний декор")</f>
        <v>настінний декор</v>
      </c>
      <c r="E870" s="16" t="str">
        <f>IFERROR(__xludf.DUMMYFUNCTION("""COMPUTED_VALUE"""),"настінний декор")</f>
        <v>настінний декор</v>
      </c>
      <c r="F870" s="17">
        <f>IFERROR(__xludf.DUMMYFUNCTION("""COMPUTED_VALUE"""),3.0)</f>
        <v>3</v>
      </c>
      <c r="G870" s="17">
        <f>IFERROR(__xludf.DUMMYFUNCTION("""COMPUTED_VALUE"""),371040.0)</f>
        <v>371040</v>
      </c>
      <c r="H870" s="17" t="str">
        <f>IFERROR(__xludf.DUMMYFUNCTION("""COMPUTED_VALUE"""),"настінний декор")</f>
        <v>настінний декор</v>
      </c>
      <c r="I870" s="19">
        <f>IFERROR(__xludf.DUMMYFUNCTION("""COMPUTED_VALUE"""),0.075)</f>
        <v>0.075</v>
      </c>
      <c r="J870" s="19">
        <f>IFERROR(__xludf.DUMMYFUNCTION("""COMPUTED_VALUE"""),0.15)</f>
        <v>0.15</v>
      </c>
      <c r="K870" s="19">
        <f>IFERROR(__xludf.DUMMYFUNCTION("""COMPUTED_VALUE"""),0.1875)</f>
        <v>0.1875</v>
      </c>
      <c r="L870" s="19">
        <f>IFERROR(__xludf.DUMMYFUNCTION("""COMPUTED_VALUE"""),0.225)</f>
        <v>0.225</v>
      </c>
      <c r="M870" s="18">
        <f>IFERROR(__xludf.DUMMYFUNCTION("""COMPUTED_VALUE"""),2.16)</f>
        <v>2.16</v>
      </c>
    </row>
    <row r="871">
      <c r="A871" s="13" t="str">
        <f>IFERROR(__xludf.DUMMYFUNCTION("""COMPUTED_VALUE"""),"товари")</f>
        <v>товари</v>
      </c>
      <c r="B871" s="16" t="str">
        <f>IFERROR(__xludf.DUMMYFUNCTION("""COMPUTED_VALUE"""),"товари для дому")</f>
        <v>товари для дому</v>
      </c>
      <c r="C871" s="16" t="str">
        <f>IFERROR(__xludf.DUMMYFUNCTION("""COMPUTED_VALUE"""),"декор для дому")</f>
        <v>декор для дому</v>
      </c>
      <c r="D871" s="16" t="str">
        <f>IFERROR(__xludf.DUMMYFUNCTION("""COMPUTED_VALUE"""),"настінний декор")</f>
        <v>настінний декор</v>
      </c>
      <c r="E871" s="16" t="str">
        <f>IFERROR(__xludf.DUMMYFUNCTION("""COMPUTED_VALUE"""),"настінний декор")</f>
        <v>настінний декор</v>
      </c>
      <c r="F871" s="17">
        <f>IFERROR(__xludf.DUMMYFUNCTION("""COMPUTED_VALUE"""),4.0)</f>
        <v>4</v>
      </c>
      <c r="G871" s="17">
        <f>IFERROR(__xludf.DUMMYFUNCTION("""COMPUTED_VALUE"""),371041.0)</f>
        <v>371041</v>
      </c>
      <c r="H871" s="17" t="str">
        <f>IFERROR(__xludf.DUMMYFUNCTION("""COMPUTED_VALUE"""),"настінний декор")</f>
        <v>настінний декор</v>
      </c>
      <c r="I871" s="19">
        <f>IFERROR(__xludf.DUMMYFUNCTION("""COMPUTED_VALUE"""),0.125)</f>
        <v>0.125</v>
      </c>
      <c r="J871" s="19">
        <f>IFERROR(__xludf.DUMMYFUNCTION("""COMPUTED_VALUE"""),0.25)</f>
        <v>0.25</v>
      </c>
      <c r="K871" s="19">
        <f>IFERROR(__xludf.DUMMYFUNCTION("""COMPUTED_VALUE"""),0.3125)</f>
        <v>0.3125</v>
      </c>
      <c r="L871" s="19">
        <f>IFERROR(__xludf.DUMMYFUNCTION("""COMPUTED_VALUE"""),0.375)</f>
        <v>0.375</v>
      </c>
      <c r="M871" s="18">
        <f>IFERROR(__xludf.DUMMYFUNCTION("""COMPUTED_VALUE"""),4.33)</f>
        <v>4.33</v>
      </c>
    </row>
    <row r="872">
      <c r="A872" s="13" t="str">
        <f>IFERROR(__xludf.DUMMYFUNCTION("""COMPUTED_VALUE"""),"товари")</f>
        <v>товари</v>
      </c>
      <c r="B872" s="16" t="str">
        <f>IFERROR(__xludf.DUMMYFUNCTION("""COMPUTED_VALUE"""),"товари для дому")</f>
        <v>товари для дому</v>
      </c>
      <c r="C872" s="16" t="str">
        <f>IFERROR(__xludf.DUMMYFUNCTION("""COMPUTED_VALUE"""),"декор для дому")</f>
        <v>декор для дому</v>
      </c>
      <c r="D872" s="16" t="str">
        <f>IFERROR(__xludf.DUMMYFUNCTION("""COMPUTED_VALUE"""),"настінний декор")</f>
        <v>настінний декор</v>
      </c>
      <c r="E872" s="16" t="str">
        <f>IFERROR(__xludf.DUMMYFUNCTION("""COMPUTED_VALUE"""),"постери і плакати")</f>
        <v>постери і плакати</v>
      </c>
      <c r="F872" s="17">
        <f>IFERROR(__xludf.DUMMYFUNCTION("""COMPUTED_VALUE"""),4.0)</f>
        <v>4</v>
      </c>
      <c r="G872" s="17">
        <f>IFERROR(__xludf.DUMMYFUNCTION("""COMPUTED_VALUE"""),371042.0)</f>
        <v>371042</v>
      </c>
      <c r="H872" s="17" t="str">
        <f>IFERROR(__xludf.DUMMYFUNCTION("""COMPUTED_VALUE"""),"постери і плакати")</f>
        <v>постери і плакати</v>
      </c>
      <c r="I872" s="19">
        <f>IFERROR(__xludf.DUMMYFUNCTION("""COMPUTED_VALUE"""),0.075)</f>
        <v>0.075</v>
      </c>
      <c r="J872" s="19">
        <f>IFERROR(__xludf.DUMMYFUNCTION("""COMPUTED_VALUE"""),0.15)</f>
        <v>0.15</v>
      </c>
      <c r="K872" s="19">
        <f>IFERROR(__xludf.DUMMYFUNCTION("""COMPUTED_VALUE"""),0.1875)</f>
        <v>0.1875</v>
      </c>
      <c r="L872" s="19">
        <f>IFERROR(__xludf.DUMMYFUNCTION("""COMPUTED_VALUE"""),0.225)</f>
        <v>0.225</v>
      </c>
      <c r="M872" s="18">
        <f>IFERROR(__xludf.DUMMYFUNCTION("""COMPUTED_VALUE"""),2.16)</f>
        <v>2.16</v>
      </c>
    </row>
    <row r="873">
      <c r="A873" s="13" t="str">
        <f>IFERROR(__xludf.DUMMYFUNCTION("""COMPUTED_VALUE"""),"товари")</f>
        <v>товари</v>
      </c>
      <c r="B873" s="16" t="str">
        <f>IFERROR(__xludf.DUMMYFUNCTION("""COMPUTED_VALUE"""),"товари для дому")</f>
        <v>товари для дому</v>
      </c>
      <c r="C873" s="16" t="str">
        <f>IFERROR(__xludf.DUMMYFUNCTION("""COMPUTED_VALUE"""),"декор для дому")</f>
        <v>декор для дому</v>
      </c>
      <c r="D873" s="16" t="str">
        <f>IFERROR(__xludf.DUMMYFUNCTION("""COMPUTED_VALUE"""),"настінний декор")</f>
        <v>настінний декор</v>
      </c>
      <c r="E873" s="16" t="str">
        <f>IFERROR(__xludf.DUMMYFUNCTION("""COMPUTED_VALUE"""),"панно")</f>
        <v>панно</v>
      </c>
      <c r="F873" s="17">
        <f>IFERROR(__xludf.DUMMYFUNCTION("""COMPUTED_VALUE"""),4.0)</f>
        <v>4</v>
      </c>
      <c r="G873" s="17">
        <f>IFERROR(__xludf.DUMMYFUNCTION("""COMPUTED_VALUE"""),371043.0)</f>
        <v>371043</v>
      </c>
      <c r="H873" s="17" t="str">
        <f>IFERROR(__xludf.DUMMYFUNCTION("""COMPUTED_VALUE"""),"панно")</f>
        <v>панно</v>
      </c>
      <c r="I873" s="19">
        <f>IFERROR(__xludf.DUMMYFUNCTION("""COMPUTED_VALUE"""),0.075)</f>
        <v>0.075</v>
      </c>
      <c r="J873" s="19">
        <f>IFERROR(__xludf.DUMMYFUNCTION("""COMPUTED_VALUE"""),0.15)</f>
        <v>0.15</v>
      </c>
      <c r="K873" s="19">
        <f>IFERROR(__xludf.DUMMYFUNCTION("""COMPUTED_VALUE"""),0.1875)</f>
        <v>0.1875</v>
      </c>
      <c r="L873" s="19">
        <f>IFERROR(__xludf.DUMMYFUNCTION("""COMPUTED_VALUE"""),0.225)</f>
        <v>0.225</v>
      </c>
      <c r="M873" s="18">
        <f>IFERROR(__xludf.DUMMYFUNCTION("""COMPUTED_VALUE"""),2.16)</f>
        <v>2.16</v>
      </c>
    </row>
    <row r="874">
      <c r="A874" s="13" t="str">
        <f>IFERROR(__xludf.DUMMYFUNCTION("""COMPUTED_VALUE"""),"товари")</f>
        <v>товари</v>
      </c>
      <c r="B874" s="16" t="str">
        <f>IFERROR(__xludf.DUMMYFUNCTION("""COMPUTED_VALUE"""),"товари для дому")</f>
        <v>товари для дому</v>
      </c>
      <c r="C874" s="16" t="str">
        <f>IFERROR(__xludf.DUMMYFUNCTION("""COMPUTED_VALUE"""),"декор для дому")</f>
        <v>декор для дому</v>
      </c>
      <c r="D874" s="16" t="str">
        <f>IFERROR(__xludf.DUMMYFUNCTION("""COMPUTED_VALUE"""),"настінний декор")</f>
        <v>настінний декор</v>
      </c>
      <c r="E874" s="16" t="str">
        <f>IFERROR(__xludf.DUMMYFUNCTION("""COMPUTED_VALUE"""),"мудборди")</f>
        <v>мудборди</v>
      </c>
      <c r="F874" s="17">
        <f>IFERROR(__xludf.DUMMYFUNCTION("""COMPUTED_VALUE"""),4.0)</f>
        <v>4</v>
      </c>
      <c r="G874" s="17">
        <f>IFERROR(__xludf.DUMMYFUNCTION("""COMPUTED_VALUE"""),371044.0)</f>
        <v>371044</v>
      </c>
      <c r="H874" s="17" t="str">
        <f>IFERROR(__xludf.DUMMYFUNCTION("""COMPUTED_VALUE"""),"мудборди")</f>
        <v>мудборди</v>
      </c>
      <c r="I874" s="19">
        <f>IFERROR(__xludf.DUMMYFUNCTION("""COMPUTED_VALUE"""),0.075)</f>
        <v>0.075</v>
      </c>
      <c r="J874" s="19">
        <f>IFERROR(__xludf.DUMMYFUNCTION("""COMPUTED_VALUE"""),0.15)</f>
        <v>0.15</v>
      </c>
      <c r="K874" s="19">
        <f>IFERROR(__xludf.DUMMYFUNCTION("""COMPUTED_VALUE"""),0.1875)</f>
        <v>0.1875</v>
      </c>
      <c r="L874" s="19">
        <f>IFERROR(__xludf.DUMMYFUNCTION("""COMPUTED_VALUE"""),0.225)</f>
        <v>0.225</v>
      </c>
      <c r="M874" s="18">
        <f>IFERROR(__xludf.DUMMYFUNCTION("""COMPUTED_VALUE"""),2.16)</f>
        <v>2.16</v>
      </c>
    </row>
    <row r="875">
      <c r="A875" s="13" t="str">
        <f>IFERROR(__xludf.DUMMYFUNCTION("""COMPUTED_VALUE"""),"товари")</f>
        <v>товари</v>
      </c>
      <c r="B875" s="16" t="str">
        <f>IFERROR(__xludf.DUMMYFUNCTION("""COMPUTED_VALUE"""),"товари для дому")</f>
        <v>товари для дому</v>
      </c>
      <c r="C875" s="16" t="str">
        <f>IFERROR(__xludf.DUMMYFUNCTION("""COMPUTED_VALUE"""),"декор для дому")</f>
        <v>декор для дому</v>
      </c>
      <c r="D875" s="16" t="str">
        <f>IFERROR(__xludf.DUMMYFUNCTION("""COMPUTED_VALUE"""),"настінний декор")</f>
        <v>настінний декор</v>
      </c>
      <c r="E875" s="16" t="str">
        <f>IFERROR(__xludf.DUMMYFUNCTION("""COMPUTED_VALUE"""),"магнітні дошки")</f>
        <v>магнітні дошки</v>
      </c>
      <c r="F875" s="17">
        <f>IFERROR(__xludf.DUMMYFUNCTION("""COMPUTED_VALUE"""),4.0)</f>
        <v>4</v>
      </c>
      <c r="G875" s="17">
        <f>IFERROR(__xludf.DUMMYFUNCTION("""COMPUTED_VALUE"""),371045.0)</f>
        <v>371045</v>
      </c>
      <c r="H875" s="17" t="str">
        <f>IFERROR(__xludf.DUMMYFUNCTION("""COMPUTED_VALUE"""),"магнітні дошки")</f>
        <v>магнітні дошки</v>
      </c>
      <c r="I875" s="19">
        <f>IFERROR(__xludf.DUMMYFUNCTION("""COMPUTED_VALUE"""),0.075)</f>
        <v>0.075</v>
      </c>
      <c r="J875" s="19">
        <f>IFERROR(__xludf.DUMMYFUNCTION("""COMPUTED_VALUE"""),0.15)</f>
        <v>0.15</v>
      </c>
      <c r="K875" s="19">
        <f>IFERROR(__xludf.DUMMYFUNCTION("""COMPUTED_VALUE"""),0.1875)</f>
        <v>0.1875</v>
      </c>
      <c r="L875" s="19">
        <f>IFERROR(__xludf.DUMMYFUNCTION("""COMPUTED_VALUE"""),0.225)</f>
        <v>0.225</v>
      </c>
      <c r="M875" s="18">
        <f>IFERROR(__xludf.DUMMYFUNCTION("""COMPUTED_VALUE"""),2.16)</f>
        <v>2.16</v>
      </c>
    </row>
    <row r="876">
      <c r="A876" s="13" t="str">
        <f>IFERROR(__xludf.DUMMYFUNCTION("""COMPUTED_VALUE"""),"товари")</f>
        <v>товари</v>
      </c>
      <c r="B876" s="16" t="str">
        <f>IFERROR(__xludf.DUMMYFUNCTION("""COMPUTED_VALUE"""),"товари для дому")</f>
        <v>товари для дому</v>
      </c>
      <c r="C876" s="16" t="str">
        <f>IFERROR(__xludf.DUMMYFUNCTION("""COMPUTED_VALUE"""),"меблі")</f>
        <v>меблі</v>
      </c>
      <c r="D876" s="16" t="str">
        <f>IFERROR(__xludf.DUMMYFUNCTION("""COMPUTED_VALUE"""),"шафи")</f>
        <v>шафи</v>
      </c>
      <c r="E876" s="16" t="str">
        <f>IFERROR(__xludf.DUMMYFUNCTION("""COMPUTED_VALUE"""),"вітрини для вітальні")</f>
        <v>вітрини для вітальні</v>
      </c>
      <c r="F876" s="17">
        <f>IFERROR(__xludf.DUMMYFUNCTION("""COMPUTED_VALUE"""),4.0)</f>
        <v>4</v>
      </c>
      <c r="G876" s="17" t="str">
        <f>IFERROR(__xludf.DUMMYFUNCTION("""COMPUTED_VALUE"""),"37034014")</f>
        <v>37034014</v>
      </c>
      <c r="H876" s="17" t="str">
        <f>IFERROR(__xludf.DUMMYFUNCTION("""COMPUTED_VALUE"""),"вітрини для вітальні")</f>
        <v>вітрини для вітальні</v>
      </c>
      <c r="I876" s="19">
        <f>IFERROR(__xludf.DUMMYFUNCTION("""COMPUTED_VALUE"""),0.0681)</f>
        <v>0.0681</v>
      </c>
      <c r="J876" s="19">
        <f>IFERROR(__xludf.DUMMYFUNCTION("""COMPUTED_VALUE"""),0.1361)</f>
        <v>0.1361</v>
      </c>
      <c r="K876" s="19">
        <f>IFERROR(__xludf.DUMMYFUNCTION("""COMPUTED_VALUE"""),0.1701)</f>
        <v>0.1701</v>
      </c>
      <c r="L876" s="19">
        <f>IFERROR(__xludf.DUMMYFUNCTION("""COMPUTED_VALUE"""),0.2042)</f>
        <v>0.2042</v>
      </c>
      <c r="M876" s="18">
        <f>IFERROR(__xludf.DUMMYFUNCTION("""COMPUTED_VALUE"""),3.15)</f>
        <v>3.15</v>
      </c>
    </row>
    <row r="877">
      <c r="A877" s="13" t="str">
        <f>IFERROR(__xludf.DUMMYFUNCTION("""COMPUTED_VALUE"""),"товари")</f>
        <v>товари</v>
      </c>
      <c r="B877" s="16" t="str">
        <f>IFERROR(__xludf.DUMMYFUNCTION("""COMPUTED_VALUE"""),"товари для дому")</f>
        <v>товари для дому</v>
      </c>
      <c r="C877" s="16" t="str">
        <f>IFERROR(__xludf.DUMMYFUNCTION("""COMPUTED_VALUE"""),"меблі")</f>
        <v>меблі</v>
      </c>
      <c r="D877" s="16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877" s="16" t="str">
        <f>IFERROR(__xludf.DUMMYFUNCTION("""COMPUTED_VALUE"""),"вішалки для одягу")</f>
        <v>вішалки для одягу</v>
      </c>
      <c r="F877" s="17">
        <f>IFERROR(__xludf.DUMMYFUNCTION("""COMPUTED_VALUE"""),4.0)</f>
        <v>4</v>
      </c>
      <c r="G877" s="17" t="str">
        <f>IFERROR(__xludf.DUMMYFUNCTION("""COMPUTED_VALUE"""),"37034006")</f>
        <v>37034006</v>
      </c>
      <c r="H877" s="17" t="str">
        <f>IFERROR(__xludf.DUMMYFUNCTION("""COMPUTED_VALUE"""),"вішалки для одягу")</f>
        <v>вішалки для одягу</v>
      </c>
      <c r="I877" s="19">
        <f>IFERROR(__xludf.DUMMYFUNCTION("""COMPUTED_VALUE"""),0.0665)</f>
        <v>0.0665</v>
      </c>
      <c r="J877" s="19">
        <f>IFERROR(__xludf.DUMMYFUNCTION("""COMPUTED_VALUE"""),0.133)</f>
        <v>0.133</v>
      </c>
      <c r="K877" s="19">
        <f>IFERROR(__xludf.DUMMYFUNCTION("""COMPUTED_VALUE"""),0.1663)</f>
        <v>0.1663</v>
      </c>
      <c r="L877" s="19">
        <f>IFERROR(__xludf.DUMMYFUNCTION("""COMPUTED_VALUE"""),0.1995)</f>
        <v>0.1995</v>
      </c>
      <c r="M877" s="18">
        <f>IFERROR(__xludf.DUMMYFUNCTION("""COMPUTED_VALUE"""),2.79)</f>
        <v>2.79</v>
      </c>
    </row>
    <row r="878">
      <c r="A878" s="13" t="str">
        <f>IFERROR(__xludf.DUMMYFUNCTION("""COMPUTED_VALUE"""),"товари")</f>
        <v>товари</v>
      </c>
      <c r="B878" s="16" t="str">
        <f>IFERROR(__xludf.DUMMYFUNCTION("""COMPUTED_VALUE"""),"товари для дому")</f>
        <v>товари для дому</v>
      </c>
      <c r="C878" s="16" t="str">
        <f>IFERROR(__xludf.DUMMYFUNCTION("""COMPUTED_VALUE"""),"меблі")</f>
        <v>меблі</v>
      </c>
      <c r="D878" s="16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878" s="16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F878" s="17">
        <f>IFERROR(__xludf.DUMMYFUNCTION("""COMPUTED_VALUE"""),3.0)</f>
        <v>3</v>
      </c>
      <c r="G878" s="17" t="str">
        <f>IFERROR(__xludf.DUMMYFUNCTION("""COMPUTED_VALUE"""),"150342")</f>
        <v>150342</v>
      </c>
      <c r="H878" s="17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I878" s="19">
        <f>IFERROR(__xludf.DUMMYFUNCTION("""COMPUTED_VALUE"""),0.0665)</f>
        <v>0.0665</v>
      </c>
      <c r="J878" s="19">
        <f>IFERROR(__xludf.DUMMYFUNCTION("""COMPUTED_VALUE"""),0.133)</f>
        <v>0.133</v>
      </c>
      <c r="K878" s="19">
        <f>IFERROR(__xludf.DUMMYFUNCTION("""COMPUTED_VALUE"""),0.1663)</f>
        <v>0.1663</v>
      </c>
      <c r="L878" s="19">
        <f>IFERROR(__xludf.DUMMYFUNCTION("""COMPUTED_VALUE"""),0.1995)</f>
        <v>0.1995</v>
      </c>
      <c r="M878" s="18">
        <f>IFERROR(__xludf.DUMMYFUNCTION("""COMPUTED_VALUE"""),2.79)</f>
        <v>2.79</v>
      </c>
    </row>
    <row r="879">
      <c r="A879" s="13" t="str">
        <f>IFERROR(__xludf.DUMMYFUNCTION("""COMPUTED_VALUE"""),"товари")</f>
        <v>товари</v>
      </c>
      <c r="B879" s="16" t="str">
        <f>IFERROR(__xludf.DUMMYFUNCTION("""COMPUTED_VALUE"""),"товари для дому")</f>
        <v>товари для дому</v>
      </c>
      <c r="C879" s="16" t="str">
        <f>IFERROR(__xludf.DUMMYFUNCTION("""COMPUTED_VALUE"""),"меблі")</f>
        <v>меблі</v>
      </c>
      <c r="D879" s="16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879" s="16" t="str">
        <f>IFERROR(__xludf.DUMMYFUNCTION("""COMPUTED_VALUE"""),"вішалки та підставки для одягу та аксесуарів, загальне")</f>
        <v>вішалки та підставки для одягу та аксесуарів, загальне</v>
      </c>
      <c r="F879" s="17">
        <f>IFERROR(__xludf.DUMMYFUNCTION("""COMPUTED_VALUE"""),4.0)</f>
        <v>4</v>
      </c>
      <c r="G879" s="17" t="str">
        <f>IFERROR(__xludf.DUMMYFUNCTION("""COMPUTED_VALUE"""),"15034201")</f>
        <v>15034201</v>
      </c>
      <c r="H879" s="17" t="str">
        <f>IFERROR(__xludf.DUMMYFUNCTION("""COMPUTED_VALUE"""),"вішалки та підставки для одягу та аксесуарів, загальне")</f>
        <v>вішалки та підставки для одягу та аксесуарів, загальне</v>
      </c>
      <c r="I879" s="19">
        <f>IFERROR(__xludf.DUMMYFUNCTION("""COMPUTED_VALUE"""),0.125)</f>
        <v>0.125</v>
      </c>
      <c r="J879" s="19">
        <f>IFERROR(__xludf.DUMMYFUNCTION("""COMPUTED_VALUE"""),0.25)</f>
        <v>0.25</v>
      </c>
      <c r="K879" s="19">
        <f>IFERROR(__xludf.DUMMYFUNCTION("""COMPUTED_VALUE"""),0.3125)</f>
        <v>0.3125</v>
      </c>
      <c r="L879" s="19">
        <f>IFERROR(__xludf.DUMMYFUNCTION("""COMPUTED_VALUE"""),0.375)</f>
        <v>0.375</v>
      </c>
      <c r="M879" s="18">
        <f>IFERROR(__xludf.DUMMYFUNCTION("""COMPUTED_VALUE"""),4.33)</f>
        <v>4.33</v>
      </c>
    </row>
    <row r="880">
      <c r="A880" s="13" t="str">
        <f>IFERROR(__xludf.DUMMYFUNCTION("""COMPUTED_VALUE"""),"товари")</f>
        <v>товари</v>
      </c>
      <c r="B880" s="16" t="str">
        <f>IFERROR(__xludf.DUMMYFUNCTION("""COMPUTED_VALUE"""),"товари для дому")</f>
        <v>товари для дому</v>
      </c>
      <c r="C880" s="16" t="str">
        <f>IFERROR(__xludf.DUMMYFUNCTION("""COMPUTED_VALUE"""),"догляд за будинком")</f>
        <v>догляд за будинком</v>
      </c>
      <c r="D880" s="16" t="str">
        <f>IFERROR(__xludf.DUMMYFUNCTION("""COMPUTED_VALUE"""),"догляд за меблями")</f>
        <v>догляд за меблями</v>
      </c>
      <c r="E880" s="16" t="str">
        <f>IFERROR(__xludf.DUMMYFUNCTION("""COMPUTED_VALUE"""),"воски для дерева і дерев'яних виробів")</f>
        <v>воски для дерева і дерев'яних виробів</v>
      </c>
      <c r="F880" s="17">
        <f>IFERROR(__xludf.DUMMYFUNCTION("""COMPUTED_VALUE"""),4.0)</f>
        <v>4</v>
      </c>
      <c r="G880" s="17" t="str">
        <f>IFERROR(__xludf.DUMMYFUNCTION("""COMPUTED_VALUE"""),"15031502")</f>
        <v>15031502</v>
      </c>
      <c r="H880" s="17" t="str">
        <f>IFERROR(__xludf.DUMMYFUNCTION("""COMPUTED_VALUE"""),"воски для дерева і дерев'яних виробів")</f>
        <v>воски для дерева і дерев'яних виробів</v>
      </c>
      <c r="I880" s="19">
        <f>IFERROR(__xludf.DUMMYFUNCTION("""COMPUTED_VALUE"""),0.0553)</f>
        <v>0.0553</v>
      </c>
      <c r="J880" s="19">
        <f>IFERROR(__xludf.DUMMYFUNCTION("""COMPUTED_VALUE"""),0.1105)</f>
        <v>0.1105</v>
      </c>
      <c r="K880" s="19">
        <f>IFERROR(__xludf.DUMMYFUNCTION("""COMPUTED_VALUE"""),0.1381)</f>
        <v>0.1381</v>
      </c>
      <c r="L880" s="19">
        <f>IFERROR(__xludf.DUMMYFUNCTION("""COMPUTED_VALUE"""),0.1658)</f>
        <v>0.1658</v>
      </c>
      <c r="M880" s="18">
        <f>IFERROR(__xludf.DUMMYFUNCTION("""COMPUTED_VALUE"""),1.53)</f>
        <v>1.53</v>
      </c>
    </row>
    <row r="881">
      <c r="A881" s="13" t="str">
        <f>IFERROR(__xludf.DUMMYFUNCTION("""COMPUTED_VALUE"""),"товари")</f>
        <v>товари</v>
      </c>
      <c r="B881" s="16" t="str">
        <f>IFERROR(__xludf.DUMMYFUNCTION("""COMPUTED_VALUE"""),"товари для дому")</f>
        <v>товари для дому</v>
      </c>
      <c r="C881" s="16" t="str">
        <f>IFERROR(__xludf.DUMMYFUNCTION("""COMPUTED_VALUE""")," все для консервації")</f>
        <v> все для консервації</v>
      </c>
      <c r="D881" s="16" t="str">
        <f>IFERROR(__xludf.DUMMYFUNCTION("""COMPUTED_VALUE""")," все для консервації, загальне")</f>
        <v> все для консервації, загальне</v>
      </c>
      <c r="E881" s="16" t="str">
        <f>IFERROR(__xludf.DUMMYFUNCTION("""COMPUTED_VALUE""")," все для консервації, загальне")</f>
        <v> все для консервації, загальне</v>
      </c>
      <c r="F881" s="17">
        <f>IFERROR(__xludf.DUMMYFUNCTION("""COMPUTED_VALUE"""),3.0)</f>
        <v>3</v>
      </c>
      <c r="G881" s="17" t="str">
        <f>IFERROR(__xludf.DUMMYFUNCTION("""COMPUTED_VALUE"""),"16101")</f>
        <v>16101</v>
      </c>
      <c r="H881" s="17" t="str">
        <f>IFERROR(__xludf.DUMMYFUNCTION("""COMPUTED_VALUE""")," все для консервації, загальне")</f>
        <v> все для консервації, загальне</v>
      </c>
      <c r="I881" s="19">
        <f>IFERROR(__xludf.DUMMYFUNCTION("""COMPUTED_VALUE"""),0.125)</f>
        <v>0.125</v>
      </c>
      <c r="J881" s="19">
        <f>IFERROR(__xludf.DUMMYFUNCTION("""COMPUTED_VALUE"""),0.25)</f>
        <v>0.25</v>
      </c>
      <c r="K881" s="19">
        <f>IFERROR(__xludf.DUMMYFUNCTION("""COMPUTED_VALUE"""),0.3125)</f>
        <v>0.3125</v>
      </c>
      <c r="L881" s="19">
        <f>IFERROR(__xludf.DUMMYFUNCTION("""COMPUTED_VALUE"""),0.375)</f>
        <v>0.375</v>
      </c>
      <c r="M881" s="18">
        <f>IFERROR(__xludf.DUMMYFUNCTION("""COMPUTED_VALUE"""),4.33)</f>
        <v>4.33</v>
      </c>
    </row>
    <row r="882">
      <c r="A882" s="13" t="str">
        <f>IFERROR(__xludf.DUMMYFUNCTION("""COMPUTED_VALUE"""),"товари")</f>
        <v>товари</v>
      </c>
      <c r="B882" s="16" t="str">
        <f>IFERROR(__xludf.DUMMYFUNCTION("""COMPUTED_VALUE"""),"дача, сад і город")</f>
        <v>дача, сад і город</v>
      </c>
      <c r="C882" s="16" t="str">
        <f>IFERROR(__xludf.DUMMYFUNCTION("""COMPUTED_VALUE"""),"обладнання для поливу")</f>
        <v>обладнання для поливу</v>
      </c>
      <c r="D882" s="16" t="str">
        <f>IFERROR(__xludf.DUMMYFUNCTION("""COMPUTED_VALUE"""),"все для поливу, загальне")</f>
        <v>все для поливу, загальне</v>
      </c>
      <c r="E882" s="16" t="str">
        <f>IFERROR(__xludf.DUMMYFUNCTION("""COMPUTED_VALUE"""),"все для поливу, загальне")</f>
        <v>все для поливу, загальне</v>
      </c>
      <c r="F882" s="17">
        <f>IFERROR(__xludf.DUMMYFUNCTION("""COMPUTED_VALUE"""),3.0)</f>
        <v>3</v>
      </c>
      <c r="G882" s="17" t="str">
        <f>IFERROR(__xludf.DUMMYFUNCTION("""COMPUTED_VALUE"""),"1250330")</f>
        <v>1250330</v>
      </c>
      <c r="H882" s="17" t="str">
        <f>IFERROR(__xludf.DUMMYFUNCTION("""COMPUTED_VALUE"""),"все для поливу, загальне")</f>
        <v>все для поливу, загальне</v>
      </c>
      <c r="I882" s="19">
        <f>IFERROR(__xludf.DUMMYFUNCTION("""COMPUTED_VALUE"""),0.125)</f>
        <v>0.125</v>
      </c>
      <c r="J882" s="19">
        <f>IFERROR(__xludf.DUMMYFUNCTION("""COMPUTED_VALUE"""),0.25)</f>
        <v>0.25</v>
      </c>
      <c r="K882" s="19">
        <f>IFERROR(__xludf.DUMMYFUNCTION("""COMPUTED_VALUE"""),0.3125)</f>
        <v>0.3125</v>
      </c>
      <c r="L882" s="19">
        <f>IFERROR(__xludf.DUMMYFUNCTION("""COMPUTED_VALUE"""),0.375)</f>
        <v>0.375</v>
      </c>
      <c r="M882" s="18">
        <f>IFERROR(__xludf.DUMMYFUNCTION("""COMPUTED_VALUE"""),4.33)</f>
        <v>4.33</v>
      </c>
    </row>
    <row r="883">
      <c r="A883" s="13" t="str">
        <f>IFERROR(__xludf.DUMMYFUNCTION("""COMPUTED_VALUE"""),"товари")</f>
        <v>товари</v>
      </c>
      <c r="B883" s="16" t="str">
        <f>IFERROR(__xludf.DUMMYFUNCTION("""COMPUTED_VALUE"""),"дача, сад і город")</f>
        <v>дача, сад і город</v>
      </c>
      <c r="C883" s="16" t="str">
        <f>IFERROR(__xludf.DUMMYFUNCTION("""COMPUTED_VALUE"""),"снігоприбиральний інвентар")</f>
        <v>снігоприбиральний інвентар</v>
      </c>
      <c r="D883" s="16" t="str">
        <f>IFERROR(__xludf.DUMMYFUNCTION("""COMPUTED_VALUE"""),"вуличні льодоруби")</f>
        <v>вуличні льодоруби</v>
      </c>
      <c r="E883" s="16" t="str">
        <f>IFERROR(__xludf.DUMMYFUNCTION("""COMPUTED_VALUE"""),"вуличні льодоруби")</f>
        <v>вуличні льодоруби</v>
      </c>
      <c r="F883" s="17">
        <f>IFERROR(__xludf.DUMMYFUNCTION("""COMPUTED_VALUE"""),3.0)</f>
        <v>3</v>
      </c>
      <c r="G883" s="17" t="str">
        <f>IFERROR(__xludf.DUMMYFUNCTION("""COMPUTED_VALUE"""),"1250332")</f>
        <v>1250332</v>
      </c>
      <c r="H883" s="17" t="str">
        <f>IFERROR(__xludf.DUMMYFUNCTION("""COMPUTED_VALUE"""),"вуличні льодоруби")</f>
        <v>вуличні льодоруби</v>
      </c>
      <c r="I883" s="19">
        <f>IFERROR(__xludf.DUMMYFUNCTION("""COMPUTED_VALUE"""),0.0678)</f>
        <v>0.0678</v>
      </c>
      <c r="J883" s="19">
        <f>IFERROR(__xludf.DUMMYFUNCTION("""COMPUTED_VALUE"""),0.1355)</f>
        <v>0.1355</v>
      </c>
      <c r="K883" s="19">
        <f>IFERROR(__xludf.DUMMYFUNCTION("""COMPUTED_VALUE"""),0.1694)</f>
        <v>0.1694</v>
      </c>
      <c r="L883" s="19">
        <f>IFERROR(__xludf.DUMMYFUNCTION("""COMPUTED_VALUE"""),0.2033)</f>
        <v>0.2033</v>
      </c>
      <c r="M883" s="18">
        <f>IFERROR(__xludf.DUMMYFUNCTION("""COMPUTED_VALUE"""),1.71)</f>
        <v>1.71</v>
      </c>
    </row>
    <row r="884">
      <c r="A884" s="13" t="str">
        <f>IFERROR(__xludf.DUMMYFUNCTION("""COMPUTED_VALUE"""),"товари")</f>
        <v>товари</v>
      </c>
      <c r="B884" s="16" t="str">
        <f>IFERROR(__xludf.DUMMYFUNCTION("""COMPUTED_VALUE"""),"дача, сад і город")</f>
        <v>дача, сад і город</v>
      </c>
      <c r="C884" s="16" t="str">
        <f>IFERROR(__xludf.DUMMYFUNCTION("""COMPUTED_VALUE"""),"садові рослини і ґрунти")</f>
        <v>садові рослини і ґрунти</v>
      </c>
      <c r="D884" s="16" t="str">
        <f>IFERROR(__xludf.DUMMYFUNCTION("""COMPUTED_VALUE"""),"газони рулонні")</f>
        <v>газони рулонні</v>
      </c>
      <c r="E884" s="16" t="str">
        <f>IFERROR(__xludf.DUMMYFUNCTION("""COMPUTED_VALUE"""),"газони рулонні")</f>
        <v>газони рулонні</v>
      </c>
      <c r="F884" s="17">
        <f>IFERROR(__xludf.DUMMYFUNCTION("""COMPUTED_VALUE"""),3.0)</f>
        <v>3</v>
      </c>
      <c r="G884" s="17" t="str">
        <f>IFERROR(__xludf.DUMMYFUNCTION("""COMPUTED_VALUE"""),"1140108")</f>
        <v>1140108</v>
      </c>
      <c r="H884" s="17" t="str">
        <f>IFERROR(__xludf.DUMMYFUNCTION("""COMPUTED_VALUE"""),"газони рулонні")</f>
        <v>газони рулонні</v>
      </c>
      <c r="I884" s="19">
        <f>IFERROR(__xludf.DUMMYFUNCTION("""COMPUTED_VALUE"""),0.0793)</f>
        <v>0.0793</v>
      </c>
      <c r="J884" s="19">
        <f>IFERROR(__xludf.DUMMYFUNCTION("""COMPUTED_VALUE"""),0.1586)</f>
        <v>0.1586</v>
      </c>
      <c r="K884" s="19">
        <f>IFERROR(__xludf.DUMMYFUNCTION("""COMPUTED_VALUE"""),0.1983)</f>
        <v>0.1983</v>
      </c>
      <c r="L884" s="19">
        <f>IFERROR(__xludf.DUMMYFUNCTION("""COMPUTED_VALUE"""),0.2379)</f>
        <v>0.2379</v>
      </c>
      <c r="M884" s="18">
        <f>IFERROR(__xludf.DUMMYFUNCTION("""COMPUTED_VALUE"""),2.53)</f>
        <v>2.53</v>
      </c>
    </row>
    <row r="885">
      <c r="A885" s="13" t="str">
        <f>IFERROR(__xludf.DUMMYFUNCTION("""COMPUTED_VALUE"""),"товари")</f>
        <v>товари</v>
      </c>
      <c r="B885" s="16" t="str">
        <f>IFERROR(__xludf.DUMMYFUNCTION("""COMPUTED_VALUE"""),"дача, сад і город")</f>
        <v>дача, сад і город</v>
      </c>
      <c r="C885" s="16" t="str">
        <f>IFERROR(__xludf.DUMMYFUNCTION("""COMPUTED_VALUE"""),"інструмент для скошування трави")</f>
        <v>інструмент для скошування трави</v>
      </c>
      <c r="D885" s="16" t="str">
        <f>IFERROR(__xludf.DUMMYFUNCTION("""COMPUTED_VALUE"""),"газонокосарки")</f>
        <v>газонокосарки</v>
      </c>
      <c r="E885" s="16" t="str">
        <f>IFERROR(__xludf.DUMMYFUNCTION("""COMPUTED_VALUE"""),"газонокосарки")</f>
        <v>газонокосарки</v>
      </c>
      <c r="F885" s="17">
        <f>IFERROR(__xludf.DUMMYFUNCTION("""COMPUTED_VALUE"""),3.0)</f>
        <v>3</v>
      </c>
      <c r="G885" s="17" t="str">
        <f>IFERROR(__xludf.DUMMYFUNCTION("""COMPUTED_VALUE"""),"1250308")</f>
        <v>1250308</v>
      </c>
      <c r="H885" s="17" t="str">
        <f>IFERROR(__xludf.DUMMYFUNCTION("""COMPUTED_VALUE"""),"газонокосарки")</f>
        <v>газонокосарки</v>
      </c>
      <c r="I885" s="19">
        <f>IFERROR(__xludf.DUMMYFUNCTION("""COMPUTED_VALUE"""),0.0474)</f>
        <v>0.0474</v>
      </c>
      <c r="J885" s="19">
        <f>IFERROR(__xludf.DUMMYFUNCTION("""COMPUTED_VALUE"""),0.0947)</f>
        <v>0.0947</v>
      </c>
      <c r="K885" s="19">
        <f>IFERROR(__xludf.DUMMYFUNCTION("""COMPUTED_VALUE"""),0.1184)</f>
        <v>0.1184</v>
      </c>
      <c r="L885" s="19">
        <f>IFERROR(__xludf.DUMMYFUNCTION("""COMPUTED_VALUE"""),0.1421)</f>
        <v>0.1421</v>
      </c>
      <c r="M885" s="18">
        <f>IFERROR(__xludf.DUMMYFUNCTION("""COMPUTED_VALUE"""),1.53)</f>
        <v>1.53</v>
      </c>
    </row>
    <row r="886">
      <c r="A886" s="13" t="str">
        <f>IFERROR(__xludf.DUMMYFUNCTION("""COMPUTED_VALUE"""),"товари")</f>
        <v>товари</v>
      </c>
      <c r="B886" s="16" t="str">
        <f>IFERROR(__xludf.DUMMYFUNCTION("""COMPUTED_VALUE"""),"товари для дому")</f>
        <v>товари для дому</v>
      </c>
      <c r="C886" s="16" t="str">
        <f>IFERROR(__xludf.DUMMYFUNCTION("""COMPUTED_VALUE"""),"меблі")</f>
        <v>меблі</v>
      </c>
      <c r="D886" s="16" t="str">
        <f>IFERROR(__xludf.DUMMYFUNCTION("""COMPUTED_VALUE"""),"садові й пляжні меблі")</f>
        <v>садові й пляжні меблі</v>
      </c>
      <c r="E886" s="16" t="str">
        <f>IFERROR(__xludf.DUMMYFUNCTION("""COMPUTED_VALUE"""),"гамаки")</f>
        <v>гамаки</v>
      </c>
      <c r="F886" s="17">
        <f>IFERROR(__xludf.DUMMYFUNCTION("""COMPUTED_VALUE"""),4.0)</f>
        <v>4</v>
      </c>
      <c r="G886" s="17" t="str">
        <f>IFERROR(__xludf.DUMMYFUNCTION("""COMPUTED_VALUE"""),"12509")</f>
        <v>12509</v>
      </c>
      <c r="H886" s="17" t="str">
        <f>IFERROR(__xludf.DUMMYFUNCTION("""COMPUTED_VALUE"""),"гамаки")</f>
        <v>гамаки</v>
      </c>
      <c r="I886" s="19">
        <f>IFERROR(__xludf.DUMMYFUNCTION("""COMPUTED_VALUE"""),0.0665)</f>
        <v>0.0665</v>
      </c>
      <c r="J886" s="19">
        <f>IFERROR(__xludf.DUMMYFUNCTION("""COMPUTED_VALUE"""),0.133)</f>
        <v>0.133</v>
      </c>
      <c r="K886" s="19">
        <f>IFERROR(__xludf.DUMMYFUNCTION("""COMPUTED_VALUE"""),0.1663)</f>
        <v>0.1663</v>
      </c>
      <c r="L886" s="19">
        <f>IFERROR(__xludf.DUMMYFUNCTION("""COMPUTED_VALUE"""),0.1995)</f>
        <v>0.1995</v>
      </c>
      <c r="M886" s="18">
        <f>IFERROR(__xludf.DUMMYFUNCTION("""COMPUTED_VALUE"""),3.6)</f>
        <v>3.6</v>
      </c>
    </row>
    <row r="887">
      <c r="A887" s="13" t="str">
        <f>IFERROR(__xludf.DUMMYFUNCTION("""COMPUTED_VALUE"""),"товари")</f>
        <v>товари</v>
      </c>
      <c r="B887" s="16" t="str">
        <f>IFERROR(__xludf.DUMMYFUNCTION("""COMPUTED_VALUE"""),"товари для дому")</f>
        <v>товари для дому</v>
      </c>
      <c r="C887" s="16" t="str">
        <f>IFERROR(__xludf.DUMMYFUNCTION("""COMPUTED_VALUE"""),"догляд за будинком")</f>
        <v>догляд за будинком</v>
      </c>
      <c r="D887" s="16" t="str">
        <f>IFERROR(__xludf.DUMMYFUNCTION("""COMPUTED_VALUE"""),"прибирання")</f>
        <v>прибирання</v>
      </c>
      <c r="E887" s="16" t="str">
        <f>IFERROR(__xludf.DUMMYFUNCTION("""COMPUTED_VALUE"""),"ганчірки і серветки для прибирання")</f>
        <v>ганчірки і серветки для прибирання</v>
      </c>
      <c r="F887" s="17">
        <f>IFERROR(__xludf.DUMMYFUNCTION("""COMPUTED_VALUE"""),4.0)</f>
        <v>4</v>
      </c>
      <c r="G887" s="17" t="str">
        <f>IFERROR(__xludf.DUMMYFUNCTION("""COMPUTED_VALUE"""),"151403")</f>
        <v>151403</v>
      </c>
      <c r="H887" s="17" t="str">
        <f>IFERROR(__xludf.DUMMYFUNCTION("""COMPUTED_VALUE"""),"ганчірки і серветки для прибирання")</f>
        <v>ганчірки і серветки для прибирання</v>
      </c>
      <c r="I887" s="19">
        <f>IFERROR(__xludf.DUMMYFUNCTION("""COMPUTED_VALUE"""),0.0752)</f>
        <v>0.0752</v>
      </c>
      <c r="J887" s="19">
        <f>IFERROR(__xludf.DUMMYFUNCTION("""COMPUTED_VALUE"""),0.1503)</f>
        <v>0.1503</v>
      </c>
      <c r="K887" s="19">
        <f>IFERROR(__xludf.DUMMYFUNCTION("""COMPUTED_VALUE"""),0.1879)</f>
        <v>0.1879</v>
      </c>
      <c r="L887" s="19">
        <f>IFERROR(__xludf.DUMMYFUNCTION("""COMPUTED_VALUE"""),0.2255)</f>
        <v>0.2255</v>
      </c>
      <c r="M887" s="18">
        <f>IFERROR(__xludf.DUMMYFUNCTION("""COMPUTED_VALUE"""),2.53)</f>
        <v>2.53</v>
      </c>
    </row>
    <row r="888">
      <c r="A888" s="13" t="str">
        <f>IFERROR(__xludf.DUMMYFUNCTION("""COMPUTED_VALUE"""),"товари")</f>
        <v>товари</v>
      </c>
      <c r="B888" s="16" t="str">
        <f>IFERROR(__xludf.DUMMYFUNCTION("""COMPUTED_VALUE"""),"товари для дому")</f>
        <v>товари для дому</v>
      </c>
      <c r="C888" s="16" t="str">
        <f>IFERROR(__xludf.DUMMYFUNCTION("""COMPUTED_VALUE"""),"меблі")</f>
        <v>меблі</v>
      </c>
      <c r="D888" s="16" t="str">
        <f>IFERROR(__xludf.DUMMYFUNCTION("""COMPUTED_VALUE"""),"комплектуючі для меблів")</f>
        <v>комплектуючі для меблів</v>
      </c>
      <c r="E888" s="16" t="str">
        <f>IFERROR(__xludf.DUMMYFUNCTION("""COMPUTED_VALUE"""),"гардеробні системи")</f>
        <v>гардеробні системи</v>
      </c>
      <c r="F888" s="17">
        <f>IFERROR(__xludf.DUMMYFUNCTION("""COMPUTED_VALUE"""),4.0)</f>
        <v>4</v>
      </c>
      <c r="G888" s="17" t="str">
        <f>IFERROR(__xludf.DUMMYFUNCTION("""COMPUTED_VALUE"""),"370812")</f>
        <v>370812</v>
      </c>
      <c r="H888" s="17" t="str">
        <f>IFERROR(__xludf.DUMMYFUNCTION("""COMPUTED_VALUE"""),"гардеробні системи")</f>
        <v>гардеробні системи</v>
      </c>
      <c r="I888" s="19">
        <f>IFERROR(__xludf.DUMMYFUNCTION("""COMPUTED_VALUE"""),0.0665)</f>
        <v>0.0665</v>
      </c>
      <c r="J888" s="19">
        <f>IFERROR(__xludf.DUMMYFUNCTION("""COMPUTED_VALUE"""),0.133)</f>
        <v>0.133</v>
      </c>
      <c r="K888" s="19">
        <f>IFERROR(__xludf.DUMMYFUNCTION("""COMPUTED_VALUE"""),0.1663)</f>
        <v>0.1663</v>
      </c>
      <c r="L888" s="19">
        <f>IFERROR(__xludf.DUMMYFUNCTION("""COMPUTED_VALUE"""),0.1995)</f>
        <v>0.1995</v>
      </c>
      <c r="M888" s="18">
        <f>IFERROR(__xludf.DUMMYFUNCTION("""COMPUTED_VALUE"""),1.98)</f>
        <v>1.98</v>
      </c>
    </row>
    <row r="889">
      <c r="A889" s="13" t="str">
        <f>IFERROR(__xludf.DUMMYFUNCTION("""COMPUTED_VALUE"""),"товари")</f>
        <v>товари</v>
      </c>
      <c r="B889" s="16" t="str">
        <f>IFERROR(__xludf.DUMMYFUNCTION("""COMPUTED_VALUE"""),"товари для дому")</f>
        <v>товари для дому</v>
      </c>
      <c r="C889" s="16" t="str">
        <f>IFERROR(__xludf.DUMMYFUNCTION("""COMPUTED_VALUE"""),"текстиль")</f>
        <v>текстиль</v>
      </c>
      <c r="D889" s="16" t="str">
        <f>IFERROR(__xludf.DUMMYFUNCTION("""COMPUTED_VALUE"""),"оформлення вікон")</f>
        <v>оформлення вікон</v>
      </c>
      <c r="E889" s="16" t="str">
        <f>IFERROR(__xludf.DUMMYFUNCTION("""COMPUTED_VALUE"""),"тюль")</f>
        <v>тюль</v>
      </c>
      <c r="F889" s="17">
        <f>IFERROR(__xludf.DUMMYFUNCTION("""COMPUTED_VALUE"""),4.0)</f>
        <v>4</v>
      </c>
      <c r="G889" s="17" t="str">
        <f>IFERROR(__xludf.DUMMYFUNCTION("""COMPUTED_VALUE"""),"4050202")</f>
        <v>4050202</v>
      </c>
      <c r="H889" s="17" t="str">
        <f>IFERROR(__xludf.DUMMYFUNCTION("""COMPUTED_VALUE"""),"тюль")</f>
        <v>тюль</v>
      </c>
      <c r="I889" s="19">
        <f>IFERROR(__xludf.DUMMYFUNCTION("""COMPUTED_VALUE"""),0.0748)</f>
        <v>0.0748</v>
      </c>
      <c r="J889" s="19">
        <f>IFERROR(__xludf.DUMMYFUNCTION("""COMPUTED_VALUE"""),0.1496)</f>
        <v>0.1496</v>
      </c>
      <c r="K889" s="19">
        <f>IFERROR(__xludf.DUMMYFUNCTION("""COMPUTED_VALUE"""),0.187)</f>
        <v>0.187</v>
      </c>
      <c r="L889" s="19">
        <f>IFERROR(__xludf.DUMMYFUNCTION("""COMPUTED_VALUE"""),0.2244)</f>
        <v>0.2244</v>
      </c>
      <c r="M889" s="18">
        <f>IFERROR(__xludf.DUMMYFUNCTION("""COMPUTED_VALUE"""),1.53)</f>
        <v>1.53</v>
      </c>
    </row>
    <row r="890">
      <c r="A890" s="13" t="str">
        <f>IFERROR(__xludf.DUMMYFUNCTION("""COMPUTED_VALUE"""),"товари")</f>
        <v>товари</v>
      </c>
      <c r="B890" s="16" t="str">
        <f>IFERROR(__xludf.DUMMYFUNCTION("""COMPUTED_VALUE"""),"дача, сад і город")</f>
        <v>дача, сад і город</v>
      </c>
      <c r="C890" s="16" t="str">
        <f>IFERROR(__xludf.DUMMYFUNCTION("""COMPUTED_VALUE"""),"садовий інвентар і освітлення")</f>
        <v>садовий інвентар і освітлення</v>
      </c>
      <c r="D890" s="16" t="str">
        <f>IFERROR(__xludf.DUMMYFUNCTION("""COMPUTED_VALUE"""),"гасові та газові лампи")</f>
        <v>гасові та газові лампи</v>
      </c>
      <c r="E890" s="16" t="str">
        <f>IFERROR(__xludf.DUMMYFUNCTION("""COMPUTED_VALUE"""),"гасові та газові лампи")</f>
        <v>гасові та газові лампи</v>
      </c>
      <c r="F890" s="17">
        <f>IFERROR(__xludf.DUMMYFUNCTION("""COMPUTED_VALUE"""),3.0)</f>
        <v>3</v>
      </c>
      <c r="G890" s="17" t="str">
        <f>IFERROR(__xludf.DUMMYFUNCTION("""COMPUTED_VALUE"""),"152306")</f>
        <v>152306</v>
      </c>
      <c r="H890" s="17" t="str">
        <f>IFERROR(__xludf.DUMMYFUNCTION("""COMPUTED_VALUE"""),"гасові та газові лампи")</f>
        <v>гасові та газові лампи</v>
      </c>
      <c r="I890" s="19">
        <f>IFERROR(__xludf.DUMMYFUNCTION("""COMPUTED_VALUE"""),0.0741)</f>
        <v>0.0741</v>
      </c>
      <c r="J890" s="19">
        <f>IFERROR(__xludf.DUMMYFUNCTION("""COMPUTED_VALUE"""),0.1482)</f>
        <v>0.1482</v>
      </c>
      <c r="K890" s="19">
        <f>IFERROR(__xludf.DUMMYFUNCTION("""COMPUTED_VALUE"""),0.1853)</f>
        <v>0.1853</v>
      </c>
      <c r="L890" s="19">
        <f>IFERROR(__xludf.DUMMYFUNCTION("""COMPUTED_VALUE"""),0.2223)</f>
        <v>0.2223</v>
      </c>
      <c r="M890" s="18">
        <f>IFERROR(__xludf.DUMMYFUNCTION("""COMPUTED_VALUE"""),3.06)</f>
        <v>3.06</v>
      </c>
    </row>
    <row r="891">
      <c r="A891" s="13" t="str">
        <f>IFERROR(__xludf.DUMMYFUNCTION("""COMPUTED_VALUE"""),"товари")</f>
        <v>товари</v>
      </c>
      <c r="B891" s="16" t="str">
        <f>IFERROR(__xludf.DUMMYFUNCTION("""COMPUTED_VALUE"""),"товари для дому")</f>
        <v>товари для дому</v>
      </c>
      <c r="C891" s="16" t="str">
        <f>IFERROR(__xludf.DUMMYFUNCTION("""COMPUTED_VALUE"""),"декор для дому")</f>
        <v>декор для дому</v>
      </c>
      <c r="D891" s="16" t="str">
        <f>IFERROR(__xludf.DUMMYFUNCTION("""COMPUTED_VALUE"""),"годинники та барометри")</f>
        <v>годинники та барометри</v>
      </c>
      <c r="E891" s="16" t="str">
        <f>IFERROR(__xludf.DUMMYFUNCTION("""COMPUTED_VALUE"""),"годинники для дому")</f>
        <v>годинники для дому</v>
      </c>
      <c r="F891" s="17">
        <f>IFERROR(__xludf.DUMMYFUNCTION("""COMPUTED_VALUE"""),4.0)</f>
        <v>4</v>
      </c>
      <c r="G891" s="17" t="str">
        <f>IFERROR(__xludf.DUMMYFUNCTION("""COMPUTED_VALUE"""),"152805")</f>
        <v>152805</v>
      </c>
      <c r="H891" s="17" t="str">
        <f>IFERROR(__xludf.DUMMYFUNCTION("""COMPUTED_VALUE"""),"годинники для дому")</f>
        <v>годинники для дому</v>
      </c>
      <c r="I891" s="19">
        <f>IFERROR(__xludf.DUMMYFUNCTION("""COMPUTED_VALUE"""),0.075)</f>
        <v>0.075</v>
      </c>
      <c r="J891" s="19">
        <f>IFERROR(__xludf.DUMMYFUNCTION("""COMPUTED_VALUE"""),0.15)</f>
        <v>0.15</v>
      </c>
      <c r="K891" s="19">
        <f>IFERROR(__xludf.DUMMYFUNCTION("""COMPUTED_VALUE"""),0.1875)</f>
        <v>0.1875</v>
      </c>
      <c r="L891" s="19">
        <f>IFERROR(__xludf.DUMMYFUNCTION("""COMPUTED_VALUE"""),0.225)</f>
        <v>0.225</v>
      </c>
      <c r="M891" s="18">
        <f>IFERROR(__xludf.DUMMYFUNCTION("""COMPUTED_VALUE"""),2.7)</f>
        <v>2.7</v>
      </c>
    </row>
    <row r="892">
      <c r="A892" s="13" t="str">
        <f>IFERROR(__xludf.DUMMYFUNCTION("""COMPUTED_VALUE"""),"товари")</f>
        <v>товари</v>
      </c>
      <c r="B892" s="16" t="str">
        <f>IFERROR(__xludf.DUMMYFUNCTION("""COMPUTED_VALUE"""),"товари для дому")</f>
        <v>товари для дому</v>
      </c>
      <c r="C892" s="16" t="str">
        <f>IFERROR(__xludf.DUMMYFUNCTION("""COMPUTED_VALUE"""),"декор для дому")</f>
        <v>декор для дому</v>
      </c>
      <c r="D892" s="16" t="str">
        <f>IFERROR(__xludf.DUMMYFUNCTION("""COMPUTED_VALUE"""),"годинники та барометри")</f>
        <v>годинники та барометри</v>
      </c>
      <c r="E892" s="16" t="str">
        <f>IFERROR(__xludf.DUMMYFUNCTION("""COMPUTED_VALUE"""),"годинники, загальне")</f>
        <v>годинники, загальне</v>
      </c>
      <c r="F892" s="17">
        <f>IFERROR(__xludf.DUMMYFUNCTION("""COMPUTED_VALUE"""),4.0)</f>
        <v>4</v>
      </c>
      <c r="G892" s="17" t="str">
        <f>IFERROR(__xludf.DUMMYFUNCTION("""COMPUTED_VALUE"""),"152899")</f>
        <v>152899</v>
      </c>
      <c r="H892" s="17" t="str">
        <f>IFERROR(__xludf.DUMMYFUNCTION("""COMPUTED_VALUE"""),"годинники, загальне")</f>
        <v>годинники, загальне</v>
      </c>
      <c r="I892" s="19">
        <f>IFERROR(__xludf.DUMMYFUNCTION("""COMPUTED_VALUE"""),0.125)</f>
        <v>0.125</v>
      </c>
      <c r="J892" s="19">
        <f>IFERROR(__xludf.DUMMYFUNCTION("""COMPUTED_VALUE"""),0.25)</f>
        <v>0.25</v>
      </c>
      <c r="K892" s="19">
        <f>IFERROR(__xludf.DUMMYFUNCTION("""COMPUTED_VALUE"""),0.3125)</f>
        <v>0.3125</v>
      </c>
      <c r="L892" s="19">
        <f>IFERROR(__xludf.DUMMYFUNCTION("""COMPUTED_VALUE"""),0.375)</f>
        <v>0.375</v>
      </c>
      <c r="M892" s="18">
        <f>IFERROR(__xludf.DUMMYFUNCTION("""COMPUTED_VALUE"""),4.33)</f>
        <v>4.33</v>
      </c>
    </row>
    <row r="893">
      <c r="A893" s="13" t="str">
        <f>IFERROR(__xludf.DUMMYFUNCTION("""COMPUTED_VALUE"""),"товари")</f>
        <v>товари</v>
      </c>
      <c r="B893" s="16" t="str">
        <f>IFERROR(__xludf.DUMMYFUNCTION("""COMPUTED_VALUE"""),"товари для дому")</f>
        <v>товари для дому</v>
      </c>
      <c r="C893" s="16" t="str">
        <f>IFERROR(__xludf.DUMMYFUNCTION("""COMPUTED_VALUE"""),"декор для дому")</f>
        <v>декор для дому</v>
      </c>
      <c r="D893" s="16" t="str">
        <f>IFERROR(__xludf.DUMMYFUNCTION("""COMPUTED_VALUE"""),"годинники та барометри")</f>
        <v>годинники та барометри</v>
      </c>
      <c r="E893" s="16" t="str">
        <f>IFERROR(__xludf.DUMMYFUNCTION("""COMPUTED_VALUE"""),"годинникові механізми та деталі")</f>
        <v>годинникові механізми та деталі</v>
      </c>
      <c r="F893" s="17">
        <f>IFERROR(__xludf.DUMMYFUNCTION("""COMPUTED_VALUE"""),4.0)</f>
        <v>4</v>
      </c>
      <c r="G893" s="17" t="str">
        <f>IFERROR(__xludf.DUMMYFUNCTION("""COMPUTED_VALUE"""),"36110740")</f>
        <v>36110740</v>
      </c>
      <c r="H893" s="17" t="str">
        <f>IFERROR(__xludf.DUMMYFUNCTION("""COMPUTED_VALUE"""),"годинникові механізми та деталі")</f>
        <v>годинникові механізми та деталі</v>
      </c>
      <c r="I893" s="19">
        <f>IFERROR(__xludf.DUMMYFUNCTION("""COMPUTED_VALUE"""),0.103)</f>
        <v>0.103</v>
      </c>
      <c r="J893" s="19">
        <f>IFERROR(__xludf.DUMMYFUNCTION("""COMPUTED_VALUE"""),0.2059)</f>
        <v>0.2059</v>
      </c>
      <c r="K893" s="19">
        <f>IFERROR(__xludf.DUMMYFUNCTION("""COMPUTED_VALUE"""),0.2574)</f>
        <v>0.2574</v>
      </c>
      <c r="L893" s="19">
        <f>IFERROR(__xludf.DUMMYFUNCTION("""COMPUTED_VALUE"""),0.3089)</f>
        <v>0.3089</v>
      </c>
      <c r="M893" s="18">
        <f>IFERROR(__xludf.DUMMYFUNCTION("""COMPUTED_VALUE"""),2.7)</f>
        <v>2.7</v>
      </c>
    </row>
    <row r="894">
      <c r="A894" s="13" t="str">
        <f>IFERROR(__xludf.DUMMYFUNCTION("""COMPUTED_VALUE"""),"товари")</f>
        <v>товари</v>
      </c>
      <c r="B894" s="16" t="str">
        <f>IFERROR(__xludf.DUMMYFUNCTION("""COMPUTED_VALUE"""),"товари для дому")</f>
        <v>товари для дому</v>
      </c>
      <c r="C894" s="16" t="str">
        <f>IFERROR(__xludf.DUMMYFUNCTION("""COMPUTED_VALUE"""),"догляд за будинком")</f>
        <v>догляд за будинком</v>
      </c>
      <c r="D894" s="16" t="str">
        <f>IFERROR(__xludf.DUMMYFUNCTION("""COMPUTED_VALUE"""),"прибирання")</f>
        <v>прибирання</v>
      </c>
      <c r="E894" s="16" t="str">
        <f>IFERROR(__xludf.DUMMYFUNCTION("""COMPUTED_VALUE"""),"господарські відра ")</f>
        <v>господарські відра </v>
      </c>
      <c r="F894" s="17">
        <f>IFERROR(__xludf.DUMMYFUNCTION("""COMPUTED_VALUE"""),4.0)</f>
        <v>4</v>
      </c>
      <c r="G894" s="17" t="str">
        <f>IFERROR(__xludf.DUMMYFUNCTION("""COMPUTED_VALUE"""),"151413")</f>
        <v>151413</v>
      </c>
      <c r="H894" s="17" t="str">
        <f>IFERROR(__xludf.DUMMYFUNCTION("""COMPUTED_VALUE"""),"господарські відра ")</f>
        <v>господарські відра </v>
      </c>
      <c r="I894" s="19">
        <f>IFERROR(__xludf.DUMMYFUNCTION("""COMPUTED_VALUE"""),0.0765)</f>
        <v>0.0765</v>
      </c>
      <c r="J894" s="19">
        <f>IFERROR(__xludf.DUMMYFUNCTION("""COMPUTED_VALUE"""),0.1529)</f>
        <v>0.1529</v>
      </c>
      <c r="K894" s="19">
        <f>IFERROR(__xludf.DUMMYFUNCTION("""COMPUTED_VALUE"""),0.1911)</f>
        <v>0.1911</v>
      </c>
      <c r="L894" s="19">
        <f>IFERROR(__xludf.DUMMYFUNCTION("""COMPUTED_VALUE"""),0.2294)</f>
        <v>0.2294</v>
      </c>
      <c r="M894" s="18">
        <f>IFERROR(__xludf.DUMMYFUNCTION("""COMPUTED_VALUE"""),2.53)</f>
        <v>2.53</v>
      </c>
    </row>
    <row r="895">
      <c r="A895" s="13" t="str">
        <f>IFERROR(__xludf.DUMMYFUNCTION("""COMPUTED_VALUE"""),"товари")</f>
        <v>товари</v>
      </c>
      <c r="B895" s="16" t="str">
        <f>IFERROR(__xludf.DUMMYFUNCTION("""COMPUTED_VALUE"""),"товари для дому")</f>
        <v>товари для дому</v>
      </c>
      <c r="C895" s="16" t="str">
        <f>IFERROR(__xludf.DUMMYFUNCTION("""COMPUTED_VALUE"""),"догляд за будинком")</f>
        <v>догляд за будинком</v>
      </c>
      <c r="D895" s="16" t="str">
        <f>IFERROR(__xludf.DUMMYFUNCTION("""COMPUTED_VALUE"""),"прибирання")</f>
        <v>прибирання</v>
      </c>
      <c r="E895" s="16" t="str">
        <f>IFERROR(__xludf.DUMMYFUNCTION("""COMPUTED_VALUE"""),"господарські рукавички ")</f>
        <v>господарські рукавички </v>
      </c>
      <c r="F895" s="17">
        <f>IFERROR(__xludf.DUMMYFUNCTION("""COMPUTED_VALUE"""),4.0)</f>
        <v>4</v>
      </c>
      <c r="G895" s="17" t="str">
        <f>IFERROR(__xludf.DUMMYFUNCTION("""COMPUTED_VALUE"""),"151406")</f>
        <v>151406</v>
      </c>
      <c r="H895" s="17" t="str">
        <f>IFERROR(__xludf.DUMMYFUNCTION("""COMPUTED_VALUE"""),"господарські рукавички ")</f>
        <v>господарські рукавички </v>
      </c>
      <c r="I895" s="19">
        <f>IFERROR(__xludf.DUMMYFUNCTION("""COMPUTED_VALUE"""),0.0762)</f>
        <v>0.0762</v>
      </c>
      <c r="J895" s="19">
        <f>IFERROR(__xludf.DUMMYFUNCTION("""COMPUTED_VALUE"""),0.1523)</f>
        <v>0.1523</v>
      </c>
      <c r="K895" s="19">
        <f>IFERROR(__xludf.DUMMYFUNCTION("""COMPUTED_VALUE"""),0.1904)</f>
        <v>0.1904</v>
      </c>
      <c r="L895" s="19">
        <f>IFERROR(__xludf.DUMMYFUNCTION("""COMPUTED_VALUE"""),0.2285)</f>
        <v>0.2285</v>
      </c>
      <c r="M895" s="18">
        <f>IFERROR(__xludf.DUMMYFUNCTION("""COMPUTED_VALUE"""),2.53)</f>
        <v>2.53</v>
      </c>
    </row>
    <row r="896">
      <c r="A896" s="13" t="str">
        <f>IFERROR(__xludf.DUMMYFUNCTION("""COMPUTED_VALUE"""),"товари")</f>
        <v>товари</v>
      </c>
      <c r="B896" s="16" t="str">
        <f>IFERROR(__xludf.DUMMYFUNCTION("""COMPUTED_VALUE"""),"товари для дому")</f>
        <v>товари для дому</v>
      </c>
      <c r="C896" s="16" t="str">
        <f>IFERROR(__xludf.DUMMYFUNCTION("""COMPUTED_VALUE"""),"догляд за будинком")</f>
        <v>догляд за будинком</v>
      </c>
      <c r="D896" s="16" t="str">
        <f>IFERROR(__xludf.DUMMYFUNCTION("""COMPUTED_VALUE"""),"прання і прасування")</f>
        <v>прання і прасування</v>
      </c>
      <c r="E896" s="16" t="str">
        <f>IFERROR(__xludf.DUMMYFUNCTION("""COMPUTED_VALUE"""),"господарські тази ")</f>
        <v>господарські тази </v>
      </c>
      <c r="F896" s="17">
        <f>IFERROR(__xludf.DUMMYFUNCTION("""COMPUTED_VALUE"""),4.0)</f>
        <v>4</v>
      </c>
      <c r="G896" s="17" t="str">
        <f>IFERROR(__xludf.DUMMYFUNCTION("""COMPUTED_VALUE"""),"151407")</f>
        <v>151407</v>
      </c>
      <c r="H896" s="17" t="str">
        <f>IFERROR(__xludf.DUMMYFUNCTION("""COMPUTED_VALUE"""),"господарські тази ")</f>
        <v>господарські тази </v>
      </c>
      <c r="I896" s="19">
        <f>IFERROR(__xludf.DUMMYFUNCTION("""COMPUTED_VALUE"""),0.0752)</f>
        <v>0.0752</v>
      </c>
      <c r="J896" s="19">
        <f>IFERROR(__xludf.DUMMYFUNCTION("""COMPUTED_VALUE"""),0.1503)</f>
        <v>0.1503</v>
      </c>
      <c r="K896" s="19">
        <f>IFERROR(__xludf.DUMMYFUNCTION("""COMPUTED_VALUE"""),0.1879)</f>
        <v>0.1879</v>
      </c>
      <c r="L896" s="19">
        <f>IFERROR(__xludf.DUMMYFUNCTION("""COMPUTED_VALUE"""),0.2255)</f>
        <v>0.2255</v>
      </c>
      <c r="M896" s="18">
        <f>IFERROR(__xludf.DUMMYFUNCTION("""COMPUTED_VALUE"""),1.98)</f>
        <v>1.98</v>
      </c>
    </row>
    <row r="897">
      <c r="A897" s="13" t="str">
        <f>IFERROR(__xludf.DUMMYFUNCTION("""COMPUTED_VALUE"""),"товари")</f>
        <v>товари</v>
      </c>
      <c r="B897" s="16" t="str">
        <f>IFERROR(__xludf.DUMMYFUNCTION("""COMPUTED_VALUE"""),"дача, сад і город")</f>
        <v>дача, сад і город</v>
      </c>
      <c r="C897" s="16" t="str">
        <f>IFERROR(__xludf.DUMMYFUNCTION("""COMPUTED_VALUE"""),"інструменти для обробки грунту")</f>
        <v>інструменти для обробки грунту</v>
      </c>
      <c r="D897" s="16" t="str">
        <f>IFERROR(__xludf.DUMMYFUNCTION("""COMPUTED_VALUE"""),"граблі")</f>
        <v>граблі</v>
      </c>
      <c r="E897" s="16" t="str">
        <f>IFERROR(__xludf.DUMMYFUNCTION("""COMPUTED_VALUE"""),"граблі")</f>
        <v>граблі</v>
      </c>
      <c r="F897" s="17">
        <f>IFERROR(__xludf.DUMMYFUNCTION("""COMPUTED_VALUE"""),3.0)</f>
        <v>3</v>
      </c>
      <c r="G897" s="17" t="str">
        <f>IFERROR(__xludf.DUMMYFUNCTION("""COMPUTED_VALUE"""),"1250313")</f>
        <v>1250313</v>
      </c>
      <c r="H897" s="17" t="str">
        <f>IFERROR(__xludf.DUMMYFUNCTION("""COMPUTED_VALUE"""),"граблі")</f>
        <v>граблі</v>
      </c>
      <c r="I897" s="19">
        <f>IFERROR(__xludf.DUMMYFUNCTION("""COMPUTED_VALUE"""),0.0737)</f>
        <v>0.0737</v>
      </c>
      <c r="J897" s="19">
        <f>IFERROR(__xludf.DUMMYFUNCTION("""COMPUTED_VALUE"""),0.1473)</f>
        <v>0.1473</v>
      </c>
      <c r="K897" s="19">
        <f>IFERROR(__xludf.DUMMYFUNCTION("""COMPUTED_VALUE"""),0.1841)</f>
        <v>0.1841</v>
      </c>
      <c r="L897" s="19">
        <f>IFERROR(__xludf.DUMMYFUNCTION("""COMPUTED_VALUE"""),0.221)</f>
        <v>0.221</v>
      </c>
      <c r="M897" s="18">
        <f>IFERROR(__xludf.DUMMYFUNCTION("""COMPUTED_VALUE"""),1.71)</f>
        <v>1.71</v>
      </c>
    </row>
    <row r="898">
      <c r="A898" s="13" t="str">
        <f>IFERROR(__xludf.DUMMYFUNCTION("""COMPUTED_VALUE"""),"товари")</f>
        <v>товари</v>
      </c>
      <c r="B898" s="16" t="str">
        <f>IFERROR(__xludf.DUMMYFUNCTION("""COMPUTED_VALUE"""),"товари для дому")</f>
        <v>товари для дому</v>
      </c>
      <c r="C898" s="16" t="str">
        <f>IFERROR(__xludf.DUMMYFUNCTION("""COMPUTED_VALUE"""),"посуд")</f>
        <v>посуд</v>
      </c>
      <c r="D898" s="16" t="str">
        <f>IFERROR(__xludf.DUMMYFUNCTION("""COMPUTED_VALUE"""),"столовий посуд")</f>
        <v>столовий посуд</v>
      </c>
      <c r="E898" s="16" t="str">
        <f>IFERROR(__xludf.DUMMYFUNCTION("""COMPUTED_VALUE"""),"графини, глечики, питні набори")</f>
        <v>графини, глечики, питні набори</v>
      </c>
      <c r="F898" s="17">
        <f>IFERROR(__xludf.DUMMYFUNCTION("""COMPUTED_VALUE"""),4.0)</f>
        <v>4</v>
      </c>
      <c r="G898" s="17" t="str">
        <f>IFERROR(__xludf.DUMMYFUNCTION("""COMPUTED_VALUE"""),"152102")</f>
        <v>152102</v>
      </c>
      <c r="H898" s="17" t="str">
        <f>IFERROR(__xludf.DUMMYFUNCTION("""COMPUTED_VALUE"""),"графини, глечики, питні набори")</f>
        <v>графини, глечики, питні набори</v>
      </c>
      <c r="I898" s="19">
        <f>IFERROR(__xludf.DUMMYFUNCTION("""COMPUTED_VALUE"""),0.0771)</f>
        <v>0.0771</v>
      </c>
      <c r="J898" s="19">
        <f>IFERROR(__xludf.DUMMYFUNCTION("""COMPUTED_VALUE"""),0.1541)</f>
        <v>0.1541</v>
      </c>
      <c r="K898" s="19">
        <f>IFERROR(__xludf.DUMMYFUNCTION("""COMPUTED_VALUE"""),0.1926)</f>
        <v>0.1926</v>
      </c>
      <c r="L898" s="19">
        <f>IFERROR(__xludf.DUMMYFUNCTION("""COMPUTED_VALUE"""),0.2312)</f>
        <v>0.2312</v>
      </c>
      <c r="M898" s="18">
        <f>IFERROR(__xludf.DUMMYFUNCTION("""COMPUTED_VALUE"""),2.08)</f>
        <v>2.08</v>
      </c>
    </row>
    <row r="899">
      <c r="A899" s="13" t="str">
        <f>IFERROR(__xludf.DUMMYFUNCTION("""COMPUTED_VALUE"""),"товари")</f>
        <v>товари</v>
      </c>
      <c r="B899" s="16" t="str">
        <f>IFERROR(__xludf.DUMMYFUNCTION("""COMPUTED_VALUE"""),"товари для дому")</f>
        <v>товари для дому</v>
      </c>
      <c r="C899" s="16" t="str">
        <f>IFERROR(__xludf.DUMMYFUNCTION("""COMPUTED_VALUE"""),"догляд за будинком")</f>
        <v>догляд за будинком</v>
      </c>
      <c r="D899" s="16" t="str">
        <f>IFERROR(__xludf.DUMMYFUNCTION("""COMPUTED_VALUE"""),"прибирання")</f>
        <v>прибирання</v>
      </c>
      <c r="E899" s="16" t="str">
        <f>IFERROR(__xludf.DUMMYFUNCTION("""COMPUTED_VALUE"""),"губки для посуду")</f>
        <v>губки для посуду</v>
      </c>
      <c r="F899" s="17">
        <f>IFERROR(__xludf.DUMMYFUNCTION("""COMPUTED_VALUE"""),4.0)</f>
        <v>4</v>
      </c>
      <c r="G899" s="17" t="str">
        <f>IFERROR(__xludf.DUMMYFUNCTION("""COMPUTED_VALUE"""),"151409")</f>
        <v>151409</v>
      </c>
      <c r="H899" s="17" t="str">
        <f>IFERROR(__xludf.DUMMYFUNCTION("""COMPUTED_VALUE"""),"губки для посуду")</f>
        <v>губки для посуду</v>
      </c>
      <c r="I899" s="19">
        <f>IFERROR(__xludf.DUMMYFUNCTION("""COMPUTED_VALUE"""),0.0752)</f>
        <v>0.0752</v>
      </c>
      <c r="J899" s="19">
        <f>IFERROR(__xludf.DUMMYFUNCTION("""COMPUTED_VALUE"""),0.1503)</f>
        <v>0.1503</v>
      </c>
      <c r="K899" s="19">
        <f>IFERROR(__xludf.DUMMYFUNCTION("""COMPUTED_VALUE"""),0.1879)</f>
        <v>0.1879</v>
      </c>
      <c r="L899" s="19">
        <f>IFERROR(__xludf.DUMMYFUNCTION("""COMPUTED_VALUE"""),0.2255)</f>
        <v>0.2255</v>
      </c>
      <c r="M899" s="18">
        <f>IFERROR(__xludf.DUMMYFUNCTION("""COMPUTED_VALUE"""),2.53)</f>
        <v>2.53</v>
      </c>
    </row>
    <row r="900">
      <c r="A900" s="13" t="str">
        <f>IFERROR(__xludf.DUMMYFUNCTION("""COMPUTED_VALUE"""),"товари")</f>
        <v>товари</v>
      </c>
      <c r="B900" s="16" t="str">
        <f>IFERROR(__xludf.DUMMYFUNCTION("""COMPUTED_VALUE"""),"товари для дому")</f>
        <v>товари для дому</v>
      </c>
      <c r="C900" s="16" t="str">
        <f>IFERROR(__xludf.DUMMYFUNCTION("""COMPUTED_VALUE"""),"посуд")</f>
        <v>посуд</v>
      </c>
      <c r="D900" s="16" t="str">
        <f>IFERROR(__xludf.DUMMYFUNCTION("""COMPUTED_VALUE"""),"посуд для приготування")</f>
        <v>посуд для приготування</v>
      </c>
      <c r="E900" s="16" t="str">
        <f>IFERROR(__xludf.DUMMYFUNCTION("""COMPUTED_VALUE"""),"гусятниці")</f>
        <v>гусятниці</v>
      </c>
      <c r="F900" s="17">
        <f>IFERROR(__xludf.DUMMYFUNCTION("""COMPUTED_VALUE"""),4.0)</f>
        <v>4</v>
      </c>
      <c r="G900" s="17" t="str">
        <f>IFERROR(__xludf.DUMMYFUNCTION("""COMPUTED_VALUE"""),"15230314")</f>
        <v>15230314</v>
      </c>
      <c r="H900" s="17" t="str">
        <f>IFERROR(__xludf.DUMMYFUNCTION("""COMPUTED_VALUE"""),"гусятниці")</f>
        <v>гусятниці</v>
      </c>
      <c r="I900" s="19">
        <f>IFERROR(__xludf.DUMMYFUNCTION("""COMPUTED_VALUE"""),0.0764)</f>
        <v>0.0764</v>
      </c>
      <c r="J900" s="19">
        <f>IFERROR(__xludf.DUMMYFUNCTION("""COMPUTED_VALUE"""),0.1528)</f>
        <v>0.1528</v>
      </c>
      <c r="K900" s="19">
        <f>IFERROR(__xludf.DUMMYFUNCTION("""COMPUTED_VALUE"""),0.191)</f>
        <v>0.191</v>
      </c>
      <c r="L900" s="19">
        <f>IFERROR(__xludf.DUMMYFUNCTION("""COMPUTED_VALUE"""),0.2292)</f>
        <v>0.2292</v>
      </c>
      <c r="M900" s="18">
        <f>IFERROR(__xludf.DUMMYFUNCTION("""COMPUTED_VALUE"""),2.53)</f>
        <v>2.53</v>
      </c>
    </row>
    <row r="901">
      <c r="A901" s="13" t="str">
        <f>IFERROR(__xludf.DUMMYFUNCTION("""COMPUTED_VALUE"""),"товари")</f>
        <v>товари</v>
      </c>
      <c r="B901" s="16" t="str">
        <f>IFERROR(__xludf.DUMMYFUNCTION("""COMPUTED_VALUE"""),"товари для дому")</f>
        <v>товари для дому</v>
      </c>
      <c r="C901" s="16" t="str">
        <f>IFERROR(__xludf.DUMMYFUNCTION("""COMPUTED_VALUE"""),"розумний будинок")</f>
        <v>розумний будинок</v>
      </c>
      <c r="D901" s="16" t="str">
        <f>IFERROR(__xludf.DUMMYFUNCTION("""COMPUTED_VALUE"""),"датчики для розумного будинку")</f>
        <v>датчики для розумного будинку</v>
      </c>
      <c r="E901" s="16" t="str">
        <f>IFERROR(__xludf.DUMMYFUNCTION("""COMPUTED_VALUE"""),"датчики для розумного будинку")</f>
        <v>датчики для розумного будинку</v>
      </c>
      <c r="F901" s="17">
        <f>IFERROR(__xludf.DUMMYFUNCTION("""COMPUTED_VALUE"""),3.0)</f>
        <v>3</v>
      </c>
      <c r="G901" s="17" t="str">
        <f>IFERROR(__xludf.DUMMYFUNCTION("""COMPUTED_VALUE"""),"153504")</f>
        <v>153504</v>
      </c>
      <c r="H901" s="17" t="str">
        <f>IFERROR(__xludf.DUMMYFUNCTION("""COMPUTED_VALUE"""),"датчики для розумного будинку")</f>
        <v>датчики для розумного будинку</v>
      </c>
      <c r="I901" s="19">
        <f>IFERROR(__xludf.DUMMYFUNCTION("""COMPUTED_VALUE"""),0.0747)</f>
        <v>0.0747</v>
      </c>
      <c r="J901" s="19">
        <f>IFERROR(__xludf.DUMMYFUNCTION("""COMPUTED_VALUE"""),0.1493)</f>
        <v>0.1493</v>
      </c>
      <c r="K901" s="19">
        <f>IFERROR(__xludf.DUMMYFUNCTION("""COMPUTED_VALUE"""),0.1866)</f>
        <v>0.1866</v>
      </c>
      <c r="L901" s="19">
        <f>IFERROR(__xludf.DUMMYFUNCTION("""COMPUTED_VALUE"""),0.224)</f>
        <v>0.224</v>
      </c>
      <c r="M901" s="18">
        <f>IFERROR(__xludf.DUMMYFUNCTION("""COMPUTED_VALUE"""),1.26)</f>
        <v>1.26</v>
      </c>
    </row>
    <row r="902">
      <c r="A902" s="13" t="str">
        <f>IFERROR(__xludf.DUMMYFUNCTION("""COMPUTED_VALUE"""),"товари")</f>
        <v>товари</v>
      </c>
      <c r="B902" s="16" t="str">
        <f>IFERROR(__xludf.DUMMYFUNCTION("""COMPUTED_VALUE"""),"товари для дому")</f>
        <v>товари для дому</v>
      </c>
      <c r="C902" s="16" t="str">
        <f>IFERROR(__xludf.DUMMYFUNCTION("""COMPUTED_VALUE"""),"догляд за будинком")</f>
        <v>догляд за будинком</v>
      </c>
      <c r="D902" s="16" t="str">
        <f>IFERROR(__xludf.DUMMYFUNCTION("""COMPUTED_VALUE"""),"догляд за особистими речами")</f>
        <v>догляд за особистими речами</v>
      </c>
      <c r="E902" s="16" t="str">
        <f>IFERROR(__xludf.DUMMYFUNCTION("""COMPUTED_VALUE"""),"дезодоранти для взуття")</f>
        <v>дезодоранти для взуття</v>
      </c>
      <c r="F902" s="17">
        <f>IFERROR(__xludf.DUMMYFUNCTION("""COMPUTED_VALUE"""),4.0)</f>
        <v>4</v>
      </c>
      <c r="G902" s="17" t="str">
        <f>IFERROR(__xludf.DUMMYFUNCTION("""COMPUTED_VALUE"""),"322100301")</f>
        <v>322100301</v>
      </c>
      <c r="H902" s="17" t="str">
        <f>IFERROR(__xludf.DUMMYFUNCTION("""COMPUTED_VALUE"""),"дезодоранти для взуття")</f>
        <v>дезодоранти для взуття</v>
      </c>
      <c r="I902" s="19">
        <f>IFERROR(__xludf.DUMMYFUNCTION("""COMPUTED_VALUE"""),0.0914)</f>
        <v>0.0914</v>
      </c>
      <c r="J902" s="19">
        <f>IFERROR(__xludf.DUMMYFUNCTION("""COMPUTED_VALUE"""),0.1828)</f>
        <v>0.1828</v>
      </c>
      <c r="K902" s="19">
        <f>IFERROR(__xludf.DUMMYFUNCTION("""COMPUTED_VALUE"""),0.2285)</f>
        <v>0.2285</v>
      </c>
      <c r="L902" s="19">
        <f>IFERROR(__xludf.DUMMYFUNCTION("""COMPUTED_VALUE"""),0.2742)</f>
        <v>0.2742</v>
      </c>
      <c r="M902" s="18">
        <f>IFERROR(__xludf.DUMMYFUNCTION("""COMPUTED_VALUE"""),1.98)</f>
        <v>1.98</v>
      </c>
    </row>
    <row r="903">
      <c r="A903" s="13" t="str">
        <f>IFERROR(__xludf.DUMMYFUNCTION("""COMPUTED_VALUE"""),"товари")</f>
        <v>товари</v>
      </c>
      <c r="B903" s="16" t="str">
        <f>IFERROR(__xludf.DUMMYFUNCTION("""COMPUTED_VALUE"""),"товари для дому")</f>
        <v>товари для дому</v>
      </c>
      <c r="C903" s="16" t="str">
        <f>IFERROR(__xludf.DUMMYFUNCTION("""COMPUTED_VALUE"""),"посуд")</f>
        <v>посуд</v>
      </c>
      <c r="D903" s="16" t="str">
        <f>IFERROR(__xludf.DUMMYFUNCTION("""COMPUTED_VALUE"""),"кухонне приладдя")</f>
        <v>кухонне приладдя</v>
      </c>
      <c r="E903" s="16" t="str">
        <f>IFERROR(__xludf.DUMMYFUNCTION("""COMPUTED_VALUE"""),"дека")</f>
        <v>дека</v>
      </c>
      <c r="F903" s="17">
        <f>IFERROR(__xludf.DUMMYFUNCTION("""COMPUTED_VALUE"""),4.0)</f>
        <v>4</v>
      </c>
      <c r="G903" s="17" t="str">
        <f>IFERROR(__xludf.DUMMYFUNCTION("""COMPUTED_VALUE"""),"15230430")</f>
        <v>15230430</v>
      </c>
      <c r="H903" s="17" t="str">
        <f>IFERROR(__xludf.DUMMYFUNCTION("""COMPUTED_VALUE"""),"дека")</f>
        <v>дека</v>
      </c>
      <c r="I903" s="19">
        <f>IFERROR(__xludf.DUMMYFUNCTION("""COMPUTED_VALUE"""),0.078)</f>
        <v>0.078</v>
      </c>
      <c r="J903" s="19">
        <f>IFERROR(__xludf.DUMMYFUNCTION("""COMPUTED_VALUE"""),0.156)</f>
        <v>0.156</v>
      </c>
      <c r="K903" s="19">
        <f>IFERROR(__xludf.DUMMYFUNCTION("""COMPUTED_VALUE"""),0.195)</f>
        <v>0.195</v>
      </c>
      <c r="L903" s="19">
        <f>IFERROR(__xludf.DUMMYFUNCTION("""COMPUTED_VALUE"""),0.234)</f>
        <v>0.234</v>
      </c>
      <c r="M903" s="18">
        <f>IFERROR(__xludf.DUMMYFUNCTION("""COMPUTED_VALUE"""),2.08)</f>
        <v>2.08</v>
      </c>
    </row>
    <row r="904">
      <c r="A904" s="13" t="str">
        <f>IFERROR(__xludf.DUMMYFUNCTION("""COMPUTED_VALUE"""),"товари")</f>
        <v>товари</v>
      </c>
      <c r="B904" s="16" t="str">
        <f>IFERROR(__xludf.DUMMYFUNCTION("""COMPUTED_VALUE"""),"товари для дому")</f>
        <v>товари для дому</v>
      </c>
      <c r="C904" s="16" t="str">
        <f>IFERROR(__xludf.DUMMYFUNCTION("""COMPUTED_VALUE"""),"меблі")</f>
        <v>меблі</v>
      </c>
      <c r="D904" s="16" t="str">
        <f>IFERROR(__xludf.DUMMYFUNCTION("""COMPUTED_VALUE"""),"комплектуючі для меблів")</f>
        <v>комплектуючі для меблів</v>
      </c>
      <c r="E904" s="16" t="str">
        <f>IFERROR(__xludf.DUMMYFUNCTION("""COMPUTED_VALUE"""),"декор для меблів")</f>
        <v>декор для меблів</v>
      </c>
      <c r="F904" s="17">
        <f>IFERROR(__xludf.DUMMYFUNCTION("""COMPUTED_VALUE"""),4.0)</f>
        <v>4</v>
      </c>
      <c r="G904" s="17" t="str">
        <f>IFERROR(__xludf.DUMMYFUNCTION("""COMPUTED_VALUE"""),"370826")</f>
        <v>370826</v>
      </c>
      <c r="H904" s="17" t="str">
        <f>IFERROR(__xludf.DUMMYFUNCTION("""COMPUTED_VALUE"""),"декор для меблів")</f>
        <v>декор для меблів</v>
      </c>
      <c r="I904" s="19">
        <f>IFERROR(__xludf.DUMMYFUNCTION("""COMPUTED_VALUE"""),0.0749)</f>
        <v>0.0749</v>
      </c>
      <c r="J904" s="19">
        <f>IFERROR(__xludf.DUMMYFUNCTION("""COMPUTED_VALUE"""),0.1497)</f>
        <v>0.1497</v>
      </c>
      <c r="K904" s="19">
        <f>IFERROR(__xludf.DUMMYFUNCTION("""COMPUTED_VALUE"""),0.1871)</f>
        <v>0.1871</v>
      </c>
      <c r="L904" s="19">
        <f>IFERROR(__xludf.DUMMYFUNCTION("""COMPUTED_VALUE"""),0.2246)</f>
        <v>0.2246</v>
      </c>
      <c r="M904" s="18">
        <f>IFERROR(__xludf.DUMMYFUNCTION("""COMPUTED_VALUE"""),1.98)</f>
        <v>1.98</v>
      </c>
    </row>
    <row r="905">
      <c r="A905" s="13" t="str">
        <f>IFERROR(__xludf.DUMMYFUNCTION("""COMPUTED_VALUE"""),"товари")</f>
        <v>товари</v>
      </c>
      <c r="B905" s="16" t="str">
        <f>IFERROR(__xludf.DUMMYFUNCTION("""COMPUTED_VALUE"""),"товари для дому")</f>
        <v>товари для дому</v>
      </c>
      <c r="C905" s="16" t="str">
        <f>IFERROR(__xludf.DUMMYFUNCTION("""COMPUTED_VALUE"""),"декор для дому")</f>
        <v>декор для дому</v>
      </c>
      <c r="D905" s="16" t="str">
        <f>IFERROR(__xludf.DUMMYFUNCTION("""COMPUTED_VALUE"""),"декор, загальне")</f>
        <v>декор, загальне</v>
      </c>
      <c r="E905" s="16" t="str">
        <f>IFERROR(__xludf.DUMMYFUNCTION("""COMPUTED_VALUE"""),"декор, загальне")</f>
        <v>декор, загальне</v>
      </c>
      <c r="F905" s="17">
        <f>IFERROR(__xludf.DUMMYFUNCTION("""COMPUTED_VALUE"""),3.0)</f>
        <v>3</v>
      </c>
      <c r="G905" s="17" t="str">
        <f>IFERROR(__xludf.DUMMYFUNCTION("""COMPUTED_VALUE"""),"371003")</f>
        <v>371003</v>
      </c>
      <c r="H905" s="17" t="str">
        <f>IFERROR(__xludf.DUMMYFUNCTION("""COMPUTED_VALUE"""),"декор, загальне")</f>
        <v>декор, загальне</v>
      </c>
      <c r="I905" s="19">
        <f>IFERROR(__xludf.DUMMYFUNCTION("""COMPUTED_VALUE"""),0.125)</f>
        <v>0.125</v>
      </c>
      <c r="J905" s="19">
        <f>IFERROR(__xludf.DUMMYFUNCTION("""COMPUTED_VALUE"""),0.25)</f>
        <v>0.25</v>
      </c>
      <c r="K905" s="19">
        <f>IFERROR(__xludf.DUMMYFUNCTION("""COMPUTED_VALUE"""),0.3125)</f>
        <v>0.3125</v>
      </c>
      <c r="L905" s="19">
        <f>IFERROR(__xludf.DUMMYFUNCTION("""COMPUTED_VALUE"""),0.375)</f>
        <v>0.375</v>
      </c>
      <c r="M905" s="18">
        <f>IFERROR(__xludf.DUMMYFUNCTION("""COMPUTED_VALUE"""),4.33)</f>
        <v>4.33</v>
      </c>
    </row>
    <row r="906">
      <c r="A906" s="13" t="str">
        <f>IFERROR(__xludf.DUMMYFUNCTION("""COMPUTED_VALUE"""),"товари")</f>
        <v>товари</v>
      </c>
      <c r="B906" s="16" t="str">
        <f>IFERROR(__xludf.DUMMYFUNCTION("""COMPUTED_VALUE"""),"дача, сад і город")</f>
        <v>дача, сад і город</v>
      </c>
      <c r="C906" s="16" t="str">
        <f>IFERROR(__xludf.DUMMYFUNCTION("""COMPUTED_VALUE"""),"садовий декор")</f>
        <v>садовий декор</v>
      </c>
      <c r="D906" s="16" t="str">
        <f>IFERROR(__xludf.DUMMYFUNCTION("""COMPUTED_VALUE"""),"декоративна тріска")</f>
        <v>декоративна тріска</v>
      </c>
      <c r="E906" s="16" t="str">
        <f>IFERROR(__xludf.DUMMYFUNCTION("""COMPUTED_VALUE"""),"декоративна тріска")</f>
        <v>декоративна тріска</v>
      </c>
      <c r="F906" s="17">
        <f>IFERROR(__xludf.DUMMYFUNCTION("""COMPUTED_VALUE"""),3.0)</f>
        <v>3</v>
      </c>
      <c r="G906" s="17" t="str">
        <f>IFERROR(__xludf.DUMMYFUNCTION("""COMPUTED_VALUE"""),"151908")</f>
        <v>151908</v>
      </c>
      <c r="H906" s="17" t="str">
        <f>IFERROR(__xludf.DUMMYFUNCTION("""COMPUTED_VALUE"""),"декоративна тріска")</f>
        <v>декоративна тріска</v>
      </c>
      <c r="I906" s="19">
        <f>IFERROR(__xludf.DUMMYFUNCTION("""COMPUTED_VALUE"""),0.0783)</f>
        <v>0.0783</v>
      </c>
      <c r="J906" s="19">
        <f>IFERROR(__xludf.DUMMYFUNCTION("""COMPUTED_VALUE"""),0.1566)</f>
        <v>0.1566</v>
      </c>
      <c r="K906" s="19">
        <f>IFERROR(__xludf.DUMMYFUNCTION("""COMPUTED_VALUE"""),0.1958)</f>
        <v>0.1958</v>
      </c>
      <c r="L906" s="19">
        <f>IFERROR(__xludf.DUMMYFUNCTION("""COMPUTED_VALUE"""),0.2349)</f>
        <v>0.2349</v>
      </c>
      <c r="M906" s="18">
        <f>IFERROR(__xludf.DUMMYFUNCTION("""COMPUTED_VALUE"""),1.53)</f>
        <v>1.53</v>
      </c>
    </row>
    <row r="907">
      <c r="A907" s="13" t="str">
        <f>IFERROR(__xludf.DUMMYFUNCTION("""COMPUTED_VALUE"""),"товари")</f>
        <v>товари</v>
      </c>
      <c r="B907" s="16" t="str">
        <f>IFERROR(__xludf.DUMMYFUNCTION("""COMPUTED_VALUE"""),"товари для дому")</f>
        <v>товари для дому</v>
      </c>
      <c r="C907" s="16" t="str">
        <f>IFERROR(__xludf.DUMMYFUNCTION("""COMPUTED_VALUE"""),"декор для дому")</f>
        <v>декор для дому</v>
      </c>
      <c r="D907" s="16" t="str">
        <f>IFERROR(__xludf.DUMMYFUNCTION("""COMPUTED_VALUE"""),"інтер'єрні аксесуари")</f>
        <v>інтер'єрні аксесуари</v>
      </c>
      <c r="E907" s="16" t="str">
        <f>IFERROR(__xludf.DUMMYFUNCTION("""COMPUTED_VALUE"""),"декоративний посуд")</f>
        <v>декоративний посуд</v>
      </c>
      <c r="F907" s="17">
        <f>IFERROR(__xludf.DUMMYFUNCTION("""COMPUTED_VALUE"""),4.0)</f>
        <v>4</v>
      </c>
      <c r="G907" s="17" t="str">
        <f>IFERROR(__xludf.DUMMYFUNCTION("""COMPUTED_VALUE"""),"131404")</f>
        <v>131404</v>
      </c>
      <c r="H907" s="17" t="str">
        <f>IFERROR(__xludf.DUMMYFUNCTION("""COMPUTED_VALUE"""),"декоративний посуд")</f>
        <v>декоративний посуд</v>
      </c>
      <c r="I907" s="19">
        <f>IFERROR(__xludf.DUMMYFUNCTION("""COMPUTED_VALUE"""),0.0765)</f>
        <v>0.0765</v>
      </c>
      <c r="J907" s="19">
        <f>IFERROR(__xludf.DUMMYFUNCTION("""COMPUTED_VALUE"""),0.153)</f>
        <v>0.153</v>
      </c>
      <c r="K907" s="19">
        <f>IFERROR(__xludf.DUMMYFUNCTION("""COMPUTED_VALUE"""),0.1913)</f>
        <v>0.1913</v>
      </c>
      <c r="L907" s="19">
        <f>IFERROR(__xludf.DUMMYFUNCTION("""COMPUTED_VALUE"""),0.2295)</f>
        <v>0.2295</v>
      </c>
      <c r="M907" s="18">
        <f>IFERROR(__xludf.DUMMYFUNCTION("""COMPUTED_VALUE"""),1.53)</f>
        <v>1.53</v>
      </c>
    </row>
    <row r="908">
      <c r="A908" s="13" t="str">
        <f>IFERROR(__xludf.DUMMYFUNCTION("""COMPUTED_VALUE"""),"товари")</f>
        <v>товари</v>
      </c>
      <c r="B908" s="16" t="str">
        <f>IFERROR(__xludf.DUMMYFUNCTION("""COMPUTED_VALUE"""),"товари для дому")</f>
        <v>товари для дому</v>
      </c>
      <c r="C908" s="16" t="str">
        <f>IFERROR(__xludf.DUMMYFUNCTION("""COMPUTED_VALUE"""),"декор для дому")</f>
        <v>декор для дому</v>
      </c>
      <c r="D908" s="16" t="str">
        <f>IFERROR(__xludf.DUMMYFUNCTION("""COMPUTED_VALUE"""),"інтер'єрні аксесуари")</f>
        <v>інтер'єрні аксесуари</v>
      </c>
      <c r="E908" s="16" t="str">
        <f>IFERROR(__xludf.DUMMYFUNCTION("""COMPUTED_VALUE"""),"декоративні екрани для радіаторів")</f>
        <v>декоративні екрани для радіаторів</v>
      </c>
      <c r="F908" s="17">
        <f>IFERROR(__xludf.DUMMYFUNCTION("""COMPUTED_VALUE"""),4.0)</f>
        <v>4</v>
      </c>
      <c r="G908" s="17" t="str">
        <f>IFERROR(__xludf.DUMMYFUNCTION("""COMPUTED_VALUE"""),"371019")</f>
        <v>371019</v>
      </c>
      <c r="H908" s="17" t="str">
        <f>IFERROR(__xludf.DUMMYFUNCTION("""COMPUTED_VALUE"""),"декоративні екрани для радіаторів")</f>
        <v>декоративні екрани для радіаторів</v>
      </c>
      <c r="I908" s="19">
        <f>IFERROR(__xludf.DUMMYFUNCTION("""COMPUTED_VALUE"""),0.0762)</f>
        <v>0.0762</v>
      </c>
      <c r="J908" s="19">
        <f>IFERROR(__xludf.DUMMYFUNCTION("""COMPUTED_VALUE"""),0.1524)</f>
        <v>0.1524</v>
      </c>
      <c r="K908" s="19">
        <f>IFERROR(__xludf.DUMMYFUNCTION("""COMPUTED_VALUE"""),0.1905)</f>
        <v>0.1905</v>
      </c>
      <c r="L908" s="19">
        <f>IFERROR(__xludf.DUMMYFUNCTION("""COMPUTED_VALUE"""),0.2286)</f>
        <v>0.2286</v>
      </c>
      <c r="M908" s="18">
        <f>IFERROR(__xludf.DUMMYFUNCTION("""COMPUTED_VALUE"""),1.53)</f>
        <v>1.53</v>
      </c>
    </row>
    <row r="909">
      <c r="A909" s="13" t="str">
        <f>IFERROR(__xludf.DUMMYFUNCTION("""COMPUTED_VALUE"""),"товари")</f>
        <v>товари</v>
      </c>
      <c r="B909" s="16" t="str">
        <f>IFERROR(__xludf.DUMMYFUNCTION("""COMPUTED_VALUE"""),"товари для дому")</f>
        <v>товари для дому</v>
      </c>
      <c r="C909" s="16" t="str">
        <f>IFERROR(__xludf.DUMMYFUNCTION("""COMPUTED_VALUE"""),"освітлення для дому")</f>
        <v>освітлення для дому</v>
      </c>
      <c r="D909" s="16" t="str">
        <f>IFERROR(__xludf.DUMMYFUNCTION("""COMPUTED_VALUE"""),"декоративні світильники")</f>
        <v>декоративні світильники</v>
      </c>
      <c r="E909" s="16" t="str">
        <f>IFERROR(__xludf.DUMMYFUNCTION("""COMPUTED_VALUE"""),"декоративні світильники")</f>
        <v>декоративні світильники</v>
      </c>
      <c r="F909" s="17">
        <f>IFERROR(__xludf.DUMMYFUNCTION("""COMPUTED_VALUE"""),3.0)</f>
        <v>3</v>
      </c>
      <c r="G909" s="17" t="str">
        <f>IFERROR(__xludf.DUMMYFUNCTION("""COMPUTED_VALUE"""),"15040607")</f>
        <v>15040607</v>
      </c>
      <c r="H909" s="17" t="str">
        <f>IFERROR(__xludf.DUMMYFUNCTION("""COMPUTED_VALUE"""),"декоративні світильники")</f>
        <v>декоративні світильники</v>
      </c>
      <c r="I909" s="19">
        <f>IFERROR(__xludf.DUMMYFUNCTION("""COMPUTED_VALUE"""),0.0772)</f>
        <v>0.0772</v>
      </c>
      <c r="J909" s="19">
        <f>IFERROR(__xludf.DUMMYFUNCTION("""COMPUTED_VALUE"""),0.1544)</f>
        <v>0.1544</v>
      </c>
      <c r="K909" s="19">
        <f>IFERROR(__xludf.DUMMYFUNCTION("""COMPUTED_VALUE"""),0.193)</f>
        <v>0.193</v>
      </c>
      <c r="L909" s="19">
        <f>IFERROR(__xludf.DUMMYFUNCTION("""COMPUTED_VALUE"""),0.2316)</f>
        <v>0.2316</v>
      </c>
      <c r="M909" s="18">
        <f>IFERROR(__xludf.DUMMYFUNCTION("""COMPUTED_VALUE"""),3.33)</f>
        <v>3.33</v>
      </c>
    </row>
    <row r="910">
      <c r="A910" s="13" t="str">
        <f>IFERROR(__xludf.DUMMYFUNCTION("""COMPUTED_VALUE"""),"товари")</f>
        <v>товари</v>
      </c>
      <c r="B910" s="16" t="str">
        <f>IFERROR(__xludf.DUMMYFUNCTION("""COMPUTED_VALUE"""),"товари для дому")</f>
        <v>товари для дому</v>
      </c>
      <c r="C910" s="16" t="str">
        <f>IFERROR(__xludf.DUMMYFUNCTION("""COMPUTED_VALUE"""),"текстиль")</f>
        <v>текстиль</v>
      </c>
      <c r="D910" s="16" t="str">
        <f>IFERROR(__xludf.DUMMYFUNCTION("""COMPUTED_VALUE"""),"оформлення вікон")</f>
        <v>оформлення вікон</v>
      </c>
      <c r="E910" s="16" t="str">
        <f>IFERROR(__xludf.DUMMYFUNCTION("""COMPUTED_VALUE"""),"декорація вікон, загальне")</f>
        <v>декорація вікон, загальне</v>
      </c>
      <c r="F910" s="17">
        <f>IFERROR(__xludf.DUMMYFUNCTION("""COMPUTED_VALUE"""),4.0)</f>
        <v>4</v>
      </c>
      <c r="G910" s="17" t="str">
        <f>IFERROR(__xludf.DUMMYFUNCTION("""COMPUTED_VALUE"""),"153804")</f>
        <v>153804</v>
      </c>
      <c r="H910" s="17" t="str">
        <f>IFERROR(__xludf.DUMMYFUNCTION("""COMPUTED_VALUE"""),"декорація вікон, загальне")</f>
        <v>декорація вікон, загальне</v>
      </c>
      <c r="I910" s="19">
        <f>IFERROR(__xludf.DUMMYFUNCTION("""COMPUTED_VALUE"""),0.125)</f>
        <v>0.125</v>
      </c>
      <c r="J910" s="19">
        <f>IFERROR(__xludf.DUMMYFUNCTION("""COMPUTED_VALUE"""),0.25)</f>
        <v>0.25</v>
      </c>
      <c r="K910" s="19">
        <f>IFERROR(__xludf.DUMMYFUNCTION("""COMPUTED_VALUE"""),0.3125)</f>
        <v>0.3125</v>
      </c>
      <c r="L910" s="19">
        <f>IFERROR(__xludf.DUMMYFUNCTION("""COMPUTED_VALUE"""),0.375)</f>
        <v>0.375</v>
      </c>
      <c r="M910" s="18">
        <f>IFERROR(__xludf.DUMMYFUNCTION("""COMPUTED_VALUE"""),4.33)</f>
        <v>4.33</v>
      </c>
    </row>
    <row r="911">
      <c r="A911" s="13" t="str">
        <f>IFERROR(__xludf.DUMMYFUNCTION("""COMPUTED_VALUE"""),"товари")</f>
        <v>товари</v>
      </c>
      <c r="B911" s="16" t="str">
        <f>IFERROR(__xludf.DUMMYFUNCTION("""COMPUTED_VALUE"""),"дача, сад і город")</f>
        <v>дача, сад і город</v>
      </c>
      <c r="C911" s="16" t="str">
        <f>IFERROR(__xludf.DUMMYFUNCTION("""COMPUTED_VALUE"""),"інструменти для обробки грунту")</f>
        <v>інструменти для обробки грунту</v>
      </c>
      <c r="D911" s="16" t="str">
        <f>IFERROR(__xludf.DUMMYFUNCTION("""COMPUTED_VALUE"""),"держаки для інструменту")</f>
        <v>держаки для інструменту</v>
      </c>
      <c r="E911" s="16" t="str">
        <f>IFERROR(__xludf.DUMMYFUNCTION("""COMPUTED_VALUE"""),"держаки для інструменту")</f>
        <v>держаки для інструменту</v>
      </c>
      <c r="F911" s="17">
        <f>IFERROR(__xludf.DUMMYFUNCTION("""COMPUTED_VALUE"""),3.0)</f>
        <v>3</v>
      </c>
      <c r="G911" s="17" t="str">
        <f>IFERROR(__xludf.DUMMYFUNCTION("""COMPUTED_VALUE"""),"1250319")</f>
        <v>1250319</v>
      </c>
      <c r="H911" s="17" t="str">
        <f>IFERROR(__xludf.DUMMYFUNCTION("""COMPUTED_VALUE"""),"держаки для інструменту")</f>
        <v>держаки для інструменту</v>
      </c>
      <c r="I911" s="19">
        <f>IFERROR(__xludf.DUMMYFUNCTION("""COMPUTED_VALUE"""),0.0737)</f>
        <v>0.0737</v>
      </c>
      <c r="J911" s="19">
        <f>IFERROR(__xludf.DUMMYFUNCTION("""COMPUTED_VALUE"""),0.1473)</f>
        <v>0.1473</v>
      </c>
      <c r="K911" s="19">
        <f>IFERROR(__xludf.DUMMYFUNCTION("""COMPUTED_VALUE"""),0.1841)</f>
        <v>0.1841</v>
      </c>
      <c r="L911" s="19">
        <f>IFERROR(__xludf.DUMMYFUNCTION("""COMPUTED_VALUE"""),0.221)</f>
        <v>0.221</v>
      </c>
      <c r="M911" s="18">
        <f>IFERROR(__xludf.DUMMYFUNCTION("""COMPUTED_VALUE"""),1.71)</f>
        <v>1.71</v>
      </c>
    </row>
    <row r="912">
      <c r="A912" s="13" t="str">
        <f>IFERROR(__xludf.DUMMYFUNCTION("""COMPUTED_VALUE"""),"товари")</f>
        <v>товари</v>
      </c>
      <c r="B912" s="16" t="str">
        <f>IFERROR(__xludf.DUMMYFUNCTION("""COMPUTED_VALUE"""),"товари для дому")</f>
        <v>товари для дому</v>
      </c>
      <c r="C912" s="16" t="str">
        <f>IFERROR(__xludf.DUMMYFUNCTION("""COMPUTED_VALUE"""),"меблі")</f>
        <v>меблі</v>
      </c>
      <c r="D912" s="16" t="str">
        <f>IFERROR(__xludf.DUMMYFUNCTION("""COMPUTED_VALUE"""),"дзеркала та аксесуари")</f>
        <v>дзеркала та аксесуари</v>
      </c>
      <c r="E912" s="16" t="str">
        <f>IFERROR(__xludf.DUMMYFUNCTION("""COMPUTED_VALUE"""),"дзеркала")</f>
        <v>дзеркала</v>
      </c>
      <c r="F912" s="17">
        <f>IFERROR(__xludf.DUMMYFUNCTION("""COMPUTED_VALUE"""),4.0)</f>
        <v>4</v>
      </c>
      <c r="G912" s="17" t="str">
        <f>IFERROR(__xludf.DUMMYFUNCTION("""COMPUTED_VALUE"""),"1534")</f>
        <v>1534</v>
      </c>
      <c r="H912" s="17" t="str">
        <f>IFERROR(__xludf.DUMMYFUNCTION("""COMPUTED_VALUE"""),"дзеркала")</f>
        <v>дзеркала</v>
      </c>
      <c r="I912" s="19">
        <f>IFERROR(__xludf.DUMMYFUNCTION("""COMPUTED_VALUE"""),0.0774)</f>
        <v>0.0774</v>
      </c>
      <c r="J912" s="19">
        <f>IFERROR(__xludf.DUMMYFUNCTION("""COMPUTED_VALUE"""),0.1547)</f>
        <v>0.1547</v>
      </c>
      <c r="K912" s="19">
        <f>IFERROR(__xludf.DUMMYFUNCTION("""COMPUTED_VALUE"""),0.1934)</f>
        <v>0.1934</v>
      </c>
      <c r="L912" s="19">
        <f>IFERROR(__xludf.DUMMYFUNCTION("""COMPUTED_VALUE"""),0.2321)</f>
        <v>0.2321</v>
      </c>
      <c r="M912" s="18">
        <f>IFERROR(__xludf.DUMMYFUNCTION("""COMPUTED_VALUE"""),3.43)</f>
        <v>3.43</v>
      </c>
    </row>
    <row r="913">
      <c r="A913" s="13" t="str">
        <f>IFERROR(__xludf.DUMMYFUNCTION("""COMPUTED_VALUE"""),"товари")</f>
        <v>товари</v>
      </c>
      <c r="B913" s="16" t="str">
        <f>IFERROR(__xludf.DUMMYFUNCTION("""COMPUTED_VALUE"""),"товари для дому")</f>
        <v>товари для дому</v>
      </c>
      <c r="C913" s="16" t="str">
        <f>IFERROR(__xludf.DUMMYFUNCTION("""COMPUTED_VALUE"""),"меблі")</f>
        <v>меблі</v>
      </c>
      <c r="D913" s="16" t="str">
        <f>IFERROR(__xludf.DUMMYFUNCTION("""COMPUTED_VALUE"""),"дзеркала та аксесуари")</f>
        <v>дзеркала та аксесуари</v>
      </c>
      <c r="E913" s="16" t="str">
        <f>IFERROR(__xludf.DUMMYFUNCTION("""COMPUTED_VALUE"""),"аксесуари для дзеркал")</f>
        <v>аксесуари для дзеркал</v>
      </c>
      <c r="F913" s="17">
        <f>IFERROR(__xludf.DUMMYFUNCTION("""COMPUTED_VALUE"""),4.0)</f>
        <v>4</v>
      </c>
      <c r="G913" s="17" t="str">
        <f>IFERROR(__xludf.DUMMYFUNCTION("""COMPUTED_VALUE"""),"371037")</f>
        <v>371037</v>
      </c>
      <c r="H913" s="17" t="str">
        <f>IFERROR(__xludf.DUMMYFUNCTION("""COMPUTED_VALUE"""),"аксесуари для дзеркал")</f>
        <v>аксесуари для дзеркал</v>
      </c>
      <c r="I913" s="19">
        <f>IFERROR(__xludf.DUMMYFUNCTION("""COMPUTED_VALUE"""),0.0774)</f>
        <v>0.0774</v>
      </c>
      <c r="J913" s="19">
        <f>IFERROR(__xludf.DUMMYFUNCTION("""COMPUTED_VALUE"""),0.1547)</f>
        <v>0.1547</v>
      </c>
      <c r="K913" s="19">
        <f>IFERROR(__xludf.DUMMYFUNCTION("""COMPUTED_VALUE"""),0.1934)</f>
        <v>0.1934</v>
      </c>
      <c r="L913" s="19">
        <f>IFERROR(__xludf.DUMMYFUNCTION("""COMPUTED_VALUE"""),0.2321)</f>
        <v>0.2321</v>
      </c>
      <c r="M913" s="18">
        <f>IFERROR(__xludf.DUMMYFUNCTION("""COMPUTED_VALUE"""),3.43)</f>
        <v>3.43</v>
      </c>
    </row>
    <row r="914">
      <c r="A914" s="13" t="str">
        <f>IFERROR(__xludf.DUMMYFUNCTION("""COMPUTED_VALUE"""),"товари")</f>
        <v>товари</v>
      </c>
      <c r="B914" s="16" t="str">
        <f>IFERROR(__xludf.DUMMYFUNCTION("""COMPUTED_VALUE"""),"товари для дому")</f>
        <v>товари для дому</v>
      </c>
      <c r="C914" s="16" t="str">
        <f>IFERROR(__xludf.DUMMYFUNCTION("""COMPUTED_VALUE"""),"меблі")</f>
        <v>меблі</v>
      </c>
      <c r="D914" s="16" t="str">
        <f>IFERROR(__xludf.DUMMYFUNCTION("""COMPUTED_VALUE"""),"дзеркала та аксесуари")</f>
        <v>дзеркала та аксесуари</v>
      </c>
      <c r="E914" s="16" t="str">
        <f>IFERROR(__xludf.DUMMYFUNCTION("""COMPUTED_VALUE"""),"дзеркала для ванних кімнат")</f>
        <v>дзеркала для ванних кімнат</v>
      </c>
      <c r="F914" s="17">
        <f>IFERROR(__xludf.DUMMYFUNCTION("""COMPUTED_VALUE"""),4.0)</f>
        <v>4</v>
      </c>
      <c r="G914" s="17" t="str">
        <f>IFERROR(__xludf.DUMMYFUNCTION("""COMPUTED_VALUE"""),"130102")</f>
        <v>130102</v>
      </c>
      <c r="H914" s="17" t="str">
        <f>IFERROR(__xludf.DUMMYFUNCTION("""COMPUTED_VALUE"""),"дзеркала для ванних кімнат")</f>
        <v>дзеркала для ванних кімнат</v>
      </c>
      <c r="I914" s="19">
        <f>IFERROR(__xludf.DUMMYFUNCTION("""COMPUTED_VALUE"""),0.0741)</f>
        <v>0.0741</v>
      </c>
      <c r="J914" s="19">
        <f>IFERROR(__xludf.DUMMYFUNCTION("""COMPUTED_VALUE"""),0.1482)</f>
        <v>0.1482</v>
      </c>
      <c r="K914" s="19">
        <f>IFERROR(__xludf.DUMMYFUNCTION("""COMPUTED_VALUE"""),0.1853)</f>
        <v>0.1853</v>
      </c>
      <c r="L914" s="19">
        <f>IFERROR(__xludf.DUMMYFUNCTION("""COMPUTED_VALUE"""),0.2223)</f>
        <v>0.2223</v>
      </c>
      <c r="M914" s="18">
        <f>IFERROR(__xludf.DUMMYFUNCTION("""COMPUTED_VALUE"""),4.43)</f>
        <v>4.43</v>
      </c>
    </row>
    <row r="915">
      <c r="A915" s="13" t="str">
        <f>IFERROR(__xludf.DUMMYFUNCTION("""COMPUTED_VALUE"""),"товари")</f>
        <v>товари</v>
      </c>
      <c r="B915" s="16" t="str">
        <f>IFERROR(__xludf.DUMMYFUNCTION("""COMPUTED_VALUE"""),"товари для дому")</f>
        <v>товари для дому</v>
      </c>
      <c r="C915" s="16" t="str">
        <f>IFERROR(__xludf.DUMMYFUNCTION("""COMPUTED_VALUE"""),"меблі")</f>
        <v>меблі</v>
      </c>
      <c r="D915" s="16" t="str">
        <f>IFERROR(__xludf.DUMMYFUNCTION("""COMPUTED_VALUE"""),"дзеркала та аксесуари")</f>
        <v>дзеркала та аксесуари</v>
      </c>
      <c r="E915" s="16" t="str">
        <f>IFERROR(__xludf.DUMMYFUNCTION("""COMPUTED_VALUE"""),"дзеркала, загальне")</f>
        <v>дзеркала, загальне</v>
      </c>
      <c r="F915" s="17">
        <f>IFERROR(__xludf.DUMMYFUNCTION("""COMPUTED_VALUE"""),4.0)</f>
        <v>4</v>
      </c>
      <c r="G915" s="17" t="str">
        <f>IFERROR(__xludf.DUMMYFUNCTION("""COMPUTED_VALUE"""),"371033")</f>
        <v>371033</v>
      </c>
      <c r="H915" s="17" t="str">
        <f>IFERROR(__xludf.DUMMYFUNCTION("""COMPUTED_VALUE"""),"дзеркала, загальне")</f>
        <v>дзеркала, загальне</v>
      </c>
      <c r="I915" s="19">
        <f>IFERROR(__xludf.DUMMYFUNCTION("""COMPUTED_VALUE"""),0.125)</f>
        <v>0.125</v>
      </c>
      <c r="J915" s="19">
        <f>IFERROR(__xludf.DUMMYFUNCTION("""COMPUTED_VALUE"""),0.25)</f>
        <v>0.25</v>
      </c>
      <c r="K915" s="19">
        <f>IFERROR(__xludf.DUMMYFUNCTION("""COMPUTED_VALUE"""),0.3125)</f>
        <v>0.3125</v>
      </c>
      <c r="L915" s="19">
        <f>IFERROR(__xludf.DUMMYFUNCTION("""COMPUTED_VALUE"""),0.375)</f>
        <v>0.375</v>
      </c>
      <c r="M915" s="18">
        <f>IFERROR(__xludf.DUMMYFUNCTION("""COMPUTED_VALUE"""),4.33)</f>
        <v>4.33</v>
      </c>
    </row>
    <row r="916">
      <c r="A916" s="13" t="str">
        <f>IFERROR(__xludf.DUMMYFUNCTION("""COMPUTED_VALUE"""),"товари")</f>
        <v>товари</v>
      </c>
      <c r="B916" s="16" t="str">
        <f>IFERROR(__xludf.DUMMYFUNCTION("""COMPUTED_VALUE"""),"дача, сад і город")</f>
        <v>дача, сад і город</v>
      </c>
      <c r="C916" s="16" t="str">
        <f>IFERROR(__xludf.DUMMYFUNCTION("""COMPUTED_VALUE"""),"обладнання для фермерських продуктів")</f>
        <v>обладнання для фермерських продуктів</v>
      </c>
      <c r="D916" s="16" t="str">
        <f>IFERROR(__xludf.DUMMYFUNCTION("""COMPUTED_VALUE"""),"дистилятори побутові та комплектуючі до них")</f>
        <v>дистилятори побутові та комплектуючі до них</v>
      </c>
      <c r="E916" s="16" t="str">
        <f>IFERROR(__xludf.DUMMYFUNCTION("""COMPUTED_VALUE"""),"дистилятори побутові та комплектуючі до них")</f>
        <v>дистилятори побутові та комплектуючі до них</v>
      </c>
      <c r="F916" s="17">
        <f>IFERROR(__xludf.DUMMYFUNCTION("""COMPUTED_VALUE"""),3.0)</f>
        <v>3</v>
      </c>
      <c r="G916" s="17" t="str">
        <f>IFERROR(__xludf.DUMMYFUNCTION("""COMPUTED_VALUE"""),"151907")</f>
        <v>151907</v>
      </c>
      <c r="H916" s="17" t="str">
        <f>IFERROR(__xludf.DUMMYFUNCTION("""COMPUTED_VALUE"""),"дистилятори побутові та комплектуючі до них")</f>
        <v>дистилятори побутові та комплектуючі до них</v>
      </c>
      <c r="I916" s="19">
        <f>IFERROR(__xludf.DUMMYFUNCTION("""COMPUTED_VALUE"""),0.0716)</f>
        <v>0.0716</v>
      </c>
      <c r="J916" s="19">
        <f>IFERROR(__xludf.DUMMYFUNCTION("""COMPUTED_VALUE"""),0.1432)</f>
        <v>0.1432</v>
      </c>
      <c r="K916" s="19">
        <f>IFERROR(__xludf.DUMMYFUNCTION("""COMPUTED_VALUE"""),0.179)</f>
        <v>0.179</v>
      </c>
      <c r="L916" s="19">
        <f>IFERROR(__xludf.DUMMYFUNCTION("""COMPUTED_VALUE"""),0.2148)</f>
        <v>0.2148</v>
      </c>
      <c r="M916" s="18">
        <f>IFERROR(__xludf.DUMMYFUNCTION("""COMPUTED_VALUE"""),4.14)</f>
        <v>4.14</v>
      </c>
    </row>
    <row r="917">
      <c r="A917" s="13" t="str">
        <f>IFERROR(__xludf.DUMMYFUNCTION("""COMPUTED_VALUE"""),"товари")</f>
        <v>товари</v>
      </c>
      <c r="B917" s="16" t="str">
        <f>IFERROR(__xludf.DUMMYFUNCTION("""COMPUTED_VALUE"""),"товари для дому")</f>
        <v>товари для дому</v>
      </c>
      <c r="C917" s="16" t="str">
        <f>IFERROR(__xludf.DUMMYFUNCTION("""COMPUTED_VALUE"""),"догляд за будинком")</f>
        <v>догляд за будинком</v>
      </c>
      <c r="D917" s="16" t="str">
        <f>IFERROR(__xludf.DUMMYFUNCTION("""COMPUTED_VALUE"""),"догляд за будинком, загальне")</f>
        <v>догляд за будинком, загальне</v>
      </c>
      <c r="E917" s="16" t="str">
        <f>IFERROR(__xludf.DUMMYFUNCTION("""COMPUTED_VALUE"""),"догляд за будинком, загальне")</f>
        <v>догляд за будинком, загальне</v>
      </c>
      <c r="F917" s="17">
        <f>IFERROR(__xludf.DUMMYFUNCTION("""COMPUTED_VALUE"""),3.0)</f>
        <v>3</v>
      </c>
      <c r="G917" s="17" t="str">
        <f>IFERROR(__xludf.DUMMYFUNCTION("""COMPUTED_VALUE"""),"82106")</f>
        <v>82106</v>
      </c>
      <c r="H917" s="17" t="str">
        <f>IFERROR(__xludf.DUMMYFUNCTION("""COMPUTED_VALUE"""),"догляд за будинком, загальне")</f>
        <v>догляд за будинком, загальне</v>
      </c>
      <c r="I917" s="19">
        <f>IFERROR(__xludf.DUMMYFUNCTION("""COMPUTED_VALUE"""),0.125)</f>
        <v>0.125</v>
      </c>
      <c r="J917" s="19">
        <f>IFERROR(__xludf.DUMMYFUNCTION("""COMPUTED_VALUE"""),0.25)</f>
        <v>0.25</v>
      </c>
      <c r="K917" s="19">
        <f>IFERROR(__xludf.DUMMYFUNCTION("""COMPUTED_VALUE"""),0.3125)</f>
        <v>0.3125</v>
      </c>
      <c r="L917" s="19">
        <f>IFERROR(__xludf.DUMMYFUNCTION("""COMPUTED_VALUE"""),0.375)</f>
        <v>0.375</v>
      </c>
      <c r="M917" s="18">
        <f>IFERROR(__xludf.DUMMYFUNCTION("""COMPUTED_VALUE"""),4.33)</f>
        <v>4.33</v>
      </c>
    </row>
    <row r="918">
      <c r="A918" s="13" t="str">
        <f>IFERROR(__xludf.DUMMYFUNCTION("""COMPUTED_VALUE"""),"товари")</f>
        <v>товари</v>
      </c>
      <c r="B918" s="16" t="str">
        <f>IFERROR(__xludf.DUMMYFUNCTION("""COMPUTED_VALUE"""),"товари для дому")</f>
        <v>товари для дому</v>
      </c>
      <c r="C918" s="16" t="str">
        <f>IFERROR(__xludf.DUMMYFUNCTION("""COMPUTED_VALUE"""),"догляд за будинком")</f>
        <v>догляд за будинком</v>
      </c>
      <c r="D918" s="16" t="str">
        <f>IFERROR(__xludf.DUMMYFUNCTION("""COMPUTED_VALUE"""),"догляд за кімнатними рослинами")</f>
        <v>догляд за кімнатними рослинами</v>
      </c>
      <c r="E918" s="16" t="str">
        <f>IFERROR(__xludf.DUMMYFUNCTION("""COMPUTED_VALUE"""),"догляд за кімнатними рослинами, загальне")</f>
        <v>догляд за кімнатними рослинами, загальне</v>
      </c>
      <c r="F918" s="17">
        <f>IFERROR(__xludf.DUMMYFUNCTION("""COMPUTED_VALUE"""),4.0)</f>
        <v>4</v>
      </c>
      <c r="G918" s="17" t="str">
        <f>IFERROR(__xludf.DUMMYFUNCTION("""COMPUTED_VALUE"""),"8211401")</f>
        <v>8211401</v>
      </c>
      <c r="H918" s="17" t="str">
        <f>IFERROR(__xludf.DUMMYFUNCTION("""COMPUTED_VALUE"""),"догляд за кімнатними рослинами, загальне")</f>
        <v>догляд за кімнатними рослинами, загальне</v>
      </c>
      <c r="I918" s="19">
        <f>IFERROR(__xludf.DUMMYFUNCTION("""COMPUTED_VALUE"""),0.125)</f>
        <v>0.125</v>
      </c>
      <c r="J918" s="19">
        <f>IFERROR(__xludf.DUMMYFUNCTION("""COMPUTED_VALUE"""),0.25)</f>
        <v>0.25</v>
      </c>
      <c r="K918" s="19">
        <f>IFERROR(__xludf.DUMMYFUNCTION("""COMPUTED_VALUE"""),0.3125)</f>
        <v>0.3125</v>
      </c>
      <c r="L918" s="19">
        <f>IFERROR(__xludf.DUMMYFUNCTION("""COMPUTED_VALUE"""),0.375)</f>
        <v>0.375</v>
      </c>
      <c r="M918" s="18">
        <f>IFERROR(__xludf.DUMMYFUNCTION("""COMPUTED_VALUE"""),4.33)</f>
        <v>4.33</v>
      </c>
    </row>
    <row r="919">
      <c r="A919" s="13" t="str">
        <f>IFERROR(__xludf.DUMMYFUNCTION("""COMPUTED_VALUE"""),"товари")</f>
        <v>товари</v>
      </c>
      <c r="B919" s="16" t="str">
        <f>IFERROR(__xludf.DUMMYFUNCTION("""COMPUTED_VALUE"""),"товари для дому")</f>
        <v>товари для дому</v>
      </c>
      <c r="C919" s="16" t="str">
        <f>IFERROR(__xludf.DUMMYFUNCTION("""COMPUTED_VALUE"""),"догляд за будинком")</f>
        <v>догляд за будинком</v>
      </c>
      <c r="D919" s="16" t="str">
        <f>IFERROR(__xludf.DUMMYFUNCTION("""COMPUTED_VALUE"""),"догляд за меблями")</f>
        <v>догляд за меблями</v>
      </c>
      <c r="E919" s="16" t="str">
        <f>IFERROR(__xludf.DUMMYFUNCTION("""COMPUTED_VALUE"""),"догляд за меблями, загальне")</f>
        <v>догляд за меблями, загальне</v>
      </c>
      <c r="F919" s="17">
        <f>IFERROR(__xludf.DUMMYFUNCTION("""COMPUTED_VALUE"""),4.0)</f>
        <v>4</v>
      </c>
      <c r="G919" s="17" t="str">
        <f>IFERROR(__xludf.DUMMYFUNCTION("""COMPUTED_VALUE"""),"15031503")</f>
        <v>15031503</v>
      </c>
      <c r="H919" s="17" t="str">
        <f>IFERROR(__xludf.DUMMYFUNCTION("""COMPUTED_VALUE"""),"догляд за меблями, загальне")</f>
        <v>догляд за меблями, загальне</v>
      </c>
      <c r="I919" s="19">
        <f>IFERROR(__xludf.DUMMYFUNCTION("""COMPUTED_VALUE"""),0.125)</f>
        <v>0.125</v>
      </c>
      <c r="J919" s="19">
        <f>IFERROR(__xludf.DUMMYFUNCTION("""COMPUTED_VALUE"""),0.25)</f>
        <v>0.25</v>
      </c>
      <c r="K919" s="19">
        <f>IFERROR(__xludf.DUMMYFUNCTION("""COMPUTED_VALUE"""),0.3125)</f>
        <v>0.3125</v>
      </c>
      <c r="L919" s="19">
        <f>IFERROR(__xludf.DUMMYFUNCTION("""COMPUTED_VALUE"""),0.375)</f>
        <v>0.375</v>
      </c>
      <c r="M919" s="18">
        <f>IFERROR(__xludf.DUMMYFUNCTION("""COMPUTED_VALUE"""),4.33)</f>
        <v>4.33</v>
      </c>
    </row>
    <row r="920">
      <c r="A920" s="13" t="str">
        <f>IFERROR(__xludf.DUMMYFUNCTION("""COMPUTED_VALUE"""),"товари")</f>
        <v>товари</v>
      </c>
      <c r="B920" s="16" t="str">
        <f>IFERROR(__xludf.DUMMYFUNCTION("""COMPUTED_VALUE"""),"товари для дому")</f>
        <v>товари для дому</v>
      </c>
      <c r="C920" s="16" t="str">
        <f>IFERROR(__xludf.DUMMYFUNCTION("""COMPUTED_VALUE"""),"догляд за будинком")</f>
        <v>догляд за будинком</v>
      </c>
      <c r="D920" s="16" t="str">
        <f>IFERROR(__xludf.DUMMYFUNCTION("""COMPUTED_VALUE"""),"догляд за особистими речами")</f>
        <v>догляд за особистими речами</v>
      </c>
      <c r="E920" s="16" t="str">
        <f>IFERROR(__xludf.DUMMYFUNCTION("""COMPUTED_VALUE"""),"догляд за особистими речами, загальне")</f>
        <v>догляд за особистими речами, загальне</v>
      </c>
      <c r="F920" s="17">
        <f>IFERROR(__xludf.DUMMYFUNCTION("""COMPUTED_VALUE"""),4.0)</f>
        <v>4</v>
      </c>
      <c r="G920" s="17" t="str">
        <f>IFERROR(__xludf.DUMMYFUNCTION("""COMPUTED_VALUE"""),"322100399")</f>
        <v>322100399</v>
      </c>
      <c r="H920" s="17" t="str">
        <f>IFERROR(__xludf.DUMMYFUNCTION("""COMPUTED_VALUE"""),"догляд за особистими речами, загальне")</f>
        <v>догляд за особистими речами, загальне</v>
      </c>
      <c r="I920" s="19">
        <f>IFERROR(__xludf.DUMMYFUNCTION("""COMPUTED_VALUE"""),0.125)</f>
        <v>0.125</v>
      </c>
      <c r="J920" s="19">
        <f>IFERROR(__xludf.DUMMYFUNCTION("""COMPUTED_VALUE"""),0.25)</f>
        <v>0.25</v>
      </c>
      <c r="K920" s="19">
        <f>IFERROR(__xludf.DUMMYFUNCTION("""COMPUTED_VALUE"""),0.3125)</f>
        <v>0.3125</v>
      </c>
      <c r="L920" s="19">
        <f>IFERROR(__xludf.DUMMYFUNCTION("""COMPUTED_VALUE"""),0.375)</f>
        <v>0.375</v>
      </c>
      <c r="M920" s="18">
        <f>IFERROR(__xludf.DUMMYFUNCTION("""COMPUTED_VALUE"""),4.33)</f>
        <v>4.33</v>
      </c>
    </row>
    <row r="921">
      <c r="A921" s="13" t="str">
        <f>IFERROR(__xludf.DUMMYFUNCTION("""COMPUTED_VALUE"""),"товари")</f>
        <v>товари</v>
      </c>
      <c r="B921" s="16" t="str">
        <f>IFERROR(__xludf.DUMMYFUNCTION("""COMPUTED_VALUE"""),"товари для дому")</f>
        <v>товари для дому</v>
      </c>
      <c r="C921" s="16" t="str">
        <f>IFERROR(__xludf.DUMMYFUNCTION("""COMPUTED_VALUE"""),"догляд за будинком")</f>
        <v>догляд за будинком</v>
      </c>
      <c r="D921" s="16" t="str">
        <f>IFERROR(__xludf.DUMMYFUNCTION("""COMPUTED_VALUE"""),"догляд за побутовою технікою")</f>
        <v>догляд за побутовою технікою</v>
      </c>
      <c r="E921" s="16" t="str">
        <f>IFERROR(__xludf.DUMMYFUNCTION("""COMPUTED_VALUE"""),"догляд за побутовою технікою, загальне")</f>
        <v>догляд за побутовою технікою, загальне</v>
      </c>
      <c r="F921" s="17">
        <f>IFERROR(__xludf.DUMMYFUNCTION("""COMPUTED_VALUE"""),4.0)</f>
        <v>4</v>
      </c>
      <c r="G921" s="17" t="str">
        <f>IFERROR(__xludf.DUMMYFUNCTION("""COMPUTED_VALUE"""),"8211301")</f>
        <v>8211301</v>
      </c>
      <c r="H921" s="17" t="str">
        <f>IFERROR(__xludf.DUMMYFUNCTION("""COMPUTED_VALUE"""),"догляд за побутовою технікою, загальне")</f>
        <v>догляд за побутовою технікою, загальне</v>
      </c>
      <c r="I921" s="19">
        <f>IFERROR(__xludf.DUMMYFUNCTION("""COMPUTED_VALUE"""),0.125)</f>
        <v>0.125</v>
      </c>
      <c r="J921" s="19">
        <f>IFERROR(__xludf.DUMMYFUNCTION("""COMPUTED_VALUE"""),0.25)</f>
        <v>0.25</v>
      </c>
      <c r="K921" s="19">
        <f>IFERROR(__xludf.DUMMYFUNCTION("""COMPUTED_VALUE"""),0.3125)</f>
        <v>0.3125</v>
      </c>
      <c r="L921" s="19">
        <f>IFERROR(__xludf.DUMMYFUNCTION("""COMPUTED_VALUE"""),0.375)</f>
        <v>0.375</v>
      </c>
      <c r="M921" s="18">
        <f>IFERROR(__xludf.DUMMYFUNCTION("""COMPUTED_VALUE"""),4.33)</f>
        <v>4.33</v>
      </c>
    </row>
    <row r="922">
      <c r="A922" s="13" t="str">
        <f>IFERROR(__xludf.DUMMYFUNCTION("""COMPUTED_VALUE"""),"товари")</f>
        <v>товари</v>
      </c>
      <c r="B922" s="16" t="str">
        <f>IFERROR(__xludf.DUMMYFUNCTION("""COMPUTED_VALUE"""),"товари для дому")</f>
        <v>товари для дому</v>
      </c>
      <c r="C922" s="16" t="str">
        <f>IFERROR(__xludf.DUMMYFUNCTION("""COMPUTED_VALUE"""),"догляд за будинком")</f>
        <v>догляд за будинком</v>
      </c>
      <c r="D922" s="16" t="str">
        <f>IFERROR(__xludf.DUMMYFUNCTION("""COMPUTED_VALUE"""),"прибирання")</f>
        <v>прибирання</v>
      </c>
      <c r="E922" s="16" t="str">
        <f>IFERROR(__xludf.DUMMYFUNCTION("""COMPUTED_VALUE"""),"дозатори для миючих засобів")</f>
        <v>дозатори для миючих засобів</v>
      </c>
      <c r="F922" s="17">
        <f>IFERROR(__xludf.DUMMYFUNCTION("""COMPUTED_VALUE"""),4.0)</f>
        <v>4</v>
      </c>
      <c r="G922" s="17" t="str">
        <f>IFERROR(__xludf.DUMMYFUNCTION("""COMPUTED_VALUE"""),"151415")</f>
        <v>151415</v>
      </c>
      <c r="H922" s="17" t="str">
        <f>IFERROR(__xludf.DUMMYFUNCTION("""COMPUTED_VALUE"""),"дозатори для миючих засобів")</f>
        <v>дозатори для миючих засобів</v>
      </c>
      <c r="I922" s="19">
        <f>IFERROR(__xludf.DUMMYFUNCTION("""COMPUTED_VALUE"""),0.0752)</f>
        <v>0.0752</v>
      </c>
      <c r="J922" s="19">
        <f>IFERROR(__xludf.DUMMYFUNCTION("""COMPUTED_VALUE"""),0.1503)</f>
        <v>0.1503</v>
      </c>
      <c r="K922" s="19">
        <f>IFERROR(__xludf.DUMMYFUNCTION("""COMPUTED_VALUE"""),0.1879)</f>
        <v>0.1879</v>
      </c>
      <c r="L922" s="19">
        <f>IFERROR(__xludf.DUMMYFUNCTION("""COMPUTED_VALUE"""),0.2255)</f>
        <v>0.2255</v>
      </c>
      <c r="M922" s="18">
        <f>IFERROR(__xludf.DUMMYFUNCTION("""COMPUTED_VALUE"""),2.53)</f>
        <v>2.53</v>
      </c>
    </row>
    <row r="923">
      <c r="A923" s="13" t="str">
        <f>IFERROR(__xludf.DUMMYFUNCTION("""COMPUTED_VALUE"""),"товари")</f>
        <v>товари</v>
      </c>
      <c r="B923" s="16" t="str">
        <f>IFERROR(__xludf.DUMMYFUNCTION("""COMPUTED_VALUE"""),"товари для дому")</f>
        <v>товари для дому</v>
      </c>
      <c r="C923" s="16" t="str">
        <f>IFERROR(__xludf.DUMMYFUNCTION("""COMPUTED_VALUE"""),"розумний будинок")</f>
        <v>розумний будинок</v>
      </c>
      <c r="D923" s="16" t="str">
        <f>IFERROR(__xludf.DUMMYFUNCTION("""COMPUTED_VALUE"""),"домофони")</f>
        <v>домофони</v>
      </c>
      <c r="E923" s="16" t="str">
        <f>IFERROR(__xludf.DUMMYFUNCTION("""COMPUTED_VALUE"""),"домофони")</f>
        <v>домофони</v>
      </c>
      <c r="F923" s="17">
        <f>IFERROR(__xludf.DUMMYFUNCTION("""COMPUTED_VALUE"""),3.0)</f>
        <v>3</v>
      </c>
      <c r="G923" s="17" t="str">
        <f>IFERROR(__xludf.DUMMYFUNCTION("""COMPUTED_VALUE"""),"3029")</f>
        <v>3029</v>
      </c>
      <c r="H923" s="17" t="str">
        <f>IFERROR(__xludf.DUMMYFUNCTION("""COMPUTED_VALUE"""),"домофони")</f>
        <v>домофони</v>
      </c>
      <c r="I923" s="19">
        <f>IFERROR(__xludf.DUMMYFUNCTION("""COMPUTED_VALUE"""),0.0752)</f>
        <v>0.0752</v>
      </c>
      <c r="J923" s="19">
        <f>IFERROR(__xludf.DUMMYFUNCTION("""COMPUTED_VALUE"""),0.1503)</f>
        <v>0.1503</v>
      </c>
      <c r="K923" s="19">
        <f>IFERROR(__xludf.DUMMYFUNCTION("""COMPUTED_VALUE"""),0.1879)</f>
        <v>0.1879</v>
      </c>
      <c r="L923" s="19">
        <f>IFERROR(__xludf.DUMMYFUNCTION("""COMPUTED_VALUE"""),0.2255)</f>
        <v>0.2255</v>
      </c>
      <c r="M923" s="18">
        <f>IFERROR(__xludf.DUMMYFUNCTION("""COMPUTED_VALUE"""),5.4)</f>
        <v>5.4</v>
      </c>
    </row>
    <row r="924">
      <c r="A924" s="13" t="str">
        <f>IFERROR(__xludf.DUMMYFUNCTION("""COMPUTED_VALUE"""),"товари")</f>
        <v>товари</v>
      </c>
      <c r="B924" s="16" t="str">
        <f>IFERROR(__xludf.DUMMYFUNCTION("""COMPUTED_VALUE"""),"дача, сад і город")</f>
        <v>дача, сад і город</v>
      </c>
      <c r="C924" s="16" t="str">
        <f>IFERROR(__xludf.DUMMYFUNCTION("""COMPUTED_VALUE"""),"обладнання для поливу")</f>
        <v>обладнання для поливу</v>
      </c>
      <c r="D924" s="16" t="str">
        <f>IFERROR(__xludf.DUMMYFUNCTION("""COMPUTED_VALUE"""),"дощувателі, зрошувачі, крапельниці для поливу")</f>
        <v>дощувателі, зрошувачі, крапельниці для поливу</v>
      </c>
      <c r="E924" s="16" t="str">
        <f>IFERROR(__xludf.DUMMYFUNCTION("""COMPUTED_VALUE"""),"дощувателі, зрошувачі, крапельниці для поливу")</f>
        <v>дощувателі, зрошувачі, крапельниці для поливу</v>
      </c>
      <c r="F924" s="17">
        <f>IFERROR(__xludf.DUMMYFUNCTION("""COMPUTED_VALUE"""),3.0)</f>
        <v>3</v>
      </c>
      <c r="G924" s="17" t="str">
        <f>IFERROR(__xludf.DUMMYFUNCTION("""COMPUTED_VALUE"""),"1250342")</f>
        <v>1250342</v>
      </c>
      <c r="H924" s="17" t="str">
        <f>IFERROR(__xludf.DUMMYFUNCTION("""COMPUTED_VALUE"""),"дощувателі, зрошувачі, крапельниці для поливу")</f>
        <v>дощувателі, зрошувачі, крапельниці для поливу</v>
      </c>
      <c r="I924" s="19">
        <f>IFERROR(__xludf.DUMMYFUNCTION("""COMPUTED_VALUE"""),0.0776)</f>
        <v>0.0776</v>
      </c>
      <c r="J924" s="19">
        <f>IFERROR(__xludf.DUMMYFUNCTION("""COMPUTED_VALUE"""),0.1552)</f>
        <v>0.1552</v>
      </c>
      <c r="K924" s="19">
        <f>IFERROR(__xludf.DUMMYFUNCTION("""COMPUTED_VALUE"""),0.194)</f>
        <v>0.194</v>
      </c>
      <c r="L924" s="19">
        <f>IFERROR(__xludf.DUMMYFUNCTION("""COMPUTED_VALUE"""),0.2328)</f>
        <v>0.2328</v>
      </c>
      <c r="M924" s="18">
        <f>IFERROR(__xludf.DUMMYFUNCTION("""COMPUTED_VALUE"""),3.43)</f>
        <v>3.43</v>
      </c>
    </row>
    <row r="925">
      <c r="A925" s="13" t="str">
        <f>IFERROR(__xludf.DUMMYFUNCTION("""COMPUTED_VALUE"""),"товари")</f>
        <v>товари</v>
      </c>
      <c r="B925" s="16" t="str">
        <f>IFERROR(__xludf.DUMMYFUNCTION("""COMPUTED_VALUE"""),"дача, сад і город")</f>
        <v>дача, сад і город</v>
      </c>
      <c r="C925" s="16" t="str">
        <f>IFERROR(__xludf.DUMMYFUNCTION("""COMPUTED_VALUE"""),"мінісільгосптехніка")</f>
        <v>мінісільгосптехніка</v>
      </c>
      <c r="D925" s="16" t="str">
        <f>IFERROR(__xludf.DUMMYFUNCTION("""COMPUTED_VALUE"""),"думпери, міні-самоскиди")</f>
        <v>думпери, міні-самоскиди</v>
      </c>
      <c r="E925" s="16" t="str">
        <f>IFERROR(__xludf.DUMMYFUNCTION("""COMPUTED_VALUE"""),"думпери, міні-самоскиди")</f>
        <v>думпери, міні-самоскиди</v>
      </c>
      <c r="F925" s="17">
        <f>IFERROR(__xludf.DUMMYFUNCTION("""COMPUTED_VALUE"""),3.0)</f>
        <v>3</v>
      </c>
      <c r="G925" s="17" t="str">
        <f>IFERROR(__xludf.DUMMYFUNCTION("""COMPUTED_VALUE"""),"1250360")</f>
        <v>1250360</v>
      </c>
      <c r="H925" s="17" t="str">
        <f>IFERROR(__xludf.DUMMYFUNCTION("""COMPUTED_VALUE"""),"думпери, міні-самоскиди")</f>
        <v>думпери, міні-самоскиди</v>
      </c>
      <c r="I925" s="19">
        <f>IFERROR(__xludf.DUMMYFUNCTION("""COMPUTED_VALUE"""),0.0529)</f>
        <v>0.0529</v>
      </c>
      <c r="J925" s="19">
        <f>IFERROR(__xludf.DUMMYFUNCTION("""COMPUTED_VALUE"""),0.1057)</f>
        <v>0.1057</v>
      </c>
      <c r="K925" s="19">
        <f>IFERROR(__xludf.DUMMYFUNCTION("""COMPUTED_VALUE"""),0.1321)</f>
        <v>0.1321</v>
      </c>
      <c r="L925" s="19">
        <f>IFERROR(__xludf.DUMMYFUNCTION("""COMPUTED_VALUE"""),0.1586)</f>
        <v>0.1586</v>
      </c>
      <c r="M925" s="18">
        <f>IFERROR(__xludf.DUMMYFUNCTION("""COMPUTED_VALUE"""),2.08)</f>
        <v>2.08</v>
      </c>
    </row>
    <row r="926">
      <c r="A926" s="13" t="str">
        <f>IFERROR(__xludf.DUMMYFUNCTION("""COMPUTED_VALUE"""),"товари")</f>
        <v>товари</v>
      </c>
      <c r="B926" s="16" t="str">
        <f>IFERROR(__xludf.DUMMYFUNCTION("""COMPUTED_VALUE"""),"дача, сад і город")</f>
        <v>дача, сад і город</v>
      </c>
      <c r="C926" s="16" t="str">
        <f>IFERROR(__xludf.DUMMYFUNCTION("""COMPUTED_VALUE"""),"санвузли дачні")</f>
        <v>санвузли дачні</v>
      </c>
      <c r="D926" s="16" t="str">
        <f>IFERROR(__xludf.DUMMYFUNCTION("""COMPUTED_VALUE"""),"душові кабіни дачні та рукомийники")</f>
        <v>душові кабіни дачні та рукомийники</v>
      </c>
      <c r="E926" s="16" t="str">
        <f>IFERROR(__xludf.DUMMYFUNCTION("""COMPUTED_VALUE"""),"душові кабіни дачні та рукомийники")</f>
        <v>душові кабіни дачні та рукомийники</v>
      </c>
      <c r="F926" s="17">
        <f>IFERROR(__xludf.DUMMYFUNCTION("""COMPUTED_VALUE"""),3.0)</f>
        <v>3</v>
      </c>
      <c r="G926" s="17" t="str">
        <f>IFERROR(__xludf.DUMMYFUNCTION("""COMPUTED_VALUE"""),"13240209")</f>
        <v>13240209</v>
      </c>
      <c r="H926" s="17" t="str">
        <f>IFERROR(__xludf.DUMMYFUNCTION("""COMPUTED_VALUE"""),"душові кабіни дачні та рукомийники")</f>
        <v>душові кабіни дачні та рукомийники</v>
      </c>
      <c r="I926" s="19">
        <f>IFERROR(__xludf.DUMMYFUNCTION("""COMPUTED_VALUE"""),0.0493)</f>
        <v>0.0493</v>
      </c>
      <c r="J926" s="19">
        <f>IFERROR(__xludf.DUMMYFUNCTION("""COMPUTED_VALUE"""),0.0986)</f>
        <v>0.0986</v>
      </c>
      <c r="K926" s="19">
        <f>IFERROR(__xludf.DUMMYFUNCTION("""COMPUTED_VALUE"""),0.1233)</f>
        <v>0.1233</v>
      </c>
      <c r="L926" s="19">
        <f>IFERROR(__xludf.DUMMYFUNCTION("""COMPUTED_VALUE"""),0.1479)</f>
        <v>0.1479</v>
      </c>
      <c r="M926" s="18">
        <f>IFERROR(__xludf.DUMMYFUNCTION("""COMPUTED_VALUE"""),2.79)</f>
        <v>2.79</v>
      </c>
    </row>
    <row r="927">
      <c r="A927" s="13" t="str">
        <f>IFERROR(__xludf.DUMMYFUNCTION("""COMPUTED_VALUE"""),"товари")</f>
        <v>товари</v>
      </c>
      <c r="B927" s="16" t="str">
        <f>IFERROR(__xludf.DUMMYFUNCTION("""COMPUTED_VALUE"""),"товари для дому")</f>
        <v>товари для дому</v>
      </c>
      <c r="C927" s="16" t="str">
        <f>IFERROR(__xludf.DUMMYFUNCTION("""COMPUTED_VALUE"""),"текстиль")</f>
        <v>текстиль</v>
      </c>
      <c r="D927" s="16" t="str">
        <f>IFERROR(__xludf.DUMMYFUNCTION("""COMPUTED_VALUE"""),"текстиль для спальні")</f>
        <v>текстиль для спальні</v>
      </c>
      <c r="E927" s="16" t="str">
        <f>IFERROR(__xludf.DUMMYFUNCTION("""COMPUTED_VALUE"""),"електричні простирадла та ковдри")</f>
        <v>електричні простирадла та ковдри</v>
      </c>
      <c r="F927" s="17">
        <f>IFERROR(__xludf.DUMMYFUNCTION("""COMPUTED_VALUE"""),4.0)</f>
        <v>4</v>
      </c>
      <c r="G927" s="17" t="str">
        <f>IFERROR(__xludf.DUMMYFUNCTION("""COMPUTED_VALUE"""),"16252401")</f>
        <v>16252401</v>
      </c>
      <c r="H927" s="17" t="str">
        <f>IFERROR(__xludf.DUMMYFUNCTION("""COMPUTED_VALUE"""),"електричні простирадла та ковдри")</f>
        <v>електричні простирадла та ковдри</v>
      </c>
      <c r="I927" s="19">
        <f>IFERROR(__xludf.DUMMYFUNCTION("""COMPUTED_VALUE"""),0.075)</f>
        <v>0.075</v>
      </c>
      <c r="J927" s="19">
        <f>IFERROR(__xludf.DUMMYFUNCTION("""COMPUTED_VALUE"""),0.15)</f>
        <v>0.15</v>
      </c>
      <c r="K927" s="19">
        <f>IFERROR(__xludf.DUMMYFUNCTION("""COMPUTED_VALUE"""),0.1875)</f>
        <v>0.1875</v>
      </c>
      <c r="L927" s="19">
        <f>IFERROR(__xludf.DUMMYFUNCTION("""COMPUTED_VALUE"""),0.225)</f>
        <v>0.225</v>
      </c>
      <c r="M927" s="18">
        <f>IFERROR(__xludf.DUMMYFUNCTION("""COMPUTED_VALUE"""),2.16)</f>
        <v>2.16</v>
      </c>
    </row>
    <row r="928">
      <c r="A928" s="13" t="str">
        <f>IFERROR(__xludf.DUMMYFUNCTION("""COMPUTED_VALUE"""),"товари")</f>
        <v>товари</v>
      </c>
      <c r="B928" s="16" t="str">
        <f>IFERROR(__xludf.DUMMYFUNCTION("""COMPUTED_VALUE"""),"товари для дому")</f>
        <v>товари для дому</v>
      </c>
      <c r="C928" s="16" t="str">
        <f>IFERROR(__xludf.DUMMYFUNCTION("""COMPUTED_VALUE"""),"декор для дому")</f>
        <v>декор для дому</v>
      </c>
      <c r="D928" s="16" t="str">
        <f>IFERROR(__xludf.DUMMYFUNCTION("""COMPUTED_VALUE"""),"інтер'єрні аксесуари")</f>
        <v>інтер'єрні аксесуари</v>
      </c>
      <c r="E928" s="16" t="str">
        <f>IFERROR(__xludf.DUMMYFUNCTION("""COMPUTED_VALUE"""),"електронні свічки")</f>
        <v>електронні свічки</v>
      </c>
      <c r="F928" s="17">
        <f>IFERROR(__xludf.DUMMYFUNCTION("""COMPUTED_VALUE"""),4.0)</f>
        <v>4</v>
      </c>
      <c r="G928" s="17" t="str">
        <f>IFERROR(__xludf.DUMMYFUNCTION("""COMPUTED_VALUE"""),"371020")</f>
        <v>371020</v>
      </c>
      <c r="H928" s="17" t="str">
        <f>IFERROR(__xludf.DUMMYFUNCTION("""COMPUTED_VALUE"""),"електронні свічки")</f>
        <v>електронні свічки</v>
      </c>
      <c r="I928" s="19">
        <f>IFERROR(__xludf.DUMMYFUNCTION("""COMPUTED_VALUE"""),0.0864)</f>
        <v>0.0864</v>
      </c>
      <c r="J928" s="19">
        <f>IFERROR(__xludf.DUMMYFUNCTION("""COMPUTED_VALUE"""),0.1728)</f>
        <v>0.1728</v>
      </c>
      <c r="K928" s="19">
        <f>IFERROR(__xludf.DUMMYFUNCTION("""COMPUTED_VALUE"""),0.216)</f>
        <v>0.216</v>
      </c>
      <c r="L928" s="19">
        <f>IFERROR(__xludf.DUMMYFUNCTION("""COMPUTED_VALUE"""),0.2592)</f>
        <v>0.2592</v>
      </c>
      <c r="M928" s="18">
        <f>IFERROR(__xludf.DUMMYFUNCTION("""COMPUTED_VALUE"""),1.53)</f>
        <v>1.53</v>
      </c>
    </row>
    <row r="929">
      <c r="A929" s="13" t="str">
        <f>IFERROR(__xludf.DUMMYFUNCTION("""COMPUTED_VALUE"""),"товари")</f>
        <v>товари</v>
      </c>
      <c r="B929" s="16" t="str">
        <f>IFERROR(__xludf.DUMMYFUNCTION("""COMPUTED_VALUE"""),"товари для дому")</f>
        <v>товари для дому</v>
      </c>
      <c r="C929" s="16" t="str">
        <f>IFERROR(__xludf.DUMMYFUNCTION("""COMPUTED_VALUE"""),"меблі")</f>
        <v>меблі</v>
      </c>
      <c r="D929" s="16" t="str">
        <f>IFERROR(__xludf.DUMMYFUNCTION("""COMPUTED_VALUE"""),"полиці та стелажі")</f>
        <v>полиці та стелажі</v>
      </c>
      <c r="E929" s="16" t="str">
        <f>IFERROR(__xludf.DUMMYFUNCTION("""COMPUTED_VALUE"""),"етажерки і тумби")</f>
        <v>етажерки і тумби</v>
      </c>
      <c r="F929" s="17">
        <f>IFERROR(__xludf.DUMMYFUNCTION("""COMPUTED_VALUE"""),4.0)</f>
        <v>4</v>
      </c>
      <c r="G929" s="17" t="str">
        <f>IFERROR(__xludf.DUMMYFUNCTION("""COMPUTED_VALUE"""),"1503030102")</f>
        <v>1503030102</v>
      </c>
      <c r="H929" s="17" t="str">
        <f>IFERROR(__xludf.DUMMYFUNCTION("""COMPUTED_VALUE"""),"етажерки і тумби")</f>
        <v>етажерки і тумби</v>
      </c>
      <c r="I929" s="19">
        <f>IFERROR(__xludf.DUMMYFUNCTION("""COMPUTED_VALUE"""),0.0681)</f>
        <v>0.0681</v>
      </c>
      <c r="J929" s="19">
        <f>IFERROR(__xludf.DUMMYFUNCTION("""COMPUTED_VALUE"""),0.1361)</f>
        <v>0.1361</v>
      </c>
      <c r="K929" s="19">
        <f>IFERROR(__xludf.DUMMYFUNCTION("""COMPUTED_VALUE"""),0.1701)</f>
        <v>0.1701</v>
      </c>
      <c r="L929" s="19">
        <f>IFERROR(__xludf.DUMMYFUNCTION("""COMPUTED_VALUE"""),0.2042)</f>
        <v>0.2042</v>
      </c>
      <c r="M929" s="18">
        <f>IFERROR(__xludf.DUMMYFUNCTION("""COMPUTED_VALUE"""),3.15)</f>
        <v>3.15</v>
      </c>
    </row>
    <row r="930">
      <c r="A930" s="13" t="str">
        <f>IFERROR(__xludf.DUMMYFUNCTION("""COMPUTED_VALUE"""),"товари")</f>
        <v>товари</v>
      </c>
      <c r="B930" s="16" t="str">
        <f>IFERROR(__xludf.DUMMYFUNCTION("""COMPUTED_VALUE"""),"дача, сад і город")</f>
        <v>дача, сад і город</v>
      </c>
      <c r="C930" s="16" t="str">
        <f>IFERROR(__xludf.DUMMYFUNCTION("""COMPUTED_VALUE"""),"санвузли дачні")</f>
        <v>санвузли дачні</v>
      </c>
      <c r="D930" s="16" t="str">
        <f>IFERROR(__xludf.DUMMYFUNCTION("""COMPUTED_VALUE"""),"ємності для душа")</f>
        <v>ємності для душа</v>
      </c>
      <c r="E930" s="16" t="str">
        <f>IFERROR(__xludf.DUMMYFUNCTION("""COMPUTED_VALUE"""),"ємності для душа")</f>
        <v>ємності для душа</v>
      </c>
      <c r="F930" s="17">
        <f>IFERROR(__xludf.DUMMYFUNCTION("""COMPUTED_VALUE"""),3.0)</f>
        <v>3</v>
      </c>
      <c r="G930" s="17" t="str">
        <f>IFERROR(__xludf.DUMMYFUNCTION("""COMPUTED_VALUE"""),"13240210")</f>
        <v>13240210</v>
      </c>
      <c r="H930" s="17" t="str">
        <f>IFERROR(__xludf.DUMMYFUNCTION("""COMPUTED_VALUE"""),"ємності для душа")</f>
        <v>ємності для душа</v>
      </c>
      <c r="I930" s="19">
        <f>IFERROR(__xludf.DUMMYFUNCTION("""COMPUTED_VALUE"""),0.0493)</f>
        <v>0.0493</v>
      </c>
      <c r="J930" s="19">
        <f>IFERROR(__xludf.DUMMYFUNCTION("""COMPUTED_VALUE"""),0.0986)</f>
        <v>0.0986</v>
      </c>
      <c r="K930" s="19">
        <f>IFERROR(__xludf.DUMMYFUNCTION("""COMPUTED_VALUE"""),0.1233)</f>
        <v>0.1233</v>
      </c>
      <c r="L930" s="19">
        <f>IFERROR(__xludf.DUMMYFUNCTION("""COMPUTED_VALUE"""),0.1479)</f>
        <v>0.1479</v>
      </c>
      <c r="M930" s="18">
        <f>IFERROR(__xludf.DUMMYFUNCTION("""COMPUTED_VALUE"""),2.79)</f>
        <v>2.79</v>
      </c>
    </row>
    <row r="931">
      <c r="A931" s="13" t="str">
        <f>IFERROR(__xludf.DUMMYFUNCTION("""COMPUTED_VALUE"""),"товари")</f>
        <v>товари</v>
      </c>
      <c r="B931" s="16" t="str">
        <f>IFERROR(__xludf.DUMMYFUNCTION("""COMPUTED_VALUE"""),"товари для дому")</f>
        <v>товари для дому</v>
      </c>
      <c r="C931" s="16" t="str">
        <f>IFERROR(__xludf.DUMMYFUNCTION("""COMPUTED_VALUE"""),"рішення для зберігання")</f>
        <v>рішення для зберігання</v>
      </c>
      <c r="D931" s="16" t="str">
        <f>IFERROR(__xludf.DUMMYFUNCTION("""COMPUTED_VALUE"""),"ємності для зберігання харчових продуктів")</f>
        <v>ємності для зберігання харчових продуктів</v>
      </c>
      <c r="E931" s="16" t="str">
        <f>IFERROR(__xludf.DUMMYFUNCTION("""COMPUTED_VALUE"""),"ємності для зберігання харчових продуктів")</f>
        <v>ємності для зберігання харчових продуктів</v>
      </c>
      <c r="F931" s="17">
        <f>IFERROR(__xludf.DUMMYFUNCTION("""COMPUTED_VALUE"""),3.0)</f>
        <v>3</v>
      </c>
      <c r="G931" s="17" t="str">
        <f>IFERROR(__xludf.DUMMYFUNCTION("""COMPUTED_VALUE"""),"150204")</f>
        <v>150204</v>
      </c>
      <c r="H931" s="17" t="str">
        <f>IFERROR(__xludf.DUMMYFUNCTION("""COMPUTED_VALUE"""),"ємності для зберігання харчових продуктів")</f>
        <v>ємності для зберігання харчових продуктів</v>
      </c>
      <c r="I931" s="19">
        <f>IFERROR(__xludf.DUMMYFUNCTION("""COMPUTED_VALUE"""),0.075)</f>
        <v>0.075</v>
      </c>
      <c r="J931" s="19">
        <f>IFERROR(__xludf.DUMMYFUNCTION("""COMPUTED_VALUE"""),0.15)</f>
        <v>0.15</v>
      </c>
      <c r="K931" s="19">
        <f>IFERROR(__xludf.DUMMYFUNCTION("""COMPUTED_VALUE"""),0.1875)</f>
        <v>0.1875</v>
      </c>
      <c r="L931" s="19">
        <f>IFERROR(__xludf.DUMMYFUNCTION("""COMPUTED_VALUE"""),0.225)</f>
        <v>0.225</v>
      </c>
      <c r="M931" s="18">
        <f>IFERROR(__xludf.DUMMYFUNCTION("""COMPUTED_VALUE"""),1.98)</f>
        <v>1.98</v>
      </c>
    </row>
    <row r="932">
      <c r="A932" s="13" t="str">
        <f>IFERROR(__xludf.DUMMYFUNCTION("""COMPUTED_VALUE"""),"товари")</f>
        <v>товари</v>
      </c>
      <c r="B932" s="16" t="str">
        <f>IFERROR(__xludf.DUMMYFUNCTION("""COMPUTED_VALUE"""),"товари для дому")</f>
        <v>товари для дому</v>
      </c>
      <c r="C932" s="16" t="str">
        <f>IFERROR(__xludf.DUMMYFUNCTION("""COMPUTED_VALUE"""),"декор для дому")</f>
        <v>декор для дому</v>
      </c>
      <c r="D932" s="16" t="str">
        <f>IFERROR(__xludf.DUMMYFUNCTION("""COMPUTED_VALUE"""),"кімнатні рослини")</f>
        <v>кімнатні рослини</v>
      </c>
      <c r="E932" s="16" t="str">
        <f>IFERROR(__xludf.DUMMYFUNCTION("""COMPUTED_VALUE"""),"ємності для рослин")</f>
        <v>ємності для рослин</v>
      </c>
      <c r="F932" s="17">
        <f>IFERROR(__xludf.DUMMYFUNCTION("""COMPUTED_VALUE"""),4.0)</f>
        <v>4</v>
      </c>
      <c r="G932" s="17" t="str">
        <f>IFERROR(__xludf.DUMMYFUNCTION("""COMPUTED_VALUE"""),"1140112")</f>
        <v>1140112</v>
      </c>
      <c r="H932" s="17" t="str">
        <f>IFERROR(__xludf.DUMMYFUNCTION("""COMPUTED_VALUE"""),"ємності для рослин")</f>
        <v>ємності для рослин</v>
      </c>
      <c r="I932" s="19">
        <f>IFERROR(__xludf.DUMMYFUNCTION("""COMPUTED_VALUE"""),0.075)</f>
        <v>0.075</v>
      </c>
      <c r="J932" s="19">
        <f>IFERROR(__xludf.DUMMYFUNCTION("""COMPUTED_VALUE"""),0.15)</f>
        <v>0.15</v>
      </c>
      <c r="K932" s="19">
        <f>IFERROR(__xludf.DUMMYFUNCTION("""COMPUTED_VALUE"""),0.1875)</f>
        <v>0.1875</v>
      </c>
      <c r="L932" s="19">
        <f>IFERROR(__xludf.DUMMYFUNCTION("""COMPUTED_VALUE"""),0.225)</f>
        <v>0.225</v>
      </c>
      <c r="M932" s="18">
        <f>IFERROR(__xludf.DUMMYFUNCTION("""COMPUTED_VALUE"""),2.25)</f>
        <v>2.25</v>
      </c>
    </row>
    <row r="933">
      <c r="A933" s="13" t="str">
        <f>IFERROR(__xludf.DUMMYFUNCTION("""COMPUTED_VALUE"""),"товари")</f>
        <v>товари</v>
      </c>
      <c r="B933" s="16" t="str">
        <f>IFERROR(__xludf.DUMMYFUNCTION("""COMPUTED_VALUE"""),"товари для дому")</f>
        <v>товари для дому</v>
      </c>
      <c r="C933" s="16" t="str">
        <f>IFERROR(__xludf.DUMMYFUNCTION("""COMPUTED_VALUE"""),"декор для дому")</f>
        <v>декор для дому</v>
      </c>
      <c r="D933" s="16" t="str">
        <f>IFERROR(__xludf.DUMMYFUNCTION("""COMPUTED_VALUE"""),"кімнатні рослини")</f>
        <v>кімнатні рослини</v>
      </c>
      <c r="E933" s="16" t="str">
        <f>IFERROR(__xludf.DUMMYFUNCTION("""COMPUTED_VALUE"""),"кімнатні рослини, загальне")</f>
        <v>кімнатні рослини, загальне</v>
      </c>
      <c r="F933" s="17">
        <f>IFERROR(__xludf.DUMMYFUNCTION("""COMPUTED_VALUE"""),4.0)</f>
        <v>4</v>
      </c>
      <c r="G933" s="17" t="str">
        <f>IFERROR(__xludf.DUMMYFUNCTION("""COMPUTED_VALUE"""),"371031")</f>
        <v>371031</v>
      </c>
      <c r="H933" s="17" t="str">
        <f>IFERROR(__xludf.DUMMYFUNCTION("""COMPUTED_VALUE"""),"кімнатні рослини, загальне")</f>
        <v>кімнатні рослини, загальне</v>
      </c>
      <c r="I933" s="19">
        <f>IFERROR(__xludf.DUMMYFUNCTION("""COMPUTED_VALUE"""),0.125)</f>
        <v>0.125</v>
      </c>
      <c r="J933" s="19">
        <f>IFERROR(__xludf.DUMMYFUNCTION("""COMPUTED_VALUE"""),0.25)</f>
        <v>0.25</v>
      </c>
      <c r="K933" s="19">
        <f>IFERROR(__xludf.DUMMYFUNCTION("""COMPUTED_VALUE"""),0.3125)</f>
        <v>0.3125</v>
      </c>
      <c r="L933" s="19">
        <f>IFERROR(__xludf.DUMMYFUNCTION("""COMPUTED_VALUE"""),0.375)</f>
        <v>0.375</v>
      </c>
      <c r="M933" s="18">
        <f>IFERROR(__xludf.DUMMYFUNCTION("""COMPUTED_VALUE"""),4.33)</f>
        <v>4.33</v>
      </c>
    </row>
    <row r="934">
      <c r="A934" s="13" t="str">
        <f>IFERROR(__xludf.DUMMYFUNCTION("""COMPUTED_VALUE"""),"товари")</f>
        <v>товари</v>
      </c>
      <c r="B934" s="16" t="str">
        <f>IFERROR(__xludf.DUMMYFUNCTION("""COMPUTED_VALUE"""),"товари для дому")</f>
        <v>товари для дому</v>
      </c>
      <c r="C934" s="16" t="str">
        <f>IFERROR(__xludf.DUMMYFUNCTION("""COMPUTED_VALUE"""),"меблі")</f>
        <v>меблі</v>
      </c>
      <c r="D934" s="16" t="str">
        <f>IFERROR(__xludf.DUMMYFUNCTION("""COMPUTED_VALUE"""),"столи")</f>
        <v>столи</v>
      </c>
      <c r="E934" s="16" t="str">
        <f>IFERROR(__xludf.DUMMYFUNCTION("""COMPUTED_VALUE"""),"журнальні столики")</f>
        <v>журнальні столики</v>
      </c>
      <c r="F934" s="17">
        <f>IFERROR(__xludf.DUMMYFUNCTION("""COMPUTED_VALUE"""),4.0)</f>
        <v>4</v>
      </c>
      <c r="G934" s="17" t="str">
        <f>IFERROR(__xludf.DUMMYFUNCTION("""COMPUTED_VALUE"""),"37034007")</f>
        <v>37034007</v>
      </c>
      <c r="H934" s="17" t="str">
        <f>IFERROR(__xludf.DUMMYFUNCTION("""COMPUTED_VALUE"""),"журнальні столики")</f>
        <v>журнальні столики</v>
      </c>
      <c r="I934" s="19">
        <f>IFERROR(__xludf.DUMMYFUNCTION("""COMPUTED_VALUE"""),0.0681)</f>
        <v>0.0681</v>
      </c>
      <c r="J934" s="19">
        <f>IFERROR(__xludf.DUMMYFUNCTION("""COMPUTED_VALUE"""),0.1361)</f>
        <v>0.1361</v>
      </c>
      <c r="K934" s="19">
        <f>IFERROR(__xludf.DUMMYFUNCTION("""COMPUTED_VALUE"""),0.1701)</f>
        <v>0.1701</v>
      </c>
      <c r="L934" s="19">
        <f>IFERROR(__xludf.DUMMYFUNCTION("""COMPUTED_VALUE"""),0.2042)</f>
        <v>0.2042</v>
      </c>
      <c r="M934" s="18">
        <f>IFERROR(__xludf.DUMMYFUNCTION("""COMPUTED_VALUE"""),3.15)</f>
        <v>3.15</v>
      </c>
    </row>
    <row r="935">
      <c r="A935" s="13" t="str">
        <f>IFERROR(__xludf.DUMMYFUNCTION("""COMPUTED_VALUE"""),"товари")</f>
        <v>товари</v>
      </c>
      <c r="B935" s="16" t="str">
        <f>IFERROR(__xludf.DUMMYFUNCTION("""COMPUTED_VALUE"""),"товари для дому")</f>
        <v>товари для дому</v>
      </c>
      <c r="C935" s="16" t="str">
        <f>IFERROR(__xludf.DUMMYFUNCTION("""COMPUTED_VALUE""")," все для консервації")</f>
        <v> все для консервації</v>
      </c>
      <c r="D935" s="16" t="str">
        <f>IFERROR(__xludf.DUMMYFUNCTION("""COMPUTED_VALUE"""),"закаточні машинки ")</f>
        <v>закаточні машинки </v>
      </c>
      <c r="E935" s="16" t="str">
        <f>IFERROR(__xludf.DUMMYFUNCTION("""COMPUTED_VALUE"""),"закаточні машинки ")</f>
        <v>закаточні машинки </v>
      </c>
      <c r="F935" s="17">
        <f>IFERROR(__xludf.DUMMYFUNCTION("""COMPUTED_VALUE"""),3.0)</f>
        <v>3</v>
      </c>
      <c r="G935" s="17" t="str">
        <f>IFERROR(__xludf.DUMMYFUNCTION("""COMPUTED_VALUE"""),"15230437")</f>
        <v>15230437</v>
      </c>
      <c r="H935" s="17" t="str">
        <f>IFERROR(__xludf.DUMMYFUNCTION("""COMPUTED_VALUE"""),"закаточні машинки ")</f>
        <v>закаточні машинки </v>
      </c>
      <c r="I935" s="19">
        <f>IFERROR(__xludf.DUMMYFUNCTION("""COMPUTED_VALUE"""),0.0757)</f>
        <v>0.0757</v>
      </c>
      <c r="J935" s="19">
        <f>IFERROR(__xludf.DUMMYFUNCTION("""COMPUTED_VALUE"""),0.1514)</f>
        <v>0.1514</v>
      </c>
      <c r="K935" s="19">
        <f>IFERROR(__xludf.DUMMYFUNCTION("""COMPUTED_VALUE"""),0.1893)</f>
        <v>0.1893</v>
      </c>
      <c r="L935" s="19">
        <f>IFERROR(__xludf.DUMMYFUNCTION("""COMPUTED_VALUE"""),0.2271)</f>
        <v>0.2271</v>
      </c>
      <c r="M935" s="18">
        <f>IFERROR(__xludf.DUMMYFUNCTION("""COMPUTED_VALUE"""),1.44)</f>
        <v>1.44</v>
      </c>
    </row>
    <row r="936">
      <c r="A936" s="13" t="str">
        <f>IFERROR(__xludf.DUMMYFUNCTION("""COMPUTED_VALUE"""),"товари")</f>
        <v>товари</v>
      </c>
      <c r="B936" s="16" t="str">
        <f>IFERROR(__xludf.DUMMYFUNCTION("""COMPUTED_VALUE"""),"дача, сад і город")</f>
        <v>дача, сад і город</v>
      </c>
      <c r="C936" s="16" t="str">
        <f>IFERROR(__xludf.DUMMYFUNCTION("""COMPUTED_VALUE"""),"аксесуари для барбекю")</f>
        <v>аксесуари для барбекю</v>
      </c>
      <c r="D936" s="16" t="str">
        <f>IFERROR(__xludf.DUMMYFUNCTION("""COMPUTED_VALUE"""),"запальнички")</f>
        <v>запальнички</v>
      </c>
      <c r="E936" s="16" t="str">
        <f>IFERROR(__xludf.DUMMYFUNCTION("""COMPUTED_VALUE"""),"запальнички")</f>
        <v>запальнички</v>
      </c>
      <c r="F936" s="17">
        <f>IFERROR(__xludf.DUMMYFUNCTION("""COMPUTED_VALUE"""),3.0)</f>
        <v>3</v>
      </c>
      <c r="G936" s="17" t="str">
        <f>IFERROR(__xludf.DUMMYFUNCTION("""COMPUTED_VALUE"""),"152605")</f>
        <v>152605</v>
      </c>
      <c r="H936" s="17" t="str">
        <f>IFERROR(__xludf.DUMMYFUNCTION("""COMPUTED_VALUE"""),"запальнички")</f>
        <v>запальнички</v>
      </c>
      <c r="I936" s="19">
        <f>IFERROR(__xludf.DUMMYFUNCTION("""COMPUTED_VALUE"""),0.0825)</f>
        <v>0.0825</v>
      </c>
      <c r="J936" s="19">
        <f>IFERROR(__xludf.DUMMYFUNCTION("""COMPUTED_VALUE"""),0.165)</f>
        <v>0.165</v>
      </c>
      <c r="K936" s="19">
        <f>IFERROR(__xludf.DUMMYFUNCTION("""COMPUTED_VALUE"""),0.2063)</f>
        <v>0.2063</v>
      </c>
      <c r="L936" s="19">
        <f>IFERROR(__xludf.DUMMYFUNCTION("""COMPUTED_VALUE"""),0.2475)</f>
        <v>0.2475</v>
      </c>
      <c r="M936" s="18">
        <f>IFERROR(__xludf.DUMMYFUNCTION("""COMPUTED_VALUE"""),1.71)</f>
        <v>1.71</v>
      </c>
    </row>
    <row r="937">
      <c r="A937" s="13" t="str">
        <f>IFERROR(__xludf.DUMMYFUNCTION("""COMPUTED_VALUE"""),"товари")</f>
        <v>товари</v>
      </c>
      <c r="B937" s="16" t="str">
        <f>IFERROR(__xludf.DUMMYFUNCTION("""COMPUTED_VALUE"""),"дача, сад і город")</f>
        <v>дача, сад і город</v>
      </c>
      <c r="C937" s="16" t="str">
        <f>IFERROR(__xludf.DUMMYFUNCTION("""COMPUTED_VALUE"""),"інструмент для скошування трави")</f>
        <v>інструмент для скошування трави</v>
      </c>
      <c r="D937" s="16" t="str">
        <f>IFERROR(__xludf.DUMMYFUNCTION("""COMPUTED_VALUE"""),"запчастини для тримерів і газонокосарок")</f>
        <v>запчастини для тримерів і газонокосарок</v>
      </c>
      <c r="E937" s="16" t="str">
        <f>IFERROR(__xludf.DUMMYFUNCTION("""COMPUTED_VALUE"""),"запчастини для тримерів і газонокосарок")</f>
        <v>запчастини для тримерів і газонокосарок</v>
      </c>
      <c r="F937" s="17">
        <f>IFERROR(__xludf.DUMMYFUNCTION("""COMPUTED_VALUE"""),3.0)</f>
        <v>3</v>
      </c>
      <c r="G937" s="17" t="str">
        <f>IFERROR(__xludf.DUMMYFUNCTION("""COMPUTED_VALUE"""),"1250357")</f>
        <v>1250357</v>
      </c>
      <c r="H937" s="17" t="str">
        <f>IFERROR(__xludf.DUMMYFUNCTION("""COMPUTED_VALUE"""),"запчастини для тримерів і газонокосарок")</f>
        <v>запчастини для тримерів і газонокосарок</v>
      </c>
      <c r="I937" s="19">
        <f>IFERROR(__xludf.DUMMYFUNCTION("""COMPUTED_VALUE"""),0.0597)</f>
        <v>0.0597</v>
      </c>
      <c r="J937" s="19">
        <f>IFERROR(__xludf.DUMMYFUNCTION("""COMPUTED_VALUE"""),0.1194)</f>
        <v>0.1194</v>
      </c>
      <c r="K937" s="19">
        <f>IFERROR(__xludf.DUMMYFUNCTION("""COMPUTED_VALUE"""),0.1493)</f>
        <v>0.1493</v>
      </c>
      <c r="L937" s="19">
        <f>IFERROR(__xludf.DUMMYFUNCTION("""COMPUTED_VALUE"""),0.1791)</f>
        <v>0.1791</v>
      </c>
      <c r="M937" s="18">
        <f>IFERROR(__xludf.DUMMYFUNCTION("""COMPUTED_VALUE"""),1.53)</f>
        <v>1.53</v>
      </c>
    </row>
    <row r="938">
      <c r="A938" s="13" t="str">
        <f>IFERROR(__xludf.DUMMYFUNCTION("""COMPUTED_VALUE"""),"товари")</f>
        <v>товари</v>
      </c>
      <c r="B938" s="16" t="str">
        <f>IFERROR(__xludf.DUMMYFUNCTION("""COMPUTED_VALUE"""),"товари для дому")</f>
        <v>товари для дому</v>
      </c>
      <c r="C938" s="16" t="str">
        <f>IFERROR(__xludf.DUMMYFUNCTION("""COMPUTED_VALUE"""),"догляд за будинком")</f>
        <v>догляд за будинком</v>
      </c>
      <c r="D938" s="16" t="str">
        <f>IFERROR(__xludf.DUMMYFUNCTION("""COMPUTED_VALUE"""),"захист від комах і гризунів")</f>
        <v>захист від комах і гризунів</v>
      </c>
      <c r="E938" s="16" t="str">
        <f>IFERROR(__xludf.DUMMYFUNCTION("""COMPUTED_VALUE"""),"засоби від гризунів і птахів")</f>
        <v>засоби від гризунів і птахів</v>
      </c>
      <c r="F938" s="17">
        <f>IFERROR(__xludf.DUMMYFUNCTION("""COMPUTED_VALUE"""),4.0)</f>
        <v>4</v>
      </c>
      <c r="G938" s="17" t="str">
        <f>IFERROR(__xludf.DUMMYFUNCTION("""COMPUTED_VALUE"""),"12508")</f>
        <v>12508</v>
      </c>
      <c r="H938" s="17" t="str">
        <f>IFERROR(__xludf.DUMMYFUNCTION("""COMPUTED_VALUE"""),"засоби від гризунів і птахів")</f>
        <v>засоби від гризунів і птахів</v>
      </c>
      <c r="I938" s="19">
        <f>IFERROR(__xludf.DUMMYFUNCTION("""COMPUTED_VALUE"""),0.0798)</f>
        <v>0.0798</v>
      </c>
      <c r="J938" s="19">
        <f>IFERROR(__xludf.DUMMYFUNCTION("""COMPUTED_VALUE"""),0.1596)</f>
        <v>0.1596</v>
      </c>
      <c r="K938" s="19">
        <f>IFERROR(__xludf.DUMMYFUNCTION("""COMPUTED_VALUE"""),0.1995)</f>
        <v>0.1995</v>
      </c>
      <c r="L938" s="19">
        <f>IFERROR(__xludf.DUMMYFUNCTION("""COMPUTED_VALUE"""),0.2394)</f>
        <v>0.2394</v>
      </c>
      <c r="M938" s="18">
        <f>IFERROR(__xludf.DUMMYFUNCTION("""COMPUTED_VALUE"""),3.06)</f>
        <v>3.06</v>
      </c>
    </row>
    <row r="939">
      <c r="A939" s="13" t="str">
        <f>IFERROR(__xludf.DUMMYFUNCTION("""COMPUTED_VALUE"""),"товари")</f>
        <v>товари</v>
      </c>
      <c r="B939" s="16" t="str">
        <f>IFERROR(__xludf.DUMMYFUNCTION("""COMPUTED_VALUE"""),"товари для дому")</f>
        <v>товари для дому</v>
      </c>
      <c r="C939" s="16" t="str">
        <f>IFERROR(__xludf.DUMMYFUNCTION("""COMPUTED_VALUE"""),"догляд за будинком")</f>
        <v>догляд за будинком</v>
      </c>
      <c r="D939" s="16" t="str">
        <f>IFERROR(__xludf.DUMMYFUNCTION("""COMPUTED_VALUE"""),"захист від комах і гризунів")</f>
        <v>захист від комах і гризунів</v>
      </c>
      <c r="E939" s="16" t="str">
        <f>IFERROR(__xludf.DUMMYFUNCTION("""COMPUTED_VALUE"""),"засоби від комах")</f>
        <v>засоби від комах</v>
      </c>
      <c r="F939" s="17">
        <f>IFERROR(__xludf.DUMMYFUNCTION("""COMPUTED_VALUE"""),4.0)</f>
        <v>4</v>
      </c>
      <c r="G939" s="17" t="str">
        <f>IFERROR(__xludf.DUMMYFUNCTION("""COMPUTED_VALUE"""),"151804")</f>
        <v>151804</v>
      </c>
      <c r="H939" s="17" t="str">
        <f>IFERROR(__xludf.DUMMYFUNCTION("""COMPUTED_VALUE"""),"засоби від комах")</f>
        <v>засоби від комах</v>
      </c>
      <c r="I939" s="19">
        <f>IFERROR(__xludf.DUMMYFUNCTION("""COMPUTED_VALUE"""),0.075)</f>
        <v>0.075</v>
      </c>
      <c r="J939" s="19">
        <f>IFERROR(__xludf.DUMMYFUNCTION("""COMPUTED_VALUE"""),0.15)</f>
        <v>0.15</v>
      </c>
      <c r="K939" s="19">
        <f>IFERROR(__xludf.DUMMYFUNCTION("""COMPUTED_VALUE"""),0.1875)</f>
        <v>0.1875</v>
      </c>
      <c r="L939" s="19">
        <f>IFERROR(__xludf.DUMMYFUNCTION("""COMPUTED_VALUE"""),0.225)</f>
        <v>0.225</v>
      </c>
      <c r="M939" s="18">
        <f>IFERROR(__xludf.DUMMYFUNCTION("""COMPUTED_VALUE"""),3.06)</f>
        <v>3.06</v>
      </c>
    </row>
    <row r="940">
      <c r="A940" s="13" t="str">
        <f>IFERROR(__xludf.DUMMYFUNCTION("""COMPUTED_VALUE"""),"товари")</f>
        <v>товари</v>
      </c>
      <c r="B940" s="16" t="str">
        <f>IFERROR(__xludf.DUMMYFUNCTION("""COMPUTED_VALUE"""),"товари для дому")</f>
        <v>товари для дому</v>
      </c>
      <c r="C940" s="16" t="str">
        <f>IFERROR(__xludf.DUMMYFUNCTION("""COMPUTED_VALUE"""),"догляд за будинком")</f>
        <v>догляд за будинком</v>
      </c>
      <c r="D940" s="16" t="str">
        <f>IFERROR(__xludf.DUMMYFUNCTION("""COMPUTED_VALUE"""),"прибирання")</f>
        <v>прибирання</v>
      </c>
      <c r="E940" s="16" t="str">
        <f>IFERROR(__xludf.DUMMYFUNCTION("""COMPUTED_VALUE"""),"засоби для миття посуду")</f>
        <v>засоби для миття посуду</v>
      </c>
      <c r="F940" s="17">
        <f>IFERROR(__xludf.DUMMYFUNCTION("""COMPUTED_VALUE"""),4.0)</f>
        <v>4</v>
      </c>
      <c r="G940" s="17" t="str">
        <f>IFERROR(__xludf.DUMMYFUNCTION("""COMPUTED_VALUE"""),"8210502")</f>
        <v>8210502</v>
      </c>
      <c r="H940" s="17" t="str">
        <f>IFERROR(__xludf.DUMMYFUNCTION("""COMPUTED_VALUE"""),"засоби для миття посуду")</f>
        <v>засоби для миття посуду</v>
      </c>
      <c r="I940" s="19">
        <f>IFERROR(__xludf.DUMMYFUNCTION("""COMPUTED_VALUE"""),0.0736)</f>
        <v>0.0736</v>
      </c>
      <c r="J940" s="19">
        <f>IFERROR(__xludf.DUMMYFUNCTION("""COMPUTED_VALUE"""),0.1472)</f>
        <v>0.1472</v>
      </c>
      <c r="K940" s="19">
        <f>IFERROR(__xludf.DUMMYFUNCTION("""COMPUTED_VALUE"""),0.184)</f>
        <v>0.184</v>
      </c>
      <c r="L940" s="19">
        <f>IFERROR(__xludf.DUMMYFUNCTION("""COMPUTED_VALUE"""),0.2208)</f>
        <v>0.2208</v>
      </c>
      <c r="M940" s="18">
        <f>IFERROR(__xludf.DUMMYFUNCTION("""COMPUTED_VALUE"""),2.53)</f>
        <v>2.53</v>
      </c>
    </row>
    <row r="941">
      <c r="A941" s="13" t="str">
        <f>IFERROR(__xludf.DUMMYFUNCTION("""COMPUTED_VALUE"""),"товари")</f>
        <v>товари</v>
      </c>
      <c r="B941" s="16" t="str">
        <f>IFERROR(__xludf.DUMMYFUNCTION("""COMPUTED_VALUE"""),"товари для дому")</f>
        <v>товари для дому</v>
      </c>
      <c r="C941" s="16" t="str">
        <f>IFERROR(__xludf.DUMMYFUNCTION("""COMPUTED_VALUE"""),"догляд за будинком")</f>
        <v>догляд за будинком</v>
      </c>
      <c r="D941" s="16" t="str">
        <f>IFERROR(__xludf.DUMMYFUNCTION("""COMPUTED_VALUE"""),"догляд за побутовою технікою")</f>
        <v>догляд за побутовою технікою</v>
      </c>
      <c r="E941" s="16" t="str">
        <f>IFERROR(__xludf.DUMMYFUNCTION("""COMPUTED_VALUE"""),"засоби для очищення побутової техніки")</f>
        <v>засоби для очищення побутової техніки</v>
      </c>
      <c r="F941" s="17">
        <f>IFERROR(__xludf.DUMMYFUNCTION("""COMPUTED_VALUE"""),4.0)</f>
        <v>4</v>
      </c>
      <c r="G941" s="17" t="str">
        <f>IFERROR(__xludf.DUMMYFUNCTION("""COMPUTED_VALUE"""),"8210510")</f>
        <v>8210510</v>
      </c>
      <c r="H941" s="17" t="str">
        <f>IFERROR(__xludf.DUMMYFUNCTION("""COMPUTED_VALUE"""),"засоби для очищення побутової техніки")</f>
        <v>засоби для очищення побутової техніки</v>
      </c>
      <c r="I941" s="19">
        <f>IFERROR(__xludf.DUMMYFUNCTION("""COMPUTED_VALUE"""),0.0722)</f>
        <v>0.0722</v>
      </c>
      <c r="J941" s="19">
        <f>IFERROR(__xludf.DUMMYFUNCTION("""COMPUTED_VALUE"""),0.1443)</f>
        <v>0.1443</v>
      </c>
      <c r="K941" s="19">
        <f>IFERROR(__xludf.DUMMYFUNCTION("""COMPUTED_VALUE"""),0.1804)</f>
        <v>0.1804</v>
      </c>
      <c r="L941" s="19">
        <f>IFERROR(__xludf.DUMMYFUNCTION("""COMPUTED_VALUE"""),0.2165)</f>
        <v>0.2165</v>
      </c>
      <c r="M941" s="18">
        <f>IFERROR(__xludf.DUMMYFUNCTION("""COMPUTED_VALUE"""),2.34)</f>
        <v>2.34</v>
      </c>
    </row>
    <row r="942">
      <c r="A942" s="13" t="str">
        <f>IFERROR(__xludf.DUMMYFUNCTION("""COMPUTED_VALUE"""),"товари")</f>
        <v>товари</v>
      </c>
      <c r="B942" s="16" t="str">
        <f>IFERROR(__xludf.DUMMYFUNCTION("""COMPUTED_VALUE"""),"товари для дому")</f>
        <v>товари для дому</v>
      </c>
      <c r="C942" s="16" t="str">
        <f>IFERROR(__xludf.DUMMYFUNCTION("""COMPUTED_VALUE"""),"догляд за будинком")</f>
        <v>догляд за будинком</v>
      </c>
      <c r="D942" s="16" t="str">
        <f>IFERROR(__xludf.DUMMYFUNCTION("""COMPUTED_VALUE"""),"прання і прасування")</f>
        <v>прання і прасування</v>
      </c>
      <c r="E942" s="16" t="str">
        <f>IFERROR(__xludf.DUMMYFUNCTION("""COMPUTED_VALUE"""),"засоби для прання")</f>
        <v>засоби для прання</v>
      </c>
      <c r="F942" s="17">
        <f>IFERROR(__xludf.DUMMYFUNCTION("""COMPUTED_VALUE"""),4.0)</f>
        <v>4</v>
      </c>
      <c r="G942" s="17" t="str">
        <f>IFERROR(__xludf.DUMMYFUNCTION("""COMPUTED_VALUE"""),"82104")</f>
        <v>82104</v>
      </c>
      <c r="H942" s="17" t="str">
        <f>IFERROR(__xludf.DUMMYFUNCTION("""COMPUTED_VALUE"""),"засоби для прання")</f>
        <v>засоби для прання</v>
      </c>
      <c r="I942" s="19">
        <f>IFERROR(__xludf.DUMMYFUNCTION("""COMPUTED_VALUE"""),0.0736)</f>
        <v>0.0736</v>
      </c>
      <c r="J942" s="19">
        <f>IFERROR(__xludf.DUMMYFUNCTION("""COMPUTED_VALUE"""),0.1472)</f>
        <v>0.1472</v>
      </c>
      <c r="K942" s="19">
        <f>IFERROR(__xludf.DUMMYFUNCTION("""COMPUTED_VALUE"""),0.184)</f>
        <v>0.184</v>
      </c>
      <c r="L942" s="19">
        <f>IFERROR(__xludf.DUMMYFUNCTION("""COMPUTED_VALUE"""),0.2208)</f>
        <v>0.2208</v>
      </c>
      <c r="M942" s="18">
        <f>IFERROR(__xludf.DUMMYFUNCTION("""COMPUTED_VALUE"""),1.98)</f>
        <v>1.98</v>
      </c>
    </row>
    <row r="943">
      <c r="A943" s="13" t="str">
        <f>IFERROR(__xludf.DUMMYFUNCTION("""COMPUTED_VALUE"""),"товари")</f>
        <v>товари</v>
      </c>
      <c r="B943" s="16" t="str">
        <f>IFERROR(__xludf.DUMMYFUNCTION("""COMPUTED_VALUE"""),"товари для дому")</f>
        <v>товари для дому</v>
      </c>
      <c r="C943" s="16" t="str">
        <f>IFERROR(__xludf.DUMMYFUNCTION("""COMPUTED_VALUE"""),"догляд за будинком")</f>
        <v>догляд за будинком</v>
      </c>
      <c r="D943" s="16" t="str">
        <f>IFERROR(__xludf.DUMMYFUNCTION("""COMPUTED_VALUE"""),"прибирання")</f>
        <v>прибирання</v>
      </c>
      <c r="E943" s="16" t="str">
        <f>IFERROR(__xludf.DUMMYFUNCTION("""COMPUTED_VALUE"""),"засоби для прибирання шерсті")</f>
        <v>засоби для прибирання шерсті</v>
      </c>
      <c r="F943" s="17">
        <f>IFERROR(__xludf.DUMMYFUNCTION("""COMPUTED_VALUE"""),4.0)</f>
        <v>4</v>
      </c>
      <c r="G943" s="17" t="str">
        <f>IFERROR(__xludf.DUMMYFUNCTION("""COMPUTED_VALUE"""),"151404")</f>
        <v>151404</v>
      </c>
      <c r="H943" s="17" t="str">
        <f>IFERROR(__xludf.DUMMYFUNCTION("""COMPUTED_VALUE"""),"засоби для прибирання шерсті")</f>
        <v>засоби для прибирання шерсті</v>
      </c>
      <c r="I943" s="19">
        <f>IFERROR(__xludf.DUMMYFUNCTION("""COMPUTED_VALUE"""),0.0752)</f>
        <v>0.0752</v>
      </c>
      <c r="J943" s="19">
        <f>IFERROR(__xludf.DUMMYFUNCTION("""COMPUTED_VALUE"""),0.1503)</f>
        <v>0.1503</v>
      </c>
      <c r="K943" s="19">
        <f>IFERROR(__xludf.DUMMYFUNCTION("""COMPUTED_VALUE"""),0.1879)</f>
        <v>0.1879</v>
      </c>
      <c r="L943" s="19">
        <f>IFERROR(__xludf.DUMMYFUNCTION("""COMPUTED_VALUE"""),0.2255)</f>
        <v>0.2255</v>
      </c>
      <c r="M943" s="18">
        <f>IFERROR(__xludf.DUMMYFUNCTION("""COMPUTED_VALUE"""),2.53)</f>
        <v>2.53</v>
      </c>
    </row>
    <row r="944">
      <c r="A944" s="13" t="str">
        <f>IFERROR(__xludf.DUMMYFUNCTION("""COMPUTED_VALUE"""),"товари")</f>
        <v>товари</v>
      </c>
      <c r="B944" s="16" t="str">
        <f>IFERROR(__xludf.DUMMYFUNCTION("""COMPUTED_VALUE"""),"дача, сад і город")</f>
        <v>дача, сад і город</v>
      </c>
      <c r="C944" s="16" t="str">
        <f>IFERROR(__xludf.DUMMYFUNCTION("""COMPUTED_VALUE"""),"аксесуари для барбекю")</f>
        <v>аксесуари для барбекю</v>
      </c>
      <c r="D944" s="16" t="str">
        <f>IFERROR(__xludf.DUMMYFUNCTION("""COMPUTED_VALUE"""),"засоби для розпалювання вогню")</f>
        <v>засоби для розпалювання вогню</v>
      </c>
      <c r="E944" s="16" t="str">
        <f>IFERROR(__xludf.DUMMYFUNCTION("""COMPUTED_VALUE"""),"засоби для розпалювання вогню")</f>
        <v>засоби для розпалювання вогню</v>
      </c>
      <c r="F944" s="17">
        <f>IFERROR(__xludf.DUMMYFUNCTION("""COMPUTED_VALUE"""),3.0)</f>
        <v>3</v>
      </c>
      <c r="G944" s="17" t="str">
        <f>IFERROR(__xludf.DUMMYFUNCTION("""COMPUTED_VALUE"""),"240428")</f>
        <v>240428</v>
      </c>
      <c r="H944" s="17" t="str">
        <f>IFERROR(__xludf.DUMMYFUNCTION("""COMPUTED_VALUE"""),"засоби для розпалювання вогню")</f>
        <v>засоби для розпалювання вогню</v>
      </c>
      <c r="I944" s="19">
        <f>IFERROR(__xludf.DUMMYFUNCTION("""COMPUTED_VALUE"""),0.0771)</f>
        <v>0.0771</v>
      </c>
      <c r="J944" s="19">
        <f>IFERROR(__xludf.DUMMYFUNCTION("""COMPUTED_VALUE"""),0.1541)</f>
        <v>0.1541</v>
      </c>
      <c r="K944" s="19">
        <f>IFERROR(__xludf.DUMMYFUNCTION("""COMPUTED_VALUE"""),0.1926)</f>
        <v>0.1926</v>
      </c>
      <c r="L944" s="19">
        <f>IFERROR(__xludf.DUMMYFUNCTION("""COMPUTED_VALUE"""),0.2312)</f>
        <v>0.2312</v>
      </c>
      <c r="M944" s="18">
        <f>IFERROR(__xludf.DUMMYFUNCTION("""COMPUTED_VALUE"""),3.98)</f>
        <v>3.98</v>
      </c>
    </row>
    <row r="945">
      <c r="A945" s="13" t="str">
        <f>IFERROR(__xludf.DUMMYFUNCTION("""COMPUTED_VALUE"""),"товари")</f>
        <v>товари</v>
      </c>
      <c r="B945" s="16" t="str">
        <f>IFERROR(__xludf.DUMMYFUNCTION("""COMPUTED_VALUE"""),"товари для дому")</f>
        <v>товари для дому</v>
      </c>
      <c r="C945" s="16" t="str">
        <f>IFERROR(__xludf.DUMMYFUNCTION("""COMPUTED_VALUE"""),"аксесуари для саун і лазень")</f>
        <v>аксесуари для саун і лазень</v>
      </c>
      <c r="D945" s="16" t="str">
        <f>IFERROR(__xludf.DUMMYFUNCTION("""COMPUTED_VALUE"""),"засоби для саун і лазень")</f>
        <v>засоби для саун і лазень</v>
      </c>
      <c r="E945" s="16" t="str">
        <f>IFERROR(__xludf.DUMMYFUNCTION("""COMPUTED_VALUE"""),"засоби для саун і лазень")</f>
        <v>засоби для саун і лазень</v>
      </c>
      <c r="F945" s="17">
        <f>IFERROR(__xludf.DUMMYFUNCTION("""COMPUTED_VALUE"""),3.0)</f>
        <v>3</v>
      </c>
      <c r="G945" s="17" t="str">
        <f>IFERROR(__xludf.DUMMYFUNCTION("""COMPUTED_VALUE"""),"15050213")</f>
        <v>15050213</v>
      </c>
      <c r="H945" s="17" t="str">
        <f>IFERROR(__xludf.DUMMYFUNCTION("""COMPUTED_VALUE"""),"засоби для саун і лазень")</f>
        <v>засоби для саун і лазень</v>
      </c>
      <c r="I945" s="19">
        <f>IFERROR(__xludf.DUMMYFUNCTION("""COMPUTED_VALUE"""),0.0565)</f>
        <v>0.0565</v>
      </c>
      <c r="J945" s="19">
        <f>IFERROR(__xludf.DUMMYFUNCTION("""COMPUTED_VALUE"""),0.113)</f>
        <v>0.113</v>
      </c>
      <c r="K945" s="19">
        <f>IFERROR(__xludf.DUMMYFUNCTION("""COMPUTED_VALUE"""),0.1413)</f>
        <v>0.1413</v>
      </c>
      <c r="L945" s="19">
        <f>IFERROR(__xludf.DUMMYFUNCTION("""COMPUTED_VALUE"""),0.1695)</f>
        <v>0.1695</v>
      </c>
      <c r="M945" s="18">
        <f>IFERROR(__xludf.DUMMYFUNCTION("""COMPUTED_VALUE"""),4.2)</f>
        <v>4.2</v>
      </c>
    </row>
    <row r="946">
      <c r="A946" s="13" t="str">
        <f>IFERROR(__xludf.DUMMYFUNCTION("""COMPUTED_VALUE"""),"товари")</f>
        <v>товари</v>
      </c>
      <c r="B946" s="16" t="str">
        <f>IFERROR(__xludf.DUMMYFUNCTION("""COMPUTED_VALUE"""),"товари для дому")</f>
        <v>товари для дому</v>
      </c>
      <c r="C946" s="16" t="str">
        <f>IFERROR(__xludf.DUMMYFUNCTION("""COMPUTED_VALUE"""),"догляд за будинком")</f>
        <v>догляд за будинком</v>
      </c>
      <c r="D946" s="16" t="str">
        <f>IFERROR(__xludf.DUMMYFUNCTION("""COMPUTED_VALUE"""),"догляд за особистими речами")</f>
        <v>догляд за особистими речами</v>
      </c>
      <c r="E946" s="16" t="str">
        <f>IFERROR(__xludf.DUMMYFUNCTION("""COMPUTED_VALUE"""),"засоби для чищення дорогоцінних металів")</f>
        <v>засоби для чищення дорогоцінних металів</v>
      </c>
      <c r="F946" s="17">
        <f>IFERROR(__xludf.DUMMYFUNCTION("""COMPUTED_VALUE"""),4.0)</f>
        <v>4</v>
      </c>
      <c r="G946" s="17" t="str">
        <f>IFERROR(__xludf.DUMMYFUNCTION("""COMPUTED_VALUE"""),"8210512")</f>
        <v>8210512</v>
      </c>
      <c r="H946" s="17" t="str">
        <f>IFERROR(__xludf.DUMMYFUNCTION("""COMPUTED_VALUE"""),"засоби для чищення дорогоцінних металів")</f>
        <v>засоби для чищення дорогоцінних металів</v>
      </c>
      <c r="I946" s="19">
        <f>IFERROR(__xludf.DUMMYFUNCTION("""COMPUTED_VALUE"""),0.0779)</f>
        <v>0.0779</v>
      </c>
      <c r="J946" s="19">
        <f>IFERROR(__xludf.DUMMYFUNCTION("""COMPUTED_VALUE"""),0.1558)</f>
        <v>0.1558</v>
      </c>
      <c r="K946" s="19">
        <f>IFERROR(__xludf.DUMMYFUNCTION("""COMPUTED_VALUE"""),0.1948)</f>
        <v>0.1948</v>
      </c>
      <c r="L946" s="19">
        <f>IFERROR(__xludf.DUMMYFUNCTION("""COMPUTED_VALUE"""),0.2337)</f>
        <v>0.2337</v>
      </c>
      <c r="M946" s="18">
        <f>IFERROR(__xludf.DUMMYFUNCTION("""COMPUTED_VALUE"""),1.98)</f>
        <v>1.98</v>
      </c>
    </row>
    <row r="947">
      <c r="A947" s="13" t="str">
        <f>IFERROR(__xludf.DUMMYFUNCTION("""COMPUTED_VALUE"""),"товари")</f>
        <v>товари</v>
      </c>
      <c r="B947" s="16" t="str">
        <f>IFERROR(__xludf.DUMMYFUNCTION("""COMPUTED_VALUE"""),"товари для дому")</f>
        <v>товари для дому</v>
      </c>
      <c r="C947" s="16" t="str">
        <f>IFERROR(__xludf.DUMMYFUNCTION("""COMPUTED_VALUE"""),"текстиль")</f>
        <v>текстиль</v>
      </c>
      <c r="D947" s="16" t="str">
        <f>IFERROR(__xludf.DUMMYFUNCTION("""COMPUTED_VALUE"""),"килими та килимові доріжки")</f>
        <v>килими та килимові доріжки</v>
      </c>
      <c r="E947" s="16" t="str">
        <f>IFERROR(__xludf.DUMMYFUNCTION("""COMPUTED_VALUE"""),"захисні килимки під крісла")</f>
        <v>захисні килимки під крісла</v>
      </c>
      <c r="F947" s="17">
        <f>IFERROR(__xludf.DUMMYFUNCTION("""COMPUTED_VALUE"""),4.0)</f>
        <v>4</v>
      </c>
      <c r="G947" s="17" t="str">
        <f>IFERROR(__xludf.DUMMYFUNCTION("""COMPUTED_VALUE"""),"1523")</f>
        <v>1523</v>
      </c>
      <c r="H947" s="17" t="str">
        <f>IFERROR(__xludf.DUMMYFUNCTION("""COMPUTED_VALUE"""),"захисні килимки під крісла")</f>
        <v>захисні килимки під крісла</v>
      </c>
      <c r="I947" s="19">
        <f>IFERROR(__xludf.DUMMYFUNCTION("""COMPUTED_VALUE"""),0.0767)</f>
        <v>0.0767</v>
      </c>
      <c r="J947" s="19">
        <f>IFERROR(__xludf.DUMMYFUNCTION("""COMPUTED_VALUE"""),0.1534)</f>
        <v>0.1534</v>
      </c>
      <c r="K947" s="19">
        <f>IFERROR(__xludf.DUMMYFUNCTION("""COMPUTED_VALUE"""),0.1918)</f>
        <v>0.1918</v>
      </c>
      <c r="L947" s="19">
        <f>IFERROR(__xludf.DUMMYFUNCTION("""COMPUTED_VALUE"""),0.2301)</f>
        <v>0.2301</v>
      </c>
      <c r="M947" s="18">
        <f>IFERROR(__xludf.DUMMYFUNCTION("""COMPUTED_VALUE"""),1.63)</f>
        <v>1.63</v>
      </c>
    </row>
    <row r="948">
      <c r="A948" s="13" t="str">
        <f>IFERROR(__xludf.DUMMYFUNCTION("""COMPUTED_VALUE"""),"товари")</f>
        <v>товари</v>
      </c>
      <c r="B948" s="16" t="str">
        <f>IFERROR(__xludf.DUMMYFUNCTION("""COMPUTED_VALUE"""),"товари для дому")</f>
        <v>товари для дому</v>
      </c>
      <c r="C948" s="16" t="str">
        <f>IFERROR(__xludf.DUMMYFUNCTION("""COMPUTED_VALUE"""),"догляд за будинком")</f>
        <v>догляд за будинком</v>
      </c>
      <c r="D948" s="16" t="str">
        <f>IFERROR(__xludf.DUMMYFUNCTION("""COMPUTED_VALUE"""),"захист від комах і гризунів")</f>
        <v>захист від комах і гризунів</v>
      </c>
      <c r="E948" s="16" t="str">
        <f>IFERROR(__xludf.DUMMYFUNCTION("""COMPUTED_VALUE"""),"захист від комах і гризунів, загальне")</f>
        <v>захист від комах і гризунів, загальне</v>
      </c>
      <c r="F948" s="17">
        <f>IFERROR(__xludf.DUMMYFUNCTION("""COMPUTED_VALUE"""),4.0)</f>
        <v>4</v>
      </c>
      <c r="G948" s="17" t="str">
        <f>IFERROR(__xludf.DUMMYFUNCTION("""COMPUTED_VALUE"""),"1520")</f>
        <v>1520</v>
      </c>
      <c r="H948" s="17" t="str">
        <f>IFERROR(__xludf.DUMMYFUNCTION("""COMPUTED_VALUE"""),"захист від комах і гризунів, загальне")</f>
        <v>захист від комах і гризунів, загальне</v>
      </c>
      <c r="I948" s="19">
        <f>IFERROR(__xludf.DUMMYFUNCTION("""COMPUTED_VALUE"""),0.125)</f>
        <v>0.125</v>
      </c>
      <c r="J948" s="19">
        <f>IFERROR(__xludf.DUMMYFUNCTION("""COMPUTED_VALUE"""),0.25)</f>
        <v>0.25</v>
      </c>
      <c r="K948" s="19">
        <f>IFERROR(__xludf.DUMMYFUNCTION("""COMPUTED_VALUE"""),0.3125)</f>
        <v>0.3125</v>
      </c>
      <c r="L948" s="19">
        <f>IFERROR(__xludf.DUMMYFUNCTION("""COMPUTED_VALUE"""),0.375)</f>
        <v>0.375</v>
      </c>
      <c r="M948" s="18">
        <f>IFERROR(__xludf.DUMMYFUNCTION("""COMPUTED_VALUE"""),4.33)</f>
        <v>4.33</v>
      </c>
    </row>
    <row r="949">
      <c r="A949" s="13" t="str">
        <f>IFERROR(__xludf.DUMMYFUNCTION("""COMPUTED_VALUE"""),"товари")</f>
        <v>товари</v>
      </c>
      <c r="B949" s="16" t="str">
        <f>IFERROR(__xludf.DUMMYFUNCTION("""COMPUTED_VALUE"""),"дача, сад і город")</f>
        <v>дача, сад і город</v>
      </c>
      <c r="C949" s="16" t="str">
        <f>IFERROR(__xludf.DUMMYFUNCTION("""COMPUTED_VALUE"""),"обладнання для фермерських продуктів")</f>
        <v>обладнання для фермерських продуктів</v>
      </c>
      <c r="D949" s="16" t="str">
        <f>IFERROR(__xludf.DUMMYFUNCTION("""COMPUTED_VALUE"""),"інкубатори побутові, обладнання для побутових інкубаторів")</f>
        <v>інкубатори побутові, обладнання для побутових інкубаторів</v>
      </c>
      <c r="E949" s="16" t="str">
        <f>IFERROR(__xludf.DUMMYFUNCTION("""COMPUTED_VALUE"""),"інкубатори побутові, обладнання для побутових інкубаторів")</f>
        <v>інкубатори побутові, обладнання для побутових інкубаторів</v>
      </c>
      <c r="F949" s="17">
        <f>IFERROR(__xludf.DUMMYFUNCTION("""COMPUTED_VALUE"""),3.0)</f>
        <v>3</v>
      </c>
      <c r="G949" s="17" t="str">
        <f>IFERROR(__xludf.DUMMYFUNCTION("""COMPUTED_VALUE"""),"151901")</f>
        <v>151901</v>
      </c>
      <c r="H949" s="17" t="str">
        <f>IFERROR(__xludf.DUMMYFUNCTION("""COMPUTED_VALUE"""),"інкубатори побутові, обладнання для побутових інкубаторів")</f>
        <v>інкубатори побутові, обладнання для побутових інкубаторів</v>
      </c>
      <c r="I949" s="19">
        <f>IFERROR(__xludf.DUMMYFUNCTION("""COMPUTED_VALUE"""),0.0749)</f>
        <v>0.0749</v>
      </c>
      <c r="J949" s="19">
        <f>IFERROR(__xludf.DUMMYFUNCTION("""COMPUTED_VALUE"""),0.1497)</f>
        <v>0.1497</v>
      </c>
      <c r="K949" s="19">
        <f>IFERROR(__xludf.DUMMYFUNCTION("""COMPUTED_VALUE"""),0.1871)</f>
        <v>0.1871</v>
      </c>
      <c r="L949" s="19">
        <f>IFERROR(__xludf.DUMMYFUNCTION("""COMPUTED_VALUE"""),0.2246)</f>
        <v>0.2246</v>
      </c>
      <c r="M949" s="18">
        <f>IFERROR(__xludf.DUMMYFUNCTION("""COMPUTED_VALUE"""),4.14)</f>
        <v>4.14</v>
      </c>
    </row>
    <row r="950">
      <c r="A950" s="13" t="str">
        <f>IFERROR(__xludf.DUMMYFUNCTION("""COMPUTED_VALUE"""),"товари")</f>
        <v>товари</v>
      </c>
      <c r="B950" s="16" t="str">
        <f>IFERROR(__xludf.DUMMYFUNCTION("""COMPUTED_VALUE"""),"дача, сад і город")</f>
        <v>дача, сад і город</v>
      </c>
      <c r="C950" s="16" t="str">
        <f>IFERROR(__xludf.DUMMYFUNCTION("""COMPUTED_VALUE"""),"інструмент для скошування трави")</f>
        <v>інструмент для скошування трави</v>
      </c>
      <c r="D950" s="16" t="str">
        <f>IFERROR(__xludf.DUMMYFUNCTION("""COMPUTED_VALUE"""),"інструмент для скошування трави, загальне")</f>
        <v>інструмент для скошування трави, загальне</v>
      </c>
      <c r="E950" s="16" t="str">
        <f>IFERROR(__xludf.DUMMYFUNCTION("""COMPUTED_VALUE"""),"інструмент для скошування трави, загальне")</f>
        <v>інструмент для скошування трави, загальне</v>
      </c>
      <c r="F950" s="17">
        <f>IFERROR(__xludf.DUMMYFUNCTION("""COMPUTED_VALUE"""),3.0)</f>
        <v>3</v>
      </c>
      <c r="G950" s="17" t="str">
        <f>IFERROR(__xludf.DUMMYFUNCTION("""COMPUTED_VALUE"""),"1250322")</f>
        <v>1250322</v>
      </c>
      <c r="H950" s="17" t="str">
        <f>IFERROR(__xludf.DUMMYFUNCTION("""COMPUTED_VALUE"""),"інструмент для скошування трави, загальне")</f>
        <v>інструмент для скошування трави, загальне</v>
      </c>
      <c r="I950" s="19">
        <f>IFERROR(__xludf.DUMMYFUNCTION("""COMPUTED_VALUE"""),0.125)</f>
        <v>0.125</v>
      </c>
      <c r="J950" s="19">
        <f>IFERROR(__xludf.DUMMYFUNCTION("""COMPUTED_VALUE"""),0.25)</f>
        <v>0.25</v>
      </c>
      <c r="K950" s="19">
        <f>IFERROR(__xludf.DUMMYFUNCTION("""COMPUTED_VALUE"""),0.3125)</f>
        <v>0.3125</v>
      </c>
      <c r="L950" s="19">
        <f>IFERROR(__xludf.DUMMYFUNCTION("""COMPUTED_VALUE"""),0.375)</f>
        <v>0.375</v>
      </c>
      <c r="M950" s="18">
        <f>IFERROR(__xludf.DUMMYFUNCTION("""COMPUTED_VALUE"""),4.33)</f>
        <v>4.33</v>
      </c>
    </row>
    <row r="951">
      <c r="A951" s="13" t="str">
        <f>IFERROR(__xludf.DUMMYFUNCTION("""COMPUTED_VALUE"""),"товари")</f>
        <v>товари</v>
      </c>
      <c r="B951" s="16" t="str">
        <f>IFERROR(__xludf.DUMMYFUNCTION("""COMPUTED_VALUE"""),"дача, сад і город")</f>
        <v>дача, сад і город</v>
      </c>
      <c r="C951" s="16" t="str">
        <f>IFERROR(__xludf.DUMMYFUNCTION("""COMPUTED_VALUE"""),"інструменти для обрізки")</f>
        <v>інструменти для обрізки</v>
      </c>
      <c r="D951" s="16" t="str">
        <f>IFERROR(__xludf.DUMMYFUNCTION("""COMPUTED_VALUE"""),"інструменти для обрізки, загальне")</f>
        <v>інструменти для обрізки, загальне</v>
      </c>
      <c r="E951" s="16" t="str">
        <f>IFERROR(__xludf.DUMMYFUNCTION("""COMPUTED_VALUE"""),"інструменти для обрізки, загальне")</f>
        <v>інструменти для обрізки, загальне</v>
      </c>
      <c r="F951" s="17">
        <f>IFERROR(__xludf.DUMMYFUNCTION("""COMPUTED_VALUE"""),3.0)</f>
        <v>3</v>
      </c>
      <c r="G951" s="17" t="str">
        <f>IFERROR(__xludf.DUMMYFUNCTION("""COMPUTED_VALUE"""),"1250328")</f>
        <v>1250328</v>
      </c>
      <c r="H951" s="17" t="str">
        <f>IFERROR(__xludf.DUMMYFUNCTION("""COMPUTED_VALUE"""),"інструменти для обрізки, загальне")</f>
        <v>інструменти для обрізки, загальне</v>
      </c>
      <c r="I951" s="19">
        <f>IFERROR(__xludf.DUMMYFUNCTION("""COMPUTED_VALUE"""),0.125)</f>
        <v>0.125</v>
      </c>
      <c r="J951" s="19">
        <f>IFERROR(__xludf.DUMMYFUNCTION("""COMPUTED_VALUE"""),0.25)</f>
        <v>0.25</v>
      </c>
      <c r="K951" s="19">
        <f>IFERROR(__xludf.DUMMYFUNCTION("""COMPUTED_VALUE"""),0.3125)</f>
        <v>0.3125</v>
      </c>
      <c r="L951" s="19">
        <f>IFERROR(__xludf.DUMMYFUNCTION("""COMPUTED_VALUE"""),0.375)</f>
        <v>0.375</v>
      </c>
      <c r="M951" s="18">
        <f>IFERROR(__xludf.DUMMYFUNCTION("""COMPUTED_VALUE"""),4.33)</f>
        <v>4.33</v>
      </c>
    </row>
    <row r="952">
      <c r="A952" s="13" t="str">
        <f>IFERROR(__xludf.DUMMYFUNCTION("""COMPUTED_VALUE"""),"товари")</f>
        <v>товари</v>
      </c>
      <c r="B952" s="16" t="str">
        <f>IFERROR(__xludf.DUMMYFUNCTION("""COMPUTED_VALUE"""),"товари для дому")</f>
        <v>товари для дому</v>
      </c>
      <c r="C952" s="16" t="str">
        <f>IFERROR(__xludf.DUMMYFUNCTION("""COMPUTED_VALUE"""),"декор для дому")</f>
        <v>декор для дому</v>
      </c>
      <c r="D952" s="16" t="str">
        <f>IFERROR(__xludf.DUMMYFUNCTION("""COMPUTED_VALUE"""),"інтер'єрні аксесуари")</f>
        <v>інтер'єрні аксесуари</v>
      </c>
      <c r="E952" s="16" t="str">
        <f>IFERROR(__xludf.DUMMYFUNCTION("""COMPUTED_VALUE"""),"інтер'єрні аксесуари, загальне")</f>
        <v>інтер'єрні аксесуари, загальне</v>
      </c>
      <c r="F952" s="17">
        <f>IFERROR(__xludf.DUMMYFUNCTION("""COMPUTED_VALUE"""),4.0)</f>
        <v>4</v>
      </c>
      <c r="G952" s="17" t="str">
        <f>IFERROR(__xludf.DUMMYFUNCTION("""COMPUTED_VALUE"""),"371027")</f>
        <v>371027</v>
      </c>
      <c r="H952" s="17" t="str">
        <f>IFERROR(__xludf.DUMMYFUNCTION("""COMPUTED_VALUE"""),"інтер'єрні аксесуари, загальне")</f>
        <v>інтер'єрні аксесуари, загальне</v>
      </c>
      <c r="I952" s="19">
        <f>IFERROR(__xludf.DUMMYFUNCTION("""COMPUTED_VALUE"""),0.125)</f>
        <v>0.125</v>
      </c>
      <c r="J952" s="19">
        <f>IFERROR(__xludf.DUMMYFUNCTION("""COMPUTED_VALUE"""),0.25)</f>
        <v>0.25</v>
      </c>
      <c r="K952" s="19">
        <f>IFERROR(__xludf.DUMMYFUNCTION("""COMPUTED_VALUE"""),0.3125)</f>
        <v>0.3125</v>
      </c>
      <c r="L952" s="19">
        <f>IFERROR(__xludf.DUMMYFUNCTION("""COMPUTED_VALUE"""),0.375)</f>
        <v>0.375</v>
      </c>
      <c r="M952" s="18">
        <f>IFERROR(__xludf.DUMMYFUNCTION("""COMPUTED_VALUE"""),4.33)</f>
        <v>4.33</v>
      </c>
    </row>
    <row r="953">
      <c r="A953" s="13" t="str">
        <f>IFERROR(__xludf.DUMMYFUNCTION("""COMPUTED_VALUE"""),"товари")</f>
        <v>товари</v>
      </c>
      <c r="B953" s="16" t="str">
        <f>IFERROR(__xludf.DUMMYFUNCTION("""COMPUTED_VALUE"""),"товари для дому")</f>
        <v>товари для дому</v>
      </c>
      <c r="C953" s="16" t="str">
        <f>IFERROR(__xludf.DUMMYFUNCTION("""COMPUTED_VALUE"""),"декор для дому")</f>
        <v>декор для дому</v>
      </c>
      <c r="D953" s="16" t="str">
        <f>IFERROR(__xludf.DUMMYFUNCTION("""COMPUTED_VALUE"""),"інтер'єрні аксесуари")</f>
        <v>інтер'єрні аксесуари</v>
      </c>
      <c r="E953" s="16" t="str">
        <f>IFERROR(__xludf.DUMMYFUNCTION("""COMPUTED_VALUE"""),"інтер'єрні водоспади та фонтани")</f>
        <v>інтер'єрні водоспади та фонтани</v>
      </c>
      <c r="F953" s="17">
        <f>IFERROR(__xludf.DUMMYFUNCTION("""COMPUTED_VALUE"""),4.0)</f>
        <v>4</v>
      </c>
      <c r="G953" s="17" t="str">
        <f>IFERROR(__xludf.DUMMYFUNCTION("""COMPUTED_VALUE"""),"371018")</f>
        <v>371018</v>
      </c>
      <c r="H953" s="17" t="str">
        <f>IFERROR(__xludf.DUMMYFUNCTION("""COMPUTED_VALUE"""),"інтер'єрні водоспади та фонтани")</f>
        <v>інтер'єрні водоспади та фонтани</v>
      </c>
      <c r="I953" s="19">
        <f>IFERROR(__xludf.DUMMYFUNCTION("""COMPUTED_VALUE"""),0.0756)</f>
        <v>0.0756</v>
      </c>
      <c r="J953" s="19">
        <f>IFERROR(__xludf.DUMMYFUNCTION("""COMPUTED_VALUE"""),0.1512)</f>
        <v>0.1512</v>
      </c>
      <c r="K953" s="19">
        <f>IFERROR(__xludf.DUMMYFUNCTION("""COMPUTED_VALUE"""),0.189)</f>
        <v>0.189</v>
      </c>
      <c r="L953" s="19">
        <f>IFERROR(__xludf.DUMMYFUNCTION("""COMPUTED_VALUE"""),0.2268)</f>
        <v>0.2268</v>
      </c>
      <c r="M953" s="18">
        <f>IFERROR(__xludf.DUMMYFUNCTION("""COMPUTED_VALUE"""),2.53)</f>
        <v>2.53</v>
      </c>
    </row>
    <row r="954">
      <c r="A954" s="13" t="str">
        <f>IFERROR(__xludf.DUMMYFUNCTION("""COMPUTED_VALUE"""),"товари")</f>
        <v>товари</v>
      </c>
      <c r="B954" s="16" t="str">
        <f>IFERROR(__xludf.DUMMYFUNCTION("""COMPUTED_VALUE"""),"товари для дому")</f>
        <v>товари для дому</v>
      </c>
      <c r="C954" s="16" t="str">
        <f>IFERROR(__xludf.DUMMYFUNCTION("""COMPUTED_VALUE"""),"декор для дому")</f>
        <v>декор для дому</v>
      </c>
      <c r="D954" s="16" t="str">
        <f>IFERROR(__xludf.DUMMYFUNCTION("""COMPUTED_VALUE"""),"інтер'єрні аксесуари")</f>
        <v>інтер'єрні аксесуари</v>
      </c>
      <c r="E954" s="16" t="str">
        <f>IFERROR(__xludf.DUMMYFUNCTION("""COMPUTED_VALUE"""),"інтер'єрні дошки для написів")</f>
        <v>інтер'єрні дошки для написів</v>
      </c>
      <c r="F954" s="17">
        <f>IFERROR(__xludf.DUMMYFUNCTION("""COMPUTED_VALUE"""),4.0)</f>
        <v>4</v>
      </c>
      <c r="G954" s="17" t="str">
        <f>IFERROR(__xludf.DUMMYFUNCTION("""COMPUTED_VALUE"""),"371024")</f>
        <v>371024</v>
      </c>
      <c r="H954" s="17" t="str">
        <f>IFERROR(__xludf.DUMMYFUNCTION("""COMPUTED_VALUE"""),"інтер'єрні дошки для написів")</f>
        <v>інтер'єрні дошки для написів</v>
      </c>
      <c r="I954" s="19">
        <f>IFERROR(__xludf.DUMMYFUNCTION("""COMPUTED_VALUE"""),0.0772)</f>
        <v>0.0772</v>
      </c>
      <c r="J954" s="19">
        <f>IFERROR(__xludf.DUMMYFUNCTION("""COMPUTED_VALUE"""),0.1543)</f>
        <v>0.1543</v>
      </c>
      <c r="K954" s="19">
        <f>IFERROR(__xludf.DUMMYFUNCTION("""COMPUTED_VALUE"""),0.1929)</f>
        <v>0.1929</v>
      </c>
      <c r="L954" s="19">
        <f>IFERROR(__xludf.DUMMYFUNCTION("""COMPUTED_VALUE"""),0.2315)</f>
        <v>0.2315</v>
      </c>
      <c r="M954" s="18">
        <f>IFERROR(__xludf.DUMMYFUNCTION("""COMPUTED_VALUE"""),1.53)</f>
        <v>1.53</v>
      </c>
    </row>
    <row r="955">
      <c r="A955" s="13" t="str">
        <f>IFERROR(__xludf.DUMMYFUNCTION("""COMPUTED_VALUE"""),"товари")</f>
        <v>товари</v>
      </c>
      <c r="B955" s="16" t="str">
        <f>IFERROR(__xludf.DUMMYFUNCTION("""COMPUTED_VALUE"""),"товари для дому")</f>
        <v>товари для дому</v>
      </c>
      <c r="C955" s="16" t="str">
        <f>IFERROR(__xludf.DUMMYFUNCTION("""COMPUTED_VALUE"""),"декор для дому")</f>
        <v>декор для дому</v>
      </c>
      <c r="D955" s="16" t="str">
        <f>IFERROR(__xludf.DUMMYFUNCTION("""COMPUTED_VALUE"""),"інтер'єрні аксесуари")</f>
        <v>інтер'єрні аксесуари</v>
      </c>
      <c r="E955" s="16" t="str">
        <f>IFERROR(__xludf.DUMMYFUNCTION("""COMPUTED_VALUE"""),"інтер'єрні наліпки")</f>
        <v>інтер'єрні наліпки</v>
      </c>
      <c r="F955" s="17">
        <f>IFERROR(__xludf.DUMMYFUNCTION("""COMPUTED_VALUE"""),4.0)</f>
        <v>4</v>
      </c>
      <c r="G955" s="17" t="str">
        <f>IFERROR(__xludf.DUMMYFUNCTION("""COMPUTED_VALUE"""),"371006")</f>
        <v>371006</v>
      </c>
      <c r="H955" s="17" t="str">
        <f>IFERROR(__xludf.DUMMYFUNCTION("""COMPUTED_VALUE"""),"інтер'єрні наліпки")</f>
        <v>інтер'єрні наліпки</v>
      </c>
      <c r="I955" s="19">
        <f>IFERROR(__xludf.DUMMYFUNCTION("""COMPUTED_VALUE"""),0.0762)</f>
        <v>0.0762</v>
      </c>
      <c r="J955" s="19">
        <f>IFERROR(__xludf.DUMMYFUNCTION("""COMPUTED_VALUE"""),0.1524)</f>
        <v>0.1524</v>
      </c>
      <c r="K955" s="19">
        <f>IFERROR(__xludf.DUMMYFUNCTION("""COMPUTED_VALUE"""),0.1905)</f>
        <v>0.1905</v>
      </c>
      <c r="L955" s="19">
        <f>IFERROR(__xludf.DUMMYFUNCTION("""COMPUTED_VALUE"""),0.2286)</f>
        <v>0.2286</v>
      </c>
      <c r="M955" s="18">
        <f>IFERROR(__xludf.DUMMYFUNCTION("""COMPUTED_VALUE"""),1.53)</f>
        <v>1.53</v>
      </c>
    </row>
    <row r="956">
      <c r="A956" s="13" t="str">
        <f>IFERROR(__xludf.DUMMYFUNCTION("""COMPUTED_VALUE"""),"товари")</f>
        <v>товари</v>
      </c>
      <c r="B956" s="16" t="str">
        <f>IFERROR(__xludf.DUMMYFUNCTION("""COMPUTED_VALUE"""),"дача, сад і город")</f>
        <v>дача, сад і город</v>
      </c>
      <c r="C956" s="16" t="str">
        <f>IFERROR(__xludf.DUMMYFUNCTION("""COMPUTED_VALUE"""),"обладнання для саун і лазень")</f>
        <v>обладнання для саун і лазень</v>
      </c>
      <c r="D956" s="16" t="str">
        <f>IFERROR(__xludf.DUMMYFUNCTION("""COMPUTED_VALUE"""),"сауни та обладнання для кріотерапії")</f>
        <v>сауни та обладнання для кріотерапії</v>
      </c>
      <c r="E956" s="16" t="str">
        <f>IFERROR(__xludf.DUMMYFUNCTION("""COMPUTED_VALUE"""),"сауни та обладнання для кріотерапії")</f>
        <v>сауни та обладнання для кріотерапії</v>
      </c>
      <c r="F956" s="17">
        <f>IFERROR(__xludf.DUMMYFUNCTION("""COMPUTED_VALUE"""),3.0)</f>
        <v>3</v>
      </c>
      <c r="G956" s="17" t="str">
        <f>IFERROR(__xludf.DUMMYFUNCTION("""COMPUTED_VALUE"""),"150507")</f>
        <v>150507</v>
      </c>
      <c r="H956" s="17" t="str">
        <f>IFERROR(__xludf.DUMMYFUNCTION("""COMPUTED_VALUE"""),"сауни та обладнання для кріотерапії")</f>
        <v>сауни та обладнання для кріотерапії</v>
      </c>
      <c r="I956" s="19">
        <f>IFERROR(__xludf.DUMMYFUNCTION("""COMPUTED_VALUE"""),0.052)</f>
        <v>0.052</v>
      </c>
      <c r="J956" s="19">
        <f>IFERROR(__xludf.DUMMYFUNCTION("""COMPUTED_VALUE"""),0.1039)</f>
        <v>0.1039</v>
      </c>
      <c r="K956" s="19">
        <f>IFERROR(__xludf.DUMMYFUNCTION("""COMPUTED_VALUE"""),0.1299)</f>
        <v>0.1299</v>
      </c>
      <c r="L956" s="19">
        <f>IFERROR(__xludf.DUMMYFUNCTION("""COMPUTED_VALUE"""),0.1559)</f>
        <v>0.1559</v>
      </c>
      <c r="M956" s="18">
        <f>IFERROR(__xludf.DUMMYFUNCTION("""COMPUTED_VALUE"""),3.06)</f>
        <v>3.06</v>
      </c>
    </row>
    <row r="957">
      <c r="A957" s="13" t="str">
        <f>IFERROR(__xludf.DUMMYFUNCTION("""COMPUTED_VALUE"""),"товари")</f>
        <v>товари</v>
      </c>
      <c r="B957" s="16" t="str">
        <f>IFERROR(__xludf.DUMMYFUNCTION("""COMPUTED_VALUE"""),"товари для дому")</f>
        <v>товари для дому</v>
      </c>
      <c r="C957" s="16" t="str">
        <f>IFERROR(__xludf.DUMMYFUNCTION("""COMPUTED_VALUE"""),"приналежності для ванної та туалету")</f>
        <v>приналежності для ванної та туалету</v>
      </c>
      <c r="D957" s="16" t="str">
        <f>IFERROR(__xludf.DUMMYFUNCTION("""COMPUTED_VALUE"""),"йоржики для унітазу")</f>
        <v>йоржики для унітазу</v>
      </c>
      <c r="E957" s="16" t="str">
        <f>IFERROR(__xludf.DUMMYFUNCTION("""COMPUTED_VALUE"""),"йоржики для унітазу")</f>
        <v>йоржики для унітазу</v>
      </c>
      <c r="F957" s="17">
        <f>IFERROR(__xludf.DUMMYFUNCTION("""COMPUTED_VALUE"""),3.0)</f>
        <v>3</v>
      </c>
      <c r="G957" s="17" t="str">
        <f>IFERROR(__xludf.DUMMYFUNCTION("""COMPUTED_VALUE"""),"154001")</f>
        <v>154001</v>
      </c>
      <c r="H957" s="17" t="str">
        <f>IFERROR(__xludf.DUMMYFUNCTION("""COMPUTED_VALUE"""),"йоржики для унітазу")</f>
        <v>йоржики для унітазу</v>
      </c>
      <c r="I957" s="19">
        <f>IFERROR(__xludf.DUMMYFUNCTION("""COMPUTED_VALUE"""),0.0741)</f>
        <v>0.0741</v>
      </c>
      <c r="J957" s="19">
        <f>IFERROR(__xludf.DUMMYFUNCTION("""COMPUTED_VALUE"""),0.1481)</f>
        <v>0.1481</v>
      </c>
      <c r="K957" s="19">
        <f>IFERROR(__xludf.DUMMYFUNCTION("""COMPUTED_VALUE"""),0.1851)</f>
        <v>0.1851</v>
      </c>
      <c r="L957" s="19">
        <f>IFERROR(__xludf.DUMMYFUNCTION("""COMPUTED_VALUE"""),0.2222)</f>
        <v>0.2222</v>
      </c>
      <c r="M957" s="18">
        <f>IFERROR(__xludf.DUMMYFUNCTION("""COMPUTED_VALUE"""),1.05)</f>
        <v>1.05</v>
      </c>
    </row>
    <row r="958">
      <c r="A958" s="13" t="str">
        <f>IFERROR(__xludf.DUMMYFUNCTION("""COMPUTED_VALUE"""),"товари")</f>
        <v>товари</v>
      </c>
      <c r="B958" s="16" t="str">
        <f>IFERROR(__xludf.DUMMYFUNCTION("""COMPUTED_VALUE"""),"товари для дому")</f>
        <v>товари для дому</v>
      </c>
      <c r="C958" s="16" t="str">
        <f>IFERROR(__xludf.DUMMYFUNCTION("""COMPUTED_VALUE"""),"посуд")</f>
        <v>посуд</v>
      </c>
      <c r="D958" s="16" t="str">
        <f>IFERROR(__xludf.DUMMYFUNCTION("""COMPUTED_VALUE"""),"столовий посуд")</f>
        <v>столовий посуд</v>
      </c>
      <c r="E958" s="16" t="str">
        <f>IFERROR(__xludf.DUMMYFUNCTION("""COMPUTED_VALUE"""),"кавники та заварювальні чайники")</f>
        <v>кавники та заварювальні чайники</v>
      </c>
      <c r="F958" s="17">
        <f>IFERROR(__xludf.DUMMYFUNCTION("""COMPUTED_VALUE"""),4.0)</f>
        <v>4</v>
      </c>
      <c r="G958" s="17" t="str">
        <f>IFERROR(__xludf.DUMMYFUNCTION("""COMPUTED_VALUE"""),"152208")</f>
        <v>152208</v>
      </c>
      <c r="H958" s="17" t="str">
        <f>IFERROR(__xludf.DUMMYFUNCTION("""COMPUTED_VALUE"""),"кавники та заварювальні чайники")</f>
        <v>кавники та заварювальні чайники</v>
      </c>
      <c r="I958" s="19">
        <f>IFERROR(__xludf.DUMMYFUNCTION("""COMPUTED_VALUE"""),0.0761)</f>
        <v>0.0761</v>
      </c>
      <c r="J958" s="19">
        <f>IFERROR(__xludf.DUMMYFUNCTION("""COMPUTED_VALUE"""),0.1521)</f>
        <v>0.1521</v>
      </c>
      <c r="K958" s="19">
        <f>IFERROR(__xludf.DUMMYFUNCTION("""COMPUTED_VALUE"""),0.1901)</f>
        <v>0.1901</v>
      </c>
      <c r="L958" s="19">
        <f>IFERROR(__xludf.DUMMYFUNCTION("""COMPUTED_VALUE"""),0.2282)</f>
        <v>0.2282</v>
      </c>
      <c r="M958" s="18">
        <f>IFERROR(__xludf.DUMMYFUNCTION("""COMPUTED_VALUE"""),2.08)</f>
        <v>2.08</v>
      </c>
    </row>
    <row r="959">
      <c r="A959" s="13" t="str">
        <f>IFERROR(__xludf.DUMMYFUNCTION("""COMPUTED_VALUE"""),"товари")</f>
        <v>товари</v>
      </c>
      <c r="B959" s="16" t="str">
        <f>IFERROR(__xludf.DUMMYFUNCTION("""COMPUTED_VALUE"""),"товари для дому")</f>
        <v>товари для дому</v>
      </c>
      <c r="C959" s="16" t="str">
        <f>IFERROR(__xludf.DUMMYFUNCTION("""COMPUTED_VALUE"""),"посуд")</f>
        <v>посуд</v>
      </c>
      <c r="D959" s="16" t="str">
        <f>IFERROR(__xludf.DUMMYFUNCTION("""COMPUTED_VALUE"""),"столовий посуд")</f>
        <v>столовий посуд</v>
      </c>
      <c r="E959" s="16" t="str">
        <f>IFERROR(__xludf.DUMMYFUNCTION("""COMPUTED_VALUE"""),"кавові і чайні сервізи")</f>
        <v>кавові і чайні сервізи</v>
      </c>
      <c r="F959" s="17">
        <f>IFERROR(__xludf.DUMMYFUNCTION("""COMPUTED_VALUE"""),4.0)</f>
        <v>4</v>
      </c>
      <c r="G959" s="17" t="str">
        <f>IFERROR(__xludf.DUMMYFUNCTION("""COMPUTED_VALUE"""),"152105")</f>
        <v>152105</v>
      </c>
      <c r="H959" s="17" t="str">
        <f>IFERROR(__xludf.DUMMYFUNCTION("""COMPUTED_VALUE"""),"кавові і чайні сервізи")</f>
        <v>кавові і чайні сервізи</v>
      </c>
      <c r="I959" s="19">
        <f>IFERROR(__xludf.DUMMYFUNCTION("""COMPUTED_VALUE"""),0.0767)</f>
        <v>0.0767</v>
      </c>
      <c r="J959" s="19">
        <f>IFERROR(__xludf.DUMMYFUNCTION("""COMPUTED_VALUE"""),0.1534)</f>
        <v>0.1534</v>
      </c>
      <c r="K959" s="19">
        <f>IFERROR(__xludf.DUMMYFUNCTION("""COMPUTED_VALUE"""),0.1918)</f>
        <v>0.1918</v>
      </c>
      <c r="L959" s="19">
        <f>IFERROR(__xludf.DUMMYFUNCTION("""COMPUTED_VALUE"""),0.2301)</f>
        <v>0.2301</v>
      </c>
      <c r="M959" s="18">
        <f>IFERROR(__xludf.DUMMYFUNCTION("""COMPUTED_VALUE"""),2.08)</f>
        <v>2.08</v>
      </c>
    </row>
    <row r="960">
      <c r="A960" s="13" t="str">
        <f>IFERROR(__xludf.DUMMYFUNCTION("""COMPUTED_VALUE"""),"товари")</f>
        <v>товари</v>
      </c>
      <c r="B960" s="16" t="str">
        <f>IFERROR(__xludf.DUMMYFUNCTION("""COMPUTED_VALUE"""),"товари для дому")</f>
        <v>товари для дому</v>
      </c>
      <c r="C960" s="16" t="str">
        <f>IFERROR(__xludf.DUMMYFUNCTION("""COMPUTED_VALUE"""),"посуд")</f>
        <v>посуд</v>
      </c>
      <c r="D960" s="16" t="str">
        <f>IFERROR(__xludf.DUMMYFUNCTION("""COMPUTED_VALUE"""),"посуд для приготування")</f>
        <v>посуд для приготування</v>
      </c>
      <c r="E960" s="16" t="str">
        <f>IFERROR(__xludf.DUMMYFUNCTION("""COMPUTED_VALUE"""),"турки")</f>
        <v>турки</v>
      </c>
      <c r="F960" s="17">
        <f>IFERROR(__xludf.DUMMYFUNCTION("""COMPUTED_VALUE"""),4.0)</f>
        <v>4</v>
      </c>
      <c r="G960" s="17" t="str">
        <f>IFERROR(__xludf.DUMMYFUNCTION("""COMPUTED_VALUE"""),"6300406")</f>
        <v>6300406</v>
      </c>
      <c r="H960" s="17" t="str">
        <f>IFERROR(__xludf.DUMMYFUNCTION("""COMPUTED_VALUE"""),"турки")</f>
        <v>турки</v>
      </c>
      <c r="I960" s="19">
        <f>IFERROR(__xludf.DUMMYFUNCTION("""COMPUTED_VALUE"""),0.0764)</f>
        <v>0.0764</v>
      </c>
      <c r="J960" s="19">
        <f>IFERROR(__xludf.DUMMYFUNCTION("""COMPUTED_VALUE"""),0.1528)</f>
        <v>0.1528</v>
      </c>
      <c r="K960" s="19">
        <f>IFERROR(__xludf.DUMMYFUNCTION("""COMPUTED_VALUE"""),0.191)</f>
        <v>0.191</v>
      </c>
      <c r="L960" s="19">
        <f>IFERROR(__xludf.DUMMYFUNCTION("""COMPUTED_VALUE"""),0.2292)</f>
        <v>0.2292</v>
      </c>
      <c r="M960" s="18">
        <f>IFERROR(__xludf.DUMMYFUNCTION("""COMPUTED_VALUE"""),2.53)</f>
        <v>2.53</v>
      </c>
    </row>
    <row r="961">
      <c r="A961" s="13" t="str">
        <f>IFERROR(__xludf.DUMMYFUNCTION("""COMPUTED_VALUE"""),"товари")</f>
        <v>товари</v>
      </c>
      <c r="B961" s="16" t="str">
        <f>IFERROR(__xludf.DUMMYFUNCTION("""COMPUTED_VALUE"""),"товари для дому")</f>
        <v>товари для дому</v>
      </c>
      <c r="C961" s="16" t="str">
        <f>IFERROR(__xludf.DUMMYFUNCTION("""COMPUTED_VALUE"""),"аксесуари для саун і лазень")</f>
        <v>аксесуари для саун і лазень</v>
      </c>
      <c r="D961" s="16" t="str">
        <f>IFERROR(__xludf.DUMMYFUNCTION("""COMPUTED_VALUE"""),"камені для саун і лазень")</f>
        <v>камені для саун і лазень</v>
      </c>
      <c r="E961" s="16" t="str">
        <f>IFERROR(__xludf.DUMMYFUNCTION("""COMPUTED_VALUE"""),"камені для саун і лазень")</f>
        <v>камені для саун і лазень</v>
      </c>
      <c r="F961" s="17">
        <f>IFERROR(__xludf.DUMMYFUNCTION("""COMPUTED_VALUE"""),3.0)</f>
        <v>3</v>
      </c>
      <c r="G961" s="17" t="str">
        <f>IFERROR(__xludf.DUMMYFUNCTION("""COMPUTED_VALUE"""),"150508")</f>
        <v>150508</v>
      </c>
      <c r="H961" s="17" t="str">
        <f>IFERROR(__xludf.DUMMYFUNCTION("""COMPUTED_VALUE"""),"камені для саун і лазень")</f>
        <v>камені для саун і лазень</v>
      </c>
      <c r="I961" s="19">
        <f>IFERROR(__xludf.DUMMYFUNCTION("""COMPUTED_VALUE"""),0.0536)</f>
        <v>0.0536</v>
      </c>
      <c r="J961" s="19">
        <f>IFERROR(__xludf.DUMMYFUNCTION("""COMPUTED_VALUE"""),0.1071)</f>
        <v>0.1071</v>
      </c>
      <c r="K961" s="19">
        <f>IFERROR(__xludf.DUMMYFUNCTION("""COMPUTED_VALUE"""),0.1339)</f>
        <v>0.1339</v>
      </c>
      <c r="L961" s="19">
        <f>IFERROR(__xludf.DUMMYFUNCTION("""COMPUTED_VALUE"""),0.1607)</f>
        <v>0.1607</v>
      </c>
      <c r="M961" s="18">
        <f>IFERROR(__xludf.DUMMYFUNCTION("""COMPUTED_VALUE"""),3.06)</f>
        <v>3.06</v>
      </c>
    </row>
    <row r="962">
      <c r="A962" s="13" t="str">
        <f>IFERROR(__xludf.DUMMYFUNCTION("""COMPUTED_VALUE"""),"товари")</f>
        <v>товари</v>
      </c>
      <c r="B962" s="16" t="str">
        <f>IFERROR(__xludf.DUMMYFUNCTION("""COMPUTED_VALUE"""),"дача, сад і город")</f>
        <v>дача, сад і город</v>
      </c>
      <c r="C962" s="16" t="str">
        <f>IFERROR(__xludf.DUMMYFUNCTION("""COMPUTED_VALUE"""),"ландшафтні будови")</f>
        <v>ландшафтні будови</v>
      </c>
      <c r="D962" s="16" t="str">
        <f>IFERROR(__xludf.DUMMYFUNCTION("""COMPUTED_VALUE"""),"канатні комплекси")</f>
        <v>канатні комплекси</v>
      </c>
      <c r="E962" s="16" t="str">
        <f>IFERROR(__xludf.DUMMYFUNCTION("""COMPUTED_VALUE"""),"канатні комплекси")</f>
        <v>канатні комплекси</v>
      </c>
      <c r="F962" s="17">
        <f>IFERROR(__xludf.DUMMYFUNCTION("""COMPUTED_VALUE"""),3.0)</f>
        <v>3</v>
      </c>
      <c r="G962" s="17" t="str">
        <f>IFERROR(__xludf.DUMMYFUNCTION("""COMPUTED_VALUE"""),"130126")</f>
        <v>130126</v>
      </c>
      <c r="H962" s="17" t="str">
        <f>IFERROR(__xludf.DUMMYFUNCTION("""COMPUTED_VALUE"""),"канатні комплекси")</f>
        <v>канатні комплекси</v>
      </c>
      <c r="I962" s="19">
        <f>IFERROR(__xludf.DUMMYFUNCTION("""COMPUTED_VALUE"""),0.0547)</f>
        <v>0.0547</v>
      </c>
      <c r="J962" s="19">
        <f>IFERROR(__xludf.DUMMYFUNCTION("""COMPUTED_VALUE"""),0.1094)</f>
        <v>0.1094</v>
      </c>
      <c r="K962" s="19">
        <f>IFERROR(__xludf.DUMMYFUNCTION("""COMPUTED_VALUE"""),0.1368)</f>
        <v>0.1368</v>
      </c>
      <c r="L962" s="19">
        <f>IFERROR(__xludf.DUMMYFUNCTION("""COMPUTED_VALUE"""),0.1641)</f>
        <v>0.1641</v>
      </c>
      <c r="M962" s="18">
        <f>IFERROR(__xludf.DUMMYFUNCTION("""COMPUTED_VALUE"""),1.71)</f>
        <v>1.71</v>
      </c>
    </row>
    <row r="963">
      <c r="A963" s="13" t="str">
        <f>IFERROR(__xludf.DUMMYFUNCTION("""COMPUTED_VALUE"""),"товари")</f>
        <v>товари</v>
      </c>
      <c r="B963" s="16" t="str">
        <f>IFERROR(__xludf.DUMMYFUNCTION("""COMPUTED_VALUE"""),"дача, сад і город")</f>
        <v>дача, сад і город</v>
      </c>
      <c r="C963" s="16" t="str">
        <f>IFERROR(__xludf.DUMMYFUNCTION("""COMPUTED_VALUE"""),"мобільні басейни")</f>
        <v>мобільні басейни</v>
      </c>
      <c r="D963" s="16" t="str">
        <f>IFERROR(__xludf.DUMMYFUNCTION("""COMPUTED_VALUE"""),"каркасні басейни")</f>
        <v>каркасні басейни</v>
      </c>
      <c r="E963" s="16" t="str">
        <f>IFERROR(__xludf.DUMMYFUNCTION("""COMPUTED_VALUE"""),"каркасні басейни")</f>
        <v>каркасні басейни</v>
      </c>
      <c r="F963" s="17">
        <f>IFERROR(__xludf.DUMMYFUNCTION("""COMPUTED_VALUE"""),3.0)</f>
        <v>3</v>
      </c>
      <c r="G963" s="17" t="str">
        <f>IFERROR(__xludf.DUMMYFUNCTION("""COMPUTED_VALUE"""),"180806")</f>
        <v>180806</v>
      </c>
      <c r="H963" s="17" t="str">
        <f>IFERROR(__xludf.DUMMYFUNCTION("""COMPUTED_VALUE"""),"каркасні басейни")</f>
        <v>каркасні басейни</v>
      </c>
      <c r="I963" s="19">
        <f>IFERROR(__xludf.DUMMYFUNCTION("""COMPUTED_VALUE"""),0.0578)</f>
        <v>0.0578</v>
      </c>
      <c r="J963" s="19">
        <f>IFERROR(__xludf.DUMMYFUNCTION("""COMPUTED_VALUE"""),0.1156)</f>
        <v>0.1156</v>
      </c>
      <c r="K963" s="19">
        <f>IFERROR(__xludf.DUMMYFUNCTION("""COMPUTED_VALUE"""),0.1445)</f>
        <v>0.1445</v>
      </c>
      <c r="L963" s="19">
        <f>IFERROR(__xludf.DUMMYFUNCTION("""COMPUTED_VALUE"""),0.1734)</f>
        <v>0.1734</v>
      </c>
      <c r="M963" s="18">
        <f>IFERROR(__xludf.DUMMYFUNCTION("""COMPUTED_VALUE"""),3.69)</f>
        <v>3.69</v>
      </c>
    </row>
    <row r="964">
      <c r="A964" s="13" t="str">
        <f>IFERROR(__xludf.DUMMYFUNCTION("""COMPUTED_VALUE"""),"товари")</f>
        <v>товари</v>
      </c>
      <c r="B964" s="16" t="str">
        <f>IFERROR(__xludf.DUMMYFUNCTION("""COMPUTED_VALUE"""),"товари для дому")</f>
        <v>товари для дому</v>
      </c>
      <c r="C964" s="16" t="str">
        <f>IFERROR(__xludf.DUMMYFUNCTION("""COMPUTED_VALUE"""),"приналежності для ванної та туалету")</f>
        <v>приналежності для ванної та туалету</v>
      </c>
      <c r="D964" s="16" t="str">
        <f>IFERROR(__xludf.DUMMYFUNCTION("""COMPUTED_VALUE"""),"карнизи для ванної")</f>
        <v>карнизи для ванної</v>
      </c>
      <c r="E964" s="16" t="str">
        <f>IFERROR(__xludf.DUMMYFUNCTION("""COMPUTED_VALUE"""),"карнизи для ванної")</f>
        <v>карнизи для ванної</v>
      </c>
      <c r="F964" s="17">
        <f>IFERROR(__xludf.DUMMYFUNCTION("""COMPUTED_VALUE"""),3.0)</f>
        <v>3</v>
      </c>
      <c r="G964" s="17" t="str">
        <f>IFERROR(__xludf.DUMMYFUNCTION("""COMPUTED_VALUE"""),"154008")</f>
        <v>154008</v>
      </c>
      <c r="H964" s="17" t="str">
        <f>IFERROR(__xludf.DUMMYFUNCTION("""COMPUTED_VALUE"""),"карнизи для ванної")</f>
        <v>карнизи для ванної</v>
      </c>
      <c r="I964" s="19">
        <f>IFERROR(__xludf.DUMMYFUNCTION("""COMPUTED_VALUE"""),0.0774)</f>
        <v>0.0774</v>
      </c>
      <c r="J964" s="19">
        <f>IFERROR(__xludf.DUMMYFUNCTION("""COMPUTED_VALUE"""),0.1547)</f>
        <v>0.1547</v>
      </c>
      <c r="K964" s="19">
        <f>IFERROR(__xludf.DUMMYFUNCTION("""COMPUTED_VALUE"""),0.1934)</f>
        <v>0.1934</v>
      </c>
      <c r="L964" s="19">
        <f>IFERROR(__xludf.DUMMYFUNCTION("""COMPUTED_VALUE"""),0.2321)</f>
        <v>0.2321</v>
      </c>
      <c r="M964" s="18">
        <f>IFERROR(__xludf.DUMMYFUNCTION("""COMPUTED_VALUE"""),1.71)</f>
        <v>1.71</v>
      </c>
    </row>
    <row r="965">
      <c r="A965" s="13" t="str">
        <f>IFERROR(__xludf.DUMMYFUNCTION("""COMPUTED_VALUE"""),"товари")</f>
        <v>товари</v>
      </c>
      <c r="B965" s="16" t="str">
        <f>IFERROR(__xludf.DUMMYFUNCTION("""COMPUTED_VALUE"""),"товари для дому")</f>
        <v>товари для дому</v>
      </c>
      <c r="C965" s="16" t="str">
        <f>IFERROR(__xludf.DUMMYFUNCTION("""COMPUTED_VALUE"""),"текстиль")</f>
        <v>текстиль</v>
      </c>
      <c r="D965" s="16" t="str">
        <f>IFERROR(__xludf.DUMMYFUNCTION("""COMPUTED_VALUE"""),"оформлення вікон")</f>
        <v>оформлення вікон</v>
      </c>
      <c r="E965" s="16" t="str">
        <f>IFERROR(__xludf.DUMMYFUNCTION("""COMPUTED_VALUE"""),"карнизи для штор")</f>
        <v>карнизи для штор</v>
      </c>
      <c r="F965" s="17">
        <f>IFERROR(__xludf.DUMMYFUNCTION("""COMPUTED_VALUE"""),4.0)</f>
        <v>4</v>
      </c>
      <c r="G965" s="17" t="str">
        <f>IFERROR(__xludf.DUMMYFUNCTION("""COMPUTED_VALUE"""),"15380302")</f>
        <v>15380302</v>
      </c>
      <c r="H965" s="17" t="str">
        <f>IFERROR(__xludf.DUMMYFUNCTION("""COMPUTED_VALUE"""),"карнизи для штор")</f>
        <v>карнизи для штор</v>
      </c>
      <c r="I965" s="19">
        <f>IFERROR(__xludf.DUMMYFUNCTION("""COMPUTED_VALUE"""),0.0782)</f>
        <v>0.0782</v>
      </c>
      <c r="J965" s="19">
        <f>IFERROR(__xludf.DUMMYFUNCTION("""COMPUTED_VALUE"""),0.1563)</f>
        <v>0.1563</v>
      </c>
      <c r="K965" s="19">
        <f>IFERROR(__xludf.DUMMYFUNCTION("""COMPUTED_VALUE"""),0.1954)</f>
        <v>0.1954</v>
      </c>
      <c r="L965" s="19">
        <f>IFERROR(__xludf.DUMMYFUNCTION("""COMPUTED_VALUE"""),0.2345)</f>
        <v>0.2345</v>
      </c>
      <c r="M965" s="18">
        <f>IFERROR(__xludf.DUMMYFUNCTION("""COMPUTED_VALUE"""),1.53)</f>
        <v>1.53</v>
      </c>
    </row>
    <row r="966">
      <c r="A966" s="13" t="str">
        <f>IFERROR(__xludf.DUMMYFUNCTION("""COMPUTED_VALUE"""),"товари")</f>
        <v>товари</v>
      </c>
      <c r="B966" s="16" t="str">
        <f>IFERROR(__xludf.DUMMYFUNCTION("""COMPUTED_VALUE"""),"товари для дому")</f>
        <v>товари для дому</v>
      </c>
      <c r="C966" s="16" t="str">
        <f>IFERROR(__xludf.DUMMYFUNCTION("""COMPUTED_VALUE"""),"декор для дому")</f>
        <v>декор для дому</v>
      </c>
      <c r="D966" s="16" t="str">
        <f>IFERROR(__xludf.DUMMYFUNCTION("""COMPUTED_VALUE"""),"картини")</f>
        <v>картини</v>
      </c>
      <c r="E966" s="16" t="str">
        <f>IFERROR(__xludf.DUMMYFUNCTION("""COMPUTED_VALUE"""),"картини")</f>
        <v>картини</v>
      </c>
      <c r="F966" s="17">
        <f>IFERROR(__xludf.DUMMYFUNCTION("""COMPUTED_VALUE"""),3.0)</f>
        <v>3</v>
      </c>
      <c r="G966" s="17" t="str">
        <f>IFERROR(__xludf.DUMMYFUNCTION("""COMPUTED_VALUE"""),"170408")</f>
        <v>170408</v>
      </c>
      <c r="H966" s="17" t="str">
        <f>IFERROR(__xludf.DUMMYFUNCTION("""COMPUTED_VALUE"""),"картини")</f>
        <v>картини</v>
      </c>
      <c r="I966" s="19">
        <f>IFERROR(__xludf.DUMMYFUNCTION("""COMPUTED_VALUE"""),0.075)</f>
        <v>0.075</v>
      </c>
      <c r="J966" s="19">
        <f>IFERROR(__xludf.DUMMYFUNCTION("""COMPUTED_VALUE"""),0.15)</f>
        <v>0.15</v>
      </c>
      <c r="K966" s="19">
        <f>IFERROR(__xludf.DUMMYFUNCTION("""COMPUTED_VALUE"""),0.1875)</f>
        <v>0.1875</v>
      </c>
      <c r="L966" s="19">
        <f>IFERROR(__xludf.DUMMYFUNCTION("""COMPUTED_VALUE"""),0.225)</f>
        <v>0.225</v>
      </c>
      <c r="M966" s="18">
        <f>IFERROR(__xludf.DUMMYFUNCTION("""COMPUTED_VALUE"""),2.16)</f>
        <v>2.16</v>
      </c>
    </row>
    <row r="967">
      <c r="A967" s="13" t="str">
        <f>IFERROR(__xludf.DUMMYFUNCTION("""COMPUTED_VALUE"""),"товари")</f>
        <v>товари</v>
      </c>
      <c r="B967" s="16" t="str">
        <f>IFERROR(__xludf.DUMMYFUNCTION("""COMPUTED_VALUE"""),"товари для дому")</f>
        <v>товари для дому</v>
      </c>
      <c r="C967" s="16" t="str">
        <f>IFERROR(__xludf.DUMMYFUNCTION("""COMPUTED_VALUE"""),"посуд")</f>
        <v>посуд</v>
      </c>
      <c r="D967" s="16" t="str">
        <f>IFERROR(__xludf.DUMMYFUNCTION("""COMPUTED_VALUE"""),"посуд для приготування")</f>
        <v>посуд для приготування</v>
      </c>
      <c r="E967" s="16" t="str">
        <f>IFERROR(__xludf.DUMMYFUNCTION("""COMPUTED_VALUE"""),"каструлі")</f>
        <v>каструлі</v>
      </c>
      <c r="F967" s="17">
        <f>IFERROR(__xludf.DUMMYFUNCTION("""COMPUTED_VALUE"""),4.0)</f>
        <v>4</v>
      </c>
      <c r="G967" s="17" t="str">
        <f>IFERROR(__xludf.DUMMYFUNCTION("""COMPUTED_VALUE"""),"15230307")</f>
        <v>15230307</v>
      </c>
      <c r="H967" s="17" t="str">
        <f>IFERROR(__xludf.DUMMYFUNCTION("""COMPUTED_VALUE"""),"каструлі")</f>
        <v>каструлі</v>
      </c>
      <c r="I967" s="19">
        <f>IFERROR(__xludf.DUMMYFUNCTION("""COMPUTED_VALUE"""),0.075)</f>
        <v>0.075</v>
      </c>
      <c r="J967" s="19">
        <f>IFERROR(__xludf.DUMMYFUNCTION("""COMPUTED_VALUE"""),0.15)</f>
        <v>0.15</v>
      </c>
      <c r="K967" s="19">
        <f>IFERROR(__xludf.DUMMYFUNCTION("""COMPUTED_VALUE"""),0.1875)</f>
        <v>0.1875</v>
      </c>
      <c r="L967" s="19">
        <f>IFERROR(__xludf.DUMMYFUNCTION("""COMPUTED_VALUE"""),0.225)</f>
        <v>0.225</v>
      </c>
      <c r="M967" s="18">
        <f>IFERROR(__xludf.DUMMYFUNCTION("""COMPUTED_VALUE"""),2.53)</f>
        <v>2.53</v>
      </c>
    </row>
    <row r="968">
      <c r="A968" s="13" t="str">
        <f>IFERROR(__xludf.DUMMYFUNCTION("""COMPUTED_VALUE"""),"товари")</f>
        <v>товари</v>
      </c>
      <c r="B968" s="16" t="str">
        <f>IFERROR(__xludf.DUMMYFUNCTION("""COMPUTED_VALUE"""),"товари для дому")</f>
        <v>товари для дому</v>
      </c>
      <c r="C968" s="16" t="str">
        <f>IFERROR(__xludf.DUMMYFUNCTION("""COMPUTED_VALUE"""),"посуд")</f>
        <v>посуд</v>
      </c>
      <c r="D968" s="16" t="str">
        <f>IFERROR(__xludf.DUMMYFUNCTION("""COMPUTED_VALUE"""),"посуд для приготування")</f>
        <v>посуд для приготування</v>
      </c>
      <c r="E968" s="16" t="str">
        <f>IFERROR(__xludf.DUMMYFUNCTION("""COMPUTED_VALUE"""),"каструлі-пароварки")</f>
        <v>каструлі-пароварки</v>
      </c>
      <c r="F968" s="17">
        <f>IFERROR(__xludf.DUMMYFUNCTION("""COMPUTED_VALUE"""),4.0)</f>
        <v>4</v>
      </c>
      <c r="G968" s="17" t="str">
        <f>IFERROR(__xludf.DUMMYFUNCTION("""COMPUTED_VALUE"""),"15230317")</f>
        <v>15230317</v>
      </c>
      <c r="H968" s="17" t="str">
        <f>IFERROR(__xludf.DUMMYFUNCTION("""COMPUTED_VALUE"""),"каструлі-пароварки")</f>
        <v>каструлі-пароварки</v>
      </c>
      <c r="I968" s="19">
        <f>IFERROR(__xludf.DUMMYFUNCTION("""COMPUTED_VALUE"""),0.0797)</f>
        <v>0.0797</v>
      </c>
      <c r="J968" s="19">
        <f>IFERROR(__xludf.DUMMYFUNCTION("""COMPUTED_VALUE"""),0.1593)</f>
        <v>0.1593</v>
      </c>
      <c r="K968" s="19">
        <f>IFERROR(__xludf.DUMMYFUNCTION("""COMPUTED_VALUE"""),0.1991)</f>
        <v>0.1991</v>
      </c>
      <c r="L968" s="19">
        <f>IFERROR(__xludf.DUMMYFUNCTION("""COMPUTED_VALUE"""),0.239)</f>
        <v>0.239</v>
      </c>
      <c r="M968" s="18">
        <f>IFERROR(__xludf.DUMMYFUNCTION("""COMPUTED_VALUE"""),2.53)</f>
        <v>2.53</v>
      </c>
    </row>
    <row r="969">
      <c r="A969" s="13" t="str">
        <f>IFERROR(__xludf.DUMMYFUNCTION("""COMPUTED_VALUE"""),"товари")</f>
        <v>товари</v>
      </c>
      <c r="B969" s="16" t="str">
        <f>IFERROR(__xludf.DUMMYFUNCTION("""COMPUTED_VALUE"""),"товари для дому")</f>
        <v>товари для дому</v>
      </c>
      <c r="C969" s="16" t="str">
        <f>IFERROR(__xludf.DUMMYFUNCTION("""COMPUTED_VALUE"""),"посуд")</f>
        <v>посуд</v>
      </c>
      <c r="D969" s="16" t="str">
        <f>IFERROR(__xludf.DUMMYFUNCTION("""COMPUTED_VALUE"""),"кухонне приладдя")</f>
        <v>кухонне приладдя</v>
      </c>
      <c r="E969" s="16" t="str">
        <f>IFERROR(__xludf.DUMMYFUNCTION("""COMPUTED_VALUE"""),"качалки")</f>
        <v>качалки</v>
      </c>
      <c r="F969" s="17">
        <f>IFERROR(__xludf.DUMMYFUNCTION("""COMPUTED_VALUE"""),4.0)</f>
        <v>4</v>
      </c>
      <c r="G969" s="17" t="str">
        <f>IFERROR(__xludf.DUMMYFUNCTION("""COMPUTED_VALUE"""),"15230505")</f>
        <v>15230505</v>
      </c>
      <c r="H969" s="17" t="str">
        <f>IFERROR(__xludf.DUMMYFUNCTION("""COMPUTED_VALUE"""),"качалки")</f>
        <v>качалки</v>
      </c>
      <c r="I969" s="19">
        <f>IFERROR(__xludf.DUMMYFUNCTION("""COMPUTED_VALUE"""),0.0767)</f>
        <v>0.0767</v>
      </c>
      <c r="J969" s="19">
        <f>IFERROR(__xludf.DUMMYFUNCTION("""COMPUTED_VALUE"""),0.1534)</f>
        <v>0.1534</v>
      </c>
      <c r="K969" s="19">
        <f>IFERROR(__xludf.DUMMYFUNCTION("""COMPUTED_VALUE"""),0.1918)</f>
        <v>0.1918</v>
      </c>
      <c r="L969" s="19">
        <f>IFERROR(__xludf.DUMMYFUNCTION("""COMPUTED_VALUE"""),0.2301)</f>
        <v>0.2301</v>
      </c>
      <c r="M969" s="18">
        <f>IFERROR(__xludf.DUMMYFUNCTION("""COMPUTED_VALUE"""),2.08)</f>
        <v>2.08</v>
      </c>
    </row>
    <row r="970">
      <c r="A970" s="13" t="str">
        <f>IFERROR(__xludf.DUMMYFUNCTION("""COMPUTED_VALUE"""),"товари")</f>
        <v>товари</v>
      </c>
      <c r="B970" s="16" t="str">
        <f>IFERROR(__xludf.DUMMYFUNCTION("""COMPUTED_VALUE"""),"товари для дому")</f>
        <v>товари для дому</v>
      </c>
      <c r="C970" s="16" t="str">
        <f>IFERROR(__xludf.DUMMYFUNCTION("""COMPUTED_VALUE"""),"посуд")</f>
        <v>посуд</v>
      </c>
      <c r="D970" s="16" t="str">
        <f>IFERROR(__xludf.DUMMYFUNCTION("""COMPUTED_VALUE"""),"столовий посуд")</f>
        <v>столовий посуд</v>
      </c>
      <c r="E970" s="16" t="str">
        <f>IFERROR(__xludf.DUMMYFUNCTION("""COMPUTED_VALUE"""),"келихи і фужери")</f>
        <v>келихи і фужери</v>
      </c>
      <c r="F970" s="17">
        <f>IFERROR(__xludf.DUMMYFUNCTION("""COMPUTED_VALUE"""),4.0)</f>
        <v>4</v>
      </c>
      <c r="G970" s="17" t="str">
        <f>IFERROR(__xludf.DUMMYFUNCTION("""COMPUTED_VALUE"""),"152108")</f>
        <v>152108</v>
      </c>
      <c r="H970" s="17" t="str">
        <f>IFERROR(__xludf.DUMMYFUNCTION("""COMPUTED_VALUE"""),"келихи і фужери")</f>
        <v>келихи і фужери</v>
      </c>
      <c r="I970" s="19">
        <f>IFERROR(__xludf.DUMMYFUNCTION("""COMPUTED_VALUE"""),0.0767)</f>
        <v>0.0767</v>
      </c>
      <c r="J970" s="19">
        <f>IFERROR(__xludf.DUMMYFUNCTION("""COMPUTED_VALUE"""),0.1534)</f>
        <v>0.1534</v>
      </c>
      <c r="K970" s="19">
        <f>IFERROR(__xludf.DUMMYFUNCTION("""COMPUTED_VALUE"""),0.1918)</f>
        <v>0.1918</v>
      </c>
      <c r="L970" s="19">
        <f>IFERROR(__xludf.DUMMYFUNCTION("""COMPUTED_VALUE"""),0.2301)</f>
        <v>0.2301</v>
      </c>
      <c r="M970" s="18">
        <f>IFERROR(__xludf.DUMMYFUNCTION("""COMPUTED_VALUE"""),2.08)</f>
        <v>2.08</v>
      </c>
    </row>
    <row r="971">
      <c r="A971" s="13" t="str">
        <f>IFERROR(__xludf.DUMMYFUNCTION("""COMPUTED_VALUE"""),"товари")</f>
        <v>товари</v>
      </c>
      <c r="B971" s="16" t="str">
        <f>IFERROR(__xludf.DUMMYFUNCTION("""COMPUTED_VALUE"""),"товари для дому")</f>
        <v>товари для дому</v>
      </c>
      <c r="C971" s="16" t="str">
        <f>IFERROR(__xludf.DUMMYFUNCTION("""COMPUTED_VALUE"""),"текстиль")</f>
        <v>текстиль</v>
      </c>
      <c r="D971" s="16" t="str">
        <f>IFERROR(__xludf.DUMMYFUNCTION("""COMPUTED_VALUE"""),"килими та килимові доріжки")</f>
        <v>килими та килимові доріжки</v>
      </c>
      <c r="E971" s="16" t="str">
        <f>IFERROR(__xludf.DUMMYFUNCTION("""COMPUTED_VALUE"""),"килими")</f>
        <v>килими</v>
      </c>
      <c r="F971" s="17">
        <f>IFERROR(__xludf.DUMMYFUNCTION("""COMPUTED_VALUE"""),4.0)</f>
        <v>4</v>
      </c>
      <c r="G971" s="17" t="str">
        <f>IFERROR(__xludf.DUMMYFUNCTION("""COMPUTED_VALUE"""),"4050702")</f>
        <v>4050702</v>
      </c>
      <c r="H971" s="17" t="str">
        <f>IFERROR(__xludf.DUMMYFUNCTION("""COMPUTED_VALUE"""),"килими")</f>
        <v>килими</v>
      </c>
      <c r="I971" s="19">
        <f>IFERROR(__xludf.DUMMYFUNCTION("""COMPUTED_VALUE"""),0.075)</f>
        <v>0.075</v>
      </c>
      <c r="J971" s="19">
        <f>IFERROR(__xludf.DUMMYFUNCTION("""COMPUTED_VALUE"""),0.15)</f>
        <v>0.15</v>
      </c>
      <c r="K971" s="19">
        <f>IFERROR(__xludf.DUMMYFUNCTION("""COMPUTED_VALUE"""),0.1875)</f>
        <v>0.1875</v>
      </c>
      <c r="L971" s="19">
        <f>IFERROR(__xludf.DUMMYFUNCTION("""COMPUTED_VALUE"""),0.225)</f>
        <v>0.225</v>
      </c>
      <c r="M971" s="18">
        <f>IFERROR(__xludf.DUMMYFUNCTION("""COMPUTED_VALUE"""),1.63)</f>
        <v>1.63</v>
      </c>
    </row>
    <row r="972">
      <c r="A972" s="13" t="str">
        <f>IFERROR(__xludf.DUMMYFUNCTION("""COMPUTED_VALUE"""),"товари")</f>
        <v>товари</v>
      </c>
      <c r="B972" s="16" t="str">
        <f>IFERROR(__xludf.DUMMYFUNCTION("""COMPUTED_VALUE"""),"товари для дому")</f>
        <v>товари для дому</v>
      </c>
      <c r="C972" s="16" t="str">
        <f>IFERROR(__xludf.DUMMYFUNCTION("""COMPUTED_VALUE"""),"текстиль")</f>
        <v>текстиль</v>
      </c>
      <c r="D972" s="16" t="str">
        <f>IFERROR(__xludf.DUMMYFUNCTION("""COMPUTED_VALUE"""),"килими та килимові доріжки")</f>
        <v>килими та килимові доріжки</v>
      </c>
      <c r="E972" s="16" t="str">
        <f>IFERROR(__xludf.DUMMYFUNCTION("""COMPUTED_VALUE"""),"килими та килимові доріжки, загальне")</f>
        <v>килими та килимові доріжки, загальне</v>
      </c>
      <c r="F972" s="17">
        <f>IFERROR(__xludf.DUMMYFUNCTION("""COMPUTED_VALUE"""),4.0)</f>
        <v>4</v>
      </c>
      <c r="G972" s="17" t="str">
        <f>IFERROR(__xludf.DUMMYFUNCTION("""COMPUTED_VALUE"""),"4050701")</f>
        <v>4050701</v>
      </c>
      <c r="H972" s="17" t="str">
        <f>IFERROR(__xludf.DUMMYFUNCTION("""COMPUTED_VALUE"""),"килими та килимові доріжки, загальне")</f>
        <v>килими та килимові доріжки, загальне</v>
      </c>
      <c r="I972" s="19">
        <f>IFERROR(__xludf.DUMMYFUNCTION("""COMPUTED_VALUE"""),0.125)</f>
        <v>0.125</v>
      </c>
      <c r="J972" s="19">
        <f>IFERROR(__xludf.DUMMYFUNCTION("""COMPUTED_VALUE"""),0.25)</f>
        <v>0.25</v>
      </c>
      <c r="K972" s="19">
        <f>IFERROR(__xludf.DUMMYFUNCTION("""COMPUTED_VALUE"""),0.3125)</f>
        <v>0.3125</v>
      </c>
      <c r="L972" s="19">
        <f>IFERROR(__xludf.DUMMYFUNCTION("""COMPUTED_VALUE"""),0.375)</f>
        <v>0.375</v>
      </c>
      <c r="M972" s="18">
        <f>IFERROR(__xludf.DUMMYFUNCTION("""COMPUTED_VALUE"""),4.33)</f>
        <v>4.33</v>
      </c>
    </row>
    <row r="973">
      <c r="A973" s="13" t="str">
        <f>IFERROR(__xludf.DUMMYFUNCTION("""COMPUTED_VALUE"""),"товари")</f>
        <v>товари</v>
      </c>
      <c r="B973" s="16" t="str">
        <f>IFERROR(__xludf.DUMMYFUNCTION("""COMPUTED_VALUE"""),"товари для дому")</f>
        <v>товари для дому</v>
      </c>
      <c r="C973" s="16" t="str">
        <f>IFERROR(__xludf.DUMMYFUNCTION("""COMPUTED_VALUE"""),"текстиль")</f>
        <v>текстиль</v>
      </c>
      <c r="D973" s="16" t="str">
        <f>IFERROR(__xludf.DUMMYFUNCTION("""COMPUTED_VALUE"""),"килими та килимові доріжки")</f>
        <v>килими та килимові доріжки</v>
      </c>
      <c r="E973" s="16" t="str">
        <f>IFERROR(__xludf.DUMMYFUNCTION("""COMPUTED_VALUE"""),"килимки для ванної та туалету")</f>
        <v>килимки для ванної та туалету</v>
      </c>
      <c r="F973" s="17">
        <f>IFERROR(__xludf.DUMMYFUNCTION("""COMPUTED_VALUE"""),4.0)</f>
        <v>4</v>
      </c>
      <c r="G973" s="17" t="str">
        <f>IFERROR(__xludf.DUMMYFUNCTION("""COMPUTED_VALUE"""),"154002")</f>
        <v>154002</v>
      </c>
      <c r="H973" s="17" t="str">
        <f>IFERROR(__xludf.DUMMYFUNCTION("""COMPUTED_VALUE"""),"килимки для ванної та туалету")</f>
        <v>килимки для ванної та туалету</v>
      </c>
      <c r="I973" s="19">
        <f>IFERROR(__xludf.DUMMYFUNCTION("""COMPUTED_VALUE"""),0.077)</f>
        <v>0.077</v>
      </c>
      <c r="J973" s="19">
        <f>IFERROR(__xludf.DUMMYFUNCTION("""COMPUTED_VALUE"""),0.154)</f>
        <v>0.154</v>
      </c>
      <c r="K973" s="19">
        <f>IFERROR(__xludf.DUMMYFUNCTION("""COMPUTED_VALUE"""),0.1925)</f>
        <v>0.1925</v>
      </c>
      <c r="L973" s="19">
        <f>IFERROR(__xludf.DUMMYFUNCTION("""COMPUTED_VALUE"""),0.231)</f>
        <v>0.231</v>
      </c>
      <c r="M973" s="18">
        <f>IFERROR(__xludf.DUMMYFUNCTION("""COMPUTED_VALUE"""),1.63)</f>
        <v>1.63</v>
      </c>
    </row>
    <row r="974">
      <c r="A974" s="13" t="str">
        <f>IFERROR(__xludf.DUMMYFUNCTION("""COMPUTED_VALUE"""),"товари")</f>
        <v>товари</v>
      </c>
      <c r="B974" s="16" t="str">
        <f>IFERROR(__xludf.DUMMYFUNCTION("""COMPUTED_VALUE"""),"дача, сад і город")</f>
        <v>дача, сад і город</v>
      </c>
      <c r="C974" s="16" t="str">
        <f>IFERROR(__xludf.DUMMYFUNCTION("""COMPUTED_VALUE"""),"інструменти для обробки грунту")</f>
        <v>інструменти для обробки грунту</v>
      </c>
      <c r="D974" s="16" t="str">
        <f>IFERROR(__xludf.DUMMYFUNCTION("""COMPUTED_VALUE"""),"кирки")</f>
        <v>кирки</v>
      </c>
      <c r="E974" s="16" t="str">
        <f>IFERROR(__xludf.DUMMYFUNCTION("""COMPUTED_VALUE"""),"кирки")</f>
        <v>кирки</v>
      </c>
      <c r="F974" s="17">
        <f>IFERROR(__xludf.DUMMYFUNCTION("""COMPUTED_VALUE"""),3.0)</f>
        <v>3</v>
      </c>
      <c r="G974" s="17" t="str">
        <f>IFERROR(__xludf.DUMMYFUNCTION("""COMPUTED_VALUE"""),"1250310")</f>
        <v>1250310</v>
      </c>
      <c r="H974" s="17" t="str">
        <f>IFERROR(__xludf.DUMMYFUNCTION("""COMPUTED_VALUE"""),"кирки")</f>
        <v>кирки</v>
      </c>
      <c r="I974" s="19">
        <f>IFERROR(__xludf.DUMMYFUNCTION("""COMPUTED_VALUE"""),0.0716)</f>
        <v>0.0716</v>
      </c>
      <c r="J974" s="19">
        <f>IFERROR(__xludf.DUMMYFUNCTION("""COMPUTED_VALUE"""),0.1431)</f>
        <v>0.1431</v>
      </c>
      <c r="K974" s="19">
        <f>IFERROR(__xludf.DUMMYFUNCTION("""COMPUTED_VALUE"""),0.1789)</f>
        <v>0.1789</v>
      </c>
      <c r="L974" s="19">
        <f>IFERROR(__xludf.DUMMYFUNCTION("""COMPUTED_VALUE"""),0.2147)</f>
        <v>0.2147</v>
      </c>
      <c r="M974" s="18">
        <f>IFERROR(__xludf.DUMMYFUNCTION("""COMPUTED_VALUE"""),1.71)</f>
        <v>1.71</v>
      </c>
    </row>
    <row r="975">
      <c r="A975" s="13" t="str">
        <f>IFERROR(__xludf.DUMMYFUNCTION("""COMPUTED_VALUE"""),"товари")</f>
        <v>товари</v>
      </c>
      <c r="B975" s="16" t="str">
        <f>IFERROR(__xludf.DUMMYFUNCTION("""COMPUTED_VALUE"""),"дача, сад і город")</f>
        <v>дача, сад і город</v>
      </c>
      <c r="C975" s="16" t="str">
        <f>IFERROR(__xludf.DUMMYFUNCTION("""COMPUTED_VALUE"""),"ландшафтні будови")</f>
        <v>ландшафтні будови</v>
      </c>
      <c r="D975" s="16" t="str">
        <f>IFERROR(__xludf.DUMMYFUNCTION("""COMPUTED_VALUE"""),"клумби і грядки")</f>
        <v>клумби і грядки</v>
      </c>
      <c r="E975" s="16" t="str">
        <f>IFERROR(__xludf.DUMMYFUNCTION("""COMPUTED_VALUE"""),"клумби і грядки")</f>
        <v>клумби і грядки</v>
      </c>
      <c r="F975" s="17">
        <f>IFERROR(__xludf.DUMMYFUNCTION("""COMPUTED_VALUE"""),3.0)</f>
        <v>3</v>
      </c>
      <c r="G975" s="17" t="str">
        <f>IFERROR(__xludf.DUMMYFUNCTION("""COMPUTED_VALUE"""),"130127")</f>
        <v>130127</v>
      </c>
      <c r="H975" s="17" t="str">
        <f>IFERROR(__xludf.DUMMYFUNCTION("""COMPUTED_VALUE"""),"клумби і грядки")</f>
        <v>клумби і грядки</v>
      </c>
      <c r="I975" s="19">
        <f>IFERROR(__xludf.DUMMYFUNCTION("""COMPUTED_VALUE"""),0.0766)</f>
        <v>0.0766</v>
      </c>
      <c r="J975" s="19">
        <f>IFERROR(__xludf.DUMMYFUNCTION("""COMPUTED_VALUE"""),0.1532)</f>
        <v>0.1532</v>
      </c>
      <c r="K975" s="19">
        <f>IFERROR(__xludf.DUMMYFUNCTION("""COMPUTED_VALUE"""),0.1915)</f>
        <v>0.1915</v>
      </c>
      <c r="L975" s="19">
        <f>IFERROR(__xludf.DUMMYFUNCTION("""COMPUTED_VALUE"""),0.2298)</f>
        <v>0.2298</v>
      </c>
      <c r="M975" s="18">
        <f>IFERROR(__xludf.DUMMYFUNCTION("""COMPUTED_VALUE"""),1.71)</f>
        <v>1.71</v>
      </c>
    </row>
    <row r="976">
      <c r="A976" s="13" t="str">
        <f>IFERROR(__xludf.DUMMYFUNCTION("""COMPUTED_VALUE"""),"товари")</f>
        <v>товари</v>
      </c>
      <c r="B976" s="16" t="str">
        <f>IFERROR(__xludf.DUMMYFUNCTION("""COMPUTED_VALUE"""),"товари для дому")</f>
        <v>товари для дому</v>
      </c>
      <c r="C976" s="16" t="str">
        <f>IFERROR(__xludf.DUMMYFUNCTION("""COMPUTED_VALUE"""),"декор для дому")</f>
        <v>декор для дому</v>
      </c>
      <c r="D976" s="16" t="str">
        <f>IFERROR(__xludf.DUMMYFUNCTION("""COMPUTED_VALUE"""),"інтер'єрні аксесуари")</f>
        <v>інтер'єрні аксесуари</v>
      </c>
      <c r="E976" s="16" t="str">
        <f>IFERROR(__xludf.DUMMYFUNCTION("""COMPUTED_VALUE"""),"ключниці, ящики для ключів")</f>
        <v>ключниці, ящики для ключів</v>
      </c>
      <c r="F976" s="17">
        <f>IFERROR(__xludf.DUMMYFUNCTION("""COMPUTED_VALUE"""),4.0)</f>
        <v>4</v>
      </c>
      <c r="G976" s="17" t="str">
        <f>IFERROR(__xludf.DUMMYFUNCTION("""COMPUTED_VALUE"""),"371013")</f>
        <v>371013</v>
      </c>
      <c r="H976" s="17" t="str">
        <f>IFERROR(__xludf.DUMMYFUNCTION("""COMPUTED_VALUE"""),"ключниці, ящики для ключів")</f>
        <v>ключниці, ящики для ключів</v>
      </c>
      <c r="I976" s="19">
        <f>IFERROR(__xludf.DUMMYFUNCTION("""COMPUTED_VALUE"""),0.0802)</f>
        <v>0.0802</v>
      </c>
      <c r="J976" s="19">
        <f>IFERROR(__xludf.DUMMYFUNCTION("""COMPUTED_VALUE"""),0.1604)</f>
        <v>0.1604</v>
      </c>
      <c r="K976" s="19">
        <f>IFERROR(__xludf.DUMMYFUNCTION("""COMPUTED_VALUE"""),0.2005)</f>
        <v>0.2005</v>
      </c>
      <c r="L976" s="19">
        <f>IFERROR(__xludf.DUMMYFUNCTION("""COMPUTED_VALUE"""),0.2406)</f>
        <v>0.2406</v>
      </c>
      <c r="M976" s="18">
        <f>IFERROR(__xludf.DUMMYFUNCTION("""COMPUTED_VALUE"""),5.4)</f>
        <v>5.4</v>
      </c>
    </row>
    <row r="977">
      <c r="A977" s="13" t="str">
        <f>IFERROR(__xludf.DUMMYFUNCTION("""COMPUTED_VALUE"""),"товари")</f>
        <v>товари</v>
      </c>
      <c r="B977" s="16" t="str">
        <f>IFERROR(__xludf.DUMMYFUNCTION("""COMPUTED_VALUE"""),"товари для дому")</f>
        <v>товари для дому</v>
      </c>
      <c r="C977" s="16" t="str">
        <f>IFERROR(__xludf.DUMMYFUNCTION("""COMPUTED_VALUE"""),"меблі")</f>
        <v>меблі</v>
      </c>
      <c r="D977" s="16" t="str">
        <f>IFERROR(__xludf.DUMMYFUNCTION("""COMPUTED_VALUE"""),"шафи")</f>
        <v>шафи</v>
      </c>
      <c r="E977" s="16" t="str">
        <f>IFERROR(__xludf.DUMMYFUNCTION("""COMPUTED_VALUE"""),"книжкові шафи й полиці")</f>
        <v>книжкові шафи й полиці</v>
      </c>
      <c r="F977" s="17">
        <f>IFERROR(__xludf.DUMMYFUNCTION("""COMPUTED_VALUE"""),4.0)</f>
        <v>4</v>
      </c>
      <c r="G977" s="17" t="str">
        <f>IFERROR(__xludf.DUMMYFUNCTION("""COMPUTED_VALUE"""),"37034001")</f>
        <v>37034001</v>
      </c>
      <c r="H977" s="17" t="str">
        <f>IFERROR(__xludf.DUMMYFUNCTION("""COMPUTED_VALUE"""),"книжкові шафи й полиці")</f>
        <v>книжкові шафи й полиці</v>
      </c>
      <c r="I977" s="19">
        <f>IFERROR(__xludf.DUMMYFUNCTION("""COMPUTED_VALUE"""),0.0681)</f>
        <v>0.0681</v>
      </c>
      <c r="J977" s="19">
        <f>IFERROR(__xludf.DUMMYFUNCTION("""COMPUTED_VALUE"""),0.1361)</f>
        <v>0.1361</v>
      </c>
      <c r="K977" s="19">
        <f>IFERROR(__xludf.DUMMYFUNCTION("""COMPUTED_VALUE"""),0.1701)</f>
        <v>0.1701</v>
      </c>
      <c r="L977" s="19">
        <f>IFERROR(__xludf.DUMMYFUNCTION("""COMPUTED_VALUE"""),0.2042)</f>
        <v>0.2042</v>
      </c>
      <c r="M977" s="18">
        <f>IFERROR(__xludf.DUMMYFUNCTION("""COMPUTED_VALUE"""),3.15)</f>
        <v>3.15</v>
      </c>
    </row>
    <row r="978">
      <c r="A978" s="13" t="str">
        <f>IFERROR(__xludf.DUMMYFUNCTION("""COMPUTED_VALUE"""),"товари")</f>
        <v>товари</v>
      </c>
      <c r="B978" s="16" t="str">
        <f>IFERROR(__xludf.DUMMYFUNCTION("""COMPUTED_VALUE"""),"товари для дому")</f>
        <v>товари для дому</v>
      </c>
      <c r="C978" s="16" t="str">
        <f>IFERROR(__xludf.DUMMYFUNCTION("""COMPUTED_VALUE"""),"текстиль")</f>
        <v>текстиль</v>
      </c>
      <c r="D978" s="16" t="str">
        <f>IFERROR(__xludf.DUMMYFUNCTION("""COMPUTED_VALUE"""),"текстиль для спальні")</f>
        <v>текстиль для спальні</v>
      </c>
      <c r="E978" s="16" t="str">
        <f>IFERROR(__xludf.DUMMYFUNCTION("""COMPUTED_VALUE"""),"ковдри")</f>
        <v>ковдри</v>
      </c>
      <c r="F978" s="17">
        <f>IFERROR(__xludf.DUMMYFUNCTION("""COMPUTED_VALUE"""),4.0)</f>
        <v>4</v>
      </c>
      <c r="G978" s="17" t="str">
        <f>IFERROR(__xludf.DUMMYFUNCTION("""COMPUTED_VALUE"""),"40602")</f>
        <v>40602</v>
      </c>
      <c r="H978" s="17" t="str">
        <f>IFERROR(__xludf.DUMMYFUNCTION("""COMPUTED_VALUE"""),"ковдри")</f>
        <v>ковдри</v>
      </c>
      <c r="I978" s="19">
        <f>IFERROR(__xludf.DUMMYFUNCTION("""COMPUTED_VALUE"""),0.0775)</f>
        <v>0.0775</v>
      </c>
      <c r="J978" s="19">
        <f>IFERROR(__xludf.DUMMYFUNCTION("""COMPUTED_VALUE"""),0.155)</f>
        <v>0.155</v>
      </c>
      <c r="K978" s="19">
        <f>IFERROR(__xludf.DUMMYFUNCTION("""COMPUTED_VALUE"""),0.1938)</f>
        <v>0.1938</v>
      </c>
      <c r="L978" s="19">
        <f>IFERROR(__xludf.DUMMYFUNCTION("""COMPUTED_VALUE"""),0.2325)</f>
        <v>0.2325</v>
      </c>
      <c r="M978" s="18">
        <f>IFERROR(__xludf.DUMMYFUNCTION("""COMPUTED_VALUE"""),2.16)</f>
        <v>2.16</v>
      </c>
    </row>
    <row r="979">
      <c r="A979" s="13" t="str">
        <f>IFERROR(__xludf.DUMMYFUNCTION("""COMPUTED_VALUE"""),"товари")</f>
        <v>товари</v>
      </c>
      <c r="B979" s="16" t="str">
        <f>IFERROR(__xludf.DUMMYFUNCTION("""COMPUTED_VALUE"""),"дача, сад і город")</f>
        <v>дача, сад і город</v>
      </c>
      <c r="C979" s="16" t="str">
        <f>IFERROR(__xludf.DUMMYFUNCTION("""COMPUTED_VALUE"""),"ландшафтні будови")</f>
        <v>ландшафтні будови</v>
      </c>
      <c r="D979" s="16" t="str">
        <f>IFERROR(__xludf.DUMMYFUNCTION("""COMPUTED_VALUE"""),"колодязі")</f>
        <v>колодязі</v>
      </c>
      <c r="E979" s="16" t="str">
        <f>IFERROR(__xludf.DUMMYFUNCTION("""COMPUTED_VALUE"""),"колодязі")</f>
        <v>колодязі</v>
      </c>
      <c r="F979" s="17">
        <f>IFERROR(__xludf.DUMMYFUNCTION("""COMPUTED_VALUE"""),3.0)</f>
        <v>3</v>
      </c>
      <c r="G979" s="17" t="str">
        <f>IFERROR(__xludf.DUMMYFUNCTION("""COMPUTED_VALUE"""),"12513")</f>
        <v>12513</v>
      </c>
      <c r="H979" s="17" t="str">
        <f>IFERROR(__xludf.DUMMYFUNCTION("""COMPUTED_VALUE"""),"колодязі")</f>
        <v>колодязі</v>
      </c>
      <c r="I979" s="19">
        <f>IFERROR(__xludf.DUMMYFUNCTION("""COMPUTED_VALUE"""),0.0547)</f>
        <v>0.0547</v>
      </c>
      <c r="J979" s="19">
        <f>IFERROR(__xludf.DUMMYFUNCTION("""COMPUTED_VALUE"""),0.1094)</f>
        <v>0.1094</v>
      </c>
      <c r="K979" s="19">
        <f>IFERROR(__xludf.DUMMYFUNCTION("""COMPUTED_VALUE"""),0.1368)</f>
        <v>0.1368</v>
      </c>
      <c r="L979" s="19">
        <f>IFERROR(__xludf.DUMMYFUNCTION("""COMPUTED_VALUE"""),0.1641)</f>
        <v>0.1641</v>
      </c>
      <c r="M979" s="18">
        <f>IFERROR(__xludf.DUMMYFUNCTION("""COMPUTED_VALUE"""),1.71)</f>
        <v>1.71</v>
      </c>
    </row>
    <row r="980">
      <c r="A980" s="13" t="str">
        <f>IFERROR(__xludf.DUMMYFUNCTION("""COMPUTED_VALUE"""),"товари")</f>
        <v>товари</v>
      </c>
      <c r="B980" s="16" t="str">
        <f>IFERROR(__xludf.DUMMYFUNCTION("""COMPUTED_VALUE"""),"товари для дому")</f>
        <v>товари для дому</v>
      </c>
      <c r="C980" s="16" t="str">
        <f>IFERROR(__xludf.DUMMYFUNCTION("""COMPUTED_VALUE"""),"меблі")</f>
        <v>меблі</v>
      </c>
      <c r="D980" s="16" t="str">
        <f>IFERROR(__xludf.DUMMYFUNCTION("""COMPUTED_VALUE"""),"комоди")</f>
        <v>комоди</v>
      </c>
      <c r="E980" s="16" t="str">
        <f>IFERROR(__xludf.DUMMYFUNCTION("""COMPUTED_VALUE"""),"комоди")</f>
        <v>комоди</v>
      </c>
      <c r="F980" s="17">
        <f>IFERROR(__xludf.DUMMYFUNCTION("""COMPUTED_VALUE"""),3.0)</f>
        <v>3</v>
      </c>
      <c r="G980" s="17" t="str">
        <f>IFERROR(__xludf.DUMMYFUNCTION("""COMPUTED_VALUE"""),"37032005")</f>
        <v>37032005</v>
      </c>
      <c r="H980" s="17" t="str">
        <f>IFERROR(__xludf.DUMMYFUNCTION("""COMPUTED_VALUE"""),"комоди")</f>
        <v>комоди</v>
      </c>
      <c r="I980" s="19">
        <f>IFERROR(__xludf.DUMMYFUNCTION("""COMPUTED_VALUE"""),0.0695)</f>
        <v>0.0695</v>
      </c>
      <c r="J980" s="19">
        <f>IFERROR(__xludf.DUMMYFUNCTION("""COMPUTED_VALUE"""),0.139)</f>
        <v>0.139</v>
      </c>
      <c r="K980" s="19">
        <f>IFERROR(__xludf.DUMMYFUNCTION("""COMPUTED_VALUE"""),0.1738)</f>
        <v>0.1738</v>
      </c>
      <c r="L980" s="19">
        <f>IFERROR(__xludf.DUMMYFUNCTION("""COMPUTED_VALUE"""),0.2085)</f>
        <v>0.2085</v>
      </c>
      <c r="M980" s="18">
        <f>IFERROR(__xludf.DUMMYFUNCTION("""COMPUTED_VALUE"""),2.53)</f>
        <v>2.53</v>
      </c>
    </row>
    <row r="981">
      <c r="A981" s="13" t="str">
        <f>IFERROR(__xludf.DUMMYFUNCTION("""COMPUTED_VALUE"""),"товари")</f>
        <v>товари</v>
      </c>
      <c r="B981" s="16" t="str">
        <f>IFERROR(__xludf.DUMMYFUNCTION("""COMPUTED_VALUE"""),"товари для дому")</f>
        <v>товари для дому</v>
      </c>
      <c r="C981" s="16" t="str">
        <f>IFERROR(__xludf.DUMMYFUNCTION("""COMPUTED_VALUE"""),"меблі")</f>
        <v>меблі</v>
      </c>
      <c r="D981" s="16" t="str">
        <f>IFERROR(__xludf.DUMMYFUNCTION("""COMPUTED_VALUE"""),"столи")</f>
        <v>столи</v>
      </c>
      <c r="E981" s="16" t="str">
        <f>IFERROR(__xludf.DUMMYFUNCTION("""COMPUTED_VALUE"""),"комп'ютерні столи")</f>
        <v>комп'ютерні столи</v>
      </c>
      <c r="F981" s="17">
        <f>IFERROR(__xludf.DUMMYFUNCTION("""COMPUTED_VALUE"""),4.0)</f>
        <v>4</v>
      </c>
      <c r="G981" s="17" t="str">
        <f>IFERROR(__xludf.DUMMYFUNCTION("""COMPUTED_VALUE"""),"37013001")</f>
        <v>37013001</v>
      </c>
      <c r="H981" s="17" t="str">
        <f>IFERROR(__xludf.DUMMYFUNCTION("""COMPUTED_VALUE"""),"комп'ютерні столи")</f>
        <v>комп'ютерні столи</v>
      </c>
      <c r="I981" s="19">
        <f>IFERROR(__xludf.DUMMYFUNCTION("""COMPUTED_VALUE"""),0.0678)</f>
        <v>0.0678</v>
      </c>
      <c r="J981" s="19">
        <f>IFERROR(__xludf.DUMMYFUNCTION("""COMPUTED_VALUE"""),0.1356)</f>
        <v>0.1356</v>
      </c>
      <c r="K981" s="19">
        <f>IFERROR(__xludf.DUMMYFUNCTION("""COMPUTED_VALUE"""),0.1695)</f>
        <v>0.1695</v>
      </c>
      <c r="L981" s="19">
        <f>IFERROR(__xludf.DUMMYFUNCTION("""COMPUTED_VALUE"""),0.2034)</f>
        <v>0.2034</v>
      </c>
      <c r="M981" s="18">
        <f>IFERROR(__xludf.DUMMYFUNCTION("""COMPUTED_VALUE"""),4.58)</f>
        <v>4.58</v>
      </c>
    </row>
    <row r="982">
      <c r="A982" s="13" t="str">
        <f>IFERROR(__xludf.DUMMYFUNCTION("""COMPUTED_VALUE"""),"товари")</f>
        <v>товари</v>
      </c>
      <c r="B982" s="16" t="str">
        <f>IFERROR(__xludf.DUMMYFUNCTION("""COMPUTED_VALUE"""),"товари для дому")</f>
        <v>товари для дому</v>
      </c>
      <c r="C982" s="16" t="str">
        <f>IFERROR(__xludf.DUMMYFUNCTION("""COMPUTED_VALUE"""),"меблі")</f>
        <v>меблі</v>
      </c>
      <c r="D982" s="16" t="str">
        <f>IFERROR(__xludf.DUMMYFUNCTION("""COMPUTED_VALUE"""),"меблі для ванних")</f>
        <v>меблі для ванних</v>
      </c>
      <c r="E982" s="16" t="str">
        <f>IFERROR(__xludf.DUMMYFUNCTION("""COMPUTED_VALUE"""),"комплекти меблів для ванної")</f>
        <v>комплекти меблів для ванної</v>
      </c>
      <c r="F982" s="17">
        <f>IFERROR(__xludf.DUMMYFUNCTION("""COMPUTED_VALUE"""),4.0)</f>
        <v>4</v>
      </c>
      <c r="G982" s="17" t="str">
        <f>IFERROR(__xludf.DUMMYFUNCTION("""COMPUTED_VALUE"""),"13018001")</f>
        <v>13018001</v>
      </c>
      <c r="H982" s="17" t="str">
        <f>IFERROR(__xludf.DUMMYFUNCTION("""COMPUTED_VALUE"""),"комплекти меблів для ванної")</f>
        <v>комплекти меблів для ванної</v>
      </c>
      <c r="I982" s="19">
        <f>IFERROR(__xludf.DUMMYFUNCTION("""COMPUTED_VALUE"""),0.0661)</f>
        <v>0.0661</v>
      </c>
      <c r="J982" s="19">
        <f>IFERROR(__xludf.DUMMYFUNCTION("""COMPUTED_VALUE"""),0.1321)</f>
        <v>0.1321</v>
      </c>
      <c r="K982" s="19">
        <f>IFERROR(__xludf.DUMMYFUNCTION("""COMPUTED_VALUE"""),0.1651)</f>
        <v>0.1651</v>
      </c>
      <c r="L982" s="19">
        <f>IFERROR(__xludf.DUMMYFUNCTION("""COMPUTED_VALUE"""),0.1982)</f>
        <v>0.1982</v>
      </c>
      <c r="M982" s="18">
        <f>IFERROR(__xludf.DUMMYFUNCTION("""COMPUTED_VALUE"""),2.7)</f>
        <v>2.7</v>
      </c>
    </row>
    <row r="983">
      <c r="A983" s="13" t="str">
        <f>IFERROR(__xludf.DUMMYFUNCTION("""COMPUTED_VALUE"""),"товари")</f>
        <v>товари</v>
      </c>
      <c r="B983" s="16" t="str">
        <f>IFERROR(__xludf.DUMMYFUNCTION("""COMPUTED_VALUE"""),"товари для дому")</f>
        <v>товари для дому</v>
      </c>
      <c r="C983" s="16" t="str">
        <f>IFERROR(__xludf.DUMMYFUNCTION("""COMPUTED_VALUE"""),"текстиль")</f>
        <v>текстиль</v>
      </c>
      <c r="D983" s="16" t="str">
        <f>IFERROR(__xludf.DUMMYFUNCTION("""COMPUTED_VALUE"""),"текстиль для спальні")</f>
        <v>текстиль для спальні</v>
      </c>
      <c r="E983" s="16" t="str">
        <f>IFERROR(__xludf.DUMMYFUNCTION("""COMPUTED_VALUE"""),"комплекти постільної білизни")</f>
        <v>комплекти постільної білизни</v>
      </c>
      <c r="F983" s="17">
        <f>IFERROR(__xludf.DUMMYFUNCTION("""COMPUTED_VALUE"""),4.0)</f>
        <v>4</v>
      </c>
      <c r="G983" s="17" t="str">
        <f>IFERROR(__xludf.DUMMYFUNCTION("""COMPUTED_VALUE"""),"40601")</f>
        <v>40601</v>
      </c>
      <c r="H983" s="17" t="str">
        <f>IFERROR(__xludf.DUMMYFUNCTION("""COMPUTED_VALUE"""),"комплекти постільної білизни")</f>
        <v>комплекти постільної білизни</v>
      </c>
      <c r="I983" s="19">
        <f>IFERROR(__xludf.DUMMYFUNCTION("""COMPUTED_VALUE"""),0.079)</f>
        <v>0.079</v>
      </c>
      <c r="J983" s="19">
        <f>IFERROR(__xludf.DUMMYFUNCTION("""COMPUTED_VALUE"""),0.158)</f>
        <v>0.158</v>
      </c>
      <c r="K983" s="19">
        <f>IFERROR(__xludf.DUMMYFUNCTION("""COMPUTED_VALUE"""),0.1975)</f>
        <v>0.1975</v>
      </c>
      <c r="L983" s="19">
        <f>IFERROR(__xludf.DUMMYFUNCTION("""COMPUTED_VALUE"""),0.237)</f>
        <v>0.237</v>
      </c>
      <c r="M983" s="18">
        <f>IFERROR(__xludf.DUMMYFUNCTION("""COMPUTED_VALUE"""),2.16)</f>
        <v>2.16</v>
      </c>
    </row>
    <row r="984">
      <c r="A984" s="13" t="str">
        <f>IFERROR(__xludf.DUMMYFUNCTION("""COMPUTED_VALUE"""),"товари")</f>
        <v>товари</v>
      </c>
      <c r="B984" s="16" t="str">
        <f>IFERROR(__xludf.DUMMYFUNCTION("""COMPUTED_VALUE"""),"товари для дому")</f>
        <v>товари для дому</v>
      </c>
      <c r="C984" s="16" t="str">
        <f>IFERROR(__xludf.DUMMYFUNCTION("""COMPUTED_VALUE"""),"текстиль")</f>
        <v>текстиль</v>
      </c>
      <c r="D984" s="16" t="str">
        <f>IFERROR(__xludf.DUMMYFUNCTION("""COMPUTED_VALUE"""),"оформлення вікон")</f>
        <v>оформлення вікон</v>
      </c>
      <c r="E984" s="16" t="str">
        <f>IFERROR(__xludf.DUMMYFUNCTION("""COMPUTED_VALUE"""),"комплектуючі для карнизів")</f>
        <v>комплектуючі для карнизів</v>
      </c>
      <c r="F984" s="17">
        <f>IFERROR(__xludf.DUMMYFUNCTION("""COMPUTED_VALUE"""),4.0)</f>
        <v>4</v>
      </c>
      <c r="G984" s="17" t="str">
        <f>IFERROR(__xludf.DUMMYFUNCTION("""COMPUTED_VALUE"""),"15380322")</f>
        <v>15380322</v>
      </c>
      <c r="H984" s="17" t="str">
        <f>IFERROR(__xludf.DUMMYFUNCTION("""COMPUTED_VALUE"""),"комплектуючі для карнизів")</f>
        <v>комплектуючі для карнизів</v>
      </c>
      <c r="I984" s="19">
        <f>IFERROR(__xludf.DUMMYFUNCTION("""COMPUTED_VALUE"""),0.0798)</f>
        <v>0.0798</v>
      </c>
      <c r="J984" s="19">
        <f>IFERROR(__xludf.DUMMYFUNCTION("""COMPUTED_VALUE"""),0.1595)</f>
        <v>0.1595</v>
      </c>
      <c r="K984" s="19">
        <f>IFERROR(__xludf.DUMMYFUNCTION("""COMPUTED_VALUE"""),0.1994)</f>
        <v>0.1994</v>
      </c>
      <c r="L984" s="19">
        <f>IFERROR(__xludf.DUMMYFUNCTION("""COMPUTED_VALUE"""),0.2393)</f>
        <v>0.2393</v>
      </c>
      <c r="M984" s="18">
        <f>IFERROR(__xludf.DUMMYFUNCTION("""COMPUTED_VALUE"""),1.53)</f>
        <v>1.53</v>
      </c>
    </row>
    <row r="985">
      <c r="A985" s="13" t="str">
        <f>IFERROR(__xludf.DUMMYFUNCTION("""COMPUTED_VALUE"""),"товари")</f>
        <v>товари</v>
      </c>
      <c r="B985" s="16" t="str">
        <f>IFERROR(__xludf.DUMMYFUNCTION("""COMPUTED_VALUE"""),"товари для дому")</f>
        <v>товари для дому</v>
      </c>
      <c r="C985" s="16" t="str">
        <f>IFERROR(__xludf.DUMMYFUNCTION("""COMPUTED_VALUE"""),"посуд")</f>
        <v>посуд</v>
      </c>
      <c r="D985" s="16" t="str">
        <f>IFERROR(__xludf.DUMMYFUNCTION("""COMPUTED_VALUE"""),"посуд для приготування")</f>
        <v>посуд для приготування</v>
      </c>
      <c r="E985" s="16" t="str">
        <f>IFERROR(__xludf.DUMMYFUNCTION("""COMPUTED_VALUE"""),"кришки та ручки для посуду")</f>
        <v>кришки та ручки для посуду</v>
      </c>
      <c r="F985" s="17">
        <f>IFERROR(__xludf.DUMMYFUNCTION("""COMPUTED_VALUE"""),4.0)</f>
        <v>4</v>
      </c>
      <c r="G985" s="17" t="str">
        <f>IFERROR(__xludf.DUMMYFUNCTION("""COMPUTED_VALUE"""),"15230302")</f>
        <v>15230302</v>
      </c>
      <c r="H985" s="17" t="str">
        <f>IFERROR(__xludf.DUMMYFUNCTION("""COMPUTED_VALUE"""),"кришки та ручки для посуду")</f>
        <v>кришки та ручки для посуду</v>
      </c>
      <c r="I985" s="19">
        <f>IFERROR(__xludf.DUMMYFUNCTION("""COMPUTED_VALUE"""),0.0774)</f>
        <v>0.0774</v>
      </c>
      <c r="J985" s="19">
        <f>IFERROR(__xludf.DUMMYFUNCTION("""COMPUTED_VALUE"""),0.1547)</f>
        <v>0.1547</v>
      </c>
      <c r="K985" s="19">
        <f>IFERROR(__xludf.DUMMYFUNCTION("""COMPUTED_VALUE"""),0.1934)</f>
        <v>0.1934</v>
      </c>
      <c r="L985" s="19">
        <f>IFERROR(__xludf.DUMMYFUNCTION("""COMPUTED_VALUE"""),0.2321)</f>
        <v>0.2321</v>
      </c>
      <c r="M985" s="18">
        <f>IFERROR(__xludf.DUMMYFUNCTION("""COMPUTED_VALUE"""),2.53)</f>
        <v>2.53</v>
      </c>
    </row>
    <row r="986">
      <c r="A986" s="13" t="str">
        <f>IFERROR(__xludf.DUMMYFUNCTION("""COMPUTED_VALUE"""),"товари")</f>
        <v>товари</v>
      </c>
      <c r="B986" s="16" t="str">
        <f>IFERROR(__xludf.DUMMYFUNCTION("""COMPUTED_VALUE"""),"товари для дому")</f>
        <v>товари для дому</v>
      </c>
      <c r="C986" s="16" t="str">
        <f>IFERROR(__xludf.DUMMYFUNCTION("""COMPUTED_VALUE"""),"меблі")</f>
        <v>меблі</v>
      </c>
      <c r="D986" s="16" t="str">
        <f>IFERROR(__xludf.DUMMYFUNCTION("""COMPUTED_VALUE"""),"комплектуючі для меблів")</f>
        <v>комплектуючі для меблів</v>
      </c>
      <c r="E986" s="16" t="str">
        <f>IFERROR(__xludf.DUMMYFUNCTION("""COMPUTED_VALUE"""),"комплектуючі для меблів, загальне")</f>
        <v>комплектуючі для меблів, загальне</v>
      </c>
      <c r="F986" s="17">
        <f>IFERROR(__xludf.DUMMYFUNCTION("""COMPUTED_VALUE"""),4.0)</f>
        <v>4</v>
      </c>
      <c r="G986" s="17" t="str">
        <f>IFERROR(__xludf.DUMMYFUNCTION("""COMPUTED_VALUE"""),"3708099")</f>
        <v>3708099</v>
      </c>
      <c r="H986" s="17" t="str">
        <f>IFERROR(__xludf.DUMMYFUNCTION("""COMPUTED_VALUE"""),"комплектуючі для меблів, загальне")</f>
        <v>комплектуючі для меблів, загальне</v>
      </c>
      <c r="I986" s="19">
        <f>IFERROR(__xludf.DUMMYFUNCTION("""COMPUTED_VALUE"""),0.125)</f>
        <v>0.125</v>
      </c>
      <c r="J986" s="19">
        <f>IFERROR(__xludf.DUMMYFUNCTION("""COMPUTED_VALUE"""),0.25)</f>
        <v>0.25</v>
      </c>
      <c r="K986" s="19">
        <f>IFERROR(__xludf.DUMMYFUNCTION("""COMPUTED_VALUE"""),0.3125)</f>
        <v>0.3125</v>
      </c>
      <c r="L986" s="19">
        <f>IFERROR(__xludf.DUMMYFUNCTION("""COMPUTED_VALUE"""),0.375)</f>
        <v>0.375</v>
      </c>
      <c r="M986" s="18">
        <f>IFERROR(__xludf.DUMMYFUNCTION("""COMPUTED_VALUE"""),4.33)</f>
        <v>4.33</v>
      </c>
    </row>
    <row r="987">
      <c r="A987" s="13" t="str">
        <f>IFERROR(__xludf.DUMMYFUNCTION("""COMPUTED_VALUE"""),"товари")</f>
        <v>товари</v>
      </c>
      <c r="B987" s="16" t="str">
        <f>IFERROR(__xludf.DUMMYFUNCTION("""COMPUTED_VALUE"""),"дача, сад і город")</f>
        <v>дача, сад і город</v>
      </c>
      <c r="C987" s="16" t="str">
        <f>IFERROR(__xludf.DUMMYFUNCTION("""COMPUTED_VALUE"""),"мінісільгосптехніка")</f>
        <v>мінісільгосптехніка</v>
      </c>
      <c r="D987" s="16" t="str">
        <f>IFERROR(__xludf.DUMMYFUNCTION("""COMPUTED_VALUE"""),"комплектуючі для мінісільгосптехніки")</f>
        <v>комплектуючі для мінісільгосптехніки</v>
      </c>
      <c r="E987" s="16" t="str">
        <f>IFERROR(__xludf.DUMMYFUNCTION("""COMPUTED_VALUE"""),"комплектуючі для мінісільгосптехніки")</f>
        <v>комплектуючі для мінісільгосптехніки</v>
      </c>
      <c r="F987" s="17">
        <f>IFERROR(__xludf.DUMMYFUNCTION("""COMPUTED_VALUE"""),3.0)</f>
        <v>3</v>
      </c>
      <c r="G987" s="17" t="str">
        <f>IFERROR(__xludf.DUMMYFUNCTION("""COMPUTED_VALUE"""),"1250349")</f>
        <v>1250349</v>
      </c>
      <c r="H987" s="17" t="str">
        <f>IFERROR(__xludf.DUMMYFUNCTION("""COMPUTED_VALUE"""),"комплектуючі для мінісільгосптехніки")</f>
        <v>комплектуючі для мінісільгосптехніки</v>
      </c>
      <c r="I987" s="19">
        <f>IFERROR(__xludf.DUMMYFUNCTION("""COMPUTED_VALUE"""),0.05)</f>
        <v>0.05</v>
      </c>
      <c r="J987" s="19">
        <f>IFERROR(__xludf.DUMMYFUNCTION("""COMPUTED_VALUE"""),0.1)</f>
        <v>0.1</v>
      </c>
      <c r="K987" s="19">
        <f>IFERROR(__xludf.DUMMYFUNCTION("""COMPUTED_VALUE"""),0.125)</f>
        <v>0.125</v>
      </c>
      <c r="L987" s="19">
        <f>IFERROR(__xludf.DUMMYFUNCTION("""COMPUTED_VALUE"""),0.15)</f>
        <v>0.15</v>
      </c>
      <c r="M987" s="18">
        <f>IFERROR(__xludf.DUMMYFUNCTION("""COMPUTED_VALUE"""),2.08)</f>
        <v>2.08</v>
      </c>
    </row>
    <row r="988">
      <c r="A988" s="13" t="str">
        <f>IFERROR(__xludf.DUMMYFUNCTION("""COMPUTED_VALUE"""),"товари")</f>
        <v>товари</v>
      </c>
      <c r="B988" s="16" t="str">
        <f>IFERROR(__xludf.DUMMYFUNCTION("""COMPUTED_VALUE"""),"товари для дому")</f>
        <v>товари для дому</v>
      </c>
      <c r="C988" s="16" t="str">
        <f>IFERROR(__xludf.DUMMYFUNCTION("""COMPUTED_VALUE"""),"освітлення для дому")</f>
        <v>освітлення для дому</v>
      </c>
      <c r="D988" s="16" t="str">
        <f>IFERROR(__xludf.DUMMYFUNCTION("""COMPUTED_VALUE"""),"комплектуючі для світильників")</f>
        <v>комплектуючі для світильників</v>
      </c>
      <c r="E988" s="16" t="str">
        <f>IFERROR(__xludf.DUMMYFUNCTION("""COMPUTED_VALUE"""),"комплектуючі для світильників")</f>
        <v>комплектуючі для світильників</v>
      </c>
      <c r="F988" s="17">
        <f>IFERROR(__xludf.DUMMYFUNCTION("""COMPUTED_VALUE"""),3.0)</f>
        <v>3</v>
      </c>
      <c r="G988" s="17" t="str">
        <f>IFERROR(__xludf.DUMMYFUNCTION("""COMPUTED_VALUE"""),"15040603")</f>
        <v>15040603</v>
      </c>
      <c r="H988" s="17" t="str">
        <f>IFERROR(__xludf.DUMMYFUNCTION("""COMPUTED_VALUE"""),"комплектуючі для світильників")</f>
        <v>комплектуючі для світильників</v>
      </c>
      <c r="I988" s="19">
        <f>IFERROR(__xludf.DUMMYFUNCTION("""COMPUTED_VALUE"""),0.0782)</f>
        <v>0.0782</v>
      </c>
      <c r="J988" s="19">
        <f>IFERROR(__xludf.DUMMYFUNCTION("""COMPUTED_VALUE"""),0.1563)</f>
        <v>0.1563</v>
      </c>
      <c r="K988" s="19">
        <f>IFERROR(__xludf.DUMMYFUNCTION("""COMPUTED_VALUE"""),0.1954)</f>
        <v>0.1954</v>
      </c>
      <c r="L988" s="19">
        <f>IFERROR(__xludf.DUMMYFUNCTION("""COMPUTED_VALUE"""),0.2345)</f>
        <v>0.2345</v>
      </c>
      <c r="M988" s="18">
        <f>IFERROR(__xludf.DUMMYFUNCTION("""COMPUTED_VALUE"""),3.33)</f>
        <v>3.33</v>
      </c>
    </row>
    <row r="989">
      <c r="A989" s="13" t="str">
        <f>IFERROR(__xludf.DUMMYFUNCTION("""COMPUTED_VALUE"""),"товари")</f>
        <v>товари</v>
      </c>
      <c r="B989" s="16" t="str">
        <f>IFERROR(__xludf.DUMMYFUNCTION("""COMPUTED_VALUE"""),"товари для дому")</f>
        <v>товари для дому</v>
      </c>
      <c r="C989" s="16" t="str">
        <f>IFERROR(__xludf.DUMMYFUNCTION("""COMPUTED_VALUE"""),"освітлення для дому")</f>
        <v>освітлення для дому</v>
      </c>
      <c r="D989" s="16" t="str">
        <f>IFERROR(__xludf.DUMMYFUNCTION("""COMPUTED_VALUE"""),"комплектуючі для світильників")</f>
        <v>комплектуючі для світильників</v>
      </c>
      <c r="E989" s="16" t="str">
        <f>IFERROR(__xludf.DUMMYFUNCTION("""COMPUTED_VALUE"""),"монтаж та корпусні елементи світильників")</f>
        <v>монтаж та корпусні елементи світильників</v>
      </c>
      <c r="F989" s="17">
        <f>IFERROR(__xludf.DUMMYFUNCTION("""COMPUTED_VALUE"""),4.0)</f>
        <v>4</v>
      </c>
      <c r="G989" s="17" t="str">
        <f>IFERROR(__xludf.DUMMYFUNCTION("""COMPUTED_VALUE"""),"15040612")</f>
        <v>15040612</v>
      </c>
      <c r="H989" s="17" t="str">
        <f>IFERROR(__xludf.DUMMYFUNCTION("""COMPUTED_VALUE"""),"монтаж та корпусні елементи світильників")</f>
        <v>монтаж та корпусні елементи світильників</v>
      </c>
      <c r="I989" s="19">
        <f>IFERROR(__xludf.DUMMYFUNCTION("""COMPUTED_VALUE"""),0.0782)</f>
        <v>0.0782</v>
      </c>
      <c r="J989" s="19">
        <f>IFERROR(__xludf.DUMMYFUNCTION("""COMPUTED_VALUE"""),0.1563)</f>
        <v>0.1563</v>
      </c>
      <c r="K989" s="19">
        <f>IFERROR(__xludf.DUMMYFUNCTION("""COMPUTED_VALUE"""),0.1954)</f>
        <v>0.1954</v>
      </c>
      <c r="L989" s="19">
        <f>IFERROR(__xludf.DUMMYFUNCTION("""COMPUTED_VALUE"""),0.2345)</f>
        <v>0.2345</v>
      </c>
      <c r="M989" s="18">
        <f>IFERROR(__xludf.DUMMYFUNCTION("""COMPUTED_VALUE"""),3.33)</f>
        <v>3.33</v>
      </c>
    </row>
    <row r="990">
      <c r="A990" s="13" t="str">
        <f>IFERROR(__xludf.DUMMYFUNCTION("""COMPUTED_VALUE"""),"товари")</f>
        <v>товари</v>
      </c>
      <c r="B990" s="16" t="str">
        <f>IFERROR(__xludf.DUMMYFUNCTION("""COMPUTED_VALUE"""),"товари для дому")</f>
        <v>товари для дому</v>
      </c>
      <c r="C990" s="16" t="str">
        <f>IFERROR(__xludf.DUMMYFUNCTION("""COMPUTED_VALUE"""),"освітлення для дому")</f>
        <v>освітлення для дому</v>
      </c>
      <c r="D990" s="16" t="str">
        <f>IFERROR(__xludf.DUMMYFUNCTION("""COMPUTED_VALUE"""),"комплектуючі для світильників")</f>
        <v>комплектуючі для світильників</v>
      </c>
      <c r="E990" s="16" t="str">
        <f>IFERROR(__xludf.DUMMYFUNCTION("""COMPUTED_VALUE"""),"led-драйвери")</f>
        <v>led-драйвери</v>
      </c>
      <c r="F990" s="17">
        <f>IFERROR(__xludf.DUMMYFUNCTION("""COMPUTED_VALUE"""),4.0)</f>
        <v>4</v>
      </c>
      <c r="G990" s="17">
        <f>IFERROR(__xludf.DUMMYFUNCTION("""COMPUTED_VALUE"""),1.5040615E7)</f>
        <v>15040615</v>
      </c>
      <c r="H990" s="17" t="str">
        <f>IFERROR(__xludf.DUMMYFUNCTION("""COMPUTED_VALUE"""),"led-драйвери")</f>
        <v>led-драйвери</v>
      </c>
      <c r="I990" s="19">
        <f>IFERROR(__xludf.DUMMYFUNCTION("""COMPUTED_VALUE"""),0.0782)</f>
        <v>0.0782</v>
      </c>
      <c r="J990" s="19">
        <f>IFERROR(__xludf.DUMMYFUNCTION("""COMPUTED_VALUE"""),0.1563)</f>
        <v>0.1563</v>
      </c>
      <c r="K990" s="19">
        <f>IFERROR(__xludf.DUMMYFUNCTION("""COMPUTED_VALUE"""),0.1954)</f>
        <v>0.1954</v>
      </c>
      <c r="L990" s="19">
        <f>IFERROR(__xludf.DUMMYFUNCTION("""COMPUTED_VALUE"""),0.2345)</f>
        <v>0.2345</v>
      </c>
      <c r="M990" s="18">
        <f>IFERROR(__xludf.DUMMYFUNCTION("""COMPUTED_VALUE"""),3.33)</f>
        <v>3.33</v>
      </c>
    </row>
    <row r="991">
      <c r="A991" s="13" t="str">
        <f>IFERROR(__xludf.DUMMYFUNCTION("""COMPUTED_VALUE"""),"товари")</f>
        <v>товари</v>
      </c>
      <c r="B991" s="16" t="str">
        <f>IFERROR(__xludf.DUMMYFUNCTION("""COMPUTED_VALUE"""),"товари для дому")</f>
        <v>товари для дому</v>
      </c>
      <c r="C991" s="16" t="str">
        <f>IFERROR(__xludf.DUMMYFUNCTION("""COMPUTED_VALUE"""),"освітлення для дому")</f>
        <v>освітлення для дому</v>
      </c>
      <c r="D991" s="16" t="str">
        <f>IFERROR(__xludf.DUMMYFUNCTION("""COMPUTED_VALUE"""),"комплектуючі для світильників")</f>
        <v>комплектуючі для світильників</v>
      </c>
      <c r="E991" s="16" t="str">
        <f>IFERROR(__xludf.DUMMYFUNCTION("""COMPUTED_VALUE"""),"комплектуючі для світильників, загальне")</f>
        <v>комплектуючі для світильників, загальне</v>
      </c>
      <c r="F991" s="17">
        <f>IFERROR(__xludf.DUMMYFUNCTION("""COMPUTED_VALUE"""),4.0)</f>
        <v>4</v>
      </c>
      <c r="G991" s="17">
        <f>IFERROR(__xludf.DUMMYFUNCTION("""COMPUTED_VALUE"""),1.5040614E7)</f>
        <v>15040614</v>
      </c>
      <c r="H991" s="17" t="str">
        <f>IFERROR(__xludf.DUMMYFUNCTION("""COMPUTED_VALUE"""),"комплектуючі для світильників, загальне")</f>
        <v>комплектуючі для світильників, загальне</v>
      </c>
      <c r="I991" s="19">
        <f>IFERROR(__xludf.DUMMYFUNCTION("""COMPUTED_VALUE"""),0.125)</f>
        <v>0.125</v>
      </c>
      <c r="J991" s="19">
        <f>IFERROR(__xludf.DUMMYFUNCTION("""COMPUTED_VALUE"""),0.25)</f>
        <v>0.25</v>
      </c>
      <c r="K991" s="19">
        <f>IFERROR(__xludf.DUMMYFUNCTION("""COMPUTED_VALUE"""),0.3125)</f>
        <v>0.3125</v>
      </c>
      <c r="L991" s="19">
        <f>IFERROR(__xludf.DUMMYFUNCTION("""COMPUTED_VALUE"""),0.375)</f>
        <v>0.375</v>
      </c>
      <c r="M991" s="18">
        <f>IFERROR(__xludf.DUMMYFUNCTION("""COMPUTED_VALUE"""),4.33)</f>
        <v>4.33</v>
      </c>
    </row>
    <row r="992">
      <c r="A992" s="13" t="str">
        <f>IFERROR(__xludf.DUMMYFUNCTION("""COMPUTED_VALUE"""),"товари")</f>
        <v>товари</v>
      </c>
      <c r="B992" s="16" t="str">
        <f>IFERROR(__xludf.DUMMYFUNCTION("""COMPUTED_VALUE"""),"товари для дому")</f>
        <v>товари для дому</v>
      </c>
      <c r="C992" s="16" t="str">
        <f>IFERROR(__xludf.DUMMYFUNCTION("""COMPUTED_VALUE"""),"посуд")</f>
        <v>посуд</v>
      </c>
      <c r="D992" s="16" t="str">
        <f>IFERROR(__xludf.DUMMYFUNCTION("""COMPUTED_VALUE"""),"кухонне приладдя")</f>
        <v>кухонне приладдя</v>
      </c>
      <c r="E992" s="16" t="str">
        <f>IFERROR(__xludf.DUMMYFUNCTION("""COMPUTED_VALUE"""),"кондитерські інструменти та аксесуари")</f>
        <v>кондитерські інструменти та аксесуари</v>
      </c>
      <c r="F992" s="17">
        <f>IFERROR(__xludf.DUMMYFUNCTION("""COMPUTED_VALUE"""),4.0)</f>
        <v>4</v>
      </c>
      <c r="G992" s="17" t="str">
        <f>IFERROR(__xludf.DUMMYFUNCTION("""COMPUTED_VALUE"""),"15230431")</f>
        <v>15230431</v>
      </c>
      <c r="H992" s="17" t="str">
        <f>IFERROR(__xludf.DUMMYFUNCTION("""COMPUTED_VALUE"""),"кондитерські інструменти та аксесуари")</f>
        <v>кондитерські інструменти та аксесуари</v>
      </c>
      <c r="I992" s="19">
        <f>IFERROR(__xludf.DUMMYFUNCTION("""COMPUTED_VALUE"""),0.0745)</f>
        <v>0.0745</v>
      </c>
      <c r="J992" s="19">
        <f>IFERROR(__xludf.DUMMYFUNCTION("""COMPUTED_VALUE"""),0.1489)</f>
        <v>0.1489</v>
      </c>
      <c r="K992" s="19">
        <f>IFERROR(__xludf.DUMMYFUNCTION("""COMPUTED_VALUE"""),0.1861)</f>
        <v>0.1861</v>
      </c>
      <c r="L992" s="19">
        <f>IFERROR(__xludf.DUMMYFUNCTION("""COMPUTED_VALUE"""),0.2234)</f>
        <v>0.2234</v>
      </c>
      <c r="M992" s="18">
        <f>IFERROR(__xludf.DUMMYFUNCTION("""COMPUTED_VALUE"""),2.08)</f>
        <v>2.08</v>
      </c>
    </row>
    <row r="993">
      <c r="A993" s="13" t="str">
        <f>IFERROR(__xludf.DUMMYFUNCTION("""COMPUTED_VALUE"""),"товари")</f>
        <v>товари</v>
      </c>
      <c r="B993" s="16" t="str">
        <f>IFERROR(__xludf.DUMMYFUNCTION("""COMPUTED_VALUE"""),"товари для дому")</f>
        <v>товари для дому</v>
      </c>
      <c r="C993" s="16" t="str">
        <f>IFERROR(__xludf.DUMMYFUNCTION("""COMPUTED_VALUE"""),"посуд")</f>
        <v>посуд</v>
      </c>
      <c r="D993" s="16" t="str">
        <f>IFERROR(__xludf.DUMMYFUNCTION("""COMPUTED_VALUE"""),"кухонне приладдя")</f>
        <v>кухонне приладдя</v>
      </c>
      <c r="E993" s="16" t="str">
        <f>IFERROR(__xludf.DUMMYFUNCTION("""COMPUTED_VALUE"""),"консервні ножі")</f>
        <v>консервні ножі</v>
      </c>
      <c r="F993" s="17">
        <f>IFERROR(__xludf.DUMMYFUNCTION("""COMPUTED_VALUE"""),4.0)</f>
        <v>4</v>
      </c>
      <c r="G993" s="17" t="str">
        <f>IFERROR(__xludf.DUMMYFUNCTION("""COMPUTED_VALUE"""),"15230426")</f>
        <v>15230426</v>
      </c>
      <c r="H993" s="17" t="str">
        <f>IFERROR(__xludf.DUMMYFUNCTION("""COMPUTED_VALUE"""),"консервні ножі")</f>
        <v>консервні ножі</v>
      </c>
      <c r="I993" s="19">
        <f>IFERROR(__xludf.DUMMYFUNCTION("""COMPUTED_VALUE"""),0.078)</f>
        <v>0.078</v>
      </c>
      <c r="J993" s="19">
        <f>IFERROR(__xludf.DUMMYFUNCTION("""COMPUTED_VALUE"""),0.156)</f>
        <v>0.156</v>
      </c>
      <c r="K993" s="19">
        <f>IFERROR(__xludf.DUMMYFUNCTION("""COMPUTED_VALUE"""),0.195)</f>
        <v>0.195</v>
      </c>
      <c r="L993" s="19">
        <f>IFERROR(__xludf.DUMMYFUNCTION("""COMPUTED_VALUE"""),0.234)</f>
        <v>0.234</v>
      </c>
      <c r="M993" s="18">
        <f>IFERROR(__xludf.DUMMYFUNCTION("""COMPUTED_VALUE"""),2.08)</f>
        <v>2.08</v>
      </c>
    </row>
    <row r="994">
      <c r="A994" s="13" t="str">
        <f>IFERROR(__xludf.DUMMYFUNCTION("""COMPUTED_VALUE"""),"товари")</f>
        <v>товари</v>
      </c>
      <c r="B994" s="16" t="str">
        <f>IFERROR(__xludf.DUMMYFUNCTION("""COMPUTED_VALUE"""),"товари для дому")</f>
        <v>товари для дому</v>
      </c>
      <c r="C994" s="16" t="str">
        <f>IFERROR(__xludf.DUMMYFUNCTION("""COMPUTED_VALUE"""),"розумний будинок")</f>
        <v>розумний будинок</v>
      </c>
      <c r="D994" s="16" t="str">
        <f>IFERROR(__xludf.DUMMYFUNCTION("""COMPUTED_VALUE"""),"контролери розумного будинку")</f>
        <v>контролери розумного будинку</v>
      </c>
      <c r="E994" s="16" t="str">
        <f>IFERROR(__xludf.DUMMYFUNCTION("""COMPUTED_VALUE"""),"контролери розумного будинку")</f>
        <v>контролери розумного будинку</v>
      </c>
      <c r="F994" s="17">
        <f>IFERROR(__xludf.DUMMYFUNCTION("""COMPUTED_VALUE"""),3.0)</f>
        <v>3</v>
      </c>
      <c r="G994" s="17" t="str">
        <f>IFERROR(__xludf.DUMMYFUNCTION("""COMPUTED_VALUE"""),"153503")</f>
        <v>153503</v>
      </c>
      <c r="H994" s="17" t="str">
        <f>IFERROR(__xludf.DUMMYFUNCTION("""COMPUTED_VALUE"""),"контролери розумного будинку")</f>
        <v>контролери розумного будинку</v>
      </c>
      <c r="I994" s="19">
        <f>IFERROR(__xludf.DUMMYFUNCTION("""COMPUTED_VALUE"""),0.0774)</f>
        <v>0.0774</v>
      </c>
      <c r="J994" s="19">
        <f>IFERROR(__xludf.DUMMYFUNCTION("""COMPUTED_VALUE"""),0.1547)</f>
        <v>0.1547</v>
      </c>
      <c r="K994" s="19">
        <f>IFERROR(__xludf.DUMMYFUNCTION("""COMPUTED_VALUE"""),0.1934)</f>
        <v>0.1934</v>
      </c>
      <c r="L994" s="19">
        <f>IFERROR(__xludf.DUMMYFUNCTION("""COMPUTED_VALUE"""),0.2321)</f>
        <v>0.2321</v>
      </c>
      <c r="M994" s="18">
        <f>IFERROR(__xludf.DUMMYFUNCTION("""COMPUTED_VALUE"""),1.05)</f>
        <v>1.05</v>
      </c>
    </row>
    <row r="995">
      <c r="A995" s="13" t="str">
        <f>IFERROR(__xludf.DUMMYFUNCTION("""COMPUTED_VALUE"""),"товари")</f>
        <v>товари</v>
      </c>
      <c r="B995" s="16" t="str">
        <f>IFERROR(__xludf.DUMMYFUNCTION("""COMPUTED_VALUE"""),"дача, сад і город")</f>
        <v>дача, сад і город</v>
      </c>
      <c r="C995" s="16" t="str">
        <f>IFERROR(__xludf.DUMMYFUNCTION("""COMPUTED_VALUE"""),"обладнання для фермерських продуктів")</f>
        <v>обладнання для фермерських продуктів</v>
      </c>
      <c r="D995" s="16" t="str">
        <f>IFERROR(__xludf.DUMMYFUNCTION("""COMPUTED_VALUE"""),"коптильні")</f>
        <v>коптильні</v>
      </c>
      <c r="E995" s="16" t="str">
        <f>IFERROR(__xludf.DUMMYFUNCTION("""COMPUTED_VALUE"""),"коптильні")</f>
        <v>коптильні</v>
      </c>
      <c r="F995" s="17">
        <f>IFERROR(__xludf.DUMMYFUNCTION("""COMPUTED_VALUE"""),3.0)</f>
        <v>3</v>
      </c>
      <c r="G995" s="17" t="str">
        <f>IFERROR(__xludf.DUMMYFUNCTION("""COMPUTED_VALUE"""),"6300402")</f>
        <v>6300402</v>
      </c>
      <c r="H995" s="17" t="str">
        <f>IFERROR(__xludf.DUMMYFUNCTION("""COMPUTED_VALUE"""),"коптильні")</f>
        <v>коптильні</v>
      </c>
      <c r="I995" s="19">
        <f>IFERROR(__xludf.DUMMYFUNCTION("""COMPUTED_VALUE"""),0.0721)</f>
        <v>0.0721</v>
      </c>
      <c r="J995" s="19">
        <f>IFERROR(__xludf.DUMMYFUNCTION("""COMPUTED_VALUE"""),0.1441)</f>
        <v>0.1441</v>
      </c>
      <c r="K995" s="19">
        <f>IFERROR(__xludf.DUMMYFUNCTION("""COMPUTED_VALUE"""),0.1801)</f>
        <v>0.1801</v>
      </c>
      <c r="L995" s="19">
        <f>IFERROR(__xludf.DUMMYFUNCTION("""COMPUTED_VALUE"""),0.2162)</f>
        <v>0.2162</v>
      </c>
      <c r="M995" s="18">
        <f>IFERROR(__xludf.DUMMYFUNCTION("""COMPUTED_VALUE"""),4.14)</f>
        <v>4.14</v>
      </c>
    </row>
    <row r="996">
      <c r="A996" s="13" t="str">
        <f>IFERROR(__xludf.DUMMYFUNCTION("""COMPUTED_VALUE"""),"товари")</f>
        <v>товари</v>
      </c>
      <c r="B996" s="16" t="str">
        <f>IFERROR(__xludf.DUMMYFUNCTION("""COMPUTED_VALUE"""),"дача, сад і город")</f>
        <v>дача, сад і город</v>
      </c>
      <c r="C996" s="16" t="str">
        <f>IFERROR(__xludf.DUMMYFUNCTION("""COMPUTED_VALUE"""),"обладнання для поливу")</f>
        <v>обладнання для поливу</v>
      </c>
      <c r="D996" s="16" t="str">
        <f>IFERROR(__xludf.DUMMYFUNCTION("""COMPUTED_VALUE"""),"котушки, візки для шлангів")</f>
        <v>котушки, візки для шлангів</v>
      </c>
      <c r="E996" s="16" t="str">
        <f>IFERROR(__xludf.DUMMYFUNCTION("""COMPUTED_VALUE"""),"котушки, візки для шлангів")</f>
        <v>котушки, візки для шлангів</v>
      </c>
      <c r="F996" s="17">
        <f>IFERROR(__xludf.DUMMYFUNCTION("""COMPUTED_VALUE"""),3.0)</f>
        <v>3</v>
      </c>
      <c r="G996" s="17" t="str">
        <f>IFERROR(__xludf.DUMMYFUNCTION("""COMPUTED_VALUE"""),"1250339")</f>
        <v>1250339</v>
      </c>
      <c r="H996" s="17" t="str">
        <f>IFERROR(__xludf.DUMMYFUNCTION("""COMPUTED_VALUE"""),"котушки, візки для шлангів")</f>
        <v>котушки, візки для шлангів</v>
      </c>
      <c r="I996" s="19">
        <f>IFERROR(__xludf.DUMMYFUNCTION("""COMPUTED_VALUE"""),0.0783)</f>
        <v>0.0783</v>
      </c>
      <c r="J996" s="19">
        <f>IFERROR(__xludf.DUMMYFUNCTION("""COMPUTED_VALUE"""),0.1565)</f>
        <v>0.1565</v>
      </c>
      <c r="K996" s="19">
        <f>IFERROR(__xludf.DUMMYFUNCTION("""COMPUTED_VALUE"""),0.1956)</f>
        <v>0.1956</v>
      </c>
      <c r="L996" s="19">
        <f>IFERROR(__xludf.DUMMYFUNCTION("""COMPUTED_VALUE"""),0.2348)</f>
        <v>0.2348</v>
      </c>
      <c r="M996" s="18">
        <f>IFERROR(__xludf.DUMMYFUNCTION("""COMPUTED_VALUE"""),3.43)</f>
        <v>3.43</v>
      </c>
    </row>
    <row r="997">
      <c r="A997" s="13" t="str">
        <f>IFERROR(__xludf.DUMMYFUNCTION("""COMPUTED_VALUE"""),"товари")</f>
        <v>товари</v>
      </c>
      <c r="B997" s="16" t="str">
        <f>IFERROR(__xludf.DUMMYFUNCTION("""COMPUTED_VALUE"""),"товари для дому")</f>
        <v>товари для дому</v>
      </c>
      <c r="C997" s="16" t="str">
        <f>IFERROR(__xludf.DUMMYFUNCTION("""COMPUTED_VALUE"""),"догляд за будинком")</f>
        <v>догляд за будинком</v>
      </c>
      <c r="D997" s="16" t="str">
        <f>IFERROR(__xludf.DUMMYFUNCTION("""COMPUTED_VALUE"""),"прання і прасування")</f>
        <v>прання і прасування</v>
      </c>
      <c r="E997" s="16" t="str">
        <f>IFERROR(__xludf.DUMMYFUNCTION("""COMPUTED_VALUE"""),"кошики для білизни")</f>
        <v>кошики для білизни</v>
      </c>
      <c r="F997" s="17">
        <f>IFERROR(__xludf.DUMMYFUNCTION("""COMPUTED_VALUE"""),4.0)</f>
        <v>4</v>
      </c>
      <c r="G997" s="17" t="str">
        <f>IFERROR(__xludf.DUMMYFUNCTION("""COMPUTED_VALUE"""),"151606")</f>
        <v>151606</v>
      </c>
      <c r="H997" s="17" t="str">
        <f>IFERROR(__xludf.DUMMYFUNCTION("""COMPUTED_VALUE"""),"кошики для білизни")</f>
        <v>кошики для білизни</v>
      </c>
      <c r="I997" s="19">
        <f>IFERROR(__xludf.DUMMYFUNCTION("""COMPUTED_VALUE"""),0.0732)</f>
        <v>0.0732</v>
      </c>
      <c r="J997" s="19">
        <f>IFERROR(__xludf.DUMMYFUNCTION("""COMPUTED_VALUE"""),0.1464)</f>
        <v>0.1464</v>
      </c>
      <c r="K997" s="19">
        <f>IFERROR(__xludf.DUMMYFUNCTION("""COMPUTED_VALUE"""),0.183)</f>
        <v>0.183</v>
      </c>
      <c r="L997" s="19">
        <f>IFERROR(__xludf.DUMMYFUNCTION("""COMPUTED_VALUE"""),0.2196)</f>
        <v>0.2196</v>
      </c>
      <c r="M997" s="18">
        <f>IFERROR(__xludf.DUMMYFUNCTION("""COMPUTED_VALUE"""),1.98)</f>
        <v>1.98</v>
      </c>
    </row>
    <row r="998">
      <c r="A998" s="13" t="str">
        <f>IFERROR(__xludf.DUMMYFUNCTION("""COMPUTED_VALUE"""),"товари")</f>
        <v>товари</v>
      </c>
      <c r="B998" s="16" t="str">
        <f>IFERROR(__xludf.DUMMYFUNCTION("""COMPUTED_VALUE"""),"товари для дому")</f>
        <v>товари для дому</v>
      </c>
      <c r="C998" s="16" t="str">
        <f>IFERROR(__xludf.DUMMYFUNCTION("""COMPUTED_VALUE"""),"рішення для зберігання")</f>
        <v>рішення для зберігання</v>
      </c>
      <c r="D998" s="16" t="str">
        <f>IFERROR(__xludf.DUMMYFUNCTION("""COMPUTED_VALUE"""),"кошики, плетені вироби")</f>
        <v>кошики, плетені вироби</v>
      </c>
      <c r="E998" s="16" t="str">
        <f>IFERROR(__xludf.DUMMYFUNCTION("""COMPUTED_VALUE"""),"кошики, плетені вироби")</f>
        <v>кошики, плетені вироби</v>
      </c>
      <c r="F998" s="17">
        <f>IFERROR(__xludf.DUMMYFUNCTION("""COMPUTED_VALUE"""),3.0)</f>
        <v>3</v>
      </c>
      <c r="G998" s="17" t="str">
        <f>IFERROR(__xludf.DUMMYFUNCTION("""COMPUTED_VALUE"""),"1708")</f>
        <v>1708</v>
      </c>
      <c r="H998" s="17" t="str">
        <f>IFERROR(__xludf.DUMMYFUNCTION("""COMPUTED_VALUE"""),"кошики, плетені вироби")</f>
        <v>кошики, плетені вироби</v>
      </c>
      <c r="I998" s="19">
        <f>IFERROR(__xludf.DUMMYFUNCTION("""COMPUTED_VALUE"""),0.0782)</f>
        <v>0.0782</v>
      </c>
      <c r="J998" s="19">
        <f>IFERROR(__xludf.DUMMYFUNCTION("""COMPUTED_VALUE"""),0.1563)</f>
        <v>0.1563</v>
      </c>
      <c r="K998" s="19">
        <f>IFERROR(__xludf.DUMMYFUNCTION("""COMPUTED_VALUE"""),0.1954)</f>
        <v>0.1954</v>
      </c>
      <c r="L998" s="19">
        <f>IFERROR(__xludf.DUMMYFUNCTION("""COMPUTED_VALUE"""),0.2345)</f>
        <v>0.2345</v>
      </c>
      <c r="M998" s="18">
        <f>IFERROR(__xludf.DUMMYFUNCTION("""COMPUTED_VALUE"""),1.98)</f>
        <v>1.98</v>
      </c>
    </row>
    <row r="999">
      <c r="A999" s="13" t="str">
        <f>IFERROR(__xludf.DUMMYFUNCTION("""COMPUTED_VALUE"""),"товари")</f>
        <v>товари</v>
      </c>
      <c r="B999" s="16" t="str">
        <f>IFERROR(__xludf.DUMMYFUNCTION("""COMPUTED_VALUE"""),"товари для дому")</f>
        <v>товари для дому</v>
      </c>
      <c r="C999" s="16" t="str">
        <f>IFERROR(__xludf.DUMMYFUNCTION("""COMPUTED_VALUE"""),"посуд")</f>
        <v>посуд</v>
      </c>
      <c r="D999" s="16" t="str">
        <f>IFERROR(__xludf.DUMMYFUNCTION("""COMPUTED_VALUE"""),"столовий посуд")</f>
        <v>столовий посуд</v>
      </c>
      <c r="E999" s="16" t="str">
        <f>IFERROR(__xludf.DUMMYFUNCTION("""COMPUTED_VALUE"""),"креманки, соусниці, лимонниці")</f>
        <v>креманки, соусниці, лимонниці</v>
      </c>
      <c r="F999" s="17">
        <f>IFERROR(__xludf.DUMMYFUNCTION("""COMPUTED_VALUE"""),4.0)</f>
        <v>4</v>
      </c>
      <c r="G999" s="17" t="str">
        <f>IFERROR(__xludf.DUMMYFUNCTION("""COMPUTED_VALUE"""),"152210")</f>
        <v>152210</v>
      </c>
      <c r="H999" s="17" t="str">
        <f>IFERROR(__xludf.DUMMYFUNCTION("""COMPUTED_VALUE"""),"креманки, соусниці, лимонниці")</f>
        <v>креманки, соусниці, лимонниці</v>
      </c>
      <c r="I999" s="19">
        <f>IFERROR(__xludf.DUMMYFUNCTION("""COMPUTED_VALUE"""),0.0771)</f>
        <v>0.0771</v>
      </c>
      <c r="J999" s="19">
        <f>IFERROR(__xludf.DUMMYFUNCTION("""COMPUTED_VALUE"""),0.1541)</f>
        <v>0.1541</v>
      </c>
      <c r="K999" s="19">
        <f>IFERROR(__xludf.DUMMYFUNCTION("""COMPUTED_VALUE"""),0.1926)</f>
        <v>0.1926</v>
      </c>
      <c r="L999" s="19">
        <f>IFERROR(__xludf.DUMMYFUNCTION("""COMPUTED_VALUE"""),0.2312)</f>
        <v>0.2312</v>
      </c>
      <c r="M999" s="18">
        <f>IFERROR(__xludf.DUMMYFUNCTION("""COMPUTED_VALUE"""),2.08)</f>
        <v>2.08</v>
      </c>
    </row>
    <row r="1000">
      <c r="A1000" s="13" t="str">
        <f>IFERROR(__xludf.DUMMYFUNCTION("""COMPUTED_VALUE"""),"товари")</f>
        <v>товари</v>
      </c>
      <c r="B1000" s="16" t="str">
        <f>IFERROR(__xludf.DUMMYFUNCTION("""COMPUTED_VALUE"""),"товари для дому")</f>
        <v>товари для дому</v>
      </c>
      <c r="C1000" s="16" t="str">
        <f>IFERROR(__xludf.DUMMYFUNCTION("""COMPUTED_VALUE"""),"догляд за будинком")</f>
        <v>догляд за будинком</v>
      </c>
      <c r="D1000" s="16" t="str">
        <f>IFERROR(__xludf.DUMMYFUNCTION("""COMPUTED_VALUE"""),"догляд за особистими речами")</f>
        <v>догляд за особистими речами</v>
      </c>
      <c r="E1000" s="16" t="str">
        <f>IFERROR(__xludf.DUMMYFUNCTION("""COMPUTED_VALUE"""),"креми та просочення для взуття")</f>
        <v>креми та просочення для взуття</v>
      </c>
      <c r="F1000" s="17">
        <f>IFERROR(__xludf.DUMMYFUNCTION("""COMPUTED_VALUE"""),4.0)</f>
        <v>4</v>
      </c>
      <c r="G1000" s="17" t="str">
        <f>IFERROR(__xludf.DUMMYFUNCTION("""COMPUTED_VALUE"""),"322100302")</f>
        <v>322100302</v>
      </c>
      <c r="H1000" s="17" t="str">
        <f>IFERROR(__xludf.DUMMYFUNCTION("""COMPUTED_VALUE"""),"креми та просочення для взуття")</f>
        <v>креми та просочення для взуття</v>
      </c>
      <c r="I1000" s="19">
        <f>IFERROR(__xludf.DUMMYFUNCTION("""COMPUTED_VALUE"""),0.0914)</f>
        <v>0.0914</v>
      </c>
      <c r="J1000" s="19">
        <f>IFERROR(__xludf.DUMMYFUNCTION("""COMPUTED_VALUE"""),0.1828)</f>
        <v>0.1828</v>
      </c>
      <c r="K1000" s="19">
        <f>IFERROR(__xludf.DUMMYFUNCTION("""COMPUTED_VALUE"""),0.2285)</f>
        <v>0.2285</v>
      </c>
      <c r="L1000" s="19">
        <f>IFERROR(__xludf.DUMMYFUNCTION("""COMPUTED_VALUE"""),0.2742)</f>
        <v>0.2742</v>
      </c>
      <c r="M1000" s="18">
        <f>IFERROR(__xludf.DUMMYFUNCTION("""COMPUTED_VALUE"""),1.98)</f>
        <v>1.98</v>
      </c>
    </row>
    <row r="1001">
      <c r="A1001" s="13" t="str">
        <f>IFERROR(__xludf.DUMMYFUNCTION("""COMPUTED_VALUE"""),"товари")</f>
        <v>товари</v>
      </c>
      <c r="B1001" s="16" t="str">
        <f>IFERROR(__xludf.DUMMYFUNCTION("""COMPUTED_VALUE"""),"товари для дому")</f>
        <v>товари для дому</v>
      </c>
      <c r="C1001" s="16" t="str">
        <f>IFERROR(__xludf.DUMMYFUNCTION("""COMPUTED_VALUE""")," все для консервації")</f>
        <v> все для консервації</v>
      </c>
      <c r="D1001" s="16" t="str">
        <f>IFERROR(__xludf.DUMMYFUNCTION("""COMPUTED_VALUE"""),"кришки для консервації")</f>
        <v>кришки для консервації</v>
      </c>
      <c r="E1001" s="16" t="str">
        <f>IFERROR(__xludf.DUMMYFUNCTION("""COMPUTED_VALUE"""),"кришки для консервації")</f>
        <v>кришки для консервації</v>
      </c>
      <c r="F1001" s="17">
        <f>IFERROR(__xludf.DUMMYFUNCTION("""COMPUTED_VALUE"""),3.0)</f>
        <v>3</v>
      </c>
      <c r="G1001" s="17" t="str">
        <f>IFERROR(__xludf.DUMMYFUNCTION("""COMPUTED_VALUE"""),"16102")</f>
        <v>16102</v>
      </c>
      <c r="H1001" s="17" t="str">
        <f>IFERROR(__xludf.DUMMYFUNCTION("""COMPUTED_VALUE"""),"кришки для консервації")</f>
        <v>кришки для консервації</v>
      </c>
      <c r="I1001" s="19">
        <f>IFERROR(__xludf.DUMMYFUNCTION("""COMPUTED_VALUE"""),0.0778)</f>
        <v>0.0778</v>
      </c>
      <c r="J1001" s="19">
        <f>IFERROR(__xludf.DUMMYFUNCTION("""COMPUTED_VALUE"""),0.1556)</f>
        <v>0.1556</v>
      </c>
      <c r="K1001" s="19">
        <f>IFERROR(__xludf.DUMMYFUNCTION("""COMPUTED_VALUE"""),0.1945)</f>
        <v>0.1945</v>
      </c>
      <c r="L1001" s="19">
        <f>IFERROR(__xludf.DUMMYFUNCTION("""COMPUTED_VALUE"""),0.2334)</f>
        <v>0.2334</v>
      </c>
      <c r="M1001" s="18">
        <f>IFERROR(__xludf.DUMMYFUNCTION("""COMPUTED_VALUE"""),1.05)</f>
        <v>1.05</v>
      </c>
    </row>
    <row r="1002">
      <c r="A1002" s="13" t="str">
        <f>IFERROR(__xludf.DUMMYFUNCTION("""COMPUTED_VALUE"""),"товари")</f>
        <v>товари</v>
      </c>
      <c r="B1002" s="16" t="str">
        <f>IFERROR(__xludf.DUMMYFUNCTION("""COMPUTED_VALUE"""),"товари для дому")</f>
        <v>товари для дому</v>
      </c>
      <c r="C1002" s="16" t="str">
        <f>IFERROR(__xludf.DUMMYFUNCTION("""COMPUTED_VALUE"""),"меблі")</f>
        <v>меблі</v>
      </c>
      <c r="D1002" s="16" t="str">
        <f>IFERROR(__xludf.DUMMYFUNCTION("""COMPUTED_VALUE"""),"крісла")</f>
        <v>крісла</v>
      </c>
      <c r="E1002" s="16" t="str">
        <f>IFERROR(__xludf.DUMMYFUNCTION("""COMPUTED_VALUE"""),"крісла-гойдалки")</f>
        <v>крісла-гойдалки</v>
      </c>
      <c r="F1002" s="17">
        <f>IFERROR(__xludf.DUMMYFUNCTION("""COMPUTED_VALUE"""),4.0)</f>
        <v>4</v>
      </c>
      <c r="G1002" s="17" t="str">
        <f>IFERROR(__xludf.DUMMYFUNCTION("""COMPUTED_VALUE"""),"15030321")</f>
        <v>15030321</v>
      </c>
      <c r="H1002" s="17" t="str">
        <f>IFERROR(__xludf.DUMMYFUNCTION("""COMPUTED_VALUE"""),"крісла-гойдалки")</f>
        <v>крісла-гойдалки</v>
      </c>
      <c r="I1002" s="19">
        <f>IFERROR(__xludf.DUMMYFUNCTION("""COMPUTED_VALUE"""),0.0681)</f>
        <v>0.0681</v>
      </c>
      <c r="J1002" s="19">
        <f>IFERROR(__xludf.DUMMYFUNCTION("""COMPUTED_VALUE"""),0.1361)</f>
        <v>0.1361</v>
      </c>
      <c r="K1002" s="19">
        <f>IFERROR(__xludf.DUMMYFUNCTION("""COMPUTED_VALUE"""),0.1701)</f>
        <v>0.1701</v>
      </c>
      <c r="L1002" s="19">
        <f>IFERROR(__xludf.DUMMYFUNCTION("""COMPUTED_VALUE"""),0.2042)</f>
        <v>0.2042</v>
      </c>
      <c r="M1002" s="18">
        <f>IFERROR(__xludf.DUMMYFUNCTION("""COMPUTED_VALUE"""),3.15)</f>
        <v>3.15</v>
      </c>
    </row>
    <row r="1003">
      <c r="A1003" s="13" t="str">
        <f>IFERROR(__xludf.DUMMYFUNCTION("""COMPUTED_VALUE"""),"товари")</f>
        <v>товари</v>
      </c>
      <c r="B1003" s="16" t="str">
        <f>IFERROR(__xludf.DUMMYFUNCTION("""COMPUTED_VALUE"""),"товари для дому")</f>
        <v>товари для дому</v>
      </c>
      <c r="C1003" s="16" t="str">
        <f>IFERROR(__xludf.DUMMYFUNCTION("""COMPUTED_VALUE"""),"меблі")</f>
        <v>меблі</v>
      </c>
      <c r="D1003" s="16" t="str">
        <f>IFERROR(__xludf.DUMMYFUNCTION("""COMPUTED_VALUE"""),"крісла")</f>
        <v>крісла</v>
      </c>
      <c r="E1003" s="16" t="str">
        <f>IFERROR(__xludf.DUMMYFUNCTION("""COMPUTED_VALUE"""),"крісла-мішки")</f>
        <v>крісла-мішки</v>
      </c>
      <c r="F1003" s="17">
        <f>IFERROR(__xludf.DUMMYFUNCTION("""COMPUTED_VALUE"""),4.0)</f>
        <v>4</v>
      </c>
      <c r="G1003" s="17" t="str">
        <f>IFERROR(__xludf.DUMMYFUNCTION("""COMPUTED_VALUE"""),"150319")</f>
        <v>150319</v>
      </c>
      <c r="H1003" s="17" t="str">
        <f>IFERROR(__xludf.DUMMYFUNCTION("""COMPUTED_VALUE"""),"крісла-мішки")</f>
        <v>крісла-мішки</v>
      </c>
      <c r="I1003" s="19">
        <f>IFERROR(__xludf.DUMMYFUNCTION("""COMPUTED_VALUE"""),0.0665)</f>
        <v>0.0665</v>
      </c>
      <c r="J1003" s="19">
        <f>IFERROR(__xludf.DUMMYFUNCTION("""COMPUTED_VALUE"""),0.133)</f>
        <v>0.133</v>
      </c>
      <c r="K1003" s="19">
        <f>IFERROR(__xludf.DUMMYFUNCTION("""COMPUTED_VALUE"""),0.1663)</f>
        <v>0.1663</v>
      </c>
      <c r="L1003" s="19">
        <f>IFERROR(__xludf.DUMMYFUNCTION("""COMPUTED_VALUE"""),0.1995)</f>
        <v>0.1995</v>
      </c>
      <c r="M1003" s="18">
        <f>IFERROR(__xludf.DUMMYFUNCTION("""COMPUTED_VALUE"""),3.24)</f>
        <v>3.24</v>
      </c>
    </row>
    <row r="1004">
      <c r="A1004" s="13" t="str">
        <f>IFERROR(__xludf.DUMMYFUNCTION("""COMPUTED_VALUE"""),"товари")</f>
        <v>товари</v>
      </c>
      <c r="B1004" s="16" t="str">
        <f>IFERROR(__xludf.DUMMYFUNCTION("""COMPUTED_VALUE"""),"товари для дому")</f>
        <v>товари для дому</v>
      </c>
      <c r="C1004" s="16" t="str">
        <f>IFERROR(__xludf.DUMMYFUNCTION("""COMPUTED_VALUE"""),"посуд")</f>
        <v>посуд</v>
      </c>
      <c r="D1004" s="16" t="str">
        <f>IFERROR(__xludf.DUMMYFUNCTION("""COMPUTED_VALUE"""),"кухонне приладдя")</f>
        <v>кухонне приладдя</v>
      </c>
      <c r="E1004" s="16" t="str">
        <f>IFERROR(__xludf.DUMMYFUNCTION("""COMPUTED_VALUE"""),"кухонне приладдя, загальне")</f>
        <v>кухонне приладдя, загальне</v>
      </c>
      <c r="F1004" s="17">
        <f>IFERROR(__xludf.DUMMYFUNCTION("""COMPUTED_VALUE"""),4.0)</f>
        <v>4</v>
      </c>
      <c r="G1004" s="17" t="str">
        <f>IFERROR(__xludf.DUMMYFUNCTION("""COMPUTED_VALUE"""),"15230499")</f>
        <v>15230499</v>
      </c>
      <c r="H1004" s="17" t="str">
        <f>IFERROR(__xludf.DUMMYFUNCTION("""COMPUTED_VALUE"""),"кухонне приладдя, загальне")</f>
        <v>кухонне приладдя, загальне</v>
      </c>
      <c r="I1004" s="19">
        <f>IFERROR(__xludf.DUMMYFUNCTION("""COMPUTED_VALUE"""),0.125)</f>
        <v>0.125</v>
      </c>
      <c r="J1004" s="19">
        <f>IFERROR(__xludf.DUMMYFUNCTION("""COMPUTED_VALUE"""),0.25)</f>
        <v>0.25</v>
      </c>
      <c r="K1004" s="19">
        <f>IFERROR(__xludf.DUMMYFUNCTION("""COMPUTED_VALUE"""),0.3125)</f>
        <v>0.3125</v>
      </c>
      <c r="L1004" s="19">
        <f>IFERROR(__xludf.DUMMYFUNCTION("""COMPUTED_VALUE"""),0.375)</f>
        <v>0.375</v>
      </c>
      <c r="M1004" s="18">
        <f>IFERROR(__xludf.DUMMYFUNCTION("""COMPUTED_VALUE"""),4.33)</f>
        <v>4.33</v>
      </c>
    </row>
    <row r="1005">
      <c r="A1005" s="13" t="str">
        <f>IFERROR(__xludf.DUMMYFUNCTION("""COMPUTED_VALUE"""),"товари")</f>
        <v>товари</v>
      </c>
      <c r="B1005" s="16" t="str">
        <f>IFERROR(__xludf.DUMMYFUNCTION("""COMPUTED_VALUE"""),"товари для дому")</f>
        <v>товари для дому</v>
      </c>
      <c r="C1005" s="16" t="str">
        <f>IFERROR(__xludf.DUMMYFUNCTION("""COMPUTED_VALUE"""),"посуд")</f>
        <v>посуд</v>
      </c>
      <c r="D1005" s="16" t="str">
        <f>IFERROR(__xludf.DUMMYFUNCTION("""COMPUTED_VALUE"""),"посуд для приготування")</f>
        <v>посуд для приготування</v>
      </c>
      <c r="E1005" s="16" t="str">
        <f>IFERROR(__xludf.DUMMYFUNCTION("""COMPUTED_VALUE"""),"посуд для приготування, загальне")</f>
        <v>посуд для приготування, загальне</v>
      </c>
      <c r="F1005" s="17">
        <f>IFERROR(__xludf.DUMMYFUNCTION("""COMPUTED_VALUE"""),4.0)</f>
        <v>4</v>
      </c>
      <c r="G1005" s="17" t="str">
        <f>IFERROR(__xludf.DUMMYFUNCTION("""COMPUTED_VALUE"""),"15230399")</f>
        <v>15230399</v>
      </c>
      <c r="H1005" s="17" t="str">
        <f>IFERROR(__xludf.DUMMYFUNCTION("""COMPUTED_VALUE"""),"посуд для приготування, загальне")</f>
        <v>посуд для приготування, загальне</v>
      </c>
      <c r="I1005" s="19">
        <f>IFERROR(__xludf.DUMMYFUNCTION("""COMPUTED_VALUE"""),0.125)</f>
        <v>0.125</v>
      </c>
      <c r="J1005" s="19">
        <f>IFERROR(__xludf.DUMMYFUNCTION("""COMPUTED_VALUE"""),0.25)</f>
        <v>0.25</v>
      </c>
      <c r="K1005" s="19">
        <f>IFERROR(__xludf.DUMMYFUNCTION("""COMPUTED_VALUE"""),0.3125)</f>
        <v>0.3125</v>
      </c>
      <c r="L1005" s="19">
        <f>IFERROR(__xludf.DUMMYFUNCTION("""COMPUTED_VALUE"""),0.375)</f>
        <v>0.375</v>
      </c>
      <c r="M1005" s="18">
        <f>IFERROR(__xludf.DUMMYFUNCTION("""COMPUTED_VALUE"""),4.33)</f>
        <v>4.33</v>
      </c>
    </row>
    <row r="1006">
      <c r="A1006" s="13" t="str">
        <f>IFERROR(__xludf.DUMMYFUNCTION("""COMPUTED_VALUE"""),"товари")</f>
        <v>товари</v>
      </c>
      <c r="B1006" s="16" t="str">
        <f>IFERROR(__xludf.DUMMYFUNCTION("""COMPUTED_VALUE"""),"товари для дому")</f>
        <v>товари для дому</v>
      </c>
      <c r="C1006" s="16" t="str">
        <f>IFERROR(__xludf.DUMMYFUNCTION("""COMPUTED_VALUE"""),"посуд")</f>
        <v>посуд</v>
      </c>
      <c r="D1006" s="16" t="str">
        <f>IFERROR(__xludf.DUMMYFUNCTION("""COMPUTED_VALUE"""),"кухонне приладдя")</f>
        <v>кухонне приладдя</v>
      </c>
      <c r="E1006" s="16" t="str">
        <f>IFERROR(__xludf.DUMMYFUNCTION("""COMPUTED_VALUE"""),"кухонні дошки ")</f>
        <v>кухонні дошки </v>
      </c>
      <c r="F1006" s="17">
        <f>IFERROR(__xludf.DUMMYFUNCTION("""COMPUTED_VALUE"""),4.0)</f>
        <v>4</v>
      </c>
      <c r="G1006" s="17" t="str">
        <f>IFERROR(__xludf.DUMMYFUNCTION("""COMPUTED_VALUE"""),"15230405")</f>
        <v>15230405</v>
      </c>
      <c r="H1006" s="17" t="str">
        <f>IFERROR(__xludf.DUMMYFUNCTION("""COMPUTED_VALUE"""),"кухонні дошки ")</f>
        <v>кухонні дошки </v>
      </c>
      <c r="I1006" s="19">
        <f>IFERROR(__xludf.DUMMYFUNCTION("""COMPUTED_VALUE"""),0.078)</f>
        <v>0.078</v>
      </c>
      <c r="J1006" s="19">
        <f>IFERROR(__xludf.DUMMYFUNCTION("""COMPUTED_VALUE"""),0.156)</f>
        <v>0.156</v>
      </c>
      <c r="K1006" s="19">
        <f>IFERROR(__xludf.DUMMYFUNCTION("""COMPUTED_VALUE"""),0.195)</f>
        <v>0.195</v>
      </c>
      <c r="L1006" s="19">
        <f>IFERROR(__xludf.DUMMYFUNCTION("""COMPUTED_VALUE"""),0.234)</f>
        <v>0.234</v>
      </c>
      <c r="M1006" s="18">
        <f>IFERROR(__xludf.DUMMYFUNCTION("""COMPUTED_VALUE"""),2.08)</f>
        <v>2.08</v>
      </c>
    </row>
    <row r="1007">
      <c r="A1007" s="13" t="str">
        <f>IFERROR(__xludf.DUMMYFUNCTION("""COMPUTED_VALUE"""),"товари")</f>
        <v>товари</v>
      </c>
      <c r="B1007" s="16" t="str">
        <f>IFERROR(__xludf.DUMMYFUNCTION("""COMPUTED_VALUE"""),"товари для дому")</f>
        <v>товари для дому</v>
      </c>
      <c r="C1007" s="16" t="str">
        <f>IFERROR(__xludf.DUMMYFUNCTION("""COMPUTED_VALUE"""),"посуд")</f>
        <v>посуд</v>
      </c>
      <c r="D1007" s="16" t="str">
        <f>IFERROR(__xludf.DUMMYFUNCTION("""COMPUTED_VALUE"""),"посуд для приготування")</f>
        <v>посуд для приготування</v>
      </c>
      <c r="E1007" s="16" t="str">
        <f>IFERROR(__xludf.DUMMYFUNCTION("""COMPUTED_VALUE"""),"кухонні ковші")</f>
        <v>кухонні ковші</v>
      </c>
      <c r="F1007" s="17">
        <f>IFERROR(__xludf.DUMMYFUNCTION("""COMPUTED_VALUE"""),4.0)</f>
        <v>4</v>
      </c>
      <c r="G1007" s="17" t="str">
        <f>IFERROR(__xludf.DUMMYFUNCTION("""COMPUTED_VALUE"""),"15230316")</f>
        <v>15230316</v>
      </c>
      <c r="H1007" s="17" t="str">
        <f>IFERROR(__xludf.DUMMYFUNCTION("""COMPUTED_VALUE"""),"кухонні ковші")</f>
        <v>кухонні ковші</v>
      </c>
      <c r="I1007" s="19">
        <f>IFERROR(__xludf.DUMMYFUNCTION("""COMPUTED_VALUE"""),0.0771)</f>
        <v>0.0771</v>
      </c>
      <c r="J1007" s="19">
        <f>IFERROR(__xludf.DUMMYFUNCTION("""COMPUTED_VALUE"""),0.1541)</f>
        <v>0.1541</v>
      </c>
      <c r="K1007" s="19">
        <f>IFERROR(__xludf.DUMMYFUNCTION("""COMPUTED_VALUE"""),0.1926)</f>
        <v>0.1926</v>
      </c>
      <c r="L1007" s="19">
        <f>IFERROR(__xludf.DUMMYFUNCTION("""COMPUTED_VALUE"""),0.2312)</f>
        <v>0.2312</v>
      </c>
      <c r="M1007" s="18">
        <f>IFERROR(__xludf.DUMMYFUNCTION("""COMPUTED_VALUE"""),2.53)</f>
        <v>2.53</v>
      </c>
    </row>
    <row r="1008">
      <c r="A1008" s="13" t="str">
        <f>IFERROR(__xludf.DUMMYFUNCTION("""COMPUTED_VALUE"""),"товари")</f>
        <v>товари</v>
      </c>
      <c r="B1008" s="16" t="str">
        <f>IFERROR(__xludf.DUMMYFUNCTION("""COMPUTED_VALUE"""),"товари для дому")</f>
        <v>товари для дому</v>
      </c>
      <c r="C1008" s="16" t="str">
        <f>IFERROR(__xludf.DUMMYFUNCTION("""COMPUTED_VALUE"""),"меблі")</f>
        <v>меблі</v>
      </c>
      <c r="D1008" s="16" t="str">
        <f>IFERROR(__xludf.DUMMYFUNCTION("""COMPUTED_VALUE"""),"кухонні меблі")</f>
        <v>кухонні меблі</v>
      </c>
      <c r="E1008" s="16" t="str">
        <f>IFERROR(__xludf.DUMMYFUNCTION("""COMPUTED_VALUE"""),"кухонні куточки")</f>
        <v>кухонні куточки</v>
      </c>
      <c r="F1008" s="17">
        <f>IFERROR(__xludf.DUMMYFUNCTION("""COMPUTED_VALUE"""),4.0)</f>
        <v>4</v>
      </c>
      <c r="G1008" s="17" t="str">
        <f>IFERROR(__xludf.DUMMYFUNCTION("""COMPUTED_VALUE"""),"15030302")</f>
        <v>15030302</v>
      </c>
      <c r="H1008" s="17" t="str">
        <f>IFERROR(__xludf.DUMMYFUNCTION("""COMPUTED_VALUE"""),"кухонні куточки")</f>
        <v>кухонні куточки</v>
      </c>
      <c r="I1008" s="19">
        <f>IFERROR(__xludf.DUMMYFUNCTION("""COMPUTED_VALUE"""),0.0637)</f>
        <v>0.0637</v>
      </c>
      <c r="J1008" s="19">
        <f>IFERROR(__xludf.DUMMYFUNCTION("""COMPUTED_VALUE"""),0.1273)</f>
        <v>0.1273</v>
      </c>
      <c r="K1008" s="19">
        <f>IFERROR(__xludf.DUMMYFUNCTION("""COMPUTED_VALUE"""),0.1591)</f>
        <v>0.1591</v>
      </c>
      <c r="L1008" s="19">
        <f>IFERROR(__xludf.DUMMYFUNCTION("""COMPUTED_VALUE"""),0.191)</f>
        <v>0.191</v>
      </c>
      <c r="M1008" s="18">
        <f>IFERROR(__xludf.DUMMYFUNCTION("""COMPUTED_VALUE"""),1.53)</f>
        <v>1.53</v>
      </c>
    </row>
    <row r="1009">
      <c r="A1009" s="13" t="str">
        <f>IFERROR(__xludf.DUMMYFUNCTION("""COMPUTED_VALUE"""),"товари")</f>
        <v>товари</v>
      </c>
      <c r="B1009" s="16" t="str">
        <f>IFERROR(__xludf.DUMMYFUNCTION("""COMPUTED_VALUE"""),"товари для дому")</f>
        <v>товари для дому</v>
      </c>
      <c r="C1009" s="16" t="str">
        <f>IFERROR(__xludf.DUMMYFUNCTION("""COMPUTED_VALUE"""),"посуд")</f>
        <v>посуд</v>
      </c>
      <c r="D1009" s="16" t="str">
        <f>IFERROR(__xludf.DUMMYFUNCTION("""COMPUTED_VALUE"""),"кухонне приладдя")</f>
        <v>кухонне приладдя</v>
      </c>
      <c r="E1009" s="16" t="str">
        <f>IFERROR(__xludf.DUMMYFUNCTION("""COMPUTED_VALUE"""),"кухонні лопатки і ложки, кухонні вилки")</f>
        <v>кухонні лопатки і ложки, кухонні вилки</v>
      </c>
      <c r="F1009" s="17">
        <f>IFERROR(__xludf.DUMMYFUNCTION("""COMPUTED_VALUE"""),4.0)</f>
        <v>4</v>
      </c>
      <c r="G1009" s="17" t="str">
        <f>IFERROR(__xludf.DUMMYFUNCTION("""COMPUTED_VALUE"""),"15230422")</f>
        <v>15230422</v>
      </c>
      <c r="H1009" s="17" t="str">
        <f>IFERROR(__xludf.DUMMYFUNCTION("""COMPUTED_VALUE"""),"кухонні лопатки і ложки, кухонні вилки")</f>
        <v>кухонні лопатки і ложки, кухонні вилки</v>
      </c>
      <c r="I1009" s="19">
        <f>IFERROR(__xludf.DUMMYFUNCTION("""COMPUTED_VALUE"""),0.078)</f>
        <v>0.078</v>
      </c>
      <c r="J1009" s="19">
        <f>IFERROR(__xludf.DUMMYFUNCTION("""COMPUTED_VALUE"""),0.156)</f>
        <v>0.156</v>
      </c>
      <c r="K1009" s="19">
        <f>IFERROR(__xludf.DUMMYFUNCTION("""COMPUTED_VALUE"""),0.195)</f>
        <v>0.195</v>
      </c>
      <c r="L1009" s="19">
        <f>IFERROR(__xludf.DUMMYFUNCTION("""COMPUTED_VALUE"""),0.234)</f>
        <v>0.234</v>
      </c>
      <c r="M1009" s="18">
        <f>IFERROR(__xludf.DUMMYFUNCTION("""COMPUTED_VALUE"""),2.08)</f>
        <v>2.08</v>
      </c>
    </row>
    <row r="1010">
      <c r="A1010" s="13" t="str">
        <f>IFERROR(__xludf.DUMMYFUNCTION("""COMPUTED_VALUE"""),"товари")</f>
        <v>товари</v>
      </c>
      <c r="B1010" s="16" t="str">
        <f>IFERROR(__xludf.DUMMYFUNCTION("""COMPUTED_VALUE"""),"товари для дому")</f>
        <v>товари для дому</v>
      </c>
      <c r="C1010" s="16" t="str">
        <f>IFERROR(__xludf.DUMMYFUNCTION("""COMPUTED_VALUE"""),"посуд")</f>
        <v>посуд</v>
      </c>
      <c r="D1010" s="16" t="str">
        <f>IFERROR(__xludf.DUMMYFUNCTION("""COMPUTED_VALUE"""),"столовий посуд")</f>
        <v>столовий посуд</v>
      </c>
      <c r="E1010" s="16" t="str">
        <f>IFERROR(__xludf.DUMMYFUNCTION("""COMPUTED_VALUE"""),"кухонні маслянки ")</f>
        <v>кухонні маслянки </v>
      </c>
      <c r="F1010" s="17">
        <f>IFERROR(__xludf.DUMMYFUNCTION("""COMPUTED_VALUE"""),4.0)</f>
        <v>4</v>
      </c>
      <c r="G1010" s="17" t="str">
        <f>IFERROR(__xludf.DUMMYFUNCTION("""COMPUTED_VALUE"""),"152209")</f>
        <v>152209</v>
      </c>
      <c r="H1010" s="17" t="str">
        <f>IFERROR(__xludf.DUMMYFUNCTION("""COMPUTED_VALUE"""),"кухонні маслянки ")</f>
        <v>кухонні маслянки </v>
      </c>
      <c r="I1010" s="19">
        <f>IFERROR(__xludf.DUMMYFUNCTION("""COMPUTED_VALUE"""),0.0767)</f>
        <v>0.0767</v>
      </c>
      <c r="J1010" s="19">
        <f>IFERROR(__xludf.DUMMYFUNCTION("""COMPUTED_VALUE"""),0.1534)</f>
        <v>0.1534</v>
      </c>
      <c r="K1010" s="19">
        <f>IFERROR(__xludf.DUMMYFUNCTION("""COMPUTED_VALUE"""),0.1918)</f>
        <v>0.1918</v>
      </c>
      <c r="L1010" s="19">
        <f>IFERROR(__xludf.DUMMYFUNCTION("""COMPUTED_VALUE"""),0.2301)</f>
        <v>0.2301</v>
      </c>
      <c r="M1010" s="18">
        <f>IFERROR(__xludf.DUMMYFUNCTION("""COMPUTED_VALUE"""),2.08)</f>
        <v>2.08</v>
      </c>
    </row>
    <row r="1011">
      <c r="A1011" s="13" t="str">
        <f>IFERROR(__xludf.DUMMYFUNCTION("""COMPUTED_VALUE"""),"товари")</f>
        <v>товари</v>
      </c>
      <c r="B1011" s="16" t="str">
        <f>IFERROR(__xludf.DUMMYFUNCTION("""COMPUTED_VALUE"""),"товари для дому")</f>
        <v>товари для дому</v>
      </c>
      <c r="C1011" s="16" t="str">
        <f>IFERROR(__xludf.DUMMYFUNCTION("""COMPUTED_VALUE"""),"меблі")</f>
        <v>меблі</v>
      </c>
      <c r="D1011" s="16" t="str">
        <f>IFERROR(__xludf.DUMMYFUNCTION("""COMPUTED_VALUE"""),"кухонні меблі")</f>
        <v>кухонні меблі</v>
      </c>
      <c r="E1011" s="16" t="str">
        <f>IFERROR(__xludf.DUMMYFUNCTION("""COMPUTED_VALUE"""),"кухонні меблі, загальне")</f>
        <v>кухонні меблі, загальне</v>
      </c>
      <c r="F1011" s="17">
        <f>IFERROR(__xludf.DUMMYFUNCTION("""COMPUTED_VALUE"""),4.0)</f>
        <v>4</v>
      </c>
      <c r="G1011" s="17" t="str">
        <f>IFERROR(__xludf.DUMMYFUNCTION("""COMPUTED_VALUE"""),"37035001")</f>
        <v>37035001</v>
      </c>
      <c r="H1011" s="17" t="str">
        <f>IFERROR(__xludf.DUMMYFUNCTION("""COMPUTED_VALUE"""),"кухонні меблі, загальне")</f>
        <v>кухонні меблі, загальне</v>
      </c>
      <c r="I1011" s="19">
        <f>IFERROR(__xludf.DUMMYFUNCTION("""COMPUTED_VALUE"""),0.125)</f>
        <v>0.125</v>
      </c>
      <c r="J1011" s="19">
        <f>IFERROR(__xludf.DUMMYFUNCTION("""COMPUTED_VALUE"""),0.25)</f>
        <v>0.25</v>
      </c>
      <c r="K1011" s="19">
        <f>IFERROR(__xludf.DUMMYFUNCTION("""COMPUTED_VALUE"""),0.3125)</f>
        <v>0.3125</v>
      </c>
      <c r="L1011" s="19">
        <f>IFERROR(__xludf.DUMMYFUNCTION("""COMPUTED_VALUE"""),0.375)</f>
        <v>0.375</v>
      </c>
      <c r="M1011" s="18">
        <f>IFERROR(__xludf.DUMMYFUNCTION("""COMPUTED_VALUE"""),4.33)</f>
        <v>4.33</v>
      </c>
    </row>
    <row r="1012">
      <c r="A1012" s="13" t="str">
        <f>IFERROR(__xludf.DUMMYFUNCTION("""COMPUTED_VALUE"""),"товари")</f>
        <v>товари</v>
      </c>
      <c r="B1012" s="16" t="str">
        <f>IFERROR(__xludf.DUMMYFUNCTION("""COMPUTED_VALUE"""),"товари для дому")</f>
        <v>товари для дому</v>
      </c>
      <c r="C1012" s="16" t="str">
        <f>IFERROR(__xludf.DUMMYFUNCTION("""COMPUTED_VALUE"""),"меблі")</f>
        <v>меблі</v>
      </c>
      <c r="D1012" s="16" t="str">
        <f>IFERROR(__xludf.DUMMYFUNCTION("""COMPUTED_VALUE"""),"кухонні меблі")</f>
        <v>кухонні меблі</v>
      </c>
      <c r="E1012" s="16" t="str">
        <f>IFERROR(__xludf.DUMMYFUNCTION("""COMPUTED_VALUE"""),"кухонні модулі")</f>
        <v>кухонні модулі</v>
      </c>
      <c r="F1012" s="17">
        <f>IFERROR(__xludf.DUMMYFUNCTION("""COMPUTED_VALUE"""),4.0)</f>
        <v>4</v>
      </c>
      <c r="G1012" s="17" t="str">
        <f>IFERROR(__xludf.DUMMYFUNCTION("""COMPUTED_VALUE"""),"15030304")</f>
        <v>15030304</v>
      </c>
      <c r="H1012" s="17" t="str">
        <f>IFERROR(__xludf.DUMMYFUNCTION("""COMPUTED_VALUE"""),"кухонні модулі")</f>
        <v>кухонні модулі</v>
      </c>
      <c r="I1012" s="19">
        <f>IFERROR(__xludf.DUMMYFUNCTION("""COMPUTED_VALUE"""),0.0637)</f>
        <v>0.0637</v>
      </c>
      <c r="J1012" s="19">
        <f>IFERROR(__xludf.DUMMYFUNCTION("""COMPUTED_VALUE"""),0.1273)</f>
        <v>0.1273</v>
      </c>
      <c r="K1012" s="19">
        <f>IFERROR(__xludf.DUMMYFUNCTION("""COMPUTED_VALUE"""),0.1591)</f>
        <v>0.1591</v>
      </c>
      <c r="L1012" s="19">
        <f>IFERROR(__xludf.DUMMYFUNCTION("""COMPUTED_VALUE"""),0.191)</f>
        <v>0.191</v>
      </c>
      <c r="M1012" s="18">
        <f>IFERROR(__xludf.DUMMYFUNCTION("""COMPUTED_VALUE"""),1.53)</f>
        <v>1.53</v>
      </c>
    </row>
    <row r="1013">
      <c r="A1013" s="13" t="str">
        <f>IFERROR(__xludf.DUMMYFUNCTION("""COMPUTED_VALUE"""),"товари")</f>
        <v>товари</v>
      </c>
      <c r="B1013" s="16" t="str">
        <f>IFERROR(__xludf.DUMMYFUNCTION("""COMPUTED_VALUE"""),"товари для дому")</f>
        <v>товари для дому</v>
      </c>
      <c r="C1013" s="16" t="str">
        <f>IFERROR(__xludf.DUMMYFUNCTION("""COMPUTED_VALUE"""),"посуд")</f>
        <v>посуд</v>
      </c>
      <c r="D1013" s="16" t="str">
        <f>IFERROR(__xludf.DUMMYFUNCTION("""COMPUTED_VALUE"""),"кухонне приладдя")</f>
        <v>кухонне приладдя</v>
      </c>
      <c r="E1013" s="16" t="str">
        <f>IFERROR(__xludf.DUMMYFUNCTION("""COMPUTED_VALUE"""),"кухонні ножиці")</f>
        <v>кухонні ножиці</v>
      </c>
      <c r="F1013" s="17">
        <f>IFERROR(__xludf.DUMMYFUNCTION("""COMPUTED_VALUE"""),4.0)</f>
        <v>4</v>
      </c>
      <c r="G1013" s="17" t="str">
        <f>IFERROR(__xludf.DUMMYFUNCTION("""COMPUTED_VALUE"""),"15230412")</f>
        <v>15230412</v>
      </c>
      <c r="H1013" s="17" t="str">
        <f>IFERROR(__xludf.DUMMYFUNCTION("""COMPUTED_VALUE"""),"кухонні ножиці")</f>
        <v>кухонні ножиці</v>
      </c>
      <c r="I1013" s="19">
        <f>IFERROR(__xludf.DUMMYFUNCTION("""COMPUTED_VALUE"""),0.0783)</f>
        <v>0.0783</v>
      </c>
      <c r="J1013" s="19">
        <f>IFERROR(__xludf.DUMMYFUNCTION("""COMPUTED_VALUE"""),0.1566)</f>
        <v>0.1566</v>
      </c>
      <c r="K1013" s="19">
        <f>IFERROR(__xludf.DUMMYFUNCTION("""COMPUTED_VALUE"""),0.1958)</f>
        <v>0.1958</v>
      </c>
      <c r="L1013" s="19">
        <f>IFERROR(__xludf.DUMMYFUNCTION("""COMPUTED_VALUE"""),0.2349)</f>
        <v>0.2349</v>
      </c>
      <c r="M1013" s="18">
        <f>IFERROR(__xludf.DUMMYFUNCTION("""COMPUTED_VALUE"""),2.08)</f>
        <v>2.08</v>
      </c>
    </row>
    <row r="1014">
      <c r="A1014" s="13" t="str">
        <f>IFERROR(__xludf.DUMMYFUNCTION("""COMPUTED_VALUE"""),"товари")</f>
        <v>товари</v>
      </c>
      <c r="B1014" s="16" t="str">
        <f>IFERROR(__xludf.DUMMYFUNCTION("""COMPUTED_VALUE"""),"товари для дому")</f>
        <v>товари для дому</v>
      </c>
      <c r="C1014" s="16" t="str">
        <f>IFERROR(__xludf.DUMMYFUNCTION("""COMPUTED_VALUE"""),"посуд")</f>
        <v>посуд</v>
      </c>
      <c r="D1014" s="16" t="str">
        <f>IFERROR(__xludf.DUMMYFUNCTION("""COMPUTED_VALUE"""),"кухонне приладдя")</f>
        <v>кухонне приладдя</v>
      </c>
      <c r="E1014" s="16" t="str">
        <f>IFERROR(__xludf.DUMMYFUNCTION("""COMPUTED_VALUE"""),"кухонні ножі та підставки")</f>
        <v>кухонні ножі та підставки</v>
      </c>
      <c r="F1014" s="17">
        <f>IFERROR(__xludf.DUMMYFUNCTION("""COMPUTED_VALUE"""),4.0)</f>
        <v>4</v>
      </c>
      <c r="G1014" s="17" t="str">
        <f>IFERROR(__xludf.DUMMYFUNCTION("""COMPUTED_VALUE"""),"15230410")</f>
        <v>15230410</v>
      </c>
      <c r="H1014" s="17" t="str">
        <f>IFERROR(__xludf.DUMMYFUNCTION("""COMPUTED_VALUE"""),"кухонні ножі та підставки")</f>
        <v>кухонні ножі та підставки</v>
      </c>
      <c r="I1014" s="19">
        <f>IFERROR(__xludf.DUMMYFUNCTION("""COMPUTED_VALUE"""),0.075)</f>
        <v>0.075</v>
      </c>
      <c r="J1014" s="19">
        <f>IFERROR(__xludf.DUMMYFUNCTION("""COMPUTED_VALUE"""),0.15)</f>
        <v>0.15</v>
      </c>
      <c r="K1014" s="19">
        <f>IFERROR(__xludf.DUMMYFUNCTION("""COMPUTED_VALUE"""),0.1875)</f>
        <v>0.1875</v>
      </c>
      <c r="L1014" s="19">
        <f>IFERROR(__xludf.DUMMYFUNCTION("""COMPUTED_VALUE"""),0.225)</f>
        <v>0.225</v>
      </c>
      <c r="M1014" s="18">
        <f>IFERROR(__xludf.DUMMYFUNCTION("""COMPUTED_VALUE"""),2.08)</f>
        <v>2.08</v>
      </c>
    </row>
    <row r="1015">
      <c r="A1015" s="13" t="str">
        <f>IFERROR(__xludf.DUMMYFUNCTION("""COMPUTED_VALUE"""),"товари")</f>
        <v>товари</v>
      </c>
      <c r="B1015" s="16" t="str">
        <f>IFERROR(__xludf.DUMMYFUNCTION("""COMPUTED_VALUE"""),"товари для дому")</f>
        <v>товари для дому</v>
      </c>
      <c r="C1015" s="16" t="str">
        <f>IFERROR(__xludf.DUMMYFUNCTION("""COMPUTED_VALUE"""),"текстиль")</f>
        <v>текстиль</v>
      </c>
      <c r="D1015" s="16" t="str">
        <f>IFERROR(__xludf.DUMMYFUNCTION("""COMPUTED_VALUE"""),"текстиль для кухні")</f>
        <v>текстиль для кухні</v>
      </c>
      <c r="E1015" s="16" t="str">
        <f>IFERROR(__xludf.DUMMYFUNCTION("""COMPUTED_VALUE"""),"кухонні рукавиці та прихватки")</f>
        <v>кухонні рукавиці та прихватки</v>
      </c>
      <c r="F1015" s="17">
        <f>IFERROR(__xludf.DUMMYFUNCTION("""COMPUTED_VALUE"""),4.0)</f>
        <v>4</v>
      </c>
      <c r="G1015" s="17" t="str">
        <f>IFERROR(__xludf.DUMMYFUNCTION("""COMPUTED_VALUE"""),"15230413")</f>
        <v>15230413</v>
      </c>
      <c r="H1015" s="17" t="str">
        <f>IFERROR(__xludf.DUMMYFUNCTION("""COMPUTED_VALUE"""),"кухонні рукавиці та прихватки")</f>
        <v>кухонні рукавиці та прихватки</v>
      </c>
      <c r="I1015" s="19">
        <f>IFERROR(__xludf.DUMMYFUNCTION("""COMPUTED_VALUE"""),0.0764)</f>
        <v>0.0764</v>
      </c>
      <c r="J1015" s="19">
        <f>IFERROR(__xludf.DUMMYFUNCTION("""COMPUTED_VALUE"""),0.1528)</f>
        <v>0.1528</v>
      </c>
      <c r="K1015" s="19">
        <f>IFERROR(__xludf.DUMMYFUNCTION("""COMPUTED_VALUE"""),0.191)</f>
        <v>0.191</v>
      </c>
      <c r="L1015" s="19">
        <f>IFERROR(__xludf.DUMMYFUNCTION("""COMPUTED_VALUE"""),0.2292)</f>
        <v>0.2292</v>
      </c>
      <c r="M1015" s="18">
        <f>IFERROR(__xludf.DUMMYFUNCTION("""COMPUTED_VALUE"""),1.8)</f>
        <v>1.8</v>
      </c>
    </row>
    <row r="1016">
      <c r="A1016" s="13" t="str">
        <f>IFERROR(__xludf.DUMMYFUNCTION("""COMPUTED_VALUE"""),"товари")</f>
        <v>товари</v>
      </c>
      <c r="B1016" s="16" t="str">
        <f>IFERROR(__xludf.DUMMYFUNCTION("""COMPUTED_VALUE"""),"товари для дому")</f>
        <v>товари для дому</v>
      </c>
      <c r="C1016" s="16" t="str">
        <f>IFERROR(__xludf.DUMMYFUNCTION("""COMPUTED_VALUE"""),"текстиль")</f>
        <v>текстиль</v>
      </c>
      <c r="D1016" s="16" t="str">
        <f>IFERROR(__xludf.DUMMYFUNCTION("""COMPUTED_VALUE"""),"текстиль для кухні")</f>
        <v>текстиль для кухні</v>
      </c>
      <c r="E1016" s="16" t="str">
        <f>IFERROR(__xludf.DUMMYFUNCTION("""COMPUTED_VALUE"""),"кухонні рушники")</f>
        <v>кухонні рушники</v>
      </c>
      <c r="F1016" s="17">
        <f>IFERROR(__xludf.DUMMYFUNCTION("""COMPUTED_VALUE"""),4.0)</f>
        <v>4</v>
      </c>
      <c r="G1016" s="17" t="str">
        <f>IFERROR(__xludf.DUMMYFUNCTION("""COMPUTED_VALUE"""),"40303")</f>
        <v>40303</v>
      </c>
      <c r="H1016" s="17" t="str">
        <f>IFERROR(__xludf.DUMMYFUNCTION("""COMPUTED_VALUE"""),"кухонні рушники")</f>
        <v>кухонні рушники</v>
      </c>
      <c r="I1016" s="19">
        <f>IFERROR(__xludf.DUMMYFUNCTION("""COMPUTED_VALUE"""),0.0761)</f>
        <v>0.0761</v>
      </c>
      <c r="J1016" s="19">
        <f>IFERROR(__xludf.DUMMYFUNCTION("""COMPUTED_VALUE"""),0.1521)</f>
        <v>0.1521</v>
      </c>
      <c r="K1016" s="19">
        <f>IFERROR(__xludf.DUMMYFUNCTION("""COMPUTED_VALUE"""),0.1901)</f>
        <v>0.1901</v>
      </c>
      <c r="L1016" s="19">
        <f>IFERROR(__xludf.DUMMYFUNCTION("""COMPUTED_VALUE"""),0.2282)</f>
        <v>0.2282</v>
      </c>
      <c r="M1016" s="18">
        <f>IFERROR(__xludf.DUMMYFUNCTION("""COMPUTED_VALUE"""),1.8)</f>
        <v>1.8</v>
      </c>
    </row>
    <row r="1017">
      <c r="A1017" s="13" t="str">
        <f>IFERROR(__xludf.DUMMYFUNCTION("""COMPUTED_VALUE"""),"товари")</f>
        <v>товари</v>
      </c>
      <c r="B1017" s="16" t="str">
        <f>IFERROR(__xludf.DUMMYFUNCTION("""COMPUTED_VALUE"""),"товари для дому")</f>
        <v>товари для дому</v>
      </c>
      <c r="C1017" s="16" t="str">
        <f>IFERROR(__xludf.DUMMYFUNCTION("""COMPUTED_VALUE"""),"меблі")</f>
        <v>меблі</v>
      </c>
      <c r="D1017" s="16" t="str">
        <f>IFERROR(__xludf.DUMMYFUNCTION("""COMPUTED_VALUE"""),"стільці")</f>
        <v>стільці</v>
      </c>
      <c r="E1017" s="16" t="str">
        <f>IFERROR(__xludf.DUMMYFUNCTION("""COMPUTED_VALUE"""),"кухонні стільці і табуретки")</f>
        <v>кухонні стільці і табуретки</v>
      </c>
      <c r="F1017" s="17">
        <f>IFERROR(__xludf.DUMMYFUNCTION("""COMPUTED_VALUE"""),4.0)</f>
        <v>4</v>
      </c>
      <c r="G1017" s="17" t="str">
        <f>IFERROR(__xludf.DUMMYFUNCTION("""COMPUTED_VALUE"""),"37033003")</f>
        <v>37033003</v>
      </c>
      <c r="H1017" s="17" t="str">
        <f>IFERROR(__xludf.DUMMYFUNCTION("""COMPUTED_VALUE"""),"кухонні стільці і табуретки")</f>
        <v>кухонні стільці і табуретки</v>
      </c>
      <c r="I1017" s="19">
        <f>IFERROR(__xludf.DUMMYFUNCTION("""COMPUTED_VALUE"""),0.0683)</f>
        <v>0.0683</v>
      </c>
      <c r="J1017" s="19">
        <f>IFERROR(__xludf.DUMMYFUNCTION("""COMPUTED_VALUE"""),0.1366)</f>
        <v>0.1366</v>
      </c>
      <c r="K1017" s="19">
        <f>IFERROR(__xludf.DUMMYFUNCTION("""COMPUTED_VALUE"""),0.1708)</f>
        <v>0.1708</v>
      </c>
      <c r="L1017" s="19">
        <f>IFERROR(__xludf.DUMMYFUNCTION("""COMPUTED_VALUE"""),0.2049)</f>
        <v>0.2049</v>
      </c>
      <c r="M1017" s="18">
        <f>IFERROR(__xludf.DUMMYFUNCTION("""COMPUTED_VALUE"""),1.53)</f>
        <v>1.53</v>
      </c>
    </row>
    <row r="1018">
      <c r="A1018" s="13" t="str">
        <f>IFERROR(__xludf.DUMMYFUNCTION("""COMPUTED_VALUE"""),"товари")</f>
        <v>товари</v>
      </c>
      <c r="B1018" s="16" t="str">
        <f>IFERROR(__xludf.DUMMYFUNCTION("""COMPUTED_VALUE"""),"товари для дому")</f>
        <v>товари для дому</v>
      </c>
      <c r="C1018" s="16" t="str">
        <f>IFERROR(__xludf.DUMMYFUNCTION("""COMPUTED_VALUE"""),"посуд")</f>
        <v>посуд</v>
      </c>
      <c r="D1018" s="16" t="str">
        <f>IFERROR(__xludf.DUMMYFUNCTION("""COMPUTED_VALUE"""),"кухонне приладдя")</f>
        <v>кухонне приладдя</v>
      </c>
      <c r="E1018" s="16" t="str">
        <f>IFERROR(__xludf.DUMMYFUNCTION("""COMPUTED_VALUE"""),"кухонні таймери")</f>
        <v>кухонні таймери</v>
      </c>
      <c r="F1018" s="17">
        <f>IFERROR(__xludf.DUMMYFUNCTION("""COMPUTED_VALUE"""),4.0)</f>
        <v>4</v>
      </c>
      <c r="G1018" s="17" t="str">
        <f>IFERROR(__xludf.DUMMYFUNCTION("""COMPUTED_VALUE"""),"15230441")</f>
        <v>15230441</v>
      </c>
      <c r="H1018" s="17" t="str">
        <f>IFERROR(__xludf.DUMMYFUNCTION("""COMPUTED_VALUE"""),"кухонні таймери")</f>
        <v>кухонні таймери</v>
      </c>
      <c r="I1018" s="19">
        <f>IFERROR(__xludf.DUMMYFUNCTION("""COMPUTED_VALUE"""),0.0783)</f>
        <v>0.0783</v>
      </c>
      <c r="J1018" s="19">
        <f>IFERROR(__xludf.DUMMYFUNCTION("""COMPUTED_VALUE"""),0.1566)</f>
        <v>0.1566</v>
      </c>
      <c r="K1018" s="19">
        <f>IFERROR(__xludf.DUMMYFUNCTION("""COMPUTED_VALUE"""),0.1958)</f>
        <v>0.1958</v>
      </c>
      <c r="L1018" s="19">
        <f>IFERROR(__xludf.DUMMYFUNCTION("""COMPUTED_VALUE"""),0.2349)</f>
        <v>0.2349</v>
      </c>
      <c r="M1018" s="18">
        <f>IFERROR(__xludf.DUMMYFUNCTION("""COMPUTED_VALUE"""),2.08)</f>
        <v>2.08</v>
      </c>
    </row>
    <row r="1019">
      <c r="A1019" s="13" t="str">
        <f>IFERROR(__xludf.DUMMYFUNCTION("""COMPUTED_VALUE"""),"товари")</f>
        <v>товари</v>
      </c>
      <c r="B1019" s="16" t="str">
        <f>IFERROR(__xludf.DUMMYFUNCTION("""COMPUTED_VALUE"""),"товари для дому")</f>
        <v>товари для дому</v>
      </c>
      <c r="C1019" s="16" t="str">
        <f>IFERROR(__xludf.DUMMYFUNCTION("""COMPUTED_VALUE"""),"посуд")</f>
        <v>посуд</v>
      </c>
      <c r="D1019" s="16" t="str">
        <f>IFERROR(__xludf.DUMMYFUNCTION("""COMPUTED_VALUE"""),"кухонне приладдя")</f>
        <v>кухонне приладдя</v>
      </c>
      <c r="E1019" s="16" t="str">
        <f>IFERROR(__xludf.DUMMYFUNCTION("""COMPUTED_VALUE"""),"кухонні термометри ")</f>
        <v>кухонні термометри </v>
      </c>
      <c r="F1019" s="17">
        <f>IFERROR(__xludf.DUMMYFUNCTION("""COMPUTED_VALUE"""),4.0)</f>
        <v>4</v>
      </c>
      <c r="G1019" s="17" t="str">
        <f>IFERROR(__xludf.DUMMYFUNCTION("""COMPUTED_VALUE"""),"15230404")</f>
        <v>15230404</v>
      </c>
      <c r="H1019" s="17" t="str">
        <f>IFERROR(__xludf.DUMMYFUNCTION("""COMPUTED_VALUE"""),"кухонні термометри ")</f>
        <v>кухонні термометри </v>
      </c>
      <c r="I1019" s="19">
        <f>IFERROR(__xludf.DUMMYFUNCTION("""COMPUTED_VALUE"""),0.0783)</f>
        <v>0.0783</v>
      </c>
      <c r="J1019" s="19">
        <f>IFERROR(__xludf.DUMMYFUNCTION("""COMPUTED_VALUE"""),0.1566)</f>
        <v>0.1566</v>
      </c>
      <c r="K1019" s="19">
        <f>IFERROR(__xludf.DUMMYFUNCTION("""COMPUTED_VALUE"""),0.1958)</f>
        <v>0.1958</v>
      </c>
      <c r="L1019" s="19">
        <f>IFERROR(__xludf.DUMMYFUNCTION("""COMPUTED_VALUE"""),0.2349)</f>
        <v>0.2349</v>
      </c>
      <c r="M1019" s="18">
        <f>IFERROR(__xludf.DUMMYFUNCTION("""COMPUTED_VALUE"""),2.08)</f>
        <v>2.08</v>
      </c>
    </row>
    <row r="1020">
      <c r="A1020" s="13" t="str">
        <f>IFERROR(__xludf.DUMMYFUNCTION("""COMPUTED_VALUE"""),"товари")</f>
        <v>товари</v>
      </c>
      <c r="B1020" s="16" t="str">
        <f>IFERROR(__xludf.DUMMYFUNCTION("""COMPUTED_VALUE"""),"товари для дому")</f>
        <v>товари для дому</v>
      </c>
      <c r="C1020" s="16" t="str">
        <f>IFERROR(__xludf.DUMMYFUNCTION("""COMPUTED_VALUE"""),"посуд")</f>
        <v>посуд</v>
      </c>
      <c r="D1020" s="16" t="str">
        <f>IFERROR(__xludf.DUMMYFUNCTION("""COMPUTED_VALUE"""),"кухонне приладдя")</f>
        <v>кухонне приладдя</v>
      </c>
      <c r="E1020" s="16" t="str">
        <f>IFERROR(__xludf.DUMMYFUNCTION("""COMPUTED_VALUE"""),"кухонні щипці ")</f>
        <v>кухонні щипці </v>
      </c>
      <c r="F1020" s="17">
        <f>IFERROR(__xludf.DUMMYFUNCTION("""COMPUTED_VALUE"""),4.0)</f>
        <v>4</v>
      </c>
      <c r="G1020" s="17" t="str">
        <f>IFERROR(__xludf.DUMMYFUNCTION("""COMPUTED_VALUE"""),"15230439")</f>
        <v>15230439</v>
      </c>
      <c r="H1020" s="17" t="str">
        <f>IFERROR(__xludf.DUMMYFUNCTION("""COMPUTED_VALUE"""),"кухонні щипці ")</f>
        <v>кухонні щипці </v>
      </c>
      <c r="I1020" s="19">
        <f>IFERROR(__xludf.DUMMYFUNCTION("""COMPUTED_VALUE"""),0.078)</f>
        <v>0.078</v>
      </c>
      <c r="J1020" s="19">
        <f>IFERROR(__xludf.DUMMYFUNCTION("""COMPUTED_VALUE"""),0.156)</f>
        <v>0.156</v>
      </c>
      <c r="K1020" s="19">
        <f>IFERROR(__xludf.DUMMYFUNCTION("""COMPUTED_VALUE"""),0.195)</f>
        <v>0.195</v>
      </c>
      <c r="L1020" s="19">
        <f>IFERROR(__xludf.DUMMYFUNCTION("""COMPUTED_VALUE"""),0.234)</f>
        <v>0.234</v>
      </c>
      <c r="M1020" s="18">
        <f>IFERROR(__xludf.DUMMYFUNCTION("""COMPUTED_VALUE"""),2.08)</f>
        <v>2.08</v>
      </c>
    </row>
    <row r="1021">
      <c r="A1021" s="13" t="str">
        <f>IFERROR(__xludf.DUMMYFUNCTION("""COMPUTED_VALUE"""),"товари")</f>
        <v>товари</v>
      </c>
      <c r="B1021" s="16" t="str">
        <f>IFERROR(__xludf.DUMMYFUNCTION("""COMPUTED_VALUE"""),"дача, сад і город")</f>
        <v>дача, сад і город</v>
      </c>
      <c r="C1021" s="16" t="str">
        <f>IFERROR(__xludf.DUMMYFUNCTION("""COMPUTED_VALUE"""),"інструменти для обрізки")</f>
        <v>інструменти для обрізки</v>
      </c>
      <c r="D1021" s="16" t="str">
        <f>IFERROR(__xludf.DUMMYFUNCTION("""COMPUTED_VALUE"""),"кущорізи")</f>
        <v>кущорізи</v>
      </c>
      <c r="E1021" s="16" t="str">
        <f>IFERROR(__xludf.DUMMYFUNCTION("""COMPUTED_VALUE"""),"кущорізи")</f>
        <v>кущорізи</v>
      </c>
      <c r="F1021" s="17">
        <f>IFERROR(__xludf.DUMMYFUNCTION("""COMPUTED_VALUE"""),3.0)</f>
        <v>3</v>
      </c>
      <c r="G1021" s="17" t="str">
        <f>IFERROR(__xludf.DUMMYFUNCTION("""COMPUTED_VALUE"""),"1250301")</f>
        <v>1250301</v>
      </c>
      <c r="H1021" s="17" t="str">
        <f>IFERROR(__xludf.DUMMYFUNCTION("""COMPUTED_VALUE"""),"кущорізи")</f>
        <v>кущорізи</v>
      </c>
      <c r="I1021" s="19">
        <f>IFERROR(__xludf.DUMMYFUNCTION("""COMPUTED_VALUE"""),0.0598)</f>
        <v>0.0598</v>
      </c>
      <c r="J1021" s="19">
        <f>IFERROR(__xludf.DUMMYFUNCTION("""COMPUTED_VALUE"""),0.1196)</f>
        <v>0.1196</v>
      </c>
      <c r="K1021" s="19">
        <f>IFERROR(__xludf.DUMMYFUNCTION("""COMPUTED_VALUE"""),0.1495)</f>
        <v>0.1495</v>
      </c>
      <c r="L1021" s="19">
        <f>IFERROR(__xludf.DUMMYFUNCTION("""COMPUTED_VALUE"""),0.1794)</f>
        <v>0.1794</v>
      </c>
      <c r="M1021" s="18">
        <f>IFERROR(__xludf.DUMMYFUNCTION("""COMPUTED_VALUE"""),1.53)</f>
        <v>1.53</v>
      </c>
    </row>
    <row r="1022">
      <c r="A1022" s="13" t="str">
        <f>IFERROR(__xludf.DUMMYFUNCTION("""COMPUTED_VALUE"""),"товари")</f>
        <v>товари</v>
      </c>
      <c r="B1022" s="16" t="str">
        <f>IFERROR(__xludf.DUMMYFUNCTION("""COMPUTED_VALUE"""),"товари для дому")</f>
        <v>товари для дому</v>
      </c>
      <c r="C1022" s="16" t="str">
        <f>IFERROR(__xludf.DUMMYFUNCTION("""COMPUTED_VALUE"""),"меблі")</f>
        <v>меблі</v>
      </c>
      <c r="D1022" s="16" t="str">
        <f>IFERROR(__xludf.DUMMYFUNCTION("""COMPUTED_VALUE"""),"садові й пляжні меблі")</f>
        <v>садові й пляжні меблі</v>
      </c>
      <c r="E1022" s="16" t="str">
        <f>IFERROR(__xludf.DUMMYFUNCTION("""COMPUTED_VALUE"""),"лавки")</f>
        <v>лавки</v>
      </c>
      <c r="F1022" s="17">
        <f>IFERROR(__xludf.DUMMYFUNCTION("""COMPUTED_VALUE"""),4.0)</f>
        <v>4</v>
      </c>
      <c r="G1022" s="17" t="str">
        <f>IFERROR(__xludf.DUMMYFUNCTION("""COMPUTED_VALUE"""),"37042001")</f>
        <v>37042001</v>
      </c>
      <c r="H1022" s="17" t="str">
        <f>IFERROR(__xludf.DUMMYFUNCTION("""COMPUTED_VALUE"""),"лавки")</f>
        <v>лавки</v>
      </c>
      <c r="I1022" s="19">
        <f>IFERROR(__xludf.DUMMYFUNCTION("""COMPUTED_VALUE"""),0.0665)</f>
        <v>0.0665</v>
      </c>
      <c r="J1022" s="19">
        <f>IFERROR(__xludf.DUMMYFUNCTION("""COMPUTED_VALUE"""),0.133)</f>
        <v>0.133</v>
      </c>
      <c r="K1022" s="19">
        <f>IFERROR(__xludf.DUMMYFUNCTION("""COMPUTED_VALUE"""),0.1663)</f>
        <v>0.1663</v>
      </c>
      <c r="L1022" s="19">
        <f>IFERROR(__xludf.DUMMYFUNCTION("""COMPUTED_VALUE"""),0.1995)</f>
        <v>0.1995</v>
      </c>
      <c r="M1022" s="18">
        <f>IFERROR(__xludf.DUMMYFUNCTION("""COMPUTED_VALUE"""),3.6)</f>
        <v>3.6</v>
      </c>
    </row>
    <row r="1023">
      <c r="A1023" s="13" t="str">
        <f>IFERROR(__xludf.DUMMYFUNCTION("""COMPUTED_VALUE"""),"товари")</f>
        <v>товари</v>
      </c>
      <c r="B1023" s="16" t="str">
        <f>IFERROR(__xludf.DUMMYFUNCTION("""COMPUTED_VALUE"""),"товари для дому")</f>
        <v>товари для дому</v>
      </c>
      <c r="C1023" s="16" t="str">
        <f>IFERROR(__xludf.DUMMYFUNCTION("""COMPUTED_VALUE"""),"приналежності для ванної та туалету")</f>
        <v>приналежності для ванної та туалету</v>
      </c>
      <c r="D1023" s="16" t="str">
        <f>IFERROR(__xludf.DUMMYFUNCTION("""COMPUTED_VALUE"""),"лазневі губки і мочалки ")</f>
        <v>лазневі губки і мочалки </v>
      </c>
      <c r="E1023" s="16" t="str">
        <f>IFERROR(__xludf.DUMMYFUNCTION("""COMPUTED_VALUE"""),"лазневі губки і мочалки ")</f>
        <v>лазневі губки і мочалки </v>
      </c>
      <c r="F1023" s="17">
        <f>IFERROR(__xludf.DUMMYFUNCTION("""COMPUTED_VALUE"""),3.0)</f>
        <v>3</v>
      </c>
      <c r="G1023" s="17" t="str">
        <f>IFERROR(__xludf.DUMMYFUNCTION("""COMPUTED_VALUE"""),"154007")</f>
        <v>154007</v>
      </c>
      <c r="H1023" s="17" t="str">
        <f>IFERROR(__xludf.DUMMYFUNCTION("""COMPUTED_VALUE"""),"лазневі губки і мочалки ")</f>
        <v>лазневі губки і мочалки </v>
      </c>
      <c r="I1023" s="19">
        <f>IFERROR(__xludf.DUMMYFUNCTION("""COMPUTED_VALUE"""),0.0747)</f>
        <v>0.0747</v>
      </c>
      <c r="J1023" s="19">
        <f>IFERROR(__xludf.DUMMYFUNCTION("""COMPUTED_VALUE"""),0.1494)</f>
        <v>0.1494</v>
      </c>
      <c r="K1023" s="19">
        <f>IFERROR(__xludf.DUMMYFUNCTION("""COMPUTED_VALUE"""),0.1868)</f>
        <v>0.1868</v>
      </c>
      <c r="L1023" s="19">
        <f>IFERROR(__xludf.DUMMYFUNCTION("""COMPUTED_VALUE"""),0.2241)</f>
        <v>0.2241</v>
      </c>
      <c r="M1023" s="18">
        <f>IFERROR(__xludf.DUMMYFUNCTION("""COMPUTED_VALUE"""),1.63)</f>
        <v>1.63</v>
      </c>
    </row>
    <row r="1024">
      <c r="A1024" s="13" t="str">
        <f>IFERROR(__xludf.DUMMYFUNCTION("""COMPUTED_VALUE"""),"товари")</f>
        <v>товари</v>
      </c>
      <c r="B1024" s="16" t="str">
        <f>IFERROR(__xludf.DUMMYFUNCTION("""COMPUTED_VALUE"""),"товари для дому")</f>
        <v>товари для дому</v>
      </c>
      <c r="C1024" s="16" t="str">
        <f>IFERROR(__xludf.DUMMYFUNCTION("""COMPUTED_VALUE"""),"текстиль")</f>
        <v>текстиль</v>
      </c>
      <c r="D1024" s="16" t="str">
        <f>IFERROR(__xludf.DUMMYFUNCTION("""COMPUTED_VALUE"""),"оформлення вікон")</f>
        <v>оформлення вікон</v>
      </c>
      <c r="E1024" s="16" t="str">
        <f>IFERROR(__xludf.DUMMYFUNCTION("""COMPUTED_VALUE"""),"ламбрекени")</f>
        <v>ламбрекени</v>
      </c>
      <c r="F1024" s="17">
        <f>IFERROR(__xludf.DUMMYFUNCTION("""COMPUTED_VALUE"""),4.0)</f>
        <v>4</v>
      </c>
      <c r="G1024" s="17" t="str">
        <f>IFERROR(__xludf.DUMMYFUNCTION("""COMPUTED_VALUE"""),"4050203")</f>
        <v>4050203</v>
      </c>
      <c r="H1024" s="17" t="str">
        <f>IFERROR(__xludf.DUMMYFUNCTION("""COMPUTED_VALUE"""),"ламбрекени")</f>
        <v>ламбрекени</v>
      </c>
      <c r="I1024" s="19">
        <f>IFERROR(__xludf.DUMMYFUNCTION("""COMPUTED_VALUE"""),0.0954)</f>
        <v>0.0954</v>
      </c>
      <c r="J1024" s="19">
        <f>IFERROR(__xludf.DUMMYFUNCTION("""COMPUTED_VALUE"""),0.1907)</f>
        <v>0.1907</v>
      </c>
      <c r="K1024" s="19">
        <f>IFERROR(__xludf.DUMMYFUNCTION("""COMPUTED_VALUE"""),0.2384)</f>
        <v>0.2384</v>
      </c>
      <c r="L1024" s="19">
        <f>IFERROR(__xludf.DUMMYFUNCTION("""COMPUTED_VALUE"""),0.2861)</f>
        <v>0.2861</v>
      </c>
      <c r="M1024" s="18">
        <f>IFERROR(__xludf.DUMMYFUNCTION("""COMPUTED_VALUE"""),1.53)</f>
        <v>1.53</v>
      </c>
    </row>
    <row r="1025">
      <c r="A1025" s="13" t="str">
        <f>IFERROR(__xludf.DUMMYFUNCTION("""COMPUTED_VALUE"""),"товари")</f>
        <v>товари</v>
      </c>
      <c r="B1025" s="16" t="str">
        <f>IFERROR(__xludf.DUMMYFUNCTION("""COMPUTED_VALUE"""),"товари для дому")</f>
        <v>товари для дому</v>
      </c>
      <c r="C1025" s="16" t="str">
        <f>IFERROR(__xludf.DUMMYFUNCTION("""COMPUTED_VALUE"""),"освітлення для дому")</f>
        <v>освітлення для дому</v>
      </c>
      <c r="D1025" s="16" t="str">
        <f>IFERROR(__xludf.DUMMYFUNCTION("""COMPUTED_VALUE"""),"лампочки")</f>
        <v>лампочки</v>
      </c>
      <c r="E1025" s="16" t="str">
        <f>IFERROR(__xludf.DUMMYFUNCTION("""COMPUTED_VALUE"""),"лампочки")</f>
        <v>лампочки</v>
      </c>
      <c r="F1025" s="17">
        <f>IFERROR(__xludf.DUMMYFUNCTION("""COMPUTED_VALUE"""),3.0)</f>
        <v>3</v>
      </c>
      <c r="G1025" s="17" t="str">
        <f>IFERROR(__xludf.DUMMYFUNCTION("""COMPUTED_VALUE"""),"150402")</f>
        <v>150402</v>
      </c>
      <c r="H1025" s="17" t="str">
        <f>IFERROR(__xludf.DUMMYFUNCTION("""COMPUTED_VALUE"""),"лампочки")</f>
        <v>лампочки</v>
      </c>
      <c r="I1025" s="19">
        <f>IFERROR(__xludf.DUMMYFUNCTION("""COMPUTED_VALUE"""),0.0744)</f>
        <v>0.0744</v>
      </c>
      <c r="J1025" s="19">
        <f>IFERROR(__xludf.DUMMYFUNCTION("""COMPUTED_VALUE"""),0.1488)</f>
        <v>0.1488</v>
      </c>
      <c r="K1025" s="19">
        <f>IFERROR(__xludf.DUMMYFUNCTION("""COMPUTED_VALUE"""),0.186)</f>
        <v>0.186</v>
      </c>
      <c r="L1025" s="19">
        <f>IFERROR(__xludf.DUMMYFUNCTION("""COMPUTED_VALUE"""),0.2232)</f>
        <v>0.2232</v>
      </c>
      <c r="M1025" s="18">
        <f>IFERROR(__xludf.DUMMYFUNCTION("""COMPUTED_VALUE"""),3.33)</f>
        <v>3.33</v>
      </c>
    </row>
    <row r="1026">
      <c r="A1026" s="13" t="str">
        <f>IFERROR(__xludf.DUMMYFUNCTION("""COMPUTED_VALUE"""),"товари")</f>
        <v>товари</v>
      </c>
      <c r="B1026" s="16" t="str">
        <f>IFERROR(__xludf.DUMMYFUNCTION("""COMPUTED_VALUE"""),"дача, сад і город")</f>
        <v>дача, сад і город</v>
      </c>
      <c r="C1026" s="16" t="str">
        <f>IFERROR(__xludf.DUMMYFUNCTION("""COMPUTED_VALUE"""),"садовий декор")</f>
        <v>садовий декор</v>
      </c>
      <c r="D1026" s="16" t="str">
        <f>IFERROR(__xludf.DUMMYFUNCTION("""COMPUTED_VALUE"""),"ландшафтний камінь")</f>
        <v>ландшафтний камінь</v>
      </c>
      <c r="E1026" s="16" t="str">
        <f>IFERROR(__xludf.DUMMYFUNCTION("""COMPUTED_VALUE"""),"ландшафтний камінь")</f>
        <v>ландшафтний камінь</v>
      </c>
      <c r="F1026" s="17">
        <f>IFERROR(__xludf.DUMMYFUNCTION("""COMPUTED_VALUE"""),3.0)</f>
        <v>3</v>
      </c>
      <c r="G1026" s="17" t="str">
        <f>IFERROR(__xludf.DUMMYFUNCTION("""COMPUTED_VALUE"""),"1252402")</f>
        <v>1252402</v>
      </c>
      <c r="H1026" s="17" t="str">
        <f>IFERROR(__xludf.DUMMYFUNCTION("""COMPUTED_VALUE"""),"ландшафтний камінь")</f>
        <v>ландшафтний камінь</v>
      </c>
      <c r="I1026" s="19">
        <f>IFERROR(__xludf.DUMMYFUNCTION("""COMPUTED_VALUE"""),0.0783)</f>
        <v>0.0783</v>
      </c>
      <c r="J1026" s="19">
        <f>IFERROR(__xludf.DUMMYFUNCTION("""COMPUTED_VALUE"""),0.1566)</f>
        <v>0.1566</v>
      </c>
      <c r="K1026" s="19">
        <f>IFERROR(__xludf.DUMMYFUNCTION("""COMPUTED_VALUE"""),0.1958)</f>
        <v>0.1958</v>
      </c>
      <c r="L1026" s="19">
        <f>IFERROR(__xludf.DUMMYFUNCTION("""COMPUTED_VALUE"""),0.2349)</f>
        <v>0.2349</v>
      </c>
      <c r="M1026" s="18">
        <f>IFERROR(__xludf.DUMMYFUNCTION("""COMPUTED_VALUE"""),1.53)</f>
        <v>1.53</v>
      </c>
    </row>
    <row r="1027">
      <c r="A1027" s="13" t="str">
        <f>IFERROR(__xludf.DUMMYFUNCTION("""COMPUTED_VALUE"""),"товари")</f>
        <v>товари</v>
      </c>
      <c r="B1027" s="16" t="str">
        <f>IFERROR(__xludf.DUMMYFUNCTION("""COMPUTED_VALUE"""),"дача, сад і город")</f>
        <v>дача, сад і город</v>
      </c>
      <c r="C1027" s="16" t="str">
        <f>IFERROR(__xludf.DUMMYFUNCTION("""COMPUTED_VALUE"""),"ландшафтні будови")</f>
        <v>ландшафтні будови</v>
      </c>
      <c r="D1027" s="16" t="str">
        <f>IFERROR(__xludf.DUMMYFUNCTION("""COMPUTED_VALUE"""),"ландшафтні будови, загальне")</f>
        <v>ландшафтні будови, загальне</v>
      </c>
      <c r="E1027" s="16" t="str">
        <f>IFERROR(__xludf.DUMMYFUNCTION("""COMPUTED_VALUE"""),"ландшафтні будови, загальне")</f>
        <v>ландшафтні будови, загальне</v>
      </c>
      <c r="F1027" s="17">
        <f>IFERROR(__xludf.DUMMYFUNCTION("""COMPUTED_VALUE"""),3.0)</f>
        <v>3</v>
      </c>
      <c r="G1027" s="17" t="str">
        <f>IFERROR(__xludf.DUMMYFUNCTION("""COMPUTED_VALUE"""),"130123")</f>
        <v>130123</v>
      </c>
      <c r="H1027" s="17" t="str">
        <f>IFERROR(__xludf.DUMMYFUNCTION("""COMPUTED_VALUE"""),"ландшафтні будови, загальне")</f>
        <v>ландшафтні будови, загальне</v>
      </c>
      <c r="I1027" s="19">
        <f>IFERROR(__xludf.DUMMYFUNCTION("""COMPUTED_VALUE"""),0.125)</f>
        <v>0.125</v>
      </c>
      <c r="J1027" s="19">
        <f>IFERROR(__xludf.DUMMYFUNCTION("""COMPUTED_VALUE"""),0.25)</f>
        <v>0.25</v>
      </c>
      <c r="K1027" s="19">
        <f>IFERROR(__xludf.DUMMYFUNCTION("""COMPUTED_VALUE"""),0.3125)</f>
        <v>0.3125</v>
      </c>
      <c r="L1027" s="19">
        <f>IFERROR(__xludf.DUMMYFUNCTION("""COMPUTED_VALUE"""),0.375)</f>
        <v>0.375</v>
      </c>
      <c r="M1027" s="18">
        <f>IFERROR(__xludf.DUMMYFUNCTION("""COMPUTED_VALUE"""),4.33)</f>
        <v>4.33</v>
      </c>
    </row>
    <row r="1028">
      <c r="A1028" s="13" t="str">
        <f>IFERROR(__xludf.DUMMYFUNCTION("""COMPUTED_VALUE"""),"товари")</f>
        <v>товари</v>
      </c>
      <c r="B1028" s="16" t="str">
        <f>IFERROR(__xludf.DUMMYFUNCTION("""COMPUTED_VALUE"""),"товари для дому")</f>
        <v>товари для дому</v>
      </c>
      <c r="C1028" s="16" t="str">
        <f>IFERROR(__xludf.DUMMYFUNCTION("""COMPUTED_VALUE"""),"посуд")</f>
        <v>посуд</v>
      </c>
      <c r="D1028" s="16" t="str">
        <f>IFERROR(__xludf.DUMMYFUNCTION("""COMPUTED_VALUE"""),"столовий посуд")</f>
        <v>столовий посуд</v>
      </c>
      <c r="E1028" s="16" t="str">
        <f>IFERROR(__xludf.DUMMYFUNCTION("""COMPUTED_VALUE"""),"ланч бокси")</f>
        <v>ланч бокси</v>
      </c>
      <c r="F1028" s="17">
        <f>IFERROR(__xludf.DUMMYFUNCTION("""COMPUTED_VALUE"""),4.0)</f>
        <v>4</v>
      </c>
      <c r="G1028" s="17" t="str">
        <f>IFERROR(__xludf.DUMMYFUNCTION("""COMPUTED_VALUE"""),"150207")</f>
        <v>150207</v>
      </c>
      <c r="H1028" s="17" t="str">
        <f>IFERROR(__xludf.DUMMYFUNCTION("""COMPUTED_VALUE"""),"ланч бокси")</f>
        <v>ланч бокси</v>
      </c>
      <c r="I1028" s="19">
        <f>IFERROR(__xludf.DUMMYFUNCTION("""COMPUTED_VALUE"""),0.0771)</f>
        <v>0.0771</v>
      </c>
      <c r="J1028" s="19">
        <f>IFERROR(__xludf.DUMMYFUNCTION("""COMPUTED_VALUE"""),0.1541)</f>
        <v>0.1541</v>
      </c>
      <c r="K1028" s="19">
        <f>IFERROR(__xludf.DUMMYFUNCTION("""COMPUTED_VALUE"""),0.1926)</f>
        <v>0.1926</v>
      </c>
      <c r="L1028" s="19">
        <f>IFERROR(__xludf.DUMMYFUNCTION("""COMPUTED_VALUE"""),0.2312)</f>
        <v>0.2312</v>
      </c>
      <c r="M1028" s="18">
        <f>IFERROR(__xludf.DUMMYFUNCTION("""COMPUTED_VALUE"""),2.08)</f>
        <v>2.08</v>
      </c>
    </row>
    <row r="1029">
      <c r="A1029" s="13" t="str">
        <f>IFERROR(__xludf.DUMMYFUNCTION("""COMPUTED_VALUE"""),"товари")</f>
        <v>товари</v>
      </c>
      <c r="B1029" s="16" t="str">
        <f>IFERROR(__xludf.DUMMYFUNCTION("""COMPUTED_VALUE"""),"товари для дому")</f>
        <v>товари для дому</v>
      </c>
      <c r="C1029" s="16" t="str">
        <f>IFERROR(__xludf.DUMMYFUNCTION("""COMPUTED_VALUE"""),"меблі")</f>
        <v>меблі</v>
      </c>
      <c r="D1029" s="16" t="str">
        <f>IFERROR(__xludf.DUMMYFUNCTION("""COMPUTED_VALUE"""),"ліжка та спальні гарнітури")</f>
        <v>ліжка та спальні гарнітури</v>
      </c>
      <c r="E1029" s="16" t="str">
        <f>IFERROR(__xludf.DUMMYFUNCTION("""COMPUTED_VALUE"""),"ліжка розкладачки")</f>
        <v>ліжка розкладачки</v>
      </c>
      <c r="F1029" s="17">
        <f>IFERROR(__xludf.DUMMYFUNCTION("""COMPUTED_VALUE"""),4.0)</f>
        <v>4</v>
      </c>
      <c r="G1029" s="17" t="str">
        <f>IFERROR(__xludf.DUMMYFUNCTION("""COMPUTED_VALUE"""),"3705")</f>
        <v>3705</v>
      </c>
      <c r="H1029" s="17" t="str">
        <f>IFERROR(__xludf.DUMMYFUNCTION("""COMPUTED_VALUE"""),"ліжка розкладачки")</f>
        <v>ліжка розкладачки</v>
      </c>
      <c r="I1029" s="19">
        <f>IFERROR(__xludf.DUMMYFUNCTION("""COMPUTED_VALUE"""),0.069)</f>
        <v>0.069</v>
      </c>
      <c r="J1029" s="19">
        <f>IFERROR(__xludf.DUMMYFUNCTION("""COMPUTED_VALUE"""),0.138)</f>
        <v>0.138</v>
      </c>
      <c r="K1029" s="19">
        <f>IFERROR(__xludf.DUMMYFUNCTION("""COMPUTED_VALUE"""),0.1725)</f>
        <v>0.1725</v>
      </c>
      <c r="L1029" s="19">
        <f>IFERROR(__xludf.DUMMYFUNCTION("""COMPUTED_VALUE"""),0.207)</f>
        <v>0.207</v>
      </c>
      <c r="M1029" s="18">
        <f>IFERROR(__xludf.DUMMYFUNCTION("""COMPUTED_VALUE"""),2.53)</f>
        <v>2.53</v>
      </c>
    </row>
    <row r="1030">
      <c r="A1030" s="13" t="str">
        <f>IFERROR(__xludf.DUMMYFUNCTION("""COMPUTED_VALUE"""),"товари")</f>
        <v>товари</v>
      </c>
      <c r="B1030" s="16" t="str">
        <f>IFERROR(__xludf.DUMMYFUNCTION("""COMPUTED_VALUE"""),"товари для дому")</f>
        <v>товари для дому</v>
      </c>
      <c r="C1030" s="16" t="str">
        <f>IFERROR(__xludf.DUMMYFUNCTION("""COMPUTED_VALUE"""),"меблі")</f>
        <v>меблі</v>
      </c>
      <c r="D1030" s="16" t="str">
        <f>IFERROR(__xludf.DUMMYFUNCTION("""COMPUTED_VALUE"""),"ліжка та спальні гарнітури")</f>
        <v>ліжка та спальні гарнітури</v>
      </c>
      <c r="E1030" s="16" t="str">
        <f>IFERROR(__xludf.DUMMYFUNCTION("""COMPUTED_VALUE"""),"ліжка, загальне")</f>
        <v>ліжка, загальне</v>
      </c>
      <c r="F1030" s="17">
        <f>IFERROR(__xludf.DUMMYFUNCTION("""COMPUTED_VALUE"""),4.0)</f>
        <v>4</v>
      </c>
      <c r="G1030" s="17" t="str">
        <f>IFERROR(__xludf.DUMMYFUNCTION("""COMPUTED_VALUE"""),"15034001")</f>
        <v>15034001</v>
      </c>
      <c r="H1030" s="17" t="str">
        <f>IFERROR(__xludf.DUMMYFUNCTION("""COMPUTED_VALUE"""),"ліжка, загальне")</f>
        <v>ліжка, загальне</v>
      </c>
      <c r="I1030" s="19">
        <f>IFERROR(__xludf.DUMMYFUNCTION("""COMPUTED_VALUE"""),0.125)</f>
        <v>0.125</v>
      </c>
      <c r="J1030" s="19">
        <f>IFERROR(__xludf.DUMMYFUNCTION("""COMPUTED_VALUE"""),0.25)</f>
        <v>0.25</v>
      </c>
      <c r="K1030" s="19">
        <f>IFERROR(__xludf.DUMMYFUNCTION("""COMPUTED_VALUE"""),0.3125)</f>
        <v>0.3125</v>
      </c>
      <c r="L1030" s="19">
        <f>IFERROR(__xludf.DUMMYFUNCTION("""COMPUTED_VALUE"""),0.375)</f>
        <v>0.375</v>
      </c>
      <c r="M1030" s="18">
        <f>IFERROR(__xludf.DUMMYFUNCTION("""COMPUTED_VALUE"""),4.33)</f>
        <v>4.33</v>
      </c>
    </row>
    <row r="1031">
      <c r="A1031" s="13" t="str">
        <f>IFERROR(__xludf.DUMMYFUNCTION("""COMPUTED_VALUE"""),"товари")</f>
        <v>товари</v>
      </c>
      <c r="B1031" s="16" t="str">
        <f>IFERROR(__xludf.DUMMYFUNCTION("""COMPUTED_VALUE"""),"товари для дому")</f>
        <v>товари для дому</v>
      </c>
      <c r="C1031" s="16" t="str">
        <f>IFERROR(__xludf.DUMMYFUNCTION("""COMPUTED_VALUE"""),"догляд за будинком")</f>
        <v>догляд за будинком</v>
      </c>
      <c r="D1031" s="16" t="str">
        <f>IFERROR(__xludf.DUMMYFUNCTION("""COMPUTED_VALUE"""),"догляд за кімнатними рослинами")</f>
        <v>догляд за кімнатними рослинами</v>
      </c>
      <c r="E1031" s="16" t="str">
        <f>IFERROR(__xludf.DUMMYFUNCTION("""COMPUTED_VALUE"""),"лійки для рослин")</f>
        <v>лійки для рослин</v>
      </c>
      <c r="F1031" s="17">
        <f>IFERROR(__xludf.DUMMYFUNCTION("""COMPUTED_VALUE"""),4.0)</f>
        <v>4</v>
      </c>
      <c r="G1031" s="17" t="str">
        <f>IFERROR(__xludf.DUMMYFUNCTION("""COMPUTED_VALUE"""),"1250338")</f>
        <v>1250338</v>
      </c>
      <c r="H1031" s="17" t="str">
        <f>IFERROR(__xludf.DUMMYFUNCTION("""COMPUTED_VALUE"""),"лійки для рослин")</f>
        <v>лійки для рослин</v>
      </c>
      <c r="I1031" s="19">
        <f>IFERROR(__xludf.DUMMYFUNCTION("""COMPUTED_VALUE"""),0.0746)</f>
        <v>0.0746</v>
      </c>
      <c r="J1031" s="19">
        <f>IFERROR(__xludf.DUMMYFUNCTION("""COMPUTED_VALUE"""),0.1492)</f>
        <v>0.1492</v>
      </c>
      <c r="K1031" s="19">
        <f>IFERROR(__xludf.DUMMYFUNCTION("""COMPUTED_VALUE"""),0.1865)</f>
        <v>0.1865</v>
      </c>
      <c r="L1031" s="19">
        <f>IFERROR(__xludf.DUMMYFUNCTION("""COMPUTED_VALUE"""),0.2238)</f>
        <v>0.2238</v>
      </c>
      <c r="M1031" s="18">
        <f>IFERROR(__xludf.DUMMYFUNCTION("""COMPUTED_VALUE"""),1.05)</f>
        <v>1.05</v>
      </c>
    </row>
    <row r="1032">
      <c r="A1032" s="13" t="str">
        <f>IFERROR(__xludf.DUMMYFUNCTION("""COMPUTED_VALUE"""),"товари")</f>
        <v>товари</v>
      </c>
      <c r="B1032" s="16" t="str">
        <f>IFERROR(__xludf.DUMMYFUNCTION("""COMPUTED_VALUE"""),"товари для дому")</f>
        <v>товари для дому</v>
      </c>
      <c r="C1032" s="16" t="str">
        <f>IFERROR(__xludf.DUMMYFUNCTION("""COMPUTED_VALUE"""),"посуд")</f>
        <v>посуд</v>
      </c>
      <c r="D1032" s="16" t="str">
        <f>IFERROR(__xludf.DUMMYFUNCTION("""COMPUTED_VALUE"""),"столовий посуд")</f>
        <v>столовий посуд</v>
      </c>
      <c r="E1032" s="16" t="str">
        <f>IFERROR(__xludf.DUMMYFUNCTION("""COMPUTED_VALUE"""),"ложки")</f>
        <v>ложки</v>
      </c>
      <c r="F1032" s="17">
        <f>IFERROR(__xludf.DUMMYFUNCTION("""COMPUTED_VALUE"""),4.0)</f>
        <v>4</v>
      </c>
      <c r="G1032" s="17" t="str">
        <f>IFERROR(__xludf.DUMMYFUNCTION("""COMPUTED_VALUE"""),"152218")</f>
        <v>152218</v>
      </c>
      <c r="H1032" s="17" t="str">
        <f>IFERROR(__xludf.DUMMYFUNCTION("""COMPUTED_VALUE"""),"ложки")</f>
        <v>ложки</v>
      </c>
      <c r="I1032" s="19">
        <f>IFERROR(__xludf.DUMMYFUNCTION("""COMPUTED_VALUE"""),0.0754)</f>
        <v>0.0754</v>
      </c>
      <c r="J1032" s="19">
        <f>IFERROR(__xludf.DUMMYFUNCTION("""COMPUTED_VALUE"""),0.1508)</f>
        <v>0.1508</v>
      </c>
      <c r="K1032" s="19">
        <f>IFERROR(__xludf.DUMMYFUNCTION("""COMPUTED_VALUE"""),0.1885)</f>
        <v>0.1885</v>
      </c>
      <c r="L1032" s="19">
        <f>IFERROR(__xludf.DUMMYFUNCTION("""COMPUTED_VALUE"""),0.2262)</f>
        <v>0.2262</v>
      </c>
      <c r="M1032" s="18">
        <f>IFERROR(__xludf.DUMMYFUNCTION("""COMPUTED_VALUE"""),2.08)</f>
        <v>2.08</v>
      </c>
    </row>
    <row r="1033">
      <c r="A1033" s="13" t="str">
        <f>IFERROR(__xludf.DUMMYFUNCTION("""COMPUTED_VALUE"""),"товари")</f>
        <v>товари</v>
      </c>
      <c r="B1033" s="16" t="str">
        <f>IFERROR(__xludf.DUMMYFUNCTION("""COMPUTED_VALUE"""),"товари для дому")</f>
        <v>товари для дому</v>
      </c>
      <c r="C1033" s="16" t="str">
        <f>IFERROR(__xludf.DUMMYFUNCTION("""COMPUTED_VALUE"""),"догляд за будинком")</f>
        <v>догляд за будинком</v>
      </c>
      <c r="D1033" s="16" t="str">
        <f>IFERROR(__xludf.DUMMYFUNCTION("""COMPUTED_VALUE"""),"догляд за особистими речами")</f>
        <v>догляд за особистими речами</v>
      </c>
      <c r="E1033" s="16" t="str">
        <f>IFERROR(__xludf.DUMMYFUNCTION("""COMPUTED_VALUE"""),"ложки для взуття")</f>
        <v>ложки для взуття</v>
      </c>
      <c r="F1033" s="17">
        <f>IFERROR(__xludf.DUMMYFUNCTION("""COMPUTED_VALUE"""),4.0)</f>
        <v>4</v>
      </c>
      <c r="G1033" s="17" t="str">
        <f>IFERROR(__xludf.DUMMYFUNCTION("""COMPUTED_VALUE"""),"3221022")</f>
        <v>3221022</v>
      </c>
      <c r="H1033" s="17" t="str">
        <f>IFERROR(__xludf.DUMMYFUNCTION("""COMPUTED_VALUE"""),"ложки для взуття")</f>
        <v>ложки для взуття</v>
      </c>
      <c r="I1033" s="19">
        <f>IFERROR(__xludf.DUMMYFUNCTION("""COMPUTED_VALUE"""),0.0914)</f>
        <v>0.0914</v>
      </c>
      <c r="J1033" s="19">
        <f>IFERROR(__xludf.DUMMYFUNCTION("""COMPUTED_VALUE"""),0.1828)</f>
        <v>0.1828</v>
      </c>
      <c r="K1033" s="19">
        <f>IFERROR(__xludf.DUMMYFUNCTION("""COMPUTED_VALUE"""),0.2285)</f>
        <v>0.2285</v>
      </c>
      <c r="L1033" s="19">
        <f>IFERROR(__xludf.DUMMYFUNCTION("""COMPUTED_VALUE"""),0.2742)</f>
        <v>0.2742</v>
      </c>
      <c r="M1033" s="18">
        <f>IFERROR(__xludf.DUMMYFUNCTION("""COMPUTED_VALUE"""),1.98)</f>
        <v>1.98</v>
      </c>
    </row>
    <row r="1034">
      <c r="A1034" s="13" t="str">
        <f>IFERROR(__xludf.DUMMYFUNCTION("""COMPUTED_VALUE"""),"товари")</f>
        <v>товари</v>
      </c>
      <c r="B1034" s="16" t="str">
        <f>IFERROR(__xludf.DUMMYFUNCTION("""COMPUTED_VALUE"""),"дача, сад і город")</f>
        <v>дача, сад і город</v>
      </c>
      <c r="C1034" s="16" t="str">
        <f>IFERROR(__xludf.DUMMYFUNCTION("""COMPUTED_VALUE"""),"інструменти для обробки грунту")</f>
        <v>інструменти для обробки грунту</v>
      </c>
      <c r="D1034" s="16" t="str">
        <f>IFERROR(__xludf.DUMMYFUNCTION("""COMPUTED_VALUE"""),"лопати")</f>
        <v>лопати</v>
      </c>
      <c r="E1034" s="16" t="str">
        <f>IFERROR(__xludf.DUMMYFUNCTION("""COMPUTED_VALUE"""),"лопати")</f>
        <v>лопати</v>
      </c>
      <c r="F1034" s="17">
        <f>IFERROR(__xludf.DUMMYFUNCTION("""COMPUTED_VALUE"""),3.0)</f>
        <v>3</v>
      </c>
      <c r="G1034" s="17" t="str">
        <f>IFERROR(__xludf.DUMMYFUNCTION("""COMPUTED_VALUE"""),"14201602")</f>
        <v>14201602</v>
      </c>
      <c r="H1034" s="17" t="str">
        <f>IFERROR(__xludf.DUMMYFUNCTION("""COMPUTED_VALUE"""),"лопати")</f>
        <v>лопати</v>
      </c>
      <c r="I1034" s="19">
        <f>IFERROR(__xludf.DUMMYFUNCTION("""COMPUTED_VALUE"""),0.0737)</f>
        <v>0.0737</v>
      </c>
      <c r="J1034" s="19">
        <f>IFERROR(__xludf.DUMMYFUNCTION("""COMPUTED_VALUE"""),0.1473)</f>
        <v>0.1473</v>
      </c>
      <c r="K1034" s="19">
        <f>IFERROR(__xludf.DUMMYFUNCTION("""COMPUTED_VALUE"""),0.1841)</f>
        <v>0.1841</v>
      </c>
      <c r="L1034" s="19">
        <f>IFERROR(__xludf.DUMMYFUNCTION("""COMPUTED_VALUE"""),0.221)</f>
        <v>0.221</v>
      </c>
      <c r="M1034" s="18">
        <f>IFERROR(__xludf.DUMMYFUNCTION("""COMPUTED_VALUE"""),1.71)</f>
        <v>1.71</v>
      </c>
    </row>
    <row r="1035">
      <c r="A1035" s="13" t="str">
        <f>IFERROR(__xludf.DUMMYFUNCTION("""COMPUTED_VALUE"""),"товари")</f>
        <v>товари</v>
      </c>
      <c r="B1035" s="16" t="str">
        <f>IFERROR(__xludf.DUMMYFUNCTION("""COMPUTED_VALUE"""),"товари для дому")</f>
        <v>товари для дому</v>
      </c>
      <c r="C1035" s="16" t="str">
        <f>IFERROR(__xludf.DUMMYFUNCTION("""COMPUTED_VALUE"""),"посуд")</f>
        <v>посуд</v>
      </c>
      <c r="D1035" s="16" t="str">
        <f>IFERROR(__xludf.DUMMYFUNCTION("""COMPUTED_VALUE"""),"кухонне приладдя")</f>
        <v>кухонне приладдя</v>
      </c>
      <c r="E1035" s="16" t="str">
        <f>IFERROR(__xludf.DUMMYFUNCTION("""COMPUTED_VALUE"""),"лопати для піци")</f>
        <v>лопати для піци</v>
      </c>
      <c r="F1035" s="17">
        <f>IFERROR(__xludf.DUMMYFUNCTION("""COMPUTED_VALUE"""),4.0)</f>
        <v>4</v>
      </c>
      <c r="G1035" s="17" t="str">
        <f>IFERROR(__xludf.DUMMYFUNCTION("""COMPUTED_VALUE"""),"15230449")</f>
        <v>15230449</v>
      </c>
      <c r="H1035" s="17" t="str">
        <f>IFERROR(__xludf.DUMMYFUNCTION("""COMPUTED_VALUE"""),"лопати для піци")</f>
        <v>лопати для піци</v>
      </c>
      <c r="I1035" s="19">
        <f>IFERROR(__xludf.DUMMYFUNCTION("""COMPUTED_VALUE"""),0.078)</f>
        <v>0.078</v>
      </c>
      <c r="J1035" s="19">
        <f>IFERROR(__xludf.DUMMYFUNCTION("""COMPUTED_VALUE"""),0.156)</f>
        <v>0.156</v>
      </c>
      <c r="K1035" s="19">
        <f>IFERROR(__xludf.DUMMYFUNCTION("""COMPUTED_VALUE"""),0.195)</f>
        <v>0.195</v>
      </c>
      <c r="L1035" s="19">
        <f>IFERROR(__xludf.DUMMYFUNCTION("""COMPUTED_VALUE"""),0.234)</f>
        <v>0.234</v>
      </c>
      <c r="M1035" s="18">
        <f>IFERROR(__xludf.DUMMYFUNCTION("""COMPUTED_VALUE"""),2.08)</f>
        <v>2.08</v>
      </c>
    </row>
    <row r="1036">
      <c r="A1036" s="13" t="str">
        <f>IFERROR(__xludf.DUMMYFUNCTION("""COMPUTED_VALUE"""),"товари")</f>
        <v>товари</v>
      </c>
      <c r="B1036" s="16" t="str">
        <f>IFERROR(__xludf.DUMMYFUNCTION("""COMPUTED_VALUE"""),"товари для дому")</f>
        <v>товари для дому</v>
      </c>
      <c r="C1036" s="16" t="str">
        <f>IFERROR(__xludf.DUMMYFUNCTION("""COMPUTED_VALUE"""),"меблі")</f>
        <v>меблі</v>
      </c>
      <c r="D1036" s="16" t="str">
        <f>IFERROR(__xludf.DUMMYFUNCTION("""COMPUTED_VALUE"""),"крісла")</f>
        <v>крісла</v>
      </c>
      <c r="E1036" s="16" t="str">
        <f>IFERROR(__xludf.DUMMYFUNCTION("""COMPUTED_VALUE"""),"м'які крісла")</f>
        <v>м'які крісла</v>
      </c>
      <c r="F1036" s="17">
        <f>IFERROR(__xludf.DUMMYFUNCTION("""COMPUTED_VALUE"""),4.0)</f>
        <v>4</v>
      </c>
      <c r="G1036" s="17" t="str">
        <f>IFERROR(__xludf.DUMMYFUNCTION("""COMPUTED_VALUE"""),"37034004")</f>
        <v>37034004</v>
      </c>
      <c r="H1036" s="17" t="str">
        <f>IFERROR(__xludf.DUMMYFUNCTION("""COMPUTED_VALUE"""),"м'які крісла")</f>
        <v>м'які крісла</v>
      </c>
      <c r="I1036" s="19">
        <f>IFERROR(__xludf.DUMMYFUNCTION("""COMPUTED_VALUE"""),0.0665)</f>
        <v>0.0665</v>
      </c>
      <c r="J1036" s="19">
        <f>IFERROR(__xludf.DUMMYFUNCTION("""COMPUTED_VALUE"""),0.133)</f>
        <v>0.133</v>
      </c>
      <c r="K1036" s="19">
        <f>IFERROR(__xludf.DUMMYFUNCTION("""COMPUTED_VALUE"""),0.1663)</f>
        <v>0.1663</v>
      </c>
      <c r="L1036" s="19">
        <f>IFERROR(__xludf.DUMMYFUNCTION("""COMPUTED_VALUE"""),0.1995)</f>
        <v>0.1995</v>
      </c>
      <c r="M1036" s="18">
        <f>IFERROR(__xludf.DUMMYFUNCTION("""COMPUTED_VALUE"""),2.16)</f>
        <v>2.16</v>
      </c>
    </row>
    <row r="1037">
      <c r="A1037" s="13" t="str">
        <f>IFERROR(__xludf.DUMMYFUNCTION("""COMPUTED_VALUE"""),"товари")</f>
        <v>товари</v>
      </c>
      <c r="B1037" s="16" t="str">
        <f>IFERROR(__xludf.DUMMYFUNCTION("""COMPUTED_VALUE"""),"дача, сад і город")</f>
        <v>дача, сад і город</v>
      </c>
      <c r="C1037" s="16" t="str">
        <f>IFERROR(__xludf.DUMMYFUNCTION("""COMPUTED_VALUE"""),"аксесуари для барбекю")</f>
        <v>аксесуари для барбекю</v>
      </c>
      <c r="D1037" s="16" t="str">
        <f>IFERROR(__xludf.DUMMYFUNCTION("""COMPUTED_VALUE"""),"мангали, грилі і барбекю")</f>
        <v>мангали, грилі і барбекю</v>
      </c>
      <c r="E1037" s="16" t="str">
        <f>IFERROR(__xludf.DUMMYFUNCTION("""COMPUTED_VALUE"""),"мангали, грилі і барбекю")</f>
        <v>мангали, грилі і барбекю</v>
      </c>
      <c r="F1037" s="17">
        <f>IFERROR(__xludf.DUMMYFUNCTION("""COMPUTED_VALUE"""),3.0)</f>
        <v>3</v>
      </c>
      <c r="G1037" s="17" t="str">
        <f>IFERROR(__xludf.DUMMYFUNCTION("""COMPUTED_VALUE"""),"1506")</f>
        <v>1506</v>
      </c>
      <c r="H1037" s="17" t="str">
        <f>IFERROR(__xludf.DUMMYFUNCTION("""COMPUTED_VALUE"""),"мангали, грилі і барбекю")</f>
        <v>мангали, грилі і барбекю</v>
      </c>
      <c r="I1037" s="19">
        <f>IFERROR(__xludf.DUMMYFUNCTION("""COMPUTED_VALUE"""),0.0722)</f>
        <v>0.0722</v>
      </c>
      <c r="J1037" s="19">
        <f>IFERROR(__xludf.DUMMYFUNCTION("""COMPUTED_VALUE"""),0.1443)</f>
        <v>0.1443</v>
      </c>
      <c r="K1037" s="19">
        <f>IFERROR(__xludf.DUMMYFUNCTION("""COMPUTED_VALUE"""),0.1804)</f>
        <v>0.1804</v>
      </c>
      <c r="L1037" s="19">
        <f>IFERROR(__xludf.DUMMYFUNCTION("""COMPUTED_VALUE"""),0.2165)</f>
        <v>0.2165</v>
      </c>
      <c r="M1037" s="18">
        <f>IFERROR(__xludf.DUMMYFUNCTION("""COMPUTED_VALUE"""),3.98)</f>
        <v>3.98</v>
      </c>
    </row>
    <row r="1038">
      <c r="A1038" s="13" t="str">
        <f>IFERROR(__xludf.DUMMYFUNCTION("""COMPUTED_VALUE"""),"товари")</f>
        <v>товари</v>
      </c>
      <c r="B1038" s="16" t="str">
        <f>IFERROR(__xludf.DUMMYFUNCTION("""COMPUTED_VALUE"""),"товари для дому")</f>
        <v>товари для дому</v>
      </c>
      <c r="C1038" s="16" t="str">
        <f>IFERROR(__xludf.DUMMYFUNCTION("""COMPUTED_VALUE"""),"текстиль")</f>
        <v>текстиль</v>
      </c>
      <c r="D1038" s="16" t="str">
        <f>IFERROR(__xludf.DUMMYFUNCTION("""COMPUTED_VALUE"""),"матраци")</f>
        <v>матраци</v>
      </c>
      <c r="E1038" s="16" t="str">
        <f>IFERROR(__xludf.DUMMYFUNCTION("""COMPUTED_VALUE"""),"матраци")</f>
        <v>матраци</v>
      </c>
      <c r="F1038" s="17">
        <f>IFERROR(__xludf.DUMMYFUNCTION("""COMPUTED_VALUE"""),3.0)</f>
        <v>3</v>
      </c>
      <c r="G1038" s="17" t="str">
        <f>IFERROR(__xludf.DUMMYFUNCTION("""COMPUTED_VALUE"""),"15030701")</f>
        <v>15030701</v>
      </c>
      <c r="H1038" s="17" t="str">
        <f>IFERROR(__xludf.DUMMYFUNCTION("""COMPUTED_VALUE"""),"матраци")</f>
        <v>матраци</v>
      </c>
      <c r="I1038" s="19">
        <f>IFERROR(__xludf.DUMMYFUNCTION("""COMPUTED_VALUE"""),0.0656)</f>
        <v>0.0656</v>
      </c>
      <c r="J1038" s="19">
        <f>IFERROR(__xludf.DUMMYFUNCTION("""COMPUTED_VALUE"""),0.1312)</f>
        <v>0.1312</v>
      </c>
      <c r="K1038" s="19">
        <f>IFERROR(__xludf.DUMMYFUNCTION("""COMPUTED_VALUE"""),0.164)</f>
        <v>0.164</v>
      </c>
      <c r="L1038" s="19">
        <f>IFERROR(__xludf.DUMMYFUNCTION("""COMPUTED_VALUE"""),0.1968)</f>
        <v>0.1968</v>
      </c>
      <c r="M1038" s="18">
        <f>IFERROR(__xludf.DUMMYFUNCTION("""COMPUTED_VALUE"""),2.53)</f>
        <v>2.53</v>
      </c>
    </row>
    <row r="1039">
      <c r="A1039" s="13" t="str">
        <f>IFERROR(__xludf.DUMMYFUNCTION("""COMPUTED_VALUE"""),"товари")</f>
        <v>товари</v>
      </c>
      <c r="B1039" s="16" t="str">
        <f>IFERROR(__xludf.DUMMYFUNCTION("""COMPUTED_VALUE"""),"товари для дому")</f>
        <v>товари для дому</v>
      </c>
      <c r="C1039" s="16" t="str">
        <f>IFERROR(__xludf.DUMMYFUNCTION("""COMPUTED_VALUE"""),"догляд за будинком")</f>
        <v>догляд за будинком</v>
      </c>
      <c r="D1039" s="16" t="str">
        <f>IFERROR(__xludf.DUMMYFUNCTION("""COMPUTED_VALUE"""),"догляд за особистими речами")</f>
        <v>догляд за особистими речами</v>
      </c>
      <c r="E1039" s="16" t="str">
        <f>IFERROR(__xludf.DUMMYFUNCTION("""COMPUTED_VALUE"""),"машини для чищення взуття")</f>
        <v>машини для чищення взуття</v>
      </c>
      <c r="F1039" s="17">
        <f>IFERROR(__xludf.DUMMYFUNCTION("""COMPUTED_VALUE"""),4.0)</f>
        <v>4</v>
      </c>
      <c r="G1039" s="17" t="str">
        <f>IFERROR(__xludf.DUMMYFUNCTION("""COMPUTED_VALUE"""),"322100304")</f>
        <v>322100304</v>
      </c>
      <c r="H1039" s="17" t="str">
        <f>IFERROR(__xludf.DUMMYFUNCTION("""COMPUTED_VALUE"""),"машини для чищення взуття")</f>
        <v>машини для чищення взуття</v>
      </c>
      <c r="I1039" s="19">
        <f>IFERROR(__xludf.DUMMYFUNCTION("""COMPUTED_VALUE"""),0.0914)</f>
        <v>0.0914</v>
      </c>
      <c r="J1039" s="19">
        <f>IFERROR(__xludf.DUMMYFUNCTION("""COMPUTED_VALUE"""),0.1828)</f>
        <v>0.1828</v>
      </c>
      <c r="K1039" s="19">
        <f>IFERROR(__xludf.DUMMYFUNCTION("""COMPUTED_VALUE"""),0.2285)</f>
        <v>0.2285</v>
      </c>
      <c r="L1039" s="19">
        <f>IFERROR(__xludf.DUMMYFUNCTION("""COMPUTED_VALUE"""),0.2742)</f>
        <v>0.2742</v>
      </c>
      <c r="M1039" s="18">
        <f>IFERROR(__xludf.DUMMYFUNCTION("""COMPUTED_VALUE"""),1.98)</f>
        <v>1.98</v>
      </c>
    </row>
    <row r="1040">
      <c r="A1040" s="13" t="str">
        <f>IFERROR(__xludf.DUMMYFUNCTION("""COMPUTED_VALUE"""),"товари")</f>
        <v>товари</v>
      </c>
      <c r="B1040" s="16" t="str">
        <f>IFERROR(__xludf.DUMMYFUNCTION("""COMPUTED_VALUE"""),"товари для дому")</f>
        <v>товари для дому</v>
      </c>
      <c r="C1040" s="16" t="str">
        <f>IFERROR(__xludf.DUMMYFUNCTION("""COMPUTED_VALUE"""),"посуд")</f>
        <v>посуд</v>
      </c>
      <c r="D1040" s="16" t="str">
        <f>IFERROR(__xludf.DUMMYFUNCTION("""COMPUTED_VALUE"""),"кухонне приладдя")</f>
        <v>кухонне приладдя</v>
      </c>
      <c r="E1040" s="16" t="str">
        <f>IFERROR(__xludf.DUMMYFUNCTION("""COMPUTED_VALUE"""),"машинки для ролів і голубців")</f>
        <v>машинки для ролів і голубців</v>
      </c>
      <c r="F1040" s="17">
        <f>IFERROR(__xludf.DUMMYFUNCTION("""COMPUTED_VALUE"""),4.0)</f>
        <v>4</v>
      </c>
      <c r="G1040" s="17" t="str">
        <f>IFERROR(__xludf.DUMMYFUNCTION("""COMPUTED_VALUE"""),"15230445")</f>
        <v>15230445</v>
      </c>
      <c r="H1040" s="17" t="str">
        <f>IFERROR(__xludf.DUMMYFUNCTION("""COMPUTED_VALUE"""),"машинки для ролів і голубців")</f>
        <v>машинки для ролів і голубців</v>
      </c>
      <c r="I1040" s="19">
        <f>IFERROR(__xludf.DUMMYFUNCTION("""COMPUTED_VALUE"""),0.0712)</f>
        <v>0.0712</v>
      </c>
      <c r="J1040" s="19">
        <f>IFERROR(__xludf.DUMMYFUNCTION("""COMPUTED_VALUE"""),0.1423)</f>
        <v>0.1423</v>
      </c>
      <c r="K1040" s="19">
        <f>IFERROR(__xludf.DUMMYFUNCTION("""COMPUTED_VALUE"""),0.1779)</f>
        <v>0.1779</v>
      </c>
      <c r="L1040" s="19">
        <f>IFERROR(__xludf.DUMMYFUNCTION("""COMPUTED_VALUE"""),0.2135)</f>
        <v>0.2135</v>
      </c>
      <c r="M1040" s="18">
        <f>IFERROR(__xludf.DUMMYFUNCTION("""COMPUTED_VALUE"""),2.08)</f>
        <v>2.08</v>
      </c>
    </row>
    <row r="1041">
      <c r="A1041" s="13" t="str">
        <f>IFERROR(__xludf.DUMMYFUNCTION("""COMPUTED_VALUE"""),"товари")</f>
        <v>товари</v>
      </c>
      <c r="B1041" s="16" t="str">
        <f>IFERROR(__xludf.DUMMYFUNCTION("""COMPUTED_VALUE"""),"товари для дому")</f>
        <v>товари для дому</v>
      </c>
      <c r="C1041" s="16" t="str">
        <f>IFERROR(__xludf.DUMMYFUNCTION("""COMPUTED_VALUE"""),"меблі")</f>
        <v>меблі</v>
      </c>
      <c r="D1041" s="16" t="str">
        <f>IFERROR(__xludf.DUMMYFUNCTION("""COMPUTED_VALUE"""),"комплектуючі для меблів")</f>
        <v>комплектуючі для меблів</v>
      </c>
      <c r="E1041" s="16" t="str">
        <f>IFERROR(__xludf.DUMMYFUNCTION("""COMPUTED_VALUE"""),"меблева кромка ")</f>
        <v>меблева кромка </v>
      </c>
      <c r="F1041" s="17">
        <f>IFERROR(__xludf.DUMMYFUNCTION("""COMPUTED_VALUE"""),4.0)</f>
        <v>4</v>
      </c>
      <c r="G1041" s="17" t="str">
        <f>IFERROR(__xludf.DUMMYFUNCTION("""COMPUTED_VALUE"""),"15030603")</f>
        <v>15030603</v>
      </c>
      <c r="H1041" s="17" t="str">
        <f>IFERROR(__xludf.DUMMYFUNCTION("""COMPUTED_VALUE"""),"меблева кромка ")</f>
        <v>меблева кромка </v>
      </c>
      <c r="I1041" s="19">
        <f>IFERROR(__xludf.DUMMYFUNCTION("""COMPUTED_VALUE"""),0.0665)</f>
        <v>0.0665</v>
      </c>
      <c r="J1041" s="19">
        <f>IFERROR(__xludf.DUMMYFUNCTION("""COMPUTED_VALUE"""),0.133)</f>
        <v>0.133</v>
      </c>
      <c r="K1041" s="19">
        <f>IFERROR(__xludf.DUMMYFUNCTION("""COMPUTED_VALUE"""),0.1663)</f>
        <v>0.1663</v>
      </c>
      <c r="L1041" s="19">
        <f>IFERROR(__xludf.DUMMYFUNCTION("""COMPUTED_VALUE"""),0.1995)</f>
        <v>0.1995</v>
      </c>
      <c r="M1041" s="18">
        <f>IFERROR(__xludf.DUMMYFUNCTION("""COMPUTED_VALUE"""),1.98)</f>
        <v>1.98</v>
      </c>
    </row>
    <row r="1042">
      <c r="A1042" s="13" t="str">
        <f>IFERROR(__xludf.DUMMYFUNCTION("""COMPUTED_VALUE"""),"товари")</f>
        <v>товари</v>
      </c>
      <c r="B1042" s="16" t="str">
        <f>IFERROR(__xludf.DUMMYFUNCTION("""COMPUTED_VALUE"""),"товари для дому")</f>
        <v>товари для дому</v>
      </c>
      <c r="C1042" s="16" t="str">
        <f>IFERROR(__xludf.DUMMYFUNCTION("""COMPUTED_VALUE"""),"меблі")</f>
        <v>меблі</v>
      </c>
      <c r="D1042" s="16" t="str">
        <f>IFERROR(__xludf.DUMMYFUNCTION("""COMPUTED_VALUE"""),"комплектуючі для меблів")</f>
        <v>комплектуючі для меблів</v>
      </c>
      <c r="E1042" s="16" t="str">
        <f>IFERROR(__xludf.DUMMYFUNCTION("""COMPUTED_VALUE"""),"меблева фурнітура")</f>
        <v>меблева фурнітура</v>
      </c>
      <c r="F1042" s="17">
        <f>IFERROR(__xludf.DUMMYFUNCTION("""COMPUTED_VALUE"""),4.0)</f>
        <v>4</v>
      </c>
      <c r="G1042" s="17" t="str">
        <f>IFERROR(__xludf.DUMMYFUNCTION("""COMPUTED_VALUE"""),"370827")</f>
        <v>370827</v>
      </c>
      <c r="H1042" s="17" t="str">
        <f>IFERROR(__xludf.DUMMYFUNCTION("""COMPUTED_VALUE"""),"меблева фурнітура")</f>
        <v>меблева фурнітура</v>
      </c>
      <c r="I1042" s="19">
        <f>IFERROR(__xludf.DUMMYFUNCTION("""COMPUTED_VALUE"""),0.0665)</f>
        <v>0.0665</v>
      </c>
      <c r="J1042" s="19">
        <f>IFERROR(__xludf.DUMMYFUNCTION("""COMPUTED_VALUE"""),0.133)</f>
        <v>0.133</v>
      </c>
      <c r="K1042" s="19">
        <f>IFERROR(__xludf.DUMMYFUNCTION("""COMPUTED_VALUE"""),0.1663)</f>
        <v>0.1663</v>
      </c>
      <c r="L1042" s="19">
        <f>IFERROR(__xludf.DUMMYFUNCTION("""COMPUTED_VALUE"""),0.1995)</f>
        <v>0.1995</v>
      </c>
      <c r="M1042" s="18">
        <f>IFERROR(__xludf.DUMMYFUNCTION("""COMPUTED_VALUE"""),1.98)</f>
        <v>1.98</v>
      </c>
    </row>
    <row r="1043">
      <c r="A1043" s="13" t="str">
        <f>IFERROR(__xludf.DUMMYFUNCTION("""COMPUTED_VALUE"""),"товари")</f>
        <v>товари</v>
      </c>
      <c r="B1043" s="16" t="str">
        <f>IFERROR(__xludf.DUMMYFUNCTION("""COMPUTED_VALUE"""),"товари для дому")</f>
        <v>товари для дому</v>
      </c>
      <c r="C1043" s="16" t="str">
        <f>IFERROR(__xludf.DUMMYFUNCTION("""COMPUTED_VALUE"""),"меблі")</f>
        <v>меблі</v>
      </c>
      <c r="D1043" s="16" t="str">
        <f>IFERROR(__xludf.DUMMYFUNCTION("""COMPUTED_VALUE"""),"комплектуючі для меблів")</f>
        <v>комплектуючі для меблів</v>
      </c>
      <c r="E1043" s="16" t="str">
        <f>IFERROR(__xludf.DUMMYFUNCTION("""COMPUTED_VALUE"""),"меблеві амортизатори і демпфери")</f>
        <v>меблеві амортизатори і демпфери</v>
      </c>
      <c r="F1043" s="17">
        <f>IFERROR(__xludf.DUMMYFUNCTION("""COMPUTED_VALUE"""),4.0)</f>
        <v>4</v>
      </c>
      <c r="G1043" s="17" t="str">
        <f>IFERROR(__xludf.DUMMYFUNCTION("""COMPUTED_VALUE"""),"15030616")</f>
        <v>15030616</v>
      </c>
      <c r="H1043" s="17" t="str">
        <f>IFERROR(__xludf.DUMMYFUNCTION("""COMPUTED_VALUE"""),"меблеві амортизатори і демпфери")</f>
        <v>меблеві амортизатори і демпфери</v>
      </c>
      <c r="I1043" s="19">
        <f>IFERROR(__xludf.DUMMYFUNCTION("""COMPUTED_VALUE"""),0.0665)</f>
        <v>0.0665</v>
      </c>
      <c r="J1043" s="19">
        <f>IFERROR(__xludf.DUMMYFUNCTION("""COMPUTED_VALUE"""),0.133)</f>
        <v>0.133</v>
      </c>
      <c r="K1043" s="19">
        <f>IFERROR(__xludf.DUMMYFUNCTION("""COMPUTED_VALUE"""),0.1663)</f>
        <v>0.1663</v>
      </c>
      <c r="L1043" s="19">
        <f>IFERROR(__xludf.DUMMYFUNCTION("""COMPUTED_VALUE"""),0.1995)</f>
        <v>0.1995</v>
      </c>
      <c r="M1043" s="18">
        <f>IFERROR(__xludf.DUMMYFUNCTION("""COMPUTED_VALUE"""),1.98)</f>
        <v>1.98</v>
      </c>
    </row>
    <row r="1044">
      <c r="A1044" s="13" t="str">
        <f>IFERROR(__xludf.DUMMYFUNCTION("""COMPUTED_VALUE"""),"товари")</f>
        <v>товари</v>
      </c>
      <c r="B1044" s="16" t="str">
        <f>IFERROR(__xludf.DUMMYFUNCTION("""COMPUTED_VALUE"""),"товари для дому")</f>
        <v>товари для дому</v>
      </c>
      <c r="C1044" s="16" t="str">
        <f>IFERROR(__xludf.DUMMYFUNCTION("""COMPUTED_VALUE"""),"меблі")</f>
        <v>меблі</v>
      </c>
      <c r="D1044" s="16" t="str">
        <f>IFERROR(__xludf.DUMMYFUNCTION("""COMPUTED_VALUE"""),"комплектуючі для меблів")</f>
        <v>комплектуючі для меблів</v>
      </c>
      <c r="E1044" s="16" t="str">
        <f>IFERROR(__xludf.DUMMYFUNCTION("""COMPUTED_VALUE"""),"меблеві гачки і підвіси")</f>
        <v>меблеві гачки і підвіси</v>
      </c>
      <c r="F1044" s="17">
        <f>IFERROR(__xludf.DUMMYFUNCTION("""COMPUTED_VALUE"""),4.0)</f>
        <v>4</v>
      </c>
      <c r="G1044" s="17" t="str">
        <f>IFERROR(__xludf.DUMMYFUNCTION("""COMPUTED_VALUE"""),"371105")</f>
        <v>371105</v>
      </c>
      <c r="H1044" s="17" t="str">
        <f>IFERROR(__xludf.DUMMYFUNCTION("""COMPUTED_VALUE"""),"меблеві гачки і підвіси")</f>
        <v>меблеві гачки і підвіси</v>
      </c>
      <c r="I1044" s="19">
        <f>IFERROR(__xludf.DUMMYFUNCTION("""COMPUTED_VALUE"""),0.0665)</f>
        <v>0.0665</v>
      </c>
      <c r="J1044" s="19">
        <f>IFERROR(__xludf.DUMMYFUNCTION("""COMPUTED_VALUE"""),0.133)</f>
        <v>0.133</v>
      </c>
      <c r="K1044" s="19">
        <f>IFERROR(__xludf.DUMMYFUNCTION("""COMPUTED_VALUE"""),0.1663)</f>
        <v>0.1663</v>
      </c>
      <c r="L1044" s="19">
        <f>IFERROR(__xludf.DUMMYFUNCTION("""COMPUTED_VALUE"""),0.1995)</f>
        <v>0.1995</v>
      </c>
      <c r="M1044" s="18">
        <f>IFERROR(__xludf.DUMMYFUNCTION("""COMPUTED_VALUE"""),1.98)</f>
        <v>1.98</v>
      </c>
    </row>
    <row r="1045">
      <c r="A1045" s="13" t="str">
        <f>IFERROR(__xludf.DUMMYFUNCTION("""COMPUTED_VALUE"""),"товари")</f>
        <v>товари</v>
      </c>
      <c r="B1045" s="16" t="str">
        <f>IFERROR(__xludf.DUMMYFUNCTION("""COMPUTED_VALUE"""),"товари для дому")</f>
        <v>товари для дому</v>
      </c>
      <c r="C1045" s="16" t="str">
        <f>IFERROR(__xludf.DUMMYFUNCTION("""COMPUTED_VALUE"""),"меблі")</f>
        <v>меблі</v>
      </c>
      <c r="D1045" s="16" t="str">
        <f>IFERROR(__xludf.DUMMYFUNCTION("""COMPUTED_VALUE"""),"комплектуючі для меблів")</f>
        <v>комплектуючі для меблів</v>
      </c>
      <c r="E1045" s="16" t="str">
        <f>IFERROR(__xludf.DUMMYFUNCTION("""COMPUTED_VALUE"""),"меблеві заглушки")</f>
        <v>меблеві заглушки</v>
      </c>
      <c r="F1045" s="17">
        <f>IFERROR(__xludf.DUMMYFUNCTION("""COMPUTED_VALUE"""),4.0)</f>
        <v>4</v>
      </c>
      <c r="G1045" s="17" t="str">
        <f>IFERROR(__xludf.DUMMYFUNCTION("""COMPUTED_VALUE"""),"371102")</f>
        <v>371102</v>
      </c>
      <c r="H1045" s="17" t="str">
        <f>IFERROR(__xludf.DUMMYFUNCTION("""COMPUTED_VALUE"""),"меблеві заглушки")</f>
        <v>меблеві заглушки</v>
      </c>
      <c r="I1045" s="19">
        <f>IFERROR(__xludf.DUMMYFUNCTION("""COMPUTED_VALUE"""),0.0665)</f>
        <v>0.0665</v>
      </c>
      <c r="J1045" s="19">
        <f>IFERROR(__xludf.DUMMYFUNCTION("""COMPUTED_VALUE"""),0.133)</f>
        <v>0.133</v>
      </c>
      <c r="K1045" s="19">
        <f>IFERROR(__xludf.DUMMYFUNCTION("""COMPUTED_VALUE"""),0.1663)</f>
        <v>0.1663</v>
      </c>
      <c r="L1045" s="19">
        <f>IFERROR(__xludf.DUMMYFUNCTION("""COMPUTED_VALUE"""),0.1995)</f>
        <v>0.1995</v>
      </c>
      <c r="M1045" s="18">
        <f>IFERROR(__xludf.DUMMYFUNCTION("""COMPUTED_VALUE"""),1.98)</f>
        <v>1.98</v>
      </c>
    </row>
    <row r="1046">
      <c r="A1046" s="13" t="str">
        <f>IFERROR(__xludf.DUMMYFUNCTION("""COMPUTED_VALUE"""),"товари")</f>
        <v>товари</v>
      </c>
      <c r="B1046" s="16" t="str">
        <f>IFERROR(__xludf.DUMMYFUNCTION("""COMPUTED_VALUE"""),"товари для дому")</f>
        <v>товари для дому</v>
      </c>
      <c r="C1046" s="16" t="str">
        <f>IFERROR(__xludf.DUMMYFUNCTION("""COMPUTED_VALUE"""),"меблі")</f>
        <v>меблі</v>
      </c>
      <c r="D1046" s="16" t="str">
        <f>IFERROR(__xludf.DUMMYFUNCTION("""COMPUTED_VALUE"""),"комплектуючі для меблів")</f>
        <v>комплектуючі для меблів</v>
      </c>
      <c r="E1046" s="16" t="str">
        <f>IFERROR(__xludf.DUMMYFUNCTION("""COMPUTED_VALUE"""),"меблеві замки і магніти")</f>
        <v>меблеві замки і магніти</v>
      </c>
      <c r="F1046" s="17">
        <f>IFERROR(__xludf.DUMMYFUNCTION("""COMPUTED_VALUE"""),4.0)</f>
        <v>4</v>
      </c>
      <c r="G1046" s="17" t="str">
        <f>IFERROR(__xludf.DUMMYFUNCTION("""COMPUTED_VALUE"""),"371106")</f>
        <v>371106</v>
      </c>
      <c r="H1046" s="17" t="str">
        <f>IFERROR(__xludf.DUMMYFUNCTION("""COMPUTED_VALUE"""),"меблеві замки і магніти")</f>
        <v>меблеві замки і магніти</v>
      </c>
      <c r="I1046" s="19">
        <f>IFERROR(__xludf.DUMMYFUNCTION("""COMPUTED_VALUE"""),0.0665)</f>
        <v>0.0665</v>
      </c>
      <c r="J1046" s="19">
        <f>IFERROR(__xludf.DUMMYFUNCTION("""COMPUTED_VALUE"""),0.133)</f>
        <v>0.133</v>
      </c>
      <c r="K1046" s="19">
        <f>IFERROR(__xludf.DUMMYFUNCTION("""COMPUTED_VALUE"""),0.1663)</f>
        <v>0.1663</v>
      </c>
      <c r="L1046" s="19">
        <f>IFERROR(__xludf.DUMMYFUNCTION("""COMPUTED_VALUE"""),0.1995)</f>
        <v>0.1995</v>
      </c>
      <c r="M1046" s="18">
        <f>IFERROR(__xludf.DUMMYFUNCTION("""COMPUTED_VALUE"""),1.98)</f>
        <v>1.98</v>
      </c>
    </row>
    <row r="1047">
      <c r="A1047" s="13" t="str">
        <f>IFERROR(__xludf.DUMMYFUNCTION("""COMPUTED_VALUE"""),"товари")</f>
        <v>товари</v>
      </c>
      <c r="B1047" s="16" t="str">
        <f>IFERROR(__xludf.DUMMYFUNCTION("""COMPUTED_VALUE"""),"товари для дому")</f>
        <v>товари для дому</v>
      </c>
      <c r="C1047" s="16" t="str">
        <f>IFERROR(__xludf.DUMMYFUNCTION("""COMPUTED_VALUE"""),"меблі")</f>
        <v>меблі</v>
      </c>
      <c r="D1047" s="16" t="str">
        <f>IFERROR(__xludf.DUMMYFUNCTION("""COMPUTED_VALUE"""),"комплектуючі для меблів")</f>
        <v>комплектуючі для меблів</v>
      </c>
      <c r="E1047" s="16" t="str">
        <f>IFERROR(__xludf.DUMMYFUNCTION("""COMPUTED_VALUE"""),"меблеві каркаси, ніжки і опори")</f>
        <v>меблеві каркаси, ніжки і опори</v>
      </c>
      <c r="F1047" s="17">
        <f>IFERROR(__xludf.DUMMYFUNCTION("""COMPUTED_VALUE"""),4.0)</f>
        <v>4</v>
      </c>
      <c r="G1047" s="17" t="str">
        <f>IFERROR(__xludf.DUMMYFUNCTION("""COMPUTED_VALUE"""),"370802")</f>
        <v>370802</v>
      </c>
      <c r="H1047" s="17" t="str">
        <f>IFERROR(__xludf.DUMMYFUNCTION("""COMPUTED_VALUE"""),"меблеві каркаси, ніжки і опори")</f>
        <v>меблеві каркаси, ніжки і опори</v>
      </c>
      <c r="I1047" s="19">
        <f>IFERROR(__xludf.DUMMYFUNCTION("""COMPUTED_VALUE"""),0.0665)</f>
        <v>0.0665</v>
      </c>
      <c r="J1047" s="19">
        <f>IFERROR(__xludf.DUMMYFUNCTION("""COMPUTED_VALUE"""),0.133)</f>
        <v>0.133</v>
      </c>
      <c r="K1047" s="19">
        <f>IFERROR(__xludf.DUMMYFUNCTION("""COMPUTED_VALUE"""),0.1663)</f>
        <v>0.1663</v>
      </c>
      <c r="L1047" s="19">
        <f>IFERROR(__xludf.DUMMYFUNCTION("""COMPUTED_VALUE"""),0.1995)</f>
        <v>0.1995</v>
      </c>
      <c r="M1047" s="18">
        <f>IFERROR(__xludf.DUMMYFUNCTION("""COMPUTED_VALUE"""),1.98)</f>
        <v>1.98</v>
      </c>
    </row>
    <row r="1048">
      <c r="A1048" s="13" t="str">
        <f>IFERROR(__xludf.DUMMYFUNCTION("""COMPUTED_VALUE"""),"товари")</f>
        <v>товари</v>
      </c>
      <c r="B1048" s="16" t="str">
        <f>IFERROR(__xludf.DUMMYFUNCTION("""COMPUTED_VALUE"""),"товари для дому")</f>
        <v>товари для дому</v>
      </c>
      <c r="C1048" s="16" t="str">
        <f>IFERROR(__xludf.DUMMYFUNCTION("""COMPUTED_VALUE"""),"меблі")</f>
        <v>меблі</v>
      </c>
      <c r="D1048" s="16" t="str">
        <f>IFERROR(__xludf.DUMMYFUNCTION("""COMPUTED_VALUE"""),"комплектуючі для меблів")</f>
        <v>комплектуючі для меблів</v>
      </c>
      <c r="E1048" s="16" t="str">
        <f>IFERROR(__xludf.DUMMYFUNCTION("""COMPUTED_VALUE"""),"меблеві направляючі та комплектуючі")</f>
        <v>меблеві направляючі та комплектуючі</v>
      </c>
      <c r="F1048" s="17">
        <f>IFERROR(__xludf.DUMMYFUNCTION("""COMPUTED_VALUE"""),4.0)</f>
        <v>4</v>
      </c>
      <c r="G1048" s="17" t="str">
        <f>IFERROR(__xludf.DUMMYFUNCTION("""COMPUTED_VALUE"""),"371107")</f>
        <v>371107</v>
      </c>
      <c r="H1048" s="17" t="str">
        <f>IFERROR(__xludf.DUMMYFUNCTION("""COMPUTED_VALUE"""),"меблеві направляючі та комплектуючі")</f>
        <v>меблеві направляючі та комплектуючі</v>
      </c>
      <c r="I1048" s="19">
        <f>IFERROR(__xludf.DUMMYFUNCTION("""COMPUTED_VALUE"""),0.0665)</f>
        <v>0.0665</v>
      </c>
      <c r="J1048" s="19">
        <f>IFERROR(__xludf.DUMMYFUNCTION("""COMPUTED_VALUE"""),0.133)</f>
        <v>0.133</v>
      </c>
      <c r="K1048" s="19">
        <f>IFERROR(__xludf.DUMMYFUNCTION("""COMPUTED_VALUE"""),0.1663)</f>
        <v>0.1663</v>
      </c>
      <c r="L1048" s="19">
        <f>IFERROR(__xludf.DUMMYFUNCTION("""COMPUTED_VALUE"""),0.1995)</f>
        <v>0.1995</v>
      </c>
      <c r="M1048" s="18">
        <f>IFERROR(__xludf.DUMMYFUNCTION("""COMPUTED_VALUE"""),1.98)</f>
        <v>1.98</v>
      </c>
    </row>
    <row r="1049">
      <c r="A1049" s="13" t="str">
        <f>IFERROR(__xludf.DUMMYFUNCTION("""COMPUTED_VALUE"""),"товари")</f>
        <v>товари</v>
      </c>
      <c r="B1049" s="16" t="str">
        <f>IFERROR(__xludf.DUMMYFUNCTION("""COMPUTED_VALUE"""),"товари для дому")</f>
        <v>товари для дому</v>
      </c>
      <c r="C1049" s="16" t="str">
        <f>IFERROR(__xludf.DUMMYFUNCTION("""COMPUTED_VALUE"""),"меблі")</f>
        <v>меблі</v>
      </c>
      <c r="D1049" s="16" t="str">
        <f>IFERROR(__xludf.DUMMYFUNCTION("""COMPUTED_VALUE"""),"комплектуючі для меблів")</f>
        <v>комплектуючі для меблів</v>
      </c>
      <c r="E1049" s="16" t="str">
        <f>IFERROR(__xludf.DUMMYFUNCTION("""COMPUTED_VALUE"""),"меблеві петлі ")</f>
        <v>меблеві петлі </v>
      </c>
      <c r="F1049" s="17">
        <f>IFERROR(__xludf.DUMMYFUNCTION("""COMPUTED_VALUE"""),4.0)</f>
        <v>4</v>
      </c>
      <c r="G1049" s="17" t="str">
        <f>IFERROR(__xludf.DUMMYFUNCTION("""COMPUTED_VALUE"""),"15030604")</f>
        <v>15030604</v>
      </c>
      <c r="H1049" s="17" t="str">
        <f>IFERROR(__xludf.DUMMYFUNCTION("""COMPUTED_VALUE"""),"меблеві петлі ")</f>
        <v>меблеві петлі </v>
      </c>
      <c r="I1049" s="19">
        <f>IFERROR(__xludf.DUMMYFUNCTION("""COMPUTED_VALUE"""),0.0665)</f>
        <v>0.0665</v>
      </c>
      <c r="J1049" s="19">
        <f>IFERROR(__xludf.DUMMYFUNCTION("""COMPUTED_VALUE"""),0.133)</f>
        <v>0.133</v>
      </c>
      <c r="K1049" s="19">
        <f>IFERROR(__xludf.DUMMYFUNCTION("""COMPUTED_VALUE"""),0.1663)</f>
        <v>0.1663</v>
      </c>
      <c r="L1049" s="19">
        <f>IFERROR(__xludf.DUMMYFUNCTION("""COMPUTED_VALUE"""),0.1995)</f>
        <v>0.1995</v>
      </c>
      <c r="M1049" s="18">
        <f>IFERROR(__xludf.DUMMYFUNCTION("""COMPUTED_VALUE"""),1.98)</f>
        <v>1.98</v>
      </c>
    </row>
    <row r="1050">
      <c r="A1050" s="13" t="str">
        <f>IFERROR(__xludf.DUMMYFUNCTION("""COMPUTED_VALUE"""),"товари")</f>
        <v>товари</v>
      </c>
      <c r="B1050" s="16" t="str">
        <f>IFERROR(__xludf.DUMMYFUNCTION("""COMPUTED_VALUE"""),"товари для дому")</f>
        <v>товари для дому</v>
      </c>
      <c r="C1050" s="16" t="str">
        <f>IFERROR(__xludf.DUMMYFUNCTION("""COMPUTED_VALUE"""),"меблі")</f>
        <v>меблі</v>
      </c>
      <c r="D1050" s="16" t="str">
        <f>IFERROR(__xludf.DUMMYFUNCTION("""COMPUTED_VALUE"""),"комплектуючі для меблів")</f>
        <v>комплектуючі для меблів</v>
      </c>
      <c r="E1050" s="16" t="str">
        <f>IFERROR(__xludf.DUMMYFUNCTION("""COMPUTED_VALUE""")," меблеві подушки")</f>
        <v> меблеві подушки</v>
      </c>
      <c r="F1050" s="17">
        <f>IFERROR(__xludf.DUMMYFUNCTION("""COMPUTED_VALUE"""),4.0)</f>
        <v>4</v>
      </c>
      <c r="G1050" s="17" t="str">
        <f>IFERROR(__xludf.DUMMYFUNCTION("""COMPUTED_VALUE"""),"15030325")</f>
        <v>15030325</v>
      </c>
      <c r="H1050" s="17" t="str">
        <f>IFERROR(__xludf.DUMMYFUNCTION("""COMPUTED_VALUE""")," меблеві подушки")</f>
        <v> меблеві подушки</v>
      </c>
      <c r="I1050" s="19">
        <f>IFERROR(__xludf.DUMMYFUNCTION("""COMPUTED_VALUE"""),0.0665)</f>
        <v>0.0665</v>
      </c>
      <c r="J1050" s="19">
        <f>IFERROR(__xludf.DUMMYFUNCTION("""COMPUTED_VALUE"""),0.133)</f>
        <v>0.133</v>
      </c>
      <c r="K1050" s="19">
        <f>IFERROR(__xludf.DUMMYFUNCTION("""COMPUTED_VALUE"""),0.1663)</f>
        <v>0.1663</v>
      </c>
      <c r="L1050" s="19">
        <f>IFERROR(__xludf.DUMMYFUNCTION("""COMPUTED_VALUE"""),0.1995)</f>
        <v>0.1995</v>
      </c>
      <c r="M1050" s="18">
        <f>IFERROR(__xludf.DUMMYFUNCTION("""COMPUTED_VALUE"""),2.16)</f>
        <v>2.16</v>
      </c>
    </row>
    <row r="1051">
      <c r="A1051" s="13" t="str">
        <f>IFERROR(__xludf.DUMMYFUNCTION("""COMPUTED_VALUE"""),"товари")</f>
        <v>товари</v>
      </c>
      <c r="B1051" s="16" t="str">
        <f>IFERROR(__xludf.DUMMYFUNCTION("""COMPUTED_VALUE"""),"товари для дому")</f>
        <v>товари для дому</v>
      </c>
      <c r="C1051" s="16" t="str">
        <f>IFERROR(__xludf.DUMMYFUNCTION("""COMPUTED_VALUE"""),"меблі")</f>
        <v>меблі</v>
      </c>
      <c r="D1051" s="16" t="str">
        <f>IFERROR(__xludf.DUMMYFUNCTION("""COMPUTED_VALUE"""),"комплектуючі для меблів")</f>
        <v>комплектуючі для меблів</v>
      </c>
      <c r="E1051" s="16" t="str">
        <f>IFERROR(__xludf.DUMMYFUNCTION("""COMPUTED_VALUE"""),"меблеві ролики і колеса")</f>
        <v>меблеві ролики і колеса</v>
      </c>
      <c r="F1051" s="17">
        <f>IFERROR(__xludf.DUMMYFUNCTION("""COMPUTED_VALUE"""),4.0)</f>
        <v>4</v>
      </c>
      <c r="G1051" s="17" t="str">
        <f>IFERROR(__xludf.DUMMYFUNCTION("""COMPUTED_VALUE"""),"371103")</f>
        <v>371103</v>
      </c>
      <c r="H1051" s="17" t="str">
        <f>IFERROR(__xludf.DUMMYFUNCTION("""COMPUTED_VALUE"""),"меблеві ролики і колеса")</f>
        <v>меблеві ролики і колеса</v>
      </c>
      <c r="I1051" s="19">
        <f>IFERROR(__xludf.DUMMYFUNCTION("""COMPUTED_VALUE"""),0.0665)</f>
        <v>0.0665</v>
      </c>
      <c r="J1051" s="19">
        <f>IFERROR(__xludf.DUMMYFUNCTION("""COMPUTED_VALUE"""),0.133)</f>
        <v>0.133</v>
      </c>
      <c r="K1051" s="19">
        <f>IFERROR(__xludf.DUMMYFUNCTION("""COMPUTED_VALUE"""),0.1663)</f>
        <v>0.1663</v>
      </c>
      <c r="L1051" s="19">
        <f>IFERROR(__xludf.DUMMYFUNCTION("""COMPUTED_VALUE"""),0.1995)</f>
        <v>0.1995</v>
      </c>
      <c r="M1051" s="18">
        <f>IFERROR(__xludf.DUMMYFUNCTION("""COMPUTED_VALUE"""),1.98)</f>
        <v>1.98</v>
      </c>
    </row>
    <row r="1052">
      <c r="A1052" s="13" t="str">
        <f>IFERROR(__xludf.DUMMYFUNCTION("""COMPUTED_VALUE"""),"товари")</f>
        <v>товари</v>
      </c>
      <c r="B1052" s="16" t="str">
        <f>IFERROR(__xludf.DUMMYFUNCTION("""COMPUTED_VALUE"""),"товари для дому")</f>
        <v>товари для дому</v>
      </c>
      <c r="C1052" s="16" t="str">
        <f>IFERROR(__xludf.DUMMYFUNCTION("""COMPUTED_VALUE"""),"меблі")</f>
        <v>меблі</v>
      </c>
      <c r="D1052" s="16" t="str">
        <f>IFERROR(__xludf.DUMMYFUNCTION("""COMPUTED_VALUE"""),"комплектуючі для меблів")</f>
        <v>комплектуючі для меблів</v>
      </c>
      <c r="E1052" s="16" t="str">
        <f>IFERROR(__xludf.DUMMYFUNCTION("""COMPUTED_VALUE"""),"меблеві ручки")</f>
        <v>меблеві ручки</v>
      </c>
      <c r="F1052" s="17">
        <f>IFERROR(__xludf.DUMMYFUNCTION("""COMPUTED_VALUE"""),4.0)</f>
        <v>4</v>
      </c>
      <c r="G1052" s="17" t="str">
        <f>IFERROR(__xludf.DUMMYFUNCTION("""COMPUTED_VALUE"""),"371104")</f>
        <v>371104</v>
      </c>
      <c r="H1052" s="17" t="str">
        <f>IFERROR(__xludf.DUMMYFUNCTION("""COMPUTED_VALUE"""),"меблеві ручки")</f>
        <v>меблеві ручки</v>
      </c>
      <c r="I1052" s="19">
        <f>IFERROR(__xludf.DUMMYFUNCTION("""COMPUTED_VALUE"""),0.0665)</f>
        <v>0.0665</v>
      </c>
      <c r="J1052" s="19">
        <f>IFERROR(__xludf.DUMMYFUNCTION("""COMPUTED_VALUE"""),0.133)</f>
        <v>0.133</v>
      </c>
      <c r="K1052" s="19">
        <f>IFERROR(__xludf.DUMMYFUNCTION("""COMPUTED_VALUE"""),0.1663)</f>
        <v>0.1663</v>
      </c>
      <c r="L1052" s="19">
        <f>IFERROR(__xludf.DUMMYFUNCTION("""COMPUTED_VALUE"""),0.1995)</f>
        <v>0.1995</v>
      </c>
      <c r="M1052" s="18">
        <f>IFERROR(__xludf.DUMMYFUNCTION("""COMPUTED_VALUE"""),1.98)</f>
        <v>1.98</v>
      </c>
    </row>
    <row r="1053">
      <c r="A1053" s="13" t="str">
        <f>IFERROR(__xludf.DUMMYFUNCTION("""COMPUTED_VALUE"""),"товари")</f>
        <v>товари</v>
      </c>
      <c r="B1053" s="16" t="str">
        <f>IFERROR(__xludf.DUMMYFUNCTION("""COMPUTED_VALUE"""),"товари для дому")</f>
        <v>товари для дому</v>
      </c>
      <c r="C1053" s="16" t="str">
        <f>IFERROR(__xludf.DUMMYFUNCTION("""COMPUTED_VALUE"""),"меблі")</f>
        <v>меблі</v>
      </c>
      <c r="D1053" s="16" t="str">
        <f>IFERROR(__xludf.DUMMYFUNCTION("""COMPUTED_VALUE"""),"комплектуючі для меблів")</f>
        <v>комплектуючі для меблів</v>
      </c>
      <c r="E1053" s="16" t="str">
        <f>IFERROR(__xludf.DUMMYFUNCTION("""COMPUTED_VALUE"""),"меблеві світильники")</f>
        <v>меблеві світильники</v>
      </c>
      <c r="F1053" s="17">
        <f>IFERROR(__xludf.DUMMYFUNCTION("""COMPUTED_VALUE"""),4.0)</f>
        <v>4</v>
      </c>
      <c r="G1053" s="17" t="str">
        <f>IFERROR(__xludf.DUMMYFUNCTION("""COMPUTED_VALUE"""),"370825")</f>
        <v>370825</v>
      </c>
      <c r="H1053" s="17" t="str">
        <f>IFERROR(__xludf.DUMMYFUNCTION("""COMPUTED_VALUE"""),"меблеві світильники")</f>
        <v>меблеві світильники</v>
      </c>
      <c r="I1053" s="19">
        <f>IFERROR(__xludf.DUMMYFUNCTION("""COMPUTED_VALUE"""),0.0665)</f>
        <v>0.0665</v>
      </c>
      <c r="J1053" s="19">
        <f>IFERROR(__xludf.DUMMYFUNCTION("""COMPUTED_VALUE"""),0.133)</f>
        <v>0.133</v>
      </c>
      <c r="K1053" s="19">
        <f>IFERROR(__xludf.DUMMYFUNCTION("""COMPUTED_VALUE"""),0.1663)</f>
        <v>0.1663</v>
      </c>
      <c r="L1053" s="19">
        <f>IFERROR(__xludf.DUMMYFUNCTION("""COMPUTED_VALUE"""),0.1995)</f>
        <v>0.1995</v>
      </c>
      <c r="M1053" s="18">
        <f>IFERROR(__xludf.DUMMYFUNCTION("""COMPUTED_VALUE"""),1.98)</f>
        <v>1.98</v>
      </c>
    </row>
    <row r="1054">
      <c r="A1054" s="13" t="str">
        <f>IFERROR(__xludf.DUMMYFUNCTION("""COMPUTED_VALUE"""),"товари")</f>
        <v>товари</v>
      </c>
      <c r="B1054" s="16" t="str">
        <f>IFERROR(__xludf.DUMMYFUNCTION("""COMPUTED_VALUE"""),"товари для дому")</f>
        <v>товари для дому</v>
      </c>
      <c r="C1054" s="16" t="str">
        <f>IFERROR(__xludf.DUMMYFUNCTION("""COMPUTED_VALUE"""),"меблі")</f>
        <v>меблі</v>
      </c>
      <c r="D1054" s="16" t="str">
        <f>IFERROR(__xludf.DUMMYFUNCTION("""COMPUTED_VALUE"""),"комплектуючі для меблів")</f>
        <v>комплектуючі для меблів</v>
      </c>
      <c r="E1054" s="16" t="str">
        <f>IFERROR(__xludf.DUMMYFUNCTION("""COMPUTED_VALUE"""),"меблеві стяжки і кутники")</f>
        <v>меблеві стяжки і кутники</v>
      </c>
      <c r="F1054" s="17">
        <f>IFERROR(__xludf.DUMMYFUNCTION("""COMPUTED_VALUE"""),4.0)</f>
        <v>4</v>
      </c>
      <c r="G1054" s="17" t="str">
        <f>IFERROR(__xludf.DUMMYFUNCTION("""COMPUTED_VALUE"""),"15030601")</f>
        <v>15030601</v>
      </c>
      <c r="H1054" s="17" t="str">
        <f>IFERROR(__xludf.DUMMYFUNCTION("""COMPUTED_VALUE"""),"меблеві стяжки і кутники")</f>
        <v>меблеві стяжки і кутники</v>
      </c>
      <c r="I1054" s="19">
        <f>IFERROR(__xludf.DUMMYFUNCTION("""COMPUTED_VALUE"""),0.0665)</f>
        <v>0.0665</v>
      </c>
      <c r="J1054" s="19">
        <f>IFERROR(__xludf.DUMMYFUNCTION("""COMPUTED_VALUE"""),0.133)</f>
        <v>0.133</v>
      </c>
      <c r="K1054" s="19">
        <f>IFERROR(__xludf.DUMMYFUNCTION("""COMPUTED_VALUE"""),0.1663)</f>
        <v>0.1663</v>
      </c>
      <c r="L1054" s="19">
        <f>IFERROR(__xludf.DUMMYFUNCTION("""COMPUTED_VALUE"""),0.1995)</f>
        <v>0.1995</v>
      </c>
      <c r="M1054" s="18">
        <f>IFERROR(__xludf.DUMMYFUNCTION("""COMPUTED_VALUE"""),1.98)</f>
        <v>1.98</v>
      </c>
    </row>
    <row r="1055">
      <c r="A1055" s="13" t="str">
        <f>IFERROR(__xludf.DUMMYFUNCTION("""COMPUTED_VALUE"""),"товари")</f>
        <v>товари</v>
      </c>
      <c r="B1055" s="16" t="str">
        <f>IFERROR(__xludf.DUMMYFUNCTION("""COMPUTED_VALUE"""),"товари для дому")</f>
        <v>товари для дому</v>
      </c>
      <c r="C1055" s="16" t="str">
        <f>IFERROR(__xludf.DUMMYFUNCTION("""COMPUTED_VALUE"""),"меблі")</f>
        <v>меблі</v>
      </c>
      <c r="D1055" s="16" t="str">
        <f>IFERROR(__xludf.DUMMYFUNCTION("""COMPUTED_VALUE"""),"комплектуючі для меблів")</f>
        <v>комплектуючі для меблів</v>
      </c>
      <c r="E1055" s="16" t="str">
        <f>IFERROR(__xludf.DUMMYFUNCTION("""COMPUTED_VALUE"""),"меблеві фасади")</f>
        <v>меблеві фасади</v>
      </c>
      <c r="F1055" s="17">
        <f>IFERROR(__xludf.DUMMYFUNCTION("""COMPUTED_VALUE"""),4.0)</f>
        <v>4</v>
      </c>
      <c r="G1055" s="17" t="str">
        <f>IFERROR(__xludf.DUMMYFUNCTION("""COMPUTED_VALUE"""),"370805")</f>
        <v>370805</v>
      </c>
      <c r="H1055" s="17" t="str">
        <f>IFERROR(__xludf.DUMMYFUNCTION("""COMPUTED_VALUE"""),"меблеві фасади")</f>
        <v>меблеві фасади</v>
      </c>
      <c r="I1055" s="19">
        <f>IFERROR(__xludf.DUMMYFUNCTION("""COMPUTED_VALUE"""),0.0665)</f>
        <v>0.0665</v>
      </c>
      <c r="J1055" s="19">
        <f>IFERROR(__xludf.DUMMYFUNCTION("""COMPUTED_VALUE"""),0.133)</f>
        <v>0.133</v>
      </c>
      <c r="K1055" s="19">
        <f>IFERROR(__xludf.DUMMYFUNCTION("""COMPUTED_VALUE"""),0.1663)</f>
        <v>0.1663</v>
      </c>
      <c r="L1055" s="19">
        <f>IFERROR(__xludf.DUMMYFUNCTION("""COMPUTED_VALUE"""),0.1995)</f>
        <v>0.1995</v>
      </c>
      <c r="M1055" s="18">
        <f>IFERROR(__xludf.DUMMYFUNCTION("""COMPUTED_VALUE"""),1.98)</f>
        <v>1.98</v>
      </c>
    </row>
    <row r="1056">
      <c r="A1056" s="13" t="str">
        <f>IFERROR(__xludf.DUMMYFUNCTION("""COMPUTED_VALUE"""),"товари")</f>
        <v>товари</v>
      </c>
      <c r="B1056" s="16" t="str">
        <f>IFERROR(__xludf.DUMMYFUNCTION("""COMPUTED_VALUE"""),"товари для дому")</f>
        <v>товари для дому</v>
      </c>
      <c r="C1056" s="16" t="str">
        <f>IFERROR(__xludf.DUMMYFUNCTION("""COMPUTED_VALUE"""),"меблі")</f>
        <v>меблі</v>
      </c>
      <c r="D1056" s="16" t="str">
        <f>IFERROR(__xludf.DUMMYFUNCTION("""COMPUTED_VALUE"""),"меблі для ванних")</f>
        <v>меблі для ванних</v>
      </c>
      <c r="E1056" s="16" t="str">
        <f>IFERROR(__xludf.DUMMYFUNCTION("""COMPUTED_VALUE"""),"меблі для ванної, загальне")</f>
        <v>меблі для ванної, загальне</v>
      </c>
      <c r="F1056" s="17">
        <f>IFERROR(__xludf.DUMMYFUNCTION("""COMPUTED_VALUE"""),4.0)</f>
        <v>4</v>
      </c>
      <c r="G1056" s="17" t="str">
        <f>IFERROR(__xludf.DUMMYFUNCTION("""COMPUTED_VALUE"""),"13018002")</f>
        <v>13018002</v>
      </c>
      <c r="H1056" s="17" t="str">
        <f>IFERROR(__xludf.DUMMYFUNCTION("""COMPUTED_VALUE"""),"меблі для ванної, загальне")</f>
        <v>меблі для ванної, загальне</v>
      </c>
      <c r="I1056" s="19">
        <f>IFERROR(__xludf.DUMMYFUNCTION("""COMPUTED_VALUE"""),0.125)</f>
        <v>0.125</v>
      </c>
      <c r="J1056" s="19">
        <f>IFERROR(__xludf.DUMMYFUNCTION("""COMPUTED_VALUE"""),0.25)</f>
        <v>0.25</v>
      </c>
      <c r="K1056" s="19">
        <f>IFERROR(__xludf.DUMMYFUNCTION("""COMPUTED_VALUE"""),0.3125)</f>
        <v>0.3125</v>
      </c>
      <c r="L1056" s="19">
        <f>IFERROR(__xludf.DUMMYFUNCTION("""COMPUTED_VALUE"""),0.375)</f>
        <v>0.375</v>
      </c>
      <c r="M1056" s="18">
        <f>IFERROR(__xludf.DUMMYFUNCTION("""COMPUTED_VALUE"""),4.33)</f>
        <v>4.33</v>
      </c>
    </row>
    <row r="1057">
      <c r="A1057" s="13" t="str">
        <f>IFERROR(__xludf.DUMMYFUNCTION("""COMPUTED_VALUE"""),"товари")</f>
        <v>товари</v>
      </c>
      <c r="B1057" s="16" t="str">
        <f>IFERROR(__xludf.DUMMYFUNCTION("""COMPUTED_VALUE"""),"товари для дому")</f>
        <v>товари для дому</v>
      </c>
      <c r="C1057" s="16" t="str">
        <f>IFERROR(__xludf.DUMMYFUNCTION("""COMPUTED_VALUE"""),"меблі")</f>
        <v>меблі</v>
      </c>
      <c r="D1057" s="16" t="str">
        <f>IFERROR(__xludf.DUMMYFUNCTION("""COMPUTED_VALUE"""),"меблі для вітальні")</f>
        <v>меблі для вітальні</v>
      </c>
      <c r="E1057" s="16" t="str">
        <f>IFERROR(__xludf.DUMMYFUNCTION("""COMPUTED_VALUE"""),"меблі для вітальні, загальне")</f>
        <v>меблі для вітальні, загальне</v>
      </c>
      <c r="F1057" s="17">
        <f>IFERROR(__xludf.DUMMYFUNCTION("""COMPUTED_VALUE"""),4.0)</f>
        <v>4</v>
      </c>
      <c r="G1057" s="17" t="str">
        <f>IFERROR(__xludf.DUMMYFUNCTION("""COMPUTED_VALUE"""),"37034099")</f>
        <v>37034099</v>
      </c>
      <c r="H1057" s="17" t="str">
        <f>IFERROR(__xludf.DUMMYFUNCTION("""COMPUTED_VALUE"""),"меблі для вітальні, загальне")</f>
        <v>меблі для вітальні, загальне</v>
      </c>
      <c r="I1057" s="19">
        <f>IFERROR(__xludf.DUMMYFUNCTION("""COMPUTED_VALUE"""),0.125)</f>
        <v>0.125</v>
      </c>
      <c r="J1057" s="19">
        <f>IFERROR(__xludf.DUMMYFUNCTION("""COMPUTED_VALUE"""),0.25)</f>
        <v>0.25</v>
      </c>
      <c r="K1057" s="19">
        <f>IFERROR(__xludf.DUMMYFUNCTION("""COMPUTED_VALUE"""),0.3125)</f>
        <v>0.3125</v>
      </c>
      <c r="L1057" s="19">
        <f>IFERROR(__xludf.DUMMYFUNCTION("""COMPUTED_VALUE"""),0.375)</f>
        <v>0.375</v>
      </c>
      <c r="M1057" s="18">
        <f>IFERROR(__xludf.DUMMYFUNCTION("""COMPUTED_VALUE"""),4.33)</f>
        <v>4.33</v>
      </c>
    </row>
    <row r="1058">
      <c r="A1058" s="13" t="str">
        <f>IFERROR(__xludf.DUMMYFUNCTION("""COMPUTED_VALUE"""),"товари")</f>
        <v>товари</v>
      </c>
      <c r="B1058" s="16" t="str">
        <f>IFERROR(__xludf.DUMMYFUNCTION("""COMPUTED_VALUE"""),"дача, сад і город")</f>
        <v>дача, сад і город</v>
      </c>
      <c r="C1058" s="16" t="str">
        <f>IFERROR(__xludf.DUMMYFUNCTION("""COMPUTED_VALUE"""),"обладнання для саун і лазень")</f>
        <v>обладнання для саун і лазень</v>
      </c>
      <c r="D1058" s="16" t="str">
        <f>IFERROR(__xludf.DUMMYFUNCTION("""COMPUTED_VALUE"""),"меблі для саун і лазень")</f>
        <v>меблі для саун і лазень</v>
      </c>
      <c r="E1058" s="16" t="str">
        <f>IFERROR(__xludf.DUMMYFUNCTION("""COMPUTED_VALUE"""),"меблі для саун і лазень")</f>
        <v>меблі для саун і лазень</v>
      </c>
      <c r="F1058" s="17">
        <f>IFERROR(__xludf.DUMMYFUNCTION("""COMPUTED_VALUE"""),3.0)</f>
        <v>3</v>
      </c>
      <c r="G1058" s="17" t="str">
        <f>IFERROR(__xludf.DUMMYFUNCTION("""COMPUTED_VALUE"""),"150332")</f>
        <v>150332</v>
      </c>
      <c r="H1058" s="17" t="str">
        <f>IFERROR(__xludf.DUMMYFUNCTION("""COMPUTED_VALUE"""),"меблі для саун і лазень")</f>
        <v>меблі для саун і лазень</v>
      </c>
      <c r="I1058" s="19">
        <f>IFERROR(__xludf.DUMMYFUNCTION("""COMPUTED_VALUE"""),0.057)</f>
        <v>0.057</v>
      </c>
      <c r="J1058" s="19">
        <f>IFERROR(__xludf.DUMMYFUNCTION("""COMPUTED_VALUE"""),0.114)</f>
        <v>0.114</v>
      </c>
      <c r="K1058" s="19">
        <f>IFERROR(__xludf.DUMMYFUNCTION("""COMPUTED_VALUE"""),0.1425)</f>
        <v>0.1425</v>
      </c>
      <c r="L1058" s="19">
        <f>IFERROR(__xludf.DUMMYFUNCTION("""COMPUTED_VALUE"""),0.171)</f>
        <v>0.171</v>
      </c>
      <c r="M1058" s="18">
        <f>IFERROR(__xludf.DUMMYFUNCTION("""COMPUTED_VALUE"""),2.7)</f>
        <v>2.7</v>
      </c>
    </row>
    <row r="1059">
      <c r="A1059" s="13" t="str">
        <f>IFERROR(__xludf.DUMMYFUNCTION("""COMPUTED_VALUE"""),"товари")</f>
        <v>товари</v>
      </c>
      <c r="B1059" s="16" t="str">
        <f>IFERROR(__xludf.DUMMYFUNCTION("""COMPUTED_VALUE"""),"товари для дому")</f>
        <v>товари для дому</v>
      </c>
      <c r="C1059" s="16" t="str">
        <f>IFERROR(__xludf.DUMMYFUNCTION("""COMPUTED_VALUE"""),"меблі")</f>
        <v>меблі</v>
      </c>
      <c r="D1059" s="16" t="str">
        <f>IFERROR(__xludf.DUMMYFUNCTION("""COMPUTED_VALUE"""),"меблі для спальні")</f>
        <v>меблі для спальні</v>
      </c>
      <c r="E1059" s="16" t="str">
        <f>IFERROR(__xludf.DUMMYFUNCTION("""COMPUTED_VALUE"""),"меблі для спалень, загальне")</f>
        <v>меблі для спалень, загальне</v>
      </c>
      <c r="F1059" s="17">
        <f>IFERROR(__xludf.DUMMYFUNCTION("""COMPUTED_VALUE"""),4.0)</f>
        <v>4</v>
      </c>
      <c r="G1059" s="17" t="str">
        <f>IFERROR(__xludf.DUMMYFUNCTION("""COMPUTED_VALUE"""),"37032099")</f>
        <v>37032099</v>
      </c>
      <c r="H1059" s="17" t="str">
        <f>IFERROR(__xludf.DUMMYFUNCTION("""COMPUTED_VALUE"""),"меблі для спалень, загальне")</f>
        <v>меблі для спалень, загальне</v>
      </c>
      <c r="I1059" s="19">
        <f>IFERROR(__xludf.DUMMYFUNCTION("""COMPUTED_VALUE"""),0.125)</f>
        <v>0.125</v>
      </c>
      <c r="J1059" s="19">
        <f>IFERROR(__xludf.DUMMYFUNCTION("""COMPUTED_VALUE"""),0.25)</f>
        <v>0.25</v>
      </c>
      <c r="K1059" s="19">
        <f>IFERROR(__xludf.DUMMYFUNCTION("""COMPUTED_VALUE"""),0.3125)</f>
        <v>0.3125</v>
      </c>
      <c r="L1059" s="19">
        <f>IFERROR(__xludf.DUMMYFUNCTION("""COMPUTED_VALUE"""),0.375)</f>
        <v>0.375</v>
      </c>
      <c r="M1059" s="18">
        <f>IFERROR(__xludf.DUMMYFUNCTION("""COMPUTED_VALUE"""),4.33)</f>
        <v>4.33</v>
      </c>
    </row>
    <row r="1060">
      <c r="A1060" s="13" t="str">
        <f>IFERROR(__xludf.DUMMYFUNCTION("""COMPUTED_VALUE"""),"товари")</f>
        <v>товари</v>
      </c>
      <c r="B1060" s="16" t="str">
        <f>IFERROR(__xludf.DUMMYFUNCTION("""COMPUTED_VALUE"""),"товари для дому")</f>
        <v>товари для дому</v>
      </c>
      <c r="C1060" s="16" t="str">
        <f>IFERROR(__xludf.DUMMYFUNCTION("""COMPUTED_VALUE"""),"меблі")</f>
        <v>меблі</v>
      </c>
      <c r="D1060" s="16" t="str">
        <f>IFERROR(__xludf.DUMMYFUNCTION("""COMPUTED_VALUE"""),"меблі, загальне")</f>
        <v>меблі, загальне</v>
      </c>
      <c r="E1060" s="16" t="str">
        <f>IFERROR(__xludf.DUMMYFUNCTION("""COMPUTED_VALUE"""),"меблі, загальне")</f>
        <v>меблі, загальне</v>
      </c>
      <c r="F1060" s="17">
        <f>IFERROR(__xludf.DUMMYFUNCTION("""COMPUTED_VALUE"""),3.0)</f>
        <v>3</v>
      </c>
      <c r="G1060" s="17" t="str">
        <f>IFERROR(__xludf.DUMMYFUNCTION("""COMPUTED_VALUE"""),"150399")</f>
        <v>150399</v>
      </c>
      <c r="H1060" s="17" t="str">
        <f>IFERROR(__xludf.DUMMYFUNCTION("""COMPUTED_VALUE"""),"меблі, загальне")</f>
        <v>меблі, загальне</v>
      </c>
      <c r="I1060" s="19">
        <f>IFERROR(__xludf.DUMMYFUNCTION("""COMPUTED_VALUE"""),0.125)</f>
        <v>0.125</v>
      </c>
      <c r="J1060" s="19">
        <f>IFERROR(__xludf.DUMMYFUNCTION("""COMPUTED_VALUE"""),0.25)</f>
        <v>0.25</v>
      </c>
      <c r="K1060" s="19">
        <f>IFERROR(__xludf.DUMMYFUNCTION("""COMPUTED_VALUE"""),0.3125)</f>
        <v>0.3125</v>
      </c>
      <c r="L1060" s="19">
        <f>IFERROR(__xludf.DUMMYFUNCTION("""COMPUTED_VALUE"""),0.375)</f>
        <v>0.375</v>
      </c>
      <c r="M1060" s="18">
        <f>IFERROR(__xludf.DUMMYFUNCTION("""COMPUTED_VALUE"""),4.33)</f>
        <v>4.33</v>
      </c>
    </row>
    <row r="1061">
      <c r="A1061" s="13" t="str">
        <f>IFERROR(__xludf.DUMMYFUNCTION("""COMPUTED_VALUE"""),"товари")</f>
        <v>товари</v>
      </c>
      <c r="B1061" s="16" t="str">
        <f>IFERROR(__xludf.DUMMYFUNCTION("""COMPUTED_VALUE"""),"товари для дому")</f>
        <v>товари для дому</v>
      </c>
      <c r="C1061" s="16" t="str">
        <f>IFERROR(__xludf.DUMMYFUNCTION("""COMPUTED_VALUE"""),"меблі")</f>
        <v>меблі</v>
      </c>
      <c r="D1061" s="16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1061" s="16" t="str">
        <f>IFERROR(__xludf.DUMMYFUNCTION("""COMPUTED_VALUE"""),"медальниці")</f>
        <v>медальниці</v>
      </c>
      <c r="F1061" s="17">
        <f>IFERROR(__xludf.DUMMYFUNCTION("""COMPUTED_VALUE"""),4.0)</f>
        <v>4</v>
      </c>
      <c r="G1061" s="17" t="str">
        <f>IFERROR(__xludf.DUMMYFUNCTION("""COMPUTED_VALUE"""),"370342")</f>
        <v>370342</v>
      </c>
      <c r="H1061" s="17" t="str">
        <f>IFERROR(__xludf.DUMMYFUNCTION("""COMPUTED_VALUE"""),"медальниці")</f>
        <v>медальниці</v>
      </c>
      <c r="I1061" s="19">
        <f>IFERROR(__xludf.DUMMYFUNCTION("""COMPUTED_VALUE"""),0.0681)</f>
        <v>0.0681</v>
      </c>
      <c r="J1061" s="19">
        <f>IFERROR(__xludf.DUMMYFUNCTION("""COMPUTED_VALUE"""),0.1361)</f>
        <v>0.1361</v>
      </c>
      <c r="K1061" s="19">
        <f>IFERROR(__xludf.DUMMYFUNCTION("""COMPUTED_VALUE"""),0.1701)</f>
        <v>0.1701</v>
      </c>
      <c r="L1061" s="19">
        <f>IFERROR(__xludf.DUMMYFUNCTION("""COMPUTED_VALUE"""),0.2042)</f>
        <v>0.2042</v>
      </c>
      <c r="M1061" s="18">
        <f>IFERROR(__xludf.DUMMYFUNCTION("""COMPUTED_VALUE"""),3.15)</f>
        <v>3.15</v>
      </c>
    </row>
    <row r="1062">
      <c r="A1062" s="13" t="str">
        <f>IFERROR(__xludf.DUMMYFUNCTION("""COMPUTED_VALUE"""),"товари")</f>
        <v>товари</v>
      </c>
      <c r="B1062" s="16" t="str">
        <f>IFERROR(__xludf.DUMMYFUNCTION("""COMPUTED_VALUE"""),"товари для дому")</f>
        <v>товари для дому</v>
      </c>
      <c r="C1062" s="16" t="str">
        <f>IFERROR(__xludf.DUMMYFUNCTION("""COMPUTED_VALUE"""),"посуд")</f>
        <v>посуд</v>
      </c>
      <c r="D1062" s="16" t="str">
        <f>IFERROR(__xludf.DUMMYFUNCTION("""COMPUTED_VALUE"""),"столовий посуд")</f>
        <v>столовий посуд</v>
      </c>
      <c r="E1062" s="16" t="str">
        <f>IFERROR(__xludf.DUMMYFUNCTION("""COMPUTED_VALUE"""),"менажниці та дошки для подачі")</f>
        <v>менажниці та дошки для подачі</v>
      </c>
      <c r="F1062" s="17">
        <f>IFERROR(__xludf.DUMMYFUNCTION("""COMPUTED_VALUE"""),4.0)</f>
        <v>4</v>
      </c>
      <c r="G1062" s="17" t="str">
        <f>IFERROR(__xludf.DUMMYFUNCTION("""COMPUTED_VALUE"""),"152215")</f>
        <v>152215</v>
      </c>
      <c r="H1062" s="17" t="str">
        <f>IFERROR(__xludf.DUMMYFUNCTION("""COMPUTED_VALUE"""),"менажниці та дошки для подачі")</f>
        <v>менажниці та дошки для подачі</v>
      </c>
      <c r="I1062" s="19">
        <f>IFERROR(__xludf.DUMMYFUNCTION("""COMPUTED_VALUE"""),0.0771)</f>
        <v>0.0771</v>
      </c>
      <c r="J1062" s="19">
        <f>IFERROR(__xludf.DUMMYFUNCTION("""COMPUTED_VALUE"""),0.1541)</f>
        <v>0.1541</v>
      </c>
      <c r="K1062" s="19">
        <f>IFERROR(__xludf.DUMMYFUNCTION("""COMPUTED_VALUE"""),0.1926)</f>
        <v>0.1926</v>
      </c>
      <c r="L1062" s="19">
        <f>IFERROR(__xludf.DUMMYFUNCTION("""COMPUTED_VALUE"""),0.2312)</f>
        <v>0.2312</v>
      </c>
      <c r="M1062" s="18">
        <f>IFERROR(__xludf.DUMMYFUNCTION("""COMPUTED_VALUE"""),2.08)</f>
        <v>2.08</v>
      </c>
    </row>
    <row r="1063">
      <c r="A1063" s="13" t="str">
        <f>IFERROR(__xludf.DUMMYFUNCTION("""COMPUTED_VALUE"""),"товари")</f>
        <v>товари</v>
      </c>
      <c r="B1063" s="16" t="str">
        <f>IFERROR(__xludf.DUMMYFUNCTION("""COMPUTED_VALUE"""),"товари для дому")</f>
        <v>товари для дому</v>
      </c>
      <c r="C1063" s="16" t="str">
        <f>IFERROR(__xludf.DUMMYFUNCTION("""COMPUTED_VALUE"""),"меблі")</f>
        <v>меблі</v>
      </c>
      <c r="D1063" s="16" t="str">
        <f>IFERROR(__xludf.DUMMYFUNCTION("""COMPUTED_VALUE"""),"комплектуючі для меблів")</f>
        <v>комплектуючі для меблів</v>
      </c>
      <c r="E1063" s="16" t="str">
        <f>IFERROR(__xludf.DUMMYFUNCTION("""COMPUTED_VALUE"""),"механізми для меблів")</f>
        <v>механізми для меблів</v>
      </c>
      <c r="F1063" s="17">
        <f>IFERROR(__xludf.DUMMYFUNCTION("""COMPUTED_VALUE"""),4.0)</f>
        <v>4</v>
      </c>
      <c r="G1063" s="17" t="str">
        <f>IFERROR(__xludf.DUMMYFUNCTION("""COMPUTED_VALUE"""),"370808")</f>
        <v>370808</v>
      </c>
      <c r="H1063" s="17" t="str">
        <f>IFERROR(__xludf.DUMMYFUNCTION("""COMPUTED_VALUE"""),"механізми для меблів")</f>
        <v>механізми для меблів</v>
      </c>
      <c r="I1063" s="19">
        <f>IFERROR(__xludf.DUMMYFUNCTION("""COMPUTED_VALUE"""),0.0665)</f>
        <v>0.0665</v>
      </c>
      <c r="J1063" s="19">
        <f>IFERROR(__xludf.DUMMYFUNCTION("""COMPUTED_VALUE"""),0.133)</f>
        <v>0.133</v>
      </c>
      <c r="K1063" s="19">
        <f>IFERROR(__xludf.DUMMYFUNCTION("""COMPUTED_VALUE"""),0.1663)</f>
        <v>0.1663</v>
      </c>
      <c r="L1063" s="19">
        <f>IFERROR(__xludf.DUMMYFUNCTION("""COMPUTED_VALUE"""),0.1995)</f>
        <v>0.1995</v>
      </c>
      <c r="M1063" s="18">
        <f>IFERROR(__xludf.DUMMYFUNCTION("""COMPUTED_VALUE"""),1.98)</f>
        <v>1.98</v>
      </c>
    </row>
    <row r="1064">
      <c r="A1064" s="13" t="str">
        <f>IFERROR(__xludf.DUMMYFUNCTION("""COMPUTED_VALUE"""),"товари")</f>
        <v>товари</v>
      </c>
      <c r="B1064" s="16" t="str">
        <f>IFERROR(__xludf.DUMMYFUNCTION("""COMPUTED_VALUE"""),"товари для дому")</f>
        <v>товари для дому</v>
      </c>
      <c r="C1064" s="16" t="str">
        <f>IFERROR(__xludf.DUMMYFUNCTION("""COMPUTED_VALUE"""),"догляд за будинком")</f>
        <v>догляд за будинком</v>
      </c>
      <c r="D1064" s="16" t="str">
        <f>IFERROR(__xludf.DUMMYFUNCTION("""COMPUTED_VALUE"""),"прибирання")</f>
        <v>прибирання</v>
      </c>
      <c r="E1064" s="16" t="str">
        <f>IFERROR(__xludf.DUMMYFUNCTION("""COMPUTED_VALUE"""),"мийні та чистячі засоби")</f>
        <v>мийні та чистячі засоби</v>
      </c>
      <c r="F1064" s="17">
        <f>IFERROR(__xludf.DUMMYFUNCTION("""COMPUTED_VALUE"""),4.0)</f>
        <v>4</v>
      </c>
      <c r="G1064" s="17" t="str">
        <f>IFERROR(__xludf.DUMMYFUNCTION("""COMPUTED_VALUE"""),"82105")</f>
        <v>82105</v>
      </c>
      <c r="H1064" s="17" t="str">
        <f>IFERROR(__xludf.DUMMYFUNCTION("""COMPUTED_VALUE"""),"мийні та чистячі засоби")</f>
        <v>мийні та чистячі засоби</v>
      </c>
      <c r="I1064" s="19">
        <f>IFERROR(__xludf.DUMMYFUNCTION("""COMPUTED_VALUE"""),0.0727)</f>
        <v>0.0727</v>
      </c>
      <c r="J1064" s="19">
        <f>IFERROR(__xludf.DUMMYFUNCTION("""COMPUTED_VALUE"""),0.1454)</f>
        <v>0.1454</v>
      </c>
      <c r="K1064" s="19">
        <f>IFERROR(__xludf.DUMMYFUNCTION("""COMPUTED_VALUE"""),0.1818)</f>
        <v>0.1818</v>
      </c>
      <c r="L1064" s="19">
        <f>IFERROR(__xludf.DUMMYFUNCTION("""COMPUTED_VALUE"""),0.2181)</f>
        <v>0.2181</v>
      </c>
      <c r="M1064" s="18">
        <f>IFERROR(__xludf.DUMMYFUNCTION("""COMPUTED_VALUE"""),2.53)</f>
        <v>2.53</v>
      </c>
    </row>
    <row r="1065">
      <c r="A1065" s="13" t="str">
        <f>IFERROR(__xludf.DUMMYFUNCTION("""COMPUTED_VALUE"""),"товари")</f>
        <v>товари</v>
      </c>
      <c r="B1065" s="16" t="str">
        <f>IFERROR(__xludf.DUMMYFUNCTION("""COMPUTED_VALUE"""),"товари для дому")</f>
        <v>товари для дому</v>
      </c>
      <c r="C1065" s="16" t="str">
        <f>IFERROR(__xludf.DUMMYFUNCTION("""COMPUTED_VALUE"""),"приналежності для ванної та туалету")</f>
        <v>приналежності для ванної та туалету</v>
      </c>
      <c r="D1065" s="16" t="str">
        <f>IFERROR(__xludf.DUMMYFUNCTION("""COMPUTED_VALUE"""),"мильниці")</f>
        <v>мильниці</v>
      </c>
      <c r="E1065" s="16" t="str">
        <f>IFERROR(__xludf.DUMMYFUNCTION("""COMPUTED_VALUE"""),"мильниці")</f>
        <v>мильниці</v>
      </c>
      <c r="F1065" s="17">
        <f>IFERROR(__xludf.DUMMYFUNCTION("""COMPUTED_VALUE"""),3.0)</f>
        <v>3</v>
      </c>
      <c r="G1065" s="17" t="str">
        <f>IFERROR(__xludf.DUMMYFUNCTION("""COMPUTED_VALUE"""),"130121")</f>
        <v>130121</v>
      </c>
      <c r="H1065" s="17" t="str">
        <f>IFERROR(__xludf.DUMMYFUNCTION("""COMPUTED_VALUE"""),"мильниці")</f>
        <v>мильниці</v>
      </c>
      <c r="I1065" s="19">
        <f>IFERROR(__xludf.DUMMYFUNCTION("""COMPUTED_VALUE"""),0.0745)</f>
        <v>0.0745</v>
      </c>
      <c r="J1065" s="19">
        <f>IFERROR(__xludf.DUMMYFUNCTION("""COMPUTED_VALUE"""),0.149)</f>
        <v>0.149</v>
      </c>
      <c r="K1065" s="19">
        <f>IFERROR(__xludf.DUMMYFUNCTION("""COMPUTED_VALUE"""),0.1863)</f>
        <v>0.1863</v>
      </c>
      <c r="L1065" s="19">
        <f>IFERROR(__xludf.DUMMYFUNCTION("""COMPUTED_VALUE"""),0.2235)</f>
        <v>0.2235</v>
      </c>
      <c r="M1065" s="18">
        <f>IFERROR(__xludf.DUMMYFUNCTION("""COMPUTED_VALUE"""),1.44)</f>
        <v>1.44</v>
      </c>
    </row>
    <row r="1066">
      <c r="A1066" s="13" t="str">
        <f>IFERROR(__xludf.DUMMYFUNCTION("""COMPUTED_VALUE"""),"товари")</f>
        <v>товари</v>
      </c>
      <c r="B1066" s="16" t="str">
        <f>IFERROR(__xludf.DUMMYFUNCTION("""COMPUTED_VALUE"""),"товари для дому")</f>
        <v>товари для дому</v>
      </c>
      <c r="C1066" s="16" t="str">
        <f>IFERROR(__xludf.DUMMYFUNCTION("""COMPUTED_VALUE"""),"посуд")</f>
        <v>посуд</v>
      </c>
      <c r="D1066" s="16" t="str">
        <f>IFERROR(__xludf.DUMMYFUNCTION("""COMPUTED_VALUE"""),"посуд для приготування")</f>
        <v>посуд для приготування</v>
      </c>
      <c r="E1066" s="16" t="str">
        <f>IFERROR(__xludf.DUMMYFUNCTION("""COMPUTED_VALUE"""),"миски")</f>
        <v>миски</v>
      </c>
      <c r="F1066" s="17">
        <f>IFERROR(__xludf.DUMMYFUNCTION("""COMPUTED_VALUE"""),4.0)</f>
        <v>4</v>
      </c>
      <c r="G1066" s="17" t="str">
        <f>IFERROR(__xludf.DUMMYFUNCTION("""COMPUTED_VALUE"""),"152202")</f>
        <v>152202</v>
      </c>
      <c r="H1066" s="17" t="str">
        <f>IFERROR(__xludf.DUMMYFUNCTION("""COMPUTED_VALUE"""),"миски")</f>
        <v>миски</v>
      </c>
      <c r="I1066" s="19">
        <f>IFERROR(__xludf.DUMMYFUNCTION("""COMPUTED_VALUE"""),0.0774)</f>
        <v>0.0774</v>
      </c>
      <c r="J1066" s="19">
        <f>IFERROR(__xludf.DUMMYFUNCTION("""COMPUTED_VALUE"""),0.1547)</f>
        <v>0.1547</v>
      </c>
      <c r="K1066" s="19">
        <f>IFERROR(__xludf.DUMMYFUNCTION("""COMPUTED_VALUE"""),0.1934)</f>
        <v>0.1934</v>
      </c>
      <c r="L1066" s="19">
        <f>IFERROR(__xludf.DUMMYFUNCTION("""COMPUTED_VALUE"""),0.2321)</f>
        <v>0.2321</v>
      </c>
      <c r="M1066" s="18">
        <f>IFERROR(__xludf.DUMMYFUNCTION("""COMPUTED_VALUE"""),2.53)</f>
        <v>2.53</v>
      </c>
    </row>
    <row r="1067">
      <c r="A1067" s="13" t="str">
        <f>IFERROR(__xludf.DUMMYFUNCTION("""COMPUTED_VALUE"""),"товари")</f>
        <v>товари</v>
      </c>
      <c r="B1067" s="16" t="str">
        <f>IFERROR(__xludf.DUMMYFUNCTION("""COMPUTED_VALUE"""),"товари для дому")</f>
        <v>товари для дому</v>
      </c>
      <c r="C1067" s="16" t="str">
        <f>IFERROR(__xludf.DUMMYFUNCTION("""COMPUTED_VALUE"""),"рішення для зберігання")</f>
        <v>рішення для зберігання</v>
      </c>
      <c r="D1067" s="16" t="str">
        <f>IFERROR(__xludf.DUMMYFUNCTION("""COMPUTED_VALUE"""),"мішки для зберігання")</f>
        <v>мішки для зберігання</v>
      </c>
      <c r="E1067" s="16" t="str">
        <f>IFERROR(__xludf.DUMMYFUNCTION("""COMPUTED_VALUE"""),"мішки для зберігання")</f>
        <v>мішки для зберігання</v>
      </c>
      <c r="F1067" s="17">
        <f>IFERROR(__xludf.DUMMYFUNCTION("""COMPUTED_VALUE"""),3.0)</f>
        <v>3</v>
      </c>
      <c r="G1067" s="17" t="str">
        <f>IFERROR(__xludf.DUMMYFUNCTION("""COMPUTED_VALUE"""),"154101")</f>
        <v>154101</v>
      </c>
      <c r="H1067" s="17" t="str">
        <f>IFERROR(__xludf.DUMMYFUNCTION("""COMPUTED_VALUE"""),"мішки для зберігання")</f>
        <v>мішки для зберігання</v>
      </c>
      <c r="I1067" s="19">
        <f>IFERROR(__xludf.DUMMYFUNCTION("""COMPUTED_VALUE"""),0.079)</f>
        <v>0.079</v>
      </c>
      <c r="J1067" s="19">
        <f>IFERROR(__xludf.DUMMYFUNCTION("""COMPUTED_VALUE"""),0.1579)</f>
        <v>0.1579</v>
      </c>
      <c r="K1067" s="19">
        <f>IFERROR(__xludf.DUMMYFUNCTION("""COMPUTED_VALUE"""),0.1974)</f>
        <v>0.1974</v>
      </c>
      <c r="L1067" s="19">
        <f>IFERROR(__xludf.DUMMYFUNCTION("""COMPUTED_VALUE"""),0.2369)</f>
        <v>0.2369</v>
      </c>
      <c r="M1067" s="18">
        <f>IFERROR(__xludf.DUMMYFUNCTION("""COMPUTED_VALUE"""),2.08)</f>
        <v>2.08</v>
      </c>
    </row>
    <row r="1068">
      <c r="A1068" s="13" t="str">
        <f>IFERROR(__xludf.DUMMYFUNCTION("""COMPUTED_VALUE"""),"товари")</f>
        <v>товари</v>
      </c>
      <c r="B1068" s="16" t="str">
        <f>IFERROR(__xludf.DUMMYFUNCTION("""COMPUTED_VALUE"""),"товари для дому")</f>
        <v>товари для дому</v>
      </c>
      <c r="C1068" s="16" t="str">
        <f>IFERROR(__xludf.DUMMYFUNCTION("""COMPUTED_VALUE"""),"догляд за будинком")</f>
        <v>догляд за будинком</v>
      </c>
      <c r="D1068" s="16" t="str">
        <f>IFERROR(__xludf.DUMMYFUNCTION("""COMPUTED_VALUE"""),"прання і прасування")</f>
        <v>прання і прасування</v>
      </c>
      <c r="E1068" s="16" t="str">
        <f>IFERROR(__xludf.DUMMYFUNCTION("""COMPUTED_VALUE"""),"мішки, кулі, сітки для прання")</f>
        <v>мішки, кулі, сітки для прання</v>
      </c>
      <c r="F1068" s="17">
        <f>IFERROR(__xludf.DUMMYFUNCTION("""COMPUTED_VALUE"""),4.0)</f>
        <v>4</v>
      </c>
      <c r="G1068" s="17" t="str">
        <f>IFERROR(__xludf.DUMMYFUNCTION("""COMPUTED_VALUE"""),"151609")</f>
        <v>151609</v>
      </c>
      <c r="H1068" s="17" t="str">
        <f>IFERROR(__xludf.DUMMYFUNCTION("""COMPUTED_VALUE"""),"мішки, кулі, сітки для прання")</f>
        <v>мішки, кулі, сітки для прання</v>
      </c>
      <c r="I1068" s="19">
        <f>IFERROR(__xludf.DUMMYFUNCTION("""COMPUTED_VALUE"""),0.0771)</f>
        <v>0.0771</v>
      </c>
      <c r="J1068" s="19">
        <f>IFERROR(__xludf.DUMMYFUNCTION("""COMPUTED_VALUE"""),0.1541)</f>
        <v>0.1541</v>
      </c>
      <c r="K1068" s="19">
        <f>IFERROR(__xludf.DUMMYFUNCTION("""COMPUTED_VALUE"""),0.1926)</f>
        <v>0.1926</v>
      </c>
      <c r="L1068" s="19">
        <f>IFERROR(__xludf.DUMMYFUNCTION("""COMPUTED_VALUE"""),0.2312)</f>
        <v>0.2312</v>
      </c>
      <c r="M1068" s="18">
        <f>IFERROR(__xludf.DUMMYFUNCTION("""COMPUTED_VALUE"""),1.98)</f>
        <v>1.98</v>
      </c>
    </row>
    <row r="1069">
      <c r="A1069" s="13" t="str">
        <f>IFERROR(__xludf.DUMMYFUNCTION("""COMPUTED_VALUE"""),"товари")</f>
        <v>товари</v>
      </c>
      <c r="B1069" s="16" t="str">
        <f>IFERROR(__xludf.DUMMYFUNCTION("""COMPUTED_VALUE"""),"дача, сад і город")</f>
        <v>дача, сад і город</v>
      </c>
      <c r="C1069" s="16" t="str">
        <f>IFERROR(__xludf.DUMMYFUNCTION("""COMPUTED_VALUE"""),"мобільні басейни")</f>
        <v>мобільні басейни</v>
      </c>
      <c r="D1069" s="16" t="str">
        <f>IFERROR(__xludf.DUMMYFUNCTION("""COMPUTED_VALUE"""),"мобільні басейни, загальне")</f>
        <v>мобільні басейни, загальне</v>
      </c>
      <c r="E1069" s="16" t="str">
        <f>IFERROR(__xludf.DUMMYFUNCTION("""COMPUTED_VALUE"""),"мобільні басейни, загальне")</f>
        <v>мобільні басейни, загальне</v>
      </c>
      <c r="F1069" s="17">
        <f>IFERROR(__xludf.DUMMYFUNCTION("""COMPUTED_VALUE"""),3.0)</f>
        <v>3</v>
      </c>
      <c r="G1069" s="17" t="str">
        <f>IFERROR(__xludf.DUMMYFUNCTION("""COMPUTED_VALUE"""),"1252301")</f>
        <v>1252301</v>
      </c>
      <c r="H1069" s="17" t="str">
        <f>IFERROR(__xludf.DUMMYFUNCTION("""COMPUTED_VALUE"""),"мобільні басейни, загальне")</f>
        <v>мобільні басейни, загальне</v>
      </c>
      <c r="I1069" s="19">
        <f>IFERROR(__xludf.DUMMYFUNCTION("""COMPUTED_VALUE"""),0.125)</f>
        <v>0.125</v>
      </c>
      <c r="J1069" s="19">
        <f>IFERROR(__xludf.DUMMYFUNCTION("""COMPUTED_VALUE"""),0.25)</f>
        <v>0.25</v>
      </c>
      <c r="K1069" s="19">
        <f>IFERROR(__xludf.DUMMYFUNCTION("""COMPUTED_VALUE"""),0.3125)</f>
        <v>0.3125</v>
      </c>
      <c r="L1069" s="19">
        <f>IFERROR(__xludf.DUMMYFUNCTION("""COMPUTED_VALUE"""),0.375)</f>
        <v>0.375</v>
      </c>
      <c r="M1069" s="18">
        <f>IFERROR(__xludf.DUMMYFUNCTION("""COMPUTED_VALUE"""),4.33)</f>
        <v>4.33</v>
      </c>
    </row>
    <row r="1070">
      <c r="A1070" s="13" t="str">
        <f>IFERROR(__xludf.DUMMYFUNCTION("""COMPUTED_VALUE"""),"товари")</f>
        <v>товари</v>
      </c>
      <c r="B1070" s="16" t="str">
        <f>IFERROR(__xludf.DUMMYFUNCTION("""COMPUTED_VALUE"""),"товари для дому")</f>
        <v>товари для дому</v>
      </c>
      <c r="C1070" s="16" t="str">
        <f>IFERROR(__xludf.DUMMYFUNCTION("""COMPUTED_VALUE"""),"посуд")</f>
        <v>посуд</v>
      </c>
      <c r="D1070" s="16" t="str">
        <f>IFERROR(__xludf.DUMMYFUNCTION("""COMPUTED_VALUE"""),"столовий посуд")</f>
        <v>столовий посуд</v>
      </c>
      <c r="E1070" s="16" t="str">
        <f>IFERROR(__xludf.DUMMYFUNCTION("""COMPUTED_VALUE"""),"молочники")</f>
        <v>молочники</v>
      </c>
      <c r="F1070" s="17">
        <f>IFERROR(__xludf.DUMMYFUNCTION("""COMPUTED_VALUE"""),4.0)</f>
        <v>4</v>
      </c>
      <c r="G1070" s="17" t="str">
        <f>IFERROR(__xludf.DUMMYFUNCTION("""COMPUTED_VALUE"""),"15230319")</f>
        <v>15230319</v>
      </c>
      <c r="H1070" s="17" t="str">
        <f>IFERROR(__xludf.DUMMYFUNCTION("""COMPUTED_VALUE"""),"молочники")</f>
        <v>молочники</v>
      </c>
      <c r="I1070" s="19">
        <f>IFERROR(__xludf.DUMMYFUNCTION("""COMPUTED_VALUE"""),0.0771)</f>
        <v>0.0771</v>
      </c>
      <c r="J1070" s="19">
        <f>IFERROR(__xludf.DUMMYFUNCTION("""COMPUTED_VALUE"""),0.1541)</f>
        <v>0.1541</v>
      </c>
      <c r="K1070" s="19">
        <f>IFERROR(__xludf.DUMMYFUNCTION("""COMPUTED_VALUE"""),0.1926)</f>
        <v>0.1926</v>
      </c>
      <c r="L1070" s="19">
        <f>IFERROR(__xludf.DUMMYFUNCTION("""COMPUTED_VALUE"""),0.2312)</f>
        <v>0.2312</v>
      </c>
      <c r="M1070" s="18">
        <f>IFERROR(__xludf.DUMMYFUNCTION("""COMPUTED_VALUE"""),2.08)</f>
        <v>2.08</v>
      </c>
    </row>
    <row r="1071">
      <c r="A1071" s="13" t="str">
        <f>IFERROR(__xludf.DUMMYFUNCTION("""COMPUTED_VALUE"""),"товари")</f>
        <v>товари</v>
      </c>
      <c r="B1071" s="16" t="str">
        <f>IFERROR(__xludf.DUMMYFUNCTION("""COMPUTED_VALUE"""),"товари для дому")</f>
        <v>товари для дому</v>
      </c>
      <c r="C1071" s="16" t="str">
        <f>IFERROR(__xludf.DUMMYFUNCTION("""COMPUTED_VALUE"""),"догляд за будинком")</f>
        <v>догляд за будинком</v>
      </c>
      <c r="D1071" s="16" t="str">
        <f>IFERROR(__xludf.DUMMYFUNCTION("""COMPUTED_VALUE"""),"захист від комах і гризунів")</f>
        <v>захист від комах і гризунів</v>
      </c>
      <c r="E1071" s="16" t="str">
        <f>IFERROR(__xludf.DUMMYFUNCTION("""COMPUTED_VALUE"""),"москітні пологи")</f>
        <v>москітні пологи</v>
      </c>
      <c r="F1071" s="17">
        <f>IFERROR(__xludf.DUMMYFUNCTION("""COMPUTED_VALUE"""),4.0)</f>
        <v>4</v>
      </c>
      <c r="G1071" s="17" t="str">
        <f>IFERROR(__xludf.DUMMYFUNCTION("""COMPUTED_VALUE"""),"40508")</f>
        <v>40508</v>
      </c>
      <c r="H1071" s="17" t="str">
        <f>IFERROR(__xludf.DUMMYFUNCTION("""COMPUTED_VALUE"""),"москітні пологи")</f>
        <v>москітні пологи</v>
      </c>
      <c r="I1071" s="19">
        <f>IFERROR(__xludf.DUMMYFUNCTION("""COMPUTED_VALUE"""),0.0665)</f>
        <v>0.0665</v>
      </c>
      <c r="J1071" s="19">
        <f>IFERROR(__xludf.DUMMYFUNCTION("""COMPUTED_VALUE"""),0.133)</f>
        <v>0.133</v>
      </c>
      <c r="K1071" s="19">
        <f>IFERROR(__xludf.DUMMYFUNCTION("""COMPUTED_VALUE"""),0.1663)</f>
        <v>0.1663</v>
      </c>
      <c r="L1071" s="19">
        <f>IFERROR(__xludf.DUMMYFUNCTION("""COMPUTED_VALUE"""),0.1995)</f>
        <v>0.1995</v>
      </c>
      <c r="M1071" s="18">
        <f>IFERROR(__xludf.DUMMYFUNCTION("""COMPUTED_VALUE"""),3.06)</f>
        <v>3.06</v>
      </c>
    </row>
    <row r="1072">
      <c r="A1072" s="13" t="str">
        <f>IFERROR(__xludf.DUMMYFUNCTION("""COMPUTED_VALUE"""),"товари")</f>
        <v>товари</v>
      </c>
      <c r="B1072" s="16" t="str">
        <f>IFERROR(__xludf.DUMMYFUNCTION("""COMPUTED_VALUE"""),"дача, сад і город")</f>
        <v>дача, сад і город</v>
      </c>
      <c r="C1072" s="16" t="str">
        <f>IFERROR(__xludf.DUMMYFUNCTION("""COMPUTED_VALUE"""),"інструменти для обробки грунту")</f>
        <v>інструменти для обробки грунту</v>
      </c>
      <c r="D1072" s="16" t="str">
        <f>IFERROR(__xludf.DUMMYFUNCTION("""COMPUTED_VALUE"""),"мотики, сапи, сапки")</f>
        <v>мотики, сапи, сапки</v>
      </c>
      <c r="E1072" s="16" t="str">
        <f>IFERROR(__xludf.DUMMYFUNCTION("""COMPUTED_VALUE"""),"мотики, сапи, сапки")</f>
        <v>мотики, сапи, сапки</v>
      </c>
      <c r="F1072" s="17">
        <f>IFERROR(__xludf.DUMMYFUNCTION("""COMPUTED_VALUE"""),3.0)</f>
        <v>3</v>
      </c>
      <c r="G1072" s="17" t="str">
        <f>IFERROR(__xludf.DUMMYFUNCTION("""COMPUTED_VALUE"""),"1250307")</f>
        <v>1250307</v>
      </c>
      <c r="H1072" s="17" t="str">
        <f>IFERROR(__xludf.DUMMYFUNCTION("""COMPUTED_VALUE"""),"мотики, сапи, сапки")</f>
        <v>мотики, сапи, сапки</v>
      </c>
      <c r="I1072" s="19">
        <f>IFERROR(__xludf.DUMMYFUNCTION("""COMPUTED_VALUE"""),0.0737)</f>
        <v>0.0737</v>
      </c>
      <c r="J1072" s="19">
        <f>IFERROR(__xludf.DUMMYFUNCTION("""COMPUTED_VALUE"""),0.1473)</f>
        <v>0.1473</v>
      </c>
      <c r="K1072" s="19">
        <f>IFERROR(__xludf.DUMMYFUNCTION("""COMPUTED_VALUE"""),0.1841)</f>
        <v>0.1841</v>
      </c>
      <c r="L1072" s="19">
        <f>IFERROR(__xludf.DUMMYFUNCTION("""COMPUTED_VALUE"""),0.221)</f>
        <v>0.221</v>
      </c>
      <c r="M1072" s="18">
        <f>IFERROR(__xludf.DUMMYFUNCTION("""COMPUTED_VALUE"""),1.71)</f>
        <v>1.71</v>
      </c>
    </row>
    <row r="1073">
      <c r="A1073" s="13" t="str">
        <f>IFERROR(__xludf.DUMMYFUNCTION("""COMPUTED_VALUE"""),"товари")</f>
        <v>товари</v>
      </c>
      <c r="B1073" s="16" t="str">
        <f>IFERROR(__xludf.DUMMYFUNCTION("""COMPUTED_VALUE"""),"дача, сад і город")</f>
        <v>дача, сад і город</v>
      </c>
      <c r="C1073" s="16" t="str">
        <f>IFERROR(__xludf.DUMMYFUNCTION("""COMPUTED_VALUE"""),"мінісільгосптехніка")</f>
        <v>мінісільгосптехніка</v>
      </c>
      <c r="D1073" s="16" t="str">
        <f>IFERROR(__xludf.DUMMYFUNCTION("""COMPUTED_VALUE"""),"мотоблоки та культиватори")</f>
        <v>мотоблоки та культиватори</v>
      </c>
      <c r="E1073" s="16" t="str">
        <f>IFERROR(__xludf.DUMMYFUNCTION("""COMPUTED_VALUE"""),"мотоблоки та культиватори")</f>
        <v>мотоблоки та культиватори</v>
      </c>
      <c r="F1073" s="17">
        <f>IFERROR(__xludf.DUMMYFUNCTION("""COMPUTED_VALUE"""),3.0)</f>
        <v>3</v>
      </c>
      <c r="G1073" s="17">
        <f>IFERROR(__xludf.DUMMYFUNCTION("""COMPUTED_VALUE"""),1.25031801E8)</f>
        <v>125031801</v>
      </c>
      <c r="H1073" s="17" t="str">
        <f>IFERROR(__xludf.DUMMYFUNCTION("""COMPUTED_VALUE"""),"мотоблоки та культиватори")</f>
        <v>мотоблоки та культиватори</v>
      </c>
      <c r="I1073" s="19">
        <f>IFERROR(__xludf.DUMMYFUNCTION("""COMPUTED_VALUE"""),0.0463)</f>
        <v>0.0463</v>
      </c>
      <c r="J1073" s="19">
        <f>IFERROR(__xludf.DUMMYFUNCTION("""COMPUTED_VALUE"""),0.0926)</f>
        <v>0.0926</v>
      </c>
      <c r="K1073" s="19">
        <f>IFERROR(__xludf.DUMMYFUNCTION("""COMPUTED_VALUE"""),0.1158)</f>
        <v>0.1158</v>
      </c>
      <c r="L1073" s="19">
        <f>IFERROR(__xludf.DUMMYFUNCTION("""COMPUTED_VALUE"""),0.1389)</f>
        <v>0.1389</v>
      </c>
      <c r="M1073" s="18">
        <f>IFERROR(__xludf.DUMMYFUNCTION("""COMPUTED_VALUE"""),2.08)</f>
        <v>2.08</v>
      </c>
    </row>
    <row r="1074">
      <c r="A1074" s="13" t="str">
        <f>IFERROR(__xludf.DUMMYFUNCTION("""COMPUTED_VALUE"""),"товари")</f>
        <v>товари</v>
      </c>
      <c r="B1074" s="16" t="str">
        <f>IFERROR(__xludf.DUMMYFUNCTION("""COMPUTED_VALUE"""),"дача, сад і город")</f>
        <v>дача, сад і город</v>
      </c>
      <c r="C1074" s="16" t="str">
        <f>IFERROR(__xludf.DUMMYFUNCTION("""COMPUTED_VALUE"""),"інструмент для скошування трави")</f>
        <v>інструмент для скошування трави</v>
      </c>
      <c r="D1074" s="16" t="str">
        <f>IFERROR(__xludf.DUMMYFUNCTION("""COMPUTED_VALUE"""),"мотокоси і тримери")</f>
        <v>мотокоси і тримери</v>
      </c>
      <c r="E1074" s="16" t="str">
        <f>IFERROR(__xludf.DUMMYFUNCTION("""COMPUTED_VALUE"""),"мотокоси і тримери")</f>
        <v>мотокоси і тримери</v>
      </c>
      <c r="F1074" s="17">
        <f>IFERROR(__xludf.DUMMYFUNCTION("""COMPUTED_VALUE"""),3.0)</f>
        <v>3</v>
      </c>
      <c r="G1074" s="17" t="str">
        <f>IFERROR(__xludf.DUMMYFUNCTION("""COMPUTED_VALUE"""),"1250321")</f>
        <v>1250321</v>
      </c>
      <c r="H1074" s="17" t="str">
        <f>IFERROR(__xludf.DUMMYFUNCTION("""COMPUTED_VALUE"""),"мотокоси і тримери")</f>
        <v>мотокоси і тримери</v>
      </c>
      <c r="I1074" s="19">
        <f>IFERROR(__xludf.DUMMYFUNCTION("""COMPUTED_VALUE"""),0.05)</f>
        <v>0.05</v>
      </c>
      <c r="J1074" s="19">
        <f>IFERROR(__xludf.DUMMYFUNCTION("""COMPUTED_VALUE"""),0.1)</f>
        <v>0.1</v>
      </c>
      <c r="K1074" s="19">
        <f>IFERROR(__xludf.DUMMYFUNCTION("""COMPUTED_VALUE"""),0.125)</f>
        <v>0.125</v>
      </c>
      <c r="L1074" s="19">
        <f>IFERROR(__xludf.DUMMYFUNCTION("""COMPUTED_VALUE"""),0.15)</f>
        <v>0.15</v>
      </c>
      <c r="M1074" s="18">
        <f>IFERROR(__xludf.DUMMYFUNCTION("""COMPUTED_VALUE"""),1.53)</f>
        <v>1.53</v>
      </c>
    </row>
    <row r="1075">
      <c r="A1075" s="13" t="str">
        <f>IFERROR(__xludf.DUMMYFUNCTION("""COMPUTED_VALUE"""),"товари")</f>
        <v>товари</v>
      </c>
      <c r="B1075" s="16" t="str">
        <f>IFERROR(__xludf.DUMMYFUNCTION("""COMPUTED_VALUE"""),"товари для дому")</f>
        <v>товари для дому</v>
      </c>
      <c r="C1075" s="16" t="str">
        <f>IFERROR(__xludf.DUMMYFUNCTION("""COMPUTED_VALUE"""),"декор для дому")</f>
        <v>декор для дому</v>
      </c>
      <c r="D1075" s="16" t="str">
        <f>IFERROR(__xludf.DUMMYFUNCTION("""COMPUTED_VALUE"""),"штучні квіти і рослини")</f>
        <v>штучні квіти і рослини</v>
      </c>
      <c r="E1075" s="16" t="str">
        <f>IFERROR(__xludf.DUMMYFUNCTION("""COMPUTED_VALUE"""),"муляжі продуктів")</f>
        <v>муляжі продуктів</v>
      </c>
      <c r="F1075" s="17">
        <f>IFERROR(__xludf.DUMMYFUNCTION("""COMPUTED_VALUE"""),4.0)</f>
        <v>4</v>
      </c>
      <c r="G1075" s="17" t="str">
        <f>IFERROR(__xludf.DUMMYFUNCTION("""COMPUTED_VALUE"""),"371023")</f>
        <v>371023</v>
      </c>
      <c r="H1075" s="17" t="str">
        <f>IFERROR(__xludf.DUMMYFUNCTION("""COMPUTED_VALUE"""),"муляжі продуктів")</f>
        <v>муляжі продуктів</v>
      </c>
      <c r="I1075" s="19">
        <f>IFERROR(__xludf.DUMMYFUNCTION("""COMPUTED_VALUE"""),0.0811)</f>
        <v>0.0811</v>
      </c>
      <c r="J1075" s="19">
        <f>IFERROR(__xludf.DUMMYFUNCTION("""COMPUTED_VALUE"""),0.1621)</f>
        <v>0.1621</v>
      </c>
      <c r="K1075" s="19">
        <f>IFERROR(__xludf.DUMMYFUNCTION("""COMPUTED_VALUE"""),0.2026)</f>
        <v>0.2026</v>
      </c>
      <c r="L1075" s="19">
        <f>IFERROR(__xludf.DUMMYFUNCTION("""COMPUTED_VALUE"""),0.2432)</f>
        <v>0.2432</v>
      </c>
      <c r="M1075" s="18">
        <f>IFERROR(__xludf.DUMMYFUNCTION("""COMPUTED_VALUE"""),4.65)</f>
        <v>4.65</v>
      </c>
    </row>
    <row r="1076">
      <c r="A1076" s="13" t="str">
        <f>IFERROR(__xludf.DUMMYFUNCTION("""COMPUTED_VALUE"""),"товари")</f>
        <v>товари</v>
      </c>
      <c r="B1076" s="16" t="str">
        <f>IFERROR(__xludf.DUMMYFUNCTION("""COMPUTED_VALUE"""),"товари для дому")</f>
        <v>товари для дому</v>
      </c>
      <c r="C1076" s="16" t="str">
        <f>IFERROR(__xludf.DUMMYFUNCTION("""COMPUTED_VALUE"""),"догляд за будинком")</f>
        <v>догляд за будинком</v>
      </c>
      <c r="D1076" s="16" t="str">
        <f>IFERROR(__xludf.DUMMYFUNCTION("""COMPUTED_VALUE"""),"захист від комах і гризунів")</f>
        <v>захист від комах і гризунів</v>
      </c>
      <c r="E1076" s="16" t="str">
        <f>IFERROR(__xludf.DUMMYFUNCTION("""COMPUTED_VALUE"""),"мухобойки для будинку")</f>
        <v>мухобойки для будинку</v>
      </c>
      <c r="F1076" s="17">
        <f>IFERROR(__xludf.DUMMYFUNCTION("""COMPUTED_VALUE"""),4.0)</f>
        <v>4</v>
      </c>
      <c r="G1076" s="17" t="str">
        <f>IFERROR(__xludf.DUMMYFUNCTION("""COMPUTED_VALUE"""),"151801")</f>
        <v>151801</v>
      </c>
      <c r="H1076" s="17" t="str">
        <f>IFERROR(__xludf.DUMMYFUNCTION("""COMPUTED_VALUE"""),"мухобойки для будинку")</f>
        <v>мухобойки для будинку</v>
      </c>
      <c r="I1076" s="19">
        <f>IFERROR(__xludf.DUMMYFUNCTION("""COMPUTED_VALUE"""),0.0772)</f>
        <v>0.0772</v>
      </c>
      <c r="J1076" s="19">
        <f>IFERROR(__xludf.DUMMYFUNCTION("""COMPUTED_VALUE"""),0.1544)</f>
        <v>0.1544</v>
      </c>
      <c r="K1076" s="19">
        <f>IFERROR(__xludf.DUMMYFUNCTION("""COMPUTED_VALUE"""),0.193)</f>
        <v>0.193</v>
      </c>
      <c r="L1076" s="19">
        <f>IFERROR(__xludf.DUMMYFUNCTION("""COMPUTED_VALUE"""),0.2316)</f>
        <v>0.2316</v>
      </c>
      <c r="M1076" s="18">
        <f>IFERROR(__xludf.DUMMYFUNCTION("""COMPUTED_VALUE"""),3.06)</f>
        <v>3.06</v>
      </c>
    </row>
    <row r="1077">
      <c r="A1077" s="13" t="str">
        <f>IFERROR(__xludf.DUMMYFUNCTION("""COMPUTED_VALUE"""),"товари")</f>
        <v>товари</v>
      </c>
      <c r="B1077" s="16" t="str">
        <f>IFERROR(__xludf.DUMMYFUNCTION("""COMPUTED_VALUE"""),"товари для дому")</f>
        <v>товари для дому</v>
      </c>
      <c r="C1077" s="16" t="str">
        <f>IFERROR(__xludf.DUMMYFUNCTION("""COMPUTED_VALUE"""),"посуд")</f>
        <v>посуд</v>
      </c>
      <c r="D1077" s="16" t="str">
        <f>IFERROR(__xludf.DUMMYFUNCTION("""COMPUTED_VALUE"""),"аксесуари для бару")</f>
        <v>аксесуари для бару</v>
      </c>
      <c r="E1077" s="16" t="str">
        <f>IFERROR(__xludf.DUMMYFUNCTION("""COMPUTED_VALUE"""),"набори для бару")</f>
        <v>набори для бару</v>
      </c>
      <c r="F1077" s="17">
        <f>IFERROR(__xludf.DUMMYFUNCTION("""COMPUTED_VALUE"""),4.0)</f>
        <v>4</v>
      </c>
      <c r="G1077" s="17" t="str">
        <f>IFERROR(__xludf.DUMMYFUNCTION("""COMPUTED_VALUE"""),"152910")</f>
        <v>152910</v>
      </c>
      <c r="H1077" s="17" t="str">
        <f>IFERROR(__xludf.DUMMYFUNCTION("""COMPUTED_VALUE"""),"набори для бару")</f>
        <v>набори для бару</v>
      </c>
      <c r="I1077" s="19">
        <f>IFERROR(__xludf.DUMMYFUNCTION("""COMPUTED_VALUE"""),0.0772)</f>
        <v>0.0772</v>
      </c>
      <c r="J1077" s="19">
        <f>IFERROR(__xludf.DUMMYFUNCTION("""COMPUTED_VALUE"""),0.1543)</f>
        <v>0.1543</v>
      </c>
      <c r="K1077" s="19">
        <f>IFERROR(__xludf.DUMMYFUNCTION("""COMPUTED_VALUE"""),0.1929)</f>
        <v>0.1929</v>
      </c>
      <c r="L1077" s="19">
        <f>IFERROR(__xludf.DUMMYFUNCTION("""COMPUTED_VALUE"""),0.2315)</f>
        <v>0.2315</v>
      </c>
      <c r="M1077" s="18">
        <f>IFERROR(__xludf.DUMMYFUNCTION("""COMPUTED_VALUE"""),2.7)</f>
        <v>2.7</v>
      </c>
    </row>
    <row r="1078">
      <c r="A1078" s="13" t="str">
        <f>IFERROR(__xludf.DUMMYFUNCTION("""COMPUTED_VALUE"""),"товари")</f>
        <v>товари</v>
      </c>
      <c r="B1078" s="16" t="str">
        <f>IFERROR(__xludf.DUMMYFUNCTION("""COMPUTED_VALUE"""),"дача, сад і город")</f>
        <v>дача, сад і город</v>
      </c>
      <c r="C1078" s="16" t="str">
        <f>IFERROR(__xludf.DUMMYFUNCTION("""COMPUTED_VALUE"""),"обладнання для поливу")</f>
        <v>обладнання для поливу</v>
      </c>
      <c r="D1078" s="16" t="str">
        <f>IFERROR(__xludf.DUMMYFUNCTION("""COMPUTED_VALUE"""),"набори для крапельного поливу")</f>
        <v>набори для крапельного поливу</v>
      </c>
      <c r="E1078" s="16" t="str">
        <f>IFERROR(__xludf.DUMMYFUNCTION("""COMPUTED_VALUE"""),"набори для крапельного поливу")</f>
        <v>набори для крапельного поливу</v>
      </c>
      <c r="F1078" s="17">
        <f>IFERROR(__xludf.DUMMYFUNCTION("""COMPUTED_VALUE"""),3.0)</f>
        <v>3</v>
      </c>
      <c r="G1078" s="17" t="str">
        <f>IFERROR(__xludf.DUMMYFUNCTION("""COMPUTED_VALUE"""),"1250359")</f>
        <v>1250359</v>
      </c>
      <c r="H1078" s="17" t="str">
        <f>IFERROR(__xludf.DUMMYFUNCTION("""COMPUTED_VALUE"""),"набори для крапельного поливу")</f>
        <v>набори для крапельного поливу</v>
      </c>
      <c r="I1078" s="19">
        <f>IFERROR(__xludf.DUMMYFUNCTION("""COMPUTED_VALUE"""),0.0791)</f>
        <v>0.0791</v>
      </c>
      <c r="J1078" s="19">
        <f>IFERROR(__xludf.DUMMYFUNCTION("""COMPUTED_VALUE"""),0.1581)</f>
        <v>0.1581</v>
      </c>
      <c r="K1078" s="19">
        <f>IFERROR(__xludf.DUMMYFUNCTION("""COMPUTED_VALUE"""),0.1976)</f>
        <v>0.1976</v>
      </c>
      <c r="L1078" s="19">
        <f>IFERROR(__xludf.DUMMYFUNCTION("""COMPUTED_VALUE"""),0.2372)</f>
        <v>0.2372</v>
      </c>
      <c r="M1078" s="18">
        <f>IFERROR(__xludf.DUMMYFUNCTION("""COMPUTED_VALUE"""),3.43)</f>
        <v>3.43</v>
      </c>
    </row>
    <row r="1079">
      <c r="A1079" s="13" t="str">
        <f>IFERROR(__xludf.DUMMYFUNCTION("""COMPUTED_VALUE"""),"товари")</f>
        <v>товари</v>
      </c>
      <c r="B1079" s="16" t="str">
        <f>IFERROR(__xludf.DUMMYFUNCTION("""COMPUTED_VALUE"""),"товари для дому")</f>
        <v>товари для дому</v>
      </c>
      <c r="C1079" s="16" t="str">
        <f>IFERROR(__xludf.DUMMYFUNCTION("""COMPUTED_VALUE"""),"посуд")</f>
        <v>посуд</v>
      </c>
      <c r="D1079" s="16" t="str">
        <f>IFERROR(__xludf.DUMMYFUNCTION("""COMPUTED_VALUE"""),"посуд для приготування")</f>
        <v>посуд для приготування</v>
      </c>
      <c r="E1079" s="16" t="str">
        <f>IFERROR(__xludf.DUMMYFUNCTION("""COMPUTED_VALUE"""),"набори кухонного посуду")</f>
        <v>набори кухонного посуду</v>
      </c>
      <c r="F1079" s="17">
        <f>IFERROR(__xludf.DUMMYFUNCTION("""COMPUTED_VALUE"""),4.0)</f>
        <v>4</v>
      </c>
      <c r="G1079" s="17" t="str">
        <f>IFERROR(__xludf.DUMMYFUNCTION("""COMPUTED_VALUE"""),"15230303")</f>
        <v>15230303</v>
      </c>
      <c r="H1079" s="17" t="str">
        <f>IFERROR(__xludf.DUMMYFUNCTION("""COMPUTED_VALUE"""),"набори кухонного посуду")</f>
        <v>набори кухонного посуду</v>
      </c>
      <c r="I1079" s="19">
        <f>IFERROR(__xludf.DUMMYFUNCTION("""COMPUTED_VALUE"""),0.075)</f>
        <v>0.075</v>
      </c>
      <c r="J1079" s="19">
        <f>IFERROR(__xludf.DUMMYFUNCTION("""COMPUTED_VALUE"""),0.15)</f>
        <v>0.15</v>
      </c>
      <c r="K1079" s="19">
        <f>IFERROR(__xludf.DUMMYFUNCTION("""COMPUTED_VALUE"""),0.1875)</f>
        <v>0.1875</v>
      </c>
      <c r="L1079" s="19">
        <f>IFERROR(__xludf.DUMMYFUNCTION("""COMPUTED_VALUE"""),0.225)</f>
        <v>0.225</v>
      </c>
      <c r="M1079" s="18">
        <f>IFERROR(__xludf.DUMMYFUNCTION("""COMPUTED_VALUE"""),2.53)</f>
        <v>2.53</v>
      </c>
    </row>
    <row r="1080">
      <c r="A1080" s="13" t="str">
        <f>IFERROR(__xludf.DUMMYFUNCTION("""COMPUTED_VALUE"""),"товари")</f>
        <v>товари</v>
      </c>
      <c r="B1080" s="16" t="str">
        <f>IFERROR(__xludf.DUMMYFUNCTION("""COMPUTED_VALUE"""),"товари для дому")</f>
        <v>товари для дому</v>
      </c>
      <c r="C1080" s="16" t="str">
        <f>IFERROR(__xludf.DUMMYFUNCTION("""COMPUTED_VALUE"""),"посуд")</f>
        <v>посуд</v>
      </c>
      <c r="D1080" s="16" t="str">
        <f>IFERROR(__xludf.DUMMYFUNCTION("""COMPUTED_VALUE"""),"кухонне приладдя")</f>
        <v>кухонне приладдя</v>
      </c>
      <c r="E1080" s="16" t="str">
        <f>IFERROR(__xludf.DUMMYFUNCTION("""COMPUTED_VALUE"""),"набори кухонного приладдя")</f>
        <v>набори кухонного приладдя</v>
      </c>
      <c r="F1080" s="17">
        <f>IFERROR(__xludf.DUMMYFUNCTION("""COMPUTED_VALUE"""),4.0)</f>
        <v>4</v>
      </c>
      <c r="G1080" s="17" t="str">
        <f>IFERROR(__xludf.DUMMYFUNCTION("""COMPUTED_VALUE"""),"15230409")</f>
        <v>15230409</v>
      </c>
      <c r="H1080" s="17" t="str">
        <f>IFERROR(__xludf.DUMMYFUNCTION("""COMPUTED_VALUE"""),"набори кухонного приладдя")</f>
        <v>набори кухонного приладдя</v>
      </c>
      <c r="I1080" s="19">
        <f>IFERROR(__xludf.DUMMYFUNCTION("""COMPUTED_VALUE"""),0.077)</f>
        <v>0.077</v>
      </c>
      <c r="J1080" s="19">
        <f>IFERROR(__xludf.DUMMYFUNCTION("""COMPUTED_VALUE"""),0.154)</f>
        <v>0.154</v>
      </c>
      <c r="K1080" s="19">
        <f>IFERROR(__xludf.DUMMYFUNCTION("""COMPUTED_VALUE"""),0.1925)</f>
        <v>0.1925</v>
      </c>
      <c r="L1080" s="19">
        <f>IFERROR(__xludf.DUMMYFUNCTION("""COMPUTED_VALUE"""),0.231)</f>
        <v>0.231</v>
      </c>
      <c r="M1080" s="18">
        <f>IFERROR(__xludf.DUMMYFUNCTION("""COMPUTED_VALUE"""),2.08)</f>
        <v>2.08</v>
      </c>
    </row>
    <row r="1081">
      <c r="A1081" s="13" t="str">
        <f>IFERROR(__xludf.DUMMYFUNCTION("""COMPUTED_VALUE"""),"товари")</f>
        <v>товари</v>
      </c>
      <c r="B1081" s="16" t="str">
        <f>IFERROR(__xludf.DUMMYFUNCTION("""COMPUTED_VALUE"""),"товари для дому")</f>
        <v>товари для дому</v>
      </c>
      <c r="C1081" s="16" t="str">
        <f>IFERROR(__xludf.DUMMYFUNCTION("""COMPUTED_VALUE"""),"догляд за будинком")</f>
        <v>догляд за будинком</v>
      </c>
      <c r="D1081" s="16" t="str">
        <f>IFERROR(__xludf.DUMMYFUNCTION("""COMPUTED_VALUE"""),"догляд за особистими речами")</f>
        <v>догляд за особистими речами</v>
      </c>
      <c r="E1081" s="16" t="str">
        <f>IFERROR(__xludf.DUMMYFUNCTION("""COMPUTED_VALUE"""),"набори по догляду за взуттям")</f>
        <v>набори по догляду за взуттям</v>
      </c>
      <c r="F1081" s="17">
        <f>IFERROR(__xludf.DUMMYFUNCTION("""COMPUTED_VALUE"""),4.0)</f>
        <v>4</v>
      </c>
      <c r="G1081" s="17" t="str">
        <f>IFERROR(__xludf.DUMMYFUNCTION("""COMPUTED_VALUE"""),"3221023")</f>
        <v>3221023</v>
      </c>
      <c r="H1081" s="17" t="str">
        <f>IFERROR(__xludf.DUMMYFUNCTION("""COMPUTED_VALUE"""),"набори по догляду за взуттям")</f>
        <v>набори по догляду за взуттям</v>
      </c>
      <c r="I1081" s="19">
        <f>IFERROR(__xludf.DUMMYFUNCTION("""COMPUTED_VALUE"""),0.0978)</f>
        <v>0.0978</v>
      </c>
      <c r="J1081" s="19">
        <f>IFERROR(__xludf.DUMMYFUNCTION("""COMPUTED_VALUE"""),0.1955)</f>
        <v>0.1955</v>
      </c>
      <c r="K1081" s="19">
        <f>IFERROR(__xludf.DUMMYFUNCTION("""COMPUTED_VALUE"""),0.2444)</f>
        <v>0.2444</v>
      </c>
      <c r="L1081" s="19">
        <f>IFERROR(__xludf.DUMMYFUNCTION("""COMPUTED_VALUE"""),0.2933)</f>
        <v>0.2933</v>
      </c>
      <c r="M1081" s="18">
        <f>IFERROR(__xludf.DUMMYFUNCTION("""COMPUTED_VALUE"""),1.98)</f>
        <v>1.98</v>
      </c>
    </row>
    <row r="1082">
      <c r="A1082" s="13" t="str">
        <f>IFERROR(__xludf.DUMMYFUNCTION("""COMPUTED_VALUE"""),"товари")</f>
        <v>товари</v>
      </c>
      <c r="B1082" s="16" t="str">
        <f>IFERROR(__xludf.DUMMYFUNCTION("""COMPUTED_VALUE"""),"дача, сад і город")</f>
        <v>дача, сад і город</v>
      </c>
      <c r="C1082" s="16" t="str">
        <f>IFERROR(__xludf.DUMMYFUNCTION("""COMPUTED_VALUE"""),"інструменти для обробки грунту")</f>
        <v>інструменти для обробки грунту</v>
      </c>
      <c r="D1082" s="16" t="str">
        <f>IFERROR(__xludf.DUMMYFUNCTION("""COMPUTED_VALUE"""),"набори садових інструментів")</f>
        <v>набори садових інструментів</v>
      </c>
      <c r="E1082" s="16" t="str">
        <f>IFERROR(__xludf.DUMMYFUNCTION("""COMPUTED_VALUE"""),"набори садових інструментів")</f>
        <v>набори садових інструментів</v>
      </c>
      <c r="F1082" s="17">
        <f>IFERROR(__xludf.DUMMYFUNCTION("""COMPUTED_VALUE"""),3.0)</f>
        <v>3</v>
      </c>
      <c r="G1082" s="17" t="str">
        <f>IFERROR(__xludf.DUMMYFUNCTION("""COMPUTED_VALUE"""),"1250355")</f>
        <v>1250355</v>
      </c>
      <c r="H1082" s="17" t="str">
        <f>IFERROR(__xludf.DUMMYFUNCTION("""COMPUTED_VALUE"""),"набори садових інструментів")</f>
        <v>набори садових інструментів</v>
      </c>
      <c r="I1082" s="19">
        <f>IFERROR(__xludf.DUMMYFUNCTION("""COMPUTED_VALUE"""),0.0737)</f>
        <v>0.0737</v>
      </c>
      <c r="J1082" s="19">
        <f>IFERROR(__xludf.DUMMYFUNCTION("""COMPUTED_VALUE"""),0.1473)</f>
        <v>0.1473</v>
      </c>
      <c r="K1082" s="19">
        <f>IFERROR(__xludf.DUMMYFUNCTION("""COMPUTED_VALUE"""),0.1841)</f>
        <v>0.1841</v>
      </c>
      <c r="L1082" s="19">
        <f>IFERROR(__xludf.DUMMYFUNCTION("""COMPUTED_VALUE"""),0.221)</f>
        <v>0.221</v>
      </c>
      <c r="M1082" s="18">
        <f>IFERROR(__xludf.DUMMYFUNCTION("""COMPUTED_VALUE"""),1.71)</f>
        <v>1.71</v>
      </c>
    </row>
    <row r="1083">
      <c r="A1083" s="13" t="str">
        <f>IFERROR(__xludf.DUMMYFUNCTION("""COMPUTED_VALUE"""),"товари")</f>
        <v>товари</v>
      </c>
      <c r="B1083" s="16" t="str">
        <f>IFERROR(__xludf.DUMMYFUNCTION("""COMPUTED_VALUE"""),"товари для дому")</f>
        <v>товари для дому</v>
      </c>
      <c r="C1083" s="16" t="str">
        <f>IFERROR(__xludf.DUMMYFUNCTION("""COMPUTED_VALUE"""),"меблі")</f>
        <v>меблі</v>
      </c>
      <c r="D1083" s="16" t="str">
        <f>IFERROR(__xludf.DUMMYFUNCTION("""COMPUTED_VALUE"""),"садові й пляжні меблі")</f>
        <v>садові й пляжні меблі</v>
      </c>
      <c r="E1083" s="16" t="str">
        <f>IFERROR(__xludf.DUMMYFUNCTION("""COMPUTED_VALUE"""),"набори садових меблів")</f>
        <v>набори садових меблів</v>
      </c>
      <c r="F1083" s="17">
        <f>IFERROR(__xludf.DUMMYFUNCTION("""COMPUTED_VALUE"""),4.0)</f>
        <v>4</v>
      </c>
      <c r="G1083" s="17" t="str">
        <f>IFERROR(__xludf.DUMMYFUNCTION("""COMPUTED_VALUE"""),"15030201")</f>
        <v>15030201</v>
      </c>
      <c r="H1083" s="17" t="str">
        <f>IFERROR(__xludf.DUMMYFUNCTION("""COMPUTED_VALUE"""),"набори садових меблів")</f>
        <v>набори садових меблів</v>
      </c>
      <c r="I1083" s="19">
        <f>IFERROR(__xludf.DUMMYFUNCTION("""COMPUTED_VALUE"""),0.065)</f>
        <v>0.065</v>
      </c>
      <c r="J1083" s="19">
        <f>IFERROR(__xludf.DUMMYFUNCTION("""COMPUTED_VALUE"""),0.13)</f>
        <v>0.13</v>
      </c>
      <c r="K1083" s="19">
        <f>IFERROR(__xludf.DUMMYFUNCTION("""COMPUTED_VALUE"""),0.1625)</f>
        <v>0.1625</v>
      </c>
      <c r="L1083" s="19">
        <f>IFERROR(__xludf.DUMMYFUNCTION("""COMPUTED_VALUE"""),0.195)</f>
        <v>0.195</v>
      </c>
      <c r="M1083" s="18">
        <f>IFERROR(__xludf.DUMMYFUNCTION("""COMPUTED_VALUE"""),3.6)</f>
        <v>3.6</v>
      </c>
    </row>
    <row r="1084">
      <c r="A1084" s="13" t="str">
        <f>IFERROR(__xludf.DUMMYFUNCTION("""COMPUTED_VALUE"""),"товари")</f>
        <v>товари</v>
      </c>
      <c r="B1084" s="16" t="str">
        <f>IFERROR(__xludf.DUMMYFUNCTION("""COMPUTED_VALUE"""),"товари для дому")</f>
        <v>товари для дому</v>
      </c>
      <c r="C1084" s="16" t="str">
        <f>IFERROR(__xludf.DUMMYFUNCTION("""COMPUTED_VALUE"""),"меблі")</f>
        <v>меблі</v>
      </c>
      <c r="D1084" s="16" t="str">
        <f>IFERROR(__xludf.DUMMYFUNCTION("""COMPUTED_VALUE"""),"садові й пляжні меблі")</f>
        <v>садові й пляжні меблі</v>
      </c>
      <c r="E1084" s="16" t="str">
        <f>IFERROR(__xludf.DUMMYFUNCTION("""COMPUTED_VALUE"""),"садові й пляжні меблі")</f>
        <v>садові й пляжні меблі</v>
      </c>
      <c r="F1084" s="17">
        <f>IFERROR(__xludf.DUMMYFUNCTION("""COMPUTED_VALUE"""),3.0)</f>
        <v>3</v>
      </c>
      <c r="G1084" s="17" t="str">
        <f>IFERROR(__xludf.DUMMYFUNCTION("""COMPUTED_VALUE"""),"150302")</f>
        <v>150302</v>
      </c>
      <c r="H1084" s="17" t="str">
        <f>IFERROR(__xludf.DUMMYFUNCTION("""COMPUTED_VALUE"""),"садові й пляжні меблі")</f>
        <v>садові й пляжні меблі</v>
      </c>
      <c r="I1084" s="19">
        <f>IFERROR(__xludf.DUMMYFUNCTION("""COMPUTED_VALUE"""),0.0665)</f>
        <v>0.0665</v>
      </c>
      <c r="J1084" s="19">
        <f>IFERROR(__xludf.DUMMYFUNCTION("""COMPUTED_VALUE"""),0.133)</f>
        <v>0.133</v>
      </c>
      <c r="K1084" s="19">
        <f>IFERROR(__xludf.DUMMYFUNCTION("""COMPUTED_VALUE"""),0.1663)</f>
        <v>0.1663</v>
      </c>
      <c r="L1084" s="19">
        <f>IFERROR(__xludf.DUMMYFUNCTION("""COMPUTED_VALUE"""),0.1995)</f>
        <v>0.1995</v>
      </c>
      <c r="M1084" s="18">
        <f>IFERROR(__xludf.DUMMYFUNCTION("""COMPUTED_VALUE"""),3.6)</f>
        <v>3.6</v>
      </c>
    </row>
    <row r="1085">
      <c r="A1085" s="13" t="str">
        <f>IFERROR(__xludf.DUMMYFUNCTION("""COMPUTED_VALUE"""),"товари")</f>
        <v>товари</v>
      </c>
      <c r="B1085" s="16" t="str">
        <f>IFERROR(__xludf.DUMMYFUNCTION("""COMPUTED_VALUE"""),"товари для дому")</f>
        <v>товари для дому</v>
      </c>
      <c r="C1085" s="16" t="str">
        <f>IFERROR(__xludf.DUMMYFUNCTION("""COMPUTED_VALUE"""),"меблі")</f>
        <v>меблі</v>
      </c>
      <c r="D1085" s="16" t="str">
        <f>IFERROR(__xludf.DUMMYFUNCTION("""COMPUTED_VALUE"""),"крісла")</f>
        <v>крісла</v>
      </c>
      <c r="E1085" s="16" t="str">
        <f>IFERROR(__xludf.DUMMYFUNCTION("""COMPUTED_VALUE"""),"крісла")</f>
        <v>крісла</v>
      </c>
      <c r="F1085" s="17">
        <f>IFERROR(__xludf.DUMMYFUNCTION("""COMPUTED_VALUE"""),3.0)</f>
        <v>3</v>
      </c>
      <c r="G1085" s="17" t="str">
        <f>IFERROR(__xludf.DUMMYFUNCTION("""COMPUTED_VALUE"""),"150341")</f>
        <v>150341</v>
      </c>
      <c r="H1085" s="17" t="str">
        <f>IFERROR(__xludf.DUMMYFUNCTION("""COMPUTED_VALUE"""),"крісла")</f>
        <v>крісла</v>
      </c>
      <c r="I1085" s="19">
        <f>IFERROR(__xludf.DUMMYFUNCTION("""COMPUTED_VALUE"""),0.0665)</f>
        <v>0.0665</v>
      </c>
      <c r="J1085" s="19">
        <f>IFERROR(__xludf.DUMMYFUNCTION("""COMPUTED_VALUE"""),0.133)</f>
        <v>0.133</v>
      </c>
      <c r="K1085" s="19">
        <f>IFERROR(__xludf.DUMMYFUNCTION("""COMPUTED_VALUE"""),0.1663)</f>
        <v>0.1663</v>
      </c>
      <c r="L1085" s="19">
        <f>IFERROR(__xludf.DUMMYFUNCTION("""COMPUTED_VALUE"""),0.1995)</f>
        <v>0.1995</v>
      </c>
      <c r="M1085" s="18">
        <f>IFERROR(__xludf.DUMMYFUNCTION("""COMPUTED_VALUE"""),2.16)</f>
        <v>2.16</v>
      </c>
    </row>
    <row r="1086">
      <c r="A1086" s="13" t="str">
        <f>IFERROR(__xludf.DUMMYFUNCTION("""COMPUTED_VALUE"""),"товари")</f>
        <v>товари</v>
      </c>
      <c r="B1086" s="16" t="str">
        <f>IFERROR(__xludf.DUMMYFUNCTION("""COMPUTED_VALUE"""),"товари для дому")</f>
        <v>товари для дому</v>
      </c>
      <c r="C1086" s="16" t="str">
        <f>IFERROR(__xludf.DUMMYFUNCTION("""COMPUTED_VALUE"""),"меблі")</f>
        <v>меблі</v>
      </c>
      <c r="D1086" s="16" t="str">
        <f>IFERROR(__xludf.DUMMYFUNCTION("""COMPUTED_VALUE"""),"крісла")</f>
        <v>крісла</v>
      </c>
      <c r="E1086" s="16" t="str">
        <f>IFERROR(__xludf.DUMMYFUNCTION("""COMPUTED_VALUE"""),"банкетки")</f>
        <v>банкетки</v>
      </c>
      <c r="F1086" s="17">
        <f>IFERROR(__xludf.DUMMYFUNCTION("""COMPUTED_VALUE"""),4.0)</f>
        <v>4</v>
      </c>
      <c r="G1086" s="17" t="str">
        <f>IFERROR(__xludf.DUMMYFUNCTION("""COMPUTED_VALUE"""),"15034102")</f>
        <v>15034102</v>
      </c>
      <c r="H1086" s="17" t="str">
        <f>IFERROR(__xludf.DUMMYFUNCTION("""COMPUTED_VALUE"""),"банкетки")</f>
        <v>банкетки</v>
      </c>
      <c r="I1086" s="19">
        <f>IFERROR(__xludf.DUMMYFUNCTION("""COMPUTED_VALUE"""),0.0665)</f>
        <v>0.0665</v>
      </c>
      <c r="J1086" s="19">
        <f>IFERROR(__xludf.DUMMYFUNCTION("""COMPUTED_VALUE"""),0.133)</f>
        <v>0.133</v>
      </c>
      <c r="K1086" s="19">
        <f>IFERROR(__xludf.DUMMYFUNCTION("""COMPUTED_VALUE"""),0.1663)</f>
        <v>0.1663</v>
      </c>
      <c r="L1086" s="19">
        <f>IFERROR(__xludf.DUMMYFUNCTION("""COMPUTED_VALUE"""),0.1995)</f>
        <v>0.1995</v>
      </c>
      <c r="M1086" s="18">
        <f>IFERROR(__xludf.DUMMYFUNCTION("""COMPUTED_VALUE"""),2.16)</f>
        <v>2.16</v>
      </c>
    </row>
    <row r="1087">
      <c r="A1087" s="13" t="str">
        <f>IFERROR(__xludf.DUMMYFUNCTION("""COMPUTED_VALUE"""),"товари")</f>
        <v>товари</v>
      </c>
      <c r="B1087" s="16" t="str">
        <f>IFERROR(__xludf.DUMMYFUNCTION("""COMPUTED_VALUE"""),"товари для дому")</f>
        <v>товари для дому</v>
      </c>
      <c r="C1087" s="16" t="str">
        <f>IFERROR(__xludf.DUMMYFUNCTION("""COMPUTED_VALUE"""),"меблі")</f>
        <v>меблі</v>
      </c>
      <c r="D1087" s="16" t="str">
        <f>IFERROR(__xludf.DUMMYFUNCTION("""COMPUTED_VALUE"""),"крісла")</f>
        <v>крісла</v>
      </c>
      <c r="E1087" s="16" t="str">
        <f>IFERROR(__xludf.DUMMYFUNCTION("""COMPUTED_VALUE"""),"аксесуари для крісел")</f>
        <v>аксесуари для крісел</v>
      </c>
      <c r="F1087" s="17">
        <f>IFERROR(__xludf.DUMMYFUNCTION("""COMPUTED_VALUE"""),4.0)</f>
        <v>4</v>
      </c>
      <c r="G1087" s="17" t="str">
        <f>IFERROR(__xludf.DUMMYFUNCTION("""COMPUTED_VALUE"""),"15034103")</f>
        <v>15034103</v>
      </c>
      <c r="H1087" s="17" t="str">
        <f>IFERROR(__xludf.DUMMYFUNCTION("""COMPUTED_VALUE"""),"аксесуари для крісел")</f>
        <v>аксесуари для крісел</v>
      </c>
      <c r="I1087" s="19">
        <f>IFERROR(__xludf.DUMMYFUNCTION("""COMPUTED_VALUE"""),0.0749)</f>
        <v>0.0749</v>
      </c>
      <c r="J1087" s="19">
        <f>IFERROR(__xludf.DUMMYFUNCTION("""COMPUTED_VALUE"""),0.1497)</f>
        <v>0.1497</v>
      </c>
      <c r="K1087" s="19">
        <f>IFERROR(__xludf.DUMMYFUNCTION("""COMPUTED_VALUE"""),0.1871)</f>
        <v>0.1871</v>
      </c>
      <c r="L1087" s="19">
        <f>IFERROR(__xludf.DUMMYFUNCTION("""COMPUTED_VALUE"""),0.2246)</f>
        <v>0.2246</v>
      </c>
      <c r="M1087" s="18">
        <f>IFERROR(__xludf.DUMMYFUNCTION("""COMPUTED_VALUE"""),1.98)</f>
        <v>1.98</v>
      </c>
    </row>
    <row r="1088">
      <c r="A1088" s="13" t="str">
        <f>IFERROR(__xludf.DUMMYFUNCTION("""COMPUTED_VALUE"""),"товари")</f>
        <v>товари</v>
      </c>
      <c r="B1088" s="16" t="str">
        <f>IFERROR(__xludf.DUMMYFUNCTION("""COMPUTED_VALUE"""),"товари для дому")</f>
        <v>товари для дому</v>
      </c>
      <c r="C1088" s="16" t="str">
        <f>IFERROR(__xludf.DUMMYFUNCTION("""COMPUTED_VALUE"""),"меблі")</f>
        <v>меблі</v>
      </c>
      <c r="D1088" s="16" t="str">
        <f>IFERROR(__xludf.DUMMYFUNCTION("""COMPUTED_VALUE"""),"крісла")</f>
        <v>крісла</v>
      </c>
      <c r="E1088" s="16" t="str">
        <f>IFERROR(__xludf.DUMMYFUNCTION("""COMPUTED_VALUE"""),"крісла, загальне")</f>
        <v>крісла, загальне</v>
      </c>
      <c r="F1088" s="17">
        <f>IFERROR(__xludf.DUMMYFUNCTION("""COMPUTED_VALUE"""),4.0)</f>
        <v>4</v>
      </c>
      <c r="G1088" s="17" t="str">
        <f>IFERROR(__xludf.DUMMYFUNCTION("""COMPUTED_VALUE"""),"15034101")</f>
        <v>15034101</v>
      </c>
      <c r="H1088" s="17" t="str">
        <f>IFERROR(__xludf.DUMMYFUNCTION("""COMPUTED_VALUE"""),"крісла, загальне")</f>
        <v>крісла, загальне</v>
      </c>
      <c r="I1088" s="19">
        <f>IFERROR(__xludf.DUMMYFUNCTION("""COMPUTED_VALUE"""),0.125)</f>
        <v>0.125</v>
      </c>
      <c r="J1088" s="19">
        <f>IFERROR(__xludf.DUMMYFUNCTION("""COMPUTED_VALUE"""),0.25)</f>
        <v>0.25</v>
      </c>
      <c r="K1088" s="19">
        <f>IFERROR(__xludf.DUMMYFUNCTION("""COMPUTED_VALUE"""),0.3125)</f>
        <v>0.3125</v>
      </c>
      <c r="L1088" s="19">
        <f>IFERROR(__xludf.DUMMYFUNCTION("""COMPUTED_VALUE"""),0.375)</f>
        <v>0.375</v>
      </c>
      <c r="M1088" s="18">
        <f>IFERROR(__xludf.DUMMYFUNCTION("""COMPUTED_VALUE"""),4.33)</f>
        <v>4.33</v>
      </c>
    </row>
    <row r="1089">
      <c r="A1089" s="13" t="str">
        <f>IFERROR(__xludf.DUMMYFUNCTION("""COMPUTED_VALUE"""),"товари")</f>
        <v>товари</v>
      </c>
      <c r="B1089" s="16" t="str">
        <f>IFERROR(__xludf.DUMMYFUNCTION("""COMPUTED_VALUE"""),"товари для дому")</f>
        <v>товари для дому</v>
      </c>
      <c r="C1089" s="16" t="str">
        <f>IFERROR(__xludf.DUMMYFUNCTION("""COMPUTED_VALUE"""),"посуд")</f>
        <v>посуд</v>
      </c>
      <c r="D1089" s="16" t="str">
        <f>IFERROR(__xludf.DUMMYFUNCTION("""COMPUTED_VALUE"""),"столовий посуд")</f>
        <v>столовий посуд</v>
      </c>
      <c r="E1089" s="16" t="str">
        <f>IFERROR(__xludf.DUMMYFUNCTION("""COMPUTED_VALUE"""),"набори столових приладів")</f>
        <v>набори столових приладів</v>
      </c>
      <c r="F1089" s="17">
        <f>IFERROR(__xludf.DUMMYFUNCTION("""COMPUTED_VALUE"""),4.0)</f>
        <v>4</v>
      </c>
      <c r="G1089" s="17" t="str">
        <f>IFERROR(__xludf.DUMMYFUNCTION("""COMPUTED_VALUE"""),"152206")</f>
        <v>152206</v>
      </c>
      <c r="H1089" s="17" t="str">
        <f>IFERROR(__xludf.DUMMYFUNCTION("""COMPUTED_VALUE"""),"набори столових приладів")</f>
        <v>набори столових приладів</v>
      </c>
      <c r="I1089" s="19">
        <f>IFERROR(__xludf.DUMMYFUNCTION("""COMPUTED_VALUE"""),0.0754)</f>
        <v>0.0754</v>
      </c>
      <c r="J1089" s="19">
        <f>IFERROR(__xludf.DUMMYFUNCTION("""COMPUTED_VALUE"""),0.1508)</f>
        <v>0.1508</v>
      </c>
      <c r="K1089" s="19">
        <f>IFERROR(__xludf.DUMMYFUNCTION("""COMPUTED_VALUE"""),0.1885)</f>
        <v>0.1885</v>
      </c>
      <c r="L1089" s="19">
        <f>IFERROR(__xludf.DUMMYFUNCTION("""COMPUTED_VALUE"""),0.2262)</f>
        <v>0.2262</v>
      </c>
      <c r="M1089" s="18">
        <f>IFERROR(__xludf.DUMMYFUNCTION("""COMPUTED_VALUE"""),2.08)</f>
        <v>2.08</v>
      </c>
    </row>
    <row r="1090">
      <c r="A1090" s="13" t="str">
        <f>IFERROR(__xludf.DUMMYFUNCTION("""COMPUTED_VALUE"""),"товари")</f>
        <v>товари</v>
      </c>
      <c r="B1090" s="16" t="str">
        <f>IFERROR(__xludf.DUMMYFUNCTION("""COMPUTED_VALUE"""),"дача, сад і город")</f>
        <v>дача, сад і город</v>
      </c>
      <c r="C1090" s="16" t="str">
        <f>IFERROR(__xludf.DUMMYFUNCTION("""COMPUTED_VALUE"""),"аксесуари для барбекю")</f>
        <v>аксесуари для барбекю</v>
      </c>
      <c r="D1090" s="16" t="str">
        <f>IFERROR(__xludf.DUMMYFUNCTION("""COMPUTED_VALUE"""),"набори та приладдя для гриля")</f>
        <v>набори та приладдя для гриля</v>
      </c>
      <c r="E1090" s="16" t="str">
        <f>IFERROR(__xludf.DUMMYFUNCTION("""COMPUTED_VALUE"""),"набори та приладдя для гриля")</f>
        <v>набори та приладдя для гриля</v>
      </c>
      <c r="F1090" s="17">
        <f>IFERROR(__xludf.DUMMYFUNCTION("""COMPUTED_VALUE"""),3.0)</f>
        <v>3</v>
      </c>
      <c r="G1090" s="17" t="str">
        <f>IFERROR(__xludf.DUMMYFUNCTION("""COMPUTED_VALUE"""),"15230313")</f>
        <v>15230313</v>
      </c>
      <c r="H1090" s="17" t="str">
        <f>IFERROR(__xludf.DUMMYFUNCTION("""COMPUTED_VALUE"""),"набори та приладдя для гриля")</f>
        <v>набори та приладдя для гриля</v>
      </c>
      <c r="I1090" s="19">
        <f>IFERROR(__xludf.DUMMYFUNCTION("""COMPUTED_VALUE"""),0.0755)</f>
        <v>0.0755</v>
      </c>
      <c r="J1090" s="19">
        <f>IFERROR(__xludf.DUMMYFUNCTION("""COMPUTED_VALUE"""),0.1509)</f>
        <v>0.1509</v>
      </c>
      <c r="K1090" s="19">
        <f>IFERROR(__xludf.DUMMYFUNCTION("""COMPUTED_VALUE"""),0.1886)</f>
        <v>0.1886</v>
      </c>
      <c r="L1090" s="19">
        <f>IFERROR(__xludf.DUMMYFUNCTION("""COMPUTED_VALUE"""),0.2264)</f>
        <v>0.2264</v>
      </c>
      <c r="M1090" s="18">
        <f>IFERROR(__xludf.DUMMYFUNCTION("""COMPUTED_VALUE"""),3.98)</f>
        <v>3.98</v>
      </c>
    </row>
    <row r="1091">
      <c r="A1091" s="13" t="str">
        <f>IFERROR(__xludf.DUMMYFUNCTION("""COMPUTED_VALUE"""),"товари")</f>
        <v>товари</v>
      </c>
      <c r="B1091" s="16" t="str">
        <f>IFERROR(__xludf.DUMMYFUNCTION("""COMPUTED_VALUE"""),"товари для дому")</f>
        <v>товари для дому</v>
      </c>
      <c r="C1091" s="16" t="str">
        <f>IFERROR(__xludf.DUMMYFUNCTION("""COMPUTED_VALUE"""),"меблі")</f>
        <v>меблі</v>
      </c>
      <c r="D1091" s="16" t="str">
        <f>IFERROR(__xludf.DUMMYFUNCTION("""COMPUTED_VALUE"""),"туристичні меблі")</f>
        <v>туристичні меблі</v>
      </c>
      <c r="E1091" s="16" t="str">
        <f>IFERROR(__xludf.DUMMYFUNCTION("""COMPUTED_VALUE"""),"набори туристичних складаних меблів")</f>
        <v>набори туристичних складаних меблів</v>
      </c>
      <c r="F1091" s="17">
        <f>IFERROR(__xludf.DUMMYFUNCTION("""COMPUTED_VALUE"""),4.0)</f>
        <v>4</v>
      </c>
      <c r="G1091" s="17" t="str">
        <f>IFERROR(__xludf.DUMMYFUNCTION("""COMPUTED_VALUE"""),"240422")</f>
        <v>240422</v>
      </c>
      <c r="H1091" s="17" t="str">
        <f>IFERROR(__xludf.DUMMYFUNCTION("""COMPUTED_VALUE"""),"набори туристичних складаних меблів")</f>
        <v>набори туристичних складаних меблів</v>
      </c>
      <c r="I1091" s="19">
        <f>IFERROR(__xludf.DUMMYFUNCTION("""COMPUTED_VALUE"""),0.0681)</f>
        <v>0.0681</v>
      </c>
      <c r="J1091" s="19">
        <f>IFERROR(__xludf.DUMMYFUNCTION("""COMPUTED_VALUE"""),0.1361)</f>
        <v>0.1361</v>
      </c>
      <c r="K1091" s="19">
        <f>IFERROR(__xludf.DUMMYFUNCTION("""COMPUTED_VALUE"""),0.1701)</f>
        <v>0.1701</v>
      </c>
      <c r="L1091" s="19">
        <f>IFERROR(__xludf.DUMMYFUNCTION("""COMPUTED_VALUE"""),0.2042)</f>
        <v>0.2042</v>
      </c>
      <c r="M1091" s="18">
        <f>IFERROR(__xludf.DUMMYFUNCTION("""COMPUTED_VALUE"""),3.24)</f>
        <v>3.24</v>
      </c>
    </row>
    <row r="1092">
      <c r="A1092" s="13" t="str">
        <f>IFERROR(__xludf.DUMMYFUNCTION("""COMPUTED_VALUE"""),"товари")</f>
        <v>товари</v>
      </c>
      <c r="B1092" s="16" t="str">
        <f>IFERROR(__xludf.DUMMYFUNCTION("""COMPUTED_VALUE"""),"товари для дому")</f>
        <v>товари для дому</v>
      </c>
      <c r="C1092" s="16" t="str">
        <f>IFERROR(__xludf.DUMMYFUNCTION("""COMPUTED_VALUE"""),"посуд")</f>
        <v>посуд</v>
      </c>
      <c r="D1092" s="16" t="str">
        <f>IFERROR(__xludf.DUMMYFUNCTION("""COMPUTED_VALUE"""),"посуд для приготування")</f>
        <v>посуд для приготування</v>
      </c>
      <c r="E1092" s="16" t="str">
        <f>IFERROR(__xludf.DUMMYFUNCTION("""COMPUTED_VALUE"""),"набори для фондю")</f>
        <v>набори для фондю</v>
      </c>
      <c r="F1092" s="17">
        <f>IFERROR(__xludf.DUMMYFUNCTION("""COMPUTED_VALUE"""),4.0)</f>
        <v>4</v>
      </c>
      <c r="G1092" s="17" t="str">
        <f>IFERROR(__xludf.DUMMYFUNCTION("""COMPUTED_VALUE"""),"15230315")</f>
        <v>15230315</v>
      </c>
      <c r="H1092" s="17" t="str">
        <f>IFERROR(__xludf.DUMMYFUNCTION("""COMPUTED_VALUE"""),"набори для фондю")</f>
        <v>набори для фондю</v>
      </c>
      <c r="I1092" s="19">
        <f>IFERROR(__xludf.DUMMYFUNCTION("""COMPUTED_VALUE"""),0.0764)</f>
        <v>0.0764</v>
      </c>
      <c r="J1092" s="19">
        <f>IFERROR(__xludf.DUMMYFUNCTION("""COMPUTED_VALUE"""),0.1528)</f>
        <v>0.1528</v>
      </c>
      <c r="K1092" s="19">
        <f>IFERROR(__xludf.DUMMYFUNCTION("""COMPUTED_VALUE"""),0.191)</f>
        <v>0.191</v>
      </c>
      <c r="L1092" s="19">
        <f>IFERROR(__xludf.DUMMYFUNCTION("""COMPUTED_VALUE"""),0.2292)</f>
        <v>0.2292</v>
      </c>
      <c r="M1092" s="18">
        <f>IFERROR(__xludf.DUMMYFUNCTION("""COMPUTED_VALUE"""),2.53)</f>
        <v>2.53</v>
      </c>
    </row>
    <row r="1093">
      <c r="A1093" s="13" t="str">
        <f>IFERROR(__xludf.DUMMYFUNCTION("""COMPUTED_VALUE"""),"товари")</f>
        <v>товари</v>
      </c>
      <c r="B1093" s="16" t="str">
        <f>IFERROR(__xludf.DUMMYFUNCTION("""COMPUTED_VALUE"""),"дача, сад і город")</f>
        <v>дача, сад і город</v>
      </c>
      <c r="C1093" s="16" t="str">
        <f>IFERROR(__xludf.DUMMYFUNCTION("""COMPUTED_VALUE"""),"мінісільгосптехніка")</f>
        <v>мінісільгосптехніка</v>
      </c>
      <c r="D1093" s="16" t="str">
        <f>IFERROR(__xludf.DUMMYFUNCTION("""COMPUTED_VALUE"""),"навісне обладнання для мінісільгосптехніки")</f>
        <v>навісне обладнання для мінісільгосптехніки</v>
      </c>
      <c r="E1093" s="16" t="str">
        <f>IFERROR(__xludf.DUMMYFUNCTION("""COMPUTED_VALUE"""),"навісне обладнання для мінісільгосптехніки")</f>
        <v>навісне обладнання для мінісільгосптехніки</v>
      </c>
      <c r="F1093" s="17">
        <f>IFERROR(__xludf.DUMMYFUNCTION("""COMPUTED_VALUE"""),3.0)</f>
        <v>3</v>
      </c>
      <c r="G1093" s="17" t="str">
        <f>IFERROR(__xludf.DUMMYFUNCTION("""COMPUTED_VALUE"""),"1250340")</f>
        <v>1250340</v>
      </c>
      <c r="H1093" s="17" t="str">
        <f>IFERROR(__xludf.DUMMYFUNCTION("""COMPUTED_VALUE"""),"навісне обладнання для мінісільгосптехніки")</f>
        <v>навісне обладнання для мінісільгосптехніки</v>
      </c>
      <c r="I1093" s="19">
        <f>IFERROR(__xludf.DUMMYFUNCTION("""COMPUTED_VALUE"""),0.0441)</f>
        <v>0.0441</v>
      </c>
      <c r="J1093" s="19">
        <f>IFERROR(__xludf.DUMMYFUNCTION("""COMPUTED_VALUE"""),0.0881)</f>
        <v>0.0881</v>
      </c>
      <c r="K1093" s="19">
        <f>IFERROR(__xludf.DUMMYFUNCTION("""COMPUTED_VALUE"""),0.1101)</f>
        <v>0.1101</v>
      </c>
      <c r="L1093" s="19">
        <f>IFERROR(__xludf.DUMMYFUNCTION("""COMPUTED_VALUE"""),0.1322)</f>
        <v>0.1322</v>
      </c>
      <c r="M1093" s="18">
        <f>IFERROR(__xludf.DUMMYFUNCTION("""COMPUTED_VALUE"""),2.08)</f>
        <v>2.08</v>
      </c>
    </row>
    <row r="1094">
      <c r="A1094" s="13" t="str">
        <f>IFERROR(__xludf.DUMMYFUNCTION("""COMPUTED_VALUE"""),"товари")</f>
        <v>товари</v>
      </c>
      <c r="B1094" s="16" t="str">
        <f>IFERROR(__xludf.DUMMYFUNCTION("""COMPUTED_VALUE"""),"товари для дому")</f>
        <v>товари для дому</v>
      </c>
      <c r="C1094" s="16" t="str">
        <f>IFERROR(__xludf.DUMMYFUNCTION("""COMPUTED_VALUE"""),"текстиль")</f>
        <v>текстиль</v>
      </c>
      <c r="D1094" s="16" t="str">
        <f>IFERROR(__xludf.DUMMYFUNCTION("""COMPUTED_VALUE"""),"текстиль для спальні")</f>
        <v>текстиль для спальні</v>
      </c>
      <c r="E1094" s="16" t="str">
        <f>IFERROR(__xludf.DUMMYFUNCTION("""COMPUTED_VALUE"""),"наволочки")</f>
        <v>наволочки</v>
      </c>
      <c r="F1094" s="17">
        <f>IFERROR(__xludf.DUMMYFUNCTION("""COMPUTED_VALUE"""),4.0)</f>
        <v>4</v>
      </c>
      <c r="G1094" s="17" t="str">
        <f>IFERROR(__xludf.DUMMYFUNCTION("""COMPUTED_VALUE"""),"40608")</f>
        <v>40608</v>
      </c>
      <c r="H1094" s="17" t="str">
        <f>IFERROR(__xludf.DUMMYFUNCTION("""COMPUTED_VALUE"""),"наволочки")</f>
        <v>наволочки</v>
      </c>
      <c r="I1094" s="19">
        <f>IFERROR(__xludf.DUMMYFUNCTION("""COMPUTED_VALUE"""),0.0779)</f>
        <v>0.0779</v>
      </c>
      <c r="J1094" s="19">
        <f>IFERROR(__xludf.DUMMYFUNCTION("""COMPUTED_VALUE"""),0.1558)</f>
        <v>0.1558</v>
      </c>
      <c r="K1094" s="19">
        <f>IFERROR(__xludf.DUMMYFUNCTION("""COMPUTED_VALUE"""),0.1948)</f>
        <v>0.1948</v>
      </c>
      <c r="L1094" s="19">
        <f>IFERROR(__xludf.DUMMYFUNCTION("""COMPUTED_VALUE"""),0.2337)</f>
        <v>0.2337</v>
      </c>
      <c r="M1094" s="18">
        <f>IFERROR(__xludf.DUMMYFUNCTION("""COMPUTED_VALUE"""),2.16)</f>
        <v>2.16</v>
      </c>
    </row>
    <row r="1095">
      <c r="A1095" s="13" t="str">
        <f>IFERROR(__xludf.DUMMYFUNCTION("""COMPUTED_VALUE"""),"товари")</f>
        <v>товари</v>
      </c>
      <c r="B1095" s="16" t="str">
        <f>IFERROR(__xludf.DUMMYFUNCTION("""COMPUTED_VALUE"""),"дача, сад і город")</f>
        <v>дача, сад і город</v>
      </c>
      <c r="C1095" s="16" t="str">
        <f>IFERROR(__xludf.DUMMYFUNCTION("""COMPUTED_VALUE"""),"мобільні басейни")</f>
        <v>мобільні басейни</v>
      </c>
      <c r="D1095" s="16" t="str">
        <f>IFERROR(__xludf.DUMMYFUNCTION("""COMPUTED_VALUE"""),"надувні басейни")</f>
        <v>надувні басейни</v>
      </c>
      <c r="E1095" s="16" t="str">
        <f>IFERROR(__xludf.DUMMYFUNCTION("""COMPUTED_VALUE"""),"надувні басейни")</f>
        <v>надувні басейни</v>
      </c>
      <c r="F1095" s="17">
        <f>IFERROR(__xludf.DUMMYFUNCTION("""COMPUTED_VALUE"""),3.0)</f>
        <v>3</v>
      </c>
      <c r="G1095" s="17" t="str">
        <f>IFERROR(__xludf.DUMMYFUNCTION("""COMPUTED_VALUE"""),"1804")</f>
        <v>1804</v>
      </c>
      <c r="H1095" s="17" t="str">
        <f>IFERROR(__xludf.DUMMYFUNCTION("""COMPUTED_VALUE"""),"надувні басейни")</f>
        <v>надувні басейни</v>
      </c>
      <c r="I1095" s="19">
        <f>IFERROR(__xludf.DUMMYFUNCTION("""COMPUTED_VALUE"""),0.0588)</f>
        <v>0.0588</v>
      </c>
      <c r="J1095" s="19">
        <f>IFERROR(__xludf.DUMMYFUNCTION("""COMPUTED_VALUE"""),0.1175)</f>
        <v>0.1175</v>
      </c>
      <c r="K1095" s="19">
        <f>IFERROR(__xludf.DUMMYFUNCTION("""COMPUTED_VALUE"""),0.1469)</f>
        <v>0.1469</v>
      </c>
      <c r="L1095" s="19">
        <f>IFERROR(__xludf.DUMMYFUNCTION("""COMPUTED_VALUE"""),0.1763)</f>
        <v>0.1763</v>
      </c>
      <c r="M1095" s="18">
        <f>IFERROR(__xludf.DUMMYFUNCTION("""COMPUTED_VALUE"""),3.69)</f>
        <v>3.69</v>
      </c>
    </row>
    <row r="1096">
      <c r="A1096" s="13" t="str">
        <f>IFERROR(__xludf.DUMMYFUNCTION("""COMPUTED_VALUE"""),"товари")</f>
        <v>товари</v>
      </c>
      <c r="B1096" s="16" t="str">
        <f>IFERROR(__xludf.DUMMYFUNCTION("""COMPUTED_VALUE"""),"товари для дому")</f>
        <v>товари для дому</v>
      </c>
      <c r="C1096" s="16" t="str">
        <f>IFERROR(__xludf.DUMMYFUNCTION("""COMPUTED_VALUE"""),"меблі")</f>
        <v>меблі</v>
      </c>
      <c r="D1096" s="16" t="str">
        <f>IFERROR(__xludf.DUMMYFUNCTION("""COMPUTED_VALUE"""),"надувні меблі")</f>
        <v>надувні меблі</v>
      </c>
      <c r="E1096" s="16" t="str">
        <f>IFERROR(__xludf.DUMMYFUNCTION("""COMPUTED_VALUE"""),"надувні матраци")</f>
        <v>надувні матраци</v>
      </c>
      <c r="F1096" s="17">
        <f>IFERROR(__xludf.DUMMYFUNCTION("""COMPUTED_VALUE"""),4.0)</f>
        <v>4</v>
      </c>
      <c r="G1096" s="17" t="str">
        <f>IFERROR(__xludf.DUMMYFUNCTION("""COMPUTED_VALUE"""),"2010")</f>
        <v>2010</v>
      </c>
      <c r="H1096" s="17" t="str">
        <f>IFERROR(__xludf.DUMMYFUNCTION("""COMPUTED_VALUE"""),"надувні матраци")</f>
        <v>надувні матраци</v>
      </c>
      <c r="I1096" s="19">
        <f>IFERROR(__xludf.DUMMYFUNCTION("""COMPUTED_VALUE"""),0.0712)</f>
        <v>0.0712</v>
      </c>
      <c r="J1096" s="19">
        <f>IFERROR(__xludf.DUMMYFUNCTION("""COMPUTED_VALUE"""),0.1424)</f>
        <v>0.1424</v>
      </c>
      <c r="K1096" s="19">
        <f>IFERROR(__xludf.DUMMYFUNCTION("""COMPUTED_VALUE"""),0.178)</f>
        <v>0.178</v>
      </c>
      <c r="L1096" s="19">
        <f>IFERROR(__xludf.DUMMYFUNCTION("""COMPUTED_VALUE"""),0.2136)</f>
        <v>0.2136</v>
      </c>
      <c r="M1096" s="18">
        <f>IFERROR(__xludf.DUMMYFUNCTION("""COMPUTED_VALUE"""),3.78)</f>
        <v>3.78</v>
      </c>
    </row>
    <row r="1097">
      <c r="A1097" s="13" t="str">
        <f>IFERROR(__xludf.DUMMYFUNCTION("""COMPUTED_VALUE"""),"товари")</f>
        <v>товари</v>
      </c>
      <c r="B1097" s="16" t="str">
        <f>IFERROR(__xludf.DUMMYFUNCTION("""COMPUTED_VALUE"""),"товари для дому")</f>
        <v>товари для дому</v>
      </c>
      <c r="C1097" s="16" t="str">
        <f>IFERROR(__xludf.DUMMYFUNCTION("""COMPUTED_VALUE"""),"меблі")</f>
        <v>меблі</v>
      </c>
      <c r="D1097" s="16" t="str">
        <f>IFERROR(__xludf.DUMMYFUNCTION("""COMPUTED_VALUE"""),"надувні меблі")</f>
        <v>надувні меблі</v>
      </c>
      <c r="E1097" s="16" t="str">
        <f>IFERROR(__xludf.DUMMYFUNCTION("""COMPUTED_VALUE"""),"надувні меблі, загальне")</f>
        <v>надувні меблі, загальне</v>
      </c>
      <c r="F1097" s="17">
        <f>IFERROR(__xludf.DUMMYFUNCTION("""COMPUTED_VALUE"""),4.0)</f>
        <v>4</v>
      </c>
      <c r="G1097" s="17" t="str">
        <f>IFERROR(__xludf.DUMMYFUNCTION("""COMPUTED_VALUE"""),"370604")</f>
        <v>370604</v>
      </c>
      <c r="H1097" s="17" t="str">
        <f>IFERROR(__xludf.DUMMYFUNCTION("""COMPUTED_VALUE"""),"надувні меблі, загальне")</f>
        <v>надувні меблі, загальне</v>
      </c>
      <c r="I1097" s="19">
        <f>IFERROR(__xludf.DUMMYFUNCTION("""COMPUTED_VALUE"""),0.125)</f>
        <v>0.125</v>
      </c>
      <c r="J1097" s="19">
        <f>IFERROR(__xludf.DUMMYFUNCTION("""COMPUTED_VALUE"""),0.25)</f>
        <v>0.25</v>
      </c>
      <c r="K1097" s="19">
        <f>IFERROR(__xludf.DUMMYFUNCTION("""COMPUTED_VALUE"""),0.3125)</f>
        <v>0.3125</v>
      </c>
      <c r="L1097" s="19">
        <f>IFERROR(__xludf.DUMMYFUNCTION("""COMPUTED_VALUE"""),0.375)</f>
        <v>0.375</v>
      </c>
      <c r="M1097" s="18">
        <f>IFERROR(__xludf.DUMMYFUNCTION("""COMPUTED_VALUE"""),4.33)</f>
        <v>4.33</v>
      </c>
    </row>
    <row r="1098">
      <c r="A1098" s="13" t="str">
        <f>IFERROR(__xludf.DUMMYFUNCTION("""COMPUTED_VALUE"""),"товари")</f>
        <v>товари</v>
      </c>
      <c r="B1098" s="16" t="str">
        <f>IFERROR(__xludf.DUMMYFUNCTION("""COMPUTED_VALUE"""),"товари для дому")</f>
        <v>товари для дому</v>
      </c>
      <c r="C1098" s="16" t="str">
        <f>IFERROR(__xludf.DUMMYFUNCTION("""COMPUTED_VALUE"""),"текстиль")</f>
        <v>текстиль</v>
      </c>
      <c r="D1098" s="16" t="str">
        <f>IFERROR(__xludf.DUMMYFUNCTION("""COMPUTED_VALUE"""),"текстиль для спальні")</f>
        <v>текстиль для спальні</v>
      </c>
      <c r="E1098" s="16" t="str">
        <f>IFERROR(__xludf.DUMMYFUNCTION("""COMPUTED_VALUE"""),"наматрацники")</f>
        <v>наматрацники</v>
      </c>
      <c r="F1098" s="17">
        <f>IFERROR(__xludf.DUMMYFUNCTION("""COMPUTED_VALUE"""),4.0)</f>
        <v>4</v>
      </c>
      <c r="G1098" s="17" t="str">
        <f>IFERROR(__xludf.DUMMYFUNCTION("""COMPUTED_VALUE"""),"15030704")</f>
        <v>15030704</v>
      </c>
      <c r="H1098" s="17" t="str">
        <f>IFERROR(__xludf.DUMMYFUNCTION("""COMPUTED_VALUE"""),"наматрацники")</f>
        <v>наматрацники</v>
      </c>
      <c r="I1098" s="19">
        <f>IFERROR(__xludf.DUMMYFUNCTION("""COMPUTED_VALUE"""),0.0779)</f>
        <v>0.0779</v>
      </c>
      <c r="J1098" s="19">
        <f>IFERROR(__xludf.DUMMYFUNCTION("""COMPUTED_VALUE"""),0.1558)</f>
        <v>0.1558</v>
      </c>
      <c r="K1098" s="19">
        <f>IFERROR(__xludf.DUMMYFUNCTION("""COMPUTED_VALUE"""),0.1948)</f>
        <v>0.1948</v>
      </c>
      <c r="L1098" s="19">
        <f>IFERROR(__xludf.DUMMYFUNCTION("""COMPUTED_VALUE"""),0.2337)</f>
        <v>0.2337</v>
      </c>
      <c r="M1098" s="18">
        <f>IFERROR(__xludf.DUMMYFUNCTION("""COMPUTED_VALUE"""),2.16)</f>
        <v>2.16</v>
      </c>
    </row>
    <row r="1099">
      <c r="A1099" s="13" t="str">
        <f>IFERROR(__xludf.DUMMYFUNCTION("""COMPUTED_VALUE"""),"товари")</f>
        <v>товари</v>
      </c>
      <c r="B1099" s="16" t="str">
        <f>IFERROR(__xludf.DUMMYFUNCTION("""COMPUTED_VALUE"""),"товари для дому")</f>
        <v>товари для дому</v>
      </c>
      <c r="C1099" s="16" t="str">
        <f>IFERROR(__xludf.DUMMYFUNCTION("""COMPUTED_VALUE"""),"меблі")</f>
        <v>меблі</v>
      </c>
      <c r="D1099" s="16" t="str">
        <f>IFERROR(__xludf.DUMMYFUNCTION("""COMPUTED_VALUE"""),"комплектуючі для меблів")</f>
        <v>комплектуючі для меблів</v>
      </c>
      <c r="E1099" s="16" t="str">
        <f>IFERROR(__xludf.DUMMYFUNCTION("""COMPUTED_VALUE"""),"наповнення для шаф")</f>
        <v>наповнення для шаф</v>
      </c>
      <c r="F1099" s="17">
        <f>IFERROR(__xludf.DUMMYFUNCTION("""COMPUTED_VALUE"""),4.0)</f>
        <v>4</v>
      </c>
      <c r="G1099" s="17" t="str">
        <f>IFERROR(__xludf.DUMMYFUNCTION("""COMPUTED_VALUE"""),"370801")</f>
        <v>370801</v>
      </c>
      <c r="H1099" s="17" t="str">
        <f>IFERROR(__xludf.DUMMYFUNCTION("""COMPUTED_VALUE"""),"наповнення для шаф")</f>
        <v>наповнення для шаф</v>
      </c>
      <c r="I1099" s="19">
        <f>IFERROR(__xludf.DUMMYFUNCTION("""COMPUTED_VALUE"""),0.0665)</f>
        <v>0.0665</v>
      </c>
      <c r="J1099" s="19">
        <f>IFERROR(__xludf.DUMMYFUNCTION("""COMPUTED_VALUE"""),0.133)</f>
        <v>0.133</v>
      </c>
      <c r="K1099" s="19">
        <f>IFERROR(__xludf.DUMMYFUNCTION("""COMPUTED_VALUE"""),0.1663)</f>
        <v>0.1663</v>
      </c>
      <c r="L1099" s="19">
        <f>IFERROR(__xludf.DUMMYFUNCTION("""COMPUTED_VALUE"""),0.1995)</f>
        <v>0.1995</v>
      </c>
      <c r="M1099" s="18">
        <f>IFERROR(__xludf.DUMMYFUNCTION("""COMPUTED_VALUE"""),1.98)</f>
        <v>1.98</v>
      </c>
    </row>
    <row r="1100">
      <c r="A1100" s="13" t="str">
        <f>IFERROR(__xludf.DUMMYFUNCTION("""COMPUTED_VALUE"""),"товари")</f>
        <v>товари</v>
      </c>
      <c r="B1100" s="16" t="str">
        <f>IFERROR(__xludf.DUMMYFUNCTION("""COMPUTED_VALUE"""),"товари для дому")</f>
        <v>товари для дому</v>
      </c>
      <c r="C1100" s="16" t="str">
        <f>IFERROR(__xludf.DUMMYFUNCTION("""COMPUTED_VALUE"""),"декор для дому")</f>
        <v>декор для дому</v>
      </c>
      <c r="D1100" s="16" t="str">
        <f>IFERROR(__xludf.DUMMYFUNCTION("""COMPUTED_VALUE"""),"інтер'єрні аксесуари")</f>
        <v>інтер'єрні аксесуари</v>
      </c>
      <c r="E1100" s="16" t="str">
        <f>IFERROR(__xludf.DUMMYFUNCTION("""COMPUTED_VALUE"""),"наповнювач для ваз")</f>
        <v>наповнювач для ваз</v>
      </c>
      <c r="F1100" s="17">
        <f>IFERROR(__xludf.DUMMYFUNCTION("""COMPUTED_VALUE"""),4.0)</f>
        <v>4</v>
      </c>
      <c r="G1100" s="17" t="str">
        <f>IFERROR(__xludf.DUMMYFUNCTION("""COMPUTED_VALUE"""),"371035")</f>
        <v>371035</v>
      </c>
      <c r="H1100" s="17" t="str">
        <f>IFERROR(__xludf.DUMMYFUNCTION("""COMPUTED_VALUE"""),"наповнювач для ваз")</f>
        <v>наповнювач для ваз</v>
      </c>
      <c r="I1100" s="19">
        <f>IFERROR(__xludf.DUMMYFUNCTION("""COMPUTED_VALUE"""),0.0741)</f>
        <v>0.0741</v>
      </c>
      <c r="J1100" s="19">
        <f>IFERROR(__xludf.DUMMYFUNCTION("""COMPUTED_VALUE"""),0.1481)</f>
        <v>0.1481</v>
      </c>
      <c r="K1100" s="19">
        <f>IFERROR(__xludf.DUMMYFUNCTION("""COMPUTED_VALUE"""),0.1851)</f>
        <v>0.1851</v>
      </c>
      <c r="L1100" s="19">
        <f>IFERROR(__xludf.DUMMYFUNCTION("""COMPUTED_VALUE"""),0.2222)</f>
        <v>0.2222</v>
      </c>
      <c r="M1100" s="18">
        <f>IFERROR(__xludf.DUMMYFUNCTION("""COMPUTED_VALUE"""),1.53)</f>
        <v>1.53</v>
      </c>
    </row>
    <row r="1101">
      <c r="A1101" s="13" t="str">
        <f>IFERROR(__xludf.DUMMYFUNCTION("""COMPUTED_VALUE"""),"товари")</f>
        <v>товари</v>
      </c>
      <c r="B1101" s="16" t="str">
        <f>IFERROR(__xludf.DUMMYFUNCTION("""COMPUTED_VALUE"""),"товари для дому")</f>
        <v>товари для дому</v>
      </c>
      <c r="C1101" s="16" t="str">
        <f>IFERROR(__xludf.DUMMYFUNCTION("""COMPUTED_VALUE"""),"меблі")</f>
        <v>меблі</v>
      </c>
      <c r="D1101" s="16" t="str">
        <f>IFERROR(__xludf.DUMMYFUNCTION("""COMPUTED_VALUE"""),"комплектуючі для меблів")</f>
        <v>комплектуючі для меблів</v>
      </c>
      <c r="E1101" s="16" t="str">
        <f>IFERROR(__xludf.DUMMYFUNCTION("""COMPUTED_VALUE"""),"наповнювачі для безкаркасних меблів")</f>
        <v>наповнювачі для безкаркасних меблів</v>
      </c>
      <c r="F1101" s="17">
        <f>IFERROR(__xludf.DUMMYFUNCTION("""COMPUTED_VALUE"""),4.0)</f>
        <v>4</v>
      </c>
      <c r="G1101" s="17" t="str">
        <f>IFERROR(__xludf.DUMMYFUNCTION("""COMPUTED_VALUE"""),"370811")</f>
        <v>370811</v>
      </c>
      <c r="H1101" s="17" t="str">
        <f>IFERROR(__xludf.DUMMYFUNCTION("""COMPUTED_VALUE"""),"наповнювачі для безкаркасних меблів")</f>
        <v>наповнювачі для безкаркасних меблів</v>
      </c>
      <c r="I1101" s="19">
        <f>IFERROR(__xludf.DUMMYFUNCTION("""COMPUTED_VALUE"""),0.0665)</f>
        <v>0.0665</v>
      </c>
      <c r="J1101" s="19">
        <f>IFERROR(__xludf.DUMMYFUNCTION("""COMPUTED_VALUE"""),0.133)</f>
        <v>0.133</v>
      </c>
      <c r="K1101" s="19">
        <f>IFERROR(__xludf.DUMMYFUNCTION("""COMPUTED_VALUE"""),0.1663)</f>
        <v>0.1663</v>
      </c>
      <c r="L1101" s="19">
        <f>IFERROR(__xludf.DUMMYFUNCTION("""COMPUTED_VALUE"""),0.1995)</f>
        <v>0.1995</v>
      </c>
      <c r="M1101" s="18">
        <f>IFERROR(__xludf.DUMMYFUNCTION("""COMPUTED_VALUE"""),1.98)</f>
        <v>1.98</v>
      </c>
    </row>
    <row r="1102">
      <c r="A1102" s="13" t="str">
        <f>IFERROR(__xludf.DUMMYFUNCTION("""COMPUTED_VALUE"""),"товари")</f>
        <v>товари</v>
      </c>
      <c r="B1102" s="16" t="str">
        <f>IFERROR(__xludf.DUMMYFUNCTION("""COMPUTED_VALUE"""),"товари для дому")</f>
        <v>товари для дому</v>
      </c>
      <c r="C1102" s="16" t="str">
        <f>IFERROR(__xludf.DUMMYFUNCTION("""COMPUTED_VALUE"""),"посуд")</f>
        <v>посуд</v>
      </c>
      <c r="D1102" s="16" t="str">
        <f>IFERROR(__xludf.DUMMYFUNCTION("""COMPUTED_VALUE"""),"аксесуари для бару")</f>
        <v>аксесуари для бару</v>
      </c>
      <c r="E1102" s="16" t="str">
        <f>IFERROR(__xludf.DUMMYFUNCTION("""COMPUTED_VALUE"""),"насадки і корки для пляшок")</f>
        <v>насадки і корки для пляшок</v>
      </c>
      <c r="F1102" s="17">
        <f>IFERROR(__xludf.DUMMYFUNCTION("""COMPUTED_VALUE"""),4.0)</f>
        <v>4</v>
      </c>
      <c r="G1102" s="17" t="str">
        <f>IFERROR(__xludf.DUMMYFUNCTION("""COMPUTED_VALUE"""),"152903")</f>
        <v>152903</v>
      </c>
      <c r="H1102" s="17" t="str">
        <f>IFERROR(__xludf.DUMMYFUNCTION("""COMPUTED_VALUE"""),"насадки і корки для пляшок")</f>
        <v>насадки і корки для пляшок</v>
      </c>
      <c r="I1102" s="19">
        <f>IFERROR(__xludf.DUMMYFUNCTION("""COMPUTED_VALUE"""),0.0765)</f>
        <v>0.0765</v>
      </c>
      <c r="J1102" s="19">
        <f>IFERROR(__xludf.DUMMYFUNCTION("""COMPUTED_VALUE"""),0.153)</f>
        <v>0.153</v>
      </c>
      <c r="K1102" s="19">
        <f>IFERROR(__xludf.DUMMYFUNCTION("""COMPUTED_VALUE"""),0.1913)</f>
        <v>0.1913</v>
      </c>
      <c r="L1102" s="19">
        <f>IFERROR(__xludf.DUMMYFUNCTION("""COMPUTED_VALUE"""),0.2295)</f>
        <v>0.2295</v>
      </c>
      <c r="M1102" s="18">
        <f>IFERROR(__xludf.DUMMYFUNCTION("""COMPUTED_VALUE"""),2.7)</f>
        <v>2.7</v>
      </c>
    </row>
    <row r="1103">
      <c r="A1103" s="13" t="str">
        <f>IFERROR(__xludf.DUMMYFUNCTION("""COMPUTED_VALUE"""),"товари")</f>
        <v>товари</v>
      </c>
      <c r="B1103" s="16" t="str">
        <f>IFERROR(__xludf.DUMMYFUNCTION("""COMPUTED_VALUE"""),"дача, сад і город")</f>
        <v>дача, сад і город</v>
      </c>
      <c r="C1103" s="16" t="str">
        <f>IFERROR(__xludf.DUMMYFUNCTION("""COMPUTED_VALUE"""),"садові рослини і ґрунти")</f>
        <v>садові рослини і ґрунти</v>
      </c>
      <c r="D1103" s="16" t="str">
        <f>IFERROR(__xludf.DUMMYFUNCTION("""COMPUTED_VALUE"""),"насіння і бульби трав і квітів")</f>
        <v>насіння і бульби трав і квітів</v>
      </c>
      <c r="E1103" s="16" t="str">
        <f>IFERROR(__xludf.DUMMYFUNCTION("""COMPUTED_VALUE"""),"насіння і бульби трав і квітів")</f>
        <v>насіння і бульби трав і квітів</v>
      </c>
      <c r="F1103" s="17">
        <f>IFERROR(__xludf.DUMMYFUNCTION("""COMPUTED_VALUE"""),3.0)</f>
        <v>3</v>
      </c>
      <c r="G1103" s="17" t="str">
        <f>IFERROR(__xludf.DUMMYFUNCTION("""COMPUTED_VALUE"""),"1140216")</f>
        <v>1140216</v>
      </c>
      <c r="H1103" s="17" t="str">
        <f>IFERROR(__xludf.DUMMYFUNCTION("""COMPUTED_VALUE"""),"насіння і бульби трав і квітів")</f>
        <v>насіння і бульби трав і квітів</v>
      </c>
      <c r="I1103" s="19">
        <f>IFERROR(__xludf.DUMMYFUNCTION("""COMPUTED_VALUE"""),0.075)</f>
        <v>0.075</v>
      </c>
      <c r="J1103" s="19">
        <f>IFERROR(__xludf.DUMMYFUNCTION("""COMPUTED_VALUE"""),0.15)</f>
        <v>0.15</v>
      </c>
      <c r="K1103" s="19">
        <f>IFERROR(__xludf.DUMMYFUNCTION("""COMPUTED_VALUE"""),0.1875)</f>
        <v>0.1875</v>
      </c>
      <c r="L1103" s="19">
        <f>IFERROR(__xludf.DUMMYFUNCTION("""COMPUTED_VALUE"""),0.225)</f>
        <v>0.225</v>
      </c>
      <c r="M1103" s="18">
        <f>IFERROR(__xludf.DUMMYFUNCTION("""COMPUTED_VALUE"""),2.53)</f>
        <v>2.53</v>
      </c>
    </row>
    <row r="1104">
      <c r="A1104" s="13" t="str">
        <f>IFERROR(__xludf.DUMMYFUNCTION("""COMPUTED_VALUE"""),"товари")</f>
        <v>товари</v>
      </c>
      <c r="B1104" s="16" t="str">
        <f>IFERROR(__xludf.DUMMYFUNCTION("""COMPUTED_VALUE"""),"дача, сад і город")</f>
        <v>дача, сад і город</v>
      </c>
      <c r="C1104" s="16" t="str">
        <f>IFERROR(__xludf.DUMMYFUNCTION("""COMPUTED_VALUE"""),"садові рослини і ґрунти")</f>
        <v>садові рослини і ґрунти</v>
      </c>
      <c r="D1104" s="16" t="str">
        <f>IFERROR(__xludf.DUMMYFUNCTION("""COMPUTED_VALUE"""),"насіння, саджанці та розсада")</f>
        <v>насіння, саджанці та розсада</v>
      </c>
      <c r="E1104" s="16" t="str">
        <f>IFERROR(__xludf.DUMMYFUNCTION("""COMPUTED_VALUE"""),"насіння, саджанці та розсада")</f>
        <v>насіння, саджанці та розсада</v>
      </c>
      <c r="F1104" s="17">
        <f>IFERROR(__xludf.DUMMYFUNCTION("""COMPUTED_VALUE"""),3.0)</f>
        <v>3</v>
      </c>
      <c r="G1104" s="17" t="str">
        <f>IFERROR(__xludf.DUMMYFUNCTION("""COMPUTED_VALUE"""),"12102")</f>
        <v>12102</v>
      </c>
      <c r="H1104" s="17" t="str">
        <f>IFERROR(__xludf.DUMMYFUNCTION("""COMPUTED_VALUE"""),"насіння, саджанці та розсада")</f>
        <v>насіння, саджанці та розсада</v>
      </c>
      <c r="I1104" s="19">
        <f>IFERROR(__xludf.DUMMYFUNCTION("""COMPUTED_VALUE"""),0.075)</f>
        <v>0.075</v>
      </c>
      <c r="J1104" s="19">
        <f>IFERROR(__xludf.DUMMYFUNCTION("""COMPUTED_VALUE"""),0.15)</f>
        <v>0.15</v>
      </c>
      <c r="K1104" s="19">
        <f>IFERROR(__xludf.DUMMYFUNCTION("""COMPUTED_VALUE"""),0.1875)</f>
        <v>0.1875</v>
      </c>
      <c r="L1104" s="19">
        <f>IFERROR(__xludf.DUMMYFUNCTION("""COMPUTED_VALUE"""),0.225)</f>
        <v>0.225</v>
      </c>
      <c r="M1104" s="18">
        <f>IFERROR(__xludf.DUMMYFUNCTION("""COMPUTED_VALUE"""),2.53)</f>
        <v>2.53</v>
      </c>
    </row>
    <row r="1105">
      <c r="A1105" s="13" t="str">
        <f>IFERROR(__xludf.DUMMYFUNCTION("""COMPUTED_VALUE"""),"товари")</f>
        <v>товари</v>
      </c>
      <c r="B1105" s="16" t="str">
        <f>IFERROR(__xludf.DUMMYFUNCTION("""COMPUTED_VALUE"""),"товари для дому")</f>
        <v>товари для дому</v>
      </c>
      <c r="C1105" s="16" t="str">
        <f>IFERROR(__xludf.DUMMYFUNCTION("""COMPUTED_VALUE"""),"освітлення для дому")</f>
        <v>освітлення для дому</v>
      </c>
      <c r="D1105" s="16" t="str">
        <f>IFERROR(__xludf.DUMMYFUNCTION("""COMPUTED_VALUE"""),"настільні лампи і нічники")</f>
        <v>настільні лампи і нічники</v>
      </c>
      <c r="E1105" s="16" t="str">
        <f>IFERROR(__xludf.DUMMYFUNCTION("""COMPUTED_VALUE"""),"настільні лампи і нічники")</f>
        <v>настільні лампи і нічники</v>
      </c>
      <c r="F1105" s="17">
        <f>IFERROR(__xludf.DUMMYFUNCTION("""COMPUTED_VALUE"""),3.0)</f>
        <v>3</v>
      </c>
      <c r="G1105" s="17" t="str">
        <f>IFERROR(__xludf.DUMMYFUNCTION("""COMPUTED_VALUE"""),"39050509")</f>
        <v>39050509</v>
      </c>
      <c r="H1105" s="17" t="str">
        <f>IFERROR(__xludf.DUMMYFUNCTION("""COMPUTED_VALUE"""),"настільні лампи і нічники")</f>
        <v>настільні лампи і нічники</v>
      </c>
      <c r="I1105" s="19">
        <f>IFERROR(__xludf.DUMMYFUNCTION("""COMPUTED_VALUE"""),0.075)</f>
        <v>0.075</v>
      </c>
      <c r="J1105" s="19">
        <f>IFERROR(__xludf.DUMMYFUNCTION("""COMPUTED_VALUE"""),0.15)</f>
        <v>0.15</v>
      </c>
      <c r="K1105" s="19">
        <f>IFERROR(__xludf.DUMMYFUNCTION("""COMPUTED_VALUE"""),0.1875)</f>
        <v>0.1875</v>
      </c>
      <c r="L1105" s="19">
        <f>IFERROR(__xludf.DUMMYFUNCTION("""COMPUTED_VALUE"""),0.225)</f>
        <v>0.225</v>
      </c>
      <c r="M1105" s="18">
        <f>IFERROR(__xludf.DUMMYFUNCTION("""COMPUTED_VALUE"""),3.33)</f>
        <v>3.33</v>
      </c>
    </row>
    <row r="1106">
      <c r="A1106" s="13" t="str">
        <f>IFERROR(__xludf.DUMMYFUNCTION("""COMPUTED_VALUE"""),"товари")</f>
        <v>товари</v>
      </c>
      <c r="B1106" s="16" t="str">
        <f>IFERROR(__xludf.DUMMYFUNCTION("""COMPUTED_VALUE"""),"товари для дому")</f>
        <v>товари для дому</v>
      </c>
      <c r="C1106" s="16" t="str">
        <f>IFERROR(__xludf.DUMMYFUNCTION("""COMPUTED_VALUE"""),"посуд")</f>
        <v>посуд</v>
      </c>
      <c r="D1106" s="16" t="str">
        <f>IFERROR(__xludf.DUMMYFUNCTION("""COMPUTED_VALUE"""),"кухонне приладдя")</f>
        <v>кухонне приладдя</v>
      </c>
      <c r="E1106" s="16" t="str">
        <f>IFERROR(__xludf.DUMMYFUNCTION("""COMPUTED_VALUE"""),"форми для салатів і гарнірів")</f>
        <v>форми для салатів і гарнірів</v>
      </c>
      <c r="F1106" s="17">
        <f>IFERROR(__xludf.DUMMYFUNCTION("""COMPUTED_VALUE"""),4.0)</f>
        <v>4</v>
      </c>
      <c r="G1106" s="17" t="str">
        <f>IFERROR(__xludf.DUMMYFUNCTION("""COMPUTED_VALUE"""),"15230450")</f>
        <v>15230450</v>
      </c>
      <c r="H1106" s="17" t="str">
        <f>IFERROR(__xludf.DUMMYFUNCTION("""COMPUTED_VALUE"""),"форми для салатів і гарнірів")</f>
        <v>форми для салатів і гарнірів</v>
      </c>
      <c r="I1106" s="19">
        <f>IFERROR(__xludf.DUMMYFUNCTION("""COMPUTED_VALUE"""),0.079)</f>
        <v>0.079</v>
      </c>
      <c r="J1106" s="19">
        <f>IFERROR(__xludf.DUMMYFUNCTION("""COMPUTED_VALUE"""),0.1579)</f>
        <v>0.1579</v>
      </c>
      <c r="K1106" s="19">
        <f>IFERROR(__xludf.DUMMYFUNCTION("""COMPUTED_VALUE"""),0.1974)</f>
        <v>0.1974</v>
      </c>
      <c r="L1106" s="19">
        <f>IFERROR(__xludf.DUMMYFUNCTION("""COMPUTED_VALUE"""),0.2369)</f>
        <v>0.2369</v>
      </c>
      <c r="M1106" s="18">
        <f>IFERROR(__xludf.DUMMYFUNCTION("""COMPUTED_VALUE"""),2.11)</f>
        <v>2.11</v>
      </c>
    </row>
    <row r="1107">
      <c r="A1107" s="13" t="str">
        <f>IFERROR(__xludf.DUMMYFUNCTION("""COMPUTED_VALUE"""),"товари")</f>
        <v>товари</v>
      </c>
      <c r="B1107" s="16" t="str">
        <f>IFERROR(__xludf.DUMMYFUNCTION("""COMPUTED_VALUE"""),"товари для дому")</f>
        <v>товари для дому</v>
      </c>
      <c r="C1107" s="16" t="str">
        <f>IFERROR(__xludf.DUMMYFUNCTION("""COMPUTED_VALUE"""),"меблі")</f>
        <v>меблі</v>
      </c>
      <c r="D1107" s="16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1107" s="16" t="str">
        <f>IFERROR(__xludf.DUMMYFUNCTION("""COMPUTED_VALUE"""),"підставки для сумок")</f>
        <v>підставки для сумок</v>
      </c>
      <c r="F1107" s="17">
        <f>IFERROR(__xludf.DUMMYFUNCTION("""COMPUTED_VALUE"""),4.0)</f>
        <v>4</v>
      </c>
      <c r="G1107" s="17" t="str">
        <f>IFERROR(__xludf.DUMMYFUNCTION("""COMPUTED_VALUE"""),"15030326")</f>
        <v>15030326</v>
      </c>
      <c r="H1107" s="17" t="str">
        <f>IFERROR(__xludf.DUMMYFUNCTION("""COMPUTED_VALUE"""),"підставки для сумок")</f>
        <v>підставки для сумок</v>
      </c>
      <c r="I1107" s="19">
        <f>IFERROR(__xludf.DUMMYFUNCTION("""COMPUTED_VALUE"""),0.0781)</f>
        <v>0.0781</v>
      </c>
      <c r="J1107" s="19">
        <f>IFERROR(__xludf.DUMMYFUNCTION("""COMPUTED_VALUE"""),0.1562)</f>
        <v>0.1562</v>
      </c>
      <c r="K1107" s="19">
        <f>IFERROR(__xludf.DUMMYFUNCTION("""COMPUTED_VALUE"""),0.1953)</f>
        <v>0.1953</v>
      </c>
      <c r="L1107" s="19">
        <f>IFERROR(__xludf.DUMMYFUNCTION("""COMPUTED_VALUE"""),0.2343)</f>
        <v>0.2343</v>
      </c>
      <c r="M1107" s="18">
        <f>IFERROR(__xludf.DUMMYFUNCTION("""COMPUTED_VALUE"""),2.79)</f>
        <v>2.79</v>
      </c>
    </row>
    <row r="1108">
      <c r="A1108" s="13" t="str">
        <f>IFERROR(__xludf.DUMMYFUNCTION("""COMPUTED_VALUE"""),"товари")</f>
        <v>товари</v>
      </c>
      <c r="B1108" s="16" t="str">
        <f>IFERROR(__xludf.DUMMYFUNCTION("""COMPUTED_VALUE"""),"товари для дому")</f>
        <v>товари для дому</v>
      </c>
      <c r="C1108" s="16" t="str">
        <f>IFERROR(__xludf.DUMMYFUNCTION("""COMPUTED_VALUE"""),"текстиль")</f>
        <v>текстиль</v>
      </c>
      <c r="D1108" s="16" t="str">
        <f>IFERROR(__xludf.DUMMYFUNCTION("""COMPUTED_VALUE"""),"рушники")</f>
        <v>рушники</v>
      </c>
      <c r="E1108" s="16" t="str">
        <f>IFERROR(__xludf.DUMMYFUNCTION("""COMPUTED_VALUE"""),"носові хустинки")</f>
        <v>носові хустинки</v>
      </c>
      <c r="F1108" s="17">
        <f>IFERROR(__xludf.DUMMYFUNCTION("""COMPUTED_VALUE"""),4.0)</f>
        <v>4</v>
      </c>
      <c r="G1108" s="17" t="str">
        <f>IFERROR(__xludf.DUMMYFUNCTION("""COMPUTED_VALUE"""),"40301")</f>
        <v>40301</v>
      </c>
      <c r="H1108" s="17" t="str">
        <f>IFERROR(__xludf.DUMMYFUNCTION("""COMPUTED_VALUE"""),"носові хустинки")</f>
        <v>носові хустинки</v>
      </c>
      <c r="I1108" s="19">
        <f>IFERROR(__xludf.DUMMYFUNCTION("""COMPUTED_VALUE"""),0.0977)</f>
        <v>0.0977</v>
      </c>
      <c r="J1108" s="19">
        <f>IFERROR(__xludf.DUMMYFUNCTION("""COMPUTED_VALUE"""),0.1954)</f>
        <v>0.1954</v>
      </c>
      <c r="K1108" s="19">
        <f>IFERROR(__xludf.DUMMYFUNCTION("""COMPUTED_VALUE"""),0.2443)</f>
        <v>0.2443</v>
      </c>
      <c r="L1108" s="19">
        <f>IFERROR(__xludf.DUMMYFUNCTION("""COMPUTED_VALUE"""),0.2931)</f>
        <v>0.2931</v>
      </c>
      <c r="M1108" s="18">
        <f>IFERROR(__xludf.DUMMYFUNCTION("""COMPUTED_VALUE"""),1.71)</f>
        <v>1.71</v>
      </c>
    </row>
    <row r="1109">
      <c r="A1109" s="13" t="str">
        <f>IFERROR(__xludf.DUMMYFUNCTION("""COMPUTED_VALUE"""),"товари")</f>
        <v>товари</v>
      </c>
      <c r="B1109" s="16" t="str">
        <f>IFERROR(__xludf.DUMMYFUNCTION("""COMPUTED_VALUE"""),"товари для дому")</f>
        <v>товари для дому</v>
      </c>
      <c r="C1109" s="16" t="str">
        <f>IFERROR(__xludf.DUMMYFUNCTION("""COMPUTED_VALUE"""),"меблі")</f>
        <v>меблі</v>
      </c>
      <c r="D1109" s="16" t="str">
        <f>IFERROR(__xludf.DUMMYFUNCTION("""COMPUTED_VALUE"""),"столи")</f>
        <v>столи</v>
      </c>
      <c r="E1109" s="16" t="str">
        <f>IFERROR(__xludf.DUMMYFUNCTION("""COMPUTED_VALUE"""),"обідні групи")</f>
        <v>обідні групи</v>
      </c>
      <c r="F1109" s="17">
        <f>IFERROR(__xludf.DUMMYFUNCTION("""COMPUTED_VALUE"""),4.0)</f>
        <v>4</v>
      </c>
      <c r="G1109" s="17" t="str">
        <f>IFERROR(__xludf.DUMMYFUNCTION("""COMPUTED_VALUE"""),"15030308")</f>
        <v>15030308</v>
      </c>
      <c r="H1109" s="17" t="str">
        <f>IFERROR(__xludf.DUMMYFUNCTION("""COMPUTED_VALUE"""),"обідні групи")</f>
        <v>обідні групи</v>
      </c>
      <c r="I1109" s="19">
        <f>IFERROR(__xludf.DUMMYFUNCTION("""COMPUTED_VALUE"""),0.0637)</f>
        <v>0.0637</v>
      </c>
      <c r="J1109" s="19">
        <f>IFERROR(__xludf.DUMMYFUNCTION("""COMPUTED_VALUE"""),0.1273)</f>
        <v>0.1273</v>
      </c>
      <c r="K1109" s="19">
        <f>IFERROR(__xludf.DUMMYFUNCTION("""COMPUTED_VALUE"""),0.1591)</f>
        <v>0.1591</v>
      </c>
      <c r="L1109" s="19">
        <f>IFERROR(__xludf.DUMMYFUNCTION("""COMPUTED_VALUE"""),0.191)</f>
        <v>0.191</v>
      </c>
      <c r="M1109" s="18">
        <f>IFERROR(__xludf.DUMMYFUNCTION("""COMPUTED_VALUE"""),1.53)</f>
        <v>1.53</v>
      </c>
    </row>
    <row r="1110">
      <c r="A1110" s="13" t="str">
        <f>IFERROR(__xludf.DUMMYFUNCTION("""COMPUTED_VALUE"""),"товари")</f>
        <v>товари</v>
      </c>
      <c r="B1110" s="16" t="str">
        <f>IFERROR(__xludf.DUMMYFUNCTION("""COMPUTED_VALUE"""),"товари для дому")</f>
        <v>товари для дому</v>
      </c>
      <c r="C1110" s="16" t="str">
        <f>IFERROR(__xludf.DUMMYFUNCTION("""COMPUTED_VALUE"""),"меблі")</f>
        <v>меблі</v>
      </c>
      <c r="D1110" s="16" t="str">
        <f>IFERROR(__xludf.DUMMYFUNCTION("""COMPUTED_VALUE"""),"столи")</f>
        <v>столи</v>
      </c>
      <c r="E1110" s="16" t="str">
        <f>IFERROR(__xludf.DUMMYFUNCTION("""COMPUTED_VALUE"""),"обідні столи ")</f>
        <v>обідні столи </v>
      </c>
      <c r="F1110" s="17">
        <f>IFERROR(__xludf.DUMMYFUNCTION("""COMPUTED_VALUE"""),4.0)</f>
        <v>4</v>
      </c>
      <c r="G1110" s="17" t="str">
        <f>IFERROR(__xludf.DUMMYFUNCTION("""COMPUTED_VALUE"""),"15030313")</f>
        <v>15030313</v>
      </c>
      <c r="H1110" s="17" t="str">
        <f>IFERROR(__xludf.DUMMYFUNCTION("""COMPUTED_VALUE"""),"обідні столи ")</f>
        <v>обідні столи </v>
      </c>
      <c r="I1110" s="19">
        <f>IFERROR(__xludf.DUMMYFUNCTION("""COMPUTED_VALUE"""),0.0678)</f>
        <v>0.0678</v>
      </c>
      <c r="J1110" s="19">
        <f>IFERROR(__xludf.DUMMYFUNCTION("""COMPUTED_VALUE"""),0.1355)</f>
        <v>0.1355</v>
      </c>
      <c r="K1110" s="19">
        <f>IFERROR(__xludf.DUMMYFUNCTION("""COMPUTED_VALUE"""),0.1694)</f>
        <v>0.1694</v>
      </c>
      <c r="L1110" s="19">
        <f>IFERROR(__xludf.DUMMYFUNCTION("""COMPUTED_VALUE"""),0.2033)</f>
        <v>0.2033</v>
      </c>
      <c r="M1110" s="18">
        <f>IFERROR(__xludf.DUMMYFUNCTION("""COMPUTED_VALUE"""),3.15)</f>
        <v>3.15</v>
      </c>
    </row>
    <row r="1111">
      <c r="A1111" s="13" t="str">
        <f>IFERROR(__xludf.DUMMYFUNCTION("""COMPUTED_VALUE"""),"товари")</f>
        <v>товари</v>
      </c>
      <c r="B1111" s="16" t="str">
        <f>IFERROR(__xludf.DUMMYFUNCTION("""COMPUTED_VALUE"""),"дача, сад і город")</f>
        <v>дача, сад і город</v>
      </c>
      <c r="C1111" s="16" t="str">
        <f>IFERROR(__xludf.DUMMYFUNCTION("""COMPUTED_VALUE"""),"обладнання для поливу")</f>
        <v>обладнання для поливу</v>
      </c>
      <c r="D1111" s="16" t="str">
        <f>IFERROR(__xludf.DUMMYFUNCTION("""COMPUTED_VALUE"""),"обладнання автоматичного поливу")</f>
        <v>обладнання автоматичного поливу</v>
      </c>
      <c r="E1111" s="16" t="str">
        <f>IFERROR(__xludf.DUMMYFUNCTION("""COMPUTED_VALUE"""),"обладнання автоматичного поливу")</f>
        <v>обладнання автоматичного поливу</v>
      </c>
      <c r="F1111" s="17">
        <f>IFERROR(__xludf.DUMMYFUNCTION("""COMPUTED_VALUE"""),3.0)</f>
        <v>3</v>
      </c>
      <c r="G1111" s="17" t="str">
        <f>IFERROR(__xludf.DUMMYFUNCTION("""COMPUTED_VALUE"""),"12502")</f>
        <v>12502</v>
      </c>
      <c r="H1111" s="17" t="str">
        <f>IFERROR(__xludf.DUMMYFUNCTION("""COMPUTED_VALUE"""),"обладнання автоматичного поливу")</f>
        <v>обладнання автоматичного поливу</v>
      </c>
      <c r="I1111" s="19">
        <f>IFERROR(__xludf.DUMMYFUNCTION("""COMPUTED_VALUE"""),0.0789)</f>
        <v>0.0789</v>
      </c>
      <c r="J1111" s="19">
        <f>IFERROR(__xludf.DUMMYFUNCTION("""COMPUTED_VALUE"""),0.1578)</f>
        <v>0.1578</v>
      </c>
      <c r="K1111" s="19">
        <f>IFERROR(__xludf.DUMMYFUNCTION("""COMPUTED_VALUE"""),0.1973)</f>
        <v>0.1973</v>
      </c>
      <c r="L1111" s="19">
        <f>IFERROR(__xludf.DUMMYFUNCTION("""COMPUTED_VALUE"""),0.2367)</f>
        <v>0.2367</v>
      </c>
      <c r="M1111" s="18">
        <f>IFERROR(__xludf.DUMMYFUNCTION("""COMPUTED_VALUE"""),3.43)</f>
        <v>3.43</v>
      </c>
    </row>
    <row r="1112">
      <c r="A1112" s="13" t="str">
        <f>IFERROR(__xludf.DUMMYFUNCTION("""COMPUTED_VALUE"""),"товари")</f>
        <v>товари</v>
      </c>
      <c r="B1112" s="16" t="str">
        <f>IFERROR(__xludf.DUMMYFUNCTION("""COMPUTED_VALUE"""),"дача, сад і город")</f>
        <v>дача, сад і город</v>
      </c>
      <c r="C1112" s="16" t="str">
        <f>IFERROR(__xludf.DUMMYFUNCTION("""COMPUTED_VALUE"""),"обладнання для поливу")</f>
        <v>обладнання для поливу</v>
      </c>
      <c r="D1112" s="16" t="str">
        <f>IFERROR(__xludf.DUMMYFUNCTION("""COMPUTED_VALUE"""),"обладнання внесення добрив для систем зрошення")</f>
        <v>обладнання внесення добрив для систем зрошення</v>
      </c>
      <c r="E1112" s="16" t="str">
        <f>IFERROR(__xludf.DUMMYFUNCTION("""COMPUTED_VALUE"""),"обладнання внесення добрив для систем зрошення")</f>
        <v>обладнання внесення добрив для систем зрошення</v>
      </c>
      <c r="F1112" s="17">
        <f>IFERROR(__xludf.DUMMYFUNCTION("""COMPUTED_VALUE"""),3.0)</f>
        <v>3</v>
      </c>
      <c r="G1112" s="17" t="str">
        <f>IFERROR(__xludf.DUMMYFUNCTION("""COMPUTED_VALUE"""),"1250347")</f>
        <v>1250347</v>
      </c>
      <c r="H1112" s="17" t="str">
        <f>IFERROR(__xludf.DUMMYFUNCTION("""COMPUTED_VALUE"""),"обладнання внесення добрив для систем зрошення")</f>
        <v>обладнання внесення добрив для систем зрошення</v>
      </c>
      <c r="I1112" s="19">
        <f>IFERROR(__xludf.DUMMYFUNCTION("""COMPUTED_VALUE"""),0.078)</f>
        <v>0.078</v>
      </c>
      <c r="J1112" s="19">
        <f>IFERROR(__xludf.DUMMYFUNCTION("""COMPUTED_VALUE"""),0.1559)</f>
        <v>0.1559</v>
      </c>
      <c r="K1112" s="19">
        <f>IFERROR(__xludf.DUMMYFUNCTION("""COMPUTED_VALUE"""),0.1949)</f>
        <v>0.1949</v>
      </c>
      <c r="L1112" s="19">
        <f>IFERROR(__xludf.DUMMYFUNCTION("""COMPUTED_VALUE"""),0.2339)</f>
        <v>0.2339</v>
      </c>
      <c r="M1112" s="18">
        <f>IFERROR(__xludf.DUMMYFUNCTION("""COMPUTED_VALUE"""),3.43)</f>
        <v>3.43</v>
      </c>
    </row>
    <row r="1113">
      <c r="A1113" s="13" t="str">
        <f>IFERROR(__xludf.DUMMYFUNCTION("""COMPUTED_VALUE"""),"товари")</f>
        <v>товари</v>
      </c>
      <c r="B1113" s="16" t="str">
        <f>IFERROR(__xludf.DUMMYFUNCTION("""COMPUTED_VALUE"""),"дача, сад і город")</f>
        <v>дача, сад і город</v>
      </c>
      <c r="C1113" s="16" t="str">
        <f>IFERROR(__xludf.DUMMYFUNCTION("""COMPUTED_VALUE"""),"обладнання для фермерських продуктів")</f>
        <v>обладнання для фермерських продуктів</v>
      </c>
      <c r="D1113" s="16" t="str">
        <f>IFERROR(__xludf.DUMMYFUNCTION("""COMPUTED_VALUE"""),"обладнання для виробництва комбікормів")</f>
        <v>обладнання для виробництва комбікормів</v>
      </c>
      <c r="E1113" s="16" t="str">
        <f>IFERROR(__xludf.DUMMYFUNCTION("""COMPUTED_VALUE"""),"обладнання для виробництва комбікормів")</f>
        <v>обладнання для виробництва комбікормів</v>
      </c>
      <c r="F1113" s="17">
        <f>IFERROR(__xludf.DUMMYFUNCTION("""COMPUTED_VALUE"""),3.0)</f>
        <v>3</v>
      </c>
      <c r="G1113" s="17" t="str">
        <f>IFERROR(__xludf.DUMMYFUNCTION("""COMPUTED_VALUE"""),"151903")</f>
        <v>151903</v>
      </c>
      <c r="H1113" s="17" t="str">
        <f>IFERROR(__xludf.DUMMYFUNCTION("""COMPUTED_VALUE"""),"обладнання для виробництва комбікормів")</f>
        <v>обладнання для виробництва комбікормів</v>
      </c>
      <c r="I1113" s="19">
        <f>IFERROR(__xludf.DUMMYFUNCTION("""COMPUTED_VALUE"""),0.05)</f>
        <v>0.05</v>
      </c>
      <c r="J1113" s="19">
        <f>IFERROR(__xludf.DUMMYFUNCTION("""COMPUTED_VALUE"""),0.1)</f>
        <v>0.1</v>
      </c>
      <c r="K1113" s="19">
        <f>IFERROR(__xludf.DUMMYFUNCTION("""COMPUTED_VALUE"""),0.125)</f>
        <v>0.125</v>
      </c>
      <c r="L1113" s="19">
        <f>IFERROR(__xludf.DUMMYFUNCTION("""COMPUTED_VALUE"""),0.15)</f>
        <v>0.15</v>
      </c>
      <c r="M1113" s="18">
        <f>IFERROR(__xludf.DUMMYFUNCTION("""COMPUTED_VALUE"""),4.14)</f>
        <v>4.14</v>
      </c>
    </row>
    <row r="1114">
      <c r="A1114" s="13" t="str">
        <f>IFERROR(__xludf.DUMMYFUNCTION("""COMPUTED_VALUE"""),"товари")</f>
        <v>товари</v>
      </c>
      <c r="B1114" s="16" t="str">
        <f>IFERROR(__xludf.DUMMYFUNCTION("""COMPUTED_VALUE"""),"дача, сад і город")</f>
        <v>дача, сад і город</v>
      </c>
      <c r="C1114" s="16" t="str">
        <f>IFERROR(__xludf.DUMMYFUNCTION("""COMPUTED_VALUE"""),"обладнання для фермерських продуктів")</f>
        <v>обладнання для фермерських продуктів</v>
      </c>
      <c r="D1114" s="16" t="str">
        <f>IFERROR(__xludf.DUMMYFUNCTION("""COMPUTED_VALUE"""),"обладнання для домашнього виноробства")</f>
        <v>обладнання для домашнього виноробства</v>
      </c>
      <c r="E1114" s="16" t="str">
        <f>IFERROR(__xludf.DUMMYFUNCTION("""COMPUTED_VALUE"""),"обладнання для домашнього виноробства")</f>
        <v>обладнання для домашнього виноробства</v>
      </c>
      <c r="F1114" s="17">
        <f>IFERROR(__xludf.DUMMYFUNCTION("""COMPUTED_VALUE"""),3.0)</f>
        <v>3</v>
      </c>
      <c r="G1114" s="17" t="str">
        <f>IFERROR(__xludf.DUMMYFUNCTION("""COMPUTED_VALUE"""),"12819")</f>
        <v>12819</v>
      </c>
      <c r="H1114" s="17" t="str">
        <f>IFERROR(__xludf.DUMMYFUNCTION("""COMPUTED_VALUE"""),"обладнання для домашнього виноробства")</f>
        <v>обладнання для домашнього виноробства</v>
      </c>
      <c r="I1114" s="19">
        <f>IFERROR(__xludf.DUMMYFUNCTION("""COMPUTED_VALUE"""),0.0729)</f>
        <v>0.0729</v>
      </c>
      <c r="J1114" s="19">
        <f>IFERROR(__xludf.DUMMYFUNCTION("""COMPUTED_VALUE"""),0.1458)</f>
        <v>0.1458</v>
      </c>
      <c r="K1114" s="19">
        <f>IFERROR(__xludf.DUMMYFUNCTION("""COMPUTED_VALUE"""),0.1823)</f>
        <v>0.1823</v>
      </c>
      <c r="L1114" s="19">
        <f>IFERROR(__xludf.DUMMYFUNCTION("""COMPUTED_VALUE"""),0.2187)</f>
        <v>0.2187</v>
      </c>
      <c r="M1114" s="18">
        <f>IFERROR(__xludf.DUMMYFUNCTION("""COMPUTED_VALUE"""),4.14)</f>
        <v>4.14</v>
      </c>
    </row>
    <row r="1115">
      <c r="A1115" s="13" t="str">
        <f>IFERROR(__xludf.DUMMYFUNCTION("""COMPUTED_VALUE"""),"товари")</f>
        <v>товари</v>
      </c>
      <c r="B1115" s="16" t="str">
        <f>IFERROR(__xludf.DUMMYFUNCTION("""COMPUTED_VALUE"""),"дача, сад і город")</f>
        <v>дача, сад і город</v>
      </c>
      <c r="C1115" s="16" t="str">
        <f>IFERROR(__xludf.DUMMYFUNCTION("""COMPUTED_VALUE"""),"обладнання для саун і лазень")</f>
        <v>обладнання для саун і лазень</v>
      </c>
      <c r="D1115" s="16" t="str">
        <f>IFERROR(__xludf.DUMMYFUNCTION("""COMPUTED_VALUE"""),"обладнання для саун і лазень, загальне")</f>
        <v>обладнання для саун і лазень, загальне</v>
      </c>
      <c r="E1115" s="16" t="str">
        <f>IFERROR(__xludf.DUMMYFUNCTION("""COMPUTED_VALUE"""),"обладнання для саун і лазень, загальне")</f>
        <v>обладнання для саун і лазень, загальне</v>
      </c>
      <c r="F1115" s="17">
        <f>IFERROR(__xludf.DUMMYFUNCTION("""COMPUTED_VALUE"""),3.0)</f>
        <v>3</v>
      </c>
      <c r="G1115" s="17" t="str">
        <f>IFERROR(__xludf.DUMMYFUNCTION("""COMPUTED_VALUE"""),"150503")</f>
        <v>150503</v>
      </c>
      <c r="H1115" s="17" t="str">
        <f>IFERROR(__xludf.DUMMYFUNCTION("""COMPUTED_VALUE"""),"обладнання для саун і лазень, загальне")</f>
        <v>обладнання для саун і лазень, загальне</v>
      </c>
      <c r="I1115" s="19">
        <f>IFERROR(__xludf.DUMMYFUNCTION("""COMPUTED_VALUE"""),0.125)</f>
        <v>0.125</v>
      </c>
      <c r="J1115" s="19">
        <f>IFERROR(__xludf.DUMMYFUNCTION("""COMPUTED_VALUE"""),0.25)</f>
        <v>0.25</v>
      </c>
      <c r="K1115" s="19">
        <f>IFERROR(__xludf.DUMMYFUNCTION("""COMPUTED_VALUE"""),0.3125)</f>
        <v>0.3125</v>
      </c>
      <c r="L1115" s="19">
        <f>IFERROR(__xludf.DUMMYFUNCTION("""COMPUTED_VALUE"""),0.375)</f>
        <v>0.375</v>
      </c>
      <c r="M1115" s="18">
        <f>IFERROR(__xludf.DUMMYFUNCTION("""COMPUTED_VALUE"""),4.33)</f>
        <v>4.33</v>
      </c>
    </row>
    <row r="1116">
      <c r="A1116" s="13" t="str">
        <f>IFERROR(__xludf.DUMMYFUNCTION("""COMPUTED_VALUE"""),"товари")</f>
        <v>товари</v>
      </c>
      <c r="B1116" s="16" t="str">
        <f>IFERROR(__xludf.DUMMYFUNCTION("""COMPUTED_VALUE"""),"дача, сад і город")</f>
        <v>дача, сад і город</v>
      </c>
      <c r="C1116" s="16" t="str">
        <f>IFERROR(__xludf.DUMMYFUNCTION("""COMPUTED_VALUE"""),"обладнання для фермерських продуктів")</f>
        <v>обладнання для фермерських продуктів</v>
      </c>
      <c r="D1116" s="16" t="str">
        <f>IFERROR(__xludf.DUMMYFUNCTION("""COMPUTED_VALUE"""),"обладнання для фермерських продуктів, загальне")</f>
        <v>обладнання для фермерських продуктів, загальне</v>
      </c>
      <c r="E1116" s="16" t="str">
        <f>IFERROR(__xludf.DUMMYFUNCTION("""COMPUTED_VALUE"""),"обладнання для фермерських продуктів, загальне")</f>
        <v>обладнання для фермерських продуктів, загальне</v>
      </c>
      <c r="F1116" s="17">
        <f>IFERROR(__xludf.DUMMYFUNCTION("""COMPUTED_VALUE"""),3.0)</f>
        <v>3</v>
      </c>
      <c r="G1116" s="17" t="str">
        <f>IFERROR(__xludf.DUMMYFUNCTION("""COMPUTED_VALUE"""),"151909")</f>
        <v>151909</v>
      </c>
      <c r="H1116" s="17" t="str">
        <f>IFERROR(__xludf.DUMMYFUNCTION("""COMPUTED_VALUE"""),"обладнання для фермерських продуктів, загальне")</f>
        <v>обладнання для фермерських продуктів, загальне</v>
      </c>
      <c r="I1116" s="19">
        <f>IFERROR(__xludf.DUMMYFUNCTION("""COMPUTED_VALUE"""),0.125)</f>
        <v>0.125</v>
      </c>
      <c r="J1116" s="19">
        <f>IFERROR(__xludf.DUMMYFUNCTION("""COMPUTED_VALUE"""),0.25)</f>
        <v>0.25</v>
      </c>
      <c r="K1116" s="19">
        <f>IFERROR(__xludf.DUMMYFUNCTION("""COMPUTED_VALUE"""),0.3125)</f>
        <v>0.3125</v>
      </c>
      <c r="L1116" s="19">
        <f>IFERROR(__xludf.DUMMYFUNCTION("""COMPUTED_VALUE"""),0.375)</f>
        <v>0.375</v>
      </c>
      <c r="M1116" s="18">
        <f>IFERROR(__xludf.DUMMYFUNCTION("""COMPUTED_VALUE"""),4.33)</f>
        <v>4.33</v>
      </c>
    </row>
    <row r="1117">
      <c r="A1117" s="13" t="str">
        <f>IFERROR(__xludf.DUMMYFUNCTION("""COMPUTED_VALUE"""),"товари")</f>
        <v>товари</v>
      </c>
      <c r="B1117" s="16" t="str">
        <f>IFERROR(__xludf.DUMMYFUNCTION("""COMPUTED_VALUE"""),"дача, сад і город")</f>
        <v>дача, сад і город</v>
      </c>
      <c r="C1117" s="16" t="str">
        <f>IFERROR(__xludf.DUMMYFUNCTION("""COMPUTED_VALUE"""),"садовий декор")</f>
        <v>садовий декор</v>
      </c>
      <c r="D1117" s="16" t="str">
        <f>IFERROR(__xludf.DUMMYFUNCTION("""COMPUTED_VALUE"""),"обладнання та аксесуари для ставків, фонтанів")</f>
        <v>обладнання та аксесуари для ставків, фонтанів</v>
      </c>
      <c r="E1117" s="16" t="str">
        <f>IFERROR(__xludf.DUMMYFUNCTION("""COMPUTED_VALUE"""),"обладнання та аксесуари для ставків, фонтанів")</f>
        <v>обладнання та аксесуари для ставків, фонтанів</v>
      </c>
      <c r="F1117" s="17">
        <f>IFERROR(__xludf.DUMMYFUNCTION("""COMPUTED_VALUE"""),3.0)</f>
        <v>3</v>
      </c>
      <c r="G1117" s="17" t="str">
        <f>IFERROR(__xludf.DUMMYFUNCTION("""COMPUTED_VALUE"""),"130125")</f>
        <v>130125</v>
      </c>
      <c r="H1117" s="17" t="str">
        <f>IFERROR(__xludf.DUMMYFUNCTION("""COMPUTED_VALUE"""),"обладнання та аксесуари для ставків, фонтанів")</f>
        <v>обладнання та аксесуари для ставків, фонтанів</v>
      </c>
      <c r="I1117" s="19">
        <f>IFERROR(__xludf.DUMMYFUNCTION("""COMPUTED_VALUE"""),0.0663)</f>
        <v>0.0663</v>
      </c>
      <c r="J1117" s="19">
        <f>IFERROR(__xludf.DUMMYFUNCTION("""COMPUTED_VALUE"""),0.1326)</f>
        <v>0.1326</v>
      </c>
      <c r="K1117" s="19">
        <f>IFERROR(__xludf.DUMMYFUNCTION("""COMPUTED_VALUE"""),0.1658)</f>
        <v>0.1658</v>
      </c>
      <c r="L1117" s="19">
        <f>IFERROR(__xludf.DUMMYFUNCTION("""COMPUTED_VALUE"""),0.1989)</f>
        <v>0.1989</v>
      </c>
      <c r="M1117" s="18">
        <f>IFERROR(__xludf.DUMMYFUNCTION("""COMPUTED_VALUE"""),1.53)</f>
        <v>1.53</v>
      </c>
    </row>
    <row r="1118">
      <c r="A1118" s="13" t="str">
        <f>IFERROR(__xludf.DUMMYFUNCTION("""COMPUTED_VALUE"""),"товари")</f>
        <v>товари</v>
      </c>
      <c r="B1118" s="16" t="str">
        <f>IFERROR(__xludf.DUMMYFUNCTION("""COMPUTED_VALUE"""),"товари для дому")</f>
        <v>товари для дому</v>
      </c>
      <c r="C1118" s="16" t="str">
        <f>IFERROR(__xludf.DUMMYFUNCTION("""COMPUTED_VALUE"""),"посуд")</f>
        <v>посуд</v>
      </c>
      <c r="D1118" s="16" t="str">
        <f>IFERROR(__xludf.DUMMYFUNCTION("""COMPUTED_VALUE"""),"кухонне приладдя")</f>
        <v>кухонне приладдя</v>
      </c>
      <c r="E1118" s="16" t="str">
        <f>IFERROR(__xludf.DUMMYFUNCTION("""COMPUTED_VALUE"""),"овочерізки, яйцерізки")</f>
        <v>овочерізки, яйцерізки</v>
      </c>
      <c r="F1118" s="17">
        <f>IFERROR(__xludf.DUMMYFUNCTION("""COMPUTED_VALUE"""),4.0)</f>
        <v>4</v>
      </c>
      <c r="G1118" s="17" t="str">
        <f>IFERROR(__xludf.DUMMYFUNCTION("""COMPUTED_VALUE"""),"15230408")</f>
        <v>15230408</v>
      </c>
      <c r="H1118" s="17" t="str">
        <f>IFERROR(__xludf.DUMMYFUNCTION("""COMPUTED_VALUE"""),"овочерізки, яйцерізки")</f>
        <v>овочерізки, яйцерізки</v>
      </c>
      <c r="I1118" s="19">
        <f>IFERROR(__xludf.DUMMYFUNCTION("""COMPUTED_VALUE"""),0.0774)</f>
        <v>0.0774</v>
      </c>
      <c r="J1118" s="19">
        <f>IFERROR(__xludf.DUMMYFUNCTION("""COMPUTED_VALUE"""),0.1547)</f>
        <v>0.1547</v>
      </c>
      <c r="K1118" s="19">
        <f>IFERROR(__xludf.DUMMYFUNCTION("""COMPUTED_VALUE"""),0.1934)</f>
        <v>0.1934</v>
      </c>
      <c r="L1118" s="19">
        <f>IFERROR(__xludf.DUMMYFUNCTION("""COMPUTED_VALUE"""),0.2321)</f>
        <v>0.2321</v>
      </c>
      <c r="M1118" s="18">
        <f>IFERROR(__xludf.DUMMYFUNCTION("""COMPUTED_VALUE"""),2.08)</f>
        <v>2.08</v>
      </c>
    </row>
    <row r="1119">
      <c r="A1119" s="13" t="str">
        <f>IFERROR(__xludf.DUMMYFUNCTION("""COMPUTED_VALUE"""),"товари")</f>
        <v>товари</v>
      </c>
      <c r="B1119" s="16" t="str">
        <f>IFERROR(__xludf.DUMMYFUNCTION("""COMPUTED_VALUE"""),"товари для дому")</f>
        <v>товари для дому</v>
      </c>
      <c r="C1119" s="16" t="str">
        <f>IFERROR(__xludf.DUMMYFUNCTION("""COMPUTED_VALUE"""),"посуд")</f>
        <v>посуд</v>
      </c>
      <c r="D1119" s="16" t="str">
        <f>IFERROR(__xludf.DUMMYFUNCTION("""COMPUTED_VALUE"""),"кухонне приладдя")</f>
        <v>кухонне приладдя</v>
      </c>
      <c r="E1119" s="16" t="str">
        <f>IFERROR(__xludf.DUMMYFUNCTION("""COMPUTED_VALUE"""),"овочечистки, шкребки для рибної луски")</f>
        <v>овочечистки, шкребки для рибної луски</v>
      </c>
      <c r="F1119" s="17">
        <f>IFERROR(__xludf.DUMMYFUNCTION("""COMPUTED_VALUE"""),4.0)</f>
        <v>4</v>
      </c>
      <c r="G1119" s="17" t="str">
        <f>IFERROR(__xludf.DUMMYFUNCTION("""COMPUTED_VALUE"""),"15230421")</f>
        <v>15230421</v>
      </c>
      <c r="H1119" s="17" t="str">
        <f>IFERROR(__xludf.DUMMYFUNCTION("""COMPUTED_VALUE"""),"овочечистки, шкребки для рибної луски")</f>
        <v>овочечистки, шкребки для рибної луски</v>
      </c>
      <c r="I1119" s="19">
        <f>IFERROR(__xludf.DUMMYFUNCTION("""COMPUTED_VALUE"""),0.0777)</f>
        <v>0.0777</v>
      </c>
      <c r="J1119" s="19">
        <f>IFERROR(__xludf.DUMMYFUNCTION("""COMPUTED_VALUE"""),0.1553)</f>
        <v>0.1553</v>
      </c>
      <c r="K1119" s="19">
        <f>IFERROR(__xludf.DUMMYFUNCTION("""COMPUTED_VALUE"""),0.1941)</f>
        <v>0.1941</v>
      </c>
      <c r="L1119" s="19">
        <f>IFERROR(__xludf.DUMMYFUNCTION("""COMPUTED_VALUE"""),0.233)</f>
        <v>0.233</v>
      </c>
      <c r="M1119" s="18">
        <f>IFERROR(__xludf.DUMMYFUNCTION("""COMPUTED_VALUE"""),2.08)</f>
        <v>2.08</v>
      </c>
    </row>
    <row r="1120">
      <c r="A1120" s="13" t="str">
        <f>IFERROR(__xludf.DUMMYFUNCTION("""COMPUTED_VALUE"""),"товари")</f>
        <v>товари</v>
      </c>
      <c r="B1120" s="16" t="str">
        <f>IFERROR(__xludf.DUMMYFUNCTION("""COMPUTED_VALUE"""),"товари для дому")</f>
        <v>товари для дому</v>
      </c>
      <c r="C1120" s="16" t="str">
        <f>IFERROR(__xludf.DUMMYFUNCTION("""COMPUTED_VALUE"""),"посуд")</f>
        <v>посуд</v>
      </c>
      <c r="D1120" s="16" t="str">
        <f>IFERROR(__xludf.DUMMYFUNCTION("""COMPUTED_VALUE"""),"столовий посуд")</f>
        <v>столовий посуд</v>
      </c>
      <c r="E1120" s="16" t="str">
        <f>IFERROR(__xludf.DUMMYFUNCTION("""COMPUTED_VALUE"""),"одноразовий посуд")</f>
        <v>одноразовий посуд</v>
      </c>
      <c r="F1120" s="17">
        <f>IFERROR(__xludf.DUMMYFUNCTION("""COMPUTED_VALUE"""),4.0)</f>
        <v>4</v>
      </c>
      <c r="G1120" s="17" t="str">
        <f>IFERROR(__xludf.DUMMYFUNCTION("""COMPUTED_VALUE"""),"150201")</f>
        <v>150201</v>
      </c>
      <c r="H1120" s="17" t="str">
        <f>IFERROR(__xludf.DUMMYFUNCTION("""COMPUTED_VALUE"""),"одноразовий посуд")</f>
        <v>одноразовий посуд</v>
      </c>
      <c r="I1120" s="19">
        <f>IFERROR(__xludf.DUMMYFUNCTION("""COMPUTED_VALUE"""),0.0805)</f>
        <v>0.0805</v>
      </c>
      <c r="J1120" s="19">
        <f>IFERROR(__xludf.DUMMYFUNCTION("""COMPUTED_VALUE"""),0.161)</f>
        <v>0.161</v>
      </c>
      <c r="K1120" s="19">
        <f>IFERROR(__xludf.DUMMYFUNCTION("""COMPUTED_VALUE"""),0.2013)</f>
        <v>0.2013</v>
      </c>
      <c r="L1120" s="19">
        <f>IFERROR(__xludf.DUMMYFUNCTION("""COMPUTED_VALUE"""),0.2415)</f>
        <v>0.2415</v>
      </c>
      <c r="M1120" s="18">
        <f>IFERROR(__xludf.DUMMYFUNCTION("""COMPUTED_VALUE"""),2.08)</f>
        <v>2.08</v>
      </c>
    </row>
    <row r="1121">
      <c r="A1121" s="13" t="str">
        <f>IFERROR(__xludf.DUMMYFUNCTION("""COMPUTED_VALUE"""),"товари")</f>
        <v>товари</v>
      </c>
      <c r="B1121" s="16" t="str">
        <f>IFERROR(__xludf.DUMMYFUNCTION("""COMPUTED_VALUE"""),"товари для дому")</f>
        <v>товари для дому</v>
      </c>
      <c r="C1121" s="16" t="str">
        <f>IFERROR(__xludf.DUMMYFUNCTION("""COMPUTED_VALUE"""),"посуд")</f>
        <v>посуд</v>
      </c>
      <c r="D1121" s="16" t="str">
        <f>IFERROR(__xludf.DUMMYFUNCTION("""COMPUTED_VALUE"""),"кухонне приладдя")</f>
        <v>кухонне приладдя</v>
      </c>
      <c r="E1121" s="16" t="str">
        <f>IFERROR(__xludf.DUMMYFUNCTION("""COMPUTED_VALUE"""),"ополоники, шумівки, картоплем'ялки")</f>
        <v>ополоники, шумівки, картоплем'ялки</v>
      </c>
      <c r="F1121" s="17">
        <f>IFERROR(__xludf.DUMMYFUNCTION("""COMPUTED_VALUE"""),4.0)</f>
        <v>4</v>
      </c>
      <c r="G1121" s="17" t="str">
        <f>IFERROR(__xludf.DUMMYFUNCTION("""COMPUTED_VALUE"""),"15230425")</f>
        <v>15230425</v>
      </c>
      <c r="H1121" s="17" t="str">
        <f>IFERROR(__xludf.DUMMYFUNCTION("""COMPUTED_VALUE"""),"ополоники, шумівки, картоплем'ялки")</f>
        <v>ополоники, шумівки, картоплем'ялки</v>
      </c>
      <c r="I1121" s="19">
        <f>IFERROR(__xludf.DUMMYFUNCTION("""COMPUTED_VALUE"""),0.0777)</f>
        <v>0.0777</v>
      </c>
      <c r="J1121" s="19">
        <f>IFERROR(__xludf.DUMMYFUNCTION("""COMPUTED_VALUE"""),0.1553)</f>
        <v>0.1553</v>
      </c>
      <c r="K1121" s="19">
        <f>IFERROR(__xludf.DUMMYFUNCTION("""COMPUTED_VALUE"""),0.1941)</f>
        <v>0.1941</v>
      </c>
      <c r="L1121" s="19">
        <f>IFERROR(__xludf.DUMMYFUNCTION("""COMPUTED_VALUE"""),0.233)</f>
        <v>0.233</v>
      </c>
      <c r="M1121" s="18">
        <f>IFERROR(__xludf.DUMMYFUNCTION("""COMPUTED_VALUE"""),2.08)</f>
        <v>2.08</v>
      </c>
    </row>
    <row r="1122">
      <c r="A1122" s="13" t="str">
        <f>IFERROR(__xludf.DUMMYFUNCTION("""COMPUTED_VALUE"""),"товари")</f>
        <v>товари</v>
      </c>
      <c r="B1122" s="16" t="str">
        <f>IFERROR(__xludf.DUMMYFUNCTION("""COMPUTED_VALUE"""),"товари для дому")</f>
        <v>товари для дому</v>
      </c>
      <c r="C1122" s="16" t="str">
        <f>IFERROR(__xludf.DUMMYFUNCTION("""COMPUTED_VALUE"""),"рішення для зберігання")</f>
        <v>рішення для зберігання</v>
      </c>
      <c r="D1122" s="16" t="str">
        <f>IFERROR(__xludf.DUMMYFUNCTION("""COMPUTED_VALUE"""),"органайзери для зберігання речей")</f>
        <v>органайзери для зберігання речей</v>
      </c>
      <c r="E1122" s="16" t="str">
        <f>IFERROR(__xludf.DUMMYFUNCTION("""COMPUTED_VALUE"""),"органайзери для зберігання речей")</f>
        <v>органайзери для зберігання речей</v>
      </c>
      <c r="F1122" s="17">
        <f>IFERROR(__xludf.DUMMYFUNCTION("""COMPUTED_VALUE"""),3.0)</f>
        <v>3</v>
      </c>
      <c r="G1122" s="17" t="str">
        <f>IFERROR(__xludf.DUMMYFUNCTION("""COMPUTED_VALUE"""),"154102")</f>
        <v>154102</v>
      </c>
      <c r="H1122" s="17" t="str">
        <f>IFERROR(__xludf.DUMMYFUNCTION("""COMPUTED_VALUE"""),"органайзери для зберігання речей")</f>
        <v>органайзери для зберігання речей</v>
      </c>
      <c r="I1122" s="19">
        <f>IFERROR(__xludf.DUMMYFUNCTION("""COMPUTED_VALUE"""),0.0799)</f>
        <v>0.0799</v>
      </c>
      <c r="J1122" s="19">
        <f>IFERROR(__xludf.DUMMYFUNCTION("""COMPUTED_VALUE"""),0.1597)</f>
        <v>0.1597</v>
      </c>
      <c r="K1122" s="19">
        <f>IFERROR(__xludf.DUMMYFUNCTION("""COMPUTED_VALUE"""),0.1996)</f>
        <v>0.1996</v>
      </c>
      <c r="L1122" s="19">
        <f>IFERROR(__xludf.DUMMYFUNCTION("""COMPUTED_VALUE"""),0.2396)</f>
        <v>0.2396</v>
      </c>
      <c r="M1122" s="18">
        <f>IFERROR(__xludf.DUMMYFUNCTION("""COMPUTED_VALUE"""),2.16)</f>
        <v>2.16</v>
      </c>
    </row>
    <row r="1123">
      <c r="A1123" s="13" t="str">
        <f>IFERROR(__xludf.DUMMYFUNCTION("""COMPUTED_VALUE"""),"товари")</f>
        <v>товари</v>
      </c>
      <c r="B1123" s="16" t="str">
        <f>IFERROR(__xludf.DUMMYFUNCTION("""COMPUTED_VALUE"""),"товари для дому")</f>
        <v>товари для дому</v>
      </c>
      <c r="C1123" s="16" t="str">
        <f>IFERROR(__xludf.DUMMYFUNCTION("""COMPUTED_VALUE"""),"рішення для зберігання")</f>
        <v>рішення для зберігання</v>
      </c>
      <c r="D1123" s="16" t="str">
        <f>IFERROR(__xludf.DUMMYFUNCTION("""COMPUTED_VALUE"""),"організація місця в гаражі і коморі")</f>
        <v>організація місця в гаражі і коморі</v>
      </c>
      <c r="E1123" s="16" t="str">
        <f>IFERROR(__xludf.DUMMYFUNCTION("""COMPUTED_VALUE"""),"організація місця в гаражі і коморі")</f>
        <v>організація місця в гаражі і коморі</v>
      </c>
      <c r="F1123" s="17">
        <f>IFERROR(__xludf.DUMMYFUNCTION("""COMPUTED_VALUE"""),3.0)</f>
        <v>3</v>
      </c>
      <c r="G1123" s="17" t="str">
        <f>IFERROR(__xludf.DUMMYFUNCTION("""COMPUTED_VALUE"""),"154106")</f>
        <v>154106</v>
      </c>
      <c r="H1123" s="17" t="str">
        <f>IFERROR(__xludf.DUMMYFUNCTION("""COMPUTED_VALUE"""),"організація місця в гаражі і коморі")</f>
        <v>організація місця в гаражі і коморі</v>
      </c>
      <c r="I1123" s="19">
        <f>IFERROR(__xludf.DUMMYFUNCTION("""COMPUTED_VALUE"""),0.0733)</f>
        <v>0.0733</v>
      </c>
      <c r="J1123" s="19">
        <f>IFERROR(__xludf.DUMMYFUNCTION("""COMPUTED_VALUE"""),0.1465)</f>
        <v>0.1465</v>
      </c>
      <c r="K1123" s="19">
        <f>IFERROR(__xludf.DUMMYFUNCTION("""COMPUTED_VALUE"""),0.1831)</f>
        <v>0.1831</v>
      </c>
      <c r="L1123" s="19">
        <f>IFERROR(__xludf.DUMMYFUNCTION("""COMPUTED_VALUE"""),0.2198)</f>
        <v>0.2198</v>
      </c>
      <c r="M1123" s="18">
        <f>IFERROR(__xludf.DUMMYFUNCTION("""COMPUTED_VALUE"""),2.88)</f>
        <v>2.88</v>
      </c>
    </row>
    <row r="1124">
      <c r="A1124" s="13" t="str">
        <f>IFERROR(__xludf.DUMMYFUNCTION("""COMPUTED_VALUE"""),"товари")</f>
        <v>товари</v>
      </c>
      <c r="B1124" s="16" t="str">
        <f>IFERROR(__xludf.DUMMYFUNCTION("""COMPUTED_VALUE"""),"товари для дому")</f>
        <v>товари для дому</v>
      </c>
      <c r="C1124" s="16" t="str">
        <f>IFERROR(__xludf.DUMMYFUNCTION("""COMPUTED_VALUE"""),"меблі")</f>
        <v>меблі</v>
      </c>
      <c r="D1124" s="16" t="str">
        <f>IFERROR(__xludf.DUMMYFUNCTION("""COMPUTED_VALUE"""),"комплектуючі для меблів")</f>
        <v>комплектуючі для меблів</v>
      </c>
      <c r="E1124" s="16" t="str">
        <f>IFERROR(__xludf.DUMMYFUNCTION("""COMPUTED_VALUE"""),"каркаси та ламелі для ліжок")</f>
        <v>каркаси та ламелі для ліжок</v>
      </c>
      <c r="F1124" s="17">
        <f>IFERROR(__xludf.DUMMYFUNCTION("""COMPUTED_VALUE"""),4.0)</f>
        <v>4</v>
      </c>
      <c r="G1124" s="17" t="str">
        <f>IFERROR(__xludf.DUMMYFUNCTION("""COMPUTED_VALUE"""),"370807")</f>
        <v>370807</v>
      </c>
      <c r="H1124" s="17" t="str">
        <f>IFERROR(__xludf.DUMMYFUNCTION("""COMPUTED_VALUE"""),"каркаси та ламелі для ліжок")</f>
        <v>каркаси та ламелі для ліжок</v>
      </c>
      <c r="I1124" s="19">
        <f>IFERROR(__xludf.DUMMYFUNCTION("""COMPUTED_VALUE"""),0.0665)</f>
        <v>0.0665</v>
      </c>
      <c r="J1124" s="19">
        <f>IFERROR(__xludf.DUMMYFUNCTION("""COMPUTED_VALUE"""),0.133)</f>
        <v>0.133</v>
      </c>
      <c r="K1124" s="19">
        <f>IFERROR(__xludf.DUMMYFUNCTION("""COMPUTED_VALUE"""),0.1663)</f>
        <v>0.1663</v>
      </c>
      <c r="L1124" s="19">
        <f>IFERROR(__xludf.DUMMYFUNCTION("""COMPUTED_VALUE"""),0.1995)</f>
        <v>0.1995</v>
      </c>
      <c r="M1124" s="18">
        <f>IFERROR(__xludf.DUMMYFUNCTION("""COMPUTED_VALUE"""),1.98)</f>
        <v>1.98</v>
      </c>
    </row>
    <row r="1125">
      <c r="A1125" s="13" t="str">
        <f>IFERROR(__xludf.DUMMYFUNCTION("""COMPUTED_VALUE"""),"товари")</f>
        <v>товари</v>
      </c>
      <c r="B1125" s="16" t="str">
        <f>IFERROR(__xludf.DUMMYFUNCTION("""COMPUTED_VALUE"""),"товари для дому")</f>
        <v>товари для дому</v>
      </c>
      <c r="C1125" s="16" t="str">
        <f>IFERROR(__xludf.DUMMYFUNCTION("""COMPUTED_VALUE"""),"догляд за будинком")</f>
        <v>догляд за будинком</v>
      </c>
      <c r="D1125" s="16" t="str">
        <f>IFERROR(__xludf.DUMMYFUNCTION("""COMPUTED_VALUE"""),"прибирання")</f>
        <v>прибирання</v>
      </c>
      <c r="E1125" s="16" t="str">
        <f>IFERROR(__xludf.DUMMYFUNCTION("""COMPUTED_VALUE"""),"освіжувачі повітря")</f>
        <v>освіжувачі повітря</v>
      </c>
      <c r="F1125" s="17">
        <f>IFERROR(__xludf.DUMMYFUNCTION("""COMPUTED_VALUE"""),4.0)</f>
        <v>4</v>
      </c>
      <c r="G1125" s="17" t="str">
        <f>IFERROR(__xludf.DUMMYFUNCTION("""COMPUTED_VALUE"""),"613")</f>
        <v>613</v>
      </c>
      <c r="H1125" s="17" t="str">
        <f>IFERROR(__xludf.DUMMYFUNCTION("""COMPUTED_VALUE"""),"освіжувачі повітря")</f>
        <v>освіжувачі повітря</v>
      </c>
      <c r="I1125" s="19">
        <f>IFERROR(__xludf.DUMMYFUNCTION("""COMPUTED_VALUE"""),0.0749)</f>
        <v>0.0749</v>
      </c>
      <c r="J1125" s="19">
        <f>IFERROR(__xludf.DUMMYFUNCTION("""COMPUTED_VALUE"""),0.1497)</f>
        <v>0.1497</v>
      </c>
      <c r="K1125" s="19">
        <f>IFERROR(__xludf.DUMMYFUNCTION("""COMPUTED_VALUE"""),0.1871)</f>
        <v>0.1871</v>
      </c>
      <c r="L1125" s="19">
        <f>IFERROR(__xludf.DUMMYFUNCTION("""COMPUTED_VALUE"""),0.2246)</f>
        <v>0.2246</v>
      </c>
      <c r="M1125" s="18">
        <f>IFERROR(__xludf.DUMMYFUNCTION("""COMPUTED_VALUE"""),2.53)</f>
        <v>2.53</v>
      </c>
    </row>
    <row r="1126">
      <c r="A1126" s="13" t="str">
        <f>IFERROR(__xludf.DUMMYFUNCTION("""COMPUTED_VALUE"""),"товари")</f>
        <v>товари</v>
      </c>
      <c r="B1126" s="16" t="str">
        <f>IFERROR(__xludf.DUMMYFUNCTION("""COMPUTED_VALUE"""),"товари для дому")</f>
        <v>товари для дому</v>
      </c>
      <c r="C1126" s="16" t="str">
        <f>IFERROR(__xludf.DUMMYFUNCTION("""COMPUTED_VALUE"""),"меблі")</f>
        <v>меблі</v>
      </c>
      <c r="D1126" s="16" t="str">
        <f>IFERROR(__xludf.DUMMYFUNCTION("""COMPUTED_VALUE"""),"крісла")</f>
        <v>крісла</v>
      </c>
      <c r="E1126" s="16" t="str">
        <f>IFERROR(__xludf.DUMMYFUNCTION("""COMPUTED_VALUE"""),"офісні та комп'ютерні крісла")</f>
        <v>офісні та комп'ютерні крісла</v>
      </c>
      <c r="F1126" s="17">
        <f>IFERROR(__xludf.DUMMYFUNCTION("""COMPUTED_VALUE"""),4.0)</f>
        <v>4</v>
      </c>
      <c r="G1126" s="17" t="str">
        <f>IFERROR(__xludf.DUMMYFUNCTION("""COMPUTED_VALUE"""),"15030309")</f>
        <v>15030309</v>
      </c>
      <c r="H1126" s="17" t="str">
        <f>IFERROR(__xludf.DUMMYFUNCTION("""COMPUTED_VALUE"""),"офісні та комп'ютерні крісла")</f>
        <v>офісні та комп'ютерні крісла</v>
      </c>
      <c r="I1126" s="19">
        <f>IFERROR(__xludf.DUMMYFUNCTION("""COMPUTED_VALUE"""),0.065)</f>
        <v>0.065</v>
      </c>
      <c r="J1126" s="19">
        <f>IFERROR(__xludf.DUMMYFUNCTION("""COMPUTED_VALUE"""),0.13)</f>
        <v>0.13</v>
      </c>
      <c r="K1126" s="19">
        <f>IFERROR(__xludf.DUMMYFUNCTION("""COMPUTED_VALUE"""),0.1625)</f>
        <v>0.1625</v>
      </c>
      <c r="L1126" s="19">
        <f>IFERROR(__xludf.DUMMYFUNCTION("""COMPUTED_VALUE"""),0.195)</f>
        <v>0.195</v>
      </c>
      <c r="M1126" s="18">
        <f>IFERROR(__xludf.DUMMYFUNCTION("""COMPUTED_VALUE"""),4.58)</f>
        <v>4.58</v>
      </c>
    </row>
    <row r="1127">
      <c r="A1127" s="13" t="str">
        <f>IFERROR(__xludf.DUMMYFUNCTION("""COMPUTED_VALUE"""),"товари")</f>
        <v>товари</v>
      </c>
      <c r="B1127" s="16" t="str">
        <f>IFERROR(__xludf.DUMMYFUNCTION("""COMPUTED_VALUE"""),"товари для дому")</f>
        <v>товари для дому</v>
      </c>
      <c r="C1127" s="16" t="str">
        <f>IFERROR(__xludf.DUMMYFUNCTION("""COMPUTED_VALUE"""),"розумний будинок")</f>
        <v>розумний будинок</v>
      </c>
      <c r="D1127" s="16" t="str">
        <f>IFERROR(__xludf.DUMMYFUNCTION("""COMPUTED_VALUE"""),"охоронні системи та сигналізації")</f>
        <v>охоронні системи та сигналізації</v>
      </c>
      <c r="E1127" s="16" t="str">
        <f>IFERROR(__xludf.DUMMYFUNCTION("""COMPUTED_VALUE"""),"охоронні системи та сигналізації")</f>
        <v>охоронні системи та сигналізації</v>
      </c>
      <c r="F1127" s="17">
        <f>IFERROR(__xludf.DUMMYFUNCTION("""COMPUTED_VALUE"""),3.0)</f>
        <v>3</v>
      </c>
      <c r="G1127" s="17" t="str">
        <f>IFERROR(__xludf.DUMMYFUNCTION("""COMPUTED_VALUE"""),"302306")</f>
        <v>302306</v>
      </c>
      <c r="H1127" s="17" t="str">
        <f>IFERROR(__xludf.DUMMYFUNCTION("""COMPUTED_VALUE"""),"охоронні системи та сигналізації")</f>
        <v>охоронні системи та сигналізації</v>
      </c>
      <c r="I1127" s="19">
        <f>IFERROR(__xludf.DUMMYFUNCTION("""COMPUTED_VALUE"""),0.0759)</f>
        <v>0.0759</v>
      </c>
      <c r="J1127" s="19">
        <f>IFERROR(__xludf.DUMMYFUNCTION("""COMPUTED_VALUE"""),0.1518)</f>
        <v>0.1518</v>
      </c>
      <c r="K1127" s="19">
        <f>IFERROR(__xludf.DUMMYFUNCTION("""COMPUTED_VALUE"""),0.1898)</f>
        <v>0.1898</v>
      </c>
      <c r="L1127" s="19">
        <f>IFERROR(__xludf.DUMMYFUNCTION("""COMPUTED_VALUE"""),0.2277)</f>
        <v>0.2277</v>
      </c>
      <c r="M1127" s="18">
        <f>IFERROR(__xludf.DUMMYFUNCTION("""COMPUTED_VALUE"""),3.43)</f>
        <v>3.43</v>
      </c>
    </row>
    <row r="1128">
      <c r="A1128" s="13" t="str">
        <f>IFERROR(__xludf.DUMMYFUNCTION("""COMPUTED_VALUE"""),"товари")</f>
        <v>товари</v>
      </c>
      <c r="B1128" s="16" t="str">
        <f>IFERROR(__xludf.DUMMYFUNCTION("""COMPUTED_VALUE"""),"товари для дому")</f>
        <v>товари для дому</v>
      </c>
      <c r="C1128" s="16" t="str">
        <f>IFERROR(__xludf.DUMMYFUNCTION("""COMPUTED_VALUE"""),"рішення для зберігання")</f>
        <v>рішення для зберігання</v>
      </c>
      <c r="D1128" s="16" t="str">
        <f>IFERROR(__xludf.DUMMYFUNCTION("""COMPUTED_VALUE"""),"пакети і мішки для сміття")</f>
        <v>пакети і мішки для сміття</v>
      </c>
      <c r="E1128" s="16" t="str">
        <f>IFERROR(__xludf.DUMMYFUNCTION("""COMPUTED_VALUE"""),"пакети і мішки для сміття")</f>
        <v>пакети і мішки для сміття</v>
      </c>
      <c r="F1128" s="17">
        <f>IFERROR(__xludf.DUMMYFUNCTION("""COMPUTED_VALUE"""),3.0)</f>
        <v>3</v>
      </c>
      <c r="G1128" s="17" t="str">
        <f>IFERROR(__xludf.DUMMYFUNCTION("""COMPUTED_VALUE"""),"15230442")</f>
        <v>15230442</v>
      </c>
      <c r="H1128" s="17" t="str">
        <f>IFERROR(__xludf.DUMMYFUNCTION("""COMPUTED_VALUE"""),"пакети і мішки для сміття")</f>
        <v>пакети і мішки для сміття</v>
      </c>
      <c r="I1128" s="19">
        <f>IFERROR(__xludf.DUMMYFUNCTION("""COMPUTED_VALUE"""),0.0783)</f>
        <v>0.0783</v>
      </c>
      <c r="J1128" s="19">
        <f>IFERROR(__xludf.DUMMYFUNCTION("""COMPUTED_VALUE"""),0.1565)</f>
        <v>0.1565</v>
      </c>
      <c r="K1128" s="19">
        <f>IFERROR(__xludf.DUMMYFUNCTION("""COMPUTED_VALUE"""),0.1956)</f>
        <v>0.1956</v>
      </c>
      <c r="L1128" s="19">
        <f>IFERROR(__xludf.DUMMYFUNCTION("""COMPUTED_VALUE"""),0.2348)</f>
        <v>0.2348</v>
      </c>
      <c r="M1128" s="18">
        <f>IFERROR(__xludf.DUMMYFUNCTION("""COMPUTED_VALUE"""),1.05)</f>
        <v>1.05</v>
      </c>
    </row>
    <row r="1129">
      <c r="A1129" s="13" t="str">
        <f>IFERROR(__xludf.DUMMYFUNCTION("""COMPUTED_VALUE"""),"товари")</f>
        <v>товари</v>
      </c>
      <c r="B1129" s="16" t="str">
        <f>IFERROR(__xludf.DUMMYFUNCTION("""COMPUTED_VALUE"""),"товари для дому")</f>
        <v>товари для дому</v>
      </c>
      <c r="C1129" s="16" t="str">
        <f>IFERROR(__xludf.DUMMYFUNCTION("""COMPUTED_VALUE"""),"текстиль")</f>
        <v>текстиль</v>
      </c>
      <c r="D1129" s="16" t="str">
        <f>IFERROR(__xludf.DUMMYFUNCTION("""COMPUTED_VALUE"""),"оформлення вікон")</f>
        <v>оформлення вікон</v>
      </c>
      <c r="E1129" s="16" t="str">
        <f>IFERROR(__xludf.DUMMYFUNCTION("""COMPUTED_VALUE"""),"панельні штори")</f>
        <v>панельні штори</v>
      </c>
      <c r="F1129" s="17">
        <f>IFERROR(__xludf.DUMMYFUNCTION("""COMPUTED_VALUE"""),4.0)</f>
        <v>4</v>
      </c>
      <c r="G1129" s="17" t="str">
        <f>IFERROR(__xludf.DUMMYFUNCTION("""COMPUTED_VALUE"""),"4050208")</f>
        <v>4050208</v>
      </c>
      <c r="H1129" s="17" t="str">
        <f>IFERROR(__xludf.DUMMYFUNCTION("""COMPUTED_VALUE"""),"панельні штори")</f>
        <v>панельні штори</v>
      </c>
      <c r="I1129" s="19">
        <f>IFERROR(__xludf.DUMMYFUNCTION("""COMPUTED_VALUE"""),0.0954)</f>
        <v>0.0954</v>
      </c>
      <c r="J1129" s="19">
        <f>IFERROR(__xludf.DUMMYFUNCTION("""COMPUTED_VALUE"""),0.1907)</f>
        <v>0.1907</v>
      </c>
      <c r="K1129" s="19">
        <f>IFERROR(__xludf.DUMMYFUNCTION("""COMPUTED_VALUE"""),0.2384)</f>
        <v>0.2384</v>
      </c>
      <c r="L1129" s="19">
        <f>IFERROR(__xludf.DUMMYFUNCTION("""COMPUTED_VALUE"""),0.2861)</f>
        <v>0.2861</v>
      </c>
      <c r="M1129" s="18">
        <f>IFERROR(__xludf.DUMMYFUNCTION("""COMPUTED_VALUE"""),1.53)</f>
        <v>1.53</v>
      </c>
    </row>
    <row r="1130">
      <c r="A1130" s="13" t="str">
        <f>IFERROR(__xludf.DUMMYFUNCTION("""COMPUTED_VALUE"""),"товари")</f>
        <v>товари</v>
      </c>
      <c r="B1130" s="16" t="str">
        <f>IFERROR(__xludf.DUMMYFUNCTION("""COMPUTED_VALUE"""),"дача, сад і город")</f>
        <v>дача, сад і город</v>
      </c>
      <c r="C1130" s="16" t="str">
        <f>IFERROR(__xludf.DUMMYFUNCTION("""COMPUTED_VALUE"""),"обладнання для саун і лазень")</f>
        <v>обладнання для саун і лазень</v>
      </c>
      <c r="D1130" s="16" t="str">
        <f>IFERROR(__xludf.DUMMYFUNCTION("""COMPUTED_VALUE"""),"парогенератори для саун і лазень")</f>
        <v>парогенератори для саун і лазень</v>
      </c>
      <c r="E1130" s="16" t="str">
        <f>IFERROR(__xludf.DUMMYFUNCTION("""COMPUTED_VALUE"""),"парогенератори для саун і лазень")</f>
        <v>парогенератори для саун і лазень</v>
      </c>
      <c r="F1130" s="17">
        <f>IFERROR(__xludf.DUMMYFUNCTION("""COMPUTED_VALUE"""),3.0)</f>
        <v>3</v>
      </c>
      <c r="G1130" s="17" t="str">
        <f>IFERROR(__xludf.DUMMYFUNCTION("""COMPUTED_VALUE"""),"150504")</f>
        <v>150504</v>
      </c>
      <c r="H1130" s="17" t="str">
        <f>IFERROR(__xludf.DUMMYFUNCTION("""COMPUTED_VALUE"""),"парогенератори для саун і лазень")</f>
        <v>парогенератори для саун і лазень</v>
      </c>
      <c r="I1130" s="19">
        <f>IFERROR(__xludf.DUMMYFUNCTION("""COMPUTED_VALUE"""),0.0525)</f>
        <v>0.0525</v>
      </c>
      <c r="J1130" s="19">
        <f>IFERROR(__xludf.DUMMYFUNCTION("""COMPUTED_VALUE"""),0.105)</f>
        <v>0.105</v>
      </c>
      <c r="K1130" s="19">
        <f>IFERROR(__xludf.DUMMYFUNCTION("""COMPUTED_VALUE"""),0.1313)</f>
        <v>0.1313</v>
      </c>
      <c r="L1130" s="19">
        <f>IFERROR(__xludf.DUMMYFUNCTION("""COMPUTED_VALUE"""),0.1575)</f>
        <v>0.1575</v>
      </c>
      <c r="M1130" s="18">
        <f>IFERROR(__xludf.DUMMYFUNCTION("""COMPUTED_VALUE"""),3.06)</f>
        <v>3.06</v>
      </c>
    </row>
    <row r="1131">
      <c r="A1131" s="13" t="str">
        <f>IFERROR(__xludf.DUMMYFUNCTION("""COMPUTED_VALUE"""),"товари")</f>
        <v>товари</v>
      </c>
      <c r="B1131" s="16" t="str">
        <f>IFERROR(__xludf.DUMMYFUNCTION("""COMPUTED_VALUE"""),"товари для дому")</f>
        <v>товари для дому</v>
      </c>
      <c r="C1131" s="16" t="str">
        <f>IFERROR(__xludf.DUMMYFUNCTION("""COMPUTED_VALUE"""),"меблі")</f>
        <v>меблі</v>
      </c>
      <c r="D1131" s="16" t="str">
        <f>IFERROR(__xludf.DUMMYFUNCTION("""COMPUTED_VALUE"""),"шафи")</f>
        <v>шафи</v>
      </c>
      <c r="E1131" s="16" t="str">
        <f>IFERROR(__xludf.DUMMYFUNCTION("""COMPUTED_VALUE"""),"передпокої")</f>
        <v>передпокої</v>
      </c>
      <c r="F1131" s="17">
        <f>IFERROR(__xludf.DUMMYFUNCTION("""COMPUTED_VALUE"""),4.0)</f>
        <v>4</v>
      </c>
      <c r="G1131" s="17" t="str">
        <f>IFERROR(__xludf.DUMMYFUNCTION("""COMPUTED_VALUE"""),"1503030101")</f>
        <v>1503030101</v>
      </c>
      <c r="H1131" s="17" t="str">
        <f>IFERROR(__xludf.DUMMYFUNCTION("""COMPUTED_VALUE"""),"передпокої")</f>
        <v>передпокої</v>
      </c>
      <c r="I1131" s="19">
        <f>IFERROR(__xludf.DUMMYFUNCTION("""COMPUTED_VALUE"""),0.0665)</f>
        <v>0.0665</v>
      </c>
      <c r="J1131" s="19">
        <f>IFERROR(__xludf.DUMMYFUNCTION("""COMPUTED_VALUE"""),0.133)</f>
        <v>0.133</v>
      </c>
      <c r="K1131" s="19">
        <f>IFERROR(__xludf.DUMMYFUNCTION("""COMPUTED_VALUE"""),0.1663)</f>
        <v>0.1663</v>
      </c>
      <c r="L1131" s="19">
        <f>IFERROR(__xludf.DUMMYFUNCTION("""COMPUTED_VALUE"""),0.1995)</f>
        <v>0.1995</v>
      </c>
      <c r="M1131" s="18">
        <f>IFERROR(__xludf.DUMMYFUNCTION("""COMPUTED_VALUE"""),2.79)</f>
        <v>2.79</v>
      </c>
    </row>
    <row r="1132">
      <c r="A1132" s="13" t="str">
        <f>IFERROR(__xludf.DUMMYFUNCTION("""COMPUTED_VALUE"""),"товари")</f>
        <v>товари</v>
      </c>
      <c r="B1132" s="16" t="str">
        <f>IFERROR(__xludf.DUMMYFUNCTION("""COMPUTED_VALUE"""),"дача, сад і город")</f>
        <v>дача, сад і город</v>
      </c>
      <c r="C1132" s="16" t="str">
        <f>IFERROR(__xludf.DUMMYFUNCTION("""COMPUTED_VALUE"""),"інструменти для обрізки")</f>
        <v>інструменти для обрізки</v>
      </c>
      <c r="D1132" s="16" t="str">
        <f>IFERROR(__xludf.DUMMYFUNCTION("""COMPUTED_VALUE"""),"пили для обрізки гілок")</f>
        <v>пили для обрізки гілок</v>
      </c>
      <c r="E1132" s="16" t="str">
        <f>IFERROR(__xludf.DUMMYFUNCTION("""COMPUTED_VALUE"""),"пили для обрізки гілок")</f>
        <v>пили для обрізки гілок</v>
      </c>
      <c r="F1132" s="17">
        <f>IFERROR(__xludf.DUMMYFUNCTION("""COMPUTED_VALUE"""),3.0)</f>
        <v>3</v>
      </c>
      <c r="G1132" s="17" t="str">
        <f>IFERROR(__xludf.DUMMYFUNCTION("""COMPUTED_VALUE"""),"1250311")</f>
        <v>1250311</v>
      </c>
      <c r="H1132" s="17" t="str">
        <f>IFERROR(__xludf.DUMMYFUNCTION("""COMPUTED_VALUE"""),"пили для обрізки гілок")</f>
        <v>пили для обрізки гілок</v>
      </c>
      <c r="I1132" s="19">
        <f>IFERROR(__xludf.DUMMYFUNCTION("""COMPUTED_VALUE"""),0.0734)</f>
        <v>0.0734</v>
      </c>
      <c r="J1132" s="19">
        <f>IFERROR(__xludf.DUMMYFUNCTION("""COMPUTED_VALUE"""),0.1468)</f>
        <v>0.1468</v>
      </c>
      <c r="K1132" s="19">
        <f>IFERROR(__xludf.DUMMYFUNCTION("""COMPUTED_VALUE"""),0.1835)</f>
        <v>0.1835</v>
      </c>
      <c r="L1132" s="19">
        <f>IFERROR(__xludf.DUMMYFUNCTION("""COMPUTED_VALUE"""),0.2202)</f>
        <v>0.2202</v>
      </c>
      <c r="M1132" s="18">
        <f>IFERROR(__xludf.DUMMYFUNCTION("""COMPUTED_VALUE"""),1.53)</f>
        <v>1.53</v>
      </c>
    </row>
    <row r="1133">
      <c r="A1133" s="13" t="str">
        <f>IFERROR(__xludf.DUMMYFUNCTION("""COMPUTED_VALUE"""),"товари")</f>
        <v>товари</v>
      </c>
      <c r="B1133" s="16" t="str">
        <f>IFERROR(__xludf.DUMMYFUNCTION("""COMPUTED_VALUE"""),"дача, сад і город")</f>
        <v>дача, сад і город</v>
      </c>
      <c r="C1133" s="16" t="str">
        <f>IFERROR(__xludf.DUMMYFUNCTION("""COMPUTED_VALUE"""),"садовий інвентар і освітлення")</f>
        <v>садовий інвентар і освітлення</v>
      </c>
      <c r="D1133" s="16" t="str">
        <f>IFERROR(__xludf.DUMMYFUNCTION("""COMPUTED_VALUE"""),"підв'язка та маркування рослин")</f>
        <v>підв'язка та маркування рослин</v>
      </c>
      <c r="E1133" s="16" t="str">
        <f>IFERROR(__xludf.DUMMYFUNCTION("""COMPUTED_VALUE"""),"підв'язка та маркування рослин")</f>
        <v>підв'язка та маркування рослин</v>
      </c>
      <c r="F1133" s="17">
        <f>IFERROR(__xludf.DUMMYFUNCTION("""COMPUTED_VALUE"""),3.0)</f>
        <v>3</v>
      </c>
      <c r="G1133" s="17" t="str">
        <f>IFERROR(__xludf.DUMMYFUNCTION("""COMPUTED_VALUE"""),"1250353")</f>
        <v>1250353</v>
      </c>
      <c r="H1133" s="17" t="str">
        <f>IFERROR(__xludf.DUMMYFUNCTION("""COMPUTED_VALUE"""),"підв'язка та маркування рослин")</f>
        <v>підв'язка та маркування рослин</v>
      </c>
      <c r="I1133" s="19">
        <f>IFERROR(__xludf.DUMMYFUNCTION("""COMPUTED_VALUE"""),0.0799)</f>
        <v>0.0799</v>
      </c>
      <c r="J1133" s="19">
        <f>IFERROR(__xludf.DUMMYFUNCTION("""COMPUTED_VALUE"""),0.1597)</f>
        <v>0.1597</v>
      </c>
      <c r="K1133" s="19">
        <f>IFERROR(__xludf.DUMMYFUNCTION("""COMPUTED_VALUE"""),0.1996)</f>
        <v>0.1996</v>
      </c>
      <c r="L1133" s="19">
        <f>IFERROR(__xludf.DUMMYFUNCTION("""COMPUTED_VALUE"""),0.2396)</f>
        <v>0.2396</v>
      </c>
      <c r="M1133" s="18">
        <f>IFERROR(__xludf.DUMMYFUNCTION("""COMPUTED_VALUE"""),3.06)</f>
        <v>3.06</v>
      </c>
    </row>
    <row r="1134">
      <c r="A1134" s="13" t="str">
        <f>IFERROR(__xludf.DUMMYFUNCTION("""COMPUTED_VALUE"""),"товари")</f>
        <v>товари</v>
      </c>
      <c r="B1134" s="16" t="str">
        <f>IFERROR(__xludf.DUMMYFUNCTION("""COMPUTED_VALUE"""),"товари для дому")</f>
        <v>товари для дому</v>
      </c>
      <c r="C1134" s="16" t="str">
        <f>IFERROR(__xludf.DUMMYFUNCTION("""COMPUTED_VALUE"""),"текстиль")</f>
        <v>текстиль</v>
      </c>
      <c r="D1134" s="16" t="str">
        <f>IFERROR(__xludf.DUMMYFUNCTION("""COMPUTED_VALUE"""),"текстиль для спальні")</f>
        <v>текстиль для спальні</v>
      </c>
      <c r="E1134" s="16" t="str">
        <f>IFERROR(__xludf.DUMMYFUNCTION("""COMPUTED_VALUE"""),"підковдри")</f>
        <v>підковдри</v>
      </c>
      <c r="F1134" s="17">
        <f>IFERROR(__xludf.DUMMYFUNCTION("""COMPUTED_VALUE"""),4.0)</f>
        <v>4</v>
      </c>
      <c r="G1134" s="17" t="str">
        <f>IFERROR(__xludf.DUMMYFUNCTION("""COMPUTED_VALUE"""),"40609")</f>
        <v>40609</v>
      </c>
      <c r="H1134" s="17" t="str">
        <f>IFERROR(__xludf.DUMMYFUNCTION("""COMPUTED_VALUE"""),"підковдри")</f>
        <v>підковдри</v>
      </c>
      <c r="I1134" s="19">
        <f>IFERROR(__xludf.DUMMYFUNCTION("""COMPUTED_VALUE"""),0.077)</f>
        <v>0.077</v>
      </c>
      <c r="J1134" s="19">
        <f>IFERROR(__xludf.DUMMYFUNCTION("""COMPUTED_VALUE"""),0.1539)</f>
        <v>0.1539</v>
      </c>
      <c r="K1134" s="19">
        <f>IFERROR(__xludf.DUMMYFUNCTION("""COMPUTED_VALUE"""),0.1924)</f>
        <v>0.1924</v>
      </c>
      <c r="L1134" s="19">
        <f>IFERROR(__xludf.DUMMYFUNCTION("""COMPUTED_VALUE"""),0.2309)</f>
        <v>0.2309</v>
      </c>
      <c r="M1134" s="18">
        <f>IFERROR(__xludf.DUMMYFUNCTION("""COMPUTED_VALUE"""),2.16)</f>
        <v>2.16</v>
      </c>
    </row>
    <row r="1135">
      <c r="A1135" s="13" t="str">
        <f>IFERROR(__xludf.DUMMYFUNCTION("""COMPUTED_VALUE"""),"товари")</f>
        <v>товари</v>
      </c>
      <c r="B1135" s="16" t="str">
        <f>IFERROR(__xludf.DUMMYFUNCTION("""COMPUTED_VALUE"""),"товари для дому")</f>
        <v>товари для дому</v>
      </c>
      <c r="C1135" s="16" t="str">
        <f>IFERROR(__xludf.DUMMYFUNCTION("""COMPUTED_VALUE"""),"посуд")</f>
        <v>посуд</v>
      </c>
      <c r="D1135" s="16" t="str">
        <f>IFERROR(__xludf.DUMMYFUNCTION("""COMPUTED_VALUE"""),"столовий посуд")</f>
        <v>столовий посуд</v>
      </c>
      <c r="E1135" s="16" t="str">
        <f>IFERROR(__xludf.DUMMYFUNCTION("""COMPUTED_VALUE"""),"підноси")</f>
        <v>підноси</v>
      </c>
      <c r="F1135" s="17">
        <f>IFERROR(__xludf.DUMMYFUNCTION("""COMPUTED_VALUE"""),4.0)</f>
        <v>4</v>
      </c>
      <c r="G1135" s="17" t="str">
        <f>IFERROR(__xludf.DUMMYFUNCTION("""COMPUTED_VALUE"""),"240607")</f>
        <v>240607</v>
      </c>
      <c r="H1135" s="17" t="str">
        <f>IFERROR(__xludf.DUMMYFUNCTION("""COMPUTED_VALUE"""),"підноси")</f>
        <v>підноси</v>
      </c>
      <c r="I1135" s="19">
        <f>IFERROR(__xludf.DUMMYFUNCTION("""COMPUTED_VALUE"""),0.0764)</f>
        <v>0.0764</v>
      </c>
      <c r="J1135" s="19">
        <f>IFERROR(__xludf.DUMMYFUNCTION("""COMPUTED_VALUE"""),0.1528)</f>
        <v>0.1528</v>
      </c>
      <c r="K1135" s="19">
        <f>IFERROR(__xludf.DUMMYFUNCTION("""COMPUTED_VALUE"""),0.191)</f>
        <v>0.191</v>
      </c>
      <c r="L1135" s="19">
        <f>IFERROR(__xludf.DUMMYFUNCTION("""COMPUTED_VALUE"""),0.2292)</f>
        <v>0.2292</v>
      </c>
      <c r="M1135" s="18">
        <f>IFERROR(__xludf.DUMMYFUNCTION("""COMPUTED_VALUE"""),2.08)</f>
        <v>2.08</v>
      </c>
    </row>
    <row r="1136">
      <c r="A1136" s="13" t="str">
        <f>IFERROR(__xludf.DUMMYFUNCTION("""COMPUTED_VALUE"""),"товари")</f>
        <v>товари</v>
      </c>
      <c r="B1136" s="16" t="str">
        <f>IFERROR(__xludf.DUMMYFUNCTION("""COMPUTED_VALUE"""),"товари для дому")</f>
        <v>товари для дому</v>
      </c>
      <c r="C1136" s="16" t="str">
        <f>IFERROR(__xludf.DUMMYFUNCTION("""COMPUTED_VALUE"""),"декор для дому")</f>
        <v>декор для дому</v>
      </c>
      <c r="D1136" s="16" t="str">
        <f>IFERROR(__xludf.DUMMYFUNCTION("""COMPUTED_VALUE"""),"підсвічники")</f>
        <v>підсвічники</v>
      </c>
      <c r="E1136" s="16" t="str">
        <f>IFERROR(__xludf.DUMMYFUNCTION("""COMPUTED_VALUE"""),"підсвічники")</f>
        <v>підсвічники</v>
      </c>
      <c r="F1136" s="17">
        <f>IFERROR(__xludf.DUMMYFUNCTION("""COMPUTED_VALUE"""),3.0)</f>
        <v>3</v>
      </c>
      <c r="G1136" s="17" t="str">
        <f>IFERROR(__xludf.DUMMYFUNCTION("""COMPUTED_VALUE"""),"1706")</f>
        <v>1706</v>
      </c>
      <c r="H1136" s="17" t="str">
        <f>IFERROR(__xludf.DUMMYFUNCTION("""COMPUTED_VALUE"""),"підсвічники")</f>
        <v>підсвічники</v>
      </c>
      <c r="I1136" s="19">
        <f>IFERROR(__xludf.DUMMYFUNCTION("""COMPUTED_VALUE"""),0.0756)</f>
        <v>0.0756</v>
      </c>
      <c r="J1136" s="19">
        <f>IFERROR(__xludf.DUMMYFUNCTION("""COMPUTED_VALUE"""),0.1511)</f>
        <v>0.1511</v>
      </c>
      <c r="K1136" s="19">
        <f>IFERROR(__xludf.DUMMYFUNCTION("""COMPUTED_VALUE"""),0.1889)</f>
        <v>0.1889</v>
      </c>
      <c r="L1136" s="19">
        <f>IFERROR(__xludf.DUMMYFUNCTION("""COMPUTED_VALUE"""),0.2267)</f>
        <v>0.2267</v>
      </c>
      <c r="M1136" s="18">
        <f>IFERROR(__xludf.DUMMYFUNCTION("""COMPUTED_VALUE"""),1.53)</f>
        <v>1.53</v>
      </c>
    </row>
    <row r="1137">
      <c r="A1137" s="13" t="str">
        <f>IFERROR(__xludf.DUMMYFUNCTION("""COMPUTED_VALUE"""),"товари")</f>
        <v>товари</v>
      </c>
      <c r="B1137" s="16" t="str">
        <f>IFERROR(__xludf.DUMMYFUNCTION("""COMPUTED_VALUE"""),"товари для дому")</f>
        <v>товари для дому</v>
      </c>
      <c r="C1137" s="16" t="str">
        <f>IFERROR(__xludf.DUMMYFUNCTION("""COMPUTED_VALUE"""),"посуд")</f>
        <v>посуд</v>
      </c>
      <c r="D1137" s="16" t="str">
        <f>IFERROR(__xludf.DUMMYFUNCTION("""COMPUTED_VALUE"""),"кухонне приладдя")</f>
        <v>кухонне приладдя</v>
      </c>
      <c r="E1137" s="16" t="str">
        <f>IFERROR(__xludf.DUMMYFUNCTION("""COMPUTED_VALUE"""),"підставки для кухонних і столових приладів")</f>
        <v>підставки для кухонних і столових приладів</v>
      </c>
      <c r="F1137" s="17">
        <f>IFERROR(__xludf.DUMMYFUNCTION("""COMPUTED_VALUE"""),4.0)</f>
        <v>4</v>
      </c>
      <c r="G1137" s="17" t="str">
        <f>IFERROR(__xludf.DUMMYFUNCTION("""COMPUTED_VALUE"""),"15230447")</f>
        <v>15230447</v>
      </c>
      <c r="H1137" s="17" t="str">
        <f>IFERROR(__xludf.DUMMYFUNCTION("""COMPUTED_VALUE"""),"підставки для кухонних і столових приладів")</f>
        <v>підставки для кухонних і столових приладів</v>
      </c>
      <c r="I1137" s="19">
        <f>IFERROR(__xludf.DUMMYFUNCTION("""COMPUTED_VALUE"""),0.0665)</f>
        <v>0.0665</v>
      </c>
      <c r="J1137" s="19">
        <f>IFERROR(__xludf.DUMMYFUNCTION("""COMPUTED_VALUE"""),0.133)</f>
        <v>0.133</v>
      </c>
      <c r="K1137" s="19">
        <f>IFERROR(__xludf.DUMMYFUNCTION("""COMPUTED_VALUE"""),0.1663)</f>
        <v>0.1663</v>
      </c>
      <c r="L1137" s="19">
        <f>IFERROR(__xludf.DUMMYFUNCTION("""COMPUTED_VALUE"""),0.1995)</f>
        <v>0.1995</v>
      </c>
      <c r="M1137" s="18">
        <f>IFERROR(__xludf.DUMMYFUNCTION("""COMPUTED_VALUE"""),2.08)</f>
        <v>2.08</v>
      </c>
    </row>
    <row r="1138">
      <c r="A1138" s="13" t="str">
        <f>IFERROR(__xludf.DUMMYFUNCTION("""COMPUTED_VALUE"""),"товари")</f>
        <v>товари</v>
      </c>
      <c r="B1138" s="16" t="str">
        <f>IFERROR(__xludf.DUMMYFUNCTION("""COMPUTED_VALUE"""),"товари для дому")</f>
        <v>товари для дому</v>
      </c>
      <c r="C1138" s="16" t="str">
        <f>IFERROR(__xludf.DUMMYFUNCTION("""COMPUTED_VALUE"""),"меблі")</f>
        <v>меблі</v>
      </c>
      <c r="D1138" s="16" t="str">
        <f>IFERROR(__xludf.DUMMYFUNCTION("""COMPUTED_VALUE"""),"садові й пляжні меблі")</f>
        <v>садові й пляжні меблі</v>
      </c>
      <c r="E1138" s="16" t="str">
        <f>IFERROR(__xludf.DUMMYFUNCTION("""COMPUTED_VALUE"""),"підставки для парасольок")</f>
        <v>підставки для парасольок</v>
      </c>
      <c r="F1138" s="17">
        <f>IFERROR(__xludf.DUMMYFUNCTION("""COMPUTED_VALUE"""),4.0)</f>
        <v>4</v>
      </c>
      <c r="G1138" s="17" t="str">
        <f>IFERROR(__xludf.DUMMYFUNCTION("""COMPUTED_VALUE"""),"15030202")</f>
        <v>15030202</v>
      </c>
      <c r="H1138" s="17" t="str">
        <f>IFERROR(__xludf.DUMMYFUNCTION("""COMPUTED_VALUE"""),"підставки для парасольок")</f>
        <v>підставки для парасольок</v>
      </c>
      <c r="I1138" s="19">
        <f>IFERROR(__xludf.DUMMYFUNCTION("""COMPUTED_VALUE"""),0.0665)</f>
        <v>0.0665</v>
      </c>
      <c r="J1138" s="19">
        <f>IFERROR(__xludf.DUMMYFUNCTION("""COMPUTED_VALUE"""),0.133)</f>
        <v>0.133</v>
      </c>
      <c r="K1138" s="19">
        <f>IFERROR(__xludf.DUMMYFUNCTION("""COMPUTED_VALUE"""),0.1663)</f>
        <v>0.1663</v>
      </c>
      <c r="L1138" s="19">
        <f>IFERROR(__xludf.DUMMYFUNCTION("""COMPUTED_VALUE"""),0.1995)</f>
        <v>0.1995</v>
      </c>
      <c r="M1138" s="18">
        <f>IFERROR(__xludf.DUMMYFUNCTION("""COMPUTED_VALUE"""),3.6)</f>
        <v>3.6</v>
      </c>
    </row>
    <row r="1139">
      <c r="A1139" s="13" t="str">
        <f>IFERROR(__xludf.DUMMYFUNCTION("""COMPUTED_VALUE"""),"товари")</f>
        <v>товари</v>
      </c>
      <c r="B1139" s="16" t="str">
        <f>IFERROR(__xludf.DUMMYFUNCTION("""COMPUTED_VALUE"""),"товари для дому")</f>
        <v>товари для дому</v>
      </c>
      <c r="C1139" s="16" t="str">
        <f>IFERROR(__xludf.DUMMYFUNCTION("""COMPUTED_VALUE"""),"декор для дому")</f>
        <v>декор для дому</v>
      </c>
      <c r="D1139" s="16" t="str">
        <f>IFERROR(__xludf.DUMMYFUNCTION("""COMPUTED_VALUE"""),"інтер'єрні аксесуари")</f>
        <v>інтер'єрні аксесуари</v>
      </c>
      <c r="E1139" s="16" t="str">
        <f>IFERROR(__xludf.DUMMYFUNCTION("""COMPUTED_VALUE"""),"підставки для пляшок")</f>
        <v>підставки для пляшок</v>
      </c>
      <c r="F1139" s="17">
        <f>IFERROR(__xludf.DUMMYFUNCTION("""COMPUTED_VALUE"""),4.0)</f>
        <v>4</v>
      </c>
      <c r="G1139" s="17" t="str">
        <f>IFERROR(__xludf.DUMMYFUNCTION("""COMPUTED_VALUE"""),"371021")</f>
        <v>371021</v>
      </c>
      <c r="H1139" s="17" t="str">
        <f>IFERROR(__xludf.DUMMYFUNCTION("""COMPUTED_VALUE"""),"підставки для пляшок")</f>
        <v>підставки для пляшок</v>
      </c>
      <c r="I1139" s="19">
        <f>IFERROR(__xludf.DUMMYFUNCTION("""COMPUTED_VALUE"""),0.0769)</f>
        <v>0.0769</v>
      </c>
      <c r="J1139" s="19">
        <f>IFERROR(__xludf.DUMMYFUNCTION("""COMPUTED_VALUE"""),0.1537)</f>
        <v>0.1537</v>
      </c>
      <c r="K1139" s="19">
        <f>IFERROR(__xludf.DUMMYFUNCTION("""COMPUTED_VALUE"""),0.1921)</f>
        <v>0.1921</v>
      </c>
      <c r="L1139" s="19">
        <f>IFERROR(__xludf.DUMMYFUNCTION("""COMPUTED_VALUE"""),0.2306)</f>
        <v>0.2306</v>
      </c>
      <c r="M1139" s="18">
        <f>IFERROR(__xludf.DUMMYFUNCTION("""COMPUTED_VALUE"""),1.53)</f>
        <v>1.53</v>
      </c>
    </row>
    <row r="1140">
      <c r="A1140" s="13" t="str">
        <f>IFERROR(__xludf.DUMMYFUNCTION("""COMPUTED_VALUE"""),"товари")</f>
        <v>товари</v>
      </c>
      <c r="B1140" s="16" t="str">
        <f>IFERROR(__xludf.DUMMYFUNCTION("""COMPUTED_VALUE"""),"товари для дому")</f>
        <v>товари для дому</v>
      </c>
      <c r="C1140" s="16" t="str">
        <f>IFERROR(__xludf.DUMMYFUNCTION("""COMPUTED_VALUE"""),"посуд")</f>
        <v>посуд</v>
      </c>
      <c r="D1140" s="16" t="str">
        <f>IFERROR(__xludf.DUMMYFUNCTION("""COMPUTED_VALUE"""),"кухонне приладдя")</f>
        <v>кухонне приладдя</v>
      </c>
      <c r="E1140" s="16" t="str">
        <f>IFERROR(__xludf.DUMMYFUNCTION("""COMPUTED_VALUE"""),"підставки для посуду")</f>
        <v>підставки для посуду</v>
      </c>
      <c r="F1140" s="17">
        <f>IFERROR(__xludf.DUMMYFUNCTION("""COMPUTED_VALUE"""),4.0)</f>
        <v>4</v>
      </c>
      <c r="G1140" s="17" t="str">
        <f>IFERROR(__xludf.DUMMYFUNCTION("""COMPUTED_VALUE"""),"15230436")</f>
        <v>15230436</v>
      </c>
      <c r="H1140" s="17" t="str">
        <f>IFERROR(__xludf.DUMMYFUNCTION("""COMPUTED_VALUE"""),"підставки для посуду")</f>
        <v>підставки для посуду</v>
      </c>
      <c r="I1140" s="19">
        <f>IFERROR(__xludf.DUMMYFUNCTION("""COMPUTED_VALUE"""),0.077)</f>
        <v>0.077</v>
      </c>
      <c r="J1140" s="19">
        <f>IFERROR(__xludf.DUMMYFUNCTION("""COMPUTED_VALUE"""),0.154)</f>
        <v>0.154</v>
      </c>
      <c r="K1140" s="19">
        <f>IFERROR(__xludf.DUMMYFUNCTION("""COMPUTED_VALUE"""),0.1925)</f>
        <v>0.1925</v>
      </c>
      <c r="L1140" s="19">
        <f>IFERROR(__xludf.DUMMYFUNCTION("""COMPUTED_VALUE"""),0.231)</f>
        <v>0.231</v>
      </c>
      <c r="M1140" s="18">
        <f>IFERROR(__xludf.DUMMYFUNCTION("""COMPUTED_VALUE"""),2.08)</f>
        <v>2.08</v>
      </c>
    </row>
    <row r="1141">
      <c r="A1141" s="13" t="str">
        <f>IFERROR(__xludf.DUMMYFUNCTION("""COMPUTED_VALUE"""),"товари")</f>
        <v>товари</v>
      </c>
      <c r="B1141" s="16" t="str">
        <f>IFERROR(__xludf.DUMMYFUNCTION("""COMPUTED_VALUE"""),"товари для дому")</f>
        <v>товари для дому</v>
      </c>
      <c r="C1141" s="16" t="str">
        <f>IFERROR(__xludf.DUMMYFUNCTION("""COMPUTED_VALUE"""),"посуд")</f>
        <v>посуд</v>
      </c>
      <c r="D1141" s="16" t="str">
        <f>IFERROR(__xludf.DUMMYFUNCTION("""COMPUTED_VALUE"""),"столовий посуд")</f>
        <v>столовий посуд</v>
      </c>
      <c r="E1141" s="16" t="str">
        <f>IFERROR(__xludf.DUMMYFUNCTION("""COMPUTED_VALUE"""),"підставки для яєць")</f>
        <v>підставки для яєць</v>
      </c>
      <c r="F1141" s="17">
        <f>IFERROR(__xludf.DUMMYFUNCTION("""COMPUTED_VALUE"""),4.0)</f>
        <v>4</v>
      </c>
      <c r="G1141" s="17" t="str">
        <f>IFERROR(__xludf.DUMMYFUNCTION("""COMPUTED_VALUE"""),"152220")</f>
        <v>152220</v>
      </c>
      <c r="H1141" s="17" t="str">
        <f>IFERROR(__xludf.DUMMYFUNCTION("""COMPUTED_VALUE"""),"підставки для яєць")</f>
        <v>підставки для яєць</v>
      </c>
      <c r="I1141" s="19">
        <f>IFERROR(__xludf.DUMMYFUNCTION("""COMPUTED_VALUE"""),0.0771)</f>
        <v>0.0771</v>
      </c>
      <c r="J1141" s="19">
        <f>IFERROR(__xludf.DUMMYFUNCTION("""COMPUTED_VALUE"""),0.1541)</f>
        <v>0.1541</v>
      </c>
      <c r="K1141" s="19">
        <f>IFERROR(__xludf.DUMMYFUNCTION("""COMPUTED_VALUE"""),0.1926)</f>
        <v>0.1926</v>
      </c>
      <c r="L1141" s="19">
        <f>IFERROR(__xludf.DUMMYFUNCTION("""COMPUTED_VALUE"""),0.2312)</f>
        <v>0.2312</v>
      </c>
      <c r="M1141" s="18">
        <f>IFERROR(__xludf.DUMMYFUNCTION("""COMPUTED_VALUE"""),2.08)</f>
        <v>2.08</v>
      </c>
    </row>
    <row r="1142">
      <c r="A1142" s="13" t="str">
        <f>IFERROR(__xludf.DUMMYFUNCTION("""COMPUTED_VALUE"""),"товари")</f>
        <v>товари</v>
      </c>
      <c r="B1142" s="16" t="str">
        <f>IFERROR(__xludf.DUMMYFUNCTION("""COMPUTED_VALUE"""),"товари для дому")</f>
        <v>товари для дому</v>
      </c>
      <c r="C1142" s="16" t="str">
        <f>IFERROR(__xludf.DUMMYFUNCTION("""COMPUTED_VALUE"""),"декор для дому")</f>
        <v>декор для дому</v>
      </c>
      <c r="D1142" s="16" t="str">
        <f>IFERROR(__xludf.DUMMYFUNCTION("""COMPUTED_VALUE"""),"кімнатні рослини")</f>
        <v>кімнатні рослини</v>
      </c>
      <c r="E1142" s="16" t="str">
        <f>IFERROR(__xludf.DUMMYFUNCTION("""COMPUTED_VALUE"""),"підставки і опори для рослин")</f>
        <v>підставки і опори для рослин</v>
      </c>
      <c r="F1142" s="17">
        <f>IFERROR(__xludf.DUMMYFUNCTION("""COMPUTED_VALUE"""),4.0)</f>
        <v>4</v>
      </c>
      <c r="G1142" s="17" t="str">
        <f>IFERROR(__xludf.DUMMYFUNCTION("""COMPUTED_VALUE"""),"371016")</f>
        <v>371016</v>
      </c>
      <c r="H1142" s="17" t="str">
        <f>IFERROR(__xludf.DUMMYFUNCTION("""COMPUTED_VALUE"""),"підставки і опори для рослин")</f>
        <v>підставки і опори для рослин</v>
      </c>
      <c r="I1142" s="19">
        <f>IFERROR(__xludf.DUMMYFUNCTION("""COMPUTED_VALUE"""),0.0665)</f>
        <v>0.0665</v>
      </c>
      <c r="J1142" s="19">
        <f>IFERROR(__xludf.DUMMYFUNCTION("""COMPUTED_VALUE"""),0.133)</f>
        <v>0.133</v>
      </c>
      <c r="K1142" s="19">
        <f>IFERROR(__xludf.DUMMYFUNCTION("""COMPUTED_VALUE"""),0.1663)</f>
        <v>0.1663</v>
      </c>
      <c r="L1142" s="19">
        <f>IFERROR(__xludf.DUMMYFUNCTION("""COMPUTED_VALUE"""),0.1995)</f>
        <v>0.1995</v>
      </c>
      <c r="M1142" s="18">
        <f>IFERROR(__xludf.DUMMYFUNCTION("""COMPUTED_VALUE"""),2.25)</f>
        <v>2.25</v>
      </c>
    </row>
    <row r="1143">
      <c r="A1143" s="13" t="str">
        <f>IFERROR(__xludf.DUMMYFUNCTION("""COMPUTED_VALUE"""),"товари")</f>
        <v>товари</v>
      </c>
      <c r="B1143" s="16" t="str">
        <f>IFERROR(__xludf.DUMMYFUNCTION("""COMPUTED_VALUE"""),"товари для дому")</f>
        <v>товари для дому</v>
      </c>
      <c r="C1143" s="16" t="str">
        <f>IFERROR(__xludf.DUMMYFUNCTION("""COMPUTED_VALUE"""),"рішення для зберігання")</f>
        <v>рішення для зберігання</v>
      </c>
      <c r="D1143" s="16" t="str">
        <f>IFERROR(__xludf.DUMMYFUNCTION("""COMPUTED_VALUE"""),"підставки і органайзери для косметики")</f>
        <v>підставки і органайзери для косметики</v>
      </c>
      <c r="E1143" s="16" t="str">
        <f>IFERROR(__xludf.DUMMYFUNCTION("""COMPUTED_VALUE"""),"підставки і органайзери для косметики")</f>
        <v>підставки і органайзери для косметики</v>
      </c>
      <c r="F1143" s="17">
        <f>IFERROR(__xludf.DUMMYFUNCTION("""COMPUTED_VALUE"""),3.0)</f>
        <v>3</v>
      </c>
      <c r="G1143" s="17" t="str">
        <f>IFERROR(__xludf.DUMMYFUNCTION("""COMPUTED_VALUE"""),"154108")</f>
        <v>154108</v>
      </c>
      <c r="H1143" s="17" t="str">
        <f>IFERROR(__xludf.DUMMYFUNCTION("""COMPUTED_VALUE"""),"підставки і органайзери для косметики")</f>
        <v>підставки і органайзери для косметики</v>
      </c>
      <c r="I1143" s="19">
        <f>IFERROR(__xludf.DUMMYFUNCTION("""COMPUTED_VALUE"""),0.0785)</f>
        <v>0.0785</v>
      </c>
      <c r="J1143" s="19">
        <f>IFERROR(__xludf.DUMMYFUNCTION("""COMPUTED_VALUE"""),0.157)</f>
        <v>0.157</v>
      </c>
      <c r="K1143" s="19">
        <f>IFERROR(__xludf.DUMMYFUNCTION("""COMPUTED_VALUE"""),0.1963)</f>
        <v>0.1963</v>
      </c>
      <c r="L1143" s="19">
        <f>IFERROR(__xludf.DUMMYFUNCTION("""COMPUTED_VALUE"""),0.2355)</f>
        <v>0.2355</v>
      </c>
      <c r="M1143" s="18">
        <f>IFERROR(__xludf.DUMMYFUNCTION("""COMPUTED_VALUE"""),2.25)</f>
        <v>2.25</v>
      </c>
    </row>
    <row r="1144">
      <c r="A1144" s="13" t="str">
        <f>IFERROR(__xludf.DUMMYFUNCTION("""COMPUTED_VALUE"""),"товари")</f>
        <v>товари</v>
      </c>
      <c r="B1144" s="16" t="str">
        <f>IFERROR(__xludf.DUMMYFUNCTION("""COMPUTED_VALUE"""),"товари для дому")</f>
        <v>товари для дому</v>
      </c>
      <c r="C1144" s="16" t="str">
        <f>IFERROR(__xludf.DUMMYFUNCTION("""COMPUTED_VALUE"""),"приналежності для ванної та туалету")</f>
        <v>приналежності для ванної та туалету</v>
      </c>
      <c r="D1144" s="16" t="str">
        <f>IFERROR(__xludf.DUMMYFUNCTION("""COMPUTED_VALUE"""),"підставки і стакани для зубних щіток")</f>
        <v>підставки і стакани для зубних щіток</v>
      </c>
      <c r="E1144" s="16" t="str">
        <f>IFERROR(__xludf.DUMMYFUNCTION("""COMPUTED_VALUE"""),"підставки і стакани для зубних щіток")</f>
        <v>підставки і стакани для зубних щіток</v>
      </c>
      <c r="F1144" s="17">
        <f>IFERROR(__xludf.DUMMYFUNCTION("""COMPUTED_VALUE"""),3.0)</f>
        <v>3</v>
      </c>
      <c r="G1144" s="17" t="str">
        <f>IFERROR(__xludf.DUMMYFUNCTION("""COMPUTED_VALUE"""),"154009")</f>
        <v>154009</v>
      </c>
      <c r="H1144" s="17" t="str">
        <f>IFERROR(__xludf.DUMMYFUNCTION("""COMPUTED_VALUE"""),"підставки і стакани для зубних щіток")</f>
        <v>підставки і стакани для зубних щіток</v>
      </c>
      <c r="I1144" s="19">
        <f>IFERROR(__xludf.DUMMYFUNCTION("""COMPUTED_VALUE"""),0.0792)</f>
        <v>0.0792</v>
      </c>
      <c r="J1144" s="19">
        <f>IFERROR(__xludf.DUMMYFUNCTION("""COMPUTED_VALUE"""),0.1584)</f>
        <v>0.1584</v>
      </c>
      <c r="K1144" s="19">
        <f>IFERROR(__xludf.DUMMYFUNCTION("""COMPUTED_VALUE"""),0.198)</f>
        <v>0.198</v>
      </c>
      <c r="L1144" s="19">
        <f>IFERROR(__xludf.DUMMYFUNCTION("""COMPUTED_VALUE"""),0.2376)</f>
        <v>0.2376</v>
      </c>
      <c r="M1144" s="18">
        <f>IFERROR(__xludf.DUMMYFUNCTION("""COMPUTED_VALUE"""),1.05)</f>
        <v>1.05</v>
      </c>
    </row>
    <row r="1145">
      <c r="A1145" s="13" t="str">
        <f>IFERROR(__xludf.DUMMYFUNCTION("""COMPUTED_VALUE"""),"товари")</f>
        <v>товари</v>
      </c>
      <c r="B1145" s="16" t="str">
        <f>IFERROR(__xludf.DUMMYFUNCTION("""COMPUTED_VALUE"""),"дача, сад і город")</f>
        <v>дача, сад і город</v>
      </c>
      <c r="C1145" s="16" t="str">
        <f>IFERROR(__xludf.DUMMYFUNCTION("""COMPUTED_VALUE"""),"обладнання для поливу")</f>
        <v>обладнання для поливу</v>
      </c>
      <c r="D1145" s="16" t="str">
        <f>IFERROR(__xludf.DUMMYFUNCTION("""COMPUTED_VALUE"""),"пістолети і насадки для поливу")</f>
        <v>пістолети і насадки для поливу</v>
      </c>
      <c r="E1145" s="16" t="str">
        <f>IFERROR(__xludf.DUMMYFUNCTION("""COMPUTED_VALUE"""),"пістолети і насадки для поливу")</f>
        <v>пістолети і насадки для поливу</v>
      </c>
      <c r="F1145" s="17">
        <f>IFERROR(__xludf.DUMMYFUNCTION("""COMPUTED_VALUE"""),3.0)</f>
        <v>3</v>
      </c>
      <c r="G1145" s="17" t="str">
        <f>IFERROR(__xludf.DUMMYFUNCTION("""COMPUTED_VALUE"""),"1250343")</f>
        <v>1250343</v>
      </c>
      <c r="H1145" s="17" t="str">
        <f>IFERROR(__xludf.DUMMYFUNCTION("""COMPUTED_VALUE"""),"пістолети і насадки для поливу")</f>
        <v>пістолети і насадки для поливу</v>
      </c>
      <c r="I1145" s="19">
        <f>IFERROR(__xludf.DUMMYFUNCTION("""COMPUTED_VALUE"""),0.0791)</f>
        <v>0.0791</v>
      </c>
      <c r="J1145" s="19">
        <f>IFERROR(__xludf.DUMMYFUNCTION("""COMPUTED_VALUE"""),0.1581)</f>
        <v>0.1581</v>
      </c>
      <c r="K1145" s="19">
        <f>IFERROR(__xludf.DUMMYFUNCTION("""COMPUTED_VALUE"""),0.1976)</f>
        <v>0.1976</v>
      </c>
      <c r="L1145" s="19">
        <f>IFERROR(__xludf.DUMMYFUNCTION("""COMPUTED_VALUE"""),0.2372)</f>
        <v>0.2372</v>
      </c>
      <c r="M1145" s="18">
        <f>IFERROR(__xludf.DUMMYFUNCTION("""COMPUTED_VALUE"""),3.43)</f>
        <v>3.43</v>
      </c>
    </row>
    <row r="1146">
      <c r="A1146" s="13" t="str">
        <f>IFERROR(__xludf.DUMMYFUNCTION("""COMPUTED_VALUE"""),"товари")</f>
        <v>товари</v>
      </c>
      <c r="B1146" s="16" t="str">
        <f>IFERROR(__xludf.DUMMYFUNCTION("""COMPUTED_VALUE"""),"товари для дому")</f>
        <v>товари для дому</v>
      </c>
      <c r="C1146" s="16" t="str">
        <f>IFERROR(__xludf.DUMMYFUNCTION("""COMPUTED_VALUE"""),"текстиль")</f>
        <v>текстиль</v>
      </c>
      <c r="D1146" s="16" t="str">
        <f>IFERROR(__xludf.DUMMYFUNCTION("""COMPUTED_VALUE"""),"текстиль для спальні")</f>
        <v>текстиль для спальні</v>
      </c>
      <c r="E1146" s="16" t="str">
        <f>IFERROR(__xludf.DUMMYFUNCTION("""COMPUTED_VALUE"""),"пледи та покривала")</f>
        <v>пледи та покривала</v>
      </c>
      <c r="F1146" s="17">
        <f>IFERROR(__xludf.DUMMYFUNCTION("""COMPUTED_VALUE"""),4.0)</f>
        <v>4</v>
      </c>
      <c r="G1146" s="17" t="str">
        <f>IFERROR(__xludf.DUMMYFUNCTION("""COMPUTED_VALUE"""),"40501")</f>
        <v>40501</v>
      </c>
      <c r="H1146" s="17" t="str">
        <f>IFERROR(__xludf.DUMMYFUNCTION("""COMPUTED_VALUE"""),"пледи та покривала")</f>
        <v>пледи та покривала</v>
      </c>
      <c r="I1146" s="19">
        <f>IFERROR(__xludf.DUMMYFUNCTION("""COMPUTED_VALUE"""),0.079)</f>
        <v>0.079</v>
      </c>
      <c r="J1146" s="19">
        <f>IFERROR(__xludf.DUMMYFUNCTION("""COMPUTED_VALUE"""),0.158)</f>
        <v>0.158</v>
      </c>
      <c r="K1146" s="19">
        <f>IFERROR(__xludf.DUMMYFUNCTION("""COMPUTED_VALUE"""),0.1975)</f>
        <v>0.1975</v>
      </c>
      <c r="L1146" s="19">
        <f>IFERROR(__xludf.DUMMYFUNCTION("""COMPUTED_VALUE"""),0.237)</f>
        <v>0.237</v>
      </c>
      <c r="M1146" s="18">
        <f>IFERROR(__xludf.DUMMYFUNCTION("""COMPUTED_VALUE"""),2.16)</f>
        <v>2.16</v>
      </c>
    </row>
    <row r="1147">
      <c r="A1147" s="13" t="str">
        <f>IFERROR(__xludf.DUMMYFUNCTION("""COMPUTED_VALUE"""),"товари")</f>
        <v>товари</v>
      </c>
      <c r="B1147" s="16" t="str">
        <f>IFERROR(__xludf.DUMMYFUNCTION("""COMPUTED_VALUE"""),"товари для дому")</f>
        <v>товари для дому</v>
      </c>
      <c r="C1147" s="16" t="str">
        <f>IFERROR(__xludf.DUMMYFUNCTION("""COMPUTED_VALUE"""),"меблі")</f>
        <v>меблі</v>
      </c>
      <c r="D1147" s="16" t="str">
        <f>IFERROR(__xludf.DUMMYFUNCTION("""COMPUTED_VALUE"""),"садові й пляжні меблі")</f>
        <v>садові й пляжні меблі</v>
      </c>
      <c r="E1147" s="16" t="str">
        <f>IFERROR(__xludf.DUMMYFUNCTION("""COMPUTED_VALUE"""),"плетені меблі")</f>
        <v>плетені меблі</v>
      </c>
      <c r="F1147" s="17">
        <f>IFERROR(__xludf.DUMMYFUNCTION("""COMPUTED_VALUE"""),4.0)</f>
        <v>4</v>
      </c>
      <c r="G1147" s="17" t="str">
        <f>IFERROR(__xludf.DUMMYFUNCTION("""COMPUTED_VALUE"""),"15031001")</f>
        <v>15031001</v>
      </c>
      <c r="H1147" s="17" t="str">
        <f>IFERROR(__xludf.DUMMYFUNCTION("""COMPUTED_VALUE"""),"плетені меблі")</f>
        <v>плетені меблі</v>
      </c>
      <c r="I1147" s="19">
        <f>IFERROR(__xludf.DUMMYFUNCTION("""COMPUTED_VALUE"""),0.0607)</f>
        <v>0.0607</v>
      </c>
      <c r="J1147" s="19">
        <f>IFERROR(__xludf.DUMMYFUNCTION("""COMPUTED_VALUE"""),0.1214)</f>
        <v>0.1214</v>
      </c>
      <c r="K1147" s="19">
        <f>IFERROR(__xludf.DUMMYFUNCTION("""COMPUTED_VALUE"""),0.1518)</f>
        <v>0.1518</v>
      </c>
      <c r="L1147" s="19">
        <f>IFERROR(__xludf.DUMMYFUNCTION("""COMPUTED_VALUE"""),0.1821)</f>
        <v>0.1821</v>
      </c>
      <c r="M1147" s="18">
        <f>IFERROR(__xludf.DUMMYFUNCTION("""COMPUTED_VALUE"""),1.71)</f>
        <v>1.71</v>
      </c>
    </row>
    <row r="1148">
      <c r="A1148" s="13" t="str">
        <f>IFERROR(__xludf.DUMMYFUNCTION("""COMPUTED_VALUE"""),"товари")</f>
        <v>товари</v>
      </c>
      <c r="B1148" s="16" t="str">
        <f>IFERROR(__xludf.DUMMYFUNCTION("""COMPUTED_VALUE"""),"товари для дому")</f>
        <v>товари для дому</v>
      </c>
      <c r="C1148" s="16" t="str">
        <f>IFERROR(__xludf.DUMMYFUNCTION("""COMPUTED_VALUE"""),"рішення для зберігання")</f>
        <v>рішення для зберігання</v>
      </c>
      <c r="D1148" s="16" t="str">
        <f>IFERROR(__xludf.DUMMYFUNCTION("""COMPUTED_VALUE"""),"плечики")</f>
        <v>плечики</v>
      </c>
      <c r="E1148" s="16" t="str">
        <f>IFERROR(__xludf.DUMMYFUNCTION("""COMPUTED_VALUE"""),"плечики")</f>
        <v>плечики</v>
      </c>
      <c r="F1148" s="17">
        <f>IFERROR(__xludf.DUMMYFUNCTION("""COMPUTED_VALUE"""),3.0)</f>
        <v>3</v>
      </c>
      <c r="G1148" s="17" t="str">
        <f>IFERROR(__xludf.DUMMYFUNCTION("""COMPUTED_VALUE"""),"151601")</f>
        <v>151601</v>
      </c>
      <c r="H1148" s="17" t="str">
        <f>IFERROR(__xludf.DUMMYFUNCTION("""COMPUTED_VALUE"""),"плечики")</f>
        <v>плечики</v>
      </c>
      <c r="I1148" s="19">
        <f>IFERROR(__xludf.DUMMYFUNCTION("""COMPUTED_VALUE"""),0.0783)</f>
        <v>0.0783</v>
      </c>
      <c r="J1148" s="19">
        <f>IFERROR(__xludf.DUMMYFUNCTION("""COMPUTED_VALUE"""),0.1566)</f>
        <v>0.1566</v>
      </c>
      <c r="K1148" s="19">
        <f>IFERROR(__xludf.DUMMYFUNCTION("""COMPUTED_VALUE"""),0.1958)</f>
        <v>0.1958</v>
      </c>
      <c r="L1148" s="19">
        <f>IFERROR(__xludf.DUMMYFUNCTION("""COMPUTED_VALUE"""),0.2349)</f>
        <v>0.2349</v>
      </c>
      <c r="M1148" s="18">
        <f>IFERROR(__xludf.DUMMYFUNCTION("""COMPUTED_VALUE"""),3.98)</f>
        <v>3.98</v>
      </c>
    </row>
    <row r="1149">
      <c r="A1149" s="13" t="str">
        <f>IFERROR(__xludf.DUMMYFUNCTION("""COMPUTED_VALUE"""),"товари")</f>
        <v>товари</v>
      </c>
      <c r="B1149" s="16" t="str">
        <f>IFERROR(__xludf.DUMMYFUNCTION("""COMPUTED_VALUE"""),"дача, сад і город")</f>
        <v>дача, сад і город</v>
      </c>
      <c r="C1149" s="16" t="str">
        <f>IFERROR(__xludf.DUMMYFUNCTION("""COMPUTED_VALUE"""),"плодознімачі і плодозбирачі")</f>
        <v>плодознімачі і плодозбирачі</v>
      </c>
      <c r="D1149" s="16" t="str">
        <f>IFERROR(__xludf.DUMMYFUNCTION("""COMPUTED_VALUE"""),"плодознімачі і плодозбирачі")</f>
        <v>плодознімачі і плодозбирачі</v>
      </c>
      <c r="E1149" s="16" t="str">
        <f>IFERROR(__xludf.DUMMYFUNCTION("""COMPUTED_VALUE"""),"плодознімачі і плодозбирачі")</f>
        <v>плодознімачі і плодозбирачі</v>
      </c>
      <c r="F1149" s="17">
        <f>IFERROR(__xludf.DUMMYFUNCTION("""COMPUTED_VALUE"""),2.0)</f>
        <v>2</v>
      </c>
      <c r="G1149" s="17" t="str">
        <f>IFERROR(__xludf.DUMMYFUNCTION("""COMPUTED_VALUE"""),"12526")</f>
        <v>12526</v>
      </c>
      <c r="H1149" s="17" t="str">
        <f>IFERROR(__xludf.DUMMYFUNCTION("""COMPUTED_VALUE"""),"плодознімачі і плодозбирачі")</f>
        <v>плодознімачі і плодозбирачі</v>
      </c>
      <c r="I1149" s="19">
        <f>IFERROR(__xludf.DUMMYFUNCTION("""COMPUTED_VALUE"""),0.0532)</f>
        <v>0.0532</v>
      </c>
      <c r="J1149" s="19">
        <f>IFERROR(__xludf.DUMMYFUNCTION("""COMPUTED_VALUE"""),0.1063)</f>
        <v>0.1063</v>
      </c>
      <c r="K1149" s="19">
        <f>IFERROR(__xludf.DUMMYFUNCTION("""COMPUTED_VALUE"""),0.1329)</f>
        <v>0.1329</v>
      </c>
      <c r="L1149" s="19">
        <f>IFERROR(__xludf.DUMMYFUNCTION("""COMPUTED_VALUE"""),0.1595)</f>
        <v>0.1595</v>
      </c>
      <c r="M1149" s="18">
        <f>IFERROR(__xludf.DUMMYFUNCTION("""COMPUTED_VALUE"""),1.05)</f>
        <v>1.05</v>
      </c>
    </row>
    <row r="1150">
      <c r="A1150" s="13" t="str">
        <f>IFERROR(__xludf.DUMMYFUNCTION("""COMPUTED_VALUE"""),"товари")</f>
        <v>товари</v>
      </c>
      <c r="B1150" s="16" t="str">
        <f>IFERROR(__xludf.DUMMYFUNCTION("""COMPUTED_VALUE"""),"товари для дому")</f>
        <v>товари для дому</v>
      </c>
      <c r="C1150" s="16" t="str">
        <f>IFERROR(__xludf.DUMMYFUNCTION("""COMPUTED_VALUE"""),"посуд")</f>
        <v>посуд</v>
      </c>
      <c r="D1150" s="16" t="str">
        <f>IFERROR(__xludf.DUMMYFUNCTION("""COMPUTED_VALUE"""),"столовий посуд")</f>
        <v>столовий посуд</v>
      </c>
      <c r="E1150" s="16" t="str">
        <f>IFERROR(__xludf.DUMMYFUNCTION("""COMPUTED_VALUE"""),"пляшки для напоїв і води")</f>
        <v>пляшки для напоїв і води</v>
      </c>
      <c r="F1150" s="17">
        <f>IFERROR(__xludf.DUMMYFUNCTION("""COMPUTED_VALUE"""),4.0)</f>
        <v>4</v>
      </c>
      <c r="G1150" s="17" t="str">
        <f>IFERROR(__xludf.DUMMYFUNCTION("""COMPUTED_VALUE"""),"152221")</f>
        <v>152221</v>
      </c>
      <c r="H1150" s="17" t="str">
        <f>IFERROR(__xludf.DUMMYFUNCTION("""COMPUTED_VALUE"""),"пляшки для напоїв і води")</f>
        <v>пляшки для напоїв і води</v>
      </c>
      <c r="I1150" s="19">
        <f>IFERROR(__xludf.DUMMYFUNCTION("""COMPUTED_VALUE"""),0.0777)</f>
        <v>0.0777</v>
      </c>
      <c r="J1150" s="19">
        <f>IFERROR(__xludf.DUMMYFUNCTION("""COMPUTED_VALUE"""),0.1554)</f>
        <v>0.1554</v>
      </c>
      <c r="K1150" s="19">
        <f>IFERROR(__xludf.DUMMYFUNCTION("""COMPUTED_VALUE"""),0.1943)</f>
        <v>0.1943</v>
      </c>
      <c r="L1150" s="19">
        <f>IFERROR(__xludf.DUMMYFUNCTION("""COMPUTED_VALUE"""),0.2331)</f>
        <v>0.2331</v>
      </c>
      <c r="M1150" s="18">
        <f>IFERROR(__xludf.DUMMYFUNCTION("""COMPUTED_VALUE"""),2.08)</f>
        <v>2.08</v>
      </c>
    </row>
    <row r="1151">
      <c r="A1151" s="13" t="str">
        <f>IFERROR(__xludf.DUMMYFUNCTION("""COMPUTED_VALUE"""),"товари")</f>
        <v>товари</v>
      </c>
      <c r="B1151" s="16" t="str">
        <f>IFERROR(__xludf.DUMMYFUNCTION("""COMPUTED_VALUE"""),"товари для дому")</f>
        <v>товари для дому</v>
      </c>
      <c r="C1151" s="16" t="str">
        <f>IFERROR(__xludf.DUMMYFUNCTION("""COMPUTED_VALUE"""),"посуд")</f>
        <v>посуд</v>
      </c>
      <c r="D1151" s="16" t="str">
        <f>IFERROR(__xludf.DUMMYFUNCTION("""COMPUTED_VALUE"""),"кухонне приладдя")</f>
        <v>кухонне приладдя</v>
      </c>
      <c r="E1151" s="16" t="str">
        <f>IFERROR(__xludf.DUMMYFUNCTION("""COMPUTED_VALUE"""),"побутові запальнички ")</f>
        <v>побутові запальнички </v>
      </c>
      <c r="F1151" s="17">
        <f>IFERROR(__xludf.DUMMYFUNCTION("""COMPUTED_VALUE"""),4.0)</f>
        <v>4</v>
      </c>
      <c r="G1151" s="17" t="str">
        <f>IFERROR(__xludf.DUMMYFUNCTION("""COMPUTED_VALUE"""),"15230432")</f>
        <v>15230432</v>
      </c>
      <c r="H1151" s="17" t="str">
        <f>IFERROR(__xludf.DUMMYFUNCTION("""COMPUTED_VALUE"""),"побутові запальнички ")</f>
        <v>побутові запальнички </v>
      </c>
      <c r="I1151" s="19">
        <f>IFERROR(__xludf.DUMMYFUNCTION("""COMPUTED_VALUE"""),0.077)</f>
        <v>0.077</v>
      </c>
      <c r="J1151" s="19">
        <f>IFERROR(__xludf.DUMMYFUNCTION("""COMPUTED_VALUE"""),0.154)</f>
        <v>0.154</v>
      </c>
      <c r="K1151" s="19">
        <f>IFERROR(__xludf.DUMMYFUNCTION("""COMPUTED_VALUE"""),0.1925)</f>
        <v>0.1925</v>
      </c>
      <c r="L1151" s="19">
        <f>IFERROR(__xludf.DUMMYFUNCTION("""COMPUTED_VALUE"""),0.231)</f>
        <v>0.231</v>
      </c>
      <c r="M1151" s="18">
        <f>IFERROR(__xludf.DUMMYFUNCTION("""COMPUTED_VALUE"""),2.08)</f>
        <v>2.08</v>
      </c>
    </row>
    <row r="1152">
      <c r="A1152" s="13" t="str">
        <f>IFERROR(__xludf.DUMMYFUNCTION("""COMPUTED_VALUE"""),"товари")</f>
        <v>товари</v>
      </c>
      <c r="B1152" s="16" t="str">
        <f>IFERROR(__xludf.DUMMYFUNCTION("""COMPUTED_VALUE"""),"товари для дому")</f>
        <v>товари для дому</v>
      </c>
      <c r="C1152" s="16" t="str">
        <f>IFERROR(__xludf.DUMMYFUNCTION("""COMPUTED_VALUE"""),"посуд")</f>
        <v>посуд</v>
      </c>
      <c r="D1152" s="16" t="str">
        <f>IFERROR(__xludf.DUMMYFUNCTION("""COMPUTED_VALUE"""),"кухонне приладдя")</f>
        <v>кухонне приладдя</v>
      </c>
      <c r="E1152" s="16" t="str">
        <f>IFERROR(__xludf.DUMMYFUNCTION("""COMPUTED_VALUE"""),"побутові лійки, воронки ")</f>
        <v>побутові лійки, воронки </v>
      </c>
      <c r="F1152" s="17">
        <f>IFERROR(__xludf.DUMMYFUNCTION("""COMPUTED_VALUE"""),4.0)</f>
        <v>4</v>
      </c>
      <c r="G1152" s="17" t="str">
        <f>IFERROR(__xludf.DUMMYFUNCTION("""COMPUTED_VALUE"""),"15230440")</f>
        <v>15230440</v>
      </c>
      <c r="H1152" s="17" t="str">
        <f>IFERROR(__xludf.DUMMYFUNCTION("""COMPUTED_VALUE"""),"побутові лійки, воронки ")</f>
        <v>побутові лійки, воронки </v>
      </c>
      <c r="I1152" s="19">
        <f>IFERROR(__xludf.DUMMYFUNCTION("""COMPUTED_VALUE"""),0.077)</f>
        <v>0.077</v>
      </c>
      <c r="J1152" s="19">
        <f>IFERROR(__xludf.DUMMYFUNCTION("""COMPUTED_VALUE"""),0.154)</f>
        <v>0.154</v>
      </c>
      <c r="K1152" s="19">
        <f>IFERROR(__xludf.DUMMYFUNCTION("""COMPUTED_VALUE"""),0.1925)</f>
        <v>0.1925</v>
      </c>
      <c r="L1152" s="19">
        <f>IFERROR(__xludf.DUMMYFUNCTION("""COMPUTED_VALUE"""),0.231)</f>
        <v>0.231</v>
      </c>
      <c r="M1152" s="18">
        <f>IFERROR(__xludf.DUMMYFUNCTION("""COMPUTED_VALUE"""),2.08)</f>
        <v>2.08</v>
      </c>
    </row>
    <row r="1153">
      <c r="A1153" s="13" t="str">
        <f>IFERROR(__xludf.DUMMYFUNCTION("""COMPUTED_VALUE"""),"товари")</f>
        <v>товари</v>
      </c>
      <c r="B1153" s="16" t="str">
        <f>IFERROR(__xludf.DUMMYFUNCTION("""COMPUTED_VALUE"""),"дача, сад і город")</f>
        <v>дача, сад і город</v>
      </c>
      <c r="C1153" s="16" t="str">
        <f>IFERROR(__xludf.DUMMYFUNCTION("""COMPUTED_VALUE"""),"обладнання для фермерських продуктів")</f>
        <v>обладнання для фермерських продуктів</v>
      </c>
      <c r="D1153" s="16" t="str">
        <f>IFERROR(__xludf.DUMMYFUNCTION("""COMPUTED_VALUE"""),"побутові маслопреси ")</f>
        <v>побутові маслопреси </v>
      </c>
      <c r="E1153" s="16" t="str">
        <f>IFERROR(__xludf.DUMMYFUNCTION("""COMPUTED_VALUE"""),"побутові маслопреси ")</f>
        <v>побутові маслопреси </v>
      </c>
      <c r="F1153" s="17">
        <f>IFERROR(__xludf.DUMMYFUNCTION("""COMPUTED_VALUE"""),3.0)</f>
        <v>3</v>
      </c>
      <c r="G1153" s="17" t="str">
        <f>IFERROR(__xludf.DUMMYFUNCTION("""COMPUTED_VALUE"""),"151904")</f>
        <v>151904</v>
      </c>
      <c r="H1153" s="17" t="str">
        <f>IFERROR(__xludf.DUMMYFUNCTION("""COMPUTED_VALUE"""),"побутові маслопреси ")</f>
        <v>побутові маслопреси </v>
      </c>
      <c r="I1153" s="19">
        <f>IFERROR(__xludf.DUMMYFUNCTION("""COMPUTED_VALUE"""),0.0688)</f>
        <v>0.0688</v>
      </c>
      <c r="J1153" s="19">
        <f>IFERROR(__xludf.DUMMYFUNCTION("""COMPUTED_VALUE"""),0.1376)</f>
        <v>0.1376</v>
      </c>
      <c r="K1153" s="19">
        <f>IFERROR(__xludf.DUMMYFUNCTION("""COMPUTED_VALUE"""),0.172)</f>
        <v>0.172</v>
      </c>
      <c r="L1153" s="19">
        <f>IFERROR(__xludf.DUMMYFUNCTION("""COMPUTED_VALUE"""),0.2064)</f>
        <v>0.2064</v>
      </c>
      <c r="M1153" s="18">
        <f>IFERROR(__xludf.DUMMYFUNCTION("""COMPUTED_VALUE"""),4.14)</f>
        <v>4.14</v>
      </c>
    </row>
    <row r="1154">
      <c r="A1154" s="13" t="str">
        <f>IFERROR(__xludf.DUMMYFUNCTION("""COMPUTED_VALUE"""),"товари")</f>
        <v>товари</v>
      </c>
      <c r="B1154" s="16" t="str">
        <f>IFERROR(__xludf.DUMMYFUNCTION("""COMPUTED_VALUE"""),"дача, сад і город")</f>
        <v>дача, сад і город</v>
      </c>
      <c r="C1154" s="16" t="str">
        <f>IFERROR(__xludf.DUMMYFUNCTION("""COMPUTED_VALUE"""),"обладнання для фермерських продуктів")</f>
        <v>обладнання для фермерських продуктів</v>
      </c>
      <c r="D1154" s="16" t="str">
        <f>IFERROR(__xludf.DUMMYFUNCTION("""COMPUTED_VALUE"""),"побутові сепаратори і олійниці")</f>
        <v>побутові сепаратори і олійниці</v>
      </c>
      <c r="E1154" s="16" t="str">
        <f>IFERROR(__xludf.DUMMYFUNCTION("""COMPUTED_VALUE"""),"побутові сепаратори і олійниці")</f>
        <v>побутові сепаратори і олійниці</v>
      </c>
      <c r="F1154" s="17">
        <f>IFERROR(__xludf.DUMMYFUNCTION("""COMPUTED_VALUE"""),3.0)</f>
        <v>3</v>
      </c>
      <c r="G1154" s="17" t="str">
        <f>IFERROR(__xludf.DUMMYFUNCTION("""COMPUTED_VALUE"""),"6300412")</f>
        <v>6300412</v>
      </c>
      <c r="H1154" s="17" t="str">
        <f>IFERROR(__xludf.DUMMYFUNCTION("""COMPUTED_VALUE"""),"побутові сепаратори і олійниці")</f>
        <v>побутові сепаратори і олійниці</v>
      </c>
      <c r="I1154" s="19">
        <f>IFERROR(__xludf.DUMMYFUNCTION("""COMPUTED_VALUE"""),0.073)</f>
        <v>0.073</v>
      </c>
      <c r="J1154" s="19">
        <f>IFERROR(__xludf.DUMMYFUNCTION("""COMPUTED_VALUE"""),0.146)</f>
        <v>0.146</v>
      </c>
      <c r="K1154" s="19">
        <f>IFERROR(__xludf.DUMMYFUNCTION("""COMPUTED_VALUE"""),0.1825)</f>
        <v>0.1825</v>
      </c>
      <c r="L1154" s="19">
        <f>IFERROR(__xludf.DUMMYFUNCTION("""COMPUTED_VALUE"""),0.219)</f>
        <v>0.219</v>
      </c>
      <c r="M1154" s="18">
        <f>IFERROR(__xludf.DUMMYFUNCTION("""COMPUTED_VALUE"""),4.14)</f>
        <v>4.14</v>
      </c>
    </row>
    <row r="1155">
      <c r="A1155" s="13" t="str">
        <f>IFERROR(__xludf.DUMMYFUNCTION("""COMPUTED_VALUE"""),"товари")</f>
        <v>товари</v>
      </c>
      <c r="B1155" s="16" t="str">
        <f>IFERROR(__xludf.DUMMYFUNCTION("""COMPUTED_VALUE"""),"товари для дому")</f>
        <v>товари для дому</v>
      </c>
      <c r="C1155" s="16" t="str">
        <f>IFERROR(__xludf.DUMMYFUNCTION("""COMPUTED_VALUE"""),"посуд")</f>
        <v>посуд</v>
      </c>
      <c r="D1155" s="16" t="str">
        <f>IFERROR(__xludf.DUMMYFUNCTION("""COMPUTED_VALUE"""),"кухонне приладдя")</f>
        <v>кухонне приладдя</v>
      </c>
      <c r="E1155" s="16" t="str">
        <f>IFERROR(__xludf.DUMMYFUNCTION("""COMPUTED_VALUE"""),"побутові спагетниці, локшинорізки, тісторозкатки")</f>
        <v>побутові спагетниці, локшинорізки, тісторозкатки</v>
      </c>
      <c r="F1155" s="17">
        <f>IFERROR(__xludf.DUMMYFUNCTION("""COMPUTED_VALUE"""),4.0)</f>
        <v>4</v>
      </c>
      <c r="G1155" s="17" t="str">
        <f>IFERROR(__xludf.DUMMYFUNCTION("""COMPUTED_VALUE"""),"15230435")</f>
        <v>15230435</v>
      </c>
      <c r="H1155" s="17" t="str">
        <f>IFERROR(__xludf.DUMMYFUNCTION("""COMPUTED_VALUE"""),"побутові спагетниці, локшинорізки, тісторозкатки")</f>
        <v>побутові спагетниці, локшинорізки, тісторозкатки</v>
      </c>
      <c r="I1155" s="19">
        <f>IFERROR(__xludf.DUMMYFUNCTION("""COMPUTED_VALUE"""),0.077)</f>
        <v>0.077</v>
      </c>
      <c r="J1155" s="19">
        <f>IFERROR(__xludf.DUMMYFUNCTION("""COMPUTED_VALUE"""),0.154)</f>
        <v>0.154</v>
      </c>
      <c r="K1155" s="19">
        <f>IFERROR(__xludf.DUMMYFUNCTION("""COMPUTED_VALUE"""),0.1925)</f>
        <v>0.1925</v>
      </c>
      <c r="L1155" s="19">
        <f>IFERROR(__xludf.DUMMYFUNCTION("""COMPUTED_VALUE"""),0.231)</f>
        <v>0.231</v>
      </c>
      <c r="M1155" s="18">
        <f>IFERROR(__xludf.DUMMYFUNCTION("""COMPUTED_VALUE"""),2.08)</f>
        <v>2.08</v>
      </c>
    </row>
    <row r="1156">
      <c r="A1156" s="20" t="str">
        <f>IFERROR(__xludf.DUMMYFUNCTION("""COMPUTED_VALUE"""),"товари")</f>
        <v>товари</v>
      </c>
      <c r="B1156" s="21" t="str">
        <f>IFERROR(__xludf.DUMMYFUNCTION("""COMPUTED_VALUE"""),"товари для дому")</f>
        <v>товари для дому</v>
      </c>
      <c r="C1156" s="21" t="str">
        <f>IFERROR(__xludf.DUMMYFUNCTION("""COMPUTED_VALUE"""),"посуд")</f>
        <v>посуд</v>
      </c>
      <c r="D1156" s="21" t="str">
        <f>IFERROR(__xludf.DUMMYFUNCTION("""COMPUTED_VALUE"""),"кухонне приладдя")</f>
        <v>кухонне приладдя</v>
      </c>
      <c r="E1156" s="21" t="str">
        <f>IFERROR(__xludf.DUMMYFUNCTION("""COMPUTED_VALUE"""),"побутові форми для приготування напівфабрикатів")</f>
        <v>побутові форми для приготування напівфабрикатів</v>
      </c>
      <c r="F1156" s="25">
        <f>IFERROR(__xludf.DUMMYFUNCTION("""COMPUTED_VALUE"""),4.0)</f>
        <v>4</v>
      </c>
      <c r="G1156" s="22" t="str">
        <f>IFERROR(__xludf.DUMMYFUNCTION("""COMPUTED_VALUE"""),"15230448")</f>
        <v>15230448</v>
      </c>
      <c r="H1156" s="22" t="str">
        <f>IFERROR(__xludf.DUMMYFUNCTION("""COMPUTED_VALUE"""),"побутові форми для приготування напівфабрикатів")</f>
        <v>побутові форми для приготування напівфабрикатів</v>
      </c>
      <c r="I1156" s="19">
        <f>IFERROR(__xludf.DUMMYFUNCTION("""COMPUTED_VALUE"""),0.0787)</f>
        <v>0.0787</v>
      </c>
      <c r="J1156" s="19">
        <f>IFERROR(__xludf.DUMMYFUNCTION("""COMPUTED_VALUE"""),0.1573)</f>
        <v>0.1573</v>
      </c>
      <c r="K1156" s="19">
        <f>IFERROR(__xludf.DUMMYFUNCTION("""COMPUTED_VALUE"""),0.1966)</f>
        <v>0.1966</v>
      </c>
      <c r="L1156" s="19">
        <f>IFERROR(__xludf.DUMMYFUNCTION("""COMPUTED_VALUE"""),0.236)</f>
        <v>0.236</v>
      </c>
      <c r="M1156" s="18">
        <f>IFERROR(__xludf.DUMMYFUNCTION("""COMPUTED_VALUE"""),2.08)</f>
        <v>2.08</v>
      </c>
    </row>
    <row r="1157">
      <c r="A1157" s="13" t="str">
        <f>IFERROR(__xludf.DUMMYFUNCTION("""COMPUTED_VALUE"""),"товари")</f>
        <v>товари</v>
      </c>
      <c r="B1157" s="16" t="str">
        <f>IFERROR(__xludf.DUMMYFUNCTION("""COMPUTED_VALUE"""),"товари для дому")</f>
        <v>товари для дому</v>
      </c>
      <c r="C1157" s="16" t="str">
        <f>IFERROR(__xludf.DUMMYFUNCTION("""COMPUTED_VALUE"""),"догляд за будинком")</f>
        <v>догляд за будинком</v>
      </c>
      <c r="D1157" s="16" t="str">
        <f>IFERROR(__xludf.DUMMYFUNCTION("""COMPUTED_VALUE"""),"прибирання")</f>
        <v>прибирання</v>
      </c>
      <c r="E1157" s="16" t="str">
        <f>IFERROR(__xludf.DUMMYFUNCTION("""COMPUTED_VALUE"""),"поглиначі вологи")</f>
        <v>поглиначі вологи</v>
      </c>
      <c r="F1157" s="17">
        <f>IFERROR(__xludf.DUMMYFUNCTION("""COMPUTED_VALUE"""),4.0)</f>
        <v>4</v>
      </c>
      <c r="G1157" s="17" t="str">
        <f>IFERROR(__xludf.DUMMYFUNCTION("""COMPUTED_VALUE"""),"151416")</f>
        <v>151416</v>
      </c>
      <c r="H1157" s="17" t="str">
        <f>IFERROR(__xludf.DUMMYFUNCTION("""COMPUTED_VALUE"""),"поглиначі вологи")</f>
        <v>поглиначі вологи</v>
      </c>
      <c r="I1157" s="19">
        <f>IFERROR(__xludf.DUMMYFUNCTION("""COMPUTED_VALUE"""),0.0736)</f>
        <v>0.0736</v>
      </c>
      <c r="J1157" s="19">
        <f>IFERROR(__xludf.DUMMYFUNCTION("""COMPUTED_VALUE"""),0.1471)</f>
        <v>0.1471</v>
      </c>
      <c r="K1157" s="19">
        <f>IFERROR(__xludf.DUMMYFUNCTION("""COMPUTED_VALUE"""),0.1839)</f>
        <v>0.1839</v>
      </c>
      <c r="L1157" s="19">
        <f>IFERROR(__xludf.DUMMYFUNCTION("""COMPUTED_VALUE"""),0.2207)</f>
        <v>0.2207</v>
      </c>
      <c r="M1157" s="18">
        <f>IFERROR(__xludf.DUMMYFUNCTION("""COMPUTED_VALUE"""),2.53)</f>
        <v>2.53</v>
      </c>
    </row>
    <row r="1158">
      <c r="A1158" s="13" t="str">
        <f>IFERROR(__xludf.DUMMYFUNCTION("""COMPUTED_VALUE"""),"товари")</f>
        <v>товари</v>
      </c>
      <c r="B1158" s="16" t="str">
        <f>IFERROR(__xludf.DUMMYFUNCTION("""COMPUTED_VALUE"""),"товари для дому")</f>
        <v>товари для дому</v>
      </c>
      <c r="C1158" s="16" t="str">
        <f>IFERROR(__xludf.DUMMYFUNCTION("""COMPUTED_VALUE"""),"текстиль")</f>
        <v>текстиль</v>
      </c>
      <c r="D1158" s="16" t="str">
        <f>IFERROR(__xludf.DUMMYFUNCTION("""COMPUTED_VALUE"""),"текстиль для спальні")</f>
        <v>текстиль для спальні</v>
      </c>
      <c r="E1158" s="16" t="str">
        <f>IFERROR(__xludf.DUMMYFUNCTION("""COMPUTED_VALUE"""),"подушки")</f>
        <v>подушки</v>
      </c>
      <c r="F1158" s="17">
        <f>IFERROR(__xludf.DUMMYFUNCTION("""COMPUTED_VALUE"""),4.0)</f>
        <v>4</v>
      </c>
      <c r="G1158" s="17" t="str">
        <f>IFERROR(__xludf.DUMMYFUNCTION("""COMPUTED_VALUE"""),"40603")</f>
        <v>40603</v>
      </c>
      <c r="H1158" s="17" t="str">
        <f>IFERROR(__xludf.DUMMYFUNCTION("""COMPUTED_VALUE"""),"подушки")</f>
        <v>подушки</v>
      </c>
      <c r="I1158" s="19">
        <f>IFERROR(__xludf.DUMMYFUNCTION("""COMPUTED_VALUE"""),0.08)</f>
        <v>0.08</v>
      </c>
      <c r="J1158" s="19">
        <f>IFERROR(__xludf.DUMMYFUNCTION("""COMPUTED_VALUE"""),0.16)</f>
        <v>0.16</v>
      </c>
      <c r="K1158" s="19">
        <f>IFERROR(__xludf.DUMMYFUNCTION("""COMPUTED_VALUE"""),0.2)</f>
        <v>0.2</v>
      </c>
      <c r="L1158" s="19">
        <f>IFERROR(__xludf.DUMMYFUNCTION("""COMPUTED_VALUE"""),0.24)</f>
        <v>0.24</v>
      </c>
      <c r="M1158" s="18">
        <f>IFERROR(__xludf.DUMMYFUNCTION("""COMPUTED_VALUE"""),2.16)</f>
        <v>2.16</v>
      </c>
    </row>
    <row r="1159">
      <c r="A1159" s="13" t="str">
        <f>IFERROR(__xludf.DUMMYFUNCTION("""COMPUTED_VALUE"""),"товари")</f>
        <v>товари</v>
      </c>
      <c r="B1159" s="16" t="str">
        <f>IFERROR(__xludf.DUMMYFUNCTION("""COMPUTED_VALUE"""),"дача, сад і город")</f>
        <v>дача, сад і город</v>
      </c>
      <c r="C1159" s="16" t="str">
        <f>IFERROR(__xludf.DUMMYFUNCTION("""COMPUTED_VALUE"""),"обладнання для фермерських продуктів")</f>
        <v>обладнання для фермерських продуктів</v>
      </c>
      <c r="D1159" s="16" t="str">
        <f>IFERROR(__xludf.DUMMYFUNCTION("""COMPUTED_VALUE"""),"поїлки, годівниці для домашньої птиці")</f>
        <v>поїлки, годівниці для домашньої птиці</v>
      </c>
      <c r="E1159" s="16" t="str">
        <f>IFERROR(__xludf.DUMMYFUNCTION("""COMPUTED_VALUE"""),"поїлки, годівниці для домашньої птиці")</f>
        <v>поїлки, годівниці для домашньої птиці</v>
      </c>
      <c r="F1159" s="17">
        <f>IFERROR(__xludf.DUMMYFUNCTION("""COMPUTED_VALUE"""),3.0)</f>
        <v>3</v>
      </c>
      <c r="G1159" s="17" t="str">
        <f>IFERROR(__xludf.DUMMYFUNCTION("""COMPUTED_VALUE"""),"151905")</f>
        <v>151905</v>
      </c>
      <c r="H1159" s="17" t="str">
        <f>IFERROR(__xludf.DUMMYFUNCTION("""COMPUTED_VALUE"""),"поїлки, годівниці для домашньої птиці")</f>
        <v>поїлки, годівниці для домашньої птиці</v>
      </c>
      <c r="I1159" s="19">
        <f>IFERROR(__xludf.DUMMYFUNCTION("""COMPUTED_VALUE"""),0.0578)</f>
        <v>0.0578</v>
      </c>
      <c r="J1159" s="19">
        <f>IFERROR(__xludf.DUMMYFUNCTION("""COMPUTED_VALUE"""),0.1155)</f>
        <v>0.1155</v>
      </c>
      <c r="K1159" s="19">
        <f>IFERROR(__xludf.DUMMYFUNCTION("""COMPUTED_VALUE"""),0.1444)</f>
        <v>0.1444</v>
      </c>
      <c r="L1159" s="19">
        <f>IFERROR(__xludf.DUMMYFUNCTION("""COMPUTED_VALUE"""),0.1733)</f>
        <v>0.1733</v>
      </c>
      <c r="M1159" s="18">
        <f>IFERROR(__xludf.DUMMYFUNCTION("""COMPUTED_VALUE"""),4.14)</f>
        <v>4.14</v>
      </c>
    </row>
    <row r="1160">
      <c r="A1160" s="13" t="str">
        <f>IFERROR(__xludf.DUMMYFUNCTION("""COMPUTED_VALUE"""),"товари")</f>
        <v>товари</v>
      </c>
      <c r="B1160" s="16" t="str">
        <f>IFERROR(__xludf.DUMMYFUNCTION("""COMPUTED_VALUE"""),"товари для дому")</f>
        <v>товари для дому</v>
      </c>
      <c r="C1160" s="16" t="str">
        <f>IFERROR(__xludf.DUMMYFUNCTION("""COMPUTED_VALUE"""),"меблі")</f>
        <v>меблі</v>
      </c>
      <c r="D1160" s="16" t="str">
        <f>IFERROR(__xludf.DUMMYFUNCTION("""COMPUTED_VALUE"""),"комплектуючі для меблів")</f>
        <v>комплектуючі для меблів</v>
      </c>
      <c r="E1160" s="16" t="str">
        <f>IFERROR(__xludf.DUMMYFUNCTION("""COMPUTED_VALUE"""),"полицетримачі, склотримачі")</f>
        <v>полицетримачі, склотримачі</v>
      </c>
      <c r="F1160" s="17">
        <f>IFERROR(__xludf.DUMMYFUNCTION("""COMPUTED_VALUE"""),4.0)</f>
        <v>4</v>
      </c>
      <c r="G1160" s="17" t="str">
        <f>IFERROR(__xludf.DUMMYFUNCTION("""COMPUTED_VALUE"""),"15030602")</f>
        <v>15030602</v>
      </c>
      <c r="H1160" s="17" t="str">
        <f>IFERROR(__xludf.DUMMYFUNCTION("""COMPUTED_VALUE"""),"полицетримачі, склотримачі")</f>
        <v>полицетримачі, склотримачі</v>
      </c>
      <c r="I1160" s="19">
        <f>IFERROR(__xludf.DUMMYFUNCTION("""COMPUTED_VALUE"""),0.0665)</f>
        <v>0.0665</v>
      </c>
      <c r="J1160" s="19">
        <f>IFERROR(__xludf.DUMMYFUNCTION("""COMPUTED_VALUE"""),0.133)</f>
        <v>0.133</v>
      </c>
      <c r="K1160" s="19">
        <f>IFERROR(__xludf.DUMMYFUNCTION("""COMPUTED_VALUE"""),0.1663)</f>
        <v>0.1663</v>
      </c>
      <c r="L1160" s="19">
        <f>IFERROR(__xludf.DUMMYFUNCTION("""COMPUTED_VALUE"""),0.1995)</f>
        <v>0.1995</v>
      </c>
      <c r="M1160" s="18">
        <f>IFERROR(__xludf.DUMMYFUNCTION("""COMPUTED_VALUE"""),1.98)</f>
        <v>1.98</v>
      </c>
    </row>
    <row r="1161">
      <c r="A1161" s="13" t="str">
        <f>IFERROR(__xludf.DUMMYFUNCTION("""COMPUTED_VALUE"""),"товари")</f>
        <v>товари</v>
      </c>
      <c r="B1161" s="16" t="str">
        <f>IFERROR(__xludf.DUMMYFUNCTION("""COMPUTED_VALUE"""),"товари для дому")</f>
        <v>товари для дому</v>
      </c>
      <c r="C1161" s="16" t="str">
        <f>IFERROR(__xludf.DUMMYFUNCTION("""COMPUTED_VALUE"""),"меблі")</f>
        <v>меблі</v>
      </c>
      <c r="D1161" s="16" t="str">
        <f>IFERROR(__xludf.DUMMYFUNCTION("""COMPUTED_VALUE"""),"полиці та стелажі")</f>
        <v>полиці та стелажі</v>
      </c>
      <c r="E1161" s="16" t="str">
        <f>IFERROR(__xludf.DUMMYFUNCTION("""COMPUTED_VALUE"""),"полиці")</f>
        <v>полиці</v>
      </c>
      <c r="F1161" s="17">
        <f>IFERROR(__xludf.DUMMYFUNCTION("""COMPUTED_VALUE"""),4.0)</f>
        <v>4</v>
      </c>
      <c r="G1161" s="17" t="str">
        <f>IFERROR(__xludf.DUMMYFUNCTION("""COMPUTED_VALUE"""),"15030307")</f>
        <v>15030307</v>
      </c>
      <c r="H1161" s="17" t="str">
        <f>IFERROR(__xludf.DUMMYFUNCTION("""COMPUTED_VALUE"""),"полиці")</f>
        <v>полиці</v>
      </c>
      <c r="I1161" s="19">
        <f>IFERROR(__xludf.DUMMYFUNCTION("""COMPUTED_VALUE"""),0.0681)</f>
        <v>0.0681</v>
      </c>
      <c r="J1161" s="19">
        <f>IFERROR(__xludf.DUMMYFUNCTION("""COMPUTED_VALUE"""),0.1361)</f>
        <v>0.1361</v>
      </c>
      <c r="K1161" s="19">
        <f>IFERROR(__xludf.DUMMYFUNCTION("""COMPUTED_VALUE"""),0.1701)</f>
        <v>0.1701</v>
      </c>
      <c r="L1161" s="19">
        <f>IFERROR(__xludf.DUMMYFUNCTION("""COMPUTED_VALUE"""),0.2042)</f>
        <v>0.2042</v>
      </c>
      <c r="M1161" s="18">
        <f>IFERROR(__xludf.DUMMYFUNCTION("""COMPUTED_VALUE"""),3.15)</f>
        <v>3.15</v>
      </c>
    </row>
    <row r="1162">
      <c r="A1162" s="13" t="str">
        <f>IFERROR(__xludf.DUMMYFUNCTION("""COMPUTED_VALUE"""),"товари")</f>
        <v>товари</v>
      </c>
      <c r="B1162" s="16" t="str">
        <f>IFERROR(__xludf.DUMMYFUNCTION("""COMPUTED_VALUE"""),"товари для дому")</f>
        <v>товари для дому</v>
      </c>
      <c r="C1162" s="16" t="str">
        <f>IFERROR(__xludf.DUMMYFUNCTION("""COMPUTED_VALUE"""),"меблі")</f>
        <v>меблі</v>
      </c>
      <c r="D1162" s="16" t="str">
        <f>IFERROR(__xludf.DUMMYFUNCTION("""COMPUTED_VALUE"""),"полиці та стелажі")</f>
        <v>полиці та стелажі</v>
      </c>
      <c r="E1162" s="16" t="str">
        <f>IFERROR(__xludf.DUMMYFUNCTION("""COMPUTED_VALUE"""),"полиці, загальне")</f>
        <v>полиці, загальне</v>
      </c>
      <c r="F1162" s="17">
        <f>IFERROR(__xludf.DUMMYFUNCTION("""COMPUTED_VALUE"""),4.0)</f>
        <v>4</v>
      </c>
      <c r="G1162" s="17" t="str">
        <f>IFERROR(__xludf.DUMMYFUNCTION("""COMPUTED_VALUE"""),"15033901")</f>
        <v>15033901</v>
      </c>
      <c r="H1162" s="17" t="str">
        <f>IFERROR(__xludf.DUMMYFUNCTION("""COMPUTED_VALUE"""),"полиці, загальне")</f>
        <v>полиці, загальне</v>
      </c>
      <c r="I1162" s="19">
        <f>IFERROR(__xludf.DUMMYFUNCTION("""COMPUTED_VALUE"""),0.125)</f>
        <v>0.125</v>
      </c>
      <c r="J1162" s="19">
        <f>IFERROR(__xludf.DUMMYFUNCTION("""COMPUTED_VALUE"""),0.25)</f>
        <v>0.25</v>
      </c>
      <c r="K1162" s="19">
        <f>IFERROR(__xludf.DUMMYFUNCTION("""COMPUTED_VALUE"""),0.3125)</f>
        <v>0.3125</v>
      </c>
      <c r="L1162" s="19">
        <f>IFERROR(__xludf.DUMMYFUNCTION("""COMPUTED_VALUE"""),0.375)</f>
        <v>0.375</v>
      </c>
      <c r="M1162" s="18">
        <f>IFERROR(__xludf.DUMMYFUNCTION("""COMPUTED_VALUE"""),4.33)</f>
        <v>4.33</v>
      </c>
    </row>
    <row r="1163">
      <c r="A1163" s="13" t="str">
        <f>IFERROR(__xludf.DUMMYFUNCTION("""COMPUTED_VALUE"""),"товари")</f>
        <v>товари</v>
      </c>
      <c r="B1163" s="16" t="str">
        <f>IFERROR(__xludf.DUMMYFUNCTION("""COMPUTED_VALUE"""),"товари для дому")</f>
        <v>товари для дому</v>
      </c>
      <c r="C1163" s="16" t="str">
        <f>IFERROR(__xludf.DUMMYFUNCTION("""COMPUTED_VALUE"""),"догляд за будинком")</f>
        <v>догляд за будинком</v>
      </c>
      <c r="D1163" s="16" t="str">
        <f>IFERROR(__xludf.DUMMYFUNCTION("""COMPUTED_VALUE"""),"догляд за меблями")</f>
        <v>догляд за меблями</v>
      </c>
      <c r="E1163" s="16" t="str">
        <f>IFERROR(__xludf.DUMMYFUNCTION("""COMPUTED_VALUE"""),"поліролі для меблів")</f>
        <v>поліролі для меблів</v>
      </c>
      <c r="F1163" s="17">
        <f>IFERROR(__xludf.DUMMYFUNCTION("""COMPUTED_VALUE"""),4.0)</f>
        <v>4</v>
      </c>
      <c r="G1163" s="17" t="str">
        <f>IFERROR(__xludf.DUMMYFUNCTION("""COMPUTED_VALUE"""),"15031501")</f>
        <v>15031501</v>
      </c>
      <c r="H1163" s="17" t="str">
        <f>IFERROR(__xludf.DUMMYFUNCTION("""COMPUTED_VALUE"""),"поліролі для меблів")</f>
        <v>поліролі для меблів</v>
      </c>
      <c r="I1163" s="19">
        <f>IFERROR(__xludf.DUMMYFUNCTION("""COMPUTED_VALUE"""),0.0702)</f>
        <v>0.0702</v>
      </c>
      <c r="J1163" s="19">
        <f>IFERROR(__xludf.DUMMYFUNCTION("""COMPUTED_VALUE"""),0.1404)</f>
        <v>0.1404</v>
      </c>
      <c r="K1163" s="19">
        <f>IFERROR(__xludf.DUMMYFUNCTION("""COMPUTED_VALUE"""),0.1755)</f>
        <v>0.1755</v>
      </c>
      <c r="L1163" s="19">
        <f>IFERROR(__xludf.DUMMYFUNCTION("""COMPUTED_VALUE"""),0.2106)</f>
        <v>0.2106</v>
      </c>
      <c r="M1163" s="18">
        <f>IFERROR(__xludf.DUMMYFUNCTION("""COMPUTED_VALUE"""),1.53)</f>
        <v>1.53</v>
      </c>
    </row>
    <row r="1164">
      <c r="A1164" s="13" t="str">
        <f>IFERROR(__xludf.DUMMYFUNCTION("""COMPUTED_VALUE"""),"товари")</f>
        <v>товари</v>
      </c>
      <c r="B1164" s="16" t="str">
        <f>IFERROR(__xludf.DUMMYFUNCTION("""COMPUTED_VALUE"""),"товари для дому")</f>
        <v>товари для дому</v>
      </c>
      <c r="C1164" s="16" t="str">
        <f>IFERROR(__xludf.DUMMYFUNCTION("""COMPUTED_VALUE"""),"меблі")</f>
        <v>меблі</v>
      </c>
      <c r="D1164" s="16" t="str">
        <f>IFERROR(__xludf.DUMMYFUNCTION("""COMPUTED_VALUE"""),"меблі для ванних")</f>
        <v>меблі для ванних</v>
      </c>
      <c r="E1164" s="16" t="str">
        <f>IFERROR(__xludf.DUMMYFUNCTION("""COMPUTED_VALUE"""),"полки і етажерки для ванних кімнат")</f>
        <v>полки і етажерки для ванних кімнат</v>
      </c>
      <c r="F1164" s="17">
        <f>IFERROR(__xludf.DUMMYFUNCTION("""COMPUTED_VALUE"""),4.0)</f>
        <v>4</v>
      </c>
      <c r="G1164" s="17" t="str">
        <f>IFERROR(__xludf.DUMMYFUNCTION("""COMPUTED_VALUE"""),"13018005")</f>
        <v>13018005</v>
      </c>
      <c r="H1164" s="17" t="str">
        <f>IFERROR(__xludf.DUMMYFUNCTION("""COMPUTED_VALUE"""),"полки і етажерки для ванних кімнат")</f>
        <v>полки і етажерки для ванних кімнат</v>
      </c>
      <c r="I1164" s="19">
        <f>IFERROR(__xludf.DUMMYFUNCTION("""COMPUTED_VALUE"""),0.0665)</f>
        <v>0.0665</v>
      </c>
      <c r="J1164" s="19">
        <f>IFERROR(__xludf.DUMMYFUNCTION("""COMPUTED_VALUE"""),0.133)</f>
        <v>0.133</v>
      </c>
      <c r="K1164" s="19">
        <f>IFERROR(__xludf.DUMMYFUNCTION("""COMPUTED_VALUE"""),0.1663)</f>
        <v>0.1663</v>
      </c>
      <c r="L1164" s="19">
        <f>IFERROR(__xludf.DUMMYFUNCTION("""COMPUTED_VALUE"""),0.1995)</f>
        <v>0.1995</v>
      </c>
      <c r="M1164" s="18">
        <f>IFERROR(__xludf.DUMMYFUNCTION("""COMPUTED_VALUE"""),2.7)</f>
        <v>2.7</v>
      </c>
    </row>
    <row r="1165">
      <c r="A1165" s="13" t="str">
        <f>IFERROR(__xludf.DUMMYFUNCTION("""COMPUTED_VALUE"""),"товари")</f>
        <v>товари</v>
      </c>
      <c r="B1165" s="16" t="str">
        <f>IFERROR(__xludf.DUMMYFUNCTION("""COMPUTED_VALUE"""),"товари для дому")</f>
        <v>товари для дому</v>
      </c>
      <c r="C1165" s="16" t="str">
        <f>IFERROR(__xludf.DUMMYFUNCTION("""COMPUTED_VALUE"""),"декор для дому")</f>
        <v>декор для дому</v>
      </c>
      <c r="D1165" s="16" t="str">
        <f>IFERROR(__xludf.DUMMYFUNCTION("""COMPUTED_VALUE"""),"інтер'єрні аксесуари")</f>
        <v>інтер'єрні аксесуари</v>
      </c>
      <c r="E1165" s="16" t="str">
        <f>IFERROR(__xludf.DUMMYFUNCTION("""COMPUTED_VALUE"""),"попільнички")</f>
        <v>попільнички</v>
      </c>
      <c r="F1165" s="17">
        <f>IFERROR(__xludf.DUMMYFUNCTION("""COMPUTED_VALUE"""),4.0)</f>
        <v>4</v>
      </c>
      <c r="G1165" s="17" t="str">
        <f>IFERROR(__xludf.DUMMYFUNCTION("""COMPUTED_VALUE"""),"152601")</f>
        <v>152601</v>
      </c>
      <c r="H1165" s="17" t="str">
        <f>IFERROR(__xludf.DUMMYFUNCTION("""COMPUTED_VALUE"""),"попільнички")</f>
        <v>попільнички</v>
      </c>
      <c r="I1165" s="19">
        <f>IFERROR(__xludf.DUMMYFUNCTION("""COMPUTED_VALUE"""),0.0747)</f>
        <v>0.0747</v>
      </c>
      <c r="J1165" s="19">
        <f>IFERROR(__xludf.DUMMYFUNCTION("""COMPUTED_VALUE"""),0.1493)</f>
        <v>0.1493</v>
      </c>
      <c r="K1165" s="19">
        <f>IFERROR(__xludf.DUMMYFUNCTION("""COMPUTED_VALUE"""),0.1866)</f>
        <v>0.1866</v>
      </c>
      <c r="L1165" s="19">
        <f>IFERROR(__xludf.DUMMYFUNCTION("""COMPUTED_VALUE"""),0.224)</f>
        <v>0.224</v>
      </c>
      <c r="M1165" s="18">
        <f>IFERROR(__xludf.DUMMYFUNCTION("""COMPUTED_VALUE"""),1.63)</f>
        <v>1.63</v>
      </c>
    </row>
    <row r="1166">
      <c r="A1166" s="13" t="str">
        <f>IFERROR(__xludf.DUMMYFUNCTION("""COMPUTED_VALUE"""),"товари")</f>
        <v>товари</v>
      </c>
      <c r="B1166" s="16" t="str">
        <f>IFERROR(__xludf.DUMMYFUNCTION("""COMPUTED_VALUE"""),"товари для дому")</f>
        <v>товари для дому</v>
      </c>
      <c r="C1166" s="16" t="str">
        <f>IFERROR(__xludf.DUMMYFUNCTION("""COMPUTED_VALUE"""),"догляд за будинком")</f>
        <v>догляд за будинком</v>
      </c>
      <c r="D1166" s="16" t="str">
        <f>IFERROR(__xludf.DUMMYFUNCTION("""COMPUTED_VALUE"""),"прибирання")</f>
        <v>прибирання</v>
      </c>
      <c r="E1166" s="16" t="str">
        <f>IFERROR(__xludf.DUMMYFUNCTION("""COMPUTED_VALUE"""),"портативні розпилювачі")</f>
        <v>портативні розпилювачі</v>
      </c>
      <c r="F1166" s="17">
        <f>IFERROR(__xludf.DUMMYFUNCTION("""COMPUTED_VALUE"""),4.0)</f>
        <v>4</v>
      </c>
      <c r="G1166" s="17" t="str">
        <f>IFERROR(__xludf.DUMMYFUNCTION("""COMPUTED_VALUE"""),"151414")</f>
        <v>151414</v>
      </c>
      <c r="H1166" s="17" t="str">
        <f>IFERROR(__xludf.DUMMYFUNCTION("""COMPUTED_VALUE"""),"портативні розпилювачі")</f>
        <v>портативні розпилювачі</v>
      </c>
      <c r="I1166" s="19">
        <f>IFERROR(__xludf.DUMMYFUNCTION("""COMPUTED_VALUE"""),0.0771)</f>
        <v>0.0771</v>
      </c>
      <c r="J1166" s="19">
        <f>IFERROR(__xludf.DUMMYFUNCTION("""COMPUTED_VALUE"""),0.1541)</f>
        <v>0.1541</v>
      </c>
      <c r="K1166" s="19">
        <f>IFERROR(__xludf.DUMMYFUNCTION("""COMPUTED_VALUE"""),0.1926)</f>
        <v>0.1926</v>
      </c>
      <c r="L1166" s="19">
        <f>IFERROR(__xludf.DUMMYFUNCTION("""COMPUTED_VALUE"""),0.2312)</f>
        <v>0.2312</v>
      </c>
      <c r="M1166" s="18">
        <f>IFERROR(__xludf.DUMMYFUNCTION("""COMPUTED_VALUE"""),2.53)</f>
        <v>2.53</v>
      </c>
    </row>
    <row r="1167">
      <c r="A1167" s="13" t="str">
        <f>IFERROR(__xludf.DUMMYFUNCTION("""COMPUTED_VALUE"""),"товари")</f>
        <v>товари</v>
      </c>
      <c r="B1167" s="16" t="str">
        <f>IFERROR(__xludf.DUMMYFUNCTION("""COMPUTED_VALUE"""),"дача, сад і город")</f>
        <v>дача, сад і город</v>
      </c>
      <c r="C1167" s="16" t="str">
        <f>IFERROR(__xludf.DUMMYFUNCTION("""COMPUTED_VALUE"""),"інструменти для обробки грунту")</f>
        <v>інструменти для обробки грунту</v>
      </c>
      <c r="D1167" s="16" t="str">
        <f>IFERROR(__xludf.DUMMYFUNCTION("""COMPUTED_VALUE"""),"посадочні совки, вилки")</f>
        <v>посадочні совки, вилки</v>
      </c>
      <c r="E1167" s="16" t="str">
        <f>IFERROR(__xludf.DUMMYFUNCTION("""COMPUTED_VALUE"""),"посадочні совки, вилки")</f>
        <v>посадочні совки, вилки</v>
      </c>
      <c r="F1167" s="17">
        <f>IFERROR(__xludf.DUMMYFUNCTION("""COMPUTED_VALUE"""),3.0)</f>
        <v>3</v>
      </c>
      <c r="G1167" s="17" t="str">
        <f>IFERROR(__xludf.DUMMYFUNCTION("""COMPUTED_VALUE"""),"1250305")</f>
        <v>1250305</v>
      </c>
      <c r="H1167" s="17" t="str">
        <f>IFERROR(__xludf.DUMMYFUNCTION("""COMPUTED_VALUE"""),"посадочні совки, вилки")</f>
        <v>посадочні совки, вилки</v>
      </c>
      <c r="I1167" s="19">
        <f>IFERROR(__xludf.DUMMYFUNCTION("""COMPUTED_VALUE"""),0.0737)</f>
        <v>0.0737</v>
      </c>
      <c r="J1167" s="19">
        <f>IFERROR(__xludf.DUMMYFUNCTION("""COMPUTED_VALUE"""),0.1473)</f>
        <v>0.1473</v>
      </c>
      <c r="K1167" s="19">
        <f>IFERROR(__xludf.DUMMYFUNCTION("""COMPUTED_VALUE"""),0.1841)</f>
        <v>0.1841</v>
      </c>
      <c r="L1167" s="19">
        <f>IFERROR(__xludf.DUMMYFUNCTION("""COMPUTED_VALUE"""),0.221)</f>
        <v>0.221</v>
      </c>
      <c r="M1167" s="18">
        <f>IFERROR(__xludf.DUMMYFUNCTION("""COMPUTED_VALUE"""),1.71)</f>
        <v>1.71</v>
      </c>
    </row>
    <row r="1168">
      <c r="A1168" s="13" t="str">
        <f>IFERROR(__xludf.DUMMYFUNCTION("""COMPUTED_VALUE"""),"товари")</f>
        <v>товари</v>
      </c>
      <c r="B1168" s="16" t="str">
        <f>IFERROR(__xludf.DUMMYFUNCTION("""COMPUTED_VALUE"""),"товари для дому")</f>
        <v>товари для дому</v>
      </c>
      <c r="C1168" s="16" t="str">
        <f>IFERROR(__xludf.DUMMYFUNCTION("""COMPUTED_VALUE"""),"текстиль")</f>
        <v>текстиль</v>
      </c>
      <c r="D1168" s="16" t="str">
        <f>IFERROR(__xludf.DUMMYFUNCTION("""COMPUTED_VALUE"""),"текстиль для спальні")</f>
        <v>текстиль для спальні</v>
      </c>
      <c r="E1168" s="16" t="str">
        <f>IFERROR(__xludf.DUMMYFUNCTION("""COMPUTED_VALUE"""),"постільна білизна, загальне")</f>
        <v>постільна білизна, загальне</v>
      </c>
      <c r="F1168" s="17">
        <f>IFERROR(__xludf.DUMMYFUNCTION("""COMPUTED_VALUE"""),4.0)</f>
        <v>4</v>
      </c>
      <c r="G1168" s="17" t="str">
        <f>IFERROR(__xludf.DUMMYFUNCTION("""COMPUTED_VALUE"""),"40699")</f>
        <v>40699</v>
      </c>
      <c r="H1168" s="17" t="str">
        <f>IFERROR(__xludf.DUMMYFUNCTION("""COMPUTED_VALUE"""),"постільна білизна, загальне")</f>
        <v>постільна білизна, загальне</v>
      </c>
      <c r="I1168" s="19">
        <f>IFERROR(__xludf.DUMMYFUNCTION("""COMPUTED_VALUE"""),0.125)</f>
        <v>0.125</v>
      </c>
      <c r="J1168" s="19">
        <f>IFERROR(__xludf.DUMMYFUNCTION("""COMPUTED_VALUE"""),0.25)</f>
        <v>0.25</v>
      </c>
      <c r="K1168" s="19">
        <f>IFERROR(__xludf.DUMMYFUNCTION("""COMPUTED_VALUE"""),0.3125)</f>
        <v>0.3125</v>
      </c>
      <c r="L1168" s="19">
        <f>IFERROR(__xludf.DUMMYFUNCTION("""COMPUTED_VALUE"""),0.375)</f>
        <v>0.375</v>
      </c>
      <c r="M1168" s="18">
        <f>IFERROR(__xludf.DUMMYFUNCTION("""COMPUTED_VALUE"""),4.33)</f>
        <v>4.33</v>
      </c>
    </row>
    <row r="1169">
      <c r="A1169" s="13" t="str">
        <f>IFERROR(__xludf.DUMMYFUNCTION("""COMPUTED_VALUE"""),"товари")</f>
        <v>товари</v>
      </c>
      <c r="B1169" s="16" t="str">
        <f>IFERROR(__xludf.DUMMYFUNCTION("""COMPUTED_VALUE"""),"товари для дому")</f>
        <v>товари для дому</v>
      </c>
      <c r="C1169" s="16" t="str">
        <f>IFERROR(__xludf.DUMMYFUNCTION("""COMPUTED_VALUE"""),"посуд")</f>
        <v>посуд</v>
      </c>
      <c r="D1169" s="16" t="str">
        <f>IFERROR(__xludf.DUMMYFUNCTION("""COMPUTED_VALUE"""),"посуд для приготування")</f>
        <v>посуд для приготування</v>
      </c>
      <c r="E1169" s="16" t="str">
        <f>IFERROR(__xludf.DUMMYFUNCTION("""COMPUTED_VALUE"""),"посуд для духових і мікрохвильових печей")</f>
        <v>посуд для духових і мікрохвильових печей</v>
      </c>
      <c r="F1169" s="17">
        <f>IFERROR(__xludf.DUMMYFUNCTION("""COMPUTED_VALUE"""),4.0)</f>
        <v>4</v>
      </c>
      <c r="G1169" s="17" t="str">
        <f>IFERROR(__xludf.DUMMYFUNCTION("""COMPUTED_VALUE"""),"150202")</f>
        <v>150202</v>
      </c>
      <c r="H1169" s="17" t="str">
        <f>IFERROR(__xludf.DUMMYFUNCTION("""COMPUTED_VALUE"""),"посуд для духових і мікрохвильових печей")</f>
        <v>посуд для духових і мікрохвильових печей</v>
      </c>
      <c r="I1169" s="19">
        <f>IFERROR(__xludf.DUMMYFUNCTION("""COMPUTED_VALUE"""),0.0774)</f>
        <v>0.0774</v>
      </c>
      <c r="J1169" s="19">
        <f>IFERROR(__xludf.DUMMYFUNCTION("""COMPUTED_VALUE"""),0.1547)</f>
        <v>0.1547</v>
      </c>
      <c r="K1169" s="19">
        <f>IFERROR(__xludf.DUMMYFUNCTION("""COMPUTED_VALUE"""),0.1934)</f>
        <v>0.1934</v>
      </c>
      <c r="L1169" s="19">
        <f>IFERROR(__xludf.DUMMYFUNCTION("""COMPUTED_VALUE"""),0.2321)</f>
        <v>0.2321</v>
      </c>
      <c r="M1169" s="18">
        <f>IFERROR(__xludf.DUMMYFUNCTION("""COMPUTED_VALUE"""),2.53)</f>
        <v>2.53</v>
      </c>
    </row>
    <row r="1170">
      <c r="A1170" s="13" t="str">
        <f>IFERROR(__xludf.DUMMYFUNCTION("""COMPUTED_VALUE"""),"товари")</f>
        <v>товари</v>
      </c>
      <c r="B1170" s="16" t="str">
        <f>IFERROR(__xludf.DUMMYFUNCTION("""COMPUTED_VALUE"""),"товари для дому")</f>
        <v>товари для дому</v>
      </c>
      <c r="C1170" s="16" t="str">
        <f>IFERROR(__xludf.DUMMYFUNCTION("""COMPUTED_VALUE"""),"посуд")</f>
        <v>посуд</v>
      </c>
      <c r="D1170" s="16" t="str">
        <f>IFERROR(__xludf.DUMMYFUNCTION("""COMPUTED_VALUE"""),"столовий посуд")</f>
        <v>столовий посуд</v>
      </c>
      <c r="E1170" s="16" t="str">
        <f>IFERROR(__xludf.DUMMYFUNCTION("""COMPUTED_VALUE"""),"посуд для східної кухні")</f>
        <v>посуд для східної кухні</v>
      </c>
      <c r="F1170" s="17">
        <f>IFERROR(__xludf.DUMMYFUNCTION("""COMPUTED_VALUE"""),4.0)</f>
        <v>4</v>
      </c>
      <c r="G1170" s="17" t="str">
        <f>IFERROR(__xludf.DUMMYFUNCTION("""COMPUTED_VALUE"""),"150206")</f>
        <v>150206</v>
      </c>
      <c r="H1170" s="17" t="str">
        <f>IFERROR(__xludf.DUMMYFUNCTION("""COMPUTED_VALUE"""),"посуд для східної кухні")</f>
        <v>посуд для східної кухні</v>
      </c>
      <c r="I1170" s="19">
        <f>IFERROR(__xludf.DUMMYFUNCTION("""COMPUTED_VALUE"""),0.0771)</f>
        <v>0.0771</v>
      </c>
      <c r="J1170" s="19">
        <f>IFERROR(__xludf.DUMMYFUNCTION("""COMPUTED_VALUE"""),0.1541)</f>
        <v>0.1541</v>
      </c>
      <c r="K1170" s="19">
        <f>IFERROR(__xludf.DUMMYFUNCTION("""COMPUTED_VALUE"""),0.1926)</f>
        <v>0.1926</v>
      </c>
      <c r="L1170" s="19">
        <f>IFERROR(__xludf.DUMMYFUNCTION("""COMPUTED_VALUE"""),0.2312)</f>
        <v>0.2312</v>
      </c>
      <c r="M1170" s="18">
        <f>IFERROR(__xludf.DUMMYFUNCTION("""COMPUTED_VALUE"""),2.08)</f>
        <v>2.08</v>
      </c>
    </row>
    <row r="1171">
      <c r="A1171" s="13" t="str">
        <f>IFERROR(__xludf.DUMMYFUNCTION("""COMPUTED_VALUE"""),"товари")</f>
        <v>товари</v>
      </c>
      <c r="B1171" s="16" t="str">
        <f>IFERROR(__xludf.DUMMYFUNCTION("""COMPUTED_VALUE"""),"товари для дому")</f>
        <v>товари для дому</v>
      </c>
      <c r="C1171" s="16" t="str">
        <f>IFERROR(__xludf.DUMMYFUNCTION("""COMPUTED_VALUE"""),"посуд")</f>
        <v>посуд</v>
      </c>
      <c r="D1171" s="16" t="str">
        <f>IFERROR(__xludf.DUMMYFUNCTION("""COMPUTED_VALUE"""),"посуд, загальне")</f>
        <v>посуд, загальне</v>
      </c>
      <c r="E1171" s="16" t="str">
        <f>IFERROR(__xludf.DUMMYFUNCTION("""COMPUTED_VALUE"""),"посуд, загальне")</f>
        <v>посуд, загальне</v>
      </c>
      <c r="F1171" s="17">
        <f>IFERROR(__xludf.DUMMYFUNCTION("""COMPUTED_VALUE"""),3.0)</f>
        <v>3</v>
      </c>
      <c r="G1171" s="17" t="str">
        <f>IFERROR(__xludf.DUMMYFUNCTION("""COMPUTED_VALUE"""),"150203")</f>
        <v>150203</v>
      </c>
      <c r="H1171" s="17" t="str">
        <f>IFERROR(__xludf.DUMMYFUNCTION("""COMPUTED_VALUE"""),"посуд, загальне")</f>
        <v>посуд, загальне</v>
      </c>
      <c r="I1171" s="19">
        <f>IFERROR(__xludf.DUMMYFUNCTION("""COMPUTED_VALUE"""),0.125)</f>
        <v>0.125</v>
      </c>
      <c r="J1171" s="19">
        <f>IFERROR(__xludf.DUMMYFUNCTION("""COMPUTED_VALUE"""),0.25)</f>
        <v>0.25</v>
      </c>
      <c r="K1171" s="19">
        <f>IFERROR(__xludf.DUMMYFUNCTION("""COMPUTED_VALUE"""),0.3125)</f>
        <v>0.3125</v>
      </c>
      <c r="L1171" s="19">
        <f>IFERROR(__xludf.DUMMYFUNCTION("""COMPUTED_VALUE"""),0.375)</f>
        <v>0.375</v>
      </c>
      <c r="M1171" s="18">
        <f>IFERROR(__xludf.DUMMYFUNCTION("""COMPUTED_VALUE"""),4.33)</f>
        <v>4.33</v>
      </c>
    </row>
    <row r="1172">
      <c r="A1172" s="13" t="str">
        <f>IFERROR(__xludf.DUMMYFUNCTION("""COMPUTED_VALUE"""),"товари")</f>
        <v>товари</v>
      </c>
      <c r="B1172" s="16" t="str">
        <f>IFERROR(__xludf.DUMMYFUNCTION("""COMPUTED_VALUE"""),"товари для дому")</f>
        <v>товари для дому</v>
      </c>
      <c r="C1172" s="16" t="str">
        <f>IFERROR(__xludf.DUMMYFUNCTION("""COMPUTED_VALUE"""),"декор для дому")</f>
        <v>декор для дому</v>
      </c>
      <c r="D1172" s="16" t="str">
        <f>IFERROR(__xludf.DUMMYFUNCTION("""COMPUTED_VALUE"""),"інтер'єрні аксесуари")</f>
        <v>інтер'єрні аксесуари</v>
      </c>
      <c r="E1172" s="16" t="str">
        <f>IFERROR(__xludf.DUMMYFUNCTION("""COMPUTED_VALUE"""),"поштові ящики")</f>
        <v>поштові ящики</v>
      </c>
      <c r="F1172" s="17">
        <f>IFERROR(__xludf.DUMMYFUNCTION("""COMPUTED_VALUE"""),4.0)</f>
        <v>4</v>
      </c>
      <c r="G1172" s="17" t="str">
        <f>IFERROR(__xludf.DUMMYFUNCTION("""COMPUTED_VALUE"""),"37042004")</f>
        <v>37042004</v>
      </c>
      <c r="H1172" s="17" t="str">
        <f>IFERROR(__xludf.DUMMYFUNCTION("""COMPUTED_VALUE"""),"поштові ящики")</f>
        <v>поштові ящики</v>
      </c>
      <c r="I1172" s="19">
        <f>IFERROR(__xludf.DUMMYFUNCTION("""COMPUTED_VALUE"""),0.0769)</f>
        <v>0.0769</v>
      </c>
      <c r="J1172" s="19">
        <f>IFERROR(__xludf.DUMMYFUNCTION("""COMPUTED_VALUE"""),0.1537)</f>
        <v>0.1537</v>
      </c>
      <c r="K1172" s="19">
        <f>IFERROR(__xludf.DUMMYFUNCTION("""COMPUTED_VALUE"""),0.1921)</f>
        <v>0.1921</v>
      </c>
      <c r="L1172" s="19">
        <f>IFERROR(__xludf.DUMMYFUNCTION("""COMPUTED_VALUE"""),0.2306)</f>
        <v>0.2306</v>
      </c>
      <c r="M1172" s="18">
        <f>IFERROR(__xludf.DUMMYFUNCTION("""COMPUTED_VALUE"""),1.53)</f>
        <v>1.53</v>
      </c>
    </row>
    <row r="1173">
      <c r="A1173" s="13" t="str">
        <f>IFERROR(__xludf.DUMMYFUNCTION("""COMPUTED_VALUE"""),"товари")</f>
        <v>товари</v>
      </c>
      <c r="B1173" s="16" t="str">
        <f>IFERROR(__xludf.DUMMYFUNCTION("""COMPUTED_VALUE"""),"товари для дому")</f>
        <v>товари для дому</v>
      </c>
      <c r="C1173" s="16" t="str">
        <f>IFERROR(__xludf.DUMMYFUNCTION("""COMPUTED_VALUE"""),"догляд за будинком")</f>
        <v>догляд за будинком</v>
      </c>
      <c r="D1173" s="16" t="str">
        <f>IFERROR(__xludf.DUMMYFUNCTION("""COMPUTED_VALUE"""),"прання і прасування")</f>
        <v>прання і прасування</v>
      </c>
      <c r="E1173" s="16" t="str">
        <f>IFERROR(__xludf.DUMMYFUNCTION("""COMPUTED_VALUE"""),"прання і прасування, загальне")</f>
        <v>прання і прасування, загальне</v>
      </c>
      <c r="F1173" s="17">
        <f>IFERROR(__xludf.DUMMYFUNCTION("""COMPUTED_VALUE"""),4.0)</f>
        <v>4</v>
      </c>
      <c r="G1173" s="17" t="str">
        <f>IFERROR(__xludf.DUMMYFUNCTION("""COMPUTED_VALUE"""),"151699")</f>
        <v>151699</v>
      </c>
      <c r="H1173" s="17" t="str">
        <f>IFERROR(__xludf.DUMMYFUNCTION("""COMPUTED_VALUE"""),"прання і прасування, загальне")</f>
        <v>прання і прасування, загальне</v>
      </c>
      <c r="I1173" s="19">
        <f>IFERROR(__xludf.DUMMYFUNCTION("""COMPUTED_VALUE"""),0.125)</f>
        <v>0.125</v>
      </c>
      <c r="J1173" s="19">
        <f>IFERROR(__xludf.DUMMYFUNCTION("""COMPUTED_VALUE"""),0.25)</f>
        <v>0.25</v>
      </c>
      <c r="K1173" s="19">
        <f>IFERROR(__xludf.DUMMYFUNCTION("""COMPUTED_VALUE"""),0.3125)</f>
        <v>0.3125</v>
      </c>
      <c r="L1173" s="19">
        <f>IFERROR(__xludf.DUMMYFUNCTION("""COMPUTED_VALUE"""),0.375)</f>
        <v>0.375</v>
      </c>
      <c r="M1173" s="18">
        <f>IFERROR(__xludf.DUMMYFUNCTION("""COMPUTED_VALUE"""),4.33)</f>
        <v>4.33</v>
      </c>
    </row>
    <row r="1174">
      <c r="A1174" s="13" t="str">
        <f>IFERROR(__xludf.DUMMYFUNCTION("""COMPUTED_VALUE"""),"товари")</f>
        <v>товари</v>
      </c>
      <c r="B1174" s="16" t="str">
        <f>IFERROR(__xludf.DUMMYFUNCTION("""COMPUTED_VALUE"""),"товари для дому")</f>
        <v>товари для дому</v>
      </c>
      <c r="C1174" s="16" t="str">
        <f>IFERROR(__xludf.DUMMYFUNCTION("""COMPUTED_VALUE"""),"догляд за будинком")</f>
        <v>догляд за будинком</v>
      </c>
      <c r="D1174" s="16" t="str">
        <f>IFERROR(__xludf.DUMMYFUNCTION("""COMPUTED_VALUE"""),"прання і прасування")</f>
        <v>прання і прасування</v>
      </c>
      <c r="E1174" s="16" t="str">
        <f>IFERROR(__xludf.DUMMYFUNCTION("""COMPUTED_VALUE"""),"прасувальні дошки")</f>
        <v>прасувальні дошки</v>
      </c>
      <c r="F1174" s="17">
        <f>IFERROR(__xludf.DUMMYFUNCTION("""COMPUTED_VALUE"""),4.0)</f>
        <v>4</v>
      </c>
      <c r="G1174" s="17" t="str">
        <f>IFERROR(__xludf.DUMMYFUNCTION("""COMPUTED_VALUE"""),"151602")</f>
        <v>151602</v>
      </c>
      <c r="H1174" s="17" t="str">
        <f>IFERROR(__xludf.DUMMYFUNCTION("""COMPUTED_VALUE"""),"прасувальні дошки")</f>
        <v>прасувальні дошки</v>
      </c>
      <c r="I1174" s="19">
        <f>IFERROR(__xludf.DUMMYFUNCTION("""COMPUTED_VALUE"""),0.0729)</f>
        <v>0.0729</v>
      </c>
      <c r="J1174" s="19">
        <f>IFERROR(__xludf.DUMMYFUNCTION("""COMPUTED_VALUE"""),0.1458)</f>
        <v>0.1458</v>
      </c>
      <c r="K1174" s="19">
        <f>IFERROR(__xludf.DUMMYFUNCTION("""COMPUTED_VALUE"""),0.1823)</f>
        <v>0.1823</v>
      </c>
      <c r="L1174" s="19">
        <f>IFERROR(__xludf.DUMMYFUNCTION("""COMPUTED_VALUE"""),0.2187)</f>
        <v>0.2187</v>
      </c>
      <c r="M1174" s="18">
        <f>IFERROR(__xludf.DUMMYFUNCTION("""COMPUTED_VALUE"""),1.98)</f>
        <v>1.98</v>
      </c>
    </row>
    <row r="1175">
      <c r="A1175" s="13" t="str">
        <f>IFERROR(__xludf.DUMMYFUNCTION("""COMPUTED_VALUE"""),"товари")</f>
        <v>товари</v>
      </c>
      <c r="B1175" s="16" t="str">
        <f>IFERROR(__xludf.DUMMYFUNCTION("""COMPUTED_VALUE"""),"товари для дому")</f>
        <v>товари для дому</v>
      </c>
      <c r="C1175" s="16" t="str">
        <f>IFERROR(__xludf.DUMMYFUNCTION("""COMPUTED_VALUE"""),"посуд")</f>
        <v>посуд</v>
      </c>
      <c r="D1175" s="16" t="str">
        <f>IFERROR(__xludf.DUMMYFUNCTION("""COMPUTED_VALUE"""),"кухонне приладдя")</f>
        <v>кухонне приладдя</v>
      </c>
      <c r="E1175" s="16" t="str">
        <f>IFERROR(__xludf.DUMMYFUNCTION("""COMPUTED_VALUE"""),"преси, горіхоколи")</f>
        <v>преси, горіхоколи</v>
      </c>
      <c r="F1175" s="17">
        <f>IFERROR(__xludf.DUMMYFUNCTION("""COMPUTED_VALUE"""),4.0)</f>
        <v>4</v>
      </c>
      <c r="G1175" s="17" t="str">
        <f>IFERROR(__xludf.DUMMYFUNCTION("""COMPUTED_VALUE"""),"15230423")</f>
        <v>15230423</v>
      </c>
      <c r="H1175" s="17" t="str">
        <f>IFERROR(__xludf.DUMMYFUNCTION("""COMPUTED_VALUE"""),"преси, горіхоколи")</f>
        <v>преси, горіхоколи</v>
      </c>
      <c r="I1175" s="19">
        <f>IFERROR(__xludf.DUMMYFUNCTION("""COMPUTED_VALUE"""),0.0767)</f>
        <v>0.0767</v>
      </c>
      <c r="J1175" s="19">
        <f>IFERROR(__xludf.DUMMYFUNCTION("""COMPUTED_VALUE"""),0.1534)</f>
        <v>0.1534</v>
      </c>
      <c r="K1175" s="19">
        <f>IFERROR(__xludf.DUMMYFUNCTION("""COMPUTED_VALUE"""),0.1918)</f>
        <v>0.1918</v>
      </c>
      <c r="L1175" s="19">
        <f>IFERROR(__xludf.DUMMYFUNCTION("""COMPUTED_VALUE"""),0.2301)</f>
        <v>0.2301</v>
      </c>
      <c r="M1175" s="18">
        <f>IFERROR(__xludf.DUMMYFUNCTION("""COMPUTED_VALUE"""),2.08)</f>
        <v>2.08</v>
      </c>
    </row>
    <row r="1176">
      <c r="A1176" s="13" t="str">
        <f>IFERROR(__xludf.DUMMYFUNCTION("""COMPUTED_VALUE"""),"товари")</f>
        <v>товари</v>
      </c>
      <c r="B1176" s="16" t="str">
        <f>IFERROR(__xludf.DUMMYFUNCTION("""COMPUTED_VALUE"""),"товари для дому")</f>
        <v>товари для дому</v>
      </c>
      <c r="C1176" s="16" t="str">
        <f>IFERROR(__xludf.DUMMYFUNCTION("""COMPUTED_VALUE"""),"догляд за будинком")</f>
        <v>догляд за будинком</v>
      </c>
      <c r="D1176" s="16" t="str">
        <f>IFERROR(__xludf.DUMMYFUNCTION("""COMPUTED_VALUE"""),"прибирання")</f>
        <v>прибирання</v>
      </c>
      <c r="E1176" s="16" t="str">
        <f>IFERROR(__xludf.DUMMYFUNCTION("""COMPUTED_VALUE"""),"прибирання, загальне")</f>
        <v>прибирання, загальне</v>
      </c>
      <c r="F1176" s="17">
        <f>IFERROR(__xludf.DUMMYFUNCTION("""COMPUTED_VALUE"""),4.0)</f>
        <v>4</v>
      </c>
      <c r="G1176" s="17" t="str">
        <f>IFERROR(__xludf.DUMMYFUNCTION("""COMPUTED_VALUE"""),"151499")</f>
        <v>151499</v>
      </c>
      <c r="H1176" s="17" t="str">
        <f>IFERROR(__xludf.DUMMYFUNCTION("""COMPUTED_VALUE"""),"прибирання, загальне")</f>
        <v>прибирання, загальне</v>
      </c>
      <c r="I1176" s="19">
        <f>IFERROR(__xludf.DUMMYFUNCTION("""COMPUTED_VALUE"""),0.125)</f>
        <v>0.125</v>
      </c>
      <c r="J1176" s="19">
        <f>IFERROR(__xludf.DUMMYFUNCTION("""COMPUTED_VALUE"""),0.25)</f>
        <v>0.25</v>
      </c>
      <c r="K1176" s="19">
        <f>IFERROR(__xludf.DUMMYFUNCTION("""COMPUTED_VALUE"""),0.3125)</f>
        <v>0.3125</v>
      </c>
      <c r="L1176" s="19">
        <f>IFERROR(__xludf.DUMMYFUNCTION("""COMPUTED_VALUE"""),0.375)</f>
        <v>0.375</v>
      </c>
      <c r="M1176" s="18">
        <f>IFERROR(__xludf.DUMMYFUNCTION("""COMPUTED_VALUE"""),4.33)</f>
        <v>4.33</v>
      </c>
    </row>
    <row r="1177">
      <c r="A1177" s="13" t="str">
        <f>IFERROR(__xludf.DUMMYFUNCTION("""COMPUTED_VALUE"""),"товари")</f>
        <v>товари</v>
      </c>
      <c r="B1177" s="16" t="str">
        <f>IFERROR(__xludf.DUMMYFUNCTION("""COMPUTED_VALUE"""),"товари для дому")</f>
        <v>товари для дому</v>
      </c>
      <c r="C1177" s="16" t="str">
        <f>IFERROR(__xludf.DUMMYFUNCTION("""COMPUTED_VALUE"""),"текстиль")</f>
        <v>текстиль</v>
      </c>
      <c r="D1177" s="16" t="str">
        <f>IFERROR(__xludf.DUMMYFUNCTION("""COMPUTED_VALUE"""),"килими та килимові доріжки")</f>
        <v>килими та килимові доріжки</v>
      </c>
      <c r="E1177" s="16" t="str">
        <f>IFERROR(__xludf.DUMMYFUNCTION("""COMPUTED_VALUE"""),"придверні килимки ")</f>
        <v>придверні килимки </v>
      </c>
      <c r="F1177" s="17">
        <f>IFERROR(__xludf.DUMMYFUNCTION("""COMPUTED_VALUE"""),4.0)</f>
        <v>4</v>
      </c>
      <c r="G1177" s="17" t="str">
        <f>IFERROR(__xludf.DUMMYFUNCTION("""COMPUTED_VALUE"""),"40506")</f>
        <v>40506</v>
      </c>
      <c r="H1177" s="17" t="str">
        <f>IFERROR(__xludf.DUMMYFUNCTION("""COMPUTED_VALUE"""),"придверні килимки ")</f>
        <v>придверні килимки </v>
      </c>
      <c r="I1177" s="19">
        <f>IFERROR(__xludf.DUMMYFUNCTION("""COMPUTED_VALUE"""),0.077)</f>
        <v>0.077</v>
      </c>
      <c r="J1177" s="19">
        <f>IFERROR(__xludf.DUMMYFUNCTION("""COMPUTED_VALUE"""),0.154)</f>
        <v>0.154</v>
      </c>
      <c r="K1177" s="19">
        <f>IFERROR(__xludf.DUMMYFUNCTION("""COMPUTED_VALUE"""),0.1925)</f>
        <v>0.1925</v>
      </c>
      <c r="L1177" s="19">
        <f>IFERROR(__xludf.DUMMYFUNCTION("""COMPUTED_VALUE"""),0.231)</f>
        <v>0.231</v>
      </c>
      <c r="M1177" s="18">
        <f>IFERROR(__xludf.DUMMYFUNCTION("""COMPUTED_VALUE"""),1.63)</f>
        <v>1.63</v>
      </c>
    </row>
    <row r="1178">
      <c r="A1178" s="13" t="str">
        <f>IFERROR(__xludf.DUMMYFUNCTION("""COMPUTED_VALUE"""),"товари")</f>
        <v>товари</v>
      </c>
      <c r="B1178" s="16" t="str">
        <f>IFERROR(__xludf.DUMMYFUNCTION("""COMPUTED_VALUE"""),"товари для дому")</f>
        <v>товари для дому</v>
      </c>
      <c r="C1178" s="16" t="str">
        <f>IFERROR(__xludf.DUMMYFUNCTION("""COMPUTED_VALUE"""),"посуд")</f>
        <v>посуд</v>
      </c>
      <c r="D1178" s="16" t="str">
        <f>IFERROR(__xludf.DUMMYFUNCTION("""COMPUTED_VALUE"""),"кухонне приладдя")</f>
        <v>кухонне приладдя</v>
      </c>
      <c r="E1178" s="16" t="str">
        <f>IFERROR(__xludf.DUMMYFUNCTION("""COMPUTED_VALUE"""),"приладдя для спецій")</f>
        <v>приладдя для спецій</v>
      </c>
      <c r="F1178" s="17">
        <f>IFERROR(__xludf.DUMMYFUNCTION("""COMPUTED_VALUE"""),4.0)</f>
        <v>4</v>
      </c>
      <c r="G1178" s="17" t="str">
        <f>IFERROR(__xludf.DUMMYFUNCTION("""COMPUTED_VALUE"""),"15230403")</f>
        <v>15230403</v>
      </c>
      <c r="H1178" s="17" t="str">
        <f>IFERROR(__xludf.DUMMYFUNCTION("""COMPUTED_VALUE"""),"приладдя для спецій")</f>
        <v>приладдя для спецій</v>
      </c>
      <c r="I1178" s="19">
        <f>IFERROR(__xludf.DUMMYFUNCTION("""COMPUTED_VALUE"""),0.0777)</f>
        <v>0.0777</v>
      </c>
      <c r="J1178" s="19">
        <f>IFERROR(__xludf.DUMMYFUNCTION("""COMPUTED_VALUE"""),0.1553)</f>
        <v>0.1553</v>
      </c>
      <c r="K1178" s="19">
        <f>IFERROR(__xludf.DUMMYFUNCTION("""COMPUTED_VALUE"""),0.1941)</f>
        <v>0.1941</v>
      </c>
      <c r="L1178" s="19">
        <f>IFERROR(__xludf.DUMMYFUNCTION("""COMPUTED_VALUE"""),0.233)</f>
        <v>0.233</v>
      </c>
      <c r="M1178" s="18">
        <f>IFERROR(__xludf.DUMMYFUNCTION("""COMPUTED_VALUE"""),2.08)</f>
        <v>2.08</v>
      </c>
    </row>
    <row r="1179">
      <c r="A1179" s="13" t="str">
        <f>IFERROR(__xludf.DUMMYFUNCTION("""COMPUTED_VALUE"""),"товари")</f>
        <v>товари</v>
      </c>
      <c r="B1179" s="16" t="str">
        <f>IFERROR(__xludf.DUMMYFUNCTION("""COMPUTED_VALUE"""),"товари для дому")</f>
        <v>товари для дому</v>
      </c>
      <c r="C1179" s="16" t="str">
        <f>IFERROR(__xludf.DUMMYFUNCTION("""COMPUTED_VALUE"""),"меблі")</f>
        <v>меблі</v>
      </c>
      <c r="D1179" s="16" t="str">
        <f>IFERROR(__xludf.DUMMYFUNCTION("""COMPUTED_VALUE"""),"тумби та тумбочки")</f>
        <v>тумби та тумбочки</v>
      </c>
      <c r="E1179" s="16" t="str">
        <f>IFERROR(__xludf.DUMMYFUNCTION("""COMPUTED_VALUE"""),"приліжкові тумбочки")</f>
        <v>приліжкові тумбочки</v>
      </c>
      <c r="F1179" s="17">
        <f>IFERROR(__xludf.DUMMYFUNCTION("""COMPUTED_VALUE"""),4.0)</f>
        <v>4</v>
      </c>
      <c r="G1179" s="17" t="str">
        <f>IFERROR(__xludf.DUMMYFUNCTION("""COMPUTED_VALUE"""),"37032006")</f>
        <v>37032006</v>
      </c>
      <c r="H1179" s="17" t="str">
        <f>IFERROR(__xludf.DUMMYFUNCTION("""COMPUTED_VALUE"""),"приліжкові тумбочки")</f>
        <v>приліжкові тумбочки</v>
      </c>
      <c r="I1179" s="19">
        <f>IFERROR(__xludf.DUMMYFUNCTION("""COMPUTED_VALUE"""),0.069)</f>
        <v>0.069</v>
      </c>
      <c r="J1179" s="19">
        <f>IFERROR(__xludf.DUMMYFUNCTION("""COMPUTED_VALUE"""),0.138)</f>
        <v>0.138</v>
      </c>
      <c r="K1179" s="19">
        <f>IFERROR(__xludf.DUMMYFUNCTION("""COMPUTED_VALUE"""),0.1725)</f>
        <v>0.1725</v>
      </c>
      <c r="L1179" s="19">
        <f>IFERROR(__xludf.DUMMYFUNCTION("""COMPUTED_VALUE"""),0.207)</f>
        <v>0.207</v>
      </c>
      <c r="M1179" s="18">
        <f>IFERROR(__xludf.DUMMYFUNCTION("""COMPUTED_VALUE"""),2.53)</f>
        <v>2.53</v>
      </c>
    </row>
    <row r="1180">
      <c r="A1180" s="13" t="str">
        <f>IFERROR(__xludf.DUMMYFUNCTION("""COMPUTED_VALUE"""),"товари")</f>
        <v>товари</v>
      </c>
      <c r="B1180" s="16" t="str">
        <f>IFERROR(__xludf.DUMMYFUNCTION("""COMPUTED_VALUE"""),"товари для дому")</f>
        <v>товари для дому</v>
      </c>
      <c r="C1180" s="16" t="str">
        <f>IFERROR(__xludf.DUMMYFUNCTION("""COMPUTED_VALUE"""),"приналежності для ванної та туалету")</f>
        <v>приналежності для ванної та туалету</v>
      </c>
      <c r="D1180" s="16" t="str">
        <f>IFERROR(__xludf.DUMMYFUNCTION("""COMPUTED_VALUE"""),"приналежності для ванної та туалету, загальне")</f>
        <v>приналежності для ванної та туалету, загальне</v>
      </c>
      <c r="E1180" s="16" t="str">
        <f>IFERROR(__xludf.DUMMYFUNCTION("""COMPUTED_VALUE"""),"приналежності для ванної та туалету, загальне")</f>
        <v>приналежності для ванної та туалету, загальне</v>
      </c>
      <c r="F1180" s="17">
        <f>IFERROR(__xludf.DUMMYFUNCTION("""COMPUTED_VALUE"""),3.0)</f>
        <v>3</v>
      </c>
      <c r="G1180" s="17" t="str">
        <f>IFERROR(__xludf.DUMMYFUNCTION("""COMPUTED_VALUE"""),"154099")</f>
        <v>154099</v>
      </c>
      <c r="H1180" s="17" t="str">
        <f>IFERROR(__xludf.DUMMYFUNCTION("""COMPUTED_VALUE"""),"приналежності для ванної та туалету, загальне")</f>
        <v>приналежності для ванної та туалету, загальне</v>
      </c>
      <c r="I1180" s="19">
        <f>IFERROR(__xludf.DUMMYFUNCTION("""COMPUTED_VALUE"""),0.125)</f>
        <v>0.125</v>
      </c>
      <c r="J1180" s="19">
        <f>IFERROR(__xludf.DUMMYFUNCTION("""COMPUTED_VALUE"""),0.25)</f>
        <v>0.25</v>
      </c>
      <c r="K1180" s="19">
        <f>IFERROR(__xludf.DUMMYFUNCTION("""COMPUTED_VALUE"""),0.3125)</f>
        <v>0.3125</v>
      </c>
      <c r="L1180" s="19">
        <f>IFERROR(__xludf.DUMMYFUNCTION("""COMPUTED_VALUE"""),0.375)</f>
        <v>0.375</v>
      </c>
      <c r="M1180" s="18">
        <f>IFERROR(__xludf.DUMMYFUNCTION("""COMPUTED_VALUE"""),4.33)</f>
        <v>4.33</v>
      </c>
    </row>
    <row r="1181">
      <c r="A1181" s="13" t="str">
        <f>IFERROR(__xludf.DUMMYFUNCTION("""COMPUTED_VALUE"""),"товари")</f>
        <v>товари</v>
      </c>
      <c r="B1181" s="16" t="str">
        <f>IFERROR(__xludf.DUMMYFUNCTION("""COMPUTED_VALUE"""),"дача, сад і город")</f>
        <v>дача, сад і город</v>
      </c>
      <c r="C1181" s="16" t="str">
        <f>IFERROR(__xludf.DUMMYFUNCTION("""COMPUTED_VALUE"""),"мінісільгосптехніка")</f>
        <v>мінісільгосптехніка</v>
      </c>
      <c r="D1181" s="16" t="str">
        <f>IFERROR(__xludf.DUMMYFUNCTION("""COMPUTED_VALUE"""),"причепи до мотоблоків")</f>
        <v>причепи до мотоблоків</v>
      </c>
      <c r="E1181" s="16" t="str">
        <f>IFERROR(__xludf.DUMMYFUNCTION("""COMPUTED_VALUE"""),"причепи до мотоблоків")</f>
        <v>причепи до мотоблоків</v>
      </c>
      <c r="F1181" s="17">
        <f>IFERROR(__xludf.DUMMYFUNCTION("""COMPUTED_VALUE"""),3.0)</f>
        <v>3</v>
      </c>
      <c r="G1181" s="17" t="str">
        <f>IFERROR(__xludf.DUMMYFUNCTION("""COMPUTED_VALUE"""),"125031804")</f>
        <v>125031804</v>
      </c>
      <c r="H1181" s="17" t="str">
        <f>IFERROR(__xludf.DUMMYFUNCTION("""COMPUTED_VALUE"""),"причепи до мотоблоків")</f>
        <v>причепи до мотоблоків</v>
      </c>
      <c r="I1181" s="19">
        <f>IFERROR(__xludf.DUMMYFUNCTION("""COMPUTED_VALUE"""),0.0509)</f>
        <v>0.0509</v>
      </c>
      <c r="J1181" s="19">
        <f>IFERROR(__xludf.DUMMYFUNCTION("""COMPUTED_VALUE"""),0.1017)</f>
        <v>0.1017</v>
      </c>
      <c r="K1181" s="19">
        <f>IFERROR(__xludf.DUMMYFUNCTION("""COMPUTED_VALUE"""),0.1271)</f>
        <v>0.1271</v>
      </c>
      <c r="L1181" s="19">
        <f>IFERROR(__xludf.DUMMYFUNCTION("""COMPUTED_VALUE"""),0.1526)</f>
        <v>0.1526</v>
      </c>
      <c r="M1181" s="18">
        <f>IFERROR(__xludf.DUMMYFUNCTION("""COMPUTED_VALUE"""),2.08)</f>
        <v>2.08</v>
      </c>
    </row>
    <row r="1182">
      <c r="A1182" s="13" t="str">
        <f>IFERROR(__xludf.DUMMYFUNCTION("""COMPUTED_VALUE"""),"товари")</f>
        <v>товари</v>
      </c>
      <c r="B1182" s="16" t="str">
        <f>IFERROR(__xludf.DUMMYFUNCTION("""COMPUTED_VALUE"""),"товари для дому")</f>
        <v>товари для дому</v>
      </c>
      <c r="C1182" s="16" t="str">
        <f>IFERROR(__xludf.DUMMYFUNCTION("""COMPUTED_VALUE"""),"догляд за будинком")</f>
        <v>догляд за будинком</v>
      </c>
      <c r="D1182" s="16" t="str">
        <f>IFERROR(__xludf.DUMMYFUNCTION("""COMPUTED_VALUE"""),"прання і прасування")</f>
        <v>прання і прасування</v>
      </c>
      <c r="E1182" s="16" t="str">
        <f>IFERROR(__xludf.DUMMYFUNCTION("""COMPUTED_VALUE"""),"прищіпки")</f>
        <v>прищіпки</v>
      </c>
      <c r="F1182" s="17">
        <f>IFERROR(__xludf.DUMMYFUNCTION("""COMPUTED_VALUE"""),4.0)</f>
        <v>4</v>
      </c>
      <c r="G1182" s="17" t="str">
        <f>IFERROR(__xludf.DUMMYFUNCTION("""COMPUTED_VALUE"""),"151607")</f>
        <v>151607</v>
      </c>
      <c r="H1182" s="17" t="str">
        <f>IFERROR(__xludf.DUMMYFUNCTION("""COMPUTED_VALUE"""),"прищіпки")</f>
        <v>прищіпки</v>
      </c>
      <c r="I1182" s="19">
        <f>IFERROR(__xludf.DUMMYFUNCTION("""COMPUTED_VALUE"""),0.0755)</f>
        <v>0.0755</v>
      </c>
      <c r="J1182" s="19">
        <f>IFERROR(__xludf.DUMMYFUNCTION("""COMPUTED_VALUE"""),0.151)</f>
        <v>0.151</v>
      </c>
      <c r="K1182" s="19">
        <f>IFERROR(__xludf.DUMMYFUNCTION("""COMPUTED_VALUE"""),0.1888)</f>
        <v>0.1888</v>
      </c>
      <c r="L1182" s="19">
        <f>IFERROR(__xludf.DUMMYFUNCTION("""COMPUTED_VALUE"""),0.2265)</f>
        <v>0.2265</v>
      </c>
      <c r="M1182" s="18">
        <f>IFERROR(__xludf.DUMMYFUNCTION("""COMPUTED_VALUE"""),1.98)</f>
        <v>1.98</v>
      </c>
    </row>
    <row r="1183">
      <c r="A1183" s="13" t="str">
        <f>IFERROR(__xludf.DUMMYFUNCTION("""COMPUTED_VALUE"""),"товари")</f>
        <v>товари</v>
      </c>
      <c r="B1183" s="16" t="str">
        <f>IFERROR(__xludf.DUMMYFUNCTION("""COMPUTED_VALUE"""),"товари для дому")</f>
        <v>товари для дому</v>
      </c>
      <c r="C1183" s="16" t="str">
        <f>IFERROR(__xludf.DUMMYFUNCTION("""COMPUTED_VALUE"""),"текстиль")</f>
        <v>текстиль</v>
      </c>
      <c r="D1183" s="16" t="str">
        <f>IFERROR(__xludf.DUMMYFUNCTION("""COMPUTED_VALUE"""),"текстиль для спальні")</f>
        <v>текстиль для спальні</v>
      </c>
      <c r="E1183" s="16" t="str">
        <f>IFERROR(__xludf.DUMMYFUNCTION("""COMPUTED_VALUE"""),"простирадла")</f>
        <v>простирадла</v>
      </c>
      <c r="F1183" s="17">
        <f>IFERROR(__xludf.DUMMYFUNCTION("""COMPUTED_VALUE"""),4.0)</f>
        <v>4</v>
      </c>
      <c r="G1183" s="17" t="str">
        <f>IFERROR(__xludf.DUMMYFUNCTION("""COMPUTED_VALUE"""),"40605")</f>
        <v>40605</v>
      </c>
      <c r="H1183" s="17" t="str">
        <f>IFERROR(__xludf.DUMMYFUNCTION("""COMPUTED_VALUE"""),"простирадла")</f>
        <v>простирадла</v>
      </c>
      <c r="I1183" s="19">
        <f>IFERROR(__xludf.DUMMYFUNCTION("""COMPUTED_VALUE"""),0.0779)</f>
        <v>0.0779</v>
      </c>
      <c r="J1183" s="19">
        <f>IFERROR(__xludf.DUMMYFUNCTION("""COMPUTED_VALUE"""),0.1558)</f>
        <v>0.1558</v>
      </c>
      <c r="K1183" s="19">
        <f>IFERROR(__xludf.DUMMYFUNCTION("""COMPUTED_VALUE"""),0.1948)</f>
        <v>0.1948</v>
      </c>
      <c r="L1183" s="19">
        <f>IFERROR(__xludf.DUMMYFUNCTION("""COMPUTED_VALUE"""),0.2337)</f>
        <v>0.2337</v>
      </c>
      <c r="M1183" s="18">
        <f>IFERROR(__xludf.DUMMYFUNCTION("""COMPUTED_VALUE"""),2.16)</f>
        <v>2.16</v>
      </c>
    </row>
    <row r="1184">
      <c r="A1184" s="13" t="str">
        <f>IFERROR(__xludf.DUMMYFUNCTION("""COMPUTED_VALUE"""),"товари")</f>
        <v>товари</v>
      </c>
      <c r="B1184" s="16" t="str">
        <f>IFERROR(__xludf.DUMMYFUNCTION("""COMPUTED_VALUE"""),"товари для дому")</f>
        <v>товари для дому</v>
      </c>
      <c r="C1184" s="16" t="str">
        <f>IFERROR(__xludf.DUMMYFUNCTION("""COMPUTED_VALUE"""),"догляд за будинком")</f>
        <v>догляд за будинком</v>
      </c>
      <c r="D1184" s="16" t="str">
        <f>IFERROR(__xludf.DUMMYFUNCTION("""COMPUTED_VALUE"""),"догляд за кімнатними рослинами")</f>
        <v>догляд за кімнатними рослинами</v>
      </c>
      <c r="E1184" s="16" t="str">
        <f>IFERROR(__xludf.DUMMYFUNCTION("""COMPUTED_VALUE"""),"пульверизатори для кімнатних рослин")</f>
        <v>пульверизатори для кімнатних рослин</v>
      </c>
      <c r="F1184" s="17">
        <f>IFERROR(__xludf.DUMMYFUNCTION("""COMPUTED_VALUE"""),4.0)</f>
        <v>4</v>
      </c>
      <c r="G1184" s="17" t="str">
        <f>IFERROR(__xludf.DUMMYFUNCTION("""COMPUTED_VALUE"""),"12517")</f>
        <v>12517</v>
      </c>
      <c r="H1184" s="17" t="str">
        <f>IFERROR(__xludf.DUMMYFUNCTION("""COMPUTED_VALUE"""),"пульверизатори для кімнатних рослин")</f>
        <v>пульверизатори для кімнатних рослин</v>
      </c>
      <c r="I1184" s="19">
        <f>IFERROR(__xludf.DUMMYFUNCTION("""COMPUTED_VALUE"""),0.0746)</f>
        <v>0.0746</v>
      </c>
      <c r="J1184" s="19">
        <f>IFERROR(__xludf.DUMMYFUNCTION("""COMPUTED_VALUE"""),0.1492)</f>
        <v>0.1492</v>
      </c>
      <c r="K1184" s="19">
        <f>IFERROR(__xludf.DUMMYFUNCTION("""COMPUTED_VALUE"""),0.1865)</f>
        <v>0.1865</v>
      </c>
      <c r="L1184" s="19">
        <f>IFERROR(__xludf.DUMMYFUNCTION("""COMPUTED_VALUE"""),0.2238)</f>
        <v>0.2238</v>
      </c>
      <c r="M1184" s="18">
        <f>IFERROR(__xludf.DUMMYFUNCTION("""COMPUTED_VALUE"""),1.05)</f>
        <v>1.05</v>
      </c>
    </row>
    <row r="1185">
      <c r="A1185" s="13" t="str">
        <f>IFERROR(__xludf.DUMMYFUNCTION("""COMPUTED_VALUE"""),"товари")</f>
        <v>товари</v>
      </c>
      <c r="B1185" s="16" t="str">
        <f>IFERROR(__xludf.DUMMYFUNCTION("""COMPUTED_VALUE"""),"товари для дому")</f>
        <v>товари для дому</v>
      </c>
      <c r="C1185" s="16" t="str">
        <f>IFERROR(__xludf.DUMMYFUNCTION("""COMPUTED_VALUE"""),"меблі")</f>
        <v>меблі</v>
      </c>
      <c r="D1185" s="16" t="str">
        <f>IFERROR(__xludf.DUMMYFUNCTION("""COMPUTED_VALUE"""),"комплектуючі для меблів")</f>
        <v>комплектуючі для меблів</v>
      </c>
      <c r="E1185" s="16" t="str">
        <f>IFERROR(__xludf.DUMMYFUNCTION("""COMPUTED_VALUE"""),"рейлінгові і барні системи")</f>
        <v>рейлінгові і барні системи</v>
      </c>
      <c r="F1185" s="17">
        <f>IFERROR(__xludf.DUMMYFUNCTION("""COMPUTED_VALUE"""),4.0)</f>
        <v>4</v>
      </c>
      <c r="G1185" s="17" t="str">
        <f>IFERROR(__xludf.DUMMYFUNCTION("""COMPUTED_VALUE"""),"370815")</f>
        <v>370815</v>
      </c>
      <c r="H1185" s="17" t="str">
        <f>IFERROR(__xludf.DUMMYFUNCTION("""COMPUTED_VALUE"""),"рейлінгові і барні системи")</f>
        <v>рейлінгові і барні системи</v>
      </c>
      <c r="I1185" s="19">
        <f>IFERROR(__xludf.DUMMYFUNCTION("""COMPUTED_VALUE"""),0.0665)</f>
        <v>0.0665</v>
      </c>
      <c r="J1185" s="19">
        <f>IFERROR(__xludf.DUMMYFUNCTION("""COMPUTED_VALUE"""),0.133)</f>
        <v>0.133</v>
      </c>
      <c r="K1185" s="19">
        <f>IFERROR(__xludf.DUMMYFUNCTION("""COMPUTED_VALUE"""),0.1663)</f>
        <v>0.1663</v>
      </c>
      <c r="L1185" s="19">
        <f>IFERROR(__xludf.DUMMYFUNCTION("""COMPUTED_VALUE"""),0.1995)</f>
        <v>0.1995</v>
      </c>
      <c r="M1185" s="18">
        <f>IFERROR(__xludf.DUMMYFUNCTION("""COMPUTED_VALUE"""),1.98)</f>
        <v>1.98</v>
      </c>
    </row>
    <row r="1186">
      <c r="A1186" s="13" t="str">
        <f>IFERROR(__xludf.DUMMYFUNCTION("""COMPUTED_VALUE"""),"товари")</f>
        <v>товари</v>
      </c>
      <c r="B1186" s="16" t="str">
        <f>IFERROR(__xludf.DUMMYFUNCTION("""COMPUTED_VALUE"""),"товари для дому")</f>
        <v>товари для дому</v>
      </c>
      <c r="C1186" s="16" t="str">
        <f>IFERROR(__xludf.DUMMYFUNCTION("""COMPUTED_VALUE"""),"меблі")</f>
        <v>меблі</v>
      </c>
      <c r="D1186" s="16" t="str">
        <f>IFERROR(__xludf.DUMMYFUNCTION("""COMPUTED_VALUE"""),"комплектуючі для меблів")</f>
        <v>комплектуючі для меблів</v>
      </c>
      <c r="E1186" s="16" t="str">
        <f>IFERROR(__xludf.DUMMYFUNCTION("""COMPUTED_VALUE"""),"реставраційні матеріали для меблів")</f>
        <v>реставраційні матеріали для меблів</v>
      </c>
      <c r="F1186" s="17">
        <f>IFERROR(__xludf.DUMMYFUNCTION("""COMPUTED_VALUE"""),4.0)</f>
        <v>4</v>
      </c>
      <c r="G1186" s="17" t="str">
        <f>IFERROR(__xludf.DUMMYFUNCTION("""COMPUTED_VALUE"""),"15030618")</f>
        <v>15030618</v>
      </c>
      <c r="H1186" s="17" t="str">
        <f>IFERROR(__xludf.DUMMYFUNCTION("""COMPUTED_VALUE"""),"реставраційні матеріали для меблів")</f>
        <v>реставраційні матеріали для меблів</v>
      </c>
      <c r="I1186" s="19">
        <f>IFERROR(__xludf.DUMMYFUNCTION("""COMPUTED_VALUE"""),0.0665)</f>
        <v>0.0665</v>
      </c>
      <c r="J1186" s="19">
        <f>IFERROR(__xludf.DUMMYFUNCTION("""COMPUTED_VALUE"""),0.133)</f>
        <v>0.133</v>
      </c>
      <c r="K1186" s="19">
        <f>IFERROR(__xludf.DUMMYFUNCTION("""COMPUTED_VALUE"""),0.1663)</f>
        <v>0.1663</v>
      </c>
      <c r="L1186" s="19">
        <f>IFERROR(__xludf.DUMMYFUNCTION("""COMPUTED_VALUE"""),0.1995)</f>
        <v>0.1995</v>
      </c>
      <c r="M1186" s="18">
        <f>IFERROR(__xludf.DUMMYFUNCTION("""COMPUTED_VALUE"""),1.98)</f>
        <v>1.98</v>
      </c>
    </row>
    <row r="1187">
      <c r="A1187" s="13" t="str">
        <f>IFERROR(__xludf.DUMMYFUNCTION("""COMPUTED_VALUE"""),"товари")</f>
        <v>товари</v>
      </c>
      <c r="B1187" s="16" t="str">
        <f>IFERROR(__xludf.DUMMYFUNCTION("""COMPUTED_VALUE"""),"дача, сад і город")</f>
        <v>дача, сад і город</v>
      </c>
      <c r="C1187" s="16" t="str">
        <f>IFERROR(__xludf.DUMMYFUNCTION("""COMPUTED_VALUE"""),"аксесуари для барбекю")</f>
        <v>аксесуари для барбекю</v>
      </c>
      <c r="D1187" s="16" t="str">
        <f>IFERROR(__xludf.DUMMYFUNCTION("""COMPUTED_VALUE"""),"решітки для гриля і барбекю")</f>
        <v>решітки для гриля і барбекю</v>
      </c>
      <c r="E1187" s="16" t="str">
        <f>IFERROR(__xludf.DUMMYFUNCTION("""COMPUTED_VALUE"""),"решітки для гриля і барбекю")</f>
        <v>решітки для гриля і барбекю</v>
      </c>
      <c r="F1187" s="17">
        <f>IFERROR(__xludf.DUMMYFUNCTION("""COMPUTED_VALUE"""),3.0)</f>
        <v>3</v>
      </c>
      <c r="G1187" s="17" t="str">
        <f>IFERROR(__xludf.DUMMYFUNCTION("""COMPUTED_VALUE"""),"152302")</f>
        <v>152302</v>
      </c>
      <c r="H1187" s="17" t="str">
        <f>IFERROR(__xludf.DUMMYFUNCTION("""COMPUTED_VALUE"""),"решітки для гриля і барбекю")</f>
        <v>решітки для гриля і барбекю</v>
      </c>
      <c r="I1187" s="19">
        <f>IFERROR(__xludf.DUMMYFUNCTION("""COMPUTED_VALUE"""),0.0771)</f>
        <v>0.0771</v>
      </c>
      <c r="J1187" s="19">
        <f>IFERROR(__xludf.DUMMYFUNCTION("""COMPUTED_VALUE"""),0.1541)</f>
        <v>0.1541</v>
      </c>
      <c r="K1187" s="19">
        <f>IFERROR(__xludf.DUMMYFUNCTION("""COMPUTED_VALUE"""),0.1926)</f>
        <v>0.1926</v>
      </c>
      <c r="L1187" s="19">
        <f>IFERROR(__xludf.DUMMYFUNCTION("""COMPUTED_VALUE"""),0.2312)</f>
        <v>0.2312</v>
      </c>
      <c r="M1187" s="18">
        <f>IFERROR(__xludf.DUMMYFUNCTION("""COMPUTED_VALUE"""),3.98)</f>
        <v>3.98</v>
      </c>
    </row>
    <row r="1188">
      <c r="A1188" s="13" t="str">
        <f>IFERROR(__xludf.DUMMYFUNCTION("""COMPUTED_VALUE"""),"товари")</f>
        <v>товари</v>
      </c>
      <c r="B1188" s="16" t="str">
        <f>IFERROR(__xludf.DUMMYFUNCTION("""COMPUTED_VALUE"""),"товари для дому")</f>
        <v>товари для дому</v>
      </c>
      <c r="C1188" s="16" t="str">
        <f>IFERROR(__xludf.DUMMYFUNCTION("""COMPUTED_VALUE"""),"рішення для зберігання")</f>
        <v>рішення для зберігання</v>
      </c>
      <c r="D1188" s="16" t="str">
        <f>IFERROR(__xludf.DUMMYFUNCTION("""COMPUTED_VALUE"""),"рішення для зберігання, загальне")</f>
        <v>рішення для зберігання, загальне</v>
      </c>
      <c r="E1188" s="16" t="str">
        <f>IFERROR(__xludf.DUMMYFUNCTION("""COMPUTED_VALUE"""),"рішення для зберігання, загальне")</f>
        <v>рішення для зберігання, загальне</v>
      </c>
      <c r="F1188" s="17">
        <f>IFERROR(__xludf.DUMMYFUNCTION("""COMPUTED_VALUE"""),3.0)</f>
        <v>3</v>
      </c>
      <c r="G1188" s="17" t="str">
        <f>IFERROR(__xludf.DUMMYFUNCTION("""COMPUTED_VALUE"""),"154105")</f>
        <v>154105</v>
      </c>
      <c r="H1188" s="17" t="str">
        <f>IFERROR(__xludf.DUMMYFUNCTION("""COMPUTED_VALUE"""),"рішення для зберігання, загальне")</f>
        <v>рішення для зберігання, загальне</v>
      </c>
      <c r="I1188" s="19">
        <f>IFERROR(__xludf.DUMMYFUNCTION("""COMPUTED_VALUE"""),0.125)</f>
        <v>0.125</v>
      </c>
      <c r="J1188" s="19">
        <f>IFERROR(__xludf.DUMMYFUNCTION("""COMPUTED_VALUE"""),0.25)</f>
        <v>0.25</v>
      </c>
      <c r="K1188" s="19">
        <f>IFERROR(__xludf.DUMMYFUNCTION("""COMPUTED_VALUE"""),0.3125)</f>
        <v>0.3125</v>
      </c>
      <c r="L1188" s="19">
        <f>IFERROR(__xludf.DUMMYFUNCTION("""COMPUTED_VALUE"""),0.375)</f>
        <v>0.375</v>
      </c>
      <c r="M1188" s="18">
        <f>IFERROR(__xludf.DUMMYFUNCTION("""COMPUTED_VALUE"""),4.33)</f>
        <v>4.33</v>
      </c>
    </row>
    <row r="1189">
      <c r="A1189" s="13" t="str">
        <f>IFERROR(__xludf.DUMMYFUNCTION("""COMPUTED_VALUE"""),"товари")</f>
        <v>товари</v>
      </c>
      <c r="B1189" s="16" t="str">
        <f>IFERROR(__xludf.DUMMYFUNCTION("""COMPUTED_VALUE"""),"товари для дому")</f>
        <v>товари для дому</v>
      </c>
      <c r="C1189" s="16" t="str">
        <f>IFERROR(__xludf.DUMMYFUNCTION("""COMPUTED_VALUE"""),"меблі")</f>
        <v>меблі</v>
      </c>
      <c r="D1189" s="16" t="str">
        <f>IFERROR(__xludf.DUMMYFUNCTION("""COMPUTED_VALUE"""),"шафи")</f>
        <v>шафи</v>
      </c>
      <c r="E1189" s="16" t="str">
        <f>IFERROR(__xludf.DUMMYFUNCTION("""COMPUTED_VALUE"""),"розпашні шафи")</f>
        <v>розпашні шафи</v>
      </c>
      <c r="F1189" s="17">
        <f>IFERROR(__xludf.DUMMYFUNCTION("""COMPUTED_VALUE"""),4.0)</f>
        <v>4</v>
      </c>
      <c r="G1189" s="17" t="str">
        <f>IFERROR(__xludf.DUMMYFUNCTION("""COMPUTED_VALUE"""),"37032002")</f>
        <v>37032002</v>
      </c>
      <c r="H1189" s="17" t="str">
        <f>IFERROR(__xludf.DUMMYFUNCTION("""COMPUTED_VALUE"""),"розпашні шафи")</f>
        <v>розпашні шафи</v>
      </c>
      <c r="I1189" s="19">
        <f>IFERROR(__xludf.DUMMYFUNCTION("""COMPUTED_VALUE"""),0.0668)</f>
        <v>0.0668</v>
      </c>
      <c r="J1189" s="19">
        <f>IFERROR(__xludf.DUMMYFUNCTION("""COMPUTED_VALUE"""),0.1336)</f>
        <v>0.1336</v>
      </c>
      <c r="K1189" s="19">
        <f>IFERROR(__xludf.DUMMYFUNCTION("""COMPUTED_VALUE"""),0.167)</f>
        <v>0.167</v>
      </c>
      <c r="L1189" s="19">
        <f>IFERROR(__xludf.DUMMYFUNCTION("""COMPUTED_VALUE"""),0.2004)</f>
        <v>0.2004</v>
      </c>
      <c r="M1189" s="18">
        <f>IFERROR(__xludf.DUMMYFUNCTION("""COMPUTED_VALUE"""),2.53)</f>
        <v>2.53</v>
      </c>
    </row>
    <row r="1190">
      <c r="A1190" s="13" t="str">
        <f>IFERROR(__xludf.DUMMYFUNCTION("""COMPUTED_VALUE"""),"товари")</f>
        <v>товари</v>
      </c>
      <c r="B1190" s="16" t="str">
        <f>IFERROR(__xludf.DUMMYFUNCTION("""COMPUTED_VALUE"""),"дача, сад і город")</f>
        <v>дача, сад і город</v>
      </c>
      <c r="C1190" s="16" t="str">
        <f>IFERROR(__xludf.DUMMYFUNCTION("""COMPUTED_VALUE"""),"садові рослини і ґрунти")</f>
        <v>садові рослини і ґрунти</v>
      </c>
      <c r="D1190" s="16" t="str">
        <f>IFERROR(__xludf.DUMMYFUNCTION("""COMPUTED_VALUE"""),"розсада і саджанці квітів та трав")</f>
        <v>розсада і саджанці квітів та трав</v>
      </c>
      <c r="E1190" s="16" t="str">
        <f>IFERROR(__xludf.DUMMYFUNCTION("""COMPUTED_VALUE"""),"розсада і саджанці квітів та трав")</f>
        <v>розсада і саджанці квітів та трав</v>
      </c>
      <c r="F1190" s="17">
        <f>IFERROR(__xludf.DUMMYFUNCTION("""COMPUTED_VALUE"""),3.0)</f>
        <v>3</v>
      </c>
      <c r="G1190" s="17" t="str">
        <f>IFERROR(__xludf.DUMMYFUNCTION("""COMPUTED_VALUE"""),"1140115")</f>
        <v>1140115</v>
      </c>
      <c r="H1190" s="17" t="str">
        <f>IFERROR(__xludf.DUMMYFUNCTION("""COMPUTED_VALUE"""),"розсада і саджанці квітів та трав")</f>
        <v>розсада і саджанці квітів та трав</v>
      </c>
      <c r="I1190" s="19">
        <f>IFERROR(__xludf.DUMMYFUNCTION("""COMPUTED_VALUE"""),0.075)</f>
        <v>0.075</v>
      </c>
      <c r="J1190" s="19">
        <f>IFERROR(__xludf.DUMMYFUNCTION("""COMPUTED_VALUE"""),0.15)</f>
        <v>0.15</v>
      </c>
      <c r="K1190" s="19">
        <f>IFERROR(__xludf.DUMMYFUNCTION("""COMPUTED_VALUE"""),0.1875)</f>
        <v>0.1875</v>
      </c>
      <c r="L1190" s="19">
        <f>IFERROR(__xludf.DUMMYFUNCTION("""COMPUTED_VALUE"""),0.225)</f>
        <v>0.225</v>
      </c>
      <c r="M1190" s="18">
        <f>IFERROR(__xludf.DUMMYFUNCTION("""COMPUTED_VALUE"""),2.53)</f>
        <v>2.53</v>
      </c>
    </row>
    <row r="1191">
      <c r="A1191" s="13" t="str">
        <f>IFERROR(__xludf.DUMMYFUNCTION("""COMPUTED_VALUE"""),"товари")</f>
        <v>товари</v>
      </c>
      <c r="B1191" s="16" t="str">
        <f>IFERROR(__xludf.DUMMYFUNCTION("""COMPUTED_VALUE"""),"товари для дому")</f>
        <v>товари для дому</v>
      </c>
      <c r="C1191" s="16" t="str">
        <f>IFERROR(__xludf.DUMMYFUNCTION("""COMPUTED_VALUE"""),"освітлення для дому")</f>
        <v>освітлення для дому</v>
      </c>
      <c r="D1191" s="16" t="str">
        <f>IFERROR(__xludf.DUMMYFUNCTION("""COMPUTED_VALUE"""),"розумні світильники")</f>
        <v>розумні світильники</v>
      </c>
      <c r="E1191" s="16" t="str">
        <f>IFERROR(__xludf.DUMMYFUNCTION("""COMPUTED_VALUE"""),"розумні світильники")</f>
        <v>розумні світильники</v>
      </c>
      <c r="F1191" s="17">
        <f>IFERROR(__xludf.DUMMYFUNCTION("""COMPUTED_VALUE"""),3.0)</f>
        <v>3</v>
      </c>
      <c r="G1191" s="17" t="str">
        <f>IFERROR(__xludf.DUMMYFUNCTION("""COMPUTED_VALUE"""),"15040608")</f>
        <v>15040608</v>
      </c>
      <c r="H1191" s="17" t="str">
        <f>IFERROR(__xludf.DUMMYFUNCTION("""COMPUTED_VALUE"""),"розумні світильники")</f>
        <v>розумні світильники</v>
      </c>
      <c r="I1191" s="19">
        <f>IFERROR(__xludf.DUMMYFUNCTION("""COMPUTED_VALUE"""),0.0753)</f>
        <v>0.0753</v>
      </c>
      <c r="J1191" s="19">
        <f>IFERROR(__xludf.DUMMYFUNCTION("""COMPUTED_VALUE"""),0.1505)</f>
        <v>0.1505</v>
      </c>
      <c r="K1191" s="19">
        <f>IFERROR(__xludf.DUMMYFUNCTION("""COMPUTED_VALUE"""),0.1881)</f>
        <v>0.1881</v>
      </c>
      <c r="L1191" s="19">
        <f>IFERROR(__xludf.DUMMYFUNCTION("""COMPUTED_VALUE"""),0.2258)</f>
        <v>0.2258</v>
      </c>
      <c r="M1191" s="18">
        <f>IFERROR(__xludf.DUMMYFUNCTION("""COMPUTED_VALUE"""),3.33)</f>
        <v>3.33</v>
      </c>
    </row>
    <row r="1192">
      <c r="A1192" s="13" t="str">
        <f>IFERROR(__xludf.DUMMYFUNCTION("""COMPUTED_VALUE"""),"товари")</f>
        <v>товари</v>
      </c>
      <c r="B1192" s="16" t="str">
        <f>IFERROR(__xludf.DUMMYFUNCTION("""COMPUTED_VALUE"""),"товари для дому")</f>
        <v>товари для дому</v>
      </c>
      <c r="C1192" s="16" t="str">
        <f>IFERROR(__xludf.DUMMYFUNCTION("""COMPUTED_VALUE"""),"декор для дому")</f>
        <v>декор для дому</v>
      </c>
      <c r="D1192" s="16" t="str">
        <f>IFERROR(__xludf.DUMMYFUNCTION("""COMPUTED_VALUE"""),"кімнатні рослини")</f>
        <v>кімнатні рослини</v>
      </c>
      <c r="E1192" s="16" t="str">
        <f>IFERROR(__xludf.DUMMYFUNCTION("""COMPUTED_VALUE"""),"рослини в горщиках")</f>
        <v>рослини в горщиках</v>
      </c>
      <c r="F1192" s="17">
        <f>IFERROR(__xludf.DUMMYFUNCTION("""COMPUTED_VALUE"""),4.0)</f>
        <v>4</v>
      </c>
      <c r="G1192" s="17" t="str">
        <f>IFERROR(__xludf.DUMMYFUNCTION("""COMPUTED_VALUE"""),"12405")</f>
        <v>12405</v>
      </c>
      <c r="H1192" s="17" t="str">
        <f>IFERROR(__xludf.DUMMYFUNCTION("""COMPUTED_VALUE"""),"рослини в горщиках")</f>
        <v>рослини в горщиках</v>
      </c>
      <c r="I1192" s="19">
        <f>IFERROR(__xludf.DUMMYFUNCTION("""COMPUTED_VALUE"""),0.075)</f>
        <v>0.075</v>
      </c>
      <c r="J1192" s="19">
        <f>IFERROR(__xludf.DUMMYFUNCTION("""COMPUTED_VALUE"""),0.15)</f>
        <v>0.15</v>
      </c>
      <c r="K1192" s="19">
        <f>IFERROR(__xludf.DUMMYFUNCTION("""COMPUTED_VALUE"""),0.1875)</f>
        <v>0.1875</v>
      </c>
      <c r="L1192" s="19">
        <f>IFERROR(__xludf.DUMMYFUNCTION("""COMPUTED_VALUE"""),0.225)</f>
        <v>0.225</v>
      </c>
      <c r="M1192" s="18">
        <f>IFERROR(__xludf.DUMMYFUNCTION("""COMPUTED_VALUE"""),2.25)</f>
        <v>2.25</v>
      </c>
    </row>
    <row r="1193">
      <c r="A1193" s="13" t="str">
        <f>IFERROR(__xludf.DUMMYFUNCTION("""COMPUTED_VALUE"""),"товари")</f>
        <v>товари</v>
      </c>
      <c r="B1193" s="16" t="str">
        <f>IFERROR(__xludf.DUMMYFUNCTION("""COMPUTED_VALUE"""),"дача, сад і город")</f>
        <v>дача, сад і город</v>
      </c>
      <c r="C1193" s="16" t="str">
        <f>IFERROR(__xludf.DUMMYFUNCTION("""COMPUTED_VALUE"""),"садові рослини і ґрунти")</f>
        <v>садові рослини і ґрунти</v>
      </c>
      <c r="D1193" s="16" t="str">
        <f>IFERROR(__xludf.DUMMYFUNCTION("""COMPUTED_VALUE"""),"рослини для ставка")</f>
        <v>рослини для ставка</v>
      </c>
      <c r="E1193" s="16" t="str">
        <f>IFERROR(__xludf.DUMMYFUNCTION("""COMPUTED_VALUE"""),"рослини для ставка")</f>
        <v>рослини для ставка</v>
      </c>
      <c r="F1193" s="17">
        <f>IFERROR(__xludf.DUMMYFUNCTION("""COMPUTED_VALUE"""),3.0)</f>
        <v>3</v>
      </c>
      <c r="G1193" s="17" t="str">
        <f>IFERROR(__xludf.DUMMYFUNCTION("""COMPUTED_VALUE"""),"12409")</f>
        <v>12409</v>
      </c>
      <c r="H1193" s="17" t="str">
        <f>IFERROR(__xludf.DUMMYFUNCTION("""COMPUTED_VALUE"""),"рослини для ставка")</f>
        <v>рослини для ставка</v>
      </c>
      <c r="I1193" s="19">
        <f>IFERROR(__xludf.DUMMYFUNCTION("""COMPUTED_VALUE"""),0.0724)</f>
        <v>0.0724</v>
      </c>
      <c r="J1193" s="19">
        <f>IFERROR(__xludf.DUMMYFUNCTION("""COMPUTED_VALUE"""),0.1447)</f>
        <v>0.1447</v>
      </c>
      <c r="K1193" s="19">
        <f>IFERROR(__xludf.DUMMYFUNCTION("""COMPUTED_VALUE"""),0.1809)</f>
        <v>0.1809</v>
      </c>
      <c r="L1193" s="19">
        <f>IFERROR(__xludf.DUMMYFUNCTION("""COMPUTED_VALUE"""),0.2171)</f>
        <v>0.2171</v>
      </c>
      <c r="M1193" s="18">
        <f>IFERROR(__xludf.DUMMYFUNCTION("""COMPUTED_VALUE"""),2.53)</f>
        <v>2.53</v>
      </c>
    </row>
    <row r="1194">
      <c r="A1194" s="13" t="str">
        <f>IFERROR(__xludf.DUMMYFUNCTION("""COMPUTED_VALUE"""),"товари")</f>
        <v>товари</v>
      </c>
      <c r="B1194" s="16" t="str">
        <f>IFERROR(__xludf.DUMMYFUNCTION("""COMPUTED_VALUE"""),"товари для дому")</f>
        <v>товари для дому</v>
      </c>
      <c r="C1194" s="16" t="str">
        <f>IFERROR(__xludf.DUMMYFUNCTION("""COMPUTED_VALUE"""),"текстиль")</f>
        <v>текстиль</v>
      </c>
      <c r="D1194" s="16" t="str">
        <f>IFERROR(__xludf.DUMMYFUNCTION("""COMPUTED_VALUE"""),"оформлення вікон")</f>
        <v>оформлення вікон</v>
      </c>
      <c r="E1194" s="16" t="str">
        <f>IFERROR(__xludf.DUMMYFUNCTION("""COMPUTED_VALUE"""),"ролети")</f>
        <v>ролети</v>
      </c>
      <c r="F1194" s="17">
        <f>IFERROR(__xludf.DUMMYFUNCTION("""COMPUTED_VALUE"""),4.0)</f>
        <v>4</v>
      </c>
      <c r="G1194" s="17" t="str">
        <f>IFERROR(__xludf.DUMMYFUNCTION("""COMPUTED_VALUE"""),"153805")</f>
        <v>153805</v>
      </c>
      <c r="H1194" s="17" t="str">
        <f>IFERROR(__xludf.DUMMYFUNCTION("""COMPUTED_VALUE"""),"ролети")</f>
        <v>ролети</v>
      </c>
      <c r="I1194" s="19">
        <f>IFERROR(__xludf.DUMMYFUNCTION("""COMPUTED_VALUE"""),0.0811)</f>
        <v>0.0811</v>
      </c>
      <c r="J1194" s="19">
        <f>IFERROR(__xludf.DUMMYFUNCTION("""COMPUTED_VALUE"""),0.1622)</f>
        <v>0.1622</v>
      </c>
      <c r="K1194" s="19">
        <f>IFERROR(__xludf.DUMMYFUNCTION("""COMPUTED_VALUE"""),0.2028)</f>
        <v>0.2028</v>
      </c>
      <c r="L1194" s="19">
        <f>IFERROR(__xludf.DUMMYFUNCTION("""COMPUTED_VALUE"""),0.2433)</f>
        <v>0.2433</v>
      </c>
      <c r="M1194" s="18">
        <f>IFERROR(__xludf.DUMMYFUNCTION("""COMPUTED_VALUE"""),1.53)</f>
        <v>1.53</v>
      </c>
    </row>
    <row r="1195">
      <c r="A1195" s="13" t="str">
        <f>IFERROR(__xludf.DUMMYFUNCTION("""COMPUTED_VALUE"""),"товари")</f>
        <v>товари</v>
      </c>
      <c r="B1195" s="16" t="str">
        <f>IFERROR(__xludf.DUMMYFUNCTION("""COMPUTED_VALUE"""),"дача, сад і город")</f>
        <v>дача, сад і город</v>
      </c>
      <c r="C1195" s="16" t="str">
        <f>IFERROR(__xludf.DUMMYFUNCTION("""COMPUTED_VALUE"""),"інструменти для обробки грунту")</f>
        <v>інструменти для обробки грунту</v>
      </c>
      <c r="D1195" s="16" t="str">
        <f>IFERROR(__xludf.DUMMYFUNCTION("""COMPUTED_VALUE"""),"ручні культиватори, плуги")</f>
        <v>ручні культиватори, плуги</v>
      </c>
      <c r="E1195" s="16" t="str">
        <f>IFERROR(__xludf.DUMMYFUNCTION("""COMPUTED_VALUE"""),"ручні культиватори, плуги")</f>
        <v>ручні культиватори, плуги</v>
      </c>
      <c r="F1195" s="17">
        <f>IFERROR(__xludf.DUMMYFUNCTION("""COMPUTED_VALUE"""),3.0)</f>
        <v>3</v>
      </c>
      <c r="G1195" s="17" t="str">
        <f>IFERROR(__xludf.DUMMYFUNCTION("""COMPUTED_VALUE"""),"7081201")</f>
        <v>7081201</v>
      </c>
      <c r="H1195" s="17" t="str">
        <f>IFERROR(__xludf.DUMMYFUNCTION("""COMPUTED_VALUE"""),"ручні культиватори, плуги")</f>
        <v>ручні культиватори, плуги</v>
      </c>
      <c r="I1195" s="19">
        <f>IFERROR(__xludf.DUMMYFUNCTION("""COMPUTED_VALUE"""),0.0737)</f>
        <v>0.0737</v>
      </c>
      <c r="J1195" s="19">
        <f>IFERROR(__xludf.DUMMYFUNCTION("""COMPUTED_VALUE"""),0.1473)</f>
        <v>0.1473</v>
      </c>
      <c r="K1195" s="19">
        <f>IFERROR(__xludf.DUMMYFUNCTION("""COMPUTED_VALUE"""),0.1841)</f>
        <v>0.1841</v>
      </c>
      <c r="L1195" s="19">
        <f>IFERROR(__xludf.DUMMYFUNCTION("""COMPUTED_VALUE"""),0.221)</f>
        <v>0.221</v>
      </c>
      <c r="M1195" s="18">
        <f>IFERROR(__xludf.DUMMYFUNCTION("""COMPUTED_VALUE"""),1.71)</f>
        <v>1.71</v>
      </c>
    </row>
    <row r="1196">
      <c r="A1196" s="13" t="str">
        <f>IFERROR(__xludf.DUMMYFUNCTION("""COMPUTED_VALUE"""),"товари")</f>
        <v>товари</v>
      </c>
      <c r="B1196" s="16" t="str">
        <f>IFERROR(__xludf.DUMMYFUNCTION("""COMPUTED_VALUE"""),"дача, сад і город")</f>
        <v>дача, сад і город</v>
      </c>
      <c r="C1196" s="16" t="str">
        <f>IFERROR(__xludf.DUMMYFUNCTION("""COMPUTED_VALUE"""),"інструменти для обробки грунту")</f>
        <v>інструменти для обробки грунту</v>
      </c>
      <c r="D1196" s="16" t="str">
        <f>IFERROR(__xludf.DUMMYFUNCTION("""COMPUTED_VALUE"""),"ручні садові бури")</f>
        <v>ручні садові бури</v>
      </c>
      <c r="E1196" s="16" t="str">
        <f>IFERROR(__xludf.DUMMYFUNCTION("""COMPUTED_VALUE"""),"ручні садові бури")</f>
        <v>ручні садові бури</v>
      </c>
      <c r="F1196" s="17">
        <f>IFERROR(__xludf.DUMMYFUNCTION("""COMPUTED_VALUE"""),3.0)</f>
        <v>3</v>
      </c>
      <c r="G1196" s="17" t="str">
        <f>IFERROR(__xludf.DUMMYFUNCTION("""COMPUTED_VALUE"""),"1250337")</f>
        <v>1250337</v>
      </c>
      <c r="H1196" s="17" t="str">
        <f>IFERROR(__xludf.DUMMYFUNCTION("""COMPUTED_VALUE"""),"ручні садові бури")</f>
        <v>ручні садові бури</v>
      </c>
      <c r="I1196" s="19">
        <f>IFERROR(__xludf.DUMMYFUNCTION("""COMPUTED_VALUE"""),0.0716)</f>
        <v>0.0716</v>
      </c>
      <c r="J1196" s="19">
        <f>IFERROR(__xludf.DUMMYFUNCTION("""COMPUTED_VALUE"""),0.1431)</f>
        <v>0.1431</v>
      </c>
      <c r="K1196" s="19">
        <f>IFERROR(__xludf.DUMMYFUNCTION("""COMPUTED_VALUE"""),0.1789)</f>
        <v>0.1789</v>
      </c>
      <c r="L1196" s="19">
        <f>IFERROR(__xludf.DUMMYFUNCTION("""COMPUTED_VALUE"""),0.2147)</f>
        <v>0.2147</v>
      </c>
      <c r="M1196" s="18">
        <f>IFERROR(__xludf.DUMMYFUNCTION("""COMPUTED_VALUE"""),1.71)</f>
        <v>1.71</v>
      </c>
    </row>
    <row r="1197">
      <c r="A1197" s="13" t="str">
        <f>IFERROR(__xludf.DUMMYFUNCTION("""COMPUTED_VALUE"""),"товари")</f>
        <v>товари</v>
      </c>
      <c r="B1197" s="16" t="str">
        <f>IFERROR(__xludf.DUMMYFUNCTION("""COMPUTED_VALUE"""),"дача, сад і город")</f>
        <v>дача, сад і город</v>
      </c>
      <c r="C1197" s="16" t="str">
        <f>IFERROR(__xludf.DUMMYFUNCTION("""COMPUTED_VALUE"""),"інструменти для обробки грунту")</f>
        <v>інструменти для обробки грунту</v>
      </c>
      <c r="D1197" s="16" t="str">
        <f>IFERROR(__xludf.DUMMYFUNCTION("""COMPUTED_VALUE"""),"ручні сівалки")</f>
        <v>ручні сівалки</v>
      </c>
      <c r="E1197" s="16" t="str">
        <f>IFERROR(__xludf.DUMMYFUNCTION("""COMPUTED_VALUE"""),"ручні сівалки")</f>
        <v>ручні сівалки</v>
      </c>
      <c r="F1197" s="17">
        <f>IFERROR(__xludf.DUMMYFUNCTION("""COMPUTED_VALUE"""),3.0)</f>
        <v>3</v>
      </c>
      <c r="G1197" s="17" t="str">
        <f>IFERROR(__xludf.DUMMYFUNCTION("""COMPUTED_VALUE"""),"1250314")</f>
        <v>1250314</v>
      </c>
      <c r="H1197" s="17" t="str">
        <f>IFERROR(__xludf.DUMMYFUNCTION("""COMPUTED_VALUE"""),"ручні сівалки")</f>
        <v>ручні сівалки</v>
      </c>
      <c r="I1197" s="19">
        <f>IFERROR(__xludf.DUMMYFUNCTION("""COMPUTED_VALUE"""),0.0716)</f>
        <v>0.0716</v>
      </c>
      <c r="J1197" s="19">
        <f>IFERROR(__xludf.DUMMYFUNCTION("""COMPUTED_VALUE"""),0.1431)</f>
        <v>0.1431</v>
      </c>
      <c r="K1197" s="19">
        <f>IFERROR(__xludf.DUMMYFUNCTION("""COMPUTED_VALUE"""),0.1789)</f>
        <v>0.1789</v>
      </c>
      <c r="L1197" s="19">
        <f>IFERROR(__xludf.DUMMYFUNCTION("""COMPUTED_VALUE"""),0.2147)</f>
        <v>0.2147</v>
      </c>
      <c r="M1197" s="18">
        <f>IFERROR(__xludf.DUMMYFUNCTION("""COMPUTED_VALUE"""),1.71)</f>
        <v>1.71</v>
      </c>
    </row>
    <row r="1198">
      <c r="A1198" s="13" t="str">
        <f>IFERROR(__xludf.DUMMYFUNCTION("""COMPUTED_VALUE"""),"товари")</f>
        <v>товари</v>
      </c>
      <c r="B1198" s="16" t="str">
        <f>IFERROR(__xludf.DUMMYFUNCTION("""COMPUTED_VALUE"""),"товари для дому")</f>
        <v>товари для дому</v>
      </c>
      <c r="C1198" s="16" t="str">
        <f>IFERROR(__xludf.DUMMYFUNCTION("""COMPUTED_VALUE"""),"посуд")</f>
        <v>посуд</v>
      </c>
      <c r="D1198" s="16" t="str">
        <f>IFERROR(__xludf.DUMMYFUNCTION("""COMPUTED_VALUE"""),"кухонне приладдя")</f>
        <v>кухонне приладдя</v>
      </c>
      <c r="E1198" s="16" t="str">
        <f>IFERROR(__xludf.DUMMYFUNCTION("""COMPUTED_VALUE"""),"ручні соковитискачі ")</f>
        <v>ручні соковитискачі </v>
      </c>
      <c r="F1198" s="17">
        <f>IFERROR(__xludf.DUMMYFUNCTION("""COMPUTED_VALUE"""),4.0)</f>
        <v>4</v>
      </c>
      <c r="G1198" s="17" t="str">
        <f>IFERROR(__xludf.DUMMYFUNCTION("""COMPUTED_VALUE"""),"15230443")</f>
        <v>15230443</v>
      </c>
      <c r="H1198" s="17" t="str">
        <f>IFERROR(__xludf.DUMMYFUNCTION("""COMPUTED_VALUE"""),"ручні соковитискачі ")</f>
        <v>ручні соковитискачі </v>
      </c>
      <c r="I1198" s="19">
        <f>IFERROR(__xludf.DUMMYFUNCTION("""COMPUTED_VALUE"""),0.0757)</f>
        <v>0.0757</v>
      </c>
      <c r="J1198" s="19">
        <f>IFERROR(__xludf.DUMMYFUNCTION("""COMPUTED_VALUE"""),0.1514)</f>
        <v>0.1514</v>
      </c>
      <c r="K1198" s="19">
        <f>IFERROR(__xludf.DUMMYFUNCTION("""COMPUTED_VALUE"""),0.1893)</f>
        <v>0.1893</v>
      </c>
      <c r="L1198" s="19">
        <f>IFERROR(__xludf.DUMMYFUNCTION("""COMPUTED_VALUE"""),0.2271)</f>
        <v>0.2271</v>
      </c>
      <c r="M1198" s="18">
        <f>IFERROR(__xludf.DUMMYFUNCTION("""COMPUTED_VALUE"""),2.08)</f>
        <v>2.08</v>
      </c>
    </row>
    <row r="1199">
      <c r="A1199" s="13" t="str">
        <f>IFERROR(__xludf.DUMMYFUNCTION("""COMPUTED_VALUE"""),"товари")</f>
        <v>товари</v>
      </c>
      <c r="B1199" s="16" t="str">
        <f>IFERROR(__xludf.DUMMYFUNCTION("""COMPUTED_VALUE"""),"товари для дому")</f>
        <v>товари для дому</v>
      </c>
      <c r="C1199" s="16" t="str">
        <f>IFERROR(__xludf.DUMMYFUNCTION("""COMPUTED_VALUE"""),"текстиль")</f>
        <v>текстиль</v>
      </c>
      <c r="D1199" s="16" t="str">
        <f>IFERROR(__xludf.DUMMYFUNCTION("""COMPUTED_VALUE"""),"рушники")</f>
        <v>рушники</v>
      </c>
      <c r="E1199" s="16" t="str">
        <f>IFERROR(__xludf.DUMMYFUNCTION("""COMPUTED_VALUE"""),"рушники, загальне")</f>
        <v>рушники, загальне</v>
      </c>
      <c r="F1199" s="17">
        <f>IFERROR(__xludf.DUMMYFUNCTION("""COMPUTED_VALUE"""),4.0)</f>
        <v>4</v>
      </c>
      <c r="G1199" s="17" t="str">
        <f>IFERROR(__xludf.DUMMYFUNCTION("""COMPUTED_VALUE"""),"40310")</f>
        <v>40310</v>
      </c>
      <c r="H1199" s="17" t="str">
        <f>IFERROR(__xludf.DUMMYFUNCTION("""COMPUTED_VALUE"""),"рушники, загальне")</f>
        <v>рушники, загальне</v>
      </c>
      <c r="I1199" s="19">
        <f>IFERROR(__xludf.DUMMYFUNCTION("""COMPUTED_VALUE"""),0.125)</f>
        <v>0.125</v>
      </c>
      <c r="J1199" s="19">
        <f>IFERROR(__xludf.DUMMYFUNCTION("""COMPUTED_VALUE"""),0.25)</f>
        <v>0.25</v>
      </c>
      <c r="K1199" s="19">
        <f>IFERROR(__xludf.DUMMYFUNCTION("""COMPUTED_VALUE"""),0.3125)</f>
        <v>0.3125</v>
      </c>
      <c r="L1199" s="19">
        <f>IFERROR(__xludf.DUMMYFUNCTION("""COMPUTED_VALUE"""),0.375)</f>
        <v>0.375</v>
      </c>
      <c r="M1199" s="18">
        <f>IFERROR(__xludf.DUMMYFUNCTION("""COMPUTED_VALUE"""),4.33)</f>
        <v>4.33</v>
      </c>
    </row>
    <row r="1200">
      <c r="A1200" s="13" t="str">
        <f>IFERROR(__xludf.DUMMYFUNCTION("""COMPUTED_VALUE"""),"товари")</f>
        <v>товари</v>
      </c>
      <c r="B1200" s="16" t="str">
        <f>IFERROR(__xludf.DUMMYFUNCTION("""COMPUTED_VALUE"""),"дача, сад і город")</f>
        <v>дача, сад і город</v>
      </c>
      <c r="C1200" s="16" t="str">
        <f>IFERROR(__xludf.DUMMYFUNCTION("""COMPUTED_VALUE"""),"сад, загальне")</f>
        <v>сад, загальне</v>
      </c>
      <c r="D1200" s="16" t="str">
        <f>IFERROR(__xludf.DUMMYFUNCTION("""COMPUTED_VALUE"""),"сад, загальне")</f>
        <v>сад, загальне</v>
      </c>
      <c r="E1200" s="16" t="str">
        <f>IFERROR(__xludf.DUMMYFUNCTION("""COMPUTED_VALUE"""),"сад, загальне")</f>
        <v>сад, загальне</v>
      </c>
      <c r="F1200" s="17">
        <f>IFERROR(__xludf.DUMMYFUNCTION("""COMPUTED_VALUE"""),2.0)</f>
        <v>2</v>
      </c>
      <c r="G1200" s="17" t="str">
        <f>IFERROR(__xludf.DUMMYFUNCTION("""COMPUTED_VALUE"""),"12599")</f>
        <v>12599</v>
      </c>
      <c r="H1200" s="17" t="str">
        <f>IFERROR(__xludf.DUMMYFUNCTION("""COMPUTED_VALUE"""),"сад, загальне")</f>
        <v>сад, загальне</v>
      </c>
      <c r="I1200" s="19">
        <f>IFERROR(__xludf.DUMMYFUNCTION("""COMPUTED_VALUE"""),0.125)</f>
        <v>0.125</v>
      </c>
      <c r="J1200" s="19">
        <f>IFERROR(__xludf.DUMMYFUNCTION("""COMPUTED_VALUE"""),0.25)</f>
        <v>0.25</v>
      </c>
      <c r="K1200" s="19">
        <f>IFERROR(__xludf.DUMMYFUNCTION("""COMPUTED_VALUE"""),0.3125)</f>
        <v>0.3125</v>
      </c>
      <c r="L1200" s="19">
        <f>IFERROR(__xludf.DUMMYFUNCTION("""COMPUTED_VALUE"""),0.375)</f>
        <v>0.375</v>
      </c>
      <c r="M1200" s="18">
        <f>IFERROR(__xludf.DUMMYFUNCTION("""COMPUTED_VALUE"""),4.33)</f>
        <v>4.33</v>
      </c>
    </row>
    <row r="1201">
      <c r="A1201" s="13" t="str">
        <f>IFERROR(__xludf.DUMMYFUNCTION("""COMPUTED_VALUE"""),"товари")</f>
        <v>товари</v>
      </c>
      <c r="B1201" s="16" t="str">
        <f>IFERROR(__xludf.DUMMYFUNCTION("""COMPUTED_VALUE"""),"дача, сад і город")</f>
        <v>дача, сад і город</v>
      </c>
      <c r="C1201" s="16" t="str">
        <f>IFERROR(__xludf.DUMMYFUNCTION("""COMPUTED_VALUE"""),"садові рослини і ґрунти")</f>
        <v>садові рослини і ґрунти</v>
      </c>
      <c r="D1201" s="16" t="str">
        <f>IFERROR(__xludf.DUMMYFUNCTION("""COMPUTED_VALUE"""),"саджанці дерев і чагарників")</f>
        <v>саджанці дерев і чагарників</v>
      </c>
      <c r="E1201" s="16" t="str">
        <f>IFERROR(__xludf.DUMMYFUNCTION("""COMPUTED_VALUE"""),"саджанці дерев і чагарників")</f>
        <v>саджанці дерев і чагарників</v>
      </c>
      <c r="F1201" s="17">
        <f>IFERROR(__xludf.DUMMYFUNCTION("""COMPUTED_VALUE"""),3.0)</f>
        <v>3</v>
      </c>
      <c r="G1201" s="17" t="str">
        <f>IFERROR(__xludf.DUMMYFUNCTION("""COMPUTED_VALUE"""),"1140105")</f>
        <v>1140105</v>
      </c>
      <c r="H1201" s="17" t="str">
        <f>IFERROR(__xludf.DUMMYFUNCTION("""COMPUTED_VALUE"""),"саджанці дерев і чагарників")</f>
        <v>саджанці дерев і чагарників</v>
      </c>
      <c r="I1201" s="19">
        <f>IFERROR(__xludf.DUMMYFUNCTION("""COMPUTED_VALUE"""),0.075)</f>
        <v>0.075</v>
      </c>
      <c r="J1201" s="19">
        <f>IFERROR(__xludf.DUMMYFUNCTION("""COMPUTED_VALUE"""),0.15)</f>
        <v>0.15</v>
      </c>
      <c r="K1201" s="19">
        <f>IFERROR(__xludf.DUMMYFUNCTION("""COMPUTED_VALUE"""),0.1875)</f>
        <v>0.1875</v>
      </c>
      <c r="L1201" s="19">
        <f>IFERROR(__xludf.DUMMYFUNCTION("""COMPUTED_VALUE"""),0.225)</f>
        <v>0.225</v>
      </c>
      <c r="M1201" s="18">
        <f>IFERROR(__xludf.DUMMYFUNCTION("""COMPUTED_VALUE"""),2.53)</f>
        <v>2.53</v>
      </c>
    </row>
    <row r="1202">
      <c r="A1202" s="13" t="str">
        <f>IFERROR(__xludf.DUMMYFUNCTION("""COMPUTED_VALUE"""),"товари")</f>
        <v>товари</v>
      </c>
      <c r="B1202" s="16" t="str">
        <f>IFERROR(__xludf.DUMMYFUNCTION("""COMPUTED_VALUE"""),"дача, сад і город")</f>
        <v>дача, сад і город</v>
      </c>
      <c r="C1202" s="16" t="str">
        <f>IFERROR(__xludf.DUMMYFUNCTION("""COMPUTED_VALUE"""),"садовий декор")</f>
        <v>садовий декор</v>
      </c>
      <c r="D1202" s="16" t="str">
        <f>IFERROR(__xludf.DUMMYFUNCTION("""COMPUTED_VALUE"""),"садовий декор, загальне")</f>
        <v>садовий декор, загальне</v>
      </c>
      <c r="E1202" s="16" t="str">
        <f>IFERROR(__xludf.DUMMYFUNCTION("""COMPUTED_VALUE"""),"садовий декор, загальне")</f>
        <v>садовий декор, загальне</v>
      </c>
      <c r="F1202" s="17">
        <f>IFERROR(__xludf.DUMMYFUNCTION("""COMPUTED_VALUE"""),3.0)</f>
        <v>3</v>
      </c>
      <c r="G1202" s="17" t="str">
        <f>IFERROR(__xludf.DUMMYFUNCTION("""COMPUTED_VALUE"""),"1252401")</f>
        <v>1252401</v>
      </c>
      <c r="H1202" s="17" t="str">
        <f>IFERROR(__xludf.DUMMYFUNCTION("""COMPUTED_VALUE"""),"садовий декор, загальне")</f>
        <v>садовий декор, загальне</v>
      </c>
      <c r="I1202" s="19">
        <f>IFERROR(__xludf.DUMMYFUNCTION("""COMPUTED_VALUE"""),0.125)</f>
        <v>0.125</v>
      </c>
      <c r="J1202" s="19">
        <f>IFERROR(__xludf.DUMMYFUNCTION("""COMPUTED_VALUE"""),0.25)</f>
        <v>0.25</v>
      </c>
      <c r="K1202" s="19">
        <f>IFERROR(__xludf.DUMMYFUNCTION("""COMPUTED_VALUE"""),0.3125)</f>
        <v>0.3125</v>
      </c>
      <c r="L1202" s="19">
        <f>IFERROR(__xludf.DUMMYFUNCTION("""COMPUTED_VALUE"""),0.375)</f>
        <v>0.375</v>
      </c>
      <c r="M1202" s="18">
        <f>IFERROR(__xludf.DUMMYFUNCTION("""COMPUTED_VALUE"""),4.33)</f>
        <v>4.33</v>
      </c>
    </row>
    <row r="1203">
      <c r="A1203" s="13" t="str">
        <f>IFERROR(__xludf.DUMMYFUNCTION("""COMPUTED_VALUE"""),"товари")</f>
        <v>товари</v>
      </c>
      <c r="B1203" s="16" t="str">
        <f>IFERROR(__xludf.DUMMYFUNCTION("""COMPUTED_VALUE"""),"дача, сад і город")</f>
        <v>дача, сад і город</v>
      </c>
      <c r="C1203" s="16" t="str">
        <f>IFERROR(__xludf.DUMMYFUNCTION("""COMPUTED_VALUE"""),"садовий інвентар і освітлення")</f>
        <v>садовий інвентар і освітлення</v>
      </c>
      <c r="D1203" s="16" t="str">
        <f>IFERROR(__xludf.DUMMYFUNCTION("""COMPUTED_VALUE"""),"садовий інвентар і освітлення, загальне")</f>
        <v>садовий інвентар і освітлення, загальне</v>
      </c>
      <c r="E1203" s="16" t="str">
        <f>IFERROR(__xludf.DUMMYFUNCTION("""COMPUTED_VALUE"""),"садовий інвентар і освітлення, загальне")</f>
        <v>садовий інвентар і освітлення, загальне</v>
      </c>
      <c r="F1203" s="17">
        <f>IFERROR(__xludf.DUMMYFUNCTION("""COMPUTED_VALUE"""),3.0)</f>
        <v>3</v>
      </c>
      <c r="G1203" s="17" t="str">
        <f>IFERROR(__xludf.DUMMYFUNCTION("""COMPUTED_VALUE"""),"1250399")</f>
        <v>1250399</v>
      </c>
      <c r="H1203" s="17" t="str">
        <f>IFERROR(__xludf.DUMMYFUNCTION("""COMPUTED_VALUE"""),"садовий інвентар і освітлення, загальне")</f>
        <v>садовий інвентар і освітлення, загальне</v>
      </c>
      <c r="I1203" s="19">
        <f>IFERROR(__xludf.DUMMYFUNCTION("""COMPUTED_VALUE"""),0.125)</f>
        <v>0.125</v>
      </c>
      <c r="J1203" s="19">
        <f>IFERROR(__xludf.DUMMYFUNCTION("""COMPUTED_VALUE"""),0.25)</f>
        <v>0.25</v>
      </c>
      <c r="K1203" s="19">
        <f>IFERROR(__xludf.DUMMYFUNCTION("""COMPUTED_VALUE"""),0.3125)</f>
        <v>0.3125</v>
      </c>
      <c r="L1203" s="19">
        <f>IFERROR(__xludf.DUMMYFUNCTION("""COMPUTED_VALUE"""),0.375)</f>
        <v>0.375</v>
      </c>
      <c r="M1203" s="18">
        <f>IFERROR(__xludf.DUMMYFUNCTION("""COMPUTED_VALUE"""),4.33)</f>
        <v>4.33</v>
      </c>
    </row>
    <row r="1204">
      <c r="A1204" s="13" t="str">
        <f>IFERROR(__xludf.DUMMYFUNCTION("""COMPUTED_VALUE"""),"товари")</f>
        <v>товари</v>
      </c>
      <c r="B1204" s="16" t="str">
        <f>IFERROR(__xludf.DUMMYFUNCTION("""COMPUTED_VALUE"""),"дача, сад і город")</f>
        <v>дача, сад і город</v>
      </c>
      <c r="C1204" s="16" t="str">
        <f>IFERROR(__xludf.DUMMYFUNCTION("""COMPUTED_VALUE"""),"садовий декор")</f>
        <v>садовий декор</v>
      </c>
      <c r="D1204" s="16" t="str">
        <f>IFERROR(__xludf.DUMMYFUNCTION("""COMPUTED_VALUE"""),"садові арки, шпалери і декоративні паркани ")</f>
        <v>садові арки, шпалери і декоративні паркани </v>
      </c>
      <c r="E1204" s="16" t="str">
        <f>IFERROR(__xludf.DUMMYFUNCTION("""COMPUTED_VALUE"""),"садові арки, шпалери і декоративні паркани ")</f>
        <v>садові арки, шпалери і декоративні паркани </v>
      </c>
      <c r="F1204" s="17">
        <f>IFERROR(__xludf.DUMMYFUNCTION("""COMPUTED_VALUE"""),3.0)</f>
        <v>3</v>
      </c>
      <c r="G1204" s="17" t="str">
        <f>IFERROR(__xludf.DUMMYFUNCTION("""COMPUTED_VALUE"""),"1252403")</f>
        <v>1252403</v>
      </c>
      <c r="H1204" s="17" t="str">
        <f>IFERROR(__xludf.DUMMYFUNCTION("""COMPUTED_VALUE"""),"садові арки, шпалери і декоративні паркани ")</f>
        <v>садові арки, шпалери і декоративні паркани </v>
      </c>
      <c r="I1204" s="19">
        <f>IFERROR(__xludf.DUMMYFUNCTION("""COMPUTED_VALUE"""),0.0783)</f>
        <v>0.0783</v>
      </c>
      <c r="J1204" s="19">
        <f>IFERROR(__xludf.DUMMYFUNCTION("""COMPUTED_VALUE"""),0.1566)</f>
        <v>0.1566</v>
      </c>
      <c r="K1204" s="19">
        <f>IFERROR(__xludf.DUMMYFUNCTION("""COMPUTED_VALUE"""),0.1958)</f>
        <v>0.1958</v>
      </c>
      <c r="L1204" s="19">
        <f>IFERROR(__xludf.DUMMYFUNCTION("""COMPUTED_VALUE"""),0.2349)</f>
        <v>0.2349</v>
      </c>
      <c r="M1204" s="18">
        <f>IFERROR(__xludf.DUMMYFUNCTION("""COMPUTED_VALUE"""),1.53)</f>
        <v>1.53</v>
      </c>
    </row>
    <row r="1205">
      <c r="A1205" s="13" t="str">
        <f>IFERROR(__xludf.DUMMYFUNCTION("""COMPUTED_VALUE"""),"товари")</f>
        <v>товари</v>
      </c>
      <c r="B1205" s="16" t="str">
        <f>IFERROR(__xludf.DUMMYFUNCTION("""COMPUTED_VALUE"""),"дача, сад і город")</f>
        <v>дача, сад і город</v>
      </c>
      <c r="C1205" s="16" t="str">
        <f>IFERROR(__xludf.DUMMYFUNCTION("""COMPUTED_VALUE"""),"садовий декор")</f>
        <v>садовий декор</v>
      </c>
      <c r="D1205" s="16" t="str">
        <f>IFERROR(__xludf.DUMMYFUNCTION("""COMPUTED_VALUE"""),"садові годівниці, шпаківні")</f>
        <v>садові годівниці, шпаківні</v>
      </c>
      <c r="E1205" s="16" t="str">
        <f>IFERROR(__xludf.DUMMYFUNCTION("""COMPUTED_VALUE"""),"садові годівниці, шпаківні")</f>
        <v>садові годівниці, шпаківні</v>
      </c>
      <c r="F1205" s="17">
        <f>IFERROR(__xludf.DUMMYFUNCTION("""COMPUTED_VALUE"""),3.0)</f>
        <v>3</v>
      </c>
      <c r="G1205" s="17" t="str">
        <f>IFERROR(__xludf.DUMMYFUNCTION("""COMPUTED_VALUE"""),"1250402")</f>
        <v>1250402</v>
      </c>
      <c r="H1205" s="17" t="str">
        <f>IFERROR(__xludf.DUMMYFUNCTION("""COMPUTED_VALUE"""),"садові годівниці, шпаківні")</f>
        <v>садові годівниці, шпаківні</v>
      </c>
      <c r="I1205" s="19">
        <f>IFERROR(__xludf.DUMMYFUNCTION("""COMPUTED_VALUE"""),0.0744)</f>
        <v>0.0744</v>
      </c>
      <c r="J1205" s="19">
        <f>IFERROR(__xludf.DUMMYFUNCTION("""COMPUTED_VALUE"""),0.1488)</f>
        <v>0.1488</v>
      </c>
      <c r="K1205" s="19">
        <f>IFERROR(__xludf.DUMMYFUNCTION("""COMPUTED_VALUE"""),0.186)</f>
        <v>0.186</v>
      </c>
      <c r="L1205" s="19">
        <f>IFERROR(__xludf.DUMMYFUNCTION("""COMPUTED_VALUE"""),0.2232)</f>
        <v>0.2232</v>
      </c>
      <c r="M1205" s="18">
        <f>IFERROR(__xludf.DUMMYFUNCTION("""COMPUTED_VALUE"""),1.53)</f>
        <v>1.53</v>
      </c>
    </row>
    <row r="1206">
      <c r="A1206" s="13" t="str">
        <f>IFERROR(__xludf.DUMMYFUNCTION("""COMPUTED_VALUE"""),"товари")</f>
        <v>товари</v>
      </c>
      <c r="B1206" s="16" t="str">
        <f>IFERROR(__xludf.DUMMYFUNCTION("""COMPUTED_VALUE"""),"товари для дому")</f>
        <v>товари для дому</v>
      </c>
      <c r="C1206" s="16" t="str">
        <f>IFERROR(__xludf.DUMMYFUNCTION("""COMPUTED_VALUE"""),"меблі")</f>
        <v>меблі</v>
      </c>
      <c r="D1206" s="16" t="str">
        <f>IFERROR(__xludf.DUMMYFUNCTION("""COMPUTED_VALUE"""),"садові й пляжні меблі")</f>
        <v>садові й пляжні меблі</v>
      </c>
      <c r="E1206" s="16" t="str">
        <f>IFERROR(__xludf.DUMMYFUNCTION("""COMPUTED_VALUE"""),"садові гойдалки")</f>
        <v>садові гойдалки</v>
      </c>
      <c r="F1206" s="17">
        <f>IFERROR(__xludf.DUMMYFUNCTION("""COMPUTED_VALUE"""),4.0)</f>
        <v>4</v>
      </c>
      <c r="G1206" s="17" t="str">
        <f>IFERROR(__xludf.DUMMYFUNCTION("""COMPUTED_VALUE"""),"37042007")</f>
        <v>37042007</v>
      </c>
      <c r="H1206" s="17" t="str">
        <f>IFERROR(__xludf.DUMMYFUNCTION("""COMPUTED_VALUE"""),"садові гойдалки")</f>
        <v>садові гойдалки</v>
      </c>
      <c r="I1206" s="19">
        <f>IFERROR(__xludf.DUMMYFUNCTION("""COMPUTED_VALUE"""),0.0475)</f>
        <v>0.0475</v>
      </c>
      <c r="J1206" s="19">
        <f>IFERROR(__xludf.DUMMYFUNCTION("""COMPUTED_VALUE"""),0.095)</f>
        <v>0.095</v>
      </c>
      <c r="K1206" s="19">
        <f>IFERROR(__xludf.DUMMYFUNCTION("""COMPUTED_VALUE"""),0.1188)</f>
        <v>0.1188</v>
      </c>
      <c r="L1206" s="19">
        <f>IFERROR(__xludf.DUMMYFUNCTION("""COMPUTED_VALUE"""),0.1425)</f>
        <v>0.1425</v>
      </c>
      <c r="M1206" s="18">
        <f>IFERROR(__xludf.DUMMYFUNCTION("""COMPUTED_VALUE"""),3.6)</f>
        <v>3.6</v>
      </c>
    </row>
    <row r="1207">
      <c r="A1207" s="13" t="str">
        <f>IFERROR(__xludf.DUMMYFUNCTION("""COMPUTED_VALUE"""),"товари")</f>
        <v>товари</v>
      </c>
      <c r="B1207" s="16" t="str">
        <f>IFERROR(__xludf.DUMMYFUNCTION("""COMPUTED_VALUE"""),"дача, сад і город")</f>
        <v>дача, сад і город</v>
      </c>
      <c r="C1207" s="16" t="str">
        <f>IFERROR(__xludf.DUMMYFUNCTION("""COMPUTED_VALUE"""),"садовий декор")</f>
        <v>садовий декор</v>
      </c>
      <c r="D1207" s="16" t="str">
        <f>IFERROR(__xludf.DUMMYFUNCTION("""COMPUTED_VALUE"""),"садові доріжки")</f>
        <v>садові доріжки</v>
      </c>
      <c r="E1207" s="16" t="str">
        <f>IFERROR(__xludf.DUMMYFUNCTION("""COMPUTED_VALUE"""),"садові доріжки")</f>
        <v>садові доріжки</v>
      </c>
      <c r="F1207" s="17">
        <f>IFERROR(__xludf.DUMMYFUNCTION("""COMPUTED_VALUE"""),3.0)</f>
        <v>3</v>
      </c>
      <c r="G1207" s="17" t="str">
        <f>IFERROR(__xludf.DUMMYFUNCTION("""COMPUTED_VALUE"""),"1250350")</f>
        <v>1250350</v>
      </c>
      <c r="H1207" s="17" t="str">
        <f>IFERROR(__xludf.DUMMYFUNCTION("""COMPUTED_VALUE"""),"садові доріжки")</f>
        <v>садові доріжки</v>
      </c>
      <c r="I1207" s="19">
        <f>IFERROR(__xludf.DUMMYFUNCTION("""COMPUTED_VALUE"""),0.079)</f>
        <v>0.079</v>
      </c>
      <c r="J1207" s="19">
        <f>IFERROR(__xludf.DUMMYFUNCTION("""COMPUTED_VALUE"""),0.1579)</f>
        <v>0.1579</v>
      </c>
      <c r="K1207" s="19">
        <f>IFERROR(__xludf.DUMMYFUNCTION("""COMPUTED_VALUE"""),0.1974)</f>
        <v>0.1974</v>
      </c>
      <c r="L1207" s="19">
        <f>IFERROR(__xludf.DUMMYFUNCTION("""COMPUTED_VALUE"""),0.2369)</f>
        <v>0.2369</v>
      </c>
      <c r="M1207" s="18">
        <f>IFERROR(__xludf.DUMMYFUNCTION("""COMPUTED_VALUE"""),1.53)</f>
        <v>1.53</v>
      </c>
    </row>
    <row r="1208">
      <c r="A1208" s="13" t="str">
        <f>IFERROR(__xludf.DUMMYFUNCTION("""COMPUTED_VALUE"""),"товари")</f>
        <v>товари</v>
      </c>
      <c r="B1208" s="16" t="str">
        <f>IFERROR(__xludf.DUMMYFUNCTION("""COMPUTED_VALUE"""),"товари для дому")</f>
        <v>товари для дому</v>
      </c>
      <c r="C1208" s="16" t="str">
        <f>IFERROR(__xludf.DUMMYFUNCTION("""COMPUTED_VALUE"""),"меблі")</f>
        <v>меблі</v>
      </c>
      <c r="D1208" s="16" t="str">
        <f>IFERROR(__xludf.DUMMYFUNCTION("""COMPUTED_VALUE"""),"садові й пляжні меблі")</f>
        <v>садові й пляжні меблі</v>
      </c>
      <c r="E1208" s="16" t="str">
        <f>IFERROR(__xludf.DUMMYFUNCTION("""COMPUTED_VALUE"""),"садові й пляжні меблі, загальне")</f>
        <v>садові й пляжні меблі, загальне</v>
      </c>
      <c r="F1208" s="17">
        <f>IFERROR(__xludf.DUMMYFUNCTION("""COMPUTED_VALUE"""),4.0)</f>
        <v>4</v>
      </c>
      <c r="G1208" s="17" t="str">
        <f>IFERROR(__xludf.DUMMYFUNCTION("""COMPUTED_VALUE"""),"370499")</f>
        <v>370499</v>
      </c>
      <c r="H1208" s="17" t="str">
        <f>IFERROR(__xludf.DUMMYFUNCTION("""COMPUTED_VALUE"""),"садові й пляжні меблі, загальне")</f>
        <v>садові й пляжні меблі, загальне</v>
      </c>
      <c r="I1208" s="19">
        <f>IFERROR(__xludf.DUMMYFUNCTION("""COMPUTED_VALUE"""),0.125)</f>
        <v>0.125</v>
      </c>
      <c r="J1208" s="19">
        <f>IFERROR(__xludf.DUMMYFUNCTION("""COMPUTED_VALUE"""),0.25)</f>
        <v>0.25</v>
      </c>
      <c r="K1208" s="19">
        <f>IFERROR(__xludf.DUMMYFUNCTION("""COMPUTED_VALUE"""),0.3125)</f>
        <v>0.3125</v>
      </c>
      <c r="L1208" s="19">
        <f>IFERROR(__xludf.DUMMYFUNCTION("""COMPUTED_VALUE"""),0.375)</f>
        <v>0.375</v>
      </c>
      <c r="M1208" s="18">
        <f>IFERROR(__xludf.DUMMYFUNCTION("""COMPUTED_VALUE"""),4.33)</f>
        <v>4.33</v>
      </c>
    </row>
    <row r="1209">
      <c r="A1209" s="13" t="str">
        <f>IFERROR(__xludf.DUMMYFUNCTION("""COMPUTED_VALUE"""),"товари")</f>
        <v>товари</v>
      </c>
      <c r="B1209" s="16" t="str">
        <f>IFERROR(__xludf.DUMMYFUNCTION("""COMPUTED_VALUE"""),"дача, сад і город")</f>
        <v>дача, сад і город</v>
      </c>
      <c r="C1209" s="16" t="str">
        <f>IFERROR(__xludf.DUMMYFUNCTION("""COMPUTED_VALUE"""),"інструменти для обробки грунту")</f>
        <v>інструменти для обробки грунту</v>
      </c>
      <c r="D1209" s="16" t="str">
        <f>IFERROR(__xludf.DUMMYFUNCTION("""COMPUTED_VALUE"""),"садові катки")</f>
        <v>садові катки</v>
      </c>
      <c r="E1209" s="16" t="str">
        <f>IFERROR(__xludf.DUMMYFUNCTION("""COMPUTED_VALUE"""),"садові катки")</f>
        <v>садові катки</v>
      </c>
      <c r="F1209" s="17">
        <f>IFERROR(__xludf.DUMMYFUNCTION("""COMPUTED_VALUE"""),3.0)</f>
        <v>3</v>
      </c>
      <c r="G1209" s="17" t="str">
        <f>IFERROR(__xludf.DUMMYFUNCTION("""COMPUTED_VALUE"""),"1250352")</f>
        <v>1250352</v>
      </c>
      <c r="H1209" s="17" t="str">
        <f>IFERROR(__xludf.DUMMYFUNCTION("""COMPUTED_VALUE"""),"садові катки")</f>
        <v>садові катки</v>
      </c>
      <c r="I1209" s="19">
        <f>IFERROR(__xludf.DUMMYFUNCTION("""COMPUTED_VALUE"""),0.0716)</f>
        <v>0.0716</v>
      </c>
      <c r="J1209" s="19">
        <f>IFERROR(__xludf.DUMMYFUNCTION("""COMPUTED_VALUE"""),0.1431)</f>
        <v>0.1431</v>
      </c>
      <c r="K1209" s="19">
        <f>IFERROR(__xludf.DUMMYFUNCTION("""COMPUTED_VALUE"""),0.1789)</f>
        <v>0.1789</v>
      </c>
      <c r="L1209" s="19">
        <f>IFERROR(__xludf.DUMMYFUNCTION("""COMPUTED_VALUE"""),0.2147)</f>
        <v>0.2147</v>
      </c>
      <c r="M1209" s="18">
        <f>IFERROR(__xludf.DUMMYFUNCTION("""COMPUTED_VALUE"""),1.71)</f>
        <v>1.71</v>
      </c>
    </row>
    <row r="1210">
      <c r="A1210" s="13" t="str">
        <f>IFERROR(__xludf.DUMMYFUNCTION("""COMPUTED_VALUE"""),"товари")</f>
        <v>товари</v>
      </c>
      <c r="B1210" s="16" t="str">
        <f>IFERROR(__xludf.DUMMYFUNCTION("""COMPUTED_VALUE"""),"дача, сад і город")</f>
        <v>дача, сад і город</v>
      </c>
      <c r="C1210" s="16" t="str">
        <f>IFERROR(__xludf.DUMMYFUNCTION("""COMPUTED_VALUE"""),"садовий інвентар і освітлення")</f>
        <v>садовий інвентар і освітлення</v>
      </c>
      <c r="D1210" s="16" t="str">
        <f>IFERROR(__xludf.DUMMYFUNCTION("""COMPUTED_VALUE"""),"садові компостери")</f>
        <v>садові компостери</v>
      </c>
      <c r="E1210" s="16" t="str">
        <f>IFERROR(__xludf.DUMMYFUNCTION("""COMPUTED_VALUE"""),"садові компостери")</f>
        <v>садові компостери</v>
      </c>
      <c r="F1210" s="17">
        <f>IFERROR(__xludf.DUMMYFUNCTION("""COMPUTED_VALUE"""),3.0)</f>
        <v>3</v>
      </c>
      <c r="G1210" s="17" t="str">
        <f>IFERROR(__xludf.DUMMYFUNCTION("""COMPUTED_VALUE"""),"12521")</f>
        <v>12521</v>
      </c>
      <c r="H1210" s="17" t="str">
        <f>IFERROR(__xludf.DUMMYFUNCTION("""COMPUTED_VALUE"""),"садові компостери")</f>
        <v>садові компостери</v>
      </c>
      <c r="I1210" s="19">
        <f>IFERROR(__xludf.DUMMYFUNCTION("""COMPUTED_VALUE"""),0.0767)</f>
        <v>0.0767</v>
      </c>
      <c r="J1210" s="19">
        <f>IFERROR(__xludf.DUMMYFUNCTION("""COMPUTED_VALUE"""),0.1534)</f>
        <v>0.1534</v>
      </c>
      <c r="K1210" s="19">
        <f>IFERROR(__xludf.DUMMYFUNCTION("""COMPUTED_VALUE"""),0.1918)</f>
        <v>0.1918</v>
      </c>
      <c r="L1210" s="19">
        <f>IFERROR(__xludf.DUMMYFUNCTION("""COMPUTED_VALUE"""),0.2301)</f>
        <v>0.2301</v>
      </c>
      <c r="M1210" s="18">
        <f>IFERROR(__xludf.DUMMYFUNCTION("""COMPUTED_VALUE"""),3.06)</f>
        <v>3.06</v>
      </c>
    </row>
    <row r="1211">
      <c r="A1211" s="13" t="str">
        <f>IFERROR(__xludf.DUMMYFUNCTION("""COMPUTED_VALUE"""),"товари")</f>
        <v>товари</v>
      </c>
      <c r="B1211" s="16" t="str">
        <f>IFERROR(__xludf.DUMMYFUNCTION("""COMPUTED_VALUE"""),"дача, сад і город")</f>
        <v>дача, сад і город</v>
      </c>
      <c r="C1211" s="16" t="str">
        <f>IFERROR(__xludf.DUMMYFUNCTION("""COMPUTED_VALUE"""),"інструменти для обрізки")</f>
        <v>інструменти для обрізки</v>
      </c>
      <c r="D1211" s="16" t="str">
        <f>IFERROR(__xludf.DUMMYFUNCTION("""COMPUTED_VALUE"""),"садові ножиці, секатори, ножі")</f>
        <v>садові ножиці, секатори, ножі</v>
      </c>
      <c r="E1211" s="16" t="str">
        <f>IFERROR(__xludf.DUMMYFUNCTION("""COMPUTED_VALUE"""),"садові ножиці, секатори, ножі")</f>
        <v>садові ножиці, секатори, ножі</v>
      </c>
      <c r="F1211" s="17">
        <f>IFERROR(__xludf.DUMMYFUNCTION("""COMPUTED_VALUE"""),3.0)</f>
        <v>3</v>
      </c>
      <c r="G1211" s="17" t="str">
        <f>IFERROR(__xludf.DUMMYFUNCTION("""COMPUTED_VALUE"""),"1250312")</f>
        <v>1250312</v>
      </c>
      <c r="H1211" s="17" t="str">
        <f>IFERROR(__xludf.DUMMYFUNCTION("""COMPUTED_VALUE"""),"садові ножиці, секатори, ножі")</f>
        <v>садові ножиці, секатори, ножі</v>
      </c>
      <c r="I1211" s="19">
        <f>IFERROR(__xludf.DUMMYFUNCTION("""COMPUTED_VALUE"""),0.073)</f>
        <v>0.073</v>
      </c>
      <c r="J1211" s="19">
        <f>IFERROR(__xludf.DUMMYFUNCTION("""COMPUTED_VALUE"""),0.146)</f>
        <v>0.146</v>
      </c>
      <c r="K1211" s="19">
        <f>IFERROR(__xludf.DUMMYFUNCTION("""COMPUTED_VALUE"""),0.1825)</f>
        <v>0.1825</v>
      </c>
      <c r="L1211" s="19">
        <f>IFERROR(__xludf.DUMMYFUNCTION("""COMPUTED_VALUE"""),0.219)</f>
        <v>0.219</v>
      </c>
      <c r="M1211" s="18">
        <f>IFERROR(__xludf.DUMMYFUNCTION("""COMPUTED_VALUE"""),1.53)</f>
        <v>1.53</v>
      </c>
    </row>
    <row r="1212">
      <c r="A1212" s="13" t="str">
        <f>IFERROR(__xludf.DUMMYFUNCTION("""COMPUTED_VALUE"""),"товари")</f>
        <v>товари</v>
      </c>
      <c r="B1212" s="16" t="str">
        <f>IFERROR(__xludf.DUMMYFUNCTION("""COMPUTED_VALUE"""),"дача, сад і город")</f>
        <v>дача, сад і город</v>
      </c>
      <c r="C1212" s="16" t="str">
        <f>IFERROR(__xludf.DUMMYFUNCTION("""COMPUTED_VALUE"""),"обладнання для поливу")</f>
        <v>обладнання для поливу</v>
      </c>
      <c r="D1212" s="16" t="str">
        <f>IFERROR(__xludf.DUMMYFUNCTION("""COMPUTED_VALUE"""),"садові обприскувачі")</f>
        <v>садові обприскувачі</v>
      </c>
      <c r="E1212" s="16" t="str">
        <f>IFERROR(__xludf.DUMMYFUNCTION("""COMPUTED_VALUE"""),"садові обприскувачі")</f>
        <v>садові обприскувачі</v>
      </c>
      <c r="F1212" s="17">
        <f>IFERROR(__xludf.DUMMYFUNCTION("""COMPUTED_VALUE"""),3.0)</f>
        <v>3</v>
      </c>
      <c r="G1212" s="17" t="str">
        <f>IFERROR(__xludf.DUMMYFUNCTION("""COMPUTED_VALUE"""),"1250317")</f>
        <v>1250317</v>
      </c>
      <c r="H1212" s="17" t="str">
        <f>IFERROR(__xludf.DUMMYFUNCTION("""COMPUTED_VALUE"""),"садові обприскувачі")</f>
        <v>садові обприскувачі</v>
      </c>
      <c r="I1212" s="19">
        <f>IFERROR(__xludf.DUMMYFUNCTION("""COMPUTED_VALUE"""),0.075)</f>
        <v>0.075</v>
      </c>
      <c r="J1212" s="19">
        <f>IFERROR(__xludf.DUMMYFUNCTION("""COMPUTED_VALUE"""),0.15)</f>
        <v>0.15</v>
      </c>
      <c r="K1212" s="19">
        <f>IFERROR(__xludf.DUMMYFUNCTION("""COMPUTED_VALUE"""),0.1875)</f>
        <v>0.1875</v>
      </c>
      <c r="L1212" s="19">
        <f>IFERROR(__xludf.DUMMYFUNCTION("""COMPUTED_VALUE"""),0.225)</f>
        <v>0.225</v>
      </c>
      <c r="M1212" s="18">
        <f>IFERROR(__xludf.DUMMYFUNCTION("""COMPUTED_VALUE"""),3.43)</f>
        <v>3.43</v>
      </c>
    </row>
    <row r="1213">
      <c r="A1213" s="13" t="str">
        <f>IFERROR(__xludf.DUMMYFUNCTION("""COMPUTED_VALUE"""),"товари")</f>
        <v>товари</v>
      </c>
      <c r="B1213" s="16" t="str">
        <f>IFERROR(__xludf.DUMMYFUNCTION("""COMPUTED_VALUE"""),"дача, сад і город")</f>
        <v>дача, сад і город</v>
      </c>
      <c r="C1213" s="16" t="str">
        <f>IFERROR(__xludf.DUMMYFUNCTION("""COMPUTED_VALUE"""),"ландшафтні будови")</f>
        <v>ландшафтні будови</v>
      </c>
      <c r="D1213" s="16" t="str">
        <f>IFERROR(__xludf.DUMMYFUNCTION("""COMPUTED_VALUE"""),"садові павільйони та альтанки")</f>
        <v>садові павільйони та альтанки</v>
      </c>
      <c r="E1213" s="16" t="str">
        <f>IFERROR(__xludf.DUMMYFUNCTION("""COMPUTED_VALUE"""),"садові павільйони та альтанки")</f>
        <v>садові павільйони та альтанки</v>
      </c>
      <c r="F1213" s="17">
        <f>IFERROR(__xludf.DUMMYFUNCTION("""COMPUTED_VALUE"""),3.0)</f>
        <v>3</v>
      </c>
      <c r="G1213" s="17" t="str">
        <f>IFERROR(__xludf.DUMMYFUNCTION("""COMPUTED_VALUE"""),"12506")</f>
        <v>12506</v>
      </c>
      <c r="H1213" s="17" t="str">
        <f>IFERROR(__xludf.DUMMYFUNCTION("""COMPUTED_VALUE"""),"садові павільйони та альтанки")</f>
        <v>садові павільйони та альтанки</v>
      </c>
      <c r="I1213" s="19">
        <f>IFERROR(__xludf.DUMMYFUNCTION("""COMPUTED_VALUE"""),0.0657)</f>
        <v>0.0657</v>
      </c>
      <c r="J1213" s="19">
        <f>IFERROR(__xludf.DUMMYFUNCTION("""COMPUTED_VALUE"""),0.1313)</f>
        <v>0.1313</v>
      </c>
      <c r="K1213" s="19">
        <f>IFERROR(__xludf.DUMMYFUNCTION("""COMPUTED_VALUE"""),0.1641)</f>
        <v>0.1641</v>
      </c>
      <c r="L1213" s="19">
        <f>IFERROR(__xludf.DUMMYFUNCTION("""COMPUTED_VALUE"""),0.197)</f>
        <v>0.197</v>
      </c>
      <c r="M1213" s="18">
        <f>IFERROR(__xludf.DUMMYFUNCTION("""COMPUTED_VALUE"""),1.71)</f>
        <v>1.71</v>
      </c>
    </row>
    <row r="1214">
      <c r="A1214" s="13" t="str">
        <f>IFERROR(__xludf.DUMMYFUNCTION("""COMPUTED_VALUE"""),"товари")</f>
        <v>товари</v>
      </c>
      <c r="B1214" s="16" t="str">
        <f>IFERROR(__xludf.DUMMYFUNCTION("""COMPUTED_VALUE"""),"дача, сад і город")</f>
        <v>дача, сад і город</v>
      </c>
      <c r="C1214" s="16" t="str">
        <f>IFERROR(__xludf.DUMMYFUNCTION("""COMPUTED_VALUE"""),"садовий інвентар і освітлення")</f>
        <v>садовий інвентар і освітлення</v>
      </c>
      <c r="D1214" s="16" t="str">
        <f>IFERROR(__xludf.DUMMYFUNCTION("""COMPUTED_VALUE"""),"садові пилосмокти, повітродувки")</f>
        <v>садові пилосмокти, повітродувки</v>
      </c>
      <c r="E1214" s="16" t="str">
        <f>IFERROR(__xludf.DUMMYFUNCTION("""COMPUTED_VALUE"""),"садові пилосмокти, повітродувки")</f>
        <v>садові пилосмокти, повітродувки</v>
      </c>
      <c r="F1214" s="17">
        <f>IFERROR(__xludf.DUMMYFUNCTION("""COMPUTED_VALUE"""),3.0)</f>
        <v>3</v>
      </c>
      <c r="G1214" s="17" t="str">
        <f>IFERROR(__xludf.DUMMYFUNCTION("""COMPUTED_VALUE"""),"1250309")</f>
        <v>1250309</v>
      </c>
      <c r="H1214" s="17" t="str">
        <f>IFERROR(__xludf.DUMMYFUNCTION("""COMPUTED_VALUE"""),"садові пилосмокти, повітродувки")</f>
        <v>садові пилосмокти, повітродувки</v>
      </c>
      <c r="I1214" s="19">
        <f>IFERROR(__xludf.DUMMYFUNCTION("""COMPUTED_VALUE"""),0.056)</f>
        <v>0.056</v>
      </c>
      <c r="J1214" s="19">
        <f>IFERROR(__xludf.DUMMYFUNCTION("""COMPUTED_VALUE"""),0.1119)</f>
        <v>0.1119</v>
      </c>
      <c r="K1214" s="19">
        <f>IFERROR(__xludf.DUMMYFUNCTION("""COMPUTED_VALUE"""),0.1399)</f>
        <v>0.1399</v>
      </c>
      <c r="L1214" s="19">
        <f>IFERROR(__xludf.DUMMYFUNCTION("""COMPUTED_VALUE"""),0.1679)</f>
        <v>0.1679</v>
      </c>
      <c r="M1214" s="18">
        <f>IFERROR(__xludf.DUMMYFUNCTION("""COMPUTED_VALUE"""),3.06)</f>
        <v>3.06</v>
      </c>
    </row>
    <row r="1215">
      <c r="A1215" s="13" t="str">
        <f>IFERROR(__xludf.DUMMYFUNCTION("""COMPUTED_VALUE"""),"товари")</f>
        <v>товари</v>
      </c>
      <c r="B1215" s="16" t="str">
        <f>IFERROR(__xludf.DUMMYFUNCTION("""COMPUTED_VALUE"""),"дача, сад і город")</f>
        <v>дача, сад і город</v>
      </c>
      <c r="C1215" s="16" t="str">
        <f>IFERROR(__xludf.DUMMYFUNCTION("""COMPUTED_VALUE"""),"інструменти для обрізки")</f>
        <v>інструменти для обрізки</v>
      </c>
      <c r="D1215" s="16" t="str">
        <f>IFERROR(__xludf.DUMMYFUNCTION("""COMPUTED_VALUE"""),"садові  подрібнювачі")</f>
        <v>садові  подрібнювачі</v>
      </c>
      <c r="E1215" s="16" t="str">
        <f>IFERROR(__xludf.DUMMYFUNCTION("""COMPUTED_VALUE"""),"садові  подрібнювачі")</f>
        <v>садові  подрібнювачі</v>
      </c>
      <c r="F1215" s="17">
        <f>IFERROR(__xludf.DUMMYFUNCTION("""COMPUTED_VALUE"""),3.0)</f>
        <v>3</v>
      </c>
      <c r="G1215" s="17" t="str">
        <f>IFERROR(__xludf.DUMMYFUNCTION("""COMPUTED_VALUE"""),"1250304")</f>
        <v>1250304</v>
      </c>
      <c r="H1215" s="17" t="str">
        <f>IFERROR(__xludf.DUMMYFUNCTION("""COMPUTED_VALUE"""),"садові  подрібнювачі")</f>
        <v>садові  подрібнювачі</v>
      </c>
      <c r="I1215" s="19">
        <f>IFERROR(__xludf.DUMMYFUNCTION("""COMPUTED_VALUE"""),0.048)</f>
        <v>0.048</v>
      </c>
      <c r="J1215" s="19">
        <f>IFERROR(__xludf.DUMMYFUNCTION("""COMPUTED_VALUE"""),0.096)</f>
        <v>0.096</v>
      </c>
      <c r="K1215" s="19">
        <f>IFERROR(__xludf.DUMMYFUNCTION("""COMPUTED_VALUE"""),0.12)</f>
        <v>0.12</v>
      </c>
      <c r="L1215" s="19">
        <f>IFERROR(__xludf.DUMMYFUNCTION("""COMPUTED_VALUE"""),0.144)</f>
        <v>0.144</v>
      </c>
      <c r="M1215" s="18">
        <f>IFERROR(__xludf.DUMMYFUNCTION("""COMPUTED_VALUE"""),1.53)</f>
        <v>1.53</v>
      </c>
    </row>
    <row r="1216">
      <c r="A1216" s="13" t="str">
        <f>IFERROR(__xludf.DUMMYFUNCTION("""COMPUTED_VALUE"""),"товари")</f>
        <v>товари</v>
      </c>
      <c r="B1216" s="16" t="str">
        <f>IFERROR(__xludf.DUMMYFUNCTION("""COMPUTED_VALUE"""),"дача, сад і город")</f>
        <v>дача, сад і город</v>
      </c>
      <c r="C1216" s="16" t="str">
        <f>IFERROR(__xludf.DUMMYFUNCTION("""COMPUTED_VALUE"""),"садові рослини і ґрунти")</f>
        <v>садові рослини і ґрунти</v>
      </c>
      <c r="D1216" s="16" t="str">
        <f>IFERROR(__xludf.DUMMYFUNCTION("""COMPUTED_VALUE"""),"садові рослини і ґрунти, загальне")</f>
        <v>садові рослини і ґрунти, загальне</v>
      </c>
      <c r="E1216" s="16" t="str">
        <f>IFERROR(__xludf.DUMMYFUNCTION("""COMPUTED_VALUE"""),"садові рослини і ґрунти, загальне")</f>
        <v>садові рослини і ґрунти, загальне</v>
      </c>
      <c r="F1216" s="17">
        <f>IFERROR(__xludf.DUMMYFUNCTION("""COMPUTED_VALUE"""),3.0)</f>
        <v>3</v>
      </c>
      <c r="G1216" s="17" t="str">
        <f>IFERROR(__xludf.DUMMYFUNCTION("""COMPUTED_VALUE"""),"12406")</f>
        <v>12406</v>
      </c>
      <c r="H1216" s="17" t="str">
        <f>IFERROR(__xludf.DUMMYFUNCTION("""COMPUTED_VALUE"""),"садові рослини і ґрунти, загальне")</f>
        <v>садові рослини і ґрунти, загальне</v>
      </c>
      <c r="I1216" s="19">
        <f>IFERROR(__xludf.DUMMYFUNCTION("""COMPUTED_VALUE"""),0.125)</f>
        <v>0.125</v>
      </c>
      <c r="J1216" s="19">
        <f>IFERROR(__xludf.DUMMYFUNCTION("""COMPUTED_VALUE"""),0.25)</f>
        <v>0.25</v>
      </c>
      <c r="K1216" s="19">
        <f>IFERROR(__xludf.DUMMYFUNCTION("""COMPUTED_VALUE"""),0.3125)</f>
        <v>0.3125</v>
      </c>
      <c r="L1216" s="19">
        <f>IFERROR(__xludf.DUMMYFUNCTION("""COMPUTED_VALUE"""),0.375)</f>
        <v>0.375</v>
      </c>
      <c r="M1216" s="18">
        <f>IFERROR(__xludf.DUMMYFUNCTION("""COMPUTED_VALUE"""),4.33)</f>
        <v>4.33</v>
      </c>
    </row>
    <row r="1217">
      <c r="A1217" s="13" t="str">
        <f>IFERROR(__xludf.DUMMYFUNCTION("""COMPUTED_VALUE"""),"товари")</f>
        <v>товари</v>
      </c>
      <c r="B1217" s="16" t="str">
        <f>IFERROR(__xludf.DUMMYFUNCTION("""COMPUTED_VALUE"""),"дача, сад і город")</f>
        <v>дача, сад і город</v>
      </c>
      <c r="C1217" s="16" t="str">
        <f>IFERROR(__xludf.DUMMYFUNCTION("""COMPUTED_VALUE"""),"садовий інвентар і освітлення")</f>
        <v>садовий інвентар і освітлення</v>
      </c>
      <c r="D1217" s="16" t="str">
        <f>IFERROR(__xludf.DUMMYFUNCTION("""COMPUTED_VALUE"""),"садові сітки")</f>
        <v>садові сітки</v>
      </c>
      <c r="E1217" s="16" t="str">
        <f>IFERROR(__xludf.DUMMYFUNCTION("""COMPUTED_VALUE"""),"садові сітки")</f>
        <v>садові сітки</v>
      </c>
      <c r="F1217" s="17">
        <f>IFERROR(__xludf.DUMMYFUNCTION("""COMPUTED_VALUE"""),3.0)</f>
        <v>3</v>
      </c>
      <c r="G1217" s="17" t="str">
        <f>IFERROR(__xludf.DUMMYFUNCTION("""COMPUTED_VALUE"""),"800507")</f>
        <v>800507</v>
      </c>
      <c r="H1217" s="17" t="str">
        <f>IFERROR(__xludf.DUMMYFUNCTION("""COMPUTED_VALUE"""),"садові сітки")</f>
        <v>садові сітки</v>
      </c>
      <c r="I1217" s="19">
        <f>IFERROR(__xludf.DUMMYFUNCTION("""COMPUTED_VALUE"""),0.075)</f>
        <v>0.075</v>
      </c>
      <c r="J1217" s="19">
        <f>IFERROR(__xludf.DUMMYFUNCTION("""COMPUTED_VALUE"""),0.15)</f>
        <v>0.15</v>
      </c>
      <c r="K1217" s="19">
        <f>IFERROR(__xludf.DUMMYFUNCTION("""COMPUTED_VALUE"""),0.1875)</f>
        <v>0.1875</v>
      </c>
      <c r="L1217" s="19">
        <f>IFERROR(__xludf.DUMMYFUNCTION("""COMPUTED_VALUE"""),0.225)</f>
        <v>0.225</v>
      </c>
      <c r="M1217" s="18">
        <f>IFERROR(__xludf.DUMMYFUNCTION("""COMPUTED_VALUE"""),3.06)</f>
        <v>3.06</v>
      </c>
    </row>
    <row r="1218">
      <c r="A1218" s="13" t="str">
        <f>IFERROR(__xludf.DUMMYFUNCTION("""COMPUTED_VALUE"""),"товари")</f>
        <v>товари</v>
      </c>
      <c r="B1218" s="16" t="str">
        <f>IFERROR(__xludf.DUMMYFUNCTION("""COMPUTED_VALUE"""),"товари для дому")</f>
        <v>товари для дому</v>
      </c>
      <c r="C1218" s="16" t="str">
        <f>IFERROR(__xludf.DUMMYFUNCTION("""COMPUTED_VALUE"""),"меблі")</f>
        <v>меблі</v>
      </c>
      <c r="D1218" s="16" t="str">
        <f>IFERROR(__xludf.DUMMYFUNCTION("""COMPUTED_VALUE"""),"садові й пляжні меблі")</f>
        <v>садові й пляжні меблі</v>
      </c>
      <c r="E1218" s="16" t="str">
        <f>IFERROR(__xludf.DUMMYFUNCTION("""COMPUTED_VALUE"""),"садові стільці та крісла")</f>
        <v>садові стільці та крісла</v>
      </c>
      <c r="F1218" s="17">
        <f>IFERROR(__xludf.DUMMYFUNCTION("""COMPUTED_VALUE"""),4.0)</f>
        <v>4</v>
      </c>
      <c r="G1218" s="17" t="str">
        <f>IFERROR(__xludf.DUMMYFUNCTION("""COMPUTED_VALUE"""),"240462")</f>
        <v>240462</v>
      </c>
      <c r="H1218" s="17" t="str">
        <f>IFERROR(__xludf.DUMMYFUNCTION("""COMPUTED_VALUE"""),"садові стільці та крісла")</f>
        <v>садові стільці та крісла</v>
      </c>
      <c r="I1218" s="19">
        <f>IFERROR(__xludf.DUMMYFUNCTION("""COMPUTED_VALUE"""),0.0665)</f>
        <v>0.0665</v>
      </c>
      <c r="J1218" s="19">
        <f>IFERROR(__xludf.DUMMYFUNCTION("""COMPUTED_VALUE"""),0.133)</f>
        <v>0.133</v>
      </c>
      <c r="K1218" s="19">
        <f>IFERROR(__xludf.DUMMYFUNCTION("""COMPUTED_VALUE"""),0.1663)</f>
        <v>0.1663</v>
      </c>
      <c r="L1218" s="19">
        <f>IFERROR(__xludf.DUMMYFUNCTION("""COMPUTED_VALUE"""),0.1995)</f>
        <v>0.1995</v>
      </c>
      <c r="M1218" s="18">
        <f>IFERROR(__xludf.DUMMYFUNCTION("""COMPUTED_VALUE"""),3.6)</f>
        <v>3.6</v>
      </c>
    </row>
    <row r="1219">
      <c r="A1219" s="13" t="str">
        <f>IFERROR(__xludf.DUMMYFUNCTION("""COMPUTED_VALUE"""),"товари")</f>
        <v>товари</v>
      </c>
      <c r="B1219" s="16" t="str">
        <f>IFERROR(__xludf.DUMMYFUNCTION("""COMPUTED_VALUE"""),"товари для дому")</f>
        <v>товари для дому</v>
      </c>
      <c r="C1219" s="16" t="str">
        <f>IFERROR(__xludf.DUMMYFUNCTION("""COMPUTED_VALUE"""),"меблі")</f>
        <v>меблі</v>
      </c>
      <c r="D1219" s="16" t="str">
        <f>IFERROR(__xludf.DUMMYFUNCTION("""COMPUTED_VALUE"""),"садові й пляжні меблі")</f>
        <v>садові й пляжні меблі</v>
      </c>
      <c r="E1219" s="16" t="str">
        <f>IFERROR(__xludf.DUMMYFUNCTION("""COMPUTED_VALUE"""),"садові столи")</f>
        <v>садові столи</v>
      </c>
      <c r="F1219" s="17">
        <f>IFERROR(__xludf.DUMMYFUNCTION("""COMPUTED_VALUE"""),4.0)</f>
        <v>4</v>
      </c>
      <c r="G1219" s="17" t="str">
        <f>IFERROR(__xludf.DUMMYFUNCTION("""COMPUTED_VALUE"""),"240463")</f>
        <v>240463</v>
      </c>
      <c r="H1219" s="17" t="str">
        <f>IFERROR(__xludf.DUMMYFUNCTION("""COMPUTED_VALUE"""),"садові столи")</f>
        <v>садові столи</v>
      </c>
      <c r="I1219" s="19">
        <f>IFERROR(__xludf.DUMMYFUNCTION("""COMPUTED_VALUE"""),0.0665)</f>
        <v>0.0665</v>
      </c>
      <c r="J1219" s="19">
        <f>IFERROR(__xludf.DUMMYFUNCTION("""COMPUTED_VALUE"""),0.133)</f>
        <v>0.133</v>
      </c>
      <c r="K1219" s="19">
        <f>IFERROR(__xludf.DUMMYFUNCTION("""COMPUTED_VALUE"""),0.1663)</f>
        <v>0.1663</v>
      </c>
      <c r="L1219" s="19">
        <f>IFERROR(__xludf.DUMMYFUNCTION("""COMPUTED_VALUE"""),0.1995)</f>
        <v>0.1995</v>
      </c>
      <c r="M1219" s="18">
        <f>IFERROR(__xludf.DUMMYFUNCTION("""COMPUTED_VALUE"""),3.6)</f>
        <v>3.6</v>
      </c>
    </row>
    <row r="1220">
      <c r="A1220" s="13" t="str">
        <f>IFERROR(__xludf.DUMMYFUNCTION("""COMPUTED_VALUE"""),"товари")</f>
        <v>товари</v>
      </c>
      <c r="B1220" s="16" t="str">
        <f>IFERROR(__xludf.DUMMYFUNCTION("""COMPUTED_VALUE"""),"товари для дому")</f>
        <v>товари для дому</v>
      </c>
      <c r="C1220" s="16" t="str">
        <f>IFERROR(__xludf.DUMMYFUNCTION("""COMPUTED_VALUE"""),"меблі")</f>
        <v>меблі</v>
      </c>
      <c r="D1220" s="16" t="str">
        <f>IFERROR(__xludf.DUMMYFUNCTION("""COMPUTED_VALUE"""),"садові й пляжні меблі")</f>
        <v>садові й пляжні меблі</v>
      </c>
      <c r="E1220" s="16" t="str">
        <f>IFERROR(__xludf.DUMMYFUNCTION("""COMPUTED_VALUE"""),"садові та пляжні парасольки")</f>
        <v>садові та пляжні парасольки</v>
      </c>
      <c r="F1220" s="17">
        <f>IFERROR(__xludf.DUMMYFUNCTION("""COMPUTED_VALUE"""),4.0)</f>
        <v>4</v>
      </c>
      <c r="G1220" s="17" t="str">
        <f>IFERROR(__xludf.DUMMYFUNCTION("""COMPUTED_VALUE"""),"37042005")</f>
        <v>37042005</v>
      </c>
      <c r="H1220" s="17" t="str">
        <f>IFERROR(__xludf.DUMMYFUNCTION("""COMPUTED_VALUE"""),"садові та пляжні парасольки")</f>
        <v>садові та пляжні парасольки</v>
      </c>
      <c r="I1220" s="19">
        <f>IFERROR(__xludf.DUMMYFUNCTION("""COMPUTED_VALUE"""),0.0665)</f>
        <v>0.0665</v>
      </c>
      <c r="J1220" s="19">
        <f>IFERROR(__xludf.DUMMYFUNCTION("""COMPUTED_VALUE"""),0.133)</f>
        <v>0.133</v>
      </c>
      <c r="K1220" s="19">
        <f>IFERROR(__xludf.DUMMYFUNCTION("""COMPUTED_VALUE"""),0.1663)</f>
        <v>0.1663</v>
      </c>
      <c r="L1220" s="19">
        <f>IFERROR(__xludf.DUMMYFUNCTION("""COMPUTED_VALUE"""),0.1995)</f>
        <v>0.1995</v>
      </c>
      <c r="M1220" s="18">
        <f>IFERROR(__xludf.DUMMYFUNCTION("""COMPUTED_VALUE"""),3.6)</f>
        <v>3.6</v>
      </c>
    </row>
    <row r="1221">
      <c r="A1221" s="13" t="str">
        <f>IFERROR(__xludf.DUMMYFUNCTION("""COMPUTED_VALUE"""),"товари")</f>
        <v>товари</v>
      </c>
      <c r="B1221" s="16" t="str">
        <f>IFERROR(__xludf.DUMMYFUNCTION("""COMPUTED_VALUE"""),"дача, сад і город")</f>
        <v>дача, сад і город</v>
      </c>
      <c r="C1221" s="16" t="str">
        <f>IFERROR(__xludf.DUMMYFUNCTION("""COMPUTED_VALUE"""),"садовий декор")</f>
        <v>садовий декор</v>
      </c>
      <c r="D1221" s="16" t="str">
        <f>IFERROR(__xludf.DUMMYFUNCTION("""COMPUTED_VALUE"""),"садові, паркові скульптури")</f>
        <v>садові, паркові скульптури</v>
      </c>
      <c r="E1221" s="16" t="str">
        <f>IFERROR(__xludf.DUMMYFUNCTION("""COMPUTED_VALUE"""),"садові, паркові скульптури")</f>
        <v>садові, паркові скульптури</v>
      </c>
      <c r="F1221" s="17">
        <f>IFERROR(__xludf.DUMMYFUNCTION("""COMPUTED_VALUE"""),3.0)</f>
        <v>3</v>
      </c>
      <c r="G1221" s="17" t="str">
        <f>IFERROR(__xludf.DUMMYFUNCTION("""COMPUTED_VALUE"""),"130109")</f>
        <v>130109</v>
      </c>
      <c r="H1221" s="17" t="str">
        <f>IFERROR(__xludf.DUMMYFUNCTION("""COMPUTED_VALUE"""),"садові, паркові скульптури")</f>
        <v>садові, паркові скульптури</v>
      </c>
      <c r="I1221" s="19">
        <f>IFERROR(__xludf.DUMMYFUNCTION("""COMPUTED_VALUE"""),0.0783)</f>
        <v>0.0783</v>
      </c>
      <c r="J1221" s="19">
        <f>IFERROR(__xludf.DUMMYFUNCTION("""COMPUTED_VALUE"""),0.1566)</f>
        <v>0.1566</v>
      </c>
      <c r="K1221" s="19">
        <f>IFERROR(__xludf.DUMMYFUNCTION("""COMPUTED_VALUE"""),0.1958)</f>
        <v>0.1958</v>
      </c>
      <c r="L1221" s="19">
        <f>IFERROR(__xludf.DUMMYFUNCTION("""COMPUTED_VALUE"""),0.2349)</f>
        <v>0.2349</v>
      </c>
      <c r="M1221" s="18">
        <f>IFERROR(__xludf.DUMMYFUNCTION("""COMPUTED_VALUE"""),1.53)</f>
        <v>1.53</v>
      </c>
    </row>
    <row r="1222">
      <c r="A1222" s="13" t="str">
        <f>IFERROR(__xludf.DUMMYFUNCTION("""COMPUTED_VALUE"""),"товари")</f>
        <v>товари</v>
      </c>
      <c r="B1222" s="16" t="str">
        <f>IFERROR(__xludf.DUMMYFUNCTION("""COMPUTED_VALUE"""),"дача, сад і город")</f>
        <v>дача, сад і город</v>
      </c>
      <c r="C1222" s="16" t="str">
        <f>IFERROR(__xludf.DUMMYFUNCTION("""COMPUTED_VALUE"""),"садовий інвентар і освітлення")</f>
        <v>садовий інвентар і освітлення</v>
      </c>
      <c r="D1222" s="16" t="str">
        <f>IFERROR(__xludf.DUMMYFUNCTION("""COMPUTED_VALUE"""),"садово-будівельні тачки")</f>
        <v>садово-будівельні тачки</v>
      </c>
      <c r="E1222" s="16" t="str">
        <f>IFERROR(__xludf.DUMMYFUNCTION("""COMPUTED_VALUE"""),"садово-будівельні тачки")</f>
        <v>садово-будівельні тачки</v>
      </c>
      <c r="F1222" s="17">
        <f>IFERROR(__xludf.DUMMYFUNCTION("""COMPUTED_VALUE"""),3.0)</f>
        <v>3</v>
      </c>
      <c r="G1222" s="17" t="str">
        <f>IFERROR(__xludf.DUMMYFUNCTION("""COMPUTED_VALUE"""),"1250323")</f>
        <v>1250323</v>
      </c>
      <c r="H1222" s="17" t="str">
        <f>IFERROR(__xludf.DUMMYFUNCTION("""COMPUTED_VALUE"""),"садово-будівельні тачки")</f>
        <v>садово-будівельні тачки</v>
      </c>
      <c r="I1222" s="19">
        <f>IFERROR(__xludf.DUMMYFUNCTION("""COMPUTED_VALUE"""),0.0748)</f>
        <v>0.0748</v>
      </c>
      <c r="J1222" s="19">
        <f>IFERROR(__xludf.DUMMYFUNCTION("""COMPUTED_VALUE"""),0.1495)</f>
        <v>0.1495</v>
      </c>
      <c r="K1222" s="19">
        <f>IFERROR(__xludf.DUMMYFUNCTION("""COMPUTED_VALUE"""),0.1869)</f>
        <v>0.1869</v>
      </c>
      <c r="L1222" s="19">
        <f>IFERROR(__xludf.DUMMYFUNCTION("""COMPUTED_VALUE"""),0.2243)</f>
        <v>0.2243</v>
      </c>
      <c r="M1222" s="18">
        <f>IFERROR(__xludf.DUMMYFUNCTION("""COMPUTED_VALUE"""),3.06)</f>
        <v>3.06</v>
      </c>
    </row>
    <row r="1223">
      <c r="A1223" s="13" t="str">
        <f>IFERROR(__xludf.DUMMYFUNCTION("""COMPUTED_VALUE"""),"товари")</f>
        <v>товари</v>
      </c>
      <c r="B1223" s="16" t="str">
        <f>IFERROR(__xludf.DUMMYFUNCTION("""COMPUTED_VALUE"""),"товари для дому")</f>
        <v>товари для дому</v>
      </c>
      <c r="C1223" s="16" t="str">
        <f>IFERROR(__xludf.DUMMYFUNCTION("""COMPUTED_VALUE"""),"посуд")</f>
        <v>посуд</v>
      </c>
      <c r="D1223" s="16" t="str">
        <f>IFERROR(__xludf.DUMMYFUNCTION("""COMPUTED_VALUE"""),"столовий посуд")</f>
        <v>столовий посуд</v>
      </c>
      <c r="E1223" s="16" t="str">
        <f>IFERROR(__xludf.DUMMYFUNCTION("""COMPUTED_VALUE"""),"салатниці")</f>
        <v>салатниці</v>
      </c>
      <c r="F1223" s="17">
        <f>IFERROR(__xludf.DUMMYFUNCTION("""COMPUTED_VALUE"""),4.0)</f>
        <v>4</v>
      </c>
      <c r="G1223" s="17" t="str">
        <f>IFERROR(__xludf.DUMMYFUNCTION("""COMPUTED_VALUE"""),"152212")</f>
        <v>152212</v>
      </c>
      <c r="H1223" s="17" t="str">
        <f>IFERROR(__xludf.DUMMYFUNCTION("""COMPUTED_VALUE"""),"салатниці")</f>
        <v>салатниці</v>
      </c>
      <c r="I1223" s="19">
        <f>IFERROR(__xludf.DUMMYFUNCTION("""COMPUTED_VALUE"""),0.0767)</f>
        <v>0.0767</v>
      </c>
      <c r="J1223" s="19">
        <f>IFERROR(__xludf.DUMMYFUNCTION("""COMPUTED_VALUE"""),0.1534)</f>
        <v>0.1534</v>
      </c>
      <c r="K1223" s="19">
        <f>IFERROR(__xludf.DUMMYFUNCTION("""COMPUTED_VALUE"""),0.1918)</f>
        <v>0.1918</v>
      </c>
      <c r="L1223" s="19">
        <f>IFERROR(__xludf.DUMMYFUNCTION("""COMPUTED_VALUE"""),0.2301)</f>
        <v>0.2301</v>
      </c>
      <c r="M1223" s="18">
        <f>IFERROR(__xludf.DUMMYFUNCTION("""COMPUTED_VALUE"""),2.08)</f>
        <v>2.08</v>
      </c>
    </row>
    <row r="1224">
      <c r="A1224" s="13" t="str">
        <f>IFERROR(__xludf.DUMMYFUNCTION("""COMPUTED_VALUE"""),"товари")</f>
        <v>товари</v>
      </c>
      <c r="B1224" s="16" t="str">
        <f>IFERROR(__xludf.DUMMYFUNCTION("""COMPUTED_VALUE"""),"товари для дому")</f>
        <v>товари для дому</v>
      </c>
      <c r="C1224" s="16" t="str">
        <f>IFERROR(__xludf.DUMMYFUNCTION("""COMPUTED_VALUE"""),"посуд")</f>
        <v>посуд</v>
      </c>
      <c r="D1224" s="16" t="str">
        <f>IFERROR(__xludf.DUMMYFUNCTION("""COMPUTED_VALUE"""),"посуд для приготування")</f>
        <v>посуд для приготування</v>
      </c>
      <c r="E1224" s="16" t="str">
        <f>IFERROR(__xludf.DUMMYFUNCTION("""COMPUTED_VALUE"""),"самовари")</f>
        <v>самовари</v>
      </c>
      <c r="F1224" s="17">
        <f>IFERROR(__xludf.DUMMYFUNCTION("""COMPUTED_VALUE"""),4.0)</f>
        <v>4</v>
      </c>
      <c r="G1224" s="17" t="str">
        <f>IFERROR(__xludf.DUMMYFUNCTION("""COMPUTED_VALUE"""),"15230312")</f>
        <v>15230312</v>
      </c>
      <c r="H1224" s="17" t="str">
        <f>IFERROR(__xludf.DUMMYFUNCTION("""COMPUTED_VALUE"""),"самовари")</f>
        <v>самовари</v>
      </c>
      <c r="I1224" s="19">
        <f>IFERROR(__xludf.DUMMYFUNCTION("""COMPUTED_VALUE"""),0.0761)</f>
        <v>0.0761</v>
      </c>
      <c r="J1224" s="19">
        <f>IFERROR(__xludf.DUMMYFUNCTION("""COMPUTED_VALUE"""),0.1521)</f>
        <v>0.1521</v>
      </c>
      <c r="K1224" s="19">
        <f>IFERROR(__xludf.DUMMYFUNCTION("""COMPUTED_VALUE"""),0.1901)</f>
        <v>0.1901</v>
      </c>
      <c r="L1224" s="19">
        <f>IFERROR(__xludf.DUMMYFUNCTION("""COMPUTED_VALUE"""),0.2282)</f>
        <v>0.2282</v>
      </c>
      <c r="M1224" s="18">
        <f>IFERROR(__xludf.DUMMYFUNCTION("""COMPUTED_VALUE"""),2.53)</f>
        <v>2.53</v>
      </c>
    </row>
    <row r="1225">
      <c r="A1225" s="13" t="str">
        <f>IFERROR(__xludf.DUMMYFUNCTION("""COMPUTED_VALUE"""),"товари")</f>
        <v>товари</v>
      </c>
      <c r="B1225" s="16" t="str">
        <f>IFERROR(__xludf.DUMMYFUNCTION("""COMPUTED_VALUE"""),"дача, сад і город")</f>
        <v>дача, сад і город</v>
      </c>
      <c r="C1225" s="16" t="str">
        <f>IFERROR(__xludf.DUMMYFUNCTION("""COMPUTED_VALUE"""),"санвузли дачні")</f>
        <v>санвузли дачні</v>
      </c>
      <c r="D1225" s="16" t="str">
        <f>IFERROR(__xludf.DUMMYFUNCTION("""COMPUTED_VALUE"""),"санвузли дачні, загальне")</f>
        <v>санвузли дачні, загальне</v>
      </c>
      <c r="E1225" s="16" t="str">
        <f>IFERROR(__xludf.DUMMYFUNCTION("""COMPUTED_VALUE"""),"санвузли дачні, загальне")</f>
        <v>санвузли дачні, загальне</v>
      </c>
      <c r="F1225" s="17">
        <f>IFERROR(__xludf.DUMMYFUNCTION("""COMPUTED_VALUE"""),3.0)</f>
        <v>3</v>
      </c>
      <c r="G1225" s="17" t="str">
        <f>IFERROR(__xludf.DUMMYFUNCTION("""COMPUTED_VALUE"""),"1252501")</f>
        <v>1252501</v>
      </c>
      <c r="H1225" s="17" t="str">
        <f>IFERROR(__xludf.DUMMYFUNCTION("""COMPUTED_VALUE"""),"санвузли дачні, загальне")</f>
        <v>санвузли дачні, загальне</v>
      </c>
      <c r="I1225" s="19">
        <f>IFERROR(__xludf.DUMMYFUNCTION("""COMPUTED_VALUE"""),0.125)</f>
        <v>0.125</v>
      </c>
      <c r="J1225" s="19">
        <f>IFERROR(__xludf.DUMMYFUNCTION("""COMPUTED_VALUE"""),0.25)</f>
        <v>0.25</v>
      </c>
      <c r="K1225" s="19">
        <f>IFERROR(__xludf.DUMMYFUNCTION("""COMPUTED_VALUE"""),0.3125)</f>
        <v>0.3125</v>
      </c>
      <c r="L1225" s="19">
        <f>IFERROR(__xludf.DUMMYFUNCTION("""COMPUTED_VALUE"""),0.375)</f>
        <v>0.375</v>
      </c>
      <c r="M1225" s="18">
        <f>IFERROR(__xludf.DUMMYFUNCTION("""COMPUTED_VALUE"""),4.33)</f>
        <v>4.33</v>
      </c>
    </row>
    <row r="1226">
      <c r="A1226" s="13" t="str">
        <f>IFERROR(__xludf.DUMMYFUNCTION("""COMPUTED_VALUE"""),"товари")</f>
        <v>товари</v>
      </c>
      <c r="B1226" s="16" t="str">
        <f>IFERROR(__xludf.DUMMYFUNCTION("""COMPUTED_VALUE"""),"дача, сад і город")</f>
        <v>дача, сад і город</v>
      </c>
      <c r="C1226" s="16" t="str">
        <f>IFERROR(__xludf.DUMMYFUNCTION("""COMPUTED_VALUE"""),"обладнання для саун і лазень")</f>
        <v>обладнання для саун і лазень</v>
      </c>
      <c r="D1226" s="16" t="str">
        <f>IFERROR(__xludf.DUMMYFUNCTION("""COMPUTED_VALUE"""),"світильники для саун і лазень")</f>
        <v>світильники для саун і лазень</v>
      </c>
      <c r="E1226" s="16" t="str">
        <f>IFERROR(__xludf.DUMMYFUNCTION("""COMPUTED_VALUE"""),"світильники для саун і лазень")</f>
        <v>світильники для саун і лазень</v>
      </c>
      <c r="F1226" s="17">
        <f>IFERROR(__xludf.DUMMYFUNCTION("""COMPUTED_VALUE"""),3.0)</f>
        <v>3</v>
      </c>
      <c r="G1226" s="17" t="str">
        <f>IFERROR(__xludf.DUMMYFUNCTION("""COMPUTED_VALUE"""),"150510")</f>
        <v>150510</v>
      </c>
      <c r="H1226" s="17" t="str">
        <f>IFERROR(__xludf.DUMMYFUNCTION("""COMPUTED_VALUE"""),"світильники для саун і лазень")</f>
        <v>світильники для саун і лазень</v>
      </c>
      <c r="I1226" s="19">
        <f>IFERROR(__xludf.DUMMYFUNCTION("""COMPUTED_VALUE"""),0.0536)</f>
        <v>0.0536</v>
      </c>
      <c r="J1226" s="19">
        <f>IFERROR(__xludf.DUMMYFUNCTION("""COMPUTED_VALUE"""),0.1071)</f>
        <v>0.1071</v>
      </c>
      <c r="K1226" s="19">
        <f>IFERROR(__xludf.DUMMYFUNCTION("""COMPUTED_VALUE"""),0.1339)</f>
        <v>0.1339</v>
      </c>
      <c r="L1226" s="19">
        <f>IFERROR(__xludf.DUMMYFUNCTION("""COMPUTED_VALUE"""),0.1607)</f>
        <v>0.1607</v>
      </c>
      <c r="M1226" s="18">
        <f>IFERROR(__xludf.DUMMYFUNCTION("""COMPUTED_VALUE"""),3.06)</f>
        <v>3.06</v>
      </c>
    </row>
    <row r="1227">
      <c r="A1227" s="13" t="str">
        <f>IFERROR(__xludf.DUMMYFUNCTION("""COMPUTED_VALUE"""),"товари")</f>
        <v>товари</v>
      </c>
      <c r="B1227" s="16" t="str">
        <f>IFERROR(__xludf.DUMMYFUNCTION("""COMPUTED_VALUE"""),"товари для дому")</f>
        <v>товари для дому</v>
      </c>
      <c r="C1227" s="16" t="str">
        <f>IFERROR(__xludf.DUMMYFUNCTION("""COMPUTED_VALUE"""),"освітлення для дому")</f>
        <v>освітлення для дому</v>
      </c>
      <c r="D1227" s="16" t="str">
        <f>IFERROR(__xludf.DUMMYFUNCTION("""COMPUTED_VALUE"""),"світильники, загальне")</f>
        <v>світильники, загальне</v>
      </c>
      <c r="E1227" s="16" t="str">
        <f>IFERROR(__xludf.DUMMYFUNCTION("""COMPUTED_VALUE"""),"світильники, загальне")</f>
        <v>світильники, загальне</v>
      </c>
      <c r="F1227" s="17">
        <f>IFERROR(__xludf.DUMMYFUNCTION("""COMPUTED_VALUE"""),3.0)</f>
        <v>3</v>
      </c>
      <c r="G1227" s="17" t="str">
        <f>IFERROR(__xludf.DUMMYFUNCTION("""COMPUTED_VALUE"""),"39050599")</f>
        <v>39050599</v>
      </c>
      <c r="H1227" s="17" t="str">
        <f>IFERROR(__xludf.DUMMYFUNCTION("""COMPUTED_VALUE"""),"світильники, загальне")</f>
        <v>світильники, загальне</v>
      </c>
      <c r="I1227" s="19">
        <f>IFERROR(__xludf.DUMMYFUNCTION("""COMPUTED_VALUE"""),0.125)</f>
        <v>0.125</v>
      </c>
      <c r="J1227" s="19">
        <f>IFERROR(__xludf.DUMMYFUNCTION("""COMPUTED_VALUE"""),0.25)</f>
        <v>0.25</v>
      </c>
      <c r="K1227" s="19">
        <f>IFERROR(__xludf.DUMMYFUNCTION("""COMPUTED_VALUE"""),0.3125)</f>
        <v>0.3125</v>
      </c>
      <c r="L1227" s="19">
        <f>IFERROR(__xludf.DUMMYFUNCTION("""COMPUTED_VALUE"""),0.375)</f>
        <v>0.375</v>
      </c>
      <c r="M1227" s="18">
        <f>IFERROR(__xludf.DUMMYFUNCTION("""COMPUTED_VALUE"""),4.33)</f>
        <v>4.33</v>
      </c>
    </row>
    <row r="1228">
      <c r="A1228" s="13" t="str">
        <f>IFERROR(__xludf.DUMMYFUNCTION("""COMPUTED_VALUE"""),"товари")</f>
        <v>товари</v>
      </c>
      <c r="B1228" s="16" t="str">
        <f>IFERROR(__xludf.DUMMYFUNCTION("""COMPUTED_VALUE"""),"товари для дому")</f>
        <v>товари для дому</v>
      </c>
      <c r="C1228" s="16" t="str">
        <f>IFERROR(__xludf.DUMMYFUNCTION("""COMPUTED_VALUE"""),"декор для дому")</f>
        <v>декор для дому</v>
      </c>
      <c r="D1228" s="16" t="str">
        <f>IFERROR(__xludf.DUMMYFUNCTION("""COMPUTED_VALUE"""),"свічки")</f>
        <v>свічки</v>
      </c>
      <c r="E1228" s="16" t="str">
        <f>IFERROR(__xludf.DUMMYFUNCTION("""COMPUTED_VALUE"""),"свічки")</f>
        <v>свічки</v>
      </c>
      <c r="F1228" s="17">
        <f>IFERROR(__xludf.DUMMYFUNCTION("""COMPUTED_VALUE"""),3.0)</f>
        <v>3</v>
      </c>
      <c r="G1228" s="17" t="str">
        <f>IFERROR(__xludf.DUMMYFUNCTION("""COMPUTED_VALUE"""),"150404")</f>
        <v>150404</v>
      </c>
      <c r="H1228" s="17" t="str">
        <f>IFERROR(__xludf.DUMMYFUNCTION("""COMPUTED_VALUE"""),"свічки")</f>
        <v>свічки</v>
      </c>
      <c r="I1228" s="19">
        <f>IFERROR(__xludf.DUMMYFUNCTION("""COMPUTED_VALUE"""),0.075)</f>
        <v>0.075</v>
      </c>
      <c r="J1228" s="19">
        <f>IFERROR(__xludf.DUMMYFUNCTION("""COMPUTED_VALUE"""),0.15)</f>
        <v>0.15</v>
      </c>
      <c r="K1228" s="19">
        <f>IFERROR(__xludf.DUMMYFUNCTION("""COMPUTED_VALUE"""),0.1875)</f>
        <v>0.1875</v>
      </c>
      <c r="L1228" s="19">
        <f>IFERROR(__xludf.DUMMYFUNCTION("""COMPUTED_VALUE"""),0.225)</f>
        <v>0.225</v>
      </c>
      <c r="M1228" s="18">
        <f>IFERROR(__xludf.DUMMYFUNCTION("""COMPUTED_VALUE"""),1.53)</f>
        <v>1.53</v>
      </c>
    </row>
    <row r="1229">
      <c r="A1229" s="13" t="str">
        <f>IFERROR(__xludf.DUMMYFUNCTION("""COMPUTED_VALUE"""),"товари")</f>
        <v>товари</v>
      </c>
      <c r="B1229" s="16" t="str">
        <f>IFERROR(__xludf.DUMMYFUNCTION("""COMPUTED_VALUE"""),"товари для дому")</f>
        <v>товари для дому</v>
      </c>
      <c r="C1229" s="16" t="str">
        <f>IFERROR(__xludf.DUMMYFUNCTION("""COMPUTED_VALUE"""),"декор для дому")</f>
        <v>декор для дому</v>
      </c>
      <c r="D1229" s="16" t="str">
        <f>IFERROR(__xludf.DUMMYFUNCTION("""COMPUTED_VALUE"""),"святкове освітлення")</f>
        <v>святкове освітлення</v>
      </c>
      <c r="E1229" s="16" t="str">
        <f>IFERROR(__xludf.DUMMYFUNCTION("""COMPUTED_VALUE"""),"святкове освітлення")</f>
        <v>святкове освітлення</v>
      </c>
      <c r="F1229" s="17">
        <f>IFERROR(__xludf.DUMMYFUNCTION("""COMPUTED_VALUE"""),3.0)</f>
        <v>3</v>
      </c>
      <c r="G1229" s="17" t="str">
        <f>IFERROR(__xludf.DUMMYFUNCTION("""COMPUTED_VALUE"""),"150403")</f>
        <v>150403</v>
      </c>
      <c r="H1229" s="17" t="str">
        <f>IFERROR(__xludf.DUMMYFUNCTION("""COMPUTED_VALUE"""),"святкове освітлення")</f>
        <v>святкове освітлення</v>
      </c>
      <c r="I1229" s="19">
        <f>IFERROR(__xludf.DUMMYFUNCTION("""COMPUTED_VALUE"""),0.1195)</f>
        <v>0.1195</v>
      </c>
      <c r="J1229" s="19">
        <f>IFERROR(__xludf.DUMMYFUNCTION("""COMPUTED_VALUE"""),0.239)</f>
        <v>0.239</v>
      </c>
      <c r="K1229" s="19">
        <f>IFERROR(__xludf.DUMMYFUNCTION("""COMPUTED_VALUE"""),0.2988)</f>
        <v>0.2988</v>
      </c>
      <c r="L1229" s="19">
        <f>IFERROR(__xludf.DUMMYFUNCTION("""COMPUTED_VALUE"""),0.3585)</f>
        <v>0.3585</v>
      </c>
      <c r="M1229" s="18">
        <f>IFERROR(__xludf.DUMMYFUNCTION("""COMPUTED_VALUE"""),3.88)</f>
        <v>3.88</v>
      </c>
    </row>
    <row r="1230">
      <c r="A1230" s="13" t="str">
        <f>IFERROR(__xludf.DUMMYFUNCTION("""COMPUTED_VALUE"""),"товари")</f>
        <v>товари</v>
      </c>
      <c r="B1230" s="16" t="str">
        <f>IFERROR(__xludf.DUMMYFUNCTION("""COMPUTED_VALUE"""),"товари для дому")</f>
        <v>товари для дому</v>
      </c>
      <c r="C1230" s="16" t="str">
        <f>IFERROR(__xludf.DUMMYFUNCTION("""COMPUTED_VALUE"""),"посуд")</f>
        <v>посуд</v>
      </c>
      <c r="D1230" s="16" t="str">
        <f>IFERROR(__xludf.DUMMYFUNCTION("""COMPUTED_VALUE"""),"столовий посуд")</f>
        <v>столовий посуд</v>
      </c>
      <c r="E1230" s="16" t="str">
        <f>IFERROR(__xludf.DUMMYFUNCTION("""COMPUTED_VALUE"""),"серветниці та кільця для серветок")</f>
        <v>серветниці та кільця для серветок</v>
      </c>
      <c r="F1230" s="17">
        <f>IFERROR(__xludf.DUMMYFUNCTION("""COMPUTED_VALUE"""),4.0)</f>
        <v>4</v>
      </c>
      <c r="G1230" s="17" t="str">
        <f>IFERROR(__xludf.DUMMYFUNCTION("""COMPUTED_VALUE"""),"152207")</f>
        <v>152207</v>
      </c>
      <c r="H1230" s="17" t="str">
        <f>IFERROR(__xludf.DUMMYFUNCTION("""COMPUTED_VALUE"""),"серветниці та кільця для серветок")</f>
        <v>серветниці та кільця для серветок</v>
      </c>
      <c r="I1230" s="19">
        <f>IFERROR(__xludf.DUMMYFUNCTION("""COMPUTED_VALUE"""),0.0771)</f>
        <v>0.0771</v>
      </c>
      <c r="J1230" s="19">
        <f>IFERROR(__xludf.DUMMYFUNCTION("""COMPUTED_VALUE"""),0.1541)</f>
        <v>0.1541</v>
      </c>
      <c r="K1230" s="19">
        <f>IFERROR(__xludf.DUMMYFUNCTION("""COMPUTED_VALUE"""),0.1926)</f>
        <v>0.1926</v>
      </c>
      <c r="L1230" s="19">
        <f>IFERROR(__xludf.DUMMYFUNCTION("""COMPUTED_VALUE"""),0.2312)</f>
        <v>0.2312</v>
      </c>
      <c r="M1230" s="18">
        <f>IFERROR(__xludf.DUMMYFUNCTION("""COMPUTED_VALUE"""),2.08)</f>
        <v>2.08</v>
      </c>
    </row>
    <row r="1231">
      <c r="A1231" s="13" t="str">
        <f>IFERROR(__xludf.DUMMYFUNCTION("""COMPUTED_VALUE"""),"товари")</f>
        <v>товари</v>
      </c>
      <c r="B1231" s="16" t="str">
        <f>IFERROR(__xludf.DUMMYFUNCTION("""COMPUTED_VALUE"""),"товари для дому")</f>
        <v>товари для дому</v>
      </c>
      <c r="C1231" s="16" t="str">
        <f>IFERROR(__xludf.DUMMYFUNCTION("""COMPUTED_VALUE"""),"текстиль")</f>
        <v>текстиль</v>
      </c>
      <c r="D1231" s="16" t="str">
        <f>IFERROR(__xludf.DUMMYFUNCTION("""COMPUTED_VALUE"""),"текстиль для кухні")</f>
        <v>текстиль для кухні</v>
      </c>
      <c r="E1231" s="16" t="str">
        <f>IFERROR(__xludf.DUMMYFUNCTION("""COMPUTED_VALUE"""),"сервіровочні килимки, підставки")</f>
        <v>сервіровочні килимки, підставки</v>
      </c>
      <c r="F1231" s="17">
        <f>IFERROR(__xludf.DUMMYFUNCTION("""COMPUTED_VALUE"""),4.0)</f>
        <v>4</v>
      </c>
      <c r="G1231" s="17" t="str">
        <f>IFERROR(__xludf.DUMMYFUNCTION("""COMPUTED_VALUE"""),"4050705")</f>
        <v>4050705</v>
      </c>
      <c r="H1231" s="17" t="str">
        <f>IFERROR(__xludf.DUMMYFUNCTION("""COMPUTED_VALUE"""),"сервіровочні килимки, підставки")</f>
        <v>сервіровочні килимки, підставки</v>
      </c>
      <c r="I1231" s="19">
        <f>IFERROR(__xludf.DUMMYFUNCTION("""COMPUTED_VALUE"""),0.0761)</f>
        <v>0.0761</v>
      </c>
      <c r="J1231" s="19">
        <f>IFERROR(__xludf.DUMMYFUNCTION("""COMPUTED_VALUE"""),0.1521)</f>
        <v>0.1521</v>
      </c>
      <c r="K1231" s="19">
        <f>IFERROR(__xludf.DUMMYFUNCTION("""COMPUTED_VALUE"""),0.1901)</f>
        <v>0.1901</v>
      </c>
      <c r="L1231" s="19">
        <f>IFERROR(__xludf.DUMMYFUNCTION("""COMPUTED_VALUE"""),0.2282)</f>
        <v>0.2282</v>
      </c>
      <c r="M1231" s="18">
        <f>IFERROR(__xludf.DUMMYFUNCTION("""COMPUTED_VALUE"""),1.8)</f>
        <v>1.8</v>
      </c>
    </row>
    <row r="1232">
      <c r="A1232" s="13" t="str">
        <f>IFERROR(__xludf.DUMMYFUNCTION("""COMPUTED_VALUE"""),"товари")</f>
        <v>товари</v>
      </c>
      <c r="B1232" s="16" t="str">
        <f>IFERROR(__xludf.DUMMYFUNCTION("""COMPUTED_VALUE"""),"товари для дому")</f>
        <v>товари для дому</v>
      </c>
      <c r="C1232" s="16" t="str">
        <f>IFERROR(__xludf.DUMMYFUNCTION("""COMPUTED_VALUE"""),"текстиль")</f>
        <v>текстиль</v>
      </c>
      <c r="D1232" s="16" t="str">
        <f>IFERROR(__xludf.DUMMYFUNCTION("""COMPUTED_VALUE"""),"текстиль для кухні")</f>
        <v>текстиль для кухні</v>
      </c>
      <c r="E1232" s="16" t="str">
        <f>IFERROR(__xludf.DUMMYFUNCTION("""COMPUTED_VALUE"""),"сервірувальні скатертини, серветки ")</f>
        <v>сервірувальні скатертини, серветки </v>
      </c>
      <c r="F1232" s="17">
        <f>IFERROR(__xludf.DUMMYFUNCTION("""COMPUTED_VALUE"""),4.0)</f>
        <v>4</v>
      </c>
      <c r="G1232" s="17" t="str">
        <f>IFERROR(__xludf.DUMMYFUNCTION("""COMPUTED_VALUE"""),"40505")</f>
        <v>40505</v>
      </c>
      <c r="H1232" s="17" t="str">
        <f>IFERROR(__xludf.DUMMYFUNCTION("""COMPUTED_VALUE"""),"сервірувальні скатертини, серветки ")</f>
        <v>сервірувальні скатертини, серветки </v>
      </c>
      <c r="I1232" s="19">
        <f>IFERROR(__xludf.DUMMYFUNCTION("""COMPUTED_VALUE"""),0.0755)</f>
        <v>0.0755</v>
      </c>
      <c r="J1232" s="19">
        <f>IFERROR(__xludf.DUMMYFUNCTION("""COMPUTED_VALUE"""),0.151)</f>
        <v>0.151</v>
      </c>
      <c r="K1232" s="19">
        <f>IFERROR(__xludf.DUMMYFUNCTION("""COMPUTED_VALUE"""),0.1888)</f>
        <v>0.1888</v>
      </c>
      <c r="L1232" s="19">
        <f>IFERROR(__xludf.DUMMYFUNCTION("""COMPUTED_VALUE"""),0.2265)</f>
        <v>0.2265</v>
      </c>
      <c r="M1232" s="18">
        <f>IFERROR(__xludf.DUMMYFUNCTION("""COMPUTED_VALUE"""),1.8)</f>
        <v>1.8</v>
      </c>
    </row>
    <row r="1233">
      <c r="A1233" s="13" t="str">
        <f>IFERROR(__xludf.DUMMYFUNCTION("""COMPUTED_VALUE"""),"товари")</f>
        <v>товари</v>
      </c>
      <c r="B1233" s="16" t="str">
        <f>IFERROR(__xludf.DUMMYFUNCTION("""COMPUTED_VALUE"""),"дача, сад і город")</f>
        <v>дача, сад і город</v>
      </c>
      <c r="C1233" s="16" t="str">
        <f>IFERROR(__xludf.DUMMYFUNCTION("""COMPUTED_VALUE"""),"інструмент для скошування трави")</f>
        <v>інструмент для скошування трави</v>
      </c>
      <c r="D1233" s="16" t="str">
        <f>IFERROR(__xludf.DUMMYFUNCTION("""COMPUTED_VALUE"""),"серпи, коси")</f>
        <v>серпи, коси</v>
      </c>
      <c r="E1233" s="16" t="str">
        <f>IFERROR(__xludf.DUMMYFUNCTION("""COMPUTED_VALUE"""),"серпи, коси")</f>
        <v>серпи, коси</v>
      </c>
      <c r="F1233" s="17">
        <f>IFERROR(__xludf.DUMMYFUNCTION("""COMPUTED_VALUE"""),3.0)</f>
        <v>3</v>
      </c>
      <c r="G1233" s="17" t="str">
        <f>IFERROR(__xludf.DUMMYFUNCTION("""COMPUTED_VALUE"""),"1250315")</f>
        <v>1250315</v>
      </c>
      <c r="H1233" s="17" t="str">
        <f>IFERROR(__xludf.DUMMYFUNCTION("""COMPUTED_VALUE"""),"серпи, коси")</f>
        <v>серпи, коси</v>
      </c>
      <c r="I1233" s="19">
        <f>IFERROR(__xludf.DUMMYFUNCTION("""COMPUTED_VALUE"""),0.0702)</f>
        <v>0.0702</v>
      </c>
      <c r="J1233" s="19">
        <f>IFERROR(__xludf.DUMMYFUNCTION("""COMPUTED_VALUE"""),0.1404)</f>
        <v>0.1404</v>
      </c>
      <c r="K1233" s="19">
        <f>IFERROR(__xludf.DUMMYFUNCTION("""COMPUTED_VALUE"""),0.1755)</f>
        <v>0.1755</v>
      </c>
      <c r="L1233" s="19">
        <f>IFERROR(__xludf.DUMMYFUNCTION("""COMPUTED_VALUE"""),0.2106)</f>
        <v>0.2106</v>
      </c>
      <c r="M1233" s="18">
        <f>IFERROR(__xludf.DUMMYFUNCTION("""COMPUTED_VALUE"""),1.53)</f>
        <v>1.53</v>
      </c>
    </row>
    <row r="1234">
      <c r="A1234" s="13" t="str">
        <f>IFERROR(__xludf.DUMMYFUNCTION("""COMPUTED_VALUE"""),"товари")</f>
        <v>товари</v>
      </c>
      <c r="B1234" s="16" t="str">
        <f>IFERROR(__xludf.DUMMYFUNCTION("""COMPUTED_VALUE"""),"товари для дому")</f>
        <v>товари для дому</v>
      </c>
      <c r="C1234" s="16" t="str">
        <f>IFERROR(__xludf.DUMMYFUNCTION("""COMPUTED_VALUE"""),"розумний будинок")</f>
        <v>розумний будинок</v>
      </c>
      <c r="D1234" s="16" t="str">
        <f>IFERROR(__xludf.DUMMYFUNCTION("""COMPUTED_VALUE"""),"системи відеонагляду")</f>
        <v>системи відеонагляду</v>
      </c>
      <c r="E1234" s="16" t="str">
        <f>IFERROR(__xludf.DUMMYFUNCTION("""COMPUTED_VALUE"""),"системи відеонагляду")</f>
        <v>системи відеонагляду</v>
      </c>
      <c r="F1234" s="17">
        <f>IFERROR(__xludf.DUMMYFUNCTION("""COMPUTED_VALUE"""),3.0)</f>
        <v>3</v>
      </c>
      <c r="G1234" s="17" t="str">
        <f>IFERROR(__xludf.DUMMYFUNCTION("""COMPUTED_VALUE"""),"300410")</f>
        <v>300410</v>
      </c>
      <c r="H1234" s="17" t="str">
        <f>IFERROR(__xludf.DUMMYFUNCTION("""COMPUTED_VALUE"""),"системи відеонагляду")</f>
        <v>системи відеонагляду</v>
      </c>
      <c r="I1234" s="19">
        <f>IFERROR(__xludf.DUMMYFUNCTION("""COMPUTED_VALUE"""),0.0698)</f>
        <v>0.0698</v>
      </c>
      <c r="J1234" s="19">
        <f>IFERROR(__xludf.DUMMYFUNCTION("""COMPUTED_VALUE"""),0.1396)</f>
        <v>0.1396</v>
      </c>
      <c r="K1234" s="19">
        <f>IFERROR(__xludf.DUMMYFUNCTION("""COMPUTED_VALUE"""),0.1745)</f>
        <v>0.1745</v>
      </c>
      <c r="L1234" s="19">
        <f>IFERROR(__xludf.DUMMYFUNCTION("""COMPUTED_VALUE"""),0.2094)</f>
        <v>0.2094</v>
      </c>
      <c r="M1234" s="18">
        <f>IFERROR(__xludf.DUMMYFUNCTION("""COMPUTED_VALUE"""),5.03)</f>
        <v>5.03</v>
      </c>
    </row>
    <row r="1235">
      <c r="A1235" s="13" t="str">
        <f>IFERROR(__xludf.DUMMYFUNCTION("""COMPUTED_VALUE"""),"товари")</f>
        <v>товари</v>
      </c>
      <c r="B1235" s="16" t="str">
        <f>IFERROR(__xludf.DUMMYFUNCTION("""COMPUTED_VALUE"""),"товари для дому")</f>
        <v>товари для дому</v>
      </c>
      <c r="C1235" s="16" t="str">
        <f>IFERROR(__xludf.DUMMYFUNCTION("""COMPUTED_VALUE"""),"меблі")</f>
        <v>меблі</v>
      </c>
      <c r="D1235" s="16" t="str">
        <f>IFERROR(__xludf.DUMMYFUNCTION("""COMPUTED_VALUE"""),"комплектуючі для меблів")</f>
        <v>комплектуючі для меблів</v>
      </c>
      <c r="E1235" s="16" t="str">
        <f>IFERROR(__xludf.DUMMYFUNCTION("""COMPUTED_VALUE"""),"системи для шаф купе")</f>
        <v>системи для шаф купе</v>
      </c>
      <c r="F1235" s="17">
        <f>IFERROR(__xludf.DUMMYFUNCTION("""COMPUTED_VALUE"""),4.0)</f>
        <v>4</v>
      </c>
      <c r="G1235" s="17" t="str">
        <f>IFERROR(__xludf.DUMMYFUNCTION("""COMPUTED_VALUE"""),"370806")</f>
        <v>370806</v>
      </c>
      <c r="H1235" s="17" t="str">
        <f>IFERROR(__xludf.DUMMYFUNCTION("""COMPUTED_VALUE"""),"системи для шаф купе")</f>
        <v>системи для шаф купе</v>
      </c>
      <c r="I1235" s="19">
        <f>IFERROR(__xludf.DUMMYFUNCTION("""COMPUTED_VALUE"""),0.0665)</f>
        <v>0.0665</v>
      </c>
      <c r="J1235" s="19">
        <f>IFERROR(__xludf.DUMMYFUNCTION("""COMPUTED_VALUE"""),0.133)</f>
        <v>0.133</v>
      </c>
      <c r="K1235" s="19">
        <f>IFERROR(__xludf.DUMMYFUNCTION("""COMPUTED_VALUE"""),0.1663)</f>
        <v>0.1663</v>
      </c>
      <c r="L1235" s="19">
        <f>IFERROR(__xludf.DUMMYFUNCTION("""COMPUTED_VALUE"""),0.1995)</f>
        <v>0.1995</v>
      </c>
      <c r="M1235" s="18">
        <f>IFERROR(__xludf.DUMMYFUNCTION("""COMPUTED_VALUE"""),1.98)</f>
        <v>1.98</v>
      </c>
    </row>
    <row r="1236">
      <c r="A1236" s="13" t="str">
        <f>IFERROR(__xludf.DUMMYFUNCTION("""COMPUTED_VALUE"""),"товари")</f>
        <v>товари</v>
      </c>
      <c r="B1236" s="16" t="str">
        <f>IFERROR(__xludf.DUMMYFUNCTION("""COMPUTED_VALUE"""),"товари для дому")</f>
        <v>товари для дому</v>
      </c>
      <c r="C1236" s="16" t="str">
        <f>IFERROR(__xludf.DUMMYFUNCTION("""COMPUTED_VALUE"""),"посуд")</f>
        <v>посуд</v>
      </c>
      <c r="D1236" s="16" t="str">
        <f>IFERROR(__xludf.DUMMYFUNCTION("""COMPUTED_VALUE"""),"кухонне приладдя")</f>
        <v>кухонне приладдя</v>
      </c>
      <c r="E1236" s="16" t="str">
        <f>IFERROR(__xludf.DUMMYFUNCTION("""COMPUTED_VALUE"""),"сита, друшляки")</f>
        <v>сита, друшляки</v>
      </c>
      <c r="F1236" s="17">
        <f>IFERROR(__xludf.DUMMYFUNCTION("""COMPUTED_VALUE"""),4.0)</f>
        <v>4</v>
      </c>
      <c r="G1236" s="17" t="str">
        <f>IFERROR(__xludf.DUMMYFUNCTION("""COMPUTED_VALUE"""),"15230415")</f>
        <v>15230415</v>
      </c>
      <c r="H1236" s="17" t="str">
        <f>IFERROR(__xludf.DUMMYFUNCTION("""COMPUTED_VALUE"""),"сита, друшляки")</f>
        <v>сита, друшляки</v>
      </c>
      <c r="I1236" s="19">
        <f>IFERROR(__xludf.DUMMYFUNCTION("""COMPUTED_VALUE"""),0.078)</f>
        <v>0.078</v>
      </c>
      <c r="J1236" s="19">
        <f>IFERROR(__xludf.DUMMYFUNCTION("""COMPUTED_VALUE"""),0.156)</f>
        <v>0.156</v>
      </c>
      <c r="K1236" s="19">
        <f>IFERROR(__xludf.DUMMYFUNCTION("""COMPUTED_VALUE"""),0.195)</f>
        <v>0.195</v>
      </c>
      <c r="L1236" s="19">
        <f>IFERROR(__xludf.DUMMYFUNCTION("""COMPUTED_VALUE"""),0.234)</f>
        <v>0.234</v>
      </c>
      <c r="M1236" s="18">
        <f>IFERROR(__xludf.DUMMYFUNCTION("""COMPUTED_VALUE"""),2.08)</f>
        <v>2.08</v>
      </c>
    </row>
    <row r="1237">
      <c r="A1237" s="13" t="str">
        <f>IFERROR(__xludf.DUMMYFUNCTION("""COMPUTED_VALUE"""),"товари")</f>
        <v>товари</v>
      </c>
      <c r="B1237" s="16" t="str">
        <f>IFERROR(__xludf.DUMMYFUNCTION("""COMPUTED_VALUE"""),"товари для дому")</f>
        <v>товари для дому</v>
      </c>
      <c r="C1237" s="16" t="str">
        <f>IFERROR(__xludf.DUMMYFUNCTION("""COMPUTED_VALUE"""),"посуд")</f>
        <v>посуд</v>
      </c>
      <c r="D1237" s="16" t="str">
        <f>IFERROR(__xludf.DUMMYFUNCTION("""COMPUTED_VALUE"""),"кухонне приладдя")</f>
        <v>кухонне приладдя</v>
      </c>
      <c r="E1237" s="16" t="str">
        <f>IFERROR(__xludf.DUMMYFUNCTION("""COMPUTED_VALUE"""),"сифони для напоїв")</f>
        <v>сифони для напоїв</v>
      </c>
      <c r="F1237" s="17">
        <f>IFERROR(__xludf.DUMMYFUNCTION("""COMPUTED_VALUE"""),4.0)</f>
        <v>4</v>
      </c>
      <c r="G1237" s="17" t="str">
        <f>IFERROR(__xludf.DUMMYFUNCTION("""COMPUTED_VALUE"""),"63015")</f>
        <v>63015</v>
      </c>
      <c r="H1237" s="17" t="str">
        <f>IFERROR(__xludf.DUMMYFUNCTION("""COMPUTED_VALUE"""),"сифони для напоїв")</f>
        <v>сифони для напоїв</v>
      </c>
      <c r="I1237" s="19">
        <f>IFERROR(__xludf.DUMMYFUNCTION("""COMPUTED_VALUE"""),0.078)</f>
        <v>0.078</v>
      </c>
      <c r="J1237" s="19">
        <f>IFERROR(__xludf.DUMMYFUNCTION("""COMPUTED_VALUE"""),0.156)</f>
        <v>0.156</v>
      </c>
      <c r="K1237" s="19">
        <f>IFERROR(__xludf.DUMMYFUNCTION("""COMPUTED_VALUE"""),0.195)</f>
        <v>0.195</v>
      </c>
      <c r="L1237" s="19">
        <f>IFERROR(__xludf.DUMMYFUNCTION("""COMPUTED_VALUE"""),0.234)</f>
        <v>0.234</v>
      </c>
      <c r="M1237" s="18">
        <f>IFERROR(__xludf.DUMMYFUNCTION("""COMPUTED_VALUE"""),2.08)</f>
        <v>2.08</v>
      </c>
    </row>
    <row r="1238">
      <c r="A1238" s="13" t="str">
        <f>IFERROR(__xludf.DUMMYFUNCTION("""COMPUTED_VALUE"""),"товари")</f>
        <v>товари</v>
      </c>
      <c r="B1238" s="16" t="str">
        <f>IFERROR(__xludf.DUMMYFUNCTION("""COMPUTED_VALUE"""),"дача, сад і город")</f>
        <v>дача, сад і город</v>
      </c>
      <c r="C1238" s="16" t="str">
        <f>IFERROR(__xludf.DUMMYFUNCTION("""COMPUTED_VALUE"""),"аксесуари для барбекю")</f>
        <v>аксесуари для барбекю</v>
      </c>
      <c r="D1238" s="16" t="str">
        <f>IFERROR(__xludf.DUMMYFUNCTION("""COMPUTED_VALUE"""),"сірники")</f>
        <v>сірники</v>
      </c>
      <c r="E1238" s="16" t="str">
        <f>IFERROR(__xludf.DUMMYFUNCTION("""COMPUTED_VALUE"""),"сірники")</f>
        <v>сірники</v>
      </c>
      <c r="F1238" s="17">
        <f>IFERROR(__xludf.DUMMYFUNCTION("""COMPUTED_VALUE"""),3.0)</f>
        <v>3</v>
      </c>
      <c r="G1238" s="17" t="str">
        <f>IFERROR(__xludf.DUMMYFUNCTION("""COMPUTED_VALUE"""),"152607")</f>
        <v>152607</v>
      </c>
      <c r="H1238" s="17" t="str">
        <f>IFERROR(__xludf.DUMMYFUNCTION("""COMPUTED_VALUE"""),"сірники")</f>
        <v>сірники</v>
      </c>
      <c r="I1238" s="19">
        <f>IFERROR(__xludf.DUMMYFUNCTION("""COMPUTED_VALUE"""),0.0854)</f>
        <v>0.0854</v>
      </c>
      <c r="J1238" s="19">
        <f>IFERROR(__xludf.DUMMYFUNCTION("""COMPUTED_VALUE"""),0.1707)</f>
        <v>0.1707</v>
      </c>
      <c r="K1238" s="19">
        <f>IFERROR(__xludf.DUMMYFUNCTION("""COMPUTED_VALUE"""),0.2134)</f>
        <v>0.2134</v>
      </c>
      <c r="L1238" s="19">
        <f>IFERROR(__xludf.DUMMYFUNCTION("""COMPUTED_VALUE"""),0.2561)</f>
        <v>0.2561</v>
      </c>
      <c r="M1238" s="18">
        <f>IFERROR(__xludf.DUMMYFUNCTION("""COMPUTED_VALUE"""),1.05)</f>
        <v>1.05</v>
      </c>
    </row>
    <row r="1239">
      <c r="A1239" s="13" t="str">
        <f>IFERROR(__xludf.DUMMYFUNCTION("""COMPUTED_VALUE"""),"товари")</f>
        <v>товари</v>
      </c>
      <c r="B1239" s="16" t="str">
        <f>IFERROR(__xludf.DUMMYFUNCTION("""COMPUTED_VALUE"""),"дача, сад і город")</f>
        <v>дача, сад і город</v>
      </c>
      <c r="C1239" s="16" t="str">
        <f>IFERROR(__xludf.DUMMYFUNCTION("""COMPUTED_VALUE"""),"обладнання для фермерських продуктів")</f>
        <v>обладнання для фермерських продуктів</v>
      </c>
      <c r="D1239" s="16" t="str">
        <f>IFERROR(__xludf.DUMMYFUNCTION("""COMPUTED_VALUE"""),"сітки для сушки")</f>
        <v>сітки для сушки</v>
      </c>
      <c r="E1239" s="16" t="str">
        <f>IFERROR(__xludf.DUMMYFUNCTION("""COMPUTED_VALUE"""),"сітки для сушки")</f>
        <v>сітки для сушки</v>
      </c>
      <c r="F1239" s="17">
        <f>IFERROR(__xludf.DUMMYFUNCTION("""COMPUTED_VALUE"""),3.0)</f>
        <v>3</v>
      </c>
      <c r="G1239" s="17" t="str">
        <f>IFERROR(__xludf.DUMMYFUNCTION("""COMPUTED_VALUE"""),"151910")</f>
        <v>151910</v>
      </c>
      <c r="H1239" s="17" t="str">
        <f>IFERROR(__xludf.DUMMYFUNCTION("""COMPUTED_VALUE"""),"сітки для сушки")</f>
        <v>сітки для сушки</v>
      </c>
      <c r="I1239" s="19">
        <f>IFERROR(__xludf.DUMMYFUNCTION("""COMPUTED_VALUE"""),0.075)</f>
        <v>0.075</v>
      </c>
      <c r="J1239" s="19">
        <f>IFERROR(__xludf.DUMMYFUNCTION("""COMPUTED_VALUE"""),0.1499)</f>
        <v>0.1499</v>
      </c>
      <c r="K1239" s="19">
        <f>IFERROR(__xludf.DUMMYFUNCTION("""COMPUTED_VALUE"""),0.1874)</f>
        <v>0.1874</v>
      </c>
      <c r="L1239" s="19">
        <f>IFERROR(__xludf.DUMMYFUNCTION("""COMPUTED_VALUE"""),0.2249)</f>
        <v>0.2249</v>
      </c>
      <c r="M1239" s="18">
        <f>IFERROR(__xludf.DUMMYFUNCTION("""COMPUTED_VALUE"""),4.14)</f>
        <v>4.14</v>
      </c>
    </row>
    <row r="1240">
      <c r="A1240" s="13" t="str">
        <f>IFERROR(__xludf.DUMMYFUNCTION("""COMPUTED_VALUE"""),"товари")</f>
        <v>товари</v>
      </c>
      <c r="B1240" s="16" t="str">
        <f>IFERROR(__xludf.DUMMYFUNCTION("""COMPUTED_VALUE"""),"товари для дому")</f>
        <v>товари для дому</v>
      </c>
      <c r="C1240" s="16" t="str">
        <f>IFERROR(__xludf.DUMMYFUNCTION("""COMPUTED_VALUE"""),"посуд")</f>
        <v>посуд</v>
      </c>
      <c r="D1240" s="16" t="str">
        <f>IFERROR(__xludf.DUMMYFUNCTION("""COMPUTED_VALUE"""),"посуд для приготування")</f>
        <v>посуд для приготування</v>
      </c>
      <c r="E1240" s="16" t="str">
        <f>IFERROR(__xludf.DUMMYFUNCTION("""COMPUTED_VALUE"""),"сковорідки")</f>
        <v>сковорідки</v>
      </c>
      <c r="F1240" s="17">
        <f>IFERROR(__xludf.DUMMYFUNCTION("""COMPUTED_VALUE"""),4.0)</f>
        <v>4</v>
      </c>
      <c r="G1240" s="17" t="str">
        <f>IFERROR(__xludf.DUMMYFUNCTION("""COMPUTED_VALUE"""),"15230304")</f>
        <v>15230304</v>
      </c>
      <c r="H1240" s="17" t="str">
        <f>IFERROR(__xludf.DUMMYFUNCTION("""COMPUTED_VALUE"""),"сковорідки")</f>
        <v>сковорідки</v>
      </c>
      <c r="I1240" s="19">
        <f>IFERROR(__xludf.DUMMYFUNCTION("""COMPUTED_VALUE"""),0.075)</f>
        <v>0.075</v>
      </c>
      <c r="J1240" s="19">
        <f>IFERROR(__xludf.DUMMYFUNCTION("""COMPUTED_VALUE"""),0.15)</f>
        <v>0.15</v>
      </c>
      <c r="K1240" s="19">
        <f>IFERROR(__xludf.DUMMYFUNCTION("""COMPUTED_VALUE"""),0.1875)</f>
        <v>0.1875</v>
      </c>
      <c r="L1240" s="19">
        <f>IFERROR(__xludf.DUMMYFUNCTION("""COMPUTED_VALUE"""),0.225)</f>
        <v>0.225</v>
      </c>
      <c r="M1240" s="18">
        <f>IFERROR(__xludf.DUMMYFUNCTION("""COMPUTED_VALUE"""),2.53)</f>
        <v>2.53</v>
      </c>
    </row>
    <row r="1241">
      <c r="A1241" s="13" t="str">
        <f>IFERROR(__xludf.DUMMYFUNCTION("""COMPUTED_VALUE"""),"товари")</f>
        <v>товари</v>
      </c>
      <c r="B1241" s="16" t="str">
        <f>IFERROR(__xludf.DUMMYFUNCTION("""COMPUTED_VALUE"""),"товари для дому")</f>
        <v>товари для дому</v>
      </c>
      <c r="C1241" s="16" t="str">
        <f>IFERROR(__xludf.DUMMYFUNCTION("""COMPUTED_VALUE"""),"посуд")</f>
        <v>посуд</v>
      </c>
      <c r="D1241" s="16" t="str">
        <f>IFERROR(__xludf.DUMMYFUNCTION("""COMPUTED_VALUE"""),"посуд для приготування")</f>
        <v>посуд для приготування</v>
      </c>
      <c r="E1241" s="16" t="str">
        <f>IFERROR(__xludf.DUMMYFUNCTION("""COMPUTED_VALUE"""),"скороварки")</f>
        <v>скороварки</v>
      </c>
      <c r="F1241" s="17">
        <f>IFERROR(__xludf.DUMMYFUNCTION("""COMPUTED_VALUE"""),4.0)</f>
        <v>4</v>
      </c>
      <c r="G1241" s="17" t="str">
        <f>IFERROR(__xludf.DUMMYFUNCTION("""COMPUTED_VALUE"""),"15230306")</f>
        <v>15230306</v>
      </c>
      <c r="H1241" s="17" t="str">
        <f>IFERROR(__xludf.DUMMYFUNCTION("""COMPUTED_VALUE"""),"скороварки")</f>
        <v>скороварки</v>
      </c>
      <c r="I1241" s="19">
        <f>IFERROR(__xludf.DUMMYFUNCTION("""COMPUTED_VALUE"""),0.0761)</f>
        <v>0.0761</v>
      </c>
      <c r="J1241" s="19">
        <f>IFERROR(__xludf.DUMMYFUNCTION("""COMPUTED_VALUE"""),0.1521)</f>
        <v>0.1521</v>
      </c>
      <c r="K1241" s="19">
        <f>IFERROR(__xludf.DUMMYFUNCTION("""COMPUTED_VALUE"""),0.1901)</f>
        <v>0.1901</v>
      </c>
      <c r="L1241" s="19">
        <f>IFERROR(__xludf.DUMMYFUNCTION("""COMPUTED_VALUE"""),0.2282)</f>
        <v>0.2282</v>
      </c>
      <c r="M1241" s="18">
        <f>IFERROR(__xludf.DUMMYFUNCTION("""COMPUTED_VALUE"""),2.53)</f>
        <v>2.53</v>
      </c>
    </row>
    <row r="1242">
      <c r="A1242" s="13" t="str">
        <f>IFERROR(__xludf.DUMMYFUNCTION("""COMPUTED_VALUE"""),"товари")</f>
        <v>товари</v>
      </c>
      <c r="B1242" s="16" t="str">
        <f>IFERROR(__xludf.DUMMYFUNCTION("""COMPUTED_VALUE"""),"дача, сад і город")</f>
        <v>дача, сад і город</v>
      </c>
      <c r="C1242" s="16" t="str">
        <f>IFERROR(__xludf.DUMMYFUNCTION("""COMPUTED_VALUE"""),"снігоприбиральний інвентар")</f>
        <v>снігоприбиральний інвентар</v>
      </c>
      <c r="D1242" s="16" t="str">
        <f>IFERROR(__xludf.DUMMYFUNCTION("""COMPUTED_VALUE"""),"снігоприбирачі")</f>
        <v>снігоприбирачі</v>
      </c>
      <c r="E1242" s="16" t="str">
        <f>IFERROR(__xludf.DUMMYFUNCTION("""COMPUTED_VALUE"""),"снігоприбирачі")</f>
        <v>снігоприбирачі</v>
      </c>
      <c r="F1242" s="17">
        <f>IFERROR(__xludf.DUMMYFUNCTION("""COMPUTED_VALUE"""),3.0)</f>
        <v>3</v>
      </c>
      <c r="G1242" s="17" t="str">
        <f>IFERROR(__xludf.DUMMYFUNCTION("""COMPUTED_VALUE"""),"1250316")</f>
        <v>1250316</v>
      </c>
      <c r="H1242" s="17" t="str">
        <f>IFERROR(__xludf.DUMMYFUNCTION("""COMPUTED_VALUE"""),"снігоприбирачі")</f>
        <v>снігоприбирачі</v>
      </c>
      <c r="I1242" s="19">
        <f>IFERROR(__xludf.DUMMYFUNCTION("""COMPUTED_VALUE"""),0.0405)</f>
        <v>0.0405</v>
      </c>
      <c r="J1242" s="19">
        <f>IFERROR(__xludf.DUMMYFUNCTION("""COMPUTED_VALUE"""),0.081)</f>
        <v>0.081</v>
      </c>
      <c r="K1242" s="19">
        <f>IFERROR(__xludf.DUMMYFUNCTION("""COMPUTED_VALUE"""),0.1013)</f>
        <v>0.1013</v>
      </c>
      <c r="L1242" s="19">
        <f>IFERROR(__xludf.DUMMYFUNCTION("""COMPUTED_VALUE"""),0.1215)</f>
        <v>0.1215</v>
      </c>
      <c r="M1242" s="18">
        <f>IFERROR(__xludf.DUMMYFUNCTION("""COMPUTED_VALUE"""),1.71)</f>
        <v>1.71</v>
      </c>
    </row>
    <row r="1243">
      <c r="A1243" s="13" t="str">
        <f>IFERROR(__xludf.DUMMYFUNCTION("""COMPUTED_VALUE"""),"товари")</f>
        <v>товари</v>
      </c>
      <c r="B1243" s="16" t="str">
        <f>IFERROR(__xludf.DUMMYFUNCTION("""COMPUTED_VALUE"""),"товари для дому")</f>
        <v>товари для дому</v>
      </c>
      <c r="C1243" s="16" t="str">
        <f>IFERROR(__xludf.DUMMYFUNCTION("""COMPUTED_VALUE"""),"посуд")</f>
        <v>посуд</v>
      </c>
      <c r="D1243" s="16" t="str">
        <f>IFERROR(__xludf.DUMMYFUNCTION("""COMPUTED_VALUE"""),"посуд для приготування")</f>
        <v>посуд для приготування</v>
      </c>
      <c r="E1243" s="16" t="str">
        <f>IFERROR(__xludf.DUMMYFUNCTION("""COMPUTED_VALUE"""),"соковарки")</f>
        <v>соковарки</v>
      </c>
      <c r="F1243" s="17">
        <f>IFERROR(__xludf.DUMMYFUNCTION("""COMPUTED_VALUE"""),4.0)</f>
        <v>4</v>
      </c>
      <c r="G1243" s="17" t="str">
        <f>IFERROR(__xludf.DUMMYFUNCTION("""COMPUTED_VALUE"""),"15230318")</f>
        <v>15230318</v>
      </c>
      <c r="H1243" s="17" t="str">
        <f>IFERROR(__xludf.DUMMYFUNCTION("""COMPUTED_VALUE"""),"соковарки")</f>
        <v>соковарки</v>
      </c>
      <c r="I1243" s="19">
        <f>IFERROR(__xludf.DUMMYFUNCTION("""COMPUTED_VALUE"""),0.0754)</f>
        <v>0.0754</v>
      </c>
      <c r="J1243" s="19">
        <f>IFERROR(__xludf.DUMMYFUNCTION("""COMPUTED_VALUE"""),0.1508)</f>
        <v>0.1508</v>
      </c>
      <c r="K1243" s="19">
        <f>IFERROR(__xludf.DUMMYFUNCTION("""COMPUTED_VALUE"""),0.1885)</f>
        <v>0.1885</v>
      </c>
      <c r="L1243" s="19">
        <f>IFERROR(__xludf.DUMMYFUNCTION("""COMPUTED_VALUE"""),0.2262)</f>
        <v>0.2262</v>
      </c>
      <c r="M1243" s="18">
        <f>IFERROR(__xludf.DUMMYFUNCTION("""COMPUTED_VALUE"""),2.53)</f>
        <v>2.53</v>
      </c>
    </row>
    <row r="1244">
      <c r="A1244" s="13" t="str">
        <f>IFERROR(__xludf.DUMMYFUNCTION("""COMPUTED_VALUE"""),"товари")</f>
        <v>товари</v>
      </c>
      <c r="B1244" s="16" t="str">
        <f>IFERROR(__xludf.DUMMYFUNCTION("""COMPUTED_VALUE"""),"товари для дому")</f>
        <v>товари для дому</v>
      </c>
      <c r="C1244" s="16" t="str">
        <f>IFERROR(__xludf.DUMMYFUNCTION("""COMPUTED_VALUE"""),"меблі")</f>
        <v>меблі</v>
      </c>
      <c r="D1244" s="16" t="str">
        <f>IFERROR(__xludf.DUMMYFUNCTION("""COMPUTED_VALUE"""),"комплектуючі для меблів")</f>
        <v>комплектуючі для меблів</v>
      </c>
      <c r="E1244" s="16" t="str">
        <f>IFERROR(__xludf.DUMMYFUNCTION("""COMPUTED_VALUE"""),"спинки для ліжок")</f>
        <v>спинки для ліжок</v>
      </c>
      <c r="F1244" s="17">
        <f>IFERROR(__xludf.DUMMYFUNCTION("""COMPUTED_VALUE"""),4.0)</f>
        <v>4</v>
      </c>
      <c r="G1244" s="17" t="str">
        <f>IFERROR(__xludf.DUMMYFUNCTION("""COMPUTED_VALUE"""),"370809")</f>
        <v>370809</v>
      </c>
      <c r="H1244" s="17" t="str">
        <f>IFERROR(__xludf.DUMMYFUNCTION("""COMPUTED_VALUE"""),"спинки для ліжок")</f>
        <v>спинки для ліжок</v>
      </c>
      <c r="I1244" s="19">
        <f>IFERROR(__xludf.DUMMYFUNCTION("""COMPUTED_VALUE"""),0.0665)</f>
        <v>0.0665</v>
      </c>
      <c r="J1244" s="19">
        <f>IFERROR(__xludf.DUMMYFUNCTION("""COMPUTED_VALUE"""),0.133)</f>
        <v>0.133</v>
      </c>
      <c r="K1244" s="19">
        <f>IFERROR(__xludf.DUMMYFUNCTION("""COMPUTED_VALUE"""),0.1663)</f>
        <v>0.1663</v>
      </c>
      <c r="L1244" s="19">
        <f>IFERROR(__xludf.DUMMYFUNCTION("""COMPUTED_VALUE"""),0.1995)</f>
        <v>0.1995</v>
      </c>
      <c r="M1244" s="18">
        <f>IFERROR(__xludf.DUMMYFUNCTION("""COMPUTED_VALUE"""),1.98)</f>
        <v>1.98</v>
      </c>
    </row>
    <row r="1245">
      <c r="A1245" s="13" t="str">
        <f>IFERROR(__xludf.DUMMYFUNCTION("""COMPUTED_VALUE"""),"товари")</f>
        <v>товари</v>
      </c>
      <c r="B1245" s="16" t="str">
        <f>IFERROR(__xludf.DUMMYFUNCTION("""COMPUTED_VALUE"""),"товари для дому")</f>
        <v>товари для дому</v>
      </c>
      <c r="C1245" s="16" t="str">
        <f>IFERROR(__xludf.DUMMYFUNCTION("""COMPUTED_VALUE"""),"декор для дому")</f>
        <v>декор для дому</v>
      </c>
      <c r="D1245" s="16" t="str">
        <f>IFERROR(__xludf.DUMMYFUNCTION("""COMPUTED_VALUE"""),"штучні квіти і рослини")</f>
        <v>штучні квіти і рослини</v>
      </c>
      <c r="E1245" s="16" t="str">
        <f>IFERROR(__xludf.DUMMYFUNCTION("""COMPUTED_VALUE"""),"стабілізовані квіти і рослини")</f>
        <v>стабілізовані квіти і рослини</v>
      </c>
      <c r="F1245" s="17">
        <f>IFERROR(__xludf.DUMMYFUNCTION("""COMPUTED_VALUE"""),4.0)</f>
        <v>4</v>
      </c>
      <c r="G1245" s="17" t="str">
        <f>IFERROR(__xludf.DUMMYFUNCTION("""COMPUTED_VALUE"""),"1140505")</f>
        <v>1140505</v>
      </c>
      <c r="H1245" s="17" t="str">
        <f>IFERROR(__xludf.DUMMYFUNCTION("""COMPUTED_VALUE"""),"стабілізовані квіти і рослини")</f>
        <v>стабілізовані квіти і рослини</v>
      </c>
      <c r="I1245" s="19">
        <f>IFERROR(__xludf.DUMMYFUNCTION("""COMPUTED_VALUE"""),0.079)</f>
        <v>0.079</v>
      </c>
      <c r="J1245" s="19">
        <f>IFERROR(__xludf.DUMMYFUNCTION("""COMPUTED_VALUE"""),0.1579)</f>
        <v>0.1579</v>
      </c>
      <c r="K1245" s="19">
        <f>IFERROR(__xludf.DUMMYFUNCTION("""COMPUTED_VALUE"""),0.1974)</f>
        <v>0.1974</v>
      </c>
      <c r="L1245" s="19">
        <f>IFERROR(__xludf.DUMMYFUNCTION("""COMPUTED_VALUE"""),0.2369)</f>
        <v>0.2369</v>
      </c>
      <c r="M1245" s="18">
        <f>IFERROR(__xludf.DUMMYFUNCTION("""COMPUTED_VALUE"""),4.65)</f>
        <v>4.65</v>
      </c>
    </row>
    <row r="1246">
      <c r="A1246" s="13" t="str">
        <f>IFERROR(__xludf.DUMMYFUNCTION("""COMPUTED_VALUE"""),"товари")</f>
        <v>товари</v>
      </c>
      <c r="B1246" s="16" t="str">
        <f>IFERROR(__xludf.DUMMYFUNCTION("""COMPUTED_VALUE"""),"товари для дому")</f>
        <v>товари для дому</v>
      </c>
      <c r="C1246" s="16" t="str">
        <f>IFERROR(__xludf.DUMMYFUNCTION("""COMPUTED_VALUE"""),"посуд")</f>
        <v>посуд</v>
      </c>
      <c r="D1246" s="16" t="str">
        <f>IFERROR(__xludf.DUMMYFUNCTION("""COMPUTED_VALUE"""),"столовий посуд")</f>
        <v>столовий посуд</v>
      </c>
      <c r="E1246" s="16" t="str">
        <f>IFERROR(__xludf.DUMMYFUNCTION("""COMPUTED_VALUE"""),"стакани")</f>
        <v>стакани</v>
      </c>
      <c r="F1246" s="17">
        <f>IFERROR(__xludf.DUMMYFUNCTION("""COMPUTED_VALUE"""),4.0)</f>
        <v>4</v>
      </c>
      <c r="G1246" s="17" t="str">
        <f>IFERROR(__xludf.DUMMYFUNCTION("""COMPUTED_VALUE"""),"152104")</f>
        <v>152104</v>
      </c>
      <c r="H1246" s="17" t="str">
        <f>IFERROR(__xludf.DUMMYFUNCTION("""COMPUTED_VALUE"""),"стакани")</f>
        <v>стакани</v>
      </c>
      <c r="I1246" s="19">
        <f>IFERROR(__xludf.DUMMYFUNCTION("""COMPUTED_VALUE"""),0.0767)</f>
        <v>0.0767</v>
      </c>
      <c r="J1246" s="19">
        <f>IFERROR(__xludf.DUMMYFUNCTION("""COMPUTED_VALUE"""),0.1534)</f>
        <v>0.1534</v>
      </c>
      <c r="K1246" s="19">
        <f>IFERROR(__xludf.DUMMYFUNCTION("""COMPUTED_VALUE"""),0.1918)</f>
        <v>0.1918</v>
      </c>
      <c r="L1246" s="19">
        <f>IFERROR(__xludf.DUMMYFUNCTION("""COMPUTED_VALUE"""),0.2301)</f>
        <v>0.2301</v>
      </c>
      <c r="M1246" s="18">
        <f>IFERROR(__xludf.DUMMYFUNCTION("""COMPUTED_VALUE"""),2.08)</f>
        <v>2.08</v>
      </c>
    </row>
    <row r="1247">
      <c r="A1247" s="13" t="str">
        <f>IFERROR(__xludf.DUMMYFUNCTION("""COMPUTED_VALUE"""),"товари")</f>
        <v>товари</v>
      </c>
      <c r="B1247" s="16" t="str">
        <f>IFERROR(__xludf.DUMMYFUNCTION("""COMPUTED_VALUE"""),"товари для дому")</f>
        <v>товари для дому</v>
      </c>
      <c r="C1247" s="16" t="str">
        <f>IFERROR(__xludf.DUMMYFUNCTION("""COMPUTED_VALUE"""),"декор для дому")</f>
        <v>декор для дому</v>
      </c>
      <c r="D1247" s="16" t="str">
        <f>IFERROR(__xludf.DUMMYFUNCTION("""COMPUTED_VALUE"""),"статуетки")</f>
        <v>статуетки</v>
      </c>
      <c r="E1247" s="16" t="str">
        <f>IFERROR(__xludf.DUMMYFUNCTION("""COMPUTED_VALUE"""),"статуетки")</f>
        <v>статуетки</v>
      </c>
      <c r="F1247" s="17">
        <f>IFERROR(__xludf.DUMMYFUNCTION("""COMPUTED_VALUE"""),3.0)</f>
        <v>3</v>
      </c>
      <c r="G1247" s="17" t="str">
        <f>IFERROR(__xludf.DUMMYFUNCTION("""COMPUTED_VALUE"""),"1705")</f>
        <v>1705</v>
      </c>
      <c r="H1247" s="17" t="str">
        <f>IFERROR(__xludf.DUMMYFUNCTION("""COMPUTED_VALUE"""),"статуетки")</f>
        <v>статуетки</v>
      </c>
      <c r="I1247" s="19">
        <f>IFERROR(__xludf.DUMMYFUNCTION("""COMPUTED_VALUE"""),0.0739)</f>
        <v>0.0739</v>
      </c>
      <c r="J1247" s="19">
        <f>IFERROR(__xludf.DUMMYFUNCTION("""COMPUTED_VALUE"""),0.1478)</f>
        <v>0.1478</v>
      </c>
      <c r="K1247" s="19">
        <f>IFERROR(__xludf.DUMMYFUNCTION("""COMPUTED_VALUE"""),0.1848)</f>
        <v>0.1848</v>
      </c>
      <c r="L1247" s="19">
        <f>IFERROR(__xludf.DUMMYFUNCTION("""COMPUTED_VALUE"""),0.2217)</f>
        <v>0.2217</v>
      </c>
      <c r="M1247" s="18">
        <f>IFERROR(__xludf.DUMMYFUNCTION("""COMPUTED_VALUE"""),1.53)</f>
        <v>1.53</v>
      </c>
    </row>
    <row r="1248">
      <c r="A1248" s="13" t="str">
        <f>IFERROR(__xludf.DUMMYFUNCTION("""COMPUTED_VALUE"""),"товари")</f>
        <v>товари</v>
      </c>
      <c r="B1248" s="16" t="str">
        <f>IFERROR(__xludf.DUMMYFUNCTION("""COMPUTED_VALUE"""),"товари для дому")</f>
        <v>товари для дому</v>
      </c>
      <c r="C1248" s="16" t="str">
        <f>IFERROR(__xludf.DUMMYFUNCTION("""COMPUTED_VALUE"""),"розумний будинок")</f>
        <v>розумний будинок</v>
      </c>
      <c r="D1248" s="16" t="str">
        <f>IFERROR(__xludf.DUMMYFUNCTION("""COMPUTED_VALUE"""),"стаціонарні відеореєстратори")</f>
        <v>стаціонарні відеореєстратори</v>
      </c>
      <c r="E1248" s="16" t="str">
        <f>IFERROR(__xludf.DUMMYFUNCTION("""COMPUTED_VALUE"""),"стаціонарні відеореєстратори")</f>
        <v>стаціонарні відеореєстратори</v>
      </c>
      <c r="F1248" s="17">
        <f>IFERROR(__xludf.DUMMYFUNCTION("""COMPUTED_VALUE"""),3.0)</f>
        <v>3</v>
      </c>
      <c r="G1248" s="17" t="str">
        <f>IFERROR(__xludf.DUMMYFUNCTION("""COMPUTED_VALUE"""),"301101")</f>
        <v>301101</v>
      </c>
      <c r="H1248" s="17" t="str">
        <f>IFERROR(__xludf.DUMMYFUNCTION("""COMPUTED_VALUE"""),"стаціонарні відеореєстратори")</f>
        <v>стаціонарні відеореєстратори</v>
      </c>
      <c r="I1248" s="19">
        <f>IFERROR(__xludf.DUMMYFUNCTION("""COMPUTED_VALUE"""),0.0728)</f>
        <v>0.0728</v>
      </c>
      <c r="J1248" s="19">
        <f>IFERROR(__xludf.DUMMYFUNCTION("""COMPUTED_VALUE"""),0.1456)</f>
        <v>0.1456</v>
      </c>
      <c r="K1248" s="19">
        <f>IFERROR(__xludf.DUMMYFUNCTION("""COMPUTED_VALUE"""),0.182)</f>
        <v>0.182</v>
      </c>
      <c r="L1248" s="19">
        <f>IFERROR(__xludf.DUMMYFUNCTION("""COMPUTED_VALUE"""),0.2184)</f>
        <v>0.2184</v>
      </c>
      <c r="M1248" s="18">
        <f>IFERROR(__xludf.DUMMYFUNCTION("""COMPUTED_VALUE"""),3.33)</f>
        <v>3.33</v>
      </c>
    </row>
    <row r="1249">
      <c r="A1249" s="13" t="str">
        <f>IFERROR(__xludf.DUMMYFUNCTION("""COMPUTED_VALUE"""),"товари")</f>
        <v>товари</v>
      </c>
      <c r="B1249" s="16" t="str">
        <f>IFERROR(__xludf.DUMMYFUNCTION("""COMPUTED_VALUE"""),"товари для дому")</f>
        <v>товари для дому</v>
      </c>
      <c r="C1249" s="16" t="str">
        <f>IFERROR(__xludf.DUMMYFUNCTION("""COMPUTED_VALUE"""),"освітлення для дому")</f>
        <v>освітлення для дому</v>
      </c>
      <c r="D1249" s="16" t="str">
        <f>IFERROR(__xludf.DUMMYFUNCTION("""COMPUTED_VALUE"""),"стельові світильники")</f>
        <v>стельові світильники</v>
      </c>
      <c r="E1249" s="16" t="str">
        <f>IFERROR(__xludf.DUMMYFUNCTION("""COMPUTED_VALUE"""),"стельові світильники")</f>
        <v>стельові світильники</v>
      </c>
      <c r="F1249" s="17">
        <f>IFERROR(__xludf.DUMMYFUNCTION("""COMPUTED_VALUE"""),3.0)</f>
        <v>3</v>
      </c>
      <c r="G1249" s="17" t="str">
        <f>IFERROR(__xludf.DUMMYFUNCTION("""COMPUTED_VALUE"""),"15040605")</f>
        <v>15040605</v>
      </c>
      <c r="H1249" s="17" t="str">
        <f>IFERROR(__xludf.DUMMYFUNCTION("""COMPUTED_VALUE"""),"стельові світильники")</f>
        <v>стельові світильники</v>
      </c>
      <c r="I1249" s="19">
        <f>IFERROR(__xludf.DUMMYFUNCTION("""COMPUTED_VALUE"""),0.075)</f>
        <v>0.075</v>
      </c>
      <c r="J1249" s="19">
        <f>IFERROR(__xludf.DUMMYFUNCTION("""COMPUTED_VALUE"""),0.15)</f>
        <v>0.15</v>
      </c>
      <c r="K1249" s="19">
        <f>IFERROR(__xludf.DUMMYFUNCTION("""COMPUTED_VALUE"""),0.1875)</f>
        <v>0.1875</v>
      </c>
      <c r="L1249" s="19">
        <f>IFERROR(__xludf.DUMMYFUNCTION("""COMPUTED_VALUE"""),0.225)</f>
        <v>0.225</v>
      </c>
      <c r="M1249" s="18">
        <f>IFERROR(__xludf.DUMMYFUNCTION("""COMPUTED_VALUE"""),3.33)</f>
        <v>3.33</v>
      </c>
    </row>
    <row r="1250">
      <c r="A1250" s="13" t="str">
        <f>IFERROR(__xludf.DUMMYFUNCTION("""COMPUTED_VALUE"""),"товари")</f>
        <v>товари</v>
      </c>
      <c r="B1250" s="16" t="str">
        <f>IFERROR(__xludf.DUMMYFUNCTION("""COMPUTED_VALUE"""),"товари для дому")</f>
        <v>товари для дому</v>
      </c>
      <c r="C1250" s="16" t="str">
        <f>IFERROR(__xludf.DUMMYFUNCTION("""COMPUTED_VALUE"""),"меблі")</f>
        <v>меблі</v>
      </c>
      <c r="D1250" s="16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1250" s="16" t="str">
        <f>IFERROR(__xludf.DUMMYFUNCTION("""COMPUTED_VALUE"""),"стійки для парасольок")</f>
        <v>стійки для парасольок</v>
      </c>
      <c r="F1250" s="17">
        <f>IFERROR(__xludf.DUMMYFUNCTION("""COMPUTED_VALUE"""),4.0)</f>
        <v>4</v>
      </c>
      <c r="G1250" s="17" t="str">
        <f>IFERROR(__xludf.DUMMYFUNCTION("""COMPUTED_VALUE"""),"15030904")</f>
        <v>15030904</v>
      </c>
      <c r="H1250" s="17" t="str">
        <f>IFERROR(__xludf.DUMMYFUNCTION("""COMPUTED_VALUE"""),"стійки для парасольок")</f>
        <v>стійки для парасольок</v>
      </c>
      <c r="I1250" s="19">
        <f>IFERROR(__xludf.DUMMYFUNCTION("""COMPUTED_VALUE"""),0.0665)</f>
        <v>0.0665</v>
      </c>
      <c r="J1250" s="19">
        <f>IFERROR(__xludf.DUMMYFUNCTION("""COMPUTED_VALUE"""),0.133)</f>
        <v>0.133</v>
      </c>
      <c r="K1250" s="19">
        <f>IFERROR(__xludf.DUMMYFUNCTION("""COMPUTED_VALUE"""),0.1663)</f>
        <v>0.1663</v>
      </c>
      <c r="L1250" s="19">
        <f>IFERROR(__xludf.DUMMYFUNCTION("""COMPUTED_VALUE"""),0.1995)</f>
        <v>0.1995</v>
      </c>
      <c r="M1250" s="18">
        <f>IFERROR(__xludf.DUMMYFUNCTION("""COMPUTED_VALUE"""),2.79)</f>
        <v>2.79</v>
      </c>
    </row>
    <row r="1251">
      <c r="A1251" s="13" t="str">
        <f>IFERROR(__xludf.DUMMYFUNCTION("""COMPUTED_VALUE"""),"товари")</f>
        <v>товари</v>
      </c>
      <c r="B1251" s="16" t="str">
        <f>IFERROR(__xludf.DUMMYFUNCTION("""COMPUTED_VALUE"""),"товари для дому")</f>
        <v>товари для дому</v>
      </c>
      <c r="C1251" s="16" t="str">
        <f>IFERROR(__xludf.DUMMYFUNCTION("""COMPUTED_VALUE"""),"меблі")</f>
        <v>меблі</v>
      </c>
      <c r="D1251" s="16" t="str">
        <f>IFERROR(__xludf.DUMMYFUNCTION("""COMPUTED_VALUE"""),"стільці")</f>
        <v>стільці</v>
      </c>
      <c r="E1251" s="16" t="str">
        <f>IFERROR(__xludf.DUMMYFUNCTION("""COMPUTED_VALUE"""),"стільці і крісла")</f>
        <v>стільці і крісла</v>
      </c>
      <c r="F1251" s="17">
        <f>IFERROR(__xludf.DUMMYFUNCTION("""COMPUTED_VALUE"""),4.0)</f>
        <v>4</v>
      </c>
      <c r="G1251" s="17" t="str">
        <f>IFERROR(__xludf.DUMMYFUNCTION("""COMPUTED_VALUE"""),"37033002")</f>
        <v>37033002</v>
      </c>
      <c r="H1251" s="17" t="str">
        <f>IFERROR(__xludf.DUMMYFUNCTION("""COMPUTED_VALUE"""),"стільці і крісла")</f>
        <v>стільці і крісла</v>
      </c>
      <c r="I1251" s="19">
        <f>IFERROR(__xludf.DUMMYFUNCTION("""COMPUTED_VALUE"""),0.0693)</f>
        <v>0.0693</v>
      </c>
      <c r="J1251" s="19">
        <f>IFERROR(__xludf.DUMMYFUNCTION("""COMPUTED_VALUE"""),0.1385)</f>
        <v>0.1385</v>
      </c>
      <c r="K1251" s="19">
        <f>IFERROR(__xludf.DUMMYFUNCTION("""COMPUTED_VALUE"""),0.1731)</f>
        <v>0.1731</v>
      </c>
      <c r="L1251" s="19">
        <f>IFERROR(__xludf.DUMMYFUNCTION("""COMPUTED_VALUE"""),0.2078)</f>
        <v>0.2078</v>
      </c>
      <c r="M1251" s="18">
        <f>IFERROR(__xludf.DUMMYFUNCTION("""COMPUTED_VALUE"""),3.15)</f>
        <v>3.15</v>
      </c>
    </row>
    <row r="1252">
      <c r="A1252" s="13" t="str">
        <f>IFERROR(__xludf.DUMMYFUNCTION("""COMPUTED_VALUE"""),"товари")</f>
        <v>товари</v>
      </c>
      <c r="B1252" s="16" t="str">
        <f>IFERROR(__xludf.DUMMYFUNCTION("""COMPUTED_VALUE"""),"товари для дому")</f>
        <v>товари для дому</v>
      </c>
      <c r="C1252" s="16" t="str">
        <f>IFERROR(__xludf.DUMMYFUNCTION("""COMPUTED_VALUE"""),"меблі")</f>
        <v>меблі</v>
      </c>
      <c r="D1252" s="16" t="str">
        <f>IFERROR(__xludf.DUMMYFUNCTION("""COMPUTED_VALUE"""),"стільці")</f>
        <v>стільці</v>
      </c>
      <c r="E1252" s="16" t="str">
        <f>IFERROR(__xludf.DUMMYFUNCTION("""COMPUTED_VALUE"""),"барні стільці")</f>
        <v>барні стільці</v>
      </c>
      <c r="F1252" s="17">
        <f>IFERROR(__xludf.DUMMYFUNCTION("""COMPUTED_VALUE"""),4.0)</f>
        <v>4</v>
      </c>
      <c r="G1252" s="17" t="str">
        <f>IFERROR(__xludf.DUMMYFUNCTION("""COMPUTED_VALUE"""),"15033802")</f>
        <v>15033802</v>
      </c>
      <c r="H1252" s="17" t="str">
        <f>IFERROR(__xludf.DUMMYFUNCTION("""COMPUTED_VALUE"""),"барні стільці")</f>
        <v>барні стільці</v>
      </c>
      <c r="I1252" s="19">
        <f>IFERROR(__xludf.DUMMYFUNCTION("""COMPUTED_VALUE"""),0.0693)</f>
        <v>0.0693</v>
      </c>
      <c r="J1252" s="19">
        <f>IFERROR(__xludf.DUMMYFUNCTION("""COMPUTED_VALUE"""),0.1385)</f>
        <v>0.1385</v>
      </c>
      <c r="K1252" s="19">
        <f>IFERROR(__xludf.DUMMYFUNCTION("""COMPUTED_VALUE"""),0.1731)</f>
        <v>0.1731</v>
      </c>
      <c r="L1252" s="19">
        <f>IFERROR(__xludf.DUMMYFUNCTION("""COMPUTED_VALUE"""),0.2078)</f>
        <v>0.2078</v>
      </c>
      <c r="M1252" s="18">
        <f>IFERROR(__xludf.DUMMYFUNCTION("""COMPUTED_VALUE"""),3.15)</f>
        <v>3.15</v>
      </c>
    </row>
    <row r="1253">
      <c r="A1253" s="13" t="str">
        <f>IFERROR(__xludf.DUMMYFUNCTION("""COMPUTED_VALUE"""),"товари")</f>
        <v>товари</v>
      </c>
      <c r="B1253" s="16" t="str">
        <f>IFERROR(__xludf.DUMMYFUNCTION("""COMPUTED_VALUE"""),"товари для дому")</f>
        <v>товари для дому</v>
      </c>
      <c r="C1253" s="16" t="str">
        <f>IFERROR(__xludf.DUMMYFUNCTION("""COMPUTED_VALUE"""),"меблі")</f>
        <v>меблі</v>
      </c>
      <c r="D1253" s="16" t="str">
        <f>IFERROR(__xludf.DUMMYFUNCTION("""COMPUTED_VALUE"""),"стільці")</f>
        <v>стільці</v>
      </c>
      <c r="E1253" s="16" t="str">
        <f>IFERROR(__xludf.DUMMYFUNCTION("""COMPUTED_VALUE"""),"стільці")</f>
        <v>стільці</v>
      </c>
      <c r="F1253" s="17">
        <f>IFERROR(__xludf.DUMMYFUNCTION("""COMPUTED_VALUE"""),4.0)</f>
        <v>4</v>
      </c>
      <c r="G1253" s="17" t="str">
        <f>IFERROR(__xludf.DUMMYFUNCTION("""COMPUTED_VALUE"""),"15033803")</f>
        <v>15033803</v>
      </c>
      <c r="H1253" s="17" t="str">
        <f>IFERROR(__xludf.DUMMYFUNCTION("""COMPUTED_VALUE"""),"кухонні стільці")</f>
        <v>кухонні стільці</v>
      </c>
      <c r="I1253" s="19">
        <f>IFERROR(__xludf.DUMMYFUNCTION("""COMPUTED_VALUE"""),0.0683)</f>
        <v>0.0683</v>
      </c>
      <c r="J1253" s="19">
        <f>IFERROR(__xludf.DUMMYFUNCTION("""COMPUTED_VALUE"""),0.1366)</f>
        <v>0.1366</v>
      </c>
      <c r="K1253" s="19">
        <f>IFERROR(__xludf.DUMMYFUNCTION("""COMPUTED_VALUE"""),0.1708)</f>
        <v>0.1708</v>
      </c>
      <c r="L1253" s="19">
        <f>IFERROR(__xludf.DUMMYFUNCTION("""COMPUTED_VALUE"""),0.2049)</f>
        <v>0.2049</v>
      </c>
      <c r="M1253" s="18">
        <f>IFERROR(__xludf.DUMMYFUNCTION("""COMPUTED_VALUE"""),1.53)</f>
        <v>1.53</v>
      </c>
    </row>
    <row r="1254">
      <c r="A1254" s="13" t="str">
        <f>IFERROR(__xludf.DUMMYFUNCTION("""COMPUTED_VALUE"""),"товари")</f>
        <v>товари</v>
      </c>
      <c r="B1254" s="16" t="str">
        <f>IFERROR(__xludf.DUMMYFUNCTION("""COMPUTED_VALUE"""),"товари для дому")</f>
        <v>товари для дому</v>
      </c>
      <c r="C1254" s="16" t="str">
        <f>IFERROR(__xludf.DUMMYFUNCTION("""COMPUTED_VALUE"""),"меблі")</f>
        <v>меблі</v>
      </c>
      <c r="D1254" s="16" t="str">
        <f>IFERROR(__xludf.DUMMYFUNCTION("""COMPUTED_VALUE"""),"стільці")</f>
        <v>стільці</v>
      </c>
      <c r="E1254" s="16" t="str">
        <f>IFERROR(__xludf.DUMMYFUNCTION("""COMPUTED_VALUE"""),"стільці та крісла, загальне")</f>
        <v>стільці та крісла, загальне</v>
      </c>
      <c r="F1254" s="17">
        <f>IFERROR(__xludf.DUMMYFUNCTION("""COMPUTED_VALUE"""),4.0)</f>
        <v>4</v>
      </c>
      <c r="G1254" s="17" t="str">
        <f>IFERROR(__xludf.DUMMYFUNCTION("""COMPUTED_VALUE"""),"15033801")</f>
        <v>15033801</v>
      </c>
      <c r="H1254" s="17" t="str">
        <f>IFERROR(__xludf.DUMMYFUNCTION("""COMPUTED_VALUE"""),"стільці та крісла, загальне")</f>
        <v>стільці та крісла, загальне</v>
      </c>
      <c r="I1254" s="19">
        <f>IFERROR(__xludf.DUMMYFUNCTION("""COMPUTED_VALUE"""),0.125)</f>
        <v>0.125</v>
      </c>
      <c r="J1254" s="19">
        <f>IFERROR(__xludf.DUMMYFUNCTION("""COMPUTED_VALUE"""),0.25)</f>
        <v>0.25</v>
      </c>
      <c r="K1254" s="19">
        <f>IFERROR(__xludf.DUMMYFUNCTION("""COMPUTED_VALUE"""),0.3125)</f>
        <v>0.3125</v>
      </c>
      <c r="L1254" s="19">
        <f>IFERROR(__xludf.DUMMYFUNCTION("""COMPUTED_VALUE"""),0.375)</f>
        <v>0.375</v>
      </c>
      <c r="M1254" s="18">
        <f>IFERROR(__xludf.DUMMYFUNCTION("""COMPUTED_VALUE"""),4.33)</f>
        <v>4.33</v>
      </c>
    </row>
    <row r="1255">
      <c r="A1255" s="13" t="str">
        <f>IFERROR(__xludf.DUMMYFUNCTION("""COMPUTED_VALUE"""),"товари")</f>
        <v>товари</v>
      </c>
      <c r="B1255" s="16" t="str">
        <f>IFERROR(__xludf.DUMMYFUNCTION("""COMPUTED_VALUE"""),"товари для дому")</f>
        <v>товари для дому</v>
      </c>
      <c r="C1255" s="16" t="str">
        <f>IFERROR(__xludf.DUMMYFUNCTION("""COMPUTED_VALUE"""),"меблі")</f>
        <v>меблі</v>
      </c>
      <c r="D1255" s="16" t="str">
        <f>IFERROR(__xludf.DUMMYFUNCTION("""COMPUTED_VALUE"""),"шафи")</f>
        <v>шафи</v>
      </c>
      <c r="E1255" s="16" t="str">
        <f>IFERROR(__xludf.DUMMYFUNCTION("""COMPUTED_VALUE"""),"стінки для вітальні")</f>
        <v>стінки для вітальні</v>
      </c>
      <c r="F1255" s="17">
        <f>IFERROR(__xludf.DUMMYFUNCTION("""COMPUTED_VALUE"""),4.0)</f>
        <v>4</v>
      </c>
      <c r="G1255" s="17" t="str">
        <f>IFERROR(__xludf.DUMMYFUNCTION("""COMPUTED_VALUE"""),"37034012")</f>
        <v>37034012</v>
      </c>
      <c r="H1255" s="17" t="str">
        <f>IFERROR(__xludf.DUMMYFUNCTION("""COMPUTED_VALUE"""),"стінки для вітальні")</f>
        <v>стінки для вітальні</v>
      </c>
      <c r="I1255" s="19">
        <f>IFERROR(__xludf.DUMMYFUNCTION("""COMPUTED_VALUE"""),0.0651)</f>
        <v>0.0651</v>
      </c>
      <c r="J1255" s="19">
        <f>IFERROR(__xludf.DUMMYFUNCTION("""COMPUTED_VALUE"""),0.1302)</f>
        <v>0.1302</v>
      </c>
      <c r="K1255" s="19">
        <f>IFERROR(__xludf.DUMMYFUNCTION("""COMPUTED_VALUE"""),0.1628)</f>
        <v>0.1628</v>
      </c>
      <c r="L1255" s="19">
        <f>IFERROR(__xludf.DUMMYFUNCTION("""COMPUTED_VALUE"""),0.1953)</f>
        <v>0.1953</v>
      </c>
      <c r="M1255" s="18">
        <f>IFERROR(__xludf.DUMMYFUNCTION("""COMPUTED_VALUE"""),3.15)</f>
        <v>3.15</v>
      </c>
    </row>
    <row r="1256">
      <c r="A1256" s="13" t="str">
        <f>IFERROR(__xludf.DUMMYFUNCTION("""COMPUTED_VALUE"""),"товари")</f>
        <v>товари</v>
      </c>
      <c r="B1256" s="16" t="str">
        <f>IFERROR(__xludf.DUMMYFUNCTION("""COMPUTED_VALUE"""),"товари для дому")</f>
        <v>товари для дому</v>
      </c>
      <c r="C1256" s="16" t="str">
        <f>IFERROR(__xludf.DUMMYFUNCTION("""COMPUTED_VALUE"""),"меблі")</f>
        <v>меблі</v>
      </c>
      <c r="D1256" s="16" t="str">
        <f>IFERROR(__xludf.DUMMYFUNCTION("""COMPUTED_VALUE"""),"столи")</f>
        <v>столи</v>
      </c>
      <c r="E1256" s="16" t="str">
        <f>IFERROR(__xludf.DUMMYFUNCTION("""COMPUTED_VALUE"""),"столи, загальне")</f>
        <v>столи, загальне</v>
      </c>
      <c r="F1256" s="17">
        <f>IFERROR(__xludf.DUMMYFUNCTION("""COMPUTED_VALUE"""),4.0)</f>
        <v>4</v>
      </c>
      <c r="G1256" s="17" t="str">
        <f>IFERROR(__xludf.DUMMYFUNCTION("""COMPUTED_VALUE"""),"15033701")</f>
        <v>15033701</v>
      </c>
      <c r="H1256" s="17" t="str">
        <f>IFERROR(__xludf.DUMMYFUNCTION("""COMPUTED_VALUE"""),"столи, загальне")</f>
        <v>столи, загальне</v>
      </c>
      <c r="I1256" s="19">
        <f>IFERROR(__xludf.DUMMYFUNCTION("""COMPUTED_VALUE"""),0.125)</f>
        <v>0.125</v>
      </c>
      <c r="J1256" s="19">
        <f>IFERROR(__xludf.DUMMYFUNCTION("""COMPUTED_VALUE"""),0.25)</f>
        <v>0.25</v>
      </c>
      <c r="K1256" s="19">
        <f>IFERROR(__xludf.DUMMYFUNCTION("""COMPUTED_VALUE"""),0.3125)</f>
        <v>0.3125</v>
      </c>
      <c r="L1256" s="19">
        <f>IFERROR(__xludf.DUMMYFUNCTION("""COMPUTED_VALUE"""),0.375)</f>
        <v>0.375</v>
      </c>
      <c r="M1256" s="18">
        <f>IFERROR(__xludf.DUMMYFUNCTION("""COMPUTED_VALUE"""),4.33)</f>
        <v>4.33</v>
      </c>
    </row>
    <row r="1257">
      <c r="A1257" s="13" t="str">
        <f>IFERROR(__xludf.DUMMYFUNCTION("""COMPUTED_VALUE"""),"товари")</f>
        <v>товари</v>
      </c>
      <c r="B1257" s="16" t="str">
        <f>IFERROR(__xludf.DUMMYFUNCTION("""COMPUTED_VALUE"""),"товари для дому")</f>
        <v>товари для дому</v>
      </c>
      <c r="C1257" s="16" t="str">
        <f>IFERROR(__xludf.DUMMYFUNCTION("""COMPUTED_VALUE"""),"меблі")</f>
        <v>меблі</v>
      </c>
      <c r="D1257" s="16" t="str">
        <f>IFERROR(__xludf.DUMMYFUNCTION("""COMPUTED_VALUE"""),"столи")</f>
        <v>столи</v>
      </c>
      <c r="E1257" s="16" t="str">
        <f>IFERROR(__xludf.DUMMYFUNCTION("""COMPUTED_VALUE"""),"столики для сніданку")</f>
        <v>столики для сніданку</v>
      </c>
      <c r="F1257" s="17">
        <f>IFERROR(__xludf.DUMMYFUNCTION("""COMPUTED_VALUE"""),4.0)</f>
        <v>4</v>
      </c>
      <c r="G1257" s="17" t="str">
        <f>IFERROR(__xludf.DUMMYFUNCTION("""COMPUTED_VALUE"""),"37034010")</f>
        <v>37034010</v>
      </c>
      <c r="H1257" s="17" t="str">
        <f>IFERROR(__xludf.DUMMYFUNCTION("""COMPUTED_VALUE"""),"столики для сніданку")</f>
        <v>столики для сніданку</v>
      </c>
      <c r="I1257" s="19">
        <f>IFERROR(__xludf.DUMMYFUNCTION("""COMPUTED_VALUE"""),0.0681)</f>
        <v>0.0681</v>
      </c>
      <c r="J1257" s="19">
        <f>IFERROR(__xludf.DUMMYFUNCTION("""COMPUTED_VALUE"""),0.1361)</f>
        <v>0.1361</v>
      </c>
      <c r="K1257" s="19">
        <f>IFERROR(__xludf.DUMMYFUNCTION("""COMPUTED_VALUE"""),0.1701)</f>
        <v>0.1701</v>
      </c>
      <c r="L1257" s="19">
        <f>IFERROR(__xludf.DUMMYFUNCTION("""COMPUTED_VALUE"""),0.2042)</f>
        <v>0.2042</v>
      </c>
      <c r="M1257" s="18">
        <f>IFERROR(__xludf.DUMMYFUNCTION("""COMPUTED_VALUE"""),3.15)</f>
        <v>3.15</v>
      </c>
    </row>
    <row r="1258">
      <c r="A1258" s="13" t="str">
        <f>IFERROR(__xludf.DUMMYFUNCTION("""COMPUTED_VALUE"""),"товари")</f>
        <v>товари</v>
      </c>
      <c r="B1258" s="16" t="str">
        <f>IFERROR(__xludf.DUMMYFUNCTION("""COMPUTED_VALUE"""),"товари для дому")</f>
        <v>товари для дому</v>
      </c>
      <c r="C1258" s="16" t="str">
        <f>IFERROR(__xludf.DUMMYFUNCTION("""COMPUTED_VALUE"""),"посуд")</f>
        <v>посуд</v>
      </c>
      <c r="D1258" s="16" t="str">
        <f>IFERROR(__xludf.DUMMYFUNCTION("""COMPUTED_VALUE"""),"столовий посуд")</f>
        <v>столовий посуд</v>
      </c>
      <c r="E1258" s="16" t="str">
        <f>IFERROR(__xludf.DUMMYFUNCTION("""COMPUTED_VALUE"""),"столовий посуд, загальне")</f>
        <v>столовий посуд, загальне</v>
      </c>
      <c r="F1258" s="17">
        <f>IFERROR(__xludf.DUMMYFUNCTION("""COMPUTED_VALUE"""),4.0)</f>
        <v>4</v>
      </c>
      <c r="G1258" s="17" t="str">
        <f>IFERROR(__xludf.DUMMYFUNCTION("""COMPUTED_VALUE"""),"152299")</f>
        <v>152299</v>
      </c>
      <c r="H1258" s="17" t="str">
        <f>IFERROR(__xludf.DUMMYFUNCTION("""COMPUTED_VALUE"""),"столовий посуд, загальне")</f>
        <v>столовий посуд, загальне</v>
      </c>
      <c r="I1258" s="19">
        <f>IFERROR(__xludf.DUMMYFUNCTION("""COMPUTED_VALUE"""),0.125)</f>
        <v>0.125</v>
      </c>
      <c r="J1258" s="19">
        <f>IFERROR(__xludf.DUMMYFUNCTION("""COMPUTED_VALUE"""),0.25)</f>
        <v>0.25</v>
      </c>
      <c r="K1258" s="19">
        <f>IFERROR(__xludf.DUMMYFUNCTION("""COMPUTED_VALUE"""),0.3125)</f>
        <v>0.3125</v>
      </c>
      <c r="L1258" s="19">
        <f>IFERROR(__xludf.DUMMYFUNCTION("""COMPUTED_VALUE"""),0.375)</f>
        <v>0.375</v>
      </c>
      <c r="M1258" s="18">
        <f>IFERROR(__xludf.DUMMYFUNCTION("""COMPUTED_VALUE"""),4.33)</f>
        <v>4.33</v>
      </c>
    </row>
    <row r="1259">
      <c r="A1259" s="13" t="str">
        <f>IFERROR(__xludf.DUMMYFUNCTION("""COMPUTED_VALUE"""),"товари")</f>
        <v>товари</v>
      </c>
      <c r="B1259" s="16" t="str">
        <f>IFERROR(__xludf.DUMMYFUNCTION("""COMPUTED_VALUE"""),"товари для дому")</f>
        <v>товари для дому</v>
      </c>
      <c r="C1259" s="16" t="str">
        <f>IFERROR(__xludf.DUMMYFUNCTION("""COMPUTED_VALUE"""),"посуд")</f>
        <v>посуд</v>
      </c>
      <c r="D1259" s="16" t="str">
        <f>IFERROR(__xludf.DUMMYFUNCTION("""COMPUTED_VALUE"""),"столовий посуд")</f>
        <v>столовий посуд</v>
      </c>
      <c r="E1259" s="16" t="str">
        <f>IFERROR(__xludf.DUMMYFUNCTION("""COMPUTED_VALUE"""),"столові ножі ")</f>
        <v>столові ножі </v>
      </c>
      <c r="F1259" s="17">
        <f>IFERROR(__xludf.DUMMYFUNCTION("""COMPUTED_VALUE"""),4.0)</f>
        <v>4</v>
      </c>
      <c r="G1259" s="17" t="str">
        <f>IFERROR(__xludf.DUMMYFUNCTION("""COMPUTED_VALUE"""),"152217")</f>
        <v>152217</v>
      </c>
      <c r="H1259" s="17" t="str">
        <f>IFERROR(__xludf.DUMMYFUNCTION("""COMPUTED_VALUE"""),"столові ножі ")</f>
        <v>столові ножі </v>
      </c>
      <c r="I1259" s="19">
        <f>IFERROR(__xludf.DUMMYFUNCTION("""COMPUTED_VALUE"""),0.0754)</f>
        <v>0.0754</v>
      </c>
      <c r="J1259" s="19">
        <f>IFERROR(__xludf.DUMMYFUNCTION("""COMPUTED_VALUE"""),0.1508)</f>
        <v>0.1508</v>
      </c>
      <c r="K1259" s="19">
        <f>IFERROR(__xludf.DUMMYFUNCTION("""COMPUTED_VALUE"""),0.1885)</f>
        <v>0.1885</v>
      </c>
      <c r="L1259" s="19">
        <f>IFERROR(__xludf.DUMMYFUNCTION("""COMPUTED_VALUE"""),0.2262)</f>
        <v>0.2262</v>
      </c>
      <c r="M1259" s="18">
        <f>IFERROR(__xludf.DUMMYFUNCTION("""COMPUTED_VALUE"""),2.08)</f>
        <v>2.08</v>
      </c>
    </row>
    <row r="1260">
      <c r="A1260" s="13" t="str">
        <f>IFERROR(__xludf.DUMMYFUNCTION("""COMPUTED_VALUE"""),"товари")</f>
        <v>товари</v>
      </c>
      <c r="B1260" s="16" t="str">
        <f>IFERROR(__xludf.DUMMYFUNCTION("""COMPUTED_VALUE"""),"товари для дому")</f>
        <v>товари для дому</v>
      </c>
      <c r="C1260" s="16" t="str">
        <f>IFERROR(__xludf.DUMMYFUNCTION("""COMPUTED_VALUE"""),"посуд")</f>
        <v>посуд</v>
      </c>
      <c r="D1260" s="16" t="str">
        <f>IFERROR(__xludf.DUMMYFUNCTION("""COMPUTED_VALUE"""),"столовий посуд")</f>
        <v>столовий посуд</v>
      </c>
      <c r="E1260" s="16" t="str">
        <f>IFERROR(__xludf.DUMMYFUNCTION("""COMPUTED_VALUE"""),"столові сервізи")</f>
        <v>столові сервізи</v>
      </c>
      <c r="F1260" s="17">
        <f>IFERROR(__xludf.DUMMYFUNCTION("""COMPUTED_VALUE"""),4.0)</f>
        <v>4</v>
      </c>
      <c r="G1260" s="17" t="str">
        <f>IFERROR(__xludf.DUMMYFUNCTION("""COMPUTED_VALUE"""),"152203")</f>
        <v>152203</v>
      </c>
      <c r="H1260" s="17" t="str">
        <f>IFERROR(__xludf.DUMMYFUNCTION("""COMPUTED_VALUE"""),"столові сервізи")</f>
        <v>столові сервізи</v>
      </c>
      <c r="I1260" s="19">
        <f>IFERROR(__xludf.DUMMYFUNCTION("""COMPUTED_VALUE"""),0.0771)</f>
        <v>0.0771</v>
      </c>
      <c r="J1260" s="19">
        <f>IFERROR(__xludf.DUMMYFUNCTION("""COMPUTED_VALUE"""),0.1541)</f>
        <v>0.1541</v>
      </c>
      <c r="K1260" s="19">
        <f>IFERROR(__xludf.DUMMYFUNCTION("""COMPUTED_VALUE"""),0.1926)</f>
        <v>0.1926</v>
      </c>
      <c r="L1260" s="19">
        <f>IFERROR(__xludf.DUMMYFUNCTION("""COMPUTED_VALUE"""),0.2312)</f>
        <v>0.2312</v>
      </c>
      <c r="M1260" s="18">
        <f>IFERROR(__xludf.DUMMYFUNCTION("""COMPUTED_VALUE"""),2.08)</f>
        <v>2.08</v>
      </c>
    </row>
    <row r="1261">
      <c r="A1261" s="13" t="str">
        <f>IFERROR(__xludf.DUMMYFUNCTION("""COMPUTED_VALUE"""),"товари")</f>
        <v>товари</v>
      </c>
      <c r="B1261" s="16" t="str">
        <f>IFERROR(__xludf.DUMMYFUNCTION("""COMPUTED_VALUE"""),"товари для дому")</f>
        <v>товари для дому</v>
      </c>
      <c r="C1261" s="16" t="str">
        <f>IFERROR(__xludf.DUMMYFUNCTION("""COMPUTED_VALUE"""),"декор для дому")</f>
        <v>декор для дому</v>
      </c>
      <c r="D1261" s="16" t="str">
        <f>IFERROR(__xludf.DUMMYFUNCTION("""COMPUTED_VALUE"""),"інтер'єрні аксесуари")</f>
        <v>інтер'єрні аксесуари</v>
      </c>
      <c r="E1261" s="16" t="str">
        <f>IFERROR(__xludf.DUMMYFUNCTION("""COMPUTED_VALUE"""),"стопери для дверей")</f>
        <v>стопери для дверей</v>
      </c>
      <c r="F1261" s="17">
        <f>IFERROR(__xludf.DUMMYFUNCTION("""COMPUTED_VALUE"""),4.0)</f>
        <v>4</v>
      </c>
      <c r="G1261" s="17" t="str">
        <f>IFERROR(__xludf.DUMMYFUNCTION("""COMPUTED_VALUE"""),"371025")</f>
        <v>371025</v>
      </c>
      <c r="H1261" s="17" t="str">
        <f>IFERROR(__xludf.DUMMYFUNCTION("""COMPUTED_VALUE"""),"стопери для дверей")</f>
        <v>стопери для дверей</v>
      </c>
      <c r="I1261" s="19">
        <f>IFERROR(__xludf.DUMMYFUNCTION("""COMPUTED_VALUE"""),0.0775)</f>
        <v>0.0775</v>
      </c>
      <c r="J1261" s="19">
        <f>IFERROR(__xludf.DUMMYFUNCTION("""COMPUTED_VALUE"""),0.155)</f>
        <v>0.155</v>
      </c>
      <c r="K1261" s="19">
        <f>IFERROR(__xludf.DUMMYFUNCTION("""COMPUTED_VALUE"""),0.1938)</f>
        <v>0.1938</v>
      </c>
      <c r="L1261" s="19">
        <f>IFERROR(__xludf.DUMMYFUNCTION("""COMPUTED_VALUE"""),0.2325)</f>
        <v>0.2325</v>
      </c>
      <c r="M1261" s="18">
        <f>IFERROR(__xludf.DUMMYFUNCTION("""COMPUTED_VALUE"""),1.53)</f>
        <v>1.53</v>
      </c>
    </row>
    <row r="1262">
      <c r="A1262" s="13" t="str">
        <f>IFERROR(__xludf.DUMMYFUNCTION("""COMPUTED_VALUE"""),"товари")</f>
        <v>товари</v>
      </c>
      <c r="B1262" s="16" t="str">
        <f>IFERROR(__xludf.DUMMYFUNCTION("""COMPUTED_VALUE"""),"товари для дому")</f>
        <v>товари для дому</v>
      </c>
      <c r="C1262" s="16" t="str">
        <f>IFERROR(__xludf.DUMMYFUNCTION("""COMPUTED_VALUE"""),"посуд")</f>
        <v>посуд</v>
      </c>
      <c r="D1262" s="16" t="str">
        <f>IFERROR(__xludf.DUMMYFUNCTION("""COMPUTED_VALUE"""),"кухонне приладдя")</f>
        <v>кухонне приладдя</v>
      </c>
      <c r="E1262" s="16" t="str">
        <f>IFERROR(__xludf.DUMMYFUNCTION("""COMPUTED_VALUE"""),"ступки")</f>
        <v>ступки</v>
      </c>
      <c r="F1262" s="17">
        <f>IFERROR(__xludf.DUMMYFUNCTION("""COMPUTED_VALUE"""),4.0)</f>
        <v>4</v>
      </c>
      <c r="G1262" s="17" t="str">
        <f>IFERROR(__xludf.DUMMYFUNCTION("""COMPUTED_VALUE"""),"15230424")</f>
        <v>15230424</v>
      </c>
      <c r="H1262" s="17" t="str">
        <f>IFERROR(__xludf.DUMMYFUNCTION("""COMPUTED_VALUE"""),"ступки")</f>
        <v>ступки</v>
      </c>
      <c r="I1262" s="19">
        <f>IFERROR(__xludf.DUMMYFUNCTION("""COMPUTED_VALUE"""),0.0777)</f>
        <v>0.0777</v>
      </c>
      <c r="J1262" s="19">
        <f>IFERROR(__xludf.DUMMYFUNCTION("""COMPUTED_VALUE"""),0.1553)</f>
        <v>0.1553</v>
      </c>
      <c r="K1262" s="19">
        <f>IFERROR(__xludf.DUMMYFUNCTION("""COMPUTED_VALUE"""),0.1941)</f>
        <v>0.1941</v>
      </c>
      <c r="L1262" s="19">
        <f>IFERROR(__xludf.DUMMYFUNCTION("""COMPUTED_VALUE"""),0.233)</f>
        <v>0.233</v>
      </c>
      <c r="M1262" s="18">
        <f>IFERROR(__xludf.DUMMYFUNCTION("""COMPUTED_VALUE"""),2.08)</f>
        <v>2.08</v>
      </c>
    </row>
    <row r="1263">
      <c r="A1263" s="13" t="str">
        <f>IFERROR(__xludf.DUMMYFUNCTION("""COMPUTED_VALUE"""),"товари")</f>
        <v>товари</v>
      </c>
      <c r="B1263" s="16" t="str">
        <f>IFERROR(__xludf.DUMMYFUNCTION("""COMPUTED_VALUE"""),"дача, сад і город")</f>
        <v>дача, сад і город</v>
      </c>
      <c r="C1263" s="16" t="str">
        <f>IFERROR(__xludf.DUMMYFUNCTION("""COMPUTED_VALUE"""),"садові рослини і ґрунти")</f>
        <v>садові рослини і ґрунти</v>
      </c>
      <c r="D1263" s="16" t="str">
        <f>IFERROR(__xludf.DUMMYFUNCTION("""COMPUTED_VALUE"""),"субстрати, компости для рослин")</f>
        <v>субстрати, компости для рослин</v>
      </c>
      <c r="E1263" s="16" t="str">
        <f>IFERROR(__xludf.DUMMYFUNCTION("""COMPUTED_VALUE"""),"субстрати, компости для рослин")</f>
        <v>субстрати, компости для рослин</v>
      </c>
      <c r="F1263" s="17">
        <f>IFERROR(__xludf.DUMMYFUNCTION("""COMPUTED_VALUE"""),3.0)</f>
        <v>3</v>
      </c>
      <c r="G1263" s="17" t="str">
        <f>IFERROR(__xludf.DUMMYFUNCTION("""COMPUTED_VALUE"""),"12520")</f>
        <v>12520</v>
      </c>
      <c r="H1263" s="17" t="str">
        <f>IFERROR(__xludf.DUMMYFUNCTION("""COMPUTED_VALUE"""),"субстрати, компости для рослин")</f>
        <v>субстрати, компости для рослин</v>
      </c>
      <c r="I1263" s="19">
        <f>IFERROR(__xludf.DUMMYFUNCTION("""COMPUTED_VALUE"""),0.078)</f>
        <v>0.078</v>
      </c>
      <c r="J1263" s="19">
        <f>IFERROR(__xludf.DUMMYFUNCTION("""COMPUTED_VALUE"""),0.156)</f>
        <v>0.156</v>
      </c>
      <c r="K1263" s="19">
        <f>IFERROR(__xludf.DUMMYFUNCTION("""COMPUTED_VALUE"""),0.195)</f>
        <v>0.195</v>
      </c>
      <c r="L1263" s="19">
        <f>IFERROR(__xludf.DUMMYFUNCTION("""COMPUTED_VALUE"""),0.234)</f>
        <v>0.234</v>
      </c>
      <c r="M1263" s="18">
        <f>IFERROR(__xludf.DUMMYFUNCTION("""COMPUTED_VALUE"""),2.53)</f>
        <v>2.53</v>
      </c>
    </row>
    <row r="1264">
      <c r="A1264" s="13" t="str">
        <f>IFERROR(__xludf.DUMMYFUNCTION("""COMPUTED_VALUE"""),"товари")</f>
        <v>товари</v>
      </c>
      <c r="B1264" s="16" t="str">
        <f>IFERROR(__xludf.DUMMYFUNCTION("""COMPUTED_VALUE"""),"дача, сад і город")</f>
        <v>дача, сад і город</v>
      </c>
      <c r="C1264" s="16" t="str">
        <f>IFERROR(__xludf.DUMMYFUNCTION("""COMPUTED_VALUE"""),"аксесуари для барбекю")</f>
        <v>аксесуари для барбекю</v>
      </c>
      <c r="D1264" s="16" t="str">
        <f>IFERROR(__xludf.DUMMYFUNCTION("""COMPUTED_VALUE"""),"сумки та набори для пікніка")</f>
        <v>сумки та набори для пікніка</v>
      </c>
      <c r="E1264" s="16" t="str">
        <f>IFERROR(__xludf.DUMMYFUNCTION("""COMPUTED_VALUE"""),"сумки та набори для пікніка")</f>
        <v>сумки та набори для пікніка</v>
      </c>
      <c r="F1264" s="17">
        <f>IFERROR(__xludf.DUMMYFUNCTION("""COMPUTED_VALUE"""),3.0)</f>
        <v>3</v>
      </c>
      <c r="G1264" s="17" t="str">
        <f>IFERROR(__xludf.DUMMYFUNCTION("""COMPUTED_VALUE"""),"380610")</f>
        <v>380610</v>
      </c>
      <c r="H1264" s="17" t="str">
        <f>IFERROR(__xludf.DUMMYFUNCTION("""COMPUTED_VALUE"""),"сумки та набори для пікніка")</f>
        <v>сумки та набори для пікніка</v>
      </c>
      <c r="I1264" s="19">
        <f>IFERROR(__xludf.DUMMYFUNCTION("""COMPUTED_VALUE"""),0.0869)</f>
        <v>0.0869</v>
      </c>
      <c r="J1264" s="19">
        <f>IFERROR(__xludf.DUMMYFUNCTION("""COMPUTED_VALUE"""),0.1737)</f>
        <v>0.1737</v>
      </c>
      <c r="K1264" s="19">
        <f>IFERROR(__xludf.DUMMYFUNCTION("""COMPUTED_VALUE"""),0.2171)</f>
        <v>0.2171</v>
      </c>
      <c r="L1264" s="19">
        <f>IFERROR(__xludf.DUMMYFUNCTION("""COMPUTED_VALUE"""),0.2606)</f>
        <v>0.2606</v>
      </c>
      <c r="M1264" s="18">
        <f>IFERROR(__xludf.DUMMYFUNCTION("""COMPUTED_VALUE"""),3.98)</f>
        <v>3.98</v>
      </c>
    </row>
    <row r="1265">
      <c r="A1265" s="13" t="str">
        <f>IFERROR(__xludf.DUMMYFUNCTION("""COMPUTED_VALUE"""),"товари")</f>
        <v>товари</v>
      </c>
      <c r="B1265" s="16" t="str">
        <f>IFERROR(__xludf.DUMMYFUNCTION("""COMPUTED_VALUE"""),"товари для дому")</f>
        <v>товари для дому</v>
      </c>
      <c r="C1265" s="16" t="str">
        <f>IFERROR(__xludf.DUMMYFUNCTION("""COMPUTED_VALUE"""),"посуд")</f>
        <v>посуд</v>
      </c>
      <c r="D1265" s="16" t="str">
        <f>IFERROR(__xludf.DUMMYFUNCTION("""COMPUTED_VALUE"""),"столовий посуд")</f>
        <v>столовий посуд</v>
      </c>
      <c r="E1265" s="16" t="str">
        <f>IFERROR(__xludf.DUMMYFUNCTION("""COMPUTED_VALUE"""),"супниці")</f>
        <v>супниці</v>
      </c>
      <c r="F1265" s="17">
        <f>IFERROR(__xludf.DUMMYFUNCTION("""COMPUTED_VALUE"""),4.0)</f>
        <v>4</v>
      </c>
      <c r="G1265" s="17" t="str">
        <f>IFERROR(__xludf.DUMMYFUNCTION("""COMPUTED_VALUE"""),"15230309")</f>
        <v>15230309</v>
      </c>
      <c r="H1265" s="17" t="str">
        <f>IFERROR(__xludf.DUMMYFUNCTION("""COMPUTED_VALUE"""),"супниці")</f>
        <v>супниці</v>
      </c>
      <c r="I1265" s="19">
        <f>IFERROR(__xludf.DUMMYFUNCTION("""COMPUTED_VALUE"""),0.0767)</f>
        <v>0.0767</v>
      </c>
      <c r="J1265" s="19">
        <f>IFERROR(__xludf.DUMMYFUNCTION("""COMPUTED_VALUE"""),0.1534)</f>
        <v>0.1534</v>
      </c>
      <c r="K1265" s="19">
        <f>IFERROR(__xludf.DUMMYFUNCTION("""COMPUTED_VALUE"""),0.1918)</f>
        <v>0.1918</v>
      </c>
      <c r="L1265" s="19">
        <f>IFERROR(__xludf.DUMMYFUNCTION("""COMPUTED_VALUE"""),0.2301)</f>
        <v>0.2301</v>
      </c>
      <c r="M1265" s="18">
        <f>IFERROR(__xludf.DUMMYFUNCTION("""COMPUTED_VALUE"""),2.08)</f>
        <v>2.08</v>
      </c>
    </row>
    <row r="1266">
      <c r="A1266" s="13" t="str">
        <f>IFERROR(__xludf.DUMMYFUNCTION("""COMPUTED_VALUE"""),"товари")</f>
        <v>товари</v>
      </c>
      <c r="B1266" s="16" t="str">
        <f>IFERROR(__xludf.DUMMYFUNCTION("""COMPUTED_VALUE"""),"товари для дому")</f>
        <v>товари для дому</v>
      </c>
      <c r="C1266" s="16" t="str">
        <f>IFERROR(__xludf.DUMMYFUNCTION("""COMPUTED_VALUE"""),"розумний будинок")</f>
        <v>розумний будинок</v>
      </c>
      <c r="D1266" s="16" t="str">
        <f>IFERROR(__xludf.DUMMYFUNCTION("""COMPUTED_VALUE"""),"сучасний будинок, загальне")</f>
        <v>сучасний будинок, загальне</v>
      </c>
      <c r="E1266" s="16" t="str">
        <f>IFERROR(__xludf.DUMMYFUNCTION("""COMPUTED_VALUE"""),"сучасний будинок, загальне")</f>
        <v>сучасний будинок, загальне</v>
      </c>
      <c r="F1266" s="17">
        <f>IFERROR(__xludf.DUMMYFUNCTION("""COMPUTED_VALUE"""),3.0)</f>
        <v>3</v>
      </c>
      <c r="G1266" s="17" t="str">
        <f>IFERROR(__xludf.DUMMYFUNCTION("""COMPUTED_VALUE"""),"153501")</f>
        <v>153501</v>
      </c>
      <c r="H1266" s="17" t="str">
        <f>IFERROR(__xludf.DUMMYFUNCTION("""COMPUTED_VALUE"""),"сучасний будинок, загальне")</f>
        <v>сучасний будинок, загальне</v>
      </c>
      <c r="I1266" s="19">
        <f>IFERROR(__xludf.DUMMYFUNCTION("""COMPUTED_VALUE"""),0.125)</f>
        <v>0.125</v>
      </c>
      <c r="J1266" s="19">
        <f>IFERROR(__xludf.DUMMYFUNCTION("""COMPUTED_VALUE"""),0.25)</f>
        <v>0.25</v>
      </c>
      <c r="K1266" s="19">
        <f>IFERROR(__xludf.DUMMYFUNCTION("""COMPUTED_VALUE"""),0.3125)</f>
        <v>0.3125</v>
      </c>
      <c r="L1266" s="19">
        <f>IFERROR(__xludf.DUMMYFUNCTION("""COMPUTED_VALUE"""),0.375)</f>
        <v>0.375</v>
      </c>
      <c r="M1266" s="18">
        <f>IFERROR(__xludf.DUMMYFUNCTION("""COMPUTED_VALUE"""),4.33)</f>
        <v>4.33</v>
      </c>
    </row>
    <row r="1267">
      <c r="A1267" s="13" t="str">
        <f>IFERROR(__xludf.DUMMYFUNCTION("""COMPUTED_VALUE"""),"товари")</f>
        <v>товари</v>
      </c>
      <c r="B1267" s="16" t="str">
        <f>IFERROR(__xludf.DUMMYFUNCTION("""COMPUTED_VALUE"""),"товари для дому")</f>
        <v>товари для дому</v>
      </c>
      <c r="C1267" s="16" t="str">
        <f>IFERROR(__xludf.DUMMYFUNCTION("""COMPUTED_VALUE"""),"догляд за будинком")</f>
        <v>догляд за будинком</v>
      </c>
      <c r="D1267" s="16" t="str">
        <f>IFERROR(__xludf.DUMMYFUNCTION("""COMPUTED_VALUE"""),"прання і прасування")</f>
        <v>прання і прасування</v>
      </c>
      <c r="E1267" s="16" t="str">
        <f>IFERROR(__xludf.DUMMYFUNCTION("""COMPUTED_VALUE"""),"сушарки для білизни")</f>
        <v>сушарки для білизни</v>
      </c>
      <c r="F1267" s="17">
        <f>IFERROR(__xludf.DUMMYFUNCTION("""COMPUTED_VALUE"""),4.0)</f>
        <v>4</v>
      </c>
      <c r="G1267" s="17" t="str">
        <f>IFERROR(__xludf.DUMMYFUNCTION("""COMPUTED_VALUE"""),"151604")</f>
        <v>151604</v>
      </c>
      <c r="H1267" s="17" t="str">
        <f>IFERROR(__xludf.DUMMYFUNCTION("""COMPUTED_VALUE"""),"сушарки для білизни")</f>
        <v>сушарки для білизни</v>
      </c>
      <c r="I1267" s="19">
        <f>IFERROR(__xludf.DUMMYFUNCTION("""COMPUTED_VALUE"""),0.0724)</f>
        <v>0.0724</v>
      </c>
      <c r="J1267" s="19">
        <f>IFERROR(__xludf.DUMMYFUNCTION("""COMPUTED_VALUE"""),0.1448)</f>
        <v>0.1448</v>
      </c>
      <c r="K1267" s="19">
        <f>IFERROR(__xludf.DUMMYFUNCTION("""COMPUTED_VALUE"""),0.181)</f>
        <v>0.181</v>
      </c>
      <c r="L1267" s="19">
        <f>IFERROR(__xludf.DUMMYFUNCTION("""COMPUTED_VALUE"""),0.2172)</f>
        <v>0.2172</v>
      </c>
      <c r="M1267" s="18">
        <f>IFERROR(__xludf.DUMMYFUNCTION("""COMPUTED_VALUE"""),1.98)</f>
        <v>1.98</v>
      </c>
    </row>
    <row r="1268">
      <c r="A1268" s="13" t="str">
        <f>IFERROR(__xludf.DUMMYFUNCTION("""COMPUTED_VALUE"""),"товари")</f>
        <v>товари</v>
      </c>
      <c r="B1268" s="16" t="str">
        <f>IFERROR(__xludf.DUMMYFUNCTION("""COMPUTED_VALUE"""),"товари для дому")</f>
        <v>товари для дому</v>
      </c>
      <c r="C1268" s="16" t="str">
        <f>IFERROR(__xludf.DUMMYFUNCTION("""COMPUTED_VALUE"""),"декор для дому")</f>
        <v>декор для дому</v>
      </c>
      <c r="D1268" s="16" t="str">
        <f>IFERROR(__xludf.DUMMYFUNCTION("""COMPUTED_VALUE"""),"штучні квіти і рослини")</f>
        <v>штучні квіти і рослини</v>
      </c>
      <c r="E1268" s="16" t="str">
        <f>IFERROR(__xludf.DUMMYFUNCTION("""COMPUTED_VALUE"""),"сушені квіти, рослини")</f>
        <v>сушені квіти, рослини</v>
      </c>
      <c r="F1268" s="17">
        <f>IFERROR(__xludf.DUMMYFUNCTION("""COMPUTED_VALUE"""),4.0)</f>
        <v>4</v>
      </c>
      <c r="G1268" s="17" t="str">
        <f>IFERROR(__xludf.DUMMYFUNCTION("""COMPUTED_VALUE"""),"1140507")</f>
        <v>1140507</v>
      </c>
      <c r="H1268" s="17" t="str">
        <f>IFERROR(__xludf.DUMMYFUNCTION("""COMPUTED_VALUE"""),"сушені квіти, рослини")</f>
        <v>сушені квіти, рослини</v>
      </c>
      <c r="I1268" s="19">
        <f>IFERROR(__xludf.DUMMYFUNCTION("""COMPUTED_VALUE"""),0.1007)</f>
        <v>0.1007</v>
      </c>
      <c r="J1268" s="19">
        <f>IFERROR(__xludf.DUMMYFUNCTION("""COMPUTED_VALUE"""),0.2013)</f>
        <v>0.2013</v>
      </c>
      <c r="K1268" s="19">
        <f>IFERROR(__xludf.DUMMYFUNCTION("""COMPUTED_VALUE"""),0.2516)</f>
        <v>0.2516</v>
      </c>
      <c r="L1268" s="19">
        <f>IFERROR(__xludf.DUMMYFUNCTION("""COMPUTED_VALUE"""),0.302)</f>
        <v>0.302</v>
      </c>
      <c r="M1268" s="18">
        <f>IFERROR(__xludf.DUMMYFUNCTION("""COMPUTED_VALUE"""),4.65)</f>
        <v>4.65</v>
      </c>
    </row>
    <row r="1269">
      <c r="A1269" s="13" t="str">
        <f>IFERROR(__xludf.DUMMYFUNCTION("""COMPUTED_VALUE"""),"товари")</f>
        <v>товари</v>
      </c>
      <c r="B1269" s="16" t="str">
        <f>IFERROR(__xludf.DUMMYFUNCTION("""COMPUTED_VALUE"""),"товари для дому")</f>
        <v>товари для дому</v>
      </c>
      <c r="C1269" s="16" t="str">
        <f>IFERROR(__xludf.DUMMYFUNCTION("""COMPUTED_VALUE"""),"меблі")</f>
        <v>меблі</v>
      </c>
      <c r="D1269" s="16" t="str">
        <f>IFERROR(__xludf.DUMMYFUNCTION("""COMPUTED_VALUE"""),"комплектуючі для меблів")</f>
        <v>комплектуючі для меблів</v>
      </c>
      <c r="E1269" s="16" t="str">
        <f>IFERROR(__xludf.DUMMYFUNCTION("""COMPUTED_VALUE"""),"сушки для посуду")</f>
        <v>сушки для посуду</v>
      </c>
      <c r="F1269" s="17">
        <f>IFERROR(__xludf.DUMMYFUNCTION("""COMPUTED_VALUE"""),4.0)</f>
        <v>4</v>
      </c>
      <c r="G1269" s="17" t="str">
        <f>IFERROR(__xludf.DUMMYFUNCTION("""COMPUTED_VALUE"""),"370823")</f>
        <v>370823</v>
      </c>
      <c r="H1269" s="17" t="str">
        <f>IFERROR(__xludf.DUMMYFUNCTION("""COMPUTED_VALUE"""),"сушки для посуду")</f>
        <v>сушки для посуду</v>
      </c>
      <c r="I1269" s="19">
        <f>IFERROR(__xludf.DUMMYFUNCTION("""COMPUTED_VALUE"""),0.0665)</f>
        <v>0.0665</v>
      </c>
      <c r="J1269" s="19">
        <f>IFERROR(__xludf.DUMMYFUNCTION("""COMPUTED_VALUE"""),0.133)</f>
        <v>0.133</v>
      </c>
      <c r="K1269" s="19">
        <f>IFERROR(__xludf.DUMMYFUNCTION("""COMPUTED_VALUE"""),0.1663)</f>
        <v>0.1663</v>
      </c>
      <c r="L1269" s="19">
        <f>IFERROR(__xludf.DUMMYFUNCTION("""COMPUTED_VALUE"""),0.1995)</f>
        <v>0.1995</v>
      </c>
      <c r="M1269" s="18">
        <f>IFERROR(__xludf.DUMMYFUNCTION("""COMPUTED_VALUE"""),1.98)</f>
        <v>1.98</v>
      </c>
    </row>
    <row r="1270">
      <c r="A1270" s="13" t="str">
        <f>IFERROR(__xludf.DUMMYFUNCTION("""COMPUTED_VALUE"""),"товари")</f>
        <v>товари</v>
      </c>
      <c r="B1270" s="16" t="str">
        <f>IFERROR(__xludf.DUMMYFUNCTION("""COMPUTED_VALUE"""),"дача, сад і город")</f>
        <v>дача, сад і город</v>
      </c>
      <c r="C1270" s="16" t="str">
        <f>IFERROR(__xludf.DUMMYFUNCTION("""COMPUTED_VALUE"""),"аксесуари для барбекю")</f>
        <v>аксесуари для барбекю</v>
      </c>
      <c r="D1270" s="16" t="str">
        <f>IFERROR(__xludf.DUMMYFUNCTION("""COMPUTED_VALUE"""),"тандири")</f>
        <v>тандири</v>
      </c>
      <c r="E1270" s="16" t="str">
        <f>IFERROR(__xludf.DUMMYFUNCTION("""COMPUTED_VALUE"""),"тандири")</f>
        <v>тандири</v>
      </c>
      <c r="F1270" s="17">
        <f>IFERROR(__xludf.DUMMYFUNCTION("""COMPUTED_VALUE"""),3.0)</f>
        <v>3</v>
      </c>
      <c r="G1270" s="17" t="str">
        <f>IFERROR(__xludf.DUMMYFUNCTION("""COMPUTED_VALUE"""),"1515")</f>
        <v>1515</v>
      </c>
      <c r="H1270" s="17" t="str">
        <f>IFERROR(__xludf.DUMMYFUNCTION("""COMPUTED_VALUE"""),"тандири")</f>
        <v>тандири</v>
      </c>
      <c r="I1270" s="19">
        <f>IFERROR(__xludf.DUMMYFUNCTION("""COMPUTED_VALUE"""),0.0748)</f>
        <v>0.0748</v>
      </c>
      <c r="J1270" s="19">
        <f>IFERROR(__xludf.DUMMYFUNCTION("""COMPUTED_VALUE"""),0.1495)</f>
        <v>0.1495</v>
      </c>
      <c r="K1270" s="19">
        <f>IFERROR(__xludf.DUMMYFUNCTION("""COMPUTED_VALUE"""),0.1869)</f>
        <v>0.1869</v>
      </c>
      <c r="L1270" s="19">
        <f>IFERROR(__xludf.DUMMYFUNCTION("""COMPUTED_VALUE"""),0.2243)</f>
        <v>0.2243</v>
      </c>
      <c r="M1270" s="18">
        <f>IFERROR(__xludf.DUMMYFUNCTION("""COMPUTED_VALUE"""),3.98)</f>
        <v>3.98</v>
      </c>
    </row>
    <row r="1271">
      <c r="A1271" s="13" t="str">
        <f>IFERROR(__xludf.DUMMYFUNCTION("""COMPUTED_VALUE"""),"товари")</f>
        <v>товари</v>
      </c>
      <c r="B1271" s="16" t="str">
        <f>IFERROR(__xludf.DUMMYFUNCTION("""COMPUTED_VALUE"""),"товари для дому")</f>
        <v>товари для дому</v>
      </c>
      <c r="C1271" s="16" t="str">
        <f>IFERROR(__xludf.DUMMYFUNCTION("""COMPUTED_VALUE"""),"аксесуари для саун і лазень")</f>
        <v>аксесуари для саун і лазень</v>
      </c>
      <c r="D1271" s="16" t="str">
        <f>IFERROR(__xludf.DUMMYFUNCTION("""COMPUTED_VALUE"""),"тапочки для лазні та сауни")</f>
        <v>тапочки для лазні та сауни</v>
      </c>
      <c r="E1271" s="16" t="str">
        <f>IFERROR(__xludf.DUMMYFUNCTION("""COMPUTED_VALUE"""),"тапочки для лазні та сауни")</f>
        <v>тапочки для лазні та сауни</v>
      </c>
      <c r="F1271" s="17">
        <f>IFERROR(__xludf.DUMMYFUNCTION("""COMPUTED_VALUE"""),3.0)</f>
        <v>3</v>
      </c>
      <c r="G1271" s="17" t="str">
        <f>IFERROR(__xludf.DUMMYFUNCTION("""COMPUTED_VALUE"""),"15050206")</f>
        <v>15050206</v>
      </c>
      <c r="H1271" s="17" t="str">
        <f>IFERROR(__xludf.DUMMYFUNCTION("""COMPUTED_VALUE"""),"тапочки для лазні та сауни")</f>
        <v>тапочки для лазні та сауни</v>
      </c>
      <c r="I1271" s="19">
        <f>IFERROR(__xludf.DUMMYFUNCTION("""COMPUTED_VALUE"""),0.0538)</f>
        <v>0.0538</v>
      </c>
      <c r="J1271" s="19">
        <f>IFERROR(__xludf.DUMMYFUNCTION("""COMPUTED_VALUE"""),0.1075)</f>
        <v>0.1075</v>
      </c>
      <c r="K1271" s="19">
        <f>IFERROR(__xludf.DUMMYFUNCTION("""COMPUTED_VALUE"""),0.1344)</f>
        <v>0.1344</v>
      </c>
      <c r="L1271" s="19">
        <f>IFERROR(__xludf.DUMMYFUNCTION("""COMPUTED_VALUE"""),0.1613)</f>
        <v>0.1613</v>
      </c>
      <c r="M1271" s="18">
        <f>IFERROR(__xludf.DUMMYFUNCTION("""COMPUTED_VALUE"""),4.14)</f>
        <v>4.14</v>
      </c>
    </row>
    <row r="1272">
      <c r="A1272" s="13" t="str">
        <f>IFERROR(__xludf.DUMMYFUNCTION("""COMPUTED_VALUE"""),"товари")</f>
        <v>товари</v>
      </c>
      <c r="B1272" s="16" t="str">
        <f>IFERROR(__xludf.DUMMYFUNCTION("""COMPUTED_VALUE"""),"товари для дому")</f>
        <v>товари для дому</v>
      </c>
      <c r="C1272" s="16" t="str">
        <f>IFERROR(__xludf.DUMMYFUNCTION("""COMPUTED_VALUE"""),"посуд")</f>
        <v>посуд</v>
      </c>
      <c r="D1272" s="16" t="str">
        <f>IFERROR(__xludf.DUMMYFUNCTION("""COMPUTED_VALUE"""),"столовий посуд")</f>
        <v>столовий посуд</v>
      </c>
      <c r="E1272" s="16" t="str">
        <f>IFERROR(__xludf.DUMMYFUNCTION("""COMPUTED_VALUE"""),"тарілки і піали")</f>
        <v>тарілки і піали</v>
      </c>
      <c r="F1272" s="17">
        <f>IFERROR(__xludf.DUMMYFUNCTION("""COMPUTED_VALUE"""),4.0)</f>
        <v>4</v>
      </c>
      <c r="G1272" s="17" t="str">
        <f>IFERROR(__xludf.DUMMYFUNCTION("""COMPUTED_VALUE"""),"152201")</f>
        <v>152201</v>
      </c>
      <c r="H1272" s="17" t="str">
        <f>IFERROR(__xludf.DUMMYFUNCTION("""COMPUTED_VALUE"""),"тарілки і піали")</f>
        <v>тарілки і піали</v>
      </c>
      <c r="I1272" s="19">
        <f>IFERROR(__xludf.DUMMYFUNCTION("""COMPUTED_VALUE"""),0.0767)</f>
        <v>0.0767</v>
      </c>
      <c r="J1272" s="19">
        <f>IFERROR(__xludf.DUMMYFUNCTION("""COMPUTED_VALUE"""),0.1534)</f>
        <v>0.1534</v>
      </c>
      <c r="K1272" s="19">
        <f>IFERROR(__xludf.DUMMYFUNCTION("""COMPUTED_VALUE"""),0.1918)</f>
        <v>0.1918</v>
      </c>
      <c r="L1272" s="19">
        <f>IFERROR(__xludf.DUMMYFUNCTION("""COMPUTED_VALUE"""),0.2301)</f>
        <v>0.2301</v>
      </c>
      <c r="M1272" s="18">
        <f>IFERROR(__xludf.DUMMYFUNCTION("""COMPUTED_VALUE"""),2.08)</f>
        <v>2.08</v>
      </c>
    </row>
    <row r="1273">
      <c r="A1273" s="13" t="str">
        <f>IFERROR(__xludf.DUMMYFUNCTION("""COMPUTED_VALUE"""),"товари")</f>
        <v>товари</v>
      </c>
      <c r="B1273" s="16" t="str">
        <f>IFERROR(__xludf.DUMMYFUNCTION("""COMPUTED_VALUE"""),"товари для дому")</f>
        <v>товари для дому</v>
      </c>
      <c r="C1273" s="16" t="str">
        <f>IFERROR(__xludf.DUMMYFUNCTION("""COMPUTED_VALUE"""),"текстиль")</f>
        <v>текстиль</v>
      </c>
      <c r="D1273" s="16" t="str">
        <f>IFERROR(__xludf.DUMMYFUNCTION("""COMPUTED_VALUE"""),"текстиль для кухні")</f>
        <v>текстиль для кухні</v>
      </c>
      <c r="E1273" s="16" t="str">
        <f>IFERROR(__xludf.DUMMYFUNCTION("""COMPUTED_VALUE"""),"текстиль для кухні, загальне")</f>
        <v>текстиль для кухні, загальне</v>
      </c>
      <c r="F1273" s="17">
        <f>IFERROR(__xludf.DUMMYFUNCTION("""COMPUTED_VALUE"""),4.0)</f>
        <v>4</v>
      </c>
      <c r="G1273" s="17" t="str">
        <f>IFERROR(__xludf.DUMMYFUNCTION("""COMPUTED_VALUE"""),"4051001")</f>
        <v>4051001</v>
      </c>
      <c r="H1273" s="17" t="str">
        <f>IFERROR(__xludf.DUMMYFUNCTION("""COMPUTED_VALUE"""),"текстиль для кухні, загальне")</f>
        <v>текстиль для кухні, загальне</v>
      </c>
      <c r="I1273" s="19">
        <f>IFERROR(__xludf.DUMMYFUNCTION("""COMPUTED_VALUE"""),0.125)</f>
        <v>0.125</v>
      </c>
      <c r="J1273" s="19">
        <f>IFERROR(__xludf.DUMMYFUNCTION("""COMPUTED_VALUE"""),0.25)</f>
        <v>0.25</v>
      </c>
      <c r="K1273" s="19">
        <f>IFERROR(__xludf.DUMMYFUNCTION("""COMPUTED_VALUE"""),0.3125)</f>
        <v>0.3125</v>
      </c>
      <c r="L1273" s="19">
        <f>IFERROR(__xludf.DUMMYFUNCTION("""COMPUTED_VALUE"""),0.375)</f>
        <v>0.375</v>
      </c>
      <c r="M1273" s="18">
        <f>IFERROR(__xludf.DUMMYFUNCTION("""COMPUTED_VALUE"""),4.33)</f>
        <v>4.33</v>
      </c>
    </row>
    <row r="1274">
      <c r="A1274" s="13" t="str">
        <f>IFERROR(__xludf.DUMMYFUNCTION("""COMPUTED_VALUE"""),"товари")</f>
        <v>товари</v>
      </c>
      <c r="B1274" s="16" t="str">
        <f>IFERROR(__xludf.DUMMYFUNCTION("""COMPUTED_VALUE"""),"товари для дому")</f>
        <v>товари для дому</v>
      </c>
      <c r="C1274" s="16" t="str">
        <f>IFERROR(__xludf.DUMMYFUNCTION("""COMPUTED_VALUE"""),"текстиль")</f>
        <v>текстиль</v>
      </c>
      <c r="D1274" s="16" t="str">
        <f>IFERROR(__xludf.DUMMYFUNCTION("""COMPUTED_VALUE"""),"текстиль, загальне")</f>
        <v>текстиль, загальне</v>
      </c>
      <c r="E1274" s="16" t="str">
        <f>IFERROR(__xludf.DUMMYFUNCTION("""COMPUTED_VALUE"""),"текстиль, загальне")</f>
        <v>текстиль, загальне</v>
      </c>
      <c r="F1274" s="17">
        <f>IFERROR(__xludf.DUMMYFUNCTION("""COMPUTED_VALUE"""),3.0)</f>
        <v>3</v>
      </c>
      <c r="G1274" s="17" t="str">
        <f>IFERROR(__xludf.DUMMYFUNCTION("""COMPUTED_VALUE"""),"40599")</f>
        <v>40599</v>
      </c>
      <c r="H1274" s="17" t="str">
        <f>IFERROR(__xludf.DUMMYFUNCTION("""COMPUTED_VALUE"""),"текстиль, загальне")</f>
        <v>текстиль, загальне</v>
      </c>
      <c r="I1274" s="19">
        <f>IFERROR(__xludf.DUMMYFUNCTION("""COMPUTED_VALUE"""),0.125)</f>
        <v>0.125</v>
      </c>
      <c r="J1274" s="19">
        <f>IFERROR(__xludf.DUMMYFUNCTION("""COMPUTED_VALUE"""),0.25)</f>
        <v>0.25</v>
      </c>
      <c r="K1274" s="19">
        <f>IFERROR(__xludf.DUMMYFUNCTION("""COMPUTED_VALUE"""),0.3125)</f>
        <v>0.3125</v>
      </c>
      <c r="L1274" s="19">
        <f>IFERROR(__xludf.DUMMYFUNCTION("""COMPUTED_VALUE"""),0.375)</f>
        <v>0.375</v>
      </c>
      <c r="M1274" s="18">
        <f>IFERROR(__xludf.DUMMYFUNCTION("""COMPUTED_VALUE"""),4.33)</f>
        <v>4.33</v>
      </c>
    </row>
    <row r="1275">
      <c r="A1275" s="13" t="str">
        <f>IFERROR(__xludf.DUMMYFUNCTION("""COMPUTED_VALUE"""),"товари")</f>
        <v>товари</v>
      </c>
      <c r="B1275" s="16" t="str">
        <f>IFERROR(__xludf.DUMMYFUNCTION("""COMPUTED_VALUE"""),"дача, сад і город")</f>
        <v>дача, сад і город</v>
      </c>
      <c r="C1275" s="16" t="str">
        <f>IFERROR(__xludf.DUMMYFUNCTION("""COMPUTED_VALUE"""),"обладнання для фермерських продуктів")</f>
        <v>обладнання для фермерських продуктів</v>
      </c>
      <c r="D1275" s="16" t="str">
        <f>IFERROR(__xludf.DUMMYFUNCTION("""COMPUTED_VALUE"""),"теплиці і комплектуючі до них")</f>
        <v>теплиці і комплектуючі до них</v>
      </c>
      <c r="E1275" s="16" t="str">
        <f>IFERROR(__xludf.DUMMYFUNCTION("""COMPUTED_VALUE"""),"теплиці і комплектуючі до них")</f>
        <v>теплиці і комплектуючі до них</v>
      </c>
      <c r="F1275" s="17">
        <f>IFERROR(__xludf.DUMMYFUNCTION("""COMPUTED_VALUE"""),3.0)</f>
        <v>3</v>
      </c>
      <c r="G1275" s="17" t="str">
        <f>IFERROR(__xludf.DUMMYFUNCTION("""COMPUTED_VALUE"""),"311703")</f>
        <v>311703</v>
      </c>
      <c r="H1275" s="17" t="str">
        <f>IFERROR(__xludf.DUMMYFUNCTION("""COMPUTED_VALUE"""),"теплиці і комплектуючі до них")</f>
        <v>теплиці і комплектуючі до них</v>
      </c>
      <c r="I1275" s="19">
        <f>IFERROR(__xludf.DUMMYFUNCTION("""COMPUTED_VALUE"""),0.0703)</f>
        <v>0.0703</v>
      </c>
      <c r="J1275" s="19">
        <f>IFERROR(__xludf.DUMMYFUNCTION("""COMPUTED_VALUE"""),0.1405)</f>
        <v>0.1405</v>
      </c>
      <c r="K1275" s="19">
        <f>IFERROR(__xludf.DUMMYFUNCTION("""COMPUTED_VALUE"""),0.1756)</f>
        <v>0.1756</v>
      </c>
      <c r="L1275" s="19">
        <f>IFERROR(__xludf.DUMMYFUNCTION("""COMPUTED_VALUE"""),0.2108)</f>
        <v>0.2108</v>
      </c>
      <c r="M1275" s="18">
        <f>IFERROR(__xludf.DUMMYFUNCTION("""COMPUTED_VALUE"""),4.14)</f>
        <v>4.14</v>
      </c>
    </row>
    <row r="1276">
      <c r="A1276" s="13" t="str">
        <f>IFERROR(__xludf.DUMMYFUNCTION("""COMPUTED_VALUE"""),"товари")</f>
        <v>товари</v>
      </c>
      <c r="B1276" s="16" t="str">
        <f>IFERROR(__xludf.DUMMYFUNCTION("""COMPUTED_VALUE"""),"дача, сад і город")</f>
        <v>дача, сад і город</v>
      </c>
      <c r="C1276" s="16" t="str">
        <f>IFERROR(__xludf.DUMMYFUNCTION("""COMPUTED_VALUE"""),"садові рослини і ґрунти")</f>
        <v>садові рослини і ґрунти</v>
      </c>
      <c r="D1276" s="16" t="str">
        <f>IFERROR(__xludf.DUMMYFUNCTION("""COMPUTED_VALUE"""),"термоізоляційні настили для рослин, агроволокно")</f>
        <v>термоізоляційні настили для рослин, агроволокно</v>
      </c>
      <c r="E1276" s="16" t="str">
        <f>IFERROR(__xludf.DUMMYFUNCTION("""COMPUTED_VALUE"""),"термоізоляційні настили для рослин, агроволокно")</f>
        <v>термоізоляційні настили для рослин, агроволокно</v>
      </c>
      <c r="F1276" s="17">
        <f>IFERROR(__xludf.DUMMYFUNCTION("""COMPUTED_VALUE"""),3.0)</f>
        <v>3</v>
      </c>
      <c r="G1276" s="17" t="str">
        <f>IFERROR(__xludf.DUMMYFUNCTION("""COMPUTED_VALUE"""),"12514")</f>
        <v>12514</v>
      </c>
      <c r="H1276" s="17" t="str">
        <f>IFERROR(__xludf.DUMMYFUNCTION("""COMPUTED_VALUE"""),"термоізоляційні настили для рослин, агроволокно")</f>
        <v>термоізоляційні настили для рослин, агроволокно</v>
      </c>
      <c r="I1276" s="19">
        <f>IFERROR(__xludf.DUMMYFUNCTION("""COMPUTED_VALUE"""),0.075)</f>
        <v>0.075</v>
      </c>
      <c r="J1276" s="19">
        <f>IFERROR(__xludf.DUMMYFUNCTION("""COMPUTED_VALUE"""),0.15)</f>
        <v>0.15</v>
      </c>
      <c r="K1276" s="19">
        <f>IFERROR(__xludf.DUMMYFUNCTION("""COMPUTED_VALUE"""),0.1875)</f>
        <v>0.1875</v>
      </c>
      <c r="L1276" s="19">
        <f>IFERROR(__xludf.DUMMYFUNCTION("""COMPUTED_VALUE"""),0.225)</f>
        <v>0.225</v>
      </c>
      <c r="M1276" s="18">
        <f>IFERROR(__xludf.DUMMYFUNCTION("""COMPUTED_VALUE"""),2.53)</f>
        <v>2.53</v>
      </c>
    </row>
    <row r="1277">
      <c r="A1277" s="13" t="str">
        <f>IFERROR(__xludf.DUMMYFUNCTION("""COMPUTED_VALUE"""),"товари")</f>
        <v>товари</v>
      </c>
      <c r="B1277" s="16" t="str">
        <f>IFERROR(__xludf.DUMMYFUNCTION("""COMPUTED_VALUE"""),"товари для дому")</f>
        <v>товари для дому</v>
      </c>
      <c r="C1277" s="16" t="str">
        <f>IFERROR(__xludf.DUMMYFUNCTION("""COMPUTED_VALUE"""),"приналежності для ванної та туалету")</f>
        <v>приналежності для ванної та туалету</v>
      </c>
      <c r="D1277" s="16" t="str">
        <f>IFERROR(__xludf.DUMMYFUNCTION("""COMPUTED_VALUE"""),"термометри для ванної")</f>
        <v>термометри для ванної</v>
      </c>
      <c r="E1277" s="16" t="str">
        <f>IFERROR(__xludf.DUMMYFUNCTION("""COMPUTED_VALUE"""),"термометри для ванної")</f>
        <v>термометри для ванної</v>
      </c>
      <c r="F1277" s="17">
        <f>IFERROR(__xludf.DUMMYFUNCTION("""COMPUTED_VALUE"""),3.0)</f>
        <v>3</v>
      </c>
      <c r="G1277" s="17" t="str">
        <f>IFERROR(__xludf.DUMMYFUNCTION("""COMPUTED_VALUE"""),"154012")</f>
        <v>154012</v>
      </c>
      <c r="H1277" s="17" t="str">
        <f>IFERROR(__xludf.DUMMYFUNCTION("""COMPUTED_VALUE"""),"термометри для ванної")</f>
        <v>термометри для ванної</v>
      </c>
      <c r="I1277" s="19">
        <f>IFERROR(__xludf.DUMMYFUNCTION("""COMPUTED_VALUE"""),0.0447)</f>
        <v>0.0447</v>
      </c>
      <c r="J1277" s="19">
        <f>IFERROR(__xludf.DUMMYFUNCTION("""COMPUTED_VALUE"""),0.0893)</f>
        <v>0.0893</v>
      </c>
      <c r="K1277" s="19">
        <f>IFERROR(__xludf.DUMMYFUNCTION("""COMPUTED_VALUE"""),0.1116)</f>
        <v>0.1116</v>
      </c>
      <c r="L1277" s="19">
        <f>IFERROR(__xludf.DUMMYFUNCTION("""COMPUTED_VALUE"""),0.134)</f>
        <v>0.134</v>
      </c>
      <c r="M1277" s="18">
        <f>IFERROR(__xludf.DUMMYFUNCTION("""COMPUTED_VALUE"""),1.05)</f>
        <v>1.05</v>
      </c>
    </row>
    <row r="1278">
      <c r="A1278" s="13" t="str">
        <f>IFERROR(__xludf.DUMMYFUNCTION("""COMPUTED_VALUE"""),"товари")</f>
        <v>товари</v>
      </c>
      <c r="B1278" s="16" t="str">
        <f>IFERROR(__xludf.DUMMYFUNCTION("""COMPUTED_VALUE"""),"товари для дому")</f>
        <v>товари для дому</v>
      </c>
      <c r="C1278" s="16" t="str">
        <f>IFERROR(__xludf.DUMMYFUNCTION("""COMPUTED_VALUE"""),"посуд")</f>
        <v>посуд</v>
      </c>
      <c r="D1278" s="16" t="str">
        <f>IFERROR(__xludf.DUMMYFUNCTION("""COMPUTED_VALUE"""),"кухонне приладдя")</f>
        <v>кухонне приладдя</v>
      </c>
      <c r="E1278" s="16" t="str">
        <f>IFERROR(__xludf.DUMMYFUNCTION("""COMPUTED_VALUE"""),"тертки, шатківниці")</f>
        <v>тертки, шатківниці</v>
      </c>
      <c r="F1278" s="17">
        <f>IFERROR(__xludf.DUMMYFUNCTION("""COMPUTED_VALUE"""),4.0)</f>
        <v>4</v>
      </c>
      <c r="G1278" s="17" t="str">
        <f>IFERROR(__xludf.DUMMYFUNCTION("""COMPUTED_VALUE"""),"15230418")</f>
        <v>15230418</v>
      </c>
      <c r="H1278" s="17" t="str">
        <f>IFERROR(__xludf.DUMMYFUNCTION("""COMPUTED_VALUE"""),"тертки, шатківниці")</f>
        <v>тертки, шатківниці</v>
      </c>
      <c r="I1278" s="19">
        <f>IFERROR(__xludf.DUMMYFUNCTION("""COMPUTED_VALUE"""),0.0774)</f>
        <v>0.0774</v>
      </c>
      <c r="J1278" s="19">
        <f>IFERROR(__xludf.DUMMYFUNCTION("""COMPUTED_VALUE"""),0.1547)</f>
        <v>0.1547</v>
      </c>
      <c r="K1278" s="19">
        <f>IFERROR(__xludf.DUMMYFUNCTION("""COMPUTED_VALUE"""),0.1934)</f>
        <v>0.1934</v>
      </c>
      <c r="L1278" s="19">
        <f>IFERROR(__xludf.DUMMYFUNCTION("""COMPUTED_VALUE"""),0.2321)</f>
        <v>0.2321</v>
      </c>
      <c r="M1278" s="18">
        <f>IFERROR(__xludf.DUMMYFUNCTION("""COMPUTED_VALUE"""),2.08)</f>
        <v>2.08</v>
      </c>
    </row>
    <row r="1279">
      <c r="A1279" s="13" t="str">
        <f>IFERROR(__xludf.DUMMYFUNCTION("""COMPUTED_VALUE"""),"товари")</f>
        <v>товари</v>
      </c>
      <c r="B1279" s="16" t="str">
        <f>IFERROR(__xludf.DUMMYFUNCTION("""COMPUTED_VALUE"""),"товари для дому")</f>
        <v>товари для дому</v>
      </c>
      <c r="C1279" s="16" t="str">
        <f>IFERROR(__xludf.DUMMYFUNCTION("""COMPUTED_VALUE"""),"освітлення для дому")</f>
        <v>освітлення для дому</v>
      </c>
      <c r="D1279" s="16" t="str">
        <f>IFERROR(__xludf.DUMMYFUNCTION("""COMPUTED_VALUE"""),"торшери")</f>
        <v>торшери</v>
      </c>
      <c r="E1279" s="16" t="str">
        <f>IFERROR(__xludf.DUMMYFUNCTION("""COMPUTED_VALUE"""),"торшери")</f>
        <v>торшери</v>
      </c>
      <c r="F1279" s="17">
        <f>IFERROR(__xludf.DUMMYFUNCTION("""COMPUTED_VALUE"""),3.0)</f>
        <v>3</v>
      </c>
      <c r="G1279" s="17" t="str">
        <f>IFERROR(__xludf.DUMMYFUNCTION("""COMPUTED_VALUE"""),"39050506")</f>
        <v>39050506</v>
      </c>
      <c r="H1279" s="17" t="str">
        <f>IFERROR(__xludf.DUMMYFUNCTION("""COMPUTED_VALUE"""),"торшери")</f>
        <v>торшери</v>
      </c>
      <c r="I1279" s="19">
        <f>IFERROR(__xludf.DUMMYFUNCTION("""COMPUTED_VALUE"""),0.0759)</f>
        <v>0.0759</v>
      </c>
      <c r="J1279" s="19">
        <f>IFERROR(__xludf.DUMMYFUNCTION("""COMPUTED_VALUE"""),0.1518)</f>
        <v>0.1518</v>
      </c>
      <c r="K1279" s="19">
        <f>IFERROR(__xludf.DUMMYFUNCTION("""COMPUTED_VALUE"""),0.1898)</f>
        <v>0.1898</v>
      </c>
      <c r="L1279" s="19">
        <f>IFERROR(__xludf.DUMMYFUNCTION("""COMPUTED_VALUE"""),0.2277)</f>
        <v>0.2277</v>
      </c>
      <c r="M1279" s="18">
        <f>IFERROR(__xludf.DUMMYFUNCTION("""COMPUTED_VALUE"""),3.33)</f>
        <v>3.33</v>
      </c>
    </row>
    <row r="1280">
      <c r="A1280" s="13" t="str">
        <f>IFERROR(__xludf.DUMMYFUNCTION("""COMPUTED_VALUE"""),"товари")</f>
        <v>товари</v>
      </c>
      <c r="B1280" s="16" t="str">
        <f>IFERROR(__xludf.DUMMYFUNCTION("""COMPUTED_VALUE"""),"товари для дому")</f>
        <v>товари для дому</v>
      </c>
      <c r="C1280" s="16" t="str">
        <f>IFERROR(__xludf.DUMMYFUNCTION("""COMPUTED_VALUE"""),"посуд")</f>
        <v>посуд</v>
      </c>
      <c r="D1280" s="16" t="str">
        <f>IFERROR(__xludf.DUMMYFUNCTION("""COMPUTED_VALUE"""),"кухонне приладдя")</f>
        <v>кухонне приладдя</v>
      </c>
      <c r="E1280" s="16" t="str">
        <f>IFERROR(__xludf.DUMMYFUNCTION("""COMPUTED_VALUE"""),"точила для ножів")</f>
        <v>точила для ножів</v>
      </c>
      <c r="F1280" s="17">
        <f>IFERROR(__xludf.DUMMYFUNCTION("""COMPUTED_VALUE"""),4.0)</f>
        <v>4</v>
      </c>
      <c r="G1280" s="17" t="str">
        <f>IFERROR(__xludf.DUMMYFUNCTION("""COMPUTED_VALUE"""),"15230433")</f>
        <v>15230433</v>
      </c>
      <c r="H1280" s="17" t="str">
        <f>IFERROR(__xludf.DUMMYFUNCTION("""COMPUTED_VALUE"""),"точила для ножів")</f>
        <v>точила для ножів</v>
      </c>
      <c r="I1280" s="19">
        <f>IFERROR(__xludf.DUMMYFUNCTION("""COMPUTED_VALUE"""),0.0767)</f>
        <v>0.0767</v>
      </c>
      <c r="J1280" s="19">
        <f>IFERROR(__xludf.DUMMYFUNCTION("""COMPUTED_VALUE"""),0.1534)</f>
        <v>0.1534</v>
      </c>
      <c r="K1280" s="19">
        <f>IFERROR(__xludf.DUMMYFUNCTION("""COMPUTED_VALUE"""),0.1918)</f>
        <v>0.1918</v>
      </c>
      <c r="L1280" s="19">
        <f>IFERROR(__xludf.DUMMYFUNCTION("""COMPUTED_VALUE"""),0.2301)</f>
        <v>0.2301</v>
      </c>
      <c r="M1280" s="18">
        <f>IFERROR(__xludf.DUMMYFUNCTION("""COMPUTED_VALUE"""),2.08)</f>
        <v>2.08</v>
      </c>
    </row>
    <row r="1281">
      <c r="A1281" s="13" t="str">
        <f>IFERROR(__xludf.DUMMYFUNCTION("""COMPUTED_VALUE"""),"товари")</f>
        <v>товари</v>
      </c>
      <c r="B1281" s="16" t="str">
        <f>IFERROR(__xludf.DUMMYFUNCTION("""COMPUTED_VALUE"""),"товари для дому")</f>
        <v>товари для дому</v>
      </c>
      <c r="C1281" s="16" t="str">
        <f>IFERROR(__xludf.DUMMYFUNCTION("""COMPUTED_VALUE"""),"освітлення для дому")</f>
        <v>освітлення для дому</v>
      </c>
      <c r="D1281" s="16" t="str">
        <f>IFERROR(__xludf.DUMMYFUNCTION("""COMPUTED_VALUE"""),"точкові світильники та трек-системи")</f>
        <v>точкові світильники та трек-системи</v>
      </c>
      <c r="E1281" s="16" t="str">
        <f>IFERROR(__xludf.DUMMYFUNCTION("""COMPUTED_VALUE"""),"точкові світильники та трек-системи")</f>
        <v>точкові світильники та трек-системи</v>
      </c>
      <c r="F1281" s="17">
        <f>IFERROR(__xludf.DUMMYFUNCTION("""COMPUTED_VALUE"""),3.0)</f>
        <v>3</v>
      </c>
      <c r="G1281" s="17" t="str">
        <f>IFERROR(__xludf.DUMMYFUNCTION("""COMPUTED_VALUE"""),"39050503")</f>
        <v>39050503</v>
      </c>
      <c r="H1281" s="17" t="str">
        <f>IFERROR(__xludf.DUMMYFUNCTION("""COMPUTED_VALUE"""),"точкові світильники та трек-системи")</f>
        <v>точкові світильники та трек-системи</v>
      </c>
      <c r="I1281" s="19">
        <f>IFERROR(__xludf.DUMMYFUNCTION("""COMPUTED_VALUE"""),0.0782)</f>
        <v>0.0782</v>
      </c>
      <c r="J1281" s="19">
        <f>IFERROR(__xludf.DUMMYFUNCTION("""COMPUTED_VALUE"""),0.1563)</f>
        <v>0.1563</v>
      </c>
      <c r="K1281" s="19">
        <f>IFERROR(__xludf.DUMMYFUNCTION("""COMPUTED_VALUE"""),0.1954)</f>
        <v>0.1954</v>
      </c>
      <c r="L1281" s="19">
        <f>IFERROR(__xludf.DUMMYFUNCTION("""COMPUTED_VALUE"""),0.2345)</f>
        <v>0.2345</v>
      </c>
      <c r="M1281" s="18">
        <f>IFERROR(__xludf.DUMMYFUNCTION("""COMPUTED_VALUE"""),3.33)</f>
        <v>3.33</v>
      </c>
    </row>
    <row r="1282">
      <c r="A1282" s="13" t="str">
        <f>IFERROR(__xludf.DUMMYFUNCTION("""COMPUTED_VALUE"""),"товари")</f>
        <v>товари</v>
      </c>
      <c r="B1282" s="16" t="str">
        <f>IFERROR(__xludf.DUMMYFUNCTION("""COMPUTED_VALUE"""),"товари для дому")</f>
        <v>товари для дому</v>
      </c>
      <c r="C1282" s="16" t="str">
        <f>IFERROR(__xludf.DUMMYFUNCTION("""COMPUTED_VALUE"""),"освітлення для дому")</f>
        <v>освітлення для дому</v>
      </c>
      <c r="D1282" s="16" t="str">
        <f>IFERROR(__xludf.DUMMYFUNCTION("""COMPUTED_VALUE"""),"нічник")</f>
        <v>нічник</v>
      </c>
      <c r="E1282" s="16" t="str">
        <f>IFERROR(__xludf.DUMMYFUNCTION("""COMPUTED_VALUE"""),"нічник")</f>
        <v>нічник</v>
      </c>
      <c r="F1282" s="17">
        <f>IFERROR(__xludf.DUMMYFUNCTION("""COMPUTED_VALUE"""),3.0)</f>
        <v>3</v>
      </c>
      <c r="G1282" s="17">
        <f>IFERROR(__xludf.DUMMYFUNCTION("""COMPUTED_VALUE"""),1.5040609E7)</f>
        <v>15040609</v>
      </c>
      <c r="H1282" s="17" t="str">
        <f>IFERROR(__xludf.DUMMYFUNCTION("""COMPUTED_VALUE"""),"нічник")</f>
        <v>нічник</v>
      </c>
      <c r="I1282" s="19">
        <f>IFERROR(__xludf.DUMMYFUNCTION("""COMPUTED_VALUE"""),0.075)</f>
        <v>0.075</v>
      </c>
      <c r="J1282" s="19">
        <f>IFERROR(__xludf.DUMMYFUNCTION("""COMPUTED_VALUE"""),0.15)</f>
        <v>0.15</v>
      </c>
      <c r="K1282" s="19">
        <f>IFERROR(__xludf.DUMMYFUNCTION("""COMPUTED_VALUE"""),0.1875)</f>
        <v>0.1875</v>
      </c>
      <c r="L1282" s="19">
        <f>IFERROR(__xludf.DUMMYFUNCTION("""COMPUTED_VALUE"""),0.225)</f>
        <v>0.225</v>
      </c>
      <c r="M1282" s="18">
        <f>IFERROR(__xludf.DUMMYFUNCTION("""COMPUTED_VALUE"""),3.33)</f>
        <v>3.33</v>
      </c>
    </row>
    <row r="1283">
      <c r="A1283" s="13" t="str">
        <f>IFERROR(__xludf.DUMMYFUNCTION("""COMPUTED_VALUE"""),"товари")</f>
        <v>товари</v>
      </c>
      <c r="B1283" s="16" t="str">
        <f>IFERROR(__xludf.DUMMYFUNCTION("""COMPUTED_VALUE"""),"товари для дому")</f>
        <v>товари для дому</v>
      </c>
      <c r="C1283" s="16" t="str">
        <f>IFERROR(__xludf.DUMMYFUNCTION("""COMPUTED_VALUE"""),"освітлення для дому")</f>
        <v>освітлення для дому</v>
      </c>
      <c r="D1283" s="16" t="str">
        <f>IFERROR(__xludf.DUMMYFUNCTION("""COMPUTED_VALUE"""),"трекові світильники")</f>
        <v>трекові світильники</v>
      </c>
      <c r="E1283" s="16" t="str">
        <f>IFERROR(__xludf.DUMMYFUNCTION("""COMPUTED_VALUE"""),"трекові світильники")</f>
        <v>трекові світильники</v>
      </c>
      <c r="F1283" s="17">
        <f>IFERROR(__xludf.DUMMYFUNCTION("""COMPUTED_VALUE"""),3.0)</f>
        <v>3</v>
      </c>
      <c r="G1283" s="17" t="str">
        <f>IFERROR(__xludf.DUMMYFUNCTION("""COMPUTED_VALUE"""),"15040610")</f>
        <v>15040610</v>
      </c>
      <c r="H1283" s="17" t="str">
        <f>IFERROR(__xludf.DUMMYFUNCTION("""COMPUTED_VALUE"""),"трекові світильники")</f>
        <v>трекові світильники</v>
      </c>
      <c r="I1283" s="19">
        <f>IFERROR(__xludf.DUMMYFUNCTION("""COMPUTED_VALUE"""),0.075)</f>
        <v>0.075</v>
      </c>
      <c r="J1283" s="19">
        <f>IFERROR(__xludf.DUMMYFUNCTION("""COMPUTED_VALUE"""),0.15)</f>
        <v>0.15</v>
      </c>
      <c r="K1283" s="19">
        <f>IFERROR(__xludf.DUMMYFUNCTION("""COMPUTED_VALUE"""),0.1875)</f>
        <v>0.1875</v>
      </c>
      <c r="L1283" s="19">
        <f>IFERROR(__xludf.DUMMYFUNCTION("""COMPUTED_VALUE"""),0.225)</f>
        <v>0.225</v>
      </c>
      <c r="M1283" s="18">
        <f>IFERROR(__xludf.DUMMYFUNCTION("""COMPUTED_VALUE"""),3.33)</f>
        <v>3.33</v>
      </c>
    </row>
    <row r="1284">
      <c r="A1284" s="13" t="str">
        <f>IFERROR(__xludf.DUMMYFUNCTION("""COMPUTED_VALUE"""),"товари")</f>
        <v>товари</v>
      </c>
      <c r="B1284" s="16" t="str">
        <f>IFERROR(__xludf.DUMMYFUNCTION("""COMPUTED_VALUE"""),"дача, сад і город")</f>
        <v>дача, сад і город</v>
      </c>
      <c r="C1284" s="16" t="str">
        <f>IFERROR(__xludf.DUMMYFUNCTION("""COMPUTED_VALUE"""),"мінісільгосптехніка")</f>
        <v>мінісільгосптехніка</v>
      </c>
      <c r="D1284" s="16" t="str">
        <f>IFERROR(__xludf.DUMMYFUNCTION("""COMPUTED_VALUE"""),"трактори-газонокосарки, райдери")</f>
        <v>трактори-газонокосарки, райдери</v>
      </c>
      <c r="E1284" s="16" t="str">
        <f>IFERROR(__xludf.DUMMYFUNCTION("""COMPUTED_VALUE"""),"трактори-газонокосарки, райдери")</f>
        <v>трактори-газонокосарки, райдери</v>
      </c>
      <c r="F1284" s="17">
        <f>IFERROR(__xludf.DUMMYFUNCTION("""COMPUTED_VALUE"""),3.0)</f>
        <v>3</v>
      </c>
      <c r="G1284" s="17" t="str">
        <f>IFERROR(__xludf.DUMMYFUNCTION("""COMPUTED_VALUE"""),"14090203")</f>
        <v>14090203</v>
      </c>
      <c r="H1284" s="17" t="str">
        <f>IFERROR(__xludf.DUMMYFUNCTION("""COMPUTED_VALUE"""),"трактори-газонокосарки, райдери")</f>
        <v>трактори-газонокосарки, райдери</v>
      </c>
      <c r="I1284" s="19">
        <f>IFERROR(__xludf.DUMMYFUNCTION("""COMPUTED_VALUE"""),0.0483)</f>
        <v>0.0483</v>
      </c>
      <c r="J1284" s="19">
        <f>IFERROR(__xludf.DUMMYFUNCTION("""COMPUTED_VALUE"""),0.0965)</f>
        <v>0.0965</v>
      </c>
      <c r="K1284" s="19">
        <f>IFERROR(__xludf.DUMMYFUNCTION("""COMPUTED_VALUE"""),0.1206)</f>
        <v>0.1206</v>
      </c>
      <c r="L1284" s="19">
        <f>IFERROR(__xludf.DUMMYFUNCTION("""COMPUTED_VALUE"""),0.1448)</f>
        <v>0.1448</v>
      </c>
      <c r="M1284" s="18">
        <f>IFERROR(__xludf.DUMMYFUNCTION("""COMPUTED_VALUE"""),2.08)</f>
        <v>2.08</v>
      </c>
    </row>
    <row r="1285">
      <c r="A1285" s="13" t="str">
        <f>IFERROR(__xludf.DUMMYFUNCTION("""COMPUTED_VALUE"""),"товари")</f>
        <v>товари</v>
      </c>
      <c r="B1285" s="16" t="str">
        <f>IFERROR(__xludf.DUMMYFUNCTION("""COMPUTED_VALUE"""),"товари для дому")</f>
        <v>товари для дому</v>
      </c>
      <c r="C1285" s="16" t="str">
        <f>IFERROR(__xludf.DUMMYFUNCTION("""COMPUTED_VALUE"""),"приналежності для ванної та туалету")</f>
        <v>приналежності для ванної та туалету</v>
      </c>
      <c r="D1285" s="16" t="str">
        <f>IFERROR(__xludf.DUMMYFUNCTION("""COMPUTED_VALUE"""),"тримачі для паперу")</f>
        <v>тримачі для паперу</v>
      </c>
      <c r="E1285" s="16" t="str">
        <f>IFERROR(__xludf.DUMMYFUNCTION("""COMPUTED_VALUE"""),"тримачі для паперу")</f>
        <v>тримачі для паперу</v>
      </c>
      <c r="F1285" s="17">
        <f>IFERROR(__xludf.DUMMYFUNCTION("""COMPUTED_VALUE"""),3.0)</f>
        <v>3</v>
      </c>
      <c r="G1285" s="17" t="str">
        <f>IFERROR(__xludf.DUMMYFUNCTION("""COMPUTED_VALUE"""),"130115")</f>
        <v>130115</v>
      </c>
      <c r="H1285" s="17" t="str">
        <f>IFERROR(__xludf.DUMMYFUNCTION("""COMPUTED_VALUE"""),"тримачі для паперу")</f>
        <v>тримачі для паперу</v>
      </c>
      <c r="I1285" s="19">
        <f>IFERROR(__xludf.DUMMYFUNCTION("""COMPUTED_VALUE"""),0.0782)</f>
        <v>0.0782</v>
      </c>
      <c r="J1285" s="19">
        <f>IFERROR(__xludf.DUMMYFUNCTION("""COMPUTED_VALUE"""),0.1564)</f>
        <v>0.1564</v>
      </c>
      <c r="K1285" s="19">
        <f>IFERROR(__xludf.DUMMYFUNCTION("""COMPUTED_VALUE"""),0.1955)</f>
        <v>0.1955</v>
      </c>
      <c r="L1285" s="19">
        <f>IFERROR(__xludf.DUMMYFUNCTION("""COMPUTED_VALUE"""),0.2346)</f>
        <v>0.2346</v>
      </c>
      <c r="M1285" s="18">
        <f>IFERROR(__xludf.DUMMYFUNCTION("""COMPUTED_VALUE"""),2.7)</f>
        <v>2.7</v>
      </c>
    </row>
    <row r="1286">
      <c r="A1286" s="13" t="str">
        <f>IFERROR(__xludf.DUMMYFUNCTION("""COMPUTED_VALUE"""),"товари")</f>
        <v>товари</v>
      </c>
      <c r="B1286" s="16" t="str">
        <f>IFERROR(__xludf.DUMMYFUNCTION("""COMPUTED_VALUE"""),"товари для дому")</f>
        <v>товари для дому</v>
      </c>
      <c r="C1286" s="16" t="str">
        <f>IFERROR(__xludf.DUMMYFUNCTION("""COMPUTED_VALUE"""),"приналежності для ванної та туалету")</f>
        <v>приналежності для ванної та туалету</v>
      </c>
      <c r="D1286" s="16" t="str">
        <f>IFERROR(__xludf.DUMMYFUNCTION("""COMPUTED_VALUE"""),"тримачі рушників")</f>
        <v>тримачі рушників</v>
      </c>
      <c r="E1286" s="16" t="str">
        <f>IFERROR(__xludf.DUMMYFUNCTION("""COMPUTED_VALUE"""),"тримачі рушників")</f>
        <v>тримачі рушників</v>
      </c>
      <c r="F1286" s="17">
        <f>IFERROR(__xludf.DUMMYFUNCTION("""COMPUTED_VALUE"""),3.0)</f>
        <v>3</v>
      </c>
      <c r="G1286" s="17" t="str">
        <f>IFERROR(__xludf.DUMMYFUNCTION("""COMPUTED_VALUE"""),"130122")</f>
        <v>130122</v>
      </c>
      <c r="H1286" s="17" t="str">
        <f>IFERROR(__xludf.DUMMYFUNCTION("""COMPUTED_VALUE"""),"тримачі рушників")</f>
        <v>тримачі рушників</v>
      </c>
      <c r="I1286" s="19">
        <f>IFERROR(__xludf.DUMMYFUNCTION("""COMPUTED_VALUE"""),0.0758)</f>
        <v>0.0758</v>
      </c>
      <c r="J1286" s="19">
        <f>IFERROR(__xludf.DUMMYFUNCTION("""COMPUTED_VALUE"""),0.1516)</f>
        <v>0.1516</v>
      </c>
      <c r="K1286" s="19">
        <f>IFERROR(__xludf.DUMMYFUNCTION("""COMPUTED_VALUE"""),0.1895)</f>
        <v>0.1895</v>
      </c>
      <c r="L1286" s="19">
        <f>IFERROR(__xludf.DUMMYFUNCTION("""COMPUTED_VALUE"""),0.2274)</f>
        <v>0.2274</v>
      </c>
      <c r="M1286" s="18">
        <f>IFERROR(__xludf.DUMMYFUNCTION("""COMPUTED_VALUE"""),1.8)</f>
        <v>1.8</v>
      </c>
    </row>
    <row r="1287">
      <c r="A1287" s="13" t="str">
        <f>IFERROR(__xludf.DUMMYFUNCTION("""COMPUTED_VALUE"""),"товари")</f>
        <v>товари</v>
      </c>
      <c r="B1287" s="16" t="str">
        <f>IFERROR(__xludf.DUMMYFUNCTION("""COMPUTED_VALUE"""),"дача, сад і город")</f>
        <v>дача, сад і город</v>
      </c>
      <c r="C1287" s="16" t="str">
        <f>IFERROR(__xludf.DUMMYFUNCTION("""COMPUTED_VALUE"""),"аксесуари для барбекю")</f>
        <v>аксесуари для барбекю</v>
      </c>
      <c r="D1287" s="16" t="str">
        <f>IFERROR(__xludf.DUMMYFUNCTION("""COMPUTED_VALUE"""),"тріска для копчення")</f>
        <v>тріска для копчення</v>
      </c>
      <c r="E1287" s="16" t="str">
        <f>IFERROR(__xludf.DUMMYFUNCTION("""COMPUTED_VALUE"""),"тріска для копчення")</f>
        <v>тріска для копчення</v>
      </c>
      <c r="F1287" s="17">
        <f>IFERROR(__xludf.DUMMYFUNCTION("""COMPUTED_VALUE"""),3.0)</f>
        <v>3</v>
      </c>
      <c r="G1287" s="17" t="str">
        <f>IFERROR(__xludf.DUMMYFUNCTION("""COMPUTED_VALUE"""),"1008")</f>
        <v>1008</v>
      </c>
      <c r="H1287" s="17" t="str">
        <f>IFERROR(__xludf.DUMMYFUNCTION("""COMPUTED_VALUE"""),"тріска для копчення")</f>
        <v>тріска для копчення</v>
      </c>
      <c r="I1287" s="19">
        <f>IFERROR(__xludf.DUMMYFUNCTION("""COMPUTED_VALUE"""),0.0771)</f>
        <v>0.0771</v>
      </c>
      <c r="J1287" s="19">
        <f>IFERROR(__xludf.DUMMYFUNCTION("""COMPUTED_VALUE"""),0.1541)</f>
        <v>0.1541</v>
      </c>
      <c r="K1287" s="19">
        <f>IFERROR(__xludf.DUMMYFUNCTION("""COMPUTED_VALUE"""),0.1926)</f>
        <v>0.1926</v>
      </c>
      <c r="L1287" s="19">
        <f>IFERROR(__xludf.DUMMYFUNCTION("""COMPUTED_VALUE"""),0.2312)</f>
        <v>0.2312</v>
      </c>
      <c r="M1287" s="18">
        <f>IFERROR(__xludf.DUMMYFUNCTION("""COMPUTED_VALUE"""),3.98)</f>
        <v>3.98</v>
      </c>
    </row>
    <row r="1288">
      <c r="A1288" s="13" t="str">
        <f>IFERROR(__xludf.DUMMYFUNCTION("""COMPUTED_VALUE"""),"товари")</f>
        <v>товари</v>
      </c>
      <c r="B1288" s="16" t="str">
        <f>IFERROR(__xludf.DUMMYFUNCTION("""COMPUTED_VALUE"""),"товари для дому")</f>
        <v>товари для дому</v>
      </c>
      <c r="C1288" s="16" t="str">
        <f>IFERROR(__xludf.DUMMYFUNCTION("""COMPUTED_VALUE"""),"меблі")</f>
        <v>меблі</v>
      </c>
      <c r="D1288" s="16" t="str">
        <f>IFERROR(__xludf.DUMMYFUNCTION("""COMPUTED_VALUE"""),"столи")</f>
        <v>столи</v>
      </c>
      <c r="E1288" s="16" t="str">
        <f>IFERROR(__xludf.DUMMYFUNCTION("""COMPUTED_VALUE"""),"туалетні столики")</f>
        <v>туалетні столики</v>
      </c>
      <c r="F1288" s="17">
        <f>IFERROR(__xludf.DUMMYFUNCTION("""COMPUTED_VALUE"""),4.0)</f>
        <v>4</v>
      </c>
      <c r="G1288" s="17" t="str">
        <f>IFERROR(__xludf.DUMMYFUNCTION("""COMPUTED_VALUE"""),"15030306")</f>
        <v>15030306</v>
      </c>
      <c r="H1288" s="17" t="str">
        <f>IFERROR(__xludf.DUMMYFUNCTION("""COMPUTED_VALUE"""),"туалетні столики")</f>
        <v>туалетні столики</v>
      </c>
      <c r="I1288" s="19">
        <f>IFERROR(__xludf.DUMMYFUNCTION("""COMPUTED_VALUE"""),0.069)</f>
        <v>0.069</v>
      </c>
      <c r="J1288" s="19">
        <f>IFERROR(__xludf.DUMMYFUNCTION("""COMPUTED_VALUE"""),0.138)</f>
        <v>0.138</v>
      </c>
      <c r="K1288" s="19">
        <f>IFERROR(__xludf.DUMMYFUNCTION("""COMPUTED_VALUE"""),0.1725)</f>
        <v>0.1725</v>
      </c>
      <c r="L1288" s="19">
        <f>IFERROR(__xludf.DUMMYFUNCTION("""COMPUTED_VALUE"""),0.207)</f>
        <v>0.207</v>
      </c>
      <c r="M1288" s="18">
        <f>IFERROR(__xludf.DUMMYFUNCTION("""COMPUTED_VALUE"""),2.53)</f>
        <v>2.53</v>
      </c>
    </row>
    <row r="1289">
      <c r="A1289" s="13" t="str">
        <f>IFERROR(__xludf.DUMMYFUNCTION("""COMPUTED_VALUE"""),"товари")</f>
        <v>товари</v>
      </c>
      <c r="B1289" s="16" t="str">
        <f>IFERROR(__xludf.DUMMYFUNCTION("""COMPUTED_VALUE"""),"товари для дому")</f>
        <v>товари для дому</v>
      </c>
      <c r="C1289" s="16" t="str">
        <f>IFERROR(__xludf.DUMMYFUNCTION("""COMPUTED_VALUE"""),"меблі")</f>
        <v>меблі</v>
      </c>
      <c r="D1289" s="16" t="str">
        <f>IFERROR(__xludf.DUMMYFUNCTION("""COMPUTED_VALUE"""),"тумби та тумбочки")</f>
        <v>тумби та тумбочки</v>
      </c>
      <c r="E1289" s="16" t="str">
        <f>IFERROR(__xludf.DUMMYFUNCTION("""COMPUTED_VALUE"""),"тумби")</f>
        <v>тумби</v>
      </c>
      <c r="F1289" s="17">
        <f>IFERROR(__xludf.DUMMYFUNCTION("""COMPUTED_VALUE"""),4.0)</f>
        <v>4</v>
      </c>
      <c r="G1289" s="17" t="str">
        <f>IFERROR(__xludf.DUMMYFUNCTION("""COMPUTED_VALUE"""),"15033602")</f>
        <v>15033602</v>
      </c>
      <c r="H1289" s="17" t="str">
        <f>IFERROR(__xludf.DUMMYFUNCTION("""COMPUTED_VALUE"""),"тумби")</f>
        <v>тумби</v>
      </c>
      <c r="I1289" s="19">
        <f>IFERROR(__xludf.DUMMYFUNCTION("""COMPUTED_VALUE"""),0.0758)</f>
        <v>0.0758</v>
      </c>
      <c r="J1289" s="19">
        <f>IFERROR(__xludf.DUMMYFUNCTION("""COMPUTED_VALUE"""),0.1516)</f>
        <v>0.1516</v>
      </c>
      <c r="K1289" s="19">
        <f>IFERROR(__xludf.DUMMYFUNCTION("""COMPUTED_VALUE"""),0.1895)</f>
        <v>0.1895</v>
      </c>
      <c r="L1289" s="19">
        <f>IFERROR(__xludf.DUMMYFUNCTION("""COMPUTED_VALUE"""),0.2274)</f>
        <v>0.2274</v>
      </c>
      <c r="M1289" s="18">
        <f>IFERROR(__xludf.DUMMYFUNCTION("""COMPUTED_VALUE"""),3.2)</f>
        <v>3.2</v>
      </c>
    </row>
    <row r="1290">
      <c r="A1290" s="13" t="str">
        <f>IFERROR(__xludf.DUMMYFUNCTION("""COMPUTED_VALUE"""),"товари")</f>
        <v>товари</v>
      </c>
      <c r="B1290" s="16" t="str">
        <f>IFERROR(__xludf.DUMMYFUNCTION("""COMPUTED_VALUE"""),"товари для дому")</f>
        <v>товари для дому</v>
      </c>
      <c r="C1290" s="16" t="str">
        <f>IFERROR(__xludf.DUMMYFUNCTION("""COMPUTED_VALUE"""),"меблі")</f>
        <v>меблі</v>
      </c>
      <c r="D1290" s="16" t="str">
        <f>IFERROR(__xludf.DUMMYFUNCTION("""COMPUTED_VALUE"""),"меблі для ванних")</f>
        <v>меблі для ванних</v>
      </c>
      <c r="E1290" s="16" t="str">
        <f>IFERROR(__xludf.DUMMYFUNCTION("""COMPUTED_VALUE"""),"тумби під раковину")</f>
        <v>тумби під раковину</v>
      </c>
      <c r="F1290" s="17">
        <f>IFERROR(__xludf.DUMMYFUNCTION("""COMPUTED_VALUE"""),4.0)</f>
        <v>4</v>
      </c>
      <c r="G1290" s="17" t="str">
        <f>IFERROR(__xludf.DUMMYFUNCTION("""COMPUTED_VALUE"""),"13018004")</f>
        <v>13018004</v>
      </c>
      <c r="H1290" s="17" t="str">
        <f>IFERROR(__xludf.DUMMYFUNCTION("""COMPUTED_VALUE"""),"тумби під раковину")</f>
        <v>тумби під раковину</v>
      </c>
      <c r="I1290" s="19">
        <f>IFERROR(__xludf.DUMMYFUNCTION("""COMPUTED_VALUE"""),0.0648)</f>
        <v>0.0648</v>
      </c>
      <c r="J1290" s="19">
        <f>IFERROR(__xludf.DUMMYFUNCTION("""COMPUTED_VALUE"""),0.1295)</f>
        <v>0.1295</v>
      </c>
      <c r="K1290" s="19">
        <f>IFERROR(__xludf.DUMMYFUNCTION("""COMPUTED_VALUE"""),0.1619)</f>
        <v>0.1619</v>
      </c>
      <c r="L1290" s="19">
        <f>IFERROR(__xludf.DUMMYFUNCTION("""COMPUTED_VALUE"""),0.1943)</f>
        <v>0.1943</v>
      </c>
      <c r="M1290" s="18">
        <f>IFERROR(__xludf.DUMMYFUNCTION("""COMPUTED_VALUE"""),2.7)</f>
        <v>2.7</v>
      </c>
    </row>
    <row r="1291">
      <c r="A1291" s="13" t="str">
        <f>IFERROR(__xludf.DUMMYFUNCTION("""COMPUTED_VALUE"""),"товари")</f>
        <v>товари</v>
      </c>
      <c r="B1291" s="16" t="str">
        <f>IFERROR(__xludf.DUMMYFUNCTION("""COMPUTED_VALUE"""),"товари для дому")</f>
        <v>товари для дому</v>
      </c>
      <c r="C1291" s="16" t="str">
        <f>IFERROR(__xludf.DUMMYFUNCTION("""COMPUTED_VALUE"""),"меблі")</f>
        <v>меблі</v>
      </c>
      <c r="D1291" s="16" t="str">
        <f>IFERROR(__xludf.DUMMYFUNCTION("""COMPUTED_VALUE"""),"тумби та тумбочки")</f>
        <v>тумби та тумбочки</v>
      </c>
      <c r="E1291" s="16" t="str">
        <f>IFERROR(__xludf.DUMMYFUNCTION("""COMPUTED_VALUE"""),"тумби під телевізор")</f>
        <v>тумби під телевізор</v>
      </c>
      <c r="F1291" s="17">
        <f>IFERROR(__xludf.DUMMYFUNCTION("""COMPUTED_VALUE"""),4.0)</f>
        <v>4</v>
      </c>
      <c r="G1291" s="17" t="str">
        <f>IFERROR(__xludf.DUMMYFUNCTION("""COMPUTED_VALUE"""),"37034011")</f>
        <v>37034011</v>
      </c>
      <c r="H1291" s="17" t="str">
        <f>IFERROR(__xludf.DUMMYFUNCTION("""COMPUTED_VALUE"""),"тумби під телевізор")</f>
        <v>тумби під телевізор</v>
      </c>
      <c r="I1291" s="19">
        <f>IFERROR(__xludf.DUMMYFUNCTION("""COMPUTED_VALUE"""),0.0681)</f>
        <v>0.0681</v>
      </c>
      <c r="J1291" s="19">
        <f>IFERROR(__xludf.DUMMYFUNCTION("""COMPUTED_VALUE"""),0.1361)</f>
        <v>0.1361</v>
      </c>
      <c r="K1291" s="19">
        <f>IFERROR(__xludf.DUMMYFUNCTION("""COMPUTED_VALUE"""),0.1701)</f>
        <v>0.1701</v>
      </c>
      <c r="L1291" s="19">
        <f>IFERROR(__xludf.DUMMYFUNCTION("""COMPUTED_VALUE"""),0.2042)</f>
        <v>0.2042</v>
      </c>
      <c r="M1291" s="18">
        <f>IFERROR(__xludf.DUMMYFUNCTION("""COMPUTED_VALUE"""),3.15)</f>
        <v>3.15</v>
      </c>
    </row>
    <row r="1292">
      <c r="A1292" s="13" t="str">
        <f>IFERROR(__xludf.DUMMYFUNCTION("""COMPUTED_VALUE"""),"товари")</f>
        <v>товари</v>
      </c>
      <c r="B1292" s="16" t="str">
        <f>IFERROR(__xludf.DUMMYFUNCTION("""COMPUTED_VALUE"""),"товари для дому")</f>
        <v>товари для дому</v>
      </c>
      <c r="C1292" s="16" t="str">
        <f>IFERROR(__xludf.DUMMYFUNCTION("""COMPUTED_VALUE"""),"меблі")</f>
        <v>меблі</v>
      </c>
      <c r="D1292" s="16" t="str">
        <f>IFERROR(__xludf.DUMMYFUNCTION("""COMPUTED_VALUE"""),"тумби та тумбочки")</f>
        <v>тумби та тумбочки</v>
      </c>
      <c r="E1292" s="16" t="str">
        <f>IFERROR(__xludf.DUMMYFUNCTION("""COMPUTED_VALUE"""),"тумби та тумбочки, загальне")</f>
        <v>тумби та тумбочки, загальне</v>
      </c>
      <c r="F1292" s="17">
        <f>IFERROR(__xludf.DUMMYFUNCTION("""COMPUTED_VALUE"""),4.0)</f>
        <v>4</v>
      </c>
      <c r="G1292" s="17" t="str">
        <f>IFERROR(__xludf.DUMMYFUNCTION("""COMPUTED_VALUE"""),"15033601")</f>
        <v>15033601</v>
      </c>
      <c r="H1292" s="17" t="str">
        <f>IFERROR(__xludf.DUMMYFUNCTION("""COMPUTED_VALUE"""),"тумби та тумбочки, загальне")</f>
        <v>тумби та тумбочки, загальне</v>
      </c>
      <c r="I1292" s="19">
        <f>IFERROR(__xludf.DUMMYFUNCTION("""COMPUTED_VALUE"""),0.125)</f>
        <v>0.125</v>
      </c>
      <c r="J1292" s="19">
        <f>IFERROR(__xludf.DUMMYFUNCTION("""COMPUTED_VALUE"""),0.25)</f>
        <v>0.25</v>
      </c>
      <c r="K1292" s="19">
        <f>IFERROR(__xludf.DUMMYFUNCTION("""COMPUTED_VALUE"""),0.3125)</f>
        <v>0.3125</v>
      </c>
      <c r="L1292" s="19">
        <f>IFERROR(__xludf.DUMMYFUNCTION("""COMPUTED_VALUE"""),0.375)</f>
        <v>0.375</v>
      </c>
      <c r="M1292" s="18">
        <f>IFERROR(__xludf.DUMMYFUNCTION("""COMPUTED_VALUE"""),4.33)</f>
        <v>4.33</v>
      </c>
    </row>
    <row r="1293">
      <c r="A1293" s="13" t="str">
        <f>IFERROR(__xludf.DUMMYFUNCTION("""COMPUTED_VALUE"""),"товари")</f>
        <v>товари</v>
      </c>
      <c r="B1293" s="16" t="str">
        <f>IFERROR(__xludf.DUMMYFUNCTION("""COMPUTED_VALUE"""),"товари для дому")</f>
        <v>товари для дому</v>
      </c>
      <c r="C1293" s="16" t="str">
        <f>IFERROR(__xludf.DUMMYFUNCTION("""COMPUTED_VALUE"""),"меблі")</f>
        <v>меблі</v>
      </c>
      <c r="D1293" s="16" t="str">
        <f>IFERROR(__xludf.DUMMYFUNCTION("""COMPUTED_VALUE"""),"тумби та тумбочки")</f>
        <v>тумби та тумбочки</v>
      </c>
      <c r="E1293" s="16" t="str">
        <f>IFERROR(__xludf.DUMMYFUNCTION("""COMPUTED_VALUE"""),"тумби та шафи для взуття")</f>
        <v>тумби та шафи для взуття</v>
      </c>
      <c r="F1293" s="17">
        <f>IFERROR(__xludf.DUMMYFUNCTION("""COMPUTED_VALUE"""),4.0)</f>
        <v>4</v>
      </c>
      <c r="G1293" s="17" t="str">
        <f>IFERROR(__xludf.DUMMYFUNCTION("""COMPUTED_VALUE"""),"37034008")</f>
        <v>37034008</v>
      </c>
      <c r="H1293" s="17" t="str">
        <f>IFERROR(__xludf.DUMMYFUNCTION("""COMPUTED_VALUE"""),"тумби та шафи для взуття")</f>
        <v>тумби та шафи для взуття</v>
      </c>
      <c r="I1293" s="19">
        <f>IFERROR(__xludf.DUMMYFUNCTION("""COMPUTED_VALUE"""),0.0665)</f>
        <v>0.0665</v>
      </c>
      <c r="J1293" s="19">
        <f>IFERROR(__xludf.DUMMYFUNCTION("""COMPUTED_VALUE"""),0.133)</f>
        <v>0.133</v>
      </c>
      <c r="K1293" s="19">
        <f>IFERROR(__xludf.DUMMYFUNCTION("""COMPUTED_VALUE"""),0.1663)</f>
        <v>0.1663</v>
      </c>
      <c r="L1293" s="19">
        <f>IFERROR(__xludf.DUMMYFUNCTION("""COMPUTED_VALUE"""),0.1995)</f>
        <v>0.1995</v>
      </c>
      <c r="M1293" s="18">
        <f>IFERROR(__xludf.DUMMYFUNCTION("""COMPUTED_VALUE"""),2.79)</f>
        <v>2.79</v>
      </c>
    </row>
    <row r="1294">
      <c r="A1294" s="13" t="str">
        <f>IFERROR(__xludf.DUMMYFUNCTION("""COMPUTED_VALUE"""),"товари")</f>
        <v>товари</v>
      </c>
      <c r="B1294" s="16" t="str">
        <f>IFERROR(__xludf.DUMMYFUNCTION("""COMPUTED_VALUE"""),"товари для дому")</f>
        <v>товари для дому</v>
      </c>
      <c r="C1294" s="16" t="str">
        <f>IFERROR(__xludf.DUMMYFUNCTION("""COMPUTED_VALUE"""),"меблі")</f>
        <v>меблі</v>
      </c>
      <c r="D1294" s="16" t="str">
        <f>IFERROR(__xludf.DUMMYFUNCTION("""COMPUTED_VALUE"""),"туристичні меблі")</f>
        <v>туристичні меблі</v>
      </c>
      <c r="E1294" s="16" t="str">
        <f>IFERROR(__xludf.DUMMYFUNCTION("""COMPUTED_VALUE"""),"туристичні меблі, загальне")</f>
        <v>туристичні меблі, загальне</v>
      </c>
      <c r="F1294" s="17">
        <f>IFERROR(__xludf.DUMMYFUNCTION("""COMPUTED_VALUE"""),4.0)</f>
        <v>4</v>
      </c>
      <c r="G1294" s="17" t="str">
        <f>IFERROR(__xludf.DUMMYFUNCTION("""COMPUTED_VALUE"""),"240423")</f>
        <v>240423</v>
      </c>
      <c r="H1294" s="17" t="str">
        <f>IFERROR(__xludf.DUMMYFUNCTION("""COMPUTED_VALUE"""),"туристичні меблі, загальне")</f>
        <v>туристичні меблі, загальне</v>
      </c>
      <c r="I1294" s="19">
        <f>IFERROR(__xludf.DUMMYFUNCTION("""COMPUTED_VALUE"""),0.125)</f>
        <v>0.125</v>
      </c>
      <c r="J1294" s="19">
        <f>IFERROR(__xludf.DUMMYFUNCTION("""COMPUTED_VALUE"""),0.25)</f>
        <v>0.25</v>
      </c>
      <c r="K1294" s="19">
        <f>IFERROR(__xludf.DUMMYFUNCTION("""COMPUTED_VALUE"""),0.3125)</f>
        <v>0.3125</v>
      </c>
      <c r="L1294" s="19">
        <f>IFERROR(__xludf.DUMMYFUNCTION("""COMPUTED_VALUE"""),0.375)</f>
        <v>0.375</v>
      </c>
      <c r="M1294" s="18">
        <f>IFERROR(__xludf.DUMMYFUNCTION("""COMPUTED_VALUE"""),4.33)</f>
        <v>4.33</v>
      </c>
    </row>
    <row r="1295">
      <c r="A1295" s="13" t="str">
        <f>IFERROR(__xludf.DUMMYFUNCTION("""COMPUTED_VALUE"""),"товари")</f>
        <v>товари</v>
      </c>
      <c r="B1295" s="16" t="str">
        <f>IFERROR(__xludf.DUMMYFUNCTION("""COMPUTED_VALUE"""),"товари для дому")</f>
        <v>товари для дому</v>
      </c>
      <c r="C1295" s="16" t="str">
        <f>IFERROR(__xludf.DUMMYFUNCTION("""COMPUTED_VALUE"""),"меблі")</f>
        <v>меблі</v>
      </c>
      <c r="D1295" s="16" t="str">
        <f>IFERROR(__xludf.DUMMYFUNCTION("""COMPUTED_VALUE"""),"туристичні меблі")</f>
        <v>туристичні меблі</v>
      </c>
      <c r="E1295" s="16" t="str">
        <f>IFERROR(__xludf.DUMMYFUNCTION("""COMPUTED_VALUE"""),"туристичні розкладачки")</f>
        <v>туристичні розкладачки</v>
      </c>
      <c r="F1295" s="17">
        <f>IFERROR(__xludf.DUMMYFUNCTION("""COMPUTED_VALUE"""),4.0)</f>
        <v>4</v>
      </c>
      <c r="G1295" s="17" t="str">
        <f>IFERROR(__xludf.DUMMYFUNCTION("""COMPUTED_VALUE"""),"240456")</f>
        <v>240456</v>
      </c>
      <c r="H1295" s="17" t="str">
        <f>IFERROR(__xludf.DUMMYFUNCTION("""COMPUTED_VALUE"""),"туристичні розкладачки")</f>
        <v>туристичні розкладачки</v>
      </c>
      <c r="I1295" s="19">
        <f>IFERROR(__xludf.DUMMYFUNCTION("""COMPUTED_VALUE"""),0.0717)</f>
        <v>0.0717</v>
      </c>
      <c r="J1295" s="19">
        <f>IFERROR(__xludf.DUMMYFUNCTION("""COMPUTED_VALUE"""),0.1433)</f>
        <v>0.1433</v>
      </c>
      <c r="K1295" s="19">
        <f>IFERROR(__xludf.DUMMYFUNCTION("""COMPUTED_VALUE"""),0.1791)</f>
        <v>0.1791</v>
      </c>
      <c r="L1295" s="19">
        <f>IFERROR(__xludf.DUMMYFUNCTION("""COMPUTED_VALUE"""),0.215)</f>
        <v>0.215</v>
      </c>
      <c r="M1295" s="18">
        <f>IFERROR(__xludf.DUMMYFUNCTION("""COMPUTED_VALUE"""),3.24)</f>
        <v>3.24</v>
      </c>
    </row>
    <row r="1296">
      <c r="A1296" s="13" t="str">
        <f>IFERROR(__xludf.DUMMYFUNCTION("""COMPUTED_VALUE"""),"товари")</f>
        <v>товари</v>
      </c>
      <c r="B1296" s="16" t="str">
        <f>IFERROR(__xludf.DUMMYFUNCTION("""COMPUTED_VALUE"""),"товари для дому")</f>
        <v>товари для дому</v>
      </c>
      <c r="C1296" s="16" t="str">
        <f>IFERROR(__xludf.DUMMYFUNCTION("""COMPUTED_VALUE"""),"меблі")</f>
        <v>меблі</v>
      </c>
      <c r="D1296" s="16" t="str">
        <f>IFERROR(__xludf.DUMMYFUNCTION("""COMPUTED_VALUE"""),"туристичні меблі")</f>
        <v>туристичні меблі</v>
      </c>
      <c r="E1296" s="16" t="str">
        <f>IFERROR(__xludf.DUMMYFUNCTION("""COMPUTED_VALUE"""),"туристичні стільці")</f>
        <v>туристичні стільці</v>
      </c>
      <c r="F1296" s="17">
        <f>IFERROR(__xludf.DUMMYFUNCTION("""COMPUTED_VALUE"""),4.0)</f>
        <v>4</v>
      </c>
      <c r="G1296" s="17" t="str">
        <f>IFERROR(__xludf.DUMMYFUNCTION("""COMPUTED_VALUE"""),"240420")</f>
        <v>240420</v>
      </c>
      <c r="H1296" s="17" t="str">
        <f>IFERROR(__xludf.DUMMYFUNCTION("""COMPUTED_VALUE"""),"туристичні стільці")</f>
        <v>туристичні стільці</v>
      </c>
      <c r="I1296" s="19">
        <f>IFERROR(__xludf.DUMMYFUNCTION("""COMPUTED_VALUE"""),0.0717)</f>
        <v>0.0717</v>
      </c>
      <c r="J1296" s="19">
        <f>IFERROR(__xludf.DUMMYFUNCTION("""COMPUTED_VALUE"""),0.1433)</f>
        <v>0.1433</v>
      </c>
      <c r="K1296" s="19">
        <f>IFERROR(__xludf.DUMMYFUNCTION("""COMPUTED_VALUE"""),0.1791)</f>
        <v>0.1791</v>
      </c>
      <c r="L1296" s="19">
        <f>IFERROR(__xludf.DUMMYFUNCTION("""COMPUTED_VALUE"""),0.215)</f>
        <v>0.215</v>
      </c>
      <c r="M1296" s="18">
        <f>IFERROR(__xludf.DUMMYFUNCTION("""COMPUTED_VALUE"""),3.24)</f>
        <v>3.24</v>
      </c>
    </row>
    <row r="1297">
      <c r="A1297" s="13" t="str">
        <f>IFERROR(__xludf.DUMMYFUNCTION("""COMPUTED_VALUE"""),"товари")</f>
        <v>товари</v>
      </c>
      <c r="B1297" s="16" t="str">
        <f>IFERROR(__xludf.DUMMYFUNCTION("""COMPUTED_VALUE"""),"товари для дому")</f>
        <v>товари для дому</v>
      </c>
      <c r="C1297" s="16" t="str">
        <f>IFERROR(__xludf.DUMMYFUNCTION("""COMPUTED_VALUE"""),"меблі")</f>
        <v>меблі</v>
      </c>
      <c r="D1297" s="16" t="str">
        <f>IFERROR(__xludf.DUMMYFUNCTION("""COMPUTED_VALUE"""),"туристичні меблі")</f>
        <v>туристичні меблі</v>
      </c>
      <c r="E1297" s="16" t="str">
        <f>IFERROR(__xludf.DUMMYFUNCTION("""COMPUTED_VALUE"""),"туристичні столи")</f>
        <v>туристичні столи</v>
      </c>
      <c r="F1297" s="17">
        <f>IFERROR(__xludf.DUMMYFUNCTION("""COMPUTED_VALUE"""),4.0)</f>
        <v>4</v>
      </c>
      <c r="G1297" s="17" t="str">
        <f>IFERROR(__xludf.DUMMYFUNCTION("""COMPUTED_VALUE"""),"240421")</f>
        <v>240421</v>
      </c>
      <c r="H1297" s="17" t="str">
        <f>IFERROR(__xludf.DUMMYFUNCTION("""COMPUTED_VALUE"""),"туристичні столи")</f>
        <v>туристичні столи</v>
      </c>
      <c r="I1297" s="19">
        <f>IFERROR(__xludf.DUMMYFUNCTION("""COMPUTED_VALUE"""),0.0717)</f>
        <v>0.0717</v>
      </c>
      <c r="J1297" s="19">
        <f>IFERROR(__xludf.DUMMYFUNCTION("""COMPUTED_VALUE"""),0.1433)</f>
        <v>0.1433</v>
      </c>
      <c r="K1297" s="19">
        <f>IFERROR(__xludf.DUMMYFUNCTION("""COMPUTED_VALUE"""),0.1791)</f>
        <v>0.1791</v>
      </c>
      <c r="L1297" s="19">
        <f>IFERROR(__xludf.DUMMYFUNCTION("""COMPUTED_VALUE"""),0.215)</f>
        <v>0.215</v>
      </c>
      <c r="M1297" s="18">
        <f>IFERROR(__xludf.DUMMYFUNCTION("""COMPUTED_VALUE"""),3.24)</f>
        <v>3.24</v>
      </c>
    </row>
    <row r="1298">
      <c r="A1298" s="13" t="str">
        <f>IFERROR(__xludf.DUMMYFUNCTION("""COMPUTED_VALUE"""),"товари")</f>
        <v>товари</v>
      </c>
      <c r="B1298" s="16" t="str">
        <f>IFERROR(__xludf.DUMMYFUNCTION("""COMPUTED_VALUE"""),"товари для дому")</f>
        <v>товари для дому</v>
      </c>
      <c r="C1298" s="16" t="str">
        <f>IFERROR(__xludf.DUMMYFUNCTION("""COMPUTED_VALUE"""),"догляд за будинком")</f>
        <v>догляд за будинком</v>
      </c>
      <c r="D1298" s="16" t="str">
        <f>IFERROR(__xludf.DUMMYFUNCTION("""COMPUTED_VALUE"""),"догляд за особистими речами")</f>
        <v>догляд за особистими речами</v>
      </c>
      <c r="E1298" s="16" t="str">
        <f>IFERROR(__xludf.DUMMYFUNCTION("""COMPUTED_VALUE"""),"фарба для взуття")</f>
        <v>фарба для взуття</v>
      </c>
      <c r="F1298" s="17">
        <f>IFERROR(__xludf.DUMMYFUNCTION("""COMPUTED_VALUE"""),4.0)</f>
        <v>4</v>
      </c>
      <c r="G1298" s="17" t="str">
        <f>IFERROR(__xludf.DUMMYFUNCTION("""COMPUTED_VALUE"""),"3220906")</f>
        <v>3220906</v>
      </c>
      <c r="H1298" s="17" t="str">
        <f>IFERROR(__xludf.DUMMYFUNCTION("""COMPUTED_VALUE"""),"фарба для взуття")</f>
        <v>фарба для взуття</v>
      </c>
      <c r="I1298" s="19">
        <f>IFERROR(__xludf.DUMMYFUNCTION("""COMPUTED_VALUE"""),0.0914)</f>
        <v>0.0914</v>
      </c>
      <c r="J1298" s="19">
        <f>IFERROR(__xludf.DUMMYFUNCTION("""COMPUTED_VALUE"""),0.1828)</f>
        <v>0.1828</v>
      </c>
      <c r="K1298" s="19">
        <f>IFERROR(__xludf.DUMMYFUNCTION("""COMPUTED_VALUE"""),0.2285)</f>
        <v>0.2285</v>
      </c>
      <c r="L1298" s="19">
        <f>IFERROR(__xludf.DUMMYFUNCTION("""COMPUTED_VALUE"""),0.2742)</f>
        <v>0.2742</v>
      </c>
      <c r="M1298" s="18">
        <f>IFERROR(__xludf.DUMMYFUNCTION("""COMPUTED_VALUE"""),1.98)</f>
        <v>1.98</v>
      </c>
    </row>
    <row r="1299">
      <c r="A1299" s="13" t="str">
        <f>IFERROR(__xludf.DUMMYFUNCTION("""COMPUTED_VALUE"""),"товари")</f>
        <v>товари</v>
      </c>
      <c r="B1299" s="16" t="str">
        <f>IFERROR(__xludf.DUMMYFUNCTION("""COMPUTED_VALUE"""),"товари для дому")</f>
        <v>товари для дому</v>
      </c>
      <c r="C1299" s="16" t="str">
        <f>IFERROR(__xludf.DUMMYFUNCTION("""COMPUTED_VALUE"""),"меблі")</f>
        <v>меблі</v>
      </c>
      <c r="D1299" s="16" t="str">
        <f>IFERROR(__xludf.DUMMYFUNCTION("""COMPUTED_VALUE"""),"комплектуючі для меблів")</f>
        <v>комплектуючі для меблів</v>
      </c>
      <c r="E1299" s="16" t="str">
        <f>IFERROR(__xludf.DUMMYFUNCTION("""COMPUTED_VALUE"""),"фарби для меблів")</f>
        <v>фарби для меблів</v>
      </c>
      <c r="F1299" s="17">
        <f>IFERROR(__xludf.DUMMYFUNCTION("""COMPUTED_VALUE"""),4.0)</f>
        <v>4</v>
      </c>
      <c r="G1299" s="17" t="str">
        <f>IFERROR(__xludf.DUMMYFUNCTION("""COMPUTED_VALUE"""),"81105")</f>
        <v>81105</v>
      </c>
      <c r="H1299" s="17" t="str">
        <f>IFERROR(__xludf.DUMMYFUNCTION("""COMPUTED_VALUE"""),"фарби для меблів")</f>
        <v>фарби для меблів</v>
      </c>
      <c r="I1299" s="19">
        <f>IFERROR(__xludf.DUMMYFUNCTION("""COMPUTED_VALUE"""),0.0665)</f>
        <v>0.0665</v>
      </c>
      <c r="J1299" s="19">
        <f>IFERROR(__xludf.DUMMYFUNCTION("""COMPUTED_VALUE"""),0.133)</f>
        <v>0.133</v>
      </c>
      <c r="K1299" s="19">
        <f>IFERROR(__xludf.DUMMYFUNCTION("""COMPUTED_VALUE"""),0.1663)</f>
        <v>0.1663</v>
      </c>
      <c r="L1299" s="19">
        <f>IFERROR(__xludf.DUMMYFUNCTION("""COMPUTED_VALUE"""),0.1995)</f>
        <v>0.1995</v>
      </c>
      <c r="M1299" s="18">
        <f>IFERROR(__xludf.DUMMYFUNCTION("""COMPUTED_VALUE"""),1.98)</f>
        <v>1.98</v>
      </c>
    </row>
    <row r="1300">
      <c r="A1300" s="13" t="str">
        <f>IFERROR(__xludf.DUMMYFUNCTION("""COMPUTED_VALUE"""),"товари")</f>
        <v>товари</v>
      </c>
      <c r="B1300" s="16" t="str">
        <f>IFERROR(__xludf.DUMMYFUNCTION("""COMPUTED_VALUE"""),"товари для дому")</f>
        <v>товари для дому</v>
      </c>
      <c r="C1300" s="16" t="str">
        <f>IFERROR(__xludf.DUMMYFUNCTION("""COMPUTED_VALUE"""),"текстиль")</f>
        <v>текстиль</v>
      </c>
      <c r="D1300" s="16" t="str">
        <f>IFERROR(__xludf.DUMMYFUNCTION("""COMPUTED_VALUE"""),"текстиль для кухні")</f>
        <v>текстиль для кухні</v>
      </c>
      <c r="E1300" s="16" t="str">
        <f>IFERROR(__xludf.DUMMYFUNCTION("""COMPUTED_VALUE"""),"фартухи")</f>
        <v>фартухи</v>
      </c>
      <c r="F1300" s="17">
        <f>IFERROR(__xludf.DUMMYFUNCTION("""COMPUTED_VALUE"""),4.0)</f>
        <v>4</v>
      </c>
      <c r="G1300" s="17" t="str">
        <f>IFERROR(__xludf.DUMMYFUNCTION("""COMPUTED_VALUE"""),"15230401")</f>
        <v>15230401</v>
      </c>
      <c r="H1300" s="17" t="str">
        <f>IFERROR(__xludf.DUMMYFUNCTION("""COMPUTED_VALUE"""),"фартухи")</f>
        <v>фартухи</v>
      </c>
      <c r="I1300" s="19">
        <f>IFERROR(__xludf.DUMMYFUNCTION("""COMPUTED_VALUE"""),0.0764)</f>
        <v>0.0764</v>
      </c>
      <c r="J1300" s="19">
        <f>IFERROR(__xludf.DUMMYFUNCTION("""COMPUTED_VALUE"""),0.1528)</f>
        <v>0.1528</v>
      </c>
      <c r="K1300" s="19">
        <f>IFERROR(__xludf.DUMMYFUNCTION("""COMPUTED_VALUE"""),0.191)</f>
        <v>0.191</v>
      </c>
      <c r="L1300" s="19">
        <f>IFERROR(__xludf.DUMMYFUNCTION("""COMPUTED_VALUE"""),0.2292)</f>
        <v>0.2292</v>
      </c>
      <c r="M1300" s="18">
        <f>IFERROR(__xludf.DUMMYFUNCTION("""COMPUTED_VALUE"""),1.8)</f>
        <v>1.8</v>
      </c>
    </row>
    <row r="1301">
      <c r="A1301" s="13" t="str">
        <f>IFERROR(__xludf.DUMMYFUNCTION("""COMPUTED_VALUE"""),"товари")</f>
        <v>товари</v>
      </c>
      <c r="B1301" s="16" t="str">
        <f>IFERROR(__xludf.DUMMYFUNCTION("""COMPUTED_VALUE"""),"товари для дому")</f>
        <v>товари для дому</v>
      </c>
      <c r="C1301" s="16" t="str">
        <f>IFERROR(__xludf.DUMMYFUNCTION("""COMPUTED_VALUE"""),"текстиль")</f>
        <v>текстиль</v>
      </c>
      <c r="D1301" s="16" t="str">
        <f>IFERROR(__xludf.DUMMYFUNCTION("""COMPUTED_VALUE"""),"оформлення вікон")</f>
        <v>оформлення вікон</v>
      </c>
      <c r="E1301" s="16" t="str">
        <f>IFERROR(__xludf.DUMMYFUNCTION("""COMPUTED_VALUE"""),"фіранки з ниток і намистин")</f>
        <v>фіранки з ниток і намистин</v>
      </c>
      <c r="F1301" s="17">
        <f>IFERROR(__xludf.DUMMYFUNCTION("""COMPUTED_VALUE"""),4.0)</f>
        <v>4</v>
      </c>
      <c r="G1301" s="17" t="str">
        <f>IFERROR(__xludf.DUMMYFUNCTION("""COMPUTED_VALUE"""),"4050205")</f>
        <v>4050205</v>
      </c>
      <c r="H1301" s="17" t="str">
        <f>IFERROR(__xludf.DUMMYFUNCTION("""COMPUTED_VALUE"""),"фіранки з ниток і намистин")</f>
        <v>фіранки з ниток і намистин</v>
      </c>
      <c r="I1301" s="19">
        <f>IFERROR(__xludf.DUMMYFUNCTION("""COMPUTED_VALUE"""),0.0954)</f>
        <v>0.0954</v>
      </c>
      <c r="J1301" s="19">
        <f>IFERROR(__xludf.DUMMYFUNCTION("""COMPUTED_VALUE"""),0.1907)</f>
        <v>0.1907</v>
      </c>
      <c r="K1301" s="19">
        <f>IFERROR(__xludf.DUMMYFUNCTION("""COMPUTED_VALUE"""),0.2384)</f>
        <v>0.2384</v>
      </c>
      <c r="L1301" s="19">
        <f>IFERROR(__xludf.DUMMYFUNCTION("""COMPUTED_VALUE"""),0.2861)</f>
        <v>0.2861</v>
      </c>
      <c r="M1301" s="18">
        <f>IFERROR(__xludf.DUMMYFUNCTION("""COMPUTED_VALUE"""),1.53)</f>
        <v>1.53</v>
      </c>
    </row>
    <row r="1302">
      <c r="A1302" s="13" t="str">
        <f>IFERROR(__xludf.DUMMYFUNCTION("""COMPUTED_VALUE"""),"товари")</f>
        <v>товари</v>
      </c>
      <c r="B1302" s="16" t="str">
        <f>IFERROR(__xludf.DUMMYFUNCTION("""COMPUTED_VALUE"""),"дача, сад і город")</f>
        <v>дача, сад і город</v>
      </c>
      <c r="C1302" s="16" t="str">
        <f>IFERROR(__xludf.DUMMYFUNCTION("""COMPUTED_VALUE"""),"обладнання для поливу")</f>
        <v>обладнання для поливу</v>
      </c>
      <c r="D1302" s="16" t="str">
        <f>IFERROR(__xludf.DUMMYFUNCTION("""COMPUTED_VALUE"""),"фітинги та крани для поливальних систем")</f>
        <v>фітинги та крани для поливальних систем</v>
      </c>
      <c r="E1302" s="16" t="str">
        <f>IFERROR(__xludf.DUMMYFUNCTION("""COMPUTED_VALUE"""),"фітинги та крани для поливальних систем")</f>
        <v>фітинги та крани для поливальних систем</v>
      </c>
      <c r="F1302" s="17">
        <f>IFERROR(__xludf.DUMMYFUNCTION("""COMPUTED_VALUE"""),3.0)</f>
        <v>3</v>
      </c>
      <c r="G1302" s="17" t="str">
        <f>IFERROR(__xludf.DUMMYFUNCTION("""COMPUTED_VALUE"""),"1250346")</f>
        <v>1250346</v>
      </c>
      <c r="H1302" s="17" t="str">
        <f>IFERROR(__xludf.DUMMYFUNCTION("""COMPUTED_VALUE"""),"фітинги та крани для поливальних систем")</f>
        <v>фітинги та крани для поливальних систем</v>
      </c>
      <c r="I1302" s="19">
        <f>IFERROR(__xludf.DUMMYFUNCTION("""COMPUTED_VALUE"""),0.078)</f>
        <v>0.078</v>
      </c>
      <c r="J1302" s="19">
        <f>IFERROR(__xludf.DUMMYFUNCTION("""COMPUTED_VALUE"""),0.1559)</f>
        <v>0.1559</v>
      </c>
      <c r="K1302" s="19">
        <f>IFERROR(__xludf.DUMMYFUNCTION("""COMPUTED_VALUE"""),0.1949)</f>
        <v>0.1949</v>
      </c>
      <c r="L1302" s="19">
        <f>IFERROR(__xludf.DUMMYFUNCTION("""COMPUTED_VALUE"""),0.2339)</f>
        <v>0.2339</v>
      </c>
      <c r="M1302" s="18">
        <f>IFERROR(__xludf.DUMMYFUNCTION("""COMPUTED_VALUE"""),3.43)</f>
        <v>3.43</v>
      </c>
    </row>
    <row r="1303">
      <c r="A1303" s="13" t="str">
        <f>IFERROR(__xludf.DUMMYFUNCTION("""COMPUTED_VALUE"""),"товари")</f>
        <v>товари</v>
      </c>
      <c r="B1303" s="16" t="str">
        <f>IFERROR(__xludf.DUMMYFUNCTION("""COMPUTED_VALUE"""),"дача, сад і город")</f>
        <v>дача, сад і город</v>
      </c>
      <c r="C1303" s="16" t="str">
        <f>IFERROR(__xludf.DUMMYFUNCTION("""COMPUTED_VALUE"""),"садові рослини і ґрунти")</f>
        <v>садові рослини і ґрунти</v>
      </c>
      <c r="D1303" s="16" t="str">
        <f>IFERROR(__xludf.DUMMYFUNCTION("""COMPUTED_VALUE"""),"фітостіни і фітомодулі")</f>
        <v>фітостіни і фітомодулі</v>
      </c>
      <c r="E1303" s="16" t="str">
        <f>IFERROR(__xludf.DUMMYFUNCTION("""COMPUTED_VALUE"""),"фітостіни і фітомодулі")</f>
        <v>фітостіни і фітомодулі</v>
      </c>
      <c r="F1303" s="17">
        <f>IFERROR(__xludf.DUMMYFUNCTION("""COMPUTED_VALUE"""),3.0)</f>
        <v>3</v>
      </c>
      <c r="G1303" s="17" t="str">
        <f>IFERROR(__xludf.DUMMYFUNCTION("""COMPUTED_VALUE"""),"11406")</f>
        <v>11406</v>
      </c>
      <c r="H1303" s="17" t="str">
        <f>IFERROR(__xludf.DUMMYFUNCTION("""COMPUTED_VALUE"""),"фітостіни і фітомодулі")</f>
        <v>фітостіни і фітомодулі</v>
      </c>
      <c r="I1303" s="19">
        <f>IFERROR(__xludf.DUMMYFUNCTION("""COMPUTED_VALUE"""),0.0793)</f>
        <v>0.0793</v>
      </c>
      <c r="J1303" s="19">
        <f>IFERROR(__xludf.DUMMYFUNCTION("""COMPUTED_VALUE"""),0.1586)</f>
        <v>0.1586</v>
      </c>
      <c r="K1303" s="19">
        <f>IFERROR(__xludf.DUMMYFUNCTION("""COMPUTED_VALUE"""),0.1983)</f>
        <v>0.1983</v>
      </c>
      <c r="L1303" s="19">
        <f>IFERROR(__xludf.DUMMYFUNCTION("""COMPUTED_VALUE"""),0.2379)</f>
        <v>0.2379</v>
      </c>
      <c r="M1303" s="18">
        <f>IFERROR(__xludf.DUMMYFUNCTION("""COMPUTED_VALUE"""),2.53)</f>
        <v>2.53</v>
      </c>
    </row>
    <row r="1304">
      <c r="A1304" s="13" t="str">
        <f>IFERROR(__xludf.DUMMYFUNCTION("""COMPUTED_VALUE"""),"товари")</f>
        <v>товари</v>
      </c>
      <c r="B1304" s="16" t="str">
        <f>IFERROR(__xludf.DUMMYFUNCTION("""COMPUTED_VALUE"""),"товари для дому")</f>
        <v>товари для дому</v>
      </c>
      <c r="C1304" s="16" t="str">
        <f>IFERROR(__xludf.DUMMYFUNCTION("""COMPUTED_VALUE"""),"декор для дому")</f>
        <v>декор для дому</v>
      </c>
      <c r="D1304" s="16" t="str">
        <f>IFERROR(__xludf.DUMMYFUNCTION("""COMPUTED_VALUE"""),"кімнатні рослини")</f>
        <v>кімнатні рослини</v>
      </c>
      <c r="E1304" s="16" t="str">
        <f>IFERROR(__xludf.DUMMYFUNCTION("""COMPUTED_VALUE"""),"флораріуми та мосаріуми")</f>
        <v>флораріуми та мосаріуми</v>
      </c>
      <c r="F1304" s="17">
        <f>IFERROR(__xludf.DUMMYFUNCTION("""COMPUTED_VALUE"""),4.0)</f>
        <v>4</v>
      </c>
      <c r="G1304" s="17" t="str">
        <f>IFERROR(__xludf.DUMMYFUNCTION("""COMPUTED_VALUE"""),"271611")</f>
        <v>271611</v>
      </c>
      <c r="H1304" s="17" t="str">
        <f>IFERROR(__xludf.DUMMYFUNCTION("""COMPUTED_VALUE"""),"флораріуми та мосаріуми")</f>
        <v>флораріуми та мосаріуми</v>
      </c>
      <c r="I1304" s="19">
        <f>IFERROR(__xludf.DUMMYFUNCTION("""COMPUTED_VALUE"""),0.0761)</f>
        <v>0.0761</v>
      </c>
      <c r="J1304" s="19">
        <f>IFERROR(__xludf.DUMMYFUNCTION("""COMPUTED_VALUE"""),0.1522)</f>
        <v>0.1522</v>
      </c>
      <c r="K1304" s="19">
        <f>IFERROR(__xludf.DUMMYFUNCTION("""COMPUTED_VALUE"""),0.1903)</f>
        <v>0.1903</v>
      </c>
      <c r="L1304" s="19">
        <f>IFERROR(__xludf.DUMMYFUNCTION("""COMPUTED_VALUE"""),0.2283)</f>
        <v>0.2283</v>
      </c>
      <c r="M1304" s="18">
        <f>IFERROR(__xludf.DUMMYFUNCTION("""COMPUTED_VALUE"""),2.25)</f>
        <v>2.25</v>
      </c>
    </row>
    <row r="1305">
      <c r="A1305" s="13" t="str">
        <f>IFERROR(__xludf.DUMMYFUNCTION("""COMPUTED_VALUE"""),"товари")</f>
        <v>товари</v>
      </c>
      <c r="B1305" s="16" t="str">
        <f>IFERROR(__xludf.DUMMYFUNCTION("""COMPUTED_VALUE"""),"товари для дому")</f>
        <v>товари для дому</v>
      </c>
      <c r="C1305" s="16" t="str">
        <f>IFERROR(__xludf.DUMMYFUNCTION("""COMPUTED_VALUE"""),"посуд")</f>
        <v>посуд</v>
      </c>
      <c r="D1305" s="16" t="str">
        <f>IFERROR(__xludf.DUMMYFUNCTION("""COMPUTED_VALUE"""),"столовий посуд")</f>
        <v>столовий посуд</v>
      </c>
      <c r="E1305" s="16" t="str">
        <f>IFERROR(__xludf.DUMMYFUNCTION("""COMPUTED_VALUE"""),"фляги")</f>
        <v>фляги</v>
      </c>
      <c r="F1305" s="17">
        <f>IFERROR(__xludf.DUMMYFUNCTION("""COMPUTED_VALUE"""),4.0)</f>
        <v>4</v>
      </c>
      <c r="G1305" s="17" t="str">
        <f>IFERROR(__xludf.DUMMYFUNCTION("""COMPUTED_VALUE"""),"152107")</f>
        <v>152107</v>
      </c>
      <c r="H1305" s="17" t="str">
        <f>IFERROR(__xludf.DUMMYFUNCTION("""COMPUTED_VALUE"""),"фляги")</f>
        <v>фляги</v>
      </c>
      <c r="I1305" s="19">
        <f>IFERROR(__xludf.DUMMYFUNCTION("""COMPUTED_VALUE"""),0.0644)</f>
        <v>0.0644</v>
      </c>
      <c r="J1305" s="19">
        <f>IFERROR(__xludf.DUMMYFUNCTION("""COMPUTED_VALUE"""),0.1287)</f>
        <v>0.1287</v>
      </c>
      <c r="K1305" s="19">
        <f>IFERROR(__xludf.DUMMYFUNCTION("""COMPUTED_VALUE"""),0.1609)</f>
        <v>0.1609</v>
      </c>
      <c r="L1305" s="19">
        <f>IFERROR(__xludf.DUMMYFUNCTION("""COMPUTED_VALUE"""),0.1931)</f>
        <v>0.1931</v>
      </c>
      <c r="M1305" s="18">
        <f>IFERROR(__xludf.DUMMYFUNCTION("""COMPUTED_VALUE"""),2.08)</f>
        <v>2.08</v>
      </c>
    </row>
    <row r="1306">
      <c r="A1306" s="13" t="str">
        <f>IFERROR(__xludf.DUMMYFUNCTION("""COMPUTED_VALUE"""),"товари")</f>
        <v>товари</v>
      </c>
      <c r="B1306" s="16" t="str">
        <f>IFERROR(__xludf.DUMMYFUNCTION("""COMPUTED_VALUE"""),"дача, сад і город")</f>
        <v>дача, сад і город</v>
      </c>
      <c r="C1306" s="16" t="str">
        <f>IFERROR(__xludf.DUMMYFUNCTION("""COMPUTED_VALUE"""),"садовий декор")</f>
        <v>садовий декор</v>
      </c>
      <c r="D1306" s="16" t="str">
        <f>IFERROR(__xludf.DUMMYFUNCTION("""COMPUTED_VALUE"""),"фонтани садові")</f>
        <v>фонтани садові</v>
      </c>
      <c r="E1306" s="16" t="str">
        <f>IFERROR(__xludf.DUMMYFUNCTION("""COMPUTED_VALUE"""),"фонтани садові")</f>
        <v>фонтани садові</v>
      </c>
      <c r="F1306" s="17">
        <f>IFERROR(__xludf.DUMMYFUNCTION("""COMPUTED_VALUE"""),3.0)</f>
        <v>3</v>
      </c>
      <c r="G1306" s="17" t="str">
        <f>IFERROR(__xludf.DUMMYFUNCTION("""COMPUTED_VALUE"""),"13120701")</f>
        <v>13120701</v>
      </c>
      <c r="H1306" s="17" t="str">
        <f>IFERROR(__xludf.DUMMYFUNCTION("""COMPUTED_VALUE"""),"фонтани садові")</f>
        <v>фонтани садові</v>
      </c>
      <c r="I1306" s="19">
        <f>IFERROR(__xludf.DUMMYFUNCTION("""COMPUTED_VALUE"""),0.0783)</f>
        <v>0.0783</v>
      </c>
      <c r="J1306" s="19">
        <f>IFERROR(__xludf.DUMMYFUNCTION("""COMPUTED_VALUE"""),0.1566)</f>
        <v>0.1566</v>
      </c>
      <c r="K1306" s="19">
        <f>IFERROR(__xludf.DUMMYFUNCTION("""COMPUTED_VALUE"""),0.1958)</f>
        <v>0.1958</v>
      </c>
      <c r="L1306" s="19">
        <f>IFERROR(__xludf.DUMMYFUNCTION("""COMPUTED_VALUE"""),0.2349)</f>
        <v>0.2349</v>
      </c>
      <c r="M1306" s="18">
        <f>IFERROR(__xludf.DUMMYFUNCTION("""COMPUTED_VALUE"""),1.53)</f>
        <v>1.53</v>
      </c>
    </row>
    <row r="1307">
      <c r="A1307" s="13" t="str">
        <f>IFERROR(__xludf.DUMMYFUNCTION("""COMPUTED_VALUE"""),"товари")</f>
        <v>товари</v>
      </c>
      <c r="B1307" s="16" t="str">
        <f>IFERROR(__xludf.DUMMYFUNCTION("""COMPUTED_VALUE"""),"товари для дому")</f>
        <v>товари для дому</v>
      </c>
      <c r="C1307" s="16" t="str">
        <f>IFERROR(__xludf.DUMMYFUNCTION("""COMPUTED_VALUE"""),"посуд")</f>
        <v>посуд</v>
      </c>
      <c r="D1307" s="16" t="str">
        <f>IFERROR(__xludf.DUMMYFUNCTION("""COMPUTED_VALUE"""),"кухонне приладдя")</f>
        <v>кухонне приладдя</v>
      </c>
      <c r="E1307" s="16" t="str">
        <f>IFERROR(__xludf.DUMMYFUNCTION("""COMPUTED_VALUE"""),"форми для випічки та запікання")</f>
        <v>форми для випічки та запікання</v>
      </c>
      <c r="F1307" s="17">
        <f>IFERROR(__xludf.DUMMYFUNCTION("""COMPUTED_VALUE"""),4.0)</f>
        <v>4</v>
      </c>
      <c r="G1307" s="17" t="str">
        <f>IFERROR(__xludf.DUMMYFUNCTION("""COMPUTED_VALUE"""),"15230414")</f>
        <v>15230414</v>
      </c>
      <c r="H1307" s="17" t="str">
        <f>IFERROR(__xludf.DUMMYFUNCTION("""COMPUTED_VALUE"""),"форми для випічки та запікання")</f>
        <v>форми для випічки та запікання</v>
      </c>
      <c r="I1307" s="19">
        <f>IFERROR(__xludf.DUMMYFUNCTION("""COMPUTED_VALUE"""),0.0745)</f>
        <v>0.0745</v>
      </c>
      <c r="J1307" s="19">
        <f>IFERROR(__xludf.DUMMYFUNCTION("""COMPUTED_VALUE"""),0.1489)</f>
        <v>0.1489</v>
      </c>
      <c r="K1307" s="19">
        <f>IFERROR(__xludf.DUMMYFUNCTION("""COMPUTED_VALUE"""),0.1861)</f>
        <v>0.1861</v>
      </c>
      <c r="L1307" s="19">
        <f>IFERROR(__xludf.DUMMYFUNCTION("""COMPUTED_VALUE"""),0.2234)</f>
        <v>0.2234</v>
      </c>
      <c r="M1307" s="18">
        <f>IFERROR(__xludf.DUMMYFUNCTION("""COMPUTED_VALUE"""),2.08)</f>
        <v>2.08</v>
      </c>
    </row>
    <row r="1308">
      <c r="A1308" s="13" t="str">
        <f>IFERROR(__xludf.DUMMYFUNCTION("""COMPUTED_VALUE"""),"товари")</f>
        <v>товари</v>
      </c>
      <c r="B1308" s="16" t="str">
        <f>IFERROR(__xludf.DUMMYFUNCTION("""COMPUTED_VALUE"""),"товари для дому")</f>
        <v>товари для дому</v>
      </c>
      <c r="C1308" s="16" t="str">
        <f>IFERROR(__xludf.DUMMYFUNCTION("""COMPUTED_VALUE"""),"посуд")</f>
        <v>посуд</v>
      </c>
      <c r="D1308" s="16" t="str">
        <f>IFERROR(__xludf.DUMMYFUNCTION("""COMPUTED_VALUE"""),"кухонне приладдя")</f>
        <v>кухонне приладдя</v>
      </c>
      <c r="E1308" s="16" t="str">
        <f>IFERROR(__xludf.DUMMYFUNCTION("""COMPUTED_VALUE"""),"форми для льоду")</f>
        <v>форми для льоду</v>
      </c>
      <c r="F1308" s="17">
        <f>IFERROR(__xludf.DUMMYFUNCTION("""COMPUTED_VALUE"""),4.0)</f>
        <v>4</v>
      </c>
      <c r="G1308" s="17" t="str">
        <f>IFERROR(__xludf.DUMMYFUNCTION("""COMPUTED_VALUE"""),"15230419")</f>
        <v>15230419</v>
      </c>
      <c r="H1308" s="17" t="str">
        <f>IFERROR(__xludf.DUMMYFUNCTION("""COMPUTED_VALUE"""),"форми для льоду")</f>
        <v>форми для льоду</v>
      </c>
      <c r="I1308" s="19">
        <f>IFERROR(__xludf.DUMMYFUNCTION("""COMPUTED_VALUE"""),0.0767)</f>
        <v>0.0767</v>
      </c>
      <c r="J1308" s="19">
        <f>IFERROR(__xludf.DUMMYFUNCTION("""COMPUTED_VALUE"""),0.1534)</f>
        <v>0.1534</v>
      </c>
      <c r="K1308" s="19">
        <f>IFERROR(__xludf.DUMMYFUNCTION("""COMPUTED_VALUE"""),0.1918)</f>
        <v>0.1918</v>
      </c>
      <c r="L1308" s="19">
        <f>IFERROR(__xludf.DUMMYFUNCTION("""COMPUTED_VALUE"""),0.2301)</f>
        <v>0.2301</v>
      </c>
      <c r="M1308" s="18">
        <f>IFERROR(__xludf.DUMMYFUNCTION("""COMPUTED_VALUE"""),2.08)</f>
        <v>2.08</v>
      </c>
    </row>
    <row r="1309">
      <c r="A1309" s="13" t="str">
        <f>IFERROR(__xludf.DUMMYFUNCTION("""COMPUTED_VALUE"""),"товари")</f>
        <v>товари</v>
      </c>
      <c r="B1309" s="16" t="str">
        <f>IFERROR(__xludf.DUMMYFUNCTION("""COMPUTED_VALUE"""),"товари для дому")</f>
        <v>товари для дому</v>
      </c>
      <c r="C1309" s="16" t="str">
        <f>IFERROR(__xludf.DUMMYFUNCTION("""COMPUTED_VALUE"""),"посуд")</f>
        <v>посуд</v>
      </c>
      <c r="D1309" s="16" t="str">
        <f>IFERROR(__xludf.DUMMYFUNCTION("""COMPUTED_VALUE"""),"кухонне приладдя")</f>
        <v>кухонне приладдя</v>
      </c>
      <c r="E1309" s="16" t="str">
        <f>IFERROR(__xludf.DUMMYFUNCTION("""COMPUTED_VALUE"""),"форми і розбивателі для яєць")</f>
        <v>форми і розбивателі для яєць</v>
      </c>
      <c r="F1309" s="17">
        <f>IFERROR(__xludf.DUMMYFUNCTION("""COMPUTED_VALUE"""),4.0)</f>
        <v>4</v>
      </c>
      <c r="G1309" s="17" t="str">
        <f>IFERROR(__xludf.DUMMYFUNCTION("""COMPUTED_VALUE"""),"15230446")</f>
        <v>15230446</v>
      </c>
      <c r="H1309" s="17" t="str">
        <f>IFERROR(__xludf.DUMMYFUNCTION("""COMPUTED_VALUE"""),"форми і розбивателі для яєць")</f>
        <v>форми і розбивателі для яєць</v>
      </c>
      <c r="I1309" s="19">
        <f>IFERROR(__xludf.DUMMYFUNCTION("""COMPUTED_VALUE"""),0.0787)</f>
        <v>0.0787</v>
      </c>
      <c r="J1309" s="19">
        <f>IFERROR(__xludf.DUMMYFUNCTION("""COMPUTED_VALUE"""),0.1573)</f>
        <v>0.1573</v>
      </c>
      <c r="K1309" s="19">
        <f>IFERROR(__xludf.DUMMYFUNCTION("""COMPUTED_VALUE"""),0.1966)</f>
        <v>0.1966</v>
      </c>
      <c r="L1309" s="19">
        <f>IFERROR(__xludf.DUMMYFUNCTION("""COMPUTED_VALUE"""),0.236)</f>
        <v>0.236</v>
      </c>
      <c r="M1309" s="18">
        <f>IFERROR(__xludf.DUMMYFUNCTION("""COMPUTED_VALUE"""),2.08)</f>
        <v>2.08</v>
      </c>
    </row>
    <row r="1310">
      <c r="A1310" s="13" t="str">
        <f>IFERROR(__xludf.DUMMYFUNCTION("""COMPUTED_VALUE"""),"товари")</f>
        <v>товари</v>
      </c>
      <c r="B1310" s="16" t="str">
        <f>IFERROR(__xludf.DUMMYFUNCTION("""COMPUTED_VALUE"""),"товари для дому")</f>
        <v>товари для дому</v>
      </c>
      <c r="C1310" s="16" t="str">
        <f>IFERROR(__xludf.DUMMYFUNCTION("""COMPUTED_VALUE"""),"декор для дому")</f>
        <v>декор для дому</v>
      </c>
      <c r="D1310" s="16" t="str">
        <f>IFERROR(__xludf.DUMMYFUNCTION("""COMPUTED_VALUE"""),"фоторамки та рамки для картин")</f>
        <v>фоторамки та рамки для картин</v>
      </c>
      <c r="E1310" s="16" t="str">
        <f>IFERROR(__xludf.DUMMYFUNCTION("""COMPUTED_VALUE"""),"фоторамки та рамки для картин")</f>
        <v>фоторамки та рамки для картин</v>
      </c>
      <c r="F1310" s="17">
        <f>IFERROR(__xludf.DUMMYFUNCTION("""COMPUTED_VALUE"""),3.0)</f>
        <v>3</v>
      </c>
      <c r="G1310" s="17" t="str">
        <f>IFERROR(__xludf.DUMMYFUNCTION("""COMPUTED_VALUE"""),"1739")</f>
        <v>1739</v>
      </c>
      <c r="H1310" s="17" t="str">
        <f>IFERROR(__xludf.DUMMYFUNCTION("""COMPUTED_VALUE"""),"фоторамки та рамки для картин")</f>
        <v>фоторамки та рамки для картин</v>
      </c>
      <c r="I1310" s="19">
        <f>IFERROR(__xludf.DUMMYFUNCTION("""COMPUTED_VALUE"""),0.0769)</f>
        <v>0.0769</v>
      </c>
      <c r="J1310" s="19">
        <f>IFERROR(__xludf.DUMMYFUNCTION("""COMPUTED_VALUE"""),0.1537)</f>
        <v>0.1537</v>
      </c>
      <c r="K1310" s="19">
        <f>IFERROR(__xludf.DUMMYFUNCTION("""COMPUTED_VALUE"""),0.1921)</f>
        <v>0.1921</v>
      </c>
      <c r="L1310" s="19">
        <f>IFERROR(__xludf.DUMMYFUNCTION("""COMPUTED_VALUE"""),0.2306)</f>
        <v>0.2306</v>
      </c>
      <c r="M1310" s="18">
        <f>IFERROR(__xludf.DUMMYFUNCTION("""COMPUTED_VALUE"""),1.53)</f>
        <v>1.53</v>
      </c>
    </row>
    <row r="1311">
      <c r="A1311" s="13" t="str">
        <f>IFERROR(__xludf.DUMMYFUNCTION("""COMPUTED_VALUE"""),"товари")</f>
        <v>товари</v>
      </c>
      <c r="B1311" s="16" t="str">
        <f>IFERROR(__xludf.DUMMYFUNCTION("""COMPUTED_VALUE"""),"товари для дому")</f>
        <v>товари для дому</v>
      </c>
      <c r="C1311" s="16" t="str">
        <f>IFERROR(__xludf.DUMMYFUNCTION("""COMPUTED_VALUE"""),"посуд")</f>
        <v>посуд</v>
      </c>
      <c r="D1311" s="16" t="str">
        <f>IFERROR(__xludf.DUMMYFUNCTION("""COMPUTED_VALUE"""),"столовий посуд")</f>
        <v>столовий посуд</v>
      </c>
      <c r="E1311" s="16" t="str">
        <f>IFERROR(__xludf.DUMMYFUNCTION("""COMPUTED_VALUE"""),"фруктовниці та цукерниці")</f>
        <v>фруктовниці та цукерниці</v>
      </c>
      <c r="F1311" s="17">
        <f>IFERROR(__xludf.DUMMYFUNCTION("""COMPUTED_VALUE"""),4.0)</f>
        <v>4</v>
      </c>
      <c r="G1311" s="17" t="str">
        <f>IFERROR(__xludf.DUMMYFUNCTION("""COMPUTED_VALUE"""),"15230406")</f>
        <v>15230406</v>
      </c>
      <c r="H1311" s="17" t="str">
        <f>IFERROR(__xludf.DUMMYFUNCTION("""COMPUTED_VALUE"""),"фруктовниці та цукерниці")</f>
        <v>фруктовниці та цукерниці</v>
      </c>
      <c r="I1311" s="19">
        <f>IFERROR(__xludf.DUMMYFUNCTION("""COMPUTED_VALUE"""),0.08)</f>
        <v>0.08</v>
      </c>
      <c r="J1311" s="19">
        <f>IFERROR(__xludf.DUMMYFUNCTION("""COMPUTED_VALUE"""),0.1599)</f>
        <v>0.1599</v>
      </c>
      <c r="K1311" s="19">
        <f>IFERROR(__xludf.DUMMYFUNCTION("""COMPUTED_VALUE"""),0.1999)</f>
        <v>0.1999</v>
      </c>
      <c r="L1311" s="19">
        <f>IFERROR(__xludf.DUMMYFUNCTION("""COMPUTED_VALUE"""),0.2399)</f>
        <v>0.2399</v>
      </c>
      <c r="M1311" s="18">
        <f>IFERROR(__xludf.DUMMYFUNCTION("""COMPUTED_VALUE"""),2.08)</f>
        <v>2.08</v>
      </c>
    </row>
    <row r="1312">
      <c r="A1312" s="13" t="str">
        <f>IFERROR(__xludf.DUMMYFUNCTION("""COMPUTED_VALUE"""),"товари")</f>
        <v>товари</v>
      </c>
      <c r="B1312" s="16" t="str">
        <f>IFERROR(__xludf.DUMMYFUNCTION("""COMPUTED_VALUE"""),"товари для дому")</f>
        <v>товари для дому</v>
      </c>
      <c r="C1312" s="16" t="str">
        <f>IFERROR(__xludf.DUMMYFUNCTION("""COMPUTED_VALUE"""),"текстиль")</f>
        <v>текстиль</v>
      </c>
      <c r="D1312" s="16" t="str">
        <f>IFERROR(__xludf.DUMMYFUNCTION("""COMPUTED_VALUE"""),"футони та топери")</f>
        <v>футони та топери</v>
      </c>
      <c r="E1312" s="16" t="str">
        <f>IFERROR(__xludf.DUMMYFUNCTION("""COMPUTED_VALUE"""),"футони та топери")</f>
        <v>футони та топери</v>
      </c>
      <c r="F1312" s="17">
        <f>IFERROR(__xludf.DUMMYFUNCTION("""COMPUTED_VALUE"""),3.0)</f>
        <v>3</v>
      </c>
      <c r="G1312" s="17" t="str">
        <f>IFERROR(__xludf.DUMMYFUNCTION("""COMPUTED_VALUE"""),"370322")</f>
        <v>370322</v>
      </c>
      <c r="H1312" s="17" t="str">
        <f>IFERROR(__xludf.DUMMYFUNCTION("""COMPUTED_VALUE"""),"футони та топери")</f>
        <v>футони та топери</v>
      </c>
      <c r="I1312" s="19">
        <f>IFERROR(__xludf.DUMMYFUNCTION("""COMPUTED_VALUE"""),0.076)</f>
        <v>0.076</v>
      </c>
      <c r="J1312" s="19">
        <f>IFERROR(__xludf.DUMMYFUNCTION("""COMPUTED_VALUE"""),0.152)</f>
        <v>0.152</v>
      </c>
      <c r="K1312" s="19">
        <f>IFERROR(__xludf.DUMMYFUNCTION("""COMPUTED_VALUE"""),0.19)</f>
        <v>0.19</v>
      </c>
      <c r="L1312" s="19">
        <f>IFERROR(__xludf.DUMMYFUNCTION("""COMPUTED_VALUE"""),0.228)</f>
        <v>0.228</v>
      </c>
      <c r="M1312" s="18">
        <f>IFERROR(__xludf.DUMMYFUNCTION("""COMPUTED_VALUE"""),2.53)</f>
        <v>2.53</v>
      </c>
    </row>
    <row r="1313">
      <c r="A1313" s="13" t="str">
        <f>IFERROR(__xludf.DUMMYFUNCTION("""COMPUTED_VALUE"""),"товари")</f>
        <v>товари</v>
      </c>
      <c r="B1313" s="16" t="str">
        <f>IFERROR(__xludf.DUMMYFUNCTION("""COMPUTED_VALUE"""),"товари для дому")</f>
        <v>товари для дому</v>
      </c>
      <c r="C1313" s="16" t="str">
        <f>IFERROR(__xludf.DUMMYFUNCTION("""COMPUTED_VALUE"""),"посуд")</f>
        <v>посуд</v>
      </c>
      <c r="D1313" s="16" t="str">
        <f>IFERROR(__xludf.DUMMYFUNCTION("""COMPUTED_VALUE"""),"кухонне приладдя")</f>
        <v>кухонне приладдя</v>
      </c>
      <c r="E1313" s="16" t="str">
        <f>IFERROR(__xludf.DUMMYFUNCTION("""COMPUTED_VALUE"""),"харчова плівка, пергамент, фольга")</f>
        <v>харчова плівка, пергамент, фольга</v>
      </c>
      <c r="F1313" s="17">
        <f>IFERROR(__xludf.DUMMYFUNCTION("""COMPUTED_VALUE"""),4.0)</f>
        <v>4</v>
      </c>
      <c r="G1313" s="17" t="str">
        <f>IFERROR(__xludf.DUMMYFUNCTION("""COMPUTED_VALUE"""),"15230502")</f>
        <v>15230502</v>
      </c>
      <c r="H1313" s="17" t="str">
        <f>IFERROR(__xludf.DUMMYFUNCTION("""COMPUTED_VALUE"""),"харчова плівка, пергамент, фольга")</f>
        <v>харчова плівка, пергамент, фольга</v>
      </c>
      <c r="I1313" s="19">
        <f>IFERROR(__xludf.DUMMYFUNCTION("""COMPUTED_VALUE"""),0.0759)</f>
        <v>0.0759</v>
      </c>
      <c r="J1313" s="19">
        <f>IFERROR(__xludf.DUMMYFUNCTION("""COMPUTED_VALUE"""),0.1517)</f>
        <v>0.1517</v>
      </c>
      <c r="K1313" s="19">
        <f>IFERROR(__xludf.DUMMYFUNCTION("""COMPUTED_VALUE"""),0.1896)</f>
        <v>0.1896</v>
      </c>
      <c r="L1313" s="19">
        <f>IFERROR(__xludf.DUMMYFUNCTION("""COMPUTED_VALUE"""),0.2276)</f>
        <v>0.2276</v>
      </c>
      <c r="M1313" s="18">
        <f>IFERROR(__xludf.DUMMYFUNCTION("""COMPUTED_VALUE"""),1.44)</f>
        <v>1.44</v>
      </c>
    </row>
    <row r="1314">
      <c r="A1314" s="13" t="str">
        <f>IFERROR(__xludf.DUMMYFUNCTION("""COMPUTED_VALUE"""),"товари")</f>
        <v>товари</v>
      </c>
      <c r="B1314" s="16" t="str">
        <f>IFERROR(__xludf.DUMMYFUNCTION("""COMPUTED_VALUE"""),"товари для дому")</f>
        <v>товари для дому</v>
      </c>
      <c r="C1314" s="16" t="str">
        <f>IFERROR(__xludf.DUMMYFUNCTION("""COMPUTED_VALUE"""),"рішення для зберігання")</f>
        <v>рішення для зберігання</v>
      </c>
      <c r="D1314" s="16" t="str">
        <f>IFERROR(__xludf.DUMMYFUNCTION("""COMPUTED_VALUE"""),"хлібниці")</f>
        <v>хлібниці</v>
      </c>
      <c r="E1314" s="16" t="str">
        <f>IFERROR(__xludf.DUMMYFUNCTION("""COMPUTED_VALUE"""),"хлібниці")</f>
        <v>хлібниці</v>
      </c>
      <c r="F1314" s="17">
        <f>IFERROR(__xludf.DUMMYFUNCTION("""COMPUTED_VALUE"""),3.0)</f>
        <v>3</v>
      </c>
      <c r="G1314" s="17" t="str">
        <f>IFERROR(__xludf.DUMMYFUNCTION("""COMPUTED_VALUE"""),"15230503")</f>
        <v>15230503</v>
      </c>
      <c r="H1314" s="17" t="str">
        <f>IFERROR(__xludf.DUMMYFUNCTION("""COMPUTED_VALUE"""),"хлібниці")</f>
        <v>хлібниці</v>
      </c>
      <c r="I1314" s="19">
        <f>IFERROR(__xludf.DUMMYFUNCTION("""COMPUTED_VALUE"""),0.0756)</f>
        <v>0.0756</v>
      </c>
      <c r="J1314" s="19">
        <f>IFERROR(__xludf.DUMMYFUNCTION("""COMPUTED_VALUE"""),0.1512)</f>
        <v>0.1512</v>
      </c>
      <c r="K1314" s="19">
        <f>IFERROR(__xludf.DUMMYFUNCTION("""COMPUTED_VALUE"""),0.189)</f>
        <v>0.189</v>
      </c>
      <c r="L1314" s="19">
        <f>IFERROR(__xludf.DUMMYFUNCTION("""COMPUTED_VALUE"""),0.2268)</f>
        <v>0.2268</v>
      </c>
      <c r="M1314" s="18">
        <f>IFERROR(__xludf.DUMMYFUNCTION("""COMPUTED_VALUE"""),1.98)</f>
        <v>1.98</v>
      </c>
    </row>
    <row r="1315">
      <c r="A1315" s="13" t="str">
        <f>IFERROR(__xludf.DUMMYFUNCTION("""COMPUTED_VALUE"""),"товари")</f>
        <v>товари</v>
      </c>
      <c r="B1315" s="16" t="str">
        <f>IFERROR(__xludf.DUMMYFUNCTION("""COMPUTED_VALUE"""),"дача, сад і город")</f>
        <v>дача, сад і город</v>
      </c>
      <c r="C1315" s="16" t="str">
        <f>IFERROR(__xludf.DUMMYFUNCTION("""COMPUTED_VALUE"""),"ландшафтні будови")</f>
        <v>ландшафтні будови</v>
      </c>
      <c r="D1315" s="16" t="str">
        <f>IFERROR(__xludf.DUMMYFUNCTION("""COMPUTED_VALUE"""),"хозблоки, сараї для саду")</f>
        <v>хозблоки, сараї для саду</v>
      </c>
      <c r="E1315" s="16" t="str">
        <f>IFERROR(__xludf.DUMMYFUNCTION("""COMPUTED_VALUE"""),"хозблоки, сараї для саду")</f>
        <v>хозблоки, сараї для саду</v>
      </c>
      <c r="F1315" s="17">
        <f>IFERROR(__xludf.DUMMYFUNCTION("""COMPUTED_VALUE"""),3.0)</f>
        <v>3</v>
      </c>
      <c r="G1315" s="17" t="str">
        <f>IFERROR(__xludf.DUMMYFUNCTION("""COMPUTED_VALUE"""),"1252203")</f>
        <v>1252203</v>
      </c>
      <c r="H1315" s="17" t="str">
        <f>IFERROR(__xludf.DUMMYFUNCTION("""COMPUTED_VALUE"""),"хозблоки, сараї для саду")</f>
        <v>хозблоки, сараї для саду</v>
      </c>
      <c r="I1315" s="19">
        <f>IFERROR(__xludf.DUMMYFUNCTION("""COMPUTED_VALUE"""),0.0572)</f>
        <v>0.0572</v>
      </c>
      <c r="J1315" s="19">
        <f>IFERROR(__xludf.DUMMYFUNCTION("""COMPUTED_VALUE"""),0.1143)</f>
        <v>0.1143</v>
      </c>
      <c r="K1315" s="19">
        <f>IFERROR(__xludf.DUMMYFUNCTION("""COMPUTED_VALUE"""),0.1429)</f>
        <v>0.1429</v>
      </c>
      <c r="L1315" s="19">
        <f>IFERROR(__xludf.DUMMYFUNCTION("""COMPUTED_VALUE"""),0.1715)</f>
        <v>0.1715</v>
      </c>
      <c r="M1315" s="18">
        <f>IFERROR(__xludf.DUMMYFUNCTION("""COMPUTED_VALUE"""),1.71)</f>
        <v>1.71</v>
      </c>
    </row>
    <row r="1316">
      <c r="A1316" s="13" t="str">
        <f>IFERROR(__xludf.DUMMYFUNCTION("""COMPUTED_VALUE"""),"товари")</f>
        <v>товари</v>
      </c>
      <c r="B1316" s="16" t="str">
        <f>IFERROR(__xludf.DUMMYFUNCTION("""COMPUTED_VALUE"""),"товари для дому")</f>
        <v>товари для дому</v>
      </c>
      <c r="C1316" s="16" t="str">
        <f>IFERROR(__xludf.DUMMYFUNCTION("""COMPUTED_VALUE"""),"посуд")</f>
        <v>посуд</v>
      </c>
      <c r="D1316" s="16" t="str">
        <f>IFERROR(__xludf.DUMMYFUNCTION("""COMPUTED_VALUE"""),"столовий посуд")</f>
        <v>столовий посуд</v>
      </c>
      <c r="E1316" s="16" t="str">
        <f>IFERROR(__xludf.DUMMYFUNCTION("""COMPUTED_VALUE"""),"цукорниці")</f>
        <v>цукорниці</v>
      </c>
      <c r="F1316" s="17">
        <f>IFERROR(__xludf.DUMMYFUNCTION("""COMPUTED_VALUE"""),4.0)</f>
        <v>4</v>
      </c>
      <c r="G1316" s="17" t="str">
        <f>IFERROR(__xludf.DUMMYFUNCTION("""COMPUTED_VALUE"""),"152219")</f>
        <v>152219</v>
      </c>
      <c r="H1316" s="17" t="str">
        <f>IFERROR(__xludf.DUMMYFUNCTION("""COMPUTED_VALUE"""),"цукорниці")</f>
        <v>цукорниці</v>
      </c>
      <c r="I1316" s="19">
        <f>IFERROR(__xludf.DUMMYFUNCTION("""COMPUTED_VALUE"""),0.0771)</f>
        <v>0.0771</v>
      </c>
      <c r="J1316" s="19">
        <f>IFERROR(__xludf.DUMMYFUNCTION("""COMPUTED_VALUE"""),0.1541)</f>
        <v>0.1541</v>
      </c>
      <c r="K1316" s="19">
        <f>IFERROR(__xludf.DUMMYFUNCTION("""COMPUTED_VALUE"""),0.1926)</f>
        <v>0.1926</v>
      </c>
      <c r="L1316" s="19">
        <f>IFERROR(__xludf.DUMMYFUNCTION("""COMPUTED_VALUE"""),0.2312)</f>
        <v>0.2312</v>
      </c>
      <c r="M1316" s="18">
        <f>IFERROR(__xludf.DUMMYFUNCTION("""COMPUTED_VALUE"""),2.08)</f>
        <v>2.08</v>
      </c>
    </row>
    <row r="1317">
      <c r="A1317" s="13" t="str">
        <f>IFERROR(__xludf.DUMMYFUNCTION("""COMPUTED_VALUE"""),"товари")</f>
        <v>товари</v>
      </c>
      <c r="B1317" s="16" t="str">
        <f>IFERROR(__xludf.DUMMYFUNCTION("""COMPUTED_VALUE"""),"товари для дому")</f>
        <v>товари для дому</v>
      </c>
      <c r="C1317" s="16" t="str">
        <f>IFERROR(__xludf.DUMMYFUNCTION("""COMPUTED_VALUE"""),"посуд")</f>
        <v>посуд</v>
      </c>
      <c r="D1317" s="16" t="str">
        <f>IFERROR(__xludf.DUMMYFUNCTION("""COMPUTED_VALUE"""),"посуд для приготування")</f>
        <v>посуд для приготування</v>
      </c>
      <c r="E1317" s="16" t="str">
        <f>IFERROR(__xludf.DUMMYFUNCTION("""COMPUTED_VALUE"""),"чайники для плити")</f>
        <v>чайники для плити</v>
      </c>
      <c r="F1317" s="17">
        <f>IFERROR(__xludf.DUMMYFUNCTION("""COMPUTED_VALUE"""),4.0)</f>
        <v>4</v>
      </c>
      <c r="G1317" s="17" t="str">
        <f>IFERROR(__xludf.DUMMYFUNCTION("""COMPUTED_VALUE"""),"15230305")</f>
        <v>15230305</v>
      </c>
      <c r="H1317" s="17" t="str">
        <f>IFERROR(__xludf.DUMMYFUNCTION("""COMPUTED_VALUE"""),"чайники для плити")</f>
        <v>чайники для плити</v>
      </c>
      <c r="I1317" s="19">
        <f>IFERROR(__xludf.DUMMYFUNCTION("""COMPUTED_VALUE"""),0.0767)</f>
        <v>0.0767</v>
      </c>
      <c r="J1317" s="19">
        <f>IFERROR(__xludf.DUMMYFUNCTION("""COMPUTED_VALUE"""),0.1534)</f>
        <v>0.1534</v>
      </c>
      <c r="K1317" s="19">
        <f>IFERROR(__xludf.DUMMYFUNCTION("""COMPUTED_VALUE"""),0.1918)</f>
        <v>0.1918</v>
      </c>
      <c r="L1317" s="19">
        <f>IFERROR(__xludf.DUMMYFUNCTION("""COMPUTED_VALUE"""),0.2301)</f>
        <v>0.2301</v>
      </c>
      <c r="M1317" s="18">
        <f>IFERROR(__xludf.DUMMYFUNCTION("""COMPUTED_VALUE"""),2.53)</f>
        <v>2.53</v>
      </c>
    </row>
    <row r="1318">
      <c r="A1318" s="13" t="str">
        <f>IFERROR(__xludf.DUMMYFUNCTION("""COMPUTED_VALUE"""),"товари")</f>
        <v>товари</v>
      </c>
      <c r="B1318" s="16" t="str">
        <f>IFERROR(__xludf.DUMMYFUNCTION("""COMPUTED_VALUE"""),"товари для дому")</f>
        <v>товари для дому</v>
      </c>
      <c r="C1318" s="16" t="str">
        <f>IFERROR(__xludf.DUMMYFUNCTION("""COMPUTED_VALUE"""),"посуд")</f>
        <v>посуд</v>
      </c>
      <c r="D1318" s="16" t="str">
        <f>IFERROR(__xludf.DUMMYFUNCTION("""COMPUTED_VALUE"""),"столовий посуд")</f>
        <v>столовий посуд</v>
      </c>
      <c r="E1318" s="16" t="str">
        <f>IFERROR(__xludf.DUMMYFUNCTION("""COMPUTED_VALUE"""),"чарки і стопки")</f>
        <v>чарки і стопки</v>
      </c>
      <c r="F1318" s="17">
        <f>IFERROR(__xludf.DUMMYFUNCTION("""COMPUTED_VALUE"""),4.0)</f>
        <v>4</v>
      </c>
      <c r="G1318" s="17" t="str">
        <f>IFERROR(__xludf.DUMMYFUNCTION("""COMPUTED_VALUE"""),"152101")</f>
        <v>152101</v>
      </c>
      <c r="H1318" s="17" t="str">
        <f>IFERROR(__xludf.DUMMYFUNCTION("""COMPUTED_VALUE"""),"чарки і стопки")</f>
        <v>чарки і стопки</v>
      </c>
      <c r="I1318" s="19">
        <f>IFERROR(__xludf.DUMMYFUNCTION("""COMPUTED_VALUE"""),0.0767)</f>
        <v>0.0767</v>
      </c>
      <c r="J1318" s="19">
        <f>IFERROR(__xludf.DUMMYFUNCTION("""COMPUTED_VALUE"""),0.1534)</f>
        <v>0.1534</v>
      </c>
      <c r="K1318" s="19">
        <f>IFERROR(__xludf.DUMMYFUNCTION("""COMPUTED_VALUE"""),0.1918)</f>
        <v>0.1918</v>
      </c>
      <c r="L1318" s="19">
        <f>IFERROR(__xludf.DUMMYFUNCTION("""COMPUTED_VALUE"""),0.2301)</f>
        <v>0.2301</v>
      </c>
      <c r="M1318" s="18">
        <f>IFERROR(__xludf.DUMMYFUNCTION("""COMPUTED_VALUE"""),2.08)</f>
        <v>2.08</v>
      </c>
    </row>
    <row r="1319">
      <c r="A1319" s="13" t="str">
        <f>IFERROR(__xludf.DUMMYFUNCTION("""COMPUTED_VALUE"""),"товари")</f>
        <v>товари</v>
      </c>
      <c r="B1319" s="16" t="str">
        <f>IFERROR(__xludf.DUMMYFUNCTION("""COMPUTED_VALUE"""),"товари для дому")</f>
        <v>товари для дому</v>
      </c>
      <c r="C1319" s="16" t="str">
        <f>IFERROR(__xludf.DUMMYFUNCTION("""COMPUTED_VALUE"""),"посуд")</f>
        <v>посуд</v>
      </c>
      <c r="D1319" s="16" t="str">
        <f>IFERROR(__xludf.DUMMYFUNCTION("""COMPUTED_VALUE"""),"столовий посуд")</f>
        <v>столовий посуд</v>
      </c>
      <c r="E1319" s="16" t="str">
        <f>IFERROR(__xludf.DUMMYFUNCTION("""COMPUTED_VALUE"""),"чашки і кружки")</f>
        <v>чашки і кружки</v>
      </c>
      <c r="F1319" s="17">
        <f>IFERROR(__xludf.DUMMYFUNCTION("""COMPUTED_VALUE"""),4.0)</f>
        <v>4</v>
      </c>
      <c r="G1319" s="17" t="str">
        <f>IFERROR(__xludf.DUMMYFUNCTION("""COMPUTED_VALUE"""),"152103")</f>
        <v>152103</v>
      </c>
      <c r="H1319" s="17" t="str">
        <f>IFERROR(__xludf.DUMMYFUNCTION("""COMPUTED_VALUE"""),"чашки і кружки")</f>
        <v>чашки і кружки</v>
      </c>
      <c r="I1319" s="19">
        <f>IFERROR(__xludf.DUMMYFUNCTION("""COMPUTED_VALUE"""),0.075)</f>
        <v>0.075</v>
      </c>
      <c r="J1319" s="19">
        <f>IFERROR(__xludf.DUMMYFUNCTION("""COMPUTED_VALUE"""),0.15)</f>
        <v>0.15</v>
      </c>
      <c r="K1319" s="19">
        <f>IFERROR(__xludf.DUMMYFUNCTION("""COMPUTED_VALUE"""),0.1875)</f>
        <v>0.1875</v>
      </c>
      <c r="L1319" s="19">
        <f>IFERROR(__xludf.DUMMYFUNCTION("""COMPUTED_VALUE"""),0.225)</f>
        <v>0.225</v>
      </c>
      <c r="M1319" s="18">
        <f>IFERROR(__xludf.DUMMYFUNCTION("""COMPUTED_VALUE"""),2.08)</f>
        <v>2.08</v>
      </c>
    </row>
    <row r="1320">
      <c r="A1320" s="13" t="str">
        <f>IFERROR(__xludf.DUMMYFUNCTION("""COMPUTED_VALUE"""),"товари")</f>
        <v>товари</v>
      </c>
      <c r="B1320" s="16" t="str">
        <f>IFERROR(__xludf.DUMMYFUNCTION("""COMPUTED_VALUE"""),"товари для дому")</f>
        <v>товари для дому</v>
      </c>
      <c r="C1320" s="16" t="str">
        <f>IFERROR(__xludf.DUMMYFUNCTION("""COMPUTED_VALUE"""),"посуд")</f>
        <v>посуд</v>
      </c>
      <c r="D1320" s="16" t="str">
        <f>IFERROR(__xludf.DUMMYFUNCTION("""COMPUTED_VALUE"""),"посуд для чаю та кави")</f>
        <v>посуд для чаю та кави</v>
      </c>
      <c r="E1320" s="16" t="str">
        <f>IFERROR(__xludf.DUMMYFUNCTION("""COMPUTED_VALUE"""),"гейзерні кавоварки")</f>
        <v>гейзерні кавоварки</v>
      </c>
      <c r="F1320" s="17">
        <f>IFERROR(__xludf.DUMMYFUNCTION("""COMPUTED_VALUE"""),4.0)</f>
        <v>4</v>
      </c>
      <c r="G1320" s="17">
        <f>IFERROR(__xludf.DUMMYFUNCTION("""COMPUTED_VALUE"""),1.5020801E7)</f>
        <v>15020801</v>
      </c>
      <c r="H1320" s="17" t="str">
        <f>IFERROR(__xludf.DUMMYFUNCTION("""COMPUTED_VALUE"""),"гейзерні кавоварки")</f>
        <v>гейзерні кавоварки</v>
      </c>
      <c r="I1320" s="19">
        <f>IFERROR(__xludf.DUMMYFUNCTION("""COMPUTED_VALUE"""),0.0761)</f>
        <v>0.0761</v>
      </c>
      <c r="J1320" s="19">
        <f>IFERROR(__xludf.DUMMYFUNCTION("""COMPUTED_VALUE"""),0.1521)</f>
        <v>0.1521</v>
      </c>
      <c r="K1320" s="19">
        <f>IFERROR(__xludf.DUMMYFUNCTION("""COMPUTED_VALUE"""),0.1901)</f>
        <v>0.1901</v>
      </c>
      <c r="L1320" s="19">
        <f>IFERROR(__xludf.DUMMYFUNCTION("""COMPUTED_VALUE"""),0.2282)</f>
        <v>0.2282</v>
      </c>
      <c r="M1320" s="18">
        <f>IFERROR(__xludf.DUMMYFUNCTION("""COMPUTED_VALUE"""),2.08)</f>
        <v>2.08</v>
      </c>
    </row>
    <row r="1321">
      <c r="A1321" s="13" t="str">
        <f>IFERROR(__xludf.DUMMYFUNCTION("""COMPUTED_VALUE"""),"товари")</f>
        <v>товари</v>
      </c>
      <c r="B1321" s="16" t="str">
        <f>IFERROR(__xludf.DUMMYFUNCTION("""COMPUTED_VALUE"""),"товари для дому")</f>
        <v>товари для дому</v>
      </c>
      <c r="C1321" s="16" t="str">
        <f>IFERROR(__xludf.DUMMYFUNCTION("""COMPUTED_VALUE"""),"посуд")</f>
        <v>посуд</v>
      </c>
      <c r="D1321" s="16" t="str">
        <f>IFERROR(__xludf.DUMMYFUNCTION("""COMPUTED_VALUE"""),"посуд для чаю та кави")</f>
        <v>посуд для чаю та кави</v>
      </c>
      <c r="E1321" s="16" t="str">
        <f>IFERROR(__xludf.DUMMYFUNCTION("""COMPUTED_VALUE"""),"ручні кавомолки")</f>
        <v>ручні кавомолки</v>
      </c>
      <c r="F1321" s="17">
        <f>IFERROR(__xludf.DUMMYFUNCTION("""COMPUTED_VALUE"""),4.0)</f>
        <v>4</v>
      </c>
      <c r="G1321" s="17">
        <f>IFERROR(__xludf.DUMMYFUNCTION("""COMPUTED_VALUE"""),1.5020802E7)</f>
        <v>15020802</v>
      </c>
      <c r="H1321" s="17" t="str">
        <f>IFERROR(__xludf.DUMMYFUNCTION("""COMPUTED_VALUE"""),"ручні кавомолки")</f>
        <v>ручні кавомолки</v>
      </c>
      <c r="I1321" s="19">
        <f>IFERROR(__xludf.DUMMYFUNCTION("""COMPUTED_VALUE"""),0.0761)</f>
        <v>0.0761</v>
      </c>
      <c r="J1321" s="19">
        <f>IFERROR(__xludf.DUMMYFUNCTION("""COMPUTED_VALUE"""),0.1521)</f>
        <v>0.1521</v>
      </c>
      <c r="K1321" s="19">
        <f>IFERROR(__xludf.DUMMYFUNCTION("""COMPUTED_VALUE"""),0.1901)</f>
        <v>0.1901</v>
      </c>
      <c r="L1321" s="19">
        <f>IFERROR(__xludf.DUMMYFUNCTION("""COMPUTED_VALUE"""),0.2282)</f>
        <v>0.2282</v>
      </c>
      <c r="M1321" s="18">
        <f>IFERROR(__xludf.DUMMYFUNCTION("""COMPUTED_VALUE"""),2.08)</f>
        <v>2.08</v>
      </c>
    </row>
    <row r="1322">
      <c r="A1322" s="13" t="str">
        <f>IFERROR(__xludf.DUMMYFUNCTION("""COMPUTED_VALUE"""),"товари")</f>
        <v>товари</v>
      </c>
      <c r="B1322" s="16" t="str">
        <f>IFERROR(__xludf.DUMMYFUNCTION("""COMPUTED_VALUE"""),"товари для дому")</f>
        <v>товари для дому</v>
      </c>
      <c r="C1322" s="16" t="str">
        <f>IFERROR(__xludf.DUMMYFUNCTION("""COMPUTED_VALUE"""),"посуд")</f>
        <v>посуд</v>
      </c>
      <c r="D1322" s="16" t="str">
        <f>IFERROR(__xludf.DUMMYFUNCTION("""COMPUTED_VALUE"""),"посуд для чаю та кави")</f>
        <v>посуд для чаю та кави</v>
      </c>
      <c r="E1322" s="16" t="str">
        <f>IFERROR(__xludf.DUMMYFUNCTION("""COMPUTED_VALUE"""),"аксесуари для чаю та кави")</f>
        <v>аксесуари для чаю та кави</v>
      </c>
      <c r="F1322" s="17">
        <f>IFERROR(__xludf.DUMMYFUNCTION("""COMPUTED_VALUE"""),4.0)</f>
        <v>4</v>
      </c>
      <c r="G1322" s="17">
        <f>IFERROR(__xludf.DUMMYFUNCTION("""COMPUTED_VALUE"""),1.5020803E7)</f>
        <v>15020803</v>
      </c>
      <c r="H1322" s="17" t="str">
        <f>IFERROR(__xludf.DUMMYFUNCTION("""COMPUTED_VALUE"""),"аксесуари для чаю та кави")</f>
        <v>аксесуари для чаю та кави</v>
      </c>
      <c r="I1322" s="19">
        <f>IFERROR(__xludf.DUMMYFUNCTION("""COMPUTED_VALUE"""),0.0771)</f>
        <v>0.0771</v>
      </c>
      <c r="J1322" s="19">
        <f>IFERROR(__xludf.DUMMYFUNCTION("""COMPUTED_VALUE"""),0.1541)</f>
        <v>0.1541</v>
      </c>
      <c r="K1322" s="19">
        <f>IFERROR(__xludf.DUMMYFUNCTION("""COMPUTED_VALUE"""),0.1926)</f>
        <v>0.1926</v>
      </c>
      <c r="L1322" s="19">
        <f>IFERROR(__xludf.DUMMYFUNCTION("""COMPUTED_VALUE"""),0.2312)</f>
        <v>0.2312</v>
      </c>
      <c r="M1322" s="18">
        <f>IFERROR(__xludf.DUMMYFUNCTION("""COMPUTED_VALUE"""),2.08)</f>
        <v>2.08</v>
      </c>
    </row>
    <row r="1323">
      <c r="A1323" s="13" t="str">
        <f>IFERROR(__xludf.DUMMYFUNCTION("""COMPUTED_VALUE"""),"товари")</f>
        <v>товари</v>
      </c>
      <c r="B1323" s="16" t="str">
        <f>IFERROR(__xludf.DUMMYFUNCTION("""COMPUTED_VALUE"""),"товари для дому")</f>
        <v>товари для дому</v>
      </c>
      <c r="C1323" s="16" t="str">
        <f>IFERROR(__xludf.DUMMYFUNCTION("""COMPUTED_VALUE"""),"посуд")</f>
        <v>посуд</v>
      </c>
      <c r="D1323" s="16" t="str">
        <f>IFERROR(__xludf.DUMMYFUNCTION("""COMPUTED_VALUE"""),"посуд для чаю та кави")</f>
        <v>посуд для чаю та кави</v>
      </c>
      <c r="E1323" s="16" t="str">
        <f>IFERROR(__xludf.DUMMYFUNCTION("""COMPUTED_VALUE"""),"посуд для чаю та кави, загальне")</f>
        <v>посуд для чаю та кави, загальне</v>
      </c>
      <c r="F1323" s="17">
        <f>IFERROR(__xludf.DUMMYFUNCTION("""COMPUTED_VALUE"""),4.0)</f>
        <v>4</v>
      </c>
      <c r="G1323" s="17">
        <f>IFERROR(__xludf.DUMMYFUNCTION("""COMPUTED_VALUE"""),1.5020804E7)</f>
        <v>15020804</v>
      </c>
      <c r="H1323" s="17" t="str">
        <f>IFERROR(__xludf.DUMMYFUNCTION("""COMPUTED_VALUE"""),"посуд для чаю та кави, загальне")</f>
        <v>посуд для чаю та кави, загальне</v>
      </c>
      <c r="I1323" s="19">
        <f>IFERROR(__xludf.DUMMYFUNCTION("""COMPUTED_VALUE"""),0.125)</f>
        <v>0.125</v>
      </c>
      <c r="J1323" s="19">
        <f>IFERROR(__xludf.DUMMYFUNCTION("""COMPUTED_VALUE"""),0.25)</f>
        <v>0.25</v>
      </c>
      <c r="K1323" s="19">
        <f>IFERROR(__xludf.DUMMYFUNCTION("""COMPUTED_VALUE"""),0.3125)</f>
        <v>0.3125</v>
      </c>
      <c r="L1323" s="19">
        <f>IFERROR(__xludf.DUMMYFUNCTION("""COMPUTED_VALUE"""),0.375)</f>
        <v>0.375</v>
      </c>
      <c r="M1323" s="18">
        <f>IFERROR(__xludf.DUMMYFUNCTION("""COMPUTED_VALUE"""),4.33)</f>
        <v>4.33</v>
      </c>
    </row>
    <row r="1324">
      <c r="A1324" s="13" t="str">
        <f>IFERROR(__xludf.DUMMYFUNCTION("""COMPUTED_VALUE"""),"товари")</f>
        <v>товари</v>
      </c>
      <c r="B1324" s="16" t="str">
        <f>IFERROR(__xludf.DUMMYFUNCTION("""COMPUTED_VALUE"""),"товари для дому")</f>
        <v>товари для дому</v>
      </c>
      <c r="C1324" s="16" t="str">
        <f>IFERROR(__xludf.DUMMYFUNCTION("""COMPUTED_VALUE"""),"посуд")</f>
        <v>посуд</v>
      </c>
      <c r="D1324" s="16" t="str">
        <f>IFERROR(__xludf.DUMMYFUNCTION("""COMPUTED_VALUE"""),"посуд для випічки та запікання")</f>
        <v>посуд для випічки та запікання</v>
      </c>
      <c r="E1324" s="16" t="str">
        <f>IFERROR(__xludf.DUMMYFUNCTION("""COMPUTED_VALUE"""),"посуд для випічки та запікання, загальне")</f>
        <v>посуд для випічки та запікання, загальне</v>
      </c>
      <c r="F1324" s="17">
        <f>IFERROR(__xludf.DUMMYFUNCTION("""COMPUTED_VALUE"""),4.0)</f>
        <v>4</v>
      </c>
      <c r="G1324" s="17">
        <f>IFERROR(__xludf.DUMMYFUNCTION("""COMPUTED_VALUE"""),1.5020901E7)</f>
        <v>15020901</v>
      </c>
      <c r="H1324" s="17" t="str">
        <f>IFERROR(__xludf.DUMMYFUNCTION("""COMPUTED_VALUE"""),"посуд для випічки та запікання, загальне")</f>
        <v>посуд для випічки та запікання, загальне</v>
      </c>
      <c r="I1324" s="19">
        <f>IFERROR(__xludf.DUMMYFUNCTION("""COMPUTED_VALUE"""),0.125)</f>
        <v>0.125</v>
      </c>
      <c r="J1324" s="19">
        <f>IFERROR(__xludf.DUMMYFUNCTION("""COMPUTED_VALUE"""),0.25)</f>
        <v>0.25</v>
      </c>
      <c r="K1324" s="19">
        <f>IFERROR(__xludf.DUMMYFUNCTION("""COMPUTED_VALUE"""),0.3125)</f>
        <v>0.3125</v>
      </c>
      <c r="L1324" s="19">
        <f>IFERROR(__xludf.DUMMYFUNCTION("""COMPUTED_VALUE"""),0.375)</f>
        <v>0.375</v>
      </c>
      <c r="M1324" s="18">
        <f>IFERROR(__xludf.DUMMYFUNCTION("""COMPUTED_VALUE"""),4.33)</f>
        <v>4.33</v>
      </c>
    </row>
    <row r="1325">
      <c r="A1325" s="13" t="str">
        <f>IFERROR(__xludf.DUMMYFUNCTION("""COMPUTED_VALUE"""),"товари")</f>
        <v>товари</v>
      </c>
      <c r="B1325" s="16" t="str">
        <f>IFERROR(__xludf.DUMMYFUNCTION("""COMPUTED_VALUE"""),"товари для дому")</f>
        <v>товари для дому</v>
      </c>
      <c r="C1325" s="16" t="str">
        <f>IFERROR(__xludf.DUMMYFUNCTION("""COMPUTED_VALUE"""),"посуд")</f>
        <v>посуд</v>
      </c>
      <c r="D1325" s="16" t="str">
        <f>IFERROR(__xludf.DUMMYFUNCTION("""COMPUTED_VALUE"""),"посуд для приготування")</f>
        <v>посуд для приготування</v>
      </c>
      <c r="E1325" s="16" t="str">
        <f>IFERROR(__xludf.DUMMYFUNCTION("""COMPUTED_VALUE"""),"таджини")</f>
        <v>таджини</v>
      </c>
      <c r="F1325" s="17">
        <f>IFERROR(__xludf.DUMMYFUNCTION("""COMPUTED_VALUE"""),4.0)</f>
        <v>4</v>
      </c>
      <c r="G1325" s="17">
        <f>IFERROR(__xludf.DUMMYFUNCTION("""COMPUTED_VALUE"""),1.5230323E7)</f>
        <v>15230323</v>
      </c>
      <c r="H1325" s="17" t="str">
        <f>IFERROR(__xludf.DUMMYFUNCTION("""COMPUTED_VALUE"""),"таджини")</f>
        <v>таджини</v>
      </c>
      <c r="I1325" s="19">
        <f>IFERROR(__xludf.DUMMYFUNCTION("""COMPUTED_VALUE"""),0.0761)</f>
        <v>0.0761</v>
      </c>
      <c r="J1325" s="19">
        <f>IFERROR(__xludf.DUMMYFUNCTION("""COMPUTED_VALUE"""),0.1521)</f>
        <v>0.1521</v>
      </c>
      <c r="K1325" s="19">
        <f>IFERROR(__xludf.DUMMYFUNCTION("""COMPUTED_VALUE"""),0.1901)</f>
        <v>0.1901</v>
      </c>
      <c r="L1325" s="19">
        <f>IFERROR(__xludf.DUMMYFUNCTION("""COMPUTED_VALUE"""),0.2282)</f>
        <v>0.2282</v>
      </c>
      <c r="M1325" s="18">
        <f>IFERROR(__xludf.DUMMYFUNCTION("""COMPUTED_VALUE"""),2.53)</f>
        <v>2.53</v>
      </c>
    </row>
    <row r="1326">
      <c r="A1326" s="13" t="str">
        <f>IFERROR(__xludf.DUMMYFUNCTION("""COMPUTED_VALUE"""),"товари")</f>
        <v>товари</v>
      </c>
      <c r="B1326" s="16" t="str">
        <f>IFERROR(__xludf.DUMMYFUNCTION("""COMPUTED_VALUE"""),"товари для дому")</f>
        <v>товари для дому</v>
      </c>
      <c r="C1326" s="16" t="str">
        <f>IFERROR(__xludf.DUMMYFUNCTION("""COMPUTED_VALUE"""),"текстиль")</f>
        <v>текстиль</v>
      </c>
      <c r="D1326" s="16" t="str">
        <f>IFERROR(__xludf.DUMMYFUNCTION("""COMPUTED_VALUE"""),"чохли для меблів")</f>
        <v>чохли для меблів</v>
      </c>
      <c r="E1326" s="16" t="str">
        <f>IFERROR(__xludf.DUMMYFUNCTION("""COMPUTED_VALUE"""),"чохли для меблів")</f>
        <v>чохли для меблів</v>
      </c>
      <c r="F1326" s="17">
        <f>IFERROR(__xludf.DUMMYFUNCTION("""COMPUTED_VALUE"""),3.0)</f>
        <v>3</v>
      </c>
      <c r="G1326" s="17" t="str">
        <f>IFERROR(__xludf.DUMMYFUNCTION("""COMPUTED_VALUE"""),"370824")</f>
        <v>370824</v>
      </c>
      <c r="H1326" s="17" t="str">
        <f>IFERROR(__xludf.DUMMYFUNCTION("""COMPUTED_VALUE"""),"чохли для меблів")</f>
        <v>чохли для меблів</v>
      </c>
      <c r="I1326" s="19">
        <f>IFERROR(__xludf.DUMMYFUNCTION("""COMPUTED_VALUE"""),0.0665)</f>
        <v>0.0665</v>
      </c>
      <c r="J1326" s="19">
        <f>IFERROR(__xludf.DUMMYFUNCTION("""COMPUTED_VALUE"""),0.133)</f>
        <v>0.133</v>
      </c>
      <c r="K1326" s="19">
        <f>IFERROR(__xludf.DUMMYFUNCTION("""COMPUTED_VALUE"""),0.1663)</f>
        <v>0.1663</v>
      </c>
      <c r="L1326" s="19">
        <f>IFERROR(__xludf.DUMMYFUNCTION("""COMPUTED_VALUE"""),0.1995)</f>
        <v>0.1995</v>
      </c>
      <c r="M1326" s="18">
        <f>IFERROR(__xludf.DUMMYFUNCTION("""COMPUTED_VALUE"""),2.16)</f>
        <v>2.16</v>
      </c>
    </row>
    <row r="1327">
      <c r="A1327" s="13" t="str">
        <f>IFERROR(__xludf.DUMMYFUNCTION("""COMPUTED_VALUE"""),"товари")</f>
        <v>товари</v>
      </c>
      <c r="B1327" s="16" t="str">
        <f>IFERROR(__xludf.DUMMYFUNCTION("""COMPUTED_VALUE"""),"товари для дому")</f>
        <v>товари для дому</v>
      </c>
      <c r="C1327" s="16" t="str">
        <f>IFERROR(__xludf.DUMMYFUNCTION("""COMPUTED_VALUE"""),"рішення для зберігання")</f>
        <v>рішення для зберігання</v>
      </c>
      <c r="D1327" s="16" t="str">
        <f>IFERROR(__xludf.DUMMYFUNCTION("""COMPUTED_VALUE"""),"чохли для одягу, взуття")</f>
        <v>чохли для одягу, взуття</v>
      </c>
      <c r="E1327" s="16" t="str">
        <f>IFERROR(__xludf.DUMMYFUNCTION("""COMPUTED_VALUE"""),"чохли для одягу, взуття")</f>
        <v>чохли для одягу, взуття</v>
      </c>
      <c r="F1327" s="17">
        <f>IFERROR(__xludf.DUMMYFUNCTION("""COMPUTED_VALUE"""),3.0)</f>
        <v>3</v>
      </c>
      <c r="G1327" s="17" t="str">
        <f>IFERROR(__xludf.DUMMYFUNCTION("""COMPUTED_VALUE"""),"380410")</f>
        <v>380410</v>
      </c>
      <c r="H1327" s="17" t="str">
        <f>IFERROR(__xludf.DUMMYFUNCTION("""COMPUTED_VALUE"""),"чохли для одягу, взуття")</f>
        <v>чохли для одягу, взуття</v>
      </c>
      <c r="I1327" s="19">
        <f>IFERROR(__xludf.DUMMYFUNCTION("""COMPUTED_VALUE"""),0.0815)</f>
        <v>0.0815</v>
      </c>
      <c r="J1327" s="19">
        <f>IFERROR(__xludf.DUMMYFUNCTION("""COMPUTED_VALUE"""),0.1629)</f>
        <v>0.1629</v>
      </c>
      <c r="K1327" s="19">
        <f>IFERROR(__xludf.DUMMYFUNCTION("""COMPUTED_VALUE"""),0.2036)</f>
        <v>0.2036</v>
      </c>
      <c r="L1327" s="19">
        <f>IFERROR(__xludf.DUMMYFUNCTION("""COMPUTED_VALUE"""),0.2444)</f>
        <v>0.2444</v>
      </c>
      <c r="M1327" s="18">
        <f>IFERROR(__xludf.DUMMYFUNCTION("""COMPUTED_VALUE"""),2.61)</f>
        <v>2.61</v>
      </c>
    </row>
    <row r="1328">
      <c r="A1328" s="13" t="str">
        <f>IFERROR(__xludf.DUMMYFUNCTION("""COMPUTED_VALUE"""),"товари")</f>
        <v>товари</v>
      </c>
      <c r="B1328" s="16" t="str">
        <f>IFERROR(__xludf.DUMMYFUNCTION("""COMPUTED_VALUE"""),"дача, сад і город")</f>
        <v>дача, сад і город</v>
      </c>
      <c r="C1328" s="16" t="str">
        <f>IFERROR(__xludf.DUMMYFUNCTION("""COMPUTED_VALUE"""),"аксесуари для барбекю")</f>
        <v>аксесуари для барбекю</v>
      </c>
      <c r="D1328" s="16" t="str">
        <f>IFERROR(__xludf.DUMMYFUNCTION("""COMPUTED_VALUE"""),"шампури, вертіла")</f>
        <v>шампури, вертіла</v>
      </c>
      <c r="E1328" s="16" t="str">
        <f>IFERROR(__xludf.DUMMYFUNCTION("""COMPUTED_VALUE"""),"шампури, вертіла")</f>
        <v>шампури, вертіла</v>
      </c>
      <c r="F1328" s="17">
        <f>IFERROR(__xludf.DUMMYFUNCTION("""COMPUTED_VALUE"""),3.0)</f>
        <v>3</v>
      </c>
      <c r="G1328" s="17" t="str">
        <f>IFERROR(__xludf.DUMMYFUNCTION("""COMPUTED_VALUE"""),"15230311")</f>
        <v>15230311</v>
      </c>
      <c r="H1328" s="17" t="str">
        <f>IFERROR(__xludf.DUMMYFUNCTION("""COMPUTED_VALUE"""),"шампури, вертіла")</f>
        <v>шампури, вертіла</v>
      </c>
      <c r="I1328" s="19">
        <f>IFERROR(__xludf.DUMMYFUNCTION("""COMPUTED_VALUE"""),0.075)</f>
        <v>0.075</v>
      </c>
      <c r="J1328" s="19">
        <f>IFERROR(__xludf.DUMMYFUNCTION("""COMPUTED_VALUE"""),0.15)</f>
        <v>0.15</v>
      </c>
      <c r="K1328" s="19">
        <f>IFERROR(__xludf.DUMMYFUNCTION("""COMPUTED_VALUE"""),0.1875)</f>
        <v>0.1875</v>
      </c>
      <c r="L1328" s="19">
        <f>IFERROR(__xludf.DUMMYFUNCTION("""COMPUTED_VALUE"""),0.225)</f>
        <v>0.225</v>
      </c>
      <c r="M1328" s="18">
        <f>IFERROR(__xludf.DUMMYFUNCTION("""COMPUTED_VALUE"""),3.98)</f>
        <v>3.98</v>
      </c>
    </row>
    <row r="1329">
      <c r="A1329" s="13" t="str">
        <f>IFERROR(__xludf.DUMMYFUNCTION("""COMPUTED_VALUE"""),"товари")</f>
        <v>товари</v>
      </c>
      <c r="B1329" s="16" t="str">
        <f>IFERROR(__xludf.DUMMYFUNCTION("""COMPUTED_VALUE"""),"товари для дому")</f>
        <v>товари для дому</v>
      </c>
      <c r="C1329" s="16" t="str">
        <f>IFERROR(__xludf.DUMMYFUNCTION("""COMPUTED_VALUE"""),"аксесуари для саун і лазень")</f>
        <v>аксесуари для саун і лазень</v>
      </c>
      <c r="D1329" s="16" t="str">
        <f>IFERROR(__xludf.DUMMYFUNCTION("""COMPUTED_VALUE"""),"шапки і набори для лазні та сауни")</f>
        <v>шапки і набори для лазні та сауни</v>
      </c>
      <c r="E1329" s="16" t="str">
        <f>IFERROR(__xludf.DUMMYFUNCTION("""COMPUTED_VALUE"""),"шапки і набори для лазні та сауни")</f>
        <v>шапки і набори для лазні та сауни</v>
      </c>
      <c r="F1329" s="17">
        <f>IFERROR(__xludf.DUMMYFUNCTION("""COMPUTED_VALUE"""),3.0)</f>
        <v>3</v>
      </c>
      <c r="G1329" s="17" t="str">
        <f>IFERROR(__xludf.DUMMYFUNCTION("""COMPUTED_VALUE"""),"15050203")</f>
        <v>15050203</v>
      </c>
      <c r="H1329" s="17" t="str">
        <f>IFERROR(__xludf.DUMMYFUNCTION("""COMPUTED_VALUE"""),"шапки і набори для лазні та сауни")</f>
        <v>шапки і набори для лазні та сауни</v>
      </c>
      <c r="I1329" s="19">
        <f>IFERROR(__xludf.DUMMYFUNCTION("""COMPUTED_VALUE"""),0.0534)</f>
        <v>0.0534</v>
      </c>
      <c r="J1329" s="19">
        <f>IFERROR(__xludf.DUMMYFUNCTION("""COMPUTED_VALUE"""),0.1067)</f>
        <v>0.1067</v>
      </c>
      <c r="K1329" s="19">
        <f>IFERROR(__xludf.DUMMYFUNCTION("""COMPUTED_VALUE"""),0.1334)</f>
        <v>0.1334</v>
      </c>
      <c r="L1329" s="19">
        <f>IFERROR(__xludf.DUMMYFUNCTION("""COMPUTED_VALUE"""),0.1601)</f>
        <v>0.1601</v>
      </c>
      <c r="M1329" s="18">
        <f>IFERROR(__xludf.DUMMYFUNCTION("""COMPUTED_VALUE"""),4.14)</f>
        <v>4.14</v>
      </c>
    </row>
    <row r="1330">
      <c r="A1330" s="13" t="str">
        <f>IFERROR(__xludf.DUMMYFUNCTION("""COMPUTED_VALUE"""),"товари")</f>
        <v>товари</v>
      </c>
      <c r="B1330" s="16" t="str">
        <f>IFERROR(__xludf.DUMMYFUNCTION("""COMPUTED_VALUE"""),"товари для дому")</f>
        <v>товари для дому</v>
      </c>
      <c r="C1330" s="16" t="str">
        <f>IFERROR(__xludf.DUMMYFUNCTION("""COMPUTED_VALUE"""),"приналежності для ванної та туалету")</f>
        <v>приналежності для ванної та туалету</v>
      </c>
      <c r="D1330" s="16" t="str">
        <f>IFERROR(__xludf.DUMMYFUNCTION("""COMPUTED_VALUE"""),"шапочки для душа")</f>
        <v>шапочки для душа</v>
      </c>
      <c r="E1330" s="16" t="str">
        <f>IFERROR(__xludf.DUMMYFUNCTION("""COMPUTED_VALUE"""),"шапочки для душа")</f>
        <v>шапочки для душа</v>
      </c>
      <c r="F1330" s="17">
        <f>IFERROR(__xludf.DUMMYFUNCTION("""COMPUTED_VALUE"""),3.0)</f>
        <v>3</v>
      </c>
      <c r="G1330" s="17" t="str">
        <f>IFERROR(__xludf.DUMMYFUNCTION("""COMPUTED_VALUE"""),"154005")</f>
        <v>154005</v>
      </c>
      <c r="H1330" s="17" t="str">
        <f>IFERROR(__xludf.DUMMYFUNCTION("""COMPUTED_VALUE"""),"шапочки для душа")</f>
        <v>шапочки для душа</v>
      </c>
      <c r="I1330" s="19">
        <f>IFERROR(__xludf.DUMMYFUNCTION("""COMPUTED_VALUE"""),0.0501)</f>
        <v>0.0501</v>
      </c>
      <c r="J1330" s="19">
        <f>IFERROR(__xludf.DUMMYFUNCTION("""COMPUTED_VALUE"""),0.1001)</f>
        <v>0.1001</v>
      </c>
      <c r="K1330" s="19">
        <f>IFERROR(__xludf.DUMMYFUNCTION("""COMPUTED_VALUE"""),0.1251)</f>
        <v>0.1251</v>
      </c>
      <c r="L1330" s="19">
        <f>IFERROR(__xludf.DUMMYFUNCTION("""COMPUTED_VALUE"""),0.1502)</f>
        <v>0.1502</v>
      </c>
      <c r="M1330" s="18">
        <f>IFERROR(__xludf.DUMMYFUNCTION("""COMPUTED_VALUE"""),1.05)</f>
        <v>1.05</v>
      </c>
    </row>
    <row r="1331">
      <c r="A1331" s="13" t="str">
        <f>IFERROR(__xludf.DUMMYFUNCTION("""COMPUTED_VALUE"""),"товари")</f>
        <v>товари</v>
      </c>
      <c r="B1331" s="16" t="str">
        <f>IFERROR(__xludf.DUMMYFUNCTION("""COMPUTED_VALUE"""),"товари для дому")</f>
        <v>товари для дому</v>
      </c>
      <c r="C1331" s="16" t="str">
        <f>IFERROR(__xludf.DUMMYFUNCTION("""COMPUTED_VALUE"""),"меблі")</f>
        <v>меблі</v>
      </c>
      <c r="D1331" s="16" t="str">
        <f>IFERROR(__xludf.DUMMYFUNCTION("""COMPUTED_VALUE"""),"шафи")</f>
        <v>шафи</v>
      </c>
      <c r="E1331" s="16" t="str">
        <f>IFERROR(__xludf.DUMMYFUNCTION("""COMPUTED_VALUE"""),"шафи і пенали для ванних кімнат")</f>
        <v>шафи і пенали для ванних кімнат</v>
      </c>
      <c r="F1331" s="17">
        <f>IFERROR(__xludf.DUMMYFUNCTION("""COMPUTED_VALUE"""),4.0)</f>
        <v>4</v>
      </c>
      <c r="G1331" s="17" t="str">
        <f>IFERROR(__xludf.DUMMYFUNCTION("""COMPUTED_VALUE"""),"13018003")</f>
        <v>13018003</v>
      </c>
      <c r="H1331" s="17" t="str">
        <f>IFERROR(__xludf.DUMMYFUNCTION("""COMPUTED_VALUE"""),"шафи і пенали для ванних кімнат")</f>
        <v>шафи і пенали для ванних кімнат</v>
      </c>
      <c r="I1331" s="19">
        <f>IFERROR(__xludf.DUMMYFUNCTION("""COMPUTED_VALUE"""),0.0665)</f>
        <v>0.0665</v>
      </c>
      <c r="J1331" s="19">
        <f>IFERROR(__xludf.DUMMYFUNCTION("""COMPUTED_VALUE"""),0.133)</f>
        <v>0.133</v>
      </c>
      <c r="K1331" s="19">
        <f>IFERROR(__xludf.DUMMYFUNCTION("""COMPUTED_VALUE"""),0.1663)</f>
        <v>0.1663</v>
      </c>
      <c r="L1331" s="19">
        <f>IFERROR(__xludf.DUMMYFUNCTION("""COMPUTED_VALUE"""),0.1995)</f>
        <v>0.1995</v>
      </c>
      <c r="M1331" s="18">
        <f>IFERROR(__xludf.DUMMYFUNCTION("""COMPUTED_VALUE"""),2.7)</f>
        <v>2.7</v>
      </c>
    </row>
    <row r="1332">
      <c r="A1332" s="20" t="str">
        <f>IFERROR(__xludf.DUMMYFUNCTION("""COMPUTED_VALUE"""),"товари")</f>
        <v>товари</v>
      </c>
      <c r="B1332" s="21" t="str">
        <f>IFERROR(__xludf.DUMMYFUNCTION("""COMPUTED_VALUE"""),"товари для дому")</f>
        <v>товари для дому</v>
      </c>
      <c r="C1332" s="26" t="str">
        <f>IFERROR(__xludf.DUMMYFUNCTION("""COMPUTED_VALUE"""),"меблі")</f>
        <v>меблі</v>
      </c>
      <c r="D1332" s="27" t="str">
        <f>IFERROR(__xludf.DUMMYFUNCTION("""COMPUTED_VALUE"""),"шафи")</f>
        <v>шафи</v>
      </c>
      <c r="E1332" s="21" t="str">
        <f>IFERROR(__xludf.DUMMYFUNCTION("""COMPUTED_VALUE"""),"шафи купе")</f>
        <v>шафи купе</v>
      </c>
      <c r="F1332" s="22">
        <f>IFERROR(__xludf.DUMMYFUNCTION("""COMPUTED_VALUE"""),4.0)</f>
        <v>4</v>
      </c>
      <c r="G1332" s="22" t="str">
        <f>IFERROR(__xludf.DUMMYFUNCTION("""COMPUTED_VALUE"""),"37034003")</f>
        <v>37034003</v>
      </c>
      <c r="H1332" s="22" t="str">
        <f>IFERROR(__xludf.DUMMYFUNCTION("""COMPUTED_VALUE"""),"шафи купе")</f>
        <v>шафи купе</v>
      </c>
      <c r="I1332" s="19">
        <f>IFERROR(__xludf.DUMMYFUNCTION("""COMPUTED_VALUE"""),0.0651)</f>
        <v>0.0651</v>
      </c>
      <c r="J1332" s="19">
        <f>IFERROR(__xludf.DUMMYFUNCTION("""COMPUTED_VALUE"""),0.1301)</f>
        <v>0.1301</v>
      </c>
      <c r="K1332" s="19">
        <f>IFERROR(__xludf.DUMMYFUNCTION("""COMPUTED_VALUE"""),0.1626)</f>
        <v>0.1626</v>
      </c>
      <c r="L1332" s="19">
        <f>IFERROR(__xludf.DUMMYFUNCTION("""COMPUTED_VALUE"""),0.1952)</f>
        <v>0.1952</v>
      </c>
      <c r="M1332" s="18">
        <f>IFERROR(__xludf.DUMMYFUNCTION("""COMPUTED_VALUE"""),2.53)</f>
        <v>2.53</v>
      </c>
    </row>
    <row r="1333">
      <c r="A1333" s="13" t="str">
        <f>IFERROR(__xludf.DUMMYFUNCTION("""COMPUTED_VALUE"""),"товари")</f>
        <v>товари</v>
      </c>
      <c r="B1333" s="16" t="str">
        <f>IFERROR(__xludf.DUMMYFUNCTION("""COMPUTED_VALUE"""),"товари для дому")</f>
        <v>товари для дому</v>
      </c>
      <c r="C1333" s="16" t="str">
        <f>IFERROR(__xludf.DUMMYFUNCTION("""COMPUTED_VALUE"""),"меблі")</f>
        <v>меблі</v>
      </c>
      <c r="D1333" s="16" t="str">
        <f>IFERROR(__xludf.DUMMYFUNCTION("""COMPUTED_VALUE"""),"шафи")</f>
        <v>шафи</v>
      </c>
      <c r="E1333" s="16" t="str">
        <f>IFERROR(__xludf.DUMMYFUNCTION("""COMPUTED_VALUE"""),"шафи, загальне")</f>
        <v>шафи, загальне</v>
      </c>
      <c r="F1333" s="17">
        <f>IFERROR(__xludf.DUMMYFUNCTION("""COMPUTED_VALUE"""),4.0)</f>
        <v>4</v>
      </c>
      <c r="G1333" s="17" t="str">
        <f>IFERROR(__xludf.DUMMYFUNCTION("""COMPUTED_VALUE"""),"15033501")</f>
        <v>15033501</v>
      </c>
      <c r="H1333" s="17" t="str">
        <f>IFERROR(__xludf.DUMMYFUNCTION("""COMPUTED_VALUE"""),"шафи, загальне")</f>
        <v>шафи, загальне</v>
      </c>
      <c r="I1333" s="19">
        <f>IFERROR(__xludf.DUMMYFUNCTION("""COMPUTED_VALUE"""),0.125)</f>
        <v>0.125</v>
      </c>
      <c r="J1333" s="19">
        <f>IFERROR(__xludf.DUMMYFUNCTION("""COMPUTED_VALUE"""),0.25)</f>
        <v>0.25</v>
      </c>
      <c r="K1333" s="19">
        <f>IFERROR(__xludf.DUMMYFUNCTION("""COMPUTED_VALUE"""),0.3125)</f>
        <v>0.3125</v>
      </c>
      <c r="L1333" s="19">
        <f>IFERROR(__xludf.DUMMYFUNCTION("""COMPUTED_VALUE"""),0.375)</f>
        <v>0.375</v>
      </c>
      <c r="M1333" s="18">
        <f>IFERROR(__xludf.DUMMYFUNCTION("""COMPUTED_VALUE"""),4.33)</f>
        <v>4.33</v>
      </c>
    </row>
    <row r="1334">
      <c r="A1334" s="13" t="str">
        <f>IFERROR(__xludf.DUMMYFUNCTION("""COMPUTED_VALUE"""),"товари")</f>
        <v>товари</v>
      </c>
      <c r="B1334" s="16" t="str">
        <f>IFERROR(__xludf.DUMMYFUNCTION("""COMPUTED_VALUE"""),"товари для дому")</f>
        <v>товари для дому</v>
      </c>
      <c r="C1334" s="16" t="str">
        <f>IFERROR(__xludf.DUMMYFUNCTION("""COMPUTED_VALUE"""),"догляд за будинком")</f>
        <v>догляд за будинком</v>
      </c>
      <c r="D1334" s="16" t="str">
        <f>IFERROR(__xludf.DUMMYFUNCTION("""COMPUTED_VALUE"""),"прибирання")</f>
        <v>прибирання</v>
      </c>
      <c r="E1334" s="16" t="str">
        <f>IFERROR(__xludf.DUMMYFUNCTION("""COMPUTED_VALUE"""),"швабри і запасні насадки")</f>
        <v>швабри і запасні насадки</v>
      </c>
      <c r="F1334" s="17">
        <f>IFERROR(__xludf.DUMMYFUNCTION("""COMPUTED_VALUE"""),4.0)</f>
        <v>4</v>
      </c>
      <c r="G1334" s="17" t="str">
        <f>IFERROR(__xludf.DUMMYFUNCTION("""COMPUTED_VALUE"""),"151408")</f>
        <v>151408</v>
      </c>
      <c r="H1334" s="17" t="str">
        <f>IFERROR(__xludf.DUMMYFUNCTION("""COMPUTED_VALUE"""),"швабри і запасні насадки")</f>
        <v>швабри і запасні насадки</v>
      </c>
      <c r="I1334" s="19">
        <f>IFERROR(__xludf.DUMMYFUNCTION("""COMPUTED_VALUE"""),0.0733)</f>
        <v>0.0733</v>
      </c>
      <c r="J1334" s="19">
        <f>IFERROR(__xludf.DUMMYFUNCTION("""COMPUTED_VALUE"""),0.1466)</f>
        <v>0.1466</v>
      </c>
      <c r="K1334" s="19">
        <f>IFERROR(__xludf.DUMMYFUNCTION("""COMPUTED_VALUE"""),0.1833)</f>
        <v>0.1833</v>
      </c>
      <c r="L1334" s="19">
        <f>IFERROR(__xludf.DUMMYFUNCTION("""COMPUTED_VALUE"""),0.2199)</f>
        <v>0.2199</v>
      </c>
      <c r="M1334" s="18">
        <f>IFERROR(__xludf.DUMMYFUNCTION("""COMPUTED_VALUE"""),2.53)</f>
        <v>2.53</v>
      </c>
    </row>
    <row r="1335">
      <c r="A1335" s="13" t="str">
        <f>IFERROR(__xludf.DUMMYFUNCTION("""COMPUTED_VALUE"""),"товари")</f>
        <v>товари</v>
      </c>
      <c r="B1335" s="16" t="str">
        <f>IFERROR(__xludf.DUMMYFUNCTION("""COMPUTED_VALUE"""),"товари для дому")</f>
        <v>товари для дому</v>
      </c>
      <c r="C1335" s="16" t="str">
        <f>IFERROR(__xludf.DUMMYFUNCTION("""COMPUTED_VALUE"""),"меблі")</f>
        <v>меблі</v>
      </c>
      <c r="D1335" s="16" t="str">
        <f>IFERROR(__xludf.DUMMYFUNCTION("""COMPUTED_VALUE"""),"садові й пляжні меблі")</f>
        <v>садові й пляжні меблі</v>
      </c>
      <c r="E1335" s="16" t="str">
        <f>IFERROR(__xludf.DUMMYFUNCTION("""COMPUTED_VALUE"""),"шезлонги та лежаки")</f>
        <v>шезлонги та лежаки</v>
      </c>
      <c r="F1335" s="17">
        <f>IFERROR(__xludf.DUMMYFUNCTION("""COMPUTED_VALUE"""),4.0)</f>
        <v>4</v>
      </c>
      <c r="G1335" s="17" t="str">
        <f>IFERROR(__xludf.DUMMYFUNCTION("""COMPUTED_VALUE"""),"15030901")</f>
        <v>15030901</v>
      </c>
      <c r="H1335" s="17" t="str">
        <f>IFERROR(__xludf.DUMMYFUNCTION("""COMPUTED_VALUE"""),"шезлонги та лежаки")</f>
        <v>шезлонги та лежаки</v>
      </c>
      <c r="I1335" s="19">
        <f>IFERROR(__xludf.DUMMYFUNCTION("""COMPUTED_VALUE"""),0.07)</f>
        <v>0.07</v>
      </c>
      <c r="J1335" s="19">
        <f>IFERROR(__xludf.DUMMYFUNCTION("""COMPUTED_VALUE"""),0.14)</f>
        <v>0.14</v>
      </c>
      <c r="K1335" s="19">
        <f>IFERROR(__xludf.DUMMYFUNCTION("""COMPUTED_VALUE"""),0.175)</f>
        <v>0.175</v>
      </c>
      <c r="L1335" s="19">
        <f>IFERROR(__xludf.DUMMYFUNCTION("""COMPUTED_VALUE"""),0.21)</f>
        <v>0.21</v>
      </c>
      <c r="M1335" s="18">
        <f>IFERROR(__xludf.DUMMYFUNCTION("""COMPUTED_VALUE"""),3.6)</f>
        <v>3.6</v>
      </c>
    </row>
    <row r="1336">
      <c r="A1336" s="13" t="str">
        <f>IFERROR(__xludf.DUMMYFUNCTION("""COMPUTED_VALUE"""),"товари")</f>
        <v>товари</v>
      </c>
      <c r="B1336" s="16" t="str">
        <f>IFERROR(__xludf.DUMMYFUNCTION("""COMPUTED_VALUE"""),"товари для дому")</f>
        <v>товари для дому</v>
      </c>
      <c r="C1336" s="16" t="str">
        <f>IFERROR(__xludf.DUMMYFUNCTION("""COMPUTED_VALUE"""),"посуд")</f>
        <v>посуд</v>
      </c>
      <c r="D1336" s="16" t="str">
        <f>IFERROR(__xludf.DUMMYFUNCTION("""COMPUTED_VALUE"""),"аксесуари для бару")</f>
        <v>аксесуари для бару</v>
      </c>
      <c r="E1336" s="16" t="str">
        <f>IFERROR(__xludf.DUMMYFUNCTION("""COMPUTED_VALUE"""),"шейкери для коктейлів")</f>
        <v>шейкери для коктейлів</v>
      </c>
      <c r="F1336" s="17">
        <f>IFERROR(__xludf.DUMMYFUNCTION("""COMPUTED_VALUE"""),4.0)</f>
        <v>4</v>
      </c>
      <c r="G1336" s="17" t="str">
        <f>IFERROR(__xludf.DUMMYFUNCTION("""COMPUTED_VALUE"""),"15230402")</f>
        <v>15230402</v>
      </c>
      <c r="H1336" s="17" t="str">
        <f>IFERROR(__xludf.DUMMYFUNCTION("""COMPUTED_VALUE"""),"шейкери для коктейлів")</f>
        <v>шейкери для коктейлів</v>
      </c>
      <c r="I1336" s="19">
        <f>IFERROR(__xludf.DUMMYFUNCTION("""COMPUTED_VALUE"""),0.0762)</f>
        <v>0.0762</v>
      </c>
      <c r="J1336" s="19">
        <f>IFERROR(__xludf.DUMMYFUNCTION("""COMPUTED_VALUE"""),0.1524)</f>
        <v>0.1524</v>
      </c>
      <c r="K1336" s="19">
        <f>IFERROR(__xludf.DUMMYFUNCTION("""COMPUTED_VALUE"""),0.1905)</f>
        <v>0.1905</v>
      </c>
      <c r="L1336" s="19">
        <f>IFERROR(__xludf.DUMMYFUNCTION("""COMPUTED_VALUE"""),0.2286)</f>
        <v>0.2286</v>
      </c>
      <c r="M1336" s="18">
        <f>IFERROR(__xludf.DUMMYFUNCTION("""COMPUTED_VALUE"""),2.7)</f>
        <v>2.7</v>
      </c>
    </row>
    <row r="1337">
      <c r="A1337" s="13" t="str">
        <f>IFERROR(__xludf.DUMMYFUNCTION("""COMPUTED_VALUE"""),"товари")</f>
        <v>товари</v>
      </c>
      <c r="B1337" s="16" t="str">
        <f>IFERROR(__xludf.DUMMYFUNCTION("""COMPUTED_VALUE"""),"товари для дому")</f>
        <v>товари для дому</v>
      </c>
      <c r="C1337" s="16" t="str">
        <f>IFERROR(__xludf.DUMMYFUNCTION("""COMPUTED_VALUE"""),"посуд")</f>
        <v>посуд</v>
      </c>
      <c r="D1337" s="16" t="str">
        <f>IFERROR(__xludf.DUMMYFUNCTION("""COMPUTED_VALUE"""),"посуд для приготування")</f>
        <v>посуд для приготування</v>
      </c>
      <c r="E1337" s="16" t="str">
        <f>IFERROR(__xludf.DUMMYFUNCTION("""COMPUTED_VALUE"""),"шинковари")</f>
        <v>шинковари</v>
      </c>
      <c r="F1337" s="17">
        <f>IFERROR(__xludf.DUMMYFUNCTION("""COMPUTED_VALUE"""),4.0)</f>
        <v>4</v>
      </c>
      <c r="G1337" s="17" t="str">
        <f>IFERROR(__xludf.DUMMYFUNCTION("""COMPUTED_VALUE"""),"15230322")</f>
        <v>15230322</v>
      </c>
      <c r="H1337" s="17" t="str">
        <f>IFERROR(__xludf.DUMMYFUNCTION("""COMPUTED_VALUE"""),"шинковари")</f>
        <v>шинковари</v>
      </c>
      <c r="I1337" s="19">
        <f>IFERROR(__xludf.DUMMYFUNCTION("""COMPUTED_VALUE"""),0.0771)</f>
        <v>0.0771</v>
      </c>
      <c r="J1337" s="19">
        <f>IFERROR(__xludf.DUMMYFUNCTION("""COMPUTED_VALUE"""),0.1541)</f>
        <v>0.1541</v>
      </c>
      <c r="K1337" s="19">
        <f>IFERROR(__xludf.DUMMYFUNCTION("""COMPUTED_VALUE"""),0.1926)</f>
        <v>0.1926</v>
      </c>
      <c r="L1337" s="19">
        <f>IFERROR(__xludf.DUMMYFUNCTION("""COMPUTED_VALUE"""),0.2312)</f>
        <v>0.2312</v>
      </c>
      <c r="M1337" s="18">
        <f>IFERROR(__xludf.DUMMYFUNCTION("""COMPUTED_VALUE"""),2.53)</f>
        <v>2.53</v>
      </c>
    </row>
    <row r="1338">
      <c r="A1338" s="13" t="str">
        <f>IFERROR(__xludf.DUMMYFUNCTION("""COMPUTED_VALUE"""),"товари")</f>
        <v>товари</v>
      </c>
      <c r="B1338" s="16" t="str">
        <f>IFERROR(__xludf.DUMMYFUNCTION("""COMPUTED_VALUE"""),"товари для дому")</f>
        <v>товари для дому</v>
      </c>
      <c r="C1338" s="16" t="str">
        <f>IFERROR(__xludf.DUMMYFUNCTION("""COMPUTED_VALUE"""),"декор для дому")</f>
        <v>декор для дому</v>
      </c>
      <c r="D1338" s="16" t="str">
        <f>IFERROR(__xludf.DUMMYFUNCTION("""COMPUTED_VALUE"""),"інтер'єрні аксесуари")</f>
        <v>інтер'єрні аксесуари</v>
      </c>
      <c r="E1338" s="16" t="str">
        <f>IFERROR(__xludf.DUMMYFUNCTION("""COMPUTED_VALUE"""),"ширми")</f>
        <v>ширми</v>
      </c>
      <c r="F1338" s="17">
        <f>IFERROR(__xludf.DUMMYFUNCTION("""COMPUTED_VALUE"""),4.0)</f>
        <v>4</v>
      </c>
      <c r="G1338" s="17" t="str">
        <f>IFERROR(__xludf.DUMMYFUNCTION("""COMPUTED_VALUE"""),"371002")</f>
        <v>371002</v>
      </c>
      <c r="H1338" s="17" t="str">
        <f>IFERROR(__xludf.DUMMYFUNCTION("""COMPUTED_VALUE"""),"ширми")</f>
        <v>ширми</v>
      </c>
      <c r="I1338" s="19">
        <f>IFERROR(__xludf.DUMMYFUNCTION("""COMPUTED_VALUE"""),0.0759)</f>
        <v>0.0759</v>
      </c>
      <c r="J1338" s="19">
        <f>IFERROR(__xludf.DUMMYFUNCTION("""COMPUTED_VALUE"""),0.1517)</f>
        <v>0.1517</v>
      </c>
      <c r="K1338" s="19">
        <f>IFERROR(__xludf.DUMMYFUNCTION("""COMPUTED_VALUE"""),0.1896)</f>
        <v>0.1896</v>
      </c>
      <c r="L1338" s="19">
        <f>IFERROR(__xludf.DUMMYFUNCTION("""COMPUTED_VALUE"""),0.2276)</f>
        <v>0.2276</v>
      </c>
      <c r="M1338" s="18">
        <f>IFERROR(__xludf.DUMMYFUNCTION("""COMPUTED_VALUE"""),1.53)</f>
        <v>1.53</v>
      </c>
    </row>
    <row r="1339">
      <c r="A1339" s="13" t="str">
        <f>IFERROR(__xludf.DUMMYFUNCTION("""COMPUTED_VALUE"""),"товари")</f>
        <v>товари</v>
      </c>
      <c r="B1339" s="16" t="str">
        <f>IFERROR(__xludf.DUMMYFUNCTION("""COMPUTED_VALUE"""),"товари для дому")</f>
        <v>товари для дому</v>
      </c>
      <c r="C1339" s="16" t="str">
        <f>IFERROR(__xludf.DUMMYFUNCTION("""COMPUTED_VALUE"""),"декор для дому")</f>
        <v>декор для дому</v>
      </c>
      <c r="D1339" s="16" t="str">
        <f>IFERROR(__xludf.DUMMYFUNCTION("""COMPUTED_VALUE"""),"інтер'єрні аксесуари")</f>
        <v>інтер'єрні аксесуари</v>
      </c>
      <c r="E1339" s="16" t="str">
        <f>IFERROR(__xludf.DUMMYFUNCTION("""COMPUTED_VALUE"""),"шкатулки")</f>
        <v>шкатулки</v>
      </c>
      <c r="F1339" s="17">
        <f>IFERROR(__xludf.DUMMYFUNCTION("""COMPUTED_VALUE"""),4.0)</f>
        <v>4</v>
      </c>
      <c r="G1339" s="17" t="str">
        <f>IFERROR(__xludf.DUMMYFUNCTION("""COMPUTED_VALUE"""),"174101")</f>
        <v>174101</v>
      </c>
      <c r="H1339" s="17" t="str">
        <f>IFERROR(__xludf.DUMMYFUNCTION("""COMPUTED_VALUE"""),"шкатулки")</f>
        <v>шкатулки</v>
      </c>
      <c r="I1339" s="19">
        <f>IFERROR(__xludf.DUMMYFUNCTION("""COMPUTED_VALUE"""),0.0769)</f>
        <v>0.0769</v>
      </c>
      <c r="J1339" s="19">
        <f>IFERROR(__xludf.DUMMYFUNCTION("""COMPUTED_VALUE"""),0.1537)</f>
        <v>0.1537</v>
      </c>
      <c r="K1339" s="19">
        <f>IFERROR(__xludf.DUMMYFUNCTION("""COMPUTED_VALUE"""),0.1921)</f>
        <v>0.1921</v>
      </c>
      <c r="L1339" s="19">
        <f>IFERROR(__xludf.DUMMYFUNCTION("""COMPUTED_VALUE"""),0.2306)</f>
        <v>0.2306</v>
      </c>
      <c r="M1339" s="18">
        <f>IFERROR(__xludf.DUMMYFUNCTION("""COMPUTED_VALUE"""),1.63)</f>
        <v>1.63</v>
      </c>
    </row>
    <row r="1340">
      <c r="A1340" s="13" t="str">
        <f>IFERROR(__xludf.DUMMYFUNCTION("""COMPUTED_VALUE"""),"товари")</f>
        <v>товари</v>
      </c>
      <c r="B1340" s="16" t="str">
        <f>IFERROR(__xludf.DUMMYFUNCTION("""COMPUTED_VALUE"""),"дача, сад і город")</f>
        <v>дача, сад і город</v>
      </c>
      <c r="C1340" s="16" t="str">
        <f>IFERROR(__xludf.DUMMYFUNCTION("""COMPUTED_VALUE"""),"обладнання для поливу")</f>
        <v>обладнання для поливу</v>
      </c>
      <c r="D1340" s="16" t="str">
        <f>IFERROR(__xludf.DUMMYFUNCTION("""COMPUTED_VALUE"""),"шланги для поливу")</f>
        <v>шланги для поливу</v>
      </c>
      <c r="E1340" s="16" t="str">
        <f>IFERROR(__xludf.DUMMYFUNCTION("""COMPUTED_VALUE"""),"шланги для поливу")</f>
        <v>шланги для поливу</v>
      </c>
      <c r="F1340" s="17">
        <f>IFERROR(__xludf.DUMMYFUNCTION("""COMPUTED_VALUE"""),3.0)</f>
        <v>3</v>
      </c>
      <c r="G1340" s="17" t="str">
        <f>IFERROR(__xludf.DUMMYFUNCTION("""COMPUTED_VALUE"""),"1250354")</f>
        <v>1250354</v>
      </c>
      <c r="H1340" s="17" t="str">
        <f>IFERROR(__xludf.DUMMYFUNCTION("""COMPUTED_VALUE"""),"шланги для поливу")</f>
        <v>шланги для поливу</v>
      </c>
      <c r="I1340" s="19">
        <f>IFERROR(__xludf.DUMMYFUNCTION("""COMPUTED_VALUE"""),0.075)</f>
        <v>0.075</v>
      </c>
      <c r="J1340" s="19">
        <f>IFERROR(__xludf.DUMMYFUNCTION("""COMPUTED_VALUE"""),0.15)</f>
        <v>0.15</v>
      </c>
      <c r="K1340" s="19">
        <f>IFERROR(__xludf.DUMMYFUNCTION("""COMPUTED_VALUE"""),0.1875)</f>
        <v>0.1875</v>
      </c>
      <c r="L1340" s="19">
        <f>IFERROR(__xludf.DUMMYFUNCTION("""COMPUTED_VALUE"""),0.225)</f>
        <v>0.225</v>
      </c>
      <c r="M1340" s="18">
        <f>IFERROR(__xludf.DUMMYFUNCTION("""COMPUTED_VALUE"""),3.43)</f>
        <v>3.43</v>
      </c>
    </row>
    <row r="1341">
      <c r="A1341" s="20" t="str">
        <f>IFERROR(__xludf.DUMMYFUNCTION("""COMPUTED_VALUE"""),"товари")</f>
        <v>товари</v>
      </c>
      <c r="B1341" s="21" t="str">
        <f>IFERROR(__xludf.DUMMYFUNCTION("""COMPUTED_VALUE"""),"товари для дому")</f>
        <v>товари для дому</v>
      </c>
      <c r="C1341" s="21" t="str">
        <f>IFERROR(__xludf.DUMMYFUNCTION("""COMPUTED_VALUE"""),"посуд")</f>
        <v>посуд</v>
      </c>
      <c r="D1341" s="21" t="str">
        <f>IFERROR(__xludf.DUMMYFUNCTION("""COMPUTED_VALUE"""),"аксесуари для бару")</f>
        <v>аксесуари для бару</v>
      </c>
      <c r="E1341" s="21" t="str">
        <f>IFERROR(__xludf.DUMMYFUNCTION("""COMPUTED_VALUE"""),"штопори, відкривачки, закупорщики для пляшок")</f>
        <v>штопори, відкривачки, закупорщики для пляшок</v>
      </c>
      <c r="F1341" s="22">
        <f>IFERROR(__xludf.DUMMYFUNCTION("""COMPUTED_VALUE"""),4.0)</f>
        <v>4</v>
      </c>
      <c r="G1341" s="22" t="str">
        <f>IFERROR(__xludf.DUMMYFUNCTION("""COMPUTED_VALUE"""),"152904")</f>
        <v>152904</v>
      </c>
      <c r="H1341" s="22" t="str">
        <f>IFERROR(__xludf.DUMMYFUNCTION("""COMPUTED_VALUE"""),"штопори, відкривачки, закупорщики для пляшок")</f>
        <v>штопори, відкривачки, закупорщики для пляшок</v>
      </c>
      <c r="I1341" s="19">
        <f>IFERROR(__xludf.DUMMYFUNCTION("""COMPUTED_VALUE"""),0.0762)</f>
        <v>0.0762</v>
      </c>
      <c r="J1341" s="19">
        <f>IFERROR(__xludf.DUMMYFUNCTION("""COMPUTED_VALUE"""),0.1524)</f>
        <v>0.1524</v>
      </c>
      <c r="K1341" s="19">
        <f>IFERROR(__xludf.DUMMYFUNCTION("""COMPUTED_VALUE"""),0.1905)</f>
        <v>0.1905</v>
      </c>
      <c r="L1341" s="19">
        <f>IFERROR(__xludf.DUMMYFUNCTION("""COMPUTED_VALUE"""),0.2286)</f>
        <v>0.2286</v>
      </c>
      <c r="M1341" s="18">
        <f>IFERROR(__xludf.DUMMYFUNCTION("""COMPUTED_VALUE"""),2.7)</f>
        <v>2.7</v>
      </c>
    </row>
    <row r="1342">
      <c r="A1342" s="13" t="str">
        <f>IFERROR(__xludf.DUMMYFUNCTION("""COMPUTED_VALUE"""),"товари")</f>
        <v>товари</v>
      </c>
      <c r="B1342" s="16" t="str">
        <f>IFERROR(__xludf.DUMMYFUNCTION("""COMPUTED_VALUE"""),"товари для дому")</f>
        <v>товари для дому</v>
      </c>
      <c r="C1342" s="16" t="str">
        <f>IFERROR(__xludf.DUMMYFUNCTION("""COMPUTED_VALUE"""),"текстиль")</f>
        <v>текстиль</v>
      </c>
      <c r="D1342" s="16" t="str">
        <f>IFERROR(__xludf.DUMMYFUNCTION("""COMPUTED_VALUE"""),"оформлення вікон")</f>
        <v>оформлення вікон</v>
      </c>
      <c r="E1342" s="16" t="str">
        <f>IFERROR(__xludf.DUMMYFUNCTION("""COMPUTED_VALUE"""),"штори, портьєри")</f>
        <v>штори, портьєри</v>
      </c>
      <c r="F1342" s="17">
        <f>IFERROR(__xludf.DUMMYFUNCTION("""COMPUTED_VALUE"""),4.0)</f>
        <v>4</v>
      </c>
      <c r="G1342" s="17" t="str">
        <f>IFERROR(__xludf.DUMMYFUNCTION("""COMPUTED_VALUE"""),"4050201")</f>
        <v>4050201</v>
      </c>
      <c r="H1342" s="17" t="str">
        <f>IFERROR(__xludf.DUMMYFUNCTION("""COMPUTED_VALUE"""),"штори, портьєри")</f>
        <v>штори, портьєри</v>
      </c>
      <c r="I1342" s="19">
        <f>IFERROR(__xludf.DUMMYFUNCTION("""COMPUTED_VALUE"""),0.0748)</f>
        <v>0.0748</v>
      </c>
      <c r="J1342" s="19">
        <f>IFERROR(__xludf.DUMMYFUNCTION("""COMPUTED_VALUE"""),0.1496)</f>
        <v>0.1496</v>
      </c>
      <c r="K1342" s="19">
        <f>IFERROR(__xludf.DUMMYFUNCTION("""COMPUTED_VALUE"""),0.187)</f>
        <v>0.187</v>
      </c>
      <c r="L1342" s="19">
        <f>IFERROR(__xludf.DUMMYFUNCTION("""COMPUTED_VALUE"""),0.2244)</f>
        <v>0.2244</v>
      </c>
      <c r="M1342" s="18">
        <f>IFERROR(__xludf.DUMMYFUNCTION("""COMPUTED_VALUE"""),1.53)</f>
        <v>1.53</v>
      </c>
    </row>
    <row r="1343">
      <c r="A1343" s="13" t="str">
        <f>IFERROR(__xludf.DUMMYFUNCTION("""COMPUTED_VALUE"""),"товари")</f>
        <v>товари</v>
      </c>
      <c r="B1343" s="16" t="str">
        <f>IFERROR(__xludf.DUMMYFUNCTION("""COMPUTED_VALUE"""),"товари для дому")</f>
        <v>товари для дому</v>
      </c>
      <c r="C1343" s="16" t="str">
        <f>IFERROR(__xludf.DUMMYFUNCTION("""COMPUTED_VALUE"""),"текстиль")</f>
        <v>текстиль</v>
      </c>
      <c r="D1343" s="16" t="str">
        <f>IFERROR(__xludf.DUMMYFUNCTION("""COMPUTED_VALUE"""),"штори та аксесуари до них")</f>
        <v>штори та аксесуари до них</v>
      </c>
      <c r="E1343" s="16" t="str">
        <f>IFERROR(__xludf.DUMMYFUNCTION("""COMPUTED_VALUE"""),"штори та аксесуари до них, загальне")</f>
        <v>штори та аксесуари до них, загальне</v>
      </c>
      <c r="F1343" s="17">
        <f>IFERROR(__xludf.DUMMYFUNCTION("""COMPUTED_VALUE"""),4.0)</f>
        <v>4</v>
      </c>
      <c r="G1343" s="17" t="str">
        <f>IFERROR(__xludf.DUMMYFUNCTION("""COMPUTED_VALUE"""),"4051101")</f>
        <v>4051101</v>
      </c>
      <c r="H1343" s="17" t="str">
        <f>IFERROR(__xludf.DUMMYFUNCTION("""COMPUTED_VALUE"""),"штори та аксесуари до них, загальне")</f>
        <v>штори та аксесуари до них, загальне</v>
      </c>
      <c r="I1343" s="19">
        <f>IFERROR(__xludf.DUMMYFUNCTION("""COMPUTED_VALUE"""),0.125)</f>
        <v>0.125</v>
      </c>
      <c r="J1343" s="19">
        <f>IFERROR(__xludf.DUMMYFUNCTION("""COMPUTED_VALUE"""),0.25)</f>
        <v>0.25</v>
      </c>
      <c r="K1343" s="19">
        <f>IFERROR(__xludf.DUMMYFUNCTION("""COMPUTED_VALUE"""),0.3125)</f>
        <v>0.3125</v>
      </c>
      <c r="L1343" s="19">
        <f>IFERROR(__xludf.DUMMYFUNCTION("""COMPUTED_VALUE"""),0.375)</f>
        <v>0.375</v>
      </c>
      <c r="M1343" s="18">
        <f>IFERROR(__xludf.DUMMYFUNCTION("""COMPUTED_VALUE"""),4.33)</f>
        <v>4.33</v>
      </c>
    </row>
    <row r="1344">
      <c r="A1344" s="13" t="str">
        <f>IFERROR(__xludf.DUMMYFUNCTION("""COMPUTED_VALUE"""),"товари")</f>
        <v>товари</v>
      </c>
      <c r="B1344" s="16" t="str">
        <f>IFERROR(__xludf.DUMMYFUNCTION("""COMPUTED_VALUE"""),"товари для дому")</f>
        <v>товари для дому</v>
      </c>
      <c r="C1344" s="16" t="str">
        <f>IFERROR(__xludf.DUMMYFUNCTION("""COMPUTED_VALUE"""),"приналежності для ванної та туалету")</f>
        <v>приналежності для ванної та туалету</v>
      </c>
      <c r="D1344" s="16" t="str">
        <f>IFERROR(__xludf.DUMMYFUNCTION("""COMPUTED_VALUE"""),"шторки для ванни і душу")</f>
        <v>шторки для ванни і душу</v>
      </c>
      <c r="E1344" s="16" t="str">
        <f>IFERROR(__xludf.DUMMYFUNCTION("""COMPUTED_VALUE"""),"шторки для ванни і душу")</f>
        <v>шторки для ванни і душу</v>
      </c>
      <c r="F1344" s="17">
        <f>IFERROR(__xludf.DUMMYFUNCTION("""COMPUTED_VALUE"""),3.0)</f>
        <v>3</v>
      </c>
      <c r="G1344" s="17" t="str">
        <f>IFERROR(__xludf.DUMMYFUNCTION("""COMPUTED_VALUE"""),"154006")</f>
        <v>154006</v>
      </c>
      <c r="H1344" s="17" t="str">
        <f>IFERROR(__xludf.DUMMYFUNCTION("""COMPUTED_VALUE"""),"шторки для ванни і душу")</f>
        <v>шторки для ванни і душу</v>
      </c>
      <c r="I1344" s="19">
        <f>IFERROR(__xludf.DUMMYFUNCTION("""COMPUTED_VALUE"""),0.0788)</f>
        <v>0.0788</v>
      </c>
      <c r="J1344" s="19">
        <f>IFERROR(__xludf.DUMMYFUNCTION("""COMPUTED_VALUE"""),0.1575)</f>
        <v>0.1575</v>
      </c>
      <c r="K1344" s="19">
        <f>IFERROR(__xludf.DUMMYFUNCTION("""COMPUTED_VALUE"""),0.1969)</f>
        <v>0.1969</v>
      </c>
      <c r="L1344" s="19">
        <f>IFERROR(__xludf.DUMMYFUNCTION("""COMPUTED_VALUE"""),0.2363)</f>
        <v>0.2363</v>
      </c>
      <c r="M1344" s="18">
        <f>IFERROR(__xludf.DUMMYFUNCTION("""COMPUTED_VALUE"""),1.26)</f>
        <v>1.26</v>
      </c>
    </row>
    <row r="1345">
      <c r="A1345" s="13" t="str">
        <f>IFERROR(__xludf.DUMMYFUNCTION("""COMPUTED_VALUE"""),"товари")</f>
        <v>товари</v>
      </c>
      <c r="B1345" s="16" t="str">
        <f>IFERROR(__xludf.DUMMYFUNCTION("""COMPUTED_VALUE"""),"товари для дому")</f>
        <v>товари для дому</v>
      </c>
      <c r="C1345" s="16" t="str">
        <f>IFERROR(__xludf.DUMMYFUNCTION("""COMPUTED_VALUE"""),"декор для дому")</f>
        <v>декор для дому</v>
      </c>
      <c r="D1345" s="16" t="str">
        <f>IFERROR(__xludf.DUMMYFUNCTION("""COMPUTED_VALUE"""),"штучні квіти і рослини")</f>
        <v>штучні квіти і рослини</v>
      </c>
      <c r="E1345" s="16" t="str">
        <f>IFERROR(__xludf.DUMMYFUNCTION("""COMPUTED_VALUE"""),"штучні дерева і бонсаї")</f>
        <v>штучні дерева і бонсаї</v>
      </c>
      <c r="F1345" s="17">
        <f>IFERROR(__xludf.DUMMYFUNCTION("""COMPUTED_VALUE"""),4.0)</f>
        <v>4</v>
      </c>
      <c r="G1345" s="17" t="str">
        <f>IFERROR(__xludf.DUMMYFUNCTION("""COMPUTED_VALUE"""),"371009")</f>
        <v>371009</v>
      </c>
      <c r="H1345" s="17" t="str">
        <f>IFERROR(__xludf.DUMMYFUNCTION("""COMPUTED_VALUE"""),"штучні дерева і бонсаї")</f>
        <v>штучні дерева і бонсаї</v>
      </c>
      <c r="I1345" s="19">
        <f>IFERROR(__xludf.DUMMYFUNCTION("""COMPUTED_VALUE"""),0.0777)</f>
        <v>0.0777</v>
      </c>
      <c r="J1345" s="19">
        <f>IFERROR(__xludf.DUMMYFUNCTION("""COMPUTED_VALUE"""),0.1553)</f>
        <v>0.1553</v>
      </c>
      <c r="K1345" s="19">
        <f>IFERROR(__xludf.DUMMYFUNCTION("""COMPUTED_VALUE"""),0.1941)</f>
        <v>0.1941</v>
      </c>
      <c r="L1345" s="19">
        <f>IFERROR(__xludf.DUMMYFUNCTION("""COMPUTED_VALUE"""),0.233)</f>
        <v>0.233</v>
      </c>
      <c r="M1345" s="18">
        <f>IFERROR(__xludf.DUMMYFUNCTION("""COMPUTED_VALUE"""),4.65)</f>
        <v>4.65</v>
      </c>
    </row>
    <row r="1346">
      <c r="A1346" s="13" t="str">
        <f>IFERROR(__xludf.DUMMYFUNCTION("""COMPUTED_VALUE"""),"товари")</f>
        <v>товари</v>
      </c>
      <c r="B1346" s="16" t="str">
        <f>IFERROR(__xludf.DUMMYFUNCTION("""COMPUTED_VALUE"""),"товари для дому")</f>
        <v>товари для дому</v>
      </c>
      <c r="C1346" s="16" t="str">
        <f>IFERROR(__xludf.DUMMYFUNCTION("""COMPUTED_VALUE"""),"декор для дому")</f>
        <v>декор для дому</v>
      </c>
      <c r="D1346" s="16" t="str">
        <f>IFERROR(__xludf.DUMMYFUNCTION("""COMPUTED_VALUE"""),"штучні квіти і рослини")</f>
        <v>штучні квіти і рослини</v>
      </c>
      <c r="E1346" s="16" t="str">
        <f>IFERROR(__xludf.DUMMYFUNCTION("""COMPUTED_VALUE"""),"штучні квіти і гілки")</f>
        <v>штучні квіти і гілки</v>
      </c>
      <c r="F1346" s="17">
        <f>IFERROR(__xludf.DUMMYFUNCTION("""COMPUTED_VALUE"""),4.0)</f>
        <v>4</v>
      </c>
      <c r="G1346" s="17" t="str">
        <f>IFERROR(__xludf.DUMMYFUNCTION("""COMPUTED_VALUE"""),"371008")</f>
        <v>371008</v>
      </c>
      <c r="H1346" s="17" t="str">
        <f>IFERROR(__xludf.DUMMYFUNCTION("""COMPUTED_VALUE"""),"штучні квіти і гілки")</f>
        <v>штучні квіти і гілки</v>
      </c>
      <c r="I1346" s="19">
        <f>IFERROR(__xludf.DUMMYFUNCTION("""COMPUTED_VALUE"""),0.075)</f>
        <v>0.075</v>
      </c>
      <c r="J1346" s="19">
        <f>IFERROR(__xludf.DUMMYFUNCTION("""COMPUTED_VALUE"""),0.15)</f>
        <v>0.15</v>
      </c>
      <c r="K1346" s="19">
        <f>IFERROR(__xludf.DUMMYFUNCTION("""COMPUTED_VALUE"""),0.1875)</f>
        <v>0.1875</v>
      </c>
      <c r="L1346" s="19">
        <f>IFERROR(__xludf.DUMMYFUNCTION("""COMPUTED_VALUE"""),0.225)</f>
        <v>0.225</v>
      </c>
      <c r="M1346" s="18">
        <f>IFERROR(__xludf.DUMMYFUNCTION("""COMPUTED_VALUE"""),4.65)</f>
        <v>4.65</v>
      </c>
    </row>
    <row r="1347">
      <c r="A1347" s="13" t="str">
        <f>IFERROR(__xludf.DUMMYFUNCTION("""COMPUTED_VALUE"""),"товари")</f>
        <v>товари</v>
      </c>
      <c r="B1347" s="16" t="str">
        <f>IFERROR(__xludf.DUMMYFUNCTION("""COMPUTED_VALUE"""),"товари для дому")</f>
        <v>товари для дому</v>
      </c>
      <c r="C1347" s="16" t="str">
        <f>IFERROR(__xludf.DUMMYFUNCTION("""COMPUTED_VALUE"""),"декор для дому")</f>
        <v>декор для дому</v>
      </c>
      <c r="D1347" s="16" t="str">
        <f>IFERROR(__xludf.DUMMYFUNCTION("""COMPUTED_VALUE"""),"штучні квіти і рослини")</f>
        <v>штучні квіти і рослини</v>
      </c>
      <c r="E1347" s="16" t="str">
        <f>IFERROR(__xludf.DUMMYFUNCTION("""COMPUTED_VALUE"""),"штучні квіти і рослини, загальне")</f>
        <v>штучні квіти і рослини, загальне</v>
      </c>
      <c r="F1347" s="17">
        <f>IFERROR(__xludf.DUMMYFUNCTION("""COMPUTED_VALUE"""),4.0)</f>
        <v>4</v>
      </c>
      <c r="G1347" s="17" t="str">
        <f>IFERROR(__xludf.DUMMYFUNCTION("""COMPUTED_VALUE"""),"371010")</f>
        <v>371010</v>
      </c>
      <c r="H1347" s="17" t="str">
        <f>IFERROR(__xludf.DUMMYFUNCTION("""COMPUTED_VALUE"""),"штучні квіти і рослини, загальне")</f>
        <v>штучні квіти і рослини, загальне</v>
      </c>
      <c r="I1347" s="19">
        <f>IFERROR(__xludf.DUMMYFUNCTION("""COMPUTED_VALUE"""),0.125)</f>
        <v>0.125</v>
      </c>
      <c r="J1347" s="19">
        <f>IFERROR(__xludf.DUMMYFUNCTION("""COMPUTED_VALUE"""),0.25)</f>
        <v>0.25</v>
      </c>
      <c r="K1347" s="19">
        <f>IFERROR(__xludf.DUMMYFUNCTION("""COMPUTED_VALUE"""),0.3125)</f>
        <v>0.3125</v>
      </c>
      <c r="L1347" s="19">
        <f>IFERROR(__xludf.DUMMYFUNCTION("""COMPUTED_VALUE"""),0.375)</f>
        <v>0.375</v>
      </c>
      <c r="M1347" s="18">
        <f>IFERROR(__xludf.DUMMYFUNCTION("""COMPUTED_VALUE"""),4.33)</f>
        <v>4.33</v>
      </c>
    </row>
    <row r="1348">
      <c r="A1348" s="13" t="str">
        <f>IFERROR(__xludf.DUMMYFUNCTION("""COMPUTED_VALUE"""),"товари")</f>
        <v>товари</v>
      </c>
      <c r="B1348" s="16" t="str">
        <f>IFERROR(__xludf.DUMMYFUNCTION("""COMPUTED_VALUE"""),"товари для дому")</f>
        <v>товари для дому</v>
      </c>
      <c r="C1348" s="16" t="str">
        <f>IFERROR(__xludf.DUMMYFUNCTION("""COMPUTED_VALUE"""),"декор для дому")</f>
        <v>декор для дому</v>
      </c>
      <c r="D1348" s="16" t="str">
        <f>IFERROR(__xludf.DUMMYFUNCTION("""COMPUTED_VALUE"""),"штучні квіти і рослини")</f>
        <v>штучні квіти і рослини</v>
      </c>
      <c r="E1348" s="16" t="str">
        <f>IFERROR(__xludf.DUMMYFUNCTION("""COMPUTED_VALUE"""),"штучні ялини і сосни")</f>
        <v>штучні ялини і сосни</v>
      </c>
      <c r="F1348" s="17">
        <f>IFERROR(__xludf.DUMMYFUNCTION("""COMPUTED_VALUE"""),4.0)</f>
        <v>4</v>
      </c>
      <c r="G1348" s="17" t="str">
        <f>IFERROR(__xludf.DUMMYFUNCTION("""COMPUTED_VALUE"""),"371011")</f>
        <v>371011</v>
      </c>
      <c r="H1348" s="17" t="str">
        <f>IFERROR(__xludf.DUMMYFUNCTION("""COMPUTED_VALUE"""),"штучні ялини і сосни")</f>
        <v>штучні ялини і сосни</v>
      </c>
      <c r="I1348" s="19">
        <f>IFERROR(__xludf.DUMMYFUNCTION("""COMPUTED_VALUE"""),0.1155)</f>
        <v>0.1155</v>
      </c>
      <c r="J1348" s="19">
        <f>IFERROR(__xludf.DUMMYFUNCTION("""COMPUTED_VALUE"""),0.231)</f>
        <v>0.231</v>
      </c>
      <c r="K1348" s="19">
        <f>IFERROR(__xludf.DUMMYFUNCTION("""COMPUTED_VALUE"""),0.2888)</f>
        <v>0.2888</v>
      </c>
      <c r="L1348" s="19">
        <f>IFERROR(__xludf.DUMMYFUNCTION("""COMPUTED_VALUE"""),0.3465)</f>
        <v>0.3465</v>
      </c>
      <c r="M1348" s="18">
        <f>IFERROR(__xludf.DUMMYFUNCTION("""COMPUTED_VALUE"""),4.65)</f>
        <v>4.65</v>
      </c>
    </row>
    <row r="1349">
      <c r="A1349" s="13" t="str">
        <f>IFERROR(__xludf.DUMMYFUNCTION("""COMPUTED_VALUE"""),"товари")</f>
        <v>товари</v>
      </c>
      <c r="B1349" s="16" t="str">
        <f>IFERROR(__xludf.DUMMYFUNCTION("""COMPUTED_VALUE"""),"дача, сад і город")</f>
        <v>дача, сад і город</v>
      </c>
      <c r="C1349" s="16" t="str">
        <f>IFERROR(__xludf.DUMMYFUNCTION("""COMPUTED_VALUE"""),"садові рослини і ґрунти")</f>
        <v>садові рослини і ґрунти</v>
      </c>
      <c r="D1349" s="16" t="str">
        <f>IFERROR(__xludf.DUMMYFUNCTION("""COMPUTED_VALUE""")," щеплення для рослин")</f>
        <v> щеплення для рослин</v>
      </c>
      <c r="E1349" s="16" t="str">
        <f>IFERROR(__xludf.DUMMYFUNCTION("""COMPUTED_VALUE""")," щеплення для рослин")</f>
        <v> щеплення для рослин</v>
      </c>
      <c r="F1349" s="17">
        <f>IFERROR(__xludf.DUMMYFUNCTION("""COMPUTED_VALUE"""),3.0)</f>
        <v>3</v>
      </c>
      <c r="G1349" s="17" t="str">
        <f>IFERROR(__xludf.DUMMYFUNCTION("""COMPUTED_VALUE"""),"12412")</f>
        <v>12412</v>
      </c>
      <c r="H1349" s="17" t="str">
        <f>IFERROR(__xludf.DUMMYFUNCTION("""COMPUTED_VALUE""")," щеплення для рослин")</f>
        <v> щеплення для рослин</v>
      </c>
      <c r="I1349" s="19">
        <f>IFERROR(__xludf.DUMMYFUNCTION("""COMPUTED_VALUE"""),0.0796)</f>
        <v>0.0796</v>
      </c>
      <c r="J1349" s="19">
        <f>IFERROR(__xludf.DUMMYFUNCTION("""COMPUTED_VALUE"""),0.1592)</f>
        <v>0.1592</v>
      </c>
      <c r="K1349" s="19">
        <f>IFERROR(__xludf.DUMMYFUNCTION("""COMPUTED_VALUE"""),0.199)</f>
        <v>0.199</v>
      </c>
      <c r="L1349" s="19">
        <f>IFERROR(__xludf.DUMMYFUNCTION("""COMPUTED_VALUE"""),0.2388)</f>
        <v>0.2388</v>
      </c>
      <c r="M1349" s="18">
        <f>IFERROR(__xludf.DUMMYFUNCTION("""COMPUTED_VALUE"""),2.53)</f>
        <v>2.53</v>
      </c>
    </row>
    <row r="1350">
      <c r="A1350" s="13" t="str">
        <f>IFERROR(__xludf.DUMMYFUNCTION("""COMPUTED_VALUE"""),"товари")</f>
        <v>товари</v>
      </c>
      <c r="B1350" s="16" t="str">
        <f>IFERROR(__xludf.DUMMYFUNCTION("""COMPUTED_VALUE"""),"товари для дому")</f>
        <v>товари для дому</v>
      </c>
      <c r="C1350" s="16" t="str">
        <f>IFERROR(__xludf.DUMMYFUNCTION("""COMPUTED_VALUE"""),"догляд за будинком")</f>
        <v>догляд за будинком</v>
      </c>
      <c r="D1350" s="16" t="str">
        <f>IFERROR(__xludf.DUMMYFUNCTION("""COMPUTED_VALUE"""),"догляд за особистими речами")</f>
        <v>догляд за особистими речами</v>
      </c>
      <c r="E1350" s="16" t="str">
        <f>IFERROR(__xludf.DUMMYFUNCTION("""COMPUTED_VALUE"""),"щітки для одягу")</f>
        <v>щітки для одягу</v>
      </c>
      <c r="F1350" s="17">
        <f>IFERROR(__xludf.DUMMYFUNCTION("""COMPUTED_VALUE"""),4.0)</f>
        <v>4</v>
      </c>
      <c r="G1350" s="17" t="str">
        <f>IFERROR(__xludf.DUMMYFUNCTION("""COMPUTED_VALUE"""),"151605")</f>
        <v>151605</v>
      </c>
      <c r="H1350" s="17" t="str">
        <f>IFERROR(__xludf.DUMMYFUNCTION("""COMPUTED_VALUE"""),"щітки для одягу")</f>
        <v>щітки для одягу</v>
      </c>
      <c r="I1350" s="19">
        <f>IFERROR(__xludf.DUMMYFUNCTION("""COMPUTED_VALUE"""),0.0786)</f>
        <v>0.0786</v>
      </c>
      <c r="J1350" s="19">
        <f>IFERROR(__xludf.DUMMYFUNCTION("""COMPUTED_VALUE"""),0.1571)</f>
        <v>0.1571</v>
      </c>
      <c r="K1350" s="19">
        <f>IFERROR(__xludf.DUMMYFUNCTION("""COMPUTED_VALUE"""),0.1964)</f>
        <v>0.1964</v>
      </c>
      <c r="L1350" s="19">
        <f>IFERROR(__xludf.DUMMYFUNCTION("""COMPUTED_VALUE"""),0.2357)</f>
        <v>0.2357</v>
      </c>
      <c r="M1350" s="18">
        <f>IFERROR(__xludf.DUMMYFUNCTION("""COMPUTED_VALUE"""),1.98)</f>
        <v>1.98</v>
      </c>
    </row>
    <row r="1351">
      <c r="A1351" s="13" t="str">
        <f>IFERROR(__xludf.DUMMYFUNCTION("""COMPUTED_VALUE"""),"товари")</f>
        <v>товари</v>
      </c>
      <c r="B1351" s="16" t="str">
        <f>IFERROR(__xludf.DUMMYFUNCTION("""COMPUTED_VALUE"""),"товари для дому")</f>
        <v>товари для дому</v>
      </c>
      <c r="C1351" s="16" t="str">
        <f>IFERROR(__xludf.DUMMYFUNCTION("""COMPUTED_VALUE"""),"догляд за будинком")</f>
        <v>догляд за будинком</v>
      </c>
      <c r="D1351" s="16" t="str">
        <f>IFERROR(__xludf.DUMMYFUNCTION("""COMPUTED_VALUE"""),"прибирання")</f>
        <v>прибирання</v>
      </c>
      <c r="E1351" s="16" t="str">
        <f>IFERROR(__xludf.DUMMYFUNCTION("""COMPUTED_VALUE"""),"щітки для підлоги")</f>
        <v>щітки для підлоги</v>
      </c>
      <c r="F1351" s="17">
        <f>IFERROR(__xludf.DUMMYFUNCTION("""COMPUTED_VALUE"""),4.0)</f>
        <v>4</v>
      </c>
      <c r="G1351" s="17" t="str">
        <f>IFERROR(__xludf.DUMMYFUNCTION("""COMPUTED_VALUE"""),"151402")</f>
        <v>151402</v>
      </c>
      <c r="H1351" s="17" t="str">
        <f>IFERROR(__xludf.DUMMYFUNCTION("""COMPUTED_VALUE"""),"щітки для підлоги")</f>
        <v>щітки для підлоги</v>
      </c>
      <c r="I1351" s="19">
        <f>IFERROR(__xludf.DUMMYFUNCTION("""COMPUTED_VALUE"""),0.0752)</f>
        <v>0.0752</v>
      </c>
      <c r="J1351" s="19">
        <f>IFERROR(__xludf.DUMMYFUNCTION("""COMPUTED_VALUE"""),0.1503)</f>
        <v>0.1503</v>
      </c>
      <c r="K1351" s="19">
        <f>IFERROR(__xludf.DUMMYFUNCTION("""COMPUTED_VALUE"""),0.1879)</f>
        <v>0.1879</v>
      </c>
      <c r="L1351" s="19">
        <f>IFERROR(__xludf.DUMMYFUNCTION("""COMPUTED_VALUE"""),0.2255)</f>
        <v>0.2255</v>
      </c>
      <c r="M1351" s="18">
        <f>IFERROR(__xludf.DUMMYFUNCTION("""COMPUTED_VALUE"""),2.53)</f>
        <v>2.53</v>
      </c>
    </row>
    <row r="1352">
      <c r="A1352" s="13" t="str">
        <f>IFERROR(__xludf.DUMMYFUNCTION("""COMPUTED_VALUE"""),"товари")</f>
        <v>товари</v>
      </c>
      <c r="B1352" s="16" t="str">
        <f>IFERROR(__xludf.DUMMYFUNCTION("""COMPUTED_VALUE"""),"дача, сад і город")</f>
        <v>дача, сад і город</v>
      </c>
      <c r="C1352" s="16" t="str">
        <f>IFERROR(__xludf.DUMMYFUNCTION("""COMPUTED_VALUE"""),"садові рослини і ґрунти")</f>
        <v>садові рослини і ґрунти</v>
      </c>
      <c r="D1352" s="16" t="str">
        <f>IFERROR(__xludf.DUMMYFUNCTION("""COMPUTED_VALUE"""),"ялини, сосни натуральні")</f>
        <v>ялини, сосни натуральні</v>
      </c>
      <c r="E1352" s="16" t="str">
        <f>IFERROR(__xludf.DUMMYFUNCTION("""COMPUTED_VALUE"""),"ялини, сосни натуральні")</f>
        <v>ялини, сосни натуральні</v>
      </c>
      <c r="F1352" s="17">
        <f>IFERROR(__xludf.DUMMYFUNCTION("""COMPUTED_VALUE"""),3.0)</f>
        <v>3</v>
      </c>
      <c r="G1352" s="17" t="str">
        <f>IFERROR(__xludf.DUMMYFUNCTION("""COMPUTED_VALUE"""),"11404")</f>
        <v>11404</v>
      </c>
      <c r="H1352" s="17" t="str">
        <f>IFERROR(__xludf.DUMMYFUNCTION("""COMPUTED_VALUE"""),"ялини, сосни натуральні")</f>
        <v>ялини, сосни натуральні</v>
      </c>
      <c r="I1352" s="19">
        <f>IFERROR(__xludf.DUMMYFUNCTION("""COMPUTED_VALUE"""),0.0787)</f>
        <v>0.0787</v>
      </c>
      <c r="J1352" s="19">
        <f>IFERROR(__xludf.DUMMYFUNCTION("""COMPUTED_VALUE"""),0.1573)</f>
        <v>0.1573</v>
      </c>
      <c r="K1352" s="19">
        <f>IFERROR(__xludf.DUMMYFUNCTION("""COMPUTED_VALUE"""),0.1966)</f>
        <v>0.1966</v>
      </c>
      <c r="L1352" s="19">
        <f>IFERROR(__xludf.DUMMYFUNCTION("""COMPUTED_VALUE"""),0.236)</f>
        <v>0.236</v>
      </c>
      <c r="M1352" s="18">
        <f>IFERROR(__xludf.DUMMYFUNCTION("""COMPUTED_VALUE"""),2.53)</f>
        <v>2.53</v>
      </c>
    </row>
    <row r="1353">
      <c r="A1353" s="13" t="str">
        <f>IFERROR(__xludf.DUMMYFUNCTION("""COMPUTED_VALUE"""),"товари")</f>
        <v>товари</v>
      </c>
      <c r="B1353" s="16" t="str">
        <f>IFERROR(__xludf.DUMMYFUNCTION("""COMPUTED_VALUE"""),"товари для дому")</f>
        <v>товари для дому</v>
      </c>
      <c r="C1353" s="16" t="str">
        <f>IFERROR(__xludf.DUMMYFUNCTION("""COMPUTED_VALUE"""),"рішення для зберігання")</f>
        <v>рішення для зберігання</v>
      </c>
      <c r="D1353" s="16" t="str">
        <f>IFERROR(__xludf.DUMMYFUNCTION("""COMPUTED_VALUE"""),"ящики і кошики для зберігання")</f>
        <v>ящики і кошики для зберігання</v>
      </c>
      <c r="E1353" s="16" t="str">
        <f>IFERROR(__xludf.DUMMYFUNCTION("""COMPUTED_VALUE"""),"ящики і кошики для зберігання")</f>
        <v>ящики і кошики для зберігання</v>
      </c>
      <c r="F1353" s="17">
        <f>IFERROR(__xludf.DUMMYFUNCTION("""COMPUTED_VALUE"""),3.0)</f>
        <v>3</v>
      </c>
      <c r="G1353" s="17" t="str">
        <f>IFERROR(__xludf.DUMMYFUNCTION("""COMPUTED_VALUE"""),"154103")</f>
        <v>154103</v>
      </c>
      <c r="H1353" s="17" t="str">
        <f>IFERROR(__xludf.DUMMYFUNCTION("""COMPUTED_VALUE"""),"ящики і кошики для зберігання")</f>
        <v>ящики і кошики для зберігання</v>
      </c>
      <c r="I1353" s="19">
        <f>IFERROR(__xludf.DUMMYFUNCTION("""COMPUTED_VALUE"""),0.077)</f>
        <v>0.077</v>
      </c>
      <c r="J1353" s="19">
        <f>IFERROR(__xludf.DUMMYFUNCTION("""COMPUTED_VALUE"""),0.154)</f>
        <v>0.154</v>
      </c>
      <c r="K1353" s="19">
        <f>IFERROR(__xludf.DUMMYFUNCTION("""COMPUTED_VALUE"""),0.1925)</f>
        <v>0.1925</v>
      </c>
      <c r="L1353" s="19">
        <f>IFERROR(__xludf.DUMMYFUNCTION("""COMPUTED_VALUE"""),0.231)</f>
        <v>0.231</v>
      </c>
      <c r="M1353" s="18">
        <f>IFERROR(__xludf.DUMMYFUNCTION("""COMPUTED_VALUE"""),2.08)</f>
        <v>2.08</v>
      </c>
    </row>
    <row r="1354">
      <c r="A1354" s="13" t="str">
        <f>IFERROR(__xludf.DUMMYFUNCTION("""COMPUTED_VALUE"""),"товари")</f>
        <v>товари</v>
      </c>
      <c r="B1354" s="16" t="str">
        <f>IFERROR(__xludf.DUMMYFUNCTION("""COMPUTED_VALUE"""),"електрообладнання")</f>
        <v>електрообладнання</v>
      </c>
      <c r="C1354" s="16" t="str">
        <f>IFERROR(__xludf.DUMMYFUNCTION("""COMPUTED_VALUE"""),"технічні вимикачі")</f>
        <v>технічні вимикачі</v>
      </c>
      <c r="D1354" s="16" t="str">
        <f>IFERROR(__xludf.DUMMYFUNCTION("""COMPUTED_VALUE"""),"dip перемикачі")</f>
        <v>dip перемикачі</v>
      </c>
      <c r="E1354" s="16" t="str">
        <f>IFERROR(__xludf.DUMMYFUNCTION("""COMPUTED_VALUE"""),"dip перемикачі")</f>
        <v>dip перемикачі</v>
      </c>
      <c r="F1354" s="17">
        <f>IFERROR(__xludf.DUMMYFUNCTION("""COMPUTED_VALUE"""),3.0)</f>
        <v>3</v>
      </c>
      <c r="G1354" s="17" t="str">
        <f>IFERROR(__xludf.DUMMYFUNCTION("""COMPUTED_VALUE"""),"410601")</f>
        <v>410601</v>
      </c>
      <c r="H1354" s="17" t="str">
        <f>IFERROR(__xludf.DUMMYFUNCTION("""COMPUTED_VALUE"""),"dip перемикачі")</f>
        <v>dip перемикачі</v>
      </c>
      <c r="I1354" s="19">
        <f>IFERROR(__xludf.DUMMYFUNCTION("""COMPUTED_VALUE"""),0.0447)</f>
        <v>0.0447</v>
      </c>
      <c r="J1354" s="19">
        <f>IFERROR(__xludf.DUMMYFUNCTION("""COMPUTED_VALUE"""),0.0893)</f>
        <v>0.0893</v>
      </c>
      <c r="K1354" s="19">
        <f>IFERROR(__xludf.DUMMYFUNCTION("""COMPUTED_VALUE"""),0.1116)</f>
        <v>0.1116</v>
      </c>
      <c r="L1354" s="19">
        <f>IFERROR(__xludf.DUMMYFUNCTION("""COMPUTED_VALUE"""),0.134)</f>
        <v>0.134</v>
      </c>
      <c r="M1354" s="18">
        <f>IFERROR(__xludf.DUMMYFUNCTION("""COMPUTED_VALUE"""),1.44)</f>
        <v>1.44</v>
      </c>
    </row>
    <row r="1355">
      <c r="A1355" s="13" t="str">
        <f>IFERROR(__xludf.DUMMYFUNCTION("""COMPUTED_VALUE"""),"товари")</f>
        <v>товари</v>
      </c>
      <c r="B1355" s="16" t="str">
        <f>IFERROR(__xludf.DUMMYFUNCTION("""COMPUTED_VALUE"""),"електрообладнання")</f>
        <v>електрообладнання</v>
      </c>
      <c r="C1355" s="16" t="str">
        <f>IFERROR(__xludf.DUMMYFUNCTION("""COMPUTED_VALUE"""),"освітлення, електрика")</f>
        <v>освітлення, електрика</v>
      </c>
      <c r="D1355" s="16" t="str">
        <f>IFERROR(__xludf.DUMMYFUNCTION("""COMPUTED_VALUE"""),"led освітлення")</f>
        <v>led освітлення</v>
      </c>
      <c r="E1355" s="16" t="str">
        <f>IFERROR(__xludf.DUMMYFUNCTION("""COMPUTED_VALUE"""),"led освітлення")</f>
        <v>led освітлення</v>
      </c>
      <c r="F1355" s="17">
        <f>IFERROR(__xludf.DUMMYFUNCTION("""COMPUTED_VALUE"""),3.0)</f>
        <v>3</v>
      </c>
      <c r="G1355" s="17" t="str">
        <f>IFERROR(__xludf.DUMMYFUNCTION("""COMPUTED_VALUE"""),"150426")</f>
        <v>150426</v>
      </c>
      <c r="H1355" s="17" t="str">
        <f>IFERROR(__xludf.DUMMYFUNCTION("""COMPUTED_VALUE"""),"led освітлення")</f>
        <v>led освітлення</v>
      </c>
      <c r="I1355" s="19">
        <f>IFERROR(__xludf.DUMMYFUNCTION("""COMPUTED_VALUE"""),0.0713)</f>
        <v>0.0713</v>
      </c>
      <c r="J1355" s="19">
        <f>IFERROR(__xludf.DUMMYFUNCTION("""COMPUTED_VALUE"""),0.1426)</f>
        <v>0.1426</v>
      </c>
      <c r="K1355" s="19">
        <f>IFERROR(__xludf.DUMMYFUNCTION("""COMPUTED_VALUE"""),0.1783)</f>
        <v>0.1783</v>
      </c>
      <c r="L1355" s="19">
        <f>IFERROR(__xludf.DUMMYFUNCTION("""COMPUTED_VALUE"""),0.2139)</f>
        <v>0.2139</v>
      </c>
      <c r="M1355" s="18">
        <f>IFERROR(__xludf.DUMMYFUNCTION("""COMPUTED_VALUE"""),3.33)</f>
        <v>3.33</v>
      </c>
    </row>
    <row r="1356">
      <c r="A1356" s="13" t="str">
        <f>IFERROR(__xludf.DUMMYFUNCTION("""COMPUTED_VALUE"""),"товари")</f>
        <v>товари</v>
      </c>
      <c r="B1356" s="16" t="str">
        <f>IFERROR(__xludf.DUMMYFUNCTION("""COMPUTED_VALUE"""),"електрообладнання")</f>
        <v>електрообладнання</v>
      </c>
      <c r="C1356" s="16" t="str">
        <f>IFERROR(__xludf.DUMMYFUNCTION("""COMPUTED_VALUE"""),"компоненти асутп")</f>
        <v>компоненти асутп</v>
      </c>
      <c r="D1356" s="16" t="str">
        <f>IFERROR(__xludf.DUMMYFUNCTION("""COMPUTED_VALUE"""),"реле")</f>
        <v>реле</v>
      </c>
      <c r="E1356" s="16" t="str">
        <f>IFERROR(__xludf.DUMMYFUNCTION("""COMPUTED_VALUE"""),"автоматичні вимикачі, пзв")</f>
        <v>автоматичні вимикачі, пзв</v>
      </c>
      <c r="F1356" s="17">
        <f>IFERROR(__xludf.DUMMYFUNCTION("""COMPUTED_VALUE"""),4.0)</f>
        <v>4</v>
      </c>
      <c r="G1356" s="17" t="str">
        <f>IFERROR(__xludf.DUMMYFUNCTION("""COMPUTED_VALUE"""),"14190906")</f>
        <v>14190906</v>
      </c>
      <c r="H1356" s="17" t="str">
        <f>IFERROR(__xludf.DUMMYFUNCTION("""COMPUTED_VALUE"""),"автоматичні вимикачі, пзв")</f>
        <v>автоматичні вимикачі, пзв</v>
      </c>
      <c r="I1356" s="19">
        <f>IFERROR(__xludf.DUMMYFUNCTION("""COMPUTED_VALUE"""),0.0758)</f>
        <v>0.0758</v>
      </c>
      <c r="J1356" s="19">
        <f>IFERROR(__xludf.DUMMYFUNCTION("""COMPUTED_VALUE"""),0.1515)</f>
        <v>0.1515</v>
      </c>
      <c r="K1356" s="19">
        <f>IFERROR(__xludf.DUMMYFUNCTION("""COMPUTED_VALUE"""),0.1894)</f>
        <v>0.1894</v>
      </c>
      <c r="L1356" s="19">
        <f>IFERROR(__xludf.DUMMYFUNCTION("""COMPUTED_VALUE"""),0.2273)</f>
        <v>0.2273</v>
      </c>
      <c r="M1356" s="18">
        <f>IFERROR(__xludf.DUMMYFUNCTION("""COMPUTED_VALUE"""),1.71)</f>
        <v>1.71</v>
      </c>
    </row>
    <row r="1357">
      <c r="A1357" s="13" t="str">
        <f>IFERROR(__xludf.DUMMYFUNCTION("""COMPUTED_VALUE"""),"товари")</f>
        <v>товари</v>
      </c>
      <c r="B1357" s="16" t="str">
        <f>IFERROR(__xludf.DUMMYFUNCTION("""COMPUTED_VALUE"""),"електрообладнання")</f>
        <v>електрообладнання</v>
      </c>
      <c r="C1357" s="16" t="str">
        <f>IFERROR(__xludf.DUMMYFUNCTION("""COMPUTED_VALUE"""),"обладнання для електропостачання")</f>
        <v>обладнання для електропостачання</v>
      </c>
      <c r="D1357" s="16" t="str">
        <f>IFERROR(__xludf.DUMMYFUNCTION("""COMPUTED_VALUE"""),"запобіжники та їх компоненти")</f>
        <v>запобіжники та їх компоненти</v>
      </c>
      <c r="E1357" s="16" t="str">
        <f>IFERROR(__xludf.DUMMYFUNCTION("""COMPUTED_VALUE"""),"аксесуари для запобіжників")</f>
        <v>аксесуари для запобіжників</v>
      </c>
      <c r="F1357" s="17">
        <f>IFERROR(__xludf.DUMMYFUNCTION("""COMPUTED_VALUE"""),4.0)</f>
        <v>4</v>
      </c>
      <c r="G1357" s="17" t="str">
        <f>IFERROR(__xludf.DUMMYFUNCTION("""COMPUTED_VALUE"""),"54003")</f>
        <v>54003</v>
      </c>
      <c r="H1357" s="17" t="str">
        <f>IFERROR(__xludf.DUMMYFUNCTION("""COMPUTED_VALUE"""),"аксесуари для запобіжників")</f>
        <v>аксесуари для запобіжників</v>
      </c>
      <c r="I1357" s="19">
        <f>IFERROR(__xludf.DUMMYFUNCTION("""COMPUTED_VALUE"""),0.0678)</f>
        <v>0.0678</v>
      </c>
      <c r="J1357" s="19">
        <f>IFERROR(__xludf.DUMMYFUNCTION("""COMPUTED_VALUE"""),0.1355)</f>
        <v>0.1355</v>
      </c>
      <c r="K1357" s="19">
        <f>IFERROR(__xludf.DUMMYFUNCTION("""COMPUTED_VALUE"""),0.1694)</f>
        <v>0.1694</v>
      </c>
      <c r="L1357" s="19">
        <f>IFERROR(__xludf.DUMMYFUNCTION("""COMPUTED_VALUE"""),0.2033)</f>
        <v>0.2033</v>
      </c>
      <c r="M1357" s="18">
        <f>IFERROR(__xludf.DUMMYFUNCTION("""COMPUTED_VALUE"""),1.71)</f>
        <v>1.71</v>
      </c>
    </row>
    <row r="1358">
      <c r="A1358" s="13" t="str">
        <f>IFERROR(__xludf.DUMMYFUNCTION("""COMPUTED_VALUE"""),"товари")</f>
        <v>товари</v>
      </c>
      <c r="B1358" s="16" t="str">
        <f>IFERROR(__xludf.DUMMYFUNCTION("""COMPUTED_VALUE"""),"електрообладнання")</f>
        <v>електрообладнання</v>
      </c>
      <c r="C1358" s="16" t="str">
        <f>IFERROR(__xludf.DUMMYFUNCTION("""COMPUTED_VALUE"""),"електронні компоненти")</f>
        <v>електронні компоненти</v>
      </c>
      <c r="D1358" s="16" t="str">
        <f>IFERROR(__xludf.DUMMYFUNCTION("""COMPUTED_VALUE"""),"активні компоненти")</f>
        <v>активні компоненти</v>
      </c>
      <c r="E1358" s="16" t="str">
        <f>IFERROR(__xludf.DUMMYFUNCTION("""COMPUTED_VALUE"""),"активні компоненти, загальне")</f>
        <v>активні компоненти, загальне</v>
      </c>
      <c r="F1358" s="17">
        <f>IFERROR(__xludf.DUMMYFUNCTION("""COMPUTED_VALUE"""),4.0)</f>
        <v>4</v>
      </c>
      <c r="G1358" s="17" t="str">
        <f>IFERROR(__xludf.DUMMYFUNCTION("""COMPUTED_VALUE"""),"400199")</f>
        <v>400199</v>
      </c>
      <c r="H1358" s="17" t="str">
        <f>IFERROR(__xludf.DUMMYFUNCTION("""COMPUTED_VALUE"""),"активні компоненти, загальне")</f>
        <v>активні компоненти, загальне</v>
      </c>
      <c r="I1358" s="19">
        <f>IFERROR(__xludf.DUMMYFUNCTION("""COMPUTED_VALUE"""),0.125)</f>
        <v>0.125</v>
      </c>
      <c r="J1358" s="19">
        <f>IFERROR(__xludf.DUMMYFUNCTION("""COMPUTED_VALUE"""),0.25)</f>
        <v>0.25</v>
      </c>
      <c r="K1358" s="19">
        <f>IFERROR(__xludf.DUMMYFUNCTION("""COMPUTED_VALUE"""),0.3125)</f>
        <v>0.3125</v>
      </c>
      <c r="L1358" s="19">
        <f>IFERROR(__xludf.DUMMYFUNCTION("""COMPUTED_VALUE"""),0.375)</f>
        <v>0.375</v>
      </c>
      <c r="M1358" s="18">
        <f>IFERROR(__xludf.DUMMYFUNCTION("""COMPUTED_VALUE"""),4.33)</f>
        <v>4.33</v>
      </c>
    </row>
    <row r="1359">
      <c r="A1359" s="13" t="str">
        <f>IFERROR(__xludf.DUMMYFUNCTION("""COMPUTED_VALUE"""),"товари")</f>
        <v>товари</v>
      </c>
      <c r="B1359" s="16" t="str">
        <f>IFERROR(__xludf.DUMMYFUNCTION("""COMPUTED_VALUE"""),"електрообладнання")</f>
        <v>електрообладнання</v>
      </c>
      <c r="C1359" s="16" t="str">
        <f>IFERROR(__xludf.DUMMYFUNCTION("""COMPUTED_VALUE"""),"батареї та акумулятори")</f>
        <v>батареї та акумулятори</v>
      </c>
      <c r="D1359" s="16" t="str">
        <f>IFERROR(__xludf.DUMMYFUNCTION("""COMPUTED_VALUE"""),"акумулятори загального призначення")</f>
        <v>акумулятори загального призначення</v>
      </c>
      <c r="E1359" s="16" t="str">
        <f>IFERROR(__xludf.DUMMYFUNCTION("""COMPUTED_VALUE"""),"акумулятори загального призначення")</f>
        <v>акумулятори загального призначення</v>
      </c>
      <c r="F1359" s="17">
        <f>IFERROR(__xludf.DUMMYFUNCTION("""COMPUTED_VALUE"""),3.0)</f>
        <v>3</v>
      </c>
      <c r="G1359" s="17" t="str">
        <f>IFERROR(__xludf.DUMMYFUNCTION("""COMPUTED_VALUE"""),"5280501")</f>
        <v>5280501</v>
      </c>
      <c r="H1359" s="17" t="str">
        <f>IFERROR(__xludf.DUMMYFUNCTION("""COMPUTED_VALUE"""),"акумулятори загального призначення")</f>
        <v>акумулятори загального призначення</v>
      </c>
      <c r="I1359" s="19">
        <f>IFERROR(__xludf.DUMMYFUNCTION("""COMPUTED_VALUE"""),0.0483)</f>
        <v>0.0483</v>
      </c>
      <c r="J1359" s="19">
        <f>IFERROR(__xludf.DUMMYFUNCTION("""COMPUTED_VALUE"""),0.0965)</f>
        <v>0.0965</v>
      </c>
      <c r="K1359" s="19">
        <f>IFERROR(__xludf.DUMMYFUNCTION("""COMPUTED_VALUE"""),0.1206)</f>
        <v>0.1206</v>
      </c>
      <c r="L1359" s="19">
        <f>IFERROR(__xludf.DUMMYFUNCTION("""COMPUTED_VALUE"""),0.1448)</f>
        <v>0.1448</v>
      </c>
      <c r="M1359" s="18">
        <f>IFERROR(__xludf.DUMMYFUNCTION("""COMPUTED_VALUE"""),2.25)</f>
        <v>2.25</v>
      </c>
    </row>
    <row r="1360">
      <c r="A1360" s="13" t="str">
        <f>IFERROR(__xludf.DUMMYFUNCTION("""COMPUTED_VALUE"""),"товари")</f>
        <v>товари</v>
      </c>
      <c r="B1360" s="16" t="str">
        <f>IFERROR(__xludf.DUMMYFUNCTION("""COMPUTED_VALUE"""),"електрообладнання")</f>
        <v>електрообладнання</v>
      </c>
      <c r="C1360" s="16" t="str">
        <f>IFERROR(__xludf.DUMMYFUNCTION("""COMPUTED_VALUE"""),"батареї та акумулятори")</f>
        <v>батареї та акумулятори</v>
      </c>
      <c r="D1360" s="16" t="str">
        <f>IFERROR(__xludf.DUMMYFUNCTION("""COMPUTED_VALUE"""),"батареї та акумулятори, загальне")</f>
        <v>батареї та акумулятори, загальне</v>
      </c>
      <c r="E1360" s="16" t="str">
        <f>IFERROR(__xludf.DUMMYFUNCTION("""COMPUTED_VALUE"""),"батареї та акумулятори, загальне")</f>
        <v>батареї та акумулятори, загальне</v>
      </c>
      <c r="F1360" s="17">
        <f>IFERROR(__xludf.DUMMYFUNCTION("""COMPUTED_VALUE"""),3.0)</f>
        <v>3</v>
      </c>
      <c r="G1360" s="17" t="str">
        <f>IFERROR(__xludf.DUMMYFUNCTION("""COMPUTED_VALUE"""),"52807")</f>
        <v>52807</v>
      </c>
      <c r="H1360" s="17" t="str">
        <f>IFERROR(__xludf.DUMMYFUNCTION("""COMPUTED_VALUE"""),"батареї та акумулятори, загальне")</f>
        <v>батареї та акумулятори, загальне</v>
      </c>
      <c r="I1360" s="19">
        <f>IFERROR(__xludf.DUMMYFUNCTION("""COMPUTED_VALUE"""),0.125)</f>
        <v>0.125</v>
      </c>
      <c r="J1360" s="19">
        <f>IFERROR(__xludf.DUMMYFUNCTION("""COMPUTED_VALUE"""),0.25)</f>
        <v>0.25</v>
      </c>
      <c r="K1360" s="19">
        <f>IFERROR(__xludf.DUMMYFUNCTION("""COMPUTED_VALUE"""),0.3125)</f>
        <v>0.3125</v>
      </c>
      <c r="L1360" s="19">
        <f>IFERROR(__xludf.DUMMYFUNCTION("""COMPUTED_VALUE"""),0.375)</f>
        <v>0.375</v>
      </c>
      <c r="M1360" s="18">
        <f>IFERROR(__xludf.DUMMYFUNCTION("""COMPUTED_VALUE"""),4.33)</f>
        <v>4.33</v>
      </c>
    </row>
    <row r="1361">
      <c r="A1361" s="13" t="str">
        <f>IFERROR(__xludf.DUMMYFUNCTION("""COMPUTED_VALUE"""),"товари")</f>
        <v>товари</v>
      </c>
      <c r="B1361" s="16" t="str">
        <f>IFERROR(__xludf.DUMMYFUNCTION("""COMPUTED_VALUE"""),"електрообладнання")</f>
        <v>електрообладнання</v>
      </c>
      <c r="C1361" s="16" t="str">
        <f>IFERROR(__xludf.DUMMYFUNCTION("""COMPUTED_VALUE"""),"батареї та акумулятори")</f>
        <v>батареї та акумулятори</v>
      </c>
      <c r="D1361" s="16" t="str">
        <f>IFERROR(__xludf.DUMMYFUNCTION("""COMPUTED_VALUE"""),"батарейні, акумуляторні відсіки")</f>
        <v>батарейні, акумуляторні відсіки</v>
      </c>
      <c r="E1361" s="16" t="str">
        <f>IFERROR(__xludf.DUMMYFUNCTION("""COMPUTED_VALUE"""),"батарейні, акумуляторні відсіки")</f>
        <v>батарейні, акумуляторні відсіки</v>
      </c>
      <c r="F1361" s="17">
        <f>IFERROR(__xludf.DUMMYFUNCTION("""COMPUTED_VALUE"""),3.0)</f>
        <v>3</v>
      </c>
      <c r="G1361" s="17" t="str">
        <f>IFERROR(__xludf.DUMMYFUNCTION("""COMPUTED_VALUE"""),"52810")</f>
        <v>52810</v>
      </c>
      <c r="H1361" s="17" t="str">
        <f>IFERROR(__xludf.DUMMYFUNCTION("""COMPUTED_VALUE"""),"батарейні, акумуляторні відсіки")</f>
        <v>батарейні, акумуляторні відсіки</v>
      </c>
      <c r="I1361" s="19">
        <f>IFERROR(__xludf.DUMMYFUNCTION("""COMPUTED_VALUE"""),0.0447)</f>
        <v>0.0447</v>
      </c>
      <c r="J1361" s="19">
        <f>IFERROR(__xludf.DUMMYFUNCTION("""COMPUTED_VALUE"""),0.0893)</f>
        <v>0.0893</v>
      </c>
      <c r="K1361" s="19">
        <f>IFERROR(__xludf.DUMMYFUNCTION("""COMPUTED_VALUE"""),0.1116)</f>
        <v>0.1116</v>
      </c>
      <c r="L1361" s="19">
        <f>IFERROR(__xludf.DUMMYFUNCTION("""COMPUTED_VALUE"""),0.134)</f>
        <v>0.134</v>
      </c>
      <c r="M1361" s="18">
        <f>IFERROR(__xludf.DUMMYFUNCTION("""COMPUTED_VALUE"""),1.05)</f>
        <v>1.05</v>
      </c>
    </row>
    <row r="1362">
      <c r="A1362" s="13" t="str">
        <f>IFERROR(__xludf.DUMMYFUNCTION("""COMPUTED_VALUE"""),"товари")</f>
        <v>товари</v>
      </c>
      <c r="B1362" s="16" t="str">
        <f>IFERROR(__xludf.DUMMYFUNCTION("""COMPUTED_VALUE"""),"електрообладнання")</f>
        <v>електрообладнання</v>
      </c>
      <c r="C1362" s="16" t="str">
        <f>IFERROR(__xludf.DUMMYFUNCTION("""COMPUTED_VALUE"""),"обладнання для електропостачання")</f>
        <v>обладнання для електропостачання</v>
      </c>
      <c r="D1362" s="16" t="str">
        <f>IFERROR(__xludf.DUMMYFUNCTION("""COMPUTED_VALUE"""),"блоки живлення")</f>
        <v>блоки живлення</v>
      </c>
      <c r="E1362" s="16" t="str">
        <f>IFERROR(__xludf.DUMMYFUNCTION("""COMPUTED_VALUE"""),"блоки живлення, загальне")</f>
        <v>блоки живлення, загальне</v>
      </c>
      <c r="F1362" s="17">
        <f>IFERROR(__xludf.DUMMYFUNCTION("""COMPUTED_VALUE"""),4.0)</f>
        <v>4</v>
      </c>
      <c r="G1362" s="17" t="str">
        <f>IFERROR(__xludf.DUMMYFUNCTION("""COMPUTED_VALUE"""),"14191108")</f>
        <v>14191108</v>
      </c>
      <c r="H1362" s="17" t="str">
        <f>IFERROR(__xludf.DUMMYFUNCTION("""COMPUTED_VALUE"""),"блоки живлення, загальне")</f>
        <v>блоки живлення, загальне</v>
      </c>
      <c r="I1362" s="19">
        <f>IFERROR(__xludf.DUMMYFUNCTION("""COMPUTED_VALUE"""),0.125)</f>
        <v>0.125</v>
      </c>
      <c r="J1362" s="19">
        <f>IFERROR(__xludf.DUMMYFUNCTION("""COMPUTED_VALUE"""),0.25)</f>
        <v>0.25</v>
      </c>
      <c r="K1362" s="19">
        <f>IFERROR(__xludf.DUMMYFUNCTION("""COMPUTED_VALUE"""),0.3125)</f>
        <v>0.3125</v>
      </c>
      <c r="L1362" s="19">
        <f>IFERROR(__xludf.DUMMYFUNCTION("""COMPUTED_VALUE"""),0.375)</f>
        <v>0.375</v>
      </c>
      <c r="M1362" s="18">
        <f>IFERROR(__xludf.DUMMYFUNCTION("""COMPUTED_VALUE"""),4.33)</f>
        <v>4.33</v>
      </c>
    </row>
    <row r="1363">
      <c r="A1363" s="13" t="str">
        <f>IFERROR(__xludf.DUMMYFUNCTION("""COMPUTED_VALUE"""),"товари")</f>
        <v>товари</v>
      </c>
      <c r="B1363" s="16" t="str">
        <f>IFERROR(__xludf.DUMMYFUNCTION("""COMPUTED_VALUE"""),"електрообладнання")</f>
        <v>електрообладнання</v>
      </c>
      <c r="C1363" s="16" t="str">
        <f>IFERROR(__xludf.DUMMYFUNCTION("""COMPUTED_VALUE"""),"електронні компоненти")</f>
        <v>електронні компоненти</v>
      </c>
      <c r="D1363" s="16" t="str">
        <f>IFERROR(__xludf.DUMMYFUNCTION("""COMPUTED_VALUE"""),"пасивні компоненти")</f>
        <v>пасивні компоненти</v>
      </c>
      <c r="E1363" s="16" t="str">
        <f>IFERROR(__xludf.DUMMYFUNCTION("""COMPUTED_VALUE"""),"вентилятори та охолоджувачі для силових напівпровідників")</f>
        <v>вентилятори та охолоджувачі для силових напівпровідників</v>
      </c>
      <c r="F1363" s="17">
        <f>IFERROR(__xludf.DUMMYFUNCTION("""COMPUTED_VALUE"""),4.0)</f>
        <v>4</v>
      </c>
      <c r="G1363" s="17" t="str">
        <f>IFERROR(__xludf.DUMMYFUNCTION("""COMPUTED_VALUE"""),"400505")</f>
        <v>400505</v>
      </c>
      <c r="H1363" s="17" t="str">
        <f>IFERROR(__xludf.DUMMYFUNCTION("""COMPUTED_VALUE"""),"вентилятори та охолоджувачі для силових напівпровідників")</f>
        <v>вентилятори та охолоджувачі для силових напівпровідників</v>
      </c>
      <c r="I1363" s="19">
        <f>IFERROR(__xludf.DUMMYFUNCTION("""COMPUTED_VALUE"""),0.0688)</f>
        <v>0.0688</v>
      </c>
      <c r="J1363" s="19">
        <f>IFERROR(__xludf.DUMMYFUNCTION("""COMPUTED_VALUE"""),0.1375)</f>
        <v>0.1375</v>
      </c>
      <c r="K1363" s="19">
        <f>IFERROR(__xludf.DUMMYFUNCTION("""COMPUTED_VALUE"""),0.1719)</f>
        <v>0.1719</v>
      </c>
      <c r="L1363" s="19">
        <f>IFERROR(__xludf.DUMMYFUNCTION("""COMPUTED_VALUE"""),0.2063)</f>
        <v>0.2063</v>
      </c>
      <c r="M1363" s="18">
        <f>IFERROR(__xludf.DUMMYFUNCTION("""COMPUTED_VALUE"""),1.05)</f>
        <v>1.05</v>
      </c>
    </row>
    <row r="1364">
      <c r="A1364" s="13" t="str">
        <f>IFERROR(__xludf.DUMMYFUNCTION("""COMPUTED_VALUE"""),"товари")</f>
        <v>товари</v>
      </c>
      <c r="B1364" s="16" t="str">
        <f>IFERROR(__xludf.DUMMYFUNCTION("""COMPUTED_VALUE"""),"електрообладнання")</f>
        <v>електрообладнання</v>
      </c>
      <c r="C1364" s="16" t="str">
        <f>IFERROR(__xludf.DUMMYFUNCTION("""COMPUTED_VALUE"""),"обладнання для електропостачання")</f>
        <v>обладнання для електропостачання</v>
      </c>
      <c r="D1364" s="16" t="str">
        <f>IFERROR(__xludf.DUMMYFUNCTION("""COMPUTED_VALUE"""),"запобіжники та їх компоненти")</f>
        <v>запобіжники та їх компоненти</v>
      </c>
      <c r="E1364" s="16" t="str">
        <f>IFERROR(__xludf.DUMMYFUNCTION("""COMPUTED_VALUE"""),"високовольтні запобіжники")</f>
        <v>високовольтні запобіжники</v>
      </c>
      <c r="F1364" s="17">
        <f>IFERROR(__xludf.DUMMYFUNCTION("""COMPUTED_VALUE"""),4.0)</f>
        <v>4</v>
      </c>
      <c r="G1364" s="17" t="str">
        <f>IFERROR(__xludf.DUMMYFUNCTION("""COMPUTED_VALUE"""),"54001")</f>
        <v>54001</v>
      </c>
      <c r="H1364" s="17" t="str">
        <f>IFERROR(__xludf.DUMMYFUNCTION("""COMPUTED_VALUE"""),"високовольтні запобіжники")</f>
        <v>високовольтні запобіжники</v>
      </c>
      <c r="I1364" s="19">
        <f>IFERROR(__xludf.DUMMYFUNCTION("""COMPUTED_VALUE"""),0.0678)</f>
        <v>0.0678</v>
      </c>
      <c r="J1364" s="19">
        <f>IFERROR(__xludf.DUMMYFUNCTION("""COMPUTED_VALUE"""),0.1355)</f>
        <v>0.1355</v>
      </c>
      <c r="K1364" s="19">
        <f>IFERROR(__xludf.DUMMYFUNCTION("""COMPUTED_VALUE"""),0.1694)</f>
        <v>0.1694</v>
      </c>
      <c r="L1364" s="19">
        <f>IFERROR(__xludf.DUMMYFUNCTION("""COMPUTED_VALUE"""),0.2033)</f>
        <v>0.2033</v>
      </c>
      <c r="M1364" s="18">
        <f>IFERROR(__xludf.DUMMYFUNCTION("""COMPUTED_VALUE"""),1.71)</f>
        <v>1.71</v>
      </c>
    </row>
    <row r="1365">
      <c r="A1365" s="13" t="str">
        <f>IFERROR(__xludf.DUMMYFUNCTION("""COMPUTED_VALUE"""),"товари")</f>
        <v>товари</v>
      </c>
      <c r="B1365" s="16" t="str">
        <f>IFERROR(__xludf.DUMMYFUNCTION("""COMPUTED_VALUE"""),"електрообладнання")</f>
        <v>електрообладнання</v>
      </c>
      <c r="C1365" s="16" t="str">
        <f>IFERROR(__xludf.DUMMYFUNCTION("""COMPUTED_VALUE"""),"освітлення, електрика")</f>
        <v>освітлення, електрика</v>
      </c>
      <c r="D1365" s="16" t="str">
        <f>IFERROR(__xludf.DUMMYFUNCTION("""COMPUTED_VALUE"""),"вуличне освітлення")</f>
        <v>вуличне освітлення</v>
      </c>
      <c r="E1365" s="16" t="str">
        <f>IFERROR(__xludf.DUMMYFUNCTION("""COMPUTED_VALUE"""),"вуличне освітлення")</f>
        <v>вуличне освітлення</v>
      </c>
      <c r="F1365" s="17">
        <f>IFERROR(__xludf.DUMMYFUNCTION("""COMPUTED_VALUE"""),3.0)</f>
        <v>3</v>
      </c>
      <c r="G1365" s="17" t="str">
        <f>IFERROR(__xludf.DUMMYFUNCTION("""COMPUTED_VALUE"""),"150401")</f>
        <v>150401</v>
      </c>
      <c r="H1365" s="17" t="str">
        <f>IFERROR(__xludf.DUMMYFUNCTION("""COMPUTED_VALUE"""),"вуличне освітлення")</f>
        <v>вуличне освітлення</v>
      </c>
      <c r="I1365" s="19">
        <f>IFERROR(__xludf.DUMMYFUNCTION("""COMPUTED_VALUE"""),0.0794)</f>
        <v>0.0794</v>
      </c>
      <c r="J1365" s="19">
        <f>IFERROR(__xludf.DUMMYFUNCTION("""COMPUTED_VALUE"""),0.1588)</f>
        <v>0.1588</v>
      </c>
      <c r="K1365" s="19">
        <f>IFERROR(__xludf.DUMMYFUNCTION("""COMPUTED_VALUE"""),0.1985)</f>
        <v>0.1985</v>
      </c>
      <c r="L1365" s="19">
        <f>IFERROR(__xludf.DUMMYFUNCTION("""COMPUTED_VALUE"""),0.2382)</f>
        <v>0.2382</v>
      </c>
      <c r="M1365" s="18">
        <f>IFERROR(__xludf.DUMMYFUNCTION("""COMPUTED_VALUE"""),3.43)</f>
        <v>3.43</v>
      </c>
    </row>
    <row r="1366">
      <c r="A1366" s="13" t="str">
        <f>IFERROR(__xludf.DUMMYFUNCTION("""COMPUTED_VALUE"""),"товари")</f>
        <v>товари</v>
      </c>
      <c r="B1366" s="16" t="str">
        <f>IFERROR(__xludf.DUMMYFUNCTION("""COMPUTED_VALUE"""),"електрообладнання")</f>
        <v>електрообладнання</v>
      </c>
      <c r="C1366" s="16" t="str">
        <f>IFERROR(__xludf.DUMMYFUNCTION("""COMPUTED_VALUE"""),"генератори та електростанції")</f>
        <v>генератори та електростанції</v>
      </c>
      <c r="D1366" s="16" t="str">
        <f>IFERROR(__xludf.DUMMYFUNCTION("""COMPUTED_VALUE"""),"генератори та електростанції, загальне")</f>
        <v>генератори та електростанції, загальне</v>
      </c>
      <c r="E1366" s="16" t="str">
        <f>IFERROR(__xludf.DUMMYFUNCTION("""COMPUTED_VALUE"""),"генератори та електростанції, загальне")</f>
        <v>генератори та електростанції, загальне</v>
      </c>
      <c r="F1366" s="17">
        <f>IFERROR(__xludf.DUMMYFUNCTION("""COMPUTED_VALUE"""),3.0)</f>
        <v>3</v>
      </c>
      <c r="G1366" s="17" t="str">
        <f>IFERROR(__xludf.DUMMYFUNCTION("""COMPUTED_VALUE"""),"410499")</f>
        <v>410499</v>
      </c>
      <c r="H1366" s="17" t="str">
        <f>IFERROR(__xludf.DUMMYFUNCTION("""COMPUTED_VALUE"""),"генератори та електростанції, загальне")</f>
        <v>генератори та електростанції, загальне</v>
      </c>
      <c r="I1366" s="19">
        <f>IFERROR(__xludf.DUMMYFUNCTION("""COMPUTED_VALUE"""),0.125)</f>
        <v>0.125</v>
      </c>
      <c r="J1366" s="19">
        <f>IFERROR(__xludf.DUMMYFUNCTION("""COMPUTED_VALUE"""),0.25)</f>
        <v>0.25</v>
      </c>
      <c r="K1366" s="19">
        <f>IFERROR(__xludf.DUMMYFUNCTION("""COMPUTED_VALUE"""),0.3125)</f>
        <v>0.3125</v>
      </c>
      <c r="L1366" s="19">
        <f>IFERROR(__xludf.DUMMYFUNCTION("""COMPUTED_VALUE"""),0.375)</f>
        <v>0.375</v>
      </c>
      <c r="M1366" s="18">
        <f>IFERROR(__xludf.DUMMYFUNCTION("""COMPUTED_VALUE"""),4.33)</f>
        <v>4.33</v>
      </c>
    </row>
    <row r="1367">
      <c r="A1367" s="13" t="str">
        <f>IFERROR(__xludf.DUMMYFUNCTION("""COMPUTED_VALUE"""),"товари")</f>
        <v>товари</v>
      </c>
      <c r="B1367" s="16" t="str">
        <f>IFERROR(__xludf.DUMMYFUNCTION("""COMPUTED_VALUE"""),"електрообладнання")</f>
        <v>електрообладнання</v>
      </c>
      <c r="C1367" s="16" t="str">
        <f>IFERROR(__xludf.DUMMYFUNCTION("""COMPUTED_VALUE"""),"технічні вимикачі")</f>
        <v>технічні вимикачі</v>
      </c>
      <c r="D1367" s="16" t="str">
        <f>IFERROR(__xludf.DUMMYFUNCTION("""COMPUTED_VALUE"""),"двохпозиційні перемикачі")</f>
        <v>двохпозиційні перемикачі</v>
      </c>
      <c r="E1367" s="16" t="str">
        <f>IFERROR(__xludf.DUMMYFUNCTION("""COMPUTED_VALUE"""),"двохпозиційні перемикачі")</f>
        <v>двохпозиційні перемикачі</v>
      </c>
      <c r="F1367" s="17">
        <f>IFERROR(__xludf.DUMMYFUNCTION("""COMPUTED_VALUE"""),3.0)</f>
        <v>3</v>
      </c>
      <c r="G1367" s="17" t="str">
        <f>IFERROR(__xludf.DUMMYFUNCTION("""COMPUTED_VALUE"""),"410607")</f>
        <v>410607</v>
      </c>
      <c r="H1367" s="17" t="str">
        <f>IFERROR(__xludf.DUMMYFUNCTION("""COMPUTED_VALUE"""),"двохпозиційні перемикачі")</f>
        <v>двохпозиційні перемикачі</v>
      </c>
      <c r="I1367" s="19">
        <f>IFERROR(__xludf.DUMMYFUNCTION("""COMPUTED_VALUE"""),0.0516)</f>
        <v>0.0516</v>
      </c>
      <c r="J1367" s="19">
        <f>IFERROR(__xludf.DUMMYFUNCTION("""COMPUTED_VALUE"""),0.1032)</f>
        <v>0.1032</v>
      </c>
      <c r="K1367" s="19">
        <f>IFERROR(__xludf.DUMMYFUNCTION("""COMPUTED_VALUE"""),0.129)</f>
        <v>0.129</v>
      </c>
      <c r="L1367" s="19">
        <f>IFERROR(__xludf.DUMMYFUNCTION("""COMPUTED_VALUE"""),0.1548)</f>
        <v>0.1548</v>
      </c>
      <c r="M1367" s="18">
        <f>IFERROR(__xludf.DUMMYFUNCTION("""COMPUTED_VALUE"""),1.44)</f>
        <v>1.44</v>
      </c>
    </row>
    <row r="1368">
      <c r="A1368" s="13" t="str">
        <f>IFERROR(__xludf.DUMMYFUNCTION("""COMPUTED_VALUE"""),"товари")</f>
        <v>товари</v>
      </c>
      <c r="B1368" s="16" t="str">
        <f>IFERROR(__xludf.DUMMYFUNCTION("""COMPUTED_VALUE"""),"електрообладнання")</f>
        <v>електрообладнання</v>
      </c>
      <c r="C1368" s="16" t="str">
        <f>IFERROR(__xludf.DUMMYFUNCTION("""COMPUTED_VALUE"""),"обладнання для електропостачання")</f>
        <v>обладнання для електропостачання</v>
      </c>
      <c r="D1368" s="16" t="str">
        <f>IFERROR(__xludf.DUMMYFUNCTION("""COMPUTED_VALUE"""),"блоки живлення")</f>
        <v>блоки живлення</v>
      </c>
      <c r="E1368" s="16" t="str">
        <f>IFERROR(__xludf.DUMMYFUNCTION("""COMPUTED_VALUE"""),"джерела безперебійного живлення (дбж)")</f>
        <v>джерела безперебійного живлення (дбж)</v>
      </c>
      <c r="F1368" s="17">
        <f>IFERROR(__xludf.DUMMYFUNCTION("""COMPUTED_VALUE"""),4.0)</f>
        <v>4</v>
      </c>
      <c r="G1368" s="17" t="str">
        <f>IFERROR(__xludf.DUMMYFUNCTION("""COMPUTED_VALUE"""),"14191106")</f>
        <v>14191106</v>
      </c>
      <c r="H1368" s="17" t="str">
        <f>IFERROR(__xludf.DUMMYFUNCTION("""COMPUTED_VALUE"""),"джерела безперебійного живлення (дбж)")</f>
        <v>джерела безперебійного живлення (дбж)</v>
      </c>
      <c r="I1368" s="19">
        <f>IFERROR(__xludf.DUMMYFUNCTION("""COMPUTED_VALUE"""),0.051)</f>
        <v>0.051</v>
      </c>
      <c r="J1368" s="19">
        <f>IFERROR(__xludf.DUMMYFUNCTION("""COMPUTED_VALUE"""),0.102)</f>
        <v>0.102</v>
      </c>
      <c r="K1368" s="19">
        <f>IFERROR(__xludf.DUMMYFUNCTION("""COMPUTED_VALUE"""),0.1275)</f>
        <v>0.1275</v>
      </c>
      <c r="L1368" s="19">
        <f>IFERROR(__xludf.DUMMYFUNCTION("""COMPUTED_VALUE"""),0.153)</f>
        <v>0.153</v>
      </c>
      <c r="M1368" s="18">
        <f>IFERROR(__xludf.DUMMYFUNCTION("""COMPUTED_VALUE"""),2.61)</f>
        <v>2.61</v>
      </c>
    </row>
    <row r="1369">
      <c r="A1369" s="13" t="str">
        <f>IFERROR(__xludf.DUMMYFUNCTION("""COMPUTED_VALUE"""),"товари")</f>
        <v>товари</v>
      </c>
      <c r="B1369" s="16" t="str">
        <f>IFERROR(__xludf.DUMMYFUNCTION("""COMPUTED_VALUE"""),"електрообладнання")</f>
        <v>електрообладнання</v>
      </c>
      <c r="C1369" s="16" t="str">
        <f>IFERROR(__xludf.DUMMYFUNCTION("""COMPUTED_VALUE"""),"технічні вимикачі")</f>
        <v>технічні вимикачі</v>
      </c>
      <c r="D1369" s="16" t="str">
        <f>IFERROR(__xludf.DUMMYFUNCTION("""COMPUTED_VALUE"""),"дистанційні вимикачі")</f>
        <v>дистанційні вимикачі</v>
      </c>
      <c r="E1369" s="16" t="str">
        <f>IFERROR(__xludf.DUMMYFUNCTION("""COMPUTED_VALUE"""),"дистанційні вимикачі")</f>
        <v>дистанційні вимикачі</v>
      </c>
      <c r="F1369" s="17">
        <f>IFERROR(__xludf.DUMMYFUNCTION("""COMPUTED_VALUE"""),3.0)</f>
        <v>3</v>
      </c>
      <c r="G1369" s="17" t="str">
        <f>IFERROR(__xludf.DUMMYFUNCTION("""COMPUTED_VALUE"""),"410606")</f>
        <v>410606</v>
      </c>
      <c r="H1369" s="17" t="str">
        <f>IFERROR(__xludf.DUMMYFUNCTION("""COMPUTED_VALUE"""),"дистанційні вимикачі")</f>
        <v>дистанційні вимикачі</v>
      </c>
      <c r="I1369" s="19">
        <f>IFERROR(__xludf.DUMMYFUNCTION("""COMPUTED_VALUE"""),0.0727)</f>
        <v>0.0727</v>
      </c>
      <c r="J1369" s="19">
        <f>IFERROR(__xludf.DUMMYFUNCTION("""COMPUTED_VALUE"""),0.1453)</f>
        <v>0.1453</v>
      </c>
      <c r="K1369" s="19">
        <f>IFERROR(__xludf.DUMMYFUNCTION("""COMPUTED_VALUE"""),0.1816)</f>
        <v>0.1816</v>
      </c>
      <c r="L1369" s="19">
        <f>IFERROR(__xludf.DUMMYFUNCTION("""COMPUTED_VALUE"""),0.218)</f>
        <v>0.218</v>
      </c>
      <c r="M1369" s="18">
        <f>IFERROR(__xludf.DUMMYFUNCTION("""COMPUTED_VALUE"""),1.53)</f>
        <v>1.53</v>
      </c>
    </row>
    <row r="1370">
      <c r="A1370" s="13" t="str">
        <f>IFERROR(__xludf.DUMMYFUNCTION("""COMPUTED_VALUE"""),"товари")</f>
        <v>товари</v>
      </c>
      <c r="B1370" s="16" t="str">
        <f>IFERROR(__xludf.DUMMYFUNCTION("""COMPUTED_VALUE"""),"електрообладнання")</f>
        <v>електрообладнання</v>
      </c>
      <c r="C1370" s="16" t="str">
        <f>IFERROR(__xludf.DUMMYFUNCTION("""COMPUTED_VALUE"""),"електронні компоненти")</f>
        <v>електронні компоненти</v>
      </c>
      <c r="D1370" s="16" t="str">
        <f>IFERROR(__xludf.DUMMYFUNCTION("""COMPUTED_VALUE"""),"пасивні компоненти")</f>
        <v>пасивні компоненти</v>
      </c>
      <c r="E1370" s="16" t="str">
        <f>IFERROR(__xludf.DUMMYFUNCTION("""COMPUTED_VALUE"""),"дроселі")</f>
        <v>дроселі</v>
      </c>
      <c r="F1370" s="17">
        <f>IFERROR(__xludf.DUMMYFUNCTION("""COMPUTED_VALUE"""),4.0)</f>
        <v>4</v>
      </c>
      <c r="G1370" s="17" t="str">
        <f>IFERROR(__xludf.DUMMYFUNCTION("""COMPUTED_VALUE"""),"400501")</f>
        <v>400501</v>
      </c>
      <c r="H1370" s="17" t="str">
        <f>IFERROR(__xludf.DUMMYFUNCTION("""COMPUTED_VALUE"""),"дроселі")</f>
        <v>дроселі</v>
      </c>
      <c r="I1370" s="19">
        <f>IFERROR(__xludf.DUMMYFUNCTION("""COMPUTED_VALUE"""),0.0688)</f>
        <v>0.0688</v>
      </c>
      <c r="J1370" s="19">
        <f>IFERROR(__xludf.DUMMYFUNCTION("""COMPUTED_VALUE"""),0.1375)</f>
        <v>0.1375</v>
      </c>
      <c r="K1370" s="19">
        <f>IFERROR(__xludf.DUMMYFUNCTION("""COMPUTED_VALUE"""),0.1719)</f>
        <v>0.1719</v>
      </c>
      <c r="L1370" s="19">
        <f>IFERROR(__xludf.DUMMYFUNCTION("""COMPUTED_VALUE"""),0.2063)</f>
        <v>0.2063</v>
      </c>
      <c r="M1370" s="18">
        <f>IFERROR(__xludf.DUMMYFUNCTION("""COMPUTED_VALUE"""),1.05)</f>
        <v>1.05</v>
      </c>
    </row>
    <row r="1371">
      <c r="A1371" s="13" t="str">
        <f>IFERROR(__xludf.DUMMYFUNCTION("""COMPUTED_VALUE"""),"товари")</f>
        <v>товари</v>
      </c>
      <c r="B1371" s="16" t="str">
        <f>IFERROR(__xludf.DUMMYFUNCTION("""COMPUTED_VALUE"""),"електрообладнання")</f>
        <v>електрообладнання</v>
      </c>
      <c r="C1371" s="16" t="str">
        <f>IFERROR(__xludf.DUMMYFUNCTION("""COMPUTED_VALUE"""),"освітлення, електрика")</f>
        <v>освітлення, електрика</v>
      </c>
      <c r="D1371" s="16" t="str">
        <f>IFERROR(__xludf.DUMMYFUNCTION("""COMPUTED_VALUE"""),"комплектуючі для освітлення та електрики")</f>
        <v>комплектуючі для освітлення та електрики</v>
      </c>
      <c r="E1371" s="16" t="str">
        <f>IFERROR(__xludf.DUMMYFUNCTION("""COMPUTED_VALUE"""),"електричні вилки")</f>
        <v>електричні вилки</v>
      </c>
      <c r="F1371" s="17">
        <f>IFERROR(__xludf.DUMMYFUNCTION("""COMPUTED_VALUE"""),4.0)</f>
        <v>4</v>
      </c>
      <c r="G1371" s="17" t="str">
        <f>IFERROR(__xludf.DUMMYFUNCTION("""COMPUTED_VALUE"""),"53005")</f>
        <v>53005</v>
      </c>
      <c r="H1371" s="17" t="str">
        <f>IFERROR(__xludf.DUMMYFUNCTION("""COMPUTED_VALUE"""),"електричні вилки")</f>
        <v>електричні вилки</v>
      </c>
      <c r="I1371" s="19">
        <f>IFERROR(__xludf.DUMMYFUNCTION("""COMPUTED_VALUE"""),0.0738)</f>
        <v>0.0738</v>
      </c>
      <c r="J1371" s="19">
        <f>IFERROR(__xludf.DUMMYFUNCTION("""COMPUTED_VALUE"""),0.1475)</f>
        <v>0.1475</v>
      </c>
      <c r="K1371" s="19">
        <f>IFERROR(__xludf.DUMMYFUNCTION("""COMPUTED_VALUE"""),0.1844)</f>
        <v>0.1844</v>
      </c>
      <c r="L1371" s="19">
        <f>IFERROR(__xludf.DUMMYFUNCTION("""COMPUTED_VALUE"""),0.2213)</f>
        <v>0.2213</v>
      </c>
      <c r="M1371" s="18">
        <f>IFERROR(__xludf.DUMMYFUNCTION("""COMPUTED_VALUE"""),1.05)</f>
        <v>1.05</v>
      </c>
    </row>
    <row r="1372">
      <c r="A1372" s="13" t="str">
        <f>IFERROR(__xludf.DUMMYFUNCTION("""COMPUTED_VALUE"""),"товари")</f>
        <v>товари</v>
      </c>
      <c r="B1372" s="16" t="str">
        <f>IFERROR(__xludf.DUMMYFUNCTION("""COMPUTED_VALUE"""),"електрообладнання")</f>
        <v>електрообладнання</v>
      </c>
      <c r="C1372" s="16" t="str">
        <f>IFERROR(__xludf.DUMMYFUNCTION("""COMPUTED_VALUE"""),"освітлення, електрика")</f>
        <v>освітлення, електрика</v>
      </c>
      <c r="D1372" s="16" t="str">
        <f>IFERROR(__xludf.DUMMYFUNCTION("""COMPUTED_VALUE"""),"комплектуючі для освітлення та електрики")</f>
        <v>комплектуючі для освітлення та електрики</v>
      </c>
      <c r="E1372" s="16" t="str">
        <f>IFERROR(__xludf.DUMMYFUNCTION("""COMPUTED_VALUE"""),"електричні подовжувачі")</f>
        <v>електричні подовжувачі</v>
      </c>
      <c r="F1372" s="17">
        <f>IFERROR(__xludf.DUMMYFUNCTION("""COMPUTED_VALUE"""),4.0)</f>
        <v>4</v>
      </c>
      <c r="G1372" s="17" t="str">
        <f>IFERROR(__xludf.DUMMYFUNCTION("""COMPUTED_VALUE"""),"513")</f>
        <v>513</v>
      </c>
      <c r="H1372" s="17" t="str">
        <f>IFERROR(__xludf.DUMMYFUNCTION("""COMPUTED_VALUE"""),"електричні подовжувачі")</f>
        <v>електричні подовжувачі</v>
      </c>
      <c r="I1372" s="19">
        <f>IFERROR(__xludf.DUMMYFUNCTION("""COMPUTED_VALUE"""),0.0808)</f>
        <v>0.0808</v>
      </c>
      <c r="J1372" s="19">
        <f>IFERROR(__xludf.DUMMYFUNCTION("""COMPUTED_VALUE"""),0.1616)</f>
        <v>0.1616</v>
      </c>
      <c r="K1372" s="19">
        <f>IFERROR(__xludf.DUMMYFUNCTION("""COMPUTED_VALUE"""),0.202)</f>
        <v>0.202</v>
      </c>
      <c r="L1372" s="19">
        <f>IFERROR(__xludf.DUMMYFUNCTION("""COMPUTED_VALUE"""),0.2424)</f>
        <v>0.2424</v>
      </c>
      <c r="M1372" s="18">
        <f>IFERROR(__xludf.DUMMYFUNCTION("""COMPUTED_VALUE"""),1.05)</f>
        <v>1.05</v>
      </c>
    </row>
    <row r="1373">
      <c r="A1373" s="13" t="str">
        <f>IFERROR(__xludf.DUMMYFUNCTION("""COMPUTED_VALUE"""),"товари")</f>
        <v>товари</v>
      </c>
      <c r="B1373" s="16" t="str">
        <f>IFERROR(__xludf.DUMMYFUNCTION("""COMPUTED_VALUE"""),"електрообладнання")</f>
        <v>електрообладнання</v>
      </c>
      <c r="C1373" s="16" t="str">
        <f>IFERROR(__xludf.DUMMYFUNCTION("""COMPUTED_VALUE"""),"електронні компоненти")</f>
        <v>електронні компоненти</v>
      </c>
      <c r="D1373" s="16" t="str">
        <f>IFERROR(__xludf.DUMMYFUNCTION("""COMPUTED_VALUE"""),"активні компоненти")</f>
        <v>активні компоненти</v>
      </c>
      <c r="E1373" s="16" t="str">
        <f>IFERROR(__xludf.DUMMYFUNCTION("""COMPUTED_VALUE"""),"електровакуумні та електронно-променеві прилади")</f>
        <v>електровакуумні та електронно-променеві прилади</v>
      </c>
      <c r="F1373" s="17">
        <f>IFERROR(__xludf.DUMMYFUNCTION("""COMPUTED_VALUE"""),4.0)</f>
        <v>4</v>
      </c>
      <c r="G1373" s="17" t="str">
        <f>IFERROR(__xludf.DUMMYFUNCTION("""COMPUTED_VALUE"""),"50201")</f>
        <v>50201</v>
      </c>
      <c r="H1373" s="17" t="str">
        <f>IFERROR(__xludf.DUMMYFUNCTION("""COMPUTED_VALUE"""),"електровакуумні та електронно-променеві прилади")</f>
        <v>електровакуумні та електронно-променеві прилади</v>
      </c>
      <c r="I1373" s="19">
        <f>IFERROR(__xludf.DUMMYFUNCTION("""COMPUTED_VALUE"""),0.064)</f>
        <v>0.064</v>
      </c>
      <c r="J1373" s="19">
        <f>IFERROR(__xludf.DUMMYFUNCTION("""COMPUTED_VALUE"""),0.1279)</f>
        <v>0.1279</v>
      </c>
      <c r="K1373" s="19">
        <f>IFERROR(__xludf.DUMMYFUNCTION("""COMPUTED_VALUE"""),0.1599)</f>
        <v>0.1599</v>
      </c>
      <c r="L1373" s="19">
        <f>IFERROR(__xludf.DUMMYFUNCTION("""COMPUTED_VALUE"""),0.1919)</f>
        <v>0.1919</v>
      </c>
      <c r="M1373" s="18">
        <f>IFERROR(__xludf.DUMMYFUNCTION("""COMPUTED_VALUE"""),2.34)</f>
        <v>2.34</v>
      </c>
    </row>
    <row r="1374">
      <c r="A1374" s="13" t="str">
        <f>IFERROR(__xludf.DUMMYFUNCTION("""COMPUTED_VALUE"""),"товари")</f>
        <v>товари</v>
      </c>
      <c r="B1374" s="16" t="str">
        <f>IFERROR(__xludf.DUMMYFUNCTION("""COMPUTED_VALUE"""),"електрообладнання")</f>
        <v>електрообладнання</v>
      </c>
      <c r="C1374" s="16" t="str">
        <f>IFERROR(__xludf.DUMMYFUNCTION("""COMPUTED_VALUE"""),"генератори та електростанції")</f>
        <v>генератори та електростанції</v>
      </c>
      <c r="D1374" s="16" t="str">
        <f>IFERROR(__xludf.DUMMYFUNCTION("""COMPUTED_VALUE"""),"електрогенератори")</f>
        <v>електрогенератори</v>
      </c>
      <c r="E1374" s="16" t="str">
        <f>IFERROR(__xludf.DUMMYFUNCTION("""COMPUTED_VALUE"""),"електрогенератори")</f>
        <v>електрогенератори</v>
      </c>
      <c r="F1374" s="17">
        <f>IFERROR(__xludf.DUMMYFUNCTION("""COMPUTED_VALUE"""),3.0)</f>
        <v>3</v>
      </c>
      <c r="G1374" s="17" t="str">
        <f>IFERROR(__xludf.DUMMYFUNCTION("""COMPUTED_VALUE"""),"410402")</f>
        <v>410402</v>
      </c>
      <c r="H1374" s="17" t="str">
        <f>IFERROR(__xludf.DUMMYFUNCTION("""COMPUTED_VALUE"""),"електрогенератори")</f>
        <v>електрогенератори</v>
      </c>
      <c r="I1374" s="19">
        <f>IFERROR(__xludf.DUMMYFUNCTION("""COMPUTED_VALUE"""),0.0552)</f>
        <v>0.0552</v>
      </c>
      <c r="J1374" s="19">
        <f>IFERROR(__xludf.DUMMYFUNCTION("""COMPUTED_VALUE"""),0.1103)</f>
        <v>0.1103</v>
      </c>
      <c r="K1374" s="19">
        <f>IFERROR(__xludf.DUMMYFUNCTION("""COMPUTED_VALUE"""),0.1379)</f>
        <v>0.1379</v>
      </c>
      <c r="L1374" s="19">
        <f>IFERROR(__xludf.DUMMYFUNCTION("""COMPUTED_VALUE"""),0.1655)</f>
        <v>0.1655</v>
      </c>
      <c r="M1374" s="18">
        <f>IFERROR(__xludf.DUMMYFUNCTION("""COMPUTED_VALUE"""),1.53)</f>
        <v>1.53</v>
      </c>
    </row>
    <row r="1375">
      <c r="A1375" s="13" t="str">
        <f>IFERROR(__xludf.DUMMYFUNCTION("""COMPUTED_VALUE"""),"товари")</f>
        <v>товари</v>
      </c>
      <c r="B1375" s="16" t="str">
        <f>IFERROR(__xludf.DUMMYFUNCTION("""COMPUTED_VALUE"""),"електрообладнання")</f>
        <v>електрообладнання</v>
      </c>
      <c r="C1375" s="16" t="str">
        <f>IFERROR(__xludf.DUMMYFUNCTION("""COMPUTED_VALUE"""),"електродвигуни")</f>
        <v>електродвигуни</v>
      </c>
      <c r="D1375" s="16" t="str">
        <f>IFERROR(__xludf.DUMMYFUNCTION("""COMPUTED_VALUE"""),"електродвигуни")</f>
        <v>електродвигуни</v>
      </c>
      <c r="E1375" s="16" t="str">
        <f>IFERROR(__xludf.DUMMYFUNCTION("""COMPUTED_VALUE"""),"електродвигуни")</f>
        <v>електродвигуни</v>
      </c>
      <c r="F1375" s="17">
        <f>IFERROR(__xludf.DUMMYFUNCTION("""COMPUTED_VALUE"""),2.0)</f>
        <v>2</v>
      </c>
      <c r="G1375" s="17" t="str">
        <f>IFERROR(__xludf.DUMMYFUNCTION("""COMPUTED_VALUE"""),"140405")</f>
        <v>140405</v>
      </c>
      <c r="H1375" s="17" t="str">
        <f>IFERROR(__xludf.DUMMYFUNCTION("""COMPUTED_VALUE"""),"електродвигуни")</f>
        <v>електродвигуни</v>
      </c>
      <c r="I1375" s="19">
        <f>IFERROR(__xludf.DUMMYFUNCTION("""COMPUTED_VALUE"""),0.0481)</f>
        <v>0.0481</v>
      </c>
      <c r="J1375" s="19">
        <f>IFERROR(__xludf.DUMMYFUNCTION("""COMPUTED_VALUE"""),0.0962)</f>
        <v>0.0962</v>
      </c>
      <c r="K1375" s="19">
        <f>IFERROR(__xludf.DUMMYFUNCTION("""COMPUTED_VALUE"""),0.1203)</f>
        <v>0.1203</v>
      </c>
      <c r="L1375" s="19">
        <f>IFERROR(__xludf.DUMMYFUNCTION("""COMPUTED_VALUE"""),0.1443)</f>
        <v>0.1443</v>
      </c>
      <c r="M1375" s="18">
        <f>IFERROR(__xludf.DUMMYFUNCTION("""COMPUTED_VALUE"""),3.24)</f>
        <v>3.24</v>
      </c>
    </row>
    <row r="1376">
      <c r="A1376" s="13" t="str">
        <f>IFERROR(__xludf.DUMMYFUNCTION("""COMPUTED_VALUE"""),"товари")</f>
        <v>товари</v>
      </c>
      <c r="B1376" s="16" t="str">
        <f>IFERROR(__xludf.DUMMYFUNCTION("""COMPUTED_VALUE"""),"електрообладнання")</f>
        <v>електрообладнання</v>
      </c>
      <c r="C1376" s="16" t="str">
        <f>IFERROR(__xludf.DUMMYFUNCTION("""COMPUTED_VALUE"""),"монтажне обладнання")</f>
        <v>монтажне обладнання</v>
      </c>
      <c r="D1376" s="16" t="str">
        <f>IFERROR(__xludf.DUMMYFUNCTION("""COMPUTED_VALUE"""),"електроізолятори")</f>
        <v>електроізолятори</v>
      </c>
      <c r="E1376" s="16" t="str">
        <f>IFERROR(__xludf.DUMMYFUNCTION("""COMPUTED_VALUE"""),"електроізоляційні стрічки та трубки")</f>
        <v>електроізоляційні стрічки та трубки</v>
      </c>
      <c r="F1376" s="17">
        <f>IFERROR(__xludf.DUMMYFUNCTION("""COMPUTED_VALUE"""),4.0)</f>
        <v>4</v>
      </c>
      <c r="G1376" s="17" t="str">
        <f>IFERROR(__xludf.DUMMYFUNCTION("""COMPUTED_VALUE"""),"14190303")</f>
        <v>14190303</v>
      </c>
      <c r="H1376" s="17" t="str">
        <f>IFERROR(__xludf.DUMMYFUNCTION("""COMPUTED_VALUE"""),"електроізоляційні стрічки та трубки")</f>
        <v>електроізоляційні стрічки та трубки</v>
      </c>
      <c r="I1376" s="19">
        <f>IFERROR(__xludf.DUMMYFUNCTION("""COMPUTED_VALUE"""),0.0678)</f>
        <v>0.0678</v>
      </c>
      <c r="J1376" s="19">
        <f>IFERROR(__xludf.DUMMYFUNCTION("""COMPUTED_VALUE"""),0.1355)</f>
        <v>0.1355</v>
      </c>
      <c r="K1376" s="19">
        <f>IFERROR(__xludf.DUMMYFUNCTION("""COMPUTED_VALUE"""),0.1694)</f>
        <v>0.1694</v>
      </c>
      <c r="L1376" s="19">
        <f>IFERROR(__xludf.DUMMYFUNCTION("""COMPUTED_VALUE"""),0.2033)</f>
        <v>0.2033</v>
      </c>
      <c r="M1376" s="18">
        <f>IFERROR(__xludf.DUMMYFUNCTION("""COMPUTED_VALUE"""),1.63)</f>
        <v>1.63</v>
      </c>
    </row>
    <row r="1377">
      <c r="A1377" s="13" t="str">
        <f>IFERROR(__xludf.DUMMYFUNCTION("""COMPUTED_VALUE"""),"товари")</f>
        <v>товари</v>
      </c>
      <c r="B1377" s="16" t="str">
        <f>IFERROR(__xludf.DUMMYFUNCTION("""COMPUTED_VALUE"""),"електрообладнання")</f>
        <v>електрообладнання</v>
      </c>
      <c r="C1377" s="16" t="str">
        <f>IFERROR(__xludf.DUMMYFUNCTION("""COMPUTED_VALUE"""),"електронні компоненти")</f>
        <v>електронні компоненти</v>
      </c>
      <c r="D1377" s="16" t="str">
        <f>IFERROR(__xludf.DUMMYFUNCTION("""COMPUTED_VALUE"""),"електронні компоненти, загальне")</f>
        <v>електронні компоненти, загальне</v>
      </c>
      <c r="E1377" s="16" t="str">
        <f>IFERROR(__xludf.DUMMYFUNCTION("""COMPUTED_VALUE"""),"електронні компоненти, загальне")</f>
        <v>електронні компоненти, загальне</v>
      </c>
      <c r="F1377" s="17">
        <f>IFERROR(__xludf.DUMMYFUNCTION("""COMPUTED_VALUE"""),3.0)</f>
        <v>3</v>
      </c>
      <c r="G1377" s="17" t="str">
        <f>IFERROR(__xludf.DUMMYFUNCTION("""COMPUTED_VALUE"""),"4099")</f>
        <v>4099</v>
      </c>
      <c r="H1377" s="17" t="str">
        <f>IFERROR(__xludf.DUMMYFUNCTION("""COMPUTED_VALUE"""),"електронні компоненти, загальне")</f>
        <v>електронні компоненти, загальне</v>
      </c>
      <c r="I1377" s="19">
        <f>IFERROR(__xludf.DUMMYFUNCTION("""COMPUTED_VALUE"""),0.125)</f>
        <v>0.125</v>
      </c>
      <c r="J1377" s="19">
        <f>IFERROR(__xludf.DUMMYFUNCTION("""COMPUTED_VALUE"""),0.25)</f>
        <v>0.25</v>
      </c>
      <c r="K1377" s="19">
        <f>IFERROR(__xludf.DUMMYFUNCTION("""COMPUTED_VALUE"""),0.3125)</f>
        <v>0.3125</v>
      </c>
      <c r="L1377" s="19">
        <f>IFERROR(__xludf.DUMMYFUNCTION("""COMPUTED_VALUE"""),0.375)</f>
        <v>0.375</v>
      </c>
      <c r="M1377" s="18">
        <f>IFERROR(__xludf.DUMMYFUNCTION("""COMPUTED_VALUE"""),4.33)</f>
        <v>4.33</v>
      </c>
    </row>
    <row r="1378">
      <c r="A1378" s="13" t="str">
        <f>IFERROR(__xludf.DUMMYFUNCTION("""COMPUTED_VALUE"""),"товари")</f>
        <v>товари</v>
      </c>
      <c r="B1378" s="16" t="str">
        <f>IFERROR(__xludf.DUMMYFUNCTION("""COMPUTED_VALUE"""),"електрообладнання")</f>
        <v>електрообладнання</v>
      </c>
      <c r="C1378" s="16" t="str">
        <f>IFERROR(__xludf.DUMMYFUNCTION("""COMPUTED_VALUE"""),"електрообладнання, загальне")</f>
        <v>електрообладнання, загальне</v>
      </c>
      <c r="D1378" s="16" t="str">
        <f>IFERROR(__xludf.DUMMYFUNCTION("""COMPUTED_VALUE"""),"електрообладнання, загальне")</f>
        <v>електрообладнання, загальне</v>
      </c>
      <c r="E1378" s="16" t="str">
        <f>IFERROR(__xludf.DUMMYFUNCTION("""COMPUTED_VALUE"""),"електрообладнання, загальне")</f>
        <v>електрообладнання, загальне</v>
      </c>
      <c r="F1378" s="17">
        <f>IFERROR(__xludf.DUMMYFUNCTION("""COMPUTED_VALUE"""),2.0)</f>
        <v>2</v>
      </c>
      <c r="G1378" s="17" t="str">
        <f>IFERROR(__xludf.DUMMYFUNCTION("""COMPUTED_VALUE"""),"516")</f>
        <v>516</v>
      </c>
      <c r="H1378" s="17" t="str">
        <f>IFERROR(__xludf.DUMMYFUNCTION("""COMPUTED_VALUE"""),"електрообладнання, загальне")</f>
        <v>електрообладнання, загальне</v>
      </c>
      <c r="I1378" s="19">
        <f>IFERROR(__xludf.DUMMYFUNCTION("""COMPUTED_VALUE"""),0.125)</f>
        <v>0.125</v>
      </c>
      <c r="J1378" s="19">
        <f>IFERROR(__xludf.DUMMYFUNCTION("""COMPUTED_VALUE"""),0.25)</f>
        <v>0.25</v>
      </c>
      <c r="K1378" s="19">
        <f>IFERROR(__xludf.DUMMYFUNCTION("""COMPUTED_VALUE"""),0.3125)</f>
        <v>0.3125</v>
      </c>
      <c r="L1378" s="19">
        <f>IFERROR(__xludf.DUMMYFUNCTION("""COMPUTED_VALUE"""),0.375)</f>
        <v>0.375</v>
      </c>
      <c r="M1378" s="18">
        <f>IFERROR(__xludf.DUMMYFUNCTION("""COMPUTED_VALUE"""),4.33)</f>
        <v>4.33</v>
      </c>
    </row>
    <row r="1379">
      <c r="A1379" s="13" t="str">
        <f>IFERROR(__xludf.DUMMYFUNCTION("""COMPUTED_VALUE"""),"товари")</f>
        <v>товари</v>
      </c>
      <c r="B1379" s="16" t="str">
        <f>IFERROR(__xludf.DUMMYFUNCTION("""COMPUTED_VALUE"""),"електрообладнання")</f>
        <v>електрообладнання</v>
      </c>
      <c r="C1379" s="16" t="str">
        <f>IFERROR(__xludf.DUMMYFUNCTION("""COMPUTED_VALUE"""),"монтажне обладнання")</f>
        <v>монтажне обладнання</v>
      </c>
      <c r="D1379" s="16" t="str">
        <f>IFERROR(__xludf.DUMMYFUNCTION("""COMPUTED_VALUE"""),"елементи кріплення кабелю")</f>
        <v>елементи кріплення кабелю</v>
      </c>
      <c r="E1379" s="16" t="str">
        <f>IFERROR(__xludf.DUMMYFUNCTION("""COMPUTED_VALUE"""),"елементи кріплення кабелю")</f>
        <v>елементи кріплення кабелю</v>
      </c>
      <c r="F1379" s="17">
        <f>IFERROR(__xludf.DUMMYFUNCTION("""COMPUTED_VALUE"""),3.0)</f>
        <v>3</v>
      </c>
      <c r="G1379" s="17" t="str">
        <f>IFERROR(__xludf.DUMMYFUNCTION("""COMPUTED_VALUE"""),"5092905")</f>
        <v>5092905</v>
      </c>
      <c r="H1379" s="17" t="str">
        <f>IFERROR(__xludf.DUMMYFUNCTION("""COMPUTED_VALUE"""),"елементи кріплення кабелю")</f>
        <v>елементи кріплення кабелю</v>
      </c>
      <c r="I1379" s="19">
        <f>IFERROR(__xludf.DUMMYFUNCTION("""COMPUTED_VALUE"""),0.0805)</f>
        <v>0.0805</v>
      </c>
      <c r="J1379" s="19">
        <f>IFERROR(__xludf.DUMMYFUNCTION("""COMPUTED_VALUE"""),0.161)</f>
        <v>0.161</v>
      </c>
      <c r="K1379" s="19">
        <f>IFERROR(__xludf.DUMMYFUNCTION("""COMPUTED_VALUE"""),0.2013)</f>
        <v>0.2013</v>
      </c>
      <c r="L1379" s="19">
        <f>IFERROR(__xludf.DUMMYFUNCTION("""COMPUTED_VALUE"""),0.2415)</f>
        <v>0.2415</v>
      </c>
      <c r="M1379" s="18">
        <f>IFERROR(__xludf.DUMMYFUNCTION("""COMPUTED_VALUE"""),2.79)</f>
        <v>2.79</v>
      </c>
    </row>
    <row r="1380">
      <c r="A1380" s="13" t="str">
        <f>IFERROR(__xludf.DUMMYFUNCTION("""COMPUTED_VALUE"""),"товари")</f>
        <v>товари</v>
      </c>
      <c r="B1380" s="16" t="str">
        <f>IFERROR(__xludf.DUMMYFUNCTION("""COMPUTED_VALUE"""),"електрообладнання")</f>
        <v>електрообладнання</v>
      </c>
      <c r="C1380" s="16" t="str">
        <f>IFERROR(__xludf.DUMMYFUNCTION("""COMPUTED_VALUE"""),"батареї та акумулятори")</f>
        <v>батареї та акумулятори</v>
      </c>
      <c r="D1380" s="16" t="str">
        <f>IFERROR(__xludf.DUMMYFUNCTION("""COMPUTED_VALUE"""),"зарядні пристрої для акумуляторів")</f>
        <v>зарядні пристрої для акумуляторів</v>
      </c>
      <c r="E1380" s="16" t="str">
        <f>IFERROR(__xludf.DUMMYFUNCTION("""COMPUTED_VALUE"""),"зарядні пристрої для акумуляторів")</f>
        <v>зарядні пристрої для акумуляторів</v>
      </c>
      <c r="F1380" s="17">
        <f>IFERROR(__xludf.DUMMYFUNCTION("""COMPUTED_VALUE"""),3.0)</f>
        <v>3</v>
      </c>
      <c r="G1380" s="17" t="str">
        <f>IFERROR(__xludf.DUMMYFUNCTION("""COMPUTED_VALUE"""),"410201")</f>
        <v>410201</v>
      </c>
      <c r="H1380" s="17" t="str">
        <f>IFERROR(__xludf.DUMMYFUNCTION("""COMPUTED_VALUE"""),"зарядні пристрої для акумуляторів")</f>
        <v>зарядні пристрої для акумуляторів</v>
      </c>
      <c r="I1380" s="19">
        <f>IFERROR(__xludf.DUMMYFUNCTION("""COMPUTED_VALUE"""),0.0739)</f>
        <v>0.0739</v>
      </c>
      <c r="J1380" s="19">
        <f>IFERROR(__xludf.DUMMYFUNCTION("""COMPUTED_VALUE"""),0.1478)</f>
        <v>0.1478</v>
      </c>
      <c r="K1380" s="19">
        <f>IFERROR(__xludf.DUMMYFUNCTION("""COMPUTED_VALUE"""),0.1848)</f>
        <v>0.1848</v>
      </c>
      <c r="L1380" s="19">
        <f>IFERROR(__xludf.DUMMYFUNCTION("""COMPUTED_VALUE"""),0.2217)</f>
        <v>0.2217</v>
      </c>
      <c r="M1380" s="18">
        <f>IFERROR(__xludf.DUMMYFUNCTION("""COMPUTED_VALUE"""),1.44)</f>
        <v>1.44</v>
      </c>
    </row>
    <row r="1381">
      <c r="A1381" s="13" t="str">
        <f>IFERROR(__xludf.DUMMYFUNCTION("""COMPUTED_VALUE"""),"товари")</f>
        <v>товари</v>
      </c>
      <c r="B1381" s="16" t="str">
        <f>IFERROR(__xludf.DUMMYFUNCTION("""COMPUTED_VALUE"""),"електрообладнання")</f>
        <v>електрообладнання</v>
      </c>
      <c r="C1381" s="16" t="str">
        <f>IFERROR(__xludf.DUMMYFUNCTION("""COMPUTED_VALUE"""),"компоненти асутп")</f>
        <v>компоненти асутп</v>
      </c>
      <c r="D1381" s="16" t="str">
        <f>IFERROR(__xludf.DUMMYFUNCTION("""COMPUTED_VALUE"""),"перетворювачі")</f>
        <v>перетворювачі</v>
      </c>
      <c r="E1381" s="16" t="str">
        <f>IFERROR(__xludf.DUMMYFUNCTION("""COMPUTED_VALUE"""),"інвертори")</f>
        <v>інвертори</v>
      </c>
      <c r="F1381" s="17">
        <f>IFERROR(__xludf.DUMMYFUNCTION("""COMPUTED_VALUE"""),4.0)</f>
        <v>4</v>
      </c>
      <c r="G1381" s="17" t="str">
        <f>IFERROR(__xludf.DUMMYFUNCTION("""COMPUTED_VALUE"""),"5140401")</f>
        <v>5140401</v>
      </c>
      <c r="H1381" s="17" t="str">
        <f>IFERROR(__xludf.DUMMYFUNCTION("""COMPUTED_VALUE"""),"інвертори")</f>
        <v>інвертори</v>
      </c>
      <c r="I1381" s="19">
        <f>IFERROR(__xludf.DUMMYFUNCTION("""COMPUTED_VALUE"""),0.033)</f>
        <v>0.033</v>
      </c>
      <c r="J1381" s="19">
        <f>IFERROR(__xludf.DUMMYFUNCTION("""COMPUTED_VALUE"""),0.0659)</f>
        <v>0.0659</v>
      </c>
      <c r="K1381" s="19">
        <f>IFERROR(__xludf.DUMMYFUNCTION("""COMPUTED_VALUE"""),0.0824)</f>
        <v>0.0824</v>
      </c>
      <c r="L1381" s="19">
        <f>IFERROR(__xludf.DUMMYFUNCTION("""COMPUTED_VALUE"""),0.0989)</f>
        <v>0.0989</v>
      </c>
      <c r="M1381" s="18">
        <f>IFERROR(__xludf.DUMMYFUNCTION("""COMPUTED_VALUE"""),3.88)</f>
        <v>3.88</v>
      </c>
    </row>
    <row r="1382">
      <c r="A1382" s="13" t="str">
        <f>IFERROR(__xludf.DUMMYFUNCTION("""COMPUTED_VALUE"""),"товари")</f>
        <v>товари</v>
      </c>
      <c r="B1382" s="16" t="str">
        <f>IFERROR(__xludf.DUMMYFUNCTION("""COMPUTED_VALUE"""),"електрообладнання")</f>
        <v>електрообладнання</v>
      </c>
      <c r="C1382" s="16" t="str">
        <f>IFERROR(__xludf.DUMMYFUNCTION("""COMPUTED_VALUE"""),"електронні компоненти")</f>
        <v>електронні компоненти</v>
      </c>
      <c r="D1382" s="16" t="str">
        <f>IFERROR(__xludf.DUMMYFUNCTION("""COMPUTED_VALUE"""),"активні компоненти")</f>
        <v>активні компоненти</v>
      </c>
      <c r="E1382" s="16" t="str">
        <f>IFERROR(__xludf.DUMMYFUNCTION("""COMPUTED_VALUE"""),"інтегральні мікросхеми")</f>
        <v>інтегральні мікросхеми</v>
      </c>
      <c r="F1382" s="17">
        <f>IFERROR(__xludf.DUMMYFUNCTION("""COMPUTED_VALUE"""),4.0)</f>
        <v>4</v>
      </c>
      <c r="G1382" s="17" t="str">
        <f>IFERROR(__xludf.DUMMYFUNCTION("""COMPUTED_VALUE"""),"400103")</f>
        <v>400103</v>
      </c>
      <c r="H1382" s="17" t="str">
        <f>IFERROR(__xludf.DUMMYFUNCTION("""COMPUTED_VALUE"""),"інтегральні мікросхеми")</f>
        <v>інтегральні мікросхеми</v>
      </c>
      <c r="I1382" s="19">
        <f>IFERROR(__xludf.DUMMYFUNCTION("""COMPUTED_VALUE"""),0.0746)</f>
        <v>0.0746</v>
      </c>
      <c r="J1382" s="19">
        <f>IFERROR(__xludf.DUMMYFUNCTION("""COMPUTED_VALUE"""),0.1491)</f>
        <v>0.1491</v>
      </c>
      <c r="K1382" s="19">
        <f>IFERROR(__xludf.DUMMYFUNCTION("""COMPUTED_VALUE"""),0.1864)</f>
        <v>0.1864</v>
      </c>
      <c r="L1382" s="19">
        <f>IFERROR(__xludf.DUMMYFUNCTION("""COMPUTED_VALUE"""),0.2237)</f>
        <v>0.2237</v>
      </c>
      <c r="M1382" s="18">
        <f>IFERROR(__xludf.DUMMYFUNCTION("""COMPUTED_VALUE"""),2.34)</f>
        <v>2.34</v>
      </c>
    </row>
    <row r="1383">
      <c r="A1383" s="13" t="str">
        <f>IFERROR(__xludf.DUMMYFUNCTION("""COMPUTED_VALUE"""),"товари")</f>
        <v>товари</v>
      </c>
      <c r="B1383" s="16" t="str">
        <f>IFERROR(__xludf.DUMMYFUNCTION("""COMPUTED_VALUE"""),"електрообладнання")</f>
        <v>електрообладнання</v>
      </c>
      <c r="C1383" s="16" t="str">
        <f>IFERROR(__xludf.DUMMYFUNCTION("""COMPUTED_VALUE"""),"монтажне обладнання")</f>
        <v>монтажне обладнання</v>
      </c>
      <c r="D1383" s="16" t="str">
        <f>IFERROR(__xludf.DUMMYFUNCTION("""COMPUTED_VALUE"""),"кабеленесучі системи")</f>
        <v>кабеленесучі системи</v>
      </c>
      <c r="E1383" s="16" t="str">
        <f>IFERROR(__xludf.DUMMYFUNCTION("""COMPUTED_VALUE"""),"кабеленесучі системи")</f>
        <v>кабеленесучі системи</v>
      </c>
      <c r="F1383" s="17">
        <f>IFERROR(__xludf.DUMMYFUNCTION("""COMPUTED_VALUE"""),3.0)</f>
        <v>3</v>
      </c>
      <c r="G1383" s="17" t="str">
        <f>IFERROR(__xludf.DUMMYFUNCTION("""COMPUTED_VALUE"""),"5092913")</f>
        <v>5092913</v>
      </c>
      <c r="H1383" s="17" t="str">
        <f>IFERROR(__xludf.DUMMYFUNCTION("""COMPUTED_VALUE"""),"кабеленесучі системи")</f>
        <v>кабеленесучі системи</v>
      </c>
      <c r="I1383" s="19">
        <f>IFERROR(__xludf.DUMMYFUNCTION("""COMPUTED_VALUE"""),0.0678)</f>
        <v>0.0678</v>
      </c>
      <c r="J1383" s="19">
        <f>IFERROR(__xludf.DUMMYFUNCTION("""COMPUTED_VALUE"""),0.1355)</f>
        <v>0.1355</v>
      </c>
      <c r="K1383" s="19">
        <f>IFERROR(__xludf.DUMMYFUNCTION("""COMPUTED_VALUE"""),0.1694)</f>
        <v>0.1694</v>
      </c>
      <c r="L1383" s="19">
        <f>IFERROR(__xludf.DUMMYFUNCTION("""COMPUTED_VALUE"""),0.2033)</f>
        <v>0.2033</v>
      </c>
      <c r="M1383" s="18">
        <f>IFERROR(__xludf.DUMMYFUNCTION("""COMPUTED_VALUE"""),3.06)</f>
        <v>3.06</v>
      </c>
    </row>
    <row r="1384">
      <c r="A1384" s="13" t="str">
        <f>IFERROR(__xludf.DUMMYFUNCTION("""COMPUTED_VALUE"""),"товари")</f>
        <v>товари</v>
      </c>
      <c r="B1384" s="16" t="str">
        <f>IFERROR(__xludf.DUMMYFUNCTION("""COMPUTED_VALUE"""),"електрообладнання")</f>
        <v>електрообладнання</v>
      </c>
      <c r="C1384" s="16" t="str">
        <f>IFERROR(__xludf.DUMMYFUNCTION("""COMPUTED_VALUE"""),"монтажне обладнання")</f>
        <v>монтажне обладнання</v>
      </c>
      <c r="D1384" s="16" t="str">
        <f>IFERROR(__xludf.DUMMYFUNCTION("""COMPUTED_VALUE"""),"дріт, кабель, системи з'єднання")</f>
        <v>дріт, кабель, системи з'єднання</v>
      </c>
      <c r="E1384" s="16" t="str">
        <f>IFERROR(__xludf.DUMMYFUNCTION("""COMPUTED_VALUE"""),"кабель для систем зв'язку")</f>
        <v>кабель для систем зв'язку</v>
      </c>
      <c r="F1384" s="17">
        <f>IFERROR(__xludf.DUMMYFUNCTION("""COMPUTED_VALUE"""),4.0)</f>
        <v>4</v>
      </c>
      <c r="G1384" s="17" t="str">
        <f>IFERROR(__xludf.DUMMYFUNCTION("""COMPUTED_VALUE"""),"7190605")</f>
        <v>7190605</v>
      </c>
      <c r="H1384" s="17" t="str">
        <f>IFERROR(__xludf.DUMMYFUNCTION("""COMPUTED_VALUE"""),"кабель для систем зв'язку")</f>
        <v>кабель для систем зв'язку</v>
      </c>
      <c r="I1384" s="19">
        <f>IFERROR(__xludf.DUMMYFUNCTION("""COMPUTED_VALUE"""),0.0306)</f>
        <v>0.0306</v>
      </c>
      <c r="J1384" s="19">
        <f>IFERROR(__xludf.DUMMYFUNCTION("""COMPUTED_VALUE"""),0.0611)</f>
        <v>0.0611</v>
      </c>
      <c r="K1384" s="19">
        <f>IFERROR(__xludf.DUMMYFUNCTION("""COMPUTED_VALUE"""),0.0764)</f>
        <v>0.0764</v>
      </c>
      <c r="L1384" s="19">
        <f>IFERROR(__xludf.DUMMYFUNCTION("""COMPUTED_VALUE"""),0.0917)</f>
        <v>0.0917</v>
      </c>
      <c r="M1384" s="18">
        <f>IFERROR(__xludf.DUMMYFUNCTION("""COMPUTED_VALUE"""),3.43)</f>
        <v>3.43</v>
      </c>
    </row>
    <row r="1385">
      <c r="A1385" s="13" t="str">
        <f>IFERROR(__xludf.DUMMYFUNCTION("""COMPUTED_VALUE"""),"товари")</f>
        <v>товари</v>
      </c>
      <c r="B1385" s="16" t="str">
        <f>IFERROR(__xludf.DUMMYFUNCTION("""COMPUTED_VALUE"""),"електрообладнання")</f>
        <v>електрообладнання</v>
      </c>
      <c r="C1385" s="16" t="str">
        <f>IFERROR(__xludf.DUMMYFUNCTION("""COMPUTED_VALUE"""),"монтажне обладнання")</f>
        <v>монтажне обладнання</v>
      </c>
      <c r="D1385" s="16" t="str">
        <f>IFERROR(__xludf.DUMMYFUNCTION("""COMPUTED_VALUE"""),"дріт, кабель, системи з'єднання")</f>
        <v>дріт, кабель, системи з'єднання</v>
      </c>
      <c r="E1385" s="16" t="str">
        <f>IFERROR(__xludf.DUMMYFUNCTION("""COMPUTED_VALUE"""),"кабельні маркери")</f>
        <v>кабельні маркери</v>
      </c>
      <c r="F1385" s="17">
        <f>IFERROR(__xludf.DUMMYFUNCTION("""COMPUTED_VALUE"""),4.0)</f>
        <v>4</v>
      </c>
      <c r="G1385" s="17" t="str">
        <f>IFERROR(__xludf.DUMMYFUNCTION("""COMPUTED_VALUE"""),"14190442")</f>
        <v>14190442</v>
      </c>
      <c r="H1385" s="17" t="str">
        <f>IFERROR(__xludf.DUMMYFUNCTION("""COMPUTED_VALUE"""),"кабельні маркери")</f>
        <v>кабельні маркери</v>
      </c>
      <c r="I1385" s="19">
        <f>IFERROR(__xludf.DUMMYFUNCTION("""COMPUTED_VALUE"""),0.035)</f>
        <v>0.035</v>
      </c>
      <c r="J1385" s="19">
        <f>IFERROR(__xludf.DUMMYFUNCTION("""COMPUTED_VALUE"""),0.07)</f>
        <v>0.07</v>
      </c>
      <c r="K1385" s="19">
        <f>IFERROR(__xludf.DUMMYFUNCTION("""COMPUTED_VALUE"""),0.0875)</f>
        <v>0.0875</v>
      </c>
      <c r="L1385" s="19">
        <f>IFERROR(__xludf.DUMMYFUNCTION("""COMPUTED_VALUE"""),0.105)</f>
        <v>0.105</v>
      </c>
      <c r="M1385" s="18">
        <f>IFERROR(__xludf.DUMMYFUNCTION("""COMPUTED_VALUE"""),3.43)</f>
        <v>3.43</v>
      </c>
    </row>
    <row r="1386">
      <c r="A1386" s="13" t="str">
        <f>IFERROR(__xludf.DUMMYFUNCTION("""COMPUTED_VALUE"""),"товари")</f>
        <v>товари</v>
      </c>
      <c r="B1386" s="16" t="str">
        <f>IFERROR(__xludf.DUMMYFUNCTION("""COMPUTED_VALUE"""),"електрообладнання")</f>
        <v>електрообладнання</v>
      </c>
      <c r="C1386" s="16" t="str">
        <f>IFERROR(__xludf.DUMMYFUNCTION("""COMPUTED_VALUE"""),"електронні компоненти")</f>
        <v>електронні компоненти</v>
      </c>
      <c r="D1386" s="16" t="str">
        <f>IFERROR(__xludf.DUMMYFUNCTION("""COMPUTED_VALUE"""),"пасивні компоненти")</f>
        <v>пасивні компоненти</v>
      </c>
      <c r="E1386" s="16" t="str">
        <f>IFERROR(__xludf.DUMMYFUNCTION("""COMPUTED_VALUE"""),"кварцові резонатори")</f>
        <v>кварцові резонатори</v>
      </c>
      <c r="F1386" s="17">
        <f>IFERROR(__xludf.DUMMYFUNCTION("""COMPUTED_VALUE"""),4.0)</f>
        <v>4</v>
      </c>
      <c r="G1386" s="17" t="str">
        <f>IFERROR(__xludf.DUMMYFUNCTION("""COMPUTED_VALUE"""),"400507")</f>
        <v>400507</v>
      </c>
      <c r="H1386" s="17" t="str">
        <f>IFERROR(__xludf.DUMMYFUNCTION("""COMPUTED_VALUE"""),"кварцові резонатори")</f>
        <v>кварцові резонатори</v>
      </c>
      <c r="I1386" s="19">
        <f>IFERROR(__xludf.DUMMYFUNCTION("""COMPUTED_VALUE"""),0.0688)</f>
        <v>0.0688</v>
      </c>
      <c r="J1386" s="19">
        <f>IFERROR(__xludf.DUMMYFUNCTION("""COMPUTED_VALUE"""),0.1375)</f>
        <v>0.1375</v>
      </c>
      <c r="K1386" s="19">
        <f>IFERROR(__xludf.DUMMYFUNCTION("""COMPUTED_VALUE"""),0.1719)</f>
        <v>0.1719</v>
      </c>
      <c r="L1386" s="19">
        <f>IFERROR(__xludf.DUMMYFUNCTION("""COMPUTED_VALUE"""),0.2063)</f>
        <v>0.2063</v>
      </c>
      <c r="M1386" s="18">
        <f>IFERROR(__xludf.DUMMYFUNCTION("""COMPUTED_VALUE"""),1.05)</f>
        <v>1.05</v>
      </c>
    </row>
    <row r="1387">
      <c r="A1387" s="13" t="str">
        <f>IFERROR(__xludf.DUMMYFUNCTION("""COMPUTED_VALUE"""),"товари")</f>
        <v>товари</v>
      </c>
      <c r="B1387" s="16" t="str">
        <f>IFERROR(__xludf.DUMMYFUNCTION("""COMPUTED_VALUE"""),"електрообладнання")</f>
        <v>електрообладнання</v>
      </c>
      <c r="C1387" s="16" t="str">
        <f>IFERROR(__xludf.DUMMYFUNCTION("""COMPUTED_VALUE"""),"технічні вимикачі")</f>
        <v>технічні вимикачі</v>
      </c>
      <c r="D1387" s="16" t="str">
        <f>IFERROR(__xludf.DUMMYFUNCTION("""COMPUTED_VALUE"""),"кінцеві вимикачі")</f>
        <v>кінцеві вимикачі</v>
      </c>
      <c r="E1387" s="16" t="str">
        <f>IFERROR(__xludf.DUMMYFUNCTION("""COMPUTED_VALUE"""),"кінцеві вимикачі")</f>
        <v>кінцеві вимикачі</v>
      </c>
      <c r="F1387" s="17">
        <f>IFERROR(__xludf.DUMMYFUNCTION("""COMPUTED_VALUE"""),3.0)</f>
        <v>3</v>
      </c>
      <c r="G1387" s="17" t="str">
        <f>IFERROR(__xludf.DUMMYFUNCTION("""COMPUTED_VALUE"""),"410603")</f>
        <v>410603</v>
      </c>
      <c r="H1387" s="17" t="str">
        <f>IFERROR(__xludf.DUMMYFUNCTION("""COMPUTED_VALUE"""),"кінцеві вимикачі")</f>
        <v>кінцеві вимикачі</v>
      </c>
      <c r="I1387" s="19">
        <f>IFERROR(__xludf.DUMMYFUNCTION("""COMPUTED_VALUE"""),0.0447)</f>
        <v>0.0447</v>
      </c>
      <c r="J1387" s="19">
        <f>IFERROR(__xludf.DUMMYFUNCTION("""COMPUTED_VALUE"""),0.0893)</f>
        <v>0.0893</v>
      </c>
      <c r="K1387" s="19">
        <f>IFERROR(__xludf.DUMMYFUNCTION("""COMPUTED_VALUE"""),0.1116)</f>
        <v>0.1116</v>
      </c>
      <c r="L1387" s="19">
        <f>IFERROR(__xludf.DUMMYFUNCTION("""COMPUTED_VALUE"""),0.134)</f>
        <v>0.134</v>
      </c>
      <c r="M1387" s="18">
        <f>IFERROR(__xludf.DUMMYFUNCTION("""COMPUTED_VALUE"""),3.24)</f>
        <v>3.24</v>
      </c>
    </row>
    <row r="1388">
      <c r="A1388" s="13" t="str">
        <f>IFERROR(__xludf.DUMMYFUNCTION("""COMPUTED_VALUE"""),"товари")</f>
        <v>товари</v>
      </c>
      <c r="B1388" s="16" t="str">
        <f>IFERROR(__xludf.DUMMYFUNCTION("""COMPUTED_VALUE"""),"електрообладнання")</f>
        <v>електрообладнання</v>
      </c>
      <c r="C1388" s="16" t="str">
        <f>IFERROR(__xludf.DUMMYFUNCTION("""COMPUTED_VALUE"""),"технічні вимикачі")</f>
        <v>технічні вимикачі</v>
      </c>
      <c r="D1388" s="16" t="str">
        <f>IFERROR(__xludf.DUMMYFUNCTION("""COMPUTED_VALUE"""),"кнопкові вимикачі")</f>
        <v>кнопкові вимикачі</v>
      </c>
      <c r="E1388" s="16" t="str">
        <f>IFERROR(__xludf.DUMMYFUNCTION("""COMPUTED_VALUE"""),"кнопкові вимикачі")</f>
        <v>кнопкові вимикачі</v>
      </c>
      <c r="F1388" s="17">
        <f>IFERROR(__xludf.DUMMYFUNCTION("""COMPUTED_VALUE"""),3.0)</f>
        <v>3</v>
      </c>
      <c r="G1388" s="17" t="str">
        <f>IFERROR(__xludf.DUMMYFUNCTION("""COMPUTED_VALUE"""),"410605")</f>
        <v>410605</v>
      </c>
      <c r="H1388" s="17" t="str">
        <f>IFERROR(__xludf.DUMMYFUNCTION("""COMPUTED_VALUE"""),"кнопкові вимикачі")</f>
        <v>кнопкові вимикачі</v>
      </c>
      <c r="I1388" s="19">
        <f>IFERROR(__xludf.DUMMYFUNCTION("""COMPUTED_VALUE"""),0.0678)</f>
        <v>0.0678</v>
      </c>
      <c r="J1388" s="19">
        <f>IFERROR(__xludf.DUMMYFUNCTION("""COMPUTED_VALUE"""),0.1355)</f>
        <v>0.1355</v>
      </c>
      <c r="K1388" s="19">
        <f>IFERROR(__xludf.DUMMYFUNCTION("""COMPUTED_VALUE"""),0.1694)</f>
        <v>0.1694</v>
      </c>
      <c r="L1388" s="19">
        <f>IFERROR(__xludf.DUMMYFUNCTION("""COMPUTED_VALUE"""),0.2033)</f>
        <v>0.2033</v>
      </c>
      <c r="M1388" s="18">
        <f>IFERROR(__xludf.DUMMYFUNCTION("""COMPUTED_VALUE"""),1.05)</f>
        <v>1.05</v>
      </c>
    </row>
    <row r="1389">
      <c r="A1389" s="13" t="str">
        <f>IFERROR(__xludf.DUMMYFUNCTION("""COMPUTED_VALUE"""),"товари")</f>
        <v>товари</v>
      </c>
      <c r="B1389" s="16" t="str">
        <f>IFERROR(__xludf.DUMMYFUNCTION("""COMPUTED_VALUE"""),"електрообладнання")</f>
        <v>електрообладнання</v>
      </c>
      <c r="C1389" s="16" t="str">
        <f>IFERROR(__xludf.DUMMYFUNCTION("""COMPUTED_VALUE"""),"обладнання для електропостачання")</f>
        <v>обладнання для електропостачання</v>
      </c>
      <c r="D1389" s="16" t="str">
        <f>IFERROR(__xludf.DUMMYFUNCTION("""COMPUTED_VALUE"""),"компенсатори реактивної потужності")</f>
        <v>компенсатори реактивної потужності</v>
      </c>
      <c r="E1389" s="16" t="str">
        <f>IFERROR(__xludf.DUMMYFUNCTION("""COMPUTED_VALUE"""),"компенсатори реактивної потужності")</f>
        <v>компенсатори реактивної потужності</v>
      </c>
      <c r="F1389" s="17">
        <f>IFERROR(__xludf.DUMMYFUNCTION("""COMPUTED_VALUE"""),3.0)</f>
        <v>3</v>
      </c>
      <c r="G1389" s="17" t="str">
        <f>IFERROR(__xludf.DUMMYFUNCTION("""COMPUTED_VALUE"""),"410514")</f>
        <v>410514</v>
      </c>
      <c r="H1389" s="17" t="str">
        <f>IFERROR(__xludf.DUMMYFUNCTION("""COMPUTED_VALUE"""),"компенсатори реактивної потужності")</f>
        <v>компенсатори реактивної потужності</v>
      </c>
      <c r="I1389" s="19">
        <f>IFERROR(__xludf.DUMMYFUNCTION("""COMPUTED_VALUE"""),0.0539)</f>
        <v>0.0539</v>
      </c>
      <c r="J1389" s="19">
        <f>IFERROR(__xludf.DUMMYFUNCTION("""COMPUTED_VALUE"""),0.1078)</f>
        <v>0.1078</v>
      </c>
      <c r="K1389" s="19">
        <f>IFERROR(__xludf.DUMMYFUNCTION("""COMPUTED_VALUE"""),0.1348)</f>
        <v>0.1348</v>
      </c>
      <c r="L1389" s="19">
        <f>IFERROR(__xludf.DUMMYFUNCTION("""COMPUTED_VALUE"""),0.1617)</f>
        <v>0.1617</v>
      </c>
      <c r="M1389" s="18">
        <f>IFERROR(__xludf.DUMMYFUNCTION("""COMPUTED_VALUE"""),3.43)</f>
        <v>3.43</v>
      </c>
    </row>
    <row r="1390">
      <c r="A1390" s="13" t="str">
        <f>IFERROR(__xludf.DUMMYFUNCTION("""COMPUTED_VALUE"""),"товари")</f>
        <v>товари</v>
      </c>
      <c r="B1390" s="16" t="str">
        <f>IFERROR(__xludf.DUMMYFUNCTION("""COMPUTED_VALUE"""),"електрообладнання")</f>
        <v>електрообладнання</v>
      </c>
      <c r="C1390" s="16" t="str">
        <f>IFERROR(__xludf.DUMMYFUNCTION("""COMPUTED_VALUE"""),"генератори та електростанції")</f>
        <v>генератори та електростанції</v>
      </c>
      <c r="D1390" s="16" t="str">
        <f>IFERROR(__xludf.DUMMYFUNCTION("""COMPUTED_VALUE"""),"комплектуючі генераторів")</f>
        <v>комплектуючі генераторів</v>
      </c>
      <c r="E1390" s="16" t="str">
        <f>IFERROR(__xludf.DUMMYFUNCTION("""COMPUTED_VALUE"""),"комплектуючі генераторів")</f>
        <v>комплектуючі генераторів</v>
      </c>
      <c r="F1390" s="17">
        <f>IFERROR(__xludf.DUMMYFUNCTION("""COMPUTED_VALUE"""),3.0)</f>
        <v>3</v>
      </c>
      <c r="G1390" s="17" t="str">
        <f>IFERROR(__xludf.DUMMYFUNCTION("""COMPUTED_VALUE"""),"410405")</f>
        <v>410405</v>
      </c>
      <c r="H1390" s="17" t="str">
        <f>IFERROR(__xludf.DUMMYFUNCTION("""COMPUTED_VALUE"""),"комплектуючі генераторів")</f>
        <v>комплектуючі генераторів</v>
      </c>
      <c r="I1390" s="19">
        <f>IFERROR(__xludf.DUMMYFUNCTION("""COMPUTED_VALUE"""),0.0447)</f>
        <v>0.0447</v>
      </c>
      <c r="J1390" s="19">
        <f>IFERROR(__xludf.DUMMYFUNCTION("""COMPUTED_VALUE"""),0.0893)</f>
        <v>0.0893</v>
      </c>
      <c r="K1390" s="19">
        <f>IFERROR(__xludf.DUMMYFUNCTION("""COMPUTED_VALUE"""),0.1116)</f>
        <v>0.1116</v>
      </c>
      <c r="L1390" s="19">
        <f>IFERROR(__xludf.DUMMYFUNCTION("""COMPUTED_VALUE"""),0.134)</f>
        <v>0.134</v>
      </c>
      <c r="M1390" s="18">
        <f>IFERROR(__xludf.DUMMYFUNCTION("""COMPUTED_VALUE"""),1.05)</f>
        <v>1.05</v>
      </c>
    </row>
    <row r="1391">
      <c r="A1391" s="13" t="str">
        <f>IFERROR(__xludf.DUMMYFUNCTION("""COMPUTED_VALUE"""),"товари")</f>
        <v>товари</v>
      </c>
      <c r="B1391" s="16" t="str">
        <f>IFERROR(__xludf.DUMMYFUNCTION("""COMPUTED_VALUE"""),"електрообладнання")</f>
        <v>електрообладнання</v>
      </c>
      <c r="C1391" s="16" t="str">
        <f>IFERROR(__xludf.DUMMYFUNCTION("""COMPUTED_VALUE"""),"обладнання для електропостачання")</f>
        <v>обладнання для електропостачання</v>
      </c>
      <c r="D1391" s="16" t="str">
        <f>IFERROR(__xludf.DUMMYFUNCTION("""COMPUTED_VALUE"""),"блоки живлення")</f>
        <v>блоки живлення</v>
      </c>
      <c r="E1391" s="16" t="str">
        <f>IFERROR(__xludf.DUMMYFUNCTION("""COMPUTED_VALUE"""),"комплектуючі для блоків живлення, дбж")</f>
        <v>комплектуючі для блоків живлення, дбж</v>
      </c>
      <c r="F1391" s="17">
        <f>IFERROR(__xludf.DUMMYFUNCTION("""COMPUTED_VALUE"""),4.0)</f>
        <v>4</v>
      </c>
      <c r="G1391" s="17" t="str">
        <f>IFERROR(__xludf.DUMMYFUNCTION("""COMPUTED_VALUE"""),"14191109")</f>
        <v>14191109</v>
      </c>
      <c r="H1391" s="17" t="str">
        <f>IFERROR(__xludf.DUMMYFUNCTION("""COMPUTED_VALUE"""),"комплектуючі для блоків живлення, дбж")</f>
        <v>комплектуючі для блоків живлення, дбж</v>
      </c>
      <c r="I1391" s="19">
        <f>IFERROR(__xludf.DUMMYFUNCTION("""COMPUTED_VALUE"""),0.0494)</f>
        <v>0.0494</v>
      </c>
      <c r="J1391" s="19">
        <f>IFERROR(__xludf.DUMMYFUNCTION("""COMPUTED_VALUE"""),0.0987)</f>
        <v>0.0987</v>
      </c>
      <c r="K1391" s="19">
        <f>IFERROR(__xludf.DUMMYFUNCTION("""COMPUTED_VALUE"""),0.1234)</f>
        <v>0.1234</v>
      </c>
      <c r="L1391" s="19">
        <f>IFERROR(__xludf.DUMMYFUNCTION("""COMPUTED_VALUE"""),0.1481)</f>
        <v>0.1481</v>
      </c>
      <c r="M1391" s="18">
        <f>IFERROR(__xludf.DUMMYFUNCTION("""COMPUTED_VALUE"""),2.61)</f>
        <v>2.61</v>
      </c>
    </row>
    <row r="1392">
      <c r="A1392" s="13" t="str">
        <f>IFERROR(__xludf.DUMMYFUNCTION("""COMPUTED_VALUE"""),"товари")</f>
        <v>товари</v>
      </c>
      <c r="B1392" s="16" t="str">
        <f>IFERROR(__xludf.DUMMYFUNCTION("""COMPUTED_VALUE"""),"електрообладнання")</f>
        <v>електрообладнання</v>
      </c>
      <c r="C1392" s="16" t="str">
        <f>IFERROR(__xludf.DUMMYFUNCTION("""COMPUTED_VALUE"""),"освітлення, електрика")</f>
        <v>освітлення, електрика</v>
      </c>
      <c r="D1392" s="16" t="str">
        <f>IFERROR(__xludf.DUMMYFUNCTION("""COMPUTED_VALUE"""),"комплектуючі для освітлення та електрики")</f>
        <v>комплектуючі для освітлення та електрики</v>
      </c>
      <c r="E1392" s="16" t="str">
        <f>IFERROR(__xludf.DUMMYFUNCTION("""COMPUTED_VALUE"""),"комплектуючі для освітлення та електрики, загальне")</f>
        <v>комплектуючі для освітлення та електрики, загальне</v>
      </c>
      <c r="F1392" s="17">
        <f>IFERROR(__xludf.DUMMYFUNCTION("""COMPUTED_VALUE"""),4.0)</f>
        <v>4</v>
      </c>
      <c r="G1392" s="17" t="str">
        <f>IFERROR(__xludf.DUMMYFUNCTION("""COMPUTED_VALUE"""),"53099")</f>
        <v>53099</v>
      </c>
      <c r="H1392" s="17" t="str">
        <f>IFERROR(__xludf.DUMMYFUNCTION("""COMPUTED_VALUE"""),"комплектуючі для освітлення та електрики, загальне")</f>
        <v>комплектуючі для освітлення та електрики, загальне</v>
      </c>
      <c r="I1392" s="19">
        <f>IFERROR(__xludf.DUMMYFUNCTION("""COMPUTED_VALUE"""),0.125)</f>
        <v>0.125</v>
      </c>
      <c r="J1392" s="19">
        <f>IFERROR(__xludf.DUMMYFUNCTION("""COMPUTED_VALUE"""),0.25)</f>
        <v>0.25</v>
      </c>
      <c r="K1392" s="19">
        <f>IFERROR(__xludf.DUMMYFUNCTION("""COMPUTED_VALUE"""),0.3125)</f>
        <v>0.3125</v>
      </c>
      <c r="L1392" s="19">
        <f>IFERROR(__xludf.DUMMYFUNCTION("""COMPUTED_VALUE"""),0.375)</f>
        <v>0.375</v>
      </c>
      <c r="M1392" s="18">
        <f>IFERROR(__xludf.DUMMYFUNCTION("""COMPUTED_VALUE"""),4.33)</f>
        <v>4.33</v>
      </c>
    </row>
    <row r="1393">
      <c r="A1393" s="13" t="str">
        <f>IFERROR(__xludf.DUMMYFUNCTION("""COMPUTED_VALUE"""),"товари")</f>
        <v>товари</v>
      </c>
      <c r="B1393" s="16" t="str">
        <f>IFERROR(__xludf.DUMMYFUNCTION("""COMPUTED_VALUE"""),"електрообладнання")</f>
        <v>електрообладнання</v>
      </c>
      <c r="C1393" s="16" t="str">
        <f>IFERROR(__xludf.DUMMYFUNCTION("""COMPUTED_VALUE"""),"комплектуючі електрообладнання")</f>
        <v>комплектуючі електрообладнання</v>
      </c>
      <c r="D1393" s="16" t="str">
        <f>IFERROR(__xludf.DUMMYFUNCTION("""COMPUTED_VALUE"""),"комплектуючі електрообладнання")</f>
        <v>комплектуючі електрообладнання</v>
      </c>
      <c r="E1393" s="16" t="str">
        <f>IFERROR(__xludf.DUMMYFUNCTION("""COMPUTED_VALUE"""),"комплектуючі електрообладнання")</f>
        <v>комплектуючі електрообладнання</v>
      </c>
      <c r="F1393" s="17">
        <f>IFERROR(__xludf.DUMMYFUNCTION("""COMPUTED_VALUE"""),2.0)</f>
        <v>2</v>
      </c>
      <c r="G1393" s="17" t="str">
        <f>IFERROR(__xludf.DUMMYFUNCTION("""COMPUTED_VALUE"""),"141913")</f>
        <v>141913</v>
      </c>
      <c r="H1393" s="17" t="str">
        <f>IFERROR(__xludf.DUMMYFUNCTION("""COMPUTED_VALUE"""),"комплектуючі електрообладнання")</f>
        <v>комплектуючі електрообладнання</v>
      </c>
      <c r="I1393" s="19">
        <f>IFERROR(__xludf.DUMMYFUNCTION("""COMPUTED_VALUE"""),0.0581)</f>
        <v>0.0581</v>
      </c>
      <c r="J1393" s="19">
        <f>IFERROR(__xludf.DUMMYFUNCTION("""COMPUTED_VALUE"""),0.1162)</f>
        <v>0.1162</v>
      </c>
      <c r="K1393" s="19">
        <f>IFERROR(__xludf.DUMMYFUNCTION("""COMPUTED_VALUE"""),0.1453)</f>
        <v>0.1453</v>
      </c>
      <c r="L1393" s="19">
        <f>IFERROR(__xludf.DUMMYFUNCTION("""COMPUTED_VALUE"""),0.1743)</f>
        <v>0.1743</v>
      </c>
      <c r="M1393" s="18">
        <f>IFERROR(__xludf.DUMMYFUNCTION("""COMPUTED_VALUE"""),4.95)</f>
        <v>4.95</v>
      </c>
    </row>
    <row r="1394">
      <c r="A1394" s="13" t="str">
        <f>IFERROR(__xludf.DUMMYFUNCTION("""COMPUTED_VALUE"""),"товари")</f>
        <v>товари</v>
      </c>
      <c r="B1394" s="16" t="str">
        <f>IFERROR(__xludf.DUMMYFUNCTION("""COMPUTED_VALUE"""),"електрообладнання")</f>
        <v>електрообладнання</v>
      </c>
      <c r="C1394" s="16" t="str">
        <f>IFERROR(__xludf.DUMMYFUNCTION("""COMPUTED_VALUE"""),"компоненти асутп")</f>
        <v>компоненти асутп</v>
      </c>
      <c r="D1394" s="16" t="str">
        <f>IFERROR(__xludf.DUMMYFUNCTION("""COMPUTED_VALUE"""),"перетворювачі")</f>
        <v>перетворювачі</v>
      </c>
      <c r="E1394" s="16" t="str">
        <f>IFERROR(__xludf.DUMMYFUNCTION("""COMPUTED_VALUE"""),"конвертери")</f>
        <v>конвертери</v>
      </c>
      <c r="F1394" s="17">
        <f>IFERROR(__xludf.DUMMYFUNCTION("""COMPUTED_VALUE"""),4.0)</f>
        <v>4</v>
      </c>
      <c r="G1394" s="17" t="str">
        <f>IFERROR(__xludf.DUMMYFUNCTION("""COMPUTED_VALUE"""),"5140402")</f>
        <v>5140402</v>
      </c>
      <c r="H1394" s="17" t="str">
        <f>IFERROR(__xludf.DUMMYFUNCTION("""COMPUTED_VALUE"""),"конвертери")</f>
        <v>конвертери</v>
      </c>
      <c r="I1394" s="19">
        <f>IFERROR(__xludf.DUMMYFUNCTION("""COMPUTED_VALUE"""),0.042)</f>
        <v>0.042</v>
      </c>
      <c r="J1394" s="19">
        <f>IFERROR(__xludf.DUMMYFUNCTION("""COMPUTED_VALUE"""),0.084)</f>
        <v>0.084</v>
      </c>
      <c r="K1394" s="19">
        <f>IFERROR(__xludf.DUMMYFUNCTION("""COMPUTED_VALUE"""),0.105)</f>
        <v>0.105</v>
      </c>
      <c r="L1394" s="19">
        <f>IFERROR(__xludf.DUMMYFUNCTION("""COMPUTED_VALUE"""),0.126)</f>
        <v>0.126</v>
      </c>
      <c r="M1394" s="18">
        <f>IFERROR(__xludf.DUMMYFUNCTION("""COMPUTED_VALUE"""),3.88)</f>
        <v>3.88</v>
      </c>
    </row>
    <row r="1395">
      <c r="A1395" s="13" t="str">
        <f>IFERROR(__xludf.DUMMYFUNCTION("""COMPUTED_VALUE"""),"товари")</f>
        <v>товари</v>
      </c>
      <c r="B1395" s="16" t="str">
        <f>IFERROR(__xludf.DUMMYFUNCTION("""COMPUTED_VALUE"""),"електрообладнання")</f>
        <v>електрообладнання</v>
      </c>
      <c r="C1395" s="16" t="str">
        <f>IFERROR(__xludf.DUMMYFUNCTION("""COMPUTED_VALUE"""),"електронні компоненти")</f>
        <v>електронні компоненти</v>
      </c>
      <c r="D1395" s="16" t="str">
        <f>IFERROR(__xludf.DUMMYFUNCTION("""COMPUTED_VALUE"""),"пасивні компоненти")</f>
        <v>пасивні компоненти</v>
      </c>
      <c r="E1395" s="16" t="str">
        <f>IFERROR(__xludf.DUMMYFUNCTION("""COMPUTED_VALUE"""),"конденсатори")</f>
        <v>конденсатори</v>
      </c>
      <c r="F1395" s="17">
        <f>IFERROR(__xludf.DUMMYFUNCTION("""COMPUTED_VALUE"""),4.0)</f>
        <v>4</v>
      </c>
      <c r="G1395" s="17" t="str">
        <f>IFERROR(__xludf.DUMMYFUNCTION("""COMPUTED_VALUE"""),"141908")</f>
        <v>141908</v>
      </c>
      <c r="H1395" s="17" t="str">
        <f>IFERROR(__xludf.DUMMYFUNCTION("""COMPUTED_VALUE"""),"конденсатори")</f>
        <v>конденсатори</v>
      </c>
      <c r="I1395" s="19">
        <f>IFERROR(__xludf.DUMMYFUNCTION("""COMPUTED_VALUE"""),0.0688)</f>
        <v>0.0688</v>
      </c>
      <c r="J1395" s="19">
        <f>IFERROR(__xludf.DUMMYFUNCTION("""COMPUTED_VALUE"""),0.1375)</f>
        <v>0.1375</v>
      </c>
      <c r="K1395" s="19">
        <f>IFERROR(__xludf.DUMMYFUNCTION("""COMPUTED_VALUE"""),0.1719)</f>
        <v>0.1719</v>
      </c>
      <c r="L1395" s="19">
        <f>IFERROR(__xludf.DUMMYFUNCTION("""COMPUTED_VALUE"""),0.2063)</f>
        <v>0.2063</v>
      </c>
      <c r="M1395" s="18">
        <f>IFERROR(__xludf.DUMMYFUNCTION("""COMPUTED_VALUE"""),1.05)</f>
        <v>1.05</v>
      </c>
    </row>
    <row r="1396">
      <c r="A1396" s="13" t="str">
        <f>IFERROR(__xludf.DUMMYFUNCTION("""COMPUTED_VALUE"""),"товари")</f>
        <v>товари</v>
      </c>
      <c r="B1396" s="16" t="str">
        <f>IFERROR(__xludf.DUMMYFUNCTION("""COMPUTED_VALUE"""),"електрообладнання")</f>
        <v>електрообладнання</v>
      </c>
      <c r="C1396" s="16" t="str">
        <f>IFERROR(__xludf.DUMMYFUNCTION("""COMPUTED_VALUE"""),"електронні компоненти")</f>
        <v>електронні компоненти</v>
      </c>
      <c r="D1396" s="16" t="str">
        <f>IFERROR(__xludf.DUMMYFUNCTION("""COMPUTED_VALUE"""),"пасивні компоненти")</f>
        <v>пасивні компоненти</v>
      </c>
      <c r="E1396" s="16" t="str">
        <f>IFERROR(__xludf.DUMMYFUNCTION("""COMPUTED_VALUE"""),"контакти, роз'єми для плат")</f>
        <v>контакти, роз'єми для плат</v>
      </c>
      <c r="F1396" s="17">
        <f>IFERROR(__xludf.DUMMYFUNCTION("""COMPUTED_VALUE"""),4.0)</f>
        <v>4</v>
      </c>
      <c r="G1396" s="17" t="str">
        <f>IFERROR(__xludf.DUMMYFUNCTION("""COMPUTED_VALUE"""),"141915")</f>
        <v>141915</v>
      </c>
      <c r="H1396" s="17" t="str">
        <f>IFERROR(__xludf.DUMMYFUNCTION("""COMPUTED_VALUE"""),"контакти, роз'єми для плат")</f>
        <v>контакти, роз'єми для плат</v>
      </c>
      <c r="I1396" s="19">
        <f>IFERROR(__xludf.DUMMYFUNCTION("""COMPUTED_VALUE"""),0.0565)</f>
        <v>0.0565</v>
      </c>
      <c r="J1396" s="19">
        <f>IFERROR(__xludf.DUMMYFUNCTION("""COMPUTED_VALUE"""),0.113)</f>
        <v>0.113</v>
      </c>
      <c r="K1396" s="19">
        <f>IFERROR(__xludf.DUMMYFUNCTION("""COMPUTED_VALUE"""),0.1413)</f>
        <v>0.1413</v>
      </c>
      <c r="L1396" s="19">
        <f>IFERROR(__xludf.DUMMYFUNCTION("""COMPUTED_VALUE"""),0.1695)</f>
        <v>0.1695</v>
      </c>
      <c r="M1396" s="18">
        <f>IFERROR(__xludf.DUMMYFUNCTION("""COMPUTED_VALUE"""),1.05)</f>
        <v>1.05</v>
      </c>
    </row>
    <row r="1397">
      <c r="A1397" s="13" t="str">
        <f>IFERROR(__xludf.DUMMYFUNCTION("""COMPUTED_VALUE"""),"товари")</f>
        <v>товари</v>
      </c>
      <c r="B1397" s="16" t="str">
        <f>IFERROR(__xludf.DUMMYFUNCTION("""COMPUTED_VALUE"""),"електрообладнання")</f>
        <v>електрообладнання</v>
      </c>
      <c r="C1397" s="16" t="str">
        <f>IFERROR(__xludf.DUMMYFUNCTION("""COMPUTED_VALUE"""),"компоненти асутп")</f>
        <v>компоненти асутп</v>
      </c>
      <c r="D1397" s="16" t="str">
        <f>IFERROR(__xludf.DUMMYFUNCTION("""COMPUTED_VALUE"""),"контактори та пускачі")</f>
        <v>контактори та пускачі</v>
      </c>
      <c r="E1397" s="16" t="str">
        <f>IFERROR(__xludf.DUMMYFUNCTION("""COMPUTED_VALUE"""),"контактори та пускачі")</f>
        <v>контактори та пускачі</v>
      </c>
      <c r="F1397" s="17">
        <f>IFERROR(__xludf.DUMMYFUNCTION("""COMPUTED_VALUE"""),3.0)</f>
        <v>3</v>
      </c>
      <c r="G1397" s="17" t="str">
        <f>IFERROR(__xludf.DUMMYFUNCTION("""COMPUTED_VALUE"""),"526")</f>
        <v>526</v>
      </c>
      <c r="H1397" s="17" t="str">
        <f>IFERROR(__xludf.DUMMYFUNCTION("""COMPUTED_VALUE"""),"контактори та пускачі")</f>
        <v>контактори та пускачі</v>
      </c>
      <c r="I1397" s="19">
        <f>IFERROR(__xludf.DUMMYFUNCTION("""COMPUTED_VALUE"""),0.0678)</f>
        <v>0.0678</v>
      </c>
      <c r="J1397" s="19">
        <f>IFERROR(__xludf.DUMMYFUNCTION("""COMPUTED_VALUE"""),0.1355)</f>
        <v>0.1355</v>
      </c>
      <c r="K1397" s="19">
        <f>IFERROR(__xludf.DUMMYFUNCTION("""COMPUTED_VALUE"""),0.1694)</f>
        <v>0.1694</v>
      </c>
      <c r="L1397" s="19">
        <f>IFERROR(__xludf.DUMMYFUNCTION("""COMPUTED_VALUE"""),0.2033)</f>
        <v>0.2033</v>
      </c>
      <c r="M1397" s="18">
        <f>IFERROR(__xludf.DUMMYFUNCTION("""COMPUTED_VALUE"""),3.33)</f>
        <v>3.33</v>
      </c>
    </row>
    <row r="1398">
      <c r="A1398" s="13" t="str">
        <f>IFERROR(__xludf.DUMMYFUNCTION("""COMPUTED_VALUE"""),"товари")</f>
        <v>товари</v>
      </c>
      <c r="B1398" s="16" t="str">
        <f>IFERROR(__xludf.DUMMYFUNCTION("""COMPUTED_VALUE"""),"електрообладнання")</f>
        <v>електрообладнання</v>
      </c>
      <c r="C1398" s="16" t="str">
        <f>IFERROR(__xludf.DUMMYFUNCTION("""COMPUTED_VALUE"""),"освітлення, електрика")</f>
        <v>освітлення, електрика</v>
      </c>
      <c r="D1398" s="16" t="str">
        <f>IFERROR(__xludf.DUMMYFUNCTION("""COMPUTED_VALUE"""),"комплектуючі для освітлення та електрики")</f>
        <v>комплектуючі для освітлення та електрики</v>
      </c>
      <c r="E1398" s="16" t="str">
        <f>IFERROR(__xludf.DUMMYFUNCTION("""COMPUTED_VALUE"""),"контролери для LED-стрічок")</f>
        <v>контролери для LED-стрічок</v>
      </c>
      <c r="F1398" s="17">
        <f>IFERROR(__xludf.DUMMYFUNCTION("""COMPUTED_VALUE"""),4.0)</f>
        <v>4</v>
      </c>
      <c r="G1398" s="17" t="str">
        <f>IFERROR(__xludf.DUMMYFUNCTION("""COMPUTED_VALUE"""),"53007")</f>
        <v>53007</v>
      </c>
      <c r="H1398" s="17" t="str">
        <f>IFERROR(__xludf.DUMMYFUNCTION("""COMPUTED_VALUE"""),"контролери для LED-стрічок")</f>
        <v>контролери для LED-стрічок</v>
      </c>
      <c r="I1398" s="19">
        <f>IFERROR(__xludf.DUMMYFUNCTION("""COMPUTED_VALUE"""),0.0741)</f>
        <v>0.0741</v>
      </c>
      <c r="J1398" s="19">
        <f>IFERROR(__xludf.DUMMYFUNCTION("""COMPUTED_VALUE"""),0.1481)</f>
        <v>0.1481</v>
      </c>
      <c r="K1398" s="19">
        <f>IFERROR(__xludf.DUMMYFUNCTION("""COMPUTED_VALUE"""),0.1851)</f>
        <v>0.1851</v>
      </c>
      <c r="L1398" s="19">
        <f>IFERROR(__xludf.DUMMYFUNCTION("""COMPUTED_VALUE"""),0.2222)</f>
        <v>0.2222</v>
      </c>
      <c r="M1398" s="18">
        <f>IFERROR(__xludf.DUMMYFUNCTION("""COMPUTED_VALUE"""),1.05)</f>
        <v>1.05</v>
      </c>
    </row>
    <row r="1399">
      <c r="A1399" s="13" t="str">
        <f>IFERROR(__xludf.DUMMYFUNCTION("""COMPUTED_VALUE"""),"товари")</f>
        <v>товари</v>
      </c>
      <c r="B1399" s="16" t="str">
        <f>IFERROR(__xludf.DUMMYFUNCTION("""COMPUTED_VALUE"""),"електрообладнання")</f>
        <v>електрообладнання</v>
      </c>
      <c r="C1399" s="16" t="str">
        <f>IFERROR(__xludf.DUMMYFUNCTION("""COMPUTED_VALUE"""),"монтажне обладнання")</f>
        <v>монтажне обладнання</v>
      </c>
      <c r="D1399" s="16" t="str">
        <f>IFERROR(__xludf.DUMMYFUNCTION("""COMPUTED_VALUE"""),"корпуси приладів")</f>
        <v>корпуси приладів</v>
      </c>
      <c r="E1399" s="16" t="str">
        <f>IFERROR(__xludf.DUMMYFUNCTION("""COMPUTED_VALUE"""),"корпуси приладів")</f>
        <v>корпуси приладів</v>
      </c>
      <c r="F1399" s="17">
        <f>IFERROR(__xludf.DUMMYFUNCTION("""COMPUTED_VALUE"""),3.0)</f>
        <v>3</v>
      </c>
      <c r="G1399" s="17" t="str">
        <f>IFERROR(__xludf.DUMMYFUNCTION("""COMPUTED_VALUE"""),"5092916")</f>
        <v>5092916</v>
      </c>
      <c r="H1399" s="17" t="str">
        <f>IFERROR(__xludf.DUMMYFUNCTION("""COMPUTED_VALUE"""),"корпуси приладів")</f>
        <v>корпуси приладів</v>
      </c>
      <c r="I1399" s="19">
        <f>IFERROR(__xludf.DUMMYFUNCTION("""COMPUTED_VALUE"""),0.0755)</f>
        <v>0.0755</v>
      </c>
      <c r="J1399" s="19">
        <f>IFERROR(__xludf.DUMMYFUNCTION("""COMPUTED_VALUE"""),0.1509)</f>
        <v>0.1509</v>
      </c>
      <c r="K1399" s="19">
        <f>IFERROR(__xludf.DUMMYFUNCTION("""COMPUTED_VALUE"""),0.1886)</f>
        <v>0.1886</v>
      </c>
      <c r="L1399" s="19">
        <f>IFERROR(__xludf.DUMMYFUNCTION("""COMPUTED_VALUE"""),0.2264)</f>
        <v>0.2264</v>
      </c>
      <c r="M1399" s="18">
        <f>IFERROR(__xludf.DUMMYFUNCTION("""COMPUTED_VALUE"""),1.05)</f>
        <v>1.05</v>
      </c>
    </row>
    <row r="1400">
      <c r="A1400" s="13" t="str">
        <f>IFERROR(__xludf.DUMMYFUNCTION("""COMPUTED_VALUE"""),"товари")</f>
        <v>товари</v>
      </c>
      <c r="B1400" s="16" t="str">
        <f>IFERROR(__xludf.DUMMYFUNCTION("""COMPUTED_VALUE"""),"електрообладнання")</f>
        <v>електрообладнання</v>
      </c>
      <c r="C1400" s="16" t="str">
        <f>IFERROR(__xludf.DUMMYFUNCTION("""COMPUTED_VALUE"""),"компоненти асутп")</f>
        <v>компоненти асутп</v>
      </c>
      <c r="D1400" s="16" t="str">
        <f>IFERROR(__xludf.DUMMYFUNCTION("""COMPUTED_VALUE"""),"реле")</f>
        <v>реле</v>
      </c>
      <c r="E1400" s="16" t="str">
        <f>IFERROR(__xludf.DUMMYFUNCTION("""COMPUTED_VALUE"""),"мікропроцесорні реле")</f>
        <v>мікропроцесорні реле</v>
      </c>
      <c r="F1400" s="17">
        <f>IFERROR(__xludf.DUMMYFUNCTION("""COMPUTED_VALUE"""),4.0)</f>
        <v>4</v>
      </c>
      <c r="G1400" s="17" t="str">
        <f>IFERROR(__xludf.DUMMYFUNCTION("""COMPUTED_VALUE"""),"14190902")</f>
        <v>14190902</v>
      </c>
      <c r="H1400" s="17" t="str">
        <f>IFERROR(__xludf.DUMMYFUNCTION("""COMPUTED_VALUE"""),"мікропроцесорні реле")</f>
        <v>мікропроцесорні реле</v>
      </c>
      <c r="I1400" s="19">
        <f>IFERROR(__xludf.DUMMYFUNCTION("""COMPUTED_VALUE"""),0.0745)</f>
        <v>0.0745</v>
      </c>
      <c r="J1400" s="19">
        <f>IFERROR(__xludf.DUMMYFUNCTION("""COMPUTED_VALUE"""),0.1489)</f>
        <v>0.1489</v>
      </c>
      <c r="K1400" s="19">
        <f>IFERROR(__xludf.DUMMYFUNCTION("""COMPUTED_VALUE"""),0.1861)</f>
        <v>0.1861</v>
      </c>
      <c r="L1400" s="19">
        <f>IFERROR(__xludf.DUMMYFUNCTION("""COMPUTED_VALUE"""),0.2234)</f>
        <v>0.2234</v>
      </c>
      <c r="M1400" s="18">
        <f>IFERROR(__xludf.DUMMYFUNCTION("""COMPUTED_VALUE"""),1.71)</f>
        <v>1.71</v>
      </c>
    </row>
    <row r="1401">
      <c r="A1401" s="13" t="str">
        <f>IFERROR(__xludf.DUMMYFUNCTION("""COMPUTED_VALUE"""),"товари")</f>
        <v>товари</v>
      </c>
      <c r="B1401" s="16" t="str">
        <f>IFERROR(__xludf.DUMMYFUNCTION("""COMPUTED_VALUE"""),"електрообладнання")</f>
        <v>електрообладнання</v>
      </c>
      <c r="C1401" s="16" t="str">
        <f>IFERROR(__xludf.DUMMYFUNCTION("""COMPUTED_VALUE"""),"монтажне обладнання")</f>
        <v>монтажне обладнання</v>
      </c>
      <c r="D1401" s="16" t="str">
        <f>IFERROR(__xludf.DUMMYFUNCTION("""COMPUTED_VALUE"""),"монтажне обладнання, загальне")</f>
        <v>монтажне обладнання, загальне</v>
      </c>
      <c r="E1401" s="16" t="str">
        <f>IFERROR(__xludf.DUMMYFUNCTION("""COMPUTED_VALUE"""),"монтажне обладнання, загальне")</f>
        <v>монтажне обладнання, загальне</v>
      </c>
      <c r="F1401" s="17">
        <f>IFERROR(__xludf.DUMMYFUNCTION("""COMPUTED_VALUE"""),3.0)</f>
        <v>3</v>
      </c>
      <c r="G1401" s="17" t="str">
        <f>IFERROR(__xludf.DUMMYFUNCTION("""COMPUTED_VALUE"""),"5092906")</f>
        <v>5092906</v>
      </c>
      <c r="H1401" s="17" t="str">
        <f>IFERROR(__xludf.DUMMYFUNCTION("""COMPUTED_VALUE"""),"монтажне обладнання, загальне")</f>
        <v>монтажне обладнання, загальне</v>
      </c>
      <c r="I1401" s="19">
        <f>IFERROR(__xludf.DUMMYFUNCTION("""COMPUTED_VALUE"""),0.125)</f>
        <v>0.125</v>
      </c>
      <c r="J1401" s="19">
        <f>IFERROR(__xludf.DUMMYFUNCTION("""COMPUTED_VALUE"""),0.25)</f>
        <v>0.25</v>
      </c>
      <c r="K1401" s="19">
        <f>IFERROR(__xludf.DUMMYFUNCTION("""COMPUTED_VALUE"""),0.3125)</f>
        <v>0.3125</v>
      </c>
      <c r="L1401" s="19">
        <f>IFERROR(__xludf.DUMMYFUNCTION("""COMPUTED_VALUE"""),0.375)</f>
        <v>0.375</v>
      </c>
      <c r="M1401" s="18">
        <f>IFERROR(__xludf.DUMMYFUNCTION("""COMPUTED_VALUE"""),4.33)</f>
        <v>4.33</v>
      </c>
    </row>
    <row r="1402">
      <c r="A1402" s="13" t="str">
        <f>IFERROR(__xludf.DUMMYFUNCTION("""COMPUTED_VALUE"""),"товари")</f>
        <v>товари</v>
      </c>
      <c r="B1402" s="16" t="str">
        <f>IFERROR(__xludf.DUMMYFUNCTION("""COMPUTED_VALUE"""),"електрообладнання")</f>
        <v>електрообладнання</v>
      </c>
      <c r="C1402" s="16" t="str">
        <f>IFERROR(__xludf.DUMMYFUNCTION("""COMPUTED_VALUE"""),"монтажне обладнання")</f>
        <v>монтажне обладнання</v>
      </c>
      <c r="D1402" s="16" t="str">
        <f>IFERROR(__xludf.DUMMYFUNCTION("""COMPUTED_VALUE"""),"монтажні шафи")</f>
        <v>монтажні шафи</v>
      </c>
      <c r="E1402" s="16" t="str">
        <f>IFERROR(__xludf.DUMMYFUNCTION("""COMPUTED_VALUE"""),"монтажні шафи")</f>
        <v>монтажні шафи</v>
      </c>
      <c r="F1402" s="17">
        <f>IFERROR(__xludf.DUMMYFUNCTION("""COMPUTED_VALUE"""),3.0)</f>
        <v>3</v>
      </c>
      <c r="G1402" s="17" t="str">
        <f>IFERROR(__xludf.DUMMYFUNCTION("""COMPUTED_VALUE"""),"70306")</f>
        <v>70306</v>
      </c>
      <c r="H1402" s="17" t="str">
        <f>IFERROR(__xludf.DUMMYFUNCTION("""COMPUTED_VALUE"""),"монтажні шафи")</f>
        <v>монтажні шафи</v>
      </c>
      <c r="I1402" s="19">
        <f>IFERROR(__xludf.DUMMYFUNCTION("""COMPUTED_VALUE"""),0.0678)</f>
        <v>0.0678</v>
      </c>
      <c r="J1402" s="19">
        <f>IFERROR(__xludf.DUMMYFUNCTION("""COMPUTED_VALUE"""),0.1355)</f>
        <v>0.1355</v>
      </c>
      <c r="K1402" s="19">
        <f>IFERROR(__xludf.DUMMYFUNCTION("""COMPUTED_VALUE"""),0.1694)</f>
        <v>0.1694</v>
      </c>
      <c r="L1402" s="19">
        <f>IFERROR(__xludf.DUMMYFUNCTION("""COMPUTED_VALUE"""),0.2033)</f>
        <v>0.2033</v>
      </c>
      <c r="M1402" s="18">
        <f>IFERROR(__xludf.DUMMYFUNCTION("""COMPUTED_VALUE"""),3.6)</f>
        <v>3.6</v>
      </c>
    </row>
    <row r="1403">
      <c r="A1403" s="13" t="str">
        <f>IFERROR(__xludf.DUMMYFUNCTION("""COMPUTED_VALUE"""),"товари")</f>
        <v>товари</v>
      </c>
      <c r="B1403" s="16" t="str">
        <f>IFERROR(__xludf.DUMMYFUNCTION("""COMPUTED_VALUE"""),"електрообладнання")</f>
        <v>електрообладнання</v>
      </c>
      <c r="C1403" s="16" t="str">
        <f>IFERROR(__xludf.DUMMYFUNCTION("""COMPUTED_VALUE"""),"компоненти асутп")</f>
        <v>компоненти асутп</v>
      </c>
      <c r="D1403" s="16" t="str">
        <f>IFERROR(__xludf.DUMMYFUNCTION("""COMPUTED_VALUE"""),"реле")</f>
        <v>реле</v>
      </c>
      <c r="E1403" s="16" t="str">
        <f>IFERROR(__xludf.DUMMYFUNCTION("""COMPUTED_VALUE"""),"електромагнітне реле")</f>
        <v>електромагнітне реле</v>
      </c>
      <c r="F1403" s="17">
        <f>IFERROR(__xludf.DUMMYFUNCTION("""COMPUTED_VALUE"""),4.0)</f>
        <v>4</v>
      </c>
      <c r="G1403" s="17" t="str">
        <f>IFERROR(__xludf.DUMMYFUNCTION("""COMPUTED_VALUE"""),"14190914")</f>
        <v>14190914</v>
      </c>
      <c r="H1403" s="17" t="str">
        <f>IFERROR(__xludf.DUMMYFUNCTION("""COMPUTED_VALUE"""),"електромагнітне реле")</f>
        <v>електромагнітне реле</v>
      </c>
      <c r="I1403" s="19">
        <f>IFERROR(__xludf.DUMMYFUNCTION("""COMPUTED_VALUE"""),0.0745)</f>
        <v>0.0745</v>
      </c>
      <c r="J1403" s="19">
        <f>IFERROR(__xludf.DUMMYFUNCTION("""COMPUTED_VALUE"""),0.1489)</f>
        <v>0.1489</v>
      </c>
      <c r="K1403" s="19">
        <f>IFERROR(__xludf.DUMMYFUNCTION("""COMPUTED_VALUE"""),0.1861)</f>
        <v>0.1861</v>
      </c>
      <c r="L1403" s="19">
        <f>IFERROR(__xludf.DUMMYFUNCTION("""COMPUTED_VALUE"""),0.2234)</f>
        <v>0.2234</v>
      </c>
      <c r="M1403" s="18">
        <f>IFERROR(__xludf.DUMMYFUNCTION("""COMPUTED_VALUE"""),1.71)</f>
        <v>1.71</v>
      </c>
    </row>
    <row r="1404">
      <c r="A1404" s="13" t="str">
        <f>IFERROR(__xludf.DUMMYFUNCTION("""COMPUTED_VALUE"""),"товари")</f>
        <v>товари</v>
      </c>
      <c r="B1404" s="16" t="str">
        <f>IFERROR(__xludf.DUMMYFUNCTION("""COMPUTED_VALUE"""),"електрообладнання")</f>
        <v>електрообладнання</v>
      </c>
      <c r="C1404" s="16" t="str">
        <f>IFERROR(__xludf.DUMMYFUNCTION("""COMPUTED_VALUE"""),"обладнання для електропостачання")</f>
        <v>обладнання для електропостачання</v>
      </c>
      <c r="D1404" s="16" t="str">
        <f>IFERROR(__xludf.DUMMYFUNCTION("""COMPUTED_VALUE"""),"запобіжники та їх компоненти")</f>
        <v>запобіжники та їх компоненти</v>
      </c>
      <c r="E1404" s="16" t="str">
        <f>IFERROR(__xludf.DUMMYFUNCTION("""COMPUTED_VALUE"""),"низьковольтні запобіжники")</f>
        <v>низьковольтні запобіжники</v>
      </c>
      <c r="F1404" s="17">
        <f>IFERROR(__xludf.DUMMYFUNCTION("""COMPUTED_VALUE"""),4.0)</f>
        <v>4</v>
      </c>
      <c r="G1404" s="17" t="str">
        <f>IFERROR(__xludf.DUMMYFUNCTION("""COMPUTED_VALUE"""),"54002")</f>
        <v>54002</v>
      </c>
      <c r="H1404" s="17" t="str">
        <f>IFERROR(__xludf.DUMMYFUNCTION("""COMPUTED_VALUE"""),"низьковольтні запобіжники")</f>
        <v>низьковольтні запобіжники</v>
      </c>
      <c r="I1404" s="19">
        <f>IFERROR(__xludf.DUMMYFUNCTION("""COMPUTED_VALUE"""),0.0678)</f>
        <v>0.0678</v>
      </c>
      <c r="J1404" s="19">
        <f>IFERROR(__xludf.DUMMYFUNCTION("""COMPUTED_VALUE"""),0.1355)</f>
        <v>0.1355</v>
      </c>
      <c r="K1404" s="19">
        <f>IFERROR(__xludf.DUMMYFUNCTION("""COMPUTED_VALUE"""),0.1694)</f>
        <v>0.1694</v>
      </c>
      <c r="L1404" s="19">
        <f>IFERROR(__xludf.DUMMYFUNCTION("""COMPUTED_VALUE"""),0.2033)</f>
        <v>0.2033</v>
      </c>
      <c r="M1404" s="18">
        <f>IFERROR(__xludf.DUMMYFUNCTION("""COMPUTED_VALUE"""),1.71)</f>
        <v>1.71</v>
      </c>
    </row>
    <row r="1405">
      <c r="A1405" s="13" t="str">
        <f>IFERROR(__xludf.DUMMYFUNCTION("""COMPUTED_VALUE"""),"товари")</f>
        <v>товари</v>
      </c>
      <c r="B1405" s="16" t="str">
        <f>IFERROR(__xludf.DUMMYFUNCTION("""COMPUTED_VALUE"""),"електрообладнання")</f>
        <v>електрообладнання</v>
      </c>
      <c r="C1405" s="16" t="str">
        <f>IFERROR(__xludf.DUMMYFUNCTION("""COMPUTED_VALUE"""),"обладнання для електропостачання")</f>
        <v>обладнання для електропостачання</v>
      </c>
      <c r="D1405" s="16" t="str">
        <f>IFERROR(__xludf.DUMMYFUNCTION("""COMPUTED_VALUE"""),"обладнання для електропостачання, загальне")</f>
        <v>обладнання для електропостачання, загальне</v>
      </c>
      <c r="E1405" s="16" t="str">
        <f>IFERROR(__xludf.DUMMYFUNCTION("""COMPUTED_VALUE"""),"обладнання для електропостачання, загальне")</f>
        <v>обладнання для електропостачання, загальне</v>
      </c>
      <c r="F1405" s="17">
        <f>IFERROR(__xludf.DUMMYFUNCTION("""COMPUTED_VALUE"""),3.0)</f>
        <v>3</v>
      </c>
      <c r="G1405" s="17" t="str">
        <f>IFERROR(__xludf.DUMMYFUNCTION("""COMPUTED_VALUE"""),"410502")</f>
        <v>410502</v>
      </c>
      <c r="H1405" s="17" t="str">
        <f>IFERROR(__xludf.DUMMYFUNCTION("""COMPUTED_VALUE"""),"обладнання для електропостачання, загальне")</f>
        <v>обладнання для електропостачання, загальне</v>
      </c>
      <c r="I1405" s="19">
        <f>IFERROR(__xludf.DUMMYFUNCTION("""COMPUTED_VALUE"""),0.125)</f>
        <v>0.125</v>
      </c>
      <c r="J1405" s="19">
        <f>IFERROR(__xludf.DUMMYFUNCTION("""COMPUTED_VALUE"""),0.25)</f>
        <v>0.25</v>
      </c>
      <c r="K1405" s="19">
        <f>IFERROR(__xludf.DUMMYFUNCTION("""COMPUTED_VALUE"""),0.3125)</f>
        <v>0.3125</v>
      </c>
      <c r="L1405" s="19">
        <f>IFERROR(__xludf.DUMMYFUNCTION("""COMPUTED_VALUE"""),0.375)</f>
        <v>0.375</v>
      </c>
      <c r="M1405" s="18">
        <f>IFERROR(__xludf.DUMMYFUNCTION("""COMPUTED_VALUE"""),4.33)</f>
        <v>4.33</v>
      </c>
    </row>
    <row r="1406">
      <c r="A1406" s="13" t="str">
        <f>IFERROR(__xludf.DUMMYFUNCTION("""COMPUTED_VALUE"""),"товари")</f>
        <v>товари</v>
      </c>
      <c r="B1406" s="16" t="str">
        <f>IFERROR(__xludf.DUMMYFUNCTION("""COMPUTED_VALUE"""),"електрообладнання")</f>
        <v>електрообладнання</v>
      </c>
      <c r="C1406" s="16" t="str">
        <f>IFERROR(__xludf.DUMMYFUNCTION("""COMPUTED_VALUE"""),"обладнання для електропостачання")</f>
        <v>обладнання для електропостачання</v>
      </c>
      <c r="D1406" s="16" t="str">
        <f>IFERROR(__xludf.DUMMYFUNCTION("""COMPUTED_VALUE"""),"обладнання економії електроенергії")</f>
        <v>обладнання економії електроенергії</v>
      </c>
      <c r="E1406" s="16" t="str">
        <f>IFERROR(__xludf.DUMMYFUNCTION("""COMPUTED_VALUE"""),"обладнання економії електроенергії")</f>
        <v>обладнання економії електроенергії</v>
      </c>
      <c r="F1406" s="17">
        <f>IFERROR(__xludf.DUMMYFUNCTION("""COMPUTED_VALUE"""),3.0)</f>
        <v>3</v>
      </c>
      <c r="G1406" s="17" t="str">
        <f>IFERROR(__xludf.DUMMYFUNCTION("""COMPUTED_VALUE"""),"410519")</f>
        <v>410519</v>
      </c>
      <c r="H1406" s="17" t="str">
        <f>IFERROR(__xludf.DUMMYFUNCTION("""COMPUTED_VALUE"""),"обладнання економії електроенергії")</f>
        <v>обладнання економії електроенергії</v>
      </c>
      <c r="I1406" s="19">
        <f>IFERROR(__xludf.DUMMYFUNCTION("""COMPUTED_VALUE"""),0.0778)</f>
        <v>0.0778</v>
      </c>
      <c r="J1406" s="19">
        <f>IFERROR(__xludf.DUMMYFUNCTION("""COMPUTED_VALUE"""),0.1556)</f>
        <v>0.1556</v>
      </c>
      <c r="K1406" s="19">
        <f>IFERROR(__xludf.DUMMYFUNCTION("""COMPUTED_VALUE"""),0.1945)</f>
        <v>0.1945</v>
      </c>
      <c r="L1406" s="19">
        <f>IFERROR(__xludf.DUMMYFUNCTION("""COMPUTED_VALUE"""),0.2334)</f>
        <v>0.2334</v>
      </c>
      <c r="M1406" s="18">
        <f>IFERROR(__xludf.DUMMYFUNCTION("""COMPUTED_VALUE"""),1.05)</f>
        <v>1.05</v>
      </c>
    </row>
    <row r="1407">
      <c r="A1407" s="13" t="str">
        <f>IFERROR(__xludf.DUMMYFUNCTION("""COMPUTED_VALUE"""),"товари")</f>
        <v>товари</v>
      </c>
      <c r="B1407" s="16" t="str">
        <f>IFERROR(__xludf.DUMMYFUNCTION("""COMPUTED_VALUE"""),"електрообладнання")</f>
        <v>електрообладнання</v>
      </c>
      <c r="C1407" s="16" t="str">
        <f>IFERROR(__xludf.DUMMYFUNCTION("""COMPUTED_VALUE"""),"освітлення, електрика")</f>
        <v>освітлення, електрика</v>
      </c>
      <c r="D1407" s="16" t="str">
        <f>IFERROR(__xludf.DUMMYFUNCTION("""COMPUTED_VALUE"""),"освітлення, електрика, загальне")</f>
        <v>освітлення, електрика, загальне</v>
      </c>
      <c r="E1407" s="16" t="str">
        <f>IFERROR(__xludf.DUMMYFUNCTION("""COMPUTED_VALUE"""),"освітлення, електрика, загальне")</f>
        <v>освітлення, електрика, загальне</v>
      </c>
      <c r="F1407" s="17">
        <f>IFERROR(__xludf.DUMMYFUNCTION("""COMPUTED_VALUE"""),3.0)</f>
        <v>3</v>
      </c>
      <c r="G1407" s="17" t="str">
        <f>IFERROR(__xludf.DUMMYFUNCTION("""COMPUTED_VALUE"""),"3999")</f>
        <v>3999</v>
      </c>
      <c r="H1407" s="17" t="str">
        <f>IFERROR(__xludf.DUMMYFUNCTION("""COMPUTED_VALUE"""),"освітлення, електрика, загальне")</f>
        <v>освітлення, електрика, загальне</v>
      </c>
      <c r="I1407" s="19">
        <f>IFERROR(__xludf.DUMMYFUNCTION("""COMPUTED_VALUE"""),0.125)</f>
        <v>0.125</v>
      </c>
      <c r="J1407" s="19">
        <f>IFERROR(__xludf.DUMMYFUNCTION("""COMPUTED_VALUE"""),0.25)</f>
        <v>0.25</v>
      </c>
      <c r="K1407" s="19">
        <f>IFERROR(__xludf.DUMMYFUNCTION("""COMPUTED_VALUE"""),0.3125)</f>
        <v>0.3125</v>
      </c>
      <c r="L1407" s="19">
        <f>IFERROR(__xludf.DUMMYFUNCTION("""COMPUTED_VALUE"""),0.375)</f>
        <v>0.375</v>
      </c>
      <c r="M1407" s="18">
        <f>IFERROR(__xludf.DUMMYFUNCTION("""COMPUTED_VALUE"""),4.33)</f>
        <v>4.33</v>
      </c>
    </row>
    <row r="1408">
      <c r="A1408" s="13" t="str">
        <f>IFERROR(__xludf.DUMMYFUNCTION("""COMPUTED_VALUE"""),"товари")</f>
        <v>товари</v>
      </c>
      <c r="B1408" s="16" t="str">
        <f>IFERROR(__xludf.DUMMYFUNCTION("""COMPUTED_VALUE"""),"електрообладнання")</f>
        <v>електрообладнання</v>
      </c>
      <c r="C1408" s="16" t="str">
        <f>IFERROR(__xludf.DUMMYFUNCTION("""COMPUTED_VALUE"""),"технічні вимикачі")</f>
        <v>технічні вимикачі</v>
      </c>
      <c r="D1408" s="16" t="str">
        <f>IFERROR(__xludf.DUMMYFUNCTION("""COMPUTED_VALUE"""),"пакетні вимикачі")</f>
        <v>пакетні вимикачі</v>
      </c>
      <c r="E1408" s="16" t="str">
        <f>IFERROR(__xludf.DUMMYFUNCTION("""COMPUTED_VALUE"""),"пакетні вимикачі")</f>
        <v>пакетні вимикачі</v>
      </c>
      <c r="F1408" s="17">
        <f>IFERROR(__xludf.DUMMYFUNCTION("""COMPUTED_VALUE"""),3.0)</f>
        <v>3</v>
      </c>
      <c r="G1408" s="17" t="str">
        <f>IFERROR(__xludf.DUMMYFUNCTION("""COMPUTED_VALUE"""),"410608")</f>
        <v>410608</v>
      </c>
      <c r="H1408" s="17" t="str">
        <f>IFERROR(__xludf.DUMMYFUNCTION("""COMPUTED_VALUE"""),"пакетні вимикачі")</f>
        <v>пакетні вимикачі</v>
      </c>
      <c r="I1408" s="19">
        <f>IFERROR(__xludf.DUMMYFUNCTION("""COMPUTED_VALUE"""),0.0447)</f>
        <v>0.0447</v>
      </c>
      <c r="J1408" s="19">
        <f>IFERROR(__xludf.DUMMYFUNCTION("""COMPUTED_VALUE"""),0.0893)</f>
        <v>0.0893</v>
      </c>
      <c r="K1408" s="19">
        <f>IFERROR(__xludf.DUMMYFUNCTION("""COMPUTED_VALUE"""),0.1116)</f>
        <v>0.1116</v>
      </c>
      <c r="L1408" s="19">
        <f>IFERROR(__xludf.DUMMYFUNCTION("""COMPUTED_VALUE"""),0.134)</f>
        <v>0.134</v>
      </c>
      <c r="M1408" s="18">
        <f>IFERROR(__xludf.DUMMYFUNCTION("""COMPUTED_VALUE"""),2.16)</f>
        <v>2.16</v>
      </c>
    </row>
    <row r="1409">
      <c r="A1409" s="13" t="str">
        <f>IFERROR(__xludf.DUMMYFUNCTION("""COMPUTED_VALUE"""),"товари")</f>
        <v>товари</v>
      </c>
      <c r="B1409" s="16" t="str">
        <f>IFERROR(__xludf.DUMMYFUNCTION("""COMPUTED_VALUE"""),"електрообладнання")</f>
        <v>електрообладнання</v>
      </c>
      <c r="C1409" s="16" t="str">
        <f>IFERROR(__xludf.DUMMYFUNCTION("""COMPUTED_VALUE"""),"електронні компоненти")</f>
        <v>електронні компоненти</v>
      </c>
      <c r="D1409" s="16" t="str">
        <f>IFERROR(__xludf.DUMMYFUNCTION("""COMPUTED_VALUE"""),"пасивні компоненти")</f>
        <v>пасивні компоненти</v>
      </c>
      <c r="E1409" s="16" t="str">
        <f>IFERROR(__xludf.DUMMYFUNCTION("""COMPUTED_VALUE"""),"пасивні компоненти, загальне")</f>
        <v>пасивні компоненти, загальне</v>
      </c>
      <c r="F1409" s="17">
        <f>IFERROR(__xludf.DUMMYFUNCTION("""COMPUTED_VALUE"""),4.0)</f>
        <v>4</v>
      </c>
      <c r="G1409" s="17" t="str">
        <f>IFERROR(__xludf.DUMMYFUNCTION("""COMPUTED_VALUE"""),"400599")</f>
        <v>400599</v>
      </c>
      <c r="H1409" s="17" t="str">
        <f>IFERROR(__xludf.DUMMYFUNCTION("""COMPUTED_VALUE"""),"пасивні компоненти, загальне")</f>
        <v>пасивні компоненти, загальне</v>
      </c>
      <c r="I1409" s="19">
        <f>IFERROR(__xludf.DUMMYFUNCTION("""COMPUTED_VALUE"""),0.125)</f>
        <v>0.125</v>
      </c>
      <c r="J1409" s="19">
        <f>IFERROR(__xludf.DUMMYFUNCTION("""COMPUTED_VALUE"""),0.25)</f>
        <v>0.25</v>
      </c>
      <c r="K1409" s="19">
        <f>IFERROR(__xludf.DUMMYFUNCTION("""COMPUTED_VALUE"""),0.3125)</f>
        <v>0.3125</v>
      </c>
      <c r="L1409" s="19">
        <f>IFERROR(__xludf.DUMMYFUNCTION("""COMPUTED_VALUE"""),0.375)</f>
        <v>0.375</v>
      </c>
      <c r="M1409" s="18">
        <f>IFERROR(__xludf.DUMMYFUNCTION("""COMPUTED_VALUE"""),4.33)</f>
        <v>4.33</v>
      </c>
    </row>
    <row r="1410">
      <c r="A1410" s="13" t="str">
        <f>IFERROR(__xludf.DUMMYFUNCTION("""COMPUTED_VALUE"""),"товари")</f>
        <v>товари</v>
      </c>
      <c r="B1410" s="16" t="str">
        <f>IFERROR(__xludf.DUMMYFUNCTION("""COMPUTED_VALUE"""),"електрообладнання")</f>
        <v>електрообладнання</v>
      </c>
      <c r="C1410" s="16" t="str">
        <f>IFERROR(__xludf.DUMMYFUNCTION("""COMPUTED_VALUE"""),"освітлення, електрика")</f>
        <v>освітлення, електрика</v>
      </c>
      <c r="D1410" s="16" t="str">
        <f>IFERROR(__xludf.DUMMYFUNCTION("""COMPUTED_VALUE"""),"комплектуючі для освітлення та електрики")</f>
        <v>комплектуючі для освітлення та електрики</v>
      </c>
      <c r="E1410" s="16" t="str">
        <f>IFERROR(__xludf.DUMMYFUNCTION("""COMPUTED_VALUE"""),"патрони для ламп")</f>
        <v>патрони для ламп</v>
      </c>
      <c r="F1410" s="17">
        <f>IFERROR(__xludf.DUMMYFUNCTION("""COMPUTED_VALUE"""),4.0)</f>
        <v>4</v>
      </c>
      <c r="G1410" s="17" t="str">
        <f>IFERROR(__xludf.DUMMYFUNCTION("""COMPUTED_VALUE"""),"390201")</f>
        <v>390201</v>
      </c>
      <c r="H1410" s="17" t="str">
        <f>IFERROR(__xludf.DUMMYFUNCTION("""COMPUTED_VALUE"""),"патрони для ламп")</f>
        <v>патрони для ламп</v>
      </c>
      <c r="I1410" s="19">
        <f>IFERROR(__xludf.DUMMYFUNCTION("""COMPUTED_VALUE"""),0.0741)</f>
        <v>0.0741</v>
      </c>
      <c r="J1410" s="19">
        <f>IFERROR(__xludf.DUMMYFUNCTION("""COMPUTED_VALUE"""),0.1481)</f>
        <v>0.1481</v>
      </c>
      <c r="K1410" s="19">
        <f>IFERROR(__xludf.DUMMYFUNCTION("""COMPUTED_VALUE"""),0.1851)</f>
        <v>0.1851</v>
      </c>
      <c r="L1410" s="19">
        <f>IFERROR(__xludf.DUMMYFUNCTION("""COMPUTED_VALUE"""),0.2222)</f>
        <v>0.2222</v>
      </c>
      <c r="M1410" s="18">
        <f>IFERROR(__xludf.DUMMYFUNCTION("""COMPUTED_VALUE"""),1.05)</f>
        <v>1.05</v>
      </c>
    </row>
    <row r="1411">
      <c r="A1411" s="13" t="str">
        <f>IFERROR(__xludf.DUMMYFUNCTION("""COMPUTED_VALUE"""),"товари")</f>
        <v>товари</v>
      </c>
      <c r="B1411" s="16" t="str">
        <f>IFERROR(__xludf.DUMMYFUNCTION("""COMPUTED_VALUE"""),"електрообладнання")</f>
        <v>електрообладнання</v>
      </c>
      <c r="C1411" s="16" t="str">
        <f>IFERROR(__xludf.DUMMYFUNCTION("""COMPUTED_VALUE"""),"компоненти асутп")</f>
        <v>компоненти асутп</v>
      </c>
      <c r="D1411" s="16" t="str">
        <f>IFERROR(__xludf.DUMMYFUNCTION("""COMPUTED_VALUE"""),"перетворювачі")</f>
        <v>перетворювачі</v>
      </c>
      <c r="E1411" s="16" t="str">
        <f>IFERROR(__xludf.DUMMYFUNCTION("""COMPUTED_VALUE"""),"перетворювачі, загальне")</f>
        <v>перетворювачі, загальне</v>
      </c>
      <c r="F1411" s="17">
        <f>IFERROR(__xludf.DUMMYFUNCTION("""COMPUTED_VALUE"""),4.0)</f>
        <v>4</v>
      </c>
      <c r="G1411" s="17" t="str">
        <f>IFERROR(__xludf.DUMMYFUNCTION("""COMPUTED_VALUE"""),"5140403")</f>
        <v>5140403</v>
      </c>
      <c r="H1411" s="17" t="str">
        <f>IFERROR(__xludf.DUMMYFUNCTION("""COMPUTED_VALUE"""),"перетворювачі, загальне")</f>
        <v>перетворювачі, загальне</v>
      </c>
      <c r="I1411" s="19">
        <f>IFERROR(__xludf.DUMMYFUNCTION("""COMPUTED_VALUE"""),0.125)</f>
        <v>0.125</v>
      </c>
      <c r="J1411" s="19">
        <f>IFERROR(__xludf.DUMMYFUNCTION("""COMPUTED_VALUE"""),0.25)</f>
        <v>0.25</v>
      </c>
      <c r="K1411" s="19">
        <f>IFERROR(__xludf.DUMMYFUNCTION("""COMPUTED_VALUE"""),0.3125)</f>
        <v>0.3125</v>
      </c>
      <c r="L1411" s="19">
        <f>IFERROR(__xludf.DUMMYFUNCTION("""COMPUTED_VALUE"""),0.375)</f>
        <v>0.375</v>
      </c>
      <c r="M1411" s="18">
        <f>IFERROR(__xludf.DUMMYFUNCTION("""COMPUTED_VALUE"""),4.33)</f>
        <v>4.33</v>
      </c>
    </row>
    <row r="1412">
      <c r="A1412" s="13" t="str">
        <f>IFERROR(__xludf.DUMMYFUNCTION("""COMPUTED_VALUE"""),"товари")</f>
        <v>товари</v>
      </c>
      <c r="B1412" s="16" t="str">
        <f>IFERROR(__xludf.DUMMYFUNCTION("""COMPUTED_VALUE"""),"електрообладнання")</f>
        <v>електрообладнання</v>
      </c>
      <c r="C1412" s="16" t="str">
        <f>IFERROR(__xludf.DUMMYFUNCTION("""COMPUTED_VALUE"""),"освітлення, електрика")</f>
        <v>освітлення, електрика</v>
      </c>
      <c r="D1412" s="16" t="str">
        <f>IFERROR(__xludf.DUMMYFUNCTION("""COMPUTED_VALUE"""),"комплектуючі для освітлення та електрики")</f>
        <v>комплектуючі для освітлення та електрики</v>
      </c>
      <c r="E1412" s="16" t="str">
        <f>IFERROR(__xludf.DUMMYFUNCTION("""COMPUTED_VALUE"""),"плафони, абажури для ламп")</f>
        <v>плафони, абажури для ламп</v>
      </c>
      <c r="F1412" s="17">
        <f>IFERROR(__xludf.DUMMYFUNCTION("""COMPUTED_VALUE"""),4.0)</f>
        <v>4</v>
      </c>
      <c r="G1412" s="17" t="str">
        <f>IFERROR(__xludf.DUMMYFUNCTION("""COMPUTED_VALUE"""),"53002")</f>
        <v>53002</v>
      </c>
      <c r="H1412" s="17" t="str">
        <f>IFERROR(__xludf.DUMMYFUNCTION("""COMPUTED_VALUE"""),"плафони, абажури для ламп")</f>
        <v>плафони, абажури для ламп</v>
      </c>
      <c r="I1412" s="19">
        <f>IFERROR(__xludf.DUMMYFUNCTION("""COMPUTED_VALUE"""),0.0738)</f>
        <v>0.0738</v>
      </c>
      <c r="J1412" s="19">
        <f>IFERROR(__xludf.DUMMYFUNCTION("""COMPUTED_VALUE"""),0.1475)</f>
        <v>0.1475</v>
      </c>
      <c r="K1412" s="19">
        <f>IFERROR(__xludf.DUMMYFUNCTION("""COMPUTED_VALUE"""),0.1844)</f>
        <v>0.1844</v>
      </c>
      <c r="L1412" s="19">
        <f>IFERROR(__xludf.DUMMYFUNCTION("""COMPUTED_VALUE"""),0.2213)</f>
        <v>0.2213</v>
      </c>
      <c r="M1412" s="18">
        <f>IFERROR(__xludf.DUMMYFUNCTION("""COMPUTED_VALUE"""),1.05)</f>
        <v>1.05</v>
      </c>
    </row>
    <row r="1413">
      <c r="A1413" s="13" t="str">
        <f>IFERROR(__xludf.DUMMYFUNCTION("""COMPUTED_VALUE"""),"товари")</f>
        <v>товари</v>
      </c>
      <c r="B1413" s="16" t="str">
        <f>IFERROR(__xludf.DUMMYFUNCTION("""COMPUTED_VALUE"""),"електрообладнання")</f>
        <v>електрообладнання</v>
      </c>
      <c r="C1413" s="16" t="str">
        <f>IFERROR(__xludf.DUMMYFUNCTION("""COMPUTED_VALUE"""),"технічні вимикачі")</f>
        <v>технічні вимикачі</v>
      </c>
      <c r="D1413" s="16" t="str">
        <f>IFERROR(__xludf.DUMMYFUNCTION("""COMPUTED_VALUE"""),"повзункові вимикачі")</f>
        <v>повзункові вимикачі</v>
      </c>
      <c r="E1413" s="16" t="str">
        <f>IFERROR(__xludf.DUMMYFUNCTION("""COMPUTED_VALUE"""),"повзункові вимикачі")</f>
        <v>повзункові вимикачі</v>
      </c>
      <c r="F1413" s="17">
        <f>IFERROR(__xludf.DUMMYFUNCTION("""COMPUTED_VALUE"""),3.0)</f>
        <v>3</v>
      </c>
      <c r="G1413" s="17" t="str">
        <f>IFERROR(__xludf.DUMMYFUNCTION("""COMPUTED_VALUE"""),"410609")</f>
        <v>410609</v>
      </c>
      <c r="H1413" s="17" t="str">
        <f>IFERROR(__xludf.DUMMYFUNCTION("""COMPUTED_VALUE"""),"повзункові вимикачі")</f>
        <v>повзункові вимикачі</v>
      </c>
      <c r="I1413" s="19">
        <f>IFERROR(__xludf.DUMMYFUNCTION("""COMPUTED_VALUE"""),0.047)</f>
        <v>0.047</v>
      </c>
      <c r="J1413" s="19">
        <f>IFERROR(__xludf.DUMMYFUNCTION("""COMPUTED_VALUE"""),0.0939)</f>
        <v>0.0939</v>
      </c>
      <c r="K1413" s="19">
        <f>IFERROR(__xludf.DUMMYFUNCTION("""COMPUTED_VALUE"""),0.1174)</f>
        <v>0.1174</v>
      </c>
      <c r="L1413" s="19">
        <f>IFERROR(__xludf.DUMMYFUNCTION("""COMPUTED_VALUE"""),0.1409)</f>
        <v>0.1409</v>
      </c>
      <c r="M1413" s="18">
        <f>IFERROR(__xludf.DUMMYFUNCTION("""COMPUTED_VALUE"""),1.05)</f>
        <v>1.05</v>
      </c>
    </row>
    <row r="1414">
      <c r="A1414" s="13" t="str">
        <f>IFERROR(__xludf.DUMMYFUNCTION("""COMPUTED_VALUE"""),"товари")</f>
        <v>товари</v>
      </c>
      <c r="B1414" s="16" t="str">
        <f>IFERROR(__xludf.DUMMYFUNCTION("""COMPUTED_VALUE"""),"електрообладнання")</f>
        <v>електрообладнання</v>
      </c>
      <c r="C1414" s="16" t="str">
        <f>IFERROR(__xludf.DUMMYFUNCTION("""COMPUTED_VALUE"""),"компоненти асутп")</f>
        <v>компоненти асутп</v>
      </c>
      <c r="D1414" s="16" t="str">
        <f>IFERROR(__xludf.DUMMYFUNCTION("""COMPUTED_VALUE"""),"програматори мікросхем")</f>
        <v>програматори мікросхем</v>
      </c>
      <c r="E1414" s="16" t="str">
        <f>IFERROR(__xludf.DUMMYFUNCTION("""COMPUTED_VALUE"""),"програматори мікросхем")</f>
        <v>програматори мікросхем</v>
      </c>
      <c r="F1414" s="17">
        <f>IFERROR(__xludf.DUMMYFUNCTION("""COMPUTED_VALUE"""),3.0)</f>
        <v>3</v>
      </c>
      <c r="G1414" s="17" t="str">
        <f>IFERROR(__xludf.DUMMYFUNCTION("""COMPUTED_VALUE"""),"400302")</f>
        <v>400302</v>
      </c>
      <c r="H1414" s="17" t="str">
        <f>IFERROR(__xludf.DUMMYFUNCTION("""COMPUTED_VALUE"""),"програматори мікросхем")</f>
        <v>програматори мікросхем</v>
      </c>
      <c r="I1414" s="19">
        <f>IFERROR(__xludf.DUMMYFUNCTION("""COMPUTED_VALUE"""),0.0709)</f>
        <v>0.0709</v>
      </c>
      <c r="J1414" s="19">
        <f>IFERROR(__xludf.DUMMYFUNCTION("""COMPUTED_VALUE"""),0.1417)</f>
        <v>0.1417</v>
      </c>
      <c r="K1414" s="19">
        <f>IFERROR(__xludf.DUMMYFUNCTION("""COMPUTED_VALUE"""),0.1771)</f>
        <v>0.1771</v>
      </c>
      <c r="L1414" s="19">
        <f>IFERROR(__xludf.DUMMYFUNCTION("""COMPUTED_VALUE"""),0.2126)</f>
        <v>0.2126</v>
      </c>
      <c r="M1414" s="18">
        <f>IFERROR(__xludf.DUMMYFUNCTION("""COMPUTED_VALUE"""),1.26)</f>
        <v>1.26</v>
      </c>
    </row>
    <row r="1415">
      <c r="A1415" s="13" t="str">
        <f>IFERROR(__xludf.DUMMYFUNCTION("""COMPUTED_VALUE"""),"товари")</f>
        <v>товари</v>
      </c>
      <c r="B1415" s="16" t="str">
        <f>IFERROR(__xludf.DUMMYFUNCTION("""COMPUTED_VALUE"""),"електрообладнання")</f>
        <v>електрообладнання</v>
      </c>
      <c r="C1415" s="16" t="str">
        <f>IFERROR(__xludf.DUMMYFUNCTION("""COMPUTED_VALUE"""),"обладнання для електропостачання")</f>
        <v>обладнання для електропостачання</v>
      </c>
      <c r="D1415" s="16" t="str">
        <f>IFERROR(__xludf.DUMMYFUNCTION("""COMPUTED_VALUE"""),"блоки живлення")</f>
        <v>блоки живлення</v>
      </c>
      <c r="E1415" s="16" t="str">
        <f>IFERROR(__xludf.DUMMYFUNCTION("""COMPUTED_VALUE"""),"промислові та побутові джерела живлення")</f>
        <v>промислові та побутові джерела живлення</v>
      </c>
      <c r="F1415" s="17">
        <f>IFERROR(__xludf.DUMMYFUNCTION("""COMPUTED_VALUE"""),4.0)</f>
        <v>4</v>
      </c>
      <c r="G1415" s="17" t="str">
        <f>IFERROR(__xludf.DUMMYFUNCTION("""COMPUTED_VALUE"""),"14191103")</f>
        <v>14191103</v>
      </c>
      <c r="H1415" s="17" t="str">
        <f>IFERROR(__xludf.DUMMYFUNCTION("""COMPUTED_VALUE"""),"промислові та побутові джерела живлення")</f>
        <v>промислові та побутові джерела живлення</v>
      </c>
      <c r="I1415" s="19">
        <f>IFERROR(__xludf.DUMMYFUNCTION("""COMPUTED_VALUE"""),0.0472)</f>
        <v>0.0472</v>
      </c>
      <c r="J1415" s="19">
        <f>IFERROR(__xludf.DUMMYFUNCTION("""COMPUTED_VALUE"""),0.0944)</f>
        <v>0.0944</v>
      </c>
      <c r="K1415" s="19">
        <f>IFERROR(__xludf.DUMMYFUNCTION("""COMPUTED_VALUE"""),0.118)</f>
        <v>0.118</v>
      </c>
      <c r="L1415" s="19">
        <f>IFERROR(__xludf.DUMMYFUNCTION("""COMPUTED_VALUE"""),0.1416)</f>
        <v>0.1416</v>
      </c>
      <c r="M1415" s="18">
        <f>IFERROR(__xludf.DUMMYFUNCTION("""COMPUTED_VALUE"""),2.61)</f>
        <v>2.61</v>
      </c>
    </row>
    <row r="1416">
      <c r="A1416" s="13" t="str">
        <f>IFERROR(__xludf.DUMMYFUNCTION("""COMPUTED_VALUE"""),"товари")</f>
        <v>товари</v>
      </c>
      <c r="B1416" s="16" t="str">
        <f>IFERROR(__xludf.DUMMYFUNCTION("""COMPUTED_VALUE"""),"електрообладнання")</f>
        <v>електрообладнання</v>
      </c>
      <c r="C1416" s="16" t="str">
        <f>IFERROR(__xludf.DUMMYFUNCTION("""COMPUTED_VALUE"""),"освітлення, електрика")</f>
        <v>освітлення, електрика</v>
      </c>
      <c r="D1416" s="16" t="str">
        <f>IFERROR(__xludf.DUMMYFUNCTION("""COMPUTED_VALUE"""),"комплектуючі для освітлення та електрики")</f>
        <v>комплектуючі для освітлення та електрики</v>
      </c>
      <c r="E1416" s="16" t="str">
        <f>IFERROR(__xludf.DUMMYFUNCTION("""COMPUTED_VALUE"""),"пускорегулюючі апарати")</f>
        <v>пускорегулюючі апарати</v>
      </c>
      <c r="F1416" s="17">
        <f>IFERROR(__xludf.DUMMYFUNCTION("""COMPUTED_VALUE"""),4.0)</f>
        <v>4</v>
      </c>
      <c r="G1416" s="17" t="str">
        <f>IFERROR(__xludf.DUMMYFUNCTION("""COMPUTED_VALUE"""),"150413")</f>
        <v>150413</v>
      </c>
      <c r="H1416" s="17" t="str">
        <f>IFERROR(__xludf.DUMMYFUNCTION("""COMPUTED_VALUE"""),"пускорегулюючі апарати")</f>
        <v>пускорегулюючі апарати</v>
      </c>
      <c r="I1416" s="19">
        <f>IFERROR(__xludf.DUMMYFUNCTION("""COMPUTED_VALUE"""),0.0738)</f>
        <v>0.0738</v>
      </c>
      <c r="J1416" s="19">
        <f>IFERROR(__xludf.DUMMYFUNCTION("""COMPUTED_VALUE"""),0.1475)</f>
        <v>0.1475</v>
      </c>
      <c r="K1416" s="19">
        <f>IFERROR(__xludf.DUMMYFUNCTION("""COMPUTED_VALUE"""),0.1844)</f>
        <v>0.1844</v>
      </c>
      <c r="L1416" s="19">
        <f>IFERROR(__xludf.DUMMYFUNCTION("""COMPUTED_VALUE"""),0.2213)</f>
        <v>0.2213</v>
      </c>
      <c r="M1416" s="18">
        <f>IFERROR(__xludf.DUMMYFUNCTION("""COMPUTED_VALUE"""),1.05)</f>
        <v>1.05</v>
      </c>
    </row>
    <row r="1417">
      <c r="A1417" s="13" t="str">
        <f>IFERROR(__xludf.DUMMYFUNCTION("""COMPUTED_VALUE"""),"товари")</f>
        <v>товари</v>
      </c>
      <c r="B1417" s="16" t="str">
        <f>IFERROR(__xludf.DUMMYFUNCTION("""COMPUTED_VALUE"""),"електрообладнання")</f>
        <v>електрообладнання</v>
      </c>
      <c r="C1417" s="16" t="str">
        <f>IFERROR(__xludf.DUMMYFUNCTION("""COMPUTED_VALUE"""),"електронні компоненти")</f>
        <v>електронні компоненти</v>
      </c>
      <c r="D1417" s="16" t="str">
        <f>IFERROR(__xludf.DUMMYFUNCTION("""COMPUTED_VALUE"""),"пасивні компоненти")</f>
        <v>пасивні компоненти</v>
      </c>
      <c r="E1417" s="16" t="str">
        <f>IFERROR(__xludf.DUMMYFUNCTION("""COMPUTED_VALUE"""),"резистори")</f>
        <v>резистори</v>
      </c>
      <c r="F1417" s="17">
        <f>IFERROR(__xludf.DUMMYFUNCTION("""COMPUTED_VALUE"""),4.0)</f>
        <v>4</v>
      </c>
      <c r="G1417" s="17" t="str">
        <f>IFERROR(__xludf.DUMMYFUNCTION("""COMPUTED_VALUE"""),"400503")</f>
        <v>400503</v>
      </c>
      <c r="H1417" s="17" t="str">
        <f>IFERROR(__xludf.DUMMYFUNCTION("""COMPUTED_VALUE"""),"резистори")</f>
        <v>резистори</v>
      </c>
      <c r="I1417" s="19">
        <f>IFERROR(__xludf.DUMMYFUNCTION("""COMPUTED_VALUE"""),0.0688)</f>
        <v>0.0688</v>
      </c>
      <c r="J1417" s="19">
        <f>IFERROR(__xludf.DUMMYFUNCTION("""COMPUTED_VALUE"""),0.1375)</f>
        <v>0.1375</v>
      </c>
      <c r="K1417" s="19">
        <f>IFERROR(__xludf.DUMMYFUNCTION("""COMPUTED_VALUE"""),0.1719)</f>
        <v>0.1719</v>
      </c>
      <c r="L1417" s="19">
        <f>IFERROR(__xludf.DUMMYFUNCTION("""COMPUTED_VALUE"""),0.2063)</f>
        <v>0.2063</v>
      </c>
      <c r="M1417" s="18">
        <f>IFERROR(__xludf.DUMMYFUNCTION("""COMPUTED_VALUE"""),1.05)</f>
        <v>1.05</v>
      </c>
    </row>
    <row r="1418">
      <c r="A1418" s="13" t="str">
        <f>IFERROR(__xludf.DUMMYFUNCTION("""COMPUTED_VALUE"""),"товари")</f>
        <v>товари</v>
      </c>
      <c r="B1418" s="16" t="str">
        <f>IFERROR(__xludf.DUMMYFUNCTION("""COMPUTED_VALUE"""),"електрообладнання")</f>
        <v>електрообладнання</v>
      </c>
      <c r="C1418" s="16" t="str">
        <f>IFERROR(__xludf.DUMMYFUNCTION("""COMPUTED_VALUE"""),"компоненти асутп")</f>
        <v>компоненти асутп</v>
      </c>
      <c r="D1418" s="16" t="str">
        <f>IFERROR(__xludf.DUMMYFUNCTION("""COMPUTED_VALUE"""),"реле")</f>
        <v>реле</v>
      </c>
      <c r="E1418" s="16" t="str">
        <f>IFERROR(__xludf.DUMMYFUNCTION("""COMPUTED_VALUE"""),"реле напруги")</f>
        <v>реле напруги</v>
      </c>
      <c r="F1418" s="17">
        <f>IFERROR(__xludf.DUMMYFUNCTION("""COMPUTED_VALUE"""),4.0)</f>
        <v>4</v>
      </c>
      <c r="G1418" s="17" t="str">
        <f>IFERROR(__xludf.DUMMYFUNCTION("""COMPUTED_VALUE"""),"14190901")</f>
        <v>14190901</v>
      </c>
      <c r="H1418" s="17" t="str">
        <f>IFERROR(__xludf.DUMMYFUNCTION("""COMPUTED_VALUE"""),"реле напруги")</f>
        <v>реле напруги</v>
      </c>
      <c r="I1418" s="19">
        <f>IFERROR(__xludf.DUMMYFUNCTION("""COMPUTED_VALUE"""),0.0745)</f>
        <v>0.0745</v>
      </c>
      <c r="J1418" s="19">
        <f>IFERROR(__xludf.DUMMYFUNCTION("""COMPUTED_VALUE"""),0.1489)</f>
        <v>0.1489</v>
      </c>
      <c r="K1418" s="19">
        <f>IFERROR(__xludf.DUMMYFUNCTION("""COMPUTED_VALUE"""),0.1861)</f>
        <v>0.1861</v>
      </c>
      <c r="L1418" s="19">
        <f>IFERROR(__xludf.DUMMYFUNCTION("""COMPUTED_VALUE"""),0.2234)</f>
        <v>0.2234</v>
      </c>
      <c r="M1418" s="18">
        <f>IFERROR(__xludf.DUMMYFUNCTION("""COMPUTED_VALUE"""),1.71)</f>
        <v>1.71</v>
      </c>
    </row>
    <row r="1419">
      <c r="A1419" s="13" t="str">
        <f>IFERROR(__xludf.DUMMYFUNCTION("""COMPUTED_VALUE"""),"товари")</f>
        <v>товари</v>
      </c>
      <c r="B1419" s="16" t="str">
        <f>IFERROR(__xludf.DUMMYFUNCTION("""COMPUTED_VALUE"""),"електрообладнання")</f>
        <v>електрообладнання</v>
      </c>
      <c r="C1419" s="16" t="str">
        <f>IFERROR(__xludf.DUMMYFUNCTION("""COMPUTED_VALUE"""),"компоненти асутп")</f>
        <v>компоненти асутп</v>
      </c>
      <c r="D1419" s="16" t="str">
        <f>IFERROR(__xludf.DUMMYFUNCTION("""COMPUTED_VALUE"""),"реле")</f>
        <v>реле</v>
      </c>
      <c r="E1419" s="16" t="str">
        <f>IFERROR(__xludf.DUMMYFUNCTION("""COMPUTED_VALUE"""),"реле струму")</f>
        <v>реле струму</v>
      </c>
      <c r="F1419" s="17">
        <f>IFERROR(__xludf.DUMMYFUNCTION("""COMPUTED_VALUE"""),4.0)</f>
        <v>4</v>
      </c>
      <c r="G1419" s="17" t="str">
        <f>IFERROR(__xludf.DUMMYFUNCTION("""COMPUTED_VALUE"""),"14190903")</f>
        <v>14190903</v>
      </c>
      <c r="H1419" s="17" t="str">
        <f>IFERROR(__xludf.DUMMYFUNCTION("""COMPUTED_VALUE"""),"реле струму")</f>
        <v>реле струму</v>
      </c>
      <c r="I1419" s="19">
        <f>IFERROR(__xludf.DUMMYFUNCTION("""COMPUTED_VALUE"""),0.0745)</f>
        <v>0.0745</v>
      </c>
      <c r="J1419" s="19">
        <f>IFERROR(__xludf.DUMMYFUNCTION("""COMPUTED_VALUE"""),0.1489)</f>
        <v>0.1489</v>
      </c>
      <c r="K1419" s="19">
        <f>IFERROR(__xludf.DUMMYFUNCTION("""COMPUTED_VALUE"""),0.1861)</f>
        <v>0.1861</v>
      </c>
      <c r="L1419" s="19">
        <f>IFERROR(__xludf.DUMMYFUNCTION("""COMPUTED_VALUE"""),0.2234)</f>
        <v>0.2234</v>
      </c>
      <c r="M1419" s="18">
        <f>IFERROR(__xludf.DUMMYFUNCTION("""COMPUTED_VALUE"""),1.71)</f>
        <v>1.71</v>
      </c>
    </row>
    <row r="1420">
      <c r="A1420" s="13" t="str">
        <f>IFERROR(__xludf.DUMMYFUNCTION("""COMPUTED_VALUE"""),"товари")</f>
        <v>товари</v>
      </c>
      <c r="B1420" s="16" t="str">
        <f>IFERROR(__xludf.DUMMYFUNCTION("""COMPUTED_VALUE"""),"електрообладнання")</f>
        <v>електрообладнання</v>
      </c>
      <c r="C1420" s="16" t="str">
        <f>IFERROR(__xludf.DUMMYFUNCTION("""COMPUTED_VALUE"""),"компоненти асутп")</f>
        <v>компоненти асутп</v>
      </c>
      <c r="D1420" s="16" t="str">
        <f>IFERROR(__xludf.DUMMYFUNCTION("""COMPUTED_VALUE"""),"реле")</f>
        <v>реле</v>
      </c>
      <c r="E1420" s="16" t="str">
        <f>IFERROR(__xludf.DUMMYFUNCTION("""COMPUTED_VALUE"""),"реле температури")</f>
        <v>реле температури</v>
      </c>
      <c r="F1420" s="17">
        <f>IFERROR(__xludf.DUMMYFUNCTION("""COMPUTED_VALUE"""),4.0)</f>
        <v>4</v>
      </c>
      <c r="G1420" s="17" t="str">
        <f>IFERROR(__xludf.DUMMYFUNCTION("""COMPUTED_VALUE"""),"14190905")</f>
        <v>14190905</v>
      </c>
      <c r="H1420" s="17" t="str">
        <f>IFERROR(__xludf.DUMMYFUNCTION("""COMPUTED_VALUE"""),"реле температури")</f>
        <v>реле температури</v>
      </c>
      <c r="I1420" s="19">
        <f>IFERROR(__xludf.DUMMYFUNCTION("""COMPUTED_VALUE"""),0.0745)</f>
        <v>0.0745</v>
      </c>
      <c r="J1420" s="19">
        <f>IFERROR(__xludf.DUMMYFUNCTION("""COMPUTED_VALUE"""),0.1489)</f>
        <v>0.1489</v>
      </c>
      <c r="K1420" s="19">
        <f>IFERROR(__xludf.DUMMYFUNCTION("""COMPUTED_VALUE"""),0.1861)</f>
        <v>0.1861</v>
      </c>
      <c r="L1420" s="19">
        <f>IFERROR(__xludf.DUMMYFUNCTION("""COMPUTED_VALUE"""),0.2234)</f>
        <v>0.2234</v>
      </c>
      <c r="M1420" s="18">
        <f>IFERROR(__xludf.DUMMYFUNCTION("""COMPUTED_VALUE"""),1.71)</f>
        <v>1.71</v>
      </c>
    </row>
    <row r="1421">
      <c r="A1421" s="13" t="str">
        <f>IFERROR(__xludf.DUMMYFUNCTION("""COMPUTED_VALUE"""),"товари")</f>
        <v>товари</v>
      </c>
      <c r="B1421" s="16" t="str">
        <f>IFERROR(__xludf.DUMMYFUNCTION("""COMPUTED_VALUE"""),"електрообладнання")</f>
        <v>електрообладнання</v>
      </c>
      <c r="C1421" s="16" t="str">
        <f>IFERROR(__xludf.DUMMYFUNCTION("""COMPUTED_VALUE"""),"компоненти асутп")</f>
        <v>компоненти асутп</v>
      </c>
      <c r="D1421" s="16" t="str">
        <f>IFERROR(__xludf.DUMMYFUNCTION("""COMPUTED_VALUE"""),"реле")</f>
        <v>реле</v>
      </c>
      <c r="E1421" s="16" t="str">
        <f>IFERROR(__xludf.DUMMYFUNCTION("""COMPUTED_VALUE"""),"реле часу")</f>
        <v>реле часу</v>
      </c>
      <c r="F1421" s="17">
        <f>IFERROR(__xludf.DUMMYFUNCTION("""COMPUTED_VALUE"""),4.0)</f>
        <v>4</v>
      </c>
      <c r="G1421" s="17" t="str">
        <f>IFERROR(__xludf.DUMMYFUNCTION("""COMPUTED_VALUE"""),"410610")</f>
        <v>410610</v>
      </c>
      <c r="H1421" s="17" t="str">
        <f>IFERROR(__xludf.DUMMYFUNCTION("""COMPUTED_VALUE"""),"реле часу")</f>
        <v>реле часу</v>
      </c>
      <c r="I1421" s="19">
        <f>IFERROR(__xludf.DUMMYFUNCTION("""COMPUTED_VALUE"""),0.0754)</f>
        <v>0.0754</v>
      </c>
      <c r="J1421" s="19">
        <f>IFERROR(__xludf.DUMMYFUNCTION("""COMPUTED_VALUE"""),0.1508)</f>
        <v>0.1508</v>
      </c>
      <c r="K1421" s="19">
        <f>IFERROR(__xludf.DUMMYFUNCTION("""COMPUTED_VALUE"""),0.1885)</f>
        <v>0.1885</v>
      </c>
      <c r="L1421" s="19">
        <f>IFERROR(__xludf.DUMMYFUNCTION("""COMPUTED_VALUE"""),0.2262)</f>
        <v>0.2262</v>
      </c>
      <c r="M1421" s="18">
        <f>IFERROR(__xludf.DUMMYFUNCTION("""COMPUTED_VALUE"""),1.71)</f>
        <v>1.71</v>
      </c>
    </row>
    <row r="1422">
      <c r="A1422" s="13" t="str">
        <f>IFERROR(__xludf.DUMMYFUNCTION("""COMPUTED_VALUE"""),"товари")</f>
        <v>товари</v>
      </c>
      <c r="B1422" s="16" t="str">
        <f>IFERROR(__xludf.DUMMYFUNCTION("""COMPUTED_VALUE"""),"електрообладнання")</f>
        <v>електрообладнання</v>
      </c>
      <c r="C1422" s="16" t="str">
        <f>IFERROR(__xludf.DUMMYFUNCTION("""COMPUTED_VALUE"""),"монтажне обладнання")</f>
        <v>монтажне обладнання</v>
      </c>
      <c r="D1422" s="16" t="str">
        <f>IFERROR(__xludf.DUMMYFUNCTION("""COMPUTED_VALUE"""),"дріт, кабель, системи з'єднання")</f>
        <v>дріт, кабель, системи з'єднання</v>
      </c>
      <c r="E1422" s="16" t="str">
        <f>IFERROR(__xludf.DUMMYFUNCTION("""COMPUTED_VALUE"""),"роз'єми та конектори")</f>
        <v>роз'єми та конектори</v>
      </c>
      <c r="F1422" s="17">
        <f>IFERROR(__xludf.DUMMYFUNCTION("""COMPUTED_VALUE"""),4.0)</f>
        <v>4</v>
      </c>
      <c r="G1422" s="17" t="str">
        <f>IFERROR(__xludf.DUMMYFUNCTION("""COMPUTED_VALUE"""),"14190406")</f>
        <v>14190406</v>
      </c>
      <c r="H1422" s="17" t="str">
        <f>IFERROR(__xludf.DUMMYFUNCTION("""COMPUTED_VALUE"""),"роз'єми та конектори")</f>
        <v>роз'єми та конектори</v>
      </c>
      <c r="I1422" s="19">
        <f>IFERROR(__xludf.DUMMYFUNCTION("""COMPUTED_VALUE"""),0.035)</f>
        <v>0.035</v>
      </c>
      <c r="J1422" s="19">
        <f>IFERROR(__xludf.DUMMYFUNCTION("""COMPUTED_VALUE"""),0.07)</f>
        <v>0.07</v>
      </c>
      <c r="K1422" s="19">
        <f>IFERROR(__xludf.DUMMYFUNCTION("""COMPUTED_VALUE"""),0.0875)</f>
        <v>0.0875</v>
      </c>
      <c r="L1422" s="19">
        <f>IFERROR(__xludf.DUMMYFUNCTION("""COMPUTED_VALUE"""),0.105)</f>
        <v>0.105</v>
      </c>
      <c r="M1422" s="18">
        <f>IFERROR(__xludf.DUMMYFUNCTION("""COMPUTED_VALUE"""),3.43)</f>
        <v>3.43</v>
      </c>
    </row>
    <row r="1423">
      <c r="A1423" s="13" t="str">
        <f>IFERROR(__xludf.DUMMYFUNCTION("""COMPUTED_VALUE"""),"товари")</f>
        <v>товари</v>
      </c>
      <c r="B1423" s="16" t="str">
        <f>IFERROR(__xludf.DUMMYFUNCTION("""COMPUTED_VALUE"""),"електрообладнання")</f>
        <v>електрообладнання</v>
      </c>
      <c r="C1423" s="16" t="str">
        <f>IFERROR(__xludf.DUMMYFUNCTION("""COMPUTED_VALUE"""),"освітлення, електрика")</f>
        <v>освітлення, електрика</v>
      </c>
      <c r="D1423" s="16" t="str">
        <f>IFERROR(__xludf.DUMMYFUNCTION("""COMPUTED_VALUE"""),"комплектуючі для освітлення та електрики")</f>
        <v>комплектуючі для освітлення та електрики</v>
      </c>
      <c r="E1423" s="16" t="str">
        <f>IFERROR(__xludf.DUMMYFUNCTION("""COMPUTED_VALUE"""),"світлодіодні пікселі, модулі")</f>
        <v>світлодіодні пікселі, модулі</v>
      </c>
      <c r="F1423" s="17">
        <f>IFERROR(__xludf.DUMMYFUNCTION("""COMPUTED_VALUE"""),4.0)</f>
        <v>4</v>
      </c>
      <c r="G1423" s="17" t="str">
        <f>IFERROR(__xludf.DUMMYFUNCTION("""COMPUTED_VALUE"""),"53008")</f>
        <v>53008</v>
      </c>
      <c r="H1423" s="17" t="str">
        <f>IFERROR(__xludf.DUMMYFUNCTION("""COMPUTED_VALUE"""),"світлодіодні пікселі, модулі")</f>
        <v>світлодіодні пікселі, модулі</v>
      </c>
      <c r="I1423" s="19">
        <f>IFERROR(__xludf.DUMMYFUNCTION("""COMPUTED_VALUE"""),0.0741)</f>
        <v>0.0741</v>
      </c>
      <c r="J1423" s="19">
        <f>IFERROR(__xludf.DUMMYFUNCTION("""COMPUTED_VALUE"""),0.1481)</f>
        <v>0.1481</v>
      </c>
      <c r="K1423" s="19">
        <f>IFERROR(__xludf.DUMMYFUNCTION("""COMPUTED_VALUE"""),0.1851)</f>
        <v>0.1851</v>
      </c>
      <c r="L1423" s="19">
        <f>IFERROR(__xludf.DUMMYFUNCTION("""COMPUTED_VALUE"""),0.2222)</f>
        <v>0.2222</v>
      </c>
      <c r="M1423" s="18">
        <f>IFERROR(__xludf.DUMMYFUNCTION("""COMPUTED_VALUE"""),1.05)</f>
        <v>1.05</v>
      </c>
    </row>
    <row r="1424">
      <c r="A1424" s="13" t="str">
        <f>IFERROR(__xludf.DUMMYFUNCTION("""COMPUTED_VALUE"""),"товари")</f>
        <v>товари</v>
      </c>
      <c r="B1424" s="16" t="str">
        <f>IFERROR(__xludf.DUMMYFUNCTION("""COMPUTED_VALUE"""),"електрообладнання")</f>
        <v>електрообладнання</v>
      </c>
      <c r="C1424" s="16" t="str">
        <f>IFERROR(__xludf.DUMMYFUNCTION("""COMPUTED_VALUE"""),"монтажне обладнання")</f>
        <v>монтажне обладнання</v>
      </c>
      <c r="D1424" s="16" t="str">
        <f>IFERROR(__xludf.DUMMYFUNCTION("""COMPUTED_VALUE"""),"дріт, кабель, системи з'єднання")</f>
        <v>дріт, кабель, системи з'єднання</v>
      </c>
      <c r="E1424" s="16" t="str">
        <f>IFERROR(__xludf.DUMMYFUNCTION("""COMPUTED_VALUE"""),"силові кабелі, перемички")</f>
        <v>силові кабелі, перемички</v>
      </c>
      <c r="F1424" s="17">
        <f>IFERROR(__xludf.DUMMYFUNCTION("""COMPUTED_VALUE"""),4.0)</f>
        <v>4</v>
      </c>
      <c r="G1424" s="17" t="str">
        <f>IFERROR(__xludf.DUMMYFUNCTION("""COMPUTED_VALUE"""),"14190408")</f>
        <v>14190408</v>
      </c>
      <c r="H1424" s="17" t="str">
        <f>IFERROR(__xludf.DUMMYFUNCTION("""COMPUTED_VALUE"""),"силові кабелі, перемички")</f>
        <v>силові кабелі, перемички</v>
      </c>
      <c r="I1424" s="19">
        <f>IFERROR(__xludf.DUMMYFUNCTION("""COMPUTED_VALUE"""),0.0306)</f>
        <v>0.0306</v>
      </c>
      <c r="J1424" s="19">
        <f>IFERROR(__xludf.DUMMYFUNCTION("""COMPUTED_VALUE"""),0.0611)</f>
        <v>0.0611</v>
      </c>
      <c r="K1424" s="19">
        <f>IFERROR(__xludf.DUMMYFUNCTION("""COMPUTED_VALUE"""),0.0764)</f>
        <v>0.0764</v>
      </c>
      <c r="L1424" s="19">
        <f>IFERROR(__xludf.DUMMYFUNCTION("""COMPUTED_VALUE"""),0.0917)</f>
        <v>0.0917</v>
      </c>
      <c r="M1424" s="18">
        <f>IFERROR(__xludf.DUMMYFUNCTION("""COMPUTED_VALUE"""),3.43)</f>
        <v>3.43</v>
      </c>
    </row>
    <row r="1425">
      <c r="A1425" s="13" t="str">
        <f>IFERROR(__xludf.DUMMYFUNCTION("""COMPUTED_VALUE"""),"товари")</f>
        <v>товари</v>
      </c>
      <c r="B1425" s="16" t="str">
        <f>IFERROR(__xludf.DUMMYFUNCTION("""COMPUTED_VALUE"""),"електрообладнання")</f>
        <v>електрообладнання</v>
      </c>
      <c r="C1425" s="16" t="str">
        <f>IFERROR(__xludf.DUMMYFUNCTION("""COMPUTED_VALUE"""),"обладнання для електропостачання")</f>
        <v>обладнання для електропостачання</v>
      </c>
      <c r="D1425" s="16" t="str">
        <f>IFERROR(__xludf.DUMMYFUNCTION("""COMPUTED_VALUE"""),"блоки живлення")</f>
        <v>блоки живлення</v>
      </c>
      <c r="E1425" s="16" t="str">
        <f>IFERROR(__xludf.DUMMYFUNCTION("""COMPUTED_VALUE"""),"стабілізатори напруги")</f>
        <v>стабілізатори напруги</v>
      </c>
      <c r="F1425" s="17">
        <f>IFERROR(__xludf.DUMMYFUNCTION("""COMPUTED_VALUE"""),4.0)</f>
        <v>4</v>
      </c>
      <c r="G1425" s="17" t="str">
        <f>IFERROR(__xludf.DUMMYFUNCTION("""COMPUTED_VALUE"""),"14191107")</f>
        <v>14191107</v>
      </c>
      <c r="H1425" s="17" t="str">
        <f>IFERROR(__xludf.DUMMYFUNCTION("""COMPUTED_VALUE"""),"стабілізатори напруги")</f>
        <v>стабілізатори напруги</v>
      </c>
      <c r="I1425" s="19">
        <f>IFERROR(__xludf.DUMMYFUNCTION("""COMPUTED_VALUE"""),0.0466)</f>
        <v>0.0466</v>
      </c>
      <c r="J1425" s="19">
        <f>IFERROR(__xludf.DUMMYFUNCTION("""COMPUTED_VALUE"""),0.0931)</f>
        <v>0.0931</v>
      </c>
      <c r="K1425" s="19">
        <f>IFERROR(__xludf.DUMMYFUNCTION("""COMPUTED_VALUE"""),0.1164)</f>
        <v>0.1164</v>
      </c>
      <c r="L1425" s="19">
        <f>IFERROR(__xludf.DUMMYFUNCTION("""COMPUTED_VALUE"""),0.1397)</f>
        <v>0.1397</v>
      </c>
      <c r="M1425" s="18">
        <f>IFERROR(__xludf.DUMMYFUNCTION("""COMPUTED_VALUE"""),2.61)</f>
        <v>2.61</v>
      </c>
    </row>
    <row r="1426">
      <c r="A1426" s="13" t="str">
        <f>IFERROR(__xludf.DUMMYFUNCTION("""COMPUTED_VALUE"""),"товари")</f>
        <v>товари</v>
      </c>
      <c r="B1426" s="16" t="str">
        <f>IFERROR(__xludf.DUMMYFUNCTION("""COMPUTED_VALUE"""),"електрообладнання")</f>
        <v>електрообладнання</v>
      </c>
      <c r="C1426" s="16" t="str">
        <f>IFERROR(__xludf.DUMMYFUNCTION("""COMPUTED_VALUE"""),"компоненти асутп")</f>
        <v>компоненти асутп</v>
      </c>
      <c r="D1426" s="16" t="str">
        <f>IFERROR(__xludf.DUMMYFUNCTION("""COMPUTED_VALUE"""),"реле")</f>
        <v>реле</v>
      </c>
      <c r="E1426" s="16" t="str">
        <f>IFERROR(__xludf.DUMMYFUNCTION("""COMPUTED_VALUE"""),"твердотільні реле")</f>
        <v>твердотільні реле</v>
      </c>
      <c r="F1426" s="17">
        <f>IFERROR(__xludf.DUMMYFUNCTION("""COMPUTED_VALUE"""),4.0)</f>
        <v>4</v>
      </c>
      <c r="G1426" s="17" t="str">
        <f>IFERROR(__xludf.DUMMYFUNCTION("""COMPUTED_VALUE"""),"14190912")</f>
        <v>14190912</v>
      </c>
      <c r="H1426" s="17" t="str">
        <f>IFERROR(__xludf.DUMMYFUNCTION("""COMPUTED_VALUE"""),"твердотільні реле")</f>
        <v>твердотільні реле</v>
      </c>
      <c r="I1426" s="19">
        <f>IFERROR(__xludf.DUMMYFUNCTION("""COMPUTED_VALUE"""),0.0745)</f>
        <v>0.0745</v>
      </c>
      <c r="J1426" s="19">
        <f>IFERROR(__xludf.DUMMYFUNCTION("""COMPUTED_VALUE"""),0.1489)</f>
        <v>0.1489</v>
      </c>
      <c r="K1426" s="19">
        <f>IFERROR(__xludf.DUMMYFUNCTION("""COMPUTED_VALUE"""),0.1861)</f>
        <v>0.1861</v>
      </c>
      <c r="L1426" s="19">
        <f>IFERROR(__xludf.DUMMYFUNCTION("""COMPUTED_VALUE"""),0.2234)</f>
        <v>0.2234</v>
      </c>
      <c r="M1426" s="18">
        <f>IFERROR(__xludf.DUMMYFUNCTION("""COMPUTED_VALUE"""),1.71)</f>
        <v>1.71</v>
      </c>
    </row>
    <row r="1427">
      <c r="A1427" s="13" t="str">
        <f>IFERROR(__xludf.DUMMYFUNCTION("""COMPUTED_VALUE"""),"товари")</f>
        <v>товари</v>
      </c>
      <c r="B1427" s="16" t="str">
        <f>IFERROR(__xludf.DUMMYFUNCTION("""COMPUTED_VALUE"""),"електрообладнання")</f>
        <v>електрообладнання</v>
      </c>
      <c r="C1427" s="16" t="str">
        <f>IFERROR(__xludf.DUMMYFUNCTION("""COMPUTED_VALUE"""),"електронні компоненти")</f>
        <v>електронні компоненти</v>
      </c>
      <c r="D1427" s="16" t="str">
        <f>IFERROR(__xludf.DUMMYFUNCTION("""COMPUTED_VALUE"""),"пасивні компоненти")</f>
        <v>пасивні компоненти</v>
      </c>
      <c r="E1427" s="16" t="str">
        <f>IFERROR(__xludf.DUMMYFUNCTION("""COMPUTED_VALUE"""),"термозапобіжники")</f>
        <v>термозапобіжники</v>
      </c>
      <c r="F1427" s="17">
        <f>IFERROR(__xludf.DUMMYFUNCTION("""COMPUTED_VALUE"""),4.0)</f>
        <v>4</v>
      </c>
      <c r="G1427" s="17" t="str">
        <f>IFERROR(__xludf.DUMMYFUNCTION("""COMPUTED_VALUE"""),"400504")</f>
        <v>400504</v>
      </c>
      <c r="H1427" s="17" t="str">
        <f>IFERROR(__xludf.DUMMYFUNCTION("""COMPUTED_VALUE"""),"термозапобіжники")</f>
        <v>термозапобіжники</v>
      </c>
      <c r="I1427" s="19">
        <f>IFERROR(__xludf.DUMMYFUNCTION("""COMPUTED_VALUE"""),0.0688)</f>
        <v>0.0688</v>
      </c>
      <c r="J1427" s="19">
        <f>IFERROR(__xludf.DUMMYFUNCTION("""COMPUTED_VALUE"""),0.1375)</f>
        <v>0.1375</v>
      </c>
      <c r="K1427" s="19">
        <f>IFERROR(__xludf.DUMMYFUNCTION("""COMPUTED_VALUE"""),0.1719)</f>
        <v>0.1719</v>
      </c>
      <c r="L1427" s="19">
        <f>IFERROR(__xludf.DUMMYFUNCTION("""COMPUTED_VALUE"""),0.2063)</f>
        <v>0.2063</v>
      </c>
      <c r="M1427" s="18">
        <f>IFERROR(__xludf.DUMMYFUNCTION("""COMPUTED_VALUE"""),1.05)</f>
        <v>1.05</v>
      </c>
    </row>
    <row r="1428">
      <c r="A1428" s="13" t="str">
        <f>IFERROR(__xludf.DUMMYFUNCTION("""COMPUTED_VALUE"""),"товари")</f>
        <v>товари</v>
      </c>
      <c r="B1428" s="16" t="str">
        <f>IFERROR(__xludf.DUMMYFUNCTION("""COMPUTED_VALUE"""),"електрообладнання")</f>
        <v>електрообладнання</v>
      </c>
      <c r="C1428" s="16" t="str">
        <f>IFERROR(__xludf.DUMMYFUNCTION("""COMPUTED_VALUE"""),"електронні компоненти")</f>
        <v>електронні компоненти</v>
      </c>
      <c r="D1428" s="16" t="str">
        <f>IFERROR(__xludf.DUMMYFUNCTION("""COMPUTED_VALUE"""),"активні компоненти")</f>
        <v>активні компоненти</v>
      </c>
      <c r="E1428" s="16" t="str">
        <f>IFERROR(__xludf.DUMMYFUNCTION("""COMPUTED_VALUE"""),"транзистори")</f>
        <v>транзистори</v>
      </c>
      <c r="F1428" s="17">
        <f>IFERROR(__xludf.DUMMYFUNCTION("""COMPUTED_VALUE"""),4.0)</f>
        <v>4</v>
      </c>
      <c r="G1428" s="17" t="str">
        <f>IFERROR(__xludf.DUMMYFUNCTION("""COMPUTED_VALUE"""),"400107")</f>
        <v>400107</v>
      </c>
      <c r="H1428" s="17" t="str">
        <f>IFERROR(__xludf.DUMMYFUNCTION("""COMPUTED_VALUE"""),"транзистори")</f>
        <v>транзистори</v>
      </c>
      <c r="I1428" s="19">
        <f>IFERROR(__xludf.DUMMYFUNCTION("""COMPUTED_VALUE"""),0.0733)</f>
        <v>0.0733</v>
      </c>
      <c r="J1428" s="19">
        <f>IFERROR(__xludf.DUMMYFUNCTION("""COMPUTED_VALUE"""),0.1465)</f>
        <v>0.1465</v>
      </c>
      <c r="K1428" s="19">
        <f>IFERROR(__xludf.DUMMYFUNCTION("""COMPUTED_VALUE"""),0.1831)</f>
        <v>0.1831</v>
      </c>
      <c r="L1428" s="19">
        <f>IFERROR(__xludf.DUMMYFUNCTION("""COMPUTED_VALUE"""),0.2198)</f>
        <v>0.2198</v>
      </c>
      <c r="M1428" s="18">
        <f>IFERROR(__xludf.DUMMYFUNCTION("""COMPUTED_VALUE"""),2.34)</f>
        <v>2.34</v>
      </c>
    </row>
    <row r="1429">
      <c r="A1429" s="13" t="str">
        <f>IFERROR(__xludf.DUMMYFUNCTION("""COMPUTED_VALUE"""),"товари")</f>
        <v>товари</v>
      </c>
      <c r="B1429" s="16" t="str">
        <f>IFERROR(__xludf.DUMMYFUNCTION("""COMPUTED_VALUE"""),"електрообладнання")</f>
        <v>електрообладнання</v>
      </c>
      <c r="C1429" s="16" t="str">
        <f>IFERROR(__xludf.DUMMYFUNCTION("""COMPUTED_VALUE"""),"технічні вимикачі")</f>
        <v>технічні вимикачі</v>
      </c>
      <c r="D1429" s="16" t="str">
        <f>IFERROR(__xludf.DUMMYFUNCTION("""COMPUTED_VALUE"""),"тумблери")</f>
        <v>тумблери</v>
      </c>
      <c r="E1429" s="16" t="str">
        <f>IFERROR(__xludf.DUMMYFUNCTION("""COMPUTED_VALUE"""),"тумблери")</f>
        <v>тумблери</v>
      </c>
      <c r="F1429" s="17">
        <f>IFERROR(__xludf.DUMMYFUNCTION("""COMPUTED_VALUE"""),3.0)</f>
        <v>3</v>
      </c>
      <c r="G1429" s="17" t="str">
        <f>IFERROR(__xludf.DUMMYFUNCTION("""COMPUTED_VALUE"""),"410611")</f>
        <v>410611</v>
      </c>
      <c r="H1429" s="17" t="str">
        <f>IFERROR(__xludf.DUMMYFUNCTION("""COMPUTED_VALUE"""),"тумблери")</f>
        <v>тумблери</v>
      </c>
      <c r="I1429" s="19">
        <f>IFERROR(__xludf.DUMMYFUNCTION("""COMPUTED_VALUE"""),0.0447)</f>
        <v>0.0447</v>
      </c>
      <c r="J1429" s="19">
        <f>IFERROR(__xludf.DUMMYFUNCTION("""COMPUTED_VALUE"""),0.0893)</f>
        <v>0.0893</v>
      </c>
      <c r="K1429" s="19">
        <f>IFERROR(__xludf.DUMMYFUNCTION("""COMPUTED_VALUE"""),0.1116)</f>
        <v>0.1116</v>
      </c>
      <c r="L1429" s="19">
        <f>IFERROR(__xludf.DUMMYFUNCTION("""COMPUTED_VALUE"""),0.134)</f>
        <v>0.134</v>
      </c>
      <c r="M1429" s="18">
        <f>IFERROR(__xludf.DUMMYFUNCTION("""COMPUTED_VALUE"""),1.05)</f>
        <v>1.05</v>
      </c>
    </row>
    <row r="1430">
      <c r="A1430" s="13" t="str">
        <f>IFERROR(__xludf.DUMMYFUNCTION("""COMPUTED_VALUE"""),"товари")</f>
        <v>товари</v>
      </c>
      <c r="B1430" s="16" t="str">
        <f>IFERROR(__xludf.DUMMYFUNCTION("""COMPUTED_VALUE"""),"електрообладнання")</f>
        <v>електрообладнання</v>
      </c>
      <c r="C1430" s="16" t="str">
        <f>IFERROR(__xludf.DUMMYFUNCTION("""COMPUTED_VALUE"""),"батареї та акумулятори")</f>
        <v>батареї та акумулятори</v>
      </c>
      <c r="D1430" s="16" t="str">
        <f>IFERROR(__xludf.DUMMYFUNCTION("""COMPUTED_VALUE"""),"тягові акумулятори")</f>
        <v>тягові акумулятори</v>
      </c>
      <c r="E1430" s="16" t="str">
        <f>IFERROR(__xludf.DUMMYFUNCTION("""COMPUTED_VALUE"""),"тягові акумулятори")</f>
        <v>тягові акумулятори</v>
      </c>
      <c r="F1430" s="17">
        <f>IFERROR(__xludf.DUMMYFUNCTION("""COMPUTED_VALUE"""),3.0)</f>
        <v>3</v>
      </c>
      <c r="G1430" s="17" t="str">
        <f>IFERROR(__xludf.DUMMYFUNCTION("""COMPUTED_VALUE"""),"52809")</f>
        <v>52809</v>
      </c>
      <c r="H1430" s="17" t="str">
        <f>IFERROR(__xludf.DUMMYFUNCTION("""COMPUTED_VALUE"""),"тягові акумулятори")</f>
        <v>тягові акумулятори</v>
      </c>
      <c r="I1430" s="19">
        <f>IFERROR(__xludf.DUMMYFUNCTION("""COMPUTED_VALUE"""),0.053)</f>
        <v>0.053</v>
      </c>
      <c r="J1430" s="19">
        <f>IFERROR(__xludf.DUMMYFUNCTION("""COMPUTED_VALUE"""),0.106)</f>
        <v>0.106</v>
      </c>
      <c r="K1430" s="19">
        <f>IFERROR(__xludf.DUMMYFUNCTION("""COMPUTED_VALUE"""),0.1325)</f>
        <v>0.1325</v>
      </c>
      <c r="L1430" s="19">
        <f>IFERROR(__xludf.DUMMYFUNCTION("""COMPUTED_VALUE"""),0.159)</f>
        <v>0.159</v>
      </c>
      <c r="M1430" s="18">
        <f>IFERROR(__xludf.DUMMYFUNCTION("""COMPUTED_VALUE"""),2.53)</f>
        <v>2.53</v>
      </c>
    </row>
    <row r="1431">
      <c r="A1431" s="13" t="str">
        <f>IFERROR(__xludf.DUMMYFUNCTION("""COMPUTED_VALUE"""),"товари")</f>
        <v>товари</v>
      </c>
      <c r="B1431" s="16" t="str">
        <f>IFERROR(__xludf.DUMMYFUNCTION("""COMPUTED_VALUE"""),"електрообладнання")</f>
        <v>електрообладнання</v>
      </c>
      <c r="C1431" s="16" t="str">
        <f>IFERROR(__xludf.DUMMYFUNCTION("""COMPUTED_VALUE"""),"компоненти асутп")</f>
        <v>компоненти асутп</v>
      </c>
      <c r="D1431" s="16" t="str">
        <f>IFERROR(__xludf.DUMMYFUNCTION("""COMPUTED_VALUE"""),"реле")</f>
        <v>реле</v>
      </c>
      <c r="E1431" s="16" t="str">
        <f>IFERROR(__xludf.DUMMYFUNCTION("""COMPUTED_VALUE"""),"фотореле")</f>
        <v>фотореле</v>
      </c>
      <c r="F1431" s="17">
        <f>IFERROR(__xludf.DUMMYFUNCTION("""COMPUTED_VALUE"""),4.0)</f>
        <v>4</v>
      </c>
      <c r="G1431" s="17" t="str">
        <f>IFERROR(__xludf.DUMMYFUNCTION("""COMPUTED_VALUE"""),"14190910")</f>
        <v>14190910</v>
      </c>
      <c r="H1431" s="17" t="str">
        <f>IFERROR(__xludf.DUMMYFUNCTION("""COMPUTED_VALUE"""),"фотореле")</f>
        <v>фотореле</v>
      </c>
      <c r="I1431" s="19">
        <f>IFERROR(__xludf.DUMMYFUNCTION("""COMPUTED_VALUE"""),0.0735)</f>
        <v>0.0735</v>
      </c>
      <c r="J1431" s="19">
        <f>IFERROR(__xludf.DUMMYFUNCTION("""COMPUTED_VALUE"""),0.1469)</f>
        <v>0.1469</v>
      </c>
      <c r="K1431" s="19">
        <f>IFERROR(__xludf.DUMMYFUNCTION("""COMPUTED_VALUE"""),0.1836)</f>
        <v>0.1836</v>
      </c>
      <c r="L1431" s="19">
        <f>IFERROR(__xludf.DUMMYFUNCTION("""COMPUTED_VALUE"""),0.2204)</f>
        <v>0.2204</v>
      </c>
      <c r="M1431" s="18">
        <f>IFERROR(__xludf.DUMMYFUNCTION("""COMPUTED_VALUE"""),1.71)</f>
        <v>1.71</v>
      </c>
    </row>
    <row r="1432">
      <c r="A1432" s="13" t="str">
        <f>IFERROR(__xludf.DUMMYFUNCTION("""COMPUTED_VALUE"""),"товари")</f>
        <v>товари</v>
      </c>
      <c r="B1432" s="16" t="str">
        <f>IFERROR(__xludf.DUMMYFUNCTION("""COMPUTED_VALUE"""),"електрообладнання")</f>
        <v>електрообладнання</v>
      </c>
      <c r="C1432" s="16" t="str">
        <f>IFERROR(__xludf.DUMMYFUNCTION("""COMPUTED_VALUE"""),"монтажне обладнання")</f>
        <v>монтажне обладнання</v>
      </c>
      <c r="D1432" s="16" t="str">
        <f>IFERROR(__xludf.DUMMYFUNCTION("""COMPUTED_VALUE"""),"дріт, кабель, системи з'єднання")</f>
        <v>дріт, кабель, системи з'єднання</v>
      </c>
      <c r="E1432" s="16" t="str">
        <f>IFERROR(__xludf.DUMMYFUNCTION("""COMPUTED_VALUE"""),"шнури, перехідники")</f>
        <v>шнури, перехідники</v>
      </c>
      <c r="F1432" s="17">
        <f>IFERROR(__xludf.DUMMYFUNCTION("""COMPUTED_VALUE"""),4.0)</f>
        <v>4</v>
      </c>
      <c r="G1432" s="17" t="str">
        <f>IFERROR(__xludf.DUMMYFUNCTION("""COMPUTED_VALUE"""),"14190409")</f>
        <v>14190409</v>
      </c>
      <c r="H1432" s="17" t="str">
        <f>IFERROR(__xludf.DUMMYFUNCTION("""COMPUTED_VALUE"""),"шнури, перехідники")</f>
        <v>шнури, перехідники</v>
      </c>
      <c r="I1432" s="19">
        <f>IFERROR(__xludf.DUMMYFUNCTION("""COMPUTED_VALUE"""),0.035)</f>
        <v>0.035</v>
      </c>
      <c r="J1432" s="19">
        <f>IFERROR(__xludf.DUMMYFUNCTION("""COMPUTED_VALUE"""),0.07)</f>
        <v>0.07</v>
      </c>
      <c r="K1432" s="19">
        <f>IFERROR(__xludf.DUMMYFUNCTION("""COMPUTED_VALUE"""),0.0875)</f>
        <v>0.0875</v>
      </c>
      <c r="L1432" s="19">
        <f>IFERROR(__xludf.DUMMYFUNCTION("""COMPUTED_VALUE"""),0.105)</f>
        <v>0.105</v>
      </c>
      <c r="M1432" s="18">
        <f>IFERROR(__xludf.DUMMYFUNCTION("""COMPUTED_VALUE"""),3.43)</f>
        <v>3.43</v>
      </c>
    </row>
    <row r="1433">
      <c r="A1433" s="13" t="str">
        <f>IFERROR(__xludf.DUMMYFUNCTION("""COMPUTED_VALUE"""),"товари")</f>
        <v>товари</v>
      </c>
      <c r="B1433" s="16" t="str">
        <f>IFERROR(__xludf.DUMMYFUNCTION("""COMPUTED_VALUE"""),"електрообладнання")</f>
        <v>електрообладнання</v>
      </c>
      <c r="C1433" s="16" t="str">
        <f>IFERROR(__xludf.DUMMYFUNCTION("""COMPUTED_VALUE"""),"обладнання для електропостачання")</f>
        <v>обладнання для електропостачання</v>
      </c>
      <c r="D1433" s="16" t="str">
        <f>IFERROR(__xludf.DUMMYFUNCTION("""COMPUTED_VALUE"""),"щитове обладнання")</f>
        <v>щитове обладнання</v>
      </c>
      <c r="E1433" s="16" t="str">
        <f>IFERROR(__xludf.DUMMYFUNCTION("""COMPUTED_VALUE"""),"щитове обладнання")</f>
        <v>щитове обладнання</v>
      </c>
      <c r="F1433" s="17">
        <f>IFERROR(__xludf.DUMMYFUNCTION("""COMPUTED_VALUE"""),3.0)</f>
        <v>3</v>
      </c>
      <c r="G1433" s="17" t="str">
        <f>IFERROR(__xludf.DUMMYFUNCTION("""COMPUTED_VALUE"""),"50904")</f>
        <v>50904</v>
      </c>
      <c r="H1433" s="17" t="str">
        <f>IFERROR(__xludf.DUMMYFUNCTION("""COMPUTED_VALUE"""),"щитове обладнання")</f>
        <v>щитове обладнання</v>
      </c>
      <c r="I1433" s="19">
        <f>IFERROR(__xludf.DUMMYFUNCTION("""COMPUTED_VALUE"""),0.0678)</f>
        <v>0.0678</v>
      </c>
      <c r="J1433" s="19">
        <f>IFERROR(__xludf.DUMMYFUNCTION("""COMPUTED_VALUE"""),0.1355)</f>
        <v>0.1355</v>
      </c>
      <c r="K1433" s="19">
        <f>IFERROR(__xludf.DUMMYFUNCTION("""COMPUTED_VALUE"""),0.1694)</f>
        <v>0.1694</v>
      </c>
      <c r="L1433" s="19">
        <f>IFERROR(__xludf.DUMMYFUNCTION("""COMPUTED_VALUE"""),0.2033)</f>
        <v>0.2033</v>
      </c>
      <c r="M1433" s="18">
        <f>IFERROR(__xludf.DUMMYFUNCTION("""COMPUTED_VALUE"""),3.9)</f>
        <v>3.9</v>
      </c>
    </row>
    <row r="1434">
      <c r="A1434" s="13" t="str">
        <f>IFERROR(__xludf.DUMMYFUNCTION("""COMPUTED_VALUE"""),"товари")</f>
        <v>товари</v>
      </c>
      <c r="B1434" s="16" t="str">
        <f>IFERROR(__xludf.DUMMYFUNCTION("""COMPUTED_VALUE"""),"зоотовари")</f>
        <v>зоотовари</v>
      </c>
      <c r="C1434" s="16" t="str">
        <f>IFERROR(__xludf.DUMMYFUNCTION("""COMPUTED_VALUE"""),"товари для домашніх тварин і птахів")</f>
        <v>товари для домашніх тварин і птахів</v>
      </c>
      <c r="D1434" s="16" t="str">
        <f>IFERROR(__xludf.DUMMYFUNCTION("""COMPUTED_VALUE"""),"автомобільні підстилки і гамаки для собак")</f>
        <v>автомобільні підстилки і гамаки для собак</v>
      </c>
      <c r="E1434" s="16" t="str">
        <f>IFERROR(__xludf.DUMMYFUNCTION("""COMPUTED_VALUE"""),"автомобільні підстилки і гамаки для собак")</f>
        <v>автомобільні підстилки і гамаки для собак</v>
      </c>
      <c r="F1434" s="17">
        <f>IFERROR(__xludf.DUMMYFUNCTION("""COMPUTED_VALUE"""),3.0)</f>
        <v>3</v>
      </c>
      <c r="G1434" s="17" t="str">
        <f>IFERROR(__xludf.DUMMYFUNCTION("""COMPUTED_VALUE"""),"270259")</f>
        <v>270259</v>
      </c>
      <c r="H1434" s="17" t="str">
        <f>IFERROR(__xludf.DUMMYFUNCTION("""COMPUTED_VALUE"""),"автомобільні підстилки і гамаки для собак")</f>
        <v>автомобільні підстилки і гамаки для собак</v>
      </c>
      <c r="I1434" s="19">
        <f>IFERROR(__xludf.DUMMYFUNCTION("""COMPUTED_VALUE"""),0.04)</f>
        <v>0.04</v>
      </c>
      <c r="J1434" s="19">
        <f>IFERROR(__xludf.DUMMYFUNCTION("""COMPUTED_VALUE"""),0.08)</f>
        <v>0.08</v>
      </c>
      <c r="K1434" s="19">
        <f>IFERROR(__xludf.DUMMYFUNCTION("""COMPUTED_VALUE"""),0.1)</f>
        <v>0.1</v>
      </c>
      <c r="L1434" s="19">
        <f>IFERROR(__xludf.DUMMYFUNCTION("""COMPUTED_VALUE"""),0.12)</f>
        <v>0.12</v>
      </c>
      <c r="M1434" s="18">
        <f>IFERROR(__xludf.DUMMYFUNCTION("""COMPUTED_VALUE"""),1.05)</f>
        <v>1.05</v>
      </c>
    </row>
    <row r="1435">
      <c r="A1435" s="13" t="str">
        <f>IFERROR(__xludf.DUMMYFUNCTION("""COMPUTED_VALUE"""),"товари")</f>
        <v>товари</v>
      </c>
      <c r="B1435" s="16" t="str">
        <f>IFERROR(__xludf.DUMMYFUNCTION("""COMPUTED_VALUE"""),"зоотовари")</f>
        <v>зоотовари</v>
      </c>
      <c r="C1435" s="16" t="str">
        <f>IFERROR(__xludf.DUMMYFUNCTION("""COMPUTED_VALUE"""),"товари для риб")</f>
        <v>товари для риб</v>
      </c>
      <c r="D1435" s="16" t="str">
        <f>IFERROR(__xludf.DUMMYFUNCTION("""COMPUTED_VALUE"""),"акваріуми")</f>
        <v>акваріуми</v>
      </c>
      <c r="E1435" s="16" t="str">
        <f>IFERROR(__xludf.DUMMYFUNCTION("""COMPUTED_VALUE"""),"акваріуми")</f>
        <v>акваріуми</v>
      </c>
      <c r="F1435" s="17">
        <f>IFERROR(__xludf.DUMMYFUNCTION("""COMPUTED_VALUE"""),3.0)</f>
        <v>3</v>
      </c>
      <c r="G1435" s="17" t="str">
        <f>IFERROR(__xludf.DUMMYFUNCTION("""COMPUTED_VALUE"""),"371004")</f>
        <v>371004</v>
      </c>
      <c r="H1435" s="17" t="str">
        <f>IFERROR(__xludf.DUMMYFUNCTION("""COMPUTED_VALUE"""),"акваріуми")</f>
        <v>акваріуми</v>
      </c>
      <c r="I1435" s="19">
        <f>IFERROR(__xludf.DUMMYFUNCTION("""COMPUTED_VALUE"""),0.04)</f>
        <v>0.04</v>
      </c>
      <c r="J1435" s="19">
        <f>IFERROR(__xludf.DUMMYFUNCTION("""COMPUTED_VALUE"""),0.08)</f>
        <v>0.08</v>
      </c>
      <c r="K1435" s="19">
        <f>IFERROR(__xludf.DUMMYFUNCTION("""COMPUTED_VALUE"""),0.1)</f>
        <v>0.1</v>
      </c>
      <c r="L1435" s="19">
        <f>IFERROR(__xludf.DUMMYFUNCTION("""COMPUTED_VALUE"""),0.12)</f>
        <v>0.12</v>
      </c>
      <c r="M1435" s="18">
        <f>IFERROR(__xludf.DUMMYFUNCTION("""COMPUTED_VALUE"""),1.71)</f>
        <v>1.71</v>
      </c>
    </row>
    <row r="1436">
      <c r="A1436" s="13" t="str">
        <f>IFERROR(__xludf.DUMMYFUNCTION("""COMPUTED_VALUE"""),"товари")</f>
        <v>товари</v>
      </c>
      <c r="B1436" s="16" t="str">
        <f>IFERROR(__xludf.DUMMYFUNCTION("""COMPUTED_VALUE"""),"зоотовари")</f>
        <v>зоотовари</v>
      </c>
      <c r="C1436" s="16" t="str">
        <f>IFERROR(__xludf.DUMMYFUNCTION("""COMPUTED_VALUE"""),"товари для риб")</f>
        <v>товари для риб</v>
      </c>
      <c r="D1436" s="16" t="str">
        <f>IFERROR(__xludf.DUMMYFUNCTION("""COMPUTED_VALUE"""),"акваріумна хімія")</f>
        <v>акваріумна хімія</v>
      </c>
      <c r="E1436" s="16" t="str">
        <f>IFERROR(__xludf.DUMMYFUNCTION("""COMPUTED_VALUE"""),"акваріумна хімія")</f>
        <v>акваріумна хімія</v>
      </c>
      <c r="F1436" s="17">
        <f>IFERROR(__xludf.DUMMYFUNCTION("""COMPUTED_VALUE"""),3.0)</f>
        <v>3</v>
      </c>
      <c r="G1436" s="17" t="str">
        <f>IFERROR(__xludf.DUMMYFUNCTION("""COMPUTED_VALUE"""),"270242")</f>
        <v>270242</v>
      </c>
      <c r="H1436" s="17" t="str">
        <f>IFERROR(__xludf.DUMMYFUNCTION("""COMPUTED_VALUE"""),"акваріумна хімія")</f>
        <v>акваріумна хімія</v>
      </c>
      <c r="I1436" s="19">
        <f>IFERROR(__xludf.DUMMYFUNCTION("""COMPUTED_VALUE"""),0.04)</f>
        <v>0.04</v>
      </c>
      <c r="J1436" s="19">
        <f>IFERROR(__xludf.DUMMYFUNCTION("""COMPUTED_VALUE"""),0.08)</f>
        <v>0.08</v>
      </c>
      <c r="K1436" s="19">
        <f>IFERROR(__xludf.DUMMYFUNCTION("""COMPUTED_VALUE"""),0.1)</f>
        <v>0.1</v>
      </c>
      <c r="L1436" s="19">
        <f>IFERROR(__xludf.DUMMYFUNCTION("""COMPUTED_VALUE"""),0.12)</f>
        <v>0.12</v>
      </c>
      <c r="M1436" s="18">
        <f>IFERROR(__xludf.DUMMYFUNCTION("""COMPUTED_VALUE"""),1.05)</f>
        <v>1.05</v>
      </c>
    </row>
    <row r="1437">
      <c r="A1437" s="13" t="str">
        <f>IFERROR(__xludf.DUMMYFUNCTION("""COMPUTED_VALUE"""),"товари")</f>
        <v>товари</v>
      </c>
      <c r="B1437" s="16" t="str">
        <f>IFERROR(__xludf.DUMMYFUNCTION("""COMPUTED_VALUE"""),"зоотовари")</f>
        <v>зоотовари</v>
      </c>
      <c r="C1437" s="16" t="str">
        <f>IFERROR(__xludf.DUMMYFUNCTION("""COMPUTED_VALUE"""),"товари для домашніх тварин і птахів")</f>
        <v>товари для домашніх тварин і птахів</v>
      </c>
      <c r="D1437" s="16" t="str">
        <f>IFERROR(__xludf.DUMMYFUNCTION("""COMPUTED_VALUE"""),"аксесуари для дресирування собак")</f>
        <v>аксесуари для дресирування собак</v>
      </c>
      <c r="E1437" s="16" t="str">
        <f>IFERROR(__xludf.DUMMYFUNCTION("""COMPUTED_VALUE"""),"аксесуари для дресирування собак")</f>
        <v>аксесуари для дресирування собак</v>
      </c>
      <c r="F1437" s="17">
        <f>IFERROR(__xludf.DUMMYFUNCTION("""COMPUTED_VALUE"""),3.0)</f>
        <v>3</v>
      </c>
      <c r="G1437" s="17" t="str">
        <f>IFERROR(__xludf.DUMMYFUNCTION("""COMPUTED_VALUE"""),"180305")</f>
        <v>180305</v>
      </c>
      <c r="H1437" s="17" t="str">
        <f>IFERROR(__xludf.DUMMYFUNCTION("""COMPUTED_VALUE"""),"аксесуари для дресирування собак")</f>
        <v>аксесуари для дресирування собак</v>
      </c>
      <c r="I1437" s="19">
        <f>IFERROR(__xludf.DUMMYFUNCTION("""COMPUTED_VALUE"""),0.04)</f>
        <v>0.04</v>
      </c>
      <c r="J1437" s="19">
        <f>IFERROR(__xludf.DUMMYFUNCTION("""COMPUTED_VALUE"""),0.08)</f>
        <v>0.08</v>
      </c>
      <c r="K1437" s="19">
        <f>IFERROR(__xludf.DUMMYFUNCTION("""COMPUTED_VALUE"""),0.1)</f>
        <v>0.1</v>
      </c>
      <c r="L1437" s="19">
        <f>IFERROR(__xludf.DUMMYFUNCTION("""COMPUTED_VALUE"""),0.12)</f>
        <v>0.12</v>
      </c>
      <c r="M1437" s="18">
        <f>IFERROR(__xludf.DUMMYFUNCTION("""COMPUTED_VALUE"""),2.34)</f>
        <v>2.34</v>
      </c>
    </row>
    <row r="1438">
      <c r="A1438" s="13" t="str">
        <f>IFERROR(__xludf.DUMMYFUNCTION("""COMPUTED_VALUE"""),"товари")</f>
        <v>товари</v>
      </c>
      <c r="B1438" s="16" t="str">
        <f>IFERROR(__xludf.DUMMYFUNCTION("""COMPUTED_VALUE"""),"зоотовари")</f>
        <v>зоотовари</v>
      </c>
      <c r="C1438" s="16" t="str">
        <f>IFERROR(__xludf.DUMMYFUNCTION("""COMPUTED_VALUE"""),"ветеринарія")</f>
        <v>ветеринарія</v>
      </c>
      <c r="D1438" s="16" t="str">
        <f>IFERROR(__xludf.DUMMYFUNCTION("""COMPUTED_VALUE"""),"ветеринарні засоби та препарати")</f>
        <v>ветеринарні засоби та препарати</v>
      </c>
      <c r="E1438" s="16" t="str">
        <f>IFERROR(__xludf.DUMMYFUNCTION("""COMPUTED_VALUE"""),"антигістамінні ветеринарні препарати")</f>
        <v>антигістамінні ветеринарні препарати</v>
      </c>
      <c r="F1438" s="17">
        <f>IFERROR(__xludf.DUMMYFUNCTION("""COMPUTED_VALUE"""),4.0)</f>
        <v>4</v>
      </c>
      <c r="G1438" s="17" t="str">
        <f>IFERROR(__xludf.DUMMYFUNCTION("""COMPUTED_VALUE"""),"270502")</f>
        <v>270502</v>
      </c>
      <c r="H1438" s="17" t="str">
        <f>IFERROR(__xludf.DUMMYFUNCTION("""COMPUTED_VALUE"""),"антигістамінні ветеринарні препарати")</f>
        <v>антигістамінні ветеринарні препарати</v>
      </c>
      <c r="I1438" s="19">
        <f>IFERROR(__xludf.DUMMYFUNCTION("""COMPUTED_VALUE"""),0.0353)</f>
        <v>0.0353</v>
      </c>
      <c r="J1438" s="19">
        <f>IFERROR(__xludf.DUMMYFUNCTION("""COMPUTED_VALUE"""),0.0706)</f>
        <v>0.0706</v>
      </c>
      <c r="K1438" s="19">
        <f>IFERROR(__xludf.DUMMYFUNCTION("""COMPUTED_VALUE"""),0.0883)</f>
        <v>0.0883</v>
      </c>
      <c r="L1438" s="19">
        <f>IFERROR(__xludf.DUMMYFUNCTION("""COMPUTED_VALUE"""),0.1059)</f>
        <v>0.1059</v>
      </c>
      <c r="M1438" s="18">
        <f>IFERROR(__xludf.DUMMYFUNCTION("""COMPUTED_VALUE"""),1.71)</f>
        <v>1.71</v>
      </c>
    </row>
    <row r="1439">
      <c r="A1439" s="13" t="str">
        <f>IFERROR(__xludf.DUMMYFUNCTION("""COMPUTED_VALUE"""),"товари")</f>
        <v>товари</v>
      </c>
      <c r="B1439" s="16" t="str">
        <f>IFERROR(__xludf.DUMMYFUNCTION("""COMPUTED_VALUE"""),"зоотовари")</f>
        <v>зоотовари</v>
      </c>
      <c r="C1439" s="16" t="str">
        <f>IFERROR(__xludf.DUMMYFUNCTION("""COMPUTED_VALUE"""),"ветеринарія")</f>
        <v>ветеринарія</v>
      </c>
      <c r="D1439" s="16" t="str">
        <f>IFERROR(__xludf.DUMMYFUNCTION("""COMPUTED_VALUE"""),"ветеринарні засоби та препарати")</f>
        <v>ветеринарні засоби та препарати</v>
      </c>
      <c r="E1439" s="16" t="str">
        <f>IFERROR(__xludf.DUMMYFUNCTION("""COMPUTED_VALUE"""),"антипаразитарні засоби для тварин")</f>
        <v>антипаразитарні засоби для тварин</v>
      </c>
      <c r="F1439" s="17">
        <f>IFERROR(__xludf.DUMMYFUNCTION("""COMPUTED_VALUE"""),4.0)</f>
        <v>4</v>
      </c>
      <c r="G1439" s="17" t="str">
        <f>IFERROR(__xludf.DUMMYFUNCTION("""COMPUTED_VALUE"""),"270523")</f>
        <v>270523</v>
      </c>
      <c r="H1439" s="17" t="str">
        <f>IFERROR(__xludf.DUMMYFUNCTION("""COMPUTED_VALUE"""),"антипаразитарні засоби для тварин")</f>
        <v>антипаразитарні засоби для тварин</v>
      </c>
      <c r="I1439" s="19">
        <f>IFERROR(__xludf.DUMMYFUNCTION("""COMPUTED_VALUE"""),0.0353)</f>
        <v>0.0353</v>
      </c>
      <c r="J1439" s="19">
        <f>IFERROR(__xludf.DUMMYFUNCTION("""COMPUTED_VALUE"""),0.0706)</f>
        <v>0.0706</v>
      </c>
      <c r="K1439" s="19">
        <f>IFERROR(__xludf.DUMMYFUNCTION("""COMPUTED_VALUE"""),0.0883)</f>
        <v>0.0883</v>
      </c>
      <c r="L1439" s="19">
        <f>IFERROR(__xludf.DUMMYFUNCTION("""COMPUTED_VALUE"""),0.1059)</f>
        <v>0.1059</v>
      </c>
      <c r="M1439" s="18">
        <f>IFERROR(__xludf.DUMMYFUNCTION("""COMPUTED_VALUE"""),1.71)</f>
        <v>1.71</v>
      </c>
    </row>
    <row r="1440">
      <c r="A1440" s="13" t="str">
        <f>IFERROR(__xludf.DUMMYFUNCTION("""COMPUTED_VALUE"""),"товари")</f>
        <v>товари</v>
      </c>
      <c r="B1440" s="16" t="str">
        <f>IFERROR(__xludf.DUMMYFUNCTION("""COMPUTED_VALUE"""),"зоотовари")</f>
        <v>зоотовари</v>
      </c>
      <c r="C1440" s="16" t="str">
        <f>IFERROR(__xludf.DUMMYFUNCTION("""COMPUTED_VALUE"""),"ветеринарія")</f>
        <v>ветеринарія</v>
      </c>
      <c r="D1440" s="16" t="str">
        <f>IFERROR(__xludf.DUMMYFUNCTION("""COMPUTED_VALUE"""),"ветеринарні засоби та препарати")</f>
        <v>ветеринарні засоби та препарати</v>
      </c>
      <c r="E1440" s="16" t="str">
        <f>IFERROR(__xludf.DUMMYFUNCTION("""COMPUTED_VALUE"""),"антисептичні ветеринарні препарати")</f>
        <v>антисептичні ветеринарні препарати</v>
      </c>
      <c r="F1440" s="17">
        <f>IFERROR(__xludf.DUMMYFUNCTION("""COMPUTED_VALUE"""),4.0)</f>
        <v>4</v>
      </c>
      <c r="G1440" s="17" t="str">
        <f>IFERROR(__xludf.DUMMYFUNCTION("""COMPUTED_VALUE"""),"270524")</f>
        <v>270524</v>
      </c>
      <c r="H1440" s="17" t="str">
        <f>IFERROR(__xludf.DUMMYFUNCTION("""COMPUTED_VALUE"""),"антисептичні ветеринарні препарати")</f>
        <v>антисептичні ветеринарні препарати</v>
      </c>
      <c r="I1440" s="19">
        <f>IFERROR(__xludf.DUMMYFUNCTION("""COMPUTED_VALUE"""),0.0353)</f>
        <v>0.0353</v>
      </c>
      <c r="J1440" s="19">
        <f>IFERROR(__xludf.DUMMYFUNCTION("""COMPUTED_VALUE"""),0.0706)</f>
        <v>0.0706</v>
      </c>
      <c r="K1440" s="19">
        <f>IFERROR(__xludf.DUMMYFUNCTION("""COMPUTED_VALUE"""),0.0883)</f>
        <v>0.0883</v>
      </c>
      <c r="L1440" s="19">
        <f>IFERROR(__xludf.DUMMYFUNCTION("""COMPUTED_VALUE"""),0.1059)</f>
        <v>0.1059</v>
      </c>
      <c r="M1440" s="18">
        <f>IFERROR(__xludf.DUMMYFUNCTION("""COMPUTED_VALUE"""),1.71)</f>
        <v>1.71</v>
      </c>
    </row>
    <row r="1441">
      <c r="A1441" s="13" t="str">
        <f>IFERROR(__xludf.DUMMYFUNCTION("""COMPUTED_VALUE"""),"товари")</f>
        <v>товари</v>
      </c>
      <c r="B1441" s="16" t="str">
        <f>IFERROR(__xludf.DUMMYFUNCTION("""COMPUTED_VALUE"""),"зоотовари")</f>
        <v>зоотовари</v>
      </c>
      <c r="C1441" s="16" t="str">
        <f>IFERROR(__xludf.DUMMYFUNCTION("""COMPUTED_VALUE"""),"товари для домашніх тварин і птахів")</f>
        <v>товари для домашніх тварин і птахів</v>
      </c>
      <c r="D1441" s="16" t="str">
        <f>IFERROR(__xludf.DUMMYFUNCTION("""COMPUTED_VALUE"""),"одяг для домашніх тварин")</f>
        <v>одяг для домашніх тварин</v>
      </c>
      <c r="E1441" s="16" t="str">
        <f>IFERROR(__xludf.DUMMYFUNCTION("""COMPUTED_VALUE"""),"біжутерія і аксесуари для тварин")</f>
        <v>біжутерія і аксесуари для тварин</v>
      </c>
      <c r="F1441" s="17">
        <f>IFERROR(__xludf.DUMMYFUNCTION("""COMPUTED_VALUE"""),4.0)</f>
        <v>4</v>
      </c>
      <c r="G1441" s="17" t="str">
        <f>IFERROR(__xludf.DUMMYFUNCTION("""COMPUTED_VALUE"""),"270219")</f>
        <v>270219</v>
      </c>
      <c r="H1441" s="17" t="str">
        <f>IFERROR(__xludf.DUMMYFUNCTION("""COMPUTED_VALUE"""),"біжутерія і аксесуари для тварин")</f>
        <v>біжутерія і аксесуари для тварин</v>
      </c>
      <c r="I1441" s="19">
        <f>IFERROR(__xludf.DUMMYFUNCTION("""COMPUTED_VALUE"""),0.04)</f>
        <v>0.04</v>
      </c>
      <c r="J1441" s="19">
        <f>IFERROR(__xludf.DUMMYFUNCTION("""COMPUTED_VALUE"""),0.08)</f>
        <v>0.08</v>
      </c>
      <c r="K1441" s="19">
        <f>IFERROR(__xludf.DUMMYFUNCTION("""COMPUTED_VALUE"""),0.1)</f>
        <v>0.1</v>
      </c>
      <c r="L1441" s="19">
        <f>IFERROR(__xludf.DUMMYFUNCTION("""COMPUTED_VALUE"""),0.12)</f>
        <v>0.12</v>
      </c>
      <c r="M1441" s="18">
        <f>IFERROR(__xludf.DUMMYFUNCTION("""COMPUTED_VALUE"""),1.05)</f>
        <v>1.05</v>
      </c>
    </row>
    <row r="1442">
      <c r="A1442" s="13" t="str">
        <f>IFERROR(__xludf.DUMMYFUNCTION("""COMPUTED_VALUE"""),"товари")</f>
        <v>товари</v>
      </c>
      <c r="B1442" s="16" t="str">
        <f>IFERROR(__xludf.DUMMYFUNCTION("""COMPUTED_VALUE"""),"зоотовари")</f>
        <v>зоотовари</v>
      </c>
      <c r="C1442" s="16" t="str">
        <f>IFERROR(__xludf.DUMMYFUNCTION("""COMPUTED_VALUE"""),"товари для домашніх тварин і птахів")</f>
        <v>товари для домашніх тварин і птахів</v>
      </c>
      <c r="D1442" s="16" t="str">
        <f>IFERROR(__xludf.DUMMYFUNCTION("""COMPUTED_VALUE"""),"товари для комфорту домашніх тварин")</f>
        <v>товари для комфорту домашніх тварин</v>
      </c>
      <c r="E1442" s="16" t="str">
        <f>IFERROR(__xludf.DUMMYFUNCTION("""COMPUTED_VALUE"""),"будиночки для домашніх тварин")</f>
        <v>будиночки для домашніх тварин</v>
      </c>
      <c r="F1442" s="17">
        <f>IFERROR(__xludf.DUMMYFUNCTION("""COMPUTED_VALUE"""),4.0)</f>
        <v>4</v>
      </c>
      <c r="G1442" s="17" t="str">
        <f>IFERROR(__xludf.DUMMYFUNCTION("""COMPUTED_VALUE"""),"181208")</f>
        <v>181208</v>
      </c>
      <c r="H1442" s="17" t="str">
        <f>IFERROR(__xludf.DUMMYFUNCTION("""COMPUTED_VALUE"""),"будиночки для домашніх тварин")</f>
        <v>будиночки для домашніх тварин</v>
      </c>
      <c r="I1442" s="19">
        <f>IFERROR(__xludf.DUMMYFUNCTION("""COMPUTED_VALUE"""),0.04)</f>
        <v>0.04</v>
      </c>
      <c r="J1442" s="19">
        <f>IFERROR(__xludf.DUMMYFUNCTION("""COMPUTED_VALUE"""),0.08)</f>
        <v>0.08</v>
      </c>
      <c r="K1442" s="19">
        <f>IFERROR(__xludf.DUMMYFUNCTION("""COMPUTED_VALUE"""),0.1)</f>
        <v>0.1</v>
      </c>
      <c r="L1442" s="19">
        <f>IFERROR(__xludf.DUMMYFUNCTION("""COMPUTED_VALUE"""),0.12)</f>
        <v>0.12</v>
      </c>
      <c r="M1442" s="18">
        <f>IFERROR(__xludf.DUMMYFUNCTION("""COMPUTED_VALUE"""),1.8)</f>
        <v>1.8</v>
      </c>
    </row>
    <row r="1443">
      <c r="A1443" s="13" t="str">
        <f>IFERROR(__xludf.DUMMYFUNCTION("""COMPUTED_VALUE"""),"товари")</f>
        <v>товари</v>
      </c>
      <c r="B1443" s="16" t="str">
        <f>IFERROR(__xludf.DUMMYFUNCTION("""COMPUTED_VALUE"""),"зоотовари")</f>
        <v>зоотовари</v>
      </c>
      <c r="C1443" s="16" t="str">
        <f>IFERROR(__xludf.DUMMYFUNCTION("""COMPUTED_VALUE"""),"товари для домашніх тварин і птахів")</f>
        <v>товари для домашніх тварин і птахів</v>
      </c>
      <c r="D1443" s="16" t="str">
        <f>IFERROR(__xludf.DUMMYFUNCTION("""COMPUTED_VALUE"""),"будки і вольєри для тварин")</f>
        <v>будки і вольєри для тварин</v>
      </c>
      <c r="E1443" s="16" t="str">
        <f>IFERROR(__xludf.DUMMYFUNCTION("""COMPUTED_VALUE"""),"будки і вольєри для тварин")</f>
        <v>будки і вольєри для тварин</v>
      </c>
      <c r="F1443" s="17">
        <f>IFERROR(__xludf.DUMMYFUNCTION("""COMPUTED_VALUE"""),3.0)</f>
        <v>3</v>
      </c>
      <c r="G1443" s="17">
        <f>IFERROR(__xludf.DUMMYFUNCTION("""COMPUTED_VALUE"""),181203.0)</f>
        <v>181203</v>
      </c>
      <c r="H1443" s="17" t="str">
        <f>IFERROR(__xludf.DUMMYFUNCTION("""COMPUTED_VALUE"""),"будки і вольєри для тварин")</f>
        <v>будки і вольєри для тварин</v>
      </c>
      <c r="I1443" s="19">
        <f>IFERROR(__xludf.DUMMYFUNCTION("""COMPUTED_VALUE"""),0.04)</f>
        <v>0.04</v>
      </c>
      <c r="J1443" s="19">
        <f>IFERROR(__xludf.DUMMYFUNCTION("""COMPUTED_VALUE"""),0.08)</f>
        <v>0.08</v>
      </c>
      <c r="K1443" s="19">
        <f>IFERROR(__xludf.DUMMYFUNCTION("""COMPUTED_VALUE"""),0.1)</f>
        <v>0.1</v>
      </c>
      <c r="L1443" s="19">
        <f>IFERROR(__xludf.DUMMYFUNCTION("""COMPUTED_VALUE"""),0.12)</f>
        <v>0.12</v>
      </c>
      <c r="M1443" s="18">
        <f>IFERROR(__xludf.DUMMYFUNCTION("""COMPUTED_VALUE"""),1.71)</f>
        <v>1.71</v>
      </c>
    </row>
    <row r="1444">
      <c r="A1444" s="13" t="str">
        <f>IFERROR(__xludf.DUMMYFUNCTION("""COMPUTED_VALUE"""),"товари")</f>
        <v>товари</v>
      </c>
      <c r="B1444" s="16" t="str">
        <f>IFERROR(__xludf.DUMMYFUNCTION("""COMPUTED_VALUE"""),"зоотовари")</f>
        <v>зоотовари</v>
      </c>
      <c r="C1444" s="16" t="str">
        <f>IFERROR(__xludf.DUMMYFUNCTION("""COMPUTED_VALUE"""),"ветеринарія")</f>
        <v>ветеринарія</v>
      </c>
      <c r="D1444" s="16" t="str">
        <f>IFERROR(__xludf.DUMMYFUNCTION("""COMPUTED_VALUE"""),"ветеринарні засоби та препарати")</f>
        <v>ветеринарні засоби та препарати</v>
      </c>
      <c r="E1444" s="16" t="str">
        <f>IFERROR(__xludf.DUMMYFUNCTION("""COMPUTED_VALUE"""),"вакцини для тварин")</f>
        <v>вакцини для тварин</v>
      </c>
      <c r="F1444" s="17">
        <f>IFERROR(__xludf.DUMMYFUNCTION("""COMPUTED_VALUE"""),4.0)</f>
        <v>4</v>
      </c>
      <c r="G1444" s="17" t="str">
        <f>IFERROR(__xludf.DUMMYFUNCTION("""COMPUTED_VALUE"""),"270525")</f>
        <v>270525</v>
      </c>
      <c r="H1444" s="17" t="str">
        <f>IFERROR(__xludf.DUMMYFUNCTION("""COMPUTED_VALUE"""),"вакцини для тварин")</f>
        <v>вакцини для тварин</v>
      </c>
      <c r="I1444" s="19">
        <f>IFERROR(__xludf.DUMMYFUNCTION("""COMPUTED_VALUE"""),0.0353)</f>
        <v>0.0353</v>
      </c>
      <c r="J1444" s="19">
        <f>IFERROR(__xludf.DUMMYFUNCTION("""COMPUTED_VALUE"""),0.0706)</f>
        <v>0.0706</v>
      </c>
      <c r="K1444" s="19">
        <f>IFERROR(__xludf.DUMMYFUNCTION("""COMPUTED_VALUE"""),0.0883)</f>
        <v>0.0883</v>
      </c>
      <c r="L1444" s="19">
        <f>IFERROR(__xludf.DUMMYFUNCTION("""COMPUTED_VALUE"""),0.1059)</f>
        <v>0.1059</v>
      </c>
      <c r="M1444" s="18">
        <f>IFERROR(__xludf.DUMMYFUNCTION("""COMPUTED_VALUE"""),1.71)</f>
        <v>1.71</v>
      </c>
    </row>
    <row r="1445">
      <c r="A1445" s="13" t="str">
        <f>IFERROR(__xludf.DUMMYFUNCTION("""COMPUTED_VALUE"""),"товари")</f>
        <v>товари</v>
      </c>
      <c r="B1445" s="16" t="str">
        <f>IFERROR(__xludf.DUMMYFUNCTION("""COMPUTED_VALUE"""),"зоотовари")</f>
        <v>зоотовари</v>
      </c>
      <c r="C1445" s="16" t="str">
        <f>IFERROR(__xludf.DUMMYFUNCTION("""COMPUTED_VALUE"""),"ветеринарія")</f>
        <v>ветеринарія</v>
      </c>
      <c r="D1445" s="16" t="str">
        <f>IFERROR(__xludf.DUMMYFUNCTION("""COMPUTED_VALUE"""),"ветеринарія, загальне")</f>
        <v>ветеринарія, загальне</v>
      </c>
      <c r="E1445" s="16" t="str">
        <f>IFERROR(__xludf.DUMMYFUNCTION("""COMPUTED_VALUE"""),"ветеринарія, загальне")</f>
        <v>ветеринарія, загальне</v>
      </c>
      <c r="F1445" s="17">
        <f>IFERROR(__xludf.DUMMYFUNCTION("""COMPUTED_VALUE"""),3.0)</f>
        <v>3</v>
      </c>
      <c r="G1445" s="17" t="str">
        <f>IFERROR(__xludf.DUMMYFUNCTION("""COMPUTED_VALUE"""),"271701")</f>
        <v>271701</v>
      </c>
      <c r="H1445" s="17" t="str">
        <f>IFERROR(__xludf.DUMMYFUNCTION("""COMPUTED_VALUE"""),"ветеринарія, загальне")</f>
        <v>ветеринарія, загальне</v>
      </c>
      <c r="I1445" s="19">
        <f>IFERROR(__xludf.DUMMYFUNCTION("""COMPUTED_VALUE"""),0.125)</f>
        <v>0.125</v>
      </c>
      <c r="J1445" s="19">
        <f>IFERROR(__xludf.DUMMYFUNCTION("""COMPUTED_VALUE"""),0.25)</f>
        <v>0.25</v>
      </c>
      <c r="K1445" s="19">
        <f>IFERROR(__xludf.DUMMYFUNCTION("""COMPUTED_VALUE"""),0.3125)</f>
        <v>0.3125</v>
      </c>
      <c r="L1445" s="19">
        <f>IFERROR(__xludf.DUMMYFUNCTION("""COMPUTED_VALUE"""),0.375)</f>
        <v>0.375</v>
      </c>
      <c r="M1445" s="18">
        <f>IFERROR(__xludf.DUMMYFUNCTION("""COMPUTED_VALUE"""),4.33)</f>
        <v>4.33</v>
      </c>
    </row>
    <row r="1446">
      <c r="A1446" s="13" t="str">
        <f>IFERROR(__xludf.DUMMYFUNCTION("""COMPUTED_VALUE"""),"товари")</f>
        <v>товари</v>
      </c>
      <c r="B1446" s="16" t="str">
        <f>IFERROR(__xludf.DUMMYFUNCTION("""COMPUTED_VALUE"""),"зоотовари")</f>
        <v>зоотовари</v>
      </c>
      <c r="C1446" s="16" t="str">
        <f>IFERROR(__xludf.DUMMYFUNCTION("""COMPUTED_VALUE"""),"ветеринарія")</f>
        <v>ветеринарія</v>
      </c>
      <c r="D1446" s="16" t="str">
        <f>IFERROR(__xludf.DUMMYFUNCTION("""COMPUTED_VALUE"""),"ветеринарне обладнання")</f>
        <v>ветеринарне обладнання</v>
      </c>
      <c r="E1446" s="16" t="str">
        <f>IFERROR(__xludf.DUMMYFUNCTION("""COMPUTED_VALUE"""),"ветеринарне обладнання")</f>
        <v>ветеринарне обладнання</v>
      </c>
      <c r="F1446" s="17">
        <f>IFERROR(__xludf.DUMMYFUNCTION("""COMPUTED_VALUE"""),3.0)</f>
        <v>3</v>
      </c>
      <c r="G1446" s="17" t="str">
        <f>IFERROR(__xludf.DUMMYFUNCTION("""COMPUTED_VALUE"""),"2704")</f>
        <v>2704</v>
      </c>
      <c r="H1446" s="17" t="str">
        <f>IFERROR(__xludf.DUMMYFUNCTION("""COMPUTED_VALUE"""),"ветеринарне обладнання")</f>
        <v>ветеринарне обладнання</v>
      </c>
      <c r="I1446" s="19">
        <f>IFERROR(__xludf.DUMMYFUNCTION("""COMPUTED_VALUE"""),0.0319)</f>
        <v>0.0319</v>
      </c>
      <c r="J1446" s="19">
        <f>IFERROR(__xludf.DUMMYFUNCTION("""COMPUTED_VALUE"""),0.0638)</f>
        <v>0.0638</v>
      </c>
      <c r="K1446" s="19">
        <f>IFERROR(__xludf.DUMMYFUNCTION("""COMPUTED_VALUE"""),0.0798)</f>
        <v>0.0798</v>
      </c>
      <c r="L1446" s="19">
        <f>IFERROR(__xludf.DUMMYFUNCTION("""COMPUTED_VALUE"""),0.0957)</f>
        <v>0.0957</v>
      </c>
      <c r="M1446" s="18">
        <f>IFERROR(__xludf.DUMMYFUNCTION("""COMPUTED_VALUE"""),2.34)</f>
        <v>2.34</v>
      </c>
    </row>
    <row r="1447">
      <c r="A1447" s="13" t="str">
        <f>IFERROR(__xludf.DUMMYFUNCTION("""COMPUTED_VALUE"""),"товари")</f>
        <v>товари</v>
      </c>
      <c r="B1447" s="16" t="str">
        <f>IFERROR(__xludf.DUMMYFUNCTION("""COMPUTED_VALUE"""),"зоотовари")</f>
        <v>зоотовари</v>
      </c>
      <c r="C1447" s="16" t="str">
        <f>IFERROR(__xludf.DUMMYFUNCTION("""COMPUTED_VALUE"""),"ветеринарія")</f>
        <v>ветеринарія</v>
      </c>
      <c r="D1447" s="16" t="str">
        <f>IFERROR(__xludf.DUMMYFUNCTION("""COMPUTED_VALUE"""),"ветеринарні засоби та препарати")</f>
        <v>ветеринарні засоби та препарати</v>
      </c>
      <c r="E1447" s="16" t="str">
        <f>IFERROR(__xludf.DUMMYFUNCTION("""COMPUTED_VALUE"""),"ветеринарні антибіотики та антимікробні препарати")</f>
        <v>ветеринарні антибіотики та антимікробні препарати</v>
      </c>
      <c r="F1447" s="17">
        <f>IFERROR(__xludf.DUMMYFUNCTION("""COMPUTED_VALUE"""),4.0)</f>
        <v>4</v>
      </c>
      <c r="G1447" s="17" t="str">
        <f>IFERROR(__xludf.DUMMYFUNCTION("""COMPUTED_VALUE"""),"270501")</f>
        <v>270501</v>
      </c>
      <c r="H1447" s="17" t="str">
        <f>IFERROR(__xludf.DUMMYFUNCTION("""COMPUTED_VALUE"""),"ветеринарні антибіотики та антимікробні препарати")</f>
        <v>ветеринарні антибіотики та антимікробні препарати</v>
      </c>
      <c r="I1447" s="19">
        <f>IFERROR(__xludf.DUMMYFUNCTION("""COMPUTED_VALUE"""),0.0353)</f>
        <v>0.0353</v>
      </c>
      <c r="J1447" s="19">
        <f>IFERROR(__xludf.DUMMYFUNCTION("""COMPUTED_VALUE"""),0.0706)</f>
        <v>0.0706</v>
      </c>
      <c r="K1447" s="19">
        <f>IFERROR(__xludf.DUMMYFUNCTION("""COMPUTED_VALUE"""),0.0883)</f>
        <v>0.0883</v>
      </c>
      <c r="L1447" s="19">
        <f>IFERROR(__xludf.DUMMYFUNCTION("""COMPUTED_VALUE"""),0.1059)</f>
        <v>0.1059</v>
      </c>
      <c r="M1447" s="18">
        <f>IFERROR(__xludf.DUMMYFUNCTION("""COMPUTED_VALUE"""),1.71)</f>
        <v>1.71</v>
      </c>
    </row>
    <row r="1448">
      <c r="A1448" s="13" t="str">
        <f>IFERROR(__xludf.DUMMYFUNCTION("""COMPUTED_VALUE"""),"товари")</f>
        <v>товари</v>
      </c>
      <c r="B1448" s="16" t="str">
        <f>IFERROR(__xludf.DUMMYFUNCTION("""COMPUTED_VALUE"""),"зоотовари")</f>
        <v>зоотовари</v>
      </c>
      <c r="C1448" s="16" t="str">
        <f>IFERROR(__xludf.DUMMYFUNCTION("""COMPUTED_VALUE"""),"ветеринарія")</f>
        <v>ветеринарія</v>
      </c>
      <c r="D1448" s="16" t="str">
        <f>IFERROR(__xludf.DUMMYFUNCTION("""COMPUTED_VALUE"""),"ветеринарні засоби та препарати")</f>
        <v>ветеринарні засоби та препарати</v>
      </c>
      <c r="E1448" s="16" t="str">
        <f>IFERROR(__xludf.DUMMYFUNCTION("""COMPUTED_VALUE"""),"ветеринарні засоби для очей і вух")</f>
        <v>ветеринарні засоби для очей і вух</v>
      </c>
      <c r="F1448" s="17">
        <f>IFERROR(__xludf.DUMMYFUNCTION("""COMPUTED_VALUE"""),4.0)</f>
        <v>4</v>
      </c>
      <c r="G1448" s="17" t="str">
        <f>IFERROR(__xludf.DUMMYFUNCTION("""COMPUTED_VALUE"""),"270521")</f>
        <v>270521</v>
      </c>
      <c r="H1448" s="17" t="str">
        <f>IFERROR(__xludf.DUMMYFUNCTION("""COMPUTED_VALUE"""),"ветеринарні засоби для очей і вух")</f>
        <v>ветеринарні засоби для очей і вух</v>
      </c>
      <c r="I1448" s="19">
        <f>IFERROR(__xludf.DUMMYFUNCTION("""COMPUTED_VALUE"""),0.0353)</f>
        <v>0.0353</v>
      </c>
      <c r="J1448" s="19">
        <f>IFERROR(__xludf.DUMMYFUNCTION("""COMPUTED_VALUE"""),0.0706)</f>
        <v>0.0706</v>
      </c>
      <c r="K1448" s="19">
        <f>IFERROR(__xludf.DUMMYFUNCTION("""COMPUTED_VALUE"""),0.0883)</f>
        <v>0.0883</v>
      </c>
      <c r="L1448" s="19">
        <f>IFERROR(__xludf.DUMMYFUNCTION("""COMPUTED_VALUE"""),0.1059)</f>
        <v>0.1059</v>
      </c>
      <c r="M1448" s="18">
        <f>IFERROR(__xludf.DUMMYFUNCTION("""COMPUTED_VALUE"""),1.71)</f>
        <v>1.71</v>
      </c>
    </row>
    <row r="1449">
      <c r="A1449" s="13" t="str">
        <f>IFERROR(__xludf.DUMMYFUNCTION("""COMPUTED_VALUE"""),"товари")</f>
        <v>товари</v>
      </c>
      <c r="B1449" s="16" t="str">
        <f>IFERROR(__xludf.DUMMYFUNCTION("""COMPUTED_VALUE"""),"зоотовари")</f>
        <v>зоотовари</v>
      </c>
      <c r="C1449" s="16" t="str">
        <f>IFERROR(__xludf.DUMMYFUNCTION("""COMPUTED_VALUE"""),"ветеринарія")</f>
        <v>ветеринарія</v>
      </c>
      <c r="D1449" s="16" t="str">
        <f>IFERROR(__xludf.DUMMYFUNCTION("""COMPUTED_VALUE"""),"ветеринарні засоби та препарати")</f>
        <v>ветеринарні засоби та препарати</v>
      </c>
      <c r="E1449" s="16" t="str">
        <f>IFERROR(__xludf.DUMMYFUNCTION("""COMPUTED_VALUE"""),"ветеринарні засоби та препарати, загальне")</f>
        <v>ветеринарні засоби та препарати, загальне</v>
      </c>
      <c r="F1449" s="17">
        <f>IFERROR(__xludf.DUMMYFUNCTION("""COMPUTED_VALUE"""),4.0)</f>
        <v>4</v>
      </c>
      <c r="G1449" s="17" t="str">
        <f>IFERROR(__xludf.DUMMYFUNCTION("""COMPUTED_VALUE"""),"270522")</f>
        <v>270522</v>
      </c>
      <c r="H1449" s="17" t="str">
        <f>IFERROR(__xludf.DUMMYFUNCTION("""COMPUTED_VALUE"""),"ветеринарні засоби та препарати, загальне")</f>
        <v>ветеринарні засоби та препарати, загальне</v>
      </c>
      <c r="I1449" s="19">
        <f>IFERROR(__xludf.DUMMYFUNCTION("""COMPUTED_VALUE"""),0.125)</f>
        <v>0.125</v>
      </c>
      <c r="J1449" s="19">
        <f>IFERROR(__xludf.DUMMYFUNCTION("""COMPUTED_VALUE"""),0.25)</f>
        <v>0.25</v>
      </c>
      <c r="K1449" s="19">
        <f>IFERROR(__xludf.DUMMYFUNCTION("""COMPUTED_VALUE"""),0.3125)</f>
        <v>0.3125</v>
      </c>
      <c r="L1449" s="19">
        <f>IFERROR(__xludf.DUMMYFUNCTION("""COMPUTED_VALUE"""),0.375)</f>
        <v>0.375</v>
      </c>
      <c r="M1449" s="18">
        <f>IFERROR(__xludf.DUMMYFUNCTION("""COMPUTED_VALUE"""),4.33)</f>
        <v>4.33</v>
      </c>
    </row>
    <row r="1450">
      <c r="A1450" s="13" t="str">
        <f>IFERROR(__xludf.DUMMYFUNCTION("""COMPUTED_VALUE"""),"товари")</f>
        <v>товари</v>
      </c>
      <c r="B1450" s="16" t="str">
        <f>IFERROR(__xludf.DUMMYFUNCTION("""COMPUTED_VALUE"""),"зоотовари")</f>
        <v>зоотовари</v>
      </c>
      <c r="C1450" s="16" t="str">
        <f>IFERROR(__xludf.DUMMYFUNCTION("""COMPUTED_VALUE"""),"ветеринарія")</f>
        <v>ветеринарія</v>
      </c>
      <c r="D1450" s="16" t="str">
        <f>IFERROR(__xludf.DUMMYFUNCTION("""COMPUTED_VALUE"""),"ветеринарні засоби та препарати")</f>
        <v>ветеринарні засоби та препарати</v>
      </c>
      <c r="E1450" s="16" t="str">
        <f>IFERROR(__xludf.DUMMYFUNCTION("""COMPUTED_VALUE"""),"імуностимулятори та протипухлинні препарати для тварин")</f>
        <v>імуностимулятори та протипухлинні препарати для тварин</v>
      </c>
      <c r="F1450" s="17">
        <f>IFERROR(__xludf.DUMMYFUNCTION("""COMPUTED_VALUE"""),4.0)</f>
        <v>4</v>
      </c>
      <c r="G1450" s="17" t="str">
        <f>IFERROR(__xludf.DUMMYFUNCTION("""COMPUTED_VALUE"""),"270506")</f>
        <v>270506</v>
      </c>
      <c r="H1450" s="17" t="str">
        <f>IFERROR(__xludf.DUMMYFUNCTION("""COMPUTED_VALUE"""),"імуностимулятори та протипухлинні препарати для тварин")</f>
        <v>імуностимулятори та протипухлинні препарати для тварин</v>
      </c>
      <c r="I1450" s="19">
        <f>IFERROR(__xludf.DUMMYFUNCTION("""COMPUTED_VALUE"""),0.0353)</f>
        <v>0.0353</v>
      </c>
      <c r="J1450" s="19">
        <f>IFERROR(__xludf.DUMMYFUNCTION("""COMPUTED_VALUE"""),0.0706)</f>
        <v>0.0706</v>
      </c>
      <c r="K1450" s="19">
        <f>IFERROR(__xludf.DUMMYFUNCTION("""COMPUTED_VALUE"""),0.0883)</f>
        <v>0.0883</v>
      </c>
      <c r="L1450" s="19">
        <f>IFERROR(__xludf.DUMMYFUNCTION("""COMPUTED_VALUE"""),0.1059)</f>
        <v>0.1059</v>
      </c>
      <c r="M1450" s="18">
        <f>IFERROR(__xludf.DUMMYFUNCTION("""COMPUTED_VALUE"""),1.71)</f>
        <v>1.71</v>
      </c>
    </row>
    <row r="1451">
      <c r="A1451" s="13" t="str">
        <f>IFERROR(__xludf.DUMMYFUNCTION("""COMPUTED_VALUE"""),"товари")</f>
        <v>товари</v>
      </c>
      <c r="B1451" s="16" t="str">
        <f>IFERROR(__xludf.DUMMYFUNCTION("""COMPUTED_VALUE"""),"зоотовари")</f>
        <v>зоотовари</v>
      </c>
      <c r="C1451" s="16" t="str">
        <f>IFERROR(__xludf.DUMMYFUNCTION("""COMPUTED_VALUE"""),"ветеринарія")</f>
        <v>ветеринарія</v>
      </c>
      <c r="D1451" s="16" t="str">
        <f>IFERROR(__xludf.DUMMYFUNCTION("""COMPUTED_VALUE"""),"ветеринарні інструменти та інвентар")</f>
        <v>ветеринарні інструменти та інвентар</v>
      </c>
      <c r="E1451" s="16" t="str">
        <f>IFERROR(__xludf.DUMMYFUNCTION("""COMPUTED_VALUE"""),"ветеринарні інструменти та інвентар")</f>
        <v>ветеринарні інструменти та інвентар</v>
      </c>
      <c r="F1451" s="17">
        <f>IFERROR(__xludf.DUMMYFUNCTION("""COMPUTED_VALUE"""),3.0)</f>
        <v>3</v>
      </c>
      <c r="G1451" s="17" t="str">
        <f>IFERROR(__xludf.DUMMYFUNCTION("""COMPUTED_VALUE"""),"2714")</f>
        <v>2714</v>
      </c>
      <c r="H1451" s="17" t="str">
        <f>IFERROR(__xludf.DUMMYFUNCTION("""COMPUTED_VALUE"""),"ветеринарні інструменти та інвентар")</f>
        <v>ветеринарні інструменти та інвентар</v>
      </c>
      <c r="I1451" s="19">
        <f>IFERROR(__xludf.DUMMYFUNCTION("""COMPUTED_VALUE"""),0.0374)</f>
        <v>0.0374</v>
      </c>
      <c r="J1451" s="19">
        <f>IFERROR(__xludf.DUMMYFUNCTION("""COMPUTED_VALUE"""),0.0748)</f>
        <v>0.0748</v>
      </c>
      <c r="K1451" s="19">
        <f>IFERROR(__xludf.DUMMYFUNCTION("""COMPUTED_VALUE"""),0.0935)</f>
        <v>0.0935</v>
      </c>
      <c r="L1451" s="19">
        <f>IFERROR(__xludf.DUMMYFUNCTION("""COMPUTED_VALUE"""),0.1122)</f>
        <v>0.1122</v>
      </c>
      <c r="M1451" s="18">
        <f>IFERROR(__xludf.DUMMYFUNCTION("""COMPUTED_VALUE"""),1.05)</f>
        <v>1.05</v>
      </c>
    </row>
    <row r="1452">
      <c r="A1452" s="13" t="str">
        <f>IFERROR(__xludf.DUMMYFUNCTION("""COMPUTED_VALUE"""),"товари")</f>
        <v>товари</v>
      </c>
      <c r="B1452" s="16" t="str">
        <f>IFERROR(__xludf.DUMMYFUNCTION("""COMPUTED_VALUE"""),"зоотовари")</f>
        <v>зоотовари</v>
      </c>
      <c r="C1452" s="16" t="str">
        <f>IFERROR(__xludf.DUMMYFUNCTION("""COMPUTED_VALUE"""),"ветеринарія")</f>
        <v>ветеринарія</v>
      </c>
      <c r="D1452" s="16" t="str">
        <f>IFERROR(__xludf.DUMMYFUNCTION("""COMPUTED_VALUE"""),"ветеринарні засоби та препарати")</f>
        <v>ветеринарні засоби та препарати</v>
      </c>
      <c r="E1452" s="16" t="str">
        <f>IFERROR(__xludf.DUMMYFUNCTION("""COMPUTED_VALUE"""),"ветеринарні контрацептиви")</f>
        <v>ветеринарні контрацептиви</v>
      </c>
      <c r="F1452" s="17">
        <f>IFERROR(__xludf.DUMMYFUNCTION("""COMPUTED_VALUE"""),4.0)</f>
        <v>4</v>
      </c>
      <c r="G1452" s="17" t="str">
        <f>IFERROR(__xludf.DUMMYFUNCTION("""COMPUTED_VALUE"""),"270509")</f>
        <v>270509</v>
      </c>
      <c r="H1452" s="17" t="str">
        <f>IFERROR(__xludf.DUMMYFUNCTION("""COMPUTED_VALUE"""),"ветеринарні контрацептиви")</f>
        <v>ветеринарні контрацептиви</v>
      </c>
      <c r="I1452" s="19">
        <f>IFERROR(__xludf.DUMMYFUNCTION("""COMPUTED_VALUE"""),0.0353)</f>
        <v>0.0353</v>
      </c>
      <c r="J1452" s="19">
        <f>IFERROR(__xludf.DUMMYFUNCTION("""COMPUTED_VALUE"""),0.0706)</f>
        <v>0.0706</v>
      </c>
      <c r="K1452" s="19">
        <f>IFERROR(__xludf.DUMMYFUNCTION("""COMPUTED_VALUE"""),0.0883)</f>
        <v>0.0883</v>
      </c>
      <c r="L1452" s="19">
        <f>IFERROR(__xludf.DUMMYFUNCTION("""COMPUTED_VALUE"""),0.1059)</f>
        <v>0.1059</v>
      </c>
      <c r="M1452" s="18">
        <f>IFERROR(__xludf.DUMMYFUNCTION("""COMPUTED_VALUE"""),1.71)</f>
        <v>1.71</v>
      </c>
    </row>
    <row r="1453">
      <c r="A1453" s="13" t="str">
        <f>IFERROR(__xludf.DUMMYFUNCTION("""COMPUTED_VALUE"""),"товари")</f>
        <v>товари</v>
      </c>
      <c r="B1453" s="16" t="str">
        <f>IFERROR(__xludf.DUMMYFUNCTION("""COMPUTED_VALUE"""),"зоотовари")</f>
        <v>зоотовари</v>
      </c>
      <c r="C1453" s="16" t="str">
        <f>IFERROR(__xludf.DUMMYFUNCTION("""COMPUTED_VALUE"""),"ветеринарія")</f>
        <v>ветеринарія</v>
      </c>
      <c r="D1453" s="16" t="str">
        <f>IFERROR(__xludf.DUMMYFUNCTION("""COMPUTED_VALUE"""),"ветеринарні засоби та препарати")</f>
        <v>ветеринарні засоби та препарати</v>
      </c>
      <c r="E1453" s="16" t="str">
        <f>IFERROR(__xludf.DUMMYFUNCTION("""COMPUTED_VALUE"""),"ветеринарні препарати для лікування сечокам'яної хвороби")</f>
        <v>ветеринарні препарати для лікування сечокам'яної хвороби</v>
      </c>
      <c r="F1453" s="17">
        <f>IFERROR(__xludf.DUMMYFUNCTION("""COMPUTED_VALUE"""),4.0)</f>
        <v>4</v>
      </c>
      <c r="G1453" s="17" t="str">
        <f>IFERROR(__xludf.DUMMYFUNCTION("""COMPUTED_VALUE"""),"270514")</f>
        <v>270514</v>
      </c>
      <c r="H1453" s="17" t="str">
        <f>IFERROR(__xludf.DUMMYFUNCTION("""COMPUTED_VALUE"""),"ветеринарні препарати для лікування сечокам'яної хвороби")</f>
        <v>ветеринарні препарати для лікування сечокам'яної хвороби</v>
      </c>
      <c r="I1453" s="19">
        <f>IFERROR(__xludf.DUMMYFUNCTION("""COMPUTED_VALUE"""),0.0353)</f>
        <v>0.0353</v>
      </c>
      <c r="J1453" s="19">
        <f>IFERROR(__xludf.DUMMYFUNCTION("""COMPUTED_VALUE"""),0.0706)</f>
        <v>0.0706</v>
      </c>
      <c r="K1453" s="19">
        <f>IFERROR(__xludf.DUMMYFUNCTION("""COMPUTED_VALUE"""),0.0883)</f>
        <v>0.0883</v>
      </c>
      <c r="L1453" s="19">
        <f>IFERROR(__xludf.DUMMYFUNCTION("""COMPUTED_VALUE"""),0.1059)</f>
        <v>0.1059</v>
      </c>
      <c r="M1453" s="18">
        <f>IFERROR(__xludf.DUMMYFUNCTION("""COMPUTED_VALUE"""),1.71)</f>
        <v>1.71</v>
      </c>
    </row>
    <row r="1454">
      <c r="A1454" s="13" t="str">
        <f>IFERROR(__xludf.DUMMYFUNCTION("""COMPUTED_VALUE"""),"товари")</f>
        <v>товари</v>
      </c>
      <c r="B1454" s="16" t="str">
        <f>IFERROR(__xludf.DUMMYFUNCTION("""COMPUTED_VALUE"""),"зоотовари")</f>
        <v>зоотовари</v>
      </c>
      <c r="C1454" s="16" t="str">
        <f>IFERROR(__xludf.DUMMYFUNCTION("""COMPUTED_VALUE"""),"ветеринарія")</f>
        <v>ветеринарія</v>
      </c>
      <c r="D1454" s="16" t="str">
        <f>IFERROR(__xludf.DUMMYFUNCTION("""COMPUTED_VALUE"""),"ветеринарні засоби та препарати")</f>
        <v>ветеринарні засоби та препарати</v>
      </c>
      <c r="E1454" s="16" t="str">
        <f>IFERROR(__xludf.DUMMYFUNCTION("""COMPUTED_VALUE"""),"ветеринарні препарати для опорно-рухового апарату")</f>
        <v>ветеринарні препарати для опорно-рухового апарату</v>
      </c>
      <c r="F1454" s="17">
        <f>IFERROR(__xludf.DUMMYFUNCTION("""COMPUTED_VALUE"""),4.0)</f>
        <v>4</v>
      </c>
      <c r="G1454" s="17" t="str">
        <f>IFERROR(__xludf.DUMMYFUNCTION("""COMPUTED_VALUE"""),"270515")</f>
        <v>270515</v>
      </c>
      <c r="H1454" s="17" t="str">
        <f>IFERROR(__xludf.DUMMYFUNCTION("""COMPUTED_VALUE"""),"ветеринарні препарати для опорно-рухового апарату")</f>
        <v>ветеринарні препарати для опорно-рухового апарату</v>
      </c>
      <c r="I1454" s="19">
        <f>IFERROR(__xludf.DUMMYFUNCTION("""COMPUTED_VALUE"""),0.0353)</f>
        <v>0.0353</v>
      </c>
      <c r="J1454" s="19">
        <f>IFERROR(__xludf.DUMMYFUNCTION("""COMPUTED_VALUE"""),0.0706)</f>
        <v>0.0706</v>
      </c>
      <c r="K1454" s="19">
        <f>IFERROR(__xludf.DUMMYFUNCTION("""COMPUTED_VALUE"""),0.0883)</f>
        <v>0.0883</v>
      </c>
      <c r="L1454" s="19">
        <f>IFERROR(__xludf.DUMMYFUNCTION("""COMPUTED_VALUE"""),0.1059)</f>
        <v>0.1059</v>
      </c>
      <c r="M1454" s="18">
        <f>IFERROR(__xludf.DUMMYFUNCTION("""COMPUTED_VALUE"""),1.71)</f>
        <v>1.71</v>
      </c>
    </row>
    <row r="1455">
      <c r="A1455" s="13" t="str">
        <f>IFERROR(__xludf.DUMMYFUNCTION("""COMPUTED_VALUE"""),"товари")</f>
        <v>товари</v>
      </c>
      <c r="B1455" s="16" t="str">
        <f>IFERROR(__xludf.DUMMYFUNCTION("""COMPUTED_VALUE"""),"зоотовари")</f>
        <v>зоотовари</v>
      </c>
      <c r="C1455" s="16" t="str">
        <f>IFERROR(__xludf.DUMMYFUNCTION("""COMPUTED_VALUE"""),"товари для домашніх тварин і птахів")</f>
        <v>товари для домашніх тварин і птахів</v>
      </c>
      <c r="D1455" s="16" t="str">
        <f>IFERROR(__xludf.DUMMYFUNCTION("""COMPUTED_VALUE"""),"одяг для домашніх тварин")</f>
        <v>одяг для домашніх тварин</v>
      </c>
      <c r="E1455" s="16" t="str">
        <f>IFERROR(__xludf.DUMMYFUNCTION("""COMPUTED_VALUE"""),"взуття та шкарпетки для тварин")</f>
        <v>взуття та шкарпетки для тварин</v>
      </c>
      <c r="F1455" s="17">
        <f>IFERROR(__xludf.DUMMYFUNCTION("""COMPUTED_VALUE"""),4.0)</f>
        <v>4</v>
      </c>
      <c r="G1455" s="17" t="str">
        <f>IFERROR(__xludf.DUMMYFUNCTION("""COMPUTED_VALUE"""),"270220")</f>
        <v>270220</v>
      </c>
      <c r="H1455" s="17" t="str">
        <f>IFERROR(__xludf.DUMMYFUNCTION("""COMPUTED_VALUE"""),"взуття та шкарпетки для тварин")</f>
        <v>взуття та шкарпетки для тварин</v>
      </c>
      <c r="I1455" s="19">
        <f>IFERROR(__xludf.DUMMYFUNCTION("""COMPUTED_VALUE"""),0.04)</f>
        <v>0.04</v>
      </c>
      <c r="J1455" s="19">
        <f>IFERROR(__xludf.DUMMYFUNCTION("""COMPUTED_VALUE"""),0.08)</f>
        <v>0.08</v>
      </c>
      <c r="K1455" s="19">
        <f>IFERROR(__xludf.DUMMYFUNCTION("""COMPUTED_VALUE"""),0.1)</f>
        <v>0.1</v>
      </c>
      <c r="L1455" s="19">
        <f>IFERROR(__xludf.DUMMYFUNCTION("""COMPUTED_VALUE"""),0.12)</f>
        <v>0.12</v>
      </c>
      <c r="M1455" s="18">
        <f>IFERROR(__xludf.DUMMYFUNCTION("""COMPUTED_VALUE"""),1.05)</f>
        <v>1.05</v>
      </c>
    </row>
    <row r="1456">
      <c r="A1456" s="13" t="str">
        <f>IFERROR(__xludf.DUMMYFUNCTION("""COMPUTED_VALUE"""),"товари")</f>
        <v>товари</v>
      </c>
      <c r="B1456" s="16" t="str">
        <f>IFERROR(__xludf.DUMMYFUNCTION("""COMPUTED_VALUE"""),"зоотовари")</f>
        <v>зоотовари</v>
      </c>
      <c r="C1456" s="16" t="str">
        <f>IFERROR(__xludf.DUMMYFUNCTION("""COMPUTED_VALUE"""),"ветеринарія")</f>
        <v>ветеринарія</v>
      </c>
      <c r="D1456" s="16" t="str">
        <f>IFERROR(__xludf.DUMMYFUNCTION("""COMPUTED_VALUE"""),"ветеринарні засоби та препарати")</f>
        <v>ветеринарні засоби та препарати</v>
      </c>
      <c r="E1456" s="16" t="str">
        <f>IFERROR(__xludf.DUMMYFUNCTION("""COMPUTED_VALUE"""),"вітаміни для тварин")</f>
        <v>вітаміни для тварин</v>
      </c>
      <c r="F1456" s="17">
        <f>IFERROR(__xludf.DUMMYFUNCTION("""COMPUTED_VALUE"""),4.0)</f>
        <v>4</v>
      </c>
      <c r="G1456" s="17" t="str">
        <f>IFERROR(__xludf.DUMMYFUNCTION("""COMPUTED_VALUE"""),"270503")</f>
        <v>270503</v>
      </c>
      <c r="H1456" s="17" t="str">
        <f>IFERROR(__xludf.DUMMYFUNCTION("""COMPUTED_VALUE"""),"вітаміни для тварин")</f>
        <v>вітаміни для тварин</v>
      </c>
      <c r="I1456" s="19">
        <f>IFERROR(__xludf.DUMMYFUNCTION("""COMPUTED_VALUE"""),0.0353)</f>
        <v>0.0353</v>
      </c>
      <c r="J1456" s="19">
        <f>IFERROR(__xludf.DUMMYFUNCTION("""COMPUTED_VALUE"""),0.0706)</f>
        <v>0.0706</v>
      </c>
      <c r="K1456" s="19">
        <f>IFERROR(__xludf.DUMMYFUNCTION("""COMPUTED_VALUE"""),0.0883)</f>
        <v>0.0883</v>
      </c>
      <c r="L1456" s="19">
        <f>IFERROR(__xludf.DUMMYFUNCTION("""COMPUTED_VALUE"""),0.1059)</f>
        <v>0.1059</v>
      </c>
      <c r="M1456" s="18">
        <f>IFERROR(__xludf.DUMMYFUNCTION("""COMPUTED_VALUE"""),1.71)</f>
        <v>1.71</v>
      </c>
    </row>
    <row r="1457">
      <c r="A1457" s="13" t="str">
        <f>IFERROR(__xludf.DUMMYFUNCTION("""COMPUTED_VALUE"""),"товари")</f>
        <v>товари</v>
      </c>
      <c r="B1457" s="16" t="str">
        <f>IFERROR(__xludf.DUMMYFUNCTION("""COMPUTED_VALUE"""),"зоотовари")</f>
        <v>зоотовари</v>
      </c>
      <c r="C1457" s="16" t="str">
        <f>IFERROR(__xludf.DUMMYFUNCTION("""COMPUTED_VALUE"""),"ветеринарія")</f>
        <v>ветеринарія</v>
      </c>
      <c r="D1457" s="16" t="str">
        <f>IFERROR(__xludf.DUMMYFUNCTION("""COMPUTED_VALUE"""),"ветеринарні засоби та препарати")</f>
        <v>ветеринарні засоби та препарати</v>
      </c>
      <c r="E1457" s="16" t="str">
        <f>IFERROR(__xludf.DUMMYFUNCTION("""COMPUTED_VALUE"""),"гепатопротектори для тварин")</f>
        <v>гепатопротектори для тварин</v>
      </c>
      <c r="F1457" s="17">
        <f>IFERROR(__xludf.DUMMYFUNCTION("""COMPUTED_VALUE"""),4.0)</f>
        <v>4</v>
      </c>
      <c r="G1457" s="17" t="str">
        <f>IFERROR(__xludf.DUMMYFUNCTION("""COMPUTED_VALUE"""),"270504")</f>
        <v>270504</v>
      </c>
      <c r="H1457" s="17" t="str">
        <f>IFERROR(__xludf.DUMMYFUNCTION("""COMPUTED_VALUE"""),"гепатопротектори для тварин")</f>
        <v>гепатопротектори для тварин</v>
      </c>
      <c r="I1457" s="19">
        <f>IFERROR(__xludf.DUMMYFUNCTION("""COMPUTED_VALUE"""),0.0353)</f>
        <v>0.0353</v>
      </c>
      <c r="J1457" s="19">
        <f>IFERROR(__xludf.DUMMYFUNCTION("""COMPUTED_VALUE"""),0.0706)</f>
        <v>0.0706</v>
      </c>
      <c r="K1457" s="19">
        <f>IFERROR(__xludf.DUMMYFUNCTION("""COMPUTED_VALUE"""),0.0883)</f>
        <v>0.0883</v>
      </c>
      <c r="L1457" s="19">
        <f>IFERROR(__xludf.DUMMYFUNCTION("""COMPUTED_VALUE"""),0.1059)</f>
        <v>0.1059</v>
      </c>
      <c r="M1457" s="18">
        <f>IFERROR(__xludf.DUMMYFUNCTION("""COMPUTED_VALUE"""),1.71)</f>
        <v>1.71</v>
      </c>
    </row>
    <row r="1458">
      <c r="A1458" s="13" t="str">
        <f>IFERROR(__xludf.DUMMYFUNCTION("""COMPUTED_VALUE"""),"товари")</f>
        <v>товари</v>
      </c>
      <c r="B1458" s="16" t="str">
        <f>IFERROR(__xludf.DUMMYFUNCTION("""COMPUTED_VALUE"""),"зоотовари")</f>
        <v>зоотовари</v>
      </c>
      <c r="C1458" s="16" t="str">
        <f>IFERROR(__xludf.DUMMYFUNCTION("""COMPUTED_VALUE"""),"товари для домашніх тварин і птахів")</f>
        <v>товари для домашніх тварин і птахів</v>
      </c>
      <c r="D1458" s="16" t="str">
        <f>IFERROR(__xludf.DUMMYFUNCTION("""COMPUTED_VALUE"""),"годування домашніх тварин і птахів")</f>
        <v>годування домашніх тварин і птахів</v>
      </c>
      <c r="E1458" s="16" t="str">
        <f>IFERROR(__xludf.DUMMYFUNCTION("""COMPUTED_VALUE"""),"годівниці, поїлки та миски для домашніх тварин і птахів")</f>
        <v>годівниці, поїлки та миски для домашніх тварин і птахів</v>
      </c>
      <c r="F1458" s="17">
        <f>IFERROR(__xludf.DUMMYFUNCTION("""COMPUTED_VALUE"""),4.0)</f>
        <v>4</v>
      </c>
      <c r="G1458" s="17" t="str">
        <f>IFERROR(__xludf.DUMMYFUNCTION("""COMPUTED_VALUE"""),"270204")</f>
        <v>270204</v>
      </c>
      <c r="H1458" s="17" t="str">
        <f>IFERROR(__xludf.DUMMYFUNCTION("""COMPUTED_VALUE"""),"годівниці, поїлки та миски для домашніх тварин і птахів")</f>
        <v>годівниці, поїлки та миски для домашніх тварин і птахів</v>
      </c>
      <c r="I1458" s="19">
        <f>IFERROR(__xludf.DUMMYFUNCTION("""COMPUTED_VALUE"""),0.04)</f>
        <v>0.04</v>
      </c>
      <c r="J1458" s="19">
        <f>IFERROR(__xludf.DUMMYFUNCTION("""COMPUTED_VALUE"""),0.08)</f>
        <v>0.08</v>
      </c>
      <c r="K1458" s="19">
        <f>IFERROR(__xludf.DUMMYFUNCTION("""COMPUTED_VALUE"""),0.1)</f>
        <v>0.1</v>
      </c>
      <c r="L1458" s="19">
        <f>IFERROR(__xludf.DUMMYFUNCTION("""COMPUTED_VALUE"""),0.12)</f>
        <v>0.12</v>
      </c>
      <c r="M1458" s="18">
        <f>IFERROR(__xludf.DUMMYFUNCTION("""COMPUTED_VALUE"""),4.23)</f>
        <v>4.23</v>
      </c>
    </row>
    <row r="1459">
      <c r="A1459" s="13" t="str">
        <f>IFERROR(__xludf.DUMMYFUNCTION("""COMPUTED_VALUE"""),"товари")</f>
        <v>товари</v>
      </c>
      <c r="B1459" s="16" t="str">
        <f>IFERROR(__xludf.DUMMYFUNCTION("""COMPUTED_VALUE"""),"зоотовари")</f>
        <v>зоотовари</v>
      </c>
      <c r="C1459" s="16" t="str">
        <f>IFERROR(__xludf.DUMMYFUNCTION("""COMPUTED_VALUE"""),"товари для домашніх тварин і птахів")</f>
        <v>товари для домашніх тварин і птахів</v>
      </c>
      <c r="D1459" s="16" t="str">
        <f>IFERROR(__xludf.DUMMYFUNCTION("""COMPUTED_VALUE"""),"годування домашніх тварин і птахів")</f>
        <v>годування домашніх тварин і птахів</v>
      </c>
      <c r="E1459" s="16" t="str">
        <f>IFERROR(__xludf.DUMMYFUNCTION("""COMPUTED_VALUE"""),"годування домашніх тварин і птахів, загальне")</f>
        <v>годування домашніх тварин і птахів, загальне</v>
      </c>
      <c r="F1459" s="17">
        <f>IFERROR(__xludf.DUMMYFUNCTION("""COMPUTED_VALUE"""),4.0)</f>
        <v>4</v>
      </c>
      <c r="G1459" s="17" t="str">
        <f>IFERROR(__xludf.DUMMYFUNCTION("""COMPUTED_VALUE"""),"270249")</f>
        <v>270249</v>
      </c>
      <c r="H1459" s="17" t="str">
        <f>IFERROR(__xludf.DUMMYFUNCTION("""COMPUTED_VALUE"""),"годування домашніх тварин і птахів, загальне")</f>
        <v>годування домашніх тварин і птахів, загальне</v>
      </c>
      <c r="I1459" s="19">
        <f>IFERROR(__xludf.DUMMYFUNCTION("""COMPUTED_VALUE"""),0.125)</f>
        <v>0.125</v>
      </c>
      <c r="J1459" s="19">
        <f>IFERROR(__xludf.DUMMYFUNCTION("""COMPUTED_VALUE"""),0.25)</f>
        <v>0.25</v>
      </c>
      <c r="K1459" s="19">
        <f>IFERROR(__xludf.DUMMYFUNCTION("""COMPUTED_VALUE"""),0.3125)</f>
        <v>0.3125</v>
      </c>
      <c r="L1459" s="19">
        <f>IFERROR(__xludf.DUMMYFUNCTION("""COMPUTED_VALUE"""),0.375)</f>
        <v>0.375</v>
      </c>
      <c r="M1459" s="18">
        <f>IFERROR(__xludf.DUMMYFUNCTION("""COMPUTED_VALUE"""),4.33)</f>
        <v>4.33</v>
      </c>
    </row>
    <row r="1460">
      <c r="A1460" s="13" t="str">
        <f>IFERROR(__xludf.DUMMYFUNCTION("""COMPUTED_VALUE"""),"товари")</f>
        <v>товари</v>
      </c>
      <c r="B1460" s="16" t="str">
        <f>IFERROR(__xludf.DUMMYFUNCTION("""COMPUTED_VALUE"""),"зоотовари")</f>
        <v>зоотовари</v>
      </c>
      <c r="C1460" s="16" t="str">
        <f>IFERROR(__xludf.DUMMYFUNCTION("""COMPUTED_VALUE"""),"товари для домашніх тварин і птахів")</f>
        <v>товари для домашніх тварин і птахів</v>
      </c>
      <c r="D1460" s="16" t="str">
        <f>IFERROR(__xludf.DUMMYFUNCTION("""COMPUTED_VALUE"""),"одяг для домашніх тварин")</f>
        <v>одяг для домашніх тварин</v>
      </c>
      <c r="E1460" s="16" t="str">
        <f>IFERROR(__xludf.DUMMYFUNCTION("""COMPUTED_VALUE"""),"головні убори, шарфи для тварин")</f>
        <v>головні убори, шарфи для тварин</v>
      </c>
      <c r="F1460" s="17">
        <f>IFERROR(__xludf.DUMMYFUNCTION("""COMPUTED_VALUE"""),4.0)</f>
        <v>4</v>
      </c>
      <c r="G1460" s="17" t="str">
        <f>IFERROR(__xludf.DUMMYFUNCTION("""COMPUTED_VALUE"""),"270223")</f>
        <v>270223</v>
      </c>
      <c r="H1460" s="17" t="str">
        <f>IFERROR(__xludf.DUMMYFUNCTION("""COMPUTED_VALUE"""),"головні убори, шарфи для тварин")</f>
        <v>головні убори, шарфи для тварин</v>
      </c>
      <c r="I1460" s="19">
        <f>IFERROR(__xludf.DUMMYFUNCTION("""COMPUTED_VALUE"""),0.04)</f>
        <v>0.04</v>
      </c>
      <c r="J1460" s="19">
        <f>IFERROR(__xludf.DUMMYFUNCTION("""COMPUTED_VALUE"""),0.08)</f>
        <v>0.08</v>
      </c>
      <c r="K1460" s="19">
        <f>IFERROR(__xludf.DUMMYFUNCTION("""COMPUTED_VALUE"""),0.1)</f>
        <v>0.1</v>
      </c>
      <c r="L1460" s="19">
        <f>IFERROR(__xludf.DUMMYFUNCTION("""COMPUTED_VALUE"""),0.12)</f>
        <v>0.12</v>
      </c>
      <c r="M1460" s="18">
        <f>IFERROR(__xludf.DUMMYFUNCTION("""COMPUTED_VALUE"""),1.05)</f>
        <v>1.05</v>
      </c>
    </row>
    <row r="1461">
      <c r="A1461" s="13" t="str">
        <f>IFERROR(__xludf.DUMMYFUNCTION("""COMPUTED_VALUE"""),"товари")</f>
        <v>товари</v>
      </c>
      <c r="B1461" s="16" t="str">
        <f>IFERROR(__xludf.DUMMYFUNCTION("""COMPUTED_VALUE"""),"зоотовари")</f>
        <v>зоотовари</v>
      </c>
      <c r="C1461" s="16" t="str">
        <f>IFERROR(__xludf.DUMMYFUNCTION("""COMPUTED_VALUE"""),"ветеринарія")</f>
        <v>ветеринарія</v>
      </c>
      <c r="D1461" s="16" t="str">
        <f>IFERROR(__xludf.DUMMYFUNCTION("""COMPUTED_VALUE"""),"ветеринарні засоби та препарати")</f>
        <v>ветеринарні засоби та препарати</v>
      </c>
      <c r="E1461" s="16" t="str">
        <f>IFERROR(__xludf.DUMMYFUNCTION("""COMPUTED_VALUE"""),"гомеопатичні ветеринарні препарати")</f>
        <v>гомеопатичні ветеринарні препарати</v>
      </c>
      <c r="F1461" s="17">
        <f>IFERROR(__xludf.DUMMYFUNCTION("""COMPUTED_VALUE"""),4.0)</f>
        <v>4</v>
      </c>
      <c r="G1461" s="17" t="str">
        <f>IFERROR(__xludf.DUMMYFUNCTION("""COMPUTED_VALUE"""),"270505")</f>
        <v>270505</v>
      </c>
      <c r="H1461" s="17" t="str">
        <f>IFERROR(__xludf.DUMMYFUNCTION("""COMPUTED_VALUE"""),"гомеопатичні ветеринарні препарати")</f>
        <v>гомеопатичні ветеринарні препарати</v>
      </c>
      <c r="I1461" s="19">
        <f>IFERROR(__xludf.DUMMYFUNCTION("""COMPUTED_VALUE"""),0.0353)</f>
        <v>0.0353</v>
      </c>
      <c r="J1461" s="19">
        <f>IFERROR(__xludf.DUMMYFUNCTION("""COMPUTED_VALUE"""),0.0706)</f>
        <v>0.0706</v>
      </c>
      <c r="K1461" s="19">
        <f>IFERROR(__xludf.DUMMYFUNCTION("""COMPUTED_VALUE"""),0.0883)</f>
        <v>0.0883</v>
      </c>
      <c r="L1461" s="19">
        <f>IFERROR(__xludf.DUMMYFUNCTION("""COMPUTED_VALUE"""),0.1059)</f>
        <v>0.1059</v>
      </c>
      <c r="M1461" s="18">
        <f>IFERROR(__xludf.DUMMYFUNCTION("""COMPUTED_VALUE"""),1.71)</f>
        <v>1.71</v>
      </c>
    </row>
    <row r="1462">
      <c r="A1462" s="13" t="str">
        <f>IFERROR(__xludf.DUMMYFUNCTION("""COMPUTED_VALUE"""),"товари")</f>
        <v>товари</v>
      </c>
      <c r="B1462" s="16" t="str">
        <f>IFERROR(__xludf.DUMMYFUNCTION("""COMPUTED_VALUE"""),"зоотовари")</f>
        <v>зоотовари</v>
      </c>
      <c r="C1462" s="16" t="str">
        <f>IFERROR(__xludf.DUMMYFUNCTION("""COMPUTED_VALUE"""),"ветеринарія")</f>
        <v>ветеринарія</v>
      </c>
      <c r="D1462" s="16" t="str">
        <f>IFERROR(__xludf.DUMMYFUNCTION("""COMPUTED_VALUE"""),"ветеринарні засоби та препарати")</f>
        <v>ветеринарні засоби та препарати</v>
      </c>
      <c r="E1462" s="16" t="str">
        <f>IFERROR(__xludf.DUMMYFUNCTION("""COMPUTED_VALUE"""),"гормональні, маткові і протимаститні препарати")</f>
        <v>гормональні, маткові і протимаститні препарати</v>
      </c>
      <c r="F1462" s="17">
        <f>IFERROR(__xludf.DUMMYFUNCTION("""COMPUTED_VALUE"""),4.0)</f>
        <v>4</v>
      </c>
      <c r="G1462" s="17" t="str">
        <f>IFERROR(__xludf.DUMMYFUNCTION("""COMPUTED_VALUE"""),"270526")</f>
        <v>270526</v>
      </c>
      <c r="H1462" s="17" t="str">
        <f>IFERROR(__xludf.DUMMYFUNCTION("""COMPUTED_VALUE"""),"гормональні, маткові і протимаститні препарати")</f>
        <v>гормональні, маткові і протимаститні препарати</v>
      </c>
      <c r="I1462" s="19">
        <f>IFERROR(__xludf.DUMMYFUNCTION("""COMPUTED_VALUE"""),0.0353)</f>
        <v>0.0353</v>
      </c>
      <c r="J1462" s="19">
        <f>IFERROR(__xludf.DUMMYFUNCTION("""COMPUTED_VALUE"""),0.0706)</f>
        <v>0.0706</v>
      </c>
      <c r="K1462" s="19">
        <f>IFERROR(__xludf.DUMMYFUNCTION("""COMPUTED_VALUE"""),0.0883)</f>
        <v>0.0883</v>
      </c>
      <c r="L1462" s="19">
        <f>IFERROR(__xludf.DUMMYFUNCTION("""COMPUTED_VALUE"""),0.1059)</f>
        <v>0.1059</v>
      </c>
      <c r="M1462" s="18">
        <f>IFERROR(__xludf.DUMMYFUNCTION("""COMPUTED_VALUE"""),1.71)</f>
        <v>1.71</v>
      </c>
    </row>
    <row r="1463">
      <c r="A1463" s="13" t="str">
        <f>IFERROR(__xludf.DUMMYFUNCTION("""COMPUTED_VALUE"""),"товари")</f>
        <v>товари</v>
      </c>
      <c r="B1463" s="16" t="str">
        <f>IFERROR(__xludf.DUMMYFUNCTION("""COMPUTED_VALUE"""),"зоотовари")</f>
        <v>зоотовари</v>
      </c>
      <c r="C1463" s="16" t="str">
        <f>IFERROR(__xludf.DUMMYFUNCTION("""COMPUTED_VALUE"""),"товари для домашніх тварин і птахів")</f>
        <v>товари для домашніх тварин і птахів</v>
      </c>
      <c r="D1463" s="16" t="str">
        <f>IFERROR(__xludf.DUMMYFUNCTION("""COMPUTED_VALUE"""),"товари для комфорту домашніх тварин")</f>
        <v>товари для комфорту домашніх тварин</v>
      </c>
      <c r="E1463" s="16" t="str">
        <f>IFERROR(__xludf.DUMMYFUNCTION("""COMPUTED_VALUE"""),"дверцята для собак і кішок")</f>
        <v>дверцята для собак і кішок</v>
      </c>
      <c r="F1463" s="17">
        <f>IFERROR(__xludf.DUMMYFUNCTION("""COMPUTED_VALUE"""),4.0)</f>
        <v>4</v>
      </c>
      <c r="G1463" s="17" t="str">
        <f>IFERROR(__xludf.DUMMYFUNCTION("""COMPUTED_VALUE"""),"181209")</f>
        <v>181209</v>
      </c>
      <c r="H1463" s="17" t="str">
        <f>IFERROR(__xludf.DUMMYFUNCTION("""COMPUTED_VALUE"""),"дверцята для собак і кішок")</f>
        <v>дверцята для собак і кішок</v>
      </c>
      <c r="I1463" s="19">
        <f>IFERROR(__xludf.DUMMYFUNCTION("""COMPUTED_VALUE"""),0.04)</f>
        <v>0.04</v>
      </c>
      <c r="J1463" s="19">
        <f>IFERROR(__xludf.DUMMYFUNCTION("""COMPUTED_VALUE"""),0.08)</f>
        <v>0.08</v>
      </c>
      <c r="K1463" s="19">
        <f>IFERROR(__xludf.DUMMYFUNCTION("""COMPUTED_VALUE"""),0.1)</f>
        <v>0.1</v>
      </c>
      <c r="L1463" s="19">
        <f>IFERROR(__xludf.DUMMYFUNCTION("""COMPUTED_VALUE"""),0.12)</f>
        <v>0.12</v>
      </c>
      <c r="M1463" s="18">
        <f>IFERROR(__xludf.DUMMYFUNCTION("""COMPUTED_VALUE"""),1.8)</f>
        <v>1.8</v>
      </c>
    </row>
    <row r="1464">
      <c r="A1464" s="13" t="str">
        <f>IFERROR(__xludf.DUMMYFUNCTION("""COMPUTED_VALUE"""),"товари")</f>
        <v>товари</v>
      </c>
      <c r="B1464" s="16" t="str">
        <f>IFERROR(__xludf.DUMMYFUNCTION("""COMPUTED_VALUE"""),"зоотовари")</f>
        <v>зоотовари</v>
      </c>
      <c r="C1464" s="16" t="str">
        <f>IFERROR(__xludf.DUMMYFUNCTION("""COMPUTED_VALUE"""),"домашні тварини та зоотовари, загальне")</f>
        <v>домашні тварини та зоотовари, загальне</v>
      </c>
      <c r="D1464" s="16" t="str">
        <f>IFERROR(__xludf.DUMMYFUNCTION("""COMPUTED_VALUE"""),"домашні тварини та зоотовари, загальне")</f>
        <v>домашні тварини та зоотовари, загальне</v>
      </c>
      <c r="E1464" s="16" t="str">
        <f>IFERROR(__xludf.DUMMYFUNCTION("""COMPUTED_VALUE"""),"домашні тварини та зоотовари, загальне")</f>
        <v>домашні тварини та зоотовари, загальне</v>
      </c>
      <c r="F1464" s="17">
        <f>IFERROR(__xludf.DUMMYFUNCTION("""COMPUTED_VALUE"""),2.0)</f>
        <v>2</v>
      </c>
      <c r="G1464" s="17" t="str">
        <f>IFERROR(__xludf.DUMMYFUNCTION("""COMPUTED_VALUE"""),"2710")</f>
        <v>2710</v>
      </c>
      <c r="H1464" s="17" t="str">
        <f>IFERROR(__xludf.DUMMYFUNCTION("""COMPUTED_VALUE"""),"домашні тварини та зоотовари, загальне")</f>
        <v>домашні тварини та зоотовари, загальне</v>
      </c>
      <c r="I1464" s="19">
        <f>IFERROR(__xludf.DUMMYFUNCTION("""COMPUTED_VALUE"""),0.125)</f>
        <v>0.125</v>
      </c>
      <c r="J1464" s="19">
        <f>IFERROR(__xludf.DUMMYFUNCTION("""COMPUTED_VALUE"""),0.25)</f>
        <v>0.25</v>
      </c>
      <c r="K1464" s="19">
        <f>IFERROR(__xludf.DUMMYFUNCTION("""COMPUTED_VALUE"""),0.3125)</f>
        <v>0.3125</v>
      </c>
      <c r="L1464" s="19">
        <f>IFERROR(__xludf.DUMMYFUNCTION("""COMPUTED_VALUE"""),0.375)</f>
        <v>0.375</v>
      </c>
      <c r="M1464" s="18">
        <f>IFERROR(__xludf.DUMMYFUNCTION("""COMPUTED_VALUE"""),4.33)</f>
        <v>4.33</v>
      </c>
    </row>
    <row r="1465">
      <c r="A1465" s="13" t="str">
        <f>IFERROR(__xludf.DUMMYFUNCTION("""COMPUTED_VALUE"""),"товари")</f>
        <v>товари</v>
      </c>
      <c r="B1465" s="16" t="str">
        <f>IFERROR(__xludf.DUMMYFUNCTION("""COMPUTED_VALUE"""),"зоотовари")</f>
        <v>зоотовари</v>
      </c>
      <c r="C1465" s="16" t="str">
        <f>IFERROR(__xludf.DUMMYFUNCTION("""COMPUTED_VALUE"""),"товари для домашніх тварин і птахів")</f>
        <v>товари для домашніх тварин і птахів</v>
      </c>
      <c r="D1465" s="16" t="str">
        <f>IFERROR(__xludf.DUMMYFUNCTION("""COMPUTED_VALUE"""),"товари для догляду за домашніми тваринами")</f>
        <v>товари для догляду за домашніми тваринами</v>
      </c>
      <c r="E1465" s="16" t="str">
        <f>IFERROR(__xludf.DUMMYFUNCTION("""COMPUTED_VALUE"""),"засоби для гігієни тварин")</f>
        <v>засоби для гігієни тварин</v>
      </c>
      <c r="F1465" s="17">
        <f>IFERROR(__xludf.DUMMYFUNCTION("""COMPUTED_VALUE"""),4.0)</f>
        <v>4</v>
      </c>
      <c r="G1465" s="17" t="str">
        <f>IFERROR(__xludf.DUMMYFUNCTION("""COMPUTED_VALUE"""),"2703")</f>
        <v>2703</v>
      </c>
      <c r="H1465" s="17" t="str">
        <f>IFERROR(__xludf.DUMMYFUNCTION("""COMPUTED_VALUE"""),"засоби для гігієни тварин")</f>
        <v>засоби для гігієни тварин</v>
      </c>
      <c r="I1465" s="19">
        <f>IFERROR(__xludf.DUMMYFUNCTION("""COMPUTED_VALUE"""),0.04)</f>
        <v>0.04</v>
      </c>
      <c r="J1465" s="19">
        <f>IFERROR(__xludf.DUMMYFUNCTION("""COMPUTED_VALUE"""),0.08)</f>
        <v>0.08</v>
      </c>
      <c r="K1465" s="19">
        <f>IFERROR(__xludf.DUMMYFUNCTION("""COMPUTED_VALUE"""),0.1)</f>
        <v>0.1</v>
      </c>
      <c r="L1465" s="19">
        <f>IFERROR(__xludf.DUMMYFUNCTION("""COMPUTED_VALUE"""),0.12)</f>
        <v>0.12</v>
      </c>
      <c r="M1465" s="18">
        <f>IFERROR(__xludf.DUMMYFUNCTION("""COMPUTED_VALUE"""),1.8)</f>
        <v>1.8</v>
      </c>
    </row>
    <row r="1466">
      <c r="A1466" s="13" t="str">
        <f>IFERROR(__xludf.DUMMYFUNCTION("""COMPUTED_VALUE"""),"товари")</f>
        <v>товари</v>
      </c>
      <c r="B1466" s="16" t="str">
        <f>IFERROR(__xludf.DUMMYFUNCTION("""COMPUTED_VALUE"""),"зоотовари")</f>
        <v>зоотовари</v>
      </c>
      <c r="C1466" s="16" t="str">
        <f>IFERROR(__xludf.DUMMYFUNCTION("""COMPUTED_VALUE"""),"товари для домашніх тварин і птахів")</f>
        <v>товари для домашніх тварин і птахів</v>
      </c>
      <c r="D1466" s="16" t="str">
        <f>IFERROR(__xludf.DUMMYFUNCTION("""COMPUTED_VALUE"""),"товари для комфорту домашніх тварин")</f>
        <v>товари для комфорту домашніх тварин</v>
      </c>
      <c r="E1466" s="16" t="str">
        <f>IFERROR(__xludf.DUMMYFUNCTION("""COMPUTED_VALUE"""),"іграшки для домашніх тварин")</f>
        <v>іграшки для домашніх тварин</v>
      </c>
      <c r="F1466" s="17">
        <f>IFERROR(__xludf.DUMMYFUNCTION("""COMPUTED_VALUE"""),4.0)</f>
        <v>4</v>
      </c>
      <c r="G1466" s="17" t="str">
        <f>IFERROR(__xludf.DUMMYFUNCTION("""COMPUTED_VALUE"""),"270202")</f>
        <v>270202</v>
      </c>
      <c r="H1466" s="17" t="str">
        <f>IFERROR(__xludf.DUMMYFUNCTION("""COMPUTED_VALUE"""),"іграшки для домашніх тварин")</f>
        <v>іграшки для домашніх тварин</v>
      </c>
      <c r="I1466" s="19">
        <f>IFERROR(__xludf.DUMMYFUNCTION("""COMPUTED_VALUE"""),0.04)</f>
        <v>0.04</v>
      </c>
      <c r="J1466" s="19">
        <f>IFERROR(__xludf.DUMMYFUNCTION("""COMPUTED_VALUE"""),0.08)</f>
        <v>0.08</v>
      </c>
      <c r="K1466" s="19">
        <f>IFERROR(__xludf.DUMMYFUNCTION("""COMPUTED_VALUE"""),0.1)</f>
        <v>0.1</v>
      </c>
      <c r="L1466" s="19">
        <f>IFERROR(__xludf.DUMMYFUNCTION("""COMPUTED_VALUE"""),0.12)</f>
        <v>0.12</v>
      </c>
      <c r="M1466" s="18">
        <f>IFERROR(__xludf.DUMMYFUNCTION("""COMPUTED_VALUE"""),1.8)</f>
        <v>1.8</v>
      </c>
    </row>
    <row r="1467">
      <c r="A1467" s="13" t="str">
        <f>IFERROR(__xludf.DUMMYFUNCTION("""COMPUTED_VALUE"""),"товари")</f>
        <v>товари</v>
      </c>
      <c r="B1467" s="16" t="str">
        <f>IFERROR(__xludf.DUMMYFUNCTION("""COMPUTED_VALUE"""),"зоотовари")</f>
        <v>зоотовари</v>
      </c>
      <c r="C1467" s="16" t="str">
        <f>IFERROR(__xludf.DUMMYFUNCTION("""COMPUTED_VALUE"""),"товари для риб")</f>
        <v>товари для риб</v>
      </c>
      <c r="D1467" s="16" t="str">
        <f>IFERROR(__xludf.DUMMYFUNCTION("""COMPUTED_VALUE"""),"інвентар для акваріума")</f>
        <v>інвентар для акваріума</v>
      </c>
      <c r="E1467" s="16" t="str">
        <f>IFERROR(__xludf.DUMMYFUNCTION("""COMPUTED_VALUE"""),"інвентар для акваріума")</f>
        <v>інвентар для акваріума</v>
      </c>
      <c r="F1467" s="17">
        <f>IFERROR(__xludf.DUMMYFUNCTION("""COMPUTED_VALUE"""),3.0)</f>
        <v>3</v>
      </c>
      <c r="G1467" s="17" t="str">
        <f>IFERROR(__xludf.DUMMYFUNCTION("""COMPUTED_VALUE"""),"270239")</f>
        <v>270239</v>
      </c>
      <c r="H1467" s="17" t="str">
        <f>IFERROR(__xludf.DUMMYFUNCTION("""COMPUTED_VALUE"""),"інвентар для акваріума")</f>
        <v>інвентар для акваріума</v>
      </c>
      <c r="I1467" s="19">
        <f>IFERROR(__xludf.DUMMYFUNCTION("""COMPUTED_VALUE"""),0.04)</f>
        <v>0.04</v>
      </c>
      <c r="J1467" s="19">
        <f>IFERROR(__xludf.DUMMYFUNCTION("""COMPUTED_VALUE"""),0.08)</f>
        <v>0.08</v>
      </c>
      <c r="K1467" s="19">
        <f>IFERROR(__xludf.DUMMYFUNCTION("""COMPUTED_VALUE"""),0.1)</f>
        <v>0.1</v>
      </c>
      <c r="L1467" s="19">
        <f>IFERROR(__xludf.DUMMYFUNCTION("""COMPUTED_VALUE"""),0.12)</f>
        <v>0.12</v>
      </c>
      <c r="M1467" s="18">
        <f>IFERROR(__xludf.DUMMYFUNCTION("""COMPUTED_VALUE"""),1.05)</f>
        <v>1.05</v>
      </c>
    </row>
    <row r="1468">
      <c r="A1468" s="13" t="str">
        <f>IFERROR(__xludf.DUMMYFUNCTION("""COMPUTED_VALUE"""),"товари")</f>
        <v>товари</v>
      </c>
      <c r="B1468" s="16" t="str">
        <f>IFERROR(__xludf.DUMMYFUNCTION("""COMPUTED_VALUE"""),"зоотовари")</f>
        <v>зоотовари</v>
      </c>
      <c r="C1468" s="16" t="str">
        <f>IFERROR(__xludf.DUMMYFUNCTION("""COMPUTED_VALUE"""),"товари для рептилій і комах")</f>
        <v>товари для рептилій і комах</v>
      </c>
      <c r="D1468" s="16" t="str">
        <f>IFERROR(__xludf.DUMMYFUNCTION("""COMPUTED_VALUE"""),"тераріуми та приналежності до них")</f>
        <v>тераріуми та приналежності до них</v>
      </c>
      <c r="E1468" s="16" t="str">
        <f>IFERROR(__xludf.DUMMYFUNCTION("""COMPUTED_VALUE"""),"інвентар для тераріуму")</f>
        <v>інвентар для тераріуму</v>
      </c>
      <c r="F1468" s="17">
        <f>IFERROR(__xludf.DUMMYFUNCTION("""COMPUTED_VALUE"""),4.0)</f>
        <v>4</v>
      </c>
      <c r="G1468" s="17" t="str">
        <f>IFERROR(__xludf.DUMMYFUNCTION("""COMPUTED_VALUE"""),"271604")</f>
        <v>271604</v>
      </c>
      <c r="H1468" s="17" t="str">
        <f>IFERROR(__xludf.DUMMYFUNCTION("""COMPUTED_VALUE"""),"інвентар для тераріуму")</f>
        <v>інвентар для тераріуму</v>
      </c>
      <c r="I1468" s="19">
        <f>IFERROR(__xludf.DUMMYFUNCTION("""COMPUTED_VALUE"""),0.0395)</f>
        <v>0.0395</v>
      </c>
      <c r="J1468" s="19">
        <f>IFERROR(__xludf.DUMMYFUNCTION("""COMPUTED_VALUE"""),0.079)</f>
        <v>0.079</v>
      </c>
      <c r="K1468" s="19">
        <f>IFERROR(__xludf.DUMMYFUNCTION("""COMPUTED_VALUE"""),0.0988)</f>
        <v>0.0988</v>
      </c>
      <c r="L1468" s="19">
        <f>IFERROR(__xludf.DUMMYFUNCTION("""COMPUTED_VALUE"""),0.1185)</f>
        <v>0.1185</v>
      </c>
      <c r="M1468" s="18">
        <f>IFERROR(__xludf.DUMMYFUNCTION("""COMPUTED_VALUE"""),1.53)</f>
        <v>1.53</v>
      </c>
    </row>
    <row r="1469">
      <c r="A1469" s="13" t="str">
        <f>IFERROR(__xludf.DUMMYFUNCTION("""COMPUTED_VALUE"""),"товари")</f>
        <v>товари</v>
      </c>
      <c r="B1469" s="16" t="str">
        <f>IFERROR(__xludf.DUMMYFUNCTION("""COMPUTED_VALUE"""),"зоотовари")</f>
        <v>зоотовари</v>
      </c>
      <c r="C1469" s="16" t="str">
        <f>IFERROR(__xludf.DUMMYFUNCTION("""COMPUTED_VALUE"""),"ветеринарія")</f>
        <v>ветеринарія</v>
      </c>
      <c r="D1469" s="16" t="str">
        <f>IFERROR(__xludf.DUMMYFUNCTION("""COMPUTED_VALUE"""),"ветеринарні засоби та препарати")</f>
        <v>ветеринарні засоби та препарати</v>
      </c>
      <c r="E1469" s="16" t="str">
        <f>IFERROR(__xludf.DUMMYFUNCTION("""COMPUTED_VALUE"""),"кардіопротектори для тварин")</f>
        <v>кардіопротектори для тварин</v>
      </c>
      <c r="F1469" s="17">
        <f>IFERROR(__xludf.DUMMYFUNCTION("""COMPUTED_VALUE"""),4.0)</f>
        <v>4</v>
      </c>
      <c r="G1469" s="17" t="str">
        <f>IFERROR(__xludf.DUMMYFUNCTION("""COMPUTED_VALUE"""),"270507")</f>
        <v>270507</v>
      </c>
      <c r="H1469" s="17" t="str">
        <f>IFERROR(__xludf.DUMMYFUNCTION("""COMPUTED_VALUE"""),"кардіопротектори для тварин")</f>
        <v>кардіопротектори для тварин</v>
      </c>
      <c r="I1469" s="19">
        <f>IFERROR(__xludf.DUMMYFUNCTION("""COMPUTED_VALUE"""),0.0353)</f>
        <v>0.0353</v>
      </c>
      <c r="J1469" s="19">
        <f>IFERROR(__xludf.DUMMYFUNCTION("""COMPUTED_VALUE"""),0.0706)</f>
        <v>0.0706</v>
      </c>
      <c r="K1469" s="19">
        <f>IFERROR(__xludf.DUMMYFUNCTION("""COMPUTED_VALUE"""),0.0883)</f>
        <v>0.0883</v>
      </c>
      <c r="L1469" s="19">
        <f>IFERROR(__xludf.DUMMYFUNCTION("""COMPUTED_VALUE"""),0.1059)</f>
        <v>0.1059</v>
      </c>
      <c r="M1469" s="18">
        <f>IFERROR(__xludf.DUMMYFUNCTION("""COMPUTED_VALUE"""),1.71)</f>
        <v>1.71</v>
      </c>
    </row>
    <row r="1470">
      <c r="A1470" s="13" t="str">
        <f>IFERROR(__xludf.DUMMYFUNCTION("""COMPUTED_VALUE"""),"товари")</f>
        <v>товари</v>
      </c>
      <c r="B1470" s="16" t="str">
        <f>IFERROR(__xludf.DUMMYFUNCTION("""COMPUTED_VALUE"""),"зоотовари")</f>
        <v>зоотовари</v>
      </c>
      <c r="C1470" s="16" t="str">
        <f>IFERROR(__xludf.DUMMYFUNCTION("""COMPUTED_VALUE"""),"товари для домашніх тварин і птахів")</f>
        <v>товари для домашніх тварин і птахів</v>
      </c>
      <c r="D1470" s="16" t="str">
        <f>IFERROR(__xludf.DUMMYFUNCTION("""COMPUTED_VALUE"""),"товари для комфорту домашніх тварин")</f>
        <v>товари для комфорту домашніх тварин</v>
      </c>
      <c r="E1470" s="16" t="str">
        <f>IFERROR(__xludf.DUMMYFUNCTION("""COMPUTED_VALUE"""),"клітки та аксесуари для гризунів і птахів")</f>
        <v>клітки та аксесуари для гризунів і птахів</v>
      </c>
      <c r="F1470" s="17">
        <f>IFERROR(__xludf.DUMMYFUNCTION("""COMPUTED_VALUE"""),4.0)</f>
        <v>4</v>
      </c>
      <c r="G1470" s="17" t="str">
        <f>IFERROR(__xludf.DUMMYFUNCTION("""COMPUTED_VALUE"""),"270201")</f>
        <v>270201</v>
      </c>
      <c r="H1470" s="17" t="str">
        <f>IFERROR(__xludf.DUMMYFUNCTION("""COMPUTED_VALUE"""),"клітки та аксесуари для гризунів і птахів")</f>
        <v>клітки та аксесуари для гризунів і птахів</v>
      </c>
      <c r="I1470" s="19">
        <f>IFERROR(__xludf.DUMMYFUNCTION("""COMPUTED_VALUE"""),0.04)</f>
        <v>0.04</v>
      </c>
      <c r="J1470" s="19">
        <f>IFERROR(__xludf.DUMMYFUNCTION("""COMPUTED_VALUE"""),0.08)</f>
        <v>0.08</v>
      </c>
      <c r="K1470" s="19">
        <f>IFERROR(__xludf.DUMMYFUNCTION("""COMPUTED_VALUE"""),0.1)</f>
        <v>0.1</v>
      </c>
      <c r="L1470" s="19">
        <f>IFERROR(__xludf.DUMMYFUNCTION("""COMPUTED_VALUE"""),0.12)</f>
        <v>0.12</v>
      </c>
      <c r="M1470" s="18">
        <f>IFERROR(__xludf.DUMMYFUNCTION("""COMPUTED_VALUE"""),1.8)</f>
        <v>1.8</v>
      </c>
    </row>
    <row r="1471">
      <c r="A1471" s="13" t="str">
        <f>IFERROR(__xludf.DUMMYFUNCTION("""COMPUTED_VALUE"""),"товари")</f>
        <v>товари</v>
      </c>
      <c r="B1471" s="16" t="str">
        <f>IFERROR(__xludf.DUMMYFUNCTION("""COMPUTED_VALUE"""),"зоотовари")</f>
        <v>зоотовари</v>
      </c>
      <c r="C1471" s="16" t="str">
        <f>IFERROR(__xludf.DUMMYFUNCTION("""COMPUTED_VALUE"""),"товари для домашніх тварин і птахів")</f>
        <v>товари для домашніх тварин і птахів</v>
      </c>
      <c r="D1471" s="16" t="str">
        <f>IFERROR(__xludf.DUMMYFUNCTION("""COMPUTED_VALUE"""),"товари для комфорту домашніх тварин")</f>
        <v>товари для комфорту домашніх тварин</v>
      </c>
      <c r="E1471" s="16" t="str">
        <f>IFERROR(__xludf.DUMMYFUNCTION("""COMPUTED_VALUE"""),"кігтеточки")</f>
        <v>кігтеточки</v>
      </c>
      <c r="F1471" s="17">
        <f>IFERROR(__xludf.DUMMYFUNCTION("""COMPUTED_VALUE"""),4.0)</f>
        <v>4</v>
      </c>
      <c r="G1471" s="17" t="str">
        <f>IFERROR(__xludf.DUMMYFUNCTION("""COMPUTED_VALUE"""),"270228")</f>
        <v>270228</v>
      </c>
      <c r="H1471" s="17" t="str">
        <f>IFERROR(__xludf.DUMMYFUNCTION("""COMPUTED_VALUE"""),"кігтеточки")</f>
        <v>кігтеточки</v>
      </c>
      <c r="I1471" s="19">
        <f>IFERROR(__xludf.DUMMYFUNCTION("""COMPUTED_VALUE"""),0.04)</f>
        <v>0.04</v>
      </c>
      <c r="J1471" s="19">
        <f>IFERROR(__xludf.DUMMYFUNCTION("""COMPUTED_VALUE"""),0.08)</f>
        <v>0.08</v>
      </c>
      <c r="K1471" s="19">
        <f>IFERROR(__xludf.DUMMYFUNCTION("""COMPUTED_VALUE"""),0.1)</f>
        <v>0.1</v>
      </c>
      <c r="L1471" s="19">
        <f>IFERROR(__xludf.DUMMYFUNCTION("""COMPUTED_VALUE"""),0.12)</f>
        <v>0.12</v>
      </c>
      <c r="M1471" s="18">
        <f>IFERROR(__xludf.DUMMYFUNCTION("""COMPUTED_VALUE"""),1.8)</f>
        <v>1.8</v>
      </c>
    </row>
    <row r="1472">
      <c r="A1472" s="13" t="str">
        <f>IFERROR(__xludf.DUMMYFUNCTION("""COMPUTED_VALUE"""),"товари")</f>
        <v>товари</v>
      </c>
      <c r="B1472" s="16" t="str">
        <f>IFERROR(__xludf.DUMMYFUNCTION("""COMPUTED_VALUE"""),"зоотовари")</f>
        <v>зоотовари</v>
      </c>
      <c r="C1472" s="16" t="str">
        <f>IFERROR(__xludf.DUMMYFUNCTION("""COMPUTED_VALUE"""),"товари для рептилій і комах")</f>
        <v>товари для рептилій і комах</v>
      </c>
      <c r="D1472" s="16" t="str">
        <f>IFERROR(__xludf.DUMMYFUNCTION("""COMPUTED_VALUE"""),"тераріуми та приналежності до них")</f>
        <v>тераріуми та приналежності до них</v>
      </c>
      <c r="E1472" s="16" t="str">
        <f>IFERROR(__xludf.DUMMYFUNCTION("""COMPUTED_VALUE"""),"корми для рептилій та комах")</f>
        <v>корми для рептилій та комах</v>
      </c>
      <c r="F1472" s="17">
        <f>IFERROR(__xludf.DUMMYFUNCTION("""COMPUTED_VALUE"""),4.0)</f>
        <v>4</v>
      </c>
      <c r="G1472" s="17" t="str">
        <f>IFERROR(__xludf.DUMMYFUNCTION("""COMPUTED_VALUE"""),"271606")</f>
        <v>271606</v>
      </c>
      <c r="H1472" s="17" t="str">
        <f>IFERROR(__xludf.DUMMYFUNCTION("""COMPUTED_VALUE"""),"корми для рептилій та комах")</f>
        <v>корми для рептилій та комах</v>
      </c>
      <c r="I1472" s="19">
        <f>IFERROR(__xludf.DUMMYFUNCTION("""COMPUTED_VALUE"""),0.0395)</f>
        <v>0.0395</v>
      </c>
      <c r="J1472" s="19">
        <f>IFERROR(__xludf.DUMMYFUNCTION("""COMPUTED_VALUE"""),0.079)</f>
        <v>0.079</v>
      </c>
      <c r="K1472" s="19">
        <f>IFERROR(__xludf.DUMMYFUNCTION("""COMPUTED_VALUE"""),0.0988)</f>
        <v>0.0988</v>
      </c>
      <c r="L1472" s="19">
        <f>IFERROR(__xludf.DUMMYFUNCTION("""COMPUTED_VALUE"""),0.1185)</f>
        <v>0.1185</v>
      </c>
      <c r="M1472" s="18">
        <f>IFERROR(__xludf.DUMMYFUNCTION("""COMPUTED_VALUE"""),1.53)</f>
        <v>1.53</v>
      </c>
    </row>
    <row r="1473">
      <c r="A1473" s="13" t="str">
        <f>IFERROR(__xludf.DUMMYFUNCTION("""COMPUTED_VALUE"""),"товари")</f>
        <v>товари</v>
      </c>
      <c r="B1473" s="16" t="str">
        <f>IFERROR(__xludf.DUMMYFUNCTION("""COMPUTED_VALUE"""),"зоотовари")</f>
        <v>зоотовари</v>
      </c>
      <c r="C1473" s="16" t="str">
        <f>IFERROR(__xludf.DUMMYFUNCTION("""COMPUTED_VALUE"""),"товари для риб")</f>
        <v>товари для риб</v>
      </c>
      <c r="D1473" s="16" t="str">
        <f>IFERROR(__xludf.DUMMYFUNCTION("""COMPUTED_VALUE"""),"корми для риб")</f>
        <v>корми для риб</v>
      </c>
      <c r="E1473" s="16" t="str">
        <f>IFERROR(__xludf.DUMMYFUNCTION("""COMPUTED_VALUE"""),"корми для риб")</f>
        <v>корми для риб</v>
      </c>
      <c r="F1473" s="17">
        <f>IFERROR(__xludf.DUMMYFUNCTION("""COMPUTED_VALUE"""),3.0)</f>
        <v>3</v>
      </c>
      <c r="G1473" s="17" t="str">
        <f>IFERROR(__xludf.DUMMYFUNCTION("""COMPUTED_VALUE"""),"270245")</f>
        <v>270245</v>
      </c>
      <c r="H1473" s="17" t="str">
        <f>IFERROR(__xludf.DUMMYFUNCTION("""COMPUTED_VALUE"""),"корми для риб")</f>
        <v>корми для риб</v>
      </c>
      <c r="I1473" s="19">
        <f>IFERROR(__xludf.DUMMYFUNCTION("""COMPUTED_VALUE"""),0.04)</f>
        <v>0.04</v>
      </c>
      <c r="J1473" s="19">
        <f>IFERROR(__xludf.DUMMYFUNCTION("""COMPUTED_VALUE"""),0.08)</f>
        <v>0.08</v>
      </c>
      <c r="K1473" s="19">
        <f>IFERROR(__xludf.DUMMYFUNCTION("""COMPUTED_VALUE"""),0.1)</f>
        <v>0.1</v>
      </c>
      <c r="L1473" s="19">
        <f>IFERROR(__xludf.DUMMYFUNCTION("""COMPUTED_VALUE"""),0.12)</f>
        <v>0.12</v>
      </c>
      <c r="M1473" s="18">
        <f>IFERROR(__xludf.DUMMYFUNCTION("""COMPUTED_VALUE"""),1.63)</f>
        <v>1.63</v>
      </c>
    </row>
    <row r="1474">
      <c r="A1474" s="13" t="str">
        <f>IFERROR(__xludf.DUMMYFUNCTION("""COMPUTED_VALUE"""),"товари")</f>
        <v>товари</v>
      </c>
      <c r="B1474" s="16" t="str">
        <f>IFERROR(__xludf.DUMMYFUNCTION("""COMPUTED_VALUE"""),"зоотовари")</f>
        <v>зоотовари</v>
      </c>
      <c r="C1474" s="16" t="str">
        <f>IFERROR(__xludf.DUMMYFUNCTION("""COMPUTED_VALUE"""),"товари для домашніх тварин і птахів")</f>
        <v>товари для домашніх тварин і птахів</v>
      </c>
      <c r="D1474" s="16" t="str">
        <f>IFERROR(__xludf.DUMMYFUNCTION("""COMPUTED_VALUE"""),"годування домашніх тварин і птахів")</f>
        <v>годування домашніх тварин і птахів</v>
      </c>
      <c r="E1474" s="16" t="str">
        <f>IFERROR(__xludf.DUMMYFUNCTION("""COMPUTED_VALUE"""),"корми та ласощі для домашніх тварин і птахів")</f>
        <v>корми та ласощі для домашніх тварин і птахів</v>
      </c>
      <c r="F1474" s="17">
        <f>IFERROR(__xludf.DUMMYFUNCTION("""COMPUTED_VALUE"""),4.0)</f>
        <v>4</v>
      </c>
      <c r="G1474" s="17" t="str">
        <f>IFERROR(__xludf.DUMMYFUNCTION("""COMPUTED_VALUE"""),"2701")</f>
        <v>2701</v>
      </c>
      <c r="H1474" s="17" t="str">
        <f>IFERROR(__xludf.DUMMYFUNCTION("""COMPUTED_VALUE"""),"корми та ласощі для домашніх тварин і птахів")</f>
        <v>корми та ласощі для домашніх тварин і птахів</v>
      </c>
      <c r="I1474" s="19">
        <f>IFERROR(__xludf.DUMMYFUNCTION("""COMPUTED_VALUE"""),0.04)</f>
        <v>0.04</v>
      </c>
      <c r="J1474" s="19">
        <f>IFERROR(__xludf.DUMMYFUNCTION("""COMPUTED_VALUE"""),0.08)</f>
        <v>0.08</v>
      </c>
      <c r="K1474" s="19">
        <f>IFERROR(__xludf.DUMMYFUNCTION("""COMPUTED_VALUE"""),0.1)</f>
        <v>0.1</v>
      </c>
      <c r="L1474" s="19">
        <f>IFERROR(__xludf.DUMMYFUNCTION("""COMPUTED_VALUE"""),0.12)</f>
        <v>0.12</v>
      </c>
      <c r="M1474" s="18">
        <f>IFERROR(__xludf.DUMMYFUNCTION("""COMPUTED_VALUE"""),4.23)</f>
        <v>4.23</v>
      </c>
    </row>
    <row r="1475">
      <c r="A1475" s="13" t="str">
        <f>IFERROR(__xludf.DUMMYFUNCTION("""COMPUTED_VALUE"""),"товари")</f>
        <v>товари</v>
      </c>
      <c r="B1475" s="16" t="str">
        <f>IFERROR(__xludf.DUMMYFUNCTION("""COMPUTED_VALUE"""),"зоотовари")</f>
        <v>зоотовари</v>
      </c>
      <c r="C1475" s="16" t="str">
        <f>IFERROR(__xludf.DUMMYFUNCTION("""COMPUTED_VALUE"""),"товари для домашніх тварин і птахів")</f>
        <v>товари для домашніх тварин і птахів</v>
      </c>
      <c r="D1475" s="16" t="str">
        <f>IFERROR(__xludf.DUMMYFUNCTION("""COMPUTED_VALUE"""),"годування домашніх тварин і птахів")</f>
        <v>годування домашніх тварин і птахів</v>
      </c>
      <c r="E1475" s="16" t="str">
        <f>IFERROR(__xludf.DUMMYFUNCTION("""COMPUTED_VALUE"""),"корми для собак")</f>
        <v>корми для собак</v>
      </c>
      <c r="F1475" s="17">
        <f>IFERROR(__xludf.DUMMYFUNCTION("""COMPUTED_VALUE"""),4.0)</f>
        <v>4</v>
      </c>
      <c r="G1475" s="17" t="str">
        <f>IFERROR(__xludf.DUMMYFUNCTION("""COMPUTED_VALUE"""),"270264")</f>
        <v>270264</v>
      </c>
      <c r="H1475" s="17" t="str">
        <f>IFERROR(__xludf.DUMMYFUNCTION("""COMPUTED_VALUE"""),"корми для собак")</f>
        <v>корми для собак</v>
      </c>
      <c r="I1475" s="19">
        <f>IFERROR(__xludf.DUMMYFUNCTION("""COMPUTED_VALUE"""),0.04)</f>
        <v>0.04</v>
      </c>
      <c r="J1475" s="19">
        <f>IFERROR(__xludf.DUMMYFUNCTION("""COMPUTED_VALUE"""),0.08)</f>
        <v>0.08</v>
      </c>
      <c r="K1475" s="19">
        <f>IFERROR(__xludf.DUMMYFUNCTION("""COMPUTED_VALUE"""),0.1)</f>
        <v>0.1</v>
      </c>
      <c r="L1475" s="19">
        <f>IFERROR(__xludf.DUMMYFUNCTION("""COMPUTED_VALUE"""),0.12)</f>
        <v>0.12</v>
      </c>
      <c r="M1475" s="18">
        <f>IFERROR(__xludf.DUMMYFUNCTION("""COMPUTED_VALUE"""),4.23)</f>
        <v>4.23</v>
      </c>
    </row>
    <row r="1476">
      <c r="A1476" s="13" t="str">
        <f>IFERROR(__xludf.DUMMYFUNCTION("""COMPUTED_VALUE"""),"товари")</f>
        <v>товари</v>
      </c>
      <c r="B1476" s="16" t="str">
        <f>IFERROR(__xludf.DUMMYFUNCTION("""COMPUTED_VALUE"""),"зоотовари")</f>
        <v>зоотовари</v>
      </c>
      <c r="C1476" s="16" t="str">
        <f>IFERROR(__xludf.DUMMYFUNCTION("""COMPUTED_VALUE"""),"товари для домашніх тварин і птахів")</f>
        <v>товари для домашніх тварин і птахів</v>
      </c>
      <c r="D1476" s="16" t="str">
        <f>IFERROR(__xludf.DUMMYFUNCTION("""COMPUTED_VALUE"""),"годування домашніх тварин і птахів")</f>
        <v>годування домашніх тварин і птахів</v>
      </c>
      <c r="E1476" s="16" t="str">
        <f>IFERROR(__xludf.DUMMYFUNCTION("""COMPUTED_VALUE"""),"корми для котів")</f>
        <v>корми для котів</v>
      </c>
      <c r="F1476" s="17">
        <f>IFERROR(__xludf.DUMMYFUNCTION("""COMPUTED_VALUE"""),4.0)</f>
        <v>4</v>
      </c>
      <c r="G1476" s="17" t="str">
        <f>IFERROR(__xludf.DUMMYFUNCTION("""COMPUTED_VALUE"""),"270262")</f>
        <v>270262</v>
      </c>
      <c r="H1476" s="17" t="str">
        <f>IFERROR(__xludf.DUMMYFUNCTION("""COMPUTED_VALUE"""),"корми для котів")</f>
        <v>корми для котів</v>
      </c>
      <c r="I1476" s="19">
        <f>IFERROR(__xludf.DUMMYFUNCTION("""COMPUTED_VALUE"""),0.04)</f>
        <v>0.04</v>
      </c>
      <c r="J1476" s="19">
        <f>IFERROR(__xludf.DUMMYFUNCTION("""COMPUTED_VALUE"""),0.08)</f>
        <v>0.08</v>
      </c>
      <c r="K1476" s="19">
        <f>IFERROR(__xludf.DUMMYFUNCTION("""COMPUTED_VALUE"""),0.1)</f>
        <v>0.1</v>
      </c>
      <c r="L1476" s="19">
        <f>IFERROR(__xludf.DUMMYFUNCTION("""COMPUTED_VALUE"""),0.12)</f>
        <v>0.12</v>
      </c>
      <c r="M1476" s="18">
        <f>IFERROR(__xludf.DUMMYFUNCTION("""COMPUTED_VALUE"""),4.23)</f>
        <v>4.23</v>
      </c>
    </row>
    <row r="1477">
      <c r="A1477" s="13" t="str">
        <f>IFERROR(__xludf.DUMMYFUNCTION("""COMPUTED_VALUE"""),"товари")</f>
        <v>товари</v>
      </c>
      <c r="B1477" s="16" t="str">
        <f>IFERROR(__xludf.DUMMYFUNCTION("""COMPUTED_VALUE"""),"зоотовари")</f>
        <v>зоотовари</v>
      </c>
      <c r="C1477" s="16" t="str">
        <f>IFERROR(__xludf.DUMMYFUNCTION("""COMPUTED_VALUE"""),"товари для домашніх тварин і птахів")</f>
        <v>товари для домашніх тварин і птахів</v>
      </c>
      <c r="D1477" s="16" t="str">
        <f>IFERROR(__xludf.DUMMYFUNCTION("""COMPUTED_VALUE"""),"годування домашніх тварин і птахів")</f>
        <v>годування домашніх тварин і птахів</v>
      </c>
      <c r="E1477" s="16" t="str">
        <f>IFERROR(__xludf.DUMMYFUNCTION("""COMPUTED_VALUE"""),"корми для птахів")</f>
        <v>корми для птахів</v>
      </c>
      <c r="F1477" s="17">
        <f>IFERROR(__xludf.DUMMYFUNCTION("""COMPUTED_VALUE"""),4.0)</f>
        <v>4</v>
      </c>
      <c r="G1477" s="17" t="str">
        <f>IFERROR(__xludf.DUMMYFUNCTION("""COMPUTED_VALUE"""),"270265")</f>
        <v>270265</v>
      </c>
      <c r="H1477" s="17" t="str">
        <f>IFERROR(__xludf.DUMMYFUNCTION("""COMPUTED_VALUE"""),"корми для птахів")</f>
        <v>корми для птахів</v>
      </c>
      <c r="I1477" s="19">
        <f>IFERROR(__xludf.DUMMYFUNCTION("""COMPUTED_VALUE"""),0.04)</f>
        <v>0.04</v>
      </c>
      <c r="J1477" s="19">
        <f>IFERROR(__xludf.DUMMYFUNCTION("""COMPUTED_VALUE"""),0.08)</f>
        <v>0.08</v>
      </c>
      <c r="K1477" s="19">
        <f>IFERROR(__xludf.DUMMYFUNCTION("""COMPUTED_VALUE"""),0.1)</f>
        <v>0.1</v>
      </c>
      <c r="L1477" s="19">
        <f>IFERROR(__xludf.DUMMYFUNCTION("""COMPUTED_VALUE"""),0.12)</f>
        <v>0.12</v>
      </c>
      <c r="M1477" s="18">
        <f>IFERROR(__xludf.DUMMYFUNCTION("""COMPUTED_VALUE"""),4.23)</f>
        <v>4.23</v>
      </c>
    </row>
    <row r="1478">
      <c r="A1478" s="13" t="str">
        <f>IFERROR(__xludf.DUMMYFUNCTION("""COMPUTED_VALUE"""),"товари")</f>
        <v>товари</v>
      </c>
      <c r="B1478" s="16" t="str">
        <f>IFERROR(__xludf.DUMMYFUNCTION("""COMPUTED_VALUE"""),"зоотовари")</f>
        <v>зоотовари</v>
      </c>
      <c r="C1478" s="16" t="str">
        <f>IFERROR(__xludf.DUMMYFUNCTION("""COMPUTED_VALUE"""),"товари для домашніх тварин і птахів")</f>
        <v>товари для домашніх тварин і птахів</v>
      </c>
      <c r="D1478" s="16" t="str">
        <f>IFERROR(__xludf.DUMMYFUNCTION("""COMPUTED_VALUE"""),"годування домашніх тварин і птахів")</f>
        <v>годування домашніх тварин і птахів</v>
      </c>
      <c r="E1478" s="16" t="str">
        <f>IFERROR(__xludf.DUMMYFUNCTION("""COMPUTED_VALUE"""),"корми для гризунів")</f>
        <v>корми для гризунів</v>
      </c>
      <c r="F1478" s="17">
        <f>IFERROR(__xludf.DUMMYFUNCTION("""COMPUTED_VALUE"""),4.0)</f>
        <v>4</v>
      </c>
      <c r="G1478" s="17" t="str">
        <f>IFERROR(__xludf.DUMMYFUNCTION("""COMPUTED_VALUE"""),"270263")</f>
        <v>270263</v>
      </c>
      <c r="H1478" s="17" t="str">
        <f>IFERROR(__xludf.DUMMYFUNCTION("""COMPUTED_VALUE"""),"корми для гризунів")</f>
        <v>корми для гризунів</v>
      </c>
      <c r="I1478" s="19">
        <f>IFERROR(__xludf.DUMMYFUNCTION("""COMPUTED_VALUE"""),0.04)</f>
        <v>0.04</v>
      </c>
      <c r="J1478" s="19">
        <f>IFERROR(__xludf.DUMMYFUNCTION("""COMPUTED_VALUE"""),0.08)</f>
        <v>0.08</v>
      </c>
      <c r="K1478" s="19">
        <f>IFERROR(__xludf.DUMMYFUNCTION("""COMPUTED_VALUE"""),0.1)</f>
        <v>0.1</v>
      </c>
      <c r="L1478" s="19">
        <f>IFERROR(__xludf.DUMMYFUNCTION("""COMPUTED_VALUE"""),0.12)</f>
        <v>0.12</v>
      </c>
      <c r="M1478" s="18">
        <f>IFERROR(__xludf.DUMMYFUNCTION("""COMPUTED_VALUE"""),4.23)</f>
        <v>4.23</v>
      </c>
    </row>
    <row r="1479">
      <c r="A1479" s="13" t="str">
        <f>IFERROR(__xludf.DUMMYFUNCTION("""COMPUTED_VALUE"""),"товари")</f>
        <v>товари</v>
      </c>
      <c r="B1479" s="16" t="str">
        <f>IFERROR(__xludf.DUMMYFUNCTION("""COMPUTED_VALUE"""),"зоотовари")</f>
        <v>зоотовари</v>
      </c>
      <c r="C1479" s="16" t="str">
        <f>IFERROR(__xludf.DUMMYFUNCTION("""COMPUTED_VALUE"""),"товари для домашніх тварин і птахів")</f>
        <v>товари для домашніх тварин і птахів</v>
      </c>
      <c r="D1479" s="16" t="str">
        <f>IFERROR(__xludf.DUMMYFUNCTION("""COMPUTED_VALUE"""),"годування домашніх тварин і птахів")</f>
        <v>годування домашніх тварин і птахів</v>
      </c>
      <c r="E1479" s="16" t="str">
        <f>IFERROR(__xludf.DUMMYFUNCTION("""COMPUTED_VALUE"""),"ласощі для тварин")</f>
        <v>ласощі для тварин</v>
      </c>
      <c r="F1479" s="17">
        <f>IFERROR(__xludf.DUMMYFUNCTION("""COMPUTED_VALUE"""),4.0)</f>
        <v>4</v>
      </c>
      <c r="G1479" s="17" t="str">
        <f>IFERROR(__xludf.DUMMYFUNCTION("""COMPUTED_VALUE"""),"270266")</f>
        <v>270266</v>
      </c>
      <c r="H1479" s="17" t="str">
        <f>IFERROR(__xludf.DUMMYFUNCTION("""COMPUTED_VALUE"""),"ласощі для тварин")</f>
        <v>ласощі для тварин</v>
      </c>
      <c r="I1479" s="19">
        <f>IFERROR(__xludf.DUMMYFUNCTION("""COMPUTED_VALUE"""),0.04)</f>
        <v>0.04</v>
      </c>
      <c r="J1479" s="19">
        <f>IFERROR(__xludf.DUMMYFUNCTION("""COMPUTED_VALUE"""),0.08)</f>
        <v>0.08</v>
      </c>
      <c r="K1479" s="19">
        <f>IFERROR(__xludf.DUMMYFUNCTION("""COMPUTED_VALUE"""),0.1)</f>
        <v>0.1</v>
      </c>
      <c r="L1479" s="19">
        <f>IFERROR(__xludf.DUMMYFUNCTION("""COMPUTED_VALUE"""),0.12)</f>
        <v>0.12</v>
      </c>
      <c r="M1479" s="18">
        <f>IFERROR(__xludf.DUMMYFUNCTION("""COMPUTED_VALUE"""),4.23)</f>
        <v>4.23</v>
      </c>
    </row>
    <row r="1480">
      <c r="A1480" s="13" t="str">
        <f>IFERROR(__xludf.DUMMYFUNCTION("""COMPUTED_VALUE"""),"товари")</f>
        <v>товари</v>
      </c>
      <c r="B1480" s="16" t="str">
        <f>IFERROR(__xludf.DUMMYFUNCTION("""COMPUTED_VALUE"""),"зоотовари")</f>
        <v>зоотовари</v>
      </c>
      <c r="C1480" s="16" t="str">
        <f>IFERROR(__xludf.DUMMYFUNCTION("""COMPUTED_VALUE"""),"ветеринарія")</f>
        <v>ветеринарія</v>
      </c>
      <c r="D1480" s="16" t="str">
        <f>IFERROR(__xludf.DUMMYFUNCTION("""COMPUTED_VALUE"""),"ветеринарні засоби та препарати")</f>
        <v>ветеринарні засоби та препарати</v>
      </c>
      <c r="E1480" s="16" t="str">
        <f>IFERROR(__xludf.DUMMYFUNCTION("""COMPUTED_VALUE"""),"кортикостероїди для тварин")</f>
        <v>кортикостероїди для тварин</v>
      </c>
      <c r="F1480" s="17">
        <f>IFERROR(__xludf.DUMMYFUNCTION("""COMPUTED_VALUE"""),4.0)</f>
        <v>4</v>
      </c>
      <c r="G1480" s="17" t="str">
        <f>IFERROR(__xludf.DUMMYFUNCTION("""COMPUTED_VALUE"""),"270508")</f>
        <v>270508</v>
      </c>
      <c r="H1480" s="17" t="str">
        <f>IFERROR(__xludf.DUMMYFUNCTION("""COMPUTED_VALUE"""),"кортикостероїди для тварин")</f>
        <v>кортикостероїди для тварин</v>
      </c>
      <c r="I1480" s="19">
        <f>IFERROR(__xludf.DUMMYFUNCTION("""COMPUTED_VALUE"""),0.0353)</f>
        <v>0.0353</v>
      </c>
      <c r="J1480" s="19">
        <f>IFERROR(__xludf.DUMMYFUNCTION("""COMPUTED_VALUE"""),0.0706)</f>
        <v>0.0706</v>
      </c>
      <c r="K1480" s="19">
        <f>IFERROR(__xludf.DUMMYFUNCTION("""COMPUTED_VALUE"""),0.0883)</f>
        <v>0.0883</v>
      </c>
      <c r="L1480" s="19">
        <f>IFERROR(__xludf.DUMMYFUNCTION("""COMPUTED_VALUE"""),0.1059)</f>
        <v>0.1059</v>
      </c>
      <c r="M1480" s="18">
        <f>IFERROR(__xludf.DUMMYFUNCTION("""COMPUTED_VALUE"""),1.71)</f>
        <v>1.71</v>
      </c>
    </row>
    <row r="1481">
      <c r="A1481" s="13" t="str">
        <f>IFERROR(__xludf.DUMMYFUNCTION("""COMPUTED_VALUE"""),"товари")</f>
        <v>товари</v>
      </c>
      <c r="B1481" s="16" t="str">
        <f>IFERROR(__xludf.DUMMYFUNCTION("""COMPUTED_VALUE"""),"зоотовари")</f>
        <v>зоотовари</v>
      </c>
      <c r="C1481" s="16" t="str">
        <f>IFERROR(__xludf.DUMMYFUNCTION("""COMPUTED_VALUE"""),"товари для домашніх тварин і птахів")</f>
        <v>товари для домашніх тварин і птахів</v>
      </c>
      <c r="D1481" s="16" t="str">
        <f>IFERROR(__xludf.DUMMYFUNCTION("""COMPUTED_VALUE"""),"одяг для домашніх тварин")</f>
        <v>одяг для домашніх тварин</v>
      </c>
      <c r="E1481" s="16" t="str">
        <f>IFERROR(__xludf.DUMMYFUNCTION("""COMPUTED_VALUE"""),"куртки, комбінезони та дощовики для тварин")</f>
        <v>куртки, комбінезони та дощовики для тварин</v>
      </c>
      <c r="F1481" s="17">
        <f>IFERROR(__xludf.DUMMYFUNCTION("""COMPUTED_VALUE"""),4.0)</f>
        <v>4</v>
      </c>
      <c r="G1481" s="17" t="str">
        <f>IFERROR(__xludf.DUMMYFUNCTION("""COMPUTED_VALUE"""),"270210")</f>
        <v>270210</v>
      </c>
      <c r="H1481" s="17" t="str">
        <f>IFERROR(__xludf.DUMMYFUNCTION("""COMPUTED_VALUE"""),"куртки, комбінезони та дощовики для тварин")</f>
        <v>куртки, комбінезони та дощовики для тварин</v>
      </c>
      <c r="I1481" s="19">
        <f>IFERROR(__xludf.DUMMYFUNCTION("""COMPUTED_VALUE"""),0.04)</f>
        <v>0.04</v>
      </c>
      <c r="J1481" s="19">
        <f>IFERROR(__xludf.DUMMYFUNCTION("""COMPUTED_VALUE"""),0.08)</f>
        <v>0.08</v>
      </c>
      <c r="K1481" s="19">
        <f>IFERROR(__xludf.DUMMYFUNCTION("""COMPUTED_VALUE"""),0.1)</f>
        <v>0.1</v>
      </c>
      <c r="L1481" s="19">
        <f>IFERROR(__xludf.DUMMYFUNCTION("""COMPUTED_VALUE"""),0.12)</f>
        <v>0.12</v>
      </c>
      <c r="M1481" s="18">
        <f>IFERROR(__xludf.DUMMYFUNCTION("""COMPUTED_VALUE"""),1.05)</f>
        <v>1.05</v>
      </c>
    </row>
    <row r="1482">
      <c r="A1482" s="13" t="str">
        <f>IFERROR(__xludf.DUMMYFUNCTION("""COMPUTED_VALUE"""),"товари")</f>
        <v>товари</v>
      </c>
      <c r="B1482" s="16" t="str">
        <f>IFERROR(__xludf.DUMMYFUNCTION("""COMPUTED_VALUE"""),"зоотовари")</f>
        <v>зоотовари</v>
      </c>
      <c r="C1482" s="16" t="str">
        <f>IFERROR(__xludf.DUMMYFUNCTION("""COMPUTED_VALUE"""),"ветеринарія")</f>
        <v>ветеринарія</v>
      </c>
      <c r="D1482" s="16" t="str">
        <f>IFERROR(__xludf.DUMMYFUNCTION("""COMPUTED_VALUE"""),"ветеринарні засоби та препарати")</f>
        <v>ветеринарні засоби та препарати</v>
      </c>
      <c r="E1482" s="16" t="str">
        <f>IFERROR(__xludf.DUMMYFUNCTION("""COMPUTED_VALUE"""),"мазі для тварин")</f>
        <v>мазі для тварин</v>
      </c>
      <c r="F1482" s="17">
        <f>IFERROR(__xludf.DUMMYFUNCTION("""COMPUTED_VALUE"""),4.0)</f>
        <v>4</v>
      </c>
      <c r="G1482" s="17" t="str">
        <f>IFERROR(__xludf.DUMMYFUNCTION("""COMPUTED_VALUE"""),"270510")</f>
        <v>270510</v>
      </c>
      <c r="H1482" s="17" t="str">
        <f>IFERROR(__xludf.DUMMYFUNCTION("""COMPUTED_VALUE"""),"мазі для тварин")</f>
        <v>мазі для тварин</v>
      </c>
      <c r="I1482" s="19">
        <f>IFERROR(__xludf.DUMMYFUNCTION("""COMPUTED_VALUE"""),0.0353)</f>
        <v>0.0353</v>
      </c>
      <c r="J1482" s="19">
        <f>IFERROR(__xludf.DUMMYFUNCTION("""COMPUTED_VALUE"""),0.0706)</f>
        <v>0.0706</v>
      </c>
      <c r="K1482" s="19">
        <f>IFERROR(__xludf.DUMMYFUNCTION("""COMPUTED_VALUE"""),0.0883)</f>
        <v>0.0883</v>
      </c>
      <c r="L1482" s="19">
        <f>IFERROR(__xludf.DUMMYFUNCTION("""COMPUTED_VALUE"""),0.1059)</f>
        <v>0.1059</v>
      </c>
      <c r="M1482" s="18">
        <f>IFERROR(__xludf.DUMMYFUNCTION("""COMPUTED_VALUE"""),1.71)</f>
        <v>1.71</v>
      </c>
    </row>
    <row r="1483">
      <c r="A1483" s="13" t="str">
        <f>IFERROR(__xludf.DUMMYFUNCTION("""COMPUTED_VALUE"""),"товари")</f>
        <v>товари</v>
      </c>
      <c r="B1483" s="16" t="str">
        <f>IFERROR(__xludf.DUMMYFUNCTION("""COMPUTED_VALUE"""),"зоотовари")</f>
        <v>зоотовари</v>
      </c>
      <c r="C1483" s="16" t="str">
        <f>IFERROR(__xludf.DUMMYFUNCTION("""COMPUTED_VALUE"""),"товари для домашніх тварин і птахів")</f>
        <v>товари для домашніх тварин і птахів</v>
      </c>
      <c r="D1483" s="16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483" s="16" t="str">
        <f>IFERROR(__xludf.DUMMYFUNCTION("""COMPUTED_VALUE"""),"медальйони, адресники для домашніх тварин")</f>
        <v>медальйони, адресники для домашніх тварин</v>
      </c>
      <c r="F1483" s="17">
        <f>IFERROR(__xludf.DUMMYFUNCTION("""COMPUTED_VALUE"""),4.0)</f>
        <v>4</v>
      </c>
      <c r="G1483" s="17" t="str">
        <f>IFERROR(__xludf.DUMMYFUNCTION("""COMPUTED_VALUE"""),"270258")</f>
        <v>270258</v>
      </c>
      <c r="H1483" s="17" t="str">
        <f>IFERROR(__xludf.DUMMYFUNCTION("""COMPUTED_VALUE"""),"медальйони, адресники для домашніх тварин")</f>
        <v>медальйони, адресники для домашніх тварин</v>
      </c>
      <c r="I1483" s="19">
        <f>IFERROR(__xludf.DUMMYFUNCTION("""COMPUTED_VALUE"""),0.04)</f>
        <v>0.04</v>
      </c>
      <c r="J1483" s="19">
        <f>IFERROR(__xludf.DUMMYFUNCTION("""COMPUTED_VALUE"""),0.08)</f>
        <v>0.08</v>
      </c>
      <c r="K1483" s="19">
        <f>IFERROR(__xludf.DUMMYFUNCTION("""COMPUTED_VALUE"""),0.1)</f>
        <v>0.1</v>
      </c>
      <c r="L1483" s="19">
        <f>IFERROR(__xludf.DUMMYFUNCTION("""COMPUTED_VALUE"""),0.12)</f>
        <v>0.12</v>
      </c>
      <c r="M1483" s="18">
        <f>IFERROR(__xludf.DUMMYFUNCTION("""COMPUTED_VALUE"""),1.63)</f>
        <v>1.63</v>
      </c>
    </row>
    <row r="1484">
      <c r="A1484" s="13" t="str">
        <f>IFERROR(__xludf.DUMMYFUNCTION("""COMPUTED_VALUE"""),"товари")</f>
        <v>товари</v>
      </c>
      <c r="B1484" s="16" t="str">
        <f>IFERROR(__xludf.DUMMYFUNCTION("""COMPUTED_VALUE"""),"зоотовари")</f>
        <v>зоотовари</v>
      </c>
      <c r="C1484" s="16" t="str">
        <f>IFERROR(__xludf.DUMMYFUNCTION("""COMPUTED_VALUE"""),"товари для рептилій і комах")</f>
        <v>товари для рептилій і комах</v>
      </c>
      <c r="D1484" s="16" t="str">
        <f>IFERROR(__xludf.DUMMYFUNCTION("""COMPUTED_VALUE"""),"мурашині ферми і комплектуючі до них")</f>
        <v>мурашині ферми і комплектуючі до них</v>
      </c>
      <c r="E1484" s="16" t="str">
        <f>IFERROR(__xludf.DUMMYFUNCTION("""COMPUTED_VALUE"""),"мурашині ферми і комплектуючі до них")</f>
        <v>мурашині ферми і комплектуючі до них</v>
      </c>
      <c r="F1484" s="17">
        <f>IFERROR(__xludf.DUMMYFUNCTION("""COMPUTED_VALUE"""),3.0)</f>
        <v>3</v>
      </c>
      <c r="G1484" s="17" t="str">
        <f>IFERROR(__xludf.DUMMYFUNCTION("""COMPUTED_VALUE"""),"271612")</f>
        <v>271612</v>
      </c>
      <c r="H1484" s="17" t="str">
        <f>IFERROR(__xludf.DUMMYFUNCTION("""COMPUTED_VALUE"""),"мурашині ферми і комплектуючі до них")</f>
        <v>мурашині ферми і комплектуючі до них</v>
      </c>
      <c r="I1484" s="19">
        <f>IFERROR(__xludf.DUMMYFUNCTION("""COMPUTED_VALUE"""),0.04)</f>
        <v>0.04</v>
      </c>
      <c r="J1484" s="19">
        <f>IFERROR(__xludf.DUMMYFUNCTION("""COMPUTED_VALUE"""),0.08)</f>
        <v>0.08</v>
      </c>
      <c r="K1484" s="19">
        <f>IFERROR(__xludf.DUMMYFUNCTION("""COMPUTED_VALUE"""),0.1)</f>
        <v>0.1</v>
      </c>
      <c r="L1484" s="19">
        <f>IFERROR(__xludf.DUMMYFUNCTION("""COMPUTED_VALUE"""),0.12)</f>
        <v>0.12</v>
      </c>
      <c r="M1484" s="18">
        <f>IFERROR(__xludf.DUMMYFUNCTION("""COMPUTED_VALUE"""),1.71)</f>
        <v>1.71</v>
      </c>
    </row>
    <row r="1485">
      <c r="A1485" s="13" t="str">
        <f>IFERROR(__xludf.DUMMYFUNCTION("""COMPUTED_VALUE"""),"товари")</f>
        <v>товари</v>
      </c>
      <c r="B1485" s="16" t="str">
        <f>IFERROR(__xludf.DUMMYFUNCTION("""COMPUTED_VALUE"""),"зоотовари")</f>
        <v>зоотовари</v>
      </c>
      <c r="C1485" s="16" t="str">
        <f>IFERROR(__xludf.DUMMYFUNCTION("""COMPUTED_VALUE"""),"товари для домашніх тварин і птахів")</f>
        <v>товари для домашніх тварин і птахів</v>
      </c>
      <c r="D1485" s="16" t="str">
        <f>IFERROR(__xludf.DUMMYFUNCTION("""COMPUTED_VALUE"""),"товари для догляду за домашніми тваринами")</f>
        <v>товари для догляду за домашніми тваринами</v>
      </c>
      <c r="E1485" s="16" t="str">
        <f>IFERROR(__xludf.DUMMYFUNCTION("""COMPUTED_VALUE"""),"наповнювачі для туалетів і кліток")</f>
        <v>наповнювачі для туалетів і кліток</v>
      </c>
      <c r="F1485" s="17">
        <f>IFERROR(__xludf.DUMMYFUNCTION("""COMPUTED_VALUE"""),4.0)</f>
        <v>4</v>
      </c>
      <c r="G1485" s="17" t="str">
        <f>IFERROR(__xludf.DUMMYFUNCTION("""COMPUTED_VALUE"""),"270205")</f>
        <v>270205</v>
      </c>
      <c r="H1485" s="17" t="str">
        <f>IFERROR(__xludf.DUMMYFUNCTION("""COMPUTED_VALUE"""),"наповнювачі для туалетів і кліток")</f>
        <v>наповнювачі для туалетів і кліток</v>
      </c>
      <c r="I1485" s="19">
        <f>IFERROR(__xludf.DUMMYFUNCTION("""COMPUTED_VALUE"""),0.04)</f>
        <v>0.04</v>
      </c>
      <c r="J1485" s="19">
        <f>IFERROR(__xludf.DUMMYFUNCTION("""COMPUTED_VALUE"""),0.08)</f>
        <v>0.08</v>
      </c>
      <c r="K1485" s="19">
        <f>IFERROR(__xludf.DUMMYFUNCTION("""COMPUTED_VALUE"""),0.1)</f>
        <v>0.1</v>
      </c>
      <c r="L1485" s="19">
        <f>IFERROR(__xludf.DUMMYFUNCTION("""COMPUTED_VALUE"""),0.12)</f>
        <v>0.12</v>
      </c>
      <c r="M1485" s="18">
        <f>IFERROR(__xludf.DUMMYFUNCTION("""COMPUTED_VALUE"""),1.8)</f>
        <v>1.8</v>
      </c>
    </row>
    <row r="1486">
      <c r="A1486" s="13" t="str">
        <f>IFERROR(__xludf.DUMMYFUNCTION("""COMPUTED_VALUE"""),"товари")</f>
        <v>товари</v>
      </c>
      <c r="B1486" s="16" t="str">
        <f>IFERROR(__xludf.DUMMYFUNCTION("""COMPUTED_VALUE"""),"зоотовари")</f>
        <v>зоотовари</v>
      </c>
      <c r="C1486" s="16" t="str">
        <f>IFERROR(__xludf.DUMMYFUNCTION("""COMPUTED_VALUE"""),"товари для риб")</f>
        <v>товари для риб</v>
      </c>
      <c r="D1486" s="16" t="str">
        <f>IFERROR(__xludf.DUMMYFUNCTION("""COMPUTED_VALUE"""),"насоси, помпи і компресори для акваріума")</f>
        <v>насоси, помпи і компресори для акваріума</v>
      </c>
      <c r="E1486" s="16" t="str">
        <f>IFERROR(__xludf.DUMMYFUNCTION("""COMPUTED_VALUE"""),"насоси, помпи і компресори для акваріума")</f>
        <v>насоси, помпи і компресори для акваріума</v>
      </c>
      <c r="F1486" s="17">
        <f>IFERROR(__xludf.DUMMYFUNCTION("""COMPUTED_VALUE"""),3.0)</f>
        <v>3</v>
      </c>
      <c r="G1486" s="17" t="str">
        <f>IFERROR(__xludf.DUMMYFUNCTION("""COMPUTED_VALUE"""),"270238")</f>
        <v>270238</v>
      </c>
      <c r="H1486" s="17" t="str">
        <f>IFERROR(__xludf.DUMMYFUNCTION("""COMPUTED_VALUE"""),"насоси, помпи і компресори для акваріума")</f>
        <v>насоси, помпи і компресори для акваріума</v>
      </c>
      <c r="I1486" s="19">
        <f>IFERROR(__xludf.DUMMYFUNCTION("""COMPUTED_VALUE"""),0.04)</f>
        <v>0.04</v>
      </c>
      <c r="J1486" s="19">
        <f>IFERROR(__xludf.DUMMYFUNCTION("""COMPUTED_VALUE"""),0.08)</f>
        <v>0.08</v>
      </c>
      <c r="K1486" s="19">
        <f>IFERROR(__xludf.DUMMYFUNCTION("""COMPUTED_VALUE"""),0.1)</f>
        <v>0.1</v>
      </c>
      <c r="L1486" s="19">
        <f>IFERROR(__xludf.DUMMYFUNCTION("""COMPUTED_VALUE"""),0.12)</f>
        <v>0.12</v>
      </c>
      <c r="M1486" s="18">
        <f>IFERROR(__xludf.DUMMYFUNCTION("""COMPUTED_VALUE"""),1.05)</f>
        <v>1.05</v>
      </c>
    </row>
    <row r="1487">
      <c r="A1487" s="13" t="str">
        <f>IFERROR(__xludf.DUMMYFUNCTION("""COMPUTED_VALUE"""),"товари")</f>
        <v>товари</v>
      </c>
      <c r="B1487" s="16" t="str">
        <f>IFERROR(__xludf.DUMMYFUNCTION("""COMPUTED_VALUE"""),"зоотовари")</f>
        <v>зоотовари</v>
      </c>
      <c r="C1487" s="16" t="str">
        <f>IFERROR(__xludf.DUMMYFUNCTION("""COMPUTED_VALUE"""),"нашийники від бліх, кліщів для тварин")</f>
        <v>нашийники від бліх, кліщів для тварин</v>
      </c>
      <c r="D1487" s="16" t="str">
        <f>IFERROR(__xludf.DUMMYFUNCTION("""COMPUTED_VALUE"""),"нашийники від бліх, кліщів для тварин")</f>
        <v>нашийники від бліх, кліщів для тварин</v>
      </c>
      <c r="E1487" s="16" t="str">
        <f>IFERROR(__xludf.DUMMYFUNCTION("""COMPUTED_VALUE"""),"нашийники від бліх, кліщів для тварин")</f>
        <v>нашийники від бліх, кліщів для тварин</v>
      </c>
      <c r="F1487" s="17">
        <f>IFERROR(__xludf.DUMMYFUNCTION("""COMPUTED_VALUE"""),2.0)</f>
        <v>2</v>
      </c>
      <c r="G1487" s="17" t="str">
        <f>IFERROR(__xludf.DUMMYFUNCTION("""COMPUTED_VALUE"""),"2718")</f>
        <v>2718</v>
      </c>
      <c r="H1487" s="17" t="str">
        <f>IFERROR(__xludf.DUMMYFUNCTION("""COMPUTED_VALUE"""),"нашийники від бліх, кліщів для тварин")</f>
        <v>нашийники від бліх, кліщів для тварин</v>
      </c>
      <c r="I1487" s="19">
        <f>IFERROR(__xludf.DUMMYFUNCTION("""COMPUTED_VALUE"""),0.0319)</f>
        <v>0.0319</v>
      </c>
      <c r="J1487" s="19">
        <f>IFERROR(__xludf.DUMMYFUNCTION("""COMPUTED_VALUE"""),0.0638)</f>
        <v>0.0638</v>
      </c>
      <c r="K1487" s="19">
        <f>IFERROR(__xludf.DUMMYFUNCTION("""COMPUTED_VALUE"""),0.0798)</f>
        <v>0.0798</v>
      </c>
      <c r="L1487" s="19">
        <f>IFERROR(__xludf.DUMMYFUNCTION("""COMPUTED_VALUE"""),0.0957)</f>
        <v>0.0957</v>
      </c>
      <c r="M1487" s="18">
        <f>IFERROR(__xludf.DUMMYFUNCTION("""COMPUTED_VALUE"""),1.44)</f>
        <v>1.44</v>
      </c>
    </row>
    <row r="1488">
      <c r="A1488" s="13" t="str">
        <f>IFERROR(__xludf.DUMMYFUNCTION("""COMPUTED_VALUE"""),"товари")</f>
        <v>товари</v>
      </c>
      <c r="B1488" s="16" t="str">
        <f>IFERROR(__xludf.DUMMYFUNCTION("""COMPUTED_VALUE"""),"зоотовари")</f>
        <v>зоотовари</v>
      </c>
      <c r="C1488" s="16" t="str">
        <f>IFERROR(__xludf.DUMMYFUNCTION("""COMPUTED_VALUE"""),"товари для риб")</f>
        <v>товари для риб</v>
      </c>
      <c r="D1488" s="16" t="str">
        <f>IFERROR(__xludf.DUMMYFUNCTION("""COMPUTED_VALUE"""),"обігрів і охолодження акваріума")</f>
        <v>обігрів і охолодження акваріума</v>
      </c>
      <c r="E1488" s="16" t="str">
        <f>IFERROR(__xludf.DUMMYFUNCTION("""COMPUTED_VALUE"""),"обігрів і охолодження акваріума")</f>
        <v>обігрів і охолодження акваріума</v>
      </c>
      <c r="F1488" s="17">
        <f>IFERROR(__xludf.DUMMYFUNCTION("""COMPUTED_VALUE"""),3.0)</f>
        <v>3</v>
      </c>
      <c r="G1488" s="17" t="str">
        <f>IFERROR(__xludf.DUMMYFUNCTION("""COMPUTED_VALUE"""),"270236")</f>
        <v>270236</v>
      </c>
      <c r="H1488" s="17" t="str">
        <f>IFERROR(__xludf.DUMMYFUNCTION("""COMPUTED_VALUE"""),"обігрів і охолодження акваріума")</f>
        <v>обігрів і охолодження акваріума</v>
      </c>
      <c r="I1488" s="19">
        <f>IFERROR(__xludf.DUMMYFUNCTION("""COMPUTED_VALUE"""),0.04)</f>
        <v>0.04</v>
      </c>
      <c r="J1488" s="19">
        <f>IFERROR(__xludf.DUMMYFUNCTION("""COMPUTED_VALUE"""),0.08)</f>
        <v>0.08</v>
      </c>
      <c r="K1488" s="19">
        <f>IFERROR(__xludf.DUMMYFUNCTION("""COMPUTED_VALUE"""),0.1)</f>
        <v>0.1</v>
      </c>
      <c r="L1488" s="19">
        <f>IFERROR(__xludf.DUMMYFUNCTION("""COMPUTED_VALUE"""),0.12)</f>
        <v>0.12</v>
      </c>
      <c r="M1488" s="18">
        <f>IFERROR(__xludf.DUMMYFUNCTION("""COMPUTED_VALUE"""),1.53)</f>
        <v>1.53</v>
      </c>
    </row>
    <row r="1489">
      <c r="A1489" s="13" t="str">
        <f>IFERROR(__xludf.DUMMYFUNCTION("""COMPUTED_VALUE"""),"товари")</f>
        <v>товари</v>
      </c>
      <c r="B1489" s="16" t="str">
        <f>IFERROR(__xludf.DUMMYFUNCTION("""COMPUTED_VALUE"""),"зоотовари")</f>
        <v>зоотовари</v>
      </c>
      <c r="C1489" s="16" t="str">
        <f>IFERROR(__xludf.DUMMYFUNCTION("""COMPUTED_VALUE"""),"товари для домашніх тварин і птахів")</f>
        <v>товари для домашніх тварин і птахів</v>
      </c>
      <c r="D1489" s="16" t="str">
        <f>IFERROR(__xludf.DUMMYFUNCTION("""COMPUTED_VALUE"""),"обладнання для майданчиків для вигулу і тренувань тварин")</f>
        <v>обладнання для майданчиків для вигулу і тренувань тварин</v>
      </c>
      <c r="E1489" s="16" t="str">
        <f>IFERROR(__xludf.DUMMYFUNCTION("""COMPUTED_VALUE"""),"обладнання для майданчиків для вигулу і тренувань тварин")</f>
        <v>обладнання для майданчиків для вигулу і тренувань тварин</v>
      </c>
      <c r="F1489" s="17">
        <f>IFERROR(__xludf.DUMMYFUNCTION("""COMPUTED_VALUE"""),3.0)</f>
        <v>3</v>
      </c>
      <c r="G1489" s="17" t="str">
        <f>IFERROR(__xludf.DUMMYFUNCTION("""COMPUTED_VALUE"""),"270206")</f>
        <v>270206</v>
      </c>
      <c r="H1489" s="17" t="str">
        <f>IFERROR(__xludf.DUMMYFUNCTION("""COMPUTED_VALUE"""),"обладнання для майданчиків для вигулу і тренувань тварин")</f>
        <v>обладнання для майданчиків для вигулу і тренувань тварин</v>
      </c>
      <c r="I1489" s="19">
        <f>IFERROR(__xludf.DUMMYFUNCTION("""COMPUTED_VALUE"""),0.0319)</f>
        <v>0.0319</v>
      </c>
      <c r="J1489" s="19">
        <f>IFERROR(__xludf.DUMMYFUNCTION("""COMPUTED_VALUE"""),0.0638)</f>
        <v>0.0638</v>
      </c>
      <c r="K1489" s="19">
        <f>IFERROR(__xludf.DUMMYFUNCTION("""COMPUTED_VALUE"""),0.0798)</f>
        <v>0.0798</v>
      </c>
      <c r="L1489" s="19">
        <f>IFERROR(__xludf.DUMMYFUNCTION("""COMPUTED_VALUE"""),0.0957)</f>
        <v>0.0957</v>
      </c>
      <c r="M1489" s="18">
        <f>IFERROR(__xludf.DUMMYFUNCTION("""COMPUTED_VALUE"""),1.05)</f>
        <v>1.05</v>
      </c>
    </row>
    <row r="1490">
      <c r="A1490" s="13" t="str">
        <f>IFERROR(__xludf.DUMMYFUNCTION("""COMPUTED_VALUE"""),"товари")</f>
        <v>товари</v>
      </c>
      <c r="B1490" s="16" t="str">
        <f>IFERROR(__xludf.DUMMYFUNCTION("""COMPUTED_VALUE"""),"зоотовари")</f>
        <v>зоотовари</v>
      </c>
      <c r="C1490" s="16" t="str">
        <f>IFERROR(__xludf.DUMMYFUNCTION("""COMPUTED_VALUE"""),"товари для домашніх тварин і птахів")</f>
        <v>товари для домашніх тварин і птахів</v>
      </c>
      <c r="D1490" s="16" t="str">
        <f>IFERROR(__xludf.DUMMYFUNCTION("""COMPUTED_VALUE"""),"товари для догляду за домашніми тваринами")</f>
        <v>товари для догляду за домашніми тваринами</v>
      </c>
      <c r="E1490" s="16" t="str">
        <f>IFERROR(__xludf.DUMMYFUNCTION("""COMPUTED_VALUE"""),"обладнання та інструменти для грумінгу")</f>
        <v>обладнання та інструменти для грумінгу</v>
      </c>
      <c r="F1490" s="17">
        <f>IFERROR(__xludf.DUMMYFUNCTION("""COMPUTED_VALUE"""),4.0)</f>
        <v>4</v>
      </c>
      <c r="G1490" s="17" t="str">
        <f>IFERROR(__xludf.DUMMYFUNCTION("""COMPUTED_VALUE"""),"181204")</f>
        <v>181204</v>
      </c>
      <c r="H1490" s="17" t="str">
        <f>IFERROR(__xludf.DUMMYFUNCTION("""COMPUTED_VALUE"""),"обладнання та інструменти для грумінгу")</f>
        <v>обладнання та інструменти для грумінгу</v>
      </c>
      <c r="I1490" s="19">
        <f>IFERROR(__xludf.DUMMYFUNCTION("""COMPUTED_VALUE"""),0.04)</f>
        <v>0.04</v>
      </c>
      <c r="J1490" s="19">
        <f>IFERROR(__xludf.DUMMYFUNCTION("""COMPUTED_VALUE"""),0.08)</f>
        <v>0.08</v>
      </c>
      <c r="K1490" s="19">
        <f>IFERROR(__xludf.DUMMYFUNCTION("""COMPUTED_VALUE"""),0.1)</f>
        <v>0.1</v>
      </c>
      <c r="L1490" s="19">
        <f>IFERROR(__xludf.DUMMYFUNCTION("""COMPUTED_VALUE"""),0.12)</f>
        <v>0.12</v>
      </c>
      <c r="M1490" s="18">
        <f>IFERROR(__xludf.DUMMYFUNCTION("""COMPUTED_VALUE"""),1.8)</f>
        <v>1.8</v>
      </c>
    </row>
    <row r="1491">
      <c r="A1491" s="13" t="str">
        <f>IFERROR(__xludf.DUMMYFUNCTION("""COMPUTED_VALUE"""),"товари")</f>
        <v>товари</v>
      </c>
      <c r="B1491" s="16" t="str">
        <f>IFERROR(__xludf.DUMMYFUNCTION("""COMPUTED_VALUE"""),"зоотовари")</f>
        <v>зоотовари</v>
      </c>
      <c r="C1491" s="16" t="str">
        <f>IFERROR(__xludf.DUMMYFUNCTION("""COMPUTED_VALUE"""),"товари для домашніх тварин і птахів")</f>
        <v>товари для домашніх тварин і птахів</v>
      </c>
      <c r="D1491" s="16" t="str">
        <f>IFERROR(__xludf.DUMMYFUNCTION("""COMPUTED_VALUE"""),"одяг для домашніх тварин")</f>
        <v>одяг для домашніх тварин</v>
      </c>
      <c r="E1491" s="16" t="str">
        <f>IFERROR(__xludf.DUMMYFUNCTION("""COMPUTED_VALUE"""),"одяг для домашніх тварин, загальне")</f>
        <v>одяг для домашніх тварин, загальне</v>
      </c>
      <c r="F1491" s="17">
        <f>IFERROR(__xludf.DUMMYFUNCTION("""COMPUTED_VALUE"""),4.0)</f>
        <v>4</v>
      </c>
      <c r="G1491" s="17" t="str">
        <f>IFERROR(__xludf.DUMMYFUNCTION("""COMPUTED_VALUE"""),"270224")</f>
        <v>270224</v>
      </c>
      <c r="H1491" s="17" t="str">
        <f>IFERROR(__xludf.DUMMYFUNCTION("""COMPUTED_VALUE"""),"одяг для домашніх тварин, загальне")</f>
        <v>одяг для домашніх тварин, загальне</v>
      </c>
      <c r="I1491" s="19">
        <f>IFERROR(__xludf.DUMMYFUNCTION("""COMPUTED_VALUE"""),0.125)</f>
        <v>0.125</v>
      </c>
      <c r="J1491" s="19">
        <f>IFERROR(__xludf.DUMMYFUNCTION("""COMPUTED_VALUE"""),0.25)</f>
        <v>0.25</v>
      </c>
      <c r="K1491" s="19">
        <f>IFERROR(__xludf.DUMMYFUNCTION("""COMPUTED_VALUE"""),0.3125)</f>
        <v>0.3125</v>
      </c>
      <c r="L1491" s="19">
        <f>IFERROR(__xludf.DUMMYFUNCTION("""COMPUTED_VALUE"""),0.375)</f>
        <v>0.375</v>
      </c>
      <c r="M1491" s="18">
        <f>IFERROR(__xludf.DUMMYFUNCTION("""COMPUTED_VALUE"""),4.33)</f>
        <v>4.33</v>
      </c>
    </row>
    <row r="1492">
      <c r="A1492" s="13" t="str">
        <f>IFERROR(__xludf.DUMMYFUNCTION("""COMPUTED_VALUE"""),"товари")</f>
        <v>товари</v>
      </c>
      <c r="B1492" s="16" t="str">
        <f>IFERROR(__xludf.DUMMYFUNCTION("""COMPUTED_VALUE"""),"зоотовари")</f>
        <v>зоотовари</v>
      </c>
      <c r="C1492" s="16" t="str">
        <f>IFERROR(__xludf.DUMMYFUNCTION("""COMPUTED_VALUE"""),"товари для риб")</f>
        <v>товари для риб</v>
      </c>
      <c r="D1492" s="16" t="str">
        <f>IFERROR(__xludf.DUMMYFUNCTION("""COMPUTED_VALUE"""),"освітлення для акваріумів")</f>
        <v>освітлення для акваріумів</v>
      </c>
      <c r="E1492" s="16" t="str">
        <f>IFERROR(__xludf.DUMMYFUNCTION("""COMPUTED_VALUE"""),"освітлення для акваріумів")</f>
        <v>освітлення для акваріумів</v>
      </c>
      <c r="F1492" s="17">
        <f>IFERROR(__xludf.DUMMYFUNCTION("""COMPUTED_VALUE"""),3.0)</f>
        <v>3</v>
      </c>
      <c r="G1492" s="17" t="str">
        <f>IFERROR(__xludf.DUMMYFUNCTION("""COMPUTED_VALUE"""),"270234")</f>
        <v>270234</v>
      </c>
      <c r="H1492" s="17" t="str">
        <f>IFERROR(__xludf.DUMMYFUNCTION("""COMPUTED_VALUE"""),"освітлення для акваріумів")</f>
        <v>освітлення для акваріумів</v>
      </c>
      <c r="I1492" s="19">
        <f>IFERROR(__xludf.DUMMYFUNCTION("""COMPUTED_VALUE"""),0.04)</f>
        <v>0.04</v>
      </c>
      <c r="J1492" s="19">
        <f>IFERROR(__xludf.DUMMYFUNCTION("""COMPUTED_VALUE"""),0.08)</f>
        <v>0.08</v>
      </c>
      <c r="K1492" s="19">
        <f>IFERROR(__xludf.DUMMYFUNCTION("""COMPUTED_VALUE"""),0.1)</f>
        <v>0.1</v>
      </c>
      <c r="L1492" s="19">
        <f>IFERROR(__xludf.DUMMYFUNCTION("""COMPUTED_VALUE"""),0.12)</f>
        <v>0.12</v>
      </c>
      <c r="M1492" s="18">
        <f>IFERROR(__xludf.DUMMYFUNCTION("""COMPUTED_VALUE"""),1.98)</f>
        <v>1.98</v>
      </c>
    </row>
    <row r="1493">
      <c r="A1493" s="13" t="str">
        <f>IFERROR(__xludf.DUMMYFUNCTION("""COMPUTED_VALUE"""),"товари")</f>
        <v>товари</v>
      </c>
      <c r="B1493" s="16" t="str">
        <f>IFERROR(__xludf.DUMMYFUNCTION("""COMPUTED_VALUE"""),"зоотовари")</f>
        <v>зоотовари</v>
      </c>
      <c r="C1493" s="16" t="str">
        <f>IFERROR(__xludf.DUMMYFUNCTION("""COMPUTED_VALUE"""),"товари для рептилій і комах")</f>
        <v>товари для рептилій і комах</v>
      </c>
      <c r="D1493" s="16" t="str">
        <f>IFERROR(__xludf.DUMMYFUNCTION("""COMPUTED_VALUE"""),"тераріуми та приналежності до них")</f>
        <v>тераріуми та приналежності до них</v>
      </c>
      <c r="E1493" s="16" t="str">
        <f>IFERROR(__xludf.DUMMYFUNCTION("""COMPUTED_VALUE"""),"освітлення і обігрів для тераріуму")</f>
        <v>освітлення і обігрів для тераріуму</v>
      </c>
      <c r="F1493" s="17">
        <f>IFERROR(__xludf.DUMMYFUNCTION("""COMPUTED_VALUE"""),4.0)</f>
        <v>4</v>
      </c>
      <c r="G1493" s="17" t="str">
        <f>IFERROR(__xludf.DUMMYFUNCTION("""COMPUTED_VALUE"""),"271602")</f>
        <v>271602</v>
      </c>
      <c r="H1493" s="17" t="str">
        <f>IFERROR(__xludf.DUMMYFUNCTION("""COMPUTED_VALUE"""),"освітлення і обігрів для тераріуму")</f>
        <v>освітлення і обігрів для тераріуму</v>
      </c>
      <c r="I1493" s="19">
        <f>IFERROR(__xludf.DUMMYFUNCTION("""COMPUTED_VALUE"""),0.0395)</f>
        <v>0.0395</v>
      </c>
      <c r="J1493" s="19">
        <f>IFERROR(__xludf.DUMMYFUNCTION("""COMPUTED_VALUE"""),0.079)</f>
        <v>0.079</v>
      </c>
      <c r="K1493" s="19">
        <f>IFERROR(__xludf.DUMMYFUNCTION("""COMPUTED_VALUE"""),0.0988)</f>
        <v>0.0988</v>
      </c>
      <c r="L1493" s="19">
        <f>IFERROR(__xludf.DUMMYFUNCTION("""COMPUTED_VALUE"""),0.1185)</f>
        <v>0.1185</v>
      </c>
      <c r="M1493" s="18">
        <f>IFERROR(__xludf.DUMMYFUNCTION("""COMPUTED_VALUE"""),1.53)</f>
        <v>1.53</v>
      </c>
    </row>
    <row r="1494">
      <c r="A1494" s="13" t="str">
        <f>IFERROR(__xludf.DUMMYFUNCTION("""COMPUTED_VALUE"""),"товари")</f>
        <v>товари</v>
      </c>
      <c r="B1494" s="16" t="str">
        <f>IFERROR(__xludf.DUMMYFUNCTION("""COMPUTED_VALUE"""),"зоотовари")</f>
        <v>зоотовари</v>
      </c>
      <c r="C1494" s="16" t="str">
        <f>IFERROR(__xludf.DUMMYFUNCTION("""COMPUTED_VALUE"""),"ветеринарія")</f>
        <v>ветеринарія</v>
      </c>
      <c r="D1494" s="16" t="str">
        <f>IFERROR(__xludf.DUMMYFUNCTION("""COMPUTED_VALUE"""),"ветеринарні засоби та препарати")</f>
        <v>ветеринарні засоби та препарати</v>
      </c>
      <c r="E1494" s="16" t="str">
        <f>IFERROR(__xludf.DUMMYFUNCTION("""COMPUTED_VALUE"""),"післяопераційні засоби догляду за тваринами")</f>
        <v>післяопераційні засоби догляду за тваринами</v>
      </c>
      <c r="F1494" s="17">
        <f>IFERROR(__xludf.DUMMYFUNCTION("""COMPUTED_VALUE"""),4.0)</f>
        <v>4</v>
      </c>
      <c r="G1494" s="17" t="str">
        <f>IFERROR(__xludf.DUMMYFUNCTION("""COMPUTED_VALUE"""),"270513")</f>
        <v>270513</v>
      </c>
      <c r="H1494" s="17" t="str">
        <f>IFERROR(__xludf.DUMMYFUNCTION("""COMPUTED_VALUE"""),"післяопераційні засоби догляду за тваринами")</f>
        <v>післяопераційні засоби догляду за тваринами</v>
      </c>
      <c r="I1494" s="19">
        <f>IFERROR(__xludf.DUMMYFUNCTION("""COMPUTED_VALUE"""),0.0353)</f>
        <v>0.0353</v>
      </c>
      <c r="J1494" s="19">
        <f>IFERROR(__xludf.DUMMYFUNCTION("""COMPUTED_VALUE"""),0.0706)</f>
        <v>0.0706</v>
      </c>
      <c r="K1494" s="19">
        <f>IFERROR(__xludf.DUMMYFUNCTION("""COMPUTED_VALUE"""),0.0883)</f>
        <v>0.0883</v>
      </c>
      <c r="L1494" s="19">
        <f>IFERROR(__xludf.DUMMYFUNCTION("""COMPUTED_VALUE"""),0.1059)</f>
        <v>0.1059</v>
      </c>
      <c r="M1494" s="18">
        <f>IFERROR(__xludf.DUMMYFUNCTION("""COMPUTED_VALUE"""),1.71)</f>
        <v>1.71</v>
      </c>
    </row>
    <row r="1495">
      <c r="A1495" s="13" t="str">
        <f>IFERROR(__xludf.DUMMYFUNCTION("""COMPUTED_VALUE"""),"товари")</f>
        <v>товари</v>
      </c>
      <c r="B1495" s="16" t="str">
        <f>IFERROR(__xludf.DUMMYFUNCTION("""COMPUTED_VALUE"""),"зоотовари")</f>
        <v>зоотовари</v>
      </c>
      <c r="C1495" s="16" t="str">
        <f>IFERROR(__xludf.DUMMYFUNCTION("""COMPUTED_VALUE"""),"товари для домашніх тварин і птахів")</f>
        <v>товари для домашніх тварин і птахів</v>
      </c>
      <c r="D1495" s="16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495" s="16" t="str">
        <f>IFERROR(__xludf.DUMMYFUNCTION("""COMPUTED_VALUE"""),"повідки, нашийники, намордники, шлейки")</f>
        <v>повідки, нашийники, намордники, шлейки</v>
      </c>
      <c r="F1495" s="17">
        <f>IFERROR(__xludf.DUMMYFUNCTION("""COMPUTED_VALUE"""),4.0)</f>
        <v>4</v>
      </c>
      <c r="G1495" s="17" t="str">
        <f>IFERROR(__xludf.DUMMYFUNCTION("""COMPUTED_VALUE"""),"181205")</f>
        <v>181205</v>
      </c>
      <c r="H1495" s="17" t="str">
        <f>IFERROR(__xludf.DUMMYFUNCTION("""COMPUTED_VALUE"""),"повідки, нашийники, намордники, шлейки")</f>
        <v>повідки, нашийники, намордники, шлейки</v>
      </c>
      <c r="I1495" s="19">
        <f>IFERROR(__xludf.DUMMYFUNCTION("""COMPUTED_VALUE"""),0.04)</f>
        <v>0.04</v>
      </c>
      <c r="J1495" s="19">
        <f>IFERROR(__xludf.DUMMYFUNCTION("""COMPUTED_VALUE"""),0.08)</f>
        <v>0.08</v>
      </c>
      <c r="K1495" s="19">
        <f>IFERROR(__xludf.DUMMYFUNCTION("""COMPUTED_VALUE"""),0.1)</f>
        <v>0.1</v>
      </c>
      <c r="L1495" s="19">
        <f>IFERROR(__xludf.DUMMYFUNCTION("""COMPUTED_VALUE"""),0.12)</f>
        <v>0.12</v>
      </c>
      <c r="M1495" s="18">
        <f>IFERROR(__xludf.DUMMYFUNCTION("""COMPUTED_VALUE"""),1.63)</f>
        <v>1.63</v>
      </c>
    </row>
    <row r="1496">
      <c r="A1496" s="13" t="str">
        <f>IFERROR(__xludf.DUMMYFUNCTION("""COMPUTED_VALUE"""),"товари")</f>
        <v>товари</v>
      </c>
      <c r="B1496" s="16" t="str">
        <f>IFERROR(__xludf.DUMMYFUNCTION("""COMPUTED_VALUE"""),"зоотовари")</f>
        <v>зоотовари</v>
      </c>
      <c r="C1496" s="16" t="str">
        <f>IFERROR(__xludf.DUMMYFUNCTION("""COMPUTED_VALUE"""),"товари для рептилій і комах")</f>
        <v>товари для рептилій і комах</v>
      </c>
      <c r="D1496" s="16" t="str">
        <f>IFERROR(__xludf.DUMMYFUNCTION("""COMPUTED_VALUE"""),"тераріуми та приналежності до них")</f>
        <v>тераріуми та приналежності до них</v>
      </c>
      <c r="E1496" s="16" t="str">
        <f>IFERROR(__xludf.DUMMYFUNCTION("""COMPUTED_VALUE"""),"прилади для підтримки і контролю вологості в тераріумі")</f>
        <v>прилади для підтримки і контролю вологості в тераріумі</v>
      </c>
      <c r="F1496" s="17">
        <f>IFERROR(__xludf.DUMMYFUNCTION("""COMPUTED_VALUE"""),4.0)</f>
        <v>4</v>
      </c>
      <c r="G1496" s="17" t="str">
        <f>IFERROR(__xludf.DUMMYFUNCTION("""COMPUTED_VALUE"""),"271603")</f>
        <v>271603</v>
      </c>
      <c r="H1496" s="17" t="str">
        <f>IFERROR(__xludf.DUMMYFUNCTION("""COMPUTED_VALUE"""),"прилади для підтримки і контролю вологості в тераріумі")</f>
        <v>прилади для підтримки і контролю вологості в тераріумі</v>
      </c>
      <c r="I1496" s="19">
        <f>IFERROR(__xludf.DUMMYFUNCTION("""COMPUTED_VALUE"""),0.0395)</f>
        <v>0.0395</v>
      </c>
      <c r="J1496" s="19">
        <f>IFERROR(__xludf.DUMMYFUNCTION("""COMPUTED_VALUE"""),0.079)</f>
        <v>0.079</v>
      </c>
      <c r="K1496" s="19">
        <f>IFERROR(__xludf.DUMMYFUNCTION("""COMPUTED_VALUE"""),0.0988)</f>
        <v>0.0988</v>
      </c>
      <c r="L1496" s="19">
        <f>IFERROR(__xludf.DUMMYFUNCTION("""COMPUTED_VALUE"""),0.1185)</f>
        <v>0.1185</v>
      </c>
      <c r="M1496" s="18">
        <f>IFERROR(__xludf.DUMMYFUNCTION("""COMPUTED_VALUE"""),1.53)</f>
        <v>1.53</v>
      </c>
    </row>
    <row r="1497">
      <c r="A1497" s="13" t="str">
        <f>IFERROR(__xludf.DUMMYFUNCTION("""COMPUTED_VALUE"""),"товари")</f>
        <v>товари</v>
      </c>
      <c r="B1497" s="16" t="str">
        <f>IFERROR(__xludf.DUMMYFUNCTION("""COMPUTED_VALUE"""),"зоотовари")</f>
        <v>зоотовари</v>
      </c>
      <c r="C1497" s="16" t="str">
        <f>IFERROR(__xludf.DUMMYFUNCTION("""COMPUTED_VALUE"""),"ветеринарія")</f>
        <v>ветеринарія</v>
      </c>
      <c r="D1497" s="16" t="str">
        <f>IFERROR(__xludf.DUMMYFUNCTION("""COMPUTED_VALUE"""),"ветеринарні засоби та препарати")</f>
        <v>ветеринарні засоби та препарати</v>
      </c>
      <c r="E1497" s="16" t="str">
        <f>IFERROR(__xludf.DUMMYFUNCTION("""COMPUTED_VALUE"""),"пробіотики для тварин")</f>
        <v>пробіотики для тварин</v>
      </c>
      <c r="F1497" s="17">
        <f>IFERROR(__xludf.DUMMYFUNCTION("""COMPUTED_VALUE"""),4.0)</f>
        <v>4</v>
      </c>
      <c r="G1497" s="17" t="str">
        <f>IFERROR(__xludf.DUMMYFUNCTION("""COMPUTED_VALUE"""),"270518")</f>
        <v>270518</v>
      </c>
      <c r="H1497" s="17" t="str">
        <f>IFERROR(__xludf.DUMMYFUNCTION("""COMPUTED_VALUE"""),"пробіотики для тварин")</f>
        <v>пробіотики для тварин</v>
      </c>
      <c r="I1497" s="19">
        <f>IFERROR(__xludf.DUMMYFUNCTION("""COMPUTED_VALUE"""),0.0353)</f>
        <v>0.0353</v>
      </c>
      <c r="J1497" s="19">
        <f>IFERROR(__xludf.DUMMYFUNCTION("""COMPUTED_VALUE"""),0.0706)</f>
        <v>0.0706</v>
      </c>
      <c r="K1497" s="19">
        <f>IFERROR(__xludf.DUMMYFUNCTION("""COMPUTED_VALUE"""),0.0883)</f>
        <v>0.0883</v>
      </c>
      <c r="L1497" s="19">
        <f>IFERROR(__xludf.DUMMYFUNCTION("""COMPUTED_VALUE"""),0.1059)</f>
        <v>0.1059</v>
      </c>
      <c r="M1497" s="18">
        <f>IFERROR(__xludf.DUMMYFUNCTION("""COMPUTED_VALUE"""),1.71)</f>
        <v>1.71</v>
      </c>
    </row>
    <row r="1498">
      <c r="A1498" s="13" t="str">
        <f>IFERROR(__xludf.DUMMYFUNCTION("""COMPUTED_VALUE"""),"товари")</f>
        <v>товари</v>
      </c>
      <c r="B1498" s="16" t="str">
        <f>IFERROR(__xludf.DUMMYFUNCTION("""COMPUTED_VALUE"""),"зоотовари")</f>
        <v>зоотовари</v>
      </c>
      <c r="C1498" s="16" t="str">
        <f>IFERROR(__xludf.DUMMYFUNCTION("""COMPUTED_VALUE"""),"ветеринарія")</f>
        <v>ветеринарія</v>
      </c>
      <c r="D1498" s="16" t="str">
        <f>IFERROR(__xludf.DUMMYFUNCTION("""COMPUTED_VALUE"""),"ветеринарні засоби та препарати")</f>
        <v>ветеринарні засоби та препарати</v>
      </c>
      <c r="E1498" s="16" t="str">
        <f>IFERROR(__xludf.DUMMYFUNCTION("""COMPUTED_VALUE"""),"протигрибкові ветеринарні препарати")</f>
        <v>протигрибкові ветеринарні препарати</v>
      </c>
      <c r="F1498" s="17">
        <f>IFERROR(__xludf.DUMMYFUNCTION("""COMPUTED_VALUE"""),4.0)</f>
        <v>4</v>
      </c>
      <c r="G1498" s="17" t="str">
        <f>IFERROR(__xludf.DUMMYFUNCTION("""COMPUTED_VALUE"""),"270516")</f>
        <v>270516</v>
      </c>
      <c r="H1498" s="17" t="str">
        <f>IFERROR(__xludf.DUMMYFUNCTION("""COMPUTED_VALUE"""),"протигрибкові ветеринарні препарати")</f>
        <v>протигрибкові ветеринарні препарати</v>
      </c>
      <c r="I1498" s="19">
        <f>IFERROR(__xludf.DUMMYFUNCTION("""COMPUTED_VALUE"""),0.0353)</f>
        <v>0.0353</v>
      </c>
      <c r="J1498" s="19">
        <f>IFERROR(__xludf.DUMMYFUNCTION("""COMPUTED_VALUE"""),0.0706)</f>
        <v>0.0706</v>
      </c>
      <c r="K1498" s="19">
        <f>IFERROR(__xludf.DUMMYFUNCTION("""COMPUTED_VALUE"""),0.0883)</f>
        <v>0.0883</v>
      </c>
      <c r="L1498" s="19">
        <f>IFERROR(__xludf.DUMMYFUNCTION("""COMPUTED_VALUE"""),0.1059)</f>
        <v>0.1059</v>
      </c>
      <c r="M1498" s="18">
        <f>IFERROR(__xludf.DUMMYFUNCTION("""COMPUTED_VALUE"""),1.71)</f>
        <v>1.71</v>
      </c>
    </row>
    <row r="1499">
      <c r="A1499" s="13" t="str">
        <f>IFERROR(__xludf.DUMMYFUNCTION("""COMPUTED_VALUE"""),"товари")</f>
        <v>товари</v>
      </c>
      <c r="B1499" s="16" t="str">
        <f>IFERROR(__xludf.DUMMYFUNCTION("""COMPUTED_VALUE"""),"зоотовари")</f>
        <v>зоотовари</v>
      </c>
      <c r="C1499" s="16" t="str">
        <f>IFERROR(__xludf.DUMMYFUNCTION("""COMPUTED_VALUE"""),"ветеринарія")</f>
        <v>ветеринарія</v>
      </c>
      <c r="D1499" s="16" t="str">
        <f>IFERROR(__xludf.DUMMYFUNCTION("""COMPUTED_VALUE"""),"ветеринарні засоби та препарати")</f>
        <v>ветеринарні засоби та препарати</v>
      </c>
      <c r="E1499" s="16" t="str">
        <f>IFERROR(__xludf.DUMMYFUNCTION("""COMPUTED_VALUE"""),"протизапальні та спазмолітичні препарати для тварин")</f>
        <v>протизапальні та спазмолітичні препарати для тварин</v>
      </c>
      <c r="F1499" s="17">
        <f>IFERROR(__xludf.DUMMYFUNCTION("""COMPUTED_VALUE"""),4.0)</f>
        <v>4</v>
      </c>
      <c r="G1499" s="17" t="str">
        <f>IFERROR(__xludf.DUMMYFUNCTION("""COMPUTED_VALUE"""),"270511")</f>
        <v>270511</v>
      </c>
      <c r="H1499" s="17" t="str">
        <f>IFERROR(__xludf.DUMMYFUNCTION("""COMPUTED_VALUE"""),"протизапальні та спазмолітичні препарати для тварин")</f>
        <v>протизапальні та спазмолітичні препарати для тварин</v>
      </c>
      <c r="I1499" s="19">
        <f>IFERROR(__xludf.DUMMYFUNCTION("""COMPUTED_VALUE"""),0.0353)</f>
        <v>0.0353</v>
      </c>
      <c r="J1499" s="19">
        <f>IFERROR(__xludf.DUMMYFUNCTION("""COMPUTED_VALUE"""),0.0706)</f>
        <v>0.0706</v>
      </c>
      <c r="K1499" s="19">
        <f>IFERROR(__xludf.DUMMYFUNCTION("""COMPUTED_VALUE"""),0.0883)</f>
        <v>0.0883</v>
      </c>
      <c r="L1499" s="19">
        <f>IFERROR(__xludf.DUMMYFUNCTION("""COMPUTED_VALUE"""),0.1059)</f>
        <v>0.1059</v>
      </c>
      <c r="M1499" s="18">
        <f>IFERROR(__xludf.DUMMYFUNCTION("""COMPUTED_VALUE"""),1.71)</f>
        <v>1.71</v>
      </c>
    </row>
    <row r="1500">
      <c r="A1500" s="13" t="str">
        <f>IFERROR(__xludf.DUMMYFUNCTION("""COMPUTED_VALUE"""),"товари")</f>
        <v>товари</v>
      </c>
      <c r="B1500" s="16" t="str">
        <f>IFERROR(__xludf.DUMMYFUNCTION("""COMPUTED_VALUE"""),"зоотовари")</f>
        <v>зоотовари</v>
      </c>
      <c r="C1500" s="16" t="str">
        <f>IFERROR(__xludf.DUMMYFUNCTION("""COMPUTED_VALUE"""),"товари для домашніх тварин і птахів")</f>
        <v>товари для домашніх тварин і птахів</v>
      </c>
      <c r="D1500" s="16" t="str">
        <f>IFERROR(__xludf.DUMMYFUNCTION("""COMPUTED_VALUE"""),"ритуальні товари для тварин")</f>
        <v>ритуальні товари для тварин</v>
      </c>
      <c r="E1500" s="16" t="str">
        <f>IFERROR(__xludf.DUMMYFUNCTION("""COMPUTED_VALUE"""),"ритуальні товари для тварин")</f>
        <v>ритуальні товари для тварин</v>
      </c>
      <c r="F1500" s="17">
        <f>IFERROR(__xludf.DUMMYFUNCTION("""COMPUTED_VALUE"""),3.0)</f>
        <v>3</v>
      </c>
      <c r="G1500" s="17" t="str">
        <f>IFERROR(__xludf.DUMMYFUNCTION("""COMPUTED_VALUE"""),"270261")</f>
        <v>270261</v>
      </c>
      <c r="H1500" s="17" t="str">
        <f>IFERROR(__xludf.DUMMYFUNCTION("""COMPUTED_VALUE"""),"ритуальні товари для тварин")</f>
        <v>ритуальні товари для тварин</v>
      </c>
      <c r="I1500" s="19">
        <f>IFERROR(__xludf.DUMMYFUNCTION("""COMPUTED_VALUE"""),0.04)</f>
        <v>0.04</v>
      </c>
      <c r="J1500" s="19">
        <f>IFERROR(__xludf.DUMMYFUNCTION("""COMPUTED_VALUE"""),0.08)</f>
        <v>0.08</v>
      </c>
      <c r="K1500" s="19">
        <f>IFERROR(__xludf.DUMMYFUNCTION("""COMPUTED_VALUE"""),0.1)</f>
        <v>0.1</v>
      </c>
      <c r="L1500" s="19">
        <f>IFERROR(__xludf.DUMMYFUNCTION("""COMPUTED_VALUE"""),0.12)</f>
        <v>0.12</v>
      </c>
      <c r="M1500" s="18">
        <f>IFERROR(__xludf.DUMMYFUNCTION("""COMPUTED_VALUE"""),1.71)</f>
        <v>1.71</v>
      </c>
    </row>
    <row r="1501">
      <c r="A1501" s="13" t="str">
        <f>IFERROR(__xludf.DUMMYFUNCTION("""COMPUTED_VALUE"""),"товари")</f>
        <v>товари</v>
      </c>
      <c r="B1501" s="16" t="str">
        <f>IFERROR(__xludf.DUMMYFUNCTION("""COMPUTED_VALUE"""),"зоотовари")</f>
        <v>зоотовари</v>
      </c>
      <c r="C1501" s="16" t="str">
        <f>IFERROR(__xludf.DUMMYFUNCTION("""COMPUTED_VALUE"""),"товари для домашніх тварин і птахів")</f>
        <v>товари для домашніх тварин і птахів</v>
      </c>
      <c r="D1501" s="16" t="str">
        <f>IFERROR(__xludf.DUMMYFUNCTION("""COMPUTED_VALUE"""),"товари для догляду за домашніми тваринами")</f>
        <v>товари для догляду за домашніми тваринами</v>
      </c>
      <c r="E1501" s="16" t="str">
        <f>IFERROR(__xludf.DUMMYFUNCTION("""COMPUTED_VALUE"""),"розумні спреї")</f>
        <v>розумні спреї</v>
      </c>
      <c r="F1501" s="17">
        <f>IFERROR(__xludf.DUMMYFUNCTION("""COMPUTED_VALUE"""),4.0)</f>
        <v>4</v>
      </c>
      <c r="G1501" s="17" t="str">
        <f>IFERROR(__xludf.DUMMYFUNCTION("""COMPUTED_VALUE"""),"270256")</f>
        <v>270256</v>
      </c>
      <c r="H1501" s="17" t="str">
        <f>IFERROR(__xludf.DUMMYFUNCTION("""COMPUTED_VALUE"""),"розумні спреї")</f>
        <v>розумні спреї</v>
      </c>
      <c r="I1501" s="19">
        <f>IFERROR(__xludf.DUMMYFUNCTION("""COMPUTED_VALUE"""),0.04)</f>
        <v>0.04</v>
      </c>
      <c r="J1501" s="19">
        <f>IFERROR(__xludf.DUMMYFUNCTION("""COMPUTED_VALUE"""),0.08)</f>
        <v>0.08</v>
      </c>
      <c r="K1501" s="19">
        <f>IFERROR(__xludf.DUMMYFUNCTION("""COMPUTED_VALUE"""),0.1)</f>
        <v>0.1</v>
      </c>
      <c r="L1501" s="19">
        <f>IFERROR(__xludf.DUMMYFUNCTION("""COMPUTED_VALUE"""),0.12)</f>
        <v>0.12</v>
      </c>
      <c r="M1501" s="18">
        <f>IFERROR(__xludf.DUMMYFUNCTION("""COMPUTED_VALUE"""),1.8)</f>
        <v>1.8</v>
      </c>
    </row>
    <row r="1502">
      <c r="A1502" s="13" t="str">
        <f>IFERROR(__xludf.DUMMYFUNCTION("""COMPUTED_VALUE"""),"товари")</f>
        <v>товари</v>
      </c>
      <c r="B1502" s="16" t="str">
        <f>IFERROR(__xludf.DUMMYFUNCTION("""COMPUTED_VALUE"""),"зоотовари")</f>
        <v>зоотовари</v>
      </c>
      <c r="C1502" s="16" t="str">
        <f>IFERROR(__xludf.DUMMYFUNCTION("""COMPUTED_VALUE"""),"товари для рептилій і комах")</f>
        <v>товари для рептилій і комах</v>
      </c>
      <c r="D1502" s="16" t="str">
        <f>IFERROR(__xludf.DUMMYFUNCTION("""COMPUTED_VALUE"""),"тераріуми та приналежності до них")</f>
        <v>тераріуми та приналежності до них</v>
      </c>
      <c r="E1502" s="16" t="str">
        <f>IFERROR(__xludf.DUMMYFUNCTION("""COMPUTED_VALUE"""),"рослини, декорації і наповнювачі для тераріуму")</f>
        <v>рослини, декорації і наповнювачі для тераріуму</v>
      </c>
      <c r="F1502" s="17">
        <f>IFERROR(__xludf.DUMMYFUNCTION("""COMPUTED_VALUE"""),4.0)</f>
        <v>4</v>
      </c>
      <c r="G1502" s="17" t="str">
        <f>IFERROR(__xludf.DUMMYFUNCTION("""COMPUTED_VALUE"""),"271605")</f>
        <v>271605</v>
      </c>
      <c r="H1502" s="17" t="str">
        <f>IFERROR(__xludf.DUMMYFUNCTION("""COMPUTED_VALUE"""),"рослини, декорації і наповнювачі для тераріуму")</f>
        <v>рослини, декорації і наповнювачі для тераріуму</v>
      </c>
      <c r="I1502" s="19">
        <f>IFERROR(__xludf.DUMMYFUNCTION("""COMPUTED_VALUE"""),0.0395)</f>
        <v>0.0395</v>
      </c>
      <c r="J1502" s="19">
        <f>IFERROR(__xludf.DUMMYFUNCTION("""COMPUTED_VALUE"""),0.079)</f>
        <v>0.079</v>
      </c>
      <c r="K1502" s="19">
        <f>IFERROR(__xludf.DUMMYFUNCTION("""COMPUTED_VALUE"""),0.0988)</f>
        <v>0.0988</v>
      </c>
      <c r="L1502" s="19">
        <f>IFERROR(__xludf.DUMMYFUNCTION("""COMPUTED_VALUE"""),0.1185)</f>
        <v>0.1185</v>
      </c>
      <c r="M1502" s="18">
        <f>IFERROR(__xludf.DUMMYFUNCTION("""COMPUTED_VALUE"""),1.53)</f>
        <v>1.53</v>
      </c>
    </row>
    <row r="1503">
      <c r="A1503" s="13" t="str">
        <f>IFERROR(__xludf.DUMMYFUNCTION("""COMPUTED_VALUE"""),"товари")</f>
        <v>товари</v>
      </c>
      <c r="B1503" s="16" t="str">
        <f>IFERROR(__xludf.DUMMYFUNCTION("""COMPUTED_VALUE"""),"зоотовари")</f>
        <v>зоотовари</v>
      </c>
      <c r="C1503" s="16" t="str">
        <f>IFERROR(__xludf.DUMMYFUNCTION("""COMPUTED_VALUE"""),"товари для риб")</f>
        <v>товари для риб</v>
      </c>
      <c r="D1503" s="16" t="str">
        <f>IFERROR(__xludf.DUMMYFUNCTION("""COMPUTED_VALUE"""),"рослини, декорації, грунти для акваріума")</f>
        <v>рослини, декорації, грунти для акваріума</v>
      </c>
      <c r="E1503" s="16" t="str">
        <f>IFERROR(__xludf.DUMMYFUNCTION("""COMPUTED_VALUE"""),"рослини, декорації, грунти для акваріума")</f>
        <v>рослини, декорації, грунти для акваріума</v>
      </c>
      <c r="F1503" s="17">
        <f>IFERROR(__xludf.DUMMYFUNCTION("""COMPUTED_VALUE"""),3.0)</f>
        <v>3</v>
      </c>
      <c r="G1503" s="17" t="str">
        <f>IFERROR(__xludf.DUMMYFUNCTION("""COMPUTED_VALUE"""),"270237")</f>
        <v>270237</v>
      </c>
      <c r="H1503" s="17" t="str">
        <f>IFERROR(__xludf.DUMMYFUNCTION("""COMPUTED_VALUE"""),"рослини, декорації, грунти для акваріума")</f>
        <v>рослини, декорації, грунти для акваріума</v>
      </c>
      <c r="I1503" s="19">
        <f>IFERROR(__xludf.DUMMYFUNCTION("""COMPUTED_VALUE"""),0.04)</f>
        <v>0.04</v>
      </c>
      <c r="J1503" s="19">
        <f>IFERROR(__xludf.DUMMYFUNCTION("""COMPUTED_VALUE"""),0.08)</f>
        <v>0.08</v>
      </c>
      <c r="K1503" s="19">
        <f>IFERROR(__xludf.DUMMYFUNCTION("""COMPUTED_VALUE"""),0.1)</f>
        <v>0.1</v>
      </c>
      <c r="L1503" s="19">
        <f>IFERROR(__xludf.DUMMYFUNCTION("""COMPUTED_VALUE"""),0.12)</f>
        <v>0.12</v>
      </c>
      <c r="M1503" s="18">
        <f>IFERROR(__xludf.DUMMYFUNCTION("""COMPUTED_VALUE"""),1.05)</f>
        <v>1.05</v>
      </c>
    </row>
    <row r="1504">
      <c r="A1504" s="13" t="str">
        <f>IFERROR(__xludf.DUMMYFUNCTION("""COMPUTED_VALUE"""),"товари")</f>
        <v>товари</v>
      </c>
      <c r="B1504" s="16" t="str">
        <f>IFERROR(__xludf.DUMMYFUNCTION("""COMPUTED_VALUE"""),"зоотовари")</f>
        <v>зоотовари</v>
      </c>
      <c r="C1504" s="16" t="str">
        <f>IFERROR(__xludf.DUMMYFUNCTION("""COMPUTED_VALUE"""),"товари для домашніх тварин і птахів")</f>
        <v>товари для домашніх тварин і птахів</v>
      </c>
      <c r="D1504" s="16" t="str">
        <f>IFERROR(__xludf.DUMMYFUNCTION("""COMPUTED_VALUE"""),"одяг для домашніх тварин")</f>
        <v>одяг для домашніх тварин</v>
      </c>
      <c r="E1504" s="16" t="str">
        <f>IFERROR(__xludf.DUMMYFUNCTION("""COMPUTED_VALUE"""),"светри і футболки для тварин")</f>
        <v>светри і футболки для тварин</v>
      </c>
      <c r="F1504" s="17">
        <f>IFERROR(__xludf.DUMMYFUNCTION("""COMPUTED_VALUE"""),4.0)</f>
        <v>4</v>
      </c>
      <c r="G1504" s="17" t="str">
        <f>IFERROR(__xludf.DUMMYFUNCTION("""COMPUTED_VALUE"""),"270215")</f>
        <v>270215</v>
      </c>
      <c r="H1504" s="17" t="str">
        <f>IFERROR(__xludf.DUMMYFUNCTION("""COMPUTED_VALUE"""),"светри і футболки для тварин")</f>
        <v>светри і футболки для тварин</v>
      </c>
      <c r="I1504" s="19">
        <f>IFERROR(__xludf.DUMMYFUNCTION("""COMPUTED_VALUE"""),0.04)</f>
        <v>0.04</v>
      </c>
      <c r="J1504" s="19">
        <f>IFERROR(__xludf.DUMMYFUNCTION("""COMPUTED_VALUE"""),0.08)</f>
        <v>0.08</v>
      </c>
      <c r="K1504" s="19">
        <f>IFERROR(__xludf.DUMMYFUNCTION("""COMPUTED_VALUE"""),0.1)</f>
        <v>0.1</v>
      </c>
      <c r="L1504" s="19">
        <f>IFERROR(__xludf.DUMMYFUNCTION("""COMPUTED_VALUE"""),0.12)</f>
        <v>0.12</v>
      </c>
      <c r="M1504" s="18">
        <f>IFERROR(__xludf.DUMMYFUNCTION("""COMPUTED_VALUE"""),1.05)</f>
        <v>1.05</v>
      </c>
    </row>
    <row r="1505">
      <c r="A1505" s="13" t="str">
        <f>IFERROR(__xludf.DUMMYFUNCTION("""COMPUTED_VALUE"""),"товари")</f>
        <v>товари</v>
      </c>
      <c r="B1505" s="16" t="str">
        <f>IFERROR(__xludf.DUMMYFUNCTION("""COMPUTED_VALUE"""),"зоотовари")</f>
        <v>зоотовари</v>
      </c>
      <c r="C1505" s="16" t="str">
        <f>IFERROR(__xludf.DUMMYFUNCTION("""COMPUTED_VALUE"""),"ветеринарія")</f>
        <v>ветеринарія</v>
      </c>
      <c r="D1505" s="16" t="str">
        <f>IFERROR(__xludf.DUMMYFUNCTION("""COMPUTED_VALUE"""),"ветеринарні засоби та препарати")</f>
        <v>ветеринарні засоби та препарати</v>
      </c>
      <c r="E1505" s="16" t="str">
        <f>IFERROR(__xludf.DUMMYFUNCTION("""COMPUTED_VALUE"""),"седативні препарати для тварин")</f>
        <v>седативні препарати для тварин</v>
      </c>
      <c r="F1505" s="17">
        <f>IFERROR(__xludf.DUMMYFUNCTION("""COMPUTED_VALUE"""),4.0)</f>
        <v>4</v>
      </c>
      <c r="G1505" s="17" t="str">
        <f>IFERROR(__xludf.DUMMYFUNCTION("""COMPUTED_VALUE"""),"270519")</f>
        <v>270519</v>
      </c>
      <c r="H1505" s="17" t="str">
        <f>IFERROR(__xludf.DUMMYFUNCTION("""COMPUTED_VALUE"""),"седативні препарати для тварин")</f>
        <v>седативні препарати для тварин</v>
      </c>
      <c r="I1505" s="19">
        <f>IFERROR(__xludf.DUMMYFUNCTION("""COMPUTED_VALUE"""),0.0353)</f>
        <v>0.0353</v>
      </c>
      <c r="J1505" s="19">
        <f>IFERROR(__xludf.DUMMYFUNCTION("""COMPUTED_VALUE"""),0.0706)</f>
        <v>0.0706</v>
      </c>
      <c r="K1505" s="19">
        <f>IFERROR(__xludf.DUMMYFUNCTION("""COMPUTED_VALUE"""),0.0883)</f>
        <v>0.0883</v>
      </c>
      <c r="L1505" s="19">
        <f>IFERROR(__xludf.DUMMYFUNCTION("""COMPUTED_VALUE"""),0.1059)</f>
        <v>0.1059</v>
      </c>
      <c r="M1505" s="18">
        <f>IFERROR(__xludf.DUMMYFUNCTION("""COMPUTED_VALUE"""),1.71)</f>
        <v>1.71</v>
      </c>
    </row>
    <row r="1506">
      <c r="A1506" s="13" t="str">
        <f>IFERROR(__xludf.DUMMYFUNCTION("""COMPUTED_VALUE"""),"товари")</f>
        <v>товари</v>
      </c>
      <c r="B1506" s="16" t="str">
        <f>IFERROR(__xludf.DUMMYFUNCTION("""COMPUTED_VALUE"""),"зоотовари")</f>
        <v>зоотовари</v>
      </c>
      <c r="C1506" s="16" t="str">
        <f>IFERROR(__xludf.DUMMYFUNCTION("""COMPUTED_VALUE"""),"товари для риб")</f>
        <v>товари для риб</v>
      </c>
      <c r="D1506" s="16" t="str">
        <f>IFERROR(__xludf.DUMMYFUNCTION("""COMPUTED_VALUE"""),"со2 обладнання для акваріума")</f>
        <v>со2 обладнання для акваріума</v>
      </c>
      <c r="E1506" s="16" t="str">
        <f>IFERROR(__xludf.DUMMYFUNCTION("""COMPUTED_VALUE"""),"со2 обладнання для акваріума")</f>
        <v>со2 обладнання для акваріума</v>
      </c>
      <c r="F1506" s="17">
        <f>IFERROR(__xludf.DUMMYFUNCTION("""COMPUTED_VALUE"""),3.0)</f>
        <v>3</v>
      </c>
      <c r="G1506" s="17" t="str">
        <f>IFERROR(__xludf.DUMMYFUNCTION("""COMPUTED_VALUE"""),"270240")</f>
        <v>270240</v>
      </c>
      <c r="H1506" s="17" t="str">
        <f>IFERROR(__xludf.DUMMYFUNCTION("""COMPUTED_VALUE"""),"со2 обладнання для акваріума")</f>
        <v>со2 обладнання для акваріума</v>
      </c>
      <c r="I1506" s="19">
        <f>IFERROR(__xludf.DUMMYFUNCTION("""COMPUTED_VALUE"""),0.04)</f>
        <v>0.04</v>
      </c>
      <c r="J1506" s="19">
        <f>IFERROR(__xludf.DUMMYFUNCTION("""COMPUTED_VALUE"""),0.08)</f>
        <v>0.08</v>
      </c>
      <c r="K1506" s="19">
        <f>IFERROR(__xludf.DUMMYFUNCTION("""COMPUTED_VALUE"""),0.1)</f>
        <v>0.1</v>
      </c>
      <c r="L1506" s="19">
        <f>IFERROR(__xludf.DUMMYFUNCTION("""COMPUTED_VALUE"""),0.12)</f>
        <v>0.12</v>
      </c>
      <c r="M1506" s="18">
        <f>IFERROR(__xludf.DUMMYFUNCTION("""COMPUTED_VALUE"""),1.05)</f>
        <v>1.05</v>
      </c>
    </row>
    <row r="1507">
      <c r="A1507" s="13" t="str">
        <f>IFERROR(__xludf.DUMMYFUNCTION("""COMPUTED_VALUE"""),"товари")</f>
        <v>товари</v>
      </c>
      <c r="B1507" s="16" t="str">
        <f>IFERROR(__xludf.DUMMYFUNCTION("""COMPUTED_VALUE"""),"зоотовари")</f>
        <v>зоотовари</v>
      </c>
      <c r="C1507" s="16" t="str">
        <f>IFERROR(__xludf.DUMMYFUNCTION("""COMPUTED_VALUE"""),"товари для домашніх тварин і птахів")</f>
        <v>товари для домашніх тварин і птахів</v>
      </c>
      <c r="D1507" s="16" t="str">
        <f>IFERROR(__xludf.DUMMYFUNCTION("""COMPUTED_VALUE"""),"товари для комфорту домашніх тварин")</f>
        <v>товари для комфорту домашніх тварин</v>
      </c>
      <c r="E1507" s="16" t="str">
        <f>IFERROR(__xludf.DUMMYFUNCTION("""COMPUTED_VALUE"""),"спальні місця для домашніх тварин")</f>
        <v>спальні місця для домашніх тварин</v>
      </c>
      <c r="F1507" s="17">
        <f>IFERROR(__xludf.DUMMYFUNCTION("""COMPUTED_VALUE"""),4.0)</f>
        <v>4</v>
      </c>
      <c r="G1507" s="17" t="str">
        <f>IFERROR(__xludf.DUMMYFUNCTION("""COMPUTED_VALUE"""),"181206")</f>
        <v>181206</v>
      </c>
      <c r="H1507" s="17" t="str">
        <f>IFERROR(__xludf.DUMMYFUNCTION("""COMPUTED_VALUE"""),"спальні місця для домашніх тварин")</f>
        <v>спальні місця для домашніх тварин</v>
      </c>
      <c r="I1507" s="19">
        <f>IFERROR(__xludf.DUMMYFUNCTION("""COMPUTED_VALUE"""),0.04)</f>
        <v>0.04</v>
      </c>
      <c r="J1507" s="19">
        <f>IFERROR(__xludf.DUMMYFUNCTION("""COMPUTED_VALUE"""),0.08)</f>
        <v>0.08</v>
      </c>
      <c r="K1507" s="19">
        <f>IFERROR(__xludf.DUMMYFUNCTION("""COMPUTED_VALUE"""),0.1)</f>
        <v>0.1</v>
      </c>
      <c r="L1507" s="19">
        <f>IFERROR(__xludf.DUMMYFUNCTION("""COMPUTED_VALUE"""),0.12)</f>
        <v>0.12</v>
      </c>
      <c r="M1507" s="18">
        <f>IFERROR(__xludf.DUMMYFUNCTION("""COMPUTED_VALUE"""),1.8)</f>
        <v>1.8</v>
      </c>
    </row>
    <row r="1508">
      <c r="A1508" s="13" t="str">
        <f>IFERROR(__xludf.DUMMYFUNCTION("""COMPUTED_VALUE"""),"товари")</f>
        <v>товари</v>
      </c>
      <c r="B1508" s="16" t="str">
        <f>IFERROR(__xludf.DUMMYFUNCTION("""COMPUTED_VALUE"""),"зоотовари")</f>
        <v>зоотовари</v>
      </c>
      <c r="C1508" s="16" t="str">
        <f>IFERROR(__xludf.DUMMYFUNCTION("""COMPUTED_VALUE"""),"товари для риб")</f>
        <v>товари для риб</v>
      </c>
      <c r="D1508" s="16" t="str">
        <f>IFERROR(__xludf.DUMMYFUNCTION("""COMPUTED_VALUE"""),"ставкова хімія")</f>
        <v>ставкова хімія</v>
      </c>
      <c r="E1508" s="16" t="str">
        <f>IFERROR(__xludf.DUMMYFUNCTION("""COMPUTED_VALUE"""),"ставкова хімія")</f>
        <v>ставкова хімія</v>
      </c>
      <c r="F1508" s="17">
        <f>IFERROR(__xludf.DUMMYFUNCTION("""COMPUTED_VALUE"""),3.0)</f>
        <v>3</v>
      </c>
      <c r="G1508" s="17" t="str">
        <f>IFERROR(__xludf.DUMMYFUNCTION("""COMPUTED_VALUE"""),"270257")</f>
        <v>270257</v>
      </c>
      <c r="H1508" s="17" t="str">
        <f>IFERROR(__xludf.DUMMYFUNCTION("""COMPUTED_VALUE"""),"ставкова хімія")</f>
        <v>ставкова хімія</v>
      </c>
      <c r="I1508" s="19">
        <f>IFERROR(__xludf.DUMMYFUNCTION("""COMPUTED_VALUE"""),0.04)</f>
        <v>0.04</v>
      </c>
      <c r="J1508" s="19">
        <f>IFERROR(__xludf.DUMMYFUNCTION("""COMPUTED_VALUE"""),0.08)</f>
        <v>0.08</v>
      </c>
      <c r="K1508" s="19">
        <f>IFERROR(__xludf.DUMMYFUNCTION("""COMPUTED_VALUE"""),0.1)</f>
        <v>0.1</v>
      </c>
      <c r="L1508" s="19">
        <f>IFERROR(__xludf.DUMMYFUNCTION("""COMPUTED_VALUE"""),0.12)</f>
        <v>0.12</v>
      </c>
      <c r="M1508" s="18">
        <f>IFERROR(__xludf.DUMMYFUNCTION("""COMPUTED_VALUE"""),3.88)</f>
        <v>3.88</v>
      </c>
    </row>
    <row r="1509">
      <c r="A1509" s="13" t="str">
        <f>IFERROR(__xludf.DUMMYFUNCTION("""COMPUTED_VALUE"""),"товари")</f>
        <v>товари</v>
      </c>
      <c r="B1509" s="16" t="str">
        <f>IFERROR(__xludf.DUMMYFUNCTION("""COMPUTED_VALUE"""),"зоотовари")</f>
        <v>зоотовари</v>
      </c>
      <c r="C1509" s="16" t="str">
        <f>IFERROR(__xludf.DUMMYFUNCTION("""COMPUTED_VALUE"""),"товари для риб")</f>
        <v>товари для риб</v>
      </c>
      <c r="D1509" s="16" t="str">
        <f>IFERROR(__xludf.DUMMYFUNCTION("""COMPUTED_VALUE"""),"стерилізатори для акваріума")</f>
        <v>стерилізатори для акваріума</v>
      </c>
      <c r="E1509" s="16" t="str">
        <f>IFERROR(__xludf.DUMMYFUNCTION("""COMPUTED_VALUE"""),"стерилізатори для акваріума")</f>
        <v>стерилізатори для акваріума</v>
      </c>
      <c r="F1509" s="17">
        <f>IFERROR(__xludf.DUMMYFUNCTION("""COMPUTED_VALUE"""),3.0)</f>
        <v>3</v>
      </c>
      <c r="G1509" s="17" t="str">
        <f>IFERROR(__xludf.DUMMYFUNCTION("""COMPUTED_VALUE"""),"270241")</f>
        <v>270241</v>
      </c>
      <c r="H1509" s="17" t="str">
        <f>IFERROR(__xludf.DUMMYFUNCTION("""COMPUTED_VALUE"""),"стерилізатори для акваріума")</f>
        <v>стерилізатори для акваріума</v>
      </c>
      <c r="I1509" s="19">
        <f>IFERROR(__xludf.DUMMYFUNCTION("""COMPUTED_VALUE"""),0.0319)</f>
        <v>0.0319</v>
      </c>
      <c r="J1509" s="19">
        <f>IFERROR(__xludf.DUMMYFUNCTION("""COMPUTED_VALUE"""),0.0638)</f>
        <v>0.0638</v>
      </c>
      <c r="K1509" s="19">
        <f>IFERROR(__xludf.DUMMYFUNCTION("""COMPUTED_VALUE"""),0.0798)</f>
        <v>0.0798</v>
      </c>
      <c r="L1509" s="19">
        <f>IFERROR(__xludf.DUMMYFUNCTION("""COMPUTED_VALUE"""),0.0957)</f>
        <v>0.0957</v>
      </c>
      <c r="M1509" s="18">
        <f>IFERROR(__xludf.DUMMYFUNCTION("""COMPUTED_VALUE"""),1.05)</f>
        <v>1.05</v>
      </c>
    </row>
    <row r="1510">
      <c r="A1510" s="13" t="str">
        <f>IFERROR(__xludf.DUMMYFUNCTION("""COMPUTED_VALUE"""),"товари")</f>
        <v>товари</v>
      </c>
      <c r="B1510" s="16" t="str">
        <f>IFERROR(__xludf.DUMMYFUNCTION("""COMPUTED_VALUE"""),"зоотовари")</f>
        <v>зоотовари</v>
      </c>
      <c r="C1510" s="16" t="str">
        <f>IFERROR(__xludf.DUMMYFUNCTION("""COMPUTED_VALUE"""),"товари для домашніх тварин і птахів")</f>
        <v>товари для домашніх тварин і птахів</v>
      </c>
      <c r="D1510" s="16" t="str">
        <f>IFERROR(__xludf.DUMMYFUNCTION("""COMPUTED_VALUE"""),"одяг для домашніх тварин")</f>
        <v>одяг для домашніх тварин</v>
      </c>
      <c r="E1510" s="16" t="str">
        <f>IFERROR(__xludf.DUMMYFUNCTION("""COMPUTED_VALUE"""),"сукні, брюки і костюми для тварин")</f>
        <v>сукні, брюки і костюми для тварин</v>
      </c>
      <c r="F1510" s="17">
        <f>IFERROR(__xludf.DUMMYFUNCTION("""COMPUTED_VALUE"""),4.0)</f>
        <v>4</v>
      </c>
      <c r="G1510" s="17" t="str">
        <f>IFERROR(__xludf.DUMMYFUNCTION("""COMPUTED_VALUE"""),"270217")</f>
        <v>270217</v>
      </c>
      <c r="H1510" s="17" t="str">
        <f>IFERROR(__xludf.DUMMYFUNCTION("""COMPUTED_VALUE"""),"сукні, брюки і костюми для тварин")</f>
        <v>сукні, брюки і костюми для тварин</v>
      </c>
      <c r="I1510" s="19">
        <f>IFERROR(__xludf.DUMMYFUNCTION("""COMPUTED_VALUE"""),0.04)</f>
        <v>0.04</v>
      </c>
      <c r="J1510" s="19">
        <f>IFERROR(__xludf.DUMMYFUNCTION("""COMPUTED_VALUE"""),0.08)</f>
        <v>0.08</v>
      </c>
      <c r="K1510" s="19">
        <f>IFERROR(__xludf.DUMMYFUNCTION("""COMPUTED_VALUE"""),0.1)</f>
        <v>0.1</v>
      </c>
      <c r="L1510" s="19">
        <f>IFERROR(__xludf.DUMMYFUNCTION("""COMPUTED_VALUE"""),0.12)</f>
        <v>0.12</v>
      </c>
      <c r="M1510" s="18">
        <f>IFERROR(__xludf.DUMMYFUNCTION("""COMPUTED_VALUE"""),1.05)</f>
        <v>1.05</v>
      </c>
    </row>
    <row r="1511">
      <c r="A1511" s="13" t="str">
        <f>IFERROR(__xludf.DUMMYFUNCTION("""COMPUTED_VALUE"""),"товари")</f>
        <v>товари</v>
      </c>
      <c r="B1511" s="16" t="str">
        <f>IFERROR(__xludf.DUMMYFUNCTION("""COMPUTED_VALUE"""),"зоотовари")</f>
        <v>зоотовари</v>
      </c>
      <c r="C1511" s="16" t="str">
        <f>IFERROR(__xludf.DUMMYFUNCTION("""COMPUTED_VALUE"""),"товари для домашніх тварин і птахів")</f>
        <v>товари для домашніх тварин і птахів</v>
      </c>
      <c r="D1511" s="16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511" s="16" t="str">
        <f>IFERROR(__xludf.DUMMYFUNCTION("""COMPUTED_VALUE"""),"сумки і контейнери для перенесення домашніх тварин")</f>
        <v>сумки і контейнери для перенесення домашніх тварин</v>
      </c>
      <c r="F1511" s="17">
        <f>IFERROR(__xludf.DUMMYFUNCTION("""COMPUTED_VALUE"""),4.0)</f>
        <v>4</v>
      </c>
      <c r="G1511" s="17" t="str">
        <f>IFERROR(__xludf.DUMMYFUNCTION("""COMPUTED_VALUE"""),"181201")</f>
        <v>181201</v>
      </c>
      <c r="H1511" s="17" t="str">
        <f>IFERROR(__xludf.DUMMYFUNCTION("""COMPUTED_VALUE"""),"сумки і контейнери для перенесення домашніх тварин")</f>
        <v>сумки і контейнери для перенесення домашніх тварин</v>
      </c>
      <c r="I1511" s="19">
        <f>IFERROR(__xludf.DUMMYFUNCTION("""COMPUTED_VALUE"""),0.04)</f>
        <v>0.04</v>
      </c>
      <c r="J1511" s="19">
        <f>IFERROR(__xludf.DUMMYFUNCTION("""COMPUTED_VALUE"""),0.08)</f>
        <v>0.08</v>
      </c>
      <c r="K1511" s="19">
        <f>IFERROR(__xludf.DUMMYFUNCTION("""COMPUTED_VALUE"""),0.1)</f>
        <v>0.1</v>
      </c>
      <c r="L1511" s="19">
        <f>IFERROR(__xludf.DUMMYFUNCTION("""COMPUTED_VALUE"""),0.12)</f>
        <v>0.12</v>
      </c>
      <c r="M1511" s="18">
        <f>IFERROR(__xludf.DUMMYFUNCTION("""COMPUTED_VALUE"""),1.63)</f>
        <v>1.63</v>
      </c>
    </row>
    <row r="1512">
      <c r="A1512" s="13" t="str">
        <f>IFERROR(__xludf.DUMMYFUNCTION("""COMPUTED_VALUE"""),"товари")</f>
        <v>товари</v>
      </c>
      <c r="B1512" s="16" t="str">
        <f>IFERROR(__xludf.DUMMYFUNCTION("""COMPUTED_VALUE"""),"зоотовари")</f>
        <v>зоотовари</v>
      </c>
      <c r="C1512" s="16" t="str">
        <f>IFERROR(__xludf.DUMMYFUNCTION("""COMPUTED_VALUE"""),"товари для домашніх тварин і птахів")</f>
        <v>товари для домашніх тварин і птахів</v>
      </c>
      <c r="D1512" s="16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512" s="16" t="str">
        <f>IFERROR(__xludf.DUMMYFUNCTION("""COMPUTED_VALUE"""),"тактична амуніція для тварин")</f>
        <v>тактична амуніція для тварин</v>
      </c>
      <c r="F1512" s="17">
        <f>IFERROR(__xludf.DUMMYFUNCTION("""COMPUTED_VALUE"""),4.0)</f>
        <v>4</v>
      </c>
      <c r="G1512" s="17" t="str">
        <f>IFERROR(__xludf.DUMMYFUNCTION("""COMPUTED_VALUE"""),"270260")</f>
        <v>270260</v>
      </c>
      <c r="H1512" s="17" t="str">
        <f>IFERROR(__xludf.DUMMYFUNCTION("""COMPUTED_VALUE"""),"тактична амуніція для тварин")</f>
        <v>тактична амуніція для тварин</v>
      </c>
      <c r="I1512" s="19">
        <f>IFERROR(__xludf.DUMMYFUNCTION("""COMPUTED_VALUE"""),0.005)</f>
        <v>0.005</v>
      </c>
      <c r="J1512" s="19">
        <f>IFERROR(__xludf.DUMMYFUNCTION("""COMPUTED_VALUE"""),0.01)</f>
        <v>0.01</v>
      </c>
      <c r="K1512" s="19">
        <f>IFERROR(__xludf.DUMMYFUNCTION("""COMPUTED_VALUE"""),0.0125)</f>
        <v>0.0125</v>
      </c>
      <c r="L1512" s="19">
        <f>IFERROR(__xludf.DUMMYFUNCTION("""COMPUTED_VALUE"""),0.015)</f>
        <v>0.015</v>
      </c>
      <c r="M1512" s="18">
        <f>IFERROR(__xludf.DUMMYFUNCTION("""COMPUTED_VALUE"""),2.3)</f>
        <v>2.3</v>
      </c>
    </row>
    <row r="1513">
      <c r="A1513" s="13" t="str">
        <f>IFERROR(__xludf.DUMMYFUNCTION("""COMPUTED_VALUE"""),"товари")</f>
        <v>товари</v>
      </c>
      <c r="B1513" s="16" t="str">
        <f>IFERROR(__xludf.DUMMYFUNCTION("""COMPUTED_VALUE"""),"зоотовари")</f>
        <v>зоотовари</v>
      </c>
      <c r="C1513" s="16" t="str">
        <f>IFERROR(__xludf.DUMMYFUNCTION("""COMPUTED_VALUE"""),"товари для рептилій і комах")</f>
        <v>товари для рептилій і комах</v>
      </c>
      <c r="D1513" s="16" t="str">
        <f>IFERROR(__xludf.DUMMYFUNCTION("""COMPUTED_VALUE"""),"тераріуми та приналежності до них")</f>
        <v>тераріуми та приналежності до них</v>
      </c>
      <c r="E1513" s="16" t="str">
        <f>IFERROR(__xludf.DUMMYFUNCTION("""COMPUTED_VALUE"""),"тераріуми")</f>
        <v>тераріуми</v>
      </c>
      <c r="F1513" s="17">
        <f>IFERROR(__xludf.DUMMYFUNCTION("""COMPUTED_VALUE"""),4.0)</f>
        <v>4</v>
      </c>
      <c r="G1513" s="17" t="str">
        <f>IFERROR(__xludf.DUMMYFUNCTION("""COMPUTED_VALUE"""),"271607")</f>
        <v>271607</v>
      </c>
      <c r="H1513" s="17" t="str">
        <f>IFERROR(__xludf.DUMMYFUNCTION("""COMPUTED_VALUE"""),"тераріуми")</f>
        <v>тераріуми</v>
      </c>
      <c r="I1513" s="19">
        <f>IFERROR(__xludf.DUMMYFUNCTION("""COMPUTED_VALUE"""),0.0395)</f>
        <v>0.0395</v>
      </c>
      <c r="J1513" s="19">
        <f>IFERROR(__xludf.DUMMYFUNCTION("""COMPUTED_VALUE"""),0.079)</f>
        <v>0.079</v>
      </c>
      <c r="K1513" s="19">
        <f>IFERROR(__xludf.DUMMYFUNCTION("""COMPUTED_VALUE"""),0.0988)</f>
        <v>0.0988</v>
      </c>
      <c r="L1513" s="19">
        <f>IFERROR(__xludf.DUMMYFUNCTION("""COMPUTED_VALUE"""),0.1185)</f>
        <v>0.1185</v>
      </c>
      <c r="M1513" s="18">
        <f>IFERROR(__xludf.DUMMYFUNCTION("""COMPUTED_VALUE"""),1.53)</f>
        <v>1.53</v>
      </c>
    </row>
    <row r="1514">
      <c r="A1514" s="13" t="str">
        <f>IFERROR(__xludf.DUMMYFUNCTION("""COMPUTED_VALUE"""),"товари")</f>
        <v>товари</v>
      </c>
      <c r="B1514" s="16" t="str">
        <f>IFERROR(__xludf.DUMMYFUNCTION("""COMPUTED_VALUE"""),"зоотовари")</f>
        <v>зоотовари</v>
      </c>
      <c r="C1514" s="16" t="str">
        <f>IFERROR(__xludf.DUMMYFUNCTION("""COMPUTED_VALUE"""),"товари для рептилій і комах")</f>
        <v>товари для рептилій і комах</v>
      </c>
      <c r="D1514" s="16" t="str">
        <f>IFERROR(__xludf.DUMMYFUNCTION("""COMPUTED_VALUE"""),"тераріуми та приналежності до них")</f>
        <v>тераріуми та приналежності до них</v>
      </c>
      <c r="E1514" s="16" t="str">
        <f>IFERROR(__xludf.DUMMYFUNCTION("""COMPUTED_VALUE"""),"тераріуми і приналежності до них, загальне")</f>
        <v>тераріуми і приналежності до них, загальне</v>
      </c>
      <c r="F1514" s="17">
        <f>IFERROR(__xludf.DUMMYFUNCTION("""COMPUTED_VALUE"""),4.0)</f>
        <v>4</v>
      </c>
      <c r="G1514" s="17" t="str">
        <f>IFERROR(__xludf.DUMMYFUNCTION("""COMPUTED_VALUE"""),"271608")</f>
        <v>271608</v>
      </c>
      <c r="H1514" s="17" t="str">
        <f>IFERROR(__xludf.DUMMYFUNCTION("""COMPUTED_VALUE"""),"тераріуми і приналежності до них, загальне")</f>
        <v>тераріуми і приналежності до них, загальне</v>
      </c>
      <c r="I1514" s="19">
        <f>IFERROR(__xludf.DUMMYFUNCTION("""COMPUTED_VALUE"""),0.125)</f>
        <v>0.125</v>
      </c>
      <c r="J1514" s="19">
        <f>IFERROR(__xludf.DUMMYFUNCTION("""COMPUTED_VALUE"""),0.25)</f>
        <v>0.25</v>
      </c>
      <c r="K1514" s="19">
        <f>IFERROR(__xludf.DUMMYFUNCTION("""COMPUTED_VALUE"""),0.3125)</f>
        <v>0.3125</v>
      </c>
      <c r="L1514" s="19">
        <f>IFERROR(__xludf.DUMMYFUNCTION("""COMPUTED_VALUE"""),0.375)</f>
        <v>0.375</v>
      </c>
      <c r="M1514" s="18">
        <f>IFERROR(__xludf.DUMMYFUNCTION("""COMPUTED_VALUE"""),4.33)</f>
        <v>4.33</v>
      </c>
    </row>
    <row r="1515">
      <c r="A1515" s="13" t="str">
        <f>IFERROR(__xludf.DUMMYFUNCTION("""COMPUTED_VALUE"""),"товари")</f>
        <v>товари</v>
      </c>
      <c r="B1515" s="16" t="str">
        <f>IFERROR(__xludf.DUMMYFUNCTION("""COMPUTED_VALUE"""),"зоотовари")</f>
        <v>зоотовари</v>
      </c>
      <c r="C1515" s="16" t="str">
        <f>IFERROR(__xludf.DUMMYFUNCTION("""COMPUTED_VALUE"""),"товари для домашніх тварин і птахів")</f>
        <v>товари для домашніх тварин і птахів</v>
      </c>
      <c r="D1515" s="16" t="str">
        <f>IFERROR(__xludf.DUMMYFUNCTION("""COMPUTED_VALUE"""),"товари для догляду за домашніми тваринами")</f>
        <v>товари для догляду за домашніми тваринами</v>
      </c>
      <c r="E1515" s="16" t="str">
        <f>IFERROR(__xludf.DUMMYFUNCTION("""COMPUTED_VALUE"""),"товари для догляду за домашніми тваринами, загальне")</f>
        <v>товари для догляду за домашніми тваринами, загальне</v>
      </c>
      <c r="F1515" s="17">
        <f>IFERROR(__xludf.DUMMYFUNCTION("""COMPUTED_VALUE"""),4.0)</f>
        <v>4</v>
      </c>
      <c r="G1515" s="17" t="str">
        <f>IFERROR(__xludf.DUMMYFUNCTION("""COMPUTED_VALUE"""),"270253")</f>
        <v>270253</v>
      </c>
      <c r="H1515" s="17" t="str">
        <f>IFERROR(__xludf.DUMMYFUNCTION("""COMPUTED_VALUE"""),"товари для догляду за домашніми тваринами, загальне")</f>
        <v>товари для догляду за домашніми тваринами, загальне</v>
      </c>
      <c r="I1515" s="19">
        <f>IFERROR(__xludf.DUMMYFUNCTION("""COMPUTED_VALUE"""),0.125)</f>
        <v>0.125</v>
      </c>
      <c r="J1515" s="19">
        <f>IFERROR(__xludf.DUMMYFUNCTION("""COMPUTED_VALUE"""),0.25)</f>
        <v>0.25</v>
      </c>
      <c r="K1515" s="19">
        <f>IFERROR(__xludf.DUMMYFUNCTION("""COMPUTED_VALUE"""),0.3125)</f>
        <v>0.3125</v>
      </c>
      <c r="L1515" s="19">
        <f>IFERROR(__xludf.DUMMYFUNCTION("""COMPUTED_VALUE"""),0.375)</f>
        <v>0.375</v>
      </c>
      <c r="M1515" s="18">
        <f>IFERROR(__xludf.DUMMYFUNCTION("""COMPUTED_VALUE"""),4.33)</f>
        <v>4.33</v>
      </c>
    </row>
    <row r="1516">
      <c r="A1516" s="13" t="str">
        <f>IFERROR(__xludf.DUMMYFUNCTION("""COMPUTED_VALUE"""),"товари")</f>
        <v>товари</v>
      </c>
      <c r="B1516" s="16" t="str">
        <f>IFERROR(__xludf.DUMMYFUNCTION("""COMPUTED_VALUE"""),"зоотовари")</f>
        <v>зоотовари</v>
      </c>
      <c r="C1516" s="16" t="str">
        <f>IFERROR(__xludf.DUMMYFUNCTION("""COMPUTED_VALUE"""),"товари для рептилій і комах")</f>
        <v>товари для рептилій і комах</v>
      </c>
      <c r="D1516" s="16" t="str">
        <f>IFERROR(__xludf.DUMMYFUNCTION("""COMPUTED_VALUE"""),"товари для домашніх риб, рептилійта комах, загальне")</f>
        <v>товари для домашніх риб, рептилійта комах, загальне</v>
      </c>
      <c r="E1516" s="16" t="str">
        <f>IFERROR(__xludf.DUMMYFUNCTION("""COMPUTED_VALUE"""),"товари для домашніх риб, рептилійта комах, загальне")</f>
        <v>товари для домашніх риб, рептилійта комах, загальне</v>
      </c>
      <c r="F1516" s="17">
        <f>IFERROR(__xludf.DUMMYFUNCTION("""COMPUTED_VALUE"""),3.0)</f>
        <v>3</v>
      </c>
      <c r="G1516" s="17" t="str">
        <f>IFERROR(__xludf.DUMMYFUNCTION("""COMPUTED_VALUE"""),"271610")</f>
        <v>271610</v>
      </c>
      <c r="H1516" s="17" t="str">
        <f>IFERROR(__xludf.DUMMYFUNCTION("""COMPUTED_VALUE"""),"товари для домашніх риб, рептилійта комах, загальне")</f>
        <v>товари для домашніх риб, рептилійта комах, загальне</v>
      </c>
      <c r="I1516" s="19">
        <f>IFERROR(__xludf.DUMMYFUNCTION("""COMPUTED_VALUE"""),0.125)</f>
        <v>0.125</v>
      </c>
      <c r="J1516" s="19">
        <f>IFERROR(__xludf.DUMMYFUNCTION("""COMPUTED_VALUE"""),0.25)</f>
        <v>0.25</v>
      </c>
      <c r="K1516" s="19">
        <f>IFERROR(__xludf.DUMMYFUNCTION("""COMPUTED_VALUE"""),0.3125)</f>
        <v>0.3125</v>
      </c>
      <c r="L1516" s="19">
        <f>IFERROR(__xludf.DUMMYFUNCTION("""COMPUTED_VALUE"""),0.375)</f>
        <v>0.375</v>
      </c>
      <c r="M1516" s="18">
        <f>IFERROR(__xludf.DUMMYFUNCTION("""COMPUTED_VALUE"""),4.33)</f>
        <v>4.33</v>
      </c>
    </row>
    <row r="1517">
      <c r="A1517" s="13" t="str">
        <f>IFERROR(__xludf.DUMMYFUNCTION("""COMPUTED_VALUE"""),"товари")</f>
        <v>товари</v>
      </c>
      <c r="B1517" s="16" t="str">
        <f>IFERROR(__xludf.DUMMYFUNCTION("""COMPUTED_VALUE"""),"зоотовари")</f>
        <v>зоотовари</v>
      </c>
      <c r="C1517" s="16" t="str">
        <f>IFERROR(__xludf.DUMMYFUNCTION("""COMPUTED_VALUE"""),"товари для домашніх тварин і птахів")</f>
        <v>товари для домашніх тварин і птахів</v>
      </c>
      <c r="D1517" s="16" t="str">
        <f>IFERROR(__xludf.DUMMYFUNCTION("""COMPUTED_VALUE"""),"товари для домашніх тварин і птахів, загальне")</f>
        <v>товари для домашніх тварин і птахів, загальне</v>
      </c>
      <c r="E1517" s="16" t="str">
        <f>IFERROR(__xludf.DUMMYFUNCTION("""COMPUTED_VALUE"""),"товари для домашніх тварин і птахів, загальне")</f>
        <v>товари для домашніх тварин і птахів, загальне</v>
      </c>
      <c r="F1517" s="17">
        <f>IFERROR(__xludf.DUMMYFUNCTION("""COMPUTED_VALUE"""),3.0)</f>
        <v>3</v>
      </c>
      <c r="G1517" s="17" t="str">
        <f>IFERROR(__xludf.DUMMYFUNCTION("""COMPUTED_VALUE"""),"270207")</f>
        <v>270207</v>
      </c>
      <c r="H1517" s="17" t="str">
        <f>IFERROR(__xludf.DUMMYFUNCTION("""COMPUTED_VALUE"""),"товари для домашніх тварин і птахів, загальне")</f>
        <v>товари для домашніх тварин і птахів, загальне</v>
      </c>
      <c r="I1517" s="19">
        <f>IFERROR(__xludf.DUMMYFUNCTION("""COMPUTED_VALUE"""),0.125)</f>
        <v>0.125</v>
      </c>
      <c r="J1517" s="19">
        <f>IFERROR(__xludf.DUMMYFUNCTION("""COMPUTED_VALUE"""),0.25)</f>
        <v>0.25</v>
      </c>
      <c r="K1517" s="19">
        <f>IFERROR(__xludf.DUMMYFUNCTION("""COMPUTED_VALUE"""),0.3125)</f>
        <v>0.3125</v>
      </c>
      <c r="L1517" s="19">
        <f>IFERROR(__xludf.DUMMYFUNCTION("""COMPUTED_VALUE"""),0.375)</f>
        <v>0.375</v>
      </c>
      <c r="M1517" s="18">
        <f>IFERROR(__xludf.DUMMYFUNCTION("""COMPUTED_VALUE"""),4.33)</f>
        <v>4.33</v>
      </c>
    </row>
    <row r="1518">
      <c r="A1518" s="13" t="str">
        <f>IFERROR(__xludf.DUMMYFUNCTION("""COMPUTED_VALUE"""),"товари")</f>
        <v>товари</v>
      </c>
      <c r="B1518" s="16" t="str">
        <f>IFERROR(__xludf.DUMMYFUNCTION("""COMPUTED_VALUE"""),"зоотовари")</f>
        <v>зоотовари</v>
      </c>
      <c r="C1518" s="16" t="str">
        <f>IFERROR(__xludf.DUMMYFUNCTION("""COMPUTED_VALUE"""),"товари для домашніх тварин і птахів")</f>
        <v>товари для домашніх тварин і птахів</v>
      </c>
      <c r="D1518" s="16" t="str">
        <f>IFERROR(__xludf.DUMMYFUNCTION("""COMPUTED_VALUE"""),"товари для комфорту домашніх тварин")</f>
        <v>товари для комфорту домашніх тварин</v>
      </c>
      <c r="E1518" s="16" t="str">
        <f>IFERROR(__xludf.DUMMYFUNCTION("""COMPUTED_VALUE"""),"товари для комфорт домашніх тварин, загальне")</f>
        <v>товари для комфорт домашніх тварин, загальне</v>
      </c>
      <c r="F1518" s="17">
        <f>IFERROR(__xludf.DUMMYFUNCTION("""COMPUTED_VALUE"""),4.0)</f>
        <v>4</v>
      </c>
      <c r="G1518" s="17" t="str">
        <f>IFERROR(__xludf.DUMMYFUNCTION("""COMPUTED_VALUE"""),"270255")</f>
        <v>270255</v>
      </c>
      <c r="H1518" s="17" t="str">
        <f>IFERROR(__xludf.DUMMYFUNCTION("""COMPUTED_VALUE"""),"товари для комфорт домашніх тварин, загальне")</f>
        <v>товари для комфорт домашніх тварин, загальне</v>
      </c>
      <c r="I1518" s="19">
        <f>IFERROR(__xludf.DUMMYFUNCTION("""COMPUTED_VALUE"""),0.125)</f>
        <v>0.125</v>
      </c>
      <c r="J1518" s="19">
        <f>IFERROR(__xludf.DUMMYFUNCTION("""COMPUTED_VALUE"""),0.25)</f>
        <v>0.25</v>
      </c>
      <c r="K1518" s="19">
        <f>IFERROR(__xludf.DUMMYFUNCTION("""COMPUTED_VALUE"""),0.3125)</f>
        <v>0.3125</v>
      </c>
      <c r="L1518" s="19">
        <f>IFERROR(__xludf.DUMMYFUNCTION("""COMPUTED_VALUE"""),0.375)</f>
        <v>0.375</v>
      </c>
      <c r="M1518" s="18">
        <f>IFERROR(__xludf.DUMMYFUNCTION("""COMPUTED_VALUE"""),4.33)</f>
        <v>4.33</v>
      </c>
    </row>
    <row r="1519">
      <c r="A1519" s="13" t="str">
        <f>IFERROR(__xludf.DUMMYFUNCTION("""COMPUTED_VALUE"""),"товари")</f>
        <v>товари</v>
      </c>
      <c r="B1519" s="16" t="str">
        <f>IFERROR(__xludf.DUMMYFUNCTION("""COMPUTED_VALUE"""),"зоотовари")</f>
        <v>зоотовари</v>
      </c>
      <c r="C1519" s="16" t="str">
        <f>IFERROR(__xludf.DUMMYFUNCTION("""COMPUTED_VALUE"""),"товари для домашніх тварин і птахів")</f>
        <v>товари для домашніх тварин і птахів</v>
      </c>
      <c r="D1519" s="16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519" s="16" t="str">
        <f>IFERROR(__xludf.DUMMYFUNCTION("""COMPUTED_VALUE"""),"товари для прогулянок і подорожей з тваринами, загальне")</f>
        <v>товари для прогулянок і подорожей з тваринами, загальне</v>
      </c>
      <c r="F1519" s="17">
        <f>IFERROR(__xludf.DUMMYFUNCTION("""COMPUTED_VALUE"""),4.0)</f>
        <v>4</v>
      </c>
      <c r="G1519" s="17" t="str">
        <f>IFERROR(__xludf.DUMMYFUNCTION("""COMPUTED_VALUE"""),"270251")</f>
        <v>270251</v>
      </c>
      <c r="H1519" s="17" t="str">
        <f>IFERROR(__xludf.DUMMYFUNCTION("""COMPUTED_VALUE"""),"товари для прогулянок і подорожей з тваринами, загальне")</f>
        <v>товари для прогулянок і подорожей з тваринами, загальне</v>
      </c>
      <c r="I1519" s="19">
        <f>IFERROR(__xludf.DUMMYFUNCTION("""COMPUTED_VALUE"""),0.125)</f>
        <v>0.125</v>
      </c>
      <c r="J1519" s="19">
        <f>IFERROR(__xludf.DUMMYFUNCTION("""COMPUTED_VALUE"""),0.25)</f>
        <v>0.25</v>
      </c>
      <c r="K1519" s="19">
        <f>IFERROR(__xludf.DUMMYFUNCTION("""COMPUTED_VALUE"""),0.3125)</f>
        <v>0.3125</v>
      </c>
      <c r="L1519" s="19">
        <f>IFERROR(__xludf.DUMMYFUNCTION("""COMPUTED_VALUE"""),0.375)</f>
        <v>0.375</v>
      </c>
      <c r="M1519" s="18">
        <f>IFERROR(__xludf.DUMMYFUNCTION("""COMPUTED_VALUE"""),4.33)</f>
        <v>4.33</v>
      </c>
    </row>
    <row r="1520">
      <c r="A1520" s="13" t="str">
        <f>IFERROR(__xludf.DUMMYFUNCTION("""COMPUTED_VALUE"""),"товари")</f>
        <v>товари</v>
      </c>
      <c r="B1520" s="16" t="str">
        <f>IFERROR(__xludf.DUMMYFUNCTION("""COMPUTED_VALUE"""),"зоотовари")</f>
        <v>зоотовари</v>
      </c>
      <c r="C1520" s="16" t="str">
        <f>IFERROR(__xludf.DUMMYFUNCTION("""COMPUTED_VALUE"""),"товари для риб")</f>
        <v>товари для риб</v>
      </c>
      <c r="D1520" s="16" t="str">
        <f>IFERROR(__xludf.DUMMYFUNCTION("""COMPUTED_VALUE"""),"товари для риб, загальне")</f>
        <v>товари для риб, загальне</v>
      </c>
      <c r="E1520" s="16" t="str">
        <f>IFERROR(__xludf.DUMMYFUNCTION("""COMPUTED_VALUE"""),"товари для риб, загальне")</f>
        <v>товари для риб, загальне</v>
      </c>
      <c r="F1520" s="17">
        <f>IFERROR(__xludf.DUMMYFUNCTION("""COMPUTED_VALUE"""),3.0)</f>
        <v>3</v>
      </c>
      <c r="G1520" s="17" t="str">
        <f>IFERROR(__xludf.DUMMYFUNCTION("""COMPUTED_VALUE"""),"270233")</f>
        <v>270233</v>
      </c>
      <c r="H1520" s="17" t="str">
        <f>IFERROR(__xludf.DUMMYFUNCTION("""COMPUTED_VALUE"""),"товари для риб, загальне")</f>
        <v>товари для риб, загальне</v>
      </c>
      <c r="I1520" s="19">
        <f>IFERROR(__xludf.DUMMYFUNCTION("""COMPUTED_VALUE"""),0.125)</f>
        <v>0.125</v>
      </c>
      <c r="J1520" s="19">
        <f>IFERROR(__xludf.DUMMYFUNCTION("""COMPUTED_VALUE"""),0.25)</f>
        <v>0.25</v>
      </c>
      <c r="K1520" s="19">
        <f>IFERROR(__xludf.DUMMYFUNCTION("""COMPUTED_VALUE"""),0.3125)</f>
        <v>0.3125</v>
      </c>
      <c r="L1520" s="19">
        <f>IFERROR(__xludf.DUMMYFUNCTION("""COMPUTED_VALUE"""),0.375)</f>
        <v>0.375</v>
      </c>
      <c r="M1520" s="18">
        <f>IFERROR(__xludf.DUMMYFUNCTION("""COMPUTED_VALUE"""),4.33)</f>
        <v>4.33</v>
      </c>
    </row>
    <row r="1521">
      <c r="A1521" s="13" t="str">
        <f>IFERROR(__xludf.DUMMYFUNCTION("""COMPUTED_VALUE"""),"товари")</f>
        <v>товари</v>
      </c>
      <c r="B1521" s="16" t="str">
        <f>IFERROR(__xludf.DUMMYFUNCTION("""COMPUTED_VALUE"""),"зоотовари")</f>
        <v>зоотовари</v>
      </c>
      <c r="C1521" s="16" t="str">
        <f>IFERROR(__xludf.DUMMYFUNCTION("""COMPUTED_VALUE"""),"товари для домашніх тварин і птахів")</f>
        <v>товари для домашніх тварин і птахів</v>
      </c>
      <c r="D1521" s="16" t="str">
        <f>IFERROR(__xludf.DUMMYFUNCTION("""COMPUTED_VALUE"""),"товари для догляду за домашніми тваринами")</f>
        <v>товари для догляду за домашніми тваринами</v>
      </c>
      <c r="E1521" s="16" t="str">
        <f>IFERROR(__xludf.DUMMYFUNCTION("""COMPUTED_VALUE"""),"туалетні лотки для тварин і аксесуари")</f>
        <v>туалетні лотки для тварин і аксесуари</v>
      </c>
      <c r="F1521" s="17">
        <f>IFERROR(__xludf.DUMMYFUNCTION("""COMPUTED_VALUE"""),4.0)</f>
        <v>4</v>
      </c>
      <c r="G1521" s="17" t="str">
        <f>IFERROR(__xludf.DUMMYFUNCTION("""COMPUTED_VALUE"""),"270225")</f>
        <v>270225</v>
      </c>
      <c r="H1521" s="17" t="str">
        <f>IFERROR(__xludf.DUMMYFUNCTION("""COMPUTED_VALUE"""),"туалетні лотки для тварин і аксесуари")</f>
        <v>туалетні лотки для тварин і аксесуари</v>
      </c>
      <c r="I1521" s="19">
        <f>IFERROR(__xludf.DUMMYFUNCTION("""COMPUTED_VALUE"""),0.04)</f>
        <v>0.04</v>
      </c>
      <c r="J1521" s="19">
        <f>IFERROR(__xludf.DUMMYFUNCTION("""COMPUTED_VALUE"""),0.08)</f>
        <v>0.08</v>
      </c>
      <c r="K1521" s="19">
        <f>IFERROR(__xludf.DUMMYFUNCTION("""COMPUTED_VALUE"""),0.1)</f>
        <v>0.1</v>
      </c>
      <c r="L1521" s="19">
        <f>IFERROR(__xludf.DUMMYFUNCTION("""COMPUTED_VALUE"""),0.12)</f>
        <v>0.12</v>
      </c>
      <c r="M1521" s="18">
        <f>IFERROR(__xludf.DUMMYFUNCTION("""COMPUTED_VALUE"""),1.8)</f>
        <v>1.8</v>
      </c>
    </row>
    <row r="1522">
      <c r="A1522" s="13" t="str">
        <f>IFERROR(__xludf.DUMMYFUNCTION("""COMPUTED_VALUE"""),"товари")</f>
        <v>товари</v>
      </c>
      <c r="B1522" s="16" t="str">
        <f>IFERROR(__xludf.DUMMYFUNCTION("""COMPUTED_VALUE"""),"зоотовари")</f>
        <v>зоотовари</v>
      </c>
      <c r="C1522" s="16" t="str">
        <f>IFERROR(__xludf.DUMMYFUNCTION("""COMPUTED_VALUE"""),"товари для риб")</f>
        <v>товари для риб</v>
      </c>
      <c r="D1522" s="16" t="str">
        <f>IFERROR(__xludf.DUMMYFUNCTION("""COMPUTED_VALUE"""),"тумби та піддони під акваріум")</f>
        <v>тумби та піддони під акваріум</v>
      </c>
      <c r="E1522" s="16" t="str">
        <f>IFERROR(__xludf.DUMMYFUNCTION("""COMPUTED_VALUE"""),"тумби та піддони під акваріум")</f>
        <v>тумби та піддони під акваріум</v>
      </c>
      <c r="F1522" s="17">
        <f>IFERROR(__xludf.DUMMYFUNCTION("""COMPUTED_VALUE"""),3.0)</f>
        <v>3</v>
      </c>
      <c r="G1522" s="17" t="str">
        <f>IFERROR(__xludf.DUMMYFUNCTION("""COMPUTED_VALUE"""),"270247")</f>
        <v>270247</v>
      </c>
      <c r="H1522" s="17" t="str">
        <f>IFERROR(__xludf.DUMMYFUNCTION("""COMPUTED_VALUE"""),"тумби та піддони під акваріум")</f>
        <v>тумби та піддони під акваріум</v>
      </c>
      <c r="I1522" s="19">
        <f>IFERROR(__xludf.DUMMYFUNCTION("""COMPUTED_VALUE"""),0.0358)</f>
        <v>0.0358</v>
      </c>
      <c r="J1522" s="19">
        <f>IFERROR(__xludf.DUMMYFUNCTION("""COMPUTED_VALUE"""),0.0715)</f>
        <v>0.0715</v>
      </c>
      <c r="K1522" s="19">
        <f>IFERROR(__xludf.DUMMYFUNCTION("""COMPUTED_VALUE"""),0.0894)</f>
        <v>0.0894</v>
      </c>
      <c r="L1522" s="19">
        <f>IFERROR(__xludf.DUMMYFUNCTION("""COMPUTED_VALUE"""),0.1073)</f>
        <v>0.1073</v>
      </c>
      <c r="M1522" s="18">
        <f>IFERROR(__xludf.DUMMYFUNCTION("""COMPUTED_VALUE"""),1.26)</f>
        <v>1.26</v>
      </c>
    </row>
    <row r="1523">
      <c r="A1523" s="13" t="str">
        <f>IFERROR(__xludf.DUMMYFUNCTION("""COMPUTED_VALUE"""),"товари")</f>
        <v>товари</v>
      </c>
      <c r="B1523" s="16" t="str">
        <f>IFERROR(__xludf.DUMMYFUNCTION("""COMPUTED_VALUE"""),"зоотовари")</f>
        <v>зоотовари</v>
      </c>
      <c r="C1523" s="16" t="str">
        <f>IFERROR(__xludf.DUMMYFUNCTION("""COMPUTED_VALUE"""),"товари для риб")</f>
        <v>товари для риб</v>
      </c>
      <c r="D1523" s="16" t="str">
        <f>IFERROR(__xludf.DUMMYFUNCTION("""COMPUTED_VALUE"""),"фільтри для акваріума")</f>
        <v>фільтри для акваріума</v>
      </c>
      <c r="E1523" s="16" t="str">
        <f>IFERROR(__xludf.DUMMYFUNCTION("""COMPUTED_VALUE"""),"фільтри для акваріума")</f>
        <v>фільтри для акваріума</v>
      </c>
      <c r="F1523" s="17">
        <f>IFERROR(__xludf.DUMMYFUNCTION("""COMPUTED_VALUE"""),3.0)</f>
        <v>3</v>
      </c>
      <c r="G1523" s="17" t="str">
        <f>IFERROR(__xludf.DUMMYFUNCTION("""COMPUTED_VALUE"""),"270235")</f>
        <v>270235</v>
      </c>
      <c r="H1523" s="17" t="str">
        <f>IFERROR(__xludf.DUMMYFUNCTION("""COMPUTED_VALUE"""),"фільтри для акваріума")</f>
        <v>фільтри для акваріума</v>
      </c>
      <c r="I1523" s="19">
        <f>IFERROR(__xludf.DUMMYFUNCTION("""COMPUTED_VALUE"""),0.04)</f>
        <v>0.04</v>
      </c>
      <c r="J1523" s="19">
        <f>IFERROR(__xludf.DUMMYFUNCTION("""COMPUTED_VALUE"""),0.08)</f>
        <v>0.08</v>
      </c>
      <c r="K1523" s="19">
        <f>IFERROR(__xludf.DUMMYFUNCTION("""COMPUTED_VALUE"""),0.1)</f>
        <v>0.1</v>
      </c>
      <c r="L1523" s="19">
        <f>IFERROR(__xludf.DUMMYFUNCTION("""COMPUTED_VALUE"""),0.12)</f>
        <v>0.12</v>
      </c>
      <c r="M1523" s="18">
        <f>IFERROR(__xludf.DUMMYFUNCTION("""COMPUTED_VALUE"""),1.26)</f>
        <v>1.26</v>
      </c>
    </row>
    <row r="1524">
      <c r="A1524" s="13" t="str">
        <f>IFERROR(__xludf.DUMMYFUNCTION("""COMPUTED_VALUE"""),"товари")</f>
        <v>товари</v>
      </c>
      <c r="B1524" s="16" t="str">
        <f>IFERROR(__xludf.DUMMYFUNCTION("""COMPUTED_VALUE"""),"інструменти")</f>
        <v>інструменти</v>
      </c>
      <c r="C1524" s="16" t="str">
        <f>IFERROR(__xludf.DUMMYFUNCTION("""COMPUTED_VALUE"""),"пневматичний інструмент")</f>
        <v>пневматичний інструмент</v>
      </c>
      <c r="D1524" s="16" t="str">
        <f>IFERROR(__xludf.DUMMYFUNCTION("""COMPUTED_VALUE"""),"оснащення для пневматичного інструменту")</f>
        <v>оснащення для пневматичного інструменту</v>
      </c>
      <c r="E1524" s="16" t="str">
        <f>IFERROR(__xludf.DUMMYFUNCTION("""COMPUTED_VALUE"""),"аерографи")</f>
        <v>аерографи</v>
      </c>
      <c r="F1524" s="17">
        <f>IFERROR(__xludf.DUMMYFUNCTION("""COMPUTED_VALUE"""),4.0)</f>
        <v>4</v>
      </c>
      <c r="G1524" s="17" t="str">
        <f>IFERROR(__xludf.DUMMYFUNCTION("""COMPUTED_VALUE"""),"14200525")</f>
        <v>14200525</v>
      </c>
      <c r="H1524" s="17" t="str">
        <f>IFERROR(__xludf.DUMMYFUNCTION("""COMPUTED_VALUE"""),"аерографи")</f>
        <v>аерографи</v>
      </c>
      <c r="I1524" s="19">
        <f>IFERROR(__xludf.DUMMYFUNCTION("""COMPUTED_VALUE"""),0.0737)</f>
        <v>0.0737</v>
      </c>
      <c r="J1524" s="19">
        <f>IFERROR(__xludf.DUMMYFUNCTION("""COMPUTED_VALUE"""),0.1473)</f>
        <v>0.1473</v>
      </c>
      <c r="K1524" s="19">
        <f>IFERROR(__xludf.DUMMYFUNCTION("""COMPUTED_VALUE"""),0.1841)</f>
        <v>0.1841</v>
      </c>
      <c r="L1524" s="19">
        <f>IFERROR(__xludf.DUMMYFUNCTION("""COMPUTED_VALUE"""),0.221)</f>
        <v>0.221</v>
      </c>
      <c r="M1524" s="18">
        <f>IFERROR(__xludf.DUMMYFUNCTION("""COMPUTED_VALUE"""),1.71)</f>
        <v>1.71</v>
      </c>
    </row>
    <row r="1525">
      <c r="A1525" s="13" t="str">
        <f>IFERROR(__xludf.DUMMYFUNCTION("""COMPUTED_VALUE"""),"товари")</f>
        <v>товари</v>
      </c>
      <c r="B1525" s="16" t="str">
        <f>IFERROR(__xludf.DUMMYFUNCTION("""COMPUTED_VALUE"""),"інструменти")</f>
        <v>інструменти</v>
      </c>
      <c r="C1525" s="16" t="str">
        <f>IFERROR(__xludf.DUMMYFUNCTION("""COMPUTED_VALUE"""),"електроінструмент")</f>
        <v>електроінструмент</v>
      </c>
      <c r="D1525" s="16" t="str">
        <f>IFERROR(__xludf.DUMMYFUNCTION("""COMPUTED_VALUE"""),"акумуляторні викрутки")</f>
        <v>акумуляторні викрутки</v>
      </c>
      <c r="E1525" s="16" t="str">
        <f>IFERROR(__xludf.DUMMYFUNCTION("""COMPUTED_VALUE"""),"акумуляторні викрутки")</f>
        <v>акумуляторні викрутки</v>
      </c>
      <c r="F1525" s="17">
        <f>IFERROR(__xludf.DUMMYFUNCTION("""COMPUTED_VALUE"""),3.0)</f>
        <v>3</v>
      </c>
      <c r="G1525" s="17" t="str">
        <f>IFERROR(__xludf.DUMMYFUNCTION("""COMPUTED_VALUE"""),"141722")</f>
        <v>141722</v>
      </c>
      <c r="H1525" s="17" t="str">
        <f>IFERROR(__xludf.DUMMYFUNCTION("""COMPUTED_VALUE"""),"акумуляторні викрутки")</f>
        <v>акумуляторні викрутки</v>
      </c>
      <c r="I1525" s="19">
        <f>IFERROR(__xludf.DUMMYFUNCTION("""COMPUTED_VALUE"""),0.0577)</f>
        <v>0.0577</v>
      </c>
      <c r="J1525" s="19">
        <f>IFERROR(__xludf.DUMMYFUNCTION("""COMPUTED_VALUE"""),0.1153)</f>
        <v>0.1153</v>
      </c>
      <c r="K1525" s="19">
        <f>IFERROR(__xludf.DUMMYFUNCTION("""COMPUTED_VALUE"""),0.1441)</f>
        <v>0.1441</v>
      </c>
      <c r="L1525" s="19">
        <f>IFERROR(__xludf.DUMMYFUNCTION("""COMPUTED_VALUE"""),0.173)</f>
        <v>0.173</v>
      </c>
      <c r="M1525" s="18">
        <f>IFERROR(__xludf.DUMMYFUNCTION("""COMPUTED_VALUE"""),1.05)</f>
        <v>1.05</v>
      </c>
    </row>
    <row r="1526">
      <c r="A1526" s="13" t="str">
        <f>IFERROR(__xludf.DUMMYFUNCTION("""COMPUTED_VALUE"""),"товари")</f>
        <v>товари</v>
      </c>
      <c r="B1526" s="16" t="str">
        <f>IFERROR(__xludf.DUMMYFUNCTION("""COMPUTED_VALUE"""),"інструменти")</f>
        <v>інструменти</v>
      </c>
      <c r="C1526" s="16" t="str">
        <f>IFERROR(__xludf.DUMMYFUNCTION("""COMPUTED_VALUE"""),"оснащення для інструменту")</f>
        <v>оснащення для інструменту</v>
      </c>
      <c r="D1526" s="16" t="str">
        <f>IFERROR(__xludf.DUMMYFUNCTION("""COMPUTED_VALUE"""),"алмазна паста")</f>
        <v>алмазна паста</v>
      </c>
      <c r="E1526" s="16" t="str">
        <f>IFERROR(__xludf.DUMMYFUNCTION("""COMPUTED_VALUE"""),"алмазна паста")</f>
        <v>алмазна паста</v>
      </c>
      <c r="F1526" s="17">
        <f>IFERROR(__xludf.DUMMYFUNCTION("""COMPUTED_VALUE"""),3.0)</f>
        <v>3</v>
      </c>
      <c r="G1526" s="17" t="str">
        <f>IFERROR(__xludf.DUMMYFUNCTION("""COMPUTED_VALUE"""),"14200206")</f>
        <v>14200206</v>
      </c>
      <c r="H1526" s="17" t="str">
        <f>IFERROR(__xludf.DUMMYFUNCTION("""COMPUTED_VALUE"""),"алмазна паста")</f>
        <v>алмазна паста</v>
      </c>
      <c r="I1526" s="19">
        <f>IFERROR(__xludf.DUMMYFUNCTION("""COMPUTED_VALUE"""),0.0739)</f>
        <v>0.0739</v>
      </c>
      <c r="J1526" s="19">
        <f>IFERROR(__xludf.DUMMYFUNCTION("""COMPUTED_VALUE"""),0.1477)</f>
        <v>0.1477</v>
      </c>
      <c r="K1526" s="19">
        <f>IFERROR(__xludf.DUMMYFUNCTION("""COMPUTED_VALUE"""),0.1846)</f>
        <v>0.1846</v>
      </c>
      <c r="L1526" s="19">
        <f>IFERROR(__xludf.DUMMYFUNCTION("""COMPUTED_VALUE"""),0.2216)</f>
        <v>0.2216</v>
      </c>
      <c r="M1526" s="18">
        <f>IFERROR(__xludf.DUMMYFUNCTION("""COMPUTED_VALUE"""),1.53)</f>
        <v>1.53</v>
      </c>
    </row>
    <row r="1527">
      <c r="A1527" s="13" t="str">
        <f>IFERROR(__xludf.DUMMYFUNCTION("""COMPUTED_VALUE"""),"товари")</f>
        <v>товари</v>
      </c>
      <c r="B1527" s="16" t="str">
        <f>IFERROR(__xludf.DUMMYFUNCTION("""COMPUTED_VALUE"""),"інструменти")</f>
        <v>інструменти</v>
      </c>
      <c r="C1527" s="16" t="str">
        <f>IFERROR(__xludf.DUMMYFUNCTION("""COMPUTED_VALUE"""),"електроінструмент")</f>
        <v>електроінструмент</v>
      </c>
      <c r="D1527" s="16" t="str">
        <f>IFERROR(__xludf.DUMMYFUNCTION("""COMPUTED_VALUE"""),"багатофункціональні інструменти")</f>
        <v>багатофункціональні інструменти</v>
      </c>
      <c r="E1527" s="16" t="str">
        <f>IFERROR(__xludf.DUMMYFUNCTION("""COMPUTED_VALUE"""),"багатофункціональні інструменти")</f>
        <v>багатофункціональні інструменти</v>
      </c>
      <c r="F1527" s="17">
        <f>IFERROR(__xludf.DUMMYFUNCTION("""COMPUTED_VALUE"""),3.0)</f>
        <v>3</v>
      </c>
      <c r="G1527" s="17" t="str">
        <f>IFERROR(__xludf.DUMMYFUNCTION("""COMPUTED_VALUE"""),"141735")</f>
        <v>141735</v>
      </c>
      <c r="H1527" s="17" t="str">
        <f>IFERROR(__xludf.DUMMYFUNCTION("""COMPUTED_VALUE"""),"багатофункціональні інструменти")</f>
        <v>багатофункціональні інструменти</v>
      </c>
      <c r="I1527" s="19">
        <f>IFERROR(__xludf.DUMMYFUNCTION("""COMPUTED_VALUE"""),0.0508)</f>
        <v>0.0508</v>
      </c>
      <c r="J1527" s="19">
        <f>IFERROR(__xludf.DUMMYFUNCTION("""COMPUTED_VALUE"""),0.1016)</f>
        <v>0.1016</v>
      </c>
      <c r="K1527" s="19">
        <f>IFERROR(__xludf.DUMMYFUNCTION("""COMPUTED_VALUE"""),0.127)</f>
        <v>0.127</v>
      </c>
      <c r="L1527" s="19">
        <f>IFERROR(__xludf.DUMMYFUNCTION("""COMPUTED_VALUE"""),0.1524)</f>
        <v>0.1524</v>
      </c>
      <c r="M1527" s="18">
        <f>IFERROR(__xludf.DUMMYFUNCTION("""COMPUTED_VALUE"""),1.8)</f>
        <v>1.8</v>
      </c>
    </row>
    <row r="1528">
      <c r="A1528" s="13" t="str">
        <f>IFERROR(__xludf.DUMMYFUNCTION("""COMPUTED_VALUE"""),"товари")</f>
        <v>товари</v>
      </c>
      <c r="B1528" s="16" t="str">
        <f>IFERROR(__xludf.DUMMYFUNCTION("""COMPUTED_VALUE"""),"інструменти")</f>
        <v>інструменти</v>
      </c>
      <c r="C1528" s="16" t="str">
        <f>IFERROR(__xludf.DUMMYFUNCTION("""COMPUTED_VALUE"""),"ручний інструмент")</f>
        <v>ручний інструмент</v>
      </c>
      <c r="D1528" s="16" t="str">
        <f>IFERROR(__xludf.DUMMYFUNCTION("""COMPUTED_VALUE"""),"ключі")</f>
        <v>ключі</v>
      </c>
      <c r="E1528" s="16" t="str">
        <f>IFERROR(__xludf.DUMMYFUNCTION("""COMPUTED_VALUE"""),"балонні ключі")</f>
        <v>балонні ключі</v>
      </c>
      <c r="F1528" s="17">
        <f>IFERROR(__xludf.DUMMYFUNCTION("""COMPUTED_VALUE"""),4.0)</f>
        <v>4</v>
      </c>
      <c r="G1528" s="17" t="str">
        <f>IFERROR(__xludf.DUMMYFUNCTION("""COMPUTED_VALUE"""),"12110203")</f>
        <v>12110203</v>
      </c>
      <c r="H1528" s="17" t="str">
        <f>IFERROR(__xludf.DUMMYFUNCTION("""COMPUTED_VALUE"""),"балонні ключі")</f>
        <v>балонні ключі</v>
      </c>
      <c r="I1528" s="19">
        <f>IFERROR(__xludf.DUMMYFUNCTION("""COMPUTED_VALUE"""),0.0767)</f>
        <v>0.0767</v>
      </c>
      <c r="J1528" s="19">
        <f>IFERROR(__xludf.DUMMYFUNCTION("""COMPUTED_VALUE"""),0.1534)</f>
        <v>0.1534</v>
      </c>
      <c r="K1528" s="19">
        <f>IFERROR(__xludf.DUMMYFUNCTION("""COMPUTED_VALUE"""),0.1918)</f>
        <v>0.1918</v>
      </c>
      <c r="L1528" s="19">
        <f>IFERROR(__xludf.DUMMYFUNCTION("""COMPUTED_VALUE"""),0.2301)</f>
        <v>0.2301</v>
      </c>
      <c r="M1528" s="18">
        <f>IFERROR(__xludf.DUMMYFUNCTION("""COMPUTED_VALUE"""),1.53)</f>
        <v>1.53</v>
      </c>
    </row>
    <row r="1529">
      <c r="A1529" s="13" t="str">
        <f>IFERROR(__xludf.DUMMYFUNCTION("""COMPUTED_VALUE"""),"товари")</f>
        <v>товари</v>
      </c>
      <c r="B1529" s="16" t="str">
        <f>IFERROR(__xludf.DUMMYFUNCTION("""COMPUTED_VALUE"""),"інструменти")</f>
        <v>інструменти</v>
      </c>
      <c r="C1529" s="16" t="str">
        <f>IFERROR(__xludf.DUMMYFUNCTION("""COMPUTED_VALUE"""),"ручний інструмент")</f>
        <v>ручний інструмент</v>
      </c>
      <c r="D1529" s="16" t="str">
        <f>IFERROR(__xludf.DUMMYFUNCTION("""COMPUTED_VALUE"""),"губцеві інструменти")</f>
        <v>губцеві інструменти</v>
      </c>
      <c r="E1529" s="16" t="str">
        <f>IFERROR(__xludf.DUMMYFUNCTION("""COMPUTED_VALUE"""),"бокорізи, кусачки")</f>
        <v>бокорізи, кусачки</v>
      </c>
      <c r="F1529" s="17">
        <f>IFERROR(__xludf.DUMMYFUNCTION("""COMPUTED_VALUE"""),4.0)</f>
        <v>4</v>
      </c>
      <c r="G1529" s="17" t="str">
        <f>IFERROR(__xludf.DUMMYFUNCTION("""COMPUTED_VALUE"""),"14200340")</f>
        <v>14200340</v>
      </c>
      <c r="H1529" s="17" t="str">
        <f>IFERROR(__xludf.DUMMYFUNCTION("""COMPUTED_VALUE"""),"бокорізи, кусачки")</f>
        <v>бокорізи, кусачки</v>
      </c>
      <c r="I1529" s="19">
        <f>IFERROR(__xludf.DUMMYFUNCTION("""COMPUTED_VALUE"""),0.0683)</f>
        <v>0.0683</v>
      </c>
      <c r="J1529" s="19">
        <f>IFERROR(__xludf.DUMMYFUNCTION("""COMPUTED_VALUE"""),0.1365)</f>
        <v>0.1365</v>
      </c>
      <c r="K1529" s="19">
        <f>IFERROR(__xludf.DUMMYFUNCTION("""COMPUTED_VALUE"""),0.1706)</f>
        <v>0.1706</v>
      </c>
      <c r="L1529" s="19">
        <f>IFERROR(__xludf.DUMMYFUNCTION("""COMPUTED_VALUE"""),0.2048)</f>
        <v>0.2048</v>
      </c>
      <c r="M1529" s="18">
        <f>IFERROR(__xludf.DUMMYFUNCTION("""COMPUTED_VALUE"""),1.05)</f>
        <v>1.05</v>
      </c>
    </row>
    <row r="1530">
      <c r="A1530" s="13" t="str">
        <f>IFERROR(__xludf.DUMMYFUNCTION("""COMPUTED_VALUE"""),"товари")</f>
        <v>товари</v>
      </c>
      <c r="B1530" s="16" t="str">
        <f>IFERROR(__xludf.DUMMYFUNCTION("""COMPUTED_VALUE"""),"інструменти")</f>
        <v>інструменти</v>
      </c>
      <c r="C1530" s="16" t="str">
        <f>IFERROR(__xludf.DUMMYFUNCTION("""COMPUTED_VALUE"""),"ручний інструмент")</f>
        <v>ручний інструмент</v>
      </c>
      <c r="D1530" s="16" t="str">
        <f>IFERROR(__xludf.DUMMYFUNCTION("""COMPUTED_VALUE"""),"губцеві інструменти")</f>
        <v>губцеві інструменти</v>
      </c>
      <c r="E1530" s="16" t="str">
        <f>IFERROR(__xludf.DUMMYFUNCTION("""COMPUTED_VALUE"""),"болторези")</f>
        <v>болторези</v>
      </c>
      <c r="F1530" s="17">
        <f>IFERROR(__xludf.DUMMYFUNCTION("""COMPUTED_VALUE"""),4.0)</f>
        <v>4</v>
      </c>
      <c r="G1530" s="17" t="str">
        <f>IFERROR(__xludf.DUMMYFUNCTION("""COMPUTED_VALUE"""),"14200345")</f>
        <v>14200345</v>
      </c>
      <c r="H1530" s="17" t="str">
        <f>IFERROR(__xludf.DUMMYFUNCTION("""COMPUTED_VALUE"""),"болторези")</f>
        <v>болторези</v>
      </c>
      <c r="I1530" s="19">
        <f>IFERROR(__xludf.DUMMYFUNCTION("""COMPUTED_VALUE"""),0.0683)</f>
        <v>0.0683</v>
      </c>
      <c r="J1530" s="19">
        <f>IFERROR(__xludf.DUMMYFUNCTION("""COMPUTED_VALUE"""),0.1365)</f>
        <v>0.1365</v>
      </c>
      <c r="K1530" s="19">
        <f>IFERROR(__xludf.DUMMYFUNCTION("""COMPUTED_VALUE"""),0.1706)</f>
        <v>0.1706</v>
      </c>
      <c r="L1530" s="19">
        <f>IFERROR(__xludf.DUMMYFUNCTION("""COMPUTED_VALUE"""),0.2048)</f>
        <v>0.2048</v>
      </c>
      <c r="M1530" s="18">
        <f>IFERROR(__xludf.DUMMYFUNCTION("""COMPUTED_VALUE"""),1.05)</f>
        <v>1.05</v>
      </c>
    </row>
    <row r="1531">
      <c r="A1531" s="13" t="str">
        <f>IFERROR(__xludf.DUMMYFUNCTION("""COMPUTED_VALUE"""),"товари")</f>
        <v>товари</v>
      </c>
      <c r="B1531" s="16" t="str">
        <f>IFERROR(__xludf.DUMMYFUNCTION("""COMPUTED_VALUE"""),"інструменти")</f>
        <v>інструменти</v>
      </c>
      <c r="C1531" s="16" t="str">
        <f>IFERROR(__xludf.DUMMYFUNCTION("""COMPUTED_VALUE"""),"будівельний інструмент")</f>
        <v>будівельний інструмент</v>
      </c>
      <c r="D1531" s="16" t="str">
        <f>IFERROR(__xludf.DUMMYFUNCTION("""COMPUTED_VALUE"""),"будівельний інструмент, загальне")</f>
        <v>будівельний інструмент, загальне</v>
      </c>
      <c r="E1531" s="16" t="str">
        <f>IFERROR(__xludf.DUMMYFUNCTION("""COMPUTED_VALUE"""),"будівельний інструмент, загальне")</f>
        <v>будівельний інструмент, загальне</v>
      </c>
      <c r="F1531" s="17">
        <f>IFERROR(__xludf.DUMMYFUNCTION("""COMPUTED_VALUE"""),3.0)</f>
        <v>3</v>
      </c>
      <c r="G1531" s="17" t="str">
        <f>IFERROR(__xludf.DUMMYFUNCTION("""COMPUTED_VALUE"""),"14201699")</f>
        <v>14201699</v>
      </c>
      <c r="H1531" s="17" t="str">
        <f>IFERROR(__xludf.DUMMYFUNCTION("""COMPUTED_VALUE"""),"будівельний інструмент, загальне")</f>
        <v>будівельний інструмент, загальне</v>
      </c>
      <c r="I1531" s="19">
        <f>IFERROR(__xludf.DUMMYFUNCTION("""COMPUTED_VALUE"""),0.125)</f>
        <v>0.125</v>
      </c>
      <c r="J1531" s="19">
        <f>IFERROR(__xludf.DUMMYFUNCTION("""COMPUTED_VALUE"""),0.25)</f>
        <v>0.25</v>
      </c>
      <c r="K1531" s="19">
        <f>IFERROR(__xludf.DUMMYFUNCTION("""COMPUTED_VALUE"""),0.3125)</f>
        <v>0.3125</v>
      </c>
      <c r="L1531" s="19">
        <f>IFERROR(__xludf.DUMMYFUNCTION("""COMPUTED_VALUE"""),0.375)</f>
        <v>0.375</v>
      </c>
      <c r="M1531" s="18">
        <f>IFERROR(__xludf.DUMMYFUNCTION("""COMPUTED_VALUE"""),4.33)</f>
        <v>4.33</v>
      </c>
    </row>
    <row r="1532">
      <c r="A1532" s="13" t="str">
        <f>IFERROR(__xludf.DUMMYFUNCTION("""COMPUTED_VALUE"""),"товари")</f>
        <v>товари</v>
      </c>
      <c r="B1532" s="16" t="str">
        <f>IFERROR(__xludf.DUMMYFUNCTION("""COMPUTED_VALUE"""),"інструменти")</f>
        <v>інструменти</v>
      </c>
      <c r="C1532" s="16" t="str">
        <f>IFERROR(__xludf.DUMMYFUNCTION("""COMPUTED_VALUE"""),"будівельний інструмент")</f>
        <v>будівельний інструмент</v>
      </c>
      <c r="D1532" s="16" t="str">
        <f>IFERROR(__xludf.DUMMYFUNCTION("""COMPUTED_VALUE"""),"будівельний пневматичний інструмент")</f>
        <v>будівельний пневматичний інструмент</v>
      </c>
      <c r="E1532" s="16" t="str">
        <f>IFERROR(__xludf.DUMMYFUNCTION("""COMPUTED_VALUE"""),"будівельний пневматичний інструмент, загальне")</f>
        <v>будівельний пневматичний інструмент, загальне</v>
      </c>
      <c r="F1532" s="17">
        <f>IFERROR(__xludf.DUMMYFUNCTION("""COMPUTED_VALUE"""),4.0)</f>
        <v>4</v>
      </c>
      <c r="G1532" s="17" t="str">
        <f>IFERROR(__xludf.DUMMYFUNCTION("""COMPUTED_VALUE"""),"14201635")</f>
        <v>14201635</v>
      </c>
      <c r="H1532" s="17" t="str">
        <f>IFERROR(__xludf.DUMMYFUNCTION("""COMPUTED_VALUE"""),"будівельний пневматичний інструмент, загальне")</f>
        <v>будівельний пневматичний інструмент, загальне</v>
      </c>
      <c r="I1532" s="19">
        <f>IFERROR(__xludf.DUMMYFUNCTION("""COMPUTED_VALUE"""),0.125)</f>
        <v>0.125</v>
      </c>
      <c r="J1532" s="19">
        <f>IFERROR(__xludf.DUMMYFUNCTION("""COMPUTED_VALUE"""),0.25)</f>
        <v>0.25</v>
      </c>
      <c r="K1532" s="19">
        <f>IFERROR(__xludf.DUMMYFUNCTION("""COMPUTED_VALUE"""),0.3125)</f>
        <v>0.3125</v>
      </c>
      <c r="L1532" s="19">
        <f>IFERROR(__xludf.DUMMYFUNCTION("""COMPUTED_VALUE"""),0.375)</f>
        <v>0.375</v>
      </c>
      <c r="M1532" s="18">
        <f>IFERROR(__xludf.DUMMYFUNCTION("""COMPUTED_VALUE"""),4.33)</f>
        <v>4.33</v>
      </c>
    </row>
    <row r="1533">
      <c r="A1533" s="13" t="str">
        <f>IFERROR(__xludf.DUMMYFUNCTION("""COMPUTED_VALUE"""),"товари")</f>
        <v>товари</v>
      </c>
      <c r="B1533" s="16" t="str">
        <f>IFERROR(__xludf.DUMMYFUNCTION("""COMPUTED_VALUE"""),"інструменти")</f>
        <v>інструменти</v>
      </c>
      <c r="C1533" s="16" t="str">
        <f>IFERROR(__xludf.DUMMYFUNCTION("""COMPUTED_VALUE"""),"будівельний інструмент")</f>
        <v>будівельний інструмент</v>
      </c>
      <c r="D1533" s="16" t="str">
        <f>IFERROR(__xludf.DUMMYFUNCTION("""COMPUTED_VALUE"""),"малярно-штукатурний інструмент")</f>
        <v>малярно-штукатурний інструмент</v>
      </c>
      <c r="E1533" s="16" t="str">
        <f>IFERROR(__xludf.DUMMYFUNCTION("""COMPUTED_VALUE"""),"будівельні відра, ємкості")</f>
        <v>будівельні відра, ємкості</v>
      </c>
      <c r="F1533" s="17">
        <f>IFERROR(__xludf.DUMMYFUNCTION("""COMPUTED_VALUE"""),4.0)</f>
        <v>4</v>
      </c>
      <c r="G1533" s="17" t="str">
        <f>IFERROR(__xludf.DUMMYFUNCTION("""COMPUTED_VALUE"""),"14201629")</f>
        <v>14201629</v>
      </c>
      <c r="H1533" s="17" t="str">
        <f>IFERROR(__xludf.DUMMYFUNCTION("""COMPUTED_VALUE"""),"будівельні відра, ємкості")</f>
        <v>будівельні відра, ємкості</v>
      </c>
      <c r="I1533" s="19">
        <f>IFERROR(__xludf.DUMMYFUNCTION("""COMPUTED_VALUE"""),0.076)</f>
        <v>0.076</v>
      </c>
      <c r="J1533" s="19">
        <f>IFERROR(__xludf.DUMMYFUNCTION("""COMPUTED_VALUE"""),0.1519)</f>
        <v>0.1519</v>
      </c>
      <c r="K1533" s="19">
        <f>IFERROR(__xludf.DUMMYFUNCTION("""COMPUTED_VALUE"""),0.1899)</f>
        <v>0.1899</v>
      </c>
      <c r="L1533" s="19">
        <f>IFERROR(__xludf.DUMMYFUNCTION("""COMPUTED_VALUE"""),0.2279)</f>
        <v>0.2279</v>
      </c>
      <c r="M1533" s="18">
        <f>IFERROR(__xludf.DUMMYFUNCTION("""COMPUTED_VALUE"""),1.53)</f>
        <v>1.53</v>
      </c>
    </row>
    <row r="1534">
      <c r="A1534" s="13" t="str">
        <f>IFERROR(__xludf.DUMMYFUNCTION("""COMPUTED_VALUE"""),"товари")</f>
        <v>товари</v>
      </c>
      <c r="B1534" s="16" t="str">
        <f>IFERROR(__xludf.DUMMYFUNCTION("""COMPUTED_VALUE"""),"інструменти")</f>
        <v>інструменти</v>
      </c>
      <c r="C1534" s="16" t="str">
        <f>IFERROR(__xludf.DUMMYFUNCTION("""COMPUTED_VALUE"""),"ручний інструмент")</f>
        <v>ручний інструмент</v>
      </c>
      <c r="D1534" s="16" t="str">
        <f>IFERROR(__xludf.DUMMYFUNCTION("""COMPUTED_VALUE"""),"будівельні ножі, ножиці")</f>
        <v>будівельні ножі, ножиці</v>
      </c>
      <c r="E1534" s="16" t="str">
        <f>IFERROR(__xludf.DUMMYFUNCTION("""COMPUTED_VALUE"""),"будівельні ножі, ножиці")</f>
        <v>будівельні ножі, ножиці</v>
      </c>
      <c r="F1534" s="17">
        <f>IFERROR(__xludf.DUMMYFUNCTION("""COMPUTED_VALUE"""),3.0)</f>
        <v>3</v>
      </c>
      <c r="G1534" s="17" t="str">
        <f>IFERROR(__xludf.DUMMYFUNCTION("""COMPUTED_VALUE"""),"14200306")</f>
        <v>14200306</v>
      </c>
      <c r="H1534" s="17" t="str">
        <f>IFERROR(__xludf.DUMMYFUNCTION("""COMPUTED_VALUE"""),"будівельні ножі, ножиці")</f>
        <v>будівельні ножі, ножиці</v>
      </c>
      <c r="I1534" s="19">
        <f>IFERROR(__xludf.DUMMYFUNCTION("""COMPUTED_VALUE"""),0.0722)</f>
        <v>0.0722</v>
      </c>
      <c r="J1534" s="19">
        <f>IFERROR(__xludf.DUMMYFUNCTION("""COMPUTED_VALUE"""),0.1443)</f>
        <v>0.1443</v>
      </c>
      <c r="K1534" s="19">
        <f>IFERROR(__xludf.DUMMYFUNCTION("""COMPUTED_VALUE"""),0.1804)</f>
        <v>0.1804</v>
      </c>
      <c r="L1534" s="19">
        <f>IFERROR(__xludf.DUMMYFUNCTION("""COMPUTED_VALUE"""),0.2165)</f>
        <v>0.2165</v>
      </c>
      <c r="M1534" s="18">
        <f>IFERROR(__xludf.DUMMYFUNCTION("""COMPUTED_VALUE"""),1.05)</f>
        <v>1.05</v>
      </c>
    </row>
    <row r="1535">
      <c r="A1535" s="13" t="str">
        <f>IFERROR(__xludf.DUMMYFUNCTION("""COMPUTED_VALUE"""),"товари")</f>
        <v>товари</v>
      </c>
      <c r="B1535" s="16" t="str">
        <f>IFERROR(__xludf.DUMMYFUNCTION("""COMPUTED_VALUE"""),"інструменти")</f>
        <v>інструменти</v>
      </c>
      <c r="C1535" s="16" t="str">
        <f>IFERROR(__xludf.DUMMYFUNCTION("""COMPUTED_VALUE"""),"ручний інструмент")</f>
        <v>ручний інструмент</v>
      </c>
      <c r="D1535" s="16" t="str">
        <f>IFERROR(__xludf.DUMMYFUNCTION("""COMPUTED_VALUE"""),"будівельні олівці, маркери")</f>
        <v>будівельні олівці, маркери</v>
      </c>
      <c r="E1535" s="16" t="str">
        <f>IFERROR(__xludf.DUMMYFUNCTION("""COMPUTED_VALUE"""),"будівельні олівці, маркери")</f>
        <v>будівельні олівці, маркери</v>
      </c>
      <c r="F1535" s="17">
        <f>IFERROR(__xludf.DUMMYFUNCTION("""COMPUTED_VALUE"""),3.0)</f>
        <v>3</v>
      </c>
      <c r="G1535" s="17" t="str">
        <f>IFERROR(__xludf.DUMMYFUNCTION("""COMPUTED_VALUE"""),"14200374")</f>
        <v>14200374</v>
      </c>
      <c r="H1535" s="17" t="str">
        <f>IFERROR(__xludf.DUMMYFUNCTION("""COMPUTED_VALUE"""),"будівельні олівці, маркери")</f>
        <v>будівельні олівці, маркери</v>
      </c>
      <c r="I1535" s="19">
        <f>IFERROR(__xludf.DUMMYFUNCTION("""COMPUTED_VALUE"""),0.0447)</f>
        <v>0.0447</v>
      </c>
      <c r="J1535" s="19">
        <f>IFERROR(__xludf.DUMMYFUNCTION("""COMPUTED_VALUE"""),0.0893)</f>
        <v>0.0893</v>
      </c>
      <c r="K1535" s="19">
        <f>IFERROR(__xludf.DUMMYFUNCTION("""COMPUTED_VALUE"""),0.1116)</f>
        <v>0.1116</v>
      </c>
      <c r="L1535" s="19">
        <f>IFERROR(__xludf.DUMMYFUNCTION("""COMPUTED_VALUE"""),0.134)</f>
        <v>0.134</v>
      </c>
      <c r="M1535" s="18">
        <f>IFERROR(__xludf.DUMMYFUNCTION("""COMPUTED_VALUE"""),1.05)</f>
        <v>1.05</v>
      </c>
    </row>
    <row r="1536">
      <c r="A1536" s="13" t="str">
        <f>IFERROR(__xludf.DUMMYFUNCTION("""COMPUTED_VALUE"""),"товари")</f>
        <v>товари</v>
      </c>
      <c r="B1536" s="16" t="str">
        <f>IFERROR(__xludf.DUMMYFUNCTION("""COMPUTED_VALUE"""),"інструменти")</f>
        <v>інструменти</v>
      </c>
      <c r="C1536" s="16" t="str">
        <f>IFERROR(__xludf.DUMMYFUNCTION("""COMPUTED_VALUE"""),"будівельний інструмент")</f>
        <v>будівельний інструмент</v>
      </c>
      <c r="D1536" s="16" t="str">
        <f>IFERROR(__xludf.DUMMYFUNCTION("""COMPUTED_VALUE"""),"будівельний вимірювальний інструмент")</f>
        <v>будівельний вимірювальний інструмент</v>
      </c>
      <c r="E1536" s="16" t="str">
        <f>IFERROR(__xludf.DUMMYFUNCTION("""COMPUTED_VALUE"""),"будівельні рівні")</f>
        <v>будівельні рівні</v>
      </c>
      <c r="F1536" s="17">
        <f>IFERROR(__xludf.DUMMYFUNCTION("""COMPUTED_VALUE"""),4.0)</f>
        <v>4</v>
      </c>
      <c r="G1536" s="17" t="str">
        <f>IFERROR(__xludf.DUMMYFUNCTION("""COMPUTED_VALUE"""),"14201622")</f>
        <v>14201622</v>
      </c>
      <c r="H1536" s="17" t="str">
        <f>IFERROR(__xludf.DUMMYFUNCTION("""COMPUTED_VALUE"""),"будівельні рівні")</f>
        <v>будівельні рівні</v>
      </c>
      <c r="I1536" s="19">
        <f>IFERROR(__xludf.DUMMYFUNCTION("""COMPUTED_VALUE"""),0.0762)</f>
        <v>0.0762</v>
      </c>
      <c r="J1536" s="19">
        <f>IFERROR(__xludf.DUMMYFUNCTION("""COMPUTED_VALUE"""),0.1524)</f>
        <v>0.1524</v>
      </c>
      <c r="K1536" s="19">
        <f>IFERROR(__xludf.DUMMYFUNCTION("""COMPUTED_VALUE"""),0.1905)</f>
        <v>0.1905</v>
      </c>
      <c r="L1536" s="19">
        <f>IFERROR(__xludf.DUMMYFUNCTION("""COMPUTED_VALUE"""),0.2286)</f>
        <v>0.2286</v>
      </c>
      <c r="M1536" s="18">
        <f>IFERROR(__xludf.DUMMYFUNCTION("""COMPUTED_VALUE"""),1.71)</f>
        <v>1.71</v>
      </c>
    </row>
    <row r="1537">
      <c r="A1537" s="13" t="str">
        <f>IFERROR(__xludf.DUMMYFUNCTION("""COMPUTED_VALUE"""),"товари")</f>
        <v>товари</v>
      </c>
      <c r="B1537" s="16" t="str">
        <f>IFERROR(__xludf.DUMMYFUNCTION("""COMPUTED_VALUE"""),"інструменти")</f>
        <v>інструменти</v>
      </c>
      <c r="C1537" s="16" t="str">
        <f>IFERROR(__xludf.DUMMYFUNCTION("""COMPUTED_VALUE"""),"електроінструмент")</f>
        <v>електроінструмент</v>
      </c>
      <c r="D1537" s="16" t="str">
        <f>IFERROR(__xludf.DUMMYFUNCTION("""COMPUTED_VALUE"""),"будівельні фени")</f>
        <v>будівельні фени</v>
      </c>
      <c r="E1537" s="16" t="str">
        <f>IFERROR(__xludf.DUMMYFUNCTION("""COMPUTED_VALUE"""),"будівельні фени")</f>
        <v>будівельні фени</v>
      </c>
      <c r="F1537" s="17">
        <f>IFERROR(__xludf.DUMMYFUNCTION("""COMPUTED_VALUE"""),3.0)</f>
        <v>3</v>
      </c>
      <c r="G1537" s="17" t="str">
        <f>IFERROR(__xludf.DUMMYFUNCTION("""COMPUTED_VALUE"""),"141706")</f>
        <v>141706</v>
      </c>
      <c r="H1537" s="17" t="str">
        <f>IFERROR(__xludf.DUMMYFUNCTION("""COMPUTED_VALUE"""),"будівельні фени")</f>
        <v>будівельні фени</v>
      </c>
      <c r="I1537" s="19">
        <f>IFERROR(__xludf.DUMMYFUNCTION("""COMPUTED_VALUE"""),0.0551)</f>
        <v>0.0551</v>
      </c>
      <c r="J1537" s="19">
        <f>IFERROR(__xludf.DUMMYFUNCTION("""COMPUTED_VALUE"""),0.1102)</f>
        <v>0.1102</v>
      </c>
      <c r="K1537" s="19">
        <f>IFERROR(__xludf.DUMMYFUNCTION("""COMPUTED_VALUE"""),0.1378)</f>
        <v>0.1378</v>
      </c>
      <c r="L1537" s="19">
        <f>IFERROR(__xludf.DUMMYFUNCTION("""COMPUTED_VALUE"""),0.1653)</f>
        <v>0.1653</v>
      </c>
      <c r="M1537" s="18">
        <f>IFERROR(__xludf.DUMMYFUNCTION("""COMPUTED_VALUE"""),3.24)</f>
        <v>3.24</v>
      </c>
    </row>
    <row r="1538">
      <c r="A1538" s="13" t="str">
        <f>IFERROR(__xludf.DUMMYFUNCTION("""COMPUTED_VALUE"""),"товари")</f>
        <v>товари</v>
      </c>
      <c r="B1538" s="16" t="str">
        <f>IFERROR(__xludf.DUMMYFUNCTION("""COMPUTED_VALUE"""),"інструменти")</f>
        <v>інструменти</v>
      </c>
      <c r="C1538" s="16" t="str">
        <f>IFERROR(__xludf.DUMMYFUNCTION("""COMPUTED_VALUE"""),"металорізальний інструмент")</f>
        <v>металорізальний інструмент</v>
      </c>
      <c r="D1538" s="16" t="str">
        <f>IFERROR(__xludf.DUMMYFUNCTION("""COMPUTED_VALUE"""),"вальцівки")</f>
        <v>вальцівки</v>
      </c>
      <c r="E1538" s="16" t="str">
        <f>IFERROR(__xludf.DUMMYFUNCTION("""COMPUTED_VALUE"""),"вальцівки")</f>
        <v>вальцівки</v>
      </c>
      <c r="F1538" s="17">
        <f>IFERROR(__xludf.DUMMYFUNCTION("""COMPUTED_VALUE"""),3.0)</f>
        <v>3</v>
      </c>
      <c r="G1538" s="17" t="str">
        <f>IFERROR(__xludf.DUMMYFUNCTION("""COMPUTED_VALUE"""),"14201015")</f>
        <v>14201015</v>
      </c>
      <c r="H1538" s="17" t="str">
        <f>IFERROR(__xludf.DUMMYFUNCTION("""COMPUTED_VALUE"""),"вальцівки")</f>
        <v>вальцівки</v>
      </c>
      <c r="I1538" s="19">
        <f>IFERROR(__xludf.DUMMYFUNCTION("""COMPUTED_VALUE"""),0.0383)</f>
        <v>0.0383</v>
      </c>
      <c r="J1538" s="19">
        <f>IFERROR(__xludf.DUMMYFUNCTION("""COMPUTED_VALUE"""),0.0766)</f>
        <v>0.0766</v>
      </c>
      <c r="K1538" s="19">
        <f>IFERROR(__xludf.DUMMYFUNCTION("""COMPUTED_VALUE"""),0.0958)</f>
        <v>0.0958</v>
      </c>
      <c r="L1538" s="19">
        <f>IFERROR(__xludf.DUMMYFUNCTION("""COMPUTED_VALUE"""),0.1149)</f>
        <v>0.1149</v>
      </c>
      <c r="M1538" s="18">
        <f>IFERROR(__xludf.DUMMYFUNCTION("""COMPUTED_VALUE"""),1.8)</f>
        <v>1.8</v>
      </c>
    </row>
    <row r="1539">
      <c r="A1539" s="13" t="str">
        <f>IFERROR(__xludf.DUMMYFUNCTION("""COMPUTED_VALUE"""),"товари")</f>
        <v>товари</v>
      </c>
      <c r="B1539" s="16" t="str">
        <f>IFERROR(__xludf.DUMMYFUNCTION("""COMPUTED_VALUE"""),"інструменти")</f>
        <v>інструменти</v>
      </c>
      <c r="C1539" s="16" t="str">
        <f>IFERROR(__xludf.DUMMYFUNCTION("""COMPUTED_VALUE"""),"ручний інструмент")</f>
        <v>ручний інструмент</v>
      </c>
      <c r="D1539" s="16" t="str">
        <f>IFERROR(__xludf.DUMMYFUNCTION("""COMPUTED_VALUE"""),"викрутки")</f>
        <v>викрутки</v>
      </c>
      <c r="E1539" s="16" t="str">
        <f>IFERROR(__xludf.DUMMYFUNCTION("""COMPUTED_VALUE"""),"викрутки")</f>
        <v>викрутки</v>
      </c>
      <c r="F1539" s="17">
        <f>IFERROR(__xludf.DUMMYFUNCTION("""COMPUTED_VALUE"""),3.0)</f>
        <v>3</v>
      </c>
      <c r="G1539" s="17" t="str">
        <f>IFERROR(__xludf.DUMMYFUNCTION("""COMPUTED_VALUE"""),"14200310")</f>
        <v>14200310</v>
      </c>
      <c r="H1539" s="17" t="str">
        <f>IFERROR(__xludf.DUMMYFUNCTION("""COMPUTED_VALUE"""),"викрутки")</f>
        <v>викрутки</v>
      </c>
      <c r="I1539" s="19">
        <f>IFERROR(__xludf.DUMMYFUNCTION("""COMPUTED_VALUE"""),0.0765)</f>
        <v>0.0765</v>
      </c>
      <c r="J1539" s="19">
        <f>IFERROR(__xludf.DUMMYFUNCTION("""COMPUTED_VALUE"""),0.1529)</f>
        <v>0.1529</v>
      </c>
      <c r="K1539" s="19">
        <f>IFERROR(__xludf.DUMMYFUNCTION("""COMPUTED_VALUE"""),0.1911)</f>
        <v>0.1911</v>
      </c>
      <c r="L1539" s="19">
        <f>IFERROR(__xludf.DUMMYFUNCTION("""COMPUTED_VALUE"""),0.2294)</f>
        <v>0.2294</v>
      </c>
      <c r="M1539" s="18">
        <f>IFERROR(__xludf.DUMMYFUNCTION("""COMPUTED_VALUE"""),1.63)</f>
        <v>1.63</v>
      </c>
    </row>
    <row r="1540">
      <c r="A1540" s="13" t="str">
        <f>IFERROR(__xludf.DUMMYFUNCTION("""COMPUTED_VALUE"""),"товари")</f>
        <v>товари</v>
      </c>
      <c r="B1540" s="16" t="str">
        <f>IFERROR(__xludf.DUMMYFUNCTION("""COMPUTED_VALUE"""),"інструменти")</f>
        <v>інструменти</v>
      </c>
      <c r="C1540" s="16" t="str">
        <f>IFERROR(__xludf.DUMMYFUNCTION("""COMPUTED_VALUE"""),"оснащення для інструменту")</f>
        <v>оснащення для інструменту</v>
      </c>
      <c r="D1540" s="16" t="str">
        <f>IFERROR(__xludf.DUMMYFUNCTION("""COMPUTED_VALUE"""),"викруткові біти")</f>
        <v>викруткові біти</v>
      </c>
      <c r="E1540" s="16" t="str">
        <f>IFERROR(__xludf.DUMMYFUNCTION("""COMPUTED_VALUE"""),"викруткові біти")</f>
        <v>викруткові біти</v>
      </c>
      <c r="F1540" s="17">
        <f>IFERROR(__xludf.DUMMYFUNCTION("""COMPUTED_VALUE"""),3.0)</f>
        <v>3</v>
      </c>
      <c r="G1540" s="17" t="str">
        <f>IFERROR(__xludf.DUMMYFUNCTION("""COMPUTED_VALUE"""),"141702")</f>
        <v>141702</v>
      </c>
      <c r="H1540" s="17" t="str">
        <f>IFERROR(__xludf.DUMMYFUNCTION("""COMPUTED_VALUE"""),"викруткові біти")</f>
        <v>викруткові біти</v>
      </c>
      <c r="I1540" s="19">
        <f>IFERROR(__xludf.DUMMYFUNCTION("""COMPUTED_VALUE"""),0.0751)</f>
        <v>0.0751</v>
      </c>
      <c r="J1540" s="19">
        <f>IFERROR(__xludf.DUMMYFUNCTION("""COMPUTED_VALUE"""),0.1501)</f>
        <v>0.1501</v>
      </c>
      <c r="K1540" s="19">
        <f>IFERROR(__xludf.DUMMYFUNCTION("""COMPUTED_VALUE"""),0.1876)</f>
        <v>0.1876</v>
      </c>
      <c r="L1540" s="19">
        <f>IFERROR(__xludf.DUMMYFUNCTION("""COMPUTED_VALUE"""),0.2252)</f>
        <v>0.2252</v>
      </c>
      <c r="M1540" s="18">
        <f>IFERROR(__xludf.DUMMYFUNCTION("""COMPUTED_VALUE"""),1.63)</f>
        <v>1.63</v>
      </c>
    </row>
    <row r="1541">
      <c r="A1541" s="13" t="str">
        <f>IFERROR(__xludf.DUMMYFUNCTION("""COMPUTED_VALUE"""),"товари")</f>
        <v>товари</v>
      </c>
      <c r="B1541" s="16" t="str">
        <f>IFERROR(__xludf.DUMMYFUNCTION("""COMPUTED_VALUE"""),"інструменти")</f>
        <v>інструменти</v>
      </c>
      <c r="C1541" s="16" t="str">
        <f>IFERROR(__xludf.DUMMYFUNCTION("""COMPUTED_VALUE"""),"будівельний інструмент")</f>
        <v>будівельний інструмент</v>
      </c>
      <c r="D1541" s="16" t="str">
        <f>IFERROR(__xludf.DUMMYFUNCTION("""COMPUTED_VALUE"""),"будівельний вимірювальний інструмент")</f>
        <v>будівельний вимірювальний інструмент</v>
      </c>
      <c r="E1541" s="16" t="str">
        <f>IFERROR(__xludf.DUMMYFUNCTION("""COMPUTED_VALUE"""),"вимірювальні лінійки, косинці")</f>
        <v>вимірювальні лінійки, косинці</v>
      </c>
      <c r="F1541" s="17">
        <f>IFERROR(__xludf.DUMMYFUNCTION("""COMPUTED_VALUE"""),4.0)</f>
        <v>4</v>
      </c>
      <c r="G1541" s="17" t="str">
        <f>IFERROR(__xludf.DUMMYFUNCTION("""COMPUTED_VALUE"""),"14201632")</f>
        <v>14201632</v>
      </c>
      <c r="H1541" s="17" t="str">
        <f>IFERROR(__xludf.DUMMYFUNCTION("""COMPUTED_VALUE"""),"вимірювальні лінійки, косинці")</f>
        <v>вимірювальні лінійки, косинці</v>
      </c>
      <c r="I1541" s="19">
        <f>IFERROR(__xludf.DUMMYFUNCTION("""COMPUTED_VALUE"""),0.0756)</f>
        <v>0.0756</v>
      </c>
      <c r="J1541" s="19">
        <f>IFERROR(__xludf.DUMMYFUNCTION("""COMPUTED_VALUE"""),0.1511)</f>
        <v>0.1511</v>
      </c>
      <c r="K1541" s="19">
        <f>IFERROR(__xludf.DUMMYFUNCTION("""COMPUTED_VALUE"""),0.1889)</f>
        <v>0.1889</v>
      </c>
      <c r="L1541" s="19">
        <f>IFERROR(__xludf.DUMMYFUNCTION("""COMPUTED_VALUE"""),0.2267)</f>
        <v>0.2267</v>
      </c>
      <c r="M1541" s="18">
        <f>IFERROR(__xludf.DUMMYFUNCTION("""COMPUTED_VALUE"""),1.71)</f>
        <v>1.71</v>
      </c>
    </row>
    <row r="1542">
      <c r="A1542" s="13" t="str">
        <f>IFERROR(__xludf.DUMMYFUNCTION("""COMPUTED_VALUE"""),"товари")</f>
        <v>товари</v>
      </c>
      <c r="B1542" s="16" t="str">
        <f>IFERROR(__xludf.DUMMYFUNCTION("""COMPUTED_VALUE"""),"інструменти")</f>
        <v>інструменти</v>
      </c>
      <c r="C1542" s="16" t="str">
        <f>IFERROR(__xludf.DUMMYFUNCTION("""COMPUTED_VALUE"""),"будівельний інструмент")</f>
        <v>будівельний інструмент</v>
      </c>
      <c r="D1542" s="16" t="str">
        <f>IFERROR(__xludf.DUMMYFUNCTION("""COMPUTED_VALUE"""),"будівельний вимірювальний інструмент")</f>
        <v>будівельний вимірювальний інструмент</v>
      </c>
      <c r="E1542" s="16" t="str">
        <f>IFERROR(__xludf.DUMMYFUNCTION("""COMPUTED_VALUE"""),"вимірювальні рулетки")</f>
        <v>вимірювальні рулетки</v>
      </c>
      <c r="F1542" s="17">
        <f>IFERROR(__xludf.DUMMYFUNCTION("""COMPUTED_VALUE"""),4.0)</f>
        <v>4</v>
      </c>
      <c r="G1542" s="17" t="str">
        <f>IFERROR(__xludf.DUMMYFUNCTION("""COMPUTED_VALUE"""),"14200604")</f>
        <v>14200604</v>
      </c>
      <c r="H1542" s="17" t="str">
        <f>IFERROR(__xludf.DUMMYFUNCTION("""COMPUTED_VALUE"""),"вимірювальні рулетки")</f>
        <v>вимірювальні рулетки</v>
      </c>
      <c r="I1542" s="19">
        <f>IFERROR(__xludf.DUMMYFUNCTION("""COMPUTED_VALUE"""),0.0759)</f>
        <v>0.0759</v>
      </c>
      <c r="J1542" s="19">
        <f>IFERROR(__xludf.DUMMYFUNCTION("""COMPUTED_VALUE"""),0.1517)</f>
        <v>0.1517</v>
      </c>
      <c r="K1542" s="19">
        <f>IFERROR(__xludf.DUMMYFUNCTION("""COMPUTED_VALUE"""),0.1896)</f>
        <v>0.1896</v>
      </c>
      <c r="L1542" s="19">
        <f>IFERROR(__xludf.DUMMYFUNCTION("""COMPUTED_VALUE"""),0.2276)</f>
        <v>0.2276</v>
      </c>
      <c r="M1542" s="18">
        <f>IFERROR(__xludf.DUMMYFUNCTION("""COMPUTED_VALUE"""),1.71)</f>
        <v>1.71</v>
      </c>
    </row>
    <row r="1543">
      <c r="A1543" s="13" t="str">
        <f>IFERROR(__xludf.DUMMYFUNCTION("""COMPUTED_VALUE"""),"товари")</f>
        <v>товари</v>
      </c>
      <c r="B1543" s="16" t="str">
        <f>IFERROR(__xludf.DUMMYFUNCTION("""COMPUTED_VALUE"""),"інструменти")</f>
        <v>інструменти</v>
      </c>
      <c r="C1543" s="16" t="str">
        <f>IFERROR(__xludf.DUMMYFUNCTION("""COMPUTED_VALUE"""),"оснащення для інструменту")</f>
        <v>оснащення для інструменту</v>
      </c>
      <c r="D1543" s="16" t="str">
        <f>IFERROR(__xludf.DUMMYFUNCTION("""COMPUTED_VALUE"""),"відрізні, зачисні, шліфувальні, пильні круги")</f>
        <v>відрізні, зачисні, шліфувальні, пильні круги</v>
      </c>
      <c r="E1543" s="16" t="str">
        <f>IFERROR(__xludf.DUMMYFUNCTION("""COMPUTED_VALUE"""),"відрізні, зачисні, шліфувальні, пильні круги")</f>
        <v>відрізні, зачисні, шліфувальні, пильні круги</v>
      </c>
      <c r="F1543" s="17">
        <f>IFERROR(__xludf.DUMMYFUNCTION("""COMPUTED_VALUE"""),3.0)</f>
        <v>3</v>
      </c>
      <c r="G1543" s="17" t="str">
        <f>IFERROR(__xludf.DUMMYFUNCTION("""COMPUTED_VALUE"""),"14201509")</f>
        <v>14201509</v>
      </c>
      <c r="H1543" s="17" t="str">
        <f>IFERROR(__xludf.DUMMYFUNCTION("""COMPUTED_VALUE"""),"відрізні, зачисні, шліфувальні, пильні круги")</f>
        <v>відрізні, зачисні, шліфувальні, пильні круги</v>
      </c>
      <c r="I1543" s="19">
        <f>IFERROR(__xludf.DUMMYFUNCTION("""COMPUTED_VALUE"""),0.0771)</f>
        <v>0.0771</v>
      </c>
      <c r="J1543" s="19">
        <f>IFERROR(__xludf.DUMMYFUNCTION("""COMPUTED_VALUE"""),0.1542)</f>
        <v>0.1542</v>
      </c>
      <c r="K1543" s="19">
        <f>IFERROR(__xludf.DUMMYFUNCTION("""COMPUTED_VALUE"""),0.1928)</f>
        <v>0.1928</v>
      </c>
      <c r="L1543" s="19">
        <f>IFERROR(__xludf.DUMMYFUNCTION("""COMPUTED_VALUE"""),0.2313)</f>
        <v>0.2313</v>
      </c>
      <c r="M1543" s="18">
        <f>IFERROR(__xludf.DUMMYFUNCTION("""COMPUTED_VALUE"""),2.61)</f>
        <v>2.61</v>
      </c>
    </row>
    <row r="1544">
      <c r="A1544" s="13" t="str">
        <f>IFERROR(__xludf.DUMMYFUNCTION("""COMPUTED_VALUE"""),"товари")</f>
        <v>товари</v>
      </c>
      <c r="B1544" s="16" t="str">
        <f>IFERROR(__xludf.DUMMYFUNCTION("""COMPUTED_VALUE"""),"інструменти")</f>
        <v>інструменти</v>
      </c>
      <c r="C1544" s="16" t="str">
        <f>IFERROR(__xludf.DUMMYFUNCTION("""COMPUTED_VALUE"""),"ручний інструмент")</f>
        <v>ручний інструмент</v>
      </c>
      <c r="D1544" s="16" t="str">
        <f>IFERROR(__xludf.DUMMYFUNCTION("""COMPUTED_VALUE"""),"воротки, тріскачки")</f>
        <v>воротки, тріскачки</v>
      </c>
      <c r="E1544" s="16" t="str">
        <f>IFERROR(__xludf.DUMMYFUNCTION("""COMPUTED_VALUE"""),"воротки, тріскачки")</f>
        <v>воротки, тріскачки</v>
      </c>
      <c r="F1544" s="17">
        <f>IFERROR(__xludf.DUMMYFUNCTION("""COMPUTED_VALUE"""),3.0)</f>
        <v>3</v>
      </c>
      <c r="G1544" s="17" t="str">
        <f>IFERROR(__xludf.DUMMYFUNCTION("""COMPUTED_VALUE"""),"14200334")</f>
        <v>14200334</v>
      </c>
      <c r="H1544" s="17" t="str">
        <f>IFERROR(__xludf.DUMMYFUNCTION("""COMPUTED_VALUE"""),"воротки, тріскачки")</f>
        <v>воротки, тріскачки</v>
      </c>
      <c r="I1544" s="19">
        <f>IFERROR(__xludf.DUMMYFUNCTION("""COMPUTED_VALUE"""),0.0746)</f>
        <v>0.0746</v>
      </c>
      <c r="J1544" s="19">
        <f>IFERROR(__xludf.DUMMYFUNCTION("""COMPUTED_VALUE"""),0.1492)</f>
        <v>0.1492</v>
      </c>
      <c r="K1544" s="19">
        <f>IFERROR(__xludf.DUMMYFUNCTION("""COMPUTED_VALUE"""),0.1865)</f>
        <v>0.1865</v>
      </c>
      <c r="L1544" s="19">
        <f>IFERROR(__xludf.DUMMYFUNCTION("""COMPUTED_VALUE"""),0.2238)</f>
        <v>0.2238</v>
      </c>
      <c r="M1544" s="18">
        <f>IFERROR(__xludf.DUMMYFUNCTION("""COMPUTED_VALUE"""),1.05)</f>
        <v>1.05</v>
      </c>
    </row>
    <row r="1545">
      <c r="A1545" s="13" t="str">
        <f>IFERROR(__xludf.DUMMYFUNCTION("""COMPUTED_VALUE"""),"товари")</f>
        <v>товари</v>
      </c>
      <c r="B1545" s="16" t="str">
        <f>IFERROR(__xludf.DUMMYFUNCTION("""COMPUTED_VALUE"""),"інструменти")</f>
        <v>інструменти</v>
      </c>
      <c r="C1545" s="16" t="str">
        <f>IFERROR(__xludf.DUMMYFUNCTION("""COMPUTED_VALUE"""),"гідравлічний інструмент")</f>
        <v>гідравлічний інструмент</v>
      </c>
      <c r="D1545" s="16" t="str">
        <f>IFERROR(__xludf.DUMMYFUNCTION("""COMPUTED_VALUE"""),"гідравлічний інструмент, загальне")</f>
        <v>гідравлічний інструмент, загальне</v>
      </c>
      <c r="E1545" s="16" t="str">
        <f>IFERROR(__xludf.DUMMYFUNCTION("""COMPUTED_VALUE"""),"гідравлічний інструмент, загальне")</f>
        <v>гідравлічний інструмент, загальне</v>
      </c>
      <c r="F1545" s="17">
        <f>IFERROR(__xludf.DUMMYFUNCTION("""COMPUTED_VALUE"""),3.0)</f>
        <v>3</v>
      </c>
      <c r="G1545" s="17" t="str">
        <f>IFERROR(__xludf.DUMMYFUNCTION("""COMPUTED_VALUE"""),"14200999")</f>
        <v>14200999</v>
      </c>
      <c r="H1545" s="17" t="str">
        <f>IFERROR(__xludf.DUMMYFUNCTION("""COMPUTED_VALUE"""),"гідравлічний інструмент, загальне")</f>
        <v>гідравлічний інструмент, загальне</v>
      </c>
      <c r="I1545" s="19">
        <f>IFERROR(__xludf.DUMMYFUNCTION("""COMPUTED_VALUE"""),0.125)</f>
        <v>0.125</v>
      </c>
      <c r="J1545" s="19">
        <f>IFERROR(__xludf.DUMMYFUNCTION("""COMPUTED_VALUE"""),0.25)</f>
        <v>0.25</v>
      </c>
      <c r="K1545" s="19">
        <f>IFERROR(__xludf.DUMMYFUNCTION("""COMPUTED_VALUE"""),0.3125)</f>
        <v>0.3125</v>
      </c>
      <c r="L1545" s="19">
        <f>IFERROR(__xludf.DUMMYFUNCTION("""COMPUTED_VALUE"""),0.375)</f>
        <v>0.375</v>
      </c>
      <c r="M1545" s="18">
        <f>IFERROR(__xludf.DUMMYFUNCTION("""COMPUTED_VALUE"""),4.33)</f>
        <v>4.33</v>
      </c>
    </row>
    <row r="1546">
      <c r="A1546" s="13" t="str">
        <f>IFERROR(__xludf.DUMMYFUNCTION("""COMPUTED_VALUE"""),"товари")</f>
        <v>товари</v>
      </c>
      <c r="B1546" s="16" t="str">
        <f>IFERROR(__xludf.DUMMYFUNCTION("""COMPUTED_VALUE"""),"інструменти")</f>
        <v>інструменти</v>
      </c>
      <c r="C1546" s="16" t="str">
        <f>IFERROR(__xludf.DUMMYFUNCTION("""COMPUTED_VALUE"""),"гідравлічний інструмент")</f>
        <v>гідравлічний інструмент</v>
      </c>
      <c r="D1546" s="16" t="str">
        <f>IFERROR(__xludf.DUMMYFUNCTION("""COMPUTED_VALUE"""),"гідравлічні знімачі")</f>
        <v>гідравлічні знімачі</v>
      </c>
      <c r="E1546" s="16" t="str">
        <f>IFERROR(__xludf.DUMMYFUNCTION("""COMPUTED_VALUE"""),"гідравлічні знімачі")</f>
        <v>гідравлічні знімачі</v>
      </c>
      <c r="F1546" s="17">
        <f>IFERROR(__xludf.DUMMYFUNCTION("""COMPUTED_VALUE"""),3.0)</f>
        <v>3</v>
      </c>
      <c r="G1546" s="17" t="str">
        <f>IFERROR(__xludf.DUMMYFUNCTION("""COMPUTED_VALUE"""),"14200906")</f>
        <v>14200906</v>
      </c>
      <c r="H1546" s="17" t="str">
        <f>IFERROR(__xludf.DUMMYFUNCTION("""COMPUTED_VALUE"""),"гідравлічні знімачі")</f>
        <v>гідравлічні знімачі</v>
      </c>
      <c r="I1546" s="19">
        <f>IFERROR(__xludf.DUMMYFUNCTION("""COMPUTED_VALUE"""),0.0678)</f>
        <v>0.0678</v>
      </c>
      <c r="J1546" s="19">
        <f>IFERROR(__xludf.DUMMYFUNCTION("""COMPUTED_VALUE"""),0.1355)</f>
        <v>0.1355</v>
      </c>
      <c r="K1546" s="19">
        <f>IFERROR(__xludf.DUMMYFUNCTION("""COMPUTED_VALUE"""),0.1694)</f>
        <v>0.1694</v>
      </c>
      <c r="L1546" s="19">
        <f>IFERROR(__xludf.DUMMYFUNCTION("""COMPUTED_VALUE"""),0.2033)</f>
        <v>0.2033</v>
      </c>
      <c r="M1546" s="18">
        <f>IFERROR(__xludf.DUMMYFUNCTION("""COMPUTED_VALUE"""),3.98)</f>
        <v>3.98</v>
      </c>
    </row>
    <row r="1547">
      <c r="A1547" s="13" t="str">
        <f>IFERROR(__xludf.DUMMYFUNCTION("""COMPUTED_VALUE"""),"товари")</f>
        <v>товари</v>
      </c>
      <c r="B1547" s="16" t="str">
        <f>IFERROR(__xludf.DUMMYFUNCTION("""COMPUTED_VALUE"""),"інструменти")</f>
        <v>інструменти</v>
      </c>
      <c r="C1547" s="16" t="str">
        <f>IFERROR(__xludf.DUMMYFUNCTION("""COMPUTED_VALUE"""),"гідравлічний інструмент")</f>
        <v>гідравлічний інструмент</v>
      </c>
      <c r="D1547" s="16" t="str">
        <f>IFERROR(__xludf.DUMMYFUNCTION("""COMPUTED_VALUE"""),"гідравлічні розтяжки")</f>
        <v>гідравлічні розтяжки</v>
      </c>
      <c r="E1547" s="16" t="str">
        <f>IFERROR(__xludf.DUMMYFUNCTION("""COMPUTED_VALUE"""),"гідравлічні розтяжки")</f>
        <v>гідравлічні розтяжки</v>
      </c>
      <c r="F1547" s="17">
        <f>IFERROR(__xludf.DUMMYFUNCTION("""COMPUTED_VALUE"""),3.0)</f>
        <v>3</v>
      </c>
      <c r="G1547" s="17" t="str">
        <f>IFERROR(__xludf.DUMMYFUNCTION("""COMPUTED_VALUE"""),"14200907")</f>
        <v>14200907</v>
      </c>
      <c r="H1547" s="17" t="str">
        <f>IFERROR(__xludf.DUMMYFUNCTION("""COMPUTED_VALUE"""),"гідравлічні розтяжки")</f>
        <v>гідравлічні розтяжки</v>
      </c>
      <c r="I1547" s="19">
        <f>IFERROR(__xludf.DUMMYFUNCTION("""COMPUTED_VALUE"""),0.0532)</f>
        <v>0.0532</v>
      </c>
      <c r="J1547" s="19">
        <f>IFERROR(__xludf.DUMMYFUNCTION("""COMPUTED_VALUE"""),0.1063)</f>
        <v>0.1063</v>
      </c>
      <c r="K1547" s="19">
        <f>IFERROR(__xludf.DUMMYFUNCTION("""COMPUTED_VALUE"""),0.1329)</f>
        <v>0.1329</v>
      </c>
      <c r="L1547" s="19">
        <f>IFERROR(__xludf.DUMMYFUNCTION("""COMPUTED_VALUE"""),0.1595)</f>
        <v>0.1595</v>
      </c>
      <c r="M1547" s="18">
        <f>IFERROR(__xludf.DUMMYFUNCTION("""COMPUTED_VALUE"""),3.06)</f>
        <v>3.06</v>
      </c>
    </row>
    <row r="1548">
      <c r="A1548" s="13" t="str">
        <f>IFERROR(__xludf.DUMMYFUNCTION("""COMPUTED_VALUE"""),"товари")</f>
        <v>товари</v>
      </c>
      <c r="B1548" s="16" t="str">
        <f>IFERROR(__xludf.DUMMYFUNCTION("""COMPUTED_VALUE"""),"інструменти")</f>
        <v>інструменти</v>
      </c>
      <c r="C1548" s="16" t="str">
        <f>IFERROR(__xludf.DUMMYFUNCTION("""COMPUTED_VALUE"""),"гідравлічний інструмент")</f>
        <v>гідравлічний інструмент</v>
      </c>
      <c r="D1548" s="16" t="str">
        <f>IFERROR(__xludf.DUMMYFUNCTION("""COMPUTED_VALUE"""),"гідравлічні ручні насоси")</f>
        <v>гідравлічні ручні насоси</v>
      </c>
      <c r="E1548" s="16" t="str">
        <f>IFERROR(__xludf.DUMMYFUNCTION("""COMPUTED_VALUE"""),"гідравлічні ручні насоси")</f>
        <v>гідравлічні ручні насоси</v>
      </c>
      <c r="F1548" s="17">
        <f>IFERROR(__xludf.DUMMYFUNCTION("""COMPUTED_VALUE"""),3.0)</f>
        <v>3</v>
      </c>
      <c r="G1548" s="17">
        <f>IFERROR(__xludf.DUMMYFUNCTION("""COMPUTED_VALUE"""),1.4200908E7)</f>
        <v>14200908</v>
      </c>
      <c r="H1548" s="17" t="str">
        <f>IFERROR(__xludf.DUMMYFUNCTION("""COMPUTED_VALUE"""),"гідравлічні ручні насоси")</f>
        <v>гідравлічні ручні насоси</v>
      </c>
      <c r="I1548" s="19">
        <f>IFERROR(__xludf.DUMMYFUNCTION("""COMPUTED_VALUE"""),0.0648)</f>
        <v>0.0648</v>
      </c>
      <c r="J1548" s="19">
        <f>IFERROR(__xludf.DUMMYFUNCTION("""COMPUTED_VALUE"""),0.1296)</f>
        <v>0.1296</v>
      </c>
      <c r="K1548" s="19">
        <f>IFERROR(__xludf.DUMMYFUNCTION("""COMPUTED_VALUE"""),0.162)</f>
        <v>0.162</v>
      </c>
      <c r="L1548" s="19">
        <f>IFERROR(__xludf.DUMMYFUNCTION("""COMPUTED_VALUE"""),0.1944)</f>
        <v>0.1944</v>
      </c>
      <c r="M1548" s="18">
        <f>IFERROR(__xludf.DUMMYFUNCTION("""COMPUTED_VALUE"""),1.53)</f>
        <v>1.53</v>
      </c>
    </row>
    <row r="1549">
      <c r="A1549" s="13" t="str">
        <f>IFERROR(__xludf.DUMMYFUNCTION("""COMPUTED_VALUE"""),"товари")</f>
        <v>товари</v>
      </c>
      <c r="B1549" s="16" t="str">
        <f>IFERROR(__xludf.DUMMYFUNCTION("""COMPUTED_VALUE"""),"інструменти")</f>
        <v>інструменти</v>
      </c>
      <c r="C1549" s="16" t="str">
        <f>IFERROR(__xludf.DUMMYFUNCTION("""COMPUTED_VALUE"""),"гідравлічний інструмент")</f>
        <v>гідравлічний інструмент</v>
      </c>
      <c r="D1549" s="16" t="str">
        <f>IFERROR(__xludf.DUMMYFUNCTION("""COMPUTED_VALUE"""),"гідравлічні ручні преси")</f>
        <v>гідравлічні ручні преси</v>
      </c>
      <c r="E1549" s="16" t="str">
        <f>IFERROR(__xludf.DUMMYFUNCTION("""COMPUTED_VALUE"""),"гідравлічні ручні преси")</f>
        <v>гідравлічні ручні преси</v>
      </c>
      <c r="F1549" s="17">
        <f>IFERROR(__xludf.DUMMYFUNCTION("""COMPUTED_VALUE"""),3.0)</f>
        <v>3</v>
      </c>
      <c r="G1549" s="17" t="str">
        <f>IFERROR(__xludf.DUMMYFUNCTION("""COMPUTED_VALUE"""),"14200909")</f>
        <v>14200909</v>
      </c>
      <c r="H1549" s="17" t="str">
        <f>IFERROR(__xludf.DUMMYFUNCTION("""COMPUTED_VALUE"""),"гідравлічні ручні преси")</f>
        <v>гідравлічні ручні преси</v>
      </c>
      <c r="I1549" s="19">
        <f>IFERROR(__xludf.DUMMYFUNCTION("""COMPUTED_VALUE"""),0.044)</f>
        <v>0.044</v>
      </c>
      <c r="J1549" s="19">
        <f>IFERROR(__xludf.DUMMYFUNCTION("""COMPUTED_VALUE"""),0.088)</f>
        <v>0.088</v>
      </c>
      <c r="K1549" s="19">
        <f>IFERROR(__xludf.DUMMYFUNCTION("""COMPUTED_VALUE"""),0.11)</f>
        <v>0.11</v>
      </c>
      <c r="L1549" s="19">
        <f>IFERROR(__xludf.DUMMYFUNCTION("""COMPUTED_VALUE"""),0.132)</f>
        <v>0.132</v>
      </c>
      <c r="M1549" s="18">
        <f>IFERROR(__xludf.DUMMYFUNCTION("""COMPUTED_VALUE"""),2.79)</f>
        <v>2.79</v>
      </c>
    </row>
    <row r="1550">
      <c r="A1550" s="13" t="str">
        <f>IFERROR(__xludf.DUMMYFUNCTION("""COMPUTED_VALUE"""),"товари")</f>
        <v>товари</v>
      </c>
      <c r="B1550" s="16" t="str">
        <f>IFERROR(__xludf.DUMMYFUNCTION("""COMPUTED_VALUE"""),"інструменти")</f>
        <v>інструменти</v>
      </c>
      <c r="C1550" s="16" t="str">
        <f>IFERROR(__xludf.DUMMYFUNCTION("""COMPUTED_VALUE"""),"дереворізальний інструмент")</f>
        <v>дереворізальний інструмент</v>
      </c>
      <c r="D1550" s="16" t="str">
        <f>IFERROR(__xludf.DUMMYFUNCTION("""COMPUTED_VALUE"""),"дереворізальний інструмент, загальне")</f>
        <v>дереворізальний інструмент, загальне</v>
      </c>
      <c r="E1550" s="16" t="str">
        <f>IFERROR(__xludf.DUMMYFUNCTION("""COMPUTED_VALUE"""),"дереворізальний інструмент, загальне")</f>
        <v>дереворізальний інструмент, загальне</v>
      </c>
      <c r="F1550" s="17">
        <f>IFERROR(__xludf.DUMMYFUNCTION("""COMPUTED_VALUE"""),3.0)</f>
        <v>3</v>
      </c>
      <c r="G1550" s="17" t="str">
        <f>IFERROR(__xludf.DUMMYFUNCTION("""COMPUTED_VALUE"""),"14201402")</f>
        <v>14201402</v>
      </c>
      <c r="H1550" s="17" t="str">
        <f>IFERROR(__xludf.DUMMYFUNCTION("""COMPUTED_VALUE"""),"дереворізальний інструмент, загальне")</f>
        <v>дереворізальний інструмент, загальне</v>
      </c>
      <c r="I1550" s="19">
        <f>IFERROR(__xludf.DUMMYFUNCTION("""COMPUTED_VALUE"""),0.125)</f>
        <v>0.125</v>
      </c>
      <c r="J1550" s="19">
        <f>IFERROR(__xludf.DUMMYFUNCTION("""COMPUTED_VALUE"""),0.25)</f>
        <v>0.25</v>
      </c>
      <c r="K1550" s="19">
        <f>IFERROR(__xludf.DUMMYFUNCTION("""COMPUTED_VALUE"""),0.3125)</f>
        <v>0.3125</v>
      </c>
      <c r="L1550" s="19">
        <f>IFERROR(__xludf.DUMMYFUNCTION("""COMPUTED_VALUE"""),0.375)</f>
        <v>0.375</v>
      </c>
      <c r="M1550" s="18">
        <f>IFERROR(__xludf.DUMMYFUNCTION("""COMPUTED_VALUE"""),4.33)</f>
        <v>4.33</v>
      </c>
    </row>
    <row r="1551">
      <c r="A1551" s="13" t="str">
        <f>IFERROR(__xludf.DUMMYFUNCTION("""COMPUTED_VALUE"""),"товари")</f>
        <v>товари</v>
      </c>
      <c r="B1551" s="16" t="str">
        <f>IFERROR(__xludf.DUMMYFUNCTION("""COMPUTED_VALUE"""),"інструменти")</f>
        <v>інструменти</v>
      </c>
      <c r="C1551" s="16" t="str">
        <f>IFERROR(__xludf.DUMMYFUNCTION("""COMPUTED_VALUE"""),"ручний інструмент")</f>
        <v>ручний інструмент</v>
      </c>
      <c r="D1551" s="16" t="str">
        <f>IFERROR(__xludf.DUMMYFUNCTION("""COMPUTED_VALUE"""),"ключі")</f>
        <v>ключі</v>
      </c>
      <c r="E1551" s="16" t="str">
        <f>IFERROR(__xludf.DUMMYFUNCTION("""COMPUTED_VALUE"""),"динамометричні ключі")</f>
        <v>динамометричні ключі</v>
      </c>
      <c r="F1551" s="17">
        <f>IFERROR(__xludf.DUMMYFUNCTION("""COMPUTED_VALUE"""),4.0)</f>
        <v>4</v>
      </c>
      <c r="G1551" s="17" t="str">
        <f>IFERROR(__xludf.DUMMYFUNCTION("""COMPUTED_VALUE"""),"14200330")</f>
        <v>14200330</v>
      </c>
      <c r="H1551" s="17" t="str">
        <f>IFERROR(__xludf.DUMMYFUNCTION("""COMPUTED_VALUE"""),"динамометричні ключі")</f>
        <v>динамометричні ключі</v>
      </c>
      <c r="I1551" s="19">
        <f>IFERROR(__xludf.DUMMYFUNCTION("""COMPUTED_VALUE"""),0.0767)</f>
        <v>0.0767</v>
      </c>
      <c r="J1551" s="19">
        <f>IFERROR(__xludf.DUMMYFUNCTION("""COMPUTED_VALUE"""),0.1534)</f>
        <v>0.1534</v>
      </c>
      <c r="K1551" s="19">
        <f>IFERROR(__xludf.DUMMYFUNCTION("""COMPUTED_VALUE"""),0.1918)</f>
        <v>0.1918</v>
      </c>
      <c r="L1551" s="19">
        <f>IFERROR(__xludf.DUMMYFUNCTION("""COMPUTED_VALUE"""),0.2301)</f>
        <v>0.2301</v>
      </c>
      <c r="M1551" s="18">
        <f>IFERROR(__xludf.DUMMYFUNCTION("""COMPUTED_VALUE"""),1.53)</f>
        <v>1.53</v>
      </c>
    </row>
    <row r="1552">
      <c r="A1552" s="13" t="str">
        <f>IFERROR(__xludf.DUMMYFUNCTION("""COMPUTED_VALUE"""),"товари")</f>
        <v>товари</v>
      </c>
      <c r="B1552" s="16" t="str">
        <f>IFERROR(__xludf.DUMMYFUNCTION("""COMPUTED_VALUE"""),"інструменти")</f>
        <v>інструменти</v>
      </c>
      <c r="C1552" s="16" t="str">
        <f>IFERROR(__xludf.DUMMYFUNCTION("""COMPUTED_VALUE"""),"електроінструмент")</f>
        <v>електроінструмент</v>
      </c>
      <c r="D1552" s="16" t="str">
        <f>IFERROR(__xludf.DUMMYFUNCTION("""COMPUTED_VALUE"""),"діамантове свердлильне обладнання та комплектуючі")</f>
        <v>діамантове свердлильне обладнання та комплектуючі</v>
      </c>
      <c r="E1552" s="16" t="str">
        <f>IFERROR(__xludf.DUMMYFUNCTION("""COMPUTED_VALUE"""),"діамантове свердлильне обладнання та комплектуючі")</f>
        <v>діамантове свердлильне обладнання та комплектуючі</v>
      </c>
      <c r="F1552" s="17">
        <f>IFERROR(__xludf.DUMMYFUNCTION("""COMPUTED_VALUE"""),3.0)</f>
        <v>3</v>
      </c>
      <c r="G1552" s="17" t="str">
        <f>IFERROR(__xludf.DUMMYFUNCTION("""COMPUTED_VALUE"""),"141701")</f>
        <v>141701</v>
      </c>
      <c r="H1552" s="17" t="str">
        <f>IFERROR(__xludf.DUMMYFUNCTION("""COMPUTED_VALUE"""),"діамантове свердлильне обладнання та комплектуючі")</f>
        <v>діамантове свердлильне обладнання та комплектуючі</v>
      </c>
      <c r="I1552" s="19">
        <f>IFERROR(__xludf.DUMMYFUNCTION("""COMPUTED_VALUE"""),0.0457)</f>
        <v>0.0457</v>
      </c>
      <c r="J1552" s="19">
        <f>IFERROR(__xludf.DUMMYFUNCTION("""COMPUTED_VALUE"""),0.0913)</f>
        <v>0.0913</v>
      </c>
      <c r="K1552" s="19">
        <f>IFERROR(__xludf.DUMMYFUNCTION("""COMPUTED_VALUE"""),0.1141)</f>
        <v>0.1141</v>
      </c>
      <c r="L1552" s="19">
        <f>IFERROR(__xludf.DUMMYFUNCTION("""COMPUTED_VALUE"""),0.137)</f>
        <v>0.137</v>
      </c>
      <c r="M1552" s="18">
        <f>IFERROR(__xludf.DUMMYFUNCTION("""COMPUTED_VALUE"""),2.88)</f>
        <v>2.88</v>
      </c>
    </row>
    <row r="1553">
      <c r="A1553" s="13" t="str">
        <f>IFERROR(__xludf.DUMMYFUNCTION("""COMPUTED_VALUE"""),"товари")</f>
        <v>товари</v>
      </c>
      <c r="B1553" s="16" t="str">
        <f>IFERROR(__xludf.DUMMYFUNCTION("""COMPUTED_VALUE"""),"інструменти")</f>
        <v>інструменти</v>
      </c>
      <c r="C1553" s="16" t="str">
        <f>IFERROR(__xludf.DUMMYFUNCTION("""COMPUTED_VALUE"""),"електроінструмент")</f>
        <v>електроінструмент</v>
      </c>
      <c r="D1553" s="16" t="str">
        <f>IFERROR(__xludf.DUMMYFUNCTION("""COMPUTED_VALUE"""),"дрилі, шуруповерти")</f>
        <v>дрилі, шуруповерти</v>
      </c>
      <c r="E1553" s="16" t="str">
        <f>IFERROR(__xludf.DUMMYFUNCTION("""COMPUTED_VALUE"""),"дрилі, шуруповерти")</f>
        <v>дрилі, шуруповерти</v>
      </c>
      <c r="F1553" s="17">
        <f>IFERROR(__xludf.DUMMYFUNCTION("""COMPUTED_VALUE"""),3.0)</f>
        <v>3</v>
      </c>
      <c r="G1553" s="17" t="str">
        <f>IFERROR(__xludf.DUMMYFUNCTION("""COMPUTED_VALUE"""),"141711")</f>
        <v>141711</v>
      </c>
      <c r="H1553" s="17" t="str">
        <f>IFERROR(__xludf.DUMMYFUNCTION("""COMPUTED_VALUE"""),"дрилі, шуруповерти")</f>
        <v>дрилі, шуруповерти</v>
      </c>
      <c r="I1553" s="19">
        <f>IFERROR(__xludf.DUMMYFUNCTION("""COMPUTED_VALUE"""),0.0559)</f>
        <v>0.0559</v>
      </c>
      <c r="J1553" s="19">
        <f>IFERROR(__xludf.DUMMYFUNCTION("""COMPUTED_VALUE"""),0.1118)</f>
        <v>0.1118</v>
      </c>
      <c r="K1553" s="19">
        <f>IFERROR(__xludf.DUMMYFUNCTION("""COMPUTED_VALUE"""),0.1398)</f>
        <v>0.1398</v>
      </c>
      <c r="L1553" s="19">
        <f>IFERROR(__xludf.DUMMYFUNCTION("""COMPUTED_VALUE"""),0.1677)</f>
        <v>0.1677</v>
      </c>
      <c r="M1553" s="18">
        <f>IFERROR(__xludf.DUMMYFUNCTION("""COMPUTED_VALUE"""),3.69)</f>
        <v>3.69</v>
      </c>
    </row>
    <row r="1554">
      <c r="A1554" s="13" t="str">
        <f>IFERROR(__xludf.DUMMYFUNCTION("""COMPUTED_VALUE"""),"товари")</f>
        <v>товари</v>
      </c>
      <c r="B1554" s="16" t="str">
        <f>IFERROR(__xludf.DUMMYFUNCTION("""COMPUTED_VALUE"""),"інструменти")</f>
        <v>інструменти</v>
      </c>
      <c r="C1554" s="16" t="str">
        <f>IFERROR(__xludf.DUMMYFUNCTION("""COMPUTED_VALUE"""),"електроінструмент")</f>
        <v>електроінструмент</v>
      </c>
      <c r="D1554" s="16" t="str">
        <f>IFERROR(__xludf.DUMMYFUNCTION("""COMPUTED_VALUE"""),"електричні будівельні міксери")</f>
        <v>електричні будівельні міксери</v>
      </c>
      <c r="E1554" s="16" t="str">
        <f>IFERROR(__xludf.DUMMYFUNCTION("""COMPUTED_VALUE"""),"електричні будівельні міксери")</f>
        <v>електричні будівельні міксери</v>
      </c>
      <c r="F1554" s="17">
        <f>IFERROR(__xludf.DUMMYFUNCTION("""COMPUTED_VALUE"""),3.0)</f>
        <v>3</v>
      </c>
      <c r="G1554" s="17" t="str">
        <f>IFERROR(__xludf.DUMMYFUNCTION("""COMPUTED_VALUE"""),"141723")</f>
        <v>141723</v>
      </c>
      <c r="H1554" s="17" t="str">
        <f>IFERROR(__xludf.DUMMYFUNCTION("""COMPUTED_VALUE"""),"електричні будівельні міксери")</f>
        <v>електричні будівельні міксери</v>
      </c>
      <c r="I1554" s="19">
        <f>IFERROR(__xludf.DUMMYFUNCTION("""COMPUTED_VALUE"""),0.0569)</f>
        <v>0.0569</v>
      </c>
      <c r="J1554" s="19">
        <f>IFERROR(__xludf.DUMMYFUNCTION("""COMPUTED_VALUE"""),0.1138)</f>
        <v>0.1138</v>
      </c>
      <c r="K1554" s="19">
        <f>IFERROR(__xludf.DUMMYFUNCTION("""COMPUTED_VALUE"""),0.1423)</f>
        <v>0.1423</v>
      </c>
      <c r="L1554" s="19">
        <f>IFERROR(__xludf.DUMMYFUNCTION("""COMPUTED_VALUE"""),0.1707)</f>
        <v>0.1707</v>
      </c>
      <c r="M1554" s="18">
        <f>IFERROR(__xludf.DUMMYFUNCTION("""COMPUTED_VALUE"""),3.6)</f>
        <v>3.6</v>
      </c>
    </row>
    <row r="1555">
      <c r="A1555" s="13" t="str">
        <f>IFERROR(__xludf.DUMMYFUNCTION("""COMPUTED_VALUE"""),"товари")</f>
        <v>товари</v>
      </c>
      <c r="B1555" s="16" t="str">
        <f>IFERROR(__xludf.DUMMYFUNCTION("""COMPUTED_VALUE"""),"інструменти")</f>
        <v>інструменти</v>
      </c>
      <c r="C1555" s="16" t="str">
        <f>IFERROR(__xludf.DUMMYFUNCTION("""COMPUTED_VALUE"""),"електроінструмент")</f>
        <v>електроінструмент</v>
      </c>
      <c r="D1555" s="16" t="str">
        <f>IFERROR(__xludf.DUMMYFUNCTION("""COMPUTED_VALUE"""),"електричні відбійні молотки")</f>
        <v>електричні відбійні молотки</v>
      </c>
      <c r="E1555" s="16" t="str">
        <f>IFERROR(__xludf.DUMMYFUNCTION("""COMPUTED_VALUE"""),"електричні відбійні молотки")</f>
        <v>електричні відбійні молотки</v>
      </c>
      <c r="F1555" s="17">
        <f>IFERROR(__xludf.DUMMYFUNCTION("""COMPUTED_VALUE"""),3.0)</f>
        <v>3</v>
      </c>
      <c r="G1555" s="17" t="str">
        <f>IFERROR(__xludf.DUMMYFUNCTION("""COMPUTED_VALUE"""),"141707")</f>
        <v>141707</v>
      </c>
      <c r="H1555" s="17" t="str">
        <f>IFERROR(__xludf.DUMMYFUNCTION("""COMPUTED_VALUE"""),"електричні відбійні молотки")</f>
        <v>електричні відбійні молотки</v>
      </c>
      <c r="I1555" s="19">
        <f>IFERROR(__xludf.DUMMYFUNCTION("""COMPUTED_VALUE"""),0.0433)</f>
        <v>0.0433</v>
      </c>
      <c r="J1555" s="19">
        <f>IFERROR(__xludf.DUMMYFUNCTION("""COMPUTED_VALUE"""),0.0865)</f>
        <v>0.0865</v>
      </c>
      <c r="K1555" s="19">
        <f>IFERROR(__xludf.DUMMYFUNCTION("""COMPUTED_VALUE"""),0.1081)</f>
        <v>0.1081</v>
      </c>
      <c r="L1555" s="19">
        <f>IFERROR(__xludf.DUMMYFUNCTION("""COMPUTED_VALUE"""),0.1298)</f>
        <v>0.1298</v>
      </c>
      <c r="M1555" s="18">
        <f>IFERROR(__xludf.DUMMYFUNCTION("""COMPUTED_VALUE"""),3.24)</f>
        <v>3.24</v>
      </c>
    </row>
    <row r="1556">
      <c r="A1556" s="13" t="str">
        <f>IFERROR(__xludf.DUMMYFUNCTION("""COMPUTED_VALUE"""),"товари")</f>
        <v>товари</v>
      </c>
      <c r="B1556" s="16" t="str">
        <f>IFERROR(__xludf.DUMMYFUNCTION("""COMPUTED_VALUE"""),"інструменти")</f>
        <v>інструменти</v>
      </c>
      <c r="C1556" s="16" t="str">
        <f>IFERROR(__xludf.DUMMYFUNCTION("""COMPUTED_VALUE"""),"електроінструмент")</f>
        <v>електроінструмент</v>
      </c>
      <c r="D1556" s="16" t="str">
        <f>IFERROR(__xludf.DUMMYFUNCTION("""COMPUTED_VALUE"""),"електричні гайковерти")</f>
        <v>електричні гайковерти</v>
      </c>
      <c r="E1556" s="16" t="str">
        <f>IFERROR(__xludf.DUMMYFUNCTION("""COMPUTED_VALUE"""),"електричні гайковерти")</f>
        <v>електричні гайковерти</v>
      </c>
      <c r="F1556" s="17">
        <f>IFERROR(__xludf.DUMMYFUNCTION("""COMPUTED_VALUE"""),3.0)</f>
        <v>3</v>
      </c>
      <c r="G1556" s="17" t="str">
        <f>IFERROR(__xludf.DUMMYFUNCTION("""COMPUTED_VALUE"""),"141714")</f>
        <v>141714</v>
      </c>
      <c r="H1556" s="17" t="str">
        <f>IFERROR(__xludf.DUMMYFUNCTION("""COMPUTED_VALUE"""),"електричні гайковерти")</f>
        <v>електричні гайковерти</v>
      </c>
      <c r="I1556" s="19">
        <f>IFERROR(__xludf.DUMMYFUNCTION("""COMPUTED_VALUE"""),0.0514)</f>
        <v>0.0514</v>
      </c>
      <c r="J1556" s="19">
        <f>IFERROR(__xludf.DUMMYFUNCTION("""COMPUTED_VALUE"""),0.1027)</f>
        <v>0.1027</v>
      </c>
      <c r="K1556" s="19">
        <f>IFERROR(__xludf.DUMMYFUNCTION("""COMPUTED_VALUE"""),0.1284)</f>
        <v>0.1284</v>
      </c>
      <c r="L1556" s="19">
        <f>IFERROR(__xludf.DUMMYFUNCTION("""COMPUTED_VALUE"""),0.1541)</f>
        <v>0.1541</v>
      </c>
      <c r="M1556" s="18">
        <f>IFERROR(__xludf.DUMMYFUNCTION("""COMPUTED_VALUE"""),1.53)</f>
        <v>1.53</v>
      </c>
    </row>
    <row r="1557">
      <c r="A1557" s="13" t="str">
        <f>IFERROR(__xludf.DUMMYFUNCTION("""COMPUTED_VALUE"""),"товари")</f>
        <v>товари</v>
      </c>
      <c r="B1557" s="16" t="str">
        <f>IFERROR(__xludf.DUMMYFUNCTION("""COMPUTED_VALUE"""),"інструменти")</f>
        <v>інструменти</v>
      </c>
      <c r="C1557" s="16" t="str">
        <f>IFERROR(__xludf.DUMMYFUNCTION("""COMPUTED_VALUE"""),"електроінструмент")</f>
        <v>електроінструмент</v>
      </c>
      <c r="D1557" s="16" t="str">
        <f>IFERROR(__xludf.DUMMYFUNCTION("""COMPUTED_VALUE"""),"електричні заклепники")</f>
        <v>електричні заклепники</v>
      </c>
      <c r="E1557" s="16" t="str">
        <f>IFERROR(__xludf.DUMMYFUNCTION("""COMPUTED_VALUE"""),"електричні заклепники")</f>
        <v>електричні заклепники</v>
      </c>
      <c r="F1557" s="17">
        <f>IFERROR(__xludf.DUMMYFUNCTION("""COMPUTED_VALUE"""),3.0)</f>
        <v>3</v>
      </c>
      <c r="G1557" s="17" t="str">
        <f>IFERROR(__xludf.DUMMYFUNCTION("""COMPUTED_VALUE"""),"141730")</f>
        <v>141730</v>
      </c>
      <c r="H1557" s="17" t="str">
        <f>IFERROR(__xludf.DUMMYFUNCTION("""COMPUTED_VALUE"""),"електричні заклепники")</f>
        <v>електричні заклепники</v>
      </c>
      <c r="I1557" s="19">
        <f>IFERROR(__xludf.DUMMYFUNCTION("""COMPUTED_VALUE"""),0.0647)</f>
        <v>0.0647</v>
      </c>
      <c r="J1557" s="19">
        <f>IFERROR(__xludf.DUMMYFUNCTION("""COMPUTED_VALUE"""),0.1294)</f>
        <v>0.1294</v>
      </c>
      <c r="K1557" s="19">
        <f>IFERROR(__xludf.DUMMYFUNCTION("""COMPUTED_VALUE"""),0.1618)</f>
        <v>0.1618</v>
      </c>
      <c r="L1557" s="19">
        <f>IFERROR(__xludf.DUMMYFUNCTION("""COMPUTED_VALUE"""),0.1941)</f>
        <v>0.1941</v>
      </c>
      <c r="M1557" s="18">
        <f>IFERROR(__xludf.DUMMYFUNCTION("""COMPUTED_VALUE"""),1.05)</f>
        <v>1.05</v>
      </c>
    </row>
    <row r="1558">
      <c r="A1558" s="13" t="str">
        <f>IFERROR(__xludf.DUMMYFUNCTION("""COMPUTED_VALUE"""),"товари")</f>
        <v>товари</v>
      </c>
      <c r="B1558" s="16" t="str">
        <f>IFERROR(__xludf.DUMMYFUNCTION("""COMPUTED_VALUE"""),"інструменти")</f>
        <v>інструменти</v>
      </c>
      <c r="C1558" s="16" t="str">
        <f>IFERROR(__xludf.DUMMYFUNCTION("""COMPUTED_VALUE"""),"електроінструмент")</f>
        <v>електроінструмент</v>
      </c>
      <c r="D1558" s="16" t="str">
        <f>IFERROR(__xludf.DUMMYFUNCTION("""COMPUTED_VALUE"""),"електричні степлери")</f>
        <v>електричні степлери</v>
      </c>
      <c r="E1558" s="16" t="str">
        <f>IFERROR(__xludf.DUMMYFUNCTION("""COMPUTED_VALUE"""),"електричні степлери")</f>
        <v>електричні степлери</v>
      </c>
      <c r="F1558" s="17">
        <f>IFERROR(__xludf.DUMMYFUNCTION("""COMPUTED_VALUE"""),3.0)</f>
        <v>3</v>
      </c>
      <c r="G1558" s="17" t="str">
        <f>IFERROR(__xludf.DUMMYFUNCTION("""COMPUTED_VALUE"""),"141721")</f>
        <v>141721</v>
      </c>
      <c r="H1558" s="17" t="str">
        <f>IFERROR(__xludf.DUMMYFUNCTION("""COMPUTED_VALUE"""),"електричні степлери")</f>
        <v>електричні степлери</v>
      </c>
      <c r="I1558" s="19">
        <f>IFERROR(__xludf.DUMMYFUNCTION("""COMPUTED_VALUE"""),0.0427)</f>
        <v>0.0427</v>
      </c>
      <c r="J1558" s="19">
        <f>IFERROR(__xludf.DUMMYFUNCTION("""COMPUTED_VALUE"""),0.0854)</f>
        <v>0.0854</v>
      </c>
      <c r="K1558" s="19">
        <f>IFERROR(__xludf.DUMMYFUNCTION("""COMPUTED_VALUE"""),0.1068)</f>
        <v>0.1068</v>
      </c>
      <c r="L1558" s="19">
        <f>IFERROR(__xludf.DUMMYFUNCTION("""COMPUTED_VALUE"""),0.1281)</f>
        <v>0.1281</v>
      </c>
      <c r="M1558" s="18">
        <f>IFERROR(__xludf.DUMMYFUNCTION("""COMPUTED_VALUE"""),1.05)</f>
        <v>1.05</v>
      </c>
    </row>
    <row r="1559">
      <c r="A1559" s="13" t="str">
        <f>IFERROR(__xludf.DUMMYFUNCTION("""COMPUTED_VALUE"""),"товари")</f>
        <v>товари</v>
      </c>
      <c r="B1559" s="16" t="str">
        <f>IFERROR(__xludf.DUMMYFUNCTION("""COMPUTED_VALUE"""),"інструменти")</f>
        <v>інструменти</v>
      </c>
      <c r="C1559" s="16" t="str">
        <f>IFERROR(__xludf.DUMMYFUNCTION("""COMPUTED_VALUE"""),"електроінструмент")</f>
        <v>електроінструмент</v>
      </c>
      <c r="D1559" s="16" t="str">
        <f>IFERROR(__xludf.DUMMYFUNCTION("""COMPUTED_VALUE"""),"електричні фарбопульти")</f>
        <v>електричні фарбопульти</v>
      </c>
      <c r="E1559" s="16" t="str">
        <f>IFERROR(__xludf.DUMMYFUNCTION("""COMPUTED_VALUE"""),"електричні фарбопульти")</f>
        <v>електричні фарбопульти</v>
      </c>
      <c r="F1559" s="17">
        <f>IFERROR(__xludf.DUMMYFUNCTION("""COMPUTED_VALUE"""),3.0)</f>
        <v>3</v>
      </c>
      <c r="G1559" s="17" t="str">
        <f>IFERROR(__xludf.DUMMYFUNCTION("""COMPUTED_VALUE"""),"14201612")</f>
        <v>14201612</v>
      </c>
      <c r="H1559" s="17" t="str">
        <f>IFERROR(__xludf.DUMMYFUNCTION("""COMPUTED_VALUE"""),"електричні фарбопульти")</f>
        <v>електричні фарбопульти</v>
      </c>
      <c r="I1559" s="19">
        <f>IFERROR(__xludf.DUMMYFUNCTION("""COMPUTED_VALUE"""),0.0622)</f>
        <v>0.0622</v>
      </c>
      <c r="J1559" s="19">
        <f>IFERROR(__xludf.DUMMYFUNCTION("""COMPUTED_VALUE"""),0.1243)</f>
        <v>0.1243</v>
      </c>
      <c r="K1559" s="19">
        <f>IFERROR(__xludf.DUMMYFUNCTION("""COMPUTED_VALUE"""),0.1554)</f>
        <v>0.1554</v>
      </c>
      <c r="L1559" s="19">
        <f>IFERROR(__xludf.DUMMYFUNCTION("""COMPUTED_VALUE"""),0.1865)</f>
        <v>0.1865</v>
      </c>
      <c r="M1559" s="18">
        <f>IFERROR(__xludf.DUMMYFUNCTION("""COMPUTED_VALUE"""),2.53)</f>
        <v>2.53</v>
      </c>
    </row>
    <row r="1560">
      <c r="A1560" s="13" t="str">
        <f>IFERROR(__xludf.DUMMYFUNCTION("""COMPUTED_VALUE"""),"товари")</f>
        <v>товари</v>
      </c>
      <c r="B1560" s="16" t="str">
        <f>IFERROR(__xludf.DUMMYFUNCTION("""COMPUTED_VALUE"""),"інструменти")</f>
        <v>інструменти</v>
      </c>
      <c r="C1560" s="16" t="str">
        <f>IFERROR(__xludf.DUMMYFUNCTION("""COMPUTED_VALUE"""),"електроінструмент")</f>
        <v>електроінструмент</v>
      </c>
      <c r="D1560" s="16" t="str">
        <f>IFERROR(__xludf.DUMMYFUNCTION("""COMPUTED_VALUE"""),"електроінструмент, загальне")</f>
        <v>електроінструмент, загальне</v>
      </c>
      <c r="E1560" s="16" t="str">
        <f>IFERROR(__xludf.DUMMYFUNCTION("""COMPUTED_VALUE"""),"електроінструмент, загальне")</f>
        <v>електроінструмент, загальне</v>
      </c>
      <c r="F1560" s="17">
        <f>IFERROR(__xludf.DUMMYFUNCTION("""COMPUTED_VALUE"""),3.0)</f>
        <v>3</v>
      </c>
      <c r="G1560" s="17" t="str">
        <f>IFERROR(__xludf.DUMMYFUNCTION("""COMPUTED_VALUE"""),"141799")</f>
        <v>141799</v>
      </c>
      <c r="H1560" s="17" t="str">
        <f>IFERROR(__xludf.DUMMYFUNCTION("""COMPUTED_VALUE"""),"електроінструмент, загальне")</f>
        <v>електроінструмент, загальне</v>
      </c>
      <c r="I1560" s="19">
        <f>IFERROR(__xludf.DUMMYFUNCTION("""COMPUTED_VALUE"""),0.125)</f>
        <v>0.125</v>
      </c>
      <c r="J1560" s="19">
        <f>IFERROR(__xludf.DUMMYFUNCTION("""COMPUTED_VALUE"""),0.25)</f>
        <v>0.25</v>
      </c>
      <c r="K1560" s="19">
        <f>IFERROR(__xludf.DUMMYFUNCTION("""COMPUTED_VALUE"""),0.3125)</f>
        <v>0.3125</v>
      </c>
      <c r="L1560" s="19">
        <f>IFERROR(__xludf.DUMMYFUNCTION("""COMPUTED_VALUE"""),0.375)</f>
        <v>0.375</v>
      </c>
      <c r="M1560" s="18">
        <f>IFERROR(__xludf.DUMMYFUNCTION("""COMPUTED_VALUE"""),4.33)</f>
        <v>4.33</v>
      </c>
    </row>
    <row r="1561">
      <c r="A1561" s="13" t="str">
        <f>IFERROR(__xludf.DUMMYFUNCTION("""COMPUTED_VALUE"""),"товари")</f>
        <v>товари</v>
      </c>
      <c r="B1561" s="16" t="str">
        <f>IFERROR(__xludf.DUMMYFUNCTION("""COMPUTED_VALUE"""),"інструменти")</f>
        <v>інструменти</v>
      </c>
      <c r="C1561" s="16" t="str">
        <f>IFERROR(__xludf.DUMMYFUNCTION("""COMPUTED_VALUE"""),"електроінструмент")</f>
        <v>електроінструмент</v>
      </c>
      <c r="D1561" s="16" t="str">
        <f>IFERROR(__xludf.DUMMYFUNCTION("""COMPUTED_VALUE"""),"електролобзики")</f>
        <v>електролобзики</v>
      </c>
      <c r="E1561" s="16" t="str">
        <f>IFERROR(__xludf.DUMMYFUNCTION("""COMPUTED_VALUE"""),"електролобзики")</f>
        <v>електролобзики</v>
      </c>
      <c r="F1561" s="17">
        <f>IFERROR(__xludf.DUMMYFUNCTION("""COMPUTED_VALUE"""),3.0)</f>
        <v>3</v>
      </c>
      <c r="G1561" s="17" t="str">
        <f>IFERROR(__xludf.DUMMYFUNCTION("""COMPUTED_VALUE"""),"141713")</f>
        <v>141713</v>
      </c>
      <c r="H1561" s="17" t="str">
        <f>IFERROR(__xludf.DUMMYFUNCTION("""COMPUTED_VALUE"""),"електролобзики")</f>
        <v>електролобзики</v>
      </c>
      <c r="I1561" s="19">
        <f>IFERROR(__xludf.DUMMYFUNCTION("""COMPUTED_VALUE"""),0.054)</f>
        <v>0.054</v>
      </c>
      <c r="J1561" s="19">
        <f>IFERROR(__xludf.DUMMYFUNCTION("""COMPUTED_VALUE"""),0.1079)</f>
        <v>0.1079</v>
      </c>
      <c r="K1561" s="19">
        <f>IFERROR(__xludf.DUMMYFUNCTION("""COMPUTED_VALUE"""),0.1349)</f>
        <v>0.1349</v>
      </c>
      <c r="L1561" s="19">
        <f>IFERROR(__xludf.DUMMYFUNCTION("""COMPUTED_VALUE"""),0.1619)</f>
        <v>0.1619</v>
      </c>
      <c r="M1561" s="18">
        <f>IFERROR(__xludf.DUMMYFUNCTION("""COMPUTED_VALUE"""),3.24)</f>
        <v>3.24</v>
      </c>
    </row>
    <row r="1562">
      <c r="A1562" s="13" t="str">
        <f>IFERROR(__xludf.DUMMYFUNCTION("""COMPUTED_VALUE"""),"товари")</f>
        <v>товари</v>
      </c>
      <c r="B1562" s="16" t="str">
        <f>IFERROR(__xludf.DUMMYFUNCTION("""COMPUTED_VALUE"""),"інструменти")</f>
        <v>інструменти</v>
      </c>
      <c r="C1562" s="16" t="str">
        <f>IFERROR(__xludf.DUMMYFUNCTION("""COMPUTED_VALUE"""),"електроінструмент")</f>
        <v>електроінструмент</v>
      </c>
      <c r="D1562" s="16" t="str">
        <f>IFERROR(__xludf.DUMMYFUNCTION("""COMPUTED_VALUE"""),"електроножиці по металу")</f>
        <v>електроножиці по металу</v>
      </c>
      <c r="E1562" s="16" t="str">
        <f>IFERROR(__xludf.DUMMYFUNCTION("""COMPUTED_VALUE"""),"електроножиці по металу")</f>
        <v>електроножиці по металу</v>
      </c>
      <c r="F1562" s="17">
        <f>IFERROR(__xludf.DUMMYFUNCTION("""COMPUTED_VALUE"""),3.0)</f>
        <v>3</v>
      </c>
      <c r="G1562" s="17" t="str">
        <f>IFERROR(__xludf.DUMMYFUNCTION("""COMPUTED_VALUE"""),"141719")</f>
        <v>141719</v>
      </c>
      <c r="H1562" s="17" t="str">
        <f>IFERROR(__xludf.DUMMYFUNCTION("""COMPUTED_VALUE"""),"електроножиці по металу")</f>
        <v>електроножиці по металу</v>
      </c>
      <c r="I1562" s="19">
        <f>IFERROR(__xludf.DUMMYFUNCTION("""COMPUTED_VALUE"""),0.0712)</f>
        <v>0.0712</v>
      </c>
      <c r="J1562" s="19">
        <f>IFERROR(__xludf.DUMMYFUNCTION("""COMPUTED_VALUE"""),0.1424)</f>
        <v>0.1424</v>
      </c>
      <c r="K1562" s="19">
        <f>IFERROR(__xludf.DUMMYFUNCTION("""COMPUTED_VALUE"""),0.178)</f>
        <v>0.178</v>
      </c>
      <c r="L1562" s="19">
        <f>IFERROR(__xludf.DUMMYFUNCTION("""COMPUTED_VALUE"""),0.2136)</f>
        <v>0.2136</v>
      </c>
      <c r="M1562" s="18">
        <f>IFERROR(__xludf.DUMMYFUNCTION("""COMPUTED_VALUE"""),2.53)</f>
        <v>2.53</v>
      </c>
    </row>
    <row r="1563">
      <c r="A1563" s="13" t="str">
        <f>IFERROR(__xludf.DUMMYFUNCTION("""COMPUTED_VALUE"""),"товари")</f>
        <v>товари</v>
      </c>
      <c r="B1563" s="16" t="str">
        <f>IFERROR(__xludf.DUMMYFUNCTION("""COMPUTED_VALUE"""),"інструменти")</f>
        <v>інструменти</v>
      </c>
      <c r="C1563" s="16" t="str">
        <f>IFERROR(__xludf.DUMMYFUNCTION("""COMPUTED_VALUE"""),"електроінструмент")</f>
        <v>електроінструмент</v>
      </c>
      <c r="D1563" s="16" t="str">
        <f>IFERROR(__xludf.DUMMYFUNCTION("""COMPUTED_VALUE"""),"електричні пили")</f>
        <v>електричні пили</v>
      </c>
      <c r="E1563" s="16" t="str">
        <f>IFERROR(__xludf.DUMMYFUNCTION("""COMPUTED_VALUE"""),"електроножівки")</f>
        <v>електроножівки</v>
      </c>
      <c r="F1563" s="17">
        <f>IFERROR(__xludf.DUMMYFUNCTION("""COMPUTED_VALUE"""),4.0)</f>
        <v>4</v>
      </c>
      <c r="G1563" s="17" t="str">
        <f>IFERROR(__xludf.DUMMYFUNCTION("""COMPUTED_VALUE"""),"141720")</f>
        <v>141720</v>
      </c>
      <c r="H1563" s="17" t="str">
        <f>IFERROR(__xludf.DUMMYFUNCTION("""COMPUTED_VALUE"""),"електроножівки")</f>
        <v>електроножівки</v>
      </c>
      <c r="I1563" s="19">
        <f>IFERROR(__xludf.DUMMYFUNCTION("""COMPUTED_VALUE"""),0.0546)</f>
        <v>0.0546</v>
      </c>
      <c r="J1563" s="19">
        <f>IFERROR(__xludf.DUMMYFUNCTION("""COMPUTED_VALUE"""),0.1092)</f>
        <v>0.1092</v>
      </c>
      <c r="K1563" s="19">
        <f>IFERROR(__xludf.DUMMYFUNCTION("""COMPUTED_VALUE"""),0.1365)</f>
        <v>0.1365</v>
      </c>
      <c r="L1563" s="19">
        <f>IFERROR(__xludf.DUMMYFUNCTION("""COMPUTED_VALUE"""),0.1638)</f>
        <v>0.1638</v>
      </c>
      <c r="M1563" s="18">
        <f>IFERROR(__xludf.DUMMYFUNCTION("""COMPUTED_VALUE"""),5.03)</f>
        <v>5.03</v>
      </c>
    </row>
    <row r="1564">
      <c r="A1564" s="13" t="str">
        <f>IFERROR(__xludf.DUMMYFUNCTION("""COMPUTED_VALUE"""),"товари")</f>
        <v>товари</v>
      </c>
      <c r="B1564" s="16" t="str">
        <f>IFERROR(__xludf.DUMMYFUNCTION("""COMPUTED_VALUE"""),"інструменти")</f>
        <v>інструменти</v>
      </c>
      <c r="C1564" s="16" t="str">
        <f>IFERROR(__xludf.DUMMYFUNCTION("""COMPUTED_VALUE"""),"електроінструмент")</f>
        <v>електроінструмент</v>
      </c>
      <c r="D1564" s="16" t="str">
        <f>IFERROR(__xludf.DUMMYFUNCTION("""COMPUTED_VALUE"""),"електрорубанки")</f>
        <v>електрорубанки</v>
      </c>
      <c r="E1564" s="16" t="str">
        <f>IFERROR(__xludf.DUMMYFUNCTION("""COMPUTED_VALUE"""),"електрорубанки")</f>
        <v>електрорубанки</v>
      </c>
      <c r="F1564" s="17">
        <f>IFERROR(__xludf.DUMMYFUNCTION("""COMPUTED_VALUE"""),3.0)</f>
        <v>3</v>
      </c>
      <c r="G1564" s="17" t="str">
        <f>IFERROR(__xludf.DUMMYFUNCTION("""COMPUTED_VALUE"""),"141709")</f>
        <v>141709</v>
      </c>
      <c r="H1564" s="17" t="str">
        <f>IFERROR(__xludf.DUMMYFUNCTION("""COMPUTED_VALUE"""),"електрорубанки")</f>
        <v>електрорубанки</v>
      </c>
      <c r="I1564" s="19">
        <f>IFERROR(__xludf.DUMMYFUNCTION("""COMPUTED_VALUE"""),0.05)</f>
        <v>0.05</v>
      </c>
      <c r="J1564" s="19">
        <f>IFERROR(__xludf.DUMMYFUNCTION("""COMPUTED_VALUE"""),0.0999)</f>
        <v>0.0999</v>
      </c>
      <c r="K1564" s="19">
        <f>IFERROR(__xludf.DUMMYFUNCTION("""COMPUTED_VALUE"""),0.1249)</f>
        <v>0.1249</v>
      </c>
      <c r="L1564" s="19">
        <f>IFERROR(__xludf.DUMMYFUNCTION("""COMPUTED_VALUE"""),0.1499)</f>
        <v>0.1499</v>
      </c>
      <c r="M1564" s="18">
        <f>IFERROR(__xludf.DUMMYFUNCTION("""COMPUTED_VALUE"""),2.53)</f>
        <v>2.53</v>
      </c>
    </row>
    <row r="1565">
      <c r="A1565" s="13" t="str">
        <f>IFERROR(__xludf.DUMMYFUNCTION("""COMPUTED_VALUE"""),"товари")</f>
        <v>товари</v>
      </c>
      <c r="B1565" s="16" t="str">
        <f>IFERROR(__xludf.DUMMYFUNCTION("""COMPUTED_VALUE"""),"інструменти")</f>
        <v>інструменти</v>
      </c>
      <c r="C1565" s="16" t="str">
        <f>IFERROR(__xludf.DUMMYFUNCTION("""COMPUTED_VALUE"""),"запчастини для інструменту")</f>
        <v>запчастини для інструменту</v>
      </c>
      <c r="D1565" s="16" t="str">
        <f>IFERROR(__xludf.DUMMYFUNCTION("""COMPUTED_VALUE"""),"запчастини для інструменту")</f>
        <v>запчастини для інструменту</v>
      </c>
      <c r="E1565" s="16" t="str">
        <f>IFERROR(__xludf.DUMMYFUNCTION("""COMPUTED_VALUE"""),"запчастини для інструменту")</f>
        <v>запчастини для інструменту</v>
      </c>
      <c r="F1565" s="17">
        <f>IFERROR(__xludf.DUMMYFUNCTION("""COMPUTED_VALUE"""),2.0)</f>
        <v>2</v>
      </c>
      <c r="G1565" s="17" t="str">
        <f>IFERROR(__xludf.DUMMYFUNCTION("""COMPUTED_VALUE"""),"142001")</f>
        <v>142001</v>
      </c>
      <c r="H1565" s="17" t="str">
        <f>IFERROR(__xludf.DUMMYFUNCTION("""COMPUTED_VALUE"""),"запчастини для інструменту")</f>
        <v>запчастини для інструменту</v>
      </c>
      <c r="I1565" s="19">
        <f>IFERROR(__xludf.DUMMYFUNCTION("""COMPUTED_VALUE"""),0.0717)</f>
        <v>0.0717</v>
      </c>
      <c r="J1565" s="19">
        <f>IFERROR(__xludf.DUMMYFUNCTION("""COMPUTED_VALUE"""),0.1433)</f>
        <v>0.1433</v>
      </c>
      <c r="K1565" s="19">
        <f>IFERROR(__xludf.DUMMYFUNCTION("""COMPUTED_VALUE"""),0.1791)</f>
        <v>0.1791</v>
      </c>
      <c r="L1565" s="19">
        <f>IFERROR(__xludf.DUMMYFUNCTION("""COMPUTED_VALUE"""),0.215)</f>
        <v>0.215</v>
      </c>
      <c r="M1565" s="18">
        <f>IFERROR(__xludf.DUMMYFUNCTION("""COMPUTED_VALUE"""),1.98)</f>
        <v>1.98</v>
      </c>
    </row>
    <row r="1566">
      <c r="A1566" s="13" t="str">
        <f>IFERROR(__xludf.DUMMYFUNCTION("""COMPUTED_VALUE"""),"товари")</f>
        <v>товари</v>
      </c>
      <c r="B1566" s="16" t="str">
        <f>IFERROR(__xludf.DUMMYFUNCTION("""COMPUTED_VALUE"""),"інструменти")</f>
        <v>інструменти</v>
      </c>
      <c r="C1566" s="16" t="str">
        <f>IFERROR(__xludf.DUMMYFUNCTION("""COMPUTED_VALUE"""),"ручний інструмент")</f>
        <v>ручний інструмент</v>
      </c>
      <c r="D1566" s="16" t="str">
        <f>IFERROR(__xludf.DUMMYFUNCTION("""COMPUTED_VALUE"""),"губцеві інструменти")</f>
        <v>губцеві інструменти</v>
      </c>
      <c r="E1566" s="16" t="str">
        <f>IFERROR(__xludf.DUMMYFUNCTION("""COMPUTED_VALUE"""),"затискні кліщі")</f>
        <v>затискні кліщі</v>
      </c>
      <c r="F1566" s="17">
        <f>IFERROR(__xludf.DUMMYFUNCTION("""COMPUTED_VALUE"""),4.0)</f>
        <v>4</v>
      </c>
      <c r="G1566" s="17" t="str">
        <f>IFERROR(__xludf.DUMMYFUNCTION("""COMPUTED_VALUE"""),"14200347")</f>
        <v>14200347</v>
      </c>
      <c r="H1566" s="17" t="str">
        <f>IFERROR(__xludf.DUMMYFUNCTION("""COMPUTED_VALUE"""),"затискні кліщі")</f>
        <v>затискні кліщі</v>
      </c>
      <c r="I1566" s="19">
        <f>IFERROR(__xludf.DUMMYFUNCTION("""COMPUTED_VALUE"""),0.0683)</f>
        <v>0.0683</v>
      </c>
      <c r="J1566" s="19">
        <f>IFERROR(__xludf.DUMMYFUNCTION("""COMPUTED_VALUE"""),0.1365)</f>
        <v>0.1365</v>
      </c>
      <c r="K1566" s="19">
        <f>IFERROR(__xludf.DUMMYFUNCTION("""COMPUTED_VALUE"""),0.1706)</f>
        <v>0.1706</v>
      </c>
      <c r="L1566" s="19">
        <f>IFERROR(__xludf.DUMMYFUNCTION("""COMPUTED_VALUE"""),0.2048)</f>
        <v>0.2048</v>
      </c>
      <c r="M1566" s="18">
        <f>IFERROR(__xludf.DUMMYFUNCTION("""COMPUTED_VALUE"""),1.05)</f>
        <v>1.05</v>
      </c>
    </row>
    <row r="1567">
      <c r="A1567" s="13" t="str">
        <f>IFERROR(__xludf.DUMMYFUNCTION("""COMPUTED_VALUE"""),"товари")</f>
        <v>товари</v>
      </c>
      <c r="B1567" s="16" t="str">
        <f>IFERROR(__xludf.DUMMYFUNCTION("""COMPUTED_VALUE"""),"інструменти")</f>
        <v>інструменти</v>
      </c>
      <c r="C1567" s="16" t="str">
        <f>IFERROR(__xludf.DUMMYFUNCTION("""COMPUTED_VALUE"""),"оснащення для інструменту")</f>
        <v>оснащення для інструменту</v>
      </c>
      <c r="D1567" s="16" t="str">
        <f>IFERROR(__xludf.DUMMYFUNCTION("""COMPUTED_VALUE"""),"зенкери")</f>
        <v>зенкери</v>
      </c>
      <c r="E1567" s="16" t="str">
        <f>IFERROR(__xludf.DUMMYFUNCTION("""COMPUTED_VALUE"""),"зенкери")</f>
        <v>зенкери</v>
      </c>
      <c r="F1567" s="17">
        <f>IFERROR(__xludf.DUMMYFUNCTION("""COMPUTED_VALUE"""),3.0)</f>
        <v>3</v>
      </c>
      <c r="G1567" s="17" t="str">
        <f>IFERROR(__xludf.DUMMYFUNCTION("""COMPUTED_VALUE"""),"14201501")</f>
        <v>14201501</v>
      </c>
      <c r="H1567" s="17" t="str">
        <f>IFERROR(__xludf.DUMMYFUNCTION("""COMPUTED_VALUE"""),"зенкери")</f>
        <v>зенкери</v>
      </c>
      <c r="I1567" s="19">
        <f>IFERROR(__xludf.DUMMYFUNCTION("""COMPUTED_VALUE"""),0.0752)</f>
        <v>0.0752</v>
      </c>
      <c r="J1567" s="19">
        <f>IFERROR(__xludf.DUMMYFUNCTION("""COMPUTED_VALUE"""),0.1503)</f>
        <v>0.1503</v>
      </c>
      <c r="K1567" s="19">
        <f>IFERROR(__xludf.DUMMYFUNCTION("""COMPUTED_VALUE"""),0.1879)</f>
        <v>0.1879</v>
      </c>
      <c r="L1567" s="19">
        <f>IFERROR(__xludf.DUMMYFUNCTION("""COMPUTED_VALUE"""),0.2255)</f>
        <v>0.2255</v>
      </c>
      <c r="M1567" s="18">
        <f>IFERROR(__xludf.DUMMYFUNCTION("""COMPUTED_VALUE"""),1.63)</f>
        <v>1.63</v>
      </c>
    </row>
    <row r="1568">
      <c r="A1568" s="13" t="str">
        <f>IFERROR(__xludf.DUMMYFUNCTION("""COMPUTED_VALUE"""),"товари")</f>
        <v>товари</v>
      </c>
      <c r="B1568" s="16" t="str">
        <f>IFERROR(__xludf.DUMMYFUNCTION("""COMPUTED_VALUE"""),"інструменти")</f>
        <v>інструменти</v>
      </c>
      <c r="C1568" s="16" t="str">
        <f>IFERROR(__xludf.DUMMYFUNCTION("""COMPUTED_VALUE"""),"ручний інструмент")</f>
        <v>ручний інструмент</v>
      </c>
      <c r="D1568" s="16" t="str">
        <f>IFERROR(__xludf.DUMMYFUNCTION("""COMPUTED_VALUE"""),"ручні знімачі")</f>
        <v>ручні знімачі</v>
      </c>
      <c r="E1568" s="16" t="str">
        <f>IFERROR(__xludf.DUMMYFUNCTION("""COMPUTED_VALUE"""),"знімачі автомобільних фільтрів")</f>
        <v>знімачі автомобільних фільтрів</v>
      </c>
      <c r="F1568" s="17">
        <f>IFERROR(__xludf.DUMMYFUNCTION("""COMPUTED_VALUE"""),4.0)</f>
        <v>4</v>
      </c>
      <c r="G1568" s="17" t="str">
        <f>IFERROR(__xludf.DUMMYFUNCTION("""COMPUTED_VALUE"""),"14200352")</f>
        <v>14200352</v>
      </c>
      <c r="H1568" s="17" t="str">
        <f>IFERROR(__xludf.DUMMYFUNCTION("""COMPUTED_VALUE"""),"знімачі автомобільних фільтрів")</f>
        <v>знімачі автомобільних фільтрів</v>
      </c>
      <c r="I1568" s="19">
        <f>IFERROR(__xludf.DUMMYFUNCTION("""COMPUTED_VALUE"""),0.073)</f>
        <v>0.073</v>
      </c>
      <c r="J1568" s="19">
        <f>IFERROR(__xludf.DUMMYFUNCTION("""COMPUTED_VALUE"""),0.146)</f>
        <v>0.146</v>
      </c>
      <c r="K1568" s="19">
        <f>IFERROR(__xludf.DUMMYFUNCTION("""COMPUTED_VALUE"""),0.1825)</f>
        <v>0.1825</v>
      </c>
      <c r="L1568" s="19">
        <f>IFERROR(__xludf.DUMMYFUNCTION("""COMPUTED_VALUE"""),0.219)</f>
        <v>0.219</v>
      </c>
      <c r="M1568" s="18">
        <f>IFERROR(__xludf.DUMMYFUNCTION("""COMPUTED_VALUE"""),1.63)</f>
        <v>1.63</v>
      </c>
    </row>
    <row r="1569">
      <c r="A1569" s="13" t="str">
        <f>IFERROR(__xludf.DUMMYFUNCTION("""COMPUTED_VALUE"""),"товари")</f>
        <v>товари</v>
      </c>
      <c r="B1569" s="16" t="str">
        <f>IFERROR(__xludf.DUMMYFUNCTION("""COMPUTED_VALUE"""),"інструменти")</f>
        <v>інструменти</v>
      </c>
      <c r="C1569" s="16" t="str">
        <f>IFERROR(__xludf.DUMMYFUNCTION("""COMPUTED_VALUE"""),"ручний інструмент")</f>
        <v>ручний інструмент</v>
      </c>
      <c r="D1569" s="16" t="str">
        <f>IFERROR(__xludf.DUMMYFUNCTION("""COMPUTED_VALUE"""),"ручні знімачі")</f>
        <v>ручні знімачі</v>
      </c>
      <c r="E1569" s="16" t="str">
        <f>IFERROR(__xludf.DUMMYFUNCTION("""COMPUTED_VALUE"""),"знімачі гальмівних колодок")</f>
        <v>знімачі гальмівних колодок</v>
      </c>
      <c r="F1569" s="17">
        <f>IFERROR(__xludf.DUMMYFUNCTION("""COMPUTED_VALUE"""),4.0)</f>
        <v>4</v>
      </c>
      <c r="G1569" s="17" t="str">
        <f>IFERROR(__xludf.DUMMYFUNCTION("""COMPUTED_VALUE"""),"14200386")</f>
        <v>14200386</v>
      </c>
      <c r="H1569" s="17" t="str">
        <f>IFERROR(__xludf.DUMMYFUNCTION("""COMPUTED_VALUE"""),"знімачі гальмівних колодок")</f>
        <v>знімачі гальмівних колодок</v>
      </c>
      <c r="I1569" s="19">
        <f>IFERROR(__xludf.DUMMYFUNCTION("""COMPUTED_VALUE"""),0.073)</f>
        <v>0.073</v>
      </c>
      <c r="J1569" s="19">
        <f>IFERROR(__xludf.DUMMYFUNCTION("""COMPUTED_VALUE"""),0.146)</f>
        <v>0.146</v>
      </c>
      <c r="K1569" s="19">
        <f>IFERROR(__xludf.DUMMYFUNCTION("""COMPUTED_VALUE"""),0.1825)</f>
        <v>0.1825</v>
      </c>
      <c r="L1569" s="19">
        <f>IFERROR(__xludf.DUMMYFUNCTION("""COMPUTED_VALUE"""),0.219)</f>
        <v>0.219</v>
      </c>
      <c r="M1569" s="18">
        <f>IFERROR(__xludf.DUMMYFUNCTION("""COMPUTED_VALUE"""),1.63)</f>
        <v>1.63</v>
      </c>
    </row>
    <row r="1570">
      <c r="A1570" s="13" t="str">
        <f>IFERROR(__xludf.DUMMYFUNCTION("""COMPUTED_VALUE"""),"товари")</f>
        <v>товари</v>
      </c>
      <c r="B1570" s="16" t="str">
        <f>IFERROR(__xludf.DUMMYFUNCTION("""COMPUTED_VALUE"""),"інструменти")</f>
        <v>інструменти</v>
      </c>
      <c r="C1570" s="16" t="str">
        <f>IFERROR(__xludf.DUMMYFUNCTION("""COMPUTED_VALUE"""),"ручний інструмент")</f>
        <v>ручний інструмент</v>
      </c>
      <c r="D1570" s="16" t="str">
        <f>IFERROR(__xludf.DUMMYFUNCTION("""COMPUTED_VALUE"""),"ручні знімачі")</f>
        <v>ручні знімачі</v>
      </c>
      <c r="E1570" s="16" t="str">
        <f>IFERROR(__xludf.DUMMYFUNCTION("""COMPUTED_VALUE"""),"знімачі ізоляції")</f>
        <v>знімачі ізоляції</v>
      </c>
      <c r="F1570" s="17">
        <f>IFERROR(__xludf.DUMMYFUNCTION("""COMPUTED_VALUE"""),4.0)</f>
        <v>4</v>
      </c>
      <c r="G1570" s="17" t="str">
        <f>IFERROR(__xludf.DUMMYFUNCTION("""COMPUTED_VALUE"""),"14200355")</f>
        <v>14200355</v>
      </c>
      <c r="H1570" s="17" t="str">
        <f>IFERROR(__xludf.DUMMYFUNCTION("""COMPUTED_VALUE"""),"знімачі ізоляції")</f>
        <v>знімачі ізоляції</v>
      </c>
      <c r="I1570" s="19">
        <f>IFERROR(__xludf.DUMMYFUNCTION("""COMPUTED_VALUE"""),0.0727)</f>
        <v>0.0727</v>
      </c>
      <c r="J1570" s="19">
        <f>IFERROR(__xludf.DUMMYFUNCTION("""COMPUTED_VALUE"""),0.1454)</f>
        <v>0.1454</v>
      </c>
      <c r="K1570" s="19">
        <f>IFERROR(__xludf.DUMMYFUNCTION("""COMPUTED_VALUE"""),0.1818)</f>
        <v>0.1818</v>
      </c>
      <c r="L1570" s="19">
        <f>IFERROR(__xludf.DUMMYFUNCTION("""COMPUTED_VALUE"""),0.2181)</f>
        <v>0.2181</v>
      </c>
      <c r="M1570" s="18">
        <f>IFERROR(__xludf.DUMMYFUNCTION("""COMPUTED_VALUE"""),1.63)</f>
        <v>1.63</v>
      </c>
    </row>
    <row r="1571">
      <c r="A1571" s="13" t="str">
        <f>IFERROR(__xludf.DUMMYFUNCTION("""COMPUTED_VALUE"""),"товари")</f>
        <v>товари</v>
      </c>
      <c r="B1571" s="16" t="str">
        <f>IFERROR(__xludf.DUMMYFUNCTION("""COMPUTED_VALUE"""),"інструменти")</f>
        <v>інструменти</v>
      </c>
      <c r="C1571" s="16" t="str">
        <f>IFERROR(__xludf.DUMMYFUNCTION("""COMPUTED_VALUE"""),"ручний інструмент")</f>
        <v>ручний інструмент</v>
      </c>
      <c r="D1571" s="16" t="str">
        <f>IFERROR(__xludf.DUMMYFUNCTION("""COMPUTED_VALUE"""),"ручні знімачі")</f>
        <v>ручні знімачі</v>
      </c>
      <c r="E1571" s="16" t="str">
        <f>IFERROR(__xludf.DUMMYFUNCTION("""COMPUTED_VALUE"""),"знімачі обшивки")</f>
        <v>знімачі обшивки</v>
      </c>
      <c r="F1571" s="17">
        <f>IFERROR(__xludf.DUMMYFUNCTION("""COMPUTED_VALUE"""),4.0)</f>
        <v>4</v>
      </c>
      <c r="G1571" s="17" t="str">
        <f>IFERROR(__xludf.DUMMYFUNCTION("""COMPUTED_VALUE"""),"14200380")</f>
        <v>14200380</v>
      </c>
      <c r="H1571" s="17" t="str">
        <f>IFERROR(__xludf.DUMMYFUNCTION("""COMPUTED_VALUE"""),"знімачі обшивки")</f>
        <v>знімачі обшивки</v>
      </c>
      <c r="I1571" s="19">
        <f>IFERROR(__xludf.DUMMYFUNCTION("""COMPUTED_VALUE"""),0.073)</f>
        <v>0.073</v>
      </c>
      <c r="J1571" s="19">
        <f>IFERROR(__xludf.DUMMYFUNCTION("""COMPUTED_VALUE"""),0.146)</f>
        <v>0.146</v>
      </c>
      <c r="K1571" s="19">
        <f>IFERROR(__xludf.DUMMYFUNCTION("""COMPUTED_VALUE"""),0.1825)</f>
        <v>0.1825</v>
      </c>
      <c r="L1571" s="19">
        <f>IFERROR(__xludf.DUMMYFUNCTION("""COMPUTED_VALUE"""),0.219)</f>
        <v>0.219</v>
      </c>
      <c r="M1571" s="18">
        <f>IFERROR(__xludf.DUMMYFUNCTION("""COMPUTED_VALUE"""),1.63)</f>
        <v>1.63</v>
      </c>
    </row>
    <row r="1572">
      <c r="A1572" s="13" t="str">
        <f>IFERROR(__xludf.DUMMYFUNCTION("""COMPUTED_VALUE"""),"товари")</f>
        <v>товари</v>
      </c>
      <c r="B1572" s="16" t="str">
        <f>IFERROR(__xludf.DUMMYFUNCTION("""COMPUTED_VALUE"""),"інструменти")</f>
        <v>інструменти</v>
      </c>
      <c r="C1572" s="16" t="str">
        <f>IFERROR(__xludf.DUMMYFUNCTION("""COMPUTED_VALUE"""),"ручний інструмент")</f>
        <v>ручний інструмент</v>
      </c>
      <c r="D1572" s="16" t="str">
        <f>IFERROR(__xludf.DUMMYFUNCTION("""COMPUTED_VALUE"""),"ручні знімачі")</f>
        <v>ручні знімачі</v>
      </c>
      <c r="E1572" s="16" t="str">
        <f>IFERROR(__xludf.DUMMYFUNCTION("""COMPUTED_VALUE"""),"знімачі підшипників")</f>
        <v>знімачі підшипників</v>
      </c>
      <c r="F1572" s="17">
        <f>IFERROR(__xludf.DUMMYFUNCTION("""COMPUTED_VALUE"""),4.0)</f>
        <v>4</v>
      </c>
      <c r="G1572" s="17" t="str">
        <f>IFERROR(__xludf.DUMMYFUNCTION("""COMPUTED_VALUE"""),"14200353")</f>
        <v>14200353</v>
      </c>
      <c r="H1572" s="17" t="str">
        <f>IFERROR(__xludf.DUMMYFUNCTION("""COMPUTED_VALUE"""),"знімачі підшипників")</f>
        <v>знімачі підшипників</v>
      </c>
      <c r="I1572" s="19">
        <f>IFERROR(__xludf.DUMMYFUNCTION("""COMPUTED_VALUE"""),0.073)</f>
        <v>0.073</v>
      </c>
      <c r="J1572" s="19">
        <f>IFERROR(__xludf.DUMMYFUNCTION("""COMPUTED_VALUE"""),0.146)</f>
        <v>0.146</v>
      </c>
      <c r="K1572" s="19">
        <f>IFERROR(__xludf.DUMMYFUNCTION("""COMPUTED_VALUE"""),0.1825)</f>
        <v>0.1825</v>
      </c>
      <c r="L1572" s="19">
        <f>IFERROR(__xludf.DUMMYFUNCTION("""COMPUTED_VALUE"""),0.219)</f>
        <v>0.219</v>
      </c>
      <c r="M1572" s="18">
        <f>IFERROR(__xludf.DUMMYFUNCTION("""COMPUTED_VALUE"""),1.63)</f>
        <v>1.63</v>
      </c>
    </row>
    <row r="1573">
      <c r="A1573" s="13" t="str">
        <f>IFERROR(__xludf.DUMMYFUNCTION("""COMPUTED_VALUE"""),"товари")</f>
        <v>товари</v>
      </c>
      <c r="B1573" s="16" t="str">
        <f>IFERROR(__xludf.DUMMYFUNCTION("""COMPUTED_VALUE"""),"інструменти")</f>
        <v>інструменти</v>
      </c>
      <c r="C1573" s="16" t="str">
        <f>IFERROR(__xludf.DUMMYFUNCTION("""COMPUTED_VALUE"""),"ручний інструмент")</f>
        <v>ручний інструмент</v>
      </c>
      <c r="D1573" s="16" t="str">
        <f>IFERROR(__xludf.DUMMYFUNCTION("""COMPUTED_VALUE"""),"ручні знімачі")</f>
        <v>ручні знімачі</v>
      </c>
      <c r="E1573" s="16" t="str">
        <f>IFERROR(__xludf.DUMMYFUNCTION("""COMPUTED_VALUE"""),"знімачі ручні, загальне")</f>
        <v>знімачі ручні, загальне</v>
      </c>
      <c r="F1573" s="17">
        <f>IFERROR(__xludf.DUMMYFUNCTION("""COMPUTED_VALUE"""),4.0)</f>
        <v>4</v>
      </c>
      <c r="G1573" s="17" t="str">
        <f>IFERROR(__xludf.DUMMYFUNCTION("""COMPUTED_VALUE"""),"14200356")</f>
        <v>14200356</v>
      </c>
      <c r="H1573" s="17" t="str">
        <f>IFERROR(__xludf.DUMMYFUNCTION("""COMPUTED_VALUE"""),"знімачі ручні, загальне")</f>
        <v>знімачі ручні, загальне</v>
      </c>
      <c r="I1573" s="19">
        <f>IFERROR(__xludf.DUMMYFUNCTION("""COMPUTED_VALUE"""),0.125)</f>
        <v>0.125</v>
      </c>
      <c r="J1573" s="19">
        <f>IFERROR(__xludf.DUMMYFUNCTION("""COMPUTED_VALUE"""),0.25)</f>
        <v>0.25</v>
      </c>
      <c r="K1573" s="19">
        <f>IFERROR(__xludf.DUMMYFUNCTION("""COMPUTED_VALUE"""),0.3125)</f>
        <v>0.3125</v>
      </c>
      <c r="L1573" s="19">
        <f>IFERROR(__xludf.DUMMYFUNCTION("""COMPUTED_VALUE"""),0.375)</f>
        <v>0.375</v>
      </c>
      <c r="M1573" s="18">
        <f>IFERROR(__xludf.DUMMYFUNCTION("""COMPUTED_VALUE"""),4.33)</f>
        <v>4.33</v>
      </c>
    </row>
    <row r="1574">
      <c r="A1574" s="13" t="str">
        <f>IFERROR(__xludf.DUMMYFUNCTION("""COMPUTED_VALUE"""),"товари")</f>
        <v>товари</v>
      </c>
      <c r="B1574" s="16" t="str">
        <f>IFERROR(__xludf.DUMMYFUNCTION("""COMPUTED_VALUE"""),"інструменти")</f>
        <v>інструменти</v>
      </c>
      <c r="C1574" s="16" t="str">
        <f>IFERROR(__xludf.DUMMYFUNCTION("""COMPUTED_VALUE"""),"ручний інструмент")</f>
        <v>ручний інструмент</v>
      </c>
      <c r="D1574" s="16" t="str">
        <f>IFERROR(__xludf.DUMMYFUNCTION("""COMPUTED_VALUE"""),"ручні знімачі")</f>
        <v>ручні знімачі</v>
      </c>
      <c r="E1574" s="16" t="str">
        <f>IFERROR(__xludf.DUMMYFUNCTION("""COMPUTED_VALUE"""),"знімачі стопорних кілець")</f>
        <v>знімачі стопорних кілець</v>
      </c>
      <c r="F1574" s="17">
        <f>IFERROR(__xludf.DUMMYFUNCTION("""COMPUTED_VALUE"""),4.0)</f>
        <v>4</v>
      </c>
      <c r="G1574" s="17" t="str">
        <f>IFERROR(__xludf.DUMMYFUNCTION("""COMPUTED_VALUE"""),"14200354")</f>
        <v>14200354</v>
      </c>
      <c r="H1574" s="17" t="str">
        <f>IFERROR(__xludf.DUMMYFUNCTION("""COMPUTED_VALUE"""),"знімачі стопорних кілець")</f>
        <v>знімачі стопорних кілець</v>
      </c>
      <c r="I1574" s="19">
        <f>IFERROR(__xludf.DUMMYFUNCTION("""COMPUTED_VALUE"""),0.073)</f>
        <v>0.073</v>
      </c>
      <c r="J1574" s="19">
        <f>IFERROR(__xludf.DUMMYFUNCTION("""COMPUTED_VALUE"""),0.146)</f>
        <v>0.146</v>
      </c>
      <c r="K1574" s="19">
        <f>IFERROR(__xludf.DUMMYFUNCTION("""COMPUTED_VALUE"""),0.1825)</f>
        <v>0.1825</v>
      </c>
      <c r="L1574" s="19">
        <f>IFERROR(__xludf.DUMMYFUNCTION("""COMPUTED_VALUE"""),0.219)</f>
        <v>0.219</v>
      </c>
      <c r="M1574" s="18">
        <f>IFERROR(__xludf.DUMMYFUNCTION("""COMPUTED_VALUE"""),1.63)</f>
        <v>1.63</v>
      </c>
    </row>
    <row r="1575">
      <c r="A1575" s="13" t="str">
        <f>IFERROR(__xludf.DUMMYFUNCTION("""COMPUTED_VALUE"""),"товари")</f>
        <v>товари</v>
      </c>
      <c r="B1575" s="16" t="str">
        <f>IFERROR(__xludf.DUMMYFUNCTION("""COMPUTED_VALUE"""),"інструменти")</f>
        <v>інструменти</v>
      </c>
      <c r="C1575" s="16" t="str">
        <f>IFERROR(__xludf.DUMMYFUNCTION("""COMPUTED_VALUE"""),"оснащення для інструменту")</f>
        <v>оснащення для інструменту</v>
      </c>
      <c r="D1575" s="16" t="str">
        <f>IFERROR(__xludf.DUMMYFUNCTION("""COMPUTED_VALUE"""),"зубила, долото для перфоратора")</f>
        <v>зубила, долото для перфоратора</v>
      </c>
      <c r="E1575" s="16" t="str">
        <f>IFERROR(__xludf.DUMMYFUNCTION("""COMPUTED_VALUE"""),"зубила, долото для перфоратора")</f>
        <v>зубила, долото для перфоратора</v>
      </c>
      <c r="F1575" s="17">
        <f>IFERROR(__xludf.DUMMYFUNCTION("""COMPUTED_VALUE"""),3.0)</f>
        <v>3</v>
      </c>
      <c r="G1575" s="17" t="str">
        <f>IFERROR(__xludf.DUMMYFUNCTION("""COMPUTED_VALUE"""),"14201512")</f>
        <v>14201512</v>
      </c>
      <c r="H1575" s="17" t="str">
        <f>IFERROR(__xludf.DUMMYFUNCTION("""COMPUTED_VALUE"""),"зубила, долото для перфоратора")</f>
        <v>зубила, долото для перфоратора</v>
      </c>
      <c r="I1575" s="19">
        <f>IFERROR(__xludf.DUMMYFUNCTION("""COMPUTED_VALUE"""),0.0678)</f>
        <v>0.0678</v>
      </c>
      <c r="J1575" s="19">
        <f>IFERROR(__xludf.DUMMYFUNCTION("""COMPUTED_VALUE"""),0.1355)</f>
        <v>0.1355</v>
      </c>
      <c r="K1575" s="19">
        <f>IFERROR(__xludf.DUMMYFUNCTION("""COMPUTED_VALUE"""),0.1694)</f>
        <v>0.1694</v>
      </c>
      <c r="L1575" s="19">
        <f>IFERROR(__xludf.DUMMYFUNCTION("""COMPUTED_VALUE"""),0.2033)</f>
        <v>0.2033</v>
      </c>
      <c r="M1575" s="18">
        <f>IFERROR(__xludf.DUMMYFUNCTION("""COMPUTED_VALUE"""),1.44)</f>
        <v>1.44</v>
      </c>
    </row>
    <row r="1576">
      <c r="A1576" s="13" t="str">
        <f>IFERROR(__xludf.DUMMYFUNCTION("""COMPUTED_VALUE"""),"товари")</f>
        <v>товари</v>
      </c>
      <c r="B1576" s="16" t="str">
        <f>IFERROR(__xludf.DUMMYFUNCTION("""COMPUTED_VALUE"""),"інструменти")</f>
        <v>інструменти</v>
      </c>
      <c r="C1576" s="16" t="str">
        <f>IFERROR(__xludf.DUMMYFUNCTION("""COMPUTED_VALUE"""),"металорізальний інструмент")</f>
        <v>металорізальний інструмент</v>
      </c>
      <c r="D1576" s="16" t="str">
        <f>IFERROR(__xludf.DUMMYFUNCTION("""COMPUTED_VALUE"""),"зуборізний верстатний інструмент")</f>
        <v>зуборізний верстатний інструмент</v>
      </c>
      <c r="E1576" s="16" t="str">
        <f>IFERROR(__xludf.DUMMYFUNCTION("""COMPUTED_VALUE"""),"зуборізний верстатний інструмент")</f>
        <v>зуборізний верстатний інструмент</v>
      </c>
      <c r="F1576" s="17">
        <f>IFERROR(__xludf.DUMMYFUNCTION("""COMPUTED_VALUE"""),3.0)</f>
        <v>3</v>
      </c>
      <c r="G1576" s="17" t="str">
        <f>IFERROR(__xludf.DUMMYFUNCTION("""COMPUTED_VALUE"""),"14201008")</f>
        <v>14201008</v>
      </c>
      <c r="H1576" s="17" t="str">
        <f>IFERROR(__xludf.DUMMYFUNCTION("""COMPUTED_VALUE"""),"зуборізний верстатний інструмент")</f>
        <v>зуборізний верстатний інструмент</v>
      </c>
      <c r="I1576" s="19">
        <f>IFERROR(__xludf.DUMMYFUNCTION("""COMPUTED_VALUE"""),0.0539)</f>
        <v>0.0539</v>
      </c>
      <c r="J1576" s="19">
        <f>IFERROR(__xludf.DUMMYFUNCTION("""COMPUTED_VALUE"""),0.1078)</f>
        <v>0.1078</v>
      </c>
      <c r="K1576" s="19">
        <f>IFERROR(__xludf.DUMMYFUNCTION("""COMPUTED_VALUE"""),0.1348)</f>
        <v>0.1348</v>
      </c>
      <c r="L1576" s="19">
        <f>IFERROR(__xludf.DUMMYFUNCTION("""COMPUTED_VALUE"""),0.1617)</f>
        <v>0.1617</v>
      </c>
      <c r="M1576" s="18">
        <f>IFERROR(__xludf.DUMMYFUNCTION("""COMPUTED_VALUE"""),1.44)</f>
        <v>1.44</v>
      </c>
    </row>
    <row r="1577">
      <c r="A1577" s="13" t="str">
        <f>IFERROR(__xludf.DUMMYFUNCTION("""COMPUTED_VALUE"""),"товари")</f>
        <v>товари</v>
      </c>
      <c r="B1577" s="16" t="str">
        <f>IFERROR(__xludf.DUMMYFUNCTION("""COMPUTED_VALUE"""),"інструменти")</f>
        <v>інструменти</v>
      </c>
      <c r="C1577" s="16" t="str">
        <f>IFERROR(__xludf.DUMMYFUNCTION("""COMPUTED_VALUE"""),"ручний інструмент")</f>
        <v>ручний інструмент</v>
      </c>
      <c r="D1577" s="16" t="str">
        <f>IFERROR(__xludf.DUMMYFUNCTION("""COMPUTED_VALUE"""),"губцеві інструменти")</f>
        <v>губцеві інструменти</v>
      </c>
      <c r="E1577" s="16" t="str">
        <f>IFERROR(__xludf.DUMMYFUNCTION("""COMPUTED_VALUE"""),"інструмент губцевий, загальне")</f>
        <v>інструмент губцевий, загальне</v>
      </c>
      <c r="F1577" s="17">
        <f>IFERROR(__xludf.DUMMYFUNCTION("""COMPUTED_VALUE"""),4.0)</f>
        <v>4</v>
      </c>
      <c r="G1577" s="17" t="str">
        <f>IFERROR(__xludf.DUMMYFUNCTION("""COMPUTED_VALUE"""),"14200349")</f>
        <v>14200349</v>
      </c>
      <c r="H1577" s="17" t="str">
        <f>IFERROR(__xludf.DUMMYFUNCTION("""COMPUTED_VALUE"""),"інструмент губцевий, загальне")</f>
        <v>інструмент губцевий, загальне</v>
      </c>
      <c r="I1577" s="19">
        <f>IFERROR(__xludf.DUMMYFUNCTION("""COMPUTED_VALUE"""),0.125)</f>
        <v>0.125</v>
      </c>
      <c r="J1577" s="19">
        <f>IFERROR(__xludf.DUMMYFUNCTION("""COMPUTED_VALUE"""),0.25)</f>
        <v>0.25</v>
      </c>
      <c r="K1577" s="19">
        <f>IFERROR(__xludf.DUMMYFUNCTION("""COMPUTED_VALUE"""),0.3125)</f>
        <v>0.3125</v>
      </c>
      <c r="L1577" s="19">
        <f>IFERROR(__xludf.DUMMYFUNCTION("""COMPUTED_VALUE"""),0.375)</f>
        <v>0.375</v>
      </c>
      <c r="M1577" s="18">
        <f>IFERROR(__xludf.DUMMYFUNCTION("""COMPUTED_VALUE"""),4.33)</f>
        <v>4.33</v>
      </c>
    </row>
    <row r="1578">
      <c r="A1578" s="13" t="str">
        <f>IFERROR(__xludf.DUMMYFUNCTION("""COMPUTED_VALUE"""),"товари")</f>
        <v>товари</v>
      </c>
      <c r="B1578" s="16" t="str">
        <f>IFERROR(__xludf.DUMMYFUNCTION("""COMPUTED_VALUE"""),"інструменти")</f>
        <v>інструменти</v>
      </c>
      <c r="C1578" s="16" t="str">
        <f>IFERROR(__xludf.DUMMYFUNCTION("""COMPUTED_VALUE"""),"інструмент, загальне")</f>
        <v>інструмент, загальне</v>
      </c>
      <c r="D1578" s="16" t="str">
        <f>IFERROR(__xludf.DUMMYFUNCTION("""COMPUTED_VALUE"""),"інструмент, загальне")</f>
        <v>інструмент, загальне</v>
      </c>
      <c r="E1578" s="16" t="str">
        <f>IFERROR(__xludf.DUMMYFUNCTION("""COMPUTED_VALUE"""),"інструмент, загальне")</f>
        <v>інструмент, загальне</v>
      </c>
      <c r="F1578" s="17">
        <f>IFERROR(__xludf.DUMMYFUNCTION("""COMPUTED_VALUE"""),2.0)</f>
        <v>2</v>
      </c>
      <c r="G1578" s="17" t="str">
        <f>IFERROR(__xludf.DUMMYFUNCTION("""COMPUTED_VALUE"""),"142099")</f>
        <v>142099</v>
      </c>
      <c r="H1578" s="17" t="str">
        <f>IFERROR(__xludf.DUMMYFUNCTION("""COMPUTED_VALUE"""),"інструмент, загальне")</f>
        <v>інструмент, загальне</v>
      </c>
      <c r="I1578" s="19">
        <f>IFERROR(__xludf.DUMMYFUNCTION("""COMPUTED_VALUE"""),0.125)</f>
        <v>0.125</v>
      </c>
      <c r="J1578" s="19">
        <f>IFERROR(__xludf.DUMMYFUNCTION("""COMPUTED_VALUE"""),0.25)</f>
        <v>0.25</v>
      </c>
      <c r="K1578" s="19">
        <f>IFERROR(__xludf.DUMMYFUNCTION("""COMPUTED_VALUE"""),0.3125)</f>
        <v>0.3125</v>
      </c>
      <c r="L1578" s="19">
        <f>IFERROR(__xludf.DUMMYFUNCTION("""COMPUTED_VALUE"""),0.375)</f>
        <v>0.375</v>
      </c>
      <c r="M1578" s="18">
        <f>IFERROR(__xludf.DUMMYFUNCTION("""COMPUTED_VALUE"""),4.33)</f>
        <v>4.33</v>
      </c>
    </row>
    <row r="1579">
      <c r="A1579" s="13" t="str">
        <f>IFERROR(__xludf.DUMMYFUNCTION("""COMPUTED_VALUE"""),"товари")</f>
        <v>товари</v>
      </c>
      <c r="B1579" s="16" t="str">
        <f>IFERROR(__xludf.DUMMYFUNCTION("""COMPUTED_VALUE"""),"інструменти")</f>
        <v>інструменти</v>
      </c>
      <c r="C1579" s="16" t="str">
        <f>IFERROR(__xludf.DUMMYFUNCTION("""COMPUTED_VALUE"""),"будівельний інструмент")</f>
        <v>будівельний інструмент</v>
      </c>
      <c r="D1579" s="16" t="str">
        <f>IFERROR(__xludf.DUMMYFUNCTION("""COMPUTED_VALUE"""),"малярно-штукатурний інструмент")</f>
        <v>малярно-штукатурний інструмент</v>
      </c>
      <c r="E1579" s="16" t="str">
        <f>IFERROR(__xludf.DUMMYFUNCTION("""COMPUTED_VALUE"""),"кельми, штукатурні ковші")</f>
        <v>кельми, штукатурні ковші</v>
      </c>
      <c r="F1579" s="17">
        <f>IFERROR(__xludf.DUMMYFUNCTION("""COMPUTED_VALUE"""),4.0)</f>
        <v>4</v>
      </c>
      <c r="G1579" s="17" t="str">
        <f>IFERROR(__xludf.DUMMYFUNCTION("""COMPUTED_VALUE"""),"14201604")</f>
        <v>14201604</v>
      </c>
      <c r="H1579" s="17" t="str">
        <f>IFERROR(__xludf.DUMMYFUNCTION("""COMPUTED_VALUE"""),"кельми, штукатурні ковші")</f>
        <v>кельми, штукатурні ковші</v>
      </c>
      <c r="I1579" s="19">
        <f>IFERROR(__xludf.DUMMYFUNCTION("""COMPUTED_VALUE"""),0.0751)</f>
        <v>0.0751</v>
      </c>
      <c r="J1579" s="19">
        <f>IFERROR(__xludf.DUMMYFUNCTION("""COMPUTED_VALUE"""),0.1502)</f>
        <v>0.1502</v>
      </c>
      <c r="K1579" s="19">
        <f>IFERROR(__xludf.DUMMYFUNCTION("""COMPUTED_VALUE"""),0.1878)</f>
        <v>0.1878</v>
      </c>
      <c r="L1579" s="19">
        <f>IFERROR(__xludf.DUMMYFUNCTION("""COMPUTED_VALUE"""),0.2253)</f>
        <v>0.2253</v>
      </c>
      <c r="M1579" s="18">
        <f>IFERROR(__xludf.DUMMYFUNCTION("""COMPUTED_VALUE"""),1.53)</f>
        <v>1.53</v>
      </c>
    </row>
    <row r="1580">
      <c r="A1580" s="13" t="str">
        <f>IFERROR(__xludf.DUMMYFUNCTION("""COMPUTED_VALUE"""),"товари")</f>
        <v>товари</v>
      </c>
      <c r="B1580" s="16" t="str">
        <f>IFERROR(__xludf.DUMMYFUNCTION("""COMPUTED_VALUE"""),"інструменти")</f>
        <v>інструменти</v>
      </c>
      <c r="C1580" s="16" t="str">
        <f>IFERROR(__xludf.DUMMYFUNCTION("""COMPUTED_VALUE"""),"електроінструмент")</f>
        <v>електроінструмент</v>
      </c>
      <c r="D1580" s="16" t="str">
        <f>IFERROR(__xludf.DUMMYFUNCTION("""COMPUTED_VALUE"""),"клейові електричні пістолети")</f>
        <v>клейові електричні пістолети</v>
      </c>
      <c r="E1580" s="16" t="str">
        <f>IFERROR(__xludf.DUMMYFUNCTION("""COMPUTED_VALUE"""),"клейові електричні пістолети")</f>
        <v>клейові електричні пістолети</v>
      </c>
      <c r="F1580" s="17">
        <f>IFERROR(__xludf.DUMMYFUNCTION("""COMPUTED_VALUE"""),3.0)</f>
        <v>3</v>
      </c>
      <c r="G1580" s="17" t="str">
        <f>IFERROR(__xludf.DUMMYFUNCTION("""COMPUTED_VALUE"""),"141726")</f>
        <v>141726</v>
      </c>
      <c r="H1580" s="17" t="str">
        <f>IFERROR(__xludf.DUMMYFUNCTION("""COMPUTED_VALUE"""),"клейові електричні пістолети")</f>
        <v>клейові електричні пістолети</v>
      </c>
      <c r="I1580" s="19">
        <f>IFERROR(__xludf.DUMMYFUNCTION("""COMPUTED_VALUE"""),0.0573)</f>
        <v>0.0573</v>
      </c>
      <c r="J1580" s="19">
        <f>IFERROR(__xludf.DUMMYFUNCTION("""COMPUTED_VALUE"""),0.1145)</f>
        <v>0.1145</v>
      </c>
      <c r="K1580" s="19">
        <f>IFERROR(__xludf.DUMMYFUNCTION("""COMPUTED_VALUE"""),0.1431)</f>
        <v>0.1431</v>
      </c>
      <c r="L1580" s="19">
        <f>IFERROR(__xludf.DUMMYFUNCTION("""COMPUTED_VALUE"""),0.1718)</f>
        <v>0.1718</v>
      </c>
      <c r="M1580" s="18">
        <f>IFERROR(__xludf.DUMMYFUNCTION("""COMPUTED_VALUE"""),2.16)</f>
        <v>2.16</v>
      </c>
    </row>
    <row r="1581">
      <c r="A1581" s="13" t="str">
        <f>IFERROR(__xludf.DUMMYFUNCTION("""COMPUTED_VALUE"""),"товари")</f>
        <v>товари</v>
      </c>
      <c r="B1581" s="16" t="str">
        <f>IFERROR(__xludf.DUMMYFUNCTION("""COMPUTED_VALUE"""),"інструменти")</f>
        <v>інструменти</v>
      </c>
      <c r="C1581" s="16" t="str">
        <f>IFERROR(__xludf.DUMMYFUNCTION("""COMPUTED_VALUE"""),"оснащення для інструменту")</f>
        <v>оснащення для інструменту</v>
      </c>
      <c r="D1581" s="16" t="str">
        <f>IFERROR(__xludf.DUMMYFUNCTION("""COMPUTED_VALUE"""),"клейові стрижні")</f>
        <v>клейові стрижні</v>
      </c>
      <c r="E1581" s="16" t="str">
        <f>IFERROR(__xludf.DUMMYFUNCTION("""COMPUTED_VALUE"""),"клейові стрижні")</f>
        <v>клейові стрижні</v>
      </c>
      <c r="F1581" s="17">
        <f>IFERROR(__xludf.DUMMYFUNCTION("""COMPUTED_VALUE"""),3.0)</f>
        <v>3</v>
      </c>
      <c r="G1581" s="17" t="str">
        <f>IFERROR(__xludf.DUMMYFUNCTION("""COMPUTED_VALUE"""),"14201523")</f>
        <v>14201523</v>
      </c>
      <c r="H1581" s="17" t="str">
        <f>IFERROR(__xludf.DUMMYFUNCTION("""COMPUTED_VALUE"""),"клейові стрижні")</f>
        <v>клейові стрижні</v>
      </c>
      <c r="I1581" s="19">
        <f>IFERROR(__xludf.DUMMYFUNCTION("""COMPUTED_VALUE"""),0.0584)</f>
        <v>0.0584</v>
      </c>
      <c r="J1581" s="19">
        <f>IFERROR(__xludf.DUMMYFUNCTION("""COMPUTED_VALUE"""),0.1167)</f>
        <v>0.1167</v>
      </c>
      <c r="K1581" s="19">
        <f>IFERROR(__xludf.DUMMYFUNCTION("""COMPUTED_VALUE"""),0.1459)</f>
        <v>0.1459</v>
      </c>
      <c r="L1581" s="19">
        <f>IFERROR(__xludf.DUMMYFUNCTION("""COMPUTED_VALUE"""),0.1751)</f>
        <v>0.1751</v>
      </c>
      <c r="M1581" s="18">
        <f>IFERROR(__xludf.DUMMYFUNCTION("""COMPUTED_VALUE"""),1.05)</f>
        <v>1.05</v>
      </c>
    </row>
    <row r="1582">
      <c r="A1582" s="13" t="str">
        <f>IFERROR(__xludf.DUMMYFUNCTION("""COMPUTED_VALUE"""),"товари")</f>
        <v>товари</v>
      </c>
      <c r="B1582" s="16" t="str">
        <f>IFERROR(__xludf.DUMMYFUNCTION("""COMPUTED_VALUE"""),"інструменти")</f>
        <v>інструменти</v>
      </c>
      <c r="C1582" s="16" t="str">
        <f>IFERROR(__xludf.DUMMYFUNCTION("""COMPUTED_VALUE"""),"ручний інструмент")</f>
        <v>ручний інструмент</v>
      </c>
      <c r="D1582" s="16" t="str">
        <f>IFERROR(__xludf.DUMMYFUNCTION("""COMPUTED_VALUE"""),"ключі")</f>
        <v>ключі</v>
      </c>
      <c r="E1582" s="16" t="str">
        <f>IFERROR(__xludf.DUMMYFUNCTION("""COMPUTED_VALUE"""),"ключі для патрона")</f>
        <v>ключі для патрона</v>
      </c>
      <c r="F1582" s="17">
        <f>IFERROR(__xludf.DUMMYFUNCTION("""COMPUTED_VALUE"""),4.0)</f>
        <v>4</v>
      </c>
      <c r="G1582" s="17" t="str">
        <f>IFERROR(__xludf.DUMMYFUNCTION("""COMPUTED_VALUE"""),"14200328")</f>
        <v>14200328</v>
      </c>
      <c r="H1582" s="17" t="str">
        <f>IFERROR(__xludf.DUMMYFUNCTION("""COMPUTED_VALUE"""),"ключі для патрона")</f>
        <v>ключі для патрона</v>
      </c>
      <c r="I1582" s="19">
        <f>IFERROR(__xludf.DUMMYFUNCTION("""COMPUTED_VALUE"""),0.0751)</f>
        <v>0.0751</v>
      </c>
      <c r="J1582" s="19">
        <f>IFERROR(__xludf.DUMMYFUNCTION("""COMPUTED_VALUE"""),0.1501)</f>
        <v>0.1501</v>
      </c>
      <c r="K1582" s="19">
        <f>IFERROR(__xludf.DUMMYFUNCTION("""COMPUTED_VALUE"""),0.1876)</f>
        <v>0.1876</v>
      </c>
      <c r="L1582" s="19">
        <f>IFERROR(__xludf.DUMMYFUNCTION("""COMPUTED_VALUE"""),0.2252)</f>
        <v>0.2252</v>
      </c>
      <c r="M1582" s="18">
        <f>IFERROR(__xludf.DUMMYFUNCTION("""COMPUTED_VALUE"""),1.53)</f>
        <v>1.53</v>
      </c>
    </row>
    <row r="1583">
      <c r="A1583" s="13" t="str">
        <f>IFERROR(__xludf.DUMMYFUNCTION("""COMPUTED_VALUE"""),"товари")</f>
        <v>товари</v>
      </c>
      <c r="B1583" s="16" t="str">
        <f>IFERROR(__xludf.DUMMYFUNCTION("""COMPUTED_VALUE"""),"інструменти")</f>
        <v>інструменти</v>
      </c>
      <c r="C1583" s="16" t="str">
        <f>IFERROR(__xludf.DUMMYFUNCTION("""COMPUTED_VALUE"""),"ручний інструмент")</f>
        <v>ручний інструмент</v>
      </c>
      <c r="D1583" s="16" t="str">
        <f>IFERROR(__xludf.DUMMYFUNCTION("""COMPUTED_VALUE"""),"ключі")</f>
        <v>ключі</v>
      </c>
      <c r="E1583" s="16" t="str">
        <f>IFERROR(__xludf.DUMMYFUNCTION("""COMPUTED_VALUE"""),"ключі, загальне")</f>
        <v>ключі, загальне</v>
      </c>
      <c r="F1583" s="17">
        <f>IFERROR(__xludf.DUMMYFUNCTION("""COMPUTED_VALUE"""),4.0)</f>
        <v>4</v>
      </c>
      <c r="G1583" s="17" t="str">
        <f>IFERROR(__xludf.DUMMYFUNCTION("""COMPUTED_VALUE"""),"14200333")</f>
        <v>14200333</v>
      </c>
      <c r="H1583" s="17" t="str">
        <f>IFERROR(__xludf.DUMMYFUNCTION("""COMPUTED_VALUE"""),"ключі, загальне")</f>
        <v>ключі, загальне</v>
      </c>
      <c r="I1583" s="19">
        <f>IFERROR(__xludf.DUMMYFUNCTION("""COMPUTED_VALUE"""),0.125)</f>
        <v>0.125</v>
      </c>
      <c r="J1583" s="19">
        <f>IFERROR(__xludf.DUMMYFUNCTION("""COMPUTED_VALUE"""),0.25)</f>
        <v>0.25</v>
      </c>
      <c r="K1583" s="19">
        <f>IFERROR(__xludf.DUMMYFUNCTION("""COMPUTED_VALUE"""),0.3125)</f>
        <v>0.3125</v>
      </c>
      <c r="L1583" s="19">
        <f>IFERROR(__xludf.DUMMYFUNCTION("""COMPUTED_VALUE"""),0.375)</f>
        <v>0.375</v>
      </c>
      <c r="M1583" s="18">
        <f>IFERROR(__xludf.DUMMYFUNCTION("""COMPUTED_VALUE"""),4.33)</f>
        <v>4.33</v>
      </c>
    </row>
    <row r="1584">
      <c r="A1584" s="13" t="str">
        <f>IFERROR(__xludf.DUMMYFUNCTION("""COMPUTED_VALUE"""),"товари")</f>
        <v>товари</v>
      </c>
      <c r="B1584" s="16" t="str">
        <f>IFERROR(__xludf.DUMMYFUNCTION("""COMPUTED_VALUE"""),"інструменти")</f>
        <v>інструменти</v>
      </c>
      <c r="C1584" s="16" t="str">
        <f>IFERROR(__xludf.DUMMYFUNCTION("""COMPUTED_VALUE"""),"ручний інструмент")</f>
        <v>ручний інструмент</v>
      </c>
      <c r="D1584" s="16" t="str">
        <f>IFERROR(__xludf.DUMMYFUNCTION("""COMPUTED_VALUE"""),"губцеві інструменти")</f>
        <v>губцеві інструменти</v>
      </c>
      <c r="E1584" s="16" t="str">
        <f>IFERROR(__xludf.DUMMYFUNCTION("""COMPUTED_VALUE"""),"ковальські, монтажні, столярні кліщі")</f>
        <v>ковальські, монтажні, столярні кліщі</v>
      </c>
      <c r="F1584" s="17">
        <f>IFERROR(__xludf.DUMMYFUNCTION("""COMPUTED_VALUE"""),4.0)</f>
        <v>4</v>
      </c>
      <c r="G1584" s="17" t="str">
        <f>IFERROR(__xludf.DUMMYFUNCTION("""COMPUTED_VALUE"""),"14200395")</f>
        <v>14200395</v>
      </c>
      <c r="H1584" s="17" t="str">
        <f>IFERROR(__xludf.DUMMYFUNCTION("""COMPUTED_VALUE"""),"ковальські, монтажні, столярні кліщі")</f>
        <v>ковальські, монтажні, столярні кліщі</v>
      </c>
      <c r="I1584" s="19">
        <f>IFERROR(__xludf.DUMMYFUNCTION("""COMPUTED_VALUE"""),0.0683)</f>
        <v>0.0683</v>
      </c>
      <c r="J1584" s="19">
        <f>IFERROR(__xludf.DUMMYFUNCTION("""COMPUTED_VALUE"""),0.1365)</f>
        <v>0.1365</v>
      </c>
      <c r="K1584" s="19">
        <f>IFERROR(__xludf.DUMMYFUNCTION("""COMPUTED_VALUE"""),0.1706)</f>
        <v>0.1706</v>
      </c>
      <c r="L1584" s="19">
        <f>IFERROR(__xludf.DUMMYFUNCTION("""COMPUTED_VALUE"""),0.2048)</f>
        <v>0.2048</v>
      </c>
      <c r="M1584" s="18">
        <f>IFERROR(__xludf.DUMMYFUNCTION("""COMPUTED_VALUE"""),1.05)</f>
        <v>1.05</v>
      </c>
    </row>
    <row r="1585">
      <c r="A1585" s="13" t="str">
        <f>IFERROR(__xludf.DUMMYFUNCTION("""COMPUTED_VALUE"""),"товари")</f>
        <v>товари</v>
      </c>
      <c r="B1585" s="16" t="str">
        <f>IFERROR(__xludf.DUMMYFUNCTION("""COMPUTED_VALUE"""),"інструменти")</f>
        <v>інструменти</v>
      </c>
      <c r="C1585" s="16" t="str">
        <f>IFERROR(__xludf.DUMMYFUNCTION("""COMPUTED_VALUE"""),"ручний інструмент")</f>
        <v>ручний інструмент</v>
      </c>
      <c r="D1585" s="16" t="str">
        <f>IFERROR(__xludf.DUMMYFUNCTION("""COMPUTED_VALUE"""),"ключі")</f>
        <v>ключі</v>
      </c>
      <c r="E1585" s="16" t="str">
        <f>IFERROR(__xludf.DUMMYFUNCTION("""COMPUTED_VALUE"""),"комбіновані ключі")</f>
        <v>комбіновані ключі</v>
      </c>
      <c r="F1585" s="17">
        <f>IFERROR(__xludf.DUMMYFUNCTION("""COMPUTED_VALUE"""),4.0)</f>
        <v>4</v>
      </c>
      <c r="G1585" s="17" t="str">
        <f>IFERROR(__xludf.DUMMYFUNCTION("""COMPUTED_VALUE"""),"14200311")</f>
        <v>14200311</v>
      </c>
      <c r="H1585" s="17" t="str">
        <f>IFERROR(__xludf.DUMMYFUNCTION("""COMPUTED_VALUE"""),"комбіновані ключі")</f>
        <v>комбіновані ключі</v>
      </c>
      <c r="I1585" s="19">
        <f>IFERROR(__xludf.DUMMYFUNCTION("""COMPUTED_VALUE"""),0.0761)</f>
        <v>0.0761</v>
      </c>
      <c r="J1585" s="19">
        <f>IFERROR(__xludf.DUMMYFUNCTION("""COMPUTED_VALUE"""),0.1521)</f>
        <v>0.1521</v>
      </c>
      <c r="K1585" s="19">
        <f>IFERROR(__xludf.DUMMYFUNCTION("""COMPUTED_VALUE"""),0.1901)</f>
        <v>0.1901</v>
      </c>
      <c r="L1585" s="19">
        <f>IFERROR(__xludf.DUMMYFUNCTION("""COMPUTED_VALUE"""),0.2282)</f>
        <v>0.2282</v>
      </c>
      <c r="M1585" s="18">
        <f>IFERROR(__xludf.DUMMYFUNCTION("""COMPUTED_VALUE"""),1.53)</f>
        <v>1.53</v>
      </c>
    </row>
    <row r="1586">
      <c r="A1586" s="13" t="str">
        <f>IFERROR(__xludf.DUMMYFUNCTION("""COMPUTED_VALUE"""),"товари")</f>
        <v>товари</v>
      </c>
      <c r="B1586" s="16" t="str">
        <f>IFERROR(__xludf.DUMMYFUNCTION("""COMPUTED_VALUE"""),"інструменти")</f>
        <v>інструменти</v>
      </c>
      <c r="C1586" s="16" t="str">
        <f>IFERROR(__xludf.DUMMYFUNCTION("""COMPUTED_VALUE"""),"будівельний інструмент")</f>
        <v>будівельний інструмент</v>
      </c>
      <c r="D1586" s="16" t="str">
        <f>IFERROR(__xludf.DUMMYFUNCTION("""COMPUTED_VALUE"""),"будівельний вимірювальний інструмент")</f>
        <v>будівельний вимірювальний інструмент</v>
      </c>
      <c r="E1586" s="16" t="str">
        <f>IFERROR(__xludf.DUMMYFUNCTION("""COMPUTED_VALUE"""),"лазерні нівеліри, рівні, сканери")</f>
        <v>лазерні нівеліри, рівні, сканери</v>
      </c>
      <c r="F1586" s="17">
        <f>IFERROR(__xludf.DUMMYFUNCTION("""COMPUTED_VALUE"""),4.0)</f>
        <v>4</v>
      </c>
      <c r="G1586" s="17" t="str">
        <f>IFERROR(__xludf.DUMMYFUNCTION("""COMPUTED_VALUE"""),"190402")</f>
        <v>190402</v>
      </c>
      <c r="H1586" s="17" t="str">
        <f>IFERROR(__xludf.DUMMYFUNCTION("""COMPUTED_VALUE"""),"лазерні нівеліри, рівні, сканери")</f>
        <v>лазерні нівеліри, рівні, сканери</v>
      </c>
      <c r="I1586" s="19">
        <f>IFERROR(__xludf.DUMMYFUNCTION("""COMPUTED_VALUE"""),0.0746)</f>
        <v>0.0746</v>
      </c>
      <c r="J1586" s="19">
        <f>IFERROR(__xludf.DUMMYFUNCTION("""COMPUTED_VALUE"""),0.1491)</f>
        <v>0.1491</v>
      </c>
      <c r="K1586" s="19">
        <f>IFERROR(__xludf.DUMMYFUNCTION("""COMPUTED_VALUE"""),0.1864)</f>
        <v>0.1864</v>
      </c>
      <c r="L1586" s="19">
        <f>IFERROR(__xludf.DUMMYFUNCTION("""COMPUTED_VALUE"""),0.2237)</f>
        <v>0.2237</v>
      </c>
      <c r="M1586" s="18">
        <f>IFERROR(__xludf.DUMMYFUNCTION("""COMPUTED_VALUE"""),1.71)</f>
        <v>1.71</v>
      </c>
    </row>
    <row r="1587">
      <c r="A1587" s="13" t="str">
        <f>IFERROR(__xludf.DUMMYFUNCTION("""COMPUTED_VALUE"""),"товари")</f>
        <v>товари</v>
      </c>
      <c r="B1587" s="16" t="str">
        <f>IFERROR(__xludf.DUMMYFUNCTION("""COMPUTED_VALUE"""),"інструменти")</f>
        <v>інструменти</v>
      </c>
      <c r="C1587" s="16" t="str">
        <f>IFERROR(__xludf.DUMMYFUNCTION("""COMPUTED_VALUE"""),"оснащення для інструменту")</f>
        <v>оснащення для інструменту</v>
      </c>
      <c r="D1587" s="16" t="str">
        <f>IFERROR(__xludf.DUMMYFUNCTION("""COMPUTED_VALUE"""),"ланцюги для пил")</f>
        <v>ланцюги для пил</v>
      </c>
      <c r="E1587" s="16" t="str">
        <f>IFERROR(__xludf.DUMMYFUNCTION("""COMPUTED_VALUE"""),"ланцюги для пил")</f>
        <v>ланцюги для пил</v>
      </c>
      <c r="F1587" s="17">
        <f>IFERROR(__xludf.DUMMYFUNCTION("""COMPUTED_VALUE"""),3.0)</f>
        <v>3</v>
      </c>
      <c r="G1587" s="17" t="str">
        <f>IFERROR(__xludf.DUMMYFUNCTION("""COMPUTED_VALUE"""),"14201505")</f>
        <v>14201505</v>
      </c>
      <c r="H1587" s="17" t="str">
        <f>IFERROR(__xludf.DUMMYFUNCTION("""COMPUTED_VALUE"""),"ланцюги для пил")</f>
        <v>ланцюги для пил</v>
      </c>
      <c r="I1587" s="19">
        <f>IFERROR(__xludf.DUMMYFUNCTION("""COMPUTED_VALUE"""),0.056)</f>
        <v>0.056</v>
      </c>
      <c r="J1587" s="19">
        <f>IFERROR(__xludf.DUMMYFUNCTION("""COMPUTED_VALUE"""),0.1119)</f>
        <v>0.1119</v>
      </c>
      <c r="K1587" s="19">
        <f>IFERROR(__xludf.DUMMYFUNCTION("""COMPUTED_VALUE"""),0.1399)</f>
        <v>0.1399</v>
      </c>
      <c r="L1587" s="19">
        <f>IFERROR(__xludf.DUMMYFUNCTION("""COMPUTED_VALUE"""),0.1679)</f>
        <v>0.1679</v>
      </c>
      <c r="M1587" s="18">
        <f>IFERROR(__xludf.DUMMYFUNCTION("""COMPUTED_VALUE"""),1.53)</f>
        <v>1.53</v>
      </c>
    </row>
    <row r="1588">
      <c r="A1588" s="13" t="str">
        <f>IFERROR(__xludf.DUMMYFUNCTION("""COMPUTED_VALUE"""),"товари")</f>
        <v>товари</v>
      </c>
      <c r="B1588" s="16" t="str">
        <f>IFERROR(__xludf.DUMMYFUNCTION("""COMPUTED_VALUE"""),"інструменти")</f>
        <v>інструменти</v>
      </c>
      <c r="C1588" s="16" t="str">
        <f>IFERROR(__xludf.DUMMYFUNCTION("""COMPUTED_VALUE"""),"оснащення для інструменту")</f>
        <v>оснащення для інструменту</v>
      </c>
      <c r="D1588" s="16" t="str">
        <f>IFERROR(__xludf.DUMMYFUNCTION("""COMPUTED_VALUE"""),"леза для ножів")</f>
        <v>леза для ножів</v>
      </c>
      <c r="E1588" s="16" t="str">
        <f>IFERROR(__xludf.DUMMYFUNCTION("""COMPUTED_VALUE"""),"леза для ножів")</f>
        <v>леза для ножів</v>
      </c>
      <c r="F1588" s="17">
        <f>IFERROR(__xludf.DUMMYFUNCTION("""COMPUTED_VALUE"""),3.0)</f>
        <v>3</v>
      </c>
      <c r="G1588" s="17" t="str">
        <f>IFERROR(__xludf.DUMMYFUNCTION("""COMPUTED_VALUE"""),"14201510")</f>
        <v>14201510</v>
      </c>
      <c r="H1588" s="17" t="str">
        <f>IFERROR(__xludf.DUMMYFUNCTION("""COMPUTED_VALUE"""),"леза для ножів")</f>
        <v>леза для ножів</v>
      </c>
      <c r="I1588" s="19">
        <f>IFERROR(__xludf.DUMMYFUNCTION("""COMPUTED_VALUE"""),0.0757)</f>
        <v>0.0757</v>
      </c>
      <c r="J1588" s="19">
        <f>IFERROR(__xludf.DUMMYFUNCTION("""COMPUTED_VALUE"""),0.1514)</f>
        <v>0.1514</v>
      </c>
      <c r="K1588" s="19">
        <f>IFERROR(__xludf.DUMMYFUNCTION("""COMPUTED_VALUE"""),0.1893)</f>
        <v>0.1893</v>
      </c>
      <c r="L1588" s="19">
        <f>IFERROR(__xludf.DUMMYFUNCTION("""COMPUTED_VALUE"""),0.2271)</f>
        <v>0.2271</v>
      </c>
      <c r="M1588" s="18">
        <f>IFERROR(__xludf.DUMMYFUNCTION("""COMPUTED_VALUE"""),1.05)</f>
        <v>1.05</v>
      </c>
    </row>
    <row r="1589">
      <c r="A1589" s="13" t="str">
        <f>IFERROR(__xludf.DUMMYFUNCTION("""COMPUTED_VALUE"""),"товари")</f>
        <v>товари</v>
      </c>
      <c r="B1589" s="16" t="str">
        <f>IFERROR(__xludf.DUMMYFUNCTION("""COMPUTED_VALUE"""),"інструменти")</f>
        <v>інструменти</v>
      </c>
      <c r="C1589" s="16" t="str">
        <f>IFERROR(__xludf.DUMMYFUNCTION("""COMPUTED_VALUE"""),"ручний інструмент")</f>
        <v>ручний інструмент</v>
      </c>
      <c r="D1589" s="16" t="str">
        <f>IFERROR(__xludf.DUMMYFUNCTION("""COMPUTED_VALUE"""),"лещата")</f>
        <v>лещата</v>
      </c>
      <c r="E1589" s="16" t="str">
        <f>IFERROR(__xludf.DUMMYFUNCTION("""COMPUTED_VALUE"""),"лещата")</f>
        <v>лещата</v>
      </c>
      <c r="F1589" s="17">
        <f>IFERROR(__xludf.DUMMYFUNCTION("""COMPUTED_VALUE"""),3.0)</f>
        <v>3</v>
      </c>
      <c r="G1589" s="17" t="str">
        <f>IFERROR(__xludf.DUMMYFUNCTION("""COMPUTED_VALUE"""),"14200315")</f>
        <v>14200315</v>
      </c>
      <c r="H1589" s="17" t="str">
        <f>IFERROR(__xludf.DUMMYFUNCTION("""COMPUTED_VALUE"""),"лещата")</f>
        <v>лещата</v>
      </c>
      <c r="I1589" s="19">
        <f>IFERROR(__xludf.DUMMYFUNCTION("""COMPUTED_VALUE"""),0.0678)</f>
        <v>0.0678</v>
      </c>
      <c r="J1589" s="19">
        <f>IFERROR(__xludf.DUMMYFUNCTION("""COMPUTED_VALUE"""),0.1355)</f>
        <v>0.1355</v>
      </c>
      <c r="K1589" s="19">
        <f>IFERROR(__xludf.DUMMYFUNCTION("""COMPUTED_VALUE"""),0.1694)</f>
        <v>0.1694</v>
      </c>
      <c r="L1589" s="19">
        <f>IFERROR(__xludf.DUMMYFUNCTION("""COMPUTED_VALUE"""),0.2033)</f>
        <v>0.2033</v>
      </c>
      <c r="M1589" s="18">
        <f>IFERROR(__xludf.DUMMYFUNCTION("""COMPUTED_VALUE"""),2.25)</f>
        <v>2.25</v>
      </c>
    </row>
    <row r="1590">
      <c r="A1590" s="13" t="str">
        <f>IFERROR(__xludf.DUMMYFUNCTION("""COMPUTED_VALUE"""),"товари")</f>
        <v>товари</v>
      </c>
      <c r="B1590" s="16" t="str">
        <f>IFERROR(__xludf.DUMMYFUNCTION("""COMPUTED_VALUE"""),"інструменти")</f>
        <v>інструменти</v>
      </c>
      <c r="C1590" s="16" t="str">
        <f>IFERROR(__xludf.DUMMYFUNCTION("""COMPUTED_VALUE"""),"ручний інструмент")</f>
        <v>ручний інструмент</v>
      </c>
      <c r="D1590" s="16" t="str">
        <f>IFERROR(__xludf.DUMMYFUNCTION("""COMPUTED_VALUE"""),"ломи, цвяходери")</f>
        <v>ломи, цвяходери</v>
      </c>
      <c r="E1590" s="16" t="str">
        <f>IFERROR(__xludf.DUMMYFUNCTION("""COMPUTED_VALUE"""),"ломи, цвяходери")</f>
        <v>ломи, цвяходери</v>
      </c>
      <c r="F1590" s="17">
        <f>IFERROR(__xludf.DUMMYFUNCTION("""COMPUTED_VALUE"""),3.0)</f>
        <v>3</v>
      </c>
      <c r="G1590" s="17" t="str">
        <f>IFERROR(__xludf.DUMMYFUNCTION("""COMPUTED_VALUE"""),"14201609")</f>
        <v>14201609</v>
      </c>
      <c r="H1590" s="17" t="str">
        <f>IFERROR(__xludf.DUMMYFUNCTION("""COMPUTED_VALUE"""),"ломи, цвяходери")</f>
        <v>ломи, цвяходери</v>
      </c>
      <c r="I1590" s="19">
        <f>IFERROR(__xludf.DUMMYFUNCTION("""COMPUTED_VALUE"""),0.0697)</f>
        <v>0.0697</v>
      </c>
      <c r="J1590" s="19">
        <f>IFERROR(__xludf.DUMMYFUNCTION("""COMPUTED_VALUE"""),0.1394)</f>
        <v>0.1394</v>
      </c>
      <c r="K1590" s="19">
        <f>IFERROR(__xludf.DUMMYFUNCTION("""COMPUTED_VALUE"""),0.1743)</f>
        <v>0.1743</v>
      </c>
      <c r="L1590" s="19">
        <f>IFERROR(__xludf.DUMMYFUNCTION("""COMPUTED_VALUE"""),0.2091)</f>
        <v>0.2091</v>
      </c>
      <c r="M1590" s="18">
        <f>IFERROR(__xludf.DUMMYFUNCTION("""COMPUTED_VALUE"""),1.05)</f>
        <v>1.05</v>
      </c>
    </row>
    <row r="1591">
      <c r="A1591" s="13" t="str">
        <f>IFERROR(__xludf.DUMMYFUNCTION("""COMPUTED_VALUE"""),"товари")</f>
        <v>товари</v>
      </c>
      <c r="B1591" s="16" t="str">
        <f>IFERROR(__xludf.DUMMYFUNCTION("""COMPUTED_VALUE"""),"інструменти")</f>
        <v>інструменти</v>
      </c>
      <c r="C1591" s="16" t="str">
        <f>IFERROR(__xludf.DUMMYFUNCTION("""COMPUTED_VALUE"""),"будівельний інструмент")</f>
        <v>будівельний інструмент</v>
      </c>
      <c r="D1591" s="16" t="str">
        <f>IFERROR(__xludf.DUMMYFUNCTION("""COMPUTED_VALUE"""),"малярно-штукатурний інструмент")</f>
        <v>малярно-штукатурний інструмент</v>
      </c>
      <c r="E1591" s="16" t="str">
        <f>IFERROR(__xludf.DUMMYFUNCTION("""COMPUTED_VALUE"""),"малярні ванночки")</f>
        <v>малярні ванночки</v>
      </c>
      <c r="F1591" s="17">
        <f>IFERROR(__xludf.DUMMYFUNCTION("""COMPUTED_VALUE"""),4.0)</f>
        <v>4</v>
      </c>
      <c r="G1591" s="17" t="str">
        <f>IFERROR(__xludf.DUMMYFUNCTION("""COMPUTED_VALUE"""),"14201628")</f>
        <v>14201628</v>
      </c>
      <c r="H1591" s="17" t="str">
        <f>IFERROR(__xludf.DUMMYFUNCTION("""COMPUTED_VALUE"""),"малярні ванночки")</f>
        <v>малярні ванночки</v>
      </c>
      <c r="I1591" s="19">
        <f>IFERROR(__xludf.DUMMYFUNCTION("""COMPUTED_VALUE"""),0.0758)</f>
        <v>0.0758</v>
      </c>
      <c r="J1591" s="19">
        <f>IFERROR(__xludf.DUMMYFUNCTION("""COMPUTED_VALUE"""),0.1515)</f>
        <v>0.1515</v>
      </c>
      <c r="K1591" s="19">
        <f>IFERROR(__xludf.DUMMYFUNCTION("""COMPUTED_VALUE"""),0.1894)</f>
        <v>0.1894</v>
      </c>
      <c r="L1591" s="19">
        <f>IFERROR(__xludf.DUMMYFUNCTION("""COMPUTED_VALUE"""),0.2273)</f>
        <v>0.2273</v>
      </c>
      <c r="M1591" s="18">
        <f>IFERROR(__xludf.DUMMYFUNCTION("""COMPUTED_VALUE"""),1.53)</f>
        <v>1.53</v>
      </c>
    </row>
    <row r="1592">
      <c r="A1592" s="13" t="str">
        <f>IFERROR(__xludf.DUMMYFUNCTION("""COMPUTED_VALUE"""),"товари")</f>
        <v>товари</v>
      </c>
      <c r="B1592" s="16" t="str">
        <f>IFERROR(__xludf.DUMMYFUNCTION("""COMPUTED_VALUE"""),"інструменти")</f>
        <v>інструменти</v>
      </c>
      <c r="C1592" s="16" t="str">
        <f>IFERROR(__xludf.DUMMYFUNCTION("""COMPUTED_VALUE"""),"будівельний інструмент")</f>
        <v>будівельний інструмент</v>
      </c>
      <c r="D1592" s="16" t="str">
        <f>IFERROR(__xludf.DUMMYFUNCTION("""COMPUTED_VALUE"""),"малярно-штукатурний інструмент")</f>
        <v>малярно-штукатурний інструмент</v>
      </c>
      <c r="E1592" s="16" t="str">
        <f>IFERROR(__xludf.DUMMYFUNCTION("""COMPUTED_VALUE"""),"малярні стрічки, скотч")</f>
        <v>малярні стрічки, скотч</v>
      </c>
      <c r="F1592" s="17">
        <f>IFERROR(__xludf.DUMMYFUNCTION("""COMPUTED_VALUE"""),4.0)</f>
        <v>4</v>
      </c>
      <c r="G1592" s="17" t="str">
        <f>IFERROR(__xludf.DUMMYFUNCTION("""COMPUTED_VALUE"""),"14201627")</f>
        <v>14201627</v>
      </c>
      <c r="H1592" s="17" t="str">
        <f>IFERROR(__xludf.DUMMYFUNCTION("""COMPUTED_VALUE"""),"малярні стрічки, скотч")</f>
        <v>малярні стрічки, скотч</v>
      </c>
      <c r="I1592" s="19">
        <f>IFERROR(__xludf.DUMMYFUNCTION("""COMPUTED_VALUE"""),0.0676)</f>
        <v>0.0676</v>
      </c>
      <c r="J1592" s="19">
        <f>IFERROR(__xludf.DUMMYFUNCTION("""COMPUTED_VALUE"""),0.1351)</f>
        <v>0.1351</v>
      </c>
      <c r="K1592" s="19">
        <f>IFERROR(__xludf.DUMMYFUNCTION("""COMPUTED_VALUE"""),0.1689)</f>
        <v>0.1689</v>
      </c>
      <c r="L1592" s="19">
        <f>IFERROR(__xludf.DUMMYFUNCTION("""COMPUTED_VALUE"""),0.2027)</f>
        <v>0.2027</v>
      </c>
      <c r="M1592" s="18">
        <f>IFERROR(__xludf.DUMMYFUNCTION("""COMPUTED_VALUE"""),1.53)</f>
        <v>1.53</v>
      </c>
    </row>
    <row r="1593">
      <c r="A1593" s="13" t="str">
        <f>IFERROR(__xludf.DUMMYFUNCTION("""COMPUTED_VALUE"""),"товари")</f>
        <v>товари</v>
      </c>
      <c r="B1593" s="16" t="str">
        <f>IFERROR(__xludf.DUMMYFUNCTION("""COMPUTED_VALUE"""),"інструменти")</f>
        <v>інструменти</v>
      </c>
      <c r="C1593" s="16" t="str">
        <f>IFERROR(__xludf.DUMMYFUNCTION("""COMPUTED_VALUE"""),"будівельний інструмент")</f>
        <v>будівельний інструмент</v>
      </c>
      <c r="D1593" s="16" t="str">
        <f>IFERROR(__xludf.DUMMYFUNCTION("""COMPUTED_VALUE"""),"малярно-штукатурний інструмент")</f>
        <v>малярно-штукатурний інструмент</v>
      </c>
      <c r="E1593" s="16" t="str">
        <f>IFERROR(__xludf.DUMMYFUNCTION("""COMPUTED_VALUE"""),"малярно-штукатурні валики")</f>
        <v>малярно-штукатурні валики</v>
      </c>
      <c r="F1593" s="17">
        <f>IFERROR(__xludf.DUMMYFUNCTION("""COMPUTED_VALUE"""),4.0)</f>
        <v>4</v>
      </c>
      <c r="G1593" s="17" t="str">
        <f>IFERROR(__xludf.DUMMYFUNCTION("""COMPUTED_VALUE"""),"14201626")</f>
        <v>14201626</v>
      </c>
      <c r="H1593" s="17" t="str">
        <f>IFERROR(__xludf.DUMMYFUNCTION("""COMPUTED_VALUE"""),"малярно-штукатурні валики")</f>
        <v>малярно-штукатурні валики</v>
      </c>
      <c r="I1593" s="19">
        <f>IFERROR(__xludf.DUMMYFUNCTION("""COMPUTED_VALUE"""),0.0761)</f>
        <v>0.0761</v>
      </c>
      <c r="J1593" s="19">
        <f>IFERROR(__xludf.DUMMYFUNCTION("""COMPUTED_VALUE"""),0.1521)</f>
        <v>0.1521</v>
      </c>
      <c r="K1593" s="19">
        <f>IFERROR(__xludf.DUMMYFUNCTION("""COMPUTED_VALUE"""),0.1901)</f>
        <v>0.1901</v>
      </c>
      <c r="L1593" s="19">
        <f>IFERROR(__xludf.DUMMYFUNCTION("""COMPUTED_VALUE"""),0.2282)</f>
        <v>0.2282</v>
      </c>
      <c r="M1593" s="18">
        <f>IFERROR(__xludf.DUMMYFUNCTION("""COMPUTED_VALUE"""),1.53)</f>
        <v>1.53</v>
      </c>
    </row>
    <row r="1594">
      <c r="A1594" s="13" t="str">
        <f>IFERROR(__xludf.DUMMYFUNCTION("""COMPUTED_VALUE"""),"товари")</f>
        <v>товари</v>
      </c>
      <c r="B1594" s="16" t="str">
        <f>IFERROR(__xludf.DUMMYFUNCTION("""COMPUTED_VALUE"""),"інструменти")</f>
        <v>інструменти</v>
      </c>
      <c r="C1594" s="16" t="str">
        <f>IFERROR(__xludf.DUMMYFUNCTION("""COMPUTED_VALUE"""),"будівельний інструмент")</f>
        <v>будівельний інструмент</v>
      </c>
      <c r="D1594" s="16" t="str">
        <f>IFERROR(__xludf.DUMMYFUNCTION("""COMPUTED_VALUE"""),"малярно-штукатурний інструмент")</f>
        <v>малярно-штукатурний інструмент</v>
      </c>
      <c r="E1594" s="16" t="str">
        <f>IFERROR(__xludf.DUMMYFUNCTION("""COMPUTED_VALUE"""),"малярно-штукатурні інструмент, загальне")</f>
        <v>малярно-штукатурні інструмент, загальне</v>
      </c>
      <c r="F1594" s="17">
        <f>IFERROR(__xludf.DUMMYFUNCTION("""COMPUTED_VALUE"""),4.0)</f>
        <v>4</v>
      </c>
      <c r="G1594" s="17" t="str">
        <f>IFERROR(__xludf.DUMMYFUNCTION("""COMPUTED_VALUE"""),"14201630")</f>
        <v>14201630</v>
      </c>
      <c r="H1594" s="17" t="str">
        <f>IFERROR(__xludf.DUMMYFUNCTION("""COMPUTED_VALUE"""),"малярно-штукатурні інструмент, загальне")</f>
        <v>малярно-штукатурні інструмент, загальне</v>
      </c>
      <c r="I1594" s="19">
        <f>IFERROR(__xludf.DUMMYFUNCTION("""COMPUTED_VALUE"""),0.125)</f>
        <v>0.125</v>
      </c>
      <c r="J1594" s="19">
        <f>IFERROR(__xludf.DUMMYFUNCTION("""COMPUTED_VALUE"""),0.25)</f>
        <v>0.25</v>
      </c>
      <c r="K1594" s="19">
        <f>IFERROR(__xludf.DUMMYFUNCTION("""COMPUTED_VALUE"""),0.3125)</f>
        <v>0.3125</v>
      </c>
      <c r="L1594" s="19">
        <f>IFERROR(__xludf.DUMMYFUNCTION("""COMPUTED_VALUE"""),0.375)</f>
        <v>0.375</v>
      </c>
      <c r="M1594" s="18">
        <f>IFERROR(__xludf.DUMMYFUNCTION("""COMPUTED_VALUE"""),4.33)</f>
        <v>4.33</v>
      </c>
    </row>
    <row r="1595">
      <c r="A1595" s="13" t="str">
        <f>IFERROR(__xludf.DUMMYFUNCTION("""COMPUTED_VALUE"""),"товари")</f>
        <v>товари</v>
      </c>
      <c r="B1595" s="16" t="str">
        <f>IFERROR(__xludf.DUMMYFUNCTION("""COMPUTED_VALUE"""),"інструменти")</f>
        <v>інструменти</v>
      </c>
      <c r="C1595" s="16" t="str">
        <f>IFERROR(__xludf.DUMMYFUNCTION("""COMPUTED_VALUE"""),"будівельний інструмент")</f>
        <v>будівельний інструмент</v>
      </c>
      <c r="D1595" s="16" t="str">
        <f>IFERROR(__xludf.DUMMYFUNCTION("""COMPUTED_VALUE"""),"малярно-штукатурний інструмент")</f>
        <v>малярно-штукатурний інструмент</v>
      </c>
      <c r="E1595" s="16" t="str">
        <f>IFERROR(__xludf.DUMMYFUNCTION("""COMPUTED_VALUE"""),"малярні пензлі")</f>
        <v>малярні пензлі</v>
      </c>
      <c r="F1595" s="17">
        <f>IFERROR(__xludf.DUMMYFUNCTION("""COMPUTED_VALUE"""),4.0)</f>
        <v>4</v>
      </c>
      <c r="G1595" s="17" t="str">
        <f>IFERROR(__xludf.DUMMYFUNCTION("""COMPUTED_VALUE"""),"14201625")</f>
        <v>14201625</v>
      </c>
      <c r="H1595" s="17" t="str">
        <f>IFERROR(__xludf.DUMMYFUNCTION("""COMPUTED_VALUE"""),"малярні пензлі")</f>
        <v>малярні пензлі</v>
      </c>
      <c r="I1595" s="19">
        <f>IFERROR(__xludf.DUMMYFUNCTION("""COMPUTED_VALUE"""),0.0767)</f>
        <v>0.0767</v>
      </c>
      <c r="J1595" s="19">
        <f>IFERROR(__xludf.DUMMYFUNCTION("""COMPUTED_VALUE"""),0.1534)</f>
        <v>0.1534</v>
      </c>
      <c r="K1595" s="19">
        <f>IFERROR(__xludf.DUMMYFUNCTION("""COMPUTED_VALUE"""),0.1918)</f>
        <v>0.1918</v>
      </c>
      <c r="L1595" s="19">
        <f>IFERROR(__xludf.DUMMYFUNCTION("""COMPUTED_VALUE"""),0.2301)</f>
        <v>0.2301</v>
      </c>
      <c r="M1595" s="18">
        <f>IFERROR(__xludf.DUMMYFUNCTION("""COMPUTED_VALUE"""),1.53)</f>
        <v>1.53</v>
      </c>
    </row>
    <row r="1596">
      <c r="A1596" s="13" t="str">
        <f>IFERROR(__xludf.DUMMYFUNCTION("""COMPUTED_VALUE"""),"товари")</f>
        <v>товари</v>
      </c>
      <c r="B1596" s="16" t="str">
        <f>IFERROR(__xludf.DUMMYFUNCTION("""COMPUTED_VALUE"""),"інструменти")</f>
        <v>інструменти</v>
      </c>
      <c r="C1596" s="16" t="str">
        <f>IFERROR(__xludf.DUMMYFUNCTION("""COMPUTED_VALUE"""),"металорізальний інструмент")</f>
        <v>металорізальний інструмент</v>
      </c>
      <c r="D1596" s="16" t="str">
        <f>IFERROR(__xludf.DUMMYFUNCTION("""COMPUTED_VALUE"""),"металорізальний інструмент, загальне")</f>
        <v>металорізальний інструмент, загальне</v>
      </c>
      <c r="E1596" s="16" t="str">
        <f>IFERROR(__xludf.DUMMYFUNCTION("""COMPUTED_VALUE"""),"металорізальний інструмент, загальне")</f>
        <v>металорізальний інструмент, загальне</v>
      </c>
      <c r="F1596" s="17">
        <f>IFERROR(__xludf.DUMMYFUNCTION("""COMPUTED_VALUE"""),3.0)</f>
        <v>3</v>
      </c>
      <c r="G1596" s="17" t="str">
        <f>IFERROR(__xludf.DUMMYFUNCTION("""COMPUTED_VALUE"""),"14201001")</f>
        <v>14201001</v>
      </c>
      <c r="H1596" s="17" t="str">
        <f>IFERROR(__xludf.DUMMYFUNCTION("""COMPUTED_VALUE"""),"металорізальний інструмент, загальне")</f>
        <v>металорізальний інструмент, загальне</v>
      </c>
      <c r="I1596" s="19">
        <f>IFERROR(__xludf.DUMMYFUNCTION("""COMPUTED_VALUE"""),0.125)</f>
        <v>0.125</v>
      </c>
      <c r="J1596" s="19">
        <f>IFERROR(__xludf.DUMMYFUNCTION("""COMPUTED_VALUE"""),0.25)</f>
        <v>0.25</v>
      </c>
      <c r="K1596" s="19">
        <f>IFERROR(__xludf.DUMMYFUNCTION("""COMPUTED_VALUE"""),0.3125)</f>
        <v>0.3125</v>
      </c>
      <c r="L1596" s="19">
        <f>IFERROR(__xludf.DUMMYFUNCTION("""COMPUTED_VALUE"""),0.375)</f>
        <v>0.375</v>
      </c>
      <c r="M1596" s="18">
        <f>IFERROR(__xludf.DUMMYFUNCTION("""COMPUTED_VALUE"""),4.33)</f>
        <v>4.33</v>
      </c>
    </row>
    <row r="1597">
      <c r="A1597" s="13" t="str">
        <f>IFERROR(__xludf.DUMMYFUNCTION("""COMPUTED_VALUE"""),"товари")</f>
        <v>товари</v>
      </c>
      <c r="B1597" s="16" t="str">
        <f>IFERROR(__xludf.DUMMYFUNCTION("""COMPUTED_VALUE"""),"інструменти")</f>
        <v>інструменти</v>
      </c>
      <c r="C1597" s="16" t="str">
        <f>IFERROR(__xludf.DUMMYFUNCTION("""COMPUTED_VALUE"""),"ручний інструмент")</f>
        <v>ручний інструмент</v>
      </c>
      <c r="D1597" s="16" t="str">
        <f>IFERROR(__xludf.DUMMYFUNCTION("""COMPUTED_VALUE"""),"механічні дрилі")</f>
        <v>механічні дрилі</v>
      </c>
      <c r="E1597" s="16" t="str">
        <f>IFERROR(__xludf.DUMMYFUNCTION("""COMPUTED_VALUE"""),"механічні дрилі")</f>
        <v>механічні дрилі</v>
      </c>
      <c r="F1597" s="17">
        <f>IFERROR(__xludf.DUMMYFUNCTION("""COMPUTED_VALUE"""),3.0)</f>
        <v>3</v>
      </c>
      <c r="G1597" s="17" t="str">
        <f>IFERROR(__xludf.DUMMYFUNCTION("""COMPUTED_VALUE"""),"14200396")</f>
        <v>14200396</v>
      </c>
      <c r="H1597" s="17" t="str">
        <f>IFERROR(__xludf.DUMMYFUNCTION("""COMPUTED_VALUE"""),"механічні дрилі")</f>
        <v>механічні дрилі</v>
      </c>
      <c r="I1597" s="19">
        <f>IFERROR(__xludf.DUMMYFUNCTION("""COMPUTED_VALUE"""),0.0532)</f>
        <v>0.0532</v>
      </c>
      <c r="J1597" s="19">
        <f>IFERROR(__xludf.DUMMYFUNCTION("""COMPUTED_VALUE"""),0.1063)</f>
        <v>0.1063</v>
      </c>
      <c r="K1597" s="19">
        <f>IFERROR(__xludf.DUMMYFUNCTION("""COMPUTED_VALUE"""),0.1329)</f>
        <v>0.1329</v>
      </c>
      <c r="L1597" s="19">
        <f>IFERROR(__xludf.DUMMYFUNCTION("""COMPUTED_VALUE"""),0.1595)</f>
        <v>0.1595</v>
      </c>
      <c r="M1597" s="18">
        <f>IFERROR(__xludf.DUMMYFUNCTION("""COMPUTED_VALUE"""),1.05)</f>
        <v>1.05</v>
      </c>
    </row>
    <row r="1598">
      <c r="A1598" s="13" t="str">
        <f>IFERROR(__xludf.DUMMYFUNCTION("""COMPUTED_VALUE"""),"товари")</f>
        <v>товари</v>
      </c>
      <c r="B1598" s="16" t="str">
        <f>IFERROR(__xludf.DUMMYFUNCTION("""COMPUTED_VALUE"""),"інструменти")</f>
        <v>інструменти</v>
      </c>
      <c r="C1598" s="16" t="str">
        <f>IFERROR(__xludf.DUMMYFUNCTION("""COMPUTED_VALUE"""),"ручний інструмент")</f>
        <v>ручний інструмент</v>
      </c>
      <c r="D1598" s="16" t="str">
        <f>IFERROR(__xludf.DUMMYFUNCTION("""COMPUTED_VALUE"""),"ручні знімачі")</f>
        <v>ручні знімачі</v>
      </c>
      <c r="E1598" s="16" t="str">
        <f>IFERROR(__xludf.DUMMYFUNCTION("""COMPUTED_VALUE"""),"механічні знімачі")</f>
        <v>механічні знімачі</v>
      </c>
      <c r="F1598" s="17">
        <f>IFERROR(__xludf.DUMMYFUNCTION("""COMPUTED_VALUE"""),4.0)</f>
        <v>4</v>
      </c>
      <c r="G1598" s="17" t="str">
        <f>IFERROR(__xludf.DUMMYFUNCTION("""COMPUTED_VALUE"""),"14200351")</f>
        <v>14200351</v>
      </c>
      <c r="H1598" s="17" t="str">
        <f>IFERROR(__xludf.DUMMYFUNCTION("""COMPUTED_VALUE"""),"механічні знімачі")</f>
        <v>механічні знімачі</v>
      </c>
      <c r="I1598" s="19">
        <f>IFERROR(__xludf.DUMMYFUNCTION("""COMPUTED_VALUE"""),0.073)</f>
        <v>0.073</v>
      </c>
      <c r="J1598" s="19">
        <f>IFERROR(__xludf.DUMMYFUNCTION("""COMPUTED_VALUE"""),0.146)</f>
        <v>0.146</v>
      </c>
      <c r="K1598" s="19">
        <f>IFERROR(__xludf.DUMMYFUNCTION("""COMPUTED_VALUE"""),0.1825)</f>
        <v>0.1825</v>
      </c>
      <c r="L1598" s="19">
        <f>IFERROR(__xludf.DUMMYFUNCTION("""COMPUTED_VALUE"""),0.219)</f>
        <v>0.219</v>
      </c>
      <c r="M1598" s="18">
        <f>IFERROR(__xludf.DUMMYFUNCTION("""COMPUTED_VALUE"""),1.63)</f>
        <v>1.63</v>
      </c>
    </row>
    <row r="1599">
      <c r="A1599" s="13" t="str">
        <f>IFERROR(__xludf.DUMMYFUNCTION("""COMPUTED_VALUE"""),"товари")</f>
        <v>товари</v>
      </c>
      <c r="B1599" s="16" t="str">
        <f>IFERROR(__xludf.DUMMYFUNCTION("""COMPUTED_VALUE"""),"інструменти")</f>
        <v>інструменти</v>
      </c>
      <c r="C1599" s="16" t="str">
        <f>IFERROR(__xludf.DUMMYFUNCTION("""COMPUTED_VALUE"""),"ручний інструмент")</f>
        <v>ручний інструмент</v>
      </c>
      <c r="D1599" s="16" t="str">
        <f>IFERROR(__xludf.DUMMYFUNCTION("""COMPUTED_VALUE"""),"механічні степлери")</f>
        <v>механічні степлери</v>
      </c>
      <c r="E1599" s="16" t="str">
        <f>IFERROR(__xludf.DUMMYFUNCTION("""COMPUTED_VALUE"""),"механічні степлери")</f>
        <v>механічні степлери</v>
      </c>
      <c r="F1599" s="17">
        <f>IFERROR(__xludf.DUMMYFUNCTION("""COMPUTED_VALUE"""),3.0)</f>
        <v>3</v>
      </c>
      <c r="G1599" s="17" t="str">
        <f>IFERROR(__xludf.DUMMYFUNCTION("""COMPUTED_VALUE"""),"14200335")</f>
        <v>14200335</v>
      </c>
      <c r="H1599" s="17" t="str">
        <f>IFERROR(__xludf.DUMMYFUNCTION("""COMPUTED_VALUE"""),"механічні степлери")</f>
        <v>механічні степлери</v>
      </c>
      <c r="I1599" s="19">
        <f>IFERROR(__xludf.DUMMYFUNCTION("""COMPUTED_VALUE"""),0.0683)</f>
        <v>0.0683</v>
      </c>
      <c r="J1599" s="19">
        <f>IFERROR(__xludf.DUMMYFUNCTION("""COMPUTED_VALUE"""),0.1365)</f>
        <v>0.1365</v>
      </c>
      <c r="K1599" s="19">
        <f>IFERROR(__xludf.DUMMYFUNCTION("""COMPUTED_VALUE"""),0.1706)</f>
        <v>0.1706</v>
      </c>
      <c r="L1599" s="19">
        <f>IFERROR(__xludf.DUMMYFUNCTION("""COMPUTED_VALUE"""),0.2048)</f>
        <v>0.2048</v>
      </c>
      <c r="M1599" s="18">
        <f>IFERROR(__xludf.DUMMYFUNCTION("""COMPUTED_VALUE"""),1.05)</f>
        <v>1.05</v>
      </c>
    </row>
    <row r="1600">
      <c r="A1600" s="13" t="str">
        <f>IFERROR(__xludf.DUMMYFUNCTION("""COMPUTED_VALUE"""),"товари")</f>
        <v>товари</v>
      </c>
      <c r="B1600" s="16" t="str">
        <f>IFERROR(__xludf.DUMMYFUNCTION("""COMPUTED_VALUE"""),"інструменти")</f>
        <v>інструменти</v>
      </c>
      <c r="C1600" s="16" t="str">
        <f>IFERROR(__xludf.DUMMYFUNCTION("""COMPUTED_VALUE"""),"оснащення для інструменту")</f>
        <v>оснащення для інструменту</v>
      </c>
      <c r="D1600" s="16" t="str">
        <f>IFERROR(__xludf.DUMMYFUNCTION("""COMPUTED_VALUE"""),"мітчики")</f>
        <v>мітчики</v>
      </c>
      <c r="E1600" s="16" t="str">
        <f>IFERROR(__xludf.DUMMYFUNCTION("""COMPUTED_VALUE"""),"мітчики")</f>
        <v>мітчики</v>
      </c>
      <c r="F1600" s="17">
        <f>IFERROR(__xludf.DUMMYFUNCTION("""COMPUTED_VALUE"""),3.0)</f>
        <v>3</v>
      </c>
      <c r="G1600" s="17" t="str">
        <f>IFERROR(__xludf.DUMMYFUNCTION("""COMPUTED_VALUE"""),"14201004")</f>
        <v>14201004</v>
      </c>
      <c r="H1600" s="17" t="str">
        <f>IFERROR(__xludf.DUMMYFUNCTION("""COMPUTED_VALUE"""),"мітчики")</f>
        <v>мітчики</v>
      </c>
      <c r="I1600" s="19">
        <f>IFERROR(__xludf.DUMMYFUNCTION("""COMPUTED_VALUE"""),0.057)</f>
        <v>0.057</v>
      </c>
      <c r="J1600" s="19">
        <f>IFERROR(__xludf.DUMMYFUNCTION("""COMPUTED_VALUE"""),0.114)</f>
        <v>0.114</v>
      </c>
      <c r="K1600" s="19">
        <f>IFERROR(__xludf.DUMMYFUNCTION("""COMPUTED_VALUE"""),0.1425)</f>
        <v>0.1425</v>
      </c>
      <c r="L1600" s="19">
        <f>IFERROR(__xludf.DUMMYFUNCTION("""COMPUTED_VALUE"""),0.171)</f>
        <v>0.171</v>
      </c>
      <c r="M1600" s="18">
        <f>IFERROR(__xludf.DUMMYFUNCTION("""COMPUTED_VALUE"""),1.71)</f>
        <v>1.71</v>
      </c>
    </row>
    <row r="1601">
      <c r="A1601" s="13" t="str">
        <f>IFERROR(__xludf.DUMMYFUNCTION("""COMPUTED_VALUE"""),"товари")</f>
        <v>товари</v>
      </c>
      <c r="B1601" s="16" t="str">
        <f>IFERROR(__xludf.DUMMYFUNCTION("""COMPUTED_VALUE"""),"інструменти")</f>
        <v>інструменти</v>
      </c>
      <c r="C1601" s="16" t="str">
        <f>IFERROR(__xludf.DUMMYFUNCTION("""COMPUTED_VALUE"""),"ручний інструмент")</f>
        <v>ручний інструмент</v>
      </c>
      <c r="D1601" s="16" t="str">
        <f>IFERROR(__xludf.DUMMYFUNCTION("""COMPUTED_VALUE"""),"молотки, кувалди, киянки")</f>
        <v>молотки, кувалди, киянки</v>
      </c>
      <c r="E1601" s="16" t="str">
        <f>IFERROR(__xludf.DUMMYFUNCTION("""COMPUTED_VALUE"""),"молотки, кувалди, киянки")</f>
        <v>молотки, кувалди, киянки</v>
      </c>
      <c r="F1601" s="17">
        <f>IFERROR(__xludf.DUMMYFUNCTION("""COMPUTED_VALUE"""),3.0)</f>
        <v>3</v>
      </c>
      <c r="G1601" s="17" t="str">
        <f>IFERROR(__xludf.DUMMYFUNCTION("""COMPUTED_VALUE"""),"14200305")</f>
        <v>14200305</v>
      </c>
      <c r="H1601" s="17" t="str">
        <f>IFERROR(__xludf.DUMMYFUNCTION("""COMPUTED_VALUE"""),"молотки, кувалди, киянки")</f>
        <v>молотки, кувалди, киянки</v>
      </c>
      <c r="I1601" s="19">
        <f>IFERROR(__xludf.DUMMYFUNCTION("""COMPUTED_VALUE"""),0.0678)</f>
        <v>0.0678</v>
      </c>
      <c r="J1601" s="19">
        <f>IFERROR(__xludf.DUMMYFUNCTION("""COMPUTED_VALUE"""),0.1355)</f>
        <v>0.1355</v>
      </c>
      <c r="K1601" s="19">
        <f>IFERROR(__xludf.DUMMYFUNCTION("""COMPUTED_VALUE"""),0.1694)</f>
        <v>0.1694</v>
      </c>
      <c r="L1601" s="19">
        <f>IFERROR(__xludf.DUMMYFUNCTION("""COMPUTED_VALUE"""),0.2033)</f>
        <v>0.2033</v>
      </c>
      <c r="M1601" s="18">
        <f>IFERROR(__xludf.DUMMYFUNCTION("""COMPUTED_VALUE"""),1.26)</f>
        <v>1.26</v>
      </c>
    </row>
    <row r="1602">
      <c r="A1602" s="13" t="str">
        <f>IFERROR(__xludf.DUMMYFUNCTION("""COMPUTED_VALUE"""),"товари")</f>
        <v>товари</v>
      </c>
      <c r="B1602" s="16" t="str">
        <f>IFERROR(__xludf.DUMMYFUNCTION("""COMPUTED_VALUE"""),"інструменти")</f>
        <v>інструменти</v>
      </c>
      <c r="C1602" s="16" t="str">
        <f>IFERROR(__xludf.DUMMYFUNCTION("""COMPUTED_VALUE"""),"ручний інструмент")</f>
        <v>ручний інструмент</v>
      </c>
      <c r="D1602" s="16" t="str">
        <f>IFERROR(__xludf.DUMMYFUNCTION("""COMPUTED_VALUE"""),"монтажні пінцети")</f>
        <v>монтажні пінцети</v>
      </c>
      <c r="E1602" s="16" t="str">
        <f>IFERROR(__xludf.DUMMYFUNCTION("""COMPUTED_VALUE"""),"монтажні пінцети")</f>
        <v>монтажні пінцети</v>
      </c>
      <c r="F1602" s="17">
        <f>IFERROR(__xludf.DUMMYFUNCTION("""COMPUTED_VALUE"""),3.0)</f>
        <v>3</v>
      </c>
      <c r="G1602" s="17" t="str">
        <f>IFERROR(__xludf.DUMMYFUNCTION("""COMPUTED_VALUE"""),"14200390")</f>
        <v>14200390</v>
      </c>
      <c r="H1602" s="17" t="str">
        <f>IFERROR(__xludf.DUMMYFUNCTION("""COMPUTED_VALUE"""),"монтажні пінцети")</f>
        <v>монтажні пінцети</v>
      </c>
      <c r="I1602" s="19">
        <f>IFERROR(__xludf.DUMMYFUNCTION("""COMPUTED_VALUE"""),0.0447)</f>
        <v>0.0447</v>
      </c>
      <c r="J1602" s="19">
        <f>IFERROR(__xludf.DUMMYFUNCTION("""COMPUTED_VALUE"""),0.0893)</f>
        <v>0.0893</v>
      </c>
      <c r="K1602" s="19">
        <f>IFERROR(__xludf.DUMMYFUNCTION("""COMPUTED_VALUE"""),0.1116)</f>
        <v>0.1116</v>
      </c>
      <c r="L1602" s="19">
        <f>IFERROR(__xludf.DUMMYFUNCTION("""COMPUTED_VALUE"""),0.134)</f>
        <v>0.134</v>
      </c>
      <c r="M1602" s="18">
        <f>IFERROR(__xludf.DUMMYFUNCTION("""COMPUTED_VALUE"""),1.05)</f>
        <v>1.05</v>
      </c>
    </row>
    <row r="1603">
      <c r="A1603" s="13" t="str">
        <f>IFERROR(__xludf.DUMMYFUNCTION("""COMPUTED_VALUE"""),"товари")</f>
        <v>товари</v>
      </c>
      <c r="B1603" s="16" t="str">
        <f>IFERROR(__xludf.DUMMYFUNCTION("""COMPUTED_VALUE"""),"інструменти")</f>
        <v>інструменти</v>
      </c>
      <c r="C1603" s="16" t="str">
        <f>IFERROR(__xludf.DUMMYFUNCTION("""COMPUTED_VALUE"""),"пневматичний інструмент")</f>
        <v>пневматичний інструмент</v>
      </c>
      <c r="D1603" s="16" t="str">
        <f>IFERROR(__xludf.DUMMYFUNCTION("""COMPUTED_VALUE"""),"оснащення для пневматичного інструменту")</f>
        <v>оснащення для пневматичного інструменту</v>
      </c>
      <c r="E1603" s="16" t="str">
        <f>IFERROR(__xludf.DUMMYFUNCTION("""COMPUTED_VALUE"""),"монтажні пістолети")</f>
        <v>монтажні пістолети</v>
      </c>
      <c r="F1603" s="17">
        <f>IFERROR(__xludf.DUMMYFUNCTION("""COMPUTED_VALUE"""),4.0)</f>
        <v>4</v>
      </c>
      <c r="G1603" s="17" t="str">
        <f>IFERROR(__xludf.DUMMYFUNCTION("""COMPUTED_VALUE"""),"14200522")</f>
        <v>14200522</v>
      </c>
      <c r="H1603" s="17" t="str">
        <f>IFERROR(__xludf.DUMMYFUNCTION("""COMPUTED_VALUE"""),"монтажні пістолети")</f>
        <v>монтажні пістолети</v>
      </c>
      <c r="I1603" s="19">
        <f>IFERROR(__xludf.DUMMYFUNCTION("""COMPUTED_VALUE"""),0.0716)</f>
        <v>0.0716</v>
      </c>
      <c r="J1603" s="19">
        <f>IFERROR(__xludf.DUMMYFUNCTION("""COMPUTED_VALUE"""),0.1431)</f>
        <v>0.1431</v>
      </c>
      <c r="K1603" s="19">
        <f>IFERROR(__xludf.DUMMYFUNCTION("""COMPUTED_VALUE"""),0.1789)</f>
        <v>0.1789</v>
      </c>
      <c r="L1603" s="19">
        <f>IFERROR(__xludf.DUMMYFUNCTION("""COMPUTED_VALUE"""),0.2147)</f>
        <v>0.2147</v>
      </c>
      <c r="M1603" s="18">
        <f>IFERROR(__xludf.DUMMYFUNCTION("""COMPUTED_VALUE"""),1.71)</f>
        <v>1.71</v>
      </c>
    </row>
    <row r="1604">
      <c r="A1604" s="13" t="str">
        <f>IFERROR(__xludf.DUMMYFUNCTION("""COMPUTED_VALUE"""),"товари")</f>
        <v>товари</v>
      </c>
      <c r="B1604" s="16" t="str">
        <f>IFERROR(__xludf.DUMMYFUNCTION("""COMPUTED_VALUE"""),"інструменти")</f>
        <v>інструменти</v>
      </c>
      <c r="C1604" s="16" t="str">
        <f>IFERROR(__xludf.DUMMYFUNCTION("""COMPUTED_VALUE"""),"ручний інструмент")</f>
        <v>ручний інструмент</v>
      </c>
      <c r="D1604" s="16" t="str">
        <f>IFERROR(__xludf.DUMMYFUNCTION("""COMPUTED_VALUE"""),"монтажні присоски")</f>
        <v>монтажні присоски</v>
      </c>
      <c r="E1604" s="16" t="str">
        <f>IFERROR(__xludf.DUMMYFUNCTION("""COMPUTED_VALUE"""),"монтажні присоски")</f>
        <v>монтажні присоски</v>
      </c>
      <c r="F1604" s="17">
        <f>IFERROR(__xludf.DUMMYFUNCTION("""COMPUTED_VALUE"""),3.0)</f>
        <v>3</v>
      </c>
      <c r="G1604" s="17" t="str">
        <f>IFERROR(__xludf.DUMMYFUNCTION("""COMPUTED_VALUE"""),"14200377")</f>
        <v>14200377</v>
      </c>
      <c r="H1604" s="17" t="str">
        <f>IFERROR(__xludf.DUMMYFUNCTION("""COMPUTED_VALUE"""),"монтажні присоски")</f>
        <v>монтажні присоски</v>
      </c>
      <c r="I1604" s="19">
        <f>IFERROR(__xludf.DUMMYFUNCTION("""COMPUTED_VALUE"""),0.0726)</f>
        <v>0.0726</v>
      </c>
      <c r="J1604" s="19">
        <f>IFERROR(__xludf.DUMMYFUNCTION("""COMPUTED_VALUE"""),0.1452)</f>
        <v>0.1452</v>
      </c>
      <c r="K1604" s="19">
        <f>IFERROR(__xludf.DUMMYFUNCTION("""COMPUTED_VALUE"""),0.1815)</f>
        <v>0.1815</v>
      </c>
      <c r="L1604" s="19">
        <f>IFERROR(__xludf.DUMMYFUNCTION("""COMPUTED_VALUE"""),0.2178)</f>
        <v>0.2178</v>
      </c>
      <c r="M1604" s="18">
        <f>IFERROR(__xludf.DUMMYFUNCTION("""COMPUTED_VALUE"""),1.63)</f>
        <v>1.63</v>
      </c>
    </row>
    <row r="1605">
      <c r="A1605" s="13" t="str">
        <f>IFERROR(__xludf.DUMMYFUNCTION("""COMPUTED_VALUE"""),"товари")</f>
        <v>товари</v>
      </c>
      <c r="B1605" s="16" t="str">
        <f>IFERROR(__xludf.DUMMYFUNCTION("""COMPUTED_VALUE"""),"інструменти")</f>
        <v>інструменти</v>
      </c>
      <c r="C1605" s="16" t="str">
        <f>IFERROR(__xludf.DUMMYFUNCTION("""COMPUTED_VALUE"""),"ручний інструмент")</f>
        <v>ручний інструмент</v>
      </c>
      <c r="D1605" s="16" t="str">
        <f>IFERROR(__xludf.DUMMYFUNCTION("""COMPUTED_VALUE"""),"ключі")</f>
        <v>ключі</v>
      </c>
      <c r="E1605" s="16" t="str">
        <f>IFERROR(__xludf.DUMMYFUNCTION("""COMPUTED_VALUE"""),"мультиплікатори ключі")</f>
        <v>мультиплікатори ключі</v>
      </c>
      <c r="F1605" s="17">
        <f>IFERROR(__xludf.DUMMYFUNCTION("""COMPUTED_VALUE"""),4.0)</f>
        <v>4</v>
      </c>
      <c r="G1605" s="17" t="str">
        <f>IFERROR(__xludf.DUMMYFUNCTION("""COMPUTED_VALUE"""),"14200331")</f>
        <v>14200331</v>
      </c>
      <c r="H1605" s="17" t="str">
        <f>IFERROR(__xludf.DUMMYFUNCTION("""COMPUTED_VALUE"""),"мультиплікатори ключі")</f>
        <v>мультиплікатори ключі</v>
      </c>
      <c r="I1605" s="19">
        <f>IFERROR(__xludf.DUMMYFUNCTION("""COMPUTED_VALUE"""),0.0767)</f>
        <v>0.0767</v>
      </c>
      <c r="J1605" s="19">
        <f>IFERROR(__xludf.DUMMYFUNCTION("""COMPUTED_VALUE"""),0.1534)</f>
        <v>0.1534</v>
      </c>
      <c r="K1605" s="19">
        <f>IFERROR(__xludf.DUMMYFUNCTION("""COMPUTED_VALUE"""),0.1918)</f>
        <v>0.1918</v>
      </c>
      <c r="L1605" s="19">
        <f>IFERROR(__xludf.DUMMYFUNCTION("""COMPUTED_VALUE"""),0.2301)</f>
        <v>0.2301</v>
      </c>
      <c r="M1605" s="18">
        <f>IFERROR(__xludf.DUMMYFUNCTION("""COMPUTED_VALUE"""),1.53)</f>
        <v>1.53</v>
      </c>
    </row>
    <row r="1606">
      <c r="A1606" s="13" t="str">
        <f>IFERROR(__xludf.DUMMYFUNCTION("""COMPUTED_VALUE"""),"товари")</f>
        <v>товари</v>
      </c>
      <c r="B1606" s="16" t="str">
        <f>IFERROR(__xludf.DUMMYFUNCTION("""COMPUTED_VALUE"""),"інструменти")</f>
        <v>інструменти</v>
      </c>
      <c r="C1606" s="16" t="str">
        <f>IFERROR(__xludf.DUMMYFUNCTION("""COMPUTED_VALUE"""),"ручний інструмент")</f>
        <v>ручний інструмент</v>
      </c>
      <c r="D1606" s="16" t="str">
        <f>IFERROR(__xludf.DUMMYFUNCTION("""COMPUTED_VALUE"""),"мультитули")</f>
        <v>мультитули</v>
      </c>
      <c r="E1606" s="16" t="str">
        <f>IFERROR(__xludf.DUMMYFUNCTION("""COMPUTED_VALUE"""),"мультитули")</f>
        <v>мультитули</v>
      </c>
      <c r="F1606" s="17">
        <f>IFERROR(__xludf.DUMMYFUNCTION("""COMPUTED_VALUE"""),3.0)</f>
        <v>3</v>
      </c>
      <c r="G1606" s="17" t="str">
        <f>IFERROR(__xludf.DUMMYFUNCTION("""COMPUTED_VALUE"""),"14200394")</f>
        <v>14200394</v>
      </c>
      <c r="H1606" s="17" t="str">
        <f>IFERROR(__xludf.DUMMYFUNCTION("""COMPUTED_VALUE"""),"мультитули")</f>
        <v>мультитули</v>
      </c>
      <c r="I1606" s="19">
        <f>IFERROR(__xludf.DUMMYFUNCTION("""COMPUTED_VALUE"""),0.0755)</f>
        <v>0.0755</v>
      </c>
      <c r="J1606" s="19">
        <f>IFERROR(__xludf.DUMMYFUNCTION("""COMPUTED_VALUE"""),0.1509)</f>
        <v>0.1509</v>
      </c>
      <c r="K1606" s="19">
        <f>IFERROR(__xludf.DUMMYFUNCTION("""COMPUTED_VALUE"""),0.1886)</f>
        <v>0.1886</v>
      </c>
      <c r="L1606" s="19">
        <f>IFERROR(__xludf.DUMMYFUNCTION("""COMPUTED_VALUE"""),0.2264)</f>
        <v>0.2264</v>
      </c>
      <c r="M1606" s="18">
        <f>IFERROR(__xludf.DUMMYFUNCTION("""COMPUTED_VALUE"""),1.63)</f>
        <v>1.63</v>
      </c>
    </row>
    <row r="1607">
      <c r="A1607" s="13" t="str">
        <f>IFERROR(__xludf.DUMMYFUNCTION("""COMPUTED_VALUE"""),"товари")</f>
        <v>товари</v>
      </c>
      <c r="B1607" s="16" t="str">
        <f>IFERROR(__xludf.DUMMYFUNCTION("""COMPUTED_VALUE"""),"інструменти")</f>
        <v>інструменти</v>
      </c>
      <c r="C1607" s="16" t="str">
        <f>IFERROR(__xludf.DUMMYFUNCTION("""COMPUTED_VALUE"""),"набори інструментів")</f>
        <v>набори інструментів</v>
      </c>
      <c r="D1607" s="16" t="str">
        <f>IFERROR(__xludf.DUMMYFUNCTION("""COMPUTED_VALUE"""),"набори інструментів")</f>
        <v>набори інструментів</v>
      </c>
      <c r="E1607" s="16" t="str">
        <f>IFERROR(__xludf.DUMMYFUNCTION("""COMPUTED_VALUE"""),"набори інструментів")</f>
        <v>набори інструментів</v>
      </c>
      <c r="F1607" s="17">
        <f>IFERROR(__xludf.DUMMYFUNCTION("""COMPUTED_VALUE"""),2.0)</f>
        <v>2</v>
      </c>
      <c r="G1607" s="17" t="str">
        <f>IFERROR(__xludf.DUMMYFUNCTION("""COMPUTED_VALUE"""),"142004")</f>
        <v>142004</v>
      </c>
      <c r="H1607" s="17" t="str">
        <f>IFERROR(__xludf.DUMMYFUNCTION("""COMPUTED_VALUE"""),"набори інструментів")</f>
        <v>набори інструментів</v>
      </c>
      <c r="I1607" s="19">
        <f>IFERROR(__xludf.DUMMYFUNCTION("""COMPUTED_VALUE"""),0.0759)</f>
        <v>0.0759</v>
      </c>
      <c r="J1607" s="19">
        <f>IFERROR(__xludf.DUMMYFUNCTION("""COMPUTED_VALUE"""),0.1517)</f>
        <v>0.1517</v>
      </c>
      <c r="K1607" s="19">
        <f>IFERROR(__xludf.DUMMYFUNCTION("""COMPUTED_VALUE"""),0.1896)</f>
        <v>0.1896</v>
      </c>
      <c r="L1607" s="19">
        <f>IFERROR(__xludf.DUMMYFUNCTION("""COMPUTED_VALUE"""),0.2276)</f>
        <v>0.2276</v>
      </c>
      <c r="M1607" s="18">
        <f>IFERROR(__xludf.DUMMYFUNCTION("""COMPUTED_VALUE"""),4.33)</f>
        <v>4.33</v>
      </c>
    </row>
    <row r="1608">
      <c r="A1608" s="13" t="str">
        <f>IFERROR(__xludf.DUMMYFUNCTION("""COMPUTED_VALUE"""),"товари")</f>
        <v>товари</v>
      </c>
      <c r="B1608" s="16" t="str">
        <f>IFERROR(__xludf.DUMMYFUNCTION("""COMPUTED_VALUE"""),"інструменти")</f>
        <v>інструменти</v>
      </c>
      <c r="C1608" s="16" t="str">
        <f>IFERROR(__xludf.DUMMYFUNCTION("""COMPUTED_VALUE"""),"ручний інструмент")</f>
        <v>ручний інструмент</v>
      </c>
      <c r="D1608" s="16" t="str">
        <f>IFERROR(__xludf.DUMMYFUNCTION("""COMPUTED_VALUE"""),"ключі")</f>
        <v>ключі</v>
      </c>
      <c r="E1608" s="16" t="str">
        <f>IFERROR(__xludf.DUMMYFUNCTION("""COMPUTED_VALUE"""),"набори ключів")</f>
        <v>набори ключів</v>
      </c>
      <c r="F1608" s="17">
        <f>IFERROR(__xludf.DUMMYFUNCTION("""COMPUTED_VALUE"""),4.0)</f>
        <v>4</v>
      </c>
      <c r="G1608" s="17" t="str">
        <f>IFERROR(__xludf.DUMMYFUNCTION("""COMPUTED_VALUE"""),"14200378")</f>
        <v>14200378</v>
      </c>
      <c r="H1608" s="17" t="str">
        <f>IFERROR(__xludf.DUMMYFUNCTION("""COMPUTED_VALUE"""),"набори ключів")</f>
        <v>набори ключів</v>
      </c>
      <c r="I1608" s="19">
        <f>IFERROR(__xludf.DUMMYFUNCTION("""COMPUTED_VALUE"""),0.0744)</f>
        <v>0.0744</v>
      </c>
      <c r="J1608" s="19">
        <f>IFERROR(__xludf.DUMMYFUNCTION("""COMPUTED_VALUE"""),0.1488)</f>
        <v>0.1488</v>
      </c>
      <c r="K1608" s="19">
        <f>IFERROR(__xludf.DUMMYFUNCTION("""COMPUTED_VALUE"""),0.186)</f>
        <v>0.186</v>
      </c>
      <c r="L1608" s="19">
        <f>IFERROR(__xludf.DUMMYFUNCTION("""COMPUTED_VALUE"""),0.2232)</f>
        <v>0.2232</v>
      </c>
      <c r="M1608" s="18">
        <f>IFERROR(__xludf.DUMMYFUNCTION("""COMPUTED_VALUE"""),1.53)</f>
        <v>1.53</v>
      </c>
    </row>
    <row r="1609">
      <c r="A1609" s="13" t="str">
        <f>IFERROR(__xludf.DUMMYFUNCTION("""COMPUTED_VALUE"""),"товари")</f>
        <v>товари</v>
      </c>
      <c r="B1609" s="16" t="str">
        <f>IFERROR(__xludf.DUMMYFUNCTION("""COMPUTED_VALUE"""),"інструменти")</f>
        <v>інструменти</v>
      </c>
      <c r="C1609" s="16" t="str">
        <f>IFERROR(__xludf.DUMMYFUNCTION("""COMPUTED_VALUE"""),"ручний інструмент")</f>
        <v>ручний інструмент</v>
      </c>
      <c r="D1609" s="16" t="str">
        <f>IFERROR(__xludf.DUMMYFUNCTION("""COMPUTED_VALUE"""),"навскісник")</f>
        <v>навскісник</v>
      </c>
      <c r="E1609" s="16" t="str">
        <f>IFERROR(__xludf.DUMMYFUNCTION("""COMPUTED_VALUE"""),"навскісник")</f>
        <v>навскісник</v>
      </c>
      <c r="F1609" s="17">
        <f>IFERROR(__xludf.DUMMYFUNCTION("""COMPUTED_VALUE"""),3.0)</f>
        <v>3</v>
      </c>
      <c r="G1609" s="17" t="str">
        <f>IFERROR(__xludf.DUMMYFUNCTION("""COMPUTED_VALUE"""),"14200371")</f>
        <v>14200371</v>
      </c>
      <c r="H1609" s="17" t="str">
        <f>IFERROR(__xludf.DUMMYFUNCTION("""COMPUTED_VALUE"""),"навскісник")</f>
        <v>навскісник</v>
      </c>
      <c r="I1609" s="19">
        <f>IFERROR(__xludf.DUMMYFUNCTION("""COMPUTED_VALUE"""),0.0727)</f>
        <v>0.0727</v>
      </c>
      <c r="J1609" s="19">
        <f>IFERROR(__xludf.DUMMYFUNCTION("""COMPUTED_VALUE"""),0.1453)</f>
        <v>0.1453</v>
      </c>
      <c r="K1609" s="19">
        <f>IFERROR(__xludf.DUMMYFUNCTION("""COMPUTED_VALUE"""),0.1816)</f>
        <v>0.1816</v>
      </c>
      <c r="L1609" s="19">
        <f>IFERROR(__xludf.DUMMYFUNCTION("""COMPUTED_VALUE"""),0.218)</f>
        <v>0.218</v>
      </c>
      <c r="M1609" s="18">
        <f>IFERROR(__xludf.DUMMYFUNCTION("""COMPUTED_VALUE"""),1.05)</f>
        <v>1.05</v>
      </c>
    </row>
    <row r="1610">
      <c r="A1610" s="13" t="str">
        <f>IFERROR(__xludf.DUMMYFUNCTION("""COMPUTED_VALUE"""),"товари")</f>
        <v>товари</v>
      </c>
      <c r="B1610" s="16" t="str">
        <f>IFERROR(__xludf.DUMMYFUNCTION("""COMPUTED_VALUE"""),"інструменти")</f>
        <v>інструменти</v>
      </c>
      <c r="C1610" s="16" t="str">
        <f>IFERROR(__xludf.DUMMYFUNCTION("""COMPUTED_VALUE"""),"ручний інструмент")</f>
        <v>ручний інструмент</v>
      </c>
      <c r="D1610" s="16" t="str">
        <f>IFERROR(__xludf.DUMMYFUNCTION("""COMPUTED_VALUE"""),"ключі")</f>
        <v>ключі</v>
      </c>
      <c r="E1610" s="16" t="str">
        <f>IFERROR(__xludf.DUMMYFUNCTION("""COMPUTED_VALUE"""),"накидні ключі")</f>
        <v>накидні ключі</v>
      </c>
      <c r="F1610" s="17">
        <f>IFERROR(__xludf.DUMMYFUNCTION("""COMPUTED_VALUE"""),4.0)</f>
        <v>4</v>
      </c>
      <c r="G1610" s="17" t="str">
        <f>IFERROR(__xludf.DUMMYFUNCTION("""COMPUTED_VALUE"""),"14200370")</f>
        <v>14200370</v>
      </c>
      <c r="H1610" s="17" t="str">
        <f>IFERROR(__xludf.DUMMYFUNCTION("""COMPUTED_VALUE"""),"накидні ключі")</f>
        <v>накидні ключі</v>
      </c>
      <c r="I1610" s="19">
        <f>IFERROR(__xludf.DUMMYFUNCTION("""COMPUTED_VALUE"""),0.0754)</f>
        <v>0.0754</v>
      </c>
      <c r="J1610" s="19">
        <f>IFERROR(__xludf.DUMMYFUNCTION("""COMPUTED_VALUE"""),0.1508)</f>
        <v>0.1508</v>
      </c>
      <c r="K1610" s="19">
        <f>IFERROR(__xludf.DUMMYFUNCTION("""COMPUTED_VALUE"""),0.1885)</f>
        <v>0.1885</v>
      </c>
      <c r="L1610" s="19">
        <f>IFERROR(__xludf.DUMMYFUNCTION("""COMPUTED_VALUE"""),0.2262)</f>
        <v>0.2262</v>
      </c>
      <c r="M1610" s="18">
        <f>IFERROR(__xludf.DUMMYFUNCTION("""COMPUTED_VALUE"""),1.53)</f>
        <v>1.53</v>
      </c>
    </row>
    <row r="1611">
      <c r="A1611" s="13" t="str">
        <f>IFERROR(__xludf.DUMMYFUNCTION("""COMPUTED_VALUE"""),"товари")</f>
        <v>товари</v>
      </c>
      <c r="B1611" s="16" t="str">
        <f>IFERROR(__xludf.DUMMYFUNCTION("""COMPUTED_VALUE"""),"інструменти")</f>
        <v>інструменти</v>
      </c>
      <c r="C1611" s="16" t="str">
        <f>IFERROR(__xludf.DUMMYFUNCTION("""COMPUTED_VALUE"""),"ручний інструмент")</f>
        <v>ручний інструмент</v>
      </c>
      <c r="D1611" s="16" t="str">
        <f>IFERROR(__xludf.DUMMYFUNCTION("""COMPUTED_VALUE"""),"напилки та надфілі")</f>
        <v>напилки та надфілі</v>
      </c>
      <c r="E1611" s="16" t="str">
        <f>IFERROR(__xludf.DUMMYFUNCTION("""COMPUTED_VALUE"""),"напилки та надфілі")</f>
        <v>напилки та надфілі</v>
      </c>
      <c r="F1611" s="17">
        <f>IFERROR(__xludf.DUMMYFUNCTION("""COMPUTED_VALUE"""),3.0)</f>
        <v>3</v>
      </c>
      <c r="G1611" s="17" t="str">
        <f>IFERROR(__xludf.DUMMYFUNCTION("""COMPUTED_VALUE"""),"14200304")</f>
        <v>14200304</v>
      </c>
      <c r="H1611" s="17" t="str">
        <f>IFERROR(__xludf.DUMMYFUNCTION("""COMPUTED_VALUE"""),"напилки та надфілі")</f>
        <v>напилки та надфілі</v>
      </c>
      <c r="I1611" s="19">
        <f>IFERROR(__xludf.DUMMYFUNCTION("""COMPUTED_VALUE"""),0.0678)</f>
        <v>0.0678</v>
      </c>
      <c r="J1611" s="19">
        <f>IFERROR(__xludf.DUMMYFUNCTION("""COMPUTED_VALUE"""),0.1355)</f>
        <v>0.1355</v>
      </c>
      <c r="K1611" s="19">
        <f>IFERROR(__xludf.DUMMYFUNCTION("""COMPUTED_VALUE"""),0.1694)</f>
        <v>0.1694</v>
      </c>
      <c r="L1611" s="19">
        <f>IFERROR(__xludf.DUMMYFUNCTION("""COMPUTED_VALUE"""),0.2033)</f>
        <v>0.2033</v>
      </c>
      <c r="M1611" s="18">
        <f>IFERROR(__xludf.DUMMYFUNCTION("""COMPUTED_VALUE"""),1.05)</f>
        <v>1.05</v>
      </c>
    </row>
    <row r="1612">
      <c r="A1612" s="13" t="str">
        <f>IFERROR(__xludf.DUMMYFUNCTION("""COMPUTED_VALUE"""),"товари")</f>
        <v>товари</v>
      </c>
      <c r="B1612" s="16" t="str">
        <f>IFERROR(__xludf.DUMMYFUNCTION("""COMPUTED_VALUE"""),"інструменти")</f>
        <v>інструменти</v>
      </c>
      <c r="C1612" s="16" t="str">
        <f>IFERROR(__xludf.DUMMYFUNCTION("""COMPUTED_VALUE"""),"оснащення для інструменту")</f>
        <v>оснащення для інструменту</v>
      </c>
      <c r="D1612" s="16" t="str">
        <f>IFERROR(__xludf.DUMMYFUNCTION("""COMPUTED_VALUE"""),"насадки для будівельного міксера")</f>
        <v>насадки для будівельного міксера</v>
      </c>
      <c r="E1612" s="16" t="str">
        <f>IFERROR(__xludf.DUMMYFUNCTION("""COMPUTED_VALUE"""),"насадки для будівельного міксера")</f>
        <v>насадки для будівельного міксера</v>
      </c>
      <c r="F1612" s="17">
        <f>IFERROR(__xludf.DUMMYFUNCTION("""COMPUTED_VALUE"""),3.0)</f>
        <v>3</v>
      </c>
      <c r="G1612" s="17" t="str">
        <f>IFERROR(__xludf.DUMMYFUNCTION("""COMPUTED_VALUE"""),"14201511")</f>
        <v>14201511</v>
      </c>
      <c r="H1612" s="17" t="str">
        <f>IFERROR(__xludf.DUMMYFUNCTION("""COMPUTED_VALUE"""),"насадки для будівельного міксера")</f>
        <v>насадки для будівельного міксера</v>
      </c>
      <c r="I1612" s="19">
        <f>IFERROR(__xludf.DUMMYFUNCTION("""COMPUTED_VALUE"""),0.0532)</f>
        <v>0.0532</v>
      </c>
      <c r="J1612" s="19">
        <f>IFERROR(__xludf.DUMMYFUNCTION("""COMPUTED_VALUE"""),0.1063)</f>
        <v>0.1063</v>
      </c>
      <c r="K1612" s="19">
        <f>IFERROR(__xludf.DUMMYFUNCTION("""COMPUTED_VALUE"""),0.1329)</f>
        <v>0.1329</v>
      </c>
      <c r="L1612" s="19">
        <f>IFERROR(__xludf.DUMMYFUNCTION("""COMPUTED_VALUE"""),0.1595)</f>
        <v>0.1595</v>
      </c>
      <c r="M1612" s="18">
        <f>IFERROR(__xludf.DUMMYFUNCTION("""COMPUTED_VALUE"""),1.05)</f>
        <v>1.05</v>
      </c>
    </row>
    <row r="1613">
      <c r="A1613" s="13" t="str">
        <f>IFERROR(__xludf.DUMMYFUNCTION("""COMPUTED_VALUE"""),"товари")</f>
        <v>товари</v>
      </c>
      <c r="B1613" s="16" t="str">
        <f>IFERROR(__xludf.DUMMYFUNCTION("""COMPUTED_VALUE"""),"інструменти")</f>
        <v>інструменти</v>
      </c>
      <c r="C1613" s="16" t="str">
        <f>IFERROR(__xludf.DUMMYFUNCTION("""COMPUTED_VALUE"""),"оснащення для інструменту")</f>
        <v>оснащення для інструменту</v>
      </c>
      <c r="D1613" s="16" t="str">
        <f>IFERROR(__xludf.DUMMYFUNCTION("""COMPUTED_VALUE"""),"ножі, ліски для тримерів і кущорізів")</f>
        <v>ножі, ліски для тримерів і кущорізів</v>
      </c>
      <c r="E1613" s="16" t="str">
        <f>IFERROR(__xludf.DUMMYFUNCTION("""COMPUTED_VALUE"""),"ножі, ліски для тримерів і кущорізів")</f>
        <v>ножі, ліски для тримерів і кущорізів</v>
      </c>
      <c r="F1613" s="17">
        <f>IFERROR(__xludf.DUMMYFUNCTION("""COMPUTED_VALUE"""),3.0)</f>
        <v>3</v>
      </c>
      <c r="G1613" s="17" t="str">
        <f>IFERROR(__xludf.DUMMYFUNCTION("""COMPUTED_VALUE"""),"14201522")</f>
        <v>14201522</v>
      </c>
      <c r="H1613" s="17" t="str">
        <f>IFERROR(__xludf.DUMMYFUNCTION("""COMPUTED_VALUE"""),"ножі, ліски для тримерів і кущорізів")</f>
        <v>ножі, ліски для тримерів і кущорізів</v>
      </c>
      <c r="I1613" s="19">
        <f>IFERROR(__xludf.DUMMYFUNCTION("""COMPUTED_VALUE"""),0.0501)</f>
        <v>0.0501</v>
      </c>
      <c r="J1613" s="19">
        <f>IFERROR(__xludf.DUMMYFUNCTION("""COMPUTED_VALUE"""),0.1001)</f>
        <v>0.1001</v>
      </c>
      <c r="K1613" s="19">
        <f>IFERROR(__xludf.DUMMYFUNCTION("""COMPUTED_VALUE"""),0.1251)</f>
        <v>0.1251</v>
      </c>
      <c r="L1613" s="19">
        <f>IFERROR(__xludf.DUMMYFUNCTION("""COMPUTED_VALUE"""),0.1502)</f>
        <v>0.1502</v>
      </c>
      <c r="M1613" s="18">
        <f>IFERROR(__xludf.DUMMYFUNCTION("""COMPUTED_VALUE"""),1.53)</f>
        <v>1.53</v>
      </c>
    </row>
    <row r="1614">
      <c r="A1614" s="13" t="str">
        <f>IFERROR(__xludf.DUMMYFUNCTION("""COMPUTED_VALUE"""),"товари")</f>
        <v>товари</v>
      </c>
      <c r="B1614" s="16" t="str">
        <f>IFERROR(__xludf.DUMMYFUNCTION("""COMPUTED_VALUE"""),"інструменти")</f>
        <v>інструменти</v>
      </c>
      <c r="C1614" s="16" t="str">
        <f>IFERROR(__xludf.DUMMYFUNCTION("""COMPUTED_VALUE"""),"оснащення для інструменту")</f>
        <v>оснащення для інструменту</v>
      </c>
      <c r="D1614" s="16" t="str">
        <f>IFERROR(__xludf.DUMMYFUNCTION("""COMPUTED_VALUE"""),"ножувальні полотна")</f>
        <v>ножувальні полотна</v>
      </c>
      <c r="E1614" s="16" t="str">
        <f>IFERROR(__xludf.DUMMYFUNCTION("""COMPUTED_VALUE"""),"ножувальні полотна")</f>
        <v>ножувальні полотна</v>
      </c>
      <c r="F1614" s="17">
        <f>IFERROR(__xludf.DUMMYFUNCTION("""COMPUTED_VALUE"""),3.0)</f>
        <v>3</v>
      </c>
      <c r="G1614" s="17" t="str">
        <f>IFERROR(__xludf.DUMMYFUNCTION("""COMPUTED_VALUE"""),"14201502")</f>
        <v>14201502</v>
      </c>
      <c r="H1614" s="17" t="str">
        <f>IFERROR(__xludf.DUMMYFUNCTION("""COMPUTED_VALUE"""),"ножувальні полотна")</f>
        <v>ножувальні полотна</v>
      </c>
      <c r="I1614" s="19">
        <f>IFERROR(__xludf.DUMMYFUNCTION("""COMPUTED_VALUE"""),0.0447)</f>
        <v>0.0447</v>
      </c>
      <c r="J1614" s="19">
        <f>IFERROR(__xludf.DUMMYFUNCTION("""COMPUTED_VALUE"""),0.0893)</f>
        <v>0.0893</v>
      </c>
      <c r="K1614" s="19">
        <f>IFERROR(__xludf.DUMMYFUNCTION("""COMPUTED_VALUE"""),0.1116)</f>
        <v>0.1116</v>
      </c>
      <c r="L1614" s="19">
        <f>IFERROR(__xludf.DUMMYFUNCTION("""COMPUTED_VALUE"""),0.134)</f>
        <v>0.134</v>
      </c>
      <c r="M1614" s="18">
        <f>IFERROR(__xludf.DUMMYFUNCTION("""COMPUTED_VALUE"""),2.79)</f>
        <v>2.79</v>
      </c>
    </row>
    <row r="1615">
      <c r="A1615" s="13" t="str">
        <f>IFERROR(__xludf.DUMMYFUNCTION("""COMPUTED_VALUE"""),"товари")</f>
        <v>товари</v>
      </c>
      <c r="B1615" s="16" t="str">
        <f>IFERROR(__xludf.DUMMYFUNCTION("""COMPUTED_VALUE"""),"інструменти")</f>
        <v>інструменти</v>
      </c>
      <c r="C1615" s="16" t="str">
        <f>IFERROR(__xludf.DUMMYFUNCTION("""COMPUTED_VALUE"""),"оснащення для інструменту")</f>
        <v>оснащення для інструменту</v>
      </c>
      <c r="D1615" s="16" t="str">
        <f>IFERROR(__xludf.DUMMYFUNCTION("""COMPUTED_VALUE"""),"оливи, мастила для інструменту")</f>
        <v>оливи, мастила для інструменту</v>
      </c>
      <c r="E1615" s="16" t="str">
        <f>IFERROR(__xludf.DUMMYFUNCTION("""COMPUTED_VALUE"""),"оливи, мастила для інструменту")</f>
        <v>оливи, мастила для інструменту</v>
      </c>
      <c r="F1615" s="17">
        <f>IFERROR(__xludf.DUMMYFUNCTION("""COMPUTED_VALUE"""),3.0)</f>
        <v>3</v>
      </c>
      <c r="G1615" s="17" t="str">
        <f>IFERROR(__xludf.DUMMYFUNCTION("""COMPUTED_VALUE"""),"14201516")</f>
        <v>14201516</v>
      </c>
      <c r="H1615" s="17" t="str">
        <f>IFERROR(__xludf.DUMMYFUNCTION("""COMPUTED_VALUE"""),"оливи, мастила для інструменту")</f>
        <v>оливи, мастила для інструменту</v>
      </c>
      <c r="I1615" s="19">
        <f>IFERROR(__xludf.DUMMYFUNCTION("""COMPUTED_VALUE"""),0.0727)</f>
        <v>0.0727</v>
      </c>
      <c r="J1615" s="19">
        <f>IFERROR(__xludf.DUMMYFUNCTION("""COMPUTED_VALUE"""),0.1453)</f>
        <v>0.1453</v>
      </c>
      <c r="K1615" s="19">
        <f>IFERROR(__xludf.DUMMYFUNCTION("""COMPUTED_VALUE"""),0.1816)</f>
        <v>0.1816</v>
      </c>
      <c r="L1615" s="19">
        <f>IFERROR(__xludf.DUMMYFUNCTION("""COMPUTED_VALUE"""),0.218)</f>
        <v>0.218</v>
      </c>
      <c r="M1615" s="18">
        <f>IFERROR(__xludf.DUMMYFUNCTION("""COMPUTED_VALUE"""),1.05)</f>
        <v>1.05</v>
      </c>
    </row>
    <row r="1616">
      <c r="A1616" s="13" t="str">
        <f>IFERROR(__xludf.DUMMYFUNCTION("""COMPUTED_VALUE"""),"товари")</f>
        <v>товари</v>
      </c>
      <c r="B1616" s="16" t="str">
        <f>IFERROR(__xludf.DUMMYFUNCTION("""COMPUTED_VALUE"""),"інструменти")</f>
        <v>інструменти</v>
      </c>
      <c r="C1616" s="16" t="str">
        <f>IFERROR(__xludf.DUMMYFUNCTION("""COMPUTED_VALUE"""),"оснащення для інструменту")</f>
        <v>оснащення для інструменту</v>
      </c>
      <c r="D1616" s="16" t="str">
        <f>IFERROR(__xludf.DUMMYFUNCTION("""COMPUTED_VALUE"""),"оснащення для багатофункціональних шліфувальних машин")</f>
        <v>оснащення для багатофункціональних шліфувальних машин</v>
      </c>
      <c r="E1616" s="16" t="str">
        <f>IFERROR(__xludf.DUMMYFUNCTION("""COMPUTED_VALUE"""),"оснащення для багатофункціональних шліфувальних машин")</f>
        <v>оснащення для багатофункціональних шліфувальних машин</v>
      </c>
      <c r="F1616" s="17">
        <f>IFERROR(__xludf.DUMMYFUNCTION("""COMPUTED_VALUE"""),3.0)</f>
        <v>3</v>
      </c>
      <c r="G1616" s="17" t="str">
        <f>IFERROR(__xludf.DUMMYFUNCTION("""COMPUTED_VALUE"""),"14201514")</f>
        <v>14201514</v>
      </c>
      <c r="H1616" s="17" t="str">
        <f>IFERROR(__xludf.DUMMYFUNCTION("""COMPUTED_VALUE"""),"оснащення для багатофункціональних шліфувальних машин")</f>
        <v>оснащення для багатофункціональних шліфувальних машин</v>
      </c>
      <c r="I1616" s="19">
        <f>IFERROR(__xludf.DUMMYFUNCTION("""COMPUTED_VALUE"""),0.0447)</f>
        <v>0.0447</v>
      </c>
      <c r="J1616" s="19">
        <f>IFERROR(__xludf.DUMMYFUNCTION("""COMPUTED_VALUE"""),0.0893)</f>
        <v>0.0893</v>
      </c>
      <c r="K1616" s="19">
        <f>IFERROR(__xludf.DUMMYFUNCTION("""COMPUTED_VALUE"""),0.1116)</f>
        <v>0.1116</v>
      </c>
      <c r="L1616" s="19">
        <f>IFERROR(__xludf.DUMMYFUNCTION("""COMPUTED_VALUE"""),0.134)</f>
        <v>0.134</v>
      </c>
      <c r="M1616" s="18">
        <f>IFERROR(__xludf.DUMMYFUNCTION("""COMPUTED_VALUE"""),1.05)</f>
        <v>1.05</v>
      </c>
    </row>
    <row r="1617">
      <c r="A1617" s="13" t="str">
        <f>IFERROR(__xludf.DUMMYFUNCTION("""COMPUTED_VALUE"""),"товари")</f>
        <v>товари</v>
      </c>
      <c r="B1617" s="16" t="str">
        <f>IFERROR(__xludf.DUMMYFUNCTION("""COMPUTED_VALUE"""),"інструменти")</f>
        <v>інструменти</v>
      </c>
      <c r="C1617" s="16" t="str">
        <f>IFERROR(__xludf.DUMMYFUNCTION("""COMPUTED_VALUE"""),"оснащення для інструменту")</f>
        <v>оснащення для інструменту</v>
      </c>
      <c r="D1617" s="16" t="str">
        <f>IFERROR(__xludf.DUMMYFUNCTION("""COMPUTED_VALUE"""),"оснащення для інструменту, загальне")</f>
        <v>оснащення для інструменту, загальне</v>
      </c>
      <c r="E1617" s="16" t="str">
        <f>IFERROR(__xludf.DUMMYFUNCTION("""COMPUTED_VALUE"""),"оснащення для інструменту, загальне")</f>
        <v>оснащення для інструменту, загальне</v>
      </c>
      <c r="F1617" s="17">
        <f>IFERROR(__xludf.DUMMYFUNCTION("""COMPUTED_VALUE"""),3.0)</f>
        <v>3</v>
      </c>
      <c r="G1617" s="17" t="str">
        <f>IFERROR(__xludf.DUMMYFUNCTION("""COMPUTED_VALUE"""),"14201504")</f>
        <v>14201504</v>
      </c>
      <c r="H1617" s="17" t="str">
        <f>IFERROR(__xludf.DUMMYFUNCTION("""COMPUTED_VALUE"""),"оснащення для інструменту, загальне")</f>
        <v>оснащення для інструменту, загальне</v>
      </c>
      <c r="I1617" s="19">
        <f>IFERROR(__xludf.DUMMYFUNCTION("""COMPUTED_VALUE"""),0.125)</f>
        <v>0.125</v>
      </c>
      <c r="J1617" s="19">
        <f>IFERROR(__xludf.DUMMYFUNCTION("""COMPUTED_VALUE"""),0.25)</f>
        <v>0.25</v>
      </c>
      <c r="K1617" s="19">
        <f>IFERROR(__xludf.DUMMYFUNCTION("""COMPUTED_VALUE"""),0.3125)</f>
        <v>0.3125</v>
      </c>
      <c r="L1617" s="19">
        <f>IFERROR(__xludf.DUMMYFUNCTION("""COMPUTED_VALUE"""),0.375)</f>
        <v>0.375</v>
      </c>
      <c r="M1617" s="18">
        <f>IFERROR(__xludf.DUMMYFUNCTION("""COMPUTED_VALUE"""),4.33)</f>
        <v>4.33</v>
      </c>
    </row>
    <row r="1618">
      <c r="A1618" s="13" t="str">
        <f>IFERROR(__xludf.DUMMYFUNCTION("""COMPUTED_VALUE"""),"товари")</f>
        <v>товари</v>
      </c>
      <c r="B1618" s="16" t="str">
        <f>IFERROR(__xludf.DUMMYFUNCTION("""COMPUTED_VALUE"""),"інструменти")</f>
        <v>інструменти</v>
      </c>
      <c r="C1618" s="16" t="str">
        <f>IFERROR(__xludf.DUMMYFUNCTION("""COMPUTED_VALUE"""),"оснащення для інструменту")</f>
        <v>оснащення для інструменту</v>
      </c>
      <c r="D1618" s="16" t="str">
        <f>IFERROR(__xludf.DUMMYFUNCTION("""COMPUTED_VALUE"""),"оснащення для плиткорізів")</f>
        <v>оснащення для плиткорізів</v>
      </c>
      <c r="E1618" s="16" t="str">
        <f>IFERROR(__xludf.DUMMYFUNCTION("""COMPUTED_VALUE"""),"оснащення для плиткорізів")</f>
        <v>оснащення для плиткорізів</v>
      </c>
      <c r="F1618" s="17">
        <f>IFERROR(__xludf.DUMMYFUNCTION("""COMPUTED_VALUE"""),3.0)</f>
        <v>3</v>
      </c>
      <c r="G1618" s="17" t="str">
        <f>IFERROR(__xludf.DUMMYFUNCTION("""COMPUTED_VALUE"""),"14201525")</f>
        <v>14201525</v>
      </c>
      <c r="H1618" s="17" t="str">
        <f>IFERROR(__xludf.DUMMYFUNCTION("""COMPUTED_VALUE"""),"оснащення для плиткорізів")</f>
        <v>оснащення для плиткорізів</v>
      </c>
      <c r="I1618" s="19">
        <f>IFERROR(__xludf.DUMMYFUNCTION("""COMPUTED_VALUE"""),0.0524)</f>
        <v>0.0524</v>
      </c>
      <c r="J1618" s="19">
        <f>IFERROR(__xludf.DUMMYFUNCTION("""COMPUTED_VALUE"""),0.1047)</f>
        <v>0.1047</v>
      </c>
      <c r="K1618" s="19">
        <f>IFERROR(__xludf.DUMMYFUNCTION("""COMPUTED_VALUE"""),0.1309)</f>
        <v>0.1309</v>
      </c>
      <c r="L1618" s="19">
        <f>IFERROR(__xludf.DUMMYFUNCTION("""COMPUTED_VALUE"""),0.1571)</f>
        <v>0.1571</v>
      </c>
      <c r="M1618" s="18">
        <f>IFERROR(__xludf.DUMMYFUNCTION("""COMPUTED_VALUE"""),1.05)</f>
        <v>1.05</v>
      </c>
    </row>
    <row r="1619">
      <c r="A1619" s="13" t="str">
        <f>IFERROR(__xludf.DUMMYFUNCTION("""COMPUTED_VALUE"""),"товари")</f>
        <v>товари</v>
      </c>
      <c r="B1619" s="16" t="str">
        <f>IFERROR(__xludf.DUMMYFUNCTION("""COMPUTED_VALUE"""),"інструменти")</f>
        <v>інструменти</v>
      </c>
      <c r="C1619" s="16" t="str">
        <f>IFERROR(__xludf.DUMMYFUNCTION("""COMPUTED_VALUE"""),"ручний інструмент")</f>
        <v>ручний інструмент</v>
      </c>
      <c r="D1619" s="16" t="str">
        <f>IFERROR(__xludf.DUMMYFUNCTION("""COMPUTED_VALUE"""),"губцеві інструменти")</f>
        <v>губцеві інструменти</v>
      </c>
      <c r="E1619" s="16" t="str">
        <f>IFERROR(__xludf.DUMMYFUNCTION("""COMPUTED_VALUE"""),"пасатижі, плоскогубці, тонкогубці")</f>
        <v>пасатижі, плоскогубці, тонкогубці</v>
      </c>
      <c r="F1619" s="17">
        <f>IFERROR(__xludf.DUMMYFUNCTION("""COMPUTED_VALUE"""),4.0)</f>
        <v>4</v>
      </c>
      <c r="G1619" s="17" t="str">
        <f>IFERROR(__xludf.DUMMYFUNCTION("""COMPUTED_VALUE"""),"14200341")</f>
        <v>14200341</v>
      </c>
      <c r="H1619" s="17" t="str">
        <f>IFERROR(__xludf.DUMMYFUNCTION("""COMPUTED_VALUE"""),"пасатижі, плоскогубці, тонкогубці")</f>
        <v>пасатижі, плоскогубці, тонкогубці</v>
      </c>
      <c r="I1619" s="19">
        <f>IFERROR(__xludf.DUMMYFUNCTION("""COMPUTED_VALUE"""),0.0683)</f>
        <v>0.0683</v>
      </c>
      <c r="J1619" s="19">
        <f>IFERROR(__xludf.DUMMYFUNCTION("""COMPUTED_VALUE"""),0.1365)</f>
        <v>0.1365</v>
      </c>
      <c r="K1619" s="19">
        <f>IFERROR(__xludf.DUMMYFUNCTION("""COMPUTED_VALUE"""),0.1706)</f>
        <v>0.1706</v>
      </c>
      <c r="L1619" s="19">
        <f>IFERROR(__xludf.DUMMYFUNCTION("""COMPUTED_VALUE"""),0.2048)</f>
        <v>0.2048</v>
      </c>
      <c r="M1619" s="18">
        <f>IFERROR(__xludf.DUMMYFUNCTION("""COMPUTED_VALUE"""),1.05)</f>
        <v>1.05</v>
      </c>
    </row>
    <row r="1620">
      <c r="A1620" s="13" t="str">
        <f>IFERROR(__xludf.DUMMYFUNCTION("""COMPUTED_VALUE"""),"товари")</f>
        <v>товари</v>
      </c>
      <c r="B1620" s="16" t="str">
        <f>IFERROR(__xludf.DUMMYFUNCTION("""COMPUTED_VALUE"""),"інструменти")</f>
        <v>інструменти</v>
      </c>
      <c r="C1620" s="16" t="str">
        <f>IFERROR(__xludf.DUMMYFUNCTION("""COMPUTED_VALUE"""),"електроінструмент")</f>
        <v>електроінструмент</v>
      </c>
      <c r="D1620" s="16" t="str">
        <f>IFERROR(__xludf.DUMMYFUNCTION("""COMPUTED_VALUE"""),"паяльники")</f>
        <v>паяльники</v>
      </c>
      <c r="E1620" s="16" t="str">
        <f>IFERROR(__xludf.DUMMYFUNCTION("""COMPUTED_VALUE"""),"паяльники")</f>
        <v>паяльники</v>
      </c>
      <c r="F1620" s="17">
        <f>IFERROR(__xludf.DUMMYFUNCTION("""COMPUTED_VALUE"""),3.0)</f>
        <v>3</v>
      </c>
      <c r="G1620" s="17" t="str">
        <f>IFERROR(__xludf.DUMMYFUNCTION("""COMPUTED_VALUE"""),"14400803")</f>
        <v>14400803</v>
      </c>
      <c r="H1620" s="17" t="str">
        <f>IFERROR(__xludf.DUMMYFUNCTION("""COMPUTED_VALUE"""),"паяльники")</f>
        <v>паяльники</v>
      </c>
      <c r="I1620" s="19">
        <f>IFERROR(__xludf.DUMMYFUNCTION("""COMPUTED_VALUE"""),0.0737)</f>
        <v>0.0737</v>
      </c>
      <c r="J1620" s="19">
        <f>IFERROR(__xludf.DUMMYFUNCTION("""COMPUTED_VALUE"""),0.1473)</f>
        <v>0.1473</v>
      </c>
      <c r="K1620" s="19">
        <f>IFERROR(__xludf.DUMMYFUNCTION("""COMPUTED_VALUE"""),0.1841)</f>
        <v>0.1841</v>
      </c>
      <c r="L1620" s="19">
        <f>IFERROR(__xludf.DUMMYFUNCTION("""COMPUTED_VALUE"""),0.221)</f>
        <v>0.221</v>
      </c>
      <c r="M1620" s="18">
        <f>IFERROR(__xludf.DUMMYFUNCTION("""COMPUTED_VALUE"""),1.63)</f>
        <v>1.63</v>
      </c>
    </row>
    <row r="1621">
      <c r="A1621" s="13" t="str">
        <f>IFERROR(__xludf.DUMMYFUNCTION("""COMPUTED_VALUE"""),"товари")</f>
        <v>товари</v>
      </c>
      <c r="B1621" s="16" t="str">
        <f>IFERROR(__xludf.DUMMYFUNCTION("""COMPUTED_VALUE"""),"інструменти")</f>
        <v>інструменти</v>
      </c>
      <c r="C1621" s="16" t="str">
        <f>IFERROR(__xludf.DUMMYFUNCTION("""COMPUTED_VALUE"""),"електроінструмент")</f>
        <v>електроінструмент</v>
      </c>
      <c r="D1621" s="16" t="str">
        <f>IFERROR(__xludf.DUMMYFUNCTION("""COMPUTED_VALUE"""),"перфоратори")</f>
        <v>перфоратори</v>
      </c>
      <c r="E1621" s="16" t="str">
        <f>IFERROR(__xludf.DUMMYFUNCTION("""COMPUTED_VALUE"""),"перфоратори")</f>
        <v>перфоратори</v>
      </c>
      <c r="F1621" s="17">
        <f>IFERROR(__xludf.DUMMYFUNCTION("""COMPUTED_VALUE"""),3.0)</f>
        <v>3</v>
      </c>
      <c r="G1621" s="17" t="str">
        <f>IFERROR(__xludf.DUMMYFUNCTION("""COMPUTED_VALUE"""),"141725")</f>
        <v>141725</v>
      </c>
      <c r="H1621" s="17" t="str">
        <f>IFERROR(__xludf.DUMMYFUNCTION("""COMPUTED_VALUE"""),"перфоратори")</f>
        <v>перфоратори</v>
      </c>
      <c r="I1621" s="19">
        <f>IFERROR(__xludf.DUMMYFUNCTION("""COMPUTED_VALUE"""),0.0542)</f>
        <v>0.0542</v>
      </c>
      <c r="J1621" s="19">
        <f>IFERROR(__xludf.DUMMYFUNCTION("""COMPUTED_VALUE"""),0.1083)</f>
        <v>0.1083</v>
      </c>
      <c r="K1621" s="19">
        <f>IFERROR(__xludf.DUMMYFUNCTION("""COMPUTED_VALUE"""),0.1354)</f>
        <v>0.1354</v>
      </c>
      <c r="L1621" s="19">
        <f>IFERROR(__xludf.DUMMYFUNCTION("""COMPUTED_VALUE"""),0.1625)</f>
        <v>0.1625</v>
      </c>
      <c r="M1621" s="18">
        <f>IFERROR(__xludf.DUMMYFUNCTION("""COMPUTED_VALUE"""),3.33)</f>
        <v>3.33</v>
      </c>
    </row>
    <row r="1622">
      <c r="A1622" s="13" t="str">
        <f>IFERROR(__xludf.DUMMYFUNCTION("""COMPUTED_VALUE"""),"товари")</f>
        <v>товари</v>
      </c>
      <c r="B1622" s="16" t="str">
        <f>IFERROR(__xludf.DUMMYFUNCTION("""COMPUTED_VALUE"""),"інструменти")</f>
        <v>інструменти</v>
      </c>
      <c r="C1622" s="16" t="str">
        <f>IFERROR(__xludf.DUMMYFUNCTION("""COMPUTED_VALUE"""),"оснащення для інструменту")</f>
        <v>оснащення для інструменту</v>
      </c>
      <c r="D1622" s="16" t="str">
        <f>IFERROR(__xludf.DUMMYFUNCTION("""COMPUTED_VALUE"""),"пилки для лобзиків")</f>
        <v>пилки для лобзиків</v>
      </c>
      <c r="E1622" s="16" t="str">
        <f>IFERROR(__xludf.DUMMYFUNCTION("""COMPUTED_VALUE"""),"пилки для лобзиків")</f>
        <v>пилки для лобзиків</v>
      </c>
      <c r="F1622" s="17">
        <f>IFERROR(__xludf.DUMMYFUNCTION("""COMPUTED_VALUE"""),3.0)</f>
        <v>3</v>
      </c>
      <c r="G1622" s="17" t="str">
        <f>IFERROR(__xludf.DUMMYFUNCTION("""COMPUTED_VALUE"""),"14201506")</f>
        <v>14201506</v>
      </c>
      <c r="H1622" s="17" t="str">
        <f>IFERROR(__xludf.DUMMYFUNCTION("""COMPUTED_VALUE"""),"пилки для лобзиків")</f>
        <v>пилки для лобзиків</v>
      </c>
      <c r="I1622" s="19">
        <f>IFERROR(__xludf.DUMMYFUNCTION("""COMPUTED_VALUE"""),0.0729)</f>
        <v>0.0729</v>
      </c>
      <c r="J1622" s="19">
        <f>IFERROR(__xludf.DUMMYFUNCTION("""COMPUTED_VALUE"""),0.1458)</f>
        <v>0.1458</v>
      </c>
      <c r="K1622" s="19">
        <f>IFERROR(__xludf.DUMMYFUNCTION("""COMPUTED_VALUE"""),0.1823)</f>
        <v>0.1823</v>
      </c>
      <c r="L1622" s="19">
        <f>IFERROR(__xludf.DUMMYFUNCTION("""COMPUTED_VALUE"""),0.2187)</f>
        <v>0.2187</v>
      </c>
      <c r="M1622" s="18">
        <f>IFERROR(__xludf.DUMMYFUNCTION("""COMPUTED_VALUE"""),2.08)</f>
        <v>2.08</v>
      </c>
    </row>
    <row r="1623">
      <c r="A1623" s="13" t="str">
        <f>IFERROR(__xludf.DUMMYFUNCTION("""COMPUTED_VALUE"""),"товари")</f>
        <v>товари</v>
      </c>
      <c r="B1623" s="16" t="str">
        <f>IFERROR(__xludf.DUMMYFUNCTION("""COMPUTED_VALUE"""),"інструменти")</f>
        <v>інструменти</v>
      </c>
      <c r="C1623" s="16" t="str">
        <f>IFERROR(__xludf.DUMMYFUNCTION("""COMPUTED_VALUE"""),"будівельний інструмент")</f>
        <v>будівельний інструмент</v>
      </c>
      <c r="D1623" s="16" t="str">
        <f>IFERROR(__xludf.DUMMYFUNCTION("""COMPUTED_VALUE"""),"пістолети для в'язки арматури")</f>
        <v>пістолети для в'язки арматури</v>
      </c>
      <c r="E1623" s="16" t="str">
        <f>IFERROR(__xludf.DUMMYFUNCTION("""COMPUTED_VALUE"""),"пістолети для в'язки арматури")</f>
        <v>пістолети для в'язки арматури</v>
      </c>
      <c r="F1623" s="17">
        <f>IFERROR(__xludf.DUMMYFUNCTION("""COMPUTED_VALUE"""),3.0)</f>
        <v>3</v>
      </c>
      <c r="G1623" s="17" t="str">
        <f>IFERROR(__xludf.DUMMYFUNCTION("""COMPUTED_VALUE"""),"14201623")</f>
        <v>14201623</v>
      </c>
      <c r="H1623" s="17" t="str">
        <f>IFERROR(__xludf.DUMMYFUNCTION("""COMPUTED_VALUE"""),"пістолети для в'язки арматури")</f>
        <v>пістолети для в'язки арматури</v>
      </c>
      <c r="I1623" s="19">
        <f>IFERROR(__xludf.DUMMYFUNCTION("""COMPUTED_VALUE"""),0.0525)</f>
        <v>0.0525</v>
      </c>
      <c r="J1623" s="19">
        <f>IFERROR(__xludf.DUMMYFUNCTION("""COMPUTED_VALUE"""),0.105)</f>
        <v>0.105</v>
      </c>
      <c r="K1623" s="19">
        <f>IFERROR(__xludf.DUMMYFUNCTION("""COMPUTED_VALUE"""),0.1313)</f>
        <v>0.1313</v>
      </c>
      <c r="L1623" s="19">
        <f>IFERROR(__xludf.DUMMYFUNCTION("""COMPUTED_VALUE"""),0.1575)</f>
        <v>0.1575</v>
      </c>
      <c r="M1623" s="18">
        <f>IFERROR(__xludf.DUMMYFUNCTION("""COMPUTED_VALUE"""),1.05)</f>
        <v>1.05</v>
      </c>
    </row>
    <row r="1624">
      <c r="A1624" s="13" t="str">
        <f>IFERROR(__xludf.DUMMYFUNCTION("""COMPUTED_VALUE"""),"товари")</f>
        <v>товари</v>
      </c>
      <c r="B1624" s="16" t="str">
        <f>IFERROR(__xludf.DUMMYFUNCTION("""COMPUTED_VALUE"""),"інструменти")</f>
        <v>інструменти</v>
      </c>
      <c r="C1624" s="16" t="str">
        <f>IFERROR(__xludf.DUMMYFUNCTION("""COMPUTED_VALUE"""),"пневматичний інструмент")</f>
        <v>пневматичний інструмент</v>
      </c>
      <c r="D1624" s="16" t="str">
        <f>IFERROR(__xludf.DUMMYFUNCTION("""COMPUTED_VALUE"""),"пневматичний інструмент, загальне")</f>
        <v>пневматичний інструмент, загальне</v>
      </c>
      <c r="E1624" s="16" t="str">
        <f>IFERROR(__xludf.DUMMYFUNCTION("""COMPUTED_VALUE"""),"пневматичний інструмент, загальне")</f>
        <v>пневматичний інструмент, загальне</v>
      </c>
      <c r="F1624" s="17">
        <f>IFERROR(__xludf.DUMMYFUNCTION("""COMPUTED_VALUE"""),3.0)</f>
        <v>3</v>
      </c>
      <c r="G1624" s="17" t="str">
        <f>IFERROR(__xludf.DUMMYFUNCTION("""COMPUTED_VALUE"""),"14200599")</f>
        <v>14200599</v>
      </c>
      <c r="H1624" s="17" t="str">
        <f>IFERROR(__xludf.DUMMYFUNCTION("""COMPUTED_VALUE"""),"пневматичний інструмент, загальне")</f>
        <v>пневматичний інструмент, загальне</v>
      </c>
      <c r="I1624" s="19">
        <f>IFERROR(__xludf.DUMMYFUNCTION("""COMPUTED_VALUE"""),0.125)</f>
        <v>0.125</v>
      </c>
      <c r="J1624" s="19">
        <f>IFERROR(__xludf.DUMMYFUNCTION("""COMPUTED_VALUE"""),0.25)</f>
        <v>0.25</v>
      </c>
      <c r="K1624" s="19">
        <f>IFERROR(__xludf.DUMMYFUNCTION("""COMPUTED_VALUE"""),0.3125)</f>
        <v>0.3125</v>
      </c>
      <c r="L1624" s="19">
        <f>IFERROR(__xludf.DUMMYFUNCTION("""COMPUTED_VALUE"""),0.375)</f>
        <v>0.375</v>
      </c>
      <c r="M1624" s="18">
        <f>IFERROR(__xludf.DUMMYFUNCTION("""COMPUTED_VALUE"""),4.33)</f>
        <v>4.33</v>
      </c>
    </row>
    <row r="1625">
      <c r="A1625" s="13" t="str">
        <f>IFERROR(__xludf.DUMMYFUNCTION("""COMPUTED_VALUE"""),"товари")</f>
        <v>товари</v>
      </c>
      <c r="B1625" s="16" t="str">
        <f>IFERROR(__xludf.DUMMYFUNCTION("""COMPUTED_VALUE"""),"інструменти")</f>
        <v>інструменти</v>
      </c>
      <c r="C1625" s="16" t="str">
        <f>IFERROR(__xludf.DUMMYFUNCTION("""COMPUTED_VALUE"""),"пневматичний інструмент")</f>
        <v>пневматичний інструмент</v>
      </c>
      <c r="D1625" s="16" t="str">
        <f>IFERROR(__xludf.DUMMYFUNCTION("""COMPUTED_VALUE"""),"пневматичні гайкокрути")</f>
        <v>пневматичні гайкокрути</v>
      </c>
      <c r="E1625" s="16" t="str">
        <f>IFERROR(__xludf.DUMMYFUNCTION("""COMPUTED_VALUE"""),"пневматичні гайкокрути")</f>
        <v>пневматичні гайкокрути</v>
      </c>
      <c r="F1625" s="17">
        <f>IFERROR(__xludf.DUMMYFUNCTION("""COMPUTED_VALUE"""),3.0)</f>
        <v>3</v>
      </c>
      <c r="G1625" s="17" t="str">
        <f>IFERROR(__xludf.DUMMYFUNCTION("""COMPUTED_VALUE"""),"14200511")</f>
        <v>14200511</v>
      </c>
      <c r="H1625" s="17" t="str">
        <f>IFERROR(__xludf.DUMMYFUNCTION("""COMPUTED_VALUE"""),"пневматичні гайкокрути")</f>
        <v>пневматичні гайкокрути</v>
      </c>
      <c r="I1625" s="19">
        <f>IFERROR(__xludf.DUMMYFUNCTION("""COMPUTED_VALUE"""),0.0519)</f>
        <v>0.0519</v>
      </c>
      <c r="J1625" s="19">
        <f>IFERROR(__xludf.DUMMYFUNCTION("""COMPUTED_VALUE"""),0.1038)</f>
        <v>0.1038</v>
      </c>
      <c r="K1625" s="19">
        <f>IFERROR(__xludf.DUMMYFUNCTION("""COMPUTED_VALUE"""),0.1298)</f>
        <v>0.1298</v>
      </c>
      <c r="L1625" s="19">
        <f>IFERROR(__xludf.DUMMYFUNCTION("""COMPUTED_VALUE"""),0.1557)</f>
        <v>0.1557</v>
      </c>
      <c r="M1625" s="18">
        <f>IFERROR(__xludf.DUMMYFUNCTION("""COMPUTED_VALUE"""),5.4)</f>
        <v>5.4</v>
      </c>
    </row>
    <row r="1626">
      <c r="A1626" s="13" t="str">
        <f>IFERROR(__xludf.DUMMYFUNCTION("""COMPUTED_VALUE"""),"товари")</f>
        <v>товари</v>
      </c>
      <c r="B1626" s="16" t="str">
        <f>IFERROR(__xludf.DUMMYFUNCTION("""COMPUTED_VALUE"""),"інструменти")</f>
        <v>інструменти</v>
      </c>
      <c r="C1626" s="16" t="str">
        <f>IFERROR(__xludf.DUMMYFUNCTION("""COMPUTED_VALUE"""),"пневматичний інструмент")</f>
        <v>пневматичний інструмент</v>
      </c>
      <c r="D1626" s="16" t="str">
        <f>IFERROR(__xludf.DUMMYFUNCTION("""COMPUTED_VALUE"""),"пневматичні заклепники")</f>
        <v>пневматичні заклепники</v>
      </c>
      <c r="E1626" s="16" t="str">
        <f>IFERROR(__xludf.DUMMYFUNCTION("""COMPUTED_VALUE"""),"пневматичні заклепники")</f>
        <v>пневматичні заклепники</v>
      </c>
      <c r="F1626" s="17">
        <f>IFERROR(__xludf.DUMMYFUNCTION("""COMPUTED_VALUE"""),3.0)</f>
        <v>3</v>
      </c>
      <c r="G1626" s="17" t="str">
        <f>IFERROR(__xludf.DUMMYFUNCTION("""COMPUTED_VALUE"""),"14200508")</f>
        <v>14200508</v>
      </c>
      <c r="H1626" s="17" t="str">
        <f>IFERROR(__xludf.DUMMYFUNCTION("""COMPUTED_VALUE"""),"пневматичні заклепники")</f>
        <v>пневматичні заклепники</v>
      </c>
      <c r="I1626" s="19">
        <f>IFERROR(__xludf.DUMMYFUNCTION("""COMPUTED_VALUE"""),0.0539)</f>
        <v>0.0539</v>
      </c>
      <c r="J1626" s="19">
        <f>IFERROR(__xludf.DUMMYFUNCTION("""COMPUTED_VALUE"""),0.1078)</f>
        <v>0.1078</v>
      </c>
      <c r="K1626" s="19">
        <f>IFERROR(__xludf.DUMMYFUNCTION("""COMPUTED_VALUE"""),0.1348)</f>
        <v>0.1348</v>
      </c>
      <c r="L1626" s="19">
        <f>IFERROR(__xludf.DUMMYFUNCTION("""COMPUTED_VALUE"""),0.1617)</f>
        <v>0.1617</v>
      </c>
      <c r="M1626" s="18">
        <f>IFERROR(__xludf.DUMMYFUNCTION("""COMPUTED_VALUE"""),2.25)</f>
        <v>2.25</v>
      </c>
    </row>
    <row r="1627">
      <c r="A1627" s="13" t="str">
        <f>IFERROR(__xludf.DUMMYFUNCTION("""COMPUTED_VALUE"""),"товари")</f>
        <v>товари</v>
      </c>
      <c r="B1627" s="16" t="str">
        <f>IFERROR(__xludf.DUMMYFUNCTION("""COMPUTED_VALUE"""),"інструменти")</f>
        <v>інструменти</v>
      </c>
      <c r="C1627" s="16" t="str">
        <f>IFERROR(__xludf.DUMMYFUNCTION("""COMPUTED_VALUE"""),"пневматичний інструмент")</f>
        <v>пневматичний інструмент</v>
      </c>
      <c r="D1627" s="16" t="str">
        <f>IFERROR(__xludf.DUMMYFUNCTION("""COMPUTED_VALUE"""),"пневматичні зубила")</f>
        <v>пневматичні зубила</v>
      </c>
      <c r="E1627" s="16" t="str">
        <f>IFERROR(__xludf.DUMMYFUNCTION("""COMPUTED_VALUE"""),"пневматичні зубила")</f>
        <v>пневматичні зубила</v>
      </c>
      <c r="F1627" s="17">
        <f>IFERROR(__xludf.DUMMYFUNCTION("""COMPUTED_VALUE"""),3.0)</f>
        <v>3</v>
      </c>
      <c r="G1627" s="17" t="str">
        <f>IFERROR(__xludf.DUMMYFUNCTION("""COMPUTED_VALUE"""),"14200505")</f>
        <v>14200505</v>
      </c>
      <c r="H1627" s="17" t="str">
        <f>IFERROR(__xludf.DUMMYFUNCTION("""COMPUTED_VALUE"""),"пневматичні зубила")</f>
        <v>пневматичні зубила</v>
      </c>
      <c r="I1627" s="19">
        <f>IFERROR(__xludf.DUMMYFUNCTION("""COMPUTED_VALUE"""),0.044)</f>
        <v>0.044</v>
      </c>
      <c r="J1627" s="19">
        <f>IFERROR(__xludf.DUMMYFUNCTION("""COMPUTED_VALUE"""),0.088)</f>
        <v>0.088</v>
      </c>
      <c r="K1627" s="19">
        <f>IFERROR(__xludf.DUMMYFUNCTION("""COMPUTED_VALUE"""),0.11)</f>
        <v>0.11</v>
      </c>
      <c r="L1627" s="19">
        <f>IFERROR(__xludf.DUMMYFUNCTION("""COMPUTED_VALUE"""),0.132)</f>
        <v>0.132</v>
      </c>
      <c r="M1627" s="18">
        <f>IFERROR(__xludf.DUMMYFUNCTION("""COMPUTED_VALUE"""),1.05)</f>
        <v>1.05</v>
      </c>
    </row>
    <row r="1628">
      <c r="A1628" s="13" t="str">
        <f>IFERROR(__xludf.DUMMYFUNCTION("""COMPUTED_VALUE"""),"товари")</f>
        <v>товари</v>
      </c>
      <c r="B1628" s="16" t="str">
        <f>IFERROR(__xludf.DUMMYFUNCTION("""COMPUTED_VALUE"""),"інструменти")</f>
        <v>інструменти</v>
      </c>
      <c r="C1628" s="16" t="str">
        <f>IFERROR(__xludf.DUMMYFUNCTION("""COMPUTED_VALUE"""),"пневматичний інструмент")</f>
        <v>пневматичний інструмент</v>
      </c>
      <c r="D1628" s="16" t="str">
        <f>IFERROR(__xludf.DUMMYFUNCTION("""COMPUTED_VALUE"""),"пневматичні ножиці по металу")</f>
        <v>пневматичні ножиці по металу</v>
      </c>
      <c r="E1628" s="16" t="str">
        <f>IFERROR(__xludf.DUMMYFUNCTION("""COMPUTED_VALUE"""),"пневматичні ножиці по металу")</f>
        <v>пневматичні ножиці по металу</v>
      </c>
      <c r="F1628" s="17">
        <f>IFERROR(__xludf.DUMMYFUNCTION("""COMPUTED_VALUE"""),3.0)</f>
        <v>3</v>
      </c>
      <c r="G1628" s="17" t="str">
        <f>IFERROR(__xludf.DUMMYFUNCTION("""COMPUTED_VALUE"""),"14200514")</f>
        <v>14200514</v>
      </c>
      <c r="H1628" s="17" t="str">
        <f>IFERROR(__xludf.DUMMYFUNCTION("""COMPUTED_VALUE"""),"пневматичні ножиці по металу")</f>
        <v>пневматичні ножиці по металу</v>
      </c>
      <c r="I1628" s="19">
        <f>IFERROR(__xludf.DUMMYFUNCTION("""COMPUTED_VALUE"""),0.0816)</f>
        <v>0.0816</v>
      </c>
      <c r="J1628" s="19">
        <f>IFERROR(__xludf.DUMMYFUNCTION("""COMPUTED_VALUE"""),0.1632)</f>
        <v>0.1632</v>
      </c>
      <c r="K1628" s="19">
        <f>IFERROR(__xludf.DUMMYFUNCTION("""COMPUTED_VALUE"""),0.204)</f>
        <v>0.204</v>
      </c>
      <c r="L1628" s="19">
        <f>IFERROR(__xludf.DUMMYFUNCTION("""COMPUTED_VALUE"""),0.2448)</f>
        <v>0.2448</v>
      </c>
      <c r="M1628" s="18">
        <f>IFERROR(__xludf.DUMMYFUNCTION("""COMPUTED_VALUE"""),1.63)</f>
        <v>1.63</v>
      </c>
    </row>
    <row r="1629">
      <c r="A1629" s="13" t="str">
        <f>IFERROR(__xludf.DUMMYFUNCTION("""COMPUTED_VALUE"""),"товари")</f>
        <v>товари</v>
      </c>
      <c r="B1629" s="16" t="str">
        <f>IFERROR(__xludf.DUMMYFUNCTION("""COMPUTED_VALUE"""),"інструменти")</f>
        <v>інструменти</v>
      </c>
      <c r="C1629" s="16" t="str">
        <f>IFERROR(__xludf.DUMMYFUNCTION("""COMPUTED_VALUE"""),"пневматичний інструмент")</f>
        <v>пневматичний інструмент</v>
      </c>
      <c r="D1629" s="16" t="str">
        <f>IFERROR(__xludf.DUMMYFUNCTION("""COMPUTED_VALUE"""),"пневматичні пили")</f>
        <v>пневматичні пили</v>
      </c>
      <c r="E1629" s="16" t="str">
        <f>IFERROR(__xludf.DUMMYFUNCTION("""COMPUTED_VALUE"""),"пневматичні пили")</f>
        <v>пневматичні пили</v>
      </c>
      <c r="F1629" s="17">
        <f>IFERROR(__xludf.DUMMYFUNCTION("""COMPUTED_VALUE"""),3.0)</f>
        <v>3</v>
      </c>
      <c r="G1629" s="17" t="str">
        <f>IFERROR(__xludf.DUMMYFUNCTION("""COMPUTED_VALUE"""),"14200523")</f>
        <v>14200523</v>
      </c>
      <c r="H1629" s="17" t="str">
        <f>IFERROR(__xludf.DUMMYFUNCTION("""COMPUTED_VALUE"""),"пневматичні пили")</f>
        <v>пневматичні пили</v>
      </c>
      <c r="I1629" s="19">
        <f>IFERROR(__xludf.DUMMYFUNCTION("""COMPUTED_VALUE"""),0.0455)</f>
        <v>0.0455</v>
      </c>
      <c r="J1629" s="19">
        <f>IFERROR(__xludf.DUMMYFUNCTION("""COMPUTED_VALUE"""),0.0909)</f>
        <v>0.0909</v>
      </c>
      <c r="K1629" s="19">
        <f>IFERROR(__xludf.DUMMYFUNCTION("""COMPUTED_VALUE"""),0.1136)</f>
        <v>0.1136</v>
      </c>
      <c r="L1629" s="19">
        <f>IFERROR(__xludf.DUMMYFUNCTION("""COMPUTED_VALUE"""),0.1364)</f>
        <v>0.1364</v>
      </c>
      <c r="M1629" s="18">
        <f>IFERROR(__xludf.DUMMYFUNCTION("""COMPUTED_VALUE"""),1.05)</f>
        <v>1.05</v>
      </c>
    </row>
    <row r="1630">
      <c r="A1630" s="13" t="str">
        <f>IFERROR(__xludf.DUMMYFUNCTION("""COMPUTED_VALUE"""),"товари")</f>
        <v>товари</v>
      </c>
      <c r="B1630" s="16" t="str">
        <f>IFERROR(__xludf.DUMMYFUNCTION("""COMPUTED_VALUE"""),"інструменти")</f>
        <v>інструменти</v>
      </c>
      <c r="C1630" s="16" t="str">
        <f>IFERROR(__xludf.DUMMYFUNCTION("""COMPUTED_VALUE"""),"пневматичний інструмент")</f>
        <v>пневматичний інструмент</v>
      </c>
      <c r="D1630" s="16" t="str">
        <f>IFERROR(__xludf.DUMMYFUNCTION("""COMPUTED_VALUE"""),"оснащення для пневматичного інструменту")</f>
        <v>оснащення для пневматичного інструменту</v>
      </c>
      <c r="E1630" s="16" t="str">
        <f>IFERROR(__xludf.DUMMYFUNCTION("""COMPUTED_VALUE"""),"пневматичні піскоструминні пістолети")</f>
        <v>пневматичні піскоструминні пістолети</v>
      </c>
      <c r="F1630" s="17">
        <f>IFERROR(__xludf.DUMMYFUNCTION("""COMPUTED_VALUE"""),4.0)</f>
        <v>4</v>
      </c>
      <c r="G1630" s="17" t="str">
        <f>IFERROR(__xludf.DUMMYFUNCTION("""COMPUTED_VALUE"""),"14200517")</f>
        <v>14200517</v>
      </c>
      <c r="H1630" s="17" t="str">
        <f>IFERROR(__xludf.DUMMYFUNCTION("""COMPUTED_VALUE"""),"пневматичні піскоструминні пістолети")</f>
        <v>пневматичні піскоструминні пістолети</v>
      </c>
      <c r="I1630" s="19">
        <f>IFERROR(__xludf.DUMMYFUNCTION("""COMPUTED_VALUE"""),0.0631)</f>
        <v>0.0631</v>
      </c>
      <c r="J1630" s="19">
        <f>IFERROR(__xludf.DUMMYFUNCTION("""COMPUTED_VALUE"""),0.1261)</f>
        <v>0.1261</v>
      </c>
      <c r="K1630" s="19">
        <f>IFERROR(__xludf.DUMMYFUNCTION("""COMPUTED_VALUE"""),0.1576)</f>
        <v>0.1576</v>
      </c>
      <c r="L1630" s="19">
        <f>IFERROR(__xludf.DUMMYFUNCTION("""COMPUTED_VALUE"""),0.1892)</f>
        <v>0.1892</v>
      </c>
      <c r="M1630" s="18">
        <f>IFERROR(__xludf.DUMMYFUNCTION("""COMPUTED_VALUE"""),1.71)</f>
        <v>1.71</v>
      </c>
    </row>
    <row r="1631">
      <c r="A1631" s="13" t="str">
        <f>IFERROR(__xludf.DUMMYFUNCTION("""COMPUTED_VALUE"""),"товари")</f>
        <v>товари</v>
      </c>
      <c r="B1631" s="16" t="str">
        <f>IFERROR(__xludf.DUMMYFUNCTION("""COMPUTED_VALUE"""),"інструменти")</f>
        <v>інструменти</v>
      </c>
      <c r="C1631" s="16" t="str">
        <f>IFERROR(__xludf.DUMMYFUNCTION("""COMPUTED_VALUE"""),"пневматичний інструмент")</f>
        <v>пневматичний інструмент</v>
      </c>
      <c r="D1631" s="16" t="str">
        <f>IFERROR(__xludf.DUMMYFUNCTION("""COMPUTED_VALUE"""),"оснащення для пневматичного інструменту")</f>
        <v>оснащення для пневматичного інструменту</v>
      </c>
      <c r="E1631" s="16" t="str">
        <f>IFERROR(__xludf.DUMMYFUNCTION("""COMPUTED_VALUE"""),"пневматичні пістолети підкачки шин")</f>
        <v>пневматичні пістолети підкачки шин</v>
      </c>
      <c r="F1631" s="17">
        <f>IFERROR(__xludf.DUMMYFUNCTION("""COMPUTED_VALUE"""),4.0)</f>
        <v>4</v>
      </c>
      <c r="G1631" s="17" t="str">
        <f>IFERROR(__xludf.DUMMYFUNCTION("""COMPUTED_VALUE"""),"14200516")</f>
        <v>14200516</v>
      </c>
      <c r="H1631" s="17" t="str">
        <f>IFERROR(__xludf.DUMMYFUNCTION("""COMPUTED_VALUE"""),"пневматичні пістолети підкачки шин")</f>
        <v>пневматичні пістолети підкачки шин</v>
      </c>
      <c r="I1631" s="19">
        <f>IFERROR(__xludf.DUMMYFUNCTION("""COMPUTED_VALUE"""),0.0737)</f>
        <v>0.0737</v>
      </c>
      <c r="J1631" s="19">
        <f>IFERROR(__xludf.DUMMYFUNCTION("""COMPUTED_VALUE"""),0.1473)</f>
        <v>0.1473</v>
      </c>
      <c r="K1631" s="19">
        <f>IFERROR(__xludf.DUMMYFUNCTION("""COMPUTED_VALUE"""),0.1841)</f>
        <v>0.1841</v>
      </c>
      <c r="L1631" s="19">
        <f>IFERROR(__xludf.DUMMYFUNCTION("""COMPUTED_VALUE"""),0.221)</f>
        <v>0.221</v>
      </c>
      <c r="M1631" s="18">
        <f>IFERROR(__xludf.DUMMYFUNCTION("""COMPUTED_VALUE"""),1.71)</f>
        <v>1.71</v>
      </c>
    </row>
    <row r="1632">
      <c r="A1632" s="13" t="str">
        <f>IFERROR(__xludf.DUMMYFUNCTION("""COMPUTED_VALUE"""),"товари")</f>
        <v>товари</v>
      </c>
      <c r="B1632" s="16" t="str">
        <f>IFERROR(__xludf.DUMMYFUNCTION("""COMPUTED_VALUE"""),"інструменти")</f>
        <v>інструменти</v>
      </c>
      <c r="C1632" s="16" t="str">
        <f>IFERROR(__xludf.DUMMYFUNCTION("""COMPUTED_VALUE"""),"пневматичний інструмент")</f>
        <v>пневматичний інструмент</v>
      </c>
      <c r="D1632" s="16" t="str">
        <f>IFERROR(__xludf.DUMMYFUNCTION("""COMPUTED_VALUE"""),"оснащення для пневматичного інструменту")</f>
        <v>оснащення для пневматичного інструменту</v>
      </c>
      <c r="E1632" s="16" t="str">
        <f>IFERROR(__xludf.DUMMYFUNCTION("""COMPUTED_VALUE"""),"пневматичні продувальні пістолети")</f>
        <v>пневматичні продувальні пістолети</v>
      </c>
      <c r="F1632" s="17">
        <f>IFERROR(__xludf.DUMMYFUNCTION("""COMPUTED_VALUE"""),4.0)</f>
        <v>4</v>
      </c>
      <c r="G1632" s="17" t="str">
        <f>IFERROR(__xludf.DUMMYFUNCTION("""COMPUTED_VALUE"""),"14200518")</f>
        <v>14200518</v>
      </c>
      <c r="H1632" s="17" t="str">
        <f>IFERROR(__xludf.DUMMYFUNCTION("""COMPUTED_VALUE"""),"пневматичні продувальні пістолети")</f>
        <v>пневматичні продувальні пістолети</v>
      </c>
      <c r="I1632" s="19">
        <f>IFERROR(__xludf.DUMMYFUNCTION("""COMPUTED_VALUE"""),0.0631)</f>
        <v>0.0631</v>
      </c>
      <c r="J1632" s="19">
        <f>IFERROR(__xludf.DUMMYFUNCTION("""COMPUTED_VALUE"""),0.1261)</f>
        <v>0.1261</v>
      </c>
      <c r="K1632" s="19">
        <f>IFERROR(__xludf.DUMMYFUNCTION("""COMPUTED_VALUE"""),0.1576)</f>
        <v>0.1576</v>
      </c>
      <c r="L1632" s="19">
        <f>IFERROR(__xludf.DUMMYFUNCTION("""COMPUTED_VALUE"""),0.1892)</f>
        <v>0.1892</v>
      </c>
      <c r="M1632" s="18">
        <f>IFERROR(__xludf.DUMMYFUNCTION("""COMPUTED_VALUE"""),1.71)</f>
        <v>1.71</v>
      </c>
    </row>
    <row r="1633">
      <c r="A1633" s="13" t="str">
        <f>IFERROR(__xludf.DUMMYFUNCTION("""COMPUTED_VALUE"""),"товари")</f>
        <v>товари</v>
      </c>
      <c r="B1633" s="16" t="str">
        <f>IFERROR(__xludf.DUMMYFUNCTION("""COMPUTED_VALUE"""),"інструменти")</f>
        <v>інструменти</v>
      </c>
      <c r="C1633" s="16" t="str">
        <f>IFERROR(__xludf.DUMMYFUNCTION("""COMPUTED_VALUE"""),"пневматичний інструмент")</f>
        <v>пневматичний інструмент</v>
      </c>
      <c r="D1633" s="16" t="str">
        <f>IFERROR(__xludf.DUMMYFUNCTION("""COMPUTED_VALUE"""),"оснащення для пневматичного інструменту")</f>
        <v>оснащення для пневматичного інструменту</v>
      </c>
      <c r="E1633" s="16" t="str">
        <f>IFERROR(__xludf.DUMMYFUNCTION("""COMPUTED_VALUE"""),"пневматичні розпилювальні пістолети")</f>
        <v>пневматичні розпилювальні пістолети</v>
      </c>
      <c r="F1633" s="17">
        <f>IFERROR(__xludf.DUMMYFUNCTION("""COMPUTED_VALUE"""),4.0)</f>
        <v>4</v>
      </c>
      <c r="G1633" s="17" t="str">
        <f>IFERROR(__xludf.DUMMYFUNCTION("""COMPUTED_VALUE"""),"14200524")</f>
        <v>14200524</v>
      </c>
      <c r="H1633" s="17" t="str">
        <f>IFERROR(__xludf.DUMMYFUNCTION("""COMPUTED_VALUE"""),"пневматичні розпилювальні пістолети")</f>
        <v>пневматичні розпилювальні пістолети</v>
      </c>
      <c r="I1633" s="19">
        <f>IFERROR(__xludf.DUMMYFUNCTION("""COMPUTED_VALUE"""),0.0631)</f>
        <v>0.0631</v>
      </c>
      <c r="J1633" s="19">
        <f>IFERROR(__xludf.DUMMYFUNCTION("""COMPUTED_VALUE"""),0.1261)</f>
        <v>0.1261</v>
      </c>
      <c r="K1633" s="19">
        <f>IFERROR(__xludf.DUMMYFUNCTION("""COMPUTED_VALUE"""),0.1576)</f>
        <v>0.1576</v>
      </c>
      <c r="L1633" s="19">
        <f>IFERROR(__xludf.DUMMYFUNCTION("""COMPUTED_VALUE"""),0.1892)</f>
        <v>0.1892</v>
      </c>
      <c r="M1633" s="18">
        <f>IFERROR(__xludf.DUMMYFUNCTION("""COMPUTED_VALUE"""),1.71)</f>
        <v>1.71</v>
      </c>
    </row>
    <row r="1634">
      <c r="A1634" s="13" t="str">
        <f>IFERROR(__xludf.DUMMYFUNCTION("""COMPUTED_VALUE"""),"товари")</f>
        <v>товари</v>
      </c>
      <c r="B1634" s="16" t="str">
        <f>IFERROR(__xludf.DUMMYFUNCTION("""COMPUTED_VALUE"""),"інструменти")</f>
        <v>інструменти</v>
      </c>
      <c r="C1634" s="16" t="str">
        <f>IFERROR(__xludf.DUMMYFUNCTION("""COMPUTED_VALUE"""),"пневматичний інструмент")</f>
        <v>пневматичний інструмент</v>
      </c>
      <c r="D1634" s="16" t="str">
        <f>IFERROR(__xludf.DUMMYFUNCTION("""COMPUTED_VALUE"""),"пневматичні степлери")</f>
        <v>пневматичні степлери</v>
      </c>
      <c r="E1634" s="16" t="str">
        <f>IFERROR(__xludf.DUMMYFUNCTION("""COMPUTED_VALUE"""),"пневматичні степлери")</f>
        <v>пневматичні степлери</v>
      </c>
      <c r="F1634" s="17">
        <f>IFERROR(__xludf.DUMMYFUNCTION("""COMPUTED_VALUE"""),3.0)</f>
        <v>3</v>
      </c>
      <c r="G1634" s="17" t="str">
        <f>IFERROR(__xludf.DUMMYFUNCTION("""COMPUTED_VALUE"""),"14200512")</f>
        <v>14200512</v>
      </c>
      <c r="H1634" s="17" t="str">
        <f>IFERROR(__xludf.DUMMYFUNCTION("""COMPUTED_VALUE"""),"пневматичні степлери")</f>
        <v>пневматичні степлери</v>
      </c>
      <c r="I1634" s="19">
        <f>IFERROR(__xludf.DUMMYFUNCTION("""COMPUTED_VALUE"""),0.047)</f>
        <v>0.047</v>
      </c>
      <c r="J1634" s="19">
        <f>IFERROR(__xludf.DUMMYFUNCTION("""COMPUTED_VALUE"""),0.094)</f>
        <v>0.094</v>
      </c>
      <c r="K1634" s="19">
        <f>IFERROR(__xludf.DUMMYFUNCTION("""COMPUTED_VALUE"""),0.1175)</f>
        <v>0.1175</v>
      </c>
      <c r="L1634" s="19">
        <f>IFERROR(__xludf.DUMMYFUNCTION("""COMPUTED_VALUE"""),0.141)</f>
        <v>0.141</v>
      </c>
      <c r="M1634" s="18">
        <f>IFERROR(__xludf.DUMMYFUNCTION("""COMPUTED_VALUE"""),1.63)</f>
        <v>1.63</v>
      </c>
    </row>
    <row r="1635">
      <c r="A1635" s="13" t="str">
        <f>IFERROR(__xludf.DUMMYFUNCTION("""COMPUTED_VALUE"""),"товари")</f>
        <v>товари</v>
      </c>
      <c r="B1635" s="16" t="str">
        <f>IFERROR(__xludf.DUMMYFUNCTION("""COMPUTED_VALUE"""),"інструменти")</f>
        <v>інструменти</v>
      </c>
      <c r="C1635" s="16" t="str">
        <f>IFERROR(__xludf.DUMMYFUNCTION("""COMPUTED_VALUE"""),"пневматичний інструмент")</f>
        <v>пневматичний інструмент</v>
      </c>
      <c r="D1635" s="16" t="str">
        <f>IFERROR(__xludf.DUMMYFUNCTION("""COMPUTED_VALUE"""),"оснащення для пневматичного інструменту")</f>
        <v>оснащення для пневматичного інструменту</v>
      </c>
      <c r="E1635" s="16" t="str">
        <f>IFERROR(__xludf.DUMMYFUNCTION("""COMPUTED_VALUE"""),"пневматичні фарбопульти")</f>
        <v>пневматичні фарбопульти</v>
      </c>
      <c r="F1635" s="17">
        <f>IFERROR(__xludf.DUMMYFUNCTION("""COMPUTED_VALUE"""),4.0)</f>
        <v>4</v>
      </c>
      <c r="G1635" s="17" t="str">
        <f>IFERROR(__xludf.DUMMYFUNCTION("""COMPUTED_VALUE"""),"14200504")</f>
        <v>14200504</v>
      </c>
      <c r="H1635" s="17" t="str">
        <f>IFERROR(__xludf.DUMMYFUNCTION("""COMPUTED_VALUE"""),"пневматичні фарбопульти")</f>
        <v>пневматичні фарбопульти</v>
      </c>
      <c r="I1635" s="19">
        <f>IFERROR(__xludf.DUMMYFUNCTION("""COMPUTED_VALUE"""),0.066)</f>
        <v>0.066</v>
      </c>
      <c r="J1635" s="19">
        <f>IFERROR(__xludf.DUMMYFUNCTION("""COMPUTED_VALUE"""),0.132)</f>
        <v>0.132</v>
      </c>
      <c r="K1635" s="19">
        <f>IFERROR(__xludf.DUMMYFUNCTION("""COMPUTED_VALUE"""),0.165)</f>
        <v>0.165</v>
      </c>
      <c r="L1635" s="19">
        <f>IFERROR(__xludf.DUMMYFUNCTION("""COMPUTED_VALUE"""),0.198)</f>
        <v>0.198</v>
      </c>
      <c r="M1635" s="18">
        <f>IFERROR(__xludf.DUMMYFUNCTION("""COMPUTED_VALUE"""),1.71)</f>
        <v>1.71</v>
      </c>
    </row>
    <row r="1636">
      <c r="A1636" s="13" t="str">
        <f>IFERROR(__xludf.DUMMYFUNCTION("""COMPUTED_VALUE"""),"товари")</f>
        <v>товари</v>
      </c>
      <c r="B1636" s="16" t="str">
        <f>IFERROR(__xludf.DUMMYFUNCTION("""COMPUTED_VALUE"""),"інструменти")</f>
        <v>інструменти</v>
      </c>
      <c r="C1636" s="16" t="str">
        <f>IFERROR(__xludf.DUMMYFUNCTION("""COMPUTED_VALUE"""),"пневматичний інструмент")</f>
        <v>пневматичний інструмент</v>
      </c>
      <c r="D1636" s="16" t="str">
        <f>IFERROR(__xludf.DUMMYFUNCTION("""COMPUTED_VALUE"""),"оснащення для пневматичного інструменту")</f>
        <v>оснащення для пневматичного інструменту</v>
      </c>
      <c r="E1636" s="16" t="str">
        <f>IFERROR(__xludf.DUMMYFUNCTION("""COMPUTED_VALUE"""),"пневматичні шприци для змащення")</f>
        <v>пневматичні шприци для змащення</v>
      </c>
      <c r="F1636" s="17">
        <f>IFERROR(__xludf.DUMMYFUNCTION("""COMPUTED_VALUE"""),4.0)</f>
        <v>4</v>
      </c>
      <c r="G1636" s="17" t="str">
        <f>IFERROR(__xludf.DUMMYFUNCTION("""COMPUTED_VALUE"""),"14200519")</f>
        <v>14200519</v>
      </c>
      <c r="H1636" s="17" t="str">
        <f>IFERROR(__xludf.DUMMYFUNCTION("""COMPUTED_VALUE"""),"пневматичні шприци для змащення")</f>
        <v>пневматичні шприци для змащення</v>
      </c>
      <c r="I1636" s="19">
        <f>IFERROR(__xludf.DUMMYFUNCTION("""COMPUTED_VALUE"""),0.0737)</f>
        <v>0.0737</v>
      </c>
      <c r="J1636" s="19">
        <f>IFERROR(__xludf.DUMMYFUNCTION("""COMPUTED_VALUE"""),0.1473)</f>
        <v>0.1473</v>
      </c>
      <c r="K1636" s="19">
        <f>IFERROR(__xludf.DUMMYFUNCTION("""COMPUTED_VALUE"""),0.1841)</f>
        <v>0.1841</v>
      </c>
      <c r="L1636" s="19">
        <f>IFERROR(__xludf.DUMMYFUNCTION("""COMPUTED_VALUE"""),0.221)</f>
        <v>0.221</v>
      </c>
      <c r="M1636" s="18">
        <f>IFERROR(__xludf.DUMMYFUNCTION("""COMPUTED_VALUE"""),1.71)</f>
        <v>1.71</v>
      </c>
    </row>
    <row r="1637">
      <c r="A1637" s="13" t="str">
        <f>IFERROR(__xludf.DUMMYFUNCTION("""COMPUTED_VALUE"""),"товари")</f>
        <v>товари</v>
      </c>
      <c r="B1637" s="16" t="str">
        <f>IFERROR(__xludf.DUMMYFUNCTION("""COMPUTED_VALUE"""),"інструменти")</f>
        <v>інструменти</v>
      </c>
      <c r="C1637" s="16" t="str">
        <f>IFERROR(__xludf.DUMMYFUNCTION("""COMPUTED_VALUE"""),"пневматичний інструмент")</f>
        <v>пневматичний інструмент</v>
      </c>
      <c r="D1637" s="16" t="str">
        <f>IFERROR(__xludf.DUMMYFUNCTION("""COMPUTED_VALUE"""),"оснащення для пневматичного інструменту")</f>
        <v>оснащення для пневматичного інструменту</v>
      </c>
      <c r="E1637" s="16" t="str">
        <f>IFERROR(__xludf.DUMMYFUNCTION("""COMPUTED_VALUE"""),"пневматичні штукатурні розпилювачі")</f>
        <v>пневматичні штукатурні розпилювачі</v>
      </c>
      <c r="F1637" s="17">
        <f>IFERROR(__xludf.DUMMYFUNCTION("""COMPUTED_VALUE"""),4.0)</f>
        <v>4</v>
      </c>
      <c r="G1637" s="17" t="str">
        <f>IFERROR(__xludf.DUMMYFUNCTION("""COMPUTED_VALUE"""),"14200503")</f>
        <v>14200503</v>
      </c>
      <c r="H1637" s="17" t="str">
        <f>IFERROR(__xludf.DUMMYFUNCTION("""COMPUTED_VALUE"""),"пневматичні штукатурні розпилювачі")</f>
        <v>пневматичні штукатурні розпилювачі</v>
      </c>
      <c r="I1637" s="19">
        <f>IFERROR(__xludf.DUMMYFUNCTION("""COMPUTED_VALUE"""),0.061)</f>
        <v>0.061</v>
      </c>
      <c r="J1637" s="19">
        <f>IFERROR(__xludf.DUMMYFUNCTION("""COMPUTED_VALUE"""),0.1219)</f>
        <v>0.1219</v>
      </c>
      <c r="K1637" s="19">
        <f>IFERROR(__xludf.DUMMYFUNCTION("""COMPUTED_VALUE"""),0.1524)</f>
        <v>0.1524</v>
      </c>
      <c r="L1637" s="19">
        <f>IFERROR(__xludf.DUMMYFUNCTION("""COMPUTED_VALUE"""),0.1829)</f>
        <v>0.1829</v>
      </c>
      <c r="M1637" s="18">
        <f>IFERROR(__xludf.DUMMYFUNCTION("""COMPUTED_VALUE"""),1.71)</f>
        <v>1.71</v>
      </c>
    </row>
    <row r="1638">
      <c r="A1638" s="13" t="str">
        <f>IFERROR(__xludf.DUMMYFUNCTION("""COMPUTED_VALUE"""),"товари")</f>
        <v>товари</v>
      </c>
      <c r="B1638" s="16" t="str">
        <f>IFERROR(__xludf.DUMMYFUNCTION("""COMPUTED_VALUE"""),"інструменти")</f>
        <v>інструменти</v>
      </c>
      <c r="C1638" s="16" t="str">
        <f>IFERROR(__xludf.DUMMYFUNCTION("""COMPUTED_VALUE"""),"пневматичний інструмент")</f>
        <v>пневматичний інструмент</v>
      </c>
      <c r="D1638" s="16" t="str">
        <f>IFERROR(__xludf.DUMMYFUNCTION("""COMPUTED_VALUE"""),"пневматичні шурупокрути")</f>
        <v>пневматичні шурупокрути</v>
      </c>
      <c r="E1638" s="16" t="str">
        <f>IFERROR(__xludf.DUMMYFUNCTION("""COMPUTED_VALUE"""),"пневматичні шурупокрути")</f>
        <v>пневматичні шурупокрути</v>
      </c>
      <c r="F1638" s="17">
        <f>IFERROR(__xludf.DUMMYFUNCTION("""COMPUTED_VALUE"""),3.0)</f>
        <v>3</v>
      </c>
      <c r="G1638" s="17" t="str">
        <f>IFERROR(__xludf.DUMMYFUNCTION("""COMPUTED_VALUE"""),"14200510")</f>
        <v>14200510</v>
      </c>
      <c r="H1638" s="17" t="str">
        <f>IFERROR(__xludf.DUMMYFUNCTION("""COMPUTED_VALUE"""),"пневматичні шурупокрути")</f>
        <v>пневматичні шурупокрути</v>
      </c>
      <c r="I1638" s="19">
        <f>IFERROR(__xludf.DUMMYFUNCTION("""COMPUTED_VALUE"""),0.0509)</f>
        <v>0.0509</v>
      </c>
      <c r="J1638" s="19">
        <f>IFERROR(__xludf.DUMMYFUNCTION("""COMPUTED_VALUE"""),0.1018)</f>
        <v>0.1018</v>
      </c>
      <c r="K1638" s="19">
        <f>IFERROR(__xludf.DUMMYFUNCTION("""COMPUTED_VALUE"""),0.1273)</f>
        <v>0.1273</v>
      </c>
      <c r="L1638" s="19">
        <f>IFERROR(__xludf.DUMMYFUNCTION("""COMPUTED_VALUE"""),0.1527)</f>
        <v>0.1527</v>
      </c>
      <c r="M1638" s="18">
        <f>IFERROR(__xludf.DUMMYFUNCTION("""COMPUTED_VALUE"""),1.05)</f>
        <v>1.05</v>
      </c>
    </row>
    <row r="1639">
      <c r="A1639" s="13" t="str">
        <f>IFERROR(__xludf.DUMMYFUNCTION("""COMPUTED_VALUE"""),"товари")</f>
        <v>товари</v>
      </c>
      <c r="B1639" s="16" t="str">
        <f>IFERROR(__xludf.DUMMYFUNCTION("""COMPUTED_VALUE"""),"інструменти")</f>
        <v>інструменти</v>
      </c>
      <c r="C1639" s="16" t="str">
        <f>IFERROR(__xludf.DUMMYFUNCTION("""COMPUTED_VALUE"""),"будівельний інструмент")</f>
        <v>будівельний інструмент</v>
      </c>
      <c r="D1639" s="16" t="str">
        <f>IFERROR(__xludf.DUMMYFUNCTION("""COMPUTED_VALUE"""),"будівельний пневматичний інструмент")</f>
        <v>будівельний пневматичний інструмент</v>
      </c>
      <c r="E1639" s="16" t="str">
        <f>IFERROR(__xludf.DUMMYFUNCTION("""COMPUTED_VALUE"""),"пневмошліфмашіни")</f>
        <v>пневмошліфмашіни</v>
      </c>
      <c r="F1639" s="17">
        <f>IFERROR(__xludf.DUMMYFUNCTION("""COMPUTED_VALUE"""),4.0)</f>
        <v>4</v>
      </c>
      <c r="G1639" s="17" t="str">
        <f>IFERROR(__xludf.DUMMYFUNCTION("""COMPUTED_VALUE"""),"14200502")</f>
        <v>14200502</v>
      </c>
      <c r="H1639" s="17" t="str">
        <f>IFERROR(__xludf.DUMMYFUNCTION("""COMPUTED_VALUE"""),"пневмошліфмашіни")</f>
        <v>пневмошліфмашіни</v>
      </c>
      <c r="I1639" s="19">
        <f>IFERROR(__xludf.DUMMYFUNCTION("""COMPUTED_VALUE"""),0.0524)</f>
        <v>0.0524</v>
      </c>
      <c r="J1639" s="19">
        <f>IFERROR(__xludf.DUMMYFUNCTION("""COMPUTED_VALUE"""),0.1047)</f>
        <v>0.1047</v>
      </c>
      <c r="K1639" s="19">
        <f>IFERROR(__xludf.DUMMYFUNCTION("""COMPUTED_VALUE"""),0.1309)</f>
        <v>0.1309</v>
      </c>
      <c r="L1639" s="19">
        <f>IFERROR(__xludf.DUMMYFUNCTION("""COMPUTED_VALUE"""),0.1571)</f>
        <v>0.1571</v>
      </c>
      <c r="M1639" s="18">
        <f>IFERROR(__xludf.DUMMYFUNCTION("""COMPUTED_VALUE"""),1.53)</f>
        <v>1.53</v>
      </c>
    </row>
    <row r="1640">
      <c r="A1640" s="13" t="str">
        <f>IFERROR(__xludf.DUMMYFUNCTION("""COMPUTED_VALUE"""),"товари")</f>
        <v>товари</v>
      </c>
      <c r="B1640" s="16" t="str">
        <f>IFERROR(__xludf.DUMMYFUNCTION("""COMPUTED_VALUE"""),"інструменти")</f>
        <v>інструменти</v>
      </c>
      <c r="C1640" s="16" t="str">
        <f>IFERROR(__xludf.DUMMYFUNCTION("""COMPUTED_VALUE"""),"пневматичний інструмент")</f>
        <v>пневматичний інструмент</v>
      </c>
      <c r="D1640" s="16" t="str">
        <f>IFERROR(__xludf.DUMMYFUNCTION("""COMPUTED_VALUE"""),"побутові повітряні компресори")</f>
        <v>побутові повітряні компресори</v>
      </c>
      <c r="E1640" s="16" t="str">
        <f>IFERROR(__xludf.DUMMYFUNCTION("""COMPUTED_VALUE"""),"побутові повітряні компресори")</f>
        <v>побутові повітряні компресори</v>
      </c>
      <c r="F1640" s="17">
        <f>IFERROR(__xludf.DUMMYFUNCTION("""COMPUTED_VALUE"""),3.0)</f>
        <v>3</v>
      </c>
      <c r="G1640" s="17" t="str">
        <f>IFERROR(__xludf.DUMMYFUNCTION("""COMPUTED_VALUE"""),"14200506")</f>
        <v>14200506</v>
      </c>
      <c r="H1640" s="17" t="str">
        <f>IFERROR(__xludf.DUMMYFUNCTION("""COMPUTED_VALUE"""),"побутові повітряні компресори")</f>
        <v>побутові повітряні компресори</v>
      </c>
      <c r="I1640" s="19">
        <f>IFERROR(__xludf.DUMMYFUNCTION("""COMPUTED_VALUE"""),0.0495)</f>
        <v>0.0495</v>
      </c>
      <c r="J1640" s="19">
        <f>IFERROR(__xludf.DUMMYFUNCTION("""COMPUTED_VALUE"""),0.099)</f>
        <v>0.099</v>
      </c>
      <c r="K1640" s="19">
        <f>IFERROR(__xludf.DUMMYFUNCTION("""COMPUTED_VALUE"""),0.1238)</f>
        <v>0.1238</v>
      </c>
      <c r="L1640" s="19">
        <f>IFERROR(__xludf.DUMMYFUNCTION("""COMPUTED_VALUE"""),0.1485)</f>
        <v>0.1485</v>
      </c>
      <c r="M1640" s="18">
        <f>IFERROR(__xludf.DUMMYFUNCTION("""COMPUTED_VALUE"""),3.15)</f>
        <v>3.15</v>
      </c>
    </row>
    <row r="1641">
      <c r="A1641" s="13" t="str">
        <f>IFERROR(__xludf.DUMMYFUNCTION("""COMPUTED_VALUE"""),"товари")</f>
        <v>товари</v>
      </c>
      <c r="B1641" s="16" t="str">
        <f>IFERROR(__xludf.DUMMYFUNCTION("""COMPUTED_VALUE"""),"інструменти")</f>
        <v>інструменти</v>
      </c>
      <c r="C1641" s="16" t="str">
        <f>IFERROR(__xludf.DUMMYFUNCTION("""COMPUTED_VALUE"""),"оснащення для інструменту")</f>
        <v>оснащення для інструменту</v>
      </c>
      <c r="D1641" s="16" t="str">
        <f>IFERROR(__xludf.DUMMYFUNCTION("""COMPUTED_VALUE"""),"полірувальні круги, насадки")</f>
        <v>полірувальні круги, насадки</v>
      </c>
      <c r="E1641" s="16" t="str">
        <f>IFERROR(__xludf.DUMMYFUNCTION("""COMPUTED_VALUE"""),"полірувальні круги, насадки")</f>
        <v>полірувальні круги, насадки</v>
      </c>
      <c r="F1641" s="17">
        <f>IFERROR(__xludf.DUMMYFUNCTION("""COMPUTED_VALUE"""),3.0)</f>
        <v>3</v>
      </c>
      <c r="G1641" s="17" t="str">
        <f>IFERROR(__xludf.DUMMYFUNCTION("""COMPUTED_VALUE"""),"14201518")</f>
        <v>14201518</v>
      </c>
      <c r="H1641" s="17" t="str">
        <f>IFERROR(__xludf.DUMMYFUNCTION("""COMPUTED_VALUE"""),"полірувальні круги, насадки")</f>
        <v>полірувальні круги, насадки</v>
      </c>
      <c r="I1641" s="19">
        <f>IFERROR(__xludf.DUMMYFUNCTION("""COMPUTED_VALUE"""),0.0747)</f>
        <v>0.0747</v>
      </c>
      <c r="J1641" s="19">
        <f>IFERROR(__xludf.DUMMYFUNCTION("""COMPUTED_VALUE"""),0.1494)</f>
        <v>0.1494</v>
      </c>
      <c r="K1641" s="19">
        <f>IFERROR(__xludf.DUMMYFUNCTION("""COMPUTED_VALUE"""),0.1868)</f>
        <v>0.1868</v>
      </c>
      <c r="L1641" s="19">
        <f>IFERROR(__xludf.DUMMYFUNCTION("""COMPUTED_VALUE"""),0.2241)</f>
        <v>0.2241</v>
      </c>
      <c r="M1641" s="18">
        <f>IFERROR(__xludf.DUMMYFUNCTION("""COMPUTED_VALUE"""),1.05)</f>
        <v>1.05</v>
      </c>
    </row>
    <row r="1642">
      <c r="A1642" s="13" t="str">
        <f>IFERROR(__xludf.DUMMYFUNCTION("""COMPUTED_VALUE"""),"товари")</f>
        <v>товари</v>
      </c>
      <c r="B1642" s="16" t="str">
        <f>IFERROR(__xludf.DUMMYFUNCTION("""COMPUTED_VALUE"""),"інструменти")</f>
        <v>інструменти</v>
      </c>
      <c r="C1642" s="16" t="str">
        <f>IFERROR(__xludf.DUMMYFUNCTION("""COMPUTED_VALUE"""),"електроінструмент")</f>
        <v>електроінструмент</v>
      </c>
      <c r="D1642" s="16" t="str">
        <f>IFERROR(__xludf.DUMMYFUNCTION("""COMPUTED_VALUE"""),"пристосування для інструментів")</f>
        <v>пристосування для інструментів</v>
      </c>
      <c r="E1642" s="16" t="str">
        <f>IFERROR(__xludf.DUMMYFUNCTION("""COMPUTED_VALUE"""),"пристосування для інструментів")</f>
        <v>пристосування для інструментів</v>
      </c>
      <c r="F1642" s="17">
        <f>IFERROR(__xludf.DUMMYFUNCTION("""COMPUTED_VALUE"""),3.0)</f>
        <v>3</v>
      </c>
      <c r="G1642" s="17" t="str">
        <f>IFERROR(__xludf.DUMMYFUNCTION("""COMPUTED_VALUE"""),"141734")</f>
        <v>141734</v>
      </c>
      <c r="H1642" s="17" t="str">
        <f>IFERROR(__xludf.DUMMYFUNCTION("""COMPUTED_VALUE"""),"пристосування для інструментів")</f>
        <v>пристосування для інструментів</v>
      </c>
      <c r="I1642" s="19">
        <f>IFERROR(__xludf.DUMMYFUNCTION("""COMPUTED_VALUE"""),0.0581)</f>
        <v>0.0581</v>
      </c>
      <c r="J1642" s="19">
        <f>IFERROR(__xludf.DUMMYFUNCTION("""COMPUTED_VALUE"""),0.1162)</f>
        <v>0.1162</v>
      </c>
      <c r="K1642" s="19">
        <f>IFERROR(__xludf.DUMMYFUNCTION("""COMPUTED_VALUE"""),0.1453)</f>
        <v>0.1453</v>
      </c>
      <c r="L1642" s="19">
        <f>IFERROR(__xludf.DUMMYFUNCTION("""COMPUTED_VALUE"""),0.1743)</f>
        <v>0.1743</v>
      </c>
      <c r="M1642" s="18">
        <f>IFERROR(__xludf.DUMMYFUNCTION("""COMPUTED_VALUE"""),2.79)</f>
        <v>2.79</v>
      </c>
    </row>
    <row r="1643">
      <c r="A1643" s="13" t="str">
        <f>IFERROR(__xludf.DUMMYFUNCTION("""COMPUTED_VALUE"""),"товари")</f>
        <v>товари</v>
      </c>
      <c r="B1643" s="16" t="str">
        <f>IFERROR(__xludf.DUMMYFUNCTION("""COMPUTED_VALUE"""),"інструменти")</f>
        <v>інструменти</v>
      </c>
      <c r="C1643" s="16" t="str">
        <f>IFERROR(__xludf.DUMMYFUNCTION("""COMPUTED_VALUE"""),"ручний інструмент")</f>
        <v>ручний інструмент</v>
      </c>
      <c r="D1643" s="16" t="str">
        <f>IFERROR(__xludf.DUMMYFUNCTION("""COMPUTED_VALUE"""),"пробійники, зубила, борідки")</f>
        <v>пробійники, зубила, борідки</v>
      </c>
      <c r="E1643" s="16" t="str">
        <f>IFERROR(__xludf.DUMMYFUNCTION("""COMPUTED_VALUE"""),"пробійники, зубила, борідки")</f>
        <v>пробійники, зубила, борідки</v>
      </c>
      <c r="F1643" s="17">
        <f>IFERROR(__xludf.DUMMYFUNCTION("""COMPUTED_VALUE"""),3.0)</f>
        <v>3</v>
      </c>
      <c r="G1643" s="17" t="str">
        <f>IFERROR(__xludf.DUMMYFUNCTION("""COMPUTED_VALUE"""),"14200363")</f>
        <v>14200363</v>
      </c>
      <c r="H1643" s="17" t="str">
        <f>IFERROR(__xludf.DUMMYFUNCTION("""COMPUTED_VALUE"""),"пробійники, зубила, борідки")</f>
        <v>пробійники, зубила, борідки</v>
      </c>
      <c r="I1643" s="19">
        <f>IFERROR(__xludf.DUMMYFUNCTION("""COMPUTED_VALUE"""),0.0767)</f>
        <v>0.0767</v>
      </c>
      <c r="J1643" s="19">
        <f>IFERROR(__xludf.DUMMYFUNCTION("""COMPUTED_VALUE"""),0.1534)</f>
        <v>0.1534</v>
      </c>
      <c r="K1643" s="19">
        <f>IFERROR(__xludf.DUMMYFUNCTION("""COMPUTED_VALUE"""),0.1918)</f>
        <v>0.1918</v>
      </c>
      <c r="L1643" s="19">
        <f>IFERROR(__xludf.DUMMYFUNCTION("""COMPUTED_VALUE"""),0.2301)</f>
        <v>0.2301</v>
      </c>
      <c r="M1643" s="18">
        <f>IFERROR(__xludf.DUMMYFUNCTION("""COMPUTED_VALUE"""),1.26)</f>
        <v>1.26</v>
      </c>
    </row>
    <row r="1644">
      <c r="A1644" s="13" t="str">
        <f>IFERROR(__xludf.DUMMYFUNCTION("""COMPUTED_VALUE"""),"товари")</f>
        <v>товари</v>
      </c>
      <c r="B1644" s="16" t="str">
        <f>IFERROR(__xludf.DUMMYFUNCTION("""COMPUTED_VALUE"""),"інструменти")</f>
        <v>інструменти</v>
      </c>
      <c r="C1644" s="16" t="str">
        <f>IFERROR(__xludf.DUMMYFUNCTION("""COMPUTED_VALUE"""),"ручний інструмент")</f>
        <v>ручний інструмент</v>
      </c>
      <c r="D1644" s="16" t="str">
        <f>IFERROR(__xludf.DUMMYFUNCTION("""COMPUTED_VALUE"""),"ракелі")</f>
        <v>ракелі</v>
      </c>
      <c r="E1644" s="16" t="str">
        <f>IFERROR(__xludf.DUMMYFUNCTION("""COMPUTED_VALUE"""),"ракелі")</f>
        <v>ракелі</v>
      </c>
      <c r="F1644" s="17">
        <f>IFERROR(__xludf.DUMMYFUNCTION("""COMPUTED_VALUE"""),3.0)</f>
        <v>3</v>
      </c>
      <c r="G1644" s="17" t="str">
        <f>IFERROR(__xludf.DUMMYFUNCTION("""COMPUTED_VALUE"""),"14200389")</f>
        <v>14200389</v>
      </c>
      <c r="H1644" s="17" t="str">
        <f>IFERROR(__xludf.DUMMYFUNCTION("""COMPUTED_VALUE"""),"ракелі")</f>
        <v>ракелі</v>
      </c>
      <c r="I1644" s="19">
        <f>IFERROR(__xludf.DUMMYFUNCTION("""COMPUTED_VALUE"""),0.0746)</f>
        <v>0.0746</v>
      </c>
      <c r="J1644" s="19">
        <f>IFERROR(__xludf.DUMMYFUNCTION("""COMPUTED_VALUE"""),0.1492)</f>
        <v>0.1492</v>
      </c>
      <c r="K1644" s="19">
        <f>IFERROR(__xludf.DUMMYFUNCTION("""COMPUTED_VALUE"""),0.1865)</f>
        <v>0.1865</v>
      </c>
      <c r="L1644" s="19">
        <f>IFERROR(__xludf.DUMMYFUNCTION("""COMPUTED_VALUE"""),0.2238)</f>
        <v>0.2238</v>
      </c>
      <c r="M1644" s="18">
        <f>IFERROR(__xludf.DUMMYFUNCTION("""COMPUTED_VALUE"""),3.33)</f>
        <v>3.33</v>
      </c>
    </row>
    <row r="1645">
      <c r="A1645" s="13" t="str">
        <f>IFERROR(__xludf.DUMMYFUNCTION("""COMPUTED_VALUE"""),"товари")</f>
        <v>товари</v>
      </c>
      <c r="B1645" s="16" t="str">
        <f>IFERROR(__xludf.DUMMYFUNCTION("""COMPUTED_VALUE"""),"інструменти")</f>
        <v>інструменти</v>
      </c>
      <c r="C1645" s="16" t="str">
        <f>IFERROR(__xludf.DUMMYFUNCTION("""COMPUTED_VALUE"""),"ручний інструмент")</f>
        <v>ручний інструмент</v>
      </c>
      <c r="D1645" s="16" t="str">
        <f>IFERROR(__xludf.DUMMYFUNCTION("""COMPUTED_VALUE"""),"револьверні дироколи")</f>
        <v>револьверні дироколи</v>
      </c>
      <c r="E1645" s="16" t="str">
        <f>IFERROR(__xludf.DUMMYFUNCTION("""COMPUTED_VALUE"""),"револьверні дироколи")</f>
        <v>револьверні дироколи</v>
      </c>
      <c r="F1645" s="17">
        <f>IFERROR(__xludf.DUMMYFUNCTION("""COMPUTED_VALUE"""),3.0)</f>
        <v>3</v>
      </c>
      <c r="G1645" s="17" t="str">
        <f>IFERROR(__xludf.DUMMYFUNCTION("""COMPUTED_VALUE"""),"14200388")</f>
        <v>14200388</v>
      </c>
      <c r="H1645" s="17" t="str">
        <f>IFERROR(__xludf.DUMMYFUNCTION("""COMPUTED_VALUE"""),"револьверні дироколи")</f>
        <v>револьверні дироколи</v>
      </c>
      <c r="I1645" s="19">
        <f>IFERROR(__xludf.DUMMYFUNCTION("""COMPUTED_VALUE"""),0.0746)</f>
        <v>0.0746</v>
      </c>
      <c r="J1645" s="19">
        <f>IFERROR(__xludf.DUMMYFUNCTION("""COMPUTED_VALUE"""),0.1492)</f>
        <v>0.1492</v>
      </c>
      <c r="K1645" s="19">
        <f>IFERROR(__xludf.DUMMYFUNCTION("""COMPUTED_VALUE"""),0.1865)</f>
        <v>0.1865</v>
      </c>
      <c r="L1645" s="19">
        <f>IFERROR(__xludf.DUMMYFUNCTION("""COMPUTED_VALUE"""),0.2238)</f>
        <v>0.2238</v>
      </c>
      <c r="M1645" s="18">
        <f>IFERROR(__xludf.DUMMYFUNCTION("""COMPUTED_VALUE"""),1.63)</f>
        <v>1.63</v>
      </c>
    </row>
    <row r="1646">
      <c r="A1646" s="13" t="str">
        <f>IFERROR(__xludf.DUMMYFUNCTION("""COMPUTED_VALUE"""),"товари")</f>
        <v>товари</v>
      </c>
      <c r="B1646" s="16" t="str">
        <f>IFERROR(__xludf.DUMMYFUNCTION("""COMPUTED_VALUE"""),"інструменти")</f>
        <v>інструменти</v>
      </c>
      <c r="C1646" s="16" t="str">
        <f>IFERROR(__xludf.DUMMYFUNCTION("""COMPUTED_VALUE"""),"ручний інструмент")</f>
        <v>ручний інструмент</v>
      </c>
      <c r="D1646" s="16" t="str">
        <f>IFERROR(__xludf.DUMMYFUNCTION("""COMPUTED_VALUE"""),"ключі")</f>
        <v>ключі</v>
      </c>
      <c r="E1646" s="16" t="str">
        <f>IFERROR(__xludf.DUMMYFUNCTION("""COMPUTED_VALUE"""),"ріжкові ключі")</f>
        <v>ріжкові ключі</v>
      </c>
      <c r="F1646" s="17">
        <f>IFERROR(__xludf.DUMMYFUNCTION("""COMPUTED_VALUE"""),4.0)</f>
        <v>4</v>
      </c>
      <c r="G1646" s="17" t="str">
        <f>IFERROR(__xludf.DUMMYFUNCTION("""COMPUTED_VALUE"""),"14200325")</f>
        <v>14200325</v>
      </c>
      <c r="H1646" s="17" t="str">
        <f>IFERROR(__xludf.DUMMYFUNCTION("""COMPUTED_VALUE"""),"ріжкові ключі")</f>
        <v>ріжкові ключі</v>
      </c>
      <c r="I1646" s="19">
        <f>IFERROR(__xludf.DUMMYFUNCTION("""COMPUTED_VALUE"""),0.0761)</f>
        <v>0.0761</v>
      </c>
      <c r="J1646" s="19">
        <f>IFERROR(__xludf.DUMMYFUNCTION("""COMPUTED_VALUE"""),0.1521)</f>
        <v>0.1521</v>
      </c>
      <c r="K1646" s="19">
        <f>IFERROR(__xludf.DUMMYFUNCTION("""COMPUTED_VALUE"""),0.1901)</f>
        <v>0.1901</v>
      </c>
      <c r="L1646" s="19">
        <f>IFERROR(__xludf.DUMMYFUNCTION("""COMPUTED_VALUE"""),0.2282)</f>
        <v>0.2282</v>
      </c>
      <c r="M1646" s="18">
        <f>IFERROR(__xludf.DUMMYFUNCTION("""COMPUTED_VALUE"""),1.53)</f>
        <v>1.53</v>
      </c>
    </row>
    <row r="1647">
      <c r="A1647" s="13" t="str">
        <f>IFERROR(__xludf.DUMMYFUNCTION("""COMPUTED_VALUE"""),"товари")</f>
        <v>товари</v>
      </c>
      <c r="B1647" s="16" t="str">
        <f>IFERROR(__xludf.DUMMYFUNCTION("""COMPUTED_VALUE"""),"інструменти")</f>
        <v>інструменти</v>
      </c>
      <c r="C1647" s="16" t="str">
        <f>IFERROR(__xludf.DUMMYFUNCTION("""COMPUTED_VALUE"""),"ручний інструмент")</f>
        <v>ручний інструмент</v>
      </c>
      <c r="D1647" s="16" t="str">
        <f>IFERROR(__xludf.DUMMYFUNCTION("""COMPUTED_VALUE"""),"ключі")</f>
        <v>ключі</v>
      </c>
      <c r="E1647" s="16" t="str">
        <f>IFERROR(__xludf.DUMMYFUNCTION("""COMPUTED_VALUE"""),"розвідні ключі")</f>
        <v>розвідні ключі</v>
      </c>
      <c r="F1647" s="17">
        <f>IFERROR(__xludf.DUMMYFUNCTION("""COMPUTED_VALUE"""),4.0)</f>
        <v>4</v>
      </c>
      <c r="G1647" s="17" t="str">
        <f>IFERROR(__xludf.DUMMYFUNCTION("""COMPUTED_VALUE"""),"14200327")</f>
        <v>14200327</v>
      </c>
      <c r="H1647" s="17" t="str">
        <f>IFERROR(__xludf.DUMMYFUNCTION("""COMPUTED_VALUE"""),"розвідні ключі")</f>
        <v>розвідні ключі</v>
      </c>
      <c r="I1647" s="19">
        <f>IFERROR(__xludf.DUMMYFUNCTION("""COMPUTED_VALUE"""),0.0761)</f>
        <v>0.0761</v>
      </c>
      <c r="J1647" s="19">
        <f>IFERROR(__xludf.DUMMYFUNCTION("""COMPUTED_VALUE"""),0.1521)</f>
        <v>0.1521</v>
      </c>
      <c r="K1647" s="19">
        <f>IFERROR(__xludf.DUMMYFUNCTION("""COMPUTED_VALUE"""),0.1901)</f>
        <v>0.1901</v>
      </c>
      <c r="L1647" s="19">
        <f>IFERROR(__xludf.DUMMYFUNCTION("""COMPUTED_VALUE"""),0.2282)</f>
        <v>0.2282</v>
      </c>
      <c r="M1647" s="18">
        <f>IFERROR(__xludf.DUMMYFUNCTION("""COMPUTED_VALUE"""),1.53)</f>
        <v>1.53</v>
      </c>
    </row>
    <row r="1648">
      <c r="A1648" s="13" t="str">
        <f>IFERROR(__xludf.DUMMYFUNCTION("""COMPUTED_VALUE"""),"товари")</f>
        <v>товари</v>
      </c>
      <c r="B1648" s="16" t="str">
        <f>IFERROR(__xludf.DUMMYFUNCTION("""COMPUTED_VALUE"""),"інструменти")</f>
        <v>інструменти</v>
      </c>
      <c r="C1648" s="16" t="str">
        <f>IFERROR(__xludf.DUMMYFUNCTION("""COMPUTED_VALUE"""),"ручний інструмент")</f>
        <v>ручний інструмент</v>
      </c>
      <c r="D1648" s="16" t="str">
        <f>IFERROR(__xludf.DUMMYFUNCTION("""COMPUTED_VALUE"""),"розмічальний інструмент")</f>
        <v>розмічальний інструмент</v>
      </c>
      <c r="E1648" s="16" t="str">
        <f>IFERROR(__xludf.DUMMYFUNCTION("""COMPUTED_VALUE"""),"розмічальний інструмент")</f>
        <v>розмічальний інструмент</v>
      </c>
      <c r="F1648" s="17">
        <f>IFERROR(__xludf.DUMMYFUNCTION("""COMPUTED_VALUE"""),3.0)</f>
        <v>3</v>
      </c>
      <c r="G1648" s="17" t="str">
        <f>IFERROR(__xludf.DUMMYFUNCTION("""COMPUTED_VALUE"""),"14200384")</f>
        <v>14200384</v>
      </c>
      <c r="H1648" s="17" t="str">
        <f>IFERROR(__xludf.DUMMYFUNCTION("""COMPUTED_VALUE"""),"розмічальний інструмент")</f>
        <v>розмічальний інструмент</v>
      </c>
      <c r="I1648" s="19">
        <f>IFERROR(__xludf.DUMMYFUNCTION("""COMPUTED_VALUE"""),0.0678)</f>
        <v>0.0678</v>
      </c>
      <c r="J1648" s="19">
        <f>IFERROR(__xludf.DUMMYFUNCTION("""COMPUTED_VALUE"""),0.1355)</f>
        <v>0.1355</v>
      </c>
      <c r="K1648" s="19">
        <f>IFERROR(__xludf.DUMMYFUNCTION("""COMPUTED_VALUE"""),0.1694)</f>
        <v>0.1694</v>
      </c>
      <c r="L1648" s="19">
        <f>IFERROR(__xludf.DUMMYFUNCTION("""COMPUTED_VALUE"""),0.2033)</f>
        <v>0.2033</v>
      </c>
      <c r="M1648" s="18">
        <f>IFERROR(__xludf.DUMMYFUNCTION("""COMPUTED_VALUE"""),1.05)</f>
        <v>1.05</v>
      </c>
    </row>
    <row r="1649">
      <c r="A1649" s="13" t="str">
        <f>IFERROR(__xludf.DUMMYFUNCTION("""COMPUTED_VALUE"""),"товари")</f>
        <v>товари</v>
      </c>
      <c r="B1649" s="16" t="str">
        <f>IFERROR(__xludf.DUMMYFUNCTION("""COMPUTED_VALUE"""),"інструменти")</f>
        <v>інструменти</v>
      </c>
      <c r="C1649" s="16" t="str">
        <f>IFERROR(__xludf.DUMMYFUNCTION("""COMPUTED_VALUE"""),"ручний інструмент")</f>
        <v>ручний інструмент</v>
      </c>
      <c r="D1649" s="16" t="str">
        <f>IFERROR(__xludf.DUMMYFUNCTION("""COMPUTED_VALUE"""),"ключі")</f>
        <v>ключі</v>
      </c>
      <c r="E1649" s="16" t="str">
        <f>IFERROR(__xludf.DUMMYFUNCTION("""COMPUTED_VALUE"""),"розрізні ключі")</f>
        <v>розрізні ключі</v>
      </c>
      <c r="F1649" s="17">
        <f>IFERROR(__xludf.DUMMYFUNCTION("""COMPUTED_VALUE"""),4.0)</f>
        <v>4</v>
      </c>
      <c r="G1649" s="17" t="str">
        <f>IFERROR(__xludf.DUMMYFUNCTION("""COMPUTED_VALUE"""),"14200379")</f>
        <v>14200379</v>
      </c>
      <c r="H1649" s="17" t="str">
        <f>IFERROR(__xludf.DUMMYFUNCTION("""COMPUTED_VALUE"""),"розрізні ключі")</f>
        <v>розрізні ключі</v>
      </c>
      <c r="I1649" s="19">
        <f>IFERROR(__xludf.DUMMYFUNCTION("""COMPUTED_VALUE"""),0.0761)</f>
        <v>0.0761</v>
      </c>
      <c r="J1649" s="19">
        <f>IFERROR(__xludf.DUMMYFUNCTION("""COMPUTED_VALUE"""),0.1521)</f>
        <v>0.1521</v>
      </c>
      <c r="K1649" s="19">
        <f>IFERROR(__xludf.DUMMYFUNCTION("""COMPUTED_VALUE"""),0.1901)</f>
        <v>0.1901</v>
      </c>
      <c r="L1649" s="19">
        <f>IFERROR(__xludf.DUMMYFUNCTION("""COMPUTED_VALUE"""),0.2282)</f>
        <v>0.2282</v>
      </c>
      <c r="M1649" s="18">
        <f>IFERROR(__xludf.DUMMYFUNCTION("""COMPUTED_VALUE"""),1.53)</f>
        <v>1.53</v>
      </c>
    </row>
    <row r="1650">
      <c r="A1650" s="13" t="str">
        <f>IFERROR(__xludf.DUMMYFUNCTION("""COMPUTED_VALUE"""),"товари")</f>
        <v>товари</v>
      </c>
      <c r="B1650" s="16" t="str">
        <f>IFERROR(__xludf.DUMMYFUNCTION("""COMPUTED_VALUE"""),"інструменти")</f>
        <v>інструменти</v>
      </c>
      <c r="C1650" s="16" t="str">
        <f>IFERROR(__xludf.DUMMYFUNCTION("""COMPUTED_VALUE"""),"ручний інструмент")</f>
        <v>ручний інструмент</v>
      </c>
      <c r="D1650" s="16" t="str">
        <f>IFERROR(__xludf.DUMMYFUNCTION("""COMPUTED_VALUE"""),"ручний інструмент, загальне")</f>
        <v>ручний інструмент, загальне</v>
      </c>
      <c r="E1650" s="16" t="str">
        <f>IFERROR(__xludf.DUMMYFUNCTION("""COMPUTED_VALUE"""),"ручний інструмент, загальне")</f>
        <v>ручний інструмент, загальне</v>
      </c>
      <c r="F1650" s="17">
        <f>IFERROR(__xludf.DUMMYFUNCTION("""COMPUTED_VALUE"""),3.0)</f>
        <v>3</v>
      </c>
      <c r="G1650" s="17" t="str">
        <f>IFERROR(__xludf.DUMMYFUNCTION("""COMPUTED_VALUE"""),"14200399")</f>
        <v>14200399</v>
      </c>
      <c r="H1650" s="17" t="str">
        <f>IFERROR(__xludf.DUMMYFUNCTION("""COMPUTED_VALUE"""),"ручний інструмент, загальне")</f>
        <v>ручний інструмент, загальне</v>
      </c>
      <c r="I1650" s="19">
        <f>IFERROR(__xludf.DUMMYFUNCTION("""COMPUTED_VALUE"""),0.125)</f>
        <v>0.125</v>
      </c>
      <c r="J1650" s="19">
        <f>IFERROR(__xludf.DUMMYFUNCTION("""COMPUTED_VALUE"""),0.25)</f>
        <v>0.25</v>
      </c>
      <c r="K1650" s="19">
        <f>IFERROR(__xludf.DUMMYFUNCTION("""COMPUTED_VALUE"""),0.3125)</f>
        <v>0.3125</v>
      </c>
      <c r="L1650" s="19">
        <f>IFERROR(__xludf.DUMMYFUNCTION("""COMPUTED_VALUE"""),0.375)</f>
        <v>0.375</v>
      </c>
      <c r="M1650" s="18">
        <f>IFERROR(__xludf.DUMMYFUNCTION("""COMPUTED_VALUE"""),4.33)</f>
        <v>4.33</v>
      </c>
    </row>
    <row r="1651">
      <c r="A1651" s="13" t="str">
        <f>IFERROR(__xludf.DUMMYFUNCTION("""COMPUTED_VALUE"""),"товари")</f>
        <v>товари</v>
      </c>
      <c r="B1651" s="16" t="str">
        <f>IFERROR(__xludf.DUMMYFUNCTION("""COMPUTED_VALUE"""),"інструменти")</f>
        <v>інструменти</v>
      </c>
      <c r="C1651" s="16" t="str">
        <f>IFERROR(__xludf.DUMMYFUNCTION("""COMPUTED_VALUE"""),"електроінструмент")</f>
        <v>електроінструмент</v>
      </c>
      <c r="D1651" s="16" t="str">
        <f>IFERROR(__xludf.DUMMYFUNCTION("""COMPUTED_VALUE"""),"електричні пили")</f>
        <v>електричні пили</v>
      </c>
      <c r="E1651" s="16" t="str">
        <f>IFERROR(__xludf.DUMMYFUNCTION("""COMPUTED_VALUE"""),"ручні дискові пили")</f>
        <v>ручні дискові пили</v>
      </c>
      <c r="F1651" s="17">
        <f>IFERROR(__xludf.DUMMYFUNCTION("""COMPUTED_VALUE"""),4.0)</f>
        <v>4</v>
      </c>
      <c r="G1651" s="17" t="str">
        <f>IFERROR(__xludf.DUMMYFUNCTION("""COMPUTED_VALUE"""),"14172701")</f>
        <v>14172701</v>
      </c>
      <c r="H1651" s="17" t="str">
        <f>IFERROR(__xludf.DUMMYFUNCTION("""COMPUTED_VALUE"""),"ручні дискові пили")</f>
        <v>ручні дискові пили</v>
      </c>
      <c r="I1651" s="19">
        <f>IFERROR(__xludf.DUMMYFUNCTION("""COMPUTED_VALUE"""),0.0527)</f>
        <v>0.0527</v>
      </c>
      <c r="J1651" s="19">
        <f>IFERROR(__xludf.DUMMYFUNCTION("""COMPUTED_VALUE"""),0.1053)</f>
        <v>0.1053</v>
      </c>
      <c r="K1651" s="19">
        <f>IFERROR(__xludf.DUMMYFUNCTION("""COMPUTED_VALUE"""),0.1316)</f>
        <v>0.1316</v>
      </c>
      <c r="L1651" s="19">
        <f>IFERROR(__xludf.DUMMYFUNCTION("""COMPUTED_VALUE"""),0.158)</f>
        <v>0.158</v>
      </c>
      <c r="M1651" s="18">
        <f>IFERROR(__xludf.DUMMYFUNCTION("""COMPUTED_VALUE"""),5.03)</f>
        <v>5.03</v>
      </c>
    </row>
    <row r="1652">
      <c r="A1652" s="13" t="str">
        <f>IFERROR(__xludf.DUMMYFUNCTION("""COMPUTED_VALUE"""),"товари")</f>
        <v>товари</v>
      </c>
      <c r="B1652" s="16" t="str">
        <f>IFERROR(__xludf.DUMMYFUNCTION("""COMPUTED_VALUE"""),"інструменти")</f>
        <v>інструменти</v>
      </c>
      <c r="C1652" s="16" t="str">
        <f>IFERROR(__xludf.DUMMYFUNCTION("""COMPUTED_VALUE"""),"ручний інструмент")</f>
        <v>ручний інструмент</v>
      </c>
      <c r="D1652" s="16" t="str">
        <f>IFERROR(__xludf.DUMMYFUNCTION("""COMPUTED_VALUE"""),"ручні заклепники")</f>
        <v>ручні заклепники</v>
      </c>
      <c r="E1652" s="16" t="str">
        <f>IFERROR(__xludf.DUMMYFUNCTION("""COMPUTED_VALUE"""),"ручні заклепники")</f>
        <v>ручні заклепники</v>
      </c>
      <c r="F1652" s="17">
        <f>IFERROR(__xludf.DUMMYFUNCTION("""COMPUTED_VALUE"""),3.0)</f>
        <v>3</v>
      </c>
      <c r="G1652" s="17" t="str">
        <f>IFERROR(__xludf.DUMMYFUNCTION("""COMPUTED_VALUE"""),"14200336")</f>
        <v>14200336</v>
      </c>
      <c r="H1652" s="17" t="str">
        <f>IFERROR(__xludf.DUMMYFUNCTION("""COMPUTED_VALUE"""),"ручні заклепники")</f>
        <v>ручні заклепники</v>
      </c>
      <c r="I1652" s="19">
        <f>IFERROR(__xludf.DUMMYFUNCTION("""COMPUTED_VALUE"""),0.0678)</f>
        <v>0.0678</v>
      </c>
      <c r="J1652" s="19">
        <f>IFERROR(__xludf.DUMMYFUNCTION("""COMPUTED_VALUE"""),0.1355)</f>
        <v>0.1355</v>
      </c>
      <c r="K1652" s="19">
        <f>IFERROR(__xludf.DUMMYFUNCTION("""COMPUTED_VALUE"""),0.1694)</f>
        <v>0.1694</v>
      </c>
      <c r="L1652" s="19">
        <f>IFERROR(__xludf.DUMMYFUNCTION("""COMPUTED_VALUE"""),0.2033)</f>
        <v>0.2033</v>
      </c>
      <c r="M1652" s="18">
        <f>IFERROR(__xludf.DUMMYFUNCTION("""COMPUTED_VALUE"""),2.16)</f>
        <v>2.16</v>
      </c>
    </row>
    <row r="1653">
      <c r="A1653" s="13" t="str">
        <f>IFERROR(__xludf.DUMMYFUNCTION("""COMPUTED_VALUE"""),"товари")</f>
        <v>товари</v>
      </c>
      <c r="B1653" s="16" t="str">
        <f>IFERROR(__xludf.DUMMYFUNCTION("""COMPUTED_VALUE"""),"інструменти")</f>
        <v>інструменти</v>
      </c>
      <c r="C1653" s="16" t="str">
        <f>IFERROR(__xludf.DUMMYFUNCTION("""COMPUTED_VALUE"""),"оснащення для інструменту")</f>
        <v>оснащення для інструменту</v>
      </c>
      <c r="D1653" s="16" t="str">
        <f>IFERROR(__xludf.DUMMYFUNCTION("""COMPUTED_VALUE"""),"ручні клупи, плашки")</f>
        <v>ручні клупи, плашки</v>
      </c>
      <c r="E1653" s="16" t="str">
        <f>IFERROR(__xludf.DUMMYFUNCTION("""COMPUTED_VALUE"""),"ручні клупи, плашки")</f>
        <v>ручні клупи, плашки</v>
      </c>
      <c r="F1653" s="17">
        <f>IFERROR(__xludf.DUMMYFUNCTION("""COMPUTED_VALUE"""),3.0)</f>
        <v>3</v>
      </c>
      <c r="G1653" s="17" t="str">
        <f>IFERROR(__xludf.DUMMYFUNCTION("""COMPUTED_VALUE"""),"14201503")</f>
        <v>14201503</v>
      </c>
      <c r="H1653" s="17" t="str">
        <f>IFERROR(__xludf.DUMMYFUNCTION("""COMPUTED_VALUE"""),"ручні клупи, плашки")</f>
        <v>ручні клупи, плашки</v>
      </c>
      <c r="I1653" s="19">
        <f>IFERROR(__xludf.DUMMYFUNCTION("""COMPUTED_VALUE"""),0.0759)</f>
        <v>0.0759</v>
      </c>
      <c r="J1653" s="19">
        <f>IFERROR(__xludf.DUMMYFUNCTION("""COMPUTED_VALUE"""),0.1517)</f>
        <v>0.1517</v>
      </c>
      <c r="K1653" s="19">
        <f>IFERROR(__xludf.DUMMYFUNCTION("""COMPUTED_VALUE"""),0.1896)</f>
        <v>0.1896</v>
      </c>
      <c r="L1653" s="19">
        <f>IFERROR(__xludf.DUMMYFUNCTION("""COMPUTED_VALUE"""),0.2276)</f>
        <v>0.2276</v>
      </c>
      <c r="M1653" s="18">
        <f>IFERROR(__xludf.DUMMYFUNCTION("""COMPUTED_VALUE"""),1.98)</f>
        <v>1.98</v>
      </c>
    </row>
    <row r="1654">
      <c r="A1654" s="13" t="str">
        <f>IFERROR(__xludf.DUMMYFUNCTION("""COMPUTED_VALUE"""),"товари")</f>
        <v>товари</v>
      </c>
      <c r="B1654" s="16" t="str">
        <f>IFERROR(__xludf.DUMMYFUNCTION("""COMPUTED_VALUE"""),"інструменти")</f>
        <v>інструменти</v>
      </c>
      <c r="C1654" s="16" t="str">
        <f>IFERROR(__xludf.DUMMYFUNCTION("""COMPUTED_VALUE"""),"ручний інструмент")</f>
        <v>ручний інструмент</v>
      </c>
      <c r="D1654" s="16" t="str">
        <f>IFERROR(__xludf.DUMMYFUNCTION("""COMPUTED_VALUE"""),"ручні лобзики")</f>
        <v>ручні лобзики</v>
      </c>
      <c r="E1654" s="16" t="str">
        <f>IFERROR(__xludf.DUMMYFUNCTION("""COMPUTED_VALUE"""),"ручні лобзики")</f>
        <v>ручні лобзики</v>
      </c>
      <c r="F1654" s="17">
        <f>IFERROR(__xludf.DUMMYFUNCTION("""COMPUTED_VALUE"""),3.0)</f>
        <v>3</v>
      </c>
      <c r="G1654" s="17" t="str">
        <f>IFERROR(__xludf.DUMMYFUNCTION("""COMPUTED_VALUE"""),"14200392")</f>
        <v>14200392</v>
      </c>
      <c r="H1654" s="17" t="str">
        <f>IFERROR(__xludf.DUMMYFUNCTION("""COMPUTED_VALUE"""),"ручні лобзики")</f>
        <v>ручні лобзики</v>
      </c>
      <c r="I1654" s="19">
        <f>IFERROR(__xludf.DUMMYFUNCTION("""COMPUTED_VALUE"""),0.0501)</f>
        <v>0.0501</v>
      </c>
      <c r="J1654" s="19">
        <f>IFERROR(__xludf.DUMMYFUNCTION("""COMPUTED_VALUE"""),0.1001)</f>
        <v>0.1001</v>
      </c>
      <c r="K1654" s="19">
        <f>IFERROR(__xludf.DUMMYFUNCTION("""COMPUTED_VALUE"""),0.1251)</f>
        <v>0.1251</v>
      </c>
      <c r="L1654" s="19">
        <f>IFERROR(__xludf.DUMMYFUNCTION("""COMPUTED_VALUE"""),0.1502)</f>
        <v>0.1502</v>
      </c>
      <c r="M1654" s="18">
        <f>IFERROR(__xludf.DUMMYFUNCTION("""COMPUTED_VALUE"""),1.05)</f>
        <v>1.05</v>
      </c>
    </row>
    <row r="1655">
      <c r="A1655" s="13" t="str">
        <f>IFERROR(__xludf.DUMMYFUNCTION("""COMPUTED_VALUE"""),"товари")</f>
        <v>товари</v>
      </c>
      <c r="B1655" s="16" t="str">
        <f>IFERROR(__xludf.DUMMYFUNCTION("""COMPUTED_VALUE"""),"інструменти")</f>
        <v>інструменти</v>
      </c>
      <c r="C1655" s="16" t="str">
        <f>IFERROR(__xludf.DUMMYFUNCTION("""COMPUTED_VALUE"""),"ручний інструмент")</f>
        <v>ручний інструмент</v>
      </c>
      <c r="D1655" s="16" t="str">
        <f>IFERROR(__xludf.DUMMYFUNCTION("""COMPUTED_VALUE"""),"ручні механічні трубогиби")</f>
        <v>ручні механічні трубогиби</v>
      </c>
      <c r="E1655" s="16" t="str">
        <f>IFERROR(__xludf.DUMMYFUNCTION("""COMPUTED_VALUE"""),"ручні механічні трубогиби")</f>
        <v>ручні механічні трубогиби</v>
      </c>
      <c r="F1655" s="17">
        <f>IFERROR(__xludf.DUMMYFUNCTION("""COMPUTED_VALUE"""),3.0)</f>
        <v>3</v>
      </c>
      <c r="G1655" s="17" t="str">
        <f>IFERROR(__xludf.DUMMYFUNCTION("""COMPUTED_VALUE"""),"14200381")</f>
        <v>14200381</v>
      </c>
      <c r="H1655" s="17" t="str">
        <f>IFERROR(__xludf.DUMMYFUNCTION("""COMPUTED_VALUE"""),"ручні механічні трубогиби")</f>
        <v>ручні механічні трубогиби</v>
      </c>
      <c r="I1655" s="19">
        <f>IFERROR(__xludf.DUMMYFUNCTION("""COMPUTED_VALUE"""),0.0518)</f>
        <v>0.0518</v>
      </c>
      <c r="J1655" s="19">
        <f>IFERROR(__xludf.DUMMYFUNCTION("""COMPUTED_VALUE"""),0.1035)</f>
        <v>0.1035</v>
      </c>
      <c r="K1655" s="19">
        <f>IFERROR(__xludf.DUMMYFUNCTION("""COMPUTED_VALUE"""),0.1294)</f>
        <v>0.1294</v>
      </c>
      <c r="L1655" s="19">
        <f>IFERROR(__xludf.DUMMYFUNCTION("""COMPUTED_VALUE"""),0.1553)</f>
        <v>0.1553</v>
      </c>
      <c r="M1655" s="18">
        <f>IFERROR(__xludf.DUMMYFUNCTION("""COMPUTED_VALUE"""),4.43)</f>
        <v>4.43</v>
      </c>
    </row>
    <row r="1656">
      <c r="A1656" s="13" t="str">
        <f>IFERROR(__xludf.DUMMYFUNCTION("""COMPUTED_VALUE"""),"товари")</f>
        <v>товари</v>
      </c>
      <c r="B1656" s="16" t="str">
        <f>IFERROR(__xludf.DUMMYFUNCTION("""COMPUTED_VALUE"""),"інструменти")</f>
        <v>інструменти</v>
      </c>
      <c r="C1656" s="16" t="str">
        <f>IFERROR(__xludf.DUMMYFUNCTION("""COMPUTED_VALUE"""),"будівельний інструмент")</f>
        <v>будівельний інструмент</v>
      </c>
      <c r="D1656" s="16" t="str">
        <f>IFERROR(__xludf.DUMMYFUNCTION("""COMPUTED_VALUE"""),"малярно-штукатурний інструмент")</f>
        <v>малярно-штукатурний інструмент</v>
      </c>
      <c r="E1656" s="16" t="str">
        <f>IFERROR(__xludf.DUMMYFUNCTION("""COMPUTED_VALUE"""),"ручні механічні фарбопульти")</f>
        <v>ручні механічні фарбопульти</v>
      </c>
      <c r="F1656" s="17">
        <f>IFERROR(__xludf.DUMMYFUNCTION("""COMPUTED_VALUE"""),4.0)</f>
        <v>4</v>
      </c>
      <c r="G1656" s="17" t="str">
        <f>IFERROR(__xludf.DUMMYFUNCTION("""COMPUTED_VALUE"""),"14201640")</f>
        <v>14201640</v>
      </c>
      <c r="H1656" s="17" t="str">
        <f>IFERROR(__xludf.DUMMYFUNCTION("""COMPUTED_VALUE"""),"ручні механічні фарбопульти")</f>
        <v>ручні механічні фарбопульти</v>
      </c>
      <c r="I1656" s="19">
        <f>IFERROR(__xludf.DUMMYFUNCTION("""COMPUTED_VALUE"""),0.0671)</f>
        <v>0.0671</v>
      </c>
      <c r="J1656" s="19">
        <f>IFERROR(__xludf.DUMMYFUNCTION("""COMPUTED_VALUE"""),0.1342)</f>
        <v>0.1342</v>
      </c>
      <c r="K1656" s="19">
        <f>IFERROR(__xludf.DUMMYFUNCTION("""COMPUTED_VALUE"""),0.1678)</f>
        <v>0.1678</v>
      </c>
      <c r="L1656" s="19">
        <f>IFERROR(__xludf.DUMMYFUNCTION("""COMPUTED_VALUE"""),0.2013)</f>
        <v>0.2013</v>
      </c>
      <c r="M1656" s="18">
        <f>IFERROR(__xludf.DUMMYFUNCTION("""COMPUTED_VALUE"""),1.53)</f>
        <v>1.53</v>
      </c>
    </row>
    <row r="1657">
      <c r="A1657" s="13" t="str">
        <f>IFERROR(__xludf.DUMMYFUNCTION("""COMPUTED_VALUE"""),"товари")</f>
        <v>товари</v>
      </c>
      <c r="B1657" s="16" t="str">
        <f>IFERROR(__xludf.DUMMYFUNCTION("""COMPUTED_VALUE"""),"інструменти")</f>
        <v>інструменти</v>
      </c>
      <c r="C1657" s="16" t="str">
        <f>IFERROR(__xludf.DUMMYFUNCTION("""COMPUTED_VALUE"""),"металорізальний інструмент")</f>
        <v>металорізальний інструмент</v>
      </c>
      <c r="D1657" s="16" t="str">
        <f>IFERROR(__xludf.DUMMYFUNCTION("""COMPUTED_VALUE"""),"ручні ножиці по металу")</f>
        <v>ручні ножиці по металу</v>
      </c>
      <c r="E1657" s="16" t="str">
        <f>IFERROR(__xludf.DUMMYFUNCTION("""COMPUTED_VALUE"""),"ручні ножиці по металу")</f>
        <v>ручні ножиці по металу</v>
      </c>
      <c r="F1657" s="17">
        <f>IFERROR(__xludf.DUMMYFUNCTION("""COMPUTED_VALUE"""),3.0)</f>
        <v>3</v>
      </c>
      <c r="G1657" s="17" t="str">
        <f>IFERROR(__xludf.DUMMYFUNCTION("""COMPUTED_VALUE"""),"14201002")</f>
        <v>14201002</v>
      </c>
      <c r="H1657" s="17" t="str">
        <f>IFERROR(__xludf.DUMMYFUNCTION("""COMPUTED_VALUE"""),"ручні ножиці по металу")</f>
        <v>ручні ножиці по металу</v>
      </c>
      <c r="I1657" s="19">
        <f>IFERROR(__xludf.DUMMYFUNCTION("""COMPUTED_VALUE"""),0.0573)</f>
        <v>0.0573</v>
      </c>
      <c r="J1657" s="19">
        <f>IFERROR(__xludf.DUMMYFUNCTION("""COMPUTED_VALUE"""),0.1145)</f>
        <v>0.1145</v>
      </c>
      <c r="K1657" s="19">
        <f>IFERROR(__xludf.DUMMYFUNCTION("""COMPUTED_VALUE"""),0.1431)</f>
        <v>0.1431</v>
      </c>
      <c r="L1657" s="19">
        <f>IFERROR(__xludf.DUMMYFUNCTION("""COMPUTED_VALUE"""),0.1718)</f>
        <v>0.1718</v>
      </c>
      <c r="M1657" s="18">
        <f>IFERROR(__xludf.DUMMYFUNCTION("""COMPUTED_VALUE"""),1.05)</f>
        <v>1.05</v>
      </c>
    </row>
    <row r="1658">
      <c r="A1658" s="13" t="str">
        <f>IFERROR(__xludf.DUMMYFUNCTION("""COMPUTED_VALUE"""),"товари")</f>
        <v>товари</v>
      </c>
      <c r="B1658" s="16" t="str">
        <f>IFERROR(__xludf.DUMMYFUNCTION("""COMPUTED_VALUE"""),"інструменти")</f>
        <v>інструменти</v>
      </c>
      <c r="C1658" s="16" t="str">
        <f>IFERROR(__xludf.DUMMYFUNCTION("""COMPUTED_VALUE"""),"ручний інструмент")</f>
        <v>ручний інструмент</v>
      </c>
      <c r="D1658" s="16" t="str">
        <f>IFERROR(__xludf.DUMMYFUNCTION("""COMPUTED_VALUE"""),"ручні обтискні інструменти")</f>
        <v>ручні обтискні інструменти</v>
      </c>
      <c r="E1658" s="16" t="str">
        <f>IFERROR(__xludf.DUMMYFUNCTION("""COMPUTED_VALUE"""),"ручні обтискні інструменти")</f>
        <v>ручні обтискні інструменти</v>
      </c>
      <c r="F1658" s="17">
        <f>IFERROR(__xludf.DUMMYFUNCTION("""COMPUTED_VALUE"""),3.0)</f>
        <v>3</v>
      </c>
      <c r="G1658" s="17" t="str">
        <f>IFERROR(__xludf.DUMMYFUNCTION("""COMPUTED_VALUE"""),"14200358")</f>
        <v>14200358</v>
      </c>
      <c r="H1658" s="17" t="str">
        <f>IFERROR(__xludf.DUMMYFUNCTION("""COMPUTED_VALUE"""),"ручні обтискні інструменти")</f>
        <v>ручні обтискні інструменти</v>
      </c>
      <c r="I1658" s="19">
        <f>IFERROR(__xludf.DUMMYFUNCTION("""COMPUTED_VALUE"""),0.0717)</f>
        <v>0.0717</v>
      </c>
      <c r="J1658" s="19">
        <f>IFERROR(__xludf.DUMMYFUNCTION("""COMPUTED_VALUE"""),0.1434)</f>
        <v>0.1434</v>
      </c>
      <c r="K1658" s="19">
        <f>IFERROR(__xludf.DUMMYFUNCTION("""COMPUTED_VALUE"""),0.1793)</f>
        <v>0.1793</v>
      </c>
      <c r="L1658" s="19">
        <f>IFERROR(__xludf.DUMMYFUNCTION("""COMPUTED_VALUE"""),0.2151)</f>
        <v>0.2151</v>
      </c>
      <c r="M1658" s="18">
        <f>IFERROR(__xludf.DUMMYFUNCTION("""COMPUTED_VALUE"""),1.98)</f>
        <v>1.98</v>
      </c>
    </row>
    <row r="1659">
      <c r="A1659" s="13" t="str">
        <f>IFERROR(__xludf.DUMMYFUNCTION("""COMPUTED_VALUE"""),"товари")</f>
        <v>товари</v>
      </c>
      <c r="B1659" s="16" t="str">
        <f>IFERROR(__xludf.DUMMYFUNCTION("""COMPUTED_VALUE"""),"інструменти")</f>
        <v>інструменти</v>
      </c>
      <c r="C1659" s="16" t="str">
        <f>IFERROR(__xludf.DUMMYFUNCTION("""COMPUTED_VALUE"""),"дереворізальний інструмент")</f>
        <v>дереворізальний інструмент</v>
      </c>
      <c r="D1659" s="16" t="str">
        <f>IFERROR(__xludf.DUMMYFUNCTION("""COMPUTED_VALUE"""),"ручні пили, ножівки")</f>
        <v>ручні пили, ножівки</v>
      </c>
      <c r="E1659" s="16" t="str">
        <f>IFERROR(__xludf.DUMMYFUNCTION("""COMPUTED_VALUE"""),"ручні пили, ножівки")</f>
        <v>ручні пили, ножівки</v>
      </c>
      <c r="F1659" s="17">
        <f>IFERROR(__xludf.DUMMYFUNCTION("""COMPUTED_VALUE"""),3.0)</f>
        <v>3</v>
      </c>
      <c r="G1659" s="17" t="str">
        <f>IFERROR(__xludf.DUMMYFUNCTION("""COMPUTED_VALUE"""),"14200308")</f>
        <v>14200308</v>
      </c>
      <c r="H1659" s="17" t="str">
        <f>IFERROR(__xludf.DUMMYFUNCTION("""COMPUTED_VALUE"""),"ручні пили, ножівки")</f>
        <v>ручні пили, ножівки</v>
      </c>
      <c r="I1659" s="19">
        <f>IFERROR(__xludf.DUMMYFUNCTION("""COMPUTED_VALUE"""),0.0772)</f>
        <v>0.0772</v>
      </c>
      <c r="J1659" s="19">
        <f>IFERROR(__xludf.DUMMYFUNCTION("""COMPUTED_VALUE"""),0.1543)</f>
        <v>0.1543</v>
      </c>
      <c r="K1659" s="19">
        <f>IFERROR(__xludf.DUMMYFUNCTION("""COMPUTED_VALUE"""),0.1929)</f>
        <v>0.1929</v>
      </c>
      <c r="L1659" s="19">
        <f>IFERROR(__xludf.DUMMYFUNCTION("""COMPUTED_VALUE"""),0.2315)</f>
        <v>0.2315</v>
      </c>
      <c r="M1659" s="18">
        <f>IFERROR(__xludf.DUMMYFUNCTION("""COMPUTED_VALUE"""),3.69)</f>
        <v>3.69</v>
      </c>
    </row>
    <row r="1660">
      <c r="A1660" s="13" t="str">
        <f>IFERROR(__xludf.DUMMYFUNCTION("""COMPUTED_VALUE"""),"товари")</f>
        <v>товари</v>
      </c>
      <c r="B1660" s="16" t="str">
        <f>IFERROR(__xludf.DUMMYFUNCTION("""COMPUTED_VALUE"""),"інструменти")</f>
        <v>інструменти</v>
      </c>
      <c r="C1660" s="16" t="str">
        <f>IFERROR(__xludf.DUMMYFUNCTION("""COMPUTED_VALUE"""),"будівельний інструмент")</f>
        <v>будівельний інструмент</v>
      </c>
      <c r="D1660" s="16" t="str">
        <f>IFERROR(__xludf.DUMMYFUNCTION("""COMPUTED_VALUE"""),"ручні плиткорізи")</f>
        <v>ручні плиткорізи</v>
      </c>
      <c r="E1660" s="16" t="str">
        <f>IFERROR(__xludf.DUMMYFUNCTION("""COMPUTED_VALUE"""),"ручні плиткорізи")</f>
        <v>ручні плиткорізи</v>
      </c>
      <c r="F1660" s="17">
        <f>IFERROR(__xludf.DUMMYFUNCTION("""COMPUTED_VALUE"""),3.0)</f>
        <v>3</v>
      </c>
      <c r="G1660" s="17" t="str">
        <f>IFERROR(__xludf.DUMMYFUNCTION("""COMPUTED_VALUE"""),"14201636")</f>
        <v>14201636</v>
      </c>
      <c r="H1660" s="17" t="str">
        <f>IFERROR(__xludf.DUMMYFUNCTION("""COMPUTED_VALUE"""),"ручні плиткорізи")</f>
        <v>ручні плиткорізи</v>
      </c>
      <c r="I1660" s="19">
        <f>IFERROR(__xludf.DUMMYFUNCTION("""COMPUTED_VALUE"""),0.0447)</f>
        <v>0.0447</v>
      </c>
      <c r="J1660" s="19">
        <f>IFERROR(__xludf.DUMMYFUNCTION("""COMPUTED_VALUE"""),0.0893)</f>
        <v>0.0893</v>
      </c>
      <c r="K1660" s="19">
        <f>IFERROR(__xludf.DUMMYFUNCTION("""COMPUTED_VALUE"""),0.1116)</f>
        <v>0.1116</v>
      </c>
      <c r="L1660" s="19">
        <f>IFERROR(__xludf.DUMMYFUNCTION("""COMPUTED_VALUE"""),0.134)</f>
        <v>0.134</v>
      </c>
      <c r="M1660" s="18">
        <f>IFERROR(__xludf.DUMMYFUNCTION("""COMPUTED_VALUE"""),3.24)</f>
        <v>3.24</v>
      </c>
    </row>
    <row r="1661">
      <c r="A1661" s="13" t="str">
        <f>IFERROR(__xludf.DUMMYFUNCTION("""COMPUTED_VALUE"""),"товари")</f>
        <v>товари</v>
      </c>
      <c r="B1661" s="16" t="str">
        <f>IFERROR(__xludf.DUMMYFUNCTION("""COMPUTED_VALUE"""),"інструменти")</f>
        <v>інструменти</v>
      </c>
      <c r="C1661" s="16" t="str">
        <f>IFERROR(__xludf.DUMMYFUNCTION("""COMPUTED_VALUE"""),"ручний інструмент")</f>
        <v>ручний інструмент</v>
      </c>
      <c r="D1661" s="16" t="str">
        <f>IFERROR(__xludf.DUMMYFUNCTION("""COMPUTED_VALUE"""),"ручні преси")</f>
        <v>ручні преси</v>
      </c>
      <c r="E1661" s="16" t="str">
        <f>IFERROR(__xludf.DUMMYFUNCTION("""COMPUTED_VALUE"""),"ручні преси")</f>
        <v>ручні преси</v>
      </c>
      <c r="F1661" s="17">
        <f>IFERROR(__xludf.DUMMYFUNCTION("""COMPUTED_VALUE"""),3.0)</f>
        <v>3</v>
      </c>
      <c r="G1661" s="17" t="str">
        <f>IFERROR(__xludf.DUMMYFUNCTION("""COMPUTED_VALUE"""),"14200317")</f>
        <v>14200317</v>
      </c>
      <c r="H1661" s="17" t="str">
        <f>IFERROR(__xludf.DUMMYFUNCTION("""COMPUTED_VALUE"""),"ручні преси")</f>
        <v>ручні преси</v>
      </c>
      <c r="I1661" s="19">
        <f>IFERROR(__xludf.DUMMYFUNCTION("""COMPUTED_VALUE"""),0.047)</f>
        <v>0.047</v>
      </c>
      <c r="J1661" s="19">
        <f>IFERROR(__xludf.DUMMYFUNCTION("""COMPUTED_VALUE"""),0.094)</f>
        <v>0.094</v>
      </c>
      <c r="K1661" s="19">
        <f>IFERROR(__xludf.DUMMYFUNCTION("""COMPUTED_VALUE"""),0.1175)</f>
        <v>0.1175</v>
      </c>
      <c r="L1661" s="19">
        <f>IFERROR(__xludf.DUMMYFUNCTION("""COMPUTED_VALUE"""),0.141)</f>
        <v>0.141</v>
      </c>
      <c r="M1661" s="18">
        <f>IFERROR(__xludf.DUMMYFUNCTION("""COMPUTED_VALUE"""),3.15)</f>
        <v>3.15</v>
      </c>
    </row>
    <row r="1662">
      <c r="A1662" s="13" t="str">
        <f>IFERROR(__xludf.DUMMYFUNCTION("""COMPUTED_VALUE"""),"товари")</f>
        <v>товари</v>
      </c>
      <c r="B1662" s="16" t="str">
        <f>IFERROR(__xludf.DUMMYFUNCTION("""COMPUTED_VALUE"""),"інструменти")</f>
        <v>інструменти</v>
      </c>
      <c r="C1662" s="16" t="str">
        <f>IFERROR(__xludf.DUMMYFUNCTION("""COMPUTED_VALUE"""),"ручний інструмент")</f>
        <v>ручний інструмент</v>
      </c>
      <c r="D1662" s="16" t="str">
        <f>IFERROR(__xludf.DUMMYFUNCTION("""COMPUTED_VALUE"""),"ручні різці, стамески")</f>
        <v>ручні різці, стамески</v>
      </c>
      <c r="E1662" s="16" t="str">
        <f>IFERROR(__xludf.DUMMYFUNCTION("""COMPUTED_VALUE"""),"ручні різці, стамески")</f>
        <v>ручні різці, стамески</v>
      </c>
      <c r="F1662" s="17">
        <f>IFERROR(__xludf.DUMMYFUNCTION("""COMPUTED_VALUE"""),3.0)</f>
        <v>3</v>
      </c>
      <c r="G1662" s="17" t="str">
        <f>IFERROR(__xludf.DUMMYFUNCTION("""COMPUTED_VALUE"""),"14200303")</f>
        <v>14200303</v>
      </c>
      <c r="H1662" s="17" t="str">
        <f>IFERROR(__xludf.DUMMYFUNCTION("""COMPUTED_VALUE"""),"ручні різці, стамески")</f>
        <v>ручні різці, стамески</v>
      </c>
      <c r="I1662" s="19">
        <f>IFERROR(__xludf.DUMMYFUNCTION("""COMPUTED_VALUE"""),0.0749)</f>
        <v>0.0749</v>
      </c>
      <c r="J1662" s="19">
        <f>IFERROR(__xludf.DUMMYFUNCTION("""COMPUTED_VALUE"""),0.1498)</f>
        <v>0.1498</v>
      </c>
      <c r="K1662" s="19">
        <f>IFERROR(__xludf.DUMMYFUNCTION("""COMPUTED_VALUE"""),0.1873)</f>
        <v>0.1873</v>
      </c>
      <c r="L1662" s="19">
        <f>IFERROR(__xludf.DUMMYFUNCTION("""COMPUTED_VALUE"""),0.2247)</f>
        <v>0.2247</v>
      </c>
      <c r="M1662" s="18">
        <f>IFERROR(__xludf.DUMMYFUNCTION("""COMPUTED_VALUE"""),1.05)</f>
        <v>1.05</v>
      </c>
    </row>
    <row r="1663">
      <c r="A1663" s="13" t="str">
        <f>IFERROR(__xludf.DUMMYFUNCTION("""COMPUTED_VALUE"""),"товари")</f>
        <v>товари</v>
      </c>
      <c r="B1663" s="16" t="str">
        <f>IFERROR(__xludf.DUMMYFUNCTION("""COMPUTED_VALUE"""),"інструменти")</f>
        <v>інструменти</v>
      </c>
      <c r="C1663" s="16" t="str">
        <f>IFERROR(__xludf.DUMMYFUNCTION("""COMPUTED_VALUE"""),"дереворізальний інструмент")</f>
        <v>дереворізальний інструмент</v>
      </c>
      <c r="D1663" s="16" t="str">
        <f>IFERROR(__xludf.DUMMYFUNCTION("""COMPUTED_VALUE"""),"ручні рубанки")</f>
        <v>ручні рубанки</v>
      </c>
      <c r="E1663" s="16" t="str">
        <f>IFERROR(__xludf.DUMMYFUNCTION("""COMPUTED_VALUE"""),"ручні рубанки")</f>
        <v>ручні рубанки</v>
      </c>
      <c r="F1663" s="17">
        <f>IFERROR(__xludf.DUMMYFUNCTION("""COMPUTED_VALUE"""),3.0)</f>
        <v>3</v>
      </c>
      <c r="G1663" s="17" t="str">
        <f>IFERROR(__xludf.DUMMYFUNCTION("""COMPUTED_VALUE"""),"14200337")</f>
        <v>14200337</v>
      </c>
      <c r="H1663" s="17" t="str">
        <f>IFERROR(__xludf.DUMMYFUNCTION("""COMPUTED_VALUE"""),"ручні рубанки")</f>
        <v>ручні рубанки</v>
      </c>
      <c r="I1663" s="19">
        <f>IFERROR(__xludf.DUMMYFUNCTION("""COMPUTED_VALUE"""),0.0678)</f>
        <v>0.0678</v>
      </c>
      <c r="J1663" s="19">
        <f>IFERROR(__xludf.DUMMYFUNCTION("""COMPUTED_VALUE"""),0.1355)</f>
        <v>0.1355</v>
      </c>
      <c r="K1663" s="19">
        <f>IFERROR(__xludf.DUMMYFUNCTION("""COMPUTED_VALUE"""),0.1694)</f>
        <v>0.1694</v>
      </c>
      <c r="L1663" s="19">
        <f>IFERROR(__xludf.DUMMYFUNCTION("""COMPUTED_VALUE"""),0.2033)</f>
        <v>0.2033</v>
      </c>
      <c r="M1663" s="18">
        <f>IFERROR(__xludf.DUMMYFUNCTION("""COMPUTED_VALUE"""),1.05)</f>
        <v>1.05</v>
      </c>
    </row>
    <row r="1664">
      <c r="A1664" s="13" t="str">
        <f>IFERROR(__xludf.DUMMYFUNCTION("""COMPUTED_VALUE"""),"товари")</f>
        <v>товари</v>
      </c>
      <c r="B1664" s="16" t="str">
        <f>IFERROR(__xludf.DUMMYFUNCTION("""COMPUTED_VALUE"""),"інструменти")</f>
        <v>інструменти</v>
      </c>
      <c r="C1664" s="16" t="str">
        <f>IFERROR(__xludf.DUMMYFUNCTION("""COMPUTED_VALUE"""),"електроінструмент")</f>
        <v>електроінструмент</v>
      </c>
      <c r="D1664" s="16" t="str">
        <f>IFERROR(__xludf.DUMMYFUNCTION("""COMPUTED_VALUE"""),"електричні пили")</f>
        <v>електричні пили</v>
      </c>
      <c r="E1664" s="16" t="str">
        <f>IFERROR(__xludf.DUMMYFUNCTION("""COMPUTED_VALUE"""),"ручні торцювальні пили")</f>
        <v>ручні торцювальні пили</v>
      </c>
      <c r="F1664" s="17">
        <f>IFERROR(__xludf.DUMMYFUNCTION("""COMPUTED_VALUE"""),4.0)</f>
        <v>4</v>
      </c>
      <c r="G1664" s="17" t="str">
        <f>IFERROR(__xludf.DUMMYFUNCTION("""COMPUTED_VALUE"""),"14172702")</f>
        <v>14172702</v>
      </c>
      <c r="H1664" s="17" t="str">
        <f>IFERROR(__xludf.DUMMYFUNCTION("""COMPUTED_VALUE"""),"ручні торцювальні пили")</f>
        <v>ручні торцювальні пили</v>
      </c>
      <c r="I1664" s="19">
        <f>IFERROR(__xludf.DUMMYFUNCTION("""COMPUTED_VALUE"""),0.0432)</f>
        <v>0.0432</v>
      </c>
      <c r="J1664" s="19">
        <f>IFERROR(__xludf.DUMMYFUNCTION("""COMPUTED_VALUE"""),0.0864)</f>
        <v>0.0864</v>
      </c>
      <c r="K1664" s="19">
        <f>IFERROR(__xludf.DUMMYFUNCTION("""COMPUTED_VALUE"""),0.108)</f>
        <v>0.108</v>
      </c>
      <c r="L1664" s="19">
        <f>IFERROR(__xludf.DUMMYFUNCTION("""COMPUTED_VALUE"""),0.1296)</f>
        <v>0.1296</v>
      </c>
      <c r="M1664" s="18">
        <f>IFERROR(__xludf.DUMMYFUNCTION("""COMPUTED_VALUE"""),5.03)</f>
        <v>5.03</v>
      </c>
    </row>
    <row r="1665">
      <c r="A1665" s="13" t="str">
        <f>IFERROR(__xludf.DUMMYFUNCTION("""COMPUTED_VALUE"""),"товари")</f>
        <v>товари</v>
      </c>
      <c r="B1665" s="16" t="str">
        <f>IFERROR(__xludf.DUMMYFUNCTION("""COMPUTED_VALUE"""),"інструменти")</f>
        <v>інструменти</v>
      </c>
      <c r="C1665" s="16" t="str">
        <f>IFERROR(__xludf.DUMMYFUNCTION("""COMPUTED_VALUE"""),"ручний інструмент")</f>
        <v>ручний інструмент</v>
      </c>
      <c r="D1665" s="16" t="str">
        <f>IFERROR(__xludf.DUMMYFUNCTION("""COMPUTED_VALUE"""),"ручні трубні розширювачі")</f>
        <v>ручні трубні розширювачі</v>
      </c>
      <c r="E1665" s="16" t="str">
        <f>IFERROR(__xludf.DUMMYFUNCTION("""COMPUTED_VALUE"""),"ручні трубні розширювачі")</f>
        <v>ручні трубні розширювачі</v>
      </c>
      <c r="F1665" s="17">
        <f>IFERROR(__xludf.DUMMYFUNCTION("""COMPUTED_VALUE"""),3.0)</f>
        <v>3</v>
      </c>
      <c r="G1665" s="17" t="str">
        <f>IFERROR(__xludf.DUMMYFUNCTION("""COMPUTED_VALUE"""),"14200382")</f>
        <v>14200382</v>
      </c>
      <c r="H1665" s="17" t="str">
        <f>IFERROR(__xludf.DUMMYFUNCTION("""COMPUTED_VALUE"""),"ручні трубні розширювачі")</f>
        <v>ручні трубні розширювачі</v>
      </c>
      <c r="I1665" s="19">
        <f>IFERROR(__xludf.DUMMYFUNCTION("""COMPUTED_VALUE"""),0.0755)</f>
        <v>0.0755</v>
      </c>
      <c r="J1665" s="19">
        <f>IFERROR(__xludf.DUMMYFUNCTION("""COMPUTED_VALUE"""),0.151)</f>
        <v>0.151</v>
      </c>
      <c r="K1665" s="19">
        <f>IFERROR(__xludf.DUMMYFUNCTION("""COMPUTED_VALUE"""),0.1888)</f>
        <v>0.1888</v>
      </c>
      <c r="L1665" s="19">
        <f>IFERROR(__xludf.DUMMYFUNCTION("""COMPUTED_VALUE"""),0.2265)</f>
        <v>0.2265</v>
      </c>
      <c r="M1665" s="18">
        <f>IFERROR(__xludf.DUMMYFUNCTION("""COMPUTED_VALUE"""),1.53)</f>
        <v>1.53</v>
      </c>
    </row>
    <row r="1666">
      <c r="A1666" s="13" t="str">
        <f>IFERROR(__xludf.DUMMYFUNCTION("""COMPUTED_VALUE"""),"товари")</f>
        <v>товари</v>
      </c>
      <c r="B1666" s="16" t="str">
        <f>IFERROR(__xludf.DUMMYFUNCTION("""COMPUTED_VALUE"""),"інструменти")</f>
        <v>інструменти</v>
      </c>
      <c r="C1666" s="16" t="str">
        <f>IFERROR(__xludf.DUMMYFUNCTION("""COMPUTED_VALUE"""),"ручний інструмент")</f>
        <v>ручний інструмент</v>
      </c>
      <c r="D1666" s="16" t="str">
        <f>IFERROR(__xludf.DUMMYFUNCTION("""COMPUTED_VALUE"""),"ручні труборізи, ножиці для труб")</f>
        <v>ручні труборізи, ножиці для труб</v>
      </c>
      <c r="E1666" s="16" t="str">
        <f>IFERROR(__xludf.DUMMYFUNCTION("""COMPUTED_VALUE"""),"ручні труборізи, ножиці для труб")</f>
        <v>ручні труборізи, ножиці для труб</v>
      </c>
      <c r="F1666" s="17">
        <f>IFERROR(__xludf.DUMMYFUNCTION("""COMPUTED_VALUE"""),3.0)</f>
        <v>3</v>
      </c>
      <c r="G1666" s="17" t="str">
        <f>IFERROR(__xludf.DUMMYFUNCTION("""COMPUTED_VALUE"""),"142612")</f>
        <v>142612</v>
      </c>
      <c r="H1666" s="17" t="str">
        <f>IFERROR(__xludf.DUMMYFUNCTION("""COMPUTED_VALUE"""),"ручні труборізи, ножиці для труб")</f>
        <v>ручні труборізи, ножиці для труб</v>
      </c>
      <c r="I1666" s="19">
        <f>IFERROR(__xludf.DUMMYFUNCTION("""COMPUTED_VALUE"""),0.0678)</f>
        <v>0.0678</v>
      </c>
      <c r="J1666" s="19">
        <f>IFERROR(__xludf.DUMMYFUNCTION("""COMPUTED_VALUE"""),0.1355)</f>
        <v>0.1355</v>
      </c>
      <c r="K1666" s="19">
        <f>IFERROR(__xludf.DUMMYFUNCTION("""COMPUTED_VALUE"""),0.1694)</f>
        <v>0.1694</v>
      </c>
      <c r="L1666" s="19">
        <f>IFERROR(__xludf.DUMMYFUNCTION("""COMPUTED_VALUE"""),0.2033)</f>
        <v>0.2033</v>
      </c>
      <c r="M1666" s="18">
        <f>IFERROR(__xludf.DUMMYFUNCTION("""COMPUTED_VALUE"""),2.53)</f>
        <v>2.53</v>
      </c>
    </row>
    <row r="1667">
      <c r="A1667" s="13" t="str">
        <f>IFERROR(__xludf.DUMMYFUNCTION("""COMPUTED_VALUE"""),"товари")</f>
        <v>товари</v>
      </c>
      <c r="B1667" s="16" t="str">
        <f>IFERROR(__xludf.DUMMYFUNCTION("""COMPUTED_VALUE"""),"інструменти")</f>
        <v>інструменти</v>
      </c>
      <c r="C1667" s="16" t="str">
        <f>IFERROR(__xludf.DUMMYFUNCTION("""COMPUTED_VALUE"""),"оснащення для інструменту")</f>
        <v>оснащення для інструменту</v>
      </c>
      <c r="D1667" s="16" t="str">
        <f>IFERROR(__xludf.DUMMYFUNCTION("""COMPUTED_VALUE"""),"свердла, бури")</f>
        <v>свердла, бури</v>
      </c>
      <c r="E1667" s="16" t="str">
        <f>IFERROR(__xludf.DUMMYFUNCTION("""COMPUTED_VALUE"""),"свердла, бури")</f>
        <v>свердла, бури</v>
      </c>
      <c r="F1667" s="17">
        <f>IFERROR(__xludf.DUMMYFUNCTION("""COMPUTED_VALUE"""),3.0)</f>
        <v>3</v>
      </c>
      <c r="G1667" s="17" t="str">
        <f>IFERROR(__xludf.DUMMYFUNCTION("""COMPUTED_VALUE"""),"14201607")</f>
        <v>14201607</v>
      </c>
      <c r="H1667" s="17" t="str">
        <f>IFERROR(__xludf.DUMMYFUNCTION("""COMPUTED_VALUE"""),"свердла, бури")</f>
        <v>свердла, бури</v>
      </c>
      <c r="I1667" s="19">
        <f>IFERROR(__xludf.DUMMYFUNCTION("""COMPUTED_VALUE"""),0.0765)</f>
        <v>0.0765</v>
      </c>
      <c r="J1667" s="19">
        <f>IFERROR(__xludf.DUMMYFUNCTION("""COMPUTED_VALUE"""),0.1529)</f>
        <v>0.1529</v>
      </c>
      <c r="K1667" s="19">
        <f>IFERROR(__xludf.DUMMYFUNCTION("""COMPUTED_VALUE"""),0.1911)</f>
        <v>0.1911</v>
      </c>
      <c r="L1667" s="19">
        <f>IFERROR(__xludf.DUMMYFUNCTION("""COMPUTED_VALUE"""),0.2294)</f>
        <v>0.2294</v>
      </c>
      <c r="M1667" s="18">
        <f>IFERROR(__xludf.DUMMYFUNCTION("""COMPUTED_VALUE"""),1.98)</f>
        <v>1.98</v>
      </c>
    </row>
    <row r="1668">
      <c r="A1668" s="13" t="str">
        <f>IFERROR(__xludf.DUMMYFUNCTION("""COMPUTED_VALUE"""),"товари")</f>
        <v>товари</v>
      </c>
      <c r="B1668" s="16" t="str">
        <f>IFERROR(__xludf.DUMMYFUNCTION("""COMPUTED_VALUE"""),"інструменти")</f>
        <v>інструменти</v>
      </c>
      <c r="C1668" s="16" t="str">
        <f>IFERROR(__xludf.DUMMYFUNCTION("""COMPUTED_VALUE"""),"оснащення для інструменту")</f>
        <v>оснащення для інструменту</v>
      </c>
      <c r="D1668" s="16" t="str">
        <f>IFERROR(__xludf.DUMMYFUNCTION("""COMPUTED_VALUE"""),"свердлильні коронки, кільцеві пилки")</f>
        <v>свердлильні коронки, кільцеві пилки</v>
      </c>
      <c r="E1668" s="16" t="str">
        <f>IFERROR(__xludf.DUMMYFUNCTION("""COMPUTED_VALUE"""),"свердлильні коронки, кільцеві пилки")</f>
        <v>свердлильні коронки, кільцеві пилки</v>
      </c>
      <c r="F1668" s="17">
        <f>IFERROR(__xludf.DUMMYFUNCTION("""COMPUTED_VALUE"""),3.0)</f>
        <v>3</v>
      </c>
      <c r="G1668" s="17" t="str">
        <f>IFERROR(__xludf.DUMMYFUNCTION("""COMPUTED_VALUE"""),"14201508")</f>
        <v>14201508</v>
      </c>
      <c r="H1668" s="17" t="str">
        <f>IFERROR(__xludf.DUMMYFUNCTION("""COMPUTED_VALUE"""),"свердлильні коронки, кільцеві пилки")</f>
        <v>свердлильні коронки, кільцеві пилки</v>
      </c>
      <c r="I1668" s="19">
        <f>IFERROR(__xludf.DUMMYFUNCTION("""COMPUTED_VALUE"""),0.0678)</f>
        <v>0.0678</v>
      </c>
      <c r="J1668" s="19">
        <f>IFERROR(__xludf.DUMMYFUNCTION("""COMPUTED_VALUE"""),0.1355)</f>
        <v>0.1355</v>
      </c>
      <c r="K1668" s="19">
        <f>IFERROR(__xludf.DUMMYFUNCTION("""COMPUTED_VALUE"""),0.1694)</f>
        <v>0.1694</v>
      </c>
      <c r="L1668" s="19">
        <f>IFERROR(__xludf.DUMMYFUNCTION("""COMPUTED_VALUE"""),0.2033)</f>
        <v>0.2033</v>
      </c>
      <c r="M1668" s="18">
        <f>IFERROR(__xludf.DUMMYFUNCTION("""COMPUTED_VALUE"""),2.53)</f>
        <v>2.53</v>
      </c>
    </row>
    <row r="1669">
      <c r="A1669" s="13" t="str">
        <f>IFERROR(__xludf.DUMMYFUNCTION("""COMPUTED_VALUE"""),"товари")</f>
        <v>товари</v>
      </c>
      <c r="B1669" s="16" t="str">
        <f>IFERROR(__xludf.DUMMYFUNCTION("""COMPUTED_VALUE"""),"інструменти")</f>
        <v>інструменти</v>
      </c>
      <c r="C1669" s="16" t="str">
        <f>IFERROR(__xludf.DUMMYFUNCTION("""COMPUTED_VALUE"""),"ручний інструмент")</f>
        <v>ручний інструмент</v>
      </c>
      <c r="D1669" s="16" t="str">
        <f>IFERROR(__xludf.DUMMYFUNCTION("""COMPUTED_VALUE"""),"секторні ножиці, тросорізи")</f>
        <v>секторні ножиці, тросорізи</v>
      </c>
      <c r="E1669" s="16" t="str">
        <f>IFERROR(__xludf.DUMMYFUNCTION("""COMPUTED_VALUE"""),"секторні ножиці, тросорізи")</f>
        <v>секторні ножиці, тросорізи</v>
      </c>
      <c r="F1669" s="17">
        <f>IFERROR(__xludf.DUMMYFUNCTION("""COMPUTED_VALUE"""),3.0)</f>
        <v>3</v>
      </c>
      <c r="G1669" s="17" t="str">
        <f>IFERROR(__xludf.DUMMYFUNCTION("""COMPUTED_VALUE"""),"14200372")</f>
        <v>14200372</v>
      </c>
      <c r="H1669" s="17" t="str">
        <f>IFERROR(__xludf.DUMMYFUNCTION("""COMPUTED_VALUE"""),"секторні ножиці, тросорізи")</f>
        <v>секторні ножиці, тросорізи</v>
      </c>
      <c r="I1669" s="19">
        <f>IFERROR(__xludf.DUMMYFUNCTION("""COMPUTED_VALUE"""),0.0766)</f>
        <v>0.0766</v>
      </c>
      <c r="J1669" s="19">
        <f>IFERROR(__xludf.DUMMYFUNCTION("""COMPUTED_VALUE"""),0.1531)</f>
        <v>0.1531</v>
      </c>
      <c r="K1669" s="19">
        <f>IFERROR(__xludf.DUMMYFUNCTION("""COMPUTED_VALUE"""),0.1914)</f>
        <v>0.1914</v>
      </c>
      <c r="L1669" s="19">
        <f>IFERROR(__xludf.DUMMYFUNCTION("""COMPUTED_VALUE"""),0.2297)</f>
        <v>0.2297</v>
      </c>
      <c r="M1669" s="18">
        <f>IFERROR(__xludf.DUMMYFUNCTION("""COMPUTED_VALUE"""),2.34)</f>
        <v>2.34</v>
      </c>
    </row>
    <row r="1670">
      <c r="A1670" s="13" t="str">
        <f>IFERROR(__xludf.DUMMYFUNCTION("""COMPUTED_VALUE"""),"товари")</f>
        <v>товари</v>
      </c>
      <c r="B1670" s="16" t="str">
        <f>IFERROR(__xludf.DUMMYFUNCTION("""COMPUTED_VALUE"""),"інструменти")</f>
        <v>інструменти</v>
      </c>
      <c r="C1670" s="16" t="str">
        <f>IFERROR(__xludf.DUMMYFUNCTION("""COMPUTED_VALUE"""),"ручний інструмент")</f>
        <v>ручний інструмент</v>
      </c>
      <c r="D1670" s="16" t="str">
        <f>IFERROR(__xludf.DUMMYFUNCTION("""COMPUTED_VALUE"""),"ключі")</f>
        <v>ключі</v>
      </c>
      <c r="E1670" s="16" t="str">
        <f>IFERROR(__xludf.DUMMYFUNCTION("""COMPUTED_VALUE"""),"серпоподібні ключі")</f>
        <v>серпоподібні ключі</v>
      </c>
      <c r="F1670" s="17">
        <f>IFERROR(__xludf.DUMMYFUNCTION("""COMPUTED_VALUE"""),4.0)</f>
        <v>4</v>
      </c>
      <c r="G1670" s="17" t="str">
        <f>IFERROR(__xludf.DUMMYFUNCTION("""COMPUTED_VALUE"""),"14200387")</f>
        <v>14200387</v>
      </c>
      <c r="H1670" s="17" t="str">
        <f>IFERROR(__xludf.DUMMYFUNCTION("""COMPUTED_VALUE"""),"серпоподібні ключі")</f>
        <v>серпоподібні ключі</v>
      </c>
      <c r="I1670" s="19">
        <f>IFERROR(__xludf.DUMMYFUNCTION("""COMPUTED_VALUE"""),0.0764)</f>
        <v>0.0764</v>
      </c>
      <c r="J1670" s="19">
        <f>IFERROR(__xludf.DUMMYFUNCTION("""COMPUTED_VALUE"""),0.1527)</f>
        <v>0.1527</v>
      </c>
      <c r="K1670" s="19">
        <f>IFERROR(__xludf.DUMMYFUNCTION("""COMPUTED_VALUE"""),0.1909)</f>
        <v>0.1909</v>
      </c>
      <c r="L1670" s="19">
        <f>IFERROR(__xludf.DUMMYFUNCTION("""COMPUTED_VALUE"""),0.2291)</f>
        <v>0.2291</v>
      </c>
      <c r="M1670" s="18">
        <f>IFERROR(__xludf.DUMMYFUNCTION("""COMPUTED_VALUE"""),1.53)</f>
        <v>1.53</v>
      </c>
    </row>
    <row r="1671">
      <c r="A1671" s="13" t="str">
        <f>IFERROR(__xludf.DUMMYFUNCTION("""COMPUTED_VALUE"""),"товари")</f>
        <v>товари</v>
      </c>
      <c r="B1671" s="16" t="str">
        <f>IFERROR(__xludf.DUMMYFUNCTION("""COMPUTED_VALUE"""),"інструменти")</f>
        <v>інструменти</v>
      </c>
      <c r="C1671" s="16" t="str">
        <f>IFERROR(__xludf.DUMMYFUNCTION("""COMPUTED_VALUE"""),"будівельний інструмент")</f>
        <v>будівельний інструмент</v>
      </c>
      <c r="D1671" s="16" t="str">
        <f>IFERROR(__xludf.DUMMYFUNCTION("""COMPUTED_VALUE"""),"склорізи")</f>
        <v>склорізи</v>
      </c>
      <c r="E1671" s="16" t="str">
        <f>IFERROR(__xludf.DUMMYFUNCTION("""COMPUTED_VALUE"""),"склорізи")</f>
        <v>склорізи</v>
      </c>
      <c r="F1671" s="17">
        <f>IFERROR(__xludf.DUMMYFUNCTION("""COMPUTED_VALUE"""),3.0)</f>
        <v>3</v>
      </c>
      <c r="G1671" s="17" t="str">
        <f>IFERROR(__xludf.DUMMYFUNCTION("""COMPUTED_VALUE"""),"14201603")</f>
        <v>14201603</v>
      </c>
      <c r="H1671" s="17" t="str">
        <f>IFERROR(__xludf.DUMMYFUNCTION("""COMPUTED_VALUE"""),"склорізи")</f>
        <v>склорізи</v>
      </c>
      <c r="I1671" s="19">
        <f>IFERROR(__xludf.DUMMYFUNCTION("""COMPUTED_VALUE"""),0.0532)</f>
        <v>0.0532</v>
      </c>
      <c r="J1671" s="19">
        <f>IFERROR(__xludf.DUMMYFUNCTION("""COMPUTED_VALUE"""),0.1063)</f>
        <v>0.1063</v>
      </c>
      <c r="K1671" s="19">
        <f>IFERROR(__xludf.DUMMYFUNCTION("""COMPUTED_VALUE"""),0.1329)</f>
        <v>0.1329</v>
      </c>
      <c r="L1671" s="19">
        <f>IFERROR(__xludf.DUMMYFUNCTION("""COMPUTED_VALUE"""),0.1595)</f>
        <v>0.1595</v>
      </c>
      <c r="M1671" s="18">
        <f>IFERROR(__xludf.DUMMYFUNCTION("""COMPUTED_VALUE"""),1.05)</f>
        <v>1.05</v>
      </c>
    </row>
    <row r="1672">
      <c r="A1672" s="13" t="str">
        <f>IFERROR(__xludf.DUMMYFUNCTION("""COMPUTED_VALUE"""),"товари")</f>
        <v>товари</v>
      </c>
      <c r="B1672" s="16" t="str">
        <f>IFERROR(__xludf.DUMMYFUNCTION("""COMPUTED_VALUE"""),"інструменти")</f>
        <v>інструменти</v>
      </c>
      <c r="C1672" s="16" t="str">
        <f>IFERROR(__xludf.DUMMYFUNCTION("""COMPUTED_VALUE"""),"ручний інструмент")</f>
        <v>ручний інструмент</v>
      </c>
      <c r="D1672" s="16" t="str">
        <f>IFERROR(__xludf.DUMMYFUNCTION("""COMPUTED_VALUE"""),"сокири")</f>
        <v>сокири</v>
      </c>
      <c r="E1672" s="16" t="str">
        <f>IFERROR(__xludf.DUMMYFUNCTION("""COMPUTED_VALUE"""),"сокири")</f>
        <v>сокири</v>
      </c>
      <c r="F1672" s="17">
        <f>IFERROR(__xludf.DUMMYFUNCTION("""COMPUTED_VALUE"""),3.0)</f>
        <v>3</v>
      </c>
      <c r="G1672" s="17" t="str">
        <f>IFERROR(__xludf.DUMMYFUNCTION("""COMPUTED_VALUE"""),"14200301")</f>
        <v>14200301</v>
      </c>
      <c r="H1672" s="17" t="str">
        <f>IFERROR(__xludf.DUMMYFUNCTION("""COMPUTED_VALUE"""),"сокири")</f>
        <v>сокири</v>
      </c>
      <c r="I1672" s="19">
        <f>IFERROR(__xludf.DUMMYFUNCTION("""COMPUTED_VALUE"""),0.054)</f>
        <v>0.054</v>
      </c>
      <c r="J1672" s="19">
        <f>IFERROR(__xludf.DUMMYFUNCTION("""COMPUTED_VALUE"""),0.108)</f>
        <v>0.108</v>
      </c>
      <c r="K1672" s="19">
        <f>IFERROR(__xludf.DUMMYFUNCTION("""COMPUTED_VALUE"""),0.135)</f>
        <v>0.135</v>
      </c>
      <c r="L1672" s="19">
        <f>IFERROR(__xludf.DUMMYFUNCTION("""COMPUTED_VALUE"""),0.162)</f>
        <v>0.162</v>
      </c>
      <c r="M1672" s="18">
        <f>IFERROR(__xludf.DUMMYFUNCTION("""COMPUTED_VALUE"""),2.25)</f>
        <v>2.25</v>
      </c>
    </row>
    <row r="1673">
      <c r="A1673" s="13" t="str">
        <f>IFERROR(__xludf.DUMMYFUNCTION("""COMPUTED_VALUE"""),"товари")</f>
        <v>товари</v>
      </c>
      <c r="B1673" s="16" t="str">
        <f>IFERROR(__xludf.DUMMYFUNCTION("""COMPUTED_VALUE"""),"інструменти")</f>
        <v>інструменти</v>
      </c>
      <c r="C1673" s="16" t="str">
        <f>IFERROR(__xludf.DUMMYFUNCTION("""COMPUTED_VALUE"""),"оснащення для інструменту")</f>
        <v>оснащення для інструменту</v>
      </c>
      <c r="D1673" s="16" t="str">
        <f>IFERROR(__xludf.DUMMYFUNCTION("""COMPUTED_VALUE"""),"строгальні ножі")</f>
        <v>строгальні ножі</v>
      </c>
      <c r="E1673" s="16" t="str">
        <f>IFERROR(__xludf.DUMMYFUNCTION("""COMPUTED_VALUE"""),"строгальні ножі")</f>
        <v>строгальні ножі</v>
      </c>
      <c r="F1673" s="17">
        <f>IFERROR(__xludf.DUMMYFUNCTION("""COMPUTED_VALUE"""),3.0)</f>
        <v>3</v>
      </c>
      <c r="G1673" s="17" t="str">
        <f>IFERROR(__xludf.DUMMYFUNCTION("""COMPUTED_VALUE"""),"14201401")</f>
        <v>14201401</v>
      </c>
      <c r="H1673" s="17" t="str">
        <f>IFERROR(__xludf.DUMMYFUNCTION("""COMPUTED_VALUE"""),"строгальні ножі")</f>
        <v>строгальні ножі</v>
      </c>
      <c r="I1673" s="19">
        <f>IFERROR(__xludf.DUMMYFUNCTION("""COMPUTED_VALUE"""),0.0754)</f>
        <v>0.0754</v>
      </c>
      <c r="J1673" s="19">
        <f>IFERROR(__xludf.DUMMYFUNCTION("""COMPUTED_VALUE"""),0.1508)</f>
        <v>0.1508</v>
      </c>
      <c r="K1673" s="19">
        <f>IFERROR(__xludf.DUMMYFUNCTION("""COMPUTED_VALUE"""),0.1885)</f>
        <v>0.1885</v>
      </c>
      <c r="L1673" s="19">
        <f>IFERROR(__xludf.DUMMYFUNCTION("""COMPUTED_VALUE"""),0.2262)</f>
        <v>0.2262</v>
      </c>
      <c r="M1673" s="18">
        <f>IFERROR(__xludf.DUMMYFUNCTION("""COMPUTED_VALUE"""),1.44)</f>
        <v>1.44</v>
      </c>
    </row>
    <row r="1674">
      <c r="A1674" s="13" t="str">
        <f>IFERROR(__xludf.DUMMYFUNCTION("""COMPUTED_VALUE"""),"товари")</f>
        <v>товари</v>
      </c>
      <c r="B1674" s="16" t="str">
        <f>IFERROR(__xludf.DUMMYFUNCTION("""COMPUTED_VALUE"""),"інструменти")</f>
        <v>інструменти</v>
      </c>
      <c r="C1674" s="16" t="str">
        <f>IFERROR(__xludf.DUMMYFUNCTION("""COMPUTED_VALUE"""),"ручний інструмент")</f>
        <v>ручний інструмент</v>
      </c>
      <c r="D1674" s="16" t="str">
        <f>IFERROR(__xludf.DUMMYFUNCTION("""COMPUTED_VALUE"""),"струбцини і затискачі")</f>
        <v>струбцини і затискачі</v>
      </c>
      <c r="E1674" s="16" t="str">
        <f>IFERROR(__xludf.DUMMYFUNCTION("""COMPUTED_VALUE"""),"струбцини і затискачі")</f>
        <v>струбцини і затискачі</v>
      </c>
      <c r="F1674" s="17">
        <f>IFERROR(__xludf.DUMMYFUNCTION("""COMPUTED_VALUE"""),3.0)</f>
        <v>3</v>
      </c>
      <c r="G1674" s="17" t="str">
        <f>IFERROR(__xludf.DUMMYFUNCTION("""COMPUTED_VALUE"""),"14200316")</f>
        <v>14200316</v>
      </c>
      <c r="H1674" s="17" t="str">
        <f>IFERROR(__xludf.DUMMYFUNCTION("""COMPUTED_VALUE"""),"струбцини і затискачі")</f>
        <v>струбцини і затискачі</v>
      </c>
      <c r="I1674" s="19">
        <f>IFERROR(__xludf.DUMMYFUNCTION("""COMPUTED_VALUE"""),0.0722)</f>
        <v>0.0722</v>
      </c>
      <c r="J1674" s="19">
        <f>IFERROR(__xludf.DUMMYFUNCTION("""COMPUTED_VALUE"""),0.1443)</f>
        <v>0.1443</v>
      </c>
      <c r="K1674" s="19">
        <f>IFERROR(__xludf.DUMMYFUNCTION("""COMPUTED_VALUE"""),0.1804)</f>
        <v>0.1804</v>
      </c>
      <c r="L1674" s="19">
        <f>IFERROR(__xludf.DUMMYFUNCTION("""COMPUTED_VALUE"""),0.2165)</f>
        <v>0.2165</v>
      </c>
      <c r="M1674" s="18">
        <f>IFERROR(__xludf.DUMMYFUNCTION("""COMPUTED_VALUE"""),1.05)</f>
        <v>1.05</v>
      </c>
    </row>
    <row r="1675">
      <c r="A1675" s="13" t="str">
        <f>IFERROR(__xludf.DUMMYFUNCTION("""COMPUTED_VALUE"""),"товари")</f>
        <v>товари</v>
      </c>
      <c r="B1675" s="16" t="str">
        <f>IFERROR(__xludf.DUMMYFUNCTION("""COMPUTED_VALUE"""),"інструменти")</f>
        <v>інструменти</v>
      </c>
      <c r="C1675" s="16" t="str">
        <f>IFERROR(__xludf.DUMMYFUNCTION("""COMPUTED_VALUE"""),"металорізальний інструмент")</f>
        <v>металорізальний інструмент</v>
      </c>
      <c r="D1675" s="16" t="str">
        <f>IFERROR(__xludf.DUMMYFUNCTION("""COMPUTED_VALUE"""),"твердосплавні інструменти")</f>
        <v>твердосплавні інструменти</v>
      </c>
      <c r="E1675" s="16" t="str">
        <f>IFERROR(__xludf.DUMMYFUNCTION("""COMPUTED_VALUE"""),"твердосплавні інструменти")</f>
        <v>твердосплавні інструменти</v>
      </c>
      <c r="F1675" s="17">
        <f>IFERROR(__xludf.DUMMYFUNCTION("""COMPUTED_VALUE"""),3.0)</f>
        <v>3</v>
      </c>
      <c r="G1675" s="17" t="str">
        <f>IFERROR(__xludf.DUMMYFUNCTION("""COMPUTED_VALUE"""),"14201005")</f>
        <v>14201005</v>
      </c>
      <c r="H1675" s="17" t="str">
        <f>IFERROR(__xludf.DUMMYFUNCTION("""COMPUTED_VALUE"""),"твердосплавні інструменти")</f>
        <v>твердосплавні інструменти</v>
      </c>
      <c r="I1675" s="19">
        <f>IFERROR(__xludf.DUMMYFUNCTION("""COMPUTED_VALUE"""),0.078)</f>
        <v>0.078</v>
      </c>
      <c r="J1675" s="19">
        <f>IFERROR(__xludf.DUMMYFUNCTION("""COMPUTED_VALUE"""),0.156)</f>
        <v>0.156</v>
      </c>
      <c r="K1675" s="19">
        <f>IFERROR(__xludf.DUMMYFUNCTION("""COMPUTED_VALUE"""),0.195)</f>
        <v>0.195</v>
      </c>
      <c r="L1675" s="19">
        <f>IFERROR(__xludf.DUMMYFUNCTION("""COMPUTED_VALUE"""),0.234)</f>
        <v>0.234</v>
      </c>
      <c r="M1675" s="18">
        <f>IFERROR(__xludf.DUMMYFUNCTION("""COMPUTED_VALUE"""),1.53)</f>
        <v>1.53</v>
      </c>
    </row>
    <row r="1676">
      <c r="A1676" s="13" t="str">
        <f>IFERROR(__xludf.DUMMYFUNCTION("""COMPUTED_VALUE"""),"товари")</f>
        <v>товари</v>
      </c>
      <c r="B1676" s="16" t="str">
        <f>IFERROR(__xludf.DUMMYFUNCTION("""COMPUTED_VALUE"""),"інструменти")</f>
        <v>інструменти</v>
      </c>
      <c r="C1676" s="16" t="str">
        <f>IFERROR(__xludf.DUMMYFUNCTION("""COMPUTED_VALUE"""),"оснащення для інструменту")</f>
        <v>оснащення для інструменту</v>
      </c>
      <c r="D1676" s="16" t="str">
        <f>IFERROR(__xludf.DUMMYFUNCTION("""COMPUTED_VALUE"""),"технічні щітки, корщітки")</f>
        <v>технічні щітки, корщітки</v>
      </c>
      <c r="E1676" s="16" t="str">
        <f>IFERROR(__xludf.DUMMYFUNCTION("""COMPUTED_VALUE"""),"технічні щітки, корщітки")</f>
        <v>технічні щітки, корщітки</v>
      </c>
      <c r="F1676" s="17">
        <f>IFERROR(__xludf.DUMMYFUNCTION("""COMPUTED_VALUE"""),3.0)</f>
        <v>3</v>
      </c>
      <c r="G1676" s="17" t="str">
        <f>IFERROR(__xludf.DUMMYFUNCTION("""COMPUTED_VALUE"""),"420410")</f>
        <v>420410</v>
      </c>
      <c r="H1676" s="17" t="str">
        <f>IFERROR(__xludf.DUMMYFUNCTION("""COMPUTED_VALUE"""),"технічні щітки, корщітки")</f>
        <v>технічні щітки, корщітки</v>
      </c>
      <c r="I1676" s="19">
        <f>IFERROR(__xludf.DUMMYFUNCTION("""COMPUTED_VALUE"""),0.0755)</f>
        <v>0.0755</v>
      </c>
      <c r="J1676" s="19">
        <f>IFERROR(__xludf.DUMMYFUNCTION("""COMPUTED_VALUE"""),0.151)</f>
        <v>0.151</v>
      </c>
      <c r="K1676" s="19">
        <f>IFERROR(__xludf.DUMMYFUNCTION("""COMPUTED_VALUE"""),0.1888)</f>
        <v>0.1888</v>
      </c>
      <c r="L1676" s="19">
        <f>IFERROR(__xludf.DUMMYFUNCTION("""COMPUTED_VALUE"""),0.2265)</f>
        <v>0.2265</v>
      </c>
      <c r="M1676" s="18">
        <f>IFERROR(__xludf.DUMMYFUNCTION("""COMPUTED_VALUE"""),2.79)</f>
        <v>2.79</v>
      </c>
    </row>
    <row r="1677">
      <c r="A1677" s="13" t="str">
        <f>IFERROR(__xludf.DUMMYFUNCTION("""COMPUTED_VALUE"""),"товари")</f>
        <v>товари</v>
      </c>
      <c r="B1677" s="16" t="str">
        <f>IFERROR(__xludf.DUMMYFUNCTION("""COMPUTED_VALUE"""),"інструменти")</f>
        <v>інструменти</v>
      </c>
      <c r="C1677" s="16" t="str">
        <f>IFERROR(__xludf.DUMMYFUNCTION("""COMPUTED_VALUE"""),"ручний інструмент")</f>
        <v>ручний інструмент</v>
      </c>
      <c r="D1677" s="16" t="str">
        <f>IFERROR(__xludf.DUMMYFUNCTION("""COMPUTED_VALUE"""),"ключі")</f>
        <v>ключі</v>
      </c>
      <c r="E1677" s="16" t="str">
        <f>IFERROR(__xludf.DUMMYFUNCTION("""COMPUTED_VALUE"""),"торцеві головки")</f>
        <v>торцеві головки</v>
      </c>
      <c r="F1677" s="17">
        <f>IFERROR(__xludf.DUMMYFUNCTION("""COMPUTED_VALUE"""),4.0)</f>
        <v>4</v>
      </c>
      <c r="G1677" s="17" t="str">
        <f>IFERROR(__xludf.DUMMYFUNCTION("""COMPUTED_VALUE"""),"14200332")</f>
        <v>14200332</v>
      </c>
      <c r="H1677" s="17" t="str">
        <f>IFERROR(__xludf.DUMMYFUNCTION("""COMPUTED_VALUE"""),"торцеві головки")</f>
        <v>торцеві головки</v>
      </c>
      <c r="I1677" s="19">
        <f>IFERROR(__xludf.DUMMYFUNCTION("""COMPUTED_VALUE"""),0.0757)</f>
        <v>0.0757</v>
      </c>
      <c r="J1677" s="19">
        <f>IFERROR(__xludf.DUMMYFUNCTION("""COMPUTED_VALUE"""),0.1514)</f>
        <v>0.1514</v>
      </c>
      <c r="K1677" s="19">
        <f>IFERROR(__xludf.DUMMYFUNCTION("""COMPUTED_VALUE"""),0.1893)</f>
        <v>0.1893</v>
      </c>
      <c r="L1677" s="19">
        <f>IFERROR(__xludf.DUMMYFUNCTION("""COMPUTED_VALUE"""),0.2271)</f>
        <v>0.2271</v>
      </c>
      <c r="M1677" s="18">
        <f>IFERROR(__xludf.DUMMYFUNCTION("""COMPUTED_VALUE"""),1.53)</f>
        <v>1.53</v>
      </c>
    </row>
    <row r="1678">
      <c r="A1678" s="13" t="str">
        <f>IFERROR(__xludf.DUMMYFUNCTION("""COMPUTED_VALUE"""),"товари")</f>
        <v>товари</v>
      </c>
      <c r="B1678" s="16" t="str">
        <f>IFERROR(__xludf.DUMMYFUNCTION("""COMPUTED_VALUE"""),"інструменти")</f>
        <v>інструменти</v>
      </c>
      <c r="C1678" s="16" t="str">
        <f>IFERROR(__xludf.DUMMYFUNCTION("""COMPUTED_VALUE"""),"ручний інструмент")</f>
        <v>ручний інструмент</v>
      </c>
      <c r="D1678" s="16" t="str">
        <f>IFERROR(__xludf.DUMMYFUNCTION("""COMPUTED_VALUE"""),"ключі")</f>
        <v>ключі</v>
      </c>
      <c r="E1678" s="16" t="str">
        <f>IFERROR(__xludf.DUMMYFUNCTION("""COMPUTED_VALUE"""),"торцеві ключі")</f>
        <v>торцеві ключі</v>
      </c>
      <c r="F1678" s="17">
        <f>IFERROR(__xludf.DUMMYFUNCTION("""COMPUTED_VALUE"""),4.0)</f>
        <v>4</v>
      </c>
      <c r="G1678" s="17" t="str">
        <f>IFERROR(__xludf.DUMMYFUNCTION("""COMPUTED_VALUE"""),"14200324")</f>
        <v>14200324</v>
      </c>
      <c r="H1678" s="17" t="str">
        <f>IFERROR(__xludf.DUMMYFUNCTION("""COMPUTED_VALUE"""),"торцеві ключі")</f>
        <v>торцеві ключі</v>
      </c>
      <c r="I1678" s="19">
        <f>IFERROR(__xludf.DUMMYFUNCTION("""COMPUTED_VALUE"""),0.0757)</f>
        <v>0.0757</v>
      </c>
      <c r="J1678" s="19">
        <f>IFERROR(__xludf.DUMMYFUNCTION("""COMPUTED_VALUE"""),0.1514)</f>
        <v>0.1514</v>
      </c>
      <c r="K1678" s="19">
        <f>IFERROR(__xludf.DUMMYFUNCTION("""COMPUTED_VALUE"""),0.1893)</f>
        <v>0.1893</v>
      </c>
      <c r="L1678" s="19">
        <f>IFERROR(__xludf.DUMMYFUNCTION("""COMPUTED_VALUE"""),0.2271)</f>
        <v>0.2271</v>
      </c>
      <c r="M1678" s="18">
        <f>IFERROR(__xludf.DUMMYFUNCTION("""COMPUTED_VALUE"""),1.53)</f>
        <v>1.53</v>
      </c>
    </row>
    <row r="1679">
      <c r="A1679" s="13" t="str">
        <f>IFERROR(__xludf.DUMMYFUNCTION("""COMPUTED_VALUE"""),"товари")</f>
        <v>товари</v>
      </c>
      <c r="B1679" s="16" t="str">
        <f>IFERROR(__xludf.DUMMYFUNCTION("""COMPUTED_VALUE"""),"інструменти")</f>
        <v>інструменти</v>
      </c>
      <c r="C1679" s="16" t="str">
        <f>IFERROR(__xludf.DUMMYFUNCTION("""COMPUTED_VALUE"""),"ручний інструмент")</f>
        <v>ручний інструмент</v>
      </c>
      <c r="D1679" s="16" t="str">
        <f>IFERROR(__xludf.DUMMYFUNCTION("""COMPUTED_VALUE"""),"торцювателі для труб")</f>
        <v>торцювателі для труб</v>
      </c>
      <c r="E1679" s="16" t="str">
        <f>IFERROR(__xludf.DUMMYFUNCTION("""COMPUTED_VALUE"""),"торцювателі для труб")</f>
        <v>торцювателі для труб</v>
      </c>
      <c r="F1679" s="17">
        <f>IFERROR(__xludf.DUMMYFUNCTION("""COMPUTED_VALUE"""),3.0)</f>
        <v>3</v>
      </c>
      <c r="G1679" s="17" t="str">
        <f>IFERROR(__xludf.DUMMYFUNCTION("""COMPUTED_VALUE"""),"14200391")</f>
        <v>14200391</v>
      </c>
      <c r="H1679" s="17" t="str">
        <f>IFERROR(__xludf.DUMMYFUNCTION("""COMPUTED_VALUE"""),"торцювателі для труб")</f>
        <v>торцювателі для труб</v>
      </c>
      <c r="I1679" s="19">
        <f>IFERROR(__xludf.DUMMYFUNCTION("""COMPUTED_VALUE"""),0.054)</f>
        <v>0.054</v>
      </c>
      <c r="J1679" s="19">
        <f>IFERROR(__xludf.DUMMYFUNCTION("""COMPUTED_VALUE"""),0.108)</f>
        <v>0.108</v>
      </c>
      <c r="K1679" s="19">
        <f>IFERROR(__xludf.DUMMYFUNCTION("""COMPUTED_VALUE"""),0.135)</f>
        <v>0.135</v>
      </c>
      <c r="L1679" s="19">
        <f>IFERROR(__xludf.DUMMYFUNCTION("""COMPUTED_VALUE"""),0.162)</f>
        <v>0.162</v>
      </c>
      <c r="M1679" s="18">
        <f>IFERROR(__xludf.DUMMYFUNCTION("""COMPUTED_VALUE"""),2.34)</f>
        <v>2.34</v>
      </c>
    </row>
    <row r="1680">
      <c r="A1680" s="13" t="str">
        <f>IFERROR(__xludf.DUMMYFUNCTION("""COMPUTED_VALUE"""),"товари")</f>
        <v>товари</v>
      </c>
      <c r="B1680" s="16" t="str">
        <f>IFERROR(__xludf.DUMMYFUNCTION("""COMPUTED_VALUE"""),"інструменти")</f>
        <v>інструменти</v>
      </c>
      <c r="C1680" s="16" t="str">
        <f>IFERROR(__xludf.DUMMYFUNCTION("""COMPUTED_VALUE"""),"ручний інструмент")</f>
        <v>ручний інструмент</v>
      </c>
      <c r="D1680" s="16" t="str">
        <f>IFERROR(__xludf.DUMMYFUNCTION("""COMPUTED_VALUE"""),"губцеві інструменти")</f>
        <v>губцеві інструменти</v>
      </c>
      <c r="E1680" s="16" t="str">
        <f>IFERROR(__xludf.DUMMYFUNCTION("""COMPUTED_VALUE"""),"трубні кліщі")</f>
        <v>трубні кліщі</v>
      </c>
      <c r="F1680" s="17">
        <f>IFERROR(__xludf.DUMMYFUNCTION("""COMPUTED_VALUE"""),4.0)</f>
        <v>4</v>
      </c>
      <c r="G1680" s="17" t="str">
        <f>IFERROR(__xludf.DUMMYFUNCTION("""COMPUTED_VALUE"""),"14200348")</f>
        <v>14200348</v>
      </c>
      <c r="H1680" s="17" t="str">
        <f>IFERROR(__xludf.DUMMYFUNCTION("""COMPUTED_VALUE"""),"трубні кліщі")</f>
        <v>трубні кліщі</v>
      </c>
      <c r="I1680" s="19">
        <f>IFERROR(__xludf.DUMMYFUNCTION("""COMPUTED_VALUE"""),0.0683)</f>
        <v>0.0683</v>
      </c>
      <c r="J1680" s="19">
        <f>IFERROR(__xludf.DUMMYFUNCTION("""COMPUTED_VALUE"""),0.1365)</f>
        <v>0.1365</v>
      </c>
      <c r="K1680" s="19">
        <f>IFERROR(__xludf.DUMMYFUNCTION("""COMPUTED_VALUE"""),0.1706)</f>
        <v>0.1706</v>
      </c>
      <c r="L1680" s="19">
        <f>IFERROR(__xludf.DUMMYFUNCTION("""COMPUTED_VALUE"""),0.2048)</f>
        <v>0.2048</v>
      </c>
      <c r="M1680" s="18">
        <f>IFERROR(__xludf.DUMMYFUNCTION("""COMPUTED_VALUE"""),1.05)</f>
        <v>1.05</v>
      </c>
    </row>
    <row r="1681">
      <c r="A1681" s="13" t="str">
        <f>IFERROR(__xludf.DUMMYFUNCTION("""COMPUTED_VALUE"""),"товари")</f>
        <v>товари</v>
      </c>
      <c r="B1681" s="16" t="str">
        <f>IFERROR(__xludf.DUMMYFUNCTION("""COMPUTED_VALUE"""),"інструменти")</f>
        <v>інструменти</v>
      </c>
      <c r="C1681" s="16" t="str">
        <f>IFERROR(__xludf.DUMMYFUNCTION("""COMPUTED_VALUE"""),"ручний інструмент")</f>
        <v>ручний інструмент</v>
      </c>
      <c r="D1681" s="16" t="str">
        <f>IFERROR(__xludf.DUMMYFUNCTION("""COMPUTED_VALUE"""),"ключі")</f>
        <v>ключі</v>
      </c>
      <c r="E1681" s="16" t="str">
        <f>IFERROR(__xludf.DUMMYFUNCTION("""COMPUTED_VALUE"""),"трубні ключі")</f>
        <v>трубні ключі</v>
      </c>
      <c r="F1681" s="17">
        <f>IFERROR(__xludf.DUMMYFUNCTION("""COMPUTED_VALUE"""),4.0)</f>
        <v>4</v>
      </c>
      <c r="G1681" s="17" t="str">
        <f>IFERROR(__xludf.DUMMYFUNCTION("""COMPUTED_VALUE"""),"14200326")</f>
        <v>14200326</v>
      </c>
      <c r="H1681" s="17" t="str">
        <f>IFERROR(__xludf.DUMMYFUNCTION("""COMPUTED_VALUE"""),"трубні ключі")</f>
        <v>трубні ключі</v>
      </c>
      <c r="I1681" s="19">
        <f>IFERROR(__xludf.DUMMYFUNCTION("""COMPUTED_VALUE"""),0.0757)</f>
        <v>0.0757</v>
      </c>
      <c r="J1681" s="19">
        <f>IFERROR(__xludf.DUMMYFUNCTION("""COMPUTED_VALUE"""),0.1514)</f>
        <v>0.1514</v>
      </c>
      <c r="K1681" s="19">
        <f>IFERROR(__xludf.DUMMYFUNCTION("""COMPUTED_VALUE"""),0.1893)</f>
        <v>0.1893</v>
      </c>
      <c r="L1681" s="19">
        <f>IFERROR(__xludf.DUMMYFUNCTION("""COMPUTED_VALUE"""),0.2271)</f>
        <v>0.2271</v>
      </c>
      <c r="M1681" s="18">
        <f>IFERROR(__xludf.DUMMYFUNCTION("""COMPUTED_VALUE"""),1.53)</f>
        <v>1.53</v>
      </c>
    </row>
    <row r="1682">
      <c r="A1682" s="13" t="str">
        <f>IFERROR(__xludf.DUMMYFUNCTION("""COMPUTED_VALUE"""),"товари")</f>
        <v>товари</v>
      </c>
      <c r="B1682" s="16" t="str">
        <f>IFERROR(__xludf.DUMMYFUNCTION("""COMPUTED_VALUE"""),"інструменти")</f>
        <v>інструменти</v>
      </c>
      <c r="C1682" s="16" t="str">
        <f>IFERROR(__xludf.DUMMYFUNCTION("""COMPUTED_VALUE"""),"електроінструмент")</f>
        <v>електроінструмент</v>
      </c>
      <c r="D1682" s="16" t="str">
        <f>IFERROR(__xludf.DUMMYFUNCTION("""COMPUTED_VALUE"""),"фрезерні машини")</f>
        <v>фрезерні машини</v>
      </c>
      <c r="E1682" s="16" t="str">
        <f>IFERROR(__xludf.DUMMYFUNCTION("""COMPUTED_VALUE"""),"фрезерні машини")</f>
        <v>фрезерні машини</v>
      </c>
      <c r="F1682" s="17">
        <f>IFERROR(__xludf.DUMMYFUNCTION("""COMPUTED_VALUE"""),3.0)</f>
        <v>3</v>
      </c>
      <c r="G1682" s="17" t="str">
        <f>IFERROR(__xludf.DUMMYFUNCTION("""COMPUTED_VALUE"""),"141703")</f>
        <v>141703</v>
      </c>
      <c r="H1682" s="17" t="str">
        <f>IFERROR(__xludf.DUMMYFUNCTION("""COMPUTED_VALUE"""),"фрезерні машини")</f>
        <v>фрезерні машини</v>
      </c>
      <c r="I1682" s="19">
        <f>IFERROR(__xludf.DUMMYFUNCTION("""COMPUTED_VALUE"""),0.0503)</f>
        <v>0.0503</v>
      </c>
      <c r="J1682" s="19">
        <f>IFERROR(__xludf.DUMMYFUNCTION("""COMPUTED_VALUE"""),0.1005)</f>
        <v>0.1005</v>
      </c>
      <c r="K1682" s="19">
        <f>IFERROR(__xludf.DUMMYFUNCTION("""COMPUTED_VALUE"""),0.1256)</f>
        <v>0.1256</v>
      </c>
      <c r="L1682" s="19">
        <f>IFERROR(__xludf.DUMMYFUNCTION("""COMPUTED_VALUE"""),0.1508)</f>
        <v>0.1508</v>
      </c>
      <c r="M1682" s="18">
        <f>IFERROR(__xludf.DUMMYFUNCTION("""COMPUTED_VALUE"""),3.24)</f>
        <v>3.24</v>
      </c>
    </row>
    <row r="1683">
      <c r="A1683" s="13" t="str">
        <f>IFERROR(__xludf.DUMMYFUNCTION("""COMPUTED_VALUE"""),"товари")</f>
        <v>товари</v>
      </c>
      <c r="B1683" s="16" t="str">
        <f>IFERROR(__xludf.DUMMYFUNCTION("""COMPUTED_VALUE"""),"інструменти")</f>
        <v>інструменти</v>
      </c>
      <c r="C1683" s="16" t="str">
        <f>IFERROR(__xludf.DUMMYFUNCTION("""COMPUTED_VALUE"""),"оснащення для інструменту")</f>
        <v>оснащення для інструменту</v>
      </c>
      <c r="D1683" s="16" t="str">
        <f>IFERROR(__xludf.DUMMYFUNCTION("""COMPUTED_VALUE"""),"фрези")</f>
        <v>фрези</v>
      </c>
      <c r="E1683" s="16" t="str">
        <f>IFERROR(__xludf.DUMMYFUNCTION("""COMPUTED_VALUE"""),"фрези")</f>
        <v>фрези</v>
      </c>
      <c r="F1683" s="17">
        <f>IFERROR(__xludf.DUMMYFUNCTION("""COMPUTED_VALUE"""),3.0)</f>
        <v>3</v>
      </c>
      <c r="G1683" s="17" t="str">
        <f>IFERROR(__xludf.DUMMYFUNCTION("""COMPUTED_VALUE"""),"14201519")</f>
        <v>14201519</v>
      </c>
      <c r="H1683" s="17" t="str">
        <f>IFERROR(__xludf.DUMMYFUNCTION("""COMPUTED_VALUE"""),"фрези")</f>
        <v>фрези</v>
      </c>
      <c r="I1683" s="19">
        <f>IFERROR(__xludf.DUMMYFUNCTION("""COMPUTED_VALUE"""),0.0768)</f>
        <v>0.0768</v>
      </c>
      <c r="J1683" s="19">
        <f>IFERROR(__xludf.DUMMYFUNCTION("""COMPUTED_VALUE"""),0.1535)</f>
        <v>0.1535</v>
      </c>
      <c r="K1683" s="19">
        <f>IFERROR(__xludf.DUMMYFUNCTION("""COMPUTED_VALUE"""),0.1919)</f>
        <v>0.1919</v>
      </c>
      <c r="L1683" s="19">
        <f>IFERROR(__xludf.DUMMYFUNCTION("""COMPUTED_VALUE"""),0.2303)</f>
        <v>0.2303</v>
      </c>
      <c r="M1683" s="18">
        <f>IFERROR(__xludf.DUMMYFUNCTION("""COMPUTED_VALUE"""),1.98)</f>
        <v>1.98</v>
      </c>
    </row>
    <row r="1684">
      <c r="A1684" s="13" t="str">
        <f>IFERROR(__xludf.DUMMYFUNCTION("""COMPUTED_VALUE"""),"товари")</f>
        <v>товари</v>
      </c>
      <c r="B1684" s="16" t="str">
        <f>IFERROR(__xludf.DUMMYFUNCTION("""COMPUTED_VALUE"""),"інструменти")</f>
        <v>інструменти</v>
      </c>
      <c r="C1684" s="16" t="str">
        <f>IFERROR(__xludf.DUMMYFUNCTION("""COMPUTED_VALUE"""),"ручний інструмент")</f>
        <v>ручний інструмент</v>
      </c>
      <c r="D1684" s="16" t="str">
        <f>IFERROR(__xludf.DUMMYFUNCTION("""COMPUTED_VALUE"""),"цикли")</f>
        <v>цикли</v>
      </c>
      <c r="E1684" s="16" t="str">
        <f>IFERROR(__xludf.DUMMYFUNCTION("""COMPUTED_VALUE"""),"цикли")</f>
        <v>цикли</v>
      </c>
      <c r="F1684" s="17">
        <f>IFERROR(__xludf.DUMMYFUNCTION("""COMPUTED_VALUE"""),3.0)</f>
        <v>3</v>
      </c>
      <c r="G1684" s="17" t="str">
        <f>IFERROR(__xludf.DUMMYFUNCTION("""COMPUTED_VALUE"""),"14200375")</f>
        <v>14200375</v>
      </c>
      <c r="H1684" s="17" t="str">
        <f>IFERROR(__xludf.DUMMYFUNCTION("""COMPUTED_VALUE"""),"цикли")</f>
        <v>цикли</v>
      </c>
      <c r="I1684" s="19">
        <f>IFERROR(__xludf.DUMMYFUNCTION("""COMPUTED_VALUE"""),0.0757)</f>
        <v>0.0757</v>
      </c>
      <c r="J1684" s="19">
        <f>IFERROR(__xludf.DUMMYFUNCTION("""COMPUTED_VALUE"""),0.1514)</f>
        <v>0.1514</v>
      </c>
      <c r="K1684" s="19">
        <f>IFERROR(__xludf.DUMMYFUNCTION("""COMPUTED_VALUE"""),0.1893)</f>
        <v>0.1893</v>
      </c>
      <c r="L1684" s="19">
        <f>IFERROR(__xludf.DUMMYFUNCTION("""COMPUTED_VALUE"""),0.2271)</f>
        <v>0.2271</v>
      </c>
      <c r="M1684" s="18">
        <f>IFERROR(__xludf.DUMMYFUNCTION("""COMPUTED_VALUE"""),1.26)</f>
        <v>1.26</v>
      </c>
    </row>
    <row r="1685">
      <c r="A1685" s="13" t="str">
        <f>IFERROR(__xludf.DUMMYFUNCTION("""COMPUTED_VALUE"""),"товари")</f>
        <v>товари</v>
      </c>
      <c r="B1685" s="16" t="str">
        <f>IFERROR(__xludf.DUMMYFUNCTION("""COMPUTED_VALUE"""),"інструменти")</f>
        <v>інструменти</v>
      </c>
      <c r="C1685" s="16" t="str">
        <f>IFERROR(__xludf.DUMMYFUNCTION("""COMPUTED_VALUE"""),"ручний інструмент")</f>
        <v>ручний інструмент</v>
      </c>
      <c r="D1685" s="16" t="str">
        <f>IFERROR(__xludf.DUMMYFUNCTION("""COMPUTED_VALUE"""),"ключі")</f>
        <v>ключі</v>
      </c>
      <c r="E1685" s="16" t="str">
        <f>IFERROR(__xludf.DUMMYFUNCTION("""COMPUTED_VALUE"""),"шестигранні ключі")</f>
        <v>шестигранні ключі</v>
      </c>
      <c r="F1685" s="17">
        <f>IFERROR(__xludf.DUMMYFUNCTION("""COMPUTED_VALUE"""),4.0)</f>
        <v>4</v>
      </c>
      <c r="G1685" s="17" t="str">
        <f>IFERROR(__xludf.DUMMYFUNCTION("""COMPUTED_VALUE"""),"14200329")</f>
        <v>14200329</v>
      </c>
      <c r="H1685" s="17" t="str">
        <f>IFERROR(__xludf.DUMMYFUNCTION("""COMPUTED_VALUE"""),"шестигранні ключі")</f>
        <v>шестигранні ключі</v>
      </c>
      <c r="I1685" s="19">
        <f>IFERROR(__xludf.DUMMYFUNCTION("""COMPUTED_VALUE"""),0.0764)</f>
        <v>0.0764</v>
      </c>
      <c r="J1685" s="19">
        <f>IFERROR(__xludf.DUMMYFUNCTION("""COMPUTED_VALUE"""),0.1527)</f>
        <v>0.1527</v>
      </c>
      <c r="K1685" s="19">
        <f>IFERROR(__xludf.DUMMYFUNCTION("""COMPUTED_VALUE"""),0.1909)</f>
        <v>0.1909</v>
      </c>
      <c r="L1685" s="19">
        <f>IFERROR(__xludf.DUMMYFUNCTION("""COMPUTED_VALUE"""),0.2291)</f>
        <v>0.2291</v>
      </c>
      <c r="M1685" s="18">
        <f>IFERROR(__xludf.DUMMYFUNCTION("""COMPUTED_VALUE"""),1.53)</f>
        <v>1.53</v>
      </c>
    </row>
    <row r="1686">
      <c r="A1686" s="13" t="str">
        <f>IFERROR(__xludf.DUMMYFUNCTION("""COMPUTED_VALUE"""),"товари")</f>
        <v>товари</v>
      </c>
      <c r="B1686" s="16" t="str">
        <f>IFERROR(__xludf.DUMMYFUNCTION("""COMPUTED_VALUE"""),"інструменти")</f>
        <v>інструменти</v>
      </c>
      <c r="C1686" s="16" t="str">
        <f>IFERROR(__xludf.DUMMYFUNCTION("""COMPUTED_VALUE"""),"ручний інструмент")</f>
        <v>ручний інструмент</v>
      </c>
      <c r="D1686" s="16" t="str">
        <f>IFERROR(__xludf.DUMMYFUNCTION("""COMPUTED_VALUE"""),"шило")</f>
        <v>шило</v>
      </c>
      <c r="E1686" s="16" t="str">
        <f>IFERROR(__xludf.DUMMYFUNCTION("""COMPUTED_VALUE"""),"шило")</f>
        <v>шило</v>
      </c>
      <c r="F1686" s="17">
        <f>IFERROR(__xludf.DUMMYFUNCTION("""COMPUTED_VALUE"""),3.0)</f>
        <v>3</v>
      </c>
      <c r="G1686" s="17" t="str">
        <f>IFERROR(__xludf.DUMMYFUNCTION("""COMPUTED_VALUE"""),"14200383")</f>
        <v>14200383</v>
      </c>
      <c r="H1686" s="17" t="str">
        <f>IFERROR(__xludf.DUMMYFUNCTION("""COMPUTED_VALUE"""),"шило")</f>
        <v>шило</v>
      </c>
      <c r="I1686" s="19">
        <f>IFERROR(__xludf.DUMMYFUNCTION("""COMPUTED_VALUE"""),0.0768)</f>
        <v>0.0768</v>
      </c>
      <c r="J1686" s="19">
        <f>IFERROR(__xludf.DUMMYFUNCTION("""COMPUTED_VALUE"""),0.1535)</f>
        <v>0.1535</v>
      </c>
      <c r="K1686" s="19">
        <f>IFERROR(__xludf.DUMMYFUNCTION("""COMPUTED_VALUE"""),0.1919)</f>
        <v>0.1919</v>
      </c>
      <c r="L1686" s="19">
        <f>IFERROR(__xludf.DUMMYFUNCTION("""COMPUTED_VALUE"""),0.2303)</f>
        <v>0.2303</v>
      </c>
      <c r="M1686" s="18">
        <f>IFERROR(__xludf.DUMMYFUNCTION("""COMPUTED_VALUE"""),1.26)</f>
        <v>1.26</v>
      </c>
    </row>
    <row r="1687">
      <c r="A1687" s="13" t="str">
        <f>IFERROR(__xludf.DUMMYFUNCTION("""COMPUTED_VALUE"""),"товари")</f>
        <v>товари</v>
      </c>
      <c r="B1687" s="16" t="str">
        <f>IFERROR(__xludf.DUMMYFUNCTION("""COMPUTED_VALUE"""),"інструменти")</f>
        <v>інструменти</v>
      </c>
      <c r="C1687" s="16" t="str">
        <f>IFERROR(__xludf.DUMMYFUNCTION("""COMPUTED_VALUE"""),"електроінструмент")</f>
        <v>електроінструмент</v>
      </c>
      <c r="D1687" s="16" t="str">
        <f>IFERROR(__xludf.DUMMYFUNCTION("""COMPUTED_VALUE"""),"шліфувальні машини")</f>
        <v>шліфувальні машини</v>
      </c>
      <c r="E1687" s="16" t="str">
        <f>IFERROR(__xludf.DUMMYFUNCTION("""COMPUTED_VALUE"""),"шліфувальні машини")</f>
        <v>шліфувальні машини</v>
      </c>
      <c r="F1687" s="17">
        <f>IFERROR(__xludf.DUMMYFUNCTION("""COMPUTED_VALUE"""),3.0)</f>
        <v>3</v>
      </c>
      <c r="G1687" s="17" t="str">
        <f>IFERROR(__xludf.DUMMYFUNCTION("""COMPUTED_VALUE"""),"141717")</f>
        <v>141717</v>
      </c>
      <c r="H1687" s="17" t="str">
        <f>IFERROR(__xludf.DUMMYFUNCTION("""COMPUTED_VALUE"""),"шліфувальні машини")</f>
        <v>шліфувальні машини</v>
      </c>
      <c r="I1687" s="19">
        <f>IFERROR(__xludf.DUMMYFUNCTION("""COMPUTED_VALUE"""),0.0556)</f>
        <v>0.0556</v>
      </c>
      <c r="J1687" s="19">
        <f>IFERROR(__xludf.DUMMYFUNCTION("""COMPUTED_VALUE"""),0.1112)</f>
        <v>0.1112</v>
      </c>
      <c r="K1687" s="19">
        <f>IFERROR(__xludf.DUMMYFUNCTION("""COMPUTED_VALUE"""),0.139)</f>
        <v>0.139</v>
      </c>
      <c r="L1687" s="19">
        <f>IFERROR(__xludf.DUMMYFUNCTION("""COMPUTED_VALUE"""),0.1668)</f>
        <v>0.1668</v>
      </c>
      <c r="M1687" s="18">
        <f>IFERROR(__xludf.DUMMYFUNCTION("""COMPUTED_VALUE"""),3.33)</f>
        <v>3.33</v>
      </c>
    </row>
    <row r="1688">
      <c r="A1688" s="13" t="str">
        <f>IFERROR(__xludf.DUMMYFUNCTION("""COMPUTED_VALUE"""),"товари")</f>
        <v>товари</v>
      </c>
      <c r="B1688" s="16" t="str">
        <f>IFERROR(__xludf.DUMMYFUNCTION("""COMPUTED_VALUE"""),"інструменти")</f>
        <v>інструменти</v>
      </c>
      <c r="C1688" s="16" t="str">
        <f>IFERROR(__xludf.DUMMYFUNCTION("""COMPUTED_VALUE"""),"оснащення для інструменту")</f>
        <v>оснащення для інструменту</v>
      </c>
      <c r="D1688" s="16" t="str">
        <f>IFERROR(__xludf.DUMMYFUNCTION("""COMPUTED_VALUE"""),"шліфувальні сегменти, бруски")</f>
        <v>шліфувальні сегменти, бруски</v>
      </c>
      <c r="E1688" s="16" t="str">
        <f>IFERROR(__xludf.DUMMYFUNCTION("""COMPUTED_VALUE"""),"шліфувальні сегменти, бруски")</f>
        <v>шліфувальні сегменти, бруски</v>
      </c>
      <c r="F1688" s="17">
        <f>IFERROR(__xludf.DUMMYFUNCTION("""COMPUTED_VALUE"""),3.0)</f>
        <v>3</v>
      </c>
      <c r="G1688" s="17" t="str">
        <f>IFERROR(__xludf.DUMMYFUNCTION("""COMPUTED_VALUE"""),"420404")</f>
        <v>420404</v>
      </c>
      <c r="H1688" s="17" t="str">
        <f>IFERROR(__xludf.DUMMYFUNCTION("""COMPUTED_VALUE"""),"шліфувальні сегменти, бруски")</f>
        <v>шліфувальні сегменти, бруски</v>
      </c>
      <c r="I1688" s="19">
        <f>IFERROR(__xludf.DUMMYFUNCTION("""COMPUTED_VALUE"""),0.0755)</f>
        <v>0.0755</v>
      </c>
      <c r="J1688" s="19">
        <f>IFERROR(__xludf.DUMMYFUNCTION("""COMPUTED_VALUE"""),0.151)</f>
        <v>0.151</v>
      </c>
      <c r="K1688" s="19">
        <f>IFERROR(__xludf.DUMMYFUNCTION("""COMPUTED_VALUE"""),0.1888)</f>
        <v>0.1888</v>
      </c>
      <c r="L1688" s="19">
        <f>IFERROR(__xludf.DUMMYFUNCTION("""COMPUTED_VALUE"""),0.2265)</f>
        <v>0.2265</v>
      </c>
      <c r="M1688" s="18">
        <f>IFERROR(__xludf.DUMMYFUNCTION("""COMPUTED_VALUE"""),2.08)</f>
        <v>2.08</v>
      </c>
    </row>
    <row r="1689">
      <c r="A1689" s="13" t="str">
        <f>IFERROR(__xludf.DUMMYFUNCTION("""COMPUTED_VALUE"""),"товари")</f>
        <v>товари</v>
      </c>
      <c r="B1689" s="16" t="str">
        <f>IFERROR(__xludf.DUMMYFUNCTION("""COMPUTED_VALUE"""),"інструменти")</f>
        <v>інструменти</v>
      </c>
      <c r="C1689" s="16" t="str">
        <f>IFERROR(__xludf.DUMMYFUNCTION("""COMPUTED_VALUE"""),"будівельний інструмент")</f>
        <v>будівельний інструмент</v>
      </c>
      <c r="D1689" s="16" t="str">
        <f>IFERROR(__xludf.DUMMYFUNCTION("""COMPUTED_VALUE"""),"малярно-штукатурний інструмент")</f>
        <v>малярно-штукатурний інструмент</v>
      </c>
      <c r="E1689" s="16" t="str">
        <f>IFERROR(__xludf.DUMMYFUNCTION("""COMPUTED_VALUE"""),"шліфувальні терки, гладилки")</f>
        <v>шліфувальні терки, гладилки</v>
      </c>
      <c r="F1689" s="17">
        <f>IFERROR(__xludf.DUMMYFUNCTION("""COMPUTED_VALUE"""),4.0)</f>
        <v>4</v>
      </c>
      <c r="G1689" s="17" t="str">
        <f>IFERROR(__xludf.DUMMYFUNCTION("""COMPUTED_VALUE"""),"14201637")</f>
        <v>14201637</v>
      </c>
      <c r="H1689" s="17" t="str">
        <f>IFERROR(__xludf.DUMMYFUNCTION("""COMPUTED_VALUE"""),"шліфувальні терки, гладилки")</f>
        <v>шліфувальні терки, гладилки</v>
      </c>
      <c r="I1689" s="19">
        <f>IFERROR(__xludf.DUMMYFUNCTION("""COMPUTED_VALUE"""),0.0751)</f>
        <v>0.0751</v>
      </c>
      <c r="J1689" s="19">
        <f>IFERROR(__xludf.DUMMYFUNCTION("""COMPUTED_VALUE"""),0.1502)</f>
        <v>0.1502</v>
      </c>
      <c r="K1689" s="19">
        <f>IFERROR(__xludf.DUMMYFUNCTION("""COMPUTED_VALUE"""),0.1878)</f>
        <v>0.1878</v>
      </c>
      <c r="L1689" s="19">
        <f>IFERROR(__xludf.DUMMYFUNCTION("""COMPUTED_VALUE"""),0.2253)</f>
        <v>0.2253</v>
      </c>
      <c r="M1689" s="18">
        <f>IFERROR(__xludf.DUMMYFUNCTION("""COMPUTED_VALUE"""),1.53)</f>
        <v>1.53</v>
      </c>
    </row>
    <row r="1690">
      <c r="A1690" s="13" t="str">
        <f>IFERROR(__xludf.DUMMYFUNCTION("""COMPUTED_VALUE"""),"товари")</f>
        <v>товари</v>
      </c>
      <c r="B1690" s="16" t="str">
        <f>IFERROR(__xludf.DUMMYFUNCTION("""COMPUTED_VALUE"""),"інструменти")</f>
        <v>інструменти</v>
      </c>
      <c r="C1690" s="16" t="str">
        <f>IFERROR(__xludf.DUMMYFUNCTION("""COMPUTED_VALUE"""),"оснащення для інструменту")</f>
        <v>оснащення для інструменту</v>
      </c>
      <c r="D1690" s="16" t="str">
        <f>IFERROR(__xludf.DUMMYFUNCTION("""COMPUTED_VALUE"""),"шліфувальні шарошки, чашки")</f>
        <v>шліфувальні шарошки, чашки</v>
      </c>
      <c r="E1690" s="16" t="str">
        <f>IFERROR(__xludf.DUMMYFUNCTION("""COMPUTED_VALUE"""),"шліфувальні шарошки, чашки")</f>
        <v>шліфувальні шарошки, чашки</v>
      </c>
      <c r="F1690" s="17">
        <f>IFERROR(__xludf.DUMMYFUNCTION("""COMPUTED_VALUE"""),3.0)</f>
        <v>3</v>
      </c>
      <c r="G1690" s="17" t="str">
        <f>IFERROR(__xludf.DUMMYFUNCTION("""COMPUTED_VALUE"""),"420408")</f>
        <v>420408</v>
      </c>
      <c r="H1690" s="17" t="str">
        <f>IFERROR(__xludf.DUMMYFUNCTION("""COMPUTED_VALUE"""),"шліфувальні шарошки, чашки")</f>
        <v>шліфувальні шарошки, чашки</v>
      </c>
      <c r="I1690" s="19">
        <f>IFERROR(__xludf.DUMMYFUNCTION("""COMPUTED_VALUE"""),0.0593)</f>
        <v>0.0593</v>
      </c>
      <c r="J1690" s="19">
        <f>IFERROR(__xludf.DUMMYFUNCTION("""COMPUTED_VALUE"""),0.1186)</f>
        <v>0.1186</v>
      </c>
      <c r="K1690" s="19">
        <f>IFERROR(__xludf.DUMMYFUNCTION("""COMPUTED_VALUE"""),0.1483)</f>
        <v>0.1483</v>
      </c>
      <c r="L1690" s="19">
        <f>IFERROR(__xludf.DUMMYFUNCTION("""COMPUTED_VALUE"""),0.1779)</f>
        <v>0.1779</v>
      </c>
      <c r="M1690" s="18">
        <f>IFERROR(__xludf.DUMMYFUNCTION("""COMPUTED_VALUE"""),1.05)</f>
        <v>1.05</v>
      </c>
    </row>
    <row r="1691">
      <c r="A1691" s="13" t="str">
        <f>IFERROR(__xludf.DUMMYFUNCTION("""COMPUTED_VALUE"""),"товари")</f>
        <v>товари</v>
      </c>
      <c r="B1691" s="16" t="str">
        <f>IFERROR(__xludf.DUMMYFUNCTION("""COMPUTED_VALUE"""),"інструменти")</f>
        <v>інструменти</v>
      </c>
      <c r="C1691" s="16" t="str">
        <f>IFERROR(__xludf.DUMMYFUNCTION("""COMPUTED_VALUE"""),"оснащення для інструменту")</f>
        <v>оснащення для інструменту</v>
      </c>
      <c r="D1691" s="16" t="str">
        <f>IFERROR(__xludf.DUMMYFUNCTION("""COMPUTED_VALUE"""),"шліфувальні шкірки, стрічки")</f>
        <v>шліфувальні шкірки, стрічки</v>
      </c>
      <c r="E1691" s="16" t="str">
        <f>IFERROR(__xludf.DUMMYFUNCTION("""COMPUTED_VALUE"""),"шліфувальні шкірки, стрічки")</f>
        <v>шліфувальні шкірки, стрічки</v>
      </c>
      <c r="F1691" s="17">
        <f>IFERROR(__xludf.DUMMYFUNCTION("""COMPUTED_VALUE"""),3.0)</f>
        <v>3</v>
      </c>
      <c r="G1691" s="17" t="str">
        <f>IFERROR(__xludf.DUMMYFUNCTION("""COMPUTED_VALUE"""),"420407")</f>
        <v>420407</v>
      </c>
      <c r="H1691" s="17" t="str">
        <f>IFERROR(__xludf.DUMMYFUNCTION("""COMPUTED_VALUE"""),"шліфувальні шкірки, стрічки")</f>
        <v>шліфувальні шкірки, стрічки</v>
      </c>
      <c r="I1691" s="19">
        <f>IFERROR(__xludf.DUMMYFUNCTION("""COMPUTED_VALUE"""),0.0709)</f>
        <v>0.0709</v>
      </c>
      <c r="J1691" s="19">
        <f>IFERROR(__xludf.DUMMYFUNCTION("""COMPUTED_VALUE"""),0.1417)</f>
        <v>0.1417</v>
      </c>
      <c r="K1691" s="19">
        <f>IFERROR(__xludf.DUMMYFUNCTION("""COMPUTED_VALUE"""),0.1771)</f>
        <v>0.1771</v>
      </c>
      <c r="L1691" s="19">
        <f>IFERROR(__xludf.DUMMYFUNCTION("""COMPUTED_VALUE"""),0.2126)</f>
        <v>0.2126</v>
      </c>
      <c r="M1691" s="18">
        <f>IFERROR(__xludf.DUMMYFUNCTION("""COMPUTED_VALUE"""),1.26)</f>
        <v>1.26</v>
      </c>
    </row>
    <row r="1692">
      <c r="A1692" s="13" t="str">
        <f>IFERROR(__xludf.DUMMYFUNCTION("""COMPUTED_VALUE"""),"товари")</f>
        <v>товари</v>
      </c>
      <c r="B1692" s="16" t="str">
        <f>IFERROR(__xludf.DUMMYFUNCTION("""COMPUTED_VALUE"""),"інструменти")</f>
        <v>інструменти</v>
      </c>
      <c r="C1692" s="16" t="str">
        <f>IFERROR(__xludf.DUMMYFUNCTION("""COMPUTED_VALUE"""),"оснащення для інструменту")</f>
        <v>оснащення для інструменту</v>
      </c>
      <c r="D1692" s="16" t="str">
        <f>IFERROR(__xludf.DUMMYFUNCTION("""COMPUTED_VALUE"""),"шнеки для бурів, снігоприбирачів")</f>
        <v>шнеки для бурів, снігоприбирачів</v>
      </c>
      <c r="E1692" s="16" t="str">
        <f>IFERROR(__xludf.DUMMYFUNCTION("""COMPUTED_VALUE"""),"шнеки для бурів, снігоприбирачів")</f>
        <v>шнеки для бурів, снігоприбирачів</v>
      </c>
      <c r="F1692" s="17">
        <f>IFERROR(__xludf.DUMMYFUNCTION("""COMPUTED_VALUE"""),3.0)</f>
        <v>3</v>
      </c>
      <c r="G1692" s="17" t="str">
        <f>IFERROR(__xludf.DUMMYFUNCTION("""COMPUTED_VALUE"""),"14201521")</f>
        <v>14201521</v>
      </c>
      <c r="H1692" s="17" t="str">
        <f>IFERROR(__xludf.DUMMYFUNCTION("""COMPUTED_VALUE"""),"шнеки для бурів, снігоприбирачів")</f>
        <v>шнеки для бурів, снігоприбирачів</v>
      </c>
      <c r="I1692" s="19">
        <f>IFERROR(__xludf.DUMMYFUNCTION("""COMPUTED_VALUE"""),0.0385)</f>
        <v>0.0385</v>
      </c>
      <c r="J1692" s="19">
        <f>IFERROR(__xludf.DUMMYFUNCTION("""COMPUTED_VALUE"""),0.077)</f>
        <v>0.077</v>
      </c>
      <c r="K1692" s="19">
        <f>IFERROR(__xludf.DUMMYFUNCTION("""COMPUTED_VALUE"""),0.0963)</f>
        <v>0.0963</v>
      </c>
      <c r="L1692" s="19">
        <f>IFERROR(__xludf.DUMMYFUNCTION("""COMPUTED_VALUE"""),0.1155)</f>
        <v>0.1155</v>
      </c>
      <c r="M1692" s="18">
        <f>IFERROR(__xludf.DUMMYFUNCTION("""COMPUTED_VALUE"""),1.05)</f>
        <v>1.05</v>
      </c>
    </row>
    <row r="1693">
      <c r="A1693" s="13" t="str">
        <f>IFERROR(__xludf.DUMMYFUNCTION("""COMPUTED_VALUE"""),"товари")</f>
        <v>товари</v>
      </c>
      <c r="B1693" s="16" t="str">
        <f>IFERROR(__xludf.DUMMYFUNCTION("""COMPUTED_VALUE"""),"інструменти")</f>
        <v>інструменти</v>
      </c>
      <c r="C1693" s="16" t="str">
        <f>IFERROR(__xludf.DUMMYFUNCTION("""COMPUTED_VALUE"""),"будівельний інструмент")</f>
        <v>будівельний інструмент</v>
      </c>
      <c r="D1693" s="16" t="str">
        <f>IFERROR(__xludf.DUMMYFUNCTION("""COMPUTED_VALUE"""),"малярно-штукатурний інструмент")</f>
        <v>малярно-штукатурний інструмент</v>
      </c>
      <c r="E1693" s="16" t="str">
        <f>IFERROR(__xludf.DUMMYFUNCTION("""COMPUTED_VALUE"""),"шпателі")</f>
        <v>шпателі</v>
      </c>
      <c r="F1693" s="17">
        <f>IFERROR(__xludf.DUMMYFUNCTION("""COMPUTED_VALUE"""),4.0)</f>
        <v>4</v>
      </c>
      <c r="G1693" s="17" t="str">
        <f>IFERROR(__xludf.DUMMYFUNCTION("""COMPUTED_VALUE"""),"14201605")</f>
        <v>14201605</v>
      </c>
      <c r="H1693" s="17" t="str">
        <f>IFERROR(__xludf.DUMMYFUNCTION("""COMPUTED_VALUE"""),"шпателі")</f>
        <v>шпателі</v>
      </c>
      <c r="I1693" s="19">
        <f>IFERROR(__xludf.DUMMYFUNCTION("""COMPUTED_VALUE"""),0.0754)</f>
        <v>0.0754</v>
      </c>
      <c r="J1693" s="19">
        <f>IFERROR(__xludf.DUMMYFUNCTION("""COMPUTED_VALUE"""),0.1508)</f>
        <v>0.1508</v>
      </c>
      <c r="K1693" s="19">
        <f>IFERROR(__xludf.DUMMYFUNCTION("""COMPUTED_VALUE"""),0.1885)</f>
        <v>0.1885</v>
      </c>
      <c r="L1693" s="19">
        <f>IFERROR(__xludf.DUMMYFUNCTION("""COMPUTED_VALUE"""),0.2262)</f>
        <v>0.2262</v>
      </c>
      <c r="M1693" s="18">
        <f>IFERROR(__xludf.DUMMYFUNCTION("""COMPUTED_VALUE"""),1.53)</f>
        <v>1.53</v>
      </c>
    </row>
    <row r="1694">
      <c r="A1694" s="13" t="str">
        <f>IFERROR(__xludf.DUMMYFUNCTION("""COMPUTED_VALUE"""),"товари")</f>
        <v>товари</v>
      </c>
      <c r="B1694" s="16" t="str">
        <f>IFERROR(__xludf.DUMMYFUNCTION("""COMPUTED_VALUE"""),"інструменти")</f>
        <v>інструменти</v>
      </c>
      <c r="C1694" s="16" t="str">
        <f>IFERROR(__xludf.DUMMYFUNCTION("""COMPUTED_VALUE"""),"будівельний інструмент")</f>
        <v>будівельний інструмент</v>
      </c>
      <c r="D1694" s="16" t="str">
        <f>IFERROR(__xludf.DUMMYFUNCTION("""COMPUTED_VALUE"""),"будівельний вимірювальний інструмент")</f>
        <v>будівельний вимірювальний інструмент</v>
      </c>
      <c r="E1694" s="16" t="str">
        <f>IFERROR(__xludf.DUMMYFUNCTION("""COMPUTED_VALUE"""),"штангенінструмент")</f>
        <v>штангенінструмент</v>
      </c>
      <c r="F1694" s="17">
        <f>IFERROR(__xludf.DUMMYFUNCTION("""COMPUTED_VALUE"""),4.0)</f>
        <v>4</v>
      </c>
      <c r="G1694" s="17" t="str">
        <f>IFERROR(__xludf.DUMMYFUNCTION("""COMPUTED_VALUE"""),"14200605")</f>
        <v>14200605</v>
      </c>
      <c r="H1694" s="17" t="str">
        <f>IFERROR(__xludf.DUMMYFUNCTION("""COMPUTED_VALUE"""),"штангенінструмент")</f>
        <v>штангенінструмент</v>
      </c>
      <c r="I1694" s="19">
        <f>IFERROR(__xludf.DUMMYFUNCTION("""COMPUTED_VALUE"""),0.0733)</f>
        <v>0.0733</v>
      </c>
      <c r="J1694" s="19">
        <f>IFERROR(__xludf.DUMMYFUNCTION("""COMPUTED_VALUE"""),0.1465)</f>
        <v>0.1465</v>
      </c>
      <c r="K1694" s="19">
        <f>IFERROR(__xludf.DUMMYFUNCTION("""COMPUTED_VALUE"""),0.1831)</f>
        <v>0.1831</v>
      </c>
      <c r="L1694" s="19">
        <f>IFERROR(__xludf.DUMMYFUNCTION("""COMPUTED_VALUE"""),0.2198)</f>
        <v>0.2198</v>
      </c>
      <c r="M1694" s="18">
        <f>IFERROR(__xludf.DUMMYFUNCTION("""COMPUTED_VALUE"""),1.71)</f>
        <v>1.71</v>
      </c>
    </row>
    <row r="1695">
      <c r="A1695" s="13" t="str">
        <f>IFERROR(__xludf.DUMMYFUNCTION("""COMPUTED_VALUE"""),"товари")</f>
        <v>товари</v>
      </c>
      <c r="B1695" s="16" t="str">
        <f>IFERROR(__xludf.DUMMYFUNCTION("""COMPUTED_VALUE"""),"інструменти")</f>
        <v>інструменти</v>
      </c>
      <c r="C1695" s="16" t="str">
        <f>IFERROR(__xludf.DUMMYFUNCTION("""COMPUTED_VALUE"""),"електроінструмент")</f>
        <v>електроінструмент</v>
      </c>
      <c r="D1695" s="16" t="str">
        <f>IFERROR(__xludf.DUMMYFUNCTION("""COMPUTED_VALUE"""),"штроборізи")</f>
        <v>штроборізи</v>
      </c>
      <c r="E1695" s="16" t="str">
        <f>IFERROR(__xludf.DUMMYFUNCTION("""COMPUTED_VALUE"""),"штроборізи")</f>
        <v>штроборізи</v>
      </c>
      <c r="F1695" s="17">
        <f>IFERROR(__xludf.DUMMYFUNCTION("""COMPUTED_VALUE"""),3.0)</f>
        <v>3</v>
      </c>
      <c r="G1695" s="17" t="str">
        <f>IFERROR(__xludf.DUMMYFUNCTION("""COMPUTED_VALUE"""),"141718")</f>
        <v>141718</v>
      </c>
      <c r="H1695" s="17" t="str">
        <f>IFERROR(__xludf.DUMMYFUNCTION("""COMPUTED_VALUE"""),"штроборізи")</f>
        <v>штроборізи</v>
      </c>
      <c r="I1695" s="19">
        <f>IFERROR(__xludf.DUMMYFUNCTION("""COMPUTED_VALUE"""),0.0499)</f>
        <v>0.0499</v>
      </c>
      <c r="J1695" s="19">
        <f>IFERROR(__xludf.DUMMYFUNCTION("""COMPUTED_VALUE"""),0.0998)</f>
        <v>0.0998</v>
      </c>
      <c r="K1695" s="19">
        <f>IFERROR(__xludf.DUMMYFUNCTION("""COMPUTED_VALUE"""),0.1248)</f>
        <v>0.1248</v>
      </c>
      <c r="L1695" s="19">
        <f>IFERROR(__xludf.DUMMYFUNCTION("""COMPUTED_VALUE"""),0.1497)</f>
        <v>0.1497</v>
      </c>
      <c r="M1695" s="18">
        <f>IFERROR(__xludf.DUMMYFUNCTION("""COMPUTED_VALUE"""),3.69)</f>
        <v>3.69</v>
      </c>
    </row>
    <row r="1696">
      <c r="A1696" s="13" t="str">
        <f>IFERROR(__xludf.DUMMYFUNCTION("""COMPUTED_VALUE"""),"товари")</f>
        <v>товари</v>
      </c>
      <c r="B1696" s="16" t="str">
        <f>IFERROR(__xludf.DUMMYFUNCTION("""COMPUTED_VALUE"""),"інструменти")</f>
        <v>інструменти</v>
      </c>
      <c r="C1696" s="16" t="str">
        <f>IFERROR(__xludf.DUMMYFUNCTION("""COMPUTED_VALUE"""),"будівельний інструмент")</f>
        <v>будівельний інструмент</v>
      </c>
      <c r="D1696" s="16" t="str">
        <f>IFERROR(__xludf.DUMMYFUNCTION("""COMPUTED_VALUE"""),"малярно-штукатурний інструмент")</f>
        <v>малярно-штукатурний інструмент</v>
      </c>
      <c r="E1696" s="16" t="str">
        <f>IFERROR(__xludf.DUMMYFUNCTION("""COMPUTED_VALUE"""),"штукатурне правило")</f>
        <v>штукатурне правило</v>
      </c>
      <c r="F1696" s="17">
        <f>IFERROR(__xludf.DUMMYFUNCTION("""COMPUTED_VALUE"""),4.0)</f>
        <v>4</v>
      </c>
      <c r="G1696" s="17" t="str">
        <f>IFERROR(__xludf.DUMMYFUNCTION("""COMPUTED_VALUE"""),"14201638")</f>
        <v>14201638</v>
      </c>
      <c r="H1696" s="17" t="str">
        <f>IFERROR(__xludf.DUMMYFUNCTION("""COMPUTED_VALUE"""),"штукатурне правило")</f>
        <v>штукатурне правило</v>
      </c>
      <c r="I1696" s="19">
        <f>IFERROR(__xludf.DUMMYFUNCTION("""COMPUTED_VALUE"""),0.0749)</f>
        <v>0.0749</v>
      </c>
      <c r="J1696" s="19">
        <f>IFERROR(__xludf.DUMMYFUNCTION("""COMPUTED_VALUE"""),0.1498)</f>
        <v>0.1498</v>
      </c>
      <c r="K1696" s="19">
        <f>IFERROR(__xludf.DUMMYFUNCTION("""COMPUTED_VALUE"""),0.1873)</f>
        <v>0.1873</v>
      </c>
      <c r="L1696" s="19">
        <f>IFERROR(__xludf.DUMMYFUNCTION("""COMPUTED_VALUE"""),0.2247)</f>
        <v>0.2247</v>
      </c>
      <c r="M1696" s="18">
        <f>IFERROR(__xludf.DUMMYFUNCTION("""COMPUTED_VALUE"""),1.53)</f>
        <v>1.53</v>
      </c>
    </row>
    <row r="1697">
      <c r="A1697" s="13" t="str">
        <f>IFERROR(__xludf.DUMMYFUNCTION("""COMPUTED_VALUE"""),"товари")</f>
        <v>товари</v>
      </c>
      <c r="B1697" s="16" t="str">
        <f>IFERROR(__xludf.DUMMYFUNCTION("""COMPUTED_VALUE"""),"інструменти")</f>
        <v>інструменти</v>
      </c>
      <c r="C1697" s="16" t="str">
        <f>IFERROR(__xludf.DUMMYFUNCTION("""COMPUTED_VALUE"""),"ручний інструмент")</f>
        <v>ручний інструмент</v>
      </c>
      <c r="D1697" s="16" t="str">
        <f>IFERROR(__xludf.DUMMYFUNCTION("""COMPUTED_VALUE"""),"губцеві інструменти")</f>
        <v>губцеві інструменти</v>
      </c>
      <c r="E1697" s="16" t="str">
        <f>IFERROR(__xludf.DUMMYFUNCTION("""COMPUTED_VALUE"""),"щипці")</f>
        <v>щипці</v>
      </c>
      <c r="F1697" s="17">
        <f>IFERROR(__xludf.DUMMYFUNCTION("""COMPUTED_VALUE"""),4.0)</f>
        <v>4</v>
      </c>
      <c r="G1697" s="17" t="str">
        <f>IFERROR(__xludf.DUMMYFUNCTION("""COMPUTED_VALUE"""),"14200346")</f>
        <v>14200346</v>
      </c>
      <c r="H1697" s="17" t="str">
        <f>IFERROR(__xludf.DUMMYFUNCTION("""COMPUTED_VALUE"""),"щипці")</f>
        <v>щипці</v>
      </c>
      <c r="I1697" s="19">
        <f>IFERROR(__xludf.DUMMYFUNCTION("""COMPUTED_VALUE"""),0.0683)</f>
        <v>0.0683</v>
      </c>
      <c r="J1697" s="19">
        <f>IFERROR(__xludf.DUMMYFUNCTION("""COMPUTED_VALUE"""),0.1365)</f>
        <v>0.1365</v>
      </c>
      <c r="K1697" s="19">
        <f>IFERROR(__xludf.DUMMYFUNCTION("""COMPUTED_VALUE"""),0.1706)</f>
        <v>0.1706</v>
      </c>
      <c r="L1697" s="19">
        <f>IFERROR(__xludf.DUMMYFUNCTION("""COMPUTED_VALUE"""),0.2048)</f>
        <v>0.2048</v>
      </c>
      <c r="M1697" s="18">
        <f>IFERROR(__xludf.DUMMYFUNCTION("""COMPUTED_VALUE"""),1.05)</f>
        <v>1.05</v>
      </c>
    </row>
    <row r="1698">
      <c r="A1698" s="13" t="str">
        <f>IFERROR(__xludf.DUMMYFUNCTION("""COMPUTED_VALUE"""),"товари")</f>
        <v>товари</v>
      </c>
      <c r="B1698" s="16" t="str">
        <f>IFERROR(__xludf.DUMMYFUNCTION("""COMPUTED_VALUE"""),"інструменти")</f>
        <v>інструменти</v>
      </c>
      <c r="C1698" s="16" t="str">
        <f>IFERROR(__xludf.DUMMYFUNCTION("""COMPUTED_VALUE"""),"ящики, сумки для інструментів")</f>
        <v>ящики, сумки для інструментів</v>
      </c>
      <c r="D1698" s="16" t="str">
        <f>IFERROR(__xludf.DUMMYFUNCTION("""COMPUTED_VALUE"""),"ящики, сумки для інструментів")</f>
        <v>ящики, сумки для інструментів</v>
      </c>
      <c r="E1698" s="16" t="str">
        <f>IFERROR(__xludf.DUMMYFUNCTION("""COMPUTED_VALUE"""),"ящики, сумки для інструментів")</f>
        <v>ящики, сумки для інструментів</v>
      </c>
      <c r="F1698" s="17">
        <f>IFERROR(__xludf.DUMMYFUNCTION("""COMPUTED_VALUE"""),2.0)</f>
        <v>2</v>
      </c>
      <c r="G1698" s="17" t="str">
        <f>IFERROR(__xludf.DUMMYFUNCTION("""COMPUTED_VALUE"""),"142007")</f>
        <v>142007</v>
      </c>
      <c r="H1698" s="17" t="str">
        <f>IFERROR(__xludf.DUMMYFUNCTION("""COMPUTED_VALUE"""),"ящики, сумки для інструментів")</f>
        <v>ящики, сумки для інструментів</v>
      </c>
      <c r="I1698" s="19">
        <f>IFERROR(__xludf.DUMMYFUNCTION("""COMPUTED_VALUE"""),0.0748)</f>
        <v>0.0748</v>
      </c>
      <c r="J1698" s="19">
        <f>IFERROR(__xludf.DUMMYFUNCTION("""COMPUTED_VALUE"""),0.1495)</f>
        <v>0.1495</v>
      </c>
      <c r="K1698" s="19">
        <f>IFERROR(__xludf.DUMMYFUNCTION("""COMPUTED_VALUE"""),0.1869)</f>
        <v>0.1869</v>
      </c>
      <c r="L1698" s="19">
        <f>IFERROR(__xludf.DUMMYFUNCTION("""COMPUTED_VALUE"""),0.2243)</f>
        <v>0.2243</v>
      </c>
      <c r="M1698" s="18">
        <f>IFERROR(__xludf.DUMMYFUNCTION("""COMPUTED_VALUE"""),1.98)</f>
        <v>1.98</v>
      </c>
    </row>
    <row r="1699">
      <c r="A1699" s="13" t="str">
        <f>IFERROR(__xludf.DUMMYFUNCTION("""COMPUTED_VALUE"""),"товари")</f>
        <v>товари</v>
      </c>
      <c r="B1699" s="16" t="str">
        <f>IFERROR(__xludf.DUMMYFUNCTION("""COMPUTED_VALUE"""),"інтимні товари")</f>
        <v>інтимні товари</v>
      </c>
      <c r="C1699" s="16" t="str">
        <f>IFERROR(__xludf.DUMMYFUNCTION("""COMPUTED_VALUE"""),"інтимні іграшки")</f>
        <v>інтимні іграшки</v>
      </c>
      <c r="D1699" s="16" t="str">
        <f>IFERROR(__xludf.DUMMYFUNCTION("""COMPUTED_VALUE"""),"анальні пробки")</f>
        <v>анальні пробки</v>
      </c>
      <c r="E1699" s="16" t="str">
        <f>IFERROR(__xludf.DUMMYFUNCTION("""COMPUTED_VALUE"""),"анальні пробки")</f>
        <v>анальні пробки</v>
      </c>
      <c r="F1699" s="17">
        <f>IFERROR(__xludf.DUMMYFUNCTION("""COMPUTED_VALUE"""),3.0)</f>
        <v>3</v>
      </c>
      <c r="G1699" s="17" t="str">
        <f>IFERROR(__xludf.DUMMYFUNCTION("""COMPUTED_VALUE"""),"161014")</f>
        <v>161014</v>
      </c>
      <c r="H1699" s="17" t="str">
        <f>IFERROR(__xludf.DUMMYFUNCTION("""COMPUTED_VALUE"""),"анальні пробки")</f>
        <v>анальні пробки</v>
      </c>
      <c r="I1699" s="19">
        <f>IFERROR(__xludf.DUMMYFUNCTION("""COMPUTED_VALUE"""),0.0944)</f>
        <v>0.0944</v>
      </c>
      <c r="J1699" s="19">
        <f>IFERROR(__xludf.DUMMYFUNCTION("""COMPUTED_VALUE"""),0.1888)</f>
        <v>0.1888</v>
      </c>
      <c r="K1699" s="19">
        <f>IFERROR(__xludf.DUMMYFUNCTION("""COMPUTED_VALUE"""),0.236)</f>
        <v>0.236</v>
      </c>
      <c r="L1699" s="19">
        <f>IFERROR(__xludf.DUMMYFUNCTION("""COMPUTED_VALUE"""),0.2832)</f>
        <v>0.2832</v>
      </c>
      <c r="M1699" s="18">
        <f>IFERROR(__xludf.DUMMYFUNCTION("""COMPUTED_VALUE"""),3.15)</f>
        <v>3.15</v>
      </c>
    </row>
    <row r="1700">
      <c r="A1700" s="13" t="str">
        <f>IFERROR(__xludf.DUMMYFUNCTION("""COMPUTED_VALUE"""),"товари")</f>
        <v>товари</v>
      </c>
      <c r="B1700" s="16" t="str">
        <f>IFERROR(__xludf.DUMMYFUNCTION("""COMPUTED_VALUE"""),"інтимні товари")</f>
        <v>інтимні товари</v>
      </c>
      <c r="C1700" s="16" t="str">
        <f>IFERROR(__xludf.DUMMYFUNCTION("""COMPUTED_VALUE"""),"бдсм-іграшки")</f>
        <v>бдсм-іграшки</v>
      </c>
      <c r="D1700" s="16" t="str">
        <f>IFERROR(__xludf.DUMMYFUNCTION("""COMPUTED_VALUE"""),"бдсм-іграшки")</f>
        <v>бдсм-іграшки</v>
      </c>
      <c r="E1700" s="16" t="str">
        <f>IFERROR(__xludf.DUMMYFUNCTION("""COMPUTED_VALUE"""),"бдсм-іграшки")</f>
        <v>бдсм-іграшки</v>
      </c>
      <c r="F1700" s="17">
        <f>IFERROR(__xludf.DUMMYFUNCTION("""COMPUTED_VALUE"""),2.0)</f>
        <v>2</v>
      </c>
      <c r="G1700" s="17" t="str">
        <f>IFERROR(__xludf.DUMMYFUNCTION("""COMPUTED_VALUE"""),"161007")</f>
        <v>161007</v>
      </c>
      <c r="H1700" s="17" t="str">
        <f>IFERROR(__xludf.DUMMYFUNCTION("""COMPUTED_VALUE"""),"бдсм-іграшки")</f>
        <v>бдсм-іграшки</v>
      </c>
      <c r="I1700" s="19">
        <f>IFERROR(__xludf.DUMMYFUNCTION("""COMPUTED_VALUE"""),0.0931)</f>
        <v>0.0931</v>
      </c>
      <c r="J1700" s="19">
        <f>IFERROR(__xludf.DUMMYFUNCTION("""COMPUTED_VALUE"""),0.1861)</f>
        <v>0.1861</v>
      </c>
      <c r="K1700" s="19">
        <f>IFERROR(__xludf.DUMMYFUNCTION("""COMPUTED_VALUE"""),0.2326)</f>
        <v>0.2326</v>
      </c>
      <c r="L1700" s="19">
        <f>IFERROR(__xludf.DUMMYFUNCTION("""COMPUTED_VALUE"""),0.2792)</f>
        <v>0.2792</v>
      </c>
      <c r="M1700" s="18">
        <f>IFERROR(__xludf.DUMMYFUNCTION("""COMPUTED_VALUE"""),1.98)</f>
        <v>1.98</v>
      </c>
    </row>
    <row r="1701">
      <c r="A1701" s="13" t="str">
        <f>IFERROR(__xludf.DUMMYFUNCTION("""COMPUTED_VALUE"""),"товари")</f>
        <v>товари</v>
      </c>
      <c r="B1701" s="16" t="str">
        <f>IFERROR(__xludf.DUMMYFUNCTION("""COMPUTED_VALUE"""),"інтимні товари")</f>
        <v>інтимні товари</v>
      </c>
      <c r="C1701" s="16" t="str">
        <f>IFERROR(__xludf.DUMMYFUNCTION("""COMPUTED_VALUE"""),"інтимне здоров'я")</f>
        <v>інтимне здоров'я</v>
      </c>
      <c r="D1701" s="16" t="str">
        <f>IFERROR(__xludf.DUMMYFUNCTION("""COMPUTED_VALUE"""),"вагінальні кульки")</f>
        <v>вагінальні кульки</v>
      </c>
      <c r="E1701" s="16" t="str">
        <f>IFERROR(__xludf.DUMMYFUNCTION("""COMPUTED_VALUE"""),"вагінальні кульки")</f>
        <v>вагінальні кульки</v>
      </c>
      <c r="F1701" s="17">
        <f>IFERROR(__xludf.DUMMYFUNCTION("""COMPUTED_VALUE"""),3.0)</f>
        <v>3</v>
      </c>
      <c r="G1701" s="17" t="str">
        <f>IFERROR(__xludf.DUMMYFUNCTION("""COMPUTED_VALUE"""),"16102103")</f>
        <v>16102103</v>
      </c>
      <c r="H1701" s="17" t="str">
        <f>IFERROR(__xludf.DUMMYFUNCTION("""COMPUTED_VALUE"""),"вагінальні кульки")</f>
        <v>вагінальні кульки</v>
      </c>
      <c r="I1701" s="19">
        <f>IFERROR(__xludf.DUMMYFUNCTION("""COMPUTED_VALUE"""),0.0944)</f>
        <v>0.0944</v>
      </c>
      <c r="J1701" s="19">
        <f>IFERROR(__xludf.DUMMYFUNCTION("""COMPUTED_VALUE"""),0.1888)</f>
        <v>0.1888</v>
      </c>
      <c r="K1701" s="19">
        <f>IFERROR(__xludf.DUMMYFUNCTION("""COMPUTED_VALUE"""),0.236)</f>
        <v>0.236</v>
      </c>
      <c r="L1701" s="19">
        <f>IFERROR(__xludf.DUMMYFUNCTION("""COMPUTED_VALUE"""),0.2832)</f>
        <v>0.2832</v>
      </c>
      <c r="M1701" s="18">
        <f>IFERROR(__xludf.DUMMYFUNCTION("""COMPUTED_VALUE"""),3.15)</f>
        <v>3.15</v>
      </c>
    </row>
    <row r="1702">
      <c r="A1702" s="13" t="str">
        <f>IFERROR(__xludf.DUMMYFUNCTION("""COMPUTED_VALUE"""),"товари")</f>
        <v>товари</v>
      </c>
      <c r="B1702" s="16" t="str">
        <f>IFERROR(__xludf.DUMMYFUNCTION("""COMPUTED_VALUE"""),"інтимні товари")</f>
        <v>інтимні товари</v>
      </c>
      <c r="C1702" s="16" t="str">
        <f>IFERROR(__xludf.DUMMYFUNCTION("""COMPUTED_VALUE"""),"інтимні іграшки")</f>
        <v>інтимні іграшки</v>
      </c>
      <c r="D1702" s="16" t="str">
        <f>IFERROR(__xludf.DUMMYFUNCTION("""COMPUTED_VALUE"""),"вакуумні помпи")</f>
        <v>вакуумні помпи</v>
      </c>
      <c r="E1702" s="16" t="str">
        <f>IFERROR(__xludf.DUMMYFUNCTION("""COMPUTED_VALUE"""),"вакуумні помпи")</f>
        <v>вакуумні помпи</v>
      </c>
      <c r="F1702" s="17">
        <f>IFERROR(__xludf.DUMMYFUNCTION("""COMPUTED_VALUE"""),3.0)</f>
        <v>3</v>
      </c>
      <c r="G1702" s="17" t="str">
        <f>IFERROR(__xludf.DUMMYFUNCTION("""COMPUTED_VALUE"""),"161017")</f>
        <v>161017</v>
      </c>
      <c r="H1702" s="17" t="str">
        <f>IFERROR(__xludf.DUMMYFUNCTION("""COMPUTED_VALUE"""),"вакуумні помпи")</f>
        <v>вакуумні помпи</v>
      </c>
      <c r="I1702" s="19">
        <f>IFERROR(__xludf.DUMMYFUNCTION("""COMPUTED_VALUE"""),0.0944)</f>
        <v>0.0944</v>
      </c>
      <c r="J1702" s="19">
        <f>IFERROR(__xludf.DUMMYFUNCTION("""COMPUTED_VALUE"""),0.1888)</f>
        <v>0.1888</v>
      </c>
      <c r="K1702" s="19">
        <f>IFERROR(__xludf.DUMMYFUNCTION("""COMPUTED_VALUE"""),0.236)</f>
        <v>0.236</v>
      </c>
      <c r="L1702" s="19">
        <f>IFERROR(__xludf.DUMMYFUNCTION("""COMPUTED_VALUE"""),0.2832)</f>
        <v>0.2832</v>
      </c>
      <c r="M1702" s="18">
        <f>IFERROR(__xludf.DUMMYFUNCTION("""COMPUTED_VALUE"""),3.15)</f>
        <v>3.15</v>
      </c>
    </row>
    <row r="1703">
      <c r="A1703" s="13" t="str">
        <f>IFERROR(__xludf.DUMMYFUNCTION("""COMPUTED_VALUE"""),"товари")</f>
        <v>товари</v>
      </c>
      <c r="B1703" s="16" t="str">
        <f>IFERROR(__xludf.DUMMYFUNCTION("""COMPUTED_VALUE"""),"інтимні товари")</f>
        <v>інтимні товари</v>
      </c>
      <c r="C1703" s="16" t="str">
        <f>IFERROR(__xludf.DUMMYFUNCTION("""COMPUTED_VALUE"""),"інтимні іграшки")</f>
        <v>інтимні іграшки</v>
      </c>
      <c r="D1703" s="16" t="str">
        <f>IFERROR(__xludf.DUMMYFUNCTION("""COMPUTED_VALUE"""),"вакуумні стимулятори")</f>
        <v>вакуумні стимулятори</v>
      </c>
      <c r="E1703" s="16" t="str">
        <f>IFERROR(__xludf.DUMMYFUNCTION("""COMPUTED_VALUE"""),"вакуумні стимулятори")</f>
        <v>вакуумні стимулятори</v>
      </c>
      <c r="F1703" s="17">
        <f>IFERROR(__xludf.DUMMYFUNCTION("""COMPUTED_VALUE"""),3.0)</f>
        <v>3</v>
      </c>
      <c r="G1703" s="17" t="str">
        <f>IFERROR(__xludf.DUMMYFUNCTION("""COMPUTED_VALUE"""),"161018")</f>
        <v>161018</v>
      </c>
      <c r="H1703" s="17" t="str">
        <f>IFERROR(__xludf.DUMMYFUNCTION("""COMPUTED_VALUE"""),"вакуумні стимулятори")</f>
        <v>вакуумні стимулятори</v>
      </c>
      <c r="I1703" s="19">
        <f>IFERROR(__xludf.DUMMYFUNCTION("""COMPUTED_VALUE"""),0.0944)</f>
        <v>0.0944</v>
      </c>
      <c r="J1703" s="19">
        <f>IFERROR(__xludf.DUMMYFUNCTION("""COMPUTED_VALUE"""),0.1888)</f>
        <v>0.1888</v>
      </c>
      <c r="K1703" s="19">
        <f>IFERROR(__xludf.DUMMYFUNCTION("""COMPUTED_VALUE"""),0.236)</f>
        <v>0.236</v>
      </c>
      <c r="L1703" s="19">
        <f>IFERROR(__xludf.DUMMYFUNCTION("""COMPUTED_VALUE"""),0.2832)</f>
        <v>0.2832</v>
      </c>
      <c r="M1703" s="18">
        <f>IFERROR(__xludf.DUMMYFUNCTION("""COMPUTED_VALUE"""),3.15)</f>
        <v>3.15</v>
      </c>
    </row>
    <row r="1704">
      <c r="A1704" s="13" t="str">
        <f>IFERROR(__xludf.DUMMYFUNCTION("""COMPUTED_VALUE"""),"товари")</f>
        <v>товари</v>
      </c>
      <c r="B1704" s="16" t="str">
        <f>IFERROR(__xludf.DUMMYFUNCTION("""COMPUTED_VALUE"""),"інтимні товари")</f>
        <v>інтимні товари</v>
      </c>
      <c r="C1704" s="16" t="str">
        <f>IFERROR(__xludf.DUMMYFUNCTION("""COMPUTED_VALUE"""),"інтимні іграшки")</f>
        <v>інтимні іграшки</v>
      </c>
      <c r="D1704" s="16" t="str">
        <f>IFERROR(__xludf.DUMMYFUNCTION("""COMPUTED_VALUE"""),"вібратори")</f>
        <v>вібратори</v>
      </c>
      <c r="E1704" s="16" t="str">
        <f>IFERROR(__xludf.DUMMYFUNCTION("""COMPUTED_VALUE"""),"вібратори")</f>
        <v>вібратори</v>
      </c>
      <c r="F1704" s="17">
        <f>IFERROR(__xludf.DUMMYFUNCTION("""COMPUTED_VALUE"""),3.0)</f>
        <v>3</v>
      </c>
      <c r="G1704" s="17" t="str">
        <f>IFERROR(__xludf.DUMMYFUNCTION("""COMPUTED_VALUE"""),"161011")</f>
        <v>161011</v>
      </c>
      <c r="H1704" s="17" t="str">
        <f>IFERROR(__xludf.DUMMYFUNCTION("""COMPUTED_VALUE"""),"вібратори")</f>
        <v>вібратори</v>
      </c>
      <c r="I1704" s="19">
        <f>IFERROR(__xludf.DUMMYFUNCTION("""COMPUTED_VALUE"""),0.0944)</f>
        <v>0.0944</v>
      </c>
      <c r="J1704" s="19">
        <f>IFERROR(__xludf.DUMMYFUNCTION("""COMPUTED_VALUE"""),0.1888)</f>
        <v>0.1888</v>
      </c>
      <c r="K1704" s="19">
        <f>IFERROR(__xludf.DUMMYFUNCTION("""COMPUTED_VALUE"""),0.236)</f>
        <v>0.236</v>
      </c>
      <c r="L1704" s="19">
        <f>IFERROR(__xludf.DUMMYFUNCTION("""COMPUTED_VALUE"""),0.2832)</f>
        <v>0.2832</v>
      </c>
      <c r="M1704" s="18">
        <f>IFERROR(__xludf.DUMMYFUNCTION("""COMPUTED_VALUE"""),3.15)</f>
        <v>3.15</v>
      </c>
    </row>
    <row r="1705">
      <c r="A1705" s="13" t="str">
        <f>IFERROR(__xludf.DUMMYFUNCTION("""COMPUTED_VALUE"""),"товари")</f>
        <v>товари</v>
      </c>
      <c r="B1705" s="16" t="str">
        <f>IFERROR(__xludf.DUMMYFUNCTION("""COMPUTED_VALUE"""),"інтимні товари")</f>
        <v>інтимні товари</v>
      </c>
      <c r="C1705" s="16" t="str">
        <f>IFERROR(__xludf.DUMMYFUNCTION("""COMPUTED_VALUE"""),"інтимне здоров'я")</f>
        <v>інтимне здоров'я</v>
      </c>
      <c r="D1705" s="16" t="str">
        <f>IFERROR(__xludf.DUMMYFUNCTION("""COMPUTED_VALUE"""),"екстендери ")</f>
        <v>екстендери </v>
      </c>
      <c r="E1705" s="16" t="str">
        <f>IFERROR(__xludf.DUMMYFUNCTION("""COMPUTED_VALUE"""),"екстендери ")</f>
        <v>екстендери </v>
      </c>
      <c r="F1705" s="17">
        <f>IFERROR(__xludf.DUMMYFUNCTION("""COMPUTED_VALUE"""),3.0)</f>
        <v>3</v>
      </c>
      <c r="G1705" s="17" t="str">
        <f>IFERROR(__xludf.DUMMYFUNCTION("""COMPUTED_VALUE"""),"16102105")</f>
        <v>16102105</v>
      </c>
      <c r="H1705" s="17" t="str">
        <f>IFERROR(__xludf.DUMMYFUNCTION("""COMPUTED_VALUE"""),"екстендери ")</f>
        <v>екстендери </v>
      </c>
      <c r="I1705" s="19">
        <f>IFERROR(__xludf.DUMMYFUNCTION("""COMPUTED_VALUE"""),0.0944)</f>
        <v>0.0944</v>
      </c>
      <c r="J1705" s="19">
        <f>IFERROR(__xludf.DUMMYFUNCTION("""COMPUTED_VALUE"""),0.1888)</f>
        <v>0.1888</v>
      </c>
      <c r="K1705" s="19">
        <f>IFERROR(__xludf.DUMMYFUNCTION("""COMPUTED_VALUE"""),0.236)</f>
        <v>0.236</v>
      </c>
      <c r="L1705" s="19">
        <f>IFERROR(__xludf.DUMMYFUNCTION("""COMPUTED_VALUE"""),0.2832)</f>
        <v>0.2832</v>
      </c>
      <c r="M1705" s="18">
        <f>IFERROR(__xludf.DUMMYFUNCTION("""COMPUTED_VALUE"""),3.15)</f>
        <v>3.15</v>
      </c>
    </row>
    <row r="1706">
      <c r="A1706" s="13" t="str">
        <f>IFERROR(__xludf.DUMMYFUNCTION("""COMPUTED_VALUE"""),"товари")</f>
        <v>товари</v>
      </c>
      <c r="B1706" s="16" t="str">
        <f>IFERROR(__xludf.DUMMYFUNCTION("""COMPUTED_VALUE"""),"інтимні товари")</f>
        <v>інтимні товари</v>
      </c>
      <c r="C1706" s="16" t="str">
        <f>IFERROR(__xludf.DUMMYFUNCTION("""COMPUTED_VALUE"""),"еротичний одяг")</f>
        <v>еротичний одяг</v>
      </c>
      <c r="D1706" s="16" t="str">
        <f>IFERROR(__xludf.DUMMYFUNCTION("""COMPUTED_VALUE"""),"еротичний одяг, загальне")</f>
        <v>еротичний одяг, загальне</v>
      </c>
      <c r="E1706" s="16" t="str">
        <f>IFERROR(__xludf.DUMMYFUNCTION("""COMPUTED_VALUE"""),"еротичний одяг, загальне")</f>
        <v>еротичний одяг, загальне</v>
      </c>
      <c r="F1706" s="17">
        <f>IFERROR(__xludf.DUMMYFUNCTION("""COMPUTED_VALUE"""),3.0)</f>
        <v>3</v>
      </c>
      <c r="G1706" s="17" t="str">
        <f>IFERROR(__xludf.DUMMYFUNCTION("""COMPUTED_VALUE"""),"16100404")</f>
        <v>16100404</v>
      </c>
      <c r="H1706" s="17" t="str">
        <f>IFERROR(__xludf.DUMMYFUNCTION("""COMPUTED_VALUE"""),"еротичний одяг, загальне")</f>
        <v>еротичний одяг, загальне</v>
      </c>
      <c r="I1706" s="19">
        <f>IFERROR(__xludf.DUMMYFUNCTION("""COMPUTED_VALUE"""),0.125)</f>
        <v>0.125</v>
      </c>
      <c r="J1706" s="19">
        <f>IFERROR(__xludf.DUMMYFUNCTION("""COMPUTED_VALUE"""),0.25)</f>
        <v>0.25</v>
      </c>
      <c r="K1706" s="19">
        <f>IFERROR(__xludf.DUMMYFUNCTION("""COMPUTED_VALUE"""),0.3125)</f>
        <v>0.3125</v>
      </c>
      <c r="L1706" s="19">
        <f>IFERROR(__xludf.DUMMYFUNCTION("""COMPUTED_VALUE"""),0.375)</f>
        <v>0.375</v>
      </c>
      <c r="M1706" s="18">
        <f>IFERROR(__xludf.DUMMYFUNCTION("""COMPUTED_VALUE"""),4.33)</f>
        <v>4.33</v>
      </c>
    </row>
    <row r="1707">
      <c r="A1707" s="13" t="str">
        <f>IFERROR(__xludf.DUMMYFUNCTION("""COMPUTED_VALUE"""),"товари")</f>
        <v>товари</v>
      </c>
      <c r="B1707" s="16" t="str">
        <f>IFERROR(__xludf.DUMMYFUNCTION("""COMPUTED_VALUE"""),"інтимні товари")</f>
        <v>інтимні товари</v>
      </c>
      <c r="C1707" s="16" t="str">
        <f>IFERROR(__xludf.DUMMYFUNCTION("""COMPUTED_VALUE"""),"еротичні подарунки")</f>
        <v>еротичні подарунки</v>
      </c>
      <c r="D1707" s="16" t="str">
        <f>IFERROR(__xludf.DUMMYFUNCTION("""COMPUTED_VALUE"""),"еротичні подарунки")</f>
        <v>еротичні подарунки</v>
      </c>
      <c r="E1707" s="16" t="str">
        <f>IFERROR(__xludf.DUMMYFUNCTION("""COMPUTED_VALUE"""),"еротичні подарунки")</f>
        <v>еротичні подарунки</v>
      </c>
      <c r="F1707" s="17">
        <f>IFERROR(__xludf.DUMMYFUNCTION("""COMPUTED_VALUE"""),2.0)</f>
        <v>2</v>
      </c>
      <c r="G1707" s="17" t="str">
        <f>IFERROR(__xludf.DUMMYFUNCTION("""COMPUTED_VALUE"""),"1767")</f>
        <v>1767</v>
      </c>
      <c r="H1707" s="17" t="str">
        <f>IFERROR(__xludf.DUMMYFUNCTION("""COMPUTED_VALUE"""),"еротичні подарунки")</f>
        <v>еротичні подарунки</v>
      </c>
      <c r="I1707" s="19">
        <f>IFERROR(__xludf.DUMMYFUNCTION("""COMPUTED_VALUE"""),0.0841)</f>
        <v>0.0841</v>
      </c>
      <c r="J1707" s="19">
        <f>IFERROR(__xludf.DUMMYFUNCTION("""COMPUTED_VALUE"""),0.1682)</f>
        <v>0.1682</v>
      </c>
      <c r="K1707" s="19">
        <f>IFERROR(__xludf.DUMMYFUNCTION("""COMPUTED_VALUE"""),0.2103)</f>
        <v>0.2103</v>
      </c>
      <c r="L1707" s="19">
        <f>IFERROR(__xludf.DUMMYFUNCTION("""COMPUTED_VALUE"""),0.2523)</f>
        <v>0.2523</v>
      </c>
      <c r="M1707" s="18">
        <f>IFERROR(__xludf.DUMMYFUNCTION("""COMPUTED_VALUE"""),1.71)</f>
        <v>1.71</v>
      </c>
    </row>
    <row r="1708">
      <c r="A1708" s="13" t="str">
        <f>IFERROR(__xludf.DUMMYFUNCTION("""COMPUTED_VALUE"""),"товари")</f>
        <v>товари</v>
      </c>
      <c r="B1708" s="16" t="str">
        <f>IFERROR(__xludf.DUMMYFUNCTION("""COMPUTED_VALUE"""),"інтимні товари")</f>
        <v>інтимні товари</v>
      </c>
      <c r="C1708" s="16" t="str">
        <f>IFERROR(__xludf.DUMMYFUNCTION("""COMPUTED_VALUE"""),"еротичний одяг")</f>
        <v>еротичний одяг</v>
      </c>
      <c r="D1708" s="16" t="str">
        <f>IFERROR(__xludf.DUMMYFUNCTION("""COMPUTED_VALUE"""),"жіноча еротична білизна і одяг")</f>
        <v>жіноча еротична білизна і одяг</v>
      </c>
      <c r="E1708" s="16" t="str">
        <f>IFERROR(__xludf.DUMMYFUNCTION("""COMPUTED_VALUE"""),"жіноча еротична білизна і одяг")</f>
        <v>жіноча еротична білизна і одяг</v>
      </c>
      <c r="F1708" s="17">
        <f>IFERROR(__xludf.DUMMYFUNCTION("""COMPUTED_VALUE"""),3.0)</f>
        <v>3</v>
      </c>
      <c r="G1708" s="17" t="str">
        <f>IFERROR(__xludf.DUMMYFUNCTION("""COMPUTED_VALUE"""),"16100403")</f>
        <v>16100403</v>
      </c>
      <c r="H1708" s="17" t="str">
        <f>IFERROR(__xludf.DUMMYFUNCTION("""COMPUTED_VALUE"""),"жіноча еротична білизна і одяг")</f>
        <v>жіноча еротична білизна і одяг</v>
      </c>
      <c r="I1708" s="19">
        <f>IFERROR(__xludf.DUMMYFUNCTION("""COMPUTED_VALUE"""),0.0931)</f>
        <v>0.0931</v>
      </c>
      <c r="J1708" s="19">
        <f>IFERROR(__xludf.DUMMYFUNCTION("""COMPUTED_VALUE"""),0.1861)</f>
        <v>0.1861</v>
      </c>
      <c r="K1708" s="19">
        <f>IFERROR(__xludf.DUMMYFUNCTION("""COMPUTED_VALUE"""),0.2326)</f>
        <v>0.2326</v>
      </c>
      <c r="L1708" s="19">
        <f>IFERROR(__xludf.DUMMYFUNCTION("""COMPUTED_VALUE"""),0.2792)</f>
        <v>0.2792</v>
      </c>
      <c r="M1708" s="18">
        <f>IFERROR(__xludf.DUMMYFUNCTION("""COMPUTED_VALUE"""),1.44)</f>
        <v>1.44</v>
      </c>
    </row>
    <row r="1709">
      <c r="A1709" s="13" t="str">
        <f>IFERROR(__xludf.DUMMYFUNCTION("""COMPUTED_VALUE"""),"товари")</f>
        <v>товари</v>
      </c>
      <c r="B1709" s="16" t="str">
        <f>IFERROR(__xludf.DUMMYFUNCTION("""COMPUTED_VALUE"""),"інтимні товари")</f>
        <v>інтимні товари</v>
      </c>
      <c r="C1709" s="16" t="str">
        <f>IFERROR(__xludf.DUMMYFUNCTION("""COMPUTED_VALUE"""),"інтимна косметика та догляд")</f>
        <v>інтимна косметика та догляд</v>
      </c>
      <c r="D1709" s="16" t="str">
        <f>IFERROR(__xludf.DUMMYFUNCTION("""COMPUTED_VALUE"""),"засоби для догляду за інтимними іграшками")</f>
        <v>засоби для догляду за інтимними іграшками</v>
      </c>
      <c r="E1709" s="16" t="str">
        <f>IFERROR(__xludf.DUMMYFUNCTION("""COMPUTED_VALUE"""),"засоби для догляду за інтимними іграшками")</f>
        <v>засоби для догляду за інтимними іграшками</v>
      </c>
      <c r="F1709" s="17">
        <f>IFERROR(__xludf.DUMMYFUNCTION("""COMPUTED_VALUE"""),3.0)</f>
        <v>3</v>
      </c>
      <c r="G1709" s="17" t="str">
        <f>IFERROR(__xludf.DUMMYFUNCTION("""COMPUTED_VALUE"""),"161008")</f>
        <v>161008</v>
      </c>
      <c r="H1709" s="17" t="str">
        <f>IFERROR(__xludf.DUMMYFUNCTION("""COMPUTED_VALUE"""),"засоби для догляду за інтимними іграшками")</f>
        <v>засоби для догляду за інтимними іграшками</v>
      </c>
      <c r="I1709" s="19">
        <f>IFERROR(__xludf.DUMMYFUNCTION("""COMPUTED_VALUE"""),0.0884)</f>
        <v>0.0884</v>
      </c>
      <c r="J1709" s="19">
        <f>IFERROR(__xludf.DUMMYFUNCTION("""COMPUTED_VALUE"""),0.1767)</f>
        <v>0.1767</v>
      </c>
      <c r="K1709" s="19">
        <f>IFERROR(__xludf.DUMMYFUNCTION("""COMPUTED_VALUE"""),0.2209)</f>
        <v>0.2209</v>
      </c>
      <c r="L1709" s="19">
        <f>IFERROR(__xludf.DUMMYFUNCTION("""COMPUTED_VALUE"""),0.2651)</f>
        <v>0.2651</v>
      </c>
      <c r="M1709" s="18">
        <f>IFERROR(__xludf.DUMMYFUNCTION("""COMPUTED_VALUE"""),1.98)</f>
        <v>1.98</v>
      </c>
    </row>
    <row r="1710">
      <c r="A1710" s="13" t="str">
        <f>IFERROR(__xludf.DUMMYFUNCTION("""COMPUTED_VALUE"""),"товари")</f>
        <v>товари</v>
      </c>
      <c r="B1710" s="16" t="str">
        <f>IFERROR(__xludf.DUMMYFUNCTION("""COMPUTED_VALUE"""),"інтимні товари")</f>
        <v>інтимні товари</v>
      </c>
      <c r="C1710" s="16" t="str">
        <f>IFERROR(__xludf.DUMMYFUNCTION("""COMPUTED_VALUE"""),"інтимна косметика та догляд")</f>
        <v>інтимна косметика та догляд</v>
      </c>
      <c r="D1710" s="16" t="str">
        <f>IFERROR(__xludf.DUMMYFUNCTION("""COMPUTED_VALUE"""),"збуджуючі засоби")</f>
        <v>збуджуючі засоби</v>
      </c>
      <c r="E1710" s="16" t="str">
        <f>IFERROR(__xludf.DUMMYFUNCTION("""COMPUTED_VALUE"""),"збуджуючі засоби")</f>
        <v>збуджуючі засоби</v>
      </c>
      <c r="F1710" s="17">
        <f>IFERROR(__xludf.DUMMYFUNCTION("""COMPUTED_VALUE"""),3.0)</f>
        <v>3</v>
      </c>
      <c r="G1710" s="17" t="str">
        <f>IFERROR(__xludf.DUMMYFUNCTION("""COMPUTED_VALUE"""),"161002")</f>
        <v>161002</v>
      </c>
      <c r="H1710" s="17" t="str">
        <f>IFERROR(__xludf.DUMMYFUNCTION("""COMPUTED_VALUE"""),"збуджуючі засоби")</f>
        <v>збуджуючі засоби</v>
      </c>
      <c r="I1710" s="19">
        <f>IFERROR(__xludf.DUMMYFUNCTION("""COMPUTED_VALUE"""),0.0944)</f>
        <v>0.0944</v>
      </c>
      <c r="J1710" s="19">
        <f>IFERROR(__xludf.DUMMYFUNCTION("""COMPUTED_VALUE"""),0.1888)</f>
        <v>0.1888</v>
      </c>
      <c r="K1710" s="19">
        <f>IFERROR(__xludf.DUMMYFUNCTION("""COMPUTED_VALUE"""),0.236)</f>
        <v>0.236</v>
      </c>
      <c r="L1710" s="19">
        <f>IFERROR(__xludf.DUMMYFUNCTION("""COMPUTED_VALUE"""),0.2832)</f>
        <v>0.2832</v>
      </c>
      <c r="M1710" s="18">
        <f>IFERROR(__xludf.DUMMYFUNCTION("""COMPUTED_VALUE"""),4.35)</f>
        <v>4.35</v>
      </c>
    </row>
    <row r="1711">
      <c r="A1711" s="13" t="str">
        <f>IFERROR(__xludf.DUMMYFUNCTION("""COMPUTED_VALUE"""),"товари")</f>
        <v>товари</v>
      </c>
      <c r="B1711" s="16" t="str">
        <f>IFERROR(__xludf.DUMMYFUNCTION("""COMPUTED_VALUE"""),"інтимні товари")</f>
        <v>інтимні товари</v>
      </c>
      <c r="C1711" s="16" t="str">
        <f>IFERROR(__xludf.DUMMYFUNCTION("""COMPUTED_VALUE"""),"інтимна косметика та догляд")</f>
        <v>інтимна косметика та догляд</v>
      </c>
      <c r="D1711" s="16" t="str">
        <f>IFERROR(__xludf.DUMMYFUNCTION("""COMPUTED_VALUE"""),"інтимна косметика та догляд, загальне")</f>
        <v>інтимна косметика та догляд, загальне</v>
      </c>
      <c r="E1711" s="16" t="str">
        <f>IFERROR(__xludf.DUMMYFUNCTION("""COMPUTED_VALUE"""),"інтимна косметика та догляд, загальне")</f>
        <v>інтимна косметика та догляд, загальне</v>
      </c>
      <c r="F1711" s="17">
        <f>IFERROR(__xludf.DUMMYFUNCTION("""COMPUTED_VALUE"""),3.0)</f>
        <v>3</v>
      </c>
      <c r="G1711" s="17" t="str">
        <f>IFERROR(__xludf.DUMMYFUNCTION("""COMPUTED_VALUE"""),"16102201")</f>
        <v>16102201</v>
      </c>
      <c r="H1711" s="17" t="str">
        <f>IFERROR(__xludf.DUMMYFUNCTION("""COMPUTED_VALUE"""),"інтимна косметика та догляд, загальне")</f>
        <v>інтимна косметика та догляд, загальне</v>
      </c>
      <c r="I1711" s="19">
        <f>IFERROR(__xludf.DUMMYFUNCTION("""COMPUTED_VALUE"""),0.125)</f>
        <v>0.125</v>
      </c>
      <c r="J1711" s="19">
        <f>IFERROR(__xludf.DUMMYFUNCTION("""COMPUTED_VALUE"""),0.25)</f>
        <v>0.25</v>
      </c>
      <c r="K1711" s="19">
        <f>IFERROR(__xludf.DUMMYFUNCTION("""COMPUTED_VALUE"""),0.3125)</f>
        <v>0.3125</v>
      </c>
      <c r="L1711" s="19">
        <f>IFERROR(__xludf.DUMMYFUNCTION("""COMPUTED_VALUE"""),0.375)</f>
        <v>0.375</v>
      </c>
      <c r="M1711" s="18">
        <f>IFERROR(__xludf.DUMMYFUNCTION("""COMPUTED_VALUE"""),4.33)</f>
        <v>4.33</v>
      </c>
    </row>
    <row r="1712">
      <c r="A1712" s="13" t="str">
        <f>IFERROR(__xludf.DUMMYFUNCTION("""COMPUTED_VALUE"""),"товари")</f>
        <v>товари</v>
      </c>
      <c r="B1712" s="16" t="str">
        <f>IFERROR(__xludf.DUMMYFUNCTION("""COMPUTED_VALUE"""),"інтимні товари")</f>
        <v>інтимні товари</v>
      </c>
      <c r="C1712" s="16" t="str">
        <f>IFERROR(__xludf.DUMMYFUNCTION("""COMPUTED_VALUE"""),"інтимне здоров'я")</f>
        <v>інтимне здоров'я</v>
      </c>
      <c r="D1712" s="16" t="str">
        <f>IFERROR(__xludf.DUMMYFUNCTION("""COMPUTED_VALUE"""),"інтимне здоров'я, загальне")</f>
        <v>інтимне здоров'я, загальне</v>
      </c>
      <c r="E1712" s="16" t="str">
        <f>IFERROR(__xludf.DUMMYFUNCTION("""COMPUTED_VALUE"""),"інтимне здоров'я, загальне")</f>
        <v>інтимне здоров'я, загальне</v>
      </c>
      <c r="F1712" s="17">
        <f>IFERROR(__xludf.DUMMYFUNCTION("""COMPUTED_VALUE"""),3.0)</f>
        <v>3</v>
      </c>
      <c r="G1712" s="17" t="str">
        <f>IFERROR(__xludf.DUMMYFUNCTION("""COMPUTED_VALUE"""),"16102101")</f>
        <v>16102101</v>
      </c>
      <c r="H1712" s="17" t="str">
        <f>IFERROR(__xludf.DUMMYFUNCTION("""COMPUTED_VALUE"""),"інтимне здоров'я, загальне")</f>
        <v>інтимне здоров'я, загальне</v>
      </c>
      <c r="I1712" s="19">
        <f>IFERROR(__xludf.DUMMYFUNCTION("""COMPUTED_VALUE"""),0.125)</f>
        <v>0.125</v>
      </c>
      <c r="J1712" s="19">
        <f>IFERROR(__xludf.DUMMYFUNCTION("""COMPUTED_VALUE"""),0.25)</f>
        <v>0.25</v>
      </c>
      <c r="K1712" s="19">
        <f>IFERROR(__xludf.DUMMYFUNCTION("""COMPUTED_VALUE"""),0.3125)</f>
        <v>0.3125</v>
      </c>
      <c r="L1712" s="19">
        <f>IFERROR(__xludf.DUMMYFUNCTION("""COMPUTED_VALUE"""),0.375)</f>
        <v>0.375</v>
      </c>
      <c r="M1712" s="18">
        <f>IFERROR(__xludf.DUMMYFUNCTION("""COMPUTED_VALUE"""),4.33)</f>
        <v>4.33</v>
      </c>
    </row>
    <row r="1713">
      <c r="A1713" s="13" t="str">
        <f>IFERROR(__xludf.DUMMYFUNCTION("""COMPUTED_VALUE"""),"товари")</f>
        <v>товари</v>
      </c>
      <c r="B1713" s="16" t="str">
        <f>IFERROR(__xludf.DUMMYFUNCTION("""COMPUTED_VALUE"""),"інтимні товари")</f>
        <v>інтимні товари</v>
      </c>
      <c r="C1713" s="16" t="str">
        <f>IFERROR(__xludf.DUMMYFUNCTION("""COMPUTED_VALUE"""),"інтимні іграшки")</f>
        <v>інтимні іграшки</v>
      </c>
      <c r="D1713" s="16" t="str">
        <f>IFERROR(__xludf.DUMMYFUNCTION("""COMPUTED_VALUE"""),"інтимні іграшки, загальне")</f>
        <v>інтимні іграшки, загальне</v>
      </c>
      <c r="E1713" s="16" t="str">
        <f>IFERROR(__xludf.DUMMYFUNCTION("""COMPUTED_VALUE"""),"інтимні іграшки, загальне")</f>
        <v>інтимні іграшки, загальне</v>
      </c>
      <c r="F1713" s="17">
        <f>IFERROR(__xludf.DUMMYFUNCTION("""COMPUTED_VALUE"""),3.0)</f>
        <v>3</v>
      </c>
      <c r="G1713" s="17" t="str">
        <f>IFERROR(__xludf.DUMMYFUNCTION("""COMPUTED_VALUE"""),"16102301")</f>
        <v>16102301</v>
      </c>
      <c r="H1713" s="17" t="str">
        <f>IFERROR(__xludf.DUMMYFUNCTION("""COMPUTED_VALUE"""),"інтимні іграшки, загальне")</f>
        <v>інтимні іграшки, загальне</v>
      </c>
      <c r="I1713" s="19">
        <f>IFERROR(__xludf.DUMMYFUNCTION("""COMPUTED_VALUE"""),0.125)</f>
        <v>0.125</v>
      </c>
      <c r="J1713" s="19">
        <f>IFERROR(__xludf.DUMMYFUNCTION("""COMPUTED_VALUE"""),0.25)</f>
        <v>0.25</v>
      </c>
      <c r="K1713" s="19">
        <f>IFERROR(__xludf.DUMMYFUNCTION("""COMPUTED_VALUE"""),0.3125)</f>
        <v>0.3125</v>
      </c>
      <c r="L1713" s="19">
        <f>IFERROR(__xludf.DUMMYFUNCTION("""COMPUTED_VALUE"""),0.375)</f>
        <v>0.375</v>
      </c>
      <c r="M1713" s="18">
        <f>IFERROR(__xludf.DUMMYFUNCTION("""COMPUTED_VALUE"""),4.33)</f>
        <v>4.33</v>
      </c>
    </row>
    <row r="1714">
      <c r="A1714" s="13" t="str">
        <f>IFERROR(__xludf.DUMMYFUNCTION("""COMPUTED_VALUE"""),"товари")</f>
        <v>товари</v>
      </c>
      <c r="B1714" s="16" t="str">
        <f>IFERROR(__xludf.DUMMYFUNCTION("""COMPUTED_VALUE"""),"інтимні товари")</f>
        <v>інтимні товари</v>
      </c>
      <c r="C1714" s="16" t="str">
        <f>IFERROR(__xludf.DUMMYFUNCTION("""COMPUTED_VALUE"""),"інтимні товари, загальне")</f>
        <v>інтимні товари, загальне</v>
      </c>
      <c r="D1714" s="16" t="str">
        <f>IFERROR(__xludf.DUMMYFUNCTION("""COMPUTED_VALUE"""),"інтимні товари, загальне")</f>
        <v>інтимні товари, загальне</v>
      </c>
      <c r="E1714" s="16" t="str">
        <f>IFERROR(__xludf.DUMMYFUNCTION("""COMPUTED_VALUE"""),"інтимні товари, загальне")</f>
        <v>інтимні товари, загальне</v>
      </c>
      <c r="F1714" s="17">
        <f>IFERROR(__xludf.DUMMYFUNCTION("""COMPUTED_VALUE"""),2.0)</f>
        <v>2</v>
      </c>
      <c r="G1714" s="17" t="str">
        <f>IFERROR(__xludf.DUMMYFUNCTION("""COMPUTED_VALUE"""),"161005")</f>
        <v>161005</v>
      </c>
      <c r="H1714" s="17" t="str">
        <f>IFERROR(__xludf.DUMMYFUNCTION("""COMPUTED_VALUE"""),"інтимні товари, загальне")</f>
        <v>інтимні товари, загальне</v>
      </c>
      <c r="I1714" s="19">
        <f>IFERROR(__xludf.DUMMYFUNCTION("""COMPUTED_VALUE"""),0.125)</f>
        <v>0.125</v>
      </c>
      <c r="J1714" s="19">
        <f>IFERROR(__xludf.DUMMYFUNCTION("""COMPUTED_VALUE"""),0.25)</f>
        <v>0.25</v>
      </c>
      <c r="K1714" s="19">
        <f>IFERROR(__xludf.DUMMYFUNCTION("""COMPUTED_VALUE"""),0.3125)</f>
        <v>0.3125</v>
      </c>
      <c r="L1714" s="19">
        <f>IFERROR(__xludf.DUMMYFUNCTION("""COMPUTED_VALUE"""),0.375)</f>
        <v>0.375</v>
      </c>
      <c r="M1714" s="18">
        <f>IFERROR(__xludf.DUMMYFUNCTION("""COMPUTED_VALUE"""),4.33)</f>
        <v>4.33</v>
      </c>
    </row>
    <row r="1715">
      <c r="A1715" s="13" t="str">
        <f>IFERROR(__xludf.DUMMYFUNCTION("""COMPUTED_VALUE"""),"товари")</f>
        <v>товари</v>
      </c>
      <c r="B1715" s="16" t="str">
        <f>IFERROR(__xludf.DUMMYFUNCTION("""COMPUTED_VALUE"""),"інтимні товари")</f>
        <v>інтимні товари</v>
      </c>
      <c r="C1715" s="16" t="str">
        <f>IFERROR(__xludf.DUMMYFUNCTION("""COMPUTED_VALUE"""),"інтимна косметика та догляд")</f>
        <v>інтимна косметика та догляд</v>
      </c>
      <c r="D1715" s="16" t="str">
        <f>IFERROR(__xludf.DUMMYFUNCTION("""COMPUTED_VALUE"""),"лубриканти ")</f>
        <v>лубриканти </v>
      </c>
      <c r="E1715" s="16" t="str">
        <f>IFERROR(__xludf.DUMMYFUNCTION("""COMPUTED_VALUE"""),"лубриканти ")</f>
        <v>лубриканти </v>
      </c>
      <c r="F1715" s="17">
        <f>IFERROR(__xludf.DUMMYFUNCTION("""COMPUTED_VALUE"""),3.0)</f>
        <v>3</v>
      </c>
      <c r="G1715" s="17" t="str">
        <f>IFERROR(__xludf.DUMMYFUNCTION("""COMPUTED_VALUE"""),"161003")</f>
        <v>161003</v>
      </c>
      <c r="H1715" s="17" t="str">
        <f>IFERROR(__xludf.DUMMYFUNCTION("""COMPUTED_VALUE"""),"лубриканти ")</f>
        <v>лубриканти </v>
      </c>
      <c r="I1715" s="19">
        <f>IFERROR(__xludf.DUMMYFUNCTION("""COMPUTED_VALUE"""),0.0944)</f>
        <v>0.0944</v>
      </c>
      <c r="J1715" s="19">
        <f>IFERROR(__xludf.DUMMYFUNCTION("""COMPUTED_VALUE"""),0.1888)</f>
        <v>0.1888</v>
      </c>
      <c r="K1715" s="19">
        <f>IFERROR(__xludf.DUMMYFUNCTION("""COMPUTED_VALUE"""),0.236)</f>
        <v>0.236</v>
      </c>
      <c r="L1715" s="19">
        <f>IFERROR(__xludf.DUMMYFUNCTION("""COMPUTED_VALUE"""),0.2832)</f>
        <v>0.2832</v>
      </c>
      <c r="M1715" s="18">
        <f>IFERROR(__xludf.DUMMYFUNCTION("""COMPUTED_VALUE"""),4.23)</f>
        <v>4.23</v>
      </c>
    </row>
    <row r="1716">
      <c r="A1716" s="13" t="str">
        <f>IFERROR(__xludf.DUMMYFUNCTION("""COMPUTED_VALUE"""),"товари")</f>
        <v>товари</v>
      </c>
      <c r="B1716" s="16" t="str">
        <f>IFERROR(__xludf.DUMMYFUNCTION("""COMPUTED_VALUE"""),"інтимні товари")</f>
        <v>інтимні товари</v>
      </c>
      <c r="C1716" s="16" t="str">
        <f>IFERROR(__xludf.DUMMYFUNCTION("""COMPUTED_VALUE"""),"інтимне здоров'я")</f>
        <v>інтимне здоров'я</v>
      </c>
      <c r="D1716" s="16" t="str">
        <f>IFERROR(__xludf.DUMMYFUNCTION("""COMPUTED_VALUE"""),"масажери простати")</f>
        <v>масажери простати</v>
      </c>
      <c r="E1716" s="16" t="str">
        <f>IFERROR(__xludf.DUMMYFUNCTION("""COMPUTED_VALUE"""),"масажери простати")</f>
        <v>масажери простати</v>
      </c>
      <c r="F1716" s="17">
        <f>IFERROR(__xludf.DUMMYFUNCTION("""COMPUTED_VALUE"""),3.0)</f>
        <v>3</v>
      </c>
      <c r="G1716" s="17" t="str">
        <f>IFERROR(__xludf.DUMMYFUNCTION("""COMPUTED_VALUE"""),"16102104")</f>
        <v>16102104</v>
      </c>
      <c r="H1716" s="17" t="str">
        <f>IFERROR(__xludf.DUMMYFUNCTION("""COMPUTED_VALUE"""),"масажери простати")</f>
        <v>масажери простати</v>
      </c>
      <c r="I1716" s="19">
        <f>IFERROR(__xludf.DUMMYFUNCTION("""COMPUTED_VALUE"""),0.0944)</f>
        <v>0.0944</v>
      </c>
      <c r="J1716" s="19">
        <f>IFERROR(__xludf.DUMMYFUNCTION("""COMPUTED_VALUE"""),0.1888)</f>
        <v>0.1888</v>
      </c>
      <c r="K1716" s="19">
        <f>IFERROR(__xludf.DUMMYFUNCTION("""COMPUTED_VALUE"""),0.236)</f>
        <v>0.236</v>
      </c>
      <c r="L1716" s="19">
        <f>IFERROR(__xludf.DUMMYFUNCTION("""COMPUTED_VALUE"""),0.2832)</f>
        <v>0.2832</v>
      </c>
      <c r="M1716" s="18">
        <f>IFERROR(__xludf.DUMMYFUNCTION("""COMPUTED_VALUE"""),3.15)</f>
        <v>3.15</v>
      </c>
    </row>
    <row r="1717">
      <c r="A1717" s="13" t="str">
        <f>IFERROR(__xludf.DUMMYFUNCTION("""COMPUTED_VALUE"""),"товари")</f>
        <v>товари</v>
      </c>
      <c r="B1717" s="16" t="str">
        <f>IFERROR(__xludf.DUMMYFUNCTION("""COMPUTED_VALUE"""),"інтимні товари")</f>
        <v>інтимні товари</v>
      </c>
      <c r="C1717" s="16" t="str">
        <f>IFERROR(__xludf.DUMMYFUNCTION("""COMPUTED_VALUE"""),"інтимні іграшки")</f>
        <v>інтимні іграшки</v>
      </c>
      <c r="D1717" s="16" t="str">
        <f>IFERROR(__xludf.DUMMYFUNCTION("""COMPUTED_VALUE"""),"мастурбатори")</f>
        <v>мастурбатори</v>
      </c>
      <c r="E1717" s="16" t="str">
        <f>IFERROR(__xludf.DUMMYFUNCTION("""COMPUTED_VALUE"""),"мастурбатори")</f>
        <v>мастурбатори</v>
      </c>
      <c r="F1717" s="17">
        <f>IFERROR(__xludf.DUMMYFUNCTION("""COMPUTED_VALUE"""),3.0)</f>
        <v>3</v>
      </c>
      <c r="G1717" s="17" t="str">
        <f>IFERROR(__xludf.DUMMYFUNCTION("""COMPUTED_VALUE"""),"161013")</f>
        <v>161013</v>
      </c>
      <c r="H1717" s="17" t="str">
        <f>IFERROR(__xludf.DUMMYFUNCTION("""COMPUTED_VALUE"""),"мастурбатори")</f>
        <v>мастурбатори</v>
      </c>
      <c r="I1717" s="19">
        <f>IFERROR(__xludf.DUMMYFUNCTION("""COMPUTED_VALUE"""),0.0944)</f>
        <v>0.0944</v>
      </c>
      <c r="J1717" s="19">
        <f>IFERROR(__xludf.DUMMYFUNCTION("""COMPUTED_VALUE"""),0.1888)</f>
        <v>0.1888</v>
      </c>
      <c r="K1717" s="19">
        <f>IFERROR(__xludf.DUMMYFUNCTION("""COMPUTED_VALUE"""),0.236)</f>
        <v>0.236</v>
      </c>
      <c r="L1717" s="19">
        <f>IFERROR(__xludf.DUMMYFUNCTION("""COMPUTED_VALUE"""),0.2832)</f>
        <v>0.2832</v>
      </c>
      <c r="M1717" s="18">
        <f>IFERROR(__xludf.DUMMYFUNCTION("""COMPUTED_VALUE"""),3.15)</f>
        <v>3.15</v>
      </c>
    </row>
    <row r="1718">
      <c r="A1718" s="13" t="str">
        <f>IFERROR(__xludf.DUMMYFUNCTION("""COMPUTED_VALUE"""),"товари")</f>
        <v>товари</v>
      </c>
      <c r="B1718" s="16" t="str">
        <f>IFERROR(__xludf.DUMMYFUNCTION("""COMPUTED_VALUE"""),"інтимні товари")</f>
        <v>інтимні товари</v>
      </c>
      <c r="C1718" s="16" t="str">
        <f>IFERROR(__xludf.DUMMYFUNCTION("""COMPUTED_VALUE"""),"меблі для сексу")</f>
        <v>меблі для сексу</v>
      </c>
      <c r="D1718" s="16" t="str">
        <f>IFERROR(__xludf.DUMMYFUNCTION("""COMPUTED_VALUE"""),"меблі для сексу")</f>
        <v>меблі для сексу</v>
      </c>
      <c r="E1718" s="16" t="str">
        <f>IFERROR(__xludf.DUMMYFUNCTION("""COMPUTED_VALUE"""),"меблі для сексу")</f>
        <v>меблі для сексу</v>
      </c>
      <c r="F1718" s="17">
        <f>IFERROR(__xludf.DUMMYFUNCTION("""COMPUTED_VALUE"""),2.0)</f>
        <v>2</v>
      </c>
      <c r="G1718" s="17" t="str">
        <f>IFERROR(__xludf.DUMMYFUNCTION("""COMPUTED_VALUE"""),"161019")</f>
        <v>161019</v>
      </c>
      <c r="H1718" s="17" t="str">
        <f>IFERROR(__xludf.DUMMYFUNCTION("""COMPUTED_VALUE"""),"меблі для сексу")</f>
        <v>меблі для сексу</v>
      </c>
      <c r="I1718" s="19">
        <f>IFERROR(__xludf.DUMMYFUNCTION("""COMPUTED_VALUE"""),0.0944)</f>
        <v>0.0944</v>
      </c>
      <c r="J1718" s="19">
        <f>IFERROR(__xludf.DUMMYFUNCTION("""COMPUTED_VALUE"""),0.1888)</f>
        <v>0.1888</v>
      </c>
      <c r="K1718" s="19">
        <f>IFERROR(__xludf.DUMMYFUNCTION("""COMPUTED_VALUE"""),0.236)</f>
        <v>0.236</v>
      </c>
      <c r="L1718" s="19">
        <f>IFERROR(__xludf.DUMMYFUNCTION("""COMPUTED_VALUE"""),0.2832)</f>
        <v>0.2832</v>
      </c>
      <c r="M1718" s="18">
        <f>IFERROR(__xludf.DUMMYFUNCTION("""COMPUTED_VALUE"""),3.15)</f>
        <v>3.15</v>
      </c>
    </row>
    <row r="1719">
      <c r="A1719" s="13" t="str">
        <f>IFERROR(__xludf.DUMMYFUNCTION("""COMPUTED_VALUE"""),"товари")</f>
        <v>товари</v>
      </c>
      <c r="B1719" s="16" t="str">
        <f>IFERROR(__xludf.DUMMYFUNCTION("""COMPUTED_VALUE"""),"інтимні товари")</f>
        <v>інтимні товари</v>
      </c>
      <c r="C1719" s="16" t="str">
        <f>IFERROR(__xludf.DUMMYFUNCTION("""COMPUTED_VALUE"""),"інтимні іграшки")</f>
        <v>інтимні іграшки</v>
      </c>
      <c r="D1719" s="16" t="str">
        <f>IFERROR(__xludf.DUMMYFUNCTION("""COMPUTED_VALUE"""),"насадки на член та ерекційні кільця")</f>
        <v>насадки на член та ерекційні кільця</v>
      </c>
      <c r="E1719" s="16" t="str">
        <f>IFERROR(__xludf.DUMMYFUNCTION("""COMPUTED_VALUE"""),"насадки на член та ерекційні кільця")</f>
        <v>насадки на член та ерекційні кільця</v>
      </c>
      <c r="F1719" s="17">
        <f>IFERROR(__xludf.DUMMYFUNCTION("""COMPUTED_VALUE"""),3.0)</f>
        <v>3</v>
      </c>
      <c r="G1719" s="17" t="str">
        <f>IFERROR(__xludf.DUMMYFUNCTION("""COMPUTED_VALUE"""),"161016")</f>
        <v>161016</v>
      </c>
      <c r="H1719" s="17" t="str">
        <f>IFERROR(__xludf.DUMMYFUNCTION("""COMPUTED_VALUE"""),"насадки на член та ерекційні кільця")</f>
        <v>насадки на член та ерекційні кільця</v>
      </c>
      <c r="I1719" s="19">
        <f>IFERROR(__xludf.DUMMYFUNCTION("""COMPUTED_VALUE"""),0.0944)</f>
        <v>0.0944</v>
      </c>
      <c r="J1719" s="19">
        <f>IFERROR(__xludf.DUMMYFUNCTION("""COMPUTED_VALUE"""),0.1888)</f>
        <v>0.1888</v>
      </c>
      <c r="K1719" s="19">
        <f>IFERROR(__xludf.DUMMYFUNCTION("""COMPUTED_VALUE"""),0.236)</f>
        <v>0.236</v>
      </c>
      <c r="L1719" s="19">
        <f>IFERROR(__xludf.DUMMYFUNCTION("""COMPUTED_VALUE"""),0.2832)</f>
        <v>0.2832</v>
      </c>
      <c r="M1719" s="18">
        <f>IFERROR(__xludf.DUMMYFUNCTION("""COMPUTED_VALUE"""),3.15)</f>
        <v>3.15</v>
      </c>
    </row>
    <row r="1720">
      <c r="A1720" s="13" t="str">
        <f>IFERROR(__xludf.DUMMYFUNCTION("""COMPUTED_VALUE"""),"товари")</f>
        <v>товари</v>
      </c>
      <c r="B1720" s="16" t="str">
        <f>IFERROR(__xludf.DUMMYFUNCTION("""COMPUTED_VALUE"""),"інтимні товари")</f>
        <v>інтимні товари</v>
      </c>
      <c r="C1720" s="16" t="str">
        <f>IFERROR(__xludf.DUMMYFUNCTION("""COMPUTED_VALUE"""),"презервативи")</f>
        <v>презервативи</v>
      </c>
      <c r="D1720" s="16" t="str">
        <f>IFERROR(__xludf.DUMMYFUNCTION("""COMPUTED_VALUE"""),"презервативи")</f>
        <v>презервативи</v>
      </c>
      <c r="E1720" s="16" t="str">
        <f>IFERROR(__xludf.DUMMYFUNCTION("""COMPUTED_VALUE"""),"презервативи")</f>
        <v>презервативи</v>
      </c>
      <c r="F1720" s="17">
        <f>IFERROR(__xludf.DUMMYFUNCTION("""COMPUTED_VALUE"""),2.0)</f>
        <v>2</v>
      </c>
      <c r="G1720" s="17" t="str">
        <f>IFERROR(__xludf.DUMMYFUNCTION("""COMPUTED_VALUE"""),"16131201")</f>
        <v>16131201</v>
      </c>
      <c r="H1720" s="17" t="str">
        <f>IFERROR(__xludf.DUMMYFUNCTION("""COMPUTED_VALUE"""),"презервативи")</f>
        <v>презервативи</v>
      </c>
      <c r="I1720" s="19">
        <f>IFERROR(__xludf.DUMMYFUNCTION("""COMPUTED_VALUE"""),0.0771)</f>
        <v>0.0771</v>
      </c>
      <c r="J1720" s="19">
        <f>IFERROR(__xludf.DUMMYFUNCTION("""COMPUTED_VALUE"""),0.1542)</f>
        <v>0.1542</v>
      </c>
      <c r="K1720" s="19">
        <f>IFERROR(__xludf.DUMMYFUNCTION("""COMPUTED_VALUE"""),0.1928)</f>
        <v>0.1928</v>
      </c>
      <c r="L1720" s="19">
        <f>IFERROR(__xludf.DUMMYFUNCTION("""COMPUTED_VALUE"""),0.2313)</f>
        <v>0.2313</v>
      </c>
      <c r="M1720" s="18">
        <f>IFERROR(__xludf.DUMMYFUNCTION("""COMPUTED_VALUE"""),1.26)</f>
        <v>1.26</v>
      </c>
    </row>
    <row r="1721">
      <c r="A1721" s="13" t="str">
        <f>IFERROR(__xludf.DUMMYFUNCTION("""COMPUTED_VALUE"""),"товари")</f>
        <v>товари</v>
      </c>
      <c r="B1721" s="16" t="str">
        <f>IFERROR(__xludf.DUMMYFUNCTION("""COMPUTED_VALUE"""),"інтимні товари")</f>
        <v>інтимні товари</v>
      </c>
      <c r="C1721" s="16" t="str">
        <f>IFERROR(__xludf.DUMMYFUNCTION("""COMPUTED_VALUE"""),"інтимні іграшки")</f>
        <v>інтимні іграшки</v>
      </c>
      <c r="D1721" s="16" t="str">
        <f>IFERROR(__xludf.DUMMYFUNCTION("""COMPUTED_VALUE"""),"секс-ляльки")</f>
        <v>секс-ляльки</v>
      </c>
      <c r="E1721" s="16" t="str">
        <f>IFERROR(__xludf.DUMMYFUNCTION("""COMPUTED_VALUE"""),"секс-ляльки")</f>
        <v>секс-ляльки</v>
      </c>
      <c r="F1721" s="17">
        <f>IFERROR(__xludf.DUMMYFUNCTION("""COMPUTED_VALUE"""),3.0)</f>
        <v>3</v>
      </c>
      <c r="G1721" s="17" t="str">
        <f>IFERROR(__xludf.DUMMYFUNCTION("""COMPUTED_VALUE"""),"161015")</f>
        <v>161015</v>
      </c>
      <c r="H1721" s="17" t="str">
        <f>IFERROR(__xludf.DUMMYFUNCTION("""COMPUTED_VALUE"""),"секс-ляльки")</f>
        <v>секс-ляльки</v>
      </c>
      <c r="I1721" s="19">
        <f>IFERROR(__xludf.DUMMYFUNCTION("""COMPUTED_VALUE"""),0.0944)</f>
        <v>0.0944</v>
      </c>
      <c r="J1721" s="19">
        <f>IFERROR(__xludf.DUMMYFUNCTION("""COMPUTED_VALUE"""),0.1888)</f>
        <v>0.1888</v>
      </c>
      <c r="K1721" s="19">
        <f>IFERROR(__xludf.DUMMYFUNCTION("""COMPUTED_VALUE"""),0.236)</f>
        <v>0.236</v>
      </c>
      <c r="L1721" s="19">
        <f>IFERROR(__xludf.DUMMYFUNCTION("""COMPUTED_VALUE"""),0.2832)</f>
        <v>0.2832</v>
      </c>
      <c r="M1721" s="18">
        <f>IFERROR(__xludf.DUMMYFUNCTION("""COMPUTED_VALUE"""),3.15)</f>
        <v>3.15</v>
      </c>
    </row>
    <row r="1722">
      <c r="A1722" s="13" t="str">
        <f>IFERROR(__xludf.DUMMYFUNCTION("""COMPUTED_VALUE"""),"товари")</f>
        <v>товари</v>
      </c>
      <c r="B1722" s="16" t="str">
        <f>IFERROR(__xludf.DUMMYFUNCTION("""COMPUTED_VALUE"""),"інтимні товари")</f>
        <v>інтимні товари</v>
      </c>
      <c r="C1722" s="16" t="str">
        <f>IFERROR(__xludf.DUMMYFUNCTION("""COMPUTED_VALUE"""),"секс-машини")</f>
        <v>секс-машини</v>
      </c>
      <c r="D1722" s="16" t="str">
        <f>IFERROR(__xludf.DUMMYFUNCTION("""COMPUTED_VALUE"""),"секс-машини")</f>
        <v>секс-машини</v>
      </c>
      <c r="E1722" s="16" t="str">
        <f>IFERROR(__xludf.DUMMYFUNCTION("""COMPUTED_VALUE"""),"секс-машини")</f>
        <v>секс-машини</v>
      </c>
      <c r="F1722" s="17">
        <f>IFERROR(__xludf.DUMMYFUNCTION("""COMPUTED_VALUE"""),2.0)</f>
        <v>2</v>
      </c>
      <c r="G1722" s="17" t="str">
        <f>IFERROR(__xludf.DUMMYFUNCTION("""COMPUTED_VALUE"""),"161020")</f>
        <v>161020</v>
      </c>
      <c r="H1722" s="17" t="str">
        <f>IFERROR(__xludf.DUMMYFUNCTION("""COMPUTED_VALUE"""),"секс-машини")</f>
        <v>секс-машини</v>
      </c>
      <c r="I1722" s="19">
        <f>IFERROR(__xludf.DUMMYFUNCTION("""COMPUTED_VALUE"""),0.0944)</f>
        <v>0.0944</v>
      </c>
      <c r="J1722" s="19">
        <f>IFERROR(__xludf.DUMMYFUNCTION("""COMPUTED_VALUE"""),0.1888)</f>
        <v>0.1888</v>
      </c>
      <c r="K1722" s="19">
        <f>IFERROR(__xludf.DUMMYFUNCTION("""COMPUTED_VALUE"""),0.236)</f>
        <v>0.236</v>
      </c>
      <c r="L1722" s="19">
        <f>IFERROR(__xludf.DUMMYFUNCTION("""COMPUTED_VALUE"""),0.2832)</f>
        <v>0.2832</v>
      </c>
      <c r="M1722" s="18">
        <f>IFERROR(__xludf.DUMMYFUNCTION("""COMPUTED_VALUE"""),3.15)</f>
        <v>3.15</v>
      </c>
    </row>
    <row r="1723">
      <c r="A1723" s="13" t="str">
        <f>IFERROR(__xludf.DUMMYFUNCTION("""COMPUTED_VALUE"""),"товари")</f>
        <v>товари</v>
      </c>
      <c r="B1723" s="16" t="str">
        <f>IFERROR(__xludf.DUMMYFUNCTION("""COMPUTED_VALUE"""),"інтимні товари")</f>
        <v>інтимні товари</v>
      </c>
      <c r="C1723" s="16" t="str">
        <f>IFERROR(__xludf.DUMMYFUNCTION("""COMPUTED_VALUE"""),"інтимні іграшки")</f>
        <v>інтимні іграшки</v>
      </c>
      <c r="D1723" s="16" t="str">
        <f>IFERROR(__xludf.DUMMYFUNCTION("""COMPUTED_VALUE"""),"страпони")</f>
        <v>страпони</v>
      </c>
      <c r="E1723" s="16" t="str">
        <f>IFERROR(__xludf.DUMMYFUNCTION("""COMPUTED_VALUE"""),"страпони")</f>
        <v>страпони</v>
      </c>
      <c r="F1723" s="17">
        <f>IFERROR(__xludf.DUMMYFUNCTION("""COMPUTED_VALUE"""),3.0)</f>
        <v>3</v>
      </c>
      <c r="G1723" s="17" t="str">
        <f>IFERROR(__xludf.DUMMYFUNCTION("""COMPUTED_VALUE"""),"161012")</f>
        <v>161012</v>
      </c>
      <c r="H1723" s="17" t="str">
        <f>IFERROR(__xludf.DUMMYFUNCTION("""COMPUTED_VALUE"""),"страпони")</f>
        <v>страпони</v>
      </c>
      <c r="I1723" s="19">
        <f>IFERROR(__xludf.DUMMYFUNCTION("""COMPUTED_VALUE"""),0.0944)</f>
        <v>0.0944</v>
      </c>
      <c r="J1723" s="19">
        <f>IFERROR(__xludf.DUMMYFUNCTION("""COMPUTED_VALUE"""),0.1888)</f>
        <v>0.1888</v>
      </c>
      <c r="K1723" s="19">
        <f>IFERROR(__xludf.DUMMYFUNCTION("""COMPUTED_VALUE"""),0.236)</f>
        <v>0.236</v>
      </c>
      <c r="L1723" s="19">
        <f>IFERROR(__xludf.DUMMYFUNCTION("""COMPUTED_VALUE"""),0.2832)</f>
        <v>0.2832</v>
      </c>
      <c r="M1723" s="18">
        <f>IFERROR(__xludf.DUMMYFUNCTION("""COMPUTED_VALUE"""),3.15)</f>
        <v>3.15</v>
      </c>
    </row>
    <row r="1724">
      <c r="A1724" s="13" t="str">
        <f>IFERROR(__xludf.DUMMYFUNCTION("""COMPUTED_VALUE"""),"товари")</f>
        <v>товари</v>
      </c>
      <c r="B1724" s="16" t="str">
        <f>IFERROR(__xludf.DUMMYFUNCTION("""COMPUTED_VALUE"""),"інтимні товари")</f>
        <v>інтимні товари</v>
      </c>
      <c r="C1724" s="16" t="str">
        <f>IFERROR(__xludf.DUMMYFUNCTION("""COMPUTED_VALUE"""),"інтимне здоров'я")</f>
        <v>інтимне здоров'я</v>
      </c>
      <c r="D1724" s="16" t="str">
        <f>IFERROR(__xludf.DUMMYFUNCTION("""COMPUTED_VALUE"""),"тренажери кегеля")</f>
        <v>тренажери кегеля</v>
      </c>
      <c r="E1724" s="16" t="str">
        <f>IFERROR(__xludf.DUMMYFUNCTION("""COMPUTED_VALUE"""),"тренажери кегеля")</f>
        <v>тренажери кегеля</v>
      </c>
      <c r="F1724" s="17">
        <f>IFERROR(__xludf.DUMMYFUNCTION("""COMPUTED_VALUE"""),3.0)</f>
        <v>3</v>
      </c>
      <c r="G1724" s="17" t="str">
        <f>IFERROR(__xludf.DUMMYFUNCTION("""COMPUTED_VALUE"""),"16102102")</f>
        <v>16102102</v>
      </c>
      <c r="H1724" s="17" t="str">
        <f>IFERROR(__xludf.DUMMYFUNCTION("""COMPUTED_VALUE"""),"тренажери кегеля")</f>
        <v>тренажери кегеля</v>
      </c>
      <c r="I1724" s="19">
        <f>IFERROR(__xludf.DUMMYFUNCTION("""COMPUTED_VALUE"""),0.0944)</f>
        <v>0.0944</v>
      </c>
      <c r="J1724" s="19">
        <f>IFERROR(__xludf.DUMMYFUNCTION("""COMPUTED_VALUE"""),0.1888)</f>
        <v>0.1888</v>
      </c>
      <c r="K1724" s="19">
        <f>IFERROR(__xludf.DUMMYFUNCTION("""COMPUTED_VALUE"""),0.236)</f>
        <v>0.236</v>
      </c>
      <c r="L1724" s="19">
        <f>IFERROR(__xludf.DUMMYFUNCTION("""COMPUTED_VALUE"""),0.2832)</f>
        <v>0.2832</v>
      </c>
      <c r="M1724" s="18">
        <f>IFERROR(__xludf.DUMMYFUNCTION("""COMPUTED_VALUE"""),3.15)</f>
        <v>3.15</v>
      </c>
    </row>
    <row r="1725">
      <c r="A1725" s="13" t="str">
        <f>IFERROR(__xludf.DUMMYFUNCTION("""COMPUTED_VALUE"""),"товари")</f>
        <v>товари</v>
      </c>
      <c r="B1725" s="16" t="str">
        <f>IFERROR(__xludf.DUMMYFUNCTION("""COMPUTED_VALUE"""),"інтимні товари")</f>
        <v>інтимні товари</v>
      </c>
      <c r="C1725" s="16" t="str">
        <f>IFERROR(__xludf.DUMMYFUNCTION("""COMPUTED_VALUE"""),"інтимні іграшки")</f>
        <v>інтимні іграшки</v>
      </c>
      <c r="D1725" s="16" t="str">
        <f>IFERROR(__xludf.DUMMYFUNCTION("""COMPUTED_VALUE"""),"фалоімітатори")</f>
        <v>фалоімітатори</v>
      </c>
      <c r="E1725" s="16" t="str">
        <f>IFERROR(__xludf.DUMMYFUNCTION("""COMPUTED_VALUE"""),"фалоімітатори")</f>
        <v>фалоімітатори</v>
      </c>
      <c r="F1725" s="17">
        <f>IFERROR(__xludf.DUMMYFUNCTION("""COMPUTED_VALUE"""),3.0)</f>
        <v>3</v>
      </c>
      <c r="G1725" s="17" t="str">
        <f>IFERROR(__xludf.DUMMYFUNCTION("""COMPUTED_VALUE"""),"161010")</f>
        <v>161010</v>
      </c>
      <c r="H1725" s="17" t="str">
        <f>IFERROR(__xludf.DUMMYFUNCTION("""COMPUTED_VALUE"""),"фалоімітатори")</f>
        <v>фалоімітатори</v>
      </c>
      <c r="I1725" s="19">
        <f>IFERROR(__xludf.DUMMYFUNCTION("""COMPUTED_VALUE"""),0.0944)</f>
        <v>0.0944</v>
      </c>
      <c r="J1725" s="19">
        <f>IFERROR(__xludf.DUMMYFUNCTION("""COMPUTED_VALUE"""),0.1888)</f>
        <v>0.1888</v>
      </c>
      <c r="K1725" s="19">
        <f>IFERROR(__xludf.DUMMYFUNCTION("""COMPUTED_VALUE"""),0.236)</f>
        <v>0.236</v>
      </c>
      <c r="L1725" s="19">
        <f>IFERROR(__xludf.DUMMYFUNCTION("""COMPUTED_VALUE"""),0.2832)</f>
        <v>0.2832</v>
      </c>
      <c r="M1725" s="18">
        <f>IFERROR(__xludf.DUMMYFUNCTION("""COMPUTED_VALUE"""),3.15)</f>
        <v>3.15</v>
      </c>
    </row>
    <row r="1726">
      <c r="A1726" s="13" t="str">
        <f>IFERROR(__xludf.DUMMYFUNCTION("""COMPUTED_VALUE"""),"товари")</f>
        <v>товари</v>
      </c>
      <c r="B1726" s="16" t="str">
        <f>IFERROR(__xludf.DUMMYFUNCTION("""COMPUTED_VALUE"""),"інтимні товари")</f>
        <v>інтимні товари</v>
      </c>
      <c r="C1726" s="16" t="str">
        <f>IFERROR(__xludf.DUMMYFUNCTION("""COMPUTED_VALUE"""),"еротичний одяг")</f>
        <v>еротичний одяг</v>
      </c>
      <c r="D1726" s="16" t="str">
        <f>IFERROR(__xludf.DUMMYFUNCTION("""COMPUTED_VALUE"""),"чоловіча еротична білизна і одяг")</f>
        <v>чоловіча еротична білизна і одяг</v>
      </c>
      <c r="E1726" s="16" t="str">
        <f>IFERROR(__xludf.DUMMYFUNCTION("""COMPUTED_VALUE"""),"чоловіча еротична білизна і одяг")</f>
        <v>чоловіча еротична білизна і одяг</v>
      </c>
      <c r="F1726" s="17">
        <f>IFERROR(__xludf.DUMMYFUNCTION("""COMPUTED_VALUE"""),3.0)</f>
        <v>3</v>
      </c>
      <c r="G1726" s="17" t="str">
        <f>IFERROR(__xludf.DUMMYFUNCTION("""COMPUTED_VALUE"""),"16100402")</f>
        <v>16100402</v>
      </c>
      <c r="H1726" s="17" t="str">
        <f>IFERROR(__xludf.DUMMYFUNCTION("""COMPUTED_VALUE"""),"чоловіча еротична білизна і одяг")</f>
        <v>чоловіча еротична білизна і одяг</v>
      </c>
      <c r="I1726" s="19">
        <f>IFERROR(__xludf.DUMMYFUNCTION("""COMPUTED_VALUE"""),0.0931)</f>
        <v>0.0931</v>
      </c>
      <c r="J1726" s="19">
        <f>IFERROR(__xludf.DUMMYFUNCTION("""COMPUTED_VALUE"""),0.1861)</f>
        <v>0.1861</v>
      </c>
      <c r="K1726" s="19">
        <f>IFERROR(__xludf.DUMMYFUNCTION("""COMPUTED_VALUE"""),0.2326)</f>
        <v>0.2326</v>
      </c>
      <c r="L1726" s="19">
        <f>IFERROR(__xludf.DUMMYFUNCTION("""COMPUTED_VALUE"""),0.2792)</f>
        <v>0.2792</v>
      </c>
      <c r="M1726" s="18">
        <f>IFERROR(__xludf.DUMMYFUNCTION("""COMPUTED_VALUE"""),1.44)</f>
        <v>1.44</v>
      </c>
    </row>
    <row r="1727">
      <c r="A1727" s="13" t="str">
        <f>IFERROR(__xludf.DUMMYFUNCTION("""COMPUTED_VALUE"""),"товари")</f>
        <v>товари</v>
      </c>
      <c r="B1727" s="16" t="str">
        <f>IFERROR(__xludf.DUMMYFUNCTION("""COMPUTED_VALUE"""),"канцтовари")</f>
        <v>канцтовари</v>
      </c>
      <c r="C1727" s="16" t="str">
        <f>IFERROR(__xludf.DUMMYFUNCTION("""COMPUTED_VALUE"""),"письмове приладдя")</f>
        <v>письмове приладдя</v>
      </c>
      <c r="D1727" s="16" t="str">
        <f>IFERROR(__xludf.DUMMYFUNCTION("""COMPUTED_VALUE"""),"аксесуари для ручок і олівців")</f>
        <v>аксесуари для ручок і олівців</v>
      </c>
      <c r="E1727" s="16" t="str">
        <f>IFERROR(__xludf.DUMMYFUNCTION("""COMPUTED_VALUE"""),"аксесуари для ручок і олівців")</f>
        <v>аксесуари для ручок і олівців</v>
      </c>
      <c r="F1727" s="17">
        <f>IFERROR(__xludf.DUMMYFUNCTION("""COMPUTED_VALUE"""),3.0)</f>
        <v>3</v>
      </c>
      <c r="G1727" s="17" t="str">
        <f>IFERROR(__xludf.DUMMYFUNCTION("""COMPUTED_VALUE"""),"21110709")</f>
        <v>21110709</v>
      </c>
      <c r="H1727" s="17" t="str">
        <f>IFERROR(__xludf.DUMMYFUNCTION("""COMPUTED_VALUE"""),"аксесуари для ручок і олівців")</f>
        <v>аксесуари для ручок і олівців</v>
      </c>
      <c r="I1727" s="19">
        <f>IFERROR(__xludf.DUMMYFUNCTION("""COMPUTED_VALUE"""),0.0743)</f>
        <v>0.0743</v>
      </c>
      <c r="J1727" s="19">
        <f>IFERROR(__xludf.DUMMYFUNCTION("""COMPUTED_VALUE"""),0.1485)</f>
        <v>0.1485</v>
      </c>
      <c r="K1727" s="19">
        <f>IFERROR(__xludf.DUMMYFUNCTION("""COMPUTED_VALUE"""),0.1856)</f>
        <v>0.1856</v>
      </c>
      <c r="L1727" s="19">
        <f>IFERROR(__xludf.DUMMYFUNCTION("""COMPUTED_VALUE"""),0.2228)</f>
        <v>0.2228</v>
      </c>
      <c r="M1727" s="18">
        <f>IFERROR(__xludf.DUMMYFUNCTION("""COMPUTED_VALUE"""),1.44)</f>
        <v>1.44</v>
      </c>
    </row>
    <row r="1728">
      <c r="A1728" s="13" t="str">
        <f>IFERROR(__xludf.DUMMYFUNCTION("""COMPUTED_VALUE"""),"товари")</f>
        <v>товари</v>
      </c>
      <c r="B1728" s="16" t="str">
        <f>IFERROR(__xludf.DUMMYFUNCTION("""COMPUTED_VALUE"""),"канцтовари")</f>
        <v>канцтовари</v>
      </c>
      <c r="C1728" s="16" t="str">
        <f>IFERROR(__xludf.DUMMYFUNCTION("""COMPUTED_VALUE"""),"все для діловодства")</f>
        <v>все для діловодства</v>
      </c>
      <c r="D1728" s="16" t="str">
        <f>IFERROR(__xludf.DUMMYFUNCTION("""COMPUTED_VALUE"""),"бейджі і аксесуари до них")</f>
        <v>бейджі і аксесуари до них</v>
      </c>
      <c r="E1728" s="16" t="str">
        <f>IFERROR(__xludf.DUMMYFUNCTION("""COMPUTED_VALUE"""),"бейджі і аксесуари до них")</f>
        <v>бейджі і аксесуари до них</v>
      </c>
      <c r="F1728" s="17">
        <f>IFERROR(__xludf.DUMMYFUNCTION("""COMPUTED_VALUE"""),3.0)</f>
        <v>3</v>
      </c>
      <c r="G1728" s="17" t="str">
        <f>IFERROR(__xludf.DUMMYFUNCTION("""COMPUTED_VALUE"""),"211112")</f>
        <v>211112</v>
      </c>
      <c r="H1728" s="17" t="str">
        <f>IFERROR(__xludf.DUMMYFUNCTION("""COMPUTED_VALUE"""),"бейджі і аксесуари до них")</f>
        <v>бейджі і аксесуари до них</v>
      </c>
      <c r="I1728" s="19">
        <f>IFERROR(__xludf.DUMMYFUNCTION("""COMPUTED_VALUE"""),0.0697)</f>
        <v>0.0697</v>
      </c>
      <c r="J1728" s="19">
        <f>IFERROR(__xludf.DUMMYFUNCTION("""COMPUTED_VALUE"""),0.1394)</f>
        <v>0.1394</v>
      </c>
      <c r="K1728" s="19">
        <f>IFERROR(__xludf.DUMMYFUNCTION("""COMPUTED_VALUE"""),0.1743)</f>
        <v>0.1743</v>
      </c>
      <c r="L1728" s="19">
        <f>IFERROR(__xludf.DUMMYFUNCTION("""COMPUTED_VALUE"""),0.2091)</f>
        <v>0.2091</v>
      </c>
      <c r="M1728" s="18">
        <f>IFERROR(__xludf.DUMMYFUNCTION("""COMPUTED_VALUE"""),4.35)</f>
        <v>4.35</v>
      </c>
    </row>
    <row r="1729">
      <c r="A1729" s="13" t="str">
        <f>IFERROR(__xludf.DUMMYFUNCTION("""COMPUTED_VALUE"""),"товари")</f>
        <v>товари</v>
      </c>
      <c r="B1729" s="16" t="str">
        <f>IFERROR(__xludf.DUMMYFUNCTION("""COMPUTED_VALUE"""),"канцтовари")</f>
        <v>канцтовари</v>
      </c>
      <c r="C1729" s="16" t="str">
        <f>IFERROR(__xludf.DUMMYFUNCTION("""COMPUTED_VALUE"""),"все для діловодства")</f>
        <v>все для діловодства</v>
      </c>
      <c r="D1729" s="16" t="str">
        <f>IFERROR(__xludf.DUMMYFUNCTION("""COMPUTED_VALUE"""),"бланки документів")</f>
        <v>бланки документів</v>
      </c>
      <c r="E1729" s="16" t="str">
        <f>IFERROR(__xludf.DUMMYFUNCTION("""COMPUTED_VALUE"""),"бланки документів")</f>
        <v>бланки документів</v>
      </c>
      <c r="F1729" s="17">
        <f>IFERROR(__xludf.DUMMYFUNCTION("""COMPUTED_VALUE"""),3.0)</f>
        <v>3</v>
      </c>
      <c r="G1729" s="17" t="str">
        <f>IFERROR(__xludf.DUMMYFUNCTION("""COMPUTED_VALUE"""),"211301")</f>
        <v>211301</v>
      </c>
      <c r="H1729" s="17" t="str">
        <f>IFERROR(__xludf.DUMMYFUNCTION("""COMPUTED_VALUE"""),"бланки документів")</f>
        <v>бланки документів</v>
      </c>
      <c r="I1729" s="19">
        <f>IFERROR(__xludf.DUMMYFUNCTION("""COMPUTED_VALUE"""),0.0678)</f>
        <v>0.0678</v>
      </c>
      <c r="J1729" s="19">
        <f>IFERROR(__xludf.DUMMYFUNCTION("""COMPUTED_VALUE"""),0.1355)</f>
        <v>0.1355</v>
      </c>
      <c r="K1729" s="19">
        <f>IFERROR(__xludf.DUMMYFUNCTION("""COMPUTED_VALUE"""),0.1694)</f>
        <v>0.1694</v>
      </c>
      <c r="L1729" s="19">
        <f>IFERROR(__xludf.DUMMYFUNCTION("""COMPUTED_VALUE"""),0.2033)</f>
        <v>0.2033</v>
      </c>
      <c r="M1729" s="18">
        <f>IFERROR(__xludf.DUMMYFUNCTION("""COMPUTED_VALUE"""),1.26)</f>
        <v>1.26</v>
      </c>
    </row>
    <row r="1730">
      <c r="A1730" s="13" t="str">
        <f>IFERROR(__xludf.DUMMYFUNCTION("""COMPUTED_VALUE"""),"товари")</f>
        <v>товари</v>
      </c>
      <c r="B1730" s="16" t="str">
        <f>IFERROR(__xludf.DUMMYFUNCTION("""COMPUTED_VALUE"""),"канцтовари")</f>
        <v>канцтовари</v>
      </c>
      <c r="C1730" s="16" t="str">
        <f>IFERROR(__xludf.DUMMYFUNCTION("""COMPUTED_VALUE"""),"витратні матеріали для офісу")</f>
        <v>витратні матеріали для офісу</v>
      </c>
      <c r="D1730" s="16" t="str">
        <f>IFERROR(__xludf.DUMMYFUNCTION("""COMPUTED_VALUE"""),"витратні матеріали для офісу, загальне")</f>
        <v>витратні матеріали для офісу, загальне</v>
      </c>
      <c r="E1730" s="16" t="str">
        <f>IFERROR(__xludf.DUMMYFUNCTION("""COMPUTED_VALUE"""),"витратні матеріали для офісу, загальне")</f>
        <v>витратні матеріали для офісу, загальне</v>
      </c>
      <c r="F1730" s="17">
        <f>IFERROR(__xludf.DUMMYFUNCTION("""COMPUTED_VALUE"""),3.0)</f>
        <v>3</v>
      </c>
      <c r="G1730" s="17" t="str">
        <f>IFERROR(__xludf.DUMMYFUNCTION("""COMPUTED_VALUE"""),"211302")</f>
        <v>211302</v>
      </c>
      <c r="H1730" s="17" t="str">
        <f>IFERROR(__xludf.DUMMYFUNCTION("""COMPUTED_VALUE"""),"витратні матеріали для офісу, загальне")</f>
        <v>витратні матеріали для офісу, загальне</v>
      </c>
      <c r="I1730" s="19">
        <f>IFERROR(__xludf.DUMMYFUNCTION("""COMPUTED_VALUE"""),0.125)</f>
        <v>0.125</v>
      </c>
      <c r="J1730" s="19">
        <f>IFERROR(__xludf.DUMMYFUNCTION("""COMPUTED_VALUE"""),0.25)</f>
        <v>0.25</v>
      </c>
      <c r="K1730" s="19">
        <f>IFERROR(__xludf.DUMMYFUNCTION("""COMPUTED_VALUE"""),0.3125)</f>
        <v>0.3125</v>
      </c>
      <c r="L1730" s="19">
        <f>IFERROR(__xludf.DUMMYFUNCTION("""COMPUTED_VALUE"""),0.375)</f>
        <v>0.375</v>
      </c>
      <c r="M1730" s="18">
        <f>IFERROR(__xludf.DUMMYFUNCTION("""COMPUTED_VALUE"""),4.33)</f>
        <v>4.33</v>
      </c>
    </row>
    <row r="1731">
      <c r="A1731" s="13" t="str">
        <f>IFERROR(__xludf.DUMMYFUNCTION("""COMPUTED_VALUE"""),"товари")</f>
        <v>товари</v>
      </c>
      <c r="B1731" s="16" t="str">
        <f>IFERROR(__xludf.DUMMYFUNCTION("""COMPUTED_VALUE"""),"канцтовари")</f>
        <v>канцтовари</v>
      </c>
      <c r="C1731" s="16" t="str">
        <f>IFERROR(__xludf.DUMMYFUNCTION("""COMPUTED_VALUE"""),"все для діловодства")</f>
        <v>все для діловодства</v>
      </c>
      <c r="D1731" s="16" t="str">
        <f>IFERROR(__xludf.DUMMYFUNCTION("""COMPUTED_VALUE"""),"все для діловодства, загальне")</f>
        <v>все для діловодства, загальне</v>
      </c>
      <c r="E1731" s="16" t="str">
        <f>IFERROR(__xludf.DUMMYFUNCTION("""COMPUTED_VALUE"""),"все для діловодства, загальне")</f>
        <v>все для діловодства, загальне</v>
      </c>
      <c r="F1731" s="17">
        <f>IFERROR(__xludf.DUMMYFUNCTION("""COMPUTED_VALUE"""),3.0)</f>
        <v>3</v>
      </c>
      <c r="G1731" s="17" t="str">
        <f>IFERROR(__xludf.DUMMYFUNCTION("""COMPUTED_VALUE"""),"211199")</f>
        <v>211199</v>
      </c>
      <c r="H1731" s="17" t="str">
        <f>IFERROR(__xludf.DUMMYFUNCTION("""COMPUTED_VALUE"""),"все для діловодства, загальне")</f>
        <v>все для діловодства, загальне</v>
      </c>
      <c r="I1731" s="19">
        <f>IFERROR(__xludf.DUMMYFUNCTION("""COMPUTED_VALUE"""),0.125)</f>
        <v>0.125</v>
      </c>
      <c r="J1731" s="19">
        <f>IFERROR(__xludf.DUMMYFUNCTION("""COMPUTED_VALUE"""),0.25)</f>
        <v>0.25</v>
      </c>
      <c r="K1731" s="19">
        <f>IFERROR(__xludf.DUMMYFUNCTION("""COMPUTED_VALUE"""),0.3125)</f>
        <v>0.3125</v>
      </c>
      <c r="L1731" s="19">
        <f>IFERROR(__xludf.DUMMYFUNCTION("""COMPUTED_VALUE"""),0.375)</f>
        <v>0.375</v>
      </c>
      <c r="M1731" s="18">
        <f>IFERROR(__xludf.DUMMYFUNCTION("""COMPUTED_VALUE"""),4.33)</f>
        <v>4.33</v>
      </c>
    </row>
    <row r="1732">
      <c r="A1732" s="13" t="str">
        <f>IFERROR(__xludf.DUMMYFUNCTION("""COMPUTED_VALUE"""),"товари")</f>
        <v>товари</v>
      </c>
      <c r="B1732" s="16" t="str">
        <f>IFERROR(__xludf.DUMMYFUNCTION("""COMPUTED_VALUE"""),"канцтовари")</f>
        <v>канцтовари</v>
      </c>
      <c r="C1732" s="16" t="str">
        <f>IFERROR(__xludf.DUMMYFUNCTION("""COMPUTED_VALUE"""),"письмове приладдя")</f>
        <v>письмове приладдя</v>
      </c>
      <c r="D1732" s="16" t="str">
        <f>IFERROR(__xludf.DUMMYFUNCTION("""COMPUTED_VALUE"""),"гумки")</f>
        <v>гумки</v>
      </c>
      <c r="E1732" s="16" t="str">
        <f>IFERROR(__xludf.DUMMYFUNCTION("""COMPUTED_VALUE"""),"гумки")</f>
        <v>гумки</v>
      </c>
      <c r="F1732" s="17">
        <f>IFERROR(__xludf.DUMMYFUNCTION("""COMPUTED_VALUE"""),3.0)</f>
        <v>3</v>
      </c>
      <c r="G1732" s="17" t="str">
        <f>IFERROR(__xludf.DUMMYFUNCTION("""COMPUTED_VALUE"""),"211201")</f>
        <v>211201</v>
      </c>
      <c r="H1732" s="17" t="str">
        <f>IFERROR(__xludf.DUMMYFUNCTION("""COMPUTED_VALUE"""),"гумки")</f>
        <v>гумки</v>
      </c>
      <c r="I1732" s="19">
        <f>IFERROR(__xludf.DUMMYFUNCTION("""COMPUTED_VALUE"""),0.0765)</f>
        <v>0.0765</v>
      </c>
      <c r="J1732" s="19">
        <f>IFERROR(__xludf.DUMMYFUNCTION("""COMPUTED_VALUE"""),0.1529)</f>
        <v>0.1529</v>
      </c>
      <c r="K1732" s="19">
        <f>IFERROR(__xludf.DUMMYFUNCTION("""COMPUTED_VALUE"""),0.1911)</f>
        <v>0.1911</v>
      </c>
      <c r="L1732" s="19">
        <f>IFERROR(__xludf.DUMMYFUNCTION("""COMPUTED_VALUE"""),0.2294)</f>
        <v>0.2294</v>
      </c>
      <c r="M1732" s="18">
        <f>IFERROR(__xludf.DUMMYFUNCTION("""COMPUTED_VALUE"""),1.53)</f>
        <v>1.53</v>
      </c>
    </row>
    <row r="1733">
      <c r="A1733" s="13" t="str">
        <f>IFERROR(__xludf.DUMMYFUNCTION("""COMPUTED_VALUE"""),"товари")</f>
        <v>товари</v>
      </c>
      <c r="B1733" s="16" t="str">
        <f>IFERROR(__xludf.DUMMYFUNCTION("""COMPUTED_VALUE"""),"канцтовари")</f>
        <v>канцтовари</v>
      </c>
      <c r="C1733" s="16" t="str">
        <f>IFERROR(__xludf.DUMMYFUNCTION("""COMPUTED_VALUE"""),"витратні матеріали для офісу")</f>
        <v>витратні матеріали для офісу</v>
      </c>
      <c r="D1733" s="16" t="str">
        <f>IFERROR(__xludf.DUMMYFUNCTION("""COMPUTED_VALUE"""),"гумки для грошей")</f>
        <v>гумки для грошей</v>
      </c>
      <c r="E1733" s="16" t="str">
        <f>IFERROR(__xludf.DUMMYFUNCTION("""COMPUTED_VALUE"""),"гумки для грошей")</f>
        <v>гумки для грошей</v>
      </c>
      <c r="F1733" s="17">
        <f>IFERROR(__xludf.DUMMYFUNCTION("""COMPUTED_VALUE"""),3.0)</f>
        <v>3</v>
      </c>
      <c r="G1733" s="17" t="str">
        <f>IFERROR(__xludf.DUMMYFUNCTION("""COMPUTED_VALUE"""),"211124")</f>
        <v>211124</v>
      </c>
      <c r="H1733" s="17" t="str">
        <f>IFERROR(__xludf.DUMMYFUNCTION("""COMPUTED_VALUE"""),"гумки для грошей")</f>
        <v>гумки для грошей</v>
      </c>
      <c r="I1733" s="19">
        <f>IFERROR(__xludf.DUMMYFUNCTION("""COMPUTED_VALUE"""),0.0678)</f>
        <v>0.0678</v>
      </c>
      <c r="J1733" s="19">
        <f>IFERROR(__xludf.DUMMYFUNCTION("""COMPUTED_VALUE"""),0.1355)</f>
        <v>0.1355</v>
      </c>
      <c r="K1733" s="19">
        <f>IFERROR(__xludf.DUMMYFUNCTION("""COMPUTED_VALUE"""),0.1694)</f>
        <v>0.1694</v>
      </c>
      <c r="L1733" s="19">
        <f>IFERROR(__xludf.DUMMYFUNCTION("""COMPUTED_VALUE"""),0.2033)</f>
        <v>0.2033</v>
      </c>
      <c r="M1733" s="18">
        <f>IFERROR(__xludf.DUMMYFUNCTION("""COMPUTED_VALUE"""),1.8)</f>
        <v>1.8</v>
      </c>
    </row>
    <row r="1734">
      <c r="A1734" s="13" t="str">
        <f>IFERROR(__xludf.DUMMYFUNCTION("""COMPUTED_VALUE"""),"товари")</f>
        <v>товари</v>
      </c>
      <c r="B1734" s="16" t="str">
        <f>IFERROR(__xludf.DUMMYFUNCTION("""COMPUTED_VALUE"""),"канцтовари")</f>
        <v>канцтовари</v>
      </c>
      <c r="C1734" s="16" t="str">
        <f>IFERROR(__xludf.DUMMYFUNCTION("""COMPUTED_VALUE"""),"все для діловодства")</f>
        <v>все для діловодства</v>
      </c>
      <c r="D1734" s="16" t="str">
        <f>IFERROR(__xludf.DUMMYFUNCTION("""COMPUTED_VALUE"""),"датери")</f>
        <v>датери</v>
      </c>
      <c r="E1734" s="16" t="str">
        <f>IFERROR(__xludf.DUMMYFUNCTION("""COMPUTED_VALUE"""),"датери")</f>
        <v>датери</v>
      </c>
      <c r="F1734" s="17">
        <f>IFERROR(__xludf.DUMMYFUNCTION("""COMPUTED_VALUE"""),3.0)</f>
        <v>3</v>
      </c>
      <c r="G1734" s="17" t="str">
        <f>IFERROR(__xludf.DUMMYFUNCTION("""COMPUTED_VALUE"""),"143201")</f>
        <v>143201</v>
      </c>
      <c r="H1734" s="17" t="str">
        <f>IFERROR(__xludf.DUMMYFUNCTION("""COMPUTED_VALUE"""),"датери")</f>
        <v>датери</v>
      </c>
      <c r="I1734" s="19">
        <f>IFERROR(__xludf.DUMMYFUNCTION("""COMPUTED_VALUE"""),0.0728)</f>
        <v>0.0728</v>
      </c>
      <c r="J1734" s="19">
        <f>IFERROR(__xludf.DUMMYFUNCTION("""COMPUTED_VALUE"""),0.1455)</f>
        <v>0.1455</v>
      </c>
      <c r="K1734" s="19">
        <f>IFERROR(__xludf.DUMMYFUNCTION("""COMPUTED_VALUE"""),0.1819)</f>
        <v>0.1819</v>
      </c>
      <c r="L1734" s="19">
        <f>IFERROR(__xludf.DUMMYFUNCTION("""COMPUTED_VALUE"""),0.2183)</f>
        <v>0.2183</v>
      </c>
      <c r="M1734" s="18">
        <f>IFERROR(__xludf.DUMMYFUNCTION("""COMPUTED_VALUE"""),1.05)</f>
        <v>1.05</v>
      </c>
    </row>
    <row r="1735">
      <c r="A1735" s="13" t="str">
        <f>IFERROR(__xludf.DUMMYFUNCTION("""COMPUTED_VALUE"""),"товари")</f>
        <v>товари</v>
      </c>
      <c r="B1735" s="16" t="str">
        <f>IFERROR(__xludf.DUMMYFUNCTION("""COMPUTED_VALUE"""),"канцтовари")</f>
        <v>канцтовари</v>
      </c>
      <c r="C1735" s="16" t="str">
        <f>IFERROR(__xludf.DUMMYFUNCTION("""COMPUTED_VALUE"""),"витратні матеріали для офісу")</f>
        <v>витратні матеріали для офісу</v>
      </c>
      <c r="D1735" s="16" t="str">
        <f>IFERROR(__xludf.DUMMYFUNCTION("""COMPUTED_VALUE"""),"діркопробивачі")</f>
        <v>діркопробивачі</v>
      </c>
      <c r="E1735" s="16" t="str">
        <f>IFERROR(__xludf.DUMMYFUNCTION("""COMPUTED_VALUE"""),"діркопробивачі")</f>
        <v>діркопробивачі</v>
      </c>
      <c r="F1735" s="17">
        <f>IFERROR(__xludf.DUMMYFUNCTION("""COMPUTED_VALUE"""),3.0)</f>
        <v>3</v>
      </c>
      <c r="G1735" s="17" t="str">
        <f>IFERROR(__xludf.DUMMYFUNCTION("""COMPUTED_VALUE"""),"211127")</f>
        <v>211127</v>
      </c>
      <c r="H1735" s="17" t="str">
        <f>IFERROR(__xludf.DUMMYFUNCTION("""COMPUTED_VALUE"""),"діркопробивачі")</f>
        <v>діркопробивачі</v>
      </c>
      <c r="I1735" s="19">
        <f>IFERROR(__xludf.DUMMYFUNCTION("""COMPUTED_VALUE"""),0.0734)</f>
        <v>0.0734</v>
      </c>
      <c r="J1735" s="19">
        <f>IFERROR(__xludf.DUMMYFUNCTION("""COMPUTED_VALUE"""),0.1468)</f>
        <v>0.1468</v>
      </c>
      <c r="K1735" s="19">
        <f>IFERROR(__xludf.DUMMYFUNCTION("""COMPUTED_VALUE"""),0.1835)</f>
        <v>0.1835</v>
      </c>
      <c r="L1735" s="19">
        <f>IFERROR(__xludf.DUMMYFUNCTION("""COMPUTED_VALUE"""),0.2202)</f>
        <v>0.2202</v>
      </c>
      <c r="M1735" s="18">
        <f>IFERROR(__xludf.DUMMYFUNCTION("""COMPUTED_VALUE"""),1.53)</f>
        <v>1.53</v>
      </c>
    </row>
    <row r="1736">
      <c r="A1736" s="13" t="str">
        <f>IFERROR(__xludf.DUMMYFUNCTION("""COMPUTED_VALUE"""),"товари")</f>
        <v>товари</v>
      </c>
      <c r="B1736" s="16" t="str">
        <f>IFERROR(__xludf.DUMMYFUNCTION("""COMPUTED_VALUE"""),"канцтовари")</f>
        <v>канцтовари</v>
      </c>
      <c r="C1736" s="16" t="str">
        <f>IFERROR(__xludf.DUMMYFUNCTION("""COMPUTED_VALUE"""),"все для діловодства")</f>
        <v>все для діловодства</v>
      </c>
      <c r="D1736" s="16" t="str">
        <f>IFERROR(__xludf.DUMMYFUNCTION("""COMPUTED_VALUE"""),"диспенсери для скріпок і скотча")</f>
        <v>диспенсери для скріпок і скотча</v>
      </c>
      <c r="E1736" s="16" t="str">
        <f>IFERROR(__xludf.DUMMYFUNCTION("""COMPUTED_VALUE"""),"диспенсери для скріпок і скотча")</f>
        <v>диспенсери для скріпок і скотча</v>
      </c>
      <c r="F1736" s="17">
        <f>IFERROR(__xludf.DUMMYFUNCTION("""COMPUTED_VALUE"""),3.0)</f>
        <v>3</v>
      </c>
      <c r="G1736" s="17" t="str">
        <f>IFERROR(__xludf.DUMMYFUNCTION("""COMPUTED_VALUE"""),"211131")</f>
        <v>211131</v>
      </c>
      <c r="H1736" s="17" t="str">
        <f>IFERROR(__xludf.DUMMYFUNCTION("""COMPUTED_VALUE"""),"диспенсери для скріпок і скотча")</f>
        <v>диспенсери для скріпок і скотча</v>
      </c>
      <c r="I1736" s="19">
        <f>IFERROR(__xludf.DUMMYFUNCTION("""COMPUTED_VALUE"""),0.0447)</f>
        <v>0.0447</v>
      </c>
      <c r="J1736" s="19">
        <f>IFERROR(__xludf.DUMMYFUNCTION("""COMPUTED_VALUE"""),0.0893)</f>
        <v>0.0893</v>
      </c>
      <c r="K1736" s="19">
        <f>IFERROR(__xludf.DUMMYFUNCTION("""COMPUTED_VALUE"""),0.1116)</f>
        <v>0.1116</v>
      </c>
      <c r="L1736" s="19">
        <f>IFERROR(__xludf.DUMMYFUNCTION("""COMPUTED_VALUE"""),0.134)</f>
        <v>0.134</v>
      </c>
      <c r="M1736" s="18">
        <f>IFERROR(__xludf.DUMMYFUNCTION("""COMPUTED_VALUE"""),1.05)</f>
        <v>1.05</v>
      </c>
    </row>
    <row r="1737">
      <c r="A1737" s="13" t="str">
        <f>IFERROR(__xludf.DUMMYFUNCTION("""COMPUTED_VALUE"""),"товари")</f>
        <v>товари</v>
      </c>
      <c r="B1737" s="16" t="str">
        <f>IFERROR(__xludf.DUMMYFUNCTION("""COMPUTED_VALUE"""),"канцтовари")</f>
        <v>канцтовари</v>
      </c>
      <c r="C1737" s="16" t="str">
        <f>IFERROR(__xludf.DUMMYFUNCTION("""COMPUTED_VALUE"""),"шкільне приладдя")</f>
        <v>шкільне приладдя</v>
      </c>
      <c r="D1737" s="16" t="str">
        <f>IFERROR(__xludf.DUMMYFUNCTION("""COMPUTED_VALUE"""),"закладки для книг, наліпки")</f>
        <v>закладки для книг, наліпки</v>
      </c>
      <c r="E1737" s="16" t="str">
        <f>IFERROR(__xludf.DUMMYFUNCTION("""COMPUTED_VALUE"""),"закладки для книг, наліпки")</f>
        <v>закладки для книг, наліпки</v>
      </c>
      <c r="F1737" s="17">
        <f>IFERROR(__xludf.DUMMYFUNCTION("""COMPUTED_VALUE"""),3.0)</f>
        <v>3</v>
      </c>
      <c r="G1737" s="17" t="str">
        <f>IFERROR(__xludf.DUMMYFUNCTION("""COMPUTED_VALUE"""),"211119")</f>
        <v>211119</v>
      </c>
      <c r="H1737" s="17" t="str">
        <f>IFERROR(__xludf.DUMMYFUNCTION("""COMPUTED_VALUE"""),"закладки для книг, наліпки")</f>
        <v>закладки для книг, наліпки</v>
      </c>
      <c r="I1737" s="19">
        <f>IFERROR(__xludf.DUMMYFUNCTION("""COMPUTED_VALUE"""),0.0842)</f>
        <v>0.0842</v>
      </c>
      <c r="J1737" s="19">
        <f>IFERROR(__xludf.DUMMYFUNCTION("""COMPUTED_VALUE"""),0.1684)</f>
        <v>0.1684</v>
      </c>
      <c r="K1737" s="19">
        <f>IFERROR(__xludf.DUMMYFUNCTION("""COMPUTED_VALUE"""),0.2105)</f>
        <v>0.2105</v>
      </c>
      <c r="L1737" s="19">
        <f>IFERROR(__xludf.DUMMYFUNCTION("""COMPUTED_VALUE"""),0.2526)</f>
        <v>0.2526</v>
      </c>
      <c r="M1737" s="18">
        <f>IFERROR(__xludf.DUMMYFUNCTION("""COMPUTED_VALUE"""),1.05)</f>
        <v>1.05</v>
      </c>
    </row>
    <row r="1738">
      <c r="A1738" s="13" t="str">
        <f>IFERROR(__xludf.DUMMYFUNCTION("""COMPUTED_VALUE"""),"товари")</f>
        <v>товари</v>
      </c>
      <c r="B1738" s="16" t="str">
        <f>IFERROR(__xludf.DUMMYFUNCTION("""COMPUTED_VALUE"""),"канцтовари")</f>
        <v>канцтовари</v>
      </c>
      <c r="C1738" s="16" t="str">
        <f>IFERROR(__xludf.DUMMYFUNCTION("""COMPUTED_VALUE"""),"шкільне приладдя")</f>
        <v>шкільне приладдя</v>
      </c>
      <c r="D1738" s="16" t="str">
        <f>IFERROR(__xludf.DUMMYFUNCTION("""COMPUTED_VALUE"""),"зошити і щоденники")</f>
        <v>зошити і щоденники</v>
      </c>
      <c r="E1738" s="16" t="str">
        <f>IFERROR(__xludf.DUMMYFUNCTION("""COMPUTED_VALUE"""),"зошити і щоденники")</f>
        <v>зошити і щоденники</v>
      </c>
      <c r="F1738" s="17">
        <f>IFERROR(__xludf.DUMMYFUNCTION("""COMPUTED_VALUE"""),3.0)</f>
        <v>3</v>
      </c>
      <c r="G1738" s="17" t="str">
        <f>IFERROR(__xludf.DUMMYFUNCTION("""COMPUTED_VALUE"""),"211118")</f>
        <v>211118</v>
      </c>
      <c r="H1738" s="17" t="str">
        <f>IFERROR(__xludf.DUMMYFUNCTION("""COMPUTED_VALUE"""),"зошити і щоденники")</f>
        <v>зошити і щоденники</v>
      </c>
      <c r="I1738" s="19">
        <f>IFERROR(__xludf.DUMMYFUNCTION("""COMPUTED_VALUE"""),0.0748)</f>
        <v>0.0748</v>
      </c>
      <c r="J1738" s="19">
        <f>IFERROR(__xludf.DUMMYFUNCTION("""COMPUTED_VALUE"""),0.1496)</f>
        <v>0.1496</v>
      </c>
      <c r="K1738" s="19">
        <f>IFERROR(__xludf.DUMMYFUNCTION("""COMPUTED_VALUE"""),0.187)</f>
        <v>0.187</v>
      </c>
      <c r="L1738" s="19">
        <f>IFERROR(__xludf.DUMMYFUNCTION("""COMPUTED_VALUE"""),0.2244)</f>
        <v>0.2244</v>
      </c>
      <c r="M1738" s="18">
        <f>IFERROR(__xludf.DUMMYFUNCTION("""COMPUTED_VALUE"""),1.05)</f>
        <v>1.05</v>
      </c>
    </row>
    <row r="1739">
      <c r="A1739" s="13" t="str">
        <f>IFERROR(__xludf.DUMMYFUNCTION("""COMPUTED_VALUE"""),"товари")</f>
        <v>товари</v>
      </c>
      <c r="B1739" s="16" t="str">
        <f>IFERROR(__xludf.DUMMYFUNCTION("""COMPUTED_VALUE"""),"канцтовари")</f>
        <v>канцтовари</v>
      </c>
      <c r="C1739" s="16" t="str">
        <f>IFERROR(__xludf.DUMMYFUNCTION("""COMPUTED_VALUE"""),"все для діловодства")</f>
        <v>все для діловодства</v>
      </c>
      <c r="D1739" s="16" t="str">
        <f>IFERROR(__xludf.DUMMYFUNCTION("""COMPUTED_VALUE"""),"канцелярське покриття на стіл")</f>
        <v>канцелярське покриття на стіл</v>
      </c>
      <c r="E1739" s="16" t="str">
        <f>IFERROR(__xludf.DUMMYFUNCTION("""COMPUTED_VALUE"""),"канцелярське покриття на стіл")</f>
        <v>канцелярське покриття на стіл</v>
      </c>
      <c r="F1739" s="17">
        <f>IFERROR(__xludf.DUMMYFUNCTION("""COMPUTED_VALUE"""),3.0)</f>
        <v>3</v>
      </c>
      <c r="G1739" s="17" t="str">
        <f>IFERROR(__xludf.DUMMYFUNCTION("""COMPUTED_VALUE"""),"211132")</f>
        <v>211132</v>
      </c>
      <c r="H1739" s="17" t="str">
        <f>IFERROR(__xludf.DUMMYFUNCTION("""COMPUTED_VALUE"""),"канцелярське покриття на стіл")</f>
        <v>канцелярське покриття на стіл</v>
      </c>
      <c r="I1739" s="19">
        <f>IFERROR(__xludf.DUMMYFUNCTION("""COMPUTED_VALUE"""),0.0754)</f>
        <v>0.0754</v>
      </c>
      <c r="J1739" s="19">
        <f>IFERROR(__xludf.DUMMYFUNCTION("""COMPUTED_VALUE"""),0.1508)</f>
        <v>0.1508</v>
      </c>
      <c r="K1739" s="19">
        <f>IFERROR(__xludf.DUMMYFUNCTION("""COMPUTED_VALUE"""),0.1885)</f>
        <v>0.1885</v>
      </c>
      <c r="L1739" s="19">
        <f>IFERROR(__xludf.DUMMYFUNCTION("""COMPUTED_VALUE"""),0.2262)</f>
        <v>0.2262</v>
      </c>
      <c r="M1739" s="18">
        <f>IFERROR(__xludf.DUMMYFUNCTION("""COMPUTED_VALUE"""),1.05)</f>
        <v>1.05</v>
      </c>
    </row>
    <row r="1740">
      <c r="A1740" s="13" t="str">
        <f>IFERROR(__xludf.DUMMYFUNCTION("""COMPUTED_VALUE"""),"товари")</f>
        <v>товари</v>
      </c>
      <c r="B1740" s="16" t="str">
        <f>IFERROR(__xludf.DUMMYFUNCTION("""COMPUTED_VALUE"""),"канцтовари")</f>
        <v>канцтовари</v>
      </c>
      <c r="C1740" s="16" t="str">
        <f>IFERROR(__xludf.DUMMYFUNCTION("""COMPUTED_VALUE"""),"витратні матеріали для офісу")</f>
        <v>витратні матеріали для офісу</v>
      </c>
      <c r="D1740" s="16" t="str">
        <f>IFERROR(__xludf.DUMMYFUNCTION("""COMPUTED_VALUE"""),"канцелярський і пакувальний скотч ")</f>
        <v>канцелярський і пакувальний скотч </v>
      </c>
      <c r="E1740" s="16" t="str">
        <f>IFERROR(__xludf.DUMMYFUNCTION("""COMPUTED_VALUE"""),"канцелярський і пакувальний скотч ")</f>
        <v>канцелярський і пакувальний скотч </v>
      </c>
      <c r="F1740" s="17">
        <f>IFERROR(__xludf.DUMMYFUNCTION("""COMPUTED_VALUE"""),3.0)</f>
        <v>3</v>
      </c>
      <c r="G1740" s="17" t="str">
        <f>IFERROR(__xludf.DUMMYFUNCTION("""COMPUTED_VALUE"""),"211108")</f>
        <v>211108</v>
      </c>
      <c r="H1740" s="17" t="str">
        <f>IFERROR(__xludf.DUMMYFUNCTION("""COMPUTED_VALUE"""),"канцелярський і пакувальний скотч ")</f>
        <v>канцелярський і пакувальний скотч </v>
      </c>
      <c r="I1740" s="19">
        <f>IFERROR(__xludf.DUMMYFUNCTION("""COMPUTED_VALUE"""),0.0761)</f>
        <v>0.0761</v>
      </c>
      <c r="J1740" s="19">
        <f>IFERROR(__xludf.DUMMYFUNCTION("""COMPUTED_VALUE"""),0.1521)</f>
        <v>0.1521</v>
      </c>
      <c r="K1740" s="19">
        <f>IFERROR(__xludf.DUMMYFUNCTION("""COMPUTED_VALUE"""),0.1901)</f>
        <v>0.1901</v>
      </c>
      <c r="L1740" s="19">
        <f>IFERROR(__xludf.DUMMYFUNCTION("""COMPUTED_VALUE"""),0.2282)</f>
        <v>0.2282</v>
      </c>
      <c r="M1740" s="18">
        <f>IFERROR(__xludf.DUMMYFUNCTION("""COMPUTED_VALUE"""),1.8)</f>
        <v>1.8</v>
      </c>
    </row>
    <row r="1741">
      <c r="A1741" s="13" t="str">
        <f>IFERROR(__xludf.DUMMYFUNCTION("""COMPUTED_VALUE"""),"товари")</f>
        <v>товари</v>
      </c>
      <c r="B1741" s="16" t="str">
        <f>IFERROR(__xludf.DUMMYFUNCTION("""COMPUTED_VALUE"""),"канцтовари")</f>
        <v>канцтовари</v>
      </c>
      <c r="C1741" s="16" t="str">
        <f>IFERROR(__xludf.DUMMYFUNCTION("""COMPUTED_VALUE"""),"витратні матеріали для офісу")</f>
        <v>витратні матеріали для офісу</v>
      </c>
      <c r="D1741" s="16" t="str">
        <f>IFERROR(__xludf.DUMMYFUNCTION("""COMPUTED_VALUE"""),"канцелярський клей ")</f>
        <v>канцелярський клей </v>
      </c>
      <c r="E1741" s="16" t="str">
        <f>IFERROR(__xludf.DUMMYFUNCTION("""COMPUTED_VALUE"""),"канцелярський клей ")</f>
        <v>канцелярський клей </v>
      </c>
      <c r="F1741" s="17">
        <f>IFERROR(__xludf.DUMMYFUNCTION("""COMPUTED_VALUE"""),3.0)</f>
        <v>3</v>
      </c>
      <c r="G1741" s="17" t="str">
        <f>IFERROR(__xludf.DUMMYFUNCTION("""COMPUTED_VALUE"""),"211121")</f>
        <v>211121</v>
      </c>
      <c r="H1741" s="17" t="str">
        <f>IFERROR(__xludf.DUMMYFUNCTION("""COMPUTED_VALUE"""),"канцелярський клей ")</f>
        <v>канцелярський клей </v>
      </c>
      <c r="I1741" s="19">
        <f>IFERROR(__xludf.DUMMYFUNCTION("""COMPUTED_VALUE"""),0.0769)</f>
        <v>0.0769</v>
      </c>
      <c r="J1741" s="19">
        <f>IFERROR(__xludf.DUMMYFUNCTION("""COMPUTED_VALUE"""),0.1537)</f>
        <v>0.1537</v>
      </c>
      <c r="K1741" s="19">
        <f>IFERROR(__xludf.DUMMYFUNCTION("""COMPUTED_VALUE"""),0.1921)</f>
        <v>0.1921</v>
      </c>
      <c r="L1741" s="19">
        <f>IFERROR(__xludf.DUMMYFUNCTION("""COMPUTED_VALUE"""),0.2306)</f>
        <v>0.2306</v>
      </c>
      <c r="M1741" s="18">
        <f>IFERROR(__xludf.DUMMYFUNCTION("""COMPUTED_VALUE"""),1.63)</f>
        <v>1.63</v>
      </c>
    </row>
    <row r="1742">
      <c r="A1742" s="13" t="str">
        <f>IFERROR(__xludf.DUMMYFUNCTION("""COMPUTED_VALUE"""),"товари")</f>
        <v>товари</v>
      </c>
      <c r="B1742" s="16" t="str">
        <f>IFERROR(__xludf.DUMMYFUNCTION("""COMPUTED_VALUE"""),"канцтовари")</f>
        <v>канцтовари</v>
      </c>
      <c r="C1742" s="16" t="str">
        <f>IFERROR(__xludf.DUMMYFUNCTION("""COMPUTED_VALUE"""),"все для діловодства")</f>
        <v>все для діловодства</v>
      </c>
      <c r="D1742" s="16" t="str">
        <f>IFERROR(__xludf.DUMMYFUNCTION("""COMPUTED_VALUE"""),"канцелярські лотки ")</f>
        <v>канцелярські лотки </v>
      </c>
      <c r="E1742" s="16" t="str">
        <f>IFERROR(__xludf.DUMMYFUNCTION("""COMPUTED_VALUE"""),"канцелярські лотки ")</f>
        <v>канцелярські лотки </v>
      </c>
      <c r="F1742" s="17">
        <f>IFERROR(__xludf.DUMMYFUNCTION("""COMPUTED_VALUE"""),3.0)</f>
        <v>3</v>
      </c>
      <c r="G1742" s="17" t="str">
        <f>IFERROR(__xludf.DUMMYFUNCTION("""COMPUTED_VALUE"""),"211114")</f>
        <v>211114</v>
      </c>
      <c r="H1742" s="17" t="str">
        <f>IFERROR(__xludf.DUMMYFUNCTION("""COMPUTED_VALUE"""),"канцелярські лотки ")</f>
        <v>канцелярські лотки </v>
      </c>
      <c r="I1742" s="19">
        <f>IFERROR(__xludf.DUMMYFUNCTION("""COMPUTED_VALUE"""),0.0717)</f>
        <v>0.0717</v>
      </c>
      <c r="J1742" s="19">
        <f>IFERROR(__xludf.DUMMYFUNCTION("""COMPUTED_VALUE"""),0.1434)</f>
        <v>0.1434</v>
      </c>
      <c r="K1742" s="19">
        <f>IFERROR(__xludf.DUMMYFUNCTION("""COMPUTED_VALUE"""),0.1793)</f>
        <v>0.1793</v>
      </c>
      <c r="L1742" s="19">
        <f>IFERROR(__xludf.DUMMYFUNCTION("""COMPUTED_VALUE"""),0.2151)</f>
        <v>0.2151</v>
      </c>
      <c r="M1742" s="18">
        <f>IFERROR(__xludf.DUMMYFUNCTION("""COMPUTED_VALUE"""),2.7)</f>
        <v>2.7</v>
      </c>
    </row>
    <row r="1743">
      <c r="A1743" s="13" t="str">
        <f>IFERROR(__xludf.DUMMYFUNCTION("""COMPUTED_VALUE"""),"товари")</f>
        <v>товари</v>
      </c>
      <c r="B1743" s="16" t="str">
        <f>IFERROR(__xludf.DUMMYFUNCTION("""COMPUTED_VALUE"""),"канцтовари")</f>
        <v>канцтовари</v>
      </c>
      <c r="C1743" s="16" t="str">
        <f>IFERROR(__xludf.DUMMYFUNCTION("""COMPUTED_VALUE"""),"витратні матеріали для офісу")</f>
        <v>витратні матеріали для офісу</v>
      </c>
      <c r="D1743" s="16" t="str">
        <f>IFERROR(__xludf.DUMMYFUNCTION("""COMPUTED_VALUE"""),"канцелярські ножі і ножиці ")</f>
        <v>канцелярські ножі і ножиці </v>
      </c>
      <c r="E1743" s="16" t="str">
        <f>IFERROR(__xludf.DUMMYFUNCTION("""COMPUTED_VALUE"""),"канцелярські ножі і ножиці ")</f>
        <v>канцелярські ножі і ножиці </v>
      </c>
      <c r="F1743" s="17">
        <f>IFERROR(__xludf.DUMMYFUNCTION("""COMPUTED_VALUE"""),3.0)</f>
        <v>3</v>
      </c>
      <c r="G1743" s="17" t="str">
        <f>IFERROR(__xludf.DUMMYFUNCTION("""COMPUTED_VALUE"""),"211116")</f>
        <v>211116</v>
      </c>
      <c r="H1743" s="17" t="str">
        <f>IFERROR(__xludf.DUMMYFUNCTION("""COMPUTED_VALUE"""),"канцелярські ножі і ножиці ")</f>
        <v>канцелярські ножі і ножиці </v>
      </c>
      <c r="I1743" s="19">
        <f>IFERROR(__xludf.DUMMYFUNCTION("""COMPUTED_VALUE"""),0.0697)</f>
        <v>0.0697</v>
      </c>
      <c r="J1743" s="19">
        <f>IFERROR(__xludf.DUMMYFUNCTION("""COMPUTED_VALUE"""),0.1394)</f>
        <v>0.1394</v>
      </c>
      <c r="K1743" s="19">
        <f>IFERROR(__xludf.DUMMYFUNCTION("""COMPUTED_VALUE"""),0.1743)</f>
        <v>0.1743</v>
      </c>
      <c r="L1743" s="19">
        <f>IFERROR(__xludf.DUMMYFUNCTION("""COMPUTED_VALUE"""),0.2091)</f>
        <v>0.2091</v>
      </c>
      <c r="M1743" s="18">
        <f>IFERROR(__xludf.DUMMYFUNCTION("""COMPUTED_VALUE"""),1.05)</f>
        <v>1.05</v>
      </c>
    </row>
    <row r="1744">
      <c r="A1744" s="13" t="str">
        <f>IFERROR(__xludf.DUMMYFUNCTION("""COMPUTED_VALUE"""),"товари")</f>
        <v>товари</v>
      </c>
      <c r="B1744" s="16" t="str">
        <f>IFERROR(__xludf.DUMMYFUNCTION("""COMPUTED_VALUE"""),"канцтовари")</f>
        <v>канцтовари</v>
      </c>
      <c r="C1744" s="16" t="str">
        <f>IFERROR(__xludf.DUMMYFUNCTION("""COMPUTED_VALUE"""),"письмове приладдя")</f>
        <v>письмове приладдя</v>
      </c>
      <c r="D1744" s="16" t="str">
        <f>IFERROR(__xludf.DUMMYFUNCTION("""COMPUTED_VALUE"""),"канцелярські ручки ")</f>
        <v>канцелярські ручки </v>
      </c>
      <c r="E1744" s="16" t="str">
        <f>IFERROR(__xludf.DUMMYFUNCTION("""COMPUTED_VALUE"""),"канцелярські ручки ")</f>
        <v>канцелярські ручки </v>
      </c>
      <c r="F1744" s="17">
        <f>IFERROR(__xludf.DUMMYFUNCTION("""COMPUTED_VALUE"""),3.0)</f>
        <v>3</v>
      </c>
      <c r="G1744" s="17" t="str">
        <f>IFERROR(__xludf.DUMMYFUNCTION("""COMPUTED_VALUE"""),"211129")</f>
        <v>211129</v>
      </c>
      <c r="H1744" s="17" t="str">
        <f>IFERROR(__xludf.DUMMYFUNCTION("""COMPUTED_VALUE"""),"канцелярські ручки ")</f>
        <v>канцелярські ручки </v>
      </c>
      <c r="I1744" s="19">
        <f>IFERROR(__xludf.DUMMYFUNCTION("""COMPUTED_VALUE"""),0.0762)</f>
        <v>0.0762</v>
      </c>
      <c r="J1744" s="19">
        <f>IFERROR(__xludf.DUMMYFUNCTION("""COMPUTED_VALUE"""),0.1524)</f>
        <v>0.1524</v>
      </c>
      <c r="K1744" s="19">
        <f>IFERROR(__xludf.DUMMYFUNCTION("""COMPUTED_VALUE"""),0.1905)</f>
        <v>0.1905</v>
      </c>
      <c r="L1744" s="19">
        <f>IFERROR(__xludf.DUMMYFUNCTION("""COMPUTED_VALUE"""),0.2286)</f>
        <v>0.2286</v>
      </c>
      <c r="M1744" s="18">
        <f>IFERROR(__xludf.DUMMYFUNCTION("""COMPUTED_VALUE"""),1.8)</f>
        <v>1.8</v>
      </c>
    </row>
    <row r="1745">
      <c r="A1745" s="13" t="str">
        <f>IFERROR(__xludf.DUMMYFUNCTION("""COMPUTED_VALUE"""),"товари")</f>
        <v>товари</v>
      </c>
      <c r="B1745" s="16" t="str">
        <f>IFERROR(__xludf.DUMMYFUNCTION("""COMPUTED_VALUE"""),"канцтовари")</f>
        <v>канцтовари</v>
      </c>
      <c r="C1745" s="16" t="str">
        <f>IFERROR(__xludf.DUMMYFUNCTION("""COMPUTED_VALUE"""),"витратні матеріали для офісу")</f>
        <v>витратні матеріали для офісу</v>
      </c>
      <c r="D1745" s="16" t="str">
        <f>IFERROR(__xludf.DUMMYFUNCTION("""COMPUTED_VALUE"""),"канцелярські скріпки/кнопки ")</f>
        <v>канцелярські скріпки/кнопки </v>
      </c>
      <c r="E1745" s="16" t="str">
        <f>IFERROR(__xludf.DUMMYFUNCTION("""COMPUTED_VALUE"""),"канцелярські скріпки/кнопки ")</f>
        <v>канцелярські скріпки/кнопки </v>
      </c>
      <c r="F1745" s="17">
        <f>IFERROR(__xludf.DUMMYFUNCTION("""COMPUTED_VALUE"""),3.0)</f>
        <v>3</v>
      </c>
      <c r="G1745" s="17" t="str">
        <f>IFERROR(__xludf.DUMMYFUNCTION("""COMPUTED_VALUE"""),"211101")</f>
        <v>211101</v>
      </c>
      <c r="H1745" s="17" t="str">
        <f>IFERROR(__xludf.DUMMYFUNCTION("""COMPUTED_VALUE"""),"канцелярські скріпки/кнопки ")</f>
        <v>канцелярські скріпки/кнопки </v>
      </c>
      <c r="I1745" s="19">
        <f>IFERROR(__xludf.DUMMYFUNCTION("""COMPUTED_VALUE"""),0.0774)</f>
        <v>0.0774</v>
      </c>
      <c r="J1745" s="19">
        <f>IFERROR(__xludf.DUMMYFUNCTION("""COMPUTED_VALUE"""),0.1547)</f>
        <v>0.1547</v>
      </c>
      <c r="K1745" s="19">
        <f>IFERROR(__xludf.DUMMYFUNCTION("""COMPUTED_VALUE"""),0.1934)</f>
        <v>0.1934</v>
      </c>
      <c r="L1745" s="19">
        <f>IFERROR(__xludf.DUMMYFUNCTION("""COMPUTED_VALUE"""),0.2321)</f>
        <v>0.2321</v>
      </c>
      <c r="M1745" s="18">
        <f>IFERROR(__xludf.DUMMYFUNCTION("""COMPUTED_VALUE"""),1.26)</f>
        <v>1.26</v>
      </c>
    </row>
    <row r="1746">
      <c r="A1746" s="13" t="str">
        <f>IFERROR(__xludf.DUMMYFUNCTION("""COMPUTED_VALUE"""),"товари")</f>
        <v>товари</v>
      </c>
      <c r="B1746" s="16" t="str">
        <f>IFERROR(__xludf.DUMMYFUNCTION("""COMPUTED_VALUE"""),"канцтовари")</f>
        <v>канцтовари</v>
      </c>
      <c r="C1746" s="16" t="str">
        <f>IFERROR(__xludf.DUMMYFUNCTION("""COMPUTED_VALUE"""),"витратні матеріали для офісу")</f>
        <v>витратні матеріали для офісу</v>
      </c>
      <c r="D1746" s="16" t="str">
        <f>IFERROR(__xludf.DUMMYFUNCTION("""COMPUTED_VALUE"""),"канцелярські степлери ")</f>
        <v>канцелярські степлери </v>
      </c>
      <c r="E1746" s="16" t="str">
        <f>IFERROR(__xludf.DUMMYFUNCTION("""COMPUTED_VALUE"""),"канцелярські степлери ")</f>
        <v>канцелярські степлери </v>
      </c>
      <c r="F1746" s="17">
        <f>IFERROR(__xludf.DUMMYFUNCTION("""COMPUTED_VALUE"""),3.0)</f>
        <v>3</v>
      </c>
      <c r="G1746" s="17" t="str">
        <f>IFERROR(__xludf.DUMMYFUNCTION("""COMPUTED_VALUE"""),"211126")</f>
        <v>211126</v>
      </c>
      <c r="H1746" s="17" t="str">
        <f>IFERROR(__xludf.DUMMYFUNCTION("""COMPUTED_VALUE"""),"канцелярські степлери ")</f>
        <v>канцелярські степлери </v>
      </c>
      <c r="I1746" s="19">
        <f>IFERROR(__xludf.DUMMYFUNCTION("""COMPUTED_VALUE"""),0.0727)</f>
        <v>0.0727</v>
      </c>
      <c r="J1746" s="19">
        <f>IFERROR(__xludf.DUMMYFUNCTION("""COMPUTED_VALUE"""),0.1453)</f>
        <v>0.1453</v>
      </c>
      <c r="K1746" s="19">
        <f>IFERROR(__xludf.DUMMYFUNCTION("""COMPUTED_VALUE"""),0.1816)</f>
        <v>0.1816</v>
      </c>
      <c r="L1746" s="19">
        <f>IFERROR(__xludf.DUMMYFUNCTION("""COMPUTED_VALUE"""),0.218)</f>
        <v>0.218</v>
      </c>
      <c r="M1746" s="18">
        <f>IFERROR(__xludf.DUMMYFUNCTION("""COMPUTED_VALUE"""),1.26)</f>
        <v>1.26</v>
      </c>
    </row>
    <row r="1747">
      <c r="A1747" s="13" t="str">
        <f>IFERROR(__xludf.DUMMYFUNCTION("""COMPUTED_VALUE"""),"товари")</f>
        <v>товари</v>
      </c>
      <c r="B1747" s="16" t="str">
        <f>IFERROR(__xludf.DUMMYFUNCTION("""COMPUTED_VALUE"""),"канцтовари")</f>
        <v>канцтовари</v>
      </c>
      <c r="C1747" s="16" t="str">
        <f>IFERROR(__xludf.DUMMYFUNCTION("""COMPUTED_VALUE"""),"канцтовари, загальне")</f>
        <v>канцтовари, загальне</v>
      </c>
      <c r="D1747" s="16" t="str">
        <f>IFERROR(__xludf.DUMMYFUNCTION("""COMPUTED_VALUE"""),"канцтовари, загальне")</f>
        <v>канцтовари, загальне</v>
      </c>
      <c r="E1747" s="16" t="str">
        <f>IFERROR(__xludf.DUMMYFUNCTION("""COMPUTED_VALUE"""),"канцтовари, загальне")</f>
        <v>канцтовари, загальне</v>
      </c>
      <c r="F1747" s="17">
        <f>IFERROR(__xludf.DUMMYFUNCTION("""COMPUTED_VALUE"""),2.0)</f>
        <v>2</v>
      </c>
      <c r="G1747" s="17" t="str">
        <f>IFERROR(__xludf.DUMMYFUNCTION("""COMPUTED_VALUE"""),"9201")</f>
        <v>9201</v>
      </c>
      <c r="H1747" s="17" t="str">
        <f>IFERROR(__xludf.DUMMYFUNCTION("""COMPUTED_VALUE"""),"канцтовари, загальне")</f>
        <v>канцтовари, загальне</v>
      </c>
      <c r="I1747" s="19">
        <f>IFERROR(__xludf.DUMMYFUNCTION("""COMPUTED_VALUE"""),0.125)</f>
        <v>0.125</v>
      </c>
      <c r="J1747" s="19">
        <f>IFERROR(__xludf.DUMMYFUNCTION("""COMPUTED_VALUE"""),0.25)</f>
        <v>0.25</v>
      </c>
      <c r="K1747" s="19">
        <f>IFERROR(__xludf.DUMMYFUNCTION("""COMPUTED_VALUE"""),0.3125)</f>
        <v>0.3125</v>
      </c>
      <c r="L1747" s="19">
        <f>IFERROR(__xludf.DUMMYFUNCTION("""COMPUTED_VALUE"""),0.375)</f>
        <v>0.375</v>
      </c>
      <c r="M1747" s="18">
        <f>IFERROR(__xludf.DUMMYFUNCTION("""COMPUTED_VALUE"""),4.33)</f>
        <v>4.33</v>
      </c>
    </row>
    <row r="1748">
      <c r="A1748" s="13" t="str">
        <f>IFERROR(__xludf.DUMMYFUNCTION("""COMPUTED_VALUE"""),"товари")</f>
        <v>товари</v>
      </c>
      <c r="B1748" s="16" t="str">
        <f>IFERROR(__xludf.DUMMYFUNCTION("""COMPUTED_VALUE"""),"канцтовари")</f>
        <v>канцтовари</v>
      </c>
      <c r="C1748" s="16" t="str">
        <f>IFERROR(__xludf.DUMMYFUNCTION("""COMPUTED_VALUE"""),"папір та паперові вироби")</f>
        <v>папір та паперові вироби</v>
      </c>
      <c r="D1748" s="16" t="str">
        <f>IFERROR(__xludf.DUMMYFUNCTION("""COMPUTED_VALUE"""),"конверти ")</f>
        <v>конверти </v>
      </c>
      <c r="E1748" s="16" t="str">
        <f>IFERROR(__xludf.DUMMYFUNCTION("""COMPUTED_VALUE"""),"конверти ")</f>
        <v>конверти </v>
      </c>
      <c r="F1748" s="17">
        <f>IFERROR(__xludf.DUMMYFUNCTION("""COMPUTED_VALUE"""),3.0)</f>
        <v>3</v>
      </c>
      <c r="G1748" s="17" t="str">
        <f>IFERROR(__xludf.DUMMYFUNCTION("""COMPUTED_VALUE"""),"211103")</f>
        <v>211103</v>
      </c>
      <c r="H1748" s="17" t="str">
        <f>IFERROR(__xludf.DUMMYFUNCTION("""COMPUTED_VALUE"""),"конверти ")</f>
        <v>конверти </v>
      </c>
      <c r="I1748" s="19">
        <f>IFERROR(__xludf.DUMMYFUNCTION("""COMPUTED_VALUE"""),0.0727)</f>
        <v>0.0727</v>
      </c>
      <c r="J1748" s="19">
        <f>IFERROR(__xludf.DUMMYFUNCTION("""COMPUTED_VALUE"""),0.1453)</f>
        <v>0.1453</v>
      </c>
      <c r="K1748" s="19">
        <f>IFERROR(__xludf.DUMMYFUNCTION("""COMPUTED_VALUE"""),0.1816)</f>
        <v>0.1816</v>
      </c>
      <c r="L1748" s="19">
        <f>IFERROR(__xludf.DUMMYFUNCTION("""COMPUTED_VALUE"""),0.218)</f>
        <v>0.218</v>
      </c>
      <c r="M1748" s="18">
        <f>IFERROR(__xludf.DUMMYFUNCTION("""COMPUTED_VALUE"""),1.26)</f>
        <v>1.26</v>
      </c>
    </row>
    <row r="1749">
      <c r="A1749" s="13" t="str">
        <f>IFERROR(__xludf.DUMMYFUNCTION("""COMPUTED_VALUE"""),"товари")</f>
        <v>товари</v>
      </c>
      <c r="B1749" s="16" t="str">
        <f>IFERROR(__xludf.DUMMYFUNCTION("""COMPUTED_VALUE"""),"канцтовари")</f>
        <v>канцтовари</v>
      </c>
      <c r="C1749" s="16" t="str">
        <f>IFERROR(__xludf.DUMMYFUNCTION("""COMPUTED_VALUE"""),"письмове приладдя")</f>
        <v>письмове приладдя</v>
      </c>
      <c r="D1749" s="16" t="str">
        <f>IFERROR(__xludf.DUMMYFUNCTION("""COMPUTED_VALUE"""),"коректори")</f>
        <v>коректори</v>
      </c>
      <c r="E1749" s="16" t="str">
        <f>IFERROR(__xludf.DUMMYFUNCTION("""COMPUTED_VALUE"""),"коректори")</f>
        <v>коректори</v>
      </c>
      <c r="F1749" s="17">
        <f>IFERROR(__xludf.DUMMYFUNCTION("""COMPUTED_VALUE"""),3.0)</f>
        <v>3</v>
      </c>
      <c r="G1749" s="17" t="str">
        <f>IFERROR(__xludf.DUMMYFUNCTION("""COMPUTED_VALUE"""),"211109")</f>
        <v>211109</v>
      </c>
      <c r="H1749" s="17" t="str">
        <f>IFERROR(__xludf.DUMMYFUNCTION("""COMPUTED_VALUE"""),"коректори")</f>
        <v>коректори</v>
      </c>
      <c r="I1749" s="19">
        <f>IFERROR(__xludf.DUMMYFUNCTION("""COMPUTED_VALUE"""),0.0758)</f>
        <v>0.0758</v>
      </c>
      <c r="J1749" s="19">
        <f>IFERROR(__xludf.DUMMYFUNCTION("""COMPUTED_VALUE"""),0.1516)</f>
        <v>0.1516</v>
      </c>
      <c r="K1749" s="19">
        <f>IFERROR(__xludf.DUMMYFUNCTION("""COMPUTED_VALUE"""),0.1895)</f>
        <v>0.1895</v>
      </c>
      <c r="L1749" s="19">
        <f>IFERROR(__xludf.DUMMYFUNCTION("""COMPUTED_VALUE"""),0.2274)</f>
        <v>0.2274</v>
      </c>
      <c r="M1749" s="18">
        <f>IFERROR(__xludf.DUMMYFUNCTION("""COMPUTED_VALUE"""),1.26)</f>
        <v>1.26</v>
      </c>
    </row>
    <row r="1750">
      <c r="A1750" s="13" t="str">
        <f>IFERROR(__xludf.DUMMYFUNCTION("""COMPUTED_VALUE"""),"товари")</f>
        <v>товари</v>
      </c>
      <c r="B1750" s="16" t="str">
        <f>IFERROR(__xludf.DUMMYFUNCTION("""COMPUTED_VALUE"""),"канцтовари")</f>
        <v>канцтовари</v>
      </c>
      <c r="C1750" s="16" t="str">
        <f>IFERROR(__xludf.DUMMYFUNCTION("""COMPUTED_VALUE"""),"шкільне приладдя")</f>
        <v>шкільне приладдя</v>
      </c>
      <c r="D1750" s="16" t="str">
        <f>IFERROR(__xludf.DUMMYFUNCTION("""COMPUTED_VALUE"""),"лінійки і кутники")</f>
        <v>лінійки і кутники</v>
      </c>
      <c r="E1750" s="16" t="str">
        <f>IFERROR(__xludf.DUMMYFUNCTION("""COMPUTED_VALUE"""),"лінійки і кутники")</f>
        <v>лінійки і кутники</v>
      </c>
      <c r="F1750" s="17">
        <f>IFERROR(__xludf.DUMMYFUNCTION("""COMPUTED_VALUE"""),3.0)</f>
        <v>3</v>
      </c>
      <c r="G1750" s="17" t="str">
        <f>IFERROR(__xludf.DUMMYFUNCTION("""COMPUTED_VALUE"""),"21111113")</f>
        <v>21111113</v>
      </c>
      <c r="H1750" s="17" t="str">
        <f>IFERROR(__xludf.DUMMYFUNCTION("""COMPUTED_VALUE"""),"лінійки і кутники")</f>
        <v>лінійки і кутники</v>
      </c>
      <c r="I1750" s="19">
        <f>IFERROR(__xludf.DUMMYFUNCTION("""COMPUTED_VALUE"""),0.0757)</f>
        <v>0.0757</v>
      </c>
      <c r="J1750" s="19">
        <f>IFERROR(__xludf.DUMMYFUNCTION("""COMPUTED_VALUE"""),0.1514)</f>
        <v>0.1514</v>
      </c>
      <c r="K1750" s="19">
        <f>IFERROR(__xludf.DUMMYFUNCTION("""COMPUTED_VALUE"""),0.1893)</f>
        <v>0.1893</v>
      </c>
      <c r="L1750" s="19">
        <f>IFERROR(__xludf.DUMMYFUNCTION("""COMPUTED_VALUE"""),0.2271)</f>
        <v>0.2271</v>
      </c>
      <c r="M1750" s="18">
        <f>IFERROR(__xludf.DUMMYFUNCTION("""COMPUTED_VALUE"""),1.05)</f>
        <v>1.05</v>
      </c>
    </row>
    <row r="1751">
      <c r="A1751" s="13" t="str">
        <f>IFERROR(__xludf.DUMMYFUNCTION("""COMPUTED_VALUE"""),"товари")</f>
        <v>товари</v>
      </c>
      <c r="B1751" s="16" t="str">
        <f>IFERROR(__xludf.DUMMYFUNCTION("""COMPUTED_VALUE"""),"канцтовари")</f>
        <v>канцтовари</v>
      </c>
      <c r="C1751" s="16" t="str">
        <f>IFERROR(__xludf.DUMMYFUNCTION("""COMPUTED_VALUE"""),"письмове приладдя")</f>
        <v>письмове приладдя</v>
      </c>
      <c r="D1751" s="16" t="str">
        <f>IFERROR(__xludf.DUMMYFUNCTION("""COMPUTED_VALUE"""),"маркери, фломастери")</f>
        <v>маркери, фломастери</v>
      </c>
      <c r="E1751" s="16" t="str">
        <f>IFERROR(__xludf.DUMMYFUNCTION("""COMPUTED_VALUE"""),"маркери, фломастери")</f>
        <v>маркери, фломастери</v>
      </c>
      <c r="F1751" s="17">
        <f>IFERROR(__xludf.DUMMYFUNCTION("""COMPUTED_VALUE"""),3.0)</f>
        <v>3</v>
      </c>
      <c r="G1751" s="17" t="str">
        <f>IFERROR(__xludf.DUMMYFUNCTION("""COMPUTED_VALUE"""),"21110705")</f>
        <v>21110705</v>
      </c>
      <c r="H1751" s="17" t="str">
        <f>IFERROR(__xludf.DUMMYFUNCTION("""COMPUTED_VALUE"""),"маркери, фломастери")</f>
        <v>маркери, фломастери</v>
      </c>
      <c r="I1751" s="19">
        <f>IFERROR(__xludf.DUMMYFUNCTION("""COMPUTED_VALUE"""),0.0762)</f>
        <v>0.0762</v>
      </c>
      <c r="J1751" s="19">
        <f>IFERROR(__xludf.DUMMYFUNCTION("""COMPUTED_VALUE"""),0.1523)</f>
        <v>0.1523</v>
      </c>
      <c r="K1751" s="19">
        <f>IFERROR(__xludf.DUMMYFUNCTION("""COMPUTED_VALUE"""),0.1904)</f>
        <v>0.1904</v>
      </c>
      <c r="L1751" s="19">
        <f>IFERROR(__xludf.DUMMYFUNCTION("""COMPUTED_VALUE"""),0.2285)</f>
        <v>0.2285</v>
      </c>
      <c r="M1751" s="18">
        <f>IFERROR(__xludf.DUMMYFUNCTION("""COMPUTED_VALUE"""),3.33)</f>
        <v>3.33</v>
      </c>
    </row>
    <row r="1752">
      <c r="A1752" s="13" t="str">
        <f>IFERROR(__xludf.DUMMYFUNCTION("""COMPUTED_VALUE"""),"товари")</f>
        <v>товари</v>
      </c>
      <c r="B1752" s="16" t="str">
        <f>IFERROR(__xludf.DUMMYFUNCTION("""COMPUTED_VALUE"""),"канцтовари")</f>
        <v>канцтовари</v>
      </c>
      <c r="C1752" s="16" t="str">
        <f>IFERROR(__xludf.DUMMYFUNCTION("""COMPUTED_VALUE"""),"все для діловодства")</f>
        <v>все для діловодства</v>
      </c>
      <c r="D1752" s="16" t="str">
        <f>IFERROR(__xludf.DUMMYFUNCTION("""COMPUTED_VALUE"""),"набори канцтоварів")</f>
        <v>набори канцтоварів</v>
      </c>
      <c r="E1752" s="16" t="str">
        <f>IFERROR(__xludf.DUMMYFUNCTION("""COMPUTED_VALUE"""),"набори канцтоварів")</f>
        <v>набори канцтоварів</v>
      </c>
      <c r="F1752" s="17">
        <f>IFERROR(__xludf.DUMMYFUNCTION("""COMPUTED_VALUE"""),3.0)</f>
        <v>3</v>
      </c>
      <c r="G1752" s="17" t="str">
        <f>IFERROR(__xludf.DUMMYFUNCTION("""COMPUTED_VALUE"""),"21110711")</f>
        <v>21110711</v>
      </c>
      <c r="H1752" s="17" t="str">
        <f>IFERROR(__xludf.DUMMYFUNCTION("""COMPUTED_VALUE"""),"набори канцтоварів")</f>
        <v>набори канцтоварів</v>
      </c>
      <c r="I1752" s="19">
        <f>IFERROR(__xludf.DUMMYFUNCTION("""COMPUTED_VALUE"""),0.0709)</f>
        <v>0.0709</v>
      </c>
      <c r="J1752" s="19">
        <f>IFERROR(__xludf.DUMMYFUNCTION("""COMPUTED_VALUE"""),0.1417)</f>
        <v>0.1417</v>
      </c>
      <c r="K1752" s="19">
        <f>IFERROR(__xludf.DUMMYFUNCTION("""COMPUTED_VALUE"""),0.1771)</f>
        <v>0.1771</v>
      </c>
      <c r="L1752" s="19">
        <f>IFERROR(__xludf.DUMMYFUNCTION("""COMPUTED_VALUE"""),0.2126)</f>
        <v>0.2126</v>
      </c>
      <c r="M1752" s="18">
        <f>IFERROR(__xludf.DUMMYFUNCTION("""COMPUTED_VALUE"""),2.61)</f>
        <v>2.61</v>
      </c>
    </row>
    <row r="1753">
      <c r="A1753" s="13" t="str">
        <f>IFERROR(__xludf.DUMMYFUNCTION("""COMPUTED_VALUE"""),"товари")</f>
        <v>товари</v>
      </c>
      <c r="B1753" s="16" t="str">
        <f>IFERROR(__xludf.DUMMYFUNCTION("""COMPUTED_VALUE"""),"канцтовари")</f>
        <v>канцтовари</v>
      </c>
      <c r="C1753" s="16" t="str">
        <f>IFERROR(__xludf.DUMMYFUNCTION("""COMPUTED_VALUE"""),"шкільне приладдя")</f>
        <v>шкільне приладдя</v>
      </c>
      <c r="D1753" s="16" t="str">
        <f>IFERROR(__xludf.DUMMYFUNCTION("""COMPUTED_VALUE"""),"набори першокласника")</f>
        <v>набори першокласника</v>
      </c>
      <c r="E1753" s="16" t="str">
        <f>IFERROR(__xludf.DUMMYFUNCTION("""COMPUTED_VALUE"""),"набори першокласника")</f>
        <v>набори першокласника</v>
      </c>
      <c r="F1753" s="17">
        <f>IFERROR(__xludf.DUMMYFUNCTION("""COMPUTED_VALUE"""),3.0)</f>
        <v>3</v>
      </c>
      <c r="G1753" s="17" t="str">
        <f>IFERROR(__xludf.DUMMYFUNCTION("""COMPUTED_VALUE"""),"15011908")</f>
        <v>15011908</v>
      </c>
      <c r="H1753" s="17" t="str">
        <f>IFERROR(__xludf.DUMMYFUNCTION("""COMPUTED_VALUE"""),"набори першокласника")</f>
        <v>набори першокласника</v>
      </c>
      <c r="I1753" s="19">
        <f>IFERROR(__xludf.DUMMYFUNCTION("""COMPUTED_VALUE"""),0.0765)</f>
        <v>0.0765</v>
      </c>
      <c r="J1753" s="19">
        <f>IFERROR(__xludf.DUMMYFUNCTION("""COMPUTED_VALUE"""),0.1529)</f>
        <v>0.1529</v>
      </c>
      <c r="K1753" s="19">
        <f>IFERROR(__xludf.DUMMYFUNCTION("""COMPUTED_VALUE"""),0.1911)</f>
        <v>0.1911</v>
      </c>
      <c r="L1753" s="19">
        <f>IFERROR(__xludf.DUMMYFUNCTION("""COMPUTED_VALUE"""),0.2294)</f>
        <v>0.2294</v>
      </c>
      <c r="M1753" s="18">
        <f>IFERROR(__xludf.DUMMYFUNCTION("""COMPUTED_VALUE"""),1.63)</f>
        <v>1.63</v>
      </c>
    </row>
    <row r="1754">
      <c r="A1754" s="13" t="str">
        <f>IFERROR(__xludf.DUMMYFUNCTION("""COMPUTED_VALUE"""),"товари")</f>
        <v>товари</v>
      </c>
      <c r="B1754" s="16" t="str">
        <f>IFERROR(__xludf.DUMMYFUNCTION("""COMPUTED_VALUE"""),"канцтовари")</f>
        <v>канцтовари</v>
      </c>
      <c r="C1754" s="16" t="str">
        <f>IFERROR(__xludf.DUMMYFUNCTION("""COMPUTED_VALUE"""),"шкільне приладдя")</f>
        <v>шкільне приладдя</v>
      </c>
      <c r="D1754" s="16" t="str">
        <f>IFERROR(__xludf.DUMMYFUNCTION("""COMPUTED_VALUE"""),"нотні зошити")</f>
        <v>нотні зошити</v>
      </c>
      <c r="E1754" s="16" t="str">
        <f>IFERROR(__xludf.DUMMYFUNCTION("""COMPUTED_VALUE"""),"нотні зошити")</f>
        <v>нотні зошити</v>
      </c>
      <c r="F1754" s="17">
        <f>IFERROR(__xludf.DUMMYFUNCTION("""COMPUTED_VALUE"""),3.0)</f>
        <v>3</v>
      </c>
      <c r="G1754" s="17" t="str">
        <f>IFERROR(__xludf.DUMMYFUNCTION("""COMPUTED_VALUE"""),"15011906")</f>
        <v>15011906</v>
      </c>
      <c r="H1754" s="17" t="str">
        <f>IFERROR(__xludf.DUMMYFUNCTION("""COMPUTED_VALUE"""),"нотні зошити")</f>
        <v>нотні зошити</v>
      </c>
      <c r="I1754" s="19">
        <f>IFERROR(__xludf.DUMMYFUNCTION("""COMPUTED_VALUE"""),0.0447)</f>
        <v>0.0447</v>
      </c>
      <c r="J1754" s="19">
        <f>IFERROR(__xludf.DUMMYFUNCTION("""COMPUTED_VALUE"""),0.0893)</f>
        <v>0.0893</v>
      </c>
      <c r="K1754" s="19">
        <f>IFERROR(__xludf.DUMMYFUNCTION("""COMPUTED_VALUE"""),0.1116)</f>
        <v>0.1116</v>
      </c>
      <c r="L1754" s="19">
        <f>IFERROR(__xludf.DUMMYFUNCTION("""COMPUTED_VALUE"""),0.134)</f>
        <v>0.134</v>
      </c>
      <c r="M1754" s="18">
        <f>IFERROR(__xludf.DUMMYFUNCTION("""COMPUTED_VALUE"""),1.05)</f>
        <v>1.05</v>
      </c>
    </row>
    <row r="1755">
      <c r="A1755" s="13" t="str">
        <f>IFERROR(__xludf.DUMMYFUNCTION("""COMPUTED_VALUE"""),"товари")</f>
        <v>товари</v>
      </c>
      <c r="B1755" s="16" t="str">
        <f>IFERROR(__xludf.DUMMYFUNCTION("""COMPUTED_VALUE"""),"канцтовари")</f>
        <v>канцтовари</v>
      </c>
      <c r="C1755" s="16" t="str">
        <f>IFERROR(__xludf.DUMMYFUNCTION("""COMPUTED_VALUE"""),"шкільне приладдя")</f>
        <v>шкільне приладдя</v>
      </c>
      <c r="D1755" s="16" t="str">
        <f>IFERROR(__xludf.DUMMYFUNCTION("""COMPUTED_VALUE"""),"обкладинки для книжок, зошитів")</f>
        <v>обкладинки для книжок, зошитів</v>
      </c>
      <c r="E1755" s="16" t="str">
        <f>IFERROR(__xludf.DUMMYFUNCTION("""COMPUTED_VALUE"""),"обкладинки для книжок, зошитів")</f>
        <v>обкладинки для книжок, зошитів</v>
      </c>
      <c r="F1755" s="17">
        <f>IFERROR(__xludf.DUMMYFUNCTION("""COMPUTED_VALUE"""),3.0)</f>
        <v>3</v>
      </c>
      <c r="G1755" s="17" t="str">
        <f>IFERROR(__xludf.DUMMYFUNCTION("""COMPUTED_VALUE"""),"15011907")</f>
        <v>15011907</v>
      </c>
      <c r="H1755" s="17" t="str">
        <f>IFERROR(__xludf.DUMMYFUNCTION("""COMPUTED_VALUE"""),"обкладинки для книжок, зошитів")</f>
        <v>обкладинки для книжок, зошитів</v>
      </c>
      <c r="I1755" s="19">
        <f>IFERROR(__xludf.DUMMYFUNCTION("""COMPUTED_VALUE"""),0.0738)</f>
        <v>0.0738</v>
      </c>
      <c r="J1755" s="19">
        <f>IFERROR(__xludf.DUMMYFUNCTION("""COMPUTED_VALUE"""),0.1475)</f>
        <v>0.1475</v>
      </c>
      <c r="K1755" s="19">
        <f>IFERROR(__xludf.DUMMYFUNCTION("""COMPUTED_VALUE"""),0.1844)</f>
        <v>0.1844</v>
      </c>
      <c r="L1755" s="19">
        <f>IFERROR(__xludf.DUMMYFUNCTION("""COMPUTED_VALUE"""),0.2213)</f>
        <v>0.2213</v>
      </c>
      <c r="M1755" s="18">
        <f>IFERROR(__xludf.DUMMYFUNCTION("""COMPUTED_VALUE"""),1.05)</f>
        <v>1.05</v>
      </c>
    </row>
    <row r="1756">
      <c r="A1756" s="13" t="str">
        <f>IFERROR(__xludf.DUMMYFUNCTION("""COMPUTED_VALUE"""),"товари")</f>
        <v>товари</v>
      </c>
      <c r="B1756" s="16" t="str">
        <f>IFERROR(__xludf.DUMMYFUNCTION("""COMPUTED_VALUE"""),"канцтовари")</f>
        <v>канцтовари</v>
      </c>
      <c r="C1756" s="16" t="str">
        <f>IFERROR(__xludf.DUMMYFUNCTION("""COMPUTED_VALUE"""),"письмове приладдя")</f>
        <v>письмове приладдя</v>
      </c>
      <c r="D1756" s="16" t="str">
        <f>IFERROR(__xludf.DUMMYFUNCTION("""COMPUTED_VALUE"""),"олівці")</f>
        <v>олівці</v>
      </c>
      <c r="E1756" s="16" t="str">
        <f>IFERROR(__xludf.DUMMYFUNCTION("""COMPUTED_VALUE"""),"олівці")</f>
        <v>олівці</v>
      </c>
      <c r="F1756" s="17">
        <f>IFERROR(__xludf.DUMMYFUNCTION("""COMPUTED_VALUE"""),3.0)</f>
        <v>3</v>
      </c>
      <c r="G1756" s="17" t="str">
        <f>IFERROR(__xludf.DUMMYFUNCTION("""COMPUTED_VALUE"""),"21110708")</f>
        <v>21110708</v>
      </c>
      <c r="H1756" s="17" t="str">
        <f>IFERROR(__xludf.DUMMYFUNCTION("""COMPUTED_VALUE"""),"олівці")</f>
        <v>олівці</v>
      </c>
      <c r="I1756" s="19">
        <f>IFERROR(__xludf.DUMMYFUNCTION("""COMPUTED_VALUE"""),0.0758)</f>
        <v>0.0758</v>
      </c>
      <c r="J1756" s="19">
        <f>IFERROR(__xludf.DUMMYFUNCTION("""COMPUTED_VALUE"""),0.1516)</f>
        <v>0.1516</v>
      </c>
      <c r="K1756" s="19">
        <f>IFERROR(__xludf.DUMMYFUNCTION("""COMPUTED_VALUE"""),0.1895)</f>
        <v>0.1895</v>
      </c>
      <c r="L1756" s="19">
        <f>IFERROR(__xludf.DUMMYFUNCTION("""COMPUTED_VALUE"""),0.2274)</f>
        <v>0.2274</v>
      </c>
      <c r="M1756" s="18">
        <f>IFERROR(__xludf.DUMMYFUNCTION("""COMPUTED_VALUE"""),4.14)</f>
        <v>4.14</v>
      </c>
    </row>
    <row r="1757">
      <c r="A1757" s="13" t="str">
        <f>IFERROR(__xludf.DUMMYFUNCTION("""COMPUTED_VALUE"""),"товари")</f>
        <v>товари</v>
      </c>
      <c r="B1757" s="16" t="str">
        <f>IFERROR(__xludf.DUMMYFUNCTION("""COMPUTED_VALUE"""),"канцтовари")</f>
        <v>канцтовари</v>
      </c>
      <c r="C1757" s="16" t="str">
        <f>IFERROR(__xludf.DUMMYFUNCTION("""COMPUTED_VALUE"""),"папір та паперові вироби")</f>
        <v>папір та паперові вироби</v>
      </c>
      <c r="D1757" s="16" t="str">
        <f>IFERROR(__xludf.DUMMYFUNCTION("""COMPUTED_VALUE"""),"органайзери, щоденники, блокноти")</f>
        <v>органайзери, щоденники, блокноти</v>
      </c>
      <c r="E1757" s="16" t="str">
        <f>IFERROR(__xludf.DUMMYFUNCTION("""COMPUTED_VALUE"""),"органайзери, щоденники, блокноти")</f>
        <v>органайзери, щоденники, блокноти</v>
      </c>
      <c r="F1757" s="17">
        <f>IFERROR(__xludf.DUMMYFUNCTION("""COMPUTED_VALUE"""),3.0)</f>
        <v>3</v>
      </c>
      <c r="G1757" s="17" t="str">
        <f>IFERROR(__xludf.DUMMYFUNCTION("""COMPUTED_VALUE"""),"211105")</f>
        <v>211105</v>
      </c>
      <c r="H1757" s="17" t="str">
        <f>IFERROR(__xludf.DUMMYFUNCTION("""COMPUTED_VALUE"""),"органайзери, щоденники, блокноти")</f>
        <v>органайзери, щоденники, блокноти</v>
      </c>
      <c r="I1757" s="19">
        <f>IFERROR(__xludf.DUMMYFUNCTION("""COMPUTED_VALUE"""),0.0764)</f>
        <v>0.0764</v>
      </c>
      <c r="J1757" s="19">
        <f>IFERROR(__xludf.DUMMYFUNCTION("""COMPUTED_VALUE"""),0.1527)</f>
        <v>0.1527</v>
      </c>
      <c r="K1757" s="19">
        <f>IFERROR(__xludf.DUMMYFUNCTION("""COMPUTED_VALUE"""),0.1909)</f>
        <v>0.1909</v>
      </c>
      <c r="L1757" s="19">
        <f>IFERROR(__xludf.DUMMYFUNCTION("""COMPUTED_VALUE"""),0.2291)</f>
        <v>0.2291</v>
      </c>
      <c r="M1757" s="18">
        <f>IFERROR(__xludf.DUMMYFUNCTION("""COMPUTED_VALUE"""),3.33)</f>
        <v>3.33</v>
      </c>
    </row>
    <row r="1758">
      <c r="A1758" s="13" t="str">
        <f>IFERROR(__xludf.DUMMYFUNCTION("""COMPUTED_VALUE"""),"товари")</f>
        <v>товари</v>
      </c>
      <c r="B1758" s="16" t="str">
        <f>IFERROR(__xludf.DUMMYFUNCTION("""COMPUTED_VALUE"""),"канцтовари")</f>
        <v>канцтовари</v>
      </c>
      <c r="C1758" s="16" t="str">
        <f>IFERROR(__xludf.DUMMYFUNCTION("""COMPUTED_VALUE"""),"папір та паперові вироби")</f>
        <v>папір та паперові вироби</v>
      </c>
      <c r="D1758" s="16" t="str">
        <f>IFERROR(__xludf.DUMMYFUNCTION("""COMPUTED_VALUE"""),"офісний та поліграфічний папір")</f>
        <v>офісний та поліграфічний папір</v>
      </c>
      <c r="E1758" s="16" t="str">
        <f>IFERROR(__xludf.DUMMYFUNCTION("""COMPUTED_VALUE"""),"офісний та поліграфічний папір")</f>
        <v>офісний та поліграфічний папір</v>
      </c>
      <c r="F1758" s="17">
        <f>IFERROR(__xludf.DUMMYFUNCTION("""COMPUTED_VALUE"""),3.0)</f>
        <v>3</v>
      </c>
      <c r="G1758" s="17" t="str">
        <f>IFERROR(__xludf.DUMMYFUNCTION("""COMPUTED_VALUE"""),"2112")</f>
        <v>2112</v>
      </c>
      <c r="H1758" s="17" t="str">
        <f>IFERROR(__xludf.DUMMYFUNCTION("""COMPUTED_VALUE"""),"офісний та поліграфічний папір")</f>
        <v>офісний та поліграфічний папір</v>
      </c>
      <c r="I1758" s="19">
        <f>IFERROR(__xludf.DUMMYFUNCTION("""COMPUTED_VALUE"""),0.0765)</f>
        <v>0.0765</v>
      </c>
      <c r="J1758" s="19">
        <f>IFERROR(__xludf.DUMMYFUNCTION("""COMPUTED_VALUE"""),0.153)</f>
        <v>0.153</v>
      </c>
      <c r="K1758" s="19">
        <f>IFERROR(__xludf.DUMMYFUNCTION("""COMPUTED_VALUE"""),0.1913)</f>
        <v>0.1913</v>
      </c>
      <c r="L1758" s="19">
        <f>IFERROR(__xludf.DUMMYFUNCTION("""COMPUTED_VALUE"""),0.2295)</f>
        <v>0.2295</v>
      </c>
      <c r="M1758" s="18">
        <f>IFERROR(__xludf.DUMMYFUNCTION("""COMPUTED_VALUE"""),4.33)</f>
        <v>4.33</v>
      </c>
    </row>
    <row r="1759">
      <c r="A1759" s="13" t="str">
        <f>IFERROR(__xludf.DUMMYFUNCTION("""COMPUTED_VALUE"""),"товари")</f>
        <v>товари</v>
      </c>
      <c r="B1759" s="16" t="str">
        <f>IFERROR(__xludf.DUMMYFUNCTION("""COMPUTED_VALUE"""),"канцтовари")</f>
        <v>канцтовари</v>
      </c>
      <c r="C1759" s="16" t="str">
        <f>IFERROR(__xludf.DUMMYFUNCTION("""COMPUTED_VALUE"""),"папір та паперові вироби")</f>
        <v>папір та паперові вироби</v>
      </c>
      <c r="D1759" s="16" t="str">
        <f>IFERROR(__xludf.DUMMYFUNCTION("""COMPUTED_VALUE"""),"паперові вироби для офісу, загальне")</f>
        <v>паперові вироби для офісу, загальне</v>
      </c>
      <c r="E1759" s="16" t="str">
        <f>IFERROR(__xludf.DUMMYFUNCTION("""COMPUTED_VALUE"""),"паперові вироби для офісу, загальне")</f>
        <v>паперові вироби для офісу, загальне</v>
      </c>
      <c r="F1759" s="17">
        <f>IFERROR(__xludf.DUMMYFUNCTION("""COMPUTED_VALUE"""),3.0)</f>
        <v>3</v>
      </c>
      <c r="G1759" s="17" t="str">
        <f>IFERROR(__xludf.DUMMYFUNCTION("""COMPUTED_VALUE"""),"212201")</f>
        <v>212201</v>
      </c>
      <c r="H1759" s="17" t="str">
        <f>IFERROR(__xludf.DUMMYFUNCTION("""COMPUTED_VALUE"""),"паперові вироби для офісу, загальне")</f>
        <v>паперові вироби для офісу, загальне</v>
      </c>
      <c r="I1759" s="19">
        <f>IFERROR(__xludf.DUMMYFUNCTION("""COMPUTED_VALUE"""),0.125)</f>
        <v>0.125</v>
      </c>
      <c r="J1759" s="19">
        <f>IFERROR(__xludf.DUMMYFUNCTION("""COMPUTED_VALUE"""),0.25)</f>
        <v>0.25</v>
      </c>
      <c r="K1759" s="19">
        <f>IFERROR(__xludf.DUMMYFUNCTION("""COMPUTED_VALUE"""),0.3125)</f>
        <v>0.3125</v>
      </c>
      <c r="L1759" s="19">
        <f>IFERROR(__xludf.DUMMYFUNCTION("""COMPUTED_VALUE"""),0.375)</f>
        <v>0.375</v>
      </c>
      <c r="M1759" s="18">
        <f>IFERROR(__xludf.DUMMYFUNCTION("""COMPUTED_VALUE"""),4.33)</f>
        <v>4.33</v>
      </c>
    </row>
    <row r="1760">
      <c r="A1760" s="13" t="str">
        <f>IFERROR(__xludf.DUMMYFUNCTION("""COMPUTED_VALUE"""),"товари")</f>
        <v>товари</v>
      </c>
      <c r="B1760" s="16" t="str">
        <f>IFERROR(__xludf.DUMMYFUNCTION("""COMPUTED_VALUE"""),"канцтовари")</f>
        <v>канцтовари</v>
      </c>
      <c r="C1760" s="16" t="str">
        <f>IFERROR(__xludf.DUMMYFUNCTION("""COMPUTED_VALUE"""),"письмове приладдя")</f>
        <v>письмове приладдя</v>
      </c>
      <c r="D1760" s="16" t="str">
        <f>IFERROR(__xludf.DUMMYFUNCTION("""COMPUTED_VALUE"""),"письмове приладдя, загальне")</f>
        <v>письмове приладдя, загальне</v>
      </c>
      <c r="E1760" s="16" t="str">
        <f>IFERROR(__xludf.DUMMYFUNCTION("""COMPUTED_VALUE"""),"письмове приладдя, загальне")</f>
        <v>письмове приладдя, загальне</v>
      </c>
      <c r="F1760" s="17">
        <f>IFERROR(__xludf.DUMMYFUNCTION("""COMPUTED_VALUE"""),3.0)</f>
        <v>3</v>
      </c>
      <c r="G1760" s="17" t="str">
        <f>IFERROR(__xludf.DUMMYFUNCTION("""COMPUTED_VALUE"""),"212101")</f>
        <v>212101</v>
      </c>
      <c r="H1760" s="17" t="str">
        <f>IFERROR(__xludf.DUMMYFUNCTION("""COMPUTED_VALUE"""),"письмове приладдя, загальне")</f>
        <v>письмове приладдя, загальне</v>
      </c>
      <c r="I1760" s="19">
        <f>IFERROR(__xludf.DUMMYFUNCTION("""COMPUTED_VALUE"""),0.125)</f>
        <v>0.125</v>
      </c>
      <c r="J1760" s="19">
        <f>IFERROR(__xludf.DUMMYFUNCTION("""COMPUTED_VALUE"""),0.25)</f>
        <v>0.25</v>
      </c>
      <c r="K1760" s="19">
        <f>IFERROR(__xludf.DUMMYFUNCTION("""COMPUTED_VALUE"""),0.3125)</f>
        <v>0.3125</v>
      </c>
      <c r="L1760" s="19">
        <f>IFERROR(__xludf.DUMMYFUNCTION("""COMPUTED_VALUE"""),0.375)</f>
        <v>0.375</v>
      </c>
      <c r="M1760" s="18">
        <f>IFERROR(__xludf.DUMMYFUNCTION("""COMPUTED_VALUE"""),4.33)</f>
        <v>4.33</v>
      </c>
    </row>
    <row r="1761">
      <c r="A1761" s="13" t="str">
        <f>IFERROR(__xludf.DUMMYFUNCTION("""COMPUTED_VALUE"""),"товари")</f>
        <v>товари</v>
      </c>
      <c r="B1761" s="16" t="str">
        <f>IFERROR(__xludf.DUMMYFUNCTION("""COMPUTED_VALUE"""),"канцтовари")</f>
        <v>канцтовари</v>
      </c>
      <c r="C1761" s="16" t="str">
        <f>IFERROR(__xludf.DUMMYFUNCTION("""COMPUTED_VALUE"""),"письмове приладдя")</f>
        <v>письмове приладдя</v>
      </c>
      <c r="D1761" s="16" t="str">
        <f>IFERROR(__xludf.DUMMYFUNCTION("""COMPUTED_VALUE"""),"підставки для канцелярського приладдя")</f>
        <v>підставки для канцелярського приладдя</v>
      </c>
      <c r="E1761" s="16" t="str">
        <f>IFERROR(__xludf.DUMMYFUNCTION("""COMPUTED_VALUE"""),"підставки для канцелярського приладдя")</f>
        <v>підставки для канцелярського приладдя</v>
      </c>
      <c r="F1761" s="17">
        <f>IFERROR(__xludf.DUMMYFUNCTION("""COMPUTED_VALUE"""),3.0)</f>
        <v>3</v>
      </c>
      <c r="G1761" s="17" t="str">
        <f>IFERROR(__xludf.DUMMYFUNCTION("""COMPUTED_VALUE"""),"212102")</f>
        <v>212102</v>
      </c>
      <c r="H1761" s="17" t="str">
        <f>IFERROR(__xludf.DUMMYFUNCTION("""COMPUTED_VALUE"""),"підставки для канцелярського приладдя")</f>
        <v>підставки для канцелярського приладдя</v>
      </c>
      <c r="I1761" s="19">
        <f>IFERROR(__xludf.DUMMYFUNCTION("""COMPUTED_VALUE"""),0.0747)</f>
        <v>0.0747</v>
      </c>
      <c r="J1761" s="19">
        <f>IFERROR(__xludf.DUMMYFUNCTION("""COMPUTED_VALUE"""),0.1494)</f>
        <v>0.1494</v>
      </c>
      <c r="K1761" s="19">
        <f>IFERROR(__xludf.DUMMYFUNCTION("""COMPUTED_VALUE"""),0.1868)</f>
        <v>0.1868</v>
      </c>
      <c r="L1761" s="19">
        <f>IFERROR(__xludf.DUMMYFUNCTION("""COMPUTED_VALUE"""),0.2241)</f>
        <v>0.2241</v>
      </c>
      <c r="M1761" s="18">
        <f>IFERROR(__xludf.DUMMYFUNCTION("""COMPUTED_VALUE"""),1.8)</f>
        <v>1.8</v>
      </c>
    </row>
    <row r="1762">
      <c r="A1762" s="13" t="str">
        <f>IFERROR(__xludf.DUMMYFUNCTION("""COMPUTED_VALUE"""),"товари")</f>
        <v>товари</v>
      </c>
      <c r="B1762" s="16" t="str">
        <f>IFERROR(__xludf.DUMMYFUNCTION("""COMPUTED_VALUE"""),"канцтовари")</f>
        <v>канцтовари</v>
      </c>
      <c r="C1762" s="16" t="str">
        <f>IFERROR(__xludf.DUMMYFUNCTION("""COMPUTED_VALUE"""),"шкільне приладдя")</f>
        <v>шкільне приладдя</v>
      </c>
      <c r="D1762" s="16" t="str">
        <f>IFERROR(__xludf.DUMMYFUNCTION("""COMPUTED_VALUE"""),"підставки для книг")</f>
        <v>підставки для книг</v>
      </c>
      <c r="E1762" s="16" t="str">
        <f>IFERROR(__xludf.DUMMYFUNCTION("""COMPUTED_VALUE"""),"підставки для книг")</f>
        <v>підставки для книг</v>
      </c>
      <c r="F1762" s="17">
        <f>IFERROR(__xludf.DUMMYFUNCTION("""COMPUTED_VALUE"""),3.0)</f>
        <v>3</v>
      </c>
      <c r="G1762" s="17" t="str">
        <f>IFERROR(__xludf.DUMMYFUNCTION("""COMPUTED_VALUE"""),"15011901")</f>
        <v>15011901</v>
      </c>
      <c r="H1762" s="17" t="str">
        <f>IFERROR(__xludf.DUMMYFUNCTION("""COMPUTED_VALUE"""),"підставки для книг")</f>
        <v>підставки для книг</v>
      </c>
      <c r="I1762" s="19">
        <f>IFERROR(__xludf.DUMMYFUNCTION("""COMPUTED_VALUE"""),0.073)</f>
        <v>0.073</v>
      </c>
      <c r="J1762" s="19">
        <f>IFERROR(__xludf.DUMMYFUNCTION("""COMPUTED_VALUE"""),0.1459)</f>
        <v>0.1459</v>
      </c>
      <c r="K1762" s="19">
        <f>IFERROR(__xludf.DUMMYFUNCTION("""COMPUTED_VALUE"""),0.1824)</f>
        <v>0.1824</v>
      </c>
      <c r="L1762" s="19">
        <f>IFERROR(__xludf.DUMMYFUNCTION("""COMPUTED_VALUE"""),0.2189)</f>
        <v>0.2189</v>
      </c>
      <c r="M1762" s="18">
        <f>IFERROR(__xludf.DUMMYFUNCTION("""COMPUTED_VALUE"""),1.05)</f>
        <v>1.05</v>
      </c>
    </row>
    <row r="1763">
      <c r="A1763" s="13" t="str">
        <f>IFERROR(__xludf.DUMMYFUNCTION("""COMPUTED_VALUE"""),"товари")</f>
        <v>товари</v>
      </c>
      <c r="B1763" s="16" t="str">
        <f>IFERROR(__xludf.DUMMYFUNCTION("""COMPUTED_VALUE"""),"канцтовари")</f>
        <v>канцтовари</v>
      </c>
      <c r="C1763" s="16" t="str">
        <f>IFERROR(__xludf.DUMMYFUNCTION("""COMPUTED_VALUE"""),"витратні матеріали для офісу")</f>
        <v>витратні матеріали для офісу</v>
      </c>
      <c r="D1763" s="16" t="str">
        <f>IFERROR(__xludf.DUMMYFUNCTION("""COMPUTED_VALUE"""),"скоби для канцелярських степлерів")</f>
        <v>скоби для канцелярських степлерів</v>
      </c>
      <c r="E1763" s="16" t="str">
        <f>IFERROR(__xludf.DUMMYFUNCTION("""COMPUTED_VALUE"""),"скоби для канцелярських степлерів")</f>
        <v>скоби для канцелярських степлерів</v>
      </c>
      <c r="F1763" s="17">
        <f>IFERROR(__xludf.DUMMYFUNCTION("""COMPUTED_VALUE"""),3.0)</f>
        <v>3</v>
      </c>
      <c r="G1763" s="17" t="str">
        <f>IFERROR(__xludf.DUMMYFUNCTION("""COMPUTED_VALUE"""),"211122")</f>
        <v>211122</v>
      </c>
      <c r="H1763" s="17" t="str">
        <f>IFERROR(__xludf.DUMMYFUNCTION("""COMPUTED_VALUE"""),"скоби для канцелярських степлерів")</f>
        <v>скоби для канцелярських степлерів</v>
      </c>
      <c r="I1763" s="19">
        <f>IFERROR(__xludf.DUMMYFUNCTION("""COMPUTED_VALUE"""),0.0662)</f>
        <v>0.0662</v>
      </c>
      <c r="J1763" s="19">
        <f>IFERROR(__xludf.DUMMYFUNCTION("""COMPUTED_VALUE"""),0.1324)</f>
        <v>0.1324</v>
      </c>
      <c r="K1763" s="19">
        <f>IFERROR(__xludf.DUMMYFUNCTION("""COMPUTED_VALUE"""),0.1655)</f>
        <v>0.1655</v>
      </c>
      <c r="L1763" s="19">
        <f>IFERROR(__xludf.DUMMYFUNCTION("""COMPUTED_VALUE"""),0.1986)</f>
        <v>0.1986</v>
      </c>
      <c r="M1763" s="18">
        <f>IFERROR(__xludf.DUMMYFUNCTION("""COMPUTED_VALUE"""),1.53)</f>
        <v>1.53</v>
      </c>
    </row>
    <row r="1764">
      <c r="A1764" s="13" t="str">
        <f>IFERROR(__xludf.DUMMYFUNCTION("""COMPUTED_VALUE"""),"товари")</f>
        <v>товари</v>
      </c>
      <c r="B1764" s="16" t="str">
        <f>IFERROR(__xludf.DUMMYFUNCTION("""COMPUTED_VALUE"""),"канцтовари")</f>
        <v>канцтовари</v>
      </c>
      <c r="C1764" s="16" t="str">
        <f>IFERROR(__xludf.DUMMYFUNCTION("""COMPUTED_VALUE"""),"папір та паперові вироби")</f>
        <v>папір та паперові вироби</v>
      </c>
      <c r="D1764" s="16" t="str">
        <f>IFERROR(__xludf.DUMMYFUNCTION("""COMPUTED_VALUE"""),"стікери")</f>
        <v>стікери</v>
      </c>
      <c r="E1764" s="16" t="str">
        <f>IFERROR(__xludf.DUMMYFUNCTION("""COMPUTED_VALUE"""),"стікери")</f>
        <v>стікери</v>
      </c>
      <c r="F1764" s="17">
        <f>IFERROR(__xludf.DUMMYFUNCTION("""COMPUTED_VALUE"""),3.0)</f>
        <v>3</v>
      </c>
      <c r="G1764" s="17" t="str">
        <f>IFERROR(__xludf.DUMMYFUNCTION("""COMPUTED_VALUE"""),"211104")</f>
        <v>211104</v>
      </c>
      <c r="H1764" s="17" t="str">
        <f>IFERROR(__xludf.DUMMYFUNCTION("""COMPUTED_VALUE"""),"стікери")</f>
        <v>стікери</v>
      </c>
      <c r="I1764" s="19">
        <f>IFERROR(__xludf.DUMMYFUNCTION("""COMPUTED_VALUE"""),0.0779)</f>
        <v>0.0779</v>
      </c>
      <c r="J1764" s="19">
        <f>IFERROR(__xludf.DUMMYFUNCTION("""COMPUTED_VALUE"""),0.1557)</f>
        <v>0.1557</v>
      </c>
      <c r="K1764" s="19">
        <f>IFERROR(__xludf.DUMMYFUNCTION("""COMPUTED_VALUE"""),0.1946)</f>
        <v>0.1946</v>
      </c>
      <c r="L1764" s="19">
        <f>IFERROR(__xludf.DUMMYFUNCTION("""COMPUTED_VALUE"""),0.2336)</f>
        <v>0.2336</v>
      </c>
      <c r="M1764" s="18">
        <f>IFERROR(__xludf.DUMMYFUNCTION("""COMPUTED_VALUE"""),1.71)</f>
        <v>1.71</v>
      </c>
    </row>
    <row r="1765">
      <c r="A1765" s="13" t="str">
        <f>IFERROR(__xludf.DUMMYFUNCTION("""COMPUTED_VALUE"""),"товари")</f>
        <v>товари</v>
      </c>
      <c r="B1765" s="16" t="str">
        <f>IFERROR(__xludf.DUMMYFUNCTION("""COMPUTED_VALUE"""),"канцтовари")</f>
        <v>канцтовари</v>
      </c>
      <c r="C1765" s="16" t="str">
        <f>IFERROR(__xludf.DUMMYFUNCTION("""COMPUTED_VALUE"""),"все для діловодства")</f>
        <v>все для діловодства</v>
      </c>
      <c r="D1765" s="16" t="str">
        <f>IFERROR(__xludf.DUMMYFUNCTION("""COMPUTED_VALUE"""),"тубуси для паперу і креслень")</f>
        <v>тубуси для паперу і креслень</v>
      </c>
      <c r="E1765" s="16" t="str">
        <f>IFERROR(__xludf.DUMMYFUNCTION("""COMPUTED_VALUE"""),"тубуси для паперу і креслень")</f>
        <v>тубуси для паперу і креслень</v>
      </c>
      <c r="F1765" s="17">
        <f>IFERROR(__xludf.DUMMYFUNCTION("""COMPUTED_VALUE"""),3.0)</f>
        <v>3</v>
      </c>
      <c r="G1765" s="17" t="str">
        <f>IFERROR(__xludf.DUMMYFUNCTION("""COMPUTED_VALUE"""),"211137")</f>
        <v>211137</v>
      </c>
      <c r="H1765" s="17" t="str">
        <f>IFERROR(__xludf.DUMMYFUNCTION("""COMPUTED_VALUE"""),"тубуси для паперу і креслень")</f>
        <v>тубуси для паперу і креслень</v>
      </c>
      <c r="I1765" s="19">
        <f>IFERROR(__xludf.DUMMYFUNCTION("""COMPUTED_VALUE"""),0.0764)</f>
        <v>0.0764</v>
      </c>
      <c r="J1765" s="19">
        <f>IFERROR(__xludf.DUMMYFUNCTION("""COMPUTED_VALUE"""),0.1527)</f>
        <v>0.1527</v>
      </c>
      <c r="K1765" s="19">
        <f>IFERROR(__xludf.DUMMYFUNCTION("""COMPUTED_VALUE"""),0.1909)</f>
        <v>0.1909</v>
      </c>
      <c r="L1765" s="19">
        <f>IFERROR(__xludf.DUMMYFUNCTION("""COMPUTED_VALUE"""),0.2291)</f>
        <v>0.2291</v>
      </c>
      <c r="M1765" s="18">
        <f>IFERROR(__xludf.DUMMYFUNCTION("""COMPUTED_VALUE"""),1.44)</f>
        <v>1.44</v>
      </c>
    </row>
    <row r="1766">
      <c r="A1766" s="13" t="str">
        <f>IFERROR(__xludf.DUMMYFUNCTION("""COMPUTED_VALUE"""),"товари")</f>
        <v>товари</v>
      </c>
      <c r="B1766" s="16" t="str">
        <f>IFERROR(__xludf.DUMMYFUNCTION("""COMPUTED_VALUE"""),"канцтовари")</f>
        <v>канцтовари</v>
      </c>
      <c r="C1766" s="16" t="str">
        <f>IFERROR(__xludf.DUMMYFUNCTION("""COMPUTED_VALUE"""),"все для діловодства")</f>
        <v>все для діловодства</v>
      </c>
      <c r="D1766" s="16" t="str">
        <f>IFERROR(__xludf.DUMMYFUNCTION("""COMPUTED_VALUE"""),"файли і папки")</f>
        <v>файли і папки</v>
      </c>
      <c r="E1766" s="16" t="str">
        <f>IFERROR(__xludf.DUMMYFUNCTION("""COMPUTED_VALUE"""),"файли і папки")</f>
        <v>файли і папки</v>
      </c>
      <c r="F1766" s="17">
        <f>IFERROR(__xludf.DUMMYFUNCTION("""COMPUTED_VALUE"""),3.0)</f>
        <v>3</v>
      </c>
      <c r="G1766" s="17" t="str">
        <f>IFERROR(__xludf.DUMMYFUNCTION("""COMPUTED_VALUE"""),"211110")</f>
        <v>211110</v>
      </c>
      <c r="H1766" s="17" t="str">
        <f>IFERROR(__xludf.DUMMYFUNCTION("""COMPUTED_VALUE"""),"файли і папки")</f>
        <v>файли і папки</v>
      </c>
      <c r="I1766" s="19">
        <f>IFERROR(__xludf.DUMMYFUNCTION("""COMPUTED_VALUE"""),0.0737)</f>
        <v>0.0737</v>
      </c>
      <c r="J1766" s="19">
        <f>IFERROR(__xludf.DUMMYFUNCTION("""COMPUTED_VALUE"""),0.1473)</f>
        <v>0.1473</v>
      </c>
      <c r="K1766" s="19">
        <f>IFERROR(__xludf.DUMMYFUNCTION("""COMPUTED_VALUE"""),0.1841)</f>
        <v>0.1841</v>
      </c>
      <c r="L1766" s="19">
        <f>IFERROR(__xludf.DUMMYFUNCTION("""COMPUTED_VALUE"""),0.221)</f>
        <v>0.221</v>
      </c>
      <c r="M1766" s="18">
        <f>IFERROR(__xludf.DUMMYFUNCTION("""COMPUTED_VALUE"""),3.96)</f>
        <v>3.96</v>
      </c>
    </row>
    <row r="1767">
      <c r="A1767" s="13" t="str">
        <f>IFERROR(__xludf.DUMMYFUNCTION("""COMPUTED_VALUE"""),"товари")</f>
        <v>товари</v>
      </c>
      <c r="B1767" s="16" t="str">
        <f>IFERROR(__xludf.DUMMYFUNCTION("""COMPUTED_VALUE"""),"канцтовари")</f>
        <v>канцтовари</v>
      </c>
      <c r="C1767" s="16" t="str">
        <f>IFERROR(__xludf.DUMMYFUNCTION("""COMPUTED_VALUE"""),"шкільне приладдя")</f>
        <v>шкільне приладдя</v>
      </c>
      <c r="D1767" s="16" t="str">
        <f>IFERROR(__xludf.DUMMYFUNCTION("""COMPUTED_VALUE"""),"циркулі, готовальні")</f>
        <v>циркулі, готовальні</v>
      </c>
      <c r="E1767" s="16" t="str">
        <f>IFERROR(__xludf.DUMMYFUNCTION("""COMPUTED_VALUE"""),"циркулі, готовальні")</f>
        <v>циркулі, готовальні</v>
      </c>
      <c r="F1767" s="17">
        <f>IFERROR(__xludf.DUMMYFUNCTION("""COMPUTED_VALUE"""),3.0)</f>
        <v>3</v>
      </c>
      <c r="G1767" s="17" t="str">
        <f>IFERROR(__xludf.DUMMYFUNCTION("""COMPUTED_VALUE"""),"21111104")</f>
        <v>21111104</v>
      </c>
      <c r="H1767" s="17" t="str">
        <f>IFERROR(__xludf.DUMMYFUNCTION("""COMPUTED_VALUE"""),"циркулі, готовальні")</f>
        <v>циркулі, готовальні</v>
      </c>
      <c r="I1767" s="19">
        <f>IFERROR(__xludf.DUMMYFUNCTION("""COMPUTED_VALUE"""),0.0717)</f>
        <v>0.0717</v>
      </c>
      <c r="J1767" s="19">
        <f>IFERROR(__xludf.DUMMYFUNCTION("""COMPUTED_VALUE"""),0.1434)</f>
        <v>0.1434</v>
      </c>
      <c r="K1767" s="19">
        <f>IFERROR(__xludf.DUMMYFUNCTION("""COMPUTED_VALUE"""),0.1793)</f>
        <v>0.1793</v>
      </c>
      <c r="L1767" s="19">
        <f>IFERROR(__xludf.DUMMYFUNCTION("""COMPUTED_VALUE"""),0.2151)</f>
        <v>0.2151</v>
      </c>
      <c r="M1767" s="18">
        <f>IFERROR(__xludf.DUMMYFUNCTION("""COMPUTED_VALUE"""),1.05)</f>
        <v>1.05</v>
      </c>
    </row>
    <row r="1768">
      <c r="A1768" s="13" t="str">
        <f>IFERROR(__xludf.DUMMYFUNCTION("""COMPUTED_VALUE"""),"товари")</f>
        <v>товари</v>
      </c>
      <c r="B1768" s="16" t="str">
        <f>IFERROR(__xludf.DUMMYFUNCTION("""COMPUTED_VALUE"""),"канцтовари")</f>
        <v>канцтовари</v>
      </c>
      <c r="C1768" s="16" t="str">
        <f>IFERROR(__xludf.DUMMYFUNCTION("""COMPUTED_VALUE"""),"шкільне приладдя")</f>
        <v>шкільне приладдя</v>
      </c>
      <c r="D1768" s="16" t="str">
        <f>IFERROR(__xludf.DUMMYFUNCTION("""COMPUTED_VALUE"""),"шкільне приладдя, загальне")</f>
        <v>шкільне приладдя, загальне</v>
      </c>
      <c r="E1768" s="16" t="str">
        <f>IFERROR(__xludf.DUMMYFUNCTION("""COMPUTED_VALUE"""),"шкільне приладдя, загальне")</f>
        <v>шкільне приладдя, загальне</v>
      </c>
      <c r="F1768" s="17">
        <f>IFERROR(__xludf.DUMMYFUNCTION("""COMPUTED_VALUE"""),3.0)</f>
        <v>3</v>
      </c>
      <c r="G1768" s="17" t="str">
        <f>IFERROR(__xludf.DUMMYFUNCTION("""COMPUTED_VALUE"""),"920201")</f>
        <v>920201</v>
      </c>
      <c r="H1768" s="17" t="str">
        <f>IFERROR(__xludf.DUMMYFUNCTION("""COMPUTED_VALUE"""),"шкільне приладдя, загальне")</f>
        <v>шкільне приладдя, загальне</v>
      </c>
      <c r="I1768" s="19">
        <f>IFERROR(__xludf.DUMMYFUNCTION("""COMPUTED_VALUE"""),0.125)</f>
        <v>0.125</v>
      </c>
      <c r="J1768" s="19">
        <f>IFERROR(__xludf.DUMMYFUNCTION("""COMPUTED_VALUE"""),0.25)</f>
        <v>0.25</v>
      </c>
      <c r="K1768" s="19">
        <f>IFERROR(__xludf.DUMMYFUNCTION("""COMPUTED_VALUE"""),0.3125)</f>
        <v>0.3125</v>
      </c>
      <c r="L1768" s="19">
        <f>IFERROR(__xludf.DUMMYFUNCTION("""COMPUTED_VALUE"""),0.375)</f>
        <v>0.375</v>
      </c>
      <c r="M1768" s="18">
        <f>IFERROR(__xludf.DUMMYFUNCTION("""COMPUTED_VALUE"""),4.33)</f>
        <v>4.33</v>
      </c>
    </row>
    <row r="1769">
      <c r="A1769" s="13" t="str">
        <f>IFERROR(__xludf.DUMMYFUNCTION("""COMPUTED_VALUE"""),"товари")</f>
        <v>товари</v>
      </c>
      <c r="B1769" s="16" t="str">
        <f>IFERROR(__xludf.DUMMYFUNCTION("""COMPUTED_VALUE"""),"канцтовари")</f>
        <v>канцтовари</v>
      </c>
      <c r="C1769" s="16" t="str">
        <f>IFERROR(__xludf.DUMMYFUNCTION("""COMPUTED_VALUE"""),"шкільне приладдя")</f>
        <v>шкільне приладдя</v>
      </c>
      <c r="D1769" s="16" t="str">
        <f>IFERROR(__xludf.DUMMYFUNCTION("""COMPUTED_VALUE"""),"шкільні папки")</f>
        <v>шкільні папки</v>
      </c>
      <c r="E1769" s="16" t="str">
        <f>IFERROR(__xludf.DUMMYFUNCTION("""COMPUTED_VALUE"""),"шкільні папки")</f>
        <v>шкільні папки</v>
      </c>
      <c r="F1769" s="17">
        <f>IFERROR(__xludf.DUMMYFUNCTION("""COMPUTED_VALUE"""),3.0)</f>
        <v>3</v>
      </c>
      <c r="G1769" s="17" t="str">
        <f>IFERROR(__xludf.DUMMYFUNCTION("""COMPUTED_VALUE"""),"15011910")</f>
        <v>15011910</v>
      </c>
      <c r="H1769" s="17" t="str">
        <f>IFERROR(__xludf.DUMMYFUNCTION("""COMPUTED_VALUE"""),"шкільні папки")</f>
        <v>шкільні папки</v>
      </c>
      <c r="I1769" s="19">
        <f>IFERROR(__xludf.DUMMYFUNCTION("""COMPUTED_VALUE"""),0.0727)</f>
        <v>0.0727</v>
      </c>
      <c r="J1769" s="19">
        <f>IFERROR(__xludf.DUMMYFUNCTION("""COMPUTED_VALUE"""),0.1454)</f>
        <v>0.1454</v>
      </c>
      <c r="K1769" s="19">
        <f>IFERROR(__xludf.DUMMYFUNCTION("""COMPUTED_VALUE"""),0.1818)</f>
        <v>0.1818</v>
      </c>
      <c r="L1769" s="19">
        <f>IFERROR(__xludf.DUMMYFUNCTION("""COMPUTED_VALUE"""),0.2181)</f>
        <v>0.2181</v>
      </c>
      <c r="M1769" s="18">
        <f>IFERROR(__xludf.DUMMYFUNCTION("""COMPUTED_VALUE"""),1.05)</f>
        <v>1.05</v>
      </c>
    </row>
    <row r="1770">
      <c r="A1770" s="13" t="str">
        <f>IFERROR(__xludf.DUMMYFUNCTION("""COMPUTED_VALUE"""),"товари")</f>
        <v>товари</v>
      </c>
      <c r="B1770" s="16" t="str">
        <f>IFERROR(__xludf.DUMMYFUNCTION("""COMPUTED_VALUE"""),"канцтовари")</f>
        <v>канцтовари</v>
      </c>
      <c r="C1770" s="16" t="str">
        <f>IFERROR(__xludf.DUMMYFUNCTION("""COMPUTED_VALUE"""),"шкільне приладдя")</f>
        <v>шкільне приладдя</v>
      </c>
      <c r="D1770" s="16" t="str">
        <f>IFERROR(__xludf.DUMMYFUNCTION("""COMPUTED_VALUE"""),"шкільні пенали ")</f>
        <v>шкільні пенали </v>
      </c>
      <c r="E1770" s="16" t="str">
        <f>IFERROR(__xludf.DUMMYFUNCTION("""COMPUTED_VALUE"""),"шкільні пенали ")</f>
        <v>шкільні пенали </v>
      </c>
      <c r="F1770" s="17">
        <f>IFERROR(__xludf.DUMMYFUNCTION("""COMPUTED_VALUE"""),3.0)</f>
        <v>3</v>
      </c>
      <c r="G1770" s="17" t="str">
        <f>IFERROR(__xludf.DUMMYFUNCTION("""COMPUTED_VALUE"""),"211113")</f>
        <v>211113</v>
      </c>
      <c r="H1770" s="17" t="str">
        <f>IFERROR(__xludf.DUMMYFUNCTION("""COMPUTED_VALUE"""),"шкільні пенали ")</f>
        <v>шкільні пенали </v>
      </c>
      <c r="I1770" s="19">
        <f>IFERROR(__xludf.DUMMYFUNCTION("""COMPUTED_VALUE"""),0.0759)</f>
        <v>0.0759</v>
      </c>
      <c r="J1770" s="19">
        <f>IFERROR(__xludf.DUMMYFUNCTION("""COMPUTED_VALUE"""),0.1517)</f>
        <v>0.1517</v>
      </c>
      <c r="K1770" s="19">
        <f>IFERROR(__xludf.DUMMYFUNCTION("""COMPUTED_VALUE"""),0.1896)</f>
        <v>0.1896</v>
      </c>
      <c r="L1770" s="19">
        <f>IFERROR(__xludf.DUMMYFUNCTION("""COMPUTED_VALUE"""),0.2276)</f>
        <v>0.2276</v>
      </c>
      <c r="M1770" s="18">
        <f>IFERROR(__xludf.DUMMYFUNCTION("""COMPUTED_VALUE"""),1.05)</f>
        <v>1.05</v>
      </c>
    </row>
    <row r="1771">
      <c r="A1771" s="13" t="str">
        <f>IFERROR(__xludf.DUMMYFUNCTION("""COMPUTED_VALUE"""),"товари")</f>
        <v>товари</v>
      </c>
      <c r="B1771" s="16" t="str">
        <f>IFERROR(__xludf.DUMMYFUNCTION("""COMPUTED_VALUE"""),"канцтовари")</f>
        <v>канцтовари</v>
      </c>
      <c r="C1771" s="16" t="str">
        <f>IFERROR(__xludf.DUMMYFUNCTION("""COMPUTED_VALUE"""),"все для діловодства")</f>
        <v>все для діловодства</v>
      </c>
      <c r="D1771" s="16" t="str">
        <f>IFERROR(__xludf.DUMMYFUNCTION("""COMPUTED_VALUE"""),"штемпельна продукція")</f>
        <v>штемпельна продукція</v>
      </c>
      <c r="E1771" s="16" t="str">
        <f>IFERROR(__xludf.DUMMYFUNCTION("""COMPUTED_VALUE"""),"штемпельна продукція")</f>
        <v>штемпельна продукція</v>
      </c>
      <c r="F1771" s="17">
        <f>IFERROR(__xludf.DUMMYFUNCTION("""COMPUTED_VALUE"""),3.0)</f>
        <v>3</v>
      </c>
      <c r="G1771" s="17" t="str">
        <f>IFERROR(__xludf.DUMMYFUNCTION("""COMPUTED_VALUE"""),"211304")</f>
        <v>211304</v>
      </c>
      <c r="H1771" s="17" t="str">
        <f>IFERROR(__xludf.DUMMYFUNCTION("""COMPUTED_VALUE"""),"штемпельна продукція")</f>
        <v>штемпельна продукція</v>
      </c>
      <c r="I1771" s="19">
        <f>IFERROR(__xludf.DUMMYFUNCTION("""COMPUTED_VALUE"""),0.0722)</f>
        <v>0.0722</v>
      </c>
      <c r="J1771" s="19">
        <f>IFERROR(__xludf.DUMMYFUNCTION("""COMPUTED_VALUE"""),0.1443)</f>
        <v>0.1443</v>
      </c>
      <c r="K1771" s="19">
        <f>IFERROR(__xludf.DUMMYFUNCTION("""COMPUTED_VALUE"""),0.1804)</f>
        <v>0.1804</v>
      </c>
      <c r="L1771" s="19">
        <f>IFERROR(__xludf.DUMMYFUNCTION("""COMPUTED_VALUE"""),0.2165)</f>
        <v>0.2165</v>
      </c>
      <c r="M1771" s="18">
        <f>IFERROR(__xludf.DUMMYFUNCTION("""COMPUTED_VALUE"""),3.96)</f>
        <v>3.96</v>
      </c>
    </row>
    <row r="1772">
      <c r="A1772" s="13" t="str">
        <f>IFERROR(__xludf.DUMMYFUNCTION("""COMPUTED_VALUE"""),"товари")</f>
        <v>товари</v>
      </c>
      <c r="B1772" s="16" t="str">
        <f>IFERROR(__xludf.DUMMYFUNCTION("""COMPUTED_VALUE"""),"контрольно-вимірювальні прилади")</f>
        <v>контрольно-вимірювальні прилади</v>
      </c>
      <c r="C1772" s="16" t="str">
        <f>IFERROR(__xludf.DUMMYFUNCTION("""COMPUTED_VALUE"""),"радіовимірювальні прилади")</f>
        <v>радіовимірювальні прилади</v>
      </c>
      <c r="D1772" s="16" t="str">
        <f>IFERROR(__xludf.DUMMYFUNCTION("""COMPUTED_VALUE"""),"аксесуари та комплектуючі для радіовимірюючих пристроїв")</f>
        <v>аксесуари та комплектуючі для радіовимірюючих пристроїв</v>
      </c>
      <c r="E1772" s="16" t="str">
        <f>IFERROR(__xludf.DUMMYFUNCTION("""COMPUTED_VALUE"""),"аксесуари та комплектуючі для радіовимірюючих пристроїв")</f>
        <v>аксесуари та комплектуючі для радіовимірюючих пристроїв</v>
      </c>
      <c r="F1772" s="17">
        <f>IFERROR(__xludf.DUMMYFUNCTION("""COMPUTED_VALUE"""),3.0)</f>
        <v>3</v>
      </c>
      <c r="G1772" s="17" t="str">
        <f>IFERROR(__xludf.DUMMYFUNCTION("""COMPUTED_VALUE"""),"50501")</f>
        <v>50501</v>
      </c>
      <c r="H1772" s="17" t="str">
        <f>IFERROR(__xludf.DUMMYFUNCTION("""COMPUTED_VALUE"""),"аксесуари та комплектуючі для радіовимірюючих пристроїв")</f>
        <v>аксесуари та комплектуючі для радіовимірюючих пристроїв</v>
      </c>
      <c r="I1772" s="19">
        <f>IFERROR(__xludf.DUMMYFUNCTION("""COMPUTED_VALUE"""),0.0429)</f>
        <v>0.0429</v>
      </c>
      <c r="J1772" s="19">
        <f>IFERROR(__xludf.DUMMYFUNCTION("""COMPUTED_VALUE"""),0.0858)</f>
        <v>0.0858</v>
      </c>
      <c r="K1772" s="19">
        <f>IFERROR(__xludf.DUMMYFUNCTION("""COMPUTED_VALUE"""),0.1073)</f>
        <v>0.1073</v>
      </c>
      <c r="L1772" s="19">
        <f>IFERROR(__xludf.DUMMYFUNCTION("""COMPUTED_VALUE"""),0.1287)</f>
        <v>0.1287</v>
      </c>
      <c r="M1772" s="18">
        <f>IFERROR(__xludf.DUMMYFUNCTION("""COMPUTED_VALUE"""),2.08)</f>
        <v>2.08</v>
      </c>
    </row>
    <row r="1773">
      <c r="A1773" s="13" t="str">
        <f>IFERROR(__xludf.DUMMYFUNCTION("""COMPUTED_VALUE"""),"товари")</f>
        <v>товари</v>
      </c>
      <c r="B1773" s="16" t="str">
        <f>IFERROR(__xludf.DUMMYFUNCTION("""COMPUTED_VALUE"""),"контрольно-вимірювальні прилади")</f>
        <v>контрольно-вимірювальні прилади</v>
      </c>
      <c r="C1773" s="16" t="str">
        <f>IFERROR(__xludf.DUMMYFUNCTION("""COMPUTED_VALUE"""),"електровимірювальні прилади")</f>
        <v>електровимірювальні прилади</v>
      </c>
      <c r="D1773" s="16" t="str">
        <f>IFERROR(__xludf.DUMMYFUNCTION("""COMPUTED_VALUE"""),"амперметри")</f>
        <v>амперметри</v>
      </c>
      <c r="E1773" s="16" t="str">
        <f>IFERROR(__xludf.DUMMYFUNCTION("""COMPUTED_VALUE"""),"амперметри")</f>
        <v>амперметри</v>
      </c>
      <c r="F1773" s="17">
        <f>IFERROR(__xludf.DUMMYFUNCTION("""COMPUTED_VALUE"""),3.0)</f>
        <v>3</v>
      </c>
      <c r="G1773" s="17" t="str">
        <f>IFERROR(__xludf.DUMMYFUNCTION("""COMPUTED_VALUE"""),"15370302")</f>
        <v>15370302</v>
      </c>
      <c r="H1773" s="17" t="str">
        <f>IFERROR(__xludf.DUMMYFUNCTION("""COMPUTED_VALUE"""),"амперметри")</f>
        <v>амперметри</v>
      </c>
      <c r="I1773" s="19">
        <f>IFERROR(__xludf.DUMMYFUNCTION("""COMPUTED_VALUE"""),0.0447)</f>
        <v>0.0447</v>
      </c>
      <c r="J1773" s="19">
        <f>IFERROR(__xludf.DUMMYFUNCTION("""COMPUTED_VALUE"""),0.0893)</f>
        <v>0.0893</v>
      </c>
      <c r="K1773" s="19">
        <f>IFERROR(__xludf.DUMMYFUNCTION("""COMPUTED_VALUE"""),0.1116)</f>
        <v>0.1116</v>
      </c>
      <c r="L1773" s="19">
        <f>IFERROR(__xludf.DUMMYFUNCTION("""COMPUTED_VALUE"""),0.134)</f>
        <v>0.134</v>
      </c>
      <c r="M1773" s="18">
        <f>IFERROR(__xludf.DUMMYFUNCTION("""COMPUTED_VALUE"""),1.05)</f>
        <v>1.05</v>
      </c>
    </row>
    <row r="1774">
      <c r="A1774" s="13" t="str">
        <f>IFERROR(__xludf.DUMMYFUNCTION("""COMPUTED_VALUE"""),"товари")</f>
        <v>товари</v>
      </c>
      <c r="B1774" s="16" t="str">
        <f>IFERROR(__xludf.DUMMYFUNCTION("""COMPUTED_VALUE"""),"контрольно-вимірювальні прилади")</f>
        <v>контрольно-вимірювальні прилади</v>
      </c>
      <c r="C1774" s="16" t="str">
        <f>IFERROR(__xludf.DUMMYFUNCTION("""COMPUTED_VALUE"""),"лабораторне, випробувальне обладнання")</f>
        <v>лабораторне, випробувальне обладнання</v>
      </c>
      <c r="D1774" s="16" t="str">
        <f>IFERROR(__xludf.DUMMYFUNCTION("""COMPUTED_VALUE"""),"аналізатори")</f>
        <v>аналізатори</v>
      </c>
      <c r="E1774" s="16" t="str">
        <f>IFERROR(__xludf.DUMMYFUNCTION("""COMPUTED_VALUE"""),"аналізатори грунту")</f>
        <v>аналізатори грунту</v>
      </c>
      <c r="F1774" s="17">
        <f>IFERROR(__xludf.DUMMYFUNCTION("""COMPUTED_VALUE"""),4.0)</f>
        <v>4</v>
      </c>
      <c r="G1774" s="17" t="str">
        <f>IFERROR(__xludf.DUMMYFUNCTION("""COMPUTED_VALUE"""),"15370116")</f>
        <v>15370116</v>
      </c>
      <c r="H1774" s="17" t="str">
        <f>IFERROR(__xludf.DUMMYFUNCTION("""COMPUTED_VALUE"""),"аналізатори грунту")</f>
        <v>аналізатори грунту</v>
      </c>
      <c r="I1774" s="19">
        <f>IFERROR(__xludf.DUMMYFUNCTION("""COMPUTED_VALUE"""),0.0709)</f>
        <v>0.0709</v>
      </c>
      <c r="J1774" s="19">
        <f>IFERROR(__xludf.DUMMYFUNCTION("""COMPUTED_VALUE"""),0.1417)</f>
        <v>0.1417</v>
      </c>
      <c r="K1774" s="19">
        <f>IFERROR(__xludf.DUMMYFUNCTION("""COMPUTED_VALUE"""),0.1771)</f>
        <v>0.1771</v>
      </c>
      <c r="L1774" s="19">
        <f>IFERROR(__xludf.DUMMYFUNCTION("""COMPUTED_VALUE"""),0.2126)</f>
        <v>0.2126</v>
      </c>
      <c r="M1774" s="18">
        <f>IFERROR(__xludf.DUMMYFUNCTION("""COMPUTED_VALUE"""),3.75)</f>
        <v>3.75</v>
      </c>
    </row>
    <row r="1775">
      <c r="A1775" s="13" t="str">
        <f>IFERROR(__xludf.DUMMYFUNCTION("""COMPUTED_VALUE"""),"товари")</f>
        <v>товари</v>
      </c>
      <c r="B1775" s="16" t="str">
        <f>IFERROR(__xludf.DUMMYFUNCTION("""COMPUTED_VALUE"""),"контрольно-вимірювальні прилади")</f>
        <v>контрольно-вимірювальні прилади</v>
      </c>
      <c r="C1775" s="16" t="str">
        <f>IFERROR(__xludf.DUMMYFUNCTION("""COMPUTED_VALUE"""),"радіовимірювальні прилади")</f>
        <v>радіовимірювальні прилади</v>
      </c>
      <c r="D1775" s="16" t="str">
        <f>IFERROR(__xludf.DUMMYFUNCTION("""COMPUTED_VALUE"""),"аналізатори спектру, шуму")</f>
        <v>аналізатори спектру, шуму</v>
      </c>
      <c r="E1775" s="16" t="str">
        <f>IFERROR(__xludf.DUMMYFUNCTION("""COMPUTED_VALUE"""),"аналізатори спектру, шуму")</f>
        <v>аналізатори спектру, шуму</v>
      </c>
      <c r="F1775" s="17">
        <f>IFERROR(__xludf.DUMMYFUNCTION("""COMPUTED_VALUE"""),3.0)</f>
        <v>3</v>
      </c>
      <c r="G1775" s="17" t="str">
        <f>IFERROR(__xludf.DUMMYFUNCTION("""COMPUTED_VALUE"""),"50504")</f>
        <v>50504</v>
      </c>
      <c r="H1775" s="17" t="str">
        <f>IFERROR(__xludf.DUMMYFUNCTION("""COMPUTED_VALUE"""),"аналізатори спектру, шуму")</f>
        <v>аналізатори спектру, шуму</v>
      </c>
      <c r="I1775" s="19">
        <f>IFERROR(__xludf.DUMMYFUNCTION("""COMPUTED_VALUE"""),0.0385)</f>
        <v>0.0385</v>
      </c>
      <c r="J1775" s="19">
        <f>IFERROR(__xludf.DUMMYFUNCTION("""COMPUTED_VALUE"""),0.077)</f>
        <v>0.077</v>
      </c>
      <c r="K1775" s="19">
        <f>IFERROR(__xludf.DUMMYFUNCTION("""COMPUTED_VALUE"""),0.0963)</f>
        <v>0.0963</v>
      </c>
      <c r="L1775" s="19">
        <f>IFERROR(__xludf.DUMMYFUNCTION("""COMPUTED_VALUE"""),0.1155)</f>
        <v>0.1155</v>
      </c>
      <c r="M1775" s="18">
        <f>IFERROR(__xludf.DUMMYFUNCTION("""COMPUTED_VALUE"""),1.05)</f>
        <v>1.05</v>
      </c>
    </row>
    <row r="1776">
      <c r="A1776" s="13" t="str">
        <f>IFERROR(__xludf.DUMMYFUNCTION("""COMPUTED_VALUE"""),"товари")</f>
        <v>товари</v>
      </c>
      <c r="B1776" s="16" t="str">
        <f>IFERROR(__xludf.DUMMYFUNCTION("""COMPUTED_VALUE"""),"контрольно-вимірювальні прилади")</f>
        <v>контрольно-вимірювальні прилади</v>
      </c>
      <c r="C1776" s="16" t="str">
        <f>IFERROR(__xludf.DUMMYFUNCTION("""COMPUTED_VALUE"""),"датчики")</f>
        <v>датчики</v>
      </c>
      <c r="D1776" s="16" t="str">
        <f>IFERROR(__xludf.DUMMYFUNCTION("""COMPUTED_VALUE"""),"анемометри")</f>
        <v>анемометри</v>
      </c>
      <c r="E1776" s="16" t="str">
        <f>IFERROR(__xludf.DUMMYFUNCTION("""COMPUTED_VALUE"""),"анемометри")</f>
        <v>анемометри</v>
      </c>
      <c r="F1776" s="17">
        <f>IFERROR(__xludf.DUMMYFUNCTION("""COMPUTED_VALUE"""),3.0)</f>
        <v>3</v>
      </c>
      <c r="G1776" s="17" t="str">
        <f>IFERROR(__xludf.DUMMYFUNCTION("""COMPUTED_VALUE"""),"153720")</f>
        <v>153720</v>
      </c>
      <c r="H1776" s="17" t="str">
        <f>IFERROR(__xludf.DUMMYFUNCTION("""COMPUTED_VALUE"""),"анемометри")</f>
        <v>анемометри</v>
      </c>
      <c r="I1776" s="19">
        <f>IFERROR(__xludf.DUMMYFUNCTION("""COMPUTED_VALUE"""),0.0553)</f>
        <v>0.0553</v>
      </c>
      <c r="J1776" s="19">
        <f>IFERROR(__xludf.DUMMYFUNCTION("""COMPUTED_VALUE"""),0.1106)</f>
        <v>0.1106</v>
      </c>
      <c r="K1776" s="19">
        <f>IFERROR(__xludf.DUMMYFUNCTION("""COMPUTED_VALUE"""),0.1383)</f>
        <v>0.1383</v>
      </c>
      <c r="L1776" s="19">
        <f>IFERROR(__xludf.DUMMYFUNCTION("""COMPUTED_VALUE"""),0.1659)</f>
        <v>0.1659</v>
      </c>
      <c r="M1776" s="18">
        <f>IFERROR(__xludf.DUMMYFUNCTION("""COMPUTED_VALUE"""),3.15)</f>
        <v>3.15</v>
      </c>
    </row>
    <row r="1777">
      <c r="A1777" s="13" t="str">
        <f>IFERROR(__xludf.DUMMYFUNCTION("""COMPUTED_VALUE"""),"товари")</f>
        <v>товари</v>
      </c>
      <c r="B1777" s="16" t="str">
        <f>IFERROR(__xludf.DUMMYFUNCTION("""COMPUTED_VALUE"""),"контрольно-вимірювальні прилади")</f>
        <v>контрольно-вимірювальні прилади</v>
      </c>
      <c r="C1777" s="16" t="str">
        <f>IFERROR(__xludf.DUMMYFUNCTION("""COMPUTED_VALUE"""),"лабораторне, випробувальне обладнання")</f>
        <v>лабораторне, випробувальне обладнання</v>
      </c>
      <c r="D1777" s="16" t="str">
        <f>IFERROR(__xludf.DUMMYFUNCTION("""COMPUTED_VALUE"""),"аналізатори")</f>
        <v>аналізатори</v>
      </c>
      <c r="E1777" s="16" t="str">
        <f>IFERROR(__xludf.DUMMYFUNCTION("""COMPUTED_VALUE"""),"ареометри")</f>
        <v>ареометри</v>
      </c>
      <c r="F1777" s="17">
        <f>IFERROR(__xludf.DUMMYFUNCTION("""COMPUTED_VALUE"""),4.0)</f>
        <v>4</v>
      </c>
      <c r="G1777" s="17" t="str">
        <f>IFERROR(__xludf.DUMMYFUNCTION("""COMPUTED_VALUE"""),"15370103")</f>
        <v>15370103</v>
      </c>
      <c r="H1777" s="17" t="str">
        <f>IFERROR(__xludf.DUMMYFUNCTION("""COMPUTED_VALUE"""),"ареометри")</f>
        <v>ареометри</v>
      </c>
      <c r="I1777" s="19">
        <f>IFERROR(__xludf.DUMMYFUNCTION("""COMPUTED_VALUE"""),0.0558)</f>
        <v>0.0558</v>
      </c>
      <c r="J1777" s="19">
        <f>IFERROR(__xludf.DUMMYFUNCTION("""COMPUTED_VALUE"""),0.1116)</f>
        <v>0.1116</v>
      </c>
      <c r="K1777" s="19">
        <f>IFERROR(__xludf.DUMMYFUNCTION("""COMPUTED_VALUE"""),0.1395)</f>
        <v>0.1395</v>
      </c>
      <c r="L1777" s="19">
        <f>IFERROR(__xludf.DUMMYFUNCTION("""COMPUTED_VALUE"""),0.1674)</f>
        <v>0.1674</v>
      </c>
      <c r="M1777" s="18">
        <f>IFERROR(__xludf.DUMMYFUNCTION("""COMPUTED_VALUE"""),3.75)</f>
        <v>3.75</v>
      </c>
    </row>
    <row r="1778">
      <c r="A1778" s="13" t="str">
        <f>IFERROR(__xludf.DUMMYFUNCTION("""COMPUTED_VALUE"""),"товари")</f>
        <v>товари</v>
      </c>
      <c r="B1778" s="16" t="str">
        <f>IFERROR(__xludf.DUMMYFUNCTION("""COMPUTED_VALUE"""),"контрольно-вимірювальні прилади")</f>
        <v>контрольно-вимірювальні прилади</v>
      </c>
      <c r="C1778" s="16" t="str">
        <f>IFERROR(__xludf.DUMMYFUNCTION("""COMPUTED_VALUE"""),"радіовимірювальні прилади")</f>
        <v>радіовимірювальні прилади</v>
      </c>
      <c r="D1778" s="16" t="str">
        <f>IFERROR(__xludf.DUMMYFUNCTION("""COMPUTED_VALUE"""),"атенюатори та прилади для вимірювання ослаблення")</f>
        <v>атенюатори та прилади для вимірювання ослаблення</v>
      </c>
      <c r="E1778" s="16" t="str">
        <f>IFERROR(__xludf.DUMMYFUNCTION("""COMPUTED_VALUE"""),"атенюатори та прилади для вимірювання ослаблення")</f>
        <v>атенюатори та прилади для вимірювання ослаблення</v>
      </c>
      <c r="F1778" s="17">
        <f>IFERROR(__xludf.DUMMYFUNCTION("""COMPUTED_VALUE"""),3.0)</f>
        <v>3</v>
      </c>
      <c r="G1778" s="17" t="str">
        <f>IFERROR(__xludf.DUMMYFUNCTION("""COMPUTED_VALUE"""),"15370313")</f>
        <v>15370313</v>
      </c>
      <c r="H1778" s="17" t="str">
        <f>IFERROR(__xludf.DUMMYFUNCTION("""COMPUTED_VALUE"""),"атенюатори та прилади для вимірювання ослаблення")</f>
        <v>атенюатори та прилади для вимірювання ослаблення</v>
      </c>
      <c r="I1778" s="19">
        <f>IFERROR(__xludf.DUMMYFUNCTION("""COMPUTED_VALUE"""),0.0385)</f>
        <v>0.0385</v>
      </c>
      <c r="J1778" s="19">
        <f>IFERROR(__xludf.DUMMYFUNCTION("""COMPUTED_VALUE"""),0.077)</f>
        <v>0.077</v>
      </c>
      <c r="K1778" s="19">
        <f>IFERROR(__xludf.DUMMYFUNCTION("""COMPUTED_VALUE"""),0.0963)</f>
        <v>0.0963</v>
      </c>
      <c r="L1778" s="19">
        <f>IFERROR(__xludf.DUMMYFUNCTION("""COMPUTED_VALUE"""),0.1155)</f>
        <v>0.1155</v>
      </c>
      <c r="M1778" s="18">
        <f>IFERROR(__xludf.DUMMYFUNCTION("""COMPUTED_VALUE"""),1.05)</f>
        <v>1.05</v>
      </c>
    </row>
    <row r="1779">
      <c r="A1779" s="13" t="str">
        <f>IFERROR(__xludf.DUMMYFUNCTION("""COMPUTED_VALUE"""),"товари")</f>
        <v>товари</v>
      </c>
      <c r="B1779" s="16" t="str">
        <f>IFERROR(__xludf.DUMMYFUNCTION("""COMPUTED_VALUE"""),"контрольно-вимірювальні прилади")</f>
        <v>контрольно-вимірювальні прилади</v>
      </c>
      <c r="C1779" s="16" t="str">
        <f>IFERROR(__xludf.DUMMYFUNCTION("""COMPUTED_VALUE"""),"вагове обладнання")</f>
        <v>вагове обладнання</v>
      </c>
      <c r="D1779" s="16" t="str">
        <f>IFERROR(__xludf.DUMMYFUNCTION("""COMPUTED_VALUE"""),"ваги медичні, ростоміри")</f>
        <v>ваги медичні, ростоміри</v>
      </c>
      <c r="E1779" s="16" t="str">
        <f>IFERROR(__xludf.DUMMYFUNCTION("""COMPUTED_VALUE"""),"ваги медичні, ростоміри")</f>
        <v>ваги медичні, ростоміри</v>
      </c>
      <c r="F1779" s="17">
        <f>IFERROR(__xludf.DUMMYFUNCTION("""COMPUTED_VALUE"""),3.0)</f>
        <v>3</v>
      </c>
      <c r="G1779" s="17" t="str">
        <f>IFERROR(__xludf.DUMMYFUNCTION("""COMPUTED_VALUE"""),"15371117")</f>
        <v>15371117</v>
      </c>
      <c r="H1779" s="17" t="str">
        <f>IFERROR(__xludf.DUMMYFUNCTION("""COMPUTED_VALUE"""),"ваги медичні, ростоміри")</f>
        <v>ваги медичні, ростоміри</v>
      </c>
      <c r="I1779" s="19">
        <f>IFERROR(__xludf.DUMMYFUNCTION("""COMPUTED_VALUE"""),0.0647)</f>
        <v>0.0647</v>
      </c>
      <c r="J1779" s="19">
        <f>IFERROR(__xludf.DUMMYFUNCTION("""COMPUTED_VALUE"""),0.1294)</f>
        <v>0.1294</v>
      </c>
      <c r="K1779" s="19">
        <f>IFERROR(__xludf.DUMMYFUNCTION("""COMPUTED_VALUE"""),0.1618)</f>
        <v>0.1618</v>
      </c>
      <c r="L1779" s="19">
        <f>IFERROR(__xludf.DUMMYFUNCTION("""COMPUTED_VALUE"""),0.1941)</f>
        <v>0.1941</v>
      </c>
      <c r="M1779" s="18">
        <f>IFERROR(__xludf.DUMMYFUNCTION("""COMPUTED_VALUE"""),3.96)</f>
        <v>3.96</v>
      </c>
    </row>
    <row r="1780">
      <c r="A1780" s="13" t="str">
        <f>IFERROR(__xludf.DUMMYFUNCTION("""COMPUTED_VALUE"""),"товари")</f>
        <v>товари</v>
      </c>
      <c r="B1780" s="16" t="str">
        <f>IFERROR(__xludf.DUMMYFUNCTION("""COMPUTED_VALUE"""),"контрольно-вимірювальні прилади")</f>
        <v>контрольно-вимірювальні прилади</v>
      </c>
      <c r="C1780" s="16" t="str">
        <f>IFERROR(__xludf.DUMMYFUNCTION("""COMPUTED_VALUE"""),"вагове обладнання")</f>
        <v>вагове обладнання</v>
      </c>
      <c r="D1780" s="16" t="str">
        <f>IFERROR(__xludf.DUMMYFUNCTION("""COMPUTED_VALUE"""),"ваги рахункові")</f>
        <v>ваги рахункові</v>
      </c>
      <c r="E1780" s="16" t="str">
        <f>IFERROR(__xludf.DUMMYFUNCTION("""COMPUTED_VALUE"""),"ваги рахункові")</f>
        <v>ваги рахункові</v>
      </c>
      <c r="F1780" s="17">
        <f>IFERROR(__xludf.DUMMYFUNCTION("""COMPUTED_VALUE"""),3.0)</f>
        <v>3</v>
      </c>
      <c r="G1780" s="17" t="str">
        <f>IFERROR(__xludf.DUMMYFUNCTION("""COMPUTED_VALUE"""),"15371102")</f>
        <v>15371102</v>
      </c>
      <c r="H1780" s="17" t="str">
        <f>IFERROR(__xludf.DUMMYFUNCTION("""COMPUTED_VALUE"""),"ваги рахункові")</f>
        <v>ваги рахункові</v>
      </c>
      <c r="I1780" s="19">
        <f>IFERROR(__xludf.DUMMYFUNCTION("""COMPUTED_VALUE"""),0.0716)</f>
        <v>0.0716</v>
      </c>
      <c r="J1780" s="19">
        <f>IFERROR(__xludf.DUMMYFUNCTION("""COMPUTED_VALUE"""),0.1432)</f>
        <v>0.1432</v>
      </c>
      <c r="K1780" s="19">
        <f>IFERROR(__xludf.DUMMYFUNCTION("""COMPUTED_VALUE"""),0.179)</f>
        <v>0.179</v>
      </c>
      <c r="L1780" s="19">
        <f>IFERROR(__xludf.DUMMYFUNCTION("""COMPUTED_VALUE"""),0.2148)</f>
        <v>0.2148</v>
      </c>
      <c r="M1780" s="18">
        <f>IFERROR(__xludf.DUMMYFUNCTION("""COMPUTED_VALUE"""),5.33)</f>
        <v>5.33</v>
      </c>
    </row>
    <row r="1781">
      <c r="A1781" s="13" t="str">
        <f>IFERROR(__xludf.DUMMYFUNCTION("""COMPUTED_VALUE"""),"товари")</f>
        <v>товари</v>
      </c>
      <c r="B1781" s="16" t="str">
        <f>IFERROR(__xludf.DUMMYFUNCTION("""COMPUTED_VALUE"""),"контрольно-вимірювальні прилади")</f>
        <v>контрольно-вимірювальні прилади</v>
      </c>
      <c r="C1781" s="16" t="str">
        <f>IFERROR(__xludf.DUMMYFUNCTION("""COMPUTED_VALUE"""),"вагове обладнання")</f>
        <v>вагове обладнання</v>
      </c>
      <c r="D1781" s="16" t="str">
        <f>IFERROR(__xludf.DUMMYFUNCTION("""COMPUTED_VALUE"""),"ваги торгові")</f>
        <v>ваги торгові</v>
      </c>
      <c r="E1781" s="16" t="str">
        <f>IFERROR(__xludf.DUMMYFUNCTION("""COMPUTED_VALUE"""),"ваги торгові")</f>
        <v>ваги торгові</v>
      </c>
      <c r="F1781" s="17">
        <f>IFERROR(__xludf.DUMMYFUNCTION("""COMPUTED_VALUE"""),3.0)</f>
        <v>3</v>
      </c>
      <c r="G1781" s="17" t="str">
        <f>IFERROR(__xludf.DUMMYFUNCTION("""COMPUTED_VALUE"""),"15371107")</f>
        <v>15371107</v>
      </c>
      <c r="H1781" s="17" t="str">
        <f>IFERROR(__xludf.DUMMYFUNCTION("""COMPUTED_VALUE"""),"ваги торгові")</f>
        <v>ваги торгові</v>
      </c>
      <c r="I1781" s="19">
        <f>IFERROR(__xludf.DUMMYFUNCTION("""COMPUTED_VALUE"""),0.0648)</f>
        <v>0.0648</v>
      </c>
      <c r="J1781" s="19">
        <f>IFERROR(__xludf.DUMMYFUNCTION("""COMPUTED_VALUE"""),0.1296)</f>
        <v>0.1296</v>
      </c>
      <c r="K1781" s="19">
        <f>IFERROR(__xludf.DUMMYFUNCTION("""COMPUTED_VALUE"""),0.162)</f>
        <v>0.162</v>
      </c>
      <c r="L1781" s="19">
        <f>IFERROR(__xludf.DUMMYFUNCTION("""COMPUTED_VALUE"""),0.1944)</f>
        <v>0.1944</v>
      </c>
      <c r="M1781" s="18">
        <f>IFERROR(__xludf.DUMMYFUNCTION("""COMPUTED_VALUE"""),4.65)</f>
        <v>4.65</v>
      </c>
    </row>
    <row r="1782">
      <c r="A1782" s="13" t="str">
        <f>IFERROR(__xludf.DUMMYFUNCTION("""COMPUTED_VALUE"""),"товари")</f>
        <v>товари</v>
      </c>
      <c r="B1782" s="16" t="str">
        <f>IFERROR(__xludf.DUMMYFUNCTION("""COMPUTED_VALUE"""),"контрольно-вимірювальні прилади")</f>
        <v>контрольно-вимірювальні прилади</v>
      </c>
      <c r="C1782" s="16" t="str">
        <f>IFERROR(__xludf.DUMMYFUNCTION("""COMPUTED_VALUE"""),"вагове обладнання")</f>
        <v>вагове обладнання</v>
      </c>
      <c r="D1782" s="16" t="str">
        <f>IFERROR(__xludf.DUMMYFUNCTION("""COMPUTED_VALUE"""),"ваги ювелірні")</f>
        <v>ваги ювелірні</v>
      </c>
      <c r="E1782" s="16" t="str">
        <f>IFERROR(__xludf.DUMMYFUNCTION("""COMPUTED_VALUE"""),"ваги ювелірні")</f>
        <v>ваги ювелірні</v>
      </c>
      <c r="F1782" s="17">
        <f>IFERROR(__xludf.DUMMYFUNCTION("""COMPUTED_VALUE"""),3.0)</f>
        <v>3</v>
      </c>
      <c r="G1782" s="17" t="str">
        <f>IFERROR(__xludf.DUMMYFUNCTION("""COMPUTED_VALUE"""),"15371103")</f>
        <v>15371103</v>
      </c>
      <c r="H1782" s="17" t="str">
        <f>IFERROR(__xludf.DUMMYFUNCTION("""COMPUTED_VALUE"""),"ваги ювелірні")</f>
        <v>ваги ювелірні</v>
      </c>
      <c r="I1782" s="19">
        <f>IFERROR(__xludf.DUMMYFUNCTION("""COMPUTED_VALUE"""),0.0809)</f>
        <v>0.0809</v>
      </c>
      <c r="J1782" s="19">
        <f>IFERROR(__xludf.DUMMYFUNCTION("""COMPUTED_VALUE"""),0.1617)</f>
        <v>0.1617</v>
      </c>
      <c r="K1782" s="19">
        <f>IFERROR(__xludf.DUMMYFUNCTION("""COMPUTED_VALUE"""),0.2021)</f>
        <v>0.2021</v>
      </c>
      <c r="L1782" s="19">
        <f>IFERROR(__xludf.DUMMYFUNCTION("""COMPUTED_VALUE"""),0.2426)</f>
        <v>0.2426</v>
      </c>
      <c r="M1782" s="18">
        <f>IFERROR(__xludf.DUMMYFUNCTION("""COMPUTED_VALUE"""),2.7)</f>
        <v>2.7</v>
      </c>
    </row>
    <row r="1783">
      <c r="A1783" s="13" t="str">
        <f>IFERROR(__xludf.DUMMYFUNCTION("""COMPUTED_VALUE"""),"товари")</f>
        <v>товари</v>
      </c>
      <c r="B1783" s="16" t="str">
        <f>IFERROR(__xludf.DUMMYFUNCTION("""COMPUTED_VALUE"""),"контрольно-вимірювальні прилади")</f>
        <v>контрольно-вимірювальні прилади</v>
      </c>
      <c r="C1783" s="16" t="str">
        <f>IFERROR(__xludf.DUMMYFUNCTION("""COMPUTED_VALUE"""),"вагове обладнання")</f>
        <v>вагове обладнання</v>
      </c>
      <c r="D1783" s="16" t="str">
        <f>IFERROR(__xludf.DUMMYFUNCTION("""COMPUTED_VALUE"""),"ваги, загальне")</f>
        <v>ваги, загальне</v>
      </c>
      <c r="E1783" s="16" t="str">
        <f>IFERROR(__xludf.DUMMYFUNCTION("""COMPUTED_VALUE"""),"ваги, загальне")</f>
        <v>ваги, загальне</v>
      </c>
      <c r="F1783" s="17">
        <f>IFERROR(__xludf.DUMMYFUNCTION("""COMPUTED_VALUE"""),3.0)</f>
        <v>3</v>
      </c>
      <c r="G1783" s="17" t="str">
        <f>IFERROR(__xludf.DUMMYFUNCTION("""COMPUTED_VALUE"""),"15371109")</f>
        <v>15371109</v>
      </c>
      <c r="H1783" s="17" t="str">
        <f>IFERROR(__xludf.DUMMYFUNCTION("""COMPUTED_VALUE"""),"ваги, загальне")</f>
        <v>ваги, загальне</v>
      </c>
      <c r="I1783" s="19">
        <f>IFERROR(__xludf.DUMMYFUNCTION("""COMPUTED_VALUE"""),0.125)</f>
        <v>0.125</v>
      </c>
      <c r="J1783" s="19">
        <f>IFERROR(__xludf.DUMMYFUNCTION("""COMPUTED_VALUE"""),0.25)</f>
        <v>0.25</v>
      </c>
      <c r="K1783" s="19">
        <f>IFERROR(__xludf.DUMMYFUNCTION("""COMPUTED_VALUE"""),0.3125)</f>
        <v>0.3125</v>
      </c>
      <c r="L1783" s="19">
        <f>IFERROR(__xludf.DUMMYFUNCTION("""COMPUTED_VALUE"""),0.375)</f>
        <v>0.375</v>
      </c>
      <c r="M1783" s="18">
        <f>IFERROR(__xludf.DUMMYFUNCTION("""COMPUTED_VALUE"""),4.33)</f>
        <v>4.33</v>
      </c>
    </row>
    <row r="1784">
      <c r="A1784" s="13" t="str">
        <f>IFERROR(__xludf.DUMMYFUNCTION("""COMPUTED_VALUE"""),"товари")</f>
        <v>товари</v>
      </c>
      <c r="B1784" s="16" t="str">
        <f>IFERROR(__xludf.DUMMYFUNCTION("""COMPUTED_VALUE"""),"контрольно-вимірювальні прилади")</f>
        <v>контрольно-вимірювальні прилади</v>
      </c>
      <c r="C1784" s="16" t="str">
        <f>IFERROR(__xludf.DUMMYFUNCTION("""COMPUTED_VALUE"""),"радіовимірювальні прилади")</f>
        <v>радіовимірювальні прилади</v>
      </c>
      <c r="D1784" s="16" t="str">
        <f>IFERROR(__xludf.DUMMYFUNCTION("""COMPUTED_VALUE"""),"ватметри")</f>
        <v>ватметри</v>
      </c>
      <c r="E1784" s="16" t="str">
        <f>IFERROR(__xludf.DUMMYFUNCTION("""COMPUTED_VALUE"""),"ватметри")</f>
        <v>ватметри</v>
      </c>
      <c r="F1784" s="17">
        <f>IFERROR(__xludf.DUMMYFUNCTION("""COMPUTED_VALUE"""),3.0)</f>
        <v>3</v>
      </c>
      <c r="G1784" s="17" t="str">
        <f>IFERROR(__xludf.DUMMYFUNCTION("""COMPUTED_VALUE"""),"15370308")</f>
        <v>15370308</v>
      </c>
      <c r="H1784" s="17" t="str">
        <f>IFERROR(__xludf.DUMMYFUNCTION("""COMPUTED_VALUE"""),"ватметри")</f>
        <v>ватметри</v>
      </c>
      <c r="I1784" s="19">
        <f>IFERROR(__xludf.DUMMYFUNCTION("""COMPUTED_VALUE"""),0.0539)</f>
        <v>0.0539</v>
      </c>
      <c r="J1784" s="19">
        <f>IFERROR(__xludf.DUMMYFUNCTION("""COMPUTED_VALUE"""),0.1078)</f>
        <v>0.1078</v>
      </c>
      <c r="K1784" s="19">
        <f>IFERROR(__xludf.DUMMYFUNCTION("""COMPUTED_VALUE"""),0.1348)</f>
        <v>0.1348</v>
      </c>
      <c r="L1784" s="19">
        <f>IFERROR(__xludf.DUMMYFUNCTION("""COMPUTED_VALUE"""),0.1617)</f>
        <v>0.1617</v>
      </c>
      <c r="M1784" s="18">
        <f>IFERROR(__xludf.DUMMYFUNCTION("""COMPUTED_VALUE"""),1.05)</f>
        <v>1.05</v>
      </c>
    </row>
    <row r="1785">
      <c r="A1785" s="13" t="str">
        <f>IFERROR(__xludf.DUMMYFUNCTION("""COMPUTED_VALUE"""),"товари")</f>
        <v>товари</v>
      </c>
      <c r="B1785" s="16" t="str">
        <f>IFERROR(__xludf.DUMMYFUNCTION("""COMPUTED_VALUE"""),"контрольно-вимірювальні прилади")</f>
        <v>контрольно-вимірювальні прилади</v>
      </c>
      <c r="C1785" s="16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1785" s="16" t="str">
        <f>IFERROR(__xludf.DUMMYFUNCTION("""COMPUTED_VALUE"""),"вимірювальний інструмент, загальне")</f>
        <v>вимірювальний інструмент, загальне</v>
      </c>
      <c r="E1785" s="16" t="str">
        <f>IFERROR(__xludf.DUMMYFUNCTION("""COMPUTED_VALUE"""),"вимірювальний інструмент, загальне")</f>
        <v>вимірювальний інструмент, загальне</v>
      </c>
      <c r="F1785" s="17">
        <f>IFERROR(__xludf.DUMMYFUNCTION("""COMPUTED_VALUE"""),3.0)</f>
        <v>3</v>
      </c>
      <c r="G1785" s="17" t="str">
        <f>IFERROR(__xludf.DUMMYFUNCTION("""COMPUTED_VALUE"""),"14200699")</f>
        <v>14200699</v>
      </c>
      <c r="H1785" s="17" t="str">
        <f>IFERROR(__xludf.DUMMYFUNCTION("""COMPUTED_VALUE"""),"вимірювальний інструмент, загальне")</f>
        <v>вимірювальний інструмент, загальне</v>
      </c>
      <c r="I1785" s="19">
        <f>IFERROR(__xludf.DUMMYFUNCTION("""COMPUTED_VALUE"""),0.125)</f>
        <v>0.125</v>
      </c>
      <c r="J1785" s="19">
        <f>IFERROR(__xludf.DUMMYFUNCTION("""COMPUTED_VALUE"""),0.25)</f>
        <v>0.25</v>
      </c>
      <c r="K1785" s="19">
        <f>IFERROR(__xludf.DUMMYFUNCTION("""COMPUTED_VALUE"""),0.3125)</f>
        <v>0.3125</v>
      </c>
      <c r="L1785" s="19">
        <f>IFERROR(__xludf.DUMMYFUNCTION("""COMPUTED_VALUE"""),0.375)</f>
        <v>0.375</v>
      </c>
      <c r="M1785" s="18">
        <f>IFERROR(__xludf.DUMMYFUNCTION("""COMPUTED_VALUE"""),4.33)</f>
        <v>4.33</v>
      </c>
    </row>
    <row r="1786">
      <c r="A1786" s="13" t="str">
        <f>IFERROR(__xludf.DUMMYFUNCTION("""COMPUTED_VALUE"""),"товари")</f>
        <v>товари</v>
      </c>
      <c r="B1786" s="16" t="str">
        <f>IFERROR(__xludf.DUMMYFUNCTION("""COMPUTED_VALUE"""),"контрольно-вимірювальні прилади")</f>
        <v>контрольно-вимірювальні прилади</v>
      </c>
      <c r="C1786" s="16" t="str">
        <f>IFERROR(__xludf.DUMMYFUNCTION("""COMPUTED_VALUE"""),"вимірювальні прилади, загальне")</f>
        <v>вимірювальні прилади, загальне</v>
      </c>
      <c r="D1786" s="16" t="str">
        <f>IFERROR(__xludf.DUMMYFUNCTION("""COMPUTED_VALUE"""),"вимірювальні прилади, загальне")</f>
        <v>вимірювальні прилади, загальне</v>
      </c>
      <c r="E1786" s="16" t="str">
        <f>IFERROR(__xludf.DUMMYFUNCTION("""COMPUTED_VALUE"""),"вимірювальні прилади, загальне")</f>
        <v>вимірювальні прилади, загальне</v>
      </c>
      <c r="F1786" s="17">
        <f>IFERROR(__xludf.DUMMYFUNCTION("""COMPUTED_VALUE"""),2.0)</f>
        <v>2</v>
      </c>
      <c r="G1786" s="17" t="str">
        <f>IFERROR(__xludf.DUMMYFUNCTION("""COMPUTED_VALUE"""),"153712")</f>
        <v>153712</v>
      </c>
      <c r="H1786" s="17" t="str">
        <f>IFERROR(__xludf.DUMMYFUNCTION("""COMPUTED_VALUE"""),"вимірювальні прилади, загальне")</f>
        <v>вимірювальні прилади, загальне</v>
      </c>
      <c r="I1786" s="19">
        <f>IFERROR(__xludf.DUMMYFUNCTION("""COMPUTED_VALUE"""),0.125)</f>
        <v>0.125</v>
      </c>
      <c r="J1786" s="19">
        <f>IFERROR(__xludf.DUMMYFUNCTION("""COMPUTED_VALUE"""),0.25)</f>
        <v>0.25</v>
      </c>
      <c r="K1786" s="19">
        <f>IFERROR(__xludf.DUMMYFUNCTION("""COMPUTED_VALUE"""),0.3125)</f>
        <v>0.3125</v>
      </c>
      <c r="L1786" s="19">
        <f>IFERROR(__xludf.DUMMYFUNCTION("""COMPUTED_VALUE"""),0.375)</f>
        <v>0.375</v>
      </c>
      <c r="M1786" s="18">
        <f>IFERROR(__xludf.DUMMYFUNCTION("""COMPUTED_VALUE"""),4.33)</f>
        <v>4.33</v>
      </c>
    </row>
    <row r="1787">
      <c r="A1787" s="13" t="str">
        <f>IFERROR(__xludf.DUMMYFUNCTION("""COMPUTED_VALUE"""),"товари")</f>
        <v>товари</v>
      </c>
      <c r="B1787" s="16" t="str">
        <f>IFERROR(__xludf.DUMMYFUNCTION("""COMPUTED_VALUE"""),"контрольно-вимірювальні прилади")</f>
        <v>контрольно-вимірювальні прилади</v>
      </c>
      <c r="C1787" s="16" t="str">
        <f>IFERROR(__xludf.DUMMYFUNCTION("""COMPUTED_VALUE"""),"лабораторне, випробувальне обладнання")</f>
        <v>лабораторне, випробувальне обладнання</v>
      </c>
      <c r="D1787" s="16" t="str">
        <f>IFERROR(__xludf.DUMMYFUNCTION("""COMPUTED_VALUE"""),"аналізатори")</f>
        <v>аналізатори</v>
      </c>
      <c r="E1787" s="16" t="str">
        <f>IFERROR(__xludf.DUMMYFUNCTION("""COMPUTED_VALUE"""),"вимірювачі ph")</f>
        <v>вимірювачі ph</v>
      </c>
      <c r="F1787" s="17">
        <f>IFERROR(__xludf.DUMMYFUNCTION("""COMPUTED_VALUE"""),4.0)</f>
        <v>4</v>
      </c>
      <c r="G1787" s="17" t="str">
        <f>IFERROR(__xludf.DUMMYFUNCTION("""COMPUTED_VALUE"""),"15370106")</f>
        <v>15370106</v>
      </c>
      <c r="H1787" s="17" t="str">
        <f>IFERROR(__xludf.DUMMYFUNCTION("""COMPUTED_VALUE"""),"вимірювачі ph")</f>
        <v>вимірювачі ph</v>
      </c>
      <c r="I1787" s="19">
        <f>IFERROR(__xludf.DUMMYFUNCTION("""COMPUTED_VALUE"""),0.0709)</f>
        <v>0.0709</v>
      </c>
      <c r="J1787" s="19">
        <f>IFERROR(__xludf.DUMMYFUNCTION("""COMPUTED_VALUE"""),0.1417)</f>
        <v>0.1417</v>
      </c>
      <c r="K1787" s="19">
        <f>IFERROR(__xludf.DUMMYFUNCTION("""COMPUTED_VALUE"""),0.1771)</f>
        <v>0.1771</v>
      </c>
      <c r="L1787" s="19">
        <f>IFERROR(__xludf.DUMMYFUNCTION("""COMPUTED_VALUE"""),0.2126)</f>
        <v>0.2126</v>
      </c>
      <c r="M1787" s="18">
        <f>IFERROR(__xludf.DUMMYFUNCTION("""COMPUTED_VALUE"""),3.75)</f>
        <v>3.75</v>
      </c>
    </row>
    <row r="1788">
      <c r="A1788" s="13" t="str">
        <f>IFERROR(__xludf.DUMMYFUNCTION("""COMPUTED_VALUE"""),"товари")</f>
        <v>товари</v>
      </c>
      <c r="B1788" s="16" t="str">
        <f>IFERROR(__xludf.DUMMYFUNCTION("""COMPUTED_VALUE"""),"контрольно-вимірювальні прилади")</f>
        <v>контрольно-вимірювальні прилади</v>
      </c>
      <c r="C1788" s="16" t="str">
        <f>IFERROR(__xludf.DUMMYFUNCTION("""COMPUTED_VALUE"""),"радіовимірювальні прилади")</f>
        <v>радіовимірювальні прилади</v>
      </c>
      <c r="D1788" s="16" t="str">
        <f>IFERROR(__xludf.DUMMYFUNCTION("""COMPUTED_VALUE"""),"вимірювачі імітансу")</f>
        <v>вимірювачі імітансу</v>
      </c>
      <c r="E1788" s="16" t="str">
        <f>IFERROR(__xludf.DUMMYFUNCTION("""COMPUTED_VALUE"""),"вимірювачі імітансу")</f>
        <v>вимірювачі імітансу</v>
      </c>
      <c r="F1788" s="17">
        <f>IFERROR(__xludf.DUMMYFUNCTION("""COMPUTED_VALUE"""),3.0)</f>
        <v>3</v>
      </c>
      <c r="G1788" s="17" t="str">
        <f>IFERROR(__xludf.DUMMYFUNCTION("""COMPUTED_VALUE"""),"15370315")</f>
        <v>15370315</v>
      </c>
      <c r="H1788" s="17" t="str">
        <f>IFERROR(__xludf.DUMMYFUNCTION("""COMPUTED_VALUE"""),"вимірювачі імітансу")</f>
        <v>вимірювачі імітансу</v>
      </c>
      <c r="I1788" s="19">
        <f>IFERROR(__xludf.DUMMYFUNCTION("""COMPUTED_VALUE"""),0.033)</f>
        <v>0.033</v>
      </c>
      <c r="J1788" s="19">
        <f>IFERROR(__xludf.DUMMYFUNCTION("""COMPUTED_VALUE"""),0.066)</f>
        <v>0.066</v>
      </c>
      <c r="K1788" s="19">
        <f>IFERROR(__xludf.DUMMYFUNCTION("""COMPUTED_VALUE"""),0.0825)</f>
        <v>0.0825</v>
      </c>
      <c r="L1788" s="19">
        <f>IFERROR(__xludf.DUMMYFUNCTION("""COMPUTED_VALUE"""),0.099)</f>
        <v>0.099</v>
      </c>
      <c r="M1788" s="18">
        <f>IFERROR(__xludf.DUMMYFUNCTION("""COMPUTED_VALUE"""),1.05)</f>
        <v>1.05</v>
      </c>
    </row>
    <row r="1789">
      <c r="A1789" s="13" t="str">
        <f>IFERROR(__xludf.DUMMYFUNCTION("""COMPUTED_VALUE"""),"товари")</f>
        <v>товари</v>
      </c>
      <c r="B1789" s="16" t="str">
        <f>IFERROR(__xludf.DUMMYFUNCTION("""COMPUTED_VALUE"""),"контрольно-вимірювальні прилади")</f>
        <v>контрольно-вимірювальні прилади</v>
      </c>
      <c r="C1789" s="16" t="str">
        <f>IFERROR(__xludf.DUMMYFUNCTION("""COMPUTED_VALUE"""),"вимірювачі фізичних параметрів")</f>
        <v>вимірювачі фізичних параметрів</v>
      </c>
      <c r="D1789" s="16" t="str">
        <f>IFERROR(__xludf.DUMMYFUNCTION("""COMPUTED_VALUE"""),"вимірювачі фізичних параметрів, загальне")</f>
        <v>вимірювачі фізичних параметрів, загальне</v>
      </c>
      <c r="E1789" s="16" t="str">
        <f>IFERROR(__xludf.DUMMYFUNCTION("""COMPUTED_VALUE"""),"вимірювачі фізичних параметрів, загальне")</f>
        <v>вимірювачі фізичних параметрів, загальне</v>
      </c>
      <c r="F1789" s="17">
        <f>IFERROR(__xludf.DUMMYFUNCTION("""COMPUTED_VALUE"""),3.0)</f>
        <v>3</v>
      </c>
      <c r="G1789" s="17" t="str">
        <f>IFERROR(__xludf.DUMMYFUNCTION("""COMPUTED_VALUE"""),"15370699")</f>
        <v>15370699</v>
      </c>
      <c r="H1789" s="17" t="str">
        <f>IFERROR(__xludf.DUMMYFUNCTION("""COMPUTED_VALUE"""),"вимірювачі фізичних параметрів, загальне")</f>
        <v>вимірювачі фізичних параметрів, загальне</v>
      </c>
      <c r="I1789" s="19">
        <f>IFERROR(__xludf.DUMMYFUNCTION("""COMPUTED_VALUE"""),0.125)</f>
        <v>0.125</v>
      </c>
      <c r="J1789" s="19">
        <f>IFERROR(__xludf.DUMMYFUNCTION("""COMPUTED_VALUE"""),0.25)</f>
        <v>0.25</v>
      </c>
      <c r="K1789" s="19">
        <f>IFERROR(__xludf.DUMMYFUNCTION("""COMPUTED_VALUE"""),0.3125)</f>
        <v>0.3125</v>
      </c>
      <c r="L1789" s="19">
        <f>IFERROR(__xludf.DUMMYFUNCTION("""COMPUTED_VALUE"""),0.375)</f>
        <v>0.375</v>
      </c>
      <c r="M1789" s="18">
        <f>IFERROR(__xludf.DUMMYFUNCTION("""COMPUTED_VALUE"""),4.33)</f>
        <v>4.33</v>
      </c>
    </row>
    <row r="1790">
      <c r="A1790" s="13" t="str">
        <f>IFERROR(__xludf.DUMMYFUNCTION("""COMPUTED_VALUE"""),"товари")</f>
        <v>товари</v>
      </c>
      <c r="B1790" s="16" t="str">
        <f>IFERROR(__xludf.DUMMYFUNCTION("""COMPUTED_VALUE"""),"контрольно-вимірювальні прилади")</f>
        <v>контрольно-вимірювальні прилади</v>
      </c>
      <c r="C1790" s="16" t="str">
        <f>IFERROR(__xludf.DUMMYFUNCTION("""COMPUTED_VALUE"""),"витратоміри, лічильники")</f>
        <v>витратоміри, лічильники</v>
      </c>
      <c r="D1790" s="16" t="str">
        <f>IFERROR(__xludf.DUMMYFUNCTION("""COMPUTED_VALUE"""),"витратоміри рідин")</f>
        <v>витратоміри рідин</v>
      </c>
      <c r="E1790" s="16" t="str">
        <f>IFERROR(__xludf.DUMMYFUNCTION("""COMPUTED_VALUE"""),"витратоміри рідин")</f>
        <v>витратоміри рідин</v>
      </c>
      <c r="F1790" s="17">
        <f>IFERROR(__xludf.DUMMYFUNCTION("""COMPUTED_VALUE"""),3.0)</f>
        <v>3</v>
      </c>
      <c r="G1790" s="17" t="str">
        <f>IFERROR(__xludf.DUMMYFUNCTION("""COMPUTED_VALUE"""),"15370401")</f>
        <v>15370401</v>
      </c>
      <c r="H1790" s="17" t="str">
        <f>IFERROR(__xludf.DUMMYFUNCTION("""COMPUTED_VALUE"""),"витратоміри рідин")</f>
        <v>витратоміри рідин</v>
      </c>
      <c r="I1790" s="19">
        <f>IFERROR(__xludf.DUMMYFUNCTION("""COMPUTED_VALUE"""),0.0626)</f>
        <v>0.0626</v>
      </c>
      <c r="J1790" s="19">
        <f>IFERROR(__xludf.DUMMYFUNCTION("""COMPUTED_VALUE"""),0.1251)</f>
        <v>0.1251</v>
      </c>
      <c r="K1790" s="19">
        <f>IFERROR(__xludf.DUMMYFUNCTION("""COMPUTED_VALUE"""),0.1564)</f>
        <v>0.1564</v>
      </c>
      <c r="L1790" s="19">
        <f>IFERROR(__xludf.DUMMYFUNCTION("""COMPUTED_VALUE"""),0.1877)</f>
        <v>0.1877</v>
      </c>
      <c r="M1790" s="18">
        <f>IFERROR(__xludf.DUMMYFUNCTION("""COMPUTED_VALUE"""),1.53)</f>
        <v>1.53</v>
      </c>
    </row>
    <row r="1791">
      <c r="A1791" s="13" t="str">
        <f>IFERROR(__xludf.DUMMYFUNCTION("""COMPUTED_VALUE"""),"товари")</f>
        <v>товари</v>
      </c>
      <c r="B1791" s="16" t="str">
        <f>IFERROR(__xludf.DUMMYFUNCTION("""COMPUTED_VALUE"""),"контрольно-вимірювальні прилади")</f>
        <v>контрольно-вимірювальні прилади</v>
      </c>
      <c r="C1791" s="16" t="str">
        <f>IFERROR(__xludf.DUMMYFUNCTION("""COMPUTED_VALUE"""),"витратоміри, лічильники")</f>
        <v>витратоміри, лічильники</v>
      </c>
      <c r="D1791" s="16" t="str">
        <f>IFERROR(__xludf.DUMMYFUNCTION("""COMPUTED_VALUE"""),"витратоміри, загальне")</f>
        <v>витратоміри, загальне</v>
      </c>
      <c r="E1791" s="16" t="str">
        <f>IFERROR(__xludf.DUMMYFUNCTION("""COMPUTED_VALUE"""),"витратоміри, загальне")</f>
        <v>витратоміри, загальне</v>
      </c>
      <c r="F1791" s="17">
        <f>IFERROR(__xludf.DUMMYFUNCTION("""COMPUTED_VALUE"""),3.0)</f>
        <v>3</v>
      </c>
      <c r="G1791" s="17" t="str">
        <f>IFERROR(__xludf.DUMMYFUNCTION("""COMPUTED_VALUE"""),"15370499")</f>
        <v>15370499</v>
      </c>
      <c r="H1791" s="17" t="str">
        <f>IFERROR(__xludf.DUMMYFUNCTION("""COMPUTED_VALUE"""),"витратоміри, загальне")</f>
        <v>витратоміри, загальне</v>
      </c>
      <c r="I1791" s="19">
        <f>IFERROR(__xludf.DUMMYFUNCTION("""COMPUTED_VALUE"""),0.125)</f>
        <v>0.125</v>
      </c>
      <c r="J1791" s="19">
        <f>IFERROR(__xludf.DUMMYFUNCTION("""COMPUTED_VALUE"""),0.25)</f>
        <v>0.25</v>
      </c>
      <c r="K1791" s="19">
        <f>IFERROR(__xludf.DUMMYFUNCTION("""COMPUTED_VALUE"""),0.3125)</f>
        <v>0.3125</v>
      </c>
      <c r="L1791" s="19">
        <f>IFERROR(__xludf.DUMMYFUNCTION("""COMPUTED_VALUE"""),0.375)</f>
        <v>0.375</v>
      </c>
      <c r="M1791" s="18">
        <f>IFERROR(__xludf.DUMMYFUNCTION("""COMPUTED_VALUE"""),4.33)</f>
        <v>4.33</v>
      </c>
    </row>
    <row r="1792">
      <c r="A1792" s="13" t="str">
        <f>IFERROR(__xludf.DUMMYFUNCTION("""COMPUTED_VALUE"""),"товари")</f>
        <v>товари</v>
      </c>
      <c r="B1792" s="16" t="str">
        <f>IFERROR(__xludf.DUMMYFUNCTION("""COMPUTED_VALUE"""),"контрольно-вимірювальні прилади")</f>
        <v>контрольно-вимірювальні прилади</v>
      </c>
      <c r="C1792" s="16" t="str">
        <f>IFERROR(__xludf.DUMMYFUNCTION("""COMPUTED_VALUE"""),"лабораторне, випробувальне обладнання")</f>
        <v>лабораторне, випробувальне обладнання</v>
      </c>
      <c r="D1792" s="16" t="str">
        <f>IFERROR(__xludf.DUMMYFUNCTION("""COMPUTED_VALUE"""),"аналізатори")</f>
        <v>аналізатори</v>
      </c>
      <c r="E1792" s="16" t="str">
        <f>IFERROR(__xludf.DUMMYFUNCTION("""COMPUTED_VALUE"""),"вологоміри")</f>
        <v>вологоміри</v>
      </c>
      <c r="F1792" s="17">
        <f>IFERROR(__xludf.DUMMYFUNCTION("""COMPUTED_VALUE"""),4.0)</f>
        <v>4</v>
      </c>
      <c r="G1792" s="17" t="str">
        <f>IFERROR(__xludf.DUMMYFUNCTION("""COMPUTED_VALUE"""),"15370105")</f>
        <v>15370105</v>
      </c>
      <c r="H1792" s="17" t="str">
        <f>IFERROR(__xludf.DUMMYFUNCTION("""COMPUTED_VALUE"""),"вологоміри")</f>
        <v>вологоміри</v>
      </c>
      <c r="I1792" s="19">
        <f>IFERROR(__xludf.DUMMYFUNCTION("""COMPUTED_VALUE"""),0.0726)</f>
        <v>0.0726</v>
      </c>
      <c r="J1792" s="19">
        <f>IFERROR(__xludf.DUMMYFUNCTION("""COMPUTED_VALUE"""),0.1451)</f>
        <v>0.1451</v>
      </c>
      <c r="K1792" s="19">
        <f>IFERROR(__xludf.DUMMYFUNCTION("""COMPUTED_VALUE"""),0.1814)</f>
        <v>0.1814</v>
      </c>
      <c r="L1792" s="19">
        <f>IFERROR(__xludf.DUMMYFUNCTION("""COMPUTED_VALUE"""),0.2177)</f>
        <v>0.2177</v>
      </c>
      <c r="M1792" s="18">
        <f>IFERROR(__xludf.DUMMYFUNCTION("""COMPUTED_VALUE"""),3.75)</f>
        <v>3.75</v>
      </c>
    </row>
    <row r="1793">
      <c r="A1793" s="13" t="str">
        <f>IFERROR(__xludf.DUMMYFUNCTION("""COMPUTED_VALUE"""),"товари")</f>
        <v>товари</v>
      </c>
      <c r="B1793" s="16" t="str">
        <f>IFERROR(__xludf.DUMMYFUNCTION("""COMPUTED_VALUE"""),"контрольно-вимірювальні прилади")</f>
        <v>контрольно-вимірювальні прилади</v>
      </c>
      <c r="C1793" s="16" t="str">
        <f>IFERROR(__xludf.DUMMYFUNCTION("""COMPUTED_VALUE"""),"електровимірювальні прилади")</f>
        <v>електровимірювальні прилади</v>
      </c>
      <c r="D1793" s="16" t="str">
        <f>IFERROR(__xludf.DUMMYFUNCTION("""COMPUTED_VALUE"""),"вольтметри")</f>
        <v>вольтметри</v>
      </c>
      <c r="E1793" s="16" t="str">
        <f>IFERROR(__xludf.DUMMYFUNCTION("""COMPUTED_VALUE"""),"вольтметри")</f>
        <v>вольтметри</v>
      </c>
      <c r="F1793" s="17">
        <f>IFERROR(__xludf.DUMMYFUNCTION("""COMPUTED_VALUE"""),3.0)</f>
        <v>3</v>
      </c>
      <c r="G1793" s="17" t="str">
        <f>IFERROR(__xludf.DUMMYFUNCTION("""COMPUTED_VALUE"""),"15370310")</f>
        <v>15370310</v>
      </c>
      <c r="H1793" s="17" t="str">
        <f>IFERROR(__xludf.DUMMYFUNCTION("""COMPUTED_VALUE"""),"вольтметри")</f>
        <v>вольтметри</v>
      </c>
      <c r="I1793" s="19">
        <f>IFERROR(__xludf.DUMMYFUNCTION("""COMPUTED_VALUE"""),0.0688)</f>
        <v>0.0688</v>
      </c>
      <c r="J1793" s="19">
        <f>IFERROR(__xludf.DUMMYFUNCTION("""COMPUTED_VALUE"""),0.1375)</f>
        <v>0.1375</v>
      </c>
      <c r="K1793" s="19">
        <f>IFERROR(__xludf.DUMMYFUNCTION("""COMPUTED_VALUE"""),0.1719)</f>
        <v>0.1719</v>
      </c>
      <c r="L1793" s="19">
        <f>IFERROR(__xludf.DUMMYFUNCTION("""COMPUTED_VALUE"""),0.2063)</f>
        <v>0.2063</v>
      </c>
      <c r="M1793" s="18">
        <f>IFERROR(__xludf.DUMMYFUNCTION("""COMPUTED_VALUE"""),1.05)</f>
        <v>1.05</v>
      </c>
    </row>
    <row r="1794">
      <c r="A1794" s="13" t="str">
        <f>IFERROR(__xludf.DUMMYFUNCTION("""COMPUTED_VALUE"""),"товари")</f>
        <v>товари</v>
      </c>
      <c r="B1794" s="16" t="str">
        <f>IFERROR(__xludf.DUMMYFUNCTION("""COMPUTED_VALUE"""),"контрольно-вимірювальні прилади")</f>
        <v>контрольно-вимірювальні прилади</v>
      </c>
      <c r="C1794" s="16" t="str">
        <f>IFERROR(__xludf.DUMMYFUNCTION("""COMPUTED_VALUE"""),"лабораторне, випробувальне обладнання")</f>
        <v>лабораторне, випробувальне обладнання</v>
      </c>
      <c r="D1794" s="16" t="str">
        <f>IFERROR(__xludf.DUMMYFUNCTION("""COMPUTED_VALUE"""),"аналізатори")</f>
        <v>аналізатори</v>
      </c>
      <c r="E1794" s="16" t="str">
        <f>IFERROR(__xludf.DUMMYFUNCTION("""COMPUTED_VALUE"""),"газоаналізатори")</f>
        <v>газоаналізатори</v>
      </c>
      <c r="F1794" s="17">
        <f>IFERROR(__xludf.DUMMYFUNCTION("""COMPUTED_VALUE"""),4.0)</f>
        <v>4</v>
      </c>
      <c r="G1794" s="17">
        <f>IFERROR(__xludf.DUMMYFUNCTION("""COMPUTED_VALUE"""),1.5370104E7)</f>
        <v>15370104</v>
      </c>
      <c r="H1794" s="17" t="str">
        <f>IFERROR(__xludf.DUMMYFUNCTION("""COMPUTED_VALUE"""),"газоаналізатори")</f>
        <v>газоаналізатори</v>
      </c>
      <c r="I1794" s="19">
        <f>IFERROR(__xludf.DUMMYFUNCTION("""COMPUTED_VALUE"""),0.0714)</f>
        <v>0.0714</v>
      </c>
      <c r="J1794" s="19">
        <f>IFERROR(__xludf.DUMMYFUNCTION("""COMPUTED_VALUE"""),0.1428)</f>
        <v>0.1428</v>
      </c>
      <c r="K1794" s="19">
        <f>IFERROR(__xludf.DUMMYFUNCTION("""COMPUTED_VALUE"""),0.1785)</f>
        <v>0.1785</v>
      </c>
      <c r="L1794" s="19">
        <f>IFERROR(__xludf.DUMMYFUNCTION("""COMPUTED_VALUE"""),0.2142)</f>
        <v>0.2142</v>
      </c>
      <c r="M1794" s="18">
        <f>IFERROR(__xludf.DUMMYFUNCTION("""COMPUTED_VALUE"""),3.75)</f>
        <v>3.75</v>
      </c>
    </row>
    <row r="1795">
      <c r="A1795" s="13" t="str">
        <f>IFERROR(__xludf.DUMMYFUNCTION("""COMPUTED_VALUE"""),"товари")</f>
        <v>товари</v>
      </c>
      <c r="B1795" s="16" t="str">
        <f>IFERROR(__xludf.DUMMYFUNCTION("""COMPUTED_VALUE"""),"контрольно-вимірювальні прилади")</f>
        <v>контрольно-вимірювальні прилади</v>
      </c>
      <c r="C1795" s="16" t="str">
        <f>IFERROR(__xludf.DUMMYFUNCTION("""COMPUTED_VALUE"""),"радіовимірювальні прилади")</f>
        <v>радіовимірювальні прилади</v>
      </c>
      <c r="D1795" s="16" t="str">
        <f>IFERROR(__xludf.DUMMYFUNCTION("""COMPUTED_VALUE"""),"генератори імпульсів")</f>
        <v>генератори імпульсів</v>
      </c>
      <c r="E1795" s="16" t="str">
        <f>IFERROR(__xludf.DUMMYFUNCTION("""COMPUTED_VALUE"""),"генератори імпульсів")</f>
        <v>генератори імпульсів</v>
      </c>
      <c r="F1795" s="17">
        <f>IFERROR(__xludf.DUMMYFUNCTION("""COMPUTED_VALUE"""),3.0)</f>
        <v>3</v>
      </c>
      <c r="G1795" s="17" t="str">
        <f>IFERROR(__xludf.DUMMYFUNCTION("""COMPUTED_VALUE"""),"14190202")</f>
        <v>14190202</v>
      </c>
      <c r="H1795" s="17" t="str">
        <f>IFERROR(__xludf.DUMMYFUNCTION("""COMPUTED_VALUE"""),"генератори імпульсів")</f>
        <v>генератори імпульсів</v>
      </c>
      <c r="I1795" s="19">
        <f>IFERROR(__xludf.DUMMYFUNCTION("""COMPUTED_VALUE"""),0.0539)</f>
        <v>0.0539</v>
      </c>
      <c r="J1795" s="19">
        <f>IFERROR(__xludf.DUMMYFUNCTION("""COMPUTED_VALUE"""),0.1078)</f>
        <v>0.1078</v>
      </c>
      <c r="K1795" s="19">
        <f>IFERROR(__xludf.DUMMYFUNCTION("""COMPUTED_VALUE"""),0.1348)</f>
        <v>0.1348</v>
      </c>
      <c r="L1795" s="19">
        <f>IFERROR(__xludf.DUMMYFUNCTION("""COMPUTED_VALUE"""),0.1617)</f>
        <v>0.1617</v>
      </c>
      <c r="M1795" s="18">
        <f>IFERROR(__xludf.DUMMYFUNCTION("""COMPUTED_VALUE"""),1.05)</f>
        <v>1.05</v>
      </c>
    </row>
    <row r="1796">
      <c r="A1796" s="13" t="str">
        <f>IFERROR(__xludf.DUMMYFUNCTION("""COMPUTED_VALUE"""),"товари")</f>
        <v>товари</v>
      </c>
      <c r="B1796" s="16" t="str">
        <f>IFERROR(__xludf.DUMMYFUNCTION("""COMPUTED_VALUE"""),"контрольно-вимірювальні прилади")</f>
        <v>контрольно-вимірювальні прилади</v>
      </c>
      <c r="C1796" s="16" t="str">
        <f>IFERROR(__xludf.DUMMYFUNCTION("""COMPUTED_VALUE"""),"радіовимірювальні прилади")</f>
        <v>радіовимірювальні прилади</v>
      </c>
      <c r="D1796" s="16" t="str">
        <f>IFERROR(__xludf.DUMMYFUNCTION("""COMPUTED_VALUE"""),"генератори сигналів")</f>
        <v>генератори сигналів</v>
      </c>
      <c r="E1796" s="16" t="str">
        <f>IFERROR(__xludf.DUMMYFUNCTION("""COMPUTED_VALUE"""),"генератори сигналів")</f>
        <v>генератори сигналів</v>
      </c>
      <c r="F1796" s="17">
        <f>IFERROR(__xludf.DUMMYFUNCTION("""COMPUTED_VALUE"""),3.0)</f>
        <v>3</v>
      </c>
      <c r="G1796" s="17" t="str">
        <f>IFERROR(__xludf.DUMMYFUNCTION("""COMPUTED_VALUE"""),"50503")</f>
        <v>50503</v>
      </c>
      <c r="H1796" s="17" t="str">
        <f>IFERROR(__xludf.DUMMYFUNCTION("""COMPUTED_VALUE"""),"генератори сигналів")</f>
        <v>генератори сигналів</v>
      </c>
      <c r="I1796" s="19">
        <f>IFERROR(__xludf.DUMMYFUNCTION("""COMPUTED_VALUE"""),0.0383)</f>
        <v>0.0383</v>
      </c>
      <c r="J1796" s="19">
        <f>IFERROR(__xludf.DUMMYFUNCTION("""COMPUTED_VALUE"""),0.0766)</f>
        <v>0.0766</v>
      </c>
      <c r="K1796" s="19">
        <f>IFERROR(__xludf.DUMMYFUNCTION("""COMPUTED_VALUE"""),0.0958)</f>
        <v>0.0958</v>
      </c>
      <c r="L1796" s="19">
        <f>IFERROR(__xludf.DUMMYFUNCTION("""COMPUTED_VALUE"""),0.1149)</f>
        <v>0.1149</v>
      </c>
      <c r="M1796" s="18">
        <f>IFERROR(__xludf.DUMMYFUNCTION("""COMPUTED_VALUE"""),1.05)</f>
        <v>1.05</v>
      </c>
    </row>
    <row r="1797">
      <c r="A1797" s="13" t="str">
        <f>IFERROR(__xludf.DUMMYFUNCTION("""COMPUTED_VALUE"""),"товари")</f>
        <v>товари</v>
      </c>
      <c r="B1797" s="16" t="str">
        <f>IFERROR(__xludf.DUMMYFUNCTION("""COMPUTED_VALUE"""),"контрольно-вимірювальні прилади")</f>
        <v>контрольно-вимірювальні прилади</v>
      </c>
      <c r="C1797" s="16" t="str">
        <f>IFERROR(__xludf.DUMMYFUNCTION("""COMPUTED_VALUE"""),"геодезичне обладнання")</f>
        <v>геодезичне обладнання</v>
      </c>
      <c r="D1797" s="16" t="str">
        <f>IFERROR(__xludf.DUMMYFUNCTION("""COMPUTED_VALUE"""),"геодезичні вимірювальні рулетки")</f>
        <v>геодезичні вимірювальні рулетки</v>
      </c>
      <c r="E1797" s="16" t="str">
        <f>IFERROR(__xludf.DUMMYFUNCTION("""COMPUTED_VALUE"""),"геодезичні вимірювальні рулетки")</f>
        <v>геодезичні вимірювальні рулетки</v>
      </c>
      <c r="F1797" s="17">
        <f>IFERROR(__xludf.DUMMYFUNCTION("""COMPUTED_VALUE"""),3.0)</f>
        <v>3</v>
      </c>
      <c r="G1797" s="17" t="str">
        <f>IFERROR(__xludf.DUMMYFUNCTION("""COMPUTED_VALUE"""),"13040908")</f>
        <v>13040908</v>
      </c>
      <c r="H1797" s="17" t="str">
        <f>IFERROR(__xludf.DUMMYFUNCTION("""COMPUTED_VALUE"""),"геодезичні вимірювальні рулетки")</f>
        <v>геодезичні вимірювальні рулетки</v>
      </c>
      <c r="I1797" s="19">
        <f>IFERROR(__xludf.DUMMYFUNCTION("""COMPUTED_VALUE"""),0.0447)</f>
        <v>0.0447</v>
      </c>
      <c r="J1797" s="19">
        <f>IFERROR(__xludf.DUMMYFUNCTION("""COMPUTED_VALUE"""),0.0893)</f>
        <v>0.0893</v>
      </c>
      <c r="K1797" s="19">
        <f>IFERROR(__xludf.DUMMYFUNCTION("""COMPUTED_VALUE"""),0.1116)</f>
        <v>0.1116</v>
      </c>
      <c r="L1797" s="19">
        <f>IFERROR(__xludf.DUMMYFUNCTION("""COMPUTED_VALUE"""),0.134)</f>
        <v>0.134</v>
      </c>
      <c r="M1797" s="18">
        <f>IFERROR(__xludf.DUMMYFUNCTION("""COMPUTED_VALUE"""),1.05)</f>
        <v>1.05</v>
      </c>
    </row>
    <row r="1798">
      <c r="A1798" s="13" t="str">
        <f>IFERROR(__xludf.DUMMYFUNCTION("""COMPUTED_VALUE"""),"товари")</f>
        <v>товари</v>
      </c>
      <c r="B1798" s="16" t="str">
        <f>IFERROR(__xludf.DUMMYFUNCTION("""COMPUTED_VALUE"""),"контрольно-вимірювальні прилади")</f>
        <v>контрольно-вимірювальні прилади</v>
      </c>
      <c r="C1798" s="16" t="str">
        <f>IFERROR(__xludf.DUMMYFUNCTION("""COMPUTED_VALUE"""),"вагове обладнання")</f>
        <v>вагове обладнання</v>
      </c>
      <c r="D1798" s="16" t="str">
        <f>IFERROR(__xludf.DUMMYFUNCTION("""COMPUTED_VALUE"""),"комплектуючі для ваг")</f>
        <v>комплектуючі для ваг</v>
      </c>
      <c r="E1798" s="16" t="str">
        <f>IFERROR(__xludf.DUMMYFUNCTION("""COMPUTED_VALUE"""),"гирі еталонні")</f>
        <v>гирі еталонні</v>
      </c>
      <c r="F1798" s="17">
        <f>IFERROR(__xludf.DUMMYFUNCTION("""COMPUTED_VALUE"""),4.0)</f>
        <v>4</v>
      </c>
      <c r="G1798" s="17" t="str">
        <f>IFERROR(__xludf.DUMMYFUNCTION("""COMPUTED_VALUE"""),"15371113")</f>
        <v>15371113</v>
      </c>
      <c r="H1798" s="17" t="str">
        <f>IFERROR(__xludf.DUMMYFUNCTION("""COMPUTED_VALUE"""),"гирі еталонні")</f>
        <v>гирі еталонні</v>
      </c>
      <c r="I1798" s="19">
        <f>IFERROR(__xludf.DUMMYFUNCTION("""COMPUTED_VALUE"""),0.0447)</f>
        <v>0.0447</v>
      </c>
      <c r="J1798" s="19">
        <f>IFERROR(__xludf.DUMMYFUNCTION("""COMPUTED_VALUE"""),0.0893)</f>
        <v>0.0893</v>
      </c>
      <c r="K1798" s="19">
        <f>IFERROR(__xludf.DUMMYFUNCTION("""COMPUTED_VALUE"""),0.1116)</f>
        <v>0.1116</v>
      </c>
      <c r="L1798" s="19">
        <f>IFERROR(__xludf.DUMMYFUNCTION("""COMPUTED_VALUE"""),0.134)</f>
        <v>0.134</v>
      </c>
      <c r="M1798" s="18">
        <f>IFERROR(__xludf.DUMMYFUNCTION("""COMPUTED_VALUE"""),5.4)</f>
        <v>5.4</v>
      </c>
    </row>
    <row r="1799">
      <c r="A1799" s="13" t="str">
        <f>IFERROR(__xludf.DUMMYFUNCTION("""COMPUTED_VALUE"""),"товари")</f>
        <v>товари</v>
      </c>
      <c r="B1799" s="16" t="str">
        <f>IFERROR(__xludf.DUMMYFUNCTION("""COMPUTED_VALUE"""),"контрольно-вимірювальні прилади")</f>
        <v>контрольно-вимірювальні прилади</v>
      </c>
      <c r="C1799" s="16" t="str">
        <f>IFERROR(__xludf.DUMMYFUNCTION("""COMPUTED_VALUE"""),"датчики")</f>
        <v>датчики</v>
      </c>
      <c r="D1799" s="16" t="str">
        <f>IFERROR(__xludf.DUMMYFUNCTION("""COMPUTED_VALUE"""),"гігростати")</f>
        <v>гігростати</v>
      </c>
      <c r="E1799" s="16" t="str">
        <f>IFERROR(__xludf.DUMMYFUNCTION("""COMPUTED_VALUE"""),"гігростати")</f>
        <v>гігростати</v>
      </c>
      <c r="F1799" s="17">
        <f>IFERROR(__xludf.DUMMYFUNCTION("""COMPUTED_VALUE"""),3.0)</f>
        <v>3</v>
      </c>
      <c r="G1799" s="17" t="str">
        <f>IFERROR(__xludf.DUMMYFUNCTION("""COMPUTED_VALUE"""),"153721")</f>
        <v>153721</v>
      </c>
      <c r="H1799" s="17" t="str">
        <f>IFERROR(__xludf.DUMMYFUNCTION("""COMPUTED_VALUE"""),"гігростати")</f>
        <v>гігростати</v>
      </c>
      <c r="I1799" s="19">
        <f>IFERROR(__xludf.DUMMYFUNCTION("""COMPUTED_VALUE"""),0.0485)</f>
        <v>0.0485</v>
      </c>
      <c r="J1799" s="19">
        <f>IFERROR(__xludf.DUMMYFUNCTION("""COMPUTED_VALUE"""),0.097)</f>
        <v>0.097</v>
      </c>
      <c r="K1799" s="19">
        <f>IFERROR(__xludf.DUMMYFUNCTION("""COMPUTED_VALUE"""),0.1213)</f>
        <v>0.1213</v>
      </c>
      <c r="L1799" s="19">
        <f>IFERROR(__xludf.DUMMYFUNCTION("""COMPUTED_VALUE"""),0.1455)</f>
        <v>0.1455</v>
      </c>
      <c r="M1799" s="18">
        <f>IFERROR(__xludf.DUMMYFUNCTION("""COMPUTED_VALUE"""),1.05)</f>
        <v>1.05</v>
      </c>
    </row>
    <row r="1800">
      <c r="A1800" s="13" t="str">
        <f>IFERROR(__xludf.DUMMYFUNCTION("""COMPUTED_VALUE"""),"товари")</f>
        <v>товари</v>
      </c>
      <c r="B1800" s="16" t="str">
        <f>IFERROR(__xludf.DUMMYFUNCTION("""COMPUTED_VALUE"""),"контрольно-вимірювальні прилади")</f>
        <v>контрольно-вимірювальні прилади</v>
      </c>
      <c r="C1800" s="16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1800" s="16" t="str">
        <f>IFERROR(__xludf.DUMMYFUNCTION("""COMPUTED_VALUE"""),"гідрорівні")</f>
        <v>гідрорівні</v>
      </c>
      <c r="E1800" s="16" t="str">
        <f>IFERROR(__xludf.DUMMYFUNCTION("""COMPUTED_VALUE"""),"гідрорівні")</f>
        <v>гідрорівні</v>
      </c>
      <c r="F1800" s="17">
        <f>IFERROR(__xludf.DUMMYFUNCTION("""COMPUTED_VALUE"""),3.0)</f>
        <v>3</v>
      </c>
      <c r="G1800" s="17" t="str">
        <f>IFERROR(__xludf.DUMMYFUNCTION("""COMPUTED_VALUE"""),"14200607")</f>
        <v>14200607</v>
      </c>
      <c r="H1800" s="17" t="str">
        <f>IFERROR(__xludf.DUMMYFUNCTION("""COMPUTED_VALUE"""),"гідрорівні")</f>
        <v>гідрорівні</v>
      </c>
      <c r="I1800" s="19">
        <f>IFERROR(__xludf.DUMMYFUNCTION("""COMPUTED_VALUE"""),0.0532)</f>
        <v>0.0532</v>
      </c>
      <c r="J1800" s="19">
        <f>IFERROR(__xludf.DUMMYFUNCTION("""COMPUTED_VALUE"""),0.1063)</f>
        <v>0.1063</v>
      </c>
      <c r="K1800" s="19">
        <f>IFERROR(__xludf.DUMMYFUNCTION("""COMPUTED_VALUE"""),0.1329)</f>
        <v>0.1329</v>
      </c>
      <c r="L1800" s="19">
        <f>IFERROR(__xludf.DUMMYFUNCTION("""COMPUTED_VALUE"""),0.1595)</f>
        <v>0.1595</v>
      </c>
      <c r="M1800" s="18">
        <f>IFERROR(__xludf.DUMMYFUNCTION("""COMPUTED_VALUE"""),2.34)</f>
        <v>2.34</v>
      </c>
    </row>
    <row r="1801">
      <c r="A1801" s="13" t="str">
        <f>IFERROR(__xludf.DUMMYFUNCTION("""COMPUTED_VALUE"""),"товари")</f>
        <v>товари</v>
      </c>
      <c r="B1801" s="16" t="str">
        <f>IFERROR(__xludf.DUMMYFUNCTION("""COMPUTED_VALUE"""),"контрольно-вимірювальні прилади")</f>
        <v>контрольно-вимірювальні прилади</v>
      </c>
      <c r="C1801" s="16" t="str">
        <f>IFERROR(__xludf.DUMMYFUNCTION("""COMPUTED_VALUE"""),"вимірювачі фізичних параметрів")</f>
        <v>вимірювачі фізичних параметрів</v>
      </c>
      <c r="D1801" s="16" t="str">
        <f>IFERROR(__xludf.DUMMYFUNCTION("""COMPUTED_VALUE"""),"густиноміри")</f>
        <v>густиноміри</v>
      </c>
      <c r="E1801" s="16" t="str">
        <f>IFERROR(__xludf.DUMMYFUNCTION("""COMPUTED_VALUE"""),"густиноміри")</f>
        <v>густиноміри</v>
      </c>
      <c r="F1801" s="17">
        <f>IFERROR(__xludf.DUMMYFUNCTION("""COMPUTED_VALUE"""),3.0)</f>
        <v>3</v>
      </c>
      <c r="G1801" s="17" t="str">
        <f>IFERROR(__xludf.DUMMYFUNCTION("""COMPUTED_VALUE"""),"15370627")</f>
        <v>15370627</v>
      </c>
      <c r="H1801" s="17" t="str">
        <f>IFERROR(__xludf.DUMMYFUNCTION("""COMPUTED_VALUE"""),"густиноміри")</f>
        <v>густиноміри</v>
      </c>
      <c r="I1801" s="19">
        <f>IFERROR(__xludf.DUMMYFUNCTION("""COMPUTED_VALUE"""),0.037)</f>
        <v>0.037</v>
      </c>
      <c r="J1801" s="19">
        <f>IFERROR(__xludf.DUMMYFUNCTION("""COMPUTED_VALUE"""),0.0739)</f>
        <v>0.0739</v>
      </c>
      <c r="K1801" s="19">
        <f>IFERROR(__xludf.DUMMYFUNCTION("""COMPUTED_VALUE"""),0.0924)</f>
        <v>0.0924</v>
      </c>
      <c r="L1801" s="19">
        <f>IFERROR(__xludf.DUMMYFUNCTION("""COMPUTED_VALUE"""),0.1109)</f>
        <v>0.1109</v>
      </c>
      <c r="M1801" s="18">
        <f>IFERROR(__xludf.DUMMYFUNCTION("""COMPUTED_VALUE"""),1.8)</f>
        <v>1.8</v>
      </c>
    </row>
    <row r="1802">
      <c r="A1802" s="13" t="str">
        <f>IFERROR(__xludf.DUMMYFUNCTION("""COMPUTED_VALUE"""),"товари")</f>
        <v>товари</v>
      </c>
      <c r="B1802" s="16" t="str">
        <f>IFERROR(__xludf.DUMMYFUNCTION("""COMPUTED_VALUE"""),"контрольно-вимірювальні прилади")</f>
        <v>контрольно-вимірювальні прилади</v>
      </c>
      <c r="C1802" s="16" t="str">
        <f>IFERROR(__xludf.DUMMYFUNCTION("""COMPUTED_VALUE"""),"датчики")</f>
        <v>датчики</v>
      </c>
      <c r="D1802" s="16" t="str">
        <f>IFERROR(__xludf.DUMMYFUNCTION("""COMPUTED_VALUE"""),"датчики безконтактні")</f>
        <v>датчики безконтактні</v>
      </c>
      <c r="E1802" s="16" t="str">
        <f>IFERROR(__xludf.DUMMYFUNCTION("""COMPUTED_VALUE"""),"датчики безконтактні")</f>
        <v>датчики безконтактні</v>
      </c>
      <c r="F1802" s="17">
        <f>IFERROR(__xludf.DUMMYFUNCTION("""COMPUTED_VALUE"""),3.0)</f>
        <v>3</v>
      </c>
      <c r="G1802" s="17" t="str">
        <f>IFERROR(__xludf.DUMMYFUNCTION("""COMPUTED_VALUE"""),"14200610")</f>
        <v>14200610</v>
      </c>
      <c r="H1802" s="17" t="str">
        <f>IFERROR(__xludf.DUMMYFUNCTION("""COMPUTED_VALUE"""),"датчики безконтактні")</f>
        <v>датчики безконтактні</v>
      </c>
      <c r="I1802" s="19">
        <f>IFERROR(__xludf.DUMMYFUNCTION("""COMPUTED_VALUE"""),0.0709)</f>
        <v>0.0709</v>
      </c>
      <c r="J1802" s="19">
        <f>IFERROR(__xludf.DUMMYFUNCTION("""COMPUTED_VALUE"""),0.1417)</f>
        <v>0.1417</v>
      </c>
      <c r="K1802" s="19">
        <f>IFERROR(__xludf.DUMMYFUNCTION("""COMPUTED_VALUE"""),0.1771)</f>
        <v>0.1771</v>
      </c>
      <c r="L1802" s="19">
        <f>IFERROR(__xludf.DUMMYFUNCTION("""COMPUTED_VALUE"""),0.2126)</f>
        <v>0.2126</v>
      </c>
      <c r="M1802" s="18">
        <f>IFERROR(__xludf.DUMMYFUNCTION("""COMPUTED_VALUE"""),4.35)</f>
        <v>4.35</v>
      </c>
    </row>
    <row r="1803">
      <c r="A1803" s="13" t="str">
        <f>IFERROR(__xludf.DUMMYFUNCTION("""COMPUTED_VALUE"""),"товари")</f>
        <v>товари</v>
      </c>
      <c r="B1803" s="16" t="str">
        <f>IFERROR(__xludf.DUMMYFUNCTION("""COMPUTED_VALUE"""),"контрольно-вимірювальні прилади")</f>
        <v>контрольно-вимірювальні прилади</v>
      </c>
      <c r="C1803" s="16" t="str">
        <f>IFERROR(__xludf.DUMMYFUNCTION("""COMPUTED_VALUE"""),"витратоміри, лічильники")</f>
        <v>витратоміри, лічильники</v>
      </c>
      <c r="D1803" s="16" t="str">
        <f>IFERROR(__xludf.DUMMYFUNCTION("""COMPUTED_VALUE"""),"датчики витрати")</f>
        <v>датчики витрати</v>
      </c>
      <c r="E1803" s="16" t="str">
        <f>IFERROR(__xludf.DUMMYFUNCTION("""COMPUTED_VALUE"""),"датчики витрати")</f>
        <v>датчики витрати</v>
      </c>
      <c r="F1803" s="17">
        <f>IFERROR(__xludf.DUMMYFUNCTION("""COMPUTED_VALUE"""),3.0)</f>
        <v>3</v>
      </c>
      <c r="G1803" s="17" t="str">
        <f>IFERROR(__xludf.DUMMYFUNCTION("""COMPUTED_VALUE"""),"15370402")</f>
        <v>15370402</v>
      </c>
      <c r="H1803" s="17" t="str">
        <f>IFERROR(__xludf.DUMMYFUNCTION("""COMPUTED_VALUE"""),"датчики витрати")</f>
        <v>датчики витрати</v>
      </c>
      <c r="I1803" s="19">
        <f>IFERROR(__xludf.DUMMYFUNCTION("""COMPUTED_VALUE"""),0.0532)</f>
        <v>0.0532</v>
      </c>
      <c r="J1803" s="19">
        <f>IFERROR(__xludf.DUMMYFUNCTION("""COMPUTED_VALUE"""),0.1063)</f>
        <v>0.1063</v>
      </c>
      <c r="K1803" s="19">
        <f>IFERROR(__xludf.DUMMYFUNCTION("""COMPUTED_VALUE"""),0.1329)</f>
        <v>0.1329</v>
      </c>
      <c r="L1803" s="19">
        <f>IFERROR(__xludf.DUMMYFUNCTION("""COMPUTED_VALUE"""),0.1595)</f>
        <v>0.1595</v>
      </c>
      <c r="M1803" s="18">
        <f>IFERROR(__xludf.DUMMYFUNCTION("""COMPUTED_VALUE"""),1.71)</f>
        <v>1.71</v>
      </c>
    </row>
    <row r="1804">
      <c r="A1804" s="13" t="str">
        <f>IFERROR(__xludf.DUMMYFUNCTION("""COMPUTED_VALUE"""),"товари")</f>
        <v>товари</v>
      </c>
      <c r="B1804" s="16" t="str">
        <f>IFERROR(__xludf.DUMMYFUNCTION("""COMPUTED_VALUE"""),"контрольно-вимірювальні прилади")</f>
        <v>контрольно-вимірювальні прилади</v>
      </c>
      <c r="C1804" s="16" t="str">
        <f>IFERROR(__xludf.DUMMYFUNCTION("""COMPUTED_VALUE"""),"датчики")</f>
        <v>датчики</v>
      </c>
      <c r="D1804" s="16" t="str">
        <f>IFERROR(__xludf.DUMMYFUNCTION("""COMPUTED_VALUE"""),"датчики вологості і температури")</f>
        <v>датчики вологості і температури</v>
      </c>
      <c r="E1804" s="16" t="str">
        <f>IFERROR(__xludf.DUMMYFUNCTION("""COMPUTED_VALUE"""),"датчики вологості і температури")</f>
        <v>датчики вологості і температури</v>
      </c>
      <c r="F1804" s="17">
        <f>IFERROR(__xludf.DUMMYFUNCTION("""COMPUTED_VALUE"""),3.0)</f>
        <v>3</v>
      </c>
      <c r="G1804" s="17" t="str">
        <f>IFERROR(__xludf.DUMMYFUNCTION("""COMPUTED_VALUE"""),"14200612")</f>
        <v>14200612</v>
      </c>
      <c r="H1804" s="17" t="str">
        <f>IFERROR(__xludf.DUMMYFUNCTION("""COMPUTED_VALUE"""),"датчики вологості і температури")</f>
        <v>датчики вологості і температури</v>
      </c>
      <c r="I1804" s="19">
        <f>IFERROR(__xludf.DUMMYFUNCTION("""COMPUTED_VALUE"""),0.0447)</f>
        <v>0.0447</v>
      </c>
      <c r="J1804" s="19">
        <f>IFERROR(__xludf.DUMMYFUNCTION("""COMPUTED_VALUE"""),0.0893)</f>
        <v>0.0893</v>
      </c>
      <c r="K1804" s="19">
        <f>IFERROR(__xludf.DUMMYFUNCTION("""COMPUTED_VALUE"""),0.1116)</f>
        <v>0.1116</v>
      </c>
      <c r="L1804" s="19">
        <f>IFERROR(__xludf.DUMMYFUNCTION("""COMPUTED_VALUE"""),0.134)</f>
        <v>0.134</v>
      </c>
      <c r="M1804" s="18">
        <f>IFERROR(__xludf.DUMMYFUNCTION("""COMPUTED_VALUE"""),2.16)</f>
        <v>2.16</v>
      </c>
    </row>
    <row r="1805">
      <c r="A1805" s="13" t="str">
        <f>IFERROR(__xludf.DUMMYFUNCTION("""COMPUTED_VALUE"""),"товари")</f>
        <v>товари</v>
      </c>
      <c r="B1805" s="16" t="str">
        <f>IFERROR(__xludf.DUMMYFUNCTION("""COMPUTED_VALUE"""),"контрольно-вимірювальні прилади")</f>
        <v>контрольно-вимірювальні прилади</v>
      </c>
      <c r="C1805" s="16" t="str">
        <f>IFERROR(__xludf.DUMMYFUNCTION("""COMPUTED_VALUE"""),"датчики")</f>
        <v>датчики</v>
      </c>
      <c r="D1805" s="16" t="str">
        <f>IFERROR(__xludf.DUMMYFUNCTION("""COMPUTED_VALUE"""),"датчики руху")</f>
        <v>датчики руху</v>
      </c>
      <c r="E1805" s="16" t="str">
        <f>IFERROR(__xludf.DUMMYFUNCTION("""COMPUTED_VALUE"""),"датчики руху")</f>
        <v>датчики руху</v>
      </c>
      <c r="F1805" s="17">
        <f>IFERROR(__xludf.DUMMYFUNCTION("""COMPUTED_VALUE"""),3.0)</f>
        <v>3</v>
      </c>
      <c r="G1805" s="17" t="str">
        <f>IFERROR(__xludf.DUMMYFUNCTION("""COMPUTED_VALUE"""),"1420060202")</f>
        <v>1420060202</v>
      </c>
      <c r="H1805" s="17" t="str">
        <f>IFERROR(__xludf.DUMMYFUNCTION("""COMPUTED_VALUE"""),"датчики руху")</f>
        <v>датчики руху</v>
      </c>
      <c r="I1805" s="19">
        <f>IFERROR(__xludf.DUMMYFUNCTION("""COMPUTED_VALUE"""),0.0756)</f>
        <v>0.0756</v>
      </c>
      <c r="J1805" s="19">
        <f>IFERROR(__xludf.DUMMYFUNCTION("""COMPUTED_VALUE"""),0.1512)</f>
        <v>0.1512</v>
      </c>
      <c r="K1805" s="19">
        <f>IFERROR(__xludf.DUMMYFUNCTION("""COMPUTED_VALUE"""),0.189)</f>
        <v>0.189</v>
      </c>
      <c r="L1805" s="19">
        <f>IFERROR(__xludf.DUMMYFUNCTION("""COMPUTED_VALUE"""),0.2268)</f>
        <v>0.2268</v>
      </c>
      <c r="M1805" s="18">
        <f>IFERROR(__xludf.DUMMYFUNCTION("""COMPUTED_VALUE"""),2.08)</f>
        <v>2.08</v>
      </c>
    </row>
    <row r="1806">
      <c r="A1806" s="13" t="str">
        <f>IFERROR(__xludf.DUMMYFUNCTION("""COMPUTED_VALUE"""),"товари")</f>
        <v>товари</v>
      </c>
      <c r="B1806" s="16" t="str">
        <f>IFERROR(__xludf.DUMMYFUNCTION("""COMPUTED_VALUE"""),"контрольно-вимірювальні прилади")</f>
        <v>контрольно-вимірювальні прилади</v>
      </c>
      <c r="C1806" s="16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806" s="16" t="str">
        <f>IFERROR(__xludf.DUMMYFUNCTION("""COMPUTED_VALUE"""),"датчики температури")</f>
        <v>датчики температури</v>
      </c>
      <c r="E1806" s="16" t="str">
        <f>IFERROR(__xludf.DUMMYFUNCTION("""COMPUTED_VALUE"""),"датчики температури")</f>
        <v>датчики температури</v>
      </c>
      <c r="F1806" s="17">
        <f>IFERROR(__xludf.DUMMYFUNCTION("""COMPUTED_VALUE"""),3.0)</f>
        <v>3</v>
      </c>
      <c r="G1806" s="17" t="str">
        <f>IFERROR(__xludf.DUMMYFUNCTION("""COMPUTED_VALUE"""),"153718")</f>
        <v>153718</v>
      </c>
      <c r="H1806" s="17" t="str">
        <f>IFERROR(__xludf.DUMMYFUNCTION("""COMPUTED_VALUE"""),"датчики температури")</f>
        <v>датчики температури</v>
      </c>
      <c r="I1806" s="19">
        <f>IFERROR(__xludf.DUMMYFUNCTION("""COMPUTED_VALUE"""),0.0501)</f>
        <v>0.0501</v>
      </c>
      <c r="J1806" s="19">
        <f>IFERROR(__xludf.DUMMYFUNCTION("""COMPUTED_VALUE"""),0.1001)</f>
        <v>0.1001</v>
      </c>
      <c r="K1806" s="19">
        <f>IFERROR(__xludf.DUMMYFUNCTION("""COMPUTED_VALUE"""),0.1251)</f>
        <v>0.1251</v>
      </c>
      <c r="L1806" s="19">
        <f>IFERROR(__xludf.DUMMYFUNCTION("""COMPUTED_VALUE"""),0.1502)</f>
        <v>0.1502</v>
      </c>
      <c r="M1806" s="18">
        <f>IFERROR(__xludf.DUMMYFUNCTION("""COMPUTED_VALUE"""),2.61)</f>
        <v>2.61</v>
      </c>
    </row>
    <row r="1807">
      <c r="A1807" s="13" t="str">
        <f>IFERROR(__xludf.DUMMYFUNCTION("""COMPUTED_VALUE"""),"товари")</f>
        <v>товари</v>
      </c>
      <c r="B1807" s="16" t="str">
        <f>IFERROR(__xludf.DUMMYFUNCTION("""COMPUTED_VALUE"""),"контрольно-вимірювальні прилади")</f>
        <v>контрольно-вимірювальні прилади</v>
      </c>
      <c r="C1807" s="16" t="str">
        <f>IFERROR(__xludf.DUMMYFUNCTION("""COMPUTED_VALUE"""),"прилади для вимірювання тиску")</f>
        <v>прилади для вимірювання тиску</v>
      </c>
      <c r="D1807" s="16" t="str">
        <f>IFERROR(__xludf.DUMMYFUNCTION("""COMPUTED_VALUE"""),"датчики тиску")</f>
        <v>датчики тиску</v>
      </c>
      <c r="E1807" s="16" t="str">
        <f>IFERROR(__xludf.DUMMYFUNCTION("""COMPUTED_VALUE"""),"датчики тиску")</f>
        <v>датчики тиску</v>
      </c>
      <c r="F1807" s="17">
        <f>IFERROR(__xludf.DUMMYFUNCTION("""COMPUTED_VALUE"""),3.0)</f>
        <v>3</v>
      </c>
      <c r="G1807" s="17" t="str">
        <f>IFERROR(__xludf.DUMMYFUNCTION("""COMPUTED_VALUE"""),"15370804")</f>
        <v>15370804</v>
      </c>
      <c r="H1807" s="17" t="str">
        <f>IFERROR(__xludf.DUMMYFUNCTION("""COMPUTED_VALUE"""),"датчики тиску")</f>
        <v>датчики тиску</v>
      </c>
      <c r="I1807" s="19">
        <f>IFERROR(__xludf.DUMMYFUNCTION("""COMPUTED_VALUE"""),0.0383)</f>
        <v>0.0383</v>
      </c>
      <c r="J1807" s="19">
        <f>IFERROR(__xludf.DUMMYFUNCTION("""COMPUTED_VALUE"""),0.0766)</f>
        <v>0.0766</v>
      </c>
      <c r="K1807" s="19">
        <f>IFERROR(__xludf.DUMMYFUNCTION("""COMPUTED_VALUE"""),0.0958)</f>
        <v>0.0958</v>
      </c>
      <c r="L1807" s="19">
        <f>IFERROR(__xludf.DUMMYFUNCTION("""COMPUTED_VALUE"""),0.1149)</f>
        <v>0.1149</v>
      </c>
      <c r="M1807" s="18">
        <f>IFERROR(__xludf.DUMMYFUNCTION("""COMPUTED_VALUE"""),2.79)</f>
        <v>2.79</v>
      </c>
    </row>
    <row r="1808">
      <c r="A1808" s="13" t="str">
        <f>IFERROR(__xludf.DUMMYFUNCTION("""COMPUTED_VALUE"""),"товари")</f>
        <v>товари</v>
      </c>
      <c r="B1808" s="16" t="str">
        <f>IFERROR(__xludf.DUMMYFUNCTION("""COMPUTED_VALUE"""),"контрольно-вимірювальні прилади")</f>
        <v>контрольно-вимірювальні прилади</v>
      </c>
      <c r="C1808" s="16" t="str">
        <f>IFERROR(__xludf.DUMMYFUNCTION("""COMPUTED_VALUE"""),"датчики")</f>
        <v>датчики</v>
      </c>
      <c r="D1808" s="16" t="str">
        <f>IFERROR(__xludf.DUMMYFUNCTION("""COMPUTED_VALUE"""),"датчики якості повітря")</f>
        <v>датчики якості повітря</v>
      </c>
      <c r="E1808" s="16" t="str">
        <f>IFERROR(__xludf.DUMMYFUNCTION("""COMPUTED_VALUE"""),"датчики якості повітря")</f>
        <v>датчики якості повітря</v>
      </c>
      <c r="F1808" s="17">
        <f>IFERROR(__xludf.DUMMYFUNCTION("""COMPUTED_VALUE"""),3.0)</f>
        <v>3</v>
      </c>
      <c r="G1808" s="17" t="str">
        <f>IFERROR(__xludf.DUMMYFUNCTION("""COMPUTED_VALUE"""),"153719")</f>
        <v>153719</v>
      </c>
      <c r="H1808" s="17" t="str">
        <f>IFERROR(__xludf.DUMMYFUNCTION("""COMPUTED_VALUE"""),"датчики якості повітря")</f>
        <v>датчики якості повітря</v>
      </c>
      <c r="I1808" s="19">
        <f>IFERROR(__xludf.DUMMYFUNCTION("""COMPUTED_VALUE"""),0.0593)</f>
        <v>0.0593</v>
      </c>
      <c r="J1808" s="19">
        <f>IFERROR(__xludf.DUMMYFUNCTION("""COMPUTED_VALUE"""),0.1186)</f>
        <v>0.1186</v>
      </c>
      <c r="K1808" s="19">
        <f>IFERROR(__xludf.DUMMYFUNCTION("""COMPUTED_VALUE"""),0.1483)</f>
        <v>0.1483</v>
      </c>
      <c r="L1808" s="19">
        <f>IFERROR(__xludf.DUMMYFUNCTION("""COMPUTED_VALUE"""),0.1779)</f>
        <v>0.1779</v>
      </c>
      <c r="M1808" s="18">
        <f>IFERROR(__xludf.DUMMYFUNCTION("""COMPUTED_VALUE"""),3.06)</f>
        <v>3.06</v>
      </c>
    </row>
    <row r="1809">
      <c r="A1809" s="13" t="str">
        <f>IFERROR(__xludf.DUMMYFUNCTION("""COMPUTED_VALUE"""),"товари")</f>
        <v>товари</v>
      </c>
      <c r="B1809" s="16" t="str">
        <f>IFERROR(__xludf.DUMMYFUNCTION("""COMPUTED_VALUE"""),"контрольно-вимірювальні прилади")</f>
        <v>контрольно-вимірювальні прилади</v>
      </c>
      <c r="C1809" s="16" t="str">
        <f>IFERROR(__xludf.DUMMYFUNCTION("""COMPUTED_VALUE"""),"датчики")</f>
        <v>датчики</v>
      </c>
      <c r="D1809" s="16" t="str">
        <f>IFERROR(__xludf.DUMMYFUNCTION("""COMPUTED_VALUE"""),"датчики, загальне")</f>
        <v>датчики, загальне</v>
      </c>
      <c r="E1809" s="16" t="str">
        <f>IFERROR(__xludf.DUMMYFUNCTION("""COMPUTED_VALUE"""),"датчики, загальне")</f>
        <v>датчики, загальне</v>
      </c>
      <c r="F1809" s="17">
        <f>IFERROR(__xludf.DUMMYFUNCTION("""COMPUTED_VALUE"""),3.0)</f>
        <v>3</v>
      </c>
      <c r="G1809" s="17" t="str">
        <f>IFERROR(__xludf.DUMMYFUNCTION("""COMPUTED_VALUE"""),"1420060201")</f>
        <v>1420060201</v>
      </c>
      <c r="H1809" s="17" t="str">
        <f>IFERROR(__xludf.DUMMYFUNCTION("""COMPUTED_VALUE"""),"датчики, загальне")</f>
        <v>датчики, загальне</v>
      </c>
      <c r="I1809" s="19">
        <f>IFERROR(__xludf.DUMMYFUNCTION("""COMPUTED_VALUE"""),0.125)</f>
        <v>0.125</v>
      </c>
      <c r="J1809" s="19">
        <f>IFERROR(__xludf.DUMMYFUNCTION("""COMPUTED_VALUE"""),0.25)</f>
        <v>0.25</v>
      </c>
      <c r="K1809" s="19">
        <f>IFERROR(__xludf.DUMMYFUNCTION("""COMPUTED_VALUE"""),0.3125)</f>
        <v>0.3125</v>
      </c>
      <c r="L1809" s="19">
        <f>IFERROR(__xludf.DUMMYFUNCTION("""COMPUTED_VALUE"""),0.375)</f>
        <v>0.375</v>
      </c>
      <c r="M1809" s="18">
        <f>IFERROR(__xludf.DUMMYFUNCTION("""COMPUTED_VALUE"""),4.33)</f>
        <v>4.33</v>
      </c>
    </row>
    <row r="1810">
      <c r="A1810" s="13" t="str">
        <f>IFERROR(__xludf.DUMMYFUNCTION("""COMPUTED_VALUE"""),"товари")</f>
        <v>товари</v>
      </c>
      <c r="B1810" s="16" t="str">
        <f>IFERROR(__xludf.DUMMYFUNCTION("""COMPUTED_VALUE"""),"контрольно-вимірювальні прилади")</f>
        <v>контрольно-вимірювальні прилади</v>
      </c>
      <c r="C1810" s="16" t="str">
        <f>IFERROR(__xludf.DUMMYFUNCTION("""COMPUTED_VALUE"""),"радіовимірювальні прилади")</f>
        <v>радіовимірювальні прилади</v>
      </c>
      <c r="D1810" s="16" t="str">
        <f>IFERROR(__xludf.DUMMYFUNCTION("""COMPUTED_VALUE"""),"детектори прихованої проводки")</f>
        <v>детектори прихованої проводки</v>
      </c>
      <c r="E1810" s="16" t="str">
        <f>IFERROR(__xludf.DUMMYFUNCTION("""COMPUTED_VALUE"""),"детектори прихованої проводки")</f>
        <v>детектори прихованої проводки</v>
      </c>
      <c r="F1810" s="17">
        <f>IFERROR(__xludf.DUMMYFUNCTION("""COMPUTED_VALUE"""),3.0)</f>
        <v>3</v>
      </c>
      <c r="G1810" s="17" t="str">
        <f>IFERROR(__xludf.DUMMYFUNCTION("""COMPUTED_VALUE"""),"15370320")</f>
        <v>15370320</v>
      </c>
      <c r="H1810" s="17" t="str">
        <f>IFERROR(__xludf.DUMMYFUNCTION("""COMPUTED_VALUE"""),"детектори прихованої проводки")</f>
        <v>детектори прихованої проводки</v>
      </c>
      <c r="I1810" s="19">
        <f>IFERROR(__xludf.DUMMYFUNCTION("""COMPUTED_VALUE"""),0.0709)</f>
        <v>0.0709</v>
      </c>
      <c r="J1810" s="19">
        <f>IFERROR(__xludf.DUMMYFUNCTION("""COMPUTED_VALUE"""),0.1417)</f>
        <v>0.1417</v>
      </c>
      <c r="K1810" s="19">
        <f>IFERROR(__xludf.DUMMYFUNCTION("""COMPUTED_VALUE"""),0.1771)</f>
        <v>0.1771</v>
      </c>
      <c r="L1810" s="19">
        <f>IFERROR(__xludf.DUMMYFUNCTION("""COMPUTED_VALUE"""),0.2126)</f>
        <v>0.2126</v>
      </c>
      <c r="M1810" s="18">
        <f>IFERROR(__xludf.DUMMYFUNCTION("""COMPUTED_VALUE"""),1.71)</f>
        <v>1.71</v>
      </c>
    </row>
    <row r="1811">
      <c r="A1811" s="13" t="str">
        <f>IFERROR(__xludf.DUMMYFUNCTION("""COMPUTED_VALUE"""),"товари")</f>
        <v>товари</v>
      </c>
      <c r="B1811" s="16" t="str">
        <f>IFERROR(__xludf.DUMMYFUNCTION("""COMPUTED_VALUE"""),"контрольно-вимірювальні прилади")</f>
        <v>контрольно-вимірювальні прилади</v>
      </c>
      <c r="C1811" s="16" t="str">
        <f>IFERROR(__xludf.DUMMYFUNCTION("""COMPUTED_VALUE"""),"вагове обладнання")</f>
        <v>вагове обладнання</v>
      </c>
      <c r="D1811" s="16" t="str">
        <f>IFERROR(__xludf.DUMMYFUNCTION("""COMPUTED_VALUE"""),"дорожні ваги")</f>
        <v>дорожні ваги</v>
      </c>
      <c r="E1811" s="16" t="str">
        <f>IFERROR(__xludf.DUMMYFUNCTION("""COMPUTED_VALUE"""),"дорожні ваги")</f>
        <v>дорожні ваги</v>
      </c>
      <c r="F1811" s="17">
        <f>IFERROR(__xludf.DUMMYFUNCTION("""COMPUTED_VALUE"""),3.0)</f>
        <v>3</v>
      </c>
      <c r="G1811" s="17">
        <f>IFERROR(__xludf.DUMMYFUNCTION("""COMPUTED_VALUE"""),1.5371122E7)</f>
        <v>15371122</v>
      </c>
      <c r="H1811" s="17" t="str">
        <f>IFERROR(__xludf.DUMMYFUNCTION("""COMPUTED_VALUE"""),"дорожні ваги")</f>
        <v>дорожні ваги</v>
      </c>
      <c r="I1811" s="19">
        <f>IFERROR(__xludf.DUMMYFUNCTION("""COMPUTED_VALUE"""),0.0648)</f>
        <v>0.0648</v>
      </c>
      <c r="J1811" s="19">
        <f>IFERROR(__xludf.DUMMYFUNCTION("""COMPUTED_VALUE"""),0.1296)</f>
        <v>0.1296</v>
      </c>
      <c r="K1811" s="19">
        <f>IFERROR(__xludf.DUMMYFUNCTION("""COMPUTED_VALUE"""),0.162)</f>
        <v>0.162</v>
      </c>
      <c r="L1811" s="19">
        <f>IFERROR(__xludf.DUMMYFUNCTION("""COMPUTED_VALUE"""),0.1944)</f>
        <v>0.1944</v>
      </c>
      <c r="M1811" s="18">
        <f>IFERROR(__xludf.DUMMYFUNCTION("""COMPUTED_VALUE"""),4.65)</f>
        <v>4.65</v>
      </c>
    </row>
    <row r="1812">
      <c r="A1812" s="13" t="str">
        <f>IFERROR(__xludf.DUMMYFUNCTION("""COMPUTED_VALUE"""),"товари")</f>
        <v>товари</v>
      </c>
      <c r="B1812" s="16" t="str">
        <f>IFERROR(__xludf.DUMMYFUNCTION("""COMPUTED_VALUE"""),"контрольно-вимірювальні прилади")</f>
        <v>контрольно-вимірювальні прилади</v>
      </c>
      <c r="C1812" s="16" t="str">
        <f>IFERROR(__xludf.DUMMYFUNCTION("""COMPUTED_VALUE"""),"електровимірювальні прилади")</f>
        <v>електровимірювальні прилади</v>
      </c>
      <c r="D1812" s="16" t="str">
        <f>IFERROR(__xludf.DUMMYFUNCTION("""COMPUTED_VALUE"""),"електровимірювальні прилади, загальне")</f>
        <v>електровимірювальні прилади, загальне</v>
      </c>
      <c r="E1812" s="16" t="str">
        <f>IFERROR(__xludf.DUMMYFUNCTION("""COMPUTED_VALUE"""),"електровимірювальні прилади, загальне")</f>
        <v>електровимірювальні прилади, загальне</v>
      </c>
      <c r="F1812" s="17">
        <f>IFERROR(__xludf.DUMMYFUNCTION("""COMPUTED_VALUE"""),3.0)</f>
        <v>3</v>
      </c>
      <c r="G1812" s="17" t="str">
        <f>IFERROR(__xludf.DUMMYFUNCTION("""COMPUTED_VALUE"""),"15370399")</f>
        <v>15370399</v>
      </c>
      <c r="H1812" s="17" t="str">
        <f>IFERROR(__xludf.DUMMYFUNCTION("""COMPUTED_VALUE"""),"електровимірювальні прилади, загальне")</f>
        <v>електровимірювальні прилади, загальне</v>
      </c>
      <c r="I1812" s="19">
        <f>IFERROR(__xludf.DUMMYFUNCTION("""COMPUTED_VALUE"""),0.125)</f>
        <v>0.125</v>
      </c>
      <c r="J1812" s="19">
        <f>IFERROR(__xludf.DUMMYFUNCTION("""COMPUTED_VALUE"""),0.25)</f>
        <v>0.25</v>
      </c>
      <c r="K1812" s="19">
        <f>IFERROR(__xludf.DUMMYFUNCTION("""COMPUTED_VALUE"""),0.3125)</f>
        <v>0.3125</v>
      </c>
      <c r="L1812" s="19">
        <f>IFERROR(__xludf.DUMMYFUNCTION("""COMPUTED_VALUE"""),0.375)</f>
        <v>0.375</v>
      </c>
      <c r="M1812" s="18">
        <f>IFERROR(__xludf.DUMMYFUNCTION("""COMPUTED_VALUE"""),4.33)</f>
        <v>4.33</v>
      </c>
    </row>
    <row r="1813">
      <c r="A1813" s="13" t="str">
        <f>IFERROR(__xludf.DUMMYFUNCTION("""COMPUTED_VALUE"""),"товари")</f>
        <v>товари</v>
      </c>
      <c r="B1813" s="16" t="str">
        <f>IFERROR(__xludf.DUMMYFUNCTION("""COMPUTED_VALUE"""),"контрольно-вимірювальні прилади")</f>
        <v>контрольно-вимірювальні прилади</v>
      </c>
      <c r="C1813" s="16" t="str">
        <f>IFERROR(__xludf.DUMMYFUNCTION("""COMPUTED_VALUE"""),"оптичні прилади і системи")</f>
        <v>оптичні прилади і системи</v>
      </c>
      <c r="D1813" s="16" t="str">
        <f>IFERROR(__xludf.DUMMYFUNCTION("""COMPUTED_VALUE"""),"збільшувальне скло")</f>
        <v>збільшувальне скло</v>
      </c>
      <c r="E1813" s="16" t="str">
        <f>IFERROR(__xludf.DUMMYFUNCTION("""COMPUTED_VALUE"""),"збільшувальне скло")</f>
        <v>збільшувальне скло</v>
      </c>
      <c r="F1813" s="17">
        <f>IFERROR(__xludf.DUMMYFUNCTION("""COMPUTED_VALUE"""),3.0)</f>
        <v>3</v>
      </c>
      <c r="G1813" s="17" t="str">
        <f>IFERROR(__xludf.DUMMYFUNCTION("""COMPUTED_VALUE"""),"190405")</f>
        <v>190405</v>
      </c>
      <c r="H1813" s="17" t="str">
        <f>IFERROR(__xludf.DUMMYFUNCTION("""COMPUTED_VALUE"""),"збільшувальне скло")</f>
        <v>збільшувальне скло</v>
      </c>
      <c r="I1813" s="19">
        <f>IFERROR(__xludf.DUMMYFUNCTION("""COMPUTED_VALUE"""),0.0775)</f>
        <v>0.0775</v>
      </c>
      <c r="J1813" s="19">
        <f>IFERROR(__xludf.DUMMYFUNCTION("""COMPUTED_VALUE"""),0.155)</f>
        <v>0.155</v>
      </c>
      <c r="K1813" s="19">
        <f>IFERROR(__xludf.DUMMYFUNCTION("""COMPUTED_VALUE"""),0.1938)</f>
        <v>0.1938</v>
      </c>
      <c r="L1813" s="19">
        <f>IFERROR(__xludf.DUMMYFUNCTION("""COMPUTED_VALUE"""),0.2325)</f>
        <v>0.2325</v>
      </c>
      <c r="M1813" s="18">
        <f>IFERROR(__xludf.DUMMYFUNCTION("""COMPUTED_VALUE"""),1.98)</f>
        <v>1.98</v>
      </c>
    </row>
    <row r="1814">
      <c r="A1814" s="13" t="str">
        <f>IFERROR(__xludf.DUMMYFUNCTION("""COMPUTED_VALUE"""),"товари")</f>
        <v>товари</v>
      </c>
      <c r="B1814" s="16" t="str">
        <f>IFERROR(__xludf.DUMMYFUNCTION("""COMPUTED_VALUE"""),"контрольно-вимірювальні прилади")</f>
        <v>контрольно-вимірювальні прилади</v>
      </c>
      <c r="C1814" s="16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1814" s="16" t="str">
        <f>IFERROR(__xludf.DUMMYFUNCTION("""COMPUTED_VALUE"""),"калібри")</f>
        <v>калібри</v>
      </c>
      <c r="E1814" s="16" t="str">
        <f>IFERROR(__xludf.DUMMYFUNCTION("""COMPUTED_VALUE"""),"калібри")</f>
        <v>калібри</v>
      </c>
      <c r="F1814" s="17">
        <f>IFERROR(__xludf.DUMMYFUNCTION("""COMPUTED_VALUE"""),3.0)</f>
        <v>3</v>
      </c>
      <c r="G1814" s="17" t="str">
        <f>IFERROR(__xludf.DUMMYFUNCTION("""COMPUTED_VALUE"""),"14200609")</f>
        <v>14200609</v>
      </c>
      <c r="H1814" s="17" t="str">
        <f>IFERROR(__xludf.DUMMYFUNCTION("""COMPUTED_VALUE"""),"калібри")</f>
        <v>калібри</v>
      </c>
      <c r="I1814" s="19">
        <f>IFERROR(__xludf.DUMMYFUNCTION("""COMPUTED_VALUE"""),0.0416)</f>
        <v>0.0416</v>
      </c>
      <c r="J1814" s="19">
        <f>IFERROR(__xludf.DUMMYFUNCTION("""COMPUTED_VALUE"""),0.0832)</f>
        <v>0.0832</v>
      </c>
      <c r="K1814" s="19">
        <f>IFERROR(__xludf.DUMMYFUNCTION("""COMPUTED_VALUE"""),0.104)</f>
        <v>0.104</v>
      </c>
      <c r="L1814" s="19">
        <f>IFERROR(__xludf.DUMMYFUNCTION("""COMPUTED_VALUE"""),0.1248)</f>
        <v>0.1248</v>
      </c>
      <c r="M1814" s="18">
        <f>IFERROR(__xludf.DUMMYFUNCTION("""COMPUTED_VALUE"""),1.05)</f>
        <v>1.05</v>
      </c>
    </row>
    <row r="1815">
      <c r="A1815" s="13" t="str">
        <f>IFERROR(__xludf.DUMMYFUNCTION("""COMPUTED_VALUE"""),"товари")</f>
        <v>товари</v>
      </c>
      <c r="B1815" s="16" t="str">
        <f>IFERROR(__xludf.DUMMYFUNCTION("""COMPUTED_VALUE"""),"контрольно-вимірювальні прилади")</f>
        <v>контрольно-вимірювальні прилади</v>
      </c>
      <c r="C1815" s="16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815" s="16" t="str">
        <f>IFERROR(__xludf.DUMMYFUNCTION("""COMPUTED_VALUE"""),"кімнатні та віконні термометри")</f>
        <v>кімнатні та віконні термометри</v>
      </c>
      <c r="E1815" s="16" t="str">
        <f>IFERROR(__xludf.DUMMYFUNCTION("""COMPUTED_VALUE"""),"кімнатні та віконні термометри")</f>
        <v>кімнатні та віконні термометри</v>
      </c>
      <c r="F1815" s="17">
        <f>IFERROR(__xludf.DUMMYFUNCTION("""COMPUTED_VALUE"""),3.0)</f>
        <v>3</v>
      </c>
      <c r="G1815" s="17" t="str">
        <f>IFERROR(__xludf.DUMMYFUNCTION("""COMPUTED_VALUE"""),"153722")</f>
        <v>153722</v>
      </c>
      <c r="H1815" s="17" t="str">
        <f>IFERROR(__xludf.DUMMYFUNCTION("""COMPUTED_VALUE"""),"кімнатні та віконні термометри")</f>
        <v>кімнатні та віконні термометри</v>
      </c>
      <c r="I1815" s="19">
        <f>IFERROR(__xludf.DUMMYFUNCTION("""COMPUTED_VALUE"""),0.0498)</f>
        <v>0.0498</v>
      </c>
      <c r="J1815" s="19">
        <f>IFERROR(__xludf.DUMMYFUNCTION("""COMPUTED_VALUE"""),0.0996)</f>
        <v>0.0996</v>
      </c>
      <c r="K1815" s="19">
        <f>IFERROR(__xludf.DUMMYFUNCTION("""COMPUTED_VALUE"""),0.1245)</f>
        <v>0.1245</v>
      </c>
      <c r="L1815" s="19">
        <f>IFERROR(__xludf.DUMMYFUNCTION("""COMPUTED_VALUE"""),0.1494)</f>
        <v>0.1494</v>
      </c>
      <c r="M1815" s="18">
        <f>IFERROR(__xludf.DUMMYFUNCTION("""COMPUTED_VALUE"""),1.05)</f>
        <v>1.05</v>
      </c>
    </row>
    <row r="1816">
      <c r="A1816" s="13" t="str">
        <f>IFERROR(__xludf.DUMMYFUNCTION("""COMPUTED_VALUE"""),"товари")</f>
        <v>товари</v>
      </c>
      <c r="B1816" s="16" t="str">
        <f>IFERROR(__xludf.DUMMYFUNCTION("""COMPUTED_VALUE"""),"контрольно-вимірювальні прилади")</f>
        <v>контрольно-вимірювальні прилади</v>
      </c>
      <c r="C1816" s="16" t="str">
        <f>IFERROR(__xludf.DUMMYFUNCTION("""COMPUTED_VALUE"""),"комплектуючі вимірювальних приладів")</f>
        <v>комплектуючі вимірювальних приладів</v>
      </c>
      <c r="D1816" s="16" t="str">
        <f>IFERROR(__xludf.DUMMYFUNCTION("""COMPUTED_VALUE"""),"комплектуючі вимірювальних приладів")</f>
        <v>комплектуючі вимірювальних приладів</v>
      </c>
      <c r="E1816" s="16" t="str">
        <f>IFERROR(__xludf.DUMMYFUNCTION("""COMPUTED_VALUE"""),"комплектуючі вимірювальних приладів")</f>
        <v>комплектуючі вимірювальних приладів</v>
      </c>
      <c r="F1816" s="17">
        <f>IFERROR(__xludf.DUMMYFUNCTION("""COMPUTED_VALUE"""),2.0)</f>
        <v>2</v>
      </c>
      <c r="G1816" s="17" t="str">
        <f>IFERROR(__xludf.DUMMYFUNCTION("""COMPUTED_VALUE"""),"153713")</f>
        <v>153713</v>
      </c>
      <c r="H1816" s="17" t="str">
        <f>IFERROR(__xludf.DUMMYFUNCTION("""COMPUTED_VALUE"""),"комплектуючі вимірювальних приладів")</f>
        <v>комплектуючі вимірювальних приладів</v>
      </c>
      <c r="I1816" s="19">
        <f>IFERROR(__xludf.DUMMYFUNCTION("""COMPUTED_VALUE"""),0.0383)</f>
        <v>0.0383</v>
      </c>
      <c r="J1816" s="19">
        <f>IFERROR(__xludf.DUMMYFUNCTION("""COMPUTED_VALUE"""),0.0766)</f>
        <v>0.0766</v>
      </c>
      <c r="K1816" s="19">
        <f>IFERROR(__xludf.DUMMYFUNCTION("""COMPUTED_VALUE"""),0.0958)</f>
        <v>0.0958</v>
      </c>
      <c r="L1816" s="19">
        <f>IFERROR(__xludf.DUMMYFUNCTION("""COMPUTED_VALUE"""),0.1149)</f>
        <v>0.1149</v>
      </c>
      <c r="M1816" s="18">
        <f>IFERROR(__xludf.DUMMYFUNCTION("""COMPUTED_VALUE"""),1.44)</f>
        <v>1.44</v>
      </c>
    </row>
    <row r="1817">
      <c r="A1817" s="13" t="str">
        <f>IFERROR(__xludf.DUMMYFUNCTION("""COMPUTED_VALUE"""),"товари")</f>
        <v>товари</v>
      </c>
      <c r="B1817" s="16" t="str">
        <f>IFERROR(__xludf.DUMMYFUNCTION("""COMPUTED_VALUE"""),"контрольно-вимірювальні прилади")</f>
        <v>контрольно-вимірювальні прилади</v>
      </c>
      <c r="C1817" s="16" t="str">
        <f>IFERROR(__xludf.DUMMYFUNCTION("""COMPUTED_VALUE"""),"вагове обладнання")</f>
        <v>вагове обладнання</v>
      </c>
      <c r="D1817" s="16" t="str">
        <f>IFERROR(__xludf.DUMMYFUNCTION("""COMPUTED_VALUE"""),"комплектуючі для ваг")</f>
        <v>комплектуючі для ваг</v>
      </c>
      <c r="E1817" s="16" t="str">
        <f>IFERROR(__xludf.DUMMYFUNCTION("""COMPUTED_VALUE"""),"комплектуючі для ваг, загальне")</f>
        <v>комплектуючі для ваг, загальне</v>
      </c>
      <c r="F1817" s="17">
        <f>IFERROR(__xludf.DUMMYFUNCTION("""COMPUTED_VALUE"""),4.0)</f>
        <v>4</v>
      </c>
      <c r="G1817" s="17" t="str">
        <f>IFERROR(__xludf.DUMMYFUNCTION("""COMPUTED_VALUE"""),"15371116")</f>
        <v>15371116</v>
      </c>
      <c r="H1817" s="17" t="str">
        <f>IFERROR(__xludf.DUMMYFUNCTION("""COMPUTED_VALUE"""),"комплектуючі для ваг, загальне")</f>
        <v>комплектуючі для ваг, загальне</v>
      </c>
      <c r="I1817" s="19">
        <f>IFERROR(__xludf.DUMMYFUNCTION("""COMPUTED_VALUE"""),0.125)</f>
        <v>0.125</v>
      </c>
      <c r="J1817" s="19">
        <f>IFERROR(__xludf.DUMMYFUNCTION("""COMPUTED_VALUE"""),0.25)</f>
        <v>0.25</v>
      </c>
      <c r="K1817" s="19">
        <f>IFERROR(__xludf.DUMMYFUNCTION("""COMPUTED_VALUE"""),0.3125)</f>
        <v>0.3125</v>
      </c>
      <c r="L1817" s="19">
        <f>IFERROR(__xludf.DUMMYFUNCTION("""COMPUTED_VALUE"""),0.375)</f>
        <v>0.375</v>
      </c>
      <c r="M1817" s="18">
        <f>IFERROR(__xludf.DUMMYFUNCTION("""COMPUTED_VALUE"""),4.33)</f>
        <v>4.33</v>
      </c>
    </row>
    <row r="1818">
      <c r="A1818" s="13" t="str">
        <f>IFERROR(__xludf.DUMMYFUNCTION("""COMPUTED_VALUE"""),"товари")</f>
        <v>товари</v>
      </c>
      <c r="B1818" s="16" t="str">
        <f>IFERROR(__xludf.DUMMYFUNCTION("""COMPUTED_VALUE"""),"контрольно-вимірювальні прилади")</f>
        <v>контрольно-вимірювальні прилади</v>
      </c>
      <c r="C1818" s="16" t="str">
        <f>IFERROR(__xludf.DUMMYFUNCTION("""COMPUTED_VALUE"""),"оптичні прилади і системи")</f>
        <v>оптичні прилади і системи</v>
      </c>
      <c r="D1818" s="16" t="str">
        <f>IFERROR(__xludf.DUMMYFUNCTION("""COMPUTED_VALUE"""),"комплектуючі для оптичних приладів")</f>
        <v>комплектуючі для оптичних приладів</v>
      </c>
      <c r="E1818" s="16" t="str">
        <f>IFERROR(__xludf.DUMMYFUNCTION("""COMPUTED_VALUE"""),"комплектуючі для оптичних приладів")</f>
        <v>комплектуючі для оптичних приладів</v>
      </c>
      <c r="F1818" s="17">
        <f>IFERROR(__xludf.DUMMYFUNCTION("""COMPUTED_VALUE"""),3.0)</f>
        <v>3</v>
      </c>
      <c r="G1818" s="17" t="str">
        <f>IFERROR(__xludf.DUMMYFUNCTION("""COMPUTED_VALUE"""),"190407")</f>
        <v>190407</v>
      </c>
      <c r="H1818" s="17" t="str">
        <f>IFERROR(__xludf.DUMMYFUNCTION("""COMPUTED_VALUE"""),"комплектуючі для оптичних приладів")</f>
        <v>комплектуючі для оптичних приладів</v>
      </c>
      <c r="I1818" s="19">
        <f>IFERROR(__xludf.DUMMYFUNCTION("""COMPUTED_VALUE"""),0.0757)</f>
        <v>0.0757</v>
      </c>
      <c r="J1818" s="19">
        <f>IFERROR(__xludf.DUMMYFUNCTION("""COMPUTED_VALUE"""),0.1513)</f>
        <v>0.1513</v>
      </c>
      <c r="K1818" s="19">
        <f>IFERROR(__xludf.DUMMYFUNCTION("""COMPUTED_VALUE"""),0.1891)</f>
        <v>0.1891</v>
      </c>
      <c r="L1818" s="19">
        <f>IFERROR(__xludf.DUMMYFUNCTION("""COMPUTED_VALUE"""),0.227)</f>
        <v>0.227</v>
      </c>
      <c r="M1818" s="18">
        <f>IFERROR(__xludf.DUMMYFUNCTION("""COMPUTED_VALUE"""),1.8)</f>
        <v>1.8</v>
      </c>
    </row>
    <row r="1819">
      <c r="A1819" s="13" t="str">
        <f>IFERROR(__xludf.DUMMYFUNCTION("""COMPUTED_VALUE"""),"товари")</f>
        <v>товари</v>
      </c>
      <c r="B1819" s="16" t="str">
        <f>IFERROR(__xludf.DUMMYFUNCTION("""COMPUTED_VALUE"""),"контрольно-вимірювальні прилади")</f>
        <v>контрольно-вимірювальні прилади</v>
      </c>
      <c r="C1819" s="16" t="str">
        <f>IFERROR(__xludf.DUMMYFUNCTION("""COMPUTED_VALUE"""),"електровимірювальні прилади")</f>
        <v>електровимірювальні прилади</v>
      </c>
      <c r="D1819" s="16" t="str">
        <f>IFERROR(__xludf.DUMMYFUNCTION("""COMPUTED_VALUE"""),"комплектуючі до електровимірювальних приладів")</f>
        <v>комплектуючі до електровимірювальних приладів</v>
      </c>
      <c r="E1819" s="16" t="str">
        <f>IFERROR(__xludf.DUMMYFUNCTION("""COMPUTED_VALUE"""),"комплектуючі до електровимірювальних приладів")</f>
        <v>комплектуючі до електровимірювальних приладів</v>
      </c>
      <c r="F1819" s="17">
        <f>IFERROR(__xludf.DUMMYFUNCTION("""COMPUTED_VALUE"""),3.0)</f>
        <v>3</v>
      </c>
      <c r="G1819" s="17" t="str">
        <f>IFERROR(__xludf.DUMMYFUNCTION("""COMPUTED_VALUE"""),"15370321")</f>
        <v>15370321</v>
      </c>
      <c r="H1819" s="17" t="str">
        <f>IFERROR(__xludf.DUMMYFUNCTION("""COMPUTED_VALUE"""),"комплектуючі до електровимірювальних приладів")</f>
        <v>комплектуючі до електровимірювальних приладів</v>
      </c>
      <c r="I1819" s="19">
        <f>IFERROR(__xludf.DUMMYFUNCTION("""COMPUTED_VALUE"""),0.0719)</f>
        <v>0.0719</v>
      </c>
      <c r="J1819" s="19">
        <f>IFERROR(__xludf.DUMMYFUNCTION("""COMPUTED_VALUE"""),0.1438)</f>
        <v>0.1438</v>
      </c>
      <c r="K1819" s="19">
        <f>IFERROR(__xludf.DUMMYFUNCTION("""COMPUTED_VALUE"""),0.1798)</f>
        <v>0.1798</v>
      </c>
      <c r="L1819" s="19">
        <f>IFERROR(__xludf.DUMMYFUNCTION("""COMPUTED_VALUE"""),0.2157)</f>
        <v>0.2157</v>
      </c>
      <c r="M1819" s="18">
        <f>IFERROR(__xludf.DUMMYFUNCTION("""COMPUTED_VALUE"""),1.05)</f>
        <v>1.05</v>
      </c>
    </row>
    <row r="1820">
      <c r="A1820" s="13" t="str">
        <f>IFERROR(__xludf.DUMMYFUNCTION("""COMPUTED_VALUE"""),"товари")</f>
        <v>товари</v>
      </c>
      <c r="B1820" s="16" t="str">
        <f>IFERROR(__xludf.DUMMYFUNCTION("""COMPUTED_VALUE"""),"контрольно-вимірювальні прилади")</f>
        <v>контрольно-вимірювальні прилади</v>
      </c>
      <c r="C1820" s="16" t="str">
        <f>IFERROR(__xludf.DUMMYFUNCTION("""COMPUTED_VALUE"""),"лабораторне, випробувальне обладнання")</f>
        <v>лабораторне, випробувальне обладнання</v>
      </c>
      <c r="D1820" s="16" t="str">
        <f>IFERROR(__xludf.DUMMYFUNCTION("""COMPUTED_VALUE"""),"аналізатори")</f>
        <v>аналізатори</v>
      </c>
      <c r="E1820" s="16" t="str">
        <f>IFERROR(__xludf.DUMMYFUNCTION("""COMPUTED_VALUE"""),"концентратоміри, дозиметри")</f>
        <v>концентратоміри, дозиметри</v>
      </c>
      <c r="F1820" s="17">
        <f>IFERROR(__xludf.DUMMYFUNCTION("""COMPUTED_VALUE"""),4.0)</f>
        <v>4</v>
      </c>
      <c r="G1820" s="17" t="str">
        <f>IFERROR(__xludf.DUMMYFUNCTION("""COMPUTED_VALUE"""),"15370102")</f>
        <v>15370102</v>
      </c>
      <c r="H1820" s="17" t="str">
        <f>IFERROR(__xludf.DUMMYFUNCTION("""COMPUTED_VALUE"""),"концентратоміри, дозиметри")</f>
        <v>концентратоміри, дозиметри</v>
      </c>
      <c r="I1820" s="19">
        <f>IFERROR(__xludf.DUMMYFUNCTION("""COMPUTED_VALUE"""),0.0709)</f>
        <v>0.0709</v>
      </c>
      <c r="J1820" s="19">
        <f>IFERROR(__xludf.DUMMYFUNCTION("""COMPUTED_VALUE"""),0.1417)</f>
        <v>0.1417</v>
      </c>
      <c r="K1820" s="19">
        <f>IFERROR(__xludf.DUMMYFUNCTION("""COMPUTED_VALUE"""),0.1771)</f>
        <v>0.1771</v>
      </c>
      <c r="L1820" s="19">
        <f>IFERROR(__xludf.DUMMYFUNCTION("""COMPUTED_VALUE"""),0.2126)</f>
        <v>0.2126</v>
      </c>
      <c r="M1820" s="18">
        <f>IFERROR(__xludf.DUMMYFUNCTION("""COMPUTED_VALUE"""),3.75)</f>
        <v>3.75</v>
      </c>
    </row>
    <row r="1821">
      <c r="A1821" s="13" t="str">
        <f>IFERROR(__xludf.DUMMYFUNCTION("""COMPUTED_VALUE"""),"товари")</f>
        <v>товари</v>
      </c>
      <c r="B1821" s="16" t="str">
        <f>IFERROR(__xludf.DUMMYFUNCTION("""COMPUTED_VALUE"""),"контрольно-вимірювальні прилади")</f>
        <v>контрольно-вимірювальні прилади</v>
      </c>
      <c r="C1821" s="16" t="str">
        <f>IFERROR(__xludf.DUMMYFUNCTION("""COMPUTED_VALUE"""),"геодезичне обладнання")</f>
        <v>геодезичне обладнання</v>
      </c>
      <c r="D1821" s="16" t="str">
        <f>IFERROR(__xludf.DUMMYFUNCTION("""COMPUTED_VALUE"""),"курвіметри")</f>
        <v>курвіметри</v>
      </c>
      <c r="E1821" s="16" t="str">
        <f>IFERROR(__xludf.DUMMYFUNCTION("""COMPUTED_VALUE"""),"курвіметри")</f>
        <v>курвіметри</v>
      </c>
      <c r="F1821" s="17">
        <f>IFERROR(__xludf.DUMMYFUNCTION("""COMPUTED_VALUE"""),3.0)</f>
        <v>3</v>
      </c>
      <c r="G1821" s="17" t="str">
        <f>IFERROR(__xludf.DUMMYFUNCTION("""COMPUTED_VALUE"""),"13040907")</f>
        <v>13040907</v>
      </c>
      <c r="H1821" s="17" t="str">
        <f>IFERROR(__xludf.DUMMYFUNCTION("""COMPUTED_VALUE"""),"курвіметри")</f>
        <v>курвіметри</v>
      </c>
      <c r="I1821" s="19">
        <f>IFERROR(__xludf.DUMMYFUNCTION("""COMPUTED_VALUE"""),0.067)</f>
        <v>0.067</v>
      </c>
      <c r="J1821" s="19">
        <f>IFERROR(__xludf.DUMMYFUNCTION("""COMPUTED_VALUE"""),0.134)</f>
        <v>0.134</v>
      </c>
      <c r="K1821" s="19">
        <f>IFERROR(__xludf.DUMMYFUNCTION("""COMPUTED_VALUE"""),0.1675)</f>
        <v>0.1675</v>
      </c>
      <c r="L1821" s="19">
        <f>IFERROR(__xludf.DUMMYFUNCTION("""COMPUTED_VALUE"""),0.201)</f>
        <v>0.201</v>
      </c>
      <c r="M1821" s="18">
        <f>IFERROR(__xludf.DUMMYFUNCTION("""COMPUTED_VALUE"""),1.44)</f>
        <v>1.44</v>
      </c>
    </row>
    <row r="1822">
      <c r="A1822" s="13" t="str">
        <f>IFERROR(__xludf.DUMMYFUNCTION("""COMPUTED_VALUE"""),"товари")</f>
        <v>товари</v>
      </c>
      <c r="B1822" s="16" t="str">
        <f>IFERROR(__xludf.DUMMYFUNCTION("""COMPUTED_VALUE"""),"контрольно-вимірювальні прилади")</f>
        <v>контрольно-вимірювальні прилади</v>
      </c>
      <c r="C1822" s="16" t="str">
        <f>IFERROR(__xludf.DUMMYFUNCTION("""COMPUTED_VALUE"""),"прилади лінійно-кутових вимірювань")</f>
        <v>прилади лінійно-кутових вимірювань</v>
      </c>
      <c r="D1822" s="16" t="str">
        <f>IFERROR(__xludf.DUMMYFUNCTION("""COMPUTED_VALUE"""),"кутоміри")</f>
        <v>кутоміри</v>
      </c>
      <c r="E1822" s="16" t="str">
        <f>IFERROR(__xludf.DUMMYFUNCTION("""COMPUTED_VALUE"""),"кутоміри")</f>
        <v>кутоміри</v>
      </c>
      <c r="F1822" s="17">
        <f>IFERROR(__xludf.DUMMYFUNCTION("""COMPUTED_VALUE"""),3.0)</f>
        <v>3</v>
      </c>
      <c r="G1822" s="17" t="str">
        <f>IFERROR(__xludf.DUMMYFUNCTION("""COMPUTED_VALUE"""),"15370711")</f>
        <v>15370711</v>
      </c>
      <c r="H1822" s="17" t="str">
        <f>IFERROR(__xludf.DUMMYFUNCTION("""COMPUTED_VALUE"""),"кутоміри")</f>
        <v>кутоміри</v>
      </c>
      <c r="I1822" s="19">
        <f>IFERROR(__xludf.DUMMYFUNCTION("""COMPUTED_VALUE"""),0.077)</f>
        <v>0.077</v>
      </c>
      <c r="J1822" s="19">
        <f>IFERROR(__xludf.DUMMYFUNCTION("""COMPUTED_VALUE"""),0.1539)</f>
        <v>0.1539</v>
      </c>
      <c r="K1822" s="19">
        <f>IFERROR(__xludf.DUMMYFUNCTION("""COMPUTED_VALUE"""),0.1924)</f>
        <v>0.1924</v>
      </c>
      <c r="L1822" s="19">
        <f>IFERROR(__xludf.DUMMYFUNCTION("""COMPUTED_VALUE"""),0.2309)</f>
        <v>0.2309</v>
      </c>
      <c r="M1822" s="18">
        <f>IFERROR(__xludf.DUMMYFUNCTION("""COMPUTED_VALUE"""),2.79)</f>
        <v>2.79</v>
      </c>
    </row>
    <row r="1823">
      <c r="A1823" s="13" t="str">
        <f>IFERROR(__xludf.DUMMYFUNCTION("""COMPUTED_VALUE"""),"товари")</f>
        <v>товари</v>
      </c>
      <c r="B1823" s="16" t="str">
        <f>IFERROR(__xludf.DUMMYFUNCTION("""COMPUTED_VALUE"""),"контрольно-вимірювальні прилади")</f>
        <v>контрольно-вимірювальні прилади</v>
      </c>
      <c r="C1823" s="16" t="str">
        <f>IFERROR(__xludf.DUMMYFUNCTION("""COMPUTED_VALUE"""),"оптичні прилади і системи")</f>
        <v>оптичні прилади і системи</v>
      </c>
      <c r="D1823" s="16" t="str">
        <f>IFERROR(__xludf.DUMMYFUNCTION("""COMPUTED_VALUE"""),"лазерні далекоміри")</f>
        <v>лазерні далекоміри</v>
      </c>
      <c r="E1823" s="16" t="str">
        <f>IFERROR(__xludf.DUMMYFUNCTION("""COMPUTED_VALUE"""),"лазерні далекоміри")</f>
        <v>лазерні далекоміри</v>
      </c>
      <c r="F1823" s="17">
        <f>IFERROR(__xludf.DUMMYFUNCTION("""COMPUTED_VALUE"""),3.0)</f>
        <v>3</v>
      </c>
      <c r="G1823" s="17" t="str">
        <f>IFERROR(__xludf.DUMMYFUNCTION("""COMPUTED_VALUE"""),"190403")</f>
        <v>190403</v>
      </c>
      <c r="H1823" s="17" t="str">
        <f>IFERROR(__xludf.DUMMYFUNCTION("""COMPUTED_VALUE"""),"лазерні далекоміри")</f>
        <v>лазерні далекоміри</v>
      </c>
      <c r="I1823" s="19">
        <f>IFERROR(__xludf.DUMMYFUNCTION("""COMPUTED_VALUE"""),0.0749)</f>
        <v>0.0749</v>
      </c>
      <c r="J1823" s="19">
        <f>IFERROR(__xludf.DUMMYFUNCTION("""COMPUTED_VALUE"""),0.1497)</f>
        <v>0.1497</v>
      </c>
      <c r="K1823" s="19">
        <f>IFERROR(__xludf.DUMMYFUNCTION("""COMPUTED_VALUE"""),0.1871)</f>
        <v>0.1871</v>
      </c>
      <c r="L1823" s="19">
        <f>IFERROR(__xludf.DUMMYFUNCTION("""COMPUTED_VALUE"""),0.2246)</f>
        <v>0.2246</v>
      </c>
      <c r="M1823" s="18">
        <f>IFERROR(__xludf.DUMMYFUNCTION("""COMPUTED_VALUE"""),3.43)</f>
        <v>3.43</v>
      </c>
    </row>
    <row r="1824">
      <c r="A1824" s="13" t="str">
        <f>IFERROR(__xludf.DUMMYFUNCTION("""COMPUTED_VALUE"""),"товари")</f>
        <v>товари</v>
      </c>
      <c r="B1824" s="16" t="str">
        <f>IFERROR(__xludf.DUMMYFUNCTION("""COMPUTED_VALUE"""),"контрольно-вимірювальні прилади")</f>
        <v>контрольно-вимірювальні прилади</v>
      </c>
      <c r="C1824" s="16" t="str">
        <f>IFERROR(__xludf.DUMMYFUNCTION("""COMPUTED_VALUE"""),"оптичні прилади і системи")</f>
        <v>оптичні прилади і системи</v>
      </c>
      <c r="D1824" s="16" t="str">
        <f>IFERROR(__xludf.DUMMYFUNCTION("""COMPUTED_VALUE"""),"лінзи")</f>
        <v>лінзи</v>
      </c>
      <c r="E1824" s="16" t="str">
        <f>IFERROR(__xludf.DUMMYFUNCTION("""COMPUTED_VALUE"""),"лінзи")</f>
        <v>лінзи</v>
      </c>
      <c r="F1824" s="17">
        <f>IFERROR(__xludf.DUMMYFUNCTION("""COMPUTED_VALUE"""),3.0)</f>
        <v>3</v>
      </c>
      <c r="G1824" s="17" t="str">
        <f>IFERROR(__xludf.DUMMYFUNCTION("""COMPUTED_VALUE"""),"190404")</f>
        <v>190404</v>
      </c>
      <c r="H1824" s="17" t="str">
        <f>IFERROR(__xludf.DUMMYFUNCTION("""COMPUTED_VALUE"""),"лінзи")</f>
        <v>лінзи</v>
      </c>
      <c r="I1824" s="19">
        <f>IFERROR(__xludf.DUMMYFUNCTION("""COMPUTED_VALUE"""),0.0447)</f>
        <v>0.0447</v>
      </c>
      <c r="J1824" s="19">
        <f>IFERROR(__xludf.DUMMYFUNCTION("""COMPUTED_VALUE"""),0.0893)</f>
        <v>0.0893</v>
      </c>
      <c r="K1824" s="19">
        <f>IFERROR(__xludf.DUMMYFUNCTION("""COMPUTED_VALUE"""),0.1116)</f>
        <v>0.1116</v>
      </c>
      <c r="L1824" s="19">
        <f>IFERROR(__xludf.DUMMYFUNCTION("""COMPUTED_VALUE"""),0.134)</f>
        <v>0.134</v>
      </c>
      <c r="M1824" s="18">
        <f>IFERROR(__xludf.DUMMYFUNCTION("""COMPUTED_VALUE"""),1.05)</f>
        <v>1.05</v>
      </c>
    </row>
    <row r="1825">
      <c r="A1825" s="13" t="str">
        <f>IFERROR(__xludf.DUMMYFUNCTION("""COMPUTED_VALUE"""),"товари")</f>
        <v>товари</v>
      </c>
      <c r="B1825" s="16" t="str">
        <f>IFERROR(__xludf.DUMMYFUNCTION("""COMPUTED_VALUE"""),"контрольно-вимірювальні прилади")</f>
        <v>контрольно-вимірювальні прилади</v>
      </c>
      <c r="C1825" s="16" t="str">
        <f>IFERROR(__xludf.DUMMYFUNCTION("""COMPUTED_VALUE"""),"витратоміри, лічильники")</f>
        <v>витратоміри, лічильники</v>
      </c>
      <c r="D1825" s="16" t="str">
        <f>IFERROR(__xludf.DUMMYFUNCTION("""COMPUTED_VALUE"""),"лічильники електроенергії")</f>
        <v>лічильники електроенергії</v>
      </c>
      <c r="E1825" s="16" t="str">
        <f>IFERROR(__xludf.DUMMYFUNCTION("""COMPUTED_VALUE"""),"лічильники електроенергії")</f>
        <v>лічильники електроенергії</v>
      </c>
      <c r="F1825" s="17">
        <f>IFERROR(__xludf.DUMMYFUNCTION("""COMPUTED_VALUE"""),3.0)</f>
        <v>3</v>
      </c>
      <c r="G1825" s="17" t="str">
        <f>IFERROR(__xludf.DUMMYFUNCTION("""COMPUTED_VALUE"""),"15370304")</f>
        <v>15370304</v>
      </c>
      <c r="H1825" s="17" t="str">
        <f>IFERROR(__xludf.DUMMYFUNCTION("""COMPUTED_VALUE"""),"лічильники електроенергії")</f>
        <v>лічильники електроенергії</v>
      </c>
      <c r="I1825" s="19">
        <f>IFERROR(__xludf.DUMMYFUNCTION("""COMPUTED_VALUE"""),0.0744)</f>
        <v>0.0744</v>
      </c>
      <c r="J1825" s="19">
        <f>IFERROR(__xludf.DUMMYFUNCTION("""COMPUTED_VALUE"""),0.1488)</f>
        <v>0.1488</v>
      </c>
      <c r="K1825" s="19">
        <f>IFERROR(__xludf.DUMMYFUNCTION("""COMPUTED_VALUE"""),0.186)</f>
        <v>0.186</v>
      </c>
      <c r="L1825" s="19">
        <f>IFERROR(__xludf.DUMMYFUNCTION("""COMPUTED_VALUE"""),0.2232)</f>
        <v>0.2232</v>
      </c>
      <c r="M1825" s="18">
        <f>IFERROR(__xludf.DUMMYFUNCTION("""COMPUTED_VALUE"""),1.98)</f>
        <v>1.98</v>
      </c>
    </row>
    <row r="1826">
      <c r="A1826" s="13" t="str">
        <f>IFERROR(__xludf.DUMMYFUNCTION("""COMPUTED_VALUE"""),"товари")</f>
        <v>товари</v>
      </c>
      <c r="B1826" s="16" t="str">
        <f>IFERROR(__xludf.DUMMYFUNCTION("""COMPUTED_VALUE"""),"контрольно-вимірювальні прилади")</f>
        <v>контрольно-вимірювальні прилади</v>
      </c>
      <c r="C1826" s="16" t="str">
        <f>IFERROR(__xludf.DUMMYFUNCTION("""COMPUTED_VALUE"""),"вимірювачі фізичних параметрів")</f>
        <v>вимірювачі фізичних параметрів</v>
      </c>
      <c r="D1826" s="16" t="str">
        <f>IFERROR(__xludf.DUMMYFUNCTION("""COMPUTED_VALUE"""),"люксметри")</f>
        <v>люксметри</v>
      </c>
      <c r="E1826" s="16" t="str">
        <f>IFERROR(__xludf.DUMMYFUNCTION("""COMPUTED_VALUE"""),"люксметри")</f>
        <v>люксметри</v>
      </c>
      <c r="F1826" s="17">
        <f>IFERROR(__xludf.DUMMYFUNCTION("""COMPUTED_VALUE"""),3.0)</f>
        <v>3</v>
      </c>
      <c r="G1826" s="17" t="str">
        <f>IFERROR(__xludf.DUMMYFUNCTION("""COMPUTED_VALUE"""),"12110609")</f>
        <v>12110609</v>
      </c>
      <c r="H1826" s="17" t="str">
        <f>IFERROR(__xludf.DUMMYFUNCTION("""COMPUTED_VALUE"""),"люксметри")</f>
        <v>люксметри</v>
      </c>
      <c r="I1826" s="19">
        <f>IFERROR(__xludf.DUMMYFUNCTION("""COMPUTED_VALUE"""),0.0697)</f>
        <v>0.0697</v>
      </c>
      <c r="J1826" s="19">
        <f>IFERROR(__xludf.DUMMYFUNCTION("""COMPUTED_VALUE"""),0.1394)</f>
        <v>0.1394</v>
      </c>
      <c r="K1826" s="19">
        <f>IFERROR(__xludf.DUMMYFUNCTION("""COMPUTED_VALUE"""),0.1743)</f>
        <v>0.1743</v>
      </c>
      <c r="L1826" s="19">
        <f>IFERROR(__xludf.DUMMYFUNCTION("""COMPUTED_VALUE"""),0.2091)</f>
        <v>0.2091</v>
      </c>
      <c r="M1826" s="18">
        <f>IFERROR(__xludf.DUMMYFUNCTION("""COMPUTED_VALUE"""),2.34)</f>
        <v>2.34</v>
      </c>
    </row>
    <row r="1827">
      <c r="A1827" s="13" t="str">
        <f>IFERROR(__xludf.DUMMYFUNCTION("""COMPUTED_VALUE"""),"товари")</f>
        <v>товари</v>
      </c>
      <c r="B1827" s="16" t="str">
        <f>IFERROR(__xludf.DUMMYFUNCTION("""COMPUTED_VALUE"""),"контрольно-вимірювальні прилади")</f>
        <v>контрольно-вимірювальні прилади</v>
      </c>
      <c r="C1827" s="16" t="str">
        <f>IFERROR(__xludf.DUMMYFUNCTION("""COMPUTED_VALUE"""),"прилади для вимірювання тиску")</f>
        <v>прилади для вимірювання тиску</v>
      </c>
      <c r="D1827" s="16" t="str">
        <f>IFERROR(__xludf.DUMMYFUNCTION("""COMPUTED_VALUE"""),"манометри")</f>
        <v>манометри</v>
      </c>
      <c r="E1827" s="16" t="str">
        <f>IFERROR(__xludf.DUMMYFUNCTION("""COMPUTED_VALUE"""),"манометри")</f>
        <v>манометри</v>
      </c>
      <c r="F1827" s="17">
        <f>IFERROR(__xludf.DUMMYFUNCTION("""COMPUTED_VALUE"""),3.0)</f>
        <v>3</v>
      </c>
      <c r="G1827" s="17" t="str">
        <f>IFERROR(__xludf.DUMMYFUNCTION("""COMPUTED_VALUE"""),"15370801")</f>
        <v>15370801</v>
      </c>
      <c r="H1827" s="17" t="str">
        <f>IFERROR(__xludf.DUMMYFUNCTION("""COMPUTED_VALUE"""),"манометри")</f>
        <v>манометри</v>
      </c>
      <c r="I1827" s="19">
        <f>IFERROR(__xludf.DUMMYFUNCTION("""COMPUTED_VALUE"""),0.0383)</f>
        <v>0.0383</v>
      </c>
      <c r="J1827" s="19">
        <f>IFERROR(__xludf.DUMMYFUNCTION("""COMPUTED_VALUE"""),0.0766)</f>
        <v>0.0766</v>
      </c>
      <c r="K1827" s="19">
        <f>IFERROR(__xludf.DUMMYFUNCTION("""COMPUTED_VALUE"""),0.0958)</f>
        <v>0.0958</v>
      </c>
      <c r="L1827" s="19">
        <f>IFERROR(__xludf.DUMMYFUNCTION("""COMPUTED_VALUE"""),0.1149)</f>
        <v>0.1149</v>
      </c>
      <c r="M1827" s="18">
        <f>IFERROR(__xludf.DUMMYFUNCTION("""COMPUTED_VALUE"""),2.34)</f>
        <v>2.34</v>
      </c>
    </row>
    <row r="1828">
      <c r="A1828" s="13" t="str">
        <f>IFERROR(__xludf.DUMMYFUNCTION("""COMPUTED_VALUE"""),"товари")</f>
        <v>товари</v>
      </c>
      <c r="B1828" s="16" t="str">
        <f>IFERROR(__xludf.DUMMYFUNCTION("""COMPUTED_VALUE"""),"контрольно-вимірювальні прилади")</f>
        <v>контрольно-вимірювальні прилади</v>
      </c>
      <c r="C1828" s="16" t="str">
        <f>IFERROR(__xludf.DUMMYFUNCTION("""COMPUTED_VALUE"""),"радіовимірювальні прилади")</f>
        <v>радіовимірювальні прилади</v>
      </c>
      <c r="D1828" s="16" t="str">
        <f>IFERROR(__xludf.DUMMYFUNCTION("""COMPUTED_VALUE"""),"металошукачі, металодетектори")</f>
        <v>металошукачі, металодетектори</v>
      </c>
      <c r="E1828" s="16" t="str">
        <f>IFERROR(__xludf.DUMMYFUNCTION("""COMPUTED_VALUE"""),"металошукачі, металодетектори")</f>
        <v>металошукачі, металодетектори</v>
      </c>
      <c r="F1828" s="17">
        <f>IFERROR(__xludf.DUMMYFUNCTION("""COMPUTED_VALUE"""),3.0)</f>
        <v>3</v>
      </c>
      <c r="G1828" s="17" t="str">
        <f>IFERROR(__xludf.DUMMYFUNCTION("""COMPUTED_VALUE"""),"50505")</f>
        <v>50505</v>
      </c>
      <c r="H1828" s="17" t="str">
        <f>IFERROR(__xludf.DUMMYFUNCTION("""COMPUTED_VALUE"""),"металошукачі, металодетектори")</f>
        <v>металошукачі, металодетектори</v>
      </c>
      <c r="I1828" s="19">
        <f>IFERROR(__xludf.DUMMYFUNCTION("""COMPUTED_VALUE"""),0.0774)</f>
        <v>0.0774</v>
      </c>
      <c r="J1828" s="19">
        <f>IFERROR(__xludf.DUMMYFUNCTION("""COMPUTED_VALUE"""),0.1547)</f>
        <v>0.1547</v>
      </c>
      <c r="K1828" s="19">
        <f>IFERROR(__xludf.DUMMYFUNCTION("""COMPUTED_VALUE"""),0.1934)</f>
        <v>0.1934</v>
      </c>
      <c r="L1828" s="19">
        <f>IFERROR(__xludf.DUMMYFUNCTION("""COMPUTED_VALUE"""),0.2321)</f>
        <v>0.2321</v>
      </c>
      <c r="M1828" s="18">
        <f>IFERROR(__xludf.DUMMYFUNCTION("""COMPUTED_VALUE"""),4.33)</f>
        <v>4.33</v>
      </c>
    </row>
    <row r="1829">
      <c r="A1829" s="13" t="str">
        <f>IFERROR(__xludf.DUMMYFUNCTION("""COMPUTED_VALUE"""),"товари")</f>
        <v>товари</v>
      </c>
      <c r="B1829" s="16" t="str">
        <f>IFERROR(__xludf.DUMMYFUNCTION("""COMPUTED_VALUE"""),"контрольно-вимірювальні прилади")</f>
        <v>контрольно-вимірювальні прилади</v>
      </c>
      <c r="C1829" s="16" t="str">
        <f>IFERROR(__xludf.DUMMYFUNCTION("""COMPUTED_VALUE"""),"прилади лінійно-кутових вимірювань")</f>
        <v>прилади лінійно-кутових вимірювань</v>
      </c>
      <c r="D1829" s="16" t="str">
        <f>IFERROR(__xludf.DUMMYFUNCTION("""COMPUTED_VALUE"""),"мікрометри")</f>
        <v>мікрометри</v>
      </c>
      <c r="E1829" s="16" t="str">
        <f>IFERROR(__xludf.DUMMYFUNCTION("""COMPUTED_VALUE"""),"мікрометри")</f>
        <v>мікрометри</v>
      </c>
      <c r="F1829" s="17">
        <f>IFERROR(__xludf.DUMMYFUNCTION("""COMPUTED_VALUE"""),3.0)</f>
        <v>3</v>
      </c>
      <c r="G1829" s="17" t="str">
        <f>IFERROR(__xludf.DUMMYFUNCTION("""COMPUTED_VALUE"""),"14200603")</f>
        <v>14200603</v>
      </c>
      <c r="H1829" s="17" t="str">
        <f>IFERROR(__xludf.DUMMYFUNCTION("""COMPUTED_VALUE"""),"мікрометри")</f>
        <v>мікрометри</v>
      </c>
      <c r="I1829" s="19">
        <f>IFERROR(__xludf.DUMMYFUNCTION("""COMPUTED_VALUE"""),0.0693)</f>
        <v>0.0693</v>
      </c>
      <c r="J1829" s="19">
        <f>IFERROR(__xludf.DUMMYFUNCTION("""COMPUTED_VALUE"""),0.1386)</f>
        <v>0.1386</v>
      </c>
      <c r="K1829" s="19">
        <f>IFERROR(__xludf.DUMMYFUNCTION("""COMPUTED_VALUE"""),0.1733)</f>
        <v>0.1733</v>
      </c>
      <c r="L1829" s="19">
        <f>IFERROR(__xludf.DUMMYFUNCTION("""COMPUTED_VALUE"""),0.2079)</f>
        <v>0.2079</v>
      </c>
      <c r="M1829" s="18">
        <f>IFERROR(__xludf.DUMMYFUNCTION("""COMPUTED_VALUE"""),2.7)</f>
        <v>2.7</v>
      </c>
    </row>
    <row r="1830">
      <c r="A1830" s="13" t="str">
        <f>IFERROR(__xludf.DUMMYFUNCTION("""COMPUTED_VALUE"""),"товари")</f>
        <v>товари</v>
      </c>
      <c r="B1830" s="16" t="str">
        <f>IFERROR(__xludf.DUMMYFUNCTION("""COMPUTED_VALUE"""),"контрольно-вимірювальні прилади")</f>
        <v>контрольно-вимірювальні прилади</v>
      </c>
      <c r="C1830" s="16" t="str">
        <f>IFERROR(__xludf.DUMMYFUNCTION("""COMPUTED_VALUE"""),"оптичні прилади і системи")</f>
        <v>оптичні прилади і системи</v>
      </c>
      <c r="D1830" s="16" t="str">
        <f>IFERROR(__xludf.DUMMYFUNCTION("""COMPUTED_VALUE"""),"мікроскопи")</f>
        <v>мікроскопи</v>
      </c>
      <c r="E1830" s="16" t="str">
        <f>IFERROR(__xludf.DUMMYFUNCTION("""COMPUTED_VALUE"""),"мікроскопи")</f>
        <v>мікроскопи</v>
      </c>
      <c r="F1830" s="17">
        <f>IFERROR(__xludf.DUMMYFUNCTION("""COMPUTED_VALUE"""),3.0)</f>
        <v>3</v>
      </c>
      <c r="G1830" s="17" t="str">
        <f>IFERROR(__xludf.DUMMYFUNCTION("""COMPUTED_VALUE"""),"1912")</f>
        <v>1912</v>
      </c>
      <c r="H1830" s="17" t="str">
        <f>IFERROR(__xludf.DUMMYFUNCTION("""COMPUTED_VALUE"""),"мікроскопи")</f>
        <v>мікроскопи</v>
      </c>
      <c r="I1830" s="19">
        <f>IFERROR(__xludf.DUMMYFUNCTION("""COMPUTED_VALUE"""),0.0754)</f>
        <v>0.0754</v>
      </c>
      <c r="J1830" s="19">
        <f>IFERROR(__xludf.DUMMYFUNCTION("""COMPUTED_VALUE"""),0.1507)</f>
        <v>0.1507</v>
      </c>
      <c r="K1830" s="19">
        <f>IFERROR(__xludf.DUMMYFUNCTION("""COMPUTED_VALUE"""),0.1884)</f>
        <v>0.1884</v>
      </c>
      <c r="L1830" s="19">
        <f>IFERROR(__xludf.DUMMYFUNCTION("""COMPUTED_VALUE"""),0.2261)</f>
        <v>0.2261</v>
      </c>
      <c r="M1830" s="18">
        <f>IFERROR(__xludf.DUMMYFUNCTION("""COMPUTED_VALUE"""),3.15)</f>
        <v>3.15</v>
      </c>
    </row>
    <row r="1831">
      <c r="A1831" s="13" t="str">
        <f>IFERROR(__xludf.DUMMYFUNCTION("""COMPUTED_VALUE"""),"товари")</f>
        <v>товари</v>
      </c>
      <c r="B1831" s="16" t="str">
        <f>IFERROR(__xludf.DUMMYFUNCTION("""COMPUTED_VALUE"""),"контрольно-вимірювальні прилади")</f>
        <v>контрольно-вимірювальні прилади</v>
      </c>
      <c r="C1831" s="16" t="str">
        <f>IFERROR(__xludf.DUMMYFUNCTION("""COMPUTED_VALUE"""),"електровимірювальні прилади")</f>
        <v>електровимірювальні прилади</v>
      </c>
      <c r="D1831" s="16" t="str">
        <f>IFERROR(__xludf.DUMMYFUNCTION("""COMPUTED_VALUE"""),"мультиметри")</f>
        <v>мультиметри</v>
      </c>
      <c r="E1831" s="16" t="str">
        <f>IFERROR(__xludf.DUMMYFUNCTION("""COMPUTED_VALUE"""),"мультиметри")</f>
        <v>мультиметри</v>
      </c>
      <c r="F1831" s="17">
        <f>IFERROR(__xludf.DUMMYFUNCTION("""COMPUTED_VALUE"""),3.0)</f>
        <v>3</v>
      </c>
      <c r="G1831" s="17" t="str">
        <f>IFERROR(__xludf.DUMMYFUNCTION("""COMPUTED_VALUE"""),"15370306")</f>
        <v>15370306</v>
      </c>
      <c r="H1831" s="17" t="str">
        <f>IFERROR(__xludf.DUMMYFUNCTION("""COMPUTED_VALUE"""),"мультиметри")</f>
        <v>мультиметри</v>
      </c>
      <c r="I1831" s="19">
        <f>IFERROR(__xludf.DUMMYFUNCTION("""COMPUTED_VALUE"""),0.0776)</f>
        <v>0.0776</v>
      </c>
      <c r="J1831" s="19">
        <f>IFERROR(__xludf.DUMMYFUNCTION("""COMPUTED_VALUE"""),0.1551)</f>
        <v>0.1551</v>
      </c>
      <c r="K1831" s="19">
        <f>IFERROR(__xludf.DUMMYFUNCTION("""COMPUTED_VALUE"""),0.1939)</f>
        <v>0.1939</v>
      </c>
      <c r="L1831" s="19">
        <f>IFERROR(__xludf.DUMMYFUNCTION("""COMPUTED_VALUE"""),0.2327)</f>
        <v>0.2327</v>
      </c>
      <c r="M1831" s="18">
        <f>IFERROR(__xludf.DUMMYFUNCTION("""COMPUTED_VALUE"""),2.08)</f>
        <v>2.08</v>
      </c>
    </row>
    <row r="1832">
      <c r="A1832" s="13" t="str">
        <f>IFERROR(__xludf.DUMMYFUNCTION("""COMPUTED_VALUE"""),"товари")</f>
        <v>товари</v>
      </c>
      <c r="B1832" s="16" t="str">
        <f>IFERROR(__xludf.DUMMYFUNCTION("""COMPUTED_VALUE"""),"контрольно-вимірювальні прилади")</f>
        <v>контрольно-вимірювальні прилади</v>
      </c>
      <c r="C1832" s="16" t="str">
        <f>IFERROR(__xludf.DUMMYFUNCTION("""COMPUTED_VALUE"""),"оптичні прилади і системи")</f>
        <v>оптичні прилади і системи</v>
      </c>
      <c r="D1832" s="16" t="str">
        <f>IFERROR(__xludf.DUMMYFUNCTION("""COMPUTED_VALUE"""),"оптичні нівеліри")</f>
        <v>оптичні нівеліри</v>
      </c>
      <c r="E1832" s="16" t="str">
        <f>IFERROR(__xludf.DUMMYFUNCTION("""COMPUTED_VALUE"""),"оптичні нівеліри")</f>
        <v>оптичні нівеліри</v>
      </c>
      <c r="F1832" s="17">
        <f>IFERROR(__xludf.DUMMYFUNCTION("""COMPUTED_VALUE"""),3.0)</f>
        <v>3</v>
      </c>
      <c r="G1832" s="17" t="str">
        <f>IFERROR(__xludf.DUMMYFUNCTION("""COMPUTED_VALUE"""),"153705")</f>
        <v>153705</v>
      </c>
      <c r="H1832" s="17" t="str">
        <f>IFERROR(__xludf.DUMMYFUNCTION("""COMPUTED_VALUE"""),"оптичні нівеліри")</f>
        <v>оптичні нівеліри</v>
      </c>
      <c r="I1832" s="19">
        <f>IFERROR(__xludf.DUMMYFUNCTION("""COMPUTED_VALUE"""),0.0747)</f>
        <v>0.0747</v>
      </c>
      <c r="J1832" s="19">
        <f>IFERROR(__xludf.DUMMYFUNCTION("""COMPUTED_VALUE"""),0.1494)</f>
        <v>0.1494</v>
      </c>
      <c r="K1832" s="19">
        <f>IFERROR(__xludf.DUMMYFUNCTION("""COMPUTED_VALUE"""),0.1868)</f>
        <v>0.1868</v>
      </c>
      <c r="L1832" s="19">
        <f>IFERROR(__xludf.DUMMYFUNCTION("""COMPUTED_VALUE"""),0.2241)</f>
        <v>0.2241</v>
      </c>
      <c r="M1832" s="18">
        <f>IFERROR(__xludf.DUMMYFUNCTION("""COMPUTED_VALUE"""),1.53)</f>
        <v>1.53</v>
      </c>
    </row>
    <row r="1833">
      <c r="A1833" s="13" t="str">
        <f>IFERROR(__xludf.DUMMYFUNCTION("""COMPUTED_VALUE"""),"товари")</f>
        <v>товари</v>
      </c>
      <c r="B1833" s="16" t="str">
        <f>IFERROR(__xludf.DUMMYFUNCTION("""COMPUTED_VALUE"""),"контрольно-вимірювальні прилади")</f>
        <v>контрольно-вимірювальні прилади</v>
      </c>
      <c r="C1833" s="16" t="str">
        <f>IFERROR(__xludf.DUMMYFUNCTION("""COMPUTED_VALUE"""),"оптичні прилади і системи")</f>
        <v>оптичні прилади і системи</v>
      </c>
      <c r="D1833" s="16" t="str">
        <f>IFERROR(__xludf.DUMMYFUNCTION("""COMPUTED_VALUE"""),"оптичні прилади і елементи, загальне")</f>
        <v>оптичні прилади і елементи, загальне</v>
      </c>
      <c r="E1833" s="16" t="str">
        <f>IFERROR(__xludf.DUMMYFUNCTION("""COMPUTED_VALUE"""),"оптичні прилади і елементи, загальне")</f>
        <v>оптичні прилади і елементи, загальне</v>
      </c>
      <c r="F1833" s="17">
        <f>IFERROR(__xludf.DUMMYFUNCTION("""COMPUTED_VALUE"""),3.0)</f>
        <v>3</v>
      </c>
      <c r="G1833" s="17" t="str">
        <f>IFERROR(__xludf.DUMMYFUNCTION("""COMPUTED_VALUE"""),"15370799")</f>
        <v>15370799</v>
      </c>
      <c r="H1833" s="17" t="str">
        <f>IFERROR(__xludf.DUMMYFUNCTION("""COMPUTED_VALUE"""),"оптичні прилади і елементи, загальне")</f>
        <v>оптичні прилади і елементи, загальне</v>
      </c>
      <c r="I1833" s="19">
        <f>IFERROR(__xludf.DUMMYFUNCTION("""COMPUTED_VALUE"""),0.125)</f>
        <v>0.125</v>
      </c>
      <c r="J1833" s="19">
        <f>IFERROR(__xludf.DUMMYFUNCTION("""COMPUTED_VALUE"""),0.25)</f>
        <v>0.25</v>
      </c>
      <c r="K1833" s="19">
        <f>IFERROR(__xludf.DUMMYFUNCTION("""COMPUTED_VALUE"""),0.3125)</f>
        <v>0.3125</v>
      </c>
      <c r="L1833" s="19">
        <f>IFERROR(__xludf.DUMMYFUNCTION("""COMPUTED_VALUE"""),0.375)</f>
        <v>0.375</v>
      </c>
      <c r="M1833" s="18">
        <f>IFERROR(__xludf.DUMMYFUNCTION("""COMPUTED_VALUE"""),4.33)</f>
        <v>4.33</v>
      </c>
    </row>
    <row r="1834">
      <c r="A1834" s="13" t="str">
        <f>IFERROR(__xludf.DUMMYFUNCTION("""COMPUTED_VALUE"""),"товари")</f>
        <v>товари</v>
      </c>
      <c r="B1834" s="16" t="str">
        <f>IFERROR(__xludf.DUMMYFUNCTION("""COMPUTED_VALUE"""),"контрольно-вимірювальні прилади")</f>
        <v>контрольно-вимірювальні прилади</v>
      </c>
      <c r="C1834" s="16" t="str">
        <f>IFERROR(__xludf.DUMMYFUNCTION("""COMPUTED_VALUE"""),"радіовимірювальні прилади")</f>
        <v>радіовимірювальні прилади</v>
      </c>
      <c r="D1834" s="16" t="str">
        <f>IFERROR(__xludf.DUMMYFUNCTION("""COMPUTED_VALUE"""),"осцилографи")</f>
        <v>осцилографи</v>
      </c>
      <c r="E1834" s="16" t="str">
        <f>IFERROR(__xludf.DUMMYFUNCTION("""COMPUTED_VALUE"""),"осцилографи")</f>
        <v>осцилографи</v>
      </c>
      <c r="F1834" s="17">
        <f>IFERROR(__xludf.DUMMYFUNCTION("""COMPUTED_VALUE"""),3.0)</f>
        <v>3</v>
      </c>
      <c r="G1834" s="17" t="str">
        <f>IFERROR(__xludf.DUMMYFUNCTION("""COMPUTED_VALUE"""),"50502")</f>
        <v>50502</v>
      </c>
      <c r="H1834" s="17" t="str">
        <f>IFERROR(__xludf.DUMMYFUNCTION("""COMPUTED_VALUE"""),"осцилографи")</f>
        <v>осцилографи</v>
      </c>
      <c r="I1834" s="19">
        <f>IFERROR(__xludf.DUMMYFUNCTION("""COMPUTED_VALUE"""),0.0385)</f>
        <v>0.0385</v>
      </c>
      <c r="J1834" s="19">
        <f>IFERROR(__xludf.DUMMYFUNCTION("""COMPUTED_VALUE"""),0.077)</f>
        <v>0.077</v>
      </c>
      <c r="K1834" s="19">
        <f>IFERROR(__xludf.DUMMYFUNCTION("""COMPUTED_VALUE"""),0.0963)</f>
        <v>0.0963</v>
      </c>
      <c r="L1834" s="19">
        <f>IFERROR(__xludf.DUMMYFUNCTION("""COMPUTED_VALUE"""),0.1155)</f>
        <v>0.1155</v>
      </c>
      <c r="M1834" s="18">
        <f>IFERROR(__xludf.DUMMYFUNCTION("""COMPUTED_VALUE"""),1.71)</f>
        <v>1.71</v>
      </c>
    </row>
    <row r="1835">
      <c r="A1835" s="13" t="str">
        <f>IFERROR(__xludf.DUMMYFUNCTION("""COMPUTED_VALUE"""),"товари")</f>
        <v>товари</v>
      </c>
      <c r="B1835" s="16" t="str">
        <f>IFERROR(__xludf.DUMMYFUNCTION("""COMPUTED_VALUE"""),"контрольно-вимірювальні прилади")</f>
        <v>контрольно-вимірювальні прилади</v>
      </c>
      <c r="C1835" s="16" t="str">
        <f>IFERROR(__xludf.DUMMYFUNCTION("""COMPUTED_VALUE"""),"електровимірювальні прилади")</f>
        <v>електровимірювальні прилади</v>
      </c>
      <c r="D1835" s="16" t="str">
        <f>IFERROR(__xludf.DUMMYFUNCTION("""COMPUTED_VALUE"""),"покажчики та індикатори напруги")</f>
        <v>покажчики та індикатори напруги</v>
      </c>
      <c r="E1835" s="16" t="str">
        <f>IFERROR(__xludf.DUMMYFUNCTION("""COMPUTED_VALUE"""),"покажчики та індикатори напруги")</f>
        <v>покажчики та індикатори напруги</v>
      </c>
      <c r="F1835" s="17">
        <f>IFERROR(__xludf.DUMMYFUNCTION("""COMPUTED_VALUE"""),3.0)</f>
        <v>3</v>
      </c>
      <c r="G1835" s="17" t="str">
        <f>IFERROR(__xludf.DUMMYFUNCTION("""COMPUTED_VALUE"""),"14200608")</f>
        <v>14200608</v>
      </c>
      <c r="H1835" s="17" t="str">
        <f>IFERROR(__xludf.DUMMYFUNCTION("""COMPUTED_VALUE"""),"покажчики та індикатори напруги")</f>
        <v>покажчики та індикатори напруги</v>
      </c>
      <c r="I1835" s="19">
        <f>IFERROR(__xludf.DUMMYFUNCTION("""COMPUTED_VALUE"""),0.0447)</f>
        <v>0.0447</v>
      </c>
      <c r="J1835" s="19">
        <f>IFERROR(__xludf.DUMMYFUNCTION("""COMPUTED_VALUE"""),0.0893)</f>
        <v>0.0893</v>
      </c>
      <c r="K1835" s="19">
        <f>IFERROR(__xludf.DUMMYFUNCTION("""COMPUTED_VALUE"""),0.1116)</f>
        <v>0.1116</v>
      </c>
      <c r="L1835" s="19">
        <f>IFERROR(__xludf.DUMMYFUNCTION("""COMPUTED_VALUE"""),0.134)</f>
        <v>0.134</v>
      </c>
      <c r="M1835" s="18">
        <f>IFERROR(__xludf.DUMMYFUNCTION("""COMPUTED_VALUE"""),1.05)</f>
        <v>1.05</v>
      </c>
    </row>
    <row r="1836">
      <c r="A1836" s="13" t="str">
        <f>IFERROR(__xludf.DUMMYFUNCTION("""COMPUTED_VALUE"""),"товари")</f>
        <v>товари</v>
      </c>
      <c r="B1836" s="16" t="str">
        <f>IFERROR(__xludf.DUMMYFUNCTION("""COMPUTED_VALUE"""),"контрольно-вимірювальні прилади")</f>
        <v>контрольно-вимірювальні прилади</v>
      </c>
      <c r="C1836" s="16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836" s="16" t="str">
        <f>IFERROR(__xludf.DUMMYFUNCTION("""COMPUTED_VALUE"""),"прилади вимірювання, регулювання температури, загальне")</f>
        <v>прилади вимірювання, регулювання температури, загальне</v>
      </c>
      <c r="E1836" s="16" t="str">
        <f>IFERROR(__xludf.DUMMYFUNCTION("""COMPUTED_VALUE"""),"прилади вимірювання, регулювання температури, загальне")</f>
        <v>прилади вимірювання, регулювання температури, загальне</v>
      </c>
      <c r="F1836" s="17">
        <f>IFERROR(__xludf.DUMMYFUNCTION("""COMPUTED_VALUE"""),3.0)</f>
        <v>3</v>
      </c>
      <c r="G1836" s="17" t="str">
        <f>IFERROR(__xludf.DUMMYFUNCTION("""COMPUTED_VALUE"""),"15373001")</f>
        <v>15373001</v>
      </c>
      <c r="H1836" s="17" t="str">
        <f>IFERROR(__xludf.DUMMYFUNCTION("""COMPUTED_VALUE"""),"прилади вимірювання, регулювання температури, загальне")</f>
        <v>прилади вимірювання, регулювання температури, загальне</v>
      </c>
      <c r="I1836" s="19">
        <f>IFERROR(__xludf.DUMMYFUNCTION("""COMPUTED_VALUE"""),0.125)</f>
        <v>0.125</v>
      </c>
      <c r="J1836" s="19">
        <f>IFERROR(__xludf.DUMMYFUNCTION("""COMPUTED_VALUE"""),0.25)</f>
        <v>0.25</v>
      </c>
      <c r="K1836" s="19">
        <f>IFERROR(__xludf.DUMMYFUNCTION("""COMPUTED_VALUE"""),0.3125)</f>
        <v>0.3125</v>
      </c>
      <c r="L1836" s="19">
        <f>IFERROR(__xludf.DUMMYFUNCTION("""COMPUTED_VALUE"""),0.375)</f>
        <v>0.375</v>
      </c>
      <c r="M1836" s="18">
        <f>IFERROR(__xludf.DUMMYFUNCTION("""COMPUTED_VALUE"""),4.33)</f>
        <v>4.33</v>
      </c>
    </row>
    <row r="1837">
      <c r="A1837" s="13" t="str">
        <f>IFERROR(__xludf.DUMMYFUNCTION("""COMPUTED_VALUE"""),"товари")</f>
        <v>товари</v>
      </c>
      <c r="B1837" s="16" t="str">
        <f>IFERROR(__xludf.DUMMYFUNCTION("""COMPUTED_VALUE"""),"контрольно-вимірювальні прилади")</f>
        <v>контрольно-вимірювальні прилади</v>
      </c>
      <c r="C1837" s="16" t="str">
        <f>IFERROR(__xludf.DUMMYFUNCTION("""COMPUTED_VALUE"""),"електровимірювальні прилади")</f>
        <v>електровимірювальні прилади</v>
      </c>
      <c r="D1837" s="16" t="str">
        <f>IFERROR(__xludf.DUMMYFUNCTION("""COMPUTED_VALUE"""),"прилади контролю якості електроенергії")</f>
        <v>прилади контролю якості електроенергії</v>
      </c>
      <c r="E1837" s="16" t="str">
        <f>IFERROR(__xludf.DUMMYFUNCTION("""COMPUTED_VALUE"""),"прилади контролю якості електроенергії")</f>
        <v>прилади контролю якості електроенергії</v>
      </c>
      <c r="F1837" s="17">
        <f>IFERROR(__xludf.DUMMYFUNCTION("""COMPUTED_VALUE"""),3.0)</f>
        <v>3</v>
      </c>
      <c r="G1837" s="17">
        <f>IFERROR(__xludf.DUMMYFUNCTION("""COMPUTED_VALUE"""),1.5370111E7)</f>
        <v>15370111</v>
      </c>
      <c r="H1837" s="17" t="str">
        <f>IFERROR(__xludf.DUMMYFUNCTION("""COMPUTED_VALUE"""),"прилади контролю якості електроенергії")</f>
        <v>прилади контролю якості електроенергії</v>
      </c>
      <c r="I1837" s="19">
        <f>IFERROR(__xludf.DUMMYFUNCTION("""COMPUTED_VALUE"""),0.06775)</f>
        <v>0.06775</v>
      </c>
      <c r="J1837" s="19">
        <f>IFERROR(__xludf.DUMMYFUNCTION("""COMPUTED_VALUE"""),0.1355)</f>
        <v>0.1355</v>
      </c>
      <c r="K1837" s="19">
        <f>IFERROR(__xludf.DUMMYFUNCTION("""COMPUTED_VALUE"""),0.1694)</f>
        <v>0.1694</v>
      </c>
      <c r="L1837" s="19">
        <f>IFERROR(__xludf.DUMMYFUNCTION("""COMPUTED_VALUE"""),0.2033)</f>
        <v>0.2033</v>
      </c>
      <c r="M1837" s="18">
        <f>IFERROR(__xludf.DUMMYFUNCTION("""COMPUTED_VALUE"""),1.44)</f>
        <v>1.44</v>
      </c>
    </row>
    <row r="1838">
      <c r="A1838" s="13" t="str">
        <f>IFERROR(__xludf.DUMMYFUNCTION("""COMPUTED_VALUE"""),"товари")</f>
        <v>товари</v>
      </c>
      <c r="B1838" s="16" t="str">
        <f>IFERROR(__xludf.DUMMYFUNCTION("""COMPUTED_VALUE"""),"контрольно-вимірювальні прилади")</f>
        <v>контрольно-вимірювальні прилади</v>
      </c>
      <c r="C1838" s="16" t="str">
        <f>IFERROR(__xludf.DUMMYFUNCTION("""COMPUTED_VALUE"""),"прилади неруйнівного контролю")</f>
        <v>прилади неруйнівного контролю</v>
      </c>
      <c r="D1838" s="16" t="str">
        <f>IFERROR(__xludf.DUMMYFUNCTION("""COMPUTED_VALUE"""),"прилади візуально-оптичного контролю")</f>
        <v>прилади візуально-оптичного контролю</v>
      </c>
      <c r="E1838" s="16" t="str">
        <f>IFERROR(__xludf.DUMMYFUNCTION("""COMPUTED_VALUE"""),"прилади візуально-оптичного контролю")</f>
        <v>прилади візуально-оптичного контролю</v>
      </c>
      <c r="F1838" s="17">
        <f>IFERROR(__xludf.DUMMYFUNCTION("""COMPUTED_VALUE"""),3.0)</f>
        <v>3</v>
      </c>
      <c r="G1838" s="17" t="str">
        <f>IFERROR(__xludf.DUMMYFUNCTION("""COMPUTED_VALUE"""),"15370614")</f>
        <v>15370614</v>
      </c>
      <c r="H1838" s="17" t="str">
        <f>IFERROR(__xludf.DUMMYFUNCTION("""COMPUTED_VALUE"""),"прилади візуально-оптичного контролю")</f>
        <v>прилади візуально-оптичного контролю</v>
      </c>
      <c r="I1838" s="19">
        <f>IFERROR(__xludf.DUMMYFUNCTION("""COMPUTED_VALUE"""),0.0574)</f>
        <v>0.0574</v>
      </c>
      <c r="J1838" s="19">
        <f>IFERROR(__xludf.DUMMYFUNCTION("""COMPUTED_VALUE"""),0.1148)</f>
        <v>0.1148</v>
      </c>
      <c r="K1838" s="19">
        <f>IFERROR(__xludf.DUMMYFUNCTION("""COMPUTED_VALUE"""),0.1435)</f>
        <v>0.1435</v>
      </c>
      <c r="L1838" s="19">
        <f>IFERROR(__xludf.DUMMYFUNCTION("""COMPUTED_VALUE"""),0.1722)</f>
        <v>0.1722</v>
      </c>
      <c r="M1838" s="18">
        <f>IFERROR(__xludf.DUMMYFUNCTION("""COMPUTED_VALUE"""),2.16)</f>
        <v>2.16</v>
      </c>
    </row>
    <row r="1839">
      <c r="A1839" s="13" t="str">
        <f>IFERROR(__xludf.DUMMYFUNCTION("""COMPUTED_VALUE"""),"товари")</f>
        <v>товари</v>
      </c>
      <c r="B1839" s="16" t="str">
        <f>IFERROR(__xludf.DUMMYFUNCTION("""COMPUTED_VALUE"""),"контрольно-вимірювальні прилади")</f>
        <v>контрольно-вимірювальні прилади</v>
      </c>
      <c r="C1839" s="16" t="str">
        <f>IFERROR(__xludf.DUMMYFUNCTION("""COMPUTED_VALUE"""),"радіовимірювальні прилади")</f>
        <v>радіовимірювальні прилади</v>
      </c>
      <c r="D1839" s="16" t="str">
        <f>IFERROR(__xludf.DUMMYFUNCTION("""COMPUTED_VALUE"""),"радіовимірювальні прилади, загальне")</f>
        <v>радіовимірювальні прилади, загальне</v>
      </c>
      <c r="E1839" s="16" t="str">
        <f>IFERROR(__xludf.DUMMYFUNCTION("""COMPUTED_VALUE"""),"радіовимірювальні прилади, загальне")</f>
        <v>радіовимірювальні прилади, загальне</v>
      </c>
      <c r="F1839" s="17">
        <f>IFERROR(__xludf.DUMMYFUNCTION("""COMPUTED_VALUE"""),3.0)</f>
        <v>3</v>
      </c>
      <c r="G1839" s="17" t="str">
        <f>IFERROR(__xludf.DUMMYFUNCTION("""COMPUTED_VALUE"""),"50599")</f>
        <v>50599</v>
      </c>
      <c r="H1839" s="17" t="str">
        <f>IFERROR(__xludf.DUMMYFUNCTION("""COMPUTED_VALUE"""),"радіовимірювальні прилади, загальне")</f>
        <v>радіовимірювальні прилади, загальне</v>
      </c>
      <c r="I1839" s="19">
        <f>IFERROR(__xludf.DUMMYFUNCTION("""COMPUTED_VALUE"""),0.125)</f>
        <v>0.125</v>
      </c>
      <c r="J1839" s="19">
        <f>IFERROR(__xludf.DUMMYFUNCTION("""COMPUTED_VALUE"""),0.25)</f>
        <v>0.25</v>
      </c>
      <c r="K1839" s="19">
        <f>IFERROR(__xludf.DUMMYFUNCTION("""COMPUTED_VALUE"""),0.3125)</f>
        <v>0.3125</v>
      </c>
      <c r="L1839" s="19">
        <f>IFERROR(__xludf.DUMMYFUNCTION("""COMPUTED_VALUE"""),0.375)</f>
        <v>0.375</v>
      </c>
      <c r="M1839" s="18">
        <f>IFERROR(__xludf.DUMMYFUNCTION("""COMPUTED_VALUE"""),4.33)</f>
        <v>4.33</v>
      </c>
    </row>
    <row r="1840">
      <c r="A1840" s="13" t="str">
        <f>IFERROR(__xludf.DUMMYFUNCTION("""COMPUTED_VALUE"""),"товари")</f>
        <v>товари</v>
      </c>
      <c r="B1840" s="16" t="str">
        <f>IFERROR(__xludf.DUMMYFUNCTION("""COMPUTED_VALUE"""),"контрольно-вимірювальні прилади")</f>
        <v>контрольно-вимірювальні прилади</v>
      </c>
      <c r="C1840" s="16" t="str">
        <f>IFERROR(__xludf.DUMMYFUNCTION("""COMPUTED_VALUE"""),"витратоміри, лічильники")</f>
        <v>витратоміри, лічильники</v>
      </c>
      <c r="D1840" s="16" t="str">
        <f>IFERROR(__xludf.DUMMYFUNCTION("""COMPUTED_VALUE"""),"регулятори витрати")</f>
        <v>регулятори витрати</v>
      </c>
      <c r="E1840" s="16" t="str">
        <f>IFERROR(__xludf.DUMMYFUNCTION("""COMPUTED_VALUE"""),"регулятори витрати")</f>
        <v>регулятори витрати</v>
      </c>
      <c r="F1840" s="17">
        <f>IFERROR(__xludf.DUMMYFUNCTION("""COMPUTED_VALUE"""),3.0)</f>
        <v>3</v>
      </c>
      <c r="G1840" s="17" t="str">
        <f>IFERROR(__xludf.DUMMYFUNCTION("""COMPUTED_VALUE"""),"13100638")</f>
        <v>13100638</v>
      </c>
      <c r="H1840" s="17" t="str">
        <f>IFERROR(__xludf.DUMMYFUNCTION("""COMPUTED_VALUE"""),"регулятори витрати")</f>
        <v>регулятори витрати</v>
      </c>
      <c r="I1840" s="19">
        <f>IFERROR(__xludf.DUMMYFUNCTION("""COMPUTED_VALUE"""),0.0447)</f>
        <v>0.0447</v>
      </c>
      <c r="J1840" s="19">
        <f>IFERROR(__xludf.DUMMYFUNCTION("""COMPUTED_VALUE"""),0.0893)</f>
        <v>0.0893</v>
      </c>
      <c r="K1840" s="19">
        <f>IFERROR(__xludf.DUMMYFUNCTION("""COMPUTED_VALUE"""),0.1116)</f>
        <v>0.1116</v>
      </c>
      <c r="L1840" s="19">
        <f>IFERROR(__xludf.DUMMYFUNCTION("""COMPUTED_VALUE"""),0.134)</f>
        <v>0.134</v>
      </c>
      <c r="M1840" s="18">
        <f>IFERROR(__xludf.DUMMYFUNCTION("""COMPUTED_VALUE"""),1.05)</f>
        <v>1.05</v>
      </c>
    </row>
    <row r="1841">
      <c r="A1841" s="13" t="str">
        <f>IFERROR(__xludf.DUMMYFUNCTION("""COMPUTED_VALUE"""),"товари")</f>
        <v>товари</v>
      </c>
      <c r="B1841" s="16" t="str">
        <f>IFERROR(__xludf.DUMMYFUNCTION("""COMPUTED_VALUE"""),"контрольно-вимірювальні прилади")</f>
        <v>контрольно-вимірювальні прилади</v>
      </c>
      <c r="C1841" s="16" t="str">
        <f>IFERROR(__xludf.DUMMYFUNCTION("""COMPUTED_VALUE"""),"оптичні прилади і системи")</f>
        <v>оптичні прилади і системи</v>
      </c>
      <c r="D1841" s="16" t="str">
        <f>IFERROR(__xludf.DUMMYFUNCTION("""COMPUTED_VALUE"""),"рефлектометри")</f>
        <v>рефлектометри</v>
      </c>
      <c r="E1841" s="16" t="str">
        <f>IFERROR(__xludf.DUMMYFUNCTION("""COMPUTED_VALUE"""),"рефлектометри")</f>
        <v>рефлектометри</v>
      </c>
      <c r="F1841" s="17">
        <f>IFERROR(__xludf.DUMMYFUNCTION("""COMPUTED_VALUE"""),3.0)</f>
        <v>3</v>
      </c>
      <c r="G1841" s="17">
        <f>IFERROR(__xludf.DUMMYFUNCTION("""COMPUTED_VALUE"""),1.537071E7)</f>
        <v>15370710</v>
      </c>
      <c r="H1841" s="17" t="str">
        <f>IFERROR(__xludf.DUMMYFUNCTION("""COMPUTED_VALUE"""),"рефлектометри")</f>
        <v>рефлектометри</v>
      </c>
      <c r="I1841" s="19">
        <f>IFERROR(__xludf.DUMMYFUNCTION("""COMPUTED_VALUE"""),0.0648)</f>
        <v>0.0648</v>
      </c>
      <c r="J1841" s="19">
        <f>IFERROR(__xludf.DUMMYFUNCTION("""COMPUTED_VALUE"""),0.1296)</f>
        <v>0.1296</v>
      </c>
      <c r="K1841" s="19">
        <f>IFERROR(__xludf.DUMMYFUNCTION("""COMPUTED_VALUE"""),0.162)</f>
        <v>0.162</v>
      </c>
      <c r="L1841" s="19">
        <f>IFERROR(__xludf.DUMMYFUNCTION("""COMPUTED_VALUE"""),0.1944)</f>
        <v>0.1944</v>
      </c>
      <c r="M1841" s="18">
        <f>IFERROR(__xludf.DUMMYFUNCTION("""COMPUTED_VALUE"""),1.8)</f>
        <v>1.8</v>
      </c>
    </row>
    <row r="1842">
      <c r="A1842" s="13" t="str">
        <f>IFERROR(__xludf.DUMMYFUNCTION("""COMPUTED_VALUE"""),"товари")</f>
        <v>товари</v>
      </c>
      <c r="B1842" s="16" t="str">
        <f>IFERROR(__xludf.DUMMYFUNCTION("""COMPUTED_VALUE"""),"контрольно-вимірювальні прилади")</f>
        <v>контрольно-вимірювальні прилади</v>
      </c>
      <c r="C1842" s="16" t="str">
        <f>IFERROR(__xludf.DUMMYFUNCTION("""COMPUTED_VALUE"""),"прилади вимірювання часу")</f>
        <v>прилади вимірювання часу</v>
      </c>
      <c r="D1842" s="16" t="str">
        <f>IFERROR(__xludf.DUMMYFUNCTION("""COMPUTED_VALUE"""),"секундоміри")</f>
        <v>секундоміри</v>
      </c>
      <c r="E1842" s="16" t="str">
        <f>IFERROR(__xludf.DUMMYFUNCTION("""COMPUTED_VALUE"""),"секундоміри")</f>
        <v>секундоміри</v>
      </c>
      <c r="F1842" s="17">
        <f>IFERROR(__xludf.DUMMYFUNCTION("""COMPUTED_VALUE"""),3.0)</f>
        <v>3</v>
      </c>
      <c r="G1842" s="17" t="str">
        <f>IFERROR(__xludf.DUMMYFUNCTION("""COMPUTED_VALUE"""),"153717")</f>
        <v>153717</v>
      </c>
      <c r="H1842" s="17" t="str">
        <f>IFERROR(__xludf.DUMMYFUNCTION("""COMPUTED_VALUE"""),"секундоміри")</f>
        <v>секундоміри</v>
      </c>
      <c r="I1842" s="19">
        <f>IFERROR(__xludf.DUMMYFUNCTION("""COMPUTED_VALUE"""),0.0797)</f>
        <v>0.0797</v>
      </c>
      <c r="J1842" s="19">
        <f>IFERROR(__xludf.DUMMYFUNCTION("""COMPUTED_VALUE"""),0.1594)</f>
        <v>0.1594</v>
      </c>
      <c r="K1842" s="19">
        <f>IFERROR(__xludf.DUMMYFUNCTION("""COMPUTED_VALUE"""),0.1993)</f>
        <v>0.1993</v>
      </c>
      <c r="L1842" s="19">
        <f>IFERROR(__xludf.DUMMYFUNCTION("""COMPUTED_VALUE"""),0.2391)</f>
        <v>0.2391</v>
      </c>
      <c r="M1842" s="18">
        <f>IFERROR(__xludf.DUMMYFUNCTION("""COMPUTED_VALUE"""),1.05)</f>
        <v>1.05</v>
      </c>
    </row>
    <row r="1843">
      <c r="A1843" s="13" t="str">
        <f>IFERROR(__xludf.DUMMYFUNCTION("""COMPUTED_VALUE"""),"товари")</f>
        <v>товари</v>
      </c>
      <c r="B1843" s="16" t="str">
        <f>IFERROR(__xludf.DUMMYFUNCTION("""COMPUTED_VALUE"""),"контрольно-вимірювальні прилади")</f>
        <v>контрольно-вимірювальні прилади</v>
      </c>
      <c r="C1843" s="16" t="str">
        <f>IFERROR(__xludf.DUMMYFUNCTION("""COMPUTED_VALUE"""),"вимірювачі фізичних параметрів")</f>
        <v>вимірювачі фізичних параметрів</v>
      </c>
      <c r="D1843" s="16" t="str">
        <f>IFERROR(__xludf.DUMMYFUNCTION("""COMPUTED_VALUE"""),"силоміри, динамометри")</f>
        <v>силоміри, динамометри</v>
      </c>
      <c r="E1843" s="16" t="str">
        <f>IFERROR(__xludf.DUMMYFUNCTION("""COMPUTED_VALUE"""),"силоміри, динамометри")</f>
        <v>силоміри, динамометри</v>
      </c>
      <c r="F1843" s="17">
        <f>IFERROR(__xludf.DUMMYFUNCTION("""COMPUTED_VALUE"""),3.0)</f>
        <v>3</v>
      </c>
      <c r="G1843" s="17" t="str">
        <f>IFERROR(__xludf.DUMMYFUNCTION("""COMPUTED_VALUE"""),"15370601")</f>
        <v>15370601</v>
      </c>
      <c r="H1843" s="17" t="str">
        <f>IFERROR(__xludf.DUMMYFUNCTION("""COMPUTED_VALUE"""),"силоміри, динамометри")</f>
        <v>силоміри, динамометри</v>
      </c>
      <c r="I1843" s="19">
        <f>IFERROR(__xludf.DUMMYFUNCTION("""COMPUTED_VALUE"""),0.0616)</f>
        <v>0.0616</v>
      </c>
      <c r="J1843" s="19">
        <f>IFERROR(__xludf.DUMMYFUNCTION("""COMPUTED_VALUE"""),0.1232)</f>
        <v>0.1232</v>
      </c>
      <c r="K1843" s="19">
        <f>IFERROR(__xludf.DUMMYFUNCTION("""COMPUTED_VALUE"""),0.154)</f>
        <v>0.154</v>
      </c>
      <c r="L1843" s="19">
        <f>IFERROR(__xludf.DUMMYFUNCTION("""COMPUTED_VALUE"""),0.1848)</f>
        <v>0.1848</v>
      </c>
      <c r="M1843" s="18">
        <f>IFERROR(__xludf.DUMMYFUNCTION("""COMPUTED_VALUE"""),1.71)</f>
        <v>1.71</v>
      </c>
    </row>
    <row r="1844">
      <c r="A1844" s="13" t="str">
        <f>IFERROR(__xludf.DUMMYFUNCTION("""COMPUTED_VALUE"""),"товари")</f>
        <v>товари</v>
      </c>
      <c r="B1844" s="16" t="str">
        <f>IFERROR(__xludf.DUMMYFUNCTION("""COMPUTED_VALUE"""),"контрольно-вимірювальні прилади")</f>
        <v>контрольно-вимірювальні прилади</v>
      </c>
      <c r="C1844" s="16" t="str">
        <f>IFERROR(__xludf.DUMMYFUNCTION("""COMPUTED_VALUE"""),"прилади вимірювання часу")</f>
        <v>прилади вимірювання часу</v>
      </c>
      <c r="D1844" s="16" t="str">
        <f>IFERROR(__xludf.DUMMYFUNCTION("""COMPUTED_VALUE"""),"таймери")</f>
        <v>таймери</v>
      </c>
      <c r="E1844" s="16" t="str">
        <f>IFERROR(__xludf.DUMMYFUNCTION("""COMPUTED_VALUE"""),"таймери")</f>
        <v>таймери</v>
      </c>
      <c r="F1844" s="17">
        <f>IFERROR(__xludf.DUMMYFUNCTION("""COMPUTED_VALUE"""),3.0)</f>
        <v>3</v>
      </c>
      <c r="G1844" s="17" t="str">
        <f>IFERROR(__xludf.DUMMYFUNCTION("""COMPUTED_VALUE"""),"620")</f>
        <v>620</v>
      </c>
      <c r="H1844" s="17" t="str">
        <f>IFERROR(__xludf.DUMMYFUNCTION("""COMPUTED_VALUE"""),"таймери")</f>
        <v>таймери</v>
      </c>
      <c r="I1844" s="19">
        <f>IFERROR(__xludf.DUMMYFUNCTION("""COMPUTED_VALUE"""),0.0709)</f>
        <v>0.0709</v>
      </c>
      <c r="J1844" s="19">
        <f>IFERROR(__xludf.DUMMYFUNCTION("""COMPUTED_VALUE"""),0.1417)</f>
        <v>0.1417</v>
      </c>
      <c r="K1844" s="19">
        <f>IFERROR(__xludf.DUMMYFUNCTION("""COMPUTED_VALUE"""),0.1771)</f>
        <v>0.1771</v>
      </c>
      <c r="L1844" s="19">
        <f>IFERROR(__xludf.DUMMYFUNCTION("""COMPUTED_VALUE"""),0.2126)</f>
        <v>0.2126</v>
      </c>
      <c r="M1844" s="18">
        <f>IFERROR(__xludf.DUMMYFUNCTION("""COMPUTED_VALUE"""),1.71)</f>
        <v>1.71</v>
      </c>
    </row>
    <row r="1845">
      <c r="A1845" s="13" t="str">
        <f>IFERROR(__xludf.DUMMYFUNCTION("""COMPUTED_VALUE"""),"товари")</f>
        <v>товари</v>
      </c>
      <c r="B1845" s="16" t="str">
        <f>IFERROR(__xludf.DUMMYFUNCTION("""COMPUTED_VALUE"""),"контрольно-вимірювальні прилади")</f>
        <v>контрольно-вимірювальні прилади</v>
      </c>
      <c r="C1845" s="16" t="str">
        <f>IFERROR(__xludf.DUMMYFUNCTION("""COMPUTED_VALUE"""),"витратоміри, лічильники")</f>
        <v>витратоміри, лічильники</v>
      </c>
      <c r="D1845" s="16" t="str">
        <f>IFERROR(__xludf.DUMMYFUNCTION("""COMPUTED_VALUE"""),"тахометри, спідометри")</f>
        <v>тахометри, спідометри</v>
      </c>
      <c r="E1845" s="16" t="str">
        <f>IFERROR(__xludf.DUMMYFUNCTION("""COMPUTED_VALUE"""),"тахометри, спідометри")</f>
        <v>тахометри, спідометри</v>
      </c>
      <c r="F1845" s="17">
        <f>IFERROR(__xludf.DUMMYFUNCTION("""COMPUTED_VALUE"""),3.0)</f>
        <v>3</v>
      </c>
      <c r="G1845" s="17" t="str">
        <f>IFERROR(__xludf.DUMMYFUNCTION("""COMPUTED_VALUE"""),"15370604")</f>
        <v>15370604</v>
      </c>
      <c r="H1845" s="17" t="str">
        <f>IFERROR(__xludf.DUMMYFUNCTION("""COMPUTED_VALUE"""),"тахометри, спідометри")</f>
        <v>тахометри, спідометри</v>
      </c>
      <c r="I1845" s="19">
        <f>IFERROR(__xludf.DUMMYFUNCTION("""COMPUTED_VALUE"""),0.0345)</f>
        <v>0.0345</v>
      </c>
      <c r="J1845" s="19">
        <f>IFERROR(__xludf.DUMMYFUNCTION("""COMPUTED_VALUE"""),0.069)</f>
        <v>0.069</v>
      </c>
      <c r="K1845" s="19">
        <f>IFERROR(__xludf.DUMMYFUNCTION("""COMPUTED_VALUE"""),0.0863)</f>
        <v>0.0863</v>
      </c>
      <c r="L1845" s="19">
        <f>IFERROR(__xludf.DUMMYFUNCTION("""COMPUTED_VALUE"""),0.1035)</f>
        <v>0.1035</v>
      </c>
      <c r="M1845" s="18">
        <f>IFERROR(__xludf.DUMMYFUNCTION("""COMPUTED_VALUE"""),1.44)</f>
        <v>1.44</v>
      </c>
    </row>
    <row r="1846">
      <c r="A1846" s="13" t="str">
        <f>IFERROR(__xludf.DUMMYFUNCTION("""COMPUTED_VALUE"""),"товари")</f>
        <v>товари</v>
      </c>
      <c r="B1846" s="16" t="str">
        <f>IFERROR(__xludf.DUMMYFUNCTION("""COMPUTED_VALUE"""),"контрольно-вимірювальні прилади")</f>
        <v>контрольно-вимірювальні прилади</v>
      </c>
      <c r="C1846" s="16" t="str">
        <f>IFERROR(__xludf.DUMMYFUNCTION("""COMPUTED_VALUE"""),"оптичні прилади і системи")</f>
        <v>оптичні прилади і системи</v>
      </c>
      <c r="D1846" s="16" t="str">
        <f>IFERROR(__xludf.DUMMYFUNCTION("""COMPUTED_VALUE"""),"телескопи")</f>
        <v>телескопи</v>
      </c>
      <c r="E1846" s="16" t="str">
        <f>IFERROR(__xludf.DUMMYFUNCTION("""COMPUTED_VALUE"""),"телескопи")</f>
        <v>телескопи</v>
      </c>
      <c r="F1846" s="17">
        <f>IFERROR(__xludf.DUMMYFUNCTION("""COMPUTED_VALUE"""),3.0)</f>
        <v>3</v>
      </c>
      <c r="G1846" s="17" t="str">
        <f>IFERROR(__xludf.DUMMYFUNCTION("""COMPUTED_VALUE"""),"190410")</f>
        <v>190410</v>
      </c>
      <c r="H1846" s="17" t="str">
        <f>IFERROR(__xludf.DUMMYFUNCTION("""COMPUTED_VALUE"""),"телескопи")</f>
        <v>телескопи</v>
      </c>
      <c r="I1846" s="19">
        <f>IFERROR(__xludf.DUMMYFUNCTION("""COMPUTED_VALUE"""),0.0724)</f>
        <v>0.0724</v>
      </c>
      <c r="J1846" s="19">
        <f>IFERROR(__xludf.DUMMYFUNCTION("""COMPUTED_VALUE"""),0.1447)</f>
        <v>0.1447</v>
      </c>
      <c r="K1846" s="19">
        <f>IFERROR(__xludf.DUMMYFUNCTION("""COMPUTED_VALUE"""),0.1809)</f>
        <v>0.1809</v>
      </c>
      <c r="L1846" s="19">
        <f>IFERROR(__xludf.DUMMYFUNCTION("""COMPUTED_VALUE"""),0.2171)</f>
        <v>0.2171</v>
      </c>
      <c r="M1846" s="18">
        <f>IFERROR(__xludf.DUMMYFUNCTION("""COMPUTED_VALUE"""),1.05)</f>
        <v>1.05</v>
      </c>
    </row>
    <row r="1847">
      <c r="A1847" s="13" t="str">
        <f>IFERROR(__xludf.DUMMYFUNCTION("""COMPUTED_VALUE"""),"товари")</f>
        <v>товари</v>
      </c>
      <c r="B1847" s="16" t="str">
        <f>IFERROR(__xludf.DUMMYFUNCTION("""COMPUTED_VALUE"""),"контрольно-вимірювальні прилади")</f>
        <v>контрольно-вимірювальні прилади</v>
      </c>
      <c r="C1847" s="16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847" s="16" t="str">
        <f>IFERROR(__xludf.DUMMYFUNCTION("""COMPUTED_VALUE"""),"термометри, пірометри, тепловізори")</f>
        <v>термометри, пірометри, тепловізори</v>
      </c>
      <c r="E1847" s="16" t="str">
        <f>IFERROR(__xludf.DUMMYFUNCTION("""COMPUTED_VALUE"""),"термометри, пірометри, тепловізори")</f>
        <v>термометри, пірометри, тепловізори</v>
      </c>
      <c r="F1847" s="17">
        <f>IFERROR(__xludf.DUMMYFUNCTION("""COMPUTED_VALUE"""),3.0)</f>
        <v>3</v>
      </c>
      <c r="G1847" s="17" t="str">
        <f>IFERROR(__xludf.DUMMYFUNCTION("""COMPUTED_VALUE"""),"153709")</f>
        <v>153709</v>
      </c>
      <c r="H1847" s="17" t="str">
        <f>IFERROR(__xludf.DUMMYFUNCTION("""COMPUTED_VALUE"""),"термометри, пірометри, тепловізори")</f>
        <v>термометри, пірометри, тепловізори</v>
      </c>
      <c r="I1847" s="19">
        <f>IFERROR(__xludf.DUMMYFUNCTION("""COMPUTED_VALUE"""),0.0735)</f>
        <v>0.0735</v>
      </c>
      <c r="J1847" s="19">
        <f>IFERROR(__xludf.DUMMYFUNCTION("""COMPUTED_VALUE"""),0.1469)</f>
        <v>0.1469</v>
      </c>
      <c r="K1847" s="19">
        <f>IFERROR(__xludf.DUMMYFUNCTION("""COMPUTED_VALUE"""),0.1836)</f>
        <v>0.1836</v>
      </c>
      <c r="L1847" s="19">
        <f>IFERROR(__xludf.DUMMYFUNCTION("""COMPUTED_VALUE"""),0.2204)</f>
        <v>0.2204</v>
      </c>
      <c r="M1847" s="18">
        <f>IFERROR(__xludf.DUMMYFUNCTION("""COMPUTED_VALUE"""),2.34)</f>
        <v>2.34</v>
      </c>
    </row>
    <row r="1848">
      <c r="A1848" s="13" t="str">
        <f>IFERROR(__xludf.DUMMYFUNCTION("""COMPUTED_VALUE"""),"товари")</f>
        <v>товари</v>
      </c>
      <c r="B1848" s="16" t="str">
        <f>IFERROR(__xludf.DUMMYFUNCTION("""COMPUTED_VALUE"""),"контрольно-вимірювальні прилади")</f>
        <v>контрольно-вимірювальні прилади</v>
      </c>
      <c r="C1848" s="16" t="str">
        <f>IFERROR(__xludf.DUMMYFUNCTION("""COMPUTED_VALUE"""),"електровимірювальні прилади")</f>
        <v>електровимірювальні прилади</v>
      </c>
      <c r="D1848" s="16" t="str">
        <f>IFERROR(__xludf.DUMMYFUNCTION("""COMPUTED_VALUE"""),"тестери для акумуляторів")</f>
        <v>тестери для акумуляторів</v>
      </c>
      <c r="E1848" s="16" t="str">
        <f>IFERROR(__xludf.DUMMYFUNCTION("""COMPUTED_VALUE"""),"тестери для акумуляторів")</f>
        <v>тестери для акумуляторів</v>
      </c>
      <c r="F1848" s="17">
        <f>IFERROR(__xludf.DUMMYFUNCTION("""COMPUTED_VALUE"""),3.0)</f>
        <v>3</v>
      </c>
      <c r="G1848" s="17" t="str">
        <f>IFERROR(__xludf.DUMMYFUNCTION("""COMPUTED_VALUE"""),"52802")</f>
        <v>52802</v>
      </c>
      <c r="H1848" s="17" t="str">
        <f>IFERROR(__xludf.DUMMYFUNCTION("""COMPUTED_VALUE"""),"тестери для акумуляторів")</f>
        <v>тестери для акумуляторів</v>
      </c>
      <c r="I1848" s="19">
        <f>IFERROR(__xludf.DUMMYFUNCTION("""COMPUTED_VALUE"""),0.0715)</f>
        <v>0.0715</v>
      </c>
      <c r="J1848" s="19">
        <f>IFERROR(__xludf.DUMMYFUNCTION("""COMPUTED_VALUE"""),0.1429)</f>
        <v>0.1429</v>
      </c>
      <c r="K1848" s="19">
        <f>IFERROR(__xludf.DUMMYFUNCTION("""COMPUTED_VALUE"""),0.1786)</f>
        <v>0.1786</v>
      </c>
      <c r="L1848" s="19">
        <f>IFERROR(__xludf.DUMMYFUNCTION("""COMPUTED_VALUE"""),0.2144)</f>
        <v>0.2144</v>
      </c>
      <c r="M1848" s="18">
        <f>IFERROR(__xludf.DUMMYFUNCTION("""COMPUTED_VALUE"""),1.05)</f>
        <v>1.05</v>
      </c>
    </row>
    <row r="1849">
      <c r="A1849" s="13" t="str">
        <f>IFERROR(__xludf.DUMMYFUNCTION("""COMPUTED_VALUE"""),"товари")</f>
        <v>товари</v>
      </c>
      <c r="B1849" s="16" t="str">
        <f>IFERROR(__xludf.DUMMYFUNCTION("""COMPUTED_VALUE"""),"контрольно-вимірювальні прилади")</f>
        <v>контрольно-вимірювальні прилади</v>
      </c>
      <c r="C1849" s="16" t="str">
        <f>IFERROR(__xludf.DUMMYFUNCTION("""COMPUTED_VALUE"""),"оптичні прилади і системи")</f>
        <v>оптичні прилади і системи</v>
      </c>
      <c r="D1849" s="16" t="str">
        <f>IFERROR(__xludf.DUMMYFUNCTION("""COMPUTED_VALUE"""),"технічні ендоскопи, відеоскопи")</f>
        <v>технічні ендоскопи, відеоскопи</v>
      </c>
      <c r="E1849" s="16" t="str">
        <f>IFERROR(__xludf.DUMMYFUNCTION("""COMPUTED_VALUE"""),"технічні ендоскопи, відеоскопи")</f>
        <v>технічні ендоскопи, відеоскопи</v>
      </c>
      <c r="F1849" s="17">
        <f>IFERROR(__xludf.DUMMYFUNCTION("""COMPUTED_VALUE"""),3.0)</f>
        <v>3</v>
      </c>
      <c r="G1849" s="17" t="str">
        <f>IFERROR(__xludf.DUMMYFUNCTION("""COMPUTED_VALUE"""),"190408")</f>
        <v>190408</v>
      </c>
      <c r="H1849" s="17" t="str">
        <f>IFERROR(__xludf.DUMMYFUNCTION("""COMPUTED_VALUE"""),"технічні ендоскопи, відеоскопи")</f>
        <v>технічні ендоскопи, відеоскопи</v>
      </c>
      <c r="I1849" s="19">
        <f>IFERROR(__xludf.DUMMYFUNCTION("""COMPUTED_VALUE"""),0.0648)</f>
        <v>0.0648</v>
      </c>
      <c r="J1849" s="19">
        <f>IFERROR(__xludf.DUMMYFUNCTION("""COMPUTED_VALUE"""),0.1296)</f>
        <v>0.1296</v>
      </c>
      <c r="K1849" s="19">
        <f>IFERROR(__xludf.DUMMYFUNCTION("""COMPUTED_VALUE"""),0.162)</f>
        <v>0.162</v>
      </c>
      <c r="L1849" s="19">
        <f>IFERROR(__xludf.DUMMYFUNCTION("""COMPUTED_VALUE"""),0.1944)</f>
        <v>0.1944</v>
      </c>
      <c r="M1849" s="18">
        <f>IFERROR(__xludf.DUMMYFUNCTION("""COMPUTED_VALUE"""),4.65)</f>
        <v>4.65</v>
      </c>
    </row>
    <row r="1850">
      <c r="A1850" s="13" t="str">
        <f>IFERROR(__xludf.DUMMYFUNCTION("""COMPUTED_VALUE"""),"товари")</f>
        <v>товари</v>
      </c>
      <c r="B1850" s="16" t="str">
        <f>IFERROR(__xludf.DUMMYFUNCTION("""COMPUTED_VALUE"""),"контрольно-вимірювальні прилади")</f>
        <v>контрольно-вимірювальні прилади</v>
      </c>
      <c r="C1850" s="16" t="str">
        <f>IFERROR(__xludf.DUMMYFUNCTION("""COMPUTED_VALUE"""),"лабораторне, випробувальне обладнання")</f>
        <v>лабораторне, випробувальне обладнання</v>
      </c>
      <c r="D1850" s="16" t="str">
        <f>IFERROR(__xludf.DUMMYFUNCTION("""COMPUTED_VALUE"""),"аналізатори")</f>
        <v>аналізатори</v>
      </c>
      <c r="E1850" s="16" t="str">
        <f>IFERROR(__xludf.DUMMYFUNCTION("""COMPUTED_VALUE"""),"течошукачі")</f>
        <v>течошукачі</v>
      </c>
      <c r="F1850" s="17">
        <f>IFERROR(__xludf.DUMMYFUNCTION("""COMPUTED_VALUE"""),4.0)</f>
        <v>4</v>
      </c>
      <c r="G1850" s="17" t="str">
        <f>IFERROR(__xludf.DUMMYFUNCTION("""COMPUTED_VALUE"""),"15370110")</f>
        <v>15370110</v>
      </c>
      <c r="H1850" s="17" t="str">
        <f>IFERROR(__xludf.DUMMYFUNCTION("""COMPUTED_VALUE"""),"течошукачі")</f>
        <v>течошукачі</v>
      </c>
      <c r="I1850" s="19">
        <f>IFERROR(__xludf.DUMMYFUNCTION("""COMPUTED_VALUE"""),0.0556)</f>
        <v>0.0556</v>
      </c>
      <c r="J1850" s="19">
        <f>IFERROR(__xludf.DUMMYFUNCTION("""COMPUTED_VALUE"""),0.1111)</f>
        <v>0.1111</v>
      </c>
      <c r="K1850" s="19">
        <f>IFERROR(__xludf.DUMMYFUNCTION("""COMPUTED_VALUE"""),0.1389)</f>
        <v>0.1389</v>
      </c>
      <c r="L1850" s="19">
        <f>IFERROR(__xludf.DUMMYFUNCTION("""COMPUTED_VALUE"""),0.1667)</f>
        <v>0.1667</v>
      </c>
      <c r="M1850" s="18">
        <f>IFERROR(__xludf.DUMMYFUNCTION("""COMPUTED_VALUE"""),3.75)</f>
        <v>3.75</v>
      </c>
    </row>
    <row r="1851">
      <c r="A1851" s="13" t="str">
        <f>IFERROR(__xludf.DUMMYFUNCTION("""COMPUTED_VALUE"""),"товари")</f>
        <v>товари</v>
      </c>
      <c r="B1851" s="16" t="str">
        <f>IFERROR(__xludf.DUMMYFUNCTION("""COMPUTED_VALUE"""),"контрольно-вимірювальні прилади")</f>
        <v>контрольно-вимірювальні прилади</v>
      </c>
      <c r="C1851" s="16" t="str">
        <f>IFERROR(__xludf.DUMMYFUNCTION("""COMPUTED_VALUE"""),"вимірювачі фізичних параметрів")</f>
        <v>вимірювачі фізичних параметрів</v>
      </c>
      <c r="D1851" s="16" t="str">
        <f>IFERROR(__xludf.DUMMYFUNCTION("""COMPUTED_VALUE"""),"товщиноміри")</f>
        <v>товщиноміри</v>
      </c>
      <c r="E1851" s="16" t="str">
        <f>IFERROR(__xludf.DUMMYFUNCTION("""COMPUTED_VALUE"""),"товщиноміри")</f>
        <v>товщиноміри</v>
      </c>
      <c r="F1851" s="17">
        <f>IFERROR(__xludf.DUMMYFUNCTION("""COMPUTED_VALUE"""),3.0)</f>
        <v>3</v>
      </c>
      <c r="G1851" s="17" t="str">
        <f>IFERROR(__xludf.DUMMYFUNCTION("""COMPUTED_VALUE"""),"15370605")</f>
        <v>15370605</v>
      </c>
      <c r="H1851" s="17" t="str">
        <f>IFERROR(__xludf.DUMMYFUNCTION("""COMPUTED_VALUE"""),"товщиноміри")</f>
        <v>товщиноміри</v>
      </c>
      <c r="I1851" s="19">
        <f>IFERROR(__xludf.DUMMYFUNCTION("""COMPUTED_VALUE"""),0.0686)</f>
        <v>0.0686</v>
      </c>
      <c r="J1851" s="19">
        <f>IFERROR(__xludf.DUMMYFUNCTION("""COMPUTED_VALUE"""),0.1371)</f>
        <v>0.1371</v>
      </c>
      <c r="K1851" s="19">
        <f>IFERROR(__xludf.DUMMYFUNCTION("""COMPUTED_VALUE"""),0.1714)</f>
        <v>0.1714</v>
      </c>
      <c r="L1851" s="19">
        <f>IFERROR(__xludf.DUMMYFUNCTION("""COMPUTED_VALUE"""),0.2057)</f>
        <v>0.2057</v>
      </c>
      <c r="M1851" s="18">
        <f>IFERROR(__xludf.DUMMYFUNCTION("""COMPUTED_VALUE"""),4.05)</f>
        <v>4.05</v>
      </c>
    </row>
    <row r="1852">
      <c r="A1852" s="13" t="str">
        <f>IFERROR(__xludf.DUMMYFUNCTION("""COMPUTED_VALUE"""),"товари")</f>
        <v>товари</v>
      </c>
      <c r="B1852" s="16" t="str">
        <f>IFERROR(__xludf.DUMMYFUNCTION("""COMPUTED_VALUE"""),"контрольно-вимірювальні прилади")</f>
        <v>контрольно-вимірювальні прилади</v>
      </c>
      <c r="C1852" s="16" t="str">
        <f>IFERROR(__xludf.DUMMYFUNCTION("""COMPUTED_VALUE"""),"електровимірювальні прилади")</f>
        <v>електровимірювальні прилади</v>
      </c>
      <c r="D1852" s="16" t="str">
        <f>IFERROR(__xludf.DUMMYFUNCTION("""COMPUTED_VALUE"""),"фазометри")</f>
        <v>фазометри</v>
      </c>
      <c r="E1852" s="16" t="str">
        <f>IFERROR(__xludf.DUMMYFUNCTION("""COMPUTED_VALUE"""),"фазометри")</f>
        <v>фазометри</v>
      </c>
      <c r="F1852" s="17">
        <f>IFERROR(__xludf.DUMMYFUNCTION("""COMPUTED_VALUE"""),3.0)</f>
        <v>3</v>
      </c>
      <c r="G1852" s="17" t="str">
        <f>IFERROR(__xludf.DUMMYFUNCTION("""COMPUTED_VALUE"""),"15370312")</f>
        <v>15370312</v>
      </c>
      <c r="H1852" s="17" t="str">
        <f>IFERROR(__xludf.DUMMYFUNCTION("""COMPUTED_VALUE"""),"фазометри")</f>
        <v>фазометри</v>
      </c>
      <c r="I1852" s="19">
        <f>IFERROR(__xludf.DUMMYFUNCTION("""COMPUTED_VALUE"""),0.0712)</f>
        <v>0.0712</v>
      </c>
      <c r="J1852" s="19">
        <f>IFERROR(__xludf.DUMMYFUNCTION("""COMPUTED_VALUE"""),0.1424)</f>
        <v>0.1424</v>
      </c>
      <c r="K1852" s="19">
        <f>IFERROR(__xludf.DUMMYFUNCTION("""COMPUTED_VALUE"""),0.178)</f>
        <v>0.178</v>
      </c>
      <c r="L1852" s="19">
        <f>IFERROR(__xludf.DUMMYFUNCTION("""COMPUTED_VALUE"""),0.2136)</f>
        <v>0.2136</v>
      </c>
      <c r="M1852" s="18">
        <f>IFERROR(__xludf.DUMMYFUNCTION("""COMPUTED_VALUE"""),1.05)</f>
        <v>1.05</v>
      </c>
    </row>
    <row r="1853">
      <c r="A1853" s="13" t="str">
        <f>IFERROR(__xludf.DUMMYFUNCTION("""COMPUTED_VALUE"""),"товари")</f>
        <v>товари</v>
      </c>
      <c r="B1853" s="16" t="str">
        <f>IFERROR(__xludf.DUMMYFUNCTION("""COMPUTED_VALUE"""),"контрольно-вимірювальні прилади")</f>
        <v>контрольно-вимірювальні прилади</v>
      </c>
      <c r="C1853" s="16" t="str">
        <f>IFERROR(__xludf.DUMMYFUNCTION("""COMPUTED_VALUE"""),"вимірювачі фізичних параметрів")</f>
        <v>вимірювачі фізичних параметрів</v>
      </c>
      <c r="D1853" s="16" t="str">
        <f>IFERROR(__xludf.DUMMYFUNCTION("""COMPUTED_VALUE"""),"центрователі")</f>
        <v>центрователі</v>
      </c>
      <c r="E1853" s="16" t="str">
        <f>IFERROR(__xludf.DUMMYFUNCTION("""COMPUTED_VALUE"""),"центрователі")</f>
        <v>центрователі</v>
      </c>
      <c r="F1853" s="17">
        <f>IFERROR(__xludf.DUMMYFUNCTION("""COMPUTED_VALUE"""),3.0)</f>
        <v>3</v>
      </c>
      <c r="G1853" s="17" t="str">
        <f>IFERROR(__xludf.DUMMYFUNCTION("""COMPUTED_VALUE"""),"15370618")</f>
        <v>15370618</v>
      </c>
      <c r="H1853" s="17" t="str">
        <f>IFERROR(__xludf.DUMMYFUNCTION("""COMPUTED_VALUE"""),"центрователі")</f>
        <v>центрователі</v>
      </c>
      <c r="I1853" s="19">
        <f>IFERROR(__xludf.DUMMYFUNCTION("""COMPUTED_VALUE"""),0.0607)</f>
        <v>0.0607</v>
      </c>
      <c r="J1853" s="19">
        <f>IFERROR(__xludf.DUMMYFUNCTION("""COMPUTED_VALUE"""),0.1214)</f>
        <v>0.1214</v>
      </c>
      <c r="K1853" s="19">
        <f>IFERROR(__xludf.DUMMYFUNCTION("""COMPUTED_VALUE"""),0.1518)</f>
        <v>0.1518</v>
      </c>
      <c r="L1853" s="19">
        <f>IFERROR(__xludf.DUMMYFUNCTION("""COMPUTED_VALUE"""),0.1821)</f>
        <v>0.1821</v>
      </c>
      <c r="M1853" s="18">
        <f>IFERROR(__xludf.DUMMYFUNCTION("""COMPUTED_VALUE"""),1.05)</f>
        <v>1.05</v>
      </c>
    </row>
    <row r="1854">
      <c r="A1854" s="13" t="str">
        <f>IFERROR(__xludf.DUMMYFUNCTION("""COMPUTED_VALUE"""),"товари")</f>
        <v>товари</v>
      </c>
      <c r="B1854" s="16" t="str">
        <f>IFERROR(__xludf.DUMMYFUNCTION("""COMPUTED_VALUE"""),"контрольно-вимірювальні прилади")</f>
        <v>контрольно-вимірювальні прилади</v>
      </c>
      <c r="C1854" s="16" t="str">
        <f>IFERROR(__xludf.DUMMYFUNCTION("""COMPUTED_VALUE"""),"електровимірювальні прилади")</f>
        <v>електровимірювальні прилади</v>
      </c>
      <c r="D1854" s="16" t="str">
        <f>IFERROR(__xludf.DUMMYFUNCTION("""COMPUTED_VALUE"""),"циферблатні індикатори")</f>
        <v>циферблатні індикатори</v>
      </c>
      <c r="E1854" s="16" t="str">
        <f>IFERROR(__xludf.DUMMYFUNCTION("""COMPUTED_VALUE"""),"циферблатні індикатори")</f>
        <v>циферблатні індикатори</v>
      </c>
      <c r="F1854" s="17">
        <f>IFERROR(__xludf.DUMMYFUNCTION("""COMPUTED_VALUE"""),3.0)</f>
        <v>3</v>
      </c>
      <c r="G1854" s="17" t="str">
        <f>IFERROR(__xludf.DUMMYFUNCTION("""COMPUTED_VALUE"""),"14200601")</f>
        <v>14200601</v>
      </c>
      <c r="H1854" s="17" t="str">
        <f>IFERROR(__xludf.DUMMYFUNCTION("""COMPUTED_VALUE"""),"циферблатні індикатори")</f>
        <v>циферблатні індикатори</v>
      </c>
      <c r="I1854" s="19">
        <f>IFERROR(__xludf.DUMMYFUNCTION("""COMPUTED_VALUE"""),0.0485)</f>
        <v>0.0485</v>
      </c>
      <c r="J1854" s="19">
        <f>IFERROR(__xludf.DUMMYFUNCTION("""COMPUTED_VALUE"""),0.097)</f>
        <v>0.097</v>
      </c>
      <c r="K1854" s="19">
        <f>IFERROR(__xludf.DUMMYFUNCTION("""COMPUTED_VALUE"""),0.1213)</f>
        <v>0.1213</v>
      </c>
      <c r="L1854" s="19">
        <f>IFERROR(__xludf.DUMMYFUNCTION("""COMPUTED_VALUE"""),0.1455)</f>
        <v>0.1455</v>
      </c>
      <c r="M1854" s="18">
        <f>IFERROR(__xludf.DUMMYFUNCTION("""COMPUTED_VALUE"""),1.8)</f>
        <v>1.8</v>
      </c>
    </row>
    <row r="1855">
      <c r="A1855" s="13" t="str">
        <f>IFERROR(__xludf.DUMMYFUNCTION("""COMPUTED_VALUE"""),"товари")</f>
        <v>товари</v>
      </c>
      <c r="B1855" s="16" t="str">
        <f>IFERROR(__xludf.DUMMYFUNCTION("""COMPUTED_VALUE"""),"контрольно-вимірювальні прилади")</f>
        <v>контрольно-вимірювальні прилади</v>
      </c>
      <c r="C1855" s="16" t="str">
        <f>IFERROR(__xludf.DUMMYFUNCTION("""COMPUTED_VALUE"""),"оптичні прилади і системи")</f>
        <v>оптичні прилади і системи</v>
      </c>
      <c r="D1855" s="16" t="str">
        <f>IFERROR(__xludf.DUMMYFUNCTION("""COMPUTED_VALUE"""),"штативи для вимірювального обладнання")</f>
        <v>штативи для вимірювального обладнання</v>
      </c>
      <c r="E1855" s="16" t="str">
        <f>IFERROR(__xludf.DUMMYFUNCTION("""COMPUTED_VALUE"""),"штативи для вимірювального обладнання")</f>
        <v>штативи для вимірювального обладнання</v>
      </c>
      <c r="F1855" s="17">
        <f>IFERROR(__xludf.DUMMYFUNCTION("""COMPUTED_VALUE"""),3.0)</f>
        <v>3</v>
      </c>
      <c r="G1855" s="17" t="str">
        <f>IFERROR(__xludf.DUMMYFUNCTION("""COMPUTED_VALUE"""),"13040903")</f>
        <v>13040903</v>
      </c>
      <c r="H1855" s="17" t="str">
        <f>IFERROR(__xludf.DUMMYFUNCTION("""COMPUTED_VALUE"""),"штативи для вимірювального обладнання")</f>
        <v>штативи для вимірювального обладнання</v>
      </c>
      <c r="I1855" s="19">
        <f>IFERROR(__xludf.DUMMYFUNCTION("""COMPUTED_VALUE"""),0.0722)</f>
        <v>0.0722</v>
      </c>
      <c r="J1855" s="19">
        <f>IFERROR(__xludf.DUMMYFUNCTION("""COMPUTED_VALUE"""),0.1443)</f>
        <v>0.1443</v>
      </c>
      <c r="K1855" s="19">
        <f>IFERROR(__xludf.DUMMYFUNCTION("""COMPUTED_VALUE"""),0.1804)</f>
        <v>0.1804</v>
      </c>
      <c r="L1855" s="19">
        <f>IFERROR(__xludf.DUMMYFUNCTION("""COMPUTED_VALUE"""),0.2165)</f>
        <v>0.2165</v>
      </c>
      <c r="M1855" s="18">
        <f>IFERROR(__xludf.DUMMYFUNCTION("""COMPUTED_VALUE"""),1.53)</f>
        <v>1.53</v>
      </c>
    </row>
    <row r="1856">
      <c r="A1856" s="13" t="str">
        <f>IFERROR(__xludf.DUMMYFUNCTION("""COMPUTED_VALUE"""),"товари")</f>
        <v>товари</v>
      </c>
      <c r="B1856" s="16" t="str">
        <f>IFERROR(__xludf.DUMMYFUNCTION("""COMPUTED_VALUE"""),"контрольно-вимірювальні прилади")</f>
        <v>контрольно-вимірювальні прилади</v>
      </c>
      <c r="C1856" s="16" t="str">
        <f>IFERROR(__xludf.DUMMYFUNCTION("""COMPUTED_VALUE"""),"вимірювачі фізичних параметрів")</f>
        <v>вимірювачі фізичних параметрів</v>
      </c>
      <c r="D1856" s="16" t="str">
        <f>IFERROR(__xludf.DUMMYFUNCTION("""COMPUTED_VALUE"""),"шумоміри")</f>
        <v>шумоміри</v>
      </c>
      <c r="E1856" s="16" t="str">
        <f>IFERROR(__xludf.DUMMYFUNCTION("""COMPUTED_VALUE"""),"шумоміри")</f>
        <v>шумоміри</v>
      </c>
      <c r="F1856" s="17">
        <f>IFERROR(__xludf.DUMMYFUNCTION("""COMPUTED_VALUE"""),3.0)</f>
        <v>3</v>
      </c>
      <c r="G1856" s="17" t="str">
        <f>IFERROR(__xludf.DUMMYFUNCTION("""COMPUTED_VALUE"""),"12110610")</f>
        <v>12110610</v>
      </c>
      <c r="H1856" s="17" t="str">
        <f>IFERROR(__xludf.DUMMYFUNCTION("""COMPUTED_VALUE"""),"шумоміри")</f>
        <v>шумоміри</v>
      </c>
      <c r="I1856" s="19">
        <f>IFERROR(__xludf.DUMMYFUNCTION("""COMPUTED_VALUE"""),0.0724)</f>
        <v>0.0724</v>
      </c>
      <c r="J1856" s="19">
        <f>IFERROR(__xludf.DUMMYFUNCTION("""COMPUTED_VALUE"""),0.1448)</f>
        <v>0.1448</v>
      </c>
      <c r="K1856" s="19">
        <f>IFERROR(__xludf.DUMMYFUNCTION("""COMPUTED_VALUE"""),0.181)</f>
        <v>0.181</v>
      </c>
      <c r="L1856" s="19">
        <f>IFERROR(__xludf.DUMMYFUNCTION("""COMPUTED_VALUE"""),0.2172)</f>
        <v>0.2172</v>
      </c>
      <c r="M1856" s="18">
        <f>IFERROR(__xludf.DUMMYFUNCTION("""COMPUTED_VALUE"""),2.08)</f>
        <v>2.08</v>
      </c>
    </row>
    <row r="1857">
      <c r="A1857" s="13" t="str">
        <f>IFERROR(__xludf.DUMMYFUNCTION("""COMPUTED_VALUE"""),"товари")</f>
        <v>товари</v>
      </c>
      <c r="B1857" s="16" t="str">
        <f>IFERROR(__xludf.DUMMYFUNCTION("""COMPUTED_VALUE"""),"контрольно-вимірювальні прилади")</f>
        <v>контрольно-вимірювальні прилади</v>
      </c>
      <c r="C1857" s="16" t="str">
        <f>IFERROR(__xludf.DUMMYFUNCTION("""COMPUTED_VALUE"""),"електровимірювальні прилади")</f>
        <v>електровимірювальні прилади</v>
      </c>
      <c r="D1857" s="16" t="str">
        <f>IFERROR(__xludf.DUMMYFUNCTION("""COMPUTED_VALUE"""),"шунти")</f>
        <v>шунти</v>
      </c>
      <c r="E1857" s="16" t="str">
        <f>IFERROR(__xludf.DUMMYFUNCTION("""COMPUTED_VALUE"""),"шунти")</f>
        <v>шунти</v>
      </c>
      <c r="F1857" s="17">
        <f>IFERROR(__xludf.DUMMYFUNCTION("""COMPUTED_VALUE"""),3.0)</f>
        <v>3</v>
      </c>
      <c r="G1857" s="17" t="str">
        <f>IFERROR(__xludf.DUMMYFUNCTION("""COMPUTED_VALUE"""),"506")</f>
        <v>506</v>
      </c>
      <c r="H1857" s="17" t="str">
        <f>IFERROR(__xludf.DUMMYFUNCTION("""COMPUTED_VALUE"""),"шунти")</f>
        <v>шунти</v>
      </c>
      <c r="I1857" s="19">
        <f>IFERROR(__xludf.DUMMYFUNCTION("""COMPUTED_VALUE"""),0.0678)</f>
        <v>0.0678</v>
      </c>
      <c r="J1857" s="19">
        <f>IFERROR(__xludf.DUMMYFUNCTION("""COMPUTED_VALUE"""),0.1355)</f>
        <v>0.1355</v>
      </c>
      <c r="K1857" s="19">
        <f>IFERROR(__xludf.DUMMYFUNCTION("""COMPUTED_VALUE"""),0.1694)</f>
        <v>0.1694</v>
      </c>
      <c r="L1857" s="19">
        <f>IFERROR(__xludf.DUMMYFUNCTION("""COMPUTED_VALUE"""),0.2033)</f>
        <v>0.2033</v>
      </c>
      <c r="M1857" s="18">
        <f>IFERROR(__xludf.DUMMYFUNCTION("""COMPUTED_VALUE"""),1.05)</f>
        <v>1.05</v>
      </c>
    </row>
    <row r="1858">
      <c r="A1858" s="13" t="str">
        <f>IFERROR(__xludf.DUMMYFUNCTION("""COMPUTED_VALUE"""),"товари")</f>
        <v>товари</v>
      </c>
      <c r="B1858" s="16" t="str">
        <f>IFERROR(__xludf.DUMMYFUNCTION("""COMPUTED_VALUE"""),"краса та здоров'я")</f>
        <v>краса та здоров'я</v>
      </c>
      <c r="C1858" s="16" t="str">
        <f>IFERROR(__xludf.DUMMYFUNCTION("""COMPUTED_VALUE"""),"оптика для зору")</f>
        <v>оптика для зору</v>
      </c>
      <c r="D1858" s="16" t="str">
        <f>IFERROR(__xludf.DUMMYFUNCTION("""COMPUTED_VALUE"""),"аксесуари для окулярів і контактних лінз")</f>
        <v>аксесуари для окулярів і контактних лінз</v>
      </c>
      <c r="E1858" s="16" t="str">
        <f>IFERROR(__xludf.DUMMYFUNCTION("""COMPUTED_VALUE"""),"аксесуари для контактних лінз")</f>
        <v>аксесуари для контактних лінз</v>
      </c>
      <c r="F1858" s="17">
        <f>IFERROR(__xludf.DUMMYFUNCTION("""COMPUTED_VALUE"""),4.0)</f>
        <v>4</v>
      </c>
      <c r="G1858" s="17" t="str">
        <f>IFERROR(__xludf.DUMMYFUNCTION("""COMPUTED_VALUE"""),"36127020")</f>
        <v>36127020</v>
      </c>
      <c r="H1858" s="17" t="str">
        <f>IFERROR(__xludf.DUMMYFUNCTION("""COMPUTED_VALUE"""),"аксесуари для контактних лінз")</f>
        <v>аксесуари для контактних лінз</v>
      </c>
      <c r="I1858" s="19">
        <f>IFERROR(__xludf.DUMMYFUNCTION("""COMPUTED_VALUE"""),0.0732)</f>
        <v>0.0732</v>
      </c>
      <c r="J1858" s="19">
        <f>IFERROR(__xludf.DUMMYFUNCTION("""COMPUTED_VALUE"""),0.1464)</f>
        <v>0.1464</v>
      </c>
      <c r="K1858" s="19">
        <f>IFERROR(__xludf.DUMMYFUNCTION("""COMPUTED_VALUE"""),0.183)</f>
        <v>0.183</v>
      </c>
      <c r="L1858" s="19">
        <f>IFERROR(__xludf.DUMMYFUNCTION("""COMPUTED_VALUE"""),0.2196)</f>
        <v>0.2196</v>
      </c>
      <c r="M1858" s="18">
        <f>IFERROR(__xludf.DUMMYFUNCTION("""COMPUTED_VALUE"""),1.98)</f>
        <v>1.98</v>
      </c>
    </row>
    <row r="1859">
      <c r="A1859" s="13" t="str">
        <f>IFERROR(__xludf.DUMMYFUNCTION("""COMPUTED_VALUE"""),"товари")</f>
        <v>товари</v>
      </c>
      <c r="B1859" s="16" t="str">
        <f>IFERROR(__xludf.DUMMYFUNCTION("""COMPUTED_VALUE"""),"краса та здоров'я")</f>
        <v>краса та здоров'я</v>
      </c>
      <c r="C1859" s="16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1859" s="16" t="str">
        <f>IFERROR(__xludf.DUMMYFUNCTION("""COMPUTED_VALUE"""),"аксесуари для нарощування нігтів")</f>
        <v>аксесуари для нарощування нігтів</v>
      </c>
      <c r="E1859" s="16" t="str">
        <f>IFERROR(__xludf.DUMMYFUNCTION("""COMPUTED_VALUE"""),"аксесуари для нарощування нігтів")</f>
        <v>аксесуари для нарощування нігтів</v>
      </c>
      <c r="F1859" s="17">
        <f>IFERROR(__xludf.DUMMYFUNCTION("""COMPUTED_VALUE"""),3.0)</f>
        <v>3</v>
      </c>
      <c r="G1859" s="17" t="str">
        <f>IFERROR(__xludf.DUMMYFUNCTION("""COMPUTED_VALUE"""),"16180116")</f>
        <v>16180116</v>
      </c>
      <c r="H1859" s="17" t="str">
        <f>IFERROR(__xludf.DUMMYFUNCTION("""COMPUTED_VALUE"""),"аксесуари для нарощування нігтів")</f>
        <v>аксесуари для нарощування нігтів</v>
      </c>
      <c r="I1859" s="19">
        <f>IFERROR(__xludf.DUMMYFUNCTION("""COMPUTED_VALUE"""),0.0672)</f>
        <v>0.0672</v>
      </c>
      <c r="J1859" s="19">
        <f>IFERROR(__xludf.DUMMYFUNCTION("""COMPUTED_VALUE"""),0.1343)</f>
        <v>0.1343</v>
      </c>
      <c r="K1859" s="19">
        <f>IFERROR(__xludf.DUMMYFUNCTION("""COMPUTED_VALUE"""),0.1679)</f>
        <v>0.1679</v>
      </c>
      <c r="L1859" s="19">
        <f>IFERROR(__xludf.DUMMYFUNCTION("""COMPUTED_VALUE"""),0.2015)</f>
        <v>0.2015</v>
      </c>
      <c r="M1859" s="18">
        <f>IFERROR(__xludf.DUMMYFUNCTION("""COMPUTED_VALUE"""),1.63)</f>
        <v>1.63</v>
      </c>
    </row>
    <row r="1860">
      <c r="A1860" s="13" t="str">
        <f>IFERROR(__xludf.DUMMYFUNCTION("""COMPUTED_VALUE"""),"товари")</f>
        <v>товари</v>
      </c>
      <c r="B1860" s="16" t="str">
        <f>IFERROR(__xludf.DUMMYFUNCTION("""COMPUTED_VALUE"""),"краса та здоров'я")</f>
        <v>краса та здоров'я</v>
      </c>
      <c r="C1860" s="16" t="str">
        <f>IFERROR(__xludf.DUMMYFUNCTION("""COMPUTED_VALUE"""),"оптика для зору")</f>
        <v>оптика для зору</v>
      </c>
      <c r="D1860" s="16" t="str">
        <f>IFERROR(__xludf.DUMMYFUNCTION("""COMPUTED_VALUE"""),"аксесуари для окулярів і контактних лінз")</f>
        <v>аксесуари для окулярів і контактних лінз</v>
      </c>
      <c r="E1860" s="16" t="str">
        <f>IFERROR(__xludf.DUMMYFUNCTION("""COMPUTED_VALUE"""),"аксесуари для окулярів")</f>
        <v>аксесуари для окулярів</v>
      </c>
      <c r="F1860" s="17">
        <f>IFERROR(__xludf.DUMMYFUNCTION("""COMPUTED_VALUE"""),4.0)</f>
        <v>4</v>
      </c>
      <c r="G1860" s="17" t="str">
        <f>IFERROR(__xludf.DUMMYFUNCTION("""COMPUTED_VALUE"""),"36127040")</f>
        <v>36127040</v>
      </c>
      <c r="H1860" s="17" t="str">
        <f>IFERROR(__xludf.DUMMYFUNCTION("""COMPUTED_VALUE"""),"аксесуари для окулярів")</f>
        <v>аксесуари для окулярів</v>
      </c>
      <c r="I1860" s="19">
        <f>IFERROR(__xludf.DUMMYFUNCTION("""COMPUTED_VALUE"""),0.0765)</f>
        <v>0.0765</v>
      </c>
      <c r="J1860" s="19">
        <f>IFERROR(__xludf.DUMMYFUNCTION("""COMPUTED_VALUE"""),0.153)</f>
        <v>0.153</v>
      </c>
      <c r="K1860" s="19">
        <f>IFERROR(__xludf.DUMMYFUNCTION("""COMPUTED_VALUE"""),0.1913)</f>
        <v>0.1913</v>
      </c>
      <c r="L1860" s="19">
        <f>IFERROR(__xludf.DUMMYFUNCTION("""COMPUTED_VALUE"""),0.2295)</f>
        <v>0.2295</v>
      </c>
      <c r="M1860" s="18">
        <f>IFERROR(__xludf.DUMMYFUNCTION("""COMPUTED_VALUE"""),1.98)</f>
        <v>1.98</v>
      </c>
    </row>
    <row r="1861">
      <c r="A1861" s="13" t="str">
        <f>IFERROR(__xludf.DUMMYFUNCTION("""COMPUTED_VALUE"""),"товари")</f>
        <v>товари</v>
      </c>
      <c r="B1861" s="16" t="str">
        <f>IFERROR(__xludf.DUMMYFUNCTION("""COMPUTED_VALUE"""),"краса та здоров'я")</f>
        <v>краса та здоров'я</v>
      </c>
      <c r="C1861" s="16" t="str">
        <f>IFERROR(__xludf.DUMMYFUNCTION("""COMPUTED_VALUE"""),"оптика для зору")</f>
        <v>оптика для зору</v>
      </c>
      <c r="D1861" s="16" t="str">
        <f>IFERROR(__xludf.DUMMYFUNCTION("""COMPUTED_VALUE"""),"аксесуари для окулярів і контактних лінз")</f>
        <v>аксесуари для окулярів і контактних лінз</v>
      </c>
      <c r="E1861" s="16" t="str">
        <f>IFERROR(__xludf.DUMMYFUNCTION("""COMPUTED_VALUE"""),"аксесуари для окулярів, загальне")</f>
        <v>аксесуари для окулярів, загальне</v>
      </c>
      <c r="F1861" s="17">
        <f>IFERROR(__xludf.DUMMYFUNCTION("""COMPUTED_VALUE"""),4.0)</f>
        <v>4</v>
      </c>
      <c r="G1861" s="17" t="str">
        <f>IFERROR(__xludf.DUMMYFUNCTION("""COMPUTED_VALUE"""),"36127099")</f>
        <v>36127099</v>
      </c>
      <c r="H1861" s="17" t="str">
        <f>IFERROR(__xludf.DUMMYFUNCTION("""COMPUTED_VALUE"""),"аксесуари для окулярів, загальне")</f>
        <v>аксесуари для окулярів, загальне</v>
      </c>
      <c r="I1861" s="19">
        <f>IFERROR(__xludf.DUMMYFUNCTION("""COMPUTED_VALUE"""),0.125)</f>
        <v>0.125</v>
      </c>
      <c r="J1861" s="19">
        <f>IFERROR(__xludf.DUMMYFUNCTION("""COMPUTED_VALUE"""),0.25)</f>
        <v>0.25</v>
      </c>
      <c r="K1861" s="19">
        <f>IFERROR(__xludf.DUMMYFUNCTION("""COMPUTED_VALUE"""),0.3125)</f>
        <v>0.3125</v>
      </c>
      <c r="L1861" s="19">
        <f>IFERROR(__xludf.DUMMYFUNCTION("""COMPUTED_VALUE"""),0.375)</f>
        <v>0.375</v>
      </c>
      <c r="M1861" s="18">
        <f>IFERROR(__xludf.DUMMYFUNCTION("""COMPUTED_VALUE"""),4.33)</f>
        <v>4.33</v>
      </c>
    </row>
    <row r="1862">
      <c r="A1862" s="13" t="str">
        <f>IFERROR(__xludf.DUMMYFUNCTION("""COMPUTED_VALUE"""),"товари")</f>
        <v>товари</v>
      </c>
      <c r="B1862" s="16" t="str">
        <f>IFERROR(__xludf.DUMMYFUNCTION("""COMPUTED_VALUE"""),"краса та здоров'я")</f>
        <v>краса та здоров'я</v>
      </c>
      <c r="C1862" s="16" t="str">
        <f>IFERROR(__xludf.DUMMYFUNCTION("""COMPUTED_VALUE"""),"товари для здоров'я")</f>
        <v>товари для здоров'я</v>
      </c>
      <c r="D1862" s="16" t="str">
        <f>IFERROR(__xludf.DUMMYFUNCTION("""COMPUTED_VALUE"""),"оздоровчі товари з турмаліном і шунгитом")</f>
        <v>оздоровчі товари з турмаліном і шунгитом</v>
      </c>
      <c r="E1862" s="16" t="str">
        <f>IFERROR(__xludf.DUMMYFUNCTION("""COMPUTED_VALUE"""),"аксесуари з турмаліном і шунгитом")</f>
        <v>аксесуари з турмаліном і шунгитом</v>
      </c>
      <c r="F1862" s="17">
        <f>IFERROR(__xludf.DUMMYFUNCTION("""COMPUTED_VALUE"""),4.0)</f>
        <v>4</v>
      </c>
      <c r="G1862" s="17" t="str">
        <f>IFERROR(__xludf.DUMMYFUNCTION("""COMPUTED_VALUE"""),"163502")</f>
        <v>163502</v>
      </c>
      <c r="H1862" s="17" t="str">
        <f>IFERROR(__xludf.DUMMYFUNCTION("""COMPUTED_VALUE"""),"аксесуари з турмаліном і шунгитом")</f>
        <v>аксесуари з турмаліном і шунгитом</v>
      </c>
      <c r="I1862" s="19">
        <f>IFERROR(__xludf.DUMMYFUNCTION("""COMPUTED_VALUE"""),0.075)</f>
        <v>0.075</v>
      </c>
      <c r="J1862" s="19">
        <f>IFERROR(__xludf.DUMMYFUNCTION("""COMPUTED_VALUE"""),0.15)</f>
        <v>0.15</v>
      </c>
      <c r="K1862" s="19">
        <f>IFERROR(__xludf.DUMMYFUNCTION("""COMPUTED_VALUE"""),0.1875)</f>
        <v>0.1875</v>
      </c>
      <c r="L1862" s="19">
        <f>IFERROR(__xludf.DUMMYFUNCTION("""COMPUTED_VALUE"""),0.225)</f>
        <v>0.225</v>
      </c>
      <c r="M1862" s="18">
        <f>IFERROR(__xludf.DUMMYFUNCTION("""COMPUTED_VALUE"""),1.53)</f>
        <v>1.53</v>
      </c>
    </row>
    <row r="1863">
      <c r="A1863" s="13" t="str">
        <f>IFERROR(__xludf.DUMMYFUNCTION("""COMPUTED_VALUE"""),"товари")</f>
        <v>товари</v>
      </c>
      <c r="B1863" s="16" t="str">
        <f>IFERROR(__xludf.DUMMYFUNCTION("""COMPUTED_VALUE"""),"краса та здоров'я")</f>
        <v>краса та здоров'я</v>
      </c>
      <c r="C1863" s="16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863" s="16" t="str">
        <f>IFERROR(__xludf.DUMMYFUNCTION("""COMPUTED_VALUE"""),"аксесуари та змінні касети для гоління")</f>
        <v>аксесуари та змінні касети для гоління</v>
      </c>
      <c r="E1863" s="16" t="str">
        <f>IFERROR(__xludf.DUMMYFUNCTION("""COMPUTED_VALUE"""),"аксесуари та змінні касети для гоління")</f>
        <v>аксесуари та змінні касети для гоління</v>
      </c>
      <c r="F1863" s="17">
        <f>IFERROR(__xludf.DUMMYFUNCTION("""COMPUTED_VALUE"""),3.0)</f>
        <v>3</v>
      </c>
      <c r="G1863" s="17" t="str">
        <f>IFERROR(__xludf.DUMMYFUNCTION("""COMPUTED_VALUE"""),"330901")</f>
        <v>330901</v>
      </c>
      <c r="H1863" s="17" t="str">
        <f>IFERROR(__xludf.DUMMYFUNCTION("""COMPUTED_VALUE"""),"аксесуари та змінні касети для гоління")</f>
        <v>аксесуари та змінні касети для гоління</v>
      </c>
      <c r="I1863" s="19">
        <f>IFERROR(__xludf.DUMMYFUNCTION("""COMPUTED_VALUE"""),0.071)</f>
        <v>0.071</v>
      </c>
      <c r="J1863" s="19">
        <f>IFERROR(__xludf.DUMMYFUNCTION("""COMPUTED_VALUE"""),0.1419)</f>
        <v>0.1419</v>
      </c>
      <c r="K1863" s="19">
        <f>IFERROR(__xludf.DUMMYFUNCTION("""COMPUTED_VALUE"""),0.1774)</f>
        <v>0.1774</v>
      </c>
      <c r="L1863" s="19">
        <f>IFERROR(__xludf.DUMMYFUNCTION("""COMPUTED_VALUE"""),0.2129)</f>
        <v>0.2129</v>
      </c>
      <c r="M1863" s="18">
        <f>IFERROR(__xludf.DUMMYFUNCTION("""COMPUTED_VALUE"""),5.4)</f>
        <v>5.4</v>
      </c>
    </row>
    <row r="1864">
      <c r="A1864" s="13" t="str">
        <f>IFERROR(__xludf.DUMMYFUNCTION("""COMPUTED_VALUE"""),"товари")</f>
        <v>товари</v>
      </c>
      <c r="B1864" s="16" t="str">
        <f>IFERROR(__xludf.DUMMYFUNCTION("""COMPUTED_VALUE"""),"краса та здоров'я")</f>
        <v>краса та здоров'я</v>
      </c>
      <c r="C1864" s="16" t="str">
        <f>IFERROR(__xludf.DUMMYFUNCTION("""COMPUTED_VALUE"""),"товари для здоров'я")</f>
        <v>товари для здоров'я</v>
      </c>
      <c r="D1864" s="16" t="str">
        <f>IFERROR(__xludf.DUMMYFUNCTION("""COMPUTED_VALUE"""),"домашня медична техніка")</f>
        <v>домашня медична техніка</v>
      </c>
      <c r="E1864" s="16" t="str">
        <f>IFERROR(__xludf.DUMMYFUNCTION("""COMPUTED_VALUE"""),"активатори води")</f>
        <v>активатори води</v>
      </c>
      <c r="F1864" s="17">
        <f>IFERROR(__xludf.DUMMYFUNCTION("""COMPUTED_VALUE"""),4.0)</f>
        <v>4</v>
      </c>
      <c r="G1864" s="17" t="str">
        <f>IFERROR(__xludf.DUMMYFUNCTION("""COMPUTED_VALUE"""),"162539")</f>
        <v>162539</v>
      </c>
      <c r="H1864" s="17" t="str">
        <f>IFERROR(__xludf.DUMMYFUNCTION("""COMPUTED_VALUE"""),"активатори води")</f>
        <v>активатори води</v>
      </c>
      <c r="I1864" s="19">
        <f>IFERROR(__xludf.DUMMYFUNCTION("""COMPUTED_VALUE"""),0.0694)</f>
        <v>0.0694</v>
      </c>
      <c r="J1864" s="19">
        <f>IFERROR(__xludf.DUMMYFUNCTION("""COMPUTED_VALUE"""),0.1388)</f>
        <v>0.1388</v>
      </c>
      <c r="K1864" s="19">
        <f>IFERROR(__xludf.DUMMYFUNCTION("""COMPUTED_VALUE"""),0.1735)</f>
        <v>0.1735</v>
      </c>
      <c r="L1864" s="19">
        <f>IFERROR(__xludf.DUMMYFUNCTION("""COMPUTED_VALUE"""),0.2082)</f>
        <v>0.2082</v>
      </c>
      <c r="M1864" s="18">
        <f>IFERROR(__xludf.DUMMYFUNCTION("""COMPUTED_VALUE"""),1.53)</f>
        <v>1.53</v>
      </c>
    </row>
    <row r="1865">
      <c r="A1865" s="13" t="str">
        <f>IFERROR(__xludf.DUMMYFUNCTION("""COMPUTED_VALUE"""),"товари")</f>
        <v>товари</v>
      </c>
      <c r="B1865" s="16" t="str">
        <f>IFERROR(__xludf.DUMMYFUNCTION("""COMPUTED_VALUE"""),"краса та здоров'я")</f>
        <v>краса та здоров'я</v>
      </c>
      <c r="C1865" s="16" t="str">
        <f>IFERROR(__xludf.DUMMYFUNCTION("""COMPUTED_VALUE"""),"товари для здоров'я")</f>
        <v>товари для здоров'я</v>
      </c>
      <c r="D1865" s="16" t="str">
        <f>IFERROR(__xludf.DUMMYFUNCTION("""COMPUTED_VALUE"""),"домашня медична техніка")</f>
        <v>домашня медична техніка</v>
      </c>
      <c r="E1865" s="16" t="str">
        <f>IFERROR(__xludf.DUMMYFUNCTION("""COMPUTED_VALUE"""),"алкометри")</f>
        <v>алкометри</v>
      </c>
      <c r="F1865" s="17">
        <f>IFERROR(__xludf.DUMMYFUNCTION("""COMPUTED_VALUE"""),4.0)</f>
        <v>4</v>
      </c>
      <c r="G1865" s="17" t="str">
        <f>IFERROR(__xludf.DUMMYFUNCTION("""COMPUTED_VALUE"""),"162504")</f>
        <v>162504</v>
      </c>
      <c r="H1865" s="17" t="str">
        <f>IFERROR(__xludf.DUMMYFUNCTION("""COMPUTED_VALUE"""),"алкометри")</f>
        <v>алкометри</v>
      </c>
      <c r="I1865" s="19">
        <f>IFERROR(__xludf.DUMMYFUNCTION("""COMPUTED_VALUE"""),0.0694)</f>
        <v>0.0694</v>
      </c>
      <c r="J1865" s="19">
        <f>IFERROR(__xludf.DUMMYFUNCTION("""COMPUTED_VALUE"""),0.1388)</f>
        <v>0.1388</v>
      </c>
      <c r="K1865" s="19">
        <f>IFERROR(__xludf.DUMMYFUNCTION("""COMPUTED_VALUE"""),0.1735)</f>
        <v>0.1735</v>
      </c>
      <c r="L1865" s="19">
        <f>IFERROR(__xludf.DUMMYFUNCTION("""COMPUTED_VALUE"""),0.2082)</f>
        <v>0.2082</v>
      </c>
      <c r="M1865" s="18">
        <f>IFERROR(__xludf.DUMMYFUNCTION("""COMPUTED_VALUE"""),1.53)</f>
        <v>1.53</v>
      </c>
    </row>
    <row r="1866">
      <c r="A1866" s="13" t="str">
        <f>IFERROR(__xludf.DUMMYFUNCTION("""COMPUTED_VALUE"""),"товари")</f>
        <v>товари</v>
      </c>
      <c r="B1866" s="16" t="str">
        <f>IFERROR(__xludf.DUMMYFUNCTION("""COMPUTED_VALUE"""),"краса та здоров'я")</f>
        <v>краса та здоров'я</v>
      </c>
      <c r="C1866" s="16" t="str">
        <f>IFERROR(__xludf.DUMMYFUNCTION("""COMPUTED_VALUE"""),"косметика по догляду")</f>
        <v>косметика по догляду</v>
      </c>
      <c r="D1866" s="16" t="str">
        <f>IFERROR(__xludf.DUMMYFUNCTION("""COMPUTED_VALUE"""),"догляд за обличчям")</f>
        <v>догляд за обличчям</v>
      </c>
      <c r="E1866" s="16" t="str">
        <f>IFERROR(__xludf.DUMMYFUNCTION("""COMPUTED_VALUE"""),"антивіковий та лікувальний догляд за шкірою")</f>
        <v>антивіковий та лікувальний догляд за шкірою</v>
      </c>
      <c r="F1866" s="17">
        <f>IFERROR(__xludf.DUMMYFUNCTION("""COMPUTED_VALUE"""),4.0)</f>
        <v>4</v>
      </c>
      <c r="G1866" s="17" t="str">
        <f>IFERROR(__xludf.DUMMYFUNCTION("""COMPUTED_VALUE"""),"330613")</f>
        <v>330613</v>
      </c>
      <c r="H1866" s="17" t="str">
        <f>IFERROR(__xludf.DUMMYFUNCTION("""COMPUTED_VALUE"""),"антивіковий та лікувальний догляд за шкірою")</f>
        <v>антивіковий та лікувальний догляд за шкірою</v>
      </c>
      <c r="I1866" s="19">
        <f>IFERROR(__xludf.DUMMYFUNCTION("""COMPUTED_VALUE"""),0.0664)</f>
        <v>0.0664</v>
      </c>
      <c r="J1866" s="19">
        <f>IFERROR(__xludf.DUMMYFUNCTION("""COMPUTED_VALUE"""),0.1327)</f>
        <v>0.1327</v>
      </c>
      <c r="K1866" s="19">
        <f>IFERROR(__xludf.DUMMYFUNCTION("""COMPUTED_VALUE"""),0.1659)</f>
        <v>0.1659</v>
      </c>
      <c r="L1866" s="19">
        <f>IFERROR(__xludf.DUMMYFUNCTION("""COMPUTED_VALUE"""),0.1991)</f>
        <v>0.1991</v>
      </c>
      <c r="M1866" s="18">
        <f>IFERROR(__xludf.DUMMYFUNCTION("""COMPUTED_VALUE"""),1.71)</f>
        <v>1.71</v>
      </c>
    </row>
    <row r="1867">
      <c r="A1867" s="13" t="str">
        <f>IFERROR(__xludf.DUMMYFUNCTION("""COMPUTED_VALUE"""),"товари")</f>
        <v>товари</v>
      </c>
      <c r="B1867" s="16" t="str">
        <f>IFERROR(__xludf.DUMMYFUNCTION("""COMPUTED_VALUE"""),"краса та здоров'я")</f>
        <v>краса та здоров'я</v>
      </c>
      <c r="C1867" s="16" t="str">
        <f>IFERROR(__xludf.DUMMYFUNCTION("""COMPUTED_VALUE"""),"гігієнічні вироби та засоби")</f>
        <v>гігієнічні вироби та засоби</v>
      </c>
      <c r="D1867" s="16" t="str">
        <f>IFERROR(__xludf.DUMMYFUNCTION("""COMPUTED_VALUE"""),"антисептичні засоби для шкіри")</f>
        <v>антисептичні засоби для шкіри</v>
      </c>
      <c r="E1867" s="16" t="str">
        <f>IFERROR(__xludf.DUMMYFUNCTION("""COMPUTED_VALUE"""),"антисептичні засоби для шкіри")</f>
        <v>антисептичні засоби для шкіри</v>
      </c>
      <c r="F1867" s="17">
        <f>IFERROR(__xludf.DUMMYFUNCTION("""COMPUTED_VALUE"""),3.0)</f>
        <v>3</v>
      </c>
      <c r="G1867" s="17" t="str">
        <f>IFERROR(__xludf.DUMMYFUNCTION("""COMPUTED_VALUE"""),"151312")</f>
        <v>151312</v>
      </c>
      <c r="H1867" s="17" t="str">
        <f>IFERROR(__xludf.DUMMYFUNCTION("""COMPUTED_VALUE"""),"антисептичні засоби для шкіри")</f>
        <v>антисептичні засоби для шкіри</v>
      </c>
      <c r="I1867" s="19">
        <f>IFERROR(__xludf.DUMMYFUNCTION("""COMPUTED_VALUE"""),0.0721)</f>
        <v>0.0721</v>
      </c>
      <c r="J1867" s="19">
        <f>IFERROR(__xludf.DUMMYFUNCTION("""COMPUTED_VALUE"""),0.1442)</f>
        <v>0.1442</v>
      </c>
      <c r="K1867" s="19">
        <f>IFERROR(__xludf.DUMMYFUNCTION("""COMPUTED_VALUE"""),0.1803)</f>
        <v>0.1803</v>
      </c>
      <c r="L1867" s="19">
        <f>IFERROR(__xludf.DUMMYFUNCTION("""COMPUTED_VALUE"""),0.2163)</f>
        <v>0.2163</v>
      </c>
      <c r="M1867" s="18">
        <f>IFERROR(__xludf.DUMMYFUNCTION("""COMPUTED_VALUE"""),5.4)</f>
        <v>5.4</v>
      </c>
    </row>
    <row r="1868">
      <c r="A1868" s="13" t="str">
        <f>IFERROR(__xludf.DUMMYFUNCTION("""COMPUTED_VALUE"""),"товари")</f>
        <v>товари</v>
      </c>
      <c r="B1868" s="16" t="str">
        <f>IFERROR(__xludf.DUMMYFUNCTION("""COMPUTED_VALUE"""),"краса та здоров'я")</f>
        <v>краса та здоров'я</v>
      </c>
      <c r="C1868" s="16" t="str">
        <f>IFERROR(__xludf.DUMMYFUNCTION("""COMPUTED_VALUE"""),"товари для здоров'я")</f>
        <v>товари для здоров'я</v>
      </c>
      <c r="D1868" s="16" t="str">
        <f>IFERROR(__xludf.DUMMYFUNCTION("""COMPUTED_VALUE"""),"масажери")</f>
        <v>масажери</v>
      </c>
      <c r="E1868" s="16" t="str">
        <f>IFERROR(__xludf.DUMMYFUNCTION("""COMPUTED_VALUE"""),"аплікатори")</f>
        <v>аплікатори</v>
      </c>
      <c r="F1868" s="17">
        <f>IFERROR(__xludf.DUMMYFUNCTION("""COMPUTED_VALUE"""),4.0)</f>
        <v>4</v>
      </c>
      <c r="G1868" s="17" t="str">
        <f>IFERROR(__xludf.DUMMYFUNCTION("""COMPUTED_VALUE"""),"162211")</f>
        <v>162211</v>
      </c>
      <c r="H1868" s="17" t="str">
        <f>IFERROR(__xludf.DUMMYFUNCTION("""COMPUTED_VALUE"""),"аплікатори")</f>
        <v>аплікатори</v>
      </c>
      <c r="I1868" s="19">
        <f>IFERROR(__xludf.DUMMYFUNCTION("""COMPUTED_VALUE"""),0.0725)</f>
        <v>0.0725</v>
      </c>
      <c r="J1868" s="19">
        <f>IFERROR(__xludf.DUMMYFUNCTION("""COMPUTED_VALUE"""),0.145)</f>
        <v>0.145</v>
      </c>
      <c r="K1868" s="19">
        <f>IFERROR(__xludf.DUMMYFUNCTION("""COMPUTED_VALUE"""),0.1813)</f>
        <v>0.1813</v>
      </c>
      <c r="L1868" s="19">
        <f>IFERROR(__xludf.DUMMYFUNCTION("""COMPUTED_VALUE"""),0.2175)</f>
        <v>0.2175</v>
      </c>
      <c r="M1868" s="18">
        <f>IFERROR(__xludf.DUMMYFUNCTION("""COMPUTED_VALUE"""),1.53)</f>
        <v>1.53</v>
      </c>
    </row>
    <row r="1869">
      <c r="A1869" s="13" t="str">
        <f>IFERROR(__xludf.DUMMYFUNCTION("""COMPUTED_VALUE"""),"товари")</f>
        <v>товари</v>
      </c>
      <c r="B1869" s="16" t="str">
        <f>IFERROR(__xludf.DUMMYFUNCTION("""COMPUTED_VALUE"""),"краса та здоров'я")</f>
        <v>краса та здоров'я</v>
      </c>
      <c r="C1869" s="16" t="str">
        <f>IFERROR(__xludf.DUMMYFUNCTION("""COMPUTED_VALUE"""),"косметика по догляду")</f>
        <v>косметика по догляду</v>
      </c>
      <c r="D1869" s="16" t="str">
        <f>IFERROR(__xludf.DUMMYFUNCTION("""COMPUTED_VALUE"""),"догляд за волоссям")</f>
        <v>догляд за волоссям</v>
      </c>
      <c r="E1869" s="16" t="str">
        <f>IFERROR(__xludf.DUMMYFUNCTION("""COMPUTED_VALUE"""),"бальзами і кондиціонери для волосся")</f>
        <v>бальзами і кондиціонери для волосся</v>
      </c>
      <c r="F1869" s="17">
        <f>IFERROR(__xludf.DUMMYFUNCTION("""COMPUTED_VALUE"""),4.0)</f>
        <v>4</v>
      </c>
      <c r="G1869" s="17" t="str">
        <f>IFERROR(__xludf.DUMMYFUNCTION("""COMPUTED_VALUE"""),"330704")</f>
        <v>330704</v>
      </c>
      <c r="H1869" s="17" t="str">
        <f>IFERROR(__xludf.DUMMYFUNCTION("""COMPUTED_VALUE"""),"бальзами і кондиціонери для волосся")</f>
        <v>бальзами і кондиціонери для волосся</v>
      </c>
      <c r="I1869" s="19">
        <f>IFERROR(__xludf.DUMMYFUNCTION("""COMPUTED_VALUE"""),0.0644)</f>
        <v>0.0644</v>
      </c>
      <c r="J1869" s="19">
        <f>IFERROR(__xludf.DUMMYFUNCTION("""COMPUTED_VALUE"""),0.1288)</f>
        <v>0.1288</v>
      </c>
      <c r="K1869" s="19">
        <f>IFERROR(__xludf.DUMMYFUNCTION("""COMPUTED_VALUE"""),0.161)</f>
        <v>0.161</v>
      </c>
      <c r="L1869" s="19">
        <f>IFERROR(__xludf.DUMMYFUNCTION("""COMPUTED_VALUE"""),0.1932)</f>
        <v>0.1932</v>
      </c>
      <c r="M1869" s="18">
        <f>IFERROR(__xludf.DUMMYFUNCTION("""COMPUTED_VALUE"""),1.63)</f>
        <v>1.63</v>
      </c>
    </row>
    <row r="1870">
      <c r="A1870" s="13" t="str">
        <f>IFERROR(__xludf.DUMMYFUNCTION("""COMPUTED_VALUE"""),"товари")</f>
        <v>товари</v>
      </c>
      <c r="B1870" s="16" t="str">
        <f>IFERROR(__xludf.DUMMYFUNCTION("""COMPUTED_VALUE"""),"краса та здоров'я")</f>
        <v>краса та здоров'я</v>
      </c>
      <c r="C1870" s="16" t="str">
        <f>IFERROR(__xludf.DUMMYFUNCTION("""COMPUTED_VALUE"""),"товари для здоров'я")</f>
        <v>товари для здоров'я</v>
      </c>
      <c r="D1870" s="16" t="str">
        <f>IFERROR(__xludf.DUMMYFUNCTION("""COMPUTED_VALUE"""),"масажери")</f>
        <v>масажери</v>
      </c>
      <c r="E1870" s="16" t="str">
        <f>IFERROR(__xludf.DUMMYFUNCTION("""COMPUTED_VALUE"""),"бамбукові палички для масажу")</f>
        <v>бамбукові палички для масажу</v>
      </c>
      <c r="F1870" s="17">
        <f>IFERROR(__xludf.DUMMYFUNCTION("""COMPUTED_VALUE"""),4.0)</f>
        <v>4</v>
      </c>
      <c r="G1870" s="17" t="str">
        <f>IFERROR(__xludf.DUMMYFUNCTION("""COMPUTED_VALUE"""),"162228")</f>
        <v>162228</v>
      </c>
      <c r="H1870" s="17" t="str">
        <f>IFERROR(__xludf.DUMMYFUNCTION("""COMPUTED_VALUE"""),"бамбукові палички для масажу")</f>
        <v>бамбукові палички для масажу</v>
      </c>
      <c r="I1870" s="19">
        <f>IFERROR(__xludf.DUMMYFUNCTION("""COMPUTED_VALUE"""),0.0725)</f>
        <v>0.0725</v>
      </c>
      <c r="J1870" s="19">
        <f>IFERROR(__xludf.DUMMYFUNCTION("""COMPUTED_VALUE"""),0.145)</f>
        <v>0.145</v>
      </c>
      <c r="K1870" s="19">
        <f>IFERROR(__xludf.DUMMYFUNCTION("""COMPUTED_VALUE"""),0.1813)</f>
        <v>0.1813</v>
      </c>
      <c r="L1870" s="19">
        <f>IFERROR(__xludf.DUMMYFUNCTION("""COMPUTED_VALUE"""),0.2175)</f>
        <v>0.2175</v>
      </c>
      <c r="M1870" s="18">
        <f>IFERROR(__xludf.DUMMYFUNCTION("""COMPUTED_VALUE"""),1.53)</f>
        <v>1.53</v>
      </c>
    </row>
    <row r="1871">
      <c r="A1871" s="13" t="str">
        <f>IFERROR(__xludf.DUMMYFUNCTION("""COMPUTED_VALUE"""),"товари")</f>
        <v>товари</v>
      </c>
      <c r="B1871" s="16" t="str">
        <f>IFERROR(__xludf.DUMMYFUNCTION("""COMPUTED_VALUE"""),"краса та здоров'я")</f>
        <v>краса та здоров'я</v>
      </c>
      <c r="C1871" s="16" t="str">
        <f>IFERROR(__xludf.DUMMYFUNCTION("""COMPUTED_VALUE"""),"товари для здоров'я")</f>
        <v>товари для здоров'я</v>
      </c>
      <c r="D1871" s="16" t="str">
        <f>IFERROR(__xludf.DUMMYFUNCTION("""COMPUTED_VALUE"""),"біодобавки")</f>
        <v>біодобавки</v>
      </c>
      <c r="E1871" s="16" t="str">
        <f>IFERROR(__xludf.DUMMYFUNCTION("""COMPUTED_VALUE"""),"біодобавки")</f>
        <v>біодобавки</v>
      </c>
      <c r="F1871" s="17">
        <f>IFERROR(__xludf.DUMMYFUNCTION("""COMPUTED_VALUE"""),3.0)</f>
        <v>3</v>
      </c>
      <c r="G1871" s="17" t="str">
        <f>IFERROR(__xludf.DUMMYFUNCTION("""COMPUTED_VALUE"""),"23005")</f>
        <v>23005</v>
      </c>
      <c r="H1871" s="17" t="str">
        <f>IFERROR(__xludf.DUMMYFUNCTION("""COMPUTED_VALUE"""),"біодобавки")</f>
        <v>біодобавки</v>
      </c>
      <c r="I1871" s="19">
        <f>IFERROR(__xludf.DUMMYFUNCTION("""COMPUTED_VALUE"""),0.0606)</f>
        <v>0.0606</v>
      </c>
      <c r="J1871" s="19">
        <f>IFERROR(__xludf.DUMMYFUNCTION("""COMPUTED_VALUE"""),0.1211)</f>
        <v>0.1211</v>
      </c>
      <c r="K1871" s="19">
        <f>IFERROR(__xludf.DUMMYFUNCTION("""COMPUTED_VALUE"""),0.1514)</f>
        <v>0.1514</v>
      </c>
      <c r="L1871" s="19">
        <f>IFERROR(__xludf.DUMMYFUNCTION("""COMPUTED_VALUE"""),0.1817)</f>
        <v>0.1817</v>
      </c>
      <c r="M1871" s="18">
        <f>IFERROR(__xludf.DUMMYFUNCTION("""COMPUTED_VALUE"""),3.15)</f>
        <v>3.15</v>
      </c>
    </row>
    <row r="1872">
      <c r="A1872" s="13" t="str">
        <f>IFERROR(__xludf.DUMMYFUNCTION("""COMPUTED_VALUE"""),"товари")</f>
        <v>товари</v>
      </c>
      <c r="B1872" s="16" t="str">
        <f>IFERROR(__xludf.DUMMYFUNCTION("""COMPUTED_VALUE"""),"краса та здоров'я")</f>
        <v>краса та здоров'я</v>
      </c>
      <c r="C1872" s="16" t="str">
        <f>IFERROR(__xludf.DUMMYFUNCTION("""COMPUTED_VALUE"""),"декоративна косметика")</f>
        <v>декоративна косметика</v>
      </c>
      <c r="D1872" s="16" t="str">
        <f>IFERROR(__xludf.DUMMYFUNCTION("""COMPUTED_VALUE"""),"макіяж губ")</f>
        <v>макіяж губ</v>
      </c>
      <c r="E1872" s="16" t="str">
        <f>IFERROR(__xludf.DUMMYFUNCTION("""COMPUTED_VALUE"""),"блиск для губ")</f>
        <v>блиск для губ</v>
      </c>
      <c r="F1872" s="17">
        <f>IFERROR(__xludf.DUMMYFUNCTION("""COMPUTED_VALUE"""),4.0)</f>
        <v>4</v>
      </c>
      <c r="G1872" s="17" t="str">
        <f>IFERROR(__xludf.DUMMYFUNCTION("""COMPUTED_VALUE"""),"8210108")</f>
        <v>8210108</v>
      </c>
      <c r="H1872" s="17" t="str">
        <f>IFERROR(__xludf.DUMMYFUNCTION("""COMPUTED_VALUE"""),"блиск для губ")</f>
        <v>блиск для губ</v>
      </c>
      <c r="I1872" s="19">
        <f>IFERROR(__xludf.DUMMYFUNCTION("""COMPUTED_VALUE"""),0.0679)</f>
        <v>0.0679</v>
      </c>
      <c r="J1872" s="19">
        <f>IFERROR(__xludf.DUMMYFUNCTION("""COMPUTED_VALUE"""),0.1357)</f>
        <v>0.1357</v>
      </c>
      <c r="K1872" s="19">
        <f>IFERROR(__xludf.DUMMYFUNCTION("""COMPUTED_VALUE"""),0.1696)</f>
        <v>0.1696</v>
      </c>
      <c r="L1872" s="19">
        <f>IFERROR(__xludf.DUMMYFUNCTION("""COMPUTED_VALUE"""),0.2036)</f>
        <v>0.2036</v>
      </c>
      <c r="M1872" s="18">
        <f>IFERROR(__xludf.DUMMYFUNCTION("""COMPUTED_VALUE"""),1.71)</f>
        <v>1.71</v>
      </c>
    </row>
    <row r="1873">
      <c r="A1873" s="13" t="str">
        <f>IFERROR(__xludf.DUMMYFUNCTION("""COMPUTED_VALUE"""),"товари")</f>
        <v>товари</v>
      </c>
      <c r="B1873" s="16" t="str">
        <f>IFERROR(__xludf.DUMMYFUNCTION("""COMPUTED_VALUE"""),"краса та здоров'я")</f>
        <v>краса та здоров'я</v>
      </c>
      <c r="C1873" s="16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873" s="16" t="str">
        <f>IFERROR(__xludf.DUMMYFUNCTION("""COMPUTED_VALUE"""),"бритви")</f>
        <v>бритви</v>
      </c>
      <c r="E1873" s="16" t="str">
        <f>IFERROR(__xludf.DUMMYFUNCTION("""COMPUTED_VALUE"""),"бритви")</f>
        <v>бритви</v>
      </c>
      <c r="F1873" s="17">
        <f>IFERROR(__xludf.DUMMYFUNCTION("""COMPUTED_VALUE"""),3.0)</f>
        <v>3</v>
      </c>
      <c r="G1873" s="17" t="str">
        <f>IFERROR(__xludf.DUMMYFUNCTION("""COMPUTED_VALUE"""),"3309")</f>
        <v>3309</v>
      </c>
      <c r="H1873" s="17" t="str">
        <f>IFERROR(__xludf.DUMMYFUNCTION("""COMPUTED_VALUE"""),"бритви")</f>
        <v>бритви</v>
      </c>
      <c r="I1873" s="19">
        <f>IFERROR(__xludf.DUMMYFUNCTION("""COMPUTED_VALUE"""),0.061)</f>
        <v>0.061</v>
      </c>
      <c r="J1873" s="19">
        <f>IFERROR(__xludf.DUMMYFUNCTION("""COMPUTED_VALUE"""),0.1219)</f>
        <v>0.1219</v>
      </c>
      <c r="K1873" s="19">
        <f>IFERROR(__xludf.DUMMYFUNCTION("""COMPUTED_VALUE"""),0.1524)</f>
        <v>0.1524</v>
      </c>
      <c r="L1873" s="19">
        <f>IFERROR(__xludf.DUMMYFUNCTION("""COMPUTED_VALUE"""),0.1829)</f>
        <v>0.1829</v>
      </c>
      <c r="M1873" s="18">
        <f>IFERROR(__xludf.DUMMYFUNCTION("""COMPUTED_VALUE"""),1.05)</f>
        <v>1.05</v>
      </c>
    </row>
    <row r="1874">
      <c r="A1874" s="13" t="str">
        <f>IFERROR(__xludf.DUMMYFUNCTION("""COMPUTED_VALUE"""),"товари")</f>
        <v>товари</v>
      </c>
      <c r="B1874" s="16" t="str">
        <f>IFERROR(__xludf.DUMMYFUNCTION("""COMPUTED_VALUE"""),"краса та здоров'я")</f>
        <v>краса та здоров'я</v>
      </c>
      <c r="C1874" s="16" t="str">
        <f>IFERROR(__xludf.DUMMYFUNCTION("""COMPUTED_VALUE"""),"гігієнічні вироби та засоби")</f>
        <v>гігієнічні вироби та засоби</v>
      </c>
      <c r="D1874" s="16" t="str">
        <f>IFERROR(__xludf.DUMMYFUNCTION("""COMPUTED_VALUE"""),"ватно-гігієнічна продукція")</f>
        <v>ватно-гігієнічна продукція</v>
      </c>
      <c r="E1874" s="16" t="str">
        <f>IFERROR(__xludf.DUMMYFUNCTION("""COMPUTED_VALUE"""),"ватні диски")</f>
        <v>ватні диски</v>
      </c>
      <c r="F1874" s="17">
        <f>IFERROR(__xludf.DUMMYFUNCTION("""COMPUTED_VALUE"""),4.0)</f>
        <v>4</v>
      </c>
      <c r="G1874" s="17" t="str">
        <f>IFERROR(__xludf.DUMMYFUNCTION("""COMPUTED_VALUE"""),"15130802")</f>
        <v>15130802</v>
      </c>
      <c r="H1874" s="17" t="str">
        <f>IFERROR(__xludf.DUMMYFUNCTION("""COMPUTED_VALUE"""),"ватні диски")</f>
        <v>ватні диски</v>
      </c>
      <c r="I1874" s="19">
        <f>IFERROR(__xludf.DUMMYFUNCTION("""COMPUTED_VALUE"""),0.0664)</f>
        <v>0.0664</v>
      </c>
      <c r="J1874" s="19">
        <f>IFERROR(__xludf.DUMMYFUNCTION("""COMPUTED_VALUE"""),0.1327)</f>
        <v>0.1327</v>
      </c>
      <c r="K1874" s="19">
        <f>IFERROR(__xludf.DUMMYFUNCTION("""COMPUTED_VALUE"""),0.1659)</f>
        <v>0.1659</v>
      </c>
      <c r="L1874" s="19">
        <f>IFERROR(__xludf.DUMMYFUNCTION("""COMPUTED_VALUE"""),0.1991)</f>
        <v>0.1991</v>
      </c>
      <c r="M1874" s="18">
        <f>IFERROR(__xludf.DUMMYFUNCTION("""COMPUTED_VALUE"""),1.05)</f>
        <v>1.05</v>
      </c>
    </row>
    <row r="1875">
      <c r="A1875" s="13" t="str">
        <f>IFERROR(__xludf.DUMMYFUNCTION("""COMPUTED_VALUE"""),"товари")</f>
        <v>товари</v>
      </c>
      <c r="B1875" s="16" t="str">
        <f>IFERROR(__xludf.DUMMYFUNCTION("""COMPUTED_VALUE"""),"краса та здоров'я")</f>
        <v>краса та здоров'я</v>
      </c>
      <c r="C1875" s="16" t="str">
        <f>IFERROR(__xludf.DUMMYFUNCTION("""COMPUTED_VALUE"""),"гігієнічні вироби та засоби")</f>
        <v>гігієнічні вироби та засоби</v>
      </c>
      <c r="D1875" s="16" t="str">
        <f>IFERROR(__xludf.DUMMYFUNCTION("""COMPUTED_VALUE"""),"ватно-гігієнічна продукція")</f>
        <v>ватно-гігієнічна продукція</v>
      </c>
      <c r="E1875" s="16" t="str">
        <f>IFERROR(__xludf.DUMMYFUNCTION("""COMPUTED_VALUE"""),"ватні палички")</f>
        <v>ватні палички</v>
      </c>
      <c r="F1875" s="17">
        <f>IFERROR(__xludf.DUMMYFUNCTION("""COMPUTED_VALUE"""),4.0)</f>
        <v>4</v>
      </c>
      <c r="G1875" s="17" t="str">
        <f>IFERROR(__xludf.DUMMYFUNCTION("""COMPUTED_VALUE"""),"15130801")</f>
        <v>15130801</v>
      </c>
      <c r="H1875" s="17" t="str">
        <f>IFERROR(__xludf.DUMMYFUNCTION("""COMPUTED_VALUE"""),"ватні палички")</f>
        <v>ватні палички</v>
      </c>
      <c r="I1875" s="19">
        <f>IFERROR(__xludf.DUMMYFUNCTION("""COMPUTED_VALUE"""),0.0664)</f>
        <v>0.0664</v>
      </c>
      <c r="J1875" s="19">
        <f>IFERROR(__xludf.DUMMYFUNCTION("""COMPUTED_VALUE"""),0.1327)</f>
        <v>0.1327</v>
      </c>
      <c r="K1875" s="19">
        <f>IFERROR(__xludf.DUMMYFUNCTION("""COMPUTED_VALUE"""),0.1659)</f>
        <v>0.1659</v>
      </c>
      <c r="L1875" s="19">
        <f>IFERROR(__xludf.DUMMYFUNCTION("""COMPUTED_VALUE"""),0.1991)</f>
        <v>0.1991</v>
      </c>
      <c r="M1875" s="18">
        <f>IFERROR(__xludf.DUMMYFUNCTION("""COMPUTED_VALUE"""),1.05)</f>
        <v>1.05</v>
      </c>
    </row>
    <row r="1876">
      <c r="A1876" s="13" t="str">
        <f>IFERROR(__xludf.DUMMYFUNCTION("""COMPUTED_VALUE"""),"товари")</f>
        <v>товари</v>
      </c>
      <c r="B1876" s="16" t="str">
        <f>IFERROR(__xludf.DUMMYFUNCTION("""COMPUTED_VALUE"""),"краса та здоров'я")</f>
        <v>краса та здоров'я</v>
      </c>
      <c r="C1876" s="16" t="str">
        <f>IFERROR(__xludf.DUMMYFUNCTION("""COMPUTED_VALUE"""),"гігієнічні вироби та засоби")</f>
        <v>гігієнічні вироби та засоби</v>
      </c>
      <c r="D1876" s="16" t="str">
        <f>IFERROR(__xludf.DUMMYFUNCTION("""COMPUTED_VALUE"""),"ватно-гігієнічна продукція")</f>
        <v>ватно-гігієнічна продукція</v>
      </c>
      <c r="E1876" s="16" t="str">
        <f>IFERROR(__xludf.DUMMYFUNCTION("""COMPUTED_VALUE"""),"ватно-гігієнічна продукція, загальне")</f>
        <v>ватно-гігієнічна продукція, загальне</v>
      </c>
      <c r="F1876" s="17">
        <f>IFERROR(__xludf.DUMMYFUNCTION("""COMPUTED_VALUE"""),4.0)</f>
        <v>4</v>
      </c>
      <c r="G1876" s="17" t="str">
        <f>IFERROR(__xludf.DUMMYFUNCTION("""COMPUTED_VALUE"""),"15130803")</f>
        <v>15130803</v>
      </c>
      <c r="H1876" s="17" t="str">
        <f>IFERROR(__xludf.DUMMYFUNCTION("""COMPUTED_VALUE"""),"ватно-гігієнічна продукція, загальне")</f>
        <v>ватно-гігієнічна продукція, загальне</v>
      </c>
      <c r="I1876" s="19">
        <f>IFERROR(__xludf.DUMMYFUNCTION("""COMPUTED_VALUE"""),0.125)</f>
        <v>0.125</v>
      </c>
      <c r="J1876" s="19">
        <f>IFERROR(__xludf.DUMMYFUNCTION("""COMPUTED_VALUE"""),0.25)</f>
        <v>0.25</v>
      </c>
      <c r="K1876" s="19">
        <f>IFERROR(__xludf.DUMMYFUNCTION("""COMPUTED_VALUE"""),0.3125)</f>
        <v>0.3125</v>
      </c>
      <c r="L1876" s="19">
        <f>IFERROR(__xludf.DUMMYFUNCTION("""COMPUTED_VALUE"""),0.375)</f>
        <v>0.375</v>
      </c>
      <c r="M1876" s="18">
        <f>IFERROR(__xludf.DUMMYFUNCTION("""COMPUTED_VALUE"""),4.33)</f>
        <v>4.33</v>
      </c>
    </row>
    <row r="1877">
      <c r="A1877" s="13" t="str">
        <f>IFERROR(__xludf.DUMMYFUNCTION("""COMPUTED_VALUE"""),"товари")</f>
        <v>товари</v>
      </c>
      <c r="B1877" s="16" t="str">
        <f>IFERROR(__xludf.DUMMYFUNCTION("""COMPUTED_VALUE"""),"краса та здоров'я")</f>
        <v>краса та здоров'я</v>
      </c>
      <c r="C1877" s="16" t="str">
        <f>IFERROR(__xludf.DUMMYFUNCTION("""COMPUTED_VALUE"""),"товари для здоров'я")</f>
        <v>товари для здоров'я</v>
      </c>
      <c r="D1877" s="16" t="str">
        <f>IFERROR(__xludf.DUMMYFUNCTION("""COMPUTED_VALUE"""),"домашня медична техніка")</f>
        <v>домашня медична техніка</v>
      </c>
      <c r="E1877" s="16" t="str">
        <f>IFERROR(__xludf.DUMMYFUNCTION("""COMPUTED_VALUE"""),"витратні матеріали для домашньої медтехніки")</f>
        <v>витратні матеріали для домашньої медтехніки</v>
      </c>
      <c r="F1877" s="17">
        <f>IFERROR(__xludf.DUMMYFUNCTION("""COMPUTED_VALUE"""),4.0)</f>
        <v>4</v>
      </c>
      <c r="G1877" s="17" t="str">
        <f>IFERROR(__xludf.DUMMYFUNCTION("""COMPUTED_VALUE"""),"162508")</f>
        <v>162508</v>
      </c>
      <c r="H1877" s="17" t="str">
        <f>IFERROR(__xludf.DUMMYFUNCTION("""COMPUTED_VALUE"""),"витратні матеріали для домашньої медтехніки")</f>
        <v>витратні матеріали для домашньої медтехніки</v>
      </c>
      <c r="I1877" s="19">
        <f>IFERROR(__xludf.DUMMYFUNCTION("""COMPUTED_VALUE"""),0.0694)</f>
        <v>0.0694</v>
      </c>
      <c r="J1877" s="19">
        <f>IFERROR(__xludf.DUMMYFUNCTION("""COMPUTED_VALUE"""),0.1388)</f>
        <v>0.1388</v>
      </c>
      <c r="K1877" s="19">
        <f>IFERROR(__xludf.DUMMYFUNCTION("""COMPUTED_VALUE"""),0.1735)</f>
        <v>0.1735</v>
      </c>
      <c r="L1877" s="19">
        <f>IFERROR(__xludf.DUMMYFUNCTION("""COMPUTED_VALUE"""),0.2082)</f>
        <v>0.2082</v>
      </c>
      <c r="M1877" s="18">
        <f>IFERROR(__xludf.DUMMYFUNCTION("""COMPUTED_VALUE"""),1.53)</f>
        <v>1.53</v>
      </c>
    </row>
    <row r="1878">
      <c r="A1878" s="13" t="str">
        <f>IFERROR(__xludf.DUMMYFUNCTION("""COMPUTED_VALUE"""),"товари")</f>
        <v>товари</v>
      </c>
      <c r="B1878" s="16" t="str">
        <f>IFERROR(__xludf.DUMMYFUNCTION("""COMPUTED_VALUE"""),"краса та здоров'я")</f>
        <v>краса та здоров'я</v>
      </c>
      <c r="C1878" s="16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1878" s="16" t="str">
        <f>IFERROR(__xludf.DUMMYFUNCTION("""COMPUTED_VALUE"""),"витяжки манікюрні")</f>
        <v>витяжки манікюрні</v>
      </c>
      <c r="E1878" s="16" t="str">
        <f>IFERROR(__xludf.DUMMYFUNCTION("""COMPUTED_VALUE"""),"витяжки манікюрні")</f>
        <v>витяжки манікюрні</v>
      </c>
      <c r="F1878" s="17">
        <f>IFERROR(__xludf.DUMMYFUNCTION("""COMPUTED_VALUE"""),3.0)</f>
        <v>3</v>
      </c>
      <c r="G1878" s="17" t="str">
        <f>IFERROR(__xludf.DUMMYFUNCTION("""COMPUTED_VALUE"""),"16180102")</f>
        <v>16180102</v>
      </c>
      <c r="H1878" s="17" t="str">
        <f>IFERROR(__xludf.DUMMYFUNCTION("""COMPUTED_VALUE"""),"витяжки манікюрні")</f>
        <v>витяжки манікюрні</v>
      </c>
      <c r="I1878" s="19">
        <f>IFERROR(__xludf.DUMMYFUNCTION("""COMPUTED_VALUE"""),0.0617)</f>
        <v>0.0617</v>
      </c>
      <c r="J1878" s="19">
        <f>IFERROR(__xludf.DUMMYFUNCTION("""COMPUTED_VALUE"""),0.1234)</f>
        <v>0.1234</v>
      </c>
      <c r="K1878" s="19">
        <f>IFERROR(__xludf.DUMMYFUNCTION("""COMPUTED_VALUE"""),0.1543)</f>
        <v>0.1543</v>
      </c>
      <c r="L1878" s="19">
        <f>IFERROR(__xludf.DUMMYFUNCTION("""COMPUTED_VALUE"""),0.1851)</f>
        <v>0.1851</v>
      </c>
      <c r="M1878" s="18">
        <f>IFERROR(__xludf.DUMMYFUNCTION("""COMPUTED_VALUE"""),3.98)</f>
        <v>3.98</v>
      </c>
    </row>
    <row r="1879">
      <c r="A1879" s="13" t="str">
        <f>IFERROR(__xludf.DUMMYFUNCTION("""COMPUTED_VALUE"""),"товари")</f>
        <v>товари</v>
      </c>
      <c r="B1879" s="16" t="str">
        <f>IFERROR(__xludf.DUMMYFUNCTION("""COMPUTED_VALUE"""),"краса та здоров'я")</f>
        <v>краса та здоров'я</v>
      </c>
      <c r="C1879" s="16" t="str">
        <f>IFERROR(__xludf.DUMMYFUNCTION("""COMPUTED_VALUE"""),"товари для здоров'я")</f>
        <v>товари для здоров'я</v>
      </c>
      <c r="D1879" s="16" t="str">
        <f>IFERROR(__xludf.DUMMYFUNCTION("""COMPUTED_VALUE"""),"масажери")</f>
        <v>масажери</v>
      </c>
      <c r="E1879" s="16" t="str">
        <f>IFERROR(__xludf.DUMMYFUNCTION("""COMPUTED_VALUE"""),"віброплатформи")</f>
        <v>віброплатформи</v>
      </c>
      <c r="F1879" s="17">
        <f>IFERROR(__xludf.DUMMYFUNCTION("""COMPUTED_VALUE"""),4.0)</f>
        <v>4</v>
      </c>
      <c r="G1879" s="17" t="str">
        <f>IFERROR(__xludf.DUMMYFUNCTION("""COMPUTED_VALUE"""),"162225")</f>
        <v>162225</v>
      </c>
      <c r="H1879" s="17" t="str">
        <f>IFERROR(__xludf.DUMMYFUNCTION("""COMPUTED_VALUE"""),"віброплатформи")</f>
        <v>віброплатформи</v>
      </c>
      <c r="I1879" s="19">
        <f>IFERROR(__xludf.DUMMYFUNCTION("""COMPUTED_VALUE"""),0.0725)</f>
        <v>0.0725</v>
      </c>
      <c r="J1879" s="19">
        <f>IFERROR(__xludf.DUMMYFUNCTION("""COMPUTED_VALUE"""),0.145)</f>
        <v>0.145</v>
      </c>
      <c r="K1879" s="19">
        <f>IFERROR(__xludf.DUMMYFUNCTION("""COMPUTED_VALUE"""),0.1813)</f>
        <v>0.1813</v>
      </c>
      <c r="L1879" s="19">
        <f>IFERROR(__xludf.DUMMYFUNCTION("""COMPUTED_VALUE"""),0.2175)</f>
        <v>0.2175</v>
      </c>
      <c r="M1879" s="18">
        <f>IFERROR(__xludf.DUMMYFUNCTION("""COMPUTED_VALUE"""),1.53)</f>
        <v>1.53</v>
      </c>
    </row>
    <row r="1880">
      <c r="A1880" s="13" t="str">
        <f>IFERROR(__xludf.DUMMYFUNCTION("""COMPUTED_VALUE"""),"товари")</f>
        <v>товари</v>
      </c>
      <c r="B1880" s="16" t="str">
        <f>IFERROR(__xludf.DUMMYFUNCTION("""COMPUTED_VALUE"""),"краса та здоров'я")</f>
        <v>краса та здоров'я</v>
      </c>
      <c r="C1880" s="16" t="str">
        <f>IFERROR(__xludf.DUMMYFUNCTION("""COMPUTED_VALUE"""),"товари для схуднення")</f>
        <v>товари для схуднення</v>
      </c>
      <c r="D1880" s="16" t="str">
        <f>IFERROR(__xludf.DUMMYFUNCTION("""COMPUTED_VALUE"""),"відео, аудіо та література для схуднення")</f>
        <v>відео, аудіо та література для схуднення</v>
      </c>
      <c r="E1880" s="16" t="str">
        <f>IFERROR(__xludf.DUMMYFUNCTION("""COMPUTED_VALUE"""),"відео, аудіо та література для схуднення")</f>
        <v>відео, аудіо та література для схуднення</v>
      </c>
      <c r="F1880" s="17">
        <f>IFERROR(__xludf.DUMMYFUNCTION("""COMPUTED_VALUE"""),3.0)</f>
        <v>3</v>
      </c>
      <c r="G1880" s="17" t="str">
        <f>IFERROR(__xludf.DUMMYFUNCTION("""COMPUTED_VALUE"""),"163404")</f>
        <v>163404</v>
      </c>
      <c r="H1880" s="17" t="str">
        <f>IFERROR(__xludf.DUMMYFUNCTION("""COMPUTED_VALUE"""),"відео, аудіо та література для схуднення")</f>
        <v>відео, аудіо та література для схуднення</v>
      </c>
      <c r="I1880" s="19">
        <f>IFERROR(__xludf.DUMMYFUNCTION("""COMPUTED_VALUE"""),0.0557)</f>
        <v>0.0557</v>
      </c>
      <c r="J1880" s="19">
        <f>IFERROR(__xludf.DUMMYFUNCTION("""COMPUTED_VALUE"""),0.1113)</f>
        <v>0.1113</v>
      </c>
      <c r="K1880" s="19">
        <f>IFERROR(__xludf.DUMMYFUNCTION("""COMPUTED_VALUE"""),0.1391)</f>
        <v>0.1391</v>
      </c>
      <c r="L1880" s="19">
        <f>IFERROR(__xludf.DUMMYFUNCTION("""COMPUTED_VALUE"""),0.167)</f>
        <v>0.167</v>
      </c>
      <c r="M1880" s="18">
        <f>IFERROR(__xludf.DUMMYFUNCTION("""COMPUTED_VALUE"""),1.05)</f>
        <v>1.05</v>
      </c>
    </row>
    <row r="1881">
      <c r="A1881" s="13" t="str">
        <f>IFERROR(__xludf.DUMMYFUNCTION("""COMPUTED_VALUE"""),"товари")</f>
        <v>товари</v>
      </c>
      <c r="B1881" s="16" t="str">
        <f>IFERROR(__xludf.DUMMYFUNCTION("""COMPUTED_VALUE"""),"краса та здоров'я")</f>
        <v>краса та здоров'я</v>
      </c>
      <c r="C1881" s="16" t="str">
        <f>IFERROR(__xludf.DUMMYFUNCTION("""COMPUTED_VALUE"""),"косметика по догляду")</f>
        <v>косметика по догляду</v>
      </c>
      <c r="D1881" s="16" t="str">
        <f>IFERROR(__xludf.DUMMYFUNCTION("""COMPUTED_VALUE"""),"догляд за волоссям")</f>
        <v>догляд за волоссям</v>
      </c>
      <c r="E1881" s="16" t="str">
        <f>IFERROR(__xludf.DUMMYFUNCTION("""COMPUTED_VALUE"""),"відтінкові засоби для волосся")</f>
        <v>відтінкові засоби для волосся</v>
      </c>
      <c r="F1881" s="17">
        <f>IFERROR(__xludf.DUMMYFUNCTION("""COMPUTED_VALUE"""),4.0)</f>
        <v>4</v>
      </c>
      <c r="G1881" s="17" t="str">
        <f>IFERROR(__xludf.DUMMYFUNCTION("""COMPUTED_VALUE"""),"330716")</f>
        <v>330716</v>
      </c>
      <c r="H1881" s="17" t="str">
        <f>IFERROR(__xludf.DUMMYFUNCTION("""COMPUTED_VALUE"""),"відтінкові засоби для волосся")</f>
        <v>відтінкові засоби для волосся</v>
      </c>
      <c r="I1881" s="19">
        <f>IFERROR(__xludf.DUMMYFUNCTION("""COMPUTED_VALUE"""),0.0644)</f>
        <v>0.0644</v>
      </c>
      <c r="J1881" s="19">
        <f>IFERROR(__xludf.DUMMYFUNCTION("""COMPUTED_VALUE"""),0.1288)</f>
        <v>0.1288</v>
      </c>
      <c r="K1881" s="19">
        <f>IFERROR(__xludf.DUMMYFUNCTION("""COMPUTED_VALUE"""),0.161)</f>
        <v>0.161</v>
      </c>
      <c r="L1881" s="19">
        <f>IFERROR(__xludf.DUMMYFUNCTION("""COMPUTED_VALUE"""),0.1932)</f>
        <v>0.1932</v>
      </c>
      <c r="M1881" s="18">
        <f>IFERROR(__xludf.DUMMYFUNCTION("""COMPUTED_VALUE"""),1.63)</f>
        <v>1.63</v>
      </c>
    </row>
    <row r="1882">
      <c r="A1882" s="13" t="str">
        <f>IFERROR(__xludf.DUMMYFUNCTION("""COMPUTED_VALUE"""),"товари")</f>
        <v>товари</v>
      </c>
      <c r="B1882" s="16" t="str">
        <f>IFERROR(__xludf.DUMMYFUNCTION("""COMPUTED_VALUE"""),"краса та здоров'я")</f>
        <v>краса та здоров'я</v>
      </c>
      <c r="C1882" s="16" t="str">
        <f>IFERROR(__xludf.DUMMYFUNCTION("""COMPUTED_VALUE"""),"гігієнічні вироби та засоби")</f>
        <v>гігієнічні вироби та засоби</v>
      </c>
      <c r="D1882" s="16" t="str">
        <f>IFERROR(__xludf.DUMMYFUNCTION("""COMPUTED_VALUE"""),"паперово-гігієнічна продукція")</f>
        <v>паперово-гігієнічна продукція</v>
      </c>
      <c r="E1882" s="16" t="str">
        <f>IFERROR(__xludf.DUMMYFUNCTION("""COMPUTED_VALUE"""),"вологі серветки")</f>
        <v>вологі серветки</v>
      </c>
      <c r="F1882" s="17">
        <f>IFERROR(__xludf.DUMMYFUNCTION("""COMPUTED_VALUE"""),4.0)</f>
        <v>4</v>
      </c>
      <c r="G1882" s="17" t="str">
        <f>IFERROR(__xludf.DUMMYFUNCTION("""COMPUTED_VALUE"""),"151301")</f>
        <v>151301</v>
      </c>
      <c r="H1882" s="17" t="str">
        <f>IFERROR(__xludf.DUMMYFUNCTION("""COMPUTED_VALUE"""),"вологі серветки")</f>
        <v>вологі серветки</v>
      </c>
      <c r="I1882" s="19">
        <f>IFERROR(__xludf.DUMMYFUNCTION("""COMPUTED_VALUE"""),0.0617)</f>
        <v>0.0617</v>
      </c>
      <c r="J1882" s="19">
        <f>IFERROR(__xludf.DUMMYFUNCTION("""COMPUTED_VALUE"""),0.1234)</f>
        <v>0.1234</v>
      </c>
      <c r="K1882" s="19">
        <f>IFERROR(__xludf.DUMMYFUNCTION("""COMPUTED_VALUE"""),0.1543)</f>
        <v>0.1543</v>
      </c>
      <c r="L1882" s="19">
        <f>IFERROR(__xludf.DUMMYFUNCTION("""COMPUTED_VALUE"""),0.1851)</f>
        <v>0.1851</v>
      </c>
      <c r="M1882" s="18">
        <f>IFERROR(__xludf.DUMMYFUNCTION("""COMPUTED_VALUE"""),1.8)</f>
        <v>1.8</v>
      </c>
    </row>
    <row r="1883">
      <c r="A1883" s="13" t="str">
        <f>IFERROR(__xludf.DUMMYFUNCTION("""COMPUTED_VALUE"""),"товари")</f>
        <v>товари</v>
      </c>
      <c r="B1883" s="16" t="str">
        <f>IFERROR(__xludf.DUMMYFUNCTION("""COMPUTED_VALUE"""),"краса та здоров'я")</f>
        <v>краса та здоров'я</v>
      </c>
      <c r="C1883" s="16" t="str">
        <f>IFERROR(__xludf.DUMMYFUNCTION("""COMPUTED_VALUE"""),"все для епіляції і депіляції")</f>
        <v>все для епіляції і депіляції</v>
      </c>
      <c r="D1883" s="16" t="str">
        <f>IFERROR(__xludf.DUMMYFUNCTION("""COMPUTED_VALUE"""),"все для епіляції і депіляції, загальне")</f>
        <v>все для епіляції і депіляції, загальне</v>
      </c>
      <c r="E1883" s="16" t="str">
        <f>IFERROR(__xludf.DUMMYFUNCTION("""COMPUTED_VALUE"""),"все для епіляції і депіляції, загальне")</f>
        <v>все для епіляції і депіляції, загальне</v>
      </c>
      <c r="F1883" s="17">
        <f>IFERROR(__xludf.DUMMYFUNCTION("""COMPUTED_VALUE"""),3.0)</f>
        <v>3</v>
      </c>
      <c r="G1883" s="17" t="str">
        <f>IFERROR(__xludf.DUMMYFUNCTION("""COMPUTED_VALUE"""),"163701")</f>
        <v>163701</v>
      </c>
      <c r="H1883" s="17" t="str">
        <f>IFERROR(__xludf.DUMMYFUNCTION("""COMPUTED_VALUE"""),"все для епіляції і депіляції, загальне")</f>
        <v>все для епіляції і депіляції, загальне</v>
      </c>
      <c r="I1883" s="19">
        <f>IFERROR(__xludf.DUMMYFUNCTION("""COMPUTED_VALUE"""),0.125)</f>
        <v>0.125</v>
      </c>
      <c r="J1883" s="19">
        <f>IFERROR(__xludf.DUMMYFUNCTION("""COMPUTED_VALUE"""),0.25)</f>
        <v>0.25</v>
      </c>
      <c r="K1883" s="19">
        <f>IFERROR(__xludf.DUMMYFUNCTION("""COMPUTED_VALUE"""),0.3125)</f>
        <v>0.3125</v>
      </c>
      <c r="L1883" s="19">
        <f>IFERROR(__xludf.DUMMYFUNCTION("""COMPUTED_VALUE"""),0.375)</f>
        <v>0.375</v>
      </c>
      <c r="M1883" s="18">
        <f>IFERROR(__xludf.DUMMYFUNCTION("""COMPUTED_VALUE"""),4.33)</f>
        <v>4.33</v>
      </c>
    </row>
    <row r="1884">
      <c r="A1884" s="13" t="str">
        <f>IFERROR(__xludf.DUMMYFUNCTION("""COMPUTED_VALUE"""),"товари")</f>
        <v>товари</v>
      </c>
      <c r="B1884" s="16" t="str">
        <f>IFERROR(__xludf.DUMMYFUNCTION("""COMPUTED_VALUE"""),"краса та здоров'я")</f>
        <v>краса та здоров'я</v>
      </c>
      <c r="C1884" s="16" t="str">
        <f>IFERROR(__xludf.DUMMYFUNCTION("""COMPUTED_VALUE"""),"все для манікюру і педикюру")</f>
        <v>все для манікюру і педикюру</v>
      </c>
      <c r="D1884" s="16" t="str">
        <f>IFERROR(__xludf.DUMMYFUNCTION("""COMPUTED_VALUE"""),"все для манікюру і педикюру, загальне")</f>
        <v>все для манікюру і педикюру, загальне</v>
      </c>
      <c r="E1884" s="16" t="str">
        <f>IFERROR(__xludf.DUMMYFUNCTION("""COMPUTED_VALUE"""),"все для манікюру і педикюру, загальне")</f>
        <v>все для манікюру і педикюру, загальне</v>
      </c>
      <c r="F1884" s="17">
        <f>IFERROR(__xludf.DUMMYFUNCTION("""COMPUTED_VALUE"""),3.0)</f>
        <v>3</v>
      </c>
      <c r="G1884" s="17" t="str">
        <f>IFERROR(__xludf.DUMMYFUNCTION("""COMPUTED_VALUE"""),"161804")</f>
        <v>161804</v>
      </c>
      <c r="H1884" s="17" t="str">
        <f>IFERROR(__xludf.DUMMYFUNCTION("""COMPUTED_VALUE"""),"все для манікюру і педикюру, загальне")</f>
        <v>все для манікюру і педикюру, загальне</v>
      </c>
      <c r="I1884" s="19">
        <f>IFERROR(__xludf.DUMMYFUNCTION("""COMPUTED_VALUE"""),0.125)</f>
        <v>0.125</v>
      </c>
      <c r="J1884" s="19">
        <f>IFERROR(__xludf.DUMMYFUNCTION("""COMPUTED_VALUE"""),0.25)</f>
        <v>0.25</v>
      </c>
      <c r="K1884" s="19">
        <f>IFERROR(__xludf.DUMMYFUNCTION("""COMPUTED_VALUE"""),0.3125)</f>
        <v>0.3125</v>
      </c>
      <c r="L1884" s="19">
        <f>IFERROR(__xludf.DUMMYFUNCTION("""COMPUTED_VALUE"""),0.375)</f>
        <v>0.375</v>
      </c>
      <c r="M1884" s="18">
        <f>IFERROR(__xludf.DUMMYFUNCTION("""COMPUTED_VALUE"""),4.33)</f>
        <v>4.33</v>
      </c>
    </row>
    <row r="1885">
      <c r="A1885" s="13" t="str">
        <f>IFERROR(__xludf.DUMMYFUNCTION("""COMPUTED_VALUE"""),"товари")</f>
        <v>товари</v>
      </c>
      <c r="B1885" s="16" t="str">
        <f>IFERROR(__xludf.DUMMYFUNCTION("""COMPUTED_VALUE"""),"краса та здоров'я")</f>
        <v>краса та здоров'я</v>
      </c>
      <c r="C1885" s="16" t="str">
        <f>IFERROR(__xludf.DUMMYFUNCTION("""COMPUTED_VALUE"""),"все для манікюру і педикюру")</f>
        <v>все для манікюру і педикюру</v>
      </c>
      <c r="D1885" s="16" t="str">
        <f>IFERROR(__xludf.DUMMYFUNCTION("""COMPUTED_VALUE"""),"гель-лаки")</f>
        <v>гель-лаки</v>
      </c>
      <c r="E1885" s="16" t="str">
        <f>IFERROR(__xludf.DUMMYFUNCTION("""COMPUTED_VALUE"""),"гель-лаки")</f>
        <v>гель-лаки</v>
      </c>
      <c r="F1885" s="17">
        <f>IFERROR(__xludf.DUMMYFUNCTION("""COMPUTED_VALUE"""),3.0)</f>
        <v>3</v>
      </c>
      <c r="G1885" s="17" t="str">
        <f>IFERROR(__xludf.DUMMYFUNCTION("""COMPUTED_VALUE"""),"16180115")</f>
        <v>16180115</v>
      </c>
      <c r="H1885" s="17" t="str">
        <f>IFERROR(__xludf.DUMMYFUNCTION("""COMPUTED_VALUE"""),"гель-лаки")</f>
        <v>гель-лаки</v>
      </c>
      <c r="I1885" s="19">
        <f>IFERROR(__xludf.DUMMYFUNCTION("""COMPUTED_VALUE"""),0.0729)</f>
        <v>0.0729</v>
      </c>
      <c r="J1885" s="19">
        <f>IFERROR(__xludf.DUMMYFUNCTION("""COMPUTED_VALUE"""),0.1458)</f>
        <v>0.1458</v>
      </c>
      <c r="K1885" s="19">
        <f>IFERROR(__xludf.DUMMYFUNCTION("""COMPUTED_VALUE"""),0.1823)</f>
        <v>0.1823</v>
      </c>
      <c r="L1885" s="19">
        <f>IFERROR(__xludf.DUMMYFUNCTION("""COMPUTED_VALUE"""),0.2187)</f>
        <v>0.2187</v>
      </c>
      <c r="M1885" s="18">
        <f>IFERROR(__xludf.DUMMYFUNCTION("""COMPUTED_VALUE"""),3.43)</f>
        <v>3.43</v>
      </c>
    </row>
    <row r="1886">
      <c r="A1886" s="13" t="str">
        <f>IFERROR(__xludf.DUMMYFUNCTION("""COMPUTED_VALUE"""),"товари")</f>
        <v>товари</v>
      </c>
      <c r="B1886" s="16" t="str">
        <f>IFERROR(__xludf.DUMMYFUNCTION("""COMPUTED_VALUE"""),"краса та здоров'я")</f>
        <v>краса та здоров'я</v>
      </c>
      <c r="C1886" s="16" t="str">
        <f>IFERROR(__xludf.DUMMYFUNCTION("""COMPUTED_VALUE"""),"гігієнічні вироби та засоби")</f>
        <v>гігієнічні вироби та засоби</v>
      </c>
      <c r="D1886" s="16" t="str">
        <f>IFERROR(__xludf.DUMMYFUNCTION("""COMPUTED_VALUE"""),"гігієнічні вироби, загальне")</f>
        <v>гігієнічні вироби, загальне</v>
      </c>
      <c r="E1886" s="16" t="str">
        <f>IFERROR(__xludf.DUMMYFUNCTION("""COMPUTED_VALUE"""),"гігієнічні вироби, загальне")</f>
        <v>гігієнічні вироби, загальне</v>
      </c>
      <c r="F1886" s="17">
        <f>IFERROR(__xludf.DUMMYFUNCTION("""COMPUTED_VALUE"""),3.0)</f>
        <v>3</v>
      </c>
      <c r="G1886" s="17" t="str">
        <f>IFERROR(__xludf.DUMMYFUNCTION("""COMPUTED_VALUE"""),"151399")</f>
        <v>151399</v>
      </c>
      <c r="H1886" s="17" t="str">
        <f>IFERROR(__xludf.DUMMYFUNCTION("""COMPUTED_VALUE"""),"гігієнічні вироби, загальне")</f>
        <v>гігієнічні вироби, загальне</v>
      </c>
      <c r="I1886" s="19">
        <f>IFERROR(__xludf.DUMMYFUNCTION("""COMPUTED_VALUE"""),0.125)</f>
        <v>0.125</v>
      </c>
      <c r="J1886" s="19">
        <f>IFERROR(__xludf.DUMMYFUNCTION("""COMPUTED_VALUE"""),0.25)</f>
        <v>0.25</v>
      </c>
      <c r="K1886" s="19">
        <f>IFERROR(__xludf.DUMMYFUNCTION("""COMPUTED_VALUE"""),0.3125)</f>
        <v>0.3125</v>
      </c>
      <c r="L1886" s="19">
        <f>IFERROR(__xludf.DUMMYFUNCTION("""COMPUTED_VALUE"""),0.375)</f>
        <v>0.375</v>
      </c>
      <c r="M1886" s="18">
        <f>IFERROR(__xludf.DUMMYFUNCTION("""COMPUTED_VALUE"""),4.33)</f>
        <v>4.33</v>
      </c>
    </row>
    <row r="1887">
      <c r="A1887" s="13" t="str">
        <f>IFERROR(__xludf.DUMMYFUNCTION("""COMPUTED_VALUE"""),"товари")</f>
        <v>товари</v>
      </c>
      <c r="B1887" s="16" t="str">
        <f>IFERROR(__xludf.DUMMYFUNCTION("""COMPUTED_VALUE"""),"краса та здоров'я")</f>
        <v>краса та здоров'я</v>
      </c>
      <c r="C1887" s="16" t="str">
        <f>IFERROR(__xludf.DUMMYFUNCTION("""COMPUTED_VALUE"""),"гігієнічні вироби та засоби")</f>
        <v>гігієнічні вироби та засоби</v>
      </c>
      <c r="D1887" s="16" t="str">
        <f>IFERROR(__xludf.DUMMYFUNCTION("""COMPUTED_VALUE"""),"ватно-гігієнічна продукція")</f>
        <v>ватно-гігієнічна продукція</v>
      </c>
      <c r="E1887" s="16" t="str">
        <f>IFERROR(__xludf.DUMMYFUNCTION("""COMPUTED_VALUE"""),"гігієнічні вкладиші для пахв")</f>
        <v>гігієнічні вкладиші для пахв</v>
      </c>
      <c r="F1887" s="17">
        <f>IFERROR(__xludf.DUMMYFUNCTION("""COMPUTED_VALUE"""),4.0)</f>
        <v>4</v>
      </c>
      <c r="G1887" s="17" t="str">
        <f>IFERROR(__xludf.DUMMYFUNCTION("""COMPUTED_VALUE"""),"15130804")</f>
        <v>15130804</v>
      </c>
      <c r="H1887" s="17" t="str">
        <f>IFERROR(__xludf.DUMMYFUNCTION("""COMPUTED_VALUE"""),"гігієнічні вкладиші для пахв")</f>
        <v>гігієнічні вкладиші для пахв</v>
      </c>
      <c r="I1887" s="19">
        <f>IFERROR(__xludf.DUMMYFUNCTION("""COMPUTED_VALUE"""),0.0664)</f>
        <v>0.0664</v>
      </c>
      <c r="J1887" s="19">
        <f>IFERROR(__xludf.DUMMYFUNCTION("""COMPUTED_VALUE"""),0.1327)</f>
        <v>0.1327</v>
      </c>
      <c r="K1887" s="19">
        <f>IFERROR(__xludf.DUMMYFUNCTION("""COMPUTED_VALUE"""),0.1659)</f>
        <v>0.1659</v>
      </c>
      <c r="L1887" s="19">
        <f>IFERROR(__xludf.DUMMYFUNCTION("""COMPUTED_VALUE"""),0.1991)</f>
        <v>0.1991</v>
      </c>
      <c r="M1887" s="18">
        <f>IFERROR(__xludf.DUMMYFUNCTION("""COMPUTED_VALUE"""),1.05)</f>
        <v>1.05</v>
      </c>
    </row>
    <row r="1888">
      <c r="A1888" s="13" t="str">
        <f>IFERROR(__xludf.DUMMYFUNCTION("""COMPUTED_VALUE"""),"товари")</f>
        <v>товари</v>
      </c>
      <c r="B1888" s="16" t="str">
        <f>IFERROR(__xludf.DUMMYFUNCTION("""COMPUTED_VALUE"""),"краса та здоров'я")</f>
        <v>краса та здоров'я</v>
      </c>
      <c r="C1888" s="16" t="str">
        <f>IFERROR(__xludf.DUMMYFUNCTION("""COMPUTED_VALUE"""),"товари для здоров'я")</f>
        <v>товари для здоров'я</v>
      </c>
      <c r="D1888" s="16" t="str">
        <f>IFERROR(__xludf.DUMMYFUNCTION("""COMPUTED_VALUE"""),"масажери")</f>
        <v>масажери</v>
      </c>
      <c r="E1888" s="16" t="str">
        <f>IFERROR(__xludf.DUMMYFUNCTION("""COMPUTED_VALUE"""),"гідромасажери")</f>
        <v>гідромасажери</v>
      </c>
      <c r="F1888" s="17">
        <f>IFERROR(__xludf.DUMMYFUNCTION("""COMPUTED_VALUE"""),4.0)</f>
        <v>4</v>
      </c>
      <c r="G1888" s="17" t="str">
        <f>IFERROR(__xludf.DUMMYFUNCTION("""COMPUTED_VALUE"""),"162205")</f>
        <v>162205</v>
      </c>
      <c r="H1888" s="17" t="str">
        <f>IFERROR(__xludf.DUMMYFUNCTION("""COMPUTED_VALUE"""),"гідромасажери")</f>
        <v>гідромасажери</v>
      </c>
      <c r="I1888" s="19">
        <f>IFERROR(__xludf.DUMMYFUNCTION("""COMPUTED_VALUE"""),0.0725)</f>
        <v>0.0725</v>
      </c>
      <c r="J1888" s="19">
        <f>IFERROR(__xludf.DUMMYFUNCTION("""COMPUTED_VALUE"""),0.145)</f>
        <v>0.145</v>
      </c>
      <c r="K1888" s="19">
        <f>IFERROR(__xludf.DUMMYFUNCTION("""COMPUTED_VALUE"""),0.1813)</f>
        <v>0.1813</v>
      </c>
      <c r="L1888" s="19">
        <f>IFERROR(__xludf.DUMMYFUNCTION("""COMPUTED_VALUE"""),0.2175)</f>
        <v>0.2175</v>
      </c>
      <c r="M1888" s="18">
        <f>IFERROR(__xludf.DUMMYFUNCTION("""COMPUTED_VALUE"""),1.53)</f>
        <v>1.53</v>
      </c>
    </row>
    <row r="1889">
      <c r="A1889" s="13" t="str">
        <f>IFERROR(__xludf.DUMMYFUNCTION("""COMPUTED_VALUE"""),"товари")</f>
        <v>товари</v>
      </c>
      <c r="B1889" s="16" t="str">
        <f>IFERROR(__xludf.DUMMYFUNCTION("""COMPUTED_VALUE"""),"краса та здоров'я")</f>
        <v>краса та здоров'я</v>
      </c>
      <c r="C1889" s="16" t="str">
        <f>IFERROR(__xludf.DUMMYFUNCTION("""COMPUTED_VALUE"""),"товари для здоров'я")</f>
        <v>товари для здоров'я</v>
      </c>
      <c r="D1889" s="16" t="str">
        <f>IFERROR(__xludf.DUMMYFUNCTION("""COMPUTED_VALUE"""),"домашня медична техніка")</f>
        <v>домашня медична техніка</v>
      </c>
      <c r="E1889" s="16" t="str">
        <f>IFERROR(__xludf.DUMMYFUNCTION("""COMPUTED_VALUE"""),"глюкометри")</f>
        <v>глюкометри</v>
      </c>
      <c r="F1889" s="17">
        <f>IFERROR(__xludf.DUMMYFUNCTION("""COMPUTED_VALUE"""),4.0)</f>
        <v>4</v>
      </c>
      <c r="G1889" s="17" t="str">
        <f>IFERROR(__xludf.DUMMYFUNCTION("""COMPUTED_VALUE"""),"162501")</f>
        <v>162501</v>
      </c>
      <c r="H1889" s="17" t="str">
        <f>IFERROR(__xludf.DUMMYFUNCTION("""COMPUTED_VALUE"""),"глюкометри")</f>
        <v>глюкометри</v>
      </c>
      <c r="I1889" s="19">
        <f>IFERROR(__xludf.DUMMYFUNCTION("""COMPUTED_VALUE"""),0.0694)</f>
        <v>0.0694</v>
      </c>
      <c r="J1889" s="19">
        <f>IFERROR(__xludf.DUMMYFUNCTION("""COMPUTED_VALUE"""),0.1388)</f>
        <v>0.1388</v>
      </c>
      <c r="K1889" s="19">
        <f>IFERROR(__xludf.DUMMYFUNCTION("""COMPUTED_VALUE"""),0.1735)</f>
        <v>0.1735</v>
      </c>
      <c r="L1889" s="19">
        <f>IFERROR(__xludf.DUMMYFUNCTION("""COMPUTED_VALUE"""),0.2082)</f>
        <v>0.2082</v>
      </c>
      <c r="M1889" s="18">
        <f>IFERROR(__xludf.DUMMYFUNCTION("""COMPUTED_VALUE"""),1.53)</f>
        <v>1.53</v>
      </c>
    </row>
    <row r="1890">
      <c r="A1890" s="13" t="str">
        <f>IFERROR(__xludf.DUMMYFUNCTION("""COMPUTED_VALUE"""),"товари")</f>
        <v>товари</v>
      </c>
      <c r="B1890" s="16" t="str">
        <f>IFERROR(__xludf.DUMMYFUNCTION("""COMPUTED_VALUE"""),"краса та здоров'я")</f>
        <v>краса та здоров'я</v>
      </c>
      <c r="C1890" s="16" t="str">
        <f>IFERROR(__xludf.DUMMYFUNCTION("""COMPUTED_VALUE"""),"косметика по догляду")</f>
        <v>косметика по догляду</v>
      </c>
      <c r="D1890" s="16" t="str">
        <f>IFERROR(__xludf.DUMMYFUNCTION("""COMPUTED_VALUE"""),"догляд за волоссям")</f>
        <v>догляд за волоссям</v>
      </c>
      <c r="E1890" s="16" t="str">
        <f>IFERROR(__xludf.DUMMYFUNCTION("""COMPUTED_VALUE"""),"гребінці та щітки для волосся")</f>
        <v>гребінці та щітки для волосся</v>
      </c>
      <c r="F1890" s="17">
        <f>IFERROR(__xludf.DUMMYFUNCTION("""COMPUTED_VALUE"""),4.0)</f>
        <v>4</v>
      </c>
      <c r="G1890" s="17" t="str">
        <f>IFERROR(__xludf.DUMMYFUNCTION("""COMPUTED_VALUE"""),"331702")</f>
        <v>331702</v>
      </c>
      <c r="H1890" s="17" t="str">
        <f>IFERROR(__xludf.DUMMYFUNCTION("""COMPUTED_VALUE"""),"гребінці та щітки для волосся")</f>
        <v>гребінці та щітки для волосся</v>
      </c>
      <c r="I1890" s="19">
        <f>IFERROR(__xludf.DUMMYFUNCTION("""COMPUTED_VALUE"""),0.0644)</f>
        <v>0.0644</v>
      </c>
      <c r="J1890" s="19">
        <f>IFERROR(__xludf.DUMMYFUNCTION("""COMPUTED_VALUE"""),0.1288)</f>
        <v>0.1288</v>
      </c>
      <c r="K1890" s="19">
        <f>IFERROR(__xludf.DUMMYFUNCTION("""COMPUTED_VALUE"""),0.161)</f>
        <v>0.161</v>
      </c>
      <c r="L1890" s="19">
        <f>IFERROR(__xludf.DUMMYFUNCTION("""COMPUTED_VALUE"""),0.1932)</f>
        <v>0.1932</v>
      </c>
      <c r="M1890" s="18">
        <f>IFERROR(__xludf.DUMMYFUNCTION("""COMPUTED_VALUE"""),1.63)</f>
        <v>1.63</v>
      </c>
    </row>
    <row r="1891">
      <c r="A1891" s="13" t="str">
        <f>IFERROR(__xludf.DUMMYFUNCTION("""COMPUTED_VALUE"""),"товари")</f>
        <v>товари</v>
      </c>
      <c r="B1891" s="16" t="str">
        <f>IFERROR(__xludf.DUMMYFUNCTION("""COMPUTED_VALUE"""),"краса та здоров'я")</f>
        <v>краса та здоров'я</v>
      </c>
      <c r="C1891" s="16" t="str">
        <f>IFERROR(__xludf.DUMMYFUNCTION("""COMPUTED_VALUE"""),"косметика по догляду")</f>
        <v>косметика по догляду</v>
      </c>
      <c r="D1891" s="16" t="str">
        <f>IFERROR(__xludf.DUMMYFUNCTION("""COMPUTED_VALUE"""),"догляд за тілом")</f>
        <v>догляд за тілом</v>
      </c>
      <c r="E1891" s="16" t="str">
        <f>IFERROR(__xludf.DUMMYFUNCTION("""COMPUTED_VALUE"""),"дезодоранти")</f>
        <v>дезодоранти</v>
      </c>
      <c r="F1891" s="17">
        <f>IFERROR(__xludf.DUMMYFUNCTION("""COMPUTED_VALUE"""),4.0)</f>
        <v>4</v>
      </c>
      <c r="G1891" s="17" t="str">
        <f>IFERROR(__xludf.DUMMYFUNCTION("""COMPUTED_VALUE"""),"3302")</f>
        <v>3302</v>
      </c>
      <c r="H1891" s="17" t="str">
        <f>IFERROR(__xludf.DUMMYFUNCTION("""COMPUTED_VALUE"""),"дезодоранти")</f>
        <v>дезодоранти</v>
      </c>
      <c r="I1891" s="19">
        <f>IFERROR(__xludf.DUMMYFUNCTION("""COMPUTED_VALUE"""),0.0656)</f>
        <v>0.0656</v>
      </c>
      <c r="J1891" s="19">
        <f>IFERROR(__xludf.DUMMYFUNCTION("""COMPUTED_VALUE"""),0.1311)</f>
        <v>0.1311</v>
      </c>
      <c r="K1891" s="19">
        <f>IFERROR(__xludf.DUMMYFUNCTION("""COMPUTED_VALUE"""),0.1639)</f>
        <v>0.1639</v>
      </c>
      <c r="L1891" s="19">
        <f>IFERROR(__xludf.DUMMYFUNCTION("""COMPUTED_VALUE"""),0.1967)</f>
        <v>0.1967</v>
      </c>
      <c r="M1891" s="18">
        <f>IFERROR(__xludf.DUMMYFUNCTION("""COMPUTED_VALUE"""),1.8)</f>
        <v>1.8</v>
      </c>
    </row>
    <row r="1892">
      <c r="A1892" s="13" t="str">
        <f>IFERROR(__xludf.DUMMYFUNCTION("""COMPUTED_VALUE"""),"товари")</f>
        <v>товари</v>
      </c>
      <c r="B1892" s="16" t="str">
        <f>IFERROR(__xludf.DUMMYFUNCTION("""COMPUTED_VALUE"""),"краса та здоров'я")</f>
        <v>краса та здоров'я</v>
      </c>
      <c r="C1892" s="16" t="str">
        <f>IFERROR(__xludf.DUMMYFUNCTION("""COMPUTED_VALUE"""),"декоративна косметика")</f>
        <v>декоративна косметика</v>
      </c>
      <c r="D1892" s="16" t="str">
        <f>IFERROR(__xludf.DUMMYFUNCTION("""COMPUTED_VALUE"""),"декоративна косметика, загальне")</f>
        <v>декоративна косметика, загальне</v>
      </c>
      <c r="E1892" s="16" t="str">
        <f>IFERROR(__xludf.DUMMYFUNCTION("""COMPUTED_VALUE"""),"декоративна косметика, загальне")</f>
        <v>декоративна косметика, загальне</v>
      </c>
      <c r="F1892" s="17">
        <f>IFERROR(__xludf.DUMMYFUNCTION("""COMPUTED_VALUE"""),3.0)</f>
        <v>3</v>
      </c>
      <c r="G1892" s="17" t="str">
        <f>IFERROR(__xludf.DUMMYFUNCTION("""COMPUTED_VALUE"""),"8210101")</f>
        <v>8210101</v>
      </c>
      <c r="H1892" s="17" t="str">
        <f>IFERROR(__xludf.DUMMYFUNCTION("""COMPUTED_VALUE"""),"декоративна косметика, загальне")</f>
        <v>декоративна косметика, загальне</v>
      </c>
      <c r="I1892" s="19">
        <f>IFERROR(__xludf.DUMMYFUNCTION("""COMPUTED_VALUE"""),0.125)</f>
        <v>0.125</v>
      </c>
      <c r="J1892" s="19">
        <f>IFERROR(__xludf.DUMMYFUNCTION("""COMPUTED_VALUE"""),0.25)</f>
        <v>0.25</v>
      </c>
      <c r="K1892" s="19">
        <f>IFERROR(__xludf.DUMMYFUNCTION("""COMPUTED_VALUE"""),0.3125)</f>
        <v>0.3125</v>
      </c>
      <c r="L1892" s="19">
        <f>IFERROR(__xludf.DUMMYFUNCTION("""COMPUTED_VALUE"""),0.375)</f>
        <v>0.375</v>
      </c>
      <c r="M1892" s="18">
        <f>IFERROR(__xludf.DUMMYFUNCTION("""COMPUTED_VALUE"""),4.33)</f>
        <v>4.33</v>
      </c>
    </row>
    <row r="1893">
      <c r="A1893" s="13" t="str">
        <f>IFERROR(__xludf.DUMMYFUNCTION("""COMPUTED_VALUE"""),"товари")</f>
        <v>товари</v>
      </c>
      <c r="B1893" s="16" t="str">
        <f>IFERROR(__xludf.DUMMYFUNCTION("""COMPUTED_VALUE"""),"краса та здоров'я")</f>
        <v>краса та здоров'я</v>
      </c>
      <c r="C1893" s="16" t="str">
        <f>IFERROR(__xludf.DUMMYFUNCTION("""COMPUTED_VALUE"""),"дитяча косметика")</f>
        <v>дитяча косметика</v>
      </c>
      <c r="D1893" s="16" t="str">
        <f>IFERROR(__xludf.DUMMYFUNCTION("""COMPUTED_VALUE"""),"дитяча декоративна косметика")</f>
        <v>дитяча декоративна косметика</v>
      </c>
      <c r="E1893" s="16" t="str">
        <f>IFERROR(__xludf.DUMMYFUNCTION("""COMPUTED_VALUE"""),"дитяча декоративна косметика")</f>
        <v>дитяча декоративна косметика</v>
      </c>
      <c r="F1893" s="17">
        <f>IFERROR(__xludf.DUMMYFUNCTION("""COMPUTED_VALUE"""),3.0)</f>
        <v>3</v>
      </c>
      <c r="G1893" s="17" t="str">
        <f>IFERROR(__xludf.DUMMYFUNCTION("""COMPUTED_VALUE"""),"330109")</f>
        <v>330109</v>
      </c>
      <c r="H1893" s="17" t="str">
        <f>IFERROR(__xludf.DUMMYFUNCTION("""COMPUTED_VALUE"""),"дитяча декоративна косметика")</f>
        <v>дитяча декоративна косметика</v>
      </c>
      <c r="I1893" s="19">
        <f>IFERROR(__xludf.DUMMYFUNCTION("""COMPUTED_VALUE"""),0.0672)</f>
        <v>0.0672</v>
      </c>
      <c r="J1893" s="19">
        <f>IFERROR(__xludf.DUMMYFUNCTION("""COMPUTED_VALUE"""),0.1343)</f>
        <v>0.1343</v>
      </c>
      <c r="K1893" s="19">
        <f>IFERROR(__xludf.DUMMYFUNCTION("""COMPUTED_VALUE"""),0.1679)</f>
        <v>0.1679</v>
      </c>
      <c r="L1893" s="19">
        <f>IFERROR(__xludf.DUMMYFUNCTION("""COMPUTED_VALUE"""),0.2015)</f>
        <v>0.2015</v>
      </c>
      <c r="M1893" s="18">
        <f>IFERROR(__xludf.DUMMYFUNCTION("""COMPUTED_VALUE"""),1.05)</f>
        <v>1.05</v>
      </c>
    </row>
    <row r="1894">
      <c r="A1894" s="13" t="str">
        <f>IFERROR(__xludf.DUMMYFUNCTION("""COMPUTED_VALUE"""),"товари")</f>
        <v>товари</v>
      </c>
      <c r="B1894" s="16" t="str">
        <f>IFERROR(__xludf.DUMMYFUNCTION("""COMPUTED_VALUE"""),"краса та здоров'я")</f>
        <v>краса та здоров'я</v>
      </c>
      <c r="C1894" s="16" t="str">
        <f>IFERROR(__xludf.DUMMYFUNCTION("""COMPUTED_VALUE"""),"дитяча косметика")</f>
        <v>дитяча косметика</v>
      </c>
      <c r="D1894" s="16" t="str">
        <f>IFERROR(__xludf.DUMMYFUNCTION("""COMPUTED_VALUE"""),"дитяча зубна паста")</f>
        <v>дитяча зубна паста</v>
      </c>
      <c r="E1894" s="16" t="str">
        <f>IFERROR(__xludf.DUMMYFUNCTION("""COMPUTED_VALUE"""),"дитяча зубна паста")</f>
        <v>дитяча зубна паста</v>
      </c>
      <c r="F1894" s="17">
        <f>IFERROR(__xludf.DUMMYFUNCTION("""COMPUTED_VALUE"""),3.0)</f>
        <v>3</v>
      </c>
      <c r="G1894" s="17" t="str">
        <f>IFERROR(__xludf.DUMMYFUNCTION("""COMPUTED_VALUE"""),"330106")</f>
        <v>330106</v>
      </c>
      <c r="H1894" s="17" t="str">
        <f>IFERROR(__xludf.DUMMYFUNCTION("""COMPUTED_VALUE"""),"дитяча зубна паста")</f>
        <v>дитяча зубна паста</v>
      </c>
      <c r="I1894" s="19">
        <f>IFERROR(__xludf.DUMMYFUNCTION("""COMPUTED_VALUE"""),0.0605)</f>
        <v>0.0605</v>
      </c>
      <c r="J1894" s="19">
        <f>IFERROR(__xludf.DUMMYFUNCTION("""COMPUTED_VALUE"""),0.121)</f>
        <v>0.121</v>
      </c>
      <c r="K1894" s="19">
        <f>IFERROR(__xludf.DUMMYFUNCTION("""COMPUTED_VALUE"""),0.1513)</f>
        <v>0.1513</v>
      </c>
      <c r="L1894" s="19">
        <f>IFERROR(__xludf.DUMMYFUNCTION("""COMPUTED_VALUE"""),0.1815)</f>
        <v>0.1815</v>
      </c>
      <c r="M1894" s="18">
        <f>IFERROR(__xludf.DUMMYFUNCTION("""COMPUTED_VALUE"""),1.05)</f>
        <v>1.05</v>
      </c>
    </row>
    <row r="1895">
      <c r="A1895" s="13" t="str">
        <f>IFERROR(__xludf.DUMMYFUNCTION("""COMPUTED_VALUE"""),"товари")</f>
        <v>товари</v>
      </c>
      <c r="B1895" s="16" t="str">
        <f>IFERROR(__xludf.DUMMYFUNCTION("""COMPUTED_VALUE"""),"краса та здоров'я")</f>
        <v>краса та здоров'я</v>
      </c>
      <c r="C1895" s="16" t="str">
        <f>IFERROR(__xludf.DUMMYFUNCTION("""COMPUTED_VALUE"""),"дитяча косметика")</f>
        <v>дитяча косметика</v>
      </c>
      <c r="D1895" s="16" t="str">
        <f>IFERROR(__xludf.DUMMYFUNCTION("""COMPUTED_VALUE"""),"дитяча присипка")</f>
        <v>дитяча присипка</v>
      </c>
      <c r="E1895" s="16" t="str">
        <f>IFERROR(__xludf.DUMMYFUNCTION("""COMPUTED_VALUE"""),"дитяча присипка")</f>
        <v>дитяча присипка</v>
      </c>
      <c r="F1895" s="17">
        <f>IFERROR(__xludf.DUMMYFUNCTION("""COMPUTED_VALUE"""),3.0)</f>
        <v>3</v>
      </c>
      <c r="G1895" s="17" t="str">
        <f>IFERROR(__xludf.DUMMYFUNCTION("""COMPUTED_VALUE"""),"15010504")</f>
        <v>15010504</v>
      </c>
      <c r="H1895" s="17" t="str">
        <f>IFERROR(__xludf.DUMMYFUNCTION("""COMPUTED_VALUE"""),"дитяча присипка")</f>
        <v>дитяча присипка</v>
      </c>
      <c r="I1895" s="19">
        <f>IFERROR(__xludf.DUMMYFUNCTION("""COMPUTED_VALUE"""),0.0466)</f>
        <v>0.0466</v>
      </c>
      <c r="J1895" s="19">
        <f>IFERROR(__xludf.DUMMYFUNCTION("""COMPUTED_VALUE"""),0.0932)</f>
        <v>0.0932</v>
      </c>
      <c r="K1895" s="19">
        <f>IFERROR(__xludf.DUMMYFUNCTION("""COMPUTED_VALUE"""),0.1165)</f>
        <v>0.1165</v>
      </c>
      <c r="L1895" s="19">
        <f>IFERROR(__xludf.DUMMYFUNCTION("""COMPUTED_VALUE"""),0.1398)</f>
        <v>0.1398</v>
      </c>
      <c r="M1895" s="18">
        <f>IFERROR(__xludf.DUMMYFUNCTION("""COMPUTED_VALUE"""),1.05)</f>
        <v>1.05</v>
      </c>
    </row>
    <row r="1896">
      <c r="A1896" s="13" t="str">
        <f>IFERROR(__xludf.DUMMYFUNCTION("""COMPUTED_VALUE"""),"товари")</f>
        <v>товари</v>
      </c>
      <c r="B1896" s="16" t="str">
        <f>IFERROR(__xludf.DUMMYFUNCTION("""COMPUTED_VALUE"""),"краса та здоров'я")</f>
        <v>краса та здоров'я</v>
      </c>
      <c r="C1896" s="16" t="str">
        <f>IFERROR(__xludf.DUMMYFUNCTION("""COMPUTED_VALUE"""),"дитяча косметика")</f>
        <v>дитяча косметика</v>
      </c>
      <c r="D1896" s="16" t="str">
        <f>IFERROR(__xludf.DUMMYFUNCTION("""COMPUTED_VALUE"""),"дитяча сонцезахисна косметика")</f>
        <v>дитяча сонцезахисна косметика</v>
      </c>
      <c r="E1896" s="16" t="str">
        <f>IFERROR(__xludf.DUMMYFUNCTION("""COMPUTED_VALUE"""),"дитяча сонцезахисна косметика")</f>
        <v>дитяча сонцезахисна косметика</v>
      </c>
      <c r="F1896" s="17">
        <f>IFERROR(__xludf.DUMMYFUNCTION("""COMPUTED_VALUE"""),3.0)</f>
        <v>3</v>
      </c>
      <c r="G1896" s="17" t="str">
        <f>IFERROR(__xludf.DUMMYFUNCTION("""COMPUTED_VALUE"""),"330107")</f>
        <v>330107</v>
      </c>
      <c r="H1896" s="17" t="str">
        <f>IFERROR(__xludf.DUMMYFUNCTION("""COMPUTED_VALUE"""),"дитяча сонцезахисна косметика")</f>
        <v>дитяча сонцезахисна косметика</v>
      </c>
      <c r="I1896" s="19">
        <f>IFERROR(__xludf.DUMMYFUNCTION("""COMPUTED_VALUE"""),0.0351)</f>
        <v>0.0351</v>
      </c>
      <c r="J1896" s="19">
        <f>IFERROR(__xludf.DUMMYFUNCTION("""COMPUTED_VALUE"""),0.0702)</f>
        <v>0.0702</v>
      </c>
      <c r="K1896" s="19">
        <f>IFERROR(__xludf.DUMMYFUNCTION("""COMPUTED_VALUE"""),0.0878)</f>
        <v>0.0878</v>
      </c>
      <c r="L1896" s="19">
        <f>IFERROR(__xludf.DUMMYFUNCTION("""COMPUTED_VALUE"""),0.1053)</f>
        <v>0.1053</v>
      </c>
      <c r="M1896" s="18">
        <f>IFERROR(__xludf.DUMMYFUNCTION("""COMPUTED_VALUE"""),1.05)</f>
        <v>1.05</v>
      </c>
    </row>
    <row r="1897">
      <c r="A1897" s="13" t="str">
        <f>IFERROR(__xludf.DUMMYFUNCTION("""COMPUTED_VALUE"""),"товари")</f>
        <v>товари</v>
      </c>
      <c r="B1897" s="16" t="str">
        <f>IFERROR(__xludf.DUMMYFUNCTION("""COMPUTED_VALUE"""),"краса та здоров'я")</f>
        <v>краса та здоров'я</v>
      </c>
      <c r="C1897" s="16" t="str">
        <f>IFERROR(__xludf.DUMMYFUNCTION("""COMPUTED_VALUE"""),"дитяча косметика")</f>
        <v>дитяча косметика</v>
      </c>
      <c r="D1897" s="16" t="str">
        <f>IFERROR(__xludf.DUMMYFUNCTION("""COMPUTED_VALUE"""),"дитяче мило")</f>
        <v>дитяче мило</v>
      </c>
      <c r="E1897" s="16" t="str">
        <f>IFERROR(__xludf.DUMMYFUNCTION("""COMPUTED_VALUE"""),"дитяче мило")</f>
        <v>дитяче мило</v>
      </c>
      <c r="F1897" s="17">
        <f>IFERROR(__xludf.DUMMYFUNCTION("""COMPUTED_VALUE"""),3.0)</f>
        <v>3</v>
      </c>
      <c r="G1897" s="17" t="str">
        <f>IFERROR(__xludf.DUMMYFUNCTION("""COMPUTED_VALUE"""),"330105")</f>
        <v>330105</v>
      </c>
      <c r="H1897" s="17" t="str">
        <f>IFERROR(__xludf.DUMMYFUNCTION("""COMPUTED_VALUE"""),"дитяче мило")</f>
        <v>дитяче мило</v>
      </c>
      <c r="I1897" s="19">
        <f>IFERROR(__xludf.DUMMYFUNCTION("""COMPUTED_VALUE"""),0.0351)</f>
        <v>0.0351</v>
      </c>
      <c r="J1897" s="19">
        <f>IFERROR(__xludf.DUMMYFUNCTION("""COMPUTED_VALUE"""),0.0702)</f>
        <v>0.0702</v>
      </c>
      <c r="K1897" s="19">
        <f>IFERROR(__xludf.DUMMYFUNCTION("""COMPUTED_VALUE"""),0.0878)</f>
        <v>0.0878</v>
      </c>
      <c r="L1897" s="19">
        <f>IFERROR(__xludf.DUMMYFUNCTION("""COMPUTED_VALUE"""),0.1053)</f>
        <v>0.1053</v>
      </c>
      <c r="M1897" s="18">
        <f>IFERROR(__xludf.DUMMYFUNCTION("""COMPUTED_VALUE"""),1.05)</f>
        <v>1.05</v>
      </c>
    </row>
    <row r="1898">
      <c r="A1898" s="13" t="str">
        <f>IFERROR(__xludf.DUMMYFUNCTION("""COMPUTED_VALUE"""),"товари")</f>
        <v>товари</v>
      </c>
      <c r="B1898" s="16" t="str">
        <f>IFERROR(__xludf.DUMMYFUNCTION("""COMPUTED_VALUE"""),"краса та здоров'я")</f>
        <v>краса та здоров'я</v>
      </c>
      <c r="C1898" s="16" t="str">
        <f>IFERROR(__xludf.DUMMYFUNCTION("""COMPUTED_VALUE"""),"дитяча косметика")</f>
        <v>дитяча косметика</v>
      </c>
      <c r="D1898" s="16" t="str">
        <f>IFERROR(__xludf.DUMMYFUNCTION("""COMPUTED_VALUE"""),"дитячий крем, молочко, масло")</f>
        <v>дитячий крем, молочко, масло</v>
      </c>
      <c r="E1898" s="16" t="str">
        <f>IFERROR(__xludf.DUMMYFUNCTION("""COMPUTED_VALUE"""),"дитячий крем, молочко, масло")</f>
        <v>дитячий крем, молочко, масло</v>
      </c>
      <c r="F1898" s="17">
        <f>IFERROR(__xludf.DUMMYFUNCTION("""COMPUTED_VALUE"""),3.0)</f>
        <v>3</v>
      </c>
      <c r="G1898" s="17" t="str">
        <f>IFERROR(__xludf.DUMMYFUNCTION("""COMPUTED_VALUE"""),"330108")</f>
        <v>330108</v>
      </c>
      <c r="H1898" s="17" t="str">
        <f>IFERROR(__xludf.DUMMYFUNCTION("""COMPUTED_VALUE"""),"дитячий крем, молочко, масло")</f>
        <v>дитячий крем, молочко, масло</v>
      </c>
      <c r="I1898" s="19">
        <f>IFERROR(__xludf.DUMMYFUNCTION("""COMPUTED_VALUE"""),0.0557)</f>
        <v>0.0557</v>
      </c>
      <c r="J1898" s="19">
        <f>IFERROR(__xludf.DUMMYFUNCTION("""COMPUTED_VALUE"""),0.1113)</f>
        <v>0.1113</v>
      </c>
      <c r="K1898" s="19">
        <f>IFERROR(__xludf.DUMMYFUNCTION("""COMPUTED_VALUE"""),0.1391)</f>
        <v>0.1391</v>
      </c>
      <c r="L1898" s="19">
        <f>IFERROR(__xludf.DUMMYFUNCTION("""COMPUTED_VALUE"""),0.167)</f>
        <v>0.167</v>
      </c>
      <c r="M1898" s="18">
        <f>IFERROR(__xludf.DUMMYFUNCTION("""COMPUTED_VALUE"""),1.05)</f>
        <v>1.05</v>
      </c>
    </row>
    <row r="1899">
      <c r="A1899" s="13" t="str">
        <f>IFERROR(__xludf.DUMMYFUNCTION("""COMPUTED_VALUE"""),"товари")</f>
        <v>товари</v>
      </c>
      <c r="B1899" s="16" t="str">
        <f>IFERROR(__xludf.DUMMYFUNCTION("""COMPUTED_VALUE"""),"краса та здоров'я")</f>
        <v>краса та здоров'я</v>
      </c>
      <c r="C1899" s="16" t="str">
        <f>IFERROR(__xludf.DUMMYFUNCTION("""COMPUTED_VALUE"""),"дитяча косметика")</f>
        <v>дитяча косметика</v>
      </c>
      <c r="D1899" s="16" t="str">
        <f>IFERROR(__xludf.DUMMYFUNCTION("""COMPUTED_VALUE"""),"дитячі гелі для душу і пінки для купання")</f>
        <v>дитячі гелі для душу і пінки для купання</v>
      </c>
      <c r="E1899" s="16" t="str">
        <f>IFERROR(__xludf.DUMMYFUNCTION("""COMPUTED_VALUE"""),"дитячі гелі для душу і пінки для купання")</f>
        <v>дитячі гелі для душу і пінки для купання</v>
      </c>
      <c r="F1899" s="17">
        <f>IFERROR(__xludf.DUMMYFUNCTION("""COMPUTED_VALUE"""),3.0)</f>
        <v>3</v>
      </c>
      <c r="G1899" s="17" t="str">
        <f>IFERROR(__xludf.DUMMYFUNCTION("""COMPUTED_VALUE"""),"330103")</f>
        <v>330103</v>
      </c>
      <c r="H1899" s="17" t="str">
        <f>IFERROR(__xludf.DUMMYFUNCTION("""COMPUTED_VALUE"""),"дитячі гелі для душу і пінки для купання")</f>
        <v>дитячі гелі для душу і пінки для купання</v>
      </c>
      <c r="I1899" s="19">
        <f>IFERROR(__xludf.DUMMYFUNCTION("""COMPUTED_VALUE"""),0.0605)</f>
        <v>0.0605</v>
      </c>
      <c r="J1899" s="19">
        <f>IFERROR(__xludf.DUMMYFUNCTION("""COMPUTED_VALUE"""),0.121)</f>
        <v>0.121</v>
      </c>
      <c r="K1899" s="19">
        <f>IFERROR(__xludf.DUMMYFUNCTION("""COMPUTED_VALUE"""),0.1513)</f>
        <v>0.1513</v>
      </c>
      <c r="L1899" s="19">
        <f>IFERROR(__xludf.DUMMYFUNCTION("""COMPUTED_VALUE"""),0.1815)</f>
        <v>0.1815</v>
      </c>
      <c r="M1899" s="18">
        <f>IFERROR(__xludf.DUMMYFUNCTION("""COMPUTED_VALUE"""),1.05)</f>
        <v>1.05</v>
      </c>
    </row>
    <row r="1900">
      <c r="A1900" s="13" t="str">
        <f>IFERROR(__xludf.DUMMYFUNCTION("""COMPUTED_VALUE"""),"товари")</f>
        <v>товари</v>
      </c>
      <c r="B1900" s="16" t="str">
        <f>IFERROR(__xludf.DUMMYFUNCTION("""COMPUTED_VALUE"""),"краса та здоров'я")</f>
        <v>краса та здоров'я</v>
      </c>
      <c r="C1900" s="16" t="str">
        <f>IFERROR(__xludf.DUMMYFUNCTION("""COMPUTED_VALUE"""),"дитяча косметика")</f>
        <v>дитяча косметика</v>
      </c>
      <c r="D1900" s="16" t="str">
        <f>IFERROR(__xludf.DUMMYFUNCTION("""COMPUTED_VALUE"""),"дитячі набори по догляду")</f>
        <v>дитячі набори по догляду</v>
      </c>
      <c r="E1900" s="16" t="str">
        <f>IFERROR(__xludf.DUMMYFUNCTION("""COMPUTED_VALUE"""),"дитячі набори по догляду")</f>
        <v>дитячі набори по догляду</v>
      </c>
      <c r="F1900" s="17">
        <f>IFERROR(__xludf.DUMMYFUNCTION("""COMPUTED_VALUE"""),3.0)</f>
        <v>3</v>
      </c>
      <c r="G1900" s="17" t="str">
        <f>IFERROR(__xludf.DUMMYFUNCTION("""COMPUTED_VALUE"""),"330110")</f>
        <v>330110</v>
      </c>
      <c r="H1900" s="17" t="str">
        <f>IFERROR(__xludf.DUMMYFUNCTION("""COMPUTED_VALUE"""),"дитячі набори по догляду")</f>
        <v>дитячі набори по догляду</v>
      </c>
      <c r="I1900" s="19">
        <f>IFERROR(__xludf.DUMMYFUNCTION("""COMPUTED_VALUE"""),0.0507)</f>
        <v>0.0507</v>
      </c>
      <c r="J1900" s="19">
        <f>IFERROR(__xludf.DUMMYFUNCTION("""COMPUTED_VALUE"""),0.1014)</f>
        <v>0.1014</v>
      </c>
      <c r="K1900" s="19">
        <f>IFERROR(__xludf.DUMMYFUNCTION("""COMPUTED_VALUE"""),0.1268)</f>
        <v>0.1268</v>
      </c>
      <c r="L1900" s="19">
        <f>IFERROR(__xludf.DUMMYFUNCTION("""COMPUTED_VALUE"""),0.1521)</f>
        <v>0.1521</v>
      </c>
      <c r="M1900" s="18">
        <f>IFERROR(__xludf.DUMMYFUNCTION("""COMPUTED_VALUE"""),1.05)</f>
        <v>1.05</v>
      </c>
    </row>
    <row r="1901">
      <c r="A1901" s="13" t="str">
        <f>IFERROR(__xludf.DUMMYFUNCTION("""COMPUTED_VALUE"""),"товари")</f>
        <v>товари</v>
      </c>
      <c r="B1901" s="16" t="str">
        <f>IFERROR(__xludf.DUMMYFUNCTION("""COMPUTED_VALUE"""),"краса та здоров'я")</f>
        <v>краса та здоров'я</v>
      </c>
      <c r="C1901" s="16" t="str">
        <f>IFERROR(__xludf.DUMMYFUNCTION("""COMPUTED_VALUE"""),"дитяча косметика")</f>
        <v>дитяча косметика</v>
      </c>
      <c r="D1901" s="16" t="str">
        <f>IFERROR(__xludf.DUMMYFUNCTION("""COMPUTED_VALUE"""),"дитячі шампуні")</f>
        <v>дитячі шампуні</v>
      </c>
      <c r="E1901" s="16" t="str">
        <f>IFERROR(__xludf.DUMMYFUNCTION("""COMPUTED_VALUE"""),"дитячі шампуні")</f>
        <v>дитячі шампуні</v>
      </c>
      <c r="F1901" s="17">
        <f>IFERROR(__xludf.DUMMYFUNCTION("""COMPUTED_VALUE"""),3.0)</f>
        <v>3</v>
      </c>
      <c r="G1901" s="17" t="str">
        <f>IFERROR(__xludf.DUMMYFUNCTION("""COMPUTED_VALUE"""),"330101")</f>
        <v>330101</v>
      </c>
      <c r="H1901" s="17" t="str">
        <f>IFERROR(__xludf.DUMMYFUNCTION("""COMPUTED_VALUE"""),"дитячі шампуні")</f>
        <v>дитячі шампуні</v>
      </c>
      <c r="I1901" s="19">
        <f>IFERROR(__xludf.DUMMYFUNCTION("""COMPUTED_VALUE"""),0.0466)</f>
        <v>0.0466</v>
      </c>
      <c r="J1901" s="19">
        <f>IFERROR(__xludf.DUMMYFUNCTION("""COMPUTED_VALUE"""),0.0932)</f>
        <v>0.0932</v>
      </c>
      <c r="K1901" s="19">
        <f>IFERROR(__xludf.DUMMYFUNCTION("""COMPUTED_VALUE"""),0.1165)</f>
        <v>0.1165</v>
      </c>
      <c r="L1901" s="19">
        <f>IFERROR(__xludf.DUMMYFUNCTION("""COMPUTED_VALUE"""),0.1398)</f>
        <v>0.1398</v>
      </c>
      <c r="M1901" s="18">
        <f>IFERROR(__xludf.DUMMYFUNCTION("""COMPUTED_VALUE"""),1.05)</f>
        <v>1.05</v>
      </c>
    </row>
    <row r="1902">
      <c r="A1902" s="13" t="str">
        <f>IFERROR(__xludf.DUMMYFUNCTION("""COMPUTED_VALUE"""),"товари")</f>
        <v>товари</v>
      </c>
      <c r="B1902" s="16" t="str">
        <f>IFERROR(__xludf.DUMMYFUNCTION("""COMPUTED_VALUE"""),"краса та здоров'я")</f>
        <v>краса та здоров'я</v>
      </c>
      <c r="C1902" s="16" t="str">
        <f>IFERROR(__xludf.DUMMYFUNCTION("""COMPUTED_VALUE"""),"товари для здоров'я")</f>
        <v>товари для здоров'я</v>
      </c>
      <c r="D1902" s="16" t="str">
        <f>IFERROR(__xludf.DUMMYFUNCTION("""COMPUTED_VALUE"""),"домашня медична техніка")</f>
        <v>домашня медична техніка</v>
      </c>
      <c r="E1902" s="16" t="str">
        <f>IFERROR(__xludf.DUMMYFUNCTION("""COMPUTED_VALUE"""),"дихальні тренажери")</f>
        <v>дихальні тренажери</v>
      </c>
      <c r="F1902" s="17">
        <f>IFERROR(__xludf.DUMMYFUNCTION("""COMPUTED_VALUE"""),4.0)</f>
        <v>4</v>
      </c>
      <c r="G1902" s="17" t="str">
        <f>IFERROR(__xludf.DUMMYFUNCTION("""COMPUTED_VALUE"""),"162527")</f>
        <v>162527</v>
      </c>
      <c r="H1902" s="17" t="str">
        <f>IFERROR(__xludf.DUMMYFUNCTION("""COMPUTED_VALUE"""),"дихальні тренажери")</f>
        <v>дихальні тренажери</v>
      </c>
      <c r="I1902" s="19">
        <f>IFERROR(__xludf.DUMMYFUNCTION("""COMPUTED_VALUE"""),0.0615)</f>
        <v>0.0615</v>
      </c>
      <c r="J1902" s="19">
        <f>IFERROR(__xludf.DUMMYFUNCTION("""COMPUTED_VALUE"""),0.123)</f>
        <v>0.123</v>
      </c>
      <c r="K1902" s="19">
        <f>IFERROR(__xludf.DUMMYFUNCTION("""COMPUTED_VALUE"""),0.1538)</f>
        <v>0.1538</v>
      </c>
      <c r="L1902" s="19">
        <f>IFERROR(__xludf.DUMMYFUNCTION("""COMPUTED_VALUE"""),0.1845)</f>
        <v>0.1845</v>
      </c>
      <c r="M1902" s="18">
        <f>IFERROR(__xludf.DUMMYFUNCTION("""COMPUTED_VALUE"""),1.53)</f>
        <v>1.53</v>
      </c>
    </row>
    <row r="1903">
      <c r="A1903" s="13" t="str">
        <f>IFERROR(__xludf.DUMMYFUNCTION("""COMPUTED_VALUE"""),"товари")</f>
        <v>товари</v>
      </c>
      <c r="B1903" s="16" t="str">
        <f>IFERROR(__xludf.DUMMYFUNCTION("""COMPUTED_VALUE"""),"краса та здоров'я")</f>
        <v>краса та здоров'я</v>
      </c>
      <c r="C1903" s="16" t="str">
        <f>IFERROR(__xludf.DUMMYFUNCTION("""COMPUTED_VALUE"""),"товари для вагітних і годуючих")</f>
        <v>товари для вагітних і годуючих</v>
      </c>
      <c r="D1903" s="16" t="str">
        <f>IFERROR(__xludf.DUMMYFUNCTION("""COMPUTED_VALUE"""),"до- та післяпологові бандажі ")</f>
        <v>до- та післяпологові бандажі </v>
      </c>
      <c r="E1903" s="16" t="str">
        <f>IFERROR(__xludf.DUMMYFUNCTION("""COMPUTED_VALUE"""),"до- та післяпологові бандажі ")</f>
        <v>до- та післяпологові бандажі </v>
      </c>
      <c r="F1903" s="17">
        <f>IFERROR(__xludf.DUMMYFUNCTION("""COMPUTED_VALUE"""),3.0)</f>
        <v>3</v>
      </c>
      <c r="G1903" s="17" t="str">
        <f>IFERROR(__xludf.DUMMYFUNCTION("""COMPUTED_VALUE"""),"163301")</f>
        <v>163301</v>
      </c>
      <c r="H1903" s="17" t="str">
        <f>IFERROR(__xludf.DUMMYFUNCTION("""COMPUTED_VALUE"""),"до- та післяпологові бандажі ")</f>
        <v>до- та післяпологові бандажі </v>
      </c>
      <c r="I1903" s="19">
        <f>IFERROR(__xludf.DUMMYFUNCTION("""COMPUTED_VALUE"""),0.072)</f>
        <v>0.072</v>
      </c>
      <c r="J1903" s="19">
        <f>IFERROR(__xludf.DUMMYFUNCTION("""COMPUTED_VALUE"""),0.144)</f>
        <v>0.144</v>
      </c>
      <c r="K1903" s="19">
        <f>IFERROR(__xludf.DUMMYFUNCTION("""COMPUTED_VALUE"""),0.18)</f>
        <v>0.18</v>
      </c>
      <c r="L1903" s="19">
        <f>IFERROR(__xludf.DUMMYFUNCTION("""COMPUTED_VALUE"""),0.216)</f>
        <v>0.216</v>
      </c>
      <c r="M1903" s="18">
        <f>IFERROR(__xludf.DUMMYFUNCTION("""COMPUTED_VALUE"""),2.34)</f>
        <v>2.34</v>
      </c>
    </row>
    <row r="1904">
      <c r="A1904" s="13" t="str">
        <f>IFERROR(__xludf.DUMMYFUNCTION("""COMPUTED_VALUE"""),"товари")</f>
        <v>товари</v>
      </c>
      <c r="B1904" s="16" t="str">
        <f>IFERROR(__xludf.DUMMYFUNCTION("""COMPUTED_VALUE"""),"краса та здоров'я")</f>
        <v>краса та здоров'я</v>
      </c>
      <c r="C1904" s="16" t="str">
        <f>IFERROR(__xludf.DUMMYFUNCTION("""COMPUTED_VALUE"""),"товари для здоров'я")</f>
        <v>товари для здоров'я</v>
      </c>
      <c r="D1904" s="16" t="str">
        <f>IFERROR(__xludf.DUMMYFUNCTION("""COMPUTED_VALUE"""),"домашня медична техніка")</f>
        <v>домашня медична техніка</v>
      </c>
      <c r="E1904" s="16" t="str">
        <f>IFERROR(__xludf.DUMMYFUNCTION("""COMPUTED_VALUE"""),"домашні інгалятори ")</f>
        <v>домашні інгалятори </v>
      </c>
      <c r="F1904" s="17">
        <f>IFERROR(__xludf.DUMMYFUNCTION("""COMPUTED_VALUE"""),4.0)</f>
        <v>4</v>
      </c>
      <c r="G1904" s="17" t="str">
        <f>IFERROR(__xludf.DUMMYFUNCTION("""COMPUTED_VALUE"""),"162503")</f>
        <v>162503</v>
      </c>
      <c r="H1904" s="17" t="str">
        <f>IFERROR(__xludf.DUMMYFUNCTION("""COMPUTED_VALUE"""),"домашні інгалятори ")</f>
        <v>домашні інгалятори </v>
      </c>
      <c r="I1904" s="19">
        <f>IFERROR(__xludf.DUMMYFUNCTION("""COMPUTED_VALUE"""),0.0694)</f>
        <v>0.0694</v>
      </c>
      <c r="J1904" s="19">
        <f>IFERROR(__xludf.DUMMYFUNCTION("""COMPUTED_VALUE"""),0.1388)</f>
        <v>0.1388</v>
      </c>
      <c r="K1904" s="19">
        <f>IFERROR(__xludf.DUMMYFUNCTION("""COMPUTED_VALUE"""),0.1735)</f>
        <v>0.1735</v>
      </c>
      <c r="L1904" s="19">
        <f>IFERROR(__xludf.DUMMYFUNCTION("""COMPUTED_VALUE"""),0.2082)</f>
        <v>0.2082</v>
      </c>
      <c r="M1904" s="18">
        <f>IFERROR(__xludf.DUMMYFUNCTION("""COMPUTED_VALUE"""),1.53)</f>
        <v>1.53</v>
      </c>
    </row>
    <row r="1905">
      <c r="A1905" s="13" t="str">
        <f>IFERROR(__xludf.DUMMYFUNCTION("""COMPUTED_VALUE"""),"товари")</f>
        <v>товари</v>
      </c>
      <c r="B1905" s="16" t="str">
        <f>IFERROR(__xludf.DUMMYFUNCTION("""COMPUTED_VALUE"""),"краса та здоров'я")</f>
        <v>краса та здоров'я</v>
      </c>
      <c r="C1905" s="16" t="str">
        <f>IFERROR(__xludf.DUMMYFUNCTION("""COMPUTED_VALUE"""),"товари для здоров'я")</f>
        <v>товари для здоров'я</v>
      </c>
      <c r="D1905" s="16" t="str">
        <f>IFERROR(__xludf.DUMMYFUNCTION("""COMPUTED_VALUE"""),"домашня медична техніка")</f>
        <v>домашня медична техніка</v>
      </c>
      <c r="E1905" s="16" t="str">
        <f>IFERROR(__xludf.DUMMYFUNCTION("""COMPUTED_VALUE"""),"домашні кварцеві лампи і опромінювачі ")</f>
        <v>домашні кварцеві лампи і опромінювачі </v>
      </c>
      <c r="F1905" s="17">
        <f>IFERROR(__xludf.DUMMYFUNCTION("""COMPUTED_VALUE"""),4.0)</f>
        <v>4</v>
      </c>
      <c r="G1905" s="17" t="str">
        <f>IFERROR(__xludf.DUMMYFUNCTION("""COMPUTED_VALUE"""),"162505")</f>
        <v>162505</v>
      </c>
      <c r="H1905" s="17" t="str">
        <f>IFERROR(__xludf.DUMMYFUNCTION("""COMPUTED_VALUE"""),"домашні кварцеві лампи і опромінювачі ")</f>
        <v>домашні кварцеві лампи і опромінювачі </v>
      </c>
      <c r="I1905" s="19">
        <f>IFERROR(__xludf.DUMMYFUNCTION("""COMPUTED_VALUE"""),0.0694)</f>
        <v>0.0694</v>
      </c>
      <c r="J1905" s="19">
        <f>IFERROR(__xludf.DUMMYFUNCTION("""COMPUTED_VALUE"""),0.1388)</f>
        <v>0.1388</v>
      </c>
      <c r="K1905" s="19">
        <f>IFERROR(__xludf.DUMMYFUNCTION("""COMPUTED_VALUE"""),0.1735)</f>
        <v>0.1735</v>
      </c>
      <c r="L1905" s="19">
        <f>IFERROR(__xludf.DUMMYFUNCTION("""COMPUTED_VALUE"""),0.2082)</f>
        <v>0.2082</v>
      </c>
      <c r="M1905" s="18">
        <f>IFERROR(__xludf.DUMMYFUNCTION("""COMPUTED_VALUE"""),1.53)</f>
        <v>1.53</v>
      </c>
    </row>
    <row r="1906">
      <c r="A1906" s="13" t="str">
        <f>IFERROR(__xludf.DUMMYFUNCTION("""COMPUTED_VALUE"""),"товари")</f>
        <v>товари</v>
      </c>
      <c r="B1906" s="16" t="str">
        <f>IFERROR(__xludf.DUMMYFUNCTION("""COMPUTED_VALUE"""),"краса та здоров'я")</f>
        <v>краса та здоров'я</v>
      </c>
      <c r="C1906" s="16" t="str">
        <f>IFERROR(__xludf.DUMMYFUNCTION("""COMPUTED_VALUE"""),"товари для здоров'я")</f>
        <v>товари для здоров'я</v>
      </c>
      <c r="D1906" s="16" t="str">
        <f>IFERROR(__xludf.DUMMYFUNCTION("""COMPUTED_VALUE"""),"домашня медична техніка")</f>
        <v>домашня медична техніка</v>
      </c>
      <c r="E1906" s="16" t="str">
        <f>IFERROR(__xludf.DUMMYFUNCTION("""COMPUTED_VALUE"""),"домашні прилади біорезонансної терапії ")</f>
        <v>домашні прилади біорезонансної терапії </v>
      </c>
      <c r="F1906" s="17">
        <f>IFERROR(__xludf.DUMMYFUNCTION("""COMPUTED_VALUE"""),4.0)</f>
        <v>4</v>
      </c>
      <c r="G1906" s="17" t="str">
        <f>IFERROR(__xludf.DUMMYFUNCTION("""COMPUTED_VALUE"""),"162506")</f>
        <v>162506</v>
      </c>
      <c r="H1906" s="17" t="str">
        <f>IFERROR(__xludf.DUMMYFUNCTION("""COMPUTED_VALUE"""),"домашні прилади біорезонансної терапії ")</f>
        <v>домашні прилади біорезонансної терапії </v>
      </c>
      <c r="I1906" s="19">
        <f>IFERROR(__xludf.DUMMYFUNCTION("""COMPUTED_VALUE"""),0.0694)</f>
        <v>0.0694</v>
      </c>
      <c r="J1906" s="19">
        <f>IFERROR(__xludf.DUMMYFUNCTION("""COMPUTED_VALUE"""),0.1388)</f>
        <v>0.1388</v>
      </c>
      <c r="K1906" s="19">
        <f>IFERROR(__xludf.DUMMYFUNCTION("""COMPUTED_VALUE"""),0.1735)</f>
        <v>0.1735</v>
      </c>
      <c r="L1906" s="19">
        <f>IFERROR(__xludf.DUMMYFUNCTION("""COMPUTED_VALUE"""),0.2082)</f>
        <v>0.2082</v>
      </c>
      <c r="M1906" s="18">
        <f>IFERROR(__xludf.DUMMYFUNCTION("""COMPUTED_VALUE"""),1.53)</f>
        <v>1.53</v>
      </c>
    </row>
    <row r="1907">
      <c r="A1907" s="13" t="str">
        <f>IFERROR(__xludf.DUMMYFUNCTION("""COMPUTED_VALUE"""),"товари")</f>
        <v>товари</v>
      </c>
      <c r="B1907" s="16" t="str">
        <f>IFERROR(__xludf.DUMMYFUNCTION("""COMPUTED_VALUE"""),"краса та здоров'я")</f>
        <v>краса та здоров'я</v>
      </c>
      <c r="C1907" s="16" t="str">
        <f>IFERROR(__xludf.DUMMYFUNCTION("""COMPUTED_VALUE"""),"товари для здоров'я")</f>
        <v>товари для здоров'я</v>
      </c>
      <c r="D1907" s="16" t="str">
        <f>IFERROR(__xludf.DUMMYFUNCTION("""COMPUTED_VALUE"""),"домашня медична техніка")</f>
        <v>домашня медична техніка</v>
      </c>
      <c r="E1907" s="16" t="str">
        <f>IFERROR(__xludf.DUMMYFUNCTION("""COMPUTED_VALUE"""),"домашні прилади для детоксикації")</f>
        <v>домашні прилади для детоксикації</v>
      </c>
      <c r="F1907" s="17">
        <f>IFERROR(__xludf.DUMMYFUNCTION("""COMPUTED_VALUE"""),4.0)</f>
        <v>4</v>
      </c>
      <c r="G1907" s="17" t="str">
        <f>IFERROR(__xludf.DUMMYFUNCTION("""COMPUTED_VALUE"""),"162510")</f>
        <v>162510</v>
      </c>
      <c r="H1907" s="17" t="str">
        <f>IFERROR(__xludf.DUMMYFUNCTION("""COMPUTED_VALUE"""),"домашні прилади для детоксикації")</f>
        <v>домашні прилади для детоксикації</v>
      </c>
      <c r="I1907" s="19">
        <f>IFERROR(__xludf.DUMMYFUNCTION("""COMPUTED_VALUE"""),0.0694)</f>
        <v>0.0694</v>
      </c>
      <c r="J1907" s="19">
        <f>IFERROR(__xludf.DUMMYFUNCTION("""COMPUTED_VALUE"""),0.1388)</f>
        <v>0.1388</v>
      </c>
      <c r="K1907" s="19">
        <f>IFERROR(__xludf.DUMMYFUNCTION("""COMPUTED_VALUE"""),0.1735)</f>
        <v>0.1735</v>
      </c>
      <c r="L1907" s="19">
        <f>IFERROR(__xludf.DUMMYFUNCTION("""COMPUTED_VALUE"""),0.2082)</f>
        <v>0.2082</v>
      </c>
      <c r="M1907" s="18">
        <f>IFERROR(__xludf.DUMMYFUNCTION("""COMPUTED_VALUE"""),1.53)</f>
        <v>1.53</v>
      </c>
    </row>
    <row r="1908">
      <c r="A1908" s="13" t="str">
        <f>IFERROR(__xludf.DUMMYFUNCTION("""COMPUTED_VALUE"""),"товари")</f>
        <v>товари</v>
      </c>
      <c r="B1908" s="16" t="str">
        <f>IFERROR(__xludf.DUMMYFUNCTION("""COMPUTED_VALUE"""),"краса та здоров'я")</f>
        <v>краса та здоров'я</v>
      </c>
      <c r="C1908" s="16" t="str">
        <f>IFERROR(__xludf.DUMMYFUNCTION("""COMPUTED_VALUE"""),"товари для здоров'я")</f>
        <v>товари для здоров'я</v>
      </c>
      <c r="D1908" s="16" t="str">
        <f>IFERROR(__xludf.DUMMYFUNCTION("""COMPUTED_VALUE"""),"домашня медична техніка")</f>
        <v>домашня медична техніка</v>
      </c>
      <c r="E1908" s="16" t="str">
        <f>IFERROR(__xludf.DUMMYFUNCTION("""COMPUTED_VALUE"""),"домашні тонометри ")</f>
        <v>домашні тонометри </v>
      </c>
      <c r="F1908" s="17">
        <f>IFERROR(__xludf.DUMMYFUNCTION("""COMPUTED_VALUE"""),4.0)</f>
        <v>4</v>
      </c>
      <c r="G1908" s="17" t="str">
        <f>IFERROR(__xludf.DUMMYFUNCTION("""COMPUTED_VALUE"""),"162528")</f>
        <v>162528</v>
      </c>
      <c r="H1908" s="17" t="str">
        <f>IFERROR(__xludf.DUMMYFUNCTION("""COMPUTED_VALUE"""),"домашні тонометри ")</f>
        <v>домашні тонометри </v>
      </c>
      <c r="I1908" s="19">
        <f>IFERROR(__xludf.DUMMYFUNCTION("""COMPUTED_VALUE"""),0.0694)</f>
        <v>0.0694</v>
      </c>
      <c r="J1908" s="19">
        <f>IFERROR(__xludf.DUMMYFUNCTION("""COMPUTED_VALUE"""),0.1388)</f>
        <v>0.1388</v>
      </c>
      <c r="K1908" s="19">
        <f>IFERROR(__xludf.DUMMYFUNCTION("""COMPUTED_VALUE"""),0.1735)</f>
        <v>0.1735</v>
      </c>
      <c r="L1908" s="19">
        <f>IFERROR(__xludf.DUMMYFUNCTION("""COMPUTED_VALUE"""),0.2082)</f>
        <v>0.2082</v>
      </c>
      <c r="M1908" s="18">
        <f>IFERROR(__xludf.DUMMYFUNCTION("""COMPUTED_VALUE"""),1.53)</f>
        <v>1.53</v>
      </c>
    </row>
    <row r="1909">
      <c r="A1909" s="13" t="str">
        <f>IFERROR(__xludf.DUMMYFUNCTION("""COMPUTED_VALUE"""),"товари")</f>
        <v>товари</v>
      </c>
      <c r="B1909" s="16" t="str">
        <f>IFERROR(__xludf.DUMMYFUNCTION("""COMPUTED_VALUE"""),"краса та здоров'я")</f>
        <v>краса та здоров'я</v>
      </c>
      <c r="C1909" s="16" t="str">
        <f>IFERROR(__xludf.DUMMYFUNCTION("""COMPUTED_VALUE"""),"товари для здоров'я")</f>
        <v>товари для здоров'я</v>
      </c>
      <c r="D1909" s="16" t="str">
        <f>IFERROR(__xludf.DUMMYFUNCTION("""COMPUTED_VALUE"""),"домашня медична техніка")</f>
        <v>домашня медична техніка</v>
      </c>
      <c r="E1909" s="16" t="str">
        <f>IFERROR(__xludf.DUMMYFUNCTION("""COMPUTED_VALUE"""),"домашня медтехніка, загальне")</f>
        <v>домашня медтехніка, загальне</v>
      </c>
      <c r="F1909" s="17">
        <f>IFERROR(__xludf.DUMMYFUNCTION("""COMPUTED_VALUE"""),4.0)</f>
        <v>4</v>
      </c>
      <c r="G1909" s="17" t="str">
        <f>IFERROR(__xludf.DUMMYFUNCTION("""COMPUTED_VALUE"""),"162502")</f>
        <v>162502</v>
      </c>
      <c r="H1909" s="17" t="str">
        <f>IFERROR(__xludf.DUMMYFUNCTION("""COMPUTED_VALUE"""),"домашня медтехніка, загальне")</f>
        <v>домашня медтехніка, загальне</v>
      </c>
      <c r="I1909" s="19">
        <f>IFERROR(__xludf.DUMMYFUNCTION("""COMPUTED_VALUE"""),0.125)</f>
        <v>0.125</v>
      </c>
      <c r="J1909" s="19">
        <f>IFERROR(__xludf.DUMMYFUNCTION("""COMPUTED_VALUE"""),0.25)</f>
        <v>0.25</v>
      </c>
      <c r="K1909" s="19">
        <f>IFERROR(__xludf.DUMMYFUNCTION("""COMPUTED_VALUE"""),0.3125)</f>
        <v>0.3125</v>
      </c>
      <c r="L1909" s="19">
        <f>IFERROR(__xludf.DUMMYFUNCTION("""COMPUTED_VALUE"""),0.375)</f>
        <v>0.375</v>
      </c>
      <c r="M1909" s="18">
        <f>IFERROR(__xludf.DUMMYFUNCTION("""COMPUTED_VALUE"""),4.33)</f>
        <v>4.33</v>
      </c>
    </row>
    <row r="1910">
      <c r="A1910" s="13" t="str">
        <f>IFERROR(__xludf.DUMMYFUNCTION("""COMPUTED_VALUE"""),"товари")</f>
        <v>товари</v>
      </c>
      <c r="B1910" s="16" t="str">
        <f>IFERROR(__xludf.DUMMYFUNCTION("""COMPUTED_VALUE"""),"краса та здоров'я")</f>
        <v>краса та здоров'я</v>
      </c>
      <c r="C1910" s="16" t="str">
        <f>IFERROR(__xludf.DUMMYFUNCTION("""COMPUTED_VALUE"""),"товари для здоров'я")</f>
        <v>товари для здоров'я</v>
      </c>
      <c r="D1910" s="16" t="str">
        <f>IFERROR(__xludf.DUMMYFUNCTION("""COMPUTED_VALUE"""),"домашня медична техніка")</f>
        <v>домашня медична техніка</v>
      </c>
      <c r="E1910" s="16" t="str">
        <f>IFERROR(__xludf.DUMMYFUNCTION("""COMPUTED_VALUE"""),"електричні грілки")</f>
        <v>електричні грілки</v>
      </c>
      <c r="F1910" s="17">
        <f>IFERROR(__xludf.DUMMYFUNCTION("""COMPUTED_VALUE"""),4.0)</f>
        <v>4</v>
      </c>
      <c r="G1910" s="17" t="str">
        <f>IFERROR(__xludf.DUMMYFUNCTION("""COMPUTED_VALUE"""),"162512")</f>
        <v>162512</v>
      </c>
      <c r="H1910" s="17" t="str">
        <f>IFERROR(__xludf.DUMMYFUNCTION("""COMPUTED_VALUE"""),"електричні грілки")</f>
        <v>електричні грілки</v>
      </c>
      <c r="I1910" s="19">
        <f>IFERROR(__xludf.DUMMYFUNCTION("""COMPUTED_VALUE"""),0.0694)</f>
        <v>0.0694</v>
      </c>
      <c r="J1910" s="19">
        <f>IFERROR(__xludf.DUMMYFUNCTION("""COMPUTED_VALUE"""),0.1388)</f>
        <v>0.1388</v>
      </c>
      <c r="K1910" s="19">
        <f>IFERROR(__xludf.DUMMYFUNCTION("""COMPUTED_VALUE"""),0.1735)</f>
        <v>0.1735</v>
      </c>
      <c r="L1910" s="19">
        <f>IFERROR(__xludf.DUMMYFUNCTION("""COMPUTED_VALUE"""),0.2082)</f>
        <v>0.2082</v>
      </c>
      <c r="M1910" s="18">
        <f>IFERROR(__xludf.DUMMYFUNCTION("""COMPUTED_VALUE"""),1.53)</f>
        <v>1.53</v>
      </c>
    </row>
    <row r="1911">
      <c r="A1911" s="13" t="str">
        <f>IFERROR(__xludf.DUMMYFUNCTION("""COMPUTED_VALUE"""),"товари")</f>
        <v>товари</v>
      </c>
      <c r="B1911" s="16" t="str">
        <f>IFERROR(__xludf.DUMMYFUNCTION("""COMPUTED_VALUE"""),"краса та здоров'я")</f>
        <v>краса та здоров'я</v>
      </c>
      <c r="C1911" s="16" t="str">
        <f>IFERROR(__xludf.DUMMYFUNCTION("""COMPUTED_VALUE"""),"товари для здоров'я")</f>
        <v>товари для здоров'я</v>
      </c>
      <c r="D1911" s="16" t="str">
        <f>IFERROR(__xludf.DUMMYFUNCTION("""COMPUTED_VALUE"""),"масажери")</f>
        <v>масажери</v>
      </c>
      <c r="E1911" s="16" t="str">
        <f>IFERROR(__xludf.DUMMYFUNCTION("""COMPUTED_VALUE"""),"електростимулятори для м'язів")</f>
        <v>електростимулятори для м'язів</v>
      </c>
      <c r="F1911" s="17">
        <f>IFERROR(__xludf.DUMMYFUNCTION("""COMPUTED_VALUE"""),4.0)</f>
        <v>4</v>
      </c>
      <c r="G1911" s="17" t="str">
        <f>IFERROR(__xludf.DUMMYFUNCTION("""COMPUTED_VALUE"""),"162219")</f>
        <v>162219</v>
      </c>
      <c r="H1911" s="17" t="str">
        <f>IFERROR(__xludf.DUMMYFUNCTION("""COMPUTED_VALUE"""),"електростимулятори для м'язів")</f>
        <v>електростимулятори для м'язів</v>
      </c>
      <c r="I1911" s="19">
        <f>IFERROR(__xludf.DUMMYFUNCTION("""COMPUTED_VALUE"""),0.0725)</f>
        <v>0.0725</v>
      </c>
      <c r="J1911" s="19">
        <f>IFERROR(__xludf.DUMMYFUNCTION("""COMPUTED_VALUE"""),0.145)</f>
        <v>0.145</v>
      </c>
      <c r="K1911" s="19">
        <f>IFERROR(__xludf.DUMMYFUNCTION("""COMPUTED_VALUE"""),0.1813)</f>
        <v>0.1813</v>
      </c>
      <c r="L1911" s="19">
        <f>IFERROR(__xludf.DUMMYFUNCTION("""COMPUTED_VALUE"""),0.2175)</f>
        <v>0.2175</v>
      </c>
      <c r="M1911" s="18">
        <f>IFERROR(__xludf.DUMMYFUNCTION("""COMPUTED_VALUE"""),1.53)</f>
        <v>1.53</v>
      </c>
    </row>
    <row r="1912">
      <c r="A1912" s="13" t="str">
        <f>IFERROR(__xludf.DUMMYFUNCTION("""COMPUTED_VALUE"""),"товари")</f>
        <v>товари</v>
      </c>
      <c r="B1912" s="16" t="str">
        <f>IFERROR(__xludf.DUMMYFUNCTION("""COMPUTED_VALUE"""),"краса та здоров'я")</f>
        <v>краса та здоров'я</v>
      </c>
      <c r="C1912" s="16" t="str">
        <f>IFERROR(__xludf.DUMMYFUNCTION("""COMPUTED_VALUE"""),"косметика по догляду")</f>
        <v>косметика по догляду</v>
      </c>
      <c r="D1912" s="16" t="str">
        <f>IFERROR(__xludf.DUMMYFUNCTION("""COMPUTED_VALUE"""),"косметичні та ефірні масла")</f>
        <v>косметичні та ефірні масла</v>
      </c>
      <c r="E1912" s="16" t="str">
        <f>IFERROR(__xludf.DUMMYFUNCTION("""COMPUTED_VALUE"""),"ефірні олії")</f>
        <v>ефірні олії</v>
      </c>
      <c r="F1912" s="17">
        <f>IFERROR(__xludf.DUMMYFUNCTION("""COMPUTED_VALUE"""),4.0)</f>
        <v>4</v>
      </c>
      <c r="G1912" s="17" t="str">
        <f>IFERROR(__xludf.DUMMYFUNCTION("""COMPUTED_VALUE"""),"162401")</f>
        <v>162401</v>
      </c>
      <c r="H1912" s="17" t="str">
        <f>IFERROR(__xludf.DUMMYFUNCTION("""COMPUTED_VALUE"""),"ефірні олії")</f>
        <v>ефірні олії</v>
      </c>
      <c r="I1912" s="19">
        <f>IFERROR(__xludf.DUMMYFUNCTION("""COMPUTED_VALUE"""),0.0702)</f>
        <v>0.0702</v>
      </c>
      <c r="J1912" s="19">
        <f>IFERROR(__xludf.DUMMYFUNCTION("""COMPUTED_VALUE"""),0.1404)</f>
        <v>0.1404</v>
      </c>
      <c r="K1912" s="19">
        <f>IFERROR(__xludf.DUMMYFUNCTION("""COMPUTED_VALUE"""),0.1755)</f>
        <v>0.1755</v>
      </c>
      <c r="L1912" s="19">
        <f>IFERROR(__xludf.DUMMYFUNCTION("""COMPUTED_VALUE"""),0.2106)</f>
        <v>0.2106</v>
      </c>
      <c r="M1912" s="18">
        <f>IFERROR(__xludf.DUMMYFUNCTION("""COMPUTED_VALUE"""),2.61)</f>
        <v>2.61</v>
      </c>
    </row>
    <row r="1913">
      <c r="A1913" s="13" t="str">
        <f>IFERROR(__xludf.DUMMYFUNCTION("""COMPUTED_VALUE"""),"товари")</f>
        <v>товари</v>
      </c>
      <c r="B1913" s="16" t="str">
        <f>IFERROR(__xludf.DUMMYFUNCTION("""COMPUTED_VALUE"""),"краса та здоров'я")</f>
        <v>краса та здоров'я</v>
      </c>
      <c r="C1913" s="16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1913" s="16" t="str">
        <f>IFERROR(__xludf.DUMMYFUNCTION("""COMPUTED_VALUE"""),"ємності для манікюру/педикюру")</f>
        <v>ємності для манікюру/педикюру</v>
      </c>
      <c r="E1913" s="16" t="str">
        <f>IFERROR(__xludf.DUMMYFUNCTION("""COMPUTED_VALUE"""),"ємності для манікюру/педикюру")</f>
        <v>ємності для манікюру/педикюру</v>
      </c>
      <c r="F1913" s="17">
        <f>IFERROR(__xludf.DUMMYFUNCTION("""COMPUTED_VALUE"""),3.0)</f>
        <v>3</v>
      </c>
      <c r="G1913" s="17" t="str">
        <f>IFERROR(__xludf.DUMMYFUNCTION("""COMPUTED_VALUE"""),"16180111")</f>
        <v>16180111</v>
      </c>
      <c r="H1913" s="17" t="str">
        <f>IFERROR(__xludf.DUMMYFUNCTION("""COMPUTED_VALUE"""),"ємності для манікюру/педикюру")</f>
        <v>ємності для манікюру/педикюру</v>
      </c>
      <c r="I1913" s="19">
        <f>IFERROR(__xludf.DUMMYFUNCTION("""COMPUTED_VALUE"""),0.0672)</f>
        <v>0.0672</v>
      </c>
      <c r="J1913" s="19">
        <f>IFERROR(__xludf.DUMMYFUNCTION("""COMPUTED_VALUE"""),0.1343)</f>
        <v>0.1343</v>
      </c>
      <c r="K1913" s="19">
        <f>IFERROR(__xludf.DUMMYFUNCTION("""COMPUTED_VALUE"""),0.1679)</f>
        <v>0.1679</v>
      </c>
      <c r="L1913" s="19">
        <f>IFERROR(__xludf.DUMMYFUNCTION("""COMPUTED_VALUE"""),0.2015)</f>
        <v>0.2015</v>
      </c>
      <c r="M1913" s="18">
        <f>IFERROR(__xludf.DUMMYFUNCTION("""COMPUTED_VALUE"""),1.63)</f>
        <v>1.63</v>
      </c>
    </row>
    <row r="1914">
      <c r="A1914" s="13" t="str">
        <f>IFERROR(__xludf.DUMMYFUNCTION("""COMPUTED_VALUE"""),"товари")</f>
        <v>товари</v>
      </c>
      <c r="B1914" s="16" t="str">
        <f>IFERROR(__xludf.DUMMYFUNCTION("""COMPUTED_VALUE"""),"краса та здоров'я")</f>
        <v>краса та здоров'я</v>
      </c>
      <c r="C1914" s="16" t="str">
        <f>IFERROR(__xludf.DUMMYFUNCTION("""COMPUTED_VALUE"""),"парфумерія")</f>
        <v>парфумерія</v>
      </c>
      <c r="D1914" s="16" t="str">
        <f>IFERROR(__xludf.DUMMYFUNCTION("""COMPUTED_VALUE"""),"жіноча парфумерія ")</f>
        <v>жіноча парфумерія </v>
      </c>
      <c r="E1914" s="16" t="str">
        <f>IFERROR(__xludf.DUMMYFUNCTION("""COMPUTED_VALUE"""),"жіноча парфумерія ")</f>
        <v>жіноча парфумерія </v>
      </c>
      <c r="F1914" s="17">
        <f>IFERROR(__xludf.DUMMYFUNCTION("""COMPUTED_VALUE"""),3.0)</f>
        <v>3</v>
      </c>
      <c r="G1914" s="17" t="str">
        <f>IFERROR(__xludf.DUMMYFUNCTION("""COMPUTED_VALUE"""),"161601")</f>
        <v>161601</v>
      </c>
      <c r="H1914" s="17" t="str">
        <f>IFERROR(__xludf.DUMMYFUNCTION("""COMPUTED_VALUE"""),"жіноча парфумерія ")</f>
        <v>жіноча парфумерія </v>
      </c>
      <c r="I1914" s="19">
        <f>IFERROR(__xludf.DUMMYFUNCTION("""COMPUTED_VALUE"""),0.0698)</f>
        <v>0.0698</v>
      </c>
      <c r="J1914" s="19">
        <f>IFERROR(__xludf.DUMMYFUNCTION("""COMPUTED_VALUE"""),0.1396)</f>
        <v>0.1396</v>
      </c>
      <c r="K1914" s="19">
        <f>IFERROR(__xludf.DUMMYFUNCTION("""COMPUTED_VALUE"""),0.1745)</f>
        <v>0.1745</v>
      </c>
      <c r="L1914" s="19">
        <f>IFERROR(__xludf.DUMMYFUNCTION("""COMPUTED_VALUE"""),0.2094)</f>
        <v>0.2094</v>
      </c>
      <c r="M1914" s="18">
        <f>IFERROR(__xludf.DUMMYFUNCTION("""COMPUTED_VALUE"""),2.16)</f>
        <v>2.16</v>
      </c>
    </row>
    <row r="1915">
      <c r="A1915" s="13" t="str">
        <f>IFERROR(__xludf.DUMMYFUNCTION("""COMPUTED_VALUE"""),"товари")</f>
        <v>товари</v>
      </c>
      <c r="B1915" s="16" t="str">
        <f>IFERROR(__xludf.DUMMYFUNCTION("""COMPUTED_VALUE"""),"краса та здоров'я")</f>
        <v>краса та здоров'я</v>
      </c>
      <c r="C1915" s="16" t="str">
        <f>IFERROR(__xludf.DUMMYFUNCTION("""COMPUTED_VALUE"""),"гігієнічні вироби та засоби")</f>
        <v>гігієнічні вироби та засоби</v>
      </c>
      <c r="D1915" s="16" t="str">
        <f>IFERROR(__xludf.DUMMYFUNCTION("""COMPUTED_VALUE"""),"засоби жіночої гігієни")</f>
        <v>засоби жіночої гігієни</v>
      </c>
      <c r="E1915" s="16" t="str">
        <f>IFERROR(__xludf.DUMMYFUNCTION("""COMPUTED_VALUE"""),"жіночі прокладки і тампони")</f>
        <v>жіночі прокладки і тампони</v>
      </c>
      <c r="F1915" s="17">
        <f>IFERROR(__xludf.DUMMYFUNCTION("""COMPUTED_VALUE"""),4.0)</f>
        <v>4</v>
      </c>
      <c r="G1915" s="17" t="str">
        <f>IFERROR(__xludf.DUMMYFUNCTION("""COMPUTED_VALUE"""),"15131001")</f>
        <v>15131001</v>
      </c>
      <c r="H1915" s="17" t="str">
        <f>IFERROR(__xludf.DUMMYFUNCTION("""COMPUTED_VALUE"""),"жіночі прокладки і тампони")</f>
        <v>жіночі прокладки і тампони</v>
      </c>
      <c r="I1915" s="19">
        <f>IFERROR(__xludf.DUMMYFUNCTION("""COMPUTED_VALUE"""),0.066)</f>
        <v>0.066</v>
      </c>
      <c r="J1915" s="19">
        <f>IFERROR(__xludf.DUMMYFUNCTION("""COMPUTED_VALUE"""),0.1319)</f>
        <v>0.1319</v>
      </c>
      <c r="K1915" s="19">
        <f>IFERROR(__xludf.DUMMYFUNCTION("""COMPUTED_VALUE"""),0.1649)</f>
        <v>0.1649</v>
      </c>
      <c r="L1915" s="19">
        <f>IFERROR(__xludf.DUMMYFUNCTION("""COMPUTED_VALUE"""),0.1979)</f>
        <v>0.1979</v>
      </c>
      <c r="M1915" s="18">
        <f>IFERROR(__xludf.DUMMYFUNCTION("""COMPUTED_VALUE"""),1.05)</f>
        <v>1.05</v>
      </c>
    </row>
    <row r="1916">
      <c r="A1916" s="13" t="str">
        <f>IFERROR(__xludf.DUMMYFUNCTION("""COMPUTED_VALUE"""),"товари")</f>
        <v>товари</v>
      </c>
      <c r="B1916" s="16" t="str">
        <f>IFERROR(__xludf.DUMMYFUNCTION("""COMPUTED_VALUE"""),"краса та здоров'я")</f>
        <v>краса та здоров'я</v>
      </c>
      <c r="C1916" s="16" t="str">
        <f>IFERROR(__xludf.DUMMYFUNCTION("""COMPUTED_VALUE"""),"гігієнічні вироби та засоби")</f>
        <v>гігієнічні вироби та засоби</v>
      </c>
      <c r="D1916" s="16" t="str">
        <f>IFERROR(__xludf.DUMMYFUNCTION("""COMPUTED_VALUE"""),"засоби для гігієни порожнини рота")</f>
        <v>засоби для гігієни порожнини рота</v>
      </c>
      <c r="E1916" s="16" t="str">
        <f>IFERROR(__xludf.DUMMYFUNCTION("""COMPUTED_VALUE"""),"жувальні гумки")</f>
        <v>жувальні гумки</v>
      </c>
      <c r="F1916" s="17">
        <f>IFERROR(__xludf.DUMMYFUNCTION("""COMPUTED_VALUE"""),4.0)</f>
        <v>4</v>
      </c>
      <c r="G1916" s="17" t="str">
        <f>IFERROR(__xludf.DUMMYFUNCTION("""COMPUTED_VALUE"""),"330509")</f>
        <v>330509</v>
      </c>
      <c r="H1916" s="17" t="str">
        <f>IFERROR(__xludf.DUMMYFUNCTION("""COMPUTED_VALUE"""),"жувальні гумки")</f>
        <v>жувальні гумки</v>
      </c>
      <c r="I1916" s="19">
        <f>IFERROR(__xludf.DUMMYFUNCTION("""COMPUTED_VALUE"""),0.0633)</f>
        <v>0.0633</v>
      </c>
      <c r="J1916" s="19">
        <f>IFERROR(__xludf.DUMMYFUNCTION("""COMPUTED_VALUE"""),0.1265)</f>
        <v>0.1265</v>
      </c>
      <c r="K1916" s="19">
        <f>IFERROR(__xludf.DUMMYFUNCTION("""COMPUTED_VALUE"""),0.1581)</f>
        <v>0.1581</v>
      </c>
      <c r="L1916" s="19">
        <f>IFERROR(__xludf.DUMMYFUNCTION("""COMPUTED_VALUE"""),0.1898)</f>
        <v>0.1898</v>
      </c>
      <c r="M1916" s="18">
        <f>IFERROR(__xludf.DUMMYFUNCTION("""COMPUTED_VALUE"""),1.8)</f>
        <v>1.8</v>
      </c>
    </row>
    <row r="1917">
      <c r="A1917" s="13" t="str">
        <f>IFERROR(__xludf.DUMMYFUNCTION("""COMPUTED_VALUE"""),"товари")</f>
        <v>товари</v>
      </c>
      <c r="B1917" s="16" t="str">
        <f>IFERROR(__xludf.DUMMYFUNCTION("""COMPUTED_VALUE"""),"краса та здоров'я")</f>
        <v>краса та здоров'я</v>
      </c>
      <c r="C1917" s="16" t="str">
        <f>IFERROR(__xludf.DUMMYFUNCTION("""COMPUTED_VALUE"""),"все для манікюру і педикюру")</f>
        <v>все для манікюру і педикюру</v>
      </c>
      <c r="D1917" s="16" t="str">
        <f>IFERROR(__xludf.DUMMYFUNCTION("""COMPUTED_VALUE"""),"запчастини і комплектуючі до обладнання для манікюру та педикюру")</f>
        <v>запчастини і комплектуючі до обладнання для манікюру та педикюру</v>
      </c>
      <c r="E1917" s="16" t="str">
        <f>IFERROR(__xludf.DUMMYFUNCTION("""COMPUTED_VALUE"""),"запчастини і комплектуючі до обладнання для манікюру та педикюру")</f>
        <v>запчастини і комплектуючі до обладнання для манікюру та педикюру</v>
      </c>
      <c r="F1917" s="17">
        <f>IFERROR(__xludf.DUMMYFUNCTION("""COMPUTED_VALUE"""),3.0)</f>
        <v>3</v>
      </c>
      <c r="G1917" s="17" t="str">
        <f>IFERROR(__xludf.DUMMYFUNCTION("""COMPUTED_VALUE"""),"161813")</f>
        <v>161813</v>
      </c>
      <c r="H1917" s="17" t="str">
        <f>IFERROR(__xludf.DUMMYFUNCTION("""COMPUTED_VALUE"""),"запчастини і комплектуючі до обладнання для манікюру та педикюру")</f>
        <v>запчастини і комплектуючі до обладнання для манікюру та педикюру</v>
      </c>
      <c r="I1917" s="19">
        <f>IFERROR(__xludf.DUMMYFUNCTION("""COMPUTED_VALUE"""),0.0575)</f>
        <v>0.0575</v>
      </c>
      <c r="J1917" s="19">
        <f>IFERROR(__xludf.DUMMYFUNCTION("""COMPUTED_VALUE"""),0.115)</f>
        <v>0.115</v>
      </c>
      <c r="K1917" s="19">
        <f>IFERROR(__xludf.DUMMYFUNCTION("""COMPUTED_VALUE"""),0.1438)</f>
        <v>0.1438</v>
      </c>
      <c r="L1917" s="19">
        <f>IFERROR(__xludf.DUMMYFUNCTION("""COMPUTED_VALUE"""),0.1725)</f>
        <v>0.1725</v>
      </c>
      <c r="M1917" s="18">
        <f>IFERROR(__xludf.DUMMYFUNCTION("""COMPUTED_VALUE"""),1.05)</f>
        <v>1.05</v>
      </c>
    </row>
    <row r="1918">
      <c r="A1918" s="13" t="str">
        <f>IFERROR(__xludf.DUMMYFUNCTION("""COMPUTED_VALUE"""),"товари")</f>
        <v>товари</v>
      </c>
      <c r="B1918" s="16" t="str">
        <f>IFERROR(__xludf.DUMMYFUNCTION("""COMPUTED_VALUE"""),"краса та здоров'я")</f>
        <v>краса та здоров'я</v>
      </c>
      <c r="C1918" s="16" t="str">
        <f>IFERROR(__xludf.DUMMYFUNCTION("""COMPUTED_VALUE"""),"товари для здоров'я")</f>
        <v>товари для здоров'я</v>
      </c>
      <c r="D1918" s="16" t="str">
        <f>IFERROR(__xludf.DUMMYFUNCTION("""COMPUTED_VALUE"""),"домашня медична техніка")</f>
        <v>домашня медична техніка</v>
      </c>
      <c r="E1918" s="16" t="str">
        <f>IFERROR(__xludf.DUMMYFUNCTION("""COMPUTED_VALUE"""),"засоби від хропіння")</f>
        <v>засоби від хропіння</v>
      </c>
      <c r="F1918" s="17">
        <f>IFERROR(__xludf.DUMMYFUNCTION("""COMPUTED_VALUE"""),4.0)</f>
        <v>4</v>
      </c>
      <c r="G1918" s="17" t="str">
        <f>IFERROR(__xludf.DUMMYFUNCTION("""COMPUTED_VALUE"""),"162534")</f>
        <v>162534</v>
      </c>
      <c r="H1918" s="17" t="str">
        <f>IFERROR(__xludf.DUMMYFUNCTION("""COMPUTED_VALUE"""),"засоби від хропіння")</f>
        <v>засоби від хропіння</v>
      </c>
      <c r="I1918" s="19">
        <f>IFERROR(__xludf.DUMMYFUNCTION("""COMPUTED_VALUE"""),0.0694)</f>
        <v>0.0694</v>
      </c>
      <c r="J1918" s="19">
        <f>IFERROR(__xludf.DUMMYFUNCTION("""COMPUTED_VALUE"""),0.1388)</f>
        <v>0.1388</v>
      </c>
      <c r="K1918" s="19">
        <f>IFERROR(__xludf.DUMMYFUNCTION("""COMPUTED_VALUE"""),0.1735)</f>
        <v>0.1735</v>
      </c>
      <c r="L1918" s="19">
        <f>IFERROR(__xludf.DUMMYFUNCTION("""COMPUTED_VALUE"""),0.2082)</f>
        <v>0.2082</v>
      </c>
      <c r="M1918" s="18">
        <f>IFERROR(__xludf.DUMMYFUNCTION("""COMPUTED_VALUE"""),1.53)</f>
        <v>1.53</v>
      </c>
    </row>
    <row r="1919">
      <c r="A1919" s="13" t="str">
        <f>IFERROR(__xludf.DUMMYFUNCTION("""COMPUTED_VALUE"""),"товари")</f>
        <v>товари</v>
      </c>
      <c r="B1919" s="16" t="str">
        <f>IFERROR(__xludf.DUMMYFUNCTION("""COMPUTED_VALUE"""),"краса та здоров'я")</f>
        <v>краса та здоров'я</v>
      </c>
      <c r="C1919" s="16" t="str">
        <f>IFERROR(__xludf.DUMMYFUNCTION("""COMPUTED_VALUE"""),"косметика по догляду")</f>
        <v>косметика по догляду</v>
      </c>
      <c r="D1919" s="16" t="str">
        <f>IFERROR(__xludf.DUMMYFUNCTION("""COMPUTED_VALUE"""),"засоби для засмаги")</f>
        <v>засоби для засмаги</v>
      </c>
      <c r="E1919" s="16" t="str">
        <f>IFERROR(__xludf.DUMMYFUNCTION("""COMPUTED_VALUE"""),"засоби для автозасмаги")</f>
        <v>засоби для автозасмаги</v>
      </c>
      <c r="F1919" s="17">
        <f>IFERROR(__xludf.DUMMYFUNCTION("""COMPUTED_VALUE"""),4.0)</f>
        <v>4</v>
      </c>
      <c r="G1919" s="17" t="str">
        <f>IFERROR(__xludf.DUMMYFUNCTION("""COMPUTED_VALUE"""),"331801")</f>
        <v>331801</v>
      </c>
      <c r="H1919" s="17" t="str">
        <f>IFERROR(__xludf.DUMMYFUNCTION("""COMPUTED_VALUE"""),"засоби для автозасмаги")</f>
        <v>засоби для автозасмаги</v>
      </c>
      <c r="I1919" s="19">
        <f>IFERROR(__xludf.DUMMYFUNCTION("""COMPUTED_VALUE"""),0.0656)</f>
        <v>0.0656</v>
      </c>
      <c r="J1919" s="19">
        <f>IFERROR(__xludf.DUMMYFUNCTION("""COMPUTED_VALUE"""),0.1311)</f>
        <v>0.1311</v>
      </c>
      <c r="K1919" s="19">
        <f>IFERROR(__xludf.DUMMYFUNCTION("""COMPUTED_VALUE"""),0.1639)</f>
        <v>0.1639</v>
      </c>
      <c r="L1919" s="19">
        <f>IFERROR(__xludf.DUMMYFUNCTION("""COMPUTED_VALUE"""),0.1967)</f>
        <v>0.1967</v>
      </c>
      <c r="M1919" s="18">
        <f>IFERROR(__xludf.DUMMYFUNCTION("""COMPUTED_VALUE"""),1.8)</f>
        <v>1.8</v>
      </c>
    </row>
    <row r="1920">
      <c r="A1920" s="13" t="str">
        <f>IFERROR(__xludf.DUMMYFUNCTION("""COMPUTED_VALUE"""),"товари")</f>
        <v>товари</v>
      </c>
      <c r="B1920" s="16" t="str">
        <f>IFERROR(__xludf.DUMMYFUNCTION("""COMPUTED_VALUE"""),"краса та здоров'я")</f>
        <v>краса та здоров'я</v>
      </c>
      <c r="C1920" s="16" t="str">
        <f>IFERROR(__xludf.DUMMYFUNCTION("""COMPUTED_VALUE"""),"гігієнічні вироби та засоби")</f>
        <v>гігієнічні вироби та засоби</v>
      </c>
      <c r="D1920" s="16" t="str">
        <f>IFERROR(__xludf.DUMMYFUNCTION("""COMPUTED_VALUE"""),"засоби для ванни та душу")</f>
        <v>засоби для ванни та душу</v>
      </c>
      <c r="E1920" s="16" t="str">
        <f>IFERROR(__xludf.DUMMYFUNCTION("""COMPUTED_VALUE"""),"засоби для ванни та душу, загальне")</f>
        <v>засоби для ванни та душу, загальне</v>
      </c>
      <c r="F1920" s="17">
        <f>IFERROR(__xludf.DUMMYFUNCTION("""COMPUTED_VALUE"""),4.0)</f>
        <v>4</v>
      </c>
      <c r="G1920" s="17" t="str">
        <f>IFERROR(__xludf.DUMMYFUNCTION("""COMPUTED_VALUE"""),"330408")</f>
        <v>330408</v>
      </c>
      <c r="H1920" s="17" t="str">
        <f>IFERROR(__xludf.DUMMYFUNCTION("""COMPUTED_VALUE"""),"засоби для ванни та душу, загальне")</f>
        <v>засоби для ванни та душу, загальне</v>
      </c>
      <c r="I1920" s="19">
        <f>IFERROR(__xludf.DUMMYFUNCTION("""COMPUTED_VALUE"""),0.125)</f>
        <v>0.125</v>
      </c>
      <c r="J1920" s="19">
        <f>IFERROR(__xludf.DUMMYFUNCTION("""COMPUTED_VALUE"""),0.25)</f>
        <v>0.25</v>
      </c>
      <c r="K1920" s="19">
        <f>IFERROR(__xludf.DUMMYFUNCTION("""COMPUTED_VALUE"""),0.3125)</f>
        <v>0.3125</v>
      </c>
      <c r="L1920" s="19">
        <f>IFERROR(__xludf.DUMMYFUNCTION("""COMPUTED_VALUE"""),0.375)</f>
        <v>0.375</v>
      </c>
      <c r="M1920" s="18">
        <f>IFERROR(__xludf.DUMMYFUNCTION("""COMPUTED_VALUE"""),4.33)</f>
        <v>4.33</v>
      </c>
    </row>
    <row r="1921">
      <c r="A1921" s="13" t="str">
        <f>IFERROR(__xludf.DUMMYFUNCTION("""COMPUTED_VALUE"""),"товари")</f>
        <v>товари</v>
      </c>
      <c r="B1921" s="16" t="str">
        <f>IFERROR(__xludf.DUMMYFUNCTION("""COMPUTED_VALUE"""),"краса та здоров'я")</f>
        <v>краса та здоров'я</v>
      </c>
      <c r="C1921" s="16" t="str">
        <f>IFERROR(__xludf.DUMMYFUNCTION("""COMPUTED_VALUE"""),"косметика по догляду")</f>
        <v>косметика по догляду</v>
      </c>
      <c r="D1921" s="16" t="str">
        <f>IFERROR(__xludf.DUMMYFUNCTION("""COMPUTED_VALUE"""),"догляд за волоссям")</f>
        <v>догляд за волоссям</v>
      </c>
      <c r="E1921" s="16" t="str">
        <f>IFERROR(__xludf.DUMMYFUNCTION("""COMPUTED_VALUE"""),"засоби для видалення фарби з волосся і шкіри голови")</f>
        <v>засоби для видалення фарби з волосся і шкіри голови</v>
      </c>
      <c r="F1921" s="17">
        <f>IFERROR(__xludf.DUMMYFUNCTION("""COMPUTED_VALUE"""),4.0)</f>
        <v>4</v>
      </c>
      <c r="G1921" s="17" t="str">
        <f>IFERROR(__xludf.DUMMYFUNCTION("""COMPUTED_VALUE"""),"330715")</f>
        <v>330715</v>
      </c>
      <c r="H1921" s="17" t="str">
        <f>IFERROR(__xludf.DUMMYFUNCTION("""COMPUTED_VALUE"""),"засоби для видалення фарби з волосся і шкіри голови")</f>
        <v>засоби для видалення фарби з волосся і шкіри голови</v>
      </c>
      <c r="I1921" s="19">
        <f>IFERROR(__xludf.DUMMYFUNCTION("""COMPUTED_VALUE"""),0.0644)</f>
        <v>0.0644</v>
      </c>
      <c r="J1921" s="19">
        <f>IFERROR(__xludf.DUMMYFUNCTION("""COMPUTED_VALUE"""),0.1288)</f>
        <v>0.1288</v>
      </c>
      <c r="K1921" s="19">
        <f>IFERROR(__xludf.DUMMYFUNCTION("""COMPUTED_VALUE"""),0.161)</f>
        <v>0.161</v>
      </c>
      <c r="L1921" s="19">
        <f>IFERROR(__xludf.DUMMYFUNCTION("""COMPUTED_VALUE"""),0.1932)</f>
        <v>0.1932</v>
      </c>
      <c r="M1921" s="18">
        <f>IFERROR(__xludf.DUMMYFUNCTION("""COMPUTED_VALUE"""),1.63)</f>
        <v>1.63</v>
      </c>
    </row>
    <row r="1922">
      <c r="A1922" s="13" t="str">
        <f>IFERROR(__xludf.DUMMYFUNCTION("""COMPUTED_VALUE"""),"товари")</f>
        <v>товари</v>
      </c>
      <c r="B1922" s="16" t="str">
        <f>IFERROR(__xludf.DUMMYFUNCTION("""COMPUTED_VALUE"""),"краса та здоров'я")</f>
        <v>краса та здоров'я</v>
      </c>
      <c r="C1922" s="16" t="str">
        <f>IFERROR(__xludf.DUMMYFUNCTION("""COMPUTED_VALUE"""),"гігієнічні вироби та засоби")</f>
        <v>гігієнічні вироби та засоби</v>
      </c>
      <c r="D1922" s="16" t="str">
        <f>IFERROR(__xludf.DUMMYFUNCTION("""COMPUTED_VALUE"""),"засоби для гігієни порожнини рота")</f>
        <v>засоби для гігієни порожнини рота</v>
      </c>
      <c r="E1922" s="16" t="str">
        <f>IFERROR(__xludf.DUMMYFUNCTION("""COMPUTED_VALUE"""),"засоби для відбілювання зубів")</f>
        <v>засоби для відбілювання зубів</v>
      </c>
      <c r="F1922" s="17">
        <f>IFERROR(__xludf.DUMMYFUNCTION("""COMPUTED_VALUE"""),4.0)</f>
        <v>4</v>
      </c>
      <c r="G1922" s="17" t="str">
        <f>IFERROR(__xludf.DUMMYFUNCTION("""COMPUTED_VALUE"""),"330511")</f>
        <v>330511</v>
      </c>
      <c r="H1922" s="17" t="str">
        <f>IFERROR(__xludf.DUMMYFUNCTION("""COMPUTED_VALUE"""),"засоби для відбілювання зубів")</f>
        <v>засоби для відбілювання зубів</v>
      </c>
      <c r="I1922" s="19">
        <f>IFERROR(__xludf.DUMMYFUNCTION("""COMPUTED_VALUE"""),0.0633)</f>
        <v>0.0633</v>
      </c>
      <c r="J1922" s="19">
        <f>IFERROR(__xludf.DUMMYFUNCTION("""COMPUTED_VALUE"""),0.1265)</f>
        <v>0.1265</v>
      </c>
      <c r="K1922" s="19">
        <f>IFERROR(__xludf.DUMMYFUNCTION("""COMPUTED_VALUE"""),0.1581)</f>
        <v>0.1581</v>
      </c>
      <c r="L1922" s="19">
        <f>IFERROR(__xludf.DUMMYFUNCTION("""COMPUTED_VALUE"""),0.1898)</f>
        <v>0.1898</v>
      </c>
      <c r="M1922" s="18">
        <f>IFERROR(__xludf.DUMMYFUNCTION("""COMPUTED_VALUE"""),1.8)</f>
        <v>1.8</v>
      </c>
    </row>
    <row r="1923">
      <c r="A1923" s="13" t="str">
        <f>IFERROR(__xludf.DUMMYFUNCTION("""COMPUTED_VALUE"""),"товари")</f>
        <v>товари</v>
      </c>
      <c r="B1923" s="16" t="str">
        <f>IFERROR(__xludf.DUMMYFUNCTION("""COMPUTED_VALUE"""),"краса та здоров'я")</f>
        <v>краса та здоров'я</v>
      </c>
      <c r="C1923" s="16" t="str">
        <f>IFERROR(__xludf.DUMMYFUNCTION("""COMPUTED_VALUE"""),"косметика по догляду")</f>
        <v>косметика по догляду</v>
      </c>
      <c r="D1923" s="16" t="str">
        <f>IFERROR(__xludf.DUMMYFUNCTION("""COMPUTED_VALUE"""),"догляд за обличчям")</f>
        <v>догляд за обличчям</v>
      </c>
      <c r="E1923" s="16" t="str">
        <f>IFERROR(__xludf.DUMMYFUNCTION("""COMPUTED_VALUE"""),"засоби для вмивання та очищення обличчя")</f>
        <v>засоби для вмивання та очищення обличчя</v>
      </c>
      <c r="F1923" s="17">
        <f>IFERROR(__xludf.DUMMYFUNCTION("""COMPUTED_VALUE"""),4.0)</f>
        <v>4</v>
      </c>
      <c r="G1923" s="17" t="str">
        <f>IFERROR(__xludf.DUMMYFUNCTION("""COMPUTED_VALUE"""),"330603")</f>
        <v>330603</v>
      </c>
      <c r="H1923" s="17" t="str">
        <f>IFERROR(__xludf.DUMMYFUNCTION("""COMPUTED_VALUE"""),"засоби для вмивання та очищення обличчя")</f>
        <v>засоби для вмивання та очищення обличчя</v>
      </c>
      <c r="I1923" s="19">
        <f>IFERROR(__xludf.DUMMYFUNCTION("""COMPUTED_VALUE"""),0.0664)</f>
        <v>0.0664</v>
      </c>
      <c r="J1923" s="19">
        <f>IFERROR(__xludf.DUMMYFUNCTION("""COMPUTED_VALUE"""),0.1327)</f>
        <v>0.1327</v>
      </c>
      <c r="K1923" s="19">
        <f>IFERROR(__xludf.DUMMYFUNCTION("""COMPUTED_VALUE"""),0.1659)</f>
        <v>0.1659</v>
      </c>
      <c r="L1923" s="19">
        <f>IFERROR(__xludf.DUMMYFUNCTION("""COMPUTED_VALUE"""),0.1991)</f>
        <v>0.1991</v>
      </c>
      <c r="M1923" s="18">
        <f>IFERROR(__xludf.DUMMYFUNCTION("""COMPUTED_VALUE"""),1.71)</f>
        <v>1.71</v>
      </c>
    </row>
    <row r="1924">
      <c r="A1924" s="13" t="str">
        <f>IFERROR(__xludf.DUMMYFUNCTION("""COMPUTED_VALUE"""),"товари")</f>
        <v>товари</v>
      </c>
      <c r="B1924" s="16" t="str">
        <f>IFERROR(__xludf.DUMMYFUNCTION("""COMPUTED_VALUE"""),"краса та здоров'я")</f>
        <v>краса та здоров'я</v>
      </c>
      <c r="C1924" s="16" t="str">
        <f>IFERROR(__xludf.DUMMYFUNCTION("""COMPUTED_VALUE"""),"гігієнічні вироби та засоби")</f>
        <v>гігієнічні вироби та засоби</v>
      </c>
      <c r="D1924" s="16" t="str">
        <f>IFERROR(__xludf.DUMMYFUNCTION("""COMPUTED_VALUE"""),"засоби для гігієни порожнини рота")</f>
        <v>засоби для гігієни порожнини рота</v>
      </c>
      <c r="E1924" s="16" t="str">
        <f>IFERROR(__xludf.DUMMYFUNCTION("""COMPUTED_VALUE"""),"засоби для гігієни порожнини рота, загальне")</f>
        <v>засоби для гігієни порожнини рота, загальне</v>
      </c>
      <c r="F1924" s="17">
        <f>IFERROR(__xludf.DUMMYFUNCTION("""COMPUTED_VALUE"""),4.0)</f>
        <v>4</v>
      </c>
      <c r="G1924" s="17" t="str">
        <f>IFERROR(__xludf.DUMMYFUNCTION("""COMPUTED_VALUE"""),"330508")</f>
        <v>330508</v>
      </c>
      <c r="H1924" s="17" t="str">
        <f>IFERROR(__xludf.DUMMYFUNCTION("""COMPUTED_VALUE"""),"засоби для гігієни порожнини рота, загальне")</f>
        <v>засоби для гігієни порожнини рота, загальне</v>
      </c>
      <c r="I1924" s="19">
        <f>IFERROR(__xludf.DUMMYFUNCTION("""COMPUTED_VALUE"""),0.125)</f>
        <v>0.125</v>
      </c>
      <c r="J1924" s="19">
        <f>IFERROR(__xludf.DUMMYFUNCTION("""COMPUTED_VALUE"""),0.25)</f>
        <v>0.25</v>
      </c>
      <c r="K1924" s="19">
        <f>IFERROR(__xludf.DUMMYFUNCTION("""COMPUTED_VALUE"""),0.3125)</f>
        <v>0.3125</v>
      </c>
      <c r="L1924" s="19">
        <f>IFERROR(__xludf.DUMMYFUNCTION("""COMPUTED_VALUE"""),0.375)</f>
        <v>0.375</v>
      </c>
      <c r="M1924" s="18">
        <f>IFERROR(__xludf.DUMMYFUNCTION("""COMPUTED_VALUE"""),4.33)</f>
        <v>4.33</v>
      </c>
    </row>
    <row r="1925">
      <c r="A1925" s="13" t="str">
        <f>IFERROR(__xludf.DUMMYFUNCTION("""COMPUTED_VALUE"""),"товари")</f>
        <v>товари</v>
      </c>
      <c r="B1925" s="16" t="str">
        <f>IFERROR(__xludf.DUMMYFUNCTION("""COMPUTED_VALUE"""),"краса та здоров'я")</f>
        <v>краса та здоров'я</v>
      </c>
      <c r="C1925" s="16" t="str">
        <f>IFERROR(__xludf.DUMMYFUNCTION("""COMPUTED_VALUE"""),"косметика по догляду")</f>
        <v>косметика по догляду</v>
      </c>
      <c r="D1925" s="16" t="str">
        <f>IFERROR(__xludf.DUMMYFUNCTION("""COMPUTED_VALUE"""),"догляд за обличчям")</f>
        <v>догляд за обличчям</v>
      </c>
      <c r="E1925" s="16" t="str">
        <f>IFERROR(__xludf.DUMMYFUNCTION("""COMPUTED_VALUE"""),"засоби для демакіяжу")</f>
        <v>засоби для демакіяжу</v>
      </c>
      <c r="F1925" s="17">
        <f>IFERROR(__xludf.DUMMYFUNCTION("""COMPUTED_VALUE"""),4.0)</f>
        <v>4</v>
      </c>
      <c r="G1925" s="17" t="str">
        <f>IFERROR(__xludf.DUMMYFUNCTION("""COMPUTED_VALUE"""),"330602")</f>
        <v>330602</v>
      </c>
      <c r="H1925" s="17" t="str">
        <f>IFERROR(__xludf.DUMMYFUNCTION("""COMPUTED_VALUE"""),"засоби для демакіяжу")</f>
        <v>засоби для демакіяжу</v>
      </c>
      <c r="I1925" s="19">
        <f>IFERROR(__xludf.DUMMYFUNCTION("""COMPUTED_VALUE"""),0.0664)</f>
        <v>0.0664</v>
      </c>
      <c r="J1925" s="19">
        <f>IFERROR(__xludf.DUMMYFUNCTION("""COMPUTED_VALUE"""),0.1327)</f>
        <v>0.1327</v>
      </c>
      <c r="K1925" s="19">
        <f>IFERROR(__xludf.DUMMYFUNCTION("""COMPUTED_VALUE"""),0.1659)</f>
        <v>0.1659</v>
      </c>
      <c r="L1925" s="19">
        <f>IFERROR(__xludf.DUMMYFUNCTION("""COMPUTED_VALUE"""),0.1991)</f>
        <v>0.1991</v>
      </c>
      <c r="M1925" s="18">
        <f>IFERROR(__xludf.DUMMYFUNCTION("""COMPUTED_VALUE"""),1.71)</f>
        <v>1.71</v>
      </c>
    </row>
    <row r="1926">
      <c r="A1926" s="13" t="str">
        <f>IFERROR(__xludf.DUMMYFUNCTION("""COMPUTED_VALUE"""),"товари")</f>
        <v>товари</v>
      </c>
      <c r="B1926" s="16" t="str">
        <f>IFERROR(__xludf.DUMMYFUNCTION("""COMPUTED_VALUE"""),"краса та здоров'я")</f>
        <v>краса та здоров'я</v>
      </c>
      <c r="C1926" s="16" t="str">
        <f>IFERROR(__xludf.DUMMYFUNCTION("""COMPUTED_VALUE"""),"все для епіляції і депіляції")</f>
        <v>все для епіляції і депіляції</v>
      </c>
      <c r="D1926" s="16" t="str">
        <f>IFERROR(__xludf.DUMMYFUNCTION("""COMPUTED_VALUE"""),"засоби для депіляції")</f>
        <v>засоби для депіляції</v>
      </c>
      <c r="E1926" s="16" t="str">
        <f>IFERROR(__xludf.DUMMYFUNCTION("""COMPUTED_VALUE"""),"засоби для депіляції")</f>
        <v>засоби для депіляції</v>
      </c>
      <c r="F1926" s="17">
        <f>IFERROR(__xludf.DUMMYFUNCTION("""COMPUTED_VALUE"""),3.0)</f>
        <v>3</v>
      </c>
      <c r="G1926" s="17" t="str">
        <f>IFERROR(__xludf.DUMMYFUNCTION("""COMPUTED_VALUE"""),"330617")</f>
        <v>330617</v>
      </c>
      <c r="H1926" s="17" t="str">
        <f>IFERROR(__xludf.DUMMYFUNCTION("""COMPUTED_VALUE"""),"засоби для депіляції")</f>
        <v>засоби для депіляції</v>
      </c>
      <c r="I1926" s="19">
        <f>IFERROR(__xludf.DUMMYFUNCTION("""COMPUTED_VALUE"""),0.0725)</f>
        <v>0.0725</v>
      </c>
      <c r="J1926" s="19">
        <f>IFERROR(__xludf.DUMMYFUNCTION("""COMPUTED_VALUE"""),0.145)</f>
        <v>0.145</v>
      </c>
      <c r="K1926" s="19">
        <f>IFERROR(__xludf.DUMMYFUNCTION("""COMPUTED_VALUE"""),0.1813)</f>
        <v>0.1813</v>
      </c>
      <c r="L1926" s="19">
        <f>IFERROR(__xludf.DUMMYFUNCTION("""COMPUTED_VALUE"""),0.2175)</f>
        <v>0.2175</v>
      </c>
      <c r="M1926" s="18">
        <f>IFERROR(__xludf.DUMMYFUNCTION("""COMPUTED_VALUE"""),4.65)</f>
        <v>4.65</v>
      </c>
    </row>
    <row r="1927">
      <c r="A1927" s="13" t="str">
        <f>IFERROR(__xludf.DUMMYFUNCTION("""COMPUTED_VALUE"""),"товари")</f>
        <v>товари</v>
      </c>
      <c r="B1927" s="16" t="str">
        <f>IFERROR(__xludf.DUMMYFUNCTION("""COMPUTED_VALUE"""),"краса та здоров'я")</f>
        <v>краса та здоров'я</v>
      </c>
      <c r="C1927" s="16" t="str">
        <f>IFERROR(__xludf.DUMMYFUNCTION("""COMPUTED_VALUE"""),"косметика по догляду")</f>
        <v>косметика по догляду</v>
      </c>
      <c r="D1927" s="16" t="str">
        <f>IFERROR(__xludf.DUMMYFUNCTION("""COMPUTED_VALUE"""),"догляд за тілом")</f>
        <v>догляд за тілом</v>
      </c>
      <c r="E1927" s="16" t="str">
        <f>IFERROR(__xludf.DUMMYFUNCTION("""COMPUTED_VALUE"""),"засоби для догляду за грудьми")</f>
        <v>засоби для догляду за грудьми</v>
      </c>
      <c r="F1927" s="17">
        <f>IFERROR(__xludf.DUMMYFUNCTION("""COMPUTED_VALUE"""),4.0)</f>
        <v>4</v>
      </c>
      <c r="G1927" s="17" t="str">
        <f>IFERROR(__xludf.DUMMYFUNCTION("""COMPUTED_VALUE"""),"3310")</f>
        <v>3310</v>
      </c>
      <c r="H1927" s="17" t="str">
        <f>IFERROR(__xludf.DUMMYFUNCTION("""COMPUTED_VALUE"""),"засоби для догляду за грудьми")</f>
        <v>засоби для догляду за грудьми</v>
      </c>
      <c r="I1927" s="19">
        <f>IFERROR(__xludf.DUMMYFUNCTION("""COMPUTED_VALUE"""),0.0656)</f>
        <v>0.0656</v>
      </c>
      <c r="J1927" s="19">
        <f>IFERROR(__xludf.DUMMYFUNCTION("""COMPUTED_VALUE"""),0.1311)</f>
        <v>0.1311</v>
      </c>
      <c r="K1927" s="19">
        <f>IFERROR(__xludf.DUMMYFUNCTION("""COMPUTED_VALUE"""),0.1639)</f>
        <v>0.1639</v>
      </c>
      <c r="L1927" s="19">
        <f>IFERROR(__xludf.DUMMYFUNCTION("""COMPUTED_VALUE"""),0.1967)</f>
        <v>0.1967</v>
      </c>
      <c r="M1927" s="18">
        <f>IFERROR(__xludf.DUMMYFUNCTION("""COMPUTED_VALUE"""),1.8)</f>
        <v>1.8</v>
      </c>
    </row>
    <row r="1928">
      <c r="A1928" s="13" t="str">
        <f>IFERROR(__xludf.DUMMYFUNCTION("""COMPUTED_VALUE"""),"товари")</f>
        <v>товари</v>
      </c>
      <c r="B1928" s="16" t="str">
        <f>IFERROR(__xludf.DUMMYFUNCTION("""COMPUTED_VALUE"""),"краса та здоров'я")</f>
        <v>краса та здоров'я</v>
      </c>
      <c r="C1928" s="16" t="str">
        <f>IFERROR(__xludf.DUMMYFUNCTION("""COMPUTED_VALUE"""),"гігієнічні вироби та засоби")</f>
        <v>гігієнічні вироби та засоби</v>
      </c>
      <c r="D1928" s="16" t="str">
        <f>IFERROR(__xludf.DUMMYFUNCTION("""COMPUTED_VALUE"""),"засоби для гігієни порожнини рота")</f>
        <v>засоби для гігієни порожнини рота</v>
      </c>
      <c r="E1928" s="16" t="str">
        <f>IFERROR(__xludf.DUMMYFUNCTION("""COMPUTED_VALUE"""),"засоби для догляду за зубними протезами")</f>
        <v>засоби для догляду за зубними протезами</v>
      </c>
      <c r="F1928" s="17">
        <f>IFERROR(__xludf.DUMMYFUNCTION("""COMPUTED_VALUE"""),4.0)</f>
        <v>4</v>
      </c>
      <c r="G1928" s="17" t="str">
        <f>IFERROR(__xludf.DUMMYFUNCTION("""COMPUTED_VALUE"""),"330512")</f>
        <v>330512</v>
      </c>
      <c r="H1928" s="17" t="str">
        <f>IFERROR(__xludf.DUMMYFUNCTION("""COMPUTED_VALUE"""),"засоби для догляду за зубними протезами")</f>
        <v>засоби для догляду за зубними протезами</v>
      </c>
      <c r="I1928" s="19">
        <f>IFERROR(__xludf.DUMMYFUNCTION("""COMPUTED_VALUE"""),0.0633)</f>
        <v>0.0633</v>
      </c>
      <c r="J1928" s="19">
        <f>IFERROR(__xludf.DUMMYFUNCTION("""COMPUTED_VALUE"""),0.1265)</f>
        <v>0.1265</v>
      </c>
      <c r="K1928" s="19">
        <f>IFERROR(__xludf.DUMMYFUNCTION("""COMPUTED_VALUE"""),0.1581)</f>
        <v>0.1581</v>
      </c>
      <c r="L1928" s="19">
        <f>IFERROR(__xludf.DUMMYFUNCTION("""COMPUTED_VALUE"""),0.1898)</f>
        <v>0.1898</v>
      </c>
      <c r="M1928" s="18">
        <f>IFERROR(__xludf.DUMMYFUNCTION("""COMPUTED_VALUE"""),1.8)</f>
        <v>1.8</v>
      </c>
    </row>
    <row r="1929">
      <c r="A1929" s="13" t="str">
        <f>IFERROR(__xludf.DUMMYFUNCTION("""COMPUTED_VALUE"""),"товари")</f>
        <v>товари</v>
      </c>
      <c r="B1929" s="16" t="str">
        <f>IFERROR(__xludf.DUMMYFUNCTION("""COMPUTED_VALUE"""),"краса та здоров'я")</f>
        <v>краса та здоров'я</v>
      </c>
      <c r="C1929" s="16" t="str">
        <f>IFERROR(__xludf.DUMMYFUNCTION("""COMPUTED_VALUE"""),"гігієнічні вироби та засоби")</f>
        <v>гігієнічні вироби та засоби</v>
      </c>
      <c r="D1929" s="16" t="str">
        <f>IFERROR(__xludf.DUMMYFUNCTION("""COMPUTED_VALUE"""),"засоби для ванни та душу")</f>
        <v>засоби для ванни та душу</v>
      </c>
      <c r="E1929" s="16" t="str">
        <f>IFERROR(__xludf.DUMMYFUNCTION("""COMPUTED_VALUE"""),"засоби для душа")</f>
        <v>засоби для душа</v>
      </c>
      <c r="F1929" s="17">
        <f>IFERROR(__xludf.DUMMYFUNCTION("""COMPUTED_VALUE"""),4.0)</f>
        <v>4</v>
      </c>
      <c r="G1929" s="17" t="str">
        <f>IFERROR(__xludf.DUMMYFUNCTION("""COMPUTED_VALUE"""),"330622")</f>
        <v>330622</v>
      </c>
      <c r="H1929" s="17" t="str">
        <f>IFERROR(__xludf.DUMMYFUNCTION("""COMPUTED_VALUE"""),"засоби для душа")</f>
        <v>засоби для душа</v>
      </c>
      <c r="I1929" s="19">
        <f>IFERROR(__xludf.DUMMYFUNCTION("""COMPUTED_VALUE"""),0.0617)</f>
        <v>0.0617</v>
      </c>
      <c r="J1929" s="19">
        <f>IFERROR(__xludf.DUMMYFUNCTION("""COMPUTED_VALUE"""),0.1234)</f>
        <v>0.1234</v>
      </c>
      <c r="K1929" s="19">
        <f>IFERROR(__xludf.DUMMYFUNCTION("""COMPUTED_VALUE"""),0.1543)</f>
        <v>0.1543</v>
      </c>
      <c r="L1929" s="19">
        <f>IFERROR(__xludf.DUMMYFUNCTION("""COMPUTED_VALUE"""),0.1851)</f>
        <v>0.1851</v>
      </c>
      <c r="M1929" s="18">
        <f>IFERROR(__xludf.DUMMYFUNCTION("""COMPUTED_VALUE"""),1.53)</f>
        <v>1.53</v>
      </c>
    </row>
    <row r="1930">
      <c r="A1930" s="13" t="str">
        <f>IFERROR(__xludf.DUMMYFUNCTION("""COMPUTED_VALUE"""),"товари")</f>
        <v>товари</v>
      </c>
      <c r="B1930" s="16" t="str">
        <f>IFERROR(__xludf.DUMMYFUNCTION("""COMPUTED_VALUE"""),"краса та здоров'я")</f>
        <v>краса та здоров'я</v>
      </c>
      <c r="C1930" s="16" t="str">
        <f>IFERROR(__xludf.DUMMYFUNCTION("""COMPUTED_VALUE"""),"косметика по догляду")</f>
        <v>косметика по догляду</v>
      </c>
      <c r="D1930" s="16" t="str">
        <f>IFERROR(__xludf.DUMMYFUNCTION("""COMPUTED_VALUE"""),"догляд за волоссям")</f>
        <v>догляд за волоссям</v>
      </c>
      <c r="E1930" s="16" t="str">
        <f>IFERROR(__xludf.DUMMYFUNCTION("""COMPUTED_VALUE"""),"засоби для завивки волосся")</f>
        <v>засоби для завивки волосся</v>
      </c>
      <c r="F1930" s="17">
        <f>IFERROR(__xludf.DUMMYFUNCTION("""COMPUTED_VALUE"""),4.0)</f>
        <v>4</v>
      </c>
      <c r="G1930" s="17" t="str">
        <f>IFERROR(__xludf.DUMMYFUNCTION("""COMPUTED_VALUE"""),"330725")</f>
        <v>330725</v>
      </c>
      <c r="H1930" s="17" t="str">
        <f>IFERROR(__xludf.DUMMYFUNCTION("""COMPUTED_VALUE"""),"засоби для завивки волосся")</f>
        <v>засоби для завивки волосся</v>
      </c>
      <c r="I1930" s="19">
        <f>IFERROR(__xludf.DUMMYFUNCTION("""COMPUTED_VALUE"""),0.0644)</f>
        <v>0.0644</v>
      </c>
      <c r="J1930" s="19">
        <f>IFERROR(__xludf.DUMMYFUNCTION("""COMPUTED_VALUE"""),0.1288)</f>
        <v>0.1288</v>
      </c>
      <c r="K1930" s="19">
        <f>IFERROR(__xludf.DUMMYFUNCTION("""COMPUTED_VALUE"""),0.161)</f>
        <v>0.161</v>
      </c>
      <c r="L1930" s="19">
        <f>IFERROR(__xludf.DUMMYFUNCTION("""COMPUTED_VALUE"""),0.1932)</f>
        <v>0.1932</v>
      </c>
      <c r="M1930" s="18">
        <f>IFERROR(__xludf.DUMMYFUNCTION("""COMPUTED_VALUE"""),1.63)</f>
        <v>1.63</v>
      </c>
    </row>
    <row r="1931">
      <c r="A1931" s="13" t="str">
        <f>IFERROR(__xludf.DUMMYFUNCTION("""COMPUTED_VALUE"""),"товари")</f>
        <v>товари</v>
      </c>
      <c r="B1931" s="16" t="str">
        <f>IFERROR(__xludf.DUMMYFUNCTION("""COMPUTED_VALUE"""),"краса та здоров'я")</f>
        <v>краса та здоров'я</v>
      </c>
      <c r="C1931" s="16" t="str">
        <f>IFERROR(__xludf.DUMMYFUNCTION("""COMPUTED_VALUE"""),"косметика по догляду")</f>
        <v>косметика по догляду</v>
      </c>
      <c r="D1931" s="16" t="str">
        <f>IFERROR(__xludf.DUMMYFUNCTION("""COMPUTED_VALUE"""),"засоби для засмаги")</f>
        <v>засоби для засмаги</v>
      </c>
      <c r="E1931" s="16" t="str">
        <f>IFERROR(__xludf.DUMMYFUNCTION("""COMPUTED_VALUE"""),"засоби для засмаги, загальне")</f>
        <v>засоби для засмаги, загальне</v>
      </c>
      <c r="F1931" s="17">
        <f>IFERROR(__xludf.DUMMYFUNCTION("""COMPUTED_VALUE"""),4.0)</f>
        <v>4</v>
      </c>
      <c r="G1931" s="17" t="str">
        <f>IFERROR(__xludf.DUMMYFUNCTION("""COMPUTED_VALUE"""),"331803")</f>
        <v>331803</v>
      </c>
      <c r="H1931" s="17" t="str">
        <f>IFERROR(__xludf.DUMMYFUNCTION("""COMPUTED_VALUE"""),"засоби для засмаги, загальне")</f>
        <v>засоби для засмаги, загальне</v>
      </c>
      <c r="I1931" s="19">
        <f>IFERROR(__xludf.DUMMYFUNCTION("""COMPUTED_VALUE"""),0.125)</f>
        <v>0.125</v>
      </c>
      <c r="J1931" s="19">
        <f>IFERROR(__xludf.DUMMYFUNCTION("""COMPUTED_VALUE"""),0.25)</f>
        <v>0.25</v>
      </c>
      <c r="K1931" s="19">
        <f>IFERROR(__xludf.DUMMYFUNCTION("""COMPUTED_VALUE"""),0.3125)</f>
        <v>0.3125</v>
      </c>
      <c r="L1931" s="19">
        <f>IFERROR(__xludf.DUMMYFUNCTION("""COMPUTED_VALUE"""),0.375)</f>
        <v>0.375</v>
      </c>
      <c r="M1931" s="18">
        <f>IFERROR(__xludf.DUMMYFUNCTION("""COMPUTED_VALUE"""),4.33)</f>
        <v>4.33</v>
      </c>
    </row>
    <row r="1932">
      <c r="A1932" s="13" t="str">
        <f>IFERROR(__xludf.DUMMYFUNCTION("""COMPUTED_VALUE"""),"товари")</f>
        <v>товари</v>
      </c>
      <c r="B1932" s="16" t="str">
        <f>IFERROR(__xludf.DUMMYFUNCTION("""COMPUTED_VALUE"""),"краса та здоров'я")</f>
        <v>краса та здоров'я</v>
      </c>
      <c r="C1932" s="16" t="str">
        <f>IFERROR(__xludf.DUMMYFUNCTION("""COMPUTED_VALUE"""),"все для манікюру і педикюру")</f>
        <v>все для манікюру і педикюру</v>
      </c>
      <c r="D1932" s="16" t="str">
        <f>IFERROR(__xludf.DUMMYFUNCTION("""COMPUTED_VALUE"""),"засоби для зняття лаку")</f>
        <v>засоби для зняття лаку</v>
      </c>
      <c r="E1932" s="16" t="str">
        <f>IFERROR(__xludf.DUMMYFUNCTION("""COMPUTED_VALUE"""),"засоби для зняття лаку")</f>
        <v>засоби для зняття лаку</v>
      </c>
      <c r="F1932" s="17">
        <f>IFERROR(__xludf.DUMMYFUNCTION("""COMPUTED_VALUE"""),3.0)</f>
        <v>3</v>
      </c>
      <c r="G1932" s="17" t="str">
        <f>IFERROR(__xludf.DUMMYFUNCTION("""COMPUTED_VALUE"""),"161808")</f>
        <v>161808</v>
      </c>
      <c r="H1932" s="17" t="str">
        <f>IFERROR(__xludf.DUMMYFUNCTION("""COMPUTED_VALUE"""),"засоби для зняття лаку")</f>
        <v>засоби для зняття лаку</v>
      </c>
      <c r="I1932" s="19">
        <f>IFERROR(__xludf.DUMMYFUNCTION("""COMPUTED_VALUE"""),0.071)</f>
        <v>0.071</v>
      </c>
      <c r="J1932" s="19">
        <f>IFERROR(__xludf.DUMMYFUNCTION("""COMPUTED_VALUE"""),0.1419)</f>
        <v>0.1419</v>
      </c>
      <c r="K1932" s="19">
        <f>IFERROR(__xludf.DUMMYFUNCTION("""COMPUTED_VALUE"""),0.1774)</f>
        <v>0.1774</v>
      </c>
      <c r="L1932" s="19">
        <f>IFERROR(__xludf.DUMMYFUNCTION("""COMPUTED_VALUE"""),0.2129)</f>
        <v>0.2129</v>
      </c>
      <c r="M1932" s="18">
        <f>IFERROR(__xludf.DUMMYFUNCTION("""COMPUTED_VALUE"""),1.71)</f>
        <v>1.71</v>
      </c>
    </row>
    <row r="1933">
      <c r="A1933" s="13" t="str">
        <f>IFERROR(__xludf.DUMMYFUNCTION("""COMPUTED_VALUE"""),"товари")</f>
        <v>товари</v>
      </c>
      <c r="B1933" s="16" t="str">
        <f>IFERROR(__xludf.DUMMYFUNCTION("""COMPUTED_VALUE"""),"краса та здоров'я")</f>
        <v>краса та здоров'я</v>
      </c>
      <c r="C1933" s="16" t="str">
        <f>IFERROR(__xludf.DUMMYFUNCTION("""COMPUTED_VALUE"""),"гігієнічні вироби та засоби")</f>
        <v>гігієнічні вироби та засоби</v>
      </c>
      <c r="D1933" s="16" t="str">
        <f>IFERROR(__xludf.DUMMYFUNCTION("""COMPUTED_VALUE"""),"засоби жіночої гігієни")</f>
        <v>засоби жіночої гігієни</v>
      </c>
      <c r="E1933" s="16" t="str">
        <f>IFERROR(__xludf.DUMMYFUNCTION("""COMPUTED_VALUE"""),"засоби для інтимної гігієни")</f>
        <v>засоби для інтимної гігієни</v>
      </c>
      <c r="F1933" s="17">
        <f>IFERROR(__xludf.DUMMYFUNCTION("""COMPUTED_VALUE"""),4.0)</f>
        <v>4</v>
      </c>
      <c r="G1933" s="17" t="str">
        <f>IFERROR(__xludf.DUMMYFUNCTION("""COMPUTED_VALUE"""),"330619")</f>
        <v>330619</v>
      </c>
      <c r="H1933" s="17" t="str">
        <f>IFERROR(__xludf.DUMMYFUNCTION("""COMPUTED_VALUE"""),"засоби для інтимної гігієни")</f>
        <v>засоби для інтимної гігієни</v>
      </c>
      <c r="I1933" s="19">
        <f>IFERROR(__xludf.DUMMYFUNCTION("""COMPUTED_VALUE"""),0.066)</f>
        <v>0.066</v>
      </c>
      <c r="J1933" s="19">
        <f>IFERROR(__xludf.DUMMYFUNCTION("""COMPUTED_VALUE"""),0.1319)</f>
        <v>0.1319</v>
      </c>
      <c r="K1933" s="19">
        <f>IFERROR(__xludf.DUMMYFUNCTION("""COMPUTED_VALUE"""),0.1649)</f>
        <v>0.1649</v>
      </c>
      <c r="L1933" s="19">
        <f>IFERROR(__xludf.DUMMYFUNCTION("""COMPUTED_VALUE"""),0.1979)</f>
        <v>0.1979</v>
      </c>
      <c r="M1933" s="18">
        <f>IFERROR(__xludf.DUMMYFUNCTION("""COMPUTED_VALUE"""),1.05)</f>
        <v>1.05</v>
      </c>
    </row>
    <row r="1934">
      <c r="A1934" s="13" t="str">
        <f>IFERROR(__xludf.DUMMYFUNCTION("""COMPUTED_VALUE"""),"товари")</f>
        <v>товари</v>
      </c>
      <c r="B1934" s="16" t="str">
        <f>IFERROR(__xludf.DUMMYFUNCTION("""COMPUTED_VALUE"""),"краса та здоров'я")</f>
        <v>краса та здоров'я</v>
      </c>
      <c r="C1934" s="16" t="str">
        <f>IFERROR(__xludf.DUMMYFUNCTION("""COMPUTED_VALUE"""),"косметика по догляду")</f>
        <v>косметика по догляду</v>
      </c>
      <c r="D1934" s="16" t="str">
        <f>IFERROR(__xludf.DUMMYFUNCTION("""COMPUTED_VALUE"""),"догляд за волоссям")</f>
        <v>догляд за волоссям</v>
      </c>
      <c r="E1934" s="16" t="str">
        <f>IFERROR(__xludf.DUMMYFUNCTION("""COMPUTED_VALUE"""),"засоби для лікування волосся і шкіри голови")</f>
        <v>засоби для лікування волосся і шкіри голови</v>
      </c>
      <c r="F1934" s="17">
        <f>IFERROR(__xludf.DUMMYFUNCTION("""COMPUTED_VALUE"""),4.0)</f>
        <v>4</v>
      </c>
      <c r="G1934" s="17" t="str">
        <f>IFERROR(__xludf.DUMMYFUNCTION("""COMPUTED_VALUE"""),"330707")</f>
        <v>330707</v>
      </c>
      <c r="H1934" s="17" t="str">
        <f>IFERROR(__xludf.DUMMYFUNCTION("""COMPUTED_VALUE"""),"засоби для лікування волосся і шкіри голови")</f>
        <v>засоби для лікування волосся і шкіри голови</v>
      </c>
      <c r="I1934" s="19">
        <f>IFERROR(__xludf.DUMMYFUNCTION("""COMPUTED_VALUE"""),0.0644)</f>
        <v>0.0644</v>
      </c>
      <c r="J1934" s="19">
        <f>IFERROR(__xludf.DUMMYFUNCTION("""COMPUTED_VALUE"""),0.1288)</f>
        <v>0.1288</v>
      </c>
      <c r="K1934" s="19">
        <f>IFERROR(__xludf.DUMMYFUNCTION("""COMPUTED_VALUE"""),0.161)</f>
        <v>0.161</v>
      </c>
      <c r="L1934" s="19">
        <f>IFERROR(__xludf.DUMMYFUNCTION("""COMPUTED_VALUE"""),0.1932)</f>
        <v>0.1932</v>
      </c>
      <c r="M1934" s="18">
        <f>IFERROR(__xludf.DUMMYFUNCTION("""COMPUTED_VALUE"""),1.63)</f>
        <v>1.63</v>
      </c>
    </row>
    <row r="1935">
      <c r="A1935" s="13" t="str">
        <f>IFERROR(__xludf.DUMMYFUNCTION("""COMPUTED_VALUE"""),"товари")</f>
        <v>товари</v>
      </c>
      <c r="B1935" s="16" t="str">
        <f>IFERROR(__xludf.DUMMYFUNCTION("""COMPUTED_VALUE"""),"краса та здоров'я")</f>
        <v>краса та здоров'я</v>
      </c>
      <c r="C1935" s="16" t="str">
        <f>IFERROR(__xludf.DUMMYFUNCTION("""COMPUTED_VALUE"""),"косметика по догляду")</f>
        <v>косметика по догляду</v>
      </c>
      <c r="D1935" s="16" t="str">
        <f>IFERROR(__xludf.DUMMYFUNCTION("""COMPUTED_VALUE"""),"догляд за волоссям")</f>
        <v>догляд за волоссям</v>
      </c>
      <c r="E1935" s="16" t="str">
        <f>IFERROR(__xludf.DUMMYFUNCTION("""COMPUTED_VALUE"""),"засоби для освітлення волосся")</f>
        <v>засоби для освітлення волосся</v>
      </c>
      <c r="F1935" s="17">
        <f>IFERROR(__xludf.DUMMYFUNCTION("""COMPUTED_VALUE"""),4.0)</f>
        <v>4</v>
      </c>
      <c r="G1935" s="17" t="str">
        <f>IFERROR(__xludf.DUMMYFUNCTION("""COMPUTED_VALUE"""),"330712")</f>
        <v>330712</v>
      </c>
      <c r="H1935" s="17" t="str">
        <f>IFERROR(__xludf.DUMMYFUNCTION("""COMPUTED_VALUE"""),"засоби для освітлення волосся")</f>
        <v>засоби для освітлення волосся</v>
      </c>
      <c r="I1935" s="19">
        <f>IFERROR(__xludf.DUMMYFUNCTION("""COMPUTED_VALUE"""),0.0644)</f>
        <v>0.0644</v>
      </c>
      <c r="J1935" s="19">
        <f>IFERROR(__xludf.DUMMYFUNCTION("""COMPUTED_VALUE"""),0.1288)</f>
        <v>0.1288</v>
      </c>
      <c r="K1935" s="19">
        <f>IFERROR(__xludf.DUMMYFUNCTION("""COMPUTED_VALUE"""),0.161)</f>
        <v>0.161</v>
      </c>
      <c r="L1935" s="19">
        <f>IFERROR(__xludf.DUMMYFUNCTION("""COMPUTED_VALUE"""),0.1932)</f>
        <v>0.1932</v>
      </c>
      <c r="M1935" s="18">
        <f>IFERROR(__xludf.DUMMYFUNCTION("""COMPUTED_VALUE"""),1.63)</f>
        <v>1.63</v>
      </c>
    </row>
    <row r="1936">
      <c r="A1936" s="13" t="str">
        <f>IFERROR(__xludf.DUMMYFUNCTION("""COMPUTED_VALUE"""),"товари")</f>
        <v>товари</v>
      </c>
      <c r="B1936" s="16" t="str">
        <f>IFERROR(__xludf.DUMMYFUNCTION("""COMPUTED_VALUE"""),"краса та здоров'я")</f>
        <v>краса та здоров'я</v>
      </c>
      <c r="C1936" s="16" t="str">
        <f>IFERROR(__xludf.DUMMYFUNCTION("""COMPUTED_VALUE"""),"косметика по догляду")</f>
        <v>косметика по догляду</v>
      </c>
      <c r="D1936" s="16" t="str">
        <f>IFERROR(__xludf.DUMMYFUNCTION("""COMPUTED_VALUE"""),"догляд за обличчям")</f>
        <v>догляд за обличчям</v>
      </c>
      <c r="E1936" s="16" t="str">
        <f>IFERROR(__xludf.DUMMYFUNCTION("""COMPUTED_VALUE"""),"засоби для пілінгу обличчя")</f>
        <v>засоби для пілінгу обличчя</v>
      </c>
      <c r="F1936" s="17">
        <f>IFERROR(__xludf.DUMMYFUNCTION("""COMPUTED_VALUE"""),4.0)</f>
        <v>4</v>
      </c>
      <c r="G1936" s="17" t="str">
        <f>IFERROR(__xludf.DUMMYFUNCTION("""COMPUTED_VALUE"""),"330607")</f>
        <v>330607</v>
      </c>
      <c r="H1936" s="17" t="str">
        <f>IFERROR(__xludf.DUMMYFUNCTION("""COMPUTED_VALUE"""),"засоби для пілінгу обличчя")</f>
        <v>засоби для пілінгу обличчя</v>
      </c>
      <c r="I1936" s="19">
        <f>IFERROR(__xludf.DUMMYFUNCTION("""COMPUTED_VALUE"""),0.0664)</f>
        <v>0.0664</v>
      </c>
      <c r="J1936" s="19">
        <f>IFERROR(__xludf.DUMMYFUNCTION("""COMPUTED_VALUE"""),0.1327)</f>
        <v>0.1327</v>
      </c>
      <c r="K1936" s="19">
        <f>IFERROR(__xludf.DUMMYFUNCTION("""COMPUTED_VALUE"""),0.1659)</f>
        <v>0.1659</v>
      </c>
      <c r="L1936" s="19">
        <f>IFERROR(__xludf.DUMMYFUNCTION("""COMPUTED_VALUE"""),0.1991)</f>
        <v>0.1991</v>
      </c>
      <c r="M1936" s="18">
        <f>IFERROR(__xludf.DUMMYFUNCTION("""COMPUTED_VALUE"""),1.71)</f>
        <v>1.71</v>
      </c>
    </row>
    <row r="1937">
      <c r="A1937" s="13" t="str">
        <f>IFERROR(__xludf.DUMMYFUNCTION("""COMPUTED_VALUE"""),"товари")</f>
        <v>товари</v>
      </c>
      <c r="B1937" s="16" t="str">
        <f>IFERROR(__xludf.DUMMYFUNCTION("""COMPUTED_VALUE"""),"краса та здоров'я")</f>
        <v>краса та здоров'я</v>
      </c>
      <c r="C1937" s="16" t="str">
        <f>IFERROR(__xludf.DUMMYFUNCTION("""COMPUTED_VALUE"""),"косметика по догляду")</f>
        <v>косметика по догляду</v>
      </c>
      <c r="D1937" s="16" t="str">
        <f>IFERROR(__xludf.DUMMYFUNCTION("""COMPUTED_VALUE"""),"догляд за тілом")</f>
        <v>догляд за тілом</v>
      </c>
      <c r="E1937" s="16" t="str">
        <f>IFERROR(__xludf.DUMMYFUNCTION("""COMPUTED_VALUE"""),"засоби для пілінгу тіла")</f>
        <v>засоби для пілінгу тіла</v>
      </c>
      <c r="F1937" s="17">
        <f>IFERROR(__xludf.DUMMYFUNCTION("""COMPUTED_VALUE"""),4.0)</f>
        <v>4</v>
      </c>
      <c r="G1937" s="17" t="str">
        <f>IFERROR(__xludf.DUMMYFUNCTION("""COMPUTED_VALUE"""),"330615")</f>
        <v>330615</v>
      </c>
      <c r="H1937" s="17" t="str">
        <f>IFERROR(__xludf.DUMMYFUNCTION("""COMPUTED_VALUE"""),"засоби для пілінгу тіла")</f>
        <v>засоби для пілінгу тіла</v>
      </c>
      <c r="I1937" s="19">
        <f>IFERROR(__xludf.DUMMYFUNCTION("""COMPUTED_VALUE"""),0.0656)</f>
        <v>0.0656</v>
      </c>
      <c r="J1937" s="19">
        <f>IFERROR(__xludf.DUMMYFUNCTION("""COMPUTED_VALUE"""),0.1311)</f>
        <v>0.1311</v>
      </c>
      <c r="K1937" s="19">
        <f>IFERROR(__xludf.DUMMYFUNCTION("""COMPUTED_VALUE"""),0.1639)</f>
        <v>0.1639</v>
      </c>
      <c r="L1937" s="19">
        <f>IFERROR(__xludf.DUMMYFUNCTION("""COMPUTED_VALUE"""),0.1967)</f>
        <v>0.1967</v>
      </c>
      <c r="M1937" s="18">
        <f>IFERROR(__xludf.DUMMYFUNCTION("""COMPUTED_VALUE"""),1.8)</f>
        <v>1.8</v>
      </c>
    </row>
    <row r="1938">
      <c r="A1938" s="13" t="str">
        <f>IFERROR(__xludf.DUMMYFUNCTION("""COMPUTED_VALUE"""),"товари")</f>
        <v>товари</v>
      </c>
      <c r="B1938" s="16" t="str">
        <f>IFERROR(__xludf.DUMMYFUNCTION("""COMPUTED_VALUE"""),"краса та здоров'я")</f>
        <v>краса та здоров'я</v>
      </c>
      <c r="C1938" s="16" t="str">
        <f>IFERROR(__xludf.DUMMYFUNCTION("""COMPUTED_VALUE"""),"гігієнічні вироби та засоби")</f>
        <v>гігієнічні вироби та засоби</v>
      </c>
      <c r="D1938" s="16" t="str">
        <f>IFERROR(__xludf.DUMMYFUNCTION("""COMPUTED_VALUE"""),"засоби для ванни та душу")</f>
        <v>засоби для ванни та душу</v>
      </c>
      <c r="E1938" s="16" t="str">
        <f>IFERROR(__xludf.DUMMYFUNCTION("""COMPUTED_VALUE"""),"засоби для прийняття ванн")</f>
        <v>засоби для прийняття ванн</v>
      </c>
      <c r="F1938" s="17">
        <f>IFERROR(__xludf.DUMMYFUNCTION("""COMPUTED_VALUE"""),4.0)</f>
        <v>4</v>
      </c>
      <c r="G1938" s="17" t="str">
        <f>IFERROR(__xludf.DUMMYFUNCTION("""COMPUTED_VALUE"""),"330623")</f>
        <v>330623</v>
      </c>
      <c r="H1938" s="17" t="str">
        <f>IFERROR(__xludf.DUMMYFUNCTION("""COMPUTED_VALUE"""),"засоби для прийняття ванн")</f>
        <v>засоби для прийняття ванн</v>
      </c>
      <c r="I1938" s="19">
        <f>IFERROR(__xludf.DUMMYFUNCTION("""COMPUTED_VALUE"""),0.0617)</f>
        <v>0.0617</v>
      </c>
      <c r="J1938" s="19">
        <f>IFERROR(__xludf.DUMMYFUNCTION("""COMPUTED_VALUE"""),0.1234)</f>
        <v>0.1234</v>
      </c>
      <c r="K1938" s="19">
        <f>IFERROR(__xludf.DUMMYFUNCTION("""COMPUTED_VALUE"""),0.1543)</f>
        <v>0.1543</v>
      </c>
      <c r="L1938" s="19">
        <f>IFERROR(__xludf.DUMMYFUNCTION("""COMPUTED_VALUE"""),0.1851)</f>
        <v>0.1851</v>
      </c>
      <c r="M1938" s="18">
        <f>IFERROR(__xludf.DUMMYFUNCTION("""COMPUTED_VALUE"""),1.53)</f>
        <v>1.53</v>
      </c>
    </row>
    <row r="1939">
      <c r="A1939" s="13" t="str">
        <f>IFERROR(__xludf.DUMMYFUNCTION("""COMPUTED_VALUE"""),"товари")</f>
        <v>товари</v>
      </c>
      <c r="B1939" s="16" t="str">
        <f>IFERROR(__xludf.DUMMYFUNCTION("""COMPUTED_VALUE"""),"краса та здоров'я")</f>
        <v>краса та здоров'я</v>
      </c>
      <c r="C1939" s="16" t="str">
        <f>IFERROR(__xludf.DUMMYFUNCTION("""COMPUTED_VALUE"""),"декоративна косметика")</f>
        <v>декоративна косметика</v>
      </c>
      <c r="D1939" s="16" t="str">
        <f>IFERROR(__xludf.DUMMYFUNCTION("""COMPUTED_VALUE"""),"макіяж брів")</f>
        <v>макіяж брів</v>
      </c>
      <c r="E1939" s="16" t="str">
        <f>IFERROR(__xludf.DUMMYFUNCTION("""COMPUTED_VALUE"""),"засоби для укладання брів")</f>
        <v>засоби для укладання брів</v>
      </c>
      <c r="F1939" s="17">
        <f>IFERROR(__xludf.DUMMYFUNCTION("""COMPUTED_VALUE"""),4.0)</f>
        <v>4</v>
      </c>
      <c r="G1939" s="17" t="str">
        <f>IFERROR(__xludf.DUMMYFUNCTION("""COMPUTED_VALUE"""),"8210131")</f>
        <v>8210131</v>
      </c>
      <c r="H1939" s="17" t="str">
        <f>IFERROR(__xludf.DUMMYFUNCTION("""COMPUTED_VALUE"""),"засоби для укладання брів")</f>
        <v>засоби для укладання брів</v>
      </c>
      <c r="I1939" s="19">
        <f>IFERROR(__xludf.DUMMYFUNCTION("""COMPUTED_VALUE"""),0.0679)</f>
        <v>0.0679</v>
      </c>
      <c r="J1939" s="19">
        <f>IFERROR(__xludf.DUMMYFUNCTION("""COMPUTED_VALUE"""),0.1357)</f>
        <v>0.1357</v>
      </c>
      <c r="K1939" s="19">
        <f>IFERROR(__xludf.DUMMYFUNCTION("""COMPUTED_VALUE"""),0.1696)</f>
        <v>0.1696</v>
      </c>
      <c r="L1939" s="19">
        <f>IFERROR(__xludf.DUMMYFUNCTION("""COMPUTED_VALUE"""),0.2036)</f>
        <v>0.2036</v>
      </c>
      <c r="M1939" s="18">
        <f>IFERROR(__xludf.DUMMYFUNCTION("""COMPUTED_VALUE"""),2.53)</f>
        <v>2.53</v>
      </c>
    </row>
    <row r="1940">
      <c r="A1940" s="13" t="str">
        <f>IFERROR(__xludf.DUMMYFUNCTION("""COMPUTED_VALUE"""),"товари")</f>
        <v>товари</v>
      </c>
      <c r="B1940" s="16" t="str">
        <f>IFERROR(__xludf.DUMMYFUNCTION("""COMPUTED_VALUE"""),"краса та здоров'я")</f>
        <v>краса та здоров'я</v>
      </c>
      <c r="C1940" s="16" t="str">
        <f>IFERROR(__xludf.DUMMYFUNCTION("""COMPUTED_VALUE"""),"косметика по догляду")</f>
        <v>косметика по догляду</v>
      </c>
      <c r="D1940" s="16" t="str">
        <f>IFERROR(__xludf.DUMMYFUNCTION("""COMPUTED_VALUE"""),"догляд за волоссям")</f>
        <v>догляд за волоссям</v>
      </c>
      <c r="E1940" s="16" t="str">
        <f>IFERROR(__xludf.DUMMYFUNCTION("""COMPUTED_VALUE"""),"засоби для укладання волосся")</f>
        <v>засоби для укладання волосся</v>
      </c>
      <c r="F1940" s="17">
        <f>IFERROR(__xludf.DUMMYFUNCTION("""COMPUTED_VALUE"""),4.0)</f>
        <v>4</v>
      </c>
      <c r="G1940" s="17" t="str">
        <f>IFERROR(__xludf.DUMMYFUNCTION("""COMPUTED_VALUE"""),"330710")</f>
        <v>330710</v>
      </c>
      <c r="H1940" s="17" t="str">
        <f>IFERROR(__xludf.DUMMYFUNCTION("""COMPUTED_VALUE"""),"засоби для укладання волосся")</f>
        <v>засоби для укладання волосся</v>
      </c>
      <c r="I1940" s="19">
        <f>IFERROR(__xludf.DUMMYFUNCTION("""COMPUTED_VALUE"""),0.0644)</f>
        <v>0.0644</v>
      </c>
      <c r="J1940" s="19">
        <f>IFERROR(__xludf.DUMMYFUNCTION("""COMPUTED_VALUE"""),0.1288)</f>
        <v>0.1288</v>
      </c>
      <c r="K1940" s="19">
        <f>IFERROR(__xludf.DUMMYFUNCTION("""COMPUTED_VALUE"""),0.161)</f>
        <v>0.161</v>
      </c>
      <c r="L1940" s="19">
        <f>IFERROR(__xludf.DUMMYFUNCTION("""COMPUTED_VALUE"""),0.1932)</f>
        <v>0.1932</v>
      </c>
      <c r="M1940" s="18">
        <f>IFERROR(__xludf.DUMMYFUNCTION("""COMPUTED_VALUE"""),1.63)</f>
        <v>1.63</v>
      </c>
    </row>
    <row r="1941">
      <c r="A1941" s="13" t="str">
        <f>IFERROR(__xludf.DUMMYFUNCTION("""COMPUTED_VALUE"""),"товари")</f>
        <v>товари</v>
      </c>
      <c r="B1941" s="16" t="str">
        <f>IFERROR(__xludf.DUMMYFUNCTION("""COMPUTED_VALUE"""),"краса та здоров'я")</f>
        <v>краса та здоров'я</v>
      </c>
      <c r="C1941" s="16" t="str">
        <f>IFERROR(__xludf.DUMMYFUNCTION("""COMPUTED_VALUE"""),"дитяча косметика")</f>
        <v>дитяча косметика</v>
      </c>
      <c r="D1941" s="16" t="str">
        <f>IFERROR(__xludf.DUMMYFUNCTION("""COMPUTED_VALUE"""),"засоби догляду за дитиною, загальне")</f>
        <v>засоби догляду за дитиною, загальне</v>
      </c>
      <c r="E1941" s="16" t="str">
        <f>IFERROR(__xludf.DUMMYFUNCTION("""COMPUTED_VALUE"""),"засоби догляду за дитиною, загальне")</f>
        <v>засоби догляду за дитиною, загальне</v>
      </c>
      <c r="F1941" s="17">
        <f>IFERROR(__xludf.DUMMYFUNCTION("""COMPUTED_VALUE"""),3.0)</f>
        <v>3</v>
      </c>
      <c r="G1941" s="17" t="str">
        <f>IFERROR(__xludf.DUMMYFUNCTION("""COMPUTED_VALUE"""),"330102")</f>
        <v>330102</v>
      </c>
      <c r="H1941" s="17" t="str">
        <f>IFERROR(__xludf.DUMMYFUNCTION("""COMPUTED_VALUE"""),"засоби догляду за дитиною, загальне")</f>
        <v>засоби догляду за дитиною, загальне</v>
      </c>
      <c r="I1941" s="19">
        <f>IFERROR(__xludf.DUMMYFUNCTION("""COMPUTED_VALUE"""),0.125)</f>
        <v>0.125</v>
      </c>
      <c r="J1941" s="19">
        <f>IFERROR(__xludf.DUMMYFUNCTION("""COMPUTED_VALUE"""),0.25)</f>
        <v>0.25</v>
      </c>
      <c r="K1941" s="19">
        <f>IFERROR(__xludf.DUMMYFUNCTION("""COMPUTED_VALUE"""),0.3125)</f>
        <v>0.3125</v>
      </c>
      <c r="L1941" s="19">
        <f>IFERROR(__xludf.DUMMYFUNCTION("""COMPUTED_VALUE"""),0.375)</f>
        <v>0.375</v>
      </c>
      <c r="M1941" s="18">
        <f>IFERROR(__xludf.DUMMYFUNCTION("""COMPUTED_VALUE"""),4.33)</f>
        <v>4.33</v>
      </c>
    </row>
    <row r="1942">
      <c r="A1942" s="13" t="str">
        <f>IFERROR(__xludf.DUMMYFUNCTION("""COMPUTED_VALUE"""),"товари")</f>
        <v>товари</v>
      </c>
      <c r="B1942" s="16" t="str">
        <f>IFERROR(__xludf.DUMMYFUNCTION("""COMPUTED_VALUE"""),"краса та здоров'я")</f>
        <v>краса та здоров'я</v>
      </c>
      <c r="C1942" s="16" t="str">
        <f>IFERROR(__xludf.DUMMYFUNCTION("""COMPUTED_VALUE"""),"гігієнічні вироби та засоби")</f>
        <v>гігієнічні вироби та засоби</v>
      </c>
      <c r="D1942" s="16" t="str">
        <f>IFERROR(__xludf.DUMMYFUNCTION("""COMPUTED_VALUE"""),"засоби жіночої гігієни")</f>
        <v>засоби жіночої гігієни</v>
      </c>
      <c r="E1942" s="16" t="str">
        <f>IFERROR(__xludf.DUMMYFUNCTION("""COMPUTED_VALUE"""),"засоби жіночої гігієни, загальне")</f>
        <v>засоби жіночої гігієни, загальне</v>
      </c>
      <c r="F1942" s="17">
        <f>IFERROR(__xludf.DUMMYFUNCTION("""COMPUTED_VALUE"""),4.0)</f>
        <v>4</v>
      </c>
      <c r="G1942" s="17" t="str">
        <f>IFERROR(__xludf.DUMMYFUNCTION("""COMPUTED_VALUE"""),"15131002")</f>
        <v>15131002</v>
      </c>
      <c r="H1942" s="17" t="str">
        <f>IFERROR(__xludf.DUMMYFUNCTION("""COMPUTED_VALUE"""),"засоби жіночої гігієни, загальне")</f>
        <v>засоби жіночої гігієни, загальне</v>
      </c>
      <c r="I1942" s="19">
        <f>IFERROR(__xludf.DUMMYFUNCTION("""COMPUTED_VALUE"""),0.125)</f>
        <v>0.125</v>
      </c>
      <c r="J1942" s="19">
        <f>IFERROR(__xludf.DUMMYFUNCTION("""COMPUTED_VALUE"""),0.25)</f>
        <v>0.25</v>
      </c>
      <c r="K1942" s="19">
        <f>IFERROR(__xludf.DUMMYFUNCTION("""COMPUTED_VALUE"""),0.3125)</f>
        <v>0.3125</v>
      </c>
      <c r="L1942" s="19">
        <f>IFERROR(__xludf.DUMMYFUNCTION("""COMPUTED_VALUE"""),0.375)</f>
        <v>0.375</v>
      </c>
      <c r="M1942" s="18">
        <f>IFERROR(__xludf.DUMMYFUNCTION("""COMPUTED_VALUE"""),4.33)</f>
        <v>4.33</v>
      </c>
    </row>
    <row r="1943">
      <c r="A1943" s="13" t="str">
        <f>IFERROR(__xludf.DUMMYFUNCTION("""COMPUTED_VALUE"""),"товари")</f>
        <v>товари</v>
      </c>
      <c r="B1943" s="16" t="str">
        <f>IFERROR(__xludf.DUMMYFUNCTION("""COMPUTED_VALUE"""),"краса та здоров'я")</f>
        <v>краса та здоров'я</v>
      </c>
      <c r="C1943" s="16" t="str">
        <f>IFERROR(__xludf.DUMMYFUNCTION("""COMPUTED_VALUE"""),"косметика по догляду")</f>
        <v>косметика по догляду</v>
      </c>
      <c r="D1943" s="16" t="str">
        <f>IFERROR(__xludf.DUMMYFUNCTION("""COMPUTED_VALUE"""),"засоби для засмаги")</f>
        <v>засоби для засмаги</v>
      </c>
      <c r="E1943" s="16" t="str">
        <f>IFERROR(__xludf.DUMMYFUNCTION("""COMPUTED_VALUE"""),"засоби після засмаги")</f>
        <v>засоби після засмаги</v>
      </c>
      <c r="F1943" s="17">
        <f>IFERROR(__xludf.DUMMYFUNCTION("""COMPUTED_VALUE"""),4.0)</f>
        <v>4</v>
      </c>
      <c r="G1943" s="17" t="str">
        <f>IFERROR(__xludf.DUMMYFUNCTION("""COMPUTED_VALUE"""),"331802")</f>
        <v>331802</v>
      </c>
      <c r="H1943" s="17" t="str">
        <f>IFERROR(__xludf.DUMMYFUNCTION("""COMPUTED_VALUE"""),"засоби після засмаги")</f>
        <v>засоби після засмаги</v>
      </c>
      <c r="I1943" s="19">
        <f>IFERROR(__xludf.DUMMYFUNCTION("""COMPUTED_VALUE"""),0.0656)</f>
        <v>0.0656</v>
      </c>
      <c r="J1943" s="19">
        <f>IFERROR(__xludf.DUMMYFUNCTION("""COMPUTED_VALUE"""),0.1311)</f>
        <v>0.1311</v>
      </c>
      <c r="K1943" s="19">
        <f>IFERROR(__xludf.DUMMYFUNCTION("""COMPUTED_VALUE"""),0.1639)</f>
        <v>0.1639</v>
      </c>
      <c r="L1943" s="19">
        <f>IFERROR(__xludf.DUMMYFUNCTION("""COMPUTED_VALUE"""),0.1967)</f>
        <v>0.1967</v>
      </c>
      <c r="M1943" s="18">
        <f>IFERROR(__xludf.DUMMYFUNCTION("""COMPUTED_VALUE"""),1.8)</f>
        <v>1.8</v>
      </c>
    </row>
    <row r="1944">
      <c r="A1944" s="13" t="str">
        <f>IFERROR(__xludf.DUMMYFUNCTION("""COMPUTED_VALUE"""),"товари")</f>
        <v>товари</v>
      </c>
      <c r="B1944" s="16" t="str">
        <f>IFERROR(__xludf.DUMMYFUNCTION("""COMPUTED_VALUE"""),"краса та здоров'я")</f>
        <v>краса та здоров'я</v>
      </c>
      <c r="C1944" s="16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944" s="16" t="str">
        <f>IFERROR(__xludf.DUMMYFUNCTION("""COMPUTED_VALUE"""),"засоби по догляду за бородою")</f>
        <v>засоби по догляду за бородою</v>
      </c>
      <c r="E1944" s="16" t="str">
        <f>IFERROR(__xludf.DUMMYFUNCTION("""COMPUTED_VALUE"""),"засоби по догляду за бородою")</f>
        <v>засоби по догляду за бородою</v>
      </c>
      <c r="F1944" s="17">
        <f>IFERROR(__xludf.DUMMYFUNCTION("""COMPUTED_VALUE"""),3.0)</f>
        <v>3</v>
      </c>
      <c r="G1944" s="17" t="str">
        <f>IFERROR(__xludf.DUMMYFUNCTION("""COMPUTED_VALUE"""),"332103")</f>
        <v>332103</v>
      </c>
      <c r="H1944" s="17" t="str">
        <f>IFERROR(__xludf.DUMMYFUNCTION("""COMPUTED_VALUE"""),"засоби по догляду за бородою")</f>
        <v>засоби по догляду за бородою</v>
      </c>
      <c r="I1944" s="19">
        <f>IFERROR(__xludf.DUMMYFUNCTION("""COMPUTED_VALUE"""),0.0557)</f>
        <v>0.0557</v>
      </c>
      <c r="J1944" s="19">
        <f>IFERROR(__xludf.DUMMYFUNCTION("""COMPUTED_VALUE"""),0.1113)</f>
        <v>0.1113</v>
      </c>
      <c r="K1944" s="19">
        <f>IFERROR(__xludf.DUMMYFUNCTION("""COMPUTED_VALUE"""),0.1391)</f>
        <v>0.1391</v>
      </c>
      <c r="L1944" s="19">
        <f>IFERROR(__xludf.DUMMYFUNCTION("""COMPUTED_VALUE"""),0.167)</f>
        <v>0.167</v>
      </c>
      <c r="M1944" s="18">
        <f>IFERROR(__xludf.DUMMYFUNCTION("""COMPUTED_VALUE"""),1.05)</f>
        <v>1.05</v>
      </c>
    </row>
    <row r="1945">
      <c r="A1945" s="13" t="str">
        <f>IFERROR(__xludf.DUMMYFUNCTION("""COMPUTED_VALUE"""),"товари")</f>
        <v>товари</v>
      </c>
      <c r="B1945" s="16" t="str">
        <f>IFERROR(__xludf.DUMMYFUNCTION("""COMPUTED_VALUE"""),"краса та здоров'я")</f>
        <v>краса та здоров'я</v>
      </c>
      <c r="C1945" s="16" t="str">
        <f>IFERROR(__xludf.DUMMYFUNCTION("""COMPUTED_VALUE"""),"косметика по догляду")</f>
        <v>косметика по догляду</v>
      </c>
      <c r="D1945" s="16" t="str">
        <f>IFERROR(__xludf.DUMMYFUNCTION("""COMPUTED_VALUE"""),"догляд за волоссям")</f>
        <v>догляд за волоссям</v>
      </c>
      <c r="E1945" s="16" t="str">
        <f>IFERROR(__xludf.DUMMYFUNCTION("""COMPUTED_VALUE"""),"засоби по догляду за волоссям, загальне")</f>
        <v>засоби по догляду за волоссям, загальне</v>
      </c>
      <c r="F1945" s="17">
        <f>IFERROR(__xludf.DUMMYFUNCTION("""COMPUTED_VALUE"""),4.0)</f>
        <v>4</v>
      </c>
      <c r="G1945" s="17" t="str">
        <f>IFERROR(__xludf.DUMMYFUNCTION("""COMPUTED_VALUE"""),"330702")</f>
        <v>330702</v>
      </c>
      <c r="H1945" s="17" t="str">
        <f>IFERROR(__xludf.DUMMYFUNCTION("""COMPUTED_VALUE"""),"засоби по догляду за волоссям, загальне")</f>
        <v>засоби по догляду за волоссям, загальне</v>
      </c>
      <c r="I1945" s="19">
        <f>IFERROR(__xludf.DUMMYFUNCTION("""COMPUTED_VALUE"""),0.125)</f>
        <v>0.125</v>
      </c>
      <c r="J1945" s="19">
        <f>IFERROR(__xludf.DUMMYFUNCTION("""COMPUTED_VALUE"""),0.25)</f>
        <v>0.25</v>
      </c>
      <c r="K1945" s="19">
        <f>IFERROR(__xludf.DUMMYFUNCTION("""COMPUTED_VALUE"""),0.3125)</f>
        <v>0.3125</v>
      </c>
      <c r="L1945" s="19">
        <f>IFERROR(__xludf.DUMMYFUNCTION("""COMPUTED_VALUE"""),0.375)</f>
        <v>0.375</v>
      </c>
      <c r="M1945" s="18">
        <f>IFERROR(__xludf.DUMMYFUNCTION("""COMPUTED_VALUE"""),4.33)</f>
        <v>4.33</v>
      </c>
    </row>
    <row r="1946">
      <c r="A1946" s="13" t="str">
        <f>IFERROR(__xludf.DUMMYFUNCTION("""COMPUTED_VALUE"""),"товари")</f>
        <v>товари</v>
      </c>
      <c r="B1946" s="16" t="str">
        <f>IFERROR(__xludf.DUMMYFUNCTION("""COMPUTED_VALUE"""),"краса та здоров'я")</f>
        <v>краса та здоров'я</v>
      </c>
      <c r="C1946" s="16" t="str">
        <f>IFERROR(__xludf.DUMMYFUNCTION("""COMPUTED_VALUE"""),"оптика для зору")</f>
        <v>оптика для зору</v>
      </c>
      <c r="D1946" s="16" t="str">
        <f>IFERROR(__xludf.DUMMYFUNCTION("""COMPUTED_VALUE"""),"аксесуари для окулярів і контактних лінз")</f>
        <v>аксесуари для окулярів і контактних лінз</v>
      </c>
      <c r="E1946" s="16" t="str">
        <f>IFERROR(__xludf.DUMMYFUNCTION("""COMPUTED_VALUE"""),"засоби по догляду за контактними лінзами")</f>
        <v>засоби по догляду за контактними лінзами</v>
      </c>
      <c r="F1946" s="17">
        <f>IFERROR(__xludf.DUMMYFUNCTION("""COMPUTED_VALUE"""),4.0)</f>
        <v>4</v>
      </c>
      <c r="G1946" s="17" t="str">
        <f>IFERROR(__xludf.DUMMYFUNCTION("""COMPUTED_VALUE"""),"36127010")</f>
        <v>36127010</v>
      </c>
      <c r="H1946" s="17" t="str">
        <f>IFERROR(__xludf.DUMMYFUNCTION("""COMPUTED_VALUE"""),"засоби по догляду за контактними лінзами")</f>
        <v>засоби по догляду за контактними лінзами</v>
      </c>
      <c r="I1946" s="19">
        <f>IFERROR(__xludf.DUMMYFUNCTION("""COMPUTED_VALUE"""),0.0683)</f>
        <v>0.0683</v>
      </c>
      <c r="J1946" s="19">
        <f>IFERROR(__xludf.DUMMYFUNCTION("""COMPUTED_VALUE"""),0.1365)</f>
        <v>0.1365</v>
      </c>
      <c r="K1946" s="19">
        <f>IFERROR(__xludf.DUMMYFUNCTION("""COMPUTED_VALUE"""),0.1706)</f>
        <v>0.1706</v>
      </c>
      <c r="L1946" s="19">
        <f>IFERROR(__xludf.DUMMYFUNCTION("""COMPUTED_VALUE"""),0.2048)</f>
        <v>0.2048</v>
      </c>
      <c r="M1946" s="18">
        <f>IFERROR(__xludf.DUMMYFUNCTION("""COMPUTED_VALUE"""),1.98)</f>
        <v>1.98</v>
      </c>
    </row>
    <row r="1947">
      <c r="A1947" s="13" t="str">
        <f>IFERROR(__xludf.DUMMYFUNCTION("""COMPUTED_VALUE"""),"товари")</f>
        <v>товари</v>
      </c>
      <c r="B1947" s="16" t="str">
        <f>IFERROR(__xludf.DUMMYFUNCTION("""COMPUTED_VALUE"""),"краса та здоров'я")</f>
        <v>краса та здоров'я</v>
      </c>
      <c r="C1947" s="16" t="str">
        <f>IFERROR(__xludf.DUMMYFUNCTION("""COMPUTED_VALUE"""),"все для манікюру і педикюру")</f>
        <v>все для манікюру і педикюру</v>
      </c>
      <c r="D1947" s="16" t="str">
        <f>IFERROR(__xludf.DUMMYFUNCTION("""COMPUTED_VALUE"""),"засоби по догляду за нігтями і кутикулою")</f>
        <v>засоби по догляду за нігтями і кутикулою</v>
      </c>
      <c r="E1947" s="16" t="str">
        <f>IFERROR(__xludf.DUMMYFUNCTION("""COMPUTED_VALUE"""),"засоби по догляду за нігтями і кутикулою")</f>
        <v>засоби по догляду за нігтями і кутикулою</v>
      </c>
      <c r="F1947" s="17">
        <f>IFERROR(__xludf.DUMMYFUNCTION("""COMPUTED_VALUE"""),3.0)</f>
        <v>3</v>
      </c>
      <c r="G1947" s="17" t="str">
        <f>IFERROR(__xludf.DUMMYFUNCTION("""COMPUTED_VALUE"""),"3308")</f>
        <v>3308</v>
      </c>
      <c r="H1947" s="17" t="str">
        <f>IFERROR(__xludf.DUMMYFUNCTION("""COMPUTED_VALUE"""),"засоби по догляду за нігтями і кутикулою")</f>
        <v>засоби по догляду за нігтями і кутикулою</v>
      </c>
      <c r="I1947" s="19">
        <f>IFERROR(__xludf.DUMMYFUNCTION("""COMPUTED_VALUE"""),0.0721)</f>
        <v>0.0721</v>
      </c>
      <c r="J1947" s="19">
        <f>IFERROR(__xludf.DUMMYFUNCTION("""COMPUTED_VALUE"""),0.1442)</f>
        <v>0.1442</v>
      </c>
      <c r="K1947" s="19">
        <f>IFERROR(__xludf.DUMMYFUNCTION("""COMPUTED_VALUE"""),0.1803)</f>
        <v>0.1803</v>
      </c>
      <c r="L1947" s="19">
        <f>IFERROR(__xludf.DUMMYFUNCTION("""COMPUTED_VALUE"""),0.2163)</f>
        <v>0.2163</v>
      </c>
      <c r="M1947" s="18">
        <f>IFERROR(__xludf.DUMMYFUNCTION("""COMPUTED_VALUE"""),2.08)</f>
        <v>2.08</v>
      </c>
    </row>
    <row r="1948">
      <c r="A1948" s="13" t="str">
        <f>IFERROR(__xludf.DUMMYFUNCTION("""COMPUTED_VALUE"""),"товари")</f>
        <v>товари</v>
      </c>
      <c r="B1948" s="16" t="str">
        <f>IFERROR(__xludf.DUMMYFUNCTION("""COMPUTED_VALUE"""),"краса та здоров'я")</f>
        <v>краса та здоров'я</v>
      </c>
      <c r="C1948" s="16" t="str">
        <f>IFERROR(__xludf.DUMMYFUNCTION("""COMPUTED_VALUE"""),"декоративна косметика")</f>
        <v>декоративна косметика</v>
      </c>
      <c r="D1948" s="16" t="str">
        <f>IFERROR(__xludf.DUMMYFUNCTION("""COMPUTED_VALUE"""),"макіяж губ")</f>
        <v>макіяж губ</v>
      </c>
      <c r="E1948" s="16" t="str">
        <f>IFERROR(__xludf.DUMMYFUNCTION("""COMPUTED_VALUE"""),"засоби по догляду за шкірою губ")</f>
        <v>засоби по догляду за шкірою губ</v>
      </c>
      <c r="F1948" s="17">
        <f>IFERROR(__xludf.DUMMYFUNCTION("""COMPUTED_VALUE"""),4.0)</f>
        <v>4</v>
      </c>
      <c r="G1948" s="17" t="str">
        <f>IFERROR(__xludf.DUMMYFUNCTION("""COMPUTED_VALUE"""),"330610")</f>
        <v>330610</v>
      </c>
      <c r="H1948" s="17" t="str">
        <f>IFERROR(__xludf.DUMMYFUNCTION("""COMPUTED_VALUE"""),"засоби по догляду за шкірою губ")</f>
        <v>засоби по догляду за шкірою губ</v>
      </c>
      <c r="I1948" s="19">
        <f>IFERROR(__xludf.DUMMYFUNCTION("""COMPUTED_VALUE"""),0.0679)</f>
        <v>0.0679</v>
      </c>
      <c r="J1948" s="19">
        <f>IFERROR(__xludf.DUMMYFUNCTION("""COMPUTED_VALUE"""),0.1357)</f>
        <v>0.1357</v>
      </c>
      <c r="K1948" s="19">
        <f>IFERROR(__xludf.DUMMYFUNCTION("""COMPUTED_VALUE"""),0.1696)</f>
        <v>0.1696</v>
      </c>
      <c r="L1948" s="19">
        <f>IFERROR(__xludf.DUMMYFUNCTION("""COMPUTED_VALUE"""),0.2036)</f>
        <v>0.2036</v>
      </c>
      <c r="M1948" s="18">
        <f>IFERROR(__xludf.DUMMYFUNCTION("""COMPUTED_VALUE"""),1.71)</f>
        <v>1.71</v>
      </c>
    </row>
    <row r="1949">
      <c r="A1949" s="13" t="str">
        <f>IFERROR(__xludf.DUMMYFUNCTION("""COMPUTED_VALUE"""),"товари")</f>
        <v>товари</v>
      </c>
      <c r="B1949" s="16" t="str">
        <f>IFERROR(__xludf.DUMMYFUNCTION("""COMPUTED_VALUE"""),"краса та здоров'я")</f>
        <v>краса та здоров'я</v>
      </c>
      <c r="C1949" s="16" t="str">
        <f>IFERROR(__xludf.DUMMYFUNCTION("""COMPUTED_VALUE"""),"косметика по догляду")</f>
        <v>косметика по догляду</v>
      </c>
      <c r="D1949" s="16" t="str">
        <f>IFERROR(__xludf.DUMMYFUNCTION("""COMPUTED_VALUE"""),"догляд за обличчям")</f>
        <v>догляд за обличчям</v>
      </c>
      <c r="E1949" s="16" t="str">
        <f>IFERROR(__xludf.DUMMYFUNCTION("""COMPUTED_VALUE"""),"засоби по догляду за шкірою навколо очей")</f>
        <v>засоби по догляду за шкірою навколо очей</v>
      </c>
      <c r="F1949" s="17">
        <f>IFERROR(__xludf.DUMMYFUNCTION("""COMPUTED_VALUE"""),4.0)</f>
        <v>4</v>
      </c>
      <c r="G1949" s="17" t="str">
        <f>IFERROR(__xludf.DUMMYFUNCTION("""COMPUTED_VALUE"""),"330608")</f>
        <v>330608</v>
      </c>
      <c r="H1949" s="17" t="str">
        <f>IFERROR(__xludf.DUMMYFUNCTION("""COMPUTED_VALUE"""),"засоби по догляду за шкірою навколо очей")</f>
        <v>засоби по догляду за шкірою навколо очей</v>
      </c>
      <c r="I1949" s="19">
        <f>IFERROR(__xludf.DUMMYFUNCTION("""COMPUTED_VALUE"""),0.0664)</f>
        <v>0.0664</v>
      </c>
      <c r="J1949" s="19">
        <f>IFERROR(__xludf.DUMMYFUNCTION("""COMPUTED_VALUE"""),0.1327)</f>
        <v>0.1327</v>
      </c>
      <c r="K1949" s="19">
        <f>IFERROR(__xludf.DUMMYFUNCTION("""COMPUTED_VALUE"""),0.1659)</f>
        <v>0.1659</v>
      </c>
      <c r="L1949" s="19">
        <f>IFERROR(__xludf.DUMMYFUNCTION("""COMPUTED_VALUE"""),0.1991)</f>
        <v>0.1991</v>
      </c>
      <c r="M1949" s="18">
        <f>IFERROR(__xludf.DUMMYFUNCTION("""COMPUTED_VALUE"""),1.71)</f>
        <v>1.71</v>
      </c>
    </row>
    <row r="1950">
      <c r="A1950" s="13" t="str">
        <f>IFERROR(__xludf.DUMMYFUNCTION("""COMPUTED_VALUE"""),"товари")</f>
        <v>товари</v>
      </c>
      <c r="B1950" s="16" t="str">
        <f>IFERROR(__xludf.DUMMYFUNCTION("""COMPUTED_VALUE"""),"краса та здоров'я")</f>
        <v>краса та здоров'я</v>
      </c>
      <c r="C1950" s="16" t="str">
        <f>IFERROR(__xludf.DUMMYFUNCTION("""COMPUTED_VALUE"""),"косметика по догляду")</f>
        <v>косметика по догляду</v>
      </c>
      <c r="D1950" s="16" t="str">
        <f>IFERROR(__xludf.DUMMYFUNCTION("""COMPUTED_VALUE"""),"догляд за тілом")</f>
        <v>догляд за тілом</v>
      </c>
      <c r="E1950" s="16" t="str">
        <f>IFERROR(__xludf.DUMMYFUNCTION("""COMPUTED_VALUE"""),"засоби по догляду за шкірою ніг")</f>
        <v>засоби по догляду за шкірою ніг</v>
      </c>
      <c r="F1950" s="17">
        <f>IFERROR(__xludf.DUMMYFUNCTION("""COMPUTED_VALUE"""),4.0)</f>
        <v>4</v>
      </c>
      <c r="G1950" s="17" t="str">
        <f>IFERROR(__xludf.DUMMYFUNCTION("""COMPUTED_VALUE"""),"330620")</f>
        <v>330620</v>
      </c>
      <c r="H1950" s="17" t="str">
        <f>IFERROR(__xludf.DUMMYFUNCTION("""COMPUTED_VALUE"""),"засоби по догляду за шкірою ніг")</f>
        <v>засоби по догляду за шкірою ніг</v>
      </c>
      <c r="I1950" s="19">
        <f>IFERROR(__xludf.DUMMYFUNCTION("""COMPUTED_VALUE"""),0.0656)</f>
        <v>0.0656</v>
      </c>
      <c r="J1950" s="19">
        <f>IFERROR(__xludf.DUMMYFUNCTION("""COMPUTED_VALUE"""),0.1311)</f>
        <v>0.1311</v>
      </c>
      <c r="K1950" s="19">
        <f>IFERROR(__xludf.DUMMYFUNCTION("""COMPUTED_VALUE"""),0.1639)</f>
        <v>0.1639</v>
      </c>
      <c r="L1950" s="19">
        <f>IFERROR(__xludf.DUMMYFUNCTION("""COMPUTED_VALUE"""),0.1967)</f>
        <v>0.1967</v>
      </c>
      <c r="M1950" s="18">
        <f>IFERROR(__xludf.DUMMYFUNCTION("""COMPUTED_VALUE"""),1.8)</f>
        <v>1.8</v>
      </c>
    </row>
    <row r="1951">
      <c r="A1951" s="13" t="str">
        <f>IFERROR(__xludf.DUMMYFUNCTION("""COMPUTED_VALUE"""),"товари")</f>
        <v>товари</v>
      </c>
      <c r="B1951" s="16" t="str">
        <f>IFERROR(__xludf.DUMMYFUNCTION("""COMPUTED_VALUE"""),"краса та здоров'я")</f>
        <v>краса та здоров'я</v>
      </c>
      <c r="C1951" s="16" t="str">
        <f>IFERROR(__xludf.DUMMYFUNCTION("""COMPUTED_VALUE"""),"косметика по догляду")</f>
        <v>косметика по догляду</v>
      </c>
      <c r="D1951" s="16" t="str">
        <f>IFERROR(__xludf.DUMMYFUNCTION("""COMPUTED_VALUE"""),"догляд за обличчям")</f>
        <v>догляд за обличчям</v>
      </c>
      <c r="E1951" s="16" t="str">
        <f>IFERROR(__xludf.DUMMYFUNCTION("""COMPUTED_VALUE"""),"засоби по догляду за шкірою обличчя, загальне")</f>
        <v>засоби по догляду за шкірою обличчя, загальне</v>
      </c>
      <c r="F1951" s="17">
        <f>IFERROR(__xludf.DUMMYFUNCTION("""COMPUTED_VALUE"""),4.0)</f>
        <v>4</v>
      </c>
      <c r="G1951" s="17" t="str">
        <f>IFERROR(__xludf.DUMMYFUNCTION("""COMPUTED_VALUE"""),"330601")</f>
        <v>330601</v>
      </c>
      <c r="H1951" s="17" t="str">
        <f>IFERROR(__xludf.DUMMYFUNCTION("""COMPUTED_VALUE"""),"засоби по догляду за шкірою обличчя, загальне")</f>
        <v>засоби по догляду за шкірою обличчя, загальне</v>
      </c>
      <c r="I1951" s="19">
        <f>IFERROR(__xludf.DUMMYFUNCTION("""COMPUTED_VALUE"""),0.125)</f>
        <v>0.125</v>
      </c>
      <c r="J1951" s="19">
        <f>IFERROR(__xludf.DUMMYFUNCTION("""COMPUTED_VALUE"""),0.25)</f>
        <v>0.25</v>
      </c>
      <c r="K1951" s="19">
        <f>IFERROR(__xludf.DUMMYFUNCTION("""COMPUTED_VALUE"""),0.3125)</f>
        <v>0.3125</v>
      </c>
      <c r="L1951" s="19">
        <f>IFERROR(__xludf.DUMMYFUNCTION("""COMPUTED_VALUE"""),0.375)</f>
        <v>0.375</v>
      </c>
      <c r="M1951" s="18">
        <f>IFERROR(__xludf.DUMMYFUNCTION("""COMPUTED_VALUE"""),4.33)</f>
        <v>4.33</v>
      </c>
    </row>
    <row r="1952">
      <c r="A1952" s="13" t="str">
        <f>IFERROR(__xludf.DUMMYFUNCTION("""COMPUTED_VALUE"""),"товари")</f>
        <v>товари</v>
      </c>
      <c r="B1952" s="16" t="str">
        <f>IFERROR(__xludf.DUMMYFUNCTION("""COMPUTED_VALUE"""),"краса та здоров'я")</f>
        <v>краса та здоров'я</v>
      </c>
      <c r="C1952" s="16" t="str">
        <f>IFERROR(__xludf.DUMMYFUNCTION("""COMPUTED_VALUE"""),"косметика по догляду")</f>
        <v>косметика по догляду</v>
      </c>
      <c r="D1952" s="16" t="str">
        <f>IFERROR(__xludf.DUMMYFUNCTION("""COMPUTED_VALUE"""),"догляд за тілом")</f>
        <v>догляд за тілом</v>
      </c>
      <c r="E1952" s="16" t="str">
        <f>IFERROR(__xludf.DUMMYFUNCTION("""COMPUTED_VALUE"""),"засоби по догляду за шкірою рук")</f>
        <v>засоби по догляду за шкірою рук</v>
      </c>
      <c r="F1952" s="17">
        <f>IFERROR(__xludf.DUMMYFUNCTION("""COMPUTED_VALUE"""),4.0)</f>
        <v>4</v>
      </c>
      <c r="G1952" s="17" t="str">
        <f>IFERROR(__xludf.DUMMYFUNCTION("""COMPUTED_VALUE"""),"330618")</f>
        <v>330618</v>
      </c>
      <c r="H1952" s="17" t="str">
        <f>IFERROR(__xludf.DUMMYFUNCTION("""COMPUTED_VALUE"""),"засоби по догляду за шкірою рук")</f>
        <v>засоби по догляду за шкірою рук</v>
      </c>
      <c r="I1952" s="19">
        <f>IFERROR(__xludf.DUMMYFUNCTION("""COMPUTED_VALUE"""),0.0656)</f>
        <v>0.0656</v>
      </c>
      <c r="J1952" s="19">
        <f>IFERROR(__xludf.DUMMYFUNCTION("""COMPUTED_VALUE"""),0.1311)</f>
        <v>0.1311</v>
      </c>
      <c r="K1952" s="19">
        <f>IFERROR(__xludf.DUMMYFUNCTION("""COMPUTED_VALUE"""),0.1639)</f>
        <v>0.1639</v>
      </c>
      <c r="L1952" s="19">
        <f>IFERROR(__xludf.DUMMYFUNCTION("""COMPUTED_VALUE"""),0.1967)</f>
        <v>0.1967</v>
      </c>
      <c r="M1952" s="18">
        <f>IFERROR(__xludf.DUMMYFUNCTION("""COMPUTED_VALUE"""),1.8)</f>
        <v>1.8</v>
      </c>
    </row>
    <row r="1953">
      <c r="A1953" s="13" t="str">
        <f>IFERROR(__xludf.DUMMYFUNCTION("""COMPUTED_VALUE"""),"товари")</f>
        <v>товари</v>
      </c>
      <c r="B1953" s="16" t="str">
        <f>IFERROR(__xludf.DUMMYFUNCTION("""COMPUTED_VALUE"""),"краса та здоров'я")</f>
        <v>краса та здоров'я</v>
      </c>
      <c r="C1953" s="16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953" s="16" t="str">
        <f>IFERROR(__xludf.DUMMYFUNCTION("""COMPUTED_VALUE"""),"засоби по догляду за шкірою тіла та обличчя для чоловіків")</f>
        <v>засоби по догляду за шкірою тіла та обличчя для чоловіків</v>
      </c>
      <c r="E1953" s="16" t="str">
        <f>IFERROR(__xludf.DUMMYFUNCTION("""COMPUTED_VALUE"""),"засоби по догляду за шкірою тіла та обличчя для чоловіків")</f>
        <v>засоби по догляду за шкірою тіла та обличчя для чоловіків</v>
      </c>
      <c r="F1953" s="17">
        <f>IFERROR(__xludf.DUMMYFUNCTION("""COMPUTED_VALUE"""),3.0)</f>
        <v>3</v>
      </c>
      <c r="G1953" s="17" t="str">
        <f>IFERROR(__xludf.DUMMYFUNCTION("""COMPUTED_VALUE"""),"330624")</f>
        <v>330624</v>
      </c>
      <c r="H1953" s="17" t="str">
        <f>IFERROR(__xludf.DUMMYFUNCTION("""COMPUTED_VALUE"""),"засоби по догляду за шкірою тіла та обличчя для чоловіків")</f>
        <v>засоби по догляду за шкірою тіла та обличчя для чоловіків</v>
      </c>
      <c r="I1953" s="19">
        <f>IFERROR(__xludf.DUMMYFUNCTION("""COMPUTED_VALUE"""),0.0672)</f>
        <v>0.0672</v>
      </c>
      <c r="J1953" s="19">
        <f>IFERROR(__xludf.DUMMYFUNCTION("""COMPUTED_VALUE"""),0.1343)</f>
        <v>0.1343</v>
      </c>
      <c r="K1953" s="19">
        <f>IFERROR(__xludf.DUMMYFUNCTION("""COMPUTED_VALUE"""),0.1679)</f>
        <v>0.1679</v>
      </c>
      <c r="L1953" s="19">
        <f>IFERROR(__xludf.DUMMYFUNCTION("""COMPUTED_VALUE"""),0.2015)</f>
        <v>0.2015</v>
      </c>
      <c r="M1953" s="18">
        <f>IFERROR(__xludf.DUMMYFUNCTION("""COMPUTED_VALUE"""),1.05)</f>
        <v>1.05</v>
      </c>
    </row>
    <row r="1954">
      <c r="A1954" s="13" t="str">
        <f>IFERROR(__xludf.DUMMYFUNCTION("""COMPUTED_VALUE"""),"товари")</f>
        <v>товари</v>
      </c>
      <c r="B1954" s="16" t="str">
        <f>IFERROR(__xludf.DUMMYFUNCTION("""COMPUTED_VALUE"""),"краса та здоров'я")</f>
        <v>краса та здоров'я</v>
      </c>
      <c r="C1954" s="16" t="str">
        <f>IFERROR(__xludf.DUMMYFUNCTION("""COMPUTED_VALUE"""),"косметика по догляду")</f>
        <v>косметика по догляду</v>
      </c>
      <c r="D1954" s="16" t="str">
        <f>IFERROR(__xludf.DUMMYFUNCTION("""COMPUTED_VALUE"""),"догляд за тілом")</f>
        <v>догляд за тілом</v>
      </c>
      <c r="E1954" s="16" t="str">
        <f>IFERROR(__xludf.DUMMYFUNCTION("""COMPUTED_VALUE"""),"засоби по догляду за шкірою тіла, загальне")</f>
        <v>засоби по догляду за шкірою тіла, загальне</v>
      </c>
      <c r="F1954" s="17">
        <f>IFERROR(__xludf.DUMMYFUNCTION("""COMPUTED_VALUE"""),4.0)</f>
        <v>4</v>
      </c>
      <c r="G1954" s="17" t="str">
        <f>IFERROR(__xludf.DUMMYFUNCTION("""COMPUTED_VALUE"""),"330401")</f>
        <v>330401</v>
      </c>
      <c r="H1954" s="17" t="str">
        <f>IFERROR(__xludf.DUMMYFUNCTION("""COMPUTED_VALUE"""),"засоби по догляду за шкірою тіла, загальне")</f>
        <v>засоби по догляду за шкірою тіла, загальне</v>
      </c>
      <c r="I1954" s="19">
        <f>IFERROR(__xludf.DUMMYFUNCTION("""COMPUTED_VALUE"""),0.125)</f>
        <v>0.125</v>
      </c>
      <c r="J1954" s="19">
        <f>IFERROR(__xludf.DUMMYFUNCTION("""COMPUTED_VALUE"""),0.25)</f>
        <v>0.25</v>
      </c>
      <c r="K1954" s="19">
        <f>IFERROR(__xludf.DUMMYFUNCTION("""COMPUTED_VALUE"""),0.3125)</f>
        <v>0.3125</v>
      </c>
      <c r="L1954" s="19">
        <f>IFERROR(__xludf.DUMMYFUNCTION("""COMPUTED_VALUE"""),0.375)</f>
        <v>0.375</v>
      </c>
      <c r="M1954" s="18">
        <f>IFERROR(__xludf.DUMMYFUNCTION("""COMPUTED_VALUE"""),4.33)</f>
        <v>4.33</v>
      </c>
    </row>
    <row r="1955">
      <c r="A1955" s="13" t="str">
        <f>IFERROR(__xludf.DUMMYFUNCTION("""COMPUTED_VALUE"""),"товари")</f>
        <v>товари</v>
      </c>
      <c r="B1955" s="16" t="str">
        <f>IFERROR(__xludf.DUMMYFUNCTION("""COMPUTED_VALUE"""),"краса та здоров'я")</f>
        <v>краса та здоров'я</v>
      </c>
      <c r="C1955" s="16" t="str">
        <f>IFERROR(__xludf.DUMMYFUNCTION("""COMPUTED_VALUE"""),"гігієнічні вироби та засоби")</f>
        <v>гігієнічні вироби та засоби</v>
      </c>
      <c r="D1955" s="16" t="str">
        <f>IFERROR(__xludf.DUMMYFUNCTION("""COMPUTED_VALUE"""),"засоби для гігієни порожнини рота")</f>
        <v>засоби для гігієни порожнини рота</v>
      </c>
      <c r="E1955" s="16" t="str">
        <f>IFERROR(__xludf.DUMMYFUNCTION("""COMPUTED_VALUE"""),"зубний порошок")</f>
        <v>зубний порошок</v>
      </c>
      <c r="F1955" s="17">
        <f>IFERROR(__xludf.DUMMYFUNCTION("""COMPUTED_VALUE"""),4.0)</f>
        <v>4</v>
      </c>
      <c r="G1955" s="17" t="str">
        <f>IFERROR(__xludf.DUMMYFUNCTION("""COMPUTED_VALUE"""),"330510")</f>
        <v>330510</v>
      </c>
      <c r="H1955" s="17" t="str">
        <f>IFERROR(__xludf.DUMMYFUNCTION("""COMPUTED_VALUE"""),"зубний порошок")</f>
        <v>зубний порошок</v>
      </c>
      <c r="I1955" s="19">
        <f>IFERROR(__xludf.DUMMYFUNCTION("""COMPUTED_VALUE"""),0.0633)</f>
        <v>0.0633</v>
      </c>
      <c r="J1955" s="19">
        <f>IFERROR(__xludf.DUMMYFUNCTION("""COMPUTED_VALUE"""),0.1265)</f>
        <v>0.1265</v>
      </c>
      <c r="K1955" s="19">
        <f>IFERROR(__xludf.DUMMYFUNCTION("""COMPUTED_VALUE"""),0.1581)</f>
        <v>0.1581</v>
      </c>
      <c r="L1955" s="19">
        <f>IFERROR(__xludf.DUMMYFUNCTION("""COMPUTED_VALUE"""),0.1898)</f>
        <v>0.1898</v>
      </c>
      <c r="M1955" s="18">
        <f>IFERROR(__xludf.DUMMYFUNCTION("""COMPUTED_VALUE"""),1.8)</f>
        <v>1.8</v>
      </c>
    </row>
    <row r="1956">
      <c r="A1956" s="13" t="str">
        <f>IFERROR(__xludf.DUMMYFUNCTION("""COMPUTED_VALUE"""),"товари")</f>
        <v>товари</v>
      </c>
      <c r="B1956" s="16" t="str">
        <f>IFERROR(__xludf.DUMMYFUNCTION("""COMPUTED_VALUE"""),"краса та здоров'я")</f>
        <v>краса та здоров'я</v>
      </c>
      <c r="C1956" s="16" t="str">
        <f>IFERROR(__xludf.DUMMYFUNCTION("""COMPUTED_VALUE"""),"гігієнічні вироби та засоби")</f>
        <v>гігієнічні вироби та засоби</v>
      </c>
      <c r="D1956" s="16" t="str">
        <f>IFERROR(__xludf.DUMMYFUNCTION("""COMPUTED_VALUE"""),"засоби для гігієни порожнини рота")</f>
        <v>засоби для гігієни порожнини рота</v>
      </c>
      <c r="E1956" s="16" t="str">
        <f>IFERROR(__xludf.DUMMYFUNCTION("""COMPUTED_VALUE"""),"зубні нитки і йоржики")</f>
        <v>зубні нитки і йоржики</v>
      </c>
      <c r="F1956" s="17">
        <f>IFERROR(__xludf.DUMMYFUNCTION("""COMPUTED_VALUE"""),4.0)</f>
        <v>4</v>
      </c>
      <c r="G1956" s="17" t="str">
        <f>IFERROR(__xludf.DUMMYFUNCTION("""COMPUTED_VALUE"""),"330506")</f>
        <v>330506</v>
      </c>
      <c r="H1956" s="17" t="str">
        <f>IFERROR(__xludf.DUMMYFUNCTION("""COMPUTED_VALUE"""),"зубні нитки і йоржики")</f>
        <v>зубні нитки і йоржики</v>
      </c>
      <c r="I1956" s="19">
        <f>IFERROR(__xludf.DUMMYFUNCTION("""COMPUTED_VALUE"""),0.0633)</f>
        <v>0.0633</v>
      </c>
      <c r="J1956" s="19">
        <f>IFERROR(__xludf.DUMMYFUNCTION("""COMPUTED_VALUE"""),0.1265)</f>
        <v>0.1265</v>
      </c>
      <c r="K1956" s="19">
        <f>IFERROR(__xludf.DUMMYFUNCTION("""COMPUTED_VALUE"""),0.1581)</f>
        <v>0.1581</v>
      </c>
      <c r="L1956" s="19">
        <f>IFERROR(__xludf.DUMMYFUNCTION("""COMPUTED_VALUE"""),0.1898)</f>
        <v>0.1898</v>
      </c>
      <c r="M1956" s="18">
        <f>IFERROR(__xludf.DUMMYFUNCTION("""COMPUTED_VALUE"""),1.8)</f>
        <v>1.8</v>
      </c>
    </row>
    <row r="1957">
      <c r="A1957" s="13" t="str">
        <f>IFERROR(__xludf.DUMMYFUNCTION("""COMPUTED_VALUE"""),"товари")</f>
        <v>товари</v>
      </c>
      <c r="B1957" s="16" t="str">
        <f>IFERROR(__xludf.DUMMYFUNCTION("""COMPUTED_VALUE"""),"краса та здоров'я")</f>
        <v>краса та здоров'я</v>
      </c>
      <c r="C1957" s="16" t="str">
        <f>IFERROR(__xludf.DUMMYFUNCTION("""COMPUTED_VALUE"""),"гігієнічні вироби та засоби")</f>
        <v>гігієнічні вироби та засоби</v>
      </c>
      <c r="D1957" s="16" t="str">
        <f>IFERROR(__xludf.DUMMYFUNCTION("""COMPUTED_VALUE"""),"засоби для гігієни порожнини рота")</f>
        <v>засоби для гігієни порожнини рота</v>
      </c>
      <c r="E1957" s="16" t="str">
        <f>IFERROR(__xludf.DUMMYFUNCTION("""COMPUTED_VALUE"""),"зубні пасти")</f>
        <v>зубні пасти</v>
      </c>
      <c r="F1957" s="17">
        <f>IFERROR(__xludf.DUMMYFUNCTION("""COMPUTED_VALUE"""),4.0)</f>
        <v>4</v>
      </c>
      <c r="G1957" s="17" t="str">
        <f>IFERROR(__xludf.DUMMYFUNCTION("""COMPUTED_VALUE"""),"330503")</f>
        <v>330503</v>
      </c>
      <c r="H1957" s="17" t="str">
        <f>IFERROR(__xludf.DUMMYFUNCTION("""COMPUTED_VALUE"""),"зубні пасти")</f>
        <v>зубні пасти</v>
      </c>
      <c r="I1957" s="19">
        <f>IFERROR(__xludf.DUMMYFUNCTION("""COMPUTED_VALUE"""),0.0633)</f>
        <v>0.0633</v>
      </c>
      <c r="J1957" s="19">
        <f>IFERROR(__xludf.DUMMYFUNCTION("""COMPUTED_VALUE"""),0.1265)</f>
        <v>0.1265</v>
      </c>
      <c r="K1957" s="19">
        <f>IFERROR(__xludf.DUMMYFUNCTION("""COMPUTED_VALUE"""),0.1581)</f>
        <v>0.1581</v>
      </c>
      <c r="L1957" s="19">
        <f>IFERROR(__xludf.DUMMYFUNCTION("""COMPUTED_VALUE"""),0.1898)</f>
        <v>0.1898</v>
      </c>
      <c r="M1957" s="18">
        <f>IFERROR(__xludf.DUMMYFUNCTION("""COMPUTED_VALUE"""),1.8)</f>
        <v>1.8</v>
      </c>
    </row>
    <row r="1958">
      <c r="A1958" s="13" t="str">
        <f>IFERROR(__xludf.DUMMYFUNCTION("""COMPUTED_VALUE"""),"товари")</f>
        <v>товари</v>
      </c>
      <c r="B1958" s="16" t="str">
        <f>IFERROR(__xludf.DUMMYFUNCTION("""COMPUTED_VALUE"""),"краса та здоров'я")</f>
        <v>краса та здоров'я</v>
      </c>
      <c r="C1958" s="16" t="str">
        <f>IFERROR(__xludf.DUMMYFUNCTION("""COMPUTED_VALUE"""),"гігієнічні вироби та засоби")</f>
        <v>гігієнічні вироби та засоби</v>
      </c>
      <c r="D1958" s="16" t="str">
        <f>IFERROR(__xludf.DUMMYFUNCTION("""COMPUTED_VALUE"""),"засоби для гігієни порожнини рота")</f>
        <v>засоби для гігієни порожнини рота</v>
      </c>
      <c r="E1958" s="16" t="str">
        <f>IFERROR(__xludf.DUMMYFUNCTION("""COMPUTED_VALUE"""),"зубні щітки")</f>
        <v>зубні щітки</v>
      </c>
      <c r="F1958" s="17">
        <f>IFERROR(__xludf.DUMMYFUNCTION("""COMPUTED_VALUE"""),4.0)</f>
        <v>4</v>
      </c>
      <c r="G1958" s="17" t="str">
        <f>IFERROR(__xludf.DUMMYFUNCTION("""COMPUTED_VALUE"""),"330502")</f>
        <v>330502</v>
      </c>
      <c r="H1958" s="17" t="str">
        <f>IFERROR(__xludf.DUMMYFUNCTION("""COMPUTED_VALUE"""),"зубні щітки")</f>
        <v>зубні щітки</v>
      </c>
      <c r="I1958" s="19">
        <f>IFERROR(__xludf.DUMMYFUNCTION("""COMPUTED_VALUE"""),0.0633)</f>
        <v>0.0633</v>
      </c>
      <c r="J1958" s="19">
        <f>IFERROR(__xludf.DUMMYFUNCTION("""COMPUTED_VALUE"""),0.1265)</f>
        <v>0.1265</v>
      </c>
      <c r="K1958" s="19">
        <f>IFERROR(__xludf.DUMMYFUNCTION("""COMPUTED_VALUE"""),0.1581)</f>
        <v>0.1581</v>
      </c>
      <c r="L1958" s="19">
        <f>IFERROR(__xludf.DUMMYFUNCTION("""COMPUTED_VALUE"""),0.1898)</f>
        <v>0.1898</v>
      </c>
      <c r="M1958" s="18">
        <f>IFERROR(__xludf.DUMMYFUNCTION("""COMPUTED_VALUE"""),1.8)</f>
        <v>1.8</v>
      </c>
    </row>
    <row r="1959">
      <c r="A1959" s="13" t="str">
        <f>IFERROR(__xludf.DUMMYFUNCTION("""COMPUTED_VALUE"""),"товари")</f>
        <v>товари</v>
      </c>
      <c r="B1959" s="16" t="str">
        <f>IFERROR(__xludf.DUMMYFUNCTION("""COMPUTED_VALUE"""),"краса та здоров'я")</f>
        <v>краса та здоров'я</v>
      </c>
      <c r="C1959" s="16" t="str">
        <f>IFERROR(__xludf.DUMMYFUNCTION("""COMPUTED_VALUE"""),"гігієнічні вироби та засоби")</f>
        <v>гігієнічні вироби та засоби</v>
      </c>
      <c r="D1959" s="16" t="str">
        <f>IFERROR(__xludf.DUMMYFUNCTION("""COMPUTED_VALUE"""),"засоби для гігієни порожнини рота")</f>
        <v>засоби для гігієни порожнини рота</v>
      </c>
      <c r="E1959" s="16" t="str">
        <f>IFERROR(__xludf.DUMMYFUNCTION("""COMPUTED_VALUE"""),"зубочистки")</f>
        <v>зубочистки</v>
      </c>
      <c r="F1959" s="17">
        <f>IFERROR(__xludf.DUMMYFUNCTION("""COMPUTED_VALUE"""),4.0)</f>
        <v>4</v>
      </c>
      <c r="G1959" s="17" t="str">
        <f>IFERROR(__xludf.DUMMYFUNCTION("""COMPUTED_VALUE"""),"330505")</f>
        <v>330505</v>
      </c>
      <c r="H1959" s="17" t="str">
        <f>IFERROR(__xludf.DUMMYFUNCTION("""COMPUTED_VALUE"""),"зубочистки")</f>
        <v>зубочистки</v>
      </c>
      <c r="I1959" s="19">
        <f>IFERROR(__xludf.DUMMYFUNCTION("""COMPUTED_VALUE"""),0.0633)</f>
        <v>0.0633</v>
      </c>
      <c r="J1959" s="19">
        <f>IFERROR(__xludf.DUMMYFUNCTION("""COMPUTED_VALUE"""),0.1265)</f>
        <v>0.1265</v>
      </c>
      <c r="K1959" s="19">
        <f>IFERROR(__xludf.DUMMYFUNCTION("""COMPUTED_VALUE"""),0.1581)</f>
        <v>0.1581</v>
      </c>
      <c r="L1959" s="19">
        <f>IFERROR(__xludf.DUMMYFUNCTION("""COMPUTED_VALUE"""),0.1898)</f>
        <v>0.1898</v>
      </c>
      <c r="M1959" s="18">
        <f>IFERROR(__xludf.DUMMYFUNCTION("""COMPUTED_VALUE"""),1.8)</f>
        <v>1.8</v>
      </c>
    </row>
    <row r="1960">
      <c r="A1960" s="13" t="str">
        <f>IFERROR(__xludf.DUMMYFUNCTION("""COMPUTED_VALUE"""),"товари")</f>
        <v>товари</v>
      </c>
      <c r="B1960" s="16" t="str">
        <f>IFERROR(__xludf.DUMMYFUNCTION("""COMPUTED_VALUE"""),"краса та здоров'я")</f>
        <v>краса та здоров'я</v>
      </c>
      <c r="C1960" s="16" t="str">
        <f>IFERROR(__xludf.DUMMYFUNCTION("""COMPUTED_VALUE"""),"оптика для зору")</f>
        <v>оптика для зору</v>
      </c>
      <c r="D1960" s="16" t="str">
        <f>IFERROR(__xludf.DUMMYFUNCTION("""COMPUTED_VALUE"""),"іміджеві окуляри")</f>
        <v>іміджеві окуляри</v>
      </c>
      <c r="E1960" s="16" t="str">
        <f>IFERROR(__xludf.DUMMYFUNCTION("""COMPUTED_VALUE"""),"іміджеві окуляри")</f>
        <v>іміджеві окуляри</v>
      </c>
      <c r="F1960" s="17">
        <f>IFERROR(__xludf.DUMMYFUNCTION("""COMPUTED_VALUE"""),3.0)</f>
        <v>3</v>
      </c>
      <c r="G1960" s="17" t="str">
        <f>IFERROR(__xludf.DUMMYFUNCTION("""COMPUTED_VALUE"""),"162305")</f>
        <v>162305</v>
      </c>
      <c r="H1960" s="17" t="str">
        <f>IFERROR(__xludf.DUMMYFUNCTION("""COMPUTED_VALUE"""),"іміджеві окуляри")</f>
        <v>іміджеві окуляри</v>
      </c>
      <c r="I1960" s="19">
        <f>IFERROR(__xludf.DUMMYFUNCTION("""COMPUTED_VALUE"""),0.0678)</f>
        <v>0.0678</v>
      </c>
      <c r="J1960" s="19">
        <f>IFERROR(__xludf.DUMMYFUNCTION("""COMPUTED_VALUE"""),0.1355)</f>
        <v>0.1355</v>
      </c>
      <c r="K1960" s="19">
        <f>IFERROR(__xludf.DUMMYFUNCTION("""COMPUTED_VALUE"""),0.1694)</f>
        <v>0.1694</v>
      </c>
      <c r="L1960" s="19">
        <f>IFERROR(__xludf.DUMMYFUNCTION("""COMPUTED_VALUE"""),0.2033)</f>
        <v>0.2033</v>
      </c>
      <c r="M1960" s="18">
        <f>IFERROR(__xludf.DUMMYFUNCTION("""COMPUTED_VALUE"""),1.05)</f>
        <v>1.05</v>
      </c>
    </row>
    <row r="1961">
      <c r="A1961" s="13" t="str">
        <f>IFERROR(__xludf.DUMMYFUNCTION("""COMPUTED_VALUE"""),"товари")</f>
        <v>товари</v>
      </c>
      <c r="B1961" s="16" t="str">
        <f>IFERROR(__xludf.DUMMYFUNCTION("""COMPUTED_VALUE"""),"краса та здоров'я")</f>
        <v>краса та здоров'я</v>
      </c>
      <c r="C1961" s="16" t="str">
        <f>IFERROR(__xludf.DUMMYFUNCTION("""COMPUTED_VALUE"""),"товари для здоров'я")</f>
        <v>товари для здоров'я</v>
      </c>
      <c r="D1961" s="16" t="str">
        <f>IFERROR(__xludf.DUMMYFUNCTION("""COMPUTED_VALUE"""),"домашня медична техніка")</f>
        <v>домашня медична техніка</v>
      </c>
      <c r="E1961" s="16" t="str">
        <f>IFERROR(__xludf.DUMMYFUNCTION("""COMPUTED_VALUE"""),"інсулінові помпи")</f>
        <v>інсулінові помпи</v>
      </c>
      <c r="F1961" s="17">
        <f>IFERROR(__xludf.DUMMYFUNCTION("""COMPUTED_VALUE"""),4.0)</f>
        <v>4</v>
      </c>
      <c r="G1961" s="17" t="str">
        <f>IFERROR(__xludf.DUMMYFUNCTION("""COMPUTED_VALUE"""),"162533")</f>
        <v>162533</v>
      </c>
      <c r="H1961" s="17" t="str">
        <f>IFERROR(__xludf.DUMMYFUNCTION("""COMPUTED_VALUE"""),"інсулінові помпи")</f>
        <v>інсулінові помпи</v>
      </c>
      <c r="I1961" s="19">
        <f>IFERROR(__xludf.DUMMYFUNCTION("""COMPUTED_VALUE"""),0.0694)</f>
        <v>0.0694</v>
      </c>
      <c r="J1961" s="19">
        <f>IFERROR(__xludf.DUMMYFUNCTION("""COMPUTED_VALUE"""),0.1388)</f>
        <v>0.1388</v>
      </c>
      <c r="K1961" s="19">
        <f>IFERROR(__xludf.DUMMYFUNCTION("""COMPUTED_VALUE"""),0.1735)</f>
        <v>0.1735</v>
      </c>
      <c r="L1961" s="19">
        <f>IFERROR(__xludf.DUMMYFUNCTION("""COMPUTED_VALUE"""),0.2082)</f>
        <v>0.2082</v>
      </c>
      <c r="M1961" s="18">
        <f>IFERROR(__xludf.DUMMYFUNCTION("""COMPUTED_VALUE"""),1.53)</f>
        <v>1.53</v>
      </c>
    </row>
    <row r="1962">
      <c r="A1962" s="13" t="str">
        <f>IFERROR(__xludf.DUMMYFUNCTION("""COMPUTED_VALUE"""),"товари")</f>
        <v>товари</v>
      </c>
      <c r="B1962" s="16" t="str">
        <f>IFERROR(__xludf.DUMMYFUNCTION("""COMPUTED_VALUE"""),"краса та здоров'я")</f>
        <v>краса та здоров'я</v>
      </c>
      <c r="C1962" s="16" t="str">
        <f>IFERROR(__xludf.DUMMYFUNCTION("""COMPUTED_VALUE"""),"косметика по догляду")</f>
        <v>косметика по догляду</v>
      </c>
      <c r="D1962" s="16" t="str">
        <f>IFERROR(__xludf.DUMMYFUNCTION("""COMPUTED_VALUE"""),"догляд за волоссям")</f>
        <v>догляд за волоссям</v>
      </c>
      <c r="E1962" s="16" t="str">
        <f>IFERROR(__xludf.DUMMYFUNCTION("""COMPUTED_VALUE"""),"кератин для волосся")</f>
        <v>кератин для волосся</v>
      </c>
      <c r="F1962" s="17">
        <f>IFERROR(__xludf.DUMMYFUNCTION("""COMPUTED_VALUE"""),4.0)</f>
        <v>4</v>
      </c>
      <c r="G1962" s="17" t="str">
        <f>IFERROR(__xludf.DUMMYFUNCTION("""COMPUTED_VALUE"""),"330727")</f>
        <v>330727</v>
      </c>
      <c r="H1962" s="17" t="str">
        <f>IFERROR(__xludf.DUMMYFUNCTION("""COMPUTED_VALUE"""),"кератин для волосся")</f>
        <v>кератин для волосся</v>
      </c>
      <c r="I1962" s="19">
        <f>IFERROR(__xludf.DUMMYFUNCTION("""COMPUTED_VALUE"""),0.0644)</f>
        <v>0.0644</v>
      </c>
      <c r="J1962" s="19">
        <f>IFERROR(__xludf.DUMMYFUNCTION("""COMPUTED_VALUE"""),0.1288)</f>
        <v>0.1288</v>
      </c>
      <c r="K1962" s="19">
        <f>IFERROR(__xludf.DUMMYFUNCTION("""COMPUTED_VALUE"""),0.161)</f>
        <v>0.161</v>
      </c>
      <c r="L1962" s="19">
        <f>IFERROR(__xludf.DUMMYFUNCTION("""COMPUTED_VALUE"""),0.1932)</f>
        <v>0.1932</v>
      </c>
      <c r="M1962" s="18">
        <f>IFERROR(__xludf.DUMMYFUNCTION("""COMPUTED_VALUE"""),1.63)</f>
        <v>1.63</v>
      </c>
    </row>
    <row r="1963">
      <c r="A1963" s="13" t="str">
        <f>IFERROR(__xludf.DUMMYFUNCTION("""COMPUTED_VALUE"""),"товари")</f>
        <v>товари</v>
      </c>
      <c r="B1963" s="16" t="str">
        <f>IFERROR(__xludf.DUMMYFUNCTION("""COMPUTED_VALUE"""),"краса та здоров'я")</f>
        <v>краса та здоров'я</v>
      </c>
      <c r="C1963" s="16" t="str">
        <f>IFERROR(__xludf.DUMMYFUNCTION("""COMPUTED_VALUE"""),"декоративна косметика")</f>
        <v>декоративна косметика</v>
      </c>
      <c r="D1963" s="16" t="str">
        <f>IFERROR(__xludf.DUMMYFUNCTION("""COMPUTED_VALUE"""),"макіяж очей")</f>
        <v>макіяж очей</v>
      </c>
      <c r="E1963" s="16" t="str">
        <f>IFERROR(__xludf.DUMMYFUNCTION("""COMPUTED_VALUE"""),"клей для накладних вій")</f>
        <v>клей для накладних вій</v>
      </c>
      <c r="F1963" s="17">
        <f>IFERROR(__xludf.DUMMYFUNCTION("""COMPUTED_VALUE"""),4.0)</f>
        <v>4</v>
      </c>
      <c r="G1963" s="17" t="str">
        <f>IFERROR(__xludf.DUMMYFUNCTION("""COMPUTED_VALUE"""),"8210117")</f>
        <v>8210117</v>
      </c>
      <c r="H1963" s="17" t="str">
        <f>IFERROR(__xludf.DUMMYFUNCTION("""COMPUTED_VALUE"""),"клей для накладних вій")</f>
        <v>клей для накладних вій</v>
      </c>
      <c r="I1963" s="19">
        <f>IFERROR(__xludf.DUMMYFUNCTION("""COMPUTED_VALUE"""),0.0664)</f>
        <v>0.0664</v>
      </c>
      <c r="J1963" s="19">
        <f>IFERROR(__xludf.DUMMYFUNCTION("""COMPUTED_VALUE"""),0.1327)</f>
        <v>0.1327</v>
      </c>
      <c r="K1963" s="19">
        <f>IFERROR(__xludf.DUMMYFUNCTION("""COMPUTED_VALUE"""),0.1659)</f>
        <v>0.1659</v>
      </c>
      <c r="L1963" s="19">
        <f>IFERROR(__xludf.DUMMYFUNCTION("""COMPUTED_VALUE"""),0.1991)</f>
        <v>0.1991</v>
      </c>
      <c r="M1963" s="18">
        <f>IFERROR(__xludf.DUMMYFUNCTION("""COMPUTED_VALUE"""),1.71)</f>
        <v>1.71</v>
      </c>
    </row>
    <row r="1964">
      <c r="A1964" s="13" t="str">
        <f>IFERROR(__xludf.DUMMYFUNCTION("""COMPUTED_VALUE"""),"товари")</f>
        <v>товари</v>
      </c>
      <c r="B1964" s="16" t="str">
        <f>IFERROR(__xludf.DUMMYFUNCTION("""COMPUTED_VALUE"""),"краса та здоров'я")</f>
        <v>краса та здоров'я</v>
      </c>
      <c r="C1964" s="16" t="str">
        <f>IFERROR(__xludf.DUMMYFUNCTION("""COMPUTED_VALUE"""),"товари для здоров'я")</f>
        <v>товари для здоров'я</v>
      </c>
      <c r="D1964" s="16" t="str">
        <f>IFERROR(__xludf.DUMMYFUNCTION("""COMPUTED_VALUE"""),"домашня медична техніка")</f>
        <v>домашня медична техніка</v>
      </c>
      <c r="E1964" s="16" t="str">
        <f>IFERROR(__xludf.DUMMYFUNCTION("""COMPUTED_VALUE"""),"комплектуючі для домашньої медичної техніки")</f>
        <v>комплектуючі для домашньої медичної техніки</v>
      </c>
      <c r="F1964" s="17">
        <f>IFERROR(__xludf.DUMMYFUNCTION("""COMPUTED_VALUE"""),4.0)</f>
        <v>4</v>
      </c>
      <c r="G1964" s="17" t="str">
        <f>IFERROR(__xludf.DUMMYFUNCTION("""COMPUTED_VALUE"""),"162537")</f>
        <v>162537</v>
      </c>
      <c r="H1964" s="17" t="str">
        <f>IFERROR(__xludf.DUMMYFUNCTION("""COMPUTED_VALUE"""),"комплектуючі для домашньої медичної техніки")</f>
        <v>комплектуючі для домашньої медичної техніки</v>
      </c>
      <c r="I1964" s="19">
        <f>IFERROR(__xludf.DUMMYFUNCTION("""COMPUTED_VALUE"""),0.0694)</f>
        <v>0.0694</v>
      </c>
      <c r="J1964" s="19">
        <f>IFERROR(__xludf.DUMMYFUNCTION("""COMPUTED_VALUE"""),0.1388)</f>
        <v>0.1388</v>
      </c>
      <c r="K1964" s="19">
        <f>IFERROR(__xludf.DUMMYFUNCTION("""COMPUTED_VALUE"""),0.1735)</f>
        <v>0.1735</v>
      </c>
      <c r="L1964" s="19">
        <f>IFERROR(__xludf.DUMMYFUNCTION("""COMPUTED_VALUE"""),0.2082)</f>
        <v>0.2082</v>
      </c>
      <c r="M1964" s="18">
        <f>IFERROR(__xludf.DUMMYFUNCTION("""COMPUTED_VALUE"""),1.53)</f>
        <v>1.53</v>
      </c>
    </row>
    <row r="1965">
      <c r="A1965" s="13" t="str">
        <f>IFERROR(__xludf.DUMMYFUNCTION("""COMPUTED_VALUE"""),"товари")</f>
        <v>товари</v>
      </c>
      <c r="B1965" s="16" t="str">
        <f>IFERROR(__xludf.DUMMYFUNCTION("""COMPUTED_VALUE"""),"краса та здоров'я")</f>
        <v>краса та здоров'я</v>
      </c>
      <c r="C1965" s="16" t="str">
        <f>IFERROR(__xludf.DUMMYFUNCTION("""COMPUTED_VALUE"""),"оптика для зору")</f>
        <v>оптика для зору</v>
      </c>
      <c r="D1965" s="16" t="str">
        <f>IFERROR(__xludf.DUMMYFUNCTION("""COMPUTED_VALUE"""),"комплектуючі для окулярів")</f>
        <v>комплектуючі для окулярів</v>
      </c>
      <c r="E1965" s="16" t="str">
        <f>IFERROR(__xludf.DUMMYFUNCTION("""COMPUTED_VALUE"""),"комплектуючі для окулярів, загальне")</f>
        <v>комплектуючі для окулярів, загальне</v>
      </c>
      <c r="F1965" s="17">
        <f>IFERROR(__xludf.DUMMYFUNCTION("""COMPUTED_VALUE"""),4.0)</f>
        <v>4</v>
      </c>
      <c r="G1965" s="17" t="str">
        <f>IFERROR(__xludf.DUMMYFUNCTION("""COMPUTED_VALUE"""),"162303")</f>
        <v>162303</v>
      </c>
      <c r="H1965" s="17" t="str">
        <f>IFERROR(__xludf.DUMMYFUNCTION("""COMPUTED_VALUE"""),"комплектуючі для окулярів, загальне")</f>
        <v>комплектуючі для окулярів, загальне</v>
      </c>
      <c r="I1965" s="19">
        <f>IFERROR(__xludf.DUMMYFUNCTION("""COMPUTED_VALUE"""),0.125)</f>
        <v>0.125</v>
      </c>
      <c r="J1965" s="19">
        <f>IFERROR(__xludf.DUMMYFUNCTION("""COMPUTED_VALUE"""),0.25)</f>
        <v>0.25</v>
      </c>
      <c r="K1965" s="19">
        <f>IFERROR(__xludf.DUMMYFUNCTION("""COMPUTED_VALUE"""),0.3125)</f>
        <v>0.3125</v>
      </c>
      <c r="L1965" s="19">
        <f>IFERROR(__xludf.DUMMYFUNCTION("""COMPUTED_VALUE"""),0.375)</f>
        <v>0.375</v>
      </c>
      <c r="M1965" s="18">
        <f>IFERROR(__xludf.DUMMYFUNCTION("""COMPUTED_VALUE"""),4.33)</f>
        <v>4.33</v>
      </c>
    </row>
    <row r="1966">
      <c r="A1966" s="13" t="str">
        <f>IFERROR(__xludf.DUMMYFUNCTION("""COMPUTED_VALUE"""),"товари")</f>
        <v>товари</v>
      </c>
      <c r="B1966" s="16" t="str">
        <f>IFERROR(__xludf.DUMMYFUNCTION("""COMPUTED_VALUE"""),"краса та здоров'я")</f>
        <v>краса та здоров'я</v>
      </c>
      <c r="C1966" s="16" t="str">
        <f>IFERROR(__xludf.DUMMYFUNCTION("""COMPUTED_VALUE"""),"товари для здоров'я")</f>
        <v>товари для здоров'я</v>
      </c>
      <c r="D1966" s="16" t="str">
        <f>IFERROR(__xludf.DUMMYFUNCTION("""COMPUTED_VALUE"""),"домашня медична техніка")</f>
        <v>домашня медична техніка</v>
      </c>
      <c r="E1966" s="16" t="str">
        <f>IFERROR(__xludf.DUMMYFUNCTION("""COMPUTED_VALUE"""),"комплектуючі для слухових апаратів")</f>
        <v>комплектуючі для слухових апаратів</v>
      </c>
      <c r="F1966" s="17">
        <f>IFERROR(__xludf.DUMMYFUNCTION("""COMPUTED_VALUE"""),4.0)</f>
        <v>4</v>
      </c>
      <c r="G1966" s="17" t="str">
        <f>IFERROR(__xludf.DUMMYFUNCTION("""COMPUTED_VALUE"""),"162538")</f>
        <v>162538</v>
      </c>
      <c r="H1966" s="17" t="str">
        <f>IFERROR(__xludf.DUMMYFUNCTION("""COMPUTED_VALUE"""),"комплектуючі для слухових апаратів")</f>
        <v>комплектуючі для слухових апаратів</v>
      </c>
      <c r="I1966" s="19">
        <f>IFERROR(__xludf.DUMMYFUNCTION("""COMPUTED_VALUE"""),0.0694)</f>
        <v>0.0694</v>
      </c>
      <c r="J1966" s="19">
        <f>IFERROR(__xludf.DUMMYFUNCTION("""COMPUTED_VALUE"""),0.1388)</f>
        <v>0.1388</v>
      </c>
      <c r="K1966" s="19">
        <f>IFERROR(__xludf.DUMMYFUNCTION("""COMPUTED_VALUE"""),0.1735)</f>
        <v>0.1735</v>
      </c>
      <c r="L1966" s="19">
        <f>IFERROR(__xludf.DUMMYFUNCTION("""COMPUTED_VALUE"""),0.2082)</f>
        <v>0.2082</v>
      </c>
      <c r="M1966" s="18">
        <f>IFERROR(__xludf.DUMMYFUNCTION("""COMPUTED_VALUE"""),1.53)</f>
        <v>1.53</v>
      </c>
    </row>
    <row r="1967">
      <c r="A1967" s="13" t="str">
        <f>IFERROR(__xludf.DUMMYFUNCTION("""COMPUTED_VALUE"""),"товари")</f>
        <v>товари</v>
      </c>
      <c r="B1967" s="16" t="str">
        <f>IFERROR(__xludf.DUMMYFUNCTION("""COMPUTED_VALUE"""),"краса та здоров'я")</f>
        <v>краса та здоров'я</v>
      </c>
      <c r="C1967" s="16" t="str">
        <f>IFERROR(__xludf.DUMMYFUNCTION("""COMPUTED_VALUE"""),"товари для здоров'я")</f>
        <v>товари для здоров'я</v>
      </c>
      <c r="D1967" s="16" t="str">
        <f>IFERROR(__xludf.DUMMYFUNCTION("""COMPUTED_VALUE"""),"домашня медична техніка")</f>
        <v>домашня медична техніка</v>
      </c>
      <c r="E1967" s="16" t="str">
        <f>IFERROR(__xludf.DUMMYFUNCTION("""COMPUTED_VALUE"""),"комплектуючі до тонометрів")</f>
        <v>комплектуючі до тонометрів</v>
      </c>
      <c r="F1967" s="17">
        <f>IFERROR(__xludf.DUMMYFUNCTION("""COMPUTED_VALUE"""),4.0)</f>
        <v>4</v>
      </c>
      <c r="G1967" s="17" t="str">
        <f>IFERROR(__xludf.DUMMYFUNCTION("""COMPUTED_VALUE"""),"162530")</f>
        <v>162530</v>
      </c>
      <c r="H1967" s="17" t="str">
        <f>IFERROR(__xludf.DUMMYFUNCTION("""COMPUTED_VALUE"""),"комплектуючі до тонометрів")</f>
        <v>комплектуючі до тонометрів</v>
      </c>
      <c r="I1967" s="19">
        <f>IFERROR(__xludf.DUMMYFUNCTION("""COMPUTED_VALUE"""),0.0694)</f>
        <v>0.0694</v>
      </c>
      <c r="J1967" s="19">
        <f>IFERROR(__xludf.DUMMYFUNCTION("""COMPUTED_VALUE"""),0.1388)</f>
        <v>0.1388</v>
      </c>
      <c r="K1967" s="19">
        <f>IFERROR(__xludf.DUMMYFUNCTION("""COMPUTED_VALUE"""),0.1735)</f>
        <v>0.1735</v>
      </c>
      <c r="L1967" s="19">
        <f>IFERROR(__xludf.DUMMYFUNCTION("""COMPUTED_VALUE"""),0.2082)</f>
        <v>0.2082</v>
      </c>
      <c r="M1967" s="18">
        <f>IFERROR(__xludf.DUMMYFUNCTION("""COMPUTED_VALUE"""),1.53)</f>
        <v>1.53</v>
      </c>
    </row>
    <row r="1968">
      <c r="A1968" s="13" t="str">
        <f>IFERROR(__xludf.DUMMYFUNCTION("""COMPUTED_VALUE"""),"товари")</f>
        <v>товари</v>
      </c>
      <c r="B1968" s="16" t="str">
        <f>IFERROR(__xludf.DUMMYFUNCTION("""COMPUTED_VALUE"""),"краса та здоров'я")</f>
        <v>краса та здоров'я</v>
      </c>
      <c r="C1968" s="16" t="str">
        <f>IFERROR(__xludf.DUMMYFUNCTION("""COMPUTED_VALUE"""),"товари для здоров'я")</f>
        <v>товари для здоров'я</v>
      </c>
      <c r="D1968" s="16" t="str">
        <f>IFERROR(__xludf.DUMMYFUNCTION("""COMPUTED_VALUE"""),"компресійний трикотаж")</f>
        <v>компресійний трикотаж</v>
      </c>
      <c r="E1968" s="16" t="str">
        <f>IFERROR(__xludf.DUMMYFUNCTION("""COMPUTED_VALUE"""),"компресійний трикотаж")</f>
        <v>компресійний трикотаж</v>
      </c>
      <c r="F1968" s="17">
        <f>IFERROR(__xludf.DUMMYFUNCTION("""COMPUTED_VALUE"""),3.0)</f>
        <v>3</v>
      </c>
      <c r="G1968" s="17" t="str">
        <f>IFERROR(__xludf.DUMMYFUNCTION("""COMPUTED_VALUE"""),"1629")</f>
        <v>1629</v>
      </c>
      <c r="H1968" s="17" t="str">
        <f>IFERROR(__xludf.DUMMYFUNCTION("""COMPUTED_VALUE"""),"компресійний трикотаж")</f>
        <v>компресійний трикотаж</v>
      </c>
      <c r="I1968" s="19">
        <f>IFERROR(__xludf.DUMMYFUNCTION("""COMPUTED_VALUE"""),0.0771)</f>
        <v>0.0771</v>
      </c>
      <c r="J1968" s="19">
        <f>IFERROR(__xludf.DUMMYFUNCTION("""COMPUTED_VALUE"""),0.1542)</f>
        <v>0.1542</v>
      </c>
      <c r="K1968" s="19">
        <f>IFERROR(__xludf.DUMMYFUNCTION("""COMPUTED_VALUE"""),0.1928)</f>
        <v>0.1928</v>
      </c>
      <c r="L1968" s="19">
        <f>IFERROR(__xludf.DUMMYFUNCTION("""COMPUTED_VALUE"""),0.2313)</f>
        <v>0.2313</v>
      </c>
      <c r="M1968" s="18">
        <f>IFERROR(__xludf.DUMMYFUNCTION("""COMPUTED_VALUE"""),3.15)</f>
        <v>3.15</v>
      </c>
    </row>
    <row r="1969">
      <c r="A1969" s="13" t="str">
        <f>IFERROR(__xludf.DUMMYFUNCTION("""COMPUTED_VALUE"""),"товари")</f>
        <v>товари</v>
      </c>
      <c r="B1969" s="16" t="str">
        <f>IFERROR(__xludf.DUMMYFUNCTION("""COMPUTED_VALUE"""),"краса та здоров'я")</f>
        <v>краса та здоров'я</v>
      </c>
      <c r="C1969" s="16" t="str">
        <f>IFERROR(__xludf.DUMMYFUNCTION("""COMPUTED_VALUE"""),"оптика для зору")</f>
        <v>оптика для зору</v>
      </c>
      <c r="D1969" s="16" t="str">
        <f>IFERROR(__xludf.DUMMYFUNCTION("""COMPUTED_VALUE"""),"контактні лінзи")</f>
        <v>контактні лінзи</v>
      </c>
      <c r="E1969" s="16" t="str">
        <f>IFERROR(__xludf.DUMMYFUNCTION("""COMPUTED_VALUE"""),"контактні лінзи")</f>
        <v>контактні лінзи</v>
      </c>
      <c r="F1969" s="17">
        <f>IFERROR(__xludf.DUMMYFUNCTION("""COMPUTED_VALUE"""),3.0)</f>
        <v>3</v>
      </c>
      <c r="G1969" s="17" t="str">
        <f>IFERROR(__xludf.DUMMYFUNCTION("""COMPUTED_VALUE"""),"361210")</f>
        <v>361210</v>
      </c>
      <c r="H1969" s="17" t="str">
        <f>IFERROR(__xludf.DUMMYFUNCTION("""COMPUTED_VALUE"""),"контактні лінзи")</f>
        <v>контактні лінзи</v>
      </c>
      <c r="I1969" s="19">
        <f>IFERROR(__xludf.DUMMYFUNCTION("""COMPUTED_VALUE"""),0.0679)</f>
        <v>0.0679</v>
      </c>
      <c r="J1969" s="19">
        <f>IFERROR(__xludf.DUMMYFUNCTION("""COMPUTED_VALUE"""),0.1357)</f>
        <v>0.1357</v>
      </c>
      <c r="K1969" s="19">
        <f>IFERROR(__xludf.DUMMYFUNCTION("""COMPUTED_VALUE"""),0.1696)</f>
        <v>0.1696</v>
      </c>
      <c r="L1969" s="19">
        <f>IFERROR(__xludf.DUMMYFUNCTION("""COMPUTED_VALUE"""),0.2036)</f>
        <v>0.2036</v>
      </c>
      <c r="M1969" s="18">
        <f>IFERROR(__xludf.DUMMYFUNCTION("""COMPUTED_VALUE"""),2.79)</f>
        <v>2.79</v>
      </c>
    </row>
    <row r="1970">
      <c r="A1970" s="13" t="str">
        <f>IFERROR(__xludf.DUMMYFUNCTION("""COMPUTED_VALUE"""),"товари")</f>
        <v>товари</v>
      </c>
      <c r="B1970" s="16" t="str">
        <f>IFERROR(__xludf.DUMMYFUNCTION("""COMPUTED_VALUE"""),"краса та здоров'я")</f>
        <v>краса та здоров'я</v>
      </c>
      <c r="C1970" s="16" t="str">
        <f>IFERROR(__xludf.DUMMYFUNCTION("""COMPUTED_VALUE"""),"декоративна косметика")</f>
        <v>декоративна косметика</v>
      </c>
      <c r="D1970" s="16" t="str">
        <f>IFERROR(__xludf.DUMMYFUNCTION("""COMPUTED_VALUE"""),"макіяж обличчя")</f>
        <v>макіяж обличчя</v>
      </c>
      <c r="E1970" s="16" t="str">
        <f>IFERROR(__xludf.DUMMYFUNCTION("""COMPUTED_VALUE"""),"коригувальні та маскуючі засоби для обличчя")</f>
        <v>коригувальні та маскуючі засоби для обличчя</v>
      </c>
      <c r="F1970" s="17">
        <f>IFERROR(__xludf.DUMMYFUNCTION("""COMPUTED_VALUE"""),4.0)</f>
        <v>4</v>
      </c>
      <c r="G1970" s="17" t="str">
        <f>IFERROR(__xludf.DUMMYFUNCTION("""COMPUTED_VALUE"""),"8210114")</f>
        <v>8210114</v>
      </c>
      <c r="H1970" s="17" t="str">
        <f>IFERROR(__xludf.DUMMYFUNCTION("""COMPUTED_VALUE"""),"коригувальні та маскуючі засоби для обличчя")</f>
        <v>коригувальні та маскуючі засоби для обличчя</v>
      </c>
      <c r="I1970" s="19">
        <f>IFERROR(__xludf.DUMMYFUNCTION("""COMPUTED_VALUE"""),0.0675)</f>
        <v>0.0675</v>
      </c>
      <c r="J1970" s="19">
        <f>IFERROR(__xludf.DUMMYFUNCTION("""COMPUTED_VALUE"""),0.135)</f>
        <v>0.135</v>
      </c>
      <c r="K1970" s="19">
        <f>IFERROR(__xludf.DUMMYFUNCTION("""COMPUTED_VALUE"""),0.1688)</f>
        <v>0.1688</v>
      </c>
      <c r="L1970" s="19">
        <f>IFERROR(__xludf.DUMMYFUNCTION("""COMPUTED_VALUE"""),0.2025)</f>
        <v>0.2025</v>
      </c>
      <c r="M1970" s="18">
        <f>IFERROR(__xludf.DUMMYFUNCTION("""COMPUTED_VALUE"""),1.05)</f>
        <v>1.05</v>
      </c>
    </row>
    <row r="1971">
      <c r="A1971" s="13" t="str">
        <f>IFERROR(__xludf.DUMMYFUNCTION("""COMPUTED_VALUE"""),"товари")</f>
        <v>товари</v>
      </c>
      <c r="B1971" s="16" t="str">
        <f>IFERROR(__xludf.DUMMYFUNCTION("""COMPUTED_VALUE"""),"краса та здоров'я")</f>
        <v>краса та здоров'я</v>
      </c>
      <c r="C1971" s="16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971" s="16" t="str">
        <f>IFERROR(__xludf.DUMMYFUNCTION("""COMPUTED_VALUE"""),"косметика для гоління")</f>
        <v>косметика для гоління</v>
      </c>
      <c r="E1971" s="16" t="str">
        <f>IFERROR(__xludf.DUMMYFUNCTION("""COMPUTED_VALUE"""),"косметика для гоління")</f>
        <v>косметика для гоління</v>
      </c>
      <c r="F1971" s="17">
        <f>IFERROR(__xludf.DUMMYFUNCTION("""COMPUTED_VALUE"""),3.0)</f>
        <v>3</v>
      </c>
      <c r="G1971" s="17" t="str">
        <f>IFERROR(__xludf.DUMMYFUNCTION("""COMPUTED_VALUE"""),"331502")</f>
        <v>331502</v>
      </c>
      <c r="H1971" s="17" t="str">
        <f>IFERROR(__xludf.DUMMYFUNCTION("""COMPUTED_VALUE"""),"косметика для гоління")</f>
        <v>косметика для гоління</v>
      </c>
      <c r="I1971" s="19">
        <f>IFERROR(__xludf.DUMMYFUNCTION("""COMPUTED_VALUE"""),0.0587)</f>
        <v>0.0587</v>
      </c>
      <c r="J1971" s="19">
        <f>IFERROR(__xludf.DUMMYFUNCTION("""COMPUTED_VALUE"""),0.1173)</f>
        <v>0.1173</v>
      </c>
      <c r="K1971" s="19">
        <f>IFERROR(__xludf.DUMMYFUNCTION("""COMPUTED_VALUE"""),0.1466)</f>
        <v>0.1466</v>
      </c>
      <c r="L1971" s="19">
        <f>IFERROR(__xludf.DUMMYFUNCTION("""COMPUTED_VALUE"""),0.176)</f>
        <v>0.176</v>
      </c>
      <c r="M1971" s="18">
        <f>IFERROR(__xludf.DUMMYFUNCTION("""COMPUTED_VALUE"""),1.05)</f>
        <v>1.05</v>
      </c>
    </row>
    <row r="1972">
      <c r="A1972" s="13" t="str">
        <f>IFERROR(__xludf.DUMMYFUNCTION("""COMPUTED_VALUE"""),"товари")</f>
        <v>товари</v>
      </c>
      <c r="B1972" s="16" t="str">
        <f>IFERROR(__xludf.DUMMYFUNCTION("""COMPUTED_VALUE"""),"краса та здоров'я")</f>
        <v>краса та здоров'я</v>
      </c>
      <c r="C1972" s="16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972" s="16" t="str">
        <f>IFERROR(__xludf.DUMMYFUNCTION("""COMPUTED_VALUE"""),"косметика для догляду для чоловіків, загальне")</f>
        <v>косметика для догляду для чоловіків, загальне</v>
      </c>
      <c r="E1972" s="16" t="str">
        <f>IFERROR(__xludf.DUMMYFUNCTION("""COMPUTED_VALUE"""),"косметика для догляду для чоловіків, загальне")</f>
        <v>косметика для догляду для чоловіків, загальне</v>
      </c>
      <c r="F1972" s="17">
        <f>IFERROR(__xludf.DUMMYFUNCTION("""COMPUTED_VALUE"""),3.0)</f>
        <v>3</v>
      </c>
      <c r="G1972" s="17" t="str">
        <f>IFERROR(__xludf.DUMMYFUNCTION("""COMPUTED_VALUE"""),"332102")</f>
        <v>332102</v>
      </c>
      <c r="H1972" s="17" t="str">
        <f>IFERROR(__xludf.DUMMYFUNCTION("""COMPUTED_VALUE"""),"косметика для догляду для чоловіків, загальне")</f>
        <v>косметика для догляду для чоловіків, загальне</v>
      </c>
      <c r="I1972" s="19">
        <f>IFERROR(__xludf.DUMMYFUNCTION("""COMPUTED_VALUE"""),0.125)</f>
        <v>0.125</v>
      </c>
      <c r="J1972" s="19">
        <f>IFERROR(__xludf.DUMMYFUNCTION("""COMPUTED_VALUE"""),0.25)</f>
        <v>0.25</v>
      </c>
      <c r="K1972" s="19">
        <f>IFERROR(__xludf.DUMMYFUNCTION("""COMPUTED_VALUE"""),0.3125)</f>
        <v>0.3125</v>
      </c>
      <c r="L1972" s="19">
        <f>IFERROR(__xludf.DUMMYFUNCTION("""COMPUTED_VALUE"""),0.375)</f>
        <v>0.375</v>
      </c>
      <c r="M1972" s="18">
        <f>IFERROR(__xludf.DUMMYFUNCTION("""COMPUTED_VALUE"""),4.33)</f>
        <v>4.33</v>
      </c>
    </row>
    <row r="1973">
      <c r="A1973" s="13" t="str">
        <f>IFERROR(__xludf.DUMMYFUNCTION("""COMPUTED_VALUE"""),"товари")</f>
        <v>товари</v>
      </c>
      <c r="B1973" s="16" t="str">
        <f>IFERROR(__xludf.DUMMYFUNCTION("""COMPUTED_VALUE"""),"краса та здоров'я")</f>
        <v>краса та здоров'я</v>
      </c>
      <c r="C1973" s="16" t="str">
        <f>IFERROR(__xludf.DUMMYFUNCTION("""COMPUTED_VALUE"""),"косметика по догляду")</f>
        <v>косметика по догляду</v>
      </c>
      <c r="D1973" s="16" t="str">
        <f>IFERROR(__xludf.DUMMYFUNCTION("""COMPUTED_VALUE"""),"косметика по догляду, загальне")</f>
        <v>косметика по догляду, загальне</v>
      </c>
      <c r="E1973" s="16" t="str">
        <f>IFERROR(__xludf.DUMMYFUNCTION("""COMPUTED_VALUE"""),"косметика по догляду, загальне")</f>
        <v>косметика по догляду, загальне</v>
      </c>
      <c r="F1973" s="17">
        <f>IFERROR(__xludf.DUMMYFUNCTION("""COMPUTED_VALUE"""),3.0)</f>
        <v>3</v>
      </c>
      <c r="G1973" s="17" t="str">
        <f>IFERROR(__xludf.DUMMYFUNCTION("""COMPUTED_VALUE"""),"163801")</f>
        <v>163801</v>
      </c>
      <c r="H1973" s="17" t="str">
        <f>IFERROR(__xludf.DUMMYFUNCTION("""COMPUTED_VALUE"""),"косметика по догляду, загальне")</f>
        <v>косметика по догляду, загальне</v>
      </c>
      <c r="I1973" s="19">
        <f>IFERROR(__xludf.DUMMYFUNCTION("""COMPUTED_VALUE"""),0.125)</f>
        <v>0.125</v>
      </c>
      <c r="J1973" s="19">
        <f>IFERROR(__xludf.DUMMYFUNCTION("""COMPUTED_VALUE"""),0.25)</f>
        <v>0.25</v>
      </c>
      <c r="K1973" s="19">
        <f>IFERROR(__xludf.DUMMYFUNCTION("""COMPUTED_VALUE"""),0.3125)</f>
        <v>0.3125</v>
      </c>
      <c r="L1973" s="19">
        <f>IFERROR(__xludf.DUMMYFUNCTION("""COMPUTED_VALUE"""),0.375)</f>
        <v>0.375</v>
      </c>
      <c r="M1973" s="18">
        <f>IFERROR(__xludf.DUMMYFUNCTION("""COMPUTED_VALUE"""),4.33)</f>
        <v>4.33</v>
      </c>
    </row>
    <row r="1974">
      <c r="A1974" s="13" t="str">
        <f>IFERROR(__xludf.DUMMYFUNCTION("""COMPUTED_VALUE"""),"товари")</f>
        <v>товари</v>
      </c>
      <c r="B1974" s="16" t="str">
        <f>IFERROR(__xludf.DUMMYFUNCTION("""COMPUTED_VALUE"""),"краса та здоров'я")</f>
        <v>краса та здоров'я</v>
      </c>
      <c r="C1974" s="16" t="str">
        <f>IFERROR(__xludf.DUMMYFUNCTION("""COMPUTED_VALUE"""),"косметика по догляду")</f>
        <v>косметика по догляду</v>
      </c>
      <c r="D1974" s="16" t="str">
        <f>IFERROR(__xludf.DUMMYFUNCTION("""COMPUTED_VALUE"""),"догляд за обличчям")</f>
        <v>догляд за обличчям</v>
      </c>
      <c r="E1974" s="16" t="str">
        <f>IFERROR(__xludf.DUMMYFUNCTION("""COMPUTED_VALUE"""),"косметична глина")</f>
        <v>косметична глина</v>
      </c>
      <c r="F1974" s="17">
        <f>IFERROR(__xludf.DUMMYFUNCTION("""COMPUTED_VALUE"""),4.0)</f>
        <v>4</v>
      </c>
      <c r="G1974" s="17" t="str">
        <f>IFERROR(__xludf.DUMMYFUNCTION("""COMPUTED_VALUE"""),"3322")</f>
        <v>3322</v>
      </c>
      <c r="H1974" s="17" t="str">
        <f>IFERROR(__xludf.DUMMYFUNCTION("""COMPUTED_VALUE"""),"косметична глина")</f>
        <v>косметична глина</v>
      </c>
      <c r="I1974" s="19">
        <f>IFERROR(__xludf.DUMMYFUNCTION("""COMPUTED_VALUE"""),0.0664)</f>
        <v>0.0664</v>
      </c>
      <c r="J1974" s="19">
        <f>IFERROR(__xludf.DUMMYFUNCTION("""COMPUTED_VALUE"""),0.1327)</f>
        <v>0.1327</v>
      </c>
      <c r="K1974" s="19">
        <f>IFERROR(__xludf.DUMMYFUNCTION("""COMPUTED_VALUE"""),0.1659)</f>
        <v>0.1659</v>
      </c>
      <c r="L1974" s="19">
        <f>IFERROR(__xludf.DUMMYFUNCTION("""COMPUTED_VALUE"""),0.1991)</f>
        <v>0.1991</v>
      </c>
      <c r="M1974" s="18">
        <f>IFERROR(__xludf.DUMMYFUNCTION("""COMPUTED_VALUE"""),1.71)</f>
        <v>1.71</v>
      </c>
    </row>
    <row r="1975">
      <c r="A1975" s="13" t="str">
        <f>IFERROR(__xludf.DUMMYFUNCTION("""COMPUTED_VALUE"""),"товари")</f>
        <v>товари</v>
      </c>
      <c r="B1975" s="16" t="str">
        <f>IFERROR(__xludf.DUMMYFUNCTION("""COMPUTED_VALUE"""),"краса та здоров'я")</f>
        <v>краса та здоров'я</v>
      </c>
      <c r="C1975" s="16" t="str">
        <f>IFERROR(__xludf.DUMMYFUNCTION("""COMPUTED_VALUE"""),"декоративна косметика")</f>
        <v>декоративна косметика</v>
      </c>
      <c r="D1975" s="16" t="str">
        <f>IFERROR(__xludf.DUMMYFUNCTION("""COMPUTED_VALUE"""),"макіяж обличчя")</f>
        <v>макіяж обличчя</v>
      </c>
      <c r="E1975" s="16" t="str">
        <f>IFERROR(__xludf.DUMMYFUNCTION("""COMPUTED_VALUE"""),"косметична пудра ")</f>
        <v>косметична пудра </v>
      </c>
      <c r="F1975" s="17">
        <f>IFERROR(__xludf.DUMMYFUNCTION("""COMPUTED_VALUE"""),4.0)</f>
        <v>4</v>
      </c>
      <c r="G1975" s="17" t="str">
        <f>IFERROR(__xludf.DUMMYFUNCTION("""COMPUTED_VALUE"""),"8210106")</f>
        <v>8210106</v>
      </c>
      <c r="H1975" s="17" t="str">
        <f>IFERROR(__xludf.DUMMYFUNCTION("""COMPUTED_VALUE"""),"косметична пудра ")</f>
        <v>косметична пудра </v>
      </c>
      <c r="I1975" s="19">
        <f>IFERROR(__xludf.DUMMYFUNCTION("""COMPUTED_VALUE"""),0.0675)</f>
        <v>0.0675</v>
      </c>
      <c r="J1975" s="19">
        <f>IFERROR(__xludf.DUMMYFUNCTION("""COMPUTED_VALUE"""),0.135)</f>
        <v>0.135</v>
      </c>
      <c r="K1975" s="19">
        <f>IFERROR(__xludf.DUMMYFUNCTION("""COMPUTED_VALUE"""),0.1688)</f>
        <v>0.1688</v>
      </c>
      <c r="L1975" s="19">
        <f>IFERROR(__xludf.DUMMYFUNCTION("""COMPUTED_VALUE"""),0.2025)</f>
        <v>0.2025</v>
      </c>
      <c r="M1975" s="18">
        <f>IFERROR(__xludf.DUMMYFUNCTION("""COMPUTED_VALUE"""),1.05)</f>
        <v>1.05</v>
      </c>
    </row>
    <row r="1976">
      <c r="A1976" s="13" t="str">
        <f>IFERROR(__xludf.DUMMYFUNCTION("""COMPUTED_VALUE"""),"товари")</f>
        <v>товари</v>
      </c>
      <c r="B1976" s="16" t="str">
        <f>IFERROR(__xludf.DUMMYFUNCTION("""COMPUTED_VALUE"""),"краса та здоров'я")</f>
        <v>краса та здоров'я</v>
      </c>
      <c r="C1976" s="16" t="str">
        <f>IFERROR(__xludf.DUMMYFUNCTION("""COMPUTED_VALUE"""),"косметика по догляду")</f>
        <v>косметика по догляду</v>
      </c>
      <c r="D1976" s="16" t="str">
        <f>IFERROR(__xludf.DUMMYFUNCTION("""COMPUTED_VALUE"""),"догляд за тілом")</f>
        <v>догляд за тілом</v>
      </c>
      <c r="E1976" s="16" t="str">
        <f>IFERROR(__xludf.DUMMYFUNCTION("""COMPUTED_VALUE"""),"косметичний вазелін ")</f>
        <v>косметичний вазелін </v>
      </c>
      <c r="F1976" s="17">
        <f>IFERROR(__xludf.DUMMYFUNCTION("""COMPUTED_VALUE"""),4.0)</f>
        <v>4</v>
      </c>
      <c r="G1976" s="17" t="str">
        <f>IFERROR(__xludf.DUMMYFUNCTION("""COMPUTED_VALUE"""),"330409")</f>
        <v>330409</v>
      </c>
      <c r="H1976" s="17" t="str">
        <f>IFERROR(__xludf.DUMMYFUNCTION("""COMPUTED_VALUE"""),"косметичний вазелін ")</f>
        <v>косметичний вазелін </v>
      </c>
      <c r="I1976" s="19">
        <f>IFERROR(__xludf.DUMMYFUNCTION("""COMPUTED_VALUE"""),0.0656)</f>
        <v>0.0656</v>
      </c>
      <c r="J1976" s="19">
        <f>IFERROR(__xludf.DUMMYFUNCTION("""COMPUTED_VALUE"""),0.1311)</f>
        <v>0.1311</v>
      </c>
      <c r="K1976" s="19">
        <f>IFERROR(__xludf.DUMMYFUNCTION("""COMPUTED_VALUE"""),0.1639)</f>
        <v>0.1639</v>
      </c>
      <c r="L1976" s="19">
        <f>IFERROR(__xludf.DUMMYFUNCTION("""COMPUTED_VALUE"""),0.1967)</f>
        <v>0.1967</v>
      </c>
      <c r="M1976" s="18">
        <f>IFERROR(__xludf.DUMMYFUNCTION("""COMPUTED_VALUE"""),1.8)</f>
        <v>1.8</v>
      </c>
    </row>
    <row r="1977">
      <c r="A1977" s="13" t="str">
        <f>IFERROR(__xludf.DUMMYFUNCTION("""COMPUTED_VALUE"""),"товари")</f>
        <v>товари</v>
      </c>
      <c r="B1977" s="16" t="str">
        <f>IFERROR(__xludf.DUMMYFUNCTION("""COMPUTED_VALUE"""),"краса та здоров'я")</f>
        <v>краса та здоров'я</v>
      </c>
      <c r="C1977" s="16" t="str">
        <f>IFERROR(__xludf.DUMMYFUNCTION("""COMPUTED_VALUE"""),"декоративна косметика")</f>
        <v>декоративна косметика</v>
      </c>
      <c r="D1977" s="16" t="str">
        <f>IFERROR(__xludf.DUMMYFUNCTION("""COMPUTED_VALUE"""),"аксесуари для макіяжу")</f>
        <v>аксесуари для макіяжу</v>
      </c>
      <c r="E1977" s="16" t="str">
        <f>IFERROR(__xludf.DUMMYFUNCTION("""COMPUTED_VALUE"""),"косметичні аксесуари, загальне")</f>
        <v>косметичні аксесуари, загальне</v>
      </c>
      <c r="F1977" s="17">
        <f>IFERROR(__xludf.DUMMYFUNCTION("""COMPUTED_VALUE"""),4.0)</f>
        <v>4</v>
      </c>
      <c r="G1977" s="17" t="str">
        <f>IFERROR(__xludf.DUMMYFUNCTION("""COMPUTED_VALUE"""),"331203")</f>
        <v>331203</v>
      </c>
      <c r="H1977" s="17" t="str">
        <f>IFERROR(__xludf.DUMMYFUNCTION("""COMPUTED_VALUE"""),"косметичні аксесуари, загальне")</f>
        <v>косметичні аксесуари, загальне</v>
      </c>
      <c r="I1977" s="19">
        <f>IFERROR(__xludf.DUMMYFUNCTION("""COMPUTED_VALUE"""),0.125)</f>
        <v>0.125</v>
      </c>
      <c r="J1977" s="19">
        <f>IFERROR(__xludf.DUMMYFUNCTION("""COMPUTED_VALUE"""),0.25)</f>
        <v>0.25</v>
      </c>
      <c r="K1977" s="19">
        <f>IFERROR(__xludf.DUMMYFUNCTION("""COMPUTED_VALUE"""),0.3125)</f>
        <v>0.3125</v>
      </c>
      <c r="L1977" s="19">
        <f>IFERROR(__xludf.DUMMYFUNCTION("""COMPUTED_VALUE"""),0.375)</f>
        <v>0.375</v>
      </c>
      <c r="M1977" s="18">
        <f>IFERROR(__xludf.DUMMYFUNCTION("""COMPUTED_VALUE"""),4.33)</f>
        <v>4.33</v>
      </c>
    </row>
    <row r="1978">
      <c r="A1978" s="13" t="str">
        <f>IFERROR(__xludf.DUMMYFUNCTION("""COMPUTED_VALUE"""),"товари")</f>
        <v>товари</v>
      </c>
      <c r="B1978" s="16" t="str">
        <f>IFERROR(__xludf.DUMMYFUNCTION("""COMPUTED_VALUE"""),"краса та здоров'я")</f>
        <v>краса та здоров'я</v>
      </c>
      <c r="C1978" s="16" t="str">
        <f>IFERROR(__xludf.DUMMYFUNCTION("""COMPUTED_VALUE"""),"декоративна косметика")</f>
        <v>декоративна косметика</v>
      </c>
      <c r="D1978" s="16" t="str">
        <f>IFERROR(__xludf.DUMMYFUNCTION("""COMPUTED_VALUE"""),"аксесуари для макіяжу")</f>
        <v>аксесуари для макіяжу</v>
      </c>
      <c r="E1978" s="16" t="str">
        <f>IFERROR(__xludf.DUMMYFUNCTION("""COMPUTED_VALUE"""),"косметичні дзеркала ")</f>
        <v>косметичні дзеркала </v>
      </c>
      <c r="F1978" s="17">
        <f>IFERROR(__xludf.DUMMYFUNCTION("""COMPUTED_VALUE"""),4.0)</f>
        <v>4</v>
      </c>
      <c r="G1978" s="17" t="str">
        <f>IFERROR(__xludf.DUMMYFUNCTION("""COMPUTED_VALUE"""),"170705")</f>
        <v>170705</v>
      </c>
      <c r="H1978" s="17" t="str">
        <f>IFERROR(__xludf.DUMMYFUNCTION("""COMPUTED_VALUE"""),"косметичні дзеркала ")</f>
        <v>косметичні дзеркала </v>
      </c>
      <c r="I1978" s="19">
        <f>IFERROR(__xludf.DUMMYFUNCTION("""COMPUTED_VALUE"""),0.0702)</f>
        <v>0.0702</v>
      </c>
      <c r="J1978" s="19">
        <f>IFERROR(__xludf.DUMMYFUNCTION("""COMPUTED_VALUE"""),0.1404)</f>
        <v>0.1404</v>
      </c>
      <c r="K1978" s="19">
        <f>IFERROR(__xludf.DUMMYFUNCTION("""COMPUTED_VALUE"""),0.1755)</f>
        <v>0.1755</v>
      </c>
      <c r="L1978" s="19">
        <f>IFERROR(__xludf.DUMMYFUNCTION("""COMPUTED_VALUE"""),0.2106)</f>
        <v>0.2106</v>
      </c>
      <c r="M1978" s="18">
        <f>IFERROR(__xludf.DUMMYFUNCTION("""COMPUTED_VALUE"""),2.25)</f>
        <v>2.25</v>
      </c>
    </row>
    <row r="1979">
      <c r="A1979" s="13" t="str">
        <f>IFERROR(__xludf.DUMMYFUNCTION("""COMPUTED_VALUE"""),"товари")</f>
        <v>товари</v>
      </c>
      <c r="B1979" s="16" t="str">
        <f>IFERROR(__xludf.DUMMYFUNCTION("""COMPUTED_VALUE"""),"краса та здоров'я")</f>
        <v>краса та здоров'я</v>
      </c>
      <c r="C1979" s="16" t="str">
        <f>IFERROR(__xludf.DUMMYFUNCTION("""COMPUTED_VALUE"""),"товари для вагітних і годуючих")</f>
        <v>товари для вагітних і годуючих</v>
      </c>
      <c r="D1979" s="16" t="str">
        <f>IFERROR(__xludf.DUMMYFUNCTION("""COMPUTED_VALUE"""),"косметичні засоби для вагітних")</f>
        <v>косметичні засоби для вагітних</v>
      </c>
      <c r="E1979" s="16" t="str">
        <f>IFERROR(__xludf.DUMMYFUNCTION("""COMPUTED_VALUE"""),"косметичні засоби для вагітних")</f>
        <v>косметичні засоби для вагітних</v>
      </c>
      <c r="F1979" s="17">
        <f>IFERROR(__xludf.DUMMYFUNCTION("""COMPUTED_VALUE"""),3.0)</f>
        <v>3</v>
      </c>
      <c r="G1979" s="17" t="str">
        <f>IFERROR(__xludf.DUMMYFUNCTION("""COMPUTED_VALUE"""),"330404")</f>
        <v>330404</v>
      </c>
      <c r="H1979" s="17" t="str">
        <f>IFERROR(__xludf.DUMMYFUNCTION("""COMPUTED_VALUE"""),"косметичні засоби для вагітних")</f>
        <v>косметичні засоби для вагітних</v>
      </c>
      <c r="I1979" s="19">
        <f>IFERROR(__xludf.DUMMYFUNCTION("""COMPUTED_VALUE"""),0.0556)</f>
        <v>0.0556</v>
      </c>
      <c r="J1979" s="19">
        <f>IFERROR(__xludf.DUMMYFUNCTION("""COMPUTED_VALUE"""),0.1111)</f>
        <v>0.1111</v>
      </c>
      <c r="K1979" s="19">
        <f>IFERROR(__xludf.DUMMYFUNCTION("""COMPUTED_VALUE"""),0.1389)</f>
        <v>0.1389</v>
      </c>
      <c r="L1979" s="19">
        <f>IFERROR(__xludf.DUMMYFUNCTION("""COMPUTED_VALUE"""),0.1667)</f>
        <v>0.1667</v>
      </c>
      <c r="M1979" s="18">
        <f>IFERROR(__xludf.DUMMYFUNCTION("""COMPUTED_VALUE"""),1.05)</f>
        <v>1.05</v>
      </c>
    </row>
    <row r="1980">
      <c r="A1980" s="13" t="str">
        <f>IFERROR(__xludf.DUMMYFUNCTION("""COMPUTED_VALUE"""),"товари")</f>
        <v>товари</v>
      </c>
      <c r="B1980" s="16" t="str">
        <f>IFERROR(__xludf.DUMMYFUNCTION("""COMPUTED_VALUE"""),"краса та здоров'я")</f>
        <v>краса та здоров'я</v>
      </c>
      <c r="C1980" s="16" t="str">
        <f>IFERROR(__xludf.DUMMYFUNCTION("""COMPUTED_VALUE"""),"товари для схуднення")</f>
        <v>товари для схуднення</v>
      </c>
      <c r="D1980" s="16" t="str">
        <f>IFERROR(__xludf.DUMMYFUNCTION("""COMPUTED_VALUE"""),"косметичні засоби для схуднення")</f>
        <v>косметичні засоби для схуднення</v>
      </c>
      <c r="E1980" s="16" t="str">
        <f>IFERROR(__xludf.DUMMYFUNCTION("""COMPUTED_VALUE"""),"косметичні засоби для схуднення")</f>
        <v>косметичні засоби для схуднення</v>
      </c>
      <c r="F1980" s="17">
        <f>IFERROR(__xludf.DUMMYFUNCTION("""COMPUTED_VALUE"""),3.0)</f>
        <v>3</v>
      </c>
      <c r="G1980" s="17" t="str">
        <f>IFERROR(__xludf.DUMMYFUNCTION("""COMPUTED_VALUE"""),"1609")</f>
        <v>1609</v>
      </c>
      <c r="H1980" s="17" t="str">
        <f>IFERROR(__xludf.DUMMYFUNCTION("""COMPUTED_VALUE"""),"косметичні засоби для схуднення")</f>
        <v>косметичні засоби для схуднення</v>
      </c>
      <c r="I1980" s="19">
        <f>IFERROR(__xludf.DUMMYFUNCTION("""COMPUTED_VALUE"""),0.0672)</f>
        <v>0.0672</v>
      </c>
      <c r="J1980" s="19">
        <f>IFERROR(__xludf.DUMMYFUNCTION("""COMPUTED_VALUE"""),0.1343)</f>
        <v>0.1343</v>
      </c>
      <c r="K1980" s="19">
        <f>IFERROR(__xludf.DUMMYFUNCTION("""COMPUTED_VALUE"""),0.1679)</f>
        <v>0.1679</v>
      </c>
      <c r="L1980" s="19">
        <f>IFERROR(__xludf.DUMMYFUNCTION("""COMPUTED_VALUE"""),0.2015)</f>
        <v>0.2015</v>
      </c>
      <c r="M1980" s="18">
        <f>IFERROR(__xludf.DUMMYFUNCTION("""COMPUTED_VALUE"""),2.7)</f>
        <v>2.7</v>
      </c>
    </row>
    <row r="1981">
      <c r="A1981" s="13" t="str">
        <f>IFERROR(__xludf.DUMMYFUNCTION("""COMPUTED_VALUE"""),"товари")</f>
        <v>товари</v>
      </c>
      <c r="B1981" s="16" t="str">
        <f>IFERROR(__xludf.DUMMYFUNCTION("""COMPUTED_VALUE"""),"краса та здоров'я")</f>
        <v>краса та здоров'я</v>
      </c>
      <c r="C1981" s="16" t="str">
        <f>IFERROR(__xludf.DUMMYFUNCTION("""COMPUTED_VALUE"""),"косметика по догляду")</f>
        <v>косметика по догляду</v>
      </c>
      <c r="D1981" s="16" t="str">
        <f>IFERROR(__xludf.DUMMYFUNCTION("""COMPUTED_VALUE"""),"косметичні та ефірні масла")</f>
        <v>косметичні та ефірні масла</v>
      </c>
      <c r="E1981" s="16" t="str">
        <f>IFERROR(__xludf.DUMMYFUNCTION("""COMPUTED_VALUE"""),"косметичні масла")</f>
        <v>косметичні масла</v>
      </c>
      <c r="F1981" s="17">
        <f>IFERROR(__xludf.DUMMYFUNCTION("""COMPUTED_VALUE"""),4.0)</f>
        <v>4</v>
      </c>
      <c r="G1981" s="17" t="str">
        <f>IFERROR(__xludf.DUMMYFUNCTION("""COMPUTED_VALUE"""),"331901")</f>
        <v>331901</v>
      </c>
      <c r="H1981" s="17" t="str">
        <f>IFERROR(__xludf.DUMMYFUNCTION("""COMPUTED_VALUE"""),"косметичні масла")</f>
        <v>косметичні масла</v>
      </c>
      <c r="I1981" s="19">
        <f>IFERROR(__xludf.DUMMYFUNCTION("""COMPUTED_VALUE"""),0.0702)</f>
        <v>0.0702</v>
      </c>
      <c r="J1981" s="19">
        <f>IFERROR(__xludf.DUMMYFUNCTION("""COMPUTED_VALUE"""),0.1404)</f>
        <v>0.1404</v>
      </c>
      <c r="K1981" s="19">
        <f>IFERROR(__xludf.DUMMYFUNCTION("""COMPUTED_VALUE"""),0.1755)</f>
        <v>0.1755</v>
      </c>
      <c r="L1981" s="19">
        <f>IFERROR(__xludf.DUMMYFUNCTION("""COMPUTED_VALUE"""),0.2106)</f>
        <v>0.2106</v>
      </c>
      <c r="M1981" s="18">
        <f>IFERROR(__xludf.DUMMYFUNCTION("""COMPUTED_VALUE"""),2.61)</f>
        <v>2.61</v>
      </c>
    </row>
    <row r="1982">
      <c r="A1982" s="13" t="str">
        <f>IFERROR(__xludf.DUMMYFUNCTION("""COMPUTED_VALUE"""),"товари")</f>
        <v>товари</v>
      </c>
      <c r="B1982" s="16" t="str">
        <f>IFERROR(__xludf.DUMMYFUNCTION("""COMPUTED_VALUE"""),"краса та здоров'я")</f>
        <v>краса та здоров'я</v>
      </c>
      <c r="C1982" s="16" t="str">
        <f>IFERROR(__xludf.DUMMYFUNCTION("""COMPUTED_VALUE"""),"декоративна косметика")</f>
        <v>декоративна косметика</v>
      </c>
      <c r="D1982" s="16" t="str">
        <f>IFERROR(__xludf.DUMMYFUNCTION("""COMPUTED_VALUE"""),"аксесуари для макіяжу")</f>
        <v>аксесуари для макіяжу</v>
      </c>
      <c r="E1982" s="16" t="str">
        <f>IFERROR(__xludf.DUMMYFUNCTION("""COMPUTED_VALUE"""),"косметичні пензлі та аплікатори")</f>
        <v>косметичні пензлі та аплікатори</v>
      </c>
      <c r="F1982" s="17">
        <f>IFERROR(__xludf.DUMMYFUNCTION("""COMPUTED_VALUE"""),4.0)</f>
        <v>4</v>
      </c>
      <c r="G1982" s="17" t="str">
        <f>IFERROR(__xludf.DUMMYFUNCTION("""COMPUTED_VALUE"""),"331202")</f>
        <v>331202</v>
      </c>
      <c r="H1982" s="17" t="str">
        <f>IFERROR(__xludf.DUMMYFUNCTION("""COMPUTED_VALUE"""),"косметичні пензлі та аплікатори")</f>
        <v>косметичні пензлі та аплікатори</v>
      </c>
      <c r="I1982" s="19">
        <f>IFERROR(__xludf.DUMMYFUNCTION("""COMPUTED_VALUE"""),0.0702)</f>
        <v>0.0702</v>
      </c>
      <c r="J1982" s="19">
        <f>IFERROR(__xludf.DUMMYFUNCTION("""COMPUTED_VALUE"""),0.1404)</f>
        <v>0.1404</v>
      </c>
      <c r="K1982" s="19">
        <f>IFERROR(__xludf.DUMMYFUNCTION("""COMPUTED_VALUE"""),0.1755)</f>
        <v>0.1755</v>
      </c>
      <c r="L1982" s="19">
        <f>IFERROR(__xludf.DUMMYFUNCTION("""COMPUTED_VALUE"""),0.2106)</f>
        <v>0.2106</v>
      </c>
      <c r="M1982" s="18">
        <f>IFERROR(__xludf.DUMMYFUNCTION("""COMPUTED_VALUE"""),2.25)</f>
        <v>2.25</v>
      </c>
    </row>
    <row r="1983">
      <c r="A1983" s="13" t="str">
        <f>IFERROR(__xludf.DUMMYFUNCTION("""COMPUTED_VALUE"""),"товари")</f>
        <v>товари</v>
      </c>
      <c r="B1983" s="16" t="str">
        <f>IFERROR(__xludf.DUMMYFUNCTION("""COMPUTED_VALUE"""),"краса та здоров'я")</f>
        <v>краса та здоров'я</v>
      </c>
      <c r="C1983" s="16" t="str">
        <f>IFERROR(__xludf.DUMMYFUNCTION("""COMPUTED_VALUE"""),"декоративна косметика")</f>
        <v>декоративна косметика</v>
      </c>
      <c r="D1983" s="16" t="str">
        <f>IFERROR(__xludf.DUMMYFUNCTION("""COMPUTED_VALUE"""),"аксесуари для макіяжу")</f>
        <v>аксесуари для макіяжу</v>
      </c>
      <c r="E1983" s="16" t="str">
        <f>IFERROR(__xludf.DUMMYFUNCTION("""COMPUTED_VALUE"""),"косметичні пінцети")</f>
        <v>косметичні пінцети</v>
      </c>
      <c r="F1983" s="17">
        <f>IFERROR(__xludf.DUMMYFUNCTION("""COMPUTED_VALUE"""),4.0)</f>
        <v>4</v>
      </c>
      <c r="G1983" s="17" t="str">
        <f>IFERROR(__xludf.DUMMYFUNCTION("""COMPUTED_VALUE"""),"331204")</f>
        <v>331204</v>
      </c>
      <c r="H1983" s="17" t="str">
        <f>IFERROR(__xludf.DUMMYFUNCTION("""COMPUTED_VALUE"""),"косметичні пінцети")</f>
        <v>косметичні пінцети</v>
      </c>
      <c r="I1983" s="19">
        <f>IFERROR(__xludf.DUMMYFUNCTION("""COMPUTED_VALUE"""),0.0702)</f>
        <v>0.0702</v>
      </c>
      <c r="J1983" s="19">
        <f>IFERROR(__xludf.DUMMYFUNCTION("""COMPUTED_VALUE"""),0.1404)</f>
        <v>0.1404</v>
      </c>
      <c r="K1983" s="19">
        <f>IFERROR(__xludf.DUMMYFUNCTION("""COMPUTED_VALUE"""),0.1755)</f>
        <v>0.1755</v>
      </c>
      <c r="L1983" s="19">
        <f>IFERROR(__xludf.DUMMYFUNCTION("""COMPUTED_VALUE"""),0.2106)</f>
        <v>0.2106</v>
      </c>
      <c r="M1983" s="18">
        <f>IFERROR(__xludf.DUMMYFUNCTION("""COMPUTED_VALUE"""),2.25)</f>
        <v>2.25</v>
      </c>
    </row>
    <row r="1984">
      <c r="A1984" s="13" t="str">
        <f>IFERROR(__xludf.DUMMYFUNCTION("""COMPUTED_VALUE"""),"товари")</f>
        <v>товари</v>
      </c>
      <c r="B1984" s="16" t="str">
        <f>IFERROR(__xludf.DUMMYFUNCTION("""COMPUTED_VALUE"""),"краса та здоров'я")</f>
        <v>краса та здоров'я</v>
      </c>
      <c r="C1984" s="16" t="str">
        <f>IFERROR(__xludf.DUMMYFUNCTION("""COMPUTED_VALUE"""),"декоративна косметика")</f>
        <v>декоративна косметика</v>
      </c>
      <c r="D1984" s="16" t="str">
        <f>IFERROR(__xludf.DUMMYFUNCTION("""COMPUTED_VALUE"""),"аксесуари для макіяжу")</f>
        <v>аксесуари для макіяжу</v>
      </c>
      <c r="E1984" s="16" t="str">
        <f>IFERROR(__xludf.DUMMYFUNCTION("""COMPUTED_VALUE"""),"косметичні спонжи та губки")</f>
        <v>косметичні спонжи та губки</v>
      </c>
      <c r="F1984" s="17">
        <f>IFERROR(__xludf.DUMMYFUNCTION("""COMPUTED_VALUE"""),4.0)</f>
        <v>4</v>
      </c>
      <c r="G1984" s="17" t="str">
        <f>IFERROR(__xludf.DUMMYFUNCTION("""COMPUTED_VALUE"""),"331201")</f>
        <v>331201</v>
      </c>
      <c r="H1984" s="17" t="str">
        <f>IFERROR(__xludf.DUMMYFUNCTION("""COMPUTED_VALUE"""),"косметичні спонжи та губки")</f>
        <v>косметичні спонжи та губки</v>
      </c>
      <c r="I1984" s="19">
        <f>IFERROR(__xludf.DUMMYFUNCTION("""COMPUTED_VALUE"""),0.0702)</f>
        <v>0.0702</v>
      </c>
      <c r="J1984" s="19">
        <f>IFERROR(__xludf.DUMMYFUNCTION("""COMPUTED_VALUE"""),0.1404)</f>
        <v>0.1404</v>
      </c>
      <c r="K1984" s="19">
        <f>IFERROR(__xludf.DUMMYFUNCTION("""COMPUTED_VALUE"""),0.1755)</f>
        <v>0.1755</v>
      </c>
      <c r="L1984" s="19">
        <f>IFERROR(__xludf.DUMMYFUNCTION("""COMPUTED_VALUE"""),0.2106)</f>
        <v>0.2106</v>
      </c>
      <c r="M1984" s="18">
        <f>IFERROR(__xludf.DUMMYFUNCTION("""COMPUTED_VALUE"""),2.25)</f>
        <v>2.25</v>
      </c>
    </row>
    <row r="1985">
      <c r="A1985" s="13" t="str">
        <f>IFERROR(__xludf.DUMMYFUNCTION("""COMPUTED_VALUE"""),"товари")</f>
        <v>товари</v>
      </c>
      <c r="B1985" s="16" t="str">
        <f>IFERROR(__xludf.DUMMYFUNCTION("""COMPUTED_VALUE"""),"краса та здоров'я")</f>
        <v>краса та здоров'я</v>
      </c>
      <c r="C1985" s="16" t="str">
        <f>IFERROR(__xludf.DUMMYFUNCTION("""COMPUTED_VALUE"""),"декоративна косметика")</f>
        <v>декоративна косметика</v>
      </c>
      <c r="D1985" s="16" t="str">
        <f>IFERROR(__xludf.DUMMYFUNCTION("""COMPUTED_VALUE"""),"аксесуари для макіяжу")</f>
        <v>аксесуари для макіяжу</v>
      </c>
      <c r="E1985" s="16" t="str">
        <f>IFERROR(__xludf.DUMMYFUNCTION("""COMPUTED_VALUE"""),"косметичні точила")</f>
        <v>косметичні точила</v>
      </c>
      <c r="F1985" s="17">
        <f>IFERROR(__xludf.DUMMYFUNCTION("""COMPUTED_VALUE"""),4.0)</f>
        <v>4</v>
      </c>
      <c r="G1985" s="17" t="str">
        <f>IFERROR(__xludf.DUMMYFUNCTION("""COMPUTED_VALUE"""),"331207")</f>
        <v>331207</v>
      </c>
      <c r="H1985" s="17" t="str">
        <f>IFERROR(__xludf.DUMMYFUNCTION("""COMPUTED_VALUE"""),"косметичні точила")</f>
        <v>косметичні точила</v>
      </c>
      <c r="I1985" s="19">
        <f>IFERROR(__xludf.DUMMYFUNCTION("""COMPUTED_VALUE"""),0.0702)</f>
        <v>0.0702</v>
      </c>
      <c r="J1985" s="19">
        <f>IFERROR(__xludf.DUMMYFUNCTION("""COMPUTED_VALUE"""),0.1404)</f>
        <v>0.1404</v>
      </c>
      <c r="K1985" s="19">
        <f>IFERROR(__xludf.DUMMYFUNCTION("""COMPUTED_VALUE"""),0.1755)</f>
        <v>0.1755</v>
      </c>
      <c r="L1985" s="19">
        <f>IFERROR(__xludf.DUMMYFUNCTION("""COMPUTED_VALUE"""),0.2106)</f>
        <v>0.2106</v>
      </c>
      <c r="M1985" s="18">
        <f>IFERROR(__xludf.DUMMYFUNCTION("""COMPUTED_VALUE"""),2.25)</f>
        <v>2.25</v>
      </c>
    </row>
    <row r="1986">
      <c r="A1986" s="13" t="str">
        <f>IFERROR(__xludf.DUMMYFUNCTION("""COMPUTED_VALUE"""),"товари")</f>
        <v>товари</v>
      </c>
      <c r="B1986" s="16" t="str">
        <f>IFERROR(__xludf.DUMMYFUNCTION("""COMPUTED_VALUE"""),"краса та здоров'я")</f>
        <v>краса та здоров'я</v>
      </c>
      <c r="C1986" s="16" t="str">
        <f>IFERROR(__xludf.DUMMYFUNCTION("""COMPUTED_VALUE"""),"косметика по догляду")</f>
        <v>косметика по догляду</v>
      </c>
      <c r="D1986" s="16" t="str">
        <f>IFERROR(__xludf.DUMMYFUNCTION("""COMPUTED_VALUE"""),"косметичні та ефірні масла")</f>
        <v>косметичні та ефірні масла</v>
      </c>
      <c r="E1986" s="16" t="str">
        <f>IFERROR(__xludf.DUMMYFUNCTION("""COMPUTED_VALUE"""),"косметичні, ефірні, масажні масла, загальне")</f>
        <v>косметичні, ефірні, масажні масла, загальне</v>
      </c>
      <c r="F1986" s="17">
        <f>IFERROR(__xludf.DUMMYFUNCTION("""COMPUTED_VALUE"""),4.0)</f>
        <v>4</v>
      </c>
      <c r="G1986" s="17" t="str">
        <f>IFERROR(__xludf.DUMMYFUNCTION("""COMPUTED_VALUE"""),"331903")</f>
        <v>331903</v>
      </c>
      <c r="H1986" s="17" t="str">
        <f>IFERROR(__xludf.DUMMYFUNCTION("""COMPUTED_VALUE"""),"косметичні, ефірні, масажні масла, загальне")</f>
        <v>косметичні, ефірні, масажні масла, загальне</v>
      </c>
      <c r="I1986" s="19">
        <f>IFERROR(__xludf.DUMMYFUNCTION("""COMPUTED_VALUE"""),0.125)</f>
        <v>0.125</v>
      </c>
      <c r="J1986" s="19">
        <f>IFERROR(__xludf.DUMMYFUNCTION("""COMPUTED_VALUE"""),0.25)</f>
        <v>0.25</v>
      </c>
      <c r="K1986" s="19">
        <f>IFERROR(__xludf.DUMMYFUNCTION("""COMPUTED_VALUE"""),0.3125)</f>
        <v>0.3125</v>
      </c>
      <c r="L1986" s="19">
        <f>IFERROR(__xludf.DUMMYFUNCTION("""COMPUTED_VALUE"""),0.375)</f>
        <v>0.375</v>
      </c>
      <c r="M1986" s="18">
        <f>IFERROR(__xludf.DUMMYFUNCTION("""COMPUTED_VALUE"""),4.33)</f>
        <v>4.33</v>
      </c>
    </row>
    <row r="1987">
      <c r="A1987" s="13" t="str">
        <f>IFERROR(__xludf.DUMMYFUNCTION("""COMPUTED_VALUE"""),"товари")</f>
        <v>товари</v>
      </c>
      <c r="B1987" s="16" t="str">
        <f>IFERROR(__xludf.DUMMYFUNCTION("""COMPUTED_VALUE"""),"краса та здоров'я")</f>
        <v>краса та здоров'я</v>
      </c>
      <c r="C1987" s="16" t="str">
        <f>IFERROR(__xludf.DUMMYFUNCTION("""COMPUTED_VALUE"""),"товари для здоров'я")</f>
        <v>товари для здоров'я</v>
      </c>
      <c r="D1987" s="16" t="str">
        <f>IFERROR(__xludf.DUMMYFUNCTION("""COMPUTED_VALUE"""),"масажери")</f>
        <v>масажери</v>
      </c>
      <c r="E1987" s="16" t="str">
        <f>IFERROR(__xludf.DUMMYFUNCTION("""COMPUTED_VALUE"""),"космодиски")</f>
        <v>космодиски</v>
      </c>
      <c r="F1987" s="17">
        <f>IFERROR(__xludf.DUMMYFUNCTION("""COMPUTED_VALUE"""),4.0)</f>
        <v>4</v>
      </c>
      <c r="G1987" s="17" t="str">
        <f>IFERROR(__xludf.DUMMYFUNCTION("""COMPUTED_VALUE"""),"162222")</f>
        <v>162222</v>
      </c>
      <c r="H1987" s="17" t="str">
        <f>IFERROR(__xludf.DUMMYFUNCTION("""COMPUTED_VALUE"""),"космодиски")</f>
        <v>космодиски</v>
      </c>
      <c r="I1987" s="19">
        <f>IFERROR(__xludf.DUMMYFUNCTION("""COMPUTED_VALUE"""),0.0725)</f>
        <v>0.0725</v>
      </c>
      <c r="J1987" s="19">
        <f>IFERROR(__xludf.DUMMYFUNCTION("""COMPUTED_VALUE"""),0.145)</f>
        <v>0.145</v>
      </c>
      <c r="K1987" s="19">
        <f>IFERROR(__xludf.DUMMYFUNCTION("""COMPUTED_VALUE"""),0.1813)</f>
        <v>0.1813</v>
      </c>
      <c r="L1987" s="19">
        <f>IFERROR(__xludf.DUMMYFUNCTION("""COMPUTED_VALUE"""),0.2175)</f>
        <v>0.2175</v>
      </c>
      <c r="M1987" s="18">
        <f>IFERROR(__xludf.DUMMYFUNCTION("""COMPUTED_VALUE"""),1.53)</f>
        <v>1.53</v>
      </c>
    </row>
    <row r="1988">
      <c r="A1988" s="13" t="str">
        <f>IFERROR(__xludf.DUMMYFUNCTION("""COMPUTED_VALUE"""),"товари")</f>
        <v>товари</v>
      </c>
      <c r="B1988" s="16" t="str">
        <f>IFERROR(__xludf.DUMMYFUNCTION("""COMPUTED_VALUE"""),"краса та здоров'я")</f>
        <v>краса та здоров'я</v>
      </c>
      <c r="C1988" s="16" t="str">
        <f>IFERROR(__xludf.DUMMYFUNCTION("""COMPUTED_VALUE"""),"краса і здоров'я, загальне")</f>
        <v>краса і здоров'я, загальне</v>
      </c>
      <c r="D1988" s="16" t="str">
        <f>IFERROR(__xludf.DUMMYFUNCTION("""COMPUTED_VALUE"""),"краса і здоров'я, загальне")</f>
        <v>краса і здоров'я, загальне</v>
      </c>
      <c r="E1988" s="16" t="str">
        <f>IFERROR(__xludf.DUMMYFUNCTION("""COMPUTED_VALUE"""),"краса і здоров'я, загальне")</f>
        <v>краса і здоров'я, загальне</v>
      </c>
      <c r="F1988" s="17">
        <f>IFERROR(__xludf.DUMMYFUNCTION("""COMPUTED_VALUE"""),2.0)</f>
        <v>2</v>
      </c>
      <c r="G1988" s="17" t="str">
        <f>IFERROR(__xludf.DUMMYFUNCTION("""COMPUTED_VALUE"""),"1619")</f>
        <v>1619</v>
      </c>
      <c r="H1988" s="17" t="str">
        <f>IFERROR(__xludf.DUMMYFUNCTION("""COMPUTED_VALUE"""),"краса і здоров'я, загальне")</f>
        <v>краса і здоров'я, загальне</v>
      </c>
      <c r="I1988" s="19">
        <f>IFERROR(__xludf.DUMMYFUNCTION("""COMPUTED_VALUE"""),0.125)</f>
        <v>0.125</v>
      </c>
      <c r="J1988" s="19">
        <f>IFERROR(__xludf.DUMMYFUNCTION("""COMPUTED_VALUE"""),0.25)</f>
        <v>0.25</v>
      </c>
      <c r="K1988" s="19">
        <f>IFERROR(__xludf.DUMMYFUNCTION("""COMPUTED_VALUE"""),0.3125)</f>
        <v>0.3125</v>
      </c>
      <c r="L1988" s="19">
        <f>IFERROR(__xludf.DUMMYFUNCTION("""COMPUTED_VALUE"""),0.375)</f>
        <v>0.375</v>
      </c>
      <c r="M1988" s="18">
        <f>IFERROR(__xludf.DUMMYFUNCTION("""COMPUTED_VALUE"""),4.33)</f>
        <v>4.33</v>
      </c>
    </row>
    <row r="1989">
      <c r="A1989" s="13" t="str">
        <f>IFERROR(__xludf.DUMMYFUNCTION("""COMPUTED_VALUE"""),"товари")</f>
        <v>товари</v>
      </c>
      <c r="B1989" s="16" t="str">
        <f>IFERROR(__xludf.DUMMYFUNCTION("""COMPUTED_VALUE"""),"краса та здоров'я")</f>
        <v>краса та здоров'я</v>
      </c>
      <c r="C1989" s="16" t="str">
        <f>IFERROR(__xludf.DUMMYFUNCTION("""COMPUTED_VALUE"""),"косметика по догляду")</f>
        <v>косметика по догляду</v>
      </c>
      <c r="D1989" s="16" t="str">
        <f>IFERROR(__xludf.DUMMYFUNCTION("""COMPUTED_VALUE"""),"догляд за волоссям")</f>
        <v>догляд за волоссям</v>
      </c>
      <c r="E1989" s="16" t="str">
        <f>IFERROR(__xludf.DUMMYFUNCTION("""COMPUTED_VALUE"""),"крейда для волосся")</f>
        <v>крейда для волосся</v>
      </c>
      <c r="F1989" s="17">
        <f>IFERROR(__xludf.DUMMYFUNCTION("""COMPUTED_VALUE"""),4.0)</f>
        <v>4</v>
      </c>
      <c r="G1989" s="17" t="str">
        <f>IFERROR(__xludf.DUMMYFUNCTION("""COMPUTED_VALUE"""),"330724")</f>
        <v>330724</v>
      </c>
      <c r="H1989" s="17" t="str">
        <f>IFERROR(__xludf.DUMMYFUNCTION("""COMPUTED_VALUE"""),"крейда для волосся")</f>
        <v>крейда для волосся</v>
      </c>
      <c r="I1989" s="19">
        <f>IFERROR(__xludf.DUMMYFUNCTION("""COMPUTED_VALUE"""),0.0644)</f>
        <v>0.0644</v>
      </c>
      <c r="J1989" s="19">
        <f>IFERROR(__xludf.DUMMYFUNCTION("""COMPUTED_VALUE"""),0.1288)</f>
        <v>0.1288</v>
      </c>
      <c r="K1989" s="19">
        <f>IFERROR(__xludf.DUMMYFUNCTION("""COMPUTED_VALUE"""),0.161)</f>
        <v>0.161</v>
      </c>
      <c r="L1989" s="19">
        <f>IFERROR(__xludf.DUMMYFUNCTION("""COMPUTED_VALUE"""),0.1932)</f>
        <v>0.1932</v>
      </c>
      <c r="M1989" s="18">
        <f>IFERROR(__xludf.DUMMYFUNCTION("""COMPUTED_VALUE"""),1.63)</f>
        <v>1.63</v>
      </c>
    </row>
    <row r="1990">
      <c r="A1990" s="13" t="str">
        <f>IFERROR(__xludf.DUMMYFUNCTION("""COMPUTED_VALUE"""),"товари")</f>
        <v>товари</v>
      </c>
      <c r="B1990" s="16" t="str">
        <f>IFERROR(__xludf.DUMMYFUNCTION("""COMPUTED_VALUE"""),"краса та здоров'я")</f>
        <v>краса та здоров'я</v>
      </c>
      <c r="C1990" s="16" t="str">
        <f>IFERROR(__xludf.DUMMYFUNCTION("""COMPUTED_VALUE"""),"косметика по догляду")</f>
        <v>косметика по догляду</v>
      </c>
      <c r="D1990" s="16" t="str">
        <f>IFERROR(__xludf.DUMMYFUNCTION("""COMPUTED_VALUE"""),"догляд за обличчям")</f>
        <v>догляд за обличчям</v>
      </c>
      <c r="E1990" s="16" t="str">
        <f>IFERROR(__xludf.DUMMYFUNCTION("""COMPUTED_VALUE"""),"крем для обличчя")</f>
        <v>крем для обличчя</v>
      </c>
      <c r="F1990" s="17">
        <f>IFERROR(__xludf.DUMMYFUNCTION("""COMPUTED_VALUE"""),4.0)</f>
        <v>4</v>
      </c>
      <c r="G1990" s="17" t="str">
        <f>IFERROR(__xludf.DUMMYFUNCTION("""COMPUTED_VALUE"""),"330606")</f>
        <v>330606</v>
      </c>
      <c r="H1990" s="17" t="str">
        <f>IFERROR(__xludf.DUMMYFUNCTION("""COMPUTED_VALUE"""),"крем для обличчя")</f>
        <v>крем для обличчя</v>
      </c>
      <c r="I1990" s="19">
        <f>IFERROR(__xludf.DUMMYFUNCTION("""COMPUTED_VALUE"""),0.0664)</f>
        <v>0.0664</v>
      </c>
      <c r="J1990" s="19">
        <f>IFERROR(__xludf.DUMMYFUNCTION("""COMPUTED_VALUE"""),0.1327)</f>
        <v>0.1327</v>
      </c>
      <c r="K1990" s="19">
        <f>IFERROR(__xludf.DUMMYFUNCTION("""COMPUTED_VALUE"""),0.1659)</f>
        <v>0.1659</v>
      </c>
      <c r="L1990" s="19">
        <f>IFERROR(__xludf.DUMMYFUNCTION("""COMPUTED_VALUE"""),0.1991)</f>
        <v>0.1991</v>
      </c>
      <c r="M1990" s="18">
        <f>IFERROR(__xludf.DUMMYFUNCTION("""COMPUTED_VALUE"""),1.71)</f>
        <v>1.71</v>
      </c>
    </row>
    <row r="1991">
      <c r="A1991" s="13" t="str">
        <f>IFERROR(__xludf.DUMMYFUNCTION("""COMPUTED_VALUE"""),"товари")</f>
        <v>товари</v>
      </c>
      <c r="B1991" s="16" t="str">
        <f>IFERROR(__xludf.DUMMYFUNCTION("""COMPUTED_VALUE"""),"краса та здоров'я")</f>
        <v>краса та здоров'я</v>
      </c>
      <c r="C1991" s="16" t="str">
        <f>IFERROR(__xludf.DUMMYFUNCTION("""COMPUTED_VALUE"""),"косметика по догляду")</f>
        <v>косметика по догляду</v>
      </c>
      <c r="D1991" s="16" t="str">
        <f>IFERROR(__xludf.DUMMYFUNCTION("""COMPUTED_VALUE"""),"догляд за тілом")</f>
        <v>догляд за тілом</v>
      </c>
      <c r="E1991" s="16" t="str">
        <f>IFERROR(__xludf.DUMMYFUNCTION("""COMPUTED_VALUE"""),"креми і лосьйони для тіла")</f>
        <v>креми і лосьйони для тіла</v>
      </c>
      <c r="F1991" s="17">
        <f>IFERROR(__xludf.DUMMYFUNCTION("""COMPUTED_VALUE"""),4.0)</f>
        <v>4</v>
      </c>
      <c r="G1991" s="17" t="str">
        <f>IFERROR(__xludf.DUMMYFUNCTION("""COMPUTED_VALUE"""),"330403")</f>
        <v>330403</v>
      </c>
      <c r="H1991" s="17" t="str">
        <f>IFERROR(__xludf.DUMMYFUNCTION("""COMPUTED_VALUE"""),"креми і лосьйони для тіла")</f>
        <v>креми і лосьйони для тіла</v>
      </c>
      <c r="I1991" s="19">
        <f>IFERROR(__xludf.DUMMYFUNCTION("""COMPUTED_VALUE"""),0.0656)</f>
        <v>0.0656</v>
      </c>
      <c r="J1991" s="19">
        <f>IFERROR(__xludf.DUMMYFUNCTION("""COMPUTED_VALUE"""),0.1311)</f>
        <v>0.1311</v>
      </c>
      <c r="K1991" s="19">
        <f>IFERROR(__xludf.DUMMYFUNCTION("""COMPUTED_VALUE"""),0.1639)</f>
        <v>0.1639</v>
      </c>
      <c r="L1991" s="19">
        <f>IFERROR(__xludf.DUMMYFUNCTION("""COMPUTED_VALUE"""),0.1967)</f>
        <v>0.1967</v>
      </c>
      <c r="M1991" s="18">
        <f>IFERROR(__xludf.DUMMYFUNCTION("""COMPUTED_VALUE"""),1.8)</f>
        <v>1.8</v>
      </c>
    </row>
    <row r="1992">
      <c r="A1992" s="13" t="str">
        <f>IFERROR(__xludf.DUMMYFUNCTION("""COMPUTED_VALUE"""),"товари")</f>
        <v>товари</v>
      </c>
      <c r="B1992" s="16" t="str">
        <f>IFERROR(__xludf.DUMMYFUNCTION("""COMPUTED_VALUE"""),"краса та здоров'я")</f>
        <v>краса та здоров'я</v>
      </c>
      <c r="C1992" s="16" t="str">
        <f>IFERROR(__xludf.DUMMYFUNCTION("""COMPUTED_VALUE"""),"все для манікюру і педикюру")</f>
        <v>все для манікюру і педикюру</v>
      </c>
      <c r="D1992" s="16" t="str">
        <f>IFERROR(__xludf.DUMMYFUNCTION("""COMPUTED_VALUE"""),"лаки для нігтів")</f>
        <v>лаки для нігтів</v>
      </c>
      <c r="E1992" s="16" t="str">
        <f>IFERROR(__xludf.DUMMYFUNCTION("""COMPUTED_VALUE"""),"лаки для нігтів")</f>
        <v>лаки для нігтів</v>
      </c>
      <c r="F1992" s="17">
        <f>IFERROR(__xludf.DUMMYFUNCTION("""COMPUTED_VALUE"""),3.0)</f>
        <v>3</v>
      </c>
      <c r="G1992" s="17" t="str">
        <f>IFERROR(__xludf.DUMMYFUNCTION("""COMPUTED_VALUE"""),"161807")</f>
        <v>161807</v>
      </c>
      <c r="H1992" s="17" t="str">
        <f>IFERROR(__xludf.DUMMYFUNCTION("""COMPUTED_VALUE"""),"лаки для нігтів")</f>
        <v>лаки для нігтів</v>
      </c>
      <c r="I1992" s="19">
        <f>IFERROR(__xludf.DUMMYFUNCTION("""COMPUTED_VALUE"""),0.071)</f>
        <v>0.071</v>
      </c>
      <c r="J1992" s="19">
        <f>IFERROR(__xludf.DUMMYFUNCTION("""COMPUTED_VALUE"""),0.1419)</f>
        <v>0.1419</v>
      </c>
      <c r="K1992" s="19">
        <f>IFERROR(__xludf.DUMMYFUNCTION("""COMPUTED_VALUE"""),0.1774)</f>
        <v>0.1774</v>
      </c>
      <c r="L1992" s="19">
        <f>IFERROR(__xludf.DUMMYFUNCTION("""COMPUTED_VALUE"""),0.2129)</f>
        <v>0.2129</v>
      </c>
      <c r="M1992" s="18">
        <f>IFERROR(__xludf.DUMMYFUNCTION("""COMPUTED_VALUE"""),1.05)</f>
        <v>1.05</v>
      </c>
    </row>
    <row r="1993">
      <c r="A1993" s="13" t="str">
        <f>IFERROR(__xludf.DUMMYFUNCTION("""COMPUTED_VALUE"""),"товари")</f>
        <v>товари</v>
      </c>
      <c r="B1993" s="16" t="str">
        <f>IFERROR(__xludf.DUMMYFUNCTION("""COMPUTED_VALUE"""),"краса та здоров'я")</f>
        <v>краса та здоров'я</v>
      </c>
      <c r="C1993" s="16" t="str">
        <f>IFERROR(__xludf.DUMMYFUNCTION("""COMPUTED_VALUE"""),"все для манікюру і педикюру")</f>
        <v>все для манікюру і педикюру</v>
      </c>
      <c r="D1993" s="16" t="str">
        <f>IFERROR(__xludf.DUMMYFUNCTION("""COMPUTED_VALUE"""),"лампи для манікюру")</f>
        <v>лампи для манікюру</v>
      </c>
      <c r="E1993" s="16" t="str">
        <f>IFERROR(__xludf.DUMMYFUNCTION("""COMPUTED_VALUE"""),"лампи для манікюру")</f>
        <v>лампи для манікюру</v>
      </c>
      <c r="F1993" s="17">
        <f>IFERROR(__xludf.DUMMYFUNCTION("""COMPUTED_VALUE"""),3.0)</f>
        <v>3</v>
      </c>
      <c r="G1993" s="17" t="str">
        <f>IFERROR(__xludf.DUMMYFUNCTION("""COMPUTED_VALUE"""),"282909")</f>
        <v>282909</v>
      </c>
      <c r="H1993" s="17" t="str">
        <f>IFERROR(__xludf.DUMMYFUNCTION("""COMPUTED_VALUE"""),"лампи для манікюру")</f>
        <v>лампи для манікюру</v>
      </c>
      <c r="I1993" s="19">
        <f>IFERROR(__xludf.DUMMYFUNCTION("""COMPUTED_VALUE"""),0.081)</f>
        <v>0.081</v>
      </c>
      <c r="J1993" s="19">
        <f>IFERROR(__xludf.DUMMYFUNCTION("""COMPUTED_VALUE"""),0.1619)</f>
        <v>0.1619</v>
      </c>
      <c r="K1993" s="19">
        <f>IFERROR(__xludf.DUMMYFUNCTION("""COMPUTED_VALUE"""),0.2024)</f>
        <v>0.2024</v>
      </c>
      <c r="L1993" s="19">
        <f>IFERROR(__xludf.DUMMYFUNCTION("""COMPUTED_VALUE"""),0.2429)</f>
        <v>0.2429</v>
      </c>
      <c r="M1993" s="18">
        <f>IFERROR(__xludf.DUMMYFUNCTION("""COMPUTED_VALUE"""),4.13)</f>
        <v>4.13</v>
      </c>
    </row>
    <row r="1994">
      <c r="A1994" s="13" t="str">
        <f>IFERROR(__xludf.DUMMYFUNCTION("""COMPUTED_VALUE"""),"товари")</f>
        <v>товари</v>
      </c>
      <c r="B1994" s="16" t="str">
        <f>IFERROR(__xludf.DUMMYFUNCTION("""COMPUTED_VALUE"""),"краса та здоров'я")</f>
        <v>краса та здоров'я</v>
      </c>
      <c r="C1994" s="16" t="str">
        <f>IFERROR(__xludf.DUMMYFUNCTION("""COMPUTED_VALUE"""),"декоративна косметика")</f>
        <v>декоративна косметика</v>
      </c>
      <c r="D1994" s="16" t="str">
        <f>IFERROR(__xludf.DUMMYFUNCTION("""COMPUTED_VALUE"""),"макіяж брів")</f>
        <v>макіяж брів</v>
      </c>
      <c r="E1994" s="16" t="str">
        <f>IFERROR(__xludf.DUMMYFUNCTION("""COMPUTED_VALUE"""),"лікувальний догляд за бровами і віями")</f>
        <v>лікувальний догляд за бровами і віями</v>
      </c>
      <c r="F1994" s="17">
        <f>IFERROR(__xludf.DUMMYFUNCTION("""COMPUTED_VALUE"""),4.0)</f>
        <v>4</v>
      </c>
      <c r="G1994" s="17" t="str">
        <f>IFERROR(__xludf.DUMMYFUNCTION("""COMPUTED_VALUE"""),"3320")</f>
        <v>3320</v>
      </c>
      <c r="H1994" s="17" t="str">
        <f>IFERROR(__xludf.DUMMYFUNCTION("""COMPUTED_VALUE"""),"лікувальний догляд за бровами і віями")</f>
        <v>лікувальний догляд за бровами і віями</v>
      </c>
      <c r="I1994" s="19">
        <f>IFERROR(__xludf.DUMMYFUNCTION("""COMPUTED_VALUE"""),0.0679)</f>
        <v>0.0679</v>
      </c>
      <c r="J1994" s="19">
        <f>IFERROR(__xludf.DUMMYFUNCTION("""COMPUTED_VALUE"""),0.1357)</f>
        <v>0.1357</v>
      </c>
      <c r="K1994" s="19">
        <f>IFERROR(__xludf.DUMMYFUNCTION("""COMPUTED_VALUE"""),0.1696)</f>
        <v>0.1696</v>
      </c>
      <c r="L1994" s="19">
        <f>IFERROR(__xludf.DUMMYFUNCTION("""COMPUTED_VALUE"""),0.2036)</f>
        <v>0.2036</v>
      </c>
      <c r="M1994" s="18">
        <f>IFERROR(__xludf.DUMMYFUNCTION("""COMPUTED_VALUE"""),2.53)</f>
        <v>2.53</v>
      </c>
    </row>
    <row r="1995">
      <c r="A1995" s="13" t="str">
        <f>IFERROR(__xludf.DUMMYFUNCTION("""COMPUTED_VALUE"""),"товари")</f>
        <v>товари</v>
      </c>
      <c r="B1995" s="16" t="str">
        <f>IFERROR(__xludf.DUMMYFUNCTION("""COMPUTED_VALUE"""),"краса та здоров'я")</f>
        <v>краса та здоров'я</v>
      </c>
      <c r="C1995" s="16" t="str">
        <f>IFERROR(__xludf.DUMMYFUNCTION("""COMPUTED_VALUE"""),"оптика для зору")</f>
        <v>оптика для зору</v>
      </c>
      <c r="D1995" s="16" t="str">
        <f>IFERROR(__xludf.DUMMYFUNCTION("""COMPUTED_VALUE"""),"комплектуючі для окулярів")</f>
        <v>комплектуючі для окулярів</v>
      </c>
      <c r="E1995" s="16" t="str">
        <f>IFERROR(__xludf.DUMMYFUNCTION("""COMPUTED_VALUE"""),"лінзи для окулярів")</f>
        <v>лінзи для окулярів</v>
      </c>
      <c r="F1995" s="17">
        <f>IFERROR(__xludf.DUMMYFUNCTION("""COMPUTED_VALUE"""),4.0)</f>
        <v>4</v>
      </c>
      <c r="G1995" s="17" t="str">
        <f>IFERROR(__xludf.DUMMYFUNCTION("""COMPUTED_VALUE"""),"361260")</f>
        <v>361260</v>
      </c>
      <c r="H1995" s="17" t="str">
        <f>IFERROR(__xludf.DUMMYFUNCTION("""COMPUTED_VALUE"""),"лінзи для окулярів")</f>
        <v>лінзи для окулярів</v>
      </c>
      <c r="I1995" s="19">
        <f>IFERROR(__xludf.DUMMYFUNCTION("""COMPUTED_VALUE"""),0.0725)</f>
        <v>0.0725</v>
      </c>
      <c r="J1995" s="19">
        <f>IFERROR(__xludf.DUMMYFUNCTION("""COMPUTED_VALUE"""),0.145)</f>
        <v>0.145</v>
      </c>
      <c r="K1995" s="19">
        <f>IFERROR(__xludf.DUMMYFUNCTION("""COMPUTED_VALUE"""),0.1813)</f>
        <v>0.1813</v>
      </c>
      <c r="L1995" s="19">
        <f>IFERROR(__xludf.DUMMYFUNCTION("""COMPUTED_VALUE"""),0.2175)</f>
        <v>0.2175</v>
      </c>
      <c r="M1995" s="18">
        <f>IFERROR(__xludf.DUMMYFUNCTION("""COMPUTED_VALUE"""),1.8)</f>
        <v>1.8</v>
      </c>
    </row>
    <row r="1996">
      <c r="A1996" s="13" t="str">
        <f>IFERROR(__xludf.DUMMYFUNCTION("""COMPUTED_VALUE"""),"товари")</f>
        <v>товари</v>
      </c>
      <c r="B1996" s="16" t="str">
        <f>IFERROR(__xludf.DUMMYFUNCTION("""COMPUTED_VALUE"""),"краса та здоров'я")</f>
        <v>краса та здоров'я</v>
      </c>
      <c r="C1996" s="16" t="str">
        <f>IFERROR(__xludf.DUMMYFUNCTION("""COMPUTED_VALUE"""),"косметика по догляду")</f>
        <v>косметика по догляду</v>
      </c>
      <c r="D1996" s="16" t="str">
        <f>IFERROR(__xludf.DUMMYFUNCTION("""COMPUTED_VALUE"""),"догляд за волоссям")</f>
        <v>догляд за волоссям</v>
      </c>
      <c r="E1996" s="16" t="str">
        <f>IFERROR(__xludf.DUMMYFUNCTION("""COMPUTED_VALUE"""),"лосьйони для волосся")</f>
        <v>лосьйони для волосся</v>
      </c>
      <c r="F1996" s="17">
        <f>IFERROR(__xludf.DUMMYFUNCTION("""COMPUTED_VALUE"""),4.0)</f>
        <v>4</v>
      </c>
      <c r="G1996" s="17" t="str">
        <f>IFERROR(__xludf.DUMMYFUNCTION("""COMPUTED_VALUE"""),"330718")</f>
        <v>330718</v>
      </c>
      <c r="H1996" s="17" t="str">
        <f>IFERROR(__xludf.DUMMYFUNCTION("""COMPUTED_VALUE"""),"лосьйони для волосся")</f>
        <v>лосьйони для волосся</v>
      </c>
      <c r="I1996" s="19">
        <f>IFERROR(__xludf.DUMMYFUNCTION("""COMPUTED_VALUE"""),0.0644)</f>
        <v>0.0644</v>
      </c>
      <c r="J1996" s="19">
        <f>IFERROR(__xludf.DUMMYFUNCTION("""COMPUTED_VALUE"""),0.1288)</f>
        <v>0.1288</v>
      </c>
      <c r="K1996" s="19">
        <f>IFERROR(__xludf.DUMMYFUNCTION("""COMPUTED_VALUE"""),0.161)</f>
        <v>0.161</v>
      </c>
      <c r="L1996" s="19">
        <f>IFERROR(__xludf.DUMMYFUNCTION("""COMPUTED_VALUE"""),0.1932)</f>
        <v>0.1932</v>
      </c>
      <c r="M1996" s="18">
        <f>IFERROR(__xludf.DUMMYFUNCTION("""COMPUTED_VALUE"""),1.63)</f>
        <v>1.63</v>
      </c>
    </row>
    <row r="1997">
      <c r="A1997" s="13" t="str">
        <f>IFERROR(__xludf.DUMMYFUNCTION("""COMPUTED_VALUE"""),"товари")</f>
        <v>товари</v>
      </c>
      <c r="B1997" s="16" t="str">
        <f>IFERROR(__xludf.DUMMYFUNCTION("""COMPUTED_VALUE"""),"краса та здоров'я")</f>
        <v>краса та здоров'я</v>
      </c>
      <c r="C1997" s="16" t="str">
        <f>IFERROR(__xludf.DUMMYFUNCTION("""COMPUTED_VALUE"""),"косметика по догляду")</f>
        <v>косметика по догляду</v>
      </c>
      <c r="D1997" s="16" t="str">
        <f>IFERROR(__xludf.DUMMYFUNCTION("""COMPUTED_VALUE"""),"догляд за обличчям")</f>
        <v>догляд за обличчям</v>
      </c>
      <c r="E1997" s="16" t="str">
        <f>IFERROR(__xludf.DUMMYFUNCTION("""COMPUTED_VALUE"""),"лосьйони і бальзами для обличчя")</f>
        <v>лосьйони і бальзами для обличчя</v>
      </c>
      <c r="F1997" s="17">
        <f>IFERROR(__xludf.DUMMYFUNCTION("""COMPUTED_VALUE"""),4.0)</f>
        <v>4</v>
      </c>
      <c r="G1997" s="17" t="str">
        <f>IFERROR(__xludf.DUMMYFUNCTION("""COMPUTED_VALUE"""),"330605")</f>
        <v>330605</v>
      </c>
      <c r="H1997" s="17" t="str">
        <f>IFERROR(__xludf.DUMMYFUNCTION("""COMPUTED_VALUE"""),"лосьйони і бальзами для обличчя")</f>
        <v>лосьйони і бальзами для обличчя</v>
      </c>
      <c r="I1997" s="19">
        <f>IFERROR(__xludf.DUMMYFUNCTION("""COMPUTED_VALUE"""),0.0664)</f>
        <v>0.0664</v>
      </c>
      <c r="J1997" s="19">
        <f>IFERROR(__xludf.DUMMYFUNCTION("""COMPUTED_VALUE"""),0.1327)</f>
        <v>0.1327</v>
      </c>
      <c r="K1997" s="19">
        <f>IFERROR(__xludf.DUMMYFUNCTION("""COMPUTED_VALUE"""),0.1659)</f>
        <v>0.1659</v>
      </c>
      <c r="L1997" s="19">
        <f>IFERROR(__xludf.DUMMYFUNCTION("""COMPUTED_VALUE"""),0.1991)</f>
        <v>0.1991</v>
      </c>
      <c r="M1997" s="18">
        <f>IFERROR(__xludf.DUMMYFUNCTION("""COMPUTED_VALUE"""),1.71)</f>
        <v>1.71</v>
      </c>
    </row>
    <row r="1998">
      <c r="A1998" s="13" t="str">
        <f>IFERROR(__xludf.DUMMYFUNCTION("""COMPUTED_VALUE"""),"товари")</f>
        <v>товари</v>
      </c>
      <c r="B1998" s="16" t="str">
        <f>IFERROR(__xludf.DUMMYFUNCTION("""COMPUTED_VALUE"""),"краса та здоров'я")</f>
        <v>краса та здоров'я</v>
      </c>
      <c r="C1998" s="16" t="str">
        <f>IFERROR(__xludf.DUMMYFUNCTION("""COMPUTED_VALUE"""),"товари для здоров'я")</f>
        <v>товари для здоров'я</v>
      </c>
      <c r="D1998" s="16" t="str">
        <f>IFERROR(__xludf.DUMMYFUNCTION("""COMPUTED_VALUE"""),"магнітні прикраси")</f>
        <v>магнітні прикраси</v>
      </c>
      <c r="E1998" s="16" t="str">
        <f>IFERROR(__xludf.DUMMYFUNCTION("""COMPUTED_VALUE"""),"магнітні прикраси")</f>
        <v>магнітні прикраси</v>
      </c>
      <c r="F1998" s="17">
        <f>IFERROR(__xludf.DUMMYFUNCTION("""COMPUTED_VALUE"""),3.0)</f>
        <v>3</v>
      </c>
      <c r="G1998" s="17" t="str">
        <f>IFERROR(__xludf.DUMMYFUNCTION("""COMPUTED_VALUE"""),"36090307")</f>
        <v>36090307</v>
      </c>
      <c r="H1998" s="17" t="str">
        <f>IFERROR(__xludf.DUMMYFUNCTION("""COMPUTED_VALUE"""),"магнітні прикраси")</f>
        <v>магнітні прикраси</v>
      </c>
      <c r="I1998" s="19">
        <f>IFERROR(__xludf.DUMMYFUNCTION("""COMPUTED_VALUE"""),0.0678)</f>
        <v>0.0678</v>
      </c>
      <c r="J1998" s="19">
        <f>IFERROR(__xludf.DUMMYFUNCTION("""COMPUTED_VALUE"""),0.1355)</f>
        <v>0.1355</v>
      </c>
      <c r="K1998" s="19">
        <f>IFERROR(__xludf.DUMMYFUNCTION("""COMPUTED_VALUE"""),0.1694)</f>
        <v>0.1694</v>
      </c>
      <c r="L1998" s="19">
        <f>IFERROR(__xludf.DUMMYFUNCTION("""COMPUTED_VALUE"""),0.2033)</f>
        <v>0.2033</v>
      </c>
      <c r="M1998" s="18">
        <f>IFERROR(__xludf.DUMMYFUNCTION("""COMPUTED_VALUE"""),2.53)</f>
        <v>2.53</v>
      </c>
    </row>
    <row r="1999">
      <c r="A1999" s="13" t="str">
        <f>IFERROR(__xludf.DUMMYFUNCTION("""COMPUTED_VALUE"""),"товари")</f>
        <v>товари</v>
      </c>
      <c r="B1999" s="16" t="str">
        <f>IFERROR(__xludf.DUMMYFUNCTION("""COMPUTED_VALUE"""),"краса та здоров'я")</f>
        <v>краса та здоров'я</v>
      </c>
      <c r="C1999" s="16" t="str">
        <f>IFERROR(__xludf.DUMMYFUNCTION("""COMPUTED_VALUE"""),"декоративна косметика")</f>
        <v>декоративна косметика</v>
      </c>
      <c r="D1999" s="16" t="str">
        <f>IFERROR(__xludf.DUMMYFUNCTION("""COMPUTED_VALUE"""),"макіяж брів")</f>
        <v>макіяж брів</v>
      </c>
      <c r="E1999" s="16" t="str">
        <f>IFERROR(__xludf.DUMMYFUNCTION("""COMPUTED_VALUE"""),"макіяж брів, загальне")</f>
        <v>макіяж брів, загальне</v>
      </c>
      <c r="F1999" s="17">
        <f>IFERROR(__xludf.DUMMYFUNCTION("""COMPUTED_VALUE"""),4.0)</f>
        <v>4</v>
      </c>
      <c r="G1999" s="17" t="str">
        <f>IFERROR(__xludf.DUMMYFUNCTION("""COMPUTED_VALUE"""),"8210125")</f>
        <v>8210125</v>
      </c>
      <c r="H1999" s="17" t="str">
        <f>IFERROR(__xludf.DUMMYFUNCTION("""COMPUTED_VALUE"""),"макіяж брів, загальне")</f>
        <v>макіяж брів, загальне</v>
      </c>
      <c r="I1999" s="19">
        <f>IFERROR(__xludf.DUMMYFUNCTION("""COMPUTED_VALUE"""),0.125)</f>
        <v>0.125</v>
      </c>
      <c r="J1999" s="19">
        <f>IFERROR(__xludf.DUMMYFUNCTION("""COMPUTED_VALUE"""),0.25)</f>
        <v>0.25</v>
      </c>
      <c r="K1999" s="19">
        <f>IFERROR(__xludf.DUMMYFUNCTION("""COMPUTED_VALUE"""),0.3125)</f>
        <v>0.3125</v>
      </c>
      <c r="L1999" s="19">
        <f>IFERROR(__xludf.DUMMYFUNCTION("""COMPUTED_VALUE"""),0.375)</f>
        <v>0.375</v>
      </c>
      <c r="M1999" s="18">
        <f>IFERROR(__xludf.DUMMYFUNCTION("""COMPUTED_VALUE"""),4.33)</f>
        <v>4.33</v>
      </c>
    </row>
    <row r="2000">
      <c r="A2000" s="13" t="str">
        <f>IFERROR(__xludf.DUMMYFUNCTION("""COMPUTED_VALUE"""),"товари")</f>
        <v>товари</v>
      </c>
      <c r="B2000" s="16" t="str">
        <f>IFERROR(__xludf.DUMMYFUNCTION("""COMPUTED_VALUE"""),"краса та здоров'я")</f>
        <v>краса та здоров'я</v>
      </c>
      <c r="C2000" s="16" t="str">
        <f>IFERROR(__xludf.DUMMYFUNCTION("""COMPUTED_VALUE"""),"декоративна косметика")</f>
        <v>декоративна косметика</v>
      </c>
      <c r="D2000" s="16" t="str">
        <f>IFERROR(__xludf.DUMMYFUNCTION("""COMPUTED_VALUE"""),"макіяж губ")</f>
        <v>макіяж губ</v>
      </c>
      <c r="E2000" s="16" t="str">
        <f>IFERROR(__xludf.DUMMYFUNCTION("""COMPUTED_VALUE"""),"макіяж губ, загальне")</f>
        <v>макіяж губ, загальне</v>
      </c>
      <c r="F2000" s="17">
        <f>IFERROR(__xludf.DUMMYFUNCTION("""COMPUTED_VALUE"""),4.0)</f>
        <v>4</v>
      </c>
      <c r="G2000" s="17" t="str">
        <f>IFERROR(__xludf.DUMMYFUNCTION("""COMPUTED_VALUE"""),"8210123")</f>
        <v>8210123</v>
      </c>
      <c r="H2000" s="17" t="str">
        <f>IFERROR(__xludf.DUMMYFUNCTION("""COMPUTED_VALUE"""),"макіяж губ, загальне")</f>
        <v>макіяж губ, загальне</v>
      </c>
      <c r="I2000" s="19">
        <f>IFERROR(__xludf.DUMMYFUNCTION("""COMPUTED_VALUE"""),0.125)</f>
        <v>0.125</v>
      </c>
      <c r="J2000" s="19">
        <f>IFERROR(__xludf.DUMMYFUNCTION("""COMPUTED_VALUE"""),0.25)</f>
        <v>0.25</v>
      </c>
      <c r="K2000" s="19">
        <f>IFERROR(__xludf.DUMMYFUNCTION("""COMPUTED_VALUE"""),0.3125)</f>
        <v>0.3125</v>
      </c>
      <c r="L2000" s="19">
        <f>IFERROR(__xludf.DUMMYFUNCTION("""COMPUTED_VALUE"""),0.375)</f>
        <v>0.375</v>
      </c>
      <c r="M2000" s="18">
        <f>IFERROR(__xludf.DUMMYFUNCTION("""COMPUTED_VALUE"""),4.33)</f>
        <v>4.33</v>
      </c>
    </row>
    <row r="2001">
      <c r="A2001" s="13" t="str">
        <f>IFERROR(__xludf.DUMMYFUNCTION("""COMPUTED_VALUE"""),"товари")</f>
        <v>товари</v>
      </c>
      <c r="B2001" s="16" t="str">
        <f>IFERROR(__xludf.DUMMYFUNCTION("""COMPUTED_VALUE"""),"краса та здоров'я")</f>
        <v>краса та здоров'я</v>
      </c>
      <c r="C2001" s="16" t="str">
        <f>IFERROR(__xludf.DUMMYFUNCTION("""COMPUTED_VALUE"""),"декоративна косметика")</f>
        <v>декоративна косметика</v>
      </c>
      <c r="D2001" s="16" t="str">
        <f>IFERROR(__xludf.DUMMYFUNCTION("""COMPUTED_VALUE"""),"макіяж обличчя")</f>
        <v>макіяж обличчя</v>
      </c>
      <c r="E2001" s="16" t="str">
        <f>IFERROR(__xludf.DUMMYFUNCTION("""COMPUTED_VALUE"""),"макіяж обличчя, загальне")</f>
        <v>макіяж обличчя, загальне</v>
      </c>
      <c r="F2001" s="17">
        <f>IFERROR(__xludf.DUMMYFUNCTION("""COMPUTED_VALUE"""),4.0)</f>
        <v>4</v>
      </c>
      <c r="G2001" s="17" t="str">
        <f>IFERROR(__xludf.DUMMYFUNCTION("""COMPUTED_VALUE"""),"8210121")</f>
        <v>8210121</v>
      </c>
      <c r="H2001" s="17" t="str">
        <f>IFERROR(__xludf.DUMMYFUNCTION("""COMPUTED_VALUE"""),"макіяж обличчя, загальне")</f>
        <v>макіяж обличчя, загальне</v>
      </c>
      <c r="I2001" s="19">
        <f>IFERROR(__xludf.DUMMYFUNCTION("""COMPUTED_VALUE"""),0.125)</f>
        <v>0.125</v>
      </c>
      <c r="J2001" s="19">
        <f>IFERROR(__xludf.DUMMYFUNCTION("""COMPUTED_VALUE"""),0.25)</f>
        <v>0.25</v>
      </c>
      <c r="K2001" s="19">
        <f>IFERROR(__xludf.DUMMYFUNCTION("""COMPUTED_VALUE"""),0.3125)</f>
        <v>0.3125</v>
      </c>
      <c r="L2001" s="19">
        <f>IFERROR(__xludf.DUMMYFUNCTION("""COMPUTED_VALUE"""),0.375)</f>
        <v>0.375</v>
      </c>
      <c r="M2001" s="18">
        <f>IFERROR(__xludf.DUMMYFUNCTION("""COMPUTED_VALUE"""),4.33)</f>
        <v>4.33</v>
      </c>
    </row>
    <row r="2002">
      <c r="A2002" s="13" t="str">
        <f>IFERROR(__xludf.DUMMYFUNCTION("""COMPUTED_VALUE"""),"товари")</f>
        <v>товари</v>
      </c>
      <c r="B2002" s="16" t="str">
        <f>IFERROR(__xludf.DUMMYFUNCTION("""COMPUTED_VALUE"""),"краса та здоров'я")</f>
        <v>краса та здоров'я</v>
      </c>
      <c r="C2002" s="16" t="str">
        <f>IFERROR(__xludf.DUMMYFUNCTION("""COMPUTED_VALUE"""),"декоративна косметика")</f>
        <v>декоративна косметика</v>
      </c>
      <c r="D2002" s="16" t="str">
        <f>IFERROR(__xludf.DUMMYFUNCTION("""COMPUTED_VALUE"""),"макіяж очей")</f>
        <v>макіяж очей</v>
      </c>
      <c r="E2002" s="16" t="str">
        <f>IFERROR(__xludf.DUMMYFUNCTION("""COMPUTED_VALUE"""),"макіяж очей, загальне")</f>
        <v>макіяж очей, загальне</v>
      </c>
      <c r="F2002" s="17">
        <f>IFERROR(__xludf.DUMMYFUNCTION("""COMPUTED_VALUE"""),4.0)</f>
        <v>4</v>
      </c>
      <c r="G2002" s="17" t="str">
        <f>IFERROR(__xludf.DUMMYFUNCTION("""COMPUTED_VALUE"""),"8210120")</f>
        <v>8210120</v>
      </c>
      <c r="H2002" s="17" t="str">
        <f>IFERROR(__xludf.DUMMYFUNCTION("""COMPUTED_VALUE"""),"макіяж очей, загальне")</f>
        <v>макіяж очей, загальне</v>
      </c>
      <c r="I2002" s="19">
        <f>IFERROR(__xludf.DUMMYFUNCTION("""COMPUTED_VALUE"""),0.125)</f>
        <v>0.125</v>
      </c>
      <c r="J2002" s="19">
        <f>IFERROR(__xludf.DUMMYFUNCTION("""COMPUTED_VALUE"""),0.25)</f>
        <v>0.25</v>
      </c>
      <c r="K2002" s="19">
        <f>IFERROR(__xludf.DUMMYFUNCTION("""COMPUTED_VALUE"""),0.3125)</f>
        <v>0.3125</v>
      </c>
      <c r="L2002" s="19">
        <f>IFERROR(__xludf.DUMMYFUNCTION("""COMPUTED_VALUE"""),0.375)</f>
        <v>0.375</v>
      </c>
      <c r="M2002" s="18">
        <f>IFERROR(__xludf.DUMMYFUNCTION("""COMPUTED_VALUE"""),4.33)</f>
        <v>4.33</v>
      </c>
    </row>
    <row r="2003">
      <c r="A2003" s="13" t="str">
        <f>IFERROR(__xludf.DUMMYFUNCTION("""COMPUTED_VALUE"""),"товари")</f>
        <v>товари</v>
      </c>
      <c r="B2003" s="16" t="str">
        <f>IFERROR(__xludf.DUMMYFUNCTION("""COMPUTED_VALUE"""),"краса та здоров'я")</f>
        <v>краса та здоров'я</v>
      </c>
      <c r="C2003" s="16" t="str">
        <f>IFERROR(__xludf.DUMMYFUNCTION("""COMPUTED_VALUE"""),"все для манікюру і педикюру")</f>
        <v>все для манікюру і педикюру</v>
      </c>
      <c r="D2003" s="16" t="str">
        <f>IFERROR(__xludf.DUMMYFUNCTION("""COMPUTED_VALUE"""),"манікюрні пилочки і бафи ")</f>
        <v>манікюрні пилочки і бафи </v>
      </c>
      <c r="E2003" s="16" t="str">
        <f>IFERROR(__xludf.DUMMYFUNCTION("""COMPUTED_VALUE"""),"манікюрні пилочки і бафи ")</f>
        <v>манікюрні пилочки і бафи </v>
      </c>
      <c r="F2003" s="17">
        <f>IFERROR(__xludf.DUMMYFUNCTION("""COMPUTED_VALUE"""),3.0)</f>
        <v>3</v>
      </c>
      <c r="G2003" s="17" t="str">
        <f>IFERROR(__xludf.DUMMYFUNCTION("""COMPUTED_VALUE"""),"16180104")</f>
        <v>16180104</v>
      </c>
      <c r="H2003" s="17" t="str">
        <f>IFERROR(__xludf.DUMMYFUNCTION("""COMPUTED_VALUE"""),"манікюрні пилочки і бафи ")</f>
        <v>манікюрні пилочки і бафи </v>
      </c>
      <c r="I2003" s="19">
        <f>IFERROR(__xludf.DUMMYFUNCTION("""COMPUTED_VALUE"""),0.071)</f>
        <v>0.071</v>
      </c>
      <c r="J2003" s="19">
        <f>IFERROR(__xludf.DUMMYFUNCTION("""COMPUTED_VALUE"""),0.1419)</f>
        <v>0.1419</v>
      </c>
      <c r="K2003" s="19">
        <f>IFERROR(__xludf.DUMMYFUNCTION("""COMPUTED_VALUE"""),0.1774)</f>
        <v>0.1774</v>
      </c>
      <c r="L2003" s="19">
        <f>IFERROR(__xludf.DUMMYFUNCTION("""COMPUTED_VALUE"""),0.2129)</f>
        <v>0.2129</v>
      </c>
      <c r="M2003" s="18">
        <f>IFERROR(__xludf.DUMMYFUNCTION("""COMPUTED_VALUE"""),2.7)</f>
        <v>2.7</v>
      </c>
    </row>
    <row r="2004">
      <c r="A2004" s="13" t="str">
        <f>IFERROR(__xludf.DUMMYFUNCTION("""COMPUTED_VALUE"""),"товари")</f>
        <v>товари</v>
      </c>
      <c r="B2004" s="16" t="str">
        <f>IFERROR(__xludf.DUMMYFUNCTION("""COMPUTED_VALUE"""),"краса та здоров'я")</f>
        <v>краса та здоров'я</v>
      </c>
      <c r="C2004" s="16" t="str">
        <f>IFERROR(__xludf.DUMMYFUNCTION("""COMPUTED_VALUE"""),"все для манікюру і педикюру")</f>
        <v>все для манікюру і педикюру</v>
      </c>
      <c r="D2004" s="16" t="str">
        <f>IFERROR(__xludf.DUMMYFUNCTION("""COMPUTED_VALUE"""),"манікюрні та педикюрні кюретки, лопатки ")</f>
        <v>манікюрні та педикюрні кюретки, лопатки </v>
      </c>
      <c r="E2004" s="16" t="str">
        <f>IFERROR(__xludf.DUMMYFUNCTION("""COMPUTED_VALUE"""),"манікюрні та педикюрні кюретки, лопатки ")</f>
        <v>манікюрні та педикюрні кюретки, лопатки </v>
      </c>
      <c r="F2004" s="17">
        <f>IFERROR(__xludf.DUMMYFUNCTION("""COMPUTED_VALUE"""),3.0)</f>
        <v>3</v>
      </c>
      <c r="G2004" s="17" t="str">
        <f>IFERROR(__xludf.DUMMYFUNCTION("""COMPUTED_VALUE"""),"16180107")</f>
        <v>16180107</v>
      </c>
      <c r="H2004" s="17" t="str">
        <f>IFERROR(__xludf.DUMMYFUNCTION("""COMPUTED_VALUE"""),"манікюрні та педикюрні кюретки, лопатки ")</f>
        <v>манікюрні та педикюрні кюретки, лопатки </v>
      </c>
      <c r="I2004" s="19">
        <f>IFERROR(__xludf.DUMMYFUNCTION("""COMPUTED_VALUE"""),0.0691)</f>
        <v>0.0691</v>
      </c>
      <c r="J2004" s="19">
        <f>IFERROR(__xludf.DUMMYFUNCTION("""COMPUTED_VALUE"""),0.1381)</f>
        <v>0.1381</v>
      </c>
      <c r="K2004" s="19">
        <f>IFERROR(__xludf.DUMMYFUNCTION("""COMPUTED_VALUE"""),0.1726)</f>
        <v>0.1726</v>
      </c>
      <c r="L2004" s="19">
        <f>IFERROR(__xludf.DUMMYFUNCTION("""COMPUTED_VALUE"""),0.2072)</f>
        <v>0.2072</v>
      </c>
      <c r="M2004" s="18">
        <f>IFERROR(__xludf.DUMMYFUNCTION("""COMPUTED_VALUE"""),1.63)</f>
        <v>1.63</v>
      </c>
    </row>
    <row r="2005">
      <c r="A2005" s="13" t="str">
        <f>IFERROR(__xludf.DUMMYFUNCTION("""COMPUTED_VALUE"""),"товари")</f>
        <v>товари</v>
      </c>
      <c r="B2005" s="16" t="str">
        <f>IFERROR(__xludf.DUMMYFUNCTION("""COMPUTED_VALUE"""),"краса та здоров'я")</f>
        <v>краса та здоров'я</v>
      </c>
      <c r="C2005" s="16" t="str">
        <f>IFERROR(__xludf.DUMMYFUNCTION("""COMPUTED_VALUE"""),"все для манікюру і педикюру")</f>
        <v>все для манікюру і педикюру</v>
      </c>
      <c r="D2005" s="16" t="str">
        <f>IFERROR(__xludf.DUMMYFUNCTION("""COMPUTED_VALUE"""),"манікюрно-педикюрні інструменти")</f>
        <v>манікюрно-педикюрні інструменти</v>
      </c>
      <c r="E2005" s="16" t="str">
        <f>IFERROR(__xludf.DUMMYFUNCTION("""COMPUTED_VALUE"""),"манікюрно-педикюрні інструменти")</f>
        <v>манікюрно-педикюрні інструменти</v>
      </c>
      <c r="F2005" s="17">
        <f>IFERROR(__xludf.DUMMYFUNCTION("""COMPUTED_VALUE"""),3.0)</f>
        <v>3</v>
      </c>
      <c r="G2005" s="17" t="str">
        <f>IFERROR(__xludf.DUMMYFUNCTION("""COMPUTED_VALUE"""),"16180114")</f>
        <v>16180114</v>
      </c>
      <c r="H2005" s="17" t="str">
        <f>IFERROR(__xludf.DUMMYFUNCTION("""COMPUTED_VALUE"""),"манікюрно-педикюрні інструменти")</f>
        <v>манікюрно-педикюрні інструменти</v>
      </c>
      <c r="I2005" s="19">
        <f>IFERROR(__xludf.DUMMYFUNCTION("""COMPUTED_VALUE"""),0.0725)</f>
        <v>0.0725</v>
      </c>
      <c r="J2005" s="19">
        <f>IFERROR(__xludf.DUMMYFUNCTION("""COMPUTED_VALUE"""),0.145)</f>
        <v>0.145</v>
      </c>
      <c r="K2005" s="19">
        <f>IFERROR(__xludf.DUMMYFUNCTION("""COMPUTED_VALUE"""),0.1813)</f>
        <v>0.1813</v>
      </c>
      <c r="L2005" s="19">
        <f>IFERROR(__xludf.DUMMYFUNCTION("""COMPUTED_VALUE"""),0.2175)</f>
        <v>0.2175</v>
      </c>
      <c r="M2005" s="18">
        <f>IFERROR(__xludf.DUMMYFUNCTION("""COMPUTED_VALUE"""),3.15)</f>
        <v>3.15</v>
      </c>
    </row>
    <row r="2006">
      <c r="A2006" s="13" t="str">
        <f>IFERROR(__xludf.DUMMYFUNCTION("""COMPUTED_VALUE"""),"товари")</f>
        <v>товари</v>
      </c>
      <c r="B2006" s="16" t="str">
        <f>IFERROR(__xludf.DUMMYFUNCTION("""COMPUTED_VALUE"""),"краса та здоров'я")</f>
        <v>краса та здоров'я</v>
      </c>
      <c r="C2006" s="16" t="str">
        <f>IFERROR(__xludf.DUMMYFUNCTION("""COMPUTED_VALUE"""),"все для манікюру і педикюру")</f>
        <v>все для манікюру і педикюру</v>
      </c>
      <c r="D2006" s="16" t="str">
        <f>IFERROR(__xludf.DUMMYFUNCTION("""COMPUTED_VALUE"""),"манікюрно-педикюрні ножиці, кусачки, кніпсери")</f>
        <v>манікюрно-педикюрні ножиці, кусачки, кніпсери</v>
      </c>
      <c r="E2006" s="16" t="str">
        <f>IFERROR(__xludf.DUMMYFUNCTION("""COMPUTED_VALUE"""),"манікюрно-педикюрні ножиці, кусачки, кніпсери")</f>
        <v>манікюрно-педикюрні ножиці, кусачки, кніпсери</v>
      </c>
      <c r="F2006" s="17">
        <f>IFERROR(__xludf.DUMMYFUNCTION("""COMPUTED_VALUE"""),3.0)</f>
        <v>3</v>
      </c>
      <c r="G2006" s="17" t="str">
        <f>IFERROR(__xludf.DUMMYFUNCTION("""COMPUTED_VALUE"""),"16180103")</f>
        <v>16180103</v>
      </c>
      <c r="H2006" s="17" t="str">
        <f>IFERROR(__xludf.DUMMYFUNCTION("""COMPUTED_VALUE"""),"манікюрно-педикюрні ножиці, кусачки, кніпсери")</f>
        <v>манікюрно-педикюрні ножиці, кусачки, кніпсери</v>
      </c>
      <c r="I2006" s="19">
        <f>IFERROR(__xludf.DUMMYFUNCTION("""COMPUTED_VALUE"""),0.0664)</f>
        <v>0.0664</v>
      </c>
      <c r="J2006" s="19">
        <f>IFERROR(__xludf.DUMMYFUNCTION("""COMPUTED_VALUE"""),0.1327)</f>
        <v>0.1327</v>
      </c>
      <c r="K2006" s="19">
        <f>IFERROR(__xludf.DUMMYFUNCTION("""COMPUTED_VALUE"""),0.1659)</f>
        <v>0.1659</v>
      </c>
      <c r="L2006" s="19">
        <f>IFERROR(__xludf.DUMMYFUNCTION("""COMPUTED_VALUE"""),0.1991)</f>
        <v>0.1991</v>
      </c>
      <c r="M2006" s="18">
        <f>IFERROR(__xludf.DUMMYFUNCTION("""COMPUTED_VALUE"""),2.79)</f>
        <v>2.79</v>
      </c>
    </row>
    <row r="2007">
      <c r="A2007" s="13" t="str">
        <f>IFERROR(__xludf.DUMMYFUNCTION("""COMPUTED_VALUE"""),"товари")</f>
        <v>товари</v>
      </c>
      <c r="B2007" s="16" t="str">
        <f>IFERROR(__xludf.DUMMYFUNCTION("""COMPUTED_VALUE"""),"краса та здоров'я")</f>
        <v>краса та здоров'я</v>
      </c>
      <c r="C2007" s="16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2007" s="16" t="str">
        <f>IFERROR(__xludf.DUMMYFUNCTION("""COMPUTED_VALUE"""),"манікюрно-педикюрні щітки ")</f>
        <v>манікюрно-педикюрні щітки </v>
      </c>
      <c r="E2007" s="16" t="str">
        <f>IFERROR(__xludf.DUMMYFUNCTION("""COMPUTED_VALUE"""),"манікюрно-педикюрні щітки ")</f>
        <v>манікюрно-педикюрні щітки </v>
      </c>
      <c r="F2007" s="17">
        <f>IFERROR(__xludf.DUMMYFUNCTION("""COMPUTED_VALUE"""),3.0)</f>
        <v>3</v>
      </c>
      <c r="G2007" s="17" t="str">
        <f>IFERROR(__xludf.DUMMYFUNCTION("""COMPUTED_VALUE"""),"16180112")</f>
        <v>16180112</v>
      </c>
      <c r="H2007" s="17" t="str">
        <f>IFERROR(__xludf.DUMMYFUNCTION("""COMPUTED_VALUE"""),"манікюрно-педикюрні щітки ")</f>
        <v>манікюрно-педикюрні щітки </v>
      </c>
      <c r="I2007" s="19">
        <f>IFERROR(__xludf.DUMMYFUNCTION("""COMPUTED_VALUE"""),0.0623)</f>
        <v>0.0623</v>
      </c>
      <c r="J2007" s="19">
        <f>IFERROR(__xludf.DUMMYFUNCTION("""COMPUTED_VALUE"""),0.1246)</f>
        <v>0.1246</v>
      </c>
      <c r="K2007" s="19">
        <f>IFERROR(__xludf.DUMMYFUNCTION("""COMPUTED_VALUE"""),0.1558)</f>
        <v>0.1558</v>
      </c>
      <c r="L2007" s="19">
        <f>IFERROR(__xludf.DUMMYFUNCTION("""COMPUTED_VALUE"""),0.1869)</f>
        <v>0.1869</v>
      </c>
      <c r="M2007" s="18">
        <f>IFERROR(__xludf.DUMMYFUNCTION("""COMPUTED_VALUE"""),1.44)</f>
        <v>1.44</v>
      </c>
    </row>
    <row r="2008">
      <c r="A2008" s="13" t="str">
        <f>IFERROR(__xludf.DUMMYFUNCTION("""COMPUTED_VALUE"""),"товари")</f>
        <v>товари</v>
      </c>
      <c r="B2008" s="16" t="str">
        <f>IFERROR(__xludf.DUMMYFUNCTION("""COMPUTED_VALUE"""),"краса та здоров'я")</f>
        <v>краса та здоров'я</v>
      </c>
      <c r="C2008" s="16" t="str">
        <f>IFERROR(__xludf.DUMMYFUNCTION("""COMPUTED_VALUE"""),"товари для здоров'я")</f>
        <v>товари для здоров'я</v>
      </c>
      <c r="D2008" s="16" t="str">
        <f>IFERROR(__xludf.DUMMYFUNCTION("""COMPUTED_VALUE"""),"масажери")</f>
        <v>масажери</v>
      </c>
      <c r="E2008" s="16" t="str">
        <f>IFERROR(__xludf.DUMMYFUNCTION("""COMPUTED_VALUE"""),"масажери для ніг")</f>
        <v>масажери для ніг</v>
      </c>
      <c r="F2008" s="17">
        <f>IFERROR(__xludf.DUMMYFUNCTION("""COMPUTED_VALUE"""),4.0)</f>
        <v>4</v>
      </c>
      <c r="G2008" s="17" t="str">
        <f>IFERROR(__xludf.DUMMYFUNCTION("""COMPUTED_VALUE"""),"162206")</f>
        <v>162206</v>
      </c>
      <c r="H2008" s="17" t="str">
        <f>IFERROR(__xludf.DUMMYFUNCTION("""COMPUTED_VALUE"""),"масажери для ніг")</f>
        <v>масажери для ніг</v>
      </c>
      <c r="I2008" s="19">
        <f>IFERROR(__xludf.DUMMYFUNCTION("""COMPUTED_VALUE"""),0.0725)</f>
        <v>0.0725</v>
      </c>
      <c r="J2008" s="19">
        <f>IFERROR(__xludf.DUMMYFUNCTION("""COMPUTED_VALUE"""),0.145)</f>
        <v>0.145</v>
      </c>
      <c r="K2008" s="19">
        <f>IFERROR(__xludf.DUMMYFUNCTION("""COMPUTED_VALUE"""),0.1813)</f>
        <v>0.1813</v>
      </c>
      <c r="L2008" s="19">
        <f>IFERROR(__xludf.DUMMYFUNCTION("""COMPUTED_VALUE"""),0.2175)</f>
        <v>0.2175</v>
      </c>
      <c r="M2008" s="18">
        <f>IFERROR(__xludf.DUMMYFUNCTION("""COMPUTED_VALUE"""),1.53)</f>
        <v>1.53</v>
      </c>
    </row>
    <row r="2009">
      <c r="A2009" s="13" t="str">
        <f>IFERROR(__xludf.DUMMYFUNCTION("""COMPUTED_VALUE"""),"товари")</f>
        <v>товари</v>
      </c>
      <c r="B2009" s="16" t="str">
        <f>IFERROR(__xludf.DUMMYFUNCTION("""COMPUTED_VALUE"""),"краса та здоров'я")</f>
        <v>краса та здоров'я</v>
      </c>
      <c r="C2009" s="16" t="str">
        <f>IFERROR(__xludf.DUMMYFUNCTION("""COMPUTED_VALUE"""),"товари для здоров'я")</f>
        <v>товари для здоров'я</v>
      </c>
      <c r="D2009" s="16" t="str">
        <f>IFERROR(__xludf.DUMMYFUNCTION("""COMPUTED_VALUE"""),"масажери")</f>
        <v>масажери</v>
      </c>
      <c r="E2009" s="16" t="str">
        <f>IFERROR(__xludf.DUMMYFUNCTION("""COMPUTED_VALUE"""),"масажери для очей і голови")</f>
        <v>масажери для очей і голови</v>
      </c>
      <c r="F2009" s="17">
        <f>IFERROR(__xludf.DUMMYFUNCTION("""COMPUTED_VALUE"""),4.0)</f>
        <v>4</v>
      </c>
      <c r="G2009" s="17" t="str">
        <f>IFERROR(__xludf.DUMMYFUNCTION("""COMPUTED_VALUE"""),"162210")</f>
        <v>162210</v>
      </c>
      <c r="H2009" s="17" t="str">
        <f>IFERROR(__xludf.DUMMYFUNCTION("""COMPUTED_VALUE"""),"масажери для очей і голови")</f>
        <v>масажери для очей і голови</v>
      </c>
      <c r="I2009" s="19">
        <f>IFERROR(__xludf.DUMMYFUNCTION("""COMPUTED_VALUE"""),0.0725)</f>
        <v>0.0725</v>
      </c>
      <c r="J2009" s="19">
        <f>IFERROR(__xludf.DUMMYFUNCTION("""COMPUTED_VALUE"""),0.145)</f>
        <v>0.145</v>
      </c>
      <c r="K2009" s="19">
        <f>IFERROR(__xludf.DUMMYFUNCTION("""COMPUTED_VALUE"""),0.1813)</f>
        <v>0.1813</v>
      </c>
      <c r="L2009" s="19">
        <f>IFERROR(__xludf.DUMMYFUNCTION("""COMPUTED_VALUE"""),0.2175)</f>
        <v>0.2175</v>
      </c>
      <c r="M2009" s="18">
        <f>IFERROR(__xludf.DUMMYFUNCTION("""COMPUTED_VALUE"""),1.53)</f>
        <v>1.53</v>
      </c>
    </row>
    <row r="2010">
      <c r="A2010" s="13" t="str">
        <f>IFERROR(__xludf.DUMMYFUNCTION("""COMPUTED_VALUE"""),"товари")</f>
        <v>товари</v>
      </c>
      <c r="B2010" s="16" t="str">
        <f>IFERROR(__xludf.DUMMYFUNCTION("""COMPUTED_VALUE"""),"краса та здоров'я")</f>
        <v>краса та здоров'я</v>
      </c>
      <c r="C2010" s="16" t="str">
        <f>IFERROR(__xludf.DUMMYFUNCTION("""COMPUTED_VALUE"""),"товари для здоров'я")</f>
        <v>товари для здоров'я</v>
      </c>
      <c r="D2010" s="16" t="str">
        <f>IFERROR(__xludf.DUMMYFUNCTION("""COMPUTED_VALUE"""),"масажери")</f>
        <v>масажери</v>
      </c>
      <c r="E2010" s="16" t="str">
        <f>IFERROR(__xludf.DUMMYFUNCTION("""COMPUTED_VALUE"""),"масажери для шиї і плечей")</f>
        <v>масажери для шиї і плечей</v>
      </c>
      <c r="F2010" s="17">
        <f>IFERROR(__xludf.DUMMYFUNCTION("""COMPUTED_VALUE"""),4.0)</f>
        <v>4</v>
      </c>
      <c r="G2010" s="17" t="str">
        <f>IFERROR(__xludf.DUMMYFUNCTION("""COMPUTED_VALUE"""),"162224")</f>
        <v>162224</v>
      </c>
      <c r="H2010" s="17" t="str">
        <f>IFERROR(__xludf.DUMMYFUNCTION("""COMPUTED_VALUE"""),"масажери для шиї і плечей")</f>
        <v>масажери для шиї і плечей</v>
      </c>
      <c r="I2010" s="19">
        <f>IFERROR(__xludf.DUMMYFUNCTION("""COMPUTED_VALUE"""),0.0725)</f>
        <v>0.0725</v>
      </c>
      <c r="J2010" s="19">
        <f>IFERROR(__xludf.DUMMYFUNCTION("""COMPUTED_VALUE"""),0.145)</f>
        <v>0.145</v>
      </c>
      <c r="K2010" s="19">
        <f>IFERROR(__xludf.DUMMYFUNCTION("""COMPUTED_VALUE"""),0.1813)</f>
        <v>0.1813</v>
      </c>
      <c r="L2010" s="19">
        <f>IFERROR(__xludf.DUMMYFUNCTION("""COMPUTED_VALUE"""),0.2175)</f>
        <v>0.2175</v>
      </c>
      <c r="M2010" s="18">
        <f>IFERROR(__xludf.DUMMYFUNCTION("""COMPUTED_VALUE"""),1.53)</f>
        <v>1.53</v>
      </c>
    </row>
    <row r="2011">
      <c r="A2011" s="13" t="str">
        <f>IFERROR(__xludf.DUMMYFUNCTION("""COMPUTED_VALUE"""),"товари")</f>
        <v>товари</v>
      </c>
      <c r="B2011" s="16" t="str">
        <f>IFERROR(__xludf.DUMMYFUNCTION("""COMPUTED_VALUE"""),"краса та здоров'я")</f>
        <v>краса та здоров'я</v>
      </c>
      <c r="C2011" s="16" t="str">
        <f>IFERROR(__xludf.DUMMYFUNCTION("""COMPUTED_VALUE"""),"товари для здоров'я")</f>
        <v>товари для здоров'я</v>
      </c>
      <c r="D2011" s="16" t="str">
        <f>IFERROR(__xludf.DUMMYFUNCTION("""COMPUTED_VALUE"""),"масажери")</f>
        <v>масажери</v>
      </c>
      <c r="E2011" s="16" t="str">
        <f>IFERROR(__xludf.DUMMYFUNCTION("""COMPUTED_VALUE"""),"масажери і тренажери для обличчя")</f>
        <v>масажери і тренажери для обличчя</v>
      </c>
      <c r="F2011" s="17">
        <f>IFERROR(__xludf.DUMMYFUNCTION("""COMPUTED_VALUE"""),4.0)</f>
        <v>4</v>
      </c>
      <c r="G2011" s="17" t="str">
        <f>IFERROR(__xludf.DUMMYFUNCTION("""COMPUTED_VALUE"""),"162221")</f>
        <v>162221</v>
      </c>
      <c r="H2011" s="17" t="str">
        <f>IFERROR(__xludf.DUMMYFUNCTION("""COMPUTED_VALUE"""),"масажери і тренажери для обличчя")</f>
        <v>масажери і тренажери для обличчя</v>
      </c>
      <c r="I2011" s="19">
        <f>IFERROR(__xludf.DUMMYFUNCTION("""COMPUTED_VALUE"""),0.0725)</f>
        <v>0.0725</v>
      </c>
      <c r="J2011" s="19">
        <f>IFERROR(__xludf.DUMMYFUNCTION("""COMPUTED_VALUE"""),0.145)</f>
        <v>0.145</v>
      </c>
      <c r="K2011" s="19">
        <f>IFERROR(__xludf.DUMMYFUNCTION("""COMPUTED_VALUE"""),0.1813)</f>
        <v>0.1813</v>
      </c>
      <c r="L2011" s="19">
        <f>IFERROR(__xludf.DUMMYFUNCTION("""COMPUTED_VALUE"""),0.2175)</f>
        <v>0.2175</v>
      </c>
      <c r="M2011" s="18">
        <f>IFERROR(__xludf.DUMMYFUNCTION("""COMPUTED_VALUE"""),1.53)</f>
        <v>1.53</v>
      </c>
    </row>
    <row r="2012">
      <c r="A2012" s="13" t="str">
        <f>IFERROR(__xludf.DUMMYFUNCTION("""COMPUTED_VALUE"""),"товари")</f>
        <v>товари</v>
      </c>
      <c r="B2012" s="16" t="str">
        <f>IFERROR(__xludf.DUMMYFUNCTION("""COMPUTED_VALUE"""),"краса та здоров'я")</f>
        <v>краса та здоров'я</v>
      </c>
      <c r="C2012" s="16" t="str">
        <f>IFERROR(__xludf.DUMMYFUNCTION("""COMPUTED_VALUE"""),"товари для здоров'я")</f>
        <v>товари для здоров'я</v>
      </c>
      <c r="D2012" s="16" t="str">
        <f>IFERROR(__xludf.DUMMYFUNCTION("""COMPUTED_VALUE"""),"масажери")</f>
        <v>масажери</v>
      </c>
      <c r="E2012" s="16" t="str">
        <f>IFERROR(__xludf.DUMMYFUNCTION("""COMPUTED_VALUE"""),"масажери-їжачки, масажери «антистрес»")</f>
        <v>масажери-їжачки, масажери «антистрес»</v>
      </c>
      <c r="F2012" s="17">
        <f>IFERROR(__xludf.DUMMYFUNCTION("""COMPUTED_VALUE"""),4.0)</f>
        <v>4</v>
      </c>
      <c r="G2012" s="17" t="str">
        <f>IFERROR(__xludf.DUMMYFUNCTION("""COMPUTED_VALUE"""),"162217")</f>
        <v>162217</v>
      </c>
      <c r="H2012" s="17" t="str">
        <f>IFERROR(__xludf.DUMMYFUNCTION("""COMPUTED_VALUE"""),"масажери-їжачки, масажери «антистрес»")</f>
        <v>масажери-їжачки, масажери «антистрес»</v>
      </c>
      <c r="I2012" s="19">
        <f>IFERROR(__xludf.DUMMYFUNCTION("""COMPUTED_VALUE"""),0.0725)</f>
        <v>0.0725</v>
      </c>
      <c r="J2012" s="19">
        <f>IFERROR(__xludf.DUMMYFUNCTION("""COMPUTED_VALUE"""),0.145)</f>
        <v>0.145</v>
      </c>
      <c r="K2012" s="19">
        <f>IFERROR(__xludf.DUMMYFUNCTION("""COMPUTED_VALUE"""),0.1813)</f>
        <v>0.1813</v>
      </c>
      <c r="L2012" s="19">
        <f>IFERROR(__xludf.DUMMYFUNCTION("""COMPUTED_VALUE"""),0.2175)</f>
        <v>0.2175</v>
      </c>
      <c r="M2012" s="18">
        <f>IFERROR(__xludf.DUMMYFUNCTION("""COMPUTED_VALUE"""),1.53)</f>
        <v>1.53</v>
      </c>
    </row>
    <row r="2013">
      <c r="A2013" s="13" t="str">
        <f>IFERROR(__xludf.DUMMYFUNCTION("""COMPUTED_VALUE"""),"товари")</f>
        <v>товари</v>
      </c>
      <c r="B2013" s="16" t="str">
        <f>IFERROR(__xludf.DUMMYFUNCTION("""COMPUTED_VALUE"""),"краса та здоров'я")</f>
        <v>краса та здоров'я</v>
      </c>
      <c r="C2013" s="16" t="str">
        <f>IFERROR(__xludf.DUMMYFUNCTION("""COMPUTED_VALUE"""),"товари для здоров'я")</f>
        <v>товари для здоров'я</v>
      </c>
      <c r="D2013" s="16" t="str">
        <f>IFERROR(__xludf.DUMMYFUNCTION("""COMPUTED_VALUE"""),"масажери")</f>
        <v>масажери</v>
      </c>
      <c r="E2013" s="16" t="str">
        <f>IFERROR(__xludf.DUMMYFUNCTION("""COMPUTED_VALUE"""),"масажери, загальне")</f>
        <v>масажери, загальне</v>
      </c>
      <c r="F2013" s="17">
        <f>IFERROR(__xludf.DUMMYFUNCTION("""COMPUTED_VALUE"""),4.0)</f>
        <v>4</v>
      </c>
      <c r="G2013" s="17" t="str">
        <f>IFERROR(__xludf.DUMMYFUNCTION("""COMPUTED_VALUE"""),"162204")</f>
        <v>162204</v>
      </c>
      <c r="H2013" s="17" t="str">
        <f>IFERROR(__xludf.DUMMYFUNCTION("""COMPUTED_VALUE"""),"масажери, загальне")</f>
        <v>масажери, загальне</v>
      </c>
      <c r="I2013" s="19">
        <f>IFERROR(__xludf.DUMMYFUNCTION("""COMPUTED_VALUE"""),0.125)</f>
        <v>0.125</v>
      </c>
      <c r="J2013" s="19">
        <f>IFERROR(__xludf.DUMMYFUNCTION("""COMPUTED_VALUE"""),0.25)</f>
        <v>0.25</v>
      </c>
      <c r="K2013" s="19">
        <f>IFERROR(__xludf.DUMMYFUNCTION("""COMPUTED_VALUE"""),0.3125)</f>
        <v>0.3125</v>
      </c>
      <c r="L2013" s="19">
        <f>IFERROR(__xludf.DUMMYFUNCTION("""COMPUTED_VALUE"""),0.375)</f>
        <v>0.375</v>
      </c>
      <c r="M2013" s="18">
        <f>IFERROR(__xludf.DUMMYFUNCTION("""COMPUTED_VALUE"""),4.33)</f>
        <v>4.33</v>
      </c>
    </row>
    <row r="2014">
      <c r="A2014" s="13" t="str">
        <f>IFERROR(__xludf.DUMMYFUNCTION("""COMPUTED_VALUE"""),"товари")</f>
        <v>товари</v>
      </c>
      <c r="B2014" s="16" t="str">
        <f>IFERROR(__xludf.DUMMYFUNCTION("""COMPUTED_VALUE"""),"краса та здоров'я")</f>
        <v>краса та здоров'я</v>
      </c>
      <c r="C2014" s="16" t="str">
        <f>IFERROR(__xludf.DUMMYFUNCTION("""COMPUTED_VALUE"""),"товари для здоров'я")</f>
        <v>товари для здоров'я</v>
      </c>
      <c r="D2014" s="16" t="str">
        <f>IFERROR(__xludf.DUMMYFUNCTION("""COMPUTED_VALUE"""),"масажери")</f>
        <v>масажери</v>
      </c>
      <c r="E2014" s="16" t="str">
        <f>IFERROR(__xludf.DUMMYFUNCTION("""COMPUTED_VALUE"""),"масажні апарати")</f>
        <v>масажні апарати</v>
      </c>
      <c r="F2014" s="17">
        <f>IFERROR(__xludf.DUMMYFUNCTION("""COMPUTED_VALUE"""),4.0)</f>
        <v>4</v>
      </c>
      <c r="G2014" s="17" t="str">
        <f>IFERROR(__xludf.DUMMYFUNCTION("""COMPUTED_VALUE"""),"162515")</f>
        <v>162515</v>
      </c>
      <c r="H2014" s="17" t="str">
        <f>IFERROR(__xludf.DUMMYFUNCTION("""COMPUTED_VALUE"""),"масажні апарати")</f>
        <v>масажні апарати</v>
      </c>
      <c r="I2014" s="19">
        <f>IFERROR(__xludf.DUMMYFUNCTION("""COMPUTED_VALUE"""),0.0725)</f>
        <v>0.0725</v>
      </c>
      <c r="J2014" s="19">
        <f>IFERROR(__xludf.DUMMYFUNCTION("""COMPUTED_VALUE"""),0.145)</f>
        <v>0.145</v>
      </c>
      <c r="K2014" s="19">
        <f>IFERROR(__xludf.DUMMYFUNCTION("""COMPUTED_VALUE"""),0.1813)</f>
        <v>0.1813</v>
      </c>
      <c r="L2014" s="19">
        <f>IFERROR(__xludf.DUMMYFUNCTION("""COMPUTED_VALUE"""),0.2175)</f>
        <v>0.2175</v>
      </c>
      <c r="M2014" s="18">
        <f>IFERROR(__xludf.DUMMYFUNCTION("""COMPUTED_VALUE"""),1.53)</f>
        <v>1.53</v>
      </c>
    </row>
    <row r="2015">
      <c r="A2015" s="13" t="str">
        <f>IFERROR(__xludf.DUMMYFUNCTION("""COMPUTED_VALUE"""),"товари")</f>
        <v>товари</v>
      </c>
      <c r="B2015" s="16" t="str">
        <f>IFERROR(__xludf.DUMMYFUNCTION("""COMPUTED_VALUE"""),"краса та здоров'я")</f>
        <v>краса та здоров'я</v>
      </c>
      <c r="C2015" s="16" t="str">
        <f>IFERROR(__xludf.DUMMYFUNCTION("""COMPUTED_VALUE"""),"товари для здоров'я")</f>
        <v>товари для здоров'я</v>
      </c>
      <c r="D2015" s="16" t="str">
        <f>IFERROR(__xludf.DUMMYFUNCTION("""COMPUTED_VALUE"""),"масажери")</f>
        <v>масажери</v>
      </c>
      <c r="E2015" s="16" t="str">
        <f>IFERROR(__xludf.DUMMYFUNCTION("""COMPUTED_VALUE"""),"масажні банки")</f>
        <v>масажні банки</v>
      </c>
      <c r="F2015" s="17">
        <f>IFERROR(__xludf.DUMMYFUNCTION("""COMPUTED_VALUE"""),4.0)</f>
        <v>4</v>
      </c>
      <c r="G2015" s="17" t="str">
        <f>IFERROR(__xludf.DUMMYFUNCTION("""COMPUTED_VALUE"""),"162226")</f>
        <v>162226</v>
      </c>
      <c r="H2015" s="17" t="str">
        <f>IFERROR(__xludf.DUMMYFUNCTION("""COMPUTED_VALUE"""),"масажні банки")</f>
        <v>масажні банки</v>
      </c>
      <c r="I2015" s="19">
        <f>IFERROR(__xludf.DUMMYFUNCTION("""COMPUTED_VALUE"""),0.0725)</f>
        <v>0.0725</v>
      </c>
      <c r="J2015" s="19">
        <f>IFERROR(__xludf.DUMMYFUNCTION("""COMPUTED_VALUE"""),0.145)</f>
        <v>0.145</v>
      </c>
      <c r="K2015" s="19">
        <f>IFERROR(__xludf.DUMMYFUNCTION("""COMPUTED_VALUE"""),0.1813)</f>
        <v>0.1813</v>
      </c>
      <c r="L2015" s="19">
        <f>IFERROR(__xludf.DUMMYFUNCTION("""COMPUTED_VALUE"""),0.2175)</f>
        <v>0.2175</v>
      </c>
      <c r="M2015" s="18">
        <f>IFERROR(__xludf.DUMMYFUNCTION("""COMPUTED_VALUE"""),1.53)</f>
        <v>1.53</v>
      </c>
    </row>
    <row r="2016">
      <c r="A2016" s="13" t="str">
        <f>IFERROR(__xludf.DUMMYFUNCTION("""COMPUTED_VALUE"""),"товари")</f>
        <v>товари</v>
      </c>
      <c r="B2016" s="16" t="str">
        <f>IFERROR(__xludf.DUMMYFUNCTION("""COMPUTED_VALUE"""),"краса та здоров'я")</f>
        <v>краса та здоров'я</v>
      </c>
      <c r="C2016" s="16" t="str">
        <f>IFERROR(__xludf.DUMMYFUNCTION("""COMPUTED_VALUE"""),"товари для здоров'я")</f>
        <v>товари для здоров'я</v>
      </c>
      <c r="D2016" s="16" t="str">
        <f>IFERROR(__xludf.DUMMYFUNCTION("""COMPUTED_VALUE"""),"масажери")</f>
        <v>масажери</v>
      </c>
      <c r="E2016" s="16" t="str">
        <f>IFERROR(__xludf.DUMMYFUNCTION("""COMPUTED_VALUE"""),"масажні доріжки і килимки")</f>
        <v>масажні доріжки і килимки</v>
      </c>
      <c r="F2016" s="17">
        <f>IFERROR(__xludf.DUMMYFUNCTION("""COMPUTED_VALUE"""),4.0)</f>
        <v>4</v>
      </c>
      <c r="G2016" s="17" t="str">
        <f>IFERROR(__xludf.DUMMYFUNCTION("""COMPUTED_VALUE"""),"162214")</f>
        <v>162214</v>
      </c>
      <c r="H2016" s="17" t="str">
        <f>IFERROR(__xludf.DUMMYFUNCTION("""COMPUTED_VALUE"""),"масажні доріжки і килимки")</f>
        <v>масажні доріжки і килимки</v>
      </c>
      <c r="I2016" s="19">
        <f>IFERROR(__xludf.DUMMYFUNCTION("""COMPUTED_VALUE"""),0.0725)</f>
        <v>0.0725</v>
      </c>
      <c r="J2016" s="19">
        <f>IFERROR(__xludf.DUMMYFUNCTION("""COMPUTED_VALUE"""),0.145)</f>
        <v>0.145</v>
      </c>
      <c r="K2016" s="19">
        <f>IFERROR(__xludf.DUMMYFUNCTION("""COMPUTED_VALUE"""),0.1813)</f>
        <v>0.1813</v>
      </c>
      <c r="L2016" s="19">
        <f>IFERROR(__xludf.DUMMYFUNCTION("""COMPUTED_VALUE"""),0.2175)</f>
        <v>0.2175</v>
      </c>
      <c r="M2016" s="18">
        <f>IFERROR(__xludf.DUMMYFUNCTION("""COMPUTED_VALUE"""),1.53)</f>
        <v>1.53</v>
      </c>
    </row>
    <row r="2017">
      <c r="A2017" s="13" t="str">
        <f>IFERROR(__xludf.DUMMYFUNCTION("""COMPUTED_VALUE"""),"товари")</f>
        <v>товари</v>
      </c>
      <c r="B2017" s="16" t="str">
        <f>IFERROR(__xludf.DUMMYFUNCTION("""COMPUTED_VALUE"""),"краса та здоров'я")</f>
        <v>краса та здоров'я</v>
      </c>
      <c r="C2017" s="16" t="str">
        <f>IFERROR(__xludf.DUMMYFUNCTION("""COMPUTED_VALUE"""),"косметика по догляду")</f>
        <v>косметика по догляду</v>
      </c>
      <c r="D2017" s="16" t="str">
        <f>IFERROR(__xludf.DUMMYFUNCTION("""COMPUTED_VALUE"""),"догляд за тілом")</f>
        <v>догляд за тілом</v>
      </c>
      <c r="E2017" s="16" t="str">
        <f>IFERROR(__xludf.DUMMYFUNCTION("""COMPUTED_VALUE"""),"масажні косметичні засоби")</f>
        <v>масажні косметичні засоби</v>
      </c>
      <c r="F2017" s="17">
        <f>IFERROR(__xludf.DUMMYFUNCTION("""COMPUTED_VALUE"""),4.0)</f>
        <v>4</v>
      </c>
      <c r="G2017" s="17" t="str">
        <f>IFERROR(__xludf.DUMMYFUNCTION("""COMPUTED_VALUE"""),"16221301")</f>
        <v>16221301</v>
      </c>
      <c r="H2017" s="17" t="str">
        <f>IFERROR(__xludf.DUMMYFUNCTION("""COMPUTED_VALUE"""),"масажні косметичні засоби")</f>
        <v>масажні косметичні засоби</v>
      </c>
      <c r="I2017" s="19">
        <f>IFERROR(__xludf.DUMMYFUNCTION("""COMPUTED_VALUE"""),0.0656)</f>
        <v>0.0656</v>
      </c>
      <c r="J2017" s="19">
        <f>IFERROR(__xludf.DUMMYFUNCTION("""COMPUTED_VALUE"""),0.1311)</f>
        <v>0.1311</v>
      </c>
      <c r="K2017" s="19">
        <f>IFERROR(__xludf.DUMMYFUNCTION("""COMPUTED_VALUE"""),0.1639)</f>
        <v>0.1639</v>
      </c>
      <c r="L2017" s="19">
        <f>IFERROR(__xludf.DUMMYFUNCTION("""COMPUTED_VALUE"""),0.1967)</f>
        <v>0.1967</v>
      </c>
      <c r="M2017" s="18">
        <f>IFERROR(__xludf.DUMMYFUNCTION("""COMPUTED_VALUE"""),1.8)</f>
        <v>1.8</v>
      </c>
    </row>
    <row r="2018">
      <c r="A2018" s="13" t="str">
        <f>IFERROR(__xludf.DUMMYFUNCTION("""COMPUTED_VALUE"""),"товари")</f>
        <v>товари</v>
      </c>
      <c r="B2018" s="16" t="str">
        <f>IFERROR(__xludf.DUMMYFUNCTION("""COMPUTED_VALUE"""),"краса та здоров'я")</f>
        <v>краса та здоров'я</v>
      </c>
      <c r="C2018" s="16" t="str">
        <f>IFERROR(__xludf.DUMMYFUNCTION("""COMPUTED_VALUE"""),"товари для здоров'я")</f>
        <v>товари для здоров'я</v>
      </c>
      <c r="D2018" s="16" t="str">
        <f>IFERROR(__xludf.DUMMYFUNCTION("""COMPUTED_VALUE"""),"масажери")</f>
        <v>масажери</v>
      </c>
      <c r="E2018" s="16" t="str">
        <f>IFERROR(__xludf.DUMMYFUNCTION("""COMPUTED_VALUE"""),"масажні крісла")</f>
        <v>масажні крісла</v>
      </c>
      <c r="F2018" s="17">
        <f>IFERROR(__xludf.DUMMYFUNCTION("""COMPUTED_VALUE"""),4.0)</f>
        <v>4</v>
      </c>
      <c r="G2018" s="17" t="str">
        <f>IFERROR(__xludf.DUMMYFUNCTION("""COMPUTED_VALUE"""),"162203")</f>
        <v>162203</v>
      </c>
      <c r="H2018" s="17" t="str">
        <f>IFERROR(__xludf.DUMMYFUNCTION("""COMPUTED_VALUE"""),"масажні крісла")</f>
        <v>масажні крісла</v>
      </c>
      <c r="I2018" s="19">
        <f>IFERROR(__xludf.DUMMYFUNCTION("""COMPUTED_VALUE"""),0.0523)</f>
        <v>0.0523</v>
      </c>
      <c r="J2018" s="19">
        <f>IFERROR(__xludf.DUMMYFUNCTION("""COMPUTED_VALUE"""),0.1045)</f>
        <v>0.1045</v>
      </c>
      <c r="K2018" s="19">
        <f>IFERROR(__xludf.DUMMYFUNCTION("""COMPUTED_VALUE"""),0.1306)</f>
        <v>0.1306</v>
      </c>
      <c r="L2018" s="19">
        <f>IFERROR(__xludf.DUMMYFUNCTION("""COMPUTED_VALUE"""),0.1568)</f>
        <v>0.1568</v>
      </c>
      <c r="M2018" s="18">
        <f>IFERROR(__xludf.DUMMYFUNCTION("""COMPUTED_VALUE"""),1.53)</f>
        <v>1.53</v>
      </c>
    </row>
    <row r="2019">
      <c r="A2019" s="13" t="str">
        <f>IFERROR(__xludf.DUMMYFUNCTION("""COMPUTED_VALUE"""),"товари")</f>
        <v>товари</v>
      </c>
      <c r="B2019" s="16" t="str">
        <f>IFERROR(__xludf.DUMMYFUNCTION("""COMPUTED_VALUE"""),"краса та здоров'я")</f>
        <v>краса та здоров'я</v>
      </c>
      <c r="C2019" s="16" t="str">
        <f>IFERROR(__xludf.DUMMYFUNCTION("""COMPUTED_VALUE"""),"товари для здоров'я")</f>
        <v>товари для здоров'я</v>
      </c>
      <c r="D2019" s="16" t="str">
        <f>IFERROR(__xludf.DUMMYFUNCTION("""COMPUTED_VALUE"""),"масажери")</f>
        <v>масажери</v>
      </c>
      <c r="E2019" s="16" t="str">
        <f>IFERROR(__xludf.DUMMYFUNCTION("""COMPUTED_VALUE"""),"масажні ліжка")</f>
        <v>масажні ліжка</v>
      </c>
      <c r="F2019" s="17">
        <f>IFERROR(__xludf.DUMMYFUNCTION("""COMPUTED_VALUE"""),4.0)</f>
        <v>4</v>
      </c>
      <c r="G2019" s="17">
        <f>IFERROR(__xludf.DUMMYFUNCTION("""COMPUTED_VALUE"""),162514.0)</f>
        <v>162514</v>
      </c>
      <c r="H2019" s="17" t="str">
        <f>IFERROR(__xludf.DUMMYFUNCTION("""COMPUTED_VALUE"""),"масажні ліжка")</f>
        <v>масажні ліжка</v>
      </c>
      <c r="I2019" s="19">
        <f>IFERROR(__xludf.DUMMYFUNCTION("""COMPUTED_VALUE"""),0.0725)</f>
        <v>0.0725</v>
      </c>
      <c r="J2019" s="19">
        <f>IFERROR(__xludf.DUMMYFUNCTION("""COMPUTED_VALUE"""),0.145)</f>
        <v>0.145</v>
      </c>
      <c r="K2019" s="19">
        <f>IFERROR(__xludf.DUMMYFUNCTION("""COMPUTED_VALUE"""),0.1813)</f>
        <v>0.1813</v>
      </c>
      <c r="L2019" s="19">
        <f>IFERROR(__xludf.DUMMYFUNCTION("""COMPUTED_VALUE"""),0.2175)</f>
        <v>0.2175</v>
      </c>
      <c r="M2019" s="18">
        <f>IFERROR(__xludf.DUMMYFUNCTION("""COMPUTED_VALUE"""),1.53)</f>
        <v>1.53</v>
      </c>
    </row>
    <row r="2020">
      <c r="A2020" s="13" t="str">
        <f>IFERROR(__xludf.DUMMYFUNCTION("""COMPUTED_VALUE"""),"товари")</f>
        <v>товари</v>
      </c>
      <c r="B2020" s="16" t="str">
        <f>IFERROR(__xludf.DUMMYFUNCTION("""COMPUTED_VALUE"""),"краса та здоров'я")</f>
        <v>краса та здоров'я</v>
      </c>
      <c r="C2020" s="16" t="str">
        <f>IFERROR(__xludf.DUMMYFUNCTION("""COMPUTED_VALUE"""),"товари для здоров'я")</f>
        <v>товари для здоров'я</v>
      </c>
      <c r="D2020" s="16" t="str">
        <f>IFERROR(__xludf.DUMMYFUNCTION("""COMPUTED_VALUE"""),"масажери")</f>
        <v>масажери</v>
      </c>
      <c r="E2020" s="16" t="str">
        <f>IFERROR(__xludf.DUMMYFUNCTION("""COMPUTED_VALUE"""),"масажні накидки, мати, подушки")</f>
        <v>масажні накидки, мати, подушки</v>
      </c>
      <c r="F2020" s="17">
        <f>IFERROR(__xludf.DUMMYFUNCTION("""COMPUTED_VALUE"""),4.0)</f>
        <v>4</v>
      </c>
      <c r="G2020" s="17" t="str">
        <f>IFERROR(__xludf.DUMMYFUNCTION("""COMPUTED_VALUE"""),"162201")</f>
        <v>162201</v>
      </c>
      <c r="H2020" s="17" t="str">
        <f>IFERROR(__xludf.DUMMYFUNCTION("""COMPUTED_VALUE"""),"масажні накидки, мати, подушки")</f>
        <v>масажні накидки, мати, подушки</v>
      </c>
      <c r="I2020" s="19">
        <f>IFERROR(__xludf.DUMMYFUNCTION("""COMPUTED_VALUE"""),0.0725)</f>
        <v>0.0725</v>
      </c>
      <c r="J2020" s="19">
        <f>IFERROR(__xludf.DUMMYFUNCTION("""COMPUTED_VALUE"""),0.145)</f>
        <v>0.145</v>
      </c>
      <c r="K2020" s="19">
        <f>IFERROR(__xludf.DUMMYFUNCTION("""COMPUTED_VALUE"""),0.1813)</f>
        <v>0.1813</v>
      </c>
      <c r="L2020" s="19">
        <f>IFERROR(__xludf.DUMMYFUNCTION("""COMPUTED_VALUE"""),0.2175)</f>
        <v>0.2175</v>
      </c>
      <c r="M2020" s="18">
        <f>IFERROR(__xludf.DUMMYFUNCTION("""COMPUTED_VALUE"""),1.53)</f>
        <v>1.53</v>
      </c>
    </row>
    <row r="2021">
      <c r="A2021" s="13" t="str">
        <f>IFERROR(__xludf.DUMMYFUNCTION("""COMPUTED_VALUE"""),"товари")</f>
        <v>товари</v>
      </c>
      <c r="B2021" s="16" t="str">
        <f>IFERROR(__xludf.DUMMYFUNCTION("""COMPUTED_VALUE"""),"краса та здоров'я")</f>
        <v>краса та здоров'я</v>
      </c>
      <c r="C2021" s="16" t="str">
        <f>IFERROR(__xludf.DUMMYFUNCTION("""COMPUTED_VALUE"""),"товари для здоров'я")</f>
        <v>товари для здоров'я</v>
      </c>
      <c r="D2021" s="16" t="str">
        <f>IFERROR(__xludf.DUMMYFUNCTION("""COMPUTED_VALUE"""),"масажери")</f>
        <v>масажери</v>
      </c>
      <c r="E2021" s="16" t="str">
        <f>IFERROR(__xludf.DUMMYFUNCTION("""COMPUTED_VALUE"""),"масажні пояси")</f>
        <v>масажні пояси</v>
      </c>
      <c r="F2021" s="17">
        <f>IFERROR(__xludf.DUMMYFUNCTION("""COMPUTED_VALUE"""),4.0)</f>
        <v>4</v>
      </c>
      <c r="G2021" s="17" t="str">
        <f>IFERROR(__xludf.DUMMYFUNCTION("""COMPUTED_VALUE"""),"162208")</f>
        <v>162208</v>
      </c>
      <c r="H2021" s="17" t="str">
        <f>IFERROR(__xludf.DUMMYFUNCTION("""COMPUTED_VALUE"""),"масажні пояси")</f>
        <v>масажні пояси</v>
      </c>
      <c r="I2021" s="19">
        <f>IFERROR(__xludf.DUMMYFUNCTION("""COMPUTED_VALUE"""),0.0725)</f>
        <v>0.0725</v>
      </c>
      <c r="J2021" s="19">
        <f>IFERROR(__xludf.DUMMYFUNCTION("""COMPUTED_VALUE"""),0.145)</f>
        <v>0.145</v>
      </c>
      <c r="K2021" s="19">
        <f>IFERROR(__xludf.DUMMYFUNCTION("""COMPUTED_VALUE"""),0.1813)</f>
        <v>0.1813</v>
      </c>
      <c r="L2021" s="19">
        <f>IFERROR(__xludf.DUMMYFUNCTION("""COMPUTED_VALUE"""),0.2175)</f>
        <v>0.2175</v>
      </c>
      <c r="M2021" s="18">
        <f>IFERROR(__xludf.DUMMYFUNCTION("""COMPUTED_VALUE"""),1.53)</f>
        <v>1.53</v>
      </c>
    </row>
    <row r="2022">
      <c r="A2022" s="13" t="str">
        <f>IFERROR(__xludf.DUMMYFUNCTION("""COMPUTED_VALUE"""),"товари")</f>
        <v>товари</v>
      </c>
      <c r="B2022" s="16" t="str">
        <f>IFERROR(__xludf.DUMMYFUNCTION("""COMPUTED_VALUE"""),"краса та здоров'я")</f>
        <v>краса та здоров'я</v>
      </c>
      <c r="C2022" s="16" t="str">
        <f>IFERROR(__xludf.DUMMYFUNCTION("""COMPUTED_VALUE"""),"товари для здоров'я")</f>
        <v>товари для здоров'я</v>
      </c>
      <c r="D2022" s="16" t="str">
        <f>IFERROR(__xludf.DUMMYFUNCTION("""COMPUTED_VALUE"""),"масажери")</f>
        <v>масажери</v>
      </c>
      <c r="E2022" s="16" t="str">
        <f>IFERROR(__xludf.DUMMYFUNCTION("""COMPUTED_VALUE"""),"масажні щітки")</f>
        <v>масажні щітки</v>
      </c>
      <c r="F2022" s="17">
        <f>IFERROR(__xludf.DUMMYFUNCTION("""COMPUTED_VALUE"""),4.0)</f>
        <v>4</v>
      </c>
      <c r="G2022" s="17" t="str">
        <f>IFERROR(__xludf.DUMMYFUNCTION("""COMPUTED_VALUE"""),"162218")</f>
        <v>162218</v>
      </c>
      <c r="H2022" s="17" t="str">
        <f>IFERROR(__xludf.DUMMYFUNCTION("""COMPUTED_VALUE"""),"масажні щітки")</f>
        <v>масажні щітки</v>
      </c>
      <c r="I2022" s="19">
        <f>IFERROR(__xludf.DUMMYFUNCTION("""COMPUTED_VALUE"""),0.0725)</f>
        <v>0.0725</v>
      </c>
      <c r="J2022" s="19">
        <f>IFERROR(__xludf.DUMMYFUNCTION("""COMPUTED_VALUE"""),0.145)</f>
        <v>0.145</v>
      </c>
      <c r="K2022" s="19">
        <f>IFERROR(__xludf.DUMMYFUNCTION("""COMPUTED_VALUE"""),0.1813)</f>
        <v>0.1813</v>
      </c>
      <c r="L2022" s="19">
        <f>IFERROR(__xludf.DUMMYFUNCTION("""COMPUTED_VALUE"""),0.2175)</f>
        <v>0.2175</v>
      </c>
      <c r="M2022" s="18">
        <f>IFERROR(__xludf.DUMMYFUNCTION("""COMPUTED_VALUE"""),1.53)</f>
        <v>1.53</v>
      </c>
    </row>
    <row r="2023">
      <c r="A2023" s="13" t="str">
        <f>IFERROR(__xludf.DUMMYFUNCTION("""COMPUTED_VALUE"""),"товари")</f>
        <v>товари</v>
      </c>
      <c r="B2023" s="16" t="str">
        <f>IFERROR(__xludf.DUMMYFUNCTION("""COMPUTED_VALUE"""),"краса та здоров'я")</f>
        <v>краса та здоров'я</v>
      </c>
      <c r="C2023" s="16" t="str">
        <f>IFERROR(__xludf.DUMMYFUNCTION("""COMPUTED_VALUE"""),"косметика по догляду")</f>
        <v>косметика по догляду</v>
      </c>
      <c r="D2023" s="16" t="str">
        <f>IFERROR(__xludf.DUMMYFUNCTION("""COMPUTED_VALUE"""),"догляд за волоссям")</f>
        <v>догляд за волоссям</v>
      </c>
      <c r="E2023" s="16" t="str">
        <f>IFERROR(__xludf.DUMMYFUNCTION("""COMPUTED_VALUE"""),"маски для волосся")</f>
        <v>маски для волосся</v>
      </c>
      <c r="F2023" s="17">
        <f>IFERROR(__xludf.DUMMYFUNCTION("""COMPUTED_VALUE"""),4.0)</f>
        <v>4</v>
      </c>
      <c r="G2023" s="17" t="str">
        <f>IFERROR(__xludf.DUMMYFUNCTION("""COMPUTED_VALUE"""),"330703")</f>
        <v>330703</v>
      </c>
      <c r="H2023" s="17" t="str">
        <f>IFERROR(__xludf.DUMMYFUNCTION("""COMPUTED_VALUE"""),"маски для волосся")</f>
        <v>маски для волосся</v>
      </c>
      <c r="I2023" s="19">
        <f>IFERROR(__xludf.DUMMYFUNCTION("""COMPUTED_VALUE"""),0.0644)</f>
        <v>0.0644</v>
      </c>
      <c r="J2023" s="19">
        <f>IFERROR(__xludf.DUMMYFUNCTION("""COMPUTED_VALUE"""),0.1288)</f>
        <v>0.1288</v>
      </c>
      <c r="K2023" s="19">
        <f>IFERROR(__xludf.DUMMYFUNCTION("""COMPUTED_VALUE"""),0.161)</f>
        <v>0.161</v>
      </c>
      <c r="L2023" s="19">
        <f>IFERROR(__xludf.DUMMYFUNCTION("""COMPUTED_VALUE"""),0.1932)</f>
        <v>0.1932</v>
      </c>
      <c r="M2023" s="18">
        <f>IFERROR(__xludf.DUMMYFUNCTION("""COMPUTED_VALUE"""),1.63)</f>
        <v>1.63</v>
      </c>
    </row>
    <row r="2024">
      <c r="A2024" s="13" t="str">
        <f>IFERROR(__xludf.DUMMYFUNCTION("""COMPUTED_VALUE"""),"товари")</f>
        <v>товари</v>
      </c>
      <c r="B2024" s="16" t="str">
        <f>IFERROR(__xludf.DUMMYFUNCTION("""COMPUTED_VALUE"""),"краса та здоров'я")</f>
        <v>краса та здоров'я</v>
      </c>
      <c r="C2024" s="16" t="str">
        <f>IFERROR(__xludf.DUMMYFUNCTION("""COMPUTED_VALUE"""),"косметика по догляду")</f>
        <v>косметика по догляду</v>
      </c>
      <c r="D2024" s="16" t="str">
        <f>IFERROR(__xludf.DUMMYFUNCTION("""COMPUTED_VALUE"""),"догляд за тілом")</f>
        <v>догляд за тілом</v>
      </c>
      <c r="E2024" s="16" t="str">
        <f>IFERROR(__xludf.DUMMYFUNCTION("""COMPUTED_VALUE"""),"маски для тіла та обгортання")</f>
        <v>маски для тіла та обгортання</v>
      </c>
      <c r="F2024" s="17">
        <f>IFERROR(__xludf.DUMMYFUNCTION("""COMPUTED_VALUE"""),4.0)</f>
        <v>4</v>
      </c>
      <c r="G2024" s="17" t="str">
        <f>IFERROR(__xludf.DUMMYFUNCTION("""COMPUTED_VALUE"""),"330405")</f>
        <v>330405</v>
      </c>
      <c r="H2024" s="17" t="str">
        <f>IFERROR(__xludf.DUMMYFUNCTION("""COMPUTED_VALUE"""),"маски для тіла та обгортання")</f>
        <v>маски для тіла та обгортання</v>
      </c>
      <c r="I2024" s="19">
        <f>IFERROR(__xludf.DUMMYFUNCTION("""COMPUTED_VALUE"""),0.0656)</f>
        <v>0.0656</v>
      </c>
      <c r="J2024" s="19">
        <f>IFERROR(__xludf.DUMMYFUNCTION("""COMPUTED_VALUE"""),0.1311)</f>
        <v>0.1311</v>
      </c>
      <c r="K2024" s="19">
        <f>IFERROR(__xludf.DUMMYFUNCTION("""COMPUTED_VALUE"""),0.1639)</f>
        <v>0.1639</v>
      </c>
      <c r="L2024" s="19">
        <f>IFERROR(__xludf.DUMMYFUNCTION("""COMPUTED_VALUE"""),0.1967)</f>
        <v>0.1967</v>
      </c>
      <c r="M2024" s="18">
        <f>IFERROR(__xludf.DUMMYFUNCTION("""COMPUTED_VALUE"""),1.8)</f>
        <v>1.8</v>
      </c>
    </row>
    <row r="2025">
      <c r="A2025" s="13" t="str">
        <f>IFERROR(__xludf.DUMMYFUNCTION("""COMPUTED_VALUE"""),"товари")</f>
        <v>товари</v>
      </c>
      <c r="B2025" s="16" t="str">
        <f>IFERROR(__xludf.DUMMYFUNCTION("""COMPUTED_VALUE"""),"краса та здоров'я")</f>
        <v>краса та здоров'я</v>
      </c>
      <c r="C2025" s="16" t="str">
        <f>IFERROR(__xludf.DUMMYFUNCTION("""COMPUTED_VALUE"""),"косметика по догляду")</f>
        <v>косметика по догляду</v>
      </c>
      <c r="D2025" s="16" t="str">
        <f>IFERROR(__xludf.DUMMYFUNCTION("""COMPUTED_VALUE"""),"догляд за обличчям")</f>
        <v>догляд за обличчям</v>
      </c>
      <c r="E2025" s="16" t="str">
        <f>IFERROR(__xludf.DUMMYFUNCTION("""COMPUTED_VALUE"""),"маски для шкіри обличчя")</f>
        <v>маски для шкіри обличчя</v>
      </c>
      <c r="F2025" s="17">
        <f>IFERROR(__xludf.DUMMYFUNCTION("""COMPUTED_VALUE"""),4.0)</f>
        <v>4</v>
      </c>
      <c r="G2025" s="17" t="str">
        <f>IFERROR(__xludf.DUMMYFUNCTION("""COMPUTED_VALUE"""),"330609")</f>
        <v>330609</v>
      </c>
      <c r="H2025" s="17" t="str">
        <f>IFERROR(__xludf.DUMMYFUNCTION("""COMPUTED_VALUE"""),"маски для шкіри обличчя")</f>
        <v>маски для шкіри обличчя</v>
      </c>
      <c r="I2025" s="19">
        <f>IFERROR(__xludf.DUMMYFUNCTION("""COMPUTED_VALUE"""),0.0664)</f>
        <v>0.0664</v>
      </c>
      <c r="J2025" s="19">
        <f>IFERROR(__xludf.DUMMYFUNCTION("""COMPUTED_VALUE"""),0.1327)</f>
        <v>0.1327</v>
      </c>
      <c r="K2025" s="19">
        <f>IFERROR(__xludf.DUMMYFUNCTION("""COMPUTED_VALUE"""),0.1659)</f>
        <v>0.1659</v>
      </c>
      <c r="L2025" s="19">
        <f>IFERROR(__xludf.DUMMYFUNCTION("""COMPUTED_VALUE"""),0.1991)</f>
        <v>0.1991</v>
      </c>
      <c r="M2025" s="18">
        <f>IFERROR(__xludf.DUMMYFUNCTION("""COMPUTED_VALUE"""),1.71)</f>
        <v>1.71</v>
      </c>
    </row>
    <row r="2026">
      <c r="A2026" s="13" t="str">
        <f>IFERROR(__xludf.DUMMYFUNCTION("""COMPUTED_VALUE"""),"товари")</f>
        <v>товари</v>
      </c>
      <c r="B2026" s="16" t="str">
        <f>IFERROR(__xludf.DUMMYFUNCTION("""COMPUTED_VALUE"""),"краса та здоров'я")</f>
        <v>краса та здоров'я</v>
      </c>
      <c r="C2026" s="16" t="str">
        <f>IFERROR(__xludf.DUMMYFUNCTION("""COMPUTED_VALUE"""),"все для манікюру і педикюру")</f>
        <v>все для манікюру і педикюру</v>
      </c>
      <c r="D2026" s="16" t="str">
        <f>IFERROR(__xludf.DUMMYFUNCTION("""COMPUTED_VALUE"""),"матеріали для дизайну нігтів")</f>
        <v>матеріали для дизайну нігтів</v>
      </c>
      <c r="E2026" s="16" t="str">
        <f>IFERROR(__xludf.DUMMYFUNCTION("""COMPUTED_VALUE"""),"матеріали для дизайну нігтів")</f>
        <v>матеріали для дизайну нігтів</v>
      </c>
      <c r="F2026" s="17">
        <f>IFERROR(__xludf.DUMMYFUNCTION("""COMPUTED_VALUE"""),3.0)</f>
        <v>3</v>
      </c>
      <c r="G2026" s="17" t="str">
        <f>IFERROR(__xludf.DUMMYFUNCTION("""COMPUTED_VALUE"""),"161806")</f>
        <v>161806</v>
      </c>
      <c r="H2026" s="17" t="str">
        <f>IFERROR(__xludf.DUMMYFUNCTION("""COMPUTED_VALUE"""),"матеріали для дизайну нігтів")</f>
        <v>матеріали для дизайну нігтів</v>
      </c>
      <c r="I2026" s="19">
        <f>IFERROR(__xludf.DUMMYFUNCTION("""COMPUTED_VALUE"""),0.0714)</f>
        <v>0.0714</v>
      </c>
      <c r="J2026" s="19">
        <f>IFERROR(__xludf.DUMMYFUNCTION("""COMPUTED_VALUE"""),0.1427)</f>
        <v>0.1427</v>
      </c>
      <c r="K2026" s="19">
        <f>IFERROR(__xludf.DUMMYFUNCTION("""COMPUTED_VALUE"""),0.1784)</f>
        <v>0.1784</v>
      </c>
      <c r="L2026" s="19">
        <f>IFERROR(__xludf.DUMMYFUNCTION("""COMPUTED_VALUE"""),0.2141)</f>
        <v>0.2141</v>
      </c>
      <c r="M2026" s="18">
        <f>IFERROR(__xludf.DUMMYFUNCTION("""COMPUTED_VALUE"""),2.88)</f>
        <v>2.88</v>
      </c>
    </row>
    <row r="2027">
      <c r="A2027" s="13" t="str">
        <f>IFERROR(__xludf.DUMMYFUNCTION("""COMPUTED_VALUE"""),"товари")</f>
        <v>товари</v>
      </c>
      <c r="B2027" s="16" t="str">
        <f>IFERROR(__xludf.DUMMYFUNCTION("""COMPUTED_VALUE"""),"краса та здоров'я")</f>
        <v>краса та здоров'я</v>
      </c>
      <c r="C2027" s="16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2027" s="16" t="str">
        <f>IFERROR(__xludf.DUMMYFUNCTION("""COMPUTED_VALUE"""),"матеріали для нарощування нігтів")</f>
        <v>матеріали для нарощування нігтів</v>
      </c>
      <c r="E2027" s="16" t="str">
        <f>IFERROR(__xludf.DUMMYFUNCTION("""COMPUTED_VALUE"""),"матеріали для нарощування нігтів")</f>
        <v>матеріали для нарощування нігтів</v>
      </c>
      <c r="F2027" s="17">
        <f>IFERROR(__xludf.DUMMYFUNCTION("""COMPUTED_VALUE"""),3.0)</f>
        <v>3</v>
      </c>
      <c r="G2027" s="17" t="str">
        <f>IFERROR(__xludf.DUMMYFUNCTION("""COMPUTED_VALUE"""),"161803")</f>
        <v>161803</v>
      </c>
      <c r="H2027" s="17" t="str">
        <f>IFERROR(__xludf.DUMMYFUNCTION("""COMPUTED_VALUE"""),"матеріали для нарощування нігтів")</f>
        <v>матеріали для нарощування нігтів</v>
      </c>
      <c r="I2027" s="19">
        <f>IFERROR(__xludf.DUMMYFUNCTION("""COMPUTED_VALUE"""),0.0717)</f>
        <v>0.0717</v>
      </c>
      <c r="J2027" s="19">
        <f>IFERROR(__xludf.DUMMYFUNCTION("""COMPUTED_VALUE"""),0.1434)</f>
        <v>0.1434</v>
      </c>
      <c r="K2027" s="19">
        <f>IFERROR(__xludf.DUMMYFUNCTION("""COMPUTED_VALUE"""),0.1793)</f>
        <v>0.1793</v>
      </c>
      <c r="L2027" s="19">
        <f>IFERROR(__xludf.DUMMYFUNCTION("""COMPUTED_VALUE"""),0.2151)</f>
        <v>0.2151</v>
      </c>
      <c r="M2027" s="18">
        <f>IFERROR(__xludf.DUMMYFUNCTION("""COMPUTED_VALUE"""),2.88)</f>
        <v>2.88</v>
      </c>
    </row>
    <row r="2028">
      <c r="A2028" s="13" t="str">
        <f>IFERROR(__xludf.DUMMYFUNCTION("""COMPUTED_VALUE"""),"товари")</f>
        <v>товари</v>
      </c>
      <c r="B2028" s="16" t="str">
        <f>IFERROR(__xludf.DUMMYFUNCTION("""COMPUTED_VALUE"""),"краса та здоров'я")</f>
        <v>краса та здоров'я</v>
      </c>
      <c r="C2028" s="16" t="str">
        <f>IFERROR(__xludf.DUMMYFUNCTION("""COMPUTED_VALUE"""),"гігієнічні вироби та засоби")</f>
        <v>гігієнічні вироби та засоби</v>
      </c>
      <c r="D2028" s="16" t="str">
        <f>IFERROR(__xludf.DUMMYFUNCTION("""COMPUTED_VALUE"""),"засоби жіночої гігієни")</f>
        <v>засоби жіночої гігієни</v>
      </c>
      <c r="E2028" s="16" t="str">
        <f>IFERROR(__xludf.DUMMYFUNCTION("""COMPUTED_VALUE"""),"менструальні чаші")</f>
        <v>менструальні чаші</v>
      </c>
      <c r="F2028" s="17">
        <f>IFERROR(__xludf.DUMMYFUNCTION("""COMPUTED_VALUE"""),4.0)</f>
        <v>4</v>
      </c>
      <c r="G2028" s="17" t="str">
        <f>IFERROR(__xludf.DUMMYFUNCTION("""COMPUTED_VALUE"""),"15131004")</f>
        <v>15131004</v>
      </c>
      <c r="H2028" s="17" t="str">
        <f>IFERROR(__xludf.DUMMYFUNCTION("""COMPUTED_VALUE"""),"менструальні чаші")</f>
        <v>менструальні чаші</v>
      </c>
      <c r="I2028" s="19">
        <f>IFERROR(__xludf.DUMMYFUNCTION("""COMPUTED_VALUE"""),0.066)</f>
        <v>0.066</v>
      </c>
      <c r="J2028" s="19">
        <f>IFERROR(__xludf.DUMMYFUNCTION("""COMPUTED_VALUE"""),0.1319)</f>
        <v>0.1319</v>
      </c>
      <c r="K2028" s="19">
        <f>IFERROR(__xludf.DUMMYFUNCTION("""COMPUTED_VALUE"""),0.1649)</f>
        <v>0.1649</v>
      </c>
      <c r="L2028" s="19">
        <f>IFERROR(__xludf.DUMMYFUNCTION("""COMPUTED_VALUE"""),0.1979)</f>
        <v>0.1979</v>
      </c>
      <c r="M2028" s="18">
        <f>IFERROR(__xludf.DUMMYFUNCTION("""COMPUTED_VALUE"""),1.05)</f>
        <v>1.05</v>
      </c>
    </row>
    <row r="2029">
      <c r="A2029" s="13" t="str">
        <f>IFERROR(__xludf.DUMMYFUNCTION("""COMPUTED_VALUE"""),"товари")</f>
        <v>товари</v>
      </c>
      <c r="B2029" s="16" t="str">
        <f>IFERROR(__xludf.DUMMYFUNCTION("""COMPUTED_VALUE"""),"краса та здоров'я")</f>
        <v>краса та здоров'я</v>
      </c>
      <c r="C2029" s="16" t="str">
        <f>IFERROR(__xludf.DUMMYFUNCTION("""COMPUTED_VALUE"""),"товари для вагітних і годуючих")</f>
        <v>товари для вагітних і годуючих</v>
      </c>
      <c r="D2029" s="16" t="str">
        <f>IFERROR(__xludf.DUMMYFUNCTION("""COMPUTED_VALUE"""),"набори в пологовий будинок")</f>
        <v>набори в пологовий будинок</v>
      </c>
      <c r="E2029" s="16" t="str">
        <f>IFERROR(__xludf.DUMMYFUNCTION("""COMPUTED_VALUE"""),"набори в пологовий будинок")</f>
        <v>набори в пологовий будинок</v>
      </c>
      <c r="F2029" s="17">
        <f>IFERROR(__xludf.DUMMYFUNCTION("""COMPUTED_VALUE"""),3.0)</f>
        <v>3</v>
      </c>
      <c r="G2029" s="17" t="str">
        <f>IFERROR(__xludf.DUMMYFUNCTION("""COMPUTED_VALUE"""),"163302")</f>
        <v>163302</v>
      </c>
      <c r="H2029" s="17" t="str">
        <f>IFERROR(__xludf.DUMMYFUNCTION("""COMPUTED_VALUE"""),"набори в пологовий будинок")</f>
        <v>набори в пологовий будинок</v>
      </c>
      <c r="I2029" s="19">
        <f>IFERROR(__xludf.DUMMYFUNCTION("""COMPUTED_VALUE"""),0.0768)</f>
        <v>0.0768</v>
      </c>
      <c r="J2029" s="19">
        <f>IFERROR(__xludf.DUMMYFUNCTION("""COMPUTED_VALUE"""),0.1535)</f>
        <v>0.1535</v>
      </c>
      <c r="K2029" s="19">
        <f>IFERROR(__xludf.DUMMYFUNCTION("""COMPUTED_VALUE"""),0.1919)</f>
        <v>0.1919</v>
      </c>
      <c r="L2029" s="19">
        <f>IFERROR(__xludf.DUMMYFUNCTION("""COMPUTED_VALUE"""),0.2303)</f>
        <v>0.2303</v>
      </c>
      <c r="M2029" s="18">
        <f>IFERROR(__xludf.DUMMYFUNCTION("""COMPUTED_VALUE"""),1.44)</f>
        <v>1.44</v>
      </c>
    </row>
    <row r="2030">
      <c r="A2030" s="13" t="str">
        <f>IFERROR(__xludf.DUMMYFUNCTION("""COMPUTED_VALUE"""),"товари")</f>
        <v>товари</v>
      </c>
      <c r="B2030" s="16" t="str">
        <f>IFERROR(__xludf.DUMMYFUNCTION("""COMPUTED_VALUE"""),"краса та здоров'я")</f>
        <v>краса та здоров'я</v>
      </c>
      <c r="C2030" s="16" t="str">
        <f>IFERROR(__xludf.DUMMYFUNCTION("""COMPUTED_VALUE"""),"декоративна косметика")</f>
        <v>декоративна косметика</v>
      </c>
      <c r="D2030" s="16" t="str">
        <f>IFERROR(__xludf.DUMMYFUNCTION("""COMPUTED_VALUE"""),"набори декоративної косметики")</f>
        <v>набори декоративної косметики</v>
      </c>
      <c r="E2030" s="16" t="str">
        <f>IFERROR(__xludf.DUMMYFUNCTION("""COMPUTED_VALUE"""),"набори декоративної косметики")</f>
        <v>набори декоративної косметики</v>
      </c>
      <c r="F2030" s="17">
        <f>IFERROR(__xludf.DUMMYFUNCTION("""COMPUTED_VALUE"""),3.0)</f>
        <v>3</v>
      </c>
      <c r="G2030" s="17" t="str">
        <f>IFERROR(__xludf.DUMMYFUNCTION("""COMPUTED_VALUE"""),"8210111")</f>
        <v>8210111</v>
      </c>
      <c r="H2030" s="17" t="str">
        <f>IFERROR(__xludf.DUMMYFUNCTION("""COMPUTED_VALUE"""),"набори декоративної косметики")</f>
        <v>набори декоративної косметики</v>
      </c>
      <c r="I2030" s="19">
        <f>IFERROR(__xludf.DUMMYFUNCTION("""COMPUTED_VALUE"""),0.0617)</f>
        <v>0.0617</v>
      </c>
      <c r="J2030" s="19">
        <f>IFERROR(__xludf.DUMMYFUNCTION("""COMPUTED_VALUE"""),0.1234)</f>
        <v>0.1234</v>
      </c>
      <c r="K2030" s="19">
        <f>IFERROR(__xludf.DUMMYFUNCTION("""COMPUTED_VALUE"""),0.1543)</f>
        <v>0.1543</v>
      </c>
      <c r="L2030" s="19">
        <f>IFERROR(__xludf.DUMMYFUNCTION("""COMPUTED_VALUE"""),0.1851)</f>
        <v>0.1851</v>
      </c>
      <c r="M2030" s="18">
        <f>IFERROR(__xludf.DUMMYFUNCTION("""COMPUTED_VALUE"""),1.63)</f>
        <v>1.63</v>
      </c>
    </row>
    <row r="2031">
      <c r="A2031" s="13" t="str">
        <f>IFERROR(__xludf.DUMMYFUNCTION("""COMPUTED_VALUE"""),"товари")</f>
        <v>товари</v>
      </c>
      <c r="B2031" s="16" t="str">
        <f>IFERROR(__xludf.DUMMYFUNCTION("""COMPUTED_VALUE"""),"краса та здоров'я")</f>
        <v>краса та здоров'я</v>
      </c>
      <c r="C2031" s="16" t="str">
        <f>IFERROR(__xludf.DUMMYFUNCTION("""COMPUTED_VALUE"""),"все для епіляції і депіляції")</f>
        <v>все для епіляції і депіляції</v>
      </c>
      <c r="D2031" s="16" t="str">
        <f>IFERROR(__xludf.DUMMYFUNCTION("""COMPUTED_VALUE"""),"набори для депіляції")</f>
        <v>набори для депіляції</v>
      </c>
      <c r="E2031" s="16" t="str">
        <f>IFERROR(__xludf.DUMMYFUNCTION("""COMPUTED_VALUE"""),"набори для депіляції")</f>
        <v>набори для депіляції</v>
      </c>
      <c r="F2031" s="17">
        <f>IFERROR(__xludf.DUMMYFUNCTION("""COMPUTED_VALUE"""),3.0)</f>
        <v>3</v>
      </c>
      <c r="G2031" s="17" t="str">
        <f>IFERROR(__xludf.DUMMYFUNCTION("""COMPUTED_VALUE"""),"331503")</f>
        <v>331503</v>
      </c>
      <c r="H2031" s="17" t="str">
        <f>IFERROR(__xludf.DUMMYFUNCTION("""COMPUTED_VALUE"""),"набори для депіляції")</f>
        <v>набори для депіляції</v>
      </c>
      <c r="I2031" s="19">
        <f>IFERROR(__xludf.DUMMYFUNCTION("""COMPUTED_VALUE"""),0.0741)</f>
        <v>0.0741</v>
      </c>
      <c r="J2031" s="19">
        <f>IFERROR(__xludf.DUMMYFUNCTION("""COMPUTED_VALUE"""),0.1481)</f>
        <v>0.1481</v>
      </c>
      <c r="K2031" s="19">
        <f>IFERROR(__xludf.DUMMYFUNCTION("""COMPUTED_VALUE"""),0.1851)</f>
        <v>0.1851</v>
      </c>
      <c r="L2031" s="19">
        <f>IFERROR(__xludf.DUMMYFUNCTION("""COMPUTED_VALUE"""),0.2222)</f>
        <v>0.2222</v>
      </c>
      <c r="M2031" s="18">
        <f>IFERROR(__xludf.DUMMYFUNCTION("""COMPUTED_VALUE"""),2.34)</f>
        <v>2.34</v>
      </c>
    </row>
    <row r="2032">
      <c r="A2032" s="13" t="str">
        <f>IFERROR(__xludf.DUMMYFUNCTION("""COMPUTED_VALUE"""),"товари")</f>
        <v>товари</v>
      </c>
      <c r="B2032" s="16" t="str">
        <f>IFERROR(__xludf.DUMMYFUNCTION("""COMPUTED_VALUE"""),"краса та здоров'я")</f>
        <v>краса та здоров'я</v>
      </c>
      <c r="C2032" s="16" t="str">
        <f>IFERROR(__xludf.DUMMYFUNCTION("""COMPUTED_VALUE"""),"косметика по догляду")</f>
        <v>косметика по догляду</v>
      </c>
      <c r="D2032" s="16" t="str">
        <f>IFERROR(__xludf.DUMMYFUNCTION("""COMPUTED_VALUE"""),"догляд за тілом")</f>
        <v>догляд за тілом</v>
      </c>
      <c r="E2032" s="16" t="str">
        <f>IFERROR(__xludf.DUMMYFUNCTION("""COMPUTED_VALUE"""),"набори косметики по догляду")</f>
        <v>набори косметики по догляду</v>
      </c>
      <c r="F2032" s="17">
        <f>IFERROR(__xludf.DUMMYFUNCTION("""COMPUTED_VALUE"""),4.0)</f>
        <v>4</v>
      </c>
      <c r="G2032" s="17" t="str">
        <f>IFERROR(__xludf.DUMMYFUNCTION("""COMPUTED_VALUE"""),"3303")</f>
        <v>3303</v>
      </c>
      <c r="H2032" s="17" t="str">
        <f>IFERROR(__xludf.DUMMYFUNCTION("""COMPUTED_VALUE"""),"набори косметики по догляду")</f>
        <v>набори косметики по догляду</v>
      </c>
      <c r="I2032" s="19">
        <f>IFERROR(__xludf.DUMMYFUNCTION("""COMPUTED_VALUE"""),0.0656)</f>
        <v>0.0656</v>
      </c>
      <c r="J2032" s="19">
        <f>IFERROR(__xludf.DUMMYFUNCTION("""COMPUTED_VALUE"""),0.1311)</f>
        <v>0.1311</v>
      </c>
      <c r="K2032" s="19">
        <f>IFERROR(__xludf.DUMMYFUNCTION("""COMPUTED_VALUE"""),0.1639)</f>
        <v>0.1639</v>
      </c>
      <c r="L2032" s="19">
        <f>IFERROR(__xludf.DUMMYFUNCTION("""COMPUTED_VALUE"""),0.1967)</f>
        <v>0.1967</v>
      </c>
      <c r="M2032" s="18">
        <f>IFERROR(__xludf.DUMMYFUNCTION("""COMPUTED_VALUE"""),1.8)</f>
        <v>1.8</v>
      </c>
    </row>
    <row r="2033">
      <c r="A2033" s="13" t="str">
        <f>IFERROR(__xludf.DUMMYFUNCTION("""COMPUTED_VALUE"""),"товари")</f>
        <v>товари</v>
      </c>
      <c r="B2033" s="16" t="str">
        <f>IFERROR(__xludf.DUMMYFUNCTION("""COMPUTED_VALUE"""),"краса та здоров'я")</f>
        <v>краса та здоров'я</v>
      </c>
      <c r="C2033" s="16" t="str">
        <f>IFERROR(__xludf.DUMMYFUNCTION("""COMPUTED_VALUE"""),"товари для вагітних і годуючих")</f>
        <v>товари для вагітних і годуючих</v>
      </c>
      <c r="D2033" s="16" t="str">
        <f>IFERROR(__xludf.DUMMYFUNCTION("""COMPUTED_VALUE"""),"накладки на груди")</f>
        <v>накладки на груди</v>
      </c>
      <c r="E2033" s="16" t="str">
        <f>IFERROR(__xludf.DUMMYFUNCTION("""COMPUTED_VALUE"""),"накладки на груди")</f>
        <v>накладки на груди</v>
      </c>
      <c r="F2033" s="17">
        <f>IFERROR(__xludf.DUMMYFUNCTION("""COMPUTED_VALUE"""),3.0)</f>
        <v>3</v>
      </c>
      <c r="G2033" s="17" t="str">
        <f>IFERROR(__xludf.DUMMYFUNCTION("""COMPUTED_VALUE"""),"15131003")</f>
        <v>15131003</v>
      </c>
      <c r="H2033" s="17" t="str">
        <f>IFERROR(__xludf.DUMMYFUNCTION("""COMPUTED_VALUE"""),"накладки на груди")</f>
        <v>накладки на груди</v>
      </c>
      <c r="I2033" s="19">
        <f>IFERROR(__xludf.DUMMYFUNCTION("""COMPUTED_VALUE"""),0.066)</f>
        <v>0.066</v>
      </c>
      <c r="J2033" s="19">
        <f>IFERROR(__xludf.DUMMYFUNCTION("""COMPUTED_VALUE"""),0.1319)</f>
        <v>0.1319</v>
      </c>
      <c r="K2033" s="19">
        <f>IFERROR(__xludf.DUMMYFUNCTION("""COMPUTED_VALUE"""),0.1649)</f>
        <v>0.1649</v>
      </c>
      <c r="L2033" s="19">
        <f>IFERROR(__xludf.DUMMYFUNCTION("""COMPUTED_VALUE"""),0.1979)</f>
        <v>0.1979</v>
      </c>
      <c r="M2033" s="18">
        <f>IFERROR(__xludf.DUMMYFUNCTION("""COMPUTED_VALUE"""),1.05)</f>
        <v>1.05</v>
      </c>
    </row>
    <row r="2034">
      <c r="A2034" s="13" t="str">
        <f>IFERROR(__xludf.DUMMYFUNCTION("""COMPUTED_VALUE"""),"товари")</f>
        <v>товари</v>
      </c>
      <c r="B2034" s="16" t="str">
        <f>IFERROR(__xludf.DUMMYFUNCTION("""COMPUTED_VALUE"""),"краса та здоров'я")</f>
        <v>краса та здоров'я</v>
      </c>
      <c r="C2034" s="16" t="str">
        <f>IFERROR(__xludf.DUMMYFUNCTION("""COMPUTED_VALUE"""),"декоративна косметика")</f>
        <v>декоративна косметика</v>
      </c>
      <c r="D2034" s="16" t="str">
        <f>IFERROR(__xludf.DUMMYFUNCTION("""COMPUTED_VALUE"""),"макіяж очей")</f>
        <v>макіяж очей</v>
      </c>
      <c r="E2034" s="16" t="str">
        <f>IFERROR(__xludf.DUMMYFUNCTION("""COMPUTED_VALUE"""),"накладні вії")</f>
        <v>накладні вії</v>
      </c>
      <c r="F2034" s="17">
        <f>IFERROR(__xludf.DUMMYFUNCTION("""COMPUTED_VALUE"""),4.0)</f>
        <v>4</v>
      </c>
      <c r="G2034" s="17" t="str">
        <f>IFERROR(__xludf.DUMMYFUNCTION("""COMPUTED_VALUE"""),"8210116")</f>
        <v>8210116</v>
      </c>
      <c r="H2034" s="17" t="str">
        <f>IFERROR(__xludf.DUMMYFUNCTION("""COMPUTED_VALUE"""),"накладні вії")</f>
        <v>накладні вії</v>
      </c>
      <c r="I2034" s="19">
        <f>IFERROR(__xludf.DUMMYFUNCTION("""COMPUTED_VALUE"""),0.0664)</f>
        <v>0.0664</v>
      </c>
      <c r="J2034" s="19">
        <f>IFERROR(__xludf.DUMMYFUNCTION("""COMPUTED_VALUE"""),0.1327)</f>
        <v>0.1327</v>
      </c>
      <c r="K2034" s="19">
        <f>IFERROR(__xludf.DUMMYFUNCTION("""COMPUTED_VALUE"""),0.1659)</f>
        <v>0.1659</v>
      </c>
      <c r="L2034" s="19">
        <f>IFERROR(__xludf.DUMMYFUNCTION("""COMPUTED_VALUE"""),0.1991)</f>
        <v>0.1991</v>
      </c>
      <c r="M2034" s="18">
        <f>IFERROR(__xludf.DUMMYFUNCTION("""COMPUTED_VALUE"""),1.71)</f>
        <v>1.71</v>
      </c>
    </row>
    <row r="2035">
      <c r="A2035" s="13" t="str">
        <f>IFERROR(__xludf.DUMMYFUNCTION("""COMPUTED_VALUE"""),"товари")</f>
        <v>товари</v>
      </c>
      <c r="B2035" s="16" t="str">
        <f>IFERROR(__xludf.DUMMYFUNCTION("""COMPUTED_VALUE"""),"краса та здоров'я")</f>
        <v>краса та здоров'я</v>
      </c>
      <c r="C2035" s="16" t="str">
        <f>IFERROR(__xludf.DUMMYFUNCTION("""COMPUTED_VALUE"""),"все для манікюру і педикюру")</f>
        <v>все для манікюру і педикюру</v>
      </c>
      <c r="D2035" s="16" t="str">
        <f>IFERROR(__xludf.DUMMYFUNCTION("""COMPUTED_VALUE"""),"накладні нігті")</f>
        <v>накладні нігті</v>
      </c>
      <c r="E2035" s="16" t="str">
        <f>IFERROR(__xludf.DUMMYFUNCTION("""COMPUTED_VALUE"""),"накладні нігті")</f>
        <v>накладні нігті</v>
      </c>
      <c r="F2035" s="17">
        <f>IFERROR(__xludf.DUMMYFUNCTION("""COMPUTED_VALUE"""),3.0)</f>
        <v>3</v>
      </c>
      <c r="G2035" s="17" t="str">
        <f>IFERROR(__xludf.DUMMYFUNCTION("""COMPUTED_VALUE"""),"161810")</f>
        <v>161810</v>
      </c>
      <c r="H2035" s="17" t="str">
        <f>IFERROR(__xludf.DUMMYFUNCTION("""COMPUTED_VALUE"""),"накладні нігті")</f>
        <v>накладні нігті</v>
      </c>
      <c r="I2035" s="19">
        <f>IFERROR(__xludf.DUMMYFUNCTION("""COMPUTED_VALUE"""),0.071)</f>
        <v>0.071</v>
      </c>
      <c r="J2035" s="19">
        <f>IFERROR(__xludf.DUMMYFUNCTION("""COMPUTED_VALUE"""),0.1419)</f>
        <v>0.1419</v>
      </c>
      <c r="K2035" s="19">
        <f>IFERROR(__xludf.DUMMYFUNCTION("""COMPUTED_VALUE"""),0.1774)</f>
        <v>0.1774</v>
      </c>
      <c r="L2035" s="19">
        <f>IFERROR(__xludf.DUMMYFUNCTION("""COMPUTED_VALUE"""),0.2129)</f>
        <v>0.2129</v>
      </c>
      <c r="M2035" s="18">
        <f>IFERROR(__xludf.DUMMYFUNCTION("""COMPUTED_VALUE"""),1.8)</f>
        <v>1.8</v>
      </c>
    </row>
    <row r="2036">
      <c r="A2036" s="13" t="str">
        <f>IFERROR(__xludf.DUMMYFUNCTION("""COMPUTED_VALUE"""),"товари")</f>
        <v>товари</v>
      </c>
      <c r="B2036" s="16" t="str">
        <f>IFERROR(__xludf.DUMMYFUNCTION("""COMPUTED_VALUE"""),"краса та здоров'я")</f>
        <v>краса та здоров'я</v>
      </c>
      <c r="C2036" s="16" t="str">
        <f>IFERROR(__xludf.DUMMYFUNCTION("""COMPUTED_VALUE"""),"парфумерія")</f>
        <v>парфумерія</v>
      </c>
      <c r="D2036" s="16" t="str">
        <f>IFERROR(__xludf.DUMMYFUNCTION("""COMPUTED_VALUE"""),"наливна парфумерія")</f>
        <v>наливна парфумерія</v>
      </c>
      <c r="E2036" s="16" t="str">
        <f>IFERROR(__xludf.DUMMYFUNCTION("""COMPUTED_VALUE"""),"наливна парфумерія")</f>
        <v>наливна парфумерія</v>
      </c>
      <c r="F2036" s="17">
        <f>IFERROR(__xludf.DUMMYFUNCTION("""COMPUTED_VALUE"""),3.0)</f>
        <v>3</v>
      </c>
      <c r="G2036" s="17" t="str">
        <f>IFERROR(__xludf.DUMMYFUNCTION("""COMPUTED_VALUE"""),"161607")</f>
        <v>161607</v>
      </c>
      <c r="H2036" s="17" t="str">
        <f>IFERROR(__xludf.DUMMYFUNCTION("""COMPUTED_VALUE"""),"наливна парфумерія")</f>
        <v>наливна парфумерія</v>
      </c>
      <c r="I2036" s="19">
        <f>IFERROR(__xludf.DUMMYFUNCTION("""COMPUTED_VALUE"""),0.0757)</f>
        <v>0.0757</v>
      </c>
      <c r="J2036" s="19">
        <f>IFERROR(__xludf.DUMMYFUNCTION("""COMPUTED_VALUE"""),0.1513)</f>
        <v>0.1513</v>
      </c>
      <c r="K2036" s="19">
        <f>IFERROR(__xludf.DUMMYFUNCTION("""COMPUTED_VALUE"""),0.1891)</f>
        <v>0.1891</v>
      </c>
      <c r="L2036" s="19">
        <f>IFERROR(__xludf.DUMMYFUNCTION("""COMPUTED_VALUE"""),0.227)</f>
        <v>0.227</v>
      </c>
      <c r="M2036" s="18">
        <f>IFERROR(__xludf.DUMMYFUNCTION("""COMPUTED_VALUE"""),2.25)</f>
        <v>2.25</v>
      </c>
    </row>
    <row r="2037">
      <c r="A2037" s="13" t="str">
        <f>IFERROR(__xludf.DUMMYFUNCTION("""COMPUTED_VALUE"""),"товари")</f>
        <v>товари</v>
      </c>
      <c r="B2037" s="16" t="str">
        <f>IFERROR(__xludf.DUMMYFUNCTION("""COMPUTED_VALUE"""),"краса та здоров'я")</f>
        <v>краса та здоров'я</v>
      </c>
      <c r="C2037" s="16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2037" s="16" t="str">
        <f>IFERROR(__xludf.DUMMYFUNCTION("""COMPUTED_VALUE"""),"обладнання та матеріали для манікюру, педикюру, загальне")</f>
        <v>обладнання та матеріали для манікюру, педикюру, загальне</v>
      </c>
      <c r="E2037" s="16" t="str">
        <f>IFERROR(__xludf.DUMMYFUNCTION("""COMPUTED_VALUE"""),"обладнання та матеріали для манікюру, педикюру, загальне")</f>
        <v>обладнання та матеріали для манікюру, педикюру, загальне</v>
      </c>
      <c r="F2037" s="17">
        <f>IFERROR(__xludf.DUMMYFUNCTION("""COMPUTED_VALUE"""),3.0)</f>
        <v>3</v>
      </c>
      <c r="G2037" s="17" t="str">
        <f>IFERROR(__xludf.DUMMYFUNCTION("""COMPUTED_VALUE"""),"283022")</f>
        <v>283022</v>
      </c>
      <c r="H2037" s="17" t="str">
        <f>IFERROR(__xludf.DUMMYFUNCTION("""COMPUTED_VALUE"""),"обладнання та матеріали для манікюру, педикюру, загальне")</f>
        <v>обладнання та матеріали для манікюру, педикюру, загальне</v>
      </c>
      <c r="I2037" s="19">
        <f>IFERROR(__xludf.DUMMYFUNCTION("""COMPUTED_VALUE"""),0.125)</f>
        <v>0.125</v>
      </c>
      <c r="J2037" s="19">
        <f>IFERROR(__xludf.DUMMYFUNCTION("""COMPUTED_VALUE"""),0.25)</f>
        <v>0.25</v>
      </c>
      <c r="K2037" s="19">
        <f>IFERROR(__xludf.DUMMYFUNCTION("""COMPUTED_VALUE"""),0.3125)</f>
        <v>0.3125</v>
      </c>
      <c r="L2037" s="19">
        <f>IFERROR(__xludf.DUMMYFUNCTION("""COMPUTED_VALUE"""),0.375)</f>
        <v>0.375</v>
      </c>
      <c r="M2037" s="18">
        <f>IFERROR(__xludf.DUMMYFUNCTION("""COMPUTED_VALUE"""),4.33)</f>
        <v>4.33</v>
      </c>
    </row>
    <row r="2038">
      <c r="A2038" s="13" t="str">
        <f>IFERROR(__xludf.DUMMYFUNCTION("""COMPUTED_VALUE"""),"товари")</f>
        <v>товари</v>
      </c>
      <c r="B2038" s="16" t="str">
        <f>IFERROR(__xludf.DUMMYFUNCTION("""COMPUTED_VALUE"""),"краса та здоров'я")</f>
        <v>краса та здоров'я</v>
      </c>
      <c r="C2038" s="16" t="str">
        <f>IFERROR(__xludf.DUMMYFUNCTION("""COMPUTED_VALUE"""),"гігієнічні вироби та засоби")</f>
        <v>гігієнічні вироби та засоби</v>
      </c>
      <c r="D2038" s="16" t="str">
        <f>IFERROR(__xludf.DUMMYFUNCTION("""COMPUTED_VALUE"""),"паперово-гігієнічна продукція")</f>
        <v>паперово-гігієнічна продукція</v>
      </c>
      <c r="E2038" s="16" t="str">
        <f>IFERROR(__xludf.DUMMYFUNCTION("""COMPUTED_VALUE"""),"одноразові накладки на унітаз")</f>
        <v>одноразові накладки на унітаз</v>
      </c>
      <c r="F2038" s="17">
        <f>IFERROR(__xludf.DUMMYFUNCTION("""COMPUTED_VALUE"""),4.0)</f>
        <v>4</v>
      </c>
      <c r="G2038" s="17" t="str">
        <f>IFERROR(__xludf.DUMMYFUNCTION("""COMPUTED_VALUE"""),"15130902")</f>
        <v>15130902</v>
      </c>
      <c r="H2038" s="17" t="str">
        <f>IFERROR(__xludf.DUMMYFUNCTION("""COMPUTED_VALUE"""),"одноразові накладки на унітаз")</f>
        <v>одноразові накладки на унітаз</v>
      </c>
      <c r="I2038" s="19">
        <f>IFERROR(__xludf.DUMMYFUNCTION("""COMPUTED_VALUE"""),0.0617)</f>
        <v>0.0617</v>
      </c>
      <c r="J2038" s="19">
        <f>IFERROR(__xludf.DUMMYFUNCTION("""COMPUTED_VALUE"""),0.1234)</f>
        <v>0.1234</v>
      </c>
      <c r="K2038" s="19">
        <f>IFERROR(__xludf.DUMMYFUNCTION("""COMPUTED_VALUE"""),0.1543)</f>
        <v>0.1543</v>
      </c>
      <c r="L2038" s="19">
        <f>IFERROR(__xludf.DUMMYFUNCTION("""COMPUTED_VALUE"""),0.1851)</f>
        <v>0.1851</v>
      </c>
      <c r="M2038" s="18">
        <f>IFERROR(__xludf.DUMMYFUNCTION("""COMPUTED_VALUE"""),1.8)</f>
        <v>1.8</v>
      </c>
    </row>
    <row r="2039">
      <c r="A2039" s="13" t="str">
        <f>IFERROR(__xludf.DUMMYFUNCTION("""COMPUTED_VALUE"""),"товари")</f>
        <v>товари</v>
      </c>
      <c r="B2039" s="16" t="str">
        <f>IFERROR(__xludf.DUMMYFUNCTION("""COMPUTED_VALUE"""),"краса та здоров'я")</f>
        <v>краса та здоров'я</v>
      </c>
      <c r="C2039" s="16" t="str">
        <f>IFERROR(__xludf.DUMMYFUNCTION("""COMPUTED_VALUE"""),"товари для схуднення")</f>
        <v>товари для схуднення</v>
      </c>
      <c r="D2039" s="16" t="str">
        <f>IFERROR(__xludf.DUMMYFUNCTION("""COMPUTED_VALUE"""),"одяг для схуднення")</f>
        <v>одяг для схуднення</v>
      </c>
      <c r="E2039" s="16" t="str">
        <f>IFERROR(__xludf.DUMMYFUNCTION("""COMPUTED_VALUE"""),"одяг для схуднення")</f>
        <v>одяг для схуднення</v>
      </c>
      <c r="F2039" s="17">
        <f>IFERROR(__xludf.DUMMYFUNCTION("""COMPUTED_VALUE"""),3.0)</f>
        <v>3</v>
      </c>
      <c r="G2039" s="17" t="str">
        <f>IFERROR(__xludf.DUMMYFUNCTION("""COMPUTED_VALUE"""),"163402")</f>
        <v>163402</v>
      </c>
      <c r="H2039" s="17" t="str">
        <f>IFERROR(__xludf.DUMMYFUNCTION("""COMPUTED_VALUE"""),"одяг для схуднення")</f>
        <v>одяг для схуднення</v>
      </c>
      <c r="I2039" s="19">
        <f>IFERROR(__xludf.DUMMYFUNCTION("""COMPUTED_VALUE"""),0.0784)</f>
        <v>0.0784</v>
      </c>
      <c r="J2039" s="19">
        <f>IFERROR(__xludf.DUMMYFUNCTION("""COMPUTED_VALUE"""),0.1568)</f>
        <v>0.1568</v>
      </c>
      <c r="K2039" s="19">
        <f>IFERROR(__xludf.DUMMYFUNCTION("""COMPUTED_VALUE"""),0.196)</f>
        <v>0.196</v>
      </c>
      <c r="L2039" s="19">
        <f>IFERROR(__xludf.DUMMYFUNCTION("""COMPUTED_VALUE"""),0.2352)</f>
        <v>0.2352</v>
      </c>
      <c r="M2039" s="18">
        <f>IFERROR(__xludf.DUMMYFUNCTION("""COMPUTED_VALUE"""),2.34)</f>
        <v>2.34</v>
      </c>
    </row>
    <row r="2040">
      <c r="A2040" s="13" t="str">
        <f>IFERROR(__xludf.DUMMYFUNCTION("""COMPUTED_VALUE"""),"товари")</f>
        <v>товари</v>
      </c>
      <c r="B2040" s="16" t="str">
        <f>IFERROR(__xludf.DUMMYFUNCTION("""COMPUTED_VALUE"""),"краса та здоров'я")</f>
        <v>краса та здоров'я</v>
      </c>
      <c r="C2040" s="16" t="str">
        <f>IFERROR(__xludf.DUMMYFUNCTION("""COMPUTED_VALUE"""),"товари для здоров'я")</f>
        <v>товари для здоров'я</v>
      </c>
      <c r="D2040" s="16" t="str">
        <f>IFERROR(__xludf.DUMMYFUNCTION("""COMPUTED_VALUE"""),"оздоровчі товари з турмаліном і шунгитом")</f>
        <v>оздоровчі товари з турмаліном і шунгитом</v>
      </c>
      <c r="E2040" s="16" t="str">
        <f>IFERROR(__xludf.DUMMYFUNCTION("""COMPUTED_VALUE"""),"одяг і нижню білизну з турмаліном")</f>
        <v>одяг і нижню білизну з турмаліном</v>
      </c>
      <c r="F2040" s="17">
        <f>IFERROR(__xludf.DUMMYFUNCTION("""COMPUTED_VALUE"""),4.0)</f>
        <v>4</v>
      </c>
      <c r="G2040" s="17" t="str">
        <f>IFERROR(__xludf.DUMMYFUNCTION("""COMPUTED_VALUE"""),"163501")</f>
        <v>163501</v>
      </c>
      <c r="H2040" s="17" t="str">
        <f>IFERROR(__xludf.DUMMYFUNCTION("""COMPUTED_VALUE"""),"одяг і нижню білизну з турмаліном")</f>
        <v>одяг і нижню білизну з турмаліном</v>
      </c>
      <c r="I2040" s="19">
        <f>IFERROR(__xludf.DUMMYFUNCTION("""COMPUTED_VALUE"""),0.075)</f>
        <v>0.075</v>
      </c>
      <c r="J2040" s="19">
        <f>IFERROR(__xludf.DUMMYFUNCTION("""COMPUTED_VALUE"""),0.15)</f>
        <v>0.15</v>
      </c>
      <c r="K2040" s="19">
        <f>IFERROR(__xludf.DUMMYFUNCTION("""COMPUTED_VALUE"""),0.1875)</f>
        <v>0.1875</v>
      </c>
      <c r="L2040" s="19">
        <f>IFERROR(__xludf.DUMMYFUNCTION("""COMPUTED_VALUE"""),0.225)</f>
        <v>0.225</v>
      </c>
      <c r="M2040" s="18">
        <f>IFERROR(__xludf.DUMMYFUNCTION("""COMPUTED_VALUE"""),1.53)</f>
        <v>1.53</v>
      </c>
    </row>
    <row r="2041">
      <c r="A2041" s="13" t="str">
        <f>IFERROR(__xludf.DUMMYFUNCTION("""COMPUTED_VALUE"""),"товари")</f>
        <v>товари</v>
      </c>
      <c r="B2041" s="16" t="str">
        <f>IFERROR(__xludf.DUMMYFUNCTION("""COMPUTED_VALUE"""),"краса та здоров'я")</f>
        <v>краса та здоров'я</v>
      </c>
      <c r="C2041" s="16" t="str">
        <f>IFERROR(__xludf.DUMMYFUNCTION("""COMPUTED_VALUE"""),"косметика по догляду")</f>
        <v>косметика по догляду</v>
      </c>
      <c r="D2041" s="16" t="str">
        <f>IFERROR(__xludf.DUMMYFUNCTION("""COMPUTED_VALUE"""),"догляд за волоссям")</f>
        <v>догляд за волоссям</v>
      </c>
      <c r="E2041" s="16" t="str">
        <f>IFERROR(__xludf.DUMMYFUNCTION("""COMPUTED_VALUE"""),"окислювачі для фарбування волосся")</f>
        <v>окислювачі для фарбування волосся</v>
      </c>
      <c r="F2041" s="17">
        <f>IFERROR(__xludf.DUMMYFUNCTION("""COMPUTED_VALUE"""),4.0)</f>
        <v>4</v>
      </c>
      <c r="G2041" s="17" t="str">
        <f>IFERROR(__xludf.DUMMYFUNCTION("""COMPUTED_VALUE"""),"330719")</f>
        <v>330719</v>
      </c>
      <c r="H2041" s="17" t="str">
        <f>IFERROR(__xludf.DUMMYFUNCTION("""COMPUTED_VALUE"""),"окислювачі для фарбування волосся")</f>
        <v>окислювачі для фарбування волосся</v>
      </c>
      <c r="I2041" s="19">
        <f>IFERROR(__xludf.DUMMYFUNCTION("""COMPUTED_VALUE"""),0.0644)</f>
        <v>0.0644</v>
      </c>
      <c r="J2041" s="19">
        <f>IFERROR(__xludf.DUMMYFUNCTION("""COMPUTED_VALUE"""),0.1288)</f>
        <v>0.1288</v>
      </c>
      <c r="K2041" s="19">
        <f>IFERROR(__xludf.DUMMYFUNCTION("""COMPUTED_VALUE"""),0.161)</f>
        <v>0.161</v>
      </c>
      <c r="L2041" s="19">
        <f>IFERROR(__xludf.DUMMYFUNCTION("""COMPUTED_VALUE"""),0.1932)</f>
        <v>0.1932</v>
      </c>
      <c r="M2041" s="18">
        <f>IFERROR(__xludf.DUMMYFUNCTION("""COMPUTED_VALUE"""),1.63)</f>
        <v>1.63</v>
      </c>
    </row>
    <row r="2042">
      <c r="A2042" s="13" t="str">
        <f>IFERROR(__xludf.DUMMYFUNCTION("""COMPUTED_VALUE"""),"товари")</f>
        <v>товари</v>
      </c>
      <c r="B2042" s="16" t="str">
        <f>IFERROR(__xludf.DUMMYFUNCTION("""COMPUTED_VALUE"""),"краса та здоров'я")</f>
        <v>краса та здоров'я</v>
      </c>
      <c r="C2042" s="16" t="str">
        <f>IFERROR(__xludf.DUMMYFUNCTION("""COMPUTED_VALUE"""),"оптика для зору")</f>
        <v>оптика для зору</v>
      </c>
      <c r="D2042" s="16" t="str">
        <f>IFERROR(__xludf.DUMMYFUNCTION("""COMPUTED_VALUE"""),"окуляри для корекції зору")</f>
        <v>окуляри для корекції зору</v>
      </c>
      <c r="E2042" s="16" t="str">
        <f>IFERROR(__xludf.DUMMYFUNCTION("""COMPUTED_VALUE"""),"окуляри для корекції зору")</f>
        <v>окуляри для корекції зору</v>
      </c>
      <c r="F2042" s="17">
        <f>IFERROR(__xludf.DUMMYFUNCTION("""COMPUTED_VALUE"""),3.0)</f>
        <v>3</v>
      </c>
      <c r="G2042" s="17" t="str">
        <f>IFERROR(__xludf.DUMMYFUNCTION("""COMPUTED_VALUE"""),"361220")</f>
        <v>361220</v>
      </c>
      <c r="H2042" s="17" t="str">
        <f>IFERROR(__xludf.DUMMYFUNCTION("""COMPUTED_VALUE"""),"окуляри для корекції зору")</f>
        <v>окуляри для корекції зору</v>
      </c>
      <c r="I2042" s="19">
        <f>IFERROR(__xludf.DUMMYFUNCTION("""COMPUTED_VALUE"""),0.0814)</f>
        <v>0.0814</v>
      </c>
      <c r="J2042" s="19">
        <f>IFERROR(__xludf.DUMMYFUNCTION("""COMPUTED_VALUE"""),0.1627)</f>
        <v>0.1627</v>
      </c>
      <c r="K2042" s="19">
        <f>IFERROR(__xludf.DUMMYFUNCTION("""COMPUTED_VALUE"""),0.2034)</f>
        <v>0.2034</v>
      </c>
      <c r="L2042" s="19">
        <f>IFERROR(__xludf.DUMMYFUNCTION("""COMPUTED_VALUE"""),0.2441)</f>
        <v>0.2441</v>
      </c>
      <c r="M2042" s="18">
        <f>IFERROR(__xludf.DUMMYFUNCTION("""COMPUTED_VALUE"""),1.98)</f>
        <v>1.98</v>
      </c>
    </row>
    <row r="2043">
      <c r="A2043" s="13" t="str">
        <f>IFERROR(__xludf.DUMMYFUNCTION("""COMPUTED_VALUE"""),"товари")</f>
        <v>товари</v>
      </c>
      <c r="B2043" s="16" t="str">
        <f>IFERROR(__xludf.DUMMYFUNCTION("""COMPUTED_VALUE"""),"краса та здоров'я")</f>
        <v>краса та здоров'я</v>
      </c>
      <c r="C2043" s="16" t="str">
        <f>IFERROR(__xludf.DUMMYFUNCTION("""COMPUTED_VALUE"""),"декоративна косметика")</f>
        <v>декоративна косметика</v>
      </c>
      <c r="D2043" s="16" t="str">
        <f>IFERROR(__xludf.DUMMYFUNCTION("""COMPUTED_VALUE"""),"макіяж губ")</f>
        <v>макіяж губ</v>
      </c>
      <c r="E2043" s="16" t="str">
        <f>IFERROR(__xludf.DUMMYFUNCTION("""COMPUTED_VALUE"""),"олівці для губ")</f>
        <v>олівці для губ</v>
      </c>
      <c r="F2043" s="17">
        <f>IFERROR(__xludf.DUMMYFUNCTION("""COMPUTED_VALUE"""),4.0)</f>
        <v>4</v>
      </c>
      <c r="G2043" s="17" t="str">
        <f>IFERROR(__xludf.DUMMYFUNCTION("""COMPUTED_VALUE"""),"8210128")</f>
        <v>8210128</v>
      </c>
      <c r="H2043" s="17" t="str">
        <f>IFERROR(__xludf.DUMMYFUNCTION("""COMPUTED_VALUE"""),"олівці для губ")</f>
        <v>олівці для губ</v>
      </c>
      <c r="I2043" s="19">
        <f>IFERROR(__xludf.DUMMYFUNCTION("""COMPUTED_VALUE"""),0.0679)</f>
        <v>0.0679</v>
      </c>
      <c r="J2043" s="19">
        <f>IFERROR(__xludf.DUMMYFUNCTION("""COMPUTED_VALUE"""),0.1357)</f>
        <v>0.1357</v>
      </c>
      <c r="K2043" s="19">
        <f>IFERROR(__xludf.DUMMYFUNCTION("""COMPUTED_VALUE"""),0.1696)</f>
        <v>0.1696</v>
      </c>
      <c r="L2043" s="19">
        <f>IFERROR(__xludf.DUMMYFUNCTION("""COMPUTED_VALUE"""),0.2036)</f>
        <v>0.2036</v>
      </c>
      <c r="M2043" s="18">
        <f>IFERROR(__xludf.DUMMYFUNCTION("""COMPUTED_VALUE"""),1.71)</f>
        <v>1.71</v>
      </c>
    </row>
    <row r="2044">
      <c r="A2044" s="13" t="str">
        <f>IFERROR(__xludf.DUMMYFUNCTION("""COMPUTED_VALUE"""),"товари")</f>
        <v>товари</v>
      </c>
      <c r="B2044" s="16" t="str">
        <f>IFERROR(__xludf.DUMMYFUNCTION("""COMPUTED_VALUE"""),"краса та здоров'я")</f>
        <v>краса та здоров'я</v>
      </c>
      <c r="C2044" s="16" t="str">
        <f>IFERROR(__xludf.DUMMYFUNCTION("""COMPUTED_VALUE"""),"декоративна косметика")</f>
        <v>декоративна косметика</v>
      </c>
      <c r="D2044" s="16" t="str">
        <f>IFERROR(__xludf.DUMMYFUNCTION("""COMPUTED_VALUE"""),"макіяж очей")</f>
        <v>макіяж очей</v>
      </c>
      <c r="E2044" s="16" t="str">
        <f>IFERROR(__xludf.DUMMYFUNCTION("""COMPUTED_VALUE"""),"олівці для очей")</f>
        <v>олівці для очей</v>
      </c>
      <c r="F2044" s="17">
        <f>IFERROR(__xludf.DUMMYFUNCTION("""COMPUTED_VALUE"""),4.0)</f>
        <v>4</v>
      </c>
      <c r="G2044" s="17" t="str">
        <f>IFERROR(__xludf.DUMMYFUNCTION("""COMPUTED_VALUE"""),"8210103")</f>
        <v>8210103</v>
      </c>
      <c r="H2044" s="17" t="str">
        <f>IFERROR(__xludf.DUMMYFUNCTION("""COMPUTED_VALUE"""),"олівці для очей")</f>
        <v>олівці для очей</v>
      </c>
      <c r="I2044" s="19">
        <f>IFERROR(__xludf.DUMMYFUNCTION("""COMPUTED_VALUE"""),0.0664)</f>
        <v>0.0664</v>
      </c>
      <c r="J2044" s="19">
        <f>IFERROR(__xludf.DUMMYFUNCTION("""COMPUTED_VALUE"""),0.1327)</f>
        <v>0.1327</v>
      </c>
      <c r="K2044" s="19">
        <f>IFERROR(__xludf.DUMMYFUNCTION("""COMPUTED_VALUE"""),0.1659)</f>
        <v>0.1659</v>
      </c>
      <c r="L2044" s="19">
        <f>IFERROR(__xludf.DUMMYFUNCTION("""COMPUTED_VALUE"""),0.1991)</f>
        <v>0.1991</v>
      </c>
      <c r="M2044" s="18">
        <f>IFERROR(__xludf.DUMMYFUNCTION("""COMPUTED_VALUE"""),1.71)</f>
        <v>1.71</v>
      </c>
    </row>
    <row r="2045">
      <c r="A2045" s="13" t="str">
        <f>IFERROR(__xludf.DUMMYFUNCTION("""COMPUTED_VALUE"""),"товари")</f>
        <v>товари</v>
      </c>
      <c r="B2045" s="16" t="str">
        <f>IFERROR(__xludf.DUMMYFUNCTION("""COMPUTED_VALUE"""),"краса та здоров'я")</f>
        <v>краса та здоров'я</v>
      </c>
      <c r="C2045" s="16" t="str">
        <f>IFERROR(__xludf.DUMMYFUNCTION("""COMPUTED_VALUE"""),"декоративна косметика")</f>
        <v>декоративна косметика</v>
      </c>
      <c r="D2045" s="16" t="str">
        <f>IFERROR(__xludf.DUMMYFUNCTION("""COMPUTED_VALUE"""),"макіяж брів")</f>
        <v>макіяж брів</v>
      </c>
      <c r="E2045" s="16" t="str">
        <f>IFERROR(__xludf.DUMMYFUNCTION("""COMPUTED_VALUE"""),"олівці, тіні, туші для брів")</f>
        <v>олівці, тіні, туші для брів</v>
      </c>
      <c r="F2045" s="17">
        <f>IFERROR(__xludf.DUMMYFUNCTION("""COMPUTED_VALUE"""),4.0)</f>
        <v>4</v>
      </c>
      <c r="G2045" s="17" t="str">
        <f>IFERROR(__xludf.DUMMYFUNCTION("""COMPUTED_VALUE"""),"8210127")</f>
        <v>8210127</v>
      </c>
      <c r="H2045" s="17" t="str">
        <f>IFERROR(__xludf.DUMMYFUNCTION("""COMPUTED_VALUE"""),"олівці, тіні, туші для брів")</f>
        <v>олівці, тіні, туші для брів</v>
      </c>
      <c r="I2045" s="19">
        <f>IFERROR(__xludf.DUMMYFUNCTION("""COMPUTED_VALUE"""),0.0679)</f>
        <v>0.0679</v>
      </c>
      <c r="J2045" s="19">
        <f>IFERROR(__xludf.DUMMYFUNCTION("""COMPUTED_VALUE"""),0.1357)</f>
        <v>0.1357</v>
      </c>
      <c r="K2045" s="19">
        <f>IFERROR(__xludf.DUMMYFUNCTION("""COMPUTED_VALUE"""),0.1696)</f>
        <v>0.1696</v>
      </c>
      <c r="L2045" s="19">
        <f>IFERROR(__xludf.DUMMYFUNCTION("""COMPUTED_VALUE"""),0.2036)</f>
        <v>0.2036</v>
      </c>
      <c r="M2045" s="18">
        <f>IFERROR(__xludf.DUMMYFUNCTION("""COMPUTED_VALUE"""),2.53)</f>
        <v>2.53</v>
      </c>
    </row>
    <row r="2046">
      <c r="A2046" s="13" t="str">
        <f>IFERROR(__xludf.DUMMYFUNCTION("""COMPUTED_VALUE"""),"товари")</f>
        <v>товари</v>
      </c>
      <c r="B2046" s="16" t="str">
        <f>IFERROR(__xludf.DUMMYFUNCTION("""COMPUTED_VALUE"""),"краса та здоров'я")</f>
        <v>краса та здоров'я</v>
      </c>
      <c r="C2046" s="16" t="str">
        <f>IFERROR(__xludf.DUMMYFUNCTION("""COMPUTED_VALUE"""),"гігієнічні вироби та засоби")</f>
        <v>гігієнічні вироби та засоби</v>
      </c>
      <c r="D2046" s="16" t="str">
        <f>IFERROR(__xludf.DUMMYFUNCTION("""COMPUTED_VALUE"""),"засоби для гігієни порожнини рота")</f>
        <v>засоби для гігієни порожнини рота</v>
      </c>
      <c r="E2046" s="16" t="str">
        <f>IFERROR(__xludf.DUMMYFUNCTION("""COMPUTED_VALUE"""),"ополіскувачі для порожнини рота")</f>
        <v>ополіскувачі для порожнини рота</v>
      </c>
      <c r="F2046" s="17">
        <f>IFERROR(__xludf.DUMMYFUNCTION("""COMPUTED_VALUE"""),4.0)</f>
        <v>4</v>
      </c>
      <c r="G2046" s="17" t="str">
        <f>IFERROR(__xludf.DUMMYFUNCTION("""COMPUTED_VALUE"""),"330501")</f>
        <v>330501</v>
      </c>
      <c r="H2046" s="17" t="str">
        <f>IFERROR(__xludf.DUMMYFUNCTION("""COMPUTED_VALUE"""),"ополіскувачі для порожнини рота")</f>
        <v>ополіскувачі для порожнини рота</v>
      </c>
      <c r="I2046" s="19">
        <f>IFERROR(__xludf.DUMMYFUNCTION("""COMPUTED_VALUE"""),0.0633)</f>
        <v>0.0633</v>
      </c>
      <c r="J2046" s="19">
        <f>IFERROR(__xludf.DUMMYFUNCTION("""COMPUTED_VALUE"""),0.1265)</f>
        <v>0.1265</v>
      </c>
      <c r="K2046" s="19">
        <f>IFERROR(__xludf.DUMMYFUNCTION("""COMPUTED_VALUE"""),0.1581)</f>
        <v>0.1581</v>
      </c>
      <c r="L2046" s="19">
        <f>IFERROR(__xludf.DUMMYFUNCTION("""COMPUTED_VALUE"""),0.1898)</f>
        <v>0.1898</v>
      </c>
      <c r="M2046" s="18">
        <f>IFERROR(__xludf.DUMMYFUNCTION("""COMPUTED_VALUE"""),1.8)</f>
        <v>1.8</v>
      </c>
    </row>
    <row r="2047">
      <c r="A2047" s="13" t="str">
        <f>IFERROR(__xludf.DUMMYFUNCTION("""COMPUTED_VALUE"""),"товари")</f>
        <v>товари</v>
      </c>
      <c r="B2047" s="16" t="str">
        <f>IFERROR(__xludf.DUMMYFUNCTION("""COMPUTED_VALUE"""),"краса та здоров'я")</f>
        <v>краса та здоров'я</v>
      </c>
      <c r="C2047" s="16" t="str">
        <f>IFERROR(__xludf.DUMMYFUNCTION("""COMPUTED_VALUE"""),"оптика для зору")</f>
        <v>оптика для зору</v>
      </c>
      <c r="D2047" s="16" t="str">
        <f>IFERROR(__xludf.DUMMYFUNCTION("""COMPUTED_VALUE"""),"комплектуючі для окулярів")</f>
        <v>комплектуючі для окулярів</v>
      </c>
      <c r="E2047" s="16" t="str">
        <f>IFERROR(__xludf.DUMMYFUNCTION("""COMPUTED_VALUE"""),"оправи для окулярів")</f>
        <v>оправи для окулярів</v>
      </c>
      <c r="F2047" s="17">
        <f>IFERROR(__xludf.DUMMYFUNCTION("""COMPUTED_VALUE"""),4.0)</f>
        <v>4</v>
      </c>
      <c r="G2047" s="17" t="str">
        <f>IFERROR(__xludf.DUMMYFUNCTION("""COMPUTED_VALUE"""),"361250")</f>
        <v>361250</v>
      </c>
      <c r="H2047" s="17" t="str">
        <f>IFERROR(__xludf.DUMMYFUNCTION("""COMPUTED_VALUE"""),"оправи для окулярів")</f>
        <v>оправи для окулярів</v>
      </c>
      <c r="I2047" s="19">
        <f>IFERROR(__xludf.DUMMYFUNCTION("""COMPUTED_VALUE"""),0.0725)</f>
        <v>0.0725</v>
      </c>
      <c r="J2047" s="19">
        <f>IFERROR(__xludf.DUMMYFUNCTION("""COMPUTED_VALUE"""),0.145)</f>
        <v>0.145</v>
      </c>
      <c r="K2047" s="19">
        <f>IFERROR(__xludf.DUMMYFUNCTION("""COMPUTED_VALUE"""),0.1813)</f>
        <v>0.1813</v>
      </c>
      <c r="L2047" s="19">
        <f>IFERROR(__xludf.DUMMYFUNCTION("""COMPUTED_VALUE"""),0.2175)</f>
        <v>0.2175</v>
      </c>
      <c r="M2047" s="18">
        <f>IFERROR(__xludf.DUMMYFUNCTION("""COMPUTED_VALUE"""),1.8)</f>
        <v>1.8</v>
      </c>
    </row>
    <row r="2048">
      <c r="A2048" s="13" t="str">
        <f>IFERROR(__xludf.DUMMYFUNCTION("""COMPUTED_VALUE"""),"товари")</f>
        <v>товари</v>
      </c>
      <c r="B2048" s="16" t="str">
        <f>IFERROR(__xludf.DUMMYFUNCTION("""COMPUTED_VALUE"""),"краса та здоров'я")</f>
        <v>краса та здоров'я</v>
      </c>
      <c r="C2048" s="16" t="str">
        <f>IFERROR(__xludf.DUMMYFUNCTION("""COMPUTED_VALUE"""),"оптика для зору")</f>
        <v>оптика для зору</v>
      </c>
      <c r="D2048" s="16" t="str">
        <f>IFERROR(__xludf.DUMMYFUNCTION("""COMPUTED_VALUE"""),"оптика для корекції і захисту зору, загальне")</f>
        <v>оптика для корекції і захисту зору, загальне</v>
      </c>
      <c r="E2048" s="16" t="str">
        <f>IFERROR(__xludf.DUMMYFUNCTION("""COMPUTED_VALUE"""),"оптика для корекції і захисту зору, загальне")</f>
        <v>оптика для корекції і захисту зору, загальне</v>
      </c>
      <c r="F2048" s="17">
        <f>IFERROR(__xludf.DUMMYFUNCTION("""COMPUTED_VALUE"""),3.0)</f>
        <v>3</v>
      </c>
      <c r="G2048" s="17" t="str">
        <f>IFERROR(__xludf.DUMMYFUNCTION("""COMPUTED_VALUE"""),"162302")</f>
        <v>162302</v>
      </c>
      <c r="H2048" s="17" t="str">
        <f>IFERROR(__xludf.DUMMYFUNCTION("""COMPUTED_VALUE"""),"оптика для корекції і захисту зору, загальне")</f>
        <v>оптика для корекції і захисту зору, загальне</v>
      </c>
      <c r="I2048" s="19">
        <f>IFERROR(__xludf.DUMMYFUNCTION("""COMPUTED_VALUE"""),0.125)</f>
        <v>0.125</v>
      </c>
      <c r="J2048" s="19">
        <f>IFERROR(__xludf.DUMMYFUNCTION("""COMPUTED_VALUE"""),0.25)</f>
        <v>0.25</v>
      </c>
      <c r="K2048" s="19">
        <f>IFERROR(__xludf.DUMMYFUNCTION("""COMPUTED_VALUE"""),0.3125)</f>
        <v>0.3125</v>
      </c>
      <c r="L2048" s="19">
        <f>IFERROR(__xludf.DUMMYFUNCTION("""COMPUTED_VALUE"""),0.375)</f>
        <v>0.375</v>
      </c>
      <c r="M2048" s="18">
        <f>IFERROR(__xludf.DUMMYFUNCTION("""COMPUTED_VALUE"""),4.33)</f>
        <v>4.33</v>
      </c>
    </row>
    <row r="2049">
      <c r="A2049" s="13" t="str">
        <f>IFERROR(__xludf.DUMMYFUNCTION("""COMPUTED_VALUE"""),"товари")</f>
        <v>товари</v>
      </c>
      <c r="B2049" s="16" t="str">
        <f>IFERROR(__xludf.DUMMYFUNCTION("""COMPUTED_VALUE"""),"краса та здоров'я")</f>
        <v>краса та здоров'я</v>
      </c>
      <c r="C2049" s="16" t="str">
        <f>IFERROR(__xludf.DUMMYFUNCTION("""COMPUTED_VALUE"""),"товари для здоров'я")</f>
        <v>товари для здоров'я</v>
      </c>
      <c r="D2049" s="16" t="str">
        <f>IFERROR(__xludf.DUMMYFUNCTION("""COMPUTED_VALUE"""),"оздоровчі товари з турмаліном і шунгитом")</f>
        <v>оздоровчі товари з турмаліном і шунгитом</v>
      </c>
      <c r="E2049" s="16" t="str">
        <f>IFERROR(__xludf.DUMMYFUNCTION("""COMPUTED_VALUE"""),"ортопедичні товари з турмаліном і шунгитом")</f>
        <v>ортопедичні товари з турмаліном і шунгитом</v>
      </c>
      <c r="F2049" s="17">
        <f>IFERROR(__xludf.DUMMYFUNCTION("""COMPUTED_VALUE"""),4.0)</f>
        <v>4</v>
      </c>
      <c r="G2049" s="17" t="str">
        <f>IFERROR(__xludf.DUMMYFUNCTION("""COMPUTED_VALUE"""),"163503")</f>
        <v>163503</v>
      </c>
      <c r="H2049" s="17" t="str">
        <f>IFERROR(__xludf.DUMMYFUNCTION("""COMPUTED_VALUE"""),"ортопедичні товари з турмаліном і шунгитом")</f>
        <v>ортопедичні товари з турмаліном і шунгитом</v>
      </c>
      <c r="I2049" s="19">
        <f>IFERROR(__xludf.DUMMYFUNCTION("""COMPUTED_VALUE"""),0.075)</f>
        <v>0.075</v>
      </c>
      <c r="J2049" s="19">
        <f>IFERROR(__xludf.DUMMYFUNCTION("""COMPUTED_VALUE"""),0.15)</f>
        <v>0.15</v>
      </c>
      <c r="K2049" s="19">
        <f>IFERROR(__xludf.DUMMYFUNCTION("""COMPUTED_VALUE"""),0.1875)</f>
        <v>0.1875</v>
      </c>
      <c r="L2049" s="19">
        <f>IFERROR(__xludf.DUMMYFUNCTION("""COMPUTED_VALUE"""),0.225)</f>
        <v>0.225</v>
      </c>
      <c r="M2049" s="18">
        <f>IFERROR(__xludf.DUMMYFUNCTION("""COMPUTED_VALUE"""),1.53)</f>
        <v>1.53</v>
      </c>
    </row>
    <row r="2050">
      <c r="A2050" s="13" t="str">
        <f>IFERROR(__xludf.DUMMYFUNCTION("""COMPUTED_VALUE"""),"товари")</f>
        <v>товари</v>
      </c>
      <c r="B2050" s="16" t="str">
        <f>IFERROR(__xludf.DUMMYFUNCTION("""COMPUTED_VALUE"""),"краса та здоров'я")</f>
        <v>краса та здоров'я</v>
      </c>
      <c r="C2050" s="16" t="str">
        <f>IFERROR(__xludf.DUMMYFUNCTION("""COMPUTED_VALUE"""),"гігієнічні вироби та засоби")</f>
        <v>гігієнічні вироби та засоби</v>
      </c>
      <c r="D2050" s="16" t="str">
        <f>IFERROR(__xludf.DUMMYFUNCTION("""COMPUTED_VALUE"""),"засоби для гігієни порожнини рота")</f>
        <v>засоби для гігієни порожнини рота</v>
      </c>
      <c r="E2050" s="16" t="str">
        <f>IFERROR(__xludf.DUMMYFUNCTION("""COMPUTED_VALUE"""),"освіжувачі дихання")</f>
        <v>освіжувачі дихання</v>
      </c>
      <c r="F2050" s="17">
        <f>IFERROR(__xludf.DUMMYFUNCTION("""COMPUTED_VALUE"""),4.0)</f>
        <v>4</v>
      </c>
      <c r="G2050" s="17" t="str">
        <f>IFERROR(__xludf.DUMMYFUNCTION("""COMPUTED_VALUE"""),"330504")</f>
        <v>330504</v>
      </c>
      <c r="H2050" s="17" t="str">
        <f>IFERROR(__xludf.DUMMYFUNCTION("""COMPUTED_VALUE"""),"освіжувачі дихання")</f>
        <v>освіжувачі дихання</v>
      </c>
      <c r="I2050" s="19">
        <f>IFERROR(__xludf.DUMMYFUNCTION("""COMPUTED_VALUE"""),0.0633)</f>
        <v>0.0633</v>
      </c>
      <c r="J2050" s="19">
        <f>IFERROR(__xludf.DUMMYFUNCTION("""COMPUTED_VALUE"""),0.1265)</f>
        <v>0.1265</v>
      </c>
      <c r="K2050" s="19">
        <f>IFERROR(__xludf.DUMMYFUNCTION("""COMPUTED_VALUE"""),0.1581)</f>
        <v>0.1581</v>
      </c>
      <c r="L2050" s="19">
        <f>IFERROR(__xludf.DUMMYFUNCTION("""COMPUTED_VALUE"""),0.1898)</f>
        <v>0.1898</v>
      </c>
      <c r="M2050" s="18">
        <f>IFERROR(__xludf.DUMMYFUNCTION("""COMPUTED_VALUE"""),1.8)</f>
        <v>1.8</v>
      </c>
    </row>
    <row r="2051">
      <c r="A2051" s="13" t="str">
        <f>IFERROR(__xludf.DUMMYFUNCTION("""COMPUTED_VALUE"""),"товари")</f>
        <v>товари</v>
      </c>
      <c r="B2051" s="16" t="str">
        <f>IFERROR(__xludf.DUMMYFUNCTION("""COMPUTED_VALUE"""),"краса та здоров'я")</f>
        <v>краса та здоров'я</v>
      </c>
      <c r="C2051" s="16" t="str">
        <f>IFERROR(__xludf.DUMMYFUNCTION("""COMPUTED_VALUE"""),"декоративна косметика")</f>
        <v>декоративна косметика</v>
      </c>
      <c r="D2051" s="16" t="str">
        <f>IFERROR(__xludf.DUMMYFUNCTION("""COMPUTED_VALUE"""),"макіяж обличчя")</f>
        <v>макіяж обличчя</v>
      </c>
      <c r="E2051" s="16" t="str">
        <f>IFERROR(__xludf.DUMMYFUNCTION("""COMPUTED_VALUE"""),"основа під макіяж")</f>
        <v>основа під макіяж</v>
      </c>
      <c r="F2051" s="17">
        <f>IFERROR(__xludf.DUMMYFUNCTION("""COMPUTED_VALUE"""),4.0)</f>
        <v>4</v>
      </c>
      <c r="G2051" s="17" t="str">
        <f>IFERROR(__xludf.DUMMYFUNCTION("""COMPUTED_VALUE"""),"8210110")</f>
        <v>8210110</v>
      </c>
      <c r="H2051" s="17" t="str">
        <f>IFERROR(__xludf.DUMMYFUNCTION("""COMPUTED_VALUE"""),"основа під макіяж")</f>
        <v>основа під макіяж</v>
      </c>
      <c r="I2051" s="19">
        <f>IFERROR(__xludf.DUMMYFUNCTION("""COMPUTED_VALUE"""),0.0675)</f>
        <v>0.0675</v>
      </c>
      <c r="J2051" s="19">
        <f>IFERROR(__xludf.DUMMYFUNCTION("""COMPUTED_VALUE"""),0.135)</f>
        <v>0.135</v>
      </c>
      <c r="K2051" s="19">
        <f>IFERROR(__xludf.DUMMYFUNCTION("""COMPUTED_VALUE"""),0.1688)</f>
        <v>0.1688</v>
      </c>
      <c r="L2051" s="19">
        <f>IFERROR(__xludf.DUMMYFUNCTION("""COMPUTED_VALUE"""),0.2025)</f>
        <v>0.2025</v>
      </c>
      <c r="M2051" s="18">
        <f>IFERROR(__xludf.DUMMYFUNCTION("""COMPUTED_VALUE"""),1.05)</f>
        <v>1.05</v>
      </c>
    </row>
    <row r="2052">
      <c r="A2052" s="13" t="str">
        <f>IFERROR(__xludf.DUMMYFUNCTION("""COMPUTED_VALUE"""),"товари")</f>
        <v>товари</v>
      </c>
      <c r="B2052" s="16" t="str">
        <f>IFERROR(__xludf.DUMMYFUNCTION("""COMPUTED_VALUE"""),"краса та здоров'я")</f>
        <v>краса та здоров'я</v>
      </c>
      <c r="C2052" s="16" t="str">
        <f>IFERROR(__xludf.DUMMYFUNCTION("""COMPUTED_VALUE"""),"все для манікюру і педикюру")</f>
        <v>все для манікюру і педикюру</v>
      </c>
      <c r="D2052" s="16" t="str">
        <f>IFERROR(__xludf.DUMMYFUNCTION("""COMPUTED_VALUE"""),"основи, закріплювачі та сушки для лаку")</f>
        <v>основи, закріплювачі та сушки для лаку</v>
      </c>
      <c r="E2052" s="16" t="str">
        <f>IFERROR(__xludf.DUMMYFUNCTION("""COMPUTED_VALUE"""),"основи, закріплювачі та сушки для лаку")</f>
        <v>основи, закріплювачі та сушки для лаку</v>
      </c>
      <c r="F2052" s="17">
        <f>IFERROR(__xludf.DUMMYFUNCTION("""COMPUTED_VALUE"""),3.0)</f>
        <v>3</v>
      </c>
      <c r="G2052" s="17" t="str">
        <f>IFERROR(__xludf.DUMMYFUNCTION("""COMPUTED_VALUE"""),"161811")</f>
        <v>161811</v>
      </c>
      <c r="H2052" s="17" t="str">
        <f>IFERROR(__xludf.DUMMYFUNCTION("""COMPUTED_VALUE"""),"основи, закріплювачі та сушки для лаку")</f>
        <v>основи, закріплювачі та сушки для лаку</v>
      </c>
      <c r="I2052" s="19">
        <f>IFERROR(__xludf.DUMMYFUNCTION("""COMPUTED_VALUE"""),0.0721)</f>
        <v>0.0721</v>
      </c>
      <c r="J2052" s="19">
        <f>IFERROR(__xludf.DUMMYFUNCTION("""COMPUTED_VALUE"""),0.1442)</f>
        <v>0.1442</v>
      </c>
      <c r="K2052" s="19">
        <f>IFERROR(__xludf.DUMMYFUNCTION("""COMPUTED_VALUE"""),0.1803)</f>
        <v>0.1803</v>
      </c>
      <c r="L2052" s="19">
        <f>IFERROR(__xludf.DUMMYFUNCTION("""COMPUTED_VALUE"""),0.2163)</f>
        <v>0.2163</v>
      </c>
      <c r="M2052" s="18">
        <f>IFERROR(__xludf.DUMMYFUNCTION("""COMPUTED_VALUE"""),1.8)</f>
        <v>1.8</v>
      </c>
    </row>
    <row r="2053">
      <c r="A2053" s="13" t="str">
        <f>IFERROR(__xludf.DUMMYFUNCTION("""COMPUTED_VALUE"""),"товари")</f>
        <v>товари</v>
      </c>
      <c r="B2053" s="16" t="str">
        <f>IFERROR(__xludf.DUMMYFUNCTION("""COMPUTED_VALUE"""),"краса та здоров'я")</f>
        <v>краса та здоров'я</v>
      </c>
      <c r="C2053" s="16" t="str">
        <f>IFERROR(__xludf.DUMMYFUNCTION("""COMPUTED_VALUE"""),"товари для здоров'я")</f>
        <v>товари для здоров'я</v>
      </c>
      <c r="D2053" s="16" t="str">
        <f>IFERROR(__xludf.DUMMYFUNCTION("""COMPUTED_VALUE"""),"домашня медична техніка")</f>
        <v>домашня медична техніка</v>
      </c>
      <c r="E2053" s="16" t="str">
        <f>IFERROR(__xludf.DUMMYFUNCTION("""COMPUTED_VALUE"""),"осрібнювач води")</f>
        <v>осрібнювач води</v>
      </c>
      <c r="F2053" s="17">
        <f>IFERROR(__xludf.DUMMYFUNCTION("""COMPUTED_VALUE"""),4.0)</f>
        <v>4</v>
      </c>
      <c r="G2053" s="17" t="str">
        <f>IFERROR(__xludf.DUMMYFUNCTION("""COMPUTED_VALUE"""),"162536")</f>
        <v>162536</v>
      </c>
      <c r="H2053" s="17" t="str">
        <f>IFERROR(__xludf.DUMMYFUNCTION("""COMPUTED_VALUE"""),"осрібнювач води")</f>
        <v>осрібнювач води</v>
      </c>
      <c r="I2053" s="19">
        <f>IFERROR(__xludf.DUMMYFUNCTION("""COMPUTED_VALUE"""),0.0694)</f>
        <v>0.0694</v>
      </c>
      <c r="J2053" s="19">
        <f>IFERROR(__xludf.DUMMYFUNCTION("""COMPUTED_VALUE"""),0.1388)</f>
        <v>0.1388</v>
      </c>
      <c r="K2053" s="19">
        <f>IFERROR(__xludf.DUMMYFUNCTION("""COMPUTED_VALUE"""),0.1735)</f>
        <v>0.1735</v>
      </c>
      <c r="L2053" s="19">
        <f>IFERROR(__xludf.DUMMYFUNCTION("""COMPUTED_VALUE"""),0.2082)</f>
        <v>0.2082</v>
      </c>
      <c r="M2053" s="18">
        <f>IFERROR(__xludf.DUMMYFUNCTION("""COMPUTED_VALUE"""),1.53)</f>
        <v>1.53</v>
      </c>
    </row>
    <row r="2054">
      <c r="A2054" s="13" t="str">
        <f>IFERROR(__xludf.DUMMYFUNCTION("""COMPUTED_VALUE"""),"товари")</f>
        <v>товари</v>
      </c>
      <c r="B2054" s="16" t="str">
        <f>IFERROR(__xludf.DUMMYFUNCTION("""COMPUTED_VALUE"""),"краса та здоров'я")</f>
        <v>краса та здоров'я</v>
      </c>
      <c r="C2054" s="16" t="str">
        <f>IFERROR(__xludf.DUMMYFUNCTION("""COMPUTED_VALUE"""),"оптика для зору")</f>
        <v>оптика для зору</v>
      </c>
      <c r="D2054" s="16" t="str">
        <f>IFERROR(__xludf.DUMMYFUNCTION("""COMPUTED_VALUE""")," очні пластирі, окклюдери")</f>
        <v> очні пластирі, окклюдери</v>
      </c>
      <c r="E2054" s="16" t="str">
        <f>IFERROR(__xludf.DUMMYFUNCTION("""COMPUTED_VALUE""")," очні пластирі, окклюдери")</f>
        <v> очні пластирі, окклюдери</v>
      </c>
      <c r="F2054" s="17">
        <f>IFERROR(__xludf.DUMMYFUNCTION("""COMPUTED_VALUE"""),3.0)</f>
        <v>3</v>
      </c>
      <c r="G2054" s="17" t="str">
        <f>IFERROR(__xludf.DUMMYFUNCTION("""COMPUTED_VALUE"""),"162304")</f>
        <v>162304</v>
      </c>
      <c r="H2054" s="17" t="str">
        <f>IFERROR(__xludf.DUMMYFUNCTION("""COMPUTED_VALUE""")," очні пластирі, окклюдери")</f>
        <v> очні пластирі, окклюдери</v>
      </c>
      <c r="I2054" s="19">
        <f>IFERROR(__xludf.DUMMYFUNCTION("""COMPUTED_VALUE"""),0.049)</f>
        <v>0.049</v>
      </c>
      <c r="J2054" s="19">
        <f>IFERROR(__xludf.DUMMYFUNCTION("""COMPUTED_VALUE"""),0.098)</f>
        <v>0.098</v>
      </c>
      <c r="K2054" s="19">
        <f>IFERROR(__xludf.DUMMYFUNCTION("""COMPUTED_VALUE"""),0.1225)</f>
        <v>0.1225</v>
      </c>
      <c r="L2054" s="19">
        <f>IFERROR(__xludf.DUMMYFUNCTION("""COMPUTED_VALUE"""),0.147)</f>
        <v>0.147</v>
      </c>
      <c r="M2054" s="18">
        <f>IFERROR(__xludf.DUMMYFUNCTION("""COMPUTED_VALUE"""),1.05)</f>
        <v>1.05</v>
      </c>
    </row>
    <row r="2055">
      <c r="A2055" s="13" t="str">
        <f>IFERROR(__xludf.DUMMYFUNCTION("""COMPUTED_VALUE"""),"товари")</f>
        <v>товари</v>
      </c>
      <c r="B2055" s="16" t="str">
        <f>IFERROR(__xludf.DUMMYFUNCTION("""COMPUTED_VALUE"""),"краса та здоров'я")</f>
        <v>краса та здоров'я</v>
      </c>
      <c r="C2055" s="16" t="str">
        <f>IFERROR(__xludf.DUMMYFUNCTION("""COMPUTED_VALUE"""),"декоративна косметика")</f>
        <v>декоративна косметика</v>
      </c>
      <c r="D2055" s="16" t="str">
        <f>IFERROR(__xludf.DUMMYFUNCTION("""COMPUTED_VALUE"""),"макіяж очей")</f>
        <v>макіяж очей</v>
      </c>
      <c r="E2055" s="16" t="str">
        <f>IFERROR(__xludf.DUMMYFUNCTION("""COMPUTED_VALUE"""),"палітри для макіяжу")</f>
        <v>палітри для макіяжу</v>
      </c>
      <c r="F2055" s="17">
        <f>IFERROR(__xludf.DUMMYFUNCTION("""COMPUTED_VALUE"""),4.0)</f>
        <v>4</v>
      </c>
      <c r="G2055" s="17" t="str">
        <f>IFERROR(__xludf.DUMMYFUNCTION("""COMPUTED_VALUE"""),"8210113")</f>
        <v>8210113</v>
      </c>
      <c r="H2055" s="17" t="str">
        <f>IFERROR(__xludf.DUMMYFUNCTION("""COMPUTED_VALUE"""),"палітри для макіяжу")</f>
        <v>палітри для макіяжу</v>
      </c>
      <c r="I2055" s="19">
        <f>IFERROR(__xludf.DUMMYFUNCTION("""COMPUTED_VALUE"""),0.0664)</f>
        <v>0.0664</v>
      </c>
      <c r="J2055" s="19">
        <f>IFERROR(__xludf.DUMMYFUNCTION("""COMPUTED_VALUE"""),0.1327)</f>
        <v>0.1327</v>
      </c>
      <c r="K2055" s="19">
        <f>IFERROR(__xludf.DUMMYFUNCTION("""COMPUTED_VALUE"""),0.1659)</f>
        <v>0.1659</v>
      </c>
      <c r="L2055" s="19">
        <f>IFERROR(__xludf.DUMMYFUNCTION("""COMPUTED_VALUE"""),0.1991)</f>
        <v>0.1991</v>
      </c>
      <c r="M2055" s="18">
        <f>IFERROR(__xludf.DUMMYFUNCTION("""COMPUTED_VALUE"""),1.71)</f>
        <v>1.71</v>
      </c>
    </row>
    <row r="2056">
      <c r="A2056" s="13" t="str">
        <f>IFERROR(__xludf.DUMMYFUNCTION("""COMPUTED_VALUE"""),"товари")</f>
        <v>товари</v>
      </c>
      <c r="B2056" s="16" t="str">
        <f>IFERROR(__xludf.DUMMYFUNCTION("""COMPUTED_VALUE"""),"краса та здоров'я")</f>
        <v>краса та здоров'я</v>
      </c>
      <c r="C2056" s="16" t="str">
        <f>IFERROR(__xludf.DUMMYFUNCTION("""COMPUTED_VALUE"""),"гігієнічні вироби та засоби")</f>
        <v>гігієнічні вироби та засоби</v>
      </c>
      <c r="D2056" s="16" t="str">
        <f>IFERROR(__xludf.DUMMYFUNCTION("""COMPUTED_VALUE"""),"паперово-гігієнічна продукція")</f>
        <v>паперово-гігієнічна продукція</v>
      </c>
      <c r="E2056" s="16" t="str">
        <f>IFERROR(__xludf.DUMMYFUNCTION("""COMPUTED_VALUE"""),"паперові рушники")</f>
        <v>паперові рушники</v>
      </c>
      <c r="F2056" s="17">
        <f>IFERROR(__xludf.DUMMYFUNCTION("""COMPUTED_VALUE"""),4.0)</f>
        <v>4</v>
      </c>
      <c r="G2056" s="17" t="str">
        <f>IFERROR(__xludf.DUMMYFUNCTION("""COMPUTED_VALUE"""),"151307")</f>
        <v>151307</v>
      </c>
      <c r="H2056" s="17" t="str">
        <f>IFERROR(__xludf.DUMMYFUNCTION("""COMPUTED_VALUE"""),"паперові рушники")</f>
        <v>паперові рушники</v>
      </c>
      <c r="I2056" s="19">
        <f>IFERROR(__xludf.DUMMYFUNCTION("""COMPUTED_VALUE"""),0.0617)</f>
        <v>0.0617</v>
      </c>
      <c r="J2056" s="19">
        <f>IFERROR(__xludf.DUMMYFUNCTION("""COMPUTED_VALUE"""),0.1234)</f>
        <v>0.1234</v>
      </c>
      <c r="K2056" s="19">
        <f>IFERROR(__xludf.DUMMYFUNCTION("""COMPUTED_VALUE"""),0.1543)</f>
        <v>0.1543</v>
      </c>
      <c r="L2056" s="19">
        <f>IFERROR(__xludf.DUMMYFUNCTION("""COMPUTED_VALUE"""),0.1851)</f>
        <v>0.1851</v>
      </c>
      <c r="M2056" s="18">
        <f>IFERROR(__xludf.DUMMYFUNCTION("""COMPUTED_VALUE"""),1.8)</f>
        <v>1.8</v>
      </c>
    </row>
    <row r="2057">
      <c r="A2057" s="13" t="str">
        <f>IFERROR(__xludf.DUMMYFUNCTION("""COMPUTED_VALUE"""),"товари")</f>
        <v>товари</v>
      </c>
      <c r="B2057" s="16" t="str">
        <f>IFERROR(__xludf.DUMMYFUNCTION("""COMPUTED_VALUE"""),"краса та здоров'я")</f>
        <v>краса та здоров'я</v>
      </c>
      <c r="C2057" s="16" t="str">
        <f>IFERROR(__xludf.DUMMYFUNCTION("""COMPUTED_VALUE"""),"гігієнічні вироби та засоби")</f>
        <v>гігієнічні вироби та засоби</v>
      </c>
      <c r="D2057" s="16" t="str">
        <f>IFERROR(__xludf.DUMMYFUNCTION("""COMPUTED_VALUE"""),"паперово-гігієнічна продукція")</f>
        <v>паперово-гігієнічна продукція</v>
      </c>
      <c r="E2057" s="16" t="str">
        <f>IFERROR(__xludf.DUMMYFUNCTION("""COMPUTED_VALUE"""),"паперові серветки")</f>
        <v>паперові серветки</v>
      </c>
      <c r="F2057" s="17">
        <f>IFERROR(__xludf.DUMMYFUNCTION("""COMPUTED_VALUE"""),4.0)</f>
        <v>4</v>
      </c>
      <c r="G2057" s="17" t="str">
        <f>IFERROR(__xludf.DUMMYFUNCTION("""COMPUTED_VALUE"""),"151305")</f>
        <v>151305</v>
      </c>
      <c r="H2057" s="17" t="str">
        <f>IFERROR(__xludf.DUMMYFUNCTION("""COMPUTED_VALUE"""),"паперові серветки")</f>
        <v>паперові серветки</v>
      </c>
      <c r="I2057" s="19">
        <f>IFERROR(__xludf.DUMMYFUNCTION("""COMPUTED_VALUE"""),0.0617)</f>
        <v>0.0617</v>
      </c>
      <c r="J2057" s="19">
        <f>IFERROR(__xludf.DUMMYFUNCTION("""COMPUTED_VALUE"""),0.1234)</f>
        <v>0.1234</v>
      </c>
      <c r="K2057" s="19">
        <f>IFERROR(__xludf.DUMMYFUNCTION("""COMPUTED_VALUE"""),0.1543)</f>
        <v>0.1543</v>
      </c>
      <c r="L2057" s="19">
        <f>IFERROR(__xludf.DUMMYFUNCTION("""COMPUTED_VALUE"""),0.1851)</f>
        <v>0.1851</v>
      </c>
      <c r="M2057" s="18">
        <f>IFERROR(__xludf.DUMMYFUNCTION("""COMPUTED_VALUE"""),1.8)</f>
        <v>1.8</v>
      </c>
    </row>
    <row r="2058">
      <c r="A2058" s="13" t="str">
        <f>IFERROR(__xludf.DUMMYFUNCTION("""COMPUTED_VALUE"""),"товари")</f>
        <v>товари</v>
      </c>
      <c r="B2058" s="16" t="str">
        <f>IFERROR(__xludf.DUMMYFUNCTION("""COMPUTED_VALUE"""),"краса та здоров'я")</f>
        <v>краса та здоров'я</v>
      </c>
      <c r="C2058" s="16" t="str">
        <f>IFERROR(__xludf.DUMMYFUNCTION("""COMPUTED_VALUE"""),"гігієнічні вироби та засоби")</f>
        <v>гігієнічні вироби та засоби</v>
      </c>
      <c r="D2058" s="16" t="str">
        <f>IFERROR(__xludf.DUMMYFUNCTION("""COMPUTED_VALUE"""),"паперово-гігієнічна продукція")</f>
        <v>паперово-гігієнічна продукція</v>
      </c>
      <c r="E2058" s="16" t="str">
        <f>IFERROR(__xludf.DUMMYFUNCTION("""COMPUTED_VALUE"""),"паперово-гігієнічна продукція, загальне")</f>
        <v>паперово-гігієнічна продукція, загальне</v>
      </c>
      <c r="F2058" s="17">
        <f>IFERROR(__xludf.DUMMYFUNCTION("""COMPUTED_VALUE"""),4.0)</f>
        <v>4</v>
      </c>
      <c r="G2058" s="17" t="str">
        <f>IFERROR(__xludf.DUMMYFUNCTION("""COMPUTED_VALUE"""),"15130901")</f>
        <v>15130901</v>
      </c>
      <c r="H2058" s="17" t="str">
        <f>IFERROR(__xludf.DUMMYFUNCTION("""COMPUTED_VALUE"""),"паперово-гігієнічна продукція, загальне")</f>
        <v>паперово-гігієнічна продукція, загальне</v>
      </c>
      <c r="I2058" s="19">
        <f>IFERROR(__xludf.DUMMYFUNCTION("""COMPUTED_VALUE"""),0.125)</f>
        <v>0.125</v>
      </c>
      <c r="J2058" s="19">
        <f>IFERROR(__xludf.DUMMYFUNCTION("""COMPUTED_VALUE"""),0.25)</f>
        <v>0.25</v>
      </c>
      <c r="K2058" s="19">
        <f>IFERROR(__xludf.DUMMYFUNCTION("""COMPUTED_VALUE"""),0.3125)</f>
        <v>0.3125</v>
      </c>
      <c r="L2058" s="19">
        <f>IFERROR(__xludf.DUMMYFUNCTION("""COMPUTED_VALUE"""),0.375)</f>
        <v>0.375</v>
      </c>
      <c r="M2058" s="18">
        <f>IFERROR(__xludf.DUMMYFUNCTION("""COMPUTED_VALUE"""),4.33)</f>
        <v>4.33</v>
      </c>
    </row>
    <row r="2059">
      <c r="A2059" s="13" t="str">
        <f>IFERROR(__xludf.DUMMYFUNCTION("""COMPUTED_VALUE"""),"товари")</f>
        <v>товари</v>
      </c>
      <c r="B2059" s="16" t="str">
        <f>IFERROR(__xludf.DUMMYFUNCTION("""COMPUTED_VALUE"""),"краса та здоров'я")</f>
        <v>краса та здоров'я</v>
      </c>
      <c r="C2059" s="16" t="str">
        <f>IFERROR(__xludf.DUMMYFUNCTION("""COMPUTED_VALUE"""),"парфумерія")</f>
        <v>парфумерія</v>
      </c>
      <c r="D2059" s="16" t="str">
        <f>IFERROR(__xludf.DUMMYFUNCTION("""COMPUTED_VALUE"""),"парфумерія для дітей")</f>
        <v>парфумерія для дітей</v>
      </c>
      <c r="E2059" s="16" t="str">
        <f>IFERROR(__xludf.DUMMYFUNCTION("""COMPUTED_VALUE"""),"парфумерія для дітей")</f>
        <v>парфумерія для дітей</v>
      </c>
      <c r="F2059" s="17">
        <f>IFERROR(__xludf.DUMMYFUNCTION("""COMPUTED_VALUE"""),3.0)</f>
        <v>3</v>
      </c>
      <c r="G2059" s="17" t="str">
        <f>IFERROR(__xludf.DUMMYFUNCTION("""COMPUTED_VALUE"""),"161611")</f>
        <v>161611</v>
      </c>
      <c r="H2059" s="17" t="str">
        <f>IFERROR(__xludf.DUMMYFUNCTION("""COMPUTED_VALUE"""),"парфумерія для дітей")</f>
        <v>парфумерія для дітей</v>
      </c>
      <c r="I2059" s="19">
        <f>IFERROR(__xludf.DUMMYFUNCTION("""COMPUTED_VALUE"""),0.0656)</f>
        <v>0.0656</v>
      </c>
      <c r="J2059" s="19">
        <f>IFERROR(__xludf.DUMMYFUNCTION("""COMPUTED_VALUE"""),0.1311)</f>
        <v>0.1311</v>
      </c>
      <c r="K2059" s="19">
        <f>IFERROR(__xludf.DUMMYFUNCTION("""COMPUTED_VALUE"""),0.1639)</f>
        <v>0.1639</v>
      </c>
      <c r="L2059" s="19">
        <f>IFERROR(__xludf.DUMMYFUNCTION("""COMPUTED_VALUE"""),0.1967)</f>
        <v>0.1967</v>
      </c>
      <c r="M2059" s="18">
        <f>IFERROR(__xludf.DUMMYFUNCTION("""COMPUTED_VALUE"""),1.05)</f>
        <v>1.05</v>
      </c>
    </row>
    <row r="2060">
      <c r="A2060" s="13" t="str">
        <f>IFERROR(__xludf.DUMMYFUNCTION("""COMPUTED_VALUE"""),"товари")</f>
        <v>товари</v>
      </c>
      <c r="B2060" s="16" t="str">
        <f>IFERROR(__xludf.DUMMYFUNCTION("""COMPUTED_VALUE"""),"краса та здоров'я")</f>
        <v>краса та здоров'я</v>
      </c>
      <c r="C2060" s="16" t="str">
        <f>IFERROR(__xludf.DUMMYFUNCTION("""COMPUTED_VALUE"""),"парфумерія")</f>
        <v>парфумерія</v>
      </c>
      <c r="D2060" s="16" t="str">
        <f>IFERROR(__xludf.DUMMYFUNCTION("""COMPUTED_VALUE"""),"парфумерія з феромонами")</f>
        <v>парфумерія з феромонами</v>
      </c>
      <c r="E2060" s="16" t="str">
        <f>IFERROR(__xludf.DUMMYFUNCTION("""COMPUTED_VALUE"""),"парфумерія з феромонами")</f>
        <v>парфумерія з феромонами</v>
      </c>
      <c r="F2060" s="17">
        <f>IFERROR(__xludf.DUMMYFUNCTION("""COMPUTED_VALUE"""),3.0)</f>
        <v>3</v>
      </c>
      <c r="G2060" s="17" t="str">
        <f>IFERROR(__xludf.DUMMYFUNCTION("""COMPUTED_VALUE"""),"161610")</f>
        <v>161610</v>
      </c>
      <c r="H2060" s="17" t="str">
        <f>IFERROR(__xludf.DUMMYFUNCTION("""COMPUTED_VALUE"""),"парфумерія з феромонами")</f>
        <v>парфумерія з феромонами</v>
      </c>
      <c r="I2060" s="19">
        <f>IFERROR(__xludf.DUMMYFUNCTION("""COMPUTED_VALUE"""),0.0908)</f>
        <v>0.0908</v>
      </c>
      <c r="J2060" s="19">
        <f>IFERROR(__xludf.DUMMYFUNCTION("""COMPUTED_VALUE"""),0.1815)</f>
        <v>0.1815</v>
      </c>
      <c r="K2060" s="19">
        <f>IFERROR(__xludf.DUMMYFUNCTION("""COMPUTED_VALUE"""),0.2269)</f>
        <v>0.2269</v>
      </c>
      <c r="L2060" s="19">
        <f>IFERROR(__xludf.DUMMYFUNCTION("""COMPUTED_VALUE"""),0.2723)</f>
        <v>0.2723</v>
      </c>
      <c r="M2060" s="18">
        <f>IFERROR(__xludf.DUMMYFUNCTION("""COMPUTED_VALUE"""),1.63)</f>
        <v>1.63</v>
      </c>
    </row>
    <row r="2061">
      <c r="A2061" s="13" t="str">
        <f>IFERROR(__xludf.DUMMYFUNCTION("""COMPUTED_VALUE"""),"товари")</f>
        <v>товари</v>
      </c>
      <c r="B2061" s="16" t="str">
        <f>IFERROR(__xludf.DUMMYFUNCTION("""COMPUTED_VALUE"""),"краса та здоров'я")</f>
        <v>краса та здоров'я</v>
      </c>
      <c r="C2061" s="16" t="str">
        <f>IFERROR(__xludf.DUMMYFUNCTION("""COMPUTED_VALUE"""),"парфумерія")</f>
        <v>парфумерія</v>
      </c>
      <c r="D2061" s="16" t="str">
        <f>IFERROR(__xludf.DUMMYFUNCTION("""COMPUTED_VALUE"""),"парфумерія, загальне")</f>
        <v>парфумерія, загальне</v>
      </c>
      <c r="E2061" s="16" t="str">
        <f>IFERROR(__xludf.DUMMYFUNCTION("""COMPUTED_VALUE"""),"парфумерія, загальне")</f>
        <v>парфумерія, загальне</v>
      </c>
      <c r="F2061" s="17">
        <f>IFERROR(__xludf.DUMMYFUNCTION("""COMPUTED_VALUE"""),3.0)</f>
        <v>3</v>
      </c>
      <c r="G2061" s="17" t="str">
        <f>IFERROR(__xludf.DUMMYFUNCTION("""COMPUTED_VALUE"""),"161603")</f>
        <v>161603</v>
      </c>
      <c r="H2061" s="17" t="str">
        <f>IFERROR(__xludf.DUMMYFUNCTION("""COMPUTED_VALUE"""),"парфумерія, загальне")</f>
        <v>парфумерія, загальне</v>
      </c>
      <c r="I2061" s="19">
        <f>IFERROR(__xludf.DUMMYFUNCTION("""COMPUTED_VALUE"""),0.125)</f>
        <v>0.125</v>
      </c>
      <c r="J2061" s="19">
        <f>IFERROR(__xludf.DUMMYFUNCTION("""COMPUTED_VALUE"""),0.25)</f>
        <v>0.25</v>
      </c>
      <c r="K2061" s="19">
        <f>IFERROR(__xludf.DUMMYFUNCTION("""COMPUTED_VALUE"""),0.3125)</f>
        <v>0.3125</v>
      </c>
      <c r="L2061" s="19">
        <f>IFERROR(__xludf.DUMMYFUNCTION("""COMPUTED_VALUE"""),0.375)</f>
        <v>0.375</v>
      </c>
      <c r="M2061" s="18">
        <f>IFERROR(__xludf.DUMMYFUNCTION("""COMPUTED_VALUE"""),4.33)</f>
        <v>4.33</v>
      </c>
    </row>
    <row r="2062">
      <c r="A2062" s="13" t="str">
        <f>IFERROR(__xludf.DUMMYFUNCTION("""COMPUTED_VALUE"""),"товари")</f>
        <v>товари</v>
      </c>
      <c r="B2062" s="16" t="str">
        <f>IFERROR(__xludf.DUMMYFUNCTION("""COMPUTED_VALUE"""),"краса та здоров'я")</f>
        <v>краса та здоров'я</v>
      </c>
      <c r="C2062" s="16" t="str">
        <f>IFERROR(__xludf.DUMMYFUNCTION("""COMPUTED_VALUE"""),"парфумерія")</f>
        <v>парфумерія</v>
      </c>
      <c r="D2062" s="16" t="str">
        <f>IFERROR(__xludf.DUMMYFUNCTION("""COMPUTED_VALUE"""),"парфумерні набори")</f>
        <v>парфумерні набори</v>
      </c>
      <c r="E2062" s="16" t="str">
        <f>IFERROR(__xludf.DUMMYFUNCTION("""COMPUTED_VALUE"""),"парфумерні набори")</f>
        <v>парфумерні набори</v>
      </c>
      <c r="F2062" s="17">
        <f>IFERROR(__xludf.DUMMYFUNCTION("""COMPUTED_VALUE"""),3.0)</f>
        <v>3</v>
      </c>
      <c r="G2062" s="17" t="str">
        <f>IFERROR(__xludf.DUMMYFUNCTION("""COMPUTED_VALUE"""),"161609")</f>
        <v>161609</v>
      </c>
      <c r="H2062" s="17" t="str">
        <f>IFERROR(__xludf.DUMMYFUNCTION("""COMPUTED_VALUE"""),"парфумерні набори")</f>
        <v>парфумерні набори</v>
      </c>
      <c r="I2062" s="19">
        <f>IFERROR(__xludf.DUMMYFUNCTION("""COMPUTED_VALUE"""),0.0605)</f>
        <v>0.0605</v>
      </c>
      <c r="J2062" s="19">
        <f>IFERROR(__xludf.DUMMYFUNCTION("""COMPUTED_VALUE"""),0.121)</f>
        <v>0.121</v>
      </c>
      <c r="K2062" s="19">
        <f>IFERROR(__xludf.DUMMYFUNCTION("""COMPUTED_VALUE"""),0.1513)</f>
        <v>0.1513</v>
      </c>
      <c r="L2062" s="19">
        <f>IFERROR(__xludf.DUMMYFUNCTION("""COMPUTED_VALUE"""),0.1815)</f>
        <v>0.1815</v>
      </c>
      <c r="M2062" s="18">
        <f>IFERROR(__xludf.DUMMYFUNCTION("""COMPUTED_VALUE"""),2.08)</f>
        <v>2.08</v>
      </c>
    </row>
    <row r="2063">
      <c r="A2063" s="13" t="str">
        <f>IFERROR(__xludf.DUMMYFUNCTION("""COMPUTED_VALUE"""),"товари")</f>
        <v>товари</v>
      </c>
      <c r="B2063" s="16" t="str">
        <f>IFERROR(__xludf.DUMMYFUNCTION("""COMPUTED_VALUE"""),"краса та здоров'я")</f>
        <v>краса та здоров'я</v>
      </c>
      <c r="C2063" s="16" t="str">
        <f>IFERROR(__xludf.DUMMYFUNCTION("""COMPUTED_VALUE"""),"парфумерія")</f>
        <v>парфумерія</v>
      </c>
      <c r="D2063" s="16" t="str">
        <f>IFERROR(__xludf.DUMMYFUNCTION("""COMPUTED_VALUE"""),"парфумерні олії")</f>
        <v>парфумерні олії</v>
      </c>
      <c r="E2063" s="16" t="str">
        <f>IFERROR(__xludf.DUMMYFUNCTION("""COMPUTED_VALUE"""),"парфумерні олії")</f>
        <v>парфумерні олії</v>
      </c>
      <c r="F2063" s="17">
        <f>IFERROR(__xludf.DUMMYFUNCTION("""COMPUTED_VALUE"""),3.0)</f>
        <v>3</v>
      </c>
      <c r="G2063" s="17" t="str">
        <f>IFERROR(__xludf.DUMMYFUNCTION("""COMPUTED_VALUE"""),"161605")</f>
        <v>161605</v>
      </c>
      <c r="H2063" s="17" t="str">
        <f>IFERROR(__xludf.DUMMYFUNCTION("""COMPUTED_VALUE"""),"парфумерні олії")</f>
        <v>парфумерні олії</v>
      </c>
      <c r="I2063" s="19">
        <f>IFERROR(__xludf.DUMMYFUNCTION("""COMPUTED_VALUE"""),0.072)</f>
        <v>0.072</v>
      </c>
      <c r="J2063" s="19">
        <f>IFERROR(__xludf.DUMMYFUNCTION("""COMPUTED_VALUE"""),0.144)</f>
        <v>0.144</v>
      </c>
      <c r="K2063" s="19">
        <f>IFERROR(__xludf.DUMMYFUNCTION("""COMPUTED_VALUE"""),0.18)</f>
        <v>0.18</v>
      </c>
      <c r="L2063" s="19">
        <f>IFERROR(__xludf.DUMMYFUNCTION("""COMPUTED_VALUE"""),0.216)</f>
        <v>0.216</v>
      </c>
      <c r="M2063" s="18">
        <f>IFERROR(__xludf.DUMMYFUNCTION("""COMPUTED_VALUE"""),2.08)</f>
        <v>2.08</v>
      </c>
    </row>
    <row r="2064">
      <c r="A2064" s="13" t="str">
        <f>IFERROR(__xludf.DUMMYFUNCTION("""COMPUTED_VALUE"""),"товари")</f>
        <v>товари</v>
      </c>
      <c r="B2064" s="16" t="str">
        <f>IFERROR(__xludf.DUMMYFUNCTION("""COMPUTED_VALUE"""),"краса та здоров'я")</f>
        <v>краса та здоров'я</v>
      </c>
      <c r="C2064" s="16" t="str">
        <f>IFERROR(__xludf.DUMMYFUNCTION("""COMPUTED_VALUE"""),"косметика по догляду")</f>
        <v>косметика по догляду</v>
      </c>
      <c r="D2064" s="16" t="str">
        <f>IFERROR(__xludf.DUMMYFUNCTION("""COMPUTED_VALUE"""),"догляд за обличчям")</f>
        <v>догляд за обличчям</v>
      </c>
      <c r="E2064" s="16" t="str">
        <f>IFERROR(__xludf.DUMMYFUNCTION("""COMPUTED_VALUE"""),"патчі для обличчя")</f>
        <v>патчі для обличчя</v>
      </c>
      <c r="F2064" s="17">
        <f>IFERROR(__xludf.DUMMYFUNCTION("""COMPUTED_VALUE"""),4.0)</f>
        <v>4</v>
      </c>
      <c r="G2064" s="17" t="str">
        <f>IFERROR(__xludf.DUMMYFUNCTION("""COMPUTED_VALUE"""),"330626")</f>
        <v>330626</v>
      </c>
      <c r="H2064" s="17" t="str">
        <f>IFERROR(__xludf.DUMMYFUNCTION("""COMPUTED_VALUE"""),"патчі для обличчя")</f>
        <v>патчі для обличчя</v>
      </c>
      <c r="I2064" s="19">
        <f>IFERROR(__xludf.DUMMYFUNCTION("""COMPUTED_VALUE"""),0.0664)</f>
        <v>0.0664</v>
      </c>
      <c r="J2064" s="19">
        <f>IFERROR(__xludf.DUMMYFUNCTION("""COMPUTED_VALUE"""),0.1327)</f>
        <v>0.1327</v>
      </c>
      <c r="K2064" s="19">
        <f>IFERROR(__xludf.DUMMYFUNCTION("""COMPUTED_VALUE"""),0.1659)</f>
        <v>0.1659</v>
      </c>
      <c r="L2064" s="19">
        <f>IFERROR(__xludf.DUMMYFUNCTION("""COMPUTED_VALUE"""),0.1991)</f>
        <v>0.1991</v>
      </c>
      <c r="M2064" s="18">
        <f>IFERROR(__xludf.DUMMYFUNCTION("""COMPUTED_VALUE"""),1.71)</f>
        <v>1.71</v>
      </c>
    </row>
    <row r="2065">
      <c r="A2065" s="13" t="str">
        <f>IFERROR(__xludf.DUMMYFUNCTION("""COMPUTED_VALUE"""),"товари")</f>
        <v>товари</v>
      </c>
      <c r="B2065" s="16" t="str">
        <f>IFERROR(__xludf.DUMMYFUNCTION("""COMPUTED_VALUE"""),"краса та здоров'я")</f>
        <v>краса та здоров'я</v>
      </c>
      <c r="C2065" s="16" t="str">
        <f>IFERROR(__xludf.DUMMYFUNCTION("""COMPUTED_VALUE"""),"все для манікюру і педикюру")</f>
        <v>все для манікюру і педикюру</v>
      </c>
      <c r="D2065" s="16" t="str">
        <f>IFERROR(__xludf.DUMMYFUNCTION("""COMPUTED_VALUE"""),"пемзи, терки і набори для педикюру")</f>
        <v>пемзи, терки і набори для педикюру</v>
      </c>
      <c r="E2065" s="16" t="str">
        <f>IFERROR(__xludf.DUMMYFUNCTION("""COMPUTED_VALUE"""),"пемзи, терки і набори для педикюру")</f>
        <v>пемзи, терки і набори для педикюру</v>
      </c>
      <c r="F2065" s="17">
        <f>IFERROR(__xludf.DUMMYFUNCTION("""COMPUTED_VALUE"""),3.0)</f>
        <v>3</v>
      </c>
      <c r="G2065" s="17" t="str">
        <f>IFERROR(__xludf.DUMMYFUNCTION("""COMPUTED_VALUE"""),"161809")</f>
        <v>161809</v>
      </c>
      <c r="H2065" s="17" t="str">
        <f>IFERROR(__xludf.DUMMYFUNCTION("""COMPUTED_VALUE"""),"пемзи, терки і набори для педикюру")</f>
        <v>пемзи, терки і набори для педикюру</v>
      </c>
      <c r="I2065" s="19">
        <f>IFERROR(__xludf.DUMMYFUNCTION("""COMPUTED_VALUE"""),0.0741)</f>
        <v>0.0741</v>
      </c>
      <c r="J2065" s="19">
        <f>IFERROR(__xludf.DUMMYFUNCTION("""COMPUTED_VALUE"""),0.1481)</f>
        <v>0.1481</v>
      </c>
      <c r="K2065" s="19">
        <f>IFERROR(__xludf.DUMMYFUNCTION("""COMPUTED_VALUE"""),0.1851)</f>
        <v>0.1851</v>
      </c>
      <c r="L2065" s="19">
        <f>IFERROR(__xludf.DUMMYFUNCTION("""COMPUTED_VALUE"""),0.2222)</f>
        <v>0.2222</v>
      </c>
      <c r="M2065" s="18">
        <f>IFERROR(__xludf.DUMMYFUNCTION("""COMPUTED_VALUE"""),2.25)</f>
        <v>2.25</v>
      </c>
    </row>
    <row r="2066">
      <c r="A2066" s="13" t="str">
        <f>IFERROR(__xludf.DUMMYFUNCTION("""COMPUTED_VALUE"""),"товари")</f>
        <v>товари</v>
      </c>
      <c r="B2066" s="16" t="str">
        <f>IFERROR(__xludf.DUMMYFUNCTION("""COMPUTED_VALUE"""),"краса та здоров'я")</f>
        <v>краса та здоров'я</v>
      </c>
      <c r="C2066" s="16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2066" s="16" t="str">
        <f>IFERROR(__xludf.DUMMYFUNCTION("""COMPUTED_VALUE"""),"пензлики для манікюру")</f>
        <v>пензлики для манікюру</v>
      </c>
      <c r="E2066" s="16" t="str">
        <f>IFERROR(__xludf.DUMMYFUNCTION("""COMPUTED_VALUE"""),"пензлики для манікюру")</f>
        <v>пензлики для манікюру</v>
      </c>
      <c r="F2066" s="17">
        <f>IFERROR(__xludf.DUMMYFUNCTION("""COMPUTED_VALUE"""),3.0)</f>
        <v>3</v>
      </c>
      <c r="G2066" s="17" t="str">
        <f>IFERROR(__xludf.DUMMYFUNCTION("""COMPUTED_VALUE"""),"16180110")</f>
        <v>16180110</v>
      </c>
      <c r="H2066" s="17" t="str">
        <f>IFERROR(__xludf.DUMMYFUNCTION("""COMPUTED_VALUE"""),"пензлики для манікюру")</f>
        <v>пензлики для манікюру</v>
      </c>
      <c r="I2066" s="19">
        <f>IFERROR(__xludf.DUMMYFUNCTION("""COMPUTED_VALUE"""),0.071)</f>
        <v>0.071</v>
      </c>
      <c r="J2066" s="19">
        <f>IFERROR(__xludf.DUMMYFUNCTION("""COMPUTED_VALUE"""),0.1419)</f>
        <v>0.1419</v>
      </c>
      <c r="K2066" s="19">
        <f>IFERROR(__xludf.DUMMYFUNCTION("""COMPUTED_VALUE"""),0.1774)</f>
        <v>0.1774</v>
      </c>
      <c r="L2066" s="19">
        <f>IFERROR(__xludf.DUMMYFUNCTION("""COMPUTED_VALUE"""),0.2129)</f>
        <v>0.2129</v>
      </c>
      <c r="M2066" s="18">
        <f>IFERROR(__xludf.DUMMYFUNCTION("""COMPUTED_VALUE"""),1.53)</f>
        <v>1.53</v>
      </c>
    </row>
    <row r="2067">
      <c r="A2067" s="13" t="str">
        <f>IFERROR(__xludf.DUMMYFUNCTION("""COMPUTED_VALUE"""),"товари")</f>
        <v>товари</v>
      </c>
      <c r="B2067" s="16" t="str">
        <f>IFERROR(__xludf.DUMMYFUNCTION("""COMPUTED_VALUE"""),"краса та здоров'я")</f>
        <v>краса та здоров'я</v>
      </c>
      <c r="C2067" s="16" t="str">
        <f>IFERROR(__xludf.DUMMYFUNCTION("""COMPUTED_VALUE"""),"декоративна косметика")</f>
        <v>декоративна косметика</v>
      </c>
      <c r="D2067" s="16" t="str">
        <f>IFERROR(__xludf.DUMMYFUNCTION("""COMPUTED_VALUE"""),"макіяж очей")</f>
        <v>макіяж очей</v>
      </c>
      <c r="E2067" s="16" t="str">
        <f>IFERROR(__xludf.DUMMYFUNCTION("""COMPUTED_VALUE"""),"підводка для повік")</f>
        <v>підводка для повік</v>
      </c>
      <c r="F2067" s="17">
        <f>IFERROR(__xludf.DUMMYFUNCTION("""COMPUTED_VALUE"""),4.0)</f>
        <v>4</v>
      </c>
      <c r="G2067" s="17" t="str">
        <f>IFERROR(__xludf.DUMMYFUNCTION("""COMPUTED_VALUE"""),"8210112")</f>
        <v>8210112</v>
      </c>
      <c r="H2067" s="17" t="str">
        <f>IFERROR(__xludf.DUMMYFUNCTION("""COMPUTED_VALUE"""),"підводка для повік")</f>
        <v>підводка для повік</v>
      </c>
      <c r="I2067" s="19">
        <f>IFERROR(__xludf.DUMMYFUNCTION("""COMPUTED_VALUE"""),0.0664)</f>
        <v>0.0664</v>
      </c>
      <c r="J2067" s="19">
        <f>IFERROR(__xludf.DUMMYFUNCTION("""COMPUTED_VALUE"""),0.1327)</f>
        <v>0.1327</v>
      </c>
      <c r="K2067" s="19">
        <f>IFERROR(__xludf.DUMMYFUNCTION("""COMPUTED_VALUE"""),0.1659)</f>
        <v>0.1659</v>
      </c>
      <c r="L2067" s="19">
        <f>IFERROR(__xludf.DUMMYFUNCTION("""COMPUTED_VALUE"""),0.1991)</f>
        <v>0.1991</v>
      </c>
      <c r="M2067" s="18">
        <f>IFERROR(__xludf.DUMMYFUNCTION("""COMPUTED_VALUE"""),1.71)</f>
        <v>1.71</v>
      </c>
    </row>
    <row r="2068">
      <c r="A2068" s="13" t="str">
        <f>IFERROR(__xludf.DUMMYFUNCTION("""COMPUTED_VALUE"""),"товари")</f>
        <v>товари</v>
      </c>
      <c r="B2068" s="16" t="str">
        <f>IFERROR(__xludf.DUMMYFUNCTION("""COMPUTED_VALUE"""),"краса та здоров'я")</f>
        <v>краса та здоров'я</v>
      </c>
      <c r="C2068" s="16" t="str">
        <f>IFERROR(__xludf.DUMMYFUNCTION("""COMPUTED_VALUE"""),"товари для вагітних і годуючих")</f>
        <v>товари для вагітних і годуючих</v>
      </c>
      <c r="D2068" s="16" t="str">
        <f>IFERROR(__xludf.DUMMYFUNCTION("""COMPUTED_VALUE"""),"подушки для вагітних і годування дитини")</f>
        <v>подушки для вагітних і годування дитини</v>
      </c>
      <c r="E2068" s="16" t="str">
        <f>IFERROR(__xludf.DUMMYFUNCTION("""COMPUTED_VALUE"""),"подушки для вагітних і годування дитини")</f>
        <v>подушки для вагітних і годування дитини</v>
      </c>
      <c r="F2068" s="17">
        <f>IFERROR(__xludf.DUMMYFUNCTION("""COMPUTED_VALUE"""),3.0)</f>
        <v>3</v>
      </c>
      <c r="G2068" s="17" t="str">
        <f>IFERROR(__xludf.DUMMYFUNCTION("""COMPUTED_VALUE"""),"15010106")</f>
        <v>15010106</v>
      </c>
      <c r="H2068" s="17" t="str">
        <f>IFERROR(__xludf.DUMMYFUNCTION("""COMPUTED_VALUE"""),"подушки для вагітних і годування дитини")</f>
        <v>подушки для вагітних і годування дитини</v>
      </c>
      <c r="I2068" s="19">
        <f>IFERROR(__xludf.DUMMYFUNCTION("""COMPUTED_VALUE"""),0.0884)</f>
        <v>0.0884</v>
      </c>
      <c r="J2068" s="19">
        <f>IFERROR(__xludf.DUMMYFUNCTION("""COMPUTED_VALUE"""),0.1767)</f>
        <v>0.1767</v>
      </c>
      <c r="K2068" s="19">
        <f>IFERROR(__xludf.DUMMYFUNCTION("""COMPUTED_VALUE"""),0.2209)</f>
        <v>0.2209</v>
      </c>
      <c r="L2068" s="19">
        <f>IFERROR(__xludf.DUMMYFUNCTION("""COMPUTED_VALUE"""),0.2651)</f>
        <v>0.2651</v>
      </c>
      <c r="M2068" s="18">
        <f>IFERROR(__xludf.DUMMYFUNCTION("""COMPUTED_VALUE"""),1.98)</f>
        <v>1.98</v>
      </c>
    </row>
    <row r="2069">
      <c r="A2069" s="13" t="str">
        <f>IFERROR(__xludf.DUMMYFUNCTION("""COMPUTED_VALUE"""),"товари")</f>
        <v>товари</v>
      </c>
      <c r="B2069" s="16" t="str">
        <f>IFERROR(__xludf.DUMMYFUNCTION("""COMPUTED_VALUE"""),"краса та здоров'я")</f>
        <v>краса та здоров'я</v>
      </c>
      <c r="C2069" s="16" t="str">
        <f>IFERROR(__xludf.DUMMYFUNCTION("""COMPUTED_VALUE"""),"декоративна косметика")</f>
        <v>декоративна косметика</v>
      </c>
      <c r="D2069" s="16" t="str">
        <f>IFERROR(__xludf.DUMMYFUNCTION("""COMPUTED_VALUE"""),"макіяж губ")</f>
        <v>макіяж губ</v>
      </c>
      <c r="E2069" s="16" t="str">
        <f>IFERROR(__xludf.DUMMYFUNCTION("""COMPUTED_VALUE"""),"помади")</f>
        <v>помади</v>
      </c>
      <c r="F2069" s="17">
        <f>IFERROR(__xludf.DUMMYFUNCTION("""COMPUTED_VALUE"""),4.0)</f>
        <v>4</v>
      </c>
      <c r="G2069" s="17" t="str">
        <f>IFERROR(__xludf.DUMMYFUNCTION("""COMPUTED_VALUE"""),"8210107")</f>
        <v>8210107</v>
      </c>
      <c r="H2069" s="17" t="str">
        <f>IFERROR(__xludf.DUMMYFUNCTION("""COMPUTED_VALUE"""),"помади")</f>
        <v>помади</v>
      </c>
      <c r="I2069" s="19">
        <f>IFERROR(__xludf.DUMMYFUNCTION("""COMPUTED_VALUE"""),0.0679)</f>
        <v>0.0679</v>
      </c>
      <c r="J2069" s="19">
        <f>IFERROR(__xludf.DUMMYFUNCTION("""COMPUTED_VALUE"""),0.1357)</f>
        <v>0.1357</v>
      </c>
      <c r="K2069" s="19">
        <f>IFERROR(__xludf.DUMMYFUNCTION("""COMPUTED_VALUE"""),0.1696)</f>
        <v>0.1696</v>
      </c>
      <c r="L2069" s="19">
        <f>IFERROR(__xludf.DUMMYFUNCTION("""COMPUTED_VALUE"""),0.2036)</f>
        <v>0.2036</v>
      </c>
      <c r="M2069" s="18">
        <f>IFERROR(__xludf.DUMMYFUNCTION("""COMPUTED_VALUE"""),1.71)</f>
        <v>1.71</v>
      </c>
    </row>
    <row r="2070">
      <c r="A2070" s="13" t="str">
        <f>IFERROR(__xludf.DUMMYFUNCTION("""COMPUTED_VALUE"""),"товари")</f>
        <v>товари</v>
      </c>
      <c r="B2070" s="16" t="str">
        <f>IFERROR(__xludf.DUMMYFUNCTION("""COMPUTED_VALUE"""),"краса та здоров'я")</f>
        <v>краса та здоров'я</v>
      </c>
      <c r="C2070" s="16" t="str">
        <f>IFERROR(__xludf.DUMMYFUNCTION("""COMPUTED_VALUE"""),"декоративна косметика")</f>
        <v>декоративна косметика</v>
      </c>
      <c r="D2070" s="16" t="str">
        <f>IFERROR(__xludf.DUMMYFUNCTION("""COMPUTED_VALUE"""),"аксесуари для макіяжу")</f>
        <v>аксесуари для макіяжу</v>
      </c>
      <c r="E2070" s="16" t="str">
        <f>IFERROR(__xludf.DUMMYFUNCTION("""COMPUTED_VALUE"""),"прилади для завивки вій")</f>
        <v>прилади для завивки вій</v>
      </c>
      <c r="F2070" s="17">
        <f>IFERROR(__xludf.DUMMYFUNCTION("""COMPUTED_VALUE"""),4.0)</f>
        <v>4</v>
      </c>
      <c r="G2070" s="17" t="str">
        <f>IFERROR(__xludf.DUMMYFUNCTION("""COMPUTED_VALUE"""),"331205")</f>
        <v>331205</v>
      </c>
      <c r="H2070" s="17" t="str">
        <f>IFERROR(__xludf.DUMMYFUNCTION("""COMPUTED_VALUE"""),"прилади для завивки вій")</f>
        <v>прилади для завивки вій</v>
      </c>
      <c r="I2070" s="19">
        <f>IFERROR(__xludf.DUMMYFUNCTION("""COMPUTED_VALUE"""),0.0702)</f>
        <v>0.0702</v>
      </c>
      <c r="J2070" s="19">
        <f>IFERROR(__xludf.DUMMYFUNCTION("""COMPUTED_VALUE"""),0.1404)</f>
        <v>0.1404</v>
      </c>
      <c r="K2070" s="19">
        <f>IFERROR(__xludf.DUMMYFUNCTION("""COMPUTED_VALUE"""),0.1755)</f>
        <v>0.1755</v>
      </c>
      <c r="L2070" s="19">
        <f>IFERROR(__xludf.DUMMYFUNCTION("""COMPUTED_VALUE"""),0.2106)</f>
        <v>0.2106</v>
      </c>
      <c r="M2070" s="18">
        <f>IFERROR(__xludf.DUMMYFUNCTION("""COMPUTED_VALUE"""),2.25)</f>
        <v>2.25</v>
      </c>
    </row>
    <row r="2071">
      <c r="A2071" s="13" t="str">
        <f>IFERROR(__xludf.DUMMYFUNCTION("""COMPUTED_VALUE"""),"товари")</f>
        <v>товари</v>
      </c>
      <c r="B2071" s="16" t="str">
        <f>IFERROR(__xludf.DUMMYFUNCTION("""COMPUTED_VALUE"""),"краса та здоров'я")</f>
        <v>краса та здоров'я</v>
      </c>
      <c r="C2071" s="16" t="str">
        <f>IFERROR(__xludf.DUMMYFUNCTION("""COMPUTED_VALUE"""),"товари для здоров'я")</f>
        <v>товари для здоров'я</v>
      </c>
      <c r="D2071" s="16" t="str">
        <f>IFERROR(__xludf.DUMMYFUNCTION("""COMPUTED_VALUE"""),"домашня медична техніка")</f>
        <v>домашня медична техніка</v>
      </c>
      <c r="E2071" s="16" t="str">
        <f>IFERROR(__xludf.DUMMYFUNCTION("""COMPUTED_VALUE"""),"прилади для краси та здоров'я")</f>
        <v>прилади для краси та здоров'я</v>
      </c>
      <c r="F2071" s="17">
        <f>IFERROR(__xludf.DUMMYFUNCTION("""COMPUTED_VALUE"""),4.0)</f>
        <v>4</v>
      </c>
      <c r="G2071" s="17" t="str">
        <f>IFERROR(__xludf.DUMMYFUNCTION("""COMPUTED_VALUE"""),"162511")</f>
        <v>162511</v>
      </c>
      <c r="H2071" s="17" t="str">
        <f>IFERROR(__xludf.DUMMYFUNCTION("""COMPUTED_VALUE"""),"прилади для краси та здоров'я")</f>
        <v>прилади для краси та здоров'я</v>
      </c>
      <c r="I2071" s="19">
        <f>IFERROR(__xludf.DUMMYFUNCTION("""COMPUTED_VALUE"""),0.0694)</f>
        <v>0.0694</v>
      </c>
      <c r="J2071" s="19">
        <f>IFERROR(__xludf.DUMMYFUNCTION("""COMPUTED_VALUE"""),0.1388)</f>
        <v>0.1388</v>
      </c>
      <c r="K2071" s="19">
        <f>IFERROR(__xludf.DUMMYFUNCTION("""COMPUTED_VALUE"""),0.1735)</f>
        <v>0.1735</v>
      </c>
      <c r="L2071" s="19">
        <f>IFERROR(__xludf.DUMMYFUNCTION("""COMPUTED_VALUE"""),0.2082)</f>
        <v>0.2082</v>
      </c>
      <c r="M2071" s="18">
        <f>IFERROR(__xludf.DUMMYFUNCTION("""COMPUTED_VALUE"""),1.53)</f>
        <v>1.53</v>
      </c>
    </row>
    <row r="2072">
      <c r="A2072" s="13" t="str">
        <f>IFERROR(__xludf.DUMMYFUNCTION("""COMPUTED_VALUE"""),"товари")</f>
        <v>товари</v>
      </c>
      <c r="B2072" s="16" t="str">
        <f>IFERROR(__xludf.DUMMYFUNCTION("""COMPUTED_VALUE"""),"краса та здоров'я")</f>
        <v>краса та здоров'я</v>
      </c>
      <c r="C2072" s="16" t="str">
        <f>IFERROR(__xludf.DUMMYFUNCTION("""COMPUTED_VALUE"""),"товари для здоров'я")</f>
        <v>товари для здоров'я</v>
      </c>
      <c r="D2072" s="16" t="str">
        <f>IFERROR(__xludf.DUMMYFUNCTION("""COMPUTED_VALUE"""),"домашня медична техніка")</f>
        <v>домашня медична техніка</v>
      </c>
      <c r="E2072" s="16" t="str">
        <f>IFERROR(__xludf.DUMMYFUNCTION("""COMPUTED_VALUE"""),"прилади захисту функціонального стану організму")</f>
        <v>прилади захисту функціонального стану організму</v>
      </c>
      <c r="F2072" s="17">
        <f>IFERROR(__xludf.DUMMYFUNCTION("""COMPUTED_VALUE"""),4.0)</f>
        <v>4</v>
      </c>
      <c r="G2072" s="17" t="str">
        <f>IFERROR(__xludf.DUMMYFUNCTION("""COMPUTED_VALUE"""),"162535")</f>
        <v>162535</v>
      </c>
      <c r="H2072" s="17" t="str">
        <f>IFERROR(__xludf.DUMMYFUNCTION("""COMPUTED_VALUE"""),"прилади захисту функціонального стану організму")</f>
        <v>прилади захисту функціонального стану організму</v>
      </c>
      <c r="I2072" s="19">
        <f>IFERROR(__xludf.DUMMYFUNCTION("""COMPUTED_VALUE"""),0.0694)</f>
        <v>0.0694</v>
      </c>
      <c r="J2072" s="19">
        <f>IFERROR(__xludf.DUMMYFUNCTION("""COMPUTED_VALUE"""),0.1388)</f>
        <v>0.1388</v>
      </c>
      <c r="K2072" s="19">
        <f>IFERROR(__xludf.DUMMYFUNCTION("""COMPUTED_VALUE"""),0.1735)</f>
        <v>0.1735</v>
      </c>
      <c r="L2072" s="19">
        <f>IFERROR(__xludf.DUMMYFUNCTION("""COMPUTED_VALUE"""),0.2082)</f>
        <v>0.2082</v>
      </c>
      <c r="M2072" s="18">
        <f>IFERROR(__xludf.DUMMYFUNCTION("""COMPUTED_VALUE"""),1.53)</f>
        <v>1.53</v>
      </c>
    </row>
    <row r="2073">
      <c r="A2073" s="13" t="str">
        <f>IFERROR(__xludf.DUMMYFUNCTION("""COMPUTED_VALUE"""),"товари")</f>
        <v>товари</v>
      </c>
      <c r="B2073" s="16" t="str">
        <f>IFERROR(__xludf.DUMMYFUNCTION("""COMPUTED_VALUE"""),"краса та здоров'я")</f>
        <v>краса та здоров'я</v>
      </c>
      <c r="C2073" s="16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2073" s="16" t="str">
        <f>IFERROR(__xludf.DUMMYFUNCTION("""COMPUTED_VALUE"""),"прилади та інструменти для апаратного манікюру та педикюру")</f>
        <v>прилади та інструменти для апаратного манікюру та педикюру</v>
      </c>
      <c r="E2073" s="16" t="str">
        <f>IFERROR(__xludf.DUMMYFUNCTION("""COMPUTED_VALUE"""),"прилади та інструменти для апаратного манікюру та педикюру")</f>
        <v>прилади та інструменти для апаратного манікюру та педикюру</v>
      </c>
      <c r="F2073" s="17">
        <f>IFERROR(__xludf.DUMMYFUNCTION("""COMPUTED_VALUE"""),3.0)</f>
        <v>3</v>
      </c>
      <c r="G2073" s="17" t="str">
        <f>IFERROR(__xludf.DUMMYFUNCTION("""COMPUTED_VALUE"""),"161805")</f>
        <v>161805</v>
      </c>
      <c r="H2073" s="17" t="str">
        <f>IFERROR(__xludf.DUMMYFUNCTION("""COMPUTED_VALUE"""),"прилади та інструменти для апаратного манікюру та педикюру")</f>
        <v>прилади та інструменти для апаратного манікюру та педикюру</v>
      </c>
      <c r="I2073" s="19">
        <f>IFERROR(__xludf.DUMMYFUNCTION("""COMPUTED_VALUE"""),0.0771)</f>
        <v>0.0771</v>
      </c>
      <c r="J2073" s="19">
        <f>IFERROR(__xludf.DUMMYFUNCTION("""COMPUTED_VALUE"""),0.1542)</f>
        <v>0.1542</v>
      </c>
      <c r="K2073" s="19">
        <f>IFERROR(__xludf.DUMMYFUNCTION("""COMPUTED_VALUE"""),0.1928)</f>
        <v>0.1928</v>
      </c>
      <c r="L2073" s="19">
        <f>IFERROR(__xludf.DUMMYFUNCTION("""COMPUTED_VALUE"""),0.2313)</f>
        <v>0.2313</v>
      </c>
      <c r="M2073" s="18">
        <f>IFERROR(__xludf.DUMMYFUNCTION("""COMPUTED_VALUE"""),5.4)</f>
        <v>5.4</v>
      </c>
    </row>
    <row r="2074">
      <c r="A2074" s="13" t="str">
        <f>IFERROR(__xludf.DUMMYFUNCTION("""COMPUTED_VALUE"""),"товари")</f>
        <v>товари</v>
      </c>
      <c r="B2074" s="16" t="str">
        <f>IFERROR(__xludf.DUMMYFUNCTION("""COMPUTED_VALUE"""),"краса та здоров'я")</f>
        <v>краса та здоров'я</v>
      </c>
      <c r="C2074" s="16" t="str">
        <f>IFERROR(__xludf.DUMMYFUNCTION("""COMPUTED_VALUE"""),"гігієнічні вироби та засоби")</f>
        <v>гігієнічні вироби та засоби</v>
      </c>
      <c r="D2074" s="16" t="str">
        <f>IFERROR(__xludf.DUMMYFUNCTION("""COMPUTED_VALUE"""),"засоби для ванни та душу")</f>
        <v>засоби для ванни та душу</v>
      </c>
      <c r="E2074" s="16" t="str">
        <f>IFERROR(__xludf.DUMMYFUNCTION("""COMPUTED_VALUE"""),"рідке мило")</f>
        <v>рідке мило</v>
      </c>
      <c r="F2074" s="17">
        <f>IFERROR(__xludf.DUMMYFUNCTION("""COMPUTED_VALUE"""),4.0)</f>
        <v>4</v>
      </c>
      <c r="G2074" s="17" t="str">
        <f>IFERROR(__xludf.DUMMYFUNCTION("""COMPUTED_VALUE"""),"330402")</f>
        <v>330402</v>
      </c>
      <c r="H2074" s="17" t="str">
        <f>IFERROR(__xludf.DUMMYFUNCTION("""COMPUTED_VALUE"""),"рідке мило")</f>
        <v>рідке мило</v>
      </c>
      <c r="I2074" s="19">
        <f>IFERROR(__xludf.DUMMYFUNCTION("""COMPUTED_VALUE"""),0.0617)</f>
        <v>0.0617</v>
      </c>
      <c r="J2074" s="19">
        <f>IFERROR(__xludf.DUMMYFUNCTION("""COMPUTED_VALUE"""),0.1234)</f>
        <v>0.1234</v>
      </c>
      <c r="K2074" s="19">
        <f>IFERROR(__xludf.DUMMYFUNCTION("""COMPUTED_VALUE"""),0.1543)</f>
        <v>0.1543</v>
      </c>
      <c r="L2074" s="19">
        <f>IFERROR(__xludf.DUMMYFUNCTION("""COMPUTED_VALUE"""),0.1851)</f>
        <v>0.1851</v>
      </c>
      <c r="M2074" s="18">
        <f>IFERROR(__xludf.DUMMYFUNCTION("""COMPUTED_VALUE"""),1.53)</f>
        <v>1.53</v>
      </c>
    </row>
    <row r="2075">
      <c r="A2075" s="13" t="str">
        <f>IFERROR(__xludf.DUMMYFUNCTION("""COMPUTED_VALUE"""),"товари")</f>
        <v>товари</v>
      </c>
      <c r="B2075" s="16" t="str">
        <f>IFERROR(__xludf.DUMMYFUNCTION("""COMPUTED_VALUE"""),"краса та здоров'я")</f>
        <v>краса та здоров'я</v>
      </c>
      <c r="C2075" s="16" t="str">
        <f>IFERROR(__xludf.DUMMYFUNCTION("""COMPUTED_VALUE"""),"парфумерія")</f>
        <v>парфумерія</v>
      </c>
      <c r="D2075" s="16" t="str">
        <f>IFERROR(__xludf.DUMMYFUNCTION("""COMPUTED_VALUE"""),"розпив парфумерії")</f>
        <v>розпив парфумерії</v>
      </c>
      <c r="E2075" s="16" t="str">
        <f>IFERROR(__xludf.DUMMYFUNCTION("""COMPUTED_VALUE"""),"розпив парфумерії")</f>
        <v>розпив парфумерії</v>
      </c>
      <c r="F2075" s="17">
        <f>IFERROR(__xludf.DUMMYFUNCTION("""COMPUTED_VALUE"""),3.0)</f>
        <v>3</v>
      </c>
      <c r="G2075" s="17" t="str">
        <f>IFERROR(__xludf.DUMMYFUNCTION("""COMPUTED_VALUE"""),"161612")</f>
        <v>161612</v>
      </c>
      <c r="H2075" s="17" t="str">
        <f>IFERROR(__xludf.DUMMYFUNCTION("""COMPUTED_VALUE"""),"розпив парфумерії")</f>
        <v>розпив парфумерії</v>
      </c>
      <c r="I2075" s="19">
        <f>IFERROR(__xludf.DUMMYFUNCTION("""COMPUTED_VALUE"""),0.0575)</f>
        <v>0.0575</v>
      </c>
      <c r="J2075" s="19">
        <f>IFERROR(__xludf.DUMMYFUNCTION("""COMPUTED_VALUE"""),0.115)</f>
        <v>0.115</v>
      </c>
      <c r="K2075" s="19">
        <f>IFERROR(__xludf.DUMMYFUNCTION("""COMPUTED_VALUE"""),0.1438)</f>
        <v>0.1438</v>
      </c>
      <c r="L2075" s="19">
        <f>IFERROR(__xludf.DUMMYFUNCTION("""COMPUTED_VALUE"""),0.1725)</f>
        <v>0.1725</v>
      </c>
      <c r="M2075" s="18">
        <f>IFERROR(__xludf.DUMMYFUNCTION("""COMPUTED_VALUE"""),1.05)</f>
        <v>1.05</v>
      </c>
    </row>
    <row r="2076">
      <c r="A2076" s="13" t="str">
        <f>IFERROR(__xludf.DUMMYFUNCTION("""COMPUTED_VALUE"""),"товари")</f>
        <v>товари</v>
      </c>
      <c r="B2076" s="16" t="str">
        <f>IFERROR(__xludf.DUMMYFUNCTION("""COMPUTED_VALUE"""),"краса та здоров'я")</f>
        <v>краса та здоров'я</v>
      </c>
      <c r="C2076" s="16" t="str">
        <f>IFERROR(__xludf.DUMMYFUNCTION("""COMPUTED_VALUE"""),"декоративна косметика")</f>
        <v>декоративна косметика</v>
      </c>
      <c r="D2076" s="16" t="str">
        <f>IFERROR(__xludf.DUMMYFUNCTION("""COMPUTED_VALUE"""),"макіяж обличчя")</f>
        <v>макіяж обличчя</v>
      </c>
      <c r="E2076" s="16" t="str">
        <f>IFERROR(__xludf.DUMMYFUNCTION("""COMPUTED_VALUE"""),"рум'яна")</f>
        <v>рум'яна</v>
      </c>
      <c r="F2076" s="17">
        <f>IFERROR(__xludf.DUMMYFUNCTION("""COMPUTED_VALUE"""),4.0)</f>
        <v>4</v>
      </c>
      <c r="G2076" s="17" t="str">
        <f>IFERROR(__xludf.DUMMYFUNCTION("""COMPUTED_VALUE"""),"8210105")</f>
        <v>8210105</v>
      </c>
      <c r="H2076" s="17" t="str">
        <f>IFERROR(__xludf.DUMMYFUNCTION("""COMPUTED_VALUE"""),"рум'яна")</f>
        <v>рум'яна</v>
      </c>
      <c r="I2076" s="19">
        <f>IFERROR(__xludf.DUMMYFUNCTION("""COMPUTED_VALUE"""),0.0675)</f>
        <v>0.0675</v>
      </c>
      <c r="J2076" s="19">
        <f>IFERROR(__xludf.DUMMYFUNCTION("""COMPUTED_VALUE"""),0.135)</f>
        <v>0.135</v>
      </c>
      <c r="K2076" s="19">
        <f>IFERROR(__xludf.DUMMYFUNCTION("""COMPUTED_VALUE"""),0.1688)</f>
        <v>0.1688</v>
      </c>
      <c r="L2076" s="19">
        <f>IFERROR(__xludf.DUMMYFUNCTION("""COMPUTED_VALUE"""),0.2025)</f>
        <v>0.2025</v>
      </c>
      <c r="M2076" s="18">
        <f>IFERROR(__xludf.DUMMYFUNCTION("""COMPUTED_VALUE"""),1.05)</f>
        <v>1.05</v>
      </c>
    </row>
    <row r="2077">
      <c r="A2077" s="13" t="str">
        <f>IFERROR(__xludf.DUMMYFUNCTION("""COMPUTED_VALUE"""),"товари")</f>
        <v>товари</v>
      </c>
      <c r="B2077" s="16" t="str">
        <f>IFERROR(__xludf.DUMMYFUNCTION("""COMPUTED_VALUE"""),"краса та здоров'я")</f>
        <v>краса та здоров'я</v>
      </c>
      <c r="C2077" s="16" t="str">
        <f>IFERROR(__xludf.DUMMYFUNCTION("""COMPUTED_VALUE"""),"товари для здоров'я")</f>
        <v>товари для здоров'я</v>
      </c>
      <c r="D2077" s="16" t="str">
        <f>IFERROR(__xludf.DUMMYFUNCTION("""COMPUTED_VALUE"""),"масажери")</f>
        <v>масажери</v>
      </c>
      <c r="E2077" s="16" t="str">
        <f>IFERROR(__xludf.DUMMYFUNCTION("""COMPUTED_VALUE"""),"ручні масажери для тіла")</f>
        <v>ручні масажери для тіла</v>
      </c>
      <c r="F2077" s="17">
        <f>IFERROR(__xludf.DUMMYFUNCTION("""COMPUTED_VALUE"""),4.0)</f>
        <v>4</v>
      </c>
      <c r="G2077" s="17" t="str">
        <f>IFERROR(__xludf.DUMMYFUNCTION("""COMPUTED_VALUE"""),"162209")</f>
        <v>162209</v>
      </c>
      <c r="H2077" s="17" t="str">
        <f>IFERROR(__xludf.DUMMYFUNCTION("""COMPUTED_VALUE"""),"ручні масажери для тіла")</f>
        <v>ручні масажери для тіла</v>
      </c>
      <c r="I2077" s="19">
        <f>IFERROR(__xludf.DUMMYFUNCTION("""COMPUTED_VALUE"""),0.0725)</f>
        <v>0.0725</v>
      </c>
      <c r="J2077" s="19">
        <f>IFERROR(__xludf.DUMMYFUNCTION("""COMPUTED_VALUE"""),0.145)</f>
        <v>0.145</v>
      </c>
      <c r="K2077" s="19">
        <f>IFERROR(__xludf.DUMMYFUNCTION("""COMPUTED_VALUE"""),0.1813)</f>
        <v>0.1813</v>
      </c>
      <c r="L2077" s="19">
        <f>IFERROR(__xludf.DUMMYFUNCTION("""COMPUTED_VALUE"""),0.2175)</f>
        <v>0.2175</v>
      </c>
      <c r="M2077" s="18">
        <f>IFERROR(__xludf.DUMMYFUNCTION("""COMPUTED_VALUE"""),1.53)</f>
        <v>1.53</v>
      </c>
    </row>
    <row r="2078">
      <c r="A2078" s="13" t="str">
        <f>IFERROR(__xludf.DUMMYFUNCTION("""COMPUTED_VALUE"""),"товари")</f>
        <v>товари</v>
      </c>
      <c r="B2078" s="16" t="str">
        <f>IFERROR(__xludf.DUMMYFUNCTION("""COMPUTED_VALUE"""),"краса та здоров'я")</f>
        <v>краса та здоров'я</v>
      </c>
      <c r="C2078" s="16" t="str">
        <f>IFERROR(__xludf.DUMMYFUNCTION("""COMPUTED_VALUE"""),"косметика по догляду")</f>
        <v>косметика по догляду</v>
      </c>
      <c r="D2078" s="16" t="str">
        <f>IFERROR(__xludf.DUMMYFUNCTION("""COMPUTED_VALUE"""),"догляд за обличчям")</f>
        <v>догляд за обличчям</v>
      </c>
      <c r="E2078" s="16" t="str">
        <f>IFERROR(__xludf.DUMMYFUNCTION("""COMPUTED_VALUE"""),"сироватки для обличчя")</f>
        <v>сироватки для обличчя</v>
      </c>
      <c r="F2078" s="17">
        <f>IFERROR(__xludf.DUMMYFUNCTION("""COMPUTED_VALUE"""),4.0)</f>
        <v>4</v>
      </c>
      <c r="G2078" s="17" t="str">
        <f>IFERROR(__xludf.DUMMYFUNCTION("""COMPUTED_VALUE"""),"330625")</f>
        <v>330625</v>
      </c>
      <c r="H2078" s="17" t="str">
        <f>IFERROR(__xludf.DUMMYFUNCTION("""COMPUTED_VALUE"""),"сироватки для обличчя")</f>
        <v>сироватки для обличчя</v>
      </c>
      <c r="I2078" s="19">
        <f>IFERROR(__xludf.DUMMYFUNCTION("""COMPUTED_VALUE"""),0.0664)</f>
        <v>0.0664</v>
      </c>
      <c r="J2078" s="19">
        <f>IFERROR(__xludf.DUMMYFUNCTION("""COMPUTED_VALUE"""),0.1327)</f>
        <v>0.1327</v>
      </c>
      <c r="K2078" s="19">
        <f>IFERROR(__xludf.DUMMYFUNCTION("""COMPUTED_VALUE"""),0.1659)</f>
        <v>0.1659</v>
      </c>
      <c r="L2078" s="19">
        <f>IFERROR(__xludf.DUMMYFUNCTION("""COMPUTED_VALUE"""),0.1991)</f>
        <v>0.1991</v>
      </c>
      <c r="M2078" s="18">
        <f>IFERROR(__xludf.DUMMYFUNCTION("""COMPUTED_VALUE"""),1.71)</f>
        <v>1.71</v>
      </c>
    </row>
    <row r="2079">
      <c r="A2079" s="13" t="str">
        <f>IFERROR(__xludf.DUMMYFUNCTION("""COMPUTED_VALUE"""),"товари")</f>
        <v>товари</v>
      </c>
      <c r="B2079" s="16" t="str">
        <f>IFERROR(__xludf.DUMMYFUNCTION("""COMPUTED_VALUE"""),"краса та здоров'я")</f>
        <v>краса та здоров'я</v>
      </c>
      <c r="C2079" s="16" t="str">
        <f>IFERROR(__xludf.DUMMYFUNCTION("""COMPUTED_VALUE"""),"товари для здоров'я")</f>
        <v>товари для здоров'я</v>
      </c>
      <c r="D2079" s="16" t="str">
        <f>IFERROR(__xludf.DUMMYFUNCTION("""COMPUTED_VALUE"""),"домашня медична техніка")</f>
        <v>домашня медична техніка</v>
      </c>
      <c r="E2079" s="16" t="str">
        <f>IFERROR(__xludf.DUMMYFUNCTION("""COMPUTED_VALUE"""),"слухові апарати")</f>
        <v>слухові апарати</v>
      </c>
      <c r="F2079" s="17">
        <f>IFERROR(__xludf.DUMMYFUNCTION("""COMPUTED_VALUE"""),4.0)</f>
        <v>4</v>
      </c>
      <c r="G2079" s="17" t="str">
        <f>IFERROR(__xludf.DUMMYFUNCTION("""COMPUTED_VALUE"""),"1620")</f>
        <v>1620</v>
      </c>
      <c r="H2079" s="17" t="str">
        <f>IFERROR(__xludf.DUMMYFUNCTION("""COMPUTED_VALUE"""),"слухові апарати")</f>
        <v>слухові апарати</v>
      </c>
      <c r="I2079" s="19">
        <f>IFERROR(__xludf.DUMMYFUNCTION("""COMPUTED_VALUE"""),0.0694)</f>
        <v>0.0694</v>
      </c>
      <c r="J2079" s="19">
        <f>IFERROR(__xludf.DUMMYFUNCTION("""COMPUTED_VALUE"""),0.1388)</f>
        <v>0.1388</v>
      </c>
      <c r="K2079" s="19">
        <f>IFERROR(__xludf.DUMMYFUNCTION("""COMPUTED_VALUE"""),0.1735)</f>
        <v>0.1735</v>
      </c>
      <c r="L2079" s="19">
        <f>IFERROR(__xludf.DUMMYFUNCTION("""COMPUTED_VALUE"""),0.2082)</f>
        <v>0.2082</v>
      </c>
      <c r="M2079" s="18">
        <f>IFERROR(__xludf.DUMMYFUNCTION("""COMPUTED_VALUE"""),1.53)</f>
        <v>1.53</v>
      </c>
    </row>
    <row r="2080">
      <c r="A2080" s="13" t="str">
        <f>IFERROR(__xludf.DUMMYFUNCTION("""COMPUTED_VALUE"""),"товари")</f>
        <v>товари</v>
      </c>
      <c r="B2080" s="16" t="str">
        <f>IFERROR(__xludf.DUMMYFUNCTION("""COMPUTED_VALUE"""),"краса та здоров'я")</f>
        <v>краса та здоров'я</v>
      </c>
      <c r="C2080" s="16" t="str">
        <f>IFERROR(__xludf.DUMMYFUNCTION("""COMPUTED_VALUE"""),"товари для здоров'я")</f>
        <v>товари для здоров'я</v>
      </c>
      <c r="D2080" s="16" t="str">
        <f>IFERROR(__xludf.DUMMYFUNCTION("""COMPUTED_VALUE"""),"домашня медична техніка")</f>
        <v>домашня медична техніка</v>
      </c>
      <c r="E2080" s="16" t="str">
        <f>IFERROR(__xludf.DUMMYFUNCTION("""COMPUTED_VALUE"""),"сольові грілки")</f>
        <v>сольові грілки</v>
      </c>
      <c r="F2080" s="17">
        <f>IFERROR(__xludf.DUMMYFUNCTION("""COMPUTED_VALUE"""),4.0)</f>
        <v>4</v>
      </c>
      <c r="G2080" s="17" t="str">
        <f>IFERROR(__xludf.DUMMYFUNCTION("""COMPUTED_VALUE"""),"16252405")</f>
        <v>16252405</v>
      </c>
      <c r="H2080" s="17" t="str">
        <f>IFERROR(__xludf.DUMMYFUNCTION("""COMPUTED_VALUE"""),"сольові грілки")</f>
        <v>сольові грілки</v>
      </c>
      <c r="I2080" s="19">
        <f>IFERROR(__xludf.DUMMYFUNCTION("""COMPUTED_VALUE"""),0.0565)</f>
        <v>0.0565</v>
      </c>
      <c r="J2080" s="19">
        <f>IFERROR(__xludf.DUMMYFUNCTION("""COMPUTED_VALUE"""),0.113)</f>
        <v>0.113</v>
      </c>
      <c r="K2080" s="19">
        <f>IFERROR(__xludf.DUMMYFUNCTION("""COMPUTED_VALUE"""),0.1413)</f>
        <v>0.1413</v>
      </c>
      <c r="L2080" s="19">
        <f>IFERROR(__xludf.DUMMYFUNCTION("""COMPUTED_VALUE"""),0.1695)</f>
        <v>0.1695</v>
      </c>
      <c r="M2080" s="18">
        <f>IFERROR(__xludf.DUMMYFUNCTION("""COMPUTED_VALUE"""),1.53)</f>
        <v>1.53</v>
      </c>
    </row>
    <row r="2081">
      <c r="A2081" s="13" t="str">
        <f>IFERROR(__xludf.DUMMYFUNCTION("""COMPUTED_VALUE"""),"товари")</f>
        <v>товари</v>
      </c>
      <c r="B2081" s="16" t="str">
        <f>IFERROR(__xludf.DUMMYFUNCTION("""COMPUTED_VALUE"""),"краса та здоров'я")</f>
        <v>краса та здоров'я</v>
      </c>
      <c r="C2081" s="16" t="str">
        <f>IFERROR(__xludf.DUMMYFUNCTION("""COMPUTED_VALUE"""),"косметика по догляду")</f>
        <v>косметика по догляду</v>
      </c>
      <c r="D2081" s="16" t="str">
        <f>IFERROR(__xludf.DUMMYFUNCTION("""COMPUTED_VALUE"""),"догляд за волоссям")</f>
        <v>догляд за волоссям</v>
      </c>
      <c r="E2081" s="16" t="str">
        <f>IFERROR(__xludf.DUMMYFUNCTION("""COMPUTED_VALUE"""),"сонцезахисні засоби для волосся")</f>
        <v>сонцезахисні засоби для волосся</v>
      </c>
      <c r="F2081" s="17">
        <f>IFERROR(__xludf.DUMMYFUNCTION("""COMPUTED_VALUE"""),4.0)</f>
        <v>4</v>
      </c>
      <c r="G2081" s="17" t="str">
        <f>IFERROR(__xludf.DUMMYFUNCTION("""COMPUTED_VALUE"""),"330713")</f>
        <v>330713</v>
      </c>
      <c r="H2081" s="17" t="str">
        <f>IFERROR(__xludf.DUMMYFUNCTION("""COMPUTED_VALUE"""),"сонцезахисні засоби для волосся")</f>
        <v>сонцезахисні засоби для волосся</v>
      </c>
      <c r="I2081" s="19">
        <f>IFERROR(__xludf.DUMMYFUNCTION("""COMPUTED_VALUE"""),0.0644)</f>
        <v>0.0644</v>
      </c>
      <c r="J2081" s="19">
        <f>IFERROR(__xludf.DUMMYFUNCTION("""COMPUTED_VALUE"""),0.1288)</f>
        <v>0.1288</v>
      </c>
      <c r="K2081" s="19">
        <f>IFERROR(__xludf.DUMMYFUNCTION("""COMPUTED_VALUE"""),0.161)</f>
        <v>0.161</v>
      </c>
      <c r="L2081" s="19">
        <f>IFERROR(__xludf.DUMMYFUNCTION("""COMPUTED_VALUE"""),0.1932)</f>
        <v>0.1932</v>
      </c>
      <c r="M2081" s="18">
        <f>IFERROR(__xludf.DUMMYFUNCTION("""COMPUTED_VALUE"""),1.63)</f>
        <v>1.63</v>
      </c>
    </row>
    <row r="2082">
      <c r="A2082" s="13" t="str">
        <f>IFERROR(__xludf.DUMMYFUNCTION("""COMPUTED_VALUE"""),"товари")</f>
        <v>товари</v>
      </c>
      <c r="B2082" s="16" t="str">
        <f>IFERROR(__xludf.DUMMYFUNCTION("""COMPUTED_VALUE"""),"краса та здоров'я")</f>
        <v>краса та здоров'я</v>
      </c>
      <c r="C2082" s="16" t="str">
        <f>IFERROR(__xludf.DUMMYFUNCTION("""COMPUTED_VALUE"""),"косметика по догляду")</f>
        <v>косметика по догляду</v>
      </c>
      <c r="D2082" s="16" t="str">
        <f>IFERROR(__xludf.DUMMYFUNCTION("""COMPUTED_VALUE"""),"засоби для засмаги")</f>
        <v>засоби для засмаги</v>
      </c>
      <c r="E2082" s="16" t="str">
        <f>IFERROR(__xludf.DUMMYFUNCTION("""COMPUTED_VALUE"""),"сонцезахисні засоби для шкіри")</f>
        <v>сонцезахисні засоби для шкіри</v>
      </c>
      <c r="F2082" s="17">
        <f>IFERROR(__xludf.DUMMYFUNCTION("""COMPUTED_VALUE"""),4.0)</f>
        <v>4</v>
      </c>
      <c r="G2082" s="17" t="str">
        <f>IFERROR(__xludf.DUMMYFUNCTION("""COMPUTED_VALUE"""),"330621")</f>
        <v>330621</v>
      </c>
      <c r="H2082" s="17" t="str">
        <f>IFERROR(__xludf.DUMMYFUNCTION("""COMPUTED_VALUE"""),"сонцезахисні засоби для шкіри")</f>
        <v>сонцезахисні засоби для шкіри</v>
      </c>
      <c r="I2082" s="19">
        <f>IFERROR(__xludf.DUMMYFUNCTION("""COMPUTED_VALUE"""),0.0656)</f>
        <v>0.0656</v>
      </c>
      <c r="J2082" s="19">
        <f>IFERROR(__xludf.DUMMYFUNCTION("""COMPUTED_VALUE"""),0.1311)</f>
        <v>0.1311</v>
      </c>
      <c r="K2082" s="19">
        <f>IFERROR(__xludf.DUMMYFUNCTION("""COMPUTED_VALUE"""),0.1639)</f>
        <v>0.1639</v>
      </c>
      <c r="L2082" s="19">
        <f>IFERROR(__xludf.DUMMYFUNCTION("""COMPUTED_VALUE"""),0.1967)</f>
        <v>0.1967</v>
      </c>
      <c r="M2082" s="18">
        <f>IFERROR(__xludf.DUMMYFUNCTION("""COMPUTED_VALUE"""),1.8)</f>
        <v>1.8</v>
      </c>
    </row>
    <row r="2083">
      <c r="A2083" s="13" t="str">
        <f>IFERROR(__xludf.DUMMYFUNCTION("""COMPUTED_VALUE"""),"товари")</f>
        <v>товари</v>
      </c>
      <c r="B2083" s="16" t="str">
        <f>IFERROR(__xludf.DUMMYFUNCTION("""COMPUTED_VALUE"""),"краса та здоров'я")</f>
        <v>краса та здоров'я</v>
      </c>
      <c r="C2083" s="16" t="str">
        <f>IFERROR(__xludf.DUMMYFUNCTION("""COMPUTED_VALUE"""),"косметика по догляду")</f>
        <v>косметика по догляду</v>
      </c>
      <c r="D2083" s="16" t="str">
        <f>IFERROR(__xludf.DUMMYFUNCTION("""COMPUTED_VALUE"""),"догляд за обличчям")</f>
        <v>догляд за обличчям</v>
      </c>
      <c r="E2083" s="16" t="str">
        <f>IFERROR(__xludf.DUMMYFUNCTION("""COMPUTED_VALUE"""),"спреї для шкіри обличчя і тіла")</f>
        <v>спреї для шкіри обличчя і тіла</v>
      </c>
      <c r="F2083" s="17">
        <f>IFERROR(__xludf.DUMMYFUNCTION("""COMPUTED_VALUE"""),4.0)</f>
        <v>4</v>
      </c>
      <c r="G2083" s="17" t="str">
        <f>IFERROR(__xludf.DUMMYFUNCTION("""COMPUTED_VALUE"""),"330616")</f>
        <v>330616</v>
      </c>
      <c r="H2083" s="17" t="str">
        <f>IFERROR(__xludf.DUMMYFUNCTION("""COMPUTED_VALUE"""),"спреї для шкіри обличчя і тіла")</f>
        <v>спреї для шкіри обличчя і тіла</v>
      </c>
      <c r="I2083" s="19">
        <f>IFERROR(__xludf.DUMMYFUNCTION("""COMPUTED_VALUE"""),0.0664)</f>
        <v>0.0664</v>
      </c>
      <c r="J2083" s="19">
        <f>IFERROR(__xludf.DUMMYFUNCTION("""COMPUTED_VALUE"""),0.1327)</f>
        <v>0.1327</v>
      </c>
      <c r="K2083" s="19">
        <f>IFERROR(__xludf.DUMMYFUNCTION("""COMPUTED_VALUE"""),0.1659)</f>
        <v>0.1659</v>
      </c>
      <c r="L2083" s="19">
        <f>IFERROR(__xludf.DUMMYFUNCTION("""COMPUTED_VALUE"""),0.1991)</f>
        <v>0.1991</v>
      </c>
      <c r="M2083" s="18">
        <f>IFERROR(__xludf.DUMMYFUNCTION("""COMPUTED_VALUE"""),1.71)</f>
        <v>1.71</v>
      </c>
    </row>
    <row r="2084">
      <c r="A2084" s="13" t="str">
        <f>IFERROR(__xludf.DUMMYFUNCTION("""COMPUTED_VALUE"""),"товари")</f>
        <v>товари</v>
      </c>
      <c r="B2084" s="16" t="str">
        <f>IFERROR(__xludf.DUMMYFUNCTION("""COMPUTED_VALUE"""),"краса та здоров'я")</f>
        <v>краса та здоров'я</v>
      </c>
      <c r="C2084" s="16" t="str">
        <f>IFERROR(__xludf.DUMMYFUNCTION("""COMPUTED_VALUE"""),"все для манікюру і педикюру")</f>
        <v>все для манікюру і педикюру</v>
      </c>
      <c r="D2084" s="16" t="str">
        <f>IFERROR(__xludf.DUMMYFUNCTION("""COMPUTED_VALUE"""),"стартові набори для манікюру")</f>
        <v>стартові набори для манікюру</v>
      </c>
      <c r="E2084" s="16" t="str">
        <f>IFERROR(__xludf.DUMMYFUNCTION("""COMPUTED_VALUE"""),"стартові набори для манікюру")</f>
        <v>стартові набори для манікюру</v>
      </c>
      <c r="F2084" s="17">
        <f>IFERROR(__xludf.DUMMYFUNCTION("""COMPUTED_VALUE"""),3.0)</f>
        <v>3</v>
      </c>
      <c r="G2084" s="17" t="str">
        <f>IFERROR(__xludf.DUMMYFUNCTION("""COMPUTED_VALUE"""),"161812")</f>
        <v>161812</v>
      </c>
      <c r="H2084" s="17" t="str">
        <f>IFERROR(__xludf.DUMMYFUNCTION("""COMPUTED_VALUE"""),"стартові набори для манікюру")</f>
        <v>стартові набори для манікюру</v>
      </c>
      <c r="I2084" s="19">
        <f>IFERROR(__xludf.DUMMYFUNCTION("""COMPUTED_VALUE"""),0.0771)</f>
        <v>0.0771</v>
      </c>
      <c r="J2084" s="19">
        <f>IFERROR(__xludf.DUMMYFUNCTION("""COMPUTED_VALUE"""),0.1542)</f>
        <v>0.1542</v>
      </c>
      <c r="K2084" s="19">
        <f>IFERROR(__xludf.DUMMYFUNCTION("""COMPUTED_VALUE"""),0.1928)</f>
        <v>0.1928</v>
      </c>
      <c r="L2084" s="19">
        <f>IFERROR(__xludf.DUMMYFUNCTION("""COMPUTED_VALUE"""),0.2313)</f>
        <v>0.2313</v>
      </c>
      <c r="M2084" s="18">
        <f>IFERROR(__xludf.DUMMYFUNCTION("""COMPUTED_VALUE"""),4.43)</f>
        <v>4.43</v>
      </c>
    </row>
    <row r="2085">
      <c r="A2085" s="13" t="str">
        <f>IFERROR(__xludf.DUMMYFUNCTION("""COMPUTED_VALUE"""),"товари")</f>
        <v>товари</v>
      </c>
      <c r="B2085" s="16" t="str">
        <f>IFERROR(__xludf.DUMMYFUNCTION("""COMPUTED_VALUE"""),"краса та здоров'я")</f>
        <v>краса та здоров'я</v>
      </c>
      <c r="C2085" s="16" t="str">
        <f>IFERROR(__xludf.DUMMYFUNCTION("""COMPUTED_VALUE"""),"товари для здоров'я")</f>
        <v>товари для здоров'я</v>
      </c>
      <c r="D2085" s="16" t="str">
        <f>IFERROR(__xludf.DUMMYFUNCTION("""COMPUTED_VALUE"""),"домашня медична техніка")</f>
        <v>домашня медична техніка</v>
      </c>
      <c r="E2085" s="16" t="str">
        <f>IFERROR(__xludf.DUMMYFUNCTION("""COMPUTED_VALUE"""),"стетоскопи")</f>
        <v>стетоскопи</v>
      </c>
      <c r="F2085" s="17">
        <f>IFERROR(__xludf.DUMMYFUNCTION("""COMPUTED_VALUE"""),4.0)</f>
        <v>4</v>
      </c>
      <c r="G2085" s="17" t="str">
        <f>IFERROR(__xludf.DUMMYFUNCTION("""COMPUTED_VALUE"""),"162526")</f>
        <v>162526</v>
      </c>
      <c r="H2085" s="17" t="str">
        <f>IFERROR(__xludf.DUMMYFUNCTION("""COMPUTED_VALUE"""),"стетоскопи")</f>
        <v>стетоскопи</v>
      </c>
      <c r="I2085" s="19">
        <f>IFERROR(__xludf.DUMMYFUNCTION("""COMPUTED_VALUE"""),0.0694)</f>
        <v>0.0694</v>
      </c>
      <c r="J2085" s="19">
        <f>IFERROR(__xludf.DUMMYFUNCTION("""COMPUTED_VALUE"""),0.1388)</f>
        <v>0.1388</v>
      </c>
      <c r="K2085" s="19">
        <f>IFERROR(__xludf.DUMMYFUNCTION("""COMPUTED_VALUE"""),0.1735)</f>
        <v>0.1735</v>
      </c>
      <c r="L2085" s="19">
        <f>IFERROR(__xludf.DUMMYFUNCTION("""COMPUTED_VALUE"""),0.2082)</f>
        <v>0.2082</v>
      </c>
      <c r="M2085" s="18">
        <f>IFERROR(__xludf.DUMMYFUNCTION("""COMPUTED_VALUE"""),1.53)</f>
        <v>1.53</v>
      </c>
    </row>
    <row r="2086">
      <c r="A2086" s="13" t="str">
        <f>IFERROR(__xludf.DUMMYFUNCTION("""COMPUTED_VALUE"""),"товари")</f>
        <v>товари</v>
      </c>
      <c r="B2086" s="16" t="str">
        <f>IFERROR(__xludf.DUMMYFUNCTION("""COMPUTED_VALUE"""),"краса та здоров'я")</f>
        <v>краса та здоров'я</v>
      </c>
      <c r="C2086" s="16" t="str">
        <f>IFERROR(__xludf.DUMMYFUNCTION("""COMPUTED_VALUE"""),"товари для здоров'я")</f>
        <v>товари для здоров'я</v>
      </c>
      <c r="D2086" s="16" t="str">
        <f>IFERROR(__xludf.DUMMYFUNCTION("""COMPUTED_VALUE"""),"масажери")</f>
        <v>масажери</v>
      </c>
      <c r="E2086" s="16" t="str">
        <f>IFERROR(__xludf.DUMMYFUNCTION("""COMPUTED_VALUE"""),"стрічкові вібромасажери для тіла")</f>
        <v>стрічкові вібромасажери для тіла</v>
      </c>
      <c r="F2086" s="17">
        <f>IFERROR(__xludf.DUMMYFUNCTION("""COMPUTED_VALUE"""),4.0)</f>
        <v>4</v>
      </c>
      <c r="G2086" s="17" t="str">
        <f>IFERROR(__xludf.DUMMYFUNCTION("""COMPUTED_VALUE"""),"162202")</f>
        <v>162202</v>
      </c>
      <c r="H2086" s="17" t="str">
        <f>IFERROR(__xludf.DUMMYFUNCTION("""COMPUTED_VALUE"""),"стрічкові вібромасажери для тіла")</f>
        <v>стрічкові вібромасажери для тіла</v>
      </c>
      <c r="I2086" s="19">
        <f>IFERROR(__xludf.DUMMYFUNCTION("""COMPUTED_VALUE"""),0.0725)</f>
        <v>0.0725</v>
      </c>
      <c r="J2086" s="19">
        <f>IFERROR(__xludf.DUMMYFUNCTION("""COMPUTED_VALUE"""),0.145)</f>
        <v>0.145</v>
      </c>
      <c r="K2086" s="19">
        <f>IFERROR(__xludf.DUMMYFUNCTION("""COMPUTED_VALUE"""),0.1813)</f>
        <v>0.1813</v>
      </c>
      <c r="L2086" s="19">
        <f>IFERROR(__xludf.DUMMYFUNCTION("""COMPUTED_VALUE"""),0.2175)</f>
        <v>0.2175</v>
      </c>
      <c r="M2086" s="18">
        <f>IFERROR(__xludf.DUMMYFUNCTION("""COMPUTED_VALUE"""),1.53)</f>
        <v>1.53</v>
      </c>
    </row>
    <row r="2087">
      <c r="A2087" s="13" t="str">
        <f>IFERROR(__xludf.DUMMYFUNCTION("""COMPUTED_VALUE"""),"товари")</f>
        <v>товари</v>
      </c>
      <c r="B2087" s="16" t="str">
        <f>IFERROR(__xludf.DUMMYFUNCTION("""COMPUTED_VALUE"""),"краса та здоров'я")</f>
        <v>краса та здоров'я</v>
      </c>
      <c r="C2087" s="16" t="str">
        <f>IFERROR(__xludf.DUMMYFUNCTION("""COMPUTED_VALUE"""),"косметика по догляду")</f>
        <v>косметика по догляду</v>
      </c>
      <c r="D2087" s="16" t="str">
        <f>IFERROR(__xludf.DUMMYFUNCTION("""COMPUTED_VALUE"""),"догляд за тілом")</f>
        <v>догляд за тілом</v>
      </c>
      <c r="E2087" s="16" t="str">
        <f>IFERROR(__xludf.DUMMYFUNCTION("""COMPUTED_VALUE"""),"тальк для тіла")</f>
        <v>тальк для тіла</v>
      </c>
      <c r="F2087" s="17">
        <f>IFERROR(__xludf.DUMMYFUNCTION("""COMPUTED_VALUE"""),4.0)</f>
        <v>4</v>
      </c>
      <c r="G2087" s="17" t="str">
        <f>IFERROR(__xludf.DUMMYFUNCTION("""COMPUTED_VALUE"""),"330406")</f>
        <v>330406</v>
      </c>
      <c r="H2087" s="17" t="str">
        <f>IFERROR(__xludf.DUMMYFUNCTION("""COMPUTED_VALUE"""),"тальк для тіла")</f>
        <v>тальк для тіла</v>
      </c>
      <c r="I2087" s="19">
        <f>IFERROR(__xludf.DUMMYFUNCTION("""COMPUTED_VALUE"""),0.0656)</f>
        <v>0.0656</v>
      </c>
      <c r="J2087" s="19">
        <f>IFERROR(__xludf.DUMMYFUNCTION("""COMPUTED_VALUE"""),0.1311)</f>
        <v>0.1311</v>
      </c>
      <c r="K2087" s="19">
        <f>IFERROR(__xludf.DUMMYFUNCTION("""COMPUTED_VALUE"""),0.1639)</f>
        <v>0.1639</v>
      </c>
      <c r="L2087" s="19">
        <f>IFERROR(__xludf.DUMMYFUNCTION("""COMPUTED_VALUE"""),0.1967)</f>
        <v>0.1967</v>
      </c>
      <c r="M2087" s="18">
        <f>IFERROR(__xludf.DUMMYFUNCTION("""COMPUTED_VALUE"""),1.8)</f>
        <v>1.8</v>
      </c>
    </row>
    <row r="2088">
      <c r="A2088" s="13" t="str">
        <f>IFERROR(__xludf.DUMMYFUNCTION("""COMPUTED_VALUE"""),"товари")</f>
        <v>товари</v>
      </c>
      <c r="B2088" s="16" t="str">
        <f>IFERROR(__xludf.DUMMYFUNCTION("""COMPUTED_VALUE"""),"краса та здоров'я")</f>
        <v>краса та здоров'я</v>
      </c>
      <c r="C2088" s="16" t="str">
        <f>IFERROR(__xludf.DUMMYFUNCTION("""COMPUTED_VALUE"""),"косметика по догляду")</f>
        <v>косметика по догляду</v>
      </c>
      <c r="D2088" s="16" t="str">
        <f>IFERROR(__xludf.DUMMYFUNCTION("""COMPUTED_VALUE"""),"догляд за волоссям")</f>
        <v>догляд за волоссям</v>
      </c>
      <c r="E2088" s="16" t="str">
        <f>IFERROR(__xludf.DUMMYFUNCTION("""COMPUTED_VALUE"""),"термобігуді і бігуді")</f>
        <v>термобігуді і бігуді</v>
      </c>
      <c r="F2088" s="17">
        <f>IFERROR(__xludf.DUMMYFUNCTION("""COMPUTED_VALUE"""),4.0)</f>
        <v>4</v>
      </c>
      <c r="G2088" s="17" t="str">
        <f>IFERROR(__xludf.DUMMYFUNCTION("""COMPUTED_VALUE"""),"331705")</f>
        <v>331705</v>
      </c>
      <c r="H2088" s="17" t="str">
        <f>IFERROR(__xludf.DUMMYFUNCTION("""COMPUTED_VALUE"""),"термобігуді і бігуді")</f>
        <v>термобігуді і бігуді</v>
      </c>
      <c r="I2088" s="19">
        <f>IFERROR(__xludf.DUMMYFUNCTION("""COMPUTED_VALUE"""),0.0644)</f>
        <v>0.0644</v>
      </c>
      <c r="J2088" s="19">
        <f>IFERROR(__xludf.DUMMYFUNCTION("""COMPUTED_VALUE"""),0.1288)</f>
        <v>0.1288</v>
      </c>
      <c r="K2088" s="19">
        <f>IFERROR(__xludf.DUMMYFUNCTION("""COMPUTED_VALUE"""),0.161)</f>
        <v>0.161</v>
      </c>
      <c r="L2088" s="19">
        <f>IFERROR(__xludf.DUMMYFUNCTION("""COMPUTED_VALUE"""),0.1932)</f>
        <v>0.1932</v>
      </c>
      <c r="M2088" s="18">
        <f>IFERROR(__xludf.DUMMYFUNCTION("""COMPUTED_VALUE"""),1.63)</f>
        <v>1.63</v>
      </c>
    </row>
    <row r="2089">
      <c r="A2089" s="13" t="str">
        <f>IFERROR(__xludf.DUMMYFUNCTION("""COMPUTED_VALUE"""),"товари")</f>
        <v>товари</v>
      </c>
      <c r="B2089" s="16" t="str">
        <f>IFERROR(__xludf.DUMMYFUNCTION("""COMPUTED_VALUE"""),"краса та здоров'я")</f>
        <v>краса та здоров'я</v>
      </c>
      <c r="C2089" s="16" t="str">
        <f>IFERROR(__xludf.DUMMYFUNCTION("""COMPUTED_VALUE"""),"товари для здоров'я")</f>
        <v>товари для здоров'я</v>
      </c>
      <c r="D2089" s="16" t="str">
        <f>IFERROR(__xludf.DUMMYFUNCTION("""COMPUTED_VALUE"""),"домашня медична техніка")</f>
        <v>домашня медична техніка</v>
      </c>
      <c r="E2089" s="16" t="str">
        <f>IFERROR(__xludf.DUMMYFUNCTION("""COMPUTED_VALUE"""),"тест-смужки до глюкометрів та ланцети")</f>
        <v>тест-смужки до глюкометрів та ланцети</v>
      </c>
      <c r="F2089" s="17">
        <f>IFERROR(__xludf.DUMMYFUNCTION("""COMPUTED_VALUE"""),4.0)</f>
        <v>4</v>
      </c>
      <c r="G2089" s="17" t="str">
        <f>IFERROR(__xludf.DUMMYFUNCTION("""COMPUTED_VALUE"""),"16252501")</f>
        <v>16252501</v>
      </c>
      <c r="H2089" s="17" t="str">
        <f>IFERROR(__xludf.DUMMYFUNCTION("""COMPUTED_VALUE"""),"тест-смужки до глюкометрів та ланцети")</f>
        <v>тест-смужки до глюкометрів та ланцети</v>
      </c>
      <c r="I2089" s="19">
        <f>IFERROR(__xludf.DUMMYFUNCTION("""COMPUTED_VALUE"""),0.0694)</f>
        <v>0.0694</v>
      </c>
      <c r="J2089" s="19">
        <f>IFERROR(__xludf.DUMMYFUNCTION("""COMPUTED_VALUE"""),0.1388)</f>
        <v>0.1388</v>
      </c>
      <c r="K2089" s="19">
        <f>IFERROR(__xludf.DUMMYFUNCTION("""COMPUTED_VALUE"""),0.1735)</f>
        <v>0.1735</v>
      </c>
      <c r="L2089" s="19">
        <f>IFERROR(__xludf.DUMMYFUNCTION("""COMPUTED_VALUE"""),0.2082)</f>
        <v>0.2082</v>
      </c>
      <c r="M2089" s="18">
        <f>IFERROR(__xludf.DUMMYFUNCTION("""COMPUTED_VALUE"""),1.53)</f>
        <v>1.53</v>
      </c>
    </row>
    <row r="2090">
      <c r="A2090" s="13" t="str">
        <f>IFERROR(__xludf.DUMMYFUNCTION("""COMPUTED_VALUE"""),"товари")</f>
        <v>товари</v>
      </c>
      <c r="B2090" s="16" t="str">
        <f>IFERROR(__xludf.DUMMYFUNCTION("""COMPUTED_VALUE"""),"краса та здоров'я")</f>
        <v>краса та здоров'я</v>
      </c>
      <c r="C2090" s="16" t="str">
        <f>IFERROR(__xludf.DUMMYFUNCTION("""COMPUTED_VALUE"""),"декоративна косметика")</f>
        <v>декоративна косметика</v>
      </c>
      <c r="D2090" s="16" t="str">
        <f>IFERROR(__xludf.DUMMYFUNCTION("""COMPUTED_VALUE"""),"макіяж очей")</f>
        <v>макіяж очей</v>
      </c>
      <c r="E2090" s="16" t="str">
        <f>IFERROR(__xludf.DUMMYFUNCTION("""COMPUTED_VALUE"""),"тіні для повік")</f>
        <v>тіні для повік</v>
      </c>
      <c r="F2090" s="17">
        <f>IFERROR(__xludf.DUMMYFUNCTION("""COMPUTED_VALUE"""),4.0)</f>
        <v>4</v>
      </c>
      <c r="G2090" s="17" t="str">
        <f>IFERROR(__xludf.DUMMYFUNCTION("""COMPUTED_VALUE"""),"8210104")</f>
        <v>8210104</v>
      </c>
      <c r="H2090" s="17" t="str">
        <f>IFERROR(__xludf.DUMMYFUNCTION("""COMPUTED_VALUE"""),"тіні для повік")</f>
        <v>тіні для повік</v>
      </c>
      <c r="I2090" s="19">
        <f>IFERROR(__xludf.DUMMYFUNCTION("""COMPUTED_VALUE"""),0.0664)</f>
        <v>0.0664</v>
      </c>
      <c r="J2090" s="19">
        <f>IFERROR(__xludf.DUMMYFUNCTION("""COMPUTED_VALUE"""),0.1327)</f>
        <v>0.1327</v>
      </c>
      <c r="K2090" s="19">
        <f>IFERROR(__xludf.DUMMYFUNCTION("""COMPUTED_VALUE"""),0.1659)</f>
        <v>0.1659</v>
      </c>
      <c r="L2090" s="19">
        <f>IFERROR(__xludf.DUMMYFUNCTION("""COMPUTED_VALUE"""),0.1991)</f>
        <v>0.1991</v>
      </c>
      <c r="M2090" s="18">
        <f>IFERROR(__xludf.DUMMYFUNCTION("""COMPUTED_VALUE"""),1.71)</f>
        <v>1.71</v>
      </c>
    </row>
    <row r="2091">
      <c r="A2091" s="13" t="str">
        <f>IFERROR(__xludf.DUMMYFUNCTION("""COMPUTED_VALUE"""),"товари")</f>
        <v>товари</v>
      </c>
      <c r="B2091" s="16" t="str">
        <f>IFERROR(__xludf.DUMMYFUNCTION("""COMPUTED_VALUE"""),"краса та здоров'я")</f>
        <v>краса та здоров'я</v>
      </c>
      <c r="C2091" s="16" t="str">
        <f>IFERROR(__xludf.DUMMYFUNCTION("""COMPUTED_VALUE"""),"товари для вагітних і годуючих")</f>
        <v>товари для вагітних і годуючих</v>
      </c>
      <c r="D2091" s="16" t="str">
        <f>IFERROR(__xludf.DUMMYFUNCTION("""COMPUTED_VALUE"""),"товари для вагітних, загальне")</f>
        <v>товари для вагітних, загальне</v>
      </c>
      <c r="E2091" s="16" t="str">
        <f>IFERROR(__xludf.DUMMYFUNCTION("""COMPUTED_VALUE"""),"товари для вагітних, загальне")</f>
        <v>товари для вагітних, загальне</v>
      </c>
      <c r="F2091" s="17">
        <f>IFERROR(__xludf.DUMMYFUNCTION("""COMPUTED_VALUE"""),3.0)</f>
        <v>3</v>
      </c>
      <c r="G2091" s="17" t="str">
        <f>IFERROR(__xludf.DUMMYFUNCTION("""COMPUTED_VALUE"""),"1630")</f>
        <v>1630</v>
      </c>
      <c r="H2091" s="17" t="str">
        <f>IFERROR(__xludf.DUMMYFUNCTION("""COMPUTED_VALUE"""),"товари для вагітних, загальне")</f>
        <v>товари для вагітних, загальне</v>
      </c>
      <c r="I2091" s="19">
        <f>IFERROR(__xludf.DUMMYFUNCTION("""COMPUTED_VALUE"""),0.125)</f>
        <v>0.125</v>
      </c>
      <c r="J2091" s="19">
        <f>IFERROR(__xludf.DUMMYFUNCTION("""COMPUTED_VALUE"""),0.25)</f>
        <v>0.25</v>
      </c>
      <c r="K2091" s="19">
        <f>IFERROR(__xludf.DUMMYFUNCTION("""COMPUTED_VALUE"""),0.3125)</f>
        <v>0.3125</v>
      </c>
      <c r="L2091" s="19">
        <f>IFERROR(__xludf.DUMMYFUNCTION("""COMPUTED_VALUE"""),0.375)</f>
        <v>0.375</v>
      </c>
      <c r="M2091" s="18">
        <f>IFERROR(__xludf.DUMMYFUNCTION("""COMPUTED_VALUE"""),4.33)</f>
        <v>4.33</v>
      </c>
    </row>
    <row r="2092">
      <c r="A2092" s="13" t="str">
        <f>IFERROR(__xludf.DUMMYFUNCTION("""COMPUTED_VALUE"""),"товари")</f>
        <v>товари</v>
      </c>
      <c r="B2092" s="16" t="str">
        <f>IFERROR(__xludf.DUMMYFUNCTION("""COMPUTED_VALUE"""),"краса та здоров'я")</f>
        <v>краса та здоров'я</v>
      </c>
      <c r="C2092" s="16" t="str">
        <f>IFERROR(__xludf.DUMMYFUNCTION("""COMPUTED_VALUE"""),"оптика для зору")</f>
        <v>оптика для зору</v>
      </c>
      <c r="D2092" s="16" t="str">
        <f>IFERROR(__xludf.DUMMYFUNCTION("""COMPUTED_VALUE"""),"аксесуари для окулярів і контактних лінз")</f>
        <v>аксесуари для окулярів і контактних лінз</v>
      </c>
      <c r="E2092" s="16" t="str">
        <f>IFERROR(__xludf.DUMMYFUNCTION("""COMPUTED_VALUE"""),"товари для догляду за окулярами")</f>
        <v>товари для догляду за окулярами</v>
      </c>
      <c r="F2092" s="17">
        <f>IFERROR(__xludf.DUMMYFUNCTION("""COMPUTED_VALUE"""),4.0)</f>
        <v>4</v>
      </c>
      <c r="G2092" s="17" t="str">
        <f>IFERROR(__xludf.DUMMYFUNCTION("""COMPUTED_VALUE"""),"36127030")</f>
        <v>36127030</v>
      </c>
      <c r="H2092" s="17" t="str">
        <f>IFERROR(__xludf.DUMMYFUNCTION("""COMPUTED_VALUE"""),"товари для догляду за окулярами")</f>
        <v>товари для догляду за окулярами</v>
      </c>
      <c r="I2092" s="19">
        <f>IFERROR(__xludf.DUMMYFUNCTION("""COMPUTED_VALUE"""),0.0732)</f>
        <v>0.0732</v>
      </c>
      <c r="J2092" s="19">
        <f>IFERROR(__xludf.DUMMYFUNCTION("""COMPUTED_VALUE"""),0.1464)</f>
        <v>0.1464</v>
      </c>
      <c r="K2092" s="19">
        <f>IFERROR(__xludf.DUMMYFUNCTION("""COMPUTED_VALUE"""),0.183)</f>
        <v>0.183</v>
      </c>
      <c r="L2092" s="19">
        <f>IFERROR(__xludf.DUMMYFUNCTION("""COMPUTED_VALUE"""),0.2196)</f>
        <v>0.2196</v>
      </c>
      <c r="M2092" s="18">
        <f>IFERROR(__xludf.DUMMYFUNCTION("""COMPUTED_VALUE"""),1.98)</f>
        <v>1.98</v>
      </c>
    </row>
    <row r="2093">
      <c r="A2093" s="13" t="str">
        <f>IFERROR(__xludf.DUMMYFUNCTION("""COMPUTED_VALUE"""),"товари")</f>
        <v>товари</v>
      </c>
      <c r="B2093" s="16" t="str">
        <f>IFERROR(__xludf.DUMMYFUNCTION("""COMPUTED_VALUE"""),"краса та здоров'я")</f>
        <v>краса та здоров'я</v>
      </c>
      <c r="C2093" s="16" t="str">
        <f>IFERROR(__xludf.DUMMYFUNCTION("""COMPUTED_VALUE"""),"товари для здоров'я")</f>
        <v>товари для здоров'я</v>
      </c>
      <c r="D2093" s="16" t="str">
        <f>IFERROR(__xludf.DUMMYFUNCTION("""COMPUTED_VALUE"""),"товари для здоров'я, загальне")</f>
        <v>товари для здоров'я, загальне</v>
      </c>
      <c r="E2093" s="16" t="str">
        <f>IFERROR(__xludf.DUMMYFUNCTION("""COMPUTED_VALUE"""),"товари для здоров'я, загальне")</f>
        <v>товари для здоров'я, загальне</v>
      </c>
      <c r="F2093" s="17">
        <f>IFERROR(__xludf.DUMMYFUNCTION("""COMPUTED_VALUE"""),3.0)</f>
        <v>3</v>
      </c>
      <c r="G2093" s="17" t="str">
        <f>IFERROR(__xludf.DUMMYFUNCTION("""COMPUTED_VALUE"""),"163601")</f>
        <v>163601</v>
      </c>
      <c r="H2093" s="17" t="str">
        <f>IFERROR(__xludf.DUMMYFUNCTION("""COMPUTED_VALUE"""),"товари для здоров'я, загальне")</f>
        <v>товари для здоров'я, загальне</v>
      </c>
      <c r="I2093" s="19">
        <f>IFERROR(__xludf.DUMMYFUNCTION("""COMPUTED_VALUE"""),0.125)</f>
        <v>0.125</v>
      </c>
      <c r="J2093" s="19">
        <f>IFERROR(__xludf.DUMMYFUNCTION("""COMPUTED_VALUE"""),0.25)</f>
        <v>0.25</v>
      </c>
      <c r="K2093" s="19">
        <f>IFERROR(__xludf.DUMMYFUNCTION("""COMPUTED_VALUE"""),0.3125)</f>
        <v>0.3125</v>
      </c>
      <c r="L2093" s="19">
        <f>IFERROR(__xludf.DUMMYFUNCTION("""COMPUTED_VALUE"""),0.375)</f>
        <v>0.375</v>
      </c>
      <c r="M2093" s="18">
        <f>IFERROR(__xludf.DUMMYFUNCTION("""COMPUTED_VALUE"""),4.33)</f>
        <v>4.33</v>
      </c>
    </row>
    <row r="2094">
      <c r="A2094" s="13" t="str">
        <f>IFERROR(__xludf.DUMMYFUNCTION("""COMPUTED_VALUE"""),"товари")</f>
        <v>товари</v>
      </c>
      <c r="B2094" s="16" t="str">
        <f>IFERROR(__xludf.DUMMYFUNCTION("""COMPUTED_VALUE"""),"краса та здоров'я")</f>
        <v>краса та здоров'я</v>
      </c>
      <c r="C2094" s="16" t="str">
        <f>IFERROR(__xludf.DUMMYFUNCTION("""COMPUTED_VALUE"""),"товари для схуднення")</f>
        <v>товари для схуднення</v>
      </c>
      <c r="D2094" s="16" t="str">
        <f>IFERROR(__xludf.DUMMYFUNCTION("""COMPUTED_VALUE"""),"товари для схуднення, загальне")</f>
        <v>товари для схуднення, загальне</v>
      </c>
      <c r="E2094" s="16" t="str">
        <f>IFERROR(__xludf.DUMMYFUNCTION("""COMPUTED_VALUE"""),"товари для схуднення, загальне")</f>
        <v>товари для схуднення, загальне</v>
      </c>
      <c r="F2094" s="17">
        <f>IFERROR(__xludf.DUMMYFUNCTION("""COMPUTED_VALUE"""),3.0)</f>
        <v>3</v>
      </c>
      <c r="G2094" s="17" t="str">
        <f>IFERROR(__xludf.DUMMYFUNCTION("""COMPUTED_VALUE"""),"163403")</f>
        <v>163403</v>
      </c>
      <c r="H2094" s="17" t="str">
        <f>IFERROR(__xludf.DUMMYFUNCTION("""COMPUTED_VALUE"""),"товари для схуднення, загальне")</f>
        <v>товари для схуднення, загальне</v>
      </c>
      <c r="I2094" s="19">
        <f>IFERROR(__xludf.DUMMYFUNCTION("""COMPUTED_VALUE"""),0.125)</f>
        <v>0.125</v>
      </c>
      <c r="J2094" s="19">
        <f>IFERROR(__xludf.DUMMYFUNCTION("""COMPUTED_VALUE"""),0.25)</f>
        <v>0.25</v>
      </c>
      <c r="K2094" s="19">
        <f>IFERROR(__xludf.DUMMYFUNCTION("""COMPUTED_VALUE"""),0.3125)</f>
        <v>0.3125</v>
      </c>
      <c r="L2094" s="19">
        <f>IFERROR(__xludf.DUMMYFUNCTION("""COMPUTED_VALUE"""),0.375)</f>
        <v>0.375</v>
      </c>
      <c r="M2094" s="18">
        <f>IFERROR(__xludf.DUMMYFUNCTION("""COMPUTED_VALUE"""),4.33)</f>
        <v>4.33</v>
      </c>
    </row>
    <row r="2095">
      <c r="A2095" s="13" t="str">
        <f>IFERROR(__xludf.DUMMYFUNCTION("""COMPUTED_VALUE"""),"товари")</f>
        <v>товари</v>
      </c>
      <c r="B2095" s="16" t="str">
        <f>IFERROR(__xludf.DUMMYFUNCTION("""COMPUTED_VALUE"""),"краса та здоров'я")</f>
        <v>краса та здоров'я</v>
      </c>
      <c r="C2095" s="16" t="str">
        <f>IFERROR(__xludf.DUMMYFUNCTION("""COMPUTED_VALUE"""),"декоративна косметика")</f>
        <v>декоративна косметика</v>
      </c>
      <c r="D2095" s="16" t="str">
        <f>IFERROR(__xludf.DUMMYFUNCTION("""COMPUTED_VALUE"""),"макіяж обличчя")</f>
        <v>макіяж обличчя</v>
      </c>
      <c r="E2095" s="16" t="str">
        <f>IFERROR(__xludf.DUMMYFUNCTION("""COMPUTED_VALUE"""),"тональний крем")</f>
        <v>тональний крем</v>
      </c>
      <c r="F2095" s="17">
        <f>IFERROR(__xludf.DUMMYFUNCTION("""COMPUTED_VALUE"""),4.0)</f>
        <v>4</v>
      </c>
      <c r="G2095" s="17" t="str">
        <f>IFERROR(__xludf.DUMMYFUNCTION("""COMPUTED_VALUE"""),"8210109")</f>
        <v>8210109</v>
      </c>
      <c r="H2095" s="17" t="str">
        <f>IFERROR(__xludf.DUMMYFUNCTION("""COMPUTED_VALUE"""),"тональний крем")</f>
        <v>тональний крем</v>
      </c>
      <c r="I2095" s="19">
        <f>IFERROR(__xludf.DUMMYFUNCTION("""COMPUTED_VALUE"""),0.0675)</f>
        <v>0.0675</v>
      </c>
      <c r="J2095" s="19">
        <f>IFERROR(__xludf.DUMMYFUNCTION("""COMPUTED_VALUE"""),0.135)</f>
        <v>0.135</v>
      </c>
      <c r="K2095" s="19">
        <f>IFERROR(__xludf.DUMMYFUNCTION("""COMPUTED_VALUE"""),0.1688)</f>
        <v>0.1688</v>
      </c>
      <c r="L2095" s="19">
        <f>IFERROR(__xludf.DUMMYFUNCTION("""COMPUTED_VALUE"""),0.2025)</f>
        <v>0.2025</v>
      </c>
      <c r="M2095" s="18">
        <f>IFERROR(__xludf.DUMMYFUNCTION("""COMPUTED_VALUE"""),1.05)</f>
        <v>1.05</v>
      </c>
    </row>
    <row r="2096">
      <c r="A2096" s="13" t="str">
        <f>IFERROR(__xludf.DUMMYFUNCTION("""COMPUTED_VALUE"""),"товари")</f>
        <v>товари</v>
      </c>
      <c r="B2096" s="16" t="str">
        <f>IFERROR(__xludf.DUMMYFUNCTION("""COMPUTED_VALUE"""),"краса та здоров'я")</f>
        <v>краса та здоров'я</v>
      </c>
      <c r="C2096" s="16" t="str">
        <f>IFERROR(__xludf.DUMMYFUNCTION("""COMPUTED_VALUE"""),"косметика по догляду")</f>
        <v>косметика по догляду</v>
      </c>
      <c r="D2096" s="16" t="str">
        <f>IFERROR(__xludf.DUMMYFUNCTION("""COMPUTED_VALUE"""),"догляд за обличчям")</f>
        <v>догляд за обличчям</v>
      </c>
      <c r="E2096" s="16" t="str">
        <f>IFERROR(__xludf.DUMMYFUNCTION("""COMPUTED_VALUE"""),"тонізуючі засоби для обличчя")</f>
        <v>тонізуючі засоби для обличчя</v>
      </c>
      <c r="F2096" s="17">
        <f>IFERROR(__xludf.DUMMYFUNCTION("""COMPUTED_VALUE"""),4.0)</f>
        <v>4</v>
      </c>
      <c r="G2096" s="17" t="str">
        <f>IFERROR(__xludf.DUMMYFUNCTION("""COMPUTED_VALUE"""),"330604")</f>
        <v>330604</v>
      </c>
      <c r="H2096" s="17" t="str">
        <f>IFERROR(__xludf.DUMMYFUNCTION("""COMPUTED_VALUE"""),"тонізуючі засоби для обличчя")</f>
        <v>тонізуючі засоби для обличчя</v>
      </c>
      <c r="I2096" s="19">
        <f>IFERROR(__xludf.DUMMYFUNCTION("""COMPUTED_VALUE"""),0.0664)</f>
        <v>0.0664</v>
      </c>
      <c r="J2096" s="19">
        <f>IFERROR(__xludf.DUMMYFUNCTION("""COMPUTED_VALUE"""),0.1327)</f>
        <v>0.1327</v>
      </c>
      <c r="K2096" s="19">
        <f>IFERROR(__xludf.DUMMYFUNCTION("""COMPUTED_VALUE"""),0.1659)</f>
        <v>0.1659</v>
      </c>
      <c r="L2096" s="19">
        <f>IFERROR(__xludf.DUMMYFUNCTION("""COMPUTED_VALUE"""),0.1991)</f>
        <v>0.1991</v>
      </c>
      <c r="M2096" s="18">
        <f>IFERROR(__xludf.DUMMYFUNCTION("""COMPUTED_VALUE"""),1.71)</f>
        <v>1.71</v>
      </c>
    </row>
    <row r="2097">
      <c r="A2097" s="13" t="str">
        <f>IFERROR(__xludf.DUMMYFUNCTION("""COMPUTED_VALUE"""),"товари")</f>
        <v>товари</v>
      </c>
      <c r="B2097" s="16" t="str">
        <f>IFERROR(__xludf.DUMMYFUNCTION("""COMPUTED_VALUE"""),"краса та здоров'я")</f>
        <v>краса та здоров'я</v>
      </c>
      <c r="C2097" s="16" t="str">
        <f>IFERROR(__xludf.DUMMYFUNCTION("""COMPUTED_VALUE"""),"декоративна косметика")</f>
        <v>декоративна косметика</v>
      </c>
      <c r="D2097" s="16" t="str">
        <f>IFERROR(__xludf.DUMMYFUNCTION("""COMPUTED_VALUE"""),"аксесуари для макіяжу")</f>
        <v>аксесуари для макіяжу</v>
      </c>
      <c r="E2097" s="16" t="str">
        <f>IFERROR(__xludf.DUMMYFUNCTION("""COMPUTED_VALUE"""),"трафарети для макіяжу")</f>
        <v>трафарети для макіяжу</v>
      </c>
      <c r="F2097" s="17">
        <f>IFERROR(__xludf.DUMMYFUNCTION("""COMPUTED_VALUE"""),4.0)</f>
        <v>4</v>
      </c>
      <c r="G2097" s="17" t="str">
        <f>IFERROR(__xludf.DUMMYFUNCTION("""COMPUTED_VALUE"""),"331206")</f>
        <v>331206</v>
      </c>
      <c r="H2097" s="17" t="str">
        <f>IFERROR(__xludf.DUMMYFUNCTION("""COMPUTED_VALUE"""),"трафарети для макіяжу")</f>
        <v>трафарети для макіяжу</v>
      </c>
      <c r="I2097" s="19">
        <f>IFERROR(__xludf.DUMMYFUNCTION("""COMPUTED_VALUE"""),0.0702)</f>
        <v>0.0702</v>
      </c>
      <c r="J2097" s="19">
        <f>IFERROR(__xludf.DUMMYFUNCTION("""COMPUTED_VALUE"""),0.1404)</f>
        <v>0.1404</v>
      </c>
      <c r="K2097" s="19">
        <f>IFERROR(__xludf.DUMMYFUNCTION("""COMPUTED_VALUE"""),0.1755)</f>
        <v>0.1755</v>
      </c>
      <c r="L2097" s="19">
        <f>IFERROR(__xludf.DUMMYFUNCTION("""COMPUTED_VALUE"""),0.2106)</f>
        <v>0.2106</v>
      </c>
      <c r="M2097" s="18">
        <f>IFERROR(__xludf.DUMMYFUNCTION("""COMPUTED_VALUE"""),2.25)</f>
        <v>2.25</v>
      </c>
    </row>
    <row r="2098">
      <c r="A2098" s="13" t="str">
        <f>IFERROR(__xludf.DUMMYFUNCTION("""COMPUTED_VALUE"""),"товари")</f>
        <v>товари</v>
      </c>
      <c r="B2098" s="16" t="str">
        <f>IFERROR(__xludf.DUMMYFUNCTION("""COMPUTED_VALUE"""),"краса та здоров'я")</f>
        <v>краса та здоров'я</v>
      </c>
      <c r="C2098" s="16" t="str">
        <f>IFERROR(__xludf.DUMMYFUNCTION("""COMPUTED_VALUE"""),"гігієнічні вироби та засоби")</f>
        <v>гігієнічні вироби та засоби</v>
      </c>
      <c r="D2098" s="16" t="str">
        <f>IFERROR(__xludf.DUMMYFUNCTION("""COMPUTED_VALUE"""),"засоби для ванни та душу")</f>
        <v>засоби для ванни та душу</v>
      </c>
      <c r="E2098" s="16" t="str">
        <f>IFERROR(__xludf.DUMMYFUNCTION("""COMPUTED_VALUE"""),"туалетне мило")</f>
        <v>туалетне мило</v>
      </c>
      <c r="F2098" s="17">
        <f>IFERROR(__xludf.DUMMYFUNCTION("""COMPUTED_VALUE"""),4.0)</f>
        <v>4</v>
      </c>
      <c r="G2098" s="17" t="str">
        <f>IFERROR(__xludf.DUMMYFUNCTION("""COMPUTED_VALUE"""),"82103")</f>
        <v>82103</v>
      </c>
      <c r="H2098" s="17" t="str">
        <f>IFERROR(__xludf.DUMMYFUNCTION("""COMPUTED_VALUE"""),"туалетне мило")</f>
        <v>туалетне мило</v>
      </c>
      <c r="I2098" s="19">
        <f>IFERROR(__xludf.DUMMYFUNCTION("""COMPUTED_VALUE"""),0.0617)</f>
        <v>0.0617</v>
      </c>
      <c r="J2098" s="19">
        <f>IFERROR(__xludf.DUMMYFUNCTION("""COMPUTED_VALUE"""),0.1234)</f>
        <v>0.1234</v>
      </c>
      <c r="K2098" s="19">
        <f>IFERROR(__xludf.DUMMYFUNCTION("""COMPUTED_VALUE"""),0.1543)</f>
        <v>0.1543</v>
      </c>
      <c r="L2098" s="19">
        <f>IFERROR(__xludf.DUMMYFUNCTION("""COMPUTED_VALUE"""),0.1851)</f>
        <v>0.1851</v>
      </c>
      <c r="M2098" s="18">
        <f>IFERROR(__xludf.DUMMYFUNCTION("""COMPUTED_VALUE"""),1.53)</f>
        <v>1.53</v>
      </c>
    </row>
    <row r="2099">
      <c r="A2099" s="13" t="str">
        <f>IFERROR(__xludf.DUMMYFUNCTION("""COMPUTED_VALUE"""),"товари")</f>
        <v>товари</v>
      </c>
      <c r="B2099" s="16" t="str">
        <f>IFERROR(__xludf.DUMMYFUNCTION("""COMPUTED_VALUE"""),"краса та здоров'я")</f>
        <v>краса та здоров'я</v>
      </c>
      <c r="C2099" s="16" t="str">
        <f>IFERROR(__xludf.DUMMYFUNCTION("""COMPUTED_VALUE"""),"гігієнічні вироби та засоби")</f>
        <v>гігієнічні вироби та засоби</v>
      </c>
      <c r="D2099" s="16" t="str">
        <f>IFERROR(__xludf.DUMMYFUNCTION("""COMPUTED_VALUE"""),"паперово-гігієнічна продукція")</f>
        <v>паперово-гігієнічна продукція</v>
      </c>
      <c r="E2099" s="16" t="str">
        <f>IFERROR(__xludf.DUMMYFUNCTION("""COMPUTED_VALUE"""),"туалетний папір")</f>
        <v>туалетний папір</v>
      </c>
      <c r="F2099" s="17">
        <f>IFERROR(__xludf.DUMMYFUNCTION("""COMPUTED_VALUE"""),4.0)</f>
        <v>4</v>
      </c>
      <c r="G2099" s="17" t="str">
        <f>IFERROR(__xludf.DUMMYFUNCTION("""COMPUTED_VALUE"""),"151304")</f>
        <v>151304</v>
      </c>
      <c r="H2099" s="17" t="str">
        <f>IFERROR(__xludf.DUMMYFUNCTION("""COMPUTED_VALUE"""),"туалетний папір")</f>
        <v>туалетний папір</v>
      </c>
      <c r="I2099" s="19">
        <f>IFERROR(__xludf.DUMMYFUNCTION("""COMPUTED_VALUE"""),0.0617)</f>
        <v>0.0617</v>
      </c>
      <c r="J2099" s="19">
        <f>IFERROR(__xludf.DUMMYFUNCTION("""COMPUTED_VALUE"""),0.1234)</f>
        <v>0.1234</v>
      </c>
      <c r="K2099" s="19">
        <f>IFERROR(__xludf.DUMMYFUNCTION("""COMPUTED_VALUE"""),0.1543)</f>
        <v>0.1543</v>
      </c>
      <c r="L2099" s="19">
        <f>IFERROR(__xludf.DUMMYFUNCTION("""COMPUTED_VALUE"""),0.1851)</f>
        <v>0.1851</v>
      </c>
      <c r="M2099" s="18">
        <f>IFERROR(__xludf.DUMMYFUNCTION("""COMPUTED_VALUE"""),1.8)</f>
        <v>1.8</v>
      </c>
    </row>
    <row r="2100">
      <c r="A2100" s="13" t="str">
        <f>IFERROR(__xludf.DUMMYFUNCTION("""COMPUTED_VALUE"""),"товари")</f>
        <v>товари</v>
      </c>
      <c r="B2100" s="16" t="str">
        <f>IFERROR(__xludf.DUMMYFUNCTION("""COMPUTED_VALUE"""),"краса та здоров'я")</f>
        <v>краса та здоров'я</v>
      </c>
      <c r="C2100" s="16" t="str">
        <f>IFERROR(__xludf.DUMMYFUNCTION("""COMPUTED_VALUE"""),"декоративна косметика")</f>
        <v>декоративна косметика</v>
      </c>
      <c r="D2100" s="16" t="str">
        <f>IFERROR(__xludf.DUMMYFUNCTION("""COMPUTED_VALUE"""),"макіяж очей")</f>
        <v>макіяж очей</v>
      </c>
      <c r="E2100" s="16" t="str">
        <f>IFERROR(__xludf.DUMMYFUNCTION("""COMPUTED_VALUE"""),"туш для вій")</f>
        <v>туш для вій</v>
      </c>
      <c r="F2100" s="17">
        <f>IFERROR(__xludf.DUMMYFUNCTION("""COMPUTED_VALUE"""),4.0)</f>
        <v>4</v>
      </c>
      <c r="G2100" s="17" t="str">
        <f>IFERROR(__xludf.DUMMYFUNCTION("""COMPUTED_VALUE"""),"8210102")</f>
        <v>8210102</v>
      </c>
      <c r="H2100" s="17" t="str">
        <f>IFERROR(__xludf.DUMMYFUNCTION("""COMPUTED_VALUE"""),"туш для вій")</f>
        <v>туш для вій</v>
      </c>
      <c r="I2100" s="19">
        <f>IFERROR(__xludf.DUMMYFUNCTION("""COMPUTED_VALUE"""),0.0664)</f>
        <v>0.0664</v>
      </c>
      <c r="J2100" s="19">
        <f>IFERROR(__xludf.DUMMYFUNCTION("""COMPUTED_VALUE"""),0.1327)</f>
        <v>0.1327</v>
      </c>
      <c r="K2100" s="19">
        <f>IFERROR(__xludf.DUMMYFUNCTION("""COMPUTED_VALUE"""),0.1659)</f>
        <v>0.1659</v>
      </c>
      <c r="L2100" s="19">
        <f>IFERROR(__xludf.DUMMYFUNCTION("""COMPUTED_VALUE"""),0.1991)</f>
        <v>0.1991</v>
      </c>
      <c r="M2100" s="18">
        <f>IFERROR(__xludf.DUMMYFUNCTION("""COMPUTED_VALUE"""),1.71)</f>
        <v>1.71</v>
      </c>
    </row>
    <row r="2101">
      <c r="A2101" s="13" t="str">
        <f>IFERROR(__xludf.DUMMYFUNCTION("""COMPUTED_VALUE"""),"товари")</f>
        <v>товари</v>
      </c>
      <c r="B2101" s="16" t="str">
        <f>IFERROR(__xludf.DUMMYFUNCTION("""COMPUTED_VALUE"""),"краса та здоров'я")</f>
        <v>краса та здоров'я</v>
      </c>
      <c r="C2101" s="16" t="str">
        <f>IFERROR(__xludf.DUMMYFUNCTION("""COMPUTED_VALUE"""),"парфумерія")</f>
        <v>парфумерія</v>
      </c>
      <c r="D2101" s="16" t="str">
        <f>IFERROR(__xludf.DUMMYFUNCTION("""COMPUTED_VALUE"""),"унісекс парфумерія ")</f>
        <v>унісекс парфумерія </v>
      </c>
      <c r="E2101" s="16" t="str">
        <f>IFERROR(__xludf.DUMMYFUNCTION("""COMPUTED_VALUE"""),"унісекс парфумерія ")</f>
        <v>унісекс парфумерія </v>
      </c>
      <c r="F2101" s="17">
        <f>IFERROR(__xludf.DUMMYFUNCTION("""COMPUTED_VALUE"""),3.0)</f>
        <v>3</v>
      </c>
      <c r="G2101" s="17" t="str">
        <f>IFERROR(__xludf.DUMMYFUNCTION("""COMPUTED_VALUE"""),"161604")</f>
        <v>161604</v>
      </c>
      <c r="H2101" s="17" t="str">
        <f>IFERROR(__xludf.DUMMYFUNCTION("""COMPUTED_VALUE"""),"унісекс парфумерія ")</f>
        <v>унісекс парфумерія </v>
      </c>
      <c r="I2101" s="19">
        <f>IFERROR(__xludf.DUMMYFUNCTION("""COMPUTED_VALUE"""),0.0545)</f>
        <v>0.0545</v>
      </c>
      <c r="J2101" s="19">
        <f>IFERROR(__xludf.DUMMYFUNCTION("""COMPUTED_VALUE"""),0.1089)</f>
        <v>0.1089</v>
      </c>
      <c r="K2101" s="19">
        <f>IFERROR(__xludf.DUMMYFUNCTION("""COMPUTED_VALUE"""),0.1361)</f>
        <v>0.1361</v>
      </c>
      <c r="L2101" s="19">
        <f>IFERROR(__xludf.DUMMYFUNCTION("""COMPUTED_VALUE"""),0.1634)</f>
        <v>0.1634</v>
      </c>
      <c r="M2101" s="18">
        <f>IFERROR(__xludf.DUMMYFUNCTION("""COMPUTED_VALUE"""),2.08)</f>
        <v>2.08</v>
      </c>
    </row>
    <row r="2102">
      <c r="A2102" s="13" t="str">
        <f>IFERROR(__xludf.DUMMYFUNCTION("""COMPUTED_VALUE"""),"товари")</f>
        <v>товари</v>
      </c>
      <c r="B2102" s="16" t="str">
        <f>IFERROR(__xludf.DUMMYFUNCTION("""COMPUTED_VALUE"""),"краса та здоров'я")</f>
        <v>краса та здоров'я</v>
      </c>
      <c r="C2102" s="16" t="str">
        <f>IFERROR(__xludf.DUMMYFUNCTION("""COMPUTED_VALUE"""),"косметика по догляду")</f>
        <v>косметика по догляду</v>
      </c>
      <c r="D2102" s="16" t="str">
        <f>IFERROR(__xludf.DUMMYFUNCTION("""COMPUTED_VALUE"""),"догляд за волоссям")</f>
        <v>догляд за волоссям</v>
      </c>
      <c r="E2102" s="16" t="str">
        <f>IFERROR(__xludf.DUMMYFUNCTION("""COMPUTED_VALUE"""),"фарби для волосся")</f>
        <v>фарби для волосся</v>
      </c>
      <c r="F2102" s="17">
        <f>IFERROR(__xludf.DUMMYFUNCTION("""COMPUTED_VALUE"""),4.0)</f>
        <v>4</v>
      </c>
      <c r="G2102" s="17" t="str">
        <f>IFERROR(__xludf.DUMMYFUNCTION("""COMPUTED_VALUE"""),"330706")</f>
        <v>330706</v>
      </c>
      <c r="H2102" s="17" t="str">
        <f>IFERROR(__xludf.DUMMYFUNCTION("""COMPUTED_VALUE"""),"фарби для волосся")</f>
        <v>фарби для волосся</v>
      </c>
      <c r="I2102" s="19">
        <f>IFERROR(__xludf.DUMMYFUNCTION("""COMPUTED_VALUE"""),0.0644)</f>
        <v>0.0644</v>
      </c>
      <c r="J2102" s="19">
        <f>IFERROR(__xludf.DUMMYFUNCTION("""COMPUTED_VALUE"""),0.1288)</f>
        <v>0.1288</v>
      </c>
      <c r="K2102" s="19">
        <f>IFERROR(__xludf.DUMMYFUNCTION("""COMPUTED_VALUE"""),0.161)</f>
        <v>0.161</v>
      </c>
      <c r="L2102" s="19">
        <f>IFERROR(__xludf.DUMMYFUNCTION("""COMPUTED_VALUE"""),0.1932)</f>
        <v>0.1932</v>
      </c>
      <c r="M2102" s="18">
        <f>IFERROR(__xludf.DUMMYFUNCTION("""COMPUTED_VALUE"""),1.63)</f>
        <v>1.63</v>
      </c>
    </row>
    <row r="2103">
      <c r="A2103" s="13" t="str">
        <f>IFERROR(__xludf.DUMMYFUNCTION("""COMPUTED_VALUE"""),"товари")</f>
        <v>товари</v>
      </c>
      <c r="B2103" s="16" t="str">
        <f>IFERROR(__xludf.DUMMYFUNCTION("""COMPUTED_VALUE"""),"краса та здоров'я")</f>
        <v>краса та здоров'я</v>
      </c>
      <c r="C2103" s="16" t="str">
        <f>IFERROR(__xludf.DUMMYFUNCTION("""COMPUTED_VALUE"""),"декоративна косметика")</f>
        <v>декоративна косметика</v>
      </c>
      <c r="D2103" s="16" t="str">
        <f>IFERROR(__xludf.DUMMYFUNCTION("""COMPUTED_VALUE"""),"макіяж брів")</f>
        <v>макіяж брів</v>
      </c>
      <c r="E2103" s="16" t="str">
        <f>IFERROR(__xludf.DUMMYFUNCTION("""COMPUTED_VALUE"""),"фарбування брів і вій")</f>
        <v>фарбування брів і вій</v>
      </c>
      <c r="F2103" s="17">
        <f>IFERROR(__xludf.DUMMYFUNCTION("""COMPUTED_VALUE"""),4.0)</f>
        <v>4</v>
      </c>
      <c r="G2103" s="17" t="str">
        <f>IFERROR(__xludf.DUMMYFUNCTION("""COMPUTED_VALUE"""),"8210129")</f>
        <v>8210129</v>
      </c>
      <c r="H2103" s="17" t="str">
        <f>IFERROR(__xludf.DUMMYFUNCTION("""COMPUTED_VALUE"""),"фарбування брів і вій")</f>
        <v>фарбування брів і вій</v>
      </c>
      <c r="I2103" s="19">
        <f>IFERROR(__xludf.DUMMYFUNCTION("""COMPUTED_VALUE"""),0.0679)</f>
        <v>0.0679</v>
      </c>
      <c r="J2103" s="19">
        <f>IFERROR(__xludf.DUMMYFUNCTION("""COMPUTED_VALUE"""),0.1357)</f>
        <v>0.1357</v>
      </c>
      <c r="K2103" s="19">
        <f>IFERROR(__xludf.DUMMYFUNCTION("""COMPUTED_VALUE"""),0.1696)</f>
        <v>0.1696</v>
      </c>
      <c r="L2103" s="19">
        <f>IFERROR(__xludf.DUMMYFUNCTION("""COMPUTED_VALUE"""),0.2036)</f>
        <v>0.2036</v>
      </c>
      <c r="M2103" s="18">
        <f>IFERROR(__xludf.DUMMYFUNCTION("""COMPUTED_VALUE"""),2.53)</f>
        <v>2.53</v>
      </c>
    </row>
    <row r="2104">
      <c r="A2104" s="13" t="str">
        <f>IFERROR(__xludf.DUMMYFUNCTION("""COMPUTED_VALUE"""),"товари")</f>
        <v>товари</v>
      </c>
      <c r="B2104" s="16" t="str">
        <f>IFERROR(__xludf.DUMMYFUNCTION("""COMPUTED_VALUE"""),"краса та здоров'я")</f>
        <v>краса та здоров'я</v>
      </c>
      <c r="C2104" s="16" t="str">
        <f>IFERROR(__xludf.DUMMYFUNCTION("""COMPUTED_VALUE"""),"декоративна косметика")</f>
        <v>декоративна косметика</v>
      </c>
      <c r="D2104" s="16" t="str">
        <f>IFERROR(__xludf.DUMMYFUNCTION("""COMPUTED_VALUE"""),"макіяж обличчя")</f>
        <v>макіяж обличчя</v>
      </c>
      <c r="E2104" s="16" t="str">
        <f>IFERROR(__xludf.DUMMYFUNCTION("""COMPUTED_VALUE"""),"фіксатори макіяжу")</f>
        <v>фіксатори макіяжу</v>
      </c>
      <c r="F2104" s="17">
        <f>IFERROR(__xludf.DUMMYFUNCTION("""COMPUTED_VALUE"""),4.0)</f>
        <v>4</v>
      </c>
      <c r="G2104" s="17" t="str">
        <f>IFERROR(__xludf.DUMMYFUNCTION("""COMPUTED_VALUE"""),"8210132")</f>
        <v>8210132</v>
      </c>
      <c r="H2104" s="17" t="str">
        <f>IFERROR(__xludf.DUMMYFUNCTION("""COMPUTED_VALUE"""),"фіксатори макіяжу")</f>
        <v>фіксатори макіяжу</v>
      </c>
      <c r="I2104" s="19">
        <f>IFERROR(__xludf.DUMMYFUNCTION("""COMPUTED_VALUE"""),0.0675)</f>
        <v>0.0675</v>
      </c>
      <c r="J2104" s="19">
        <f>IFERROR(__xludf.DUMMYFUNCTION("""COMPUTED_VALUE"""),0.135)</f>
        <v>0.135</v>
      </c>
      <c r="K2104" s="19">
        <f>IFERROR(__xludf.DUMMYFUNCTION("""COMPUTED_VALUE"""),0.1688)</f>
        <v>0.1688</v>
      </c>
      <c r="L2104" s="19">
        <f>IFERROR(__xludf.DUMMYFUNCTION("""COMPUTED_VALUE"""),0.2025)</f>
        <v>0.2025</v>
      </c>
      <c r="M2104" s="18">
        <f>IFERROR(__xludf.DUMMYFUNCTION("""COMPUTED_VALUE"""),1.05)</f>
        <v>1.05</v>
      </c>
    </row>
    <row r="2105">
      <c r="A2105" s="13" t="str">
        <f>IFERROR(__xludf.DUMMYFUNCTION("""COMPUTED_VALUE"""),"товари")</f>
        <v>товари</v>
      </c>
      <c r="B2105" s="16" t="str">
        <f>IFERROR(__xludf.DUMMYFUNCTION("""COMPUTED_VALUE"""),"краса та здоров'я")</f>
        <v>краса та здоров'я</v>
      </c>
      <c r="C2105" s="16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2105" s="16" t="str">
        <f>IFERROR(__xludf.DUMMYFUNCTION("""COMPUTED_VALUE"""),"чоловіча косметика по догляду за волоссям")</f>
        <v>чоловіча косметика по догляду за волоссям</v>
      </c>
      <c r="E2105" s="16" t="str">
        <f>IFERROR(__xludf.DUMMYFUNCTION("""COMPUTED_VALUE"""),"чоловіча косметика по догляду за волоссям")</f>
        <v>чоловіча косметика по догляду за волоссям</v>
      </c>
      <c r="F2105" s="17">
        <f>IFERROR(__xludf.DUMMYFUNCTION("""COMPUTED_VALUE"""),3.0)</f>
        <v>3</v>
      </c>
      <c r="G2105" s="17" t="str">
        <f>IFERROR(__xludf.DUMMYFUNCTION("""COMPUTED_VALUE"""),"332101")</f>
        <v>332101</v>
      </c>
      <c r="H2105" s="17" t="str">
        <f>IFERROR(__xludf.DUMMYFUNCTION("""COMPUTED_VALUE"""),"чоловіча косметика по догляду за волоссям")</f>
        <v>чоловіча косметика по догляду за волоссям</v>
      </c>
      <c r="I2105" s="19">
        <f>IFERROR(__xludf.DUMMYFUNCTION("""COMPUTED_VALUE"""),0.0587)</f>
        <v>0.0587</v>
      </c>
      <c r="J2105" s="19">
        <f>IFERROR(__xludf.DUMMYFUNCTION("""COMPUTED_VALUE"""),0.1174)</f>
        <v>0.1174</v>
      </c>
      <c r="K2105" s="19">
        <f>IFERROR(__xludf.DUMMYFUNCTION("""COMPUTED_VALUE"""),0.1468)</f>
        <v>0.1468</v>
      </c>
      <c r="L2105" s="19">
        <f>IFERROR(__xludf.DUMMYFUNCTION("""COMPUTED_VALUE"""),0.1761)</f>
        <v>0.1761</v>
      </c>
      <c r="M2105" s="18">
        <f>IFERROR(__xludf.DUMMYFUNCTION("""COMPUTED_VALUE"""),1.26)</f>
        <v>1.26</v>
      </c>
    </row>
    <row r="2106">
      <c r="A2106" s="13" t="str">
        <f>IFERROR(__xludf.DUMMYFUNCTION("""COMPUTED_VALUE"""),"товари")</f>
        <v>товари</v>
      </c>
      <c r="B2106" s="16" t="str">
        <f>IFERROR(__xludf.DUMMYFUNCTION("""COMPUTED_VALUE"""),"краса та здоров'я")</f>
        <v>краса та здоров'я</v>
      </c>
      <c r="C2106" s="16" t="str">
        <f>IFERROR(__xludf.DUMMYFUNCTION("""COMPUTED_VALUE"""),"парфумерія")</f>
        <v>парфумерія</v>
      </c>
      <c r="D2106" s="16" t="str">
        <f>IFERROR(__xludf.DUMMYFUNCTION("""COMPUTED_VALUE"""),"чоловіча парфумерія ")</f>
        <v>чоловіча парфумерія </v>
      </c>
      <c r="E2106" s="16" t="str">
        <f>IFERROR(__xludf.DUMMYFUNCTION("""COMPUTED_VALUE"""),"чоловіча парфумерія ")</f>
        <v>чоловіча парфумерія </v>
      </c>
      <c r="F2106" s="17">
        <f>IFERROR(__xludf.DUMMYFUNCTION("""COMPUTED_VALUE"""),3.0)</f>
        <v>3</v>
      </c>
      <c r="G2106" s="17" t="str">
        <f>IFERROR(__xludf.DUMMYFUNCTION("""COMPUTED_VALUE"""),"161602")</f>
        <v>161602</v>
      </c>
      <c r="H2106" s="17" t="str">
        <f>IFERROR(__xludf.DUMMYFUNCTION("""COMPUTED_VALUE"""),"чоловіча парфумерія ")</f>
        <v>чоловіча парфумерія </v>
      </c>
      <c r="I2106" s="19">
        <f>IFERROR(__xludf.DUMMYFUNCTION("""COMPUTED_VALUE"""),0.0702)</f>
        <v>0.0702</v>
      </c>
      <c r="J2106" s="19">
        <f>IFERROR(__xludf.DUMMYFUNCTION("""COMPUTED_VALUE"""),0.1404)</f>
        <v>0.1404</v>
      </c>
      <c r="K2106" s="19">
        <f>IFERROR(__xludf.DUMMYFUNCTION("""COMPUTED_VALUE"""),0.1755)</f>
        <v>0.1755</v>
      </c>
      <c r="L2106" s="19">
        <f>IFERROR(__xludf.DUMMYFUNCTION("""COMPUTED_VALUE"""),0.2106)</f>
        <v>0.2106</v>
      </c>
      <c r="M2106" s="18">
        <f>IFERROR(__xludf.DUMMYFUNCTION("""COMPUTED_VALUE"""),1.98)</f>
        <v>1.98</v>
      </c>
    </row>
    <row r="2107">
      <c r="A2107" s="13" t="str">
        <f>IFERROR(__xludf.DUMMYFUNCTION("""COMPUTED_VALUE"""),"товари")</f>
        <v>товари</v>
      </c>
      <c r="B2107" s="16" t="str">
        <f>IFERROR(__xludf.DUMMYFUNCTION("""COMPUTED_VALUE"""),"краса та здоров'я")</f>
        <v>краса та здоров'я</v>
      </c>
      <c r="C2107" s="16" t="str">
        <f>IFERROR(__xludf.DUMMYFUNCTION("""COMPUTED_VALUE"""),"косметика по догляду")</f>
        <v>косметика по догляду</v>
      </c>
      <c r="D2107" s="16" t="str">
        <f>IFERROR(__xludf.DUMMYFUNCTION("""COMPUTED_VALUE"""),"догляд за волоссям")</f>
        <v>догляд за волоссям</v>
      </c>
      <c r="E2107" s="16" t="str">
        <f>IFERROR(__xludf.DUMMYFUNCTION("""COMPUTED_VALUE"""),"шампуні для волосся")</f>
        <v>шампуні для волосся</v>
      </c>
      <c r="F2107" s="17">
        <f>IFERROR(__xludf.DUMMYFUNCTION("""COMPUTED_VALUE"""),4.0)</f>
        <v>4</v>
      </c>
      <c r="G2107" s="17" t="str">
        <f>IFERROR(__xludf.DUMMYFUNCTION("""COMPUTED_VALUE"""),"330701")</f>
        <v>330701</v>
      </c>
      <c r="H2107" s="17" t="str">
        <f>IFERROR(__xludf.DUMMYFUNCTION("""COMPUTED_VALUE"""),"шампуні для волосся")</f>
        <v>шампуні для волосся</v>
      </c>
      <c r="I2107" s="19">
        <f>IFERROR(__xludf.DUMMYFUNCTION("""COMPUTED_VALUE"""),0.0644)</f>
        <v>0.0644</v>
      </c>
      <c r="J2107" s="19">
        <f>IFERROR(__xludf.DUMMYFUNCTION("""COMPUTED_VALUE"""),0.1288)</f>
        <v>0.1288</v>
      </c>
      <c r="K2107" s="19">
        <f>IFERROR(__xludf.DUMMYFUNCTION("""COMPUTED_VALUE"""),0.161)</f>
        <v>0.161</v>
      </c>
      <c r="L2107" s="19">
        <f>IFERROR(__xludf.DUMMYFUNCTION("""COMPUTED_VALUE"""),0.1932)</f>
        <v>0.1932</v>
      </c>
      <c r="M2107" s="18">
        <f>IFERROR(__xludf.DUMMYFUNCTION("""COMPUTED_VALUE"""),1.63)</f>
        <v>1.63</v>
      </c>
    </row>
    <row r="2108">
      <c r="A2108" s="13" t="str">
        <f>IFERROR(__xludf.DUMMYFUNCTION("""COMPUTED_VALUE"""),"товари")</f>
        <v>товари</v>
      </c>
      <c r="B2108" s="16" t="str">
        <f>IFERROR(__xludf.DUMMYFUNCTION("""COMPUTED_VALUE"""),"матеріали для ремонту")</f>
        <v>матеріали для ремонту</v>
      </c>
      <c r="C2108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08" s="16" t="str">
        <f>IFERROR(__xludf.DUMMYFUNCTION("""COMPUTED_VALUE"""),"аксесуари та комплектуючі для замків")</f>
        <v>аксесуари та комплектуючі для замків</v>
      </c>
      <c r="E2108" s="16" t="str">
        <f>IFERROR(__xludf.DUMMYFUNCTION("""COMPUTED_VALUE"""),"аксесуари та комплектуючі для замків")</f>
        <v>аксесуари та комплектуючі для замків</v>
      </c>
      <c r="F2108" s="17">
        <f>IFERROR(__xludf.DUMMYFUNCTION("""COMPUTED_VALUE"""),3.0)</f>
        <v>3</v>
      </c>
      <c r="G2108" s="17" t="str">
        <f>IFERROR(__xludf.DUMMYFUNCTION("""COMPUTED_VALUE"""),"15380325")</f>
        <v>15380325</v>
      </c>
      <c r="H2108" s="17" t="str">
        <f>IFERROR(__xludf.DUMMYFUNCTION("""COMPUTED_VALUE"""),"аксесуари та комплектуючі для замків")</f>
        <v>аксесуари та комплектуючі для замків</v>
      </c>
      <c r="I2108" s="19">
        <f>IFERROR(__xludf.DUMMYFUNCTION("""COMPUTED_VALUE"""),0.0583)</f>
        <v>0.0583</v>
      </c>
      <c r="J2108" s="19">
        <f>IFERROR(__xludf.DUMMYFUNCTION("""COMPUTED_VALUE"""),0.1166)</f>
        <v>0.1166</v>
      </c>
      <c r="K2108" s="19">
        <f>IFERROR(__xludf.DUMMYFUNCTION("""COMPUTED_VALUE"""),0.1458)</f>
        <v>0.1458</v>
      </c>
      <c r="L2108" s="19">
        <f>IFERROR(__xludf.DUMMYFUNCTION("""COMPUTED_VALUE"""),0.1749)</f>
        <v>0.1749</v>
      </c>
      <c r="M2108" s="18">
        <f>IFERROR(__xludf.DUMMYFUNCTION("""COMPUTED_VALUE"""),1.98)</f>
        <v>1.98</v>
      </c>
    </row>
    <row r="2109">
      <c r="A2109" s="13" t="str">
        <f>IFERROR(__xludf.DUMMYFUNCTION("""COMPUTED_VALUE"""),"товари")</f>
        <v>товари</v>
      </c>
      <c r="B2109" s="16" t="str">
        <f>IFERROR(__xludf.DUMMYFUNCTION("""COMPUTED_VALUE"""),"матеріали для ремонту")</f>
        <v>матеріали для ремонту</v>
      </c>
      <c r="C2109" s="16" t="str">
        <f>IFERROR(__xludf.DUMMYFUNCTION("""COMPUTED_VALUE"""),"сантехніка")</f>
        <v>сантехніка</v>
      </c>
      <c r="D2109" s="16" t="str">
        <f>IFERROR(__xludf.DUMMYFUNCTION("""COMPUTED_VALUE"""),"аксесуари для кухонних мийок")</f>
        <v>аксесуари для кухонних мийок</v>
      </c>
      <c r="E2109" s="16" t="str">
        <f>IFERROR(__xludf.DUMMYFUNCTION("""COMPUTED_VALUE"""),"аксесуари для кухонних мийок")</f>
        <v>аксесуари для кухонних мийок</v>
      </c>
      <c r="F2109" s="17">
        <f>IFERROR(__xludf.DUMMYFUNCTION("""COMPUTED_VALUE"""),3.0)</f>
        <v>3</v>
      </c>
      <c r="G2109" s="17" t="str">
        <f>IFERROR(__xludf.DUMMYFUNCTION("""COMPUTED_VALUE"""),"13240224")</f>
        <v>13240224</v>
      </c>
      <c r="H2109" s="17" t="str">
        <f>IFERROR(__xludf.DUMMYFUNCTION("""COMPUTED_VALUE"""),"аксесуари для кухонних мийок")</f>
        <v>аксесуари для кухонних мийок</v>
      </c>
      <c r="I2109" s="19">
        <f>IFERROR(__xludf.DUMMYFUNCTION("""COMPUTED_VALUE"""),0.0632)</f>
        <v>0.0632</v>
      </c>
      <c r="J2109" s="19">
        <f>IFERROR(__xludf.DUMMYFUNCTION("""COMPUTED_VALUE"""),0.1263)</f>
        <v>0.1263</v>
      </c>
      <c r="K2109" s="19">
        <f>IFERROR(__xludf.DUMMYFUNCTION("""COMPUTED_VALUE"""),0.1579)</f>
        <v>0.1579</v>
      </c>
      <c r="L2109" s="19">
        <f>IFERROR(__xludf.DUMMYFUNCTION("""COMPUTED_VALUE"""),0.1895)</f>
        <v>0.1895</v>
      </c>
      <c r="M2109" s="18">
        <f>IFERROR(__xludf.DUMMYFUNCTION("""COMPUTED_VALUE"""),1.05)</f>
        <v>1.05</v>
      </c>
    </row>
    <row r="2110">
      <c r="A2110" s="13" t="str">
        <f>IFERROR(__xludf.DUMMYFUNCTION("""COMPUTED_VALUE"""),"товари")</f>
        <v>товари</v>
      </c>
      <c r="B2110" s="16" t="str">
        <f>IFERROR(__xludf.DUMMYFUNCTION("""COMPUTED_VALUE"""),"матеріали для ремонту")</f>
        <v>матеріали для ремонту</v>
      </c>
      <c r="C2110" s="16" t="str">
        <f>IFERROR(__xludf.DUMMYFUNCTION("""COMPUTED_VALUE"""),"печі та каміни")</f>
        <v>печі та каміни</v>
      </c>
      <c r="D2110" s="16" t="str">
        <f>IFERROR(__xludf.DUMMYFUNCTION("""COMPUTED_VALUE"""),"аксесуари для печей і камінів")</f>
        <v>аксесуари для печей і камінів</v>
      </c>
      <c r="E2110" s="16" t="str">
        <f>IFERROR(__xludf.DUMMYFUNCTION("""COMPUTED_VALUE"""),"аксесуари для печей і камінів")</f>
        <v>аксесуари для печей і камінів</v>
      </c>
      <c r="F2110" s="17">
        <f>IFERROR(__xludf.DUMMYFUNCTION("""COMPUTED_VALUE"""),3.0)</f>
        <v>3</v>
      </c>
      <c r="G2110" s="17" t="str">
        <f>IFERROR(__xludf.DUMMYFUNCTION("""COMPUTED_VALUE"""),"13240305")</f>
        <v>13240305</v>
      </c>
      <c r="H2110" s="17" t="str">
        <f>IFERROR(__xludf.DUMMYFUNCTION("""COMPUTED_VALUE"""),"аксесуари для печей і камінів")</f>
        <v>аксесуари для печей і камінів</v>
      </c>
      <c r="I2110" s="19">
        <f>IFERROR(__xludf.DUMMYFUNCTION("""COMPUTED_VALUE"""),0.0525)</f>
        <v>0.0525</v>
      </c>
      <c r="J2110" s="19">
        <f>IFERROR(__xludf.DUMMYFUNCTION("""COMPUTED_VALUE"""),0.105)</f>
        <v>0.105</v>
      </c>
      <c r="K2110" s="19">
        <f>IFERROR(__xludf.DUMMYFUNCTION("""COMPUTED_VALUE"""),0.1313)</f>
        <v>0.1313</v>
      </c>
      <c r="L2110" s="19">
        <f>IFERROR(__xludf.DUMMYFUNCTION("""COMPUTED_VALUE"""),0.1575)</f>
        <v>0.1575</v>
      </c>
      <c r="M2110" s="18">
        <f>IFERROR(__xludf.DUMMYFUNCTION("""COMPUTED_VALUE"""),5.4)</f>
        <v>5.4</v>
      </c>
    </row>
    <row r="2111">
      <c r="A2111" s="13" t="str">
        <f>IFERROR(__xludf.DUMMYFUNCTION("""COMPUTED_VALUE"""),"товари")</f>
        <v>товари</v>
      </c>
      <c r="B2111" s="16" t="str">
        <f>IFERROR(__xludf.DUMMYFUNCTION("""COMPUTED_VALUE"""),"матеріали для ремонту")</f>
        <v>матеріали для ремонту</v>
      </c>
      <c r="C2111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11" s="16" t="str">
        <f>IFERROR(__xludf.DUMMYFUNCTION("""COMPUTED_VALUE"""),"аксесуари та фурнітура для вікон і дверей, загальне")</f>
        <v>аксесуари та фурнітура для вікон і дверей, загальне</v>
      </c>
      <c r="E2111" s="16" t="str">
        <f>IFERROR(__xludf.DUMMYFUNCTION("""COMPUTED_VALUE"""),"аксесуари та фурнітура для вікон і дверей, загальне")</f>
        <v>аксесуари та фурнітура для вікон і дверей, загальне</v>
      </c>
      <c r="F2111" s="17">
        <f>IFERROR(__xludf.DUMMYFUNCTION("""COMPUTED_VALUE"""),3.0)</f>
        <v>3</v>
      </c>
      <c r="G2111" s="17" t="str">
        <f>IFERROR(__xludf.DUMMYFUNCTION("""COMPUTED_VALUE"""),"15380399")</f>
        <v>15380399</v>
      </c>
      <c r="H2111" s="17" t="str">
        <f>IFERROR(__xludf.DUMMYFUNCTION("""COMPUTED_VALUE"""),"аксесуари та фурнітура для вікон і дверей, загальне")</f>
        <v>аксесуари та фурнітура для вікон і дверей, загальне</v>
      </c>
      <c r="I2111" s="19">
        <f>IFERROR(__xludf.DUMMYFUNCTION("""COMPUTED_VALUE"""),0.125)</f>
        <v>0.125</v>
      </c>
      <c r="J2111" s="19">
        <f>IFERROR(__xludf.DUMMYFUNCTION("""COMPUTED_VALUE"""),0.25)</f>
        <v>0.25</v>
      </c>
      <c r="K2111" s="19">
        <f>IFERROR(__xludf.DUMMYFUNCTION("""COMPUTED_VALUE"""),0.3125)</f>
        <v>0.3125</v>
      </c>
      <c r="L2111" s="19">
        <f>IFERROR(__xludf.DUMMYFUNCTION("""COMPUTED_VALUE"""),0.375)</f>
        <v>0.375</v>
      </c>
      <c r="M2111" s="18">
        <f>IFERROR(__xludf.DUMMYFUNCTION("""COMPUTED_VALUE"""),4.33)</f>
        <v>4.33</v>
      </c>
    </row>
    <row r="2112">
      <c r="A2112" s="13" t="str">
        <f>IFERROR(__xludf.DUMMYFUNCTION("""COMPUTED_VALUE"""),"товари")</f>
        <v>товари</v>
      </c>
      <c r="B2112" s="16" t="str">
        <f>IFERROR(__xludf.DUMMYFUNCTION("""COMPUTED_VALUE"""),"матеріали для ремонту")</f>
        <v>матеріали для ремонту</v>
      </c>
      <c r="C2112" s="16" t="str">
        <f>IFERROR(__xludf.DUMMYFUNCTION("""COMPUTED_VALUE"""),"скріплювальні вироби")</f>
        <v>скріплювальні вироби</v>
      </c>
      <c r="D2112" s="16" t="str">
        <f>IFERROR(__xludf.DUMMYFUNCTION("""COMPUTED_VALUE"""),"анкера")</f>
        <v>анкера</v>
      </c>
      <c r="E2112" s="16" t="str">
        <f>IFERROR(__xludf.DUMMYFUNCTION("""COMPUTED_VALUE"""),"анкера")</f>
        <v>анкера</v>
      </c>
      <c r="F2112" s="17">
        <f>IFERROR(__xludf.DUMMYFUNCTION("""COMPUTED_VALUE"""),3.0)</f>
        <v>3</v>
      </c>
      <c r="G2112" s="17" t="str">
        <f>IFERROR(__xludf.DUMMYFUNCTION("""COMPUTED_VALUE"""),"420501")</f>
        <v>420501</v>
      </c>
      <c r="H2112" s="17" t="str">
        <f>IFERROR(__xludf.DUMMYFUNCTION("""COMPUTED_VALUE"""),"анкера")</f>
        <v>анкера</v>
      </c>
      <c r="I2112" s="19">
        <f>IFERROR(__xludf.DUMMYFUNCTION("""COMPUTED_VALUE"""),0.0774)</f>
        <v>0.0774</v>
      </c>
      <c r="J2112" s="19">
        <f>IFERROR(__xludf.DUMMYFUNCTION("""COMPUTED_VALUE"""),0.1547)</f>
        <v>0.1547</v>
      </c>
      <c r="K2112" s="19">
        <f>IFERROR(__xludf.DUMMYFUNCTION("""COMPUTED_VALUE"""),0.1934)</f>
        <v>0.1934</v>
      </c>
      <c r="L2112" s="19">
        <f>IFERROR(__xludf.DUMMYFUNCTION("""COMPUTED_VALUE"""),0.2321)</f>
        <v>0.2321</v>
      </c>
      <c r="M2112" s="18">
        <f>IFERROR(__xludf.DUMMYFUNCTION("""COMPUTED_VALUE"""),5.25)</f>
        <v>5.25</v>
      </c>
    </row>
    <row r="2113">
      <c r="A2113" s="13" t="str">
        <f>IFERROR(__xludf.DUMMYFUNCTION("""COMPUTED_VALUE"""),"товари")</f>
        <v>товари</v>
      </c>
      <c r="B2113" s="16" t="str">
        <f>IFERROR(__xludf.DUMMYFUNCTION("""COMPUTED_VALUE"""),"матеріали для ремонту")</f>
        <v>матеріали для ремонту</v>
      </c>
      <c r="C2113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13" s="16" t="str">
        <f>IFERROR(__xludf.DUMMYFUNCTION("""COMPUTED_VALUE"""),"антимоскітні сітки та комплектуючі до них")</f>
        <v>антимоскітні сітки та комплектуючі до них</v>
      </c>
      <c r="E2113" s="16" t="str">
        <f>IFERROR(__xludf.DUMMYFUNCTION("""COMPUTED_VALUE"""),"антимоскітні сітки та комплектуючі до них")</f>
        <v>антимоскітні сітки та комплектуючі до них</v>
      </c>
      <c r="F2113" s="17">
        <f>IFERROR(__xludf.DUMMYFUNCTION("""COMPUTED_VALUE"""),3.0)</f>
        <v>3</v>
      </c>
      <c r="G2113" s="17" t="str">
        <f>IFERROR(__xludf.DUMMYFUNCTION("""COMPUTED_VALUE"""),"153809")</f>
        <v>153809</v>
      </c>
      <c r="H2113" s="17" t="str">
        <f>IFERROR(__xludf.DUMMYFUNCTION("""COMPUTED_VALUE"""),"антимоскітні сітки та комплектуючі до них")</f>
        <v>антимоскітні сітки та комплектуючі до них</v>
      </c>
      <c r="I2113" s="19">
        <f>IFERROR(__xludf.DUMMYFUNCTION("""COMPUTED_VALUE"""),0.0665)</f>
        <v>0.0665</v>
      </c>
      <c r="J2113" s="19">
        <f>IFERROR(__xludf.DUMMYFUNCTION("""COMPUTED_VALUE"""),0.133)</f>
        <v>0.133</v>
      </c>
      <c r="K2113" s="19">
        <f>IFERROR(__xludf.DUMMYFUNCTION("""COMPUTED_VALUE"""),0.1663)</f>
        <v>0.1663</v>
      </c>
      <c r="L2113" s="19">
        <f>IFERROR(__xludf.DUMMYFUNCTION("""COMPUTED_VALUE"""),0.1995)</f>
        <v>0.1995</v>
      </c>
      <c r="M2113" s="18">
        <f>IFERROR(__xludf.DUMMYFUNCTION("""COMPUTED_VALUE"""),2.7)</f>
        <v>2.7</v>
      </c>
    </row>
    <row r="2114">
      <c r="A2114" s="13" t="str">
        <f>IFERROR(__xludf.DUMMYFUNCTION("""COMPUTED_VALUE"""),"товари")</f>
        <v>товари</v>
      </c>
      <c r="B2114" s="16" t="str">
        <f>IFERROR(__xludf.DUMMYFUNCTION("""COMPUTED_VALUE"""),"матеріали для ремонту")</f>
        <v>матеріали для ремонту</v>
      </c>
      <c r="C2114" s="16" t="str">
        <f>IFERROR(__xludf.DUMMYFUNCTION("""COMPUTED_VALUE"""),"вікна та двері")</f>
        <v>вікна та двері</v>
      </c>
      <c r="D2114" s="16" t="str">
        <f>IFERROR(__xludf.DUMMYFUNCTION("""COMPUTED_VALUE"""),"балконні блоки")</f>
        <v>балконні блоки</v>
      </c>
      <c r="E2114" s="16" t="str">
        <f>IFERROR(__xludf.DUMMYFUNCTION("""COMPUTED_VALUE"""),"балконні блоки")</f>
        <v>балконні блоки</v>
      </c>
      <c r="F2114" s="17">
        <f>IFERROR(__xludf.DUMMYFUNCTION("""COMPUTED_VALUE"""),3.0)</f>
        <v>3</v>
      </c>
      <c r="G2114" s="17" t="str">
        <f>IFERROR(__xludf.DUMMYFUNCTION("""COMPUTED_VALUE"""),"135709")</f>
        <v>135709</v>
      </c>
      <c r="H2114" s="17" t="str">
        <f>IFERROR(__xludf.DUMMYFUNCTION("""COMPUTED_VALUE"""),"балконні блоки")</f>
        <v>балконні блоки</v>
      </c>
      <c r="I2114" s="19">
        <f>IFERROR(__xludf.DUMMYFUNCTION("""COMPUTED_VALUE"""),0.0578)</f>
        <v>0.0578</v>
      </c>
      <c r="J2114" s="19">
        <f>IFERROR(__xludf.DUMMYFUNCTION("""COMPUTED_VALUE"""),0.1155)</f>
        <v>0.1155</v>
      </c>
      <c r="K2114" s="19">
        <f>IFERROR(__xludf.DUMMYFUNCTION("""COMPUTED_VALUE"""),0.1444)</f>
        <v>0.1444</v>
      </c>
      <c r="L2114" s="19">
        <f>IFERROR(__xludf.DUMMYFUNCTION("""COMPUTED_VALUE"""),0.1733)</f>
        <v>0.1733</v>
      </c>
      <c r="M2114" s="18">
        <f>IFERROR(__xludf.DUMMYFUNCTION("""COMPUTED_VALUE"""),2.61)</f>
        <v>2.61</v>
      </c>
    </row>
    <row r="2115">
      <c r="A2115" s="13" t="str">
        <f>IFERROR(__xludf.DUMMYFUNCTION("""COMPUTED_VALUE"""),"товари")</f>
        <v>товари</v>
      </c>
      <c r="B2115" s="16" t="str">
        <f>IFERROR(__xludf.DUMMYFUNCTION("""COMPUTED_VALUE"""),"матеріали для ремонту")</f>
        <v>матеріали для ремонту</v>
      </c>
      <c r="C2115" s="16" t="str">
        <f>IFERROR(__xludf.DUMMYFUNCTION("""COMPUTED_VALUE"""),"сантехніка")</f>
        <v>сантехніка</v>
      </c>
      <c r="D2115" s="16" t="str">
        <f>IFERROR(__xludf.DUMMYFUNCTION("""COMPUTED_VALUE"""),"біде")</f>
        <v>біде</v>
      </c>
      <c r="E2115" s="16" t="str">
        <f>IFERROR(__xludf.DUMMYFUNCTION("""COMPUTED_VALUE"""),"біде")</f>
        <v>біде</v>
      </c>
      <c r="F2115" s="17">
        <f>IFERROR(__xludf.DUMMYFUNCTION("""COMPUTED_VALUE"""),3.0)</f>
        <v>3</v>
      </c>
      <c r="G2115" s="17" t="str">
        <f>IFERROR(__xludf.DUMMYFUNCTION("""COMPUTED_VALUE"""),"130113")</f>
        <v>130113</v>
      </c>
      <c r="H2115" s="17" t="str">
        <f>IFERROR(__xludf.DUMMYFUNCTION("""COMPUTED_VALUE"""),"біде")</f>
        <v>біде</v>
      </c>
      <c r="I2115" s="19">
        <f>IFERROR(__xludf.DUMMYFUNCTION("""COMPUTED_VALUE"""),0.0649)</f>
        <v>0.0649</v>
      </c>
      <c r="J2115" s="19">
        <f>IFERROR(__xludf.DUMMYFUNCTION("""COMPUTED_VALUE"""),0.1297)</f>
        <v>0.1297</v>
      </c>
      <c r="K2115" s="19">
        <f>IFERROR(__xludf.DUMMYFUNCTION("""COMPUTED_VALUE"""),0.1621)</f>
        <v>0.1621</v>
      </c>
      <c r="L2115" s="19">
        <f>IFERROR(__xludf.DUMMYFUNCTION("""COMPUTED_VALUE"""),0.1946)</f>
        <v>0.1946</v>
      </c>
      <c r="M2115" s="18">
        <f>IFERROR(__xludf.DUMMYFUNCTION("""COMPUTED_VALUE"""),1.53)</f>
        <v>1.53</v>
      </c>
    </row>
    <row r="2116">
      <c r="A2116" s="13" t="str">
        <f>IFERROR(__xludf.DUMMYFUNCTION("""COMPUTED_VALUE"""),"товари")</f>
        <v>товари</v>
      </c>
      <c r="B2116" s="16" t="str">
        <f>IFERROR(__xludf.DUMMYFUNCTION("""COMPUTED_VALUE"""),"матеріали для ремонту")</f>
        <v>матеріали для ремонту</v>
      </c>
      <c r="C2116" s="16" t="str">
        <f>IFERROR(__xludf.DUMMYFUNCTION("""COMPUTED_VALUE"""),"побутове водопостачання")</f>
        <v>побутове водопостачання</v>
      </c>
      <c r="D2116" s="16" t="str">
        <f>IFERROR(__xludf.DUMMYFUNCTION("""COMPUTED_VALUE"""),"водонагрівачі та комплектуючі")</f>
        <v>водонагрівачі та комплектуючі</v>
      </c>
      <c r="E2116" s="16" t="str">
        <f>IFERROR(__xludf.DUMMYFUNCTION("""COMPUTED_VALUE"""),"водонагрівачі, бойлери, колонки")</f>
        <v>водонагрівачі, бойлери, колонки</v>
      </c>
      <c r="F2116" s="17">
        <f>IFERROR(__xludf.DUMMYFUNCTION("""COMPUTED_VALUE"""),4.0)</f>
        <v>4</v>
      </c>
      <c r="G2116" s="17" t="str">
        <f>IFERROR(__xludf.DUMMYFUNCTION("""COMPUTED_VALUE"""),"607")</f>
        <v>607</v>
      </c>
      <c r="H2116" s="17" t="str">
        <f>IFERROR(__xludf.DUMMYFUNCTION("""COMPUTED_VALUE"""),"водонагрівачі, бойлери, колонки")</f>
        <v>водонагрівачі, бойлери, колонки</v>
      </c>
      <c r="I2116" s="19">
        <f>IFERROR(__xludf.DUMMYFUNCTION("""COMPUTED_VALUE"""),0.0475)</f>
        <v>0.0475</v>
      </c>
      <c r="J2116" s="19">
        <f>IFERROR(__xludf.DUMMYFUNCTION("""COMPUTED_VALUE"""),0.095)</f>
        <v>0.095</v>
      </c>
      <c r="K2116" s="19">
        <f>IFERROR(__xludf.DUMMYFUNCTION("""COMPUTED_VALUE"""),0.1188)</f>
        <v>0.1188</v>
      </c>
      <c r="L2116" s="19">
        <f>IFERROR(__xludf.DUMMYFUNCTION("""COMPUTED_VALUE"""),0.1425)</f>
        <v>0.1425</v>
      </c>
      <c r="M2116" s="18">
        <f>IFERROR(__xludf.DUMMYFUNCTION("""COMPUTED_VALUE"""),5.4)</f>
        <v>5.4</v>
      </c>
    </row>
    <row r="2117">
      <c r="A2117" s="13" t="str">
        <f>IFERROR(__xludf.DUMMYFUNCTION("""COMPUTED_VALUE"""),"товари")</f>
        <v>товари</v>
      </c>
      <c r="B2117" s="16" t="str">
        <f>IFERROR(__xludf.DUMMYFUNCTION("""COMPUTED_VALUE"""),"матеріали для ремонту")</f>
        <v>матеріали для ремонту</v>
      </c>
      <c r="C2117" s="16" t="str">
        <f>IFERROR(__xludf.DUMMYFUNCTION("""COMPUTED_VALUE"""),"сантехніка")</f>
        <v>сантехніка</v>
      </c>
      <c r="D2117" s="16" t="str">
        <f>IFERROR(__xludf.DUMMYFUNCTION("""COMPUTED_VALUE"""),"виливи")</f>
        <v>виливи</v>
      </c>
      <c r="E2117" s="16" t="str">
        <f>IFERROR(__xludf.DUMMYFUNCTION("""COMPUTED_VALUE"""),"виливи")</f>
        <v>виливи</v>
      </c>
      <c r="F2117" s="17">
        <f>IFERROR(__xludf.DUMMYFUNCTION("""COMPUTED_VALUE"""),3.0)</f>
        <v>3</v>
      </c>
      <c r="G2117" s="17" t="str">
        <f>IFERROR(__xludf.DUMMYFUNCTION("""COMPUTED_VALUE"""),"13240216")</f>
        <v>13240216</v>
      </c>
      <c r="H2117" s="17" t="str">
        <f>IFERROR(__xludf.DUMMYFUNCTION("""COMPUTED_VALUE"""),"виливи")</f>
        <v>виливи</v>
      </c>
      <c r="I2117" s="19">
        <f>IFERROR(__xludf.DUMMYFUNCTION("""COMPUTED_VALUE"""),0.0779)</f>
        <v>0.0779</v>
      </c>
      <c r="J2117" s="19">
        <f>IFERROR(__xludf.DUMMYFUNCTION("""COMPUTED_VALUE"""),0.1558)</f>
        <v>0.1558</v>
      </c>
      <c r="K2117" s="19">
        <f>IFERROR(__xludf.DUMMYFUNCTION("""COMPUTED_VALUE"""),0.1948)</f>
        <v>0.1948</v>
      </c>
      <c r="L2117" s="19">
        <f>IFERROR(__xludf.DUMMYFUNCTION("""COMPUTED_VALUE"""),0.2337)</f>
        <v>0.2337</v>
      </c>
      <c r="M2117" s="18">
        <f>IFERROR(__xludf.DUMMYFUNCTION("""COMPUTED_VALUE"""),1.44)</f>
        <v>1.44</v>
      </c>
    </row>
    <row r="2118">
      <c r="A2118" s="13" t="str">
        <f>IFERROR(__xludf.DUMMYFUNCTION("""COMPUTED_VALUE"""),"товари")</f>
        <v>товари</v>
      </c>
      <c r="B2118" s="16" t="str">
        <f>IFERROR(__xludf.DUMMYFUNCTION("""COMPUTED_VALUE"""),"матеріали для ремонту")</f>
        <v>матеріали для ремонту</v>
      </c>
      <c r="C2118" s="16" t="str">
        <f>IFERROR(__xludf.DUMMYFUNCTION("""COMPUTED_VALUE"""),"побутова вентиляція")</f>
        <v>побутова вентиляція</v>
      </c>
      <c r="D2118" s="16" t="str">
        <f>IFERROR(__xludf.DUMMYFUNCTION("""COMPUTED_VALUE"""),"витяжні вентилятори")</f>
        <v>витяжні вентилятори</v>
      </c>
      <c r="E2118" s="16" t="str">
        <f>IFERROR(__xludf.DUMMYFUNCTION("""COMPUTED_VALUE"""),"витяжні вентилятори")</f>
        <v>витяжні вентилятори</v>
      </c>
      <c r="F2118" s="17">
        <f>IFERROR(__xludf.DUMMYFUNCTION("""COMPUTED_VALUE"""),3.0)</f>
        <v>3</v>
      </c>
      <c r="G2118" s="17" t="str">
        <f>IFERROR(__xludf.DUMMYFUNCTION("""COMPUTED_VALUE"""),"14220108")</f>
        <v>14220108</v>
      </c>
      <c r="H2118" s="17" t="str">
        <f>IFERROR(__xludf.DUMMYFUNCTION("""COMPUTED_VALUE"""),"витяжні вентилятори")</f>
        <v>витяжні вентилятори</v>
      </c>
      <c r="I2118" s="19">
        <f>IFERROR(__xludf.DUMMYFUNCTION("""COMPUTED_VALUE"""),0.0748)</f>
        <v>0.0748</v>
      </c>
      <c r="J2118" s="19">
        <f>IFERROR(__xludf.DUMMYFUNCTION("""COMPUTED_VALUE"""),0.1495)</f>
        <v>0.1495</v>
      </c>
      <c r="K2118" s="19">
        <f>IFERROR(__xludf.DUMMYFUNCTION("""COMPUTED_VALUE"""),0.1869)</f>
        <v>0.1869</v>
      </c>
      <c r="L2118" s="19">
        <f>IFERROR(__xludf.DUMMYFUNCTION("""COMPUTED_VALUE"""),0.2243)</f>
        <v>0.2243</v>
      </c>
      <c r="M2118" s="18">
        <f>IFERROR(__xludf.DUMMYFUNCTION("""COMPUTED_VALUE"""),3.43)</f>
        <v>3.43</v>
      </c>
    </row>
    <row r="2119">
      <c r="A2119" s="13" t="str">
        <f>IFERROR(__xludf.DUMMYFUNCTION("""COMPUTED_VALUE"""),"товари")</f>
        <v>товари</v>
      </c>
      <c r="B2119" s="16" t="str">
        <f>IFERROR(__xludf.DUMMYFUNCTION("""COMPUTED_VALUE"""),"матеріали для ремонту")</f>
        <v>матеріали для ремонту</v>
      </c>
      <c r="C2119" s="16" t="str">
        <f>IFERROR(__xludf.DUMMYFUNCTION("""COMPUTED_VALUE"""),"вікна та двері")</f>
        <v>вікна та двері</v>
      </c>
      <c r="D2119" s="16" t="str">
        <f>IFERROR(__xludf.DUMMYFUNCTION("""COMPUTED_VALUE"""),"вікна і двері, загальне")</f>
        <v>вікна і двері, загальне</v>
      </c>
      <c r="E2119" s="16" t="str">
        <f>IFERROR(__xludf.DUMMYFUNCTION("""COMPUTED_VALUE"""),"вікна і двері, загальне")</f>
        <v>вікна і двері, загальне</v>
      </c>
      <c r="F2119" s="17">
        <f>IFERROR(__xludf.DUMMYFUNCTION("""COMPUTED_VALUE"""),3.0)</f>
        <v>3</v>
      </c>
      <c r="G2119" s="17" t="str">
        <f>IFERROR(__xludf.DUMMYFUNCTION("""COMPUTED_VALUE"""),"130509")</f>
        <v>130509</v>
      </c>
      <c r="H2119" s="17" t="str">
        <f>IFERROR(__xludf.DUMMYFUNCTION("""COMPUTED_VALUE"""),"вікна і двері, загальне")</f>
        <v>вікна і двері, загальне</v>
      </c>
      <c r="I2119" s="19">
        <f>IFERROR(__xludf.DUMMYFUNCTION("""COMPUTED_VALUE"""),0.125)</f>
        <v>0.125</v>
      </c>
      <c r="J2119" s="19">
        <f>IFERROR(__xludf.DUMMYFUNCTION("""COMPUTED_VALUE"""),0.25)</f>
        <v>0.25</v>
      </c>
      <c r="K2119" s="19">
        <f>IFERROR(__xludf.DUMMYFUNCTION("""COMPUTED_VALUE"""),0.3125)</f>
        <v>0.3125</v>
      </c>
      <c r="L2119" s="19">
        <f>IFERROR(__xludf.DUMMYFUNCTION("""COMPUTED_VALUE"""),0.375)</f>
        <v>0.375</v>
      </c>
      <c r="M2119" s="18">
        <f>IFERROR(__xludf.DUMMYFUNCTION("""COMPUTED_VALUE"""),4.33)</f>
        <v>4.33</v>
      </c>
    </row>
    <row r="2120">
      <c r="A2120" s="13" t="str">
        <f>IFERROR(__xludf.DUMMYFUNCTION("""COMPUTED_VALUE"""),"товари")</f>
        <v>товари</v>
      </c>
      <c r="B2120" s="16" t="str">
        <f>IFERROR(__xludf.DUMMYFUNCTION("""COMPUTED_VALUE"""),"матеріали для ремонту")</f>
        <v>матеріали для ремонту</v>
      </c>
      <c r="C2120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20" s="16" t="str">
        <f>IFERROR(__xludf.DUMMYFUNCTION("""COMPUTED_VALUE"""),"рольставні")</f>
        <v>рольставні</v>
      </c>
      <c r="E2120" s="16" t="str">
        <f>IFERROR(__xludf.DUMMYFUNCTION("""COMPUTED_VALUE"""),"рольставні")</f>
        <v>рольставні</v>
      </c>
      <c r="F2120" s="17">
        <f>IFERROR(__xludf.DUMMYFUNCTION("""COMPUTED_VALUE"""),3.0)</f>
        <v>3</v>
      </c>
      <c r="G2120" s="17" t="str">
        <f>IFERROR(__xludf.DUMMYFUNCTION("""COMPUTED_VALUE"""),"153806")</f>
        <v>153806</v>
      </c>
      <c r="H2120" s="17" t="str">
        <f>IFERROR(__xludf.DUMMYFUNCTION("""COMPUTED_VALUE"""),"рольставні")</f>
        <v>рольставні</v>
      </c>
      <c r="I2120" s="19">
        <f>IFERROR(__xludf.DUMMYFUNCTION("""COMPUTED_VALUE"""),0.0737)</f>
        <v>0.0737</v>
      </c>
      <c r="J2120" s="19">
        <f>IFERROR(__xludf.DUMMYFUNCTION("""COMPUTED_VALUE"""),0.1473)</f>
        <v>0.1473</v>
      </c>
      <c r="K2120" s="19">
        <f>IFERROR(__xludf.DUMMYFUNCTION("""COMPUTED_VALUE"""),0.1841)</f>
        <v>0.1841</v>
      </c>
      <c r="L2120" s="19">
        <f>IFERROR(__xludf.DUMMYFUNCTION("""COMPUTED_VALUE"""),0.221)</f>
        <v>0.221</v>
      </c>
      <c r="M2120" s="18">
        <f>IFERROR(__xludf.DUMMYFUNCTION("""COMPUTED_VALUE"""),3.69)</f>
        <v>3.69</v>
      </c>
    </row>
    <row r="2121">
      <c r="A2121" s="13" t="str">
        <f>IFERROR(__xludf.DUMMYFUNCTION("""COMPUTED_VALUE"""),"товари")</f>
        <v>товари</v>
      </c>
      <c r="B2121" s="16" t="str">
        <f>IFERROR(__xludf.DUMMYFUNCTION("""COMPUTED_VALUE"""),"матеріали для ремонту")</f>
        <v>матеріали для ремонту</v>
      </c>
      <c r="C2121" s="16" t="str">
        <f>IFERROR(__xludf.DUMMYFUNCTION("""COMPUTED_VALUE"""),"побутове водопостачання")</f>
        <v>побутове водопостачання</v>
      </c>
      <c r="D2121" s="16" t="str">
        <f>IFERROR(__xludf.DUMMYFUNCTION("""COMPUTED_VALUE"""),"водонагрівачі та комплектуючі")</f>
        <v>водонагрівачі та комплектуючі</v>
      </c>
      <c r="E2121" s="16" t="str">
        <f>IFERROR(__xludf.DUMMYFUNCTION("""COMPUTED_VALUE"""),"водонагрівачі, загальне")</f>
        <v>водонагрівачі, загальне</v>
      </c>
      <c r="F2121" s="17">
        <f>IFERROR(__xludf.DUMMYFUNCTION("""COMPUTED_VALUE"""),4.0)</f>
        <v>4</v>
      </c>
      <c r="G2121" s="17" t="str">
        <f>IFERROR(__xludf.DUMMYFUNCTION("""COMPUTED_VALUE"""),"13241105")</f>
        <v>13241105</v>
      </c>
      <c r="H2121" s="17" t="str">
        <f>IFERROR(__xludf.DUMMYFUNCTION("""COMPUTED_VALUE"""),"водонагрівачі, загальне")</f>
        <v>водонагрівачі, загальне</v>
      </c>
      <c r="I2121" s="19">
        <f>IFERROR(__xludf.DUMMYFUNCTION("""COMPUTED_VALUE"""),0.125)</f>
        <v>0.125</v>
      </c>
      <c r="J2121" s="19">
        <f>IFERROR(__xludf.DUMMYFUNCTION("""COMPUTED_VALUE"""),0.25)</f>
        <v>0.25</v>
      </c>
      <c r="K2121" s="19">
        <f>IFERROR(__xludf.DUMMYFUNCTION("""COMPUTED_VALUE"""),0.3125)</f>
        <v>0.3125</v>
      </c>
      <c r="L2121" s="19">
        <f>IFERROR(__xludf.DUMMYFUNCTION("""COMPUTED_VALUE"""),0.375)</f>
        <v>0.375</v>
      </c>
      <c r="M2121" s="18">
        <f>IFERROR(__xludf.DUMMYFUNCTION("""COMPUTED_VALUE"""),4.33)</f>
        <v>4.33</v>
      </c>
    </row>
    <row r="2122">
      <c r="A2122" s="13" t="str">
        <f>IFERROR(__xludf.DUMMYFUNCTION("""COMPUTED_VALUE"""),"товари")</f>
        <v>товари</v>
      </c>
      <c r="B2122" s="16" t="str">
        <f>IFERROR(__xludf.DUMMYFUNCTION("""COMPUTED_VALUE"""),"матеріали для ремонту")</f>
        <v>матеріали для ремонту</v>
      </c>
      <c r="C2122" s="16" t="str">
        <f>IFERROR(__xludf.DUMMYFUNCTION("""COMPUTED_VALUE"""),"радіатори та обігрівачі")</f>
        <v>радіатори та обігрівачі</v>
      </c>
      <c r="D2122" s="16" t="str">
        <f>IFERROR(__xludf.DUMMYFUNCTION("""COMPUTED_VALUE"""),"газові конвектори")</f>
        <v>газові конвектори</v>
      </c>
      <c r="E2122" s="16" t="str">
        <f>IFERROR(__xludf.DUMMYFUNCTION("""COMPUTED_VALUE"""),"газові конвектори")</f>
        <v>газові конвектори</v>
      </c>
      <c r="F2122" s="17">
        <f>IFERROR(__xludf.DUMMYFUNCTION("""COMPUTED_VALUE"""),3.0)</f>
        <v>3</v>
      </c>
      <c r="G2122" s="17" t="str">
        <f>IFERROR(__xludf.DUMMYFUNCTION("""COMPUTED_VALUE"""),"62608")</f>
        <v>62608</v>
      </c>
      <c r="H2122" s="17" t="str">
        <f>IFERROR(__xludf.DUMMYFUNCTION("""COMPUTED_VALUE"""),"газові конвектори")</f>
        <v>газові конвектори</v>
      </c>
      <c r="I2122" s="19">
        <f>IFERROR(__xludf.DUMMYFUNCTION("""COMPUTED_VALUE"""),0.042)</f>
        <v>0.042</v>
      </c>
      <c r="J2122" s="19">
        <f>IFERROR(__xludf.DUMMYFUNCTION("""COMPUTED_VALUE"""),0.0839)</f>
        <v>0.0839</v>
      </c>
      <c r="K2122" s="19">
        <f>IFERROR(__xludf.DUMMYFUNCTION("""COMPUTED_VALUE"""),0.1049)</f>
        <v>0.1049</v>
      </c>
      <c r="L2122" s="19">
        <f>IFERROR(__xludf.DUMMYFUNCTION("""COMPUTED_VALUE"""),0.1259)</f>
        <v>0.1259</v>
      </c>
      <c r="M2122" s="18">
        <f>IFERROR(__xludf.DUMMYFUNCTION("""COMPUTED_VALUE"""),1.53)</f>
        <v>1.53</v>
      </c>
    </row>
    <row r="2123">
      <c r="A2123" s="13" t="str">
        <f>IFERROR(__xludf.DUMMYFUNCTION("""COMPUTED_VALUE"""),"товари")</f>
        <v>товари</v>
      </c>
      <c r="B2123" s="16" t="str">
        <f>IFERROR(__xludf.DUMMYFUNCTION("""COMPUTED_VALUE"""),"матеріали для ремонту")</f>
        <v>матеріали для ремонту</v>
      </c>
      <c r="C2123" s="16" t="str">
        <f>IFERROR(__xludf.DUMMYFUNCTION("""COMPUTED_VALUE"""),"скріплювальні вироби")</f>
        <v>скріплювальні вироби</v>
      </c>
      <c r="D2123" s="16" t="str">
        <f>IFERROR(__xludf.DUMMYFUNCTION("""COMPUTED_VALUE"""),"метричне кріплення")</f>
        <v>метричне кріплення</v>
      </c>
      <c r="E2123" s="16" t="str">
        <f>IFERROR(__xludf.DUMMYFUNCTION("""COMPUTED_VALUE"""),"гайки")</f>
        <v>гайки</v>
      </c>
      <c r="F2123" s="17">
        <f>IFERROR(__xludf.DUMMYFUNCTION("""COMPUTED_VALUE"""),4.0)</f>
        <v>4</v>
      </c>
      <c r="G2123" s="17" t="str">
        <f>IFERROR(__xludf.DUMMYFUNCTION("""COMPUTED_VALUE"""),"420504")</f>
        <v>420504</v>
      </c>
      <c r="H2123" s="17" t="str">
        <f>IFERROR(__xludf.DUMMYFUNCTION("""COMPUTED_VALUE"""),"гайки")</f>
        <v>гайки</v>
      </c>
      <c r="I2123" s="19">
        <f>IFERROR(__xludf.DUMMYFUNCTION("""COMPUTED_VALUE"""),0.0778)</f>
        <v>0.0778</v>
      </c>
      <c r="J2123" s="19">
        <f>IFERROR(__xludf.DUMMYFUNCTION("""COMPUTED_VALUE"""),0.1556)</f>
        <v>0.1556</v>
      </c>
      <c r="K2123" s="19">
        <f>IFERROR(__xludf.DUMMYFUNCTION("""COMPUTED_VALUE"""),0.1945)</f>
        <v>0.1945</v>
      </c>
      <c r="L2123" s="19">
        <f>IFERROR(__xludf.DUMMYFUNCTION("""COMPUTED_VALUE"""),0.2334)</f>
        <v>0.2334</v>
      </c>
      <c r="M2123" s="18">
        <f>IFERROR(__xludf.DUMMYFUNCTION("""COMPUTED_VALUE"""),1.53)</f>
        <v>1.53</v>
      </c>
    </row>
    <row r="2124">
      <c r="A2124" s="13" t="str">
        <f>IFERROR(__xludf.DUMMYFUNCTION("""COMPUTED_VALUE"""),"товари")</f>
        <v>товари</v>
      </c>
      <c r="B2124" s="16" t="str">
        <f>IFERROR(__xludf.DUMMYFUNCTION("""COMPUTED_VALUE"""),"матеріали для ремонту")</f>
        <v>матеріали для ремонту</v>
      </c>
      <c r="C2124" s="16" t="str">
        <f>IFERROR(__xludf.DUMMYFUNCTION("""COMPUTED_VALUE"""),"герметики і монтажна піна")</f>
        <v>герметики і монтажна піна</v>
      </c>
      <c r="D2124" s="16" t="str">
        <f>IFERROR(__xludf.DUMMYFUNCTION("""COMPUTED_VALUE"""),"герметики і монтажна піна, загальне")</f>
        <v>герметики і монтажна піна, загальне</v>
      </c>
      <c r="E2124" s="16" t="str">
        <f>IFERROR(__xludf.DUMMYFUNCTION("""COMPUTED_VALUE"""),"герметики і монтажна піна, загальне")</f>
        <v>герметики і монтажна піна, загальне</v>
      </c>
      <c r="F2124" s="17">
        <f>IFERROR(__xludf.DUMMYFUNCTION("""COMPUTED_VALUE"""),3.0)</f>
        <v>3</v>
      </c>
      <c r="G2124" s="17" t="str">
        <f>IFERROR(__xludf.DUMMYFUNCTION("""COMPUTED_VALUE"""),"810801")</f>
        <v>810801</v>
      </c>
      <c r="H2124" s="17" t="str">
        <f>IFERROR(__xludf.DUMMYFUNCTION("""COMPUTED_VALUE"""),"герметики і монтажна піна, загальне")</f>
        <v>герметики і монтажна піна, загальне</v>
      </c>
      <c r="I2124" s="19">
        <f>IFERROR(__xludf.DUMMYFUNCTION("""COMPUTED_VALUE"""),0.125)</f>
        <v>0.125</v>
      </c>
      <c r="J2124" s="19">
        <f>IFERROR(__xludf.DUMMYFUNCTION("""COMPUTED_VALUE"""),0.25)</f>
        <v>0.25</v>
      </c>
      <c r="K2124" s="19">
        <f>IFERROR(__xludf.DUMMYFUNCTION("""COMPUTED_VALUE"""),0.3125)</f>
        <v>0.3125</v>
      </c>
      <c r="L2124" s="19">
        <f>IFERROR(__xludf.DUMMYFUNCTION("""COMPUTED_VALUE"""),0.375)</f>
        <v>0.375</v>
      </c>
      <c r="M2124" s="18">
        <f>IFERROR(__xludf.DUMMYFUNCTION("""COMPUTED_VALUE"""),4.33)</f>
        <v>4.33</v>
      </c>
    </row>
    <row r="2125">
      <c r="A2125" s="13" t="str">
        <f>IFERROR(__xludf.DUMMYFUNCTION("""COMPUTED_VALUE"""),"товари")</f>
        <v>товари</v>
      </c>
      <c r="B2125" s="16" t="str">
        <f>IFERROR(__xludf.DUMMYFUNCTION("""COMPUTED_VALUE"""),"матеріали для ремонту")</f>
        <v>матеріали для ремонту</v>
      </c>
      <c r="C2125" s="16" t="str">
        <f>IFERROR(__xludf.DUMMYFUNCTION("""COMPUTED_VALUE"""),"герметики і монтажна піна")</f>
        <v>герметики і монтажна піна</v>
      </c>
      <c r="D2125" s="16" t="str">
        <f>IFERROR(__xludf.DUMMYFUNCTION("""COMPUTED_VALUE"""),"герметики і силікони")</f>
        <v>герметики і силікони</v>
      </c>
      <c r="E2125" s="16" t="str">
        <f>IFERROR(__xludf.DUMMYFUNCTION("""COMPUTED_VALUE"""),"герметики і силікони")</f>
        <v>герметики і силікони</v>
      </c>
      <c r="F2125" s="17">
        <f>IFERROR(__xludf.DUMMYFUNCTION("""COMPUTED_VALUE"""),3.0)</f>
        <v>3</v>
      </c>
      <c r="G2125" s="17" t="str">
        <f>IFERROR(__xludf.DUMMYFUNCTION("""COMPUTED_VALUE"""),"82210")</f>
        <v>82210</v>
      </c>
      <c r="H2125" s="17" t="str">
        <f>IFERROR(__xludf.DUMMYFUNCTION("""COMPUTED_VALUE"""),"герметики і силікони")</f>
        <v>герметики і силікони</v>
      </c>
      <c r="I2125" s="19">
        <f>IFERROR(__xludf.DUMMYFUNCTION("""COMPUTED_VALUE"""),0.0765)</f>
        <v>0.0765</v>
      </c>
      <c r="J2125" s="19">
        <f>IFERROR(__xludf.DUMMYFUNCTION("""COMPUTED_VALUE"""),0.1529)</f>
        <v>0.1529</v>
      </c>
      <c r="K2125" s="19">
        <f>IFERROR(__xludf.DUMMYFUNCTION("""COMPUTED_VALUE"""),0.1911)</f>
        <v>0.1911</v>
      </c>
      <c r="L2125" s="19">
        <f>IFERROR(__xludf.DUMMYFUNCTION("""COMPUTED_VALUE"""),0.2294)</f>
        <v>0.2294</v>
      </c>
      <c r="M2125" s="18">
        <f>IFERROR(__xludf.DUMMYFUNCTION("""COMPUTED_VALUE"""),2.08)</f>
        <v>2.08</v>
      </c>
    </row>
    <row r="2126">
      <c r="A2126" s="13" t="str">
        <f>IFERROR(__xludf.DUMMYFUNCTION("""COMPUTED_VALUE"""),"товари")</f>
        <v>товари</v>
      </c>
      <c r="B2126" s="16" t="str">
        <f>IFERROR(__xludf.DUMMYFUNCTION("""COMPUTED_VALUE"""),"матеріали для ремонту")</f>
        <v>матеріали для ремонту</v>
      </c>
      <c r="C2126" s="16" t="str">
        <f>IFERROR(__xludf.DUMMYFUNCTION("""COMPUTED_VALUE"""),"сантехніка")</f>
        <v>сантехніка</v>
      </c>
      <c r="D2126" s="16" t="str">
        <f>IFERROR(__xludf.DUMMYFUNCTION("""COMPUTED_VALUE"""),"гігієнічні душі")</f>
        <v>гігієнічні душі</v>
      </c>
      <c r="E2126" s="16" t="str">
        <f>IFERROR(__xludf.DUMMYFUNCTION("""COMPUTED_VALUE"""),"гігієнічні душі")</f>
        <v>гігієнічні душі</v>
      </c>
      <c r="F2126" s="17">
        <f>IFERROR(__xludf.DUMMYFUNCTION("""COMPUTED_VALUE"""),3.0)</f>
        <v>3</v>
      </c>
      <c r="G2126" s="17" t="str">
        <f>IFERROR(__xludf.DUMMYFUNCTION("""COMPUTED_VALUE"""),"13240225")</f>
        <v>13240225</v>
      </c>
      <c r="H2126" s="17" t="str">
        <f>IFERROR(__xludf.DUMMYFUNCTION("""COMPUTED_VALUE"""),"гігієнічні душі")</f>
        <v>гігієнічні душі</v>
      </c>
      <c r="I2126" s="19">
        <f>IFERROR(__xludf.DUMMYFUNCTION("""COMPUTED_VALUE"""),0.075)</f>
        <v>0.075</v>
      </c>
      <c r="J2126" s="19">
        <f>IFERROR(__xludf.DUMMYFUNCTION("""COMPUTED_VALUE"""),0.15)</f>
        <v>0.15</v>
      </c>
      <c r="K2126" s="19">
        <f>IFERROR(__xludf.DUMMYFUNCTION("""COMPUTED_VALUE"""),0.1875)</f>
        <v>0.1875</v>
      </c>
      <c r="L2126" s="19">
        <f>IFERROR(__xludf.DUMMYFUNCTION("""COMPUTED_VALUE"""),0.225)</f>
        <v>0.225</v>
      </c>
      <c r="M2126" s="18">
        <f>IFERROR(__xludf.DUMMYFUNCTION("""COMPUTED_VALUE"""),3.15)</f>
        <v>3.15</v>
      </c>
    </row>
    <row r="2127">
      <c r="A2127" s="13" t="str">
        <f>IFERROR(__xludf.DUMMYFUNCTION("""COMPUTED_VALUE"""),"товари")</f>
        <v>товари</v>
      </c>
      <c r="B2127" s="16" t="str">
        <f>IFERROR(__xludf.DUMMYFUNCTION("""COMPUTED_VALUE"""),"матеріали для ремонту")</f>
        <v>матеріали для ремонту</v>
      </c>
      <c r="C2127" s="16" t="str">
        <f>IFERROR(__xludf.DUMMYFUNCTION("""COMPUTED_VALUE"""),"побутове водопостачання")</f>
        <v>побутове водопостачання</v>
      </c>
      <c r="D2127" s="16" t="str">
        <f>IFERROR(__xludf.DUMMYFUNCTION("""COMPUTED_VALUE"""),"гідроакумулятори")</f>
        <v>гідроакумулятори</v>
      </c>
      <c r="E2127" s="16" t="str">
        <f>IFERROR(__xludf.DUMMYFUNCTION("""COMPUTED_VALUE"""),"гідроакумулятори")</f>
        <v>гідроакумулятори</v>
      </c>
      <c r="F2127" s="17">
        <f>IFERROR(__xludf.DUMMYFUNCTION("""COMPUTED_VALUE"""),3.0)</f>
        <v>3</v>
      </c>
      <c r="G2127" s="17" t="str">
        <f>IFERROR(__xludf.DUMMYFUNCTION("""COMPUTED_VALUE"""),"13240412")</f>
        <v>13240412</v>
      </c>
      <c r="H2127" s="17" t="str">
        <f>IFERROR(__xludf.DUMMYFUNCTION("""COMPUTED_VALUE"""),"гідроакумулятори")</f>
        <v>гідроакумулятори</v>
      </c>
      <c r="I2127" s="19">
        <f>IFERROR(__xludf.DUMMYFUNCTION("""COMPUTED_VALUE"""),0.0686)</f>
        <v>0.0686</v>
      </c>
      <c r="J2127" s="19">
        <f>IFERROR(__xludf.DUMMYFUNCTION("""COMPUTED_VALUE"""),0.1371)</f>
        <v>0.1371</v>
      </c>
      <c r="K2127" s="19">
        <f>IFERROR(__xludf.DUMMYFUNCTION("""COMPUTED_VALUE"""),0.1714)</f>
        <v>0.1714</v>
      </c>
      <c r="L2127" s="19">
        <f>IFERROR(__xludf.DUMMYFUNCTION("""COMPUTED_VALUE"""),0.2057)</f>
        <v>0.2057</v>
      </c>
      <c r="M2127" s="18">
        <f>IFERROR(__xludf.DUMMYFUNCTION("""COMPUTED_VALUE"""),2.08)</f>
        <v>2.08</v>
      </c>
    </row>
    <row r="2128">
      <c r="A2128" s="13" t="str">
        <f>IFERROR(__xludf.DUMMYFUNCTION("""COMPUTED_VALUE"""),"товари")</f>
        <v>товари</v>
      </c>
      <c r="B2128" s="16" t="str">
        <f>IFERROR(__xludf.DUMMYFUNCTION("""COMPUTED_VALUE"""),"матеріали для ремонту")</f>
        <v>матеріали для ремонту</v>
      </c>
      <c r="C2128" s="16" t="str">
        <f>IFERROR(__xludf.DUMMYFUNCTION("""COMPUTED_VALUE"""),"сантехніка")</f>
        <v>сантехніка</v>
      </c>
      <c r="D2128" s="16" t="str">
        <f>IFERROR(__xludf.DUMMYFUNCTION("""COMPUTED_VALUE"""),"гнучкі шланги для підключення води та газу")</f>
        <v>гнучкі шланги для підключення води та газу</v>
      </c>
      <c r="E2128" s="16" t="str">
        <f>IFERROR(__xludf.DUMMYFUNCTION("""COMPUTED_VALUE"""),"гнучкі шланги для підключення води та газу")</f>
        <v>гнучкі шланги для підключення води та газу</v>
      </c>
      <c r="F2128" s="17">
        <f>IFERROR(__xludf.DUMMYFUNCTION("""COMPUTED_VALUE"""),3.0)</f>
        <v>3</v>
      </c>
      <c r="G2128" s="17" t="str">
        <f>IFERROR(__xludf.DUMMYFUNCTION("""COMPUTED_VALUE"""),"13240206")</f>
        <v>13240206</v>
      </c>
      <c r="H2128" s="17" t="str">
        <f>IFERROR(__xludf.DUMMYFUNCTION("""COMPUTED_VALUE"""),"гнучкі шланги для підключення води та газу")</f>
        <v>гнучкі шланги для підключення води та газу</v>
      </c>
      <c r="I2128" s="19">
        <f>IFERROR(__xludf.DUMMYFUNCTION("""COMPUTED_VALUE"""),0.0758)</f>
        <v>0.0758</v>
      </c>
      <c r="J2128" s="19">
        <f>IFERROR(__xludf.DUMMYFUNCTION("""COMPUTED_VALUE"""),0.1516)</f>
        <v>0.1516</v>
      </c>
      <c r="K2128" s="19">
        <f>IFERROR(__xludf.DUMMYFUNCTION("""COMPUTED_VALUE"""),0.1895)</f>
        <v>0.1895</v>
      </c>
      <c r="L2128" s="19">
        <f>IFERROR(__xludf.DUMMYFUNCTION("""COMPUTED_VALUE"""),0.2274)</f>
        <v>0.2274</v>
      </c>
      <c r="M2128" s="18">
        <f>IFERROR(__xludf.DUMMYFUNCTION("""COMPUTED_VALUE"""),1.8)</f>
        <v>1.8</v>
      </c>
    </row>
    <row r="2129">
      <c r="A2129" s="13" t="str">
        <f>IFERROR(__xludf.DUMMYFUNCTION("""COMPUTED_VALUE"""),"товари")</f>
        <v>товари</v>
      </c>
      <c r="B2129" s="16" t="str">
        <f>IFERROR(__xludf.DUMMYFUNCTION("""COMPUTED_VALUE"""),"матеріали для ремонту")</f>
        <v>матеріали для ремонту</v>
      </c>
      <c r="C2129" s="16" t="str">
        <f>IFERROR(__xludf.DUMMYFUNCTION("""COMPUTED_VALUE"""),"вікна та двері")</f>
        <v>вікна та двері</v>
      </c>
      <c r="D2129" s="16" t="str">
        <f>IFERROR(__xludf.DUMMYFUNCTION("""COMPUTED_VALUE"""),"двері для саун і лазень")</f>
        <v>двері для саун і лазень</v>
      </c>
      <c r="E2129" s="16" t="str">
        <f>IFERROR(__xludf.DUMMYFUNCTION("""COMPUTED_VALUE"""),"двері для саун і лазень")</f>
        <v>двері для саун і лазень</v>
      </c>
      <c r="F2129" s="17">
        <f>IFERROR(__xludf.DUMMYFUNCTION("""COMPUTED_VALUE"""),3.0)</f>
        <v>3</v>
      </c>
      <c r="G2129" s="17" t="str">
        <f>IFERROR(__xludf.DUMMYFUNCTION("""COMPUTED_VALUE"""),"130510")</f>
        <v>130510</v>
      </c>
      <c r="H2129" s="17" t="str">
        <f>IFERROR(__xludf.DUMMYFUNCTION("""COMPUTED_VALUE"""),"двері для саун і лазень")</f>
        <v>двері для саун і лазень</v>
      </c>
      <c r="I2129" s="19">
        <f>IFERROR(__xludf.DUMMYFUNCTION("""COMPUTED_VALUE"""),0.0506)</f>
        <v>0.0506</v>
      </c>
      <c r="J2129" s="19">
        <f>IFERROR(__xludf.DUMMYFUNCTION("""COMPUTED_VALUE"""),0.1012)</f>
        <v>0.1012</v>
      </c>
      <c r="K2129" s="19">
        <f>IFERROR(__xludf.DUMMYFUNCTION("""COMPUTED_VALUE"""),0.1265)</f>
        <v>0.1265</v>
      </c>
      <c r="L2129" s="19">
        <f>IFERROR(__xludf.DUMMYFUNCTION("""COMPUTED_VALUE"""),0.1518)</f>
        <v>0.1518</v>
      </c>
      <c r="M2129" s="18">
        <f>IFERROR(__xludf.DUMMYFUNCTION("""COMPUTED_VALUE"""),3.15)</f>
        <v>3.15</v>
      </c>
    </row>
    <row r="2130">
      <c r="A2130" s="13" t="str">
        <f>IFERROR(__xludf.DUMMYFUNCTION("""COMPUTED_VALUE"""),"товари")</f>
        <v>товари</v>
      </c>
      <c r="B2130" s="16" t="str">
        <f>IFERROR(__xludf.DUMMYFUNCTION("""COMPUTED_VALUE"""),"матеріали для ремонту")</f>
        <v>матеріали для ремонту</v>
      </c>
      <c r="C2130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30" s="16" t="str">
        <f>IFERROR(__xludf.DUMMYFUNCTION("""COMPUTED_VALUE"""),"дверний погонаж")</f>
        <v>дверний погонаж</v>
      </c>
      <c r="E2130" s="16" t="str">
        <f>IFERROR(__xludf.DUMMYFUNCTION("""COMPUTED_VALUE"""),"дверний погонаж")</f>
        <v>дверний погонаж</v>
      </c>
      <c r="F2130" s="17">
        <f>IFERROR(__xludf.DUMMYFUNCTION("""COMPUTED_VALUE"""),3.0)</f>
        <v>3</v>
      </c>
      <c r="G2130" s="17" t="str">
        <f>IFERROR(__xludf.DUMMYFUNCTION("""COMPUTED_VALUE"""),"130516")</f>
        <v>130516</v>
      </c>
      <c r="H2130" s="17" t="str">
        <f>IFERROR(__xludf.DUMMYFUNCTION("""COMPUTED_VALUE"""),"дверний погонаж")</f>
        <v>дверний погонаж</v>
      </c>
      <c r="I2130" s="19">
        <f>IFERROR(__xludf.DUMMYFUNCTION("""COMPUTED_VALUE"""),0.0523)</f>
        <v>0.0523</v>
      </c>
      <c r="J2130" s="19">
        <f>IFERROR(__xludf.DUMMYFUNCTION("""COMPUTED_VALUE"""),0.1046)</f>
        <v>0.1046</v>
      </c>
      <c r="K2130" s="19">
        <f>IFERROR(__xludf.DUMMYFUNCTION("""COMPUTED_VALUE"""),0.1308)</f>
        <v>0.1308</v>
      </c>
      <c r="L2130" s="19">
        <f>IFERROR(__xludf.DUMMYFUNCTION("""COMPUTED_VALUE"""),0.1569)</f>
        <v>0.1569</v>
      </c>
      <c r="M2130" s="18">
        <f>IFERROR(__xludf.DUMMYFUNCTION("""COMPUTED_VALUE"""),1.26)</f>
        <v>1.26</v>
      </c>
    </row>
    <row r="2131">
      <c r="A2131" s="13" t="str">
        <f>IFERROR(__xludf.DUMMYFUNCTION("""COMPUTED_VALUE"""),"товари")</f>
        <v>товари</v>
      </c>
      <c r="B2131" s="16" t="str">
        <f>IFERROR(__xludf.DUMMYFUNCTION("""COMPUTED_VALUE"""),"матеріали для ремонту")</f>
        <v>матеріали для ремонту</v>
      </c>
      <c r="C2131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31" s="16" t="str">
        <f>IFERROR(__xludf.DUMMYFUNCTION("""COMPUTED_VALUE"""),"дверні відеоглазки")</f>
        <v>дверні відеоглазки</v>
      </c>
      <c r="E2131" s="16" t="str">
        <f>IFERROR(__xludf.DUMMYFUNCTION("""COMPUTED_VALUE"""),"дверні відеоглазки")</f>
        <v>дверні відеоглазки</v>
      </c>
      <c r="F2131" s="17">
        <f>IFERROR(__xludf.DUMMYFUNCTION("""COMPUTED_VALUE"""),3.0)</f>
        <v>3</v>
      </c>
      <c r="G2131" s="17" t="str">
        <f>IFERROR(__xludf.DUMMYFUNCTION("""COMPUTED_VALUE"""),"301306")</f>
        <v>301306</v>
      </c>
      <c r="H2131" s="17" t="str">
        <f>IFERROR(__xludf.DUMMYFUNCTION("""COMPUTED_VALUE"""),"дверні відеоглазки")</f>
        <v>дверні відеоглазки</v>
      </c>
      <c r="I2131" s="19">
        <f>IFERROR(__xludf.DUMMYFUNCTION("""COMPUTED_VALUE"""),0.0723)</f>
        <v>0.0723</v>
      </c>
      <c r="J2131" s="19">
        <f>IFERROR(__xludf.DUMMYFUNCTION("""COMPUTED_VALUE"""),0.1445)</f>
        <v>0.1445</v>
      </c>
      <c r="K2131" s="19">
        <f>IFERROR(__xludf.DUMMYFUNCTION("""COMPUTED_VALUE"""),0.1806)</f>
        <v>0.1806</v>
      </c>
      <c r="L2131" s="19">
        <f>IFERROR(__xludf.DUMMYFUNCTION("""COMPUTED_VALUE"""),0.2168)</f>
        <v>0.2168</v>
      </c>
      <c r="M2131" s="18">
        <f>IFERROR(__xludf.DUMMYFUNCTION("""COMPUTED_VALUE"""),1.63)</f>
        <v>1.63</v>
      </c>
    </row>
    <row r="2132">
      <c r="A2132" s="13" t="str">
        <f>IFERROR(__xludf.DUMMYFUNCTION("""COMPUTED_VALUE"""),"товари")</f>
        <v>товари</v>
      </c>
      <c r="B2132" s="16" t="str">
        <f>IFERROR(__xludf.DUMMYFUNCTION("""COMPUTED_VALUE"""),"матеріали для ремонту")</f>
        <v>матеріали для ремонту</v>
      </c>
      <c r="C2132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32" s="16" t="str">
        <f>IFERROR(__xludf.DUMMYFUNCTION("""COMPUTED_VALUE"""),"дверні вічка")</f>
        <v>дверні вічка</v>
      </c>
      <c r="E2132" s="16" t="str">
        <f>IFERROR(__xludf.DUMMYFUNCTION("""COMPUTED_VALUE"""),"дверні вічка")</f>
        <v>дверні вічка</v>
      </c>
      <c r="F2132" s="17">
        <f>IFERROR(__xludf.DUMMYFUNCTION("""COMPUTED_VALUE"""),3.0)</f>
        <v>3</v>
      </c>
      <c r="G2132" s="17" t="str">
        <f>IFERROR(__xludf.DUMMYFUNCTION("""COMPUTED_VALUE"""),"15380314")</f>
        <v>15380314</v>
      </c>
      <c r="H2132" s="17" t="str">
        <f>IFERROR(__xludf.DUMMYFUNCTION("""COMPUTED_VALUE"""),"дверні вічка")</f>
        <v>дверні вічка</v>
      </c>
      <c r="I2132" s="19">
        <f>IFERROR(__xludf.DUMMYFUNCTION("""COMPUTED_VALUE"""),0.0524)</f>
        <v>0.0524</v>
      </c>
      <c r="J2132" s="19">
        <f>IFERROR(__xludf.DUMMYFUNCTION("""COMPUTED_VALUE"""),0.1047)</f>
        <v>0.1047</v>
      </c>
      <c r="K2132" s="19">
        <f>IFERROR(__xludf.DUMMYFUNCTION("""COMPUTED_VALUE"""),0.1309)</f>
        <v>0.1309</v>
      </c>
      <c r="L2132" s="19">
        <f>IFERROR(__xludf.DUMMYFUNCTION("""COMPUTED_VALUE"""),0.1571)</f>
        <v>0.1571</v>
      </c>
      <c r="M2132" s="18">
        <f>IFERROR(__xludf.DUMMYFUNCTION("""COMPUTED_VALUE"""),1.05)</f>
        <v>1.05</v>
      </c>
    </row>
    <row r="2133">
      <c r="A2133" s="13" t="str">
        <f>IFERROR(__xludf.DUMMYFUNCTION("""COMPUTED_VALUE"""),"товари")</f>
        <v>товари</v>
      </c>
      <c r="B2133" s="16" t="str">
        <f>IFERROR(__xludf.DUMMYFUNCTION("""COMPUTED_VALUE"""),"матеріали для ремонту")</f>
        <v>матеріали для ремонту</v>
      </c>
      <c r="C2133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33" s="16" t="str">
        <f>IFERROR(__xludf.DUMMYFUNCTION("""COMPUTED_VALUE"""),"дверні дзвінки")</f>
        <v>дверні дзвінки</v>
      </c>
      <c r="E2133" s="16" t="str">
        <f>IFERROR(__xludf.DUMMYFUNCTION("""COMPUTED_VALUE"""),"дверні дзвінки")</f>
        <v>дверні дзвінки</v>
      </c>
      <c r="F2133" s="17">
        <f>IFERROR(__xludf.DUMMYFUNCTION("""COMPUTED_VALUE"""),3.0)</f>
        <v>3</v>
      </c>
      <c r="G2133" s="17" t="str">
        <f>IFERROR(__xludf.DUMMYFUNCTION("""COMPUTED_VALUE"""),"1336")</f>
        <v>1336</v>
      </c>
      <c r="H2133" s="17" t="str">
        <f>IFERROR(__xludf.DUMMYFUNCTION("""COMPUTED_VALUE"""),"дверні дзвінки")</f>
        <v>дверні дзвінки</v>
      </c>
      <c r="I2133" s="19">
        <f>IFERROR(__xludf.DUMMYFUNCTION("""COMPUTED_VALUE"""),0.0807)</f>
        <v>0.0807</v>
      </c>
      <c r="J2133" s="19">
        <f>IFERROR(__xludf.DUMMYFUNCTION("""COMPUTED_VALUE"""),0.1613)</f>
        <v>0.1613</v>
      </c>
      <c r="K2133" s="19">
        <f>IFERROR(__xludf.DUMMYFUNCTION("""COMPUTED_VALUE"""),0.2016)</f>
        <v>0.2016</v>
      </c>
      <c r="L2133" s="19">
        <f>IFERROR(__xludf.DUMMYFUNCTION("""COMPUTED_VALUE"""),0.242)</f>
        <v>0.242</v>
      </c>
      <c r="M2133" s="18">
        <f>IFERROR(__xludf.DUMMYFUNCTION("""COMPUTED_VALUE"""),2.08)</f>
        <v>2.08</v>
      </c>
    </row>
    <row r="2134">
      <c r="A2134" s="13" t="str">
        <f>IFERROR(__xludf.DUMMYFUNCTION("""COMPUTED_VALUE"""),"товари")</f>
        <v>товари</v>
      </c>
      <c r="B2134" s="16" t="str">
        <f>IFERROR(__xludf.DUMMYFUNCTION("""COMPUTED_VALUE"""),"матеріали для ремонту")</f>
        <v>матеріали для ремонту</v>
      </c>
      <c r="C2134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34" s="16" t="str">
        <f>IFERROR(__xludf.DUMMYFUNCTION("""COMPUTED_VALUE"""),"дверні обмежувачі")</f>
        <v>дверні обмежувачі</v>
      </c>
      <c r="E2134" s="16" t="str">
        <f>IFERROR(__xludf.DUMMYFUNCTION("""COMPUTED_VALUE"""),"дверні обмежувачі")</f>
        <v>дверні обмежувачі</v>
      </c>
      <c r="F2134" s="17">
        <f>IFERROR(__xludf.DUMMYFUNCTION("""COMPUTED_VALUE"""),3.0)</f>
        <v>3</v>
      </c>
      <c r="G2134" s="17" t="str">
        <f>IFERROR(__xludf.DUMMYFUNCTION("""COMPUTED_VALUE"""),"15380313")</f>
        <v>15380313</v>
      </c>
      <c r="H2134" s="17" t="str">
        <f>IFERROR(__xludf.DUMMYFUNCTION("""COMPUTED_VALUE"""),"дверні обмежувачі")</f>
        <v>дверні обмежувачі</v>
      </c>
      <c r="I2134" s="19">
        <f>IFERROR(__xludf.DUMMYFUNCTION("""COMPUTED_VALUE"""),0.0539)</f>
        <v>0.0539</v>
      </c>
      <c r="J2134" s="19">
        <f>IFERROR(__xludf.DUMMYFUNCTION("""COMPUTED_VALUE"""),0.1077)</f>
        <v>0.1077</v>
      </c>
      <c r="K2134" s="19">
        <f>IFERROR(__xludf.DUMMYFUNCTION("""COMPUTED_VALUE"""),0.1346)</f>
        <v>0.1346</v>
      </c>
      <c r="L2134" s="19">
        <f>IFERROR(__xludf.DUMMYFUNCTION("""COMPUTED_VALUE"""),0.1616)</f>
        <v>0.1616</v>
      </c>
      <c r="M2134" s="18">
        <f>IFERROR(__xludf.DUMMYFUNCTION("""COMPUTED_VALUE"""),1.05)</f>
        <v>1.05</v>
      </c>
    </row>
    <row r="2135">
      <c r="A2135" s="13" t="str">
        <f>IFERROR(__xludf.DUMMYFUNCTION("""COMPUTED_VALUE"""),"товари")</f>
        <v>товари</v>
      </c>
      <c r="B2135" s="16" t="str">
        <f>IFERROR(__xludf.DUMMYFUNCTION("""COMPUTED_VALUE"""),"матеріали для ремонту")</f>
        <v>матеріали для ремонту</v>
      </c>
      <c r="C2135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35" s="16" t="str">
        <f>IFERROR(__xludf.DUMMYFUNCTION("""COMPUTED_VALUE"""),"дверні та віконні петлі")</f>
        <v>дверні та віконні петлі</v>
      </c>
      <c r="E2135" s="16" t="str">
        <f>IFERROR(__xludf.DUMMYFUNCTION("""COMPUTED_VALUE"""),"дверні та віконні петлі")</f>
        <v>дверні та віконні петлі</v>
      </c>
      <c r="F2135" s="17">
        <f>IFERROR(__xludf.DUMMYFUNCTION("""COMPUTED_VALUE"""),3.0)</f>
        <v>3</v>
      </c>
      <c r="G2135" s="17" t="str">
        <f>IFERROR(__xludf.DUMMYFUNCTION("""COMPUTED_VALUE"""),"15380307")</f>
        <v>15380307</v>
      </c>
      <c r="H2135" s="17" t="str">
        <f>IFERROR(__xludf.DUMMYFUNCTION("""COMPUTED_VALUE"""),"дверні та віконні петлі")</f>
        <v>дверні та віконні петлі</v>
      </c>
      <c r="I2135" s="19">
        <f>IFERROR(__xludf.DUMMYFUNCTION("""COMPUTED_VALUE"""),0.0599)</f>
        <v>0.0599</v>
      </c>
      <c r="J2135" s="19">
        <f>IFERROR(__xludf.DUMMYFUNCTION("""COMPUTED_VALUE"""),0.1197)</f>
        <v>0.1197</v>
      </c>
      <c r="K2135" s="19">
        <f>IFERROR(__xludf.DUMMYFUNCTION("""COMPUTED_VALUE"""),0.1496)</f>
        <v>0.1496</v>
      </c>
      <c r="L2135" s="19">
        <f>IFERROR(__xludf.DUMMYFUNCTION("""COMPUTED_VALUE"""),0.1796)</f>
        <v>0.1796</v>
      </c>
      <c r="M2135" s="18">
        <f>IFERROR(__xludf.DUMMYFUNCTION("""COMPUTED_VALUE"""),1.98)</f>
        <v>1.98</v>
      </c>
    </row>
    <row r="2136">
      <c r="A2136" s="13" t="str">
        <f>IFERROR(__xludf.DUMMYFUNCTION("""COMPUTED_VALUE"""),"товари")</f>
        <v>товари</v>
      </c>
      <c r="B2136" s="16" t="str">
        <f>IFERROR(__xludf.DUMMYFUNCTION("""COMPUTED_VALUE"""),"матеріали для ремонту")</f>
        <v>матеріали для ремонту</v>
      </c>
      <c r="C2136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36" s="16" t="str">
        <f>IFERROR(__xludf.DUMMYFUNCTION("""COMPUTED_VALUE"""),"дверні та віконні ручки")</f>
        <v>дверні та віконні ручки</v>
      </c>
      <c r="E2136" s="16" t="str">
        <f>IFERROR(__xludf.DUMMYFUNCTION("""COMPUTED_VALUE"""),"дверні та віконні ручки")</f>
        <v>дверні та віконні ручки</v>
      </c>
      <c r="F2136" s="17">
        <f>IFERROR(__xludf.DUMMYFUNCTION("""COMPUTED_VALUE"""),3.0)</f>
        <v>3</v>
      </c>
      <c r="G2136" s="17" t="str">
        <f>IFERROR(__xludf.DUMMYFUNCTION("""COMPUTED_VALUE"""),"15380306")</f>
        <v>15380306</v>
      </c>
      <c r="H2136" s="17" t="str">
        <f>IFERROR(__xludf.DUMMYFUNCTION("""COMPUTED_VALUE"""),"дверні та віконні ручки")</f>
        <v>дверні та віконні ручки</v>
      </c>
      <c r="I2136" s="19">
        <f>IFERROR(__xludf.DUMMYFUNCTION("""COMPUTED_VALUE"""),0.0586)</f>
        <v>0.0586</v>
      </c>
      <c r="J2136" s="19">
        <f>IFERROR(__xludf.DUMMYFUNCTION("""COMPUTED_VALUE"""),0.1172)</f>
        <v>0.1172</v>
      </c>
      <c r="K2136" s="19">
        <f>IFERROR(__xludf.DUMMYFUNCTION("""COMPUTED_VALUE"""),0.1465)</f>
        <v>0.1465</v>
      </c>
      <c r="L2136" s="19">
        <f>IFERROR(__xludf.DUMMYFUNCTION("""COMPUTED_VALUE"""),0.1758)</f>
        <v>0.1758</v>
      </c>
      <c r="M2136" s="18">
        <f>IFERROR(__xludf.DUMMYFUNCTION("""COMPUTED_VALUE"""),4.2)</f>
        <v>4.2</v>
      </c>
    </row>
    <row r="2137">
      <c r="A2137" s="13" t="str">
        <f>IFERROR(__xludf.DUMMYFUNCTION("""COMPUTED_VALUE"""),"товари")</f>
        <v>товари</v>
      </c>
      <c r="B2137" s="16" t="str">
        <f>IFERROR(__xludf.DUMMYFUNCTION("""COMPUTED_VALUE"""),"матеріали для ремонту")</f>
        <v>матеріали для ремонту</v>
      </c>
      <c r="C2137" s="16" t="str">
        <f>IFERROR(__xludf.DUMMYFUNCTION("""COMPUTED_VALUE"""),"декор для стін")</f>
        <v>декор для стін</v>
      </c>
      <c r="D2137" s="16" t="str">
        <f>IFERROR(__xludf.DUMMYFUNCTION("""COMPUTED_VALUE"""),"декоративна ліпнина і архітектурні елементи")</f>
        <v>декоративна ліпнина і архітектурні елементи</v>
      </c>
      <c r="E2137" s="16" t="str">
        <f>IFERROR(__xludf.DUMMYFUNCTION("""COMPUTED_VALUE"""),"декоративна ліпнина і архітектурні елементи")</f>
        <v>декоративна ліпнина і архітектурні елементи</v>
      </c>
      <c r="F2137" s="17">
        <f>IFERROR(__xludf.DUMMYFUNCTION("""COMPUTED_VALUE"""),3.0)</f>
        <v>3</v>
      </c>
      <c r="G2137" s="17" t="str">
        <f>IFERROR(__xludf.DUMMYFUNCTION("""COMPUTED_VALUE"""),"13070106")</f>
        <v>13070106</v>
      </c>
      <c r="H2137" s="17" t="str">
        <f>IFERROR(__xludf.DUMMYFUNCTION("""COMPUTED_VALUE"""),"декоративна ліпнина і архітектурні елементи")</f>
        <v>декоративна ліпнина і архітектурні елементи</v>
      </c>
      <c r="I2137" s="19">
        <f>IFERROR(__xludf.DUMMYFUNCTION("""COMPUTED_VALUE"""),0.0527)</f>
        <v>0.0527</v>
      </c>
      <c r="J2137" s="19">
        <f>IFERROR(__xludf.DUMMYFUNCTION("""COMPUTED_VALUE"""),0.1054)</f>
        <v>0.1054</v>
      </c>
      <c r="K2137" s="19">
        <f>IFERROR(__xludf.DUMMYFUNCTION("""COMPUTED_VALUE"""),0.1318)</f>
        <v>0.1318</v>
      </c>
      <c r="L2137" s="19">
        <f>IFERROR(__xludf.DUMMYFUNCTION("""COMPUTED_VALUE"""),0.1581)</f>
        <v>0.1581</v>
      </c>
      <c r="M2137" s="18">
        <f>IFERROR(__xludf.DUMMYFUNCTION("""COMPUTED_VALUE"""),2.08)</f>
        <v>2.08</v>
      </c>
    </row>
    <row r="2138">
      <c r="A2138" s="13" t="str">
        <f>IFERROR(__xludf.DUMMYFUNCTION("""COMPUTED_VALUE"""),"товари")</f>
        <v>товари</v>
      </c>
      <c r="B2138" s="16" t="str">
        <f>IFERROR(__xludf.DUMMYFUNCTION("""COMPUTED_VALUE"""),"матеріали для ремонту")</f>
        <v>матеріали для ремонту</v>
      </c>
      <c r="C2138" s="16" t="str">
        <f>IFERROR(__xludf.DUMMYFUNCTION("""COMPUTED_VALUE"""),"декор для стін")</f>
        <v>декор для стін</v>
      </c>
      <c r="D2138" s="16" t="str">
        <f>IFERROR(__xludf.DUMMYFUNCTION("""COMPUTED_VALUE"""),"декоративні куточки")</f>
        <v>декоративні куточки</v>
      </c>
      <c r="E2138" s="16" t="str">
        <f>IFERROR(__xludf.DUMMYFUNCTION("""COMPUTED_VALUE"""),"декоративні куточки")</f>
        <v>декоративні куточки</v>
      </c>
      <c r="F2138" s="17">
        <f>IFERROR(__xludf.DUMMYFUNCTION("""COMPUTED_VALUE"""),3.0)</f>
        <v>3</v>
      </c>
      <c r="G2138" s="17" t="str">
        <f>IFERROR(__xludf.DUMMYFUNCTION("""COMPUTED_VALUE"""),"131108")</f>
        <v>131108</v>
      </c>
      <c r="H2138" s="17" t="str">
        <f>IFERROR(__xludf.DUMMYFUNCTION("""COMPUTED_VALUE"""),"декоративні куточки")</f>
        <v>декоративні куточки</v>
      </c>
      <c r="I2138" s="19">
        <f>IFERROR(__xludf.DUMMYFUNCTION("""COMPUTED_VALUE"""),0.0535)</f>
        <v>0.0535</v>
      </c>
      <c r="J2138" s="19">
        <f>IFERROR(__xludf.DUMMYFUNCTION("""COMPUTED_VALUE"""),0.107)</f>
        <v>0.107</v>
      </c>
      <c r="K2138" s="19">
        <f>IFERROR(__xludf.DUMMYFUNCTION("""COMPUTED_VALUE"""),0.1338)</f>
        <v>0.1338</v>
      </c>
      <c r="L2138" s="19">
        <f>IFERROR(__xludf.DUMMYFUNCTION("""COMPUTED_VALUE"""),0.1605)</f>
        <v>0.1605</v>
      </c>
      <c r="M2138" s="18">
        <f>IFERROR(__xludf.DUMMYFUNCTION("""COMPUTED_VALUE"""),2.25)</f>
        <v>2.25</v>
      </c>
    </row>
    <row r="2139">
      <c r="A2139" s="13" t="str">
        <f>IFERROR(__xludf.DUMMYFUNCTION("""COMPUTED_VALUE"""),"товари")</f>
        <v>товари</v>
      </c>
      <c r="B2139" s="16" t="str">
        <f>IFERROR(__xludf.DUMMYFUNCTION("""COMPUTED_VALUE"""),"матеріали для ремонту")</f>
        <v>матеріали для ремонту</v>
      </c>
      <c r="C2139" s="16" t="str">
        <f>IFERROR(__xludf.DUMMYFUNCTION("""COMPUTED_VALUE"""),"декор для стін")</f>
        <v>декор для стін</v>
      </c>
      <c r="D2139" s="16" t="str">
        <f>IFERROR(__xludf.DUMMYFUNCTION("""COMPUTED_VALUE"""),"декоративні матеріали та елементи, загальне")</f>
        <v>декоративні матеріали та елементи, загальне</v>
      </c>
      <c r="E2139" s="16" t="str">
        <f>IFERROR(__xludf.DUMMYFUNCTION("""COMPUTED_VALUE"""),"декоративні матеріали та елементи, загальне")</f>
        <v>декоративні матеріали та елементи, загальне</v>
      </c>
      <c r="F2139" s="17">
        <f>IFERROR(__xludf.DUMMYFUNCTION("""COMPUTED_VALUE"""),3.0)</f>
        <v>3</v>
      </c>
      <c r="G2139" s="17" t="str">
        <f>IFERROR(__xludf.DUMMYFUNCTION("""COMPUTED_VALUE"""),"13261301")</f>
        <v>13261301</v>
      </c>
      <c r="H2139" s="17" t="str">
        <f>IFERROR(__xludf.DUMMYFUNCTION("""COMPUTED_VALUE"""),"декоративні матеріали та елементи, загальне")</f>
        <v>декоративні матеріали та елементи, загальне</v>
      </c>
      <c r="I2139" s="19">
        <f>IFERROR(__xludf.DUMMYFUNCTION("""COMPUTED_VALUE"""),0.125)</f>
        <v>0.125</v>
      </c>
      <c r="J2139" s="19">
        <f>IFERROR(__xludf.DUMMYFUNCTION("""COMPUTED_VALUE"""),0.25)</f>
        <v>0.25</v>
      </c>
      <c r="K2139" s="19">
        <f>IFERROR(__xludf.DUMMYFUNCTION("""COMPUTED_VALUE"""),0.3125)</f>
        <v>0.3125</v>
      </c>
      <c r="L2139" s="19">
        <f>IFERROR(__xludf.DUMMYFUNCTION("""COMPUTED_VALUE"""),0.375)</f>
        <v>0.375</v>
      </c>
      <c r="M2139" s="18">
        <f>IFERROR(__xludf.DUMMYFUNCTION("""COMPUTED_VALUE"""),4.33)</f>
        <v>4.33</v>
      </c>
    </row>
    <row r="2140">
      <c r="A2140" s="13" t="str">
        <f>IFERROR(__xludf.DUMMYFUNCTION("""COMPUTED_VALUE"""),"товари")</f>
        <v>товари</v>
      </c>
      <c r="B2140" s="16" t="str">
        <f>IFERROR(__xludf.DUMMYFUNCTION("""COMPUTED_VALUE"""),"матеріали для ремонту")</f>
        <v>матеріали для ремонту</v>
      </c>
      <c r="C2140" s="16" t="str">
        <f>IFERROR(__xludf.DUMMYFUNCTION("""COMPUTED_VALUE"""),"декор для стін")</f>
        <v>декор для стін</v>
      </c>
      <c r="D2140" s="16" t="str">
        <f>IFERROR(__xludf.DUMMYFUNCTION("""COMPUTED_VALUE"""),"декоративні панелі")</f>
        <v>декоративні панелі</v>
      </c>
      <c r="E2140" s="16" t="str">
        <f>IFERROR(__xludf.DUMMYFUNCTION("""COMPUTED_VALUE"""),"декоративні панелі")</f>
        <v>декоративні панелі</v>
      </c>
      <c r="F2140" s="17">
        <f>IFERROR(__xludf.DUMMYFUNCTION("""COMPUTED_VALUE"""),3.0)</f>
        <v>3</v>
      </c>
      <c r="G2140" s="17" t="str">
        <f>IFERROR(__xludf.DUMMYFUNCTION("""COMPUTED_VALUE"""),"13070115")</f>
        <v>13070115</v>
      </c>
      <c r="H2140" s="17" t="str">
        <f>IFERROR(__xludf.DUMMYFUNCTION("""COMPUTED_VALUE"""),"декоративні панелі")</f>
        <v>декоративні панелі</v>
      </c>
      <c r="I2140" s="19">
        <f>IFERROR(__xludf.DUMMYFUNCTION("""COMPUTED_VALUE"""),0.0573)</f>
        <v>0.0573</v>
      </c>
      <c r="J2140" s="19">
        <f>IFERROR(__xludf.DUMMYFUNCTION("""COMPUTED_VALUE"""),0.1145)</f>
        <v>0.1145</v>
      </c>
      <c r="K2140" s="19">
        <f>IFERROR(__xludf.DUMMYFUNCTION("""COMPUTED_VALUE"""),0.1431)</f>
        <v>0.1431</v>
      </c>
      <c r="L2140" s="19">
        <f>IFERROR(__xludf.DUMMYFUNCTION("""COMPUTED_VALUE"""),0.1718)</f>
        <v>0.1718</v>
      </c>
      <c r="M2140" s="18">
        <f>IFERROR(__xludf.DUMMYFUNCTION("""COMPUTED_VALUE"""),1.8)</f>
        <v>1.8</v>
      </c>
    </row>
    <row r="2141">
      <c r="A2141" s="13" t="str">
        <f>IFERROR(__xludf.DUMMYFUNCTION("""COMPUTED_VALUE"""),"товари")</f>
        <v>товари</v>
      </c>
      <c r="B2141" s="16" t="str">
        <f>IFERROR(__xludf.DUMMYFUNCTION("""COMPUTED_VALUE"""),"матеріали для ремонту")</f>
        <v>матеріали для ремонту</v>
      </c>
      <c r="C2141" s="16" t="str">
        <f>IFERROR(__xludf.DUMMYFUNCTION("""COMPUTED_VALUE"""),"декор для стін")</f>
        <v>декор для стін</v>
      </c>
      <c r="D2141" s="16" t="str">
        <f>IFERROR(__xludf.DUMMYFUNCTION("""COMPUTED_VALUE"""),"декоративні фрески")</f>
        <v>декоративні фрески</v>
      </c>
      <c r="E2141" s="16" t="str">
        <f>IFERROR(__xludf.DUMMYFUNCTION("""COMPUTED_VALUE"""),"декоративні фрески")</f>
        <v>декоративні фрески</v>
      </c>
      <c r="F2141" s="17">
        <f>IFERROR(__xludf.DUMMYFUNCTION("""COMPUTED_VALUE"""),3.0)</f>
        <v>3</v>
      </c>
      <c r="G2141" s="17" t="str">
        <f>IFERROR(__xludf.DUMMYFUNCTION("""COMPUTED_VALUE"""),"13070107")</f>
        <v>13070107</v>
      </c>
      <c r="H2141" s="17" t="str">
        <f>IFERROR(__xludf.DUMMYFUNCTION("""COMPUTED_VALUE"""),"декоративні фрески")</f>
        <v>декоративні фрески</v>
      </c>
      <c r="I2141" s="19">
        <f>IFERROR(__xludf.DUMMYFUNCTION("""COMPUTED_VALUE"""),0.0733)</f>
        <v>0.0733</v>
      </c>
      <c r="J2141" s="19">
        <f>IFERROR(__xludf.DUMMYFUNCTION("""COMPUTED_VALUE"""),0.1465)</f>
        <v>0.1465</v>
      </c>
      <c r="K2141" s="19">
        <f>IFERROR(__xludf.DUMMYFUNCTION("""COMPUTED_VALUE"""),0.1831)</f>
        <v>0.1831</v>
      </c>
      <c r="L2141" s="19">
        <f>IFERROR(__xludf.DUMMYFUNCTION("""COMPUTED_VALUE"""),0.2198)</f>
        <v>0.2198</v>
      </c>
      <c r="M2141" s="18">
        <f>IFERROR(__xludf.DUMMYFUNCTION("""COMPUTED_VALUE"""),1.71)</f>
        <v>1.71</v>
      </c>
    </row>
    <row r="2142">
      <c r="A2142" s="13" t="str">
        <f>IFERROR(__xludf.DUMMYFUNCTION("""COMPUTED_VALUE"""),"товари")</f>
        <v>товари</v>
      </c>
      <c r="B2142" s="16" t="str">
        <f>IFERROR(__xludf.DUMMYFUNCTION("""COMPUTED_VALUE"""),"матеріали для ремонту")</f>
        <v>матеріали для ремонту</v>
      </c>
      <c r="C2142" s="16" t="str">
        <f>IFERROR(__xludf.DUMMYFUNCTION("""COMPUTED_VALUE"""),"декор для стін")</f>
        <v>декор для стін</v>
      </c>
      <c r="D2142" s="16" t="str">
        <f>IFERROR(__xludf.DUMMYFUNCTION("""COMPUTED_VALUE"""),"декоративні штукатурки")</f>
        <v>декоративні штукатурки</v>
      </c>
      <c r="E2142" s="16" t="str">
        <f>IFERROR(__xludf.DUMMYFUNCTION("""COMPUTED_VALUE"""),"декоративні штукатурки")</f>
        <v>декоративні штукатурки</v>
      </c>
      <c r="F2142" s="17">
        <f>IFERROR(__xludf.DUMMYFUNCTION("""COMPUTED_VALUE"""),3.0)</f>
        <v>3</v>
      </c>
      <c r="G2142" s="17" t="str">
        <f>IFERROR(__xludf.DUMMYFUNCTION("""COMPUTED_VALUE"""),"13070105")</f>
        <v>13070105</v>
      </c>
      <c r="H2142" s="17" t="str">
        <f>IFERROR(__xludf.DUMMYFUNCTION("""COMPUTED_VALUE"""),"декоративні штукатурки")</f>
        <v>декоративні штукатурки</v>
      </c>
      <c r="I2142" s="19">
        <f>IFERROR(__xludf.DUMMYFUNCTION("""COMPUTED_VALUE"""),0.054)</f>
        <v>0.054</v>
      </c>
      <c r="J2142" s="19">
        <f>IFERROR(__xludf.DUMMYFUNCTION("""COMPUTED_VALUE"""),0.108)</f>
        <v>0.108</v>
      </c>
      <c r="K2142" s="19">
        <f>IFERROR(__xludf.DUMMYFUNCTION("""COMPUTED_VALUE"""),0.135)</f>
        <v>0.135</v>
      </c>
      <c r="L2142" s="19">
        <f>IFERROR(__xludf.DUMMYFUNCTION("""COMPUTED_VALUE"""),0.162)</f>
        <v>0.162</v>
      </c>
      <c r="M2142" s="18">
        <f>IFERROR(__xludf.DUMMYFUNCTION("""COMPUTED_VALUE"""),3.33)</f>
        <v>3.33</v>
      </c>
    </row>
    <row r="2143">
      <c r="A2143" s="13" t="str">
        <f>IFERROR(__xludf.DUMMYFUNCTION("""COMPUTED_VALUE"""),"товари")</f>
        <v>товари</v>
      </c>
      <c r="B2143" s="16" t="str">
        <f>IFERROR(__xludf.DUMMYFUNCTION("""COMPUTED_VALUE"""),"матеріали для ремонту")</f>
        <v>матеріали для ремонту</v>
      </c>
      <c r="C2143" s="16" t="str">
        <f>IFERROR(__xludf.DUMMYFUNCTION("""COMPUTED_VALUE"""),"декор для стін")</f>
        <v>декор для стін</v>
      </c>
      <c r="D2143" s="16" t="str">
        <f>IFERROR(__xludf.DUMMYFUNCTION("""COMPUTED_VALUE"""),"дерев'яні елементи для декорування")</f>
        <v>дерев'яні елементи для декорування</v>
      </c>
      <c r="E2143" s="16" t="str">
        <f>IFERROR(__xludf.DUMMYFUNCTION("""COMPUTED_VALUE"""),"дерев'яні елементи для декорування")</f>
        <v>дерев'яні елементи для декорування</v>
      </c>
      <c r="F2143" s="17">
        <f>IFERROR(__xludf.DUMMYFUNCTION("""COMPUTED_VALUE"""),3.0)</f>
        <v>3</v>
      </c>
      <c r="G2143" s="17" t="str">
        <f>IFERROR(__xludf.DUMMYFUNCTION("""COMPUTED_VALUE"""),"13261303")</f>
        <v>13261303</v>
      </c>
      <c r="H2143" s="17" t="str">
        <f>IFERROR(__xludf.DUMMYFUNCTION("""COMPUTED_VALUE"""),"дерев'яні елементи для декорування")</f>
        <v>дерев'яні елементи для декорування</v>
      </c>
      <c r="I2143" s="19">
        <f>IFERROR(__xludf.DUMMYFUNCTION("""COMPUTED_VALUE"""),0.0501)</f>
        <v>0.0501</v>
      </c>
      <c r="J2143" s="19">
        <f>IFERROR(__xludf.DUMMYFUNCTION("""COMPUTED_VALUE"""),0.1001)</f>
        <v>0.1001</v>
      </c>
      <c r="K2143" s="19">
        <f>IFERROR(__xludf.DUMMYFUNCTION("""COMPUTED_VALUE"""),0.1251)</f>
        <v>0.1251</v>
      </c>
      <c r="L2143" s="19">
        <f>IFERROR(__xludf.DUMMYFUNCTION("""COMPUTED_VALUE"""),0.1502)</f>
        <v>0.1502</v>
      </c>
      <c r="M2143" s="18">
        <f>IFERROR(__xludf.DUMMYFUNCTION("""COMPUTED_VALUE"""),1.05)</f>
        <v>1.05</v>
      </c>
    </row>
    <row r="2144">
      <c r="A2144" s="13" t="str">
        <f>IFERROR(__xludf.DUMMYFUNCTION("""COMPUTED_VALUE"""),"товари")</f>
        <v>товари</v>
      </c>
      <c r="B2144" s="16" t="str">
        <f>IFERROR(__xludf.DUMMYFUNCTION("""COMPUTED_VALUE"""),"матеріали для ремонту")</f>
        <v>матеріали для ремонту</v>
      </c>
      <c r="C2144" s="16" t="str">
        <f>IFERROR(__xludf.DUMMYFUNCTION("""COMPUTED_VALUE"""),"печі та каміни")</f>
        <v>печі та каміни</v>
      </c>
      <c r="D2144" s="16" t="str">
        <f>IFERROR(__xludf.DUMMYFUNCTION("""COMPUTED_VALUE"""),"димоходи та комплектуючі")</f>
        <v>димоходи та комплектуючі</v>
      </c>
      <c r="E2144" s="16" t="str">
        <f>IFERROR(__xludf.DUMMYFUNCTION("""COMPUTED_VALUE"""),"димоходи та комплектуючі")</f>
        <v>димоходи та комплектуючі</v>
      </c>
      <c r="F2144" s="17">
        <f>IFERROR(__xludf.DUMMYFUNCTION("""COMPUTED_VALUE"""),3.0)</f>
        <v>3</v>
      </c>
      <c r="G2144" s="17" t="str">
        <f>IFERROR(__xludf.DUMMYFUNCTION("""COMPUTED_VALUE"""),"13240302")</f>
        <v>13240302</v>
      </c>
      <c r="H2144" s="17" t="str">
        <f>IFERROR(__xludf.DUMMYFUNCTION("""COMPUTED_VALUE"""),"димоходи та комплектуючі")</f>
        <v>димоходи та комплектуючі</v>
      </c>
      <c r="I2144" s="19">
        <f>IFERROR(__xludf.DUMMYFUNCTION("""COMPUTED_VALUE"""),0.0521)</f>
        <v>0.0521</v>
      </c>
      <c r="J2144" s="19">
        <f>IFERROR(__xludf.DUMMYFUNCTION("""COMPUTED_VALUE"""),0.1041)</f>
        <v>0.1041</v>
      </c>
      <c r="K2144" s="19">
        <f>IFERROR(__xludf.DUMMYFUNCTION("""COMPUTED_VALUE"""),0.1301)</f>
        <v>0.1301</v>
      </c>
      <c r="L2144" s="19">
        <f>IFERROR(__xludf.DUMMYFUNCTION("""COMPUTED_VALUE"""),0.1562)</f>
        <v>0.1562</v>
      </c>
      <c r="M2144" s="18">
        <f>IFERROR(__xludf.DUMMYFUNCTION("""COMPUTED_VALUE"""),1.53)</f>
        <v>1.53</v>
      </c>
    </row>
    <row r="2145">
      <c r="A2145" s="13" t="str">
        <f>IFERROR(__xludf.DUMMYFUNCTION("""COMPUTED_VALUE"""),"товари")</f>
        <v>товари</v>
      </c>
      <c r="B2145" s="16" t="str">
        <f>IFERROR(__xludf.DUMMYFUNCTION("""COMPUTED_VALUE"""),"матеріали для ремонту")</f>
        <v>матеріали для ремонту</v>
      </c>
      <c r="C2145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45" s="16" t="str">
        <f>IFERROR(__xludf.DUMMYFUNCTION("""COMPUTED_VALUE"""),"доводчики дверей")</f>
        <v>доводчики дверей</v>
      </c>
      <c r="E2145" s="16" t="str">
        <f>IFERROR(__xludf.DUMMYFUNCTION("""COMPUTED_VALUE"""),"доводчики дверей")</f>
        <v>доводчики дверей</v>
      </c>
      <c r="F2145" s="17">
        <f>IFERROR(__xludf.DUMMYFUNCTION("""COMPUTED_VALUE"""),3.0)</f>
        <v>3</v>
      </c>
      <c r="G2145" s="17" t="str">
        <f>IFERROR(__xludf.DUMMYFUNCTION("""COMPUTED_VALUE"""),"15380311")</f>
        <v>15380311</v>
      </c>
      <c r="H2145" s="17" t="str">
        <f>IFERROR(__xludf.DUMMYFUNCTION("""COMPUTED_VALUE"""),"доводчики дверей")</f>
        <v>доводчики дверей</v>
      </c>
      <c r="I2145" s="19">
        <f>IFERROR(__xludf.DUMMYFUNCTION("""COMPUTED_VALUE"""),0.0549)</f>
        <v>0.0549</v>
      </c>
      <c r="J2145" s="19">
        <f>IFERROR(__xludf.DUMMYFUNCTION("""COMPUTED_VALUE"""),0.1097)</f>
        <v>0.1097</v>
      </c>
      <c r="K2145" s="19">
        <f>IFERROR(__xludf.DUMMYFUNCTION("""COMPUTED_VALUE"""),0.1371)</f>
        <v>0.1371</v>
      </c>
      <c r="L2145" s="19">
        <f>IFERROR(__xludf.DUMMYFUNCTION("""COMPUTED_VALUE"""),0.1646)</f>
        <v>0.1646</v>
      </c>
      <c r="M2145" s="18">
        <f>IFERROR(__xludf.DUMMYFUNCTION("""COMPUTED_VALUE"""),4.14)</f>
        <v>4.14</v>
      </c>
    </row>
    <row r="2146">
      <c r="A2146" s="13" t="str">
        <f>IFERROR(__xludf.DUMMYFUNCTION("""COMPUTED_VALUE"""),"товари")</f>
        <v>товари</v>
      </c>
      <c r="B2146" s="16" t="str">
        <f>IFERROR(__xludf.DUMMYFUNCTION("""COMPUTED_VALUE"""),"матеріали для ремонту")</f>
        <v>матеріали для ремонту</v>
      </c>
      <c r="C2146" s="16" t="str">
        <f>IFERROR(__xludf.DUMMYFUNCTION("""COMPUTED_VALUE"""),"сантехніка")</f>
        <v>сантехніка</v>
      </c>
      <c r="D2146" s="16" t="str">
        <f>IFERROR(__xludf.DUMMYFUNCTION("""COMPUTED_VALUE"""),"душові кабіни")</f>
        <v>душові кабіни</v>
      </c>
      <c r="E2146" s="16" t="str">
        <f>IFERROR(__xludf.DUMMYFUNCTION("""COMPUTED_VALUE"""),"душові кабіни")</f>
        <v>душові кабіни</v>
      </c>
      <c r="F2146" s="17">
        <f>IFERROR(__xludf.DUMMYFUNCTION("""COMPUTED_VALUE"""),3.0)</f>
        <v>3</v>
      </c>
      <c r="G2146" s="17" t="str">
        <f>IFERROR(__xludf.DUMMYFUNCTION("""COMPUTED_VALUE"""),"130107")</f>
        <v>130107</v>
      </c>
      <c r="H2146" s="17" t="str">
        <f>IFERROR(__xludf.DUMMYFUNCTION("""COMPUTED_VALUE"""),"душові кабіни")</f>
        <v>душові кабіни</v>
      </c>
      <c r="I2146" s="19">
        <f>IFERROR(__xludf.DUMMYFUNCTION("""COMPUTED_VALUE"""),0.06)</f>
        <v>0.06</v>
      </c>
      <c r="J2146" s="19">
        <f>IFERROR(__xludf.DUMMYFUNCTION("""COMPUTED_VALUE"""),0.1199)</f>
        <v>0.1199</v>
      </c>
      <c r="K2146" s="19">
        <f>IFERROR(__xludf.DUMMYFUNCTION("""COMPUTED_VALUE"""),0.1499)</f>
        <v>0.1499</v>
      </c>
      <c r="L2146" s="19">
        <f>IFERROR(__xludf.DUMMYFUNCTION("""COMPUTED_VALUE"""),0.1799)</f>
        <v>0.1799</v>
      </c>
      <c r="M2146" s="18">
        <f>IFERROR(__xludf.DUMMYFUNCTION("""COMPUTED_VALUE"""),4.88)</f>
        <v>4.88</v>
      </c>
    </row>
    <row r="2147">
      <c r="A2147" s="13" t="str">
        <f>IFERROR(__xludf.DUMMYFUNCTION("""COMPUTED_VALUE"""),"товари")</f>
        <v>товари</v>
      </c>
      <c r="B2147" s="16" t="str">
        <f>IFERROR(__xludf.DUMMYFUNCTION("""COMPUTED_VALUE"""),"матеріали для ремонту")</f>
        <v>матеріали для ремонту</v>
      </c>
      <c r="C2147" s="16" t="str">
        <f>IFERROR(__xludf.DUMMYFUNCTION("""COMPUTED_VALUE"""),"сантехніка")</f>
        <v>сантехніка</v>
      </c>
      <c r="D2147" s="16" t="str">
        <f>IFERROR(__xludf.DUMMYFUNCTION("""COMPUTED_VALUE"""),"душові набори й системи")</f>
        <v>душові набори й системи</v>
      </c>
      <c r="E2147" s="16" t="str">
        <f>IFERROR(__xludf.DUMMYFUNCTION("""COMPUTED_VALUE"""),"душові набори й системи")</f>
        <v>душові набори й системи</v>
      </c>
      <c r="F2147" s="17">
        <f>IFERROR(__xludf.DUMMYFUNCTION("""COMPUTED_VALUE"""),3.0)</f>
        <v>3</v>
      </c>
      <c r="G2147" s="17" t="str">
        <f>IFERROR(__xludf.DUMMYFUNCTION("""COMPUTED_VALUE"""),"130119")</f>
        <v>130119</v>
      </c>
      <c r="H2147" s="17" t="str">
        <f>IFERROR(__xludf.DUMMYFUNCTION("""COMPUTED_VALUE"""),"душові набори й системи")</f>
        <v>душові набори й системи</v>
      </c>
      <c r="I2147" s="19">
        <f>IFERROR(__xludf.DUMMYFUNCTION("""COMPUTED_VALUE"""),0.0708)</f>
        <v>0.0708</v>
      </c>
      <c r="J2147" s="19">
        <f>IFERROR(__xludf.DUMMYFUNCTION("""COMPUTED_VALUE"""),0.1415)</f>
        <v>0.1415</v>
      </c>
      <c r="K2147" s="19">
        <f>IFERROR(__xludf.DUMMYFUNCTION("""COMPUTED_VALUE"""),0.1769)</f>
        <v>0.1769</v>
      </c>
      <c r="L2147" s="19">
        <f>IFERROR(__xludf.DUMMYFUNCTION("""COMPUTED_VALUE"""),0.2123)</f>
        <v>0.2123</v>
      </c>
      <c r="M2147" s="18">
        <f>IFERROR(__xludf.DUMMYFUNCTION("""COMPUTED_VALUE"""),4.5)</f>
        <v>4.5</v>
      </c>
    </row>
    <row r="2148">
      <c r="A2148" s="13" t="str">
        <f>IFERROR(__xludf.DUMMYFUNCTION("""COMPUTED_VALUE"""),"товари")</f>
        <v>товари</v>
      </c>
      <c r="B2148" s="16" t="str">
        <f>IFERROR(__xludf.DUMMYFUNCTION("""COMPUTED_VALUE"""),"матеріали для ремонту")</f>
        <v>матеріали для ремонту</v>
      </c>
      <c r="C2148" s="16" t="str">
        <f>IFERROR(__xludf.DUMMYFUNCTION("""COMPUTED_VALUE"""),"сантехніка")</f>
        <v>сантехніка</v>
      </c>
      <c r="D2148" s="16" t="str">
        <f>IFERROR(__xludf.DUMMYFUNCTION("""COMPUTED_VALUE"""),"душові піддони")</f>
        <v>душові піддони</v>
      </c>
      <c r="E2148" s="16" t="str">
        <f>IFERROR(__xludf.DUMMYFUNCTION("""COMPUTED_VALUE"""),"душові піддони")</f>
        <v>душові піддони</v>
      </c>
      <c r="F2148" s="17">
        <f>IFERROR(__xludf.DUMMYFUNCTION("""COMPUTED_VALUE"""),3.0)</f>
        <v>3</v>
      </c>
      <c r="G2148" s="17" t="str">
        <f>IFERROR(__xludf.DUMMYFUNCTION("""COMPUTED_VALUE"""),"130120")</f>
        <v>130120</v>
      </c>
      <c r="H2148" s="17" t="str">
        <f>IFERROR(__xludf.DUMMYFUNCTION("""COMPUTED_VALUE"""),"душові піддони")</f>
        <v>душові піддони</v>
      </c>
      <c r="I2148" s="19">
        <f>IFERROR(__xludf.DUMMYFUNCTION("""COMPUTED_VALUE"""),0.067)</f>
        <v>0.067</v>
      </c>
      <c r="J2148" s="19">
        <f>IFERROR(__xludf.DUMMYFUNCTION("""COMPUTED_VALUE"""),0.1339)</f>
        <v>0.1339</v>
      </c>
      <c r="K2148" s="19">
        <f>IFERROR(__xludf.DUMMYFUNCTION("""COMPUTED_VALUE"""),0.1674)</f>
        <v>0.1674</v>
      </c>
      <c r="L2148" s="19">
        <f>IFERROR(__xludf.DUMMYFUNCTION("""COMPUTED_VALUE"""),0.2009)</f>
        <v>0.2009</v>
      </c>
      <c r="M2148" s="18">
        <f>IFERROR(__xludf.DUMMYFUNCTION("""COMPUTED_VALUE"""),4.5)</f>
        <v>4.5</v>
      </c>
    </row>
    <row r="2149">
      <c r="A2149" s="13" t="str">
        <f>IFERROR(__xludf.DUMMYFUNCTION("""COMPUTED_VALUE"""),"товари")</f>
        <v>товари</v>
      </c>
      <c r="B2149" s="16" t="str">
        <f>IFERROR(__xludf.DUMMYFUNCTION("""COMPUTED_VALUE"""),"матеріали для ремонту")</f>
        <v>матеріали для ремонту</v>
      </c>
      <c r="C2149" s="16" t="str">
        <f>IFERROR(__xludf.DUMMYFUNCTION("""COMPUTED_VALUE"""),"сантехніка")</f>
        <v>сантехніка</v>
      </c>
      <c r="D2149" s="16" t="str">
        <f>IFERROR(__xludf.DUMMYFUNCTION("""COMPUTED_VALUE"""),"душові штанги")</f>
        <v>душові штанги</v>
      </c>
      <c r="E2149" s="16" t="str">
        <f>IFERROR(__xludf.DUMMYFUNCTION("""COMPUTED_VALUE"""),"душові штанги")</f>
        <v>душові штанги</v>
      </c>
      <c r="F2149" s="17">
        <f>IFERROR(__xludf.DUMMYFUNCTION("""COMPUTED_VALUE"""),3.0)</f>
        <v>3</v>
      </c>
      <c r="G2149" s="17" t="str">
        <f>IFERROR(__xludf.DUMMYFUNCTION("""COMPUTED_VALUE"""),"130183")</f>
        <v>130183</v>
      </c>
      <c r="H2149" s="17" t="str">
        <f>IFERROR(__xludf.DUMMYFUNCTION("""COMPUTED_VALUE"""),"душові штанги")</f>
        <v>душові штанги</v>
      </c>
      <c r="I2149" s="19">
        <f>IFERROR(__xludf.DUMMYFUNCTION("""COMPUTED_VALUE"""),0.0782)</f>
        <v>0.0782</v>
      </c>
      <c r="J2149" s="19">
        <f>IFERROR(__xludf.DUMMYFUNCTION("""COMPUTED_VALUE"""),0.1563)</f>
        <v>0.1563</v>
      </c>
      <c r="K2149" s="19">
        <f>IFERROR(__xludf.DUMMYFUNCTION("""COMPUTED_VALUE"""),0.1954)</f>
        <v>0.1954</v>
      </c>
      <c r="L2149" s="19">
        <f>IFERROR(__xludf.DUMMYFUNCTION("""COMPUTED_VALUE"""),0.2345)</f>
        <v>0.2345</v>
      </c>
      <c r="M2149" s="18">
        <f>IFERROR(__xludf.DUMMYFUNCTION("""COMPUTED_VALUE"""),2.25)</f>
        <v>2.25</v>
      </c>
    </row>
    <row r="2150">
      <c r="A2150" s="13" t="str">
        <f>IFERROR(__xludf.DUMMYFUNCTION("""COMPUTED_VALUE"""),"товари")</f>
        <v>товари</v>
      </c>
      <c r="B2150" s="16" t="str">
        <f>IFERROR(__xludf.DUMMYFUNCTION("""COMPUTED_VALUE"""),"матеріали для ремонту")</f>
        <v>матеріали для ремонту</v>
      </c>
      <c r="C2150" s="16" t="str">
        <f>IFERROR(__xludf.DUMMYFUNCTION("""COMPUTED_VALUE"""),"скріплювальні вироби")</f>
        <v>скріплювальні вироби</v>
      </c>
      <c r="D2150" s="16" t="str">
        <f>IFERROR(__xludf.DUMMYFUNCTION("""COMPUTED_VALUE"""),"дюбелі")</f>
        <v>дюбелі</v>
      </c>
      <c r="E2150" s="16" t="str">
        <f>IFERROR(__xludf.DUMMYFUNCTION("""COMPUTED_VALUE"""),"дюбелі")</f>
        <v>дюбелі</v>
      </c>
      <c r="F2150" s="17">
        <f>IFERROR(__xludf.DUMMYFUNCTION("""COMPUTED_VALUE"""),3.0)</f>
        <v>3</v>
      </c>
      <c r="G2150" s="17" t="str">
        <f>IFERROR(__xludf.DUMMYFUNCTION("""COMPUTED_VALUE"""),"420510")</f>
        <v>420510</v>
      </c>
      <c r="H2150" s="17" t="str">
        <f>IFERROR(__xludf.DUMMYFUNCTION("""COMPUTED_VALUE"""),"дюбелі")</f>
        <v>дюбелі</v>
      </c>
      <c r="I2150" s="19">
        <f>IFERROR(__xludf.DUMMYFUNCTION("""COMPUTED_VALUE"""),0.0788)</f>
        <v>0.0788</v>
      </c>
      <c r="J2150" s="19">
        <f>IFERROR(__xludf.DUMMYFUNCTION("""COMPUTED_VALUE"""),0.1576)</f>
        <v>0.1576</v>
      </c>
      <c r="K2150" s="19">
        <f>IFERROR(__xludf.DUMMYFUNCTION("""COMPUTED_VALUE"""),0.197)</f>
        <v>0.197</v>
      </c>
      <c r="L2150" s="19">
        <f>IFERROR(__xludf.DUMMYFUNCTION("""COMPUTED_VALUE"""),0.2364)</f>
        <v>0.2364</v>
      </c>
      <c r="M2150" s="18">
        <f>IFERROR(__xludf.DUMMYFUNCTION("""COMPUTED_VALUE"""),3.33)</f>
        <v>3.33</v>
      </c>
    </row>
    <row r="2151">
      <c r="A2151" s="13" t="str">
        <f>IFERROR(__xludf.DUMMYFUNCTION("""COMPUTED_VALUE"""),"товари")</f>
        <v>товари</v>
      </c>
      <c r="B2151" s="16" t="str">
        <f>IFERROR(__xludf.DUMMYFUNCTION("""COMPUTED_VALUE"""),"матеріали для ремонту")</f>
        <v>матеріали для ремонту</v>
      </c>
      <c r="C2151" s="16" t="str">
        <f>IFERROR(__xludf.DUMMYFUNCTION("""COMPUTED_VALUE"""),"електрика")</f>
        <v>електрика</v>
      </c>
      <c r="D2151" s="16" t="str">
        <f>IFERROR(__xludf.DUMMYFUNCTION("""COMPUTED_VALUE"""),"електрика, загальне")</f>
        <v>електрика, загальне</v>
      </c>
      <c r="E2151" s="16" t="str">
        <f>IFERROR(__xludf.DUMMYFUNCTION("""COMPUTED_VALUE"""),"електрика, загальне")</f>
        <v>електрика, загальне</v>
      </c>
      <c r="F2151" s="17">
        <f>IFERROR(__xludf.DUMMYFUNCTION("""COMPUTED_VALUE"""),3.0)</f>
        <v>3</v>
      </c>
      <c r="G2151" s="17" t="str">
        <f>IFERROR(__xludf.DUMMYFUNCTION("""COMPUTED_VALUE"""),"810701")</f>
        <v>810701</v>
      </c>
      <c r="H2151" s="17" t="str">
        <f>IFERROR(__xludf.DUMMYFUNCTION("""COMPUTED_VALUE"""),"електрика, загальне")</f>
        <v>електрика, загальне</v>
      </c>
      <c r="I2151" s="19">
        <f>IFERROR(__xludf.DUMMYFUNCTION("""COMPUTED_VALUE"""),0.125)</f>
        <v>0.125</v>
      </c>
      <c r="J2151" s="19">
        <f>IFERROR(__xludf.DUMMYFUNCTION("""COMPUTED_VALUE"""),0.25)</f>
        <v>0.25</v>
      </c>
      <c r="K2151" s="19">
        <f>IFERROR(__xludf.DUMMYFUNCTION("""COMPUTED_VALUE"""),0.3125)</f>
        <v>0.3125</v>
      </c>
      <c r="L2151" s="19">
        <f>IFERROR(__xludf.DUMMYFUNCTION("""COMPUTED_VALUE"""),0.375)</f>
        <v>0.375</v>
      </c>
      <c r="M2151" s="18">
        <f>IFERROR(__xludf.DUMMYFUNCTION("""COMPUTED_VALUE"""),4.33)</f>
        <v>4.33</v>
      </c>
    </row>
    <row r="2152">
      <c r="A2152" s="13" t="str">
        <f>IFERROR(__xludf.DUMMYFUNCTION("""COMPUTED_VALUE"""),"товари")</f>
        <v>товари</v>
      </c>
      <c r="B2152" s="16" t="str">
        <f>IFERROR(__xludf.DUMMYFUNCTION("""COMPUTED_VALUE"""),"матеріали для ремонту")</f>
        <v>матеріали для ремонту</v>
      </c>
      <c r="C2152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52" s="16" t="str">
        <f>IFERROR(__xludf.DUMMYFUNCTION("""COMPUTED_VALUE"""),"жалюзі")</f>
        <v>жалюзі</v>
      </c>
      <c r="E2152" s="16" t="str">
        <f>IFERROR(__xludf.DUMMYFUNCTION("""COMPUTED_VALUE"""),"жалюзі")</f>
        <v>жалюзі</v>
      </c>
      <c r="F2152" s="17">
        <f>IFERROR(__xludf.DUMMYFUNCTION("""COMPUTED_VALUE"""),3.0)</f>
        <v>3</v>
      </c>
      <c r="G2152" s="17" t="str">
        <f>IFERROR(__xludf.DUMMYFUNCTION("""COMPUTED_VALUE"""),"153802")</f>
        <v>153802</v>
      </c>
      <c r="H2152" s="17" t="str">
        <f>IFERROR(__xludf.DUMMYFUNCTION("""COMPUTED_VALUE"""),"жалюзі")</f>
        <v>жалюзі</v>
      </c>
      <c r="I2152" s="19">
        <f>IFERROR(__xludf.DUMMYFUNCTION("""COMPUTED_VALUE"""),0.0784)</f>
        <v>0.0784</v>
      </c>
      <c r="J2152" s="19">
        <f>IFERROR(__xludf.DUMMYFUNCTION("""COMPUTED_VALUE"""),0.1567)</f>
        <v>0.1567</v>
      </c>
      <c r="K2152" s="19">
        <f>IFERROR(__xludf.DUMMYFUNCTION("""COMPUTED_VALUE"""),0.1959)</f>
        <v>0.1959</v>
      </c>
      <c r="L2152" s="19">
        <f>IFERROR(__xludf.DUMMYFUNCTION("""COMPUTED_VALUE"""),0.2351)</f>
        <v>0.2351</v>
      </c>
      <c r="M2152" s="18">
        <f>IFERROR(__xludf.DUMMYFUNCTION("""COMPUTED_VALUE"""),5.4)</f>
        <v>5.4</v>
      </c>
    </row>
    <row r="2153">
      <c r="A2153" s="13" t="str">
        <f>IFERROR(__xludf.DUMMYFUNCTION("""COMPUTED_VALUE"""),"товари")</f>
        <v>товари</v>
      </c>
      <c r="B2153" s="16" t="str">
        <f>IFERROR(__xludf.DUMMYFUNCTION("""COMPUTED_VALUE"""),"матеріали для ремонту")</f>
        <v>матеріали для ремонту</v>
      </c>
      <c r="C2153" s="16" t="str">
        <f>IFERROR(__xludf.DUMMYFUNCTION("""COMPUTED_VALUE"""),"скріплювальні вироби")</f>
        <v>скріплювальні вироби</v>
      </c>
      <c r="D2153" s="16" t="str">
        <f>IFERROR(__xludf.DUMMYFUNCTION("""COMPUTED_VALUE"""),"заклепки")</f>
        <v>заклепки</v>
      </c>
      <c r="E2153" s="16" t="str">
        <f>IFERROR(__xludf.DUMMYFUNCTION("""COMPUTED_VALUE"""),"заклепки")</f>
        <v>заклепки</v>
      </c>
      <c r="F2153" s="17">
        <f>IFERROR(__xludf.DUMMYFUNCTION("""COMPUTED_VALUE"""),3.0)</f>
        <v>3</v>
      </c>
      <c r="G2153" s="17" t="str">
        <f>IFERROR(__xludf.DUMMYFUNCTION("""COMPUTED_VALUE"""),"420505")</f>
        <v>420505</v>
      </c>
      <c r="H2153" s="17" t="str">
        <f>IFERROR(__xludf.DUMMYFUNCTION("""COMPUTED_VALUE"""),"заклепки")</f>
        <v>заклепки</v>
      </c>
      <c r="I2153" s="19">
        <f>IFERROR(__xludf.DUMMYFUNCTION("""COMPUTED_VALUE"""),0.0795)</f>
        <v>0.0795</v>
      </c>
      <c r="J2153" s="19">
        <f>IFERROR(__xludf.DUMMYFUNCTION("""COMPUTED_VALUE"""),0.1589)</f>
        <v>0.1589</v>
      </c>
      <c r="K2153" s="19">
        <f>IFERROR(__xludf.DUMMYFUNCTION("""COMPUTED_VALUE"""),0.1986)</f>
        <v>0.1986</v>
      </c>
      <c r="L2153" s="19">
        <f>IFERROR(__xludf.DUMMYFUNCTION("""COMPUTED_VALUE"""),0.2384)</f>
        <v>0.2384</v>
      </c>
      <c r="M2153" s="18">
        <f>IFERROR(__xludf.DUMMYFUNCTION("""COMPUTED_VALUE"""),3.9)</f>
        <v>3.9</v>
      </c>
    </row>
    <row r="2154">
      <c r="A2154" s="13" t="str">
        <f>IFERROR(__xludf.DUMMYFUNCTION("""COMPUTED_VALUE"""),"товари")</f>
        <v>товари</v>
      </c>
      <c r="B2154" s="16" t="str">
        <f>IFERROR(__xludf.DUMMYFUNCTION("""COMPUTED_VALUE"""),"матеріали для ремонту")</f>
        <v>матеріали для ремонту</v>
      </c>
      <c r="C2154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54" s="16" t="str">
        <f>IFERROR(__xludf.DUMMYFUNCTION("""COMPUTED_VALUE"""),"замки та клямки")</f>
        <v>замки та клямки</v>
      </c>
      <c r="E2154" s="16" t="str">
        <f>IFERROR(__xludf.DUMMYFUNCTION("""COMPUTED_VALUE"""),"замки")</f>
        <v>замки</v>
      </c>
      <c r="F2154" s="17">
        <f>IFERROR(__xludf.DUMMYFUNCTION("""COMPUTED_VALUE"""),4.0)</f>
        <v>4</v>
      </c>
      <c r="G2154" s="17" t="str">
        <f>IFERROR(__xludf.DUMMYFUNCTION("""COMPUTED_VALUE"""),"301010")</f>
        <v>301010</v>
      </c>
      <c r="H2154" s="17" t="str">
        <f>IFERROR(__xludf.DUMMYFUNCTION("""COMPUTED_VALUE"""),"замки")</f>
        <v>замки</v>
      </c>
      <c r="I2154" s="19">
        <f>IFERROR(__xludf.DUMMYFUNCTION("""COMPUTED_VALUE"""),0.0681)</f>
        <v>0.0681</v>
      </c>
      <c r="J2154" s="19">
        <f>IFERROR(__xludf.DUMMYFUNCTION("""COMPUTED_VALUE"""),0.1361)</f>
        <v>0.1361</v>
      </c>
      <c r="K2154" s="19">
        <f>IFERROR(__xludf.DUMMYFUNCTION("""COMPUTED_VALUE"""),0.1701)</f>
        <v>0.1701</v>
      </c>
      <c r="L2154" s="19">
        <f>IFERROR(__xludf.DUMMYFUNCTION("""COMPUTED_VALUE"""),0.2042)</f>
        <v>0.2042</v>
      </c>
      <c r="M2154" s="18">
        <f>IFERROR(__xludf.DUMMYFUNCTION("""COMPUTED_VALUE"""),2.16)</f>
        <v>2.16</v>
      </c>
    </row>
    <row r="2155">
      <c r="A2155" s="13" t="str">
        <f>IFERROR(__xludf.DUMMYFUNCTION("""COMPUTED_VALUE"""),"товари")</f>
        <v>товари</v>
      </c>
      <c r="B2155" s="16" t="str">
        <f>IFERROR(__xludf.DUMMYFUNCTION("""COMPUTED_VALUE"""),"матеріали для ремонту")</f>
        <v>матеріали для ремонту</v>
      </c>
      <c r="C2155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55" s="16" t="str">
        <f>IFERROR(__xludf.DUMMYFUNCTION("""COMPUTED_VALUE"""),"замки та клямки")</f>
        <v>замки та клямки</v>
      </c>
      <c r="E2155" s="16" t="str">
        <f>IFERROR(__xludf.DUMMYFUNCTION("""COMPUTED_VALUE"""),"замки та клямки загальне")</f>
        <v>замки та клямки загальне</v>
      </c>
      <c r="F2155" s="17">
        <f>IFERROR(__xludf.DUMMYFUNCTION("""COMPUTED_VALUE"""),4.0)</f>
        <v>4</v>
      </c>
      <c r="G2155" s="17" t="str">
        <f>IFERROR(__xludf.DUMMYFUNCTION("""COMPUTED_VALUE"""),"301007")</f>
        <v>301007</v>
      </c>
      <c r="H2155" s="17" t="str">
        <f>IFERROR(__xludf.DUMMYFUNCTION("""COMPUTED_VALUE"""),"замки та клямки загальне")</f>
        <v>замки та клямки загальне</v>
      </c>
      <c r="I2155" s="19">
        <f>IFERROR(__xludf.DUMMYFUNCTION("""COMPUTED_VALUE"""),0.125)</f>
        <v>0.125</v>
      </c>
      <c r="J2155" s="19">
        <f>IFERROR(__xludf.DUMMYFUNCTION("""COMPUTED_VALUE"""),0.25)</f>
        <v>0.25</v>
      </c>
      <c r="K2155" s="19">
        <f>IFERROR(__xludf.DUMMYFUNCTION("""COMPUTED_VALUE"""),0.3125)</f>
        <v>0.3125</v>
      </c>
      <c r="L2155" s="19">
        <f>IFERROR(__xludf.DUMMYFUNCTION("""COMPUTED_VALUE"""),0.375)</f>
        <v>0.375</v>
      </c>
      <c r="M2155" s="18">
        <f>IFERROR(__xludf.DUMMYFUNCTION("""COMPUTED_VALUE"""),4.33)</f>
        <v>4.33</v>
      </c>
    </row>
    <row r="2156">
      <c r="A2156" s="13" t="str">
        <f>IFERROR(__xludf.DUMMYFUNCTION("""COMPUTED_VALUE"""),"товари")</f>
        <v>товари</v>
      </c>
      <c r="B2156" s="16" t="str">
        <f>IFERROR(__xludf.DUMMYFUNCTION("""COMPUTED_VALUE"""),"матеріали для ремонту")</f>
        <v>матеріали для ремонту</v>
      </c>
      <c r="C2156" s="16" t="str">
        <f>IFERROR(__xludf.DUMMYFUNCTION("""COMPUTED_VALUE"""),"сантехніка")</f>
        <v>сантехніка</v>
      </c>
      <c r="D2156" s="16" t="str">
        <f>IFERROR(__xludf.DUMMYFUNCTION("""COMPUTED_VALUE"""),"запчастини для змішувачів")</f>
        <v>запчастини для змішувачів</v>
      </c>
      <c r="E2156" s="16" t="str">
        <f>IFERROR(__xludf.DUMMYFUNCTION("""COMPUTED_VALUE"""),"запчастини для змішувачів")</f>
        <v>запчастини для змішувачів</v>
      </c>
      <c r="F2156" s="17">
        <f>IFERROR(__xludf.DUMMYFUNCTION("""COMPUTED_VALUE"""),3.0)</f>
        <v>3</v>
      </c>
      <c r="G2156" s="17" t="str">
        <f>IFERROR(__xludf.DUMMYFUNCTION("""COMPUTED_VALUE"""),"13240217")</f>
        <v>13240217</v>
      </c>
      <c r="H2156" s="17" t="str">
        <f>IFERROR(__xludf.DUMMYFUNCTION("""COMPUTED_VALUE"""),"запчастини для змішувачів")</f>
        <v>запчастини для змішувачів</v>
      </c>
      <c r="I2156" s="19">
        <f>IFERROR(__xludf.DUMMYFUNCTION("""COMPUTED_VALUE"""),0.0785)</f>
        <v>0.0785</v>
      </c>
      <c r="J2156" s="19">
        <f>IFERROR(__xludf.DUMMYFUNCTION("""COMPUTED_VALUE"""),0.157)</f>
        <v>0.157</v>
      </c>
      <c r="K2156" s="19">
        <f>IFERROR(__xludf.DUMMYFUNCTION("""COMPUTED_VALUE"""),0.1963)</f>
        <v>0.1963</v>
      </c>
      <c r="L2156" s="19">
        <f>IFERROR(__xludf.DUMMYFUNCTION("""COMPUTED_VALUE"""),0.2355)</f>
        <v>0.2355</v>
      </c>
      <c r="M2156" s="18">
        <f>IFERROR(__xludf.DUMMYFUNCTION("""COMPUTED_VALUE"""),2.53)</f>
        <v>2.53</v>
      </c>
    </row>
    <row r="2157">
      <c r="A2157" s="13" t="str">
        <f>IFERROR(__xludf.DUMMYFUNCTION("""COMPUTED_VALUE"""),"товари")</f>
        <v>товари</v>
      </c>
      <c r="B2157" s="16" t="str">
        <f>IFERROR(__xludf.DUMMYFUNCTION("""COMPUTED_VALUE"""),"матеріали для ремонту")</f>
        <v>матеріали для ремонту</v>
      </c>
      <c r="C2157" s="16" t="str">
        <f>IFERROR(__xludf.DUMMYFUNCTION("""COMPUTED_VALUE"""),"радіатори та обігрівачі")</f>
        <v>радіатори та обігрівачі</v>
      </c>
      <c r="D2157" s="16" t="str">
        <f>IFERROR(__xludf.DUMMYFUNCTION("""COMPUTED_VALUE"""),"запчастини і комплектуючі для радіаторів")</f>
        <v>запчастини і комплектуючі для радіаторів</v>
      </c>
      <c r="E2157" s="16" t="str">
        <f>IFERROR(__xludf.DUMMYFUNCTION("""COMPUTED_VALUE"""),"запчастини і комплектуючі для радіаторів")</f>
        <v>запчастини і комплектуючі для радіаторів</v>
      </c>
      <c r="F2157" s="17">
        <f>IFERROR(__xludf.DUMMYFUNCTION("""COMPUTED_VALUE"""),3.0)</f>
        <v>3</v>
      </c>
      <c r="G2157" s="17" t="str">
        <f>IFERROR(__xludf.DUMMYFUNCTION("""COMPUTED_VALUE"""),"13240115")</f>
        <v>13240115</v>
      </c>
      <c r="H2157" s="17" t="str">
        <f>IFERROR(__xludf.DUMMYFUNCTION("""COMPUTED_VALUE"""),"запчастини і комплектуючі для радіаторів")</f>
        <v>запчастини і комплектуючі для радіаторів</v>
      </c>
      <c r="I2157" s="19">
        <f>IFERROR(__xludf.DUMMYFUNCTION("""COMPUTED_VALUE"""),0.0739)</f>
        <v>0.0739</v>
      </c>
      <c r="J2157" s="19">
        <f>IFERROR(__xludf.DUMMYFUNCTION("""COMPUTED_VALUE"""),0.1478)</f>
        <v>0.1478</v>
      </c>
      <c r="K2157" s="19">
        <f>IFERROR(__xludf.DUMMYFUNCTION("""COMPUTED_VALUE"""),0.1848)</f>
        <v>0.1848</v>
      </c>
      <c r="L2157" s="19">
        <f>IFERROR(__xludf.DUMMYFUNCTION("""COMPUTED_VALUE"""),0.2217)</f>
        <v>0.2217</v>
      </c>
      <c r="M2157" s="18">
        <f>IFERROR(__xludf.DUMMYFUNCTION("""COMPUTED_VALUE"""),2.25)</f>
        <v>2.25</v>
      </c>
    </row>
    <row r="2158">
      <c r="A2158" s="13" t="str">
        <f>IFERROR(__xludf.DUMMYFUNCTION("""COMPUTED_VALUE"""),"товари")</f>
        <v>товари</v>
      </c>
      <c r="B2158" s="16" t="str">
        <f>IFERROR(__xludf.DUMMYFUNCTION("""COMPUTED_VALUE"""),"матеріали для ремонту")</f>
        <v>матеріали для ремонту</v>
      </c>
      <c r="C2158" s="16" t="str">
        <f>IFERROR(__xludf.DUMMYFUNCTION("""COMPUTED_VALUE"""),"побутове водопостачання")</f>
        <v>побутове водопостачання</v>
      </c>
      <c r="D2158" s="16" t="str">
        <f>IFERROR(__xludf.DUMMYFUNCTION("""COMPUTED_VALUE"""),"побутові насоси для водопостачання, водовідведення")</f>
        <v>побутові насоси для водопостачання, водовідведення</v>
      </c>
      <c r="E2158" s="16" t="str">
        <f>IFERROR(__xludf.DUMMYFUNCTION("""COMPUTED_VALUE"""),"запчастини та аксесуари для насосів")</f>
        <v>запчастини та аксесуари для насосів</v>
      </c>
      <c r="F2158" s="17">
        <f>IFERROR(__xludf.DUMMYFUNCTION("""COMPUTED_VALUE"""),4.0)</f>
        <v>4</v>
      </c>
      <c r="G2158" s="17" t="str">
        <f>IFERROR(__xludf.DUMMYFUNCTION("""COMPUTED_VALUE"""),"13241405")</f>
        <v>13241405</v>
      </c>
      <c r="H2158" s="17" t="str">
        <f>IFERROR(__xludf.DUMMYFUNCTION("""COMPUTED_VALUE"""),"запчастини та аксесуари для насосів")</f>
        <v>запчастини та аксесуари для насосів</v>
      </c>
      <c r="I2158" s="19">
        <f>IFERROR(__xludf.DUMMYFUNCTION("""COMPUTED_VALUE"""),0.0766)</f>
        <v>0.0766</v>
      </c>
      <c r="J2158" s="19">
        <f>IFERROR(__xludf.DUMMYFUNCTION("""COMPUTED_VALUE"""),0.1531)</f>
        <v>0.1531</v>
      </c>
      <c r="K2158" s="19">
        <f>IFERROR(__xludf.DUMMYFUNCTION("""COMPUTED_VALUE"""),0.1914)</f>
        <v>0.1914</v>
      </c>
      <c r="L2158" s="19">
        <f>IFERROR(__xludf.DUMMYFUNCTION("""COMPUTED_VALUE"""),0.2297)</f>
        <v>0.2297</v>
      </c>
      <c r="M2158" s="18">
        <f>IFERROR(__xludf.DUMMYFUNCTION("""COMPUTED_VALUE"""),3.33)</f>
        <v>3.33</v>
      </c>
    </row>
    <row r="2159">
      <c r="A2159" s="13" t="str">
        <f>IFERROR(__xludf.DUMMYFUNCTION("""COMPUTED_VALUE"""),"товари")</f>
        <v>товари</v>
      </c>
      <c r="B2159" s="16" t="str">
        <f>IFERROR(__xludf.DUMMYFUNCTION("""COMPUTED_VALUE"""),"матеріали для ремонту")</f>
        <v>матеріали для ремонту</v>
      </c>
      <c r="C2159" s="16" t="str">
        <f>IFERROR(__xludf.DUMMYFUNCTION("""COMPUTED_VALUE"""),"печі та каміни")</f>
        <v>печі та каміни</v>
      </c>
      <c r="D2159" s="16" t="str">
        <f>IFERROR(__xludf.DUMMYFUNCTION("""COMPUTED_VALUE"""),"засоби для чищення камінів")</f>
        <v>засоби для чищення камінів</v>
      </c>
      <c r="E2159" s="16" t="str">
        <f>IFERROR(__xludf.DUMMYFUNCTION("""COMPUTED_VALUE"""),"засоби для чищення камінів")</f>
        <v>засоби для чищення камінів</v>
      </c>
      <c r="F2159" s="17">
        <f>IFERROR(__xludf.DUMMYFUNCTION("""COMPUTED_VALUE"""),3.0)</f>
        <v>3</v>
      </c>
      <c r="G2159" s="17" t="str">
        <f>IFERROR(__xludf.DUMMYFUNCTION("""COMPUTED_VALUE"""),"80323")</f>
        <v>80323</v>
      </c>
      <c r="H2159" s="17" t="str">
        <f>IFERROR(__xludf.DUMMYFUNCTION("""COMPUTED_VALUE"""),"засоби для чищення камінів")</f>
        <v>засоби для чищення камінів</v>
      </c>
      <c r="I2159" s="19">
        <f>IFERROR(__xludf.DUMMYFUNCTION("""COMPUTED_VALUE"""),0.0714)</f>
        <v>0.0714</v>
      </c>
      <c r="J2159" s="19">
        <f>IFERROR(__xludf.DUMMYFUNCTION("""COMPUTED_VALUE"""),0.1427)</f>
        <v>0.1427</v>
      </c>
      <c r="K2159" s="19">
        <f>IFERROR(__xludf.DUMMYFUNCTION("""COMPUTED_VALUE"""),0.1784)</f>
        <v>0.1784</v>
      </c>
      <c r="L2159" s="19">
        <f>IFERROR(__xludf.DUMMYFUNCTION("""COMPUTED_VALUE"""),0.2141)</f>
        <v>0.2141</v>
      </c>
      <c r="M2159" s="18">
        <f>IFERROR(__xludf.DUMMYFUNCTION("""COMPUTED_VALUE"""),3.6)</f>
        <v>3.6</v>
      </c>
    </row>
    <row r="2160">
      <c r="A2160" s="13" t="str">
        <f>IFERROR(__xludf.DUMMYFUNCTION("""COMPUTED_VALUE"""),"товари")</f>
        <v>товари</v>
      </c>
      <c r="B2160" s="16" t="str">
        <f>IFERROR(__xludf.DUMMYFUNCTION("""COMPUTED_VALUE"""),"матеріали для ремонту")</f>
        <v>матеріали для ремонту</v>
      </c>
      <c r="C2160" s="16" t="str">
        <f>IFERROR(__xludf.DUMMYFUNCTION("""COMPUTED_VALUE"""),"облицювальна плитка")</f>
        <v>облицювальна плитка</v>
      </c>
      <c r="D2160" s="16" t="str">
        <f>IFERROR(__xludf.DUMMYFUNCTION("""COMPUTED_VALUE"""),"затирка для швів")</f>
        <v>затирка для швів</v>
      </c>
      <c r="E2160" s="16" t="str">
        <f>IFERROR(__xludf.DUMMYFUNCTION("""COMPUTED_VALUE"""),"затирка для швів")</f>
        <v>затирка для швів</v>
      </c>
      <c r="F2160" s="17">
        <f>IFERROR(__xludf.DUMMYFUNCTION("""COMPUTED_VALUE"""),3.0)</f>
        <v>3</v>
      </c>
      <c r="G2160" s="17" t="str">
        <f>IFERROR(__xludf.DUMMYFUNCTION("""COMPUTED_VALUE"""),"13073206")</f>
        <v>13073206</v>
      </c>
      <c r="H2160" s="17" t="str">
        <f>IFERROR(__xludf.DUMMYFUNCTION("""COMPUTED_VALUE"""),"затирка для швів")</f>
        <v>затирка для швів</v>
      </c>
      <c r="I2160" s="19">
        <f>IFERROR(__xludf.DUMMYFUNCTION("""COMPUTED_VALUE"""),0.0603)</f>
        <v>0.0603</v>
      </c>
      <c r="J2160" s="19">
        <f>IFERROR(__xludf.DUMMYFUNCTION("""COMPUTED_VALUE"""),0.1206)</f>
        <v>0.1206</v>
      </c>
      <c r="K2160" s="19">
        <f>IFERROR(__xludf.DUMMYFUNCTION("""COMPUTED_VALUE"""),0.1508)</f>
        <v>0.1508</v>
      </c>
      <c r="L2160" s="19">
        <f>IFERROR(__xludf.DUMMYFUNCTION("""COMPUTED_VALUE"""),0.1809)</f>
        <v>0.1809</v>
      </c>
      <c r="M2160" s="18">
        <f>IFERROR(__xludf.DUMMYFUNCTION("""COMPUTED_VALUE"""),2.34)</f>
        <v>2.34</v>
      </c>
    </row>
    <row r="2161">
      <c r="A2161" s="13" t="str">
        <f>IFERROR(__xludf.DUMMYFUNCTION("""COMPUTED_VALUE"""),"товари")</f>
        <v>товари</v>
      </c>
      <c r="B2161" s="16" t="str">
        <f>IFERROR(__xludf.DUMMYFUNCTION("""COMPUTED_VALUE"""),"матеріали для ремонту")</f>
        <v>матеріали для ремонту</v>
      </c>
      <c r="C2161" s="16" t="str">
        <f>IFERROR(__xludf.DUMMYFUNCTION("""COMPUTED_VALUE"""),"сантехніка")</f>
        <v>сантехніка</v>
      </c>
      <c r="D2161" s="16" t="str">
        <f>IFERROR(__xludf.DUMMYFUNCTION("""COMPUTED_VALUE"""),"інсталяційні системи")</f>
        <v>інсталяційні системи</v>
      </c>
      <c r="E2161" s="16" t="str">
        <f>IFERROR(__xludf.DUMMYFUNCTION("""COMPUTED_VALUE"""),"інсталяційні системи")</f>
        <v>інсталяційні системи</v>
      </c>
      <c r="F2161" s="17">
        <f>IFERROR(__xludf.DUMMYFUNCTION("""COMPUTED_VALUE"""),3.0)</f>
        <v>3</v>
      </c>
      <c r="G2161" s="17" t="str">
        <f>IFERROR(__xludf.DUMMYFUNCTION("""COMPUTED_VALUE"""),"13240222")</f>
        <v>13240222</v>
      </c>
      <c r="H2161" s="17" t="str">
        <f>IFERROR(__xludf.DUMMYFUNCTION("""COMPUTED_VALUE"""),"інсталяційні системи")</f>
        <v>інсталяційні системи</v>
      </c>
      <c r="I2161" s="19">
        <f>IFERROR(__xludf.DUMMYFUNCTION("""COMPUTED_VALUE"""),0.0555)</f>
        <v>0.0555</v>
      </c>
      <c r="J2161" s="19">
        <f>IFERROR(__xludf.DUMMYFUNCTION("""COMPUTED_VALUE"""),0.111)</f>
        <v>0.111</v>
      </c>
      <c r="K2161" s="19">
        <f>IFERROR(__xludf.DUMMYFUNCTION("""COMPUTED_VALUE"""),0.1388)</f>
        <v>0.1388</v>
      </c>
      <c r="L2161" s="19">
        <f>IFERROR(__xludf.DUMMYFUNCTION("""COMPUTED_VALUE"""),0.1665)</f>
        <v>0.1665</v>
      </c>
      <c r="M2161" s="18">
        <f>IFERROR(__xludf.DUMMYFUNCTION("""COMPUTED_VALUE"""),4.13)</f>
        <v>4.13</v>
      </c>
    </row>
    <row r="2162">
      <c r="A2162" s="13" t="str">
        <f>IFERROR(__xludf.DUMMYFUNCTION("""COMPUTED_VALUE"""),"товари")</f>
        <v>товари</v>
      </c>
      <c r="B2162" s="16" t="str">
        <f>IFERROR(__xludf.DUMMYFUNCTION("""COMPUTED_VALUE"""),"матеріали для ремонту")</f>
        <v>матеріали для ремонту</v>
      </c>
      <c r="C2162" s="16" t="str">
        <f>IFERROR(__xludf.DUMMYFUNCTION("""COMPUTED_VALUE"""),"печі та каміни")</f>
        <v>печі та каміни</v>
      </c>
      <c r="D2162" s="16" t="str">
        <f>IFERROR(__xludf.DUMMYFUNCTION("""COMPUTED_VALUE"""),"каміни")</f>
        <v>каміни</v>
      </c>
      <c r="E2162" s="16" t="str">
        <f>IFERROR(__xludf.DUMMYFUNCTION("""COMPUTED_VALUE"""),"каміни")</f>
        <v>каміни</v>
      </c>
      <c r="F2162" s="17">
        <f>IFERROR(__xludf.DUMMYFUNCTION("""COMPUTED_VALUE"""),3.0)</f>
        <v>3</v>
      </c>
      <c r="G2162" s="17" t="str">
        <f>IFERROR(__xludf.DUMMYFUNCTION("""COMPUTED_VALUE"""),"1364")</f>
        <v>1364</v>
      </c>
      <c r="H2162" s="17" t="str">
        <f>IFERROR(__xludf.DUMMYFUNCTION("""COMPUTED_VALUE"""),"каміни")</f>
        <v>каміни</v>
      </c>
      <c r="I2162" s="19">
        <f>IFERROR(__xludf.DUMMYFUNCTION("""COMPUTED_VALUE"""),0.0524)</f>
        <v>0.0524</v>
      </c>
      <c r="J2162" s="19">
        <f>IFERROR(__xludf.DUMMYFUNCTION("""COMPUTED_VALUE"""),0.1048)</f>
        <v>0.1048</v>
      </c>
      <c r="K2162" s="19">
        <f>IFERROR(__xludf.DUMMYFUNCTION("""COMPUTED_VALUE"""),0.131)</f>
        <v>0.131</v>
      </c>
      <c r="L2162" s="19">
        <f>IFERROR(__xludf.DUMMYFUNCTION("""COMPUTED_VALUE"""),0.1572)</f>
        <v>0.1572</v>
      </c>
      <c r="M2162" s="18">
        <f>IFERROR(__xludf.DUMMYFUNCTION("""COMPUTED_VALUE"""),5.4)</f>
        <v>5.4</v>
      </c>
    </row>
    <row r="2163">
      <c r="A2163" s="13" t="str">
        <f>IFERROR(__xludf.DUMMYFUNCTION("""COMPUTED_VALUE"""),"товари")</f>
        <v>товари</v>
      </c>
      <c r="B2163" s="16" t="str">
        <f>IFERROR(__xludf.DUMMYFUNCTION("""COMPUTED_VALUE"""),"матеріали для ремонту")</f>
        <v>матеріали для ремонту</v>
      </c>
      <c r="C2163" s="16" t="str">
        <f>IFERROR(__xludf.DUMMYFUNCTION("""COMPUTED_VALUE"""),"печі та каміни")</f>
        <v>печі та каміни</v>
      </c>
      <c r="D2163" s="16" t="str">
        <f>IFERROR(__xludf.DUMMYFUNCTION("""COMPUTED_VALUE"""),"камінні топки")</f>
        <v>камінні топки</v>
      </c>
      <c r="E2163" s="16" t="str">
        <f>IFERROR(__xludf.DUMMYFUNCTION("""COMPUTED_VALUE"""),"камінні топки")</f>
        <v>камінні топки</v>
      </c>
      <c r="F2163" s="17">
        <f>IFERROR(__xludf.DUMMYFUNCTION("""COMPUTED_VALUE"""),3.0)</f>
        <v>3</v>
      </c>
      <c r="G2163" s="17" t="str">
        <f>IFERROR(__xludf.DUMMYFUNCTION("""COMPUTED_VALUE"""),"136404")</f>
        <v>136404</v>
      </c>
      <c r="H2163" s="17" t="str">
        <f>IFERROR(__xludf.DUMMYFUNCTION("""COMPUTED_VALUE"""),"камінні топки")</f>
        <v>камінні топки</v>
      </c>
      <c r="I2163" s="19">
        <f>IFERROR(__xludf.DUMMYFUNCTION("""COMPUTED_VALUE"""),0.0439)</f>
        <v>0.0439</v>
      </c>
      <c r="J2163" s="19">
        <f>IFERROR(__xludf.DUMMYFUNCTION("""COMPUTED_VALUE"""),0.0877)</f>
        <v>0.0877</v>
      </c>
      <c r="K2163" s="19">
        <f>IFERROR(__xludf.DUMMYFUNCTION("""COMPUTED_VALUE"""),0.1096)</f>
        <v>0.1096</v>
      </c>
      <c r="L2163" s="19">
        <f>IFERROR(__xludf.DUMMYFUNCTION("""COMPUTED_VALUE"""),0.1316)</f>
        <v>0.1316</v>
      </c>
      <c r="M2163" s="18">
        <f>IFERROR(__xludf.DUMMYFUNCTION("""COMPUTED_VALUE"""),1.53)</f>
        <v>1.53</v>
      </c>
    </row>
    <row r="2164">
      <c r="A2164" s="13" t="str">
        <f>IFERROR(__xludf.DUMMYFUNCTION("""COMPUTED_VALUE"""),"товари")</f>
        <v>товари</v>
      </c>
      <c r="B2164" s="16" t="str">
        <f>IFERROR(__xludf.DUMMYFUNCTION("""COMPUTED_VALUE"""),"матеріали для ремонту")</f>
        <v>матеріали для ремонту</v>
      </c>
      <c r="C2164" s="16" t="str">
        <f>IFERROR(__xludf.DUMMYFUNCTION("""COMPUTED_VALUE"""),"скріплювальні вироби")</f>
        <v>скріплювальні вироби</v>
      </c>
      <c r="D2164" s="16" t="str">
        <f>IFERROR(__xludf.DUMMYFUNCTION("""COMPUTED_VALUE"""),"такелаж")</f>
        <v>такелаж</v>
      </c>
      <c r="E2164" s="16" t="str">
        <f>IFERROR(__xludf.DUMMYFUNCTION("""COMPUTED_VALUE"""),"канатні затискачі")</f>
        <v>канатні затискачі</v>
      </c>
      <c r="F2164" s="17">
        <f>IFERROR(__xludf.DUMMYFUNCTION("""COMPUTED_VALUE"""),4.0)</f>
        <v>4</v>
      </c>
      <c r="G2164" s="17" t="str">
        <f>IFERROR(__xludf.DUMMYFUNCTION("""COMPUTED_VALUE"""),"420522")</f>
        <v>420522</v>
      </c>
      <c r="H2164" s="17" t="str">
        <f>IFERROR(__xludf.DUMMYFUNCTION("""COMPUTED_VALUE"""),"канатні затискачі")</f>
        <v>канатні затискачі</v>
      </c>
      <c r="I2164" s="19">
        <f>IFERROR(__xludf.DUMMYFUNCTION("""COMPUTED_VALUE"""),0.0489)</f>
        <v>0.0489</v>
      </c>
      <c r="J2164" s="19">
        <f>IFERROR(__xludf.DUMMYFUNCTION("""COMPUTED_VALUE"""),0.0977)</f>
        <v>0.0977</v>
      </c>
      <c r="K2164" s="19">
        <f>IFERROR(__xludf.DUMMYFUNCTION("""COMPUTED_VALUE"""),0.1221)</f>
        <v>0.1221</v>
      </c>
      <c r="L2164" s="19">
        <f>IFERROR(__xludf.DUMMYFUNCTION("""COMPUTED_VALUE"""),0.1466)</f>
        <v>0.1466</v>
      </c>
      <c r="M2164" s="18">
        <f>IFERROR(__xludf.DUMMYFUNCTION("""COMPUTED_VALUE"""),3.15)</f>
        <v>3.15</v>
      </c>
    </row>
    <row r="2165">
      <c r="A2165" s="13" t="str">
        <f>IFERROR(__xludf.DUMMYFUNCTION("""COMPUTED_VALUE"""),"товари")</f>
        <v>товари</v>
      </c>
      <c r="B2165" s="16" t="str">
        <f>IFERROR(__xludf.DUMMYFUNCTION("""COMPUTED_VALUE"""),"матеріали для ремонту")</f>
        <v>матеріали для ремонту</v>
      </c>
      <c r="C2165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65" s="16" t="str">
        <f>IFERROR(__xludf.DUMMYFUNCTION("""COMPUTED_VALUE"""),"клямки")</f>
        <v>клямки</v>
      </c>
      <c r="E2165" s="16" t="str">
        <f>IFERROR(__xludf.DUMMYFUNCTION("""COMPUTED_VALUE"""),"клямки")</f>
        <v>клямки</v>
      </c>
      <c r="F2165" s="17">
        <f>IFERROR(__xludf.DUMMYFUNCTION("""COMPUTED_VALUE"""),3.0)</f>
        <v>3</v>
      </c>
      <c r="G2165" s="17" t="str">
        <f>IFERROR(__xludf.DUMMYFUNCTION("""COMPUTED_VALUE"""),"301011")</f>
        <v>301011</v>
      </c>
      <c r="H2165" s="17" t="str">
        <f>IFERROR(__xludf.DUMMYFUNCTION("""COMPUTED_VALUE"""),"клямки")</f>
        <v>клямки</v>
      </c>
      <c r="I2165" s="19">
        <f>IFERROR(__xludf.DUMMYFUNCTION("""COMPUTED_VALUE"""),0.0748)</f>
        <v>0.0748</v>
      </c>
      <c r="J2165" s="19">
        <f>IFERROR(__xludf.DUMMYFUNCTION("""COMPUTED_VALUE"""),0.1495)</f>
        <v>0.1495</v>
      </c>
      <c r="K2165" s="19">
        <f>IFERROR(__xludf.DUMMYFUNCTION("""COMPUTED_VALUE"""),0.1869)</f>
        <v>0.1869</v>
      </c>
      <c r="L2165" s="19">
        <f>IFERROR(__xludf.DUMMYFUNCTION("""COMPUTED_VALUE"""),0.2243)</f>
        <v>0.2243</v>
      </c>
      <c r="M2165" s="18">
        <f>IFERROR(__xludf.DUMMYFUNCTION("""COMPUTED_VALUE"""),2.25)</f>
        <v>2.25</v>
      </c>
    </row>
    <row r="2166">
      <c r="A2166" s="13" t="str">
        <f>IFERROR(__xludf.DUMMYFUNCTION("""COMPUTED_VALUE"""),"товари")</f>
        <v>товари</v>
      </c>
      <c r="B2166" s="16" t="str">
        <f>IFERROR(__xludf.DUMMYFUNCTION("""COMPUTED_VALUE"""),"матеріали для ремонту")</f>
        <v>матеріали для ремонту</v>
      </c>
      <c r="C2166" s="16" t="str">
        <f>IFERROR(__xludf.DUMMYFUNCTION("""COMPUTED_VALUE"""),"опалення та тепла підлога")</f>
        <v>опалення та тепла підлога</v>
      </c>
      <c r="D2166" s="16" t="str">
        <f>IFERROR(__xludf.DUMMYFUNCTION("""COMPUTED_VALUE"""),"аксесуари для системи опалення")</f>
        <v>аксесуари для системи опалення</v>
      </c>
      <c r="E2166" s="16" t="str">
        <f>IFERROR(__xludf.DUMMYFUNCTION("""COMPUTED_VALUE"""),"колектори")</f>
        <v>колектори</v>
      </c>
      <c r="F2166" s="17">
        <f>IFERROR(__xludf.DUMMYFUNCTION("""COMPUTED_VALUE"""),4.0)</f>
        <v>4</v>
      </c>
      <c r="G2166" s="17" t="str">
        <f>IFERROR(__xludf.DUMMYFUNCTION("""COMPUTED_VALUE"""),"13240211")</f>
        <v>13240211</v>
      </c>
      <c r="H2166" s="17" t="str">
        <f>IFERROR(__xludf.DUMMYFUNCTION("""COMPUTED_VALUE"""),"колектори")</f>
        <v>колектори</v>
      </c>
      <c r="I2166" s="19">
        <f>IFERROR(__xludf.DUMMYFUNCTION("""COMPUTED_VALUE"""),0.0665)</f>
        <v>0.0665</v>
      </c>
      <c r="J2166" s="19">
        <f>IFERROR(__xludf.DUMMYFUNCTION("""COMPUTED_VALUE"""),0.133)</f>
        <v>0.133</v>
      </c>
      <c r="K2166" s="19">
        <f>IFERROR(__xludf.DUMMYFUNCTION("""COMPUTED_VALUE"""),0.1663)</f>
        <v>0.1663</v>
      </c>
      <c r="L2166" s="19">
        <f>IFERROR(__xludf.DUMMYFUNCTION("""COMPUTED_VALUE"""),0.1995)</f>
        <v>0.1995</v>
      </c>
      <c r="M2166" s="18">
        <f>IFERROR(__xludf.DUMMYFUNCTION("""COMPUTED_VALUE"""),1.53)</f>
        <v>1.53</v>
      </c>
    </row>
    <row r="2167">
      <c r="A2167" s="13" t="str">
        <f>IFERROR(__xludf.DUMMYFUNCTION("""COMPUTED_VALUE"""),"товари")</f>
        <v>товари</v>
      </c>
      <c r="B2167" s="16" t="str">
        <f>IFERROR(__xludf.DUMMYFUNCTION("""COMPUTED_VALUE"""),"матеріали для ремонту")</f>
        <v>матеріали для ремонту</v>
      </c>
      <c r="C2167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67" s="16" t="str">
        <f>IFERROR(__xludf.DUMMYFUNCTION("""COMPUTED_VALUE"""),"комплектуючі для вікон і дверей пвх")</f>
        <v>комплектуючі для вікон і дверей пвх</v>
      </c>
      <c r="E2167" s="16" t="str">
        <f>IFERROR(__xludf.DUMMYFUNCTION("""COMPUTED_VALUE"""),"комплектуючі для вікон і дверей пвх")</f>
        <v>комплектуючі для вікон і дверей пвх</v>
      </c>
      <c r="F2167" s="17">
        <f>IFERROR(__xludf.DUMMYFUNCTION("""COMPUTED_VALUE"""),3.0)</f>
        <v>3</v>
      </c>
      <c r="G2167" s="17" t="str">
        <f>IFERROR(__xludf.DUMMYFUNCTION("""COMPUTED_VALUE"""),"15380316")</f>
        <v>15380316</v>
      </c>
      <c r="H2167" s="17" t="str">
        <f>IFERROR(__xludf.DUMMYFUNCTION("""COMPUTED_VALUE"""),"комплектуючі для вікон і дверей пвх")</f>
        <v>комплектуючі для вікон і дверей пвх</v>
      </c>
      <c r="I2167" s="19">
        <f>IFERROR(__xludf.DUMMYFUNCTION("""COMPUTED_VALUE"""),0.0447)</f>
        <v>0.0447</v>
      </c>
      <c r="J2167" s="19">
        <f>IFERROR(__xludf.DUMMYFUNCTION("""COMPUTED_VALUE"""),0.0893)</f>
        <v>0.0893</v>
      </c>
      <c r="K2167" s="19">
        <f>IFERROR(__xludf.DUMMYFUNCTION("""COMPUTED_VALUE"""),0.1116)</f>
        <v>0.1116</v>
      </c>
      <c r="L2167" s="19">
        <f>IFERROR(__xludf.DUMMYFUNCTION("""COMPUTED_VALUE"""),0.134)</f>
        <v>0.134</v>
      </c>
      <c r="M2167" s="18">
        <f>IFERROR(__xludf.DUMMYFUNCTION("""COMPUTED_VALUE"""),3.69)</f>
        <v>3.69</v>
      </c>
    </row>
    <row r="2168">
      <c r="A2168" s="13" t="str">
        <f>IFERROR(__xludf.DUMMYFUNCTION("""COMPUTED_VALUE"""),"товари")</f>
        <v>товари</v>
      </c>
      <c r="B2168" s="16" t="str">
        <f>IFERROR(__xludf.DUMMYFUNCTION("""COMPUTED_VALUE"""),"матеріали для ремонту")</f>
        <v>матеріали для ремонту</v>
      </c>
      <c r="C2168" s="16" t="str">
        <f>IFERROR(__xludf.DUMMYFUNCTION("""COMPUTED_VALUE"""),"побутове водопостачання")</f>
        <v>побутове водопостачання</v>
      </c>
      <c r="D2168" s="16" t="str">
        <f>IFERROR(__xludf.DUMMYFUNCTION("""COMPUTED_VALUE"""),"водонагрівачі та комплектуючі")</f>
        <v>водонагрівачі та комплектуючі</v>
      </c>
      <c r="E2168" s="16" t="str">
        <f>IFERROR(__xludf.DUMMYFUNCTION("""COMPUTED_VALUE"""),"комплектуючі для водонагрівачів")</f>
        <v>комплектуючі для водонагрівачів</v>
      </c>
      <c r="F2168" s="17">
        <f>IFERROR(__xludf.DUMMYFUNCTION("""COMPUTED_VALUE"""),4.0)</f>
        <v>4</v>
      </c>
      <c r="G2168" s="17" t="str">
        <f>IFERROR(__xludf.DUMMYFUNCTION("""COMPUTED_VALUE"""),"13241102")</f>
        <v>13241102</v>
      </c>
      <c r="H2168" s="17" t="str">
        <f>IFERROR(__xludf.DUMMYFUNCTION("""COMPUTED_VALUE"""),"комплектуючі для водонагрівачів")</f>
        <v>комплектуючі для водонагрівачів</v>
      </c>
      <c r="I2168" s="19">
        <f>IFERROR(__xludf.DUMMYFUNCTION("""COMPUTED_VALUE"""),0.0544)</f>
        <v>0.0544</v>
      </c>
      <c r="J2168" s="19">
        <f>IFERROR(__xludf.DUMMYFUNCTION("""COMPUTED_VALUE"""),0.1087)</f>
        <v>0.1087</v>
      </c>
      <c r="K2168" s="19">
        <f>IFERROR(__xludf.DUMMYFUNCTION("""COMPUTED_VALUE"""),0.1359)</f>
        <v>0.1359</v>
      </c>
      <c r="L2168" s="19">
        <f>IFERROR(__xludf.DUMMYFUNCTION("""COMPUTED_VALUE"""),0.1631)</f>
        <v>0.1631</v>
      </c>
      <c r="M2168" s="18">
        <f>IFERROR(__xludf.DUMMYFUNCTION("""COMPUTED_VALUE"""),5.4)</f>
        <v>5.4</v>
      </c>
    </row>
    <row r="2169">
      <c r="A2169" s="13" t="str">
        <f>IFERROR(__xludf.DUMMYFUNCTION("""COMPUTED_VALUE"""),"товари")</f>
        <v>товари</v>
      </c>
      <c r="B2169" s="16" t="str">
        <f>IFERROR(__xludf.DUMMYFUNCTION("""COMPUTED_VALUE"""),"матеріали для ремонту")</f>
        <v>матеріали для ремонту</v>
      </c>
      <c r="C2169" s="16" t="str">
        <f>IFERROR(__xludf.DUMMYFUNCTION("""COMPUTED_VALUE"""),"побутове водопостачання")</f>
        <v>побутове водопостачання</v>
      </c>
      <c r="D2169" s="16" t="str">
        <f>IFERROR(__xludf.DUMMYFUNCTION("""COMPUTED_VALUE"""),"побутове очищення води")</f>
        <v>побутове очищення води</v>
      </c>
      <c r="E2169" s="16" t="str">
        <f>IFERROR(__xludf.DUMMYFUNCTION("""COMPUTED_VALUE"""),"комплектуючі для гідроакумуляторів")</f>
        <v>комплектуючі для гідроакумуляторів</v>
      </c>
      <c r="F2169" s="17">
        <f>IFERROR(__xludf.DUMMYFUNCTION("""COMPUTED_VALUE"""),4.0)</f>
        <v>4</v>
      </c>
      <c r="G2169" s="17" t="str">
        <f>IFERROR(__xludf.DUMMYFUNCTION("""COMPUTED_VALUE"""),"13240414")</f>
        <v>13240414</v>
      </c>
      <c r="H2169" s="17" t="str">
        <f>IFERROR(__xludf.DUMMYFUNCTION("""COMPUTED_VALUE"""),"комплектуючі для гідроакумуляторів")</f>
        <v>комплектуючі для гідроакумуляторів</v>
      </c>
      <c r="I2169" s="19">
        <f>IFERROR(__xludf.DUMMYFUNCTION("""COMPUTED_VALUE"""),0.0755)</f>
        <v>0.0755</v>
      </c>
      <c r="J2169" s="19">
        <f>IFERROR(__xludf.DUMMYFUNCTION("""COMPUTED_VALUE"""),0.1509)</f>
        <v>0.1509</v>
      </c>
      <c r="K2169" s="19">
        <f>IFERROR(__xludf.DUMMYFUNCTION("""COMPUTED_VALUE"""),0.1886)</f>
        <v>0.1886</v>
      </c>
      <c r="L2169" s="19">
        <f>IFERROR(__xludf.DUMMYFUNCTION("""COMPUTED_VALUE"""),0.2264)</f>
        <v>0.2264</v>
      </c>
      <c r="M2169" s="18">
        <f>IFERROR(__xludf.DUMMYFUNCTION("""COMPUTED_VALUE"""),1.71)</f>
        <v>1.71</v>
      </c>
    </row>
    <row r="2170">
      <c r="A2170" s="13" t="str">
        <f>IFERROR(__xludf.DUMMYFUNCTION("""COMPUTED_VALUE"""),"товари")</f>
        <v>товари</v>
      </c>
      <c r="B2170" s="16" t="str">
        <f>IFERROR(__xludf.DUMMYFUNCTION("""COMPUTED_VALUE"""),"матеріали для ремонту")</f>
        <v>матеріали для ремонту</v>
      </c>
      <c r="C2170" s="16" t="str">
        <f>IFERROR(__xludf.DUMMYFUNCTION("""COMPUTED_VALUE"""),"печі та каміни")</f>
        <v>печі та каміни</v>
      </c>
      <c r="D2170" s="16" t="str">
        <f>IFERROR(__xludf.DUMMYFUNCTION("""COMPUTED_VALUE"""),"комплектуючі для печей і камінів")</f>
        <v>комплектуючі для печей і камінів</v>
      </c>
      <c r="E2170" s="16" t="str">
        <f>IFERROR(__xludf.DUMMYFUNCTION("""COMPUTED_VALUE"""),"комплектуючі для печей і камінів")</f>
        <v>комплектуючі для печей і камінів</v>
      </c>
      <c r="F2170" s="17">
        <f>IFERROR(__xludf.DUMMYFUNCTION("""COMPUTED_VALUE"""),3.0)</f>
        <v>3</v>
      </c>
      <c r="G2170" s="17" t="str">
        <f>IFERROR(__xludf.DUMMYFUNCTION("""COMPUTED_VALUE"""),"1363")</f>
        <v>1363</v>
      </c>
      <c r="H2170" s="17" t="str">
        <f>IFERROR(__xludf.DUMMYFUNCTION("""COMPUTED_VALUE"""),"комплектуючі для печей і камінів")</f>
        <v>комплектуючі для печей і камінів</v>
      </c>
      <c r="I2170" s="19">
        <f>IFERROR(__xludf.DUMMYFUNCTION("""COMPUTED_VALUE"""),0.055)</f>
        <v>0.055</v>
      </c>
      <c r="J2170" s="19">
        <f>IFERROR(__xludf.DUMMYFUNCTION("""COMPUTED_VALUE"""),0.11)</f>
        <v>0.11</v>
      </c>
      <c r="K2170" s="19">
        <f>IFERROR(__xludf.DUMMYFUNCTION("""COMPUTED_VALUE"""),0.1375)</f>
        <v>0.1375</v>
      </c>
      <c r="L2170" s="19">
        <f>IFERROR(__xludf.DUMMYFUNCTION("""COMPUTED_VALUE"""),0.165)</f>
        <v>0.165</v>
      </c>
      <c r="M2170" s="18">
        <f>IFERROR(__xludf.DUMMYFUNCTION("""COMPUTED_VALUE"""),4.58)</f>
        <v>4.58</v>
      </c>
    </row>
    <row r="2171">
      <c r="A2171" s="13" t="str">
        <f>IFERROR(__xludf.DUMMYFUNCTION("""COMPUTED_VALUE"""),"товари")</f>
        <v>товари</v>
      </c>
      <c r="B2171" s="16" t="str">
        <f>IFERROR(__xludf.DUMMYFUNCTION("""COMPUTED_VALUE"""),"матеріали для ремонту")</f>
        <v>матеріали для ремонту</v>
      </c>
      <c r="C2171" s="16" t="str">
        <f>IFERROR(__xludf.DUMMYFUNCTION("""COMPUTED_VALUE"""),"облицювальна плитка")</f>
        <v>облицювальна плитка</v>
      </c>
      <c r="D2171" s="16" t="str">
        <f>IFERROR(__xludf.DUMMYFUNCTION("""COMPUTED_VALUE"""),"комплектуючі для плиткових робіт")</f>
        <v>комплектуючі для плиткових робіт</v>
      </c>
      <c r="E2171" s="16" t="str">
        <f>IFERROR(__xludf.DUMMYFUNCTION("""COMPUTED_VALUE"""),"комплектуючі для плиткових робіт")</f>
        <v>комплектуючі для плиткових робіт</v>
      </c>
      <c r="F2171" s="17">
        <f>IFERROR(__xludf.DUMMYFUNCTION("""COMPUTED_VALUE"""),3.0)</f>
        <v>3</v>
      </c>
      <c r="G2171" s="17" t="str">
        <f>IFERROR(__xludf.DUMMYFUNCTION("""COMPUTED_VALUE"""),"13073204")</f>
        <v>13073204</v>
      </c>
      <c r="H2171" s="17" t="str">
        <f>IFERROR(__xludf.DUMMYFUNCTION("""COMPUTED_VALUE"""),"комплектуючі для плиткових робіт")</f>
        <v>комплектуючі для плиткових робіт</v>
      </c>
      <c r="I2171" s="19">
        <f>IFERROR(__xludf.DUMMYFUNCTION("""COMPUTED_VALUE"""),0.0767)</f>
        <v>0.0767</v>
      </c>
      <c r="J2171" s="19">
        <f>IFERROR(__xludf.DUMMYFUNCTION("""COMPUTED_VALUE"""),0.1533)</f>
        <v>0.1533</v>
      </c>
      <c r="K2171" s="19">
        <f>IFERROR(__xludf.DUMMYFUNCTION("""COMPUTED_VALUE"""),0.1916)</f>
        <v>0.1916</v>
      </c>
      <c r="L2171" s="19">
        <f>IFERROR(__xludf.DUMMYFUNCTION("""COMPUTED_VALUE"""),0.23)</f>
        <v>0.23</v>
      </c>
      <c r="M2171" s="18">
        <f>IFERROR(__xludf.DUMMYFUNCTION("""COMPUTED_VALUE"""),4.58)</f>
        <v>4.58</v>
      </c>
    </row>
    <row r="2172">
      <c r="A2172" s="13" t="str">
        <f>IFERROR(__xludf.DUMMYFUNCTION("""COMPUTED_VALUE"""),"товари")</f>
        <v>товари</v>
      </c>
      <c r="B2172" s="16" t="str">
        <f>IFERROR(__xludf.DUMMYFUNCTION("""COMPUTED_VALUE"""),"матеріали для ремонту")</f>
        <v>матеріали для ремонту</v>
      </c>
      <c r="C2172" s="16" t="str">
        <f>IFERROR(__xludf.DUMMYFUNCTION("""COMPUTED_VALUE"""),"матеріали та комплектуючі для улаштування стель")</f>
        <v>матеріали та комплектуючі для улаштування стель</v>
      </c>
      <c r="D2172" s="16" t="str">
        <f>IFERROR(__xludf.DUMMYFUNCTION("""COMPUTED_VALUE"""),"комплектуючі для стель")</f>
        <v>комплектуючі для стель</v>
      </c>
      <c r="E2172" s="16" t="str">
        <f>IFERROR(__xludf.DUMMYFUNCTION("""COMPUTED_VALUE"""),"комплектуючі для стель")</f>
        <v>комплектуючі для стель</v>
      </c>
      <c r="F2172" s="17">
        <f>IFERROR(__xludf.DUMMYFUNCTION("""COMPUTED_VALUE"""),3.0)</f>
        <v>3</v>
      </c>
      <c r="G2172" s="17" t="str">
        <f>IFERROR(__xludf.DUMMYFUNCTION("""COMPUTED_VALUE"""),"134209")</f>
        <v>134209</v>
      </c>
      <c r="H2172" s="17" t="str">
        <f>IFERROR(__xludf.DUMMYFUNCTION("""COMPUTED_VALUE"""),"комплектуючі для стель")</f>
        <v>комплектуючі для стель</v>
      </c>
      <c r="I2172" s="19">
        <f>IFERROR(__xludf.DUMMYFUNCTION("""COMPUTED_VALUE"""),0.0447)</f>
        <v>0.0447</v>
      </c>
      <c r="J2172" s="19">
        <f>IFERROR(__xludf.DUMMYFUNCTION("""COMPUTED_VALUE"""),0.0893)</f>
        <v>0.0893</v>
      </c>
      <c r="K2172" s="19">
        <f>IFERROR(__xludf.DUMMYFUNCTION("""COMPUTED_VALUE"""),0.1116)</f>
        <v>0.1116</v>
      </c>
      <c r="L2172" s="19">
        <f>IFERROR(__xludf.DUMMYFUNCTION("""COMPUTED_VALUE"""),0.134)</f>
        <v>0.134</v>
      </c>
      <c r="M2172" s="18">
        <f>IFERROR(__xludf.DUMMYFUNCTION("""COMPUTED_VALUE"""),2.7)</f>
        <v>2.7</v>
      </c>
    </row>
    <row r="2173">
      <c r="A2173" s="13" t="str">
        <f>IFERROR(__xludf.DUMMYFUNCTION("""COMPUTED_VALUE"""),"товари")</f>
        <v>товари</v>
      </c>
      <c r="B2173" s="16" t="str">
        <f>IFERROR(__xludf.DUMMYFUNCTION("""COMPUTED_VALUE"""),"матеріали для ремонту")</f>
        <v>матеріали для ремонту</v>
      </c>
      <c r="C2173" s="16" t="str">
        <f>IFERROR(__xludf.DUMMYFUNCTION("""COMPUTED_VALUE"""),"побутове водопостачання")</f>
        <v>побутове водопостачання</v>
      </c>
      <c r="D2173" s="16" t="str">
        <f>IFERROR(__xludf.DUMMYFUNCTION("""COMPUTED_VALUE"""),"побутове очищення води")</f>
        <v>побутове очищення води</v>
      </c>
      <c r="E2173" s="16" t="str">
        <f>IFERROR(__xludf.DUMMYFUNCTION("""COMPUTED_VALUE"""),"комплектуючі до побутових фільтрів")</f>
        <v>комплектуючі до побутових фільтрів</v>
      </c>
      <c r="F2173" s="17">
        <f>IFERROR(__xludf.DUMMYFUNCTION("""COMPUTED_VALUE"""),4.0)</f>
        <v>4</v>
      </c>
      <c r="G2173" s="17" t="str">
        <f>IFERROR(__xludf.DUMMYFUNCTION("""COMPUTED_VALUE"""),"13240409")</f>
        <v>13240409</v>
      </c>
      <c r="H2173" s="17" t="str">
        <f>IFERROR(__xludf.DUMMYFUNCTION("""COMPUTED_VALUE"""),"комплектуючі до побутових фільтрів")</f>
        <v>комплектуючі до побутових фільтрів</v>
      </c>
      <c r="I2173" s="19">
        <f>IFERROR(__xludf.DUMMYFUNCTION("""COMPUTED_VALUE"""),0.0755)</f>
        <v>0.0755</v>
      </c>
      <c r="J2173" s="19">
        <f>IFERROR(__xludf.DUMMYFUNCTION("""COMPUTED_VALUE"""),0.1509)</f>
        <v>0.1509</v>
      </c>
      <c r="K2173" s="19">
        <f>IFERROR(__xludf.DUMMYFUNCTION("""COMPUTED_VALUE"""),0.1886)</f>
        <v>0.1886</v>
      </c>
      <c r="L2173" s="19">
        <f>IFERROR(__xludf.DUMMYFUNCTION("""COMPUTED_VALUE"""),0.2264)</f>
        <v>0.2264</v>
      </c>
      <c r="M2173" s="18">
        <f>IFERROR(__xludf.DUMMYFUNCTION("""COMPUTED_VALUE"""),1.71)</f>
        <v>1.71</v>
      </c>
    </row>
    <row r="2174">
      <c r="A2174" s="13" t="str">
        <f>IFERROR(__xludf.DUMMYFUNCTION("""COMPUTED_VALUE"""),"товари")</f>
        <v>товари</v>
      </c>
      <c r="B2174" s="16" t="str">
        <f>IFERROR(__xludf.DUMMYFUNCTION("""COMPUTED_VALUE"""),"матеріали для ремонту")</f>
        <v>матеріали для ремонту</v>
      </c>
      <c r="C2174" s="16" t="str">
        <f>IFERROR(__xludf.DUMMYFUNCTION("""COMPUTED_VALUE"""),"опалення та тепла підлога")</f>
        <v>опалення та тепла підлога</v>
      </c>
      <c r="D2174" s="16" t="str">
        <f>IFERROR(__xludf.DUMMYFUNCTION("""COMPUTED_VALUE"""),"тепла підлога")</f>
        <v>тепла підлога</v>
      </c>
      <c r="E2174" s="16" t="str">
        <f>IFERROR(__xludf.DUMMYFUNCTION("""COMPUTED_VALUE"""),"комплектуючі та аксесуари для теплої підлоги")</f>
        <v>комплектуючі та аксесуари для теплої підлоги</v>
      </c>
      <c r="F2174" s="17">
        <f>IFERROR(__xludf.DUMMYFUNCTION("""COMPUTED_VALUE"""),4.0)</f>
        <v>4</v>
      </c>
      <c r="G2174" s="17" t="str">
        <f>IFERROR(__xludf.DUMMYFUNCTION("""COMPUTED_VALUE"""),"810305")</f>
        <v>810305</v>
      </c>
      <c r="H2174" s="17" t="str">
        <f>IFERROR(__xludf.DUMMYFUNCTION("""COMPUTED_VALUE"""),"комплектуючі та аксесуари для теплої підлоги")</f>
        <v>комплектуючі та аксесуари для теплої підлоги</v>
      </c>
      <c r="I2174" s="19">
        <f>IFERROR(__xludf.DUMMYFUNCTION("""COMPUTED_VALUE"""),0.0793)</f>
        <v>0.0793</v>
      </c>
      <c r="J2174" s="19">
        <f>IFERROR(__xludf.DUMMYFUNCTION("""COMPUTED_VALUE"""),0.1585)</f>
        <v>0.1585</v>
      </c>
      <c r="K2174" s="19">
        <f>IFERROR(__xludf.DUMMYFUNCTION("""COMPUTED_VALUE"""),0.1981)</f>
        <v>0.1981</v>
      </c>
      <c r="L2174" s="19">
        <f>IFERROR(__xludf.DUMMYFUNCTION("""COMPUTED_VALUE"""),0.2378)</f>
        <v>0.2378</v>
      </c>
      <c r="M2174" s="18">
        <f>IFERROR(__xludf.DUMMYFUNCTION("""COMPUTED_VALUE"""),4.88)</f>
        <v>4.88</v>
      </c>
    </row>
    <row r="2175">
      <c r="A2175" s="13" t="str">
        <f>IFERROR(__xludf.DUMMYFUNCTION("""COMPUTED_VALUE"""),"товари")</f>
        <v>товари</v>
      </c>
      <c r="B2175" s="16" t="str">
        <f>IFERROR(__xludf.DUMMYFUNCTION("""COMPUTED_VALUE"""),"матеріали для ремонту")</f>
        <v>матеріали для ремонту</v>
      </c>
      <c r="C2175" s="16" t="str">
        <f>IFERROR(__xludf.DUMMYFUNCTION("""COMPUTED_VALUE"""),"сантехніка")</f>
        <v>сантехніка</v>
      </c>
      <c r="D2175" s="16" t="str">
        <f>IFERROR(__xludf.DUMMYFUNCTION("""COMPUTED_VALUE"""),"комплектуючі, запчастини та витратні матеріали для сантехніки")</f>
        <v>комплектуючі, запчастини та витратні матеріали для сантехніки</v>
      </c>
      <c r="E2175" s="16" t="str">
        <f>IFERROR(__xludf.DUMMYFUNCTION("""COMPUTED_VALUE"""),"комплектуючі, запчастини та витратні матеріали для сантехніки")</f>
        <v>комплектуючі, запчастини та витратні матеріали для сантехніки</v>
      </c>
      <c r="F2175" s="17">
        <f>IFERROR(__xludf.DUMMYFUNCTION("""COMPUTED_VALUE"""),3.0)</f>
        <v>3</v>
      </c>
      <c r="G2175" s="17" t="str">
        <f>IFERROR(__xludf.DUMMYFUNCTION("""COMPUTED_VALUE"""),"13240219")</f>
        <v>13240219</v>
      </c>
      <c r="H2175" s="17" t="str">
        <f>IFERROR(__xludf.DUMMYFUNCTION("""COMPUTED_VALUE"""),"комплектуючі, запчастини та витратні матеріали для сантехніки")</f>
        <v>комплектуючі, запчастини та витратні матеріали для сантехніки</v>
      </c>
      <c r="I2175" s="19">
        <f>IFERROR(__xludf.DUMMYFUNCTION("""COMPUTED_VALUE"""),0.0768)</f>
        <v>0.0768</v>
      </c>
      <c r="J2175" s="19">
        <f>IFERROR(__xludf.DUMMYFUNCTION("""COMPUTED_VALUE"""),0.1535)</f>
        <v>0.1535</v>
      </c>
      <c r="K2175" s="19">
        <f>IFERROR(__xludf.DUMMYFUNCTION("""COMPUTED_VALUE"""),0.1919)</f>
        <v>0.1919</v>
      </c>
      <c r="L2175" s="19">
        <f>IFERROR(__xludf.DUMMYFUNCTION("""COMPUTED_VALUE"""),0.2303)</f>
        <v>0.2303</v>
      </c>
      <c r="M2175" s="18">
        <f>IFERROR(__xludf.DUMMYFUNCTION("""COMPUTED_VALUE"""),2.25)</f>
        <v>2.25</v>
      </c>
    </row>
    <row r="2176">
      <c r="A2176" s="13" t="str">
        <f>IFERROR(__xludf.DUMMYFUNCTION("""COMPUTED_VALUE"""),"товари")</f>
        <v>товари</v>
      </c>
      <c r="B2176" s="16" t="str">
        <f>IFERROR(__xludf.DUMMYFUNCTION("""COMPUTED_VALUE"""),"матеріали для ремонту")</f>
        <v>матеріали для ремонту</v>
      </c>
      <c r="C2176" s="16" t="str">
        <f>IFERROR(__xludf.DUMMYFUNCTION("""COMPUTED_VALUE"""),"сантехніка")</f>
        <v>сантехніка</v>
      </c>
      <c r="D2176" s="16" t="str">
        <f>IFERROR(__xludf.DUMMYFUNCTION("""COMPUTED_VALUE"""),"крани, змішувачі")</f>
        <v>крани, змішувачі</v>
      </c>
      <c r="E2176" s="16" t="str">
        <f>IFERROR(__xludf.DUMMYFUNCTION("""COMPUTED_VALUE"""),"крани, змішувачі")</f>
        <v>крани, змішувачі</v>
      </c>
      <c r="F2176" s="17">
        <f>IFERROR(__xludf.DUMMYFUNCTION("""COMPUTED_VALUE"""),3.0)</f>
        <v>3</v>
      </c>
      <c r="G2176" s="17" t="str">
        <f>IFERROR(__xludf.DUMMYFUNCTION("""COMPUTED_VALUE"""),"130103")</f>
        <v>130103</v>
      </c>
      <c r="H2176" s="17" t="str">
        <f>IFERROR(__xludf.DUMMYFUNCTION("""COMPUTED_VALUE"""),"крани, змішувачі")</f>
        <v>крани, змішувачі</v>
      </c>
      <c r="I2176" s="19">
        <f>IFERROR(__xludf.DUMMYFUNCTION("""COMPUTED_VALUE"""),0.071)</f>
        <v>0.071</v>
      </c>
      <c r="J2176" s="19">
        <f>IFERROR(__xludf.DUMMYFUNCTION("""COMPUTED_VALUE"""),0.1419)</f>
        <v>0.1419</v>
      </c>
      <c r="K2176" s="19">
        <f>IFERROR(__xludf.DUMMYFUNCTION("""COMPUTED_VALUE"""),0.1774)</f>
        <v>0.1774</v>
      </c>
      <c r="L2176" s="19">
        <f>IFERROR(__xludf.DUMMYFUNCTION("""COMPUTED_VALUE"""),0.2129)</f>
        <v>0.2129</v>
      </c>
      <c r="M2176" s="18">
        <f>IFERROR(__xludf.DUMMYFUNCTION("""COMPUTED_VALUE"""),3.9)</f>
        <v>3.9</v>
      </c>
    </row>
    <row r="2177">
      <c r="A2177" s="13" t="str">
        <f>IFERROR(__xludf.DUMMYFUNCTION("""COMPUTED_VALUE"""),"товари")</f>
        <v>товари</v>
      </c>
      <c r="B2177" s="16" t="str">
        <f>IFERROR(__xludf.DUMMYFUNCTION("""COMPUTED_VALUE"""),"матеріали для ремонту")</f>
        <v>матеріали для ремонту</v>
      </c>
      <c r="C2177" s="16" t="str">
        <f>IFERROR(__xludf.DUMMYFUNCTION("""COMPUTED_VALUE"""),"сантехніка")</f>
        <v>сантехніка</v>
      </c>
      <c r="D2177" s="16" t="str">
        <f>IFERROR(__xludf.DUMMYFUNCTION("""COMPUTED_VALUE"""),"кришки для унітазів")</f>
        <v>кришки для унітазів</v>
      </c>
      <c r="E2177" s="16" t="str">
        <f>IFERROR(__xludf.DUMMYFUNCTION("""COMPUTED_VALUE"""),"кришки для унітазів")</f>
        <v>кришки для унітазів</v>
      </c>
      <c r="F2177" s="17">
        <f>IFERROR(__xludf.DUMMYFUNCTION("""COMPUTED_VALUE"""),3.0)</f>
        <v>3</v>
      </c>
      <c r="G2177" s="17" t="str">
        <f>IFERROR(__xludf.DUMMYFUNCTION("""COMPUTED_VALUE"""),"130184")</f>
        <v>130184</v>
      </c>
      <c r="H2177" s="17" t="str">
        <f>IFERROR(__xludf.DUMMYFUNCTION("""COMPUTED_VALUE"""),"кришки для унітазів")</f>
        <v>кришки для унітазів</v>
      </c>
      <c r="I2177" s="19">
        <f>IFERROR(__xludf.DUMMYFUNCTION("""COMPUTED_VALUE"""),0.0709)</f>
        <v>0.0709</v>
      </c>
      <c r="J2177" s="19">
        <f>IFERROR(__xludf.DUMMYFUNCTION("""COMPUTED_VALUE"""),0.1417)</f>
        <v>0.1417</v>
      </c>
      <c r="K2177" s="19">
        <f>IFERROR(__xludf.DUMMYFUNCTION("""COMPUTED_VALUE"""),0.1771)</f>
        <v>0.1771</v>
      </c>
      <c r="L2177" s="19">
        <f>IFERROR(__xludf.DUMMYFUNCTION("""COMPUTED_VALUE"""),0.2126)</f>
        <v>0.2126</v>
      </c>
      <c r="M2177" s="18">
        <f>IFERROR(__xludf.DUMMYFUNCTION("""COMPUTED_VALUE"""),1.98)</f>
        <v>1.98</v>
      </c>
    </row>
    <row r="2178">
      <c r="A2178" s="13" t="str">
        <f>IFERROR(__xludf.DUMMYFUNCTION("""COMPUTED_VALUE"""),"товари")</f>
        <v>товари</v>
      </c>
      <c r="B2178" s="16" t="str">
        <f>IFERROR(__xludf.DUMMYFUNCTION("""COMPUTED_VALUE"""),"матеріали для ремонту")</f>
        <v>матеріали для ремонту</v>
      </c>
      <c r="C2178" s="16" t="str">
        <f>IFERROR(__xludf.DUMMYFUNCTION("""COMPUTED_VALUE"""),"скріплювальні вироби")</f>
        <v>скріплювальні вироби</v>
      </c>
      <c r="D2178" s="16" t="str">
        <f>IFERROR(__xludf.DUMMYFUNCTION("""COMPUTED_VALUE"""),"кріпильні вироби, загальне")</f>
        <v>кріпильні вироби, загальне</v>
      </c>
      <c r="E2178" s="16" t="str">
        <f>IFERROR(__xludf.DUMMYFUNCTION("""COMPUTED_VALUE"""),"кріпильні вироби, загальне")</f>
        <v>кріпильні вироби, загальне</v>
      </c>
      <c r="F2178" s="17">
        <f>IFERROR(__xludf.DUMMYFUNCTION("""COMPUTED_VALUE"""),3.0)</f>
        <v>3</v>
      </c>
      <c r="G2178" s="17" t="str">
        <f>IFERROR(__xludf.DUMMYFUNCTION("""COMPUTED_VALUE"""),"420508")</f>
        <v>420508</v>
      </c>
      <c r="H2178" s="17" t="str">
        <f>IFERROR(__xludf.DUMMYFUNCTION("""COMPUTED_VALUE"""),"кріпильні вироби, загальне")</f>
        <v>кріпильні вироби, загальне</v>
      </c>
      <c r="I2178" s="19">
        <f>IFERROR(__xludf.DUMMYFUNCTION("""COMPUTED_VALUE"""),0.125)</f>
        <v>0.125</v>
      </c>
      <c r="J2178" s="19">
        <f>IFERROR(__xludf.DUMMYFUNCTION("""COMPUTED_VALUE"""),0.25)</f>
        <v>0.25</v>
      </c>
      <c r="K2178" s="19">
        <f>IFERROR(__xludf.DUMMYFUNCTION("""COMPUTED_VALUE"""),0.3125)</f>
        <v>0.3125</v>
      </c>
      <c r="L2178" s="19">
        <f>IFERROR(__xludf.DUMMYFUNCTION("""COMPUTED_VALUE"""),0.375)</f>
        <v>0.375</v>
      </c>
      <c r="M2178" s="18">
        <f>IFERROR(__xludf.DUMMYFUNCTION("""COMPUTED_VALUE"""),4.33)</f>
        <v>4.33</v>
      </c>
    </row>
    <row r="2179">
      <c r="A2179" s="13" t="str">
        <f>IFERROR(__xludf.DUMMYFUNCTION("""COMPUTED_VALUE"""),"товари")</f>
        <v>товари</v>
      </c>
      <c r="B2179" s="16" t="str">
        <f>IFERROR(__xludf.DUMMYFUNCTION("""COMPUTED_VALUE"""),"матеріали для ремонту")</f>
        <v>матеріали для ремонту</v>
      </c>
      <c r="C2179" s="16" t="str">
        <f>IFERROR(__xludf.DUMMYFUNCTION("""COMPUTED_VALUE"""),"скріплювальні вироби")</f>
        <v>скріплювальні вироби</v>
      </c>
      <c r="D2179" s="16" t="str">
        <f>IFERROR(__xludf.DUMMYFUNCTION("""COMPUTED_VALUE"""),"метричне кріплення")</f>
        <v>метричне кріплення</v>
      </c>
      <c r="E2179" s="16" t="str">
        <f>IFERROR(__xludf.DUMMYFUNCTION("""COMPUTED_VALUE"""),"кріпильні гвинти")</f>
        <v>кріпильні гвинти</v>
      </c>
      <c r="F2179" s="17">
        <f>IFERROR(__xludf.DUMMYFUNCTION("""COMPUTED_VALUE"""),4.0)</f>
        <v>4</v>
      </c>
      <c r="G2179" s="17" t="str">
        <f>IFERROR(__xludf.DUMMYFUNCTION("""COMPUTED_VALUE"""),"420512")</f>
        <v>420512</v>
      </c>
      <c r="H2179" s="17" t="str">
        <f>IFERROR(__xludf.DUMMYFUNCTION("""COMPUTED_VALUE"""),"кріпильні гвинти")</f>
        <v>кріпильні гвинти</v>
      </c>
      <c r="I2179" s="19">
        <f>IFERROR(__xludf.DUMMYFUNCTION("""COMPUTED_VALUE"""),0.0775)</f>
        <v>0.0775</v>
      </c>
      <c r="J2179" s="19">
        <f>IFERROR(__xludf.DUMMYFUNCTION("""COMPUTED_VALUE"""),0.155)</f>
        <v>0.155</v>
      </c>
      <c r="K2179" s="19">
        <f>IFERROR(__xludf.DUMMYFUNCTION("""COMPUTED_VALUE"""),0.1938)</f>
        <v>0.1938</v>
      </c>
      <c r="L2179" s="19">
        <f>IFERROR(__xludf.DUMMYFUNCTION("""COMPUTED_VALUE"""),0.2325)</f>
        <v>0.2325</v>
      </c>
      <c r="M2179" s="18">
        <f>IFERROR(__xludf.DUMMYFUNCTION("""COMPUTED_VALUE"""),1.53)</f>
        <v>1.53</v>
      </c>
    </row>
    <row r="2180">
      <c r="A2180" s="13" t="str">
        <f>IFERROR(__xludf.DUMMYFUNCTION("""COMPUTED_VALUE"""),"товари")</f>
        <v>товари</v>
      </c>
      <c r="B2180" s="16" t="str">
        <f>IFERROR(__xludf.DUMMYFUNCTION("""COMPUTED_VALUE"""),"матеріали для ремонту")</f>
        <v>матеріали для ремонту</v>
      </c>
      <c r="C2180" s="16" t="str">
        <f>IFERROR(__xludf.DUMMYFUNCTION("""COMPUTED_VALUE"""),"скріплювальні вироби")</f>
        <v>скріплювальні вироби</v>
      </c>
      <c r="D2180" s="16" t="str">
        <f>IFERROR(__xludf.DUMMYFUNCTION("""COMPUTED_VALUE"""),"кріпильні шпонки")</f>
        <v>кріпильні шпонки</v>
      </c>
      <c r="E2180" s="16" t="str">
        <f>IFERROR(__xludf.DUMMYFUNCTION("""COMPUTED_VALUE"""),"кріпильні шпонки")</f>
        <v>кріпильні шпонки</v>
      </c>
      <c r="F2180" s="17">
        <f>IFERROR(__xludf.DUMMYFUNCTION("""COMPUTED_VALUE"""),3.0)</f>
        <v>3</v>
      </c>
      <c r="G2180" s="17" t="str">
        <f>IFERROR(__xludf.DUMMYFUNCTION("""COMPUTED_VALUE"""),"420527")</f>
        <v>420527</v>
      </c>
      <c r="H2180" s="17" t="str">
        <f>IFERROR(__xludf.DUMMYFUNCTION("""COMPUTED_VALUE"""),"кріпильні шпонки")</f>
        <v>кріпильні шпонки</v>
      </c>
      <c r="I2180" s="19">
        <f>IFERROR(__xludf.DUMMYFUNCTION("""COMPUTED_VALUE"""),0.074)</f>
        <v>0.074</v>
      </c>
      <c r="J2180" s="19">
        <f>IFERROR(__xludf.DUMMYFUNCTION("""COMPUTED_VALUE"""),0.148)</f>
        <v>0.148</v>
      </c>
      <c r="K2180" s="19">
        <f>IFERROR(__xludf.DUMMYFUNCTION("""COMPUTED_VALUE"""),0.185)</f>
        <v>0.185</v>
      </c>
      <c r="L2180" s="19">
        <f>IFERROR(__xludf.DUMMYFUNCTION("""COMPUTED_VALUE"""),0.222)</f>
        <v>0.222</v>
      </c>
      <c r="M2180" s="18">
        <f>IFERROR(__xludf.DUMMYFUNCTION("""COMPUTED_VALUE"""),1.05)</f>
        <v>1.05</v>
      </c>
    </row>
    <row r="2181">
      <c r="A2181" s="13" t="str">
        <f>IFERROR(__xludf.DUMMYFUNCTION("""COMPUTED_VALUE"""),"товари")</f>
        <v>товари</v>
      </c>
      <c r="B2181" s="16" t="str">
        <f>IFERROR(__xludf.DUMMYFUNCTION("""COMPUTED_VALUE"""),"матеріали для ремонту")</f>
        <v>матеріали для ремонту</v>
      </c>
      <c r="C2181" s="16" t="str">
        <f>IFERROR(__xludf.DUMMYFUNCTION("""COMPUTED_VALUE"""),"скріплювальні вироби")</f>
        <v>скріплювальні вироби</v>
      </c>
      <c r="D2181" s="16" t="str">
        <f>IFERROR(__xludf.DUMMYFUNCTION("""COMPUTED_VALUE"""),"кріпильні штифти")</f>
        <v>кріпильні штифти</v>
      </c>
      <c r="E2181" s="16" t="str">
        <f>IFERROR(__xludf.DUMMYFUNCTION("""COMPUTED_VALUE"""),"кріпильні штифти")</f>
        <v>кріпильні штифти</v>
      </c>
      <c r="F2181" s="17">
        <f>IFERROR(__xludf.DUMMYFUNCTION("""COMPUTED_VALUE"""),3.0)</f>
        <v>3</v>
      </c>
      <c r="G2181" s="17" t="str">
        <f>IFERROR(__xludf.DUMMYFUNCTION("""COMPUTED_VALUE"""),"420515")</f>
        <v>420515</v>
      </c>
      <c r="H2181" s="17" t="str">
        <f>IFERROR(__xludf.DUMMYFUNCTION("""COMPUTED_VALUE"""),"кріпильні штифти")</f>
        <v>кріпильні штифти</v>
      </c>
      <c r="I2181" s="19">
        <f>IFERROR(__xludf.DUMMYFUNCTION("""COMPUTED_VALUE"""),0.0742)</f>
        <v>0.0742</v>
      </c>
      <c r="J2181" s="19">
        <f>IFERROR(__xludf.DUMMYFUNCTION("""COMPUTED_VALUE"""),0.1484)</f>
        <v>0.1484</v>
      </c>
      <c r="K2181" s="19">
        <f>IFERROR(__xludf.DUMMYFUNCTION("""COMPUTED_VALUE"""),0.1855)</f>
        <v>0.1855</v>
      </c>
      <c r="L2181" s="19">
        <f>IFERROR(__xludf.DUMMYFUNCTION("""COMPUTED_VALUE"""),0.2226)</f>
        <v>0.2226</v>
      </c>
      <c r="M2181" s="18">
        <f>IFERROR(__xludf.DUMMYFUNCTION("""COMPUTED_VALUE"""),3.78)</f>
        <v>3.78</v>
      </c>
    </row>
    <row r="2182">
      <c r="A2182" s="13" t="str">
        <f>IFERROR(__xludf.DUMMYFUNCTION("""COMPUTED_VALUE"""),"товари")</f>
        <v>товари</v>
      </c>
      <c r="B2182" s="16" t="str">
        <f>IFERROR(__xludf.DUMMYFUNCTION("""COMPUTED_VALUE"""),"матеріали для ремонту")</f>
        <v>матеріали для ремонту</v>
      </c>
      <c r="C2182" s="16" t="str">
        <f>IFERROR(__xludf.DUMMYFUNCTION("""COMPUTED_VALUE"""),"скріплювальні вироби")</f>
        <v>скріплювальні вироби</v>
      </c>
      <c r="D2182" s="16" t="str">
        <f>IFERROR(__xludf.DUMMYFUNCTION("""COMPUTED_VALUE"""),"кронштейни")</f>
        <v>кронштейни</v>
      </c>
      <c r="E2182" s="16" t="str">
        <f>IFERROR(__xludf.DUMMYFUNCTION("""COMPUTED_VALUE"""),"кронштейни")</f>
        <v>кронштейни</v>
      </c>
      <c r="F2182" s="17">
        <f>IFERROR(__xludf.DUMMYFUNCTION("""COMPUTED_VALUE"""),3.0)</f>
        <v>3</v>
      </c>
      <c r="G2182" s="17" t="str">
        <f>IFERROR(__xludf.DUMMYFUNCTION("""COMPUTED_VALUE"""),"4201")</f>
        <v>4201</v>
      </c>
      <c r="H2182" s="17" t="str">
        <f>IFERROR(__xludf.DUMMYFUNCTION("""COMPUTED_VALUE"""),"кронштейни")</f>
        <v>кронштейни</v>
      </c>
      <c r="I2182" s="19">
        <f>IFERROR(__xludf.DUMMYFUNCTION("""COMPUTED_VALUE"""),0.057)</f>
        <v>0.057</v>
      </c>
      <c r="J2182" s="19">
        <f>IFERROR(__xludf.DUMMYFUNCTION("""COMPUTED_VALUE"""),0.114)</f>
        <v>0.114</v>
      </c>
      <c r="K2182" s="19">
        <f>IFERROR(__xludf.DUMMYFUNCTION("""COMPUTED_VALUE"""),0.1425)</f>
        <v>0.1425</v>
      </c>
      <c r="L2182" s="19">
        <f>IFERROR(__xludf.DUMMYFUNCTION("""COMPUTED_VALUE"""),0.171)</f>
        <v>0.171</v>
      </c>
      <c r="M2182" s="18">
        <f>IFERROR(__xludf.DUMMYFUNCTION("""COMPUTED_VALUE"""),1.26)</f>
        <v>1.26</v>
      </c>
    </row>
    <row r="2183">
      <c r="A2183" s="13" t="str">
        <f>IFERROR(__xludf.DUMMYFUNCTION("""COMPUTED_VALUE"""),"товари")</f>
        <v>товари</v>
      </c>
      <c r="B2183" s="16" t="str">
        <f>IFERROR(__xludf.DUMMYFUNCTION("""COMPUTED_VALUE"""),"матеріали для ремонту")</f>
        <v>матеріали для ремонту</v>
      </c>
      <c r="C2183" s="16" t="str">
        <f>IFERROR(__xludf.DUMMYFUNCTION("""COMPUTED_VALUE"""),"сантехніка")</f>
        <v>сантехніка</v>
      </c>
      <c r="D2183" s="16" t="str">
        <f>IFERROR(__xludf.DUMMYFUNCTION("""COMPUTED_VALUE"""),"кухонні мийки")</f>
        <v>кухонні мийки</v>
      </c>
      <c r="E2183" s="16" t="str">
        <f>IFERROR(__xludf.DUMMYFUNCTION("""COMPUTED_VALUE"""),"кухонні мийки")</f>
        <v>кухонні мийки</v>
      </c>
      <c r="F2183" s="17">
        <f>IFERROR(__xludf.DUMMYFUNCTION("""COMPUTED_VALUE"""),3.0)</f>
        <v>3</v>
      </c>
      <c r="G2183" s="17" t="str">
        <f>IFERROR(__xludf.DUMMYFUNCTION("""COMPUTED_VALUE"""),"1302")</f>
        <v>1302</v>
      </c>
      <c r="H2183" s="17" t="str">
        <f>IFERROR(__xludf.DUMMYFUNCTION("""COMPUTED_VALUE"""),"кухонні мийки")</f>
        <v>кухонні мийки</v>
      </c>
      <c r="I2183" s="19">
        <f>IFERROR(__xludf.DUMMYFUNCTION("""COMPUTED_VALUE"""),0.0682)</f>
        <v>0.0682</v>
      </c>
      <c r="J2183" s="19">
        <f>IFERROR(__xludf.DUMMYFUNCTION("""COMPUTED_VALUE"""),0.1364)</f>
        <v>0.1364</v>
      </c>
      <c r="K2183" s="19">
        <f>IFERROR(__xludf.DUMMYFUNCTION("""COMPUTED_VALUE"""),0.1705)</f>
        <v>0.1705</v>
      </c>
      <c r="L2183" s="19">
        <f>IFERROR(__xludf.DUMMYFUNCTION("""COMPUTED_VALUE"""),0.2046)</f>
        <v>0.2046</v>
      </c>
      <c r="M2183" s="18">
        <f>IFERROR(__xludf.DUMMYFUNCTION("""COMPUTED_VALUE"""),3.33)</f>
        <v>3.33</v>
      </c>
    </row>
    <row r="2184">
      <c r="A2184" s="13" t="str">
        <f>IFERROR(__xludf.DUMMYFUNCTION("""COMPUTED_VALUE"""),"товари")</f>
        <v>товари</v>
      </c>
      <c r="B2184" s="16" t="str">
        <f>IFERROR(__xludf.DUMMYFUNCTION("""COMPUTED_VALUE"""),"матеріали для ремонту")</f>
        <v>матеріали для ремонту</v>
      </c>
      <c r="C2184" s="16" t="str">
        <f>IFERROR(__xludf.DUMMYFUNCTION("""COMPUTED_VALUE"""),"сантехніка")</f>
        <v>сантехніка</v>
      </c>
      <c r="D2184" s="16" t="str">
        <f>IFERROR(__xludf.DUMMYFUNCTION("""COMPUTED_VALUE"""),"лійки для душу")</f>
        <v>лійки для душу</v>
      </c>
      <c r="E2184" s="16" t="str">
        <f>IFERROR(__xludf.DUMMYFUNCTION("""COMPUTED_VALUE"""),"лійки для душу")</f>
        <v>лійки для душу</v>
      </c>
      <c r="F2184" s="17">
        <f>IFERROR(__xludf.DUMMYFUNCTION("""COMPUTED_VALUE"""),3.0)</f>
        <v>3</v>
      </c>
      <c r="G2184" s="17" t="str">
        <f>IFERROR(__xludf.DUMMYFUNCTION("""COMPUTED_VALUE"""),"130106")</f>
        <v>130106</v>
      </c>
      <c r="H2184" s="17" t="str">
        <f>IFERROR(__xludf.DUMMYFUNCTION("""COMPUTED_VALUE"""),"лійки для душу")</f>
        <v>лійки для душу</v>
      </c>
      <c r="I2184" s="19">
        <f>IFERROR(__xludf.DUMMYFUNCTION("""COMPUTED_VALUE"""),0.0791)</f>
        <v>0.0791</v>
      </c>
      <c r="J2184" s="19">
        <f>IFERROR(__xludf.DUMMYFUNCTION("""COMPUTED_VALUE"""),0.1582)</f>
        <v>0.1582</v>
      </c>
      <c r="K2184" s="19">
        <f>IFERROR(__xludf.DUMMYFUNCTION("""COMPUTED_VALUE"""),0.1978)</f>
        <v>0.1978</v>
      </c>
      <c r="L2184" s="19">
        <f>IFERROR(__xludf.DUMMYFUNCTION("""COMPUTED_VALUE"""),0.2373)</f>
        <v>0.2373</v>
      </c>
      <c r="M2184" s="18">
        <f>IFERROR(__xludf.DUMMYFUNCTION("""COMPUTED_VALUE"""),2.25)</f>
        <v>2.25</v>
      </c>
    </row>
    <row r="2185">
      <c r="A2185" s="13" t="str">
        <f>IFERROR(__xludf.DUMMYFUNCTION("""COMPUTED_VALUE"""),"товари")</f>
        <v>товари</v>
      </c>
      <c r="B2185" s="16" t="str">
        <f>IFERROR(__xludf.DUMMYFUNCTION("""COMPUTED_VALUE"""),"матеріали для ремонту")</f>
        <v>матеріали для ремонту</v>
      </c>
      <c r="C2185" s="16" t="str">
        <f>IFERROR(__xludf.DUMMYFUNCTION("""COMPUTED_VALUE"""),"матеріали для ремонту, загальне")</f>
        <v>матеріали для ремонту, загальне</v>
      </c>
      <c r="D2185" s="16" t="str">
        <f>IFERROR(__xludf.DUMMYFUNCTION("""COMPUTED_VALUE"""),"матеріали для ремонту, загальне")</f>
        <v>матеріали для ремонту, загальне</v>
      </c>
      <c r="E2185" s="16" t="str">
        <f>IFERROR(__xludf.DUMMYFUNCTION("""COMPUTED_VALUE"""),"матеріали для ремонту, загальне")</f>
        <v>матеріали для ремонту, загальне</v>
      </c>
      <c r="F2185" s="17">
        <f>IFERROR(__xludf.DUMMYFUNCTION("""COMPUTED_VALUE"""),2.0)</f>
        <v>2</v>
      </c>
      <c r="G2185" s="17" t="str">
        <f>IFERROR(__xludf.DUMMYFUNCTION("""COMPUTED_VALUE"""),"810101")</f>
        <v>810101</v>
      </c>
      <c r="H2185" s="17" t="str">
        <f>IFERROR(__xludf.DUMMYFUNCTION("""COMPUTED_VALUE"""),"матеріали для ремонту, загальне")</f>
        <v>матеріали для ремонту, загальне</v>
      </c>
      <c r="I2185" s="19">
        <f>IFERROR(__xludf.DUMMYFUNCTION("""COMPUTED_VALUE"""),0.125)</f>
        <v>0.125</v>
      </c>
      <c r="J2185" s="19">
        <f>IFERROR(__xludf.DUMMYFUNCTION("""COMPUTED_VALUE"""),0.25)</f>
        <v>0.25</v>
      </c>
      <c r="K2185" s="19">
        <f>IFERROR(__xludf.DUMMYFUNCTION("""COMPUTED_VALUE"""),0.3125)</f>
        <v>0.3125</v>
      </c>
      <c r="L2185" s="19">
        <f>IFERROR(__xludf.DUMMYFUNCTION("""COMPUTED_VALUE"""),0.375)</f>
        <v>0.375</v>
      </c>
      <c r="M2185" s="18">
        <f>IFERROR(__xludf.DUMMYFUNCTION("""COMPUTED_VALUE"""),4.33)</f>
        <v>4.33</v>
      </c>
    </row>
    <row r="2186">
      <c r="A2186" s="13" t="str">
        <f>IFERROR(__xludf.DUMMYFUNCTION("""COMPUTED_VALUE"""),"товари")</f>
        <v>товари</v>
      </c>
      <c r="B2186" s="16" t="str">
        <f>IFERROR(__xludf.DUMMYFUNCTION("""COMPUTED_VALUE"""),"матеріали для ремонту")</f>
        <v>матеріали для ремонту</v>
      </c>
      <c r="C2186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86" s="16" t="str">
        <f>IFERROR(__xludf.DUMMYFUNCTION("""COMPUTED_VALUE"""),"механізми і автоматика для вікон і дверей")</f>
        <v>механізми і автоматика для вікон і дверей</v>
      </c>
      <c r="E2186" s="16" t="str">
        <f>IFERROR(__xludf.DUMMYFUNCTION("""COMPUTED_VALUE"""),"механізми і автоматика для вікон і дверей")</f>
        <v>механізми і автоматика для вікон і дверей</v>
      </c>
      <c r="F2186" s="17">
        <f>IFERROR(__xludf.DUMMYFUNCTION("""COMPUTED_VALUE"""),3.0)</f>
        <v>3</v>
      </c>
      <c r="G2186" s="17" t="str">
        <f>IFERROR(__xludf.DUMMYFUNCTION("""COMPUTED_VALUE"""),"15380301")</f>
        <v>15380301</v>
      </c>
      <c r="H2186" s="17" t="str">
        <f>IFERROR(__xludf.DUMMYFUNCTION("""COMPUTED_VALUE"""),"механізми і автоматика для вікон і дверей")</f>
        <v>механізми і автоматика для вікон і дверей</v>
      </c>
      <c r="I2186" s="19">
        <f>IFERROR(__xludf.DUMMYFUNCTION("""COMPUTED_VALUE"""),0.0578)</f>
        <v>0.0578</v>
      </c>
      <c r="J2186" s="19">
        <f>IFERROR(__xludf.DUMMYFUNCTION("""COMPUTED_VALUE"""),0.1155)</f>
        <v>0.1155</v>
      </c>
      <c r="K2186" s="19">
        <f>IFERROR(__xludf.DUMMYFUNCTION("""COMPUTED_VALUE"""),0.1444)</f>
        <v>0.1444</v>
      </c>
      <c r="L2186" s="19">
        <f>IFERROR(__xludf.DUMMYFUNCTION("""COMPUTED_VALUE"""),0.1733)</f>
        <v>0.1733</v>
      </c>
      <c r="M2186" s="18">
        <f>IFERROR(__xludf.DUMMYFUNCTION("""COMPUTED_VALUE"""),2.79)</f>
        <v>2.79</v>
      </c>
    </row>
    <row r="2187">
      <c r="A2187" s="13" t="str">
        <f>IFERROR(__xludf.DUMMYFUNCTION("""COMPUTED_VALUE"""),"товари")</f>
        <v>товари</v>
      </c>
      <c r="B2187" s="16" t="str">
        <f>IFERROR(__xludf.DUMMYFUNCTION("""COMPUTED_VALUE"""),"матеріали для ремонту")</f>
        <v>матеріали для ремонту</v>
      </c>
      <c r="C2187" s="16" t="str">
        <f>IFERROR(__xludf.DUMMYFUNCTION("""COMPUTED_VALUE"""),"вікна та двері")</f>
        <v>вікна та двері</v>
      </c>
      <c r="D2187" s="16" t="str">
        <f>IFERROR(__xludf.DUMMYFUNCTION("""COMPUTED_VALUE"""),"міжкімнатні арки")</f>
        <v>міжкімнатні арки</v>
      </c>
      <c r="E2187" s="16" t="str">
        <f>IFERROR(__xludf.DUMMYFUNCTION("""COMPUTED_VALUE"""),"міжкімнатні арки")</f>
        <v>міжкімнатні арки</v>
      </c>
      <c r="F2187" s="17">
        <f>IFERROR(__xludf.DUMMYFUNCTION("""COMPUTED_VALUE"""),3.0)</f>
        <v>3</v>
      </c>
      <c r="G2187" s="17" t="str">
        <f>IFERROR(__xludf.DUMMYFUNCTION("""COMPUTED_VALUE"""),"130512")</f>
        <v>130512</v>
      </c>
      <c r="H2187" s="17" t="str">
        <f>IFERROR(__xludf.DUMMYFUNCTION("""COMPUTED_VALUE"""),"міжкімнатні арки")</f>
        <v>міжкімнатні арки</v>
      </c>
      <c r="I2187" s="19">
        <f>IFERROR(__xludf.DUMMYFUNCTION("""COMPUTED_VALUE"""),0.0374)</f>
        <v>0.0374</v>
      </c>
      <c r="J2187" s="19">
        <f>IFERROR(__xludf.DUMMYFUNCTION("""COMPUTED_VALUE"""),0.0748)</f>
        <v>0.0748</v>
      </c>
      <c r="K2187" s="19">
        <f>IFERROR(__xludf.DUMMYFUNCTION("""COMPUTED_VALUE"""),0.0935)</f>
        <v>0.0935</v>
      </c>
      <c r="L2187" s="19">
        <f>IFERROR(__xludf.DUMMYFUNCTION("""COMPUTED_VALUE"""),0.1122)</f>
        <v>0.1122</v>
      </c>
      <c r="M2187" s="18">
        <f>IFERROR(__xludf.DUMMYFUNCTION("""COMPUTED_VALUE"""),1.05)</f>
        <v>1.05</v>
      </c>
    </row>
    <row r="2188">
      <c r="A2188" s="13" t="str">
        <f>IFERROR(__xludf.DUMMYFUNCTION("""COMPUTED_VALUE"""),"товари")</f>
        <v>товари</v>
      </c>
      <c r="B2188" s="16" t="str">
        <f>IFERROR(__xludf.DUMMYFUNCTION("""COMPUTED_VALUE"""),"матеріали для ремонту")</f>
        <v>матеріали для ремонту</v>
      </c>
      <c r="C2188" s="16" t="str">
        <f>IFERROR(__xludf.DUMMYFUNCTION("""COMPUTED_VALUE"""),"вікна та двері")</f>
        <v>вікна та двері</v>
      </c>
      <c r="D2188" s="16" t="str">
        <f>IFERROR(__xludf.DUMMYFUNCTION("""COMPUTED_VALUE"""),"міжкімнатні двері")</f>
        <v>міжкімнатні двері</v>
      </c>
      <c r="E2188" s="16" t="str">
        <f>IFERROR(__xludf.DUMMYFUNCTION("""COMPUTED_VALUE"""),"міжкімнатні двері")</f>
        <v>міжкімнатні двері</v>
      </c>
      <c r="F2188" s="17">
        <f>IFERROR(__xludf.DUMMYFUNCTION("""COMPUTED_VALUE"""),3.0)</f>
        <v>3</v>
      </c>
      <c r="G2188" s="17" t="str">
        <f>IFERROR(__xludf.DUMMYFUNCTION("""COMPUTED_VALUE"""),"130503")</f>
        <v>130503</v>
      </c>
      <c r="H2188" s="17" t="str">
        <f>IFERROR(__xludf.DUMMYFUNCTION("""COMPUTED_VALUE"""),"міжкімнатні двері")</f>
        <v>міжкімнатні двері</v>
      </c>
      <c r="I2188" s="19">
        <f>IFERROR(__xludf.DUMMYFUNCTION("""COMPUTED_VALUE"""),0.0567)</f>
        <v>0.0567</v>
      </c>
      <c r="J2188" s="19">
        <f>IFERROR(__xludf.DUMMYFUNCTION("""COMPUTED_VALUE"""),0.1133)</f>
        <v>0.1133</v>
      </c>
      <c r="K2188" s="19">
        <f>IFERROR(__xludf.DUMMYFUNCTION("""COMPUTED_VALUE"""),0.1416)</f>
        <v>0.1416</v>
      </c>
      <c r="L2188" s="19">
        <f>IFERROR(__xludf.DUMMYFUNCTION("""COMPUTED_VALUE"""),0.17)</f>
        <v>0.17</v>
      </c>
      <c r="M2188" s="18">
        <f>IFERROR(__xludf.DUMMYFUNCTION("""COMPUTED_VALUE"""),2.53)</f>
        <v>2.53</v>
      </c>
    </row>
    <row r="2189">
      <c r="A2189" s="13" t="str">
        <f>IFERROR(__xludf.DUMMYFUNCTION("""COMPUTED_VALUE"""),"товари")</f>
        <v>товари</v>
      </c>
      <c r="B2189" s="16" t="str">
        <f>IFERROR(__xludf.DUMMYFUNCTION("""COMPUTED_VALUE"""),"матеріали для ремонту")</f>
        <v>матеріали для ремонту</v>
      </c>
      <c r="C2189" s="16" t="str">
        <f>IFERROR(__xludf.DUMMYFUNCTION("""COMPUTED_VALUE"""),"герметики і монтажна піна")</f>
        <v>герметики і монтажна піна</v>
      </c>
      <c r="D2189" s="16" t="str">
        <f>IFERROR(__xludf.DUMMYFUNCTION("""COMPUTED_VALUE"""),"монтажна піна")</f>
        <v>монтажна піна</v>
      </c>
      <c r="E2189" s="16" t="str">
        <f>IFERROR(__xludf.DUMMYFUNCTION("""COMPUTED_VALUE"""),"монтажна піна")</f>
        <v>монтажна піна</v>
      </c>
      <c r="F2189" s="17">
        <f>IFERROR(__xludf.DUMMYFUNCTION("""COMPUTED_VALUE"""),3.0)</f>
        <v>3</v>
      </c>
      <c r="G2189" s="17" t="str">
        <f>IFERROR(__xludf.DUMMYFUNCTION("""COMPUTED_VALUE"""),"13070501")</f>
        <v>13070501</v>
      </c>
      <c r="H2189" s="17" t="str">
        <f>IFERROR(__xludf.DUMMYFUNCTION("""COMPUTED_VALUE"""),"монтажна піна")</f>
        <v>монтажна піна</v>
      </c>
      <c r="I2189" s="19">
        <f>IFERROR(__xludf.DUMMYFUNCTION("""COMPUTED_VALUE"""),0.0577)</f>
        <v>0.0577</v>
      </c>
      <c r="J2189" s="19">
        <f>IFERROR(__xludf.DUMMYFUNCTION("""COMPUTED_VALUE"""),0.1153)</f>
        <v>0.1153</v>
      </c>
      <c r="K2189" s="19">
        <f>IFERROR(__xludf.DUMMYFUNCTION("""COMPUTED_VALUE"""),0.1441)</f>
        <v>0.1441</v>
      </c>
      <c r="L2189" s="19">
        <f>IFERROR(__xludf.DUMMYFUNCTION("""COMPUTED_VALUE"""),0.173)</f>
        <v>0.173</v>
      </c>
      <c r="M2189" s="18">
        <f>IFERROR(__xludf.DUMMYFUNCTION("""COMPUTED_VALUE"""),3.43)</f>
        <v>3.43</v>
      </c>
    </row>
    <row r="2190">
      <c r="A2190" s="13" t="str">
        <f>IFERROR(__xludf.DUMMYFUNCTION("""COMPUTED_VALUE"""),"товари")</f>
        <v>товари</v>
      </c>
      <c r="B2190" s="16" t="str">
        <f>IFERROR(__xludf.DUMMYFUNCTION("""COMPUTED_VALUE"""),"матеріали для ремонту")</f>
        <v>матеріали для ремонту</v>
      </c>
      <c r="C2190" s="16" t="str">
        <f>IFERROR(__xludf.DUMMYFUNCTION("""COMPUTED_VALUE"""),"скріплювальні вироби")</f>
        <v>скріплювальні вироби</v>
      </c>
      <c r="D2190" s="16" t="str">
        <f>IFERROR(__xludf.DUMMYFUNCTION("""COMPUTED_VALUE"""),"монтажні клини")</f>
        <v>монтажні клини</v>
      </c>
      <c r="E2190" s="16" t="str">
        <f>IFERROR(__xludf.DUMMYFUNCTION("""COMPUTED_VALUE"""),"монтажні клини")</f>
        <v>монтажні клини</v>
      </c>
      <c r="F2190" s="17">
        <f>IFERROR(__xludf.DUMMYFUNCTION("""COMPUTED_VALUE"""),3.0)</f>
        <v>3</v>
      </c>
      <c r="G2190" s="17" t="str">
        <f>IFERROR(__xludf.DUMMYFUNCTION("""COMPUTED_VALUE"""),"420526")</f>
        <v>420526</v>
      </c>
      <c r="H2190" s="17" t="str">
        <f>IFERROR(__xludf.DUMMYFUNCTION("""COMPUTED_VALUE"""),"монтажні клини")</f>
        <v>монтажні клини</v>
      </c>
      <c r="I2190" s="19">
        <f>IFERROR(__xludf.DUMMYFUNCTION("""COMPUTED_VALUE"""),0.0447)</f>
        <v>0.0447</v>
      </c>
      <c r="J2190" s="19">
        <f>IFERROR(__xludf.DUMMYFUNCTION("""COMPUTED_VALUE"""),0.0893)</f>
        <v>0.0893</v>
      </c>
      <c r="K2190" s="19">
        <f>IFERROR(__xludf.DUMMYFUNCTION("""COMPUTED_VALUE"""),0.1116)</f>
        <v>0.1116</v>
      </c>
      <c r="L2190" s="19">
        <f>IFERROR(__xludf.DUMMYFUNCTION("""COMPUTED_VALUE"""),0.134)</f>
        <v>0.134</v>
      </c>
      <c r="M2190" s="18">
        <f>IFERROR(__xludf.DUMMYFUNCTION("""COMPUTED_VALUE"""),1.05)</f>
        <v>1.05</v>
      </c>
    </row>
    <row r="2191">
      <c r="A2191" s="13" t="str">
        <f>IFERROR(__xludf.DUMMYFUNCTION("""COMPUTED_VALUE"""),"товари")</f>
        <v>товари</v>
      </c>
      <c r="B2191" s="16" t="str">
        <f>IFERROR(__xludf.DUMMYFUNCTION("""COMPUTED_VALUE"""),"матеріали для ремонту")</f>
        <v>матеріали для ремонту</v>
      </c>
      <c r="C2191" s="16" t="str">
        <f>IFERROR(__xludf.DUMMYFUNCTION("""COMPUTED_VALUE"""),"скріплювальні вироби")</f>
        <v>скріплювальні вироби</v>
      </c>
      <c r="D2191" s="16" t="str">
        <f>IFERROR(__xludf.DUMMYFUNCTION("""COMPUTED_VALUE"""),"монтажні патрони")</f>
        <v>монтажні патрони</v>
      </c>
      <c r="E2191" s="16" t="str">
        <f>IFERROR(__xludf.DUMMYFUNCTION("""COMPUTED_VALUE"""),"монтажні патрони")</f>
        <v>монтажні патрони</v>
      </c>
      <c r="F2191" s="17">
        <f>IFERROR(__xludf.DUMMYFUNCTION("""COMPUTED_VALUE"""),3.0)</f>
        <v>3</v>
      </c>
      <c r="G2191" s="17" t="str">
        <f>IFERROR(__xludf.DUMMYFUNCTION("""COMPUTED_VALUE"""),"420517")</f>
        <v>420517</v>
      </c>
      <c r="H2191" s="17" t="str">
        <f>IFERROR(__xludf.DUMMYFUNCTION("""COMPUTED_VALUE"""),"монтажні патрони")</f>
        <v>монтажні патрони</v>
      </c>
      <c r="I2191" s="19">
        <f>IFERROR(__xludf.DUMMYFUNCTION("""COMPUTED_VALUE"""),0.0524)</f>
        <v>0.0524</v>
      </c>
      <c r="J2191" s="19">
        <f>IFERROR(__xludf.DUMMYFUNCTION("""COMPUTED_VALUE"""),0.1047)</f>
        <v>0.1047</v>
      </c>
      <c r="K2191" s="19">
        <f>IFERROR(__xludf.DUMMYFUNCTION("""COMPUTED_VALUE"""),0.1309)</f>
        <v>0.1309</v>
      </c>
      <c r="L2191" s="19">
        <f>IFERROR(__xludf.DUMMYFUNCTION("""COMPUTED_VALUE"""),0.1571)</f>
        <v>0.1571</v>
      </c>
      <c r="M2191" s="18">
        <f>IFERROR(__xludf.DUMMYFUNCTION("""COMPUTED_VALUE"""),1.05)</f>
        <v>1.05</v>
      </c>
    </row>
    <row r="2192">
      <c r="A2192" s="13" t="str">
        <f>IFERROR(__xludf.DUMMYFUNCTION("""COMPUTED_VALUE"""),"товари")</f>
        <v>товари</v>
      </c>
      <c r="B2192" s="16" t="str">
        <f>IFERROR(__xludf.DUMMYFUNCTION("""COMPUTED_VALUE"""),"матеріали для ремонту")</f>
        <v>матеріали для ремонту</v>
      </c>
      <c r="C2192" s="16" t="str">
        <f>IFERROR(__xludf.DUMMYFUNCTION("""COMPUTED_VALUE"""),"сантехніка")</f>
        <v>сантехніка</v>
      </c>
      <c r="D2192" s="16" t="str">
        <f>IFERROR(__xludf.DUMMYFUNCTION("""COMPUTED_VALUE"""),"насадки і перехідники для сантехнічного обладнання")</f>
        <v>насадки і перехідники для сантехнічного обладнання</v>
      </c>
      <c r="E2192" s="16" t="str">
        <f>IFERROR(__xludf.DUMMYFUNCTION("""COMPUTED_VALUE"""),"насадки і перехідники для сантехнічного обладнання")</f>
        <v>насадки і перехідники для сантехнічного обладнання</v>
      </c>
      <c r="F2192" s="17">
        <f>IFERROR(__xludf.DUMMYFUNCTION("""COMPUTED_VALUE"""),3.0)</f>
        <v>3</v>
      </c>
      <c r="G2192" s="17" t="str">
        <f>IFERROR(__xludf.DUMMYFUNCTION("""COMPUTED_VALUE"""),"130116")</f>
        <v>130116</v>
      </c>
      <c r="H2192" s="17" t="str">
        <f>IFERROR(__xludf.DUMMYFUNCTION("""COMPUTED_VALUE"""),"насадки і перехідники для сантехнічного обладнання")</f>
        <v>насадки і перехідники для сантехнічного обладнання</v>
      </c>
      <c r="I2192" s="19">
        <f>IFERROR(__xludf.DUMMYFUNCTION("""COMPUTED_VALUE"""),0.0831)</f>
        <v>0.0831</v>
      </c>
      <c r="J2192" s="19">
        <f>IFERROR(__xludf.DUMMYFUNCTION("""COMPUTED_VALUE"""),0.1661)</f>
        <v>0.1661</v>
      </c>
      <c r="K2192" s="19">
        <f>IFERROR(__xludf.DUMMYFUNCTION("""COMPUTED_VALUE"""),0.2076)</f>
        <v>0.2076</v>
      </c>
      <c r="L2192" s="19">
        <f>IFERROR(__xludf.DUMMYFUNCTION("""COMPUTED_VALUE"""),0.2492)</f>
        <v>0.2492</v>
      </c>
      <c r="M2192" s="18">
        <f>IFERROR(__xludf.DUMMYFUNCTION("""COMPUTED_VALUE"""),1.71)</f>
        <v>1.71</v>
      </c>
    </row>
    <row r="2193">
      <c r="A2193" s="13" t="str">
        <f>IFERROR(__xludf.DUMMYFUNCTION("""COMPUTED_VALUE"""),"товари")</f>
        <v>товари</v>
      </c>
      <c r="B2193" s="16" t="str">
        <f>IFERROR(__xludf.DUMMYFUNCTION("""COMPUTED_VALUE"""),"матеріали для ремонту")</f>
        <v>матеріали для ремонту</v>
      </c>
      <c r="C2193" s="16" t="str">
        <f>IFERROR(__xludf.DUMMYFUNCTION("""COMPUTED_VALUE"""),"електрика")</f>
        <v>електрика</v>
      </c>
      <c r="D2193" s="16" t="str">
        <f>IFERROR(__xludf.DUMMYFUNCTION("""COMPUTED_VALUE"""),"вимикачі світла")</f>
        <v>вимикачі світла</v>
      </c>
      <c r="E2193" s="16" t="str">
        <f>IFERROR(__xludf.DUMMYFUNCTION("""COMPUTED_VALUE"""),"вимикачі світла")</f>
        <v>вимикачі світла</v>
      </c>
      <c r="F2193" s="17">
        <f>IFERROR(__xludf.DUMMYFUNCTION("""COMPUTED_VALUE"""),3.0)</f>
        <v>3</v>
      </c>
      <c r="G2193" s="17" t="str">
        <f>IFERROR(__xludf.DUMMYFUNCTION("""COMPUTED_VALUE"""),"410612")</f>
        <v>410612</v>
      </c>
      <c r="H2193" s="17" t="str">
        <f>IFERROR(__xludf.DUMMYFUNCTION("""COMPUTED_VALUE"""),"вимикачі світла")</f>
        <v>вимикачі світла</v>
      </c>
      <c r="I2193" s="19">
        <f>IFERROR(__xludf.DUMMYFUNCTION("""COMPUTED_VALUE"""),0.0752)</f>
        <v>0.0752</v>
      </c>
      <c r="J2193" s="19">
        <f>IFERROR(__xludf.DUMMYFUNCTION("""COMPUTED_VALUE"""),0.1503)</f>
        <v>0.1503</v>
      </c>
      <c r="K2193" s="19">
        <f>IFERROR(__xludf.DUMMYFUNCTION("""COMPUTED_VALUE"""),0.1879)</f>
        <v>0.1879</v>
      </c>
      <c r="L2193" s="19">
        <f>IFERROR(__xludf.DUMMYFUNCTION("""COMPUTED_VALUE"""),0.2255)</f>
        <v>0.2255</v>
      </c>
      <c r="M2193" s="18">
        <f>IFERROR(__xludf.DUMMYFUNCTION("""COMPUTED_VALUE"""),1.98)</f>
        <v>1.98</v>
      </c>
    </row>
    <row r="2194">
      <c r="A2194" s="13" t="str">
        <f>IFERROR(__xludf.DUMMYFUNCTION("""COMPUTED_VALUE"""),"товари")</f>
        <v>товари</v>
      </c>
      <c r="B2194" s="16" t="str">
        <f>IFERROR(__xludf.DUMMYFUNCTION("""COMPUTED_VALUE"""),"матеріали для ремонту")</f>
        <v>матеріали для ремонту</v>
      </c>
      <c r="C2194" s="16" t="str">
        <f>IFERROR(__xludf.DUMMYFUNCTION("""COMPUTED_VALUE"""),"опалення та тепла підлога")</f>
        <v>опалення та тепла підлога</v>
      </c>
      <c r="D2194" s="16" t="str">
        <f>IFERROR(__xludf.DUMMYFUNCTION("""COMPUTED_VALUE"""),"тепла підлога")</f>
        <v>тепла підлога</v>
      </c>
      <c r="E2194" s="16" t="str">
        <f>IFERROR(__xludf.DUMMYFUNCTION("""COMPUTED_VALUE"""),"обігрівальні термоплівки")</f>
        <v>обігрівальні термоплівки</v>
      </c>
      <c r="F2194" s="17">
        <f>IFERROR(__xludf.DUMMYFUNCTION("""COMPUTED_VALUE"""),4.0)</f>
        <v>4</v>
      </c>
      <c r="G2194" s="17" t="str">
        <f>IFERROR(__xludf.DUMMYFUNCTION("""COMPUTED_VALUE"""),"13240112")</f>
        <v>13240112</v>
      </c>
      <c r="H2194" s="17" t="str">
        <f>IFERROR(__xludf.DUMMYFUNCTION("""COMPUTED_VALUE"""),"обігрівальні термоплівки")</f>
        <v>обігрівальні термоплівки</v>
      </c>
      <c r="I2194" s="19">
        <f>IFERROR(__xludf.DUMMYFUNCTION("""COMPUTED_VALUE"""),0.0867)</f>
        <v>0.0867</v>
      </c>
      <c r="J2194" s="19">
        <f>IFERROR(__xludf.DUMMYFUNCTION("""COMPUTED_VALUE"""),0.1734)</f>
        <v>0.1734</v>
      </c>
      <c r="K2194" s="19">
        <f>IFERROR(__xludf.DUMMYFUNCTION("""COMPUTED_VALUE"""),0.2168)</f>
        <v>0.2168</v>
      </c>
      <c r="L2194" s="19">
        <f>IFERROR(__xludf.DUMMYFUNCTION("""COMPUTED_VALUE"""),0.2601)</f>
        <v>0.2601</v>
      </c>
      <c r="M2194" s="18">
        <f>IFERROR(__xludf.DUMMYFUNCTION("""COMPUTED_VALUE"""),4.88)</f>
        <v>4.88</v>
      </c>
    </row>
    <row r="2195">
      <c r="A2195" s="13" t="str">
        <f>IFERROR(__xludf.DUMMYFUNCTION("""COMPUTED_VALUE"""),"товари")</f>
        <v>товари</v>
      </c>
      <c r="B2195" s="16" t="str">
        <f>IFERROR(__xludf.DUMMYFUNCTION("""COMPUTED_VALUE"""),"матеріали для ремонту")</f>
        <v>матеріали для ремонту</v>
      </c>
      <c r="C2195" s="16" t="str">
        <f>IFERROR(__xludf.DUMMYFUNCTION("""COMPUTED_VALUE"""),"облицювальна плитка")</f>
        <v>облицювальна плитка</v>
      </c>
      <c r="D2195" s="16" t="str">
        <f>IFERROR(__xludf.DUMMYFUNCTION("""COMPUTED_VALUE"""),"облицювальна мозаїка")</f>
        <v>облицювальна мозаїка</v>
      </c>
      <c r="E2195" s="16" t="str">
        <f>IFERROR(__xludf.DUMMYFUNCTION("""COMPUTED_VALUE"""),"облицювальна мозаїка")</f>
        <v>облицювальна мозаїка</v>
      </c>
      <c r="F2195" s="17">
        <f>IFERROR(__xludf.DUMMYFUNCTION("""COMPUTED_VALUE"""),3.0)</f>
        <v>3</v>
      </c>
      <c r="G2195" s="17" t="str">
        <f>IFERROR(__xludf.DUMMYFUNCTION("""COMPUTED_VALUE"""),"13070103")</f>
        <v>13070103</v>
      </c>
      <c r="H2195" s="17" t="str">
        <f>IFERROR(__xludf.DUMMYFUNCTION("""COMPUTED_VALUE"""),"облицювальна мозаїка")</f>
        <v>облицювальна мозаїка</v>
      </c>
      <c r="I2195" s="19">
        <f>IFERROR(__xludf.DUMMYFUNCTION("""COMPUTED_VALUE"""),0.0263)</f>
        <v>0.0263</v>
      </c>
      <c r="J2195" s="19">
        <f>IFERROR(__xludf.DUMMYFUNCTION("""COMPUTED_VALUE"""),0.0526)</f>
        <v>0.0526</v>
      </c>
      <c r="K2195" s="19">
        <f>IFERROR(__xludf.DUMMYFUNCTION("""COMPUTED_VALUE"""),0.0658)</f>
        <v>0.0658</v>
      </c>
      <c r="L2195" s="19">
        <f>IFERROR(__xludf.DUMMYFUNCTION("""COMPUTED_VALUE"""),0.0789)</f>
        <v>0.0789</v>
      </c>
      <c r="M2195" s="18">
        <f>IFERROR(__xludf.DUMMYFUNCTION("""COMPUTED_VALUE"""),1.63)</f>
        <v>1.63</v>
      </c>
    </row>
    <row r="2196">
      <c r="A2196" s="13" t="str">
        <f>IFERROR(__xludf.DUMMYFUNCTION("""COMPUTED_VALUE"""),"товари")</f>
        <v>товари</v>
      </c>
      <c r="B2196" s="16" t="str">
        <f>IFERROR(__xludf.DUMMYFUNCTION("""COMPUTED_VALUE"""),"матеріали для ремонту")</f>
        <v>матеріали для ремонту</v>
      </c>
      <c r="C2196" s="16" t="str">
        <f>IFERROR(__xludf.DUMMYFUNCTION("""COMPUTED_VALUE"""),"печі та каміни")</f>
        <v>печі та каміни</v>
      </c>
      <c r="D2196" s="16" t="str">
        <f>IFERROR(__xludf.DUMMYFUNCTION("""COMPUTED_VALUE"""),"печі")</f>
        <v>печі</v>
      </c>
      <c r="E2196" s="16" t="str">
        <f>IFERROR(__xludf.DUMMYFUNCTION("""COMPUTED_VALUE"""),"печі")</f>
        <v>печі</v>
      </c>
      <c r="F2196" s="17">
        <f>IFERROR(__xludf.DUMMYFUNCTION("""COMPUTED_VALUE"""),3.0)</f>
        <v>3</v>
      </c>
      <c r="G2196" s="17" t="str">
        <f>IFERROR(__xludf.DUMMYFUNCTION("""COMPUTED_VALUE"""),"13240306")</f>
        <v>13240306</v>
      </c>
      <c r="H2196" s="17" t="str">
        <f>IFERROR(__xludf.DUMMYFUNCTION("""COMPUTED_VALUE"""),"печі")</f>
        <v>печі</v>
      </c>
      <c r="I2196" s="19">
        <f>IFERROR(__xludf.DUMMYFUNCTION("""COMPUTED_VALUE"""),0.0515)</f>
        <v>0.0515</v>
      </c>
      <c r="J2196" s="19">
        <f>IFERROR(__xludf.DUMMYFUNCTION("""COMPUTED_VALUE"""),0.103)</f>
        <v>0.103</v>
      </c>
      <c r="K2196" s="19">
        <f>IFERROR(__xludf.DUMMYFUNCTION("""COMPUTED_VALUE"""),0.1288)</f>
        <v>0.1288</v>
      </c>
      <c r="L2196" s="19">
        <f>IFERROR(__xludf.DUMMYFUNCTION("""COMPUTED_VALUE"""),0.1545)</f>
        <v>0.1545</v>
      </c>
      <c r="M2196" s="18">
        <f>IFERROR(__xludf.DUMMYFUNCTION("""COMPUTED_VALUE"""),4.23)</f>
        <v>4.23</v>
      </c>
    </row>
    <row r="2197">
      <c r="A2197" s="13" t="str">
        <f>IFERROR(__xludf.DUMMYFUNCTION("""COMPUTED_VALUE"""),"товари")</f>
        <v>товари</v>
      </c>
      <c r="B2197" s="16" t="str">
        <f>IFERROR(__xludf.DUMMYFUNCTION("""COMPUTED_VALUE"""),"матеріали для ремонту")</f>
        <v>матеріали для ремонту</v>
      </c>
      <c r="C2197" s="16" t="str">
        <f>IFERROR(__xludf.DUMMYFUNCTION("""COMPUTED_VALUE"""),"печі та каміни")</f>
        <v>печі та каміни</v>
      </c>
      <c r="D2197" s="16" t="str">
        <f>IFERROR(__xludf.DUMMYFUNCTION("""COMPUTED_VALUE"""),"печі-каміни")</f>
        <v>печі-каміни</v>
      </c>
      <c r="E2197" s="16" t="str">
        <f>IFERROR(__xludf.DUMMYFUNCTION("""COMPUTED_VALUE"""),"печі-каміни")</f>
        <v>печі-каміни</v>
      </c>
      <c r="F2197" s="17">
        <f>IFERROR(__xludf.DUMMYFUNCTION("""COMPUTED_VALUE"""),3.0)</f>
        <v>3</v>
      </c>
      <c r="G2197" s="17" t="str">
        <f>IFERROR(__xludf.DUMMYFUNCTION("""COMPUTED_VALUE"""),"13240303")</f>
        <v>13240303</v>
      </c>
      <c r="H2197" s="17" t="str">
        <f>IFERROR(__xludf.DUMMYFUNCTION("""COMPUTED_VALUE"""),"печі-каміни")</f>
        <v>печі-каміни</v>
      </c>
      <c r="I2197" s="19">
        <f>IFERROR(__xludf.DUMMYFUNCTION("""COMPUTED_VALUE"""),0.0491)</f>
        <v>0.0491</v>
      </c>
      <c r="J2197" s="19">
        <f>IFERROR(__xludf.DUMMYFUNCTION("""COMPUTED_VALUE"""),0.0982)</f>
        <v>0.0982</v>
      </c>
      <c r="K2197" s="19">
        <f>IFERROR(__xludf.DUMMYFUNCTION("""COMPUTED_VALUE"""),0.1228)</f>
        <v>0.1228</v>
      </c>
      <c r="L2197" s="19">
        <f>IFERROR(__xludf.DUMMYFUNCTION("""COMPUTED_VALUE"""),0.1473)</f>
        <v>0.1473</v>
      </c>
      <c r="M2197" s="18">
        <f>IFERROR(__xludf.DUMMYFUNCTION("""COMPUTED_VALUE"""),4.05)</f>
        <v>4.05</v>
      </c>
    </row>
    <row r="2198">
      <c r="A2198" s="13" t="str">
        <f>IFERROR(__xludf.DUMMYFUNCTION("""COMPUTED_VALUE"""),"товари")</f>
        <v>товари</v>
      </c>
      <c r="B2198" s="16" t="str">
        <f>IFERROR(__xludf.DUMMYFUNCTION("""COMPUTED_VALUE"""),"матеріали для ремонту")</f>
        <v>матеріали для ремонту</v>
      </c>
      <c r="C2198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198" s="16" t="str">
        <f>IFERROR(__xludf.DUMMYFUNCTION("""COMPUTED_VALUE"""),"підвіконня і відливи")</f>
        <v>підвіконня і відливи</v>
      </c>
      <c r="E2198" s="16" t="str">
        <f>IFERROR(__xludf.DUMMYFUNCTION("""COMPUTED_VALUE"""),"підвіконня і відливи")</f>
        <v>підвіконня і відливи</v>
      </c>
      <c r="F2198" s="17">
        <f>IFERROR(__xludf.DUMMYFUNCTION("""COMPUTED_VALUE"""),3.0)</f>
        <v>3</v>
      </c>
      <c r="G2198" s="17" t="str">
        <f>IFERROR(__xludf.DUMMYFUNCTION("""COMPUTED_VALUE"""),"15380310")</f>
        <v>15380310</v>
      </c>
      <c r="H2198" s="17" t="str">
        <f>IFERROR(__xludf.DUMMYFUNCTION("""COMPUTED_VALUE"""),"підвіконня і відливи")</f>
        <v>підвіконня і відливи</v>
      </c>
      <c r="I2198" s="19">
        <f>IFERROR(__xludf.DUMMYFUNCTION("""COMPUTED_VALUE"""),0.0616)</f>
        <v>0.0616</v>
      </c>
      <c r="J2198" s="19">
        <f>IFERROR(__xludf.DUMMYFUNCTION("""COMPUTED_VALUE"""),0.1231)</f>
        <v>0.1231</v>
      </c>
      <c r="K2198" s="19">
        <f>IFERROR(__xludf.DUMMYFUNCTION("""COMPUTED_VALUE"""),0.1539)</f>
        <v>0.1539</v>
      </c>
      <c r="L2198" s="19">
        <f>IFERROR(__xludf.DUMMYFUNCTION("""COMPUTED_VALUE"""),0.1847)</f>
        <v>0.1847</v>
      </c>
      <c r="M2198" s="18">
        <f>IFERROR(__xludf.DUMMYFUNCTION("""COMPUTED_VALUE"""),3.6)</f>
        <v>3.6</v>
      </c>
    </row>
    <row r="2199">
      <c r="A2199" s="13" t="str">
        <f>IFERROR(__xludf.DUMMYFUNCTION("""COMPUTED_VALUE"""),"товари")</f>
        <v>товари</v>
      </c>
      <c r="B2199" s="16" t="str">
        <f>IFERROR(__xludf.DUMMYFUNCTION("""COMPUTED_VALUE"""),"матеріали для ремонту")</f>
        <v>матеріали для ремонту</v>
      </c>
      <c r="C2199" s="16" t="str">
        <f>IFERROR(__xludf.DUMMYFUNCTION("""COMPUTED_VALUE"""),"скріплювальні вироби")</f>
        <v>скріплювальні вироби</v>
      </c>
      <c r="D2199" s="16" t="str">
        <f>IFERROR(__xludf.DUMMYFUNCTION("""COMPUTED_VALUE"""),"такелаж")</f>
        <v>такелаж</v>
      </c>
      <c r="E2199" s="16" t="str">
        <f>IFERROR(__xludf.DUMMYFUNCTION("""COMPUTED_VALUE"""),"підйомні ланки")</f>
        <v>підйомні ланки</v>
      </c>
      <c r="F2199" s="17">
        <f>IFERROR(__xludf.DUMMYFUNCTION("""COMPUTED_VALUE"""),4.0)</f>
        <v>4</v>
      </c>
      <c r="G2199" s="17" t="str">
        <f>IFERROR(__xludf.DUMMYFUNCTION("""COMPUTED_VALUE"""),"420511")</f>
        <v>420511</v>
      </c>
      <c r="H2199" s="17" t="str">
        <f>IFERROR(__xludf.DUMMYFUNCTION("""COMPUTED_VALUE"""),"підйомні ланки")</f>
        <v>підйомні ланки</v>
      </c>
      <c r="I2199" s="19">
        <f>IFERROR(__xludf.DUMMYFUNCTION("""COMPUTED_VALUE"""),0.0487)</f>
        <v>0.0487</v>
      </c>
      <c r="J2199" s="19">
        <f>IFERROR(__xludf.DUMMYFUNCTION("""COMPUTED_VALUE"""),0.0974)</f>
        <v>0.0974</v>
      </c>
      <c r="K2199" s="19">
        <f>IFERROR(__xludf.DUMMYFUNCTION("""COMPUTED_VALUE"""),0.1218)</f>
        <v>0.1218</v>
      </c>
      <c r="L2199" s="19">
        <f>IFERROR(__xludf.DUMMYFUNCTION("""COMPUTED_VALUE"""),0.1461)</f>
        <v>0.1461</v>
      </c>
      <c r="M2199" s="18">
        <f>IFERROR(__xludf.DUMMYFUNCTION("""COMPUTED_VALUE"""),3.15)</f>
        <v>3.15</v>
      </c>
    </row>
    <row r="2200">
      <c r="A2200" s="13" t="str">
        <f>IFERROR(__xludf.DUMMYFUNCTION("""COMPUTED_VALUE"""),"товари")</f>
        <v>товари</v>
      </c>
      <c r="B2200" s="16" t="str">
        <f>IFERROR(__xludf.DUMMYFUNCTION("""COMPUTED_VALUE"""),"матеріали для ремонту")</f>
        <v>матеріали для ремонту</v>
      </c>
      <c r="C2200" s="16" t="str">
        <f>IFERROR(__xludf.DUMMYFUNCTION("""COMPUTED_VALUE"""),"підлогові покриття")</f>
        <v>підлогові покриття</v>
      </c>
      <c r="D2200" s="16" t="str">
        <f>IFERROR(__xludf.DUMMYFUNCTION("""COMPUTED_VALUE"""),"підкладки і настили для підлоги")</f>
        <v>підкладки і настили для підлоги</v>
      </c>
      <c r="E2200" s="16" t="str">
        <f>IFERROR(__xludf.DUMMYFUNCTION("""COMPUTED_VALUE"""),"підкладки і настили для підлоги")</f>
        <v>підкладки і настили для підлоги</v>
      </c>
      <c r="F2200" s="17">
        <f>IFERROR(__xludf.DUMMYFUNCTION("""COMPUTED_VALUE"""),3.0)</f>
        <v>3</v>
      </c>
      <c r="G2200" s="17" t="str">
        <f>IFERROR(__xludf.DUMMYFUNCTION("""COMPUTED_VALUE"""),"130725")</f>
        <v>130725</v>
      </c>
      <c r="H2200" s="17" t="str">
        <f>IFERROR(__xludf.DUMMYFUNCTION("""COMPUTED_VALUE"""),"підкладки і настили для підлоги")</f>
        <v>підкладки і настили для підлоги</v>
      </c>
      <c r="I2200" s="19">
        <f>IFERROR(__xludf.DUMMYFUNCTION("""COMPUTED_VALUE"""),0.035)</f>
        <v>0.035</v>
      </c>
      <c r="J2200" s="19">
        <f>IFERROR(__xludf.DUMMYFUNCTION("""COMPUTED_VALUE"""),0.07)</f>
        <v>0.07</v>
      </c>
      <c r="K2200" s="19">
        <f>IFERROR(__xludf.DUMMYFUNCTION("""COMPUTED_VALUE"""),0.0875)</f>
        <v>0.0875</v>
      </c>
      <c r="L2200" s="19">
        <f>IFERROR(__xludf.DUMMYFUNCTION("""COMPUTED_VALUE"""),0.105)</f>
        <v>0.105</v>
      </c>
      <c r="M2200" s="18">
        <f>IFERROR(__xludf.DUMMYFUNCTION("""COMPUTED_VALUE"""),2.7)</f>
        <v>2.7</v>
      </c>
    </row>
    <row r="2201">
      <c r="A2201" s="13" t="str">
        <f>IFERROR(__xludf.DUMMYFUNCTION("""COMPUTED_VALUE"""),"товари")</f>
        <v>товари</v>
      </c>
      <c r="B2201" s="16" t="str">
        <f>IFERROR(__xludf.DUMMYFUNCTION("""COMPUTED_VALUE"""),"матеріали для ремонту")</f>
        <v>матеріали для ремонту</v>
      </c>
      <c r="C2201" s="16" t="str">
        <f>IFERROR(__xludf.DUMMYFUNCTION("""COMPUTED_VALUE"""),"сантехніка")</f>
        <v>сантехніка</v>
      </c>
      <c r="D2201" s="16" t="str">
        <f>IFERROR(__xludf.DUMMYFUNCTION("""COMPUTED_VALUE"""),"пісуари")</f>
        <v>пісуари</v>
      </c>
      <c r="E2201" s="16" t="str">
        <f>IFERROR(__xludf.DUMMYFUNCTION("""COMPUTED_VALUE"""),"пісуари")</f>
        <v>пісуари</v>
      </c>
      <c r="F2201" s="17">
        <f>IFERROR(__xludf.DUMMYFUNCTION("""COMPUTED_VALUE"""),3.0)</f>
        <v>3</v>
      </c>
      <c r="G2201" s="17" t="str">
        <f>IFERROR(__xludf.DUMMYFUNCTION("""COMPUTED_VALUE"""),"130124")</f>
        <v>130124</v>
      </c>
      <c r="H2201" s="17" t="str">
        <f>IFERROR(__xludf.DUMMYFUNCTION("""COMPUTED_VALUE"""),"пісуари")</f>
        <v>пісуари</v>
      </c>
      <c r="I2201" s="19">
        <f>IFERROR(__xludf.DUMMYFUNCTION("""COMPUTED_VALUE"""),0.0649)</f>
        <v>0.0649</v>
      </c>
      <c r="J2201" s="19">
        <f>IFERROR(__xludf.DUMMYFUNCTION("""COMPUTED_VALUE"""),0.1297)</f>
        <v>0.1297</v>
      </c>
      <c r="K2201" s="19">
        <f>IFERROR(__xludf.DUMMYFUNCTION("""COMPUTED_VALUE"""),0.1621)</f>
        <v>0.1621</v>
      </c>
      <c r="L2201" s="19">
        <f>IFERROR(__xludf.DUMMYFUNCTION("""COMPUTED_VALUE"""),0.1946)</f>
        <v>0.1946</v>
      </c>
      <c r="M2201" s="18">
        <f>IFERROR(__xludf.DUMMYFUNCTION("""COMPUTED_VALUE"""),1.71)</f>
        <v>1.71</v>
      </c>
    </row>
    <row r="2202">
      <c r="A2202" s="13" t="str">
        <f>IFERROR(__xludf.DUMMYFUNCTION("""COMPUTED_VALUE"""),"товари")</f>
        <v>товари</v>
      </c>
      <c r="B2202" s="16" t="str">
        <f>IFERROR(__xludf.DUMMYFUNCTION("""COMPUTED_VALUE"""),"матеріали для ремонту")</f>
        <v>матеріали для ремонту</v>
      </c>
      <c r="C2202" s="16" t="str">
        <f>IFERROR(__xludf.DUMMYFUNCTION("""COMPUTED_VALUE"""),"підлогові покриття")</f>
        <v>підлогові покриття</v>
      </c>
      <c r="D2202" s="16" t="str">
        <f>IFERROR(__xludf.DUMMYFUNCTION("""COMPUTED_VALUE"""),"плінтуси та комплектуючі до них")</f>
        <v>плінтуси та комплектуючі до них</v>
      </c>
      <c r="E2202" s="16" t="str">
        <f>IFERROR(__xludf.DUMMYFUNCTION("""COMPUTED_VALUE"""),"плінтуси та комплектуючі до них")</f>
        <v>плінтуси та комплектуючі до них</v>
      </c>
      <c r="F2202" s="17">
        <f>IFERROR(__xludf.DUMMYFUNCTION("""COMPUTED_VALUE"""),3.0)</f>
        <v>3</v>
      </c>
      <c r="G2202" s="17" t="str">
        <f>IFERROR(__xludf.DUMMYFUNCTION("""COMPUTED_VALUE"""),"13073101")</f>
        <v>13073101</v>
      </c>
      <c r="H2202" s="17" t="str">
        <f>IFERROR(__xludf.DUMMYFUNCTION("""COMPUTED_VALUE"""),"плінтуси та комплектуючі до них")</f>
        <v>плінтуси та комплектуючі до них</v>
      </c>
      <c r="I2202" s="19">
        <f>IFERROR(__xludf.DUMMYFUNCTION("""COMPUTED_VALUE"""),0.0518)</f>
        <v>0.0518</v>
      </c>
      <c r="J2202" s="19">
        <f>IFERROR(__xludf.DUMMYFUNCTION("""COMPUTED_VALUE"""),0.1036)</f>
        <v>0.1036</v>
      </c>
      <c r="K2202" s="19">
        <f>IFERROR(__xludf.DUMMYFUNCTION("""COMPUTED_VALUE"""),0.1295)</f>
        <v>0.1295</v>
      </c>
      <c r="L2202" s="19">
        <f>IFERROR(__xludf.DUMMYFUNCTION("""COMPUTED_VALUE"""),0.1554)</f>
        <v>0.1554</v>
      </c>
      <c r="M2202" s="18">
        <f>IFERROR(__xludf.DUMMYFUNCTION("""COMPUTED_VALUE"""),3.96)</f>
        <v>3.96</v>
      </c>
    </row>
    <row r="2203">
      <c r="A2203" s="13" t="str">
        <f>IFERROR(__xludf.DUMMYFUNCTION("""COMPUTED_VALUE"""),"товари")</f>
        <v>товари</v>
      </c>
      <c r="B2203" s="16" t="str">
        <f>IFERROR(__xludf.DUMMYFUNCTION("""COMPUTED_VALUE"""),"матеріали для ремонту")</f>
        <v>матеріали для ремонту</v>
      </c>
      <c r="C2203" s="16" t="str">
        <f>IFERROR(__xludf.DUMMYFUNCTION("""COMPUTED_VALUE"""),"побутова вентиляція")</f>
        <v>побутова вентиляція</v>
      </c>
      <c r="D2203" s="16" t="str">
        <f>IFERROR(__xludf.DUMMYFUNCTION("""COMPUTED_VALUE"""),"побутова вентиляція, загальне")</f>
        <v>побутова вентиляція, загальне</v>
      </c>
      <c r="E2203" s="16" t="str">
        <f>IFERROR(__xludf.DUMMYFUNCTION("""COMPUTED_VALUE"""),"побутова вентиляція, загальне")</f>
        <v>побутова вентиляція, загальне</v>
      </c>
      <c r="F2203" s="17">
        <f>IFERROR(__xludf.DUMMYFUNCTION("""COMPUTED_VALUE"""),3.0)</f>
        <v>3</v>
      </c>
      <c r="G2203" s="17" t="str">
        <f>IFERROR(__xludf.DUMMYFUNCTION("""COMPUTED_VALUE"""),"810201")</f>
        <v>810201</v>
      </c>
      <c r="H2203" s="17" t="str">
        <f>IFERROR(__xludf.DUMMYFUNCTION("""COMPUTED_VALUE"""),"побутова вентиляція, загальне")</f>
        <v>побутова вентиляція, загальне</v>
      </c>
      <c r="I2203" s="19">
        <f>IFERROR(__xludf.DUMMYFUNCTION("""COMPUTED_VALUE"""),0.125)</f>
        <v>0.125</v>
      </c>
      <c r="J2203" s="19">
        <f>IFERROR(__xludf.DUMMYFUNCTION("""COMPUTED_VALUE"""),0.25)</f>
        <v>0.25</v>
      </c>
      <c r="K2203" s="19">
        <f>IFERROR(__xludf.DUMMYFUNCTION("""COMPUTED_VALUE"""),0.3125)</f>
        <v>0.3125</v>
      </c>
      <c r="L2203" s="19">
        <f>IFERROR(__xludf.DUMMYFUNCTION("""COMPUTED_VALUE"""),0.375)</f>
        <v>0.375</v>
      </c>
      <c r="M2203" s="18">
        <f>IFERROR(__xludf.DUMMYFUNCTION("""COMPUTED_VALUE"""),4.33)</f>
        <v>4.33</v>
      </c>
    </row>
    <row r="2204">
      <c r="A2204" s="13" t="str">
        <f>IFERROR(__xludf.DUMMYFUNCTION("""COMPUTED_VALUE"""),"товари")</f>
        <v>товари</v>
      </c>
      <c r="B2204" s="16" t="str">
        <f>IFERROR(__xludf.DUMMYFUNCTION("""COMPUTED_VALUE"""),"матеріали для ремонту")</f>
        <v>матеріали для ремонту</v>
      </c>
      <c r="C2204" s="16" t="str">
        <f>IFERROR(__xludf.DUMMYFUNCTION("""COMPUTED_VALUE"""),"побутове водопостачання")</f>
        <v>побутове водопостачання</v>
      </c>
      <c r="D2204" s="16" t="str">
        <f>IFERROR(__xludf.DUMMYFUNCTION("""COMPUTED_VALUE"""),"побутове водопостачання, загальне")</f>
        <v>побутове водопостачання, загальне</v>
      </c>
      <c r="E2204" s="16" t="str">
        <f>IFERROR(__xludf.DUMMYFUNCTION("""COMPUTED_VALUE"""),"побутове водопостачання, загальне")</f>
        <v>побутове водопостачання, загальне</v>
      </c>
      <c r="F2204" s="17">
        <f>IFERROR(__xludf.DUMMYFUNCTION("""COMPUTED_VALUE"""),3.0)</f>
        <v>3</v>
      </c>
      <c r="G2204" s="17" t="str">
        <f>IFERROR(__xludf.DUMMYFUNCTION("""COMPUTED_VALUE"""),"810102")</f>
        <v>810102</v>
      </c>
      <c r="H2204" s="17" t="str">
        <f>IFERROR(__xludf.DUMMYFUNCTION("""COMPUTED_VALUE"""),"побутове водопостачання, загальне")</f>
        <v>побутове водопостачання, загальне</v>
      </c>
      <c r="I2204" s="19">
        <f>IFERROR(__xludf.DUMMYFUNCTION("""COMPUTED_VALUE"""),0.125)</f>
        <v>0.125</v>
      </c>
      <c r="J2204" s="19">
        <f>IFERROR(__xludf.DUMMYFUNCTION("""COMPUTED_VALUE"""),0.25)</f>
        <v>0.25</v>
      </c>
      <c r="K2204" s="19">
        <f>IFERROR(__xludf.DUMMYFUNCTION("""COMPUTED_VALUE"""),0.3125)</f>
        <v>0.3125</v>
      </c>
      <c r="L2204" s="19">
        <f>IFERROR(__xludf.DUMMYFUNCTION("""COMPUTED_VALUE"""),0.375)</f>
        <v>0.375</v>
      </c>
      <c r="M2204" s="18">
        <f>IFERROR(__xludf.DUMMYFUNCTION("""COMPUTED_VALUE"""),4.33)</f>
        <v>4.33</v>
      </c>
    </row>
    <row r="2205">
      <c r="A2205" s="13" t="str">
        <f>IFERROR(__xludf.DUMMYFUNCTION("""COMPUTED_VALUE"""),"товари")</f>
        <v>товари</v>
      </c>
      <c r="B2205" s="16" t="str">
        <f>IFERROR(__xludf.DUMMYFUNCTION("""COMPUTED_VALUE"""),"матеріали для ремонту")</f>
        <v>матеріали для ремонту</v>
      </c>
      <c r="C2205" s="16" t="str">
        <f>IFERROR(__xludf.DUMMYFUNCTION("""COMPUTED_VALUE"""),"побутове водопостачання")</f>
        <v>побутове водопостачання</v>
      </c>
      <c r="D2205" s="16" t="str">
        <f>IFERROR(__xludf.DUMMYFUNCTION("""COMPUTED_VALUE"""),"побутове очищення води")</f>
        <v>побутове очищення води</v>
      </c>
      <c r="E2205" s="16" t="str">
        <f>IFERROR(__xludf.DUMMYFUNCTION("""COMPUTED_VALUE"""),"побутові магістральні фільтри")</f>
        <v>побутові магістральні фільтри</v>
      </c>
      <c r="F2205" s="17">
        <f>IFERROR(__xludf.DUMMYFUNCTION("""COMPUTED_VALUE"""),4.0)</f>
        <v>4</v>
      </c>
      <c r="G2205" s="17" t="str">
        <f>IFERROR(__xludf.DUMMYFUNCTION("""COMPUTED_VALUE"""),"13240416")</f>
        <v>13240416</v>
      </c>
      <c r="H2205" s="17" t="str">
        <f>IFERROR(__xludf.DUMMYFUNCTION("""COMPUTED_VALUE"""),"побутові магістральні фільтри")</f>
        <v>побутові магістральні фільтри</v>
      </c>
      <c r="I2205" s="19">
        <f>IFERROR(__xludf.DUMMYFUNCTION("""COMPUTED_VALUE"""),0.0752)</f>
        <v>0.0752</v>
      </c>
      <c r="J2205" s="19">
        <f>IFERROR(__xludf.DUMMYFUNCTION("""COMPUTED_VALUE"""),0.1503)</f>
        <v>0.1503</v>
      </c>
      <c r="K2205" s="19">
        <f>IFERROR(__xludf.DUMMYFUNCTION("""COMPUTED_VALUE"""),0.1879)</f>
        <v>0.1879</v>
      </c>
      <c r="L2205" s="19">
        <f>IFERROR(__xludf.DUMMYFUNCTION("""COMPUTED_VALUE"""),0.2255)</f>
        <v>0.2255</v>
      </c>
      <c r="M2205" s="18">
        <f>IFERROR(__xludf.DUMMYFUNCTION("""COMPUTED_VALUE"""),1.71)</f>
        <v>1.71</v>
      </c>
    </row>
    <row r="2206">
      <c r="A2206" s="13" t="str">
        <f>IFERROR(__xludf.DUMMYFUNCTION("""COMPUTED_VALUE"""),"товари")</f>
        <v>товари</v>
      </c>
      <c r="B2206" s="16" t="str">
        <f>IFERROR(__xludf.DUMMYFUNCTION("""COMPUTED_VALUE"""),"матеріали для ремонту")</f>
        <v>матеріали для ремонту</v>
      </c>
      <c r="C2206" s="16" t="str">
        <f>IFERROR(__xludf.DUMMYFUNCTION("""COMPUTED_VALUE"""),"побутове водопостачання")</f>
        <v>побутове водопостачання</v>
      </c>
      <c r="D2206" s="16" t="str">
        <f>IFERROR(__xludf.DUMMYFUNCTION("""COMPUTED_VALUE"""),"побутові насоси для водопостачання, водовідведення")</f>
        <v>побутові насоси для водопостачання, водовідведення</v>
      </c>
      <c r="E2206" s="16" t="str">
        <f>IFERROR(__xludf.DUMMYFUNCTION("""COMPUTED_VALUE"""),"побутові насоси")</f>
        <v>побутові насоси</v>
      </c>
      <c r="F2206" s="17">
        <f>IFERROR(__xludf.DUMMYFUNCTION("""COMPUTED_VALUE"""),4.0)</f>
        <v>4</v>
      </c>
      <c r="G2206" s="17" t="str">
        <f>IFERROR(__xludf.DUMMYFUNCTION("""COMPUTED_VALUE"""),"13241401")</f>
        <v>13241401</v>
      </c>
      <c r="H2206" s="17" t="str">
        <f>IFERROR(__xludf.DUMMYFUNCTION("""COMPUTED_VALUE"""),"побутові насоси")</f>
        <v>побутові насоси</v>
      </c>
      <c r="I2206" s="19">
        <f>IFERROR(__xludf.DUMMYFUNCTION("""COMPUTED_VALUE"""),0.074)</f>
        <v>0.074</v>
      </c>
      <c r="J2206" s="19">
        <f>IFERROR(__xludf.DUMMYFUNCTION("""COMPUTED_VALUE"""),0.1479)</f>
        <v>0.1479</v>
      </c>
      <c r="K2206" s="19">
        <f>IFERROR(__xludf.DUMMYFUNCTION("""COMPUTED_VALUE"""),0.1849)</f>
        <v>0.1849</v>
      </c>
      <c r="L2206" s="19">
        <f>IFERROR(__xludf.DUMMYFUNCTION("""COMPUTED_VALUE"""),0.2219)</f>
        <v>0.2219</v>
      </c>
      <c r="M2206" s="18">
        <f>IFERROR(__xludf.DUMMYFUNCTION("""COMPUTED_VALUE"""),3.33)</f>
        <v>3.33</v>
      </c>
    </row>
    <row r="2207">
      <c r="A2207" s="13" t="str">
        <f>IFERROR(__xludf.DUMMYFUNCTION("""COMPUTED_VALUE"""),"товари")</f>
        <v>товари</v>
      </c>
      <c r="B2207" s="16" t="str">
        <f>IFERROR(__xludf.DUMMYFUNCTION("""COMPUTED_VALUE"""),"матеріали для ремонту")</f>
        <v>матеріали для ремонту</v>
      </c>
      <c r="C2207" s="16" t="str">
        <f>IFERROR(__xludf.DUMMYFUNCTION("""COMPUTED_VALUE"""),"побутове водопостачання")</f>
        <v>побутове водопостачання</v>
      </c>
      <c r="D2207" s="16" t="str">
        <f>IFERROR(__xludf.DUMMYFUNCTION("""COMPUTED_VALUE"""),"побутові насоси для водопостачання, водовідведення")</f>
        <v>побутові насоси для водопостачання, водовідведення</v>
      </c>
      <c r="E2207" s="16" t="str">
        <f>IFERROR(__xludf.DUMMYFUNCTION("""COMPUTED_VALUE"""),"побутові насоси для водопостачання, загальне")</f>
        <v>побутові насоси для водопостачання, загальне</v>
      </c>
      <c r="F2207" s="17">
        <f>IFERROR(__xludf.DUMMYFUNCTION("""COMPUTED_VALUE"""),4.0)</f>
        <v>4</v>
      </c>
      <c r="G2207" s="17" t="str">
        <f>IFERROR(__xludf.DUMMYFUNCTION("""COMPUTED_VALUE"""),"13241404")</f>
        <v>13241404</v>
      </c>
      <c r="H2207" s="17" t="str">
        <f>IFERROR(__xludf.DUMMYFUNCTION("""COMPUTED_VALUE"""),"побутові насоси для водопостачання, загальне")</f>
        <v>побутові насоси для водопостачання, загальне</v>
      </c>
      <c r="I2207" s="19">
        <f>IFERROR(__xludf.DUMMYFUNCTION("""COMPUTED_VALUE"""),0.125)</f>
        <v>0.125</v>
      </c>
      <c r="J2207" s="19">
        <f>IFERROR(__xludf.DUMMYFUNCTION("""COMPUTED_VALUE"""),0.25)</f>
        <v>0.25</v>
      </c>
      <c r="K2207" s="19">
        <f>IFERROR(__xludf.DUMMYFUNCTION("""COMPUTED_VALUE"""),0.3125)</f>
        <v>0.3125</v>
      </c>
      <c r="L2207" s="19">
        <f>IFERROR(__xludf.DUMMYFUNCTION("""COMPUTED_VALUE"""),0.375)</f>
        <v>0.375</v>
      </c>
      <c r="M2207" s="18">
        <f>IFERROR(__xludf.DUMMYFUNCTION("""COMPUTED_VALUE"""),4.33)</f>
        <v>4.33</v>
      </c>
    </row>
    <row r="2208">
      <c r="A2208" s="13" t="str">
        <f>IFERROR(__xludf.DUMMYFUNCTION("""COMPUTED_VALUE"""),"товари")</f>
        <v>товари</v>
      </c>
      <c r="B2208" s="16" t="str">
        <f>IFERROR(__xludf.DUMMYFUNCTION("""COMPUTED_VALUE"""),"матеріали для ремонту")</f>
        <v>матеріали для ремонту</v>
      </c>
      <c r="C2208" s="16" t="str">
        <f>IFERROR(__xludf.DUMMYFUNCTION("""COMPUTED_VALUE"""),"побутове водопостачання")</f>
        <v>побутове водопостачання</v>
      </c>
      <c r="D2208" s="16" t="str">
        <f>IFERROR(__xludf.DUMMYFUNCTION("""COMPUTED_VALUE"""),"побутове очищення води")</f>
        <v>побутове очищення води</v>
      </c>
      <c r="E2208" s="16" t="str">
        <f>IFERROR(__xludf.DUMMYFUNCTION("""COMPUTED_VALUE"""),"побутові проточні фільтри")</f>
        <v>побутові проточні фільтри</v>
      </c>
      <c r="F2208" s="17">
        <f>IFERROR(__xludf.DUMMYFUNCTION("""COMPUTED_VALUE"""),4.0)</f>
        <v>4</v>
      </c>
      <c r="G2208" s="17" t="str">
        <f>IFERROR(__xludf.DUMMYFUNCTION("""COMPUTED_VALUE"""),"13240402")</f>
        <v>13240402</v>
      </c>
      <c r="H2208" s="17" t="str">
        <f>IFERROR(__xludf.DUMMYFUNCTION("""COMPUTED_VALUE"""),"побутові проточні фільтри")</f>
        <v>побутові проточні фільтри</v>
      </c>
      <c r="I2208" s="19">
        <f>IFERROR(__xludf.DUMMYFUNCTION("""COMPUTED_VALUE"""),0.0752)</f>
        <v>0.0752</v>
      </c>
      <c r="J2208" s="19">
        <f>IFERROR(__xludf.DUMMYFUNCTION("""COMPUTED_VALUE"""),0.1503)</f>
        <v>0.1503</v>
      </c>
      <c r="K2208" s="19">
        <f>IFERROR(__xludf.DUMMYFUNCTION("""COMPUTED_VALUE"""),0.1879)</f>
        <v>0.1879</v>
      </c>
      <c r="L2208" s="19">
        <f>IFERROR(__xludf.DUMMYFUNCTION("""COMPUTED_VALUE"""),0.2255)</f>
        <v>0.2255</v>
      </c>
      <c r="M2208" s="18">
        <f>IFERROR(__xludf.DUMMYFUNCTION("""COMPUTED_VALUE"""),1.71)</f>
        <v>1.71</v>
      </c>
    </row>
    <row r="2209">
      <c r="A2209" s="13" t="str">
        <f>IFERROR(__xludf.DUMMYFUNCTION("""COMPUTED_VALUE"""),"товари")</f>
        <v>товари</v>
      </c>
      <c r="B2209" s="16" t="str">
        <f>IFERROR(__xludf.DUMMYFUNCTION("""COMPUTED_VALUE"""),"матеріали для ремонту")</f>
        <v>матеріали для ремонту</v>
      </c>
      <c r="C2209" s="16" t="str">
        <f>IFERROR(__xludf.DUMMYFUNCTION("""COMPUTED_VALUE"""),"побутове водопостачання")</f>
        <v>побутове водопостачання</v>
      </c>
      <c r="D2209" s="16" t="str">
        <f>IFERROR(__xludf.DUMMYFUNCTION("""COMPUTED_VALUE"""),"побутове очищення води")</f>
        <v>побутове очищення води</v>
      </c>
      <c r="E2209" s="16" t="str">
        <f>IFERROR(__xludf.DUMMYFUNCTION("""COMPUTED_VALUE"""),"побутові фільтри зворотного осмосу")</f>
        <v>побутові фільтри зворотного осмосу</v>
      </c>
      <c r="F2209" s="17">
        <f>IFERROR(__xludf.DUMMYFUNCTION("""COMPUTED_VALUE"""),4.0)</f>
        <v>4</v>
      </c>
      <c r="G2209" s="17" t="str">
        <f>IFERROR(__xludf.DUMMYFUNCTION("""COMPUTED_VALUE"""),"13240408")</f>
        <v>13240408</v>
      </c>
      <c r="H2209" s="17" t="str">
        <f>IFERROR(__xludf.DUMMYFUNCTION("""COMPUTED_VALUE"""),"побутові фільтри зворотного осмосу")</f>
        <v>побутові фільтри зворотного осмосу</v>
      </c>
      <c r="I2209" s="19">
        <f>IFERROR(__xludf.DUMMYFUNCTION("""COMPUTED_VALUE"""),0.0664)</f>
        <v>0.0664</v>
      </c>
      <c r="J2209" s="19">
        <f>IFERROR(__xludf.DUMMYFUNCTION("""COMPUTED_VALUE"""),0.1327)</f>
        <v>0.1327</v>
      </c>
      <c r="K2209" s="19">
        <f>IFERROR(__xludf.DUMMYFUNCTION("""COMPUTED_VALUE"""),0.1659)</f>
        <v>0.1659</v>
      </c>
      <c r="L2209" s="19">
        <f>IFERROR(__xludf.DUMMYFUNCTION("""COMPUTED_VALUE"""),0.1991)</f>
        <v>0.1991</v>
      </c>
      <c r="M2209" s="18">
        <f>IFERROR(__xludf.DUMMYFUNCTION("""COMPUTED_VALUE"""),1.71)</f>
        <v>1.71</v>
      </c>
    </row>
    <row r="2210">
      <c r="A2210" s="13" t="str">
        <f>IFERROR(__xludf.DUMMYFUNCTION("""COMPUTED_VALUE"""),"товари")</f>
        <v>товари</v>
      </c>
      <c r="B2210" s="16" t="str">
        <f>IFERROR(__xludf.DUMMYFUNCTION("""COMPUTED_VALUE"""),"матеріали для ремонту")</f>
        <v>матеріали для ремонту</v>
      </c>
      <c r="C2210" s="16" t="str">
        <f>IFERROR(__xludf.DUMMYFUNCTION("""COMPUTED_VALUE"""),"побутове водопостачання")</f>
        <v>побутове водопостачання</v>
      </c>
      <c r="D2210" s="16" t="str">
        <f>IFERROR(__xludf.DUMMYFUNCTION("""COMPUTED_VALUE"""),"побутове очищення води")</f>
        <v>побутове очищення води</v>
      </c>
      <c r="E2210" s="16" t="str">
        <f>IFERROR(__xludf.DUMMYFUNCTION("""COMPUTED_VALUE"""),"побутові фільтри комплексного очищення води")</f>
        <v>побутові фільтри комплексного очищення води</v>
      </c>
      <c r="F2210" s="17">
        <f>IFERROR(__xludf.DUMMYFUNCTION("""COMPUTED_VALUE"""),4.0)</f>
        <v>4</v>
      </c>
      <c r="G2210" s="17" t="str">
        <f>IFERROR(__xludf.DUMMYFUNCTION("""COMPUTED_VALUE"""),"13240415")</f>
        <v>13240415</v>
      </c>
      <c r="H2210" s="17" t="str">
        <f>IFERROR(__xludf.DUMMYFUNCTION("""COMPUTED_VALUE"""),"побутові фільтри комплексного очищення води")</f>
        <v>побутові фільтри комплексного очищення води</v>
      </c>
      <c r="I2210" s="19">
        <f>IFERROR(__xludf.DUMMYFUNCTION("""COMPUTED_VALUE"""),0.0612)</f>
        <v>0.0612</v>
      </c>
      <c r="J2210" s="19">
        <f>IFERROR(__xludf.DUMMYFUNCTION("""COMPUTED_VALUE"""),0.1223)</f>
        <v>0.1223</v>
      </c>
      <c r="K2210" s="19">
        <f>IFERROR(__xludf.DUMMYFUNCTION("""COMPUTED_VALUE"""),0.1529)</f>
        <v>0.1529</v>
      </c>
      <c r="L2210" s="19">
        <f>IFERROR(__xludf.DUMMYFUNCTION("""COMPUTED_VALUE"""),0.1835)</f>
        <v>0.1835</v>
      </c>
      <c r="M2210" s="18">
        <f>IFERROR(__xludf.DUMMYFUNCTION("""COMPUTED_VALUE"""),1.71)</f>
        <v>1.71</v>
      </c>
    </row>
    <row r="2211">
      <c r="A2211" s="13" t="str">
        <f>IFERROR(__xludf.DUMMYFUNCTION("""COMPUTED_VALUE"""),"товари")</f>
        <v>товари</v>
      </c>
      <c r="B2211" s="16" t="str">
        <f>IFERROR(__xludf.DUMMYFUNCTION("""COMPUTED_VALUE"""),"матеріали для ремонту")</f>
        <v>матеріали для ремонту</v>
      </c>
      <c r="C2211" s="16" t="str">
        <f>IFERROR(__xludf.DUMMYFUNCTION("""COMPUTED_VALUE"""),"побутова вентиляція")</f>
        <v>побутова вентиляція</v>
      </c>
      <c r="D2211" s="16" t="str">
        <f>IFERROR(__xludf.DUMMYFUNCTION("""COMPUTED_VALUE"""),"повітророзподільники")</f>
        <v>повітророзподільники</v>
      </c>
      <c r="E2211" s="16" t="str">
        <f>IFERROR(__xludf.DUMMYFUNCTION("""COMPUTED_VALUE"""),"повітророзподільники")</f>
        <v>повітророзподільники</v>
      </c>
      <c r="F2211" s="17">
        <f>IFERROR(__xludf.DUMMYFUNCTION("""COMPUTED_VALUE"""),3.0)</f>
        <v>3</v>
      </c>
      <c r="G2211" s="17" t="str">
        <f>IFERROR(__xludf.DUMMYFUNCTION("""COMPUTED_VALUE"""),"142202")</f>
        <v>142202</v>
      </c>
      <c r="H2211" s="17" t="str">
        <f>IFERROR(__xludf.DUMMYFUNCTION("""COMPUTED_VALUE"""),"повітророзподільники")</f>
        <v>повітророзподільники</v>
      </c>
      <c r="I2211" s="19">
        <f>IFERROR(__xludf.DUMMYFUNCTION("""COMPUTED_VALUE"""),0.0573)</f>
        <v>0.0573</v>
      </c>
      <c r="J2211" s="19">
        <f>IFERROR(__xludf.DUMMYFUNCTION("""COMPUTED_VALUE"""),0.1145)</f>
        <v>0.1145</v>
      </c>
      <c r="K2211" s="19">
        <f>IFERROR(__xludf.DUMMYFUNCTION("""COMPUTED_VALUE"""),0.1431)</f>
        <v>0.1431</v>
      </c>
      <c r="L2211" s="19">
        <f>IFERROR(__xludf.DUMMYFUNCTION("""COMPUTED_VALUE"""),0.1718)</f>
        <v>0.1718</v>
      </c>
      <c r="M2211" s="18">
        <f>IFERROR(__xludf.DUMMYFUNCTION("""COMPUTED_VALUE"""),2.08)</f>
        <v>2.08</v>
      </c>
    </row>
    <row r="2212">
      <c r="A2212" s="13" t="str">
        <f>IFERROR(__xludf.DUMMYFUNCTION("""COMPUTED_VALUE"""),"товари")</f>
        <v>товари</v>
      </c>
      <c r="B2212" s="16" t="str">
        <f>IFERROR(__xludf.DUMMYFUNCTION("""COMPUTED_VALUE"""),"матеріали для ремонту")</f>
        <v>матеріали для ремонту</v>
      </c>
      <c r="C2212" s="16" t="str">
        <f>IFERROR(__xludf.DUMMYFUNCTION("""COMPUTED_VALUE"""),"побутове водопостачання")</f>
        <v>побутове водопостачання</v>
      </c>
      <c r="D2212" s="16" t="str">
        <f>IFERROR(__xludf.DUMMYFUNCTION("""COMPUTED_VALUE"""),"побутове очищення води")</f>
        <v>побутове очищення води</v>
      </c>
      <c r="E2212" s="16" t="str">
        <f>IFERROR(__xludf.DUMMYFUNCTION("""COMPUTED_VALUE"""),"пом'якшувачі води")</f>
        <v>пом'якшувачі води</v>
      </c>
      <c r="F2212" s="17">
        <f>IFERROR(__xludf.DUMMYFUNCTION("""COMPUTED_VALUE"""),4.0)</f>
        <v>4</v>
      </c>
      <c r="G2212" s="17" t="str">
        <f>IFERROR(__xludf.DUMMYFUNCTION("""COMPUTED_VALUE"""),"13240405")</f>
        <v>13240405</v>
      </c>
      <c r="H2212" s="17" t="str">
        <f>IFERROR(__xludf.DUMMYFUNCTION("""COMPUTED_VALUE"""),"пом'якшувачі води")</f>
        <v>пом'якшувачі води</v>
      </c>
      <c r="I2212" s="19">
        <f>IFERROR(__xludf.DUMMYFUNCTION("""COMPUTED_VALUE"""),0.0555)</f>
        <v>0.0555</v>
      </c>
      <c r="J2212" s="19">
        <f>IFERROR(__xludf.DUMMYFUNCTION("""COMPUTED_VALUE"""),0.111)</f>
        <v>0.111</v>
      </c>
      <c r="K2212" s="19">
        <f>IFERROR(__xludf.DUMMYFUNCTION("""COMPUTED_VALUE"""),0.1388)</f>
        <v>0.1388</v>
      </c>
      <c r="L2212" s="19">
        <f>IFERROR(__xludf.DUMMYFUNCTION("""COMPUTED_VALUE"""),0.1665)</f>
        <v>0.1665</v>
      </c>
      <c r="M2212" s="18">
        <f>IFERROR(__xludf.DUMMYFUNCTION("""COMPUTED_VALUE"""),1.71)</f>
        <v>1.71</v>
      </c>
    </row>
    <row r="2213">
      <c r="A2213" s="13" t="str">
        <f>IFERROR(__xludf.DUMMYFUNCTION("""COMPUTED_VALUE"""),"товари")</f>
        <v>товари</v>
      </c>
      <c r="B2213" s="16" t="str">
        <f>IFERROR(__xludf.DUMMYFUNCTION("""COMPUTED_VALUE"""),"матеріали для ремонту")</f>
        <v>матеріали для ремонту</v>
      </c>
      <c r="C2213" s="16" t="str">
        <f>IFERROR(__xludf.DUMMYFUNCTION("""COMPUTED_VALUE"""),"побутове водопостачання")</f>
        <v>побутове водопостачання</v>
      </c>
      <c r="D2213" s="16" t="str">
        <f>IFERROR(__xludf.DUMMYFUNCTION("""COMPUTED_VALUE"""),"помпи для води")</f>
        <v>помпи для води</v>
      </c>
      <c r="E2213" s="16" t="str">
        <f>IFERROR(__xludf.DUMMYFUNCTION("""COMPUTED_VALUE"""),"помпи для води")</f>
        <v>помпи для води</v>
      </c>
      <c r="F2213" s="17">
        <f>IFERROR(__xludf.DUMMYFUNCTION("""COMPUTED_VALUE"""),3.0)</f>
        <v>3</v>
      </c>
      <c r="G2213" s="17" t="str">
        <f>IFERROR(__xludf.DUMMYFUNCTION("""COMPUTED_VALUE"""),"810103")</f>
        <v>810103</v>
      </c>
      <c r="H2213" s="17" t="str">
        <f>IFERROR(__xludf.DUMMYFUNCTION("""COMPUTED_VALUE"""),"помпи для води")</f>
        <v>помпи для води</v>
      </c>
      <c r="I2213" s="19">
        <f>IFERROR(__xludf.DUMMYFUNCTION("""COMPUTED_VALUE"""),0.0686)</f>
        <v>0.0686</v>
      </c>
      <c r="J2213" s="19">
        <f>IFERROR(__xludf.DUMMYFUNCTION("""COMPUTED_VALUE"""),0.1371)</f>
        <v>0.1371</v>
      </c>
      <c r="K2213" s="19">
        <f>IFERROR(__xludf.DUMMYFUNCTION("""COMPUTED_VALUE"""),0.1714)</f>
        <v>0.1714</v>
      </c>
      <c r="L2213" s="19">
        <f>IFERROR(__xludf.DUMMYFUNCTION("""COMPUTED_VALUE"""),0.2057)</f>
        <v>0.2057</v>
      </c>
      <c r="M2213" s="18">
        <f>IFERROR(__xludf.DUMMYFUNCTION("""COMPUTED_VALUE"""),1.05)</f>
        <v>1.05</v>
      </c>
    </row>
    <row r="2214">
      <c r="A2214" s="13" t="str">
        <f>IFERROR(__xludf.DUMMYFUNCTION("""COMPUTED_VALUE"""),"товари")</f>
        <v>товари</v>
      </c>
      <c r="B2214" s="16" t="str">
        <f>IFERROR(__xludf.DUMMYFUNCTION("""COMPUTED_VALUE"""),"матеріали для ремонту")</f>
        <v>матеріали для ремонту</v>
      </c>
      <c r="C2214" s="16" t="str">
        <f>IFERROR(__xludf.DUMMYFUNCTION("""COMPUTED_VALUE"""),"підлогові покриття")</f>
        <v>підлогові покриття</v>
      </c>
      <c r="D2214" s="16" t="str">
        <f>IFERROR(__xludf.DUMMYFUNCTION("""COMPUTED_VALUE"""),"пороги для підлоги")</f>
        <v>пороги для підлоги</v>
      </c>
      <c r="E2214" s="16" t="str">
        <f>IFERROR(__xludf.DUMMYFUNCTION("""COMPUTED_VALUE"""),"пороги для підлоги")</f>
        <v>пороги для підлоги</v>
      </c>
      <c r="F2214" s="17">
        <f>IFERROR(__xludf.DUMMYFUNCTION("""COMPUTED_VALUE"""),3.0)</f>
        <v>3</v>
      </c>
      <c r="G2214" s="17" t="str">
        <f>IFERROR(__xludf.DUMMYFUNCTION("""COMPUTED_VALUE"""),"130730")</f>
        <v>130730</v>
      </c>
      <c r="H2214" s="17" t="str">
        <f>IFERROR(__xludf.DUMMYFUNCTION("""COMPUTED_VALUE"""),"пороги для підлоги")</f>
        <v>пороги для підлоги</v>
      </c>
      <c r="I2214" s="19">
        <f>IFERROR(__xludf.DUMMYFUNCTION("""COMPUTED_VALUE"""),0.0333)</f>
        <v>0.0333</v>
      </c>
      <c r="J2214" s="19">
        <f>IFERROR(__xludf.DUMMYFUNCTION("""COMPUTED_VALUE"""),0.0665)</f>
        <v>0.0665</v>
      </c>
      <c r="K2214" s="19">
        <f>IFERROR(__xludf.DUMMYFUNCTION("""COMPUTED_VALUE"""),0.0831)</f>
        <v>0.0831</v>
      </c>
      <c r="L2214" s="19">
        <f>IFERROR(__xludf.DUMMYFUNCTION("""COMPUTED_VALUE"""),0.0998)</f>
        <v>0.0998</v>
      </c>
      <c r="M2214" s="18">
        <f>IFERROR(__xludf.DUMMYFUNCTION("""COMPUTED_VALUE"""),3.43)</f>
        <v>3.43</v>
      </c>
    </row>
    <row r="2215">
      <c r="A2215" s="13" t="str">
        <f>IFERROR(__xludf.DUMMYFUNCTION("""COMPUTED_VALUE"""),"товари")</f>
        <v>товари</v>
      </c>
      <c r="B2215" s="16" t="str">
        <f>IFERROR(__xludf.DUMMYFUNCTION("""COMPUTED_VALUE"""),"матеріали для ремонту")</f>
        <v>матеріали для ремонту</v>
      </c>
      <c r="C2215" s="16" t="str">
        <f>IFERROR(__xludf.DUMMYFUNCTION("""COMPUTED_VALUE"""),"побутове водопостачання")</f>
        <v>побутове водопостачання</v>
      </c>
      <c r="D2215" s="16" t="str">
        <f>IFERROR(__xludf.DUMMYFUNCTION("""COMPUTED_VALUE"""),"побутове очищення води")</f>
        <v>побутове очищення води</v>
      </c>
      <c r="E2215" s="16" t="str">
        <f>IFERROR(__xludf.DUMMYFUNCTION("""COMPUTED_VALUE"""),"пристрої магнітної обробки води")</f>
        <v>пристрої магнітної обробки води</v>
      </c>
      <c r="F2215" s="17">
        <f>IFERROR(__xludf.DUMMYFUNCTION("""COMPUTED_VALUE"""),4.0)</f>
        <v>4</v>
      </c>
      <c r="G2215" s="17" t="str">
        <f>IFERROR(__xludf.DUMMYFUNCTION("""COMPUTED_VALUE"""),"13100639")</f>
        <v>13100639</v>
      </c>
      <c r="H2215" s="17" t="str">
        <f>IFERROR(__xludf.DUMMYFUNCTION("""COMPUTED_VALUE"""),"пристрої магнітної обробки води")</f>
        <v>пристрої магнітної обробки води</v>
      </c>
      <c r="I2215" s="19">
        <f>IFERROR(__xludf.DUMMYFUNCTION("""COMPUTED_VALUE"""),0.0752)</f>
        <v>0.0752</v>
      </c>
      <c r="J2215" s="19">
        <f>IFERROR(__xludf.DUMMYFUNCTION("""COMPUTED_VALUE"""),0.1503)</f>
        <v>0.1503</v>
      </c>
      <c r="K2215" s="19">
        <f>IFERROR(__xludf.DUMMYFUNCTION("""COMPUTED_VALUE"""),0.1879)</f>
        <v>0.1879</v>
      </c>
      <c r="L2215" s="19">
        <f>IFERROR(__xludf.DUMMYFUNCTION("""COMPUTED_VALUE"""),0.2255)</f>
        <v>0.2255</v>
      </c>
      <c r="M2215" s="18">
        <f>IFERROR(__xludf.DUMMYFUNCTION("""COMPUTED_VALUE"""),1.71)</f>
        <v>1.71</v>
      </c>
    </row>
    <row r="2216">
      <c r="A2216" s="13" t="str">
        <f>IFERROR(__xludf.DUMMYFUNCTION("""COMPUTED_VALUE"""),"товари")</f>
        <v>товари</v>
      </c>
      <c r="B2216" s="16" t="str">
        <f>IFERROR(__xludf.DUMMYFUNCTION("""COMPUTED_VALUE"""),"матеріали для ремонту")</f>
        <v>матеріали для ремонту</v>
      </c>
      <c r="C2216" s="16" t="str">
        <f>IFERROR(__xludf.DUMMYFUNCTION("""COMPUTED_VALUE"""),"побутова вентиляція")</f>
        <v>побутова вентиляція</v>
      </c>
      <c r="D2216" s="16" t="str">
        <f>IFERROR(__xludf.DUMMYFUNCTION("""COMPUTED_VALUE"""),"провітрювачі")</f>
        <v>провітрювачі</v>
      </c>
      <c r="E2216" s="16" t="str">
        <f>IFERROR(__xludf.DUMMYFUNCTION("""COMPUTED_VALUE"""),"провітрювачі")</f>
        <v>провітрювачі</v>
      </c>
      <c r="F2216" s="17">
        <f>IFERROR(__xludf.DUMMYFUNCTION("""COMPUTED_VALUE"""),3.0)</f>
        <v>3</v>
      </c>
      <c r="G2216" s="17" t="str">
        <f>IFERROR(__xludf.DUMMYFUNCTION("""COMPUTED_VALUE"""),"600")</f>
        <v>600</v>
      </c>
      <c r="H2216" s="17" t="str">
        <f>IFERROR(__xludf.DUMMYFUNCTION("""COMPUTED_VALUE"""),"провітрювачі")</f>
        <v>провітрювачі</v>
      </c>
      <c r="I2216" s="19">
        <f>IFERROR(__xludf.DUMMYFUNCTION("""COMPUTED_VALUE"""),0.069)</f>
        <v>0.069</v>
      </c>
      <c r="J2216" s="19">
        <f>IFERROR(__xludf.DUMMYFUNCTION("""COMPUTED_VALUE"""),0.138)</f>
        <v>0.138</v>
      </c>
      <c r="K2216" s="19">
        <f>IFERROR(__xludf.DUMMYFUNCTION("""COMPUTED_VALUE"""),0.1725)</f>
        <v>0.1725</v>
      </c>
      <c r="L2216" s="19">
        <f>IFERROR(__xludf.DUMMYFUNCTION("""COMPUTED_VALUE"""),0.207)</f>
        <v>0.207</v>
      </c>
      <c r="M2216" s="18">
        <f>IFERROR(__xludf.DUMMYFUNCTION("""COMPUTED_VALUE"""),1.53)</f>
        <v>1.53</v>
      </c>
    </row>
    <row r="2217">
      <c r="A2217" s="13" t="str">
        <f>IFERROR(__xludf.DUMMYFUNCTION("""COMPUTED_VALUE"""),"товари")</f>
        <v>товари</v>
      </c>
      <c r="B2217" s="16" t="str">
        <f>IFERROR(__xludf.DUMMYFUNCTION("""COMPUTED_VALUE"""),"матеріали для ремонту")</f>
        <v>матеріали для ремонту</v>
      </c>
      <c r="C2217" s="16" t="str">
        <f>IFERROR(__xludf.DUMMYFUNCTION("""COMPUTED_VALUE"""),"побутове водопостачання")</f>
        <v>побутове водопостачання</v>
      </c>
      <c r="D2217" s="16" t="str">
        <f>IFERROR(__xludf.DUMMYFUNCTION("""COMPUTED_VALUE"""),"водонагрівачі та комплектуючі")</f>
        <v>водонагрівачі та комплектуючі</v>
      </c>
      <c r="E2217" s="16" t="str">
        <f>IFERROR(__xludf.DUMMYFUNCTION("""COMPUTED_VALUE"""),"проточні водонагрівачі")</f>
        <v>проточні водонагрівачі</v>
      </c>
      <c r="F2217" s="17">
        <f>IFERROR(__xludf.DUMMYFUNCTION("""COMPUTED_VALUE"""),4.0)</f>
        <v>4</v>
      </c>
      <c r="G2217" s="17" t="str">
        <f>IFERROR(__xludf.DUMMYFUNCTION("""COMPUTED_VALUE"""),"13241106")</f>
        <v>13241106</v>
      </c>
      <c r="H2217" s="17" t="str">
        <f>IFERROR(__xludf.DUMMYFUNCTION("""COMPUTED_VALUE"""),"проточні водонагрівачі")</f>
        <v>проточні водонагрівачі</v>
      </c>
      <c r="I2217" s="19">
        <f>IFERROR(__xludf.DUMMYFUNCTION("""COMPUTED_VALUE"""),0.047)</f>
        <v>0.047</v>
      </c>
      <c r="J2217" s="19">
        <f>IFERROR(__xludf.DUMMYFUNCTION("""COMPUTED_VALUE"""),0.094)</f>
        <v>0.094</v>
      </c>
      <c r="K2217" s="19">
        <f>IFERROR(__xludf.DUMMYFUNCTION("""COMPUTED_VALUE"""),0.1175)</f>
        <v>0.1175</v>
      </c>
      <c r="L2217" s="19">
        <f>IFERROR(__xludf.DUMMYFUNCTION("""COMPUTED_VALUE"""),0.141)</f>
        <v>0.141</v>
      </c>
      <c r="M2217" s="18">
        <f>IFERROR(__xludf.DUMMYFUNCTION("""COMPUTED_VALUE"""),5.4)</f>
        <v>5.4</v>
      </c>
    </row>
    <row r="2218">
      <c r="A2218" s="13" t="str">
        <f>IFERROR(__xludf.DUMMYFUNCTION("""COMPUTED_VALUE"""),"товари")</f>
        <v>товари</v>
      </c>
      <c r="B2218" s="16" t="str">
        <f>IFERROR(__xludf.DUMMYFUNCTION("""COMPUTED_VALUE"""),"матеріали для ремонту")</f>
        <v>матеріали для ремонту</v>
      </c>
      <c r="C2218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218" s="16" t="str">
        <f>IFERROR(__xludf.DUMMYFUNCTION("""COMPUTED_VALUE"""),"профіль для виробництва металопластикових конструкцій")</f>
        <v>профіль для виробництва металопластикових конструкцій</v>
      </c>
      <c r="E2218" s="16" t="str">
        <f>IFERROR(__xludf.DUMMYFUNCTION("""COMPUTED_VALUE"""),"профіль для виробництва металопластикових конструкцій")</f>
        <v>профіль для виробництва металопластикових конструкцій</v>
      </c>
      <c r="F2218" s="17">
        <f>IFERROR(__xludf.DUMMYFUNCTION("""COMPUTED_VALUE"""),3.0)</f>
        <v>3</v>
      </c>
      <c r="G2218" s="17" t="str">
        <f>IFERROR(__xludf.DUMMYFUNCTION("""COMPUTED_VALUE"""),"130517")</f>
        <v>130517</v>
      </c>
      <c r="H2218" s="17" t="str">
        <f>IFERROR(__xludf.DUMMYFUNCTION("""COMPUTED_VALUE"""),"профіль для виробництва металопластикових конструкцій")</f>
        <v>профіль для виробництва металопластикових конструкцій</v>
      </c>
      <c r="I2218" s="19">
        <f>IFERROR(__xludf.DUMMYFUNCTION("""COMPUTED_VALUE"""),0.0383)</f>
        <v>0.0383</v>
      </c>
      <c r="J2218" s="19">
        <f>IFERROR(__xludf.DUMMYFUNCTION("""COMPUTED_VALUE"""),0.0766)</f>
        <v>0.0766</v>
      </c>
      <c r="K2218" s="19">
        <f>IFERROR(__xludf.DUMMYFUNCTION("""COMPUTED_VALUE"""),0.0958)</f>
        <v>0.0958</v>
      </c>
      <c r="L2218" s="19">
        <f>IFERROR(__xludf.DUMMYFUNCTION("""COMPUTED_VALUE"""),0.1149)</f>
        <v>0.1149</v>
      </c>
      <c r="M2218" s="18">
        <f>IFERROR(__xludf.DUMMYFUNCTION("""COMPUTED_VALUE"""),1.8)</f>
        <v>1.8</v>
      </c>
    </row>
    <row r="2219">
      <c r="A2219" s="13" t="str">
        <f>IFERROR(__xludf.DUMMYFUNCTION("""COMPUTED_VALUE"""),"товари")</f>
        <v>товари</v>
      </c>
      <c r="B2219" s="16" t="str">
        <f>IFERROR(__xludf.DUMMYFUNCTION("""COMPUTED_VALUE"""),"матеріали для ремонту")</f>
        <v>матеріали для ремонту</v>
      </c>
      <c r="C2219" s="16" t="str">
        <f>IFERROR(__xludf.DUMMYFUNCTION("""COMPUTED_VALUE"""),"радіатори та обігрівачі")</f>
        <v>радіатори та обігрівачі</v>
      </c>
      <c r="D2219" s="16" t="str">
        <f>IFERROR(__xludf.DUMMYFUNCTION("""COMPUTED_VALUE"""),"радіатори опалення")</f>
        <v>радіатори опалення</v>
      </c>
      <c r="E2219" s="16" t="str">
        <f>IFERROR(__xludf.DUMMYFUNCTION("""COMPUTED_VALUE"""),"радіатори опалення")</f>
        <v>радіатори опалення</v>
      </c>
      <c r="F2219" s="17">
        <f>IFERROR(__xludf.DUMMYFUNCTION("""COMPUTED_VALUE"""),3.0)</f>
        <v>3</v>
      </c>
      <c r="G2219" s="17" t="str">
        <f>IFERROR(__xludf.DUMMYFUNCTION("""COMPUTED_VALUE"""),"13240104")</f>
        <v>13240104</v>
      </c>
      <c r="H2219" s="17" t="str">
        <f>IFERROR(__xludf.DUMMYFUNCTION("""COMPUTED_VALUE"""),"радіатори опалення")</f>
        <v>радіатори опалення</v>
      </c>
      <c r="I2219" s="19">
        <f>IFERROR(__xludf.DUMMYFUNCTION("""COMPUTED_VALUE"""),0.0712)</f>
        <v>0.0712</v>
      </c>
      <c r="J2219" s="19">
        <f>IFERROR(__xludf.DUMMYFUNCTION("""COMPUTED_VALUE"""),0.1423)</f>
        <v>0.1423</v>
      </c>
      <c r="K2219" s="19">
        <f>IFERROR(__xludf.DUMMYFUNCTION("""COMPUTED_VALUE"""),0.1779)</f>
        <v>0.1779</v>
      </c>
      <c r="L2219" s="19">
        <f>IFERROR(__xludf.DUMMYFUNCTION("""COMPUTED_VALUE"""),0.2135)</f>
        <v>0.2135</v>
      </c>
      <c r="M2219" s="18">
        <f>IFERROR(__xludf.DUMMYFUNCTION("""COMPUTED_VALUE"""),1.53)</f>
        <v>1.53</v>
      </c>
    </row>
    <row r="2220">
      <c r="A2220" s="13" t="str">
        <f>IFERROR(__xludf.DUMMYFUNCTION("""COMPUTED_VALUE"""),"товари")</f>
        <v>товари</v>
      </c>
      <c r="B2220" s="16" t="str">
        <f>IFERROR(__xludf.DUMMYFUNCTION("""COMPUTED_VALUE"""),"матеріали для ремонту")</f>
        <v>матеріали для ремонту</v>
      </c>
      <c r="C2220" s="16" t="str">
        <f>IFERROR(__xludf.DUMMYFUNCTION("""COMPUTED_VALUE"""),"радіатори та обігрівачі")</f>
        <v>радіатори та обігрівачі</v>
      </c>
      <c r="D2220" s="16" t="str">
        <f>IFERROR(__xludf.DUMMYFUNCTION("""COMPUTED_VALUE"""),"радіатори та обігрівачі, загальне")</f>
        <v>радіатори та обігрівачі, загальне</v>
      </c>
      <c r="E2220" s="16" t="str">
        <f>IFERROR(__xludf.DUMMYFUNCTION("""COMPUTED_VALUE"""),"радіатори та обігрівачі, загальне")</f>
        <v>радіатори та обігрівачі, загальне</v>
      </c>
      <c r="F2220" s="17">
        <f>IFERROR(__xludf.DUMMYFUNCTION("""COMPUTED_VALUE"""),3.0)</f>
        <v>3</v>
      </c>
      <c r="G2220" s="17" t="str">
        <f>IFERROR(__xludf.DUMMYFUNCTION("""COMPUTED_VALUE"""),"13241301")</f>
        <v>13241301</v>
      </c>
      <c r="H2220" s="17" t="str">
        <f>IFERROR(__xludf.DUMMYFUNCTION("""COMPUTED_VALUE"""),"радіатори та обігрівачі, загальне")</f>
        <v>радіатори та обігрівачі, загальне</v>
      </c>
      <c r="I2220" s="19">
        <f>IFERROR(__xludf.DUMMYFUNCTION("""COMPUTED_VALUE"""),0.125)</f>
        <v>0.125</v>
      </c>
      <c r="J2220" s="19">
        <f>IFERROR(__xludf.DUMMYFUNCTION("""COMPUTED_VALUE"""),0.25)</f>
        <v>0.25</v>
      </c>
      <c r="K2220" s="19">
        <f>IFERROR(__xludf.DUMMYFUNCTION("""COMPUTED_VALUE"""),0.3125)</f>
        <v>0.3125</v>
      </c>
      <c r="L2220" s="19">
        <f>IFERROR(__xludf.DUMMYFUNCTION("""COMPUTED_VALUE"""),0.375)</f>
        <v>0.375</v>
      </c>
      <c r="M2220" s="18">
        <f>IFERROR(__xludf.DUMMYFUNCTION("""COMPUTED_VALUE"""),4.33)</f>
        <v>4.33</v>
      </c>
    </row>
    <row r="2221">
      <c r="A2221" s="13" t="str">
        <f>IFERROR(__xludf.DUMMYFUNCTION("""COMPUTED_VALUE"""),"товари")</f>
        <v>товари</v>
      </c>
      <c r="B2221" s="16" t="str">
        <f>IFERROR(__xludf.DUMMYFUNCTION("""COMPUTED_VALUE"""),"матеріали для ремонту")</f>
        <v>матеріали для ремонту</v>
      </c>
      <c r="C2221" s="16" t="str">
        <f>IFERROR(__xludf.DUMMYFUNCTION("""COMPUTED_VALUE"""),"скріплювальні вироби")</f>
        <v>скріплювальні вироби</v>
      </c>
      <c r="D2221" s="16" t="str">
        <f>IFERROR(__xludf.DUMMYFUNCTION("""COMPUTED_VALUE"""),"такелаж")</f>
        <v>такелаж</v>
      </c>
      <c r="E2221" s="16" t="str">
        <f>IFERROR(__xludf.DUMMYFUNCTION("""COMPUTED_VALUE"""),"рим-болти, рим-гайки")</f>
        <v>рим-болти, рим-гайки</v>
      </c>
      <c r="F2221" s="17">
        <f>IFERROR(__xludf.DUMMYFUNCTION("""COMPUTED_VALUE"""),4.0)</f>
        <v>4</v>
      </c>
      <c r="G2221" s="17" t="str">
        <f>IFERROR(__xludf.DUMMYFUNCTION("""COMPUTED_VALUE"""),"420523")</f>
        <v>420523</v>
      </c>
      <c r="H2221" s="17" t="str">
        <f>IFERROR(__xludf.DUMMYFUNCTION("""COMPUTED_VALUE"""),"рим-болти, рим-гайки")</f>
        <v>рим-болти, рим-гайки</v>
      </c>
      <c r="I2221" s="19">
        <f>IFERROR(__xludf.DUMMYFUNCTION("""COMPUTED_VALUE"""),0.057)</f>
        <v>0.057</v>
      </c>
      <c r="J2221" s="19">
        <f>IFERROR(__xludf.DUMMYFUNCTION("""COMPUTED_VALUE"""),0.114)</f>
        <v>0.114</v>
      </c>
      <c r="K2221" s="19">
        <f>IFERROR(__xludf.DUMMYFUNCTION("""COMPUTED_VALUE"""),0.1425)</f>
        <v>0.1425</v>
      </c>
      <c r="L2221" s="19">
        <f>IFERROR(__xludf.DUMMYFUNCTION("""COMPUTED_VALUE"""),0.171)</f>
        <v>0.171</v>
      </c>
      <c r="M2221" s="18">
        <f>IFERROR(__xludf.DUMMYFUNCTION("""COMPUTED_VALUE"""),3.15)</f>
        <v>3.15</v>
      </c>
    </row>
    <row r="2222">
      <c r="A2222" s="13" t="str">
        <f>IFERROR(__xludf.DUMMYFUNCTION("""COMPUTED_VALUE"""),"товари")</f>
        <v>товари</v>
      </c>
      <c r="B2222" s="16" t="str">
        <f>IFERROR(__xludf.DUMMYFUNCTION("""COMPUTED_VALUE"""),"матеріали для ремонту")</f>
        <v>матеріали для ремонту</v>
      </c>
      <c r="C2222" s="16" t="str">
        <f>IFERROR(__xludf.DUMMYFUNCTION("""COMPUTED_VALUE"""),"шпалери")</f>
        <v>шпалери</v>
      </c>
      <c r="D2222" s="16" t="str">
        <f>IFERROR(__xludf.DUMMYFUNCTION("""COMPUTED_VALUE"""),"рідкі шпалери та домішки до них")</f>
        <v>рідкі шпалери та домішки до них</v>
      </c>
      <c r="E2222" s="16" t="str">
        <f>IFERROR(__xludf.DUMMYFUNCTION("""COMPUTED_VALUE"""),"рідкі шпалери та домішки до них")</f>
        <v>рідкі шпалери та домішки до них</v>
      </c>
      <c r="F2222" s="17">
        <f>IFERROR(__xludf.DUMMYFUNCTION("""COMPUTED_VALUE"""),3.0)</f>
        <v>3</v>
      </c>
      <c r="G2222" s="17" t="str">
        <f>IFERROR(__xludf.DUMMYFUNCTION("""COMPUTED_VALUE"""),"130302")</f>
        <v>130302</v>
      </c>
      <c r="H2222" s="17" t="str">
        <f>IFERROR(__xludf.DUMMYFUNCTION("""COMPUTED_VALUE"""),"рідкі шпалери та домішки до них")</f>
        <v>рідкі шпалери та домішки до них</v>
      </c>
      <c r="I2222" s="19">
        <f>IFERROR(__xludf.DUMMYFUNCTION("""COMPUTED_VALUE"""),0.0563)</f>
        <v>0.0563</v>
      </c>
      <c r="J2222" s="19">
        <f>IFERROR(__xludf.DUMMYFUNCTION("""COMPUTED_VALUE"""),0.1126)</f>
        <v>0.1126</v>
      </c>
      <c r="K2222" s="19">
        <f>IFERROR(__xludf.DUMMYFUNCTION("""COMPUTED_VALUE"""),0.1408)</f>
        <v>0.1408</v>
      </c>
      <c r="L2222" s="19">
        <f>IFERROR(__xludf.DUMMYFUNCTION("""COMPUTED_VALUE"""),0.1689)</f>
        <v>0.1689</v>
      </c>
      <c r="M2222" s="18">
        <f>IFERROR(__xludf.DUMMYFUNCTION("""COMPUTED_VALUE"""),1.71)</f>
        <v>1.71</v>
      </c>
    </row>
    <row r="2223">
      <c r="A2223" s="13" t="str">
        <f>IFERROR(__xludf.DUMMYFUNCTION("""COMPUTED_VALUE"""),"товари")</f>
        <v>товари</v>
      </c>
      <c r="B2223" s="16" t="str">
        <f>IFERROR(__xludf.DUMMYFUNCTION("""COMPUTED_VALUE"""),"матеріали для ремонту")</f>
        <v>матеріали для ремонту</v>
      </c>
      <c r="C2223" s="16" t="str">
        <f>IFERROR(__xludf.DUMMYFUNCTION("""COMPUTED_VALUE"""),"скріплювальні вироби")</f>
        <v>скріплювальні вироби</v>
      </c>
      <c r="D2223" s="16" t="str">
        <f>IFERROR(__xludf.DUMMYFUNCTION("""COMPUTED_VALUE"""),"метричне кріплення")</f>
        <v>метричне кріплення</v>
      </c>
      <c r="E2223" s="16" t="str">
        <f>IFERROR(__xludf.DUMMYFUNCTION("""COMPUTED_VALUE"""),"різьбові шпильки")</f>
        <v>різьбові шпильки</v>
      </c>
      <c r="F2223" s="17">
        <f>IFERROR(__xludf.DUMMYFUNCTION("""COMPUTED_VALUE"""),4.0)</f>
        <v>4</v>
      </c>
      <c r="G2223" s="17">
        <f>IFERROR(__xludf.DUMMYFUNCTION("""COMPUTED_VALUE"""),420513.0)</f>
        <v>420513</v>
      </c>
      <c r="H2223" s="17" t="str">
        <f>IFERROR(__xludf.DUMMYFUNCTION("""COMPUTED_VALUE"""),"різьбові шпильки")</f>
        <v>різьбові шпильки</v>
      </c>
      <c r="I2223" s="19">
        <f>IFERROR(__xludf.DUMMYFUNCTION("""COMPUTED_VALUE"""),0.0775)</f>
        <v>0.0775</v>
      </c>
      <c r="J2223" s="19">
        <f>IFERROR(__xludf.DUMMYFUNCTION("""COMPUTED_VALUE"""),0.155)</f>
        <v>0.155</v>
      </c>
      <c r="K2223" s="19">
        <f>IFERROR(__xludf.DUMMYFUNCTION("""COMPUTED_VALUE"""),0.1938)</f>
        <v>0.1938</v>
      </c>
      <c r="L2223" s="19">
        <f>IFERROR(__xludf.DUMMYFUNCTION("""COMPUTED_VALUE"""),0.2325)</f>
        <v>0.2325</v>
      </c>
      <c r="M2223" s="18">
        <f>IFERROR(__xludf.DUMMYFUNCTION("""COMPUTED_VALUE"""),1.53)</f>
        <v>1.53</v>
      </c>
    </row>
    <row r="2224">
      <c r="A2224" s="13" t="str">
        <f>IFERROR(__xludf.DUMMYFUNCTION("""COMPUTED_VALUE"""),"товари")</f>
        <v>товари</v>
      </c>
      <c r="B2224" s="16" t="str">
        <f>IFERROR(__xludf.DUMMYFUNCTION("""COMPUTED_VALUE"""),"матеріали для ремонту")</f>
        <v>матеріали для ремонту</v>
      </c>
      <c r="C2224" s="16" t="str">
        <f>IFERROR(__xludf.DUMMYFUNCTION("""COMPUTED_VALUE"""),"електрика")</f>
        <v>електрика</v>
      </c>
      <c r="D2224" s="16" t="str">
        <f>IFERROR(__xludf.DUMMYFUNCTION("""COMPUTED_VALUE"""),"розетки електричні")</f>
        <v>розетки електричні</v>
      </c>
      <c r="E2224" s="16" t="str">
        <f>IFERROR(__xludf.DUMMYFUNCTION("""COMPUTED_VALUE"""),"розетки електричні")</f>
        <v>розетки електричні</v>
      </c>
      <c r="F2224" s="17">
        <f>IFERROR(__xludf.DUMMYFUNCTION("""COMPUTED_VALUE"""),3.0)</f>
        <v>3</v>
      </c>
      <c r="G2224" s="17" t="str">
        <f>IFERROR(__xludf.DUMMYFUNCTION("""COMPUTED_VALUE"""),"53004")</f>
        <v>53004</v>
      </c>
      <c r="H2224" s="17" t="str">
        <f>IFERROR(__xludf.DUMMYFUNCTION("""COMPUTED_VALUE"""),"розетки електричні")</f>
        <v>розетки електричні</v>
      </c>
      <c r="I2224" s="19">
        <f>IFERROR(__xludf.DUMMYFUNCTION("""COMPUTED_VALUE"""),0.0666)</f>
        <v>0.0666</v>
      </c>
      <c r="J2224" s="19">
        <f>IFERROR(__xludf.DUMMYFUNCTION("""COMPUTED_VALUE"""),0.1331)</f>
        <v>0.1331</v>
      </c>
      <c r="K2224" s="19">
        <f>IFERROR(__xludf.DUMMYFUNCTION("""COMPUTED_VALUE"""),0.1664)</f>
        <v>0.1664</v>
      </c>
      <c r="L2224" s="19">
        <f>IFERROR(__xludf.DUMMYFUNCTION("""COMPUTED_VALUE"""),0.1997)</f>
        <v>0.1997</v>
      </c>
      <c r="M2224" s="18">
        <f>IFERROR(__xludf.DUMMYFUNCTION("""COMPUTED_VALUE"""),2.7)</f>
        <v>2.7</v>
      </c>
    </row>
    <row r="2225">
      <c r="A2225" s="13" t="str">
        <f>IFERROR(__xludf.DUMMYFUNCTION("""COMPUTED_VALUE"""),"товари")</f>
        <v>товари</v>
      </c>
      <c r="B2225" s="16" t="str">
        <f>IFERROR(__xludf.DUMMYFUNCTION("""COMPUTED_VALUE"""),"матеріали для ремонту")</f>
        <v>матеріали для ремонту</v>
      </c>
      <c r="C2225" s="16" t="str">
        <f>IFERROR(__xludf.DUMMYFUNCTION("""COMPUTED_VALUE"""),"опалення та тепла підлога")</f>
        <v>опалення та тепла підлога</v>
      </c>
      <c r="D2225" s="16" t="str">
        <f>IFERROR(__xludf.DUMMYFUNCTION("""COMPUTED_VALUE"""),"аксесуари для системи опалення")</f>
        <v>аксесуари для системи опалення</v>
      </c>
      <c r="E2225" s="16" t="str">
        <f>IFERROR(__xludf.DUMMYFUNCTION("""COMPUTED_VALUE"""),"розширювальні баки")</f>
        <v>розширювальні баки</v>
      </c>
      <c r="F2225" s="17">
        <f>IFERROR(__xludf.DUMMYFUNCTION("""COMPUTED_VALUE"""),4.0)</f>
        <v>4</v>
      </c>
      <c r="G2225" s="17" t="str">
        <f>IFERROR(__xludf.DUMMYFUNCTION("""COMPUTED_VALUE"""),"13240113")</f>
        <v>13240113</v>
      </c>
      <c r="H2225" s="17" t="str">
        <f>IFERROR(__xludf.DUMMYFUNCTION("""COMPUTED_VALUE"""),"розширювальні баки")</f>
        <v>розширювальні баки</v>
      </c>
      <c r="I2225" s="19">
        <f>IFERROR(__xludf.DUMMYFUNCTION("""COMPUTED_VALUE"""),0.0665)</f>
        <v>0.0665</v>
      </c>
      <c r="J2225" s="19">
        <f>IFERROR(__xludf.DUMMYFUNCTION("""COMPUTED_VALUE"""),0.133)</f>
        <v>0.133</v>
      </c>
      <c r="K2225" s="19">
        <f>IFERROR(__xludf.DUMMYFUNCTION("""COMPUTED_VALUE"""),0.1663)</f>
        <v>0.1663</v>
      </c>
      <c r="L2225" s="19">
        <f>IFERROR(__xludf.DUMMYFUNCTION("""COMPUTED_VALUE"""),0.1995)</f>
        <v>0.1995</v>
      </c>
      <c r="M2225" s="18">
        <f>IFERROR(__xludf.DUMMYFUNCTION("""COMPUTED_VALUE"""),1.53)</f>
        <v>1.53</v>
      </c>
    </row>
    <row r="2226">
      <c r="A2226" s="13" t="str">
        <f>IFERROR(__xludf.DUMMYFUNCTION("""COMPUTED_VALUE"""),"товари")</f>
        <v>товари</v>
      </c>
      <c r="B2226" s="16" t="str">
        <f>IFERROR(__xludf.DUMMYFUNCTION("""COMPUTED_VALUE"""),"матеріали для ремонту")</f>
        <v>матеріали для ремонту</v>
      </c>
      <c r="C2226" s="16" t="str">
        <f>IFERROR(__xludf.DUMMYFUNCTION("""COMPUTED_VALUE"""),"шпалери")</f>
        <v>шпалери</v>
      </c>
      <c r="D2226" s="16" t="str">
        <f>IFERROR(__xludf.DUMMYFUNCTION("""COMPUTED_VALUE"""),"рулонні шпалери")</f>
        <v>рулонні шпалери</v>
      </c>
      <c r="E2226" s="16" t="str">
        <f>IFERROR(__xludf.DUMMYFUNCTION("""COMPUTED_VALUE"""),"рулонні шпалери")</f>
        <v>рулонні шпалери</v>
      </c>
      <c r="F2226" s="17">
        <f>IFERROR(__xludf.DUMMYFUNCTION("""COMPUTED_VALUE"""),3.0)</f>
        <v>3</v>
      </c>
      <c r="G2226" s="17" t="str">
        <f>IFERROR(__xludf.DUMMYFUNCTION("""COMPUTED_VALUE"""),"130303")</f>
        <v>130303</v>
      </c>
      <c r="H2226" s="17" t="str">
        <f>IFERROR(__xludf.DUMMYFUNCTION("""COMPUTED_VALUE"""),"рулонні шпалери")</f>
        <v>рулонні шпалери</v>
      </c>
      <c r="I2226" s="19">
        <f>IFERROR(__xludf.DUMMYFUNCTION("""COMPUTED_VALUE"""),0.0576)</f>
        <v>0.0576</v>
      </c>
      <c r="J2226" s="19">
        <f>IFERROR(__xludf.DUMMYFUNCTION("""COMPUTED_VALUE"""),0.1152)</f>
        <v>0.1152</v>
      </c>
      <c r="K2226" s="19">
        <f>IFERROR(__xludf.DUMMYFUNCTION("""COMPUTED_VALUE"""),0.144)</f>
        <v>0.144</v>
      </c>
      <c r="L2226" s="19">
        <f>IFERROR(__xludf.DUMMYFUNCTION("""COMPUTED_VALUE"""),0.1728)</f>
        <v>0.1728</v>
      </c>
      <c r="M2226" s="18">
        <f>IFERROR(__xludf.DUMMYFUNCTION("""COMPUTED_VALUE"""),1.05)</f>
        <v>1.05</v>
      </c>
    </row>
    <row r="2227">
      <c r="A2227" s="13" t="str">
        <f>IFERROR(__xludf.DUMMYFUNCTION("""COMPUTED_VALUE"""),"товари")</f>
        <v>товари</v>
      </c>
      <c r="B2227" s="16" t="str">
        <f>IFERROR(__xludf.DUMMYFUNCTION("""COMPUTED_VALUE"""),"матеріали для ремонту")</f>
        <v>матеріали для ремонту</v>
      </c>
      <c r="C2227" s="16" t="str">
        <f>IFERROR(__xludf.DUMMYFUNCTION("""COMPUTED_VALUE"""),"сантехніка")</f>
        <v>сантехніка</v>
      </c>
      <c r="D2227" s="16" t="str">
        <f>IFERROR(__xludf.DUMMYFUNCTION("""COMPUTED_VALUE"""),"сантехніка, загальне")</f>
        <v>сантехніка, загальне</v>
      </c>
      <c r="E2227" s="16" t="str">
        <f>IFERROR(__xludf.DUMMYFUNCTION("""COMPUTED_VALUE"""),"сантехніка, загальне")</f>
        <v>сантехніка, загальне</v>
      </c>
      <c r="F2227" s="17">
        <f>IFERROR(__xludf.DUMMYFUNCTION("""COMPUTED_VALUE"""),3.0)</f>
        <v>3</v>
      </c>
      <c r="G2227" s="17" t="str">
        <f>IFERROR(__xludf.DUMMYFUNCTION("""COMPUTED_VALUE"""),"13240201")</f>
        <v>13240201</v>
      </c>
      <c r="H2227" s="17" t="str">
        <f>IFERROR(__xludf.DUMMYFUNCTION("""COMPUTED_VALUE"""),"сантехніка, загальне")</f>
        <v>сантехніка, загальне</v>
      </c>
      <c r="I2227" s="19">
        <f>IFERROR(__xludf.DUMMYFUNCTION("""COMPUTED_VALUE"""),0.125)</f>
        <v>0.125</v>
      </c>
      <c r="J2227" s="19">
        <f>IFERROR(__xludf.DUMMYFUNCTION("""COMPUTED_VALUE"""),0.25)</f>
        <v>0.25</v>
      </c>
      <c r="K2227" s="19">
        <f>IFERROR(__xludf.DUMMYFUNCTION("""COMPUTED_VALUE"""),0.3125)</f>
        <v>0.3125</v>
      </c>
      <c r="L2227" s="19">
        <f>IFERROR(__xludf.DUMMYFUNCTION("""COMPUTED_VALUE"""),0.375)</f>
        <v>0.375</v>
      </c>
      <c r="M2227" s="18">
        <f>IFERROR(__xludf.DUMMYFUNCTION("""COMPUTED_VALUE"""),4.33)</f>
        <v>4.33</v>
      </c>
    </row>
    <row r="2228">
      <c r="A2228" s="13" t="str">
        <f>IFERROR(__xludf.DUMMYFUNCTION("""COMPUTED_VALUE"""),"товари")</f>
        <v>товари</v>
      </c>
      <c r="B2228" s="16" t="str">
        <f>IFERROR(__xludf.DUMMYFUNCTION("""COMPUTED_VALUE"""),"матеріали для ремонту")</f>
        <v>матеріали для ремонту</v>
      </c>
      <c r="C2228" s="16" t="str">
        <f>IFERROR(__xludf.DUMMYFUNCTION("""COMPUTED_VALUE"""),"сантехніка")</f>
        <v>сантехніка</v>
      </c>
      <c r="D2228" s="16" t="str">
        <f>IFERROR(__xludf.DUMMYFUNCTION("""COMPUTED_VALUE"""),"сантехнічні троси")</f>
        <v>сантехнічні троси</v>
      </c>
      <c r="E2228" s="16" t="str">
        <f>IFERROR(__xludf.DUMMYFUNCTION("""COMPUTED_VALUE"""),"сантехнічні троси")</f>
        <v>сантехнічні троси</v>
      </c>
      <c r="F2228" s="17">
        <f>IFERROR(__xludf.DUMMYFUNCTION("""COMPUTED_VALUE"""),3.0)</f>
        <v>3</v>
      </c>
      <c r="G2228" s="17" t="str">
        <f>IFERROR(__xludf.DUMMYFUNCTION("""COMPUTED_VALUE"""),"13240510")</f>
        <v>13240510</v>
      </c>
      <c r="H2228" s="17" t="str">
        <f>IFERROR(__xludf.DUMMYFUNCTION("""COMPUTED_VALUE"""),"сантехнічні троси")</f>
        <v>сантехнічні троси</v>
      </c>
      <c r="I2228" s="19">
        <f>IFERROR(__xludf.DUMMYFUNCTION("""COMPUTED_VALUE"""),0.0678)</f>
        <v>0.0678</v>
      </c>
      <c r="J2228" s="19">
        <f>IFERROR(__xludf.DUMMYFUNCTION("""COMPUTED_VALUE"""),0.1355)</f>
        <v>0.1355</v>
      </c>
      <c r="K2228" s="19">
        <f>IFERROR(__xludf.DUMMYFUNCTION("""COMPUTED_VALUE"""),0.1694)</f>
        <v>0.1694</v>
      </c>
      <c r="L2228" s="19">
        <f>IFERROR(__xludf.DUMMYFUNCTION("""COMPUTED_VALUE"""),0.2033)</f>
        <v>0.2033</v>
      </c>
      <c r="M2228" s="18">
        <f>IFERROR(__xludf.DUMMYFUNCTION("""COMPUTED_VALUE"""),3.78)</f>
        <v>3.78</v>
      </c>
    </row>
    <row r="2229">
      <c r="A2229" s="13" t="str">
        <f>IFERROR(__xludf.DUMMYFUNCTION("""COMPUTED_VALUE"""),"товари")</f>
        <v>товари</v>
      </c>
      <c r="B2229" s="16" t="str">
        <f>IFERROR(__xludf.DUMMYFUNCTION("""COMPUTED_VALUE"""),"матеріали для ремонту")</f>
        <v>матеріали для ремонту</v>
      </c>
      <c r="C2229" s="16" t="str">
        <f>IFERROR(__xludf.DUMMYFUNCTION("""COMPUTED_VALUE"""),"електрика")</f>
        <v>електрика</v>
      </c>
      <c r="D2229" s="16" t="str">
        <f>IFERROR(__xludf.DUMMYFUNCTION("""COMPUTED_VALUE"""),"силові вилки та розетки")</f>
        <v>силові вилки та розетки</v>
      </c>
      <c r="E2229" s="16" t="str">
        <f>IFERROR(__xludf.DUMMYFUNCTION("""COMPUTED_VALUE"""),"силові вилки та розетки")</f>
        <v>силові вилки та розетки</v>
      </c>
      <c r="F2229" s="17">
        <f>IFERROR(__xludf.DUMMYFUNCTION("""COMPUTED_VALUE"""),3.0)</f>
        <v>3</v>
      </c>
      <c r="G2229" s="17" t="str">
        <f>IFERROR(__xludf.DUMMYFUNCTION("""COMPUTED_VALUE"""),"141905")</f>
        <v>141905</v>
      </c>
      <c r="H2229" s="17" t="str">
        <f>IFERROR(__xludf.DUMMYFUNCTION("""COMPUTED_VALUE"""),"силові вилки та розетки")</f>
        <v>силові вилки та розетки</v>
      </c>
      <c r="I2229" s="19">
        <f>IFERROR(__xludf.DUMMYFUNCTION("""COMPUTED_VALUE"""),0.0709)</f>
        <v>0.0709</v>
      </c>
      <c r="J2229" s="19">
        <f>IFERROR(__xludf.DUMMYFUNCTION("""COMPUTED_VALUE"""),0.1417)</f>
        <v>0.1417</v>
      </c>
      <c r="K2229" s="19">
        <f>IFERROR(__xludf.DUMMYFUNCTION("""COMPUTED_VALUE"""),0.1771)</f>
        <v>0.1771</v>
      </c>
      <c r="L2229" s="19">
        <f>IFERROR(__xludf.DUMMYFUNCTION("""COMPUTED_VALUE"""),0.2126)</f>
        <v>0.2126</v>
      </c>
      <c r="M2229" s="18">
        <f>IFERROR(__xludf.DUMMYFUNCTION("""COMPUTED_VALUE"""),1.26)</f>
        <v>1.26</v>
      </c>
    </row>
    <row r="2230">
      <c r="A2230" s="13" t="str">
        <f>IFERROR(__xludf.DUMMYFUNCTION("""COMPUTED_VALUE"""),"товари")</f>
        <v>товари</v>
      </c>
      <c r="B2230" s="16" t="str">
        <f>IFERROR(__xludf.DUMMYFUNCTION("""COMPUTED_VALUE"""),"матеріали для ремонту")</f>
        <v>матеріали для ремонту</v>
      </c>
      <c r="C2230" s="16" t="str">
        <f>IFERROR(__xludf.DUMMYFUNCTION("""COMPUTED_VALUE"""),"побутова вентиляція")</f>
        <v>побутова вентиляція</v>
      </c>
      <c r="D2230" s="16" t="str">
        <f>IFERROR(__xludf.DUMMYFUNCTION("""COMPUTED_VALUE"""),"системи контролю мікроклімату")</f>
        <v>системи контролю мікроклімату</v>
      </c>
      <c r="E2230" s="16" t="str">
        <f>IFERROR(__xludf.DUMMYFUNCTION("""COMPUTED_VALUE"""),"системи контролю мікроклімату")</f>
        <v>системи контролю мікроклімату</v>
      </c>
      <c r="F2230" s="17">
        <f>IFERROR(__xludf.DUMMYFUNCTION("""COMPUTED_VALUE"""),3.0)</f>
        <v>3</v>
      </c>
      <c r="G2230" s="17" t="str">
        <f>IFERROR(__xludf.DUMMYFUNCTION("""COMPUTED_VALUE"""),"142210")</f>
        <v>142210</v>
      </c>
      <c r="H2230" s="17" t="str">
        <f>IFERROR(__xludf.DUMMYFUNCTION("""COMPUTED_VALUE"""),"системи контролю мікроклімату")</f>
        <v>системи контролю мікроклімату</v>
      </c>
      <c r="I2230" s="19">
        <f>IFERROR(__xludf.DUMMYFUNCTION("""COMPUTED_VALUE"""),0.0627)</f>
        <v>0.0627</v>
      </c>
      <c r="J2230" s="19">
        <f>IFERROR(__xludf.DUMMYFUNCTION("""COMPUTED_VALUE"""),0.1254)</f>
        <v>0.1254</v>
      </c>
      <c r="K2230" s="19">
        <f>IFERROR(__xludf.DUMMYFUNCTION("""COMPUTED_VALUE"""),0.1568)</f>
        <v>0.1568</v>
      </c>
      <c r="L2230" s="19">
        <f>IFERROR(__xludf.DUMMYFUNCTION("""COMPUTED_VALUE"""),0.1881)</f>
        <v>0.1881</v>
      </c>
      <c r="M2230" s="18">
        <f>IFERROR(__xludf.DUMMYFUNCTION("""COMPUTED_VALUE"""),2.34)</f>
        <v>2.34</v>
      </c>
    </row>
    <row r="2231">
      <c r="A2231" s="13" t="str">
        <f>IFERROR(__xludf.DUMMYFUNCTION("""COMPUTED_VALUE"""),"товари")</f>
        <v>товари</v>
      </c>
      <c r="B2231" s="16" t="str">
        <f>IFERROR(__xludf.DUMMYFUNCTION("""COMPUTED_VALUE"""),"матеріали для ремонту")</f>
        <v>матеріали для ремонту</v>
      </c>
      <c r="C2231" s="16" t="str">
        <f>IFERROR(__xludf.DUMMYFUNCTION("""COMPUTED_VALUE"""),"сантехніка")</f>
        <v>сантехніка</v>
      </c>
      <c r="D2231" s="16" t="str">
        <f>IFERROR(__xludf.DUMMYFUNCTION("""COMPUTED_VALUE"""),"сифони, сантехнічні трапи")</f>
        <v>сифони, сантехнічні трапи</v>
      </c>
      <c r="E2231" s="16" t="str">
        <f>IFERROR(__xludf.DUMMYFUNCTION("""COMPUTED_VALUE"""),"сифони, сантехнічні трапи")</f>
        <v>сифони, сантехнічні трапи</v>
      </c>
      <c r="F2231" s="17">
        <f>IFERROR(__xludf.DUMMYFUNCTION("""COMPUTED_VALUE"""),3.0)</f>
        <v>3</v>
      </c>
      <c r="G2231" s="17" t="str">
        <f>IFERROR(__xludf.DUMMYFUNCTION("""COMPUTED_VALUE"""),"13240208")</f>
        <v>13240208</v>
      </c>
      <c r="H2231" s="17" t="str">
        <f>IFERROR(__xludf.DUMMYFUNCTION("""COMPUTED_VALUE"""),"сифони, сантехнічні трапи")</f>
        <v>сифони, сантехнічні трапи</v>
      </c>
      <c r="I2231" s="19">
        <f>IFERROR(__xludf.DUMMYFUNCTION("""COMPUTED_VALUE"""),0.0732)</f>
        <v>0.0732</v>
      </c>
      <c r="J2231" s="19">
        <f>IFERROR(__xludf.DUMMYFUNCTION("""COMPUTED_VALUE"""),0.1464)</f>
        <v>0.1464</v>
      </c>
      <c r="K2231" s="19">
        <f>IFERROR(__xludf.DUMMYFUNCTION("""COMPUTED_VALUE"""),0.183)</f>
        <v>0.183</v>
      </c>
      <c r="L2231" s="19">
        <f>IFERROR(__xludf.DUMMYFUNCTION("""COMPUTED_VALUE"""),0.2196)</f>
        <v>0.2196</v>
      </c>
      <c r="M2231" s="18">
        <f>IFERROR(__xludf.DUMMYFUNCTION("""COMPUTED_VALUE"""),2.53)</f>
        <v>2.53</v>
      </c>
    </row>
    <row r="2232">
      <c r="A2232" s="13" t="str">
        <f>IFERROR(__xludf.DUMMYFUNCTION("""COMPUTED_VALUE"""),"товари")</f>
        <v>товари</v>
      </c>
      <c r="B2232" s="16" t="str">
        <f>IFERROR(__xludf.DUMMYFUNCTION("""COMPUTED_VALUE"""),"матеріали для ремонту")</f>
        <v>матеріали для ремонту</v>
      </c>
      <c r="C2232" s="16" t="str">
        <f>IFERROR(__xludf.DUMMYFUNCTION("""COMPUTED_VALUE"""),"скріплювальні вироби")</f>
        <v>скріплювальні вироби</v>
      </c>
      <c r="D2232" s="16" t="str">
        <f>IFERROR(__xludf.DUMMYFUNCTION("""COMPUTED_VALUE"""),"скоби, цвяхи для будівельних степлерів")</f>
        <v>скоби, цвяхи для будівельних степлерів</v>
      </c>
      <c r="E2232" s="16" t="str">
        <f>IFERROR(__xludf.DUMMYFUNCTION("""COMPUTED_VALUE"""),"скоби, цвяхи для будівельних степлерів")</f>
        <v>скоби, цвяхи для будівельних степлерів</v>
      </c>
      <c r="F2232" s="17">
        <f>IFERROR(__xludf.DUMMYFUNCTION("""COMPUTED_VALUE"""),3.0)</f>
        <v>3</v>
      </c>
      <c r="G2232" s="17" t="str">
        <f>IFERROR(__xludf.DUMMYFUNCTION("""COMPUTED_VALUE"""),"14201515")</f>
        <v>14201515</v>
      </c>
      <c r="H2232" s="17" t="str">
        <f>IFERROR(__xludf.DUMMYFUNCTION("""COMPUTED_VALUE"""),"скоби, цвяхи для будівельних степлерів")</f>
        <v>скоби, цвяхи для будівельних степлерів</v>
      </c>
      <c r="I2232" s="19">
        <f>IFERROR(__xludf.DUMMYFUNCTION("""COMPUTED_VALUE"""),0.0678)</f>
        <v>0.0678</v>
      </c>
      <c r="J2232" s="19">
        <f>IFERROR(__xludf.DUMMYFUNCTION("""COMPUTED_VALUE"""),0.1355)</f>
        <v>0.1355</v>
      </c>
      <c r="K2232" s="19">
        <f>IFERROR(__xludf.DUMMYFUNCTION("""COMPUTED_VALUE"""),0.1694)</f>
        <v>0.1694</v>
      </c>
      <c r="L2232" s="19">
        <f>IFERROR(__xludf.DUMMYFUNCTION("""COMPUTED_VALUE"""),0.2033)</f>
        <v>0.2033</v>
      </c>
      <c r="M2232" s="18">
        <f>IFERROR(__xludf.DUMMYFUNCTION("""COMPUTED_VALUE"""),1.05)</f>
        <v>1.05</v>
      </c>
    </row>
    <row r="2233">
      <c r="A2233" s="13" t="str">
        <f>IFERROR(__xludf.DUMMYFUNCTION("""COMPUTED_VALUE"""),"товари")</f>
        <v>товари</v>
      </c>
      <c r="B2233" s="16" t="str">
        <f>IFERROR(__xludf.DUMMYFUNCTION("""COMPUTED_VALUE"""),"матеріали для ремонту")</f>
        <v>матеріали для ремонту</v>
      </c>
      <c r="C2233" s="16" t="str">
        <f>IFERROR(__xludf.DUMMYFUNCTION("""COMPUTED_VALUE"""),"скріплювальні вироби")</f>
        <v>скріплювальні вироби</v>
      </c>
      <c r="D2233" s="16" t="str">
        <f>IFERROR(__xludf.DUMMYFUNCTION("""COMPUTED_VALUE"""),"такелаж")</f>
        <v>такелаж</v>
      </c>
      <c r="E2233" s="16" t="str">
        <f>IFERROR(__xludf.DUMMYFUNCTION("""COMPUTED_VALUE"""),"сталеві канати, троси")</f>
        <v>сталеві канати, троси</v>
      </c>
      <c r="F2233" s="17">
        <f>IFERROR(__xludf.DUMMYFUNCTION("""COMPUTED_VALUE"""),4.0)</f>
        <v>4</v>
      </c>
      <c r="G2233" s="17" t="str">
        <f>IFERROR(__xludf.DUMMYFUNCTION("""COMPUTED_VALUE"""),"421001")</f>
        <v>421001</v>
      </c>
      <c r="H2233" s="17" t="str">
        <f>IFERROR(__xludf.DUMMYFUNCTION("""COMPUTED_VALUE"""),"сталеві канати, троси")</f>
        <v>сталеві канати, троси</v>
      </c>
      <c r="I2233" s="19">
        <f>IFERROR(__xludf.DUMMYFUNCTION("""COMPUTED_VALUE"""),0.0487)</f>
        <v>0.0487</v>
      </c>
      <c r="J2233" s="19">
        <f>IFERROR(__xludf.DUMMYFUNCTION("""COMPUTED_VALUE"""),0.0974)</f>
        <v>0.0974</v>
      </c>
      <c r="K2233" s="19">
        <f>IFERROR(__xludf.DUMMYFUNCTION("""COMPUTED_VALUE"""),0.1218)</f>
        <v>0.1218</v>
      </c>
      <c r="L2233" s="19">
        <f>IFERROR(__xludf.DUMMYFUNCTION("""COMPUTED_VALUE"""),0.1461)</f>
        <v>0.1461</v>
      </c>
      <c r="M2233" s="18">
        <f>IFERROR(__xludf.DUMMYFUNCTION("""COMPUTED_VALUE"""),3.15)</f>
        <v>3.15</v>
      </c>
    </row>
    <row r="2234">
      <c r="A2234" s="13" t="str">
        <f>IFERROR(__xludf.DUMMYFUNCTION("""COMPUTED_VALUE"""),"товари")</f>
        <v>товари</v>
      </c>
      <c r="B2234" s="16" t="str">
        <f>IFERROR(__xludf.DUMMYFUNCTION("""COMPUTED_VALUE"""),"матеріали для ремонту")</f>
        <v>матеріали для ремонту</v>
      </c>
      <c r="C2234" s="16" t="str">
        <f>IFERROR(__xludf.DUMMYFUNCTION("""COMPUTED_VALUE"""),"побутова вентиляція")</f>
        <v>побутова вентиляція</v>
      </c>
      <c r="D2234" s="16" t="str">
        <f>IFERROR(__xludf.DUMMYFUNCTION("""COMPUTED_VALUE"""),"стельові вентилятори")</f>
        <v>стельові вентилятори</v>
      </c>
      <c r="E2234" s="16" t="str">
        <f>IFERROR(__xludf.DUMMYFUNCTION("""COMPUTED_VALUE"""),"стельові вентилятори")</f>
        <v>стельові вентилятори</v>
      </c>
      <c r="F2234" s="17">
        <f>IFERROR(__xludf.DUMMYFUNCTION("""COMPUTED_VALUE"""),3.0)</f>
        <v>3</v>
      </c>
      <c r="G2234" s="17" t="str">
        <f>IFERROR(__xludf.DUMMYFUNCTION("""COMPUTED_VALUE"""),"63016")</f>
        <v>63016</v>
      </c>
      <c r="H2234" s="17" t="str">
        <f>IFERROR(__xludf.DUMMYFUNCTION("""COMPUTED_VALUE"""),"стельові вентилятори")</f>
        <v>стельові вентилятори</v>
      </c>
      <c r="I2234" s="19">
        <f>IFERROR(__xludf.DUMMYFUNCTION("""COMPUTED_VALUE"""),0.0499)</f>
        <v>0.0499</v>
      </c>
      <c r="J2234" s="19">
        <f>IFERROR(__xludf.DUMMYFUNCTION("""COMPUTED_VALUE"""),0.0998)</f>
        <v>0.0998</v>
      </c>
      <c r="K2234" s="19">
        <f>IFERROR(__xludf.DUMMYFUNCTION("""COMPUTED_VALUE"""),0.1248)</f>
        <v>0.1248</v>
      </c>
      <c r="L2234" s="19">
        <f>IFERROR(__xludf.DUMMYFUNCTION("""COMPUTED_VALUE"""),0.1497)</f>
        <v>0.1497</v>
      </c>
      <c r="M2234" s="18">
        <f>IFERROR(__xludf.DUMMYFUNCTION("""COMPUTED_VALUE"""),3.15)</f>
        <v>3.15</v>
      </c>
    </row>
    <row r="2235">
      <c r="A2235" s="13" t="str">
        <f>IFERROR(__xludf.DUMMYFUNCTION("""COMPUTED_VALUE"""),"товари")</f>
        <v>товари</v>
      </c>
      <c r="B2235" s="16" t="str">
        <f>IFERROR(__xludf.DUMMYFUNCTION("""COMPUTED_VALUE"""),"матеріали для ремонту")</f>
        <v>матеріали для ремонту</v>
      </c>
      <c r="C2235" s="16" t="str">
        <f>IFERROR(__xludf.DUMMYFUNCTION("""COMPUTED_VALUE"""),"скріплювальні вироби")</f>
        <v>скріплювальні вироби</v>
      </c>
      <c r="D2235" s="16" t="str">
        <f>IFERROR(__xludf.DUMMYFUNCTION("""COMPUTED_VALUE"""),"стопорні кільця")</f>
        <v>стопорні кільця</v>
      </c>
      <c r="E2235" s="16" t="str">
        <f>IFERROR(__xludf.DUMMYFUNCTION("""COMPUTED_VALUE"""),"стопорні кільця")</f>
        <v>стопорні кільця</v>
      </c>
      <c r="F2235" s="17">
        <f>IFERROR(__xludf.DUMMYFUNCTION("""COMPUTED_VALUE"""),3.0)</f>
        <v>3</v>
      </c>
      <c r="G2235" s="17" t="str">
        <f>IFERROR(__xludf.DUMMYFUNCTION("""COMPUTED_VALUE"""),"420516")</f>
        <v>420516</v>
      </c>
      <c r="H2235" s="17" t="str">
        <f>IFERROR(__xludf.DUMMYFUNCTION("""COMPUTED_VALUE"""),"стопорні кільця")</f>
        <v>стопорні кільця</v>
      </c>
      <c r="I2235" s="19">
        <f>IFERROR(__xludf.DUMMYFUNCTION("""COMPUTED_VALUE"""),0.0789)</f>
        <v>0.0789</v>
      </c>
      <c r="J2235" s="19">
        <f>IFERROR(__xludf.DUMMYFUNCTION("""COMPUTED_VALUE"""),0.1577)</f>
        <v>0.1577</v>
      </c>
      <c r="K2235" s="19">
        <f>IFERROR(__xludf.DUMMYFUNCTION("""COMPUTED_VALUE"""),0.1971)</f>
        <v>0.1971</v>
      </c>
      <c r="L2235" s="19">
        <f>IFERROR(__xludf.DUMMYFUNCTION("""COMPUTED_VALUE"""),0.2366)</f>
        <v>0.2366</v>
      </c>
      <c r="M2235" s="18">
        <f>IFERROR(__xludf.DUMMYFUNCTION("""COMPUTED_VALUE"""),2.61)</f>
        <v>2.61</v>
      </c>
    </row>
    <row r="2236">
      <c r="A2236" s="13" t="str">
        <f>IFERROR(__xludf.DUMMYFUNCTION("""COMPUTED_VALUE"""),"товари")</f>
        <v>товари</v>
      </c>
      <c r="B2236" s="16" t="str">
        <f>IFERROR(__xludf.DUMMYFUNCTION("""COMPUTED_VALUE"""),"матеріали для ремонту")</f>
        <v>матеріали для ремонту</v>
      </c>
      <c r="C2236" s="16" t="str">
        <f>IFERROR(__xludf.DUMMYFUNCTION("""COMPUTED_VALUE"""),"декор для стін")</f>
        <v>декор для стін</v>
      </c>
      <c r="D2236" s="16" t="str">
        <f>IFERROR(__xludf.DUMMYFUNCTION("""COMPUTED_VALUE"""),"сусальне золото і поталь")</f>
        <v>сусальне золото і поталь</v>
      </c>
      <c r="E2236" s="16" t="str">
        <f>IFERROR(__xludf.DUMMYFUNCTION("""COMPUTED_VALUE"""),"сусальне золото і поталь")</f>
        <v>сусальне золото і поталь</v>
      </c>
      <c r="F2236" s="17">
        <f>IFERROR(__xludf.DUMMYFUNCTION("""COMPUTED_VALUE"""),3.0)</f>
        <v>3</v>
      </c>
      <c r="G2236" s="17" t="str">
        <f>IFERROR(__xludf.DUMMYFUNCTION("""COMPUTED_VALUE"""),"13070108")</f>
        <v>13070108</v>
      </c>
      <c r="H2236" s="17" t="str">
        <f>IFERROR(__xludf.DUMMYFUNCTION("""COMPUTED_VALUE"""),"сусальне золото і поталь")</f>
        <v>сусальне золото і поталь</v>
      </c>
      <c r="I2236" s="19">
        <f>IFERROR(__xludf.DUMMYFUNCTION("""COMPUTED_VALUE"""),0.0447)</f>
        <v>0.0447</v>
      </c>
      <c r="J2236" s="19">
        <f>IFERROR(__xludf.DUMMYFUNCTION("""COMPUTED_VALUE"""),0.0893)</f>
        <v>0.0893</v>
      </c>
      <c r="K2236" s="19">
        <f>IFERROR(__xludf.DUMMYFUNCTION("""COMPUTED_VALUE"""),0.1116)</f>
        <v>0.1116</v>
      </c>
      <c r="L2236" s="19">
        <f>IFERROR(__xludf.DUMMYFUNCTION("""COMPUTED_VALUE"""),0.134)</f>
        <v>0.134</v>
      </c>
      <c r="M2236" s="18">
        <f>IFERROR(__xludf.DUMMYFUNCTION("""COMPUTED_VALUE"""),2.08)</f>
        <v>2.08</v>
      </c>
    </row>
    <row r="2237">
      <c r="A2237" s="13" t="str">
        <f>IFERROR(__xludf.DUMMYFUNCTION("""COMPUTED_VALUE"""),"товари")</f>
        <v>товари</v>
      </c>
      <c r="B2237" s="16" t="str">
        <f>IFERROR(__xludf.DUMMYFUNCTION("""COMPUTED_VALUE"""),"матеріали для ремонту")</f>
        <v>матеріали для ремонту</v>
      </c>
      <c r="C2237" s="16" t="str">
        <f>IFERROR(__xludf.DUMMYFUNCTION("""COMPUTED_VALUE"""),"сантехніка")</f>
        <v>сантехніка</v>
      </c>
      <c r="D2237" s="16" t="str">
        <f>IFERROR(__xludf.DUMMYFUNCTION("""COMPUTED_VALUE"""),"сушарки для рушників")</f>
        <v>сушарки для рушників</v>
      </c>
      <c r="E2237" s="16" t="str">
        <f>IFERROR(__xludf.DUMMYFUNCTION("""COMPUTED_VALUE"""),"сушарки для рушників")</f>
        <v>сушарки для рушників</v>
      </c>
      <c r="F2237" s="17">
        <f>IFERROR(__xludf.DUMMYFUNCTION("""COMPUTED_VALUE"""),3.0)</f>
        <v>3</v>
      </c>
      <c r="G2237" s="17" t="str">
        <f>IFERROR(__xludf.DUMMYFUNCTION("""COMPUTED_VALUE"""),"13240205")</f>
        <v>13240205</v>
      </c>
      <c r="H2237" s="17" t="str">
        <f>IFERROR(__xludf.DUMMYFUNCTION("""COMPUTED_VALUE"""),"сушарки для рушників")</f>
        <v>сушарки для рушників</v>
      </c>
      <c r="I2237" s="19">
        <f>IFERROR(__xludf.DUMMYFUNCTION("""COMPUTED_VALUE"""),0.0738)</f>
        <v>0.0738</v>
      </c>
      <c r="J2237" s="19">
        <f>IFERROR(__xludf.DUMMYFUNCTION("""COMPUTED_VALUE"""),0.1475)</f>
        <v>0.1475</v>
      </c>
      <c r="K2237" s="19">
        <f>IFERROR(__xludf.DUMMYFUNCTION("""COMPUTED_VALUE"""),0.1844)</f>
        <v>0.1844</v>
      </c>
      <c r="L2237" s="19">
        <f>IFERROR(__xludf.DUMMYFUNCTION("""COMPUTED_VALUE"""),0.2213)</f>
        <v>0.2213</v>
      </c>
      <c r="M2237" s="18">
        <f>IFERROR(__xludf.DUMMYFUNCTION("""COMPUTED_VALUE"""),3.9)</f>
        <v>3.9</v>
      </c>
    </row>
    <row r="2238">
      <c r="A2238" s="13" t="str">
        <f>IFERROR(__xludf.DUMMYFUNCTION("""COMPUTED_VALUE"""),"товари")</f>
        <v>товари</v>
      </c>
      <c r="B2238" s="16" t="str">
        <f>IFERROR(__xludf.DUMMYFUNCTION("""COMPUTED_VALUE"""),"матеріали для ремонту")</f>
        <v>матеріали для ремонту</v>
      </c>
      <c r="C2238" s="16" t="str">
        <f>IFERROR(__xludf.DUMMYFUNCTION("""COMPUTED_VALUE"""),"скріплювальні вироби")</f>
        <v>скріплювальні вироби</v>
      </c>
      <c r="D2238" s="16" t="str">
        <f>IFERROR(__xludf.DUMMYFUNCTION("""COMPUTED_VALUE"""),"такелаж")</f>
        <v>такелаж</v>
      </c>
      <c r="E2238" s="16" t="str">
        <f>IFERROR(__xludf.DUMMYFUNCTION("""COMPUTED_VALUE"""),"такелажні блоки")</f>
        <v>такелажні блоки</v>
      </c>
      <c r="F2238" s="17">
        <f>IFERROR(__xludf.DUMMYFUNCTION("""COMPUTED_VALUE"""),4.0)</f>
        <v>4</v>
      </c>
      <c r="G2238" s="17" t="str">
        <f>IFERROR(__xludf.DUMMYFUNCTION("""COMPUTED_VALUE"""),"420524")</f>
        <v>420524</v>
      </c>
      <c r="H2238" s="17" t="str">
        <f>IFERROR(__xludf.DUMMYFUNCTION("""COMPUTED_VALUE"""),"такелажні блоки")</f>
        <v>такелажні блоки</v>
      </c>
      <c r="I2238" s="19">
        <f>IFERROR(__xludf.DUMMYFUNCTION("""COMPUTED_VALUE"""),0.0559)</f>
        <v>0.0559</v>
      </c>
      <c r="J2238" s="19">
        <f>IFERROR(__xludf.DUMMYFUNCTION("""COMPUTED_VALUE"""),0.1117)</f>
        <v>0.1117</v>
      </c>
      <c r="K2238" s="19">
        <f>IFERROR(__xludf.DUMMYFUNCTION("""COMPUTED_VALUE"""),0.1396)</f>
        <v>0.1396</v>
      </c>
      <c r="L2238" s="19">
        <f>IFERROR(__xludf.DUMMYFUNCTION("""COMPUTED_VALUE"""),0.1676)</f>
        <v>0.1676</v>
      </c>
      <c r="M2238" s="18">
        <f>IFERROR(__xludf.DUMMYFUNCTION("""COMPUTED_VALUE"""),3.15)</f>
        <v>3.15</v>
      </c>
    </row>
    <row r="2239">
      <c r="A2239" s="13" t="str">
        <f>IFERROR(__xludf.DUMMYFUNCTION("""COMPUTED_VALUE"""),"товари")</f>
        <v>товари</v>
      </c>
      <c r="B2239" s="16" t="str">
        <f>IFERROR(__xludf.DUMMYFUNCTION("""COMPUTED_VALUE"""),"матеріали для ремонту")</f>
        <v>матеріали для ремонту</v>
      </c>
      <c r="C2239" s="16" t="str">
        <f>IFERROR(__xludf.DUMMYFUNCTION("""COMPUTED_VALUE"""),"скріплювальні вироби")</f>
        <v>скріплювальні вироби</v>
      </c>
      <c r="D2239" s="16" t="str">
        <f>IFERROR(__xludf.DUMMYFUNCTION("""COMPUTED_VALUE"""),"такелаж")</f>
        <v>такелаж</v>
      </c>
      <c r="E2239" s="16" t="str">
        <f>IFERROR(__xludf.DUMMYFUNCTION("""COMPUTED_VALUE"""),"такелажні скоби і карабіни")</f>
        <v>такелажні скоби і карабіни</v>
      </c>
      <c r="F2239" s="17">
        <f>IFERROR(__xludf.DUMMYFUNCTION("""COMPUTED_VALUE"""),4.0)</f>
        <v>4</v>
      </c>
      <c r="G2239" s="17" t="str">
        <f>IFERROR(__xludf.DUMMYFUNCTION("""COMPUTED_VALUE"""),"420521")</f>
        <v>420521</v>
      </c>
      <c r="H2239" s="17" t="str">
        <f>IFERROR(__xludf.DUMMYFUNCTION("""COMPUTED_VALUE"""),"такелажні скоби і карабіни")</f>
        <v>такелажні скоби і карабіни</v>
      </c>
      <c r="I2239" s="19">
        <f>IFERROR(__xludf.DUMMYFUNCTION("""COMPUTED_VALUE"""),0.0487)</f>
        <v>0.0487</v>
      </c>
      <c r="J2239" s="19">
        <f>IFERROR(__xludf.DUMMYFUNCTION("""COMPUTED_VALUE"""),0.0974)</f>
        <v>0.0974</v>
      </c>
      <c r="K2239" s="19">
        <f>IFERROR(__xludf.DUMMYFUNCTION("""COMPUTED_VALUE"""),0.1218)</f>
        <v>0.1218</v>
      </c>
      <c r="L2239" s="19">
        <f>IFERROR(__xludf.DUMMYFUNCTION("""COMPUTED_VALUE"""),0.1461)</f>
        <v>0.1461</v>
      </c>
      <c r="M2239" s="18">
        <f>IFERROR(__xludf.DUMMYFUNCTION("""COMPUTED_VALUE"""),3.15)</f>
        <v>3.15</v>
      </c>
    </row>
    <row r="2240">
      <c r="A2240" s="13" t="str">
        <f>IFERROR(__xludf.DUMMYFUNCTION("""COMPUTED_VALUE"""),"товари")</f>
        <v>товари</v>
      </c>
      <c r="B2240" s="16" t="str">
        <f>IFERROR(__xludf.DUMMYFUNCTION("""COMPUTED_VALUE"""),"матеріали для ремонту")</f>
        <v>матеріали для ремонту</v>
      </c>
      <c r="C2240" s="16" t="str">
        <f>IFERROR(__xludf.DUMMYFUNCTION("""COMPUTED_VALUE"""),"скріплювальні вироби")</f>
        <v>скріплювальні вироби</v>
      </c>
      <c r="D2240" s="16" t="str">
        <f>IFERROR(__xludf.DUMMYFUNCTION("""COMPUTED_VALUE"""),"такелаж")</f>
        <v>такелаж</v>
      </c>
      <c r="E2240" s="16" t="str">
        <f>IFERROR(__xludf.DUMMYFUNCTION("""COMPUTED_VALUE"""),"талрепи")</f>
        <v>талрепи</v>
      </c>
      <c r="F2240" s="17">
        <f>IFERROR(__xludf.DUMMYFUNCTION("""COMPUTED_VALUE"""),4.0)</f>
        <v>4</v>
      </c>
      <c r="G2240" s="17" t="str">
        <f>IFERROR(__xludf.DUMMYFUNCTION("""COMPUTED_VALUE"""),"420520")</f>
        <v>420520</v>
      </c>
      <c r="H2240" s="17" t="str">
        <f>IFERROR(__xludf.DUMMYFUNCTION("""COMPUTED_VALUE"""),"талрепи")</f>
        <v>талрепи</v>
      </c>
      <c r="I2240" s="19">
        <f>IFERROR(__xludf.DUMMYFUNCTION("""COMPUTED_VALUE"""),0.057)</f>
        <v>0.057</v>
      </c>
      <c r="J2240" s="19">
        <f>IFERROR(__xludf.DUMMYFUNCTION("""COMPUTED_VALUE"""),0.114)</f>
        <v>0.114</v>
      </c>
      <c r="K2240" s="19">
        <f>IFERROR(__xludf.DUMMYFUNCTION("""COMPUTED_VALUE"""),0.1425)</f>
        <v>0.1425</v>
      </c>
      <c r="L2240" s="19">
        <f>IFERROR(__xludf.DUMMYFUNCTION("""COMPUTED_VALUE"""),0.171)</f>
        <v>0.171</v>
      </c>
      <c r="M2240" s="18">
        <f>IFERROR(__xludf.DUMMYFUNCTION("""COMPUTED_VALUE"""),3.15)</f>
        <v>3.15</v>
      </c>
    </row>
    <row r="2241">
      <c r="A2241" s="13" t="str">
        <f>IFERROR(__xludf.DUMMYFUNCTION("""COMPUTED_VALUE"""),"товари")</f>
        <v>товари</v>
      </c>
      <c r="B2241" s="16" t="str">
        <f>IFERROR(__xludf.DUMMYFUNCTION("""COMPUTED_VALUE"""),"матеріали для ремонту")</f>
        <v>матеріали для ремонту</v>
      </c>
      <c r="C2241" s="16" t="str">
        <f>IFERROR(__xludf.DUMMYFUNCTION("""COMPUTED_VALUE"""),"опалення та тепла підлога")</f>
        <v>опалення та тепла підлога</v>
      </c>
      <c r="D2241" s="16" t="str">
        <f>IFERROR(__xludf.DUMMYFUNCTION("""COMPUTED_VALUE"""),"тепла підлога")</f>
        <v>тепла підлога</v>
      </c>
      <c r="E2241" s="16" t="str">
        <f>IFERROR(__xludf.DUMMYFUNCTION("""COMPUTED_VALUE"""),"тепла підлога, загальне")</f>
        <v>тепла підлога, загальне</v>
      </c>
      <c r="F2241" s="17">
        <f>IFERROR(__xludf.DUMMYFUNCTION("""COMPUTED_VALUE"""),4.0)</f>
        <v>4</v>
      </c>
      <c r="G2241" s="17" t="str">
        <f>IFERROR(__xludf.DUMMYFUNCTION("""COMPUTED_VALUE"""),"13240101")</f>
        <v>13240101</v>
      </c>
      <c r="H2241" s="17" t="str">
        <f>IFERROR(__xludf.DUMMYFUNCTION("""COMPUTED_VALUE"""),"тепла підлога, загальне")</f>
        <v>тепла підлога, загальне</v>
      </c>
      <c r="I2241" s="19">
        <f>IFERROR(__xludf.DUMMYFUNCTION("""COMPUTED_VALUE"""),0.125)</f>
        <v>0.125</v>
      </c>
      <c r="J2241" s="19">
        <f>IFERROR(__xludf.DUMMYFUNCTION("""COMPUTED_VALUE"""),0.25)</f>
        <v>0.25</v>
      </c>
      <c r="K2241" s="19">
        <f>IFERROR(__xludf.DUMMYFUNCTION("""COMPUTED_VALUE"""),0.3125)</f>
        <v>0.3125</v>
      </c>
      <c r="L2241" s="19">
        <f>IFERROR(__xludf.DUMMYFUNCTION("""COMPUTED_VALUE"""),0.375)</f>
        <v>0.375</v>
      </c>
      <c r="M2241" s="18">
        <f>IFERROR(__xludf.DUMMYFUNCTION("""COMPUTED_VALUE"""),4.33)</f>
        <v>4.33</v>
      </c>
    </row>
    <row r="2242">
      <c r="A2242" s="13" t="str">
        <f>IFERROR(__xludf.DUMMYFUNCTION("""COMPUTED_VALUE"""),"товари")</f>
        <v>товари</v>
      </c>
      <c r="B2242" s="16" t="str">
        <f>IFERROR(__xludf.DUMMYFUNCTION("""COMPUTED_VALUE"""),"матеріали для ремонту")</f>
        <v>матеріали для ремонту</v>
      </c>
      <c r="C2242" s="16" t="str">
        <f>IFERROR(__xludf.DUMMYFUNCTION("""COMPUTED_VALUE"""),"декор для стін")</f>
        <v>декор для стін</v>
      </c>
      <c r="D2242" s="16" t="str">
        <f>IFERROR(__xludf.DUMMYFUNCTION("""COMPUTED_VALUE"""),"трафарети для декорування")</f>
        <v>трафарети для декорування</v>
      </c>
      <c r="E2242" s="16" t="str">
        <f>IFERROR(__xludf.DUMMYFUNCTION("""COMPUTED_VALUE"""),"трафарети для декорування")</f>
        <v>трафарети для декорування</v>
      </c>
      <c r="F2242" s="17">
        <f>IFERROR(__xludf.DUMMYFUNCTION("""COMPUTED_VALUE"""),3.0)</f>
        <v>3</v>
      </c>
      <c r="G2242" s="17" t="str">
        <f>IFERROR(__xludf.DUMMYFUNCTION("""COMPUTED_VALUE"""),"13261304")</f>
        <v>13261304</v>
      </c>
      <c r="H2242" s="17" t="str">
        <f>IFERROR(__xludf.DUMMYFUNCTION("""COMPUTED_VALUE"""),"трафарети для декорування")</f>
        <v>трафарети для декорування</v>
      </c>
      <c r="I2242" s="19">
        <f>IFERROR(__xludf.DUMMYFUNCTION("""COMPUTED_VALUE"""),0.0777)</f>
        <v>0.0777</v>
      </c>
      <c r="J2242" s="19">
        <f>IFERROR(__xludf.DUMMYFUNCTION("""COMPUTED_VALUE"""),0.1553)</f>
        <v>0.1553</v>
      </c>
      <c r="K2242" s="19">
        <f>IFERROR(__xludf.DUMMYFUNCTION("""COMPUTED_VALUE"""),0.1941)</f>
        <v>0.1941</v>
      </c>
      <c r="L2242" s="19">
        <f>IFERROR(__xludf.DUMMYFUNCTION("""COMPUTED_VALUE"""),0.233)</f>
        <v>0.233</v>
      </c>
      <c r="M2242" s="18">
        <f>IFERROR(__xludf.DUMMYFUNCTION("""COMPUTED_VALUE"""),1.05)</f>
        <v>1.05</v>
      </c>
    </row>
    <row r="2243">
      <c r="A2243" s="13" t="str">
        <f>IFERROR(__xludf.DUMMYFUNCTION("""COMPUTED_VALUE"""),"товари")</f>
        <v>товари</v>
      </c>
      <c r="B2243" s="16" t="str">
        <f>IFERROR(__xludf.DUMMYFUNCTION("""COMPUTED_VALUE"""),"матеріали для ремонту")</f>
        <v>матеріали для ремонту</v>
      </c>
      <c r="C2243" s="16" t="str">
        <f>IFERROR(__xludf.DUMMYFUNCTION("""COMPUTED_VALUE"""),"сантехніка")</f>
        <v>сантехніка</v>
      </c>
      <c r="D2243" s="16" t="str">
        <f>IFERROR(__xludf.DUMMYFUNCTION("""COMPUTED_VALUE"""),"умивальники і п'єдестали")</f>
        <v>умивальники і п'єдестали</v>
      </c>
      <c r="E2243" s="16" t="str">
        <f>IFERROR(__xludf.DUMMYFUNCTION("""COMPUTED_VALUE"""),"умивальники і п'єдестали")</f>
        <v>умивальники і п'єдестали</v>
      </c>
      <c r="F2243" s="17">
        <f>IFERROR(__xludf.DUMMYFUNCTION("""COMPUTED_VALUE"""),3.0)</f>
        <v>3</v>
      </c>
      <c r="G2243" s="17" t="str">
        <f>IFERROR(__xludf.DUMMYFUNCTION("""COMPUTED_VALUE"""),"130110")</f>
        <v>130110</v>
      </c>
      <c r="H2243" s="17" t="str">
        <f>IFERROR(__xludf.DUMMYFUNCTION("""COMPUTED_VALUE"""),"умивальники і п'єдестали")</f>
        <v>умивальники і п'єдестали</v>
      </c>
      <c r="I2243" s="19">
        <f>IFERROR(__xludf.DUMMYFUNCTION("""COMPUTED_VALUE"""),0.0735)</f>
        <v>0.0735</v>
      </c>
      <c r="J2243" s="19">
        <f>IFERROR(__xludf.DUMMYFUNCTION("""COMPUTED_VALUE"""),0.147)</f>
        <v>0.147</v>
      </c>
      <c r="K2243" s="19">
        <f>IFERROR(__xludf.DUMMYFUNCTION("""COMPUTED_VALUE"""),0.1838)</f>
        <v>0.1838</v>
      </c>
      <c r="L2243" s="19">
        <f>IFERROR(__xludf.DUMMYFUNCTION("""COMPUTED_VALUE"""),0.2205)</f>
        <v>0.2205</v>
      </c>
      <c r="M2243" s="18">
        <f>IFERROR(__xludf.DUMMYFUNCTION("""COMPUTED_VALUE"""),2.34)</f>
        <v>2.34</v>
      </c>
    </row>
    <row r="2244">
      <c r="A2244" s="13" t="str">
        <f>IFERROR(__xludf.DUMMYFUNCTION("""COMPUTED_VALUE"""),"товари")</f>
        <v>товари</v>
      </c>
      <c r="B2244" s="16" t="str">
        <f>IFERROR(__xludf.DUMMYFUNCTION("""COMPUTED_VALUE"""),"матеріали для ремонту")</f>
        <v>матеріали для ремонту</v>
      </c>
      <c r="C2244" s="16" t="str">
        <f>IFERROR(__xludf.DUMMYFUNCTION("""COMPUTED_VALUE"""),"сантехніка")</f>
        <v>сантехніка</v>
      </c>
      <c r="D2244" s="16" t="str">
        <f>IFERROR(__xludf.DUMMYFUNCTION("""COMPUTED_VALUE"""),"унітази, бачки")</f>
        <v>унітази, бачки</v>
      </c>
      <c r="E2244" s="16" t="str">
        <f>IFERROR(__xludf.DUMMYFUNCTION("""COMPUTED_VALUE"""),"унітази, бачки")</f>
        <v>унітази, бачки</v>
      </c>
      <c r="F2244" s="17">
        <f>IFERROR(__xludf.DUMMYFUNCTION("""COMPUTED_VALUE"""),3.0)</f>
        <v>3</v>
      </c>
      <c r="G2244" s="17" t="str">
        <f>IFERROR(__xludf.DUMMYFUNCTION("""COMPUTED_VALUE"""),"130108")</f>
        <v>130108</v>
      </c>
      <c r="H2244" s="17" t="str">
        <f>IFERROR(__xludf.DUMMYFUNCTION("""COMPUTED_VALUE"""),"унітази, бачки")</f>
        <v>унітази, бачки</v>
      </c>
      <c r="I2244" s="19">
        <f>IFERROR(__xludf.DUMMYFUNCTION("""COMPUTED_VALUE"""),0.0677)</f>
        <v>0.0677</v>
      </c>
      <c r="J2244" s="19">
        <f>IFERROR(__xludf.DUMMYFUNCTION("""COMPUTED_VALUE"""),0.1353)</f>
        <v>0.1353</v>
      </c>
      <c r="K2244" s="19">
        <f>IFERROR(__xludf.DUMMYFUNCTION("""COMPUTED_VALUE"""),0.1691)</f>
        <v>0.1691</v>
      </c>
      <c r="L2244" s="19">
        <f>IFERROR(__xludf.DUMMYFUNCTION("""COMPUTED_VALUE"""),0.203)</f>
        <v>0.203</v>
      </c>
      <c r="M2244" s="18">
        <f>IFERROR(__xludf.DUMMYFUNCTION("""COMPUTED_VALUE"""),3.75)</f>
        <v>3.75</v>
      </c>
    </row>
    <row r="2245">
      <c r="A2245" s="13" t="str">
        <f>IFERROR(__xludf.DUMMYFUNCTION("""COMPUTED_VALUE"""),"товари")</f>
        <v>товари</v>
      </c>
      <c r="B2245" s="16" t="str">
        <f>IFERROR(__xludf.DUMMYFUNCTION("""COMPUTED_VALUE"""),"матеріали для ремонту")</f>
        <v>матеріали для ремонту</v>
      </c>
      <c r="C2245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245" s="16" t="str">
        <f>IFERROR(__xludf.DUMMYFUNCTION("""COMPUTED_VALUE"""),"ущільнювачі для вікон, дверей")</f>
        <v>ущільнювачі для вікон, дверей</v>
      </c>
      <c r="E2245" s="16" t="str">
        <f>IFERROR(__xludf.DUMMYFUNCTION("""COMPUTED_VALUE"""),"ущільнювачі для вікон, дверей")</f>
        <v>ущільнювачі для вікон, дверей</v>
      </c>
      <c r="F2245" s="17">
        <f>IFERROR(__xludf.DUMMYFUNCTION("""COMPUTED_VALUE"""),3.0)</f>
        <v>3</v>
      </c>
      <c r="G2245" s="17" t="str">
        <f>IFERROR(__xludf.DUMMYFUNCTION("""COMPUTED_VALUE"""),"15380327")</f>
        <v>15380327</v>
      </c>
      <c r="H2245" s="17" t="str">
        <f>IFERROR(__xludf.DUMMYFUNCTION("""COMPUTED_VALUE"""),"ущільнювачі для вікон, дверей")</f>
        <v>ущільнювачі для вікон, дверей</v>
      </c>
      <c r="I2245" s="19">
        <f>IFERROR(__xludf.DUMMYFUNCTION("""COMPUTED_VALUE"""),0.0589)</f>
        <v>0.0589</v>
      </c>
      <c r="J2245" s="19">
        <f>IFERROR(__xludf.DUMMYFUNCTION("""COMPUTED_VALUE"""),0.1177)</f>
        <v>0.1177</v>
      </c>
      <c r="K2245" s="19">
        <f>IFERROR(__xludf.DUMMYFUNCTION("""COMPUTED_VALUE"""),0.1471)</f>
        <v>0.1471</v>
      </c>
      <c r="L2245" s="19">
        <f>IFERROR(__xludf.DUMMYFUNCTION("""COMPUTED_VALUE"""),0.1766)</f>
        <v>0.1766</v>
      </c>
      <c r="M2245" s="18">
        <f>IFERROR(__xludf.DUMMYFUNCTION("""COMPUTED_VALUE"""),4.14)</f>
        <v>4.14</v>
      </c>
    </row>
    <row r="2246">
      <c r="A2246" s="13" t="str">
        <f>IFERROR(__xludf.DUMMYFUNCTION("""COMPUTED_VALUE"""),"товари")</f>
        <v>товари</v>
      </c>
      <c r="B2246" s="16" t="str">
        <f>IFERROR(__xludf.DUMMYFUNCTION("""COMPUTED_VALUE"""),"матеріали для ремонту")</f>
        <v>матеріали для ремонту</v>
      </c>
      <c r="C2246" s="16" t="str">
        <f>IFERROR(__xludf.DUMMYFUNCTION("""COMPUTED_VALUE"""),"побутове водопостачання")</f>
        <v>побутове водопостачання</v>
      </c>
      <c r="D2246" s="16" t="str">
        <f>IFERROR(__xludf.DUMMYFUNCTION("""COMPUTED_VALUE"""),"побутове очищення води")</f>
        <v>побутове очищення води</v>
      </c>
      <c r="E2246" s="16" t="str">
        <f>IFERROR(__xludf.DUMMYFUNCTION("""COMPUTED_VALUE"""),"фільтри-глечики")</f>
        <v>фільтри-глечики</v>
      </c>
      <c r="F2246" s="17">
        <f>IFERROR(__xludf.DUMMYFUNCTION("""COMPUTED_VALUE"""),4.0)</f>
        <v>4</v>
      </c>
      <c r="G2246" s="17" t="str">
        <f>IFERROR(__xludf.DUMMYFUNCTION("""COMPUTED_VALUE"""),"621")</f>
        <v>621</v>
      </c>
      <c r="H2246" s="17" t="str">
        <f>IFERROR(__xludf.DUMMYFUNCTION("""COMPUTED_VALUE"""),"фільтри-глечики")</f>
        <v>фільтри-глечики</v>
      </c>
      <c r="I2246" s="19">
        <f>IFERROR(__xludf.DUMMYFUNCTION("""COMPUTED_VALUE"""),0.0758)</f>
        <v>0.0758</v>
      </c>
      <c r="J2246" s="19">
        <f>IFERROR(__xludf.DUMMYFUNCTION("""COMPUTED_VALUE"""),0.1516)</f>
        <v>0.1516</v>
      </c>
      <c r="K2246" s="19">
        <f>IFERROR(__xludf.DUMMYFUNCTION("""COMPUTED_VALUE"""),0.1895)</f>
        <v>0.1895</v>
      </c>
      <c r="L2246" s="19">
        <f>IFERROR(__xludf.DUMMYFUNCTION("""COMPUTED_VALUE"""),0.2274)</f>
        <v>0.2274</v>
      </c>
      <c r="M2246" s="18">
        <f>IFERROR(__xludf.DUMMYFUNCTION("""COMPUTED_VALUE"""),1.71)</f>
        <v>1.71</v>
      </c>
    </row>
    <row r="2247">
      <c r="A2247" s="13" t="str">
        <f>IFERROR(__xludf.DUMMYFUNCTION("""COMPUTED_VALUE"""),"товари")</f>
        <v>товари</v>
      </c>
      <c r="B2247" s="16" t="str">
        <f>IFERROR(__xludf.DUMMYFUNCTION("""COMPUTED_VALUE"""),"матеріали для ремонту")</f>
        <v>матеріали для ремонту</v>
      </c>
      <c r="C2247" s="16" t="str">
        <f>IFERROR(__xludf.DUMMYFUNCTION("""COMPUTED_VALUE"""),"шпалери")</f>
        <v>шпалери</v>
      </c>
      <c r="D2247" s="16" t="str">
        <f>IFERROR(__xludf.DUMMYFUNCTION("""COMPUTED_VALUE"""),"фотошпалери")</f>
        <v>фотошпалери</v>
      </c>
      <c r="E2247" s="16" t="str">
        <f>IFERROR(__xludf.DUMMYFUNCTION("""COMPUTED_VALUE"""),"фотошпалери")</f>
        <v>фотошпалери</v>
      </c>
      <c r="F2247" s="17">
        <f>IFERROR(__xludf.DUMMYFUNCTION("""COMPUTED_VALUE"""),3.0)</f>
        <v>3</v>
      </c>
      <c r="G2247" s="17" t="str">
        <f>IFERROR(__xludf.DUMMYFUNCTION("""COMPUTED_VALUE"""),"130301")</f>
        <v>130301</v>
      </c>
      <c r="H2247" s="17" t="str">
        <f>IFERROR(__xludf.DUMMYFUNCTION("""COMPUTED_VALUE"""),"фотошпалери")</f>
        <v>фотошпалери</v>
      </c>
      <c r="I2247" s="19">
        <f>IFERROR(__xludf.DUMMYFUNCTION("""COMPUTED_VALUE"""),0.0544)</f>
        <v>0.0544</v>
      </c>
      <c r="J2247" s="19">
        <f>IFERROR(__xludf.DUMMYFUNCTION("""COMPUTED_VALUE"""),0.1087)</f>
        <v>0.1087</v>
      </c>
      <c r="K2247" s="19">
        <f>IFERROR(__xludf.DUMMYFUNCTION("""COMPUTED_VALUE"""),0.1359)</f>
        <v>0.1359</v>
      </c>
      <c r="L2247" s="19">
        <f>IFERROR(__xludf.DUMMYFUNCTION("""COMPUTED_VALUE"""),0.1631)</f>
        <v>0.1631</v>
      </c>
      <c r="M2247" s="18">
        <f>IFERROR(__xludf.DUMMYFUNCTION("""COMPUTED_VALUE"""),2.16)</f>
        <v>2.16</v>
      </c>
    </row>
    <row r="2248">
      <c r="A2248" s="13" t="str">
        <f>IFERROR(__xludf.DUMMYFUNCTION("""COMPUTED_VALUE"""),"товари")</f>
        <v>товари</v>
      </c>
      <c r="B2248" s="16" t="str">
        <f>IFERROR(__xludf.DUMMYFUNCTION("""COMPUTED_VALUE"""),"матеріали для ремонту")</f>
        <v>матеріали для ремонту</v>
      </c>
      <c r="C2248" s="16" t="str">
        <f>IFERROR(__xludf.DUMMYFUNCTION("""COMPUTED_VALUE"""),"декор для стін")</f>
        <v>декор для стін</v>
      </c>
      <c r="D2248" s="16" t="str">
        <f>IFERROR(__xludf.DUMMYFUNCTION("""COMPUTED_VALUE"""),"функціональна і декоративна плівка")</f>
        <v>функціональна і декоративна плівка</v>
      </c>
      <c r="E2248" s="16" t="str">
        <f>IFERROR(__xludf.DUMMYFUNCTION("""COMPUTED_VALUE"""),"функціональна і декоративна плівка")</f>
        <v>функціональна і декоративна плівка</v>
      </c>
      <c r="F2248" s="17">
        <f>IFERROR(__xludf.DUMMYFUNCTION("""COMPUTED_VALUE"""),3.0)</f>
        <v>3</v>
      </c>
      <c r="G2248" s="17" t="str">
        <f>IFERROR(__xludf.DUMMYFUNCTION("""COMPUTED_VALUE"""),"1343")</f>
        <v>1343</v>
      </c>
      <c r="H2248" s="17" t="str">
        <f>IFERROR(__xludf.DUMMYFUNCTION("""COMPUTED_VALUE"""),"функціональна і декоративна плівка")</f>
        <v>функціональна і декоративна плівка</v>
      </c>
      <c r="I2248" s="19">
        <f>IFERROR(__xludf.DUMMYFUNCTION("""COMPUTED_VALUE"""),0.0586)</f>
        <v>0.0586</v>
      </c>
      <c r="J2248" s="19">
        <f>IFERROR(__xludf.DUMMYFUNCTION("""COMPUTED_VALUE"""),0.1172)</f>
        <v>0.1172</v>
      </c>
      <c r="K2248" s="19">
        <f>IFERROR(__xludf.DUMMYFUNCTION("""COMPUTED_VALUE"""),0.1465)</f>
        <v>0.1465</v>
      </c>
      <c r="L2248" s="19">
        <f>IFERROR(__xludf.DUMMYFUNCTION("""COMPUTED_VALUE"""),0.1758)</f>
        <v>0.1758</v>
      </c>
      <c r="M2248" s="18">
        <f>IFERROR(__xludf.DUMMYFUNCTION("""COMPUTED_VALUE"""),2.25)</f>
        <v>2.25</v>
      </c>
    </row>
    <row r="2249">
      <c r="A2249" s="13" t="str">
        <f>IFERROR(__xludf.DUMMYFUNCTION("""COMPUTED_VALUE"""),"товари")</f>
        <v>товари</v>
      </c>
      <c r="B2249" s="16" t="str">
        <f>IFERROR(__xludf.DUMMYFUNCTION("""COMPUTED_VALUE"""),"матеріали для ремонту")</f>
        <v>матеріали для ремонту</v>
      </c>
      <c r="C2249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249" s="16" t="str">
        <f>IFERROR(__xludf.DUMMYFUNCTION("""COMPUTED_VALUE"""),"комплектуючі для ролет та жалюзі")</f>
        <v>комплектуючі для ролет та жалюзі</v>
      </c>
      <c r="E2249" s="16" t="str">
        <f>IFERROR(__xludf.DUMMYFUNCTION("""COMPUTED_VALUE"""),"комплектуючі для ролет та жалюзі")</f>
        <v>комплектуючі для ролет та жалюзі</v>
      </c>
      <c r="F2249" s="17">
        <f>IFERROR(__xludf.DUMMYFUNCTION("""COMPUTED_VALUE"""),3.0)</f>
        <v>3</v>
      </c>
      <c r="G2249" s="17" t="str">
        <f>IFERROR(__xludf.DUMMYFUNCTION("""COMPUTED_VALUE"""),"153808")</f>
        <v>153808</v>
      </c>
      <c r="H2249" s="17" t="str">
        <f>IFERROR(__xludf.DUMMYFUNCTION("""COMPUTED_VALUE"""),"комплектуючі для ролет та жалюзі")</f>
        <v>комплектуючі для ролет та жалюзі</v>
      </c>
      <c r="I2249" s="19">
        <f>IFERROR(__xludf.DUMMYFUNCTION("""COMPUTED_VALUE"""),0.0709)</f>
        <v>0.0709</v>
      </c>
      <c r="J2249" s="19">
        <f>IFERROR(__xludf.DUMMYFUNCTION("""COMPUTED_VALUE"""),0.1417)</f>
        <v>0.1417</v>
      </c>
      <c r="K2249" s="19">
        <f>IFERROR(__xludf.DUMMYFUNCTION("""COMPUTED_VALUE"""),0.1771)</f>
        <v>0.1771</v>
      </c>
      <c r="L2249" s="19">
        <f>IFERROR(__xludf.DUMMYFUNCTION("""COMPUTED_VALUE"""),0.2126)</f>
        <v>0.2126</v>
      </c>
      <c r="M2249" s="18">
        <f>IFERROR(__xludf.DUMMYFUNCTION("""COMPUTED_VALUE"""),3.6)</f>
        <v>3.6</v>
      </c>
    </row>
    <row r="2250">
      <c r="A2250" s="13" t="str">
        <f>IFERROR(__xludf.DUMMYFUNCTION("""COMPUTED_VALUE"""),"товари")</f>
        <v>товари</v>
      </c>
      <c r="B2250" s="16" t="str">
        <f>IFERROR(__xludf.DUMMYFUNCTION("""COMPUTED_VALUE"""),"матеріали для ремонту")</f>
        <v>матеріали для ремонту</v>
      </c>
      <c r="C2250" s="16" t="str">
        <f>IFERROR(__xludf.DUMMYFUNCTION("""COMPUTED_VALUE"""),"скріплювальні вироби")</f>
        <v>скріплювальні вироби</v>
      </c>
      <c r="D2250" s="16" t="str">
        <f>IFERROR(__xludf.DUMMYFUNCTION("""COMPUTED_VALUE"""),"хомути, затискачі")</f>
        <v>хомути, затискачі</v>
      </c>
      <c r="E2250" s="16" t="str">
        <f>IFERROR(__xludf.DUMMYFUNCTION("""COMPUTED_VALUE"""),"хомути, затискачі")</f>
        <v>хомути, затискачі</v>
      </c>
      <c r="F2250" s="17">
        <f>IFERROR(__xludf.DUMMYFUNCTION("""COMPUTED_VALUE"""),3.0)</f>
        <v>3</v>
      </c>
      <c r="G2250" s="17" t="str">
        <f>IFERROR(__xludf.DUMMYFUNCTION("""COMPUTED_VALUE"""),"420509")</f>
        <v>420509</v>
      </c>
      <c r="H2250" s="17" t="str">
        <f>IFERROR(__xludf.DUMMYFUNCTION("""COMPUTED_VALUE"""),"хомути, затискачі")</f>
        <v>хомути, затискачі</v>
      </c>
      <c r="I2250" s="19">
        <f>IFERROR(__xludf.DUMMYFUNCTION("""COMPUTED_VALUE"""),0.0722)</f>
        <v>0.0722</v>
      </c>
      <c r="J2250" s="19">
        <f>IFERROR(__xludf.DUMMYFUNCTION("""COMPUTED_VALUE"""),0.1443)</f>
        <v>0.1443</v>
      </c>
      <c r="K2250" s="19">
        <f>IFERROR(__xludf.DUMMYFUNCTION("""COMPUTED_VALUE"""),0.1804)</f>
        <v>0.1804</v>
      </c>
      <c r="L2250" s="19">
        <f>IFERROR(__xludf.DUMMYFUNCTION("""COMPUTED_VALUE"""),0.2165)</f>
        <v>0.2165</v>
      </c>
      <c r="M2250" s="18">
        <f>IFERROR(__xludf.DUMMYFUNCTION("""COMPUTED_VALUE"""),2.61)</f>
        <v>2.61</v>
      </c>
    </row>
    <row r="2251">
      <c r="A2251" s="13" t="str">
        <f>IFERROR(__xludf.DUMMYFUNCTION("""COMPUTED_VALUE"""),"товари")</f>
        <v>товари</v>
      </c>
      <c r="B2251" s="16" t="str">
        <f>IFERROR(__xludf.DUMMYFUNCTION("""COMPUTED_VALUE"""),"матеріали для ремонту")</f>
        <v>матеріали для ремонту</v>
      </c>
      <c r="C2251" s="16" t="str">
        <f>IFERROR(__xludf.DUMMYFUNCTION("""COMPUTED_VALUE"""),"скріплювальні вироби")</f>
        <v>скріплювальні вироби</v>
      </c>
      <c r="D2251" s="16" t="str">
        <f>IFERROR(__xludf.DUMMYFUNCTION("""COMPUTED_VALUE"""),"цвяхи")</f>
        <v>цвяхи</v>
      </c>
      <c r="E2251" s="16" t="str">
        <f>IFERROR(__xludf.DUMMYFUNCTION("""COMPUTED_VALUE"""),"цвяхи")</f>
        <v>цвяхи</v>
      </c>
      <c r="F2251" s="17">
        <f>IFERROR(__xludf.DUMMYFUNCTION("""COMPUTED_VALUE"""),3.0)</f>
        <v>3</v>
      </c>
      <c r="G2251" s="17" t="str">
        <f>IFERROR(__xludf.DUMMYFUNCTION("""COMPUTED_VALUE"""),"420503")</f>
        <v>420503</v>
      </c>
      <c r="H2251" s="17" t="str">
        <f>IFERROR(__xludf.DUMMYFUNCTION("""COMPUTED_VALUE"""),"цвяхи")</f>
        <v>цвяхи</v>
      </c>
      <c r="I2251" s="19">
        <f>IFERROR(__xludf.DUMMYFUNCTION("""COMPUTED_VALUE"""),0.0683)</f>
        <v>0.0683</v>
      </c>
      <c r="J2251" s="19">
        <f>IFERROR(__xludf.DUMMYFUNCTION("""COMPUTED_VALUE"""),0.1365)</f>
        <v>0.1365</v>
      </c>
      <c r="K2251" s="19">
        <f>IFERROR(__xludf.DUMMYFUNCTION("""COMPUTED_VALUE"""),0.1706)</f>
        <v>0.1706</v>
      </c>
      <c r="L2251" s="19">
        <f>IFERROR(__xludf.DUMMYFUNCTION("""COMPUTED_VALUE"""),0.2048)</f>
        <v>0.2048</v>
      </c>
      <c r="M2251" s="18">
        <f>IFERROR(__xludf.DUMMYFUNCTION("""COMPUTED_VALUE"""),1.44)</f>
        <v>1.44</v>
      </c>
    </row>
    <row r="2252">
      <c r="A2252" s="13" t="str">
        <f>IFERROR(__xludf.DUMMYFUNCTION("""COMPUTED_VALUE"""),"товари")</f>
        <v>товари</v>
      </c>
      <c r="B2252" s="16" t="str">
        <f>IFERROR(__xludf.DUMMYFUNCTION("""COMPUTED_VALUE"""),"матеріали для ремонту")</f>
        <v>матеріали для ремонту</v>
      </c>
      <c r="C2252" s="16" t="str">
        <f>IFERROR(__xludf.DUMMYFUNCTION("""COMPUTED_VALUE"""),"скріплювальні вироби")</f>
        <v>скріплювальні вироби</v>
      </c>
      <c r="D2252" s="16" t="str">
        <f>IFERROR(__xludf.DUMMYFUNCTION("""COMPUTED_VALUE"""),"метричне кріплення")</f>
        <v>метричне кріплення</v>
      </c>
      <c r="E2252" s="16" t="str">
        <f>IFERROR(__xludf.DUMMYFUNCTION("""COMPUTED_VALUE"""),"шайби, гровер")</f>
        <v>шайби, гровер</v>
      </c>
      <c r="F2252" s="17">
        <f>IFERROR(__xludf.DUMMYFUNCTION("""COMPUTED_VALUE"""),4.0)</f>
        <v>4</v>
      </c>
      <c r="G2252" s="17" t="str">
        <f>IFERROR(__xludf.DUMMYFUNCTION("""COMPUTED_VALUE"""),"420507")</f>
        <v>420507</v>
      </c>
      <c r="H2252" s="17" t="str">
        <f>IFERROR(__xludf.DUMMYFUNCTION("""COMPUTED_VALUE"""),"шайби, гровер")</f>
        <v>шайби, гровер</v>
      </c>
      <c r="I2252" s="19">
        <f>IFERROR(__xludf.DUMMYFUNCTION("""COMPUTED_VALUE"""),0.0772)</f>
        <v>0.0772</v>
      </c>
      <c r="J2252" s="19">
        <f>IFERROR(__xludf.DUMMYFUNCTION("""COMPUTED_VALUE"""),0.1543)</f>
        <v>0.1543</v>
      </c>
      <c r="K2252" s="19">
        <f>IFERROR(__xludf.DUMMYFUNCTION("""COMPUTED_VALUE"""),0.1929)</f>
        <v>0.1929</v>
      </c>
      <c r="L2252" s="19">
        <f>IFERROR(__xludf.DUMMYFUNCTION("""COMPUTED_VALUE"""),0.2315)</f>
        <v>0.2315</v>
      </c>
      <c r="M2252" s="18">
        <f>IFERROR(__xludf.DUMMYFUNCTION("""COMPUTED_VALUE"""),1.53)</f>
        <v>1.53</v>
      </c>
    </row>
    <row r="2253">
      <c r="A2253" s="13" t="str">
        <f>IFERROR(__xludf.DUMMYFUNCTION("""COMPUTED_VALUE"""),"товари")</f>
        <v>товари</v>
      </c>
      <c r="B2253" s="16" t="str">
        <f>IFERROR(__xludf.DUMMYFUNCTION("""COMPUTED_VALUE"""),"матеріали для ремонту")</f>
        <v>матеріали для ремонту</v>
      </c>
      <c r="C2253" s="16" t="str">
        <f>IFERROR(__xludf.DUMMYFUNCTION("""COMPUTED_VALUE"""),"сантехніка")</f>
        <v>сантехніка</v>
      </c>
      <c r="D2253" s="16" t="str">
        <f>IFERROR(__xludf.DUMMYFUNCTION("""COMPUTED_VALUE"""),"шланги для душу")</f>
        <v>шланги для душу</v>
      </c>
      <c r="E2253" s="16" t="str">
        <f>IFERROR(__xludf.DUMMYFUNCTION("""COMPUTED_VALUE"""),"шланги для душу")</f>
        <v>шланги для душу</v>
      </c>
      <c r="F2253" s="17">
        <f>IFERROR(__xludf.DUMMYFUNCTION("""COMPUTED_VALUE"""),3.0)</f>
        <v>3</v>
      </c>
      <c r="G2253" s="17" t="str">
        <f>IFERROR(__xludf.DUMMYFUNCTION("""COMPUTED_VALUE"""),"13240223")</f>
        <v>13240223</v>
      </c>
      <c r="H2253" s="17" t="str">
        <f>IFERROR(__xludf.DUMMYFUNCTION("""COMPUTED_VALUE"""),"шланги для душу")</f>
        <v>шланги для душу</v>
      </c>
      <c r="I2253" s="19">
        <f>IFERROR(__xludf.DUMMYFUNCTION("""COMPUTED_VALUE"""),0.0795)</f>
        <v>0.0795</v>
      </c>
      <c r="J2253" s="19">
        <f>IFERROR(__xludf.DUMMYFUNCTION("""COMPUTED_VALUE"""),0.159)</f>
        <v>0.159</v>
      </c>
      <c r="K2253" s="19">
        <f>IFERROR(__xludf.DUMMYFUNCTION("""COMPUTED_VALUE"""),0.1988)</f>
        <v>0.1988</v>
      </c>
      <c r="L2253" s="19">
        <f>IFERROR(__xludf.DUMMYFUNCTION("""COMPUTED_VALUE"""),0.2385)</f>
        <v>0.2385</v>
      </c>
      <c r="M2253" s="18">
        <f>IFERROR(__xludf.DUMMYFUNCTION("""COMPUTED_VALUE"""),1.53)</f>
        <v>1.53</v>
      </c>
    </row>
    <row r="2254">
      <c r="A2254" s="13" t="str">
        <f>IFERROR(__xludf.DUMMYFUNCTION("""COMPUTED_VALUE"""),"товари")</f>
        <v>товари</v>
      </c>
      <c r="B2254" s="16" t="str">
        <f>IFERROR(__xludf.DUMMYFUNCTION("""COMPUTED_VALUE"""),"матеріали для ремонту")</f>
        <v>матеріали для ремонту</v>
      </c>
      <c r="C2254" s="16" t="str">
        <f>IFERROR(__xludf.DUMMYFUNCTION("""COMPUTED_VALUE"""),"шпалери")</f>
        <v>шпалери</v>
      </c>
      <c r="D2254" s="16" t="str">
        <f>IFERROR(__xludf.DUMMYFUNCTION("""COMPUTED_VALUE"""),"шпалери, загальне")</f>
        <v>шпалери, загальне</v>
      </c>
      <c r="E2254" s="16" t="str">
        <f>IFERROR(__xludf.DUMMYFUNCTION("""COMPUTED_VALUE"""),"шпалери, загальне")</f>
        <v>шпалери, загальне</v>
      </c>
      <c r="F2254" s="17">
        <f>IFERROR(__xludf.DUMMYFUNCTION("""COMPUTED_VALUE"""),3.0)</f>
        <v>3</v>
      </c>
      <c r="G2254" s="17" t="str">
        <f>IFERROR(__xludf.DUMMYFUNCTION("""COMPUTED_VALUE"""),"130312")</f>
        <v>130312</v>
      </c>
      <c r="H2254" s="17" t="str">
        <f>IFERROR(__xludf.DUMMYFUNCTION("""COMPUTED_VALUE"""),"шпалери, загальне")</f>
        <v>шпалери, загальне</v>
      </c>
      <c r="I2254" s="19">
        <f>IFERROR(__xludf.DUMMYFUNCTION("""COMPUTED_VALUE"""),0.125)</f>
        <v>0.125</v>
      </c>
      <c r="J2254" s="19">
        <f>IFERROR(__xludf.DUMMYFUNCTION("""COMPUTED_VALUE"""),0.25)</f>
        <v>0.25</v>
      </c>
      <c r="K2254" s="19">
        <f>IFERROR(__xludf.DUMMYFUNCTION("""COMPUTED_VALUE"""),0.3125)</f>
        <v>0.3125</v>
      </c>
      <c r="L2254" s="19">
        <f>IFERROR(__xludf.DUMMYFUNCTION("""COMPUTED_VALUE"""),0.375)</f>
        <v>0.375</v>
      </c>
      <c r="M2254" s="18">
        <f>IFERROR(__xludf.DUMMYFUNCTION("""COMPUTED_VALUE"""),4.33)</f>
        <v>4.33</v>
      </c>
    </row>
    <row r="2255">
      <c r="A2255" s="13" t="str">
        <f>IFERROR(__xludf.DUMMYFUNCTION("""COMPUTED_VALUE"""),"товари")</f>
        <v>товари</v>
      </c>
      <c r="B2255" s="16" t="str">
        <f>IFERROR(__xludf.DUMMYFUNCTION("""COMPUTED_VALUE"""),"матеріали для ремонту")</f>
        <v>матеріали для ремонту</v>
      </c>
      <c r="C2255" s="16" t="str">
        <f>IFERROR(__xludf.DUMMYFUNCTION("""COMPUTED_VALUE"""),"шпалери")</f>
        <v>шпалери</v>
      </c>
      <c r="D2255" s="16" t="str">
        <f>IFERROR(__xludf.DUMMYFUNCTION("""COMPUTED_VALUE"""),"шпалерний клей")</f>
        <v>шпалерний клей</v>
      </c>
      <c r="E2255" s="16" t="str">
        <f>IFERROR(__xludf.DUMMYFUNCTION("""COMPUTED_VALUE"""),"шпалерний клей")</f>
        <v>шпалерний клей</v>
      </c>
      <c r="F2255" s="17">
        <f>IFERROR(__xludf.DUMMYFUNCTION("""COMPUTED_VALUE"""),3.0)</f>
        <v>3</v>
      </c>
      <c r="G2255" s="17" t="str">
        <f>IFERROR(__xludf.DUMMYFUNCTION("""COMPUTED_VALUE"""),"131903")</f>
        <v>131903</v>
      </c>
      <c r="H2255" s="17" t="str">
        <f>IFERROR(__xludf.DUMMYFUNCTION("""COMPUTED_VALUE"""),"шпалерний клей")</f>
        <v>шпалерний клей</v>
      </c>
      <c r="I2255" s="19">
        <f>IFERROR(__xludf.DUMMYFUNCTION("""COMPUTED_VALUE"""),0.0524)</f>
        <v>0.0524</v>
      </c>
      <c r="J2255" s="19">
        <f>IFERROR(__xludf.DUMMYFUNCTION("""COMPUTED_VALUE"""),0.1047)</f>
        <v>0.1047</v>
      </c>
      <c r="K2255" s="19">
        <f>IFERROR(__xludf.DUMMYFUNCTION("""COMPUTED_VALUE"""),0.1309)</f>
        <v>0.1309</v>
      </c>
      <c r="L2255" s="19">
        <f>IFERROR(__xludf.DUMMYFUNCTION("""COMPUTED_VALUE"""),0.1571)</f>
        <v>0.1571</v>
      </c>
      <c r="M2255" s="18">
        <f>IFERROR(__xludf.DUMMYFUNCTION("""COMPUTED_VALUE"""),1.98)</f>
        <v>1.98</v>
      </c>
    </row>
    <row r="2256">
      <c r="A2256" s="13" t="str">
        <f>IFERROR(__xludf.DUMMYFUNCTION("""COMPUTED_VALUE"""),"товари")</f>
        <v>товари</v>
      </c>
      <c r="B2256" s="16" t="str">
        <f>IFERROR(__xludf.DUMMYFUNCTION("""COMPUTED_VALUE"""),"матеріали для ремонту")</f>
        <v>матеріали для ремонту</v>
      </c>
      <c r="C2256" s="16" t="str">
        <f>IFERROR(__xludf.DUMMYFUNCTION("""COMPUTED_VALUE"""),"аксесуари та фурнітура для вікон і дверей")</f>
        <v>аксесуари та фурнітура для вікон і дверей</v>
      </c>
      <c r="D2256" s="16" t="str">
        <f>IFERROR(__xludf.DUMMYFUNCTION("""COMPUTED_VALUE"""),"шпінгалети та засуви")</f>
        <v>шпінгалети та засуви</v>
      </c>
      <c r="E2256" s="16" t="str">
        <f>IFERROR(__xludf.DUMMYFUNCTION("""COMPUTED_VALUE"""),"шпінгалети та засуви")</f>
        <v>шпінгалети та засуви</v>
      </c>
      <c r="F2256" s="17">
        <f>IFERROR(__xludf.DUMMYFUNCTION("""COMPUTED_VALUE"""),3.0)</f>
        <v>3</v>
      </c>
      <c r="G2256" s="17" t="str">
        <f>IFERROR(__xludf.DUMMYFUNCTION("""COMPUTED_VALUE"""),"15380331")</f>
        <v>15380331</v>
      </c>
      <c r="H2256" s="17" t="str">
        <f>IFERROR(__xludf.DUMMYFUNCTION("""COMPUTED_VALUE"""),"шпінгалети та засуви")</f>
        <v>шпінгалети та засуви</v>
      </c>
      <c r="I2256" s="19">
        <f>IFERROR(__xludf.DUMMYFUNCTION("""COMPUTED_VALUE"""),0.0632)</f>
        <v>0.0632</v>
      </c>
      <c r="J2256" s="19">
        <f>IFERROR(__xludf.DUMMYFUNCTION("""COMPUTED_VALUE"""),0.1263)</f>
        <v>0.1263</v>
      </c>
      <c r="K2256" s="19">
        <f>IFERROR(__xludf.DUMMYFUNCTION("""COMPUTED_VALUE"""),0.1579)</f>
        <v>0.1579</v>
      </c>
      <c r="L2256" s="19">
        <f>IFERROR(__xludf.DUMMYFUNCTION("""COMPUTED_VALUE"""),0.1895)</f>
        <v>0.1895</v>
      </c>
      <c r="M2256" s="18">
        <f>IFERROR(__xludf.DUMMYFUNCTION("""COMPUTED_VALUE"""),1.05)</f>
        <v>1.05</v>
      </c>
    </row>
    <row r="2257">
      <c r="A2257" s="13" t="str">
        <f>IFERROR(__xludf.DUMMYFUNCTION("""COMPUTED_VALUE"""),"товари")</f>
        <v>товари</v>
      </c>
      <c r="B2257" s="16" t="str">
        <f>IFERROR(__xludf.DUMMYFUNCTION("""COMPUTED_VALUE"""),"матеріали для ремонту")</f>
        <v>матеріали для ремонту</v>
      </c>
      <c r="C2257" s="16" t="str">
        <f>IFERROR(__xludf.DUMMYFUNCTION("""COMPUTED_VALUE"""),"скріплювальні вироби")</f>
        <v>скріплювальні вироби</v>
      </c>
      <c r="D2257" s="16" t="str">
        <f>IFERROR(__xludf.DUMMYFUNCTION("""COMPUTED_VALUE"""),"шплінти")</f>
        <v>шплінти</v>
      </c>
      <c r="E2257" s="16" t="str">
        <f>IFERROR(__xludf.DUMMYFUNCTION("""COMPUTED_VALUE"""),"шплінти")</f>
        <v>шплінти</v>
      </c>
      <c r="F2257" s="17">
        <f>IFERROR(__xludf.DUMMYFUNCTION("""COMPUTED_VALUE"""),3.0)</f>
        <v>3</v>
      </c>
      <c r="G2257" s="17" t="str">
        <f>IFERROR(__xludf.DUMMYFUNCTION("""COMPUTED_VALUE"""),"420514")</f>
        <v>420514</v>
      </c>
      <c r="H2257" s="17" t="str">
        <f>IFERROR(__xludf.DUMMYFUNCTION("""COMPUTED_VALUE"""),"шплінти")</f>
        <v>шплінти</v>
      </c>
      <c r="I2257" s="19">
        <f>IFERROR(__xludf.DUMMYFUNCTION("""COMPUTED_VALUE"""),0.0539)</f>
        <v>0.0539</v>
      </c>
      <c r="J2257" s="19">
        <f>IFERROR(__xludf.DUMMYFUNCTION("""COMPUTED_VALUE"""),0.1078)</f>
        <v>0.1078</v>
      </c>
      <c r="K2257" s="19">
        <f>IFERROR(__xludf.DUMMYFUNCTION("""COMPUTED_VALUE"""),0.1348)</f>
        <v>0.1348</v>
      </c>
      <c r="L2257" s="19">
        <f>IFERROR(__xludf.DUMMYFUNCTION("""COMPUTED_VALUE"""),0.1617)</f>
        <v>0.1617</v>
      </c>
      <c r="M2257" s="18">
        <f>IFERROR(__xludf.DUMMYFUNCTION("""COMPUTED_VALUE"""),3.43)</f>
        <v>3.43</v>
      </c>
    </row>
    <row r="2258">
      <c r="A2258" s="13" t="str">
        <f>IFERROR(__xludf.DUMMYFUNCTION("""COMPUTED_VALUE"""),"товари")</f>
        <v>товари</v>
      </c>
      <c r="B2258" s="16" t="str">
        <f>IFERROR(__xludf.DUMMYFUNCTION("""COMPUTED_VALUE"""),"матеріали для ремонту")</f>
        <v>матеріали для ремонту</v>
      </c>
      <c r="C2258" s="16" t="str">
        <f>IFERROR(__xludf.DUMMYFUNCTION("""COMPUTED_VALUE"""),"скріплювальні вироби")</f>
        <v>скріплювальні вироби</v>
      </c>
      <c r="D2258" s="16" t="str">
        <f>IFERROR(__xludf.DUMMYFUNCTION("""COMPUTED_VALUE"""),"шурупи, саморізи")</f>
        <v>шурупи, саморізи</v>
      </c>
      <c r="E2258" s="16" t="str">
        <f>IFERROR(__xludf.DUMMYFUNCTION("""COMPUTED_VALUE"""),"шурупи, саморізи")</f>
        <v>шурупи, саморізи</v>
      </c>
      <c r="F2258" s="17">
        <f>IFERROR(__xludf.DUMMYFUNCTION("""COMPUTED_VALUE"""),3.0)</f>
        <v>3</v>
      </c>
      <c r="G2258" s="17" t="str">
        <f>IFERROR(__xludf.DUMMYFUNCTION("""COMPUTED_VALUE"""),"420506")</f>
        <v>420506</v>
      </c>
      <c r="H2258" s="17" t="str">
        <f>IFERROR(__xludf.DUMMYFUNCTION("""COMPUTED_VALUE"""),"шурупи, саморізи")</f>
        <v>шурупи, саморізи</v>
      </c>
      <c r="I2258" s="19">
        <f>IFERROR(__xludf.DUMMYFUNCTION("""COMPUTED_VALUE"""),0.0779)</f>
        <v>0.0779</v>
      </c>
      <c r="J2258" s="19">
        <f>IFERROR(__xludf.DUMMYFUNCTION("""COMPUTED_VALUE"""),0.1557)</f>
        <v>0.1557</v>
      </c>
      <c r="K2258" s="19">
        <f>IFERROR(__xludf.DUMMYFUNCTION("""COMPUTED_VALUE"""),0.1946)</f>
        <v>0.1946</v>
      </c>
      <c r="L2258" s="19">
        <f>IFERROR(__xludf.DUMMYFUNCTION("""COMPUTED_VALUE"""),0.2336)</f>
        <v>0.2336</v>
      </c>
      <c r="M2258" s="18">
        <f>IFERROR(__xludf.DUMMYFUNCTION("""COMPUTED_VALUE"""),3.43)</f>
        <v>3.43</v>
      </c>
    </row>
    <row r="2259">
      <c r="A2259" s="13" t="str">
        <f>IFERROR(__xludf.DUMMYFUNCTION("""COMPUTED_VALUE"""),"товари")</f>
        <v>товари</v>
      </c>
      <c r="B2259" s="16" t="str">
        <f>IFERROR(__xludf.DUMMYFUNCTION("""COMPUTED_VALUE"""),"медикаменти та медичні товари")</f>
        <v>медикаменти та медичні товари</v>
      </c>
      <c r="C2259" s="16" t="str">
        <f>IFERROR(__xludf.DUMMYFUNCTION("""COMPUTED_VALUE"""),"товари для людей з інвалідністю")</f>
        <v>товари для людей з інвалідністю</v>
      </c>
      <c r="D2259" s="16" t="str">
        <f>IFERROR(__xludf.DUMMYFUNCTION("""COMPUTED_VALUE"""),"аксесуари та комплектуючі для реабілітаційної техніки")</f>
        <v>аксесуари та комплектуючі для реабілітаційної техніки</v>
      </c>
      <c r="E2259" s="16" t="str">
        <f>IFERROR(__xludf.DUMMYFUNCTION("""COMPUTED_VALUE"""),"аксесуари та комплектуючі для реабілітаційної техніки")</f>
        <v>аксесуари та комплектуючі для реабілітаційної техніки</v>
      </c>
      <c r="F2259" s="17">
        <f>IFERROR(__xludf.DUMMYFUNCTION("""COMPUTED_VALUE"""),3.0)</f>
        <v>3</v>
      </c>
      <c r="G2259" s="17" t="str">
        <f>IFERROR(__xludf.DUMMYFUNCTION("""COMPUTED_VALUE"""),"400912")</f>
        <v>400912</v>
      </c>
      <c r="H2259" s="17" t="str">
        <f>IFERROR(__xludf.DUMMYFUNCTION("""COMPUTED_VALUE"""),"аксесуари та комплектуючі для реабілітаційної техніки")</f>
        <v>аксесуари та комплектуючі для реабілітаційної техніки</v>
      </c>
      <c r="I2259" s="19">
        <f>IFERROR(__xludf.DUMMYFUNCTION("""COMPUTED_VALUE"""),0.0447)</f>
        <v>0.0447</v>
      </c>
      <c r="J2259" s="19">
        <f>IFERROR(__xludf.DUMMYFUNCTION("""COMPUTED_VALUE"""),0.0893)</f>
        <v>0.0893</v>
      </c>
      <c r="K2259" s="19">
        <f>IFERROR(__xludf.DUMMYFUNCTION("""COMPUTED_VALUE"""),0.1116)</f>
        <v>0.1116</v>
      </c>
      <c r="L2259" s="19">
        <f>IFERROR(__xludf.DUMMYFUNCTION("""COMPUTED_VALUE"""),0.134)</f>
        <v>0.134</v>
      </c>
      <c r="M2259" s="18">
        <f>IFERROR(__xludf.DUMMYFUNCTION("""COMPUTED_VALUE"""),1.05)</f>
        <v>1.05</v>
      </c>
    </row>
    <row r="2260">
      <c r="A2260" s="13" t="str">
        <f>IFERROR(__xludf.DUMMYFUNCTION("""COMPUTED_VALUE"""),"товари")</f>
        <v>товари</v>
      </c>
      <c r="B2260" s="16" t="str">
        <f>IFERROR(__xludf.DUMMYFUNCTION("""COMPUTED_VALUE"""),"медикаменти та медичні товари")</f>
        <v>медикаменти та медичні товари</v>
      </c>
      <c r="C2260" s="16" t="str">
        <f>IFERROR(__xludf.DUMMYFUNCTION("""COMPUTED_VALUE"""),"лікарські засоби")</f>
        <v>лікарські засоби</v>
      </c>
      <c r="D2260" s="16" t="str">
        <f>IFERROR(__xludf.DUMMYFUNCTION("""COMPUTED_VALUE"""),"протиінфекційні препарати")</f>
        <v>протиінфекційні препарати</v>
      </c>
      <c r="E2260" s="16" t="str">
        <f>IFERROR(__xludf.DUMMYFUNCTION("""COMPUTED_VALUE"""),"антимікробні препарати")</f>
        <v>антимікробні препарати</v>
      </c>
      <c r="F2260" s="17">
        <f>IFERROR(__xludf.DUMMYFUNCTION("""COMPUTED_VALUE"""),4.0)</f>
        <v>4</v>
      </c>
      <c r="G2260" s="17" t="str">
        <f>IFERROR(__xludf.DUMMYFUNCTION("""COMPUTED_VALUE"""),"401209")</f>
        <v>401209</v>
      </c>
      <c r="H2260" s="17" t="str">
        <f>IFERROR(__xludf.DUMMYFUNCTION("""COMPUTED_VALUE"""),"антимікробні препарати")</f>
        <v>антимікробні препарати</v>
      </c>
      <c r="I2260" s="19">
        <f>IFERROR(__xludf.DUMMYFUNCTION("""COMPUTED_VALUE"""),0.0485)</f>
        <v>0.0485</v>
      </c>
      <c r="J2260" s="19">
        <f>IFERROR(__xludf.DUMMYFUNCTION("""COMPUTED_VALUE"""),0.097)</f>
        <v>0.097</v>
      </c>
      <c r="K2260" s="19">
        <f>IFERROR(__xludf.DUMMYFUNCTION("""COMPUTED_VALUE"""),0.1213)</f>
        <v>0.1213</v>
      </c>
      <c r="L2260" s="19">
        <f>IFERROR(__xludf.DUMMYFUNCTION("""COMPUTED_VALUE"""),0.1455)</f>
        <v>0.1455</v>
      </c>
      <c r="M2260" s="18">
        <f>IFERROR(__xludf.DUMMYFUNCTION("""COMPUTED_VALUE"""),1.05)</f>
        <v>1.05</v>
      </c>
    </row>
    <row r="2261">
      <c r="A2261" s="13" t="str">
        <f>IFERROR(__xludf.DUMMYFUNCTION("""COMPUTED_VALUE"""),"товари")</f>
        <v>товари</v>
      </c>
      <c r="B2261" s="16" t="str">
        <f>IFERROR(__xludf.DUMMYFUNCTION("""COMPUTED_VALUE"""),"медикаменти та медичні товари")</f>
        <v>медикаменти та медичні товари</v>
      </c>
      <c r="C2261" s="16" t="str">
        <f>IFERROR(__xludf.DUMMYFUNCTION("""COMPUTED_VALUE"""),"натуральні препарати")</f>
        <v>натуральні препарати</v>
      </c>
      <c r="D2261" s="16" t="str">
        <f>IFERROR(__xludf.DUMMYFUNCTION("""COMPUTED_VALUE"""),"антипаразитарні натуральні препарати")</f>
        <v>антипаразитарні натуральні препарати</v>
      </c>
      <c r="E2261" s="16" t="str">
        <f>IFERROR(__xludf.DUMMYFUNCTION("""COMPUTED_VALUE"""),"антипаразитарні натуральні препарати")</f>
        <v>антипаразитарні натуральні препарати</v>
      </c>
      <c r="F2261" s="17">
        <f>IFERROR(__xludf.DUMMYFUNCTION("""COMPUTED_VALUE"""),3.0)</f>
        <v>3</v>
      </c>
      <c r="G2261" s="17" t="str">
        <f>IFERROR(__xludf.DUMMYFUNCTION("""COMPUTED_VALUE"""),"160316")</f>
        <v>160316</v>
      </c>
      <c r="H2261" s="17" t="str">
        <f>IFERROR(__xludf.DUMMYFUNCTION("""COMPUTED_VALUE"""),"антипаразитарні натуральні препарати")</f>
        <v>антипаразитарні натуральні препарати</v>
      </c>
      <c r="I2261" s="19">
        <f>IFERROR(__xludf.DUMMYFUNCTION("""COMPUTED_VALUE"""),0.0431)</f>
        <v>0.0431</v>
      </c>
      <c r="J2261" s="19">
        <f>IFERROR(__xludf.DUMMYFUNCTION("""COMPUTED_VALUE"""),0.0862)</f>
        <v>0.0862</v>
      </c>
      <c r="K2261" s="19">
        <f>IFERROR(__xludf.DUMMYFUNCTION("""COMPUTED_VALUE"""),0.1078)</f>
        <v>0.1078</v>
      </c>
      <c r="L2261" s="19">
        <f>IFERROR(__xludf.DUMMYFUNCTION("""COMPUTED_VALUE"""),0.1293)</f>
        <v>0.1293</v>
      </c>
      <c r="M2261" s="18">
        <f>IFERROR(__xludf.DUMMYFUNCTION("""COMPUTED_VALUE"""),3.69)</f>
        <v>3.69</v>
      </c>
    </row>
    <row r="2262">
      <c r="A2262" s="13" t="str">
        <f>IFERROR(__xludf.DUMMYFUNCTION("""COMPUTED_VALUE"""),"товари")</f>
        <v>товари</v>
      </c>
      <c r="B2262" s="16" t="str">
        <f>IFERROR(__xludf.DUMMYFUNCTION("""COMPUTED_VALUE"""),"медикаменти та медичні товари")</f>
        <v>медикаменти та медичні товари</v>
      </c>
      <c r="C2262" s="16" t="str">
        <f>IFERROR(__xludf.DUMMYFUNCTION("""COMPUTED_VALUE"""),"лікарські засоби")</f>
        <v>лікарські засоби</v>
      </c>
      <c r="D2262" s="16" t="str">
        <f>IFERROR(__xludf.DUMMYFUNCTION("""COMPUTED_VALUE"""),"антипаразитарні речовини")</f>
        <v>антипаразитарні речовини</v>
      </c>
      <c r="E2262" s="16" t="str">
        <f>IFERROR(__xludf.DUMMYFUNCTION("""COMPUTED_VALUE"""),"антипаразитарні речовини")</f>
        <v>антипаразитарні речовини</v>
      </c>
      <c r="F2262" s="17">
        <f>IFERROR(__xludf.DUMMYFUNCTION("""COMPUTED_VALUE"""),3.0)</f>
        <v>3</v>
      </c>
      <c r="G2262" s="17" t="str">
        <f>IFERROR(__xludf.DUMMYFUNCTION("""COMPUTED_VALUE"""),"160405")</f>
        <v>160405</v>
      </c>
      <c r="H2262" s="17" t="str">
        <f>IFERROR(__xludf.DUMMYFUNCTION("""COMPUTED_VALUE"""),"антипаразитарні речовини")</f>
        <v>антипаразитарні речовини</v>
      </c>
      <c r="I2262" s="19">
        <f>IFERROR(__xludf.DUMMYFUNCTION("""COMPUTED_VALUE"""),0.0601)</f>
        <v>0.0601</v>
      </c>
      <c r="J2262" s="19">
        <f>IFERROR(__xludf.DUMMYFUNCTION("""COMPUTED_VALUE"""),0.1201)</f>
        <v>0.1201</v>
      </c>
      <c r="K2262" s="19">
        <f>IFERROR(__xludf.DUMMYFUNCTION("""COMPUTED_VALUE"""),0.1501)</f>
        <v>0.1501</v>
      </c>
      <c r="L2262" s="19">
        <f>IFERROR(__xludf.DUMMYFUNCTION("""COMPUTED_VALUE"""),0.1802)</f>
        <v>0.1802</v>
      </c>
      <c r="M2262" s="18">
        <f>IFERROR(__xludf.DUMMYFUNCTION("""COMPUTED_VALUE"""),2.16)</f>
        <v>2.16</v>
      </c>
    </row>
    <row r="2263">
      <c r="A2263" s="13" t="str">
        <f>IFERROR(__xludf.DUMMYFUNCTION("""COMPUTED_VALUE"""),"товари")</f>
        <v>товари</v>
      </c>
      <c r="B2263" s="16" t="str">
        <f>IFERROR(__xludf.DUMMYFUNCTION("""COMPUTED_VALUE"""),"медикаменти та медичні товари")</f>
        <v>медикаменти та медичні товари</v>
      </c>
      <c r="C2263" s="16" t="str">
        <f>IFERROR(__xludf.DUMMYFUNCTION("""COMPUTED_VALUE"""),"товари медичного призначення")</f>
        <v>товари медичного призначення</v>
      </c>
      <c r="D2263" s="16" t="str">
        <f>IFERROR(__xludf.DUMMYFUNCTION("""COMPUTED_VALUE"""),"аптечки")</f>
        <v>аптечки</v>
      </c>
      <c r="E2263" s="16" t="str">
        <f>IFERROR(__xludf.DUMMYFUNCTION("""COMPUTED_VALUE"""),"аптечки")</f>
        <v>аптечки</v>
      </c>
      <c r="F2263" s="17">
        <f>IFERROR(__xludf.DUMMYFUNCTION("""COMPUTED_VALUE"""),3.0)</f>
        <v>3</v>
      </c>
      <c r="G2263" s="17" t="str">
        <f>IFERROR(__xludf.DUMMYFUNCTION("""COMPUTED_VALUE"""),"161307")</f>
        <v>161307</v>
      </c>
      <c r="H2263" s="17" t="str">
        <f>IFERROR(__xludf.DUMMYFUNCTION("""COMPUTED_VALUE"""),"аптечки")</f>
        <v>аптечки</v>
      </c>
      <c r="I2263" s="19">
        <f>IFERROR(__xludf.DUMMYFUNCTION("""COMPUTED_VALUE"""),0.0776)</f>
        <v>0.0776</v>
      </c>
      <c r="J2263" s="19">
        <f>IFERROR(__xludf.DUMMYFUNCTION("""COMPUTED_VALUE"""),0.1552)</f>
        <v>0.1552</v>
      </c>
      <c r="K2263" s="19">
        <f>IFERROR(__xludf.DUMMYFUNCTION("""COMPUTED_VALUE"""),0.194)</f>
        <v>0.194</v>
      </c>
      <c r="L2263" s="19">
        <f>IFERROR(__xludf.DUMMYFUNCTION("""COMPUTED_VALUE"""),0.2328)</f>
        <v>0.2328</v>
      </c>
      <c r="M2263" s="18">
        <f>IFERROR(__xludf.DUMMYFUNCTION("""COMPUTED_VALUE"""),1.63)</f>
        <v>1.63</v>
      </c>
    </row>
    <row r="2264">
      <c r="A2264" s="13" t="str">
        <f>IFERROR(__xludf.DUMMYFUNCTION("""COMPUTED_VALUE"""),"товари")</f>
        <v>товари</v>
      </c>
      <c r="B2264" s="16" t="str">
        <f>IFERROR(__xludf.DUMMYFUNCTION("""COMPUTED_VALUE"""),"медикаменти та медичні товари")</f>
        <v>медикаменти та медичні товари</v>
      </c>
      <c r="C2264" s="16" t="str">
        <f>IFERROR(__xludf.DUMMYFUNCTION("""COMPUTED_VALUE"""),"ортопедичні товари")</f>
        <v>ортопедичні товари</v>
      </c>
      <c r="D2264" s="16" t="str">
        <f>IFERROR(__xludf.DUMMYFUNCTION("""COMPUTED_VALUE"""),"бандажі грижові та при опущенні внутрішніх органів")</f>
        <v>бандажі грижові та при опущенні внутрішніх органів</v>
      </c>
      <c r="E2264" s="16" t="str">
        <f>IFERROR(__xludf.DUMMYFUNCTION("""COMPUTED_VALUE"""),"бандажі грижові та при опущенні внутрішніх органів")</f>
        <v>бандажі грижові та при опущенні внутрішніх органів</v>
      </c>
      <c r="F2264" s="17">
        <f>IFERROR(__xludf.DUMMYFUNCTION("""COMPUTED_VALUE"""),3.0)</f>
        <v>3</v>
      </c>
      <c r="G2264" s="17" t="str">
        <f>IFERROR(__xludf.DUMMYFUNCTION("""COMPUTED_VALUE"""),"401003")</f>
        <v>401003</v>
      </c>
      <c r="H2264" s="17" t="str">
        <f>IFERROR(__xludf.DUMMYFUNCTION("""COMPUTED_VALUE"""),"бандажі грижові та при опущенні внутрішніх органів")</f>
        <v>бандажі грижові та при опущенні внутрішніх органів</v>
      </c>
      <c r="I2264" s="19">
        <f>IFERROR(__xludf.DUMMYFUNCTION("""COMPUTED_VALUE"""),0.0739)</f>
        <v>0.0739</v>
      </c>
      <c r="J2264" s="19">
        <f>IFERROR(__xludf.DUMMYFUNCTION("""COMPUTED_VALUE"""),0.1477)</f>
        <v>0.1477</v>
      </c>
      <c r="K2264" s="19">
        <f>IFERROR(__xludf.DUMMYFUNCTION("""COMPUTED_VALUE"""),0.1846)</f>
        <v>0.1846</v>
      </c>
      <c r="L2264" s="19">
        <f>IFERROR(__xludf.DUMMYFUNCTION("""COMPUTED_VALUE"""),0.2216)</f>
        <v>0.2216</v>
      </c>
      <c r="M2264" s="18">
        <f>IFERROR(__xludf.DUMMYFUNCTION("""COMPUTED_VALUE"""),2.16)</f>
        <v>2.16</v>
      </c>
    </row>
    <row r="2265">
      <c r="A2265" s="13" t="str">
        <f>IFERROR(__xludf.DUMMYFUNCTION("""COMPUTED_VALUE"""),"товари")</f>
        <v>товари</v>
      </c>
      <c r="B2265" s="16" t="str">
        <f>IFERROR(__xludf.DUMMYFUNCTION("""COMPUTED_VALUE"""),"медикаменти та медичні товари")</f>
        <v>медикаменти та медичні товари</v>
      </c>
      <c r="C2265" s="16" t="str">
        <f>IFERROR(__xludf.DUMMYFUNCTION("""COMPUTED_VALUE"""),"ортопедичні товари")</f>
        <v>ортопедичні товари</v>
      </c>
      <c r="D2265" s="16" t="str">
        <f>IFERROR(__xludf.DUMMYFUNCTION("""COMPUTED_VALUE"""),"бандажі післяопераційні і зігріваючі пояси")</f>
        <v>бандажі післяопераційні і зігріваючі пояси</v>
      </c>
      <c r="E2265" s="16" t="str">
        <f>IFERROR(__xludf.DUMMYFUNCTION("""COMPUTED_VALUE"""),"бандажі післяопераційні і зігріваючі пояси")</f>
        <v>бандажі післяопераційні і зігріваючі пояси</v>
      </c>
      <c r="F2265" s="17">
        <f>IFERROR(__xludf.DUMMYFUNCTION("""COMPUTED_VALUE"""),3.0)</f>
        <v>3</v>
      </c>
      <c r="G2265" s="17" t="str">
        <f>IFERROR(__xludf.DUMMYFUNCTION("""COMPUTED_VALUE"""),"401005")</f>
        <v>401005</v>
      </c>
      <c r="H2265" s="17" t="str">
        <f>IFERROR(__xludf.DUMMYFUNCTION("""COMPUTED_VALUE"""),"бандажі післяопераційні і зігріваючі пояси")</f>
        <v>бандажі післяопераційні і зігріваючі пояси</v>
      </c>
      <c r="I2265" s="19">
        <f>IFERROR(__xludf.DUMMYFUNCTION("""COMPUTED_VALUE"""),0.0769)</f>
        <v>0.0769</v>
      </c>
      <c r="J2265" s="19">
        <f>IFERROR(__xludf.DUMMYFUNCTION("""COMPUTED_VALUE"""),0.1537)</f>
        <v>0.1537</v>
      </c>
      <c r="K2265" s="19">
        <f>IFERROR(__xludf.DUMMYFUNCTION("""COMPUTED_VALUE"""),0.1921)</f>
        <v>0.1921</v>
      </c>
      <c r="L2265" s="19">
        <f>IFERROR(__xludf.DUMMYFUNCTION("""COMPUTED_VALUE"""),0.2306)</f>
        <v>0.2306</v>
      </c>
      <c r="M2265" s="18">
        <f>IFERROR(__xludf.DUMMYFUNCTION("""COMPUTED_VALUE"""),2.34)</f>
        <v>2.34</v>
      </c>
    </row>
    <row r="2266">
      <c r="A2266" s="13" t="str">
        <f>IFERROR(__xludf.DUMMYFUNCTION("""COMPUTED_VALUE"""),"товари")</f>
        <v>товари</v>
      </c>
      <c r="B2266" s="16" t="str">
        <f>IFERROR(__xludf.DUMMYFUNCTION("""COMPUTED_VALUE"""),"медикаменти та медичні товари")</f>
        <v>медикаменти та медичні товари</v>
      </c>
      <c r="C2266" s="16" t="str">
        <f>IFERROR(__xludf.DUMMYFUNCTION("""COMPUTED_VALUE"""),"лікарські засоби")</f>
        <v>лікарські засоби</v>
      </c>
      <c r="D2266" s="16" t="str">
        <f>IFERROR(__xludf.DUMMYFUNCTION("""COMPUTED_VALUE"""),"вітаміни, амінокислоти і коферменти")</f>
        <v>вітаміни, амінокислоти і коферменти</v>
      </c>
      <c r="E2266" s="16" t="str">
        <f>IFERROR(__xludf.DUMMYFUNCTION("""COMPUTED_VALUE"""),"вітаміни, амінокислоти і коферменти")</f>
        <v>вітаміни, амінокислоти і коферменти</v>
      </c>
      <c r="F2266" s="17">
        <f>IFERROR(__xludf.DUMMYFUNCTION("""COMPUTED_VALUE"""),3.0)</f>
        <v>3</v>
      </c>
      <c r="G2266" s="17" t="str">
        <f>IFERROR(__xludf.DUMMYFUNCTION("""COMPUTED_VALUE"""),"160417")</f>
        <v>160417</v>
      </c>
      <c r="H2266" s="17" t="str">
        <f>IFERROR(__xludf.DUMMYFUNCTION("""COMPUTED_VALUE"""),"вітаміни, амінокислоти і коферменти")</f>
        <v>вітаміни, амінокислоти і коферменти</v>
      </c>
      <c r="I2266" s="19">
        <f>IFERROR(__xludf.DUMMYFUNCTION("""COMPUTED_VALUE"""),0.0688)</f>
        <v>0.0688</v>
      </c>
      <c r="J2266" s="19">
        <f>IFERROR(__xludf.DUMMYFUNCTION("""COMPUTED_VALUE"""),0.1375)</f>
        <v>0.1375</v>
      </c>
      <c r="K2266" s="19">
        <f>IFERROR(__xludf.DUMMYFUNCTION("""COMPUTED_VALUE"""),0.1719)</f>
        <v>0.1719</v>
      </c>
      <c r="L2266" s="19">
        <f>IFERROR(__xludf.DUMMYFUNCTION("""COMPUTED_VALUE"""),0.2063)</f>
        <v>0.2063</v>
      </c>
      <c r="M2266" s="18">
        <f>IFERROR(__xludf.DUMMYFUNCTION("""COMPUTED_VALUE"""),2.34)</f>
        <v>2.34</v>
      </c>
    </row>
    <row r="2267">
      <c r="A2267" s="13" t="str">
        <f>IFERROR(__xludf.DUMMYFUNCTION("""COMPUTED_VALUE"""),"товари")</f>
        <v>товари</v>
      </c>
      <c r="B2267" s="16" t="str">
        <f>IFERROR(__xludf.DUMMYFUNCTION("""COMPUTED_VALUE"""),"медикаменти та медичні товари")</f>
        <v>медикаменти та медичні товари</v>
      </c>
      <c r="C2267" s="16" t="str">
        <f>IFERROR(__xludf.DUMMYFUNCTION("""COMPUTED_VALUE"""),"товари медичного призначення")</f>
        <v>товари медичного призначення</v>
      </c>
      <c r="D2267" s="16" t="str">
        <f>IFERROR(__xludf.DUMMYFUNCTION("""COMPUTED_VALUE"""),"водяні грілки і кріопакети")</f>
        <v>водяні грілки і кріопакети</v>
      </c>
      <c r="E2267" s="16" t="str">
        <f>IFERROR(__xludf.DUMMYFUNCTION("""COMPUTED_VALUE"""),"водяні грілки і кріопакети")</f>
        <v>водяні грілки і кріопакети</v>
      </c>
      <c r="F2267" s="17">
        <f>IFERROR(__xludf.DUMMYFUNCTION("""COMPUTED_VALUE"""),3.0)</f>
        <v>3</v>
      </c>
      <c r="G2267" s="17" t="str">
        <f>IFERROR(__xludf.DUMMYFUNCTION("""COMPUTED_VALUE"""),"161218")</f>
        <v>161218</v>
      </c>
      <c r="H2267" s="17" t="str">
        <f>IFERROR(__xludf.DUMMYFUNCTION("""COMPUTED_VALUE"""),"водяні грілки і кріопакети")</f>
        <v>водяні грілки і кріопакети</v>
      </c>
      <c r="I2267" s="19">
        <f>IFERROR(__xludf.DUMMYFUNCTION("""COMPUTED_VALUE"""),0.054)</f>
        <v>0.054</v>
      </c>
      <c r="J2267" s="19">
        <f>IFERROR(__xludf.DUMMYFUNCTION("""COMPUTED_VALUE"""),0.108)</f>
        <v>0.108</v>
      </c>
      <c r="K2267" s="19">
        <f>IFERROR(__xludf.DUMMYFUNCTION("""COMPUTED_VALUE"""),0.135)</f>
        <v>0.135</v>
      </c>
      <c r="L2267" s="19">
        <f>IFERROR(__xludf.DUMMYFUNCTION("""COMPUTED_VALUE"""),0.162)</f>
        <v>0.162</v>
      </c>
      <c r="M2267" s="18">
        <f>IFERROR(__xludf.DUMMYFUNCTION("""COMPUTED_VALUE"""),1.71)</f>
        <v>1.71</v>
      </c>
    </row>
    <row r="2268">
      <c r="A2268" s="13" t="str">
        <f>IFERROR(__xludf.DUMMYFUNCTION("""COMPUTED_VALUE"""),"товари")</f>
        <v>товари</v>
      </c>
      <c r="B2268" s="16" t="str">
        <f>IFERROR(__xludf.DUMMYFUNCTION("""COMPUTED_VALUE"""),"медикаменти та медичні товари")</f>
        <v>медикаменти та медичні товари</v>
      </c>
      <c r="C2268" s="16" t="str">
        <f>IFERROR(__xludf.DUMMYFUNCTION("""COMPUTED_VALUE"""),"товари медичного призначення")</f>
        <v>товари медичного призначення</v>
      </c>
      <c r="D2268" s="16" t="str">
        <f>IFERROR(__xludf.DUMMYFUNCTION("""COMPUTED_VALUE"""),"голки, шприци")</f>
        <v>голки, шприци</v>
      </c>
      <c r="E2268" s="16" t="str">
        <f>IFERROR(__xludf.DUMMYFUNCTION("""COMPUTED_VALUE"""),"голки, шприци")</f>
        <v>голки, шприци</v>
      </c>
      <c r="F2268" s="17">
        <f>IFERROR(__xludf.DUMMYFUNCTION("""COMPUTED_VALUE"""),3.0)</f>
        <v>3</v>
      </c>
      <c r="G2268" s="17" t="str">
        <f>IFERROR(__xludf.DUMMYFUNCTION("""COMPUTED_VALUE"""),"161204")</f>
        <v>161204</v>
      </c>
      <c r="H2268" s="17" t="str">
        <f>IFERROR(__xludf.DUMMYFUNCTION("""COMPUTED_VALUE"""),"голки, шприци")</f>
        <v>голки, шприци</v>
      </c>
      <c r="I2268" s="19">
        <f>IFERROR(__xludf.DUMMYFUNCTION("""COMPUTED_VALUE"""),0.0738)</f>
        <v>0.0738</v>
      </c>
      <c r="J2268" s="19">
        <f>IFERROR(__xludf.DUMMYFUNCTION("""COMPUTED_VALUE"""),0.1475)</f>
        <v>0.1475</v>
      </c>
      <c r="K2268" s="19">
        <f>IFERROR(__xludf.DUMMYFUNCTION("""COMPUTED_VALUE"""),0.1844)</f>
        <v>0.1844</v>
      </c>
      <c r="L2268" s="19">
        <f>IFERROR(__xludf.DUMMYFUNCTION("""COMPUTED_VALUE"""),0.2213)</f>
        <v>0.2213</v>
      </c>
      <c r="M2268" s="18">
        <f>IFERROR(__xludf.DUMMYFUNCTION("""COMPUTED_VALUE"""),3.6)</f>
        <v>3.6</v>
      </c>
    </row>
    <row r="2269">
      <c r="A2269" s="13" t="str">
        <f>IFERROR(__xludf.DUMMYFUNCTION("""COMPUTED_VALUE"""),"товари")</f>
        <v>товари</v>
      </c>
      <c r="B2269" s="16" t="str">
        <f>IFERROR(__xludf.DUMMYFUNCTION("""COMPUTED_VALUE"""),"медикаменти та медичні товари")</f>
        <v>медикаменти та медичні товари</v>
      </c>
      <c r="C2269" s="16" t="str">
        <f>IFERROR(__xludf.DUMMYFUNCTION("""COMPUTED_VALUE"""),"лікарські засоби")</f>
        <v>лікарські засоби</v>
      </c>
      <c r="D2269" s="16" t="str">
        <f>IFERROR(__xludf.DUMMYFUNCTION("""COMPUTED_VALUE"""),"нервова система")</f>
        <v>нервова система</v>
      </c>
      <c r="E2269" s="16" t="str">
        <f>IFERROR(__xludf.DUMMYFUNCTION("""COMPUTED_VALUE"""),"депресанти та стимулятори центральної нервової системи")</f>
        <v>депресанти та стимулятори центральної нервової системи</v>
      </c>
      <c r="F2269" s="17">
        <f>IFERROR(__xludf.DUMMYFUNCTION("""COMPUTED_VALUE"""),4.0)</f>
        <v>4</v>
      </c>
      <c r="G2269" s="17" t="str">
        <f>IFERROR(__xludf.DUMMYFUNCTION("""COMPUTED_VALUE"""),"160410")</f>
        <v>160410</v>
      </c>
      <c r="H2269" s="17" t="str">
        <f>IFERROR(__xludf.DUMMYFUNCTION("""COMPUTED_VALUE"""),"депресанти та стимулятори центральної нервової системи")</f>
        <v>депресанти та стимулятори центральної нервової системи</v>
      </c>
      <c r="I2269" s="19">
        <f>IFERROR(__xludf.DUMMYFUNCTION("""COMPUTED_VALUE"""),0.0456)</f>
        <v>0.0456</v>
      </c>
      <c r="J2269" s="19">
        <f>IFERROR(__xludf.DUMMYFUNCTION("""COMPUTED_VALUE"""),0.0911)</f>
        <v>0.0911</v>
      </c>
      <c r="K2269" s="19">
        <f>IFERROR(__xludf.DUMMYFUNCTION("""COMPUTED_VALUE"""),0.1139)</f>
        <v>0.1139</v>
      </c>
      <c r="L2269" s="19">
        <f>IFERROR(__xludf.DUMMYFUNCTION("""COMPUTED_VALUE"""),0.1367)</f>
        <v>0.1367</v>
      </c>
      <c r="M2269" s="18">
        <f>IFERROR(__xludf.DUMMYFUNCTION("""COMPUTED_VALUE"""),1.8)</f>
        <v>1.8</v>
      </c>
    </row>
    <row r="2270">
      <c r="A2270" s="13" t="str">
        <f>IFERROR(__xludf.DUMMYFUNCTION("""COMPUTED_VALUE"""),"товари")</f>
        <v>товари</v>
      </c>
      <c r="B2270" s="16" t="str">
        <f>IFERROR(__xludf.DUMMYFUNCTION("""COMPUTED_VALUE"""),"медикаменти та медичні товари")</f>
        <v>медикаменти та медичні товари</v>
      </c>
      <c r="C2270" s="16" t="str">
        <f>IFERROR(__xludf.DUMMYFUNCTION("""COMPUTED_VALUE"""),"лікарські засоби")</f>
        <v>лікарські засоби</v>
      </c>
      <c r="D2270" s="16" t="str">
        <f>IFERROR(__xludf.DUMMYFUNCTION("""COMPUTED_VALUE"""),"дерматологічні засоби")</f>
        <v>дерматологічні засоби</v>
      </c>
      <c r="E2270" s="16" t="str">
        <f>IFERROR(__xludf.DUMMYFUNCTION("""COMPUTED_VALUE"""),"дерматологічні засоби, загальне")</f>
        <v>дерматологічні засоби, загальне</v>
      </c>
      <c r="F2270" s="17">
        <f>IFERROR(__xludf.DUMMYFUNCTION("""COMPUTED_VALUE"""),4.0)</f>
        <v>4</v>
      </c>
      <c r="G2270" s="17" t="str">
        <f>IFERROR(__xludf.DUMMYFUNCTION("""COMPUTED_VALUE"""),"401230")</f>
        <v>401230</v>
      </c>
      <c r="H2270" s="17" t="str">
        <f>IFERROR(__xludf.DUMMYFUNCTION("""COMPUTED_VALUE"""),"дерматологічні засоби, загальне")</f>
        <v>дерматологічні засоби, загальне</v>
      </c>
      <c r="I2270" s="19">
        <f>IFERROR(__xludf.DUMMYFUNCTION("""COMPUTED_VALUE"""),0.125)</f>
        <v>0.125</v>
      </c>
      <c r="J2270" s="19">
        <f>IFERROR(__xludf.DUMMYFUNCTION("""COMPUTED_VALUE"""),0.25)</f>
        <v>0.25</v>
      </c>
      <c r="K2270" s="19">
        <f>IFERROR(__xludf.DUMMYFUNCTION("""COMPUTED_VALUE"""),0.3125)</f>
        <v>0.3125</v>
      </c>
      <c r="L2270" s="19">
        <f>IFERROR(__xludf.DUMMYFUNCTION("""COMPUTED_VALUE"""),0.375)</f>
        <v>0.375</v>
      </c>
      <c r="M2270" s="18">
        <f>IFERROR(__xludf.DUMMYFUNCTION("""COMPUTED_VALUE"""),4.33)</f>
        <v>4.33</v>
      </c>
    </row>
    <row r="2271">
      <c r="A2271" s="13" t="str">
        <f>IFERROR(__xludf.DUMMYFUNCTION("""COMPUTED_VALUE"""),"товари")</f>
        <v>товари</v>
      </c>
      <c r="B2271" s="16" t="str">
        <f>IFERROR(__xludf.DUMMYFUNCTION("""COMPUTED_VALUE"""),"медикаменти та медичні товари")</f>
        <v>медикаменти та медичні товари</v>
      </c>
      <c r="C2271" s="16" t="str">
        <f>IFERROR(__xludf.DUMMYFUNCTION("""COMPUTED_VALUE"""),"товари медичного призначення")</f>
        <v>товари медичного призначення</v>
      </c>
      <c r="D2271" s="16" t="str">
        <f>IFERROR(__xludf.DUMMYFUNCTION("""COMPUTED_VALUE"""),"експрес-тести")</f>
        <v>експрес-тести</v>
      </c>
      <c r="E2271" s="16" t="str">
        <f>IFERROR(__xludf.DUMMYFUNCTION("""COMPUTED_VALUE"""),"експрес-тести")</f>
        <v>експрес-тести</v>
      </c>
      <c r="F2271" s="17">
        <f>IFERROR(__xludf.DUMMYFUNCTION("""COMPUTED_VALUE"""),3.0)</f>
        <v>3</v>
      </c>
      <c r="G2271" s="17" t="str">
        <f>IFERROR(__xludf.DUMMYFUNCTION("""COMPUTED_VALUE"""),"161311")</f>
        <v>161311</v>
      </c>
      <c r="H2271" s="17" t="str">
        <f>IFERROR(__xludf.DUMMYFUNCTION("""COMPUTED_VALUE"""),"експрес-тести")</f>
        <v>експрес-тести</v>
      </c>
      <c r="I2271" s="19">
        <f>IFERROR(__xludf.DUMMYFUNCTION("""COMPUTED_VALUE"""),0.0697)</f>
        <v>0.0697</v>
      </c>
      <c r="J2271" s="19">
        <f>IFERROR(__xludf.DUMMYFUNCTION("""COMPUTED_VALUE"""),0.1394)</f>
        <v>0.1394</v>
      </c>
      <c r="K2271" s="19">
        <f>IFERROR(__xludf.DUMMYFUNCTION("""COMPUTED_VALUE"""),0.1743)</f>
        <v>0.1743</v>
      </c>
      <c r="L2271" s="19">
        <f>IFERROR(__xludf.DUMMYFUNCTION("""COMPUTED_VALUE"""),0.2091)</f>
        <v>0.2091</v>
      </c>
      <c r="M2271" s="18">
        <f>IFERROR(__xludf.DUMMYFUNCTION("""COMPUTED_VALUE"""),5.4)</f>
        <v>5.4</v>
      </c>
    </row>
    <row r="2272">
      <c r="A2272" s="13" t="str">
        <f>IFERROR(__xludf.DUMMYFUNCTION("""COMPUTED_VALUE"""),"товари")</f>
        <v>товари</v>
      </c>
      <c r="B2272" s="16" t="str">
        <f>IFERROR(__xludf.DUMMYFUNCTION("""COMPUTED_VALUE"""),"медикаменти та медичні товари")</f>
        <v>медикаменти та медичні товари</v>
      </c>
      <c r="C2272" s="16" t="str">
        <f>IFERROR(__xludf.DUMMYFUNCTION("""COMPUTED_VALUE"""),"лікарські засоби")</f>
        <v>лікарські засоби</v>
      </c>
      <c r="D2272" s="16" t="str">
        <f>IFERROR(__xludf.DUMMYFUNCTION("""COMPUTED_VALUE"""),"засоби діагностики захворювань")</f>
        <v>засоби діагностики захворювань</v>
      </c>
      <c r="E2272" s="16" t="str">
        <f>IFERROR(__xludf.DUMMYFUNCTION("""COMPUTED_VALUE"""),"засоби діагностики захворювань")</f>
        <v>засоби діагностики захворювань</v>
      </c>
      <c r="F2272" s="17">
        <f>IFERROR(__xludf.DUMMYFUNCTION("""COMPUTED_VALUE"""),3.0)</f>
        <v>3</v>
      </c>
      <c r="G2272" s="17" t="str">
        <f>IFERROR(__xludf.DUMMYFUNCTION("""COMPUTED_VALUE"""),"162403")</f>
        <v>162403</v>
      </c>
      <c r="H2272" s="17" t="str">
        <f>IFERROR(__xludf.DUMMYFUNCTION("""COMPUTED_VALUE"""),"засоби діагностики захворювань")</f>
        <v>засоби діагностики захворювань</v>
      </c>
      <c r="I2272" s="19">
        <f>IFERROR(__xludf.DUMMYFUNCTION("""COMPUTED_VALUE"""),0.0704)</f>
        <v>0.0704</v>
      </c>
      <c r="J2272" s="19">
        <f>IFERROR(__xludf.DUMMYFUNCTION("""COMPUTED_VALUE"""),0.1407)</f>
        <v>0.1407</v>
      </c>
      <c r="K2272" s="19">
        <f>IFERROR(__xludf.DUMMYFUNCTION("""COMPUTED_VALUE"""),0.1759)</f>
        <v>0.1759</v>
      </c>
      <c r="L2272" s="19">
        <f>IFERROR(__xludf.DUMMYFUNCTION("""COMPUTED_VALUE"""),0.2111)</f>
        <v>0.2111</v>
      </c>
      <c r="M2272" s="18">
        <f>IFERROR(__xludf.DUMMYFUNCTION("""COMPUTED_VALUE"""),1.05)</f>
        <v>1.05</v>
      </c>
    </row>
    <row r="2273">
      <c r="A2273" s="13" t="str">
        <f>IFERROR(__xludf.DUMMYFUNCTION("""COMPUTED_VALUE"""),"товари")</f>
        <v>товари</v>
      </c>
      <c r="B2273" s="16" t="str">
        <f>IFERROR(__xludf.DUMMYFUNCTION("""COMPUTED_VALUE"""),"медикаменти та медичні товари")</f>
        <v>медикаменти та медичні товари</v>
      </c>
      <c r="C2273" s="16" t="str">
        <f>IFERROR(__xludf.DUMMYFUNCTION("""COMPUTED_VALUE"""),"товари для людей з інвалідністю")</f>
        <v>товари для людей з інвалідністю</v>
      </c>
      <c r="D2273" s="16" t="str">
        <f>IFERROR(__xludf.DUMMYFUNCTION("""COMPUTED_VALUE"""),"засоби для догляду за лежачими хворими")</f>
        <v>засоби для догляду за лежачими хворими</v>
      </c>
      <c r="E2273" s="16" t="str">
        <f>IFERROR(__xludf.DUMMYFUNCTION("""COMPUTED_VALUE"""),"засоби для догляду за лежачими хворими")</f>
        <v>засоби для догляду за лежачими хворими</v>
      </c>
      <c r="F2273" s="17">
        <f>IFERROR(__xludf.DUMMYFUNCTION("""COMPUTED_VALUE"""),3.0)</f>
        <v>3</v>
      </c>
      <c r="G2273" s="17" t="str">
        <f>IFERROR(__xludf.DUMMYFUNCTION("""COMPUTED_VALUE"""),"400917")</f>
        <v>400917</v>
      </c>
      <c r="H2273" s="17" t="str">
        <f>IFERROR(__xludf.DUMMYFUNCTION("""COMPUTED_VALUE"""),"засоби для догляду за лежачими хворими")</f>
        <v>засоби для догляду за лежачими хворими</v>
      </c>
      <c r="I2273" s="19">
        <f>IFERROR(__xludf.DUMMYFUNCTION("""COMPUTED_VALUE"""),0.0715)</f>
        <v>0.0715</v>
      </c>
      <c r="J2273" s="19">
        <f>IFERROR(__xludf.DUMMYFUNCTION("""COMPUTED_VALUE"""),0.143)</f>
        <v>0.143</v>
      </c>
      <c r="K2273" s="19">
        <f>IFERROR(__xludf.DUMMYFUNCTION("""COMPUTED_VALUE"""),0.1788)</f>
        <v>0.1788</v>
      </c>
      <c r="L2273" s="19">
        <f>IFERROR(__xludf.DUMMYFUNCTION("""COMPUTED_VALUE"""),0.2145)</f>
        <v>0.2145</v>
      </c>
      <c r="M2273" s="18">
        <f>IFERROR(__xludf.DUMMYFUNCTION("""COMPUTED_VALUE"""),1.05)</f>
        <v>1.05</v>
      </c>
    </row>
    <row r="2274">
      <c r="A2274" s="13" t="str">
        <f>IFERROR(__xludf.DUMMYFUNCTION("""COMPUTED_VALUE"""),"товари")</f>
        <v>товари</v>
      </c>
      <c r="B2274" s="16" t="str">
        <f>IFERROR(__xludf.DUMMYFUNCTION("""COMPUTED_VALUE"""),"медикаменти та медичні товари")</f>
        <v>медикаменти та медичні товари</v>
      </c>
      <c r="C2274" s="16" t="str">
        <f>IFERROR(__xludf.DUMMYFUNCTION("""COMPUTED_VALUE"""),"препарати для схуднення")</f>
        <v>препарати для схуднення</v>
      </c>
      <c r="D2274" s="16" t="str">
        <f>IFERROR(__xludf.DUMMYFUNCTION("""COMPUTED_VALUE"""),"засоби для схуднення")</f>
        <v>засоби для схуднення</v>
      </c>
      <c r="E2274" s="16" t="str">
        <f>IFERROR(__xludf.DUMMYFUNCTION("""COMPUTED_VALUE"""),"засоби для схуднення")</f>
        <v>засоби для схуднення</v>
      </c>
      <c r="F2274" s="17">
        <f>IFERROR(__xludf.DUMMYFUNCTION("""COMPUTED_VALUE"""),3.0)</f>
        <v>3</v>
      </c>
      <c r="G2274" s="17" t="str">
        <f>IFERROR(__xludf.DUMMYFUNCTION("""COMPUTED_VALUE"""),"16030601")</f>
        <v>16030601</v>
      </c>
      <c r="H2274" s="17" t="str">
        <f>IFERROR(__xludf.DUMMYFUNCTION("""COMPUTED_VALUE"""),"засоби для схуднення")</f>
        <v>засоби для схуднення</v>
      </c>
      <c r="I2274" s="19">
        <f>IFERROR(__xludf.DUMMYFUNCTION("""COMPUTED_VALUE"""),0.0759)</f>
        <v>0.0759</v>
      </c>
      <c r="J2274" s="19">
        <f>IFERROR(__xludf.DUMMYFUNCTION("""COMPUTED_VALUE"""),0.1517)</f>
        <v>0.1517</v>
      </c>
      <c r="K2274" s="19">
        <f>IFERROR(__xludf.DUMMYFUNCTION("""COMPUTED_VALUE"""),0.1896)</f>
        <v>0.1896</v>
      </c>
      <c r="L2274" s="19">
        <f>IFERROR(__xludf.DUMMYFUNCTION("""COMPUTED_VALUE"""),0.2276)</f>
        <v>0.2276</v>
      </c>
      <c r="M2274" s="18">
        <f>IFERROR(__xludf.DUMMYFUNCTION("""COMPUTED_VALUE"""),3.78)</f>
        <v>3.78</v>
      </c>
    </row>
    <row r="2275">
      <c r="A2275" s="13" t="str">
        <f>IFERROR(__xludf.DUMMYFUNCTION("""COMPUTED_VALUE"""),"товари")</f>
        <v>товари</v>
      </c>
      <c r="B2275" s="16" t="str">
        <f>IFERROR(__xludf.DUMMYFUNCTION("""COMPUTED_VALUE"""),"медикаменти та медичні товари")</f>
        <v>медикаменти та медичні товари</v>
      </c>
      <c r="C2275" s="16" t="str">
        <f>IFERROR(__xludf.DUMMYFUNCTION("""COMPUTED_VALUE"""),"ортопедичні товари")</f>
        <v>ортопедичні товари</v>
      </c>
      <c r="D2275" s="16" t="str">
        <f>IFERROR(__xludf.DUMMYFUNCTION("""COMPUTED_VALUE"""),"зігріваючі шерстяні пояси")</f>
        <v>зігріваючі шерстяні пояси</v>
      </c>
      <c r="E2275" s="16" t="str">
        <f>IFERROR(__xludf.DUMMYFUNCTION("""COMPUTED_VALUE"""),"зігріваючі шерстяні пояси")</f>
        <v>зігріваючі шерстяні пояси</v>
      </c>
      <c r="F2275" s="17">
        <f>IFERROR(__xludf.DUMMYFUNCTION("""COMPUTED_VALUE"""),3.0)</f>
        <v>3</v>
      </c>
      <c r="G2275" s="17" t="str">
        <f>IFERROR(__xludf.DUMMYFUNCTION("""COMPUTED_VALUE"""),"401012")</f>
        <v>401012</v>
      </c>
      <c r="H2275" s="17" t="str">
        <f>IFERROR(__xludf.DUMMYFUNCTION("""COMPUTED_VALUE"""),"зігріваючі шерстяні пояси")</f>
        <v>зігріваючі шерстяні пояси</v>
      </c>
      <c r="I2275" s="19">
        <f>IFERROR(__xludf.DUMMYFUNCTION("""COMPUTED_VALUE"""),0.0805)</f>
        <v>0.0805</v>
      </c>
      <c r="J2275" s="19">
        <f>IFERROR(__xludf.DUMMYFUNCTION("""COMPUTED_VALUE"""),0.161)</f>
        <v>0.161</v>
      </c>
      <c r="K2275" s="19">
        <f>IFERROR(__xludf.DUMMYFUNCTION("""COMPUTED_VALUE"""),0.2013)</f>
        <v>0.2013</v>
      </c>
      <c r="L2275" s="19">
        <f>IFERROR(__xludf.DUMMYFUNCTION("""COMPUTED_VALUE"""),0.2415)</f>
        <v>0.2415</v>
      </c>
      <c r="M2275" s="18">
        <f>IFERROR(__xludf.DUMMYFUNCTION("""COMPUTED_VALUE"""),1.63)</f>
        <v>1.63</v>
      </c>
    </row>
    <row r="2276">
      <c r="A2276" s="13" t="str">
        <f>IFERROR(__xludf.DUMMYFUNCTION("""COMPUTED_VALUE"""),"товари")</f>
        <v>товари</v>
      </c>
      <c r="B2276" s="16" t="str">
        <f>IFERROR(__xludf.DUMMYFUNCTION("""COMPUTED_VALUE"""),"медикаменти та медичні товари")</f>
        <v>медикаменти та медичні товари</v>
      </c>
      <c r="C2276" s="16" t="str">
        <f>IFERROR(__xludf.DUMMYFUNCTION("""COMPUTED_VALUE"""),"лікарські засоби")</f>
        <v>лікарські засоби</v>
      </c>
      <c r="D2276" s="16" t="str">
        <f>IFERROR(__xludf.DUMMYFUNCTION("""COMPUTED_VALUE"""),"знеболюючі та протизапальні препарати")</f>
        <v>знеболюючі та протизапальні препарати</v>
      </c>
      <c r="E2276" s="16" t="str">
        <f>IFERROR(__xludf.DUMMYFUNCTION("""COMPUTED_VALUE"""),"знеболюючі та протизапальні препарати")</f>
        <v>знеболюючі та протизапальні препарати</v>
      </c>
      <c r="F2276" s="17">
        <f>IFERROR(__xludf.DUMMYFUNCTION("""COMPUTED_VALUE"""),3.0)</f>
        <v>3</v>
      </c>
      <c r="G2276" s="17" t="str">
        <f>IFERROR(__xludf.DUMMYFUNCTION("""COMPUTED_VALUE"""),"160406")</f>
        <v>160406</v>
      </c>
      <c r="H2276" s="17" t="str">
        <f>IFERROR(__xludf.DUMMYFUNCTION("""COMPUTED_VALUE"""),"знеболюючі та протизапальні препарати")</f>
        <v>знеболюючі та протизапальні препарати</v>
      </c>
      <c r="I2276" s="19">
        <f>IFERROR(__xludf.DUMMYFUNCTION("""COMPUTED_VALUE"""),0.0601)</f>
        <v>0.0601</v>
      </c>
      <c r="J2276" s="19">
        <f>IFERROR(__xludf.DUMMYFUNCTION("""COMPUTED_VALUE"""),0.1201)</f>
        <v>0.1201</v>
      </c>
      <c r="K2276" s="19">
        <f>IFERROR(__xludf.DUMMYFUNCTION("""COMPUTED_VALUE"""),0.1501)</f>
        <v>0.1501</v>
      </c>
      <c r="L2276" s="19">
        <f>IFERROR(__xludf.DUMMYFUNCTION("""COMPUTED_VALUE"""),0.1802)</f>
        <v>0.1802</v>
      </c>
      <c r="M2276" s="18">
        <f>IFERROR(__xludf.DUMMYFUNCTION("""COMPUTED_VALUE"""),2.08)</f>
        <v>2.08</v>
      </c>
    </row>
    <row r="2277">
      <c r="A2277" s="13" t="str">
        <f>IFERROR(__xludf.DUMMYFUNCTION("""COMPUTED_VALUE"""),"товари")</f>
        <v>товари</v>
      </c>
      <c r="B2277" s="16" t="str">
        <f>IFERROR(__xludf.DUMMYFUNCTION("""COMPUTED_VALUE"""),"медикаменти та медичні товари")</f>
        <v>медикаменти та медичні товари</v>
      </c>
      <c r="C2277" s="16" t="str">
        <f>IFERROR(__xludf.DUMMYFUNCTION("""COMPUTED_VALUE"""),"лікарські засоби")</f>
        <v>лікарські засоби</v>
      </c>
      <c r="D2277" s="16" t="str">
        <f>IFERROR(__xludf.DUMMYFUNCTION("""COMPUTED_VALUE"""),"препарати для імунної системи")</f>
        <v>препарати для імунної системи</v>
      </c>
      <c r="E2277" s="16" t="str">
        <f>IFERROR(__xludf.DUMMYFUNCTION("""COMPUTED_VALUE"""),"імуномодулятори")</f>
        <v>імуномодулятори</v>
      </c>
      <c r="F2277" s="17">
        <f>IFERROR(__xludf.DUMMYFUNCTION("""COMPUTED_VALUE"""),4.0)</f>
        <v>4</v>
      </c>
      <c r="G2277" s="17" t="str">
        <f>IFERROR(__xludf.DUMMYFUNCTION("""COMPUTED_VALUE"""),"1608")</f>
        <v>1608</v>
      </c>
      <c r="H2277" s="17" t="str">
        <f>IFERROR(__xludf.DUMMYFUNCTION("""COMPUTED_VALUE"""),"імуномодулятори")</f>
        <v>імуномодулятори</v>
      </c>
      <c r="I2277" s="19">
        <f>IFERROR(__xludf.DUMMYFUNCTION("""COMPUTED_VALUE"""),0.0403)</f>
        <v>0.0403</v>
      </c>
      <c r="J2277" s="19">
        <f>IFERROR(__xludf.DUMMYFUNCTION("""COMPUTED_VALUE"""),0.0805)</f>
        <v>0.0805</v>
      </c>
      <c r="K2277" s="19">
        <f>IFERROR(__xludf.DUMMYFUNCTION("""COMPUTED_VALUE"""),0.1006)</f>
        <v>0.1006</v>
      </c>
      <c r="L2277" s="19">
        <f>IFERROR(__xludf.DUMMYFUNCTION("""COMPUTED_VALUE"""),0.1208)</f>
        <v>0.1208</v>
      </c>
      <c r="M2277" s="18">
        <f>IFERROR(__xludf.DUMMYFUNCTION("""COMPUTED_VALUE"""),1.05)</f>
        <v>1.05</v>
      </c>
    </row>
    <row r="2278">
      <c r="A2278" s="13" t="str">
        <f>IFERROR(__xludf.DUMMYFUNCTION("""COMPUTED_VALUE"""),"товари")</f>
        <v>товари</v>
      </c>
      <c r="B2278" s="16" t="str">
        <f>IFERROR(__xludf.DUMMYFUNCTION("""COMPUTED_VALUE"""),"медикаменти та медичні товари")</f>
        <v>медикаменти та медичні товари</v>
      </c>
      <c r="C2278" s="16" t="str">
        <f>IFERROR(__xludf.DUMMYFUNCTION("""COMPUTED_VALUE"""),"товари для людей з інвалідністю")</f>
        <v>товари для людей з інвалідністю</v>
      </c>
      <c r="D2278" s="16" t="str">
        <f>IFERROR(__xludf.DUMMYFUNCTION("""COMPUTED_VALUE"""),"крісла колісні")</f>
        <v>крісла колісні</v>
      </c>
      <c r="E2278" s="16" t="str">
        <f>IFERROR(__xludf.DUMMYFUNCTION("""COMPUTED_VALUE"""),"крісла колісні")</f>
        <v>крісла колісні</v>
      </c>
      <c r="F2278" s="17">
        <f>IFERROR(__xludf.DUMMYFUNCTION("""COMPUTED_VALUE"""),3.0)</f>
        <v>3</v>
      </c>
      <c r="G2278" s="17" t="str">
        <f>IFERROR(__xludf.DUMMYFUNCTION("""COMPUTED_VALUE"""),"400901")</f>
        <v>400901</v>
      </c>
      <c r="H2278" s="17" t="str">
        <f>IFERROR(__xludf.DUMMYFUNCTION("""COMPUTED_VALUE"""),"крісла колісні")</f>
        <v>крісла колісні</v>
      </c>
      <c r="I2278" s="19">
        <f>IFERROR(__xludf.DUMMYFUNCTION("""COMPUTED_VALUE"""),0.0598)</f>
        <v>0.0598</v>
      </c>
      <c r="J2278" s="19">
        <f>IFERROR(__xludf.DUMMYFUNCTION("""COMPUTED_VALUE"""),0.1195)</f>
        <v>0.1195</v>
      </c>
      <c r="K2278" s="19">
        <f>IFERROR(__xludf.DUMMYFUNCTION("""COMPUTED_VALUE"""),0.1494)</f>
        <v>0.1494</v>
      </c>
      <c r="L2278" s="19">
        <f>IFERROR(__xludf.DUMMYFUNCTION("""COMPUTED_VALUE"""),0.1793)</f>
        <v>0.1793</v>
      </c>
      <c r="M2278" s="18">
        <f>IFERROR(__xludf.DUMMYFUNCTION("""COMPUTED_VALUE"""),1.53)</f>
        <v>1.53</v>
      </c>
    </row>
    <row r="2279">
      <c r="A2279" s="13" t="str">
        <f>IFERROR(__xludf.DUMMYFUNCTION("""COMPUTED_VALUE"""),"товари")</f>
        <v>товари</v>
      </c>
      <c r="B2279" s="16" t="str">
        <f>IFERROR(__xludf.DUMMYFUNCTION("""COMPUTED_VALUE"""),"медикаменти та медичні товари")</f>
        <v>медикаменти та медичні товари</v>
      </c>
      <c r="C2279" s="16" t="str">
        <f>IFERROR(__xludf.DUMMYFUNCTION("""COMPUTED_VALUE"""),"товари медичного призначення")</f>
        <v>товари медичного призначення</v>
      </c>
      <c r="D2279" s="16" t="str">
        <f>IFERROR(__xludf.DUMMYFUNCTION("""COMPUTED_VALUE"""),"контейнери для збору аналізів")</f>
        <v>контейнери для збору аналізів</v>
      </c>
      <c r="E2279" s="16" t="str">
        <f>IFERROR(__xludf.DUMMYFUNCTION("""COMPUTED_VALUE"""),"контейнери для збору аналізів")</f>
        <v>контейнери для збору аналізів</v>
      </c>
      <c r="F2279" s="17">
        <f>IFERROR(__xludf.DUMMYFUNCTION("""COMPUTED_VALUE"""),3.0)</f>
        <v>3</v>
      </c>
      <c r="G2279" s="17" t="str">
        <f>IFERROR(__xludf.DUMMYFUNCTION("""COMPUTED_VALUE"""),"161216")</f>
        <v>161216</v>
      </c>
      <c r="H2279" s="17" t="str">
        <f>IFERROR(__xludf.DUMMYFUNCTION("""COMPUTED_VALUE"""),"контейнери для збору аналізів")</f>
        <v>контейнери для збору аналізів</v>
      </c>
      <c r="I2279" s="19">
        <f>IFERROR(__xludf.DUMMYFUNCTION("""COMPUTED_VALUE"""),0.0447)</f>
        <v>0.0447</v>
      </c>
      <c r="J2279" s="19">
        <f>IFERROR(__xludf.DUMMYFUNCTION("""COMPUTED_VALUE"""),0.0893)</f>
        <v>0.0893</v>
      </c>
      <c r="K2279" s="19">
        <f>IFERROR(__xludf.DUMMYFUNCTION("""COMPUTED_VALUE"""),0.1116)</f>
        <v>0.1116</v>
      </c>
      <c r="L2279" s="19">
        <f>IFERROR(__xludf.DUMMYFUNCTION("""COMPUTED_VALUE"""),0.134)</f>
        <v>0.134</v>
      </c>
      <c r="M2279" s="18">
        <f>IFERROR(__xludf.DUMMYFUNCTION("""COMPUTED_VALUE"""),4.41)</f>
        <v>4.41</v>
      </c>
    </row>
    <row r="2280">
      <c r="A2280" s="13" t="str">
        <f>IFERROR(__xludf.DUMMYFUNCTION("""COMPUTED_VALUE"""),"товари")</f>
        <v>товари</v>
      </c>
      <c r="B2280" s="16" t="str">
        <f>IFERROR(__xludf.DUMMYFUNCTION("""COMPUTED_VALUE"""),"медикаменти та медичні товари")</f>
        <v>медикаменти та медичні товари</v>
      </c>
      <c r="C2280" s="16" t="str">
        <f>IFERROR(__xludf.DUMMYFUNCTION("""COMPUTED_VALUE"""),"товари медичного призначення")</f>
        <v>товари медичного призначення</v>
      </c>
      <c r="D2280" s="16" t="str">
        <f>IFERROR(__xludf.DUMMYFUNCTION("""COMPUTED_VALUE"""),"контейнери для таблеток")</f>
        <v>контейнери для таблеток</v>
      </c>
      <c r="E2280" s="16" t="str">
        <f>IFERROR(__xludf.DUMMYFUNCTION("""COMPUTED_VALUE"""),"контейнери для таблеток")</f>
        <v>контейнери для таблеток</v>
      </c>
      <c r="F2280" s="17">
        <f>IFERROR(__xludf.DUMMYFUNCTION("""COMPUTED_VALUE"""),3.0)</f>
        <v>3</v>
      </c>
      <c r="G2280" s="17" t="str">
        <f>IFERROR(__xludf.DUMMYFUNCTION("""COMPUTED_VALUE"""),"161314")</f>
        <v>161314</v>
      </c>
      <c r="H2280" s="17" t="str">
        <f>IFERROR(__xludf.DUMMYFUNCTION("""COMPUTED_VALUE"""),"контейнери для таблеток")</f>
        <v>контейнери для таблеток</v>
      </c>
      <c r="I2280" s="19">
        <f>IFERROR(__xludf.DUMMYFUNCTION("""COMPUTED_VALUE"""),0.0748)</f>
        <v>0.0748</v>
      </c>
      <c r="J2280" s="19">
        <f>IFERROR(__xludf.DUMMYFUNCTION("""COMPUTED_VALUE"""),0.1496)</f>
        <v>0.1496</v>
      </c>
      <c r="K2280" s="19">
        <f>IFERROR(__xludf.DUMMYFUNCTION("""COMPUTED_VALUE"""),0.187)</f>
        <v>0.187</v>
      </c>
      <c r="L2280" s="19">
        <f>IFERROR(__xludf.DUMMYFUNCTION("""COMPUTED_VALUE"""),0.2244)</f>
        <v>0.2244</v>
      </c>
      <c r="M2280" s="18">
        <f>IFERROR(__xludf.DUMMYFUNCTION("""COMPUTED_VALUE"""),1.05)</f>
        <v>1.05</v>
      </c>
    </row>
    <row r="2281">
      <c r="A2281" s="13" t="str">
        <f>IFERROR(__xludf.DUMMYFUNCTION("""COMPUTED_VALUE"""),"товари")</f>
        <v>товари</v>
      </c>
      <c r="B2281" s="16" t="str">
        <f>IFERROR(__xludf.DUMMYFUNCTION("""COMPUTED_VALUE"""),"медикаменти та медичні товари")</f>
        <v>медикаменти та медичні товари</v>
      </c>
      <c r="C2281" s="16" t="str">
        <f>IFERROR(__xludf.DUMMYFUNCTION("""COMPUTED_VALUE"""),"ортопедичні товари")</f>
        <v>ортопедичні товари</v>
      </c>
      <c r="D2281" s="16" t="str">
        <f>IFERROR(__xludf.DUMMYFUNCTION("""COMPUTED_VALUE"""),"коректори для стопи")</f>
        <v>коректори для стопи</v>
      </c>
      <c r="E2281" s="16" t="str">
        <f>IFERROR(__xludf.DUMMYFUNCTION("""COMPUTED_VALUE"""),"коректори для стопи")</f>
        <v>коректори для стопи</v>
      </c>
      <c r="F2281" s="17">
        <f>IFERROR(__xludf.DUMMYFUNCTION("""COMPUTED_VALUE"""),3.0)</f>
        <v>3</v>
      </c>
      <c r="G2281" s="17" t="str">
        <f>IFERROR(__xludf.DUMMYFUNCTION("""COMPUTED_VALUE"""),"3221020")</f>
        <v>3221020</v>
      </c>
      <c r="H2281" s="17" t="str">
        <f>IFERROR(__xludf.DUMMYFUNCTION("""COMPUTED_VALUE"""),"коректори для стопи")</f>
        <v>коректори для стопи</v>
      </c>
      <c r="I2281" s="19">
        <f>IFERROR(__xludf.DUMMYFUNCTION("""COMPUTED_VALUE"""),0.0792)</f>
        <v>0.0792</v>
      </c>
      <c r="J2281" s="19">
        <f>IFERROR(__xludf.DUMMYFUNCTION("""COMPUTED_VALUE"""),0.1584)</f>
        <v>0.1584</v>
      </c>
      <c r="K2281" s="19">
        <f>IFERROR(__xludf.DUMMYFUNCTION("""COMPUTED_VALUE"""),0.198)</f>
        <v>0.198</v>
      </c>
      <c r="L2281" s="19">
        <f>IFERROR(__xludf.DUMMYFUNCTION("""COMPUTED_VALUE"""),0.2376)</f>
        <v>0.2376</v>
      </c>
      <c r="M2281" s="18">
        <f>IFERROR(__xludf.DUMMYFUNCTION("""COMPUTED_VALUE"""),1.53)</f>
        <v>1.53</v>
      </c>
    </row>
    <row r="2282">
      <c r="A2282" s="13" t="str">
        <f>IFERROR(__xludf.DUMMYFUNCTION("""COMPUTED_VALUE"""),"товари")</f>
        <v>товари</v>
      </c>
      <c r="B2282" s="16" t="str">
        <f>IFERROR(__xludf.DUMMYFUNCTION("""COMPUTED_VALUE"""),"медикаменти та медичні товари")</f>
        <v>медикаменти та медичні товари</v>
      </c>
      <c r="C2282" s="16" t="str">
        <f>IFERROR(__xludf.DUMMYFUNCTION("""COMPUTED_VALUE"""),"ортопедичні товари")</f>
        <v>ортопедичні товари</v>
      </c>
      <c r="D2282" s="16" t="str">
        <f>IFERROR(__xludf.DUMMYFUNCTION("""COMPUTED_VALUE"""),"коректори постави")</f>
        <v>коректори постави</v>
      </c>
      <c r="E2282" s="16" t="str">
        <f>IFERROR(__xludf.DUMMYFUNCTION("""COMPUTED_VALUE"""),"коректори постави")</f>
        <v>коректори постави</v>
      </c>
      <c r="F2282" s="17">
        <f>IFERROR(__xludf.DUMMYFUNCTION("""COMPUTED_VALUE"""),3.0)</f>
        <v>3</v>
      </c>
      <c r="G2282" s="17" t="str">
        <f>IFERROR(__xludf.DUMMYFUNCTION("""COMPUTED_VALUE"""),"401001")</f>
        <v>401001</v>
      </c>
      <c r="H2282" s="17" t="str">
        <f>IFERROR(__xludf.DUMMYFUNCTION("""COMPUTED_VALUE"""),"коректори постави")</f>
        <v>коректори постави</v>
      </c>
      <c r="I2282" s="19">
        <f>IFERROR(__xludf.DUMMYFUNCTION("""COMPUTED_VALUE"""),0.0767)</f>
        <v>0.0767</v>
      </c>
      <c r="J2282" s="19">
        <f>IFERROR(__xludf.DUMMYFUNCTION("""COMPUTED_VALUE"""),0.1534)</f>
        <v>0.1534</v>
      </c>
      <c r="K2282" s="19">
        <f>IFERROR(__xludf.DUMMYFUNCTION("""COMPUTED_VALUE"""),0.1918)</f>
        <v>0.1918</v>
      </c>
      <c r="L2282" s="19">
        <f>IFERROR(__xludf.DUMMYFUNCTION("""COMPUTED_VALUE"""),0.2301)</f>
        <v>0.2301</v>
      </c>
      <c r="M2282" s="18">
        <f>IFERROR(__xludf.DUMMYFUNCTION("""COMPUTED_VALUE"""),3.6)</f>
        <v>3.6</v>
      </c>
    </row>
    <row r="2283">
      <c r="A2283" s="13" t="str">
        <f>IFERROR(__xludf.DUMMYFUNCTION("""COMPUTED_VALUE"""),"товари")</f>
        <v>товари</v>
      </c>
      <c r="B2283" s="16" t="str">
        <f>IFERROR(__xludf.DUMMYFUNCTION("""COMPUTED_VALUE"""),"медикаменти та медичні товари")</f>
        <v>медикаменти та медичні товари</v>
      </c>
      <c r="C2283" s="16" t="str">
        <f>IFERROR(__xludf.DUMMYFUNCTION("""COMPUTED_VALUE"""),"лікарські засоби")</f>
        <v>лікарські засоби</v>
      </c>
      <c r="D2283" s="16" t="str">
        <f>IFERROR(__xludf.DUMMYFUNCTION("""COMPUTED_VALUE"""),"лікарські засоби, загальне")</f>
        <v>лікарські засоби, загальне</v>
      </c>
      <c r="E2283" s="16" t="str">
        <f>IFERROR(__xludf.DUMMYFUNCTION("""COMPUTED_VALUE"""),"лікарські засоби, загальне")</f>
        <v>лікарські засоби, загальне</v>
      </c>
      <c r="F2283" s="17">
        <f>IFERROR(__xludf.DUMMYFUNCTION("""COMPUTED_VALUE"""),3.0)</f>
        <v>3</v>
      </c>
      <c r="G2283" s="17" t="str">
        <f>IFERROR(__xludf.DUMMYFUNCTION("""COMPUTED_VALUE"""),"401202")</f>
        <v>401202</v>
      </c>
      <c r="H2283" s="17" t="str">
        <f>IFERROR(__xludf.DUMMYFUNCTION("""COMPUTED_VALUE"""),"лікарські засоби, загальне")</f>
        <v>лікарські засоби, загальне</v>
      </c>
      <c r="I2283" s="19">
        <f>IFERROR(__xludf.DUMMYFUNCTION("""COMPUTED_VALUE"""),0.125)</f>
        <v>0.125</v>
      </c>
      <c r="J2283" s="19">
        <f>IFERROR(__xludf.DUMMYFUNCTION("""COMPUTED_VALUE"""),0.25)</f>
        <v>0.25</v>
      </c>
      <c r="K2283" s="19">
        <f>IFERROR(__xludf.DUMMYFUNCTION("""COMPUTED_VALUE"""),0.3125)</f>
        <v>0.3125</v>
      </c>
      <c r="L2283" s="19">
        <f>IFERROR(__xludf.DUMMYFUNCTION("""COMPUTED_VALUE"""),0.375)</f>
        <v>0.375</v>
      </c>
      <c r="M2283" s="18">
        <f>IFERROR(__xludf.DUMMYFUNCTION("""COMPUTED_VALUE"""),4.33)</f>
        <v>4.33</v>
      </c>
    </row>
    <row r="2284">
      <c r="A2284" s="13" t="str">
        <f>IFERROR(__xludf.DUMMYFUNCTION("""COMPUTED_VALUE"""),"товари")</f>
        <v>товари</v>
      </c>
      <c r="B2284" s="16" t="str">
        <f>IFERROR(__xludf.DUMMYFUNCTION("""COMPUTED_VALUE"""),"медикаменти та медичні товари")</f>
        <v>медикаменти та медичні товари</v>
      </c>
      <c r="C2284" s="16" t="str">
        <f>IFERROR(__xludf.DUMMYFUNCTION("""COMPUTED_VALUE"""),"лікарські засоби")</f>
        <v>лікарські засоби</v>
      </c>
      <c r="D2284" s="16" t="str">
        <f>IFERROR(__xludf.DUMMYFUNCTION("""COMPUTED_VALUE"""),"респіраторна система")</f>
        <v>респіраторна система</v>
      </c>
      <c r="E2284" s="16" t="str">
        <f>IFERROR(__xludf.DUMMYFUNCTION("""COMPUTED_VALUE"""),"ліки від застуди та грві")</f>
        <v>ліки від застуди та грві</v>
      </c>
      <c r="F2284" s="17">
        <f>IFERROR(__xludf.DUMMYFUNCTION("""COMPUTED_VALUE"""),4.0)</f>
        <v>4</v>
      </c>
      <c r="G2284" s="17" t="str">
        <f>IFERROR(__xludf.DUMMYFUNCTION("""COMPUTED_VALUE"""),"401205")</f>
        <v>401205</v>
      </c>
      <c r="H2284" s="17" t="str">
        <f>IFERROR(__xludf.DUMMYFUNCTION("""COMPUTED_VALUE"""),"ліки від застуди та грві")</f>
        <v>ліки від застуди та грві</v>
      </c>
      <c r="I2284" s="19">
        <f>IFERROR(__xludf.DUMMYFUNCTION("""COMPUTED_VALUE"""),0.0469)</f>
        <v>0.0469</v>
      </c>
      <c r="J2284" s="19">
        <f>IFERROR(__xludf.DUMMYFUNCTION("""COMPUTED_VALUE"""),0.0937)</f>
        <v>0.0937</v>
      </c>
      <c r="K2284" s="19">
        <f>IFERROR(__xludf.DUMMYFUNCTION("""COMPUTED_VALUE"""),0.1171)</f>
        <v>0.1171</v>
      </c>
      <c r="L2284" s="19">
        <f>IFERROR(__xludf.DUMMYFUNCTION("""COMPUTED_VALUE"""),0.1406)</f>
        <v>0.1406</v>
      </c>
      <c r="M2284" s="18">
        <f>IFERROR(__xludf.DUMMYFUNCTION("""COMPUTED_VALUE"""),1.05)</f>
        <v>1.05</v>
      </c>
    </row>
    <row r="2285">
      <c r="A2285" s="13" t="str">
        <f>IFERROR(__xludf.DUMMYFUNCTION("""COMPUTED_VALUE"""),"товари")</f>
        <v>товари</v>
      </c>
      <c r="B2285" s="16" t="str">
        <f>IFERROR(__xludf.DUMMYFUNCTION("""COMPUTED_VALUE"""),"медикаменти та медичні товари")</f>
        <v>медикаменти та медичні товари</v>
      </c>
      <c r="C2285" s="16" t="str">
        <f>IFERROR(__xludf.DUMMYFUNCTION("""COMPUTED_VALUE"""),"лікарські засоби")</f>
        <v>лікарські засоби</v>
      </c>
      <c r="D2285" s="16" t="str">
        <f>IFERROR(__xludf.DUMMYFUNCTION("""COMPUTED_VALUE"""),"респіраторна система")</f>
        <v>респіраторна система</v>
      </c>
      <c r="E2285" s="16" t="str">
        <f>IFERROR(__xludf.DUMMYFUNCTION("""COMPUTED_VALUE"""),"ліки від кашлю")</f>
        <v>ліки від кашлю</v>
      </c>
      <c r="F2285" s="17">
        <f>IFERROR(__xludf.DUMMYFUNCTION("""COMPUTED_VALUE"""),4.0)</f>
        <v>4</v>
      </c>
      <c r="G2285" s="17" t="str">
        <f>IFERROR(__xludf.DUMMYFUNCTION("""COMPUTED_VALUE"""),"401204")</f>
        <v>401204</v>
      </c>
      <c r="H2285" s="17" t="str">
        <f>IFERROR(__xludf.DUMMYFUNCTION("""COMPUTED_VALUE"""),"ліки від кашлю")</f>
        <v>ліки від кашлю</v>
      </c>
      <c r="I2285" s="19">
        <f>IFERROR(__xludf.DUMMYFUNCTION("""COMPUTED_VALUE"""),0.0469)</f>
        <v>0.0469</v>
      </c>
      <c r="J2285" s="19">
        <f>IFERROR(__xludf.DUMMYFUNCTION("""COMPUTED_VALUE"""),0.0937)</f>
        <v>0.0937</v>
      </c>
      <c r="K2285" s="19">
        <f>IFERROR(__xludf.DUMMYFUNCTION("""COMPUTED_VALUE"""),0.1171)</f>
        <v>0.1171</v>
      </c>
      <c r="L2285" s="19">
        <f>IFERROR(__xludf.DUMMYFUNCTION("""COMPUTED_VALUE"""),0.1406)</f>
        <v>0.1406</v>
      </c>
      <c r="M2285" s="18">
        <f>IFERROR(__xludf.DUMMYFUNCTION("""COMPUTED_VALUE"""),1.05)</f>
        <v>1.05</v>
      </c>
    </row>
    <row r="2286">
      <c r="A2286" s="13" t="str">
        <f>IFERROR(__xludf.DUMMYFUNCTION("""COMPUTED_VALUE"""),"товари")</f>
        <v>товари</v>
      </c>
      <c r="B2286" s="16" t="str">
        <f>IFERROR(__xludf.DUMMYFUNCTION("""COMPUTED_VALUE"""),"медикаменти та медичні товари")</f>
        <v>медикаменти та медичні товари</v>
      </c>
      <c r="C2286" s="16" t="str">
        <f>IFERROR(__xludf.DUMMYFUNCTION("""COMPUTED_VALUE"""),"лікарські засоби")</f>
        <v>лікарські засоби</v>
      </c>
      <c r="D2286" s="16" t="str">
        <f>IFERROR(__xludf.DUMMYFUNCTION("""COMPUTED_VALUE"""),"органи чуття")</f>
        <v>органи чуття</v>
      </c>
      <c r="E2286" s="16" t="str">
        <f>IFERROR(__xludf.DUMMYFUNCTION("""COMPUTED_VALUE"""),"лікувально-профілактичні засоби для очей")</f>
        <v>лікувально-профілактичні засоби для очей</v>
      </c>
      <c r="F2286" s="17">
        <f>IFERROR(__xludf.DUMMYFUNCTION("""COMPUTED_VALUE"""),4.0)</f>
        <v>4</v>
      </c>
      <c r="G2286" s="17" t="str">
        <f>IFERROR(__xludf.DUMMYFUNCTION("""COMPUTED_VALUE"""),"160312")</f>
        <v>160312</v>
      </c>
      <c r="H2286" s="17" t="str">
        <f>IFERROR(__xludf.DUMMYFUNCTION("""COMPUTED_VALUE"""),"лікувально-профілактичні засоби для очей")</f>
        <v>лікувально-профілактичні засоби для очей</v>
      </c>
      <c r="I2286" s="19">
        <f>IFERROR(__xludf.DUMMYFUNCTION("""COMPUTED_VALUE"""),0.047)</f>
        <v>0.047</v>
      </c>
      <c r="J2286" s="19">
        <f>IFERROR(__xludf.DUMMYFUNCTION("""COMPUTED_VALUE"""),0.0939)</f>
        <v>0.0939</v>
      </c>
      <c r="K2286" s="19">
        <f>IFERROR(__xludf.DUMMYFUNCTION("""COMPUTED_VALUE"""),0.1174)</f>
        <v>0.1174</v>
      </c>
      <c r="L2286" s="19">
        <f>IFERROR(__xludf.DUMMYFUNCTION("""COMPUTED_VALUE"""),0.1409)</f>
        <v>0.1409</v>
      </c>
      <c r="M2286" s="18">
        <f>IFERROR(__xludf.DUMMYFUNCTION("""COMPUTED_VALUE"""),1.26)</f>
        <v>1.26</v>
      </c>
    </row>
    <row r="2287">
      <c r="A2287" s="13" t="str">
        <f>IFERROR(__xludf.DUMMYFUNCTION("""COMPUTED_VALUE"""),"товари")</f>
        <v>товари</v>
      </c>
      <c r="B2287" s="16" t="str">
        <f>IFERROR(__xludf.DUMMYFUNCTION("""COMPUTED_VALUE"""),"медикаменти та медичні товари")</f>
        <v>медикаменти та медичні товари</v>
      </c>
      <c r="C2287" s="16" t="str">
        <f>IFERROR(__xludf.DUMMYFUNCTION("""COMPUTED_VALUE"""),"медикаменти та медичні товари, загальне")</f>
        <v>медикаменти та медичні товари, загальне</v>
      </c>
      <c r="D2287" s="16" t="str">
        <f>IFERROR(__xludf.DUMMYFUNCTION("""COMPUTED_VALUE"""),"медикаменти та медичні товари, загальне")</f>
        <v>медикаменти та медичні товари, загальне</v>
      </c>
      <c r="E2287" s="16" t="str">
        <f>IFERROR(__xludf.DUMMYFUNCTION("""COMPUTED_VALUE"""),"медикаменти та медичні товари, загальне")</f>
        <v>медикаменти та медичні товари, загальне</v>
      </c>
      <c r="F2287" s="17">
        <f>IFERROR(__xludf.DUMMYFUNCTION("""COMPUTED_VALUE"""),2.0)</f>
        <v>2</v>
      </c>
      <c r="G2287" s="17" t="str">
        <f>IFERROR(__xludf.DUMMYFUNCTION("""COMPUTED_VALUE"""),"16701")</f>
        <v>16701</v>
      </c>
      <c r="H2287" s="17" t="str">
        <f>IFERROR(__xludf.DUMMYFUNCTION("""COMPUTED_VALUE"""),"медикаменти та медичні товари, загальне")</f>
        <v>медикаменти та медичні товари, загальне</v>
      </c>
      <c r="I2287" s="19">
        <f>IFERROR(__xludf.DUMMYFUNCTION("""COMPUTED_VALUE"""),0.125)</f>
        <v>0.125</v>
      </c>
      <c r="J2287" s="19">
        <f>IFERROR(__xludf.DUMMYFUNCTION("""COMPUTED_VALUE"""),0.25)</f>
        <v>0.25</v>
      </c>
      <c r="K2287" s="19">
        <f>IFERROR(__xludf.DUMMYFUNCTION("""COMPUTED_VALUE"""),0.3125)</f>
        <v>0.3125</v>
      </c>
      <c r="L2287" s="19">
        <f>IFERROR(__xludf.DUMMYFUNCTION("""COMPUTED_VALUE"""),0.375)</f>
        <v>0.375</v>
      </c>
      <c r="M2287" s="18">
        <f>IFERROR(__xludf.DUMMYFUNCTION("""COMPUTED_VALUE"""),4.33)</f>
        <v>4.33</v>
      </c>
    </row>
    <row r="2288">
      <c r="A2288" s="13" t="str">
        <f>IFERROR(__xludf.DUMMYFUNCTION("""COMPUTED_VALUE"""),"товари")</f>
        <v>товари</v>
      </c>
      <c r="B2288" s="16" t="str">
        <f>IFERROR(__xludf.DUMMYFUNCTION("""COMPUTED_VALUE"""),"медикаменти та медичні товари")</f>
        <v>медикаменти та медичні товари</v>
      </c>
      <c r="C2288" s="16" t="str">
        <f>IFERROR(__xludf.DUMMYFUNCTION("""COMPUTED_VALUE"""),"товари медичного призначення")</f>
        <v>товари медичного призначення</v>
      </c>
      <c r="D2288" s="16" t="str">
        <f>IFERROR(__xludf.DUMMYFUNCTION("""COMPUTED_VALUE"""),"медичні термометри ")</f>
        <v>медичні термометри </v>
      </c>
      <c r="E2288" s="16" t="str">
        <f>IFERROR(__xludf.DUMMYFUNCTION("""COMPUTED_VALUE"""),"медичні термометри ")</f>
        <v>медичні термометри </v>
      </c>
      <c r="F2288" s="17">
        <f>IFERROR(__xludf.DUMMYFUNCTION("""COMPUTED_VALUE"""),3.0)</f>
        <v>3</v>
      </c>
      <c r="G2288" s="17" t="str">
        <f>IFERROR(__xludf.DUMMYFUNCTION("""COMPUTED_VALUE"""),"162516")</f>
        <v>162516</v>
      </c>
      <c r="H2288" s="17" t="str">
        <f>IFERROR(__xludf.DUMMYFUNCTION("""COMPUTED_VALUE"""),"медичні термометри ")</f>
        <v>медичні термометри </v>
      </c>
      <c r="I2288" s="19">
        <f>IFERROR(__xludf.DUMMYFUNCTION("""COMPUTED_VALUE"""),0.0756)</f>
        <v>0.0756</v>
      </c>
      <c r="J2288" s="19">
        <f>IFERROR(__xludf.DUMMYFUNCTION("""COMPUTED_VALUE"""),0.1512)</f>
        <v>0.1512</v>
      </c>
      <c r="K2288" s="19">
        <f>IFERROR(__xludf.DUMMYFUNCTION("""COMPUTED_VALUE"""),0.189)</f>
        <v>0.189</v>
      </c>
      <c r="L2288" s="19">
        <f>IFERROR(__xludf.DUMMYFUNCTION("""COMPUTED_VALUE"""),0.2268)</f>
        <v>0.2268</v>
      </c>
      <c r="M2288" s="18">
        <f>IFERROR(__xludf.DUMMYFUNCTION("""COMPUTED_VALUE"""),3.06)</f>
        <v>3.06</v>
      </c>
    </row>
    <row r="2289">
      <c r="A2289" s="13" t="str">
        <f>IFERROR(__xludf.DUMMYFUNCTION("""COMPUTED_VALUE"""),"товари")</f>
        <v>товари</v>
      </c>
      <c r="B2289" s="16" t="str">
        <f>IFERROR(__xludf.DUMMYFUNCTION("""COMPUTED_VALUE"""),"медикаменти та медичні товари")</f>
        <v>медикаменти та медичні товари</v>
      </c>
      <c r="C2289" s="16" t="str">
        <f>IFERROR(__xludf.DUMMYFUNCTION("""COMPUTED_VALUE"""),"товари для людей з інвалідністю")</f>
        <v>товари для людей з інвалідністю</v>
      </c>
      <c r="D2289" s="16" t="str">
        <f>IFERROR(__xludf.DUMMYFUNCTION("""COMPUTED_VALUE"""),"медичні ходунки ")</f>
        <v>медичні ходунки </v>
      </c>
      <c r="E2289" s="16" t="str">
        <f>IFERROR(__xludf.DUMMYFUNCTION("""COMPUTED_VALUE"""),"медичні ходунки ")</f>
        <v>медичні ходунки </v>
      </c>
      <c r="F2289" s="17">
        <f>IFERROR(__xludf.DUMMYFUNCTION("""COMPUTED_VALUE"""),3.0)</f>
        <v>3</v>
      </c>
      <c r="G2289" s="17" t="str">
        <f>IFERROR(__xludf.DUMMYFUNCTION("""COMPUTED_VALUE"""),"400904")</f>
        <v>400904</v>
      </c>
      <c r="H2289" s="17" t="str">
        <f>IFERROR(__xludf.DUMMYFUNCTION("""COMPUTED_VALUE"""),"медичні ходунки ")</f>
        <v>медичні ходунки </v>
      </c>
      <c r="I2289" s="19">
        <f>IFERROR(__xludf.DUMMYFUNCTION("""COMPUTED_VALUE"""),0.0709)</f>
        <v>0.0709</v>
      </c>
      <c r="J2289" s="19">
        <f>IFERROR(__xludf.DUMMYFUNCTION("""COMPUTED_VALUE"""),0.1417)</f>
        <v>0.1417</v>
      </c>
      <c r="K2289" s="19">
        <f>IFERROR(__xludf.DUMMYFUNCTION("""COMPUTED_VALUE"""),0.1771)</f>
        <v>0.1771</v>
      </c>
      <c r="L2289" s="19">
        <f>IFERROR(__xludf.DUMMYFUNCTION("""COMPUTED_VALUE"""),0.2126)</f>
        <v>0.2126</v>
      </c>
      <c r="M2289" s="18">
        <f>IFERROR(__xludf.DUMMYFUNCTION("""COMPUTED_VALUE"""),5.33)</f>
        <v>5.33</v>
      </c>
    </row>
    <row r="2290">
      <c r="A2290" s="13" t="str">
        <f>IFERROR(__xludf.DUMMYFUNCTION("""COMPUTED_VALUE"""),"товари")</f>
        <v>товари</v>
      </c>
      <c r="B2290" s="16" t="str">
        <f>IFERROR(__xludf.DUMMYFUNCTION("""COMPUTED_VALUE"""),"медикаменти та медичні товари")</f>
        <v>медикаменти та медичні товари</v>
      </c>
      <c r="C2290" s="16" t="str">
        <f>IFERROR(__xludf.DUMMYFUNCTION("""COMPUTED_VALUE"""),"товари для людей з інвалідністю")</f>
        <v>товари для людей з інвалідністю</v>
      </c>
      <c r="D2290" s="16" t="str">
        <f>IFERROR(__xludf.DUMMYFUNCTION("""COMPUTED_VALUE"""),"милиці")</f>
        <v>милиці</v>
      </c>
      <c r="E2290" s="16" t="str">
        <f>IFERROR(__xludf.DUMMYFUNCTION("""COMPUTED_VALUE"""),"милиці")</f>
        <v>милиці</v>
      </c>
      <c r="F2290" s="17">
        <f>IFERROR(__xludf.DUMMYFUNCTION("""COMPUTED_VALUE"""),3.0)</f>
        <v>3</v>
      </c>
      <c r="G2290" s="17" t="str">
        <f>IFERROR(__xludf.DUMMYFUNCTION("""COMPUTED_VALUE"""),"400903")</f>
        <v>400903</v>
      </c>
      <c r="H2290" s="17" t="str">
        <f>IFERROR(__xludf.DUMMYFUNCTION("""COMPUTED_VALUE"""),"милиці")</f>
        <v>милиці</v>
      </c>
      <c r="I2290" s="19">
        <f>IFERROR(__xludf.DUMMYFUNCTION("""COMPUTED_VALUE"""),0.0716)</f>
        <v>0.0716</v>
      </c>
      <c r="J2290" s="19">
        <f>IFERROR(__xludf.DUMMYFUNCTION("""COMPUTED_VALUE"""),0.1431)</f>
        <v>0.1431</v>
      </c>
      <c r="K2290" s="19">
        <f>IFERROR(__xludf.DUMMYFUNCTION("""COMPUTED_VALUE"""),0.1789)</f>
        <v>0.1789</v>
      </c>
      <c r="L2290" s="19">
        <f>IFERROR(__xludf.DUMMYFUNCTION("""COMPUTED_VALUE"""),0.2147)</f>
        <v>0.2147</v>
      </c>
      <c r="M2290" s="18">
        <f>IFERROR(__xludf.DUMMYFUNCTION("""COMPUTED_VALUE"""),2.25)</f>
        <v>2.25</v>
      </c>
    </row>
    <row r="2291">
      <c r="A2291" s="13" t="str">
        <f>IFERROR(__xludf.DUMMYFUNCTION("""COMPUTED_VALUE"""),"товари")</f>
        <v>товари</v>
      </c>
      <c r="B2291" s="16" t="str">
        <f>IFERROR(__xludf.DUMMYFUNCTION("""COMPUTED_VALUE"""),"медикаменти та медичні товари")</f>
        <v>медикаменти та медичні товари</v>
      </c>
      <c r="C2291" s="16" t="str">
        <f>IFERROR(__xludf.DUMMYFUNCTION("""COMPUTED_VALUE"""),"натуральні препарати")</f>
        <v>натуральні препарати</v>
      </c>
      <c r="D2291" s="16" t="str">
        <f>IFERROR(__xludf.DUMMYFUNCTION("""COMPUTED_VALUE"""),"натуральні дерматологічні засоби")</f>
        <v>натуральні дерматологічні засоби</v>
      </c>
      <c r="E2291" s="16" t="str">
        <f>IFERROR(__xludf.DUMMYFUNCTION("""COMPUTED_VALUE"""),"натуральні дерматологічні засоби")</f>
        <v>натуральні дерматологічні засоби</v>
      </c>
      <c r="F2291" s="17">
        <f>IFERROR(__xludf.DUMMYFUNCTION("""COMPUTED_VALUE"""),3.0)</f>
        <v>3</v>
      </c>
      <c r="G2291" s="17" t="str">
        <f>IFERROR(__xludf.DUMMYFUNCTION("""COMPUTED_VALUE"""),"160320")</f>
        <v>160320</v>
      </c>
      <c r="H2291" s="17" t="str">
        <f>IFERROR(__xludf.DUMMYFUNCTION("""COMPUTED_VALUE"""),"натуральні дерматологічні засоби")</f>
        <v>натуральні дерматологічні засоби</v>
      </c>
      <c r="I2291" s="19">
        <f>IFERROR(__xludf.DUMMYFUNCTION("""COMPUTED_VALUE"""),0.037)</f>
        <v>0.037</v>
      </c>
      <c r="J2291" s="19">
        <f>IFERROR(__xludf.DUMMYFUNCTION("""COMPUTED_VALUE"""),0.0739)</f>
        <v>0.0739</v>
      </c>
      <c r="K2291" s="19">
        <f>IFERROR(__xludf.DUMMYFUNCTION("""COMPUTED_VALUE"""),0.0924)</f>
        <v>0.0924</v>
      </c>
      <c r="L2291" s="19">
        <f>IFERROR(__xludf.DUMMYFUNCTION("""COMPUTED_VALUE"""),0.1109)</f>
        <v>0.1109</v>
      </c>
      <c r="M2291" s="18">
        <f>IFERROR(__xludf.DUMMYFUNCTION("""COMPUTED_VALUE"""),1.63)</f>
        <v>1.63</v>
      </c>
    </row>
    <row r="2292">
      <c r="A2292" s="13" t="str">
        <f>IFERROR(__xludf.DUMMYFUNCTION("""COMPUTED_VALUE"""),"товари")</f>
        <v>товари</v>
      </c>
      <c r="B2292" s="16" t="str">
        <f>IFERROR(__xludf.DUMMYFUNCTION("""COMPUTED_VALUE"""),"медикаменти та медичні товари")</f>
        <v>медикаменти та медичні товари</v>
      </c>
      <c r="C2292" s="16" t="str">
        <f>IFERROR(__xludf.DUMMYFUNCTION("""COMPUTED_VALUE"""),"натуральні препарати")</f>
        <v>натуральні препарати</v>
      </c>
      <c r="D2292" s="16" t="str">
        <f>IFERROR(__xludf.DUMMYFUNCTION("""COMPUTED_VALUE"""),"натуральні знеболюючі препарати")</f>
        <v>натуральні знеболюючі препарати</v>
      </c>
      <c r="E2292" s="16" t="str">
        <f>IFERROR(__xludf.DUMMYFUNCTION("""COMPUTED_VALUE"""),"натуральні знеболюючі препарати")</f>
        <v>натуральні знеболюючі препарати</v>
      </c>
      <c r="F2292" s="17">
        <f>IFERROR(__xludf.DUMMYFUNCTION("""COMPUTED_VALUE"""),3.0)</f>
        <v>3</v>
      </c>
      <c r="G2292" s="17" t="str">
        <f>IFERROR(__xludf.DUMMYFUNCTION("""COMPUTED_VALUE"""),"160331")</f>
        <v>160331</v>
      </c>
      <c r="H2292" s="17" t="str">
        <f>IFERROR(__xludf.DUMMYFUNCTION("""COMPUTED_VALUE"""),"натуральні знеболюючі препарати")</f>
        <v>натуральні знеболюючі препарати</v>
      </c>
      <c r="I2292" s="19">
        <f>IFERROR(__xludf.DUMMYFUNCTION("""COMPUTED_VALUE"""),0.0383)</f>
        <v>0.0383</v>
      </c>
      <c r="J2292" s="19">
        <f>IFERROR(__xludf.DUMMYFUNCTION("""COMPUTED_VALUE"""),0.0766)</f>
        <v>0.0766</v>
      </c>
      <c r="K2292" s="19">
        <f>IFERROR(__xludf.DUMMYFUNCTION("""COMPUTED_VALUE"""),0.0958)</f>
        <v>0.0958</v>
      </c>
      <c r="L2292" s="19">
        <f>IFERROR(__xludf.DUMMYFUNCTION("""COMPUTED_VALUE"""),0.1149)</f>
        <v>0.1149</v>
      </c>
      <c r="M2292" s="18">
        <f>IFERROR(__xludf.DUMMYFUNCTION("""COMPUTED_VALUE"""),1.44)</f>
        <v>1.44</v>
      </c>
    </row>
    <row r="2293">
      <c r="A2293" s="13" t="str">
        <f>IFERROR(__xludf.DUMMYFUNCTION("""COMPUTED_VALUE"""),"товари")</f>
        <v>товари</v>
      </c>
      <c r="B2293" s="16" t="str">
        <f>IFERROR(__xludf.DUMMYFUNCTION("""COMPUTED_VALUE"""),"медикаменти та медичні товари")</f>
        <v>медикаменти та медичні товари</v>
      </c>
      <c r="C2293" s="16" t="str">
        <f>IFERROR(__xludf.DUMMYFUNCTION("""COMPUTED_VALUE"""),"натуральні препарати")</f>
        <v>натуральні препарати</v>
      </c>
      <c r="D2293" s="16" t="str">
        <f>IFERROR(__xludf.DUMMYFUNCTION("""COMPUTED_VALUE"""),"натуральні препарати від алергії")</f>
        <v>натуральні препарати від алергії</v>
      </c>
      <c r="E2293" s="16" t="str">
        <f>IFERROR(__xludf.DUMMYFUNCTION("""COMPUTED_VALUE"""),"натуральні препарати від алергії")</f>
        <v>натуральні препарати від алергії</v>
      </c>
      <c r="F2293" s="17">
        <f>IFERROR(__xludf.DUMMYFUNCTION("""COMPUTED_VALUE"""),3.0)</f>
        <v>3</v>
      </c>
      <c r="G2293" s="17" t="str">
        <f>IFERROR(__xludf.DUMMYFUNCTION("""COMPUTED_VALUE"""),"160330")</f>
        <v>160330</v>
      </c>
      <c r="H2293" s="17" t="str">
        <f>IFERROR(__xludf.DUMMYFUNCTION("""COMPUTED_VALUE"""),"натуральні препарати від алергії")</f>
        <v>натуральні препарати від алергії</v>
      </c>
      <c r="I2293" s="19">
        <f>IFERROR(__xludf.DUMMYFUNCTION("""COMPUTED_VALUE"""),0.0383)</f>
        <v>0.0383</v>
      </c>
      <c r="J2293" s="19">
        <f>IFERROR(__xludf.DUMMYFUNCTION("""COMPUTED_VALUE"""),0.0766)</f>
        <v>0.0766</v>
      </c>
      <c r="K2293" s="19">
        <f>IFERROR(__xludf.DUMMYFUNCTION("""COMPUTED_VALUE"""),0.0958)</f>
        <v>0.0958</v>
      </c>
      <c r="L2293" s="19">
        <f>IFERROR(__xludf.DUMMYFUNCTION("""COMPUTED_VALUE"""),0.1149)</f>
        <v>0.1149</v>
      </c>
      <c r="M2293" s="18">
        <f>IFERROR(__xludf.DUMMYFUNCTION("""COMPUTED_VALUE"""),1.05)</f>
        <v>1.05</v>
      </c>
    </row>
    <row r="2294">
      <c r="A2294" s="13" t="str">
        <f>IFERROR(__xludf.DUMMYFUNCTION("""COMPUTED_VALUE"""),"товари")</f>
        <v>товари</v>
      </c>
      <c r="B2294" s="16" t="str">
        <f>IFERROR(__xludf.DUMMYFUNCTION("""COMPUTED_VALUE"""),"медикаменти та медичні товари")</f>
        <v>медикаменти та медичні товари</v>
      </c>
      <c r="C2294" s="16" t="str">
        <f>IFERROR(__xludf.DUMMYFUNCTION("""COMPUTED_VALUE"""),"натуральні препарати")</f>
        <v>натуральні препарати</v>
      </c>
      <c r="D2294" s="16" t="str">
        <f>IFERROR(__xludf.DUMMYFUNCTION("""COMPUTED_VALUE"""),"натуральні препарати від куріння та алкоголізму")</f>
        <v>натуральні препарати від куріння та алкоголізму</v>
      </c>
      <c r="E2294" s="16" t="str">
        <f>IFERROR(__xludf.DUMMYFUNCTION("""COMPUTED_VALUE"""),"натуральні препарати від куріння та алкоголізму")</f>
        <v>натуральні препарати від куріння та алкоголізму</v>
      </c>
      <c r="F2294" s="17">
        <f>IFERROR(__xludf.DUMMYFUNCTION("""COMPUTED_VALUE"""),3.0)</f>
        <v>3</v>
      </c>
      <c r="G2294" s="17" t="str">
        <f>IFERROR(__xludf.DUMMYFUNCTION("""COMPUTED_VALUE"""),"160335")</f>
        <v>160335</v>
      </c>
      <c r="H2294" s="17" t="str">
        <f>IFERROR(__xludf.DUMMYFUNCTION("""COMPUTED_VALUE"""),"натуральні препарати від куріння та алкоголізму")</f>
        <v>натуральні препарати від куріння та алкоголізму</v>
      </c>
      <c r="I2294" s="19">
        <f>IFERROR(__xludf.DUMMYFUNCTION("""COMPUTED_VALUE"""),0.0924)</f>
        <v>0.0924</v>
      </c>
      <c r="J2294" s="19">
        <f>IFERROR(__xludf.DUMMYFUNCTION("""COMPUTED_VALUE"""),0.1848)</f>
        <v>0.1848</v>
      </c>
      <c r="K2294" s="19">
        <f>IFERROR(__xludf.DUMMYFUNCTION("""COMPUTED_VALUE"""),0.231)</f>
        <v>0.231</v>
      </c>
      <c r="L2294" s="19">
        <f>IFERROR(__xludf.DUMMYFUNCTION("""COMPUTED_VALUE"""),0.2772)</f>
        <v>0.2772</v>
      </c>
      <c r="M2294" s="18">
        <f>IFERROR(__xludf.DUMMYFUNCTION("""COMPUTED_VALUE"""),1.05)</f>
        <v>1.05</v>
      </c>
    </row>
    <row r="2295">
      <c r="A2295" s="13" t="str">
        <f>IFERROR(__xludf.DUMMYFUNCTION("""COMPUTED_VALUE"""),"товари")</f>
        <v>товари</v>
      </c>
      <c r="B2295" s="16" t="str">
        <f>IFERROR(__xludf.DUMMYFUNCTION("""COMPUTED_VALUE"""),"медикаменти та медичні товари")</f>
        <v>медикаменти та медичні товари</v>
      </c>
      <c r="C2295" s="16" t="str">
        <f>IFERROR(__xludf.DUMMYFUNCTION("""COMPUTED_VALUE"""),"натуральні препарати")</f>
        <v>натуральні препарати</v>
      </c>
      <c r="D2295" s="16" t="str">
        <f>IFERROR(__xludf.DUMMYFUNCTION("""COMPUTED_VALUE"""),"натуральні препарати для жінок")</f>
        <v>натуральні препарати для жінок</v>
      </c>
      <c r="E2295" s="16" t="str">
        <f>IFERROR(__xludf.DUMMYFUNCTION("""COMPUTED_VALUE"""),"натуральні препарати для жінок")</f>
        <v>натуральні препарати для жінок</v>
      </c>
      <c r="F2295" s="17">
        <f>IFERROR(__xludf.DUMMYFUNCTION("""COMPUTED_VALUE"""),3.0)</f>
        <v>3</v>
      </c>
      <c r="G2295" s="17" t="str">
        <f>IFERROR(__xludf.DUMMYFUNCTION("""COMPUTED_VALUE"""),"160317")</f>
        <v>160317</v>
      </c>
      <c r="H2295" s="17" t="str">
        <f>IFERROR(__xludf.DUMMYFUNCTION("""COMPUTED_VALUE"""),"натуральні препарати для жінок")</f>
        <v>натуральні препарати для жінок</v>
      </c>
      <c r="I2295" s="19">
        <f>IFERROR(__xludf.DUMMYFUNCTION("""COMPUTED_VALUE"""),0.0447)</f>
        <v>0.0447</v>
      </c>
      <c r="J2295" s="19">
        <f>IFERROR(__xludf.DUMMYFUNCTION("""COMPUTED_VALUE"""),0.0893)</f>
        <v>0.0893</v>
      </c>
      <c r="K2295" s="19">
        <f>IFERROR(__xludf.DUMMYFUNCTION("""COMPUTED_VALUE"""),0.1116)</f>
        <v>0.1116</v>
      </c>
      <c r="L2295" s="19">
        <f>IFERROR(__xludf.DUMMYFUNCTION("""COMPUTED_VALUE"""),0.134)</f>
        <v>0.134</v>
      </c>
      <c r="M2295" s="18">
        <f>IFERROR(__xludf.DUMMYFUNCTION("""COMPUTED_VALUE"""),1.53)</f>
        <v>1.53</v>
      </c>
    </row>
    <row r="2296">
      <c r="A2296" s="13" t="str">
        <f>IFERROR(__xludf.DUMMYFUNCTION("""COMPUTED_VALUE"""),"товари")</f>
        <v>товари</v>
      </c>
      <c r="B2296" s="16" t="str">
        <f>IFERROR(__xludf.DUMMYFUNCTION("""COMPUTED_VALUE"""),"медикаменти та медичні товари")</f>
        <v>медикаменти та медичні товари</v>
      </c>
      <c r="C2296" s="16" t="str">
        <f>IFERROR(__xludf.DUMMYFUNCTION("""COMPUTED_VALUE"""),"натуральні препарати")</f>
        <v>натуральні препарати</v>
      </c>
      <c r="D2296" s="16" t="str">
        <f>IFERROR(__xludf.DUMMYFUNCTION("""COMPUTED_VALUE"""),"натуральні препарати для лікування варикозного розширення вен")</f>
        <v>натуральні препарати для лікування варикозного розширення вен</v>
      </c>
      <c r="E2296" s="16" t="str">
        <f>IFERROR(__xludf.DUMMYFUNCTION("""COMPUTED_VALUE"""),"натуральні препарати для лікування варикозного розширення вен")</f>
        <v>натуральні препарати для лікування варикозного розширення вен</v>
      </c>
      <c r="F2296" s="17">
        <f>IFERROR(__xludf.DUMMYFUNCTION("""COMPUTED_VALUE"""),3.0)</f>
        <v>3</v>
      </c>
      <c r="G2296" s="17" t="str">
        <f>IFERROR(__xludf.DUMMYFUNCTION("""COMPUTED_VALUE"""),"160324")</f>
        <v>160324</v>
      </c>
      <c r="H2296" s="17" t="str">
        <f>IFERROR(__xludf.DUMMYFUNCTION("""COMPUTED_VALUE"""),"натуральні препарати для лікування варикозного розширення вен")</f>
        <v>натуральні препарати для лікування варикозного розширення вен</v>
      </c>
      <c r="I2296" s="19">
        <f>IFERROR(__xludf.DUMMYFUNCTION("""COMPUTED_VALUE"""),0.0447)</f>
        <v>0.0447</v>
      </c>
      <c r="J2296" s="19">
        <f>IFERROR(__xludf.DUMMYFUNCTION("""COMPUTED_VALUE"""),0.0893)</f>
        <v>0.0893</v>
      </c>
      <c r="K2296" s="19">
        <f>IFERROR(__xludf.DUMMYFUNCTION("""COMPUTED_VALUE"""),0.1116)</f>
        <v>0.1116</v>
      </c>
      <c r="L2296" s="19">
        <f>IFERROR(__xludf.DUMMYFUNCTION("""COMPUTED_VALUE"""),0.134)</f>
        <v>0.134</v>
      </c>
      <c r="M2296" s="18">
        <f>IFERROR(__xludf.DUMMYFUNCTION("""COMPUTED_VALUE"""),1.63)</f>
        <v>1.63</v>
      </c>
    </row>
    <row r="2297">
      <c r="A2297" s="13" t="str">
        <f>IFERROR(__xludf.DUMMYFUNCTION("""COMPUTED_VALUE"""),"товари")</f>
        <v>товари</v>
      </c>
      <c r="B2297" s="16" t="str">
        <f>IFERROR(__xludf.DUMMYFUNCTION("""COMPUTED_VALUE"""),"медикаменти та медичні товари")</f>
        <v>медикаменти та медичні товари</v>
      </c>
      <c r="C2297" s="16" t="str">
        <f>IFERROR(__xludf.DUMMYFUNCTION("""COMPUTED_VALUE"""),"натуральні препарати")</f>
        <v>натуральні препарати</v>
      </c>
      <c r="D2297" s="16" t="str">
        <f>IFERROR(__xludf.DUMMYFUNCTION("""COMPUTED_VALUE"""),"натуральні препарати для лікування дихальної системи")</f>
        <v>натуральні препарати для лікування дихальної системи</v>
      </c>
      <c r="E2297" s="16" t="str">
        <f>IFERROR(__xludf.DUMMYFUNCTION("""COMPUTED_VALUE"""),"натуральні препарати для лікування дихальної системи")</f>
        <v>натуральні препарати для лікування дихальної системи</v>
      </c>
      <c r="F2297" s="17">
        <f>IFERROR(__xludf.DUMMYFUNCTION("""COMPUTED_VALUE"""),3.0)</f>
        <v>3</v>
      </c>
      <c r="G2297" s="17" t="str">
        <f>IFERROR(__xludf.DUMMYFUNCTION("""COMPUTED_VALUE"""),"160416")</f>
        <v>160416</v>
      </c>
      <c r="H2297" s="17" t="str">
        <f>IFERROR(__xludf.DUMMYFUNCTION("""COMPUTED_VALUE"""),"натуральні препарати для лікування дихальної системи")</f>
        <v>натуральні препарати для лікування дихальної системи</v>
      </c>
      <c r="I2297" s="19">
        <f>IFERROR(__xludf.DUMMYFUNCTION("""COMPUTED_VALUE"""),0.0431)</f>
        <v>0.0431</v>
      </c>
      <c r="J2297" s="19">
        <f>IFERROR(__xludf.DUMMYFUNCTION("""COMPUTED_VALUE"""),0.0862)</f>
        <v>0.0862</v>
      </c>
      <c r="K2297" s="19">
        <f>IFERROR(__xludf.DUMMYFUNCTION("""COMPUTED_VALUE"""),0.1078)</f>
        <v>0.1078</v>
      </c>
      <c r="L2297" s="19">
        <f>IFERROR(__xludf.DUMMYFUNCTION("""COMPUTED_VALUE"""),0.1293)</f>
        <v>0.1293</v>
      </c>
      <c r="M2297" s="18">
        <f>IFERROR(__xludf.DUMMYFUNCTION("""COMPUTED_VALUE"""),1.05)</f>
        <v>1.05</v>
      </c>
    </row>
    <row r="2298">
      <c r="A2298" s="13" t="str">
        <f>IFERROR(__xludf.DUMMYFUNCTION("""COMPUTED_VALUE"""),"товари")</f>
        <v>товари</v>
      </c>
      <c r="B2298" s="16" t="str">
        <f>IFERROR(__xludf.DUMMYFUNCTION("""COMPUTED_VALUE"""),"медикаменти та медичні товари")</f>
        <v>медикаменти та медичні товари</v>
      </c>
      <c r="C2298" s="16" t="str">
        <f>IFERROR(__xludf.DUMMYFUNCTION("""COMPUTED_VALUE"""),"натуральні препарати")</f>
        <v>натуральні препарати</v>
      </c>
      <c r="D2298" s="16" t="str">
        <f>IFERROR(__xludf.DUMMYFUNCTION("""COMPUTED_VALUE"""),"натуральні препарати для лікування захворювань щитовидної залози")</f>
        <v>натуральні препарати для лікування захворювань щитовидної залози</v>
      </c>
      <c r="E2298" s="16" t="str">
        <f>IFERROR(__xludf.DUMMYFUNCTION("""COMPUTED_VALUE"""),"натуральні препарати для лікування захворювань щитовидної залози")</f>
        <v>натуральні препарати для лікування захворювань щитовидної залози</v>
      </c>
      <c r="F2298" s="17">
        <f>IFERROR(__xludf.DUMMYFUNCTION("""COMPUTED_VALUE"""),3.0)</f>
        <v>3</v>
      </c>
      <c r="G2298" s="17" t="str">
        <f>IFERROR(__xludf.DUMMYFUNCTION("""COMPUTED_VALUE"""),"160315")</f>
        <v>160315</v>
      </c>
      <c r="H2298" s="17" t="str">
        <f>IFERROR(__xludf.DUMMYFUNCTION("""COMPUTED_VALUE"""),"натуральні препарати для лікування захворювань щитовидної залози")</f>
        <v>натуральні препарати для лікування захворювань щитовидної залози</v>
      </c>
      <c r="I2298" s="19">
        <f>IFERROR(__xludf.DUMMYFUNCTION("""COMPUTED_VALUE"""),0.037)</f>
        <v>0.037</v>
      </c>
      <c r="J2298" s="19">
        <f>IFERROR(__xludf.DUMMYFUNCTION("""COMPUTED_VALUE"""),0.0739)</f>
        <v>0.0739</v>
      </c>
      <c r="K2298" s="19">
        <f>IFERROR(__xludf.DUMMYFUNCTION("""COMPUTED_VALUE"""),0.0924)</f>
        <v>0.0924</v>
      </c>
      <c r="L2298" s="19">
        <f>IFERROR(__xludf.DUMMYFUNCTION("""COMPUTED_VALUE"""),0.1109)</f>
        <v>0.1109</v>
      </c>
      <c r="M2298" s="18">
        <f>IFERROR(__xludf.DUMMYFUNCTION("""COMPUTED_VALUE"""),1.63)</f>
        <v>1.63</v>
      </c>
    </row>
    <row r="2299">
      <c r="A2299" s="13" t="str">
        <f>IFERROR(__xludf.DUMMYFUNCTION("""COMPUTED_VALUE"""),"товари")</f>
        <v>товари</v>
      </c>
      <c r="B2299" s="16" t="str">
        <f>IFERROR(__xludf.DUMMYFUNCTION("""COMPUTED_VALUE"""),"медикаменти та медичні товари")</f>
        <v>медикаменти та медичні товари</v>
      </c>
      <c r="C2299" s="16" t="str">
        <f>IFERROR(__xludf.DUMMYFUNCTION("""COMPUTED_VALUE"""),"натуральні препарати")</f>
        <v>натуральні препарати</v>
      </c>
      <c r="D2299" s="16" t="str">
        <f>IFERROR(__xludf.DUMMYFUNCTION("""COMPUTED_VALUE"""),"натуральні препарати для лікування нервової системи")</f>
        <v>натуральні препарати для лікування нервової системи</v>
      </c>
      <c r="E2299" s="16" t="str">
        <f>IFERROR(__xludf.DUMMYFUNCTION("""COMPUTED_VALUE"""),"натуральні препарати для лікування нервової системи")</f>
        <v>натуральні препарати для лікування нервової системи</v>
      </c>
      <c r="F2299" s="17">
        <f>IFERROR(__xludf.DUMMYFUNCTION("""COMPUTED_VALUE"""),3.0)</f>
        <v>3</v>
      </c>
      <c r="G2299" s="17" t="str">
        <f>IFERROR(__xludf.DUMMYFUNCTION("""COMPUTED_VALUE"""),"160303")</f>
        <v>160303</v>
      </c>
      <c r="H2299" s="17" t="str">
        <f>IFERROR(__xludf.DUMMYFUNCTION("""COMPUTED_VALUE"""),"натуральні препарати для лікування нервової системи")</f>
        <v>натуральні препарати для лікування нервової системи</v>
      </c>
      <c r="I2299" s="19">
        <f>IFERROR(__xludf.DUMMYFUNCTION("""COMPUTED_VALUE"""),0.0383)</f>
        <v>0.0383</v>
      </c>
      <c r="J2299" s="19">
        <f>IFERROR(__xludf.DUMMYFUNCTION("""COMPUTED_VALUE"""),0.0766)</f>
        <v>0.0766</v>
      </c>
      <c r="K2299" s="19">
        <f>IFERROR(__xludf.DUMMYFUNCTION("""COMPUTED_VALUE"""),0.0958)</f>
        <v>0.0958</v>
      </c>
      <c r="L2299" s="19">
        <f>IFERROR(__xludf.DUMMYFUNCTION("""COMPUTED_VALUE"""),0.1149)</f>
        <v>0.1149</v>
      </c>
      <c r="M2299" s="18">
        <f>IFERROR(__xludf.DUMMYFUNCTION("""COMPUTED_VALUE"""),2.08)</f>
        <v>2.08</v>
      </c>
    </row>
    <row r="2300">
      <c r="A2300" s="13" t="str">
        <f>IFERROR(__xludf.DUMMYFUNCTION("""COMPUTED_VALUE"""),"товари")</f>
        <v>товари</v>
      </c>
      <c r="B2300" s="16" t="str">
        <f>IFERROR(__xludf.DUMMYFUNCTION("""COMPUTED_VALUE"""),"медикаменти та медичні товари")</f>
        <v>медикаменти та медичні товари</v>
      </c>
      <c r="C2300" s="16" t="str">
        <f>IFERROR(__xludf.DUMMYFUNCTION("""COMPUTED_VALUE"""),"натуральні препарати")</f>
        <v>натуральні препарати</v>
      </c>
      <c r="D2300" s="16" t="str">
        <f>IFERROR(__xludf.DUMMYFUNCTION("""COMPUTED_VALUE"""),"натуральні препарати для лікування нирок і сечовивідних шляхів")</f>
        <v>натуральні препарати для лікування нирок і сечовивідних шляхів</v>
      </c>
      <c r="E2300" s="16" t="str">
        <f>IFERROR(__xludf.DUMMYFUNCTION("""COMPUTED_VALUE"""),"натуральні препарати для лікування нирок і сечовивідних шляхів")</f>
        <v>натуральні препарати для лікування нирок і сечовивідних шляхів</v>
      </c>
      <c r="F2300" s="17">
        <f>IFERROR(__xludf.DUMMYFUNCTION("""COMPUTED_VALUE"""),3.0)</f>
        <v>3</v>
      </c>
      <c r="G2300" s="17" t="str">
        <f>IFERROR(__xludf.DUMMYFUNCTION("""COMPUTED_VALUE"""),"160327")</f>
        <v>160327</v>
      </c>
      <c r="H2300" s="17" t="str">
        <f>IFERROR(__xludf.DUMMYFUNCTION("""COMPUTED_VALUE"""),"натуральні препарати для лікування нирок і сечовивідних шляхів")</f>
        <v>натуральні препарати для лікування нирок і сечовивідних шляхів</v>
      </c>
      <c r="I2300" s="19">
        <f>IFERROR(__xludf.DUMMYFUNCTION("""COMPUTED_VALUE"""),0.0431)</f>
        <v>0.0431</v>
      </c>
      <c r="J2300" s="19">
        <f>IFERROR(__xludf.DUMMYFUNCTION("""COMPUTED_VALUE"""),0.0862)</f>
        <v>0.0862</v>
      </c>
      <c r="K2300" s="19">
        <f>IFERROR(__xludf.DUMMYFUNCTION("""COMPUTED_VALUE"""),0.1078)</f>
        <v>0.1078</v>
      </c>
      <c r="L2300" s="19">
        <f>IFERROR(__xludf.DUMMYFUNCTION("""COMPUTED_VALUE"""),0.1293)</f>
        <v>0.1293</v>
      </c>
      <c r="M2300" s="18">
        <f>IFERROR(__xludf.DUMMYFUNCTION("""COMPUTED_VALUE"""),1.44)</f>
        <v>1.44</v>
      </c>
    </row>
    <row r="2301">
      <c r="A2301" s="13" t="str">
        <f>IFERROR(__xludf.DUMMYFUNCTION("""COMPUTED_VALUE"""),"товари")</f>
        <v>товари</v>
      </c>
      <c r="B2301" s="16" t="str">
        <f>IFERROR(__xludf.DUMMYFUNCTION("""COMPUTED_VALUE"""),"медикаменти та медичні товари")</f>
        <v>медикаменти та медичні товари</v>
      </c>
      <c r="C2301" s="16" t="str">
        <f>IFERROR(__xludf.DUMMYFUNCTION("""COMPUTED_VALUE"""),"натуральні препарати")</f>
        <v>натуральні препарати</v>
      </c>
      <c r="D2301" s="16" t="str">
        <f>IFERROR(__xludf.DUMMYFUNCTION("""COMPUTED_VALUE"""),"натуральні препарати для лікування серцево-судинних захворювань")</f>
        <v>натуральні препарати для лікування серцево-судинних захворювань</v>
      </c>
      <c r="E2301" s="16" t="str">
        <f>IFERROR(__xludf.DUMMYFUNCTION("""COMPUTED_VALUE"""),"натуральні препарати для лікування серцево-судинних захворювань")</f>
        <v>натуральні препарати для лікування серцево-судинних захворювань</v>
      </c>
      <c r="F2301" s="17">
        <f>IFERROR(__xludf.DUMMYFUNCTION("""COMPUTED_VALUE"""),3.0)</f>
        <v>3</v>
      </c>
      <c r="G2301" s="17" t="str">
        <f>IFERROR(__xludf.DUMMYFUNCTION("""COMPUTED_VALUE"""),"160301")</f>
        <v>160301</v>
      </c>
      <c r="H2301" s="17" t="str">
        <f>IFERROR(__xludf.DUMMYFUNCTION("""COMPUTED_VALUE"""),"натуральні препарати для лікування серцево-судинних захворювань")</f>
        <v>натуральні препарати для лікування серцево-судинних захворювань</v>
      </c>
      <c r="I2301" s="19">
        <f>IFERROR(__xludf.DUMMYFUNCTION("""COMPUTED_VALUE"""),0.0376)</f>
        <v>0.0376</v>
      </c>
      <c r="J2301" s="19">
        <f>IFERROR(__xludf.DUMMYFUNCTION("""COMPUTED_VALUE"""),0.0752)</f>
        <v>0.0752</v>
      </c>
      <c r="K2301" s="19">
        <f>IFERROR(__xludf.DUMMYFUNCTION("""COMPUTED_VALUE"""),0.094)</f>
        <v>0.094</v>
      </c>
      <c r="L2301" s="19">
        <f>IFERROR(__xludf.DUMMYFUNCTION("""COMPUTED_VALUE"""),0.1128)</f>
        <v>0.1128</v>
      </c>
      <c r="M2301" s="18">
        <f>IFERROR(__xludf.DUMMYFUNCTION("""COMPUTED_VALUE"""),2.25)</f>
        <v>2.25</v>
      </c>
    </row>
    <row r="2302">
      <c r="A2302" s="13" t="str">
        <f>IFERROR(__xludf.DUMMYFUNCTION("""COMPUTED_VALUE"""),"товари")</f>
        <v>товари</v>
      </c>
      <c r="B2302" s="16" t="str">
        <f>IFERROR(__xludf.DUMMYFUNCTION("""COMPUTED_VALUE"""),"медикаменти та медичні товари")</f>
        <v>медикаменти та медичні товари</v>
      </c>
      <c r="C2302" s="16" t="str">
        <f>IFERROR(__xludf.DUMMYFUNCTION("""COMPUTED_VALUE"""),"натуральні препарати")</f>
        <v>натуральні препарати</v>
      </c>
      <c r="D2302" s="16" t="str">
        <f>IFERROR(__xludf.DUMMYFUNCTION("""COMPUTED_VALUE"""),"натуральні препарати для лікування урологічних захворювань")</f>
        <v>натуральні препарати для лікування урологічних захворювань</v>
      </c>
      <c r="E2302" s="16" t="str">
        <f>IFERROR(__xludf.DUMMYFUNCTION("""COMPUTED_VALUE"""),"натуральні препарати для лікування урологічних захворювань")</f>
        <v>натуральні препарати для лікування урологічних захворювань</v>
      </c>
      <c r="F2302" s="17">
        <f>IFERROR(__xludf.DUMMYFUNCTION("""COMPUTED_VALUE"""),3.0)</f>
        <v>3</v>
      </c>
      <c r="G2302" s="17" t="str">
        <f>IFERROR(__xludf.DUMMYFUNCTION("""COMPUTED_VALUE"""),"160307")</f>
        <v>160307</v>
      </c>
      <c r="H2302" s="17" t="str">
        <f>IFERROR(__xludf.DUMMYFUNCTION("""COMPUTED_VALUE"""),"натуральні препарати для лікування урологічних захворювань")</f>
        <v>натуральні препарати для лікування урологічних захворювань</v>
      </c>
      <c r="I2302" s="19">
        <f>IFERROR(__xludf.DUMMYFUNCTION("""COMPUTED_VALUE"""),0.0704)</f>
        <v>0.0704</v>
      </c>
      <c r="J2302" s="19">
        <f>IFERROR(__xludf.DUMMYFUNCTION("""COMPUTED_VALUE"""),0.1407)</f>
        <v>0.1407</v>
      </c>
      <c r="K2302" s="19">
        <f>IFERROR(__xludf.DUMMYFUNCTION("""COMPUTED_VALUE"""),0.1759)</f>
        <v>0.1759</v>
      </c>
      <c r="L2302" s="19">
        <f>IFERROR(__xludf.DUMMYFUNCTION("""COMPUTED_VALUE"""),0.2111)</f>
        <v>0.2111</v>
      </c>
      <c r="M2302" s="18">
        <f>IFERROR(__xludf.DUMMYFUNCTION("""COMPUTED_VALUE"""),2.16)</f>
        <v>2.16</v>
      </c>
    </row>
    <row r="2303">
      <c r="A2303" s="13" t="str">
        <f>IFERROR(__xludf.DUMMYFUNCTION("""COMPUTED_VALUE"""),"товари")</f>
        <v>товари</v>
      </c>
      <c r="B2303" s="16" t="str">
        <f>IFERROR(__xludf.DUMMYFUNCTION("""COMPUTED_VALUE"""),"медикаменти та медичні товари")</f>
        <v>медикаменти та медичні товари</v>
      </c>
      <c r="C2303" s="16" t="str">
        <f>IFERROR(__xludf.DUMMYFUNCTION("""COMPUTED_VALUE"""),"натуральні препарати")</f>
        <v>натуральні препарати</v>
      </c>
      <c r="D2303" s="16" t="str">
        <f>IFERROR(__xludf.DUMMYFUNCTION("""COMPUTED_VALUE"""),"натуральні препарати для лікування хвороб опорно-рухової системи")</f>
        <v>натуральні препарати для лікування хвороб опорно-рухової системи</v>
      </c>
      <c r="E2303" s="16" t="str">
        <f>IFERROR(__xludf.DUMMYFUNCTION("""COMPUTED_VALUE"""),"натуральні препарати для лікування хвороб опорно-рухової системи")</f>
        <v>натуральні препарати для лікування хвороб опорно-рухової системи</v>
      </c>
      <c r="F2303" s="17">
        <f>IFERROR(__xludf.DUMMYFUNCTION("""COMPUTED_VALUE"""),3.0)</f>
        <v>3</v>
      </c>
      <c r="G2303" s="17" t="str">
        <f>IFERROR(__xludf.DUMMYFUNCTION("""COMPUTED_VALUE"""),"160336")</f>
        <v>160336</v>
      </c>
      <c r="H2303" s="17" t="str">
        <f>IFERROR(__xludf.DUMMYFUNCTION("""COMPUTED_VALUE"""),"натуральні препарати для лікування хвороб опорно-рухової системи")</f>
        <v>натуральні препарати для лікування хвороб опорно-рухової системи</v>
      </c>
      <c r="I2303" s="19">
        <f>IFERROR(__xludf.DUMMYFUNCTION("""COMPUTED_VALUE"""),0.064)</f>
        <v>0.064</v>
      </c>
      <c r="J2303" s="19">
        <f>IFERROR(__xludf.DUMMYFUNCTION("""COMPUTED_VALUE"""),0.128)</f>
        <v>0.128</v>
      </c>
      <c r="K2303" s="19">
        <f>IFERROR(__xludf.DUMMYFUNCTION("""COMPUTED_VALUE"""),0.16)</f>
        <v>0.16</v>
      </c>
      <c r="L2303" s="19">
        <f>IFERROR(__xludf.DUMMYFUNCTION("""COMPUTED_VALUE"""),0.192)</f>
        <v>0.192</v>
      </c>
      <c r="M2303" s="18">
        <f>IFERROR(__xludf.DUMMYFUNCTION("""COMPUTED_VALUE"""),1.05)</f>
        <v>1.05</v>
      </c>
    </row>
    <row r="2304">
      <c r="A2304" s="13" t="str">
        <f>IFERROR(__xludf.DUMMYFUNCTION("""COMPUTED_VALUE"""),"товари")</f>
        <v>товари</v>
      </c>
      <c r="B2304" s="16" t="str">
        <f>IFERROR(__xludf.DUMMYFUNCTION("""COMPUTED_VALUE"""),"медикаменти та медичні товари")</f>
        <v>медикаменти та медичні товари</v>
      </c>
      <c r="C2304" s="16" t="str">
        <f>IFERROR(__xludf.DUMMYFUNCTION("""COMPUTED_VALUE"""),"натуральні препарати")</f>
        <v>натуральні препарати</v>
      </c>
      <c r="D2304" s="16" t="str">
        <f>IFERROR(__xludf.DUMMYFUNCTION("""COMPUTED_VALUE"""),"натуральні препарати для лікування шлунково-кишкового тракту")</f>
        <v>натуральні препарати для лікування шлунково-кишкового тракту</v>
      </c>
      <c r="E2304" s="16" t="str">
        <f>IFERROR(__xludf.DUMMYFUNCTION("""COMPUTED_VALUE"""),"натуральні препарати для лікування шлунково-кишкового тракту")</f>
        <v>натуральні препарати для лікування шлунково-кишкового тракту</v>
      </c>
      <c r="F2304" s="17">
        <f>IFERROR(__xludf.DUMMYFUNCTION("""COMPUTED_VALUE"""),3.0)</f>
        <v>3</v>
      </c>
      <c r="G2304" s="17" t="str">
        <f>IFERROR(__xludf.DUMMYFUNCTION("""COMPUTED_VALUE"""),"160309")</f>
        <v>160309</v>
      </c>
      <c r="H2304" s="17" t="str">
        <f>IFERROR(__xludf.DUMMYFUNCTION("""COMPUTED_VALUE"""),"натуральні препарати для лікування шлунково-кишкового тракту")</f>
        <v>натуральні препарати для лікування шлунково-кишкового тракту</v>
      </c>
      <c r="I2304" s="19">
        <f>IFERROR(__xludf.DUMMYFUNCTION("""COMPUTED_VALUE"""),0.0383)</f>
        <v>0.0383</v>
      </c>
      <c r="J2304" s="19">
        <f>IFERROR(__xludf.DUMMYFUNCTION("""COMPUTED_VALUE"""),0.0766)</f>
        <v>0.0766</v>
      </c>
      <c r="K2304" s="19">
        <f>IFERROR(__xludf.DUMMYFUNCTION("""COMPUTED_VALUE"""),0.0958)</f>
        <v>0.0958</v>
      </c>
      <c r="L2304" s="19">
        <f>IFERROR(__xludf.DUMMYFUNCTION("""COMPUTED_VALUE"""),0.1149)</f>
        <v>0.1149</v>
      </c>
      <c r="M2304" s="18">
        <f>IFERROR(__xludf.DUMMYFUNCTION("""COMPUTED_VALUE"""),2.08)</f>
        <v>2.08</v>
      </c>
    </row>
    <row r="2305">
      <c r="A2305" s="13" t="str">
        <f>IFERROR(__xludf.DUMMYFUNCTION("""COMPUTED_VALUE"""),"товари")</f>
        <v>товари</v>
      </c>
      <c r="B2305" s="16" t="str">
        <f>IFERROR(__xludf.DUMMYFUNCTION("""COMPUTED_VALUE"""),"медикаменти та медичні товари")</f>
        <v>медикаменти та медичні товари</v>
      </c>
      <c r="C2305" s="16" t="str">
        <f>IFERROR(__xludf.DUMMYFUNCTION("""COMPUTED_VALUE"""),"натуральні препарати")</f>
        <v>натуральні препарати</v>
      </c>
      <c r="D2305" s="16" t="str">
        <f>IFERROR(__xludf.DUMMYFUNCTION("""COMPUTED_VALUE"""),"натуральні препарати для поліпшення мозкового кровообігу")</f>
        <v>натуральні препарати для поліпшення мозкового кровообігу</v>
      </c>
      <c r="E2305" s="16" t="str">
        <f>IFERROR(__xludf.DUMMYFUNCTION("""COMPUTED_VALUE"""),"натуральні препарати для поліпшення мозкового кровообігу")</f>
        <v>натуральні препарати для поліпшення мозкового кровообігу</v>
      </c>
      <c r="F2305" s="17">
        <f>IFERROR(__xludf.DUMMYFUNCTION("""COMPUTED_VALUE"""),3.0)</f>
        <v>3</v>
      </c>
      <c r="G2305" s="17" t="str">
        <f>IFERROR(__xludf.DUMMYFUNCTION("""COMPUTED_VALUE"""),"160311")</f>
        <v>160311</v>
      </c>
      <c r="H2305" s="17" t="str">
        <f>IFERROR(__xludf.DUMMYFUNCTION("""COMPUTED_VALUE"""),"натуральні препарати для поліпшення мозкового кровообігу")</f>
        <v>натуральні препарати для поліпшення мозкового кровообігу</v>
      </c>
      <c r="I2305" s="19">
        <f>IFERROR(__xludf.DUMMYFUNCTION("""COMPUTED_VALUE"""),0.0431)</f>
        <v>0.0431</v>
      </c>
      <c r="J2305" s="19">
        <f>IFERROR(__xludf.DUMMYFUNCTION("""COMPUTED_VALUE"""),0.0862)</f>
        <v>0.0862</v>
      </c>
      <c r="K2305" s="19">
        <f>IFERROR(__xludf.DUMMYFUNCTION("""COMPUTED_VALUE"""),0.1078)</f>
        <v>0.1078</v>
      </c>
      <c r="L2305" s="19">
        <f>IFERROR(__xludf.DUMMYFUNCTION("""COMPUTED_VALUE"""),0.1293)</f>
        <v>0.1293</v>
      </c>
      <c r="M2305" s="18">
        <f>IFERROR(__xludf.DUMMYFUNCTION("""COMPUTED_VALUE"""),1.98)</f>
        <v>1.98</v>
      </c>
    </row>
    <row r="2306">
      <c r="A2306" s="13" t="str">
        <f>IFERROR(__xludf.DUMMYFUNCTION("""COMPUTED_VALUE"""),"товари")</f>
        <v>товари</v>
      </c>
      <c r="B2306" s="16" t="str">
        <f>IFERROR(__xludf.DUMMYFUNCTION("""COMPUTED_VALUE"""),"медикаменти та медичні товари")</f>
        <v>медикаменти та медичні товари</v>
      </c>
      <c r="C2306" s="16" t="str">
        <f>IFERROR(__xludf.DUMMYFUNCTION("""COMPUTED_VALUE"""),"натуральні препарати")</f>
        <v>натуральні препарати</v>
      </c>
      <c r="D2306" s="16" t="str">
        <f>IFERROR(__xludf.DUMMYFUNCTION("""COMPUTED_VALUE"""),"натуральні препарати для поліпшення процесів регенерації")</f>
        <v>натуральні препарати для поліпшення процесів регенерації</v>
      </c>
      <c r="E2306" s="16" t="str">
        <f>IFERROR(__xludf.DUMMYFUNCTION("""COMPUTED_VALUE"""),"натуральні препарати для поліпшення процесів регенерації")</f>
        <v>натуральні препарати для поліпшення процесів регенерації</v>
      </c>
      <c r="F2306" s="17">
        <f>IFERROR(__xludf.DUMMYFUNCTION("""COMPUTED_VALUE"""),3.0)</f>
        <v>3</v>
      </c>
      <c r="G2306" s="17" t="str">
        <f>IFERROR(__xludf.DUMMYFUNCTION("""COMPUTED_VALUE"""),"160318")</f>
        <v>160318</v>
      </c>
      <c r="H2306" s="17" t="str">
        <f>IFERROR(__xludf.DUMMYFUNCTION("""COMPUTED_VALUE"""),"натуральні препарати для поліпшення процесів регенерації")</f>
        <v>натуральні препарати для поліпшення процесів регенерації</v>
      </c>
      <c r="I2306" s="19">
        <f>IFERROR(__xludf.DUMMYFUNCTION("""COMPUTED_VALUE"""),0.0447)</f>
        <v>0.0447</v>
      </c>
      <c r="J2306" s="19">
        <f>IFERROR(__xludf.DUMMYFUNCTION("""COMPUTED_VALUE"""),0.0893)</f>
        <v>0.0893</v>
      </c>
      <c r="K2306" s="19">
        <f>IFERROR(__xludf.DUMMYFUNCTION("""COMPUTED_VALUE"""),0.1116)</f>
        <v>0.1116</v>
      </c>
      <c r="L2306" s="19">
        <f>IFERROR(__xludf.DUMMYFUNCTION("""COMPUTED_VALUE"""),0.134)</f>
        <v>0.134</v>
      </c>
      <c r="M2306" s="18">
        <f>IFERROR(__xludf.DUMMYFUNCTION("""COMPUTED_VALUE"""),1.44)</f>
        <v>1.44</v>
      </c>
    </row>
    <row r="2307">
      <c r="A2307" s="13" t="str">
        <f>IFERROR(__xludf.DUMMYFUNCTION("""COMPUTED_VALUE"""),"товари")</f>
        <v>товари</v>
      </c>
      <c r="B2307" s="16" t="str">
        <f>IFERROR(__xludf.DUMMYFUNCTION("""COMPUTED_VALUE"""),"медикаменти та медичні товари")</f>
        <v>медикаменти та медичні товари</v>
      </c>
      <c r="C2307" s="16" t="str">
        <f>IFERROR(__xludf.DUMMYFUNCTION("""COMPUTED_VALUE"""),"натуральні препарати")</f>
        <v>натуральні препарати</v>
      </c>
      <c r="D2307" s="16" t="str">
        <f>IFERROR(__xludf.DUMMYFUNCTION("""COMPUTED_VALUE"""),"натуральні препарати, загальне")</f>
        <v>натуральні препарати, загальне</v>
      </c>
      <c r="E2307" s="16" t="str">
        <f>IFERROR(__xludf.DUMMYFUNCTION("""COMPUTED_VALUE"""),"натуральні препарати, загальне")</f>
        <v>натуральні препарати, загальне</v>
      </c>
      <c r="F2307" s="17">
        <f>IFERROR(__xludf.DUMMYFUNCTION("""COMPUTED_VALUE"""),3.0)</f>
        <v>3</v>
      </c>
      <c r="G2307" s="17" t="str">
        <f>IFERROR(__xludf.DUMMYFUNCTION("""COMPUTED_VALUE"""),"160302")</f>
        <v>160302</v>
      </c>
      <c r="H2307" s="17" t="str">
        <f>IFERROR(__xludf.DUMMYFUNCTION("""COMPUTED_VALUE"""),"натуральні препарати, загальне")</f>
        <v>натуральні препарати, загальне</v>
      </c>
      <c r="I2307" s="19">
        <f>IFERROR(__xludf.DUMMYFUNCTION("""COMPUTED_VALUE"""),0.125)</f>
        <v>0.125</v>
      </c>
      <c r="J2307" s="19">
        <f>IFERROR(__xludf.DUMMYFUNCTION("""COMPUTED_VALUE"""),0.25)</f>
        <v>0.25</v>
      </c>
      <c r="K2307" s="19">
        <f>IFERROR(__xludf.DUMMYFUNCTION("""COMPUTED_VALUE"""),0.3125)</f>
        <v>0.3125</v>
      </c>
      <c r="L2307" s="19">
        <f>IFERROR(__xludf.DUMMYFUNCTION("""COMPUTED_VALUE"""),0.375)</f>
        <v>0.375</v>
      </c>
      <c r="M2307" s="18">
        <f>IFERROR(__xludf.DUMMYFUNCTION("""COMPUTED_VALUE"""),4.33)</f>
        <v>4.33</v>
      </c>
    </row>
    <row r="2308">
      <c r="A2308" s="13" t="str">
        <f>IFERROR(__xludf.DUMMYFUNCTION("""COMPUTED_VALUE"""),"товари")</f>
        <v>товари</v>
      </c>
      <c r="B2308" s="16" t="str">
        <f>IFERROR(__xludf.DUMMYFUNCTION("""COMPUTED_VALUE"""),"медикаменти та медичні товари")</f>
        <v>медикаменти та медичні товари</v>
      </c>
      <c r="C2308" s="16" t="str">
        <f>IFERROR(__xludf.DUMMYFUNCTION("""COMPUTED_VALUE"""),"лікарські засоби")</f>
        <v>лікарські засоби</v>
      </c>
      <c r="D2308" s="16" t="str">
        <f>IFERROR(__xludf.DUMMYFUNCTION("""COMPUTED_VALUE"""),"нервова система")</f>
        <v>нервова система</v>
      </c>
      <c r="E2308" s="16" t="str">
        <f>IFERROR(__xludf.DUMMYFUNCTION("""COMPUTED_VALUE"""),"нервова система, загальна")</f>
        <v>нервова система, загальна</v>
      </c>
      <c r="F2308" s="17">
        <f>IFERROR(__xludf.DUMMYFUNCTION("""COMPUTED_VALUE"""),4.0)</f>
        <v>4</v>
      </c>
      <c r="G2308" s="17" t="str">
        <f>IFERROR(__xludf.DUMMYFUNCTION("""COMPUTED_VALUE"""),"401223")</f>
        <v>401223</v>
      </c>
      <c r="H2308" s="17" t="str">
        <f>IFERROR(__xludf.DUMMYFUNCTION("""COMPUTED_VALUE"""),"нервова система, загальна")</f>
        <v>нервова система, загальна</v>
      </c>
      <c r="I2308" s="19">
        <f>IFERROR(__xludf.DUMMYFUNCTION("""COMPUTED_VALUE"""),0.125)</f>
        <v>0.125</v>
      </c>
      <c r="J2308" s="19">
        <f>IFERROR(__xludf.DUMMYFUNCTION("""COMPUTED_VALUE"""),0.25)</f>
        <v>0.25</v>
      </c>
      <c r="K2308" s="19">
        <f>IFERROR(__xludf.DUMMYFUNCTION("""COMPUTED_VALUE"""),0.3125)</f>
        <v>0.3125</v>
      </c>
      <c r="L2308" s="19">
        <f>IFERROR(__xludf.DUMMYFUNCTION("""COMPUTED_VALUE"""),0.375)</f>
        <v>0.375</v>
      </c>
      <c r="M2308" s="18">
        <f>IFERROR(__xludf.DUMMYFUNCTION("""COMPUTED_VALUE"""),4.33)</f>
        <v>4.33</v>
      </c>
    </row>
    <row r="2309">
      <c r="A2309" s="13" t="str">
        <f>IFERROR(__xludf.DUMMYFUNCTION("""COMPUTED_VALUE"""),"товари")</f>
        <v>товари</v>
      </c>
      <c r="B2309" s="16" t="str">
        <f>IFERROR(__xludf.DUMMYFUNCTION("""COMPUTED_VALUE"""),"медикаменти та медичні товари")</f>
        <v>медикаменти та медичні товари</v>
      </c>
      <c r="C2309" s="16" t="str">
        <f>IFERROR(__xludf.DUMMYFUNCTION("""COMPUTED_VALUE"""),"лікарські засоби")</f>
        <v>лікарські засоби</v>
      </c>
      <c r="D2309" s="16" t="str">
        <f>IFERROR(__xludf.DUMMYFUNCTION("""COMPUTED_VALUE"""),"опорно-рухова система")</f>
        <v>опорно-рухова система</v>
      </c>
      <c r="E2309" s="16" t="str">
        <f>IFERROR(__xludf.DUMMYFUNCTION("""COMPUTED_VALUE""")," опорно-рухова система, загальне")</f>
        <v> опорно-рухова система, загальне</v>
      </c>
      <c r="F2309" s="17">
        <f>IFERROR(__xludf.DUMMYFUNCTION("""COMPUTED_VALUE"""),4.0)</f>
        <v>4</v>
      </c>
      <c r="G2309" s="17" t="str">
        <f>IFERROR(__xludf.DUMMYFUNCTION("""COMPUTED_VALUE"""),"401225")</f>
        <v>401225</v>
      </c>
      <c r="H2309" s="17" t="str">
        <f>IFERROR(__xludf.DUMMYFUNCTION("""COMPUTED_VALUE""")," опорно-рухова система, загальне")</f>
        <v> опорно-рухова система, загальне</v>
      </c>
      <c r="I2309" s="19">
        <f>IFERROR(__xludf.DUMMYFUNCTION("""COMPUTED_VALUE"""),0.125)</f>
        <v>0.125</v>
      </c>
      <c r="J2309" s="19">
        <f>IFERROR(__xludf.DUMMYFUNCTION("""COMPUTED_VALUE"""),0.25)</f>
        <v>0.25</v>
      </c>
      <c r="K2309" s="19">
        <f>IFERROR(__xludf.DUMMYFUNCTION("""COMPUTED_VALUE"""),0.3125)</f>
        <v>0.3125</v>
      </c>
      <c r="L2309" s="19">
        <f>IFERROR(__xludf.DUMMYFUNCTION("""COMPUTED_VALUE"""),0.375)</f>
        <v>0.375</v>
      </c>
      <c r="M2309" s="18">
        <f>IFERROR(__xludf.DUMMYFUNCTION("""COMPUTED_VALUE"""),4.33)</f>
        <v>4.33</v>
      </c>
    </row>
    <row r="2310">
      <c r="A2310" s="13" t="str">
        <f>IFERROR(__xludf.DUMMYFUNCTION("""COMPUTED_VALUE"""),"товари")</f>
        <v>товари</v>
      </c>
      <c r="B2310" s="16" t="str">
        <f>IFERROR(__xludf.DUMMYFUNCTION("""COMPUTED_VALUE"""),"медикаменти та медичні товари")</f>
        <v>медикаменти та медичні товари</v>
      </c>
      <c r="C2310" s="16" t="str">
        <f>IFERROR(__xludf.DUMMYFUNCTION("""COMPUTED_VALUE"""),"лікарські засоби")</f>
        <v>лікарські засоби</v>
      </c>
      <c r="D2310" s="16" t="str">
        <f>IFERROR(__xludf.DUMMYFUNCTION("""COMPUTED_VALUE"""),"органи чуття")</f>
        <v>органи чуття</v>
      </c>
      <c r="E2310" s="16" t="str">
        <f>IFERROR(__xludf.DUMMYFUNCTION("""COMPUTED_VALUE"""),"органи чуття, загальне")</f>
        <v>органи чуття, загальне</v>
      </c>
      <c r="F2310" s="17">
        <f>IFERROR(__xludf.DUMMYFUNCTION("""COMPUTED_VALUE"""),4.0)</f>
        <v>4</v>
      </c>
      <c r="G2310" s="17" t="str">
        <f>IFERROR(__xludf.DUMMYFUNCTION("""COMPUTED_VALUE"""),"401235")</f>
        <v>401235</v>
      </c>
      <c r="H2310" s="17" t="str">
        <f>IFERROR(__xludf.DUMMYFUNCTION("""COMPUTED_VALUE"""),"органи чуття, загальне")</f>
        <v>органи чуття, загальне</v>
      </c>
      <c r="I2310" s="19">
        <f>IFERROR(__xludf.DUMMYFUNCTION("""COMPUTED_VALUE"""),0.125)</f>
        <v>0.125</v>
      </c>
      <c r="J2310" s="19">
        <f>IFERROR(__xludf.DUMMYFUNCTION("""COMPUTED_VALUE"""),0.25)</f>
        <v>0.25</v>
      </c>
      <c r="K2310" s="19">
        <f>IFERROR(__xludf.DUMMYFUNCTION("""COMPUTED_VALUE"""),0.3125)</f>
        <v>0.3125</v>
      </c>
      <c r="L2310" s="19">
        <f>IFERROR(__xludf.DUMMYFUNCTION("""COMPUTED_VALUE"""),0.375)</f>
        <v>0.375</v>
      </c>
      <c r="M2310" s="18">
        <f>IFERROR(__xludf.DUMMYFUNCTION("""COMPUTED_VALUE"""),4.33)</f>
        <v>4.33</v>
      </c>
    </row>
    <row r="2311">
      <c r="A2311" s="13" t="str">
        <f>IFERROR(__xludf.DUMMYFUNCTION("""COMPUTED_VALUE"""),"товари")</f>
        <v>товари</v>
      </c>
      <c r="B2311" s="16" t="str">
        <f>IFERROR(__xludf.DUMMYFUNCTION("""COMPUTED_VALUE"""),"медикаменти та медичні товари")</f>
        <v>медикаменти та медичні товари</v>
      </c>
      <c r="C2311" s="16" t="str">
        <f>IFERROR(__xludf.DUMMYFUNCTION("""COMPUTED_VALUE"""),"ортопедичні товари")</f>
        <v>ортопедичні товари</v>
      </c>
      <c r="D2311" s="16" t="str">
        <f>IFERROR(__xludf.DUMMYFUNCTION("""COMPUTED_VALUE"""),"ортопедичні товари, загальне")</f>
        <v>ортопедичні товари, загальне</v>
      </c>
      <c r="E2311" s="16" t="str">
        <f>IFERROR(__xludf.DUMMYFUNCTION("""COMPUTED_VALUE"""),"ортопедичні товари, загальне")</f>
        <v>ортопедичні товари, загальне</v>
      </c>
      <c r="F2311" s="17">
        <f>IFERROR(__xludf.DUMMYFUNCTION("""COMPUTED_VALUE"""),3.0)</f>
        <v>3</v>
      </c>
      <c r="G2311" s="17" t="str">
        <f>IFERROR(__xludf.DUMMYFUNCTION("""COMPUTED_VALUE"""),"161205")</f>
        <v>161205</v>
      </c>
      <c r="H2311" s="17" t="str">
        <f>IFERROR(__xludf.DUMMYFUNCTION("""COMPUTED_VALUE"""),"ортопедичні товари, загальне")</f>
        <v>ортопедичні товари, загальне</v>
      </c>
      <c r="I2311" s="19">
        <f>IFERROR(__xludf.DUMMYFUNCTION("""COMPUTED_VALUE"""),0.125)</f>
        <v>0.125</v>
      </c>
      <c r="J2311" s="19">
        <f>IFERROR(__xludf.DUMMYFUNCTION("""COMPUTED_VALUE"""),0.25)</f>
        <v>0.25</v>
      </c>
      <c r="K2311" s="19">
        <f>IFERROR(__xludf.DUMMYFUNCTION("""COMPUTED_VALUE"""),0.3125)</f>
        <v>0.3125</v>
      </c>
      <c r="L2311" s="19">
        <f>IFERROR(__xludf.DUMMYFUNCTION("""COMPUTED_VALUE"""),0.375)</f>
        <v>0.375</v>
      </c>
      <c r="M2311" s="18">
        <f>IFERROR(__xludf.DUMMYFUNCTION("""COMPUTED_VALUE"""),4.33)</f>
        <v>4.33</v>
      </c>
    </row>
    <row r="2312">
      <c r="A2312" s="13" t="str">
        <f>IFERROR(__xludf.DUMMYFUNCTION("""COMPUTED_VALUE"""),"товари")</f>
        <v>товари</v>
      </c>
      <c r="B2312" s="16" t="str">
        <f>IFERROR(__xludf.DUMMYFUNCTION("""COMPUTED_VALUE"""),"медикаменти та медичні товари")</f>
        <v>медикаменти та медичні товари</v>
      </c>
      <c r="C2312" s="16" t="str">
        <f>IFERROR(__xludf.DUMMYFUNCTION("""COMPUTED_VALUE"""),"ортопедичні товари")</f>
        <v>ортопедичні товари</v>
      </c>
      <c r="D2312" s="16" t="str">
        <f>IFERROR(__xludf.DUMMYFUNCTION("""COMPUTED_VALUE"""),"ортопедичні фіксатори для новонароджених")</f>
        <v>ортопедичні фіксатори для новонароджених</v>
      </c>
      <c r="E2312" s="16" t="str">
        <f>IFERROR(__xludf.DUMMYFUNCTION("""COMPUTED_VALUE"""),"ортопедичні фіксатори для новонароджених")</f>
        <v>ортопедичні фіксатори для новонароджених</v>
      </c>
      <c r="F2312" s="17">
        <f>IFERROR(__xludf.DUMMYFUNCTION("""COMPUTED_VALUE"""),3.0)</f>
        <v>3</v>
      </c>
      <c r="G2312" s="17" t="str">
        <f>IFERROR(__xludf.DUMMYFUNCTION("""COMPUTED_VALUE"""),"401002")</f>
        <v>401002</v>
      </c>
      <c r="H2312" s="17" t="str">
        <f>IFERROR(__xludf.DUMMYFUNCTION("""COMPUTED_VALUE"""),"ортопедичні фіксатори для новонароджених")</f>
        <v>ортопедичні фіксатори для новонароджених</v>
      </c>
      <c r="I2312" s="19">
        <f>IFERROR(__xludf.DUMMYFUNCTION("""COMPUTED_VALUE"""),0.0447)</f>
        <v>0.0447</v>
      </c>
      <c r="J2312" s="19">
        <f>IFERROR(__xludf.DUMMYFUNCTION("""COMPUTED_VALUE"""),0.0893)</f>
        <v>0.0893</v>
      </c>
      <c r="K2312" s="19">
        <f>IFERROR(__xludf.DUMMYFUNCTION("""COMPUTED_VALUE"""),0.1116)</f>
        <v>0.1116</v>
      </c>
      <c r="L2312" s="19">
        <f>IFERROR(__xludf.DUMMYFUNCTION("""COMPUTED_VALUE"""),0.134)</f>
        <v>0.134</v>
      </c>
      <c r="M2312" s="18">
        <f>IFERROR(__xludf.DUMMYFUNCTION("""COMPUTED_VALUE"""),1.53)</f>
        <v>1.53</v>
      </c>
    </row>
    <row r="2313">
      <c r="A2313" s="13" t="str">
        <f>IFERROR(__xludf.DUMMYFUNCTION("""COMPUTED_VALUE"""),"товари")</f>
        <v>товари</v>
      </c>
      <c r="B2313" s="16" t="str">
        <f>IFERROR(__xludf.DUMMYFUNCTION("""COMPUTED_VALUE"""),"медикаменти та медичні товари")</f>
        <v>медикаменти та медичні товари</v>
      </c>
      <c r="C2313" s="16" t="str">
        <f>IFERROR(__xludf.DUMMYFUNCTION("""COMPUTED_VALUE"""),"товари для людей з інвалідністю")</f>
        <v>товари для людей з інвалідністю</v>
      </c>
      <c r="D2313" s="16" t="str">
        <f>IFERROR(__xludf.DUMMYFUNCTION("""COMPUTED_VALUE"""),"підгузки для дорослих")</f>
        <v>підгузки для дорослих</v>
      </c>
      <c r="E2313" s="16" t="str">
        <f>IFERROR(__xludf.DUMMYFUNCTION("""COMPUTED_VALUE"""),"підгузки для дорослих")</f>
        <v>підгузки для дорослих</v>
      </c>
      <c r="F2313" s="17">
        <f>IFERROR(__xludf.DUMMYFUNCTION("""COMPUTED_VALUE"""),3.0)</f>
        <v>3</v>
      </c>
      <c r="G2313" s="17" t="str">
        <f>IFERROR(__xludf.DUMMYFUNCTION("""COMPUTED_VALUE"""),"151306")</f>
        <v>151306</v>
      </c>
      <c r="H2313" s="17" t="str">
        <f>IFERROR(__xludf.DUMMYFUNCTION("""COMPUTED_VALUE"""),"підгузки для дорослих")</f>
        <v>підгузки для дорослих</v>
      </c>
      <c r="I2313" s="19">
        <f>IFERROR(__xludf.DUMMYFUNCTION("""COMPUTED_VALUE"""),0.0758)</f>
        <v>0.0758</v>
      </c>
      <c r="J2313" s="19">
        <f>IFERROR(__xludf.DUMMYFUNCTION("""COMPUTED_VALUE"""),0.1516)</f>
        <v>0.1516</v>
      </c>
      <c r="K2313" s="19">
        <f>IFERROR(__xludf.DUMMYFUNCTION("""COMPUTED_VALUE"""),0.1895)</f>
        <v>0.1895</v>
      </c>
      <c r="L2313" s="19">
        <f>IFERROR(__xludf.DUMMYFUNCTION("""COMPUTED_VALUE"""),0.2274)</f>
        <v>0.2274</v>
      </c>
      <c r="M2313" s="18">
        <f>IFERROR(__xludf.DUMMYFUNCTION("""COMPUTED_VALUE"""),2.34)</f>
        <v>2.34</v>
      </c>
    </row>
    <row r="2314">
      <c r="A2314" s="13" t="str">
        <f>IFERROR(__xludf.DUMMYFUNCTION("""COMPUTED_VALUE"""),"товари")</f>
        <v>товари</v>
      </c>
      <c r="B2314" s="16" t="str">
        <f>IFERROR(__xludf.DUMMYFUNCTION("""COMPUTED_VALUE"""),"медикаменти та медичні товари")</f>
        <v>медикаменти та медичні товари</v>
      </c>
      <c r="C2314" s="16" t="str">
        <f>IFERROR(__xludf.DUMMYFUNCTION("""COMPUTED_VALUE"""),"товари медичного призначення")</f>
        <v>товари медичного призначення</v>
      </c>
      <c r="D2314" s="16" t="str">
        <f>IFERROR(__xludf.DUMMYFUNCTION("""COMPUTED_VALUE"""),"піпетки")</f>
        <v>піпетки</v>
      </c>
      <c r="E2314" s="16" t="str">
        <f>IFERROR(__xludf.DUMMYFUNCTION("""COMPUTED_VALUE"""),"піпетки")</f>
        <v>піпетки</v>
      </c>
      <c r="F2314" s="17">
        <f>IFERROR(__xludf.DUMMYFUNCTION("""COMPUTED_VALUE"""),3.0)</f>
        <v>3</v>
      </c>
      <c r="G2314" s="17" t="str">
        <f>IFERROR(__xludf.DUMMYFUNCTION("""COMPUTED_VALUE"""),"161215")</f>
        <v>161215</v>
      </c>
      <c r="H2314" s="17" t="str">
        <f>IFERROR(__xludf.DUMMYFUNCTION("""COMPUTED_VALUE"""),"піпетки")</f>
        <v>піпетки</v>
      </c>
      <c r="I2314" s="19">
        <f>IFERROR(__xludf.DUMMYFUNCTION("""COMPUTED_VALUE"""),0.0709)</f>
        <v>0.0709</v>
      </c>
      <c r="J2314" s="19">
        <f>IFERROR(__xludf.DUMMYFUNCTION("""COMPUTED_VALUE"""),0.1417)</f>
        <v>0.1417</v>
      </c>
      <c r="K2314" s="19">
        <f>IFERROR(__xludf.DUMMYFUNCTION("""COMPUTED_VALUE"""),0.1771)</f>
        <v>0.1771</v>
      </c>
      <c r="L2314" s="19">
        <f>IFERROR(__xludf.DUMMYFUNCTION("""COMPUTED_VALUE"""),0.2126)</f>
        <v>0.2126</v>
      </c>
      <c r="M2314" s="18">
        <f>IFERROR(__xludf.DUMMYFUNCTION("""COMPUTED_VALUE"""),2.16)</f>
        <v>2.16</v>
      </c>
    </row>
    <row r="2315">
      <c r="A2315" s="13" t="str">
        <f>IFERROR(__xludf.DUMMYFUNCTION("""COMPUTED_VALUE"""),"товари")</f>
        <v>товари</v>
      </c>
      <c r="B2315" s="16" t="str">
        <f>IFERROR(__xludf.DUMMYFUNCTION("""COMPUTED_VALUE"""),"медикаменти та медичні товари")</f>
        <v>медикаменти та медичні товари</v>
      </c>
      <c r="C2315" s="16" t="str">
        <f>IFERROR(__xludf.DUMMYFUNCTION("""COMPUTED_VALUE"""),"товари медичного призначення")</f>
        <v>товари медичного призначення</v>
      </c>
      <c r="D2315" s="16" t="str">
        <f>IFERROR(__xludf.DUMMYFUNCTION("""COMPUTED_VALUE"""),"порожні капсули для ліків")</f>
        <v>порожні капсули для ліків</v>
      </c>
      <c r="E2315" s="16" t="str">
        <f>IFERROR(__xludf.DUMMYFUNCTION("""COMPUTED_VALUE"""),"порожні капсули для ліків")</f>
        <v>порожні капсули для ліків</v>
      </c>
      <c r="F2315" s="17">
        <f>IFERROR(__xludf.DUMMYFUNCTION("""COMPUTED_VALUE"""),3.0)</f>
        <v>3</v>
      </c>
      <c r="G2315" s="17" t="str">
        <f>IFERROR(__xludf.DUMMYFUNCTION("""COMPUTED_VALUE"""),"161222")</f>
        <v>161222</v>
      </c>
      <c r="H2315" s="17" t="str">
        <f>IFERROR(__xludf.DUMMYFUNCTION("""COMPUTED_VALUE"""),"порожні капсули для ліків")</f>
        <v>порожні капсули для ліків</v>
      </c>
      <c r="I2315" s="19">
        <f>IFERROR(__xludf.DUMMYFUNCTION("""COMPUTED_VALUE"""),0.0744)</f>
        <v>0.0744</v>
      </c>
      <c r="J2315" s="19">
        <f>IFERROR(__xludf.DUMMYFUNCTION("""COMPUTED_VALUE"""),0.1487)</f>
        <v>0.1487</v>
      </c>
      <c r="K2315" s="19">
        <f>IFERROR(__xludf.DUMMYFUNCTION("""COMPUTED_VALUE"""),0.1859)</f>
        <v>0.1859</v>
      </c>
      <c r="L2315" s="19">
        <f>IFERROR(__xludf.DUMMYFUNCTION("""COMPUTED_VALUE"""),0.2231)</f>
        <v>0.2231</v>
      </c>
      <c r="M2315" s="18">
        <f>IFERROR(__xludf.DUMMYFUNCTION("""COMPUTED_VALUE"""),1.05)</f>
        <v>1.05</v>
      </c>
    </row>
    <row r="2316">
      <c r="A2316" s="13" t="str">
        <f>IFERROR(__xludf.DUMMYFUNCTION("""COMPUTED_VALUE"""),"товари")</f>
        <v>товари</v>
      </c>
      <c r="B2316" s="16" t="str">
        <f>IFERROR(__xludf.DUMMYFUNCTION("""COMPUTED_VALUE"""),"медикаменти та медичні товари")</f>
        <v>медикаменти та медичні товари</v>
      </c>
      <c r="C2316" s="16" t="str">
        <f>IFERROR(__xludf.DUMMYFUNCTION("""COMPUTED_VALUE"""),"лікарські засоби")</f>
        <v>лікарські засоби</v>
      </c>
      <c r="D2316" s="16" t="str">
        <f>IFERROR(__xludf.DUMMYFUNCTION("""COMPUTED_VALUE"""),"нервова система")</f>
        <v>нервова система</v>
      </c>
      <c r="E2316" s="16" t="str">
        <f>IFERROR(__xludf.DUMMYFUNCTION("""COMPUTED_VALUE"""),"препарати від алкоголізму і тютюнової залежності")</f>
        <v>препарати від алкоголізму і тютюнової залежності</v>
      </c>
      <c r="F2316" s="17">
        <f>IFERROR(__xludf.DUMMYFUNCTION("""COMPUTED_VALUE"""),4.0)</f>
        <v>4</v>
      </c>
      <c r="G2316" s="17" t="str">
        <f>IFERROR(__xludf.DUMMYFUNCTION("""COMPUTED_VALUE"""),"160321")</f>
        <v>160321</v>
      </c>
      <c r="H2316" s="17" t="str">
        <f>IFERROR(__xludf.DUMMYFUNCTION("""COMPUTED_VALUE"""),"препарати від алкоголізму і тютюнової залежності")</f>
        <v>препарати від алкоголізму і тютюнової залежності</v>
      </c>
      <c r="I2316" s="19">
        <f>IFERROR(__xludf.DUMMYFUNCTION("""COMPUTED_VALUE"""),0.0532)</f>
        <v>0.0532</v>
      </c>
      <c r="J2316" s="19">
        <f>IFERROR(__xludf.DUMMYFUNCTION("""COMPUTED_VALUE"""),0.1063)</f>
        <v>0.1063</v>
      </c>
      <c r="K2316" s="19">
        <f>IFERROR(__xludf.DUMMYFUNCTION("""COMPUTED_VALUE"""),0.1329)</f>
        <v>0.1329</v>
      </c>
      <c r="L2316" s="19">
        <f>IFERROR(__xludf.DUMMYFUNCTION("""COMPUTED_VALUE"""),0.1595)</f>
        <v>0.1595</v>
      </c>
      <c r="M2316" s="18">
        <f>IFERROR(__xludf.DUMMYFUNCTION("""COMPUTED_VALUE"""),1.8)</f>
        <v>1.8</v>
      </c>
    </row>
    <row r="2317">
      <c r="A2317" s="13" t="str">
        <f>IFERROR(__xludf.DUMMYFUNCTION("""COMPUTED_VALUE"""),"товари")</f>
        <v>товари</v>
      </c>
      <c r="B2317" s="16" t="str">
        <f>IFERROR(__xludf.DUMMYFUNCTION("""COMPUTED_VALUE"""),"медикаменти та медичні товари")</f>
        <v>медикаменти та медичні товари</v>
      </c>
      <c r="C2317" s="16" t="str">
        <f>IFERROR(__xludf.DUMMYFUNCTION("""COMPUTED_VALUE"""),"лікарські засоби")</f>
        <v>лікарські засоби</v>
      </c>
      <c r="D2317" s="16" t="str">
        <f>IFERROR(__xludf.DUMMYFUNCTION("""COMPUTED_VALUE"""),"опорно-рухова система")</f>
        <v>опорно-рухова система</v>
      </c>
      <c r="E2317" s="16" t="str">
        <f>IFERROR(__xludf.DUMMYFUNCTION("""COMPUTED_VALUE""")," препарати від м'язового болю")</f>
        <v> препарати від м'язового болю</v>
      </c>
      <c r="F2317" s="17">
        <f>IFERROR(__xludf.DUMMYFUNCTION("""COMPUTED_VALUE"""),4.0)</f>
        <v>4</v>
      </c>
      <c r="G2317" s="17" t="str">
        <f>IFERROR(__xludf.DUMMYFUNCTION("""COMPUTED_VALUE"""),"160333")</f>
        <v>160333</v>
      </c>
      <c r="H2317" s="17" t="str">
        <f>IFERROR(__xludf.DUMMYFUNCTION("""COMPUTED_VALUE""")," препарати від м'язового болю")</f>
        <v> препарати від м'язового болю</v>
      </c>
      <c r="I2317" s="19">
        <f>IFERROR(__xludf.DUMMYFUNCTION("""COMPUTED_VALUE"""),0.0431)</f>
        <v>0.0431</v>
      </c>
      <c r="J2317" s="19">
        <f>IFERROR(__xludf.DUMMYFUNCTION("""COMPUTED_VALUE"""),0.0862)</f>
        <v>0.0862</v>
      </c>
      <c r="K2317" s="19">
        <f>IFERROR(__xludf.DUMMYFUNCTION("""COMPUTED_VALUE"""),0.1078)</f>
        <v>0.1078</v>
      </c>
      <c r="L2317" s="19">
        <f>IFERROR(__xludf.DUMMYFUNCTION("""COMPUTED_VALUE"""),0.1293)</f>
        <v>0.1293</v>
      </c>
      <c r="M2317" s="18">
        <f>IFERROR(__xludf.DUMMYFUNCTION("""COMPUTED_VALUE"""),1.53)</f>
        <v>1.53</v>
      </c>
    </row>
    <row r="2318">
      <c r="A2318" s="13" t="str">
        <f>IFERROR(__xludf.DUMMYFUNCTION("""COMPUTED_VALUE"""),"товари")</f>
        <v>товари</v>
      </c>
      <c r="B2318" s="16" t="str">
        <f>IFERROR(__xludf.DUMMYFUNCTION("""COMPUTED_VALUE"""),"медикаменти та медичні товари")</f>
        <v>медикаменти та медичні товари</v>
      </c>
      <c r="C2318" s="16" t="str">
        <f>IFERROR(__xludf.DUMMYFUNCTION("""COMPUTED_VALUE"""),"лікарські засоби")</f>
        <v>лікарські засоби</v>
      </c>
      <c r="D2318" s="16" t="str">
        <f>IFERROR(__xludf.DUMMYFUNCTION("""COMPUTED_VALUE"""),"дерматологічні засоби")</f>
        <v>дерматологічні засоби</v>
      </c>
      <c r="E2318" s="16" t="str">
        <f>IFERROR(__xludf.DUMMYFUNCTION("""COMPUTED_VALUE"""),"препарати для загоювання ран")</f>
        <v>препарати для загоювання ран</v>
      </c>
      <c r="F2318" s="17">
        <f>IFERROR(__xludf.DUMMYFUNCTION("""COMPUTED_VALUE"""),4.0)</f>
        <v>4</v>
      </c>
      <c r="G2318" s="17" t="str">
        <f>IFERROR(__xludf.DUMMYFUNCTION("""COMPUTED_VALUE"""),"401240")</f>
        <v>401240</v>
      </c>
      <c r="H2318" s="17" t="str">
        <f>IFERROR(__xludf.DUMMYFUNCTION("""COMPUTED_VALUE"""),"препарати для загоювання ран")</f>
        <v>препарати для загоювання ран</v>
      </c>
      <c r="I2318" s="19">
        <f>IFERROR(__xludf.DUMMYFUNCTION("""COMPUTED_VALUE"""),0.0516)</f>
        <v>0.0516</v>
      </c>
      <c r="J2318" s="19">
        <f>IFERROR(__xludf.DUMMYFUNCTION("""COMPUTED_VALUE"""),0.1032)</f>
        <v>0.1032</v>
      </c>
      <c r="K2318" s="19">
        <f>IFERROR(__xludf.DUMMYFUNCTION("""COMPUTED_VALUE"""),0.129)</f>
        <v>0.129</v>
      </c>
      <c r="L2318" s="19">
        <f>IFERROR(__xludf.DUMMYFUNCTION("""COMPUTED_VALUE"""),0.1548)</f>
        <v>0.1548</v>
      </c>
      <c r="M2318" s="18">
        <f>IFERROR(__xludf.DUMMYFUNCTION("""COMPUTED_VALUE"""),1.05)</f>
        <v>1.05</v>
      </c>
    </row>
    <row r="2319">
      <c r="A2319" s="13" t="str">
        <f>IFERROR(__xludf.DUMMYFUNCTION("""COMPUTED_VALUE"""),"товари")</f>
        <v>товари</v>
      </c>
      <c r="B2319" s="16" t="str">
        <f>IFERROR(__xludf.DUMMYFUNCTION("""COMPUTED_VALUE"""),"медикаменти та медичні товари")</f>
        <v>медикаменти та медичні товари</v>
      </c>
      <c r="C2319" s="16" t="str">
        <f>IFERROR(__xludf.DUMMYFUNCTION("""COMPUTED_VALUE"""),"лікарські засоби")</f>
        <v>лікарські засоби</v>
      </c>
      <c r="D2319" s="16" t="str">
        <f>IFERROR(__xludf.DUMMYFUNCTION("""COMPUTED_VALUE"""),"препарати для імунної системи")</f>
        <v>препарати для імунної системи</v>
      </c>
      <c r="E2319" s="16" t="str">
        <f>IFERROR(__xludf.DUMMYFUNCTION("""COMPUTED_VALUE"""),"препарати для імунної системи, загальне")</f>
        <v>препарати для імунної системи, загальне</v>
      </c>
      <c r="F2319" s="17">
        <f>IFERROR(__xludf.DUMMYFUNCTION("""COMPUTED_VALUE"""),4.0)</f>
        <v>4</v>
      </c>
      <c r="G2319" s="17" t="str">
        <f>IFERROR(__xludf.DUMMYFUNCTION("""COMPUTED_VALUE"""),"401212")</f>
        <v>401212</v>
      </c>
      <c r="H2319" s="17" t="str">
        <f>IFERROR(__xludf.DUMMYFUNCTION("""COMPUTED_VALUE"""),"препарати для імунної системи, загальне")</f>
        <v>препарати для імунної системи, загальне</v>
      </c>
      <c r="I2319" s="19">
        <f>IFERROR(__xludf.DUMMYFUNCTION("""COMPUTED_VALUE"""),0.125)</f>
        <v>0.125</v>
      </c>
      <c r="J2319" s="19">
        <f>IFERROR(__xludf.DUMMYFUNCTION("""COMPUTED_VALUE"""),0.25)</f>
        <v>0.25</v>
      </c>
      <c r="K2319" s="19">
        <f>IFERROR(__xludf.DUMMYFUNCTION("""COMPUTED_VALUE"""),0.3125)</f>
        <v>0.3125</v>
      </c>
      <c r="L2319" s="19">
        <f>IFERROR(__xludf.DUMMYFUNCTION("""COMPUTED_VALUE"""),0.375)</f>
        <v>0.375</v>
      </c>
      <c r="M2319" s="18">
        <f>IFERROR(__xludf.DUMMYFUNCTION("""COMPUTED_VALUE"""),4.33)</f>
        <v>4.33</v>
      </c>
    </row>
    <row r="2320">
      <c r="A2320" s="13" t="str">
        <f>IFERROR(__xludf.DUMMYFUNCTION("""COMPUTED_VALUE"""),"товари")</f>
        <v>товари</v>
      </c>
      <c r="B2320" s="16" t="str">
        <f>IFERROR(__xludf.DUMMYFUNCTION("""COMPUTED_VALUE"""),"медикаменти та медичні товари")</f>
        <v>медикаменти та медичні товари</v>
      </c>
      <c r="C2320" s="16" t="str">
        <f>IFERROR(__xludf.DUMMYFUNCTION("""COMPUTED_VALUE"""),"лікарські засоби")</f>
        <v>лікарські засоби</v>
      </c>
      <c r="D2320" s="16" t="str">
        <f>IFERROR(__xludf.DUMMYFUNCTION("""COMPUTED_VALUE"""),"дерматологічні засоби")</f>
        <v>дерматологічні засоби</v>
      </c>
      <c r="E2320" s="16" t="str">
        <f>IFERROR(__xludf.DUMMYFUNCTION("""COMPUTED_VALUE"""),"препарати для лікування акне")</f>
        <v>препарати для лікування акне</v>
      </c>
      <c r="F2320" s="17">
        <f>IFERROR(__xludf.DUMMYFUNCTION("""COMPUTED_VALUE"""),4.0)</f>
        <v>4</v>
      </c>
      <c r="G2320" s="17" t="str">
        <f>IFERROR(__xludf.DUMMYFUNCTION("""COMPUTED_VALUE"""),"401231")</f>
        <v>401231</v>
      </c>
      <c r="H2320" s="17" t="str">
        <f>IFERROR(__xludf.DUMMYFUNCTION("""COMPUTED_VALUE"""),"препарати для лікування акне")</f>
        <v>препарати для лікування акне</v>
      </c>
      <c r="I2320" s="19">
        <f>IFERROR(__xludf.DUMMYFUNCTION("""COMPUTED_VALUE"""),0.0442)</f>
        <v>0.0442</v>
      </c>
      <c r="J2320" s="19">
        <f>IFERROR(__xludf.DUMMYFUNCTION("""COMPUTED_VALUE"""),0.0884)</f>
        <v>0.0884</v>
      </c>
      <c r="K2320" s="19">
        <f>IFERROR(__xludf.DUMMYFUNCTION("""COMPUTED_VALUE"""),0.1105)</f>
        <v>0.1105</v>
      </c>
      <c r="L2320" s="19">
        <f>IFERROR(__xludf.DUMMYFUNCTION("""COMPUTED_VALUE"""),0.1326)</f>
        <v>0.1326</v>
      </c>
      <c r="M2320" s="18">
        <f>IFERROR(__xludf.DUMMYFUNCTION("""COMPUTED_VALUE"""),1.05)</f>
        <v>1.05</v>
      </c>
    </row>
    <row r="2321">
      <c r="A2321" s="13" t="str">
        <f>IFERROR(__xludf.DUMMYFUNCTION("""COMPUTED_VALUE"""),"товари")</f>
        <v>товари</v>
      </c>
      <c r="B2321" s="16" t="str">
        <f>IFERROR(__xludf.DUMMYFUNCTION("""COMPUTED_VALUE"""),"медикаменти та медичні товари")</f>
        <v>медикаменти та медичні товари</v>
      </c>
      <c r="C2321" s="16" t="str">
        <f>IFERROR(__xludf.DUMMYFUNCTION("""COMPUTED_VALUE"""),"лікарські засоби")</f>
        <v>лікарські засоби</v>
      </c>
      <c r="D2321" s="16" t="str">
        <f>IFERROR(__xludf.DUMMYFUNCTION("""COMPUTED_VALUE"""),"органи чуття")</f>
        <v>органи чуття</v>
      </c>
      <c r="E2321" s="16" t="str">
        <f>IFERROR(__xludf.DUMMYFUNCTION("""COMPUTED_VALUE"""),"препарати для лікування вушних захворювань")</f>
        <v>препарати для лікування вушних захворювань</v>
      </c>
      <c r="F2321" s="17">
        <f>IFERROR(__xludf.DUMMYFUNCTION("""COMPUTED_VALUE"""),4.0)</f>
        <v>4</v>
      </c>
      <c r="G2321" s="17" t="str">
        <f>IFERROR(__xludf.DUMMYFUNCTION("""COMPUTED_VALUE"""),"160325")</f>
        <v>160325</v>
      </c>
      <c r="H2321" s="17" t="str">
        <f>IFERROR(__xludf.DUMMYFUNCTION("""COMPUTED_VALUE"""),"препарати для лікування вушних захворювань")</f>
        <v>препарати для лікування вушних захворювань</v>
      </c>
      <c r="I2321" s="19">
        <f>IFERROR(__xludf.DUMMYFUNCTION("""COMPUTED_VALUE"""),0.047)</f>
        <v>0.047</v>
      </c>
      <c r="J2321" s="19">
        <f>IFERROR(__xludf.DUMMYFUNCTION("""COMPUTED_VALUE"""),0.0939)</f>
        <v>0.0939</v>
      </c>
      <c r="K2321" s="19">
        <f>IFERROR(__xludf.DUMMYFUNCTION("""COMPUTED_VALUE"""),0.1174)</f>
        <v>0.1174</v>
      </c>
      <c r="L2321" s="19">
        <f>IFERROR(__xludf.DUMMYFUNCTION("""COMPUTED_VALUE"""),0.1409)</f>
        <v>0.1409</v>
      </c>
      <c r="M2321" s="18">
        <f>IFERROR(__xludf.DUMMYFUNCTION("""COMPUTED_VALUE"""),1.26)</f>
        <v>1.26</v>
      </c>
    </row>
    <row r="2322">
      <c r="A2322" s="13" t="str">
        <f>IFERROR(__xludf.DUMMYFUNCTION("""COMPUTED_VALUE"""),"товари")</f>
        <v>товари</v>
      </c>
      <c r="B2322" s="16" t="str">
        <f>IFERROR(__xludf.DUMMYFUNCTION("""COMPUTED_VALUE"""),"медикаменти та медичні товари")</f>
        <v>медикаменти та медичні товари</v>
      </c>
      <c r="C2322" s="16" t="str">
        <f>IFERROR(__xludf.DUMMYFUNCTION("""COMPUTED_VALUE"""),"лікарські засоби")</f>
        <v>лікарські засоби</v>
      </c>
      <c r="D2322" s="16" t="str">
        <f>IFERROR(__xludf.DUMMYFUNCTION("""COMPUTED_VALUE"""),"сечостатева система")</f>
        <v>сечостатева система</v>
      </c>
      <c r="E2322" s="16" t="str">
        <f>IFERROR(__xludf.DUMMYFUNCTION("""COMPUTED_VALUE"""),"препарати для лікування гінекологічних захворювань")</f>
        <v>препарати для лікування гінекологічних захворювань</v>
      </c>
      <c r="F2322" s="17">
        <f>IFERROR(__xludf.DUMMYFUNCTION("""COMPUTED_VALUE"""),4.0)</f>
        <v>4</v>
      </c>
      <c r="G2322" s="17" t="str">
        <f>IFERROR(__xludf.DUMMYFUNCTION("""COMPUTED_VALUE"""),"160304")</f>
        <v>160304</v>
      </c>
      <c r="H2322" s="17" t="str">
        <f>IFERROR(__xludf.DUMMYFUNCTION("""COMPUTED_VALUE"""),"препарати для лікування гінекологічних захворювань")</f>
        <v>препарати для лікування гінекологічних захворювань</v>
      </c>
      <c r="I2322" s="19">
        <f>IFERROR(__xludf.DUMMYFUNCTION("""COMPUTED_VALUE"""),0.0431)</f>
        <v>0.0431</v>
      </c>
      <c r="J2322" s="19">
        <f>IFERROR(__xludf.DUMMYFUNCTION("""COMPUTED_VALUE"""),0.0862)</f>
        <v>0.0862</v>
      </c>
      <c r="K2322" s="19">
        <f>IFERROR(__xludf.DUMMYFUNCTION("""COMPUTED_VALUE"""),0.1078)</f>
        <v>0.1078</v>
      </c>
      <c r="L2322" s="19">
        <f>IFERROR(__xludf.DUMMYFUNCTION("""COMPUTED_VALUE"""),0.1293)</f>
        <v>0.1293</v>
      </c>
      <c r="M2322" s="18">
        <f>IFERROR(__xludf.DUMMYFUNCTION("""COMPUTED_VALUE"""),1.26)</f>
        <v>1.26</v>
      </c>
    </row>
    <row r="2323">
      <c r="A2323" s="13" t="str">
        <f>IFERROR(__xludf.DUMMYFUNCTION("""COMPUTED_VALUE"""),"товари")</f>
        <v>товари</v>
      </c>
      <c r="B2323" s="16" t="str">
        <f>IFERROR(__xludf.DUMMYFUNCTION("""COMPUTED_VALUE"""),"медикаменти та медичні товари")</f>
        <v>медикаменти та медичні товари</v>
      </c>
      <c r="C2323" s="16" t="str">
        <f>IFERROR(__xludf.DUMMYFUNCTION("""COMPUTED_VALUE"""),"лікарські засоби")</f>
        <v>лікарські засоби</v>
      </c>
      <c r="D2323" s="16" t="str">
        <f>IFERROR(__xludf.DUMMYFUNCTION("""COMPUTED_VALUE"""),"дерматологічні засоби")</f>
        <v>дерматологічні засоби</v>
      </c>
      <c r="E2323" s="16" t="str">
        <f>IFERROR(__xludf.DUMMYFUNCTION("""COMPUTED_VALUE"""),"препарати для лікування дерматитів, екземи та псоріазу")</f>
        <v>препарати для лікування дерматитів, екземи та псоріазу</v>
      </c>
      <c r="F2323" s="17">
        <f>IFERROR(__xludf.DUMMYFUNCTION("""COMPUTED_VALUE"""),4.0)</f>
        <v>4</v>
      </c>
      <c r="G2323" s="17" t="str">
        <f>IFERROR(__xludf.DUMMYFUNCTION("""COMPUTED_VALUE"""),"401232")</f>
        <v>401232</v>
      </c>
      <c r="H2323" s="17" t="str">
        <f>IFERROR(__xludf.DUMMYFUNCTION("""COMPUTED_VALUE"""),"препарати для лікування дерматитів, екземи та псоріазу")</f>
        <v>препарати для лікування дерматитів, екземи та псоріазу</v>
      </c>
      <c r="I2323" s="19">
        <f>IFERROR(__xludf.DUMMYFUNCTION("""COMPUTED_VALUE"""),0.0442)</f>
        <v>0.0442</v>
      </c>
      <c r="J2323" s="19">
        <f>IFERROR(__xludf.DUMMYFUNCTION("""COMPUTED_VALUE"""),0.0884)</f>
        <v>0.0884</v>
      </c>
      <c r="K2323" s="19">
        <f>IFERROR(__xludf.DUMMYFUNCTION("""COMPUTED_VALUE"""),0.1105)</f>
        <v>0.1105</v>
      </c>
      <c r="L2323" s="19">
        <f>IFERROR(__xludf.DUMMYFUNCTION("""COMPUTED_VALUE"""),0.1326)</f>
        <v>0.1326</v>
      </c>
      <c r="M2323" s="18">
        <f>IFERROR(__xludf.DUMMYFUNCTION("""COMPUTED_VALUE"""),1.05)</f>
        <v>1.05</v>
      </c>
    </row>
    <row r="2324">
      <c r="A2324" s="13" t="str">
        <f>IFERROR(__xludf.DUMMYFUNCTION("""COMPUTED_VALUE"""),"товари")</f>
        <v>товари</v>
      </c>
      <c r="B2324" s="16" t="str">
        <f>IFERROR(__xludf.DUMMYFUNCTION("""COMPUTED_VALUE"""),"медикаменти та медичні товари")</f>
        <v>медикаменти та медичні товари</v>
      </c>
      <c r="C2324" s="16" t="str">
        <f>IFERROR(__xludf.DUMMYFUNCTION("""COMPUTED_VALUE"""),"лікарські засоби")</f>
        <v>лікарські засоби</v>
      </c>
      <c r="D2324" s="16" t="str">
        <f>IFERROR(__xludf.DUMMYFUNCTION("""COMPUTED_VALUE"""),"травна система та обмін речовин")</f>
        <v>травна система та обмін речовин</v>
      </c>
      <c r="E2324" s="16" t="str">
        <f>IFERROR(__xludf.DUMMYFUNCTION("""COMPUTED_VALUE"""),"препарати для лікування жовчного міхура і печінки")</f>
        <v>препарати для лікування жовчного міхура і печінки</v>
      </c>
      <c r="F2324" s="17">
        <f>IFERROR(__xludf.DUMMYFUNCTION("""COMPUTED_VALUE"""),4.0)</f>
        <v>4</v>
      </c>
      <c r="G2324" s="17" t="str">
        <f>IFERROR(__xludf.DUMMYFUNCTION("""COMPUTED_VALUE"""),"160319")</f>
        <v>160319</v>
      </c>
      <c r="H2324" s="17" t="str">
        <f>IFERROR(__xludf.DUMMYFUNCTION("""COMPUTED_VALUE"""),"препарати для лікування жовчного міхура і печінки")</f>
        <v>препарати для лікування жовчного міхура і печінки</v>
      </c>
      <c r="I2324" s="19">
        <f>IFERROR(__xludf.DUMMYFUNCTION("""COMPUTED_VALUE"""),0.0439)</f>
        <v>0.0439</v>
      </c>
      <c r="J2324" s="19">
        <f>IFERROR(__xludf.DUMMYFUNCTION("""COMPUTED_VALUE"""),0.0878)</f>
        <v>0.0878</v>
      </c>
      <c r="K2324" s="19">
        <f>IFERROR(__xludf.DUMMYFUNCTION("""COMPUTED_VALUE"""),0.1098)</f>
        <v>0.1098</v>
      </c>
      <c r="L2324" s="19">
        <f>IFERROR(__xludf.DUMMYFUNCTION("""COMPUTED_VALUE"""),0.1317)</f>
        <v>0.1317</v>
      </c>
      <c r="M2324" s="18">
        <f>IFERROR(__xludf.DUMMYFUNCTION("""COMPUTED_VALUE"""),1.71)</f>
        <v>1.71</v>
      </c>
    </row>
    <row r="2325">
      <c r="A2325" s="13" t="str">
        <f>IFERROR(__xludf.DUMMYFUNCTION("""COMPUTED_VALUE"""),"товари")</f>
        <v>товари</v>
      </c>
      <c r="B2325" s="16" t="str">
        <f>IFERROR(__xludf.DUMMYFUNCTION("""COMPUTED_VALUE"""),"медикаменти та медичні товари")</f>
        <v>медикаменти та медичні товари</v>
      </c>
      <c r="C2325" s="16" t="str">
        <f>IFERROR(__xludf.DUMMYFUNCTION("""COMPUTED_VALUE"""),"лікарські засоби")</f>
        <v>лікарські засоби</v>
      </c>
      <c r="D2325" s="16" t="str">
        <f>IFERROR(__xludf.DUMMYFUNCTION("""COMPUTED_VALUE"""),"дерматологічні засоби")</f>
        <v>дерматологічні засоби</v>
      </c>
      <c r="E2325" s="16" t="str">
        <f>IFERROR(__xludf.DUMMYFUNCTION("""COMPUTED_VALUE"""),"препарати для лікування педикульозу")</f>
        <v>препарати для лікування педикульозу</v>
      </c>
      <c r="F2325" s="17">
        <f>IFERROR(__xludf.DUMMYFUNCTION("""COMPUTED_VALUE"""),4.0)</f>
        <v>4</v>
      </c>
      <c r="G2325" s="17" t="str">
        <f>IFERROR(__xludf.DUMMYFUNCTION("""COMPUTED_VALUE"""),"401233")</f>
        <v>401233</v>
      </c>
      <c r="H2325" s="17" t="str">
        <f>IFERROR(__xludf.DUMMYFUNCTION("""COMPUTED_VALUE"""),"препарати для лікування педикульозу")</f>
        <v>препарати для лікування педикульозу</v>
      </c>
      <c r="I2325" s="19">
        <f>IFERROR(__xludf.DUMMYFUNCTION("""COMPUTED_VALUE"""),0.0442)</f>
        <v>0.0442</v>
      </c>
      <c r="J2325" s="19">
        <f>IFERROR(__xludf.DUMMYFUNCTION("""COMPUTED_VALUE"""),0.0884)</f>
        <v>0.0884</v>
      </c>
      <c r="K2325" s="19">
        <f>IFERROR(__xludf.DUMMYFUNCTION("""COMPUTED_VALUE"""),0.1105)</f>
        <v>0.1105</v>
      </c>
      <c r="L2325" s="19">
        <f>IFERROR(__xludf.DUMMYFUNCTION("""COMPUTED_VALUE"""),0.1326)</f>
        <v>0.1326</v>
      </c>
      <c r="M2325" s="18">
        <f>IFERROR(__xludf.DUMMYFUNCTION("""COMPUTED_VALUE"""),1.05)</f>
        <v>1.05</v>
      </c>
    </row>
    <row r="2326">
      <c r="A2326" s="13" t="str">
        <f>IFERROR(__xludf.DUMMYFUNCTION("""COMPUTED_VALUE"""),"товари")</f>
        <v>товари</v>
      </c>
      <c r="B2326" s="16" t="str">
        <f>IFERROR(__xludf.DUMMYFUNCTION("""COMPUTED_VALUE"""),"медикаменти та медичні товари")</f>
        <v>медикаменти та медичні товари</v>
      </c>
      <c r="C2326" s="16" t="str">
        <f>IFERROR(__xludf.DUMMYFUNCTION("""COMPUTED_VALUE"""),"лікарські засоби")</f>
        <v>лікарські засоби</v>
      </c>
      <c r="D2326" s="16" t="str">
        <f>IFERROR(__xludf.DUMMYFUNCTION("""COMPUTED_VALUE"""),"опорно-рухова система")</f>
        <v>опорно-рухова система</v>
      </c>
      <c r="E2326" s="16" t="str">
        <f>IFERROR(__xludf.DUMMYFUNCTION("""COMPUTED_VALUE"""),"препарати для лікування суглобів і кісток")</f>
        <v>препарати для лікування суглобів і кісток</v>
      </c>
      <c r="F2326" s="17">
        <f>IFERROR(__xludf.DUMMYFUNCTION("""COMPUTED_VALUE"""),4.0)</f>
        <v>4</v>
      </c>
      <c r="G2326" s="17" t="str">
        <f>IFERROR(__xludf.DUMMYFUNCTION("""COMPUTED_VALUE"""),"160308")</f>
        <v>160308</v>
      </c>
      <c r="H2326" s="17" t="str">
        <f>IFERROR(__xludf.DUMMYFUNCTION("""COMPUTED_VALUE"""),"препарати для лікування суглобів і кісток")</f>
        <v>препарати для лікування суглобів і кісток</v>
      </c>
      <c r="I2326" s="19">
        <f>IFERROR(__xludf.DUMMYFUNCTION("""COMPUTED_VALUE"""),0.0431)</f>
        <v>0.0431</v>
      </c>
      <c r="J2326" s="19">
        <f>IFERROR(__xludf.DUMMYFUNCTION("""COMPUTED_VALUE"""),0.0862)</f>
        <v>0.0862</v>
      </c>
      <c r="K2326" s="19">
        <f>IFERROR(__xludf.DUMMYFUNCTION("""COMPUTED_VALUE"""),0.1078)</f>
        <v>0.1078</v>
      </c>
      <c r="L2326" s="19">
        <f>IFERROR(__xludf.DUMMYFUNCTION("""COMPUTED_VALUE"""),0.1293)</f>
        <v>0.1293</v>
      </c>
      <c r="M2326" s="18">
        <f>IFERROR(__xludf.DUMMYFUNCTION("""COMPUTED_VALUE"""),1.53)</f>
        <v>1.53</v>
      </c>
    </row>
    <row r="2327">
      <c r="A2327" s="13" t="str">
        <f>IFERROR(__xludf.DUMMYFUNCTION("""COMPUTED_VALUE"""),"товари")</f>
        <v>товари</v>
      </c>
      <c r="B2327" s="16" t="str">
        <f>IFERROR(__xludf.DUMMYFUNCTION("""COMPUTED_VALUE"""),"медикаменти та медичні товари")</f>
        <v>медикаменти та медичні товари</v>
      </c>
      <c r="C2327" s="16" t="str">
        <f>IFERROR(__xludf.DUMMYFUNCTION("""COMPUTED_VALUE"""),"лікарські засоби")</f>
        <v>лікарські засоби</v>
      </c>
      <c r="D2327" s="16" t="str">
        <f>IFERROR(__xludf.DUMMYFUNCTION("""COMPUTED_VALUE"""),"сечостатева система")</f>
        <v>сечостатева система</v>
      </c>
      <c r="E2327" s="16" t="str">
        <f>IFERROR(__xludf.DUMMYFUNCTION("""COMPUTED_VALUE"""),"препарати для лікування урологічних захворювань")</f>
        <v>препарати для лікування урологічних захворювань</v>
      </c>
      <c r="F2327" s="17">
        <f>IFERROR(__xludf.DUMMYFUNCTION("""COMPUTED_VALUE"""),4.0)</f>
        <v>4</v>
      </c>
      <c r="G2327" s="17" t="str">
        <f>IFERROR(__xludf.DUMMYFUNCTION("""COMPUTED_VALUE"""),"160305")</f>
        <v>160305</v>
      </c>
      <c r="H2327" s="17" t="str">
        <f>IFERROR(__xludf.DUMMYFUNCTION("""COMPUTED_VALUE"""),"препарати для лікування урологічних захворювань")</f>
        <v>препарати для лікування урологічних захворювань</v>
      </c>
      <c r="I2327" s="19">
        <f>IFERROR(__xludf.DUMMYFUNCTION("""COMPUTED_VALUE"""),0.0431)</f>
        <v>0.0431</v>
      </c>
      <c r="J2327" s="19">
        <f>IFERROR(__xludf.DUMMYFUNCTION("""COMPUTED_VALUE"""),0.0862)</f>
        <v>0.0862</v>
      </c>
      <c r="K2327" s="19">
        <f>IFERROR(__xludf.DUMMYFUNCTION("""COMPUTED_VALUE"""),0.1078)</f>
        <v>0.1078</v>
      </c>
      <c r="L2327" s="19">
        <f>IFERROR(__xludf.DUMMYFUNCTION("""COMPUTED_VALUE"""),0.1293)</f>
        <v>0.1293</v>
      </c>
      <c r="M2327" s="18">
        <f>IFERROR(__xludf.DUMMYFUNCTION("""COMPUTED_VALUE"""),1.26)</f>
        <v>1.26</v>
      </c>
    </row>
    <row r="2328">
      <c r="A2328" s="13" t="str">
        <f>IFERROR(__xludf.DUMMYFUNCTION("""COMPUTED_VALUE"""),"товари")</f>
        <v>товари</v>
      </c>
      <c r="B2328" s="16" t="str">
        <f>IFERROR(__xludf.DUMMYFUNCTION("""COMPUTED_VALUE"""),"медикаменти та медичні товари")</f>
        <v>медикаменти та медичні товари</v>
      </c>
      <c r="C2328" s="16" t="str">
        <f>IFERROR(__xludf.DUMMYFUNCTION("""COMPUTED_VALUE"""),"лікарські засоби")</f>
        <v>лікарські засоби</v>
      </c>
      <c r="D2328" s="16" t="str">
        <f>IFERROR(__xludf.DUMMYFUNCTION("""COMPUTED_VALUE"""),"травна система та обмін речовин")</f>
        <v>травна система та обмін речовин</v>
      </c>
      <c r="E2328" s="16" t="str">
        <f>IFERROR(__xludf.DUMMYFUNCTION("""COMPUTED_VALUE"""),"препарати для лікування цукрового діабету")</f>
        <v>препарати для лікування цукрового діабету</v>
      </c>
      <c r="F2328" s="17">
        <f>IFERROR(__xludf.DUMMYFUNCTION("""COMPUTED_VALUE"""),4.0)</f>
        <v>4</v>
      </c>
      <c r="G2328" s="17" t="str">
        <f>IFERROR(__xludf.DUMMYFUNCTION("""COMPUTED_VALUE"""),"160314")</f>
        <v>160314</v>
      </c>
      <c r="H2328" s="17" t="str">
        <f>IFERROR(__xludf.DUMMYFUNCTION("""COMPUTED_VALUE"""),"препарати для лікування цукрового діабету")</f>
        <v>препарати для лікування цукрового діабету</v>
      </c>
      <c r="I2328" s="19">
        <f>IFERROR(__xludf.DUMMYFUNCTION("""COMPUTED_VALUE"""),0.0439)</f>
        <v>0.0439</v>
      </c>
      <c r="J2328" s="19">
        <f>IFERROR(__xludf.DUMMYFUNCTION("""COMPUTED_VALUE"""),0.0878)</f>
        <v>0.0878</v>
      </c>
      <c r="K2328" s="19">
        <f>IFERROR(__xludf.DUMMYFUNCTION("""COMPUTED_VALUE"""),0.1098)</f>
        <v>0.1098</v>
      </c>
      <c r="L2328" s="19">
        <f>IFERROR(__xludf.DUMMYFUNCTION("""COMPUTED_VALUE"""),0.1317)</f>
        <v>0.1317</v>
      </c>
      <c r="M2328" s="18">
        <f>IFERROR(__xludf.DUMMYFUNCTION("""COMPUTED_VALUE"""),1.71)</f>
        <v>1.71</v>
      </c>
    </row>
    <row r="2329">
      <c r="A2329" s="13" t="str">
        <f>IFERROR(__xludf.DUMMYFUNCTION("""COMPUTED_VALUE"""),"товари")</f>
        <v>товари</v>
      </c>
      <c r="B2329" s="16" t="str">
        <f>IFERROR(__xludf.DUMMYFUNCTION("""COMPUTED_VALUE"""),"медикаменти та медичні товари")</f>
        <v>медикаменти та медичні товари</v>
      </c>
      <c r="C2329" s="16" t="str">
        <f>IFERROR(__xludf.DUMMYFUNCTION("""COMPUTED_VALUE"""),"лікарські засоби")</f>
        <v>лікарські засоби</v>
      </c>
      <c r="D2329" s="16" t="str">
        <f>IFERROR(__xludf.DUMMYFUNCTION("""COMPUTED_VALUE"""),"травна система та обмін речовин")</f>
        <v>травна система та обмін речовин</v>
      </c>
      <c r="E2329" s="16" t="str">
        <f>IFERROR(__xludf.DUMMYFUNCTION("""COMPUTED_VALUE"""),"препарати для підшлункової залози")</f>
        <v>препарати для підшлункової залози</v>
      </c>
      <c r="F2329" s="17">
        <f>IFERROR(__xludf.DUMMYFUNCTION("""COMPUTED_VALUE"""),4.0)</f>
        <v>4</v>
      </c>
      <c r="G2329" s="17" t="str">
        <f>IFERROR(__xludf.DUMMYFUNCTION("""COMPUTED_VALUE"""),"401218")</f>
        <v>401218</v>
      </c>
      <c r="H2329" s="17" t="str">
        <f>IFERROR(__xludf.DUMMYFUNCTION("""COMPUTED_VALUE"""),"препарати для підшлункової залози")</f>
        <v>препарати для підшлункової залози</v>
      </c>
      <c r="I2329" s="19">
        <f>IFERROR(__xludf.DUMMYFUNCTION("""COMPUTED_VALUE"""),0.0439)</f>
        <v>0.0439</v>
      </c>
      <c r="J2329" s="19">
        <f>IFERROR(__xludf.DUMMYFUNCTION("""COMPUTED_VALUE"""),0.0878)</f>
        <v>0.0878</v>
      </c>
      <c r="K2329" s="19">
        <f>IFERROR(__xludf.DUMMYFUNCTION("""COMPUTED_VALUE"""),0.1098)</f>
        <v>0.1098</v>
      </c>
      <c r="L2329" s="19">
        <f>IFERROR(__xludf.DUMMYFUNCTION("""COMPUTED_VALUE"""),0.1317)</f>
        <v>0.1317</v>
      </c>
      <c r="M2329" s="18">
        <f>IFERROR(__xludf.DUMMYFUNCTION("""COMPUTED_VALUE"""),1.71)</f>
        <v>1.71</v>
      </c>
    </row>
    <row r="2330">
      <c r="A2330" s="13" t="str">
        <f>IFERROR(__xludf.DUMMYFUNCTION("""COMPUTED_VALUE"""),"товари")</f>
        <v>товари</v>
      </c>
      <c r="B2330" s="16" t="str">
        <f>IFERROR(__xludf.DUMMYFUNCTION("""COMPUTED_VALUE"""),"медикаменти та медичні товари")</f>
        <v>медикаменти та медичні товари</v>
      </c>
      <c r="C2330" s="16" t="str">
        <f>IFERROR(__xludf.DUMMYFUNCTION("""COMPUTED_VALUE"""),"лікарські засоби")</f>
        <v>лікарські засоби</v>
      </c>
      <c r="D2330" s="16" t="str">
        <f>IFERROR(__xludf.DUMMYFUNCTION("""COMPUTED_VALUE"""),"серцево-судинна система")</f>
        <v>серцево-судинна система</v>
      </c>
      <c r="E2330" s="16" t="str">
        <f>IFERROR(__xludf.DUMMYFUNCTION("""COMPUTED_VALUE"""),"препарати для судин")</f>
        <v>препарати для судин</v>
      </c>
      <c r="F2330" s="17">
        <f>IFERROR(__xludf.DUMMYFUNCTION("""COMPUTED_VALUE"""),4.0)</f>
        <v>4</v>
      </c>
      <c r="G2330" s="17" t="str">
        <f>IFERROR(__xludf.DUMMYFUNCTION("""COMPUTED_VALUE"""),"401239")</f>
        <v>401239</v>
      </c>
      <c r="H2330" s="17" t="str">
        <f>IFERROR(__xludf.DUMMYFUNCTION("""COMPUTED_VALUE"""),"препарати для судин")</f>
        <v>препарати для судин</v>
      </c>
      <c r="I2330" s="19">
        <f>IFERROR(__xludf.DUMMYFUNCTION("""COMPUTED_VALUE"""),0.0409)</f>
        <v>0.0409</v>
      </c>
      <c r="J2330" s="19">
        <f>IFERROR(__xludf.DUMMYFUNCTION("""COMPUTED_VALUE"""),0.0818)</f>
        <v>0.0818</v>
      </c>
      <c r="K2330" s="19">
        <f>IFERROR(__xludf.DUMMYFUNCTION("""COMPUTED_VALUE"""),0.1023)</f>
        <v>0.1023</v>
      </c>
      <c r="L2330" s="19">
        <f>IFERROR(__xludf.DUMMYFUNCTION("""COMPUTED_VALUE"""),0.1227)</f>
        <v>0.1227</v>
      </c>
      <c r="M2330" s="18">
        <f>IFERROR(__xludf.DUMMYFUNCTION("""COMPUTED_VALUE"""),1.05)</f>
        <v>1.05</v>
      </c>
    </row>
    <row r="2331">
      <c r="A2331" s="13" t="str">
        <f>IFERROR(__xludf.DUMMYFUNCTION("""COMPUTED_VALUE"""),"товари")</f>
        <v>товари</v>
      </c>
      <c r="B2331" s="16" t="str">
        <f>IFERROR(__xludf.DUMMYFUNCTION("""COMPUTED_VALUE"""),"медикаменти та медичні товари")</f>
        <v>медикаменти та медичні товари</v>
      </c>
      <c r="C2331" s="16" t="str">
        <f>IFERROR(__xludf.DUMMYFUNCTION("""COMPUTED_VALUE"""),"препарати для схуднення")</f>
        <v>препарати для схуднення</v>
      </c>
      <c r="D2331" s="16" t="str">
        <f>IFERROR(__xludf.DUMMYFUNCTION("""COMPUTED_VALUE"""),"препарати для схуднення, загальне")</f>
        <v>препарати для схуднення, загальне</v>
      </c>
      <c r="E2331" s="16" t="str">
        <f>IFERROR(__xludf.DUMMYFUNCTION("""COMPUTED_VALUE"""),"препарати для схуднення, загальне")</f>
        <v>препарати для схуднення, загальне</v>
      </c>
      <c r="F2331" s="17">
        <f>IFERROR(__xludf.DUMMYFUNCTION("""COMPUTED_VALUE"""),3.0)</f>
        <v>3</v>
      </c>
      <c r="G2331" s="17" t="str">
        <f>IFERROR(__xludf.DUMMYFUNCTION("""COMPUTED_VALUE"""),"16030606")</f>
        <v>16030606</v>
      </c>
      <c r="H2331" s="17" t="str">
        <f>IFERROR(__xludf.DUMMYFUNCTION("""COMPUTED_VALUE"""),"препарати для схуднення, загальне")</f>
        <v>препарати для схуднення, загальне</v>
      </c>
      <c r="I2331" s="19">
        <f>IFERROR(__xludf.DUMMYFUNCTION("""COMPUTED_VALUE"""),0.125)</f>
        <v>0.125</v>
      </c>
      <c r="J2331" s="19">
        <f>IFERROR(__xludf.DUMMYFUNCTION("""COMPUTED_VALUE"""),0.25)</f>
        <v>0.25</v>
      </c>
      <c r="K2331" s="19">
        <f>IFERROR(__xludf.DUMMYFUNCTION("""COMPUTED_VALUE"""),0.3125)</f>
        <v>0.3125</v>
      </c>
      <c r="L2331" s="19">
        <f>IFERROR(__xludf.DUMMYFUNCTION("""COMPUTED_VALUE"""),0.375)</f>
        <v>0.375</v>
      </c>
      <c r="M2331" s="18">
        <f>IFERROR(__xludf.DUMMYFUNCTION("""COMPUTED_VALUE"""),4.33)</f>
        <v>4.33</v>
      </c>
    </row>
    <row r="2332">
      <c r="A2332" s="13" t="str">
        <f>IFERROR(__xludf.DUMMYFUNCTION("""COMPUTED_VALUE"""),"товари")</f>
        <v>товари</v>
      </c>
      <c r="B2332" s="16" t="str">
        <f>IFERROR(__xludf.DUMMYFUNCTION("""COMPUTED_VALUE"""),"медикаменти та медичні товари")</f>
        <v>медикаменти та медичні товари</v>
      </c>
      <c r="C2332" s="16" t="str">
        <f>IFERROR(__xludf.DUMMYFUNCTION("""COMPUTED_VALUE"""),"лікарські засоби")</f>
        <v>лікарські засоби</v>
      </c>
      <c r="D2332" s="16" t="str">
        <f>IFERROR(__xludf.DUMMYFUNCTION("""COMPUTED_VALUE"""),"препарати ендокринної системи")</f>
        <v>препарати ендокринної системи</v>
      </c>
      <c r="E2332" s="16" t="str">
        <f>IFERROR(__xludf.DUMMYFUNCTION("""COMPUTED_VALUE"""),"препарати ендокринної системи")</f>
        <v>препарати ендокринної системи</v>
      </c>
      <c r="F2332" s="17">
        <f>IFERROR(__xludf.DUMMYFUNCTION("""COMPUTED_VALUE"""),3.0)</f>
        <v>3</v>
      </c>
      <c r="G2332" s="17" t="str">
        <f>IFERROR(__xludf.DUMMYFUNCTION("""COMPUTED_VALUE"""),"160412")</f>
        <v>160412</v>
      </c>
      <c r="H2332" s="17" t="str">
        <f>IFERROR(__xludf.DUMMYFUNCTION("""COMPUTED_VALUE"""),"препарати ендокринної системи")</f>
        <v>препарати ендокринної системи</v>
      </c>
      <c r="I2332" s="19">
        <f>IFERROR(__xludf.DUMMYFUNCTION("""COMPUTED_VALUE"""),0.0447)</f>
        <v>0.0447</v>
      </c>
      <c r="J2332" s="19">
        <f>IFERROR(__xludf.DUMMYFUNCTION("""COMPUTED_VALUE"""),0.0893)</f>
        <v>0.0893</v>
      </c>
      <c r="K2332" s="19">
        <f>IFERROR(__xludf.DUMMYFUNCTION("""COMPUTED_VALUE"""),0.1116)</f>
        <v>0.1116</v>
      </c>
      <c r="L2332" s="19">
        <f>IFERROR(__xludf.DUMMYFUNCTION("""COMPUTED_VALUE"""),0.134)</f>
        <v>0.134</v>
      </c>
      <c r="M2332" s="18">
        <f>IFERROR(__xludf.DUMMYFUNCTION("""COMPUTED_VALUE"""),1.05)</f>
        <v>1.05</v>
      </c>
    </row>
    <row r="2333">
      <c r="A2333" s="13" t="str">
        <f>IFERROR(__xludf.DUMMYFUNCTION("""COMPUTED_VALUE"""),"товари")</f>
        <v>товари</v>
      </c>
      <c r="B2333" s="16" t="str">
        <f>IFERROR(__xludf.DUMMYFUNCTION("""COMPUTED_VALUE"""),"медикаменти та медичні товари")</f>
        <v>медикаменти та медичні товари</v>
      </c>
      <c r="C2333" s="16" t="str">
        <f>IFERROR(__xludf.DUMMYFUNCTION("""COMPUTED_VALUE"""),"лікарські засоби")</f>
        <v>лікарські засоби</v>
      </c>
      <c r="D2333" s="16" t="str">
        <f>IFERROR(__xludf.DUMMYFUNCTION("""COMPUTED_VALUE"""),"протиінфекційні препарати")</f>
        <v>протиінфекційні препарати</v>
      </c>
      <c r="E2333" s="16" t="str">
        <f>IFERROR(__xludf.DUMMYFUNCTION("""COMPUTED_VALUE"""),"препарати при захворюваннях ротової порожнини")</f>
        <v>препарати при захворюваннях ротової порожнини</v>
      </c>
      <c r="F2333" s="17">
        <f>IFERROR(__xludf.DUMMYFUNCTION("""COMPUTED_VALUE"""),4.0)</f>
        <v>4</v>
      </c>
      <c r="G2333" s="17" t="str">
        <f>IFERROR(__xludf.DUMMYFUNCTION("""COMPUTED_VALUE"""),"401241")</f>
        <v>401241</v>
      </c>
      <c r="H2333" s="17" t="str">
        <f>IFERROR(__xludf.DUMMYFUNCTION("""COMPUTED_VALUE"""),"препарати при захворюваннях ротової порожнини")</f>
        <v>препарати при захворюваннях ротової порожнини</v>
      </c>
      <c r="I2333" s="19">
        <f>IFERROR(__xludf.DUMMYFUNCTION("""COMPUTED_VALUE"""),0.0485)</f>
        <v>0.0485</v>
      </c>
      <c r="J2333" s="19">
        <f>IFERROR(__xludf.DUMMYFUNCTION("""COMPUTED_VALUE"""),0.097)</f>
        <v>0.097</v>
      </c>
      <c r="K2333" s="19">
        <f>IFERROR(__xludf.DUMMYFUNCTION("""COMPUTED_VALUE"""),0.1213)</f>
        <v>0.1213</v>
      </c>
      <c r="L2333" s="19">
        <f>IFERROR(__xludf.DUMMYFUNCTION("""COMPUTED_VALUE"""),0.1455)</f>
        <v>0.1455</v>
      </c>
      <c r="M2333" s="18">
        <f>IFERROR(__xludf.DUMMYFUNCTION("""COMPUTED_VALUE"""),1.05)</f>
        <v>1.05</v>
      </c>
    </row>
    <row r="2334">
      <c r="A2334" s="13" t="str">
        <f>IFERROR(__xludf.DUMMYFUNCTION("""COMPUTED_VALUE"""),"товари")</f>
        <v>товари</v>
      </c>
      <c r="B2334" s="16" t="str">
        <f>IFERROR(__xludf.DUMMYFUNCTION("""COMPUTED_VALUE"""),"медикаменти та медичні товари")</f>
        <v>медикаменти та медичні товари</v>
      </c>
      <c r="C2334" s="16" t="str">
        <f>IFERROR(__xludf.DUMMYFUNCTION("""COMPUTED_VALUE"""),"натуральні препарати")</f>
        <v>натуральні препарати</v>
      </c>
      <c r="D2334" s="16" t="str">
        <f>IFERROR(__xludf.DUMMYFUNCTION("""COMPUTED_VALUE"""),"продукти бджільництва")</f>
        <v>продукти бджільництва</v>
      </c>
      <c r="E2334" s="16" t="str">
        <f>IFERROR(__xludf.DUMMYFUNCTION("""COMPUTED_VALUE"""),"продукти бджільництва")</f>
        <v>продукти бджільництва</v>
      </c>
      <c r="F2334" s="17">
        <f>IFERROR(__xludf.DUMMYFUNCTION("""COMPUTED_VALUE"""),3.0)</f>
        <v>3</v>
      </c>
      <c r="G2334" s="17" t="str">
        <f>IFERROR(__xludf.DUMMYFUNCTION("""COMPUTED_VALUE"""),"160326")</f>
        <v>160326</v>
      </c>
      <c r="H2334" s="17" t="str">
        <f>IFERROR(__xludf.DUMMYFUNCTION("""COMPUTED_VALUE"""),"продукти бджільництва")</f>
        <v>продукти бджільництва</v>
      </c>
      <c r="I2334" s="19">
        <f>IFERROR(__xludf.DUMMYFUNCTION("""COMPUTED_VALUE"""),0.052)</f>
        <v>0.052</v>
      </c>
      <c r="J2334" s="19">
        <f>IFERROR(__xludf.DUMMYFUNCTION("""COMPUTED_VALUE"""),0.104)</f>
        <v>0.104</v>
      </c>
      <c r="K2334" s="19">
        <f>IFERROR(__xludf.DUMMYFUNCTION("""COMPUTED_VALUE"""),0.13)</f>
        <v>0.13</v>
      </c>
      <c r="L2334" s="19">
        <f>IFERROR(__xludf.DUMMYFUNCTION("""COMPUTED_VALUE"""),0.156)</f>
        <v>0.156</v>
      </c>
      <c r="M2334" s="18">
        <f>IFERROR(__xludf.DUMMYFUNCTION("""COMPUTED_VALUE"""),1.26)</f>
        <v>1.26</v>
      </c>
    </row>
    <row r="2335">
      <c r="A2335" s="13" t="str">
        <f>IFERROR(__xludf.DUMMYFUNCTION("""COMPUTED_VALUE"""),"товари")</f>
        <v>товари</v>
      </c>
      <c r="B2335" s="16" t="str">
        <f>IFERROR(__xludf.DUMMYFUNCTION("""COMPUTED_VALUE"""),"медикаменти та медичні товари")</f>
        <v>медикаменти та медичні товари</v>
      </c>
      <c r="C2335" s="16" t="str">
        <f>IFERROR(__xludf.DUMMYFUNCTION("""COMPUTED_VALUE"""),"товари для людей з інвалідністю")</f>
        <v>товари для людей з інвалідністю</v>
      </c>
      <c r="D2335" s="16" t="str">
        <f>IFERROR(__xludf.DUMMYFUNCTION("""COMPUTED_VALUE"""),"товари після мастектомії")</f>
        <v>товари після мастектомії</v>
      </c>
      <c r="E2335" s="16" t="str">
        <f>IFERROR(__xludf.DUMMYFUNCTION("""COMPUTED_VALUE"""),"протези молочної залози")</f>
        <v>протези молочної залози</v>
      </c>
      <c r="F2335" s="17">
        <f>IFERROR(__xludf.DUMMYFUNCTION("""COMPUTED_VALUE"""),4.0)</f>
        <v>4</v>
      </c>
      <c r="G2335" s="17" t="str">
        <f>IFERROR(__xludf.DUMMYFUNCTION("""COMPUTED_VALUE"""),"400908")</f>
        <v>400908</v>
      </c>
      <c r="H2335" s="17" t="str">
        <f>IFERROR(__xludf.DUMMYFUNCTION("""COMPUTED_VALUE"""),"протези молочної залози")</f>
        <v>протези молочної залози</v>
      </c>
      <c r="I2335" s="19">
        <f>IFERROR(__xludf.DUMMYFUNCTION("""COMPUTED_VALUE"""),0.0616)</f>
        <v>0.0616</v>
      </c>
      <c r="J2335" s="19">
        <f>IFERROR(__xludf.DUMMYFUNCTION("""COMPUTED_VALUE"""),0.1232)</f>
        <v>0.1232</v>
      </c>
      <c r="K2335" s="19">
        <f>IFERROR(__xludf.DUMMYFUNCTION("""COMPUTED_VALUE"""),0.154)</f>
        <v>0.154</v>
      </c>
      <c r="L2335" s="19">
        <f>IFERROR(__xludf.DUMMYFUNCTION("""COMPUTED_VALUE"""),0.1848)</f>
        <v>0.1848</v>
      </c>
      <c r="M2335" s="18">
        <f>IFERROR(__xludf.DUMMYFUNCTION("""COMPUTED_VALUE"""),1.71)</f>
        <v>1.71</v>
      </c>
    </row>
    <row r="2336">
      <c r="A2336" s="13" t="str">
        <f>IFERROR(__xludf.DUMMYFUNCTION("""COMPUTED_VALUE"""),"товари")</f>
        <v>товари</v>
      </c>
      <c r="B2336" s="16" t="str">
        <f>IFERROR(__xludf.DUMMYFUNCTION("""COMPUTED_VALUE"""),"медикаменти та медичні товари")</f>
        <v>медикаменти та медичні товари</v>
      </c>
      <c r="C2336" s="16" t="str">
        <f>IFERROR(__xludf.DUMMYFUNCTION("""COMPUTED_VALUE"""),"лікарські засоби")</f>
        <v>лікарські засоби</v>
      </c>
      <c r="D2336" s="16" t="str">
        <f>IFERROR(__xludf.DUMMYFUNCTION("""COMPUTED_VALUE"""),"дерматологічні засоби")</f>
        <v>дерматологічні засоби</v>
      </c>
      <c r="E2336" s="16" t="str">
        <f>IFERROR(__xludf.DUMMYFUNCTION("""COMPUTED_VALUE"""),"протиалергічні речовини")</f>
        <v>протиалергічні речовини</v>
      </c>
      <c r="F2336" s="17">
        <f>IFERROR(__xludf.DUMMYFUNCTION("""COMPUTED_VALUE"""),4.0)</f>
        <v>4</v>
      </c>
      <c r="G2336" s="17" t="str">
        <f>IFERROR(__xludf.DUMMYFUNCTION("""COMPUTED_VALUE"""),"160401")</f>
        <v>160401</v>
      </c>
      <c r="H2336" s="17" t="str">
        <f>IFERROR(__xludf.DUMMYFUNCTION("""COMPUTED_VALUE"""),"протиалергічні речовини")</f>
        <v>протиалергічні речовини</v>
      </c>
      <c r="I2336" s="19">
        <f>IFERROR(__xludf.DUMMYFUNCTION("""COMPUTED_VALUE"""),0.0516)</f>
        <v>0.0516</v>
      </c>
      <c r="J2336" s="19">
        <f>IFERROR(__xludf.DUMMYFUNCTION("""COMPUTED_VALUE"""),0.1032)</f>
        <v>0.1032</v>
      </c>
      <c r="K2336" s="19">
        <f>IFERROR(__xludf.DUMMYFUNCTION("""COMPUTED_VALUE"""),0.129)</f>
        <v>0.129</v>
      </c>
      <c r="L2336" s="19">
        <f>IFERROR(__xludf.DUMMYFUNCTION("""COMPUTED_VALUE"""),0.1548)</f>
        <v>0.1548</v>
      </c>
      <c r="M2336" s="18">
        <f>IFERROR(__xludf.DUMMYFUNCTION("""COMPUTED_VALUE"""),1.05)</f>
        <v>1.05</v>
      </c>
    </row>
    <row r="2337">
      <c r="A2337" s="13" t="str">
        <f>IFERROR(__xludf.DUMMYFUNCTION("""COMPUTED_VALUE"""),"товари")</f>
        <v>товари</v>
      </c>
      <c r="B2337" s="16" t="str">
        <f>IFERROR(__xludf.DUMMYFUNCTION("""COMPUTED_VALUE"""),"медикаменти та медичні товари")</f>
        <v>медикаменти та медичні товари</v>
      </c>
      <c r="C2337" s="16" t="str">
        <f>IFERROR(__xludf.DUMMYFUNCTION("""COMPUTED_VALUE"""),"лікарські засоби")</f>
        <v>лікарські засоби</v>
      </c>
      <c r="D2337" s="16" t="str">
        <f>IFERROR(__xludf.DUMMYFUNCTION("""COMPUTED_VALUE"""),"протиінфекційні препарати")</f>
        <v>протиінфекційні препарати</v>
      </c>
      <c r="E2337" s="16" t="str">
        <f>IFERROR(__xludf.DUMMYFUNCTION("""COMPUTED_VALUE"""),"протигрибкові препарати")</f>
        <v>протигрибкові препарати</v>
      </c>
      <c r="F2337" s="17">
        <f>IFERROR(__xludf.DUMMYFUNCTION("""COMPUTED_VALUE"""),4.0)</f>
        <v>4</v>
      </c>
      <c r="G2337" s="17" t="str">
        <f>IFERROR(__xludf.DUMMYFUNCTION("""COMPUTED_VALUE"""),"401210")</f>
        <v>401210</v>
      </c>
      <c r="H2337" s="17" t="str">
        <f>IFERROR(__xludf.DUMMYFUNCTION("""COMPUTED_VALUE"""),"протигрибкові препарати")</f>
        <v>протигрибкові препарати</v>
      </c>
      <c r="I2337" s="19">
        <f>IFERROR(__xludf.DUMMYFUNCTION("""COMPUTED_VALUE"""),0.0485)</f>
        <v>0.0485</v>
      </c>
      <c r="J2337" s="19">
        <f>IFERROR(__xludf.DUMMYFUNCTION("""COMPUTED_VALUE"""),0.097)</f>
        <v>0.097</v>
      </c>
      <c r="K2337" s="19">
        <f>IFERROR(__xludf.DUMMYFUNCTION("""COMPUTED_VALUE"""),0.1213)</f>
        <v>0.1213</v>
      </c>
      <c r="L2337" s="19">
        <f>IFERROR(__xludf.DUMMYFUNCTION("""COMPUTED_VALUE"""),0.1455)</f>
        <v>0.1455</v>
      </c>
      <c r="M2337" s="18">
        <f>IFERROR(__xludf.DUMMYFUNCTION("""COMPUTED_VALUE"""),1.05)</f>
        <v>1.05</v>
      </c>
    </row>
    <row r="2338">
      <c r="A2338" s="13" t="str">
        <f>IFERROR(__xludf.DUMMYFUNCTION("""COMPUTED_VALUE"""),"товари")</f>
        <v>товари</v>
      </c>
      <c r="B2338" s="16" t="str">
        <f>IFERROR(__xludf.DUMMYFUNCTION("""COMPUTED_VALUE"""),"медикаменти та медичні товари")</f>
        <v>медикаменти та медичні товари</v>
      </c>
      <c r="C2338" s="16" t="str">
        <f>IFERROR(__xludf.DUMMYFUNCTION("""COMPUTED_VALUE"""),"лікарські засоби")</f>
        <v>лікарські засоби</v>
      </c>
      <c r="D2338" s="16" t="str">
        <f>IFERROR(__xludf.DUMMYFUNCTION("""COMPUTED_VALUE"""),"протиінфекційні препарати")</f>
        <v>протиінфекційні препарати</v>
      </c>
      <c r="E2338" s="16" t="str">
        <f>IFERROR(__xludf.DUMMYFUNCTION("""COMPUTED_VALUE""")," протиінфекційні препарати, загальна")</f>
        <v> протиінфекційні препарати, загальна</v>
      </c>
      <c r="F2338" s="17">
        <f>IFERROR(__xludf.DUMMYFUNCTION("""COMPUTED_VALUE"""),4.0)</f>
        <v>4</v>
      </c>
      <c r="G2338" s="17" t="str">
        <f>IFERROR(__xludf.DUMMYFUNCTION("""COMPUTED_VALUE"""),"401208")</f>
        <v>401208</v>
      </c>
      <c r="H2338" s="17" t="str">
        <f>IFERROR(__xludf.DUMMYFUNCTION("""COMPUTED_VALUE""")," протиінфекційні препарати, загальна")</f>
        <v> протиінфекційні препарати, загальна</v>
      </c>
      <c r="I2338" s="19">
        <f>IFERROR(__xludf.DUMMYFUNCTION("""COMPUTED_VALUE"""),0.125)</f>
        <v>0.125</v>
      </c>
      <c r="J2338" s="19">
        <f>IFERROR(__xludf.DUMMYFUNCTION("""COMPUTED_VALUE"""),0.25)</f>
        <v>0.25</v>
      </c>
      <c r="K2338" s="19">
        <f>IFERROR(__xludf.DUMMYFUNCTION("""COMPUTED_VALUE"""),0.3125)</f>
        <v>0.3125</v>
      </c>
      <c r="L2338" s="19">
        <f>IFERROR(__xludf.DUMMYFUNCTION("""COMPUTED_VALUE"""),0.375)</f>
        <v>0.375</v>
      </c>
      <c r="M2338" s="18">
        <f>IFERROR(__xludf.DUMMYFUNCTION("""COMPUTED_VALUE"""),4.33)</f>
        <v>4.33</v>
      </c>
    </row>
    <row r="2339">
      <c r="A2339" s="13" t="str">
        <f>IFERROR(__xludf.DUMMYFUNCTION("""COMPUTED_VALUE"""),"товари")</f>
        <v>товари</v>
      </c>
      <c r="B2339" s="16" t="str">
        <f>IFERROR(__xludf.DUMMYFUNCTION("""COMPUTED_VALUE"""),"медикаменти та медичні товари")</f>
        <v>медикаменти та медичні товари</v>
      </c>
      <c r="C2339" s="16" t="str">
        <f>IFERROR(__xludf.DUMMYFUNCTION("""COMPUTED_VALUE"""),"товари для людей з інвалідністю")</f>
        <v>товари для людей з інвалідністю</v>
      </c>
      <c r="D2339" s="16" t="str">
        <f>IFERROR(__xludf.DUMMYFUNCTION("""COMPUTED_VALUE"""),"протипролежневі системи")</f>
        <v>протипролежневі системи</v>
      </c>
      <c r="E2339" s="16" t="str">
        <f>IFERROR(__xludf.DUMMYFUNCTION("""COMPUTED_VALUE"""),"протипролежневі системи")</f>
        <v>протипролежневі системи</v>
      </c>
      <c r="F2339" s="17">
        <f>IFERROR(__xludf.DUMMYFUNCTION("""COMPUTED_VALUE"""),3.0)</f>
        <v>3</v>
      </c>
      <c r="G2339" s="17" t="str">
        <f>IFERROR(__xludf.DUMMYFUNCTION("""COMPUTED_VALUE"""),"400906")</f>
        <v>400906</v>
      </c>
      <c r="H2339" s="17" t="str">
        <f>IFERROR(__xludf.DUMMYFUNCTION("""COMPUTED_VALUE"""),"протипролежневі системи")</f>
        <v>протипролежневі системи</v>
      </c>
      <c r="I2339" s="19">
        <f>IFERROR(__xludf.DUMMYFUNCTION("""COMPUTED_VALUE"""),0.0718)</f>
        <v>0.0718</v>
      </c>
      <c r="J2339" s="19">
        <f>IFERROR(__xludf.DUMMYFUNCTION("""COMPUTED_VALUE"""),0.1435)</f>
        <v>0.1435</v>
      </c>
      <c r="K2339" s="19">
        <f>IFERROR(__xludf.DUMMYFUNCTION("""COMPUTED_VALUE"""),0.1794)</f>
        <v>0.1794</v>
      </c>
      <c r="L2339" s="19">
        <f>IFERROR(__xludf.DUMMYFUNCTION("""COMPUTED_VALUE"""),0.2153)</f>
        <v>0.2153</v>
      </c>
      <c r="M2339" s="18">
        <f>IFERROR(__xludf.DUMMYFUNCTION("""COMPUTED_VALUE"""),3.6)</f>
        <v>3.6</v>
      </c>
    </row>
    <row r="2340">
      <c r="A2340" s="13" t="str">
        <f>IFERROR(__xludf.DUMMYFUNCTION("""COMPUTED_VALUE"""),"товари")</f>
        <v>товари</v>
      </c>
      <c r="B2340" s="16" t="str">
        <f>IFERROR(__xludf.DUMMYFUNCTION("""COMPUTED_VALUE"""),"медикаменти та медичні товари")</f>
        <v>медикаменти та медичні товари</v>
      </c>
      <c r="C2340" s="16" t="str">
        <f>IFERROR(__xludf.DUMMYFUNCTION("""COMPUTED_VALUE"""),"товари для людей з інвалідністю")</f>
        <v>товари для людей з інвалідністю</v>
      </c>
      <c r="D2340" s="16" t="str">
        <f>IFERROR(__xludf.DUMMYFUNCTION("""COMPUTED_VALUE"""),"реабілітаційна меблі для дітей")</f>
        <v>реабілітаційна меблі для дітей</v>
      </c>
      <c r="E2340" s="16" t="str">
        <f>IFERROR(__xludf.DUMMYFUNCTION("""COMPUTED_VALUE"""),"реабілітаційна меблі для дітей")</f>
        <v>реабілітаційна меблі для дітей</v>
      </c>
      <c r="F2340" s="17">
        <f>IFERROR(__xludf.DUMMYFUNCTION("""COMPUTED_VALUE"""),3.0)</f>
        <v>3</v>
      </c>
      <c r="G2340" s="17" t="str">
        <f>IFERROR(__xludf.DUMMYFUNCTION("""COMPUTED_VALUE"""),"371318")</f>
        <v>371318</v>
      </c>
      <c r="H2340" s="17" t="str">
        <f>IFERROR(__xludf.DUMMYFUNCTION("""COMPUTED_VALUE"""),"реабілітаційна меблі для дітей")</f>
        <v>реабілітаційна меблі для дітей</v>
      </c>
      <c r="I2340" s="19">
        <f>IFERROR(__xludf.DUMMYFUNCTION("""COMPUTED_VALUE"""),0.0681)</f>
        <v>0.0681</v>
      </c>
      <c r="J2340" s="19">
        <f>IFERROR(__xludf.DUMMYFUNCTION("""COMPUTED_VALUE"""),0.1362)</f>
        <v>0.1362</v>
      </c>
      <c r="K2340" s="19">
        <f>IFERROR(__xludf.DUMMYFUNCTION("""COMPUTED_VALUE"""),0.1703)</f>
        <v>0.1703</v>
      </c>
      <c r="L2340" s="19">
        <f>IFERROR(__xludf.DUMMYFUNCTION("""COMPUTED_VALUE"""),0.2043)</f>
        <v>0.2043</v>
      </c>
      <c r="M2340" s="18">
        <f>IFERROR(__xludf.DUMMYFUNCTION("""COMPUTED_VALUE"""),1.05)</f>
        <v>1.05</v>
      </c>
    </row>
    <row r="2341">
      <c r="A2341" s="13" t="str">
        <f>IFERROR(__xludf.DUMMYFUNCTION("""COMPUTED_VALUE"""),"товари")</f>
        <v>товари</v>
      </c>
      <c r="B2341" s="16" t="str">
        <f>IFERROR(__xludf.DUMMYFUNCTION("""COMPUTED_VALUE"""),"медикаменти та медичні товари")</f>
        <v>медикаменти та медичні товари</v>
      </c>
      <c r="C2341" s="16" t="str">
        <f>IFERROR(__xludf.DUMMYFUNCTION("""COMPUTED_VALUE"""),"товари для людей з інвалідністю")</f>
        <v>товари для людей з інвалідністю</v>
      </c>
      <c r="D2341" s="16" t="str">
        <f>IFERROR(__xludf.DUMMYFUNCTION("""COMPUTED_VALUE"""),"реабілітаційні тренажери")</f>
        <v>реабілітаційні тренажери</v>
      </c>
      <c r="E2341" s="16" t="str">
        <f>IFERROR(__xludf.DUMMYFUNCTION("""COMPUTED_VALUE"""),"реабілітаційні тренажери")</f>
        <v>реабілітаційні тренажери</v>
      </c>
      <c r="F2341" s="17">
        <f>IFERROR(__xludf.DUMMYFUNCTION("""COMPUTED_VALUE"""),3.0)</f>
        <v>3</v>
      </c>
      <c r="G2341" s="17" t="str">
        <f>IFERROR(__xludf.DUMMYFUNCTION("""COMPUTED_VALUE"""),"200923")</f>
        <v>200923</v>
      </c>
      <c r="H2341" s="17" t="str">
        <f>IFERROR(__xludf.DUMMYFUNCTION("""COMPUTED_VALUE"""),"реабілітаційні тренажери")</f>
        <v>реабілітаційні тренажери</v>
      </c>
      <c r="I2341" s="19">
        <f>IFERROR(__xludf.DUMMYFUNCTION("""COMPUTED_VALUE"""),0.057)</f>
        <v>0.057</v>
      </c>
      <c r="J2341" s="19">
        <f>IFERROR(__xludf.DUMMYFUNCTION("""COMPUTED_VALUE"""),0.114)</f>
        <v>0.114</v>
      </c>
      <c r="K2341" s="19">
        <f>IFERROR(__xludf.DUMMYFUNCTION("""COMPUTED_VALUE"""),0.1425)</f>
        <v>0.1425</v>
      </c>
      <c r="L2341" s="19">
        <f>IFERROR(__xludf.DUMMYFUNCTION("""COMPUTED_VALUE"""),0.171)</f>
        <v>0.171</v>
      </c>
      <c r="M2341" s="18">
        <f>IFERROR(__xludf.DUMMYFUNCTION("""COMPUTED_VALUE"""),2.61)</f>
        <v>2.61</v>
      </c>
    </row>
    <row r="2342">
      <c r="A2342" s="13" t="str">
        <f>IFERROR(__xludf.DUMMYFUNCTION("""COMPUTED_VALUE"""),"товари")</f>
        <v>товари</v>
      </c>
      <c r="B2342" s="16" t="str">
        <f>IFERROR(__xludf.DUMMYFUNCTION("""COMPUTED_VALUE"""),"медикаменти та медичні товари")</f>
        <v>медикаменти та медичні товари</v>
      </c>
      <c r="C2342" s="16" t="str">
        <f>IFERROR(__xludf.DUMMYFUNCTION("""COMPUTED_VALUE"""),"лікарські засоби")</f>
        <v>лікарські засоби</v>
      </c>
      <c r="D2342" s="16" t="str">
        <f>IFERROR(__xludf.DUMMYFUNCTION("""COMPUTED_VALUE"""),"респіраторна система")</f>
        <v>респіраторна система</v>
      </c>
      <c r="E2342" s="16" t="str">
        <f>IFERROR(__xludf.DUMMYFUNCTION("""COMPUTED_VALUE"""),"респіраторна система, загальне")</f>
        <v>респіраторна система, загальне</v>
      </c>
      <c r="F2342" s="17">
        <f>IFERROR(__xludf.DUMMYFUNCTION("""COMPUTED_VALUE"""),4.0)</f>
        <v>4</v>
      </c>
      <c r="G2342" s="17" t="str">
        <f>IFERROR(__xludf.DUMMYFUNCTION("""COMPUTED_VALUE"""),"401203")</f>
        <v>401203</v>
      </c>
      <c r="H2342" s="17" t="str">
        <f>IFERROR(__xludf.DUMMYFUNCTION("""COMPUTED_VALUE"""),"респіраторна система, загальне")</f>
        <v>респіраторна система, загальне</v>
      </c>
      <c r="I2342" s="19">
        <f>IFERROR(__xludf.DUMMYFUNCTION("""COMPUTED_VALUE"""),0.125)</f>
        <v>0.125</v>
      </c>
      <c r="J2342" s="19">
        <f>IFERROR(__xludf.DUMMYFUNCTION("""COMPUTED_VALUE"""),0.25)</f>
        <v>0.25</v>
      </c>
      <c r="K2342" s="19">
        <f>IFERROR(__xludf.DUMMYFUNCTION("""COMPUTED_VALUE"""),0.3125)</f>
        <v>0.3125</v>
      </c>
      <c r="L2342" s="19">
        <f>IFERROR(__xludf.DUMMYFUNCTION("""COMPUTED_VALUE"""),0.375)</f>
        <v>0.375</v>
      </c>
      <c r="M2342" s="18">
        <f>IFERROR(__xludf.DUMMYFUNCTION("""COMPUTED_VALUE"""),4.33)</f>
        <v>4.33</v>
      </c>
    </row>
    <row r="2343">
      <c r="A2343" s="13" t="str">
        <f>IFERROR(__xludf.DUMMYFUNCTION("""COMPUTED_VALUE"""),"товари")</f>
        <v>товари</v>
      </c>
      <c r="B2343" s="16" t="str">
        <f>IFERROR(__xludf.DUMMYFUNCTION("""COMPUTED_VALUE"""),"медикаменти та медичні товари")</f>
        <v>медикаменти та медичні товари</v>
      </c>
      <c r="C2343" s="16" t="str">
        <f>IFERROR(__xludf.DUMMYFUNCTION("""COMPUTED_VALUE"""),"натуральні препарати")</f>
        <v>натуральні препарати</v>
      </c>
      <c r="D2343" s="16" t="str">
        <f>IFERROR(__xludf.DUMMYFUNCTION("""COMPUTED_VALUE"""),"рослинні і тваринні екстракти")</f>
        <v>рослинні і тваринні екстракти</v>
      </c>
      <c r="E2343" s="16" t="str">
        <f>IFERROR(__xludf.DUMMYFUNCTION("""COMPUTED_VALUE"""),"рослинні і тваринні екстракти")</f>
        <v>рослинні і тваринні екстракти</v>
      </c>
      <c r="F2343" s="17">
        <f>IFERROR(__xludf.DUMMYFUNCTION("""COMPUTED_VALUE"""),3.0)</f>
        <v>3</v>
      </c>
      <c r="G2343" s="17" t="str">
        <f>IFERROR(__xludf.DUMMYFUNCTION("""COMPUTED_VALUE"""),"118")</f>
        <v>118</v>
      </c>
      <c r="H2343" s="17" t="str">
        <f>IFERROR(__xludf.DUMMYFUNCTION("""COMPUTED_VALUE"""),"рослинні і тваринні екстракти")</f>
        <v>рослинні і тваринні екстракти</v>
      </c>
      <c r="I2343" s="19">
        <f>IFERROR(__xludf.DUMMYFUNCTION("""COMPUTED_VALUE"""),0.0539)</f>
        <v>0.0539</v>
      </c>
      <c r="J2343" s="19">
        <f>IFERROR(__xludf.DUMMYFUNCTION("""COMPUTED_VALUE"""),0.1078)</f>
        <v>0.1078</v>
      </c>
      <c r="K2343" s="19">
        <f>IFERROR(__xludf.DUMMYFUNCTION("""COMPUTED_VALUE"""),0.1348)</f>
        <v>0.1348</v>
      </c>
      <c r="L2343" s="19">
        <f>IFERROR(__xludf.DUMMYFUNCTION("""COMPUTED_VALUE"""),0.1617)</f>
        <v>0.1617</v>
      </c>
      <c r="M2343" s="18">
        <f>IFERROR(__xludf.DUMMYFUNCTION("""COMPUTED_VALUE"""),1.05)</f>
        <v>1.05</v>
      </c>
    </row>
    <row r="2344">
      <c r="A2344" s="13" t="str">
        <f>IFERROR(__xludf.DUMMYFUNCTION("""COMPUTED_VALUE"""),"товари")</f>
        <v>товари</v>
      </c>
      <c r="B2344" s="16" t="str">
        <f>IFERROR(__xludf.DUMMYFUNCTION("""COMPUTED_VALUE"""),"медикаменти та медичні товари")</f>
        <v>медикаменти та медичні товари</v>
      </c>
      <c r="C2344" s="16" t="str">
        <f>IFERROR(__xludf.DUMMYFUNCTION("""COMPUTED_VALUE"""),"товари для людей з інвалідністю")</f>
        <v>товари для людей з інвалідністю</v>
      </c>
      <c r="D2344" s="16" t="str">
        <f>IFERROR(__xludf.DUMMYFUNCTION("""COMPUTED_VALUE"""),"санітарні пристосування для людей з інвалідністю")</f>
        <v>санітарні пристосування для людей з інвалідністю</v>
      </c>
      <c r="E2344" s="16" t="str">
        <f>IFERROR(__xludf.DUMMYFUNCTION("""COMPUTED_VALUE"""),"санітарні пристосування для людей з інвалідністю")</f>
        <v>санітарні пристосування для людей з інвалідністю</v>
      </c>
      <c r="F2344" s="17">
        <f>IFERROR(__xludf.DUMMYFUNCTION("""COMPUTED_VALUE"""),3.0)</f>
        <v>3</v>
      </c>
      <c r="G2344" s="17" t="str">
        <f>IFERROR(__xludf.DUMMYFUNCTION("""COMPUTED_VALUE"""),"400905")</f>
        <v>400905</v>
      </c>
      <c r="H2344" s="17" t="str">
        <f>IFERROR(__xludf.DUMMYFUNCTION("""COMPUTED_VALUE"""),"санітарні пристосування для людей з інвалідністю")</f>
        <v>санітарні пристосування для людей з інвалідністю</v>
      </c>
      <c r="I2344" s="19">
        <f>IFERROR(__xludf.DUMMYFUNCTION("""COMPUTED_VALUE"""),0.0697)</f>
        <v>0.0697</v>
      </c>
      <c r="J2344" s="19">
        <f>IFERROR(__xludf.DUMMYFUNCTION("""COMPUTED_VALUE"""),0.1393)</f>
        <v>0.1393</v>
      </c>
      <c r="K2344" s="19">
        <f>IFERROR(__xludf.DUMMYFUNCTION("""COMPUTED_VALUE"""),0.1741)</f>
        <v>0.1741</v>
      </c>
      <c r="L2344" s="19">
        <f>IFERROR(__xludf.DUMMYFUNCTION("""COMPUTED_VALUE"""),0.209)</f>
        <v>0.209</v>
      </c>
      <c r="M2344" s="18">
        <f>IFERROR(__xludf.DUMMYFUNCTION("""COMPUTED_VALUE"""),3.24)</f>
        <v>3.24</v>
      </c>
    </row>
    <row r="2345">
      <c r="A2345" s="13" t="str">
        <f>IFERROR(__xludf.DUMMYFUNCTION("""COMPUTED_VALUE"""),"товари")</f>
        <v>товари</v>
      </c>
      <c r="B2345" s="16" t="str">
        <f>IFERROR(__xludf.DUMMYFUNCTION("""COMPUTED_VALUE"""),"медикаменти та медичні товари")</f>
        <v>медикаменти та медичні товари</v>
      </c>
      <c r="C2345" s="16" t="str">
        <f>IFERROR(__xludf.DUMMYFUNCTION("""COMPUTED_VALUE"""),"лікарські засоби")</f>
        <v>лікарські засоби</v>
      </c>
      <c r="D2345" s="16" t="str">
        <f>IFERROR(__xludf.DUMMYFUNCTION("""COMPUTED_VALUE"""),"серцево-судинна система")</f>
        <v>серцево-судинна система</v>
      </c>
      <c r="E2345" s="16" t="str">
        <f>IFERROR(__xludf.DUMMYFUNCTION("""COMPUTED_VALUE"""),"серцево-судинна система, загальне")</f>
        <v>серцево-судинна система, загальне</v>
      </c>
      <c r="F2345" s="17">
        <f>IFERROR(__xludf.DUMMYFUNCTION("""COMPUTED_VALUE"""),4.0)</f>
        <v>4</v>
      </c>
      <c r="G2345" s="17" t="str">
        <f>IFERROR(__xludf.DUMMYFUNCTION("""COMPUTED_VALUE"""),"401220")</f>
        <v>401220</v>
      </c>
      <c r="H2345" s="17" t="str">
        <f>IFERROR(__xludf.DUMMYFUNCTION("""COMPUTED_VALUE"""),"серцево-судинна система, загальне")</f>
        <v>серцево-судинна система, загальне</v>
      </c>
      <c r="I2345" s="19">
        <f>IFERROR(__xludf.DUMMYFUNCTION("""COMPUTED_VALUE"""),0.125)</f>
        <v>0.125</v>
      </c>
      <c r="J2345" s="19">
        <f>IFERROR(__xludf.DUMMYFUNCTION("""COMPUTED_VALUE"""),0.25)</f>
        <v>0.25</v>
      </c>
      <c r="K2345" s="19">
        <f>IFERROR(__xludf.DUMMYFUNCTION("""COMPUTED_VALUE"""),0.3125)</f>
        <v>0.3125</v>
      </c>
      <c r="L2345" s="19">
        <f>IFERROR(__xludf.DUMMYFUNCTION("""COMPUTED_VALUE"""),0.375)</f>
        <v>0.375</v>
      </c>
      <c r="M2345" s="18">
        <f>IFERROR(__xludf.DUMMYFUNCTION("""COMPUTED_VALUE"""),4.33)</f>
        <v>4.33</v>
      </c>
    </row>
    <row r="2346">
      <c r="A2346" s="13" t="str">
        <f>IFERROR(__xludf.DUMMYFUNCTION("""COMPUTED_VALUE"""),"товари")</f>
        <v>товари</v>
      </c>
      <c r="B2346" s="16" t="str">
        <f>IFERROR(__xludf.DUMMYFUNCTION("""COMPUTED_VALUE"""),"медикаменти та медичні товари")</f>
        <v>медикаменти та медичні товари</v>
      </c>
      <c r="C2346" s="16" t="str">
        <f>IFERROR(__xludf.DUMMYFUNCTION("""COMPUTED_VALUE"""),"лікарські засоби")</f>
        <v>лікарські засоби</v>
      </c>
      <c r="D2346" s="16" t="str">
        <f>IFERROR(__xludf.DUMMYFUNCTION("""COMPUTED_VALUE"""),"серцево-судинна система")</f>
        <v>серцево-судинна система</v>
      </c>
      <c r="E2346" s="16" t="str">
        <f>IFERROR(__xludf.DUMMYFUNCTION("""COMPUTED_VALUE"""),"серцево-судинні препарати")</f>
        <v>серцево-судинні препарати</v>
      </c>
      <c r="F2346" s="17">
        <f>IFERROR(__xludf.DUMMYFUNCTION("""COMPUTED_VALUE"""),4.0)</f>
        <v>4</v>
      </c>
      <c r="G2346" s="17" t="str">
        <f>IFERROR(__xludf.DUMMYFUNCTION("""COMPUTED_VALUE"""),"160409")</f>
        <v>160409</v>
      </c>
      <c r="H2346" s="17" t="str">
        <f>IFERROR(__xludf.DUMMYFUNCTION("""COMPUTED_VALUE"""),"серцево-судинні препарати")</f>
        <v>серцево-судинні препарати</v>
      </c>
      <c r="I2346" s="19">
        <f>IFERROR(__xludf.DUMMYFUNCTION("""COMPUTED_VALUE"""),0.0409)</f>
        <v>0.0409</v>
      </c>
      <c r="J2346" s="19">
        <f>IFERROR(__xludf.DUMMYFUNCTION("""COMPUTED_VALUE"""),0.0818)</f>
        <v>0.0818</v>
      </c>
      <c r="K2346" s="19">
        <f>IFERROR(__xludf.DUMMYFUNCTION("""COMPUTED_VALUE"""),0.1023)</f>
        <v>0.1023</v>
      </c>
      <c r="L2346" s="19">
        <f>IFERROR(__xludf.DUMMYFUNCTION("""COMPUTED_VALUE"""),0.1227)</f>
        <v>0.1227</v>
      </c>
      <c r="M2346" s="18">
        <f>IFERROR(__xludf.DUMMYFUNCTION("""COMPUTED_VALUE"""),1.05)</f>
        <v>1.05</v>
      </c>
    </row>
    <row r="2347">
      <c r="A2347" s="13" t="str">
        <f>IFERROR(__xludf.DUMMYFUNCTION("""COMPUTED_VALUE"""),"товари")</f>
        <v>товари</v>
      </c>
      <c r="B2347" s="16" t="str">
        <f>IFERROR(__xludf.DUMMYFUNCTION("""COMPUTED_VALUE"""),"медикаменти та медичні товари")</f>
        <v>медикаменти та медичні товари</v>
      </c>
      <c r="C2347" s="16" t="str">
        <f>IFERROR(__xludf.DUMMYFUNCTION("""COMPUTED_VALUE"""),"лікарські засоби")</f>
        <v>лікарські засоби</v>
      </c>
      <c r="D2347" s="16" t="str">
        <f>IFERROR(__xludf.DUMMYFUNCTION("""COMPUTED_VALUE"""),"сечостатева система")</f>
        <v>сечостатева система</v>
      </c>
      <c r="E2347" s="16" t="str">
        <f>IFERROR(__xludf.DUMMYFUNCTION("""COMPUTED_VALUE"""),"сечостатева система, загальне")</f>
        <v>сечостатева система, загальне</v>
      </c>
      <c r="F2347" s="17">
        <f>IFERROR(__xludf.DUMMYFUNCTION("""COMPUTED_VALUE"""),4.0)</f>
        <v>4</v>
      </c>
      <c r="G2347" s="17" t="str">
        <f>IFERROR(__xludf.DUMMYFUNCTION("""COMPUTED_VALUE"""),"401237")</f>
        <v>401237</v>
      </c>
      <c r="H2347" s="17" t="str">
        <f>IFERROR(__xludf.DUMMYFUNCTION("""COMPUTED_VALUE"""),"сечостатева система, загальне")</f>
        <v>сечостатева система, загальне</v>
      </c>
      <c r="I2347" s="19">
        <f>IFERROR(__xludf.DUMMYFUNCTION("""COMPUTED_VALUE"""),0.125)</f>
        <v>0.125</v>
      </c>
      <c r="J2347" s="19">
        <f>IFERROR(__xludf.DUMMYFUNCTION("""COMPUTED_VALUE"""),0.25)</f>
        <v>0.25</v>
      </c>
      <c r="K2347" s="19">
        <f>IFERROR(__xludf.DUMMYFUNCTION("""COMPUTED_VALUE"""),0.3125)</f>
        <v>0.3125</v>
      </c>
      <c r="L2347" s="19">
        <f>IFERROR(__xludf.DUMMYFUNCTION("""COMPUTED_VALUE"""),0.375)</f>
        <v>0.375</v>
      </c>
      <c r="M2347" s="18">
        <f>IFERROR(__xludf.DUMMYFUNCTION("""COMPUTED_VALUE"""),4.33)</f>
        <v>4.33</v>
      </c>
    </row>
    <row r="2348">
      <c r="A2348" s="13" t="str">
        <f>IFERROR(__xludf.DUMMYFUNCTION("""COMPUTED_VALUE"""),"товари")</f>
        <v>товари</v>
      </c>
      <c r="B2348" s="16" t="str">
        <f>IFERROR(__xludf.DUMMYFUNCTION("""COMPUTED_VALUE"""),"медикаменти та медичні товари")</f>
        <v>медикаменти та медичні товари</v>
      </c>
      <c r="C2348" s="16" t="str">
        <f>IFERROR(__xludf.DUMMYFUNCTION("""COMPUTED_VALUE"""),"товари медичного призначення")</f>
        <v>товари медичного призначення</v>
      </c>
      <c r="D2348" s="16" t="str">
        <f>IFERROR(__xludf.DUMMYFUNCTION("""COMPUTED_VALUE"""),"контрацептиви")</f>
        <v>контрацептиви</v>
      </c>
      <c r="E2348" s="16" t="str">
        <f>IFERROR(__xludf.DUMMYFUNCTION("""COMPUTED_VALUE"""),"спіралі внутрішньоматкові")</f>
        <v>спіралі внутрішньоматкові</v>
      </c>
      <c r="F2348" s="17">
        <f>IFERROR(__xludf.DUMMYFUNCTION("""COMPUTED_VALUE"""),4.0)</f>
        <v>4</v>
      </c>
      <c r="G2348" s="17" t="str">
        <f>IFERROR(__xludf.DUMMYFUNCTION("""COMPUTED_VALUE"""),"16131202")</f>
        <v>16131202</v>
      </c>
      <c r="H2348" s="17" t="str">
        <f>IFERROR(__xludf.DUMMYFUNCTION("""COMPUTED_VALUE"""),"спіралі внутрішньоматкові")</f>
        <v>спіралі внутрішньоматкові</v>
      </c>
      <c r="I2348" s="19">
        <f>IFERROR(__xludf.DUMMYFUNCTION("""COMPUTED_VALUE"""),0.0688)</f>
        <v>0.0688</v>
      </c>
      <c r="J2348" s="19">
        <f>IFERROR(__xludf.DUMMYFUNCTION("""COMPUTED_VALUE"""),0.1375)</f>
        <v>0.1375</v>
      </c>
      <c r="K2348" s="19">
        <f>IFERROR(__xludf.DUMMYFUNCTION("""COMPUTED_VALUE"""),0.1719)</f>
        <v>0.1719</v>
      </c>
      <c r="L2348" s="19">
        <f>IFERROR(__xludf.DUMMYFUNCTION("""COMPUTED_VALUE"""),0.2063)</f>
        <v>0.2063</v>
      </c>
      <c r="M2348" s="18">
        <f>IFERROR(__xludf.DUMMYFUNCTION("""COMPUTED_VALUE"""),1.71)</f>
        <v>1.71</v>
      </c>
    </row>
    <row r="2349">
      <c r="A2349" s="13" t="str">
        <f>IFERROR(__xludf.DUMMYFUNCTION("""COMPUTED_VALUE"""),"товари")</f>
        <v>товари</v>
      </c>
      <c r="B2349" s="16" t="str">
        <f>IFERROR(__xludf.DUMMYFUNCTION("""COMPUTED_VALUE"""),"медикаменти та медичні товари")</f>
        <v>медикаменти та медичні товари</v>
      </c>
      <c r="C2349" s="16" t="str">
        <f>IFERROR(__xludf.DUMMYFUNCTION("""COMPUTED_VALUE"""),"товари медичного призначення")</f>
        <v>товари медичного призначення</v>
      </c>
      <c r="D2349" s="16" t="str">
        <f>IFERROR(__xludf.DUMMYFUNCTION("""COMPUTED_VALUE"""),"спринцівки")</f>
        <v>спринцівки</v>
      </c>
      <c r="E2349" s="16" t="str">
        <f>IFERROR(__xludf.DUMMYFUNCTION("""COMPUTED_VALUE"""),"спринцівки")</f>
        <v>спринцівки</v>
      </c>
      <c r="F2349" s="17">
        <f>IFERROR(__xludf.DUMMYFUNCTION("""COMPUTED_VALUE"""),3.0)</f>
        <v>3</v>
      </c>
      <c r="G2349" s="17" t="str">
        <f>IFERROR(__xludf.DUMMYFUNCTION("""COMPUTED_VALUE"""),"161217")</f>
        <v>161217</v>
      </c>
      <c r="H2349" s="17" t="str">
        <f>IFERROR(__xludf.DUMMYFUNCTION("""COMPUTED_VALUE"""),"спринцівки")</f>
        <v>спринцівки</v>
      </c>
      <c r="I2349" s="19">
        <f>IFERROR(__xludf.DUMMYFUNCTION("""COMPUTED_VALUE"""),0.0447)</f>
        <v>0.0447</v>
      </c>
      <c r="J2349" s="19">
        <f>IFERROR(__xludf.DUMMYFUNCTION("""COMPUTED_VALUE"""),0.0893)</f>
        <v>0.0893</v>
      </c>
      <c r="K2349" s="19">
        <f>IFERROR(__xludf.DUMMYFUNCTION("""COMPUTED_VALUE"""),0.1116)</f>
        <v>0.1116</v>
      </c>
      <c r="L2349" s="19">
        <f>IFERROR(__xludf.DUMMYFUNCTION("""COMPUTED_VALUE"""),0.134)</f>
        <v>0.134</v>
      </c>
      <c r="M2349" s="18">
        <f>IFERROR(__xludf.DUMMYFUNCTION("""COMPUTED_VALUE"""),1.26)</f>
        <v>1.26</v>
      </c>
    </row>
    <row r="2350">
      <c r="A2350" s="13" t="str">
        <f>IFERROR(__xludf.DUMMYFUNCTION("""COMPUTED_VALUE"""),"товари")</f>
        <v>товари</v>
      </c>
      <c r="B2350" s="16" t="str">
        <f>IFERROR(__xludf.DUMMYFUNCTION("""COMPUTED_VALUE"""),"медикаменти та медичні товари")</f>
        <v>медикаменти та медичні товари</v>
      </c>
      <c r="C2350" s="16" t="str">
        <f>IFERROR(__xludf.DUMMYFUNCTION("""COMPUTED_VALUE"""),"товари медичного призначення")</f>
        <v>товари медичного призначення</v>
      </c>
      <c r="D2350" s="16" t="str">
        <f>IFERROR(__xludf.DUMMYFUNCTION("""COMPUTED_VALUE"""),"товари медичного призначення, загальне")</f>
        <v>товари медичного призначення, загальне</v>
      </c>
      <c r="E2350" s="16" t="str">
        <f>IFERROR(__xludf.DUMMYFUNCTION("""COMPUTED_VALUE"""),"товари медичного призначення, загальне")</f>
        <v>товари медичного призначення, загальне</v>
      </c>
      <c r="F2350" s="17">
        <f>IFERROR(__xludf.DUMMYFUNCTION("""COMPUTED_VALUE"""),3.0)</f>
        <v>3</v>
      </c>
      <c r="G2350" s="17" t="str">
        <f>IFERROR(__xludf.DUMMYFUNCTION("""COMPUTED_VALUE"""),"161201")</f>
        <v>161201</v>
      </c>
      <c r="H2350" s="17" t="str">
        <f>IFERROR(__xludf.DUMMYFUNCTION("""COMPUTED_VALUE"""),"товари медичного призначення, загальне")</f>
        <v>товари медичного призначення, загальне</v>
      </c>
      <c r="I2350" s="19">
        <f>IFERROR(__xludf.DUMMYFUNCTION("""COMPUTED_VALUE"""),0.125)</f>
        <v>0.125</v>
      </c>
      <c r="J2350" s="19">
        <f>IFERROR(__xludf.DUMMYFUNCTION("""COMPUTED_VALUE"""),0.25)</f>
        <v>0.25</v>
      </c>
      <c r="K2350" s="19">
        <f>IFERROR(__xludf.DUMMYFUNCTION("""COMPUTED_VALUE"""),0.3125)</f>
        <v>0.3125</v>
      </c>
      <c r="L2350" s="19">
        <f>IFERROR(__xludf.DUMMYFUNCTION("""COMPUTED_VALUE"""),0.375)</f>
        <v>0.375</v>
      </c>
      <c r="M2350" s="18">
        <f>IFERROR(__xludf.DUMMYFUNCTION("""COMPUTED_VALUE"""),4.33)</f>
        <v>4.33</v>
      </c>
    </row>
    <row r="2351">
      <c r="A2351" s="13" t="str">
        <f>IFERROR(__xludf.DUMMYFUNCTION("""COMPUTED_VALUE"""),"товари")</f>
        <v>товари</v>
      </c>
      <c r="B2351" s="16" t="str">
        <f>IFERROR(__xludf.DUMMYFUNCTION("""COMPUTED_VALUE"""),"медикаменти та медичні товари")</f>
        <v>медикаменти та медичні товари</v>
      </c>
      <c r="C2351" s="16" t="str">
        <f>IFERROR(__xludf.DUMMYFUNCTION("""COMPUTED_VALUE"""),"натуральні препарати")</f>
        <v>натуральні препарати</v>
      </c>
      <c r="D2351" s="16" t="str">
        <f>IFERROR(__xludf.DUMMYFUNCTION("""COMPUTED_VALUE"""),"трав'яні збори та фіточаї")</f>
        <v>трав'яні збори та фіточаї</v>
      </c>
      <c r="E2351" s="16" t="str">
        <f>IFERROR(__xludf.DUMMYFUNCTION("""COMPUTED_VALUE"""),"трав'яні збори та фіточаї")</f>
        <v>трав'яні збори та фіточаї</v>
      </c>
      <c r="F2351" s="17">
        <f>IFERROR(__xludf.DUMMYFUNCTION("""COMPUTED_VALUE"""),3.0)</f>
        <v>3</v>
      </c>
      <c r="G2351" s="17" t="str">
        <f>IFERROR(__xludf.DUMMYFUNCTION("""COMPUTED_VALUE"""),"1602")</f>
        <v>1602</v>
      </c>
      <c r="H2351" s="17" t="str">
        <f>IFERROR(__xludf.DUMMYFUNCTION("""COMPUTED_VALUE"""),"трав'яні збори та фіточаї")</f>
        <v>трав'яні збори та фіточаї</v>
      </c>
      <c r="I2351" s="19">
        <f>IFERROR(__xludf.DUMMYFUNCTION("""COMPUTED_VALUE"""),0.0763)</f>
        <v>0.0763</v>
      </c>
      <c r="J2351" s="19">
        <f>IFERROR(__xludf.DUMMYFUNCTION("""COMPUTED_VALUE"""),0.1526)</f>
        <v>0.1526</v>
      </c>
      <c r="K2351" s="19">
        <f>IFERROR(__xludf.DUMMYFUNCTION("""COMPUTED_VALUE"""),0.1908)</f>
        <v>0.1908</v>
      </c>
      <c r="L2351" s="19">
        <f>IFERROR(__xludf.DUMMYFUNCTION("""COMPUTED_VALUE"""),0.2289)</f>
        <v>0.2289</v>
      </c>
      <c r="M2351" s="18">
        <f>IFERROR(__xludf.DUMMYFUNCTION("""COMPUTED_VALUE"""),2.25)</f>
        <v>2.25</v>
      </c>
    </row>
    <row r="2352">
      <c r="A2352" s="13" t="str">
        <f>IFERROR(__xludf.DUMMYFUNCTION("""COMPUTED_VALUE"""),"товари")</f>
        <v>товари</v>
      </c>
      <c r="B2352" s="16" t="str">
        <f>IFERROR(__xludf.DUMMYFUNCTION("""COMPUTED_VALUE"""),"медикаменти та медичні товари")</f>
        <v>медикаменти та медичні товари</v>
      </c>
      <c r="C2352" s="16" t="str">
        <f>IFERROR(__xludf.DUMMYFUNCTION("""COMPUTED_VALUE"""),"лікарські засоби")</f>
        <v>лікарські засоби</v>
      </c>
      <c r="D2352" s="16" t="str">
        <f>IFERROR(__xludf.DUMMYFUNCTION("""COMPUTED_VALUE"""),"травна система та обмін речовин")</f>
        <v>травна система та обмін речовин</v>
      </c>
      <c r="E2352" s="16" t="str">
        <f>IFERROR(__xludf.DUMMYFUNCTION("""COMPUTED_VALUE"""),"травна система та обмін речовин, загальне")</f>
        <v>травна система та обмін речовин, загальне</v>
      </c>
      <c r="F2352" s="17">
        <f>IFERROR(__xludf.DUMMYFUNCTION("""COMPUTED_VALUE"""),4.0)</f>
        <v>4</v>
      </c>
      <c r="G2352" s="17" t="str">
        <f>IFERROR(__xludf.DUMMYFUNCTION("""COMPUTED_VALUE"""),"401215")</f>
        <v>401215</v>
      </c>
      <c r="H2352" s="17" t="str">
        <f>IFERROR(__xludf.DUMMYFUNCTION("""COMPUTED_VALUE"""),"травна система та обмін речовин, загальне")</f>
        <v>травна система та обмін речовин, загальне</v>
      </c>
      <c r="I2352" s="19">
        <f>IFERROR(__xludf.DUMMYFUNCTION("""COMPUTED_VALUE"""),0.125)</f>
        <v>0.125</v>
      </c>
      <c r="J2352" s="19">
        <f>IFERROR(__xludf.DUMMYFUNCTION("""COMPUTED_VALUE"""),0.25)</f>
        <v>0.25</v>
      </c>
      <c r="K2352" s="19">
        <f>IFERROR(__xludf.DUMMYFUNCTION("""COMPUTED_VALUE"""),0.3125)</f>
        <v>0.3125</v>
      </c>
      <c r="L2352" s="19">
        <f>IFERROR(__xludf.DUMMYFUNCTION("""COMPUTED_VALUE"""),0.375)</f>
        <v>0.375</v>
      </c>
      <c r="M2352" s="18">
        <f>IFERROR(__xludf.DUMMYFUNCTION("""COMPUTED_VALUE"""),4.33)</f>
        <v>4.33</v>
      </c>
    </row>
    <row r="2353">
      <c r="A2353" s="13" t="str">
        <f>IFERROR(__xludf.DUMMYFUNCTION("""COMPUTED_VALUE"""),"товари")</f>
        <v>товари</v>
      </c>
      <c r="B2353" s="16" t="str">
        <f>IFERROR(__xludf.DUMMYFUNCTION("""COMPUTED_VALUE"""),"медикаменти та медичні товари")</f>
        <v>медикаменти та медичні товари</v>
      </c>
      <c r="C2353" s="16" t="str">
        <f>IFERROR(__xludf.DUMMYFUNCTION("""COMPUTED_VALUE"""),"товари для людей з інвалідністю")</f>
        <v>товари для людей з інвалідністю</v>
      </c>
      <c r="D2353" s="16" t="str">
        <f>IFERROR(__xludf.DUMMYFUNCTION("""COMPUTED_VALUE"""),"тростини")</f>
        <v>тростини</v>
      </c>
      <c r="E2353" s="16" t="str">
        <f>IFERROR(__xludf.DUMMYFUNCTION("""COMPUTED_VALUE"""),"тростини")</f>
        <v>тростини</v>
      </c>
      <c r="F2353" s="17">
        <f>IFERROR(__xludf.DUMMYFUNCTION("""COMPUTED_VALUE"""),3.0)</f>
        <v>3</v>
      </c>
      <c r="G2353" s="17" t="str">
        <f>IFERROR(__xludf.DUMMYFUNCTION("""COMPUTED_VALUE"""),"400902")</f>
        <v>400902</v>
      </c>
      <c r="H2353" s="17" t="str">
        <f>IFERROR(__xludf.DUMMYFUNCTION("""COMPUTED_VALUE"""),"тростини")</f>
        <v>тростини</v>
      </c>
      <c r="I2353" s="19">
        <f>IFERROR(__xludf.DUMMYFUNCTION("""COMPUTED_VALUE"""),0.0734)</f>
        <v>0.0734</v>
      </c>
      <c r="J2353" s="19">
        <f>IFERROR(__xludf.DUMMYFUNCTION("""COMPUTED_VALUE"""),0.1468)</f>
        <v>0.1468</v>
      </c>
      <c r="K2353" s="19">
        <f>IFERROR(__xludf.DUMMYFUNCTION("""COMPUTED_VALUE"""),0.1835)</f>
        <v>0.1835</v>
      </c>
      <c r="L2353" s="19">
        <f>IFERROR(__xludf.DUMMYFUNCTION("""COMPUTED_VALUE"""),0.2202)</f>
        <v>0.2202</v>
      </c>
      <c r="M2353" s="18">
        <f>IFERROR(__xludf.DUMMYFUNCTION("""COMPUTED_VALUE"""),2.7)</f>
        <v>2.7</v>
      </c>
    </row>
    <row r="2354">
      <c r="A2354" s="13" t="str">
        <f>IFERROR(__xludf.DUMMYFUNCTION("""COMPUTED_VALUE"""),"товари")</f>
        <v>товари</v>
      </c>
      <c r="B2354" s="16" t="str">
        <f>IFERROR(__xludf.DUMMYFUNCTION("""COMPUTED_VALUE"""),"медикаменти та медичні товари")</f>
        <v>медикаменти та медичні товари</v>
      </c>
      <c r="C2354" s="16" t="str">
        <f>IFERROR(__xludf.DUMMYFUNCTION("""COMPUTED_VALUE"""),"товари для людей з інвалідністю")</f>
        <v>товари для людей з інвалідністю</v>
      </c>
      <c r="D2354" s="16" t="str">
        <f>IFERROR(__xludf.DUMMYFUNCTION("""COMPUTED_VALUE"""),"урологічні прокладки")</f>
        <v>урологічні прокладки</v>
      </c>
      <c r="E2354" s="16" t="str">
        <f>IFERROR(__xludf.DUMMYFUNCTION("""COMPUTED_VALUE"""),"урологічні прокладки")</f>
        <v>урологічні прокладки</v>
      </c>
      <c r="F2354" s="17">
        <f>IFERROR(__xludf.DUMMYFUNCTION("""COMPUTED_VALUE"""),3.0)</f>
        <v>3</v>
      </c>
      <c r="G2354" s="17" t="str">
        <f>IFERROR(__xludf.DUMMYFUNCTION("""COMPUTED_VALUE"""),"400916")</f>
        <v>400916</v>
      </c>
      <c r="H2354" s="17" t="str">
        <f>IFERROR(__xludf.DUMMYFUNCTION("""COMPUTED_VALUE"""),"урологічні прокладки")</f>
        <v>урологічні прокладки</v>
      </c>
      <c r="I2354" s="19">
        <f>IFERROR(__xludf.DUMMYFUNCTION("""COMPUTED_VALUE"""),0.0777)</f>
        <v>0.0777</v>
      </c>
      <c r="J2354" s="19">
        <f>IFERROR(__xludf.DUMMYFUNCTION("""COMPUTED_VALUE"""),0.1554)</f>
        <v>0.1554</v>
      </c>
      <c r="K2354" s="19">
        <f>IFERROR(__xludf.DUMMYFUNCTION("""COMPUTED_VALUE"""),0.1943)</f>
        <v>0.1943</v>
      </c>
      <c r="L2354" s="19">
        <f>IFERROR(__xludf.DUMMYFUNCTION("""COMPUTED_VALUE"""),0.2331)</f>
        <v>0.2331</v>
      </c>
      <c r="M2354" s="18">
        <f>IFERROR(__xludf.DUMMYFUNCTION("""COMPUTED_VALUE"""),1.05)</f>
        <v>1.05</v>
      </c>
    </row>
    <row r="2355">
      <c r="A2355" s="13" t="str">
        <f>IFERROR(__xludf.DUMMYFUNCTION("""COMPUTED_VALUE"""),"товари")</f>
        <v>товари</v>
      </c>
      <c r="B2355" s="16" t="str">
        <f>IFERROR(__xludf.DUMMYFUNCTION("""COMPUTED_VALUE"""),"медикаменти та медичні товари")</f>
        <v>медикаменти та медичні товари</v>
      </c>
      <c r="C2355" s="16" t="str">
        <f>IFERROR(__xludf.DUMMYFUNCTION("""COMPUTED_VALUE"""),"ортопедичні товари")</f>
        <v>ортопедичні товари</v>
      </c>
      <c r="D2355" s="16" t="str">
        <f>IFERROR(__xludf.DUMMYFUNCTION("""COMPUTED_VALUE"""),"фіксатори гомілковостопного суглоба")</f>
        <v>фіксатори гомілковостопного суглоба</v>
      </c>
      <c r="E2355" s="16" t="str">
        <f>IFERROR(__xludf.DUMMYFUNCTION("""COMPUTED_VALUE"""),"фіксатори гомілковостопного суглоба")</f>
        <v>фіксатори гомілковостопного суглоба</v>
      </c>
      <c r="F2355" s="17">
        <f>IFERROR(__xludf.DUMMYFUNCTION("""COMPUTED_VALUE"""),3.0)</f>
        <v>3</v>
      </c>
      <c r="G2355" s="17" t="str">
        <f>IFERROR(__xludf.DUMMYFUNCTION("""COMPUTED_VALUE"""),"401004")</f>
        <v>401004</v>
      </c>
      <c r="H2355" s="17" t="str">
        <f>IFERROR(__xludf.DUMMYFUNCTION("""COMPUTED_VALUE"""),"фіксатори гомілковостопного суглоба")</f>
        <v>фіксатори гомілковостопного суглоба</v>
      </c>
      <c r="I2355" s="19">
        <f>IFERROR(__xludf.DUMMYFUNCTION("""COMPUTED_VALUE"""),0.0746)</f>
        <v>0.0746</v>
      </c>
      <c r="J2355" s="19">
        <f>IFERROR(__xludf.DUMMYFUNCTION("""COMPUTED_VALUE"""),0.1491)</f>
        <v>0.1491</v>
      </c>
      <c r="K2355" s="19">
        <f>IFERROR(__xludf.DUMMYFUNCTION("""COMPUTED_VALUE"""),0.1864)</f>
        <v>0.1864</v>
      </c>
      <c r="L2355" s="19">
        <f>IFERROR(__xludf.DUMMYFUNCTION("""COMPUTED_VALUE"""),0.2237)</f>
        <v>0.2237</v>
      </c>
      <c r="M2355" s="18">
        <f>IFERROR(__xludf.DUMMYFUNCTION("""COMPUTED_VALUE"""),3.06)</f>
        <v>3.06</v>
      </c>
    </row>
    <row r="2356">
      <c r="A2356" s="13" t="str">
        <f>IFERROR(__xludf.DUMMYFUNCTION("""COMPUTED_VALUE"""),"товари")</f>
        <v>товари</v>
      </c>
      <c r="B2356" s="16" t="str">
        <f>IFERROR(__xludf.DUMMYFUNCTION("""COMPUTED_VALUE"""),"медикаменти та медичні товари")</f>
        <v>медикаменти та медичні товари</v>
      </c>
      <c r="C2356" s="16" t="str">
        <f>IFERROR(__xludf.DUMMYFUNCTION("""COMPUTED_VALUE"""),"ортопедичні товари")</f>
        <v>ортопедичні товари</v>
      </c>
      <c r="D2356" s="16" t="str">
        <f>IFERROR(__xludf.DUMMYFUNCTION("""COMPUTED_VALUE"""),"фіксатори колінного суглоба")</f>
        <v>фіксатори колінного суглоба</v>
      </c>
      <c r="E2356" s="16" t="str">
        <f>IFERROR(__xludf.DUMMYFUNCTION("""COMPUTED_VALUE"""),"фіксатори колінного суглоба")</f>
        <v>фіксатори колінного суглоба</v>
      </c>
      <c r="F2356" s="17">
        <f>IFERROR(__xludf.DUMMYFUNCTION("""COMPUTED_VALUE"""),3.0)</f>
        <v>3</v>
      </c>
      <c r="G2356" s="17" t="str">
        <f>IFERROR(__xludf.DUMMYFUNCTION("""COMPUTED_VALUE"""),"401006")</f>
        <v>401006</v>
      </c>
      <c r="H2356" s="17" t="str">
        <f>IFERROR(__xludf.DUMMYFUNCTION("""COMPUTED_VALUE"""),"фіксатори колінного суглоба")</f>
        <v>фіксатори колінного суглоба</v>
      </c>
      <c r="I2356" s="19">
        <f>IFERROR(__xludf.DUMMYFUNCTION("""COMPUTED_VALUE"""),0.0766)</f>
        <v>0.0766</v>
      </c>
      <c r="J2356" s="19">
        <f>IFERROR(__xludf.DUMMYFUNCTION("""COMPUTED_VALUE"""),0.1531)</f>
        <v>0.1531</v>
      </c>
      <c r="K2356" s="19">
        <f>IFERROR(__xludf.DUMMYFUNCTION("""COMPUTED_VALUE"""),0.1914)</f>
        <v>0.1914</v>
      </c>
      <c r="L2356" s="19">
        <f>IFERROR(__xludf.DUMMYFUNCTION("""COMPUTED_VALUE"""),0.2297)</f>
        <v>0.2297</v>
      </c>
      <c r="M2356" s="18">
        <f>IFERROR(__xludf.DUMMYFUNCTION("""COMPUTED_VALUE"""),3.06)</f>
        <v>3.06</v>
      </c>
    </row>
    <row r="2357">
      <c r="A2357" s="13" t="str">
        <f>IFERROR(__xludf.DUMMYFUNCTION("""COMPUTED_VALUE"""),"товари")</f>
        <v>товари</v>
      </c>
      <c r="B2357" s="16" t="str">
        <f>IFERROR(__xludf.DUMMYFUNCTION("""COMPUTED_VALUE"""),"медикаменти та медичні товари")</f>
        <v>медикаменти та медичні товари</v>
      </c>
      <c r="C2357" s="16" t="str">
        <f>IFERROR(__xludf.DUMMYFUNCTION("""COMPUTED_VALUE"""),"ортопедичні товари")</f>
        <v>ортопедичні товари</v>
      </c>
      <c r="D2357" s="16" t="str">
        <f>IFERROR(__xludf.DUMMYFUNCTION("""COMPUTED_VALUE"""),"фіксатори плечового і ліктьового суглоба")</f>
        <v>фіксатори плечового і ліктьового суглоба</v>
      </c>
      <c r="E2357" s="16" t="str">
        <f>IFERROR(__xludf.DUMMYFUNCTION("""COMPUTED_VALUE"""),"фіксатори плечового і ліктьового суглоба")</f>
        <v>фіксатори плечового і ліктьового суглоба</v>
      </c>
      <c r="F2357" s="17">
        <f>IFERROR(__xludf.DUMMYFUNCTION("""COMPUTED_VALUE"""),3.0)</f>
        <v>3</v>
      </c>
      <c r="G2357" s="17" t="str">
        <f>IFERROR(__xludf.DUMMYFUNCTION("""COMPUTED_VALUE"""),"401008")</f>
        <v>401008</v>
      </c>
      <c r="H2357" s="17" t="str">
        <f>IFERROR(__xludf.DUMMYFUNCTION("""COMPUTED_VALUE"""),"фіксатори плечового і ліктьового суглоба")</f>
        <v>фіксатори плечового і ліктьового суглоба</v>
      </c>
      <c r="I2357" s="19">
        <f>IFERROR(__xludf.DUMMYFUNCTION("""COMPUTED_VALUE"""),0.0761)</f>
        <v>0.0761</v>
      </c>
      <c r="J2357" s="19">
        <f>IFERROR(__xludf.DUMMYFUNCTION("""COMPUTED_VALUE"""),0.1521)</f>
        <v>0.1521</v>
      </c>
      <c r="K2357" s="19">
        <f>IFERROR(__xludf.DUMMYFUNCTION("""COMPUTED_VALUE"""),0.1901)</f>
        <v>0.1901</v>
      </c>
      <c r="L2357" s="19">
        <f>IFERROR(__xludf.DUMMYFUNCTION("""COMPUTED_VALUE"""),0.2282)</f>
        <v>0.2282</v>
      </c>
      <c r="M2357" s="18">
        <f>IFERROR(__xludf.DUMMYFUNCTION("""COMPUTED_VALUE"""),2.7)</f>
        <v>2.7</v>
      </c>
    </row>
    <row r="2358">
      <c r="A2358" s="13" t="str">
        <f>IFERROR(__xludf.DUMMYFUNCTION("""COMPUTED_VALUE"""),"товари")</f>
        <v>товари</v>
      </c>
      <c r="B2358" s="16" t="str">
        <f>IFERROR(__xludf.DUMMYFUNCTION("""COMPUTED_VALUE"""),"медикаменти та медичні товари")</f>
        <v>медикаменти та медичні товари</v>
      </c>
      <c r="C2358" s="16" t="str">
        <f>IFERROR(__xludf.DUMMYFUNCTION("""COMPUTED_VALUE"""),"ортопедичні товари")</f>
        <v>ортопедичні товари</v>
      </c>
      <c r="D2358" s="16" t="str">
        <f>IFERROR(__xludf.DUMMYFUNCTION("""COMPUTED_VALUE"""),"фіксатори променево-зап'ясткового суглоба та пальців кисті")</f>
        <v>фіксатори променево-зап'ясткового суглоба та пальців кисті</v>
      </c>
      <c r="E2358" s="16" t="str">
        <f>IFERROR(__xludf.DUMMYFUNCTION("""COMPUTED_VALUE"""),"фіксатори променево-зап'ясткового суглоба та пальців кисті")</f>
        <v>фіксатори променево-зап'ясткового суглоба та пальців кисті</v>
      </c>
      <c r="F2358" s="17">
        <f>IFERROR(__xludf.DUMMYFUNCTION("""COMPUTED_VALUE"""),3.0)</f>
        <v>3</v>
      </c>
      <c r="G2358" s="17" t="str">
        <f>IFERROR(__xludf.DUMMYFUNCTION("""COMPUTED_VALUE"""),"401009")</f>
        <v>401009</v>
      </c>
      <c r="H2358" s="17" t="str">
        <f>IFERROR(__xludf.DUMMYFUNCTION("""COMPUTED_VALUE"""),"фіксатори променево-зап'ясткового суглоба та пальців кисті")</f>
        <v>фіксатори променево-зап'ясткового суглоба та пальців кисті</v>
      </c>
      <c r="I2358" s="19">
        <f>IFERROR(__xludf.DUMMYFUNCTION("""COMPUTED_VALUE"""),0.074)</f>
        <v>0.074</v>
      </c>
      <c r="J2358" s="19">
        <f>IFERROR(__xludf.DUMMYFUNCTION("""COMPUTED_VALUE"""),0.1479)</f>
        <v>0.1479</v>
      </c>
      <c r="K2358" s="19">
        <f>IFERROR(__xludf.DUMMYFUNCTION("""COMPUTED_VALUE"""),0.1849)</f>
        <v>0.1849</v>
      </c>
      <c r="L2358" s="19">
        <f>IFERROR(__xludf.DUMMYFUNCTION("""COMPUTED_VALUE"""),0.2219)</f>
        <v>0.2219</v>
      </c>
      <c r="M2358" s="18">
        <f>IFERROR(__xludf.DUMMYFUNCTION("""COMPUTED_VALUE"""),2.08)</f>
        <v>2.08</v>
      </c>
    </row>
    <row r="2359">
      <c r="A2359" s="13" t="str">
        <f>IFERROR(__xludf.DUMMYFUNCTION("""COMPUTED_VALUE"""),"товари")</f>
        <v>товари</v>
      </c>
      <c r="B2359" s="16" t="str">
        <f>IFERROR(__xludf.DUMMYFUNCTION("""COMPUTED_VALUE"""),"медикаменти та медичні товари")</f>
        <v>медикаменти та медичні товари</v>
      </c>
      <c r="C2359" s="16" t="str">
        <f>IFERROR(__xludf.DUMMYFUNCTION("""COMPUTED_VALUE"""),"ортопедичні товари")</f>
        <v>ортопедичні товари</v>
      </c>
      <c r="D2359" s="16" t="str">
        <f>IFERROR(__xludf.DUMMYFUNCTION("""COMPUTED_VALUE"""),"фіксатори стегна")</f>
        <v>фіксатори стегна</v>
      </c>
      <c r="E2359" s="16" t="str">
        <f>IFERROR(__xludf.DUMMYFUNCTION("""COMPUTED_VALUE"""),"фіксатори стегна")</f>
        <v>фіксатори стегна</v>
      </c>
      <c r="F2359" s="17">
        <f>IFERROR(__xludf.DUMMYFUNCTION("""COMPUTED_VALUE"""),3.0)</f>
        <v>3</v>
      </c>
      <c r="G2359" s="17" t="str">
        <f>IFERROR(__xludf.DUMMYFUNCTION("""COMPUTED_VALUE"""),"401011")</f>
        <v>401011</v>
      </c>
      <c r="H2359" s="17" t="str">
        <f>IFERROR(__xludf.DUMMYFUNCTION("""COMPUTED_VALUE"""),"фіксатори стегна")</f>
        <v>фіксатори стегна</v>
      </c>
      <c r="I2359" s="19">
        <f>IFERROR(__xludf.DUMMYFUNCTION("""COMPUTED_VALUE"""),0.0744)</f>
        <v>0.0744</v>
      </c>
      <c r="J2359" s="19">
        <f>IFERROR(__xludf.DUMMYFUNCTION("""COMPUTED_VALUE"""),0.1487)</f>
        <v>0.1487</v>
      </c>
      <c r="K2359" s="19">
        <f>IFERROR(__xludf.DUMMYFUNCTION("""COMPUTED_VALUE"""),0.1859)</f>
        <v>0.1859</v>
      </c>
      <c r="L2359" s="19">
        <f>IFERROR(__xludf.DUMMYFUNCTION("""COMPUTED_VALUE"""),0.2231)</f>
        <v>0.2231</v>
      </c>
      <c r="M2359" s="18">
        <f>IFERROR(__xludf.DUMMYFUNCTION("""COMPUTED_VALUE"""),1.8)</f>
        <v>1.8</v>
      </c>
    </row>
    <row r="2360">
      <c r="A2360" s="13" t="str">
        <f>IFERROR(__xludf.DUMMYFUNCTION("""COMPUTED_VALUE"""),"товари")</f>
        <v>товари</v>
      </c>
      <c r="B2360" s="16" t="str">
        <f>IFERROR(__xludf.DUMMYFUNCTION("""COMPUTED_VALUE"""),"медикаменти та медичні товари")</f>
        <v>медикаменти та медичні товари</v>
      </c>
      <c r="C2360" s="16" t="str">
        <f>IFERROR(__xludf.DUMMYFUNCTION("""COMPUTED_VALUE"""),"ортопедичні товари")</f>
        <v>ортопедичні товари</v>
      </c>
      <c r="D2360" s="16" t="str">
        <f>IFERROR(__xludf.DUMMYFUNCTION("""COMPUTED_VALUE"""),"фіксатори шиї")</f>
        <v>фіксатори шиї</v>
      </c>
      <c r="E2360" s="16" t="str">
        <f>IFERROR(__xludf.DUMMYFUNCTION("""COMPUTED_VALUE"""),"фіксатори шиї")</f>
        <v>фіксатори шиї</v>
      </c>
      <c r="F2360" s="17">
        <f>IFERROR(__xludf.DUMMYFUNCTION("""COMPUTED_VALUE"""),3.0)</f>
        <v>3</v>
      </c>
      <c r="G2360" s="17" t="str">
        <f>IFERROR(__xludf.DUMMYFUNCTION("""COMPUTED_VALUE"""),"401007")</f>
        <v>401007</v>
      </c>
      <c r="H2360" s="17" t="str">
        <f>IFERROR(__xludf.DUMMYFUNCTION("""COMPUTED_VALUE"""),"фіксатори шиї")</f>
        <v>фіксатори шиї</v>
      </c>
      <c r="I2360" s="19">
        <f>IFERROR(__xludf.DUMMYFUNCTION("""COMPUTED_VALUE"""),0.079)</f>
        <v>0.079</v>
      </c>
      <c r="J2360" s="19">
        <f>IFERROR(__xludf.DUMMYFUNCTION("""COMPUTED_VALUE"""),0.158)</f>
        <v>0.158</v>
      </c>
      <c r="K2360" s="19">
        <f>IFERROR(__xludf.DUMMYFUNCTION("""COMPUTED_VALUE"""),0.1975)</f>
        <v>0.1975</v>
      </c>
      <c r="L2360" s="19">
        <f>IFERROR(__xludf.DUMMYFUNCTION("""COMPUTED_VALUE"""),0.237)</f>
        <v>0.237</v>
      </c>
      <c r="M2360" s="18">
        <f>IFERROR(__xludf.DUMMYFUNCTION("""COMPUTED_VALUE"""),3.24)</f>
        <v>3.24</v>
      </c>
    </row>
    <row r="2361">
      <c r="A2361" s="13" t="str">
        <f>IFERROR(__xludf.DUMMYFUNCTION("""COMPUTED_VALUE"""),"товари")</f>
        <v>товари</v>
      </c>
      <c r="B2361" s="16" t="str">
        <f>IFERROR(__xludf.DUMMYFUNCTION("""COMPUTED_VALUE"""),"медикаменти та медичні товари")</f>
        <v>медикаменти та медичні товари</v>
      </c>
      <c r="C2361" s="16" t="str">
        <f>IFERROR(__xludf.DUMMYFUNCTION("""COMPUTED_VALUE"""),"лікарські засоби")</f>
        <v>лікарські засоби</v>
      </c>
      <c r="D2361" s="16" t="str">
        <f>IFERROR(__xludf.DUMMYFUNCTION("""COMPUTED_VALUE"""),"опорно-рухова система")</f>
        <v>опорно-рухова система</v>
      </c>
      <c r="E2361" s="16" t="str">
        <f>IFERROR(__xludf.DUMMYFUNCTION("""COMPUTED_VALUE"""),"хондропротектори")</f>
        <v>хондропротектори</v>
      </c>
      <c r="F2361" s="17">
        <f>IFERROR(__xludf.DUMMYFUNCTION("""COMPUTED_VALUE"""),4.0)</f>
        <v>4</v>
      </c>
      <c r="G2361" s="17" t="str">
        <f>IFERROR(__xludf.DUMMYFUNCTION("""COMPUTED_VALUE"""),"401228")</f>
        <v>401228</v>
      </c>
      <c r="H2361" s="17" t="str">
        <f>IFERROR(__xludf.DUMMYFUNCTION("""COMPUTED_VALUE"""),"хондропротектори")</f>
        <v>хондропротектори</v>
      </c>
      <c r="I2361" s="19">
        <f>IFERROR(__xludf.DUMMYFUNCTION("""COMPUTED_VALUE"""),0.0431)</f>
        <v>0.0431</v>
      </c>
      <c r="J2361" s="19">
        <f>IFERROR(__xludf.DUMMYFUNCTION("""COMPUTED_VALUE"""),0.0862)</f>
        <v>0.0862</v>
      </c>
      <c r="K2361" s="19">
        <f>IFERROR(__xludf.DUMMYFUNCTION("""COMPUTED_VALUE"""),0.1078)</f>
        <v>0.1078</v>
      </c>
      <c r="L2361" s="19">
        <f>IFERROR(__xludf.DUMMYFUNCTION("""COMPUTED_VALUE"""),0.1293)</f>
        <v>0.1293</v>
      </c>
      <c r="M2361" s="18">
        <f>IFERROR(__xludf.DUMMYFUNCTION("""COMPUTED_VALUE"""),1.53)</f>
        <v>1.53</v>
      </c>
    </row>
    <row r="2362">
      <c r="A2362" s="13" t="str">
        <f>IFERROR(__xludf.DUMMYFUNCTION("""COMPUTED_VALUE"""),"товари")</f>
        <v>товари</v>
      </c>
      <c r="B2362" s="16" t="str">
        <f>IFERROR(__xludf.DUMMYFUNCTION("""COMPUTED_VALUE"""),"медикаменти та медичні товари")</f>
        <v>медикаменти та медичні товари</v>
      </c>
      <c r="C2362" s="16" t="str">
        <f>IFERROR(__xludf.DUMMYFUNCTION("""COMPUTED_VALUE"""),"лікарські засоби")</f>
        <v>лікарські засоби</v>
      </c>
      <c r="D2362" s="16" t="str">
        <f>IFERROR(__xludf.DUMMYFUNCTION("""COMPUTED_VALUE"""),"травна система та обмін речовин")</f>
        <v>травна система та обмін речовин</v>
      </c>
      <c r="E2362" s="16" t="str">
        <f>IFERROR(__xludf.DUMMYFUNCTION("""COMPUTED_VALUE"""),"шлунково-кишкові препарати")</f>
        <v>шлунково-кишкові препарати</v>
      </c>
      <c r="F2362" s="17">
        <f>IFERROR(__xludf.DUMMYFUNCTION("""COMPUTED_VALUE"""),4.0)</f>
        <v>4</v>
      </c>
      <c r="G2362" s="17" t="str">
        <f>IFERROR(__xludf.DUMMYFUNCTION("""COMPUTED_VALUE"""),"160413")</f>
        <v>160413</v>
      </c>
      <c r="H2362" s="17" t="str">
        <f>IFERROR(__xludf.DUMMYFUNCTION("""COMPUTED_VALUE"""),"шлунково-кишкові препарати")</f>
        <v>шлунково-кишкові препарати</v>
      </c>
      <c r="I2362" s="19">
        <f>IFERROR(__xludf.DUMMYFUNCTION("""COMPUTED_VALUE"""),0.0439)</f>
        <v>0.0439</v>
      </c>
      <c r="J2362" s="19">
        <f>IFERROR(__xludf.DUMMYFUNCTION("""COMPUTED_VALUE"""),0.0878)</f>
        <v>0.0878</v>
      </c>
      <c r="K2362" s="19">
        <f>IFERROR(__xludf.DUMMYFUNCTION("""COMPUTED_VALUE"""),0.1098)</f>
        <v>0.1098</v>
      </c>
      <c r="L2362" s="19">
        <f>IFERROR(__xludf.DUMMYFUNCTION("""COMPUTED_VALUE"""),0.1317)</f>
        <v>0.1317</v>
      </c>
      <c r="M2362" s="18">
        <f>IFERROR(__xludf.DUMMYFUNCTION("""COMPUTED_VALUE"""),1.71)</f>
        <v>1.71</v>
      </c>
    </row>
    <row r="2363">
      <c r="A2363" s="13" t="str">
        <f>IFERROR(__xludf.DUMMYFUNCTION("""COMPUTED_VALUE"""),"товари")</f>
        <v>товари</v>
      </c>
      <c r="B2363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63" s="16" t="str">
        <f>IFERROR(__xludf.DUMMYFUNCTION("""COMPUTED_VALUE"""),"стоматологічні матеріали")</f>
        <v>стоматологічні матеріали</v>
      </c>
      <c r="D2363" s="16" t="str">
        <f>IFERROR(__xludf.DUMMYFUNCTION("""COMPUTED_VALUE"""),"адгезивні системи")</f>
        <v>адгезивні системи</v>
      </c>
      <c r="E2363" s="16" t="str">
        <f>IFERROR(__xludf.DUMMYFUNCTION("""COMPUTED_VALUE"""),"адгезивні системи")</f>
        <v>адгезивні системи</v>
      </c>
      <c r="F2363" s="17">
        <f>IFERROR(__xludf.DUMMYFUNCTION("""COMPUTED_VALUE"""),3.0)</f>
        <v>3</v>
      </c>
      <c r="G2363" s="17" t="str">
        <f>IFERROR(__xludf.DUMMYFUNCTION("""COMPUTED_VALUE"""),"161702")</f>
        <v>161702</v>
      </c>
      <c r="H2363" s="17" t="str">
        <f>IFERROR(__xludf.DUMMYFUNCTION("""COMPUTED_VALUE"""),"адгезивні системи")</f>
        <v>адгезивні системи</v>
      </c>
      <c r="I2363" s="19">
        <f>IFERROR(__xludf.DUMMYFUNCTION("""COMPUTED_VALUE"""),0.0385)</f>
        <v>0.0385</v>
      </c>
      <c r="J2363" s="19">
        <f>IFERROR(__xludf.DUMMYFUNCTION("""COMPUTED_VALUE"""),0.077)</f>
        <v>0.077</v>
      </c>
      <c r="K2363" s="19">
        <f>IFERROR(__xludf.DUMMYFUNCTION("""COMPUTED_VALUE"""),0.0963)</f>
        <v>0.0963</v>
      </c>
      <c r="L2363" s="19">
        <f>IFERROR(__xludf.DUMMYFUNCTION("""COMPUTED_VALUE"""),0.1155)</f>
        <v>0.1155</v>
      </c>
      <c r="M2363" s="18">
        <f>IFERROR(__xludf.DUMMYFUNCTION("""COMPUTED_VALUE"""),2.16)</f>
        <v>2.16</v>
      </c>
    </row>
    <row r="2364">
      <c r="A2364" s="13" t="str">
        <f>IFERROR(__xludf.DUMMYFUNCTION("""COMPUTED_VALUE"""),"товари")</f>
        <v>товари</v>
      </c>
      <c r="B2364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64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64" s="16" t="str">
        <f>IFERROR(__xludf.DUMMYFUNCTION("""COMPUTED_VALUE"""),"антибактеріальні килимки")</f>
        <v>антибактеріальні килимки</v>
      </c>
      <c r="E2364" s="16" t="str">
        <f>IFERROR(__xludf.DUMMYFUNCTION("""COMPUTED_VALUE"""),"антибактеріальні килимки")</f>
        <v>антибактеріальні килимки</v>
      </c>
      <c r="F2364" s="17">
        <f>IFERROR(__xludf.DUMMYFUNCTION("""COMPUTED_VALUE"""),3.0)</f>
        <v>3</v>
      </c>
      <c r="G2364" s="17" t="str">
        <f>IFERROR(__xludf.DUMMYFUNCTION("""COMPUTED_VALUE"""),"161316")</f>
        <v>161316</v>
      </c>
      <c r="H2364" s="17" t="str">
        <f>IFERROR(__xludf.DUMMYFUNCTION("""COMPUTED_VALUE"""),"антибактеріальні килимки")</f>
        <v>антибактеріальні килимки</v>
      </c>
      <c r="I2364" s="19">
        <f>IFERROR(__xludf.DUMMYFUNCTION("""COMPUTED_VALUE"""),0.0535)</f>
        <v>0.0535</v>
      </c>
      <c r="J2364" s="19">
        <f>IFERROR(__xludf.DUMMYFUNCTION("""COMPUTED_VALUE"""),0.1069)</f>
        <v>0.1069</v>
      </c>
      <c r="K2364" s="19">
        <f>IFERROR(__xludf.DUMMYFUNCTION("""COMPUTED_VALUE"""),0.1336)</f>
        <v>0.1336</v>
      </c>
      <c r="L2364" s="19">
        <f>IFERROR(__xludf.DUMMYFUNCTION("""COMPUTED_VALUE"""),0.1604)</f>
        <v>0.1604</v>
      </c>
      <c r="M2364" s="18">
        <f>IFERROR(__xludf.DUMMYFUNCTION("""COMPUTED_VALUE"""),3.98)</f>
        <v>3.98</v>
      </c>
    </row>
    <row r="2365">
      <c r="A2365" s="13" t="str">
        <f>IFERROR(__xludf.DUMMYFUNCTION("""COMPUTED_VALUE"""),"товари")</f>
        <v>товари</v>
      </c>
      <c r="B2365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65" s="16" t="str">
        <f>IFERROR(__xludf.DUMMYFUNCTION("""COMPUTED_VALUE"""),"медичне обладнання")</f>
        <v>медичне обладнання</v>
      </c>
      <c r="D2365" s="16" t="str">
        <f>IFERROR(__xludf.DUMMYFUNCTION("""COMPUTED_VALUE"""),"масажне обладнання")</f>
        <v>масажне обладнання</v>
      </c>
      <c r="E2365" s="16" t="str">
        <f>IFERROR(__xludf.DUMMYFUNCTION("""COMPUTED_VALUE"""),"валики для масажних столів")</f>
        <v>валики для масажних столів</v>
      </c>
      <c r="F2365" s="17">
        <f>IFERROR(__xludf.DUMMYFUNCTION("""COMPUTED_VALUE"""),4.0)</f>
        <v>4</v>
      </c>
      <c r="G2365" s="17" t="str">
        <f>IFERROR(__xludf.DUMMYFUNCTION("""COMPUTED_VALUE"""),"16111702")</f>
        <v>16111702</v>
      </c>
      <c r="H2365" s="17" t="str">
        <f>IFERROR(__xludf.DUMMYFUNCTION("""COMPUTED_VALUE"""),"валики для масажних столів")</f>
        <v>валики для масажних столів</v>
      </c>
      <c r="I2365" s="19">
        <f>IFERROR(__xludf.DUMMYFUNCTION("""COMPUTED_VALUE"""),0.0704)</f>
        <v>0.0704</v>
      </c>
      <c r="J2365" s="19">
        <f>IFERROR(__xludf.DUMMYFUNCTION("""COMPUTED_VALUE"""),0.1407)</f>
        <v>0.1407</v>
      </c>
      <c r="K2365" s="19">
        <f>IFERROR(__xludf.DUMMYFUNCTION("""COMPUTED_VALUE"""),0.1759)</f>
        <v>0.1759</v>
      </c>
      <c r="L2365" s="19">
        <f>IFERROR(__xludf.DUMMYFUNCTION("""COMPUTED_VALUE"""),0.2111)</f>
        <v>0.2111</v>
      </c>
      <c r="M2365" s="18">
        <f>IFERROR(__xludf.DUMMYFUNCTION("""COMPUTED_VALUE"""),1.71)</f>
        <v>1.71</v>
      </c>
    </row>
    <row r="2366">
      <c r="A2366" s="13" t="str">
        <f>IFERROR(__xludf.DUMMYFUNCTION("""COMPUTED_VALUE"""),"товари")</f>
        <v>товари</v>
      </c>
      <c r="B2366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66" s="16" t="str">
        <f>IFERROR(__xludf.DUMMYFUNCTION("""COMPUTED_VALUE"""),"медичне обладнання")</f>
        <v>медичне обладнання</v>
      </c>
      <c r="D2366" s="16" t="str">
        <f>IFERROR(__xludf.DUMMYFUNCTION("""COMPUTED_VALUE"""),"витратні матеріали для медичного обладнання")</f>
        <v>витратні матеріали для медичного обладнання</v>
      </c>
      <c r="E2366" s="16" t="str">
        <f>IFERROR(__xludf.DUMMYFUNCTION("""COMPUTED_VALUE"""),"витратні матеріали для діагностичного обладнання")</f>
        <v>витратні матеріали для діагностичного обладнання</v>
      </c>
      <c r="F2366" s="17">
        <f>IFERROR(__xludf.DUMMYFUNCTION("""COMPUTED_VALUE"""),4.0)</f>
        <v>4</v>
      </c>
      <c r="G2366" s="17" t="str">
        <f>IFERROR(__xludf.DUMMYFUNCTION("""COMPUTED_VALUE"""),"16111405")</f>
        <v>16111405</v>
      </c>
      <c r="H2366" s="17" t="str">
        <f>IFERROR(__xludf.DUMMYFUNCTION("""COMPUTED_VALUE"""),"витратні матеріали для діагностичного обладнання")</f>
        <v>витратні матеріали для діагностичного обладнання</v>
      </c>
      <c r="I2366" s="19">
        <f>IFERROR(__xludf.DUMMYFUNCTION("""COMPUTED_VALUE"""),0.0601)</f>
        <v>0.0601</v>
      </c>
      <c r="J2366" s="19">
        <f>IFERROR(__xludf.DUMMYFUNCTION("""COMPUTED_VALUE"""),0.1201)</f>
        <v>0.1201</v>
      </c>
      <c r="K2366" s="19">
        <f>IFERROR(__xludf.DUMMYFUNCTION("""COMPUTED_VALUE"""),0.1501)</f>
        <v>0.1501</v>
      </c>
      <c r="L2366" s="19">
        <f>IFERROR(__xludf.DUMMYFUNCTION("""COMPUTED_VALUE"""),0.1802)</f>
        <v>0.1802</v>
      </c>
      <c r="M2366" s="18">
        <f>IFERROR(__xludf.DUMMYFUNCTION("""COMPUTED_VALUE"""),2.34)</f>
        <v>2.34</v>
      </c>
    </row>
    <row r="2367">
      <c r="A2367" s="13" t="str">
        <f>IFERROR(__xludf.DUMMYFUNCTION("""COMPUTED_VALUE"""),"товари")</f>
        <v>товари</v>
      </c>
      <c r="B2367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67" s="16" t="str">
        <f>IFERROR(__xludf.DUMMYFUNCTION("""COMPUTED_VALUE"""),"медичне обладнання")</f>
        <v>медичне обладнання</v>
      </c>
      <c r="D2367" s="16" t="str">
        <f>IFERROR(__xludf.DUMMYFUNCTION("""COMPUTED_VALUE"""),"витратні матеріали для медичного обладнання")</f>
        <v>витратні матеріали для медичного обладнання</v>
      </c>
      <c r="E2367" s="16" t="str">
        <f>IFERROR(__xludf.DUMMYFUNCTION("""COMPUTED_VALUE"""),"витратні матеріали для кардіологічного обладнання")</f>
        <v>витратні матеріали для кардіологічного обладнання</v>
      </c>
      <c r="F2367" s="17">
        <f>IFERROR(__xludf.DUMMYFUNCTION("""COMPUTED_VALUE"""),4.0)</f>
        <v>4</v>
      </c>
      <c r="G2367" s="17" t="str">
        <f>IFERROR(__xludf.DUMMYFUNCTION("""COMPUTED_VALUE"""),"16110906")</f>
        <v>16110906</v>
      </c>
      <c r="H2367" s="17" t="str">
        <f>IFERROR(__xludf.DUMMYFUNCTION("""COMPUTED_VALUE"""),"витратні матеріали для кардіологічного обладнання")</f>
        <v>витратні матеріали для кардіологічного обладнання</v>
      </c>
      <c r="I2367" s="19">
        <f>IFERROR(__xludf.DUMMYFUNCTION("""COMPUTED_VALUE"""),0.0466)</f>
        <v>0.0466</v>
      </c>
      <c r="J2367" s="19">
        <f>IFERROR(__xludf.DUMMYFUNCTION("""COMPUTED_VALUE"""),0.0931)</f>
        <v>0.0931</v>
      </c>
      <c r="K2367" s="19">
        <f>IFERROR(__xludf.DUMMYFUNCTION("""COMPUTED_VALUE"""),0.1164)</f>
        <v>0.1164</v>
      </c>
      <c r="L2367" s="19">
        <f>IFERROR(__xludf.DUMMYFUNCTION("""COMPUTED_VALUE"""),0.1397)</f>
        <v>0.1397</v>
      </c>
      <c r="M2367" s="18">
        <f>IFERROR(__xludf.DUMMYFUNCTION("""COMPUTED_VALUE"""),2.34)</f>
        <v>2.34</v>
      </c>
    </row>
    <row r="2368">
      <c r="A2368" s="13" t="str">
        <f>IFERROR(__xludf.DUMMYFUNCTION("""COMPUTED_VALUE"""),"товари")</f>
        <v>товари</v>
      </c>
      <c r="B2368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68" s="16" t="str">
        <f>IFERROR(__xludf.DUMMYFUNCTION("""COMPUTED_VALUE"""),"медичне обладнання")</f>
        <v>медичне обладнання</v>
      </c>
      <c r="D2368" s="16" t="str">
        <f>IFERROR(__xludf.DUMMYFUNCTION("""COMPUTED_VALUE"""),"витратні матеріали для медичного обладнання")</f>
        <v>витратні матеріали для медичного обладнання</v>
      </c>
      <c r="E2368" s="16" t="str">
        <f>IFERROR(__xludf.DUMMYFUNCTION("""COMPUTED_VALUE"""),"витратні матеріали для медичного устаткування, загальне")</f>
        <v>витратні матеріали для медичного устаткування, загальне</v>
      </c>
      <c r="F2368" s="17">
        <f>IFERROR(__xludf.DUMMYFUNCTION("""COMPUTED_VALUE"""),4.0)</f>
        <v>4</v>
      </c>
      <c r="G2368" s="17" t="str">
        <f>IFERROR(__xludf.DUMMYFUNCTION("""COMPUTED_VALUE"""),"16130801")</f>
        <v>16130801</v>
      </c>
      <c r="H2368" s="17" t="str">
        <f>IFERROR(__xludf.DUMMYFUNCTION("""COMPUTED_VALUE"""),"витратні матеріали для медичного устаткування, загальне")</f>
        <v>витратні матеріали для медичного устаткування, загальне</v>
      </c>
      <c r="I2368" s="19">
        <f>IFERROR(__xludf.DUMMYFUNCTION("""COMPUTED_VALUE"""),0.125)</f>
        <v>0.125</v>
      </c>
      <c r="J2368" s="19">
        <f>IFERROR(__xludf.DUMMYFUNCTION("""COMPUTED_VALUE"""),0.25)</f>
        <v>0.25</v>
      </c>
      <c r="K2368" s="19">
        <f>IFERROR(__xludf.DUMMYFUNCTION("""COMPUTED_VALUE"""),0.3125)</f>
        <v>0.3125</v>
      </c>
      <c r="L2368" s="19">
        <f>IFERROR(__xludf.DUMMYFUNCTION("""COMPUTED_VALUE"""),0.375)</f>
        <v>0.375</v>
      </c>
      <c r="M2368" s="18">
        <f>IFERROR(__xludf.DUMMYFUNCTION("""COMPUTED_VALUE"""),4.33)</f>
        <v>4.33</v>
      </c>
    </row>
    <row r="2369">
      <c r="A2369" s="13" t="str">
        <f>IFERROR(__xludf.DUMMYFUNCTION("""COMPUTED_VALUE"""),"товари")</f>
        <v>товари</v>
      </c>
      <c r="B2369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69" s="16" t="str">
        <f>IFERROR(__xludf.DUMMYFUNCTION("""COMPUTED_VALUE"""),"стоматологічні матеріали")</f>
        <v>стоматологічні матеріали</v>
      </c>
      <c r="D2369" s="16" t="str">
        <f>IFERROR(__xludf.DUMMYFUNCTION("""COMPUTED_VALUE"""),"відбиткові матеріали")</f>
        <v>відбиткові матеріали</v>
      </c>
      <c r="E2369" s="16" t="str">
        <f>IFERROR(__xludf.DUMMYFUNCTION("""COMPUTED_VALUE"""),"відбиткові матеріали")</f>
        <v>відбиткові матеріали</v>
      </c>
      <c r="F2369" s="17">
        <f>IFERROR(__xludf.DUMMYFUNCTION("""COMPUTED_VALUE"""),3.0)</f>
        <v>3</v>
      </c>
      <c r="G2369" s="17" t="str">
        <f>IFERROR(__xludf.DUMMYFUNCTION("""COMPUTED_VALUE"""),"161708")</f>
        <v>161708</v>
      </c>
      <c r="H2369" s="17" t="str">
        <f>IFERROR(__xludf.DUMMYFUNCTION("""COMPUTED_VALUE"""),"відбиткові матеріали")</f>
        <v>відбиткові матеріали</v>
      </c>
      <c r="I2369" s="19">
        <f>IFERROR(__xludf.DUMMYFUNCTION("""COMPUTED_VALUE"""),0.0385)</f>
        <v>0.0385</v>
      </c>
      <c r="J2369" s="19">
        <f>IFERROR(__xludf.DUMMYFUNCTION("""COMPUTED_VALUE"""),0.077)</f>
        <v>0.077</v>
      </c>
      <c r="K2369" s="19">
        <f>IFERROR(__xludf.DUMMYFUNCTION("""COMPUTED_VALUE"""),0.0963)</f>
        <v>0.0963</v>
      </c>
      <c r="L2369" s="19">
        <f>IFERROR(__xludf.DUMMYFUNCTION("""COMPUTED_VALUE"""),0.1155)</f>
        <v>0.1155</v>
      </c>
      <c r="M2369" s="18">
        <f>IFERROR(__xludf.DUMMYFUNCTION("""COMPUTED_VALUE"""),2.25)</f>
        <v>2.25</v>
      </c>
    </row>
    <row r="2370">
      <c r="A2370" s="13" t="str">
        <f>IFERROR(__xludf.DUMMYFUNCTION("""COMPUTED_VALUE"""),"товари")</f>
        <v>товари</v>
      </c>
      <c r="B2370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0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70" s="16" t="str">
        <f>IFERROR(__xludf.DUMMYFUNCTION("""COMPUTED_VALUE"""),"гінекологічні приналежності")</f>
        <v>гінекологічні приналежності</v>
      </c>
      <c r="E2370" s="16" t="str">
        <f>IFERROR(__xludf.DUMMYFUNCTION("""COMPUTED_VALUE"""),"гінекологічні приналежності")</f>
        <v>гінекологічні приналежності</v>
      </c>
      <c r="F2370" s="17">
        <f>IFERROR(__xludf.DUMMYFUNCTION("""COMPUTED_VALUE"""),3.0)</f>
        <v>3</v>
      </c>
      <c r="G2370" s="17" t="str">
        <f>IFERROR(__xludf.DUMMYFUNCTION("""COMPUTED_VALUE"""),"161309")</f>
        <v>161309</v>
      </c>
      <c r="H2370" s="17" t="str">
        <f>IFERROR(__xludf.DUMMYFUNCTION("""COMPUTED_VALUE"""),"гінекологічні приналежності")</f>
        <v>гінекологічні приналежності</v>
      </c>
      <c r="I2370" s="19">
        <f>IFERROR(__xludf.DUMMYFUNCTION("""COMPUTED_VALUE"""),0.0678)</f>
        <v>0.0678</v>
      </c>
      <c r="J2370" s="19">
        <f>IFERROR(__xludf.DUMMYFUNCTION("""COMPUTED_VALUE"""),0.1355)</f>
        <v>0.1355</v>
      </c>
      <c r="K2370" s="19">
        <f>IFERROR(__xludf.DUMMYFUNCTION("""COMPUTED_VALUE"""),0.1694)</f>
        <v>0.1694</v>
      </c>
      <c r="L2370" s="19">
        <f>IFERROR(__xludf.DUMMYFUNCTION("""COMPUTED_VALUE"""),0.2033)</f>
        <v>0.2033</v>
      </c>
      <c r="M2370" s="18">
        <f>IFERROR(__xludf.DUMMYFUNCTION("""COMPUTED_VALUE"""),2.53)</f>
        <v>2.53</v>
      </c>
    </row>
    <row r="2371">
      <c r="A2371" s="13" t="str">
        <f>IFERROR(__xludf.DUMMYFUNCTION("""COMPUTED_VALUE"""),"товари")</f>
        <v>товари</v>
      </c>
      <c r="B2371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1" s="16" t="str">
        <f>IFERROR(__xludf.DUMMYFUNCTION("""COMPUTED_VALUE"""),"медичне обладнання")</f>
        <v>медичне обладнання</v>
      </c>
      <c r="D2371" s="16" t="str">
        <f>IFERROR(__xludf.DUMMYFUNCTION("""COMPUTED_VALUE"""),"гістологічне обладнання")</f>
        <v>гістологічне обладнання</v>
      </c>
      <c r="E2371" s="16" t="str">
        <f>IFERROR(__xludf.DUMMYFUNCTION("""COMPUTED_VALUE"""),"гістологічне обладнання")</f>
        <v>гістологічне обладнання</v>
      </c>
      <c r="F2371" s="17">
        <f>IFERROR(__xludf.DUMMYFUNCTION("""COMPUTED_VALUE"""),3.0)</f>
        <v>3</v>
      </c>
      <c r="G2371" s="17" t="str">
        <f>IFERROR(__xludf.DUMMYFUNCTION("""COMPUTED_VALUE"""),"161122")</f>
        <v>161122</v>
      </c>
      <c r="H2371" s="17" t="str">
        <f>IFERROR(__xludf.DUMMYFUNCTION("""COMPUTED_VALUE"""),"гістологічне обладнання")</f>
        <v>гістологічне обладнання</v>
      </c>
      <c r="I2371" s="19">
        <f>IFERROR(__xludf.DUMMYFUNCTION("""COMPUTED_VALUE"""),0.033)</f>
        <v>0.033</v>
      </c>
      <c r="J2371" s="19">
        <f>IFERROR(__xludf.DUMMYFUNCTION("""COMPUTED_VALUE"""),0.066)</f>
        <v>0.066</v>
      </c>
      <c r="K2371" s="19">
        <f>IFERROR(__xludf.DUMMYFUNCTION("""COMPUTED_VALUE"""),0.0825)</f>
        <v>0.0825</v>
      </c>
      <c r="L2371" s="19">
        <f>IFERROR(__xludf.DUMMYFUNCTION("""COMPUTED_VALUE"""),0.099)</f>
        <v>0.099</v>
      </c>
      <c r="M2371" s="18">
        <f>IFERROR(__xludf.DUMMYFUNCTION("""COMPUTED_VALUE"""),1.05)</f>
        <v>1.05</v>
      </c>
    </row>
    <row r="2372">
      <c r="A2372" s="13" t="str">
        <f>IFERROR(__xludf.DUMMYFUNCTION("""COMPUTED_VALUE"""),"товари")</f>
        <v>товари</v>
      </c>
      <c r="B2372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2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72" s="16" t="str">
        <f>IFERROR(__xludf.DUMMYFUNCTION("""COMPUTED_VALUE"""),"дренажі медичні")</f>
        <v>дренажі медичні</v>
      </c>
      <c r="E2372" s="16" t="str">
        <f>IFERROR(__xludf.DUMMYFUNCTION("""COMPUTED_VALUE"""),"дренажі медичні")</f>
        <v>дренажі медичні</v>
      </c>
      <c r="F2372" s="17">
        <f>IFERROR(__xludf.DUMMYFUNCTION("""COMPUTED_VALUE"""),3.0)</f>
        <v>3</v>
      </c>
      <c r="G2372" s="17" t="str">
        <f>IFERROR(__xludf.DUMMYFUNCTION("""COMPUTED_VALUE"""),"161202")</f>
        <v>161202</v>
      </c>
      <c r="H2372" s="17" t="str">
        <f>IFERROR(__xludf.DUMMYFUNCTION("""COMPUTED_VALUE"""),"дренажі медичні")</f>
        <v>дренажі медичні</v>
      </c>
      <c r="I2372" s="19">
        <f>IFERROR(__xludf.DUMMYFUNCTION("""COMPUTED_VALUE"""),0.0385)</f>
        <v>0.0385</v>
      </c>
      <c r="J2372" s="19">
        <f>IFERROR(__xludf.DUMMYFUNCTION("""COMPUTED_VALUE"""),0.077)</f>
        <v>0.077</v>
      </c>
      <c r="K2372" s="19">
        <f>IFERROR(__xludf.DUMMYFUNCTION("""COMPUTED_VALUE"""),0.0963)</f>
        <v>0.0963</v>
      </c>
      <c r="L2372" s="19">
        <f>IFERROR(__xludf.DUMMYFUNCTION("""COMPUTED_VALUE"""),0.1155)</f>
        <v>0.1155</v>
      </c>
      <c r="M2372" s="18">
        <f>IFERROR(__xludf.DUMMYFUNCTION("""COMPUTED_VALUE"""),1.44)</f>
        <v>1.44</v>
      </c>
    </row>
    <row r="2373">
      <c r="A2373" s="13" t="str">
        <f>IFERROR(__xludf.DUMMYFUNCTION("""COMPUTED_VALUE"""),"товари")</f>
        <v>товари</v>
      </c>
      <c r="B2373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3" s="16" t="str">
        <f>IFERROR(__xludf.DUMMYFUNCTION("""COMPUTED_VALUE"""),"стоматологічні матеріали")</f>
        <v>стоматологічні матеріали</v>
      </c>
      <c r="D2373" s="16" t="str">
        <f>IFERROR(__xludf.DUMMYFUNCTION("""COMPUTED_VALUE"""),"ендодонтичні матеріали")</f>
        <v>ендодонтичні матеріали</v>
      </c>
      <c r="E2373" s="16" t="str">
        <f>IFERROR(__xludf.DUMMYFUNCTION("""COMPUTED_VALUE"""),"ендодонтичні матеріали")</f>
        <v>ендодонтичні матеріали</v>
      </c>
      <c r="F2373" s="17">
        <f>IFERROR(__xludf.DUMMYFUNCTION("""COMPUTED_VALUE"""),3.0)</f>
        <v>3</v>
      </c>
      <c r="G2373" s="17" t="str">
        <f>IFERROR(__xludf.DUMMYFUNCTION("""COMPUTED_VALUE"""),"161710")</f>
        <v>161710</v>
      </c>
      <c r="H2373" s="17" t="str">
        <f>IFERROR(__xludf.DUMMYFUNCTION("""COMPUTED_VALUE"""),"ендодонтичні матеріали")</f>
        <v>ендодонтичні матеріали</v>
      </c>
      <c r="I2373" s="19">
        <f>IFERROR(__xludf.DUMMYFUNCTION("""COMPUTED_VALUE"""),0.0385)</f>
        <v>0.0385</v>
      </c>
      <c r="J2373" s="19">
        <f>IFERROR(__xludf.DUMMYFUNCTION("""COMPUTED_VALUE"""),0.077)</f>
        <v>0.077</v>
      </c>
      <c r="K2373" s="19">
        <f>IFERROR(__xludf.DUMMYFUNCTION("""COMPUTED_VALUE"""),0.0963)</f>
        <v>0.0963</v>
      </c>
      <c r="L2373" s="19">
        <f>IFERROR(__xludf.DUMMYFUNCTION("""COMPUTED_VALUE"""),0.1155)</f>
        <v>0.1155</v>
      </c>
      <c r="M2373" s="18">
        <f>IFERROR(__xludf.DUMMYFUNCTION("""COMPUTED_VALUE"""),2.79)</f>
        <v>2.79</v>
      </c>
    </row>
    <row r="2374">
      <c r="A2374" s="13" t="str">
        <f>IFERROR(__xludf.DUMMYFUNCTION("""COMPUTED_VALUE"""),"товари")</f>
        <v>товари</v>
      </c>
      <c r="B2374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4" s="16" t="str">
        <f>IFERROR(__xludf.DUMMYFUNCTION("""COMPUTED_VALUE"""),"стоматологічні матеріали")</f>
        <v>стоматологічні матеріали</v>
      </c>
      <c r="D2374" s="16" t="str">
        <f>IFERROR(__xludf.DUMMYFUNCTION("""COMPUTED_VALUE"""),"змінні вініри для зубів")</f>
        <v>змінні вініри для зубів</v>
      </c>
      <c r="E2374" s="16" t="str">
        <f>IFERROR(__xludf.DUMMYFUNCTION("""COMPUTED_VALUE"""),"змінні вініри для зубів")</f>
        <v>змінні вініри для зубів</v>
      </c>
      <c r="F2374" s="17">
        <f>IFERROR(__xludf.DUMMYFUNCTION("""COMPUTED_VALUE"""),3.0)</f>
        <v>3</v>
      </c>
      <c r="G2374" s="17" t="str">
        <f>IFERROR(__xludf.DUMMYFUNCTION("""COMPUTED_VALUE"""),"161711")</f>
        <v>161711</v>
      </c>
      <c r="H2374" s="17" t="str">
        <f>IFERROR(__xludf.DUMMYFUNCTION("""COMPUTED_VALUE"""),"змінні вініри для зубів")</f>
        <v>змінні вініри для зубів</v>
      </c>
      <c r="I2374" s="19">
        <f>IFERROR(__xludf.DUMMYFUNCTION("""COMPUTED_VALUE"""),0.0775)</f>
        <v>0.0775</v>
      </c>
      <c r="J2374" s="19">
        <f>IFERROR(__xludf.DUMMYFUNCTION("""COMPUTED_VALUE"""),0.1549)</f>
        <v>0.1549</v>
      </c>
      <c r="K2374" s="19">
        <f>IFERROR(__xludf.DUMMYFUNCTION("""COMPUTED_VALUE"""),0.1936)</f>
        <v>0.1936</v>
      </c>
      <c r="L2374" s="19">
        <f>IFERROR(__xludf.DUMMYFUNCTION("""COMPUTED_VALUE"""),0.2324)</f>
        <v>0.2324</v>
      </c>
      <c r="M2374" s="18">
        <f>IFERROR(__xludf.DUMMYFUNCTION("""COMPUTED_VALUE"""),1.05)</f>
        <v>1.05</v>
      </c>
    </row>
    <row r="2375">
      <c r="A2375" s="13" t="str">
        <f>IFERROR(__xludf.DUMMYFUNCTION("""COMPUTED_VALUE"""),"товари")</f>
        <v>товари</v>
      </c>
      <c r="B2375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5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75" s="16" t="str">
        <f>IFERROR(__xludf.DUMMYFUNCTION("""COMPUTED_VALUE"""),"зонди і катетери")</f>
        <v>зонди і катетери</v>
      </c>
      <c r="E2375" s="16" t="str">
        <f>IFERROR(__xludf.DUMMYFUNCTION("""COMPUTED_VALUE"""),"зонди і катетери")</f>
        <v>зонди і катетери</v>
      </c>
      <c r="F2375" s="17">
        <f>IFERROR(__xludf.DUMMYFUNCTION("""COMPUTED_VALUE"""),3.0)</f>
        <v>3</v>
      </c>
      <c r="G2375" s="17" t="str">
        <f>IFERROR(__xludf.DUMMYFUNCTION("""COMPUTED_VALUE"""),"161203")</f>
        <v>161203</v>
      </c>
      <c r="H2375" s="17" t="str">
        <f>IFERROR(__xludf.DUMMYFUNCTION("""COMPUTED_VALUE"""),"зонди і катетери")</f>
        <v>зонди і катетери</v>
      </c>
      <c r="I2375" s="19">
        <f>IFERROR(__xludf.DUMMYFUNCTION("""COMPUTED_VALUE"""),0.0678)</f>
        <v>0.0678</v>
      </c>
      <c r="J2375" s="19">
        <f>IFERROR(__xludf.DUMMYFUNCTION("""COMPUTED_VALUE"""),0.1355)</f>
        <v>0.1355</v>
      </c>
      <c r="K2375" s="19">
        <f>IFERROR(__xludf.DUMMYFUNCTION("""COMPUTED_VALUE"""),0.1694)</f>
        <v>0.1694</v>
      </c>
      <c r="L2375" s="19">
        <f>IFERROR(__xludf.DUMMYFUNCTION("""COMPUTED_VALUE"""),0.2033)</f>
        <v>0.2033</v>
      </c>
      <c r="M2375" s="18">
        <f>IFERROR(__xludf.DUMMYFUNCTION("""COMPUTED_VALUE"""),2.53)</f>
        <v>2.53</v>
      </c>
    </row>
    <row r="2376">
      <c r="A2376" s="13" t="str">
        <f>IFERROR(__xludf.DUMMYFUNCTION("""COMPUTED_VALUE"""),"товари")</f>
        <v>товари</v>
      </c>
      <c r="B2376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6" s="16" t="str">
        <f>IFERROR(__xludf.DUMMYFUNCTION("""COMPUTED_VALUE"""),"медичне обладнання")</f>
        <v>медичне обладнання</v>
      </c>
      <c r="D2376" s="16" t="str">
        <f>IFERROR(__xludf.DUMMYFUNCTION("""COMPUTED_VALUE"""),"фізіотерапевтичне обладнання")</f>
        <v>фізіотерапевтичне обладнання</v>
      </c>
      <c r="E2376" s="16" t="str">
        <f>IFERROR(__xludf.DUMMYFUNCTION("""COMPUTED_VALUE"""),"інгалятори")</f>
        <v>інгалятори</v>
      </c>
      <c r="F2376" s="17">
        <f>IFERROR(__xludf.DUMMYFUNCTION("""COMPUTED_VALUE"""),4.0)</f>
        <v>4</v>
      </c>
      <c r="G2376" s="17" t="str">
        <f>IFERROR(__xludf.DUMMYFUNCTION("""COMPUTED_VALUE"""),"16110405")</f>
        <v>16110405</v>
      </c>
      <c r="H2376" s="17" t="str">
        <f>IFERROR(__xludf.DUMMYFUNCTION("""COMPUTED_VALUE"""),"інгалятори")</f>
        <v>інгалятори</v>
      </c>
      <c r="I2376" s="19">
        <f>IFERROR(__xludf.DUMMYFUNCTION("""COMPUTED_VALUE"""),0.0678)</f>
        <v>0.0678</v>
      </c>
      <c r="J2376" s="19">
        <f>IFERROR(__xludf.DUMMYFUNCTION("""COMPUTED_VALUE"""),0.1356)</f>
        <v>0.1356</v>
      </c>
      <c r="K2376" s="19">
        <f>IFERROR(__xludf.DUMMYFUNCTION("""COMPUTED_VALUE"""),0.1695)</f>
        <v>0.1695</v>
      </c>
      <c r="L2376" s="19">
        <f>IFERROR(__xludf.DUMMYFUNCTION("""COMPUTED_VALUE"""),0.2034)</f>
        <v>0.2034</v>
      </c>
      <c r="M2376" s="18">
        <f>IFERROR(__xludf.DUMMYFUNCTION("""COMPUTED_VALUE"""),4.41)</f>
        <v>4.41</v>
      </c>
    </row>
    <row r="2377">
      <c r="A2377" s="13" t="str">
        <f>IFERROR(__xludf.DUMMYFUNCTION("""COMPUTED_VALUE"""),"товари")</f>
        <v>товари</v>
      </c>
      <c r="B2377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7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77" s="16" t="str">
        <f>IFERROR(__xludf.DUMMYFUNCTION("""COMPUTED_VALUE"""),"кало-, сечоприймачі")</f>
        <v>кало-, сечоприймачі</v>
      </c>
      <c r="E2377" s="16" t="str">
        <f>IFERROR(__xludf.DUMMYFUNCTION("""COMPUTED_VALUE"""),"кало-, сечоприймачі")</f>
        <v>кало-, сечоприймачі</v>
      </c>
      <c r="F2377" s="17">
        <f>IFERROR(__xludf.DUMMYFUNCTION("""COMPUTED_VALUE"""),3.0)</f>
        <v>3</v>
      </c>
      <c r="G2377" s="17" t="str">
        <f>IFERROR(__xludf.DUMMYFUNCTION("""COMPUTED_VALUE"""),"161219")</f>
        <v>161219</v>
      </c>
      <c r="H2377" s="17" t="str">
        <f>IFERROR(__xludf.DUMMYFUNCTION("""COMPUTED_VALUE"""),"кало-, сечоприймачі")</f>
        <v>кало-, сечоприймачі</v>
      </c>
      <c r="I2377" s="19">
        <f>IFERROR(__xludf.DUMMYFUNCTION("""COMPUTED_VALUE"""),0.0678)</f>
        <v>0.0678</v>
      </c>
      <c r="J2377" s="19">
        <f>IFERROR(__xludf.DUMMYFUNCTION("""COMPUTED_VALUE"""),0.1355)</f>
        <v>0.1355</v>
      </c>
      <c r="K2377" s="19">
        <f>IFERROR(__xludf.DUMMYFUNCTION("""COMPUTED_VALUE"""),0.1694)</f>
        <v>0.1694</v>
      </c>
      <c r="L2377" s="19">
        <f>IFERROR(__xludf.DUMMYFUNCTION("""COMPUTED_VALUE"""),0.2033)</f>
        <v>0.2033</v>
      </c>
      <c r="M2377" s="18">
        <f>IFERROR(__xludf.DUMMYFUNCTION("""COMPUTED_VALUE"""),2.16)</f>
        <v>2.16</v>
      </c>
    </row>
    <row r="2378">
      <c r="A2378" s="13" t="str">
        <f>IFERROR(__xludf.DUMMYFUNCTION("""COMPUTED_VALUE"""),"товари")</f>
        <v>товари</v>
      </c>
      <c r="B2378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8" s="16" t="str">
        <f>IFERROR(__xludf.DUMMYFUNCTION("""COMPUTED_VALUE"""),"медичне обладнання")</f>
        <v>медичне обладнання</v>
      </c>
      <c r="D2378" s="16" t="str">
        <f>IFERROR(__xludf.DUMMYFUNCTION("""COMPUTED_VALUE"""),"кисневе медичне обладнання")</f>
        <v>кисневе медичне обладнання</v>
      </c>
      <c r="E2378" s="16" t="str">
        <f>IFERROR(__xludf.DUMMYFUNCTION("""COMPUTED_VALUE"""),"кисневі балончики")</f>
        <v>кисневі балончики</v>
      </c>
      <c r="F2378" s="17">
        <f>IFERROR(__xludf.DUMMYFUNCTION("""COMPUTED_VALUE"""),4.0)</f>
        <v>4</v>
      </c>
      <c r="G2378" s="17" t="str">
        <f>IFERROR(__xludf.DUMMYFUNCTION("""COMPUTED_VALUE"""),"16112303")</f>
        <v>16112303</v>
      </c>
      <c r="H2378" s="17" t="str">
        <f>IFERROR(__xludf.DUMMYFUNCTION("""COMPUTED_VALUE"""),"кисневі балончики")</f>
        <v>кисневі балончики</v>
      </c>
      <c r="I2378" s="19">
        <f>IFERROR(__xludf.DUMMYFUNCTION("""COMPUTED_VALUE"""),0.0485)</f>
        <v>0.0485</v>
      </c>
      <c r="J2378" s="19">
        <f>IFERROR(__xludf.DUMMYFUNCTION("""COMPUTED_VALUE"""),0.097)</f>
        <v>0.097</v>
      </c>
      <c r="K2378" s="19">
        <f>IFERROR(__xludf.DUMMYFUNCTION("""COMPUTED_VALUE"""),0.1213)</f>
        <v>0.1213</v>
      </c>
      <c r="L2378" s="19">
        <f>IFERROR(__xludf.DUMMYFUNCTION("""COMPUTED_VALUE"""),0.1455)</f>
        <v>0.1455</v>
      </c>
      <c r="M2378" s="18">
        <f>IFERROR(__xludf.DUMMYFUNCTION("""COMPUTED_VALUE"""),5.4)</f>
        <v>5.4</v>
      </c>
    </row>
    <row r="2379">
      <c r="A2379" s="13" t="str">
        <f>IFERROR(__xludf.DUMMYFUNCTION("""COMPUTED_VALUE"""),"товари")</f>
        <v>товари</v>
      </c>
      <c r="B2379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79" s="16" t="str">
        <f>IFERROR(__xludf.DUMMYFUNCTION("""COMPUTED_VALUE"""),"медичне обладнання")</f>
        <v>медичне обладнання</v>
      </c>
      <c r="D2379" s="16" t="str">
        <f>IFERROR(__xludf.DUMMYFUNCTION("""COMPUTED_VALUE"""),"кисневе медичне обладнання")</f>
        <v>кисневе медичне обладнання</v>
      </c>
      <c r="E2379" s="16" t="str">
        <f>IFERROR(__xludf.DUMMYFUNCTION("""COMPUTED_VALUE"""),"кисневі коктейлери і міксери")</f>
        <v>кисневі коктейлери і міксери</v>
      </c>
      <c r="F2379" s="17">
        <f>IFERROR(__xludf.DUMMYFUNCTION("""COMPUTED_VALUE"""),4.0)</f>
        <v>4</v>
      </c>
      <c r="G2379" s="17" t="str">
        <f>IFERROR(__xludf.DUMMYFUNCTION("""COMPUTED_VALUE"""),"16112301")</f>
        <v>16112301</v>
      </c>
      <c r="H2379" s="17" t="str">
        <f>IFERROR(__xludf.DUMMYFUNCTION("""COMPUTED_VALUE"""),"кисневі коктейлери і міксери")</f>
        <v>кисневі коктейлери і міксери</v>
      </c>
      <c r="I2379" s="19">
        <f>IFERROR(__xludf.DUMMYFUNCTION("""COMPUTED_VALUE"""),0.0485)</f>
        <v>0.0485</v>
      </c>
      <c r="J2379" s="19">
        <f>IFERROR(__xludf.DUMMYFUNCTION("""COMPUTED_VALUE"""),0.097)</f>
        <v>0.097</v>
      </c>
      <c r="K2379" s="19">
        <f>IFERROR(__xludf.DUMMYFUNCTION("""COMPUTED_VALUE"""),0.1213)</f>
        <v>0.1213</v>
      </c>
      <c r="L2379" s="19">
        <f>IFERROR(__xludf.DUMMYFUNCTION("""COMPUTED_VALUE"""),0.1455)</f>
        <v>0.1455</v>
      </c>
      <c r="M2379" s="18">
        <f>IFERROR(__xludf.DUMMYFUNCTION("""COMPUTED_VALUE"""),5.4)</f>
        <v>5.4</v>
      </c>
    </row>
    <row r="2380">
      <c r="A2380" s="13" t="str">
        <f>IFERROR(__xludf.DUMMYFUNCTION("""COMPUTED_VALUE"""),"товари")</f>
        <v>товари</v>
      </c>
      <c r="B2380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0" s="16" t="str">
        <f>IFERROR(__xludf.DUMMYFUNCTION("""COMPUTED_VALUE"""),"стоматологічні матеріали")</f>
        <v>стоматологічні матеріали</v>
      </c>
      <c r="D2380" s="16" t="str">
        <f>IFERROR(__xludf.DUMMYFUNCTION("""COMPUTED_VALUE"""),"комплектуючі та елементи зубних протезів")</f>
        <v>комплектуючі та елементи зубних протезів</v>
      </c>
      <c r="E2380" s="16" t="str">
        <f>IFERROR(__xludf.DUMMYFUNCTION("""COMPUTED_VALUE"""),"комплектуючі та елементи зубних протезів")</f>
        <v>комплектуючі та елементи зубних протезів</v>
      </c>
      <c r="F2380" s="17">
        <f>IFERROR(__xludf.DUMMYFUNCTION("""COMPUTED_VALUE"""),3.0)</f>
        <v>3</v>
      </c>
      <c r="G2380" s="17" t="str">
        <f>IFERROR(__xludf.DUMMYFUNCTION("""COMPUTED_VALUE"""),"161709")</f>
        <v>161709</v>
      </c>
      <c r="H2380" s="17" t="str">
        <f>IFERROR(__xludf.DUMMYFUNCTION("""COMPUTED_VALUE"""),"комплектуючі та елементи зубних протезів")</f>
        <v>комплектуючі та елементи зубних протезів</v>
      </c>
      <c r="I2380" s="19">
        <f>IFERROR(__xludf.DUMMYFUNCTION("""COMPUTED_VALUE"""),0.0385)</f>
        <v>0.0385</v>
      </c>
      <c r="J2380" s="19">
        <f>IFERROR(__xludf.DUMMYFUNCTION("""COMPUTED_VALUE"""),0.077)</f>
        <v>0.077</v>
      </c>
      <c r="K2380" s="19">
        <f>IFERROR(__xludf.DUMMYFUNCTION("""COMPUTED_VALUE"""),0.0963)</f>
        <v>0.0963</v>
      </c>
      <c r="L2380" s="19">
        <f>IFERROR(__xludf.DUMMYFUNCTION("""COMPUTED_VALUE"""),0.1155)</f>
        <v>0.1155</v>
      </c>
      <c r="M2380" s="18">
        <f>IFERROR(__xludf.DUMMYFUNCTION("""COMPUTED_VALUE"""),2.25)</f>
        <v>2.25</v>
      </c>
    </row>
    <row r="2381">
      <c r="A2381" s="13" t="str">
        <f>IFERROR(__xludf.DUMMYFUNCTION("""COMPUTED_VALUE"""),"товари")</f>
        <v>товари</v>
      </c>
      <c r="B2381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1" s="16" t="str">
        <f>IFERROR(__xludf.DUMMYFUNCTION("""COMPUTED_VALUE"""),"стоматологічні матеріали")</f>
        <v>стоматологічні матеріали</v>
      </c>
      <c r="D2381" s="16" t="str">
        <f>IFERROR(__xludf.DUMMYFUNCTION("""COMPUTED_VALUE"""),"композитні стоматологічні матеріали")</f>
        <v>композитні стоматологічні матеріали</v>
      </c>
      <c r="E2381" s="16" t="str">
        <f>IFERROR(__xludf.DUMMYFUNCTION("""COMPUTED_VALUE"""),"композитні стоматологічні матеріали")</f>
        <v>композитні стоматологічні матеріали</v>
      </c>
      <c r="F2381" s="17">
        <f>IFERROR(__xludf.DUMMYFUNCTION("""COMPUTED_VALUE"""),3.0)</f>
        <v>3</v>
      </c>
      <c r="G2381" s="17" t="str">
        <f>IFERROR(__xludf.DUMMYFUNCTION("""COMPUTED_VALUE"""),"161704")</f>
        <v>161704</v>
      </c>
      <c r="H2381" s="17" t="str">
        <f>IFERROR(__xludf.DUMMYFUNCTION("""COMPUTED_VALUE"""),"композитні стоматологічні матеріали")</f>
        <v>композитні стоматологічні матеріали</v>
      </c>
      <c r="I2381" s="19">
        <f>IFERROR(__xludf.DUMMYFUNCTION("""COMPUTED_VALUE"""),0.0678)</f>
        <v>0.0678</v>
      </c>
      <c r="J2381" s="19">
        <f>IFERROR(__xludf.DUMMYFUNCTION("""COMPUTED_VALUE"""),0.1355)</f>
        <v>0.1355</v>
      </c>
      <c r="K2381" s="19">
        <f>IFERROR(__xludf.DUMMYFUNCTION("""COMPUTED_VALUE"""),0.1694)</f>
        <v>0.1694</v>
      </c>
      <c r="L2381" s="19">
        <f>IFERROR(__xludf.DUMMYFUNCTION("""COMPUTED_VALUE"""),0.2033)</f>
        <v>0.2033</v>
      </c>
      <c r="M2381" s="18">
        <f>IFERROR(__xludf.DUMMYFUNCTION("""COMPUTED_VALUE"""),2.79)</f>
        <v>2.79</v>
      </c>
    </row>
    <row r="2382">
      <c r="A2382" s="13" t="str">
        <f>IFERROR(__xludf.DUMMYFUNCTION("""COMPUTED_VALUE"""),"товари")</f>
        <v>товари</v>
      </c>
      <c r="B2382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2" s="16" t="str">
        <f>IFERROR(__xludf.DUMMYFUNCTION("""COMPUTED_VALUE"""),"стоматологічні матеріали")</f>
        <v>стоматологічні матеріали</v>
      </c>
      <c r="D2382" s="16" t="str">
        <f>IFERROR(__xludf.DUMMYFUNCTION("""COMPUTED_VALUE"""),"лікувальні стоматологічні матеріали")</f>
        <v>лікувальні стоматологічні матеріали</v>
      </c>
      <c r="E2382" s="16" t="str">
        <f>IFERROR(__xludf.DUMMYFUNCTION("""COMPUTED_VALUE"""),"лікувальні стоматологічні матеріали")</f>
        <v>лікувальні стоматологічні матеріали</v>
      </c>
      <c r="F2382" s="17">
        <f>IFERROR(__xludf.DUMMYFUNCTION("""COMPUTED_VALUE"""),3.0)</f>
        <v>3</v>
      </c>
      <c r="G2382" s="17" t="str">
        <f>IFERROR(__xludf.DUMMYFUNCTION("""COMPUTED_VALUE"""),"161706")</f>
        <v>161706</v>
      </c>
      <c r="H2382" s="17" t="str">
        <f>IFERROR(__xludf.DUMMYFUNCTION("""COMPUTED_VALUE"""),"лікувальні стоматологічні матеріали")</f>
        <v>лікувальні стоматологічні матеріали</v>
      </c>
      <c r="I2382" s="19">
        <f>IFERROR(__xludf.DUMMYFUNCTION("""COMPUTED_VALUE"""),0.0648)</f>
        <v>0.0648</v>
      </c>
      <c r="J2382" s="19">
        <f>IFERROR(__xludf.DUMMYFUNCTION("""COMPUTED_VALUE"""),0.1296)</f>
        <v>0.1296</v>
      </c>
      <c r="K2382" s="19">
        <f>IFERROR(__xludf.DUMMYFUNCTION("""COMPUTED_VALUE"""),0.162)</f>
        <v>0.162</v>
      </c>
      <c r="L2382" s="19">
        <f>IFERROR(__xludf.DUMMYFUNCTION("""COMPUTED_VALUE"""),0.1944)</f>
        <v>0.1944</v>
      </c>
      <c r="M2382" s="18">
        <f>IFERROR(__xludf.DUMMYFUNCTION("""COMPUTED_VALUE"""),1.8)</f>
        <v>1.8</v>
      </c>
    </row>
    <row r="2383">
      <c r="A2383" s="13" t="str">
        <f>IFERROR(__xludf.DUMMYFUNCTION("""COMPUTED_VALUE"""),"товари")</f>
        <v>товари</v>
      </c>
      <c r="B2383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3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3" s="16" t="str">
        <f>IFERROR(__xludf.DUMMYFUNCTION("""COMPUTED_VALUE"""),"лотки медичні")</f>
        <v>лотки медичні</v>
      </c>
      <c r="E2383" s="16" t="str">
        <f>IFERROR(__xludf.DUMMYFUNCTION("""COMPUTED_VALUE"""),"лотки медичні")</f>
        <v>лотки медичні</v>
      </c>
      <c r="F2383" s="17">
        <f>IFERROR(__xludf.DUMMYFUNCTION("""COMPUTED_VALUE"""),3.0)</f>
        <v>3</v>
      </c>
      <c r="G2383" s="17" t="str">
        <f>IFERROR(__xludf.DUMMYFUNCTION("""COMPUTED_VALUE"""),"161206")</f>
        <v>161206</v>
      </c>
      <c r="H2383" s="17" t="str">
        <f>IFERROR(__xludf.DUMMYFUNCTION("""COMPUTED_VALUE"""),"лотки медичні")</f>
        <v>лотки медичні</v>
      </c>
      <c r="I2383" s="19">
        <f>IFERROR(__xludf.DUMMYFUNCTION("""COMPUTED_VALUE"""),0.0447)</f>
        <v>0.0447</v>
      </c>
      <c r="J2383" s="19">
        <f>IFERROR(__xludf.DUMMYFUNCTION("""COMPUTED_VALUE"""),0.0893)</f>
        <v>0.0893</v>
      </c>
      <c r="K2383" s="19">
        <f>IFERROR(__xludf.DUMMYFUNCTION("""COMPUTED_VALUE"""),0.1116)</f>
        <v>0.1116</v>
      </c>
      <c r="L2383" s="19">
        <f>IFERROR(__xludf.DUMMYFUNCTION("""COMPUTED_VALUE"""),0.134)</f>
        <v>0.134</v>
      </c>
      <c r="M2383" s="18">
        <f>IFERROR(__xludf.DUMMYFUNCTION("""COMPUTED_VALUE"""),5.25)</f>
        <v>5.25</v>
      </c>
    </row>
    <row r="2384">
      <c r="A2384" s="13" t="str">
        <f>IFERROR(__xludf.DUMMYFUNCTION("""COMPUTED_VALUE"""),"товари")</f>
        <v>товари</v>
      </c>
      <c r="B2384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4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4" s="16" t="str">
        <f>IFERROR(__xludf.DUMMYFUNCTION("""COMPUTED_VALUE"""),"м'який медичний інвентар")</f>
        <v>м'який медичний інвентар</v>
      </c>
      <c r="E2384" s="16" t="str">
        <f>IFERROR(__xludf.DUMMYFUNCTION("""COMPUTED_VALUE"""),"м'який медичний інвентар")</f>
        <v>м'який медичний інвентар</v>
      </c>
      <c r="F2384" s="17">
        <f>IFERROR(__xludf.DUMMYFUNCTION("""COMPUTED_VALUE"""),3.0)</f>
        <v>3</v>
      </c>
      <c r="G2384" s="17" t="str">
        <f>IFERROR(__xludf.DUMMYFUNCTION("""COMPUTED_VALUE"""),"161207")</f>
        <v>161207</v>
      </c>
      <c r="H2384" s="17" t="str">
        <f>IFERROR(__xludf.DUMMYFUNCTION("""COMPUTED_VALUE"""),"м'який медичний інвентар")</f>
        <v>м'який медичний інвентар</v>
      </c>
      <c r="I2384" s="19">
        <f>IFERROR(__xludf.DUMMYFUNCTION("""COMPUTED_VALUE"""),0.0447)</f>
        <v>0.0447</v>
      </c>
      <c r="J2384" s="19">
        <f>IFERROR(__xludf.DUMMYFUNCTION("""COMPUTED_VALUE"""),0.0893)</f>
        <v>0.0893</v>
      </c>
      <c r="K2384" s="19">
        <f>IFERROR(__xludf.DUMMYFUNCTION("""COMPUTED_VALUE"""),0.1116)</f>
        <v>0.1116</v>
      </c>
      <c r="L2384" s="19">
        <f>IFERROR(__xludf.DUMMYFUNCTION("""COMPUTED_VALUE"""),0.134)</f>
        <v>0.134</v>
      </c>
      <c r="M2384" s="18">
        <f>IFERROR(__xludf.DUMMYFUNCTION("""COMPUTED_VALUE"""),1.05)</f>
        <v>1.05</v>
      </c>
    </row>
    <row r="2385">
      <c r="A2385" s="13" t="str">
        <f>IFERROR(__xludf.DUMMYFUNCTION("""COMPUTED_VALUE"""),"товари")</f>
        <v>товари</v>
      </c>
      <c r="B2385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5" s="16" t="str">
        <f>IFERROR(__xludf.DUMMYFUNCTION("""COMPUTED_VALUE"""),"медичне обладнання")</f>
        <v>медичне обладнання</v>
      </c>
      <c r="D2385" s="16" t="str">
        <f>IFERROR(__xludf.DUMMYFUNCTION("""COMPUTED_VALUE"""),"лабораторне обладнання")</f>
        <v>лабораторне обладнання</v>
      </c>
      <c r="E2385" s="16" t="str">
        <f>IFERROR(__xludf.DUMMYFUNCTION("""COMPUTED_VALUE"""),"магнітні мішалки")</f>
        <v>магнітні мішалки</v>
      </c>
      <c r="F2385" s="17">
        <f>IFERROR(__xludf.DUMMYFUNCTION("""COMPUTED_VALUE"""),4.0)</f>
        <v>4</v>
      </c>
      <c r="G2385" s="17">
        <f>IFERROR(__xludf.DUMMYFUNCTION("""COMPUTED_VALUE"""),82618.0)</f>
        <v>82618</v>
      </c>
      <c r="H2385" s="17" t="str">
        <f>IFERROR(__xludf.DUMMYFUNCTION("""COMPUTED_VALUE"""),"магнітні мішалки")</f>
        <v>магнітні мішалки</v>
      </c>
      <c r="I2385" s="19">
        <f>IFERROR(__xludf.DUMMYFUNCTION("""COMPUTED_VALUE"""),0.0648)</f>
        <v>0.0648</v>
      </c>
      <c r="J2385" s="19">
        <f>IFERROR(__xludf.DUMMYFUNCTION("""COMPUTED_VALUE"""),0.1296)</f>
        <v>0.1296</v>
      </c>
      <c r="K2385" s="19">
        <f>IFERROR(__xludf.DUMMYFUNCTION("""COMPUTED_VALUE"""),0.162)</f>
        <v>0.162</v>
      </c>
      <c r="L2385" s="19">
        <f>IFERROR(__xludf.DUMMYFUNCTION("""COMPUTED_VALUE"""),0.1944)</f>
        <v>0.1944</v>
      </c>
      <c r="M2385" s="18">
        <f>IFERROR(__xludf.DUMMYFUNCTION("""COMPUTED_VALUE"""),3.6)</f>
        <v>3.6</v>
      </c>
    </row>
    <row r="2386">
      <c r="A2386" s="13" t="str">
        <f>IFERROR(__xludf.DUMMYFUNCTION("""COMPUTED_VALUE"""),"товари")</f>
        <v>товари</v>
      </c>
      <c r="B2386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6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6" s="16" t="str">
        <f>IFERROR(__xludf.DUMMYFUNCTION("""COMPUTED_VALUE"""),"медичні витратні матеріали")</f>
        <v>медичні витратні матеріали</v>
      </c>
      <c r="E2386" s="16" t="str">
        <f>IFERROR(__xludf.DUMMYFUNCTION("""COMPUTED_VALUE"""),"медична вата ")</f>
        <v>медична вата </v>
      </c>
      <c r="F2386" s="17">
        <f>IFERROR(__xludf.DUMMYFUNCTION("""COMPUTED_VALUE"""),4.0)</f>
        <v>4</v>
      </c>
      <c r="G2386" s="17" t="str">
        <f>IFERROR(__xludf.DUMMYFUNCTION("""COMPUTED_VALUE"""),"16131301")</f>
        <v>16131301</v>
      </c>
      <c r="H2386" s="17" t="str">
        <f>IFERROR(__xludf.DUMMYFUNCTION("""COMPUTED_VALUE"""),"медична вата ")</f>
        <v>медична вата </v>
      </c>
      <c r="I2386" s="19">
        <f>IFERROR(__xludf.DUMMYFUNCTION("""COMPUTED_VALUE"""),0.0744)</f>
        <v>0.0744</v>
      </c>
      <c r="J2386" s="19">
        <f>IFERROR(__xludf.DUMMYFUNCTION("""COMPUTED_VALUE"""),0.1488)</f>
        <v>0.1488</v>
      </c>
      <c r="K2386" s="19">
        <f>IFERROR(__xludf.DUMMYFUNCTION("""COMPUTED_VALUE"""),0.186)</f>
        <v>0.186</v>
      </c>
      <c r="L2386" s="19">
        <f>IFERROR(__xludf.DUMMYFUNCTION("""COMPUTED_VALUE"""),0.2232)</f>
        <v>0.2232</v>
      </c>
      <c r="M2386" s="18">
        <f>IFERROR(__xludf.DUMMYFUNCTION("""COMPUTED_VALUE"""),3.43)</f>
        <v>3.43</v>
      </c>
    </row>
    <row r="2387">
      <c r="A2387" s="13" t="str">
        <f>IFERROR(__xludf.DUMMYFUNCTION("""COMPUTED_VALUE"""),"товари")</f>
        <v>товари</v>
      </c>
      <c r="B2387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7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7" s="16" t="str">
        <f>IFERROR(__xludf.DUMMYFUNCTION("""COMPUTED_VALUE"""),"медичні витратні матеріали")</f>
        <v>медичні витратні матеріали</v>
      </c>
      <c r="E2387" s="16" t="str">
        <f>IFERROR(__xludf.DUMMYFUNCTION("""COMPUTED_VALUE"""),"медична марля ")</f>
        <v>медична марля </v>
      </c>
      <c r="F2387" s="17">
        <f>IFERROR(__xludf.DUMMYFUNCTION("""COMPUTED_VALUE"""),4.0)</f>
        <v>4</v>
      </c>
      <c r="G2387" s="17" t="str">
        <f>IFERROR(__xludf.DUMMYFUNCTION("""COMPUTED_VALUE"""),"16131303")</f>
        <v>16131303</v>
      </c>
      <c r="H2387" s="17" t="str">
        <f>IFERROR(__xludf.DUMMYFUNCTION("""COMPUTED_VALUE"""),"медична марля ")</f>
        <v>медична марля </v>
      </c>
      <c r="I2387" s="19">
        <f>IFERROR(__xludf.DUMMYFUNCTION("""COMPUTED_VALUE"""),0.0744)</f>
        <v>0.0744</v>
      </c>
      <c r="J2387" s="19">
        <f>IFERROR(__xludf.DUMMYFUNCTION("""COMPUTED_VALUE"""),0.1488)</f>
        <v>0.1488</v>
      </c>
      <c r="K2387" s="19">
        <f>IFERROR(__xludf.DUMMYFUNCTION("""COMPUTED_VALUE"""),0.186)</f>
        <v>0.186</v>
      </c>
      <c r="L2387" s="19">
        <f>IFERROR(__xludf.DUMMYFUNCTION("""COMPUTED_VALUE"""),0.2232)</f>
        <v>0.2232</v>
      </c>
      <c r="M2387" s="18">
        <f>IFERROR(__xludf.DUMMYFUNCTION("""COMPUTED_VALUE"""),3.43)</f>
        <v>3.43</v>
      </c>
    </row>
    <row r="2388">
      <c r="A2388" s="13" t="str">
        <f>IFERROR(__xludf.DUMMYFUNCTION("""COMPUTED_VALUE"""),"товари")</f>
        <v>товари</v>
      </c>
      <c r="B2388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8" s="16" t="str">
        <f>IFERROR(__xludf.DUMMYFUNCTION("""COMPUTED_VALUE"""),"медичне обладнання")</f>
        <v>медичне обладнання</v>
      </c>
      <c r="D2388" s="16" t="str">
        <f>IFERROR(__xludf.DUMMYFUNCTION("""COMPUTED_VALUE"""),"медичне обладнання, загальне")</f>
        <v>медичне обладнання, загальне</v>
      </c>
      <c r="E2388" s="16" t="str">
        <f>IFERROR(__xludf.DUMMYFUNCTION("""COMPUTED_VALUE"""),"медичне обладнання, загальне")</f>
        <v>медичне обладнання, загальне</v>
      </c>
      <c r="F2388" s="17">
        <f>IFERROR(__xludf.DUMMYFUNCTION("""COMPUTED_VALUE"""),3.0)</f>
        <v>3</v>
      </c>
      <c r="G2388" s="17" t="str">
        <f>IFERROR(__xludf.DUMMYFUNCTION("""COMPUTED_VALUE"""),"161105")</f>
        <v>161105</v>
      </c>
      <c r="H2388" s="17" t="str">
        <f>IFERROR(__xludf.DUMMYFUNCTION("""COMPUTED_VALUE"""),"медичне обладнання, загальне")</f>
        <v>медичне обладнання, загальне</v>
      </c>
      <c r="I2388" s="19">
        <f>IFERROR(__xludf.DUMMYFUNCTION("""COMPUTED_VALUE"""),0.125)</f>
        <v>0.125</v>
      </c>
      <c r="J2388" s="19">
        <f>IFERROR(__xludf.DUMMYFUNCTION("""COMPUTED_VALUE"""),0.25)</f>
        <v>0.25</v>
      </c>
      <c r="K2388" s="19">
        <f>IFERROR(__xludf.DUMMYFUNCTION("""COMPUTED_VALUE"""),0.3125)</f>
        <v>0.3125</v>
      </c>
      <c r="L2388" s="19">
        <f>IFERROR(__xludf.DUMMYFUNCTION("""COMPUTED_VALUE"""),0.375)</f>
        <v>0.375</v>
      </c>
      <c r="M2388" s="18">
        <f>IFERROR(__xludf.DUMMYFUNCTION("""COMPUTED_VALUE"""),4.33)</f>
        <v>4.33</v>
      </c>
    </row>
    <row r="2389">
      <c r="A2389" s="13" t="str">
        <f>IFERROR(__xludf.DUMMYFUNCTION("""COMPUTED_VALUE"""),"товари")</f>
        <v>товари</v>
      </c>
      <c r="B2389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89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9" s="16" t="str">
        <f>IFERROR(__xludf.DUMMYFUNCTION("""COMPUTED_VALUE"""),"медичне приладдя, загальне")</f>
        <v>медичне приладдя, загальне</v>
      </c>
      <c r="E2389" s="16" t="str">
        <f>IFERROR(__xludf.DUMMYFUNCTION("""COMPUTED_VALUE"""),"медичне приладдя, загальне")</f>
        <v>медичне приладдя, загальне</v>
      </c>
      <c r="F2389" s="17">
        <f>IFERROR(__xludf.DUMMYFUNCTION("""COMPUTED_VALUE"""),3.0)</f>
        <v>3</v>
      </c>
      <c r="G2389" s="17" t="str">
        <f>IFERROR(__xludf.DUMMYFUNCTION("""COMPUTED_VALUE"""),"161303")</f>
        <v>161303</v>
      </c>
      <c r="H2389" s="17" t="str">
        <f>IFERROR(__xludf.DUMMYFUNCTION("""COMPUTED_VALUE"""),"медичне приладдя, загальне")</f>
        <v>медичне приладдя, загальне</v>
      </c>
      <c r="I2389" s="19">
        <f>IFERROR(__xludf.DUMMYFUNCTION("""COMPUTED_VALUE"""),0.125)</f>
        <v>0.125</v>
      </c>
      <c r="J2389" s="19">
        <f>IFERROR(__xludf.DUMMYFUNCTION("""COMPUTED_VALUE"""),0.25)</f>
        <v>0.25</v>
      </c>
      <c r="K2389" s="19">
        <f>IFERROR(__xludf.DUMMYFUNCTION("""COMPUTED_VALUE"""),0.3125)</f>
        <v>0.3125</v>
      </c>
      <c r="L2389" s="19">
        <f>IFERROR(__xludf.DUMMYFUNCTION("""COMPUTED_VALUE"""),0.375)</f>
        <v>0.375</v>
      </c>
      <c r="M2389" s="18">
        <f>IFERROR(__xludf.DUMMYFUNCTION("""COMPUTED_VALUE"""),4.33)</f>
        <v>4.33</v>
      </c>
    </row>
    <row r="2390">
      <c r="A2390" s="13" t="str">
        <f>IFERROR(__xludf.DUMMYFUNCTION("""COMPUTED_VALUE"""),"товари")</f>
        <v>товари</v>
      </c>
      <c r="B2390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0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0" s="16" t="str">
        <f>IFERROR(__xludf.DUMMYFUNCTION("""COMPUTED_VALUE"""),"медичні витратні матеріали")</f>
        <v>медичні витратні матеріали</v>
      </c>
      <c r="E2390" s="16" t="str">
        <f>IFERROR(__xludf.DUMMYFUNCTION("""COMPUTED_VALUE"""),"медичні бинти ")</f>
        <v>медичні бинти </v>
      </c>
      <c r="F2390" s="17">
        <f>IFERROR(__xludf.DUMMYFUNCTION("""COMPUTED_VALUE"""),4.0)</f>
        <v>4</v>
      </c>
      <c r="G2390" s="17" t="str">
        <f>IFERROR(__xludf.DUMMYFUNCTION("""COMPUTED_VALUE"""),"161302")</f>
        <v>161302</v>
      </c>
      <c r="H2390" s="17" t="str">
        <f>IFERROR(__xludf.DUMMYFUNCTION("""COMPUTED_VALUE"""),"медичні бинти ")</f>
        <v>медичні бинти </v>
      </c>
      <c r="I2390" s="19">
        <f>IFERROR(__xludf.DUMMYFUNCTION("""COMPUTED_VALUE"""),0.0744)</f>
        <v>0.0744</v>
      </c>
      <c r="J2390" s="19">
        <f>IFERROR(__xludf.DUMMYFUNCTION("""COMPUTED_VALUE"""),0.1488)</f>
        <v>0.1488</v>
      </c>
      <c r="K2390" s="19">
        <f>IFERROR(__xludf.DUMMYFUNCTION("""COMPUTED_VALUE"""),0.186)</f>
        <v>0.186</v>
      </c>
      <c r="L2390" s="19">
        <f>IFERROR(__xludf.DUMMYFUNCTION("""COMPUTED_VALUE"""),0.2232)</f>
        <v>0.2232</v>
      </c>
      <c r="M2390" s="18">
        <f>IFERROR(__xludf.DUMMYFUNCTION("""COMPUTED_VALUE"""),3.43)</f>
        <v>3.43</v>
      </c>
    </row>
    <row r="2391">
      <c r="A2391" s="13" t="str">
        <f>IFERROR(__xludf.DUMMYFUNCTION("""COMPUTED_VALUE"""),"товари")</f>
        <v>товари</v>
      </c>
      <c r="B2391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1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1" s="16" t="str">
        <f>IFERROR(__xludf.DUMMYFUNCTION("""COMPUTED_VALUE"""),"медичні витратні матеріали")</f>
        <v>медичні витратні матеріали</v>
      </c>
      <c r="E2391" s="16" t="str">
        <f>IFERROR(__xludf.DUMMYFUNCTION("""COMPUTED_VALUE"""),"медичні витратні матеріали, загальне")</f>
        <v>медичні витратні матеріали, загальне</v>
      </c>
      <c r="F2391" s="17">
        <f>IFERROR(__xludf.DUMMYFUNCTION("""COMPUTED_VALUE"""),4.0)</f>
        <v>4</v>
      </c>
      <c r="G2391" s="17" t="str">
        <f>IFERROR(__xludf.DUMMYFUNCTION("""COMPUTED_VALUE"""),"16131304")</f>
        <v>16131304</v>
      </c>
      <c r="H2391" s="17" t="str">
        <f>IFERROR(__xludf.DUMMYFUNCTION("""COMPUTED_VALUE"""),"медичні витратні матеріали, загальне")</f>
        <v>медичні витратні матеріали, загальне</v>
      </c>
      <c r="I2391" s="19">
        <f>IFERROR(__xludf.DUMMYFUNCTION("""COMPUTED_VALUE"""),0.125)</f>
        <v>0.125</v>
      </c>
      <c r="J2391" s="19">
        <f>IFERROR(__xludf.DUMMYFUNCTION("""COMPUTED_VALUE"""),0.25)</f>
        <v>0.25</v>
      </c>
      <c r="K2391" s="19">
        <f>IFERROR(__xludf.DUMMYFUNCTION("""COMPUTED_VALUE"""),0.3125)</f>
        <v>0.3125</v>
      </c>
      <c r="L2391" s="19">
        <f>IFERROR(__xludf.DUMMYFUNCTION("""COMPUTED_VALUE"""),0.375)</f>
        <v>0.375</v>
      </c>
      <c r="M2391" s="18">
        <f>IFERROR(__xludf.DUMMYFUNCTION("""COMPUTED_VALUE"""),4.33)</f>
        <v>4.33</v>
      </c>
    </row>
    <row r="2392">
      <c r="A2392" s="13" t="str">
        <f>IFERROR(__xludf.DUMMYFUNCTION("""COMPUTED_VALUE"""),"товари")</f>
        <v>товари</v>
      </c>
      <c r="B2392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2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2" s="16" t="str">
        <f>IFERROR(__xludf.DUMMYFUNCTION("""COMPUTED_VALUE"""),"медичні дезінфікуючі засоби")</f>
        <v>медичні дезінфікуючі засоби</v>
      </c>
      <c r="E2392" s="16" t="str">
        <f>IFERROR(__xludf.DUMMYFUNCTION("""COMPUTED_VALUE"""),"медичні дезінфікуючі засоби")</f>
        <v>медичні дезінфікуючі засоби</v>
      </c>
      <c r="F2392" s="17">
        <f>IFERROR(__xludf.DUMMYFUNCTION("""COMPUTED_VALUE"""),3.0)</f>
        <v>3</v>
      </c>
      <c r="G2392" s="17" t="str">
        <f>IFERROR(__xludf.DUMMYFUNCTION("""COMPUTED_VALUE"""),"161317")</f>
        <v>161317</v>
      </c>
      <c r="H2392" s="17" t="str">
        <f>IFERROR(__xludf.DUMMYFUNCTION("""COMPUTED_VALUE"""),"медичні дезінфікуючі засоби")</f>
        <v>медичні дезінфікуючі засоби</v>
      </c>
      <c r="I2392" s="19">
        <f>IFERROR(__xludf.DUMMYFUNCTION("""COMPUTED_VALUE"""),0.0763)</f>
        <v>0.0763</v>
      </c>
      <c r="J2392" s="19">
        <f>IFERROR(__xludf.DUMMYFUNCTION("""COMPUTED_VALUE"""),0.1525)</f>
        <v>0.1525</v>
      </c>
      <c r="K2392" s="19">
        <f>IFERROR(__xludf.DUMMYFUNCTION("""COMPUTED_VALUE"""),0.1906)</f>
        <v>0.1906</v>
      </c>
      <c r="L2392" s="19">
        <f>IFERROR(__xludf.DUMMYFUNCTION("""COMPUTED_VALUE"""),0.2288)</f>
        <v>0.2288</v>
      </c>
      <c r="M2392" s="18">
        <f>IFERROR(__xludf.DUMMYFUNCTION("""COMPUTED_VALUE"""),4.2)</f>
        <v>4.2</v>
      </c>
    </row>
    <row r="2393">
      <c r="A2393" s="13" t="str">
        <f>IFERROR(__xludf.DUMMYFUNCTION("""COMPUTED_VALUE"""),"товари")</f>
        <v>товари</v>
      </c>
      <c r="B2393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3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3" s="16" t="str">
        <f>IFERROR(__xludf.DUMMYFUNCTION("""COMPUTED_VALUE"""),"медичні джгути")</f>
        <v>медичні джгути</v>
      </c>
      <c r="E2393" s="16" t="str">
        <f>IFERROR(__xludf.DUMMYFUNCTION("""COMPUTED_VALUE"""),"медичні джгути")</f>
        <v>медичні джгути</v>
      </c>
      <c r="F2393" s="17">
        <f>IFERROR(__xludf.DUMMYFUNCTION("""COMPUTED_VALUE"""),3.0)</f>
        <v>3</v>
      </c>
      <c r="G2393" s="17" t="str">
        <f>IFERROR(__xludf.DUMMYFUNCTION("""COMPUTED_VALUE"""),"801205")</f>
        <v>801205</v>
      </c>
      <c r="H2393" s="17" t="str">
        <f>IFERROR(__xludf.DUMMYFUNCTION("""COMPUTED_VALUE"""),"медичні джгути")</f>
        <v>медичні джгути</v>
      </c>
      <c r="I2393" s="19">
        <f>IFERROR(__xludf.DUMMYFUNCTION("""COMPUTED_VALUE"""),0.0447)</f>
        <v>0.0447</v>
      </c>
      <c r="J2393" s="19">
        <f>IFERROR(__xludf.DUMMYFUNCTION("""COMPUTED_VALUE"""),0.0893)</f>
        <v>0.0893</v>
      </c>
      <c r="K2393" s="19">
        <f>IFERROR(__xludf.DUMMYFUNCTION("""COMPUTED_VALUE"""),0.1116)</f>
        <v>0.1116</v>
      </c>
      <c r="L2393" s="19">
        <f>IFERROR(__xludf.DUMMYFUNCTION("""COMPUTED_VALUE"""),0.134)</f>
        <v>0.134</v>
      </c>
      <c r="M2393" s="18">
        <f>IFERROR(__xludf.DUMMYFUNCTION("""COMPUTED_VALUE"""),1.98)</f>
        <v>1.98</v>
      </c>
    </row>
    <row r="2394">
      <c r="A2394" s="13" t="str">
        <f>IFERROR(__xludf.DUMMYFUNCTION("""COMPUTED_VALUE"""),"товари")</f>
        <v>товари</v>
      </c>
      <c r="B2394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4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4" s="16" t="str">
        <f>IFERROR(__xludf.DUMMYFUNCTION("""COMPUTED_VALUE"""),"медичні імпланти")</f>
        <v>медичні імпланти</v>
      </c>
      <c r="E2394" s="16" t="str">
        <f>IFERROR(__xludf.DUMMYFUNCTION("""COMPUTED_VALUE"""),"медичні імпланти")</f>
        <v>медичні імпланти</v>
      </c>
      <c r="F2394" s="17">
        <f>IFERROR(__xludf.DUMMYFUNCTION("""COMPUTED_VALUE"""),3.0)</f>
        <v>3</v>
      </c>
      <c r="G2394" s="17" t="str">
        <f>IFERROR(__xludf.DUMMYFUNCTION("""COMPUTED_VALUE"""),"4008")</f>
        <v>4008</v>
      </c>
      <c r="H2394" s="17" t="str">
        <f>IFERROR(__xludf.DUMMYFUNCTION("""COMPUTED_VALUE"""),"медичні імпланти")</f>
        <v>медичні імпланти</v>
      </c>
      <c r="I2394" s="19">
        <f>IFERROR(__xludf.DUMMYFUNCTION("""COMPUTED_VALUE"""),0.0662)</f>
        <v>0.0662</v>
      </c>
      <c r="J2394" s="19">
        <f>IFERROR(__xludf.DUMMYFUNCTION("""COMPUTED_VALUE"""),0.1324)</f>
        <v>0.1324</v>
      </c>
      <c r="K2394" s="19">
        <f>IFERROR(__xludf.DUMMYFUNCTION("""COMPUTED_VALUE"""),0.1655)</f>
        <v>0.1655</v>
      </c>
      <c r="L2394" s="19">
        <f>IFERROR(__xludf.DUMMYFUNCTION("""COMPUTED_VALUE"""),0.1986)</f>
        <v>0.1986</v>
      </c>
      <c r="M2394" s="18">
        <f>IFERROR(__xludf.DUMMYFUNCTION("""COMPUTED_VALUE"""),3.43)</f>
        <v>3.43</v>
      </c>
    </row>
    <row r="2395">
      <c r="A2395" s="13" t="str">
        <f>IFERROR(__xludf.DUMMYFUNCTION("""COMPUTED_VALUE"""),"товари")</f>
        <v>товари</v>
      </c>
      <c r="B2395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5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5" s="16" t="str">
        <f>IFERROR(__xludf.DUMMYFUNCTION("""COMPUTED_VALUE"""),"медичні інструменти для огляду")</f>
        <v>медичні інструменти для огляду</v>
      </c>
      <c r="E2395" s="16" t="str">
        <f>IFERROR(__xludf.DUMMYFUNCTION("""COMPUTED_VALUE"""),"медичні інструменти для огляду")</f>
        <v>медичні інструменти для огляду</v>
      </c>
      <c r="F2395" s="17">
        <f>IFERROR(__xludf.DUMMYFUNCTION("""COMPUTED_VALUE"""),3.0)</f>
        <v>3</v>
      </c>
      <c r="G2395" s="17" t="str">
        <f>IFERROR(__xludf.DUMMYFUNCTION("""COMPUTED_VALUE"""),"161212")</f>
        <v>161212</v>
      </c>
      <c r="H2395" s="17" t="str">
        <f>IFERROR(__xludf.DUMMYFUNCTION("""COMPUTED_VALUE"""),"медичні інструменти для огляду")</f>
        <v>медичні інструменти для огляду</v>
      </c>
      <c r="I2395" s="19">
        <f>IFERROR(__xludf.DUMMYFUNCTION("""COMPUTED_VALUE"""),0.0385)</f>
        <v>0.0385</v>
      </c>
      <c r="J2395" s="19">
        <f>IFERROR(__xludf.DUMMYFUNCTION("""COMPUTED_VALUE"""),0.077)</f>
        <v>0.077</v>
      </c>
      <c r="K2395" s="19">
        <f>IFERROR(__xludf.DUMMYFUNCTION("""COMPUTED_VALUE"""),0.0963)</f>
        <v>0.0963</v>
      </c>
      <c r="L2395" s="19">
        <f>IFERROR(__xludf.DUMMYFUNCTION("""COMPUTED_VALUE"""),0.1155)</f>
        <v>0.1155</v>
      </c>
      <c r="M2395" s="18">
        <f>IFERROR(__xludf.DUMMYFUNCTION("""COMPUTED_VALUE"""),2.25)</f>
        <v>2.25</v>
      </c>
    </row>
    <row r="2396">
      <c r="A2396" s="13" t="str">
        <f>IFERROR(__xludf.DUMMYFUNCTION("""COMPUTED_VALUE"""),"товари")</f>
        <v>товари</v>
      </c>
      <c r="B2396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6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6" s="16" t="str">
        <f>IFERROR(__xludf.DUMMYFUNCTION("""COMPUTED_VALUE"""),"медичні маски і респіратори")</f>
        <v>медичні маски і респіратори</v>
      </c>
      <c r="E2396" s="16" t="str">
        <f>IFERROR(__xludf.DUMMYFUNCTION("""COMPUTED_VALUE"""),"медичні маски і респіратори")</f>
        <v>медичні маски і респіратори</v>
      </c>
      <c r="F2396" s="17">
        <f>IFERROR(__xludf.DUMMYFUNCTION("""COMPUTED_VALUE"""),3.0)</f>
        <v>3</v>
      </c>
      <c r="G2396" s="17" t="str">
        <f>IFERROR(__xludf.DUMMYFUNCTION("""COMPUTED_VALUE"""),"161305")</f>
        <v>161305</v>
      </c>
      <c r="H2396" s="17" t="str">
        <f>IFERROR(__xludf.DUMMYFUNCTION("""COMPUTED_VALUE"""),"медичні маски і респіратори")</f>
        <v>медичні маски і респіратори</v>
      </c>
      <c r="I2396" s="19">
        <f>IFERROR(__xludf.DUMMYFUNCTION("""COMPUTED_VALUE"""),0.0806)</f>
        <v>0.0806</v>
      </c>
      <c r="J2396" s="19">
        <f>IFERROR(__xludf.DUMMYFUNCTION("""COMPUTED_VALUE"""),0.1611)</f>
        <v>0.1611</v>
      </c>
      <c r="K2396" s="19">
        <f>IFERROR(__xludf.DUMMYFUNCTION("""COMPUTED_VALUE"""),0.2014)</f>
        <v>0.2014</v>
      </c>
      <c r="L2396" s="19">
        <f>IFERROR(__xludf.DUMMYFUNCTION("""COMPUTED_VALUE"""),0.2417)</f>
        <v>0.2417</v>
      </c>
      <c r="M2396" s="18">
        <f>IFERROR(__xludf.DUMMYFUNCTION("""COMPUTED_VALUE"""),5.4)</f>
        <v>5.4</v>
      </c>
    </row>
    <row r="2397">
      <c r="A2397" s="13" t="str">
        <f>IFERROR(__xludf.DUMMYFUNCTION("""COMPUTED_VALUE"""),"товари")</f>
        <v>товари</v>
      </c>
      <c r="B2397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7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7" s="16" t="str">
        <f>IFERROR(__xludf.DUMMYFUNCTION("""COMPUTED_VALUE"""),"медичні витратні матеріали")</f>
        <v>медичні витратні матеріали</v>
      </c>
      <c r="E2397" s="16" t="str">
        <f>IFERROR(__xludf.DUMMYFUNCTION("""COMPUTED_VALUE"""),"медичні пластирі ")</f>
        <v>медичні пластирі </v>
      </c>
      <c r="F2397" s="17">
        <f>IFERROR(__xludf.DUMMYFUNCTION("""COMPUTED_VALUE"""),4.0)</f>
        <v>4</v>
      </c>
      <c r="G2397" s="17" t="str">
        <f>IFERROR(__xludf.DUMMYFUNCTION("""COMPUTED_VALUE"""),"16131305")</f>
        <v>16131305</v>
      </c>
      <c r="H2397" s="17" t="str">
        <f>IFERROR(__xludf.DUMMYFUNCTION("""COMPUTED_VALUE"""),"медичні пластирі ")</f>
        <v>медичні пластирі </v>
      </c>
      <c r="I2397" s="19">
        <f>IFERROR(__xludf.DUMMYFUNCTION("""COMPUTED_VALUE"""),0.0708)</f>
        <v>0.0708</v>
      </c>
      <c r="J2397" s="19">
        <f>IFERROR(__xludf.DUMMYFUNCTION("""COMPUTED_VALUE"""),0.1416)</f>
        <v>0.1416</v>
      </c>
      <c r="K2397" s="19">
        <f>IFERROR(__xludf.DUMMYFUNCTION("""COMPUTED_VALUE"""),0.177)</f>
        <v>0.177</v>
      </c>
      <c r="L2397" s="19">
        <f>IFERROR(__xludf.DUMMYFUNCTION("""COMPUTED_VALUE"""),0.2124)</f>
        <v>0.2124</v>
      </c>
      <c r="M2397" s="18">
        <f>IFERROR(__xludf.DUMMYFUNCTION("""COMPUTED_VALUE"""),3.43)</f>
        <v>3.43</v>
      </c>
    </row>
    <row r="2398">
      <c r="A2398" s="13" t="str">
        <f>IFERROR(__xludf.DUMMYFUNCTION("""COMPUTED_VALUE"""),"товари")</f>
        <v>товари</v>
      </c>
      <c r="B2398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8" s="16" t="str">
        <f>IFERROR(__xludf.DUMMYFUNCTION("""COMPUTED_VALUE"""),"медичні товари, загальне")</f>
        <v>медичні товари, загальне</v>
      </c>
      <c r="D2398" s="16" t="str">
        <f>IFERROR(__xludf.DUMMYFUNCTION("""COMPUTED_VALUE"""),"медичні товари, загальне")</f>
        <v>медичні товари, загальне</v>
      </c>
      <c r="E2398" s="16" t="str">
        <f>IFERROR(__xludf.DUMMYFUNCTION("""COMPUTED_VALUE"""),"медичні товари, загальне")</f>
        <v>медичні товари, загальне</v>
      </c>
      <c r="F2398" s="17">
        <f>IFERROR(__xludf.DUMMYFUNCTION("""COMPUTED_VALUE"""),2.0)</f>
        <v>2</v>
      </c>
      <c r="G2398" s="17" t="str">
        <f>IFERROR(__xludf.DUMMYFUNCTION("""COMPUTED_VALUE"""),"4006")</f>
        <v>4006</v>
      </c>
      <c r="H2398" s="17" t="str">
        <f>IFERROR(__xludf.DUMMYFUNCTION("""COMPUTED_VALUE"""),"медичні товари, загальне")</f>
        <v>медичні товари, загальне</v>
      </c>
      <c r="I2398" s="19">
        <f>IFERROR(__xludf.DUMMYFUNCTION("""COMPUTED_VALUE"""),0.125)</f>
        <v>0.125</v>
      </c>
      <c r="J2398" s="19">
        <f>IFERROR(__xludf.DUMMYFUNCTION("""COMPUTED_VALUE"""),0.25)</f>
        <v>0.25</v>
      </c>
      <c r="K2398" s="19">
        <f>IFERROR(__xludf.DUMMYFUNCTION("""COMPUTED_VALUE"""),0.3125)</f>
        <v>0.3125</v>
      </c>
      <c r="L2398" s="19">
        <f>IFERROR(__xludf.DUMMYFUNCTION("""COMPUTED_VALUE"""),0.375)</f>
        <v>0.375</v>
      </c>
      <c r="M2398" s="18">
        <f>IFERROR(__xludf.DUMMYFUNCTION("""COMPUTED_VALUE"""),4.33)</f>
        <v>4.33</v>
      </c>
    </row>
    <row r="2399">
      <c r="A2399" s="13" t="str">
        <f>IFERROR(__xludf.DUMMYFUNCTION("""COMPUTED_VALUE"""),"товари")</f>
        <v>товари</v>
      </c>
      <c r="B2399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399" s="16" t="str">
        <f>IFERROR(__xludf.DUMMYFUNCTION("""COMPUTED_VALUE"""),"медичне обладнання")</f>
        <v>медичне обладнання</v>
      </c>
      <c r="D2399" s="16" t="str">
        <f>IFERROR(__xludf.DUMMYFUNCTION("""COMPUTED_VALUE"""),"медичні тренажери і моделі")</f>
        <v>медичні тренажери і моделі</v>
      </c>
      <c r="E2399" s="16" t="str">
        <f>IFERROR(__xludf.DUMMYFUNCTION("""COMPUTED_VALUE"""),"медичні тренажери і моделі")</f>
        <v>медичні тренажери і моделі</v>
      </c>
      <c r="F2399" s="17">
        <f>IFERROR(__xludf.DUMMYFUNCTION("""COMPUTED_VALUE"""),3.0)</f>
        <v>3</v>
      </c>
      <c r="G2399" s="17" t="str">
        <f>IFERROR(__xludf.DUMMYFUNCTION("""COMPUTED_VALUE"""),"161130")</f>
        <v>161130</v>
      </c>
      <c r="H2399" s="17" t="str">
        <f>IFERROR(__xludf.DUMMYFUNCTION("""COMPUTED_VALUE"""),"медичні тренажери і моделі")</f>
        <v>медичні тренажери і моделі</v>
      </c>
      <c r="I2399" s="19">
        <f>IFERROR(__xludf.DUMMYFUNCTION("""COMPUTED_VALUE"""),0.0493)</f>
        <v>0.0493</v>
      </c>
      <c r="J2399" s="19">
        <f>IFERROR(__xludf.DUMMYFUNCTION("""COMPUTED_VALUE"""),0.0986)</f>
        <v>0.0986</v>
      </c>
      <c r="K2399" s="19">
        <f>IFERROR(__xludf.DUMMYFUNCTION("""COMPUTED_VALUE"""),0.1233)</f>
        <v>0.1233</v>
      </c>
      <c r="L2399" s="19">
        <f>IFERROR(__xludf.DUMMYFUNCTION("""COMPUTED_VALUE"""),0.1479)</f>
        <v>0.1479</v>
      </c>
      <c r="M2399" s="18">
        <f>IFERROR(__xludf.DUMMYFUNCTION("""COMPUTED_VALUE"""),1.8)</f>
        <v>1.8</v>
      </c>
    </row>
    <row r="2400">
      <c r="A2400" s="13" t="str">
        <f>IFERROR(__xludf.DUMMYFUNCTION("""COMPUTED_VALUE"""),"товари")</f>
        <v>товари</v>
      </c>
      <c r="B2400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0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0" s="16" t="str">
        <f>IFERROR(__xludf.DUMMYFUNCTION("""COMPUTED_VALUE"""),"набори медичних інструментів")</f>
        <v>набори медичних інструментів</v>
      </c>
      <c r="E2400" s="16" t="str">
        <f>IFERROR(__xludf.DUMMYFUNCTION("""COMPUTED_VALUE"""),"набори медичних інструментів")</f>
        <v>набори медичних інструментів</v>
      </c>
      <c r="F2400" s="17">
        <f>IFERROR(__xludf.DUMMYFUNCTION("""COMPUTED_VALUE"""),3.0)</f>
        <v>3</v>
      </c>
      <c r="G2400" s="17">
        <f>IFERROR(__xludf.DUMMYFUNCTION("""COMPUTED_VALUE"""),161209.0)</f>
        <v>161209</v>
      </c>
      <c r="H2400" s="17" t="str">
        <f>IFERROR(__xludf.DUMMYFUNCTION("""COMPUTED_VALUE"""),"набори медичних інструментів")</f>
        <v>набори медичних інструментів</v>
      </c>
      <c r="I2400" s="19">
        <f>IFERROR(__xludf.DUMMYFUNCTION("""COMPUTED_VALUE"""),0.0648)</f>
        <v>0.0648</v>
      </c>
      <c r="J2400" s="19">
        <f>IFERROR(__xludf.DUMMYFUNCTION("""COMPUTED_VALUE"""),0.1296)</f>
        <v>0.1296</v>
      </c>
      <c r="K2400" s="19">
        <f>IFERROR(__xludf.DUMMYFUNCTION("""COMPUTED_VALUE"""),0.162)</f>
        <v>0.162</v>
      </c>
      <c r="L2400" s="19">
        <f>IFERROR(__xludf.DUMMYFUNCTION("""COMPUTED_VALUE"""),0.1944)</f>
        <v>0.1944</v>
      </c>
      <c r="M2400" s="18">
        <f>IFERROR(__xludf.DUMMYFUNCTION("""COMPUTED_VALUE"""),2.7)</f>
        <v>2.7</v>
      </c>
    </row>
    <row r="2401">
      <c r="A2401" s="13" t="str">
        <f>IFERROR(__xludf.DUMMYFUNCTION("""COMPUTED_VALUE"""),"товари")</f>
        <v>товари</v>
      </c>
      <c r="B2401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1" s="16" t="str">
        <f>IFERROR(__xludf.DUMMYFUNCTION("""COMPUTED_VALUE"""),"медичне обладнання")</f>
        <v>медичне обладнання</v>
      </c>
      <c r="D2401" s="16" t="str">
        <f>IFERROR(__xludf.DUMMYFUNCTION("""COMPUTED_VALUE"""),"діагностичне обладнання")</f>
        <v>діагностичне обладнання</v>
      </c>
      <c r="E2401" s="16" t="str">
        <f>IFERROR(__xludf.DUMMYFUNCTION("""COMPUTED_VALUE"""),"обладнання та інструменти для подології")</f>
        <v>обладнання та інструменти для подології</v>
      </c>
      <c r="F2401" s="17">
        <f>IFERROR(__xludf.DUMMYFUNCTION("""COMPUTED_VALUE"""),4.0)</f>
        <v>4</v>
      </c>
      <c r="G2401" s="17" t="str">
        <f>IFERROR(__xludf.DUMMYFUNCTION("""COMPUTED_VALUE"""),"16111407")</f>
        <v>16111407</v>
      </c>
      <c r="H2401" s="17" t="str">
        <f>IFERROR(__xludf.DUMMYFUNCTION("""COMPUTED_VALUE"""),"обладнання та інструменти для подології")</f>
        <v>обладнання та інструменти для подології</v>
      </c>
      <c r="I2401" s="19">
        <f>IFERROR(__xludf.DUMMYFUNCTION("""COMPUTED_VALUE"""),0.0703)</f>
        <v>0.0703</v>
      </c>
      <c r="J2401" s="19">
        <f>IFERROR(__xludf.DUMMYFUNCTION("""COMPUTED_VALUE"""),0.1405)</f>
        <v>0.1405</v>
      </c>
      <c r="K2401" s="19">
        <f>IFERROR(__xludf.DUMMYFUNCTION("""COMPUTED_VALUE"""),0.1756)</f>
        <v>0.1756</v>
      </c>
      <c r="L2401" s="19">
        <f>IFERROR(__xludf.DUMMYFUNCTION("""COMPUTED_VALUE"""),0.2108)</f>
        <v>0.2108</v>
      </c>
      <c r="M2401" s="18">
        <f>IFERROR(__xludf.DUMMYFUNCTION("""COMPUTED_VALUE"""),4.58)</f>
        <v>4.58</v>
      </c>
    </row>
    <row r="2402">
      <c r="A2402" s="13" t="str">
        <f>IFERROR(__xludf.DUMMYFUNCTION("""COMPUTED_VALUE"""),"товари")</f>
        <v>товари</v>
      </c>
      <c r="B2402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2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2" s="16" t="str">
        <f>IFERROR(__xludf.DUMMYFUNCTION("""COMPUTED_VALUE"""),"одноразовий одяг і взуття")</f>
        <v>одноразовий одяг і взуття</v>
      </c>
      <c r="E2402" s="16" t="str">
        <f>IFERROR(__xludf.DUMMYFUNCTION("""COMPUTED_VALUE"""),"одноразовий одяг і взуття")</f>
        <v>одноразовий одяг і взуття</v>
      </c>
      <c r="F2402" s="17">
        <f>IFERROR(__xludf.DUMMYFUNCTION("""COMPUTED_VALUE"""),3.0)</f>
        <v>3</v>
      </c>
      <c r="G2402" s="17" t="str">
        <f>IFERROR(__xludf.DUMMYFUNCTION("""COMPUTED_VALUE"""),"161310")</f>
        <v>161310</v>
      </c>
      <c r="H2402" s="17" t="str">
        <f>IFERROR(__xludf.DUMMYFUNCTION("""COMPUTED_VALUE"""),"одноразовий одяг і взуття")</f>
        <v>одноразовий одяг і взуття</v>
      </c>
      <c r="I2402" s="19">
        <f>IFERROR(__xludf.DUMMYFUNCTION("""COMPUTED_VALUE"""),0.0683)</f>
        <v>0.0683</v>
      </c>
      <c r="J2402" s="19">
        <f>IFERROR(__xludf.DUMMYFUNCTION("""COMPUTED_VALUE"""),0.1365)</f>
        <v>0.1365</v>
      </c>
      <c r="K2402" s="19">
        <f>IFERROR(__xludf.DUMMYFUNCTION("""COMPUTED_VALUE"""),0.1706)</f>
        <v>0.1706</v>
      </c>
      <c r="L2402" s="19">
        <f>IFERROR(__xludf.DUMMYFUNCTION("""COMPUTED_VALUE"""),0.2048)</f>
        <v>0.2048</v>
      </c>
      <c r="M2402" s="18">
        <f>IFERROR(__xludf.DUMMYFUNCTION("""COMPUTED_VALUE"""),5.4)</f>
        <v>5.4</v>
      </c>
    </row>
    <row r="2403">
      <c r="A2403" s="13" t="str">
        <f>IFERROR(__xludf.DUMMYFUNCTION("""COMPUTED_VALUE"""),"товари")</f>
        <v>товари</v>
      </c>
      <c r="B2403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3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3" s="16" t="str">
        <f>IFERROR(__xludf.DUMMYFUNCTION("""COMPUTED_VALUE"""),"одноразові рукавички ")</f>
        <v>одноразові рукавички </v>
      </c>
      <c r="E2403" s="16" t="str">
        <f>IFERROR(__xludf.DUMMYFUNCTION("""COMPUTED_VALUE"""),"одноразові рукавички ")</f>
        <v>одноразові рукавички </v>
      </c>
      <c r="F2403" s="17">
        <f>IFERROR(__xludf.DUMMYFUNCTION("""COMPUTED_VALUE"""),3.0)</f>
        <v>3</v>
      </c>
      <c r="G2403" s="17" t="str">
        <f>IFERROR(__xludf.DUMMYFUNCTION("""COMPUTED_VALUE"""),"161304")</f>
        <v>161304</v>
      </c>
      <c r="H2403" s="17" t="str">
        <f>IFERROR(__xludf.DUMMYFUNCTION("""COMPUTED_VALUE"""),"одноразові рукавички ")</f>
        <v>одноразові рукавички </v>
      </c>
      <c r="I2403" s="19">
        <f>IFERROR(__xludf.DUMMYFUNCTION("""COMPUTED_VALUE"""),0.0762)</f>
        <v>0.0762</v>
      </c>
      <c r="J2403" s="19">
        <f>IFERROR(__xludf.DUMMYFUNCTION("""COMPUTED_VALUE"""),0.1524)</f>
        <v>0.1524</v>
      </c>
      <c r="K2403" s="19">
        <f>IFERROR(__xludf.DUMMYFUNCTION("""COMPUTED_VALUE"""),0.1905)</f>
        <v>0.1905</v>
      </c>
      <c r="L2403" s="19">
        <f>IFERROR(__xludf.DUMMYFUNCTION("""COMPUTED_VALUE"""),0.2286)</f>
        <v>0.2286</v>
      </c>
      <c r="M2403" s="18">
        <f>IFERROR(__xludf.DUMMYFUNCTION("""COMPUTED_VALUE"""),4.43)</f>
        <v>4.43</v>
      </c>
    </row>
    <row r="2404">
      <c r="A2404" s="13" t="str">
        <f>IFERROR(__xludf.DUMMYFUNCTION("""COMPUTED_VALUE"""),"товари")</f>
        <v>товари</v>
      </c>
      <c r="B2404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4" s="16" t="str">
        <f>IFERROR(__xludf.DUMMYFUNCTION("""COMPUTED_VALUE"""),"стоматологічні матеріали")</f>
        <v>стоматологічні матеріали</v>
      </c>
      <c r="D2404" s="16" t="str">
        <f>IFERROR(__xludf.DUMMYFUNCTION("""COMPUTED_VALUE"""),"ортодонтичні матеріали")</f>
        <v>ортодонтичні матеріали</v>
      </c>
      <c r="E2404" s="16" t="str">
        <f>IFERROR(__xludf.DUMMYFUNCTION("""COMPUTED_VALUE"""),"ортодонтичні матеріали")</f>
        <v>ортодонтичні матеріали</v>
      </c>
      <c r="F2404" s="17">
        <f>IFERROR(__xludf.DUMMYFUNCTION("""COMPUTED_VALUE"""),3.0)</f>
        <v>3</v>
      </c>
      <c r="G2404" s="17" t="str">
        <f>IFERROR(__xludf.DUMMYFUNCTION("""COMPUTED_VALUE"""),"161707")</f>
        <v>161707</v>
      </c>
      <c r="H2404" s="17" t="str">
        <f>IFERROR(__xludf.DUMMYFUNCTION("""COMPUTED_VALUE"""),"ортодонтичні матеріали")</f>
        <v>ортодонтичні матеріали</v>
      </c>
      <c r="I2404" s="19">
        <f>IFERROR(__xludf.DUMMYFUNCTION("""COMPUTED_VALUE"""),0.0632)</f>
        <v>0.0632</v>
      </c>
      <c r="J2404" s="19">
        <f>IFERROR(__xludf.DUMMYFUNCTION("""COMPUTED_VALUE"""),0.1263)</f>
        <v>0.1263</v>
      </c>
      <c r="K2404" s="19">
        <f>IFERROR(__xludf.DUMMYFUNCTION("""COMPUTED_VALUE"""),0.1579)</f>
        <v>0.1579</v>
      </c>
      <c r="L2404" s="19">
        <f>IFERROR(__xludf.DUMMYFUNCTION("""COMPUTED_VALUE"""),0.1895)</f>
        <v>0.1895</v>
      </c>
      <c r="M2404" s="18">
        <f>IFERROR(__xludf.DUMMYFUNCTION("""COMPUTED_VALUE"""),1.8)</f>
        <v>1.8</v>
      </c>
    </row>
    <row r="2405">
      <c r="A2405" s="13" t="str">
        <f>IFERROR(__xludf.DUMMYFUNCTION("""COMPUTED_VALUE"""),"товари")</f>
        <v>товари</v>
      </c>
      <c r="B2405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5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5" s="16" t="str">
        <f>IFERROR(__xludf.DUMMYFUNCTION("""COMPUTED_VALUE"""),"офтальмологічні інструменти")</f>
        <v>офтальмологічні інструменти</v>
      </c>
      <c r="E2405" s="16" t="str">
        <f>IFERROR(__xludf.DUMMYFUNCTION("""COMPUTED_VALUE"""),"офтальмологічні інструменти")</f>
        <v>офтальмологічні інструменти</v>
      </c>
      <c r="F2405" s="17">
        <f>IFERROR(__xludf.DUMMYFUNCTION("""COMPUTED_VALUE"""),3.0)</f>
        <v>3</v>
      </c>
      <c r="G2405" s="17" t="str">
        <f>IFERROR(__xludf.DUMMYFUNCTION("""COMPUTED_VALUE"""),"161210")</f>
        <v>161210</v>
      </c>
      <c r="H2405" s="17" t="str">
        <f>IFERROR(__xludf.DUMMYFUNCTION("""COMPUTED_VALUE"""),"офтальмологічні інструменти")</f>
        <v>офтальмологічні інструменти</v>
      </c>
      <c r="I2405" s="19">
        <f>IFERROR(__xludf.DUMMYFUNCTION("""COMPUTED_VALUE"""),0.0593)</f>
        <v>0.0593</v>
      </c>
      <c r="J2405" s="19">
        <f>IFERROR(__xludf.DUMMYFUNCTION("""COMPUTED_VALUE"""),0.1186)</f>
        <v>0.1186</v>
      </c>
      <c r="K2405" s="19">
        <f>IFERROR(__xludf.DUMMYFUNCTION("""COMPUTED_VALUE"""),0.1483)</f>
        <v>0.1483</v>
      </c>
      <c r="L2405" s="19">
        <f>IFERROR(__xludf.DUMMYFUNCTION("""COMPUTED_VALUE"""),0.1779)</f>
        <v>0.1779</v>
      </c>
      <c r="M2405" s="18">
        <f>IFERROR(__xludf.DUMMYFUNCTION("""COMPUTED_VALUE"""),1.44)</f>
        <v>1.44</v>
      </c>
    </row>
    <row r="2406">
      <c r="A2406" s="13" t="str">
        <f>IFERROR(__xludf.DUMMYFUNCTION("""COMPUTED_VALUE"""),"товари")</f>
        <v>товари</v>
      </c>
      <c r="B2406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6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6" s="16" t="str">
        <f>IFERROR(__xludf.DUMMYFUNCTION("""COMPUTED_VALUE"""),"медичні витратні матеріали")</f>
        <v>медичні витратні матеріали</v>
      </c>
      <c r="E2406" s="16" t="str">
        <f>IFERROR(__xludf.DUMMYFUNCTION("""COMPUTED_VALUE"""),"пакети для стерилізації")</f>
        <v>пакети для стерилізації</v>
      </c>
      <c r="F2406" s="17">
        <f>IFERROR(__xludf.DUMMYFUNCTION("""COMPUTED_VALUE"""),4.0)</f>
        <v>4</v>
      </c>
      <c r="G2406" s="17" t="str">
        <f>IFERROR(__xludf.DUMMYFUNCTION("""COMPUTED_VALUE"""),"16131306")</f>
        <v>16131306</v>
      </c>
      <c r="H2406" s="17" t="str">
        <f>IFERROR(__xludf.DUMMYFUNCTION("""COMPUTED_VALUE"""),"пакети для стерилізації")</f>
        <v>пакети для стерилізації</v>
      </c>
      <c r="I2406" s="19">
        <f>IFERROR(__xludf.DUMMYFUNCTION("""COMPUTED_VALUE"""),0.0721)</f>
        <v>0.0721</v>
      </c>
      <c r="J2406" s="19">
        <f>IFERROR(__xludf.DUMMYFUNCTION("""COMPUTED_VALUE"""),0.1442)</f>
        <v>0.1442</v>
      </c>
      <c r="K2406" s="19">
        <f>IFERROR(__xludf.DUMMYFUNCTION("""COMPUTED_VALUE"""),0.1803)</f>
        <v>0.1803</v>
      </c>
      <c r="L2406" s="19">
        <f>IFERROR(__xludf.DUMMYFUNCTION("""COMPUTED_VALUE"""),0.2163)</f>
        <v>0.2163</v>
      </c>
      <c r="M2406" s="18">
        <f>IFERROR(__xludf.DUMMYFUNCTION("""COMPUTED_VALUE"""),3.43)</f>
        <v>3.43</v>
      </c>
    </row>
    <row r="2407">
      <c r="A2407" s="13" t="str">
        <f>IFERROR(__xludf.DUMMYFUNCTION("""COMPUTED_VALUE"""),"товари")</f>
        <v>товари</v>
      </c>
      <c r="B2407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7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7" s="16" t="str">
        <f>IFERROR(__xludf.DUMMYFUNCTION("""COMPUTED_VALUE"""),"підперчатки")</f>
        <v>підперчатки</v>
      </c>
      <c r="E2407" s="16" t="str">
        <f>IFERROR(__xludf.DUMMYFUNCTION("""COMPUTED_VALUE"""),"підперчатки")</f>
        <v>підперчатки</v>
      </c>
      <c r="F2407" s="17">
        <f>IFERROR(__xludf.DUMMYFUNCTION("""COMPUTED_VALUE"""),3.0)</f>
        <v>3</v>
      </c>
      <c r="G2407" s="17" t="str">
        <f>IFERROR(__xludf.DUMMYFUNCTION("""COMPUTED_VALUE"""),"161319")</f>
        <v>161319</v>
      </c>
      <c r="H2407" s="17" t="str">
        <f>IFERROR(__xludf.DUMMYFUNCTION("""COMPUTED_VALUE"""),"підперчатки")</f>
        <v>підперчатки</v>
      </c>
      <c r="I2407" s="19">
        <f>IFERROR(__xludf.DUMMYFUNCTION("""COMPUTED_VALUE"""),0.0709)</f>
        <v>0.0709</v>
      </c>
      <c r="J2407" s="19">
        <f>IFERROR(__xludf.DUMMYFUNCTION("""COMPUTED_VALUE"""),0.1417)</f>
        <v>0.1417</v>
      </c>
      <c r="K2407" s="19">
        <f>IFERROR(__xludf.DUMMYFUNCTION("""COMPUTED_VALUE"""),0.1771)</f>
        <v>0.1771</v>
      </c>
      <c r="L2407" s="19">
        <f>IFERROR(__xludf.DUMMYFUNCTION("""COMPUTED_VALUE"""),0.2126)</f>
        <v>0.2126</v>
      </c>
      <c r="M2407" s="18">
        <f>IFERROR(__xludf.DUMMYFUNCTION("""COMPUTED_VALUE"""),1.05)</f>
        <v>1.05</v>
      </c>
    </row>
    <row r="2408">
      <c r="A2408" s="13" t="str">
        <f>IFERROR(__xludf.DUMMYFUNCTION("""COMPUTED_VALUE"""),"товари")</f>
        <v>товари</v>
      </c>
      <c r="B2408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8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8" s="16" t="str">
        <f>IFERROR(__xludf.DUMMYFUNCTION("""COMPUTED_VALUE"""),"медичні витратні матеріали")</f>
        <v>медичні витратні матеріали</v>
      </c>
      <c r="E2408" s="16" t="str">
        <f>IFERROR(__xludf.DUMMYFUNCTION("""COMPUTED_VALUE"""),"пов'язки для лікування ран")</f>
        <v>пов'язки для лікування ран</v>
      </c>
      <c r="F2408" s="17">
        <f>IFERROR(__xludf.DUMMYFUNCTION("""COMPUTED_VALUE"""),4.0)</f>
        <v>4</v>
      </c>
      <c r="G2408" s="17" t="str">
        <f>IFERROR(__xludf.DUMMYFUNCTION("""COMPUTED_VALUE"""),"16131307")</f>
        <v>16131307</v>
      </c>
      <c r="H2408" s="17" t="str">
        <f>IFERROR(__xludf.DUMMYFUNCTION("""COMPUTED_VALUE"""),"пов'язки для лікування ран")</f>
        <v>пов'язки для лікування ран</v>
      </c>
      <c r="I2408" s="19">
        <f>IFERROR(__xludf.DUMMYFUNCTION("""COMPUTED_VALUE"""),0.0744)</f>
        <v>0.0744</v>
      </c>
      <c r="J2408" s="19">
        <f>IFERROR(__xludf.DUMMYFUNCTION("""COMPUTED_VALUE"""),0.1488)</f>
        <v>0.1488</v>
      </c>
      <c r="K2408" s="19">
        <f>IFERROR(__xludf.DUMMYFUNCTION("""COMPUTED_VALUE"""),0.186)</f>
        <v>0.186</v>
      </c>
      <c r="L2408" s="19">
        <f>IFERROR(__xludf.DUMMYFUNCTION("""COMPUTED_VALUE"""),0.2232)</f>
        <v>0.2232</v>
      </c>
      <c r="M2408" s="18">
        <f>IFERROR(__xludf.DUMMYFUNCTION("""COMPUTED_VALUE"""),3.43)</f>
        <v>3.43</v>
      </c>
    </row>
    <row r="2409">
      <c r="A2409" s="13" t="str">
        <f>IFERROR(__xludf.DUMMYFUNCTION("""COMPUTED_VALUE"""),"товари")</f>
        <v>товари</v>
      </c>
      <c r="B2409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09" s="16" t="str">
        <f>IFERROR(__xludf.DUMMYFUNCTION("""COMPUTED_VALUE"""),"стоматологічні матеріали")</f>
        <v>стоматологічні матеріали</v>
      </c>
      <c r="D2409" s="16" t="str">
        <f>IFERROR(__xludf.DUMMYFUNCTION("""COMPUTED_VALUE"""),"прокладочні стоматологічні матеріали")</f>
        <v>прокладочні стоматологічні матеріали</v>
      </c>
      <c r="E2409" s="16" t="str">
        <f>IFERROR(__xludf.DUMMYFUNCTION("""COMPUTED_VALUE"""),"прокладочні стоматологічні матеріали")</f>
        <v>прокладочні стоматологічні матеріали</v>
      </c>
      <c r="F2409" s="17">
        <f>IFERROR(__xludf.DUMMYFUNCTION("""COMPUTED_VALUE"""),3.0)</f>
        <v>3</v>
      </c>
      <c r="G2409" s="17" t="str">
        <f>IFERROR(__xludf.DUMMYFUNCTION("""COMPUTED_VALUE"""),"161705")</f>
        <v>161705</v>
      </c>
      <c r="H2409" s="17" t="str">
        <f>IFERROR(__xludf.DUMMYFUNCTION("""COMPUTED_VALUE"""),"прокладочні стоматологічні матеріали")</f>
        <v>прокладочні стоматологічні матеріали</v>
      </c>
      <c r="I2409" s="19">
        <f>IFERROR(__xludf.DUMMYFUNCTION("""COMPUTED_VALUE"""),0.0385)</f>
        <v>0.0385</v>
      </c>
      <c r="J2409" s="19">
        <f>IFERROR(__xludf.DUMMYFUNCTION("""COMPUTED_VALUE"""),0.077)</f>
        <v>0.077</v>
      </c>
      <c r="K2409" s="19">
        <f>IFERROR(__xludf.DUMMYFUNCTION("""COMPUTED_VALUE"""),0.0963)</f>
        <v>0.0963</v>
      </c>
      <c r="L2409" s="19">
        <f>IFERROR(__xludf.DUMMYFUNCTION("""COMPUTED_VALUE"""),0.1155)</f>
        <v>0.1155</v>
      </c>
      <c r="M2409" s="18">
        <f>IFERROR(__xludf.DUMMYFUNCTION("""COMPUTED_VALUE"""),1.44)</f>
        <v>1.44</v>
      </c>
    </row>
    <row r="2410">
      <c r="A2410" s="13" t="str">
        <f>IFERROR(__xludf.DUMMYFUNCTION("""COMPUTED_VALUE"""),"товари")</f>
        <v>товари</v>
      </c>
      <c r="B2410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10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10" s="16" t="str">
        <f>IFERROR(__xludf.DUMMYFUNCTION("""COMPUTED_VALUE"""),"простирадла медичні")</f>
        <v>простирадла медичні</v>
      </c>
      <c r="E2410" s="16" t="str">
        <f>IFERROR(__xludf.DUMMYFUNCTION("""COMPUTED_VALUE"""),"простирадла медичні")</f>
        <v>простирадла медичні</v>
      </c>
      <c r="F2410" s="17">
        <f>IFERROR(__xludf.DUMMYFUNCTION("""COMPUTED_VALUE"""),3.0)</f>
        <v>3</v>
      </c>
      <c r="G2410" s="17" t="str">
        <f>IFERROR(__xludf.DUMMYFUNCTION("""COMPUTED_VALUE"""),"161315")</f>
        <v>161315</v>
      </c>
      <c r="H2410" s="17" t="str">
        <f>IFERROR(__xludf.DUMMYFUNCTION("""COMPUTED_VALUE"""),"простирадла медичні")</f>
        <v>простирадла медичні</v>
      </c>
      <c r="I2410" s="19">
        <f>IFERROR(__xludf.DUMMYFUNCTION("""COMPUTED_VALUE"""),0.0702)</f>
        <v>0.0702</v>
      </c>
      <c r="J2410" s="19">
        <f>IFERROR(__xludf.DUMMYFUNCTION("""COMPUTED_VALUE"""),0.1404)</f>
        <v>0.1404</v>
      </c>
      <c r="K2410" s="19">
        <f>IFERROR(__xludf.DUMMYFUNCTION("""COMPUTED_VALUE"""),0.1755)</f>
        <v>0.1755</v>
      </c>
      <c r="L2410" s="19">
        <f>IFERROR(__xludf.DUMMYFUNCTION("""COMPUTED_VALUE"""),0.2106)</f>
        <v>0.2106</v>
      </c>
      <c r="M2410" s="18">
        <f>IFERROR(__xludf.DUMMYFUNCTION("""COMPUTED_VALUE"""),3.88)</f>
        <v>3.88</v>
      </c>
    </row>
    <row r="2411">
      <c r="A2411" s="13" t="str">
        <f>IFERROR(__xludf.DUMMYFUNCTION("""COMPUTED_VALUE"""),"товари")</f>
        <v>товари</v>
      </c>
      <c r="B2411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11" s="16" t="str">
        <f>IFERROR(__xludf.DUMMYFUNCTION("""COMPUTED_VALUE"""),"медичне обладнання")</f>
        <v>медичне обладнання</v>
      </c>
      <c r="D2411" s="16" t="str">
        <f>IFERROR(__xludf.DUMMYFUNCTION("""COMPUTED_VALUE"""),"кардіологічне обладнання")</f>
        <v>кардіологічне обладнання</v>
      </c>
      <c r="E2411" s="16" t="str">
        <f>IFERROR(__xludf.DUMMYFUNCTION("""COMPUTED_VALUE"""),"пульсоксіметри")</f>
        <v>пульсоксіметри</v>
      </c>
      <c r="F2411" s="17">
        <f>IFERROR(__xludf.DUMMYFUNCTION("""COMPUTED_VALUE"""),4.0)</f>
        <v>4</v>
      </c>
      <c r="G2411" s="17" t="str">
        <f>IFERROR(__xludf.DUMMYFUNCTION("""COMPUTED_VALUE"""),"16110904")</f>
        <v>16110904</v>
      </c>
      <c r="H2411" s="17" t="str">
        <f>IFERROR(__xludf.DUMMYFUNCTION("""COMPUTED_VALUE"""),"пульсоксіметри")</f>
        <v>пульсоксіметри</v>
      </c>
      <c r="I2411" s="19">
        <f>IFERROR(__xludf.DUMMYFUNCTION("""COMPUTED_VALUE"""),0.0727)</f>
        <v>0.0727</v>
      </c>
      <c r="J2411" s="19">
        <f>IFERROR(__xludf.DUMMYFUNCTION("""COMPUTED_VALUE"""),0.1453)</f>
        <v>0.1453</v>
      </c>
      <c r="K2411" s="19">
        <f>IFERROR(__xludf.DUMMYFUNCTION("""COMPUTED_VALUE"""),0.1816)</f>
        <v>0.1816</v>
      </c>
      <c r="L2411" s="19">
        <f>IFERROR(__xludf.DUMMYFUNCTION("""COMPUTED_VALUE"""),0.218)</f>
        <v>0.218</v>
      </c>
      <c r="M2411" s="18">
        <f>IFERROR(__xludf.DUMMYFUNCTION("""COMPUTED_VALUE"""),4.05)</f>
        <v>4.05</v>
      </c>
    </row>
    <row r="2412">
      <c r="A2412" s="13" t="str">
        <f>IFERROR(__xludf.DUMMYFUNCTION("""COMPUTED_VALUE"""),"товари")</f>
        <v>товари</v>
      </c>
      <c r="B2412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12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12" s="16" t="str">
        <f>IFERROR(__xludf.DUMMYFUNCTION("""COMPUTED_VALUE"""),"медичні витратні матеріали")</f>
        <v>медичні витратні матеріали</v>
      </c>
      <c r="E2412" s="16" t="str">
        <f>IFERROR(__xludf.DUMMYFUNCTION("""COMPUTED_VALUE"""),"серветки медичні")</f>
        <v>серветки медичні</v>
      </c>
      <c r="F2412" s="17">
        <f>IFERROR(__xludf.DUMMYFUNCTION("""COMPUTED_VALUE"""),4.0)</f>
        <v>4</v>
      </c>
      <c r="G2412" s="17" t="str">
        <f>IFERROR(__xludf.DUMMYFUNCTION("""COMPUTED_VALUE"""),"16131302")</f>
        <v>16131302</v>
      </c>
      <c r="H2412" s="17" t="str">
        <f>IFERROR(__xludf.DUMMYFUNCTION("""COMPUTED_VALUE"""),"серветки медичні")</f>
        <v>серветки медичні</v>
      </c>
      <c r="I2412" s="19">
        <f>IFERROR(__xludf.DUMMYFUNCTION("""COMPUTED_VALUE"""),0.0766)</f>
        <v>0.0766</v>
      </c>
      <c r="J2412" s="19">
        <f>IFERROR(__xludf.DUMMYFUNCTION("""COMPUTED_VALUE"""),0.1532)</f>
        <v>0.1532</v>
      </c>
      <c r="K2412" s="19">
        <f>IFERROR(__xludf.DUMMYFUNCTION("""COMPUTED_VALUE"""),0.1915)</f>
        <v>0.1915</v>
      </c>
      <c r="L2412" s="19">
        <f>IFERROR(__xludf.DUMMYFUNCTION("""COMPUTED_VALUE"""),0.2298)</f>
        <v>0.2298</v>
      </c>
      <c r="M2412" s="18">
        <f>IFERROR(__xludf.DUMMYFUNCTION("""COMPUTED_VALUE"""),3.43)</f>
        <v>3.43</v>
      </c>
    </row>
    <row r="2413">
      <c r="A2413" s="13" t="str">
        <f>IFERROR(__xludf.DUMMYFUNCTION("""COMPUTED_VALUE"""),"товари")</f>
        <v>товари</v>
      </c>
      <c r="B2413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13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13" s="16" t="str">
        <f>IFERROR(__xludf.DUMMYFUNCTION("""COMPUTED_VALUE"""),"стерилізаційний інвентар")</f>
        <v>стерилізаційний інвентар</v>
      </c>
      <c r="E2413" s="16" t="str">
        <f>IFERROR(__xludf.DUMMYFUNCTION("""COMPUTED_VALUE"""),"стерилізаційний інвентар")</f>
        <v>стерилізаційний інвентар</v>
      </c>
      <c r="F2413" s="17">
        <f>IFERROR(__xludf.DUMMYFUNCTION("""COMPUTED_VALUE"""),3.0)</f>
        <v>3</v>
      </c>
      <c r="G2413" s="17" t="str">
        <f>IFERROR(__xludf.DUMMYFUNCTION("""COMPUTED_VALUE"""),"161208")</f>
        <v>161208</v>
      </c>
      <c r="H2413" s="17" t="str">
        <f>IFERROR(__xludf.DUMMYFUNCTION("""COMPUTED_VALUE"""),"стерилізаційний інвентар")</f>
        <v>стерилізаційний інвентар</v>
      </c>
      <c r="I2413" s="19">
        <f>IFERROR(__xludf.DUMMYFUNCTION("""COMPUTED_VALUE"""),0.0501)</f>
        <v>0.0501</v>
      </c>
      <c r="J2413" s="19">
        <f>IFERROR(__xludf.DUMMYFUNCTION("""COMPUTED_VALUE"""),0.1001)</f>
        <v>0.1001</v>
      </c>
      <c r="K2413" s="19">
        <f>IFERROR(__xludf.DUMMYFUNCTION("""COMPUTED_VALUE"""),0.1251)</f>
        <v>0.1251</v>
      </c>
      <c r="L2413" s="19">
        <f>IFERROR(__xludf.DUMMYFUNCTION("""COMPUTED_VALUE"""),0.1502)</f>
        <v>0.1502</v>
      </c>
      <c r="M2413" s="18">
        <f>IFERROR(__xludf.DUMMYFUNCTION("""COMPUTED_VALUE"""),2.53)</f>
        <v>2.53</v>
      </c>
    </row>
    <row r="2414">
      <c r="A2414" s="13" t="str">
        <f>IFERROR(__xludf.DUMMYFUNCTION("""COMPUTED_VALUE"""),"товари")</f>
        <v>товари</v>
      </c>
      <c r="B2414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14" s="16" t="str">
        <f>IFERROR(__xludf.DUMMYFUNCTION("""COMPUTED_VALUE"""),"медичне обладнання")</f>
        <v>медичне обладнання</v>
      </c>
      <c r="D2414" s="16" t="str">
        <f>IFERROR(__xludf.DUMMYFUNCTION("""COMPUTED_VALUE"""),"стоматологічне обладнання")</f>
        <v>стоматологічне обладнання</v>
      </c>
      <c r="E2414" s="16" t="str">
        <f>IFERROR(__xludf.DUMMYFUNCTION("""COMPUTED_VALUE"""),"стоматологічне обладнання")</f>
        <v>стоматологічне обладнання</v>
      </c>
      <c r="F2414" s="17">
        <f>IFERROR(__xludf.DUMMYFUNCTION("""COMPUTED_VALUE"""),3.0)</f>
        <v>3</v>
      </c>
      <c r="G2414" s="17" t="str">
        <f>IFERROR(__xludf.DUMMYFUNCTION("""COMPUTED_VALUE"""),"161106")</f>
        <v>161106</v>
      </c>
      <c r="H2414" s="17" t="str">
        <f>IFERROR(__xludf.DUMMYFUNCTION("""COMPUTED_VALUE"""),"стоматологічне обладнання")</f>
        <v>стоматологічне обладнання</v>
      </c>
      <c r="I2414" s="19">
        <f>IFERROR(__xludf.DUMMYFUNCTION("""COMPUTED_VALUE"""),0.0623)</f>
        <v>0.0623</v>
      </c>
      <c r="J2414" s="19">
        <f>IFERROR(__xludf.DUMMYFUNCTION("""COMPUTED_VALUE"""),0.1246)</f>
        <v>0.1246</v>
      </c>
      <c r="K2414" s="19">
        <f>IFERROR(__xludf.DUMMYFUNCTION("""COMPUTED_VALUE"""),0.1558)</f>
        <v>0.1558</v>
      </c>
      <c r="L2414" s="19">
        <f>IFERROR(__xludf.DUMMYFUNCTION("""COMPUTED_VALUE"""),0.1869)</f>
        <v>0.1869</v>
      </c>
      <c r="M2414" s="18">
        <f>IFERROR(__xludf.DUMMYFUNCTION("""COMPUTED_VALUE"""),3.78)</f>
        <v>3.78</v>
      </c>
    </row>
    <row r="2415">
      <c r="A2415" s="13" t="str">
        <f>IFERROR(__xludf.DUMMYFUNCTION("""COMPUTED_VALUE"""),"товари")</f>
        <v>товари</v>
      </c>
      <c r="B2415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15" s="16" t="str">
        <f>IFERROR(__xludf.DUMMYFUNCTION("""COMPUTED_VALUE"""),"стоматологічні матеріали")</f>
        <v>стоматологічні матеріали</v>
      </c>
      <c r="D2415" s="16" t="str">
        <f>IFERROR(__xludf.DUMMYFUNCTION("""COMPUTED_VALUE"""),"стоматологічні витратні матеріали")</f>
        <v>стоматологічні витратні матеріали</v>
      </c>
      <c r="E2415" s="16" t="str">
        <f>IFERROR(__xludf.DUMMYFUNCTION("""COMPUTED_VALUE"""),"стоматологічні витратні матеріали")</f>
        <v>стоматологічні витратні матеріали</v>
      </c>
      <c r="F2415" s="17">
        <f>IFERROR(__xludf.DUMMYFUNCTION("""COMPUTED_VALUE"""),3.0)</f>
        <v>3</v>
      </c>
      <c r="G2415" s="17" t="str">
        <f>IFERROR(__xludf.DUMMYFUNCTION("""COMPUTED_VALUE"""),"161712")</f>
        <v>161712</v>
      </c>
      <c r="H2415" s="17" t="str">
        <f>IFERROR(__xludf.DUMMYFUNCTION("""COMPUTED_VALUE"""),"стоматологічні витратні матеріали")</f>
        <v>стоматологічні витратні матеріали</v>
      </c>
      <c r="I2415" s="19">
        <f>IFERROR(__xludf.DUMMYFUNCTION("""COMPUTED_VALUE"""),0.0648)</f>
        <v>0.0648</v>
      </c>
      <c r="J2415" s="19">
        <f>IFERROR(__xludf.DUMMYFUNCTION("""COMPUTED_VALUE"""),0.1296)</f>
        <v>0.1296</v>
      </c>
      <c r="K2415" s="19">
        <f>IFERROR(__xludf.DUMMYFUNCTION("""COMPUTED_VALUE"""),0.162)</f>
        <v>0.162</v>
      </c>
      <c r="L2415" s="19">
        <f>IFERROR(__xludf.DUMMYFUNCTION("""COMPUTED_VALUE"""),0.1944)</f>
        <v>0.1944</v>
      </c>
      <c r="M2415" s="18">
        <f>IFERROR(__xludf.DUMMYFUNCTION("""COMPUTED_VALUE"""),1.05)</f>
        <v>1.05</v>
      </c>
    </row>
    <row r="2416">
      <c r="A2416" s="13" t="str">
        <f>IFERROR(__xludf.DUMMYFUNCTION("""COMPUTED_VALUE"""),"товари")</f>
        <v>товари</v>
      </c>
      <c r="B2416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16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16" s="16" t="str">
        <f>IFERROR(__xludf.DUMMYFUNCTION("""COMPUTED_VALUE"""),"стоматологічні інструменти та інвентар")</f>
        <v>стоматологічні інструменти та інвентар</v>
      </c>
      <c r="E2416" s="16" t="str">
        <f>IFERROR(__xludf.DUMMYFUNCTION("""COMPUTED_VALUE"""),"стоматологічні інструменти та інвентар")</f>
        <v>стоматологічні інструменти та інвентар</v>
      </c>
      <c r="F2416" s="17">
        <f>IFERROR(__xludf.DUMMYFUNCTION("""COMPUTED_VALUE"""),3.0)</f>
        <v>3</v>
      </c>
      <c r="G2416" s="17" t="str">
        <f>IFERROR(__xludf.DUMMYFUNCTION("""COMPUTED_VALUE"""),"161211")</f>
        <v>161211</v>
      </c>
      <c r="H2416" s="17" t="str">
        <f>IFERROR(__xludf.DUMMYFUNCTION("""COMPUTED_VALUE"""),"стоматологічні інструменти та інвентар")</f>
        <v>стоматологічні інструменти та інвентар</v>
      </c>
      <c r="I2416" s="19">
        <f>IFERROR(__xludf.DUMMYFUNCTION("""COMPUTED_VALUE"""),0.0383)</f>
        <v>0.0383</v>
      </c>
      <c r="J2416" s="19">
        <f>IFERROR(__xludf.DUMMYFUNCTION("""COMPUTED_VALUE"""),0.0766)</f>
        <v>0.0766</v>
      </c>
      <c r="K2416" s="19">
        <f>IFERROR(__xludf.DUMMYFUNCTION("""COMPUTED_VALUE"""),0.0958)</f>
        <v>0.0958</v>
      </c>
      <c r="L2416" s="19">
        <f>IFERROR(__xludf.DUMMYFUNCTION("""COMPUTED_VALUE"""),0.1149)</f>
        <v>0.1149</v>
      </c>
      <c r="M2416" s="18">
        <f>IFERROR(__xludf.DUMMYFUNCTION("""COMPUTED_VALUE"""),2.61)</f>
        <v>2.61</v>
      </c>
    </row>
    <row r="2417">
      <c r="A2417" s="13" t="str">
        <f>IFERROR(__xludf.DUMMYFUNCTION("""COMPUTED_VALUE"""),"товари")</f>
        <v>товари</v>
      </c>
      <c r="B2417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17" s="16" t="str">
        <f>IFERROR(__xludf.DUMMYFUNCTION("""COMPUTED_VALUE"""),"стоматологічні матеріали")</f>
        <v>стоматологічні матеріали</v>
      </c>
      <c r="D2417" s="16" t="str">
        <f>IFERROR(__xludf.DUMMYFUNCTION("""COMPUTED_VALUE"""),"стоматологічні матеріали, загальне")</f>
        <v>стоматологічні матеріали, загальне</v>
      </c>
      <c r="E2417" s="16" t="str">
        <f>IFERROR(__xludf.DUMMYFUNCTION("""COMPUTED_VALUE"""),"стоматологічні матеріали, загальне")</f>
        <v>стоматологічні матеріали, загальне</v>
      </c>
      <c r="F2417" s="17">
        <f>IFERROR(__xludf.DUMMYFUNCTION("""COMPUTED_VALUE"""),3.0)</f>
        <v>3</v>
      </c>
      <c r="G2417" s="17" t="str">
        <f>IFERROR(__xludf.DUMMYFUNCTION("""COMPUTED_VALUE"""),"161701")</f>
        <v>161701</v>
      </c>
      <c r="H2417" s="17" t="str">
        <f>IFERROR(__xludf.DUMMYFUNCTION("""COMPUTED_VALUE"""),"стоматологічні матеріали, загальне")</f>
        <v>стоматологічні матеріали, загальне</v>
      </c>
      <c r="I2417" s="19">
        <f>IFERROR(__xludf.DUMMYFUNCTION("""COMPUTED_VALUE"""),0.125)</f>
        <v>0.125</v>
      </c>
      <c r="J2417" s="19">
        <f>IFERROR(__xludf.DUMMYFUNCTION("""COMPUTED_VALUE"""),0.25)</f>
        <v>0.25</v>
      </c>
      <c r="K2417" s="19">
        <f>IFERROR(__xludf.DUMMYFUNCTION("""COMPUTED_VALUE"""),0.3125)</f>
        <v>0.3125</v>
      </c>
      <c r="L2417" s="19">
        <f>IFERROR(__xludf.DUMMYFUNCTION("""COMPUTED_VALUE"""),0.375)</f>
        <v>0.375</v>
      </c>
      <c r="M2417" s="18">
        <f>IFERROR(__xludf.DUMMYFUNCTION("""COMPUTED_VALUE"""),4.33)</f>
        <v>4.33</v>
      </c>
    </row>
    <row r="2418">
      <c r="A2418" s="13" t="str">
        <f>IFERROR(__xludf.DUMMYFUNCTION("""COMPUTED_VALUE"""),"товари")</f>
        <v>товари</v>
      </c>
      <c r="B2418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18" s="16" t="str">
        <f>IFERROR(__xludf.DUMMYFUNCTION("""COMPUTED_VALUE"""),"стоматологічні матеріали")</f>
        <v>стоматологічні матеріали</v>
      </c>
      <c r="D2418" s="16" t="str">
        <f>IFERROR(__xludf.DUMMYFUNCTION("""COMPUTED_VALUE"""),"стоматологічні цементи")</f>
        <v>стоматологічні цементи</v>
      </c>
      <c r="E2418" s="16" t="str">
        <f>IFERROR(__xludf.DUMMYFUNCTION("""COMPUTED_VALUE"""),"стоматологічні цементи")</f>
        <v>стоматологічні цементи</v>
      </c>
      <c r="F2418" s="17">
        <f>IFERROR(__xludf.DUMMYFUNCTION("""COMPUTED_VALUE"""),3.0)</f>
        <v>3</v>
      </c>
      <c r="G2418" s="17" t="str">
        <f>IFERROR(__xludf.DUMMYFUNCTION("""COMPUTED_VALUE"""),"161703")</f>
        <v>161703</v>
      </c>
      <c r="H2418" s="17" t="str">
        <f>IFERROR(__xludf.DUMMYFUNCTION("""COMPUTED_VALUE"""),"стоматологічні цементи")</f>
        <v>стоматологічні цементи</v>
      </c>
      <c r="I2418" s="19">
        <f>IFERROR(__xludf.DUMMYFUNCTION("""COMPUTED_VALUE"""),0.0385)</f>
        <v>0.0385</v>
      </c>
      <c r="J2418" s="19">
        <f>IFERROR(__xludf.DUMMYFUNCTION("""COMPUTED_VALUE"""),0.077)</f>
        <v>0.077</v>
      </c>
      <c r="K2418" s="19">
        <f>IFERROR(__xludf.DUMMYFUNCTION("""COMPUTED_VALUE"""),0.0963)</f>
        <v>0.0963</v>
      </c>
      <c r="L2418" s="19">
        <f>IFERROR(__xludf.DUMMYFUNCTION("""COMPUTED_VALUE"""),0.1155)</f>
        <v>0.1155</v>
      </c>
      <c r="M2418" s="18">
        <f>IFERROR(__xludf.DUMMYFUNCTION("""COMPUTED_VALUE"""),1.71)</f>
        <v>1.71</v>
      </c>
    </row>
    <row r="2419">
      <c r="A2419" s="20" t="str">
        <f>IFERROR(__xludf.DUMMYFUNCTION("""COMPUTED_VALUE"""),"товари")</f>
        <v>товари</v>
      </c>
      <c r="B2419" s="21" t="str">
        <f>IFERROR(__xludf.DUMMYFUNCTION("""COMPUTED_VALUE"""),"медичне обладнання та витратні матеріали")</f>
        <v>медичне обладнання та витратні матеріали</v>
      </c>
      <c r="C2419" s="21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19" s="21" t="str">
        <f>IFERROR(__xludf.DUMMYFUNCTION("""COMPUTED_VALUE"""),"сумки та укладки медичні")</f>
        <v>сумки та укладки медичні</v>
      </c>
      <c r="E2419" s="21" t="str">
        <f>IFERROR(__xludf.DUMMYFUNCTION("""COMPUTED_VALUE"""),"сумки та укладки медичні")</f>
        <v>сумки та укладки медичні</v>
      </c>
      <c r="F2419" s="22">
        <f>IFERROR(__xludf.DUMMYFUNCTION("""COMPUTED_VALUE"""),3.0)</f>
        <v>3</v>
      </c>
      <c r="G2419" s="22" t="str">
        <f>IFERROR(__xludf.DUMMYFUNCTION("""COMPUTED_VALUE"""),"161213")</f>
        <v>161213</v>
      </c>
      <c r="H2419" s="22" t="str">
        <f>IFERROR(__xludf.DUMMYFUNCTION("""COMPUTED_VALUE"""),"сумки та укладки медичні")</f>
        <v>сумки та укладки медичні</v>
      </c>
      <c r="I2419" s="19">
        <f>IFERROR(__xludf.DUMMYFUNCTION("""COMPUTED_VALUE"""),0.0447)</f>
        <v>0.0447</v>
      </c>
      <c r="J2419" s="19">
        <f>IFERROR(__xludf.DUMMYFUNCTION("""COMPUTED_VALUE"""),0.0893)</f>
        <v>0.0893</v>
      </c>
      <c r="K2419" s="19">
        <f>IFERROR(__xludf.DUMMYFUNCTION("""COMPUTED_VALUE"""),0.1116)</f>
        <v>0.1116</v>
      </c>
      <c r="L2419" s="19">
        <f>IFERROR(__xludf.DUMMYFUNCTION("""COMPUTED_VALUE"""),0.134)</f>
        <v>0.134</v>
      </c>
      <c r="M2419" s="18">
        <f>IFERROR(__xludf.DUMMYFUNCTION("""COMPUTED_VALUE"""),3.96)</f>
        <v>3.96</v>
      </c>
    </row>
    <row r="2420">
      <c r="A2420" s="13" t="str">
        <f>IFERROR(__xludf.DUMMYFUNCTION("""COMPUTED_VALUE"""),"товари")</f>
        <v>товари</v>
      </c>
      <c r="B2420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20" s="16" t="str">
        <f>IFERROR(__xludf.DUMMYFUNCTION("""COMPUTED_VALUE"""),"медичне обладнання")</f>
        <v>медичне обладнання</v>
      </c>
      <c r="D2420" s="16" t="str">
        <f>IFERROR(__xludf.DUMMYFUNCTION("""COMPUTED_VALUE"""),"фізіотерапевтичне обладнання")</f>
        <v>фізіотерапевтичне обладнання</v>
      </c>
      <c r="E2420" s="16" t="str">
        <f>IFERROR(__xludf.DUMMYFUNCTION("""COMPUTED_VALUE"""),"фізіотерапевтичні апарати")</f>
        <v>фізіотерапевтичні апарати</v>
      </c>
      <c r="F2420" s="17">
        <f>IFERROR(__xludf.DUMMYFUNCTION("""COMPUTED_VALUE"""),4.0)</f>
        <v>4</v>
      </c>
      <c r="G2420" s="17">
        <f>IFERROR(__xludf.DUMMYFUNCTION("""COMPUTED_VALUE"""),1.6110404E7)</f>
        <v>16110404</v>
      </c>
      <c r="H2420" s="17" t="str">
        <f>IFERROR(__xludf.DUMMYFUNCTION("""COMPUTED_VALUE"""),"фізіотерапевтичні апарати")</f>
        <v>фізіотерапевтичні апарати</v>
      </c>
      <c r="I2420" s="19">
        <f>IFERROR(__xludf.DUMMYFUNCTION("""COMPUTED_VALUE"""),0.062)</f>
        <v>0.062</v>
      </c>
      <c r="J2420" s="19">
        <f>IFERROR(__xludf.DUMMYFUNCTION("""COMPUTED_VALUE"""),0.1239)</f>
        <v>0.1239</v>
      </c>
      <c r="K2420" s="19">
        <f>IFERROR(__xludf.DUMMYFUNCTION("""COMPUTED_VALUE"""),0.1549)</f>
        <v>0.1549</v>
      </c>
      <c r="L2420" s="19">
        <f>IFERROR(__xludf.DUMMYFUNCTION("""COMPUTED_VALUE"""),0.1859)</f>
        <v>0.1859</v>
      </c>
      <c r="M2420" s="18">
        <f>IFERROR(__xludf.DUMMYFUNCTION("""COMPUTED_VALUE"""),4.41)</f>
        <v>4.41</v>
      </c>
    </row>
    <row r="2421">
      <c r="A2421" s="13" t="str">
        <f>IFERROR(__xludf.DUMMYFUNCTION("""COMPUTED_VALUE"""),"товари")</f>
        <v>товари</v>
      </c>
      <c r="B2421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21" s="16" t="str">
        <f>IFERROR(__xludf.DUMMYFUNCTION("""COMPUTED_VALUE"""),"медичне обладнання")</f>
        <v>медичне обладнання</v>
      </c>
      <c r="D2421" s="16" t="str">
        <f>IFERROR(__xludf.DUMMYFUNCTION("""COMPUTED_VALUE"""),"операційне обладнання та інструмент")</f>
        <v>операційне обладнання та інструмент</v>
      </c>
      <c r="E2421" s="16" t="str">
        <f>IFERROR(__xludf.DUMMYFUNCTION("""COMPUTED_VALUE"""),"хірургічне обладнання")</f>
        <v>хірургічне обладнання</v>
      </c>
      <c r="F2421" s="17">
        <f>IFERROR(__xludf.DUMMYFUNCTION("""COMPUTED_VALUE"""),4.0)</f>
        <v>4</v>
      </c>
      <c r="G2421" s="17">
        <f>IFERROR(__xludf.DUMMYFUNCTION("""COMPUTED_VALUE"""),1.6111001E7)</f>
        <v>16111001</v>
      </c>
      <c r="H2421" s="17" t="str">
        <f>IFERROR(__xludf.DUMMYFUNCTION("""COMPUTED_VALUE"""),"хірургічне обладнання")</f>
        <v>хірургічне обладнання</v>
      </c>
      <c r="I2421" s="19">
        <f>IFERROR(__xludf.DUMMYFUNCTION("""COMPUTED_VALUE"""),0.0474)</f>
        <v>0.0474</v>
      </c>
      <c r="J2421" s="19">
        <f>IFERROR(__xludf.DUMMYFUNCTION("""COMPUTED_VALUE"""),0.0948)</f>
        <v>0.0948</v>
      </c>
      <c r="K2421" s="19">
        <f>IFERROR(__xludf.DUMMYFUNCTION("""COMPUTED_VALUE"""),0.1185)</f>
        <v>0.1185</v>
      </c>
      <c r="L2421" s="19">
        <f>IFERROR(__xludf.DUMMYFUNCTION("""COMPUTED_VALUE"""),0.1422)</f>
        <v>0.1422</v>
      </c>
      <c r="M2421" s="18">
        <f>IFERROR(__xludf.DUMMYFUNCTION("""COMPUTED_VALUE"""),4.65)</f>
        <v>4.65</v>
      </c>
    </row>
    <row r="2422">
      <c r="A2422" s="13" t="str">
        <f>IFERROR(__xludf.DUMMYFUNCTION("""COMPUTED_VALUE"""),"товари")</f>
        <v>товари</v>
      </c>
      <c r="B2422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22" s="16" t="str">
        <f>IFERROR(__xludf.DUMMYFUNCTION("""COMPUTED_VALUE"""),"медичне обладнання")</f>
        <v>медичне обладнання</v>
      </c>
      <c r="D2422" s="16" t="str">
        <f>IFERROR(__xludf.DUMMYFUNCTION("""COMPUTED_VALUE"""),"лабораторне обладнання")</f>
        <v>лабораторне обладнання</v>
      </c>
      <c r="E2422" s="16" t="str">
        <f>IFERROR(__xludf.DUMMYFUNCTION("""COMPUTED_VALUE"""),"центрифуги лабораторні")</f>
        <v>центрифуги лабораторні</v>
      </c>
      <c r="F2422" s="17">
        <f>IFERROR(__xludf.DUMMYFUNCTION("""COMPUTED_VALUE"""),4.0)</f>
        <v>4</v>
      </c>
      <c r="G2422" s="17">
        <f>IFERROR(__xludf.DUMMYFUNCTION("""COMPUTED_VALUE"""),82614.0)</f>
        <v>82614</v>
      </c>
      <c r="H2422" s="17" t="str">
        <f>IFERROR(__xludf.DUMMYFUNCTION("""COMPUTED_VALUE"""),"центрифуги лабораторні")</f>
        <v>центрифуги лабораторні</v>
      </c>
      <c r="I2422" s="19">
        <f>IFERROR(__xludf.DUMMYFUNCTION("""COMPUTED_VALUE"""),0.0648)</f>
        <v>0.0648</v>
      </c>
      <c r="J2422" s="19">
        <f>IFERROR(__xludf.DUMMYFUNCTION("""COMPUTED_VALUE"""),0.1296)</f>
        <v>0.1296</v>
      </c>
      <c r="K2422" s="19">
        <f>IFERROR(__xludf.DUMMYFUNCTION("""COMPUTED_VALUE"""),0.162)</f>
        <v>0.162</v>
      </c>
      <c r="L2422" s="19">
        <f>IFERROR(__xludf.DUMMYFUNCTION("""COMPUTED_VALUE"""),0.1944)</f>
        <v>0.1944</v>
      </c>
      <c r="M2422" s="18">
        <f>IFERROR(__xludf.DUMMYFUNCTION("""COMPUTED_VALUE"""),3.6)</f>
        <v>3.6</v>
      </c>
    </row>
    <row r="2423">
      <c r="A2423" s="13" t="str">
        <f>IFERROR(__xludf.DUMMYFUNCTION("""COMPUTED_VALUE"""),"товари")</f>
        <v>товари</v>
      </c>
      <c r="B2423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23" s="16" t="str">
        <f>IFERROR(__xludf.DUMMYFUNCTION("""COMPUTED_VALUE"""),"медичне обладнання")</f>
        <v>медичне обладнання</v>
      </c>
      <c r="D2423" s="16" t="str">
        <f>IFERROR(__xludf.DUMMYFUNCTION("""COMPUTED_VALUE"""),"обладнання для іммобілізації")</f>
        <v>обладнання для іммобілізації</v>
      </c>
      <c r="E2423" s="16" t="str">
        <f>IFERROR(__xludf.DUMMYFUNCTION("""COMPUTED_VALUE"""),"шини та коміри іммобілізаційні")</f>
        <v>шини та коміри іммобілізаційні</v>
      </c>
      <c r="F2423" s="17">
        <f>IFERROR(__xludf.DUMMYFUNCTION("""COMPUTED_VALUE"""),4.0)</f>
        <v>4</v>
      </c>
      <c r="G2423" s="17" t="str">
        <f>IFERROR(__xludf.DUMMYFUNCTION("""COMPUTED_VALUE"""),"16112402")</f>
        <v>16112402</v>
      </c>
      <c r="H2423" s="17" t="str">
        <f>IFERROR(__xludf.DUMMYFUNCTION("""COMPUTED_VALUE"""),"шини та коміри іммобілізаційні")</f>
        <v>шини та коміри іммобілізаційні</v>
      </c>
      <c r="I2423" s="19">
        <f>IFERROR(__xludf.DUMMYFUNCTION("""COMPUTED_VALUE"""),0.0541)</f>
        <v>0.0541</v>
      </c>
      <c r="J2423" s="19">
        <f>IFERROR(__xludf.DUMMYFUNCTION("""COMPUTED_VALUE"""),0.1082)</f>
        <v>0.1082</v>
      </c>
      <c r="K2423" s="19">
        <f>IFERROR(__xludf.DUMMYFUNCTION("""COMPUTED_VALUE"""),0.1353)</f>
        <v>0.1353</v>
      </c>
      <c r="L2423" s="19">
        <f>IFERROR(__xludf.DUMMYFUNCTION("""COMPUTED_VALUE"""),0.1623)</f>
        <v>0.1623</v>
      </c>
      <c r="M2423" s="18">
        <f>IFERROR(__xludf.DUMMYFUNCTION("""COMPUTED_VALUE"""),5.4)</f>
        <v>5.4</v>
      </c>
    </row>
    <row r="2424">
      <c r="A2424" s="13" t="str">
        <f>IFERROR(__xludf.DUMMYFUNCTION("""COMPUTED_VALUE"""),"товари")</f>
        <v>товари</v>
      </c>
      <c r="B2424" s="16" t="str">
        <f>IFERROR(__xludf.DUMMYFUNCTION("""COMPUTED_VALUE"""),"медичне обладнання та витратні матеріали")</f>
        <v>медичне обладнання та витратні матеріали</v>
      </c>
      <c r="C2424" s="16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24" s="16" t="str">
        <f>IFERROR(__xludf.DUMMYFUNCTION("""COMPUTED_VALUE"""),"шовний матеріал")</f>
        <v>шовний матеріал</v>
      </c>
      <c r="E2424" s="16" t="str">
        <f>IFERROR(__xludf.DUMMYFUNCTION("""COMPUTED_VALUE"""),"шовний матеріал")</f>
        <v>шовний матеріал</v>
      </c>
      <c r="F2424" s="17">
        <f>IFERROR(__xludf.DUMMYFUNCTION("""COMPUTED_VALUE"""),3.0)</f>
        <v>3</v>
      </c>
      <c r="G2424" s="17" t="str">
        <f>IFERROR(__xludf.DUMMYFUNCTION("""COMPUTED_VALUE"""),"161301")</f>
        <v>161301</v>
      </c>
      <c r="H2424" s="17" t="str">
        <f>IFERROR(__xludf.DUMMYFUNCTION("""COMPUTED_VALUE"""),"шовний матеріал")</f>
        <v>шовний матеріал</v>
      </c>
      <c r="I2424" s="19">
        <f>IFERROR(__xludf.DUMMYFUNCTION("""COMPUTED_VALUE"""),0.0678)</f>
        <v>0.0678</v>
      </c>
      <c r="J2424" s="19">
        <f>IFERROR(__xludf.DUMMYFUNCTION("""COMPUTED_VALUE"""),0.1355)</f>
        <v>0.1355</v>
      </c>
      <c r="K2424" s="19">
        <f>IFERROR(__xludf.DUMMYFUNCTION("""COMPUTED_VALUE"""),0.1694)</f>
        <v>0.1694</v>
      </c>
      <c r="L2424" s="19">
        <f>IFERROR(__xludf.DUMMYFUNCTION("""COMPUTED_VALUE"""),0.2033)</f>
        <v>0.2033</v>
      </c>
      <c r="M2424" s="18">
        <f>IFERROR(__xludf.DUMMYFUNCTION("""COMPUTED_VALUE"""),3.43)</f>
        <v>3.43</v>
      </c>
    </row>
    <row r="2425">
      <c r="A2425" s="13" t="str">
        <f>IFERROR(__xludf.DUMMYFUNCTION("""COMPUTED_VALUE"""),"товари")</f>
        <v>товари</v>
      </c>
      <c r="B2425" s="16" t="str">
        <f>IFERROR(__xludf.DUMMYFUNCTION("""COMPUTED_VALUE"""),"неліквідні запаси (стоки)")</f>
        <v>неліквідні запаси (стоки)</v>
      </c>
      <c r="C2425" s="16" t="str">
        <f>IFERROR(__xludf.DUMMYFUNCTION("""COMPUTED_VALUE"""),"сток одягу і взуття, секонд хенд")</f>
        <v>сток одягу і взуття, секонд хенд</v>
      </c>
      <c r="D2425" s="16" t="str">
        <f>IFERROR(__xludf.DUMMYFUNCTION("""COMPUTED_VALUE"""),"сток одягу і взуття, секонд хенд")</f>
        <v>сток одягу і взуття, секонд хенд</v>
      </c>
      <c r="E2425" s="16" t="str">
        <f>IFERROR(__xludf.DUMMYFUNCTION("""COMPUTED_VALUE"""),"сток одягу і взуття, секонд хенд")</f>
        <v>сток одягу і взуття, секонд хенд</v>
      </c>
      <c r="F2425" s="17">
        <f>IFERROR(__xludf.DUMMYFUNCTION("""COMPUTED_VALUE"""),2.0)</f>
        <v>2</v>
      </c>
      <c r="G2425" s="17" t="str">
        <f>IFERROR(__xludf.DUMMYFUNCTION("""COMPUTED_VALUE"""),"337")</f>
        <v>337</v>
      </c>
      <c r="H2425" s="17" t="str">
        <f>IFERROR(__xludf.DUMMYFUNCTION("""COMPUTED_VALUE"""),"сток одягу і взуття, секонд хенд")</f>
        <v>сток одягу і взуття, секонд хенд</v>
      </c>
      <c r="I2425" s="19">
        <f>IFERROR(__xludf.DUMMYFUNCTION("""COMPUTED_VALUE"""),0.0462)</f>
        <v>0.0462</v>
      </c>
      <c r="J2425" s="19">
        <f>IFERROR(__xludf.DUMMYFUNCTION("""COMPUTED_VALUE"""),0.0924)</f>
        <v>0.0924</v>
      </c>
      <c r="K2425" s="19">
        <f>IFERROR(__xludf.DUMMYFUNCTION("""COMPUTED_VALUE"""),0.1155)</f>
        <v>0.1155</v>
      </c>
      <c r="L2425" s="19">
        <f>IFERROR(__xludf.DUMMYFUNCTION("""COMPUTED_VALUE"""),0.1386)</f>
        <v>0.1386</v>
      </c>
      <c r="M2425" s="18">
        <f>IFERROR(__xludf.DUMMYFUNCTION("""COMPUTED_VALUE"""),1.26)</f>
        <v>1.26</v>
      </c>
    </row>
    <row r="2426">
      <c r="A2426" s="13" t="str">
        <f>IFERROR(__xludf.DUMMYFUNCTION("""COMPUTED_VALUE"""),"товари")</f>
        <v>товари</v>
      </c>
      <c r="B2426" s="16" t="str">
        <f>IFERROR(__xludf.DUMMYFUNCTION("""COMPUTED_VALUE"""),"обладнання та товари для надання послуг")</f>
        <v>обладнання та товари для надання послуг</v>
      </c>
      <c r="C2426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426" s="16" t="str">
        <f>IFERROR(__xludf.DUMMYFUNCTION("""COMPUTED_VALUE""")," 3d голографічні пристрої")</f>
        <v> 3d голографічні пристрої</v>
      </c>
      <c r="E2426" s="16" t="str">
        <f>IFERROR(__xludf.DUMMYFUNCTION("""COMPUTED_VALUE""")," 3d голографічні пристрої")</f>
        <v> 3d голографічні пристрої</v>
      </c>
      <c r="F2426" s="17">
        <f>IFERROR(__xludf.DUMMYFUNCTION("""COMPUTED_VALUE"""),3.0)</f>
        <v>3</v>
      </c>
      <c r="G2426" s="17" t="str">
        <f>IFERROR(__xludf.DUMMYFUNCTION("""COMPUTED_VALUE"""),"500703")</f>
        <v>500703</v>
      </c>
      <c r="H2426" s="17" t="str">
        <f>IFERROR(__xludf.DUMMYFUNCTION("""COMPUTED_VALUE""")," 3d голографічні пристрої")</f>
        <v> 3d голографічні пристрої</v>
      </c>
      <c r="I2426" s="19">
        <f>IFERROR(__xludf.DUMMYFUNCTION("""COMPUTED_VALUE"""),0.0629)</f>
        <v>0.0629</v>
      </c>
      <c r="J2426" s="19">
        <f>IFERROR(__xludf.DUMMYFUNCTION("""COMPUTED_VALUE"""),0.1257)</f>
        <v>0.1257</v>
      </c>
      <c r="K2426" s="19">
        <f>IFERROR(__xludf.DUMMYFUNCTION("""COMPUTED_VALUE"""),0.1571)</f>
        <v>0.1571</v>
      </c>
      <c r="L2426" s="19">
        <f>IFERROR(__xludf.DUMMYFUNCTION("""COMPUTED_VALUE"""),0.1886)</f>
        <v>0.1886</v>
      </c>
      <c r="M2426" s="18">
        <f>IFERROR(__xludf.DUMMYFUNCTION("""COMPUTED_VALUE"""),1.98)</f>
        <v>1.98</v>
      </c>
    </row>
    <row r="2427">
      <c r="A2427" s="13" t="str">
        <f>IFERROR(__xludf.DUMMYFUNCTION("""COMPUTED_VALUE"""),"товари")</f>
        <v>товари</v>
      </c>
      <c r="B2427" s="16" t="str">
        <f>IFERROR(__xludf.DUMMYFUNCTION("""COMPUTED_VALUE"""),"обладнання та товари для надання послуг")</f>
        <v>обладнання та товари для надання послуг</v>
      </c>
      <c r="C2427" s="16" t="str">
        <f>IFERROR(__xludf.DUMMYFUNCTION("""COMPUTED_VALUE"""),"horeca&amp;fast-food")</f>
        <v>horeca&amp;fast-food</v>
      </c>
      <c r="D2427" s="16" t="str">
        <f>IFERROR(__xludf.DUMMYFUNCTION("""COMPUTED_VALUE"""),"horeca&amp;fast-food, загальне")</f>
        <v>horeca&amp;fast-food, загальне</v>
      </c>
      <c r="E2427" s="16" t="str">
        <f>IFERROR(__xludf.DUMMYFUNCTION("""COMPUTED_VALUE"""),"horeca&amp;fast-food, загальне")</f>
        <v>horeca&amp;fast-food, загальне</v>
      </c>
      <c r="F2427" s="17">
        <f>IFERROR(__xludf.DUMMYFUNCTION("""COMPUTED_VALUE"""),3.0)</f>
        <v>3</v>
      </c>
      <c r="G2427" s="17" t="str">
        <f>IFERROR(__xludf.DUMMYFUNCTION("""COMPUTED_VALUE"""),"240699")</f>
        <v>240699</v>
      </c>
      <c r="H2427" s="17" t="str">
        <f>IFERROR(__xludf.DUMMYFUNCTION("""COMPUTED_VALUE"""),"horeca&amp;fast-food, загальне")</f>
        <v>horeca&amp;fast-food, загальне</v>
      </c>
      <c r="I2427" s="19">
        <f>IFERROR(__xludf.DUMMYFUNCTION("""COMPUTED_VALUE"""),0.125)</f>
        <v>0.125</v>
      </c>
      <c r="J2427" s="19">
        <f>IFERROR(__xludf.DUMMYFUNCTION("""COMPUTED_VALUE"""),0.25)</f>
        <v>0.25</v>
      </c>
      <c r="K2427" s="19">
        <f>IFERROR(__xludf.DUMMYFUNCTION("""COMPUTED_VALUE"""),0.3125)</f>
        <v>0.3125</v>
      </c>
      <c r="L2427" s="19">
        <f>IFERROR(__xludf.DUMMYFUNCTION("""COMPUTED_VALUE"""),0.375)</f>
        <v>0.375</v>
      </c>
      <c r="M2427" s="18">
        <f>IFERROR(__xludf.DUMMYFUNCTION("""COMPUTED_VALUE"""),4.33)</f>
        <v>4.33</v>
      </c>
    </row>
    <row r="2428">
      <c r="A2428" s="13" t="str">
        <f>IFERROR(__xludf.DUMMYFUNCTION("""COMPUTED_VALUE"""),"товари")</f>
        <v>товари</v>
      </c>
      <c r="B2428" s="16" t="str">
        <f>IFERROR(__xludf.DUMMYFUNCTION("""COMPUTED_VALUE"""),"обладнання та товари для надання послуг")</f>
        <v>обладнання та товари для надання послуг</v>
      </c>
      <c r="C2428" s="16" t="str">
        <f>IFERROR(__xludf.DUMMYFUNCTION("""COMPUTED_VALUE"""),"обладнання для автосервісу")</f>
        <v>обладнання для автосервісу</v>
      </c>
      <c r="D2428" s="16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2428" s="16" t="str">
        <f>IFERROR(__xludf.DUMMYFUNCTION("""COMPUTED_VALUE"""),"автомобільні діагностичні сканери")</f>
        <v>автомобільні діагностичні сканери</v>
      </c>
      <c r="F2428" s="17">
        <f>IFERROR(__xludf.DUMMYFUNCTION("""COMPUTED_VALUE"""),4.0)</f>
        <v>4</v>
      </c>
      <c r="G2428" s="17" t="str">
        <f>IFERROR(__xludf.DUMMYFUNCTION("""COMPUTED_VALUE"""),"12110611")</f>
        <v>12110611</v>
      </c>
      <c r="H2428" s="17" t="str">
        <f>IFERROR(__xludf.DUMMYFUNCTION("""COMPUTED_VALUE"""),"автомобільні діагностичні сканери")</f>
        <v>автомобільні діагностичні сканери</v>
      </c>
      <c r="I2428" s="19">
        <f>IFERROR(__xludf.DUMMYFUNCTION("""COMPUTED_VALUE"""),0.0733)</f>
        <v>0.0733</v>
      </c>
      <c r="J2428" s="19">
        <f>IFERROR(__xludf.DUMMYFUNCTION("""COMPUTED_VALUE"""),0.1466)</f>
        <v>0.1466</v>
      </c>
      <c r="K2428" s="19">
        <f>IFERROR(__xludf.DUMMYFUNCTION("""COMPUTED_VALUE"""),0.1833)</f>
        <v>0.1833</v>
      </c>
      <c r="L2428" s="19">
        <f>IFERROR(__xludf.DUMMYFUNCTION("""COMPUTED_VALUE"""),0.2199)</f>
        <v>0.2199</v>
      </c>
      <c r="M2428" s="18">
        <f>IFERROR(__xludf.DUMMYFUNCTION("""COMPUTED_VALUE"""),3.9)</f>
        <v>3.9</v>
      </c>
    </row>
    <row r="2429">
      <c r="A2429" s="13" t="str">
        <f>IFERROR(__xludf.DUMMYFUNCTION("""COMPUTED_VALUE"""),"товари")</f>
        <v>товари</v>
      </c>
      <c r="B2429" s="16" t="str">
        <f>IFERROR(__xludf.DUMMYFUNCTION("""COMPUTED_VALUE"""),"обладнання та товари для надання послуг")</f>
        <v>обладнання та товари для надання послуг</v>
      </c>
      <c r="C2429" s="16" t="str">
        <f>IFERROR(__xludf.DUMMYFUNCTION("""COMPUTED_VALUE"""),"обладнання для автосервісу")</f>
        <v>обладнання для автосервісу</v>
      </c>
      <c r="D2429" s="16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2429" s="16" t="str">
        <f>IFERROR(__xludf.DUMMYFUNCTION("""COMPUTED_VALUE"""),"автомобільні стетоскопи")</f>
        <v>автомобільні стетоскопи</v>
      </c>
      <c r="F2429" s="17">
        <f>IFERROR(__xludf.DUMMYFUNCTION("""COMPUTED_VALUE"""),4.0)</f>
        <v>4</v>
      </c>
      <c r="G2429" s="17" t="str">
        <f>IFERROR(__xludf.DUMMYFUNCTION("""COMPUTED_VALUE"""),"12110613")</f>
        <v>12110613</v>
      </c>
      <c r="H2429" s="17" t="str">
        <f>IFERROR(__xludf.DUMMYFUNCTION("""COMPUTED_VALUE"""),"автомобільні стетоскопи")</f>
        <v>автомобільні стетоскопи</v>
      </c>
      <c r="I2429" s="19">
        <f>IFERROR(__xludf.DUMMYFUNCTION("""COMPUTED_VALUE"""),0.0743)</f>
        <v>0.0743</v>
      </c>
      <c r="J2429" s="19">
        <f>IFERROR(__xludf.DUMMYFUNCTION("""COMPUTED_VALUE"""),0.1486)</f>
        <v>0.1486</v>
      </c>
      <c r="K2429" s="19">
        <f>IFERROR(__xludf.DUMMYFUNCTION("""COMPUTED_VALUE"""),0.1858)</f>
        <v>0.1858</v>
      </c>
      <c r="L2429" s="19">
        <f>IFERROR(__xludf.DUMMYFUNCTION("""COMPUTED_VALUE"""),0.2229)</f>
        <v>0.2229</v>
      </c>
      <c r="M2429" s="18">
        <f>IFERROR(__xludf.DUMMYFUNCTION("""COMPUTED_VALUE"""),3.9)</f>
        <v>3.9</v>
      </c>
    </row>
    <row r="2430">
      <c r="A2430" s="13" t="str">
        <f>IFERROR(__xludf.DUMMYFUNCTION("""COMPUTED_VALUE"""),"товари")</f>
        <v>товари</v>
      </c>
      <c r="B2430" s="16" t="str">
        <f>IFERROR(__xludf.DUMMYFUNCTION("""COMPUTED_VALUE"""),"обладнання та товари для надання послуг")</f>
        <v>обладнання та товари для надання послуг</v>
      </c>
      <c r="C2430" s="16" t="str">
        <f>IFERROR(__xludf.DUMMYFUNCTION("""COMPUTED_VALUE"""),"horeca&amp;fast-food")</f>
        <v>horeca&amp;fast-food</v>
      </c>
      <c r="D2430" s="16" t="str">
        <f>IFERROR(__xludf.DUMMYFUNCTION("""COMPUTED_VALUE"""),"аксесуари бариста")</f>
        <v>аксесуари бариста</v>
      </c>
      <c r="E2430" s="16" t="str">
        <f>IFERROR(__xludf.DUMMYFUNCTION("""COMPUTED_VALUE"""),"аксесуари бариста")</f>
        <v>аксесуари бариста</v>
      </c>
      <c r="F2430" s="17">
        <f>IFERROR(__xludf.DUMMYFUNCTION("""COMPUTED_VALUE"""),3.0)</f>
        <v>3</v>
      </c>
      <c r="G2430" s="17" t="str">
        <f>IFERROR(__xludf.DUMMYFUNCTION("""COMPUTED_VALUE"""),"240681")</f>
        <v>240681</v>
      </c>
      <c r="H2430" s="17" t="str">
        <f>IFERROR(__xludf.DUMMYFUNCTION("""COMPUTED_VALUE"""),"аксесуари бариста")</f>
        <v>аксесуари бариста</v>
      </c>
      <c r="I2430" s="19">
        <f>IFERROR(__xludf.DUMMYFUNCTION("""COMPUTED_VALUE"""),0.0737)</f>
        <v>0.0737</v>
      </c>
      <c r="J2430" s="19">
        <f>IFERROR(__xludf.DUMMYFUNCTION("""COMPUTED_VALUE"""),0.1473)</f>
        <v>0.1473</v>
      </c>
      <c r="K2430" s="19">
        <f>IFERROR(__xludf.DUMMYFUNCTION("""COMPUTED_VALUE"""),0.1841)</f>
        <v>0.1841</v>
      </c>
      <c r="L2430" s="19">
        <f>IFERROR(__xludf.DUMMYFUNCTION("""COMPUTED_VALUE"""),0.221)</f>
        <v>0.221</v>
      </c>
      <c r="M2430" s="18">
        <f>IFERROR(__xludf.DUMMYFUNCTION("""COMPUTED_VALUE"""),2.7)</f>
        <v>2.7</v>
      </c>
    </row>
    <row r="2431">
      <c r="A2431" s="13" t="str">
        <f>IFERROR(__xludf.DUMMYFUNCTION("""COMPUTED_VALUE"""),"товари")</f>
        <v>товари</v>
      </c>
      <c r="B2431" s="16" t="str">
        <f>IFERROR(__xludf.DUMMYFUNCTION("""COMPUTED_VALUE"""),"обладнання та товари для надання послуг")</f>
        <v>обладнання та товари для надання послуг</v>
      </c>
      <c r="C2431" s="16" t="str">
        <f>IFERROR(__xludf.DUMMYFUNCTION("""COMPUTED_VALUE"""),"horeca&amp;fast-food")</f>
        <v>horeca&amp;fast-food</v>
      </c>
      <c r="D2431" s="16" t="str">
        <f>IFERROR(__xludf.DUMMYFUNCTION("""COMPUTED_VALUE"""),"аксесуари для барменів")</f>
        <v>аксесуари для барменів</v>
      </c>
      <c r="E2431" s="16" t="str">
        <f>IFERROR(__xludf.DUMMYFUNCTION("""COMPUTED_VALUE"""),"аксесуари для барменів, загальне")</f>
        <v>аксесуари для барменів, загальне</v>
      </c>
      <c r="F2431" s="17">
        <f>IFERROR(__xludf.DUMMYFUNCTION("""COMPUTED_VALUE"""),4.0)</f>
        <v>4</v>
      </c>
      <c r="G2431" s="17" t="str">
        <f>IFERROR(__xludf.DUMMYFUNCTION("""COMPUTED_VALUE"""),"240679")</f>
        <v>240679</v>
      </c>
      <c r="H2431" s="17" t="str">
        <f>IFERROR(__xludf.DUMMYFUNCTION("""COMPUTED_VALUE"""),"аксесуари для барменів, загальне")</f>
        <v>аксесуари для барменів, загальне</v>
      </c>
      <c r="I2431" s="19">
        <f>IFERROR(__xludf.DUMMYFUNCTION("""COMPUTED_VALUE"""),0.125)</f>
        <v>0.125</v>
      </c>
      <c r="J2431" s="19">
        <f>IFERROR(__xludf.DUMMYFUNCTION("""COMPUTED_VALUE"""),0.25)</f>
        <v>0.25</v>
      </c>
      <c r="K2431" s="19">
        <f>IFERROR(__xludf.DUMMYFUNCTION("""COMPUTED_VALUE"""),0.3125)</f>
        <v>0.3125</v>
      </c>
      <c r="L2431" s="19">
        <f>IFERROR(__xludf.DUMMYFUNCTION("""COMPUTED_VALUE"""),0.375)</f>
        <v>0.375</v>
      </c>
      <c r="M2431" s="18">
        <f>IFERROR(__xludf.DUMMYFUNCTION("""COMPUTED_VALUE"""),4.33)</f>
        <v>4.33</v>
      </c>
    </row>
    <row r="2432">
      <c r="A2432" s="13" t="str">
        <f>IFERROR(__xludf.DUMMYFUNCTION("""COMPUTED_VALUE"""),"товари")</f>
        <v>товари</v>
      </c>
      <c r="B2432" s="16" t="str">
        <f>IFERROR(__xludf.DUMMYFUNCTION("""COMPUTED_VALUE"""),"обладнання та товари для надання послуг")</f>
        <v>обладнання та товари для надання послуг</v>
      </c>
      <c r="C2432" s="16" t="str">
        <f>IFERROR(__xludf.DUMMYFUNCTION("""COMPUTED_VALUE"""),"все для салонів краси")</f>
        <v>все для салонів краси</v>
      </c>
      <c r="D2432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432" s="16" t="str">
        <f>IFERROR(__xludf.DUMMYFUNCTION("""COMPUTED_VALUE"""),"аксесуари для перукарських інструментів")</f>
        <v>аксесуари для перукарських інструментів</v>
      </c>
      <c r="F2432" s="17">
        <f>IFERROR(__xludf.DUMMYFUNCTION("""COMPUTED_VALUE"""),4.0)</f>
        <v>4</v>
      </c>
      <c r="G2432" s="17" t="str">
        <f>IFERROR(__xludf.DUMMYFUNCTION("""COMPUTED_VALUE"""),"283010")</f>
        <v>283010</v>
      </c>
      <c r="H2432" s="17" t="str">
        <f>IFERROR(__xludf.DUMMYFUNCTION("""COMPUTED_VALUE"""),"аксесуари для перукарських інструментів")</f>
        <v>аксесуари для перукарських інструментів</v>
      </c>
      <c r="I2432" s="19">
        <f>IFERROR(__xludf.DUMMYFUNCTION("""COMPUTED_VALUE"""),0.0773)</f>
        <v>0.0773</v>
      </c>
      <c r="J2432" s="19">
        <f>IFERROR(__xludf.DUMMYFUNCTION("""COMPUTED_VALUE"""),0.1546)</f>
        <v>0.1546</v>
      </c>
      <c r="K2432" s="19">
        <f>IFERROR(__xludf.DUMMYFUNCTION("""COMPUTED_VALUE"""),0.1933)</f>
        <v>0.1933</v>
      </c>
      <c r="L2432" s="19">
        <f>IFERROR(__xludf.DUMMYFUNCTION("""COMPUTED_VALUE"""),0.2319)</f>
        <v>0.2319</v>
      </c>
      <c r="M2432" s="18">
        <f>IFERROR(__xludf.DUMMYFUNCTION("""COMPUTED_VALUE"""),3.33)</f>
        <v>3.33</v>
      </c>
    </row>
    <row r="2433">
      <c r="A2433" s="13" t="str">
        <f>IFERROR(__xludf.DUMMYFUNCTION("""COMPUTED_VALUE"""),"товари")</f>
        <v>товари</v>
      </c>
      <c r="B2433" s="16" t="str">
        <f>IFERROR(__xludf.DUMMYFUNCTION("""COMPUTED_VALUE"""),"обладнання та товари для надання послуг")</f>
        <v>обладнання та товари для надання послуг</v>
      </c>
      <c r="C2433" s="16" t="str">
        <f>IFERROR(__xludf.DUMMYFUNCTION("""COMPUTED_VALUE"""),"все для салонів краси")</f>
        <v>все для салонів краси</v>
      </c>
      <c r="D2433" s="16" t="str">
        <f>IFERROR(__xludf.DUMMYFUNCTION("""COMPUTED_VALUE"""),"все для татуювання, боді-арту, пірсингу")</f>
        <v>все для татуювання, боді-арту, пірсингу</v>
      </c>
      <c r="E2433" s="16" t="str">
        <f>IFERROR(__xludf.DUMMYFUNCTION("""COMPUTED_VALUE"""),"аксесуари для тату і боді-арту")</f>
        <v>аксесуари для тату і боді-арту</v>
      </c>
      <c r="F2433" s="17">
        <f>IFERROR(__xludf.DUMMYFUNCTION("""COMPUTED_VALUE"""),4.0)</f>
        <v>4</v>
      </c>
      <c r="G2433" s="17" t="str">
        <f>IFERROR(__xludf.DUMMYFUNCTION("""COMPUTED_VALUE"""),"282973")</f>
        <v>282973</v>
      </c>
      <c r="H2433" s="17" t="str">
        <f>IFERROR(__xludf.DUMMYFUNCTION("""COMPUTED_VALUE"""),"аксесуари для тату і боді-арту")</f>
        <v>аксесуари для тату і боді-арту</v>
      </c>
      <c r="I2433" s="19">
        <f>IFERROR(__xludf.DUMMYFUNCTION("""COMPUTED_VALUE"""),0.076)</f>
        <v>0.076</v>
      </c>
      <c r="J2433" s="19">
        <f>IFERROR(__xludf.DUMMYFUNCTION("""COMPUTED_VALUE"""),0.1519)</f>
        <v>0.1519</v>
      </c>
      <c r="K2433" s="19">
        <f>IFERROR(__xludf.DUMMYFUNCTION("""COMPUTED_VALUE"""),0.1899)</f>
        <v>0.1899</v>
      </c>
      <c r="L2433" s="19">
        <f>IFERROR(__xludf.DUMMYFUNCTION("""COMPUTED_VALUE"""),0.2279)</f>
        <v>0.2279</v>
      </c>
      <c r="M2433" s="18">
        <f>IFERROR(__xludf.DUMMYFUNCTION("""COMPUTED_VALUE"""),2.25)</f>
        <v>2.25</v>
      </c>
    </row>
    <row r="2434">
      <c r="A2434" s="13" t="str">
        <f>IFERROR(__xludf.DUMMYFUNCTION("""COMPUTED_VALUE"""),"товари")</f>
        <v>товари</v>
      </c>
      <c r="B2434" s="16" t="str">
        <f>IFERROR(__xludf.DUMMYFUNCTION("""COMPUTED_VALUE"""),"обладнання та товари для надання послуг")</f>
        <v>обладнання та товари для надання послуг</v>
      </c>
      <c r="C2434" s="16" t="str">
        <f>IFERROR(__xludf.DUMMYFUNCTION("""COMPUTED_VALUE"""),"horeca&amp;fast-food")</f>
        <v>horeca&amp;fast-food</v>
      </c>
      <c r="D2434" s="16" t="str">
        <f>IFERROR(__xludf.DUMMYFUNCTION("""COMPUTED_VALUE"""),"аксесуари для барменів")</f>
        <v>аксесуари для барменів</v>
      </c>
      <c r="E2434" s="16" t="str">
        <f>IFERROR(__xludf.DUMMYFUNCTION("""COMPUTED_VALUE"""),"аксесуари для флейринга")</f>
        <v>аксесуари для флейринга</v>
      </c>
      <c r="F2434" s="17">
        <f>IFERROR(__xludf.DUMMYFUNCTION("""COMPUTED_VALUE"""),4.0)</f>
        <v>4</v>
      </c>
      <c r="G2434" s="17" t="str">
        <f>IFERROR(__xludf.DUMMYFUNCTION("""COMPUTED_VALUE"""),"152907")</f>
        <v>152907</v>
      </c>
      <c r="H2434" s="17" t="str">
        <f>IFERROR(__xludf.DUMMYFUNCTION("""COMPUTED_VALUE"""),"аксесуари для флейринга")</f>
        <v>аксесуари для флейринга</v>
      </c>
      <c r="I2434" s="19">
        <f>IFERROR(__xludf.DUMMYFUNCTION("""COMPUTED_VALUE"""),0.0815)</f>
        <v>0.0815</v>
      </c>
      <c r="J2434" s="19">
        <f>IFERROR(__xludf.DUMMYFUNCTION("""COMPUTED_VALUE"""),0.1629)</f>
        <v>0.1629</v>
      </c>
      <c r="K2434" s="19">
        <f>IFERROR(__xludf.DUMMYFUNCTION("""COMPUTED_VALUE"""),0.2036)</f>
        <v>0.2036</v>
      </c>
      <c r="L2434" s="19">
        <f>IFERROR(__xludf.DUMMYFUNCTION("""COMPUTED_VALUE"""),0.2444)</f>
        <v>0.2444</v>
      </c>
      <c r="M2434" s="18">
        <f>IFERROR(__xludf.DUMMYFUNCTION("""COMPUTED_VALUE"""),1.05)</f>
        <v>1.05</v>
      </c>
    </row>
    <row r="2435">
      <c r="A2435" s="13" t="str">
        <f>IFERROR(__xludf.DUMMYFUNCTION("""COMPUTED_VALUE"""),"товари")</f>
        <v>товари</v>
      </c>
      <c r="B2435" s="16" t="str">
        <f>IFERROR(__xludf.DUMMYFUNCTION("""COMPUTED_VALUE"""),"обладнання та товари для надання послуг")</f>
        <v>обладнання та товари для надання послуг</v>
      </c>
      <c r="C2435" s="16" t="str">
        <f>IFERROR(__xludf.DUMMYFUNCTION("""COMPUTED_VALUE"""),"комерційні меблі")</f>
        <v>комерційні меблі</v>
      </c>
      <c r="D2435" s="16" t="str">
        <f>IFERROR(__xludf.DUMMYFUNCTION("""COMPUTED_VALUE"""),"меблі для навчальних закладів")</f>
        <v>меблі для навчальних закладів</v>
      </c>
      <c r="E2435" s="16" t="str">
        <f>IFERROR(__xludf.DUMMYFUNCTION("""COMPUTED_VALUE"""),"аксесуари до парт")</f>
        <v>аксесуари до парт</v>
      </c>
      <c r="F2435" s="17">
        <f>IFERROR(__xludf.DUMMYFUNCTION("""COMPUTED_VALUE"""),4.0)</f>
        <v>4</v>
      </c>
      <c r="G2435" s="17" t="str">
        <f>IFERROR(__xludf.DUMMYFUNCTION("""COMPUTED_VALUE"""),"370242")</f>
        <v>370242</v>
      </c>
      <c r="H2435" s="17" t="str">
        <f>IFERROR(__xludf.DUMMYFUNCTION("""COMPUTED_VALUE"""),"аксесуари до парт")</f>
        <v>аксесуари до парт</v>
      </c>
      <c r="I2435" s="19">
        <f>IFERROR(__xludf.DUMMYFUNCTION("""COMPUTED_VALUE"""),0.0581)</f>
        <v>0.0581</v>
      </c>
      <c r="J2435" s="19">
        <f>IFERROR(__xludf.DUMMYFUNCTION("""COMPUTED_VALUE"""),0.1162)</f>
        <v>0.1162</v>
      </c>
      <c r="K2435" s="19">
        <f>IFERROR(__xludf.DUMMYFUNCTION("""COMPUTED_VALUE"""),0.1453)</f>
        <v>0.1453</v>
      </c>
      <c r="L2435" s="19">
        <f>IFERROR(__xludf.DUMMYFUNCTION("""COMPUTED_VALUE"""),0.1743)</f>
        <v>0.1743</v>
      </c>
      <c r="M2435" s="18">
        <f>IFERROR(__xludf.DUMMYFUNCTION("""COMPUTED_VALUE"""),2.16)</f>
        <v>2.16</v>
      </c>
    </row>
    <row r="2436">
      <c r="A2436" s="13" t="str">
        <f>IFERROR(__xludf.DUMMYFUNCTION("""COMPUTED_VALUE"""),"товари")</f>
        <v>товари</v>
      </c>
      <c r="B2436" s="16" t="str">
        <f>IFERROR(__xludf.DUMMYFUNCTION("""COMPUTED_VALUE"""),"обладнання та товари для надання послуг")</f>
        <v>обладнання та товари для надання послуг</v>
      </c>
      <c r="C2436" s="16" t="str">
        <f>IFERROR(__xludf.DUMMYFUNCTION("""COMPUTED_VALUE"""),"вендінгове і розважальне обладнання")</f>
        <v>вендінгове і розважальне обладнання</v>
      </c>
      <c r="D2436" s="16" t="str">
        <f>IFERROR(__xludf.DUMMYFUNCTION("""COMPUTED_VALUE"""),"інвентар для більярду")</f>
        <v>інвентар для більярду</v>
      </c>
      <c r="E2436" s="16" t="str">
        <f>IFERROR(__xludf.DUMMYFUNCTION("""COMPUTED_VALUE"""),"аксесуари та комплектуючі для більярду")</f>
        <v>аксесуари та комплектуючі для більярду</v>
      </c>
      <c r="F2436" s="17">
        <f>IFERROR(__xludf.DUMMYFUNCTION("""COMPUTED_VALUE"""),4.0)</f>
        <v>4</v>
      </c>
      <c r="G2436" s="17" t="str">
        <f>IFERROR(__xludf.DUMMYFUNCTION("""COMPUTED_VALUE"""),"203215")</f>
        <v>203215</v>
      </c>
      <c r="H2436" s="17" t="str">
        <f>IFERROR(__xludf.DUMMYFUNCTION("""COMPUTED_VALUE"""),"аксесуари та комплектуючі для більярду")</f>
        <v>аксесуари та комплектуючі для більярду</v>
      </c>
      <c r="I2436" s="19">
        <f>IFERROR(__xludf.DUMMYFUNCTION("""COMPUTED_VALUE"""),0.0774)</f>
        <v>0.0774</v>
      </c>
      <c r="J2436" s="19">
        <f>IFERROR(__xludf.DUMMYFUNCTION("""COMPUTED_VALUE"""),0.1547)</f>
        <v>0.1547</v>
      </c>
      <c r="K2436" s="19">
        <f>IFERROR(__xludf.DUMMYFUNCTION("""COMPUTED_VALUE"""),0.1934)</f>
        <v>0.1934</v>
      </c>
      <c r="L2436" s="19">
        <f>IFERROR(__xludf.DUMMYFUNCTION("""COMPUTED_VALUE"""),0.2321)</f>
        <v>0.2321</v>
      </c>
      <c r="M2436" s="18">
        <f>IFERROR(__xludf.DUMMYFUNCTION("""COMPUTED_VALUE"""),2.34)</f>
        <v>2.34</v>
      </c>
    </row>
    <row r="2437">
      <c r="A2437" s="13" t="str">
        <f>IFERROR(__xludf.DUMMYFUNCTION("""COMPUTED_VALUE"""),"товари")</f>
        <v>товари</v>
      </c>
      <c r="B2437" s="16" t="str">
        <f>IFERROR(__xludf.DUMMYFUNCTION("""COMPUTED_VALUE"""),"обладнання та товари для надання послуг")</f>
        <v>обладнання та товари для надання послуг</v>
      </c>
      <c r="C2437" s="16" t="str">
        <f>IFERROR(__xludf.DUMMYFUNCTION("""COMPUTED_VALUE"""),"товари для офісу")</f>
        <v>товари для офісу</v>
      </c>
      <c r="D2437" s="16" t="str">
        <f>IFERROR(__xludf.DUMMYFUNCTION("""COMPUTED_VALUE"""),"обладнання для презентацій і конференцій")</f>
        <v>обладнання для презентацій і конференцій</v>
      </c>
      <c r="E2437" s="16" t="str">
        <f>IFERROR(__xludf.DUMMYFUNCTION("""COMPUTED_VALUE"""),"аксесуари та комплектуючі для презентацій")</f>
        <v>аксесуари та комплектуючі для презентацій</v>
      </c>
      <c r="F2437" s="17">
        <f>IFERROR(__xludf.DUMMYFUNCTION("""COMPUTED_VALUE"""),4.0)</f>
        <v>4</v>
      </c>
      <c r="G2437" s="17" t="str">
        <f>IFERROR(__xludf.DUMMYFUNCTION("""COMPUTED_VALUE"""),"212005")</f>
        <v>212005</v>
      </c>
      <c r="H2437" s="17" t="str">
        <f>IFERROR(__xludf.DUMMYFUNCTION("""COMPUTED_VALUE"""),"аксесуари та комплектуючі для презентацій")</f>
        <v>аксесуари та комплектуючі для презентацій</v>
      </c>
      <c r="I2437" s="19">
        <f>IFERROR(__xludf.DUMMYFUNCTION("""COMPUTED_VALUE"""),0.0798)</f>
        <v>0.0798</v>
      </c>
      <c r="J2437" s="19">
        <f>IFERROR(__xludf.DUMMYFUNCTION("""COMPUTED_VALUE"""),0.1596)</f>
        <v>0.1596</v>
      </c>
      <c r="K2437" s="19">
        <f>IFERROR(__xludf.DUMMYFUNCTION("""COMPUTED_VALUE"""),0.1995)</f>
        <v>0.1995</v>
      </c>
      <c r="L2437" s="19">
        <f>IFERROR(__xludf.DUMMYFUNCTION("""COMPUTED_VALUE"""),0.2394)</f>
        <v>0.2394</v>
      </c>
      <c r="M2437" s="18">
        <f>IFERROR(__xludf.DUMMYFUNCTION("""COMPUTED_VALUE"""),2.61)</f>
        <v>2.61</v>
      </c>
    </row>
    <row r="2438">
      <c r="A2438" s="13" t="str">
        <f>IFERROR(__xludf.DUMMYFUNCTION("""COMPUTED_VALUE"""),"товари")</f>
        <v>товари</v>
      </c>
      <c r="B2438" s="16" t="str">
        <f>IFERROR(__xludf.DUMMYFUNCTION("""COMPUTED_VALUE"""),"обладнання та товари для надання послуг")</f>
        <v>обладнання та товари для надання послуг</v>
      </c>
      <c r="C2438" s="16" t="str">
        <f>IFERROR(__xludf.DUMMYFUNCTION("""COMPUTED_VALUE"""),"комерційні меблі")</f>
        <v>комерційні меблі</v>
      </c>
      <c r="D2438" s="16" t="str">
        <f>IFERROR(__xludf.DUMMYFUNCTION("""COMPUTED_VALUE"""),"медичні меблі")</f>
        <v>медичні меблі</v>
      </c>
      <c r="E2438" s="16" t="str">
        <f>IFERROR(__xludf.DUMMYFUNCTION("""COMPUTED_VALUE"""),"акушерсько-гінекологічні крісла і кушетки")</f>
        <v>акушерсько-гінекологічні крісла і кушетки</v>
      </c>
      <c r="F2438" s="17">
        <f>IFERROR(__xludf.DUMMYFUNCTION("""COMPUTED_VALUE"""),4.0)</f>
        <v>4</v>
      </c>
      <c r="G2438" s="17" t="str">
        <f>IFERROR(__xludf.DUMMYFUNCTION("""COMPUTED_VALUE"""),"37021004")</f>
        <v>37021004</v>
      </c>
      <c r="H2438" s="17" t="str">
        <f>IFERROR(__xludf.DUMMYFUNCTION("""COMPUTED_VALUE"""),"акушерсько-гінекологічні крісла і кушетки")</f>
        <v>акушерсько-гінекологічні крісла і кушетки</v>
      </c>
      <c r="I2438" s="19">
        <f>IFERROR(__xludf.DUMMYFUNCTION("""COMPUTED_VALUE"""),0.0405)</f>
        <v>0.0405</v>
      </c>
      <c r="J2438" s="19">
        <f>IFERROR(__xludf.DUMMYFUNCTION("""COMPUTED_VALUE"""),0.081)</f>
        <v>0.081</v>
      </c>
      <c r="K2438" s="19">
        <f>IFERROR(__xludf.DUMMYFUNCTION("""COMPUTED_VALUE"""),0.1013)</f>
        <v>0.1013</v>
      </c>
      <c r="L2438" s="19">
        <f>IFERROR(__xludf.DUMMYFUNCTION("""COMPUTED_VALUE"""),0.1215)</f>
        <v>0.1215</v>
      </c>
      <c r="M2438" s="18">
        <f>IFERROR(__xludf.DUMMYFUNCTION("""COMPUTED_VALUE"""),5.4)</f>
        <v>5.4</v>
      </c>
    </row>
    <row r="2439">
      <c r="A2439" s="13" t="str">
        <f>IFERROR(__xludf.DUMMYFUNCTION("""COMPUTED_VALUE"""),"товари")</f>
        <v>товари</v>
      </c>
      <c r="B2439" s="16" t="str">
        <f>IFERROR(__xludf.DUMMYFUNCTION("""COMPUTED_VALUE"""),"обладнання та товари для надання послуг")</f>
        <v>обладнання та товари для надання послуг</v>
      </c>
      <c r="C2439" s="16" t="str">
        <f>IFERROR(__xludf.DUMMYFUNCTION("""COMPUTED_VALUE"""),"обладнання для автосервісу")</f>
        <v>обладнання для автосервісу</v>
      </c>
      <c r="D2439" s="16" t="str">
        <f>IFERROR(__xludf.DUMMYFUNCTION("""COMPUTED_VALUE"""),"обладнання для автомийок")</f>
        <v>обладнання для автомийок</v>
      </c>
      <c r="E2439" s="16" t="str">
        <f>IFERROR(__xludf.DUMMYFUNCTION("""COMPUTED_VALUE"""),"апарати високого тиску")</f>
        <v>апарати високого тиску</v>
      </c>
      <c r="F2439" s="17">
        <f>IFERROR(__xludf.DUMMYFUNCTION("""COMPUTED_VALUE"""),4.0)</f>
        <v>4</v>
      </c>
      <c r="G2439" s="17" t="str">
        <f>IFERROR(__xludf.DUMMYFUNCTION("""COMPUTED_VALUE"""),"121105")</f>
        <v>121105</v>
      </c>
      <c r="H2439" s="17" t="str">
        <f>IFERROR(__xludf.DUMMYFUNCTION("""COMPUTED_VALUE"""),"апарати високого тиску")</f>
        <v>апарати високого тиску</v>
      </c>
      <c r="I2439" s="19">
        <f>IFERROR(__xludf.DUMMYFUNCTION("""COMPUTED_VALUE"""),0.0717)</f>
        <v>0.0717</v>
      </c>
      <c r="J2439" s="19">
        <f>IFERROR(__xludf.DUMMYFUNCTION("""COMPUTED_VALUE"""),0.1434)</f>
        <v>0.1434</v>
      </c>
      <c r="K2439" s="19">
        <f>IFERROR(__xludf.DUMMYFUNCTION("""COMPUTED_VALUE"""),0.1793)</f>
        <v>0.1793</v>
      </c>
      <c r="L2439" s="19">
        <f>IFERROR(__xludf.DUMMYFUNCTION("""COMPUTED_VALUE"""),0.2151)</f>
        <v>0.2151</v>
      </c>
      <c r="M2439" s="18">
        <f>IFERROR(__xludf.DUMMYFUNCTION("""COMPUTED_VALUE"""),3.15)</f>
        <v>3.15</v>
      </c>
    </row>
    <row r="2440">
      <c r="A2440" s="13" t="str">
        <f>IFERROR(__xludf.DUMMYFUNCTION("""COMPUTED_VALUE"""),"товари")</f>
        <v>товари</v>
      </c>
      <c r="B2440" s="16" t="str">
        <f>IFERROR(__xludf.DUMMYFUNCTION("""COMPUTED_VALUE"""),"обладнання та товари для надання послуг")</f>
        <v>обладнання та товари для надання послуг</v>
      </c>
      <c r="C2440" s="16" t="str">
        <f>IFERROR(__xludf.DUMMYFUNCTION("""COMPUTED_VALUE"""),"обладнання для торгівлі")</f>
        <v>обладнання для торгівлі</v>
      </c>
      <c r="D2440" s="16" t="str">
        <f>IFERROR(__xludf.DUMMYFUNCTION("""COMPUTED_VALUE"""),"теплове обладнання для вуличної торгівлі")</f>
        <v>теплове обладнання для вуличної торгівлі</v>
      </c>
      <c r="E2440" s="16" t="str">
        <f>IFERROR(__xludf.DUMMYFUNCTION("""COMPUTED_VALUE"""),"апарати для попкорну")</f>
        <v>апарати для попкорну</v>
      </c>
      <c r="F2440" s="17">
        <f>IFERROR(__xludf.DUMMYFUNCTION("""COMPUTED_VALUE"""),4.0)</f>
        <v>4</v>
      </c>
      <c r="G2440" s="17" t="str">
        <f>IFERROR(__xludf.DUMMYFUNCTION("""COMPUTED_VALUE"""),"6300414")</f>
        <v>6300414</v>
      </c>
      <c r="H2440" s="17" t="str">
        <f>IFERROR(__xludf.DUMMYFUNCTION("""COMPUTED_VALUE"""),"апарати для попкорну")</f>
        <v>апарати для попкорну</v>
      </c>
      <c r="I2440" s="19">
        <f>IFERROR(__xludf.DUMMYFUNCTION("""COMPUTED_VALUE"""),0.0616)</f>
        <v>0.0616</v>
      </c>
      <c r="J2440" s="19">
        <f>IFERROR(__xludf.DUMMYFUNCTION("""COMPUTED_VALUE"""),0.1232)</f>
        <v>0.1232</v>
      </c>
      <c r="K2440" s="19">
        <f>IFERROR(__xludf.DUMMYFUNCTION("""COMPUTED_VALUE"""),0.154)</f>
        <v>0.154</v>
      </c>
      <c r="L2440" s="19">
        <f>IFERROR(__xludf.DUMMYFUNCTION("""COMPUTED_VALUE"""),0.1848)</f>
        <v>0.1848</v>
      </c>
      <c r="M2440" s="18">
        <f>IFERROR(__xludf.DUMMYFUNCTION("""COMPUTED_VALUE"""),1.98)</f>
        <v>1.98</v>
      </c>
    </row>
    <row r="2441">
      <c r="A2441" s="13" t="str">
        <f>IFERROR(__xludf.DUMMYFUNCTION("""COMPUTED_VALUE"""),"товари")</f>
        <v>товари</v>
      </c>
      <c r="B2441" s="16" t="str">
        <f>IFERROR(__xludf.DUMMYFUNCTION("""COMPUTED_VALUE"""),"обладнання та товари для надання послуг")</f>
        <v>обладнання та товари для надання послуг</v>
      </c>
      <c r="C2441" s="16" t="str">
        <f>IFERROR(__xludf.DUMMYFUNCTION("""COMPUTED_VALUE"""),"обладнання для торгівлі")</f>
        <v>обладнання для торгівлі</v>
      </c>
      <c r="D2441" s="16" t="str">
        <f>IFERROR(__xludf.DUMMYFUNCTION("""COMPUTED_VALUE"""),"електромеханічне обладнання для торгівлі")</f>
        <v>електромеханічне обладнання для торгівлі</v>
      </c>
      <c r="E2441" s="16" t="str">
        <f>IFERROR(__xludf.DUMMYFUNCTION("""COMPUTED_VALUE"""),"апарати для розливу напоїв")</f>
        <v>апарати для розливу напоїв</v>
      </c>
      <c r="F2441" s="17">
        <f>IFERROR(__xludf.DUMMYFUNCTION("""COMPUTED_VALUE"""),4.0)</f>
        <v>4</v>
      </c>
      <c r="G2441" s="17" t="str">
        <f>IFERROR(__xludf.DUMMYFUNCTION("""COMPUTED_VALUE"""),"240601")</f>
        <v>240601</v>
      </c>
      <c r="H2441" s="17" t="str">
        <f>IFERROR(__xludf.DUMMYFUNCTION("""COMPUTED_VALUE"""),"апарати для розливу напоїв")</f>
        <v>апарати для розливу напоїв</v>
      </c>
      <c r="I2441" s="19">
        <f>IFERROR(__xludf.DUMMYFUNCTION("""COMPUTED_VALUE"""),0.057)</f>
        <v>0.057</v>
      </c>
      <c r="J2441" s="19">
        <f>IFERROR(__xludf.DUMMYFUNCTION("""COMPUTED_VALUE"""),0.114)</f>
        <v>0.114</v>
      </c>
      <c r="K2441" s="19">
        <f>IFERROR(__xludf.DUMMYFUNCTION("""COMPUTED_VALUE"""),0.1425)</f>
        <v>0.1425</v>
      </c>
      <c r="L2441" s="19">
        <f>IFERROR(__xludf.DUMMYFUNCTION("""COMPUTED_VALUE"""),0.171)</f>
        <v>0.171</v>
      </c>
      <c r="M2441" s="18">
        <f>IFERROR(__xludf.DUMMYFUNCTION("""COMPUTED_VALUE"""),1.71)</f>
        <v>1.71</v>
      </c>
    </row>
    <row r="2442">
      <c r="A2442" s="13" t="str">
        <f>IFERROR(__xludf.DUMMYFUNCTION("""COMPUTED_VALUE"""),"товари")</f>
        <v>товари</v>
      </c>
      <c r="B2442" s="16" t="str">
        <f>IFERROR(__xludf.DUMMYFUNCTION("""COMPUTED_VALUE"""),"обладнання та товари для надання послуг")</f>
        <v>обладнання та товари для надання послуг</v>
      </c>
      <c r="C2442" s="16" t="str">
        <f>IFERROR(__xludf.DUMMYFUNCTION("""COMPUTED_VALUE"""),"обладнання для торгівлі")</f>
        <v>обладнання для торгівлі</v>
      </c>
      <c r="D2442" s="16" t="str">
        <f>IFERROR(__xludf.DUMMYFUNCTION("""COMPUTED_VALUE"""),"електромеханічне обладнання для торгівлі")</f>
        <v>електромеханічне обладнання для торгівлі</v>
      </c>
      <c r="E2442" s="16" t="str">
        <f>IFERROR(__xludf.DUMMYFUNCTION("""COMPUTED_VALUE"""),"апарати цукрової вати і витратні матеріали")</f>
        <v>апарати цукрової вати і витратні матеріали</v>
      </c>
      <c r="F2442" s="17">
        <f>IFERROR(__xludf.DUMMYFUNCTION("""COMPUTED_VALUE"""),4.0)</f>
        <v>4</v>
      </c>
      <c r="G2442" s="17" t="str">
        <f>IFERROR(__xludf.DUMMYFUNCTION("""COMPUTED_VALUE"""),"2200912")</f>
        <v>2200912</v>
      </c>
      <c r="H2442" s="17" t="str">
        <f>IFERROR(__xludf.DUMMYFUNCTION("""COMPUTED_VALUE"""),"апарати цукрової вати і витратні матеріали")</f>
        <v>апарати цукрової вати і витратні матеріали</v>
      </c>
      <c r="I2442" s="19">
        <f>IFERROR(__xludf.DUMMYFUNCTION("""COMPUTED_VALUE"""),0.0687)</f>
        <v>0.0687</v>
      </c>
      <c r="J2442" s="19">
        <f>IFERROR(__xludf.DUMMYFUNCTION("""COMPUTED_VALUE"""),0.1374)</f>
        <v>0.1374</v>
      </c>
      <c r="K2442" s="19">
        <f>IFERROR(__xludf.DUMMYFUNCTION("""COMPUTED_VALUE"""),0.1718)</f>
        <v>0.1718</v>
      </c>
      <c r="L2442" s="19">
        <f>IFERROR(__xludf.DUMMYFUNCTION("""COMPUTED_VALUE"""),0.2061)</f>
        <v>0.2061</v>
      </c>
      <c r="M2442" s="18">
        <f>IFERROR(__xludf.DUMMYFUNCTION("""COMPUTED_VALUE"""),1.71)</f>
        <v>1.71</v>
      </c>
    </row>
    <row r="2443">
      <c r="A2443" s="13" t="str">
        <f>IFERROR(__xludf.DUMMYFUNCTION("""COMPUTED_VALUE"""),"товари")</f>
        <v>товари</v>
      </c>
      <c r="B2443" s="16" t="str">
        <f>IFERROR(__xludf.DUMMYFUNCTION("""COMPUTED_VALUE"""),"обладнання та товари для надання послуг")</f>
        <v>обладнання та товари для надання послуг</v>
      </c>
      <c r="C2443" s="16" t="str">
        <f>IFERROR(__xludf.DUMMYFUNCTION("""COMPUTED_VALUE"""),"професійне аудіо-, відео-, фото обладнання")</f>
        <v>професійне аудіо-, відео-, фото обладнання</v>
      </c>
      <c r="D2443" s="16" t="str">
        <f>IFERROR(__xludf.DUMMYFUNCTION("""COMPUTED_VALUE"""),"аудіомікшери")</f>
        <v>аудіомікшери</v>
      </c>
      <c r="E2443" s="16" t="str">
        <f>IFERROR(__xludf.DUMMYFUNCTION("""COMPUTED_VALUE"""),"аудіомікшери")</f>
        <v>аудіомікшери</v>
      </c>
      <c r="F2443" s="17">
        <f>IFERROR(__xludf.DUMMYFUNCTION("""COMPUTED_VALUE"""),3.0)</f>
        <v>3</v>
      </c>
      <c r="G2443" s="17">
        <f>IFERROR(__xludf.DUMMYFUNCTION("""COMPUTED_VALUE"""),6371804.0)</f>
        <v>6371804</v>
      </c>
      <c r="H2443" s="17" t="str">
        <f>IFERROR(__xludf.DUMMYFUNCTION("""COMPUTED_VALUE"""),"аудіомікшери")</f>
        <v>аудіомікшери</v>
      </c>
      <c r="I2443" s="19">
        <f>IFERROR(__xludf.DUMMYFUNCTION("""COMPUTED_VALUE"""),0.0604)</f>
        <v>0.0604</v>
      </c>
      <c r="J2443" s="19">
        <f>IFERROR(__xludf.DUMMYFUNCTION("""COMPUTED_VALUE"""),0.1208)</f>
        <v>0.1208</v>
      </c>
      <c r="K2443" s="19">
        <f>IFERROR(__xludf.DUMMYFUNCTION("""COMPUTED_VALUE"""),0.151)</f>
        <v>0.151</v>
      </c>
      <c r="L2443" s="19">
        <f>IFERROR(__xludf.DUMMYFUNCTION("""COMPUTED_VALUE"""),0.1812)</f>
        <v>0.1812</v>
      </c>
      <c r="M2443" s="18">
        <f>IFERROR(__xludf.DUMMYFUNCTION("""COMPUTED_VALUE"""),1.53)</f>
        <v>1.53</v>
      </c>
    </row>
    <row r="2444">
      <c r="A2444" s="13" t="str">
        <f>IFERROR(__xludf.DUMMYFUNCTION("""COMPUTED_VALUE"""),"товари")</f>
        <v>товари</v>
      </c>
      <c r="B2444" s="16" t="str">
        <f>IFERROR(__xludf.DUMMYFUNCTION("""COMPUTED_VALUE"""),"обладнання та товари для надання послуг")</f>
        <v>обладнання та товари для надання послуг</v>
      </c>
      <c r="C2444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444" s="16" t="str">
        <f>IFERROR(__xludf.DUMMYFUNCTION("""COMPUTED_VALUE"""),"матеріали для виготовлення реклами")</f>
        <v>матеріали для виготовлення реклами</v>
      </c>
      <c r="E2444" s="16" t="str">
        <f>IFERROR(__xludf.DUMMYFUNCTION("""COMPUTED_VALUE"""),"банерна тканина")</f>
        <v>банерна тканина</v>
      </c>
      <c r="F2444" s="17">
        <f>IFERROR(__xludf.DUMMYFUNCTION("""COMPUTED_VALUE"""),4.0)</f>
        <v>4</v>
      </c>
      <c r="G2444" s="17" t="str">
        <f>IFERROR(__xludf.DUMMYFUNCTION("""COMPUTED_VALUE"""),"283034")</f>
        <v>283034</v>
      </c>
      <c r="H2444" s="17" t="str">
        <f>IFERROR(__xludf.DUMMYFUNCTION("""COMPUTED_VALUE"""),"банерна тканина")</f>
        <v>банерна тканина</v>
      </c>
      <c r="I2444" s="19">
        <f>IFERROR(__xludf.DUMMYFUNCTION("""COMPUTED_VALUE"""),0.0447)</f>
        <v>0.0447</v>
      </c>
      <c r="J2444" s="19">
        <f>IFERROR(__xludf.DUMMYFUNCTION("""COMPUTED_VALUE"""),0.0893)</f>
        <v>0.0893</v>
      </c>
      <c r="K2444" s="19">
        <f>IFERROR(__xludf.DUMMYFUNCTION("""COMPUTED_VALUE"""),0.1116)</f>
        <v>0.1116</v>
      </c>
      <c r="L2444" s="19">
        <f>IFERROR(__xludf.DUMMYFUNCTION("""COMPUTED_VALUE"""),0.134)</f>
        <v>0.134</v>
      </c>
      <c r="M2444" s="18">
        <f>IFERROR(__xludf.DUMMYFUNCTION("""COMPUTED_VALUE"""),3.78)</f>
        <v>3.78</v>
      </c>
    </row>
    <row r="2445">
      <c r="A2445" s="13" t="str">
        <f>IFERROR(__xludf.DUMMYFUNCTION("""COMPUTED_VALUE"""),"товари")</f>
        <v>товари</v>
      </c>
      <c r="B2445" s="16" t="str">
        <f>IFERROR(__xludf.DUMMYFUNCTION("""COMPUTED_VALUE"""),"обладнання та товари для надання послуг")</f>
        <v>обладнання та товари для надання послуг</v>
      </c>
      <c r="C2445" s="16" t="str">
        <f>IFERROR(__xludf.DUMMYFUNCTION("""COMPUTED_VALUE"""),"horeca&amp;fast-food")</f>
        <v>horeca&amp;fast-food</v>
      </c>
      <c r="D2445" s="16" t="str">
        <f>IFERROR(__xludf.DUMMYFUNCTION("""COMPUTED_VALUE"""),"аксесуари для барменів")</f>
        <v>аксесуари для барменів</v>
      </c>
      <c r="E2445" s="16" t="str">
        <f>IFERROR(__xludf.DUMMYFUNCTION("""COMPUTED_VALUE"""),"барні килимки, барні сітки")</f>
        <v>барні килимки, барні сітки</v>
      </c>
      <c r="F2445" s="17">
        <f>IFERROR(__xludf.DUMMYFUNCTION("""COMPUTED_VALUE"""),4.0)</f>
        <v>4</v>
      </c>
      <c r="G2445" s="17" t="str">
        <f>IFERROR(__xludf.DUMMYFUNCTION("""COMPUTED_VALUE"""),"240615")</f>
        <v>240615</v>
      </c>
      <c r="H2445" s="17" t="str">
        <f>IFERROR(__xludf.DUMMYFUNCTION("""COMPUTED_VALUE"""),"барні килимки, барні сітки")</f>
        <v>барні килимки, барні сітки</v>
      </c>
      <c r="I2445" s="19">
        <f>IFERROR(__xludf.DUMMYFUNCTION("""COMPUTED_VALUE"""),0.0815)</f>
        <v>0.0815</v>
      </c>
      <c r="J2445" s="19">
        <f>IFERROR(__xludf.DUMMYFUNCTION("""COMPUTED_VALUE"""),0.1629)</f>
        <v>0.1629</v>
      </c>
      <c r="K2445" s="19">
        <f>IFERROR(__xludf.DUMMYFUNCTION("""COMPUTED_VALUE"""),0.2036)</f>
        <v>0.2036</v>
      </c>
      <c r="L2445" s="19">
        <f>IFERROR(__xludf.DUMMYFUNCTION("""COMPUTED_VALUE"""),0.2444)</f>
        <v>0.2444</v>
      </c>
      <c r="M2445" s="18">
        <f>IFERROR(__xludf.DUMMYFUNCTION("""COMPUTED_VALUE"""),1.05)</f>
        <v>1.05</v>
      </c>
    </row>
    <row r="2446">
      <c r="A2446" s="13" t="str">
        <f>IFERROR(__xludf.DUMMYFUNCTION("""COMPUTED_VALUE"""),"товари")</f>
        <v>товари</v>
      </c>
      <c r="B2446" s="16" t="str">
        <f>IFERROR(__xludf.DUMMYFUNCTION("""COMPUTED_VALUE"""),"обладнання та товари для надання послуг")</f>
        <v>обладнання та товари для надання послуг</v>
      </c>
      <c r="C2446" s="16" t="str">
        <f>IFERROR(__xludf.DUMMYFUNCTION("""COMPUTED_VALUE"""),"вендінгове і розважальне обладнання")</f>
        <v>вендінгове і розважальне обладнання</v>
      </c>
      <c r="D2446" s="16" t="str">
        <f>IFERROR(__xludf.DUMMYFUNCTION("""COMPUTED_VALUE"""),"інвентар для більярду")</f>
        <v>інвентар для більярду</v>
      </c>
      <c r="E2446" s="16" t="str">
        <f>IFERROR(__xludf.DUMMYFUNCTION("""COMPUTED_VALUE"""),"більярдні киї")</f>
        <v>більярдні киї</v>
      </c>
      <c r="F2446" s="17">
        <f>IFERROR(__xludf.DUMMYFUNCTION("""COMPUTED_VALUE"""),4.0)</f>
        <v>4</v>
      </c>
      <c r="G2446" s="17" t="str">
        <f>IFERROR(__xludf.DUMMYFUNCTION("""COMPUTED_VALUE"""),"203203")</f>
        <v>203203</v>
      </c>
      <c r="H2446" s="17" t="str">
        <f>IFERROR(__xludf.DUMMYFUNCTION("""COMPUTED_VALUE"""),"більярдні киї")</f>
        <v>більярдні киї</v>
      </c>
      <c r="I2446" s="19">
        <f>IFERROR(__xludf.DUMMYFUNCTION("""COMPUTED_VALUE"""),0.0767)</f>
        <v>0.0767</v>
      </c>
      <c r="J2446" s="19">
        <f>IFERROR(__xludf.DUMMYFUNCTION("""COMPUTED_VALUE"""),0.1534)</f>
        <v>0.1534</v>
      </c>
      <c r="K2446" s="19">
        <f>IFERROR(__xludf.DUMMYFUNCTION("""COMPUTED_VALUE"""),0.1918)</f>
        <v>0.1918</v>
      </c>
      <c r="L2446" s="19">
        <f>IFERROR(__xludf.DUMMYFUNCTION("""COMPUTED_VALUE"""),0.2301)</f>
        <v>0.2301</v>
      </c>
      <c r="M2446" s="18">
        <f>IFERROR(__xludf.DUMMYFUNCTION("""COMPUTED_VALUE"""),2.34)</f>
        <v>2.34</v>
      </c>
    </row>
    <row r="2447">
      <c r="A2447" s="13" t="str">
        <f>IFERROR(__xludf.DUMMYFUNCTION("""COMPUTED_VALUE"""),"товари")</f>
        <v>товари</v>
      </c>
      <c r="B2447" s="16" t="str">
        <f>IFERROR(__xludf.DUMMYFUNCTION("""COMPUTED_VALUE"""),"обладнання та товари для надання послуг")</f>
        <v>обладнання та товари для надання послуг</v>
      </c>
      <c r="C2447" s="16" t="str">
        <f>IFERROR(__xludf.DUMMYFUNCTION("""COMPUTED_VALUE"""),"вендінгове і розважальне обладнання")</f>
        <v>вендінгове і розважальне обладнання</v>
      </c>
      <c r="D2447" s="16" t="str">
        <f>IFERROR(__xludf.DUMMYFUNCTION("""COMPUTED_VALUE"""),"інвентар для більярду")</f>
        <v>інвентар для більярду</v>
      </c>
      <c r="E2447" s="16" t="str">
        <f>IFERROR(__xludf.DUMMYFUNCTION("""COMPUTED_VALUE"""),"більярдні кулі")</f>
        <v>більярдні кулі</v>
      </c>
      <c r="F2447" s="17">
        <f>IFERROR(__xludf.DUMMYFUNCTION("""COMPUTED_VALUE"""),4.0)</f>
        <v>4</v>
      </c>
      <c r="G2447" s="17" t="str">
        <f>IFERROR(__xludf.DUMMYFUNCTION("""COMPUTED_VALUE"""),"203202")</f>
        <v>203202</v>
      </c>
      <c r="H2447" s="17" t="str">
        <f>IFERROR(__xludf.DUMMYFUNCTION("""COMPUTED_VALUE"""),"більярдні кулі")</f>
        <v>більярдні кулі</v>
      </c>
      <c r="I2447" s="19">
        <f>IFERROR(__xludf.DUMMYFUNCTION("""COMPUTED_VALUE"""),0.0748)</f>
        <v>0.0748</v>
      </c>
      <c r="J2447" s="19">
        <f>IFERROR(__xludf.DUMMYFUNCTION("""COMPUTED_VALUE"""),0.1495)</f>
        <v>0.1495</v>
      </c>
      <c r="K2447" s="19">
        <f>IFERROR(__xludf.DUMMYFUNCTION("""COMPUTED_VALUE"""),0.1869)</f>
        <v>0.1869</v>
      </c>
      <c r="L2447" s="19">
        <f>IFERROR(__xludf.DUMMYFUNCTION("""COMPUTED_VALUE"""),0.2243)</f>
        <v>0.2243</v>
      </c>
      <c r="M2447" s="18">
        <f>IFERROR(__xludf.DUMMYFUNCTION("""COMPUTED_VALUE"""),2.34)</f>
        <v>2.34</v>
      </c>
    </row>
    <row r="2448">
      <c r="A2448" s="13" t="str">
        <f>IFERROR(__xludf.DUMMYFUNCTION("""COMPUTED_VALUE"""),"товари")</f>
        <v>товари</v>
      </c>
      <c r="B2448" s="16" t="str">
        <f>IFERROR(__xludf.DUMMYFUNCTION("""COMPUTED_VALUE"""),"обладнання та товари для надання послуг")</f>
        <v>обладнання та товари для надання послуг</v>
      </c>
      <c r="C2448" s="16" t="str">
        <f>IFERROR(__xludf.DUMMYFUNCTION("""COMPUTED_VALUE"""),"офісна техніка")</f>
        <v>офісна техніка</v>
      </c>
      <c r="D2448" s="16" t="str">
        <f>IFERROR(__xludf.DUMMYFUNCTION("""COMPUTED_VALUE"""),"біндер для зшивання документів")</f>
        <v>біндер для зшивання документів</v>
      </c>
      <c r="E2448" s="16" t="str">
        <f>IFERROR(__xludf.DUMMYFUNCTION("""COMPUTED_VALUE"""),"біндер для зшивання документів")</f>
        <v>біндер для зшивання документів</v>
      </c>
      <c r="F2448" s="17">
        <f>IFERROR(__xludf.DUMMYFUNCTION("""COMPUTED_VALUE"""),3.0)</f>
        <v>3</v>
      </c>
      <c r="G2448" s="17" t="str">
        <f>IFERROR(__xludf.DUMMYFUNCTION("""COMPUTED_VALUE"""),"2101")</f>
        <v>2101</v>
      </c>
      <c r="H2448" s="17" t="str">
        <f>IFERROR(__xludf.DUMMYFUNCTION("""COMPUTED_VALUE"""),"біндер для зшивання документів")</f>
        <v>біндер для зшивання документів</v>
      </c>
      <c r="I2448" s="19">
        <f>IFERROR(__xludf.DUMMYFUNCTION("""COMPUTED_VALUE"""),0.0578)</f>
        <v>0.0578</v>
      </c>
      <c r="J2448" s="19">
        <f>IFERROR(__xludf.DUMMYFUNCTION("""COMPUTED_VALUE"""),0.1155)</f>
        <v>0.1155</v>
      </c>
      <c r="K2448" s="19">
        <f>IFERROR(__xludf.DUMMYFUNCTION("""COMPUTED_VALUE"""),0.1444)</f>
        <v>0.1444</v>
      </c>
      <c r="L2448" s="19">
        <f>IFERROR(__xludf.DUMMYFUNCTION("""COMPUTED_VALUE"""),0.1733)</f>
        <v>0.1733</v>
      </c>
      <c r="M2448" s="18">
        <f>IFERROR(__xludf.DUMMYFUNCTION("""COMPUTED_VALUE"""),3.69)</f>
        <v>3.69</v>
      </c>
    </row>
    <row r="2449">
      <c r="A2449" s="13" t="str">
        <f>IFERROR(__xludf.DUMMYFUNCTION("""COMPUTED_VALUE"""),"товари")</f>
        <v>товари</v>
      </c>
      <c r="B2449" s="16" t="str">
        <f>IFERROR(__xludf.DUMMYFUNCTION("""COMPUTED_VALUE"""),"обладнання та товари для надання послуг")</f>
        <v>обладнання та товари для надання послуг</v>
      </c>
      <c r="C2449" s="16" t="str">
        <f>IFERROR(__xludf.DUMMYFUNCTION("""COMPUTED_VALUE"""),"обладнання та матеріали для друкарні")</f>
        <v>обладнання та матеріали для друкарні</v>
      </c>
      <c r="D2449" s="16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2449" s="16" t="str">
        <f>IFERROR(__xludf.DUMMYFUNCTION("""COMPUTED_VALUE"""),"паперорізальне обладнання")</f>
        <v>паперорізальне обладнання</v>
      </c>
      <c r="F2449" s="17">
        <f>IFERROR(__xludf.DUMMYFUNCTION("""COMPUTED_VALUE"""),4.0)</f>
        <v>4</v>
      </c>
      <c r="G2449" s="17">
        <f>IFERROR(__xludf.DUMMYFUNCTION("""COMPUTED_VALUE"""),2.3090301E7)</f>
        <v>23090301</v>
      </c>
      <c r="H2449" s="17" t="str">
        <f>IFERROR(__xludf.DUMMYFUNCTION("""COMPUTED_VALUE"""),"паперорізальне обладнання")</f>
        <v>паперорізальне обладнання</v>
      </c>
      <c r="I2449" s="19">
        <f>IFERROR(__xludf.DUMMYFUNCTION("""COMPUTED_VALUE"""),0.0648)</f>
        <v>0.0648</v>
      </c>
      <c r="J2449" s="19">
        <f>IFERROR(__xludf.DUMMYFUNCTION("""COMPUTED_VALUE"""),0.1296)</f>
        <v>0.1296</v>
      </c>
      <c r="K2449" s="19">
        <f>IFERROR(__xludf.DUMMYFUNCTION("""COMPUTED_VALUE"""),0.162)</f>
        <v>0.162</v>
      </c>
      <c r="L2449" s="19">
        <f>IFERROR(__xludf.DUMMYFUNCTION("""COMPUTED_VALUE"""),0.1944)</f>
        <v>0.1944</v>
      </c>
      <c r="M2449" s="18">
        <f>IFERROR(__xludf.DUMMYFUNCTION("""COMPUTED_VALUE"""),3.24)</f>
        <v>3.24</v>
      </c>
    </row>
    <row r="2450">
      <c r="A2450" s="13" t="str">
        <f>IFERROR(__xludf.DUMMYFUNCTION("""COMPUTED_VALUE"""),"товари")</f>
        <v>товари</v>
      </c>
      <c r="B2450" s="16" t="str">
        <f>IFERROR(__xludf.DUMMYFUNCTION("""COMPUTED_VALUE"""),"обладнання та товари для надання послуг")</f>
        <v>обладнання та товари для надання послуг</v>
      </c>
      <c r="C2450" s="16" t="str">
        <f>IFERROR(__xludf.DUMMYFUNCTION("""COMPUTED_VALUE"""),"комерційні меблі")</f>
        <v>комерційні меблі</v>
      </c>
      <c r="D2450" s="16" t="str">
        <f>IFERROR(__xludf.DUMMYFUNCTION("""COMPUTED_VALUE"""),"меблі для салонів краси")</f>
        <v>меблі для салонів краси</v>
      </c>
      <c r="E2450" s="16" t="str">
        <f>IFERROR(__xludf.DUMMYFUNCTION("""COMPUTED_VALUE"""),"валики для манікюрного столу")</f>
        <v>валики для манікюрного столу</v>
      </c>
      <c r="F2450" s="17">
        <f>IFERROR(__xludf.DUMMYFUNCTION("""COMPUTED_VALUE"""),4.0)</f>
        <v>4</v>
      </c>
      <c r="G2450" s="17" t="str">
        <f>IFERROR(__xludf.DUMMYFUNCTION("""COMPUTED_VALUE"""),"15030828")</f>
        <v>15030828</v>
      </c>
      <c r="H2450" s="17" t="str">
        <f>IFERROR(__xludf.DUMMYFUNCTION("""COMPUTED_VALUE"""),"валики для манікюрного столу")</f>
        <v>валики для манікюрного столу</v>
      </c>
      <c r="I2450" s="19">
        <f>IFERROR(__xludf.DUMMYFUNCTION("""COMPUTED_VALUE"""),0.0741)</f>
        <v>0.0741</v>
      </c>
      <c r="J2450" s="19">
        <f>IFERROR(__xludf.DUMMYFUNCTION("""COMPUTED_VALUE"""),0.1482)</f>
        <v>0.1482</v>
      </c>
      <c r="K2450" s="19">
        <f>IFERROR(__xludf.DUMMYFUNCTION("""COMPUTED_VALUE"""),0.1853)</f>
        <v>0.1853</v>
      </c>
      <c r="L2450" s="19">
        <f>IFERROR(__xludf.DUMMYFUNCTION("""COMPUTED_VALUE"""),0.2223)</f>
        <v>0.2223</v>
      </c>
      <c r="M2450" s="18">
        <f>IFERROR(__xludf.DUMMYFUNCTION("""COMPUTED_VALUE"""),3.06)</f>
        <v>3.06</v>
      </c>
    </row>
    <row r="2451">
      <c r="A2451" s="13" t="str">
        <f>IFERROR(__xludf.DUMMYFUNCTION("""COMPUTED_VALUE"""),"товари")</f>
        <v>товари</v>
      </c>
      <c r="B2451" s="16" t="str">
        <f>IFERROR(__xludf.DUMMYFUNCTION("""COMPUTED_VALUE"""),"обладнання та товари для надання послуг")</f>
        <v>обладнання та товари для надання послуг</v>
      </c>
      <c r="C2451" s="16" t="str">
        <f>IFERROR(__xludf.DUMMYFUNCTION("""COMPUTED_VALUE"""),"все для салонів краси")</f>
        <v>все для салонів краси</v>
      </c>
      <c r="D2451" s="16" t="str">
        <f>IFERROR(__xludf.DUMMYFUNCTION("""COMPUTED_VALUE"""),"обладнання та матеріали для косметології")</f>
        <v>обладнання та матеріали для косметології</v>
      </c>
      <c r="E2451" s="16" t="str">
        <f>IFERROR(__xludf.DUMMYFUNCTION("""COMPUTED_VALUE"""),"вапорізатори")</f>
        <v>вапорізатори</v>
      </c>
      <c r="F2451" s="17">
        <f>IFERROR(__xludf.DUMMYFUNCTION("""COMPUTED_VALUE"""),4.0)</f>
        <v>4</v>
      </c>
      <c r="G2451" s="17" t="str">
        <f>IFERROR(__xludf.DUMMYFUNCTION("""COMPUTED_VALUE"""),"282993")</f>
        <v>282993</v>
      </c>
      <c r="H2451" s="17" t="str">
        <f>IFERROR(__xludf.DUMMYFUNCTION("""COMPUTED_VALUE"""),"вапорізатори")</f>
        <v>вапорізатори</v>
      </c>
      <c r="I2451" s="19">
        <f>IFERROR(__xludf.DUMMYFUNCTION("""COMPUTED_VALUE"""),0.0683)</f>
        <v>0.0683</v>
      </c>
      <c r="J2451" s="19">
        <f>IFERROR(__xludf.DUMMYFUNCTION("""COMPUTED_VALUE"""),0.1365)</f>
        <v>0.1365</v>
      </c>
      <c r="K2451" s="19">
        <f>IFERROR(__xludf.DUMMYFUNCTION("""COMPUTED_VALUE"""),0.1706)</f>
        <v>0.1706</v>
      </c>
      <c r="L2451" s="19">
        <f>IFERROR(__xludf.DUMMYFUNCTION("""COMPUTED_VALUE"""),0.2048)</f>
        <v>0.2048</v>
      </c>
      <c r="M2451" s="18">
        <f>IFERROR(__xludf.DUMMYFUNCTION("""COMPUTED_VALUE"""),1.53)</f>
        <v>1.53</v>
      </c>
    </row>
    <row r="2452">
      <c r="A2452" s="13" t="str">
        <f>IFERROR(__xludf.DUMMYFUNCTION("""COMPUTED_VALUE"""),"товари")</f>
        <v>товари</v>
      </c>
      <c r="B2452" s="16" t="str">
        <f>IFERROR(__xludf.DUMMYFUNCTION("""COMPUTED_VALUE"""),"обладнання та товари для надання послуг")</f>
        <v>обладнання та товари для надання послуг</v>
      </c>
      <c r="C2452" s="16" t="str">
        <f>IFERROR(__xludf.DUMMYFUNCTION("""COMPUTED_VALUE"""),"комерційні меблі")</f>
        <v>комерційні меблі</v>
      </c>
      <c r="D2452" s="16" t="str">
        <f>IFERROR(__xludf.DUMMYFUNCTION("""COMPUTED_VALUE"""),"меблі для horeca")</f>
        <v>меблі для horeca</v>
      </c>
      <c r="E2452" s="16" t="str">
        <f>IFERROR(__xludf.DUMMYFUNCTION("""COMPUTED_VALUE"""),"винні комоди і стелажі")</f>
        <v>винні комоди і стелажі</v>
      </c>
      <c r="F2452" s="17">
        <f>IFERROR(__xludf.DUMMYFUNCTION("""COMPUTED_VALUE"""),4.0)</f>
        <v>4</v>
      </c>
      <c r="G2452" s="17" t="str">
        <f>IFERROR(__xludf.DUMMYFUNCTION("""COMPUTED_VALUE"""),"152909")</f>
        <v>152909</v>
      </c>
      <c r="H2452" s="17" t="str">
        <f>IFERROR(__xludf.DUMMYFUNCTION("""COMPUTED_VALUE"""),"винні комоди і стелажі")</f>
        <v>винні комоди і стелажі</v>
      </c>
      <c r="I2452" s="19">
        <f>IFERROR(__xludf.DUMMYFUNCTION("""COMPUTED_VALUE"""),0.0501)</f>
        <v>0.0501</v>
      </c>
      <c r="J2452" s="19">
        <f>IFERROR(__xludf.DUMMYFUNCTION("""COMPUTED_VALUE"""),0.1001)</f>
        <v>0.1001</v>
      </c>
      <c r="K2452" s="19">
        <f>IFERROR(__xludf.DUMMYFUNCTION("""COMPUTED_VALUE"""),0.1251)</f>
        <v>0.1251</v>
      </c>
      <c r="L2452" s="19">
        <f>IFERROR(__xludf.DUMMYFUNCTION("""COMPUTED_VALUE"""),0.1502)</f>
        <v>0.1502</v>
      </c>
      <c r="M2452" s="18">
        <f>IFERROR(__xludf.DUMMYFUNCTION("""COMPUTED_VALUE"""),4.13)</f>
        <v>4.13</v>
      </c>
    </row>
    <row r="2453">
      <c r="A2453" s="13" t="str">
        <f>IFERROR(__xludf.DUMMYFUNCTION("""COMPUTED_VALUE"""),"товари")</f>
        <v>товари</v>
      </c>
      <c r="B2453" s="16" t="str">
        <f>IFERROR(__xludf.DUMMYFUNCTION("""COMPUTED_VALUE"""),"обладнання та товари для надання послуг")</f>
        <v>обладнання та товари для надання послуг</v>
      </c>
      <c r="C2453" s="16" t="str">
        <f>IFERROR(__xludf.DUMMYFUNCTION("""COMPUTED_VALUE"""),"все для салонів краси")</f>
        <v>все для салонів краси</v>
      </c>
      <c r="D2453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453" s="16" t="str">
        <f>IFERROR(__xludf.DUMMYFUNCTION("""COMPUTED_VALUE"""),"витратні матеріали для салонів краси")</f>
        <v>витратні матеріали для салонів краси</v>
      </c>
      <c r="F2453" s="17">
        <f>IFERROR(__xludf.DUMMYFUNCTION("""COMPUTED_VALUE"""),4.0)</f>
        <v>4</v>
      </c>
      <c r="G2453" s="17" t="str">
        <f>IFERROR(__xludf.DUMMYFUNCTION("""COMPUTED_VALUE"""),"161405")</f>
        <v>161405</v>
      </c>
      <c r="H2453" s="17" t="str">
        <f>IFERROR(__xludf.DUMMYFUNCTION("""COMPUTED_VALUE"""),"витратні матеріали для салонів краси")</f>
        <v>витратні матеріали для салонів краси</v>
      </c>
      <c r="I2453" s="19">
        <f>IFERROR(__xludf.DUMMYFUNCTION("""COMPUTED_VALUE"""),0.078)</f>
        <v>0.078</v>
      </c>
      <c r="J2453" s="19">
        <f>IFERROR(__xludf.DUMMYFUNCTION("""COMPUTED_VALUE"""),0.1559)</f>
        <v>0.1559</v>
      </c>
      <c r="K2453" s="19">
        <f>IFERROR(__xludf.DUMMYFUNCTION("""COMPUTED_VALUE"""),0.1949)</f>
        <v>0.1949</v>
      </c>
      <c r="L2453" s="19">
        <f>IFERROR(__xludf.DUMMYFUNCTION("""COMPUTED_VALUE"""),0.2339)</f>
        <v>0.2339</v>
      </c>
      <c r="M2453" s="18">
        <f>IFERROR(__xludf.DUMMYFUNCTION("""COMPUTED_VALUE"""),3.33)</f>
        <v>3.33</v>
      </c>
    </row>
    <row r="2454">
      <c r="A2454" s="13" t="str">
        <f>IFERROR(__xludf.DUMMYFUNCTION("""COMPUTED_VALUE"""),"товари")</f>
        <v>товари</v>
      </c>
      <c r="B2454" s="16" t="str">
        <f>IFERROR(__xludf.DUMMYFUNCTION("""COMPUTED_VALUE"""),"обладнання та товари для надання послуг")</f>
        <v>обладнання та товари для надання послуг</v>
      </c>
      <c r="C2454" s="16" t="str">
        <f>IFERROR(__xludf.DUMMYFUNCTION("""COMPUTED_VALUE"""),"обладнання для торгівлі")</f>
        <v>обладнання для торгівлі</v>
      </c>
      <c r="D2454" s="16" t="str">
        <f>IFERROR(__xludf.DUMMYFUNCTION("""COMPUTED_VALUE"""),"флористичні матеріали")</f>
        <v>флористичні матеріали</v>
      </c>
      <c r="E2454" s="16" t="str">
        <f>IFERROR(__xludf.DUMMYFUNCTION("""COMPUTED_VALUE"""),"витратні матеріали для флористики")</f>
        <v>витратні матеріали для флористики</v>
      </c>
      <c r="F2454" s="17">
        <f>IFERROR(__xludf.DUMMYFUNCTION("""COMPUTED_VALUE"""),4.0)</f>
        <v>4</v>
      </c>
      <c r="G2454" s="17" t="str">
        <f>IFERROR(__xludf.DUMMYFUNCTION("""COMPUTED_VALUE"""),"283076")</f>
        <v>283076</v>
      </c>
      <c r="H2454" s="17" t="str">
        <f>IFERROR(__xludf.DUMMYFUNCTION("""COMPUTED_VALUE"""),"витратні матеріали для флористики")</f>
        <v>витратні матеріали для флористики</v>
      </c>
      <c r="I2454" s="19">
        <f>IFERROR(__xludf.DUMMYFUNCTION("""COMPUTED_VALUE"""),0.082)</f>
        <v>0.082</v>
      </c>
      <c r="J2454" s="19">
        <f>IFERROR(__xludf.DUMMYFUNCTION("""COMPUTED_VALUE"""),0.164)</f>
        <v>0.164</v>
      </c>
      <c r="K2454" s="19">
        <f>IFERROR(__xludf.DUMMYFUNCTION("""COMPUTED_VALUE"""),0.205)</f>
        <v>0.205</v>
      </c>
      <c r="L2454" s="19">
        <f>IFERROR(__xludf.DUMMYFUNCTION("""COMPUTED_VALUE"""),0.246)</f>
        <v>0.246</v>
      </c>
      <c r="M2454" s="18">
        <f>IFERROR(__xludf.DUMMYFUNCTION("""COMPUTED_VALUE"""),1.26)</f>
        <v>1.26</v>
      </c>
    </row>
    <row r="2455">
      <c r="A2455" s="13" t="str">
        <f>IFERROR(__xludf.DUMMYFUNCTION("""COMPUTED_VALUE"""),"товари")</f>
        <v>товари</v>
      </c>
      <c r="B2455" s="16" t="str">
        <f>IFERROR(__xludf.DUMMYFUNCTION("""COMPUTED_VALUE"""),"обладнання та товари для надання послуг")</f>
        <v>обладнання та товари для надання послуг</v>
      </c>
      <c r="C2455" s="16" t="str">
        <f>IFERROR(__xludf.DUMMYFUNCTION("""COMPUTED_VALUE"""),"комерційні меблі")</f>
        <v>комерційні меблі</v>
      </c>
      <c r="D2455" s="16" t="str">
        <f>IFERROR(__xludf.DUMMYFUNCTION("""COMPUTED_VALUE"""),"медичні меблі")</f>
        <v>медичні меблі</v>
      </c>
      <c r="E2455" s="16" t="str">
        <f>IFERROR(__xludf.DUMMYFUNCTION("""COMPUTED_VALUE"""),"візки і столики медичні")</f>
        <v>візки і столики медичні</v>
      </c>
      <c r="F2455" s="17">
        <f>IFERROR(__xludf.DUMMYFUNCTION("""COMPUTED_VALUE"""),4.0)</f>
        <v>4</v>
      </c>
      <c r="G2455" s="17" t="str">
        <f>IFERROR(__xludf.DUMMYFUNCTION("""COMPUTED_VALUE"""),"15030823")</f>
        <v>15030823</v>
      </c>
      <c r="H2455" s="17" t="str">
        <f>IFERROR(__xludf.DUMMYFUNCTION("""COMPUTED_VALUE"""),"візки і столики медичні")</f>
        <v>візки і столики медичні</v>
      </c>
      <c r="I2455" s="19">
        <f>IFERROR(__xludf.DUMMYFUNCTION("""COMPUTED_VALUE"""),0.0576)</f>
        <v>0.0576</v>
      </c>
      <c r="J2455" s="19">
        <f>IFERROR(__xludf.DUMMYFUNCTION("""COMPUTED_VALUE"""),0.1152)</f>
        <v>0.1152</v>
      </c>
      <c r="K2455" s="19">
        <f>IFERROR(__xludf.DUMMYFUNCTION("""COMPUTED_VALUE"""),0.144)</f>
        <v>0.144</v>
      </c>
      <c r="L2455" s="19">
        <f>IFERROR(__xludf.DUMMYFUNCTION("""COMPUTED_VALUE"""),0.1728)</f>
        <v>0.1728</v>
      </c>
      <c r="M2455" s="18">
        <f>IFERROR(__xludf.DUMMYFUNCTION("""COMPUTED_VALUE"""),5.4)</f>
        <v>5.4</v>
      </c>
    </row>
    <row r="2456">
      <c r="A2456" s="13" t="str">
        <f>IFERROR(__xludf.DUMMYFUNCTION("""COMPUTED_VALUE"""),"товари")</f>
        <v>товари</v>
      </c>
      <c r="B2456" s="16" t="str">
        <f>IFERROR(__xludf.DUMMYFUNCTION("""COMPUTED_VALUE"""),"обладнання та товари для надання послуг")</f>
        <v>обладнання та товари для надання послуг</v>
      </c>
      <c r="C2456" s="16" t="str">
        <f>IFERROR(__xludf.DUMMYFUNCTION("""COMPUTED_VALUE"""),"horeca&amp;fast-food")</f>
        <v>horeca&amp;fast-food</v>
      </c>
      <c r="D2456" s="16" t="str">
        <f>IFERROR(__xludf.DUMMYFUNCTION("""COMPUTED_VALUE"""),"прибиральний інвентар та засоби для horeca")</f>
        <v>прибиральний інвентар та засоби для horeca</v>
      </c>
      <c r="E2456" s="16" t="str">
        <f>IFERROR(__xludf.DUMMYFUNCTION("""COMPUTED_VALUE"""),"віники, мітли, совки")</f>
        <v>віники, мітли, совки</v>
      </c>
      <c r="F2456" s="17">
        <f>IFERROR(__xludf.DUMMYFUNCTION("""COMPUTED_VALUE"""),4.0)</f>
        <v>4</v>
      </c>
      <c r="G2456" s="17" t="str">
        <f>IFERROR(__xludf.DUMMYFUNCTION("""COMPUTED_VALUE"""),"151401")</f>
        <v>151401</v>
      </c>
      <c r="H2456" s="17" t="str">
        <f>IFERROR(__xludf.DUMMYFUNCTION("""COMPUTED_VALUE"""),"віники, мітли, совки")</f>
        <v>віники, мітли, совки</v>
      </c>
      <c r="I2456" s="19">
        <f>IFERROR(__xludf.DUMMYFUNCTION("""COMPUTED_VALUE"""),0.0755)</f>
        <v>0.0755</v>
      </c>
      <c r="J2456" s="19">
        <f>IFERROR(__xludf.DUMMYFUNCTION("""COMPUTED_VALUE"""),0.1509)</f>
        <v>0.1509</v>
      </c>
      <c r="K2456" s="19">
        <f>IFERROR(__xludf.DUMMYFUNCTION("""COMPUTED_VALUE"""),0.1886)</f>
        <v>0.1886</v>
      </c>
      <c r="L2456" s="19">
        <f>IFERROR(__xludf.DUMMYFUNCTION("""COMPUTED_VALUE"""),0.2264)</f>
        <v>0.2264</v>
      </c>
      <c r="M2456" s="18">
        <f>IFERROR(__xludf.DUMMYFUNCTION("""COMPUTED_VALUE"""),1.8)</f>
        <v>1.8</v>
      </c>
    </row>
    <row r="2457">
      <c r="A2457" s="13" t="str">
        <f>IFERROR(__xludf.DUMMYFUNCTION("""COMPUTED_VALUE"""),"товари")</f>
        <v>товари</v>
      </c>
      <c r="B2457" s="16" t="str">
        <f>IFERROR(__xludf.DUMMYFUNCTION("""COMPUTED_VALUE"""),"обладнання та товари для надання послуг")</f>
        <v>обладнання та товари для надання послуг</v>
      </c>
      <c r="C2457" s="16" t="str">
        <f>IFERROR(__xludf.DUMMYFUNCTION("""COMPUTED_VALUE"""),"релігійні і езотеричні товари")</f>
        <v>релігійні і езотеричні товари</v>
      </c>
      <c r="D2457" s="16" t="str">
        <f>IFERROR(__xludf.DUMMYFUNCTION("""COMPUTED_VALUE"""),"ритуальні товари")</f>
        <v>ритуальні товари</v>
      </c>
      <c r="E2457" s="16" t="str">
        <f>IFERROR(__xludf.DUMMYFUNCTION("""COMPUTED_VALUE"""),"вінки траурні")</f>
        <v>вінки траурні</v>
      </c>
      <c r="F2457" s="17">
        <f>IFERROR(__xludf.DUMMYFUNCTION("""COMPUTED_VALUE"""),4.0)</f>
        <v>4</v>
      </c>
      <c r="G2457" s="17" t="str">
        <f>IFERROR(__xludf.DUMMYFUNCTION("""COMPUTED_VALUE"""),"282604")</f>
        <v>282604</v>
      </c>
      <c r="H2457" s="17" t="str">
        <f>IFERROR(__xludf.DUMMYFUNCTION("""COMPUTED_VALUE"""),"вінки траурні")</f>
        <v>вінки траурні</v>
      </c>
      <c r="I2457" s="19">
        <f>IFERROR(__xludf.DUMMYFUNCTION("""COMPUTED_VALUE"""),0.039)</f>
        <v>0.039</v>
      </c>
      <c r="J2457" s="19">
        <f>IFERROR(__xludf.DUMMYFUNCTION("""COMPUTED_VALUE"""),0.0779)</f>
        <v>0.0779</v>
      </c>
      <c r="K2457" s="19">
        <f>IFERROR(__xludf.DUMMYFUNCTION("""COMPUTED_VALUE"""),0.0974)</f>
        <v>0.0974</v>
      </c>
      <c r="L2457" s="19">
        <f>IFERROR(__xludf.DUMMYFUNCTION("""COMPUTED_VALUE"""),0.1169)</f>
        <v>0.1169</v>
      </c>
      <c r="M2457" s="18">
        <f>IFERROR(__xludf.DUMMYFUNCTION("""COMPUTED_VALUE"""),1.71)</f>
        <v>1.71</v>
      </c>
    </row>
    <row r="2458">
      <c r="A2458" s="13" t="str">
        <f>IFERROR(__xludf.DUMMYFUNCTION("""COMPUTED_VALUE"""),"товари")</f>
        <v>товари</v>
      </c>
      <c r="B2458" s="16" t="str">
        <f>IFERROR(__xludf.DUMMYFUNCTION("""COMPUTED_VALUE"""),"обладнання та товари для надання послуг")</f>
        <v>обладнання та товари для надання послуг</v>
      </c>
      <c r="C2458" s="16" t="str">
        <f>IFERROR(__xludf.DUMMYFUNCTION("""COMPUTED_VALUE"""),"вендінгове і розважальне обладнання")</f>
        <v>вендінгове і розважальне обладнання</v>
      </c>
      <c r="D2458" s="16" t="str">
        <f>IFERROR(__xludf.DUMMYFUNCTION("""COMPUTED_VALUE"""),"все для боулінгу")</f>
        <v>все для боулінгу</v>
      </c>
      <c r="E2458" s="16" t="str">
        <f>IFERROR(__xludf.DUMMYFUNCTION("""COMPUTED_VALUE"""),"все для боулінгу")</f>
        <v>все для боулінгу</v>
      </c>
      <c r="F2458" s="17">
        <f>IFERROR(__xludf.DUMMYFUNCTION("""COMPUTED_VALUE"""),3.0)</f>
        <v>3</v>
      </c>
      <c r="G2458" s="17" t="str">
        <f>IFERROR(__xludf.DUMMYFUNCTION("""COMPUTED_VALUE"""),"2002")</f>
        <v>2002</v>
      </c>
      <c r="H2458" s="17" t="str">
        <f>IFERROR(__xludf.DUMMYFUNCTION("""COMPUTED_VALUE"""),"все для боулінгу")</f>
        <v>все для боулінгу</v>
      </c>
      <c r="I2458" s="19">
        <f>IFERROR(__xludf.DUMMYFUNCTION("""COMPUTED_VALUE"""),0.0778)</f>
        <v>0.0778</v>
      </c>
      <c r="J2458" s="19">
        <f>IFERROR(__xludf.DUMMYFUNCTION("""COMPUTED_VALUE"""),0.1555)</f>
        <v>0.1555</v>
      </c>
      <c r="K2458" s="19">
        <f>IFERROR(__xludf.DUMMYFUNCTION("""COMPUTED_VALUE"""),0.1944)</f>
        <v>0.1944</v>
      </c>
      <c r="L2458" s="19">
        <f>IFERROR(__xludf.DUMMYFUNCTION("""COMPUTED_VALUE"""),0.2333)</f>
        <v>0.2333</v>
      </c>
      <c r="M2458" s="18">
        <f>IFERROR(__xludf.DUMMYFUNCTION("""COMPUTED_VALUE"""),1.71)</f>
        <v>1.71</v>
      </c>
    </row>
    <row r="2459">
      <c r="A2459" s="13" t="str">
        <f>IFERROR(__xludf.DUMMYFUNCTION("""COMPUTED_VALUE"""),"товари")</f>
        <v>товари</v>
      </c>
      <c r="B2459" s="16" t="str">
        <f>IFERROR(__xludf.DUMMYFUNCTION("""COMPUTED_VALUE"""),"обладнання та товари для надання послуг")</f>
        <v>обладнання та товари для надання послуг</v>
      </c>
      <c r="C2459" s="16" t="str">
        <f>IFERROR(__xludf.DUMMYFUNCTION("""COMPUTED_VALUE"""),"все для салонів краси")</f>
        <v>все для салонів краси</v>
      </c>
      <c r="D2459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459" s="16" t="str">
        <f>IFERROR(__xludf.DUMMYFUNCTION("""COMPUTED_VALUE"""),"все для нарощування вій та брів")</f>
        <v>все для нарощування вій та брів</v>
      </c>
      <c r="F2459" s="17">
        <f>IFERROR(__xludf.DUMMYFUNCTION("""COMPUTED_VALUE"""),4.0)</f>
        <v>4</v>
      </c>
      <c r="G2459" s="17" t="str">
        <f>IFERROR(__xludf.DUMMYFUNCTION("""COMPUTED_VALUE"""),"161407")</f>
        <v>161407</v>
      </c>
      <c r="H2459" s="17" t="str">
        <f>IFERROR(__xludf.DUMMYFUNCTION("""COMPUTED_VALUE"""),"все для нарощування вій та брів")</f>
        <v>все для нарощування вій та брів</v>
      </c>
      <c r="I2459" s="19">
        <f>IFERROR(__xludf.DUMMYFUNCTION("""COMPUTED_VALUE"""),0.0783)</f>
        <v>0.0783</v>
      </c>
      <c r="J2459" s="19">
        <f>IFERROR(__xludf.DUMMYFUNCTION("""COMPUTED_VALUE"""),0.1565)</f>
        <v>0.1565</v>
      </c>
      <c r="K2459" s="19">
        <f>IFERROR(__xludf.DUMMYFUNCTION("""COMPUTED_VALUE"""),0.1956)</f>
        <v>0.1956</v>
      </c>
      <c r="L2459" s="19">
        <f>IFERROR(__xludf.DUMMYFUNCTION("""COMPUTED_VALUE"""),0.2348)</f>
        <v>0.2348</v>
      </c>
      <c r="M2459" s="18">
        <f>IFERROR(__xludf.DUMMYFUNCTION("""COMPUTED_VALUE"""),3.33)</f>
        <v>3.33</v>
      </c>
    </row>
    <row r="2460">
      <c r="A2460" s="13" t="str">
        <f>IFERROR(__xludf.DUMMYFUNCTION("""COMPUTED_VALUE"""),"товари")</f>
        <v>товари</v>
      </c>
      <c r="B2460" s="16" t="str">
        <f>IFERROR(__xludf.DUMMYFUNCTION("""COMPUTED_VALUE"""),"обладнання та товари для надання послуг")</f>
        <v>обладнання та товари для надання послуг</v>
      </c>
      <c r="C2460" s="16" t="str">
        <f>IFERROR(__xludf.DUMMYFUNCTION("""COMPUTED_VALUE"""),"все для салонів краси")</f>
        <v>все для салонів краси</v>
      </c>
      <c r="D2460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460" s="16" t="str">
        <f>IFERROR(__xludf.DUMMYFUNCTION("""COMPUTED_VALUE"""),"все для нарощування та плетіння волосся")</f>
        <v>все для нарощування та плетіння волосся</v>
      </c>
      <c r="F2460" s="17">
        <f>IFERROR(__xludf.DUMMYFUNCTION("""COMPUTED_VALUE"""),4.0)</f>
        <v>4</v>
      </c>
      <c r="G2460" s="17" t="str">
        <f>IFERROR(__xludf.DUMMYFUNCTION("""COMPUTED_VALUE"""),"283023")</f>
        <v>283023</v>
      </c>
      <c r="H2460" s="17" t="str">
        <f>IFERROR(__xludf.DUMMYFUNCTION("""COMPUTED_VALUE"""),"все для нарощування та плетіння волосся")</f>
        <v>все для нарощування та плетіння волосся</v>
      </c>
      <c r="I2460" s="19">
        <f>IFERROR(__xludf.DUMMYFUNCTION("""COMPUTED_VALUE"""),0.0773)</f>
        <v>0.0773</v>
      </c>
      <c r="J2460" s="19">
        <f>IFERROR(__xludf.DUMMYFUNCTION("""COMPUTED_VALUE"""),0.1546)</f>
        <v>0.1546</v>
      </c>
      <c r="K2460" s="19">
        <f>IFERROR(__xludf.DUMMYFUNCTION("""COMPUTED_VALUE"""),0.1933)</f>
        <v>0.1933</v>
      </c>
      <c r="L2460" s="19">
        <f>IFERROR(__xludf.DUMMYFUNCTION("""COMPUTED_VALUE"""),0.2319)</f>
        <v>0.2319</v>
      </c>
      <c r="M2460" s="18">
        <f>IFERROR(__xludf.DUMMYFUNCTION("""COMPUTED_VALUE"""),3.33)</f>
        <v>3.33</v>
      </c>
    </row>
    <row r="2461">
      <c r="A2461" s="13" t="str">
        <f>IFERROR(__xludf.DUMMYFUNCTION("""COMPUTED_VALUE"""),"товари")</f>
        <v>товари</v>
      </c>
      <c r="B2461" s="16" t="str">
        <f>IFERROR(__xludf.DUMMYFUNCTION("""COMPUTED_VALUE"""),"обладнання та товари для надання послуг")</f>
        <v>обладнання та товари для надання послуг</v>
      </c>
      <c r="C2461" s="16" t="str">
        <f>IFERROR(__xludf.DUMMYFUNCTION("""COMPUTED_VALUE"""),"все для салонів краси")</f>
        <v>все для салонів краси</v>
      </c>
      <c r="D2461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461" s="16" t="str">
        <f>IFERROR(__xludf.DUMMYFUNCTION("""COMPUTED_VALUE"""),"все для салонів краси, загальне")</f>
        <v>все для салонів краси, загальне</v>
      </c>
      <c r="F2461" s="17">
        <f>IFERROR(__xludf.DUMMYFUNCTION("""COMPUTED_VALUE"""),4.0)</f>
        <v>4</v>
      </c>
      <c r="G2461" s="17" t="str">
        <f>IFERROR(__xludf.DUMMYFUNCTION("""COMPUTED_VALUE"""),"28290202")</f>
        <v>28290202</v>
      </c>
      <c r="H2461" s="17" t="str">
        <f>IFERROR(__xludf.DUMMYFUNCTION("""COMPUTED_VALUE"""),"все для салонів краси, загальне")</f>
        <v>все для салонів краси, загальне</v>
      </c>
      <c r="I2461" s="19">
        <f>IFERROR(__xludf.DUMMYFUNCTION("""COMPUTED_VALUE"""),0.125)</f>
        <v>0.125</v>
      </c>
      <c r="J2461" s="19">
        <f>IFERROR(__xludf.DUMMYFUNCTION("""COMPUTED_VALUE"""),0.25)</f>
        <v>0.25</v>
      </c>
      <c r="K2461" s="19">
        <f>IFERROR(__xludf.DUMMYFUNCTION("""COMPUTED_VALUE"""),0.3125)</f>
        <v>0.3125</v>
      </c>
      <c r="L2461" s="19">
        <f>IFERROR(__xludf.DUMMYFUNCTION("""COMPUTED_VALUE"""),0.375)</f>
        <v>0.375</v>
      </c>
      <c r="M2461" s="18">
        <f>IFERROR(__xludf.DUMMYFUNCTION("""COMPUTED_VALUE"""),4.33)</f>
        <v>4.33</v>
      </c>
    </row>
    <row r="2462">
      <c r="A2462" s="13" t="str">
        <f>IFERROR(__xludf.DUMMYFUNCTION("""COMPUTED_VALUE"""),"товари")</f>
        <v>товари</v>
      </c>
      <c r="B2462" s="16" t="str">
        <f>IFERROR(__xludf.DUMMYFUNCTION("""COMPUTED_VALUE"""),"обладнання та товари для надання послуг")</f>
        <v>обладнання та товари для надання послуг</v>
      </c>
      <c r="C2462" s="16" t="str">
        <f>IFERROR(__xludf.DUMMYFUNCTION("""COMPUTED_VALUE"""),"все для салонів краси")</f>
        <v>все для салонів краси</v>
      </c>
      <c r="D2462" s="16" t="str">
        <f>IFERROR(__xludf.DUMMYFUNCTION("""COMPUTED_VALUE"""),"все для татуювання, боді-арту, пірсингу")</f>
        <v>все для татуювання, боді-арту, пірсингу</v>
      </c>
      <c r="E2462" s="16" t="str">
        <f>IFERROR(__xludf.DUMMYFUNCTION("""COMPUTED_VALUE"""),"все для татуювання, боді-арту, пірсингу, загальне")</f>
        <v>все для татуювання, боді-арту, пірсингу, загальне</v>
      </c>
      <c r="F2462" s="17">
        <f>IFERROR(__xludf.DUMMYFUNCTION("""COMPUTED_VALUE"""),4.0)</f>
        <v>4</v>
      </c>
      <c r="G2462" s="17" t="str">
        <f>IFERROR(__xludf.DUMMYFUNCTION("""COMPUTED_VALUE"""),"282988")</f>
        <v>282988</v>
      </c>
      <c r="H2462" s="17" t="str">
        <f>IFERROR(__xludf.DUMMYFUNCTION("""COMPUTED_VALUE"""),"все для татуювання, боді-арту, пірсингу, загальне")</f>
        <v>все для татуювання, боді-арту, пірсингу, загальне</v>
      </c>
      <c r="I2462" s="19">
        <f>IFERROR(__xludf.DUMMYFUNCTION("""COMPUTED_VALUE"""),0.125)</f>
        <v>0.125</v>
      </c>
      <c r="J2462" s="19">
        <f>IFERROR(__xludf.DUMMYFUNCTION("""COMPUTED_VALUE"""),0.25)</f>
        <v>0.25</v>
      </c>
      <c r="K2462" s="19">
        <f>IFERROR(__xludf.DUMMYFUNCTION("""COMPUTED_VALUE"""),0.3125)</f>
        <v>0.3125</v>
      </c>
      <c r="L2462" s="19">
        <f>IFERROR(__xludf.DUMMYFUNCTION("""COMPUTED_VALUE"""),0.375)</f>
        <v>0.375</v>
      </c>
      <c r="M2462" s="18">
        <f>IFERROR(__xludf.DUMMYFUNCTION("""COMPUTED_VALUE"""),4.33)</f>
        <v>4.33</v>
      </c>
    </row>
    <row r="2463">
      <c r="A2463" s="13" t="str">
        <f>IFERROR(__xludf.DUMMYFUNCTION("""COMPUTED_VALUE"""),"товари")</f>
        <v>товари</v>
      </c>
      <c r="B2463" s="16" t="str">
        <f>IFERROR(__xludf.DUMMYFUNCTION("""COMPUTED_VALUE"""),"обладнання та товари для надання послуг")</f>
        <v>обладнання та товари для надання послуг</v>
      </c>
      <c r="C2463" s="16" t="str">
        <f>IFERROR(__xludf.DUMMYFUNCTION("""COMPUTED_VALUE"""),"вендінгове і розважальне обладнання")</f>
        <v>вендінгове і розважальне обладнання</v>
      </c>
      <c r="D2463" s="16" t="str">
        <f>IFERROR(__xludf.DUMMYFUNCTION("""COMPUTED_VALUE"""),"гардеробні номерки")</f>
        <v>гардеробні номерки</v>
      </c>
      <c r="E2463" s="16" t="str">
        <f>IFERROR(__xludf.DUMMYFUNCTION("""COMPUTED_VALUE"""),"гардеробні номерки")</f>
        <v>гардеробні номерки</v>
      </c>
      <c r="F2463" s="17">
        <f>IFERROR(__xludf.DUMMYFUNCTION("""COMPUTED_VALUE"""),3.0)</f>
        <v>3</v>
      </c>
      <c r="G2463" s="17" t="str">
        <f>IFERROR(__xludf.DUMMYFUNCTION("""COMPUTED_VALUE"""),"282944")</f>
        <v>282944</v>
      </c>
      <c r="H2463" s="17" t="str">
        <f>IFERROR(__xludf.DUMMYFUNCTION("""COMPUTED_VALUE"""),"гардеробні номерки")</f>
        <v>гардеробні номерки</v>
      </c>
      <c r="I2463" s="19">
        <f>IFERROR(__xludf.DUMMYFUNCTION("""COMPUTED_VALUE"""),0.0693)</f>
        <v>0.0693</v>
      </c>
      <c r="J2463" s="19">
        <f>IFERROR(__xludf.DUMMYFUNCTION("""COMPUTED_VALUE"""),0.1386)</f>
        <v>0.1386</v>
      </c>
      <c r="K2463" s="19">
        <f>IFERROR(__xludf.DUMMYFUNCTION("""COMPUTED_VALUE"""),0.1733)</f>
        <v>0.1733</v>
      </c>
      <c r="L2463" s="19">
        <f>IFERROR(__xludf.DUMMYFUNCTION("""COMPUTED_VALUE"""),0.2079)</f>
        <v>0.2079</v>
      </c>
      <c r="M2463" s="18">
        <f>IFERROR(__xludf.DUMMYFUNCTION("""COMPUTED_VALUE"""),4.14)</f>
        <v>4.14</v>
      </c>
    </row>
    <row r="2464">
      <c r="A2464" s="13" t="str">
        <f>IFERROR(__xludf.DUMMYFUNCTION("""COMPUTED_VALUE"""),"товари")</f>
        <v>товари</v>
      </c>
      <c r="B2464" s="16" t="str">
        <f>IFERROR(__xludf.DUMMYFUNCTION("""COMPUTED_VALUE"""),"обладнання та товари для надання послуг")</f>
        <v>обладнання та товари для надання послуг</v>
      </c>
      <c r="C2464" s="16" t="str">
        <f>IFERROR(__xludf.DUMMYFUNCTION("""COMPUTED_VALUE"""),"horeca&amp;fast-food")</f>
        <v>horeca&amp;fast-food</v>
      </c>
      <c r="D2464" s="16" t="str">
        <f>IFERROR(__xludf.DUMMYFUNCTION("""COMPUTED_VALUE"""),"нейтральне обладнання horeca&amp;fast-food")</f>
        <v>нейтральне обладнання horeca&amp;fast-food</v>
      </c>
      <c r="E2464" s="16" t="str">
        <f>IFERROR(__xludf.DUMMYFUNCTION("""COMPUTED_VALUE"""),"гастроємності")</f>
        <v>гастроємності</v>
      </c>
      <c r="F2464" s="17">
        <f>IFERROR(__xludf.DUMMYFUNCTION("""COMPUTED_VALUE"""),4.0)</f>
        <v>4</v>
      </c>
      <c r="G2464" s="17" t="str">
        <f>IFERROR(__xludf.DUMMYFUNCTION("""COMPUTED_VALUE"""),"240654")</f>
        <v>240654</v>
      </c>
      <c r="H2464" s="17" t="str">
        <f>IFERROR(__xludf.DUMMYFUNCTION("""COMPUTED_VALUE"""),"гастроємності")</f>
        <v>гастроємності</v>
      </c>
      <c r="I2464" s="19">
        <f>IFERROR(__xludf.DUMMYFUNCTION("""COMPUTED_VALUE"""),0.0771)</f>
        <v>0.0771</v>
      </c>
      <c r="J2464" s="19">
        <f>IFERROR(__xludf.DUMMYFUNCTION("""COMPUTED_VALUE"""),0.1542)</f>
        <v>0.1542</v>
      </c>
      <c r="K2464" s="19">
        <f>IFERROR(__xludf.DUMMYFUNCTION("""COMPUTED_VALUE"""),0.1928)</f>
        <v>0.1928</v>
      </c>
      <c r="L2464" s="19">
        <f>IFERROR(__xludf.DUMMYFUNCTION("""COMPUTED_VALUE"""),0.2313)</f>
        <v>0.2313</v>
      </c>
      <c r="M2464" s="18">
        <f>IFERROR(__xludf.DUMMYFUNCTION("""COMPUTED_VALUE"""),4.33)</f>
        <v>4.33</v>
      </c>
    </row>
    <row r="2465">
      <c r="A2465" s="13" t="str">
        <f>IFERROR(__xludf.DUMMYFUNCTION("""COMPUTED_VALUE"""),"товари")</f>
        <v>товари</v>
      </c>
      <c r="B2465" s="16" t="str">
        <f>IFERROR(__xludf.DUMMYFUNCTION("""COMPUTED_VALUE"""),"обладнання та товари для надання послуг")</f>
        <v>обладнання та товари для надання послуг</v>
      </c>
      <c r="C2465" s="16" t="str">
        <f>IFERROR(__xludf.DUMMYFUNCTION("""COMPUTED_VALUE"""),"обладнання для торгівлі")</f>
        <v>обладнання для торгівлі</v>
      </c>
      <c r="D2465" s="16" t="str">
        <f>IFERROR(__xludf.DUMMYFUNCTION("""COMPUTED_VALUE"""),"флористичні матеріали")</f>
        <v>флористичні матеріали</v>
      </c>
      <c r="E2465" s="16" t="str">
        <f>IFERROR(__xludf.DUMMYFUNCTION("""COMPUTED_VALUE"""),"гелі, фарби, олівці для квітів")</f>
        <v>гелі, фарби, олівці для квітів</v>
      </c>
      <c r="F2465" s="17">
        <f>IFERROR(__xludf.DUMMYFUNCTION("""COMPUTED_VALUE"""),4.0)</f>
        <v>4</v>
      </c>
      <c r="G2465" s="17" t="str">
        <f>IFERROR(__xludf.DUMMYFUNCTION("""COMPUTED_VALUE"""),"1140504")</f>
        <v>1140504</v>
      </c>
      <c r="H2465" s="17" t="str">
        <f>IFERROR(__xludf.DUMMYFUNCTION("""COMPUTED_VALUE"""),"гелі, фарби, олівці для квітів")</f>
        <v>гелі, фарби, олівці для квітів</v>
      </c>
      <c r="I2465" s="19">
        <f>IFERROR(__xludf.DUMMYFUNCTION("""COMPUTED_VALUE"""),0.0833)</f>
        <v>0.0833</v>
      </c>
      <c r="J2465" s="19">
        <f>IFERROR(__xludf.DUMMYFUNCTION("""COMPUTED_VALUE"""),0.1666)</f>
        <v>0.1666</v>
      </c>
      <c r="K2465" s="19">
        <f>IFERROR(__xludf.DUMMYFUNCTION("""COMPUTED_VALUE"""),0.2083)</f>
        <v>0.2083</v>
      </c>
      <c r="L2465" s="19">
        <f>IFERROR(__xludf.DUMMYFUNCTION("""COMPUTED_VALUE"""),0.2499)</f>
        <v>0.2499</v>
      </c>
      <c r="M2465" s="18">
        <f>IFERROR(__xludf.DUMMYFUNCTION("""COMPUTED_VALUE"""),1.26)</f>
        <v>1.26</v>
      </c>
    </row>
    <row r="2466">
      <c r="A2466" s="13" t="str">
        <f>IFERROR(__xludf.DUMMYFUNCTION("""COMPUTED_VALUE"""),"товари")</f>
        <v>товари</v>
      </c>
      <c r="B2466" s="16" t="str">
        <f>IFERROR(__xludf.DUMMYFUNCTION("""COMPUTED_VALUE"""),"обладнання та товари для надання послуг")</f>
        <v>обладнання та товари для надання послуг</v>
      </c>
      <c r="C2466" s="16" t="str">
        <f>IFERROR(__xludf.DUMMYFUNCTION("""COMPUTED_VALUE"""),"вендінгове і розважальне обладнання")</f>
        <v>вендінгове і розважальне обладнання</v>
      </c>
      <c r="D2466" s="16" t="str">
        <f>IFERROR(__xludf.DUMMYFUNCTION("""COMPUTED_VALUE"""),"обладнання для заходів і клубів")</f>
        <v>обладнання для заходів і клубів</v>
      </c>
      <c r="E2466" s="16" t="str">
        <f>IFERROR(__xludf.DUMMYFUNCTION("""COMPUTED_VALUE"""),"генератори спецефектів")</f>
        <v>генератори спецефектів</v>
      </c>
      <c r="F2466" s="17">
        <f>IFERROR(__xludf.DUMMYFUNCTION("""COMPUTED_VALUE"""),4.0)</f>
        <v>4</v>
      </c>
      <c r="G2466" s="17" t="str">
        <f>IFERROR(__xludf.DUMMYFUNCTION("""COMPUTED_VALUE"""),"282915")</f>
        <v>282915</v>
      </c>
      <c r="H2466" s="17" t="str">
        <f>IFERROR(__xludf.DUMMYFUNCTION("""COMPUTED_VALUE"""),"генератори спецефектів")</f>
        <v>генератори спецефектів</v>
      </c>
      <c r="I2466" s="19">
        <f>IFERROR(__xludf.DUMMYFUNCTION("""COMPUTED_VALUE"""),0.0697)</f>
        <v>0.0697</v>
      </c>
      <c r="J2466" s="19">
        <f>IFERROR(__xludf.DUMMYFUNCTION("""COMPUTED_VALUE"""),0.1394)</f>
        <v>0.1394</v>
      </c>
      <c r="K2466" s="19">
        <f>IFERROR(__xludf.DUMMYFUNCTION("""COMPUTED_VALUE"""),0.1743)</f>
        <v>0.1743</v>
      </c>
      <c r="L2466" s="19">
        <f>IFERROR(__xludf.DUMMYFUNCTION("""COMPUTED_VALUE"""),0.2091)</f>
        <v>0.2091</v>
      </c>
      <c r="M2466" s="18">
        <f>IFERROR(__xludf.DUMMYFUNCTION("""COMPUTED_VALUE"""),2.61)</f>
        <v>2.61</v>
      </c>
    </row>
    <row r="2467">
      <c r="A2467" s="13" t="str">
        <f>IFERROR(__xludf.DUMMYFUNCTION("""COMPUTED_VALUE"""),"товари")</f>
        <v>товари</v>
      </c>
      <c r="B2467" s="16" t="str">
        <f>IFERROR(__xludf.DUMMYFUNCTION("""COMPUTED_VALUE"""),"обладнання та товари для надання послуг")</f>
        <v>обладнання та товари для надання послуг</v>
      </c>
      <c r="C2467" s="16" t="str">
        <f>IFERROR(__xludf.DUMMYFUNCTION("""COMPUTED_VALUE"""),"обладнання для автосервісу")</f>
        <v>обладнання для автосервісу</v>
      </c>
      <c r="D2467" s="16" t="str">
        <f>IFERROR(__xludf.DUMMYFUNCTION("""COMPUTED_VALUE"""),"підйомне устаткування")</f>
        <v>підйомне устаткування</v>
      </c>
      <c r="E2467" s="16" t="str">
        <f>IFERROR(__xludf.DUMMYFUNCTION("""COMPUTED_VALUE"""),"гідравлічні підкатні крани")</f>
        <v>гідравлічні підкатні крани</v>
      </c>
      <c r="F2467" s="17">
        <f>IFERROR(__xludf.DUMMYFUNCTION("""COMPUTED_VALUE"""),4.0)</f>
        <v>4</v>
      </c>
      <c r="G2467" s="17" t="str">
        <f>IFERROR(__xludf.DUMMYFUNCTION("""COMPUTED_VALUE"""),"12110307")</f>
        <v>12110307</v>
      </c>
      <c r="H2467" s="17" t="str">
        <f>IFERROR(__xludf.DUMMYFUNCTION("""COMPUTED_VALUE"""),"гідравлічні підкатні крани")</f>
        <v>гідравлічні підкатні крани</v>
      </c>
      <c r="I2467" s="19">
        <f>IFERROR(__xludf.DUMMYFUNCTION("""COMPUTED_VALUE"""),0.053)</f>
        <v>0.053</v>
      </c>
      <c r="J2467" s="19">
        <f>IFERROR(__xludf.DUMMYFUNCTION("""COMPUTED_VALUE"""),0.106)</f>
        <v>0.106</v>
      </c>
      <c r="K2467" s="19">
        <f>IFERROR(__xludf.DUMMYFUNCTION("""COMPUTED_VALUE"""),0.1325)</f>
        <v>0.1325</v>
      </c>
      <c r="L2467" s="19">
        <f>IFERROR(__xludf.DUMMYFUNCTION("""COMPUTED_VALUE"""),0.159)</f>
        <v>0.159</v>
      </c>
      <c r="M2467" s="18">
        <f>IFERROR(__xludf.DUMMYFUNCTION("""COMPUTED_VALUE"""),4.5)</f>
        <v>4.5</v>
      </c>
    </row>
    <row r="2468">
      <c r="A2468" s="13" t="str">
        <f>IFERROR(__xludf.DUMMYFUNCTION("""COMPUTED_VALUE"""),"товари")</f>
        <v>товари</v>
      </c>
      <c r="B2468" s="16" t="str">
        <f>IFERROR(__xludf.DUMMYFUNCTION("""COMPUTED_VALUE"""),"обладнання та товари для надання послуг")</f>
        <v>обладнання та товари для надання послуг</v>
      </c>
      <c r="C2468" s="16" t="str">
        <f>IFERROR(__xludf.DUMMYFUNCTION("""COMPUTED_VALUE"""),"обладнання для навчальних закладів")</f>
        <v>обладнання для навчальних закладів</v>
      </c>
      <c r="D2468" s="16" t="str">
        <f>IFERROR(__xludf.DUMMYFUNCTION("""COMPUTED_VALUE"""),"глобуси")</f>
        <v>глобуси</v>
      </c>
      <c r="E2468" s="16" t="str">
        <f>IFERROR(__xludf.DUMMYFUNCTION("""COMPUTED_VALUE"""),"глобуси")</f>
        <v>глобуси</v>
      </c>
      <c r="F2468" s="17">
        <f>IFERROR(__xludf.DUMMYFUNCTION("""COMPUTED_VALUE"""),3.0)</f>
        <v>3</v>
      </c>
      <c r="G2468" s="17" t="str">
        <f>IFERROR(__xludf.DUMMYFUNCTION("""COMPUTED_VALUE"""),"282941")</f>
        <v>282941</v>
      </c>
      <c r="H2468" s="17" t="str">
        <f>IFERROR(__xludf.DUMMYFUNCTION("""COMPUTED_VALUE"""),"глобуси")</f>
        <v>глобуси</v>
      </c>
      <c r="I2468" s="19">
        <f>IFERROR(__xludf.DUMMYFUNCTION("""COMPUTED_VALUE"""),0.0727)</f>
        <v>0.0727</v>
      </c>
      <c r="J2468" s="19">
        <f>IFERROR(__xludf.DUMMYFUNCTION("""COMPUTED_VALUE"""),0.1453)</f>
        <v>0.1453</v>
      </c>
      <c r="K2468" s="19">
        <f>IFERROR(__xludf.DUMMYFUNCTION("""COMPUTED_VALUE"""),0.1816)</f>
        <v>0.1816</v>
      </c>
      <c r="L2468" s="19">
        <f>IFERROR(__xludf.DUMMYFUNCTION("""COMPUTED_VALUE"""),0.218)</f>
        <v>0.218</v>
      </c>
      <c r="M2468" s="18">
        <f>IFERROR(__xludf.DUMMYFUNCTION("""COMPUTED_VALUE"""),2.34)</f>
        <v>2.34</v>
      </c>
    </row>
    <row r="2469">
      <c r="A2469" s="13" t="str">
        <f>IFERROR(__xludf.DUMMYFUNCTION("""COMPUTED_VALUE"""),"товари")</f>
        <v>товари</v>
      </c>
      <c r="B2469" s="16" t="str">
        <f>IFERROR(__xludf.DUMMYFUNCTION("""COMPUTED_VALUE"""),"обладнання та товари для надання послуг")</f>
        <v>обладнання та товари для надання послуг</v>
      </c>
      <c r="C2469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469" s="16" t="str">
        <f>IFERROR(__xludf.DUMMYFUNCTION("""COMPUTED_VALUE"""),"pos-матеріали")</f>
        <v>pos-матеріали</v>
      </c>
      <c r="E2469" s="16" t="str">
        <f>IFERROR(__xludf.DUMMYFUNCTION("""COMPUTED_VALUE"""),"готові інформаційні таблички та вивіски")</f>
        <v>готові інформаційні таблички та вивіски</v>
      </c>
      <c r="F2469" s="17">
        <f>IFERROR(__xludf.DUMMYFUNCTION("""COMPUTED_VALUE"""),4.0)</f>
        <v>4</v>
      </c>
      <c r="G2469" s="17" t="str">
        <f>IFERROR(__xludf.DUMMYFUNCTION("""COMPUTED_VALUE"""),"281973")</f>
        <v>281973</v>
      </c>
      <c r="H2469" s="17" t="str">
        <f>IFERROR(__xludf.DUMMYFUNCTION("""COMPUTED_VALUE"""),"готові інформаційні таблички та вивіски")</f>
        <v>готові інформаційні таблички та вивіски</v>
      </c>
      <c r="I2469" s="19">
        <f>IFERROR(__xludf.DUMMYFUNCTION("""COMPUTED_VALUE"""),0.0719)</f>
        <v>0.0719</v>
      </c>
      <c r="J2469" s="19">
        <f>IFERROR(__xludf.DUMMYFUNCTION("""COMPUTED_VALUE"""),0.1438)</f>
        <v>0.1438</v>
      </c>
      <c r="K2469" s="19">
        <f>IFERROR(__xludf.DUMMYFUNCTION("""COMPUTED_VALUE"""),0.1798)</f>
        <v>0.1798</v>
      </c>
      <c r="L2469" s="19">
        <f>IFERROR(__xludf.DUMMYFUNCTION("""COMPUTED_VALUE"""),0.2157)</f>
        <v>0.2157</v>
      </c>
      <c r="M2469" s="18">
        <f>IFERROR(__xludf.DUMMYFUNCTION("""COMPUTED_VALUE"""),1.71)</f>
        <v>1.71</v>
      </c>
    </row>
    <row r="2470">
      <c r="A2470" s="13" t="str">
        <f>IFERROR(__xludf.DUMMYFUNCTION("""COMPUTED_VALUE"""),"товари")</f>
        <v>товари</v>
      </c>
      <c r="B2470" s="16" t="str">
        <f>IFERROR(__xludf.DUMMYFUNCTION("""COMPUTED_VALUE"""),"обладнання та товари для надання послуг")</f>
        <v>обладнання та товари для надання послуг</v>
      </c>
      <c r="C2470" s="16" t="str">
        <f>IFERROR(__xludf.DUMMYFUNCTION("""COMPUTED_VALUE"""),"все для салонів краси")</f>
        <v>все для салонів краси</v>
      </c>
      <c r="D2470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470" s="16" t="str">
        <f>IFERROR(__xludf.DUMMYFUNCTION("""COMPUTED_VALUE"""),"грим і косметика для спецефектів")</f>
        <v>грим і косметика для спецефектів</v>
      </c>
      <c r="F2470" s="17">
        <f>IFERROR(__xludf.DUMMYFUNCTION("""COMPUTED_VALUE"""),4.0)</f>
        <v>4</v>
      </c>
      <c r="G2470" s="17" t="str">
        <f>IFERROR(__xludf.DUMMYFUNCTION("""COMPUTED_VALUE"""),"161608")</f>
        <v>161608</v>
      </c>
      <c r="H2470" s="17" t="str">
        <f>IFERROR(__xludf.DUMMYFUNCTION("""COMPUTED_VALUE"""),"грим і косметика для спецефектів")</f>
        <v>грим і косметика для спецефектів</v>
      </c>
      <c r="I2470" s="19">
        <f>IFERROR(__xludf.DUMMYFUNCTION("""COMPUTED_VALUE"""),0.0773)</f>
        <v>0.0773</v>
      </c>
      <c r="J2470" s="19">
        <f>IFERROR(__xludf.DUMMYFUNCTION("""COMPUTED_VALUE"""),0.1546)</f>
        <v>0.1546</v>
      </c>
      <c r="K2470" s="19">
        <f>IFERROR(__xludf.DUMMYFUNCTION("""COMPUTED_VALUE"""),0.1933)</f>
        <v>0.1933</v>
      </c>
      <c r="L2470" s="19">
        <f>IFERROR(__xludf.DUMMYFUNCTION("""COMPUTED_VALUE"""),0.2319)</f>
        <v>0.2319</v>
      </c>
      <c r="M2470" s="18">
        <f>IFERROR(__xludf.DUMMYFUNCTION("""COMPUTED_VALUE"""),3.33)</f>
        <v>3.33</v>
      </c>
    </row>
    <row r="2471">
      <c r="A2471" s="13" t="str">
        <f>IFERROR(__xludf.DUMMYFUNCTION("""COMPUTED_VALUE"""),"товари")</f>
        <v>товари</v>
      </c>
      <c r="B2471" s="16" t="str">
        <f>IFERROR(__xludf.DUMMYFUNCTION("""COMPUTED_VALUE"""),"обладнання та товари для надання послуг")</f>
        <v>обладнання та товари для надання послуг</v>
      </c>
      <c r="C2471" s="16" t="str">
        <f>IFERROR(__xludf.DUMMYFUNCTION("""COMPUTED_VALUE"""),"обладнання для торгівлі")</f>
        <v>обладнання для торгівлі</v>
      </c>
      <c r="D2471" s="16" t="str">
        <f>IFERROR(__xludf.DUMMYFUNCTION("""COMPUTED_VALUE"""),"касове/прикасове обладнання")</f>
        <v>касове/прикасове обладнання</v>
      </c>
      <c r="E2471" s="16" t="str">
        <f>IFERROR(__xludf.DUMMYFUNCTION("""COMPUTED_VALUE"""),"грошові ящики")</f>
        <v>грошові ящики</v>
      </c>
      <c r="F2471" s="17">
        <f>IFERROR(__xludf.DUMMYFUNCTION("""COMPUTED_VALUE"""),4.0)</f>
        <v>4</v>
      </c>
      <c r="G2471" s="17" t="str">
        <f>IFERROR(__xludf.DUMMYFUNCTION("""COMPUTED_VALUE"""),"283001")</f>
        <v>283001</v>
      </c>
      <c r="H2471" s="17" t="str">
        <f>IFERROR(__xludf.DUMMYFUNCTION("""COMPUTED_VALUE"""),"грошові ящики")</f>
        <v>грошові ящики</v>
      </c>
      <c r="I2471" s="19">
        <f>IFERROR(__xludf.DUMMYFUNCTION("""COMPUTED_VALUE"""),0.0752)</f>
        <v>0.0752</v>
      </c>
      <c r="J2471" s="19">
        <f>IFERROR(__xludf.DUMMYFUNCTION("""COMPUTED_VALUE"""),0.1503)</f>
        <v>0.1503</v>
      </c>
      <c r="K2471" s="19">
        <f>IFERROR(__xludf.DUMMYFUNCTION("""COMPUTED_VALUE"""),0.1879)</f>
        <v>0.1879</v>
      </c>
      <c r="L2471" s="19">
        <f>IFERROR(__xludf.DUMMYFUNCTION("""COMPUTED_VALUE"""),0.2255)</f>
        <v>0.2255</v>
      </c>
      <c r="M2471" s="18">
        <f>IFERROR(__xludf.DUMMYFUNCTION("""COMPUTED_VALUE"""),4.43)</f>
        <v>4.43</v>
      </c>
    </row>
    <row r="2472">
      <c r="A2472" s="13" t="str">
        <f>IFERROR(__xludf.DUMMYFUNCTION("""COMPUTED_VALUE"""),"товари")</f>
        <v>товари</v>
      </c>
      <c r="B2472" s="16" t="str">
        <f>IFERROR(__xludf.DUMMYFUNCTION("""COMPUTED_VALUE"""),"обладнання та товари для надання послуг")</f>
        <v>обладнання та товари для надання послуг</v>
      </c>
      <c r="C2472" s="16" t="str">
        <f>IFERROR(__xludf.DUMMYFUNCTION("""COMPUTED_VALUE"""),"релігійні і езотеричні товари")</f>
        <v>релігійні і езотеричні товари</v>
      </c>
      <c r="D2472" s="16" t="str">
        <f>IFERROR(__xludf.DUMMYFUNCTION("""COMPUTED_VALUE"""),"ритуальні товари")</f>
        <v>ритуальні товари</v>
      </c>
      <c r="E2472" s="16" t="str">
        <f>IFERROR(__xludf.DUMMYFUNCTION("""COMPUTED_VALUE"""),"декор для пам'ятників")</f>
        <v>декор для пам'ятників</v>
      </c>
      <c r="F2472" s="17">
        <f>IFERROR(__xludf.DUMMYFUNCTION("""COMPUTED_VALUE"""),4.0)</f>
        <v>4</v>
      </c>
      <c r="G2472" s="17" t="str">
        <f>IFERROR(__xludf.DUMMYFUNCTION("""COMPUTED_VALUE"""),"282608")</f>
        <v>282608</v>
      </c>
      <c r="H2472" s="17" t="str">
        <f>IFERROR(__xludf.DUMMYFUNCTION("""COMPUTED_VALUE"""),"декор для пам'ятників")</f>
        <v>декор для пам'ятників</v>
      </c>
      <c r="I2472" s="19">
        <f>IFERROR(__xludf.DUMMYFUNCTION("""COMPUTED_VALUE"""),0.0455)</f>
        <v>0.0455</v>
      </c>
      <c r="J2472" s="19">
        <f>IFERROR(__xludf.DUMMYFUNCTION("""COMPUTED_VALUE"""),0.0909)</f>
        <v>0.0909</v>
      </c>
      <c r="K2472" s="19">
        <f>IFERROR(__xludf.DUMMYFUNCTION("""COMPUTED_VALUE"""),0.1136)</f>
        <v>0.1136</v>
      </c>
      <c r="L2472" s="19">
        <f>IFERROR(__xludf.DUMMYFUNCTION("""COMPUTED_VALUE"""),0.1364)</f>
        <v>0.1364</v>
      </c>
      <c r="M2472" s="18">
        <f>IFERROR(__xludf.DUMMYFUNCTION("""COMPUTED_VALUE"""),1.71)</f>
        <v>1.71</v>
      </c>
    </row>
    <row r="2473">
      <c r="A2473" s="13" t="str">
        <f>IFERROR(__xludf.DUMMYFUNCTION("""COMPUTED_VALUE"""),"товари")</f>
        <v>товари</v>
      </c>
      <c r="B2473" s="16" t="str">
        <f>IFERROR(__xludf.DUMMYFUNCTION("""COMPUTED_VALUE"""),"обладнання та товари для надання послуг")</f>
        <v>обладнання та товари для надання послуг</v>
      </c>
      <c r="C2473" s="16" t="str">
        <f>IFERROR(__xludf.DUMMYFUNCTION("""COMPUTED_VALUE"""),"комерційні меблі")</f>
        <v>комерційні меблі</v>
      </c>
      <c r="D2473" s="16" t="str">
        <f>IFERROR(__xludf.DUMMYFUNCTION("""COMPUTED_VALUE"""),"меблі для дошкільних установ")</f>
        <v>меблі для дошкільних установ</v>
      </c>
      <c r="E2473" s="16" t="str">
        <f>IFERROR(__xludf.DUMMYFUNCTION("""COMPUTED_VALUE"""),"декорації")</f>
        <v>декорації</v>
      </c>
      <c r="F2473" s="17">
        <f>IFERROR(__xludf.DUMMYFUNCTION("""COMPUTED_VALUE"""),4.0)</f>
        <v>4</v>
      </c>
      <c r="G2473" s="17" t="str">
        <f>IFERROR(__xludf.DUMMYFUNCTION("""COMPUTED_VALUE"""),"15030827")</f>
        <v>15030827</v>
      </c>
      <c r="H2473" s="17" t="str">
        <f>IFERROR(__xludf.DUMMYFUNCTION("""COMPUTED_VALUE"""),"декорації")</f>
        <v>декорації</v>
      </c>
      <c r="I2473" s="19">
        <f>IFERROR(__xludf.DUMMYFUNCTION("""COMPUTED_VALUE"""),0.0578)</f>
        <v>0.0578</v>
      </c>
      <c r="J2473" s="19">
        <f>IFERROR(__xludf.DUMMYFUNCTION("""COMPUTED_VALUE"""),0.1155)</f>
        <v>0.1155</v>
      </c>
      <c r="K2473" s="19">
        <f>IFERROR(__xludf.DUMMYFUNCTION("""COMPUTED_VALUE"""),0.1444)</f>
        <v>0.1444</v>
      </c>
      <c r="L2473" s="19">
        <f>IFERROR(__xludf.DUMMYFUNCTION("""COMPUTED_VALUE"""),0.1733)</f>
        <v>0.1733</v>
      </c>
      <c r="M2473" s="18">
        <f>IFERROR(__xludf.DUMMYFUNCTION("""COMPUTED_VALUE"""),2.7)</f>
        <v>2.7</v>
      </c>
    </row>
    <row r="2474">
      <c r="A2474" s="13" t="str">
        <f>IFERROR(__xludf.DUMMYFUNCTION("""COMPUTED_VALUE"""),"товари")</f>
        <v>товари</v>
      </c>
      <c r="B2474" s="16" t="str">
        <f>IFERROR(__xludf.DUMMYFUNCTION("""COMPUTED_VALUE"""),"обладнання та товари для надання послуг")</f>
        <v>обладнання та товари для надання послуг</v>
      </c>
      <c r="C2474" s="16" t="str">
        <f>IFERROR(__xludf.DUMMYFUNCTION("""COMPUTED_VALUE"""),"банківське обладнання")</f>
        <v>банківське обладнання</v>
      </c>
      <c r="D2474" s="16" t="str">
        <f>IFERROR(__xludf.DUMMYFUNCTION("""COMPUTED_VALUE"""),"детектори валют")</f>
        <v>детектори валют</v>
      </c>
      <c r="E2474" s="16" t="str">
        <f>IFERROR(__xludf.DUMMYFUNCTION("""COMPUTED_VALUE"""),"детектори валют")</f>
        <v>детектори валют</v>
      </c>
      <c r="F2474" s="17">
        <f>IFERROR(__xludf.DUMMYFUNCTION("""COMPUTED_VALUE"""),3.0)</f>
        <v>3</v>
      </c>
      <c r="G2474" s="17" t="str">
        <f>IFERROR(__xludf.DUMMYFUNCTION("""COMPUTED_VALUE"""),"51004")</f>
        <v>51004</v>
      </c>
      <c r="H2474" s="17" t="str">
        <f>IFERROR(__xludf.DUMMYFUNCTION("""COMPUTED_VALUE"""),"детектори валют")</f>
        <v>детектори валют</v>
      </c>
      <c r="I2474" s="19">
        <f>IFERROR(__xludf.DUMMYFUNCTION("""COMPUTED_VALUE"""),0.0517)</f>
        <v>0.0517</v>
      </c>
      <c r="J2474" s="19">
        <f>IFERROR(__xludf.DUMMYFUNCTION("""COMPUTED_VALUE"""),0.1033)</f>
        <v>0.1033</v>
      </c>
      <c r="K2474" s="19">
        <f>IFERROR(__xludf.DUMMYFUNCTION("""COMPUTED_VALUE"""),0.1291)</f>
        <v>0.1291</v>
      </c>
      <c r="L2474" s="19">
        <f>IFERROR(__xludf.DUMMYFUNCTION("""COMPUTED_VALUE"""),0.155)</f>
        <v>0.155</v>
      </c>
      <c r="M2474" s="18">
        <f>IFERROR(__xludf.DUMMYFUNCTION("""COMPUTED_VALUE"""),4.33)</f>
        <v>4.33</v>
      </c>
    </row>
    <row r="2475">
      <c r="A2475" s="13" t="str">
        <f>IFERROR(__xludf.DUMMYFUNCTION("""COMPUTED_VALUE"""),"товари")</f>
        <v>товари</v>
      </c>
      <c r="B2475" s="16" t="str">
        <f>IFERROR(__xludf.DUMMYFUNCTION("""COMPUTED_VALUE"""),"обладнання та товари для надання послуг")</f>
        <v>обладнання та товари для надання послуг</v>
      </c>
      <c r="C2475" s="16" t="str">
        <f>IFERROR(__xludf.DUMMYFUNCTION("""COMPUTED_VALUE"""),"horeca&amp;fast-food")</f>
        <v>horeca&amp;fast-food</v>
      </c>
      <c r="D2475" s="16" t="str">
        <f>IFERROR(__xludf.DUMMYFUNCTION("""COMPUTED_VALUE"""),"санітарно-гігієнічне обладнання")</f>
        <v>санітарно-гігієнічне обладнання</v>
      </c>
      <c r="E2475" s="16" t="str">
        <f>IFERROR(__xludf.DUMMYFUNCTION("""COMPUTED_VALUE"""),"диспенсери")</f>
        <v>диспенсери</v>
      </c>
      <c r="F2475" s="17">
        <f>IFERROR(__xludf.DUMMYFUNCTION("""COMPUTED_VALUE"""),4.0)</f>
        <v>4</v>
      </c>
      <c r="G2475" s="17" t="str">
        <f>IFERROR(__xludf.DUMMYFUNCTION("""COMPUTED_VALUE"""),"130105")</f>
        <v>130105</v>
      </c>
      <c r="H2475" s="17" t="str">
        <f>IFERROR(__xludf.DUMMYFUNCTION("""COMPUTED_VALUE"""),"диспенсери")</f>
        <v>диспенсери</v>
      </c>
      <c r="I2475" s="19">
        <f>IFERROR(__xludf.DUMMYFUNCTION("""COMPUTED_VALUE"""),0.0778)</f>
        <v>0.0778</v>
      </c>
      <c r="J2475" s="19">
        <f>IFERROR(__xludf.DUMMYFUNCTION("""COMPUTED_VALUE"""),0.1556)</f>
        <v>0.1556</v>
      </c>
      <c r="K2475" s="19">
        <f>IFERROR(__xludf.DUMMYFUNCTION("""COMPUTED_VALUE"""),0.1945)</f>
        <v>0.1945</v>
      </c>
      <c r="L2475" s="19">
        <f>IFERROR(__xludf.DUMMYFUNCTION("""COMPUTED_VALUE"""),0.2334)</f>
        <v>0.2334</v>
      </c>
      <c r="M2475" s="18">
        <f>IFERROR(__xludf.DUMMYFUNCTION("""COMPUTED_VALUE"""),2.08)</f>
        <v>2.08</v>
      </c>
    </row>
    <row r="2476">
      <c r="A2476" s="13" t="str">
        <f>IFERROR(__xludf.DUMMYFUNCTION("""COMPUTED_VALUE"""),"товари")</f>
        <v>товари</v>
      </c>
      <c r="B2476" s="16" t="str">
        <f>IFERROR(__xludf.DUMMYFUNCTION("""COMPUTED_VALUE"""),"обладнання та товари для надання послуг")</f>
        <v>обладнання та товари для надання послуг</v>
      </c>
      <c r="C2476" s="16" t="str">
        <f>IFERROR(__xludf.DUMMYFUNCTION("""COMPUTED_VALUE"""),"комерційні меблі")</f>
        <v>комерційні меблі</v>
      </c>
      <c r="D2476" s="16" t="str">
        <f>IFERROR(__xludf.DUMMYFUNCTION("""COMPUTED_VALUE"""),"меблі для навчальних закладів")</f>
        <v>меблі для навчальних закладів</v>
      </c>
      <c r="E2476" s="16" t="str">
        <f>IFERROR(__xludf.DUMMYFUNCTION("""COMPUTED_VALUE"""),"дитячі і шкільні парти")</f>
        <v>дитячі і шкільні парти</v>
      </c>
      <c r="F2476" s="17">
        <f>IFERROR(__xludf.DUMMYFUNCTION("""COMPUTED_VALUE"""),4.0)</f>
        <v>4</v>
      </c>
      <c r="G2476" s="17" t="str">
        <f>IFERROR(__xludf.DUMMYFUNCTION("""COMPUTED_VALUE"""),"37024002")</f>
        <v>37024002</v>
      </c>
      <c r="H2476" s="17" t="str">
        <f>IFERROR(__xludf.DUMMYFUNCTION("""COMPUTED_VALUE"""),"дитячі і шкільні парти")</f>
        <v>дитячі і шкільні парти</v>
      </c>
      <c r="I2476" s="19">
        <f>IFERROR(__xludf.DUMMYFUNCTION("""COMPUTED_VALUE"""),0.0678)</f>
        <v>0.0678</v>
      </c>
      <c r="J2476" s="19">
        <f>IFERROR(__xludf.DUMMYFUNCTION("""COMPUTED_VALUE"""),0.1355)</f>
        <v>0.1355</v>
      </c>
      <c r="K2476" s="19">
        <f>IFERROR(__xludf.DUMMYFUNCTION("""COMPUTED_VALUE"""),0.1694)</f>
        <v>0.1694</v>
      </c>
      <c r="L2476" s="19">
        <f>IFERROR(__xludf.DUMMYFUNCTION("""COMPUTED_VALUE"""),0.2033)</f>
        <v>0.2033</v>
      </c>
      <c r="M2476" s="18">
        <f>IFERROR(__xludf.DUMMYFUNCTION("""COMPUTED_VALUE"""),2.16)</f>
        <v>2.16</v>
      </c>
    </row>
    <row r="2477">
      <c r="A2477" s="13" t="str">
        <f>IFERROR(__xludf.DUMMYFUNCTION("""COMPUTED_VALUE"""),"товари")</f>
        <v>товари</v>
      </c>
      <c r="B2477" s="16" t="str">
        <f>IFERROR(__xludf.DUMMYFUNCTION("""COMPUTED_VALUE"""),"обладнання та товари для надання послуг")</f>
        <v>обладнання та товари для надання послуг</v>
      </c>
      <c r="C2477" s="16" t="str">
        <f>IFERROR(__xludf.DUMMYFUNCTION("""COMPUTED_VALUE"""),"комерційні меблі")</f>
        <v>комерційні меблі</v>
      </c>
      <c r="D2477" s="16" t="str">
        <f>IFERROR(__xludf.DUMMYFUNCTION("""COMPUTED_VALUE"""),"меблі для навчальних закладів")</f>
        <v>меблі для навчальних закладів</v>
      </c>
      <c r="E2477" s="16" t="str">
        <f>IFERROR(__xludf.DUMMYFUNCTION("""COMPUTED_VALUE"""),"дошки аудиторні")</f>
        <v>дошки аудиторні</v>
      </c>
      <c r="F2477" s="17">
        <f>IFERROR(__xludf.DUMMYFUNCTION("""COMPUTED_VALUE"""),4.0)</f>
        <v>4</v>
      </c>
      <c r="G2477" s="17" t="str">
        <f>IFERROR(__xludf.DUMMYFUNCTION("""COMPUTED_VALUE"""),"37024001")</f>
        <v>37024001</v>
      </c>
      <c r="H2477" s="17" t="str">
        <f>IFERROR(__xludf.DUMMYFUNCTION("""COMPUTED_VALUE"""),"дошки аудиторні")</f>
        <v>дошки аудиторні</v>
      </c>
      <c r="I2477" s="19">
        <f>IFERROR(__xludf.DUMMYFUNCTION("""COMPUTED_VALUE"""),0.0678)</f>
        <v>0.0678</v>
      </c>
      <c r="J2477" s="19">
        <f>IFERROR(__xludf.DUMMYFUNCTION("""COMPUTED_VALUE"""),0.1355)</f>
        <v>0.1355</v>
      </c>
      <c r="K2477" s="19">
        <f>IFERROR(__xludf.DUMMYFUNCTION("""COMPUTED_VALUE"""),0.1694)</f>
        <v>0.1694</v>
      </c>
      <c r="L2477" s="19">
        <f>IFERROR(__xludf.DUMMYFUNCTION("""COMPUTED_VALUE"""),0.2033)</f>
        <v>0.2033</v>
      </c>
      <c r="M2477" s="18">
        <f>IFERROR(__xludf.DUMMYFUNCTION("""COMPUTED_VALUE"""),2.16)</f>
        <v>2.16</v>
      </c>
    </row>
    <row r="2478">
      <c r="A2478" s="13" t="str">
        <f>IFERROR(__xludf.DUMMYFUNCTION("""COMPUTED_VALUE"""),"товари")</f>
        <v>товари</v>
      </c>
      <c r="B2478" s="16" t="str">
        <f>IFERROR(__xludf.DUMMYFUNCTION("""COMPUTED_VALUE"""),"обладнання та товари для надання послуг")</f>
        <v>обладнання та товари для надання послуг</v>
      </c>
      <c r="C2478" s="16" t="str">
        <f>IFERROR(__xludf.DUMMYFUNCTION("""COMPUTED_VALUE"""),"товари для офісу")</f>
        <v>товари для офісу</v>
      </c>
      <c r="D2478" s="16" t="str">
        <f>IFERROR(__xludf.DUMMYFUNCTION("""COMPUTED_VALUE"""),"обладнання для презентацій і конференцій")</f>
        <v>обладнання для презентацій і конференцій</v>
      </c>
      <c r="E2478" s="16" t="str">
        <f>IFERROR(__xludf.DUMMYFUNCTION("""COMPUTED_VALUE"""),"дошки і фліпчарти")</f>
        <v>дошки і фліпчарти</v>
      </c>
      <c r="F2478" s="17">
        <f>IFERROR(__xludf.DUMMYFUNCTION("""COMPUTED_VALUE"""),4.0)</f>
        <v>4</v>
      </c>
      <c r="G2478" s="17" t="str">
        <f>IFERROR(__xludf.DUMMYFUNCTION("""COMPUTED_VALUE"""),"212002")</f>
        <v>212002</v>
      </c>
      <c r="H2478" s="17" t="str">
        <f>IFERROR(__xludf.DUMMYFUNCTION("""COMPUTED_VALUE"""),"дошки і фліпчарти")</f>
        <v>дошки і фліпчарти</v>
      </c>
      <c r="I2478" s="19">
        <f>IFERROR(__xludf.DUMMYFUNCTION("""COMPUTED_VALUE"""),0.0779)</f>
        <v>0.0779</v>
      </c>
      <c r="J2478" s="19">
        <f>IFERROR(__xludf.DUMMYFUNCTION("""COMPUTED_VALUE"""),0.1557)</f>
        <v>0.1557</v>
      </c>
      <c r="K2478" s="19">
        <f>IFERROR(__xludf.DUMMYFUNCTION("""COMPUTED_VALUE"""),0.1946)</f>
        <v>0.1946</v>
      </c>
      <c r="L2478" s="19">
        <f>IFERROR(__xludf.DUMMYFUNCTION("""COMPUTED_VALUE"""),0.2336)</f>
        <v>0.2336</v>
      </c>
      <c r="M2478" s="18">
        <f>IFERROR(__xludf.DUMMYFUNCTION("""COMPUTED_VALUE"""),2.61)</f>
        <v>2.61</v>
      </c>
    </row>
    <row r="2479">
      <c r="A2479" s="13" t="str">
        <f>IFERROR(__xludf.DUMMYFUNCTION("""COMPUTED_VALUE"""),"товари")</f>
        <v>товари</v>
      </c>
      <c r="B2479" s="16" t="str">
        <f>IFERROR(__xludf.DUMMYFUNCTION("""COMPUTED_VALUE"""),"обладнання та товари для надання послуг")</f>
        <v>обладнання та товари для надання послуг</v>
      </c>
      <c r="C2479" s="16" t="str">
        <f>IFERROR(__xludf.DUMMYFUNCTION("""COMPUTED_VALUE"""),"horeca&amp;fast-food")</f>
        <v>horeca&amp;fast-food</v>
      </c>
      <c r="D2479" s="16" t="str">
        <f>IFERROR(__xludf.DUMMYFUNCTION("""COMPUTED_VALUE"""),"дошки-меню")</f>
        <v>дошки-меню</v>
      </c>
      <c r="E2479" s="16" t="str">
        <f>IFERROR(__xludf.DUMMYFUNCTION("""COMPUTED_VALUE"""),"дошки-меню")</f>
        <v>дошки-меню</v>
      </c>
      <c r="F2479" s="17">
        <f>IFERROR(__xludf.DUMMYFUNCTION("""COMPUTED_VALUE"""),3.0)</f>
        <v>3</v>
      </c>
      <c r="G2479" s="17" t="str">
        <f>IFERROR(__xludf.DUMMYFUNCTION("""COMPUTED_VALUE"""),"240676")</f>
        <v>240676</v>
      </c>
      <c r="H2479" s="17" t="str">
        <f>IFERROR(__xludf.DUMMYFUNCTION("""COMPUTED_VALUE"""),"дошки-меню")</f>
        <v>дошки-меню</v>
      </c>
      <c r="I2479" s="19">
        <f>IFERROR(__xludf.DUMMYFUNCTION("""COMPUTED_VALUE"""),0.0732)</f>
        <v>0.0732</v>
      </c>
      <c r="J2479" s="19">
        <f>IFERROR(__xludf.DUMMYFUNCTION("""COMPUTED_VALUE"""),0.1463)</f>
        <v>0.1463</v>
      </c>
      <c r="K2479" s="19">
        <f>IFERROR(__xludf.DUMMYFUNCTION("""COMPUTED_VALUE"""),0.1829)</f>
        <v>0.1829</v>
      </c>
      <c r="L2479" s="19">
        <f>IFERROR(__xludf.DUMMYFUNCTION("""COMPUTED_VALUE"""),0.2195)</f>
        <v>0.2195</v>
      </c>
      <c r="M2479" s="18">
        <f>IFERROR(__xludf.DUMMYFUNCTION("""COMPUTED_VALUE"""),2.34)</f>
        <v>2.34</v>
      </c>
    </row>
    <row r="2480">
      <c r="A2480" s="13" t="str">
        <f>IFERROR(__xludf.DUMMYFUNCTION("""COMPUTED_VALUE"""),"товари")</f>
        <v>товари</v>
      </c>
      <c r="B2480" s="16" t="str">
        <f>IFERROR(__xludf.DUMMYFUNCTION("""COMPUTED_VALUE"""),"обладнання та товари для надання послуг")</f>
        <v>обладнання та товари для надання послуг</v>
      </c>
      <c r="C2480" s="16" t="str">
        <f>IFERROR(__xludf.DUMMYFUNCTION("""COMPUTED_VALUE"""),"релігійні і езотеричні товари")</f>
        <v>релігійні і езотеричні товари</v>
      </c>
      <c r="D2480" s="16" t="str">
        <f>IFERROR(__xludf.DUMMYFUNCTION("""COMPUTED_VALUE"""),"езотеричні товари")</f>
        <v>езотеричні товари</v>
      </c>
      <c r="E2480" s="16" t="str">
        <f>IFERROR(__xludf.DUMMYFUNCTION("""COMPUTED_VALUE"""),"езотеричні товари")</f>
        <v>езотеричні товари</v>
      </c>
      <c r="F2480" s="17">
        <f>IFERROR(__xludf.DUMMYFUNCTION("""COMPUTED_VALUE"""),3.0)</f>
        <v>3</v>
      </c>
      <c r="G2480" s="17" t="str">
        <f>IFERROR(__xludf.DUMMYFUNCTION("""COMPUTED_VALUE"""),"283040")</f>
        <v>283040</v>
      </c>
      <c r="H2480" s="17" t="str">
        <f>IFERROR(__xludf.DUMMYFUNCTION("""COMPUTED_VALUE"""),"езотеричні товари")</f>
        <v>езотеричні товари</v>
      </c>
      <c r="I2480" s="19">
        <f>IFERROR(__xludf.DUMMYFUNCTION("""COMPUTED_VALUE"""),0.1133)</f>
        <v>0.1133</v>
      </c>
      <c r="J2480" s="19">
        <f>IFERROR(__xludf.DUMMYFUNCTION("""COMPUTED_VALUE"""),0.2265)</f>
        <v>0.2265</v>
      </c>
      <c r="K2480" s="19">
        <f>IFERROR(__xludf.DUMMYFUNCTION("""COMPUTED_VALUE"""),0.2831)</f>
        <v>0.2831</v>
      </c>
      <c r="L2480" s="19">
        <f>IFERROR(__xludf.DUMMYFUNCTION("""COMPUTED_VALUE"""),0.3398)</f>
        <v>0.3398</v>
      </c>
      <c r="M2480" s="18">
        <f>IFERROR(__xludf.DUMMYFUNCTION("""COMPUTED_VALUE"""),3.33)</f>
        <v>3.33</v>
      </c>
    </row>
    <row r="2481">
      <c r="A2481" s="13" t="str">
        <f>IFERROR(__xludf.DUMMYFUNCTION("""COMPUTED_VALUE"""),"товари")</f>
        <v>товари</v>
      </c>
      <c r="B2481" s="16" t="str">
        <f>IFERROR(__xludf.DUMMYFUNCTION("""COMPUTED_VALUE"""),"обладнання та товари для надання послуг")</f>
        <v>обладнання та товари для надання послуг</v>
      </c>
      <c r="C2481" s="16" t="str">
        <f>IFERROR(__xludf.DUMMYFUNCTION("""COMPUTED_VALUE"""),"horeca&amp;fast-food")</f>
        <v>horeca&amp;fast-food</v>
      </c>
      <c r="D2481" s="16" t="str">
        <f>IFERROR(__xludf.DUMMYFUNCTION("""COMPUTED_VALUE"""),"теплове обладнання horeca&amp;fast-food")</f>
        <v>теплове обладнання horeca&amp;fast-food</v>
      </c>
      <c r="E2481" s="16" t="str">
        <f>IFERROR(__xludf.DUMMYFUNCTION("""COMPUTED_VALUE"""),"електричні шашличниці")</f>
        <v>електричні шашличниці</v>
      </c>
      <c r="F2481" s="17">
        <f>IFERROR(__xludf.DUMMYFUNCTION("""COMPUTED_VALUE"""),4.0)</f>
        <v>4</v>
      </c>
      <c r="G2481" s="17" t="str">
        <f>IFERROR(__xludf.DUMMYFUNCTION("""COMPUTED_VALUE"""),"2200933")</f>
        <v>2200933</v>
      </c>
      <c r="H2481" s="17" t="str">
        <f>IFERROR(__xludf.DUMMYFUNCTION("""COMPUTED_VALUE"""),"електричні шашличниці")</f>
        <v>електричні шашличниці</v>
      </c>
      <c r="I2481" s="19">
        <f>IFERROR(__xludf.DUMMYFUNCTION("""COMPUTED_VALUE"""),0.0727)</f>
        <v>0.0727</v>
      </c>
      <c r="J2481" s="19">
        <f>IFERROR(__xludf.DUMMYFUNCTION("""COMPUTED_VALUE"""),0.1453)</f>
        <v>0.1453</v>
      </c>
      <c r="K2481" s="19">
        <f>IFERROR(__xludf.DUMMYFUNCTION("""COMPUTED_VALUE"""),0.1816)</f>
        <v>0.1816</v>
      </c>
      <c r="L2481" s="19">
        <f>IFERROR(__xludf.DUMMYFUNCTION("""COMPUTED_VALUE"""),0.218)</f>
        <v>0.218</v>
      </c>
      <c r="M2481" s="18">
        <f>IFERROR(__xludf.DUMMYFUNCTION("""COMPUTED_VALUE"""),3.96)</f>
        <v>3.96</v>
      </c>
    </row>
    <row r="2482">
      <c r="A2482" s="13" t="str">
        <f>IFERROR(__xludf.DUMMYFUNCTION("""COMPUTED_VALUE"""),"товари")</f>
        <v>товари</v>
      </c>
      <c r="B2482" s="16" t="str">
        <f>IFERROR(__xludf.DUMMYFUNCTION("""COMPUTED_VALUE"""),"обладнання та товари для надання послуг")</f>
        <v>обладнання та товари для надання послуг</v>
      </c>
      <c r="C2482" s="16" t="str">
        <f>IFERROR(__xludf.DUMMYFUNCTION("""COMPUTED_VALUE"""),"horeca&amp;fast-food")</f>
        <v>horeca&amp;fast-food</v>
      </c>
      <c r="D2482" s="16" t="str">
        <f>IFERROR(__xludf.DUMMYFUNCTION("""COMPUTED_VALUE"""),"теплове обладнання horeca&amp;fast-food")</f>
        <v>теплове обладнання horeca&amp;fast-food</v>
      </c>
      <c r="E2482" s="16" t="str">
        <f>IFERROR(__xludf.DUMMYFUNCTION("""COMPUTED_VALUE"""),"електрокип'ятильники, роздавальники чаю")</f>
        <v>електрокип'ятильники, роздавальники чаю</v>
      </c>
      <c r="F2482" s="17">
        <f>IFERROR(__xludf.DUMMYFUNCTION("""COMPUTED_VALUE"""),4.0)</f>
        <v>4</v>
      </c>
      <c r="G2482" s="17" t="str">
        <f>IFERROR(__xludf.DUMMYFUNCTION("""COMPUTED_VALUE"""),"240625")</f>
        <v>240625</v>
      </c>
      <c r="H2482" s="17" t="str">
        <f>IFERROR(__xludf.DUMMYFUNCTION("""COMPUTED_VALUE"""),"електрокип'ятильники, роздавальники чаю")</f>
        <v>електрокип'ятильники, роздавальники чаю</v>
      </c>
      <c r="I2482" s="19">
        <f>IFERROR(__xludf.DUMMYFUNCTION("""COMPUTED_VALUE"""),0.0698)</f>
        <v>0.0698</v>
      </c>
      <c r="J2482" s="19">
        <f>IFERROR(__xludf.DUMMYFUNCTION("""COMPUTED_VALUE"""),0.1396)</f>
        <v>0.1396</v>
      </c>
      <c r="K2482" s="19">
        <f>IFERROR(__xludf.DUMMYFUNCTION("""COMPUTED_VALUE"""),0.1745)</f>
        <v>0.1745</v>
      </c>
      <c r="L2482" s="19">
        <f>IFERROR(__xludf.DUMMYFUNCTION("""COMPUTED_VALUE"""),0.2094)</f>
        <v>0.2094</v>
      </c>
      <c r="M2482" s="18">
        <f>IFERROR(__xludf.DUMMYFUNCTION("""COMPUTED_VALUE"""),3.96)</f>
        <v>3.96</v>
      </c>
    </row>
    <row r="2483">
      <c r="A2483" s="13" t="str">
        <f>IFERROR(__xludf.DUMMYFUNCTION("""COMPUTED_VALUE"""),"товари")</f>
        <v>товари</v>
      </c>
      <c r="B2483" s="16" t="str">
        <f>IFERROR(__xludf.DUMMYFUNCTION("""COMPUTED_VALUE"""),"обладнання та товари для надання послуг")</f>
        <v>обладнання та товари для надання послуг</v>
      </c>
      <c r="C2483" s="16" t="str">
        <f>IFERROR(__xludf.DUMMYFUNCTION("""COMPUTED_VALUE"""),"horeca&amp;fast-food")</f>
        <v>horeca&amp;fast-food</v>
      </c>
      <c r="D2483" s="16" t="str">
        <f>IFERROR(__xludf.DUMMYFUNCTION("""COMPUTED_VALUE"""),"електромеханічне обладнання horeca&amp;fast-food")</f>
        <v>електромеханічне обладнання horeca&amp;fast-food</v>
      </c>
      <c r="E2483" s="16" t="str">
        <f>IFERROR(__xludf.DUMMYFUNCTION("""COMPUTED_VALUE"""),"електромеханічне обладнання horeca&amp;fast-food, загальне")</f>
        <v>електромеханічне обладнання horeca&amp;fast-food, загальне</v>
      </c>
      <c r="F2483" s="17">
        <f>IFERROR(__xludf.DUMMYFUNCTION("""COMPUTED_VALUE"""),4.0)</f>
        <v>4</v>
      </c>
      <c r="G2483" s="17" t="str">
        <f>IFERROR(__xludf.DUMMYFUNCTION("""COMPUTED_VALUE"""),"240646")</f>
        <v>240646</v>
      </c>
      <c r="H2483" s="17" t="str">
        <f>IFERROR(__xludf.DUMMYFUNCTION("""COMPUTED_VALUE"""),"електромеханічне обладнання horeca&amp;fast-food, загальне")</f>
        <v>електромеханічне обладнання horeca&amp;fast-food, загальне</v>
      </c>
      <c r="I2483" s="19">
        <f>IFERROR(__xludf.DUMMYFUNCTION("""COMPUTED_VALUE"""),0.125)</f>
        <v>0.125</v>
      </c>
      <c r="J2483" s="19">
        <f>IFERROR(__xludf.DUMMYFUNCTION("""COMPUTED_VALUE"""),0.25)</f>
        <v>0.25</v>
      </c>
      <c r="K2483" s="19">
        <f>IFERROR(__xludf.DUMMYFUNCTION("""COMPUTED_VALUE"""),0.3125)</f>
        <v>0.3125</v>
      </c>
      <c r="L2483" s="19">
        <f>IFERROR(__xludf.DUMMYFUNCTION("""COMPUTED_VALUE"""),0.375)</f>
        <v>0.375</v>
      </c>
      <c r="M2483" s="18">
        <f>IFERROR(__xludf.DUMMYFUNCTION("""COMPUTED_VALUE"""),4.33)</f>
        <v>4.33</v>
      </c>
    </row>
    <row r="2484">
      <c r="A2484" s="13" t="str">
        <f>IFERROR(__xludf.DUMMYFUNCTION("""COMPUTED_VALUE"""),"товари")</f>
        <v>товари</v>
      </c>
      <c r="B2484" s="16" t="str">
        <f>IFERROR(__xludf.DUMMYFUNCTION("""COMPUTED_VALUE"""),"обладнання та товари для надання послуг")</f>
        <v>обладнання та товари для надання послуг</v>
      </c>
      <c r="C2484" s="16" t="str">
        <f>IFERROR(__xludf.DUMMYFUNCTION("""COMPUTED_VALUE"""),"обладнання для торгівлі")</f>
        <v>обладнання для торгівлі</v>
      </c>
      <c r="D2484" s="16" t="str">
        <f>IFERROR(__xludf.DUMMYFUNCTION("""COMPUTED_VALUE"""),"електромеханічне обладнання для торгівлі")</f>
        <v>електромеханічне обладнання для торгівлі</v>
      </c>
      <c r="E2484" s="16" t="str">
        <f>IFERROR(__xludf.DUMMYFUNCTION("""COMPUTED_VALUE"""),"електромеханічне обладнання для торгівлі, загальне")</f>
        <v>електромеханічне обладнання для торгівлі, загальне</v>
      </c>
      <c r="F2484" s="17">
        <f>IFERROR(__xludf.DUMMYFUNCTION("""COMPUTED_VALUE"""),4.0)</f>
        <v>4</v>
      </c>
      <c r="G2484" s="17" t="str">
        <f>IFERROR(__xludf.DUMMYFUNCTION("""COMPUTED_VALUE"""),"283044")</f>
        <v>283044</v>
      </c>
      <c r="H2484" s="17" t="str">
        <f>IFERROR(__xludf.DUMMYFUNCTION("""COMPUTED_VALUE"""),"електромеханічне обладнання для торгівлі, загальне")</f>
        <v>електромеханічне обладнання для торгівлі, загальне</v>
      </c>
      <c r="I2484" s="19">
        <f>IFERROR(__xludf.DUMMYFUNCTION("""COMPUTED_VALUE"""),0.125)</f>
        <v>0.125</v>
      </c>
      <c r="J2484" s="19">
        <f>IFERROR(__xludf.DUMMYFUNCTION("""COMPUTED_VALUE"""),0.25)</f>
        <v>0.25</v>
      </c>
      <c r="K2484" s="19">
        <f>IFERROR(__xludf.DUMMYFUNCTION("""COMPUTED_VALUE"""),0.3125)</f>
        <v>0.3125</v>
      </c>
      <c r="L2484" s="19">
        <f>IFERROR(__xludf.DUMMYFUNCTION("""COMPUTED_VALUE"""),0.375)</f>
        <v>0.375</v>
      </c>
      <c r="M2484" s="18">
        <f>IFERROR(__xludf.DUMMYFUNCTION("""COMPUTED_VALUE"""),4.33)</f>
        <v>4.33</v>
      </c>
    </row>
    <row r="2485">
      <c r="A2485" s="13" t="str">
        <f>IFERROR(__xludf.DUMMYFUNCTION("""COMPUTED_VALUE"""),"товари")</f>
        <v>товари</v>
      </c>
      <c r="B2485" s="16" t="str">
        <f>IFERROR(__xludf.DUMMYFUNCTION("""COMPUTED_VALUE"""),"обладнання та товари для надання послуг")</f>
        <v>обладнання та товари для надання послуг</v>
      </c>
      <c r="C2485" s="16" t="str">
        <f>IFERROR(__xludf.DUMMYFUNCTION("""COMPUTED_VALUE"""),"horeca&amp;fast-food")</f>
        <v>horeca&amp;fast-food</v>
      </c>
      <c r="D2485" s="16" t="str">
        <f>IFERROR(__xludf.DUMMYFUNCTION("""COMPUTED_VALUE"""),"теплове обладнання horeca&amp;fast-food")</f>
        <v>теплове обладнання horeca&amp;fast-food</v>
      </c>
      <c r="E2485" s="16" t="str">
        <f>IFERROR(__xludf.DUMMYFUNCTION("""COMPUTED_VALUE"""),"жарові й пекарські шафи")</f>
        <v>жарові й пекарські шафи</v>
      </c>
      <c r="F2485" s="17">
        <f>IFERROR(__xludf.DUMMYFUNCTION("""COMPUTED_VALUE"""),4.0)</f>
        <v>4</v>
      </c>
      <c r="G2485" s="17">
        <f>IFERROR(__xludf.DUMMYFUNCTION("""COMPUTED_VALUE"""),240623.0)</f>
        <v>240623</v>
      </c>
      <c r="H2485" s="17" t="str">
        <f>IFERROR(__xludf.DUMMYFUNCTION("""COMPUTED_VALUE"""),"жарові й пекарські шафи")</f>
        <v>жарові й пекарські шафи</v>
      </c>
      <c r="I2485" s="19">
        <f>IFERROR(__xludf.DUMMYFUNCTION("""COMPUTED_VALUE"""),0.0503)</f>
        <v>0.0503</v>
      </c>
      <c r="J2485" s="19">
        <f>IFERROR(__xludf.DUMMYFUNCTION("""COMPUTED_VALUE"""),0.1005)</f>
        <v>0.1005</v>
      </c>
      <c r="K2485" s="19">
        <f>IFERROR(__xludf.DUMMYFUNCTION("""COMPUTED_VALUE"""),0.1256)</f>
        <v>0.1256</v>
      </c>
      <c r="L2485" s="19">
        <f>IFERROR(__xludf.DUMMYFUNCTION("""COMPUTED_VALUE"""),0.1508)</f>
        <v>0.1508</v>
      </c>
      <c r="M2485" s="18">
        <f>IFERROR(__xludf.DUMMYFUNCTION("""COMPUTED_VALUE"""),3.96)</f>
        <v>3.96</v>
      </c>
    </row>
    <row r="2486">
      <c r="A2486" s="13" t="str">
        <f>IFERROR(__xludf.DUMMYFUNCTION("""COMPUTED_VALUE"""),"товари")</f>
        <v>товари</v>
      </c>
      <c r="B2486" s="16" t="str">
        <f>IFERROR(__xludf.DUMMYFUNCTION("""COMPUTED_VALUE"""),"обладнання та товари для надання послуг")</f>
        <v>обладнання та товари для надання послуг</v>
      </c>
      <c r="C2486" s="16" t="str">
        <f>IFERROR(__xludf.DUMMYFUNCTION("""COMPUTED_VALUE"""),"horeca&amp;fast-food")</f>
        <v>horeca&amp;fast-food</v>
      </c>
      <c r="D2486" s="16" t="str">
        <f>IFERROR(__xludf.DUMMYFUNCTION("""COMPUTED_VALUE"""),"запчастини до обладнання horeca&amp;fast-food")</f>
        <v>запчастини до обладнання horeca&amp;fast-food</v>
      </c>
      <c r="E2486" s="16" t="str">
        <f>IFERROR(__xludf.DUMMYFUNCTION("""COMPUTED_VALUE"""),"запчастини для електромеханічного обладнання horeca&amp;fast-food")</f>
        <v>запчастини для електромеханічного обладнання horeca&amp;fast-food</v>
      </c>
      <c r="F2486" s="17">
        <f>IFERROR(__xludf.DUMMYFUNCTION("""COMPUTED_VALUE"""),4.0)</f>
        <v>4</v>
      </c>
      <c r="G2486" s="17" t="str">
        <f>IFERROR(__xludf.DUMMYFUNCTION("""COMPUTED_VALUE"""),"240671")</f>
        <v>240671</v>
      </c>
      <c r="H2486" s="17" t="str">
        <f>IFERROR(__xludf.DUMMYFUNCTION("""COMPUTED_VALUE"""),"запчастини для електромеханічного обладнання horeca&amp;fast-food")</f>
        <v>запчастини для електромеханічного обладнання horeca&amp;fast-food</v>
      </c>
      <c r="I2486" s="19">
        <f>IFERROR(__xludf.DUMMYFUNCTION("""COMPUTED_VALUE"""),0.0568)</f>
        <v>0.0568</v>
      </c>
      <c r="J2486" s="19">
        <f>IFERROR(__xludf.DUMMYFUNCTION("""COMPUTED_VALUE"""),0.1135)</f>
        <v>0.1135</v>
      </c>
      <c r="K2486" s="19">
        <f>IFERROR(__xludf.DUMMYFUNCTION("""COMPUTED_VALUE"""),0.1419)</f>
        <v>0.1419</v>
      </c>
      <c r="L2486" s="19">
        <f>IFERROR(__xludf.DUMMYFUNCTION("""COMPUTED_VALUE"""),0.1703)</f>
        <v>0.1703</v>
      </c>
      <c r="M2486" s="18">
        <f>IFERROR(__xludf.DUMMYFUNCTION("""COMPUTED_VALUE"""),1.53)</f>
        <v>1.53</v>
      </c>
    </row>
    <row r="2487">
      <c r="A2487" s="13" t="str">
        <f>IFERROR(__xludf.DUMMYFUNCTION("""COMPUTED_VALUE"""),"товари")</f>
        <v>товари</v>
      </c>
      <c r="B2487" s="16" t="str">
        <f>IFERROR(__xludf.DUMMYFUNCTION("""COMPUTED_VALUE"""),"обладнання та товари для надання послуг")</f>
        <v>обладнання та товари для надання послуг</v>
      </c>
      <c r="C2487" s="16" t="str">
        <f>IFERROR(__xludf.DUMMYFUNCTION("""COMPUTED_VALUE"""),"horeca&amp;fast-food")</f>
        <v>horeca&amp;fast-food</v>
      </c>
      <c r="D2487" s="16" t="str">
        <f>IFERROR(__xludf.DUMMYFUNCTION("""COMPUTED_VALUE"""),"запчастини до обладнання horeca&amp;fast-food")</f>
        <v>запчастини до обладнання horeca&amp;fast-food</v>
      </c>
      <c r="E2487" s="16" t="str">
        <f>IFERROR(__xludf.DUMMYFUNCTION("""COMPUTED_VALUE"""),"запчастини для нейтрального обладнання horeca&amp;fast-food")</f>
        <v>запчастини для нейтрального обладнання horeca&amp;fast-food</v>
      </c>
      <c r="F2487" s="17">
        <f>IFERROR(__xludf.DUMMYFUNCTION("""COMPUTED_VALUE"""),4.0)</f>
        <v>4</v>
      </c>
      <c r="G2487" s="17" t="str">
        <f>IFERROR(__xludf.DUMMYFUNCTION("""COMPUTED_VALUE"""),"240670")</f>
        <v>240670</v>
      </c>
      <c r="H2487" s="17" t="str">
        <f>IFERROR(__xludf.DUMMYFUNCTION("""COMPUTED_VALUE"""),"запчастини для нейтрального обладнання horeca&amp;fast-food")</f>
        <v>запчастини для нейтрального обладнання horeca&amp;fast-food</v>
      </c>
      <c r="I2487" s="19">
        <f>IFERROR(__xludf.DUMMYFUNCTION("""COMPUTED_VALUE"""),0.0568)</f>
        <v>0.0568</v>
      </c>
      <c r="J2487" s="19">
        <f>IFERROR(__xludf.DUMMYFUNCTION("""COMPUTED_VALUE"""),0.1135)</f>
        <v>0.1135</v>
      </c>
      <c r="K2487" s="19">
        <f>IFERROR(__xludf.DUMMYFUNCTION("""COMPUTED_VALUE"""),0.1419)</f>
        <v>0.1419</v>
      </c>
      <c r="L2487" s="19">
        <f>IFERROR(__xludf.DUMMYFUNCTION("""COMPUTED_VALUE"""),0.1703)</f>
        <v>0.1703</v>
      </c>
      <c r="M2487" s="18">
        <f>IFERROR(__xludf.DUMMYFUNCTION("""COMPUTED_VALUE"""),1.53)</f>
        <v>1.53</v>
      </c>
    </row>
    <row r="2488">
      <c r="A2488" s="13" t="str">
        <f>IFERROR(__xludf.DUMMYFUNCTION("""COMPUTED_VALUE"""),"товари")</f>
        <v>товари</v>
      </c>
      <c r="B2488" s="16" t="str">
        <f>IFERROR(__xludf.DUMMYFUNCTION("""COMPUTED_VALUE"""),"обладнання та товари для надання послуг")</f>
        <v>обладнання та товари для надання послуг</v>
      </c>
      <c r="C2488" s="16" t="str">
        <f>IFERROR(__xludf.DUMMYFUNCTION("""COMPUTED_VALUE"""),"horeca&amp;fast-food")</f>
        <v>horeca&amp;fast-food</v>
      </c>
      <c r="D2488" s="16" t="str">
        <f>IFERROR(__xludf.DUMMYFUNCTION("""COMPUTED_VALUE"""),"запчастини до обладнання horeca&amp;fast-food")</f>
        <v>запчастини до обладнання horeca&amp;fast-food</v>
      </c>
      <c r="E2488" s="16" t="str">
        <f>IFERROR(__xludf.DUMMYFUNCTION("""COMPUTED_VALUE"""),"запчастини для теплового обладнання horeca&amp;fast-food")</f>
        <v>запчастини для теплового обладнання horeca&amp;fast-food</v>
      </c>
      <c r="F2488" s="17">
        <f>IFERROR(__xludf.DUMMYFUNCTION("""COMPUTED_VALUE"""),4.0)</f>
        <v>4</v>
      </c>
      <c r="G2488" s="17" t="str">
        <f>IFERROR(__xludf.DUMMYFUNCTION("""COMPUTED_VALUE"""),"240661")</f>
        <v>240661</v>
      </c>
      <c r="H2488" s="17" t="str">
        <f>IFERROR(__xludf.DUMMYFUNCTION("""COMPUTED_VALUE"""),"запчастини для теплового обладнання horeca&amp;fast-food")</f>
        <v>запчастини для теплового обладнання horeca&amp;fast-food</v>
      </c>
      <c r="I2488" s="19">
        <f>IFERROR(__xludf.DUMMYFUNCTION("""COMPUTED_VALUE"""),0.0568)</f>
        <v>0.0568</v>
      </c>
      <c r="J2488" s="19">
        <f>IFERROR(__xludf.DUMMYFUNCTION("""COMPUTED_VALUE"""),0.1135)</f>
        <v>0.1135</v>
      </c>
      <c r="K2488" s="19">
        <f>IFERROR(__xludf.DUMMYFUNCTION("""COMPUTED_VALUE"""),0.1419)</f>
        <v>0.1419</v>
      </c>
      <c r="L2488" s="19">
        <f>IFERROR(__xludf.DUMMYFUNCTION("""COMPUTED_VALUE"""),0.1703)</f>
        <v>0.1703</v>
      </c>
      <c r="M2488" s="18">
        <f>IFERROR(__xludf.DUMMYFUNCTION("""COMPUTED_VALUE"""),1.53)</f>
        <v>1.53</v>
      </c>
    </row>
    <row r="2489">
      <c r="A2489" s="13" t="str">
        <f>IFERROR(__xludf.DUMMYFUNCTION("""COMPUTED_VALUE"""),"товари")</f>
        <v>товари</v>
      </c>
      <c r="B2489" s="16" t="str">
        <f>IFERROR(__xludf.DUMMYFUNCTION("""COMPUTED_VALUE"""),"обладнання та товари для надання послуг")</f>
        <v>обладнання та товари для надання послуг</v>
      </c>
      <c r="C2489" s="16" t="str">
        <f>IFERROR(__xludf.DUMMYFUNCTION("""COMPUTED_VALUE"""),"horeca&amp;fast-food")</f>
        <v>horeca&amp;fast-food</v>
      </c>
      <c r="D2489" s="16" t="str">
        <f>IFERROR(__xludf.DUMMYFUNCTION("""COMPUTED_VALUE"""),"запчастини до обладнання horeca&amp;fast-food")</f>
        <v>запчастини до обладнання horeca&amp;fast-food</v>
      </c>
      <c r="E2489" s="16" t="str">
        <f>IFERROR(__xludf.DUMMYFUNCTION("""COMPUTED_VALUE"""),"запчастини для холодильного обладнання horeca&amp;fast-food")</f>
        <v>запчастини для холодильного обладнання horeca&amp;fast-food</v>
      </c>
      <c r="F2489" s="17">
        <f>IFERROR(__xludf.DUMMYFUNCTION("""COMPUTED_VALUE"""),4.0)</f>
        <v>4</v>
      </c>
      <c r="G2489" s="17" t="str">
        <f>IFERROR(__xludf.DUMMYFUNCTION("""COMPUTED_VALUE"""),"240668")</f>
        <v>240668</v>
      </c>
      <c r="H2489" s="17" t="str">
        <f>IFERROR(__xludf.DUMMYFUNCTION("""COMPUTED_VALUE"""),"запчастини для холодильного обладнання horeca&amp;fast-food")</f>
        <v>запчастини для холодильного обладнання horeca&amp;fast-food</v>
      </c>
      <c r="I2489" s="19">
        <f>IFERROR(__xludf.DUMMYFUNCTION("""COMPUTED_VALUE"""),0.0568)</f>
        <v>0.0568</v>
      </c>
      <c r="J2489" s="19">
        <f>IFERROR(__xludf.DUMMYFUNCTION("""COMPUTED_VALUE"""),0.1135)</f>
        <v>0.1135</v>
      </c>
      <c r="K2489" s="19">
        <f>IFERROR(__xludf.DUMMYFUNCTION("""COMPUTED_VALUE"""),0.1419)</f>
        <v>0.1419</v>
      </c>
      <c r="L2489" s="19">
        <f>IFERROR(__xludf.DUMMYFUNCTION("""COMPUTED_VALUE"""),0.1703)</f>
        <v>0.1703</v>
      </c>
      <c r="M2489" s="18">
        <f>IFERROR(__xludf.DUMMYFUNCTION("""COMPUTED_VALUE"""),1.53)</f>
        <v>1.53</v>
      </c>
    </row>
    <row r="2490">
      <c r="A2490" s="13" t="str">
        <f>IFERROR(__xludf.DUMMYFUNCTION("""COMPUTED_VALUE"""),"товари")</f>
        <v>товари</v>
      </c>
      <c r="B2490" s="16" t="str">
        <f>IFERROR(__xludf.DUMMYFUNCTION("""COMPUTED_VALUE"""),"обладнання та товари для надання послуг")</f>
        <v>обладнання та товари для надання послуг</v>
      </c>
      <c r="C2490" s="16" t="str">
        <f>IFERROR(__xludf.DUMMYFUNCTION("""COMPUTED_VALUE"""),"horeca&amp;fast-food")</f>
        <v>horeca&amp;fast-food</v>
      </c>
      <c r="D2490" s="16" t="str">
        <f>IFERROR(__xludf.DUMMYFUNCTION("""COMPUTED_VALUE"""),"запчастини до обладнання horeca&amp;fast-food")</f>
        <v>запчастини до обладнання horeca&amp;fast-food</v>
      </c>
      <c r="E2490" s="16" t="str">
        <f>IFERROR(__xludf.DUMMYFUNCTION("""COMPUTED_VALUE"""),"запчастини до обладнання horeca&amp;fast-food, загальне")</f>
        <v>запчастини до обладнання horeca&amp;fast-food, загальне</v>
      </c>
      <c r="F2490" s="17">
        <f>IFERROR(__xludf.DUMMYFUNCTION("""COMPUTED_VALUE"""),4.0)</f>
        <v>4</v>
      </c>
      <c r="G2490" s="17" t="str">
        <f>IFERROR(__xludf.DUMMYFUNCTION("""COMPUTED_VALUE"""),"240667")</f>
        <v>240667</v>
      </c>
      <c r="H2490" s="17" t="str">
        <f>IFERROR(__xludf.DUMMYFUNCTION("""COMPUTED_VALUE"""),"запчастини до обладнання horeca&amp;fast-food, загальне")</f>
        <v>запчастини до обладнання horeca&amp;fast-food, загальне</v>
      </c>
      <c r="I2490" s="19">
        <f>IFERROR(__xludf.DUMMYFUNCTION("""COMPUTED_VALUE"""),0.125)</f>
        <v>0.125</v>
      </c>
      <c r="J2490" s="19">
        <f>IFERROR(__xludf.DUMMYFUNCTION("""COMPUTED_VALUE"""),0.25)</f>
        <v>0.25</v>
      </c>
      <c r="K2490" s="19">
        <f>IFERROR(__xludf.DUMMYFUNCTION("""COMPUTED_VALUE"""),0.3125)</f>
        <v>0.3125</v>
      </c>
      <c r="L2490" s="19">
        <f>IFERROR(__xludf.DUMMYFUNCTION("""COMPUTED_VALUE"""),0.375)</f>
        <v>0.375</v>
      </c>
      <c r="M2490" s="18">
        <f>IFERROR(__xludf.DUMMYFUNCTION("""COMPUTED_VALUE"""),4.33)</f>
        <v>4.33</v>
      </c>
    </row>
    <row r="2491">
      <c r="A2491" s="13" t="str">
        <f>IFERROR(__xludf.DUMMYFUNCTION("""COMPUTED_VALUE"""),"товари")</f>
        <v>товари</v>
      </c>
      <c r="B2491" s="16" t="str">
        <f>IFERROR(__xludf.DUMMYFUNCTION("""COMPUTED_VALUE"""),"обладнання та товари для надання послуг")</f>
        <v>обладнання та товари для надання послуг</v>
      </c>
      <c r="C2491" s="16" t="str">
        <f>IFERROR(__xludf.DUMMYFUNCTION("""COMPUTED_VALUE"""),"комерційні меблі")</f>
        <v>комерційні меблі</v>
      </c>
      <c r="D2491" s="16" t="str">
        <f>IFERROR(__xludf.DUMMYFUNCTION("""COMPUTED_VALUE"""),"запчастини і комплектуючі для комерційних меблів")</f>
        <v>запчастини і комплектуючі для комерційних меблів</v>
      </c>
      <c r="E2491" s="16" t="str">
        <f>IFERROR(__xludf.DUMMYFUNCTION("""COMPUTED_VALUE"""),"запчастини і комплектуючі для комерційних меблів")</f>
        <v>запчастини і комплектуючі для комерційних меблів</v>
      </c>
      <c r="F2491" s="17">
        <f>IFERROR(__xludf.DUMMYFUNCTION("""COMPUTED_VALUE"""),3.0)</f>
        <v>3</v>
      </c>
      <c r="G2491" s="17" t="str">
        <f>IFERROR(__xludf.DUMMYFUNCTION("""COMPUTED_VALUE"""),"15030124")</f>
        <v>15030124</v>
      </c>
      <c r="H2491" s="17" t="str">
        <f>IFERROR(__xludf.DUMMYFUNCTION("""COMPUTED_VALUE"""),"запчастини і комплектуючі для комерційних меблів")</f>
        <v>запчастини і комплектуючі для комерційних меблів</v>
      </c>
      <c r="I2491" s="19">
        <f>IFERROR(__xludf.DUMMYFUNCTION("""COMPUTED_VALUE"""),0.0727)</f>
        <v>0.0727</v>
      </c>
      <c r="J2491" s="19">
        <f>IFERROR(__xludf.DUMMYFUNCTION("""COMPUTED_VALUE"""),0.1453)</f>
        <v>0.1453</v>
      </c>
      <c r="K2491" s="19">
        <f>IFERROR(__xludf.DUMMYFUNCTION("""COMPUTED_VALUE"""),0.1816)</f>
        <v>0.1816</v>
      </c>
      <c r="L2491" s="19">
        <f>IFERROR(__xludf.DUMMYFUNCTION("""COMPUTED_VALUE"""),0.218)</f>
        <v>0.218</v>
      </c>
      <c r="M2491" s="18">
        <f>IFERROR(__xludf.DUMMYFUNCTION("""COMPUTED_VALUE"""),1.98)</f>
        <v>1.98</v>
      </c>
    </row>
    <row r="2492">
      <c r="A2492" s="13" t="str">
        <f>IFERROR(__xludf.DUMMYFUNCTION("""COMPUTED_VALUE"""),"товари")</f>
        <v>товари</v>
      </c>
      <c r="B2492" s="16" t="str">
        <f>IFERROR(__xludf.DUMMYFUNCTION("""COMPUTED_VALUE"""),"обладнання та товари для надання послуг")</f>
        <v>обладнання та товари для надання послуг</v>
      </c>
      <c r="C2492" s="16" t="str">
        <f>IFERROR(__xludf.DUMMYFUNCTION("""COMPUTED_VALUE"""),"офісна техніка")</f>
        <v>офісна техніка</v>
      </c>
      <c r="D2492" s="16" t="str">
        <f>IFERROR(__xludf.DUMMYFUNCTION("""COMPUTED_VALUE"""),"запчастини і комплектуючі для офісної техніки")</f>
        <v>запчастини і комплектуючі для офісної техніки</v>
      </c>
      <c r="E2492" s="16" t="str">
        <f>IFERROR(__xludf.DUMMYFUNCTION("""COMPUTED_VALUE"""),"запчастини і комплектуючі для офісної техніки")</f>
        <v>запчастини і комплектуючі для офісної техніки</v>
      </c>
      <c r="F2492" s="17">
        <f>IFERROR(__xludf.DUMMYFUNCTION("""COMPUTED_VALUE"""),3.0)</f>
        <v>3</v>
      </c>
      <c r="G2492" s="17" t="str">
        <f>IFERROR(__xludf.DUMMYFUNCTION("""COMPUTED_VALUE"""),"210302")</f>
        <v>210302</v>
      </c>
      <c r="H2492" s="17" t="str">
        <f>IFERROR(__xludf.DUMMYFUNCTION("""COMPUTED_VALUE"""),"запчастини і комплектуючі для офісної техніки")</f>
        <v>запчастини і комплектуючі для офісної техніки</v>
      </c>
      <c r="I2492" s="19">
        <f>IFERROR(__xludf.DUMMYFUNCTION("""COMPUTED_VALUE"""),0.0871)</f>
        <v>0.0871</v>
      </c>
      <c r="J2492" s="19">
        <f>IFERROR(__xludf.DUMMYFUNCTION("""COMPUTED_VALUE"""),0.1742)</f>
        <v>0.1742</v>
      </c>
      <c r="K2492" s="19">
        <f>IFERROR(__xludf.DUMMYFUNCTION("""COMPUTED_VALUE"""),0.2178)</f>
        <v>0.2178</v>
      </c>
      <c r="L2492" s="19">
        <f>IFERROR(__xludf.DUMMYFUNCTION("""COMPUTED_VALUE"""),0.2613)</f>
        <v>0.2613</v>
      </c>
      <c r="M2492" s="18">
        <f>IFERROR(__xludf.DUMMYFUNCTION("""COMPUTED_VALUE"""),1.05)</f>
        <v>1.05</v>
      </c>
    </row>
    <row r="2493">
      <c r="A2493" s="13" t="str">
        <f>IFERROR(__xludf.DUMMYFUNCTION("""COMPUTED_VALUE"""),"товари")</f>
        <v>товари</v>
      </c>
      <c r="B2493" s="16" t="str">
        <f>IFERROR(__xludf.DUMMYFUNCTION("""COMPUTED_VALUE"""),"обладнання та товари для надання послуг")</f>
        <v>обладнання та товари для надання послуг</v>
      </c>
      <c r="C2493" s="16" t="str">
        <f>IFERROR(__xludf.DUMMYFUNCTION("""COMPUTED_VALUE"""),"професійне аудіо-, відео-, фото обладнання")</f>
        <v>професійне аудіо-, відео-, фото обладнання</v>
      </c>
      <c r="D2493" s="16" t="str">
        <f>IFERROR(__xludf.DUMMYFUNCTION("""COMPUTED_VALUE"""),"запчастини і комплектуючі для професійного аудіо-відео обладнання")</f>
        <v>запчастини і комплектуючі для професійного аудіо-відео обладнання</v>
      </c>
      <c r="E2493" s="16" t="str">
        <f>IFERROR(__xludf.DUMMYFUNCTION("""COMPUTED_VALUE"""),"запчастини і комплектуючі для професійного аудіо-відео обладнання")</f>
        <v>запчастини і комплектуючі для професійного аудіо-відео обладнання</v>
      </c>
      <c r="F2493" s="17">
        <f>IFERROR(__xludf.DUMMYFUNCTION("""COMPUTED_VALUE"""),3.0)</f>
        <v>3</v>
      </c>
      <c r="G2493" s="17" t="str">
        <f>IFERROR(__xludf.DUMMYFUNCTION("""COMPUTED_VALUE"""),"6371814")</f>
        <v>6371814</v>
      </c>
      <c r="H2493" s="17" t="str">
        <f>IFERROR(__xludf.DUMMYFUNCTION("""COMPUTED_VALUE"""),"запчастини і комплектуючі для професійного аудіо-відео обладнання")</f>
        <v>запчастини і комплектуючі для професійного аудіо-відео обладнання</v>
      </c>
      <c r="I2493" s="19">
        <f>IFERROR(__xludf.DUMMYFUNCTION("""COMPUTED_VALUE"""),0.0607)</f>
        <v>0.0607</v>
      </c>
      <c r="J2493" s="19">
        <f>IFERROR(__xludf.DUMMYFUNCTION("""COMPUTED_VALUE"""),0.1214)</f>
        <v>0.1214</v>
      </c>
      <c r="K2493" s="19">
        <f>IFERROR(__xludf.DUMMYFUNCTION("""COMPUTED_VALUE"""),0.1518)</f>
        <v>0.1518</v>
      </c>
      <c r="L2493" s="19">
        <f>IFERROR(__xludf.DUMMYFUNCTION("""COMPUTED_VALUE"""),0.1821)</f>
        <v>0.1821</v>
      </c>
      <c r="M2493" s="18">
        <f>IFERROR(__xludf.DUMMYFUNCTION("""COMPUTED_VALUE"""),2.53)</f>
        <v>2.53</v>
      </c>
    </row>
    <row r="2494">
      <c r="A2494" s="13" t="str">
        <f>IFERROR(__xludf.DUMMYFUNCTION("""COMPUTED_VALUE"""),"товари")</f>
        <v>товари</v>
      </c>
      <c r="B2494" s="16" t="str">
        <f>IFERROR(__xludf.DUMMYFUNCTION("""COMPUTED_VALUE"""),"обладнання та товари для надання послуг")</f>
        <v>обладнання та товари для надання послуг</v>
      </c>
      <c r="C2494" s="16" t="str">
        <f>IFERROR(__xludf.DUMMYFUNCTION("""COMPUTED_VALUE"""),"все для салонів краси")</f>
        <v>все для салонів краси</v>
      </c>
      <c r="D2494" s="16" t="str">
        <f>IFERROR(__xludf.DUMMYFUNCTION("""COMPUTED_VALUE"""),"обладнання та матеріали для косметології")</f>
        <v>обладнання та матеріали для косметології</v>
      </c>
      <c r="E2494" s="16" t="str">
        <f>IFERROR(__xludf.DUMMYFUNCTION("""COMPUTED_VALUE"""),"запчастини та комплектуючі до косметологічних апаратів")</f>
        <v>запчастини та комплектуючі до косметологічних апаратів</v>
      </c>
      <c r="F2494" s="17">
        <f>IFERROR(__xludf.DUMMYFUNCTION("""COMPUTED_VALUE"""),4.0)</f>
        <v>4</v>
      </c>
      <c r="G2494" s="17" t="str">
        <f>IFERROR(__xludf.DUMMYFUNCTION("""COMPUTED_VALUE"""),"283080")</f>
        <v>283080</v>
      </c>
      <c r="H2494" s="17" t="str">
        <f>IFERROR(__xludf.DUMMYFUNCTION("""COMPUTED_VALUE"""),"запчастини та комплектуючі до косметологічних апаратів")</f>
        <v>запчастини та комплектуючі до косметологічних апаратів</v>
      </c>
      <c r="I2494" s="19">
        <f>IFERROR(__xludf.DUMMYFUNCTION("""COMPUTED_VALUE"""),0.0761)</f>
        <v>0.0761</v>
      </c>
      <c r="J2494" s="19">
        <f>IFERROR(__xludf.DUMMYFUNCTION("""COMPUTED_VALUE"""),0.1521)</f>
        <v>0.1521</v>
      </c>
      <c r="K2494" s="19">
        <f>IFERROR(__xludf.DUMMYFUNCTION("""COMPUTED_VALUE"""),0.1901)</f>
        <v>0.1901</v>
      </c>
      <c r="L2494" s="19">
        <f>IFERROR(__xludf.DUMMYFUNCTION("""COMPUTED_VALUE"""),0.2282)</f>
        <v>0.2282</v>
      </c>
      <c r="M2494" s="18">
        <f>IFERROR(__xludf.DUMMYFUNCTION("""COMPUTED_VALUE"""),1.53)</f>
        <v>1.53</v>
      </c>
    </row>
    <row r="2495">
      <c r="A2495" s="13" t="str">
        <f>IFERROR(__xludf.DUMMYFUNCTION("""COMPUTED_VALUE"""),"товари")</f>
        <v>товари</v>
      </c>
      <c r="B2495" s="16" t="str">
        <f>IFERROR(__xludf.DUMMYFUNCTION("""COMPUTED_VALUE"""),"обладнання та товари для надання послуг")</f>
        <v>обладнання та товари для надання послуг</v>
      </c>
      <c r="C2495" s="16" t="str">
        <f>IFERROR(__xludf.DUMMYFUNCTION("""COMPUTED_VALUE"""),"все для салонів краси")</f>
        <v>все для салонів краси</v>
      </c>
      <c r="D2495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495" s="16" t="str">
        <f>IFERROR(__xludf.DUMMYFUNCTION("""COMPUTED_VALUE"""),"засоби для ламінування і біозавивки")</f>
        <v>засоби для ламінування і біозавивки</v>
      </c>
      <c r="F2495" s="17">
        <f>IFERROR(__xludf.DUMMYFUNCTION("""COMPUTED_VALUE"""),4.0)</f>
        <v>4</v>
      </c>
      <c r="G2495" s="17" t="str">
        <f>IFERROR(__xludf.DUMMYFUNCTION("""COMPUTED_VALUE"""),"283093")</f>
        <v>283093</v>
      </c>
      <c r="H2495" s="17" t="str">
        <f>IFERROR(__xludf.DUMMYFUNCTION("""COMPUTED_VALUE"""),"засоби для ламінування і біозавивки")</f>
        <v>засоби для ламінування і біозавивки</v>
      </c>
      <c r="I2495" s="19">
        <f>IFERROR(__xludf.DUMMYFUNCTION("""COMPUTED_VALUE"""),0.0763)</f>
        <v>0.0763</v>
      </c>
      <c r="J2495" s="19">
        <f>IFERROR(__xludf.DUMMYFUNCTION("""COMPUTED_VALUE"""),0.1526)</f>
        <v>0.1526</v>
      </c>
      <c r="K2495" s="19">
        <f>IFERROR(__xludf.DUMMYFUNCTION("""COMPUTED_VALUE"""),0.1908)</f>
        <v>0.1908</v>
      </c>
      <c r="L2495" s="19">
        <f>IFERROR(__xludf.DUMMYFUNCTION("""COMPUTED_VALUE"""),0.2289)</f>
        <v>0.2289</v>
      </c>
      <c r="M2495" s="18">
        <f>IFERROR(__xludf.DUMMYFUNCTION("""COMPUTED_VALUE"""),3.33)</f>
        <v>3.33</v>
      </c>
    </row>
    <row r="2496">
      <c r="A2496" s="13" t="str">
        <f>IFERROR(__xludf.DUMMYFUNCTION("""COMPUTED_VALUE"""),"товари")</f>
        <v>товари</v>
      </c>
      <c r="B2496" s="16" t="str">
        <f>IFERROR(__xludf.DUMMYFUNCTION("""COMPUTED_VALUE"""),"обладнання та товари для надання послуг")</f>
        <v>обладнання та товари для надання послуг</v>
      </c>
      <c r="C2496" s="16" t="str">
        <f>IFERROR(__xludf.DUMMYFUNCTION("""COMPUTED_VALUE"""),"все для салонів краси")</f>
        <v>все для салонів краси</v>
      </c>
      <c r="D2496" s="16" t="str">
        <f>IFERROR(__xludf.DUMMYFUNCTION("""COMPUTED_VALUE"""),"все для татуювання, боді-арту, пірсингу")</f>
        <v>все для татуювання, боді-арту, пірсингу</v>
      </c>
      <c r="E2496" s="16" t="str">
        <f>IFERROR(__xludf.DUMMYFUNCTION("""COMPUTED_VALUE""")," засоби для перманентного макіяжу")</f>
        <v> засоби для перманентного макіяжу</v>
      </c>
      <c r="F2496" s="17">
        <f>IFERROR(__xludf.DUMMYFUNCTION("""COMPUTED_VALUE"""),4.0)</f>
        <v>4</v>
      </c>
      <c r="G2496" s="17" t="str">
        <f>IFERROR(__xludf.DUMMYFUNCTION("""COMPUTED_VALUE"""),"283091")</f>
        <v>283091</v>
      </c>
      <c r="H2496" s="17" t="str">
        <f>IFERROR(__xludf.DUMMYFUNCTION("""COMPUTED_VALUE""")," засоби для перманентного макіяжу")</f>
        <v> засоби для перманентного макіяжу</v>
      </c>
      <c r="I2496" s="19">
        <f>IFERROR(__xludf.DUMMYFUNCTION("""COMPUTED_VALUE"""),0.0773)</f>
        <v>0.0773</v>
      </c>
      <c r="J2496" s="19">
        <f>IFERROR(__xludf.DUMMYFUNCTION("""COMPUTED_VALUE"""),0.1545)</f>
        <v>0.1545</v>
      </c>
      <c r="K2496" s="19">
        <f>IFERROR(__xludf.DUMMYFUNCTION("""COMPUTED_VALUE"""),0.1931)</f>
        <v>0.1931</v>
      </c>
      <c r="L2496" s="19">
        <f>IFERROR(__xludf.DUMMYFUNCTION("""COMPUTED_VALUE"""),0.2318)</f>
        <v>0.2318</v>
      </c>
      <c r="M2496" s="18">
        <f>IFERROR(__xludf.DUMMYFUNCTION("""COMPUTED_VALUE"""),2.25)</f>
        <v>2.25</v>
      </c>
    </row>
    <row r="2497">
      <c r="A2497" s="13" t="str">
        <f>IFERROR(__xludf.DUMMYFUNCTION("""COMPUTED_VALUE"""),"товари")</f>
        <v>товари</v>
      </c>
      <c r="B2497" s="16" t="str">
        <f>IFERROR(__xludf.DUMMYFUNCTION("""COMPUTED_VALUE"""),"обладнання та товари для надання послуг")</f>
        <v>обладнання та товари для надання послуг</v>
      </c>
      <c r="C2497" s="16" t="str">
        <f>IFERROR(__xludf.DUMMYFUNCTION("""COMPUTED_VALUE"""),"все для салонів краси")</f>
        <v>все для салонів краси</v>
      </c>
      <c r="D2497" s="16" t="str">
        <f>IFERROR(__xludf.DUMMYFUNCTION("""COMPUTED_VALUE"""),"все для татуювання, боді-арту, пірсингу")</f>
        <v>все для татуювання, боді-арту, пірсингу</v>
      </c>
      <c r="E2497" s="16" t="str">
        <f>IFERROR(__xludf.DUMMYFUNCTION("""COMPUTED_VALUE"""),"засоби для татуювання, боді-арту, пірсингу")</f>
        <v>засоби для татуювання, боді-арту, пірсингу</v>
      </c>
      <c r="F2497" s="17">
        <f>IFERROR(__xludf.DUMMYFUNCTION("""COMPUTED_VALUE"""),4.0)</f>
        <v>4</v>
      </c>
      <c r="G2497" s="17" t="str">
        <f>IFERROR(__xludf.DUMMYFUNCTION("""COMPUTED_VALUE"""),"283028")</f>
        <v>283028</v>
      </c>
      <c r="H2497" s="17" t="str">
        <f>IFERROR(__xludf.DUMMYFUNCTION("""COMPUTED_VALUE"""),"засоби для татуювання, боді-арту, пірсингу")</f>
        <v>засоби для татуювання, боді-арту, пірсингу</v>
      </c>
      <c r="I2497" s="19">
        <f>IFERROR(__xludf.DUMMYFUNCTION("""COMPUTED_VALUE"""),0.0769)</f>
        <v>0.0769</v>
      </c>
      <c r="J2497" s="19">
        <f>IFERROR(__xludf.DUMMYFUNCTION("""COMPUTED_VALUE"""),0.1538)</f>
        <v>0.1538</v>
      </c>
      <c r="K2497" s="19">
        <f>IFERROR(__xludf.DUMMYFUNCTION("""COMPUTED_VALUE"""),0.1923)</f>
        <v>0.1923</v>
      </c>
      <c r="L2497" s="19">
        <f>IFERROR(__xludf.DUMMYFUNCTION("""COMPUTED_VALUE"""),0.2307)</f>
        <v>0.2307</v>
      </c>
      <c r="M2497" s="18">
        <f>IFERROR(__xludf.DUMMYFUNCTION("""COMPUTED_VALUE"""),2.25)</f>
        <v>2.25</v>
      </c>
    </row>
    <row r="2498">
      <c r="A2498" s="13" t="str">
        <f>IFERROR(__xludf.DUMMYFUNCTION("""COMPUTED_VALUE"""),"товари")</f>
        <v>товари</v>
      </c>
      <c r="B2498" s="16" t="str">
        <f>IFERROR(__xludf.DUMMYFUNCTION("""COMPUTED_VALUE"""),"обладнання та товари для надання послуг")</f>
        <v>обладнання та товари для надання послуг</v>
      </c>
      <c r="C2498" s="16" t="str">
        <f>IFERROR(__xludf.DUMMYFUNCTION("""COMPUTED_VALUE"""),"комерційні меблі")</f>
        <v>комерційні меблі</v>
      </c>
      <c r="D2498" s="16" t="str">
        <f>IFERROR(__xludf.DUMMYFUNCTION("""COMPUTED_VALUE"""),"меблі для дошкільних установ")</f>
        <v>меблі для дошкільних установ</v>
      </c>
      <c r="E2498" s="16" t="str">
        <f>IFERROR(__xludf.DUMMYFUNCTION("""COMPUTED_VALUE"""),"ігрові меблі")</f>
        <v>ігрові меблі</v>
      </c>
      <c r="F2498" s="17">
        <f>IFERROR(__xludf.DUMMYFUNCTION("""COMPUTED_VALUE"""),4.0)</f>
        <v>4</v>
      </c>
      <c r="G2498" s="17" t="str">
        <f>IFERROR(__xludf.DUMMYFUNCTION("""COMPUTED_VALUE"""),"371310")</f>
        <v>371310</v>
      </c>
      <c r="H2498" s="17" t="str">
        <f>IFERROR(__xludf.DUMMYFUNCTION("""COMPUTED_VALUE"""),"ігрові меблі")</f>
        <v>ігрові меблі</v>
      </c>
      <c r="I2498" s="19">
        <f>IFERROR(__xludf.DUMMYFUNCTION("""COMPUTED_VALUE"""),0.0578)</f>
        <v>0.0578</v>
      </c>
      <c r="J2498" s="19">
        <f>IFERROR(__xludf.DUMMYFUNCTION("""COMPUTED_VALUE"""),0.1155)</f>
        <v>0.1155</v>
      </c>
      <c r="K2498" s="19">
        <f>IFERROR(__xludf.DUMMYFUNCTION("""COMPUTED_VALUE"""),0.1444)</f>
        <v>0.1444</v>
      </c>
      <c r="L2498" s="19">
        <f>IFERROR(__xludf.DUMMYFUNCTION("""COMPUTED_VALUE"""),0.1733)</f>
        <v>0.1733</v>
      </c>
      <c r="M2498" s="18">
        <f>IFERROR(__xludf.DUMMYFUNCTION("""COMPUTED_VALUE"""),2.7)</f>
        <v>2.7</v>
      </c>
    </row>
    <row r="2499">
      <c r="A2499" s="13" t="str">
        <f>IFERROR(__xludf.DUMMYFUNCTION("""COMPUTED_VALUE"""),"товари")</f>
        <v>товари</v>
      </c>
      <c r="B2499" s="16" t="str">
        <f>IFERROR(__xludf.DUMMYFUNCTION("""COMPUTED_VALUE"""),"обладнання та товари для надання послуг")</f>
        <v>обладнання та товари для надання послуг</v>
      </c>
      <c r="C2499" s="16" t="str">
        <f>IFERROR(__xludf.DUMMYFUNCTION("""COMPUTED_VALUE"""),"релігійні і езотеричні товари")</f>
        <v>релігійні і езотеричні товари</v>
      </c>
      <c r="D2499" s="16" t="str">
        <f>IFERROR(__xludf.DUMMYFUNCTION("""COMPUTED_VALUE"""),"ікони, кіоти")</f>
        <v>ікони, кіоти</v>
      </c>
      <c r="E2499" s="16" t="str">
        <f>IFERROR(__xludf.DUMMYFUNCTION("""COMPUTED_VALUE"""),"ікони, кіоти")</f>
        <v>ікони, кіоти</v>
      </c>
      <c r="F2499" s="17">
        <f>IFERROR(__xludf.DUMMYFUNCTION("""COMPUTED_VALUE"""),3.0)</f>
        <v>3</v>
      </c>
      <c r="G2499" s="17" t="str">
        <f>IFERROR(__xludf.DUMMYFUNCTION("""COMPUTED_VALUE"""),"1701")</f>
        <v>1701</v>
      </c>
      <c r="H2499" s="17" t="str">
        <f>IFERROR(__xludf.DUMMYFUNCTION("""COMPUTED_VALUE"""),"ікони, кіоти")</f>
        <v>ікони, кіоти</v>
      </c>
      <c r="I2499" s="19">
        <f>IFERROR(__xludf.DUMMYFUNCTION("""COMPUTED_VALUE"""),0.0625)</f>
        <v>0.0625</v>
      </c>
      <c r="J2499" s="19">
        <f>IFERROR(__xludf.DUMMYFUNCTION("""COMPUTED_VALUE"""),0.1249)</f>
        <v>0.1249</v>
      </c>
      <c r="K2499" s="19">
        <f>IFERROR(__xludf.DUMMYFUNCTION("""COMPUTED_VALUE"""),0.1561)</f>
        <v>0.1561</v>
      </c>
      <c r="L2499" s="19">
        <f>IFERROR(__xludf.DUMMYFUNCTION("""COMPUTED_VALUE"""),0.1874)</f>
        <v>0.1874</v>
      </c>
      <c r="M2499" s="18">
        <f>IFERROR(__xludf.DUMMYFUNCTION("""COMPUTED_VALUE"""),2.16)</f>
        <v>2.16</v>
      </c>
    </row>
    <row r="2500">
      <c r="A2500" s="13" t="str">
        <f>IFERROR(__xludf.DUMMYFUNCTION("""COMPUTED_VALUE"""),"товари")</f>
        <v>товари</v>
      </c>
      <c r="B2500" s="16" t="str">
        <f>IFERROR(__xludf.DUMMYFUNCTION("""COMPUTED_VALUE"""),"обладнання та товари для надання послуг")</f>
        <v>обладнання та товари для надання послуг</v>
      </c>
      <c r="C2500" s="16" t="str">
        <f>IFERROR(__xludf.DUMMYFUNCTION("""COMPUTED_VALUE"""),"обладнання для автосервісу")</f>
        <v>обладнання для автосервісу</v>
      </c>
      <c r="D2500" s="16" t="str">
        <f>IFERROR(__xludf.DUMMYFUNCTION("""COMPUTED_VALUE"""),"інструменти для автосервісу")</f>
        <v>інструменти для автосервісу</v>
      </c>
      <c r="E2500" s="16" t="str">
        <f>IFERROR(__xludf.DUMMYFUNCTION("""COMPUTED_VALUE"""),"інструменти для автосервісу, загальне")</f>
        <v>інструменти для автосервісу, загальне</v>
      </c>
      <c r="F2500" s="17">
        <f>IFERROR(__xludf.DUMMYFUNCTION("""COMPUTED_VALUE"""),4.0)</f>
        <v>4</v>
      </c>
      <c r="G2500" s="17" t="str">
        <f>IFERROR(__xludf.DUMMYFUNCTION("""COMPUTED_VALUE"""),"12111801")</f>
        <v>12111801</v>
      </c>
      <c r="H2500" s="17" t="str">
        <f>IFERROR(__xludf.DUMMYFUNCTION("""COMPUTED_VALUE"""),"інструменти для автосервісу, загальне")</f>
        <v>інструменти для автосервісу, загальне</v>
      </c>
      <c r="I2500" s="19">
        <f>IFERROR(__xludf.DUMMYFUNCTION("""COMPUTED_VALUE"""),0.125)</f>
        <v>0.125</v>
      </c>
      <c r="J2500" s="19">
        <f>IFERROR(__xludf.DUMMYFUNCTION("""COMPUTED_VALUE"""),0.25)</f>
        <v>0.25</v>
      </c>
      <c r="K2500" s="19">
        <f>IFERROR(__xludf.DUMMYFUNCTION("""COMPUTED_VALUE"""),0.3125)</f>
        <v>0.3125</v>
      </c>
      <c r="L2500" s="19">
        <f>IFERROR(__xludf.DUMMYFUNCTION("""COMPUTED_VALUE"""),0.375)</f>
        <v>0.375</v>
      </c>
      <c r="M2500" s="18">
        <f>IFERROR(__xludf.DUMMYFUNCTION("""COMPUTED_VALUE"""),4.33)</f>
        <v>4.33</v>
      </c>
    </row>
    <row r="2501">
      <c r="A2501" s="13" t="str">
        <f>IFERROR(__xludf.DUMMYFUNCTION("""COMPUTED_VALUE"""),"товари")</f>
        <v>товари</v>
      </c>
      <c r="B2501" s="16" t="str">
        <f>IFERROR(__xludf.DUMMYFUNCTION("""COMPUTED_VALUE"""),"обладнання та товари для надання послуг")</f>
        <v>обладнання та товари для надання послуг</v>
      </c>
      <c r="C2501" s="16" t="str">
        <f>IFERROR(__xludf.DUMMYFUNCTION("""COMPUTED_VALUE"""),"обладнання для автосервісу")</f>
        <v>обладнання для автосервісу</v>
      </c>
      <c r="D2501" s="16" t="str">
        <f>IFERROR(__xludf.DUMMYFUNCTION("""COMPUTED_VALUE"""),"інструменти для автосервісу")</f>
        <v>інструменти для автосервісу</v>
      </c>
      <c r="E2501" s="16" t="str">
        <f>IFERROR(__xludf.DUMMYFUNCTION("""COMPUTED_VALUE"""),"інструменти для ремонту і відновлення шин")</f>
        <v>інструменти для ремонту і відновлення шин</v>
      </c>
      <c r="F2501" s="17">
        <f>IFERROR(__xludf.DUMMYFUNCTION("""COMPUTED_VALUE"""),4.0)</f>
        <v>4</v>
      </c>
      <c r="G2501" s="17" t="str">
        <f>IFERROR(__xludf.DUMMYFUNCTION("""COMPUTED_VALUE"""),"12110202")</f>
        <v>12110202</v>
      </c>
      <c r="H2501" s="17" t="str">
        <f>IFERROR(__xludf.DUMMYFUNCTION("""COMPUTED_VALUE"""),"інструменти для ремонту і відновлення шин")</f>
        <v>інструменти для ремонту і відновлення шин</v>
      </c>
      <c r="I2501" s="19">
        <f>IFERROR(__xludf.DUMMYFUNCTION("""COMPUTED_VALUE"""),0.0697)</f>
        <v>0.0697</v>
      </c>
      <c r="J2501" s="19">
        <f>IFERROR(__xludf.DUMMYFUNCTION("""COMPUTED_VALUE"""),0.1394)</f>
        <v>0.1394</v>
      </c>
      <c r="K2501" s="19">
        <f>IFERROR(__xludf.DUMMYFUNCTION("""COMPUTED_VALUE"""),0.1743)</f>
        <v>0.1743</v>
      </c>
      <c r="L2501" s="19">
        <f>IFERROR(__xludf.DUMMYFUNCTION("""COMPUTED_VALUE"""),0.2091)</f>
        <v>0.2091</v>
      </c>
      <c r="M2501" s="18">
        <f>IFERROR(__xludf.DUMMYFUNCTION("""COMPUTED_VALUE"""),2.16)</f>
        <v>2.16</v>
      </c>
    </row>
    <row r="2502">
      <c r="A2502" s="13" t="str">
        <f>IFERROR(__xludf.DUMMYFUNCTION("""COMPUTED_VALUE"""),"товари")</f>
        <v>товари</v>
      </c>
      <c r="B2502" s="16" t="str">
        <f>IFERROR(__xludf.DUMMYFUNCTION("""COMPUTED_VALUE"""),"обладнання та товари для надання послуг")</f>
        <v>обладнання та товари для надання послуг</v>
      </c>
      <c r="C2502" s="16" t="str">
        <f>IFERROR(__xludf.DUMMYFUNCTION("""COMPUTED_VALUE"""),"все для салонів краси")</f>
        <v>все для салонів краси</v>
      </c>
      <c r="D2502" s="16" t="str">
        <f>IFERROR(__xludf.DUMMYFUNCTION("""COMPUTED_VALUE"""),"обладнання та матеріали для косметології")</f>
        <v>обладнання та матеріали для косметології</v>
      </c>
      <c r="E2502" s="16" t="str">
        <f>IFERROR(__xludf.DUMMYFUNCTION("""COMPUTED_VALUE"""),"інструменти для видалення вугрів, прищів")</f>
        <v>інструменти для видалення вугрів, прищів</v>
      </c>
      <c r="F2502" s="17">
        <f>IFERROR(__xludf.DUMMYFUNCTION("""COMPUTED_VALUE"""),4.0)</f>
        <v>4</v>
      </c>
      <c r="G2502" s="17" t="str">
        <f>IFERROR(__xludf.DUMMYFUNCTION("""COMPUTED_VALUE"""),"283020")</f>
        <v>283020</v>
      </c>
      <c r="H2502" s="17" t="str">
        <f>IFERROR(__xludf.DUMMYFUNCTION("""COMPUTED_VALUE"""),"інструменти для видалення вугрів, прищів")</f>
        <v>інструменти для видалення вугрів, прищів</v>
      </c>
      <c r="I2502" s="19">
        <f>IFERROR(__xludf.DUMMYFUNCTION("""COMPUTED_VALUE"""),0.0754)</f>
        <v>0.0754</v>
      </c>
      <c r="J2502" s="19">
        <f>IFERROR(__xludf.DUMMYFUNCTION("""COMPUTED_VALUE"""),0.1508)</f>
        <v>0.1508</v>
      </c>
      <c r="K2502" s="19">
        <f>IFERROR(__xludf.DUMMYFUNCTION("""COMPUTED_VALUE"""),0.1885)</f>
        <v>0.1885</v>
      </c>
      <c r="L2502" s="19">
        <f>IFERROR(__xludf.DUMMYFUNCTION("""COMPUTED_VALUE"""),0.2262)</f>
        <v>0.2262</v>
      </c>
      <c r="M2502" s="18">
        <f>IFERROR(__xludf.DUMMYFUNCTION("""COMPUTED_VALUE"""),1.53)</f>
        <v>1.53</v>
      </c>
    </row>
    <row r="2503">
      <c r="A2503" s="13" t="str">
        <f>IFERROR(__xludf.DUMMYFUNCTION("""COMPUTED_VALUE"""),"товари")</f>
        <v>товари</v>
      </c>
      <c r="B2503" s="16" t="str">
        <f>IFERROR(__xludf.DUMMYFUNCTION("""COMPUTED_VALUE"""),"обладнання та товари для надання послуг")</f>
        <v>обладнання та товари для надання послуг</v>
      </c>
      <c r="C2503" s="16" t="str">
        <f>IFERROR(__xludf.DUMMYFUNCTION("""COMPUTED_VALUE"""),"обладнання для автосервісу")</f>
        <v>обладнання для автосервісу</v>
      </c>
      <c r="D2503" s="16" t="str">
        <f>IFERROR(__xludf.DUMMYFUNCTION("""COMPUTED_VALUE"""),"інструменти для автосервісу")</f>
        <v>інструменти для автосервісу</v>
      </c>
      <c r="E2503" s="16" t="str">
        <f>IFERROR(__xludf.DUMMYFUNCTION("""COMPUTED_VALUE"""),"інструменти для демонтажу авто-стекол")</f>
        <v>інструменти для демонтажу авто-стекол</v>
      </c>
      <c r="F2503" s="17">
        <f>IFERROR(__xludf.DUMMYFUNCTION("""COMPUTED_VALUE"""),4.0)</f>
        <v>4</v>
      </c>
      <c r="G2503" s="17" t="str">
        <f>IFERROR(__xludf.DUMMYFUNCTION("""COMPUTED_VALUE"""),"12110210")</f>
        <v>12110210</v>
      </c>
      <c r="H2503" s="17" t="str">
        <f>IFERROR(__xludf.DUMMYFUNCTION("""COMPUTED_VALUE"""),"інструменти для демонтажу авто-стекол")</f>
        <v>інструменти для демонтажу авто-стекол</v>
      </c>
      <c r="I2503" s="19">
        <f>IFERROR(__xludf.DUMMYFUNCTION("""COMPUTED_VALUE"""),0.0697)</f>
        <v>0.0697</v>
      </c>
      <c r="J2503" s="19">
        <f>IFERROR(__xludf.DUMMYFUNCTION("""COMPUTED_VALUE"""),0.1394)</f>
        <v>0.1394</v>
      </c>
      <c r="K2503" s="19">
        <f>IFERROR(__xludf.DUMMYFUNCTION("""COMPUTED_VALUE"""),0.1743)</f>
        <v>0.1743</v>
      </c>
      <c r="L2503" s="19">
        <f>IFERROR(__xludf.DUMMYFUNCTION("""COMPUTED_VALUE"""),0.2091)</f>
        <v>0.2091</v>
      </c>
      <c r="M2503" s="18">
        <f>IFERROR(__xludf.DUMMYFUNCTION("""COMPUTED_VALUE"""),2.16)</f>
        <v>2.16</v>
      </c>
    </row>
    <row r="2504">
      <c r="A2504" s="13" t="str">
        <f>IFERROR(__xludf.DUMMYFUNCTION("""COMPUTED_VALUE"""),"товари")</f>
        <v>товари</v>
      </c>
      <c r="B2504" s="16" t="str">
        <f>IFERROR(__xludf.DUMMYFUNCTION("""COMPUTED_VALUE"""),"обладнання та товари для надання послуг")</f>
        <v>обладнання та товари для надання послуг</v>
      </c>
      <c r="C2504" s="16" t="str">
        <f>IFERROR(__xludf.DUMMYFUNCTION("""COMPUTED_VALUE"""),"все для салонів краси")</f>
        <v>все для салонів краси</v>
      </c>
      <c r="D2504" s="16" t="str">
        <f>IFERROR(__xludf.DUMMYFUNCTION("""COMPUTED_VALUE"""),"все для татуювання, боді-арту, пірсингу")</f>
        <v>все для татуювання, боді-арту, пірсингу</v>
      </c>
      <c r="E2504" s="16" t="str">
        <f>IFERROR(__xludf.DUMMYFUNCTION("""COMPUTED_VALUE"""),"інструменти для пірсингу, татуювань і татуажу")</f>
        <v>інструменти для пірсингу, татуювань і татуажу</v>
      </c>
      <c r="F2504" s="17">
        <f>IFERROR(__xludf.DUMMYFUNCTION("""COMPUTED_VALUE"""),4.0)</f>
        <v>4</v>
      </c>
      <c r="G2504" s="17" t="str">
        <f>IFERROR(__xludf.DUMMYFUNCTION("""COMPUTED_VALUE"""),"161401")</f>
        <v>161401</v>
      </c>
      <c r="H2504" s="17" t="str">
        <f>IFERROR(__xludf.DUMMYFUNCTION("""COMPUTED_VALUE"""),"інструменти для пірсингу, татуювань і татуажу")</f>
        <v>інструменти для пірсингу, татуювань і татуажу</v>
      </c>
      <c r="I2504" s="19">
        <f>IFERROR(__xludf.DUMMYFUNCTION("""COMPUTED_VALUE"""),0.0766)</f>
        <v>0.0766</v>
      </c>
      <c r="J2504" s="19">
        <f>IFERROR(__xludf.DUMMYFUNCTION("""COMPUTED_VALUE"""),0.1532)</f>
        <v>0.1532</v>
      </c>
      <c r="K2504" s="19">
        <f>IFERROR(__xludf.DUMMYFUNCTION("""COMPUTED_VALUE"""),0.1915)</f>
        <v>0.1915</v>
      </c>
      <c r="L2504" s="19">
        <f>IFERROR(__xludf.DUMMYFUNCTION("""COMPUTED_VALUE"""),0.2298)</f>
        <v>0.2298</v>
      </c>
      <c r="M2504" s="18">
        <f>IFERROR(__xludf.DUMMYFUNCTION("""COMPUTED_VALUE"""),2.25)</f>
        <v>2.25</v>
      </c>
    </row>
    <row r="2505">
      <c r="A2505" s="13" t="str">
        <f>IFERROR(__xludf.DUMMYFUNCTION("""COMPUTED_VALUE"""),"товари")</f>
        <v>товари</v>
      </c>
      <c r="B2505" s="16" t="str">
        <f>IFERROR(__xludf.DUMMYFUNCTION("""COMPUTED_VALUE"""),"обладнання та товари для надання послуг")</f>
        <v>обладнання та товари для надання послуг</v>
      </c>
      <c r="C2505" s="16" t="str">
        <f>IFERROR(__xludf.DUMMYFUNCTION("""COMPUTED_VALUE"""),"все для салонів краси")</f>
        <v>все для салонів краси</v>
      </c>
      <c r="D2505" s="16" t="str">
        <f>IFERROR(__xludf.DUMMYFUNCTION("""COMPUTED_VALUE"""),"обладнання та матеріали для косметології")</f>
        <v>обладнання та матеріали для косметології</v>
      </c>
      <c r="E2505" s="16" t="str">
        <f>IFERROR(__xludf.DUMMYFUNCTION("""COMPUTED_VALUE"""),"інструменти і засоби для мезотерапії")</f>
        <v>інструменти і засоби для мезотерапії</v>
      </c>
      <c r="F2505" s="17">
        <f>IFERROR(__xludf.DUMMYFUNCTION("""COMPUTED_VALUE"""),4.0)</f>
        <v>4</v>
      </c>
      <c r="G2505" s="17" t="str">
        <f>IFERROR(__xludf.DUMMYFUNCTION("""COMPUTED_VALUE"""),"283019")</f>
        <v>283019</v>
      </c>
      <c r="H2505" s="17" t="str">
        <f>IFERROR(__xludf.DUMMYFUNCTION("""COMPUTED_VALUE"""),"інструменти і засоби для мезотерапії")</f>
        <v>інструменти і засоби для мезотерапії</v>
      </c>
      <c r="I2505" s="19">
        <f>IFERROR(__xludf.DUMMYFUNCTION("""COMPUTED_VALUE"""),0.0683)</f>
        <v>0.0683</v>
      </c>
      <c r="J2505" s="19">
        <f>IFERROR(__xludf.DUMMYFUNCTION("""COMPUTED_VALUE"""),0.1365)</f>
        <v>0.1365</v>
      </c>
      <c r="K2505" s="19">
        <f>IFERROR(__xludf.DUMMYFUNCTION("""COMPUTED_VALUE"""),0.1706)</f>
        <v>0.1706</v>
      </c>
      <c r="L2505" s="19">
        <f>IFERROR(__xludf.DUMMYFUNCTION("""COMPUTED_VALUE"""),0.2048)</f>
        <v>0.2048</v>
      </c>
      <c r="M2505" s="18">
        <f>IFERROR(__xludf.DUMMYFUNCTION("""COMPUTED_VALUE"""),1.53)</f>
        <v>1.53</v>
      </c>
    </row>
    <row r="2506">
      <c r="A2506" s="13" t="str">
        <f>IFERROR(__xludf.DUMMYFUNCTION("""COMPUTED_VALUE"""),"товари")</f>
        <v>товари</v>
      </c>
      <c r="B2506" s="16" t="str">
        <f>IFERROR(__xludf.DUMMYFUNCTION("""COMPUTED_VALUE"""),"обладнання та товари для надання послуг")</f>
        <v>обладнання та товари для надання послуг</v>
      </c>
      <c r="C2506" s="16" t="str">
        <f>IFERROR(__xludf.DUMMYFUNCTION("""COMPUTED_VALUE"""),"офісна техніка")</f>
        <v>офісна техніка</v>
      </c>
      <c r="D2506" s="16" t="str">
        <f>IFERROR(__xludf.DUMMYFUNCTION("""COMPUTED_VALUE"""),"калькулятори")</f>
        <v>калькулятори</v>
      </c>
      <c r="E2506" s="16" t="str">
        <f>IFERROR(__xludf.DUMMYFUNCTION("""COMPUTED_VALUE"""),"калькулятори")</f>
        <v>калькулятори</v>
      </c>
      <c r="F2506" s="17">
        <f>IFERROR(__xludf.DUMMYFUNCTION("""COMPUTED_VALUE"""),3.0)</f>
        <v>3</v>
      </c>
      <c r="G2506" s="17" t="str">
        <f>IFERROR(__xludf.DUMMYFUNCTION("""COMPUTED_VALUE"""),"501")</f>
        <v>501</v>
      </c>
      <c r="H2506" s="17" t="str">
        <f>IFERROR(__xludf.DUMMYFUNCTION("""COMPUTED_VALUE"""),"калькулятори")</f>
        <v>калькулятори</v>
      </c>
      <c r="I2506" s="19">
        <f>IFERROR(__xludf.DUMMYFUNCTION("""COMPUTED_VALUE"""),0.0783)</f>
        <v>0.0783</v>
      </c>
      <c r="J2506" s="19">
        <f>IFERROR(__xludf.DUMMYFUNCTION("""COMPUTED_VALUE"""),0.1566)</f>
        <v>0.1566</v>
      </c>
      <c r="K2506" s="19">
        <f>IFERROR(__xludf.DUMMYFUNCTION("""COMPUTED_VALUE"""),0.1958)</f>
        <v>0.1958</v>
      </c>
      <c r="L2506" s="19">
        <f>IFERROR(__xludf.DUMMYFUNCTION("""COMPUTED_VALUE"""),0.2349)</f>
        <v>0.2349</v>
      </c>
      <c r="M2506" s="18">
        <f>IFERROR(__xludf.DUMMYFUNCTION("""COMPUTED_VALUE"""),1.26)</f>
        <v>1.26</v>
      </c>
    </row>
    <row r="2507">
      <c r="A2507" s="13" t="str">
        <f>IFERROR(__xludf.DUMMYFUNCTION("""COMPUTED_VALUE"""),"товари")</f>
        <v>товари</v>
      </c>
      <c r="B2507" s="16" t="str">
        <f>IFERROR(__xludf.DUMMYFUNCTION("""COMPUTED_VALUE"""),"обладнання та товари для надання послуг")</f>
        <v>обладнання та товари для надання послуг</v>
      </c>
      <c r="C2507" s="16" t="str">
        <f>IFERROR(__xludf.DUMMYFUNCTION("""COMPUTED_VALUE"""),"обладнання для торгівлі")</f>
        <v>обладнання для торгівлі</v>
      </c>
      <c r="D2507" s="16" t="str">
        <f>IFERROR(__xludf.DUMMYFUNCTION("""COMPUTED_VALUE"""),"касове/прикасове обладнання")</f>
        <v>касове/прикасове обладнання</v>
      </c>
      <c r="E2507" s="16" t="str">
        <f>IFERROR(__xludf.DUMMYFUNCTION("""COMPUTED_VALUE"""),"касові апарати")</f>
        <v>касові апарати</v>
      </c>
      <c r="F2507" s="17">
        <f>IFERROR(__xludf.DUMMYFUNCTION("""COMPUTED_VALUE"""),4.0)</f>
        <v>4</v>
      </c>
      <c r="G2507" s="17" t="str">
        <f>IFERROR(__xludf.DUMMYFUNCTION("""COMPUTED_VALUE"""),"51006")</f>
        <v>51006</v>
      </c>
      <c r="H2507" s="17" t="str">
        <f>IFERROR(__xludf.DUMMYFUNCTION("""COMPUTED_VALUE"""),"касові апарати")</f>
        <v>касові апарати</v>
      </c>
      <c r="I2507" s="19">
        <f>IFERROR(__xludf.DUMMYFUNCTION("""COMPUTED_VALUE"""),0.049)</f>
        <v>0.049</v>
      </c>
      <c r="J2507" s="19">
        <f>IFERROR(__xludf.DUMMYFUNCTION("""COMPUTED_VALUE"""),0.098)</f>
        <v>0.098</v>
      </c>
      <c r="K2507" s="19">
        <f>IFERROR(__xludf.DUMMYFUNCTION("""COMPUTED_VALUE"""),0.1225)</f>
        <v>0.1225</v>
      </c>
      <c r="L2507" s="19">
        <f>IFERROR(__xludf.DUMMYFUNCTION("""COMPUTED_VALUE"""),0.147)</f>
        <v>0.147</v>
      </c>
      <c r="M2507" s="18">
        <f>IFERROR(__xludf.DUMMYFUNCTION("""COMPUTED_VALUE"""),4.43)</f>
        <v>4.43</v>
      </c>
    </row>
    <row r="2508">
      <c r="A2508" s="13" t="str">
        <f>IFERROR(__xludf.DUMMYFUNCTION("""COMPUTED_VALUE"""),"товари")</f>
        <v>товари</v>
      </c>
      <c r="B2508" s="16" t="str">
        <f>IFERROR(__xludf.DUMMYFUNCTION("""COMPUTED_VALUE"""),"обладнання та товари для надання послуг")</f>
        <v>обладнання та товари для надання послуг</v>
      </c>
      <c r="C2508" s="16" t="str">
        <f>IFERROR(__xludf.DUMMYFUNCTION("""COMPUTED_VALUE"""),"обладнання для торгівлі")</f>
        <v>обладнання для торгівлі</v>
      </c>
      <c r="D2508" s="16" t="str">
        <f>IFERROR(__xludf.DUMMYFUNCTION("""COMPUTED_VALUE"""),"касове/прикасове обладнання")</f>
        <v>касове/прикасове обладнання</v>
      </c>
      <c r="E2508" s="16" t="str">
        <f>IFERROR(__xludf.DUMMYFUNCTION("""COMPUTED_VALUE"""),"касові стрічки")</f>
        <v>касові стрічки</v>
      </c>
      <c r="F2508" s="17">
        <f>IFERROR(__xludf.DUMMYFUNCTION("""COMPUTED_VALUE"""),4.0)</f>
        <v>4</v>
      </c>
      <c r="G2508" s="17" t="str">
        <f>IFERROR(__xludf.DUMMYFUNCTION("""COMPUTED_VALUE"""),"282962")</f>
        <v>282962</v>
      </c>
      <c r="H2508" s="17" t="str">
        <f>IFERROR(__xludf.DUMMYFUNCTION("""COMPUTED_VALUE"""),"касові стрічки")</f>
        <v>касові стрічки</v>
      </c>
      <c r="I2508" s="19">
        <f>IFERROR(__xludf.DUMMYFUNCTION("""COMPUTED_VALUE"""),0.0752)</f>
        <v>0.0752</v>
      </c>
      <c r="J2508" s="19">
        <f>IFERROR(__xludf.DUMMYFUNCTION("""COMPUTED_VALUE"""),0.1503)</f>
        <v>0.1503</v>
      </c>
      <c r="K2508" s="19">
        <f>IFERROR(__xludf.DUMMYFUNCTION("""COMPUTED_VALUE"""),0.1879)</f>
        <v>0.1879</v>
      </c>
      <c r="L2508" s="19">
        <f>IFERROR(__xludf.DUMMYFUNCTION("""COMPUTED_VALUE"""),0.2255)</f>
        <v>0.2255</v>
      </c>
      <c r="M2508" s="18">
        <f>IFERROR(__xludf.DUMMYFUNCTION("""COMPUTED_VALUE"""),4.43)</f>
        <v>4.43</v>
      </c>
    </row>
    <row r="2509">
      <c r="A2509" s="13" t="str">
        <f>IFERROR(__xludf.DUMMYFUNCTION("""COMPUTED_VALUE"""),"товари")</f>
        <v>товари</v>
      </c>
      <c r="B2509" s="16" t="str">
        <f>IFERROR(__xludf.DUMMYFUNCTION("""COMPUTED_VALUE"""),"обладнання та товари для надання послуг")</f>
        <v>обладнання та товари для надання послуг</v>
      </c>
      <c r="C2509" s="16" t="str">
        <f>IFERROR(__xludf.DUMMYFUNCTION("""COMPUTED_VALUE"""),"все для салонів краси")</f>
        <v>все для салонів краси</v>
      </c>
      <c r="D2509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509" s="16" t="str">
        <f>IFERROR(__xludf.DUMMYFUNCTION("""COMPUTED_VALUE"""),"кейси та валізи для майстра")</f>
        <v>кейси та валізи для майстра</v>
      </c>
      <c r="F2509" s="17">
        <f>IFERROR(__xludf.DUMMYFUNCTION("""COMPUTED_VALUE"""),4.0)</f>
        <v>4</v>
      </c>
      <c r="G2509" s="17" t="str">
        <f>IFERROR(__xludf.DUMMYFUNCTION("""COMPUTED_VALUE"""),"283082")</f>
        <v>283082</v>
      </c>
      <c r="H2509" s="17" t="str">
        <f>IFERROR(__xludf.DUMMYFUNCTION("""COMPUTED_VALUE"""),"кейси та валізи для майстра")</f>
        <v>кейси та валізи для майстра</v>
      </c>
      <c r="I2509" s="19">
        <f>IFERROR(__xludf.DUMMYFUNCTION("""COMPUTED_VALUE"""),0.0869)</f>
        <v>0.0869</v>
      </c>
      <c r="J2509" s="19">
        <f>IFERROR(__xludf.DUMMYFUNCTION("""COMPUTED_VALUE"""),0.1737)</f>
        <v>0.1737</v>
      </c>
      <c r="K2509" s="19">
        <f>IFERROR(__xludf.DUMMYFUNCTION("""COMPUTED_VALUE"""),0.2171)</f>
        <v>0.2171</v>
      </c>
      <c r="L2509" s="19">
        <f>IFERROR(__xludf.DUMMYFUNCTION("""COMPUTED_VALUE"""),0.2606)</f>
        <v>0.2606</v>
      </c>
      <c r="M2509" s="18">
        <f>IFERROR(__xludf.DUMMYFUNCTION("""COMPUTED_VALUE"""),3.33)</f>
        <v>3.33</v>
      </c>
    </row>
    <row r="2510">
      <c r="A2510" s="13" t="str">
        <f>IFERROR(__xludf.DUMMYFUNCTION("""COMPUTED_VALUE"""),"товари")</f>
        <v>товари</v>
      </c>
      <c r="B2510" s="16" t="str">
        <f>IFERROR(__xludf.DUMMYFUNCTION("""COMPUTED_VALUE"""),"обладнання та товари для надання послуг")</f>
        <v>обладнання та товари для надання послуг</v>
      </c>
      <c r="C2510" s="16" t="str">
        <f>IFERROR(__xludf.DUMMYFUNCTION("""COMPUTED_VALUE"""),"обладнання та матеріали для друкарні")</f>
        <v>обладнання та матеріали для друкарні</v>
      </c>
      <c r="D2510" s="16" t="str">
        <f>IFERROR(__xludf.DUMMYFUNCTION("""COMPUTED_VALUE"""),"технічні засоби управління кольором")</f>
        <v>технічні засоби управління кольором</v>
      </c>
      <c r="E2510" s="16" t="str">
        <f>IFERROR(__xludf.DUMMYFUNCTION("""COMPUTED_VALUE"""),"колірні довідники")</f>
        <v>колірні довідники</v>
      </c>
      <c r="F2510" s="17">
        <f>IFERROR(__xludf.DUMMYFUNCTION("""COMPUTED_VALUE"""),4.0)</f>
        <v>4</v>
      </c>
      <c r="G2510" s="17" t="str">
        <f>IFERROR(__xludf.DUMMYFUNCTION("""COMPUTED_VALUE"""),"6370608")</f>
        <v>6370608</v>
      </c>
      <c r="H2510" s="17" t="str">
        <f>IFERROR(__xludf.DUMMYFUNCTION("""COMPUTED_VALUE"""),"колірні довідники")</f>
        <v>колірні довідники</v>
      </c>
      <c r="I2510" s="19">
        <f>IFERROR(__xludf.DUMMYFUNCTION("""COMPUTED_VALUE"""),0.0383)</f>
        <v>0.0383</v>
      </c>
      <c r="J2510" s="19">
        <f>IFERROR(__xludf.DUMMYFUNCTION("""COMPUTED_VALUE"""),0.0766)</f>
        <v>0.0766</v>
      </c>
      <c r="K2510" s="19">
        <f>IFERROR(__xludf.DUMMYFUNCTION("""COMPUTED_VALUE"""),0.0958)</f>
        <v>0.0958</v>
      </c>
      <c r="L2510" s="19">
        <f>IFERROR(__xludf.DUMMYFUNCTION("""COMPUTED_VALUE"""),0.1149)</f>
        <v>0.1149</v>
      </c>
      <c r="M2510" s="18">
        <f>IFERROR(__xludf.DUMMYFUNCTION("""COMPUTED_VALUE"""),1.71)</f>
        <v>1.71</v>
      </c>
    </row>
    <row r="2511">
      <c r="A2511" s="13" t="str">
        <f>IFERROR(__xludf.DUMMYFUNCTION("""COMPUTED_VALUE"""),"товари")</f>
        <v>товари</v>
      </c>
      <c r="B2511" s="16" t="str">
        <f>IFERROR(__xludf.DUMMYFUNCTION("""COMPUTED_VALUE"""),"обладнання та товари для надання послуг")</f>
        <v>обладнання та товари для надання послуг</v>
      </c>
      <c r="C2511" s="16" t="str">
        <f>IFERROR(__xludf.DUMMYFUNCTION("""COMPUTED_VALUE"""),"комерційні меблі")</f>
        <v>комерційні меблі</v>
      </c>
      <c r="D2511" s="16" t="str">
        <f>IFERROR(__xludf.DUMMYFUNCTION("""COMPUTED_VALUE"""),"комерційні меблі, загальне")</f>
        <v>комерційні меблі, загальне</v>
      </c>
      <c r="E2511" s="16" t="str">
        <f>IFERROR(__xludf.DUMMYFUNCTION("""COMPUTED_VALUE"""),"комерційні меблі, загальне")</f>
        <v>комерційні меблі, загальне</v>
      </c>
      <c r="F2511" s="17">
        <f>IFERROR(__xludf.DUMMYFUNCTION("""COMPUTED_VALUE"""),3.0)</f>
        <v>3</v>
      </c>
      <c r="G2511" s="17" t="str">
        <f>IFERROR(__xludf.DUMMYFUNCTION("""COMPUTED_VALUE"""),"370199")</f>
        <v>370199</v>
      </c>
      <c r="H2511" s="17" t="str">
        <f>IFERROR(__xludf.DUMMYFUNCTION("""COMPUTED_VALUE"""),"комерційні меблі, загальне")</f>
        <v>комерційні меблі, загальне</v>
      </c>
      <c r="I2511" s="19">
        <f>IFERROR(__xludf.DUMMYFUNCTION("""COMPUTED_VALUE"""),0.125)</f>
        <v>0.125</v>
      </c>
      <c r="J2511" s="19">
        <f>IFERROR(__xludf.DUMMYFUNCTION("""COMPUTED_VALUE"""),0.25)</f>
        <v>0.25</v>
      </c>
      <c r="K2511" s="19">
        <f>IFERROR(__xludf.DUMMYFUNCTION("""COMPUTED_VALUE"""),0.3125)</f>
        <v>0.3125</v>
      </c>
      <c r="L2511" s="19">
        <f>IFERROR(__xludf.DUMMYFUNCTION("""COMPUTED_VALUE"""),0.375)</f>
        <v>0.375</v>
      </c>
      <c r="M2511" s="18">
        <f>IFERROR(__xludf.DUMMYFUNCTION("""COMPUTED_VALUE"""),4.33)</f>
        <v>4.33</v>
      </c>
    </row>
    <row r="2512">
      <c r="A2512" s="13" t="str">
        <f>IFERROR(__xludf.DUMMYFUNCTION("""COMPUTED_VALUE"""),"товари")</f>
        <v>товари</v>
      </c>
      <c r="B2512" s="16" t="str">
        <f>IFERROR(__xludf.DUMMYFUNCTION("""COMPUTED_VALUE"""),"обладнання та товари для надання послуг")</f>
        <v>обладнання та товари для надання послуг</v>
      </c>
      <c r="C2512" s="16" t="str">
        <f>IFERROR(__xludf.DUMMYFUNCTION("""COMPUTED_VALUE"""),"комерційні меблі")</f>
        <v>комерційні меблі</v>
      </c>
      <c r="D2512" s="16" t="str">
        <f>IFERROR(__xludf.DUMMYFUNCTION("""COMPUTED_VALUE"""),"меблі для horeca")</f>
        <v>меблі для horeca</v>
      </c>
      <c r="E2512" s="16" t="str">
        <f>IFERROR(__xludf.DUMMYFUNCTION("""COMPUTED_VALUE"""),"комплекти меблів horeca&amp;fast-food")</f>
        <v>комплекти меблів horeca&amp;fast-food</v>
      </c>
      <c r="F2512" s="17">
        <f>IFERROR(__xludf.DUMMYFUNCTION("""COMPUTED_VALUE"""),4.0)</f>
        <v>4</v>
      </c>
      <c r="G2512" s="17" t="str">
        <f>IFERROR(__xludf.DUMMYFUNCTION("""COMPUTED_VALUE"""),"15030104")</f>
        <v>15030104</v>
      </c>
      <c r="H2512" s="17" t="str">
        <f>IFERROR(__xludf.DUMMYFUNCTION("""COMPUTED_VALUE"""),"комплекти меблів horeca&amp;fast-food")</f>
        <v>комплекти меблів horeca&amp;fast-food</v>
      </c>
      <c r="I2512" s="19">
        <f>IFERROR(__xludf.DUMMYFUNCTION("""COMPUTED_VALUE"""),0.0429)</f>
        <v>0.0429</v>
      </c>
      <c r="J2512" s="19">
        <f>IFERROR(__xludf.DUMMYFUNCTION("""COMPUTED_VALUE"""),0.0858)</f>
        <v>0.0858</v>
      </c>
      <c r="K2512" s="19">
        <f>IFERROR(__xludf.DUMMYFUNCTION("""COMPUTED_VALUE"""),0.1073)</f>
        <v>0.1073</v>
      </c>
      <c r="L2512" s="19">
        <f>IFERROR(__xludf.DUMMYFUNCTION("""COMPUTED_VALUE"""),0.1287)</f>
        <v>0.1287</v>
      </c>
      <c r="M2512" s="18">
        <f>IFERROR(__xludf.DUMMYFUNCTION("""COMPUTED_VALUE"""),4.13)</f>
        <v>4.13</v>
      </c>
    </row>
    <row r="2513">
      <c r="A2513" s="13" t="str">
        <f>IFERROR(__xludf.DUMMYFUNCTION("""COMPUTED_VALUE"""),"товари")</f>
        <v>товари</v>
      </c>
      <c r="B2513" s="16" t="str">
        <f>IFERROR(__xludf.DUMMYFUNCTION("""COMPUTED_VALUE"""),"обладнання та товари для надання послуг")</f>
        <v>обладнання та товари для надання послуг</v>
      </c>
      <c r="C2513" s="16" t="str">
        <f>IFERROR(__xludf.DUMMYFUNCTION("""COMPUTED_VALUE"""),"обладнання для автосервісу")</f>
        <v>обладнання для автосервісу</v>
      </c>
      <c r="D2513" s="16" t="str">
        <f>IFERROR(__xludf.DUMMYFUNCTION("""COMPUTED_VALUE"""),"обладнання для автомийок")</f>
        <v>обладнання для автомийок</v>
      </c>
      <c r="E2513" s="16" t="str">
        <f>IFERROR(__xludf.DUMMYFUNCTION("""COMPUTED_VALUE"""),"комплектуючі для апаратів високого тиску")</f>
        <v>комплектуючі для апаратів високого тиску</v>
      </c>
      <c r="F2513" s="17">
        <f>IFERROR(__xludf.DUMMYFUNCTION("""COMPUTED_VALUE"""),4.0)</f>
        <v>4</v>
      </c>
      <c r="G2513" s="17">
        <f>IFERROR(__xludf.DUMMYFUNCTION("""COMPUTED_VALUE"""),121111.0)</f>
        <v>121111</v>
      </c>
      <c r="H2513" s="17" t="str">
        <f>IFERROR(__xludf.DUMMYFUNCTION("""COMPUTED_VALUE"""),"комплектуючі для апаратів високого тиску")</f>
        <v>комплектуючі для апаратів високого тиску</v>
      </c>
      <c r="I2513" s="19">
        <f>IFERROR(__xludf.DUMMYFUNCTION("""COMPUTED_VALUE"""),0.0717)</f>
        <v>0.0717</v>
      </c>
      <c r="J2513" s="19">
        <f>IFERROR(__xludf.DUMMYFUNCTION("""COMPUTED_VALUE"""),0.1434)</f>
        <v>0.1434</v>
      </c>
      <c r="K2513" s="19">
        <f>IFERROR(__xludf.DUMMYFUNCTION("""COMPUTED_VALUE"""),0.1793)</f>
        <v>0.1793</v>
      </c>
      <c r="L2513" s="19">
        <f>IFERROR(__xludf.DUMMYFUNCTION("""COMPUTED_VALUE"""),0.2151)</f>
        <v>0.2151</v>
      </c>
      <c r="M2513" s="18">
        <f>IFERROR(__xludf.DUMMYFUNCTION("""COMPUTED_VALUE"""),3.15)</f>
        <v>3.15</v>
      </c>
    </row>
    <row r="2514">
      <c r="A2514" s="13" t="str">
        <f>IFERROR(__xludf.DUMMYFUNCTION("""COMPUTED_VALUE"""),"товари")</f>
        <v>товари</v>
      </c>
      <c r="B2514" s="16" t="str">
        <f>IFERROR(__xludf.DUMMYFUNCTION("""COMPUTED_VALUE"""),"обладнання та товари для надання послуг")</f>
        <v>обладнання та товари для надання послуг</v>
      </c>
      <c r="C2514" s="16" t="str">
        <f>IFERROR(__xludf.DUMMYFUNCTION("""COMPUTED_VALUE"""),"обладнання для автосервісу")</f>
        <v>обладнання для автосервісу</v>
      </c>
      <c r="D2514" s="16" t="str">
        <f>IFERROR(__xludf.DUMMYFUNCTION("""COMPUTED_VALUE"""),"шиномонтажне обладнання")</f>
        <v>шиномонтажне обладнання</v>
      </c>
      <c r="E2514" s="16" t="str">
        <f>IFERROR(__xludf.DUMMYFUNCTION("""COMPUTED_VALUE"""),"комплектуючі для шиномонтажу")</f>
        <v>комплектуючі для шиномонтажу</v>
      </c>
      <c r="F2514" s="17">
        <f>IFERROR(__xludf.DUMMYFUNCTION("""COMPUTED_VALUE"""),4.0)</f>
        <v>4</v>
      </c>
      <c r="G2514" s="17" t="str">
        <f>IFERROR(__xludf.DUMMYFUNCTION("""COMPUTED_VALUE"""),"120208")</f>
        <v>120208</v>
      </c>
      <c r="H2514" s="17" t="str">
        <f>IFERROR(__xludf.DUMMYFUNCTION("""COMPUTED_VALUE"""),"комплектуючі для шиномонтажу")</f>
        <v>комплектуючі для шиномонтажу</v>
      </c>
      <c r="I2514" s="19">
        <f>IFERROR(__xludf.DUMMYFUNCTION("""COMPUTED_VALUE"""),0.0737)</f>
        <v>0.0737</v>
      </c>
      <c r="J2514" s="19">
        <f>IFERROR(__xludf.DUMMYFUNCTION("""COMPUTED_VALUE"""),0.1474)</f>
        <v>0.1474</v>
      </c>
      <c r="K2514" s="19">
        <f>IFERROR(__xludf.DUMMYFUNCTION("""COMPUTED_VALUE"""),0.1843)</f>
        <v>0.1843</v>
      </c>
      <c r="L2514" s="19">
        <f>IFERROR(__xludf.DUMMYFUNCTION("""COMPUTED_VALUE"""),0.2211)</f>
        <v>0.2211</v>
      </c>
      <c r="M2514" s="18">
        <f>IFERROR(__xludf.DUMMYFUNCTION("""COMPUTED_VALUE"""),3.24)</f>
        <v>3.24</v>
      </c>
    </row>
    <row r="2515">
      <c r="A2515" s="13" t="str">
        <f>IFERROR(__xludf.DUMMYFUNCTION("""COMPUTED_VALUE"""),"товари")</f>
        <v>товари</v>
      </c>
      <c r="B2515" s="16" t="str">
        <f>IFERROR(__xludf.DUMMYFUNCTION("""COMPUTED_VALUE"""),"обладнання та товари для надання послуг")</f>
        <v>обладнання та товари для надання послуг</v>
      </c>
      <c r="C2515" s="16" t="str">
        <f>IFERROR(__xludf.DUMMYFUNCTION("""COMPUTED_VALUE"""),"обладнання для автосервісу")</f>
        <v>обладнання для автосервісу</v>
      </c>
      <c r="D2515" s="16" t="str">
        <f>IFERROR(__xludf.DUMMYFUNCTION("""COMPUTED_VALUE"""),"обладнання для автомийок")</f>
        <v>обладнання для автомийок</v>
      </c>
      <c r="E2515" s="16" t="str">
        <f>IFERROR(__xludf.DUMMYFUNCTION("""COMPUTED_VALUE"""),"комплектуючі та аксесуари для автомийок")</f>
        <v>комплектуючі та аксесуари для автомийок</v>
      </c>
      <c r="F2515" s="17">
        <f>IFERROR(__xludf.DUMMYFUNCTION("""COMPUTED_VALUE"""),4.0)</f>
        <v>4</v>
      </c>
      <c r="G2515" s="17">
        <f>IFERROR(__xludf.DUMMYFUNCTION("""COMPUTED_VALUE"""),1.2111404E7)</f>
        <v>12111404</v>
      </c>
      <c r="H2515" s="17" t="str">
        <f>IFERROR(__xludf.DUMMYFUNCTION("""COMPUTED_VALUE"""),"комплектуючі та аксесуари для автомийок")</f>
        <v>комплектуючі та аксесуари для автомийок</v>
      </c>
      <c r="I2515" s="19">
        <f>IFERROR(__xludf.DUMMYFUNCTION("""COMPUTED_VALUE"""),0.0717)</f>
        <v>0.0717</v>
      </c>
      <c r="J2515" s="19">
        <f>IFERROR(__xludf.DUMMYFUNCTION("""COMPUTED_VALUE"""),0.1434)</f>
        <v>0.1434</v>
      </c>
      <c r="K2515" s="19">
        <f>IFERROR(__xludf.DUMMYFUNCTION("""COMPUTED_VALUE"""),0.1793)</f>
        <v>0.1793</v>
      </c>
      <c r="L2515" s="19">
        <f>IFERROR(__xludf.DUMMYFUNCTION("""COMPUTED_VALUE"""),0.2151)</f>
        <v>0.2151</v>
      </c>
      <c r="M2515" s="18">
        <f>IFERROR(__xludf.DUMMYFUNCTION("""COMPUTED_VALUE"""),3.15)</f>
        <v>3.15</v>
      </c>
    </row>
    <row r="2516">
      <c r="A2516" s="13" t="str">
        <f>IFERROR(__xludf.DUMMYFUNCTION("""COMPUTED_VALUE"""),"товари")</f>
        <v>товари</v>
      </c>
      <c r="B2516" s="16" t="str">
        <f>IFERROR(__xludf.DUMMYFUNCTION("""COMPUTED_VALUE"""),"обладнання та товари для надання послуг")</f>
        <v>обладнання та товари для надання послуг</v>
      </c>
      <c r="C2516" s="16" t="str">
        <f>IFERROR(__xludf.DUMMYFUNCTION("""COMPUTED_VALUE"""),"вендінгове і розважальне обладнання")</f>
        <v>вендінгове і розважальне обладнання</v>
      </c>
      <c r="D2516" s="16" t="str">
        <f>IFERROR(__xludf.DUMMYFUNCTION("""COMPUTED_VALUE"""),"обладнання для заходів і клубів")</f>
        <v>обладнання для заходів і клубів</v>
      </c>
      <c r="E2516" s="16" t="str">
        <f>IFERROR(__xludf.DUMMYFUNCTION("""COMPUTED_VALUE"""),"комплектуючі та аксесуари до концертного і клубному обладнання")</f>
        <v>комплектуючі та аксесуари до концертного і клубному обладнання</v>
      </c>
      <c r="F2516" s="17">
        <f>IFERROR(__xludf.DUMMYFUNCTION("""COMPUTED_VALUE"""),4.0)</f>
        <v>4</v>
      </c>
      <c r="G2516" s="17" t="str">
        <f>IFERROR(__xludf.DUMMYFUNCTION("""COMPUTED_VALUE"""),"283042")</f>
        <v>283042</v>
      </c>
      <c r="H2516" s="17" t="str">
        <f>IFERROR(__xludf.DUMMYFUNCTION("""COMPUTED_VALUE"""),"комплектуючі та аксесуари до концертного і клубному обладнання")</f>
        <v>комплектуючі та аксесуари до концертного і клубному обладнання</v>
      </c>
      <c r="I2516" s="19">
        <f>IFERROR(__xludf.DUMMYFUNCTION("""COMPUTED_VALUE"""),0.0697)</f>
        <v>0.0697</v>
      </c>
      <c r="J2516" s="19">
        <f>IFERROR(__xludf.DUMMYFUNCTION("""COMPUTED_VALUE"""),0.1394)</f>
        <v>0.1394</v>
      </c>
      <c r="K2516" s="19">
        <f>IFERROR(__xludf.DUMMYFUNCTION("""COMPUTED_VALUE"""),0.1743)</f>
        <v>0.1743</v>
      </c>
      <c r="L2516" s="19">
        <f>IFERROR(__xludf.DUMMYFUNCTION("""COMPUTED_VALUE"""),0.2091)</f>
        <v>0.2091</v>
      </c>
      <c r="M2516" s="18">
        <f>IFERROR(__xludf.DUMMYFUNCTION("""COMPUTED_VALUE"""),2.61)</f>
        <v>2.61</v>
      </c>
    </row>
    <row r="2517">
      <c r="A2517" s="13" t="str">
        <f>IFERROR(__xludf.DUMMYFUNCTION("""COMPUTED_VALUE"""),"товари")</f>
        <v>товари</v>
      </c>
      <c r="B2517" s="16" t="str">
        <f>IFERROR(__xludf.DUMMYFUNCTION("""COMPUTED_VALUE"""),"обладнання та товари для надання послуг")</f>
        <v>обладнання та товари для надання послуг</v>
      </c>
      <c r="C2517" s="16" t="str">
        <f>IFERROR(__xludf.DUMMYFUNCTION("""COMPUTED_VALUE"""),"обладнання для автосервісу")</f>
        <v>обладнання для автосервісу</v>
      </c>
      <c r="D2517" s="16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2517" s="16" t="str">
        <f>IFERROR(__xludf.DUMMYFUNCTION("""COMPUTED_VALUE"""),"компресометри і масломіри автомобільні")</f>
        <v>компресометри і масломіри автомобільні</v>
      </c>
      <c r="F2517" s="17">
        <f>IFERROR(__xludf.DUMMYFUNCTION("""COMPUTED_VALUE"""),4.0)</f>
        <v>4</v>
      </c>
      <c r="G2517" s="17" t="str">
        <f>IFERROR(__xludf.DUMMYFUNCTION("""COMPUTED_VALUE"""),"12110614")</f>
        <v>12110614</v>
      </c>
      <c r="H2517" s="17" t="str">
        <f>IFERROR(__xludf.DUMMYFUNCTION("""COMPUTED_VALUE"""),"компресометри і масломіри автомобільні")</f>
        <v>компресометри і масломіри автомобільні</v>
      </c>
      <c r="I2517" s="19">
        <f>IFERROR(__xludf.DUMMYFUNCTION("""COMPUTED_VALUE"""),0.0756)</f>
        <v>0.0756</v>
      </c>
      <c r="J2517" s="19">
        <f>IFERROR(__xludf.DUMMYFUNCTION("""COMPUTED_VALUE"""),0.1512)</f>
        <v>0.1512</v>
      </c>
      <c r="K2517" s="19">
        <f>IFERROR(__xludf.DUMMYFUNCTION("""COMPUTED_VALUE"""),0.189)</f>
        <v>0.189</v>
      </c>
      <c r="L2517" s="19">
        <f>IFERROR(__xludf.DUMMYFUNCTION("""COMPUTED_VALUE"""),0.2268)</f>
        <v>0.2268</v>
      </c>
      <c r="M2517" s="18">
        <f>IFERROR(__xludf.DUMMYFUNCTION("""COMPUTED_VALUE"""),3.9)</f>
        <v>3.9</v>
      </c>
    </row>
    <row r="2518">
      <c r="A2518" s="13" t="str">
        <f>IFERROR(__xludf.DUMMYFUNCTION("""COMPUTED_VALUE"""),"товари")</f>
        <v>товари</v>
      </c>
      <c r="B2518" s="16" t="str">
        <f>IFERROR(__xludf.DUMMYFUNCTION("""COMPUTED_VALUE"""),"обладнання та товари для надання послуг")</f>
        <v>обладнання та товари для надання послуг</v>
      </c>
      <c r="C2518" s="16" t="str">
        <f>IFERROR(__xludf.DUMMYFUNCTION("""COMPUTED_VALUE"""),"професійне аудіо-, відео-, фото обладнання")</f>
        <v>професійне аудіо-, відео-, фото обладнання</v>
      </c>
      <c r="D2518" s="16" t="str">
        <f>IFERROR(__xludf.DUMMYFUNCTION("""COMPUTED_VALUE"""),"комутатори сигналу")</f>
        <v>комутатори сигналу</v>
      </c>
      <c r="E2518" s="16" t="str">
        <f>IFERROR(__xludf.DUMMYFUNCTION("""COMPUTED_VALUE"""),"комутатори сигналу")</f>
        <v>комутатори сигналу</v>
      </c>
      <c r="F2518" s="17">
        <f>IFERROR(__xludf.DUMMYFUNCTION("""COMPUTED_VALUE"""),3.0)</f>
        <v>3</v>
      </c>
      <c r="G2518" s="17" t="str">
        <f>IFERROR(__xludf.DUMMYFUNCTION("""COMPUTED_VALUE"""),"6371808")</f>
        <v>6371808</v>
      </c>
      <c r="H2518" s="17" t="str">
        <f>IFERROR(__xludf.DUMMYFUNCTION("""COMPUTED_VALUE"""),"комутатори сигналу")</f>
        <v>комутатори сигналу</v>
      </c>
      <c r="I2518" s="19">
        <f>IFERROR(__xludf.DUMMYFUNCTION("""COMPUTED_VALUE"""),0.0609)</f>
        <v>0.0609</v>
      </c>
      <c r="J2518" s="19">
        <f>IFERROR(__xludf.DUMMYFUNCTION("""COMPUTED_VALUE"""),0.1218)</f>
        <v>0.1218</v>
      </c>
      <c r="K2518" s="19">
        <f>IFERROR(__xludf.DUMMYFUNCTION("""COMPUTED_VALUE"""),0.1523)</f>
        <v>0.1523</v>
      </c>
      <c r="L2518" s="19">
        <f>IFERROR(__xludf.DUMMYFUNCTION("""COMPUTED_VALUE"""),0.1827)</f>
        <v>0.1827</v>
      </c>
      <c r="M2518" s="18">
        <f>IFERROR(__xludf.DUMMYFUNCTION("""COMPUTED_VALUE"""),1.44)</f>
        <v>1.44</v>
      </c>
    </row>
    <row r="2519">
      <c r="A2519" s="13" t="str">
        <f>IFERROR(__xludf.DUMMYFUNCTION("""COMPUTED_VALUE"""),"товари")</f>
        <v>товари</v>
      </c>
      <c r="B2519" s="16" t="str">
        <f>IFERROR(__xludf.DUMMYFUNCTION("""COMPUTED_VALUE"""),"обладнання та товари для надання послуг")</f>
        <v>обладнання та товари для надання послуг</v>
      </c>
      <c r="C2519" s="16" t="str">
        <f>IFERROR(__xludf.DUMMYFUNCTION("""COMPUTED_VALUE"""),"офісна техніка")</f>
        <v>офісна техніка</v>
      </c>
      <c r="D2519" s="16" t="str">
        <f>IFERROR(__xludf.DUMMYFUNCTION("""COMPUTED_VALUE"""),"копіювальні апарати")</f>
        <v>копіювальні апарати</v>
      </c>
      <c r="E2519" s="16" t="str">
        <f>IFERROR(__xludf.DUMMYFUNCTION("""COMPUTED_VALUE"""),"копіювальні апарати")</f>
        <v>копіювальні апарати</v>
      </c>
      <c r="F2519" s="17">
        <f>IFERROR(__xludf.DUMMYFUNCTION("""COMPUTED_VALUE"""),3.0)</f>
        <v>3</v>
      </c>
      <c r="G2519" s="17" t="str">
        <f>IFERROR(__xludf.DUMMYFUNCTION("""COMPUTED_VALUE"""),"2104")</f>
        <v>2104</v>
      </c>
      <c r="H2519" s="17" t="str">
        <f>IFERROR(__xludf.DUMMYFUNCTION("""COMPUTED_VALUE"""),"копіювальні апарати")</f>
        <v>копіювальні апарати</v>
      </c>
      <c r="I2519" s="19">
        <f>IFERROR(__xludf.DUMMYFUNCTION("""COMPUTED_VALUE"""),0.0799)</f>
        <v>0.0799</v>
      </c>
      <c r="J2519" s="19">
        <f>IFERROR(__xludf.DUMMYFUNCTION("""COMPUTED_VALUE"""),0.1598)</f>
        <v>0.1598</v>
      </c>
      <c r="K2519" s="19">
        <f>IFERROR(__xludf.DUMMYFUNCTION("""COMPUTED_VALUE"""),0.1998)</f>
        <v>0.1998</v>
      </c>
      <c r="L2519" s="19">
        <f>IFERROR(__xludf.DUMMYFUNCTION("""COMPUTED_VALUE"""),0.2397)</f>
        <v>0.2397</v>
      </c>
      <c r="M2519" s="18">
        <f>IFERROR(__xludf.DUMMYFUNCTION("""COMPUTED_VALUE"""),1.26)</f>
        <v>1.26</v>
      </c>
    </row>
    <row r="2520">
      <c r="A2520" s="13" t="str">
        <f>IFERROR(__xludf.DUMMYFUNCTION("""COMPUTED_VALUE"""),"товари")</f>
        <v>товари</v>
      </c>
      <c r="B2520" s="16" t="str">
        <f>IFERROR(__xludf.DUMMYFUNCTION("""COMPUTED_VALUE"""),"обладнання та товари для надання послуг")</f>
        <v>обладнання та товари для надання послуг</v>
      </c>
      <c r="C2520" s="16" t="str">
        <f>IFERROR(__xludf.DUMMYFUNCTION("""COMPUTED_VALUE"""),"все для салонів краси")</f>
        <v>все для салонів краси</v>
      </c>
      <c r="D2520" s="16" t="str">
        <f>IFERROR(__xludf.DUMMYFUNCTION("""COMPUTED_VALUE"""),"обладнання та матеріали для косметології")</f>
        <v>обладнання та матеріали для косметології</v>
      </c>
      <c r="E2520" s="16" t="str">
        <f>IFERROR(__xludf.DUMMYFUNCTION("""COMPUTED_VALUE"""),"косметологічні апарати для салонів краси")</f>
        <v>косметологічні апарати для салонів краси</v>
      </c>
      <c r="F2520" s="17">
        <f>IFERROR(__xludf.DUMMYFUNCTION("""COMPUTED_VALUE"""),4.0)</f>
        <v>4</v>
      </c>
      <c r="G2520" s="17" t="str">
        <f>IFERROR(__xludf.DUMMYFUNCTION("""COMPUTED_VALUE"""),"282991")</f>
        <v>282991</v>
      </c>
      <c r="H2520" s="17" t="str">
        <f>IFERROR(__xludf.DUMMYFUNCTION("""COMPUTED_VALUE"""),"косметологічні апарати для салонів краси")</f>
        <v>косметологічні апарати для салонів краси</v>
      </c>
      <c r="I2520" s="19">
        <f>IFERROR(__xludf.DUMMYFUNCTION("""COMPUTED_VALUE"""),0.0683)</f>
        <v>0.0683</v>
      </c>
      <c r="J2520" s="19">
        <f>IFERROR(__xludf.DUMMYFUNCTION("""COMPUTED_VALUE"""),0.1365)</f>
        <v>0.1365</v>
      </c>
      <c r="K2520" s="19">
        <f>IFERROR(__xludf.DUMMYFUNCTION("""COMPUTED_VALUE"""),0.1706)</f>
        <v>0.1706</v>
      </c>
      <c r="L2520" s="19">
        <f>IFERROR(__xludf.DUMMYFUNCTION("""COMPUTED_VALUE"""),0.2048)</f>
        <v>0.2048</v>
      </c>
      <c r="M2520" s="18">
        <f>IFERROR(__xludf.DUMMYFUNCTION("""COMPUTED_VALUE"""),1.53)</f>
        <v>1.53</v>
      </c>
    </row>
    <row r="2521">
      <c r="A2521" s="13" t="str">
        <f>IFERROR(__xludf.DUMMYFUNCTION("""COMPUTED_VALUE"""),"товари")</f>
        <v>товари</v>
      </c>
      <c r="B2521" s="16" t="str">
        <f>IFERROR(__xludf.DUMMYFUNCTION("""COMPUTED_VALUE"""),"обладнання та товари для надання послуг")</f>
        <v>обладнання та товари для надання послуг</v>
      </c>
      <c r="C2521" s="16" t="str">
        <f>IFERROR(__xludf.DUMMYFUNCTION("""COMPUTED_VALUE"""),"horeca&amp;fast-food")</f>
        <v>horeca&amp;fast-food</v>
      </c>
      <c r="D2521" s="16" t="str">
        <f>IFERROR(__xludf.DUMMYFUNCTION("""COMPUTED_VALUE"""),"електромеханічне обладнання horeca&amp;fast-food")</f>
        <v>електромеханічне обладнання horeca&amp;fast-food</v>
      </c>
      <c r="E2521" s="16" t="str">
        <f>IFERROR(__xludf.DUMMYFUNCTION("""COMPUTED_VALUE"""),"котлетні автомати")</f>
        <v>котлетні автомати</v>
      </c>
      <c r="F2521" s="17">
        <f>IFERROR(__xludf.DUMMYFUNCTION("""COMPUTED_VALUE"""),4.0)</f>
        <v>4</v>
      </c>
      <c r="G2521" s="17" t="str">
        <f>IFERROR(__xludf.DUMMYFUNCTION("""COMPUTED_VALUE"""),"240658")</f>
        <v>240658</v>
      </c>
      <c r="H2521" s="17" t="str">
        <f>IFERROR(__xludf.DUMMYFUNCTION("""COMPUTED_VALUE"""),"котлетні автомати")</f>
        <v>котлетні автомати</v>
      </c>
      <c r="I2521" s="19">
        <f>IFERROR(__xludf.DUMMYFUNCTION("""COMPUTED_VALUE"""),0.0622)</f>
        <v>0.0622</v>
      </c>
      <c r="J2521" s="19">
        <f>IFERROR(__xludf.DUMMYFUNCTION("""COMPUTED_VALUE"""),0.1243)</f>
        <v>0.1243</v>
      </c>
      <c r="K2521" s="19">
        <f>IFERROR(__xludf.DUMMYFUNCTION("""COMPUTED_VALUE"""),0.1554)</f>
        <v>0.1554</v>
      </c>
      <c r="L2521" s="19">
        <f>IFERROR(__xludf.DUMMYFUNCTION("""COMPUTED_VALUE"""),0.1865)</f>
        <v>0.1865</v>
      </c>
      <c r="M2521" s="18">
        <f>IFERROR(__xludf.DUMMYFUNCTION("""COMPUTED_VALUE"""),3.6)</f>
        <v>3.6</v>
      </c>
    </row>
    <row r="2522">
      <c r="A2522" s="13" t="str">
        <f>IFERROR(__xludf.DUMMYFUNCTION("""COMPUTED_VALUE"""),"товари")</f>
        <v>товари</v>
      </c>
      <c r="B2522" s="16" t="str">
        <f>IFERROR(__xludf.DUMMYFUNCTION("""COMPUTED_VALUE"""),"обладнання та товари для надання послуг")</f>
        <v>обладнання та товари для надання послуг</v>
      </c>
      <c r="C2522" s="16" t="str">
        <f>IFERROR(__xludf.DUMMYFUNCTION("""COMPUTED_VALUE"""),"релігійні і езотеричні товари")</f>
        <v>релігійні і езотеричні товари</v>
      </c>
      <c r="D2522" s="16" t="str">
        <f>IFERROR(__xludf.DUMMYFUNCTION("""COMPUTED_VALUE"""),"крижми і аксесуари для хрещення")</f>
        <v>крижми і аксесуари для хрещення</v>
      </c>
      <c r="E2522" s="16" t="str">
        <f>IFERROR(__xludf.DUMMYFUNCTION("""COMPUTED_VALUE"""),"крижми і аксесуари для хрещення")</f>
        <v>крижми і аксесуари для хрещення</v>
      </c>
      <c r="F2522" s="17">
        <f>IFERROR(__xludf.DUMMYFUNCTION("""COMPUTED_VALUE"""),3.0)</f>
        <v>3</v>
      </c>
      <c r="G2522" s="17" t="str">
        <f>IFERROR(__xludf.DUMMYFUNCTION("""COMPUTED_VALUE"""),"40307")</f>
        <v>40307</v>
      </c>
      <c r="H2522" s="17" t="str">
        <f>IFERROR(__xludf.DUMMYFUNCTION("""COMPUTED_VALUE"""),"крижми і аксесуари для хрещення")</f>
        <v>крижми і аксесуари для хрещення</v>
      </c>
      <c r="I2522" s="19">
        <f>IFERROR(__xludf.DUMMYFUNCTION("""COMPUTED_VALUE"""),0.0986)</f>
        <v>0.0986</v>
      </c>
      <c r="J2522" s="19">
        <f>IFERROR(__xludf.DUMMYFUNCTION("""COMPUTED_VALUE"""),0.1972)</f>
        <v>0.1972</v>
      </c>
      <c r="K2522" s="19">
        <f>IFERROR(__xludf.DUMMYFUNCTION("""COMPUTED_VALUE"""),0.2465)</f>
        <v>0.2465</v>
      </c>
      <c r="L2522" s="19">
        <f>IFERROR(__xludf.DUMMYFUNCTION("""COMPUTED_VALUE"""),0.2958)</f>
        <v>0.2958</v>
      </c>
      <c r="M2522" s="18">
        <f>IFERROR(__xludf.DUMMYFUNCTION("""COMPUTED_VALUE"""),2.16)</f>
        <v>2.16</v>
      </c>
    </row>
    <row r="2523">
      <c r="A2523" s="13" t="str">
        <f>IFERROR(__xludf.DUMMYFUNCTION("""COMPUTED_VALUE"""),"товари")</f>
        <v>товари</v>
      </c>
      <c r="B2523" s="16" t="str">
        <f>IFERROR(__xludf.DUMMYFUNCTION("""COMPUTED_VALUE"""),"обладнання та товари для надання послуг")</f>
        <v>обладнання та товари для надання послуг</v>
      </c>
      <c r="C2523" s="16" t="str">
        <f>IFERROR(__xludf.DUMMYFUNCTION("""COMPUTED_VALUE"""),"комерційні меблі")</f>
        <v>комерційні меблі</v>
      </c>
      <c r="D2523" s="16" t="str">
        <f>IFERROR(__xludf.DUMMYFUNCTION("""COMPUTED_VALUE"""),"меблі для салонів краси")</f>
        <v>меблі для салонів краси</v>
      </c>
      <c r="E2523" s="16" t="str">
        <f>IFERROR(__xludf.DUMMYFUNCTION("""COMPUTED_VALUE"""),"крісла і пуфи для відвідувачів")</f>
        <v>крісла і пуфи для відвідувачів</v>
      </c>
      <c r="F2523" s="17">
        <f>IFERROR(__xludf.DUMMYFUNCTION("""COMPUTED_VALUE"""),4.0)</f>
        <v>4</v>
      </c>
      <c r="G2523" s="17" t="str">
        <f>IFERROR(__xludf.DUMMYFUNCTION("""COMPUTED_VALUE"""),"15030413")</f>
        <v>15030413</v>
      </c>
      <c r="H2523" s="17" t="str">
        <f>IFERROR(__xludf.DUMMYFUNCTION("""COMPUTED_VALUE"""),"крісла і пуфи для відвідувачів")</f>
        <v>крісла і пуфи для відвідувачів</v>
      </c>
      <c r="I2523" s="19">
        <f>IFERROR(__xludf.DUMMYFUNCTION("""COMPUTED_VALUE"""),0.0732)</f>
        <v>0.0732</v>
      </c>
      <c r="J2523" s="19">
        <f>IFERROR(__xludf.DUMMYFUNCTION("""COMPUTED_VALUE"""),0.1463)</f>
        <v>0.1463</v>
      </c>
      <c r="K2523" s="19">
        <f>IFERROR(__xludf.DUMMYFUNCTION("""COMPUTED_VALUE"""),0.1829)</f>
        <v>0.1829</v>
      </c>
      <c r="L2523" s="19">
        <f>IFERROR(__xludf.DUMMYFUNCTION("""COMPUTED_VALUE"""),0.2195)</f>
        <v>0.2195</v>
      </c>
      <c r="M2523" s="18">
        <f>IFERROR(__xludf.DUMMYFUNCTION("""COMPUTED_VALUE"""),3.06)</f>
        <v>3.06</v>
      </c>
    </row>
    <row r="2524">
      <c r="A2524" s="13" t="str">
        <f>IFERROR(__xludf.DUMMYFUNCTION("""COMPUTED_VALUE"""),"товари")</f>
        <v>товари</v>
      </c>
      <c r="B2524" s="16" t="str">
        <f>IFERROR(__xludf.DUMMYFUNCTION("""COMPUTED_VALUE"""),"обладнання та товари для надання послуг")</f>
        <v>обладнання та товари для надання послуг</v>
      </c>
      <c r="C2524" s="16" t="str">
        <f>IFERROR(__xludf.DUMMYFUNCTION("""COMPUTED_VALUE"""),"вендінгове і розважальне обладнання")</f>
        <v>вендінгове і розважальне обладнання</v>
      </c>
      <c r="D2524" s="16" t="str">
        <f>IFERROR(__xludf.DUMMYFUNCTION("""COMPUTED_VALUE"""),"обладнання для сенсорних кімнат")</f>
        <v>обладнання для сенсорних кімнат</v>
      </c>
      <c r="E2524" s="16" t="str">
        <f>IFERROR(__xludf.DUMMYFUNCTION("""COMPUTED_VALUE"""),"кульки для басейнів")</f>
        <v>кульки для басейнів</v>
      </c>
      <c r="F2524" s="17">
        <f>IFERROR(__xludf.DUMMYFUNCTION("""COMPUTED_VALUE"""),4.0)</f>
        <v>4</v>
      </c>
      <c r="G2524" s="17" t="str">
        <f>IFERROR(__xludf.DUMMYFUNCTION("""COMPUTED_VALUE"""),"264803")</f>
        <v>264803</v>
      </c>
      <c r="H2524" s="17" t="str">
        <f>IFERROR(__xludf.DUMMYFUNCTION("""COMPUTED_VALUE"""),"кульки для басейнів")</f>
        <v>кульки для басейнів</v>
      </c>
      <c r="I2524" s="19">
        <f>IFERROR(__xludf.DUMMYFUNCTION("""COMPUTED_VALUE"""),0.0584)</f>
        <v>0.0584</v>
      </c>
      <c r="J2524" s="19">
        <f>IFERROR(__xludf.DUMMYFUNCTION("""COMPUTED_VALUE"""),0.1167)</f>
        <v>0.1167</v>
      </c>
      <c r="K2524" s="19">
        <f>IFERROR(__xludf.DUMMYFUNCTION("""COMPUTED_VALUE"""),0.1459)</f>
        <v>0.1459</v>
      </c>
      <c r="L2524" s="19">
        <f>IFERROR(__xludf.DUMMYFUNCTION("""COMPUTED_VALUE"""),0.1751)</f>
        <v>0.1751</v>
      </c>
      <c r="M2524" s="18">
        <f>IFERROR(__xludf.DUMMYFUNCTION("""COMPUTED_VALUE"""),1.71)</f>
        <v>1.71</v>
      </c>
    </row>
    <row r="2525">
      <c r="A2525" s="13" t="str">
        <f>IFERROR(__xludf.DUMMYFUNCTION("""COMPUTED_VALUE"""),"товари")</f>
        <v>товари</v>
      </c>
      <c r="B2525" s="16" t="str">
        <f>IFERROR(__xludf.DUMMYFUNCTION("""COMPUTED_VALUE"""),"обладнання та товари для надання послуг")</f>
        <v>обладнання та товари для надання послуг</v>
      </c>
      <c r="C2525" s="16" t="str">
        <f>IFERROR(__xludf.DUMMYFUNCTION("""COMPUTED_VALUE"""),"horeca&amp;fast-food")</f>
        <v>horeca&amp;fast-food</v>
      </c>
      <c r="D2525" s="16" t="str">
        <f>IFERROR(__xludf.DUMMYFUNCTION("""COMPUTED_VALUE"""),"електромеханічне обладнання horeca&amp;fast-food")</f>
        <v>електромеханічне обладнання horeca&amp;fast-food</v>
      </c>
      <c r="E2525" s="16" t="str">
        <f>IFERROR(__xludf.DUMMYFUNCTION("""COMPUTED_VALUE"""),"кутери, м'ясорубки професійні")</f>
        <v>кутери, м'ясорубки професійні</v>
      </c>
      <c r="F2525" s="17">
        <f>IFERROR(__xludf.DUMMYFUNCTION("""COMPUTED_VALUE"""),4.0)</f>
        <v>4</v>
      </c>
      <c r="G2525" s="17" t="str">
        <f>IFERROR(__xludf.DUMMYFUNCTION("""COMPUTED_VALUE"""),"240647")</f>
        <v>240647</v>
      </c>
      <c r="H2525" s="17" t="str">
        <f>IFERROR(__xludf.DUMMYFUNCTION("""COMPUTED_VALUE"""),"кутери, м'ясорубки професійні")</f>
        <v>кутери, м'ясорубки професійні</v>
      </c>
      <c r="I2525" s="19">
        <f>IFERROR(__xludf.DUMMYFUNCTION("""COMPUTED_VALUE"""),0.0507)</f>
        <v>0.0507</v>
      </c>
      <c r="J2525" s="19">
        <f>IFERROR(__xludf.DUMMYFUNCTION("""COMPUTED_VALUE"""),0.1013)</f>
        <v>0.1013</v>
      </c>
      <c r="K2525" s="19">
        <f>IFERROR(__xludf.DUMMYFUNCTION("""COMPUTED_VALUE"""),0.1266)</f>
        <v>0.1266</v>
      </c>
      <c r="L2525" s="19">
        <f>IFERROR(__xludf.DUMMYFUNCTION("""COMPUTED_VALUE"""),0.152)</f>
        <v>0.152</v>
      </c>
      <c r="M2525" s="18">
        <f>IFERROR(__xludf.DUMMYFUNCTION("""COMPUTED_VALUE"""),3.6)</f>
        <v>3.6</v>
      </c>
    </row>
    <row r="2526">
      <c r="A2526" s="13" t="str">
        <f>IFERROR(__xludf.DUMMYFUNCTION("""COMPUTED_VALUE"""),"товари")</f>
        <v>товари</v>
      </c>
      <c r="B2526" s="16" t="str">
        <f>IFERROR(__xludf.DUMMYFUNCTION("""COMPUTED_VALUE"""),"обладнання та товари для надання послуг")</f>
        <v>обладнання та товари для надання послуг</v>
      </c>
      <c r="C2526" s="16" t="str">
        <f>IFERROR(__xludf.DUMMYFUNCTION("""COMPUTED_VALUE"""),"товари для офісу")</f>
        <v>товари для офісу</v>
      </c>
      <c r="D2526" s="16" t="str">
        <f>IFERROR(__xludf.DUMMYFUNCTION("""COMPUTED_VALUE"""),"обладнання для презентацій і конференцій")</f>
        <v>обладнання для презентацій і конференцій</v>
      </c>
      <c r="E2526" s="16" t="str">
        <f>IFERROR(__xludf.DUMMYFUNCTION("""COMPUTED_VALUE"""),"лазерні указки")</f>
        <v>лазерні указки</v>
      </c>
      <c r="F2526" s="17">
        <f>IFERROR(__xludf.DUMMYFUNCTION("""COMPUTED_VALUE"""),4.0)</f>
        <v>4</v>
      </c>
      <c r="G2526" s="17" t="str">
        <f>IFERROR(__xludf.DUMMYFUNCTION("""COMPUTED_VALUE"""),"212001")</f>
        <v>212001</v>
      </c>
      <c r="H2526" s="17" t="str">
        <f>IFERROR(__xludf.DUMMYFUNCTION("""COMPUTED_VALUE"""),"лазерні указки")</f>
        <v>лазерні указки</v>
      </c>
      <c r="I2526" s="19">
        <f>IFERROR(__xludf.DUMMYFUNCTION("""COMPUTED_VALUE"""),0.0766)</f>
        <v>0.0766</v>
      </c>
      <c r="J2526" s="19">
        <f>IFERROR(__xludf.DUMMYFUNCTION("""COMPUTED_VALUE"""),0.1531)</f>
        <v>0.1531</v>
      </c>
      <c r="K2526" s="19">
        <f>IFERROR(__xludf.DUMMYFUNCTION("""COMPUTED_VALUE"""),0.1914)</f>
        <v>0.1914</v>
      </c>
      <c r="L2526" s="19">
        <f>IFERROR(__xludf.DUMMYFUNCTION("""COMPUTED_VALUE"""),0.2297)</f>
        <v>0.2297</v>
      </c>
      <c r="M2526" s="18">
        <f>IFERROR(__xludf.DUMMYFUNCTION("""COMPUTED_VALUE"""),2.61)</f>
        <v>2.61</v>
      </c>
    </row>
    <row r="2527">
      <c r="A2527" s="13" t="str">
        <f>IFERROR(__xludf.DUMMYFUNCTION("""COMPUTED_VALUE"""),"товари")</f>
        <v>товари</v>
      </c>
      <c r="B2527" s="16" t="str">
        <f>IFERROR(__xludf.DUMMYFUNCTION("""COMPUTED_VALUE"""),"обладнання та товари для надання послуг")</f>
        <v>обладнання та товари для надання послуг</v>
      </c>
      <c r="C2527" s="16" t="str">
        <f>IFERROR(__xludf.DUMMYFUNCTION("""COMPUTED_VALUE"""),"обладнання та матеріали для друкарні")</f>
        <v>обладнання та матеріали для друкарні</v>
      </c>
      <c r="D2527" s="16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2527" s="16" t="str">
        <f>IFERROR(__xludf.DUMMYFUNCTION("""COMPUTED_VALUE"""),"ламінатори")</f>
        <v>ламінатори</v>
      </c>
      <c r="F2527" s="17">
        <f>IFERROR(__xludf.DUMMYFUNCTION("""COMPUTED_VALUE"""),4.0)</f>
        <v>4</v>
      </c>
      <c r="G2527" s="17" t="str">
        <f>IFERROR(__xludf.DUMMYFUNCTION("""COMPUTED_VALUE"""),"147107")</f>
        <v>147107</v>
      </c>
      <c r="H2527" s="17" t="str">
        <f>IFERROR(__xludf.DUMMYFUNCTION("""COMPUTED_VALUE"""),"ламінатори")</f>
        <v>ламінатори</v>
      </c>
      <c r="I2527" s="19">
        <f>IFERROR(__xludf.DUMMYFUNCTION("""COMPUTED_VALUE"""),0.0648)</f>
        <v>0.0648</v>
      </c>
      <c r="J2527" s="19">
        <f>IFERROR(__xludf.DUMMYFUNCTION("""COMPUTED_VALUE"""),0.1296)</f>
        <v>0.1296</v>
      </c>
      <c r="K2527" s="19">
        <f>IFERROR(__xludf.DUMMYFUNCTION("""COMPUTED_VALUE"""),0.162)</f>
        <v>0.162</v>
      </c>
      <c r="L2527" s="19">
        <f>IFERROR(__xludf.DUMMYFUNCTION("""COMPUTED_VALUE"""),0.1944)</f>
        <v>0.1944</v>
      </c>
      <c r="M2527" s="18">
        <f>IFERROR(__xludf.DUMMYFUNCTION("""COMPUTED_VALUE"""),3.24)</f>
        <v>3.24</v>
      </c>
    </row>
    <row r="2528">
      <c r="A2528" s="13" t="str">
        <f>IFERROR(__xludf.DUMMYFUNCTION("""COMPUTED_VALUE"""),"товари")</f>
        <v>товари</v>
      </c>
      <c r="B2528" s="16" t="str">
        <f>IFERROR(__xludf.DUMMYFUNCTION("""COMPUTED_VALUE"""),"обладнання та товари для надання послуг")</f>
        <v>обладнання та товари для надання послуг</v>
      </c>
      <c r="C2528" s="16" t="str">
        <f>IFERROR(__xludf.DUMMYFUNCTION("""COMPUTED_VALUE"""),"все для салонів краси")</f>
        <v>все для салонів краси</v>
      </c>
      <c r="D2528" s="16" t="str">
        <f>IFERROR(__xludf.DUMMYFUNCTION("""COMPUTED_VALUE"""),"обладнання та матеріали для косметології")</f>
        <v>обладнання та матеріали для косметології</v>
      </c>
      <c r="E2528" s="16" t="str">
        <f>IFERROR(__xludf.DUMMYFUNCTION("""COMPUTED_VALUE"""),"лампи-лупи косметологічні")</f>
        <v>лампи-лупи косметологічні</v>
      </c>
      <c r="F2528" s="17">
        <f>IFERROR(__xludf.DUMMYFUNCTION("""COMPUTED_VALUE"""),4.0)</f>
        <v>4</v>
      </c>
      <c r="G2528" s="17" t="str">
        <f>IFERROR(__xludf.DUMMYFUNCTION("""COMPUTED_VALUE"""),"282992")</f>
        <v>282992</v>
      </c>
      <c r="H2528" s="17" t="str">
        <f>IFERROR(__xludf.DUMMYFUNCTION("""COMPUTED_VALUE"""),"лампи-лупи косметологічні")</f>
        <v>лампи-лупи косметологічні</v>
      </c>
      <c r="I2528" s="19">
        <f>IFERROR(__xludf.DUMMYFUNCTION("""COMPUTED_VALUE"""),0.0757)</f>
        <v>0.0757</v>
      </c>
      <c r="J2528" s="19">
        <f>IFERROR(__xludf.DUMMYFUNCTION("""COMPUTED_VALUE"""),0.1514)</f>
        <v>0.1514</v>
      </c>
      <c r="K2528" s="19">
        <f>IFERROR(__xludf.DUMMYFUNCTION("""COMPUTED_VALUE"""),0.1893)</f>
        <v>0.1893</v>
      </c>
      <c r="L2528" s="19">
        <f>IFERROR(__xludf.DUMMYFUNCTION("""COMPUTED_VALUE"""),0.2271)</f>
        <v>0.2271</v>
      </c>
      <c r="M2528" s="18">
        <f>IFERROR(__xludf.DUMMYFUNCTION("""COMPUTED_VALUE"""),1.53)</f>
        <v>1.53</v>
      </c>
    </row>
    <row r="2529">
      <c r="A2529" s="13" t="str">
        <f>IFERROR(__xludf.DUMMYFUNCTION("""COMPUTED_VALUE"""),"товари")</f>
        <v>товари</v>
      </c>
      <c r="B2529" s="16" t="str">
        <f>IFERROR(__xludf.DUMMYFUNCTION("""COMPUTED_VALUE"""),"обладнання та товари для надання послуг")</f>
        <v>обладнання та товари для надання послуг</v>
      </c>
      <c r="C2529" s="16" t="str">
        <f>IFERROR(__xludf.DUMMYFUNCTION("""COMPUTED_VALUE"""),"обладнання для автосервісу")</f>
        <v>обладнання для автосервісу</v>
      </c>
      <c r="D2529" s="16" t="str">
        <f>IFERROR(__xludf.DUMMYFUNCTION("""COMPUTED_VALUE"""),"інструменти для автосервісу")</f>
        <v>інструменти для автосервісу</v>
      </c>
      <c r="E2529" s="16" t="str">
        <f>IFERROR(__xludf.DUMMYFUNCTION("""COMPUTED_VALUE"""),"лежаки автослюсарні підкатні")</f>
        <v>лежаки автослюсарні підкатні</v>
      </c>
      <c r="F2529" s="17">
        <f>IFERROR(__xludf.DUMMYFUNCTION("""COMPUTED_VALUE"""),4.0)</f>
        <v>4</v>
      </c>
      <c r="G2529" s="17" t="str">
        <f>IFERROR(__xludf.DUMMYFUNCTION("""COMPUTED_VALUE"""),"12110209")</f>
        <v>12110209</v>
      </c>
      <c r="H2529" s="17" t="str">
        <f>IFERROR(__xludf.DUMMYFUNCTION("""COMPUTED_VALUE"""),"лежаки автослюсарні підкатні")</f>
        <v>лежаки автослюсарні підкатні</v>
      </c>
      <c r="I2529" s="19">
        <f>IFERROR(__xludf.DUMMYFUNCTION("""COMPUTED_VALUE"""),0.0697)</f>
        <v>0.0697</v>
      </c>
      <c r="J2529" s="19">
        <f>IFERROR(__xludf.DUMMYFUNCTION("""COMPUTED_VALUE"""),0.1394)</f>
        <v>0.1394</v>
      </c>
      <c r="K2529" s="19">
        <f>IFERROR(__xludf.DUMMYFUNCTION("""COMPUTED_VALUE"""),0.1743)</f>
        <v>0.1743</v>
      </c>
      <c r="L2529" s="19">
        <f>IFERROR(__xludf.DUMMYFUNCTION("""COMPUTED_VALUE"""),0.2091)</f>
        <v>0.2091</v>
      </c>
      <c r="M2529" s="18">
        <f>IFERROR(__xludf.DUMMYFUNCTION("""COMPUTED_VALUE"""),2.16)</f>
        <v>2.16</v>
      </c>
    </row>
    <row r="2530">
      <c r="A2530" s="13" t="str">
        <f>IFERROR(__xludf.DUMMYFUNCTION("""COMPUTED_VALUE"""),"товари")</f>
        <v>товари</v>
      </c>
      <c r="B2530" s="16" t="str">
        <f>IFERROR(__xludf.DUMMYFUNCTION("""COMPUTED_VALUE"""),"обладнання та товари для надання послуг")</f>
        <v>обладнання та товари для надання послуг</v>
      </c>
      <c r="C2530" s="16" t="str">
        <f>IFERROR(__xludf.DUMMYFUNCTION("""COMPUTED_VALUE"""),"банківське обладнання")</f>
        <v>банківське обладнання</v>
      </c>
      <c r="D2530" s="16" t="str">
        <f>IFERROR(__xludf.DUMMYFUNCTION("""COMPUTED_VALUE"""),"лічильники банкнот і монет")</f>
        <v>лічильники банкнот і монет</v>
      </c>
      <c r="E2530" s="16" t="str">
        <f>IFERROR(__xludf.DUMMYFUNCTION("""COMPUTED_VALUE"""),"лічильники банкнот і монет")</f>
        <v>лічильники банкнот і монет</v>
      </c>
      <c r="F2530" s="17">
        <f>IFERROR(__xludf.DUMMYFUNCTION("""COMPUTED_VALUE"""),3.0)</f>
        <v>3</v>
      </c>
      <c r="G2530" s="17" t="str">
        <f>IFERROR(__xludf.DUMMYFUNCTION("""COMPUTED_VALUE"""),"51003")</f>
        <v>51003</v>
      </c>
      <c r="H2530" s="17" t="str">
        <f>IFERROR(__xludf.DUMMYFUNCTION("""COMPUTED_VALUE"""),"лічильники банкнот і монет")</f>
        <v>лічильники банкнот і монет</v>
      </c>
      <c r="I2530" s="19">
        <f>IFERROR(__xludf.DUMMYFUNCTION("""COMPUTED_VALUE"""),0.0724)</f>
        <v>0.0724</v>
      </c>
      <c r="J2530" s="19">
        <f>IFERROR(__xludf.DUMMYFUNCTION("""COMPUTED_VALUE"""),0.1448)</f>
        <v>0.1448</v>
      </c>
      <c r="K2530" s="19">
        <f>IFERROR(__xludf.DUMMYFUNCTION("""COMPUTED_VALUE"""),0.181)</f>
        <v>0.181</v>
      </c>
      <c r="L2530" s="19">
        <f>IFERROR(__xludf.DUMMYFUNCTION("""COMPUTED_VALUE"""),0.2172)</f>
        <v>0.2172</v>
      </c>
      <c r="M2530" s="18">
        <f>IFERROR(__xludf.DUMMYFUNCTION("""COMPUTED_VALUE"""),5.4)</f>
        <v>5.4</v>
      </c>
    </row>
    <row r="2531">
      <c r="A2531" s="13" t="str">
        <f>IFERROR(__xludf.DUMMYFUNCTION("""COMPUTED_VALUE"""),"товари")</f>
        <v>товари</v>
      </c>
      <c r="B2531" s="16" t="str">
        <f>IFERROR(__xludf.DUMMYFUNCTION("""COMPUTED_VALUE"""),"обладнання та товари для надання послуг")</f>
        <v>обладнання та товари для надання послуг</v>
      </c>
      <c r="C2531" s="16" t="str">
        <f>IFERROR(__xludf.DUMMYFUNCTION("""COMPUTED_VALUE"""),"horeca&amp;fast-food")</f>
        <v>horeca&amp;fast-food</v>
      </c>
      <c r="D2531" s="16" t="str">
        <f>IFERROR(__xludf.DUMMYFUNCTION("""COMPUTED_VALUE"""),"холодильне обладнання horeca&amp;fast-food")</f>
        <v>холодильне обладнання horeca&amp;fast-food</v>
      </c>
      <c r="E2531" s="16" t="str">
        <f>IFERROR(__xludf.DUMMYFUNCTION("""COMPUTED_VALUE"""),"льодогенератори")</f>
        <v>льодогенератори</v>
      </c>
      <c r="F2531" s="17">
        <f>IFERROR(__xludf.DUMMYFUNCTION("""COMPUTED_VALUE"""),4.0)</f>
        <v>4</v>
      </c>
      <c r="G2531" s="17" t="str">
        <f>IFERROR(__xludf.DUMMYFUNCTION("""COMPUTED_VALUE"""),"240606")</f>
        <v>240606</v>
      </c>
      <c r="H2531" s="17" t="str">
        <f>IFERROR(__xludf.DUMMYFUNCTION("""COMPUTED_VALUE"""),"льодогенератори")</f>
        <v>льодогенератори</v>
      </c>
      <c r="I2531" s="19">
        <f>IFERROR(__xludf.DUMMYFUNCTION("""COMPUTED_VALUE"""),0.0465)</f>
        <v>0.0465</v>
      </c>
      <c r="J2531" s="19">
        <f>IFERROR(__xludf.DUMMYFUNCTION("""COMPUTED_VALUE"""),0.093)</f>
        <v>0.093</v>
      </c>
      <c r="K2531" s="19">
        <f>IFERROR(__xludf.DUMMYFUNCTION("""COMPUTED_VALUE"""),0.1163)</f>
        <v>0.1163</v>
      </c>
      <c r="L2531" s="19">
        <f>IFERROR(__xludf.DUMMYFUNCTION("""COMPUTED_VALUE"""),0.1395)</f>
        <v>0.1395</v>
      </c>
      <c r="M2531" s="18">
        <f>IFERROR(__xludf.DUMMYFUNCTION("""COMPUTED_VALUE"""),3.6)</f>
        <v>3.6</v>
      </c>
    </row>
    <row r="2532">
      <c r="A2532" s="13" t="str">
        <f>IFERROR(__xludf.DUMMYFUNCTION("""COMPUTED_VALUE"""),"товари")</f>
        <v>товари</v>
      </c>
      <c r="B2532" s="16" t="str">
        <f>IFERROR(__xludf.DUMMYFUNCTION("""COMPUTED_VALUE"""),"обладнання та товари для надання послуг")</f>
        <v>обладнання та товари для надання послуг</v>
      </c>
      <c r="C2532" s="16" t="str">
        <f>IFERROR(__xludf.DUMMYFUNCTION("""COMPUTED_VALUE"""),"вендінгове і розважальне обладнання")</f>
        <v>вендінгове і розважальне обладнання</v>
      </c>
      <c r="D2532" s="16" t="str">
        <f>IFERROR(__xludf.DUMMYFUNCTION("""COMPUTED_VALUE"""),"обладнання для сенсорних кімнат")</f>
        <v>обладнання для сенсорних кімнат</v>
      </c>
      <c r="E2532" s="16" t="str">
        <f>IFERROR(__xludf.DUMMYFUNCTION("""COMPUTED_VALUE"""),"м'які ігрові модулі")</f>
        <v>м'які ігрові модулі</v>
      </c>
      <c r="F2532" s="17">
        <f>IFERROR(__xludf.DUMMYFUNCTION("""COMPUTED_VALUE"""),4.0)</f>
        <v>4</v>
      </c>
      <c r="G2532" s="17" t="str">
        <f>IFERROR(__xludf.DUMMYFUNCTION("""COMPUTED_VALUE"""),"180805")</f>
        <v>180805</v>
      </c>
      <c r="H2532" s="17" t="str">
        <f>IFERROR(__xludf.DUMMYFUNCTION("""COMPUTED_VALUE"""),"м'які ігрові модулі")</f>
        <v>м'які ігрові модулі</v>
      </c>
      <c r="I2532" s="19">
        <f>IFERROR(__xludf.DUMMYFUNCTION("""COMPUTED_VALUE"""),0.0532)</f>
        <v>0.0532</v>
      </c>
      <c r="J2532" s="19">
        <f>IFERROR(__xludf.DUMMYFUNCTION("""COMPUTED_VALUE"""),0.1063)</f>
        <v>0.1063</v>
      </c>
      <c r="K2532" s="19">
        <f>IFERROR(__xludf.DUMMYFUNCTION("""COMPUTED_VALUE"""),0.1329)</f>
        <v>0.1329</v>
      </c>
      <c r="L2532" s="19">
        <f>IFERROR(__xludf.DUMMYFUNCTION("""COMPUTED_VALUE"""),0.1595)</f>
        <v>0.1595</v>
      </c>
      <c r="M2532" s="18">
        <f>IFERROR(__xludf.DUMMYFUNCTION("""COMPUTED_VALUE"""),1.71)</f>
        <v>1.71</v>
      </c>
    </row>
    <row r="2533">
      <c r="A2533" s="13" t="str">
        <f>IFERROR(__xludf.DUMMYFUNCTION("""COMPUTED_VALUE"""),"товари")</f>
        <v>товари</v>
      </c>
      <c r="B2533" s="16" t="str">
        <f>IFERROR(__xludf.DUMMYFUNCTION("""COMPUTED_VALUE"""),"обладнання та товари для надання послуг")</f>
        <v>обладнання та товари для надання послуг</v>
      </c>
      <c r="C2533" s="16" t="str">
        <f>IFERROR(__xludf.DUMMYFUNCTION("""COMPUTED_VALUE"""),"комерційні меблі")</f>
        <v>комерційні меблі</v>
      </c>
      <c r="D2533" s="16" t="str">
        <f>IFERROR(__xludf.DUMMYFUNCTION("""COMPUTED_VALUE"""),"меблі для horeca")</f>
        <v>меблі для horeca</v>
      </c>
      <c r="E2533" s="16" t="str">
        <f>IFERROR(__xludf.DUMMYFUNCTION("""COMPUTED_VALUE"""),"м'які меблі для ресторанів і кафе")</f>
        <v>м'які меблі для ресторанів і кафе</v>
      </c>
      <c r="F2533" s="17">
        <f>IFERROR(__xludf.DUMMYFUNCTION("""COMPUTED_VALUE"""),4.0)</f>
        <v>4</v>
      </c>
      <c r="G2533" s="17" t="str">
        <f>IFERROR(__xludf.DUMMYFUNCTION("""COMPUTED_VALUE"""),"15030108")</f>
        <v>15030108</v>
      </c>
      <c r="H2533" s="17" t="str">
        <f>IFERROR(__xludf.DUMMYFUNCTION("""COMPUTED_VALUE"""),"м'які меблі для ресторанів і кафе")</f>
        <v>м'які меблі для ресторанів і кафе</v>
      </c>
      <c r="I2533" s="19">
        <f>IFERROR(__xludf.DUMMYFUNCTION("""COMPUTED_VALUE"""),0.0429)</f>
        <v>0.0429</v>
      </c>
      <c r="J2533" s="19">
        <f>IFERROR(__xludf.DUMMYFUNCTION("""COMPUTED_VALUE"""),0.0858)</f>
        <v>0.0858</v>
      </c>
      <c r="K2533" s="19">
        <f>IFERROR(__xludf.DUMMYFUNCTION("""COMPUTED_VALUE"""),0.1073)</f>
        <v>0.1073</v>
      </c>
      <c r="L2533" s="19">
        <f>IFERROR(__xludf.DUMMYFUNCTION("""COMPUTED_VALUE"""),0.1287)</f>
        <v>0.1287</v>
      </c>
      <c r="M2533" s="18">
        <f>IFERROR(__xludf.DUMMYFUNCTION("""COMPUTED_VALUE"""),4.13)</f>
        <v>4.13</v>
      </c>
    </row>
    <row r="2534">
      <c r="A2534" s="13" t="str">
        <f>IFERROR(__xludf.DUMMYFUNCTION("""COMPUTED_VALUE"""),"товари")</f>
        <v>товари</v>
      </c>
      <c r="B2534" s="16" t="str">
        <f>IFERROR(__xludf.DUMMYFUNCTION("""COMPUTED_VALUE"""),"обладнання та товари для надання послуг")</f>
        <v>обладнання та товари для надання послуг</v>
      </c>
      <c r="C2534" s="16" t="str">
        <f>IFERROR(__xludf.DUMMYFUNCTION("""COMPUTED_VALUE"""),"обладнання для автосервісу")</f>
        <v>обладнання для автосервісу</v>
      </c>
      <c r="D2534" s="16" t="str">
        <f>IFERROR(__xludf.DUMMYFUNCTION("""COMPUTED_VALUE"""),"інструменти для автосервісу")</f>
        <v>інструменти для автосервісу</v>
      </c>
      <c r="E2534" s="16" t="str">
        <f>IFERROR(__xludf.DUMMYFUNCTION("""COMPUTED_VALUE"""),"магнітний інструмент")</f>
        <v>магнітний інструмент</v>
      </c>
      <c r="F2534" s="17">
        <f>IFERROR(__xludf.DUMMYFUNCTION("""COMPUTED_VALUE"""),4.0)</f>
        <v>4</v>
      </c>
      <c r="G2534" s="17" t="str">
        <f>IFERROR(__xludf.DUMMYFUNCTION("""COMPUTED_VALUE"""),"12110211")</f>
        <v>12110211</v>
      </c>
      <c r="H2534" s="17" t="str">
        <f>IFERROR(__xludf.DUMMYFUNCTION("""COMPUTED_VALUE"""),"магнітний інструмент")</f>
        <v>магнітний інструмент</v>
      </c>
      <c r="I2534" s="19">
        <f>IFERROR(__xludf.DUMMYFUNCTION("""COMPUTED_VALUE"""),0.0697)</f>
        <v>0.0697</v>
      </c>
      <c r="J2534" s="19">
        <f>IFERROR(__xludf.DUMMYFUNCTION("""COMPUTED_VALUE"""),0.1394)</f>
        <v>0.1394</v>
      </c>
      <c r="K2534" s="19">
        <f>IFERROR(__xludf.DUMMYFUNCTION("""COMPUTED_VALUE"""),0.1743)</f>
        <v>0.1743</v>
      </c>
      <c r="L2534" s="19">
        <f>IFERROR(__xludf.DUMMYFUNCTION("""COMPUTED_VALUE"""),0.2091)</f>
        <v>0.2091</v>
      </c>
      <c r="M2534" s="18">
        <f>IFERROR(__xludf.DUMMYFUNCTION("""COMPUTED_VALUE"""),2.16)</f>
        <v>2.16</v>
      </c>
    </row>
    <row r="2535">
      <c r="A2535" s="13" t="str">
        <f>IFERROR(__xludf.DUMMYFUNCTION("""COMPUTED_VALUE"""),"товари")</f>
        <v>товари</v>
      </c>
      <c r="B2535" s="16" t="str">
        <f>IFERROR(__xludf.DUMMYFUNCTION("""COMPUTED_VALUE"""),"обладнання та товари для надання послуг")</f>
        <v>обладнання та товари для надання послуг</v>
      </c>
      <c r="C2535" s="16" t="str">
        <f>IFERROR(__xludf.DUMMYFUNCTION("""COMPUTED_VALUE"""),"обладнання для торгівлі")</f>
        <v>обладнання для торгівлі</v>
      </c>
      <c r="D2535" s="16" t="str">
        <f>IFERROR(__xludf.DUMMYFUNCTION("""COMPUTED_VALUE"""),"презентаційне обладнання для торгівлі")</f>
        <v>презентаційне обладнання для торгівлі</v>
      </c>
      <c r="E2535" s="16" t="str">
        <f>IFERROR(__xludf.DUMMYFUNCTION("""COMPUTED_VALUE"""),"манекени")</f>
        <v>манекени</v>
      </c>
      <c r="F2535" s="17">
        <f>IFERROR(__xludf.DUMMYFUNCTION("""COMPUTED_VALUE"""),4.0)</f>
        <v>4</v>
      </c>
      <c r="G2535" s="17" t="str">
        <f>IFERROR(__xludf.DUMMYFUNCTION("""COMPUTED_VALUE"""),"33801")</f>
        <v>33801</v>
      </c>
      <c r="H2535" s="17" t="str">
        <f>IFERROR(__xludf.DUMMYFUNCTION("""COMPUTED_VALUE"""),"манекени")</f>
        <v>манекени</v>
      </c>
      <c r="I2535" s="19">
        <f>IFERROR(__xludf.DUMMYFUNCTION("""COMPUTED_VALUE"""),0.0752)</f>
        <v>0.0752</v>
      </c>
      <c r="J2535" s="19">
        <f>IFERROR(__xludf.DUMMYFUNCTION("""COMPUTED_VALUE"""),0.1503)</f>
        <v>0.1503</v>
      </c>
      <c r="K2535" s="19">
        <f>IFERROR(__xludf.DUMMYFUNCTION("""COMPUTED_VALUE"""),0.1879)</f>
        <v>0.1879</v>
      </c>
      <c r="L2535" s="19">
        <f>IFERROR(__xludf.DUMMYFUNCTION("""COMPUTED_VALUE"""),0.2255)</f>
        <v>0.2255</v>
      </c>
      <c r="M2535" s="18">
        <f>IFERROR(__xludf.DUMMYFUNCTION("""COMPUTED_VALUE"""),3.24)</f>
        <v>3.24</v>
      </c>
    </row>
    <row r="2536">
      <c r="A2536" s="13" t="str">
        <f>IFERROR(__xludf.DUMMYFUNCTION("""COMPUTED_VALUE"""),"товари")</f>
        <v>товари</v>
      </c>
      <c r="B2536" s="16" t="str">
        <f>IFERROR(__xludf.DUMMYFUNCTION("""COMPUTED_VALUE"""),"обладнання та товари для надання послуг")</f>
        <v>обладнання та товари для надання послуг</v>
      </c>
      <c r="C2536" s="16" t="str">
        <f>IFERROR(__xludf.DUMMYFUNCTION("""COMPUTED_VALUE"""),"комерційні меблі")</f>
        <v>комерційні меблі</v>
      </c>
      <c r="D2536" s="16" t="str">
        <f>IFERROR(__xludf.DUMMYFUNCTION("""COMPUTED_VALUE"""),"меблі для салонів краси")</f>
        <v>меблі для салонів краси</v>
      </c>
      <c r="E2536" s="16" t="str">
        <f>IFERROR(__xludf.DUMMYFUNCTION("""COMPUTED_VALUE"""),"манікюрні столи")</f>
        <v>манікюрні столи</v>
      </c>
      <c r="F2536" s="17">
        <f>IFERROR(__xludf.DUMMYFUNCTION("""COMPUTED_VALUE"""),4.0)</f>
        <v>4</v>
      </c>
      <c r="G2536" s="17" t="str">
        <f>IFERROR(__xludf.DUMMYFUNCTION("""COMPUTED_VALUE"""),"161802")</f>
        <v>161802</v>
      </c>
      <c r="H2536" s="17" t="str">
        <f>IFERROR(__xludf.DUMMYFUNCTION("""COMPUTED_VALUE"""),"манікюрні столи")</f>
        <v>манікюрні столи</v>
      </c>
      <c r="I2536" s="19">
        <f>IFERROR(__xludf.DUMMYFUNCTION("""COMPUTED_VALUE"""),0.0722)</f>
        <v>0.0722</v>
      </c>
      <c r="J2536" s="19">
        <f>IFERROR(__xludf.DUMMYFUNCTION("""COMPUTED_VALUE"""),0.1443)</f>
        <v>0.1443</v>
      </c>
      <c r="K2536" s="19">
        <f>IFERROR(__xludf.DUMMYFUNCTION("""COMPUTED_VALUE"""),0.1804)</f>
        <v>0.1804</v>
      </c>
      <c r="L2536" s="19">
        <f>IFERROR(__xludf.DUMMYFUNCTION("""COMPUTED_VALUE"""),0.2165)</f>
        <v>0.2165</v>
      </c>
      <c r="M2536" s="18">
        <f>IFERROR(__xludf.DUMMYFUNCTION("""COMPUTED_VALUE"""),3.06)</f>
        <v>3.06</v>
      </c>
    </row>
    <row r="2537">
      <c r="A2537" s="13" t="str">
        <f>IFERROR(__xludf.DUMMYFUNCTION("""COMPUTED_VALUE"""),"товари")</f>
        <v>товари</v>
      </c>
      <c r="B2537" s="16" t="str">
        <f>IFERROR(__xludf.DUMMYFUNCTION("""COMPUTED_VALUE"""),"обладнання та товари для надання послуг")</f>
        <v>обладнання та товари для надання послуг</v>
      </c>
      <c r="C2537" s="16" t="str">
        <f>IFERROR(__xludf.DUMMYFUNCTION("""COMPUTED_VALUE"""),"horeca&amp;fast-food")</f>
        <v>horeca&amp;fast-food</v>
      </c>
      <c r="D2537" s="16" t="str">
        <f>IFERROR(__xludf.DUMMYFUNCTION("""COMPUTED_VALUE"""),"маркізи")</f>
        <v>маркізи</v>
      </c>
      <c r="E2537" s="16" t="str">
        <f>IFERROR(__xludf.DUMMYFUNCTION("""COMPUTED_VALUE"""),"маркізи")</f>
        <v>маркізи</v>
      </c>
      <c r="F2537" s="17">
        <f>IFERROR(__xludf.DUMMYFUNCTION("""COMPUTED_VALUE"""),3.0)</f>
        <v>3</v>
      </c>
      <c r="G2537" s="17" t="str">
        <f>IFERROR(__xludf.DUMMYFUNCTION("""COMPUTED_VALUE"""),"153810")</f>
        <v>153810</v>
      </c>
      <c r="H2537" s="17" t="str">
        <f>IFERROR(__xludf.DUMMYFUNCTION("""COMPUTED_VALUE"""),"маркізи")</f>
        <v>маркізи</v>
      </c>
      <c r="I2537" s="19">
        <f>IFERROR(__xludf.DUMMYFUNCTION("""COMPUTED_VALUE"""),0.049)</f>
        <v>0.049</v>
      </c>
      <c r="J2537" s="19">
        <f>IFERROR(__xludf.DUMMYFUNCTION("""COMPUTED_VALUE"""),0.098)</f>
        <v>0.098</v>
      </c>
      <c r="K2537" s="19">
        <f>IFERROR(__xludf.DUMMYFUNCTION("""COMPUTED_VALUE"""),0.1225)</f>
        <v>0.1225</v>
      </c>
      <c r="L2537" s="19">
        <f>IFERROR(__xludf.DUMMYFUNCTION("""COMPUTED_VALUE"""),0.147)</f>
        <v>0.147</v>
      </c>
      <c r="M2537" s="18">
        <f>IFERROR(__xludf.DUMMYFUNCTION("""COMPUTED_VALUE"""),3.24)</f>
        <v>3.24</v>
      </c>
    </row>
    <row r="2538">
      <c r="A2538" s="13" t="str">
        <f>IFERROR(__xludf.DUMMYFUNCTION("""COMPUTED_VALUE"""),"товари")</f>
        <v>товари</v>
      </c>
      <c r="B2538" s="16" t="str">
        <f>IFERROR(__xludf.DUMMYFUNCTION("""COMPUTED_VALUE"""),"обладнання та товари для надання послуг")</f>
        <v>обладнання та товари для надання послуг</v>
      </c>
      <c r="C2538" s="16" t="str">
        <f>IFERROR(__xludf.DUMMYFUNCTION("""COMPUTED_VALUE"""),"horeca&amp;fast-food")</f>
        <v>horeca&amp;fast-food</v>
      </c>
      <c r="D2538" s="16" t="str">
        <f>IFERROR(__xludf.DUMMYFUNCTION("""COMPUTED_VALUE"""),"теплове обладнання horeca&amp;fast-food")</f>
        <v>теплове обладнання horeca&amp;fast-food</v>
      </c>
      <c r="E2538" s="16" t="str">
        <f>IFERROR(__xludf.DUMMYFUNCTION("""COMPUTED_VALUE"""),"марміти")</f>
        <v>марміти</v>
      </c>
      <c r="F2538" s="17">
        <f>IFERROR(__xludf.DUMMYFUNCTION("""COMPUTED_VALUE"""),4.0)</f>
        <v>4</v>
      </c>
      <c r="G2538" s="17" t="str">
        <f>IFERROR(__xludf.DUMMYFUNCTION("""COMPUTED_VALUE"""),"240602")</f>
        <v>240602</v>
      </c>
      <c r="H2538" s="17" t="str">
        <f>IFERROR(__xludf.DUMMYFUNCTION("""COMPUTED_VALUE"""),"марміти")</f>
        <v>марміти</v>
      </c>
      <c r="I2538" s="19">
        <f>IFERROR(__xludf.DUMMYFUNCTION("""COMPUTED_VALUE"""),0.0743)</f>
        <v>0.0743</v>
      </c>
      <c r="J2538" s="19">
        <f>IFERROR(__xludf.DUMMYFUNCTION("""COMPUTED_VALUE"""),0.1485)</f>
        <v>0.1485</v>
      </c>
      <c r="K2538" s="19">
        <f>IFERROR(__xludf.DUMMYFUNCTION("""COMPUTED_VALUE"""),0.1856)</f>
        <v>0.1856</v>
      </c>
      <c r="L2538" s="19">
        <f>IFERROR(__xludf.DUMMYFUNCTION("""COMPUTED_VALUE"""),0.2228)</f>
        <v>0.2228</v>
      </c>
      <c r="M2538" s="18">
        <f>IFERROR(__xludf.DUMMYFUNCTION("""COMPUTED_VALUE"""),3.96)</f>
        <v>3.96</v>
      </c>
    </row>
    <row r="2539">
      <c r="A2539" s="13" t="str">
        <f>IFERROR(__xludf.DUMMYFUNCTION("""COMPUTED_VALUE"""),"товари")</f>
        <v>товари</v>
      </c>
      <c r="B2539" s="16" t="str">
        <f>IFERROR(__xludf.DUMMYFUNCTION("""COMPUTED_VALUE"""),"обладнання та товари для надання послуг")</f>
        <v>обладнання та товари для надання послуг</v>
      </c>
      <c r="C2539" s="16" t="str">
        <f>IFERROR(__xludf.DUMMYFUNCTION("""COMPUTED_VALUE"""),"комерційні меблі")</f>
        <v>комерційні меблі</v>
      </c>
      <c r="D2539" s="16" t="str">
        <f>IFERROR(__xludf.DUMMYFUNCTION("""COMPUTED_VALUE"""),"медичні меблі")</f>
        <v>медичні меблі</v>
      </c>
      <c r="E2539" s="16" t="str">
        <f>IFERROR(__xludf.DUMMYFUNCTION("""COMPUTED_VALUE"""),"масажні столи")</f>
        <v>масажні столи</v>
      </c>
      <c r="F2539" s="17">
        <f>IFERROR(__xludf.DUMMYFUNCTION("""COMPUTED_VALUE"""),4.0)</f>
        <v>4</v>
      </c>
      <c r="G2539" s="17" t="str">
        <f>IFERROR(__xludf.DUMMYFUNCTION("""COMPUTED_VALUE"""),"37021011")</f>
        <v>37021011</v>
      </c>
      <c r="H2539" s="17" t="str">
        <f>IFERROR(__xludf.DUMMYFUNCTION("""COMPUTED_VALUE"""),"масажні столи")</f>
        <v>масажні столи</v>
      </c>
      <c r="I2539" s="19">
        <f>IFERROR(__xludf.DUMMYFUNCTION("""COMPUTED_VALUE"""),0.069)</f>
        <v>0.069</v>
      </c>
      <c r="J2539" s="19">
        <f>IFERROR(__xludf.DUMMYFUNCTION("""COMPUTED_VALUE"""),0.138)</f>
        <v>0.138</v>
      </c>
      <c r="K2539" s="19">
        <f>IFERROR(__xludf.DUMMYFUNCTION("""COMPUTED_VALUE"""),0.1725)</f>
        <v>0.1725</v>
      </c>
      <c r="L2539" s="19">
        <f>IFERROR(__xludf.DUMMYFUNCTION("""COMPUTED_VALUE"""),0.207)</f>
        <v>0.207</v>
      </c>
      <c r="M2539" s="18">
        <f>IFERROR(__xludf.DUMMYFUNCTION("""COMPUTED_VALUE"""),5.4)</f>
        <v>5.4</v>
      </c>
    </row>
    <row r="2540">
      <c r="A2540" s="13" t="str">
        <f>IFERROR(__xludf.DUMMYFUNCTION("""COMPUTED_VALUE"""),"товари")</f>
        <v>товари</v>
      </c>
      <c r="B2540" s="16" t="str">
        <f>IFERROR(__xludf.DUMMYFUNCTION("""COMPUTED_VALUE"""),"обладнання та товари для надання послуг")</f>
        <v>обладнання та товари для надання послуг</v>
      </c>
      <c r="C2540" s="16" t="str">
        <f>IFERROR(__xludf.DUMMYFUNCTION("""COMPUTED_VALUE"""),"обладнання та матеріали для друкарні")</f>
        <v>обладнання та матеріали для друкарні</v>
      </c>
      <c r="D2540" s="16" t="str">
        <f>IFERROR(__xludf.DUMMYFUNCTION("""COMPUTED_VALUE"""),"витратні матеріали для поліграфії")</f>
        <v>витратні матеріали для поліграфії</v>
      </c>
      <c r="E2540" s="16" t="str">
        <f>IFERROR(__xludf.DUMMYFUNCTION("""COMPUTED_VALUE"""),"матеріали для друкарських процесів")</f>
        <v>матеріали для друкарських процесів</v>
      </c>
      <c r="F2540" s="17">
        <f>IFERROR(__xludf.DUMMYFUNCTION("""COMPUTED_VALUE"""),4.0)</f>
        <v>4</v>
      </c>
      <c r="G2540" s="17" t="str">
        <f>IFERROR(__xludf.DUMMYFUNCTION("""COMPUTED_VALUE"""),"230925")</f>
        <v>230925</v>
      </c>
      <c r="H2540" s="17" t="str">
        <f>IFERROR(__xludf.DUMMYFUNCTION("""COMPUTED_VALUE"""),"матеріали для друкарських процесів")</f>
        <v>матеріали для друкарських процесів</v>
      </c>
      <c r="I2540" s="19">
        <f>IFERROR(__xludf.DUMMYFUNCTION("""COMPUTED_VALUE"""),0.0727)</f>
        <v>0.0727</v>
      </c>
      <c r="J2540" s="19">
        <f>IFERROR(__xludf.DUMMYFUNCTION("""COMPUTED_VALUE"""),0.1454)</f>
        <v>0.1454</v>
      </c>
      <c r="K2540" s="19">
        <f>IFERROR(__xludf.DUMMYFUNCTION("""COMPUTED_VALUE"""),0.1818)</f>
        <v>0.1818</v>
      </c>
      <c r="L2540" s="19">
        <f>IFERROR(__xludf.DUMMYFUNCTION("""COMPUTED_VALUE"""),0.2181)</f>
        <v>0.2181</v>
      </c>
      <c r="M2540" s="18">
        <f>IFERROR(__xludf.DUMMYFUNCTION("""COMPUTED_VALUE"""),4.05)</f>
        <v>4.05</v>
      </c>
    </row>
    <row r="2541">
      <c r="A2541" s="13" t="str">
        <f>IFERROR(__xludf.DUMMYFUNCTION("""COMPUTED_VALUE"""),"товари")</f>
        <v>товари</v>
      </c>
      <c r="B2541" s="16" t="str">
        <f>IFERROR(__xludf.DUMMYFUNCTION("""COMPUTED_VALUE"""),"обладнання та товари для надання послуг")</f>
        <v>обладнання та товари для надання послуг</v>
      </c>
      <c r="C2541" s="16" t="str">
        <f>IFERROR(__xludf.DUMMYFUNCTION("""COMPUTED_VALUE"""),"обладнання для автосервісу")</f>
        <v>обладнання для автосервісу</v>
      </c>
      <c r="D2541" s="16" t="str">
        <f>IFERROR(__xludf.DUMMYFUNCTION("""COMPUTED_VALUE"""),"матеріали для ремонту і відновлення шин")</f>
        <v>матеріали для ремонту і відновлення шин</v>
      </c>
      <c r="E2541" s="16" t="str">
        <f>IFERROR(__xludf.DUMMYFUNCTION("""COMPUTED_VALUE"""),"матеріали для ремонту і відновлення шин")</f>
        <v>матеріали для ремонту і відновлення шин</v>
      </c>
      <c r="F2541" s="17">
        <f>IFERROR(__xludf.DUMMYFUNCTION("""COMPUTED_VALUE"""),3.0)</f>
        <v>3</v>
      </c>
      <c r="G2541" s="17" t="str">
        <f>IFERROR(__xludf.DUMMYFUNCTION("""COMPUTED_VALUE"""),"121109")</f>
        <v>121109</v>
      </c>
      <c r="H2541" s="17" t="str">
        <f>IFERROR(__xludf.DUMMYFUNCTION("""COMPUTED_VALUE"""),"матеріали для ремонту і відновлення шин")</f>
        <v>матеріали для ремонту і відновлення шин</v>
      </c>
      <c r="I2541" s="19">
        <f>IFERROR(__xludf.DUMMYFUNCTION("""COMPUTED_VALUE"""),0.0447)</f>
        <v>0.0447</v>
      </c>
      <c r="J2541" s="19">
        <f>IFERROR(__xludf.DUMMYFUNCTION("""COMPUTED_VALUE"""),0.0893)</f>
        <v>0.0893</v>
      </c>
      <c r="K2541" s="19">
        <f>IFERROR(__xludf.DUMMYFUNCTION("""COMPUTED_VALUE"""),0.1116)</f>
        <v>0.1116</v>
      </c>
      <c r="L2541" s="19">
        <f>IFERROR(__xludf.DUMMYFUNCTION("""COMPUTED_VALUE"""),0.134)</f>
        <v>0.134</v>
      </c>
      <c r="M2541" s="18">
        <f>IFERROR(__xludf.DUMMYFUNCTION("""COMPUTED_VALUE"""),1.63)</f>
        <v>1.63</v>
      </c>
    </row>
    <row r="2542">
      <c r="A2542" s="13" t="str">
        <f>IFERROR(__xludf.DUMMYFUNCTION("""COMPUTED_VALUE"""),"товари")</f>
        <v>товари</v>
      </c>
      <c r="B2542" s="16" t="str">
        <f>IFERROR(__xludf.DUMMYFUNCTION("""COMPUTED_VALUE"""),"обладнання та товари для надання послуг")</f>
        <v>обладнання та товари для надання послуг</v>
      </c>
      <c r="C2542" s="16" t="str">
        <f>IFERROR(__xludf.DUMMYFUNCTION("""COMPUTED_VALUE"""),"все для салонів краси")</f>
        <v>все для салонів краси</v>
      </c>
      <c r="D2542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542" s="16" t="str">
        <f>IFERROR(__xludf.DUMMYFUNCTION("""COMPUTED_VALUE"""),"матеріали і засоби для парафінотерапії")</f>
        <v>матеріали і засоби для парафінотерапії</v>
      </c>
      <c r="F2542" s="17">
        <f>IFERROR(__xludf.DUMMYFUNCTION("""COMPUTED_VALUE"""),4.0)</f>
        <v>4</v>
      </c>
      <c r="G2542" s="17" t="str">
        <f>IFERROR(__xludf.DUMMYFUNCTION("""COMPUTED_VALUE"""),"161408")</f>
        <v>161408</v>
      </c>
      <c r="H2542" s="17" t="str">
        <f>IFERROR(__xludf.DUMMYFUNCTION("""COMPUTED_VALUE"""),"матеріали і засоби для парафінотерапії")</f>
        <v>матеріали і засоби для парафінотерапії</v>
      </c>
      <c r="I2542" s="19">
        <f>IFERROR(__xludf.DUMMYFUNCTION("""COMPUTED_VALUE"""),0.075)</f>
        <v>0.075</v>
      </c>
      <c r="J2542" s="19">
        <f>IFERROR(__xludf.DUMMYFUNCTION("""COMPUTED_VALUE"""),0.15)</f>
        <v>0.15</v>
      </c>
      <c r="K2542" s="19">
        <f>IFERROR(__xludf.DUMMYFUNCTION("""COMPUTED_VALUE"""),0.1875)</f>
        <v>0.1875</v>
      </c>
      <c r="L2542" s="19">
        <f>IFERROR(__xludf.DUMMYFUNCTION("""COMPUTED_VALUE"""),0.225)</f>
        <v>0.225</v>
      </c>
      <c r="M2542" s="18">
        <f>IFERROR(__xludf.DUMMYFUNCTION("""COMPUTED_VALUE"""),3.33)</f>
        <v>3.33</v>
      </c>
    </row>
    <row r="2543">
      <c r="A2543" s="13" t="str">
        <f>IFERROR(__xludf.DUMMYFUNCTION("""COMPUTED_VALUE"""),"товари")</f>
        <v>товари</v>
      </c>
      <c r="B2543" s="16" t="str">
        <f>IFERROR(__xludf.DUMMYFUNCTION("""COMPUTED_VALUE"""),"обладнання та товари для надання послуг")</f>
        <v>обладнання та товари для надання послуг</v>
      </c>
      <c r="C2543" s="16" t="str">
        <f>IFERROR(__xludf.DUMMYFUNCTION("""COMPUTED_VALUE"""),"швейні матеріали та обладнання")</f>
        <v>швейні матеріали та обладнання</v>
      </c>
      <c r="D2543" s="16" t="str">
        <f>IFERROR(__xludf.DUMMYFUNCTION("""COMPUTED_VALUE"""),"комплектуючі та матеріали для взуття")</f>
        <v>комплектуючі та матеріали для взуття</v>
      </c>
      <c r="E2543" s="16" t="str">
        <f>IFERROR(__xludf.DUMMYFUNCTION("""COMPUTED_VALUE"""),"матеріали та фурнітура для взуттєвого виробництва")</f>
        <v>матеріали та фурнітура для взуттєвого виробництва</v>
      </c>
      <c r="F2543" s="17">
        <f>IFERROR(__xludf.DUMMYFUNCTION("""COMPUTED_VALUE"""),4.0)</f>
        <v>4</v>
      </c>
      <c r="G2543" s="17" t="str">
        <f>IFERROR(__xludf.DUMMYFUNCTION("""COMPUTED_VALUE"""),"3221001")</f>
        <v>3221001</v>
      </c>
      <c r="H2543" s="17" t="str">
        <f>IFERROR(__xludf.DUMMYFUNCTION("""COMPUTED_VALUE"""),"матеріали та фурнітура для взуттєвого виробництва")</f>
        <v>матеріали та фурнітура для взуттєвого виробництва</v>
      </c>
      <c r="I2543" s="19">
        <f>IFERROR(__xludf.DUMMYFUNCTION("""COMPUTED_VALUE"""),0.0809)</f>
        <v>0.0809</v>
      </c>
      <c r="J2543" s="19">
        <f>IFERROR(__xludf.DUMMYFUNCTION("""COMPUTED_VALUE"""),0.1617)</f>
        <v>0.1617</v>
      </c>
      <c r="K2543" s="19">
        <f>IFERROR(__xludf.DUMMYFUNCTION("""COMPUTED_VALUE"""),0.2021)</f>
        <v>0.2021</v>
      </c>
      <c r="L2543" s="19">
        <f>IFERROR(__xludf.DUMMYFUNCTION("""COMPUTED_VALUE"""),0.2426)</f>
        <v>0.2426</v>
      </c>
      <c r="M2543" s="18">
        <f>IFERROR(__xludf.DUMMYFUNCTION("""COMPUTED_VALUE"""),1.71)</f>
        <v>1.71</v>
      </c>
    </row>
    <row r="2544">
      <c r="A2544" s="13" t="str">
        <f>IFERROR(__xludf.DUMMYFUNCTION("""COMPUTED_VALUE"""),"товари")</f>
        <v>товари</v>
      </c>
      <c r="B2544" s="16" t="str">
        <f>IFERROR(__xludf.DUMMYFUNCTION("""COMPUTED_VALUE"""),"обладнання та товари для надання послуг")</f>
        <v>обладнання та товари для надання послуг</v>
      </c>
      <c r="C2544" s="16" t="str">
        <f>IFERROR(__xludf.DUMMYFUNCTION("""COMPUTED_VALUE"""),"комерційні меблі")</f>
        <v>комерційні меблі</v>
      </c>
      <c r="D2544" s="16" t="str">
        <f>IFERROR(__xludf.DUMMYFUNCTION("""COMPUTED_VALUE"""),"меблі для дошкільних установ")</f>
        <v>меблі для дошкільних установ</v>
      </c>
      <c r="E2544" s="16" t="str">
        <f>IFERROR(__xludf.DUMMYFUNCTION("""COMPUTED_VALUE"""),"меблі для дошкільних установ, загальне")</f>
        <v>меблі для дошкільних установ, загальне</v>
      </c>
      <c r="F2544" s="17">
        <f>IFERROR(__xludf.DUMMYFUNCTION("""COMPUTED_VALUE"""),4.0)</f>
        <v>4</v>
      </c>
      <c r="G2544" s="17" t="str">
        <f>IFERROR(__xludf.DUMMYFUNCTION("""COMPUTED_VALUE"""),"15030805")</f>
        <v>15030805</v>
      </c>
      <c r="H2544" s="17" t="str">
        <f>IFERROR(__xludf.DUMMYFUNCTION("""COMPUTED_VALUE"""),"меблі для дошкільних установ, загальне")</f>
        <v>меблі для дошкільних установ, загальне</v>
      </c>
      <c r="I2544" s="19">
        <f>IFERROR(__xludf.DUMMYFUNCTION("""COMPUTED_VALUE"""),0.125)</f>
        <v>0.125</v>
      </c>
      <c r="J2544" s="19">
        <f>IFERROR(__xludf.DUMMYFUNCTION("""COMPUTED_VALUE"""),0.25)</f>
        <v>0.25</v>
      </c>
      <c r="K2544" s="19">
        <f>IFERROR(__xludf.DUMMYFUNCTION("""COMPUTED_VALUE"""),0.3125)</f>
        <v>0.3125</v>
      </c>
      <c r="L2544" s="19">
        <f>IFERROR(__xludf.DUMMYFUNCTION("""COMPUTED_VALUE"""),0.375)</f>
        <v>0.375</v>
      </c>
      <c r="M2544" s="18">
        <f>IFERROR(__xludf.DUMMYFUNCTION("""COMPUTED_VALUE"""),4.33)</f>
        <v>4.33</v>
      </c>
    </row>
    <row r="2545">
      <c r="A2545" s="13" t="str">
        <f>IFERROR(__xludf.DUMMYFUNCTION("""COMPUTED_VALUE"""),"товари")</f>
        <v>товари</v>
      </c>
      <c r="B2545" s="16" t="str">
        <f>IFERROR(__xludf.DUMMYFUNCTION("""COMPUTED_VALUE"""),"обладнання та товари для надання послуг")</f>
        <v>обладнання та товари для надання послуг</v>
      </c>
      <c r="C2545" s="16" t="str">
        <f>IFERROR(__xludf.DUMMYFUNCTION("""COMPUTED_VALUE"""),"комерційні меблі")</f>
        <v>комерційні меблі</v>
      </c>
      <c r="D2545" s="16" t="str">
        <f>IFERROR(__xludf.DUMMYFUNCTION("""COMPUTED_VALUE"""),"меблі для салонів краси")</f>
        <v>меблі для салонів краси</v>
      </c>
      <c r="E2545" s="16" t="str">
        <f>IFERROR(__xludf.DUMMYFUNCTION("""COMPUTED_VALUE"""),"меблі для салонів краси, загальне")</f>
        <v>меблі для салонів краси, загальне</v>
      </c>
      <c r="F2545" s="17">
        <f>IFERROR(__xludf.DUMMYFUNCTION("""COMPUTED_VALUE"""),4.0)</f>
        <v>4</v>
      </c>
      <c r="G2545" s="17" t="str">
        <f>IFERROR(__xludf.DUMMYFUNCTION("""COMPUTED_VALUE"""),"1503080103")</f>
        <v>1503080103</v>
      </c>
      <c r="H2545" s="17" t="str">
        <f>IFERROR(__xludf.DUMMYFUNCTION("""COMPUTED_VALUE"""),"меблі для салонів краси, загальне")</f>
        <v>меблі для салонів краси, загальне</v>
      </c>
      <c r="I2545" s="19">
        <f>IFERROR(__xludf.DUMMYFUNCTION("""COMPUTED_VALUE"""),0.125)</f>
        <v>0.125</v>
      </c>
      <c r="J2545" s="19">
        <f>IFERROR(__xludf.DUMMYFUNCTION("""COMPUTED_VALUE"""),0.25)</f>
        <v>0.25</v>
      </c>
      <c r="K2545" s="19">
        <f>IFERROR(__xludf.DUMMYFUNCTION("""COMPUTED_VALUE"""),0.3125)</f>
        <v>0.3125</v>
      </c>
      <c r="L2545" s="19">
        <f>IFERROR(__xludf.DUMMYFUNCTION("""COMPUTED_VALUE"""),0.375)</f>
        <v>0.375</v>
      </c>
      <c r="M2545" s="18">
        <f>IFERROR(__xludf.DUMMYFUNCTION("""COMPUTED_VALUE"""),4.33)</f>
        <v>4.33</v>
      </c>
    </row>
    <row r="2546">
      <c r="A2546" s="13" t="str">
        <f>IFERROR(__xludf.DUMMYFUNCTION("""COMPUTED_VALUE"""),"товари")</f>
        <v>товари</v>
      </c>
      <c r="B2546" s="16" t="str">
        <f>IFERROR(__xludf.DUMMYFUNCTION("""COMPUTED_VALUE"""),"обладнання та товари для надання послуг")</f>
        <v>обладнання та товари для надання послуг</v>
      </c>
      <c r="C2546" s="16" t="str">
        <f>IFERROR(__xludf.DUMMYFUNCTION("""COMPUTED_VALUE"""),"комерційні меблі")</f>
        <v>комерційні меблі</v>
      </c>
      <c r="D2546" s="16" t="str">
        <f>IFERROR(__xludf.DUMMYFUNCTION("""COMPUTED_VALUE"""),"меблі для установ")</f>
        <v>меблі для установ</v>
      </c>
      <c r="E2546" s="16" t="str">
        <f>IFERROR(__xludf.DUMMYFUNCTION("""COMPUTED_VALUE"""),"меблі для установ, загальне")</f>
        <v>меблі для установ, загальне</v>
      </c>
      <c r="F2546" s="17">
        <f>IFERROR(__xludf.DUMMYFUNCTION("""COMPUTED_VALUE"""),4.0)</f>
        <v>4</v>
      </c>
      <c r="G2546" s="17" t="str">
        <f>IFERROR(__xludf.DUMMYFUNCTION("""COMPUTED_VALUE"""),"15030116")</f>
        <v>15030116</v>
      </c>
      <c r="H2546" s="17" t="str">
        <f>IFERROR(__xludf.DUMMYFUNCTION("""COMPUTED_VALUE"""),"меблі для установ, загальне")</f>
        <v>меблі для установ, загальне</v>
      </c>
      <c r="I2546" s="19">
        <f>IFERROR(__xludf.DUMMYFUNCTION("""COMPUTED_VALUE"""),0.125)</f>
        <v>0.125</v>
      </c>
      <c r="J2546" s="19">
        <f>IFERROR(__xludf.DUMMYFUNCTION("""COMPUTED_VALUE"""),0.25)</f>
        <v>0.25</v>
      </c>
      <c r="K2546" s="19">
        <f>IFERROR(__xludf.DUMMYFUNCTION("""COMPUTED_VALUE"""),0.3125)</f>
        <v>0.3125</v>
      </c>
      <c r="L2546" s="19">
        <f>IFERROR(__xludf.DUMMYFUNCTION("""COMPUTED_VALUE"""),0.375)</f>
        <v>0.375</v>
      </c>
      <c r="M2546" s="18">
        <f>IFERROR(__xludf.DUMMYFUNCTION("""COMPUTED_VALUE"""),4.33)</f>
        <v>4.33</v>
      </c>
    </row>
    <row r="2547">
      <c r="A2547" s="13" t="str">
        <f>IFERROR(__xludf.DUMMYFUNCTION("""COMPUTED_VALUE"""),"товари")</f>
        <v>товари</v>
      </c>
      <c r="B2547" s="16" t="str">
        <f>IFERROR(__xludf.DUMMYFUNCTION("""COMPUTED_VALUE"""),"обладнання та товари для надання послуг")</f>
        <v>обладнання та товари для надання послуг</v>
      </c>
      <c r="C2547" s="16" t="str">
        <f>IFERROR(__xludf.DUMMYFUNCTION("""COMPUTED_VALUE"""),"комерційні меблі")</f>
        <v>комерційні меблі</v>
      </c>
      <c r="D2547" s="16" t="str">
        <f>IFERROR(__xludf.DUMMYFUNCTION("""COMPUTED_VALUE"""),"медичні меблі")</f>
        <v>медичні меблі</v>
      </c>
      <c r="E2547" s="16" t="str">
        <f>IFERROR(__xludf.DUMMYFUNCTION("""COMPUTED_VALUE"""),"медичні меблі, загальне")</f>
        <v>медичні меблі, загальне</v>
      </c>
      <c r="F2547" s="17">
        <f>IFERROR(__xludf.DUMMYFUNCTION("""COMPUTED_VALUE"""),4.0)</f>
        <v>4</v>
      </c>
      <c r="G2547" s="17" t="str">
        <f>IFERROR(__xludf.DUMMYFUNCTION("""COMPUTED_VALUE"""),"37021007")</f>
        <v>37021007</v>
      </c>
      <c r="H2547" s="17" t="str">
        <f>IFERROR(__xludf.DUMMYFUNCTION("""COMPUTED_VALUE"""),"медичні меблі, загальне")</f>
        <v>медичні меблі, загальне</v>
      </c>
      <c r="I2547" s="19">
        <f>IFERROR(__xludf.DUMMYFUNCTION("""COMPUTED_VALUE"""),0.125)</f>
        <v>0.125</v>
      </c>
      <c r="J2547" s="19">
        <f>IFERROR(__xludf.DUMMYFUNCTION("""COMPUTED_VALUE"""),0.25)</f>
        <v>0.25</v>
      </c>
      <c r="K2547" s="19">
        <f>IFERROR(__xludf.DUMMYFUNCTION("""COMPUTED_VALUE"""),0.3125)</f>
        <v>0.3125</v>
      </c>
      <c r="L2547" s="19">
        <f>IFERROR(__xludf.DUMMYFUNCTION("""COMPUTED_VALUE"""),0.375)</f>
        <v>0.375</v>
      </c>
      <c r="M2547" s="18">
        <f>IFERROR(__xludf.DUMMYFUNCTION("""COMPUTED_VALUE"""),4.33)</f>
        <v>4.33</v>
      </c>
    </row>
    <row r="2548">
      <c r="A2548" s="13" t="str">
        <f>IFERROR(__xludf.DUMMYFUNCTION("""COMPUTED_VALUE"""),"товари")</f>
        <v>товари</v>
      </c>
      <c r="B2548" s="16" t="str">
        <f>IFERROR(__xludf.DUMMYFUNCTION("""COMPUTED_VALUE"""),"обладнання та товари для надання послуг")</f>
        <v>обладнання та товари для надання послуг</v>
      </c>
      <c r="C2548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548" s="16" t="str">
        <f>IFERROR(__xludf.DUMMYFUNCTION("""COMPUTED_VALUE"""),"pos-матеріали")</f>
        <v>pos-матеріали</v>
      </c>
      <c r="E2548" s="16" t="str">
        <f>IFERROR(__xludf.DUMMYFUNCTION("""COMPUTED_VALUE"""),"аксесуари для подачі меню та рахунку")</f>
        <v>аксесуари для подачі меню та рахунку</v>
      </c>
      <c r="F2548" s="17">
        <f>IFERROR(__xludf.DUMMYFUNCTION("""COMPUTED_VALUE"""),4.0)</f>
        <v>4</v>
      </c>
      <c r="G2548" s="17" t="str">
        <f>IFERROR(__xludf.DUMMYFUNCTION("""COMPUTED_VALUE"""),"281976")</f>
        <v>281976</v>
      </c>
      <c r="H2548" s="17" t="str">
        <f>IFERROR(__xludf.DUMMYFUNCTION("""COMPUTED_VALUE"""),"аксесуари для подачі меню та рахунку")</f>
        <v>аксесуари для подачі меню та рахунку</v>
      </c>
      <c r="I2548" s="19">
        <f>IFERROR(__xludf.DUMMYFUNCTION("""COMPUTED_VALUE"""),0.0719)</f>
        <v>0.0719</v>
      </c>
      <c r="J2548" s="19">
        <f>IFERROR(__xludf.DUMMYFUNCTION("""COMPUTED_VALUE"""),0.1438)</f>
        <v>0.1438</v>
      </c>
      <c r="K2548" s="19">
        <f>IFERROR(__xludf.DUMMYFUNCTION("""COMPUTED_VALUE"""),0.1798)</f>
        <v>0.1798</v>
      </c>
      <c r="L2548" s="19">
        <f>IFERROR(__xludf.DUMMYFUNCTION("""COMPUTED_VALUE"""),0.2157)</f>
        <v>0.2157</v>
      </c>
      <c r="M2548" s="18">
        <f>IFERROR(__xludf.DUMMYFUNCTION("""COMPUTED_VALUE"""),1.71)</f>
        <v>1.71</v>
      </c>
    </row>
    <row r="2549">
      <c r="A2549" s="13" t="str">
        <f>IFERROR(__xludf.DUMMYFUNCTION("""COMPUTED_VALUE"""),"товари")</f>
        <v>товари</v>
      </c>
      <c r="B2549" s="16" t="str">
        <f>IFERROR(__xludf.DUMMYFUNCTION("""COMPUTED_VALUE"""),"обладнання та товари для надання послуг")</f>
        <v>обладнання та товари для надання послуг</v>
      </c>
      <c r="C2549" s="16" t="str">
        <f>IFERROR(__xludf.DUMMYFUNCTION("""COMPUTED_VALUE"""),"все для салонів краси")</f>
        <v>все для салонів краси</v>
      </c>
      <c r="D2549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549" s="16" t="str">
        <f>IFERROR(__xludf.DUMMYFUNCTION("""COMPUTED_VALUE"""),"мийки перукарні")</f>
        <v>мийки перукарні</v>
      </c>
      <c r="F2549" s="17">
        <f>IFERROR(__xludf.DUMMYFUNCTION("""COMPUTED_VALUE"""),4.0)</f>
        <v>4</v>
      </c>
      <c r="G2549" s="17" t="str">
        <f>IFERROR(__xludf.DUMMYFUNCTION("""COMPUTED_VALUE"""),"282975")</f>
        <v>282975</v>
      </c>
      <c r="H2549" s="17" t="str">
        <f>IFERROR(__xludf.DUMMYFUNCTION("""COMPUTED_VALUE"""),"мийки перукарні")</f>
        <v>мийки перукарні</v>
      </c>
      <c r="I2549" s="19">
        <f>IFERROR(__xludf.DUMMYFUNCTION("""COMPUTED_VALUE"""),0.0786)</f>
        <v>0.0786</v>
      </c>
      <c r="J2549" s="19">
        <f>IFERROR(__xludf.DUMMYFUNCTION("""COMPUTED_VALUE"""),0.1572)</f>
        <v>0.1572</v>
      </c>
      <c r="K2549" s="19">
        <f>IFERROR(__xludf.DUMMYFUNCTION("""COMPUTED_VALUE"""),0.1965)</f>
        <v>0.1965</v>
      </c>
      <c r="L2549" s="19">
        <f>IFERROR(__xludf.DUMMYFUNCTION("""COMPUTED_VALUE"""),0.2358)</f>
        <v>0.2358</v>
      </c>
      <c r="M2549" s="18">
        <f>IFERROR(__xludf.DUMMYFUNCTION("""COMPUTED_VALUE"""),3.33)</f>
        <v>3.33</v>
      </c>
    </row>
    <row r="2550">
      <c r="A2550" s="13" t="str">
        <f>IFERROR(__xludf.DUMMYFUNCTION("""COMPUTED_VALUE"""),"товари")</f>
        <v>товари</v>
      </c>
      <c r="B2550" s="16" t="str">
        <f>IFERROR(__xludf.DUMMYFUNCTION("""COMPUTED_VALUE"""),"обладнання та товари для надання послуг")</f>
        <v>обладнання та товари для надання послуг</v>
      </c>
      <c r="C2550" s="16" t="str">
        <f>IFERROR(__xludf.DUMMYFUNCTION("""COMPUTED_VALUE"""),"професійне аудіо-, відео-, фото обладнання")</f>
        <v>професійне аудіо-, відео-, фото обладнання</v>
      </c>
      <c r="D2550" s="16" t="str">
        <f>IFERROR(__xludf.DUMMYFUNCTION("""COMPUTED_VALUE"""),"мікрофонні стійки, утримувачі")</f>
        <v>мікрофонні стійки, утримувачі</v>
      </c>
      <c r="E2550" s="16" t="str">
        <f>IFERROR(__xludf.DUMMYFUNCTION("""COMPUTED_VALUE"""),"мікрофонні стійки, утримувачі")</f>
        <v>мікрофонні стійки, утримувачі</v>
      </c>
      <c r="F2550" s="17">
        <f>IFERROR(__xludf.DUMMYFUNCTION("""COMPUTED_VALUE"""),3.0)</f>
        <v>3</v>
      </c>
      <c r="G2550" s="17" t="str">
        <f>IFERROR(__xludf.DUMMYFUNCTION("""COMPUTED_VALUE"""),"180561")</f>
        <v>180561</v>
      </c>
      <c r="H2550" s="17" t="str">
        <f>IFERROR(__xludf.DUMMYFUNCTION("""COMPUTED_VALUE"""),"мікрофонні стійки, утримувачі")</f>
        <v>мікрофонні стійки, утримувачі</v>
      </c>
      <c r="I2550" s="19">
        <f>IFERROR(__xludf.DUMMYFUNCTION("""COMPUTED_VALUE"""),0.0723)</f>
        <v>0.0723</v>
      </c>
      <c r="J2550" s="19">
        <f>IFERROR(__xludf.DUMMYFUNCTION("""COMPUTED_VALUE"""),0.1446)</f>
        <v>0.1446</v>
      </c>
      <c r="K2550" s="19">
        <f>IFERROR(__xludf.DUMMYFUNCTION("""COMPUTED_VALUE"""),0.1808)</f>
        <v>0.1808</v>
      </c>
      <c r="L2550" s="19">
        <f>IFERROR(__xludf.DUMMYFUNCTION("""COMPUTED_VALUE"""),0.2169)</f>
        <v>0.2169</v>
      </c>
      <c r="M2550" s="18">
        <f>IFERROR(__xludf.DUMMYFUNCTION("""COMPUTED_VALUE"""),1.98)</f>
        <v>1.98</v>
      </c>
    </row>
    <row r="2551">
      <c r="A2551" s="13" t="str">
        <f>IFERROR(__xludf.DUMMYFUNCTION("""COMPUTED_VALUE"""),"товари")</f>
        <v>товари</v>
      </c>
      <c r="B2551" s="16" t="str">
        <f>IFERROR(__xludf.DUMMYFUNCTION("""COMPUTED_VALUE"""),"обладнання та товари для надання послуг")</f>
        <v>обладнання та товари для надання послуг</v>
      </c>
      <c r="C2551" s="16" t="str">
        <f>IFERROR(__xludf.DUMMYFUNCTION("""COMPUTED_VALUE"""),"horeca&amp;fast-food")</f>
        <v>horeca&amp;fast-food</v>
      </c>
      <c r="D2551" s="16" t="str">
        <f>IFERROR(__xludf.DUMMYFUNCTION("""COMPUTED_VALUE"""),"електромеханічне обладнання horeca&amp;fast-food")</f>
        <v>електромеханічне обладнання horeca&amp;fast-food</v>
      </c>
      <c r="E2551" s="16" t="str">
        <f>IFERROR(__xludf.DUMMYFUNCTION("""COMPUTED_VALUE"""),"міксери і тістоміси професійні")</f>
        <v>міксери і тістоміси професійні</v>
      </c>
      <c r="F2551" s="17">
        <f>IFERROR(__xludf.DUMMYFUNCTION("""COMPUTED_VALUE"""),4.0)</f>
        <v>4</v>
      </c>
      <c r="G2551" s="17" t="str">
        <f>IFERROR(__xludf.DUMMYFUNCTION("""COMPUTED_VALUE"""),"240627")</f>
        <v>240627</v>
      </c>
      <c r="H2551" s="17" t="str">
        <f>IFERROR(__xludf.DUMMYFUNCTION("""COMPUTED_VALUE"""),"міксери і тістоміси професійні")</f>
        <v>міксери і тістоміси професійні</v>
      </c>
      <c r="I2551" s="19">
        <f>IFERROR(__xludf.DUMMYFUNCTION("""COMPUTED_VALUE"""),0.0513)</f>
        <v>0.0513</v>
      </c>
      <c r="J2551" s="19">
        <f>IFERROR(__xludf.DUMMYFUNCTION("""COMPUTED_VALUE"""),0.1026)</f>
        <v>0.1026</v>
      </c>
      <c r="K2551" s="19">
        <f>IFERROR(__xludf.DUMMYFUNCTION("""COMPUTED_VALUE"""),0.1283)</f>
        <v>0.1283</v>
      </c>
      <c r="L2551" s="19">
        <f>IFERROR(__xludf.DUMMYFUNCTION("""COMPUTED_VALUE"""),0.1539)</f>
        <v>0.1539</v>
      </c>
      <c r="M2551" s="18">
        <f>IFERROR(__xludf.DUMMYFUNCTION("""COMPUTED_VALUE"""),3.6)</f>
        <v>3.6</v>
      </c>
    </row>
    <row r="2552">
      <c r="A2552" s="13" t="str">
        <f>IFERROR(__xludf.DUMMYFUNCTION("""COMPUTED_VALUE"""),"товари")</f>
        <v>товари</v>
      </c>
      <c r="B2552" s="16" t="str">
        <f>IFERROR(__xludf.DUMMYFUNCTION("""COMPUTED_VALUE"""),"обладнання та товари для надання послуг")</f>
        <v>обладнання та товари для надання послуг</v>
      </c>
      <c r="C2552" s="16" t="str">
        <f>IFERROR(__xludf.DUMMYFUNCTION("""COMPUTED_VALUE"""),"все для салонів краси")</f>
        <v>все для салонів краси</v>
      </c>
      <c r="D2552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552" s="16" t="str">
        <f>IFERROR(__xludf.DUMMYFUNCTION("""COMPUTED_VALUE"""),"міні холодильники для косметики")</f>
        <v>міні холодильники для косметики</v>
      </c>
      <c r="F2552" s="17">
        <f>IFERROR(__xludf.DUMMYFUNCTION("""COMPUTED_VALUE"""),4.0)</f>
        <v>4</v>
      </c>
      <c r="G2552" s="17" t="str">
        <f>IFERROR(__xludf.DUMMYFUNCTION("""COMPUTED_VALUE"""),"283094")</f>
        <v>283094</v>
      </c>
      <c r="H2552" s="17" t="str">
        <f>IFERROR(__xludf.DUMMYFUNCTION("""COMPUTED_VALUE"""),"міні холодильники для косметики")</f>
        <v>міні холодильники для косметики</v>
      </c>
      <c r="I2552" s="19">
        <f>IFERROR(__xludf.DUMMYFUNCTION("""COMPUTED_VALUE"""),0.075)</f>
        <v>0.075</v>
      </c>
      <c r="J2552" s="19">
        <f>IFERROR(__xludf.DUMMYFUNCTION("""COMPUTED_VALUE"""),0.15)</f>
        <v>0.15</v>
      </c>
      <c r="K2552" s="19">
        <f>IFERROR(__xludf.DUMMYFUNCTION("""COMPUTED_VALUE"""),0.1875)</f>
        <v>0.1875</v>
      </c>
      <c r="L2552" s="19">
        <f>IFERROR(__xludf.DUMMYFUNCTION("""COMPUTED_VALUE"""),0.225)</f>
        <v>0.225</v>
      </c>
      <c r="M2552" s="18">
        <f>IFERROR(__xludf.DUMMYFUNCTION("""COMPUTED_VALUE"""),3.33)</f>
        <v>3.33</v>
      </c>
    </row>
    <row r="2553">
      <c r="A2553" s="13" t="str">
        <f>IFERROR(__xludf.DUMMYFUNCTION("""COMPUTED_VALUE"""),"товари")</f>
        <v>товари</v>
      </c>
      <c r="B2553" s="16" t="str">
        <f>IFERROR(__xludf.DUMMYFUNCTION("""COMPUTED_VALUE"""),"обладнання та товари для надання послуг")</f>
        <v>обладнання та товари для надання послуг</v>
      </c>
      <c r="C2553" s="16" t="str">
        <f>IFERROR(__xludf.DUMMYFUNCTION("""COMPUTED_VALUE"""),"обладнання для торгівлі")</f>
        <v>обладнання для торгівлі</v>
      </c>
      <c r="D2553" s="16" t="str">
        <f>IFERROR(__xludf.DUMMYFUNCTION("""COMPUTED_VALUE"""),"касове/прикасове обладнання")</f>
        <v>касове/прикасове обладнання</v>
      </c>
      <c r="E2553" s="16" t="str">
        <f>IFERROR(__xludf.DUMMYFUNCTION("""COMPUTED_VALUE"""),"монетниці")</f>
        <v>монетниці</v>
      </c>
      <c r="F2553" s="17">
        <f>IFERROR(__xludf.DUMMYFUNCTION("""COMPUTED_VALUE"""),4.0)</f>
        <v>4</v>
      </c>
      <c r="G2553" s="17" t="str">
        <f>IFERROR(__xludf.DUMMYFUNCTION("""COMPUTED_VALUE"""),"283007")</f>
        <v>283007</v>
      </c>
      <c r="H2553" s="17" t="str">
        <f>IFERROR(__xludf.DUMMYFUNCTION("""COMPUTED_VALUE"""),"монетниці")</f>
        <v>монетниці</v>
      </c>
      <c r="I2553" s="19">
        <f>IFERROR(__xludf.DUMMYFUNCTION("""COMPUTED_VALUE"""),0.0745)</f>
        <v>0.0745</v>
      </c>
      <c r="J2553" s="19">
        <f>IFERROR(__xludf.DUMMYFUNCTION("""COMPUTED_VALUE"""),0.149)</f>
        <v>0.149</v>
      </c>
      <c r="K2553" s="19">
        <f>IFERROR(__xludf.DUMMYFUNCTION("""COMPUTED_VALUE"""),0.1863)</f>
        <v>0.1863</v>
      </c>
      <c r="L2553" s="19">
        <f>IFERROR(__xludf.DUMMYFUNCTION("""COMPUTED_VALUE"""),0.2235)</f>
        <v>0.2235</v>
      </c>
      <c r="M2553" s="18">
        <f>IFERROR(__xludf.DUMMYFUNCTION("""COMPUTED_VALUE"""),4.43)</f>
        <v>4.43</v>
      </c>
    </row>
    <row r="2554">
      <c r="A2554" s="13" t="str">
        <f>IFERROR(__xludf.DUMMYFUNCTION("""COMPUTED_VALUE"""),"товари")</f>
        <v>товари</v>
      </c>
      <c r="B2554" s="16" t="str">
        <f>IFERROR(__xludf.DUMMYFUNCTION("""COMPUTED_VALUE"""),"обладнання та товари для надання послуг")</f>
        <v>обладнання та товари для надання послуг</v>
      </c>
      <c r="C2554" s="16" t="str">
        <f>IFERROR(__xludf.DUMMYFUNCTION("""COMPUTED_VALUE"""),"обладнання для навчальних закладів")</f>
        <v>обладнання для навчальних закладів</v>
      </c>
      <c r="D2554" s="16" t="str">
        <f>IFERROR(__xludf.DUMMYFUNCTION("""COMPUTED_VALUE"""),"навчальні плакати")</f>
        <v>навчальні плакати</v>
      </c>
      <c r="E2554" s="16" t="str">
        <f>IFERROR(__xludf.DUMMYFUNCTION("""COMPUTED_VALUE"""),"навчальні плакати")</f>
        <v>навчальні плакати</v>
      </c>
      <c r="F2554" s="17">
        <f>IFERROR(__xludf.DUMMYFUNCTION("""COMPUTED_VALUE"""),3.0)</f>
        <v>3</v>
      </c>
      <c r="G2554" s="17" t="str">
        <f>IFERROR(__xludf.DUMMYFUNCTION("""COMPUTED_VALUE"""),"282942")</f>
        <v>282942</v>
      </c>
      <c r="H2554" s="17" t="str">
        <f>IFERROR(__xludf.DUMMYFUNCTION("""COMPUTED_VALUE"""),"навчальні плакати")</f>
        <v>навчальні плакати</v>
      </c>
      <c r="I2554" s="19">
        <f>IFERROR(__xludf.DUMMYFUNCTION("""COMPUTED_VALUE"""),0.0754)</f>
        <v>0.0754</v>
      </c>
      <c r="J2554" s="19">
        <f>IFERROR(__xludf.DUMMYFUNCTION("""COMPUTED_VALUE"""),0.1507)</f>
        <v>0.1507</v>
      </c>
      <c r="K2554" s="19">
        <f>IFERROR(__xludf.DUMMYFUNCTION("""COMPUTED_VALUE"""),0.1884)</f>
        <v>0.1884</v>
      </c>
      <c r="L2554" s="19">
        <f>IFERROR(__xludf.DUMMYFUNCTION("""COMPUTED_VALUE"""),0.2261)</f>
        <v>0.2261</v>
      </c>
      <c r="M2554" s="18">
        <f>IFERROR(__xludf.DUMMYFUNCTION("""COMPUTED_VALUE"""),1.26)</f>
        <v>1.26</v>
      </c>
    </row>
    <row r="2555">
      <c r="A2555" s="13" t="str">
        <f>IFERROR(__xludf.DUMMYFUNCTION("""COMPUTED_VALUE"""),"товари")</f>
        <v>товари</v>
      </c>
      <c r="B2555" s="16" t="str">
        <f>IFERROR(__xludf.DUMMYFUNCTION("""COMPUTED_VALUE"""),"обладнання та товари для надання послуг")</f>
        <v>обладнання та товари для надання послуг</v>
      </c>
      <c r="C2555" s="16" t="str">
        <f>IFERROR(__xludf.DUMMYFUNCTION("""COMPUTED_VALUE"""),"швейні матеріали та обладнання")</f>
        <v>швейні матеріали та обладнання</v>
      </c>
      <c r="D2555" s="16" t="str">
        <f>IFERROR(__xludf.DUMMYFUNCTION("""COMPUTED_VALUE"""),"швейні аксесуари і фурнітура")</f>
        <v>швейні аксесуари і фурнітура</v>
      </c>
      <c r="E2555" s="16" t="str">
        <f>IFERROR(__xludf.DUMMYFUNCTION("""COMPUTED_VALUE"""),"наконечники та люверси")</f>
        <v>наконечники та люверси</v>
      </c>
      <c r="F2555" s="17">
        <f>IFERROR(__xludf.DUMMYFUNCTION("""COMPUTED_VALUE"""),4.0)</f>
        <v>4</v>
      </c>
      <c r="G2555" s="17" t="str">
        <f>IFERROR(__xludf.DUMMYFUNCTION("""COMPUTED_VALUE"""),"32808")</f>
        <v>32808</v>
      </c>
      <c r="H2555" s="17" t="str">
        <f>IFERROR(__xludf.DUMMYFUNCTION("""COMPUTED_VALUE"""),"наконечники та люверси")</f>
        <v>наконечники та люверси</v>
      </c>
      <c r="I2555" s="19">
        <f>IFERROR(__xludf.DUMMYFUNCTION("""COMPUTED_VALUE"""),0.0779)</f>
        <v>0.0779</v>
      </c>
      <c r="J2555" s="19">
        <f>IFERROR(__xludf.DUMMYFUNCTION("""COMPUTED_VALUE"""),0.1557)</f>
        <v>0.1557</v>
      </c>
      <c r="K2555" s="19">
        <f>IFERROR(__xludf.DUMMYFUNCTION("""COMPUTED_VALUE"""),0.1946)</f>
        <v>0.1946</v>
      </c>
      <c r="L2555" s="19">
        <f>IFERROR(__xludf.DUMMYFUNCTION("""COMPUTED_VALUE"""),0.2336)</f>
        <v>0.2336</v>
      </c>
      <c r="M2555" s="18">
        <f>IFERROR(__xludf.DUMMYFUNCTION("""COMPUTED_VALUE"""),2.61)</f>
        <v>2.61</v>
      </c>
    </row>
    <row r="2556">
      <c r="A2556" s="13" t="str">
        <f>IFERROR(__xludf.DUMMYFUNCTION("""COMPUTED_VALUE"""),"товари")</f>
        <v>товари</v>
      </c>
      <c r="B2556" s="16" t="str">
        <f>IFERROR(__xludf.DUMMYFUNCTION("""COMPUTED_VALUE"""),"обладнання та товари для надання послуг")</f>
        <v>обладнання та товари для надання послуг</v>
      </c>
      <c r="C2556" s="16" t="str">
        <f>IFERROR(__xludf.DUMMYFUNCTION("""COMPUTED_VALUE"""),"horeca&amp;fast-food")</f>
        <v>horeca&amp;fast-food</v>
      </c>
      <c r="D2556" s="16" t="str">
        <f>IFERROR(__xludf.DUMMYFUNCTION("""COMPUTED_VALUE"""),"нейтральне обладнання horeca&amp;fast-food")</f>
        <v>нейтральне обладнання horeca&amp;fast-food</v>
      </c>
      <c r="E2556" s="16" t="str">
        <f>IFERROR(__xludf.DUMMYFUNCTION("""COMPUTED_VALUE"""),"нейтральне обладнання horeca&amp;fast-food, загальне")</f>
        <v>нейтральне обладнання horeca&amp;fast-food, загальне</v>
      </c>
      <c r="F2556" s="17">
        <f>IFERROR(__xludf.DUMMYFUNCTION("""COMPUTED_VALUE"""),4.0)</f>
        <v>4</v>
      </c>
      <c r="G2556" s="17" t="str">
        <f>IFERROR(__xludf.DUMMYFUNCTION("""COMPUTED_VALUE"""),"240652")</f>
        <v>240652</v>
      </c>
      <c r="H2556" s="17" t="str">
        <f>IFERROR(__xludf.DUMMYFUNCTION("""COMPUTED_VALUE"""),"нейтральне обладнання horeca&amp;fast-food, загальне")</f>
        <v>нейтральне обладнання horeca&amp;fast-food, загальне</v>
      </c>
      <c r="I2556" s="19">
        <f>IFERROR(__xludf.DUMMYFUNCTION("""COMPUTED_VALUE"""),0.125)</f>
        <v>0.125</v>
      </c>
      <c r="J2556" s="19">
        <f>IFERROR(__xludf.DUMMYFUNCTION("""COMPUTED_VALUE"""),0.25)</f>
        <v>0.25</v>
      </c>
      <c r="K2556" s="19">
        <f>IFERROR(__xludf.DUMMYFUNCTION("""COMPUTED_VALUE"""),0.3125)</f>
        <v>0.3125</v>
      </c>
      <c r="L2556" s="19">
        <f>IFERROR(__xludf.DUMMYFUNCTION("""COMPUTED_VALUE"""),0.375)</f>
        <v>0.375</v>
      </c>
      <c r="M2556" s="18">
        <f>IFERROR(__xludf.DUMMYFUNCTION("""COMPUTED_VALUE"""),4.33)</f>
        <v>4.33</v>
      </c>
    </row>
    <row r="2557">
      <c r="A2557" s="13" t="str">
        <f>IFERROR(__xludf.DUMMYFUNCTION("""COMPUTED_VALUE"""),"товари")</f>
        <v>товари</v>
      </c>
      <c r="B2557" s="16" t="str">
        <f>IFERROR(__xludf.DUMMYFUNCTION("""COMPUTED_VALUE"""),"обладнання та товари для надання послуг")</f>
        <v>обладнання та товари для надання послуг</v>
      </c>
      <c r="C2557" s="16" t="str">
        <f>IFERROR(__xludf.DUMMYFUNCTION("""COMPUTED_VALUE"""),"вендінгове і розважальне обладнання")</f>
        <v>вендінгове і розважальне обладнання</v>
      </c>
      <c r="D2557" s="16" t="str">
        <f>IFERROR(__xludf.DUMMYFUNCTION("""COMPUTED_VALUE"""),"обладнання для заходів і клубів")</f>
        <v>обладнання для заходів і клубів</v>
      </c>
      <c r="E2557" s="16" t="str">
        <f>IFERROR(__xludf.DUMMYFUNCTION("""COMPUTED_VALUE"""),"обладнання для dj")</f>
        <v>обладнання для dj</v>
      </c>
      <c r="F2557" s="17">
        <f>IFERROR(__xludf.DUMMYFUNCTION("""COMPUTED_VALUE"""),4.0)</f>
        <v>4</v>
      </c>
      <c r="G2557" s="17" t="str">
        <f>IFERROR(__xludf.DUMMYFUNCTION("""COMPUTED_VALUE"""),"180508")</f>
        <v>180508</v>
      </c>
      <c r="H2557" s="17" t="str">
        <f>IFERROR(__xludf.DUMMYFUNCTION("""COMPUTED_VALUE"""),"обладнання для dj")</f>
        <v>обладнання для dj</v>
      </c>
      <c r="I2557" s="19">
        <f>IFERROR(__xludf.DUMMYFUNCTION("""COMPUTED_VALUE"""),0.049)</f>
        <v>0.049</v>
      </c>
      <c r="J2557" s="19">
        <f>IFERROR(__xludf.DUMMYFUNCTION("""COMPUTED_VALUE"""),0.098)</f>
        <v>0.098</v>
      </c>
      <c r="K2557" s="19">
        <f>IFERROR(__xludf.DUMMYFUNCTION("""COMPUTED_VALUE"""),0.1225)</f>
        <v>0.1225</v>
      </c>
      <c r="L2557" s="19">
        <f>IFERROR(__xludf.DUMMYFUNCTION("""COMPUTED_VALUE"""),0.147)</f>
        <v>0.147</v>
      </c>
      <c r="M2557" s="18">
        <f>IFERROR(__xludf.DUMMYFUNCTION("""COMPUTED_VALUE"""),2.61)</f>
        <v>2.61</v>
      </c>
    </row>
    <row r="2558">
      <c r="A2558" s="13" t="str">
        <f>IFERROR(__xludf.DUMMYFUNCTION("""COMPUTED_VALUE"""),"товари")</f>
        <v>товари</v>
      </c>
      <c r="B2558" s="16" t="str">
        <f>IFERROR(__xludf.DUMMYFUNCTION("""COMPUTED_VALUE"""),"обладнання та товари для надання послуг")</f>
        <v>обладнання та товари для надання послуг</v>
      </c>
      <c r="C2558" s="16" t="str">
        <f>IFERROR(__xludf.DUMMYFUNCTION("""COMPUTED_VALUE"""),"обладнання для автосервісу")</f>
        <v>обладнання для автосервісу</v>
      </c>
      <c r="D2558" s="16" t="str">
        <f>IFERROR(__xludf.DUMMYFUNCTION("""COMPUTED_VALUE"""),"обладнання для автомийок")</f>
        <v>обладнання для автомийок</v>
      </c>
      <c r="E2558" s="16" t="str">
        <f>IFERROR(__xludf.DUMMYFUNCTION("""COMPUTED_VALUE"""),"обладнання для автомийок, загальне")</f>
        <v>обладнання для автомийок, загальне</v>
      </c>
      <c r="F2558" s="17">
        <f>IFERROR(__xludf.DUMMYFUNCTION("""COMPUTED_VALUE"""),4.0)</f>
        <v>4</v>
      </c>
      <c r="G2558" s="17" t="str">
        <f>IFERROR(__xludf.DUMMYFUNCTION("""COMPUTED_VALUE"""),"12111401")</f>
        <v>12111401</v>
      </c>
      <c r="H2558" s="17" t="str">
        <f>IFERROR(__xludf.DUMMYFUNCTION("""COMPUTED_VALUE"""),"обладнання для автомийок, загальне")</f>
        <v>обладнання для автомийок, загальне</v>
      </c>
      <c r="I2558" s="19">
        <f>IFERROR(__xludf.DUMMYFUNCTION("""COMPUTED_VALUE"""),0.125)</f>
        <v>0.125</v>
      </c>
      <c r="J2558" s="19">
        <f>IFERROR(__xludf.DUMMYFUNCTION("""COMPUTED_VALUE"""),0.25)</f>
        <v>0.25</v>
      </c>
      <c r="K2558" s="19">
        <f>IFERROR(__xludf.DUMMYFUNCTION("""COMPUTED_VALUE"""),0.3125)</f>
        <v>0.3125</v>
      </c>
      <c r="L2558" s="19">
        <f>IFERROR(__xludf.DUMMYFUNCTION("""COMPUTED_VALUE"""),0.375)</f>
        <v>0.375</v>
      </c>
      <c r="M2558" s="18">
        <f>IFERROR(__xludf.DUMMYFUNCTION("""COMPUTED_VALUE"""),4.33)</f>
        <v>4.33</v>
      </c>
    </row>
    <row r="2559">
      <c r="A2559" s="13" t="str">
        <f>IFERROR(__xludf.DUMMYFUNCTION("""COMPUTED_VALUE"""),"товари")</f>
        <v>товари</v>
      </c>
      <c r="B2559" s="16" t="str">
        <f>IFERROR(__xludf.DUMMYFUNCTION("""COMPUTED_VALUE"""),"обладнання та товари для надання послуг")</f>
        <v>обладнання та товари для надання послуг</v>
      </c>
      <c r="C2559" s="16" t="str">
        <f>IFERROR(__xludf.DUMMYFUNCTION("""COMPUTED_VALUE"""),"обладнання для торгівлі")</f>
        <v>обладнання для торгівлі</v>
      </c>
      <c r="D2559" s="16" t="str">
        <f>IFERROR(__xludf.DUMMYFUNCTION("""COMPUTED_VALUE"""),"теплове обладнання для вуличної торгівлі")</f>
        <v>теплове обладнання для вуличної торгівлі</v>
      </c>
      <c r="E2559" s="16" t="str">
        <f>IFERROR(__xludf.DUMMYFUNCTION("""COMPUTED_VALUE"""),"обладнання для гриля")</f>
        <v>обладнання для гриля</v>
      </c>
      <c r="F2559" s="17">
        <f>IFERROR(__xludf.DUMMYFUNCTION("""COMPUTED_VALUE"""),4.0)</f>
        <v>4</v>
      </c>
      <c r="G2559" s="17" t="str">
        <f>IFERROR(__xludf.DUMMYFUNCTION("""COMPUTED_VALUE"""),"2200929")</f>
        <v>2200929</v>
      </c>
      <c r="H2559" s="17" t="str">
        <f>IFERROR(__xludf.DUMMYFUNCTION("""COMPUTED_VALUE"""),"обладнання для гриля")</f>
        <v>обладнання для гриля</v>
      </c>
      <c r="I2559" s="19">
        <f>IFERROR(__xludf.DUMMYFUNCTION("""COMPUTED_VALUE"""),0.0616)</f>
        <v>0.0616</v>
      </c>
      <c r="J2559" s="19">
        <f>IFERROR(__xludf.DUMMYFUNCTION("""COMPUTED_VALUE"""),0.1232)</f>
        <v>0.1232</v>
      </c>
      <c r="K2559" s="19">
        <f>IFERROR(__xludf.DUMMYFUNCTION("""COMPUTED_VALUE"""),0.154)</f>
        <v>0.154</v>
      </c>
      <c r="L2559" s="19">
        <f>IFERROR(__xludf.DUMMYFUNCTION("""COMPUTED_VALUE"""),0.1848)</f>
        <v>0.1848</v>
      </c>
      <c r="M2559" s="18">
        <f>IFERROR(__xludf.DUMMYFUNCTION("""COMPUTED_VALUE"""),1.98)</f>
        <v>1.98</v>
      </c>
    </row>
    <row r="2560">
      <c r="A2560" s="13" t="str">
        <f>IFERROR(__xludf.DUMMYFUNCTION("""COMPUTED_VALUE"""),"товари")</f>
        <v>товари</v>
      </c>
      <c r="B2560" s="16" t="str">
        <f>IFERROR(__xludf.DUMMYFUNCTION("""COMPUTED_VALUE"""),"обладнання та товари для надання послуг")</f>
        <v>обладнання та товари для надання послуг</v>
      </c>
      <c r="C2560" s="16" t="str">
        <f>IFERROR(__xludf.DUMMYFUNCTION("""COMPUTED_VALUE"""),"все для салонів краси")</f>
        <v>все для салонів краси</v>
      </c>
      <c r="D2560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560" s="16" t="str">
        <f>IFERROR(__xludf.DUMMYFUNCTION("""COMPUTED_VALUE"""),"обладнання для епіляції")</f>
        <v>обладнання для епіляції</v>
      </c>
      <c r="F2560" s="17">
        <f>IFERROR(__xludf.DUMMYFUNCTION("""COMPUTED_VALUE"""),4.0)</f>
        <v>4</v>
      </c>
      <c r="G2560" s="17" t="str">
        <f>IFERROR(__xludf.DUMMYFUNCTION("""COMPUTED_VALUE"""),"283024")</f>
        <v>283024</v>
      </c>
      <c r="H2560" s="17" t="str">
        <f>IFERROR(__xludf.DUMMYFUNCTION("""COMPUTED_VALUE"""),"обладнання для епіляції")</f>
        <v>обладнання для епіляції</v>
      </c>
      <c r="I2560" s="19">
        <f>IFERROR(__xludf.DUMMYFUNCTION("""COMPUTED_VALUE"""),0.0747)</f>
        <v>0.0747</v>
      </c>
      <c r="J2560" s="19">
        <f>IFERROR(__xludf.DUMMYFUNCTION("""COMPUTED_VALUE"""),0.1494)</f>
        <v>0.1494</v>
      </c>
      <c r="K2560" s="19">
        <f>IFERROR(__xludf.DUMMYFUNCTION("""COMPUTED_VALUE"""),0.1868)</f>
        <v>0.1868</v>
      </c>
      <c r="L2560" s="19">
        <f>IFERROR(__xludf.DUMMYFUNCTION("""COMPUTED_VALUE"""),0.2241)</f>
        <v>0.2241</v>
      </c>
      <c r="M2560" s="18">
        <f>IFERROR(__xludf.DUMMYFUNCTION("""COMPUTED_VALUE"""),3.33)</f>
        <v>3.33</v>
      </c>
    </row>
    <row r="2561">
      <c r="A2561" s="13" t="str">
        <f>IFERROR(__xludf.DUMMYFUNCTION("""COMPUTED_VALUE"""),"товари")</f>
        <v>товари</v>
      </c>
      <c r="B2561" s="16" t="str">
        <f>IFERROR(__xludf.DUMMYFUNCTION("""COMPUTED_VALUE"""),"обладнання та товари для надання послуг")</f>
        <v>обладнання та товари для надання послуг</v>
      </c>
      <c r="C2561" s="16" t="str">
        <f>IFERROR(__xludf.DUMMYFUNCTION("""COMPUTED_VALUE"""),"обладнання для автосервісу")</f>
        <v>обладнання для автосервісу</v>
      </c>
      <c r="D2561" s="16" t="str">
        <f>IFERROR(__xludf.DUMMYFUNCTION("""COMPUTED_VALUE"""),"обладнання для обслуговування автомобільних кондиціонерів")</f>
        <v>обладнання для обслуговування автомобільних кондиціонерів</v>
      </c>
      <c r="E2561" s="16" t="str">
        <f>IFERROR(__xludf.DUMMYFUNCTION("""COMPUTED_VALUE"""),"обладнання для обслуговування автомобільних кондиціонерів")</f>
        <v>обладнання для обслуговування автомобільних кондиціонерів</v>
      </c>
      <c r="F2561" s="17">
        <f>IFERROR(__xludf.DUMMYFUNCTION("""COMPUTED_VALUE"""),3.0)</f>
        <v>3</v>
      </c>
      <c r="G2561" s="17" t="str">
        <f>IFERROR(__xludf.DUMMYFUNCTION("""COMPUTED_VALUE"""),"121112")</f>
        <v>121112</v>
      </c>
      <c r="H2561" s="17" t="str">
        <f>IFERROR(__xludf.DUMMYFUNCTION("""COMPUTED_VALUE"""),"обладнання для обслуговування автомобільних кондиціонерів")</f>
        <v>обладнання для обслуговування автомобільних кондиціонерів</v>
      </c>
      <c r="I2561" s="19">
        <f>IFERROR(__xludf.DUMMYFUNCTION("""COMPUTED_VALUE"""),0.0447)</f>
        <v>0.0447</v>
      </c>
      <c r="J2561" s="19">
        <f>IFERROR(__xludf.DUMMYFUNCTION("""COMPUTED_VALUE"""),0.0893)</f>
        <v>0.0893</v>
      </c>
      <c r="K2561" s="19">
        <f>IFERROR(__xludf.DUMMYFUNCTION("""COMPUTED_VALUE"""),0.1116)</f>
        <v>0.1116</v>
      </c>
      <c r="L2561" s="19">
        <f>IFERROR(__xludf.DUMMYFUNCTION("""COMPUTED_VALUE"""),0.134)</f>
        <v>0.134</v>
      </c>
      <c r="M2561" s="18">
        <f>IFERROR(__xludf.DUMMYFUNCTION("""COMPUTED_VALUE"""),3.43)</f>
        <v>3.43</v>
      </c>
    </row>
    <row r="2562">
      <c r="A2562" s="13" t="str">
        <f>IFERROR(__xludf.DUMMYFUNCTION("""COMPUTED_VALUE"""),"товари")</f>
        <v>товари</v>
      </c>
      <c r="B2562" s="16" t="str">
        <f>IFERROR(__xludf.DUMMYFUNCTION("""COMPUTED_VALUE"""),"обладнання та товари для надання послуг")</f>
        <v>обладнання та товари для надання послуг</v>
      </c>
      <c r="C2562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562" s="16" t="str">
        <f>IFERROR(__xludf.DUMMYFUNCTION("""COMPUTED_VALUE"""),"обладнання для опитування та жеребкування")</f>
        <v>обладнання для опитування та жеребкування</v>
      </c>
      <c r="E2562" s="16" t="str">
        <f>IFERROR(__xludf.DUMMYFUNCTION("""COMPUTED_VALUE"""),"обладнання для опитування та жеребкування")</f>
        <v>обладнання для опитування та жеребкування</v>
      </c>
      <c r="F2562" s="17">
        <f>IFERROR(__xludf.DUMMYFUNCTION("""COMPUTED_VALUE"""),3.0)</f>
        <v>3</v>
      </c>
      <c r="G2562" s="17" t="str">
        <f>IFERROR(__xludf.DUMMYFUNCTION("""COMPUTED_VALUE"""),"281971")</f>
        <v>281971</v>
      </c>
      <c r="H2562" s="17" t="str">
        <f>IFERROR(__xludf.DUMMYFUNCTION("""COMPUTED_VALUE"""),"обладнання для опитування та жеребкування")</f>
        <v>обладнання для опитування та жеребкування</v>
      </c>
      <c r="I2562" s="19">
        <f>IFERROR(__xludf.DUMMYFUNCTION("""COMPUTED_VALUE"""),0.0697)</f>
        <v>0.0697</v>
      </c>
      <c r="J2562" s="19">
        <f>IFERROR(__xludf.DUMMYFUNCTION("""COMPUTED_VALUE"""),0.1394)</f>
        <v>0.1394</v>
      </c>
      <c r="K2562" s="19">
        <f>IFERROR(__xludf.DUMMYFUNCTION("""COMPUTED_VALUE"""),0.1743)</f>
        <v>0.1743</v>
      </c>
      <c r="L2562" s="19">
        <f>IFERROR(__xludf.DUMMYFUNCTION("""COMPUTED_VALUE"""),0.2091)</f>
        <v>0.2091</v>
      </c>
      <c r="M2562" s="18">
        <f>IFERROR(__xludf.DUMMYFUNCTION("""COMPUTED_VALUE"""),3.88)</f>
        <v>3.88</v>
      </c>
    </row>
    <row r="2563">
      <c r="A2563" s="13" t="str">
        <f>IFERROR(__xludf.DUMMYFUNCTION("""COMPUTED_VALUE"""),"товари")</f>
        <v>товари</v>
      </c>
      <c r="B2563" s="16" t="str">
        <f>IFERROR(__xludf.DUMMYFUNCTION("""COMPUTED_VALUE"""),"обладнання та товари для надання послуг")</f>
        <v>обладнання та товари для надання послуг</v>
      </c>
      <c r="C2563" s="16" t="str">
        <f>IFERROR(__xludf.DUMMYFUNCTION("""COMPUTED_VALUE"""),"все для салонів краси")</f>
        <v>все для салонів краси</v>
      </c>
      <c r="D2563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563" s="16" t="str">
        <f>IFERROR(__xludf.DUMMYFUNCTION("""COMPUTED_VALUE"""),"обладнання для парафінотерапії")</f>
        <v>обладнання для парафінотерапії</v>
      </c>
      <c r="F2563" s="17">
        <f>IFERROR(__xludf.DUMMYFUNCTION("""COMPUTED_VALUE"""),4.0)</f>
        <v>4</v>
      </c>
      <c r="G2563" s="17" t="str">
        <f>IFERROR(__xludf.DUMMYFUNCTION("""COMPUTED_VALUE"""),"283025")</f>
        <v>283025</v>
      </c>
      <c r="H2563" s="17" t="str">
        <f>IFERROR(__xludf.DUMMYFUNCTION("""COMPUTED_VALUE"""),"обладнання для парафінотерапії")</f>
        <v>обладнання для парафінотерапії</v>
      </c>
      <c r="I2563" s="19">
        <f>IFERROR(__xludf.DUMMYFUNCTION("""COMPUTED_VALUE"""),0.0773)</f>
        <v>0.0773</v>
      </c>
      <c r="J2563" s="19">
        <f>IFERROR(__xludf.DUMMYFUNCTION("""COMPUTED_VALUE"""),0.1546)</f>
        <v>0.1546</v>
      </c>
      <c r="K2563" s="19">
        <f>IFERROR(__xludf.DUMMYFUNCTION("""COMPUTED_VALUE"""),0.1933)</f>
        <v>0.1933</v>
      </c>
      <c r="L2563" s="19">
        <f>IFERROR(__xludf.DUMMYFUNCTION("""COMPUTED_VALUE"""),0.2319)</f>
        <v>0.2319</v>
      </c>
      <c r="M2563" s="18">
        <f>IFERROR(__xludf.DUMMYFUNCTION("""COMPUTED_VALUE"""),3.33)</f>
        <v>3.33</v>
      </c>
    </row>
    <row r="2564">
      <c r="A2564" s="13" t="str">
        <f>IFERROR(__xludf.DUMMYFUNCTION("""COMPUTED_VALUE"""),"товари")</f>
        <v>товари</v>
      </c>
      <c r="B2564" s="16" t="str">
        <f>IFERROR(__xludf.DUMMYFUNCTION("""COMPUTED_VALUE"""),"обладнання та товари для надання послуг")</f>
        <v>обладнання та товари для надання послуг</v>
      </c>
      <c r="C2564" s="16" t="str">
        <f>IFERROR(__xludf.DUMMYFUNCTION("""COMPUTED_VALUE"""),"товари для офісу")</f>
        <v>товари для офісу</v>
      </c>
      <c r="D2564" s="16" t="str">
        <f>IFERROR(__xludf.DUMMYFUNCTION("""COMPUTED_VALUE"""),"обладнання для презентацій і конференцій")</f>
        <v>обладнання для презентацій і конференцій</v>
      </c>
      <c r="E2564" s="16" t="str">
        <f>IFERROR(__xludf.DUMMYFUNCTION("""COMPUTED_VALUE"""),"обладнання для презентацій, загальне")</f>
        <v>обладнання для презентацій, загальне</v>
      </c>
      <c r="F2564" s="17">
        <f>IFERROR(__xludf.DUMMYFUNCTION("""COMPUTED_VALUE"""),4.0)</f>
        <v>4</v>
      </c>
      <c r="G2564" s="17" t="str">
        <f>IFERROR(__xludf.DUMMYFUNCTION("""COMPUTED_VALUE"""),"212099")</f>
        <v>212099</v>
      </c>
      <c r="H2564" s="17" t="str">
        <f>IFERROR(__xludf.DUMMYFUNCTION("""COMPUTED_VALUE"""),"обладнання для презентацій, загальне")</f>
        <v>обладнання для презентацій, загальне</v>
      </c>
      <c r="I2564" s="19">
        <f>IFERROR(__xludf.DUMMYFUNCTION("""COMPUTED_VALUE"""),0.125)</f>
        <v>0.125</v>
      </c>
      <c r="J2564" s="19">
        <f>IFERROR(__xludf.DUMMYFUNCTION("""COMPUTED_VALUE"""),0.25)</f>
        <v>0.25</v>
      </c>
      <c r="K2564" s="19">
        <f>IFERROR(__xludf.DUMMYFUNCTION("""COMPUTED_VALUE"""),0.3125)</f>
        <v>0.3125</v>
      </c>
      <c r="L2564" s="19">
        <f>IFERROR(__xludf.DUMMYFUNCTION("""COMPUTED_VALUE"""),0.375)</f>
        <v>0.375</v>
      </c>
      <c r="M2564" s="18">
        <f>IFERROR(__xludf.DUMMYFUNCTION("""COMPUTED_VALUE"""),4.33)</f>
        <v>4.33</v>
      </c>
    </row>
    <row r="2565">
      <c r="A2565" s="13" t="str">
        <f>IFERROR(__xludf.DUMMYFUNCTION("""COMPUTED_VALUE"""),"товари")</f>
        <v>товари</v>
      </c>
      <c r="B2565" s="16" t="str">
        <f>IFERROR(__xludf.DUMMYFUNCTION("""COMPUTED_VALUE"""),"обладнання та товари для надання послуг")</f>
        <v>обладнання та товари для надання послуг</v>
      </c>
      <c r="C2565" s="16" t="str">
        <f>IFERROR(__xludf.DUMMYFUNCTION("""COMPUTED_VALUE"""),"обладнання для торгівлі")</f>
        <v>обладнання для торгівлі</v>
      </c>
      <c r="D2565" s="16" t="str">
        <f>IFERROR(__xludf.DUMMYFUNCTION("""COMPUTED_VALUE"""),"теплове обладнання для вуличної торгівлі")</f>
        <v>теплове обладнання для вуличної торгівлі</v>
      </c>
      <c r="E2565" s="16" t="str">
        <f>IFERROR(__xludf.DUMMYFUNCTION("""COMPUTED_VALUE"""),"обладнання для приготування шаурми")</f>
        <v>обладнання для приготування шаурми</v>
      </c>
      <c r="F2565" s="17">
        <f>IFERROR(__xludf.DUMMYFUNCTION("""COMPUTED_VALUE"""),4.0)</f>
        <v>4</v>
      </c>
      <c r="G2565" s="17" t="str">
        <f>IFERROR(__xludf.DUMMYFUNCTION("""COMPUTED_VALUE"""),"2200907")</f>
        <v>2200907</v>
      </c>
      <c r="H2565" s="17" t="str">
        <f>IFERROR(__xludf.DUMMYFUNCTION("""COMPUTED_VALUE"""),"обладнання для приготування шаурми")</f>
        <v>обладнання для приготування шаурми</v>
      </c>
      <c r="I2565" s="19">
        <f>IFERROR(__xludf.DUMMYFUNCTION("""COMPUTED_VALUE"""),0.0616)</f>
        <v>0.0616</v>
      </c>
      <c r="J2565" s="19">
        <f>IFERROR(__xludf.DUMMYFUNCTION("""COMPUTED_VALUE"""),0.1232)</f>
        <v>0.1232</v>
      </c>
      <c r="K2565" s="19">
        <f>IFERROR(__xludf.DUMMYFUNCTION("""COMPUTED_VALUE"""),0.154)</f>
        <v>0.154</v>
      </c>
      <c r="L2565" s="19">
        <f>IFERROR(__xludf.DUMMYFUNCTION("""COMPUTED_VALUE"""),0.1848)</f>
        <v>0.1848</v>
      </c>
      <c r="M2565" s="18">
        <f>IFERROR(__xludf.DUMMYFUNCTION("""COMPUTED_VALUE"""),1.98)</f>
        <v>1.98</v>
      </c>
    </row>
    <row r="2566">
      <c r="A2566" s="13" t="str">
        <f>IFERROR(__xludf.DUMMYFUNCTION("""COMPUTED_VALUE"""),"товари")</f>
        <v>товари</v>
      </c>
      <c r="B2566" s="16" t="str">
        <f>IFERROR(__xludf.DUMMYFUNCTION("""COMPUTED_VALUE"""),"обладнання та товари для надання послуг")</f>
        <v>обладнання та товари для надання послуг</v>
      </c>
      <c r="C2566" s="16" t="str">
        <f>IFERROR(__xludf.DUMMYFUNCTION("""COMPUTED_VALUE"""),"швейні матеріали та обладнання")</f>
        <v>швейні матеріали та обладнання</v>
      </c>
      <c r="D2566" s="16" t="str">
        <f>IFERROR(__xludf.DUMMYFUNCTION("""COMPUTED_VALUE"""),"обладнання для ремонту взуття")</f>
        <v>обладнання для ремонту взуття</v>
      </c>
      <c r="E2566" s="16" t="str">
        <f>IFERROR(__xludf.DUMMYFUNCTION("""COMPUTED_VALUE"""),"обладнання для ремонту взуття")</f>
        <v>обладнання для ремонту взуття</v>
      </c>
      <c r="F2566" s="17">
        <f>IFERROR(__xludf.DUMMYFUNCTION("""COMPUTED_VALUE"""),3.0)</f>
        <v>3</v>
      </c>
      <c r="G2566" s="17" t="str">
        <f>IFERROR(__xludf.DUMMYFUNCTION("""COMPUTED_VALUE"""),"32218")</f>
        <v>32218</v>
      </c>
      <c r="H2566" s="17" t="str">
        <f>IFERROR(__xludf.DUMMYFUNCTION("""COMPUTED_VALUE"""),"обладнання для ремонту взуття")</f>
        <v>обладнання для ремонту взуття</v>
      </c>
      <c r="I2566" s="19">
        <f>IFERROR(__xludf.DUMMYFUNCTION("""COMPUTED_VALUE"""),0.0447)</f>
        <v>0.0447</v>
      </c>
      <c r="J2566" s="19">
        <f>IFERROR(__xludf.DUMMYFUNCTION("""COMPUTED_VALUE"""),0.0893)</f>
        <v>0.0893</v>
      </c>
      <c r="K2566" s="19">
        <f>IFERROR(__xludf.DUMMYFUNCTION("""COMPUTED_VALUE"""),0.1116)</f>
        <v>0.1116</v>
      </c>
      <c r="L2566" s="19">
        <f>IFERROR(__xludf.DUMMYFUNCTION("""COMPUTED_VALUE"""),0.134)</f>
        <v>0.134</v>
      </c>
      <c r="M2566" s="18">
        <f>IFERROR(__xludf.DUMMYFUNCTION("""COMPUTED_VALUE"""),1.44)</f>
        <v>1.44</v>
      </c>
    </row>
    <row r="2567">
      <c r="A2567" s="13" t="str">
        <f>IFERROR(__xludf.DUMMYFUNCTION("""COMPUTED_VALUE"""),"товари")</f>
        <v>товари</v>
      </c>
      <c r="B2567" s="16" t="str">
        <f>IFERROR(__xludf.DUMMYFUNCTION("""COMPUTED_VALUE"""),"обладнання та товари для надання послуг")</f>
        <v>обладнання та товари для надання послуг</v>
      </c>
      <c r="C2567" s="16" t="str">
        <f>IFERROR(__xludf.DUMMYFUNCTION("""COMPUTED_VALUE"""),"обладнання для торгівлі")</f>
        <v>обладнання для торгівлі</v>
      </c>
      <c r="D2567" s="16" t="str">
        <f>IFERROR(__xludf.DUMMYFUNCTION("""COMPUTED_VALUE"""),"обладнання для торгівлі, загальне")</f>
        <v>обладнання для торгівлі, загальне</v>
      </c>
      <c r="E2567" s="16" t="str">
        <f>IFERROR(__xludf.DUMMYFUNCTION("""COMPUTED_VALUE"""),"обладнання для торгівлі, загальне")</f>
        <v>обладнання для торгівлі, загальне</v>
      </c>
      <c r="F2567" s="17">
        <f>IFERROR(__xludf.DUMMYFUNCTION("""COMPUTED_VALUE"""),3.0)</f>
        <v>3</v>
      </c>
      <c r="G2567" s="17" t="str">
        <f>IFERROR(__xludf.DUMMYFUNCTION("""COMPUTED_VALUE"""),"28290399")</f>
        <v>28290399</v>
      </c>
      <c r="H2567" s="17" t="str">
        <f>IFERROR(__xludf.DUMMYFUNCTION("""COMPUTED_VALUE"""),"обладнання для торгівлі, загальне")</f>
        <v>обладнання для торгівлі, загальне</v>
      </c>
      <c r="I2567" s="19">
        <f>IFERROR(__xludf.DUMMYFUNCTION("""COMPUTED_VALUE"""),0.125)</f>
        <v>0.125</v>
      </c>
      <c r="J2567" s="19">
        <f>IFERROR(__xludf.DUMMYFUNCTION("""COMPUTED_VALUE"""),0.25)</f>
        <v>0.25</v>
      </c>
      <c r="K2567" s="19">
        <f>IFERROR(__xludf.DUMMYFUNCTION("""COMPUTED_VALUE"""),0.3125)</f>
        <v>0.3125</v>
      </c>
      <c r="L2567" s="19">
        <f>IFERROR(__xludf.DUMMYFUNCTION("""COMPUTED_VALUE"""),0.375)</f>
        <v>0.375</v>
      </c>
      <c r="M2567" s="18">
        <f>IFERROR(__xludf.DUMMYFUNCTION("""COMPUTED_VALUE"""),4.33)</f>
        <v>4.33</v>
      </c>
    </row>
    <row r="2568">
      <c r="A2568" s="13" t="str">
        <f>IFERROR(__xludf.DUMMYFUNCTION("""COMPUTED_VALUE"""),"товари")</f>
        <v>товари</v>
      </c>
      <c r="B2568" s="16" t="str">
        <f>IFERROR(__xludf.DUMMYFUNCTION("""COMPUTED_VALUE"""),"обладнання та товари для надання послуг")</f>
        <v>обладнання та товари для надання послуг</v>
      </c>
      <c r="C2568" s="16" t="str">
        <f>IFERROR(__xludf.DUMMYFUNCTION("""COMPUTED_VALUE"""),"все для салонів краси")</f>
        <v>все для салонів краси</v>
      </c>
      <c r="D2568" s="16" t="str">
        <f>IFERROR(__xludf.DUMMYFUNCTION("""COMPUTED_VALUE"""),"все для татуювання, боді-арту, пірсингу")</f>
        <v>все для татуювання, боді-арту, пірсингу</v>
      </c>
      <c r="E2568" s="16" t="str">
        <f>IFERROR(__xludf.DUMMYFUNCTION("""COMPUTED_VALUE"""),"обладнання та комплектуючі для тату, татуажу")</f>
        <v>обладнання та комплектуючі для тату, татуажу</v>
      </c>
      <c r="F2568" s="17">
        <f>IFERROR(__xludf.DUMMYFUNCTION("""COMPUTED_VALUE"""),4.0)</f>
        <v>4</v>
      </c>
      <c r="G2568" s="17" t="str">
        <f>IFERROR(__xludf.DUMMYFUNCTION("""COMPUTED_VALUE"""),"28290603")</f>
        <v>28290603</v>
      </c>
      <c r="H2568" s="17" t="str">
        <f>IFERROR(__xludf.DUMMYFUNCTION("""COMPUTED_VALUE"""),"обладнання та комплектуючі для тату, татуажу")</f>
        <v>обладнання та комплектуючі для тату, татуажу</v>
      </c>
      <c r="I2568" s="19">
        <f>IFERROR(__xludf.DUMMYFUNCTION("""COMPUTED_VALUE"""),0.0776)</f>
        <v>0.0776</v>
      </c>
      <c r="J2568" s="19">
        <f>IFERROR(__xludf.DUMMYFUNCTION("""COMPUTED_VALUE"""),0.1551)</f>
        <v>0.1551</v>
      </c>
      <c r="K2568" s="19">
        <f>IFERROR(__xludf.DUMMYFUNCTION("""COMPUTED_VALUE"""),0.1939)</f>
        <v>0.1939</v>
      </c>
      <c r="L2568" s="19">
        <f>IFERROR(__xludf.DUMMYFUNCTION("""COMPUTED_VALUE"""),0.2327)</f>
        <v>0.2327</v>
      </c>
      <c r="M2568" s="18">
        <f>IFERROR(__xludf.DUMMYFUNCTION("""COMPUTED_VALUE"""),2.25)</f>
        <v>2.25</v>
      </c>
    </row>
    <row r="2569">
      <c r="A2569" s="13" t="str">
        <f>IFERROR(__xludf.DUMMYFUNCTION("""COMPUTED_VALUE"""),"товари")</f>
        <v>товари</v>
      </c>
      <c r="B2569" s="16" t="str">
        <f>IFERROR(__xludf.DUMMYFUNCTION("""COMPUTED_VALUE"""),"обладнання та товари для надання послуг")</f>
        <v>обладнання та товари для надання послуг</v>
      </c>
      <c r="C2569" s="16" t="str">
        <f>IFERROR(__xludf.DUMMYFUNCTION("""COMPUTED_VALUE"""),"все для салонів краси")</f>
        <v>все для салонів краси</v>
      </c>
      <c r="D2569" s="16" t="str">
        <f>IFERROR(__xludf.DUMMYFUNCTION("""COMPUTED_VALUE"""),"обладнання та матеріали для косметології")</f>
        <v>обладнання та матеріали для косметології</v>
      </c>
      <c r="E2569" s="16" t="str">
        <f>IFERROR(__xludf.DUMMYFUNCTION("""COMPUTED_VALUE"""),"обладнання та матеріали для косметології, загальне")</f>
        <v>обладнання та матеріали для косметології, загальне</v>
      </c>
      <c r="F2569" s="17">
        <f>IFERROR(__xludf.DUMMYFUNCTION("""COMPUTED_VALUE"""),4.0)</f>
        <v>4</v>
      </c>
      <c r="G2569" s="17" t="str">
        <f>IFERROR(__xludf.DUMMYFUNCTION("""COMPUTED_VALUE"""),"161403")</f>
        <v>161403</v>
      </c>
      <c r="H2569" s="17" t="str">
        <f>IFERROR(__xludf.DUMMYFUNCTION("""COMPUTED_VALUE"""),"обладнання та матеріали для косметології, загальне")</f>
        <v>обладнання та матеріали для косметології, загальне</v>
      </c>
      <c r="I2569" s="19">
        <f>IFERROR(__xludf.DUMMYFUNCTION("""COMPUTED_VALUE"""),0.125)</f>
        <v>0.125</v>
      </c>
      <c r="J2569" s="19">
        <f>IFERROR(__xludf.DUMMYFUNCTION("""COMPUTED_VALUE"""),0.25)</f>
        <v>0.25</v>
      </c>
      <c r="K2569" s="19">
        <f>IFERROR(__xludf.DUMMYFUNCTION("""COMPUTED_VALUE"""),0.3125)</f>
        <v>0.3125</v>
      </c>
      <c r="L2569" s="19">
        <f>IFERROR(__xludf.DUMMYFUNCTION("""COMPUTED_VALUE"""),0.375)</f>
        <v>0.375</v>
      </c>
      <c r="M2569" s="18">
        <f>IFERROR(__xludf.DUMMYFUNCTION("""COMPUTED_VALUE"""),4.33)</f>
        <v>4.33</v>
      </c>
    </row>
    <row r="2570">
      <c r="A2570" s="13" t="str">
        <f>IFERROR(__xludf.DUMMYFUNCTION("""COMPUTED_VALUE"""),"товари")</f>
        <v>товари</v>
      </c>
      <c r="B2570" s="16" t="str">
        <f>IFERROR(__xludf.DUMMYFUNCTION("""COMPUTED_VALUE"""),"обладнання та товари для надання послуг")</f>
        <v>обладнання та товари для надання послуг</v>
      </c>
      <c r="C2570" s="16" t="str">
        <f>IFERROR(__xludf.DUMMYFUNCTION("""COMPUTED_VALUE"""),"все для салонів краси")</f>
        <v>все для салонів краси</v>
      </c>
      <c r="D2570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570" s="16" t="str">
        <f>IFERROR(__xludf.DUMMYFUNCTION("""COMPUTED_VALUE"""),"обладнання та професійні засоби для депіляції")</f>
        <v>обладнання та професійні засоби для депіляції</v>
      </c>
      <c r="F2570" s="17">
        <f>IFERROR(__xludf.DUMMYFUNCTION("""COMPUTED_VALUE"""),4.0)</f>
        <v>4</v>
      </c>
      <c r="G2570" s="17" t="str">
        <f>IFERROR(__xludf.DUMMYFUNCTION("""COMPUTED_VALUE"""),"282977")</f>
        <v>282977</v>
      </c>
      <c r="H2570" s="17" t="str">
        <f>IFERROR(__xludf.DUMMYFUNCTION("""COMPUTED_VALUE"""),"обладнання та професійні засоби для депіляції")</f>
        <v>обладнання та професійні засоби для депіляції</v>
      </c>
      <c r="I2570" s="19">
        <f>IFERROR(__xludf.DUMMYFUNCTION("""COMPUTED_VALUE"""),0.076)</f>
        <v>0.076</v>
      </c>
      <c r="J2570" s="19">
        <f>IFERROR(__xludf.DUMMYFUNCTION("""COMPUTED_VALUE"""),0.152)</f>
        <v>0.152</v>
      </c>
      <c r="K2570" s="19">
        <f>IFERROR(__xludf.DUMMYFUNCTION("""COMPUTED_VALUE"""),0.19)</f>
        <v>0.19</v>
      </c>
      <c r="L2570" s="19">
        <f>IFERROR(__xludf.DUMMYFUNCTION("""COMPUTED_VALUE"""),0.228)</f>
        <v>0.228</v>
      </c>
      <c r="M2570" s="18">
        <f>IFERROR(__xludf.DUMMYFUNCTION("""COMPUTED_VALUE"""),3.33)</f>
        <v>3.33</v>
      </c>
    </row>
    <row r="2571">
      <c r="A2571" s="13" t="str">
        <f>IFERROR(__xludf.DUMMYFUNCTION("""COMPUTED_VALUE"""),"товари")</f>
        <v>товари</v>
      </c>
      <c r="B2571" s="16" t="str">
        <f>IFERROR(__xludf.DUMMYFUNCTION("""COMPUTED_VALUE"""),"обладнання та товари для надання послуг")</f>
        <v>обладнання та товари для надання послуг</v>
      </c>
      <c r="C2571" s="16" t="str">
        <f>IFERROR(__xludf.DUMMYFUNCTION("""COMPUTED_VALUE"""),"ювелірне обладнання")</f>
        <v>ювелірне обладнання</v>
      </c>
      <c r="D2571" s="16" t="str">
        <f>IFERROR(__xludf.DUMMYFUNCTION("""COMPUTED_VALUE"""),"обладнання ювелірне, загальне")</f>
        <v>обладнання ювелірне, загальне</v>
      </c>
      <c r="E2571" s="16" t="str">
        <f>IFERROR(__xludf.DUMMYFUNCTION("""COMPUTED_VALUE"""),"обладнання ювелірне, загальне")</f>
        <v>обладнання ювелірне, загальне</v>
      </c>
      <c r="F2571" s="17">
        <f>IFERROR(__xludf.DUMMYFUNCTION("""COMPUTED_VALUE"""),3.0)</f>
        <v>3</v>
      </c>
      <c r="G2571" s="17" t="str">
        <f>IFERROR(__xludf.DUMMYFUNCTION("""COMPUTED_VALUE"""),"283070")</f>
        <v>283070</v>
      </c>
      <c r="H2571" s="17" t="str">
        <f>IFERROR(__xludf.DUMMYFUNCTION("""COMPUTED_VALUE"""),"обладнання ювелірне, загальне")</f>
        <v>обладнання ювелірне, загальне</v>
      </c>
      <c r="I2571" s="19">
        <f>IFERROR(__xludf.DUMMYFUNCTION("""COMPUTED_VALUE"""),0.125)</f>
        <v>0.125</v>
      </c>
      <c r="J2571" s="19">
        <f>IFERROR(__xludf.DUMMYFUNCTION("""COMPUTED_VALUE"""),0.25)</f>
        <v>0.25</v>
      </c>
      <c r="K2571" s="19">
        <f>IFERROR(__xludf.DUMMYFUNCTION("""COMPUTED_VALUE"""),0.3125)</f>
        <v>0.3125</v>
      </c>
      <c r="L2571" s="19">
        <f>IFERROR(__xludf.DUMMYFUNCTION("""COMPUTED_VALUE"""),0.375)</f>
        <v>0.375</v>
      </c>
      <c r="M2571" s="18">
        <f>IFERROR(__xludf.DUMMYFUNCTION("""COMPUTED_VALUE"""),4.33)</f>
        <v>4.33</v>
      </c>
    </row>
    <row r="2572">
      <c r="A2572" s="13" t="str">
        <f>IFERROR(__xludf.DUMMYFUNCTION("""COMPUTED_VALUE"""),"товари")</f>
        <v>товари</v>
      </c>
      <c r="B2572" s="16" t="str">
        <f>IFERROR(__xludf.DUMMYFUNCTION("""COMPUTED_VALUE"""),"обладнання та товари для надання послуг")</f>
        <v>обладнання та товари для надання послуг</v>
      </c>
      <c r="C2572" s="16" t="str">
        <f>IFERROR(__xludf.DUMMYFUNCTION("""COMPUTED_VALUE"""),"релігійні і езотеричні товари")</f>
        <v>релігійні і езотеричні товари</v>
      </c>
      <c r="D2572" s="16" t="str">
        <f>IFERROR(__xludf.DUMMYFUNCTION("""COMPUTED_VALUE"""),"ритуальні товари")</f>
        <v>ритуальні товари</v>
      </c>
      <c r="E2572" s="16" t="str">
        <f>IFERROR(__xludf.DUMMYFUNCTION("""COMPUTED_VALUE"""),"огорожі, столи і лавки на кладовищі")</f>
        <v>огорожі, столи і лавки на кладовищі</v>
      </c>
      <c r="F2572" s="17">
        <f>IFERROR(__xludf.DUMMYFUNCTION("""COMPUTED_VALUE"""),4.0)</f>
        <v>4</v>
      </c>
      <c r="G2572" s="17" t="str">
        <f>IFERROR(__xludf.DUMMYFUNCTION("""COMPUTED_VALUE"""),"282607")</f>
        <v>282607</v>
      </c>
      <c r="H2572" s="17" t="str">
        <f>IFERROR(__xludf.DUMMYFUNCTION("""COMPUTED_VALUE"""),"огорожі, столи і лавки на кладовищі")</f>
        <v>огорожі, столи і лавки на кладовищі</v>
      </c>
      <c r="I2572" s="19">
        <f>IFERROR(__xludf.DUMMYFUNCTION("""COMPUTED_VALUE"""),0.0455)</f>
        <v>0.0455</v>
      </c>
      <c r="J2572" s="19">
        <f>IFERROR(__xludf.DUMMYFUNCTION("""COMPUTED_VALUE"""),0.0909)</f>
        <v>0.0909</v>
      </c>
      <c r="K2572" s="19">
        <f>IFERROR(__xludf.DUMMYFUNCTION("""COMPUTED_VALUE"""),0.1136)</f>
        <v>0.1136</v>
      </c>
      <c r="L2572" s="19">
        <f>IFERROR(__xludf.DUMMYFUNCTION("""COMPUTED_VALUE"""),0.1364)</f>
        <v>0.1364</v>
      </c>
      <c r="M2572" s="18">
        <f>IFERROR(__xludf.DUMMYFUNCTION("""COMPUTED_VALUE"""),1.71)</f>
        <v>1.71</v>
      </c>
    </row>
    <row r="2573">
      <c r="A2573" s="13" t="str">
        <f>IFERROR(__xludf.DUMMYFUNCTION("""COMPUTED_VALUE"""),"товари")</f>
        <v>товари</v>
      </c>
      <c r="B2573" s="16" t="str">
        <f>IFERROR(__xludf.DUMMYFUNCTION("""COMPUTED_VALUE"""),"обладнання та товари для надання послуг")</f>
        <v>обладнання та товари для надання послуг</v>
      </c>
      <c r="C2573" s="16" t="str">
        <f>IFERROR(__xludf.DUMMYFUNCTION("""COMPUTED_VALUE"""),"horeca&amp;fast-food")</f>
        <v>horeca&amp;fast-food</v>
      </c>
      <c r="D2573" s="16" t="str">
        <f>IFERROR(__xludf.DUMMYFUNCTION("""COMPUTED_VALUE"""),"одноразова продукція для готелів")</f>
        <v>одноразова продукція для готелів</v>
      </c>
      <c r="E2573" s="16" t="str">
        <f>IFERROR(__xludf.DUMMYFUNCTION("""COMPUTED_VALUE"""),"одноразова продукція для готелів")</f>
        <v>одноразова продукція для готелів</v>
      </c>
      <c r="F2573" s="17">
        <f>IFERROR(__xludf.DUMMYFUNCTION("""COMPUTED_VALUE"""),3.0)</f>
        <v>3</v>
      </c>
      <c r="G2573" s="17" t="str">
        <f>IFERROR(__xludf.DUMMYFUNCTION("""COMPUTED_VALUE"""),"240636")</f>
        <v>240636</v>
      </c>
      <c r="H2573" s="17" t="str">
        <f>IFERROR(__xludf.DUMMYFUNCTION("""COMPUTED_VALUE"""),"одноразова продукція для готелів")</f>
        <v>одноразова продукція для готелів</v>
      </c>
      <c r="I2573" s="19">
        <f>IFERROR(__xludf.DUMMYFUNCTION("""COMPUTED_VALUE"""),0.0709)</f>
        <v>0.0709</v>
      </c>
      <c r="J2573" s="19">
        <f>IFERROR(__xludf.DUMMYFUNCTION("""COMPUTED_VALUE"""),0.1417)</f>
        <v>0.1417</v>
      </c>
      <c r="K2573" s="19">
        <f>IFERROR(__xludf.DUMMYFUNCTION("""COMPUTED_VALUE"""),0.1771)</f>
        <v>0.1771</v>
      </c>
      <c r="L2573" s="19">
        <f>IFERROR(__xludf.DUMMYFUNCTION("""COMPUTED_VALUE"""),0.2126)</f>
        <v>0.2126</v>
      </c>
      <c r="M2573" s="18">
        <f>IFERROR(__xludf.DUMMYFUNCTION("""COMPUTED_VALUE"""),5.4)</f>
        <v>5.4</v>
      </c>
    </row>
    <row r="2574">
      <c r="A2574" s="13" t="str">
        <f>IFERROR(__xludf.DUMMYFUNCTION("""COMPUTED_VALUE"""),"товари")</f>
        <v>товари</v>
      </c>
      <c r="B2574" s="16" t="str">
        <f>IFERROR(__xludf.DUMMYFUNCTION("""COMPUTED_VALUE"""),"обладнання та товари для надання послуг")</f>
        <v>обладнання та товари для надання послуг</v>
      </c>
      <c r="C2574" s="16" t="str">
        <f>IFERROR(__xludf.DUMMYFUNCTION("""COMPUTED_VALUE"""),"все для салонів краси")</f>
        <v>все для салонів краси</v>
      </c>
      <c r="D2574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574" s="16" t="str">
        <f>IFERROR(__xludf.DUMMYFUNCTION("""COMPUTED_VALUE"""),"одяг для перукарень та салонів краси")</f>
        <v>одяг для перукарень та салонів краси</v>
      </c>
      <c r="F2574" s="17">
        <f>IFERROR(__xludf.DUMMYFUNCTION("""COMPUTED_VALUE"""),4.0)</f>
        <v>4</v>
      </c>
      <c r="G2574" s="17" t="str">
        <f>IFERROR(__xludf.DUMMYFUNCTION("""COMPUTED_VALUE"""),"282938")</f>
        <v>282938</v>
      </c>
      <c r="H2574" s="17" t="str">
        <f>IFERROR(__xludf.DUMMYFUNCTION("""COMPUTED_VALUE"""),"одяг для перукарень та салонів краси")</f>
        <v>одяг для перукарень та салонів краси</v>
      </c>
      <c r="I2574" s="19">
        <f>IFERROR(__xludf.DUMMYFUNCTION("""COMPUTED_VALUE"""),0.0773)</f>
        <v>0.0773</v>
      </c>
      <c r="J2574" s="19">
        <f>IFERROR(__xludf.DUMMYFUNCTION("""COMPUTED_VALUE"""),0.1546)</f>
        <v>0.1546</v>
      </c>
      <c r="K2574" s="19">
        <f>IFERROR(__xludf.DUMMYFUNCTION("""COMPUTED_VALUE"""),0.1933)</f>
        <v>0.1933</v>
      </c>
      <c r="L2574" s="19">
        <f>IFERROR(__xludf.DUMMYFUNCTION("""COMPUTED_VALUE"""),0.2319)</f>
        <v>0.2319</v>
      </c>
      <c r="M2574" s="18">
        <f>IFERROR(__xludf.DUMMYFUNCTION("""COMPUTED_VALUE"""),3.33)</f>
        <v>3.33</v>
      </c>
    </row>
    <row r="2575">
      <c r="A2575" s="13" t="str">
        <f>IFERROR(__xludf.DUMMYFUNCTION("""COMPUTED_VALUE"""),"товари")</f>
        <v>товари</v>
      </c>
      <c r="B2575" s="16" t="str">
        <f>IFERROR(__xludf.DUMMYFUNCTION("""COMPUTED_VALUE"""),"обладнання та товари для надання послуг")</f>
        <v>обладнання та товари для надання послуг</v>
      </c>
      <c r="C2575" s="16" t="str">
        <f>IFERROR(__xludf.DUMMYFUNCTION("""COMPUTED_VALUE"""),"вендінгове і розважальне обладнання")</f>
        <v>вендінгове і розважальне обладнання</v>
      </c>
      <c r="D2575" s="16" t="str">
        <f>IFERROR(__xludf.DUMMYFUNCTION("""COMPUTED_VALUE"""),"обладнання для заходів і клубів")</f>
        <v>обладнання для заходів і клубів</v>
      </c>
      <c r="E2575" s="16" t="str">
        <f>IFERROR(__xludf.DUMMYFUNCTION("""COMPUTED_VALUE"""),"освітлення для концертів, клубів і шоу")</f>
        <v>освітлення для концертів, клубів і шоу</v>
      </c>
      <c r="F2575" s="17">
        <f>IFERROR(__xludf.DUMMYFUNCTION("""COMPUTED_VALUE"""),4.0)</f>
        <v>4</v>
      </c>
      <c r="G2575" s="17">
        <f>IFERROR(__xludf.DUMMYFUNCTION("""COMPUTED_VALUE"""),390504.0)</f>
        <v>390504</v>
      </c>
      <c r="H2575" s="17" t="str">
        <f>IFERROR(__xludf.DUMMYFUNCTION("""COMPUTED_VALUE"""),"освітлення для концертів, клубів і шоу")</f>
        <v>освітлення для концертів, клубів і шоу</v>
      </c>
      <c r="I2575" s="19">
        <f>IFERROR(__xludf.DUMMYFUNCTION("""COMPUTED_VALUE"""),0.0697)</f>
        <v>0.0697</v>
      </c>
      <c r="J2575" s="19">
        <f>IFERROR(__xludf.DUMMYFUNCTION("""COMPUTED_VALUE"""),0.1394)</f>
        <v>0.1394</v>
      </c>
      <c r="K2575" s="19">
        <f>IFERROR(__xludf.DUMMYFUNCTION("""COMPUTED_VALUE"""),0.1743)</f>
        <v>0.1743</v>
      </c>
      <c r="L2575" s="19">
        <f>IFERROR(__xludf.DUMMYFUNCTION("""COMPUTED_VALUE"""),0.2091)</f>
        <v>0.2091</v>
      </c>
      <c r="M2575" s="18">
        <f>IFERROR(__xludf.DUMMYFUNCTION("""COMPUTED_VALUE"""),2.61)</f>
        <v>2.61</v>
      </c>
    </row>
    <row r="2576">
      <c r="A2576" s="13" t="str">
        <f>IFERROR(__xludf.DUMMYFUNCTION("""COMPUTED_VALUE"""),"товари")</f>
        <v>товари</v>
      </c>
      <c r="B2576" s="16" t="str">
        <f>IFERROR(__xludf.DUMMYFUNCTION("""COMPUTED_VALUE"""),"обладнання та товари для надання послуг")</f>
        <v>обладнання та товари для надання послуг</v>
      </c>
      <c r="C2576" s="16" t="str">
        <f>IFERROR(__xludf.DUMMYFUNCTION("""COMPUTED_VALUE"""),"офісна техніка")</f>
        <v>офісна техніка</v>
      </c>
      <c r="D2576" s="16" t="str">
        <f>IFERROR(__xludf.DUMMYFUNCTION("""COMPUTED_VALUE"""),"офісна техніка, загальне")</f>
        <v>офісна техніка, загальне</v>
      </c>
      <c r="E2576" s="16" t="str">
        <f>IFERROR(__xludf.DUMMYFUNCTION("""COMPUTED_VALUE"""),"офісна техніка, загальне")</f>
        <v>офісна техніка, загальне</v>
      </c>
      <c r="F2576" s="17">
        <f>IFERROR(__xludf.DUMMYFUNCTION("""COMPUTED_VALUE"""),3.0)</f>
        <v>3</v>
      </c>
      <c r="G2576" s="17" t="str">
        <f>IFERROR(__xludf.DUMMYFUNCTION("""COMPUTED_VALUE"""),"210304")</f>
        <v>210304</v>
      </c>
      <c r="H2576" s="17" t="str">
        <f>IFERROR(__xludf.DUMMYFUNCTION("""COMPUTED_VALUE"""),"офісна техніка, загальне")</f>
        <v>офісна техніка, загальне</v>
      </c>
      <c r="I2576" s="19">
        <f>IFERROR(__xludf.DUMMYFUNCTION("""COMPUTED_VALUE"""),0.125)</f>
        <v>0.125</v>
      </c>
      <c r="J2576" s="19">
        <f>IFERROR(__xludf.DUMMYFUNCTION("""COMPUTED_VALUE"""),0.25)</f>
        <v>0.25</v>
      </c>
      <c r="K2576" s="19">
        <f>IFERROR(__xludf.DUMMYFUNCTION("""COMPUTED_VALUE"""),0.3125)</f>
        <v>0.3125</v>
      </c>
      <c r="L2576" s="19">
        <f>IFERROR(__xludf.DUMMYFUNCTION("""COMPUTED_VALUE"""),0.375)</f>
        <v>0.375</v>
      </c>
      <c r="M2576" s="18">
        <f>IFERROR(__xludf.DUMMYFUNCTION("""COMPUTED_VALUE"""),4.33)</f>
        <v>4.33</v>
      </c>
    </row>
    <row r="2577">
      <c r="A2577" s="13" t="str">
        <f>IFERROR(__xludf.DUMMYFUNCTION("""COMPUTED_VALUE"""),"товари")</f>
        <v>товари</v>
      </c>
      <c r="B2577" s="16" t="str">
        <f>IFERROR(__xludf.DUMMYFUNCTION("""COMPUTED_VALUE"""),"обладнання та товари для надання послуг")</f>
        <v>обладнання та товари для надання послуг</v>
      </c>
      <c r="C2577" s="16" t="str">
        <f>IFERROR(__xludf.DUMMYFUNCTION("""COMPUTED_VALUE"""),"комерційні меблі")</f>
        <v>комерційні меблі</v>
      </c>
      <c r="D2577" s="16" t="str">
        <f>IFERROR(__xludf.DUMMYFUNCTION("""COMPUTED_VALUE"""),"офісні меблі")</f>
        <v>офісні меблі</v>
      </c>
      <c r="E2577" s="16" t="str">
        <f>IFERROR(__xludf.DUMMYFUNCTION("""COMPUTED_VALUE"""),"офісні дивани та м'які крісла")</f>
        <v>офісні дивани та м'які крісла</v>
      </c>
      <c r="F2577" s="17">
        <f>IFERROR(__xludf.DUMMYFUNCTION("""COMPUTED_VALUE"""),4.0)</f>
        <v>4</v>
      </c>
      <c r="G2577" s="17" t="str">
        <f>IFERROR(__xludf.DUMMYFUNCTION("""COMPUTED_VALUE"""),"15030412")</f>
        <v>15030412</v>
      </c>
      <c r="H2577" s="17" t="str">
        <f>IFERROR(__xludf.DUMMYFUNCTION("""COMPUTED_VALUE"""),"офісні дивани та м'які крісла")</f>
        <v>офісні дивани та м'які крісла</v>
      </c>
      <c r="I2577" s="19">
        <f>IFERROR(__xludf.DUMMYFUNCTION("""COMPUTED_VALUE"""),0.0636)</f>
        <v>0.0636</v>
      </c>
      <c r="J2577" s="19">
        <f>IFERROR(__xludf.DUMMYFUNCTION("""COMPUTED_VALUE"""),0.1272)</f>
        <v>0.1272</v>
      </c>
      <c r="K2577" s="19">
        <f>IFERROR(__xludf.DUMMYFUNCTION("""COMPUTED_VALUE"""),0.159)</f>
        <v>0.159</v>
      </c>
      <c r="L2577" s="19">
        <f>IFERROR(__xludf.DUMMYFUNCTION("""COMPUTED_VALUE"""),0.1908)</f>
        <v>0.1908</v>
      </c>
      <c r="M2577" s="18">
        <f>IFERROR(__xludf.DUMMYFUNCTION("""COMPUTED_VALUE"""),4.14)</f>
        <v>4.14</v>
      </c>
    </row>
    <row r="2578">
      <c r="A2578" s="13" t="str">
        <f>IFERROR(__xludf.DUMMYFUNCTION("""COMPUTED_VALUE"""),"товари")</f>
        <v>товари</v>
      </c>
      <c r="B2578" s="16" t="str">
        <f>IFERROR(__xludf.DUMMYFUNCTION("""COMPUTED_VALUE"""),"обладнання та товари для надання послуг")</f>
        <v>обладнання та товари для надання послуг</v>
      </c>
      <c r="C2578" s="16" t="str">
        <f>IFERROR(__xludf.DUMMYFUNCTION("""COMPUTED_VALUE"""),"комерційні меблі")</f>
        <v>комерційні меблі</v>
      </c>
      <c r="D2578" s="16" t="str">
        <f>IFERROR(__xludf.DUMMYFUNCTION("""COMPUTED_VALUE"""),"офісні меблі")</f>
        <v>офісні меблі</v>
      </c>
      <c r="E2578" s="16" t="str">
        <f>IFERROR(__xludf.DUMMYFUNCTION("""COMPUTED_VALUE"""),"офісні стільці")</f>
        <v>офісні стільці</v>
      </c>
      <c r="F2578" s="17">
        <f>IFERROR(__xludf.DUMMYFUNCTION("""COMPUTED_VALUE"""),4.0)</f>
        <v>4</v>
      </c>
      <c r="G2578" s="17" t="str">
        <f>IFERROR(__xludf.DUMMYFUNCTION("""COMPUTED_VALUE"""),"37013006")</f>
        <v>37013006</v>
      </c>
      <c r="H2578" s="17" t="str">
        <f>IFERROR(__xludf.DUMMYFUNCTION("""COMPUTED_VALUE"""),"офісні стільці")</f>
        <v>офісні стільці</v>
      </c>
      <c r="I2578" s="19">
        <f>IFERROR(__xludf.DUMMYFUNCTION("""COMPUTED_VALUE"""),0.0592)</f>
        <v>0.0592</v>
      </c>
      <c r="J2578" s="19">
        <f>IFERROR(__xludf.DUMMYFUNCTION("""COMPUTED_VALUE"""),0.1184)</f>
        <v>0.1184</v>
      </c>
      <c r="K2578" s="19">
        <f>IFERROR(__xludf.DUMMYFUNCTION("""COMPUTED_VALUE"""),0.148)</f>
        <v>0.148</v>
      </c>
      <c r="L2578" s="19">
        <f>IFERROR(__xludf.DUMMYFUNCTION("""COMPUTED_VALUE"""),0.1776)</f>
        <v>0.1776</v>
      </c>
      <c r="M2578" s="18">
        <f>IFERROR(__xludf.DUMMYFUNCTION("""COMPUTED_VALUE"""),4.14)</f>
        <v>4.14</v>
      </c>
    </row>
    <row r="2579">
      <c r="A2579" s="13" t="str">
        <f>IFERROR(__xludf.DUMMYFUNCTION("""COMPUTED_VALUE"""),"товари")</f>
        <v>товари</v>
      </c>
      <c r="B2579" s="16" t="str">
        <f>IFERROR(__xludf.DUMMYFUNCTION("""COMPUTED_VALUE"""),"обладнання та товари для надання послуг")</f>
        <v>обладнання та товари для надання послуг</v>
      </c>
      <c r="C2579" s="16" t="str">
        <f>IFERROR(__xludf.DUMMYFUNCTION("""COMPUTED_VALUE"""),"комерційні меблі")</f>
        <v>комерційні меблі</v>
      </c>
      <c r="D2579" s="16" t="str">
        <f>IFERROR(__xludf.DUMMYFUNCTION("""COMPUTED_VALUE"""),"офісні меблі")</f>
        <v>офісні меблі</v>
      </c>
      <c r="E2579" s="16" t="str">
        <f>IFERROR(__xludf.DUMMYFUNCTION("""COMPUTED_VALUE"""),"офісні тумби")</f>
        <v>офісні тумби</v>
      </c>
      <c r="F2579" s="17">
        <f>IFERROR(__xludf.DUMMYFUNCTION("""COMPUTED_VALUE"""),4.0)</f>
        <v>4</v>
      </c>
      <c r="G2579" s="17" t="str">
        <f>IFERROR(__xludf.DUMMYFUNCTION("""COMPUTED_VALUE"""),"15030402")</f>
        <v>15030402</v>
      </c>
      <c r="H2579" s="17" t="str">
        <f>IFERROR(__xludf.DUMMYFUNCTION("""COMPUTED_VALUE"""),"офісні тумби")</f>
        <v>офісні тумби</v>
      </c>
      <c r="I2579" s="19">
        <f>IFERROR(__xludf.DUMMYFUNCTION("""COMPUTED_VALUE"""),0.0697)</f>
        <v>0.0697</v>
      </c>
      <c r="J2579" s="19">
        <f>IFERROR(__xludf.DUMMYFUNCTION("""COMPUTED_VALUE"""),0.1394)</f>
        <v>0.1394</v>
      </c>
      <c r="K2579" s="19">
        <f>IFERROR(__xludf.DUMMYFUNCTION("""COMPUTED_VALUE"""),0.1743)</f>
        <v>0.1743</v>
      </c>
      <c r="L2579" s="19">
        <f>IFERROR(__xludf.DUMMYFUNCTION("""COMPUTED_VALUE"""),0.2091)</f>
        <v>0.2091</v>
      </c>
      <c r="M2579" s="18">
        <f>IFERROR(__xludf.DUMMYFUNCTION("""COMPUTED_VALUE"""),4.14)</f>
        <v>4.14</v>
      </c>
    </row>
    <row r="2580">
      <c r="A2580" s="13" t="str">
        <f>IFERROR(__xludf.DUMMYFUNCTION("""COMPUTED_VALUE"""),"товари")</f>
        <v>товари</v>
      </c>
      <c r="B2580" s="16" t="str">
        <f>IFERROR(__xludf.DUMMYFUNCTION("""COMPUTED_VALUE"""),"обладнання та товари для надання послуг")</f>
        <v>обладнання та товари для надання послуг</v>
      </c>
      <c r="C2580" s="16" t="str">
        <f>IFERROR(__xludf.DUMMYFUNCTION("""COMPUTED_VALUE"""),"обладнання та матеріали для друкарні")</f>
        <v>обладнання та матеріали для друкарні</v>
      </c>
      <c r="D2580" s="16" t="str">
        <f>IFERROR(__xludf.DUMMYFUNCTION("""COMPUTED_VALUE"""),"витратні матеріали для поліграфії")</f>
        <v>витратні матеріали для поліграфії</v>
      </c>
      <c r="E2580" s="16" t="str">
        <f>IFERROR(__xludf.DUMMYFUNCTION("""COMPUTED_VALUE"""),"палітурні матеріали")</f>
        <v>палітурні матеріали</v>
      </c>
      <c r="F2580" s="17">
        <f>IFERROR(__xludf.DUMMYFUNCTION("""COMPUTED_VALUE"""),4.0)</f>
        <v>4</v>
      </c>
      <c r="G2580" s="17" t="str">
        <f>IFERROR(__xludf.DUMMYFUNCTION("""COMPUTED_VALUE"""),"230926")</f>
        <v>230926</v>
      </c>
      <c r="H2580" s="17" t="str">
        <f>IFERROR(__xludf.DUMMYFUNCTION("""COMPUTED_VALUE"""),"палітурні матеріали")</f>
        <v>палітурні матеріали</v>
      </c>
      <c r="I2580" s="19">
        <f>IFERROR(__xludf.DUMMYFUNCTION("""COMPUTED_VALUE"""),0.0749)</f>
        <v>0.0749</v>
      </c>
      <c r="J2580" s="19">
        <f>IFERROR(__xludf.DUMMYFUNCTION("""COMPUTED_VALUE"""),0.1498)</f>
        <v>0.1498</v>
      </c>
      <c r="K2580" s="19">
        <f>IFERROR(__xludf.DUMMYFUNCTION("""COMPUTED_VALUE"""),0.1873)</f>
        <v>0.1873</v>
      </c>
      <c r="L2580" s="19">
        <f>IFERROR(__xludf.DUMMYFUNCTION("""COMPUTED_VALUE"""),0.2247)</f>
        <v>0.2247</v>
      </c>
      <c r="M2580" s="18">
        <f>IFERROR(__xludf.DUMMYFUNCTION("""COMPUTED_VALUE"""),4.05)</f>
        <v>4.05</v>
      </c>
    </row>
    <row r="2581">
      <c r="A2581" s="13" t="str">
        <f>IFERROR(__xludf.DUMMYFUNCTION("""COMPUTED_VALUE"""),"товари")</f>
        <v>товари</v>
      </c>
      <c r="B2581" s="16" t="str">
        <f>IFERROR(__xludf.DUMMYFUNCTION("""COMPUTED_VALUE"""),"обладнання та товари для надання послуг")</f>
        <v>обладнання та товари для надання послуг</v>
      </c>
      <c r="C2581" s="16" t="str">
        <f>IFERROR(__xludf.DUMMYFUNCTION("""COMPUTED_VALUE"""),"релігійні і езотеричні товари")</f>
        <v>релігійні і езотеричні товари</v>
      </c>
      <c r="D2581" s="16" t="str">
        <f>IFERROR(__xludf.DUMMYFUNCTION("""COMPUTED_VALUE"""),"пахощі")</f>
        <v>пахощі</v>
      </c>
      <c r="E2581" s="16" t="str">
        <f>IFERROR(__xludf.DUMMYFUNCTION("""COMPUTED_VALUE"""),"пахощі")</f>
        <v>пахощі</v>
      </c>
      <c r="F2581" s="17">
        <f>IFERROR(__xludf.DUMMYFUNCTION("""COMPUTED_VALUE"""),3.0)</f>
        <v>3</v>
      </c>
      <c r="G2581" s="17" t="str">
        <f>IFERROR(__xludf.DUMMYFUNCTION("""COMPUTED_VALUE"""),"172408")</f>
        <v>172408</v>
      </c>
      <c r="H2581" s="17" t="str">
        <f>IFERROR(__xludf.DUMMYFUNCTION("""COMPUTED_VALUE"""),"пахощі")</f>
        <v>пахощі</v>
      </c>
      <c r="I2581" s="19">
        <f>IFERROR(__xludf.DUMMYFUNCTION("""COMPUTED_VALUE"""),0.0762)</f>
        <v>0.0762</v>
      </c>
      <c r="J2581" s="19">
        <f>IFERROR(__xludf.DUMMYFUNCTION("""COMPUTED_VALUE"""),0.1524)</f>
        <v>0.1524</v>
      </c>
      <c r="K2581" s="19">
        <f>IFERROR(__xludf.DUMMYFUNCTION("""COMPUTED_VALUE"""),0.1905)</f>
        <v>0.1905</v>
      </c>
      <c r="L2581" s="19">
        <f>IFERROR(__xludf.DUMMYFUNCTION("""COMPUTED_VALUE"""),0.2286)</f>
        <v>0.2286</v>
      </c>
      <c r="M2581" s="18">
        <f>IFERROR(__xludf.DUMMYFUNCTION("""COMPUTED_VALUE"""),1.26)</f>
        <v>1.26</v>
      </c>
    </row>
    <row r="2582">
      <c r="A2582" s="13" t="str">
        <f>IFERROR(__xludf.DUMMYFUNCTION("""COMPUTED_VALUE"""),"товари")</f>
        <v>товари</v>
      </c>
      <c r="B2582" s="16" t="str">
        <f>IFERROR(__xludf.DUMMYFUNCTION("""COMPUTED_VALUE"""),"обладнання та товари для надання послуг")</f>
        <v>обладнання та товари для надання послуг</v>
      </c>
      <c r="C2582" s="16" t="str">
        <f>IFERROR(__xludf.DUMMYFUNCTION("""COMPUTED_VALUE"""),"комерційні меблі")</f>
        <v>комерційні меблі</v>
      </c>
      <c r="D2582" s="16" t="str">
        <f>IFERROR(__xludf.DUMMYFUNCTION("""COMPUTED_VALUE"""),"меблі для салонів краси")</f>
        <v>меблі для салонів краси</v>
      </c>
      <c r="E2582" s="16" t="str">
        <f>IFERROR(__xludf.DUMMYFUNCTION("""COMPUTED_VALUE"""),"педикюрні крісла")</f>
        <v>педикюрні крісла</v>
      </c>
      <c r="F2582" s="17">
        <f>IFERROR(__xludf.DUMMYFUNCTION("""COMPUTED_VALUE"""),4.0)</f>
        <v>4</v>
      </c>
      <c r="G2582" s="17" t="str">
        <f>IFERROR(__xludf.DUMMYFUNCTION("""COMPUTED_VALUE"""),"15030816")</f>
        <v>15030816</v>
      </c>
      <c r="H2582" s="17" t="str">
        <f>IFERROR(__xludf.DUMMYFUNCTION("""COMPUTED_VALUE"""),"педикюрні крісла")</f>
        <v>педикюрні крісла</v>
      </c>
      <c r="I2582" s="19">
        <f>IFERROR(__xludf.DUMMYFUNCTION("""COMPUTED_VALUE"""),0.0702)</f>
        <v>0.0702</v>
      </c>
      <c r="J2582" s="19">
        <f>IFERROR(__xludf.DUMMYFUNCTION("""COMPUTED_VALUE"""),0.1404)</f>
        <v>0.1404</v>
      </c>
      <c r="K2582" s="19">
        <f>IFERROR(__xludf.DUMMYFUNCTION("""COMPUTED_VALUE"""),0.1755)</f>
        <v>0.1755</v>
      </c>
      <c r="L2582" s="19">
        <f>IFERROR(__xludf.DUMMYFUNCTION("""COMPUTED_VALUE"""),0.2106)</f>
        <v>0.2106</v>
      </c>
      <c r="M2582" s="18">
        <f>IFERROR(__xludf.DUMMYFUNCTION("""COMPUTED_VALUE"""),3.06)</f>
        <v>3.06</v>
      </c>
    </row>
    <row r="2583">
      <c r="A2583" s="13" t="str">
        <f>IFERROR(__xludf.DUMMYFUNCTION("""COMPUTED_VALUE"""),"товари")</f>
        <v>товари</v>
      </c>
      <c r="B2583" s="16" t="str">
        <f>IFERROR(__xludf.DUMMYFUNCTION("""COMPUTED_VALUE"""),"обладнання та товари для надання послуг")</f>
        <v>обладнання та товари для надання послуг</v>
      </c>
      <c r="C2583" s="16" t="str">
        <f>IFERROR(__xludf.DUMMYFUNCTION("""COMPUTED_VALUE"""),"комерційні меблі")</f>
        <v>комерційні меблі</v>
      </c>
      <c r="D2583" s="16" t="str">
        <f>IFERROR(__xludf.DUMMYFUNCTION("""COMPUTED_VALUE"""),"меблі для салонів краси")</f>
        <v>меблі для салонів краси</v>
      </c>
      <c r="E2583" s="16" t="str">
        <f>IFERROR(__xludf.DUMMYFUNCTION("""COMPUTED_VALUE"""),"перукарські крісла")</f>
        <v>перукарські крісла</v>
      </c>
      <c r="F2583" s="17">
        <f>IFERROR(__xludf.DUMMYFUNCTION("""COMPUTED_VALUE"""),4.0)</f>
        <v>4</v>
      </c>
      <c r="G2583" s="17" t="str">
        <f>IFERROR(__xludf.DUMMYFUNCTION("""COMPUTED_VALUE"""),"1503080101")</f>
        <v>1503080101</v>
      </c>
      <c r="H2583" s="17" t="str">
        <f>IFERROR(__xludf.DUMMYFUNCTION("""COMPUTED_VALUE"""),"перукарські крісла")</f>
        <v>перукарські крісла</v>
      </c>
      <c r="I2583" s="19">
        <f>IFERROR(__xludf.DUMMYFUNCTION("""COMPUTED_VALUE"""),0.0667)</f>
        <v>0.0667</v>
      </c>
      <c r="J2583" s="19">
        <f>IFERROR(__xludf.DUMMYFUNCTION("""COMPUTED_VALUE"""),0.1333)</f>
        <v>0.1333</v>
      </c>
      <c r="K2583" s="19">
        <f>IFERROR(__xludf.DUMMYFUNCTION("""COMPUTED_VALUE"""),0.1666)</f>
        <v>0.1666</v>
      </c>
      <c r="L2583" s="19">
        <f>IFERROR(__xludf.DUMMYFUNCTION("""COMPUTED_VALUE"""),0.2)</f>
        <v>0.2</v>
      </c>
      <c r="M2583" s="18">
        <f>IFERROR(__xludf.DUMMYFUNCTION("""COMPUTED_VALUE"""),3.06)</f>
        <v>3.06</v>
      </c>
    </row>
    <row r="2584">
      <c r="A2584" s="13" t="str">
        <f>IFERROR(__xludf.DUMMYFUNCTION("""COMPUTED_VALUE"""),"товари")</f>
        <v>товари</v>
      </c>
      <c r="B2584" s="16" t="str">
        <f>IFERROR(__xludf.DUMMYFUNCTION("""COMPUTED_VALUE"""),"обладнання та товари для надання послуг")</f>
        <v>обладнання та товари для надання послуг</v>
      </c>
      <c r="C2584" s="16" t="str">
        <f>IFERROR(__xludf.DUMMYFUNCTION("""COMPUTED_VALUE"""),"комерційні меблі")</f>
        <v>комерційні меблі</v>
      </c>
      <c r="D2584" s="16" t="str">
        <f>IFERROR(__xludf.DUMMYFUNCTION("""COMPUTED_VALUE"""),"меблі для салонів краси")</f>
        <v>меблі для салонів краси</v>
      </c>
      <c r="E2584" s="16" t="str">
        <f>IFERROR(__xludf.DUMMYFUNCTION("""COMPUTED_VALUE"""),"перукарські та косметологічні візки")</f>
        <v>перукарські та косметологічні візки</v>
      </c>
      <c r="F2584" s="17">
        <f>IFERROR(__xludf.DUMMYFUNCTION("""COMPUTED_VALUE"""),4.0)</f>
        <v>4</v>
      </c>
      <c r="G2584" s="17" t="str">
        <f>IFERROR(__xludf.DUMMYFUNCTION("""COMPUTED_VALUE"""),"15030818")</f>
        <v>15030818</v>
      </c>
      <c r="H2584" s="17" t="str">
        <f>IFERROR(__xludf.DUMMYFUNCTION("""COMPUTED_VALUE"""),"перукарські та косметологічні візки")</f>
        <v>перукарські та косметологічні візки</v>
      </c>
      <c r="I2584" s="19">
        <f>IFERROR(__xludf.DUMMYFUNCTION("""COMPUTED_VALUE"""),0.0732)</f>
        <v>0.0732</v>
      </c>
      <c r="J2584" s="19">
        <f>IFERROR(__xludf.DUMMYFUNCTION("""COMPUTED_VALUE"""),0.1463)</f>
        <v>0.1463</v>
      </c>
      <c r="K2584" s="19">
        <f>IFERROR(__xludf.DUMMYFUNCTION("""COMPUTED_VALUE"""),0.1829)</f>
        <v>0.1829</v>
      </c>
      <c r="L2584" s="19">
        <f>IFERROR(__xludf.DUMMYFUNCTION("""COMPUTED_VALUE"""),0.2195)</f>
        <v>0.2195</v>
      </c>
      <c r="M2584" s="18">
        <f>IFERROR(__xludf.DUMMYFUNCTION("""COMPUTED_VALUE"""),3.06)</f>
        <v>3.06</v>
      </c>
    </row>
    <row r="2585">
      <c r="A2585" s="13" t="str">
        <f>IFERROR(__xludf.DUMMYFUNCTION("""COMPUTED_VALUE"""),"товари")</f>
        <v>товари</v>
      </c>
      <c r="B2585" s="16" t="str">
        <f>IFERROR(__xludf.DUMMYFUNCTION("""COMPUTED_VALUE"""),"обладнання та товари для надання послуг")</f>
        <v>обладнання та товари для надання послуг</v>
      </c>
      <c r="C2585" s="16" t="str">
        <f>IFERROR(__xludf.DUMMYFUNCTION("""COMPUTED_VALUE"""),"horeca&amp;fast-food")</f>
        <v>horeca&amp;fast-food</v>
      </c>
      <c r="D2585" s="16" t="str">
        <f>IFERROR(__xludf.DUMMYFUNCTION("""COMPUTED_VALUE"""),"теплове обладнання horeca&amp;fast-food")</f>
        <v>теплове обладнання horeca&amp;fast-food</v>
      </c>
      <c r="E2585" s="16" t="str">
        <f>IFERROR(__xludf.DUMMYFUNCTION("""COMPUTED_VALUE"""),"печі для піци")</f>
        <v>печі для піци</v>
      </c>
      <c r="F2585" s="17">
        <f>IFERROR(__xludf.DUMMYFUNCTION("""COMPUTED_VALUE"""),4.0)</f>
        <v>4</v>
      </c>
      <c r="G2585" s="17" t="str">
        <f>IFERROR(__xludf.DUMMYFUNCTION("""COMPUTED_VALUE"""),"2200905")</f>
        <v>2200905</v>
      </c>
      <c r="H2585" s="17" t="str">
        <f>IFERROR(__xludf.DUMMYFUNCTION("""COMPUTED_VALUE"""),"печі для піци")</f>
        <v>печі для піци</v>
      </c>
      <c r="I2585" s="19">
        <f>IFERROR(__xludf.DUMMYFUNCTION("""COMPUTED_VALUE"""),0.0492)</f>
        <v>0.0492</v>
      </c>
      <c r="J2585" s="19">
        <f>IFERROR(__xludf.DUMMYFUNCTION("""COMPUTED_VALUE"""),0.0984)</f>
        <v>0.0984</v>
      </c>
      <c r="K2585" s="19">
        <f>IFERROR(__xludf.DUMMYFUNCTION("""COMPUTED_VALUE"""),0.123)</f>
        <v>0.123</v>
      </c>
      <c r="L2585" s="19">
        <f>IFERROR(__xludf.DUMMYFUNCTION("""COMPUTED_VALUE"""),0.1476)</f>
        <v>0.1476</v>
      </c>
      <c r="M2585" s="18">
        <f>IFERROR(__xludf.DUMMYFUNCTION("""COMPUTED_VALUE"""),3.96)</f>
        <v>3.96</v>
      </c>
    </row>
    <row r="2586">
      <c r="A2586" s="13" t="str">
        <f>IFERROR(__xludf.DUMMYFUNCTION("""COMPUTED_VALUE"""),"товари")</f>
        <v>товари</v>
      </c>
      <c r="B2586" s="16" t="str">
        <f>IFERROR(__xludf.DUMMYFUNCTION("""COMPUTED_VALUE"""),"обладнання та товари для надання послуг")</f>
        <v>обладнання та товари для надання послуг</v>
      </c>
      <c r="C2586" s="16" t="str">
        <f>IFERROR(__xludf.DUMMYFUNCTION("""COMPUTED_VALUE"""),"комерційні меблі")</f>
        <v>комерційні меблі</v>
      </c>
      <c r="D2586" s="16" t="str">
        <f>IFERROR(__xludf.DUMMYFUNCTION("""COMPUTED_VALUE"""),"меблі для салонів краси")</f>
        <v>меблі для салонів краси</v>
      </c>
      <c r="E2586" s="16" t="str">
        <f>IFERROR(__xludf.DUMMYFUNCTION("""COMPUTED_VALUE"""),"підставки для ніг")</f>
        <v>підставки для ніг</v>
      </c>
      <c r="F2586" s="17">
        <f>IFERROR(__xludf.DUMMYFUNCTION("""COMPUTED_VALUE"""),4.0)</f>
        <v>4</v>
      </c>
      <c r="G2586" s="17" t="str">
        <f>IFERROR(__xludf.DUMMYFUNCTION("""COMPUTED_VALUE"""),"15030825")</f>
        <v>15030825</v>
      </c>
      <c r="H2586" s="17" t="str">
        <f>IFERROR(__xludf.DUMMYFUNCTION("""COMPUTED_VALUE"""),"підставки для ніг")</f>
        <v>підставки для ніг</v>
      </c>
      <c r="I2586" s="19">
        <f>IFERROR(__xludf.DUMMYFUNCTION("""COMPUTED_VALUE"""),0.0741)</f>
        <v>0.0741</v>
      </c>
      <c r="J2586" s="19">
        <f>IFERROR(__xludf.DUMMYFUNCTION("""COMPUTED_VALUE"""),0.1482)</f>
        <v>0.1482</v>
      </c>
      <c r="K2586" s="19">
        <f>IFERROR(__xludf.DUMMYFUNCTION("""COMPUTED_VALUE"""),0.1853)</f>
        <v>0.1853</v>
      </c>
      <c r="L2586" s="19">
        <f>IFERROR(__xludf.DUMMYFUNCTION("""COMPUTED_VALUE"""),0.2223)</f>
        <v>0.2223</v>
      </c>
      <c r="M2586" s="18">
        <f>IFERROR(__xludf.DUMMYFUNCTION("""COMPUTED_VALUE"""),3.06)</f>
        <v>3.06</v>
      </c>
    </row>
    <row r="2587">
      <c r="A2587" s="13" t="str">
        <f>IFERROR(__xludf.DUMMYFUNCTION("""COMPUTED_VALUE"""),"товари")</f>
        <v>товари</v>
      </c>
      <c r="B2587" s="16" t="str">
        <f>IFERROR(__xludf.DUMMYFUNCTION("""COMPUTED_VALUE"""),"обладнання та товари для надання послуг")</f>
        <v>обладнання та товари для надання послуг</v>
      </c>
      <c r="C2587" s="16" t="str">
        <f>IFERROR(__xludf.DUMMYFUNCTION("""COMPUTED_VALUE"""),"комерційні меблі")</f>
        <v>комерційні меблі</v>
      </c>
      <c r="D2587" s="16" t="str">
        <f>IFERROR(__xludf.DUMMYFUNCTION("""COMPUTED_VALUE"""),"офісні меблі")</f>
        <v>офісні меблі</v>
      </c>
      <c r="E2587" s="16" t="str">
        <f>IFERROR(__xludf.DUMMYFUNCTION("""COMPUTED_VALUE"""),"підставки під системний блок")</f>
        <v>підставки під системний блок</v>
      </c>
      <c r="F2587" s="17">
        <f>IFERROR(__xludf.DUMMYFUNCTION("""COMPUTED_VALUE"""),4.0)</f>
        <v>4</v>
      </c>
      <c r="G2587" s="17" t="str">
        <f>IFERROR(__xludf.DUMMYFUNCTION("""COMPUTED_VALUE"""),"15030416")</f>
        <v>15030416</v>
      </c>
      <c r="H2587" s="17" t="str">
        <f>IFERROR(__xludf.DUMMYFUNCTION("""COMPUTED_VALUE"""),"підставки під системний блок")</f>
        <v>підставки під системний блок</v>
      </c>
      <c r="I2587" s="19">
        <f>IFERROR(__xludf.DUMMYFUNCTION("""COMPUTED_VALUE"""),0.0697)</f>
        <v>0.0697</v>
      </c>
      <c r="J2587" s="19">
        <f>IFERROR(__xludf.DUMMYFUNCTION("""COMPUTED_VALUE"""),0.1394)</f>
        <v>0.1394</v>
      </c>
      <c r="K2587" s="19">
        <f>IFERROR(__xludf.DUMMYFUNCTION("""COMPUTED_VALUE"""),0.1743)</f>
        <v>0.1743</v>
      </c>
      <c r="L2587" s="19">
        <f>IFERROR(__xludf.DUMMYFUNCTION("""COMPUTED_VALUE"""),0.2091)</f>
        <v>0.2091</v>
      </c>
      <c r="M2587" s="18">
        <f>IFERROR(__xludf.DUMMYFUNCTION("""COMPUTED_VALUE"""),4.14)</f>
        <v>4.14</v>
      </c>
    </row>
    <row r="2588">
      <c r="A2588" s="13" t="str">
        <f>IFERROR(__xludf.DUMMYFUNCTION("""COMPUTED_VALUE"""),"товари")</f>
        <v>товари</v>
      </c>
      <c r="B2588" s="16" t="str">
        <f>IFERROR(__xludf.DUMMYFUNCTION("""COMPUTED_VALUE"""),"обладнання та товари для надання послуг")</f>
        <v>обладнання та товари для надання послуг</v>
      </c>
      <c r="C2588" s="16" t="str">
        <f>IFERROR(__xludf.DUMMYFUNCTION("""COMPUTED_VALUE"""),"обладнання для автосервісу")</f>
        <v>обладнання для автосервісу</v>
      </c>
      <c r="D2588" s="16" t="str">
        <f>IFERROR(__xludf.DUMMYFUNCTION("""COMPUTED_VALUE"""),"обладнання для автомийок")</f>
        <v>обладнання для автомийок</v>
      </c>
      <c r="E2588" s="16" t="str">
        <f>IFERROR(__xludf.DUMMYFUNCTION("""COMPUTED_VALUE"""),"піногенератори")</f>
        <v>піногенератори</v>
      </c>
      <c r="F2588" s="17">
        <f>IFERROR(__xludf.DUMMYFUNCTION("""COMPUTED_VALUE"""),4.0)</f>
        <v>4</v>
      </c>
      <c r="G2588" s="17" t="str">
        <f>IFERROR(__xludf.DUMMYFUNCTION("""COMPUTED_VALUE"""),"13040101")</f>
        <v>13040101</v>
      </c>
      <c r="H2588" s="17" t="str">
        <f>IFERROR(__xludf.DUMMYFUNCTION("""COMPUTED_VALUE"""),"піногенератори")</f>
        <v>піногенератори</v>
      </c>
      <c r="I2588" s="19">
        <f>IFERROR(__xludf.DUMMYFUNCTION("""COMPUTED_VALUE"""),0.0717)</f>
        <v>0.0717</v>
      </c>
      <c r="J2588" s="19">
        <f>IFERROR(__xludf.DUMMYFUNCTION("""COMPUTED_VALUE"""),0.1434)</f>
        <v>0.1434</v>
      </c>
      <c r="K2588" s="19">
        <f>IFERROR(__xludf.DUMMYFUNCTION("""COMPUTED_VALUE"""),0.1793)</f>
        <v>0.1793</v>
      </c>
      <c r="L2588" s="19">
        <f>IFERROR(__xludf.DUMMYFUNCTION("""COMPUTED_VALUE"""),0.2151)</f>
        <v>0.2151</v>
      </c>
      <c r="M2588" s="18">
        <f>IFERROR(__xludf.DUMMYFUNCTION("""COMPUTED_VALUE"""),3.15)</f>
        <v>3.15</v>
      </c>
    </row>
    <row r="2589">
      <c r="A2589" s="13" t="str">
        <f>IFERROR(__xludf.DUMMYFUNCTION("""COMPUTED_VALUE"""),"товари")</f>
        <v>товари</v>
      </c>
      <c r="B2589" s="16" t="str">
        <f>IFERROR(__xludf.DUMMYFUNCTION("""COMPUTED_VALUE"""),"обладнання та товари для надання послуг")</f>
        <v>обладнання та товари для надання послуг</v>
      </c>
      <c r="C2589" s="16" t="str">
        <f>IFERROR(__xludf.DUMMYFUNCTION("""COMPUTED_VALUE"""),"обладнання та матеріали для друкарні")</f>
        <v>обладнання та матеріали для друкарні</v>
      </c>
      <c r="D2589" s="16" t="str">
        <f>IFERROR(__xludf.DUMMYFUNCTION("""COMPUTED_VALUE"""),"витратні матеріали для поліграфії")</f>
        <v>витратні матеріали для поліграфії</v>
      </c>
      <c r="E2589" s="16" t="str">
        <f>IFERROR(__xludf.DUMMYFUNCTION("""COMPUTED_VALUE"""),"плівки для ламінування")</f>
        <v>плівки для ламінування</v>
      </c>
      <c r="F2589" s="17">
        <f>IFERROR(__xludf.DUMMYFUNCTION("""COMPUTED_VALUE"""),4.0)</f>
        <v>4</v>
      </c>
      <c r="G2589" s="17">
        <f>IFERROR(__xludf.DUMMYFUNCTION("""COMPUTED_VALUE"""),230927.0)</f>
        <v>230927</v>
      </c>
      <c r="H2589" s="17" t="str">
        <f>IFERROR(__xludf.DUMMYFUNCTION("""COMPUTED_VALUE"""),"плівки для ламінування")</f>
        <v>плівки для ламінування</v>
      </c>
      <c r="I2589" s="19">
        <f>IFERROR(__xludf.DUMMYFUNCTION("""COMPUTED_VALUE"""),0.0727)</f>
        <v>0.0727</v>
      </c>
      <c r="J2589" s="19">
        <f>IFERROR(__xludf.DUMMYFUNCTION("""COMPUTED_VALUE"""),0.1454)</f>
        <v>0.1454</v>
      </c>
      <c r="K2589" s="19">
        <f>IFERROR(__xludf.DUMMYFUNCTION("""COMPUTED_VALUE"""),0.1818)</f>
        <v>0.1818</v>
      </c>
      <c r="L2589" s="19">
        <f>IFERROR(__xludf.DUMMYFUNCTION("""COMPUTED_VALUE"""),0.2181)</f>
        <v>0.2181</v>
      </c>
      <c r="M2589" s="18">
        <f>IFERROR(__xludf.DUMMYFUNCTION("""COMPUTED_VALUE"""),4.05)</f>
        <v>4.05</v>
      </c>
    </row>
    <row r="2590">
      <c r="A2590" s="13" t="str">
        <f>IFERROR(__xludf.DUMMYFUNCTION("""COMPUTED_VALUE"""),"товари")</f>
        <v>товари</v>
      </c>
      <c r="B2590" s="16" t="str">
        <f>IFERROR(__xludf.DUMMYFUNCTION("""COMPUTED_VALUE"""),"обладнання та товари для надання послуг")</f>
        <v>обладнання та товари для надання послуг</v>
      </c>
      <c r="C2590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590" s="16" t="str">
        <f>IFERROR(__xludf.DUMMYFUNCTION("""COMPUTED_VALUE"""),"матеріали для виготовлення реклами")</f>
        <v>матеріали для виготовлення реклами</v>
      </c>
      <c r="E2590" s="16" t="str">
        <f>IFERROR(__xludf.DUMMYFUNCTION("""COMPUTED_VALUE"""),"плівки самоклеючі для друку")</f>
        <v>плівки самоклеючі для друку</v>
      </c>
      <c r="F2590" s="17">
        <f>IFERROR(__xludf.DUMMYFUNCTION("""COMPUTED_VALUE"""),4.0)</f>
        <v>4</v>
      </c>
      <c r="G2590" s="17" t="str">
        <f>IFERROR(__xludf.DUMMYFUNCTION("""COMPUTED_VALUE"""),"283033")</f>
        <v>283033</v>
      </c>
      <c r="H2590" s="17" t="str">
        <f>IFERROR(__xludf.DUMMYFUNCTION("""COMPUTED_VALUE"""),"плівки самоклеючі для друку")</f>
        <v>плівки самоклеючі для друку</v>
      </c>
      <c r="I2590" s="19">
        <f>IFERROR(__xludf.DUMMYFUNCTION("""COMPUTED_VALUE"""),0.0447)</f>
        <v>0.0447</v>
      </c>
      <c r="J2590" s="19">
        <f>IFERROR(__xludf.DUMMYFUNCTION("""COMPUTED_VALUE"""),0.0893)</f>
        <v>0.0893</v>
      </c>
      <c r="K2590" s="19">
        <f>IFERROR(__xludf.DUMMYFUNCTION("""COMPUTED_VALUE"""),0.1116)</f>
        <v>0.1116</v>
      </c>
      <c r="L2590" s="19">
        <f>IFERROR(__xludf.DUMMYFUNCTION("""COMPUTED_VALUE"""),0.134)</f>
        <v>0.134</v>
      </c>
      <c r="M2590" s="18">
        <f>IFERROR(__xludf.DUMMYFUNCTION("""COMPUTED_VALUE"""),3.78)</f>
        <v>3.78</v>
      </c>
    </row>
    <row r="2591">
      <c r="A2591" s="13" t="str">
        <f>IFERROR(__xludf.DUMMYFUNCTION("""COMPUTED_VALUE"""),"товари")</f>
        <v>товари</v>
      </c>
      <c r="B2591" s="16" t="str">
        <f>IFERROR(__xludf.DUMMYFUNCTION("""COMPUTED_VALUE"""),"обладнання та товари для надання послуг")</f>
        <v>обладнання та товари для надання послуг</v>
      </c>
      <c r="C2591" s="16" t="str">
        <f>IFERROR(__xludf.DUMMYFUNCTION("""COMPUTED_VALUE"""),"обладнання та матеріали для друкарні")</f>
        <v>обладнання та матеріали для друкарні</v>
      </c>
      <c r="D2591" s="16" t="str">
        <f>IFERROR(__xludf.DUMMYFUNCTION("""COMPUTED_VALUE"""),"друкарське устаткування")</f>
        <v>друкарське устаткування</v>
      </c>
      <c r="E2591" s="16" t="str">
        <f>IFERROR(__xludf.DUMMYFUNCTION("""COMPUTED_VALUE"""),"плоттери")</f>
        <v>плоттери</v>
      </c>
      <c r="F2591" s="17">
        <f>IFERROR(__xludf.DUMMYFUNCTION("""COMPUTED_VALUE"""),4.0)</f>
        <v>4</v>
      </c>
      <c r="G2591" s="17" t="str">
        <f>IFERROR(__xludf.DUMMYFUNCTION("""COMPUTED_VALUE"""),"2108")</f>
        <v>2108</v>
      </c>
      <c r="H2591" s="17" t="str">
        <f>IFERROR(__xludf.DUMMYFUNCTION("""COMPUTED_VALUE"""),"плоттери")</f>
        <v>плоттери</v>
      </c>
      <c r="I2591" s="19">
        <f>IFERROR(__xludf.DUMMYFUNCTION("""COMPUTED_VALUE"""),0.0447)</f>
        <v>0.0447</v>
      </c>
      <c r="J2591" s="19">
        <f>IFERROR(__xludf.DUMMYFUNCTION("""COMPUTED_VALUE"""),0.0893)</f>
        <v>0.0893</v>
      </c>
      <c r="K2591" s="19">
        <f>IFERROR(__xludf.DUMMYFUNCTION("""COMPUTED_VALUE"""),0.1116)</f>
        <v>0.1116</v>
      </c>
      <c r="L2591" s="19">
        <f>IFERROR(__xludf.DUMMYFUNCTION("""COMPUTED_VALUE"""),0.134)</f>
        <v>0.134</v>
      </c>
      <c r="M2591" s="18">
        <f>IFERROR(__xludf.DUMMYFUNCTION("""COMPUTED_VALUE"""),2.34)</f>
        <v>2.34</v>
      </c>
    </row>
    <row r="2592">
      <c r="A2592" s="13" t="str">
        <f>IFERROR(__xludf.DUMMYFUNCTION("""COMPUTED_VALUE"""),"товари")</f>
        <v>товари</v>
      </c>
      <c r="B2592" s="16" t="str">
        <f>IFERROR(__xludf.DUMMYFUNCTION("""COMPUTED_VALUE"""),"обладнання та товари для надання послуг")</f>
        <v>обладнання та товари для надання послуг</v>
      </c>
      <c r="C2592" s="16" t="str">
        <f>IFERROR(__xludf.DUMMYFUNCTION("""COMPUTED_VALUE"""),"horeca&amp;fast-food")</f>
        <v>horeca&amp;fast-food</v>
      </c>
      <c r="D2592" s="16" t="str">
        <f>IFERROR(__xludf.DUMMYFUNCTION("""COMPUTED_VALUE"""),"теплове обладнання horeca&amp;fast-food")</f>
        <v>теплове обладнання horeca&amp;fast-food</v>
      </c>
      <c r="E2592" s="16" t="str">
        <f>IFERROR(__xludf.DUMMYFUNCTION("""COMPUTED_VALUE"""),"поверхні для смаження")</f>
        <v>поверхні для смаження</v>
      </c>
      <c r="F2592" s="17">
        <f>IFERROR(__xludf.DUMMYFUNCTION("""COMPUTED_VALUE"""),4.0)</f>
        <v>4</v>
      </c>
      <c r="G2592" s="17" t="str">
        <f>IFERROR(__xludf.DUMMYFUNCTION("""COMPUTED_VALUE"""),"2200918")</f>
        <v>2200918</v>
      </c>
      <c r="H2592" s="17" t="str">
        <f>IFERROR(__xludf.DUMMYFUNCTION("""COMPUTED_VALUE"""),"поверхні для смаження")</f>
        <v>поверхні для смаження</v>
      </c>
      <c r="I2592" s="19">
        <f>IFERROR(__xludf.DUMMYFUNCTION("""COMPUTED_VALUE"""),0.0698)</f>
        <v>0.0698</v>
      </c>
      <c r="J2592" s="19">
        <f>IFERROR(__xludf.DUMMYFUNCTION("""COMPUTED_VALUE"""),0.1396)</f>
        <v>0.1396</v>
      </c>
      <c r="K2592" s="19">
        <f>IFERROR(__xludf.DUMMYFUNCTION("""COMPUTED_VALUE"""),0.1745)</f>
        <v>0.1745</v>
      </c>
      <c r="L2592" s="19">
        <f>IFERROR(__xludf.DUMMYFUNCTION("""COMPUTED_VALUE"""),0.2094)</f>
        <v>0.2094</v>
      </c>
      <c r="M2592" s="18">
        <f>IFERROR(__xludf.DUMMYFUNCTION("""COMPUTED_VALUE"""),3.96)</f>
        <v>3.96</v>
      </c>
    </row>
    <row r="2593">
      <c r="A2593" s="13" t="str">
        <f>IFERROR(__xludf.DUMMYFUNCTION("""COMPUTED_VALUE"""),"товари")</f>
        <v>товари</v>
      </c>
      <c r="B2593" s="16" t="str">
        <f>IFERROR(__xludf.DUMMYFUNCTION("""COMPUTED_VALUE"""),"обладнання та товари для надання послуг")</f>
        <v>обладнання та товари для надання послуг</v>
      </c>
      <c r="C2593" s="16" t="str">
        <f>IFERROR(__xludf.DUMMYFUNCTION("""COMPUTED_VALUE"""),"horeca&amp;fast-food")</f>
        <v>horeca&amp;fast-food</v>
      </c>
      <c r="D2593" s="16" t="str">
        <f>IFERROR(__xludf.DUMMYFUNCTION("""COMPUTED_VALUE"""),"електромеханічне обладнання horeca&amp;fast-food")</f>
        <v>електромеханічне обладнання horeca&amp;fast-food</v>
      </c>
      <c r="E2593" s="16" t="str">
        <f>IFERROR(__xludf.DUMMYFUNCTION("""COMPUTED_VALUE"""),"подрібнювачі льоду")</f>
        <v>подрібнювачі льоду</v>
      </c>
      <c r="F2593" s="17">
        <f>IFERROR(__xludf.DUMMYFUNCTION("""COMPUTED_VALUE"""),4.0)</f>
        <v>4</v>
      </c>
      <c r="G2593" s="17" t="str">
        <f>IFERROR(__xludf.DUMMYFUNCTION("""COMPUTED_VALUE"""),"240609")</f>
        <v>240609</v>
      </c>
      <c r="H2593" s="17" t="str">
        <f>IFERROR(__xludf.DUMMYFUNCTION("""COMPUTED_VALUE"""),"подрібнювачі льоду")</f>
        <v>подрібнювачі льоду</v>
      </c>
      <c r="I2593" s="19">
        <f>IFERROR(__xludf.DUMMYFUNCTION("""COMPUTED_VALUE"""),0.0542)</f>
        <v>0.0542</v>
      </c>
      <c r="J2593" s="19">
        <f>IFERROR(__xludf.DUMMYFUNCTION("""COMPUTED_VALUE"""),0.1084)</f>
        <v>0.1084</v>
      </c>
      <c r="K2593" s="19">
        <f>IFERROR(__xludf.DUMMYFUNCTION("""COMPUTED_VALUE"""),0.1355)</f>
        <v>0.1355</v>
      </c>
      <c r="L2593" s="19">
        <f>IFERROR(__xludf.DUMMYFUNCTION("""COMPUTED_VALUE"""),0.1626)</f>
        <v>0.1626</v>
      </c>
      <c r="M2593" s="18">
        <f>IFERROR(__xludf.DUMMYFUNCTION("""COMPUTED_VALUE"""),3.6)</f>
        <v>3.6</v>
      </c>
    </row>
    <row r="2594">
      <c r="A2594" s="13" t="str">
        <f>IFERROR(__xludf.DUMMYFUNCTION("""COMPUTED_VALUE"""),"товари")</f>
        <v>товари</v>
      </c>
      <c r="B2594" s="16" t="str">
        <f>IFERROR(__xludf.DUMMYFUNCTION("""COMPUTED_VALUE"""),"обладнання та товари для надання послуг")</f>
        <v>обладнання та товари для надання послуг</v>
      </c>
      <c r="C2594" s="16" t="str">
        <f>IFERROR(__xludf.DUMMYFUNCTION("""COMPUTED_VALUE"""),"обладнання для торгівлі")</f>
        <v>обладнання для торгівлі</v>
      </c>
      <c r="D2594" s="16" t="str">
        <f>IFERROR(__xludf.DUMMYFUNCTION("""COMPUTED_VALUE"""),"презентаційне обладнання для торгівлі")</f>
        <v>презентаційне обладнання для торгівлі</v>
      </c>
      <c r="E2594" s="16" t="str">
        <f>IFERROR(__xludf.DUMMYFUNCTION("""COMPUTED_VALUE"""),"презентаційне обладнання для торгівлі, загальне")</f>
        <v>презентаційне обладнання для торгівлі, загальне</v>
      </c>
      <c r="F2594" s="17">
        <f>IFERROR(__xludf.DUMMYFUNCTION("""COMPUTED_VALUE"""),4.0)</f>
        <v>4</v>
      </c>
      <c r="G2594" s="17" t="str">
        <f>IFERROR(__xludf.DUMMYFUNCTION("""COMPUTED_VALUE"""),"283046")</f>
        <v>283046</v>
      </c>
      <c r="H2594" s="17" t="str">
        <f>IFERROR(__xludf.DUMMYFUNCTION("""COMPUTED_VALUE"""),"презентаційне обладнання для торгівлі, загальне")</f>
        <v>презентаційне обладнання для торгівлі, загальне</v>
      </c>
      <c r="I2594" s="19">
        <f>IFERROR(__xludf.DUMMYFUNCTION("""COMPUTED_VALUE"""),0.125)</f>
        <v>0.125</v>
      </c>
      <c r="J2594" s="19">
        <f>IFERROR(__xludf.DUMMYFUNCTION("""COMPUTED_VALUE"""),0.25)</f>
        <v>0.25</v>
      </c>
      <c r="K2594" s="19">
        <f>IFERROR(__xludf.DUMMYFUNCTION("""COMPUTED_VALUE"""),0.3125)</f>
        <v>0.3125</v>
      </c>
      <c r="L2594" s="19">
        <f>IFERROR(__xludf.DUMMYFUNCTION("""COMPUTED_VALUE"""),0.375)</f>
        <v>0.375</v>
      </c>
      <c r="M2594" s="18">
        <f>IFERROR(__xludf.DUMMYFUNCTION("""COMPUTED_VALUE"""),4.33)</f>
        <v>4.33</v>
      </c>
    </row>
    <row r="2595">
      <c r="A2595" s="13" t="str">
        <f>IFERROR(__xludf.DUMMYFUNCTION("""COMPUTED_VALUE"""),"товари")</f>
        <v>товари</v>
      </c>
      <c r="B2595" s="16" t="str">
        <f>IFERROR(__xludf.DUMMYFUNCTION("""COMPUTED_VALUE"""),"обладнання та товари для надання послуг")</f>
        <v>обладнання та товари для надання послуг</v>
      </c>
      <c r="C2595" s="16" t="str">
        <f>IFERROR(__xludf.DUMMYFUNCTION("""COMPUTED_VALUE"""),"horeca&amp;fast-food")</f>
        <v>horeca&amp;fast-food</v>
      </c>
      <c r="D2595" s="16" t="str">
        <f>IFERROR(__xludf.DUMMYFUNCTION("""COMPUTED_VALUE"""),"прибиральний інвентар та засоби для horeca")</f>
        <v>прибиральний інвентар та засоби для horeca</v>
      </c>
      <c r="E2595" s="16" t="str">
        <f>IFERROR(__xludf.DUMMYFUNCTION("""COMPUTED_VALUE"""),"прибиральний інвентар та засоби для horeca, загальне")</f>
        <v>прибиральний інвентар та засоби для horeca, загальне</v>
      </c>
      <c r="F2595" s="17">
        <f>IFERROR(__xludf.DUMMYFUNCTION("""COMPUTED_VALUE"""),4.0)</f>
        <v>4</v>
      </c>
      <c r="G2595" s="17" t="str">
        <f>IFERROR(__xludf.DUMMYFUNCTION("""COMPUTED_VALUE"""),"240674")</f>
        <v>240674</v>
      </c>
      <c r="H2595" s="17" t="str">
        <f>IFERROR(__xludf.DUMMYFUNCTION("""COMPUTED_VALUE"""),"прибиральний інвентар та засоби для horeca, загальне")</f>
        <v>прибиральний інвентар та засоби для horeca, загальне</v>
      </c>
      <c r="I2595" s="19">
        <f>IFERROR(__xludf.DUMMYFUNCTION("""COMPUTED_VALUE"""),0.125)</f>
        <v>0.125</v>
      </c>
      <c r="J2595" s="19">
        <f>IFERROR(__xludf.DUMMYFUNCTION("""COMPUTED_VALUE"""),0.25)</f>
        <v>0.25</v>
      </c>
      <c r="K2595" s="19">
        <f>IFERROR(__xludf.DUMMYFUNCTION("""COMPUTED_VALUE"""),0.3125)</f>
        <v>0.3125</v>
      </c>
      <c r="L2595" s="19">
        <f>IFERROR(__xludf.DUMMYFUNCTION("""COMPUTED_VALUE"""),0.375)</f>
        <v>0.375</v>
      </c>
      <c r="M2595" s="18">
        <f>IFERROR(__xludf.DUMMYFUNCTION("""COMPUTED_VALUE"""),4.33)</f>
        <v>4.33</v>
      </c>
    </row>
    <row r="2596">
      <c r="A2596" s="13" t="str">
        <f>IFERROR(__xludf.DUMMYFUNCTION("""COMPUTED_VALUE"""),"товари")</f>
        <v>товари</v>
      </c>
      <c r="B2596" s="16" t="str">
        <f>IFERROR(__xludf.DUMMYFUNCTION("""COMPUTED_VALUE"""),"обладнання та товари для надання послуг")</f>
        <v>обладнання та товари для надання послуг</v>
      </c>
      <c r="C2596" s="16" t="str">
        <f>IFERROR(__xludf.DUMMYFUNCTION("""COMPUTED_VALUE"""),"професійне аудіо-, відео-, фото обладнання")</f>
        <v>професійне аудіо-, відео-, фото обладнання</v>
      </c>
      <c r="D2596" s="16" t="str">
        <f>IFERROR(__xludf.DUMMYFUNCTION("""COMPUTED_VALUE"""),"приймачі і передавачі сигналу")</f>
        <v>приймачі і передавачі сигналу</v>
      </c>
      <c r="E2596" s="16" t="str">
        <f>IFERROR(__xludf.DUMMYFUNCTION("""COMPUTED_VALUE"""),"приймачі і передавачі сигналу")</f>
        <v>приймачі і передавачі сигналу</v>
      </c>
      <c r="F2596" s="17">
        <f>IFERROR(__xludf.DUMMYFUNCTION("""COMPUTED_VALUE"""),3.0)</f>
        <v>3</v>
      </c>
      <c r="G2596" s="17" t="str">
        <f>IFERROR(__xludf.DUMMYFUNCTION("""COMPUTED_VALUE"""),"6371809")</f>
        <v>6371809</v>
      </c>
      <c r="H2596" s="17" t="str">
        <f>IFERROR(__xludf.DUMMYFUNCTION("""COMPUTED_VALUE"""),"приймачі і передавачі сигналу")</f>
        <v>приймачі і передавачі сигналу</v>
      </c>
      <c r="I2596" s="19">
        <f>IFERROR(__xludf.DUMMYFUNCTION("""COMPUTED_VALUE"""),0.0385)</f>
        <v>0.0385</v>
      </c>
      <c r="J2596" s="19">
        <f>IFERROR(__xludf.DUMMYFUNCTION("""COMPUTED_VALUE"""),0.077)</f>
        <v>0.077</v>
      </c>
      <c r="K2596" s="19">
        <f>IFERROR(__xludf.DUMMYFUNCTION("""COMPUTED_VALUE"""),0.0963)</f>
        <v>0.0963</v>
      </c>
      <c r="L2596" s="19">
        <f>IFERROR(__xludf.DUMMYFUNCTION("""COMPUTED_VALUE"""),0.1155)</f>
        <v>0.1155</v>
      </c>
      <c r="M2596" s="18">
        <f>IFERROR(__xludf.DUMMYFUNCTION("""COMPUTED_VALUE"""),1.26)</f>
        <v>1.26</v>
      </c>
    </row>
    <row r="2597">
      <c r="A2597" s="13" t="str">
        <f>IFERROR(__xludf.DUMMYFUNCTION("""COMPUTED_VALUE"""),"товари")</f>
        <v>товари</v>
      </c>
      <c r="B2597" s="16" t="str">
        <f>IFERROR(__xludf.DUMMYFUNCTION("""COMPUTED_VALUE"""),"обладнання та товари для надання послуг")</f>
        <v>обладнання та товари для надання послуг</v>
      </c>
      <c r="C2597" s="16" t="str">
        <f>IFERROR(__xludf.DUMMYFUNCTION("""COMPUTED_VALUE"""),"horeca&amp;fast-food")</f>
        <v>horeca&amp;fast-food</v>
      </c>
      <c r="D2597" s="16" t="str">
        <f>IFERROR(__xludf.DUMMYFUNCTION("""COMPUTED_VALUE"""),"аксесуари для барменів")</f>
        <v>аксесуари для барменів</v>
      </c>
      <c r="E2597" s="16" t="str">
        <f>IFERROR(__xludf.DUMMYFUNCTION("""COMPUTED_VALUE"""),"прикраси для напоїв і їжі")</f>
        <v>прикраси для напоїв і їжі</v>
      </c>
      <c r="F2597" s="17">
        <f>IFERROR(__xludf.DUMMYFUNCTION("""COMPUTED_VALUE"""),4.0)</f>
        <v>4</v>
      </c>
      <c r="G2597" s="17" t="str">
        <f>IFERROR(__xludf.DUMMYFUNCTION("""COMPUTED_VALUE"""),"152901")</f>
        <v>152901</v>
      </c>
      <c r="H2597" s="17" t="str">
        <f>IFERROR(__xludf.DUMMYFUNCTION("""COMPUTED_VALUE"""),"прикраси для напоїв і їжі")</f>
        <v>прикраси для напоїв і їжі</v>
      </c>
      <c r="I2597" s="19">
        <f>IFERROR(__xludf.DUMMYFUNCTION("""COMPUTED_VALUE"""),0.1035)</f>
        <v>0.1035</v>
      </c>
      <c r="J2597" s="19">
        <f>IFERROR(__xludf.DUMMYFUNCTION("""COMPUTED_VALUE"""),0.2069)</f>
        <v>0.2069</v>
      </c>
      <c r="K2597" s="19">
        <f>IFERROR(__xludf.DUMMYFUNCTION("""COMPUTED_VALUE"""),0.2586)</f>
        <v>0.2586</v>
      </c>
      <c r="L2597" s="19">
        <f>IFERROR(__xludf.DUMMYFUNCTION("""COMPUTED_VALUE"""),0.3104)</f>
        <v>0.3104</v>
      </c>
      <c r="M2597" s="18">
        <f>IFERROR(__xludf.DUMMYFUNCTION("""COMPUTED_VALUE"""),1.05)</f>
        <v>1.05</v>
      </c>
    </row>
    <row r="2598">
      <c r="A2598" s="13" t="str">
        <f>IFERROR(__xludf.DUMMYFUNCTION("""COMPUTED_VALUE"""),"товари")</f>
        <v>товари</v>
      </c>
      <c r="B2598" s="16" t="str">
        <f>IFERROR(__xludf.DUMMYFUNCTION("""COMPUTED_VALUE"""),"обладнання та товари для надання послуг")</f>
        <v>обладнання та товари для надання послуг</v>
      </c>
      <c r="C2598" s="16" t="str">
        <f>IFERROR(__xludf.DUMMYFUNCTION("""COMPUTED_VALUE"""),"обладнання для торгівлі")</f>
        <v>обладнання для торгівлі</v>
      </c>
      <c r="D2598" s="16" t="str">
        <f>IFERROR(__xludf.DUMMYFUNCTION("""COMPUTED_VALUE"""),"допоміжне обладнання та аксесуари для торгівлі")</f>
        <v>допоміжне обладнання та аксесуари для торгівлі</v>
      </c>
      <c r="E2598" s="16" t="str">
        <f>IFERROR(__xludf.DUMMYFUNCTION("""COMPUTED_VALUE"""),"примірочні кабіни та аксесуари")</f>
        <v>примірочні кабіни та аксесуари</v>
      </c>
      <c r="F2598" s="17">
        <f>IFERROR(__xludf.DUMMYFUNCTION("""COMPUTED_VALUE"""),4.0)</f>
        <v>4</v>
      </c>
      <c r="G2598" s="17" t="str">
        <f>IFERROR(__xludf.DUMMYFUNCTION("""COMPUTED_VALUE"""),"283009")</f>
        <v>283009</v>
      </c>
      <c r="H2598" s="17" t="str">
        <f>IFERROR(__xludf.DUMMYFUNCTION("""COMPUTED_VALUE"""),"примірочні кабіни та аксесуари")</f>
        <v>примірочні кабіни та аксесуари</v>
      </c>
      <c r="I2598" s="19">
        <f>IFERROR(__xludf.DUMMYFUNCTION("""COMPUTED_VALUE"""),0.0616)</f>
        <v>0.0616</v>
      </c>
      <c r="J2598" s="19">
        <f>IFERROR(__xludf.DUMMYFUNCTION("""COMPUTED_VALUE"""),0.1232)</f>
        <v>0.1232</v>
      </c>
      <c r="K2598" s="19">
        <f>IFERROR(__xludf.DUMMYFUNCTION("""COMPUTED_VALUE"""),0.154)</f>
        <v>0.154</v>
      </c>
      <c r="L2598" s="19">
        <f>IFERROR(__xludf.DUMMYFUNCTION("""COMPUTED_VALUE"""),0.1848)</f>
        <v>0.1848</v>
      </c>
      <c r="M2598" s="18">
        <f>IFERROR(__xludf.DUMMYFUNCTION("""COMPUTED_VALUE"""),3.15)</f>
        <v>3.15</v>
      </c>
    </row>
    <row r="2599">
      <c r="A2599" s="13" t="str">
        <f>IFERROR(__xludf.DUMMYFUNCTION("""COMPUTED_VALUE"""),"товари")</f>
        <v>товари</v>
      </c>
      <c r="B2599" s="16" t="str">
        <f>IFERROR(__xludf.DUMMYFUNCTION("""COMPUTED_VALUE"""),"обладнання та товари для надання послуг")</f>
        <v>обладнання та товари для надання послуг</v>
      </c>
      <c r="C2599" s="16" t="str">
        <f>IFERROR(__xludf.DUMMYFUNCTION("""COMPUTED_VALUE"""),"обладнання для торгівлі")</f>
        <v>обладнання для торгівлі</v>
      </c>
      <c r="D2599" s="16" t="str">
        <f>IFERROR(__xludf.DUMMYFUNCTION("""COMPUTED_VALUE"""),"касове/прикасове обладнання")</f>
        <v>касове/прикасове обладнання</v>
      </c>
      <c r="E2599" s="16" t="str">
        <f>IFERROR(__xludf.DUMMYFUNCTION("""COMPUTED_VALUE"""),"принтери етикеток, штрихкодів, чеків")</f>
        <v>принтери етикеток, штрихкодів, чеків</v>
      </c>
      <c r="F2599" s="17">
        <f>IFERROR(__xludf.DUMMYFUNCTION("""COMPUTED_VALUE"""),4.0)</f>
        <v>4</v>
      </c>
      <c r="G2599" s="17" t="str">
        <f>IFERROR(__xludf.DUMMYFUNCTION("""COMPUTED_VALUE"""),"28290305")</f>
        <v>28290305</v>
      </c>
      <c r="H2599" s="17" t="str">
        <f>IFERROR(__xludf.DUMMYFUNCTION("""COMPUTED_VALUE"""),"принтери етикеток, штрихкодів, чеків")</f>
        <v>принтери етикеток, штрихкодів, чеків</v>
      </c>
      <c r="I2599" s="19">
        <f>IFERROR(__xludf.DUMMYFUNCTION("""COMPUTED_VALUE"""),0.0732)</f>
        <v>0.0732</v>
      </c>
      <c r="J2599" s="19">
        <f>IFERROR(__xludf.DUMMYFUNCTION("""COMPUTED_VALUE"""),0.1464)</f>
        <v>0.1464</v>
      </c>
      <c r="K2599" s="19">
        <f>IFERROR(__xludf.DUMMYFUNCTION("""COMPUTED_VALUE"""),0.183)</f>
        <v>0.183</v>
      </c>
      <c r="L2599" s="19">
        <f>IFERROR(__xludf.DUMMYFUNCTION("""COMPUTED_VALUE"""),0.2196)</f>
        <v>0.2196</v>
      </c>
      <c r="M2599" s="18">
        <f>IFERROR(__xludf.DUMMYFUNCTION("""COMPUTED_VALUE"""),4.43)</f>
        <v>4.43</v>
      </c>
    </row>
    <row r="2600">
      <c r="A2600" s="13" t="str">
        <f>IFERROR(__xludf.DUMMYFUNCTION("""COMPUTED_VALUE"""),"товари")</f>
        <v>товари</v>
      </c>
      <c r="B2600" s="16" t="str">
        <f>IFERROR(__xludf.DUMMYFUNCTION("""COMPUTED_VALUE"""),"обладнання та товари для надання послуг")</f>
        <v>обладнання та товари для надання послуг</v>
      </c>
      <c r="C2600" s="16" t="str">
        <f>IFERROR(__xludf.DUMMYFUNCTION("""COMPUTED_VALUE"""),"професійне аудіо-, відео-, фото обладнання")</f>
        <v>професійне аудіо-, відео-, фото обладнання</v>
      </c>
      <c r="D2600" s="16" t="str">
        <f>IFERROR(__xludf.DUMMYFUNCTION("""COMPUTED_VALUE"""),"пристрої обробки звуку")</f>
        <v>пристрої обробки звуку</v>
      </c>
      <c r="E2600" s="16" t="str">
        <f>IFERROR(__xludf.DUMMYFUNCTION("""COMPUTED_VALUE"""),"пристрої обробки звуку")</f>
        <v>пристрої обробки звуку</v>
      </c>
      <c r="F2600" s="17">
        <f>IFERROR(__xludf.DUMMYFUNCTION("""COMPUTED_VALUE"""),3.0)</f>
        <v>3</v>
      </c>
      <c r="G2600" s="17" t="str">
        <f>IFERROR(__xludf.DUMMYFUNCTION("""COMPUTED_VALUE"""),"6371810")</f>
        <v>6371810</v>
      </c>
      <c r="H2600" s="17" t="str">
        <f>IFERROR(__xludf.DUMMYFUNCTION("""COMPUTED_VALUE"""),"пристрої обробки звуку")</f>
        <v>пристрої обробки звуку</v>
      </c>
      <c r="I2600" s="19">
        <f>IFERROR(__xludf.DUMMYFUNCTION("""COMPUTED_VALUE"""),0.0667)</f>
        <v>0.0667</v>
      </c>
      <c r="J2600" s="19">
        <f>IFERROR(__xludf.DUMMYFUNCTION("""COMPUTED_VALUE"""),0.1333)</f>
        <v>0.1333</v>
      </c>
      <c r="K2600" s="19">
        <f>IFERROR(__xludf.DUMMYFUNCTION("""COMPUTED_VALUE"""),0.1666)</f>
        <v>0.1666</v>
      </c>
      <c r="L2600" s="19">
        <f>IFERROR(__xludf.DUMMYFUNCTION("""COMPUTED_VALUE"""),0.2)</f>
        <v>0.2</v>
      </c>
      <c r="M2600" s="18">
        <f>IFERROR(__xludf.DUMMYFUNCTION("""COMPUTED_VALUE"""),2.16)</f>
        <v>2.16</v>
      </c>
    </row>
    <row r="2601">
      <c r="A2601" s="13" t="str">
        <f>IFERROR(__xludf.DUMMYFUNCTION("""COMPUTED_VALUE"""),"товари")</f>
        <v>товари</v>
      </c>
      <c r="B2601" s="16" t="str">
        <f>IFERROR(__xludf.DUMMYFUNCTION("""COMPUTED_VALUE"""),"обладнання та товари для надання послуг")</f>
        <v>обладнання та товари для надання послуг</v>
      </c>
      <c r="C2601" s="16" t="str">
        <f>IFERROR(__xludf.DUMMYFUNCTION("""COMPUTED_VALUE"""),"обладнання для автосервісу")</f>
        <v>обладнання для автосервісу</v>
      </c>
      <c r="D2601" s="16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2601" s="16" t="str">
        <f>IFERROR(__xludf.DUMMYFUNCTION("""COMPUTED_VALUE"""),"програматори автоключів")</f>
        <v>програматори автоключів</v>
      </c>
      <c r="F2601" s="17">
        <f>IFERROR(__xludf.DUMMYFUNCTION("""COMPUTED_VALUE"""),4.0)</f>
        <v>4</v>
      </c>
      <c r="G2601" s="17" t="str">
        <f>IFERROR(__xludf.DUMMYFUNCTION("""COMPUTED_VALUE"""),"12110615")</f>
        <v>12110615</v>
      </c>
      <c r="H2601" s="17" t="str">
        <f>IFERROR(__xludf.DUMMYFUNCTION("""COMPUTED_VALUE"""),"програматори автоключів")</f>
        <v>програматори автоключів</v>
      </c>
      <c r="I2601" s="19">
        <f>IFERROR(__xludf.DUMMYFUNCTION("""COMPUTED_VALUE"""),0.0733)</f>
        <v>0.0733</v>
      </c>
      <c r="J2601" s="19">
        <f>IFERROR(__xludf.DUMMYFUNCTION("""COMPUTED_VALUE"""),0.1466)</f>
        <v>0.1466</v>
      </c>
      <c r="K2601" s="19">
        <f>IFERROR(__xludf.DUMMYFUNCTION("""COMPUTED_VALUE"""),0.1833)</f>
        <v>0.1833</v>
      </c>
      <c r="L2601" s="19">
        <f>IFERROR(__xludf.DUMMYFUNCTION("""COMPUTED_VALUE"""),0.2199)</f>
        <v>0.2199</v>
      </c>
      <c r="M2601" s="18">
        <f>IFERROR(__xludf.DUMMYFUNCTION("""COMPUTED_VALUE"""),3.9)</f>
        <v>3.9</v>
      </c>
    </row>
    <row r="2602">
      <c r="A2602" s="13" t="str">
        <f>IFERROR(__xludf.DUMMYFUNCTION("""COMPUTED_VALUE"""),"товари")</f>
        <v>товари</v>
      </c>
      <c r="B2602" s="16" t="str">
        <f>IFERROR(__xludf.DUMMYFUNCTION("""COMPUTED_VALUE"""),"обладнання та товари для надання послуг")</f>
        <v>обладнання та товари для надання послуг</v>
      </c>
      <c r="C2602" s="16" t="str">
        <f>IFERROR(__xludf.DUMMYFUNCTION("""COMPUTED_VALUE"""),"товари для офісу")</f>
        <v>товари для офісу</v>
      </c>
      <c r="D2602" s="16" t="str">
        <f>IFERROR(__xludf.DUMMYFUNCTION("""COMPUTED_VALUE"""),"обладнання для презентацій і конференцій")</f>
        <v>обладнання для презентацій і конференцій</v>
      </c>
      <c r="E2602" s="16" t="str">
        <f>IFERROR(__xludf.DUMMYFUNCTION("""COMPUTED_VALUE"""),"проекційні екрани")</f>
        <v>проекційні екрани</v>
      </c>
      <c r="F2602" s="17">
        <f>IFERROR(__xludf.DUMMYFUNCTION("""COMPUTED_VALUE"""),4.0)</f>
        <v>4</v>
      </c>
      <c r="G2602" s="17" t="str">
        <f>IFERROR(__xludf.DUMMYFUNCTION("""COMPUTED_VALUE"""),"212003")</f>
        <v>212003</v>
      </c>
      <c r="H2602" s="17" t="str">
        <f>IFERROR(__xludf.DUMMYFUNCTION("""COMPUTED_VALUE"""),"проекційні екрани")</f>
        <v>проекційні екрани</v>
      </c>
      <c r="I2602" s="19">
        <f>IFERROR(__xludf.DUMMYFUNCTION("""COMPUTED_VALUE"""),0.0905)</f>
        <v>0.0905</v>
      </c>
      <c r="J2602" s="19">
        <f>IFERROR(__xludf.DUMMYFUNCTION("""COMPUTED_VALUE"""),0.181)</f>
        <v>0.181</v>
      </c>
      <c r="K2602" s="19">
        <f>IFERROR(__xludf.DUMMYFUNCTION("""COMPUTED_VALUE"""),0.2263)</f>
        <v>0.2263</v>
      </c>
      <c r="L2602" s="19">
        <f>IFERROR(__xludf.DUMMYFUNCTION("""COMPUTED_VALUE"""),0.2715)</f>
        <v>0.2715</v>
      </c>
      <c r="M2602" s="18">
        <f>IFERROR(__xludf.DUMMYFUNCTION("""COMPUTED_VALUE"""),2.61)</f>
        <v>2.61</v>
      </c>
    </row>
    <row r="2603">
      <c r="A2603" s="13" t="str">
        <f>IFERROR(__xludf.DUMMYFUNCTION("""COMPUTED_VALUE"""),"товари")</f>
        <v>товари</v>
      </c>
      <c r="B2603" s="16" t="str">
        <f>IFERROR(__xludf.DUMMYFUNCTION("""COMPUTED_VALUE"""),"обладнання та товари для надання послуг")</f>
        <v>обладнання та товари для надання послуг</v>
      </c>
      <c r="C2603" s="16" t="str">
        <f>IFERROR(__xludf.DUMMYFUNCTION("""COMPUTED_VALUE"""),"все для салонів краси")</f>
        <v>все для салонів краси</v>
      </c>
      <c r="D2603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603" s="16" t="str">
        <f>IFERROR(__xludf.DUMMYFUNCTION("""COMPUTED_VALUE"""),"професійні інструменти для стрижки волосся")</f>
        <v>професійні інструменти для стрижки волосся</v>
      </c>
      <c r="F2603" s="17">
        <f>IFERROR(__xludf.DUMMYFUNCTION("""COMPUTED_VALUE"""),4.0)</f>
        <v>4</v>
      </c>
      <c r="G2603" s="17" t="str">
        <f>IFERROR(__xludf.DUMMYFUNCTION("""COMPUTED_VALUE"""),"282983")</f>
        <v>282983</v>
      </c>
      <c r="H2603" s="17" t="str">
        <f>IFERROR(__xludf.DUMMYFUNCTION("""COMPUTED_VALUE"""),"професійні інструменти для стрижки волосся")</f>
        <v>професійні інструменти для стрижки волосся</v>
      </c>
      <c r="I2603" s="19">
        <f>IFERROR(__xludf.DUMMYFUNCTION("""COMPUTED_VALUE"""),0.0763)</f>
        <v>0.0763</v>
      </c>
      <c r="J2603" s="19">
        <f>IFERROR(__xludf.DUMMYFUNCTION("""COMPUTED_VALUE"""),0.1526)</f>
        <v>0.1526</v>
      </c>
      <c r="K2603" s="19">
        <f>IFERROR(__xludf.DUMMYFUNCTION("""COMPUTED_VALUE"""),0.1908)</f>
        <v>0.1908</v>
      </c>
      <c r="L2603" s="19">
        <f>IFERROR(__xludf.DUMMYFUNCTION("""COMPUTED_VALUE"""),0.2289)</f>
        <v>0.2289</v>
      </c>
      <c r="M2603" s="18">
        <f>IFERROR(__xludf.DUMMYFUNCTION("""COMPUTED_VALUE"""),3.33)</f>
        <v>3.33</v>
      </c>
    </row>
    <row r="2604">
      <c r="A2604" s="13" t="str">
        <f>IFERROR(__xludf.DUMMYFUNCTION("""COMPUTED_VALUE"""),"товари")</f>
        <v>товари</v>
      </c>
      <c r="B2604" s="16" t="str">
        <f>IFERROR(__xludf.DUMMYFUNCTION("""COMPUTED_VALUE"""),"обладнання та товари для надання послуг")</f>
        <v>обладнання та товари для надання послуг</v>
      </c>
      <c r="C2604" s="16" t="str">
        <f>IFERROR(__xludf.DUMMYFUNCTION("""COMPUTED_VALUE"""),"обладнання та засоби для клінінгу")</f>
        <v>обладнання та засоби для клінінгу</v>
      </c>
      <c r="D2604" s="16" t="str">
        <f>IFERROR(__xludf.DUMMYFUNCTION("""COMPUTED_VALUE"""),"професійні пилососи")</f>
        <v>професійні пилососи</v>
      </c>
      <c r="E2604" s="16" t="str">
        <f>IFERROR(__xludf.DUMMYFUNCTION("""COMPUTED_VALUE"""),"професійні пилососи")</f>
        <v>професійні пилососи</v>
      </c>
      <c r="F2604" s="17">
        <f>IFERROR(__xludf.DUMMYFUNCTION("""COMPUTED_VALUE"""),3.0)</f>
        <v>3</v>
      </c>
      <c r="G2604" s="17">
        <f>IFERROR(__xludf.DUMMYFUNCTION("""COMPUTED_VALUE"""),147005.0)</f>
        <v>147005</v>
      </c>
      <c r="H2604" s="17" t="str">
        <f>IFERROR(__xludf.DUMMYFUNCTION("""COMPUTED_VALUE"""),"професійні пилососи")</f>
        <v>професійні пилососи</v>
      </c>
      <c r="I2604" s="19">
        <f>IFERROR(__xludf.DUMMYFUNCTION("""COMPUTED_VALUE"""),0.0585)</f>
        <v>0.0585</v>
      </c>
      <c r="J2604" s="19">
        <f>IFERROR(__xludf.DUMMYFUNCTION("""COMPUTED_VALUE"""),0.117)</f>
        <v>0.117</v>
      </c>
      <c r="K2604" s="19">
        <f>IFERROR(__xludf.DUMMYFUNCTION("""COMPUTED_VALUE"""),0.1463)</f>
        <v>0.1463</v>
      </c>
      <c r="L2604" s="19">
        <f>IFERROR(__xludf.DUMMYFUNCTION("""COMPUTED_VALUE"""),0.1755)</f>
        <v>0.1755</v>
      </c>
      <c r="M2604" s="18">
        <f>IFERROR(__xludf.DUMMYFUNCTION("""COMPUTED_VALUE"""),3.33)</f>
        <v>3.33</v>
      </c>
    </row>
    <row r="2605">
      <c r="A2605" s="13" t="str">
        <f>IFERROR(__xludf.DUMMYFUNCTION("""COMPUTED_VALUE"""),"товари")</f>
        <v>товари</v>
      </c>
      <c r="B2605" s="16" t="str">
        <f>IFERROR(__xludf.DUMMYFUNCTION("""COMPUTED_VALUE"""),"обладнання та товари для надання послуг")</f>
        <v>обладнання та товари для надання послуг</v>
      </c>
      <c r="C2605" s="16" t="str">
        <f>IFERROR(__xludf.DUMMYFUNCTION("""COMPUTED_VALUE"""),"horeca&amp;fast-food")</f>
        <v>horeca&amp;fast-food</v>
      </c>
      <c r="D2605" s="16" t="str">
        <f>IFERROR(__xludf.DUMMYFUNCTION("""COMPUTED_VALUE"""),"електромеханічне обладнання horeca&amp;fast-food")</f>
        <v>електромеханічне обладнання horeca&amp;fast-food</v>
      </c>
      <c r="E2605" s="16" t="str">
        <f>IFERROR(__xludf.DUMMYFUNCTION("""COMPUTED_VALUE"""),"професійні посудомийні машини ")</f>
        <v>професійні посудомийні машини </v>
      </c>
      <c r="F2605" s="17">
        <f>IFERROR(__xludf.DUMMYFUNCTION("""COMPUTED_VALUE"""),4.0)</f>
        <v>4</v>
      </c>
      <c r="G2605" s="17" t="str">
        <f>IFERROR(__xludf.DUMMYFUNCTION("""COMPUTED_VALUE"""),"240630")</f>
        <v>240630</v>
      </c>
      <c r="H2605" s="17" t="str">
        <f>IFERROR(__xludf.DUMMYFUNCTION("""COMPUTED_VALUE"""),"професійні посудомийні машини ")</f>
        <v>професійні посудомийні машини </v>
      </c>
      <c r="I2605" s="19">
        <f>IFERROR(__xludf.DUMMYFUNCTION("""COMPUTED_VALUE"""),0.0533)</f>
        <v>0.0533</v>
      </c>
      <c r="J2605" s="19">
        <f>IFERROR(__xludf.DUMMYFUNCTION("""COMPUTED_VALUE"""),0.1066)</f>
        <v>0.1066</v>
      </c>
      <c r="K2605" s="19">
        <f>IFERROR(__xludf.DUMMYFUNCTION("""COMPUTED_VALUE"""),0.1333)</f>
        <v>0.1333</v>
      </c>
      <c r="L2605" s="19">
        <f>IFERROR(__xludf.DUMMYFUNCTION("""COMPUTED_VALUE"""),0.1599)</f>
        <v>0.1599</v>
      </c>
      <c r="M2605" s="18">
        <f>IFERROR(__xludf.DUMMYFUNCTION("""COMPUTED_VALUE"""),3.6)</f>
        <v>3.6</v>
      </c>
    </row>
    <row r="2606">
      <c r="A2606" s="13" t="str">
        <f>IFERROR(__xludf.DUMMYFUNCTION("""COMPUTED_VALUE"""),"товари")</f>
        <v>товари</v>
      </c>
      <c r="B2606" s="16" t="str">
        <f>IFERROR(__xludf.DUMMYFUNCTION("""COMPUTED_VALUE"""),"обладнання та товари для надання послуг")</f>
        <v>обладнання та товари для надання послуг</v>
      </c>
      <c r="C2606" s="16" t="str">
        <f>IFERROR(__xludf.DUMMYFUNCTION("""COMPUTED_VALUE"""),"комерційні меблі")</f>
        <v>комерційні меблі</v>
      </c>
      <c r="D2606" s="16" t="str">
        <f>IFERROR(__xludf.DUMMYFUNCTION("""COMPUTED_VALUE"""),"меблі для салонів краси")</f>
        <v>меблі для салонів краси</v>
      </c>
      <c r="E2606" s="16" t="str">
        <f>IFERROR(__xludf.DUMMYFUNCTION("""COMPUTED_VALUE"""),"процедурні крісла і кушетки")</f>
        <v>процедурні крісла і кушетки</v>
      </c>
      <c r="F2606" s="17">
        <f>IFERROR(__xludf.DUMMYFUNCTION("""COMPUTED_VALUE"""),4.0)</f>
        <v>4</v>
      </c>
      <c r="G2606" s="17" t="str">
        <f>IFERROR(__xludf.DUMMYFUNCTION("""COMPUTED_VALUE"""),"1503080102")</f>
        <v>1503080102</v>
      </c>
      <c r="H2606" s="17" t="str">
        <f>IFERROR(__xludf.DUMMYFUNCTION("""COMPUTED_VALUE"""),"процедурні крісла і кушетки")</f>
        <v>процедурні крісла і кушетки</v>
      </c>
      <c r="I2606" s="19">
        <f>IFERROR(__xludf.DUMMYFUNCTION("""COMPUTED_VALUE"""),0.0702)</f>
        <v>0.0702</v>
      </c>
      <c r="J2606" s="19">
        <f>IFERROR(__xludf.DUMMYFUNCTION("""COMPUTED_VALUE"""),0.1404)</f>
        <v>0.1404</v>
      </c>
      <c r="K2606" s="19">
        <f>IFERROR(__xludf.DUMMYFUNCTION("""COMPUTED_VALUE"""),0.1755)</f>
        <v>0.1755</v>
      </c>
      <c r="L2606" s="19">
        <f>IFERROR(__xludf.DUMMYFUNCTION("""COMPUTED_VALUE"""),0.2106)</f>
        <v>0.2106</v>
      </c>
      <c r="M2606" s="18">
        <f>IFERROR(__xludf.DUMMYFUNCTION("""COMPUTED_VALUE"""),3.06)</f>
        <v>3.06</v>
      </c>
    </row>
    <row r="2607">
      <c r="A2607" s="13" t="str">
        <f>IFERROR(__xludf.DUMMYFUNCTION("""COMPUTED_VALUE"""),"товари")</f>
        <v>товари</v>
      </c>
      <c r="B2607" s="16" t="str">
        <f>IFERROR(__xludf.DUMMYFUNCTION("""COMPUTED_VALUE"""),"обладнання та товари для надання послуг")</f>
        <v>обладнання та товари для надання послуг</v>
      </c>
      <c r="C2607" s="16" t="str">
        <f>IFERROR(__xludf.DUMMYFUNCTION("""COMPUTED_VALUE"""),"професійне аудіо-, відео-, фото обладнання")</f>
        <v>професійне аудіо-, відео-, фото обладнання</v>
      </c>
      <c r="D2607" s="16" t="str">
        <f>IFERROR(__xludf.DUMMYFUNCTION("""COMPUTED_VALUE"""),"радіосистеми")</f>
        <v>радіосистеми</v>
      </c>
      <c r="E2607" s="16" t="str">
        <f>IFERROR(__xludf.DUMMYFUNCTION("""COMPUTED_VALUE"""),"радіосистеми")</f>
        <v>радіосистеми</v>
      </c>
      <c r="F2607" s="17">
        <f>IFERROR(__xludf.DUMMYFUNCTION("""COMPUTED_VALUE"""),3.0)</f>
        <v>3</v>
      </c>
      <c r="G2607" s="17" t="str">
        <f>IFERROR(__xludf.DUMMYFUNCTION("""COMPUTED_VALUE"""),"5090505")</f>
        <v>5090505</v>
      </c>
      <c r="H2607" s="17" t="str">
        <f>IFERROR(__xludf.DUMMYFUNCTION("""COMPUTED_VALUE"""),"радіосистеми")</f>
        <v>радіосистеми</v>
      </c>
      <c r="I2607" s="19">
        <f>IFERROR(__xludf.DUMMYFUNCTION("""COMPUTED_VALUE"""),0.0629)</f>
        <v>0.0629</v>
      </c>
      <c r="J2607" s="19">
        <f>IFERROR(__xludf.DUMMYFUNCTION("""COMPUTED_VALUE"""),0.1257)</f>
        <v>0.1257</v>
      </c>
      <c r="K2607" s="19">
        <f>IFERROR(__xludf.DUMMYFUNCTION("""COMPUTED_VALUE"""),0.1571)</f>
        <v>0.1571</v>
      </c>
      <c r="L2607" s="19">
        <f>IFERROR(__xludf.DUMMYFUNCTION("""COMPUTED_VALUE"""),0.1886)</f>
        <v>0.1886</v>
      </c>
      <c r="M2607" s="18">
        <f>IFERROR(__xludf.DUMMYFUNCTION("""COMPUTED_VALUE"""),2.79)</f>
        <v>2.79</v>
      </c>
    </row>
    <row r="2608">
      <c r="A2608" s="13" t="str">
        <f>IFERROR(__xludf.DUMMYFUNCTION("""COMPUTED_VALUE"""),"товари")</f>
        <v>товари</v>
      </c>
      <c r="B2608" s="16" t="str">
        <f>IFERROR(__xludf.DUMMYFUNCTION("""COMPUTED_VALUE"""),"обладнання та товари для надання послуг")</f>
        <v>обладнання та товари для надання послуг</v>
      </c>
      <c r="C2608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608" s="16" t="str">
        <f>IFERROR(__xludf.DUMMYFUNCTION("""COMPUTED_VALUE"""),"рекламне і виставкове обладнання, матеріали, загальне")</f>
        <v>рекламне і виставкове обладнання, матеріали, загальне</v>
      </c>
      <c r="E2608" s="16" t="str">
        <f>IFERROR(__xludf.DUMMYFUNCTION("""COMPUTED_VALUE"""),"рекламне і виставкове обладнання, матеріали, загальне")</f>
        <v>рекламне і виставкове обладнання, матеріали, загальне</v>
      </c>
      <c r="F2608" s="17">
        <f>IFERROR(__xludf.DUMMYFUNCTION("""COMPUTED_VALUE"""),3.0)</f>
        <v>3</v>
      </c>
      <c r="G2608" s="17" t="str">
        <f>IFERROR(__xludf.DUMMYFUNCTION("""COMPUTED_VALUE"""),"28191911")</f>
        <v>28191911</v>
      </c>
      <c r="H2608" s="17" t="str">
        <f>IFERROR(__xludf.DUMMYFUNCTION("""COMPUTED_VALUE"""),"рекламне і виставкове обладнання, матеріали, загальне")</f>
        <v>рекламне і виставкове обладнання, матеріали, загальне</v>
      </c>
      <c r="I2608" s="19">
        <f>IFERROR(__xludf.DUMMYFUNCTION("""COMPUTED_VALUE"""),0.125)</f>
        <v>0.125</v>
      </c>
      <c r="J2608" s="19">
        <f>IFERROR(__xludf.DUMMYFUNCTION("""COMPUTED_VALUE"""),0.25)</f>
        <v>0.25</v>
      </c>
      <c r="K2608" s="19">
        <f>IFERROR(__xludf.DUMMYFUNCTION("""COMPUTED_VALUE"""),0.3125)</f>
        <v>0.3125</v>
      </c>
      <c r="L2608" s="19">
        <f>IFERROR(__xludf.DUMMYFUNCTION("""COMPUTED_VALUE"""),0.375)</f>
        <v>0.375</v>
      </c>
      <c r="M2608" s="18">
        <f>IFERROR(__xludf.DUMMYFUNCTION("""COMPUTED_VALUE"""),4.33)</f>
        <v>4.33</v>
      </c>
    </row>
    <row r="2609">
      <c r="A2609" s="13" t="str">
        <f>IFERROR(__xludf.DUMMYFUNCTION("""COMPUTED_VALUE"""),"товари")</f>
        <v>товари</v>
      </c>
      <c r="B2609" s="16" t="str">
        <f>IFERROR(__xludf.DUMMYFUNCTION("""COMPUTED_VALUE"""),"обладнання та товари для надання послуг")</f>
        <v>обладнання та товари для надання послуг</v>
      </c>
      <c r="C2609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609" s="16" t="str">
        <f>IFERROR(__xludf.DUMMYFUNCTION("""COMPUTED_VALUE"""),"рекламні та виставкові стенди")</f>
        <v>рекламні та виставкові стенди</v>
      </c>
      <c r="E2609" s="16" t="str">
        <f>IFERROR(__xludf.DUMMYFUNCTION("""COMPUTED_VALUE"""),"рекламні та виставкові стенди")</f>
        <v>рекламні та виставкові стенди</v>
      </c>
      <c r="F2609" s="17">
        <f>IFERROR(__xludf.DUMMYFUNCTION("""COMPUTED_VALUE"""),3.0)</f>
        <v>3</v>
      </c>
      <c r="G2609" s="17" t="str">
        <f>IFERROR(__xludf.DUMMYFUNCTION("""COMPUTED_VALUE"""),"28290101")</f>
        <v>28290101</v>
      </c>
      <c r="H2609" s="17" t="str">
        <f>IFERROR(__xludf.DUMMYFUNCTION("""COMPUTED_VALUE"""),"рекламні та виставкові стенди")</f>
        <v>рекламні та виставкові стенди</v>
      </c>
      <c r="I2609" s="19">
        <f>IFERROR(__xludf.DUMMYFUNCTION("""COMPUTED_VALUE"""),0.0754)</f>
        <v>0.0754</v>
      </c>
      <c r="J2609" s="19">
        <f>IFERROR(__xludf.DUMMYFUNCTION("""COMPUTED_VALUE"""),0.1507)</f>
        <v>0.1507</v>
      </c>
      <c r="K2609" s="19">
        <f>IFERROR(__xludf.DUMMYFUNCTION("""COMPUTED_VALUE"""),0.1884)</f>
        <v>0.1884</v>
      </c>
      <c r="L2609" s="19">
        <f>IFERROR(__xludf.DUMMYFUNCTION("""COMPUTED_VALUE"""),0.2261)</f>
        <v>0.2261</v>
      </c>
      <c r="M2609" s="18">
        <f>IFERROR(__xludf.DUMMYFUNCTION("""COMPUTED_VALUE"""),1.53)</f>
        <v>1.53</v>
      </c>
    </row>
    <row r="2610">
      <c r="A2610" s="13" t="str">
        <f>IFERROR(__xludf.DUMMYFUNCTION("""COMPUTED_VALUE"""),"товари")</f>
        <v>товари</v>
      </c>
      <c r="B2610" s="16" t="str">
        <f>IFERROR(__xludf.DUMMYFUNCTION("""COMPUTED_VALUE"""),"обладнання та товари для надання послуг")</f>
        <v>обладнання та товари для надання послуг</v>
      </c>
      <c r="C2610" s="16" t="str">
        <f>IFERROR(__xludf.DUMMYFUNCTION("""COMPUTED_VALUE"""),"релігійні і езотеричні товари")</f>
        <v>релігійні і езотеричні товари</v>
      </c>
      <c r="D2610" s="16" t="str">
        <f>IFERROR(__xludf.DUMMYFUNCTION("""COMPUTED_VALUE"""),"релігійні товари для мусульман")</f>
        <v>релігійні товари для мусульман</v>
      </c>
      <c r="E2610" s="16" t="str">
        <f>IFERROR(__xludf.DUMMYFUNCTION("""COMPUTED_VALUE"""),"релігійні товари для мусульман")</f>
        <v>релігійні товари для мусульман</v>
      </c>
      <c r="F2610" s="17">
        <f>IFERROR(__xludf.DUMMYFUNCTION("""COMPUTED_VALUE"""),3.0)</f>
        <v>3</v>
      </c>
      <c r="G2610" s="17" t="str">
        <f>IFERROR(__xludf.DUMMYFUNCTION("""COMPUTED_VALUE"""),"172402")</f>
        <v>172402</v>
      </c>
      <c r="H2610" s="17" t="str">
        <f>IFERROR(__xludf.DUMMYFUNCTION("""COMPUTED_VALUE"""),"релігійні товари для мусульман")</f>
        <v>релігійні товари для мусульман</v>
      </c>
      <c r="I2610" s="19">
        <f>IFERROR(__xludf.DUMMYFUNCTION("""COMPUTED_VALUE"""),0.0885)</f>
        <v>0.0885</v>
      </c>
      <c r="J2610" s="19">
        <f>IFERROR(__xludf.DUMMYFUNCTION("""COMPUTED_VALUE"""),0.1769)</f>
        <v>0.1769</v>
      </c>
      <c r="K2610" s="19">
        <f>IFERROR(__xludf.DUMMYFUNCTION("""COMPUTED_VALUE"""),0.2211)</f>
        <v>0.2211</v>
      </c>
      <c r="L2610" s="19">
        <f>IFERROR(__xludf.DUMMYFUNCTION("""COMPUTED_VALUE"""),0.2654)</f>
        <v>0.2654</v>
      </c>
      <c r="M2610" s="18">
        <f>IFERROR(__xludf.DUMMYFUNCTION("""COMPUTED_VALUE"""),1.26)</f>
        <v>1.26</v>
      </c>
    </row>
    <row r="2611">
      <c r="A2611" s="13" t="str">
        <f>IFERROR(__xludf.DUMMYFUNCTION("""COMPUTED_VALUE"""),"товари")</f>
        <v>товари</v>
      </c>
      <c r="B2611" s="16" t="str">
        <f>IFERROR(__xludf.DUMMYFUNCTION("""COMPUTED_VALUE"""),"обладнання та товари для надання послуг")</f>
        <v>обладнання та товари для надання послуг</v>
      </c>
      <c r="C2611" s="16" t="str">
        <f>IFERROR(__xludf.DUMMYFUNCTION("""COMPUTED_VALUE"""),"релігійні і езотеричні товари")</f>
        <v>релігійні і езотеричні товари</v>
      </c>
      <c r="D2611" s="16" t="str">
        <f>IFERROR(__xludf.DUMMYFUNCTION("""COMPUTED_VALUE"""),"релігійні товари для християн")</f>
        <v>релігійні товари для християн</v>
      </c>
      <c r="E2611" s="16" t="str">
        <f>IFERROR(__xludf.DUMMYFUNCTION("""COMPUTED_VALUE"""),"релігійні товари для християн")</f>
        <v>релігійні товари для християн</v>
      </c>
      <c r="F2611" s="17">
        <f>IFERROR(__xludf.DUMMYFUNCTION("""COMPUTED_VALUE"""),3.0)</f>
        <v>3</v>
      </c>
      <c r="G2611" s="17" t="str">
        <f>IFERROR(__xludf.DUMMYFUNCTION("""COMPUTED_VALUE"""),"172413")</f>
        <v>172413</v>
      </c>
      <c r="H2611" s="17" t="str">
        <f>IFERROR(__xludf.DUMMYFUNCTION("""COMPUTED_VALUE"""),"релігійні товари для християн")</f>
        <v>релігійні товари для християн</v>
      </c>
      <c r="I2611" s="19">
        <f>IFERROR(__xludf.DUMMYFUNCTION("""COMPUTED_VALUE"""),0.0485)</f>
        <v>0.0485</v>
      </c>
      <c r="J2611" s="19">
        <f>IFERROR(__xludf.DUMMYFUNCTION("""COMPUTED_VALUE"""),0.097)</f>
        <v>0.097</v>
      </c>
      <c r="K2611" s="19">
        <f>IFERROR(__xludf.DUMMYFUNCTION("""COMPUTED_VALUE"""),0.1213)</f>
        <v>0.1213</v>
      </c>
      <c r="L2611" s="19">
        <f>IFERROR(__xludf.DUMMYFUNCTION("""COMPUTED_VALUE"""),0.1455)</f>
        <v>0.1455</v>
      </c>
      <c r="M2611" s="18">
        <f>IFERROR(__xludf.DUMMYFUNCTION("""COMPUTED_VALUE"""),1.98)</f>
        <v>1.98</v>
      </c>
    </row>
    <row r="2612">
      <c r="A2612" s="13" t="str">
        <f>IFERROR(__xludf.DUMMYFUNCTION("""COMPUTED_VALUE"""),"товари")</f>
        <v>товари</v>
      </c>
      <c r="B2612" s="16" t="str">
        <f>IFERROR(__xludf.DUMMYFUNCTION("""COMPUTED_VALUE"""),"обладнання та товари для надання послуг")</f>
        <v>обладнання та товари для надання послуг</v>
      </c>
      <c r="C2612" s="16" t="str">
        <f>IFERROR(__xludf.DUMMYFUNCTION("""COMPUTED_VALUE"""),"релігійні і езотеричні товари")</f>
        <v>релігійні і езотеричні товари</v>
      </c>
      <c r="D2612" s="16" t="str">
        <f>IFERROR(__xludf.DUMMYFUNCTION("""COMPUTED_VALUE"""),"ритуальні товари")</f>
        <v>ритуальні товари</v>
      </c>
      <c r="E2612" s="16" t="str">
        <f>IFERROR(__xludf.DUMMYFUNCTION("""COMPUTED_VALUE"""),"ритуальний одяг")</f>
        <v>ритуальний одяг</v>
      </c>
      <c r="F2612" s="17">
        <f>IFERROR(__xludf.DUMMYFUNCTION("""COMPUTED_VALUE"""),4.0)</f>
        <v>4</v>
      </c>
      <c r="G2612" s="17" t="str">
        <f>IFERROR(__xludf.DUMMYFUNCTION("""COMPUTED_VALUE"""),"282611")</f>
        <v>282611</v>
      </c>
      <c r="H2612" s="17" t="str">
        <f>IFERROR(__xludf.DUMMYFUNCTION("""COMPUTED_VALUE"""),"ритуальний одяг")</f>
        <v>ритуальний одяг</v>
      </c>
      <c r="I2612" s="19">
        <f>IFERROR(__xludf.DUMMYFUNCTION("""COMPUTED_VALUE"""),0.039)</f>
        <v>0.039</v>
      </c>
      <c r="J2612" s="19">
        <f>IFERROR(__xludf.DUMMYFUNCTION("""COMPUTED_VALUE"""),0.0779)</f>
        <v>0.0779</v>
      </c>
      <c r="K2612" s="19">
        <f>IFERROR(__xludf.DUMMYFUNCTION("""COMPUTED_VALUE"""),0.0974)</f>
        <v>0.0974</v>
      </c>
      <c r="L2612" s="19">
        <f>IFERROR(__xludf.DUMMYFUNCTION("""COMPUTED_VALUE"""),0.1169)</f>
        <v>0.1169</v>
      </c>
      <c r="M2612" s="18">
        <f>IFERROR(__xludf.DUMMYFUNCTION("""COMPUTED_VALUE"""),1.71)</f>
        <v>1.71</v>
      </c>
    </row>
    <row r="2613">
      <c r="A2613" s="13" t="str">
        <f>IFERROR(__xludf.DUMMYFUNCTION("""COMPUTED_VALUE"""),"товари")</f>
        <v>товари</v>
      </c>
      <c r="B2613" s="16" t="str">
        <f>IFERROR(__xludf.DUMMYFUNCTION("""COMPUTED_VALUE"""),"обладнання та товари для надання послуг")</f>
        <v>обладнання та товари для надання послуг</v>
      </c>
      <c r="C2613" s="16" t="str">
        <f>IFERROR(__xludf.DUMMYFUNCTION("""COMPUTED_VALUE"""),"обладнання для автосервісу")</f>
        <v>обладнання для автосервісу</v>
      </c>
      <c r="D2613" s="16" t="str">
        <f>IFERROR(__xludf.DUMMYFUNCTION("""COMPUTED_VALUE"""),"інструменти для автосервісу")</f>
        <v>інструменти для автосервісу</v>
      </c>
      <c r="E2613" s="16" t="str">
        <f>IFERROR(__xludf.DUMMYFUNCTION("""COMPUTED_VALUE"""),"рихтувальні інструменти")</f>
        <v>рихтувальні інструменти</v>
      </c>
      <c r="F2613" s="17">
        <f>IFERROR(__xludf.DUMMYFUNCTION("""COMPUTED_VALUE"""),4.0)</f>
        <v>4</v>
      </c>
      <c r="G2613" s="17" t="str">
        <f>IFERROR(__xludf.DUMMYFUNCTION("""COMPUTED_VALUE"""),"12110212")</f>
        <v>12110212</v>
      </c>
      <c r="H2613" s="17" t="str">
        <f>IFERROR(__xludf.DUMMYFUNCTION("""COMPUTED_VALUE"""),"рихтувальні інструменти")</f>
        <v>рихтувальні інструменти</v>
      </c>
      <c r="I2613" s="19">
        <f>IFERROR(__xludf.DUMMYFUNCTION("""COMPUTED_VALUE"""),0.0669)</f>
        <v>0.0669</v>
      </c>
      <c r="J2613" s="19">
        <f>IFERROR(__xludf.DUMMYFUNCTION("""COMPUTED_VALUE"""),0.1337)</f>
        <v>0.1337</v>
      </c>
      <c r="K2613" s="19">
        <f>IFERROR(__xludf.DUMMYFUNCTION("""COMPUTED_VALUE"""),0.1671)</f>
        <v>0.1671</v>
      </c>
      <c r="L2613" s="19">
        <f>IFERROR(__xludf.DUMMYFUNCTION("""COMPUTED_VALUE"""),0.2006)</f>
        <v>0.2006</v>
      </c>
      <c r="M2613" s="18">
        <f>IFERROR(__xludf.DUMMYFUNCTION("""COMPUTED_VALUE"""),2.16)</f>
        <v>2.16</v>
      </c>
    </row>
    <row r="2614">
      <c r="A2614" s="13" t="str">
        <f>IFERROR(__xludf.DUMMYFUNCTION("""COMPUTED_VALUE"""),"товари")</f>
        <v>товари</v>
      </c>
      <c r="B2614" s="16" t="str">
        <f>IFERROR(__xludf.DUMMYFUNCTION("""COMPUTED_VALUE"""),"обладнання та товари для надання послуг")</f>
        <v>обладнання та товари для надання послуг</v>
      </c>
      <c r="C2614" s="16" t="str">
        <f>IFERROR(__xludf.DUMMYFUNCTION("""COMPUTED_VALUE"""),"все для салонів краси")</f>
        <v>все для салонів краси</v>
      </c>
      <c r="D2614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614" s="16" t="str">
        <f>IFERROR(__xludf.DUMMYFUNCTION("""COMPUTED_VALUE"""),"робочі місця перукарів і візажистів")</f>
        <v>робочі місця перукарів і візажистів</v>
      </c>
      <c r="F2614" s="17">
        <f>IFERROR(__xludf.DUMMYFUNCTION("""COMPUTED_VALUE"""),4.0)</f>
        <v>4</v>
      </c>
      <c r="G2614" s="17" t="str">
        <f>IFERROR(__xludf.DUMMYFUNCTION("""COMPUTED_VALUE"""),"15030817")</f>
        <v>15030817</v>
      </c>
      <c r="H2614" s="17" t="str">
        <f>IFERROR(__xludf.DUMMYFUNCTION("""COMPUTED_VALUE"""),"робочі місця перукарів і візажистів")</f>
        <v>робочі місця перукарів і візажистів</v>
      </c>
      <c r="I2614" s="19">
        <f>IFERROR(__xludf.DUMMYFUNCTION("""COMPUTED_VALUE"""),0.075)</f>
        <v>0.075</v>
      </c>
      <c r="J2614" s="19">
        <f>IFERROR(__xludf.DUMMYFUNCTION("""COMPUTED_VALUE"""),0.15)</f>
        <v>0.15</v>
      </c>
      <c r="K2614" s="19">
        <f>IFERROR(__xludf.DUMMYFUNCTION("""COMPUTED_VALUE"""),0.1875)</f>
        <v>0.1875</v>
      </c>
      <c r="L2614" s="19">
        <f>IFERROR(__xludf.DUMMYFUNCTION("""COMPUTED_VALUE"""),0.225)</f>
        <v>0.225</v>
      </c>
      <c r="M2614" s="18">
        <f>IFERROR(__xludf.DUMMYFUNCTION("""COMPUTED_VALUE"""),3.33)</f>
        <v>3.33</v>
      </c>
    </row>
    <row r="2615">
      <c r="A2615" s="13" t="str">
        <f>IFERROR(__xludf.DUMMYFUNCTION("""COMPUTED_VALUE"""),"товари")</f>
        <v>товари</v>
      </c>
      <c r="B2615" s="16" t="str">
        <f>IFERROR(__xludf.DUMMYFUNCTION("""COMPUTED_VALUE"""),"обладнання та товари для надання послуг")</f>
        <v>обладнання та товари для надання послуг</v>
      </c>
      <c r="C2615" s="16" t="str">
        <f>IFERROR(__xludf.DUMMYFUNCTION("""COMPUTED_VALUE"""),"horeca&amp;fast-food")</f>
        <v>horeca&amp;fast-food</v>
      </c>
      <c r="D2615" s="16" t="str">
        <f>IFERROR(__xludf.DUMMYFUNCTION("""COMPUTED_VALUE"""),"санітарно-гігієнічне обладнання")</f>
        <v>санітарно-гігієнічне обладнання</v>
      </c>
      <c r="E2615" s="16" t="str">
        <f>IFERROR(__xludf.DUMMYFUNCTION("""COMPUTED_VALUE"""),"санітарно-гігієнічне обладнання, загальне")</f>
        <v>санітарно-гігієнічне обладнання, загальне</v>
      </c>
      <c r="F2615" s="17">
        <f>IFERROR(__xludf.DUMMYFUNCTION("""COMPUTED_VALUE"""),4.0)</f>
        <v>4</v>
      </c>
      <c r="G2615" s="17" t="str">
        <f>IFERROR(__xludf.DUMMYFUNCTION("""COMPUTED_VALUE"""),"240614")</f>
        <v>240614</v>
      </c>
      <c r="H2615" s="17" t="str">
        <f>IFERROR(__xludf.DUMMYFUNCTION("""COMPUTED_VALUE"""),"санітарно-гігієнічне обладнання, загальне")</f>
        <v>санітарно-гігієнічне обладнання, загальне</v>
      </c>
      <c r="I2615" s="19">
        <f>IFERROR(__xludf.DUMMYFUNCTION("""COMPUTED_VALUE"""),0.125)</f>
        <v>0.125</v>
      </c>
      <c r="J2615" s="19">
        <f>IFERROR(__xludf.DUMMYFUNCTION("""COMPUTED_VALUE"""),0.25)</f>
        <v>0.25</v>
      </c>
      <c r="K2615" s="19">
        <f>IFERROR(__xludf.DUMMYFUNCTION("""COMPUTED_VALUE"""),0.3125)</f>
        <v>0.3125</v>
      </c>
      <c r="L2615" s="19">
        <f>IFERROR(__xludf.DUMMYFUNCTION("""COMPUTED_VALUE"""),0.375)</f>
        <v>0.375</v>
      </c>
      <c r="M2615" s="18">
        <f>IFERROR(__xludf.DUMMYFUNCTION("""COMPUTED_VALUE"""),4.33)</f>
        <v>4.33</v>
      </c>
    </row>
    <row r="2616">
      <c r="A2616" s="13" t="str">
        <f>IFERROR(__xludf.DUMMYFUNCTION("""COMPUTED_VALUE"""),"товари")</f>
        <v>товари</v>
      </c>
      <c r="B2616" s="16" t="str">
        <f>IFERROR(__xludf.DUMMYFUNCTION("""COMPUTED_VALUE"""),"обладнання та товари для надання послуг")</f>
        <v>обладнання та товари для надання послуг</v>
      </c>
      <c r="C2616" s="16" t="str">
        <f>IFERROR(__xludf.DUMMYFUNCTION("""COMPUTED_VALUE"""),"обладнання для торгівлі")</f>
        <v>обладнання для торгівлі</v>
      </c>
      <c r="D2616" s="16" t="str">
        <f>IFERROR(__xludf.DUMMYFUNCTION("""COMPUTED_VALUE"""),"касове/прикасове обладнання")</f>
        <v>касове/прикасове обладнання</v>
      </c>
      <c r="E2616" s="16" t="str">
        <f>IFERROR(__xludf.DUMMYFUNCTION("""COMPUTED_VALUE"""),"сканери штрихкодів")</f>
        <v>сканери штрихкодів</v>
      </c>
      <c r="F2616" s="17">
        <f>IFERROR(__xludf.DUMMYFUNCTION("""COMPUTED_VALUE"""),4.0)</f>
        <v>4</v>
      </c>
      <c r="G2616" s="17" t="str">
        <f>IFERROR(__xludf.DUMMYFUNCTION("""COMPUTED_VALUE"""),"282946")</f>
        <v>282946</v>
      </c>
      <c r="H2616" s="17" t="str">
        <f>IFERROR(__xludf.DUMMYFUNCTION("""COMPUTED_VALUE"""),"сканери штрихкодів")</f>
        <v>сканери штрихкодів</v>
      </c>
      <c r="I2616" s="19">
        <f>IFERROR(__xludf.DUMMYFUNCTION("""COMPUTED_VALUE"""),0.0745)</f>
        <v>0.0745</v>
      </c>
      <c r="J2616" s="19">
        <f>IFERROR(__xludf.DUMMYFUNCTION("""COMPUTED_VALUE"""),0.149)</f>
        <v>0.149</v>
      </c>
      <c r="K2616" s="19">
        <f>IFERROR(__xludf.DUMMYFUNCTION("""COMPUTED_VALUE"""),0.1863)</f>
        <v>0.1863</v>
      </c>
      <c r="L2616" s="19">
        <f>IFERROR(__xludf.DUMMYFUNCTION("""COMPUTED_VALUE"""),0.2235)</f>
        <v>0.2235</v>
      </c>
      <c r="M2616" s="18">
        <f>IFERROR(__xludf.DUMMYFUNCTION("""COMPUTED_VALUE"""),4.43)</f>
        <v>4.43</v>
      </c>
    </row>
    <row r="2617">
      <c r="A2617" s="13" t="str">
        <f>IFERROR(__xludf.DUMMYFUNCTION("""COMPUTED_VALUE"""),"товари")</f>
        <v>товари</v>
      </c>
      <c r="B2617" s="16" t="str">
        <f>IFERROR(__xludf.DUMMYFUNCTION("""COMPUTED_VALUE"""),"обладнання та товари для надання послуг")</f>
        <v>обладнання та товари для надання послуг</v>
      </c>
      <c r="C2617" s="16" t="str">
        <f>IFERROR(__xludf.DUMMYFUNCTION("""COMPUTED_VALUE"""),"все для салонів краси")</f>
        <v>все для салонів краси</v>
      </c>
      <c r="D2617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617" s="16" t="str">
        <f>IFERROR(__xludf.DUMMYFUNCTION("""COMPUTED_VALUE"""),"стерилізатори і дезінфікуючі засоби")</f>
        <v>стерилізатори і дезінфікуючі засоби</v>
      </c>
      <c r="F2617" s="17">
        <f>IFERROR(__xludf.DUMMYFUNCTION("""COMPUTED_VALUE"""),4.0)</f>
        <v>4</v>
      </c>
      <c r="G2617" s="17" t="str">
        <f>IFERROR(__xludf.DUMMYFUNCTION("""COMPUTED_VALUE"""),"28290606")</f>
        <v>28290606</v>
      </c>
      <c r="H2617" s="17" t="str">
        <f>IFERROR(__xludf.DUMMYFUNCTION("""COMPUTED_VALUE"""),"стерилізатори і дезінфікуючі засоби")</f>
        <v>стерилізатори і дезінфікуючі засоби</v>
      </c>
      <c r="I2617" s="19">
        <f>IFERROR(__xludf.DUMMYFUNCTION("""COMPUTED_VALUE"""),0.0747)</f>
        <v>0.0747</v>
      </c>
      <c r="J2617" s="19">
        <f>IFERROR(__xludf.DUMMYFUNCTION("""COMPUTED_VALUE"""),0.1494)</f>
        <v>0.1494</v>
      </c>
      <c r="K2617" s="19">
        <f>IFERROR(__xludf.DUMMYFUNCTION("""COMPUTED_VALUE"""),0.1868)</f>
        <v>0.1868</v>
      </c>
      <c r="L2617" s="19">
        <f>IFERROR(__xludf.DUMMYFUNCTION("""COMPUTED_VALUE"""),0.2241)</f>
        <v>0.2241</v>
      </c>
      <c r="M2617" s="18">
        <f>IFERROR(__xludf.DUMMYFUNCTION("""COMPUTED_VALUE"""),3.33)</f>
        <v>3.33</v>
      </c>
    </row>
    <row r="2618">
      <c r="A2618" s="13" t="str">
        <f>IFERROR(__xludf.DUMMYFUNCTION("""COMPUTED_VALUE"""),"товари")</f>
        <v>товари</v>
      </c>
      <c r="B2618" s="16" t="str">
        <f>IFERROR(__xludf.DUMMYFUNCTION("""COMPUTED_VALUE"""),"обладнання та товари для надання послуг")</f>
        <v>обладнання та товари для надання послуг</v>
      </c>
      <c r="C2618" s="16" t="str">
        <f>IFERROR(__xludf.DUMMYFUNCTION("""COMPUTED_VALUE"""),"товари для спортивної інфраструктури")</f>
        <v>товари для спортивної інфраструктури</v>
      </c>
      <c r="D2618" s="16" t="str">
        <f>IFERROR(__xludf.DUMMYFUNCTION("""COMPUTED_VALUE"""),"професійні тренажери")</f>
        <v>професійні тренажери</v>
      </c>
      <c r="E2618" s="16" t="str">
        <f>IFERROR(__xludf.DUMMYFUNCTION("""COMPUTED_VALUE"""),"стійки для гантелей, грифів і дисків")</f>
        <v>стійки для гантелей, грифів і дисків</v>
      </c>
      <c r="F2618" s="17">
        <f>IFERROR(__xludf.DUMMYFUNCTION("""COMPUTED_VALUE"""),4.0)</f>
        <v>4</v>
      </c>
      <c r="G2618" s="17" t="str">
        <f>IFERROR(__xludf.DUMMYFUNCTION("""COMPUTED_VALUE"""),"200919")</f>
        <v>200919</v>
      </c>
      <c r="H2618" s="17" t="str">
        <f>IFERROR(__xludf.DUMMYFUNCTION("""COMPUTED_VALUE"""),"стійки для гантелей, грифів і дисків")</f>
        <v>стійки для гантелей, грифів і дисків</v>
      </c>
      <c r="I2618" s="19">
        <f>IFERROR(__xludf.DUMMYFUNCTION("""COMPUTED_VALUE"""),0.0447)</f>
        <v>0.0447</v>
      </c>
      <c r="J2618" s="19">
        <f>IFERROR(__xludf.DUMMYFUNCTION("""COMPUTED_VALUE"""),0.0893)</f>
        <v>0.0893</v>
      </c>
      <c r="K2618" s="19">
        <f>IFERROR(__xludf.DUMMYFUNCTION("""COMPUTED_VALUE"""),0.1116)</f>
        <v>0.1116</v>
      </c>
      <c r="L2618" s="19">
        <f>IFERROR(__xludf.DUMMYFUNCTION("""COMPUTED_VALUE"""),0.134)</f>
        <v>0.134</v>
      </c>
      <c r="M2618" s="18">
        <f>IFERROR(__xludf.DUMMYFUNCTION("""COMPUTED_VALUE"""),3.24)</f>
        <v>3.24</v>
      </c>
    </row>
    <row r="2619">
      <c r="A2619" s="13" t="str">
        <f>IFERROR(__xludf.DUMMYFUNCTION("""COMPUTED_VALUE"""),"товари")</f>
        <v>товари</v>
      </c>
      <c r="B2619" s="16" t="str">
        <f>IFERROR(__xludf.DUMMYFUNCTION("""COMPUTED_VALUE"""),"обладнання та товари для надання послуг")</f>
        <v>обладнання та товари для надання послуг</v>
      </c>
      <c r="C2619" s="16" t="str">
        <f>IFERROR(__xludf.DUMMYFUNCTION("""COMPUTED_VALUE"""),"комерційні меблі")</f>
        <v>комерційні меблі</v>
      </c>
      <c r="D2619" s="16" t="str">
        <f>IFERROR(__xludf.DUMMYFUNCTION("""COMPUTED_VALUE"""),"офісні меблі")</f>
        <v>офісні меблі</v>
      </c>
      <c r="E2619" s="16" t="str">
        <f>IFERROR(__xludf.DUMMYFUNCTION("""COMPUTED_VALUE"""),"стійки-ресепшн")</f>
        <v>стійки-ресепшн</v>
      </c>
      <c r="F2619" s="17">
        <f>IFERROR(__xludf.DUMMYFUNCTION("""COMPUTED_VALUE"""),4.0)</f>
        <v>4</v>
      </c>
      <c r="G2619" s="17" t="str">
        <f>IFERROR(__xludf.DUMMYFUNCTION("""COMPUTED_VALUE"""),"15030403")</f>
        <v>15030403</v>
      </c>
      <c r="H2619" s="17" t="str">
        <f>IFERROR(__xludf.DUMMYFUNCTION("""COMPUTED_VALUE"""),"стійки-ресепшн")</f>
        <v>стійки-ресепшн</v>
      </c>
      <c r="I2619" s="19">
        <f>IFERROR(__xludf.DUMMYFUNCTION("""COMPUTED_VALUE"""),0.0682)</f>
        <v>0.0682</v>
      </c>
      <c r="J2619" s="19">
        <f>IFERROR(__xludf.DUMMYFUNCTION("""COMPUTED_VALUE"""),0.1363)</f>
        <v>0.1363</v>
      </c>
      <c r="K2619" s="19">
        <f>IFERROR(__xludf.DUMMYFUNCTION("""COMPUTED_VALUE"""),0.1704)</f>
        <v>0.1704</v>
      </c>
      <c r="L2619" s="19">
        <f>IFERROR(__xludf.DUMMYFUNCTION("""COMPUTED_VALUE"""),0.2045)</f>
        <v>0.2045</v>
      </c>
      <c r="M2619" s="18">
        <f>IFERROR(__xludf.DUMMYFUNCTION("""COMPUTED_VALUE"""),4.14)</f>
        <v>4.14</v>
      </c>
    </row>
    <row r="2620">
      <c r="A2620" s="13" t="str">
        <f>IFERROR(__xludf.DUMMYFUNCTION("""COMPUTED_VALUE"""),"товари")</f>
        <v>товари</v>
      </c>
      <c r="B2620" s="16" t="str">
        <f>IFERROR(__xludf.DUMMYFUNCTION("""COMPUTED_VALUE"""),"обладнання та товари для надання послуг")</f>
        <v>обладнання та товари для надання послуг</v>
      </c>
      <c r="C2620" s="16" t="str">
        <f>IFERROR(__xludf.DUMMYFUNCTION("""COMPUTED_VALUE"""),"комерційні меблі")</f>
        <v>комерційні меблі</v>
      </c>
      <c r="D2620" s="16" t="str">
        <f>IFERROR(__xludf.DUMMYFUNCTION("""COMPUTED_VALUE"""),"медичні меблі")</f>
        <v>медичні меблі</v>
      </c>
      <c r="E2620" s="16" t="str">
        <f>IFERROR(__xludf.DUMMYFUNCTION("""COMPUTED_VALUE"""),"стільці для лікарів")</f>
        <v>стільці для лікарів</v>
      </c>
      <c r="F2620" s="17">
        <f>IFERROR(__xludf.DUMMYFUNCTION("""COMPUTED_VALUE"""),4.0)</f>
        <v>4</v>
      </c>
      <c r="G2620" s="17" t="str">
        <f>IFERROR(__xludf.DUMMYFUNCTION("""COMPUTED_VALUE"""),"15030812")</f>
        <v>15030812</v>
      </c>
      <c r="H2620" s="17" t="str">
        <f>IFERROR(__xludf.DUMMYFUNCTION("""COMPUTED_VALUE"""),"стільці для лікарів")</f>
        <v>стільці для лікарів</v>
      </c>
      <c r="I2620" s="19">
        <f>IFERROR(__xludf.DUMMYFUNCTION("""COMPUTED_VALUE"""),0.0405)</f>
        <v>0.0405</v>
      </c>
      <c r="J2620" s="19">
        <f>IFERROR(__xludf.DUMMYFUNCTION("""COMPUTED_VALUE"""),0.081)</f>
        <v>0.081</v>
      </c>
      <c r="K2620" s="19">
        <f>IFERROR(__xludf.DUMMYFUNCTION("""COMPUTED_VALUE"""),0.1013)</f>
        <v>0.1013</v>
      </c>
      <c r="L2620" s="19">
        <f>IFERROR(__xludf.DUMMYFUNCTION("""COMPUTED_VALUE"""),0.1215)</f>
        <v>0.1215</v>
      </c>
      <c r="M2620" s="18">
        <f>IFERROR(__xludf.DUMMYFUNCTION("""COMPUTED_VALUE"""),5.4)</f>
        <v>5.4</v>
      </c>
    </row>
    <row r="2621">
      <c r="A2621" s="13" t="str">
        <f>IFERROR(__xludf.DUMMYFUNCTION("""COMPUTED_VALUE"""),"товари")</f>
        <v>товари</v>
      </c>
      <c r="B2621" s="16" t="str">
        <f>IFERROR(__xludf.DUMMYFUNCTION("""COMPUTED_VALUE"""),"обладнання та товари для надання послуг")</f>
        <v>обладнання та товари для надання послуг</v>
      </c>
      <c r="C2621" s="16" t="str">
        <f>IFERROR(__xludf.DUMMYFUNCTION("""COMPUTED_VALUE"""),"комерційні меблі")</f>
        <v>комерційні меблі</v>
      </c>
      <c r="D2621" s="16" t="str">
        <f>IFERROR(__xludf.DUMMYFUNCTION("""COMPUTED_VALUE"""),"меблі для салонів краси")</f>
        <v>меблі для салонів краси</v>
      </c>
      <c r="E2621" s="16" t="str">
        <f>IFERROR(__xludf.DUMMYFUNCTION("""COMPUTED_VALUE"""),"стільці майстра")</f>
        <v>стільці майстра</v>
      </c>
      <c r="F2621" s="17">
        <f>IFERROR(__xludf.DUMMYFUNCTION("""COMPUTED_VALUE"""),4.0)</f>
        <v>4</v>
      </c>
      <c r="G2621" s="17" t="str">
        <f>IFERROR(__xludf.DUMMYFUNCTION("""COMPUTED_VALUE"""),"15030819")</f>
        <v>15030819</v>
      </c>
      <c r="H2621" s="17" t="str">
        <f>IFERROR(__xludf.DUMMYFUNCTION("""COMPUTED_VALUE"""),"стільці майстра")</f>
        <v>стільці майстра</v>
      </c>
      <c r="I2621" s="19">
        <f>IFERROR(__xludf.DUMMYFUNCTION("""COMPUTED_VALUE"""),0.0738)</f>
        <v>0.0738</v>
      </c>
      <c r="J2621" s="19">
        <f>IFERROR(__xludf.DUMMYFUNCTION("""COMPUTED_VALUE"""),0.1476)</f>
        <v>0.1476</v>
      </c>
      <c r="K2621" s="19">
        <f>IFERROR(__xludf.DUMMYFUNCTION("""COMPUTED_VALUE"""),0.1845)</f>
        <v>0.1845</v>
      </c>
      <c r="L2621" s="19">
        <f>IFERROR(__xludf.DUMMYFUNCTION("""COMPUTED_VALUE"""),0.2214)</f>
        <v>0.2214</v>
      </c>
      <c r="M2621" s="18">
        <f>IFERROR(__xludf.DUMMYFUNCTION("""COMPUTED_VALUE"""),3.06)</f>
        <v>3.06</v>
      </c>
    </row>
    <row r="2622">
      <c r="A2622" s="13" t="str">
        <f>IFERROR(__xludf.DUMMYFUNCTION("""COMPUTED_VALUE"""),"товари")</f>
        <v>товари</v>
      </c>
      <c r="B2622" s="16" t="str">
        <f>IFERROR(__xludf.DUMMYFUNCTION("""COMPUTED_VALUE"""),"обладнання та товари для надання послуг")</f>
        <v>обладнання та товари для надання послуг</v>
      </c>
      <c r="C2622" s="16" t="str">
        <f>IFERROR(__xludf.DUMMYFUNCTION("""COMPUTED_VALUE"""),"комерційні меблі")</f>
        <v>комерційні меблі</v>
      </c>
      <c r="D2622" s="16" t="str">
        <f>IFERROR(__xludf.DUMMYFUNCTION("""COMPUTED_VALUE"""),"меблі для навчальних закладів")</f>
        <v>меблі для навчальних закладів</v>
      </c>
      <c r="E2622" s="16" t="str">
        <f>IFERROR(__xludf.DUMMYFUNCTION("""COMPUTED_VALUE"""),"стільці учнівські")</f>
        <v>стільці учнівські</v>
      </c>
      <c r="F2622" s="17">
        <f>IFERROR(__xludf.DUMMYFUNCTION("""COMPUTED_VALUE"""),4.0)</f>
        <v>4</v>
      </c>
      <c r="G2622" s="17" t="str">
        <f>IFERROR(__xludf.DUMMYFUNCTION("""COMPUTED_VALUE"""),"370230")</f>
        <v>370230</v>
      </c>
      <c r="H2622" s="17" t="str">
        <f>IFERROR(__xludf.DUMMYFUNCTION("""COMPUTED_VALUE"""),"стільці учнівські")</f>
        <v>стільці учнівські</v>
      </c>
      <c r="I2622" s="19">
        <f>IFERROR(__xludf.DUMMYFUNCTION("""COMPUTED_VALUE"""),0.0678)</f>
        <v>0.0678</v>
      </c>
      <c r="J2622" s="19">
        <f>IFERROR(__xludf.DUMMYFUNCTION("""COMPUTED_VALUE"""),0.1355)</f>
        <v>0.1355</v>
      </c>
      <c r="K2622" s="19">
        <f>IFERROR(__xludf.DUMMYFUNCTION("""COMPUTED_VALUE"""),0.1694)</f>
        <v>0.1694</v>
      </c>
      <c r="L2622" s="19">
        <f>IFERROR(__xludf.DUMMYFUNCTION("""COMPUTED_VALUE"""),0.2033)</f>
        <v>0.2033</v>
      </c>
      <c r="M2622" s="18">
        <f>IFERROR(__xludf.DUMMYFUNCTION("""COMPUTED_VALUE"""),2.16)</f>
        <v>2.16</v>
      </c>
    </row>
    <row r="2623">
      <c r="A2623" s="13" t="str">
        <f>IFERROR(__xludf.DUMMYFUNCTION("""COMPUTED_VALUE"""),"товари")</f>
        <v>товари</v>
      </c>
      <c r="B2623" s="16" t="str">
        <f>IFERROR(__xludf.DUMMYFUNCTION("""COMPUTED_VALUE"""),"обладнання та товари для надання послуг")</f>
        <v>обладнання та товари для надання послуг</v>
      </c>
      <c r="C2623" s="16" t="str">
        <f>IFERROR(__xludf.DUMMYFUNCTION("""COMPUTED_VALUE"""),"комерційні меблі")</f>
        <v>комерційні меблі</v>
      </c>
      <c r="D2623" s="16" t="str">
        <f>IFERROR(__xludf.DUMMYFUNCTION("""COMPUTED_VALUE"""),"меблі для fast-food")</f>
        <v>меблі для fast-food</v>
      </c>
      <c r="E2623" s="16" t="str">
        <f>IFERROR(__xludf.DUMMYFUNCTION("""COMPUTED_VALUE"""),"столи для ресторанів і кафе")</f>
        <v>столи для ресторанів і кафе</v>
      </c>
      <c r="F2623" s="17">
        <f>IFERROR(__xludf.DUMMYFUNCTION("""COMPUTED_VALUE"""),4.0)</f>
        <v>4</v>
      </c>
      <c r="G2623" s="17" t="str">
        <f>IFERROR(__xludf.DUMMYFUNCTION("""COMPUTED_VALUE"""),"15030106")</f>
        <v>15030106</v>
      </c>
      <c r="H2623" s="17" t="str">
        <f>IFERROR(__xludf.DUMMYFUNCTION("""COMPUTED_VALUE"""),"столи для ресторанів і кафе")</f>
        <v>столи для ресторанів і кафе</v>
      </c>
      <c r="I2623" s="19">
        <f>IFERROR(__xludf.DUMMYFUNCTION("""COMPUTED_VALUE"""),0.0516)</f>
        <v>0.0516</v>
      </c>
      <c r="J2623" s="19">
        <f>IFERROR(__xludf.DUMMYFUNCTION("""COMPUTED_VALUE"""),0.1032)</f>
        <v>0.1032</v>
      </c>
      <c r="K2623" s="19">
        <f>IFERROR(__xludf.DUMMYFUNCTION("""COMPUTED_VALUE"""),0.129)</f>
        <v>0.129</v>
      </c>
      <c r="L2623" s="19">
        <f>IFERROR(__xludf.DUMMYFUNCTION("""COMPUTED_VALUE"""),0.1548)</f>
        <v>0.1548</v>
      </c>
      <c r="M2623" s="18">
        <f>IFERROR(__xludf.DUMMYFUNCTION("""COMPUTED_VALUE"""),1.71)</f>
        <v>1.71</v>
      </c>
    </row>
    <row r="2624">
      <c r="A2624" s="13" t="str">
        <f>IFERROR(__xludf.DUMMYFUNCTION("""COMPUTED_VALUE"""),"товари")</f>
        <v>товари</v>
      </c>
      <c r="B2624" s="16" t="str">
        <f>IFERROR(__xludf.DUMMYFUNCTION("""COMPUTED_VALUE"""),"обладнання та товари для надання послуг")</f>
        <v>обладнання та товари для надання послуг</v>
      </c>
      <c r="C2624" s="16" t="str">
        <f>IFERROR(__xludf.DUMMYFUNCTION("""COMPUTED_VALUE"""),"обладнання для торгівлі")</f>
        <v>обладнання для торгівлі</v>
      </c>
      <c r="D2624" s="16" t="str">
        <f>IFERROR(__xludf.DUMMYFUNCTION("""COMPUTED_VALUE"""),"касове/прикасове обладнання")</f>
        <v>касове/прикасове обладнання</v>
      </c>
      <c r="E2624" s="16" t="str">
        <f>IFERROR(__xludf.DUMMYFUNCTION("""COMPUTED_VALUE"""),"стрічка для термотрансферних принтерів")</f>
        <v>стрічка для термотрансферних принтерів</v>
      </c>
      <c r="F2624" s="17">
        <f>IFERROR(__xludf.DUMMYFUNCTION("""COMPUTED_VALUE"""),4.0)</f>
        <v>4</v>
      </c>
      <c r="G2624" s="17" t="str">
        <f>IFERROR(__xludf.DUMMYFUNCTION("""COMPUTED_VALUE"""),"282937")</f>
        <v>282937</v>
      </c>
      <c r="H2624" s="17" t="str">
        <f>IFERROR(__xludf.DUMMYFUNCTION("""COMPUTED_VALUE"""),"стрічка для термотрансферних принтерів")</f>
        <v>стрічка для термотрансферних принтерів</v>
      </c>
      <c r="I2624" s="19">
        <f>IFERROR(__xludf.DUMMYFUNCTION("""COMPUTED_VALUE"""),0.0752)</f>
        <v>0.0752</v>
      </c>
      <c r="J2624" s="19">
        <f>IFERROR(__xludf.DUMMYFUNCTION("""COMPUTED_VALUE"""),0.1503)</f>
        <v>0.1503</v>
      </c>
      <c r="K2624" s="19">
        <f>IFERROR(__xludf.DUMMYFUNCTION("""COMPUTED_VALUE"""),0.1879)</f>
        <v>0.1879</v>
      </c>
      <c r="L2624" s="19">
        <f>IFERROR(__xludf.DUMMYFUNCTION("""COMPUTED_VALUE"""),0.2255)</f>
        <v>0.2255</v>
      </c>
      <c r="M2624" s="18">
        <f>IFERROR(__xludf.DUMMYFUNCTION("""COMPUTED_VALUE"""),4.43)</f>
        <v>4.43</v>
      </c>
    </row>
    <row r="2625">
      <c r="A2625" s="13" t="str">
        <f>IFERROR(__xludf.DUMMYFUNCTION("""COMPUTED_VALUE"""),"товари")</f>
        <v>товари</v>
      </c>
      <c r="B2625" s="16" t="str">
        <f>IFERROR(__xludf.DUMMYFUNCTION("""COMPUTED_VALUE"""),"обладнання та товари для надання послуг")</f>
        <v>обладнання та товари для надання послуг</v>
      </c>
      <c r="C2625" s="16" t="str">
        <f>IFERROR(__xludf.DUMMYFUNCTION("""COMPUTED_VALUE"""),"horeca&amp;fast-food")</f>
        <v>horeca&amp;fast-food</v>
      </c>
      <c r="D2625" s="16" t="str">
        <f>IFERROR(__xludf.DUMMYFUNCTION("""COMPUTED_VALUE"""),"санітарно-гігієнічне обладнання")</f>
        <v>санітарно-гігієнічне обладнання</v>
      </c>
      <c r="E2625" s="16" t="str">
        <f>IFERROR(__xludf.DUMMYFUNCTION("""COMPUTED_VALUE"""),"сушарки для рук")</f>
        <v>сушарки для рук</v>
      </c>
      <c r="F2625" s="17">
        <f>IFERROR(__xludf.DUMMYFUNCTION("""COMPUTED_VALUE"""),4.0)</f>
        <v>4</v>
      </c>
      <c r="G2625" s="17" t="str">
        <f>IFERROR(__xludf.DUMMYFUNCTION("""COMPUTED_VALUE"""),"614")</f>
        <v>614</v>
      </c>
      <c r="H2625" s="17" t="str">
        <f>IFERROR(__xludf.DUMMYFUNCTION("""COMPUTED_VALUE"""),"сушарки для рук")</f>
        <v>сушарки для рук</v>
      </c>
      <c r="I2625" s="19">
        <f>IFERROR(__xludf.DUMMYFUNCTION("""COMPUTED_VALUE"""),0.074)</f>
        <v>0.074</v>
      </c>
      <c r="J2625" s="19">
        <f>IFERROR(__xludf.DUMMYFUNCTION("""COMPUTED_VALUE"""),0.1479)</f>
        <v>0.1479</v>
      </c>
      <c r="K2625" s="19">
        <f>IFERROR(__xludf.DUMMYFUNCTION("""COMPUTED_VALUE"""),0.1849)</f>
        <v>0.1849</v>
      </c>
      <c r="L2625" s="19">
        <f>IFERROR(__xludf.DUMMYFUNCTION("""COMPUTED_VALUE"""),0.2219)</f>
        <v>0.2219</v>
      </c>
      <c r="M2625" s="18">
        <f>IFERROR(__xludf.DUMMYFUNCTION("""COMPUTED_VALUE"""),2.08)</f>
        <v>2.08</v>
      </c>
    </row>
    <row r="2626">
      <c r="A2626" s="13" t="str">
        <f>IFERROR(__xludf.DUMMYFUNCTION("""COMPUTED_VALUE"""),"товари")</f>
        <v>товари</v>
      </c>
      <c r="B2626" s="16" t="str">
        <f>IFERROR(__xludf.DUMMYFUNCTION("""COMPUTED_VALUE"""),"обладнання та товари для надання послуг")</f>
        <v>обладнання та товари для надання послуг</v>
      </c>
      <c r="C2626" s="16" t="str">
        <f>IFERROR(__xludf.DUMMYFUNCTION("""COMPUTED_VALUE"""),"все для салонів краси")</f>
        <v>все для салонів краси</v>
      </c>
      <c r="D2626" s="16" t="str">
        <f>IFERROR(__xludf.DUMMYFUNCTION("""COMPUTED_VALUE"""),"обладнання та матеріали для салонів краси")</f>
        <v>обладнання та матеріали для салонів краси</v>
      </c>
      <c r="E2626" s="16" t="str">
        <f>IFERROR(__xludf.DUMMYFUNCTION("""COMPUTED_VALUE"""),"сушуари, клімазони")</f>
        <v>сушуари, клімазони</v>
      </c>
      <c r="F2626" s="17">
        <f>IFERROR(__xludf.DUMMYFUNCTION("""COMPUTED_VALUE"""),4.0)</f>
        <v>4</v>
      </c>
      <c r="G2626" s="17" t="str">
        <f>IFERROR(__xludf.DUMMYFUNCTION("""COMPUTED_VALUE"""),"282976")</f>
        <v>282976</v>
      </c>
      <c r="H2626" s="17" t="str">
        <f>IFERROR(__xludf.DUMMYFUNCTION("""COMPUTED_VALUE"""),"сушуари, клімазони")</f>
        <v>сушуари, клімазони</v>
      </c>
      <c r="I2626" s="19">
        <f>IFERROR(__xludf.DUMMYFUNCTION("""COMPUTED_VALUE"""),0.0828)</f>
        <v>0.0828</v>
      </c>
      <c r="J2626" s="19">
        <f>IFERROR(__xludf.DUMMYFUNCTION("""COMPUTED_VALUE"""),0.1656)</f>
        <v>0.1656</v>
      </c>
      <c r="K2626" s="19">
        <f>IFERROR(__xludf.DUMMYFUNCTION("""COMPUTED_VALUE"""),0.207)</f>
        <v>0.207</v>
      </c>
      <c r="L2626" s="19">
        <f>IFERROR(__xludf.DUMMYFUNCTION("""COMPUTED_VALUE"""),0.2484)</f>
        <v>0.2484</v>
      </c>
      <c r="M2626" s="18">
        <f>IFERROR(__xludf.DUMMYFUNCTION("""COMPUTED_VALUE"""),3.33)</f>
        <v>3.33</v>
      </c>
    </row>
    <row r="2627">
      <c r="A2627" s="13" t="str">
        <f>IFERROR(__xludf.DUMMYFUNCTION("""COMPUTED_VALUE"""),"товари")</f>
        <v>товари</v>
      </c>
      <c r="B2627" s="16" t="str">
        <f>IFERROR(__xludf.DUMMYFUNCTION("""COMPUTED_VALUE"""),"обладнання та товари для надання послуг")</f>
        <v>обладнання та товари для надання послуг</v>
      </c>
      <c r="C2627" s="16" t="str">
        <f>IFERROR(__xludf.DUMMYFUNCTION("""COMPUTED_VALUE"""),"horeca&amp;fast-food")</f>
        <v>horeca&amp;fast-food</v>
      </c>
      <c r="D2627" s="16" t="str">
        <f>IFERROR(__xludf.DUMMYFUNCTION("""COMPUTED_VALUE"""),"текстиль для horeca")</f>
        <v>текстиль для horeca</v>
      </c>
      <c r="E2627" s="16" t="str">
        <f>IFERROR(__xludf.DUMMYFUNCTION("""COMPUTED_VALUE"""),"текстиль для horeca")</f>
        <v>текстиль для horeca</v>
      </c>
      <c r="F2627" s="17">
        <f>IFERROR(__xludf.DUMMYFUNCTION("""COMPUTED_VALUE"""),3.0)</f>
        <v>3</v>
      </c>
      <c r="G2627" s="17" t="str">
        <f>IFERROR(__xludf.DUMMYFUNCTION("""COMPUTED_VALUE"""),"240680")</f>
        <v>240680</v>
      </c>
      <c r="H2627" s="17" t="str">
        <f>IFERROR(__xludf.DUMMYFUNCTION("""COMPUTED_VALUE"""),"текстиль для horeca")</f>
        <v>текстиль для horeca</v>
      </c>
      <c r="I2627" s="19">
        <f>IFERROR(__xludf.DUMMYFUNCTION("""COMPUTED_VALUE"""),0.0429)</f>
        <v>0.0429</v>
      </c>
      <c r="J2627" s="19">
        <f>IFERROR(__xludf.DUMMYFUNCTION("""COMPUTED_VALUE"""),0.0858)</f>
        <v>0.0858</v>
      </c>
      <c r="K2627" s="19">
        <f>IFERROR(__xludf.DUMMYFUNCTION("""COMPUTED_VALUE"""),0.1073)</f>
        <v>0.1073</v>
      </c>
      <c r="L2627" s="19">
        <f>IFERROR(__xludf.DUMMYFUNCTION("""COMPUTED_VALUE"""),0.1287)</f>
        <v>0.1287</v>
      </c>
      <c r="M2627" s="18">
        <f>IFERROR(__xludf.DUMMYFUNCTION("""COMPUTED_VALUE"""),5.25)</f>
        <v>5.25</v>
      </c>
    </row>
    <row r="2628">
      <c r="A2628" s="13" t="str">
        <f>IFERROR(__xludf.DUMMYFUNCTION("""COMPUTED_VALUE"""),"товари")</f>
        <v>товари</v>
      </c>
      <c r="B2628" s="16" t="str">
        <f>IFERROR(__xludf.DUMMYFUNCTION("""COMPUTED_VALUE"""),"обладнання та товари для надання послуг")</f>
        <v>обладнання та товари для надання послуг</v>
      </c>
      <c r="C2628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628" s="16" t="str">
        <f>IFERROR(__xludf.DUMMYFUNCTION("""COMPUTED_VALUE"""),"матеріали для виготовлення реклами")</f>
        <v>матеріали для виготовлення реклами</v>
      </c>
      <c r="E2628" s="16" t="str">
        <f>IFERROR(__xludf.DUMMYFUNCTION("""COMPUTED_VALUE"""),"текстиль під нанесення")</f>
        <v>текстиль під нанесення</v>
      </c>
      <c r="F2628" s="17">
        <f>IFERROR(__xludf.DUMMYFUNCTION("""COMPUTED_VALUE"""),4.0)</f>
        <v>4</v>
      </c>
      <c r="G2628" s="17" t="str">
        <f>IFERROR(__xludf.DUMMYFUNCTION("""COMPUTED_VALUE"""),"283037")</f>
        <v>283037</v>
      </c>
      <c r="H2628" s="17" t="str">
        <f>IFERROR(__xludf.DUMMYFUNCTION("""COMPUTED_VALUE"""),"текстиль під нанесення")</f>
        <v>текстиль під нанесення</v>
      </c>
      <c r="I2628" s="19">
        <f>IFERROR(__xludf.DUMMYFUNCTION("""COMPUTED_VALUE"""),0.0383)</f>
        <v>0.0383</v>
      </c>
      <c r="J2628" s="19">
        <f>IFERROR(__xludf.DUMMYFUNCTION("""COMPUTED_VALUE"""),0.0766)</f>
        <v>0.0766</v>
      </c>
      <c r="K2628" s="19">
        <f>IFERROR(__xludf.DUMMYFUNCTION("""COMPUTED_VALUE"""),0.0958)</f>
        <v>0.0958</v>
      </c>
      <c r="L2628" s="19">
        <f>IFERROR(__xludf.DUMMYFUNCTION("""COMPUTED_VALUE"""),0.1149)</f>
        <v>0.1149</v>
      </c>
      <c r="M2628" s="18">
        <f>IFERROR(__xludf.DUMMYFUNCTION("""COMPUTED_VALUE"""),3.78)</f>
        <v>3.78</v>
      </c>
    </row>
    <row r="2629">
      <c r="A2629" s="13" t="str">
        <f>IFERROR(__xludf.DUMMYFUNCTION("""COMPUTED_VALUE"""),"товари")</f>
        <v>товари</v>
      </c>
      <c r="B2629" s="16" t="str">
        <f>IFERROR(__xludf.DUMMYFUNCTION("""COMPUTED_VALUE"""),"обладнання та товари для надання послуг")</f>
        <v>обладнання та товари для надання послуг</v>
      </c>
      <c r="C2629" s="16" t="str">
        <f>IFERROR(__xludf.DUMMYFUNCTION("""COMPUTED_VALUE"""),"релігійні і езотеричні товари")</f>
        <v>релігійні і езотеричні товари</v>
      </c>
      <c r="D2629" s="16" t="str">
        <f>IFERROR(__xludf.DUMMYFUNCTION("""COMPUTED_VALUE"""),"ритуальні товари")</f>
        <v>ритуальні товари</v>
      </c>
      <c r="E2629" s="16" t="str">
        <f>IFERROR(__xludf.DUMMYFUNCTION("""COMPUTED_VALUE"""),"текстиль ритуальний")</f>
        <v>текстиль ритуальний</v>
      </c>
      <c r="F2629" s="17">
        <f>IFERROR(__xludf.DUMMYFUNCTION("""COMPUTED_VALUE"""),4.0)</f>
        <v>4</v>
      </c>
      <c r="G2629" s="17" t="str">
        <f>IFERROR(__xludf.DUMMYFUNCTION("""COMPUTED_VALUE"""),"282610")</f>
        <v>282610</v>
      </c>
      <c r="H2629" s="17" t="str">
        <f>IFERROR(__xludf.DUMMYFUNCTION("""COMPUTED_VALUE"""),"текстиль ритуальний")</f>
        <v>текстиль ритуальний</v>
      </c>
      <c r="I2629" s="19">
        <f>IFERROR(__xludf.DUMMYFUNCTION("""COMPUTED_VALUE"""),0.039)</f>
        <v>0.039</v>
      </c>
      <c r="J2629" s="19">
        <f>IFERROR(__xludf.DUMMYFUNCTION("""COMPUTED_VALUE"""),0.0779)</f>
        <v>0.0779</v>
      </c>
      <c r="K2629" s="19">
        <f>IFERROR(__xludf.DUMMYFUNCTION("""COMPUTED_VALUE"""),0.0974)</f>
        <v>0.0974</v>
      </c>
      <c r="L2629" s="19">
        <f>IFERROR(__xludf.DUMMYFUNCTION("""COMPUTED_VALUE"""),0.1169)</f>
        <v>0.1169</v>
      </c>
      <c r="M2629" s="18">
        <f>IFERROR(__xludf.DUMMYFUNCTION("""COMPUTED_VALUE"""),1.71)</f>
        <v>1.71</v>
      </c>
    </row>
    <row r="2630">
      <c r="A2630" s="13" t="str">
        <f>IFERROR(__xludf.DUMMYFUNCTION("""COMPUTED_VALUE"""),"товари")</f>
        <v>товари</v>
      </c>
      <c r="B2630" s="16" t="str">
        <f>IFERROR(__xludf.DUMMYFUNCTION("""COMPUTED_VALUE"""),"обладнання та товари для надання послуг")</f>
        <v>обладнання та товари для надання послуг</v>
      </c>
      <c r="C2630" s="16" t="str">
        <f>IFERROR(__xludf.DUMMYFUNCTION("""COMPUTED_VALUE"""),"horeca&amp;fast-food")</f>
        <v>horeca&amp;fast-food</v>
      </c>
      <c r="D2630" s="16" t="str">
        <f>IFERROR(__xludf.DUMMYFUNCTION("""COMPUTED_VALUE"""),"темпери, нок-бокси")</f>
        <v>темпери, нок-бокси</v>
      </c>
      <c r="E2630" s="16" t="str">
        <f>IFERROR(__xludf.DUMMYFUNCTION("""COMPUTED_VALUE"""),"темпери, нок-бокси")</f>
        <v>темпери, нок-бокси</v>
      </c>
      <c r="F2630" s="17">
        <f>IFERROR(__xludf.DUMMYFUNCTION("""COMPUTED_VALUE"""),3.0)</f>
        <v>3</v>
      </c>
      <c r="G2630" s="17" t="str">
        <f>IFERROR(__xludf.DUMMYFUNCTION("""COMPUTED_VALUE"""),"240683")</f>
        <v>240683</v>
      </c>
      <c r="H2630" s="17" t="str">
        <f>IFERROR(__xludf.DUMMYFUNCTION("""COMPUTED_VALUE"""),"темпери, нок-бокси")</f>
        <v>темпери, нок-бокси</v>
      </c>
      <c r="I2630" s="19">
        <f>IFERROR(__xludf.DUMMYFUNCTION("""COMPUTED_VALUE"""),0.0625)</f>
        <v>0.0625</v>
      </c>
      <c r="J2630" s="19">
        <f>IFERROR(__xludf.DUMMYFUNCTION("""COMPUTED_VALUE"""),0.1249)</f>
        <v>0.1249</v>
      </c>
      <c r="K2630" s="19">
        <f>IFERROR(__xludf.DUMMYFUNCTION("""COMPUTED_VALUE"""),0.1561)</f>
        <v>0.1561</v>
      </c>
      <c r="L2630" s="19">
        <f>IFERROR(__xludf.DUMMYFUNCTION("""COMPUTED_VALUE"""),0.1874)</f>
        <v>0.1874</v>
      </c>
      <c r="M2630" s="18">
        <f>IFERROR(__xludf.DUMMYFUNCTION("""COMPUTED_VALUE"""),1.05)</f>
        <v>1.05</v>
      </c>
    </row>
    <row r="2631">
      <c r="A2631" s="13" t="str">
        <f>IFERROR(__xludf.DUMMYFUNCTION("""COMPUTED_VALUE"""),"товари")</f>
        <v>товари</v>
      </c>
      <c r="B2631" s="16" t="str">
        <f>IFERROR(__xludf.DUMMYFUNCTION("""COMPUTED_VALUE"""),"обладнання та товари для надання послуг")</f>
        <v>обладнання та товари для надання послуг</v>
      </c>
      <c r="C2631" s="16" t="str">
        <f>IFERROR(__xludf.DUMMYFUNCTION("""COMPUTED_VALUE"""),"horeca&amp;fast-food")</f>
        <v>horeca&amp;fast-food</v>
      </c>
      <c r="D2631" s="16" t="str">
        <f>IFERROR(__xludf.DUMMYFUNCTION("""COMPUTED_VALUE"""),"теплове обладнання horeca&amp;fast-food")</f>
        <v>теплове обладнання horeca&amp;fast-food</v>
      </c>
      <c r="E2631" s="16" t="str">
        <f>IFERROR(__xludf.DUMMYFUNCTION("""COMPUTED_VALUE"""),"теплове обладнання horeca&amp;fast-food, загальне")</f>
        <v>теплове обладнання horeca&amp;fast-food, загальне</v>
      </c>
      <c r="F2631" s="17">
        <f>IFERROR(__xludf.DUMMYFUNCTION("""COMPUTED_VALUE"""),4.0)</f>
        <v>4</v>
      </c>
      <c r="G2631" s="17" t="str">
        <f>IFERROR(__xludf.DUMMYFUNCTION("""COMPUTED_VALUE"""),"240641")</f>
        <v>240641</v>
      </c>
      <c r="H2631" s="17" t="str">
        <f>IFERROR(__xludf.DUMMYFUNCTION("""COMPUTED_VALUE"""),"теплове обладнання horeca&amp;fast-food, загальне")</f>
        <v>теплове обладнання horeca&amp;fast-food, загальне</v>
      </c>
      <c r="I2631" s="19">
        <f>IFERROR(__xludf.DUMMYFUNCTION("""COMPUTED_VALUE"""),0.125)</f>
        <v>0.125</v>
      </c>
      <c r="J2631" s="19">
        <f>IFERROR(__xludf.DUMMYFUNCTION("""COMPUTED_VALUE"""),0.25)</f>
        <v>0.25</v>
      </c>
      <c r="K2631" s="19">
        <f>IFERROR(__xludf.DUMMYFUNCTION("""COMPUTED_VALUE"""),0.3125)</f>
        <v>0.3125</v>
      </c>
      <c r="L2631" s="19">
        <f>IFERROR(__xludf.DUMMYFUNCTION("""COMPUTED_VALUE"""),0.375)</f>
        <v>0.375</v>
      </c>
      <c r="M2631" s="18">
        <f>IFERROR(__xludf.DUMMYFUNCTION("""COMPUTED_VALUE"""),4.33)</f>
        <v>4.33</v>
      </c>
    </row>
    <row r="2632">
      <c r="A2632" s="13" t="str">
        <f>IFERROR(__xludf.DUMMYFUNCTION("""COMPUTED_VALUE"""),"товари")</f>
        <v>товари</v>
      </c>
      <c r="B2632" s="16" t="str">
        <f>IFERROR(__xludf.DUMMYFUNCTION("""COMPUTED_VALUE"""),"обладнання та товари для надання послуг")</f>
        <v>обладнання та товари для надання послуг</v>
      </c>
      <c r="C2632" s="16" t="str">
        <f>IFERROR(__xludf.DUMMYFUNCTION("""COMPUTED_VALUE"""),"обладнання для торгівлі")</f>
        <v>обладнання для торгівлі</v>
      </c>
      <c r="D2632" s="16" t="str">
        <f>IFERROR(__xludf.DUMMYFUNCTION("""COMPUTED_VALUE"""),"теплове обладнання для вуличної торгівлі")</f>
        <v>теплове обладнання для вуличної торгівлі</v>
      </c>
      <c r="E2632" s="16" t="str">
        <f>IFERROR(__xludf.DUMMYFUNCTION("""COMPUTED_VALUE"""),"теплове обладнання для торгівлі, загальне")</f>
        <v>теплове обладнання для торгівлі, загальне</v>
      </c>
      <c r="F2632" s="17">
        <f>IFERROR(__xludf.DUMMYFUNCTION("""COMPUTED_VALUE"""),4.0)</f>
        <v>4</v>
      </c>
      <c r="G2632" s="17" t="str">
        <f>IFERROR(__xludf.DUMMYFUNCTION("""COMPUTED_VALUE"""),"2200931")</f>
        <v>2200931</v>
      </c>
      <c r="H2632" s="17" t="str">
        <f>IFERROR(__xludf.DUMMYFUNCTION("""COMPUTED_VALUE"""),"теплове обладнання для торгівлі, загальне")</f>
        <v>теплове обладнання для торгівлі, загальне</v>
      </c>
      <c r="I2632" s="19">
        <f>IFERROR(__xludf.DUMMYFUNCTION("""COMPUTED_VALUE"""),0.125)</f>
        <v>0.125</v>
      </c>
      <c r="J2632" s="19">
        <f>IFERROR(__xludf.DUMMYFUNCTION("""COMPUTED_VALUE"""),0.25)</f>
        <v>0.25</v>
      </c>
      <c r="K2632" s="19">
        <f>IFERROR(__xludf.DUMMYFUNCTION("""COMPUTED_VALUE"""),0.3125)</f>
        <v>0.3125</v>
      </c>
      <c r="L2632" s="19">
        <f>IFERROR(__xludf.DUMMYFUNCTION("""COMPUTED_VALUE"""),0.375)</f>
        <v>0.375</v>
      </c>
      <c r="M2632" s="18">
        <f>IFERROR(__xludf.DUMMYFUNCTION("""COMPUTED_VALUE"""),4.33)</f>
        <v>4.33</v>
      </c>
    </row>
    <row r="2633">
      <c r="A2633" s="13" t="str">
        <f>IFERROR(__xludf.DUMMYFUNCTION("""COMPUTED_VALUE"""),"товари")</f>
        <v>товари</v>
      </c>
      <c r="B2633" s="16" t="str">
        <f>IFERROR(__xludf.DUMMYFUNCTION("""COMPUTED_VALUE"""),"обладнання та товари для надання послуг")</f>
        <v>обладнання та товари для надання послуг</v>
      </c>
      <c r="C2633" s="16" t="str">
        <f>IFERROR(__xludf.DUMMYFUNCTION("""COMPUTED_VALUE"""),"horeca&amp;fast-food")</f>
        <v>horeca&amp;fast-food</v>
      </c>
      <c r="D2633" s="16" t="str">
        <f>IFERROR(__xludf.DUMMYFUNCTION("""COMPUTED_VALUE"""),"термоконтейнери для їжі")</f>
        <v>термоконтейнери для їжі</v>
      </c>
      <c r="E2633" s="16" t="str">
        <f>IFERROR(__xludf.DUMMYFUNCTION("""COMPUTED_VALUE"""),"термоконтейнери для їжі")</f>
        <v>термоконтейнери для їжі</v>
      </c>
      <c r="F2633" s="17">
        <f>IFERROR(__xludf.DUMMYFUNCTION("""COMPUTED_VALUE"""),3.0)</f>
        <v>3</v>
      </c>
      <c r="G2633" s="17" t="str">
        <f>IFERROR(__xludf.DUMMYFUNCTION("""COMPUTED_VALUE"""),"283060")</f>
        <v>283060</v>
      </c>
      <c r="H2633" s="17" t="str">
        <f>IFERROR(__xludf.DUMMYFUNCTION("""COMPUTED_VALUE"""),"термоконтейнери для їжі")</f>
        <v>термоконтейнери для їжі</v>
      </c>
      <c r="I2633" s="19">
        <f>IFERROR(__xludf.DUMMYFUNCTION("""COMPUTED_VALUE"""),0.0737)</f>
        <v>0.0737</v>
      </c>
      <c r="J2633" s="19">
        <f>IFERROR(__xludf.DUMMYFUNCTION("""COMPUTED_VALUE"""),0.1474)</f>
        <v>0.1474</v>
      </c>
      <c r="K2633" s="19">
        <f>IFERROR(__xludf.DUMMYFUNCTION("""COMPUTED_VALUE"""),0.1843)</f>
        <v>0.1843</v>
      </c>
      <c r="L2633" s="19">
        <f>IFERROR(__xludf.DUMMYFUNCTION("""COMPUTED_VALUE"""),0.2211)</f>
        <v>0.2211</v>
      </c>
      <c r="M2633" s="18">
        <f>IFERROR(__xludf.DUMMYFUNCTION("""COMPUTED_VALUE"""),1.53)</f>
        <v>1.53</v>
      </c>
    </row>
    <row r="2634">
      <c r="A2634" s="13" t="str">
        <f>IFERROR(__xludf.DUMMYFUNCTION("""COMPUTED_VALUE"""),"товари")</f>
        <v>товари</v>
      </c>
      <c r="B2634" s="16" t="str">
        <f>IFERROR(__xludf.DUMMYFUNCTION("""COMPUTED_VALUE"""),"обладнання та товари для надання послуг")</f>
        <v>обладнання та товари для надання послуг</v>
      </c>
      <c r="C2634" s="16" t="str">
        <f>IFERROR(__xludf.DUMMYFUNCTION("""COMPUTED_VALUE"""),"horeca&amp;fast-food")</f>
        <v>horeca&amp;fast-food</v>
      </c>
      <c r="D2634" s="16" t="str">
        <f>IFERROR(__xludf.DUMMYFUNCTION("""COMPUTED_VALUE"""),"електромеханічне обладнання horeca&amp;fast-food")</f>
        <v>електромеханічне обладнання horeca&amp;fast-food</v>
      </c>
      <c r="E2634" s="16" t="str">
        <f>IFERROR(__xludf.DUMMYFUNCTION("""COMPUTED_VALUE"""),"тісторозкатувальні машини")</f>
        <v>тісторозкатувальні машини</v>
      </c>
      <c r="F2634" s="17">
        <f>IFERROR(__xludf.DUMMYFUNCTION("""COMPUTED_VALUE"""),4.0)</f>
        <v>4</v>
      </c>
      <c r="G2634" s="17" t="str">
        <f>IFERROR(__xludf.DUMMYFUNCTION("""COMPUTED_VALUE"""),"2200903")</f>
        <v>2200903</v>
      </c>
      <c r="H2634" s="17" t="str">
        <f>IFERROR(__xludf.DUMMYFUNCTION("""COMPUTED_VALUE"""),"тісторозкатувальні машини")</f>
        <v>тісторозкатувальні машини</v>
      </c>
      <c r="I2634" s="19">
        <f>IFERROR(__xludf.DUMMYFUNCTION("""COMPUTED_VALUE"""),0.051)</f>
        <v>0.051</v>
      </c>
      <c r="J2634" s="19">
        <f>IFERROR(__xludf.DUMMYFUNCTION("""COMPUTED_VALUE"""),0.1019)</f>
        <v>0.1019</v>
      </c>
      <c r="K2634" s="19">
        <f>IFERROR(__xludf.DUMMYFUNCTION("""COMPUTED_VALUE"""),0.1274)</f>
        <v>0.1274</v>
      </c>
      <c r="L2634" s="19">
        <f>IFERROR(__xludf.DUMMYFUNCTION("""COMPUTED_VALUE"""),0.1529)</f>
        <v>0.1529</v>
      </c>
      <c r="M2634" s="18">
        <f>IFERROR(__xludf.DUMMYFUNCTION("""COMPUTED_VALUE"""),3.6)</f>
        <v>3.6</v>
      </c>
    </row>
    <row r="2635">
      <c r="A2635" s="13" t="str">
        <f>IFERROR(__xludf.DUMMYFUNCTION("""COMPUTED_VALUE"""),"товари")</f>
        <v>товари</v>
      </c>
      <c r="B2635" s="16" t="str">
        <f>IFERROR(__xludf.DUMMYFUNCTION("""COMPUTED_VALUE"""),"обладнання та товари для надання послуг")</f>
        <v>обладнання та товари для надання послуг</v>
      </c>
      <c r="C2635" s="16" t="str">
        <f>IFERROR(__xludf.DUMMYFUNCTION("""COMPUTED_VALUE"""),"все для салонів краси")</f>
        <v>все для салонів краси</v>
      </c>
      <c r="D2635" s="16" t="str">
        <f>IFERROR(__xludf.DUMMYFUNCTION("""COMPUTED_VALUE"""),"товари для spa та соляріїв")</f>
        <v>товари для spa та соляріїв</v>
      </c>
      <c r="E2635" s="16" t="str">
        <f>IFERROR(__xludf.DUMMYFUNCTION("""COMPUTED_VALUE"""),"товари для spa та соляріїв")</f>
        <v>товари для spa та соляріїв</v>
      </c>
      <c r="F2635" s="17">
        <f>IFERROR(__xludf.DUMMYFUNCTION("""COMPUTED_VALUE"""),3.0)</f>
        <v>3</v>
      </c>
      <c r="G2635" s="17" t="str">
        <f>IFERROR(__xludf.DUMMYFUNCTION("""COMPUTED_VALUE"""),"161406")</f>
        <v>161406</v>
      </c>
      <c r="H2635" s="17" t="str">
        <f>IFERROR(__xludf.DUMMYFUNCTION("""COMPUTED_VALUE"""),"товари для spa та соляріїв")</f>
        <v>товари для spa та соляріїв</v>
      </c>
      <c r="I2635" s="19">
        <f>IFERROR(__xludf.DUMMYFUNCTION("""COMPUTED_VALUE"""),0.0661)</f>
        <v>0.0661</v>
      </c>
      <c r="J2635" s="19">
        <f>IFERROR(__xludf.DUMMYFUNCTION("""COMPUTED_VALUE"""),0.1322)</f>
        <v>0.1322</v>
      </c>
      <c r="K2635" s="19">
        <f>IFERROR(__xludf.DUMMYFUNCTION("""COMPUTED_VALUE"""),0.1653)</f>
        <v>0.1653</v>
      </c>
      <c r="L2635" s="19">
        <f>IFERROR(__xludf.DUMMYFUNCTION("""COMPUTED_VALUE"""),0.1983)</f>
        <v>0.1983</v>
      </c>
      <c r="M2635" s="18">
        <f>IFERROR(__xludf.DUMMYFUNCTION("""COMPUTED_VALUE"""),3.98)</f>
        <v>3.98</v>
      </c>
    </row>
    <row r="2636">
      <c r="A2636" s="13" t="str">
        <f>IFERROR(__xludf.DUMMYFUNCTION("""COMPUTED_VALUE"""),"товари")</f>
        <v>товари</v>
      </c>
      <c r="B2636" s="16" t="str">
        <f>IFERROR(__xludf.DUMMYFUNCTION("""COMPUTED_VALUE"""),"обладнання та товари для надання послуг")</f>
        <v>обладнання та товари для надання послуг</v>
      </c>
      <c r="C2636" s="16" t="str">
        <f>IFERROR(__xludf.DUMMYFUNCTION("""COMPUTED_VALUE"""),"товари для спортивної інфраструктури")</f>
        <v>товари для спортивної інфраструктури</v>
      </c>
      <c r="D2636" s="16" t="str">
        <f>IFERROR(__xludf.DUMMYFUNCTION("""COMPUTED_VALUE"""),"товари для спортивної інфраструктури, загальне")</f>
        <v>товари для спортивної інфраструктури, загальне</v>
      </c>
      <c r="E2636" s="16" t="str">
        <f>IFERROR(__xludf.DUMMYFUNCTION("""COMPUTED_VALUE"""),"товари для спортивної інфраструктури, загальне")</f>
        <v>товари для спортивної інфраструктури, загальне</v>
      </c>
      <c r="F2636" s="17">
        <f>IFERROR(__xludf.DUMMYFUNCTION("""COMPUTED_VALUE"""),3.0)</f>
        <v>3</v>
      </c>
      <c r="G2636" s="17" t="str">
        <f>IFERROR(__xludf.DUMMYFUNCTION("""COMPUTED_VALUE"""),"283064")</f>
        <v>283064</v>
      </c>
      <c r="H2636" s="17" t="str">
        <f>IFERROR(__xludf.DUMMYFUNCTION("""COMPUTED_VALUE"""),"товари для спортивної інфраструктури, загальне")</f>
        <v>товари для спортивної інфраструктури, загальне</v>
      </c>
      <c r="I2636" s="19">
        <f>IFERROR(__xludf.DUMMYFUNCTION("""COMPUTED_VALUE"""),0.125)</f>
        <v>0.125</v>
      </c>
      <c r="J2636" s="19">
        <f>IFERROR(__xludf.DUMMYFUNCTION("""COMPUTED_VALUE"""),0.25)</f>
        <v>0.25</v>
      </c>
      <c r="K2636" s="19">
        <f>IFERROR(__xludf.DUMMYFUNCTION("""COMPUTED_VALUE"""),0.3125)</f>
        <v>0.3125</v>
      </c>
      <c r="L2636" s="19">
        <f>IFERROR(__xludf.DUMMYFUNCTION("""COMPUTED_VALUE"""),0.375)</f>
        <v>0.375</v>
      </c>
      <c r="M2636" s="18">
        <f>IFERROR(__xludf.DUMMYFUNCTION("""COMPUTED_VALUE"""),4.33)</f>
        <v>4.33</v>
      </c>
    </row>
    <row r="2637">
      <c r="A2637" s="13" t="str">
        <f>IFERROR(__xludf.DUMMYFUNCTION("""COMPUTED_VALUE"""),"товари")</f>
        <v>товари</v>
      </c>
      <c r="B2637" s="16" t="str">
        <f>IFERROR(__xludf.DUMMYFUNCTION("""COMPUTED_VALUE"""),"обладнання та товари для надання послуг")</f>
        <v>обладнання та товари для надання послуг</v>
      </c>
      <c r="C2637" s="16" t="str">
        <f>IFERROR(__xludf.DUMMYFUNCTION("""COMPUTED_VALUE"""),"вендінгове і розважальне обладнання")</f>
        <v>вендінгове і розважальне обладнання</v>
      </c>
      <c r="D2637" s="16" t="str">
        <f>IFERROR(__xludf.DUMMYFUNCTION("""COMPUTED_VALUE"""),"торгові автомати")</f>
        <v>торгові автомати</v>
      </c>
      <c r="E2637" s="16" t="str">
        <f>IFERROR(__xludf.DUMMYFUNCTION("""COMPUTED_VALUE"""),"торгові автомати")</f>
        <v>торгові автомати</v>
      </c>
      <c r="F2637" s="17">
        <f>IFERROR(__xludf.DUMMYFUNCTION("""COMPUTED_VALUE"""),3.0)</f>
        <v>3</v>
      </c>
      <c r="G2637" s="17" t="str">
        <f>IFERROR(__xludf.DUMMYFUNCTION("""COMPUTED_VALUE"""),"282947")</f>
        <v>282947</v>
      </c>
      <c r="H2637" s="17" t="str">
        <f>IFERROR(__xludf.DUMMYFUNCTION("""COMPUTED_VALUE"""),"торгові автомати")</f>
        <v>торгові автомати</v>
      </c>
      <c r="I2637" s="19">
        <f>IFERROR(__xludf.DUMMYFUNCTION("""COMPUTED_VALUE"""),0.0383)</f>
        <v>0.0383</v>
      </c>
      <c r="J2637" s="19">
        <f>IFERROR(__xludf.DUMMYFUNCTION("""COMPUTED_VALUE"""),0.0766)</f>
        <v>0.0766</v>
      </c>
      <c r="K2637" s="19">
        <f>IFERROR(__xludf.DUMMYFUNCTION("""COMPUTED_VALUE"""),0.0958)</f>
        <v>0.0958</v>
      </c>
      <c r="L2637" s="19">
        <f>IFERROR(__xludf.DUMMYFUNCTION("""COMPUTED_VALUE"""),0.1149)</f>
        <v>0.1149</v>
      </c>
      <c r="M2637" s="18">
        <f>IFERROR(__xludf.DUMMYFUNCTION("""COMPUTED_VALUE"""),2.53)</f>
        <v>2.53</v>
      </c>
    </row>
    <row r="2638">
      <c r="A2638" s="13" t="str">
        <f>IFERROR(__xludf.DUMMYFUNCTION("""COMPUTED_VALUE"""),"товари")</f>
        <v>товари</v>
      </c>
      <c r="B2638" s="16" t="str">
        <f>IFERROR(__xludf.DUMMYFUNCTION("""COMPUTED_VALUE"""),"обладнання та товари для надання послуг")</f>
        <v>обладнання та товари для надання послуг</v>
      </c>
      <c r="C2638" s="16" t="str">
        <f>IFERROR(__xludf.DUMMYFUNCTION("""COMPUTED_VALUE"""),"обладнання для торгівлі")</f>
        <v>обладнання для торгівлі</v>
      </c>
      <c r="D2638" s="16" t="str">
        <f>IFERROR(__xludf.DUMMYFUNCTION("""COMPUTED_VALUE"""),"допоміжне обладнання та аксесуари для торгівлі")</f>
        <v>допоміжне обладнання та аксесуари для торгівлі</v>
      </c>
      <c r="E2638" s="16" t="str">
        <f>IFERROR(__xludf.DUMMYFUNCTION("""COMPUTED_VALUE"""),"торгові візки, кошики")</f>
        <v>торгові візки, кошики</v>
      </c>
      <c r="F2638" s="17">
        <f>IFERROR(__xludf.DUMMYFUNCTION("""COMPUTED_VALUE"""),4.0)</f>
        <v>4</v>
      </c>
      <c r="G2638" s="17" t="str">
        <f>IFERROR(__xludf.DUMMYFUNCTION("""COMPUTED_VALUE"""),"28290307")</f>
        <v>28290307</v>
      </c>
      <c r="H2638" s="17" t="str">
        <f>IFERROR(__xludf.DUMMYFUNCTION("""COMPUTED_VALUE"""),"торгові візки, кошики")</f>
        <v>торгові візки, кошики</v>
      </c>
      <c r="I2638" s="19">
        <f>IFERROR(__xludf.DUMMYFUNCTION("""COMPUTED_VALUE"""),0.0616)</f>
        <v>0.0616</v>
      </c>
      <c r="J2638" s="19">
        <f>IFERROR(__xludf.DUMMYFUNCTION("""COMPUTED_VALUE"""),0.1232)</f>
        <v>0.1232</v>
      </c>
      <c r="K2638" s="19">
        <f>IFERROR(__xludf.DUMMYFUNCTION("""COMPUTED_VALUE"""),0.154)</f>
        <v>0.154</v>
      </c>
      <c r="L2638" s="19">
        <f>IFERROR(__xludf.DUMMYFUNCTION("""COMPUTED_VALUE"""),0.1848)</f>
        <v>0.1848</v>
      </c>
      <c r="M2638" s="18">
        <f>IFERROR(__xludf.DUMMYFUNCTION("""COMPUTED_VALUE"""),3.15)</f>
        <v>3.15</v>
      </c>
    </row>
    <row r="2639">
      <c r="A2639" s="13" t="str">
        <f>IFERROR(__xludf.DUMMYFUNCTION("""COMPUTED_VALUE"""),"товари")</f>
        <v>товари</v>
      </c>
      <c r="B2639" s="16" t="str">
        <f>IFERROR(__xludf.DUMMYFUNCTION("""COMPUTED_VALUE"""),"обладнання та товари для надання послуг")</f>
        <v>обладнання та товари для надання послуг</v>
      </c>
      <c r="C2639" s="16" t="str">
        <f>IFERROR(__xludf.DUMMYFUNCTION("""COMPUTED_VALUE"""),"обладнання для торгівлі")</f>
        <v>обладнання для торгівлі</v>
      </c>
      <c r="D2639" s="16" t="str">
        <f>IFERROR(__xludf.DUMMYFUNCTION("""COMPUTED_VALUE"""),"презентаційне обладнання для торгівлі")</f>
        <v>презентаційне обладнання для торгівлі</v>
      </c>
      <c r="E2639" s="16" t="str">
        <f>IFERROR(__xludf.DUMMYFUNCTION("""COMPUTED_VALUE"""),"торгові намети, тенти і комплектуючі")</f>
        <v>торгові намети, тенти і комплектуючі</v>
      </c>
      <c r="F2639" s="17">
        <f>IFERROR(__xludf.DUMMYFUNCTION("""COMPUTED_VALUE"""),4.0)</f>
        <v>4</v>
      </c>
      <c r="G2639" s="17" t="str">
        <f>IFERROR(__xludf.DUMMYFUNCTION("""COMPUTED_VALUE"""),"282997")</f>
        <v>282997</v>
      </c>
      <c r="H2639" s="17" t="str">
        <f>IFERROR(__xludf.DUMMYFUNCTION("""COMPUTED_VALUE"""),"торгові намети, тенти і комплектуючі")</f>
        <v>торгові намети, тенти і комплектуючі</v>
      </c>
      <c r="I2639" s="19">
        <f>IFERROR(__xludf.DUMMYFUNCTION("""COMPUTED_VALUE"""),0.0729)</f>
        <v>0.0729</v>
      </c>
      <c r="J2639" s="19">
        <f>IFERROR(__xludf.DUMMYFUNCTION("""COMPUTED_VALUE"""),0.1458)</f>
        <v>0.1458</v>
      </c>
      <c r="K2639" s="19">
        <f>IFERROR(__xludf.DUMMYFUNCTION("""COMPUTED_VALUE"""),0.1823)</f>
        <v>0.1823</v>
      </c>
      <c r="L2639" s="19">
        <f>IFERROR(__xludf.DUMMYFUNCTION("""COMPUTED_VALUE"""),0.2187)</f>
        <v>0.2187</v>
      </c>
      <c r="M2639" s="18">
        <f>IFERROR(__xludf.DUMMYFUNCTION("""COMPUTED_VALUE"""),3.24)</f>
        <v>3.24</v>
      </c>
    </row>
    <row r="2640">
      <c r="A2640" s="13" t="str">
        <f>IFERROR(__xludf.DUMMYFUNCTION("""COMPUTED_VALUE"""),"товари")</f>
        <v>товари</v>
      </c>
      <c r="B2640" s="16" t="str">
        <f>IFERROR(__xludf.DUMMYFUNCTION("""COMPUTED_VALUE"""),"обладнання та товари для надання послуг")</f>
        <v>обладнання та товари для надання послуг</v>
      </c>
      <c r="C2640" s="16" t="str">
        <f>IFERROR(__xludf.DUMMYFUNCTION("""COMPUTED_VALUE"""),"комерційні меблі")</f>
        <v>комерційні меблі</v>
      </c>
      <c r="D2640" s="16" t="str">
        <f>IFERROR(__xludf.DUMMYFUNCTION("""COMPUTED_VALUE"""),"торгові меблі")</f>
        <v>торгові меблі</v>
      </c>
      <c r="E2640" s="16" t="str">
        <f>IFERROR(__xludf.DUMMYFUNCTION("""COMPUTED_VALUE"""),"торгові прилавки і вітрини")</f>
        <v>торгові прилавки і вітрини</v>
      </c>
      <c r="F2640" s="17">
        <f>IFERROR(__xludf.DUMMYFUNCTION("""COMPUTED_VALUE"""),4.0)</f>
        <v>4</v>
      </c>
      <c r="G2640" s="17" t="str">
        <f>IFERROR(__xludf.DUMMYFUNCTION("""COMPUTED_VALUE"""),"282911")</f>
        <v>282911</v>
      </c>
      <c r="H2640" s="17" t="str">
        <f>IFERROR(__xludf.DUMMYFUNCTION("""COMPUTED_VALUE"""),"торгові прилавки і вітрини")</f>
        <v>торгові прилавки і вітрини</v>
      </c>
      <c r="I2640" s="19">
        <f>IFERROR(__xludf.DUMMYFUNCTION("""COMPUTED_VALUE"""),0.0695)</f>
        <v>0.0695</v>
      </c>
      <c r="J2640" s="19">
        <f>IFERROR(__xludf.DUMMYFUNCTION("""COMPUTED_VALUE"""),0.139)</f>
        <v>0.139</v>
      </c>
      <c r="K2640" s="19">
        <f>IFERROR(__xludf.DUMMYFUNCTION("""COMPUTED_VALUE"""),0.1738)</f>
        <v>0.1738</v>
      </c>
      <c r="L2640" s="19">
        <f>IFERROR(__xludf.DUMMYFUNCTION("""COMPUTED_VALUE"""),0.2085)</f>
        <v>0.2085</v>
      </c>
      <c r="M2640" s="18">
        <f>IFERROR(__xludf.DUMMYFUNCTION("""COMPUTED_VALUE"""),3.06)</f>
        <v>3.06</v>
      </c>
    </row>
    <row r="2641">
      <c r="A2641" s="13" t="str">
        <f>IFERROR(__xludf.DUMMYFUNCTION("""COMPUTED_VALUE"""),"товари")</f>
        <v>товари</v>
      </c>
      <c r="B2641" s="16" t="str">
        <f>IFERROR(__xludf.DUMMYFUNCTION("""COMPUTED_VALUE"""),"обладнання та товари для надання послуг")</f>
        <v>обладнання та товари для надання послуг</v>
      </c>
      <c r="C2641" s="16" t="str">
        <f>IFERROR(__xludf.DUMMYFUNCTION("""COMPUTED_VALUE"""),"професійне аудіо-, відео-, фото обладнання")</f>
        <v>професійне аудіо-, відео-, фото обладнання</v>
      </c>
      <c r="D2641" s="16" t="str">
        <f>IFERROR(__xludf.DUMMYFUNCTION("""COMPUTED_VALUE"""),"транскодери і конвертери сигналу")</f>
        <v>транскодери і конвертери сигналу</v>
      </c>
      <c r="E2641" s="16" t="str">
        <f>IFERROR(__xludf.DUMMYFUNCTION("""COMPUTED_VALUE"""),"транскодери і конвертери сигналу")</f>
        <v>транскодери і конвертери сигналу</v>
      </c>
      <c r="F2641" s="17">
        <f>IFERROR(__xludf.DUMMYFUNCTION("""COMPUTED_VALUE"""),3.0)</f>
        <v>3</v>
      </c>
      <c r="G2641" s="17" t="str">
        <f>IFERROR(__xludf.DUMMYFUNCTION("""COMPUTED_VALUE"""),"6371806")</f>
        <v>6371806</v>
      </c>
      <c r="H2641" s="17" t="str">
        <f>IFERROR(__xludf.DUMMYFUNCTION("""COMPUTED_VALUE"""),"транскодери і конвертери сигналу")</f>
        <v>транскодери і конвертери сигналу</v>
      </c>
      <c r="I2641" s="19">
        <f>IFERROR(__xludf.DUMMYFUNCTION("""COMPUTED_VALUE"""),0.0615)</f>
        <v>0.0615</v>
      </c>
      <c r="J2641" s="19">
        <f>IFERROR(__xludf.DUMMYFUNCTION("""COMPUTED_VALUE"""),0.123)</f>
        <v>0.123</v>
      </c>
      <c r="K2641" s="19">
        <f>IFERROR(__xludf.DUMMYFUNCTION("""COMPUTED_VALUE"""),0.1538)</f>
        <v>0.1538</v>
      </c>
      <c r="L2641" s="19">
        <f>IFERROR(__xludf.DUMMYFUNCTION("""COMPUTED_VALUE"""),0.1845)</f>
        <v>0.1845</v>
      </c>
      <c r="M2641" s="18">
        <f>IFERROR(__xludf.DUMMYFUNCTION("""COMPUTED_VALUE"""),1.05)</f>
        <v>1.05</v>
      </c>
    </row>
    <row r="2642">
      <c r="A2642" s="13" t="str">
        <f>IFERROR(__xludf.DUMMYFUNCTION("""COMPUTED_VALUE"""),"товари")</f>
        <v>товари</v>
      </c>
      <c r="B2642" s="16" t="str">
        <f>IFERROR(__xludf.DUMMYFUNCTION("""COMPUTED_VALUE"""),"обладнання та товари для надання послуг")</f>
        <v>обладнання та товари для надання послуг</v>
      </c>
      <c r="C2642" s="16" t="str">
        <f>IFERROR(__xludf.DUMMYFUNCTION("""COMPUTED_VALUE"""),"обладнання для автосервісу")</f>
        <v>обладнання для автосервісу</v>
      </c>
      <c r="D2642" s="16" t="str">
        <f>IFERROR(__xludf.DUMMYFUNCTION("""COMPUTED_VALUE"""),"підйомне устаткування")</f>
        <v>підйомне устаткування</v>
      </c>
      <c r="E2642" s="16" t="str">
        <f>IFERROR(__xludf.DUMMYFUNCTION("""COMPUTED_VALUE"""),"трансмісійні стійки")</f>
        <v>трансмісійні стійки</v>
      </c>
      <c r="F2642" s="17">
        <f>IFERROR(__xludf.DUMMYFUNCTION("""COMPUTED_VALUE"""),4.0)</f>
        <v>4</v>
      </c>
      <c r="G2642" s="17" t="str">
        <f>IFERROR(__xludf.DUMMYFUNCTION("""COMPUTED_VALUE"""),"12110306")</f>
        <v>12110306</v>
      </c>
      <c r="H2642" s="17" t="str">
        <f>IFERROR(__xludf.DUMMYFUNCTION("""COMPUTED_VALUE"""),"трансмісійні стійки")</f>
        <v>трансмісійні стійки</v>
      </c>
      <c r="I2642" s="19">
        <f>IFERROR(__xludf.DUMMYFUNCTION("""COMPUTED_VALUE"""),0.053)</f>
        <v>0.053</v>
      </c>
      <c r="J2642" s="19">
        <f>IFERROR(__xludf.DUMMYFUNCTION("""COMPUTED_VALUE"""),0.106)</f>
        <v>0.106</v>
      </c>
      <c r="K2642" s="19">
        <f>IFERROR(__xludf.DUMMYFUNCTION("""COMPUTED_VALUE"""),0.1325)</f>
        <v>0.1325</v>
      </c>
      <c r="L2642" s="19">
        <f>IFERROR(__xludf.DUMMYFUNCTION("""COMPUTED_VALUE"""),0.159)</f>
        <v>0.159</v>
      </c>
      <c r="M2642" s="18">
        <f>IFERROR(__xludf.DUMMYFUNCTION("""COMPUTED_VALUE"""),4.5)</f>
        <v>4.5</v>
      </c>
    </row>
    <row r="2643">
      <c r="A2643" s="13" t="str">
        <f>IFERROR(__xludf.DUMMYFUNCTION("""COMPUTED_VALUE"""),"товари")</f>
        <v>товари</v>
      </c>
      <c r="B2643" s="16" t="str">
        <f>IFERROR(__xludf.DUMMYFUNCTION("""COMPUTED_VALUE"""),"обладнання та товари для надання послуг")</f>
        <v>обладнання та товари для надання послуг</v>
      </c>
      <c r="C2643" s="16" t="str">
        <f>IFERROR(__xludf.DUMMYFUNCTION("""COMPUTED_VALUE"""),"релігійні і езотеричні товари")</f>
        <v>релігійні і езотеричні товари</v>
      </c>
      <c r="D2643" s="16" t="str">
        <f>IFERROR(__xludf.DUMMYFUNCTION("""COMPUTED_VALUE"""),"ритуальні товари")</f>
        <v>ритуальні товари</v>
      </c>
      <c r="E2643" s="16" t="str">
        <f>IFERROR(__xludf.DUMMYFUNCTION("""COMPUTED_VALUE"""),"труни та урни для праху")</f>
        <v>труни та урни для праху</v>
      </c>
      <c r="F2643" s="17">
        <f>IFERROR(__xludf.DUMMYFUNCTION("""COMPUTED_VALUE"""),4.0)</f>
        <v>4</v>
      </c>
      <c r="G2643" s="17" t="str">
        <f>IFERROR(__xludf.DUMMYFUNCTION("""COMPUTED_VALUE"""),"282602")</f>
        <v>282602</v>
      </c>
      <c r="H2643" s="17" t="str">
        <f>IFERROR(__xludf.DUMMYFUNCTION("""COMPUTED_VALUE"""),"труни та урни для праху")</f>
        <v>труни та урни для праху</v>
      </c>
      <c r="I2643" s="19">
        <f>IFERROR(__xludf.DUMMYFUNCTION("""COMPUTED_VALUE"""),0.039)</f>
        <v>0.039</v>
      </c>
      <c r="J2643" s="19">
        <f>IFERROR(__xludf.DUMMYFUNCTION("""COMPUTED_VALUE"""),0.0779)</f>
        <v>0.0779</v>
      </c>
      <c r="K2643" s="19">
        <f>IFERROR(__xludf.DUMMYFUNCTION("""COMPUTED_VALUE"""),0.0974)</f>
        <v>0.0974</v>
      </c>
      <c r="L2643" s="19">
        <f>IFERROR(__xludf.DUMMYFUNCTION("""COMPUTED_VALUE"""),0.1169)</f>
        <v>0.1169</v>
      </c>
      <c r="M2643" s="18">
        <f>IFERROR(__xludf.DUMMYFUNCTION("""COMPUTED_VALUE"""),1.71)</f>
        <v>1.71</v>
      </c>
    </row>
    <row r="2644">
      <c r="A2644" s="13" t="str">
        <f>IFERROR(__xludf.DUMMYFUNCTION("""COMPUTED_VALUE"""),"товари")</f>
        <v>товари</v>
      </c>
      <c r="B2644" s="16" t="str">
        <f>IFERROR(__xludf.DUMMYFUNCTION("""COMPUTED_VALUE"""),"обладнання та товари для надання послуг")</f>
        <v>обладнання та товари для надання послуг</v>
      </c>
      <c r="C2644" s="16" t="str">
        <f>IFERROR(__xludf.DUMMYFUNCTION("""COMPUTED_VALUE"""),"horeca&amp;fast-food")</f>
        <v>horeca&amp;fast-food</v>
      </c>
      <c r="D2644" s="16" t="str">
        <f>IFERROR(__xludf.DUMMYFUNCTION("""COMPUTED_VALUE"""),"санітарно-гігієнічне обладнання")</f>
        <v>санітарно-гігієнічне обладнання</v>
      </c>
      <c r="E2644" s="16" t="str">
        <f>IFERROR(__xludf.DUMMYFUNCTION("""COMPUTED_VALUE"""),"урни, баки та кесони")</f>
        <v>урни, баки та кесони</v>
      </c>
      <c r="F2644" s="17">
        <f>IFERROR(__xludf.DUMMYFUNCTION("""COMPUTED_VALUE"""),4.0)</f>
        <v>4</v>
      </c>
      <c r="G2644" s="17" t="str">
        <f>IFERROR(__xludf.DUMMYFUNCTION("""COMPUTED_VALUE"""),"151411")</f>
        <v>151411</v>
      </c>
      <c r="H2644" s="17" t="str">
        <f>IFERROR(__xludf.DUMMYFUNCTION("""COMPUTED_VALUE"""),"урни, баки та кесони")</f>
        <v>урни, баки та кесони</v>
      </c>
      <c r="I2644" s="19">
        <f>IFERROR(__xludf.DUMMYFUNCTION("""COMPUTED_VALUE"""),0.0766)</f>
        <v>0.0766</v>
      </c>
      <c r="J2644" s="19">
        <f>IFERROR(__xludf.DUMMYFUNCTION("""COMPUTED_VALUE"""),0.1531)</f>
        <v>0.1531</v>
      </c>
      <c r="K2644" s="19">
        <f>IFERROR(__xludf.DUMMYFUNCTION("""COMPUTED_VALUE"""),0.1914)</f>
        <v>0.1914</v>
      </c>
      <c r="L2644" s="19">
        <f>IFERROR(__xludf.DUMMYFUNCTION("""COMPUTED_VALUE"""),0.2297)</f>
        <v>0.2297</v>
      </c>
      <c r="M2644" s="18">
        <f>IFERROR(__xludf.DUMMYFUNCTION("""COMPUTED_VALUE"""),2.08)</f>
        <v>2.08</v>
      </c>
    </row>
    <row r="2645">
      <c r="A2645" s="13" t="str">
        <f>IFERROR(__xludf.DUMMYFUNCTION("""COMPUTED_VALUE"""),"товари")</f>
        <v>товари</v>
      </c>
      <c r="B2645" s="16" t="str">
        <f>IFERROR(__xludf.DUMMYFUNCTION("""COMPUTED_VALUE"""),"обладнання та товари для надання послуг")</f>
        <v>обладнання та товари для надання послуг</v>
      </c>
      <c r="C2645" s="16" t="str">
        <f>IFERROR(__xludf.DUMMYFUNCTION("""COMPUTED_VALUE"""),"офісна техніка")</f>
        <v>офісна техніка</v>
      </c>
      <c r="D2645" s="16" t="str">
        <f>IFERROR(__xludf.DUMMYFUNCTION("""COMPUTED_VALUE"""),"факси")</f>
        <v>факси</v>
      </c>
      <c r="E2645" s="16" t="str">
        <f>IFERROR(__xludf.DUMMYFUNCTION("""COMPUTED_VALUE"""),"факси")</f>
        <v>факси</v>
      </c>
      <c r="F2645" s="17">
        <f>IFERROR(__xludf.DUMMYFUNCTION("""COMPUTED_VALUE"""),3.0)</f>
        <v>3</v>
      </c>
      <c r="G2645" s="17" t="str">
        <f>IFERROR(__xludf.DUMMYFUNCTION("""COMPUTED_VALUE"""),"50908")</f>
        <v>50908</v>
      </c>
      <c r="H2645" s="17" t="str">
        <f>IFERROR(__xludf.DUMMYFUNCTION("""COMPUTED_VALUE"""),"факси")</f>
        <v>факси</v>
      </c>
      <c r="I2645" s="19">
        <f>IFERROR(__xludf.DUMMYFUNCTION("""COMPUTED_VALUE"""),0.077)</f>
        <v>0.077</v>
      </c>
      <c r="J2645" s="19">
        <f>IFERROR(__xludf.DUMMYFUNCTION("""COMPUTED_VALUE"""),0.1539)</f>
        <v>0.1539</v>
      </c>
      <c r="K2645" s="19">
        <f>IFERROR(__xludf.DUMMYFUNCTION("""COMPUTED_VALUE"""),0.1924)</f>
        <v>0.1924</v>
      </c>
      <c r="L2645" s="19">
        <f>IFERROR(__xludf.DUMMYFUNCTION("""COMPUTED_VALUE"""),0.2309)</f>
        <v>0.2309</v>
      </c>
      <c r="M2645" s="18">
        <f>IFERROR(__xludf.DUMMYFUNCTION("""COMPUTED_VALUE"""),1.05)</f>
        <v>1.05</v>
      </c>
    </row>
    <row r="2646">
      <c r="A2646" s="13" t="str">
        <f>IFERROR(__xludf.DUMMYFUNCTION("""COMPUTED_VALUE"""),"товари")</f>
        <v>товари</v>
      </c>
      <c r="B2646" s="16" t="str">
        <f>IFERROR(__xludf.DUMMYFUNCTION("""COMPUTED_VALUE"""),"обладнання та товари для надання послуг")</f>
        <v>обладнання та товари для надання послуг</v>
      </c>
      <c r="C2646" s="16" t="str">
        <f>IFERROR(__xludf.DUMMYFUNCTION("""COMPUTED_VALUE"""),"все для салонів краси")</f>
        <v>все для салонів краси</v>
      </c>
      <c r="D2646" s="16" t="str">
        <f>IFERROR(__xludf.DUMMYFUNCTION("""COMPUTED_VALUE"""),"все для татуювання, боді-арту, пірсингу")</f>
        <v>все для татуювання, боді-арту, пірсингу</v>
      </c>
      <c r="E2646" s="16" t="str">
        <f>IFERROR(__xludf.DUMMYFUNCTION("""COMPUTED_VALUE"""),"фарби та пігменти для тату і татуажу")</f>
        <v>фарби та пігменти для тату і татуажу</v>
      </c>
      <c r="F2646" s="17">
        <f>IFERROR(__xludf.DUMMYFUNCTION("""COMPUTED_VALUE"""),4.0)</f>
        <v>4</v>
      </c>
      <c r="G2646" s="17" t="str">
        <f>IFERROR(__xludf.DUMMYFUNCTION("""COMPUTED_VALUE"""),"283090")</f>
        <v>283090</v>
      </c>
      <c r="H2646" s="17" t="str">
        <f>IFERROR(__xludf.DUMMYFUNCTION("""COMPUTED_VALUE"""),"фарби та пігменти для тату і татуажу")</f>
        <v>фарби та пігменти для тату і татуажу</v>
      </c>
      <c r="I2646" s="19">
        <f>IFERROR(__xludf.DUMMYFUNCTION("""COMPUTED_VALUE"""),0.0773)</f>
        <v>0.0773</v>
      </c>
      <c r="J2646" s="19">
        <f>IFERROR(__xludf.DUMMYFUNCTION("""COMPUTED_VALUE"""),0.1545)</f>
        <v>0.1545</v>
      </c>
      <c r="K2646" s="19">
        <f>IFERROR(__xludf.DUMMYFUNCTION("""COMPUTED_VALUE"""),0.1931)</f>
        <v>0.1931</v>
      </c>
      <c r="L2646" s="19">
        <f>IFERROR(__xludf.DUMMYFUNCTION("""COMPUTED_VALUE"""),0.2318)</f>
        <v>0.2318</v>
      </c>
      <c r="M2646" s="18">
        <f>IFERROR(__xludf.DUMMYFUNCTION("""COMPUTED_VALUE"""),2.25)</f>
        <v>2.25</v>
      </c>
    </row>
    <row r="2647">
      <c r="A2647" s="13" t="str">
        <f>IFERROR(__xludf.DUMMYFUNCTION("""COMPUTED_VALUE"""),"товари")</f>
        <v>товари</v>
      </c>
      <c r="B2647" s="16" t="str">
        <f>IFERROR(__xludf.DUMMYFUNCTION("""COMPUTED_VALUE"""),"обладнання та товари для надання послуг")</f>
        <v>обладнання та товари для надання послуг</v>
      </c>
      <c r="C2647" s="16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647" s="16" t="str">
        <f>IFERROR(__xludf.DUMMYFUNCTION("""COMPUTED_VALUE"""),"матеріали для виготовлення реклами")</f>
        <v>матеріали для виготовлення реклами</v>
      </c>
      <c r="E2647" s="16" t="str">
        <f>IFERROR(__xludf.DUMMYFUNCTION("""COMPUTED_VALUE"""),"флагштоки")</f>
        <v>флагштоки</v>
      </c>
      <c r="F2647" s="17">
        <f>IFERROR(__xludf.DUMMYFUNCTION("""COMPUTED_VALUE"""),4.0)</f>
        <v>4</v>
      </c>
      <c r="G2647" s="17">
        <f>IFERROR(__xludf.DUMMYFUNCTION("""COMPUTED_VALUE"""),282961.0)</f>
        <v>282961</v>
      </c>
      <c r="H2647" s="17" t="str">
        <f>IFERROR(__xludf.DUMMYFUNCTION("""COMPUTED_VALUE"""),"флагштоки")</f>
        <v>флагштоки</v>
      </c>
      <c r="I2647" s="19">
        <f>IFERROR(__xludf.DUMMYFUNCTION("""COMPUTED_VALUE"""),0.0625)</f>
        <v>0.0625</v>
      </c>
      <c r="J2647" s="19">
        <f>IFERROR(__xludf.DUMMYFUNCTION("""COMPUTED_VALUE"""),0.125)</f>
        <v>0.125</v>
      </c>
      <c r="K2647" s="19">
        <f>IFERROR(__xludf.DUMMYFUNCTION("""COMPUTED_VALUE"""),0.1563)</f>
        <v>0.1563</v>
      </c>
      <c r="L2647" s="19">
        <f>IFERROR(__xludf.DUMMYFUNCTION("""COMPUTED_VALUE"""),0.1875)</f>
        <v>0.1875</v>
      </c>
      <c r="M2647" s="18">
        <f>IFERROR(__xludf.DUMMYFUNCTION("""COMPUTED_VALUE"""),3.78)</f>
        <v>3.78</v>
      </c>
    </row>
    <row r="2648">
      <c r="A2648" s="13" t="str">
        <f>IFERROR(__xludf.DUMMYFUNCTION("""COMPUTED_VALUE"""),"товари")</f>
        <v>товари</v>
      </c>
      <c r="B2648" s="16" t="str">
        <f>IFERROR(__xludf.DUMMYFUNCTION("""COMPUTED_VALUE"""),"обладнання та товари для надання послуг")</f>
        <v>обладнання та товари для надання послуг</v>
      </c>
      <c r="C2648" s="16" t="str">
        <f>IFERROR(__xludf.DUMMYFUNCTION("""COMPUTED_VALUE"""),"обладнання для торгівлі")</f>
        <v>обладнання для торгівлі</v>
      </c>
      <c r="D2648" s="16" t="str">
        <f>IFERROR(__xludf.DUMMYFUNCTION("""COMPUTED_VALUE"""),"флористичні матеріали")</f>
        <v>флористичні матеріали</v>
      </c>
      <c r="E2648" s="16" t="str">
        <f>IFERROR(__xludf.DUMMYFUNCTION("""COMPUTED_VALUE"""),"флористична упаковка")</f>
        <v>флористична упаковка</v>
      </c>
      <c r="F2648" s="17">
        <f>IFERROR(__xludf.DUMMYFUNCTION("""COMPUTED_VALUE"""),4.0)</f>
        <v>4</v>
      </c>
      <c r="G2648" s="17" t="str">
        <f>IFERROR(__xludf.DUMMYFUNCTION("""COMPUTED_VALUE"""),"283074")</f>
        <v>283074</v>
      </c>
      <c r="H2648" s="17" t="str">
        <f>IFERROR(__xludf.DUMMYFUNCTION("""COMPUTED_VALUE"""),"флористична упаковка")</f>
        <v>флористична упаковка</v>
      </c>
      <c r="I2648" s="19">
        <f>IFERROR(__xludf.DUMMYFUNCTION("""COMPUTED_VALUE"""),0.1006)</f>
        <v>0.1006</v>
      </c>
      <c r="J2648" s="19">
        <f>IFERROR(__xludf.DUMMYFUNCTION("""COMPUTED_VALUE"""),0.2012)</f>
        <v>0.2012</v>
      </c>
      <c r="K2648" s="19">
        <f>IFERROR(__xludf.DUMMYFUNCTION("""COMPUTED_VALUE"""),0.2515)</f>
        <v>0.2515</v>
      </c>
      <c r="L2648" s="19">
        <f>IFERROR(__xludf.DUMMYFUNCTION("""COMPUTED_VALUE"""),0.3018)</f>
        <v>0.3018</v>
      </c>
      <c r="M2648" s="18">
        <f>IFERROR(__xludf.DUMMYFUNCTION("""COMPUTED_VALUE"""),1.26)</f>
        <v>1.26</v>
      </c>
    </row>
    <row r="2649">
      <c r="A2649" s="13" t="str">
        <f>IFERROR(__xludf.DUMMYFUNCTION("""COMPUTED_VALUE"""),"товари")</f>
        <v>товари</v>
      </c>
      <c r="B2649" s="16" t="str">
        <f>IFERROR(__xludf.DUMMYFUNCTION("""COMPUTED_VALUE"""),"обладнання та товари для надання послуг")</f>
        <v>обладнання та товари для надання послуг</v>
      </c>
      <c r="C2649" s="16" t="str">
        <f>IFERROR(__xludf.DUMMYFUNCTION("""COMPUTED_VALUE"""),"обладнання для торгівлі")</f>
        <v>обладнання для торгівлі</v>
      </c>
      <c r="D2649" s="16" t="str">
        <f>IFERROR(__xludf.DUMMYFUNCTION("""COMPUTED_VALUE"""),"флористичні матеріали")</f>
        <v>флористичні матеріали</v>
      </c>
      <c r="E2649" s="16" t="str">
        <f>IFERROR(__xludf.DUMMYFUNCTION("""COMPUTED_VALUE"""),"флористичний декор")</f>
        <v>флористичний декор</v>
      </c>
      <c r="F2649" s="17">
        <f>IFERROR(__xludf.DUMMYFUNCTION("""COMPUTED_VALUE"""),4.0)</f>
        <v>4</v>
      </c>
      <c r="G2649" s="17" t="str">
        <f>IFERROR(__xludf.DUMMYFUNCTION("""COMPUTED_VALUE"""),"1140503")</f>
        <v>1140503</v>
      </c>
      <c r="H2649" s="17" t="str">
        <f>IFERROR(__xludf.DUMMYFUNCTION("""COMPUTED_VALUE"""),"флористичний декор")</f>
        <v>флористичний декор</v>
      </c>
      <c r="I2649" s="19">
        <f>IFERROR(__xludf.DUMMYFUNCTION("""COMPUTED_VALUE"""),0.1006)</f>
        <v>0.1006</v>
      </c>
      <c r="J2649" s="19">
        <f>IFERROR(__xludf.DUMMYFUNCTION("""COMPUTED_VALUE"""),0.2012)</f>
        <v>0.2012</v>
      </c>
      <c r="K2649" s="19">
        <f>IFERROR(__xludf.DUMMYFUNCTION("""COMPUTED_VALUE"""),0.2515)</f>
        <v>0.2515</v>
      </c>
      <c r="L2649" s="19">
        <f>IFERROR(__xludf.DUMMYFUNCTION("""COMPUTED_VALUE"""),0.3018)</f>
        <v>0.3018</v>
      </c>
      <c r="M2649" s="18">
        <f>IFERROR(__xludf.DUMMYFUNCTION("""COMPUTED_VALUE"""),1.26)</f>
        <v>1.26</v>
      </c>
    </row>
    <row r="2650">
      <c r="A2650" s="13" t="str">
        <f>IFERROR(__xludf.DUMMYFUNCTION("""COMPUTED_VALUE"""),"товари")</f>
        <v>товари</v>
      </c>
      <c r="B2650" s="16" t="str">
        <f>IFERROR(__xludf.DUMMYFUNCTION("""COMPUTED_VALUE"""),"обладнання та товари для надання послуг")</f>
        <v>обладнання та товари для надання послуг</v>
      </c>
      <c r="C2650" s="16" t="str">
        <f>IFERROR(__xludf.DUMMYFUNCTION("""COMPUTED_VALUE"""),"обладнання для торгівлі")</f>
        <v>обладнання для торгівлі</v>
      </c>
      <c r="D2650" s="16" t="str">
        <f>IFERROR(__xludf.DUMMYFUNCTION("""COMPUTED_VALUE"""),"флористичні матеріали")</f>
        <v>флористичні матеріали</v>
      </c>
      <c r="E2650" s="16" t="str">
        <f>IFERROR(__xludf.DUMMYFUNCTION("""COMPUTED_VALUE"""),"флористичні інструменти")</f>
        <v>флористичні інструменти</v>
      </c>
      <c r="F2650" s="17">
        <f>IFERROR(__xludf.DUMMYFUNCTION("""COMPUTED_VALUE"""),4.0)</f>
        <v>4</v>
      </c>
      <c r="G2650" s="17" t="str">
        <f>IFERROR(__xludf.DUMMYFUNCTION("""COMPUTED_VALUE"""),"283075")</f>
        <v>283075</v>
      </c>
      <c r="H2650" s="17" t="str">
        <f>IFERROR(__xludf.DUMMYFUNCTION("""COMPUTED_VALUE"""),"флористичні інструменти")</f>
        <v>флористичні інструменти</v>
      </c>
      <c r="I2650" s="19">
        <f>IFERROR(__xludf.DUMMYFUNCTION("""COMPUTED_VALUE"""),0.082)</f>
        <v>0.082</v>
      </c>
      <c r="J2650" s="19">
        <f>IFERROR(__xludf.DUMMYFUNCTION("""COMPUTED_VALUE"""),0.164)</f>
        <v>0.164</v>
      </c>
      <c r="K2650" s="19">
        <f>IFERROR(__xludf.DUMMYFUNCTION("""COMPUTED_VALUE"""),0.205)</f>
        <v>0.205</v>
      </c>
      <c r="L2650" s="19">
        <f>IFERROR(__xludf.DUMMYFUNCTION("""COMPUTED_VALUE"""),0.246)</f>
        <v>0.246</v>
      </c>
      <c r="M2650" s="18">
        <f>IFERROR(__xludf.DUMMYFUNCTION("""COMPUTED_VALUE"""),1.26)</f>
        <v>1.26</v>
      </c>
    </row>
    <row r="2651">
      <c r="A2651" s="13" t="str">
        <f>IFERROR(__xludf.DUMMYFUNCTION("""COMPUTED_VALUE"""),"товари")</f>
        <v>товари</v>
      </c>
      <c r="B2651" s="16" t="str">
        <f>IFERROR(__xludf.DUMMYFUNCTION("""COMPUTED_VALUE"""),"обладнання та товари для надання послуг")</f>
        <v>обладнання та товари для надання послуг</v>
      </c>
      <c r="C2651" s="16" t="str">
        <f>IFERROR(__xludf.DUMMYFUNCTION("""COMPUTED_VALUE"""),"обладнання для торгівлі")</f>
        <v>обладнання для торгівлі</v>
      </c>
      <c r="D2651" s="16" t="str">
        <f>IFERROR(__xludf.DUMMYFUNCTION("""COMPUTED_VALUE"""),"флористичні матеріали")</f>
        <v>флористичні матеріали</v>
      </c>
      <c r="E2651" s="16" t="str">
        <f>IFERROR(__xludf.DUMMYFUNCTION("""COMPUTED_VALUE"""),"флористичні матеріали, загальне")</f>
        <v>флористичні матеріали, загальне</v>
      </c>
      <c r="F2651" s="17">
        <f>IFERROR(__xludf.DUMMYFUNCTION("""COMPUTED_VALUE"""),4.0)</f>
        <v>4</v>
      </c>
      <c r="G2651" s="17" t="str">
        <f>IFERROR(__xludf.DUMMYFUNCTION("""COMPUTED_VALUE"""),"283073")</f>
        <v>283073</v>
      </c>
      <c r="H2651" s="17" t="str">
        <f>IFERROR(__xludf.DUMMYFUNCTION("""COMPUTED_VALUE"""),"флористичні матеріали, загальне")</f>
        <v>флористичні матеріали, загальне</v>
      </c>
      <c r="I2651" s="19">
        <f>IFERROR(__xludf.DUMMYFUNCTION("""COMPUTED_VALUE"""),0.125)</f>
        <v>0.125</v>
      </c>
      <c r="J2651" s="19">
        <f>IFERROR(__xludf.DUMMYFUNCTION("""COMPUTED_VALUE"""),0.25)</f>
        <v>0.25</v>
      </c>
      <c r="K2651" s="19">
        <f>IFERROR(__xludf.DUMMYFUNCTION("""COMPUTED_VALUE"""),0.3125)</f>
        <v>0.3125</v>
      </c>
      <c r="L2651" s="19">
        <f>IFERROR(__xludf.DUMMYFUNCTION("""COMPUTED_VALUE"""),0.375)</f>
        <v>0.375</v>
      </c>
      <c r="M2651" s="18">
        <f>IFERROR(__xludf.DUMMYFUNCTION("""COMPUTED_VALUE"""),4.33)</f>
        <v>4.33</v>
      </c>
    </row>
    <row r="2652">
      <c r="A2652" s="13" t="str">
        <f>IFERROR(__xludf.DUMMYFUNCTION("""COMPUTED_VALUE"""),"товари")</f>
        <v>товари</v>
      </c>
      <c r="B2652" s="16" t="str">
        <f>IFERROR(__xludf.DUMMYFUNCTION("""COMPUTED_VALUE"""),"обладнання та товари для надання послуг")</f>
        <v>обладнання та товари для надання послуг</v>
      </c>
      <c r="C2652" s="16" t="str">
        <f>IFERROR(__xludf.DUMMYFUNCTION("""COMPUTED_VALUE"""),"horeca&amp;fast-food")</f>
        <v>horeca&amp;fast-food</v>
      </c>
      <c r="D2652" s="16" t="str">
        <f>IFERROR(__xludf.DUMMYFUNCTION("""COMPUTED_VALUE"""),"електромеханічне обладнання horeca&amp;fast-food")</f>
        <v>електромеханічне обладнання horeca&amp;fast-food</v>
      </c>
      <c r="E2652" s="16" t="str">
        <f>IFERROR(__xludf.DUMMYFUNCTION("""COMPUTED_VALUE"""),"фонтани для напоїв")</f>
        <v>фонтани для напоїв</v>
      </c>
      <c r="F2652" s="17">
        <f>IFERROR(__xludf.DUMMYFUNCTION("""COMPUTED_VALUE"""),4.0)</f>
        <v>4</v>
      </c>
      <c r="G2652" s="17" t="str">
        <f>IFERROR(__xludf.DUMMYFUNCTION("""COMPUTED_VALUE"""),"240622")</f>
        <v>240622</v>
      </c>
      <c r="H2652" s="17" t="str">
        <f>IFERROR(__xludf.DUMMYFUNCTION("""COMPUTED_VALUE"""),"фонтани для напоїв")</f>
        <v>фонтани для напоїв</v>
      </c>
      <c r="I2652" s="19">
        <f>IFERROR(__xludf.DUMMYFUNCTION("""COMPUTED_VALUE"""),0.0622)</f>
        <v>0.0622</v>
      </c>
      <c r="J2652" s="19">
        <f>IFERROR(__xludf.DUMMYFUNCTION("""COMPUTED_VALUE"""),0.1243)</f>
        <v>0.1243</v>
      </c>
      <c r="K2652" s="19">
        <f>IFERROR(__xludf.DUMMYFUNCTION("""COMPUTED_VALUE"""),0.1554)</f>
        <v>0.1554</v>
      </c>
      <c r="L2652" s="19">
        <f>IFERROR(__xludf.DUMMYFUNCTION("""COMPUTED_VALUE"""),0.1865)</f>
        <v>0.1865</v>
      </c>
      <c r="M2652" s="18">
        <f>IFERROR(__xludf.DUMMYFUNCTION("""COMPUTED_VALUE"""),3.6)</f>
        <v>3.6</v>
      </c>
    </row>
    <row r="2653">
      <c r="A2653" s="13" t="str">
        <f>IFERROR(__xludf.DUMMYFUNCTION("""COMPUTED_VALUE"""),"товари")</f>
        <v>товари</v>
      </c>
      <c r="B2653" s="16" t="str">
        <f>IFERROR(__xludf.DUMMYFUNCTION("""COMPUTED_VALUE"""),"обладнання та товари для надання послуг")</f>
        <v>обладнання та товари для надання послуг</v>
      </c>
      <c r="C2653" s="16" t="str">
        <f>IFERROR(__xludf.DUMMYFUNCTION("""COMPUTED_VALUE"""),"horeca&amp;fast-food")</f>
        <v>horeca&amp;fast-food</v>
      </c>
      <c r="D2653" s="16" t="str">
        <f>IFERROR(__xludf.DUMMYFUNCTION("""COMPUTED_VALUE"""),"теплове обладнання horeca&amp;fast-food")</f>
        <v>теплове обладнання horeca&amp;fast-food</v>
      </c>
      <c r="E2653" s="16" t="str">
        <f>IFERROR(__xludf.DUMMYFUNCTION("""COMPUTED_VALUE"""),"фритюрниці та чебуречниці професійні")</f>
        <v>фритюрниці та чебуречниці професійні</v>
      </c>
      <c r="F2653" s="17">
        <f>IFERROR(__xludf.DUMMYFUNCTION("""COMPUTED_VALUE"""),4.0)</f>
        <v>4</v>
      </c>
      <c r="G2653" s="17" t="str">
        <f>IFERROR(__xludf.DUMMYFUNCTION("""COMPUTED_VALUE"""),"2200915")</f>
        <v>2200915</v>
      </c>
      <c r="H2653" s="17" t="str">
        <f>IFERROR(__xludf.DUMMYFUNCTION("""COMPUTED_VALUE"""),"фритюрниці та чебуречниці професійні")</f>
        <v>фритюрниці та чебуречниці професійні</v>
      </c>
      <c r="I2653" s="19">
        <f>IFERROR(__xludf.DUMMYFUNCTION("""COMPUTED_VALUE"""),0.0698)</f>
        <v>0.0698</v>
      </c>
      <c r="J2653" s="19">
        <f>IFERROR(__xludf.DUMMYFUNCTION("""COMPUTED_VALUE"""),0.1396)</f>
        <v>0.1396</v>
      </c>
      <c r="K2653" s="19">
        <f>IFERROR(__xludf.DUMMYFUNCTION("""COMPUTED_VALUE"""),0.1745)</f>
        <v>0.1745</v>
      </c>
      <c r="L2653" s="19">
        <f>IFERROR(__xludf.DUMMYFUNCTION("""COMPUTED_VALUE"""),0.2094)</f>
        <v>0.2094</v>
      </c>
      <c r="M2653" s="18">
        <f>IFERROR(__xludf.DUMMYFUNCTION("""COMPUTED_VALUE"""),3.96)</f>
        <v>3.96</v>
      </c>
    </row>
    <row r="2654">
      <c r="A2654" s="13" t="str">
        <f>IFERROR(__xludf.DUMMYFUNCTION("""COMPUTED_VALUE"""),"товари")</f>
        <v>товари</v>
      </c>
      <c r="B2654" s="16" t="str">
        <f>IFERROR(__xludf.DUMMYFUNCTION("""COMPUTED_VALUE"""),"обладнання та товари для надання послуг")</f>
        <v>обладнання та товари для надання послуг</v>
      </c>
      <c r="C2654" s="16" t="str">
        <f>IFERROR(__xludf.DUMMYFUNCTION("""COMPUTED_VALUE"""),"horeca&amp;fast-food")</f>
        <v>horeca&amp;fast-food</v>
      </c>
      <c r="D2654" s="16" t="str">
        <f>IFERROR(__xludf.DUMMYFUNCTION("""COMPUTED_VALUE"""),"холодильне обладнання horeca&amp;fast-food")</f>
        <v>холодильне обладнання horeca&amp;fast-food</v>
      </c>
      <c r="E2654" s="16" t="str">
        <f>IFERROR(__xludf.DUMMYFUNCTION("""COMPUTED_VALUE"""),"фрізери, гранітори")</f>
        <v>фрізери, гранітори</v>
      </c>
      <c r="F2654" s="17">
        <f>IFERROR(__xludf.DUMMYFUNCTION("""COMPUTED_VALUE"""),4.0)</f>
        <v>4</v>
      </c>
      <c r="G2654" s="17" t="str">
        <f>IFERROR(__xludf.DUMMYFUNCTION("""COMPUTED_VALUE"""),"240620")</f>
        <v>240620</v>
      </c>
      <c r="H2654" s="17" t="str">
        <f>IFERROR(__xludf.DUMMYFUNCTION("""COMPUTED_VALUE"""),"фрізери, гранітори")</f>
        <v>фрізери, гранітори</v>
      </c>
      <c r="I2654" s="19">
        <f>IFERROR(__xludf.DUMMYFUNCTION("""COMPUTED_VALUE"""),0.0483)</f>
        <v>0.0483</v>
      </c>
      <c r="J2654" s="19">
        <f>IFERROR(__xludf.DUMMYFUNCTION("""COMPUTED_VALUE"""),0.0966)</f>
        <v>0.0966</v>
      </c>
      <c r="K2654" s="19">
        <f>IFERROR(__xludf.DUMMYFUNCTION("""COMPUTED_VALUE"""),0.1208)</f>
        <v>0.1208</v>
      </c>
      <c r="L2654" s="19">
        <f>IFERROR(__xludf.DUMMYFUNCTION("""COMPUTED_VALUE"""),0.1449)</f>
        <v>0.1449</v>
      </c>
      <c r="M2654" s="18">
        <f>IFERROR(__xludf.DUMMYFUNCTION("""COMPUTED_VALUE"""),3.6)</f>
        <v>3.6</v>
      </c>
    </row>
    <row r="2655">
      <c r="A2655" s="13" t="str">
        <f>IFERROR(__xludf.DUMMYFUNCTION("""COMPUTED_VALUE"""),"товари")</f>
        <v>товари</v>
      </c>
      <c r="B2655" s="16" t="str">
        <f>IFERROR(__xludf.DUMMYFUNCTION("""COMPUTED_VALUE"""),"обладнання та товари для надання послуг")</f>
        <v>обладнання та товари для надання послуг</v>
      </c>
      <c r="C2655" s="16" t="str">
        <f>IFERROR(__xludf.DUMMYFUNCTION("""COMPUTED_VALUE"""),"швейні матеріали та обладнання")</f>
        <v>швейні матеріали та обладнання</v>
      </c>
      <c r="D2655" s="16" t="str">
        <f>IFERROR(__xludf.DUMMYFUNCTION("""COMPUTED_VALUE"""),"швейні аксесуари і фурнітура")</f>
        <v>швейні аксесуари і фурнітура</v>
      </c>
      <c r="E2655" s="16" t="str">
        <f>IFERROR(__xludf.DUMMYFUNCTION("""COMPUTED_VALUE"""),"фурнітура для тентів і пологов")</f>
        <v>фурнітура для тентів і пологов</v>
      </c>
      <c r="F2655" s="17">
        <f>IFERROR(__xludf.DUMMYFUNCTION("""COMPUTED_VALUE"""),4.0)</f>
        <v>4</v>
      </c>
      <c r="G2655" s="17" t="str">
        <f>IFERROR(__xludf.DUMMYFUNCTION("""COMPUTED_VALUE"""),"282967")</f>
        <v>282967</v>
      </c>
      <c r="H2655" s="17" t="str">
        <f>IFERROR(__xludf.DUMMYFUNCTION("""COMPUTED_VALUE"""),"фурнітура для тентів і пологов")</f>
        <v>фурнітура для тентів і пологов</v>
      </c>
      <c r="I2655" s="19">
        <f>IFERROR(__xludf.DUMMYFUNCTION("""COMPUTED_VALUE"""),0.0756)</f>
        <v>0.0756</v>
      </c>
      <c r="J2655" s="19">
        <f>IFERROR(__xludf.DUMMYFUNCTION("""COMPUTED_VALUE"""),0.1511)</f>
        <v>0.1511</v>
      </c>
      <c r="K2655" s="19">
        <f>IFERROR(__xludf.DUMMYFUNCTION("""COMPUTED_VALUE"""),0.1889)</f>
        <v>0.1889</v>
      </c>
      <c r="L2655" s="19">
        <f>IFERROR(__xludf.DUMMYFUNCTION("""COMPUTED_VALUE"""),0.2267)</f>
        <v>0.2267</v>
      </c>
      <c r="M2655" s="18">
        <f>IFERROR(__xludf.DUMMYFUNCTION("""COMPUTED_VALUE"""),2.61)</f>
        <v>2.61</v>
      </c>
    </row>
    <row r="2656">
      <c r="A2656" s="13" t="str">
        <f>IFERROR(__xludf.DUMMYFUNCTION("""COMPUTED_VALUE"""),"товари")</f>
        <v>товари</v>
      </c>
      <c r="B2656" s="16" t="str">
        <f>IFERROR(__xludf.DUMMYFUNCTION("""COMPUTED_VALUE"""),"обладнання та товари для надання послуг")</f>
        <v>обладнання та товари для надання послуг</v>
      </c>
      <c r="C2656" s="16" t="str">
        <f>IFERROR(__xludf.DUMMYFUNCTION("""COMPUTED_VALUE"""),"швейні матеріали та обладнання")</f>
        <v>швейні матеріали та обладнання</v>
      </c>
      <c r="D2656" s="16" t="str">
        <f>IFERROR(__xludf.DUMMYFUNCTION("""COMPUTED_VALUE"""),"швейні аксесуари і фурнітура")</f>
        <v>швейні аксесуари і фурнітура</v>
      </c>
      <c r="E2656" s="16" t="str">
        <f>IFERROR(__xludf.DUMMYFUNCTION("""COMPUTED_VALUE"""),"фурнітура та запчастини для сумок та валіз")</f>
        <v>фурнітура та запчастини для сумок та валіз</v>
      </c>
      <c r="F2656" s="17">
        <f>IFERROR(__xludf.DUMMYFUNCTION("""COMPUTED_VALUE"""),4.0)</f>
        <v>4</v>
      </c>
      <c r="G2656" s="17" t="str">
        <f>IFERROR(__xludf.DUMMYFUNCTION("""COMPUTED_VALUE"""),"152409")</f>
        <v>152409</v>
      </c>
      <c r="H2656" s="17" t="str">
        <f>IFERROR(__xludf.DUMMYFUNCTION("""COMPUTED_VALUE"""),"фурнітура та запчастини для сумок та валіз")</f>
        <v>фурнітура та запчастини для сумок та валіз</v>
      </c>
      <c r="I2656" s="19">
        <f>IFERROR(__xludf.DUMMYFUNCTION("""COMPUTED_VALUE"""),0.0779)</f>
        <v>0.0779</v>
      </c>
      <c r="J2656" s="19">
        <f>IFERROR(__xludf.DUMMYFUNCTION("""COMPUTED_VALUE"""),0.1557)</f>
        <v>0.1557</v>
      </c>
      <c r="K2656" s="19">
        <f>IFERROR(__xludf.DUMMYFUNCTION("""COMPUTED_VALUE"""),0.1946)</f>
        <v>0.1946</v>
      </c>
      <c r="L2656" s="19">
        <f>IFERROR(__xludf.DUMMYFUNCTION("""COMPUTED_VALUE"""),0.2336)</f>
        <v>0.2336</v>
      </c>
      <c r="M2656" s="18">
        <f>IFERROR(__xludf.DUMMYFUNCTION("""COMPUTED_VALUE"""),2.61)</f>
        <v>2.61</v>
      </c>
    </row>
    <row r="2657">
      <c r="A2657" s="13" t="str">
        <f>IFERROR(__xludf.DUMMYFUNCTION("""COMPUTED_VALUE"""),"товари")</f>
        <v>товари</v>
      </c>
      <c r="B2657" s="16" t="str">
        <f>IFERROR(__xludf.DUMMYFUNCTION("""COMPUTED_VALUE"""),"обладнання та товари для надання послуг")</f>
        <v>обладнання та товари для надання послуг</v>
      </c>
      <c r="C2657" s="16" t="str">
        <f>IFERROR(__xludf.DUMMYFUNCTION("""COMPUTED_VALUE"""),"horeca&amp;fast-food")</f>
        <v>horeca&amp;fast-food</v>
      </c>
      <c r="D2657" s="16" t="str">
        <f>IFERROR(__xludf.DUMMYFUNCTION("""COMPUTED_VALUE"""),"фуршетні стійки")</f>
        <v>фуршетні стійки</v>
      </c>
      <c r="E2657" s="16" t="str">
        <f>IFERROR(__xludf.DUMMYFUNCTION("""COMPUTED_VALUE"""),"фуршетні стійки")</f>
        <v>фуршетні стійки</v>
      </c>
      <c r="F2657" s="17">
        <f>IFERROR(__xludf.DUMMYFUNCTION("""COMPUTED_VALUE"""),3.0)</f>
        <v>3</v>
      </c>
      <c r="G2657" s="17" t="str">
        <f>IFERROR(__xludf.DUMMYFUNCTION("""COMPUTED_VALUE"""),"240672")</f>
        <v>240672</v>
      </c>
      <c r="H2657" s="17" t="str">
        <f>IFERROR(__xludf.DUMMYFUNCTION("""COMPUTED_VALUE"""),"фуршетні стійки")</f>
        <v>фуршетні стійки</v>
      </c>
      <c r="I2657" s="19">
        <f>IFERROR(__xludf.DUMMYFUNCTION("""COMPUTED_VALUE"""),0.0766)</f>
        <v>0.0766</v>
      </c>
      <c r="J2657" s="19">
        <f>IFERROR(__xludf.DUMMYFUNCTION("""COMPUTED_VALUE"""),0.1531)</f>
        <v>0.1531</v>
      </c>
      <c r="K2657" s="19">
        <f>IFERROR(__xludf.DUMMYFUNCTION("""COMPUTED_VALUE"""),0.1914)</f>
        <v>0.1914</v>
      </c>
      <c r="L2657" s="19">
        <f>IFERROR(__xludf.DUMMYFUNCTION("""COMPUTED_VALUE"""),0.2297)</f>
        <v>0.2297</v>
      </c>
      <c r="M2657" s="18">
        <f>IFERROR(__xludf.DUMMYFUNCTION("""COMPUTED_VALUE"""),1.26)</f>
        <v>1.26</v>
      </c>
    </row>
    <row r="2658">
      <c r="A2658" s="13" t="str">
        <f>IFERROR(__xludf.DUMMYFUNCTION("""COMPUTED_VALUE"""),"товари")</f>
        <v>товари</v>
      </c>
      <c r="B2658" s="16" t="str">
        <f>IFERROR(__xludf.DUMMYFUNCTION("""COMPUTED_VALUE"""),"обладнання та товари для надання послуг")</f>
        <v>обладнання та товари для надання послуг</v>
      </c>
      <c r="C2658" s="16" t="str">
        <f>IFERROR(__xludf.DUMMYFUNCTION("""COMPUTED_VALUE"""),"релігійні і езотеричні товари")</f>
        <v>релігійні і езотеричні товари</v>
      </c>
      <c r="D2658" s="16" t="str">
        <f>IFERROR(__xludf.DUMMYFUNCTION("""COMPUTED_VALUE"""),"хрести християнські")</f>
        <v>хрести християнські</v>
      </c>
      <c r="E2658" s="16" t="str">
        <f>IFERROR(__xludf.DUMMYFUNCTION("""COMPUTED_VALUE"""),"хрести християнські")</f>
        <v>хрести християнські</v>
      </c>
      <c r="F2658" s="17">
        <f>IFERROR(__xludf.DUMMYFUNCTION("""COMPUTED_VALUE"""),3.0)</f>
        <v>3</v>
      </c>
      <c r="G2658" s="17" t="str">
        <f>IFERROR(__xludf.DUMMYFUNCTION("""COMPUTED_VALUE"""),"172404")</f>
        <v>172404</v>
      </c>
      <c r="H2658" s="17" t="str">
        <f>IFERROR(__xludf.DUMMYFUNCTION("""COMPUTED_VALUE"""),"хрести християнські")</f>
        <v>хрести християнські</v>
      </c>
      <c r="I2658" s="19">
        <f>IFERROR(__xludf.DUMMYFUNCTION("""COMPUTED_VALUE"""),0.0881)</f>
        <v>0.0881</v>
      </c>
      <c r="J2658" s="19">
        <f>IFERROR(__xludf.DUMMYFUNCTION("""COMPUTED_VALUE"""),0.1762)</f>
        <v>0.1762</v>
      </c>
      <c r="K2658" s="19">
        <f>IFERROR(__xludf.DUMMYFUNCTION("""COMPUTED_VALUE"""),0.2203)</f>
        <v>0.2203</v>
      </c>
      <c r="L2658" s="19">
        <f>IFERROR(__xludf.DUMMYFUNCTION("""COMPUTED_VALUE"""),0.2643)</f>
        <v>0.2643</v>
      </c>
      <c r="M2658" s="18">
        <f>IFERROR(__xludf.DUMMYFUNCTION("""COMPUTED_VALUE"""),2.25)</f>
        <v>2.25</v>
      </c>
    </row>
    <row r="2659">
      <c r="A2659" s="13" t="str">
        <f>IFERROR(__xludf.DUMMYFUNCTION("""COMPUTED_VALUE"""),"товари")</f>
        <v>товари</v>
      </c>
      <c r="B2659" s="16" t="str">
        <f>IFERROR(__xludf.DUMMYFUNCTION("""COMPUTED_VALUE"""),"обладнання та товари для надання послуг")</f>
        <v>обладнання та товари для надання послуг</v>
      </c>
      <c r="C2659" s="16" t="str">
        <f>IFERROR(__xludf.DUMMYFUNCTION("""COMPUTED_VALUE"""),"релігійні і езотеричні товари")</f>
        <v>релігійні і езотеричні товари</v>
      </c>
      <c r="D2659" s="16" t="str">
        <f>IFERROR(__xludf.DUMMYFUNCTION("""COMPUTED_VALUE"""),"церковне начиння")</f>
        <v>церковне начиння</v>
      </c>
      <c r="E2659" s="16" t="str">
        <f>IFERROR(__xludf.DUMMYFUNCTION("""COMPUTED_VALUE"""),"церковне начиння")</f>
        <v>церковне начиння</v>
      </c>
      <c r="F2659" s="17">
        <f>IFERROR(__xludf.DUMMYFUNCTION("""COMPUTED_VALUE"""),3.0)</f>
        <v>3</v>
      </c>
      <c r="G2659" s="17" t="str">
        <f>IFERROR(__xludf.DUMMYFUNCTION("""COMPUTED_VALUE"""),"172405")</f>
        <v>172405</v>
      </c>
      <c r="H2659" s="17" t="str">
        <f>IFERROR(__xludf.DUMMYFUNCTION("""COMPUTED_VALUE"""),"церковне начиння")</f>
        <v>церковне начиння</v>
      </c>
      <c r="I2659" s="19">
        <f>IFERROR(__xludf.DUMMYFUNCTION("""COMPUTED_VALUE"""),0.0447)</f>
        <v>0.0447</v>
      </c>
      <c r="J2659" s="19">
        <f>IFERROR(__xludf.DUMMYFUNCTION("""COMPUTED_VALUE"""),0.0893)</f>
        <v>0.0893</v>
      </c>
      <c r="K2659" s="19">
        <f>IFERROR(__xludf.DUMMYFUNCTION("""COMPUTED_VALUE"""),0.1116)</f>
        <v>0.1116</v>
      </c>
      <c r="L2659" s="19">
        <f>IFERROR(__xludf.DUMMYFUNCTION("""COMPUTED_VALUE"""),0.134)</f>
        <v>0.134</v>
      </c>
      <c r="M2659" s="18">
        <f>IFERROR(__xludf.DUMMYFUNCTION("""COMPUTED_VALUE"""),2.25)</f>
        <v>2.25</v>
      </c>
    </row>
    <row r="2660">
      <c r="A2660" s="13" t="str">
        <f>IFERROR(__xludf.DUMMYFUNCTION("""COMPUTED_VALUE"""),"товари")</f>
        <v>товари</v>
      </c>
      <c r="B2660" s="16" t="str">
        <f>IFERROR(__xludf.DUMMYFUNCTION("""COMPUTED_VALUE"""),"обладнання та товари для надання послуг")</f>
        <v>обладнання та товари для надання послуг</v>
      </c>
      <c r="C2660" s="16" t="str">
        <f>IFERROR(__xludf.DUMMYFUNCTION("""COMPUTED_VALUE"""),"вендінгове і розважальне обладнання")</f>
        <v>вендінгове і розважальне обладнання</v>
      </c>
      <c r="D2660" s="16" t="str">
        <f>IFERROR(__xludf.DUMMYFUNCTION("""COMPUTED_VALUE"""),"цирковий, фокусний реквізит")</f>
        <v>цирковий, фокусний реквізит</v>
      </c>
      <c r="E2660" s="16" t="str">
        <f>IFERROR(__xludf.DUMMYFUNCTION("""COMPUTED_VALUE"""),"цирковий, фокусний реквізит")</f>
        <v>цирковий, фокусний реквізит</v>
      </c>
      <c r="F2660" s="17">
        <f>IFERROR(__xludf.DUMMYFUNCTION("""COMPUTED_VALUE"""),3.0)</f>
        <v>3</v>
      </c>
      <c r="G2660" s="17" t="str">
        <f>IFERROR(__xludf.DUMMYFUNCTION("""COMPUTED_VALUE"""),"282966")</f>
        <v>282966</v>
      </c>
      <c r="H2660" s="17" t="str">
        <f>IFERROR(__xludf.DUMMYFUNCTION("""COMPUTED_VALUE"""),"цирковий, фокусний реквізит")</f>
        <v>цирковий, фокусний реквізит</v>
      </c>
      <c r="I2660" s="19">
        <f>IFERROR(__xludf.DUMMYFUNCTION("""COMPUTED_VALUE"""),0.0693)</f>
        <v>0.0693</v>
      </c>
      <c r="J2660" s="19">
        <f>IFERROR(__xludf.DUMMYFUNCTION("""COMPUTED_VALUE"""),0.1386)</f>
        <v>0.1386</v>
      </c>
      <c r="K2660" s="19">
        <f>IFERROR(__xludf.DUMMYFUNCTION("""COMPUTED_VALUE"""),0.1733)</f>
        <v>0.1733</v>
      </c>
      <c r="L2660" s="19">
        <f>IFERROR(__xludf.DUMMYFUNCTION("""COMPUTED_VALUE"""),0.2079)</f>
        <v>0.2079</v>
      </c>
      <c r="M2660" s="18">
        <f>IFERROR(__xludf.DUMMYFUNCTION("""COMPUTED_VALUE"""),1.05)</f>
        <v>1.05</v>
      </c>
    </row>
    <row r="2661">
      <c r="A2661" s="13" t="str">
        <f>IFERROR(__xludf.DUMMYFUNCTION("""COMPUTED_VALUE"""),"товари")</f>
        <v>товари</v>
      </c>
      <c r="B2661" s="16" t="str">
        <f>IFERROR(__xludf.DUMMYFUNCTION("""COMPUTED_VALUE"""),"обладнання та товари для надання послуг")</f>
        <v>обладнання та товари для надання послуг</v>
      </c>
      <c r="C2661" s="16" t="str">
        <f>IFERROR(__xludf.DUMMYFUNCTION("""COMPUTED_VALUE"""),"обладнання для торгівлі")</f>
        <v>обладнання для торгівлі</v>
      </c>
      <c r="D2661" s="16" t="str">
        <f>IFERROR(__xludf.DUMMYFUNCTION("""COMPUTED_VALUE"""),"презентаційне обладнання для торгівлі")</f>
        <v>презентаційне обладнання для торгівлі</v>
      </c>
      <c r="E2661" s="16" t="str">
        <f>IFERROR(__xludf.DUMMYFUNCTION("""COMPUTED_VALUE"""),"цінникотримачі")</f>
        <v>цінникотримачі</v>
      </c>
      <c r="F2661" s="17">
        <f>IFERROR(__xludf.DUMMYFUNCTION("""COMPUTED_VALUE"""),4.0)</f>
        <v>4</v>
      </c>
      <c r="G2661" s="17" t="str">
        <f>IFERROR(__xludf.DUMMYFUNCTION("""COMPUTED_VALUE"""),"283008")</f>
        <v>283008</v>
      </c>
      <c r="H2661" s="17" t="str">
        <f>IFERROR(__xludf.DUMMYFUNCTION("""COMPUTED_VALUE"""),"цінникотримачі")</f>
        <v>цінникотримачі</v>
      </c>
      <c r="I2661" s="19">
        <f>IFERROR(__xludf.DUMMYFUNCTION("""COMPUTED_VALUE"""),0.0752)</f>
        <v>0.0752</v>
      </c>
      <c r="J2661" s="19">
        <f>IFERROR(__xludf.DUMMYFUNCTION("""COMPUTED_VALUE"""),0.1503)</f>
        <v>0.1503</v>
      </c>
      <c r="K2661" s="19">
        <f>IFERROR(__xludf.DUMMYFUNCTION("""COMPUTED_VALUE"""),0.1879)</f>
        <v>0.1879</v>
      </c>
      <c r="L2661" s="19">
        <f>IFERROR(__xludf.DUMMYFUNCTION("""COMPUTED_VALUE"""),0.2255)</f>
        <v>0.2255</v>
      </c>
      <c r="M2661" s="18">
        <f>IFERROR(__xludf.DUMMYFUNCTION("""COMPUTED_VALUE"""),3.24)</f>
        <v>3.24</v>
      </c>
    </row>
    <row r="2662">
      <c r="A2662" s="13" t="str">
        <f>IFERROR(__xludf.DUMMYFUNCTION("""COMPUTED_VALUE"""),"товари")</f>
        <v>товари</v>
      </c>
      <c r="B2662" s="16" t="str">
        <f>IFERROR(__xludf.DUMMYFUNCTION("""COMPUTED_VALUE"""),"обладнання та товари для надання послуг")</f>
        <v>обладнання та товари для надання послуг</v>
      </c>
      <c r="C2662" s="16" t="str">
        <f>IFERROR(__xludf.DUMMYFUNCTION("""COMPUTED_VALUE"""),"релігійні і езотеричні товари")</f>
        <v>релігійні і езотеричні товари</v>
      </c>
      <c r="D2662" s="16" t="str">
        <f>IFERROR(__xludf.DUMMYFUNCTION("""COMPUTED_VALUE"""),"чотки")</f>
        <v>чотки</v>
      </c>
      <c r="E2662" s="16" t="str">
        <f>IFERROR(__xludf.DUMMYFUNCTION("""COMPUTED_VALUE"""),"чотки")</f>
        <v>чотки</v>
      </c>
      <c r="F2662" s="17">
        <f>IFERROR(__xludf.DUMMYFUNCTION("""COMPUTED_VALUE"""),3.0)</f>
        <v>3</v>
      </c>
      <c r="G2662" s="17" t="str">
        <f>IFERROR(__xludf.DUMMYFUNCTION("""COMPUTED_VALUE"""),"172407")</f>
        <v>172407</v>
      </c>
      <c r="H2662" s="17" t="str">
        <f>IFERROR(__xludf.DUMMYFUNCTION("""COMPUTED_VALUE"""),"чотки")</f>
        <v>чотки</v>
      </c>
      <c r="I2662" s="19">
        <f>IFERROR(__xludf.DUMMYFUNCTION("""COMPUTED_VALUE"""),0.0647)</f>
        <v>0.0647</v>
      </c>
      <c r="J2662" s="19">
        <f>IFERROR(__xludf.DUMMYFUNCTION("""COMPUTED_VALUE"""),0.1294)</f>
        <v>0.1294</v>
      </c>
      <c r="K2662" s="19">
        <f>IFERROR(__xludf.DUMMYFUNCTION("""COMPUTED_VALUE"""),0.1618)</f>
        <v>0.1618</v>
      </c>
      <c r="L2662" s="19">
        <f>IFERROR(__xludf.DUMMYFUNCTION("""COMPUTED_VALUE"""),0.1941)</f>
        <v>0.1941</v>
      </c>
      <c r="M2662" s="18">
        <f>IFERROR(__xludf.DUMMYFUNCTION("""COMPUTED_VALUE"""),1.05)</f>
        <v>1.05</v>
      </c>
    </row>
    <row r="2663">
      <c r="A2663" s="13" t="str">
        <f>IFERROR(__xludf.DUMMYFUNCTION("""COMPUTED_VALUE"""),"товари")</f>
        <v>товари</v>
      </c>
      <c r="B2663" s="16" t="str">
        <f>IFERROR(__xludf.DUMMYFUNCTION("""COMPUTED_VALUE"""),"обладнання та товари для надання послуг")</f>
        <v>обладнання та товари для надання послуг</v>
      </c>
      <c r="C2663" s="16" t="str">
        <f>IFERROR(__xludf.DUMMYFUNCTION("""COMPUTED_VALUE"""),"комерційні меблі")</f>
        <v>комерційні меблі</v>
      </c>
      <c r="D2663" s="16" t="str">
        <f>IFERROR(__xludf.DUMMYFUNCTION("""COMPUTED_VALUE"""),"офісні меблі")</f>
        <v>офісні меблі</v>
      </c>
      <c r="E2663" s="16" t="str">
        <f>IFERROR(__xludf.DUMMYFUNCTION("""COMPUTED_VALUE"""),"шафи для офісів і навчальних кабінетів")</f>
        <v>шафи для офісів і навчальних кабінетів</v>
      </c>
      <c r="F2663" s="17">
        <f>IFERROR(__xludf.DUMMYFUNCTION("""COMPUTED_VALUE"""),4.0)</f>
        <v>4</v>
      </c>
      <c r="G2663" s="17" t="str">
        <f>IFERROR(__xludf.DUMMYFUNCTION("""COMPUTED_VALUE"""),"37013003")</f>
        <v>37013003</v>
      </c>
      <c r="H2663" s="17" t="str">
        <f>IFERROR(__xludf.DUMMYFUNCTION("""COMPUTED_VALUE"""),"шафи для офісів і навчальних кабінетів")</f>
        <v>шафи для офісів і навчальних кабінетів</v>
      </c>
      <c r="I2663" s="19">
        <f>IFERROR(__xludf.DUMMYFUNCTION("""COMPUTED_VALUE"""),0.0697)</f>
        <v>0.0697</v>
      </c>
      <c r="J2663" s="19">
        <f>IFERROR(__xludf.DUMMYFUNCTION("""COMPUTED_VALUE"""),0.1394)</f>
        <v>0.1394</v>
      </c>
      <c r="K2663" s="19">
        <f>IFERROR(__xludf.DUMMYFUNCTION("""COMPUTED_VALUE"""),0.1743)</f>
        <v>0.1743</v>
      </c>
      <c r="L2663" s="19">
        <f>IFERROR(__xludf.DUMMYFUNCTION("""COMPUTED_VALUE"""),0.2091)</f>
        <v>0.2091</v>
      </c>
      <c r="M2663" s="18">
        <f>IFERROR(__xludf.DUMMYFUNCTION("""COMPUTED_VALUE"""),4.14)</f>
        <v>4.14</v>
      </c>
    </row>
    <row r="2664">
      <c r="A2664" s="13" t="str">
        <f>IFERROR(__xludf.DUMMYFUNCTION("""COMPUTED_VALUE"""),"товари")</f>
        <v>товари</v>
      </c>
      <c r="B2664" s="16" t="str">
        <f>IFERROR(__xludf.DUMMYFUNCTION("""COMPUTED_VALUE"""),"обладнання та товари для надання послуг")</f>
        <v>обладнання та товари для надання послуг</v>
      </c>
      <c r="C2664" s="16" t="str">
        <f>IFERROR(__xludf.DUMMYFUNCTION("""COMPUTED_VALUE"""),"комерційні меблі")</f>
        <v>комерційні меблі</v>
      </c>
      <c r="D2664" s="16" t="str">
        <f>IFERROR(__xludf.DUMMYFUNCTION("""COMPUTED_VALUE"""),"промислові меблі")</f>
        <v>промислові меблі</v>
      </c>
      <c r="E2664" s="16" t="str">
        <f>IFERROR(__xludf.DUMMYFUNCTION("""COMPUTED_VALUE"""),"шафи, тумби і візки інструментальні")</f>
        <v>шафи, тумби і візки інструментальні</v>
      </c>
      <c r="F2664" s="17">
        <f>IFERROR(__xludf.DUMMYFUNCTION("""COMPUTED_VALUE"""),4.0)</f>
        <v>4</v>
      </c>
      <c r="G2664" s="17">
        <f>IFERROR(__xludf.DUMMYFUNCTION("""COMPUTED_VALUE"""),1.5031602E7)</f>
        <v>15031602</v>
      </c>
      <c r="H2664" s="17" t="str">
        <f>IFERROR(__xludf.DUMMYFUNCTION("""COMPUTED_VALUE"""),"шафи, тумби і візки інструментальні")</f>
        <v>шафи, тумби і візки інструментальні</v>
      </c>
      <c r="I2664" s="19">
        <f>IFERROR(__xludf.DUMMYFUNCTION("""COMPUTED_VALUE"""),0.054)</f>
        <v>0.054</v>
      </c>
      <c r="J2664" s="19">
        <f>IFERROR(__xludf.DUMMYFUNCTION("""COMPUTED_VALUE"""),0.108)</f>
        <v>0.108</v>
      </c>
      <c r="K2664" s="19">
        <f>IFERROR(__xludf.DUMMYFUNCTION("""COMPUTED_VALUE"""),0.135)</f>
        <v>0.135</v>
      </c>
      <c r="L2664" s="19">
        <f>IFERROR(__xludf.DUMMYFUNCTION("""COMPUTED_VALUE"""),0.162)</f>
        <v>0.162</v>
      </c>
      <c r="M2664" s="18">
        <f>IFERROR(__xludf.DUMMYFUNCTION("""COMPUTED_VALUE"""),1.71)</f>
        <v>1.71</v>
      </c>
    </row>
    <row r="2665">
      <c r="A2665" s="13" t="str">
        <f>IFERROR(__xludf.DUMMYFUNCTION("""COMPUTED_VALUE"""),"товари")</f>
        <v>товари</v>
      </c>
      <c r="B2665" s="16" t="str">
        <f>IFERROR(__xludf.DUMMYFUNCTION("""COMPUTED_VALUE"""),"обладнання та товари для надання послуг")</f>
        <v>обладнання та товари для надання послуг</v>
      </c>
      <c r="C2665" s="16" t="str">
        <f>IFERROR(__xludf.DUMMYFUNCTION("""COMPUTED_VALUE"""),"швейні матеріали та обладнання")</f>
        <v>швейні матеріали та обладнання</v>
      </c>
      <c r="D2665" s="16" t="str">
        <f>IFERROR(__xludf.DUMMYFUNCTION("""COMPUTED_VALUE"""),"швейні аксесуари і фурнітура")</f>
        <v>швейні аксесуари і фурнітура</v>
      </c>
      <c r="E2665" s="16" t="str">
        <f>IFERROR(__xludf.DUMMYFUNCTION("""COMPUTED_VALUE"""),"швейні аксесуари і фурнітура, загальне")</f>
        <v>швейні аксесуари і фурнітура, загальне</v>
      </c>
      <c r="F2665" s="17">
        <f>IFERROR(__xludf.DUMMYFUNCTION("""COMPUTED_VALUE"""),4.0)</f>
        <v>4</v>
      </c>
      <c r="G2665" s="17" t="str">
        <f>IFERROR(__xludf.DUMMYFUNCTION("""COMPUTED_VALUE"""),"32899")</f>
        <v>32899</v>
      </c>
      <c r="H2665" s="17" t="str">
        <f>IFERROR(__xludf.DUMMYFUNCTION("""COMPUTED_VALUE"""),"швейні аксесуари і фурнітура, загальне")</f>
        <v>швейні аксесуари і фурнітура, загальне</v>
      </c>
      <c r="I2665" s="19">
        <f>IFERROR(__xludf.DUMMYFUNCTION("""COMPUTED_VALUE"""),0.125)</f>
        <v>0.125</v>
      </c>
      <c r="J2665" s="19">
        <f>IFERROR(__xludf.DUMMYFUNCTION("""COMPUTED_VALUE"""),0.25)</f>
        <v>0.25</v>
      </c>
      <c r="K2665" s="19">
        <f>IFERROR(__xludf.DUMMYFUNCTION("""COMPUTED_VALUE"""),0.3125)</f>
        <v>0.3125</v>
      </c>
      <c r="L2665" s="19">
        <f>IFERROR(__xludf.DUMMYFUNCTION("""COMPUTED_VALUE"""),0.375)</f>
        <v>0.375</v>
      </c>
      <c r="M2665" s="18">
        <f>IFERROR(__xludf.DUMMYFUNCTION("""COMPUTED_VALUE"""),4.33)</f>
        <v>4.33</v>
      </c>
    </row>
    <row r="2666">
      <c r="A2666" s="13" t="str">
        <f>IFERROR(__xludf.DUMMYFUNCTION("""COMPUTED_VALUE"""),"товари")</f>
        <v>товари</v>
      </c>
      <c r="B2666" s="16" t="str">
        <f>IFERROR(__xludf.DUMMYFUNCTION("""COMPUTED_VALUE"""),"обладнання та товари для надання послуг")</f>
        <v>обладнання та товари для надання послуг</v>
      </c>
      <c r="C2666" s="16" t="str">
        <f>IFERROR(__xludf.DUMMYFUNCTION("""COMPUTED_VALUE"""),"швейні матеріали та обладнання")</f>
        <v>швейні матеріали та обладнання</v>
      </c>
      <c r="D2666" s="16" t="str">
        <f>IFERROR(__xludf.DUMMYFUNCTION("""COMPUTED_VALUE"""),"швейні матеріали та обладнання, загальне")</f>
        <v>швейні матеріали та обладнання, загальне</v>
      </c>
      <c r="E2666" s="16" t="str">
        <f>IFERROR(__xludf.DUMMYFUNCTION("""COMPUTED_VALUE"""),"швейні матеріали та обладнання, загальне")</f>
        <v>швейні матеріали та обладнання, загальне</v>
      </c>
      <c r="F2666" s="17">
        <f>IFERROR(__xludf.DUMMYFUNCTION("""COMPUTED_VALUE"""),3.0)</f>
        <v>3</v>
      </c>
      <c r="G2666" s="17" t="str">
        <f>IFERROR(__xludf.DUMMYFUNCTION("""COMPUTED_VALUE"""),"36401")</f>
        <v>36401</v>
      </c>
      <c r="H2666" s="17" t="str">
        <f>IFERROR(__xludf.DUMMYFUNCTION("""COMPUTED_VALUE"""),"швейні матеріали та обладнання, загальне")</f>
        <v>швейні матеріали та обладнання, загальне</v>
      </c>
      <c r="I2666" s="19">
        <f>IFERROR(__xludf.DUMMYFUNCTION("""COMPUTED_VALUE"""),0.125)</f>
        <v>0.125</v>
      </c>
      <c r="J2666" s="19">
        <f>IFERROR(__xludf.DUMMYFUNCTION("""COMPUTED_VALUE"""),0.25)</f>
        <v>0.25</v>
      </c>
      <c r="K2666" s="19">
        <f>IFERROR(__xludf.DUMMYFUNCTION("""COMPUTED_VALUE"""),0.3125)</f>
        <v>0.3125</v>
      </c>
      <c r="L2666" s="19">
        <f>IFERROR(__xludf.DUMMYFUNCTION("""COMPUTED_VALUE"""),0.375)</f>
        <v>0.375</v>
      </c>
      <c r="M2666" s="18">
        <f>IFERROR(__xludf.DUMMYFUNCTION("""COMPUTED_VALUE"""),4.33)</f>
        <v>4.33</v>
      </c>
    </row>
    <row r="2667">
      <c r="A2667" s="13" t="str">
        <f>IFERROR(__xludf.DUMMYFUNCTION("""COMPUTED_VALUE"""),"товари")</f>
        <v>товари</v>
      </c>
      <c r="B2667" s="16" t="str">
        <f>IFERROR(__xludf.DUMMYFUNCTION("""COMPUTED_VALUE"""),"обладнання та товари для надання послуг")</f>
        <v>обладнання та товари для надання послуг</v>
      </c>
      <c r="C2667" s="16" t="str">
        <f>IFERROR(__xludf.DUMMYFUNCTION("""COMPUTED_VALUE"""),"horeca&amp;fast-food")</f>
        <v>horeca&amp;fast-food</v>
      </c>
      <c r="D2667" s="16" t="str">
        <f>IFERROR(__xludf.DUMMYFUNCTION("""COMPUTED_VALUE"""),"теплове обладнання horeca&amp;fast-food")</f>
        <v>теплове обладнання horeca&amp;fast-food</v>
      </c>
      <c r="E2667" s="16" t="str">
        <f>IFERROR(__xludf.DUMMYFUNCTION("""COMPUTED_VALUE"""),"шоколадниці")</f>
        <v>шоколадниці</v>
      </c>
      <c r="F2667" s="17">
        <f>IFERROR(__xludf.DUMMYFUNCTION("""COMPUTED_VALUE"""),4.0)</f>
        <v>4</v>
      </c>
      <c r="G2667" s="17" t="str">
        <f>IFERROR(__xludf.DUMMYFUNCTION("""COMPUTED_VALUE"""),"240635")</f>
        <v>240635</v>
      </c>
      <c r="H2667" s="17" t="str">
        <f>IFERROR(__xludf.DUMMYFUNCTION("""COMPUTED_VALUE"""),"шоколадниці")</f>
        <v>шоколадниці</v>
      </c>
      <c r="I2667" s="19">
        <f>IFERROR(__xludf.DUMMYFUNCTION("""COMPUTED_VALUE"""),0.0665)</f>
        <v>0.0665</v>
      </c>
      <c r="J2667" s="19">
        <f>IFERROR(__xludf.DUMMYFUNCTION("""COMPUTED_VALUE"""),0.133)</f>
        <v>0.133</v>
      </c>
      <c r="K2667" s="19">
        <f>IFERROR(__xludf.DUMMYFUNCTION("""COMPUTED_VALUE"""),0.1663)</f>
        <v>0.1663</v>
      </c>
      <c r="L2667" s="19">
        <f>IFERROR(__xludf.DUMMYFUNCTION("""COMPUTED_VALUE"""),0.1995)</f>
        <v>0.1995</v>
      </c>
      <c r="M2667" s="18">
        <f>IFERROR(__xludf.DUMMYFUNCTION("""COMPUTED_VALUE"""),3.96)</f>
        <v>3.96</v>
      </c>
    </row>
    <row r="2668">
      <c r="A2668" s="13" t="str">
        <f>IFERROR(__xludf.DUMMYFUNCTION("""COMPUTED_VALUE"""),"товари")</f>
        <v>товари</v>
      </c>
      <c r="B2668" s="16" t="str">
        <f>IFERROR(__xludf.DUMMYFUNCTION("""COMPUTED_VALUE"""),"обладнання та товари для надання послуг")</f>
        <v>обладнання та товари для надання послуг</v>
      </c>
      <c r="C2668" s="16" t="str">
        <f>IFERROR(__xludf.DUMMYFUNCTION("""COMPUTED_VALUE"""),"все для салонів краси")</f>
        <v>все для салонів краси</v>
      </c>
      <c r="D2668" s="16" t="str">
        <f>IFERROR(__xludf.DUMMYFUNCTION("""COMPUTED_VALUE"""),"обладнання та матеріали для косметології")</f>
        <v>обладнання та матеріали для косметології</v>
      </c>
      <c r="E2668" s="16" t="str">
        <f>IFERROR(__xludf.DUMMYFUNCTION("""COMPUTED_VALUE"""),"шпателі, кисті, мисочки для косметології")</f>
        <v>шпателі, кисті, мисочки для косметології</v>
      </c>
      <c r="F2668" s="17">
        <f>IFERROR(__xludf.DUMMYFUNCTION("""COMPUTED_VALUE"""),4.0)</f>
        <v>4</v>
      </c>
      <c r="G2668" s="17" t="str">
        <f>IFERROR(__xludf.DUMMYFUNCTION("""COMPUTED_VALUE"""),"283021")</f>
        <v>283021</v>
      </c>
      <c r="H2668" s="17" t="str">
        <f>IFERROR(__xludf.DUMMYFUNCTION("""COMPUTED_VALUE"""),"шпателі, кисті, мисочки для косметології")</f>
        <v>шпателі, кисті, мисочки для косметології</v>
      </c>
      <c r="I2668" s="19">
        <f>IFERROR(__xludf.DUMMYFUNCTION("""COMPUTED_VALUE"""),0.0767)</f>
        <v>0.0767</v>
      </c>
      <c r="J2668" s="19">
        <f>IFERROR(__xludf.DUMMYFUNCTION("""COMPUTED_VALUE"""),0.1534)</f>
        <v>0.1534</v>
      </c>
      <c r="K2668" s="19">
        <f>IFERROR(__xludf.DUMMYFUNCTION("""COMPUTED_VALUE"""),0.1918)</f>
        <v>0.1918</v>
      </c>
      <c r="L2668" s="19">
        <f>IFERROR(__xludf.DUMMYFUNCTION("""COMPUTED_VALUE"""),0.2301)</f>
        <v>0.2301</v>
      </c>
      <c r="M2668" s="18">
        <f>IFERROR(__xludf.DUMMYFUNCTION("""COMPUTED_VALUE"""),1.53)</f>
        <v>1.53</v>
      </c>
    </row>
    <row r="2669">
      <c r="A2669" s="13" t="str">
        <f>IFERROR(__xludf.DUMMYFUNCTION("""COMPUTED_VALUE"""),"товари")</f>
        <v>товари</v>
      </c>
      <c r="B2669" s="16" t="str">
        <f>IFERROR(__xludf.DUMMYFUNCTION("""COMPUTED_VALUE"""),"обладнання та товари для надання послуг")</f>
        <v>обладнання та товари для надання послуг</v>
      </c>
      <c r="C2669" s="16" t="str">
        <f>IFERROR(__xludf.DUMMYFUNCTION("""COMPUTED_VALUE"""),"обладнання для автосервісу")</f>
        <v>обладнання для автосервісу</v>
      </c>
      <c r="D2669" s="16" t="str">
        <f>IFERROR(__xludf.DUMMYFUNCTION("""COMPUTED_VALUE"""),"інструменти для автосервісу")</f>
        <v>інструменти для автосервісу</v>
      </c>
      <c r="E2669" s="16" t="str">
        <f>IFERROR(__xludf.DUMMYFUNCTION("""COMPUTED_VALUE"""),"шприци масляні та змащувальні")</f>
        <v>шприци масляні та змащувальні</v>
      </c>
      <c r="F2669" s="17">
        <f>IFERROR(__xludf.DUMMYFUNCTION("""COMPUTED_VALUE"""),4.0)</f>
        <v>4</v>
      </c>
      <c r="G2669" s="17" t="str">
        <f>IFERROR(__xludf.DUMMYFUNCTION("""COMPUTED_VALUE"""),"12110207")</f>
        <v>12110207</v>
      </c>
      <c r="H2669" s="17" t="str">
        <f>IFERROR(__xludf.DUMMYFUNCTION("""COMPUTED_VALUE"""),"шприци масляні та змащувальні")</f>
        <v>шприци масляні та змащувальні</v>
      </c>
      <c r="I2669" s="19">
        <f>IFERROR(__xludf.DUMMYFUNCTION("""COMPUTED_VALUE"""),0.0697)</f>
        <v>0.0697</v>
      </c>
      <c r="J2669" s="19">
        <f>IFERROR(__xludf.DUMMYFUNCTION("""COMPUTED_VALUE"""),0.1394)</f>
        <v>0.1394</v>
      </c>
      <c r="K2669" s="19">
        <f>IFERROR(__xludf.DUMMYFUNCTION("""COMPUTED_VALUE"""),0.1743)</f>
        <v>0.1743</v>
      </c>
      <c r="L2669" s="19">
        <f>IFERROR(__xludf.DUMMYFUNCTION("""COMPUTED_VALUE"""),0.2091)</f>
        <v>0.2091</v>
      </c>
      <c r="M2669" s="18">
        <f>IFERROR(__xludf.DUMMYFUNCTION("""COMPUTED_VALUE"""),2.16)</f>
        <v>2.16</v>
      </c>
    </row>
    <row r="2670">
      <c r="A2670" s="13" t="str">
        <f>IFERROR(__xludf.DUMMYFUNCTION("""COMPUTED_VALUE"""),"товари")</f>
        <v>товари</v>
      </c>
      <c r="B2670" s="16" t="str">
        <f>IFERROR(__xludf.DUMMYFUNCTION("""COMPUTED_VALUE"""),"обладнання та товари для надання послуг")</f>
        <v>обладнання та товари для надання послуг</v>
      </c>
      <c r="C2670" s="16" t="str">
        <f>IFERROR(__xludf.DUMMYFUNCTION("""COMPUTED_VALUE"""),"офісна техніка")</f>
        <v>офісна техніка</v>
      </c>
      <c r="D2670" s="16" t="str">
        <f>IFERROR(__xludf.DUMMYFUNCTION("""COMPUTED_VALUE"""),"шредери")</f>
        <v>шредери</v>
      </c>
      <c r="E2670" s="16" t="str">
        <f>IFERROR(__xludf.DUMMYFUNCTION("""COMPUTED_VALUE"""),"шредери")</f>
        <v>шредери</v>
      </c>
      <c r="F2670" s="17">
        <f>IFERROR(__xludf.DUMMYFUNCTION("""COMPUTED_VALUE"""),3.0)</f>
        <v>3</v>
      </c>
      <c r="G2670" s="17" t="str">
        <f>IFERROR(__xludf.DUMMYFUNCTION("""COMPUTED_VALUE"""),"2105")</f>
        <v>2105</v>
      </c>
      <c r="H2670" s="17" t="str">
        <f>IFERROR(__xludf.DUMMYFUNCTION("""COMPUTED_VALUE"""),"шредери")</f>
        <v>шредери</v>
      </c>
      <c r="I2670" s="19">
        <f>IFERROR(__xludf.DUMMYFUNCTION("""COMPUTED_VALUE"""),0.073)</f>
        <v>0.073</v>
      </c>
      <c r="J2670" s="19">
        <f>IFERROR(__xludf.DUMMYFUNCTION("""COMPUTED_VALUE"""),0.1459)</f>
        <v>0.1459</v>
      </c>
      <c r="K2670" s="19">
        <f>IFERROR(__xludf.DUMMYFUNCTION("""COMPUTED_VALUE"""),0.1824)</f>
        <v>0.1824</v>
      </c>
      <c r="L2670" s="19">
        <f>IFERROR(__xludf.DUMMYFUNCTION("""COMPUTED_VALUE"""),0.2189)</f>
        <v>0.2189</v>
      </c>
      <c r="M2670" s="18">
        <f>IFERROR(__xludf.DUMMYFUNCTION("""COMPUTED_VALUE"""),2.79)</f>
        <v>2.79</v>
      </c>
    </row>
    <row r="2671">
      <c r="A2671" s="13" t="str">
        <f>IFERROR(__xludf.DUMMYFUNCTION("""COMPUTED_VALUE"""),"товари")</f>
        <v>товари</v>
      </c>
      <c r="B2671" s="16" t="str">
        <f>IFERROR(__xludf.DUMMYFUNCTION("""COMPUTED_VALUE"""),"товари для дому")</f>
        <v>товари для дому</v>
      </c>
      <c r="C2671" s="16" t="str">
        <f>IFERROR(__xludf.DUMMYFUNCTION("""COMPUTED_VALUE"""),"догляд за будинком")</f>
        <v>догляд за будинком</v>
      </c>
      <c r="D2671" s="16" t="str">
        <f>IFERROR(__xludf.DUMMYFUNCTION("""COMPUTED_VALUE"""),"прибирання")</f>
        <v>прибирання</v>
      </c>
      <c r="E2671" s="16" t="str">
        <f>IFERROR(__xludf.DUMMYFUNCTION("""COMPUTED_VALUE"""),"щітки та скребачки для прибирання")</f>
        <v>щітки та скребачки для прибирання</v>
      </c>
      <c r="F2671" s="17">
        <f>IFERROR(__xludf.DUMMYFUNCTION("""COMPUTED_VALUE"""),4.0)</f>
        <v>4</v>
      </c>
      <c r="G2671" s="17" t="str">
        <f>IFERROR(__xludf.DUMMYFUNCTION("""COMPUTED_VALUE"""),"151405")</f>
        <v>151405</v>
      </c>
      <c r="H2671" s="17" t="str">
        <f>IFERROR(__xludf.DUMMYFUNCTION("""COMPUTED_VALUE"""),"щітки та скребачки для прибирання")</f>
        <v>щітки та скребачки для прибирання</v>
      </c>
      <c r="I2671" s="19">
        <f>IFERROR(__xludf.DUMMYFUNCTION("""COMPUTED_VALUE"""),0.0755)</f>
        <v>0.0755</v>
      </c>
      <c r="J2671" s="19">
        <f>IFERROR(__xludf.DUMMYFUNCTION("""COMPUTED_VALUE"""),0.1509)</f>
        <v>0.1509</v>
      </c>
      <c r="K2671" s="19">
        <f>IFERROR(__xludf.DUMMYFUNCTION("""COMPUTED_VALUE"""),0.1886)</f>
        <v>0.1886</v>
      </c>
      <c r="L2671" s="19">
        <f>IFERROR(__xludf.DUMMYFUNCTION("""COMPUTED_VALUE"""),0.2264)</f>
        <v>0.2264</v>
      </c>
      <c r="M2671" s="18">
        <f>IFERROR(__xludf.DUMMYFUNCTION("""COMPUTED_VALUE"""),1.8)</f>
        <v>1.8</v>
      </c>
    </row>
    <row r="2672">
      <c r="A2672" s="13" t="str">
        <f>IFERROR(__xludf.DUMMYFUNCTION("""COMPUTED_VALUE"""),"товари")</f>
        <v>товари</v>
      </c>
      <c r="B2672" s="16" t="str">
        <f>IFERROR(__xludf.DUMMYFUNCTION("""COMPUTED_VALUE"""),"товари для дому")</f>
        <v>товари для дому</v>
      </c>
      <c r="C2672" s="16" t="str">
        <f>IFERROR(__xludf.DUMMYFUNCTION("""COMPUTED_VALUE"""),"печі та каміни")</f>
        <v>печі та каміни</v>
      </c>
      <c r="D2672" s="16" t="str">
        <f>IFERROR(__xludf.DUMMYFUNCTION("""COMPUTED_VALUE"""),"каміни")</f>
        <v>каміни</v>
      </c>
      <c r="E2672" s="16" t="str">
        <f>IFERROR(__xludf.DUMMYFUNCTION("""COMPUTED_VALUE"""),"каміни")</f>
        <v>каміни</v>
      </c>
      <c r="F2672" s="17">
        <f>IFERROR(__xludf.DUMMYFUNCTION("""COMPUTED_VALUE"""),3.0)</f>
        <v>3</v>
      </c>
      <c r="G2672" s="17" t="str">
        <f>IFERROR(__xludf.DUMMYFUNCTION("""COMPUTED_VALUE"""),"13240308")</f>
        <v>13240308</v>
      </c>
      <c r="H2672" s="17" t="str">
        <f>IFERROR(__xludf.DUMMYFUNCTION("""COMPUTED_VALUE"""),"каміни")</f>
        <v>каміни</v>
      </c>
      <c r="I2672" s="19">
        <f>IFERROR(__xludf.DUMMYFUNCTION("""COMPUTED_VALUE"""),0.0524)</f>
        <v>0.0524</v>
      </c>
      <c r="J2672" s="19">
        <f>IFERROR(__xludf.DUMMYFUNCTION("""COMPUTED_VALUE"""),0.1048)</f>
        <v>0.1048</v>
      </c>
      <c r="K2672" s="19">
        <f>IFERROR(__xludf.DUMMYFUNCTION("""COMPUTED_VALUE"""),0.131)</f>
        <v>0.131</v>
      </c>
      <c r="L2672" s="19">
        <f>IFERROR(__xludf.DUMMYFUNCTION("""COMPUTED_VALUE"""),0.1572)</f>
        <v>0.1572</v>
      </c>
      <c r="M2672" s="18">
        <f>IFERROR(__xludf.DUMMYFUNCTION("""COMPUTED_VALUE"""),4.14)</f>
        <v>4.14</v>
      </c>
    </row>
    <row r="2673">
      <c r="A2673" s="13" t="str">
        <f>IFERROR(__xludf.DUMMYFUNCTION("""COMPUTED_VALUE"""),"товари")</f>
        <v>товари</v>
      </c>
      <c r="B2673" s="16" t="str">
        <f>IFERROR(__xludf.DUMMYFUNCTION("""COMPUTED_VALUE"""),"товари для дому")</f>
        <v>товари для дому</v>
      </c>
      <c r="C2673" s="16" t="str">
        <f>IFERROR(__xludf.DUMMYFUNCTION("""COMPUTED_VALUE"""),"печі та каміни")</f>
        <v>печі та каміни</v>
      </c>
      <c r="D2673" s="16" t="str">
        <f>IFERROR(__xludf.DUMMYFUNCTION("""COMPUTED_VALUE"""),"каміни, загальне")</f>
        <v>каміни, загальне</v>
      </c>
      <c r="E2673" s="16" t="str">
        <f>IFERROR(__xludf.DUMMYFUNCTION("""COMPUTED_VALUE"""),"каміни, загальне")</f>
        <v>каміни, загальне</v>
      </c>
      <c r="F2673" s="23"/>
      <c r="G2673" s="17">
        <f>IFERROR(__xludf.DUMMYFUNCTION("""COMPUTED_VALUE"""),1.3240309E7)</f>
        <v>13240309</v>
      </c>
      <c r="H2673" s="17" t="str">
        <f>IFERROR(__xludf.DUMMYFUNCTION("""COMPUTED_VALUE"""),"каміни, загальне")</f>
        <v>каміни, загальне</v>
      </c>
      <c r="I2673" s="19">
        <f>IFERROR(__xludf.DUMMYFUNCTION("""COMPUTED_VALUE"""),0.125)</f>
        <v>0.125</v>
      </c>
      <c r="J2673" s="19">
        <f>IFERROR(__xludf.DUMMYFUNCTION("""COMPUTED_VALUE"""),0.25)</f>
        <v>0.25</v>
      </c>
      <c r="K2673" s="19">
        <f>IFERROR(__xludf.DUMMYFUNCTION("""COMPUTED_VALUE"""),0.3125)</f>
        <v>0.3125</v>
      </c>
      <c r="L2673" s="19">
        <f>IFERROR(__xludf.DUMMYFUNCTION("""COMPUTED_VALUE"""),0.375)</f>
        <v>0.375</v>
      </c>
      <c r="M2673" s="18">
        <f>IFERROR(__xludf.DUMMYFUNCTION("""COMPUTED_VALUE"""),4.33)</f>
        <v>4.33</v>
      </c>
    </row>
    <row r="2674">
      <c r="A2674" s="13" t="str">
        <f>IFERROR(__xludf.DUMMYFUNCTION("""COMPUTED_VALUE"""),"товари")</f>
        <v>товари</v>
      </c>
      <c r="B2674" s="16" t="str">
        <f>IFERROR(__xludf.DUMMYFUNCTION("""COMPUTED_VALUE"""),"товари для дому")</f>
        <v>товари для дому</v>
      </c>
      <c r="C2674" s="16" t="str">
        <f>IFERROR(__xludf.DUMMYFUNCTION("""COMPUTED_VALUE"""),"печі та каміни")</f>
        <v>печі та каміни</v>
      </c>
      <c r="D2674" s="16" t="str">
        <f>IFERROR(__xludf.DUMMYFUNCTION("""COMPUTED_VALUE"""),"каміни")</f>
        <v>каміни</v>
      </c>
      <c r="E2674" s="16" t="str">
        <f>IFERROR(__xludf.DUMMYFUNCTION("""COMPUTED_VALUE"""),"біокаміни")</f>
        <v>біокаміни</v>
      </c>
      <c r="F2674" s="23"/>
      <c r="G2674" s="17">
        <f>IFERROR(__xludf.DUMMYFUNCTION("""COMPUTED_VALUE"""),1.324031E7)</f>
        <v>13240310</v>
      </c>
      <c r="H2674" s="17" t="str">
        <f>IFERROR(__xludf.DUMMYFUNCTION("""COMPUTED_VALUE"""),"біокаміни")</f>
        <v>біокаміни</v>
      </c>
      <c r="I2674" s="19">
        <f>IFERROR(__xludf.DUMMYFUNCTION("""COMPUTED_VALUE"""),0.0524)</f>
        <v>0.0524</v>
      </c>
      <c r="J2674" s="19">
        <f>IFERROR(__xludf.DUMMYFUNCTION("""COMPUTED_VALUE"""),0.1048)</f>
        <v>0.1048</v>
      </c>
      <c r="K2674" s="19">
        <f>IFERROR(__xludf.DUMMYFUNCTION("""COMPUTED_VALUE"""),0.131)</f>
        <v>0.131</v>
      </c>
      <c r="L2674" s="19">
        <f>IFERROR(__xludf.DUMMYFUNCTION("""COMPUTED_VALUE"""),0.1572)</f>
        <v>0.1572</v>
      </c>
      <c r="M2674" s="18">
        <f>IFERROR(__xludf.DUMMYFUNCTION("""COMPUTED_VALUE"""),4.14)</f>
        <v>4.14</v>
      </c>
    </row>
    <row r="2675">
      <c r="A2675" s="13" t="str">
        <f>IFERROR(__xludf.DUMMYFUNCTION("""COMPUTED_VALUE"""),"товари")</f>
        <v>товари</v>
      </c>
      <c r="B2675" s="16" t="str">
        <f>IFERROR(__xludf.DUMMYFUNCTION("""COMPUTED_VALUE"""),"товари для дому")</f>
        <v>товари для дому</v>
      </c>
      <c r="C2675" s="16" t="str">
        <f>IFERROR(__xludf.DUMMYFUNCTION("""COMPUTED_VALUE"""),"печі та каміни")</f>
        <v>печі та каміни</v>
      </c>
      <c r="D2675" s="16" t="str">
        <f>IFERROR(__xludf.DUMMYFUNCTION("""COMPUTED_VALUE"""),"каміни")</f>
        <v>каміни</v>
      </c>
      <c r="E2675" s="16" t="str">
        <f>IFERROR(__xludf.DUMMYFUNCTION("""COMPUTED_VALUE"""),"газові каміни")</f>
        <v>газові каміни</v>
      </c>
      <c r="F2675" s="23"/>
      <c r="G2675" s="17">
        <f>IFERROR(__xludf.DUMMYFUNCTION("""COMPUTED_VALUE"""),1.3240311E7)</f>
        <v>13240311</v>
      </c>
      <c r="H2675" s="17" t="str">
        <f>IFERROR(__xludf.DUMMYFUNCTION("""COMPUTED_VALUE"""),"газові каміни")</f>
        <v>газові каміни</v>
      </c>
      <c r="I2675" s="19">
        <f>IFERROR(__xludf.DUMMYFUNCTION("""COMPUTED_VALUE"""),0.0524)</f>
        <v>0.0524</v>
      </c>
      <c r="J2675" s="19">
        <f>IFERROR(__xludf.DUMMYFUNCTION("""COMPUTED_VALUE"""),0.1048)</f>
        <v>0.1048</v>
      </c>
      <c r="K2675" s="19">
        <f>IFERROR(__xludf.DUMMYFUNCTION("""COMPUTED_VALUE"""),0.131)</f>
        <v>0.131</v>
      </c>
      <c r="L2675" s="19">
        <f>IFERROR(__xludf.DUMMYFUNCTION("""COMPUTED_VALUE"""),0.1572)</f>
        <v>0.1572</v>
      </c>
      <c r="M2675" s="18">
        <f>IFERROR(__xludf.DUMMYFUNCTION("""COMPUTED_VALUE"""),4.14)</f>
        <v>4.14</v>
      </c>
    </row>
    <row r="2676">
      <c r="A2676" s="13" t="str">
        <f>IFERROR(__xludf.DUMMYFUNCTION("""COMPUTED_VALUE"""),"товари")</f>
        <v>товари</v>
      </c>
      <c r="B2676" s="16" t="str">
        <f>IFERROR(__xludf.DUMMYFUNCTION("""COMPUTED_VALUE"""),"обладнання та товари для надання послуг")</f>
        <v>обладнання та товари для надання послуг</v>
      </c>
      <c r="C2676" s="16" t="str">
        <f>IFERROR(__xludf.DUMMYFUNCTION("""COMPUTED_VALUE"""),"ювелірне обладнання")</f>
        <v>ювелірне обладнання</v>
      </c>
      <c r="D2676" s="16" t="str">
        <f>IFERROR(__xludf.DUMMYFUNCTION("""COMPUTED_VALUE"""),"ювелірний інструмент та обладнання")</f>
        <v>ювелірний інструмент та обладнання</v>
      </c>
      <c r="E2676" s="16" t="str">
        <f>IFERROR(__xludf.DUMMYFUNCTION("""COMPUTED_VALUE"""),"ювелірний інструмент та обладнання")</f>
        <v>ювелірний інструмент та обладнання</v>
      </c>
      <c r="F2676" s="17">
        <f>IFERROR(__xludf.DUMMYFUNCTION("""COMPUTED_VALUE"""),3.0)</f>
        <v>3</v>
      </c>
      <c r="G2676" s="17" t="str">
        <f>IFERROR(__xludf.DUMMYFUNCTION("""COMPUTED_VALUE"""),"360960")</f>
        <v>360960</v>
      </c>
      <c r="H2676" s="17" t="str">
        <f>IFERROR(__xludf.DUMMYFUNCTION("""COMPUTED_VALUE"""),"ювелірний інструмент та обладнання")</f>
        <v>ювелірний інструмент та обладнання</v>
      </c>
      <c r="I2676" s="19">
        <f>IFERROR(__xludf.DUMMYFUNCTION("""COMPUTED_VALUE"""),0.0447)</f>
        <v>0.0447</v>
      </c>
      <c r="J2676" s="19">
        <f>IFERROR(__xludf.DUMMYFUNCTION("""COMPUTED_VALUE"""),0.0893)</f>
        <v>0.0893</v>
      </c>
      <c r="K2676" s="19">
        <f>IFERROR(__xludf.DUMMYFUNCTION("""COMPUTED_VALUE"""),0.1116)</f>
        <v>0.1116</v>
      </c>
      <c r="L2676" s="19">
        <f>IFERROR(__xludf.DUMMYFUNCTION("""COMPUTED_VALUE"""),0.134)</f>
        <v>0.134</v>
      </c>
      <c r="M2676" s="18">
        <f>IFERROR(__xludf.DUMMYFUNCTION("""COMPUTED_VALUE"""),1.05)</f>
        <v>1.05</v>
      </c>
    </row>
    <row r="2677">
      <c r="A2677" s="13" t="str">
        <f>IFERROR(__xludf.DUMMYFUNCTION("""COMPUTED_VALUE"""),"товари")</f>
        <v>товари</v>
      </c>
      <c r="B2677" s="16" t="str">
        <f>IFERROR(__xludf.DUMMYFUNCTION("""COMPUTED_VALUE"""),"обладнання та товари для надання послуг")</f>
        <v>обладнання та товари для надання послуг</v>
      </c>
      <c r="C2677" s="16" t="str">
        <f>IFERROR(__xludf.DUMMYFUNCTION("""COMPUTED_VALUE"""),"обладнання для торгівлі")</f>
        <v>обладнання для торгівлі</v>
      </c>
      <c r="D2677" s="16" t="str">
        <f>IFERROR(__xludf.DUMMYFUNCTION("""COMPUTED_VALUE"""),"допоміжне обладнання та аксесуари для торгівлі")</f>
        <v>допоміжне обладнання та аксесуари для торгівлі</v>
      </c>
      <c r="E2677" s="16" t="str">
        <f>IFERROR(__xludf.DUMMYFUNCTION("""COMPUTED_VALUE"""),"ярликоутримувачі")</f>
        <v>ярликоутримувачі</v>
      </c>
      <c r="F2677" s="17">
        <f>IFERROR(__xludf.DUMMYFUNCTION("""COMPUTED_VALUE"""),4.0)</f>
        <v>4</v>
      </c>
      <c r="G2677" s="17" t="str">
        <f>IFERROR(__xludf.DUMMYFUNCTION("""COMPUTED_VALUE"""),"283071")</f>
        <v>283071</v>
      </c>
      <c r="H2677" s="17" t="str">
        <f>IFERROR(__xludf.DUMMYFUNCTION("""COMPUTED_VALUE"""),"ярликоутримувачі")</f>
        <v>ярликоутримувачі</v>
      </c>
      <c r="I2677" s="19">
        <f>IFERROR(__xludf.DUMMYFUNCTION("""COMPUTED_VALUE"""),0.0616)</f>
        <v>0.0616</v>
      </c>
      <c r="J2677" s="19">
        <f>IFERROR(__xludf.DUMMYFUNCTION("""COMPUTED_VALUE"""),0.1232)</f>
        <v>0.1232</v>
      </c>
      <c r="K2677" s="19">
        <f>IFERROR(__xludf.DUMMYFUNCTION("""COMPUTED_VALUE"""),0.154)</f>
        <v>0.154</v>
      </c>
      <c r="L2677" s="19">
        <f>IFERROR(__xludf.DUMMYFUNCTION("""COMPUTED_VALUE"""),0.1848)</f>
        <v>0.1848</v>
      </c>
      <c r="M2677" s="18">
        <f>IFERROR(__xludf.DUMMYFUNCTION("""COMPUTED_VALUE"""),3.15)</f>
        <v>3.15</v>
      </c>
    </row>
    <row r="2678">
      <c r="A2678" s="13" t="str">
        <f>IFERROR(__xludf.DUMMYFUNCTION("""COMPUTED_VALUE"""),"товари")</f>
        <v>товари</v>
      </c>
      <c r="B2678" s="16" t="str">
        <f>IFERROR(__xludf.DUMMYFUNCTION("""COMPUTED_VALUE"""),"одяг та взуття")</f>
        <v>одяг та взуття</v>
      </c>
      <c r="C2678" s="16" t="str">
        <f>IFERROR(__xludf.DUMMYFUNCTION("""COMPUTED_VALUE"""),"аксесуари для взуття")</f>
        <v>аксесуари для взуття</v>
      </c>
      <c r="D2678" s="16" t="str">
        <f>IFERROR(__xludf.DUMMYFUNCTION("""COMPUTED_VALUE"""),"аксесуари для взуття, загальне")</f>
        <v>аксесуари для взуття, загальне</v>
      </c>
      <c r="E2678" s="16" t="str">
        <f>IFERROR(__xludf.DUMMYFUNCTION("""COMPUTED_VALUE"""),"аксесуари для взуття, загальне")</f>
        <v>аксесуари для взуття, загальне</v>
      </c>
      <c r="F2678" s="17">
        <f>IFERROR(__xludf.DUMMYFUNCTION("""COMPUTED_VALUE"""),3.0)</f>
        <v>3</v>
      </c>
      <c r="G2678" s="17" t="str">
        <f>IFERROR(__xludf.DUMMYFUNCTION("""COMPUTED_VALUE"""),"580304")</f>
        <v>580304</v>
      </c>
      <c r="H2678" s="17" t="str">
        <f>IFERROR(__xludf.DUMMYFUNCTION("""COMPUTED_VALUE"""),"аксесуари для взуття, загальне")</f>
        <v>аксесуари для взуття, загальне</v>
      </c>
      <c r="I2678" s="19">
        <f>IFERROR(__xludf.DUMMYFUNCTION("""COMPUTED_VALUE"""),0.125)</f>
        <v>0.125</v>
      </c>
      <c r="J2678" s="19">
        <f>IFERROR(__xludf.DUMMYFUNCTION("""COMPUTED_VALUE"""),0.25)</f>
        <v>0.25</v>
      </c>
      <c r="K2678" s="19">
        <f>IFERROR(__xludf.DUMMYFUNCTION("""COMPUTED_VALUE"""),0.3125)</f>
        <v>0.3125</v>
      </c>
      <c r="L2678" s="19">
        <f>IFERROR(__xludf.DUMMYFUNCTION("""COMPUTED_VALUE"""),0.375)</f>
        <v>0.375</v>
      </c>
      <c r="M2678" s="18">
        <f>IFERROR(__xludf.DUMMYFUNCTION("""COMPUTED_VALUE"""),4.33)</f>
        <v>4.33</v>
      </c>
    </row>
    <row r="2679">
      <c r="A2679" s="13" t="str">
        <f>IFERROR(__xludf.DUMMYFUNCTION("""COMPUTED_VALUE"""),"товари")</f>
        <v>товари</v>
      </c>
      <c r="B2679" s="16" t="str">
        <f>IFERROR(__xludf.DUMMYFUNCTION("""COMPUTED_VALUE"""),"одяг та взуття")</f>
        <v>одяг та взуття</v>
      </c>
      <c r="C2679" s="16" t="str">
        <f>IFERROR(__xludf.DUMMYFUNCTION("""COMPUTED_VALUE"""),"карнавальні костюми")</f>
        <v>карнавальні костюми</v>
      </c>
      <c r="D2679" s="16" t="str">
        <f>IFERROR(__xludf.DUMMYFUNCTION("""COMPUTED_VALUE"""),"аксесуари для карнавальних костюмів")</f>
        <v>аксесуари для карнавальних костюмів</v>
      </c>
      <c r="E2679" s="16" t="str">
        <f>IFERROR(__xludf.DUMMYFUNCTION("""COMPUTED_VALUE"""),"аксесуари для карнавальних костюмів")</f>
        <v>аксесуари для карнавальних костюмів</v>
      </c>
      <c r="F2679" s="17">
        <f>IFERROR(__xludf.DUMMYFUNCTION("""COMPUTED_VALUE"""),3.0)</f>
        <v>3</v>
      </c>
      <c r="G2679" s="17" t="str">
        <f>IFERROR(__xludf.DUMMYFUNCTION("""COMPUTED_VALUE"""),"34706")</f>
        <v>34706</v>
      </c>
      <c r="H2679" s="17" t="str">
        <f>IFERROR(__xludf.DUMMYFUNCTION("""COMPUTED_VALUE"""),"аксесуари для карнавальних костюмів")</f>
        <v>аксесуари для карнавальних костюмів</v>
      </c>
      <c r="I2679" s="19">
        <f>IFERROR(__xludf.DUMMYFUNCTION("""COMPUTED_VALUE"""),0.106)</f>
        <v>0.106</v>
      </c>
      <c r="J2679" s="19">
        <f>IFERROR(__xludf.DUMMYFUNCTION("""COMPUTED_VALUE"""),0.2119)</f>
        <v>0.2119</v>
      </c>
      <c r="K2679" s="19">
        <f>IFERROR(__xludf.DUMMYFUNCTION("""COMPUTED_VALUE"""),0.2649)</f>
        <v>0.2649</v>
      </c>
      <c r="L2679" s="19">
        <f>IFERROR(__xludf.DUMMYFUNCTION("""COMPUTED_VALUE"""),0.3179)</f>
        <v>0.3179</v>
      </c>
      <c r="M2679" s="18">
        <f>IFERROR(__xludf.DUMMYFUNCTION("""COMPUTED_VALUE"""),1.26)</f>
        <v>1.26</v>
      </c>
    </row>
    <row r="2680">
      <c r="A2680" s="13" t="str">
        <f>IFERROR(__xludf.DUMMYFUNCTION("""COMPUTED_VALUE"""),"товари")</f>
        <v>товари</v>
      </c>
      <c r="B2680" s="16" t="str">
        <f>IFERROR(__xludf.DUMMYFUNCTION("""COMPUTED_VALUE"""),"одяг та взуття")</f>
        <v>одяг та взуття</v>
      </c>
      <c r="C2680" s="16" t="str">
        <f>IFERROR(__xludf.DUMMYFUNCTION("""COMPUTED_VALUE"""),"жіночий одяг")</f>
        <v>жіночий одяг</v>
      </c>
      <c r="D2680" s="16" t="str">
        <f>IFERROR(__xludf.DUMMYFUNCTION("""COMPUTED_VALUE"""),"жіноча білизна і купальники")</f>
        <v>жіноча білизна і купальники</v>
      </c>
      <c r="E2680" s="16" t="str">
        <f>IFERROR(__xludf.DUMMYFUNCTION("""COMPUTED_VALUE"""),"аксесуари для нижньої білизни")</f>
        <v>аксесуари для нижньої білизни</v>
      </c>
      <c r="F2680" s="17">
        <f>IFERROR(__xludf.DUMMYFUNCTION("""COMPUTED_VALUE"""),4.0)</f>
        <v>4</v>
      </c>
      <c r="G2680" s="17" t="str">
        <f>IFERROR(__xludf.DUMMYFUNCTION("""COMPUTED_VALUE"""),"31207")</f>
        <v>31207</v>
      </c>
      <c r="H2680" s="17" t="str">
        <f>IFERROR(__xludf.DUMMYFUNCTION("""COMPUTED_VALUE"""),"аксесуари для нижньої білизни")</f>
        <v>аксесуари для нижньої білизни</v>
      </c>
      <c r="I2680" s="19">
        <f>IFERROR(__xludf.DUMMYFUNCTION("""COMPUTED_VALUE"""),0.0966)</f>
        <v>0.0966</v>
      </c>
      <c r="J2680" s="19">
        <f>IFERROR(__xludf.DUMMYFUNCTION("""COMPUTED_VALUE"""),0.1931)</f>
        <v>0.1931</v>
      </c>
      <c r="K2680" s="19">
        <f>IFERROR(__xludf.DUMMYFUNCTION("""COMPUTED_VALUE"""),0.2414)</f>
        <v>0.2414</v>
      </c>
      <c r="L2680" s="19">
        <f>IFERROR(__xludf.DUMMYFUNCTION("""COMPUTED_VALUE"""),0.2897)</f>
        <v>0.2897</v>
      </c>
      <c r="M2680" s="18">
        <f>IFERROR(__xludf.DUMMYFUNCTION("""COMPUTED_VALUE"""),1.05)</f>
        <v>1.05</v>
      </c>
    </row>
    <row r="2681">
      <c r="A2681" s="13" t="str">
        <f>IFERROR(__xludf.DUMMYFUNCTION("""COMPUTED_VALUE"""),"товари")</f>
        <v>товари</v>
      </c>
      <c r="B2681" s="16" t="str">
        <f>IFERROR(__xludf.DUMMYFUNCTION("""COMPUTED_VALUE"""),"одяг та взуття")</f>
        <v>одяг та взуття</v>
      </c>
      <c r="C2681" s="16" t="str">
        <f>IFERROR(__xludf.DUMMYFUNCTION("""COMPUTED_VALUE"""),"жіночий одяг")</f>
        <v>жіночий одяг</v>
      </c>
      <c r="D2681" s="16" t="str">
        <f>IFERROR(__xludf.DUMMYFUNCTION("""COMPUTED_VALUE"""),"одяг та білизна для вагітних та годуючих")</f>
        <v>одяг та білизна для вагітних та годуючих</v>
      </c>
      <c r="E2681" s="16" t="str">
        <f>IFERROR(__xludf.DUMMYFUNCTION("""COMPUTED_VALUE"""),"блузки і туніки для вагітних та годуючих")</f>
        <v>блузки і туніки для вагітних та годуючих</v>
      </c>
      <c r="F2681" s="17">
        <f>IFERROR(__xludf.DUMMYFUNCTION("""COMPUTED_VALUE"""),4.0)</f>
        <v>4</v>
      </c>
      <c r="G2681" s="17" t="str">
        <f>IFERROR(__xludf.DUMMYFUNCTION("""COMPUTED_VALUE"""),"3450108")</f>
        <v>3450108</v>
      </c>
      <c r="H2681" s="17" t="str">
        <f>IFERROR(__xludf.DUMMYFUNCTION("""COMPUTED_VALUE"""),"блузки і туніки для вагітних та годуючих")</f>
        <v>блузки і туніки для вагітних та годуючих</v>
      </c>
      <c r="I2681" s="19">
        <f>IFERROR(__xludf.DUMMYFUNCTION("""COMPUTED_VALUE"""),0.0795)</f>
        <v>0.0795</v>
      </c>
      <c r="J2681" s="19">
        <f>IFERROR(__xludf.DUMMYFUNCTION("""COMPUTED_VALUE"""),0.1589)</f>
        <v>0.1589</v>
      </c>
      <c r="K2681" s="19">
        <f>IFERROR(__xludf.DUMMYFUNCTION("""COMPUTED_VALUE"""),0.1986)</f>
        <v>0.1986</v>
      </c>
      <c r="L2681" s="19">
        <f>IFERROR(__xludf.DUMMYFUNCTION("""COMPUTED_VALUE"""),0.2384)</f>
        <v>0.2384</v>
      </c>
      <c r="M2681" s="18">
        <f>IFERROR(__xludf.DUMMYFUNCTION("""COMPUTED_VALUE"""),1.05)</f>
        <v>1.05</v>
      </c>
    </row>
    <row r="2682">
      <c r="A2682" s="13" t="str">
        <f>IFERROR(__xludf.DUMMYFUNCTION("""COMPUTED_VALUE"""),"товари")</f>
        <v>товари</v>
      </c>
      <c r="B2682" s="16" t="str">
        <f>IFERROR(__xludf.DUMMYFUNCTION("""COMPUTED_VALUE"""),"одяг та взуття")</f>
        <v>одяг та взуття</v>
      </c>
      <c r="C2682" s="16" t="str">
        <f>IFERROR(__xludf.DUMMYFUNCTION("""COMPUTED_VALUE"""),"дитячий одяг та взуття")</f>
        <v>дитячий одяг та взуття</v>
      </c>
      <c r="D2682" s="16" t="str">
        <f>IFERROR(__xludf.DUMMYFUNCTION("""COMPUTED_VALUE"""),"одяг для дівчаток")</f>
        <v>одяг для дівчаток</v>
      </c>
      <c r="E2682" s="16" t="str">
        <f>IFERROR(__xludf.DUMMYFUNCTION("""COMPUTED_VALUE"""),"блузки і туніки для дівчаток")</f>
        <v>блузки і туніки для дівчаток</v>
      </c>
      <c r="F2682" s="17">
        <f>IFERROR(__xludf.DUMMYFUNCTION("""COMPUTED_VALUE"""),4.0)</f>
        <v>4</v>
      </c>
      <c r="G2682" s="17" t="str">
        <f>IFERROR(__xludf.DUMMYFUNCTION("""COMPUTED_VALUE"""),"31104")</f>
        <v>31104</v>
      </c>
      <c r="H2682" s="17" t="str">
        <f>IFERROR(__xludf.DUMMYFUNCTION("""COMPUTED_VALUE"""),"блузки і туніки для дівчаток")</f>
        <v>блузки і туніки для дівчаток</v>
      </c>
      <c r="I2682" s="19">
        <f>IFERROR(__xludf.DUMMYFUNCTION("""COMPUTED_VALUE"""),0.0927)</f>
        <v>0.0927</v>
      </c>
      <c r="J2682" s="19">
        <f>IFERROR(__xludf.DUMMYFUNCTION("""COMPUTED_VALUE"""),0.1853)</f>
        <v>0.1853</v>
      </c>
      <c r="K2682" s="19">
        <f>IFERROR(__xludf.DUMMYFUNCTION("""COMPUTED_VALUE"""),0.2316)</f>
        <v>0.2316</v>
      </c>
      <c r="L2682" s="19">
        <f>IFERROR(__xludf.DUMMYFUNCTION("""COMPUTED_VALUE"""),0.278)</f>
        <v>0.278</v>
      </c>
      <c r="M2682" s="18">
        <f>IFERROR(__xludf.DUMMYFUNCTION("""COMPUTED_VALUE"""),1.63)</f>
        <v>1.63</v>
      </c>
    </row>
    <row r="2683">
      <c r="A2683" s="13" t="str">
        <f>IFERROR(__xludf.DUMMYFUNCTION("""COMPUTED_VALUE"""),"товари")</f>
        <v>товари</v>
      </c>
      <c r="B2683" s="16" t="str">
        <f>IFERROR(__xludf.DUMMYFUNCTION("""COMPUTED_VALUE"""),"одяг та взуття")</f>
        <v>одяг та взуття</v>
      </c>
      <c r="C2683" s="16" t="str">
        <f>IFERROR(__xludf.DUMMYFUNCTION("""COMPUTED_VALUE"""),"дитячий одяг та взуття")</f>
        <v>дитячий одяг та взуття</v>
      </c>
      <c r="D2683" s="16" t="str">
        <f>IFERROR(__xludf.DUMMYFUNCTION("""COMPUTED_VALUE"""),"одяг для малюків")</f>
        <v>одяг для малюків</v>
      </c>
      <c r="E2683" s="16" t="str">
        <f>IFERROR(__xludf.DUMMYFUNCTION("""COMPUTED_VALUE"""),"боді та пісочники")</f>
        <v>боді та пісочники</v>
      </c>
      <c r="F2683" s="17">
        <f>IFERROR(__xludf.DUMMYFUNCTION("""COMPUTED_VALUE"""),4.0)</f>
        <v>4</v>
      </c>
      <c r="G2683" s="17" t="str">
        <f>IFERROR(__xludf.DUMMYFUNCTION("""COMPUTED_VALUE"""),"31014")</f>
        <v>31014</v>
      </c>
      <c r="H2683" s="17" t="str">
        <f>IFERROR(__xludf.DUMMYFUNCTION("""COMPUTED_VALUE"""),"боді та пісочники")</f>
        <v>боді та пісочники</v>
      </c>
      <c r="I2683" s="19">
        <f>IFERROR(__xludf.DUMMYFUNCTION("""COMPUTED_VALUE"""),0.0931)</f>
        <v>0.0931</v>
      </c>
      <c r="J2683" s="19">
        <f>IFERROR(__xludf.DUMMYFUNCTION("""COMPUTED_VALUE"""),0.1861)</f>
        <v>0.1861</v>
      </c>
      <c r="K2683" s="19">
        <f>IFERROR(__xludf.DUMMYFUNCTION("""COMPUTED_VALUE"""),0.2326)</f>
        <v>0.2326</v>
      </c>
      <c r="L2683" s="19">
        <f>IFERROR(__xludf.DUMMYFUNCTION("""COMPUTED_VALUE"""),0.2792)</f>
        <v>0.2792</v>
      </c>
      <c r="M2683" s="18">
        <f>IFERROR(__xludf.DUMMYFUNCTION("""COMPUTED_VALUE"""),1.44)</f>
        <v>1.44</v>
      </c>
    </row>
    <row r="2684">
      <c r="A2684" s="13" t="str">
        <f>IFERROR(__xludf.DUMMYFUNCTION("""COMPUTED_VALUE"""),"товари")</f>
        <v>товари</v>
      </c>
      <c r="B2684" s="16" t="str">
        <f>IFERROR(__xludf.DUMMYFUNCTION("""COMPUTED_VALUE"""),"одяг та взуття")</f>
        <v>одяг та взуття</v>
      </c>
      <c r="C2684" s="16" t="str">
        <f>IFERROR(__xludf.DUMMYFUNCTION("""COMPUTED_VALUE"""),"дитячий одяг та взуття")</f>
        <v>дитячий одяг та взуття</v>
      </c>
      <c r="D2684" s="16" t="str">
        <f>IFERROR(__xludf.DUMMYFUNCTION("""COMPUTED_VALUE"""),"одяг для дівчаток")</f>
        <v>одяг для дівчаток</v>
      </c>
      <c r="E2684" s="16" t="str">
        <f>IFERROR(__xludf.DUMMYFUNCTION("""COMPUTED_VALUE"""),"брюки і джинси для дівчаток")</f>
        <v>брюки і джинси для дівчаток</v>
      </c>
      <c r="F2684" s="17">
        <f>IFERROR(__xludf.DUMMYFUNCTION("""COMPUTED_VALUE"""),4.0)</f>
        <v>4</v>
      </c>
      <c r="G2684" s="17" t="str">
        <f>IFERROR(__xludf.DUMMYFUNCTION("""COMPUTED_VALUE"""),"31102")</f>
        <v>31102</v>
      </c>
      <c r="H2684" s="17" t="str">
        <f>IFERROR(__xludf.DUMMYFUNCTION("""COMPUTED_VALUE"""),"брюки і джинси для дівчаток")</f>
        <v>брюки і джинси для дівчаток</v>
      </c>
      <c r="I2684" s="19">
        <f>IFERROR(__xludf.DUMMYFUNCTION("""COMPUTED_VALUE"""),0.0927)</f>
        <v>0.0927</v>
      </c>
      <c r="J2684" s="19">
        <f>IFERROR(__xludf.DUMMYFUNCTION("""COMPUTED_VALUE"""),0.1853)</f>
        <v>0.1853</v>
      </c>
      <c r="K2684" s="19">
        <f>IFERROR(__xludf.DUMMYFUNCTION("""COMPUTED_VALUE"""),0.2316)</f>
        <v>0.2316</v>
      </c>
      <c r="L2684" s="19">
        <f>IFERROR(__xludf.DUMMYFUNCTION("""COMPUTED_VALUE"""),0.278)</f>
        <v>0.278</v>
      </c>
      <c r="M2684" s="18">
        <f>IFERROR(__xludf.DUMMYFUNCTION("""COMPUTED_VALUE"""),1.63)</f>
        <v>1.63</v>
      </c>
    </row>
    <row r="2685">
      <c r="A2685" s="13" t="str">
        <f>IFERROR(__xludf.DUMMYFUNCTION("""COMPUTED_VALUE"""),"товари")</f>
        <v>товари</v>
      </c>
      <c r="B2685" s="16" t="str">
        <f>IFERROR(__xludf.DUMMYFUNCTION("""COMPUTED_VALUE"""),"одяг та взуття")</f>
        <v>одяг та взуття</v>
      </c>
      <c r="C2685" s="16" t="str">
        <f>IFERROR(__xludf.DUMMYFUNCTION("""COMPUTED_VALUE"""),"дитячий одяг та взуття")</f>
        <v>дитячий одяг та взуття</v>
      </c>
      <c r="D2685" s="16" t="str">
        <f>IFERROR(__xludf.DUMMYFUNCTION("""COMPUTED_VALUE"""),"одяг для хлопчиків")</f>
        <v>одяг для хлопчиків</v>
      </c>
      <c r="E2685" s="16" t="str">
        <f>IFERROR(__xludf.DUMMYFUNCTION("""COMPUTED_VALUE"""),"брюки і джинси для хлопчиків")</f>
        <v>брюки і джинси для хлопчиків</v>
      </c>
      <c r="F2685" s="17">
        <f>IFERROR(__xludf.DUMMYFUNCTION("""COMPUTED_VALUE"""),4.0)</f>
        <v>4</v>
      </c>
      <c r="G2685" s="17" t="str">
        <f>IFERROR(__xludf.DUMMYFUNCTION("""COMPUTED_VALUE"""),"3111701")</f>
        <v>3111701</v>
      </c>
      <c r="H2685" s="17" t="str">
        <f>IFERROR(__xludf.DUMMYFUNCTION("""COMPUTED_VALUE"""),"брюки і джинси для хлопчиків")</f>
        <v>брюки і джинси для хлопчиків</v>
      </c>
      <c r="I2685" s="19">
        <f>IFERROR(__xludf.DUMMYFUNCTION("""COMPUTED_VALUE"""),0.0927)</f>
        <v>0.0927</v>
      </c>
      <c r="J2685" s="19">
        <f>IFERROR(__xludf.DUMMYFUNCTION("""COMPUTED_VALUE"""),0.1853)</f>
        <v>0.1853</v>
      </c>
      <c r="K2685" s="19">
        <f>IFERROR(__xludf.DUMMYFUNCTION("""COMPUTED_VALUE"""),0.2316)</f>
        <v>0.2316</v>
      </c>
      <c r="L2685" s="19">
        <f>IFERROR(__xludf.DUMMYFUNCTION("""COMPUTED_VALUE"""),0.278)</f>
        <v>0.278</v>
      </c>
      <c r="M2685" s="18">
        <f>IFERROR(__xludf.DUMMYFUNCTION("""COMPUTED_VALUE"""),1.53)</f>
        <v>1.53</v>
      </c>
    </row>
    <row r="2686">
      <c r="A2686" s="13" t="str">
        <f>IFERROR(__xludf.DUMMYFUNCTION("""COMPUTED_VALUE"""),"товари")</f>
        <v>товари</v>
      </c>
      <c r="B2686" s="16" t="str">
        <f>IFERROR(__xludf.DUMMYFUNCTION("""COMPUTED_VALUE"""),"одяг та взуття")</f>
        <v>одяг та взуття</v>
      </c>
      <c r="C2686" s="16" t="str">
        <f>IFERROR(__xludf.DUMMYFUNCTION("""COMPUTED_VALUE"""),"жіночий одяг")</f>
        <v>жіночий одяг</v>
      </c>
      <c r="D2686" s="16" t="str">
        <f>IFERROR(__xludf.DUMMYFUNCTION("""COMPUTED_VALUE"""),"одяг та білизна для вагітних та годуючих")</f>
        <v>одяг та білизна для вагітних та годуючих</v>
      </c>
      <c r="E2686" s="16" t="str">
        <f>IFERROR(__xludf.DUMMYFUNCTION("""COMPUTED_VALUE"""),"брюки, джинси і лосини для вагітних")</f>
        <v>брюки, джинси і лосини для вагітних</v>
      </c>
      <c r="F2686" s="17">
        <f>IFERROR(__xludf.DUMMYFUNCTION("""COMPUTED_VALUE"""),4.0)</f>
        <v>4</v>
      </c>
      <c r="G2686" s="17" t="str">
        <f>IFERROR(__xludf.DUMMYFUNCTION("""COMPUTED_VALUE"""),"3450104")</f>
        <v>3450104</v>
      </c>
      <c r="H2686" s="17" t="str">
        <f>IFERROR(__xludf.DUMMYFUNCTION("""COMPUTED_VALUE"""),"брюки, джинси і лосини для вагітних")</f>
        <v>брюки, джинси і лосини для вагітних</v>
      </c>
      <c r="I2686" s="19">
        <f>IFERROR(__xludf.DUMMYFUNCTION("""COMPUTED_VALUE"""),0.0795)</f>
        <v>0.0795</v>
      </c>
      <c r="J2686" s="19">
        <f>IFERROR(__xludf.DUMMYFUNCTION("""COMPUTED_VALUE"""),0.1589)</f>
        <v>0.1589</v>
      </c>
      <c r="K2686" s="19">
        <f>IFERROR(__xludf.DUMMYFUNCTION("""COMPUTED_VALUE"""),0.1986)</f>
        <v>0.1986</v>
      </c>
      <c r="L2686" s="19">
        <f>IFERROR(__xludf.DUMMYFUNCTION("""COMPUTED_VALUE"""),0.2384)</f>
        <v>0.2384</v>
      </c>
      <c r="M2686" s="18">
        <f>IFERROR(__xludf.DUMMYFUNCTION("""COMPUTED_VALUE"""),1.05)</f>
        <v>1.05</v>
      </c>
    </row>
    <row r="2687">
      <c r="A2687" s="13" t="str">
        <f>IFERROR(__xludf.DUMMYFUNCTION("""COMPUTED_VALUE"""),"товари")</f>
        <v>товари</v>
      </c>
      <c r="B2687" s="16" t="str">
        <f>IFERROR(__xludf.DUMMYFUNCTION("""COMPUTED_VALUE"""),"одяг та взуття")</f>
        <v>одяг та взуття</v>
      </c>
      <c r="C2687" s="16" t="str">
        <f>IFERROR(__xludf.DUMMYFUNCTION("""COMPUTED_VALUE"""),"жіночий одяг")</f>
        <v>жіночий одяг</v>
      </c>
      <c r="D2687" s="16" t="str">
        <f>IFERROR(__xludf.DUMMYFUNCTION("""COMPUTED_VALUE"""),"жіноча білизна і купальники")</f>
        <v>жіноча білизна і купальники</v>
      </c>
      <c r="E2687" s="16" t="str">
        <f>IFERROR(__xludf.DUMMYFUNCTION("""COMPUTED_VALUE"""),"бюст'є, боді, комбідреси")</f>
        <v>бюст'є, боді, комбідреси</v>
      </c>
      <c r="F2687" s="17">
        <f>IFERROR(__xludf.DUMMYFUNCTION("""COMPUTED_VALUE"""),4.0)</f>
        <v>4</v>
      </c>
      <c r="G2687" s="17" t="str">
        <f>IFERROR(__xludf.DUMMYFUNCTION("""COMPUTED_VALUE"""),"31205")</f>
        <v>31205</v>
      </c>
      <c r="H2687" s="17" t="str">
        <f>IFERROR(__xludf.DUMMYFUNCTION("""COMPUTED_VALUE"""),"бюст'є, боді, комбідреси")</f>
        <v>бюст'є, боді, комбідреси</v>
      </c>
      <c r="I2687" s="19">
        <f>IFERROR(__xludf.DUMMYFUNCTION("""COMPUTED_VALUE"""),0.0966)</f>
        <v>0.0966</v>
      </c>
      <c r="J2687" s="19">
        <f>IFERROR(__xludf.DUMMYFUNCTION("""COMPUTED_VALUE"""),0.1931)</f>
        <v>0.1931</v>
      </c>
      <c r="K2687" s="19">
        <f>IFERROR(__xludf.DUMMYFUNCTION("""COMPUTED_VALUE"""),0.2414)</f>
        <v>0.2414</v>
      </c>
      <c r="L2687" s="19">
        <f>IFERROR(__xludf.DUMMYFUNCTION("""COMPUTED_VALUE"""),0.2897)</f>
        <v>0.2897</v>
      </c>
      <c r="M2687" s="18">
        <f>IFERROR(__xludf.DUMMYFUNCTION("""COMPUTED_VALUE"""),1.05)</f>
        <v>1.05</v>
      </c>
    </row>
    <row r="2688">
      <c r="A2688" s="13" t="str">
        <f>IFERROR(__xludf.DUMMYFUNCTION("""COMPUTED_VALUE"""),"товари")</f>
        <v>товари</v>
      </c>
      <c r="B2688" s="16" t="str">
        <f>IFERROR(__xludf.DUMMYFUNCTION("""COMPUTED_VALUE"""),"одяг та взуття")</f>
        <v>одяг та взуття</v>
      </c>
      <c r="C2688" s="16" t="str">
        <f>IFERROR(__xludf.DUMMYFUNCTION("""COMPUTED_VALUE"""),"жіночий одяг")</f>
        <v>жіночий одяг</v>
      </c>
      <c r="D2688" s="16" t="str">
        <f>IFERROR(__xludf.DUMMYFUNCTION("""COMPUTED_VALUE"""),"жіноча білизна і купальники")</f>
        <v>жіноча білизна і купальники</v>
      </c>
      <c r="E2688" s="16" t="str">
        <f>IFERROR(__xludf.DUMMYFUNCTION("""COMPUTED_VALUE"""),"бюстгальтери")</f>
        <v>бюстгальтери</v>
      </c>
      <c r="F2688" s="17">
        <f>IFERROR(__xludf.DUMMYFUNCTION("""COMPUTED_VALUE"""),4.0)</f>
        <v>4</v>
      </c>
      <c r="G2688" s="17" t="str">
        <f>IFERROR(__xludf.DUMMYFUNCTION("""COMPUTED_VALUE"""),"31201")</f>
        <v>31201</v>
      </c>
      <c r="H2688" s="17" t="str">
        <f>IFERROR(__xludf.DUMMYFUNCTION("""COMPUTED_VALUE"""),"бюстгальтери")</f>
        <v>бюстгальтери</v>
      </c>
      <c r="I2688" s="19">
        <f>IFERROR(__xludf.DUMMYFUNCTION("""COMPUTED_VALUE"""),0.0966)</f>
        <v>0.0966</v>
      </c>
      <c r="J2688" s="19">
        <f>IFERROR(__xludf.DUMMYFUNCTION("""COMPUTED_VALUE"""),0.1931)</f>
        <v>0.1931</v>
      </c>
      <c r="K2688" s="19">
        <f>IFERROR(__xludf.DUMMYFUNCTION("""COMPUTED_VALUE"""),0.2414)</f>
        <v>0.2414</v>
      </c>
      <c r="L2688" s="19">
        <f>IFERROR(__xludf.DUMMYFUNCTION("""COMPUTED_VALUE"""),0.2897)</f>
        <v>0.2897</v>
      </c>
      <c r="M2688" s="18">
        <f>IFERROR(__xludf.DUMMYFUNCTION("""COMPUTED_VALUE"""),1.05)</f>
        <v>1.05</v>
      </c>
    </row>
    <row r="2689">
      <c r="A2689" s="13" t="str">
        <f>IFERROR(__xludf.DUMMYFUNCTION("""COMPUTED_VALUE"""),"товари")</f>
        <v>товари</v>
      </c>
      <c r="B2689" s="16" t="str">
        <f>IFERROR(__xludf.DUMMYFUNCTION("""COMPUTED_VALUE"""),"одяг та взуття")</f>
        <v>одяг та взуття</v>
      </c>
      <c r="C2689" s="16" t="str">
        <f>IFERROR(__xludf.DUMMYFUNCTION("""COMPUTED_VALUE"""),"жіночий одяг")</f>
        <v>жіночий одяг</v>
      </c>
      <c r="D2689" s="16" t="str">
        <f>IFERROR(__xludf.DUMMYFUNCTION("""COMPUTED_VALUE"""),"одяг та білизна для вагітних та годуючих")</f>
        <v>одяг та білизна для вагітних та годуючих</v>
      </c>
      <c r="E2689" s="16" t="str">
        <f>IFERROR(__xludf.DUMMYFUNCTION("""COMPUTED_VALUE"""),"верхній одяг для вагітних, слінгоодяг")</f>
        <v>верхній одяг для вагітних, слінгоодяг</v>
      </c>
      <c r="F2689" s="17">
        <f>IFERROR(__xludf.DUMMYFUNCTION("""COMPUTED_VALUE"""),4.0)</f>
        <v>4</v>
      </c>
      <c r="G2689" s="17" t="str">
        <f>IFERROR(__xludf.DUMMYFUNCTION("""COMPUTED_VALUE"""),"3450112")</f>
        <v>3450112</v>
      </c>
      <c r="H2689" s="17" t="str">
        <f>IFERROR(__xludf.DUMMYFUNCTION("""COMPUTED_VALUE"""),"верхній одяг для вагітних, слінгоодяг")</f>
        <v>верхній одяг для вагітних, слінгоодяг</v>
      </c>
      <c r="I2689" s="19">
        <f>IFERROR(__xludf.DUMMYFUNCTION("""COMPUTED_VALUE"""),0.0795)</f>
        <v>0.0795</v>
      </c>
      <c r="J2689" s="19">
        <f>IFERROR(__xludf.DUMMYFUNCTION("""COMPUTED_VALUE"""),0.1589)</f>
        <v>0.1589</v>
      </c>
      <c r="K2689" s="19">
        <f>IFERROR(__xludf.DUMMYFUNCTION("""COMPUTED_VALUE"""),0.1986)</f>
        <v>0.1986</v>
      </c>
      <c r="L2689" s="19">
        <f>IFERROR(__xludf.DUMMYFUNCTION("""COMPUTED_VALUE"""),0.2384)</f>
        <v>0.2384</v>
      </c>
      <c r="M2689" s="18">
        <f>IFERROR(__xludf.DUMMYFUNCTION("""COMPUTED_VALUE"""),1.05)</f>
        <v>1.05</v>
      </c>
    </row>
    <row r="2690">
      <c r="A2690" s="13" t="str">
        <f>IFERROR(__xludf.DUMMYFUNCTION("""COMPUTED_VALUE"""),"товари")</f>
        <v>товари</v>
      </c>
      <c r="B2690" s="16" t="str">
        <f>IFERROR(__xludf.DUMMYFUNCTION("""COMPUTED_VALUE"""),"одяг та взуття")</f>
        <v>одяг та взуття</v>
      </c>
      <c r="C2690" s="16" t="str">
        <f>IFERROR(__xludf.DUMMYFUNCTION("""COMPUTED_VALUE"""),"дитячий одяг та взуття")</f>
        <v>дитячий одяг та взуття</v>
      </c>
      <c r="D2690" s="16" t="str">
        <f>IFERROR(__xludf.DUMMYFUNCTION("""COMPUTED_VALUE"""),"одяг для малюків")</f>
        <v>одяг для малюків</v>
      </c>
      <c r="E2690" s="16" t="str">
        <f>IFERROR(__xludf.DUMMYFUNCTION("""COMPUTED_VALUE"""),"пінетки")</f>
        <v>пінетки</v>
      </c>
      <c r="F2690" s="17">
        <f>IFERROR(__xludf.DUMMYFUNCTION("""COMPUTED_VALUE"""),4.0)</f>
        <v>4</v>
      </c>
      <c r="G2690" s="17" t="str">
        <f>IFERROR(__xludf.DUMMYFUNCTION("""COMPUTED_VALUE"""),"32203")</f>
        <v>32203</v>
      </c>
      <c r="H2690" s="17" t="str">
        <f>IFERROR(__xludf.DUMMYFUNCTION("""COMPUTED_VALUE"""),"пінетки")</f>
        <v>пінетки</v>
      </c>
      <c r="I2690" s="19">
        <f>IFERROR(__xludf.DUMMYFUNCTION("""COMPUTED_VALUE"""),0.0931)</f>
        <v>0.0931</v>
      </c>
      <c r="J2690" s="19">
        <f>IFERROR(__xludf.DUMMYFUNCTION("""COMPUTED_VALUE"""),0.1861)</f>
        <v>0.1861</v>
      </c>
      <c r="K2690" s="19">
        <f>IFERROR(__xludf.DUMMYFUNCTION("""COMPUTED_VALUE"""),0.2326)</f>
        <v>0.2326</v>
      </c>
      <c r="L2690" s="19">
        <f>IFERROR(__xludf.DUMMYFUNCTION("""COMPUTED_VALUE"""),0.2792)</f>
        <v>0.2792</v>
      </c>
      <c r="M2690" s="18">
        <f>IFERROR(__xludf.DUMMYFUNCTION("""COMPUTED_VALUE"""),1.44)</f>
        <v>1.44</v>
      </c>
    </row>
    <row r="2691">
      <c r="A2691" s="13" t="str">
        <f>IFERROR(__xludf.DUMMYFUNCTION("""COMPUTED_VALUE"""),"товари")</f>
        <v>товари</v>
      </c>
      <c r="B2691" s="16" t="str">
        <f>IFERROR(__xludf.DUMMYFUNCTION("""COMPUTED_VALUE"""),"одяг та взуття")</f>
        <v>одяг та взуття</v>
      </c>
      <c r="C2691" s="16" t="str">
        <f>IFERROR(__xludf.DUMMYFUNCTION("""COMPUTED_VALUE"""),"взуття")</f>
        <v>взуття</v>
      </c>
      <c r="D2691" s="16" t="str">
        <f>IFERROR(__xludf.DUMMYFUNCTION("""COMPUTED_VALUE"""),"взуття, загальне")</f>
        <v>взуття, загальне</v>
      </c>
      <c r="E2691" s="16" t="str">
        <f>IFERROR(__xludf.DUMMYFUNCTION("""COMPUTED_VALUE"""),"взуття, загальне")</f>
        <v>взуття, загальне</v>
      </c>
      <c r="F2691" s="17">
        <f>IFERROR(__xludf.DUMMYFUNCTION("""COMPUTED_VALUE"""),3.0)</f>
        <v>3</v>
      </c>
      <c r="G2691" s="17" t="str">
        <f>IFERROR(__xludf.DUMMYFUNCTION("""COMPUTED_VALUE"""),"580301")</f>
        <v>580301</v>
      </c>
      <c r="H2691" s="17" t="str">
        <f>IFERROR(__xludf.DUMMYFUNCTION("""COMPUTED_VALUE"""),"взуття, загальне")</f>
        <v>взуття, загальне</v>
      </c>
      <c r="I2691" s="19">
        <f>IFERROR(__xludf.DUMMYFUNCTION("""COMPUTED_VALUE"""),0.125)</f>
        <v>0.125</v>
      </c>
      <c r="J2691" s="19">
        <f>IFERROR(__xludf.DUMMYFUNCTION("""COMPUTED_VALUE"""),0.25)</f>
        <v>0.25</v>
      </c>
      <c r="K2691" s="19">
        <f>IFERROR(__xludf.DUMMYFUNCTION("""COMPUTED_VALUE"""),0.3125)</f>
        <v>0.3125</v>
      </c>
      <c r="L2691" s="19">
        <f>IFERROR(__xludf.DUMMYFUNCTION("""COMPUTED_VALUE"""),0.375)</f>
        <v>0.375</v>
      </c>
      <c r="M2691" s="18">
        <f>IFERROR(__xludf.DUMMYFUNCTION("""COMPUTED_VALUE"""),4.33)</f>
        <v>4.33</v>
      </c>
    </row>
    <row r="2692">
      <c r="A2692" s="13" t="str">
        <f>IFERROR(__xludf.DUMMYFUNCTION("""COMPUTED_VALUE"""),"товари")</f>
        <v>товари</v>
      </c>
      <c r="B2692" s="16" t="str">
        <f>IFERROR(__xludf.DUMMYFUNCTION("""COMPUTED_VALUE"""),"одяг та взуття")</f>
        <v>одяг та взуття</v>
      </c>
      <c r="C2692" s="16" t="str">
        <f>IFERROR(__xludf.DUMMYFUNCTION("""COMPUTED_VALUE"""),"аксесуари для взуття")</f>
        <v>аксесуари для взуття</v>
      </c>
      <c r="D2692" s="16" t="str">
        <f>IFERROR(__xludf.DUMMYFUNCTION("""COMPUTED_VALUE""")," джибітси")</f>
        <v> джибітси</v>
      </c>
      <c r="E2692" s="16" t="str">
        <f>IFERROR(__xludf.DUMMYFUNCTION("""COMPUTED_VALUE""")," джибітси")</f>
        <v> джибітси</v>
      </c>
      <c r="F2692" s="17">
        <f>IFERROR(__xludf.DUMMYFUNCTION("""COMPUTED_VALUE"""),3.0)</f>
        <v>3</v>
      </c>
      <c r="G2692" s="17" t="str">
        <f>IFERROR(__xludf.DUMMYFUNCTION("""COMPUTED_VALUE"""),"580306")</f>
        <v>580306</v>
      </c>
      <c r="H2692" s="17" t="str">
        <f>IFERROR(__xludf.DUMMYFUNCTION("""COMPUTED_VALUE""")," джибітси")</f>
        <v> джибітси</v>
      </c>
      <c r="I2692" s="19">
        <f>IFERROR(__xludf.DUMMYFUNCTION("""COMPUTED_VALUE"""),0.0963)</f>
        <v>0.0963</v>
      </c>
      <c r="J2692" s="19">
        <f>IFERROR(__xludf.DUMMYFUNCTION("""COMPUTED_VALUE"""),0.1925)</f>
        <v>0.1925</v>
      </c>
      <c r="K2692" s="19">
        <f>IFERROR(__xludf.DUMMYFUNCTION("""COMPUTED_VALUE"""),0.2406)</f>
        <v>0.2406</v>
      </c>
      <c r="L2692" s="19">
        <f>IFERROR(__xludf.DUMMYFUNCTION("""COMPUTED_VALUE"""),0.2888)</f>
        <v>0.2888</v>
      </c>
      <c r="M2692" s="18">
        <f>IFERROR(__xludf.DUMMYFUNCTION("""COMPUTED_VALUE"""),1.05)</f>
        <v>1.05</v>
      </c>
    </row>
    <row r="2693">
      <c r="A2693" s="13" t="str">
        <f>IFERROR(__xludf.DUMMYFUNCTION("""COMPUTED_VALUE"""),"товари")</f>
        <v>товари</v>
      </c>
      <c r="B2693" s="16" t="str">
        <f>IFERROR(__xludf.DUMMYFUNCTION("""COMPUTED_VALUE"""),"одяг та взуття")</f>
        <v>одяг та взуття</v>
      </c>
      <c r="C2693" s="16" t="str">
        <f>IFERROR(__xludf.DUMMYFUNCTION("""COMPUTED_VALUE"""),"дитячий одяг та взуття")</f>
        <v>дитячий одяг та взуття</v>
      </c>
      <c r="D2693" s="16" t="str">
        <f>IFERROR(__xludf.DUMMYFUNCTION("""COMPUTED_VALUE"""),"дитяча білизна і купальники  ")</f>
        <v>дитяча білизна і купальники  </v>
      </c>
      <c r="E2693" s="16" t="str">
        <f>IFERROR(__xludf.DUMMYFUNCTION("""COMPUTED_VALUE"""),"дитяча білизна і купальники, загальне")</f>
        <v>дитяча білизна і купальники, загальне</v>
      </c>
      <c r="F2693" s="17">
        <f>IFERROR(__xludf.DUMMYFUNCTION("""COMPUTED_VALUE"""),4.0)</f>
        <v>4</v>
      </c>
      <c r="G2693" s="17" t="str">
        <f>IFERROR(__xludf.DUMMYFUNCTION("""COMPUTED_VALUE"""),"3110805")</f>
        <v>3110805</v>
      </c>
      <c r="H2693" s="17" t="str">
        <f>IFERROR(__xludf.DUMMYFUNCTION("""COMPUTED_VALUE"""),"дитяча білизна і купальники, загальне")</f>
        <v>дитяча білизна і купальники, загальне</v>
      </c>
      <c r="I2693" s="19">
        <f>IFERROR(__xludf.DUMMYFUNCTION("""COMPUTED_VALUE"""),0.125)</f>
        <v>0.125</v>
      </c>
      <c r="J2693" s="19">
        <f>IFERROR(__xludf.DUMMYFUNCTION("""COMPUTED_VALUE"""),0.25)</f>
        <v>0.25</v>
      </c>
      <c r="K2693" s="19">
        <f>IFERROR(__xludf.DUMMYFUNCTION("""COMPUTED_VALUE"""),0.3125)</f>
        <v>0.3125</v>
      </c>
      <c r="L2693" s="19">
        <f>IFERROR(__xludf.DUMMYFUNCTION("""COMPUTED_VALUE"""),0.375)</f>
        <v>0.375</v>
      </c>
      <c r="M2693" s="18">
        <f>IFERROR(__xludf.DUMMYFUNCTION("""COMPUTED_VALUE"""),4.33)</f>
        <v>4.33</v>
      </c>
    </row>
    <row r="2694">
      <c r="A2694" s="13" t="str">
        <f>IFERROR(__xludf.DUMMYFUNCTION("""COMPUTED_VALUE"""),"товари")</f>
        <v>товари</v>
      </c>
      <c r="B2694" s="16" t="str">
        <f>IFERROR(__xludf.DUMMYFUNCTION("""COMPUTED_VALUE"""),"одяг та взуття")</f>
        <v>одяг та взуття</v>
      </c>
      <c r="C2694" s="16" t="str">
        <f>IFERROR(__xludf.DUMMYFUNCTION("""COMPUTED_VALUE"""),"дитячий одяг та взуття")</f>
        <v>дитячий одяг та взуття</v>
      </c>
      <c r="D2694" s="16" t="str">
        <f>IFERROR(__xludf.DUMMYFUNCTION("""COMPUTED_VALUE"""),"дитяча білизна і купальники  ")</f>
        <v>дитяча білизна і купальники  </v>
      </c>
      <c r="E2694" s="16" t="str">
        <f>IFERROR(__xludf.DUMMYFUNCTION("""COMPUTED_VALUE"""),"дитяча термобілизна")</f>
        <v>дитяча термобілизна</v>
      </c>
      <c r="F2694" s="17">
        <f>IFERROR(__xludf.DUMMYFUNCTION("""COMPUTED_VALUE"""),4.0)</f>
        <v>4</v>
      </c>
      <c r="G2694" s="17" t="str">
        <f>IFERROR(__xludf.DUMMYFUNCTION("""COMPUTED_VALUE"""),"3110803")</f>
        <v>3110803</v>
      </c>
      <c r="H2694" s="17" t="str">
        <f>IFERROR(__xludf.DUMMYFUNCTION("""COMPUTED_VALUE"""),"дитяча термобілизна")</f>
        <v>дитяча термобілизна</v>
      </c>
      <c r="I2694" s="19">
        <f>IFERROR(__xludf.DUMMYFUNCTION("""COMPUTED_VALUE"""),0.0892)</f>
        <v>0.0892</v>
      </c>
      <c r="J2694" s="19">
        <f>IFERROR(__xludf.DUMMYFUNCTION("""COMPUTED_VALUE"""),0.1783)</f>
        <v>0.1783</v>
      </c>
      <c r="K2694" s="19">
        <f>IFERROR(__xludf.DUMMYFUNCTION("""COMPUTED_VALUE"""),0.2229)</f>
        <v>0.2229</v>
      </c>
      <c r="L2694" s="19">
        <f>IFERROR(__xludf.DUMMYFUNCTION("""COMPUTED_VALUE"""),0.2675)</f>
        <v>0.2675</v>
      </c>
      <c r="M2694" s="18">
        <f>IFERROR(__xludf.DUMMYFUNCTION("""COMPUTED_VALUE"""),1.05)</f>
        <v>1.05</v>
      </c>
    </row>
    <row r="2695">
      <c r="A2695" s="13" t="str">
        <f>IFERROR(__xludf.DUMMYFUNCTION("""COMPUTED_VALUE"""),"товари")</f>
        <v>товари</v>
      </c>
      <c r="B2695" s="16" t="str">
        <f>IFERROR(__xludf.DUMMYFUNCTION("""COMPUTED_VALUE"""),"одяг та взуття")</f>
        <v>одяг та взуття</v>
      </c>
      <c r="C2695" s="16" t="str">
        <f>IFERROR(__xludf.DUMMYFUNCTION("""COMPUTED_VALUE"""),"дитячий одяг та взуття")</f>
        <v>дитячий одяг та взуття</v>
      </c>
      <c r="D2695" s="16" t="str">
        <f>IFERROR(__xludf.DUMMYFUNCTION("""COMPUTED_VALUE"""),"дитяче та підліткове взуття")</f>
        <v>дитяче та підліткове взуття</v>
      </c>
      <c r="E2695" s="16" t="str">
        <f>IFERROR(__xludf.DUMMYFUNCTION("""COMPUTED_VALUE"""),"дитяче і підліткове демісезонне взуття")</f>
        <v>дитяче і підліткове демісезонне взуття</v>
      </c>
      <c r="F2695" s="17">
        <f>IFERROR(__xludf.DUMMYFUNCTION("""COMPUTED_VALUE"""),4.0)</f>
        <v>4</v>
      </c>
      <c r="G2695" s="17" t="str">
        <f>IFERROR(__xludf.DUMMYFUNCTION("""COMPUTED_VALUE"""),"3221201")</f>
        <v>3221201</v>
      </c>
      <c r="H2695" s="17" t="str">
        <f>IFERROR(__xludf.DUMMYFUNCTION("""COMPUTED_VALUE"""),"дитяче і підліткове демісезонне взуття")</f>
        <v>дитяче і підліткове демісезонне взуття</v>
      </c>
      <c r="I2695" s="19">
        <f>IFERROR(__xludf.DUMMYFUNCTION("""COMPUTED_VALUE"""),0.0905)</f>
        <v>0.0905</v>
      </c>
      <c r="J2695" s="19">
        <f>IFERROR(__xludf.DUMMYFUNCTION("""COMPUTED_VALUE"""),0.1809)</f>
        <v>0.1809</v>
      </c>
      <c r="K2695" s="19">
        <f>IFERROR(__xludf.DUMMYFUNCTION("""COMPUTED_VALUE"""),0.2261)</f>
        <v>0.2261</v>
      </c>
      <c r="L2695" s="19">
        <f>IFERROR(__xludf.DUMMYFUNCTION("""COMPUTED_VALUE"""),0.2714)</f>
        <v>0.2714</v>
      </c>
      <c r="M2695" s="18">
        <f>IFERROR(__xludf.DUMMYFUNCTION("""COMPUTED_VALUE"""),1.44)</f>
        <v>1.44</v>
      </c>
    </row>
    <row r="2696">
      <c r="A2696" s="13" t="str">
        <f>IFERROR(__xludf.DUMMYFUNCTION("""COMPUTED_VALUE"""),"товари")</f>
        <v>товари</v>
      </c>
      <c r="B2696" s="16" t="str">
        <f>IFERROR(__xludf.DUMMYFUNCTION("""COMPUTED_VALUE"""),"одяг та взуття")</f>
        <v>одяг та взуття</v>
      </c>
      <c r="C2696" s="16" t="str">
        <f>IFERROR(__xludf.DUMMYFUNCTION("""COMPUTED_VALUE"""),"дитячий одяг та взуття")</f>
        <v>дитячий одяг та взуття</v>
      </c>
      <c r="D2696" s="16" t="str">
        <f>IFERROR(__xludf.DUMMYFUNCTION("""COMPUTED_VALUE"""),"дитяче та підліткове взуття")</f>
        <v>дитяче та підліткове взуття</v>
      </c>
      <c r="E2696" s="16" t="str">
        <f>IFERROR(__xludf.DUMMYFUNCTION("""COMPUTED_VALUE"""),"дитяче та підліткове взуття, загальне")</f>
        <v>дитяче та підліткове взуття, загальне</v>
      </c>
      <c r="F2696" s="17">
        <f>IFERROR(__xludf.DUMMYFUNCTION("""COMPUTED_VALUE"""),4.0)</f>
        <v>4</v>
      </c>
      <c r="G2696" s="17" t="str">
        <f>IFERROR(__xludf.DUMMYFUNCTION("""COMPUTED_VALUE"""),"3221299")</f>
        <v>3221299</v>
      </c>
      <c r="H2696" s="17" t="str">
        <f>IFERROR(__xludf.DUMMYFUNCTION("""COMPUTED_VALUE"""),"дитяче та підліткове взуття, загальне")</f>
        <v>дитяче та підліткове взуття, загальне</v>
      </c>
      <c r="I2696" s="19">
        <f>IFERROR(__xludf.DUMMYFUNCTION("""COMPUTED_VALUE"""),0.125)</f>
        <v>0.125</v>
      </c>
      <c r="J2696" s="19">
        <f>IFERROR(__xludf.DUMMYFUNCTION("""COMPUTED_VALUE"""),0.25)</f>
        <v>0.25</v>
      </c>
      <c r="K2696" s="19">
        <f>IFERROR(__xludf.DUMMYFUNCTION("""COMPUTED_VALUE"""),0.3125)</f>
        <v>0.3125</v>
      </c>
      <c r="L2696" s="19">
        <f>IFERROR(__xludf.DUMMYFUNCTION("""COMPUTED_VALUE"""),0.375)</f>
        <v>0.375</v>
      </c>
      <c r="M2696" s="18">
        <f>IFERROR(__xludf.DUMMYFUNCTION("""COMPUTED_VALUE"""),4.33)</f>
        <v>4.33</v>
      </c>
    </row>
    <row r="2697">
      <c r="A2697" s="13" t="str">
        <f>IFERROR(__xludf.DUMMYFUNCTION("""COMPUTED_VALUE"""),"товари")</f>
        <v>товари</v>
      </c>
      <c r="B2697" s="16" t="str">
        <f>IFERROR(__xludf.DUMMYFUNCTION("""COMPUTED_VALUE"""),"одяг та взуття")</f>
        <v>одяг та взуття</v>
      </c>
      <c r="C2697" s="16" t="str">
        <f>IFERROR(__xludf.DUMMYFUNCTION("""COMPUTED_VALUE"""),"дитячий одяг та взуття")</f>
        <v>дитячий одяг та взуття</v>
      </c>
      <c r="D2697" s="16" t="str">
        <f>IFERROR(__xludf.DUMMYFUNCTION("""COMPUTED_VALUE"""),"дитяче та підліткове взуття")</f>
        <v>дитяче та підліткове взуття</v>
      </c>
      <c r="E2697" s="16" t="str">
        <f>IFERROR(__xludf.DUMMYFUNCTION("""COMPUTED_VALUE"""),"дитяче та підліткове зимове взуття")</f>
        <v>дитяче та підліткове зимове взуття</v>
      </c>
      <c r="F2697" s="17">
        <f>IFERROR(__xludf.DUMMYFUNCTION("""COMPUTED_VALUE"""),4.0)</f>
        <v>4</v>
      </c>
      <c r="G2697" s="17" t="str">
        <f>IFERROR(__xludf.DUMMYFUNCTION("""COMPUTED_VALUE"""),"3221211")</f>
        <v>3221211</v>
      </c>
      <c r="H2697" s="17" t="str">
        <f>IFERROR(__xludf.DUMMYFUNCTION("""COMPUTED_VALUE"""),"дитяче та підліткове зимове взуття")</f>
        <v>дитяче та підліткове зимове взуття</v>
      </c>
      <c r="I2697" s="19">
        <f>IFERROR(__xludf.DUMMYFUNCTION("""COMPUTED_VALUE"""),0.0905)</f>
        <v>0.0905</v>
      </c>
      <c r="J2697" s="19">
        <f>IFERROR(__xludf.DUMMYFUNCTION("""COMPUTED_VALUE"""),0.1809)</f>
        <v>0.1809</v>
      </c>
      <c r="K2697" s="19">
        <f>IFERROR(__xludf.DUMMYFUNCTION("""COMPUTED_VALUE"""),0.2261)</f>
        <v>0.2261</v>
      </c>
      <c r="L2697" s="19">
        <f>IFERROR(__xludf.DUMMYFUNCTION("""COMPUTED_VALUE"""),0.2714)</f>
        <v>0.2714</v>
      </c>
      <c r="M2697" s="18">
        <f>IFERROR(__xludf.DUMMYFUNCTION("""COMPUTED_VALUE"""),1.44)</f>
        <v>1.44</v>
      </c>
    </row>
    <row r="2698">
      <c r="A2698" s="13" t="str">
        <f>IFERROR(__xludf.DUMMYFUNCTION("""COMPUTED_VALUE"""),"товари")</f>
        <v>товари</v>
      </c>
      <c r="B2698" s="16" t="str">
        <f>IFERROR(__xludf.DUMMYFUNCTION("""COMPUTED_VALUE"""),"одяг та взуття")</f>
        <v>одяг та взуття</v>
      </c>
      <c r="C2698" s="16" t="str">
        <f>IFERROR(__xludf.DUMMYFUNCTION("""COMPUTED_VALUE"""),"дитячий одяг та взуття")</f>
        <v>дитячий одяг та взуття</v>
      </c>
      <c r="D2698" s="16" t="str">
        <f>IFERROR(__xludf.DUMMYFUNCTION("""COMPUTED_VALUE"""),"дитяче та підліткове взуття")</f>
        <v>дитяче та підліткове взуття</v>
      </c>
      <c r="E2698" s="16" t="str">
        <f>IFERROR(__xludf.DUMMYFUNCTION("""COMPUTED_VALUE"""),"дитяче та підліткове літнє взуття")</f>
        <v>дитяче та підліткове літнє взуття</v>
      </c>
      <c r="F2698" s="17">
        <f>IFERROR(__xludf.DUMMYFUNCTION("""COMPUTED_VALUE"""),4.0)</f>
        <v>4</v>
      </c>
      <c r="G2698" s="17" t="str">
        <f>IFERROR(__xludf.DUMMYFUNCTION("""COMPUTED_VALUE"""),"3221206")</f>
        <v>3221206</v>
      </c>
      <c r="H2698" s="17" t="str">
        <f>IFERROR(__xludf.DUMMYFUNCTION("""COMPUTED_VALUE"""),"дитяче та підліткове літнє взуття")</f>
        <v>дитяче та підліткове літнє взуття</v>
      </c>
      <c r="I2698" s="19">
        <f>IFERROR(__xludf.DUMMYFUNCTION("""COMPUTED_VALUE"""),0.0905)</f>
        <v>0.0905</v>
      </c>
      <c r="J2698" s="19">
        <f>IFERROR(__xludf.DUMMYFUNCTION("""COMPUTED_VALUE"""),0.1809)</f>
        <v>0.1809</v>
      </c>
      <c r="K2698" s="19">
        <f>IFERROR(__xludf.DUMMYFUNCTION("""COMPUTED_VALUE"""),0.2261)</f>
        <v>0.2261</v>
      </c>
      <c r="L2698" s="19">
        <f>IFERROR(__xludf.DUMMYFUNCTION("""COMPUTED_VALUE"""),0.2714)</f>
        <v>0.2714</v>
      </c>
      <c r="M2698" s="18">
        <f>IFERROR(__xludf.DUMMYFUNCTION("""COMPUTED_VALUE"""),1.44)</f>
        <v>1.44</v>
      </c>
    </row>
    <row r="2699">
      <c r="A2699" s="13" t="str">
        <f>IFERROR(__xludf.DUMMYFUNCTION("""COMPUTED_VALUE"""),"товари")</f>
        <v>товари</v>
      </c>
      <c r="B2699" s="16" t="str">
        <f>IFERROR(__xludf.DUMMYFUNCTION("""COMPUTED_VALUE"""),"одяг та взуття")</f>
        <v>одяг та взуття</v>
      </c>
      <c r="C2699" s="16" t="str">
        <f>IFERROR(__xludf.DUMMYFUNCTION("""COMPUTED_VALUE"""),"дитячий одяг та взуття")</f>
        <v>дитячий одяг та взуття</v>
      </c>
      <c r="D2699" s="16" t="str">
        <f>IFERROR(__xludf.DUMMYFUNCTION("""COMPUTED_VALUE"""),"дитяче та підліткове взуття")</f>
        <v>дитяче та підліткове взуття</v>
      </c>
      <c r="E2699" s="16" t="str">
        <f>IFERROR(__xludf.DUMMYFUNCTION("""COMPUTED_VALUE"""),"дитяче та підліткове ортопедичне взуття")</f>
        <v>дитяче та підліткове ортопедичне взуття</v>
      </c>
      <c r="F2699" s="17">
        <f>IFERROR(__xludf.DUMMYFUNCTION("""COMPUTED_VALUE"""),4.0)</f>
        <v>4</v>
      </c>
      <c r="G2699" s="17" t="str">
        <f>IFERROR(__xludf.DUMMYFUNCTION("""COMPUTED_VALUE"""),"3221208")</f>
        <v>3221208</v>
      </c>
      <c r="H2699" s="17" t="str">
        <f>IFERROR(__xludf.DUMMYFUNCTION("""COMPUTED_VALUE"""),"дитяче та підліткове ортопедичне взуття")</f>
        <v>дитяче та підліткове ортопедичне взуття</v>
      </c>
      <c r="I2699" s="19">
        <f>IFERROR(__xludf.DUMMYFUNCTION("""COMPUTED_VALUE"""),0.0731)</f>
        <v>0.0731</v>
      </c>
      <c r="J2699" s="19">
        <f>IFERROR(__xludf.DUMMYFUNCTION("""COMPUTED_VALUE"""),0.1462)</f>
        <v>0.1462</v>
      </c>
      <c r="K2699" s="19">
        <f>IFERROR(__xludf.DUMMYFUNCTION("""COMPUTED_VALUE"""),0.1828)</f>
        <v>0.1828</v>
      </c>
      <c r="L2699" s="19">
        <f>IFERROR(__xludf.DUMMYFUNCTION("""COMPUTED_VALUE"""),0.2193)</f>
        <v>0.2193</v>
      </c>
      <c r="M2699" s="18">
        <f>IFERROR(__xludf.DUMMYFUNCTION("""COMPUTED_VALUE"""),1.44)</f>
        <v>1.44</v>
      </c>
    </row>
    <row r="2700">
      <c r="A2700" s="13" t="str">
        <f>IFERROR(__xludf.DUMMYFUNCTION("""COMPUTED_VALUE"""),"товари")</f>
        <v>товари</v>
      </c>
      <c r="B2700" s="16" t="str">
        <f>IFERROR(__xludf.DUMMYFUNCTION("""COMPUTED_VALUE"""),"одяг та взуття")</f>
        <v>одяг та взуття</v>
      </c>
      <c r="C2700" s="16" t="str">
        <f>IFERROR(__xludf.DUMMYFUNCTION("""COMPUTED_VALUE"""),"дитячий одяг та взуття")</f>
        <v>дитячий одяг та взуття</v>
      </c>
      <c r="D2700" s="16" t="str">
        <f>IFERROR(__xludf.DUMMYFUNCTION("""COMPUTED_VALUE"""),"дитячий верхній одяг")</f>
        <v>дитячий верхній одяг</v>
      </c>
      <c r="E2700" s="16" t="str">
        <f>IFERROR(__xludf.DUMMYFUNCTION("""COMPUTED_VALUE"""),"дитячий верхній одяг")</f>
        <v>дитячий верхній одяг</v>
      </c>
      <c r="F2700" s="17">
        <f>IFERROR(__xludf.DUMMYFUNCTION("""COMPUTED_VALUE"""),3.0)</f>
        <v>3</v>
      </c>
      <c r="G2700" s="17" t="str">
        <f>IFERROR(__xludf.DUMMYFUNCTION("""COMPUTED_VALUE"""),"31101")</f>
        <v>31101</v>
      </c>
      <c r="H2700" s="17" t="str">
        <f>IFERROR(__xludf.DUMMYFUNCTION("""COMPUTED_VALUE"""),"дитячий верхній одяг")</f>
        <v>дитячий верхній одяг</v>
      </c>
      <c r="I2700" s="19">
        <f>IFERROR(__xludf.DUMMYFUNCTION("""COMPUTED_VALUE"""),0.0909)</f>
        <v>0.0909</v>
      </c>
      <c r="J2700" s="19">
        <f>IFERROR(__xludf.DUMMYFUNCTION("""COMPUTED_VALUE"""),0.1818)</f>
        <v>0.1818</v>
      </c>
      <c r="K2700" s="19">
        <f>IFERROR(__xludf.DUMMYFUNCTION("""COMPUTED_VALUE"""),0.2273)</f>
        <v>0.2273</v>
      </c>
      <c r="L2700" s="19">
        <f>IFERROR(__xludf.DUMMYFUNCTION("""COMPUTED_VALUE"""),0.2727)</f>
        <v>0.2727</v>
      </c>
      <c r="M2700" s="18">
        <f>IFERROR(__xludf.DUMMYFUNCTION("""COMPUTED_VALUE"""),1.44)</f>
        <v>1.44</v>
      </c>
    </row>
    <row r="2701">
      <c r="A2701" s="13" t="str">
        <f>IFERROR(__xludf.DUMMYFUNCTION("""COMPUTED_VALUE"""),"товари")</f>
        <v>товари</v>
      </c>
      <c r="B2701" s="16" t="str">
        <f>IFERROR(__xludf.DUMMYFUNCTION("""COMPUTED_VALUE"""),"одяг та взуття")</f>
        <v>одяг та взуття</v>
      </c>
      <c r="C2701" s="16" t="str">
        <f>IFERROR(__xludf.DUMMYFUNCTION("""COMPUTED_VALUE"""),"дитячий одяг та взуття")</f>
        <v>дитячий одяг та взуття</v>
      </c>
      <c r="D2701" s="16" t="str">
        <f>IFERROR(__xludf.DUMMYFUNCTION("""COMPUTED_VALUE"""),"дитячий одяг для сну та дому")</f>
        <v>дитячий одяг для сну та дому</v>
      </c>
      <c r="E2701" s="16" t="str">
        <f>IFERROR(__xludf.DUMMYFUNCTION("""COMPUTED_VALUE"""),"дитячий домашній одяг")</f>
        <v>дитячий домашній одяг</v>
      </c>
      <c r="F2701" s="17">
        <f>IFERROR(__xludf.DUMMYFUNCTION("""COMPUTED_VALUE"""),4.0)</f>
        <v>4</v>
      </c>
      <c r="G2701" s="17" t="str">
        <f>IFERROR(__xludf.DUMMYFUNCTION("""COMPUTED_VALUE"""),"3661303")</f>
        <v>3661303</v>
      </c>
      <c r="H2701" s="17" t="str">
        <f>IFERROR(__xludf.DUMMYFUNCTION("""COMPUTED_VALUE"""),"дитячий домашній одяг")</f>
        <v>дитячий домашній одяг</v>
      </c>
      <c r="I2701" s="19">
        <f>IFERROR(__xludf.DUMMYFUNCTION("""COMPUTED_VALUE"""),0.0948)</f>
        <v>0.0948</v>
      </c>
      <c r="J2701" s="19">
        <f>IFERROR(__xludf.DUMMYFUNCTION("""COMPUTED_VALUE"""),0.1896)</f>
        <v>0.1896</v>
      </c>
      <c r="K2701" s="19">
        <f>IFERROR(__xludf.DUMMYFUNCTION("""COMPUTED_VALUE"""),0.237)</f>
        <v>0.237</v>
      </c>
      <c r="L2701" s="19">
        <f>IFERROR(__xludf.DUMMYFUNCTION("""COMPUTED_VALUE"""),0.2844)</f>
        <v>0.2844</v>
      </c>
      <c r="M2701" s="18">
        <f>IFERROR(__xludf.DUMMYFUNCTION("""COMPUTED_VALUE"""),1.8)</f>
        <v>1.8</v>
      </c>
    </row>
    <row r="2702">
      <c r="A2702" s="13" t="str">
        <f>IFERROR(__xludf.DUMMYFUNCTION("""COMPUTED_VALUE"""),"товари")</f>
        <v>товари</v>
      </c>
      <c r="B2702" s="16" t="str">
        <f>IFERROR(__xludf.DUMMYFUNCTION("""COMPUTED_VALUE"""),"одяг та взуття")</f>
        <v>одяг та взуття</v>
      </c>
      <c r="C2702" s="16" t="str">
        <f>IFERROR(__xludf.DUMMYFUNCTION("""COMPUTED_VALUE"""),"дитячий одяг та взуття")</f>
        <v>дитячий одяг та взуття</v>
      </c>
      <c r="D2702" s="16" t="str">
        <f>IFERROR(__xludf.DUMMYFUNCTION("""COMPUTED_VALUE"""),"дитячий одяг для сну та дому")</f>
        <v>дитячий одяг для сну та дому</v>
      </c>
      <c r="E2702" s="16" t="str">
        <f>IFERROR(__xludf.DUMMYFUNCTION("""COMPUTED_VALUE"""),"дитячий домашній одяг, загальне")</f>
        <v>дитячий домашній одяг, загальне</v>
      </c>
      <c r="F2702" s="17">
        <f>IFERROR(__xludf.DUMMYFUNCTION("""COMPUTED_VALUE"""),4.0)</f>
        <v>4</v>
      </c>
      <c r="G2702" s="17" t="str">
        <f>IFERROR(__xludf.DUMMYFUNCTION("""COMPUTED_VALUE"""),"3661304")</f>
        <v>3661304</v>
      </c>
      <c r="H2702" s="17" t="str">
        <f>IFERROR(__xludf.DUMMYFUNCTION("""COMPUTED_VALUE"""),"дитячий домашній одяг, загальне")</f>
        <v>дитячий домашній одяг, загальне</v>
      </c>
      <c r="I2702" s="19">
        <f>IFERROR(__xludf.DUMMYFUNCTION("""COMPUTED_VALUE"""),0.125)</f>
        <v>0.125</v>
      </c>
      <c r="J2702" s="19">
        <f>IFERROR(__xludf.DUMMYFUNCTION("""COMPUTED_VALUE"""),0.25)</f>
        <v>0.25</v>
      </c>
      <c r="K2702" s="19">
        <f>IFERROR(__xludf.DUMMYFUNCTION("""COMPUTED_VALUE"""),0.3125)</f>
        <v>0.3125</v>
      </c>
      <c r="L2702" s="19">
        <f>IFERROR(__xludf.DUMMYFUNCTION("""COMPUTED_VALUE"""),0.375)</f>
        <v>0.375</v>
      </c>
      <c r="M2702" s="18">
        <f>IFERROR(__xludf.DUMMYFUNCTION("""COMPUTED_VALUE"""),4.33)</f>
        <v>4.33</v>
      </c>
    </row>
    <row r="2703">
      <c r="A2703" s="13" t="str">
        <f>IFERROR(__xludf.DUMMYFUNCTION("""COMPUTED_VALUE"""),"товари")</f>
        <v>товари</v>
      </c>
      <c r="B2703" s="16" t="str">
        <f>IFERROR(__xludf.DUMMYFUNCTION("""COMPUTED_VALUE"""),"одяг та взуття")</f>
        <v>одяг та взуття</v>
      </c>
      <c r="C2703" s="16" t="str">
        <f>IFERROR(__xludf.DUMMYFUNCTION("""COMPUTED_VALUE"""),"дитячий одяг та взуття")</f>
        <v>дитячий одяг та взуття</v>
      </c>
      <c r="D2703" s="16" t="str">
        <f>IFERROR(__xludf.DUMMYFUNCTION("""COMPUTED_VALUE"""),"дитячий етнічний одяг")</f>
        <v>дитячий етнічний одяг</v>
      </c>
      <c r="E2703" s="16" t="str">
        <f>IFERROR(__xludf.DUMMYFUNCTION("""COMPUTED_VALUE"""),"дитячий етнічний одяг")</f>
        <v>дитячий етнічний одяг</v>
      </c>
      <c r="F2703" s="17">
        <f>IFERROR(__xludf.DUMMYFUNCTION("""COMPUTED_VALUE"""),3.0)</f>
        <v>3</v>
      </c>
      <c r="G2703" s="17" t="str">
        <f>IFERROR(__xludf.DUMMYFUNCTION("""COMPUTED_VALUE"""),"31019")</f>
        <v>31019</v>
      </c>
      <c r="H2703" s="17" t="str">
        <f>IFERROR(__xludf.DUMMYFUNCTION("""COMPUTED_VALUE"""),"дитячий етнічний одяг")</f>
        <v>дитячий етнічний одяг</v>
      </c>
      <c r="I2703" s="19">
        <f>IFERROR(__xludf.DUMMYFUNCTION("""COMPUTED_VALUE"""),0.0909)</f>
        <v>0.0909</v>
      </c>
      <c r="J2703" s="19">
        <f>IFERROR(__xludf.DUMMYFUNCTION("""COMPUTED_VALUE"""),0.1818)</f>
        <v>0.1818</v>
      </c>
      <c r="K2703" s="19">
        <f>IFERROR(__xludf.DUMMYFUNCTION("""COMPUTED_VALUE"""),0.2273)</f>
        <v>0.2273</v>
      </c>
      <c r="L2703" s="19">
        <f>IFERROR(__xludf.DUMMYFUNCTION("""COMPUTED_VALUE"""),0.2727)</f>
        <v>0.2727</v>
      </c>
      <c r="M2703" s="18">
        <f>IFERROR(__xludf.DUMMYFUNCTION("""COMPUTED_VALUE"""),1.44)</f>
        <v>1.44</v>
      </c>
    </row>
    <row r="2704">
      <c r="A2704" s="13" t="str">
        <f>IFERROR(__xludf.DUMMYFUNCTION("""COMPUTED_VALUE"""),"товари")</f>
        <v>товари</v>
      </c>
      <c r="B2704" s="16" t="str">
        <f>IFERROR(__xludf.DUMMYFUNCTION("""COMPUTED_VALUE"""),"одяг та взуття")</f>
        <v>одяг та взуття</v>
      </c>
      <c r="C2704" s="16" t="str">
        <f>IFERROR(__xludf.DUMMYFUNCTION("""COMPUTED_VALUE"""),"дитячий одяг та взуття")</f>
        <v>дитячий одяг та взуття</v>
      </c>
      <c r="D2704" s="16" t="str">
        <f>IFERROR(__xludf.DUMMYFUNCTION("""COMPUTED_VALUE"""),"одяг для малюків")</f>
        <v>одяг для малюків</v>
      </c>
      <c r="E2704" s="16" t="str">
        <f>IFERROR(__xludf.DUMMYFUNCTION("""COMPUTED_VALUE"""),"дитячий одяг для хрещення")</f>
        <v>дитячий одяг для хрещення</v>
      </c>
      <c r="F2704" s="17">
        <f>IFERROR(__xludf.DUMMYFUNCTION("""COMPUTED_VALUE"""),4.0)</f>
        <v>4</v>
      </c>
      <c r="G2704" s="17" t="str">
        <f>IFERROR(__xludf.DUMMYFUNCTION("""COMPUTED_VALUE"""),"282613")</f>
        <v>282613</v>
      </c>
      <c r="H2704" s="17" t="str">
        <f>IFERROR(__xludf.DUMMYFUNCTION("""COMPUTED_VALUE"""),"дитячий одяг для хрещення")</f>
        <v>дитячий одяг для хрещення</v>
      </c>
      <c r="I2704" s="19">
        <f>IFERROR(__xludf.DUMMYFUNCTION("""COMPUTED_VALUE"""),0.0931)</f>
        <v>0.0931</v>
      </c>
      <c r="J2704" s="19">
        <f>IFERROR(__xludf.DUMMYFUNCTION("""COMPUTED_VALUE"""),0.1861)</f>
        <v>0.1861</v>
      </c>
      <c r="K2704" s="19">
        <f>IFERROR(__xludf.DUMMYFUNCTION("""COMPUTED_VALUE"""),0.2326)</f>
        <v>0.2326</v>
      </c>
      <c r="L2704" s="19">
        <f>IFERROR(__xludf.DUMMYFUNCTION("""COMPUTED_VALUE"""),0.2792)</f>
        <v>0.2792</v>
      </c>
      <c r="M2704" s="18">
        <f>IFERROR(__xludf.DUMMYFUNCTION("""COMPUTED_VALUE"""),1.44)</f>
        <v>1.44</v>
      </c>
    </row>
    <row r="2705">
      <c r="A2705" s="13" t="str">
        <f>IFERROR(__xludf.DUMMYFUNCTION("""COMPUTED_VALUE"""),"товари")</f>
        <v>товари</v>
      </c>
      <c r="B2705" s="16" t="str">
        <f>IFERROR(__xludf.DUMMYFUNCTION("""COMPUTED_VALUE"""),"одяг та взуття")</f>
        <v>одяг та взуття</v>
      </c>
      <c r="C2705" s="16" t="str">
        <f>IFERROR(__xludf.DUMMYFUNCTION("""COMPUTED_VALUE"""),"дитячий одяг та взуття")</f>
        <v>дитячий одяг та взуття</v>
      </c>
      <c r="D2705" s="16" t="str">
        <f>IFERROR(__xludf.DUMMYFUNCTION("""COMPUTED_VALUE"""),"дитячий одяг та взуття, загальне")</f>
        <v>дитячий одяг та взуття, загальне</v>
      </c>
      <c r="E2705" s="16" t="str">
        <f>IFERROR(__xludf.DUMMYFUNCTION("""COMPUTED_VALUE"""),"дитячий одяг та взуття, загальне")</f>
        <v>дитячий одяг та взуття, загальне</v>
      </c>
      <c r="F2705" s="17">
        <f>IFERROR(__xludf.DUMMYFUNCTION("""COMPUTED_VALUE"""),3.0)</f>
        <v>3</v>
      </c>
      <c r="G2705" s="17" t="str">
        <f>IFERROR(__xludf.DUMMYFUNCTION("""COMPUTED_VALUE"""),"31199")</f>
        <v>31199</v>
      </c>
      <c r="H2705" s="17" t="str">
        <f>IFERROR(__xludf.DUMMYFUNCTION("""COMPUTED_VALUE"""),"дитячий одяг та взуття, загальне")</f>
        <v>дитячий одяг та взуття, загальне</v>
      </c>
      <c r="I2705" s="19">
        <f>IFERROR(__xludf.DUMMYFUNCTION("""COMPUTED_VALUE"""),0.125)</f>
        <v>0.125</v>
      </c>
      <c r="J2705" s="19">
        <f>IFERROR(__xludf.DUMMYFUNCTION("""COMPUTED_VALUE"""),0.25)</f>
        <v>0.25</v>
      </c>
      <c r="K2705" s="19">
        <f>IFERROR(__xludf.DUMMYFUNCTION("""COMPUTED_VALUE"""),0.3125)</f>
        <v>0.3125</v>
      </c>
      <c r="L2705" s="19">
        <f>IFERROR(__xludf.DUMMYFUNCTION("""COMPUTED_VALUE"""),0.375)</f>
        <v>0.375</v>
      </c>
      <c r="M2705" s="18">
        <f>IFERROR(__xludf.DUMMYFUNCTION("""COMPUTED_VALUE"""),4.33)</f>
        <v>4.33</v>
      </c>
    </row>
    <row r="2706">
      <c r="A2706" s="13" t="str">
        <f>IFERROR(__xludf.DUMMYFUNCTION("""COMPUTED_VALUE"""),"товари")</f>
        <v>товари</v>
      </c>
      <c r="B2706" s="16" t="str">
        <f>IFERROR(__xludf.DUMMYFUNCTION("""COMPUTED_VALUE"""),"одяг та взуття")</f>
        <v>одяг та взуття</v>
      </c>
      <c r="C2706" s="16" t="str">
        <f>IFERROR(__xludf.DUMMYFUNCTION("""COMPUTED_VALUE"""),"дитячий одяг та взуття")</f>
        <v>дитячий одяг та взуття</v>
      </c>
      <c r="D2706" s="16" t="str">
        <f>IFERROR(__xludf.DUMMYFUNCTION("""COMPUTED_VALUE"""),"дитячий спортивний одяг")</f>
        <v>дитячий спортивний одяг</v>
      </c>
      <c r="E2706" s="16" t="str">
        <f>IFERROR(__xludf.DUMMYFUNCTION("""COMPUTED_VALUE"""),"дитячий спортивний одяг, загальне")</f>
        <v>дитячий спортивний одяг, загальне</v>
      </c>
      <c r="F2706" s="17">
        <f>IFERROR(__xludf.DUMMYFUNCTION("""COMPUTED_VALUE"""),4.0)</f>
        <v>4</v>
      </c>
      <c r="G2706" s="17" t="str">
        <f>IFERROR(__xludf.DUMMYFUNCTION("""COMPUTED_VALUE"""),"3110511")</f>
        <v>3110511</v>
      </c>
      <c r="H2706" s="17" t="str">
        <f>IFERROR(__xludf.DUMMYFUNCTION("""COMPUTED_VALUE"""),"дитячий спортивний одяг, загальне")</f>
        <v>дитячий спортивний одяг, загальне</v>
      </c>
      <c r="I2706" s="19">
        <f>IFERROR(__xludf.DUMMYFUNCTION("""COMPUTED_VALUE"""),0.125)</f>
        <v>0.125</v>
      </c>
      <c r="J2706" s="19">
        <f>IFERROR(__xludf.DUMMYFUNCTION("""COMPUTED_VALUE"""),0.25)</f>
        <v>0.25</v>
      </c>
      <c r="K2706" s="19">
        <f>IFERROR(__xludf.DUMMYFUNCTION("""COMPUTED_VALUE"""),0.3125)</f>
        <v>0.3125</v>
      </c>
      <c r="L2706" s="19">
        <f>IFERROR(__xludf.DUMMYFUNCTION("""COMPUTED_VALUE"""),0.375)</f>
        <v>0.375</v>
      </c>
      <c r="M2706" s="18">
        <f>IFERROR(__xludf.DUMMYFUNCTION("""COMPUTED_VALUE"""),4.33)</f>
        <v>4.33</v>
      </c>
    </row>
    <row r="2707">
      <c r="A2707" s="13" t="str">
        <f>IFERROR(__xludf.DUMMYFUNCTION("""COMPUTED_VALUE"""),"товари")</f>
        <v>товари</v>
      </c>
      <c r="B2707" s="16" t="str">
        <f>IFERROR(__xludf.DUMMYFUNCTION("""COMPUTED_VALUE"""),"одяг та взуття")</f>
        <v>одяг та взуття</v>
      </c>
      <c r="C2707" s="16" t="str">
        <f>IFERROR(__xludf.DUMMYFUNCTION("""COMPUTED_VALUE"""),"дитячий одяг та взуття")</f>
        <v>дитячий одяг та взуття</v>
      </c>
      <c r="D2707" s="16" t="str">
        <f>IFERROR(__xludf.DUMMYFUNCTION("""COMPUTED_VALUE"""),"дитяче та підліткове взуття")</f>
        <v>дитяче та підліткове взуття</v>
      </c>
      <c r="E2707" s="16" t="str">
        <f>IFERROR(__xludf.DUMMYFUNCTION("""COMPUTED_VALUE"""),"дитячі і підліткові гумові чоботи")</f>
        <v>дитячі і підліткові гумові чоботи</v>
      </c>
      <c r="F2707" s="17">
        <f>IFERROR(__xludf.DUMMYFUNCTION("""COMPUTED_VALUE"""),4.0)</f>
        <v>4</v>
      </c>
      <c r="G2707" s="17" t="str">
        <f>IFERROR(__xludf.DUMMYFUNCTION("""COMPUTED_VALUE"""),"3221205")</f>
        <v>3221205</v>
      </c>
      <c r="H2707" s="17" t="str">
        <f>IFERROR(__xludf.DUMMYFUNCTION("""COMPUTED_VALUE"""),"дитячі і підліткові гумові чоботи")</f>
        <v>дитячі і підліткові гумові чоботи</v>
      </c>
      <c r="I2707" s="19">
        <f>IFERROR(__xludf.DUMMYFUNCTION("""COMPUTED_VALUE"""),0.0905)</f>
        <v>0.0905</v>
      </c>
      <c r="J2707" s="19">
        <f>IFERROR(__xludf.DUMMYFUNCTION("""COMPUTED_VALUE"""),0.1809)</f>
        <v>0.1809</v>
      </c>
      <c r="K2707" s="19">
        <f>IFERROR(__xludf.DUMMYFUNCTION("""COMPUTED_VALUE"""),0.2261)</f>
        <v>0.2261</v>
      </c>
      <c r="L2707" s="19">
        <f>IFERROR(__xludf.DUMMYFUNCTION("""COMPUTED_VALUE"""),0.2714)</f>
        <v>0.2714</v>
      </c>
      <c r="M2707" s="18">
        <f>IFERROR(__xludf.DUMMYFUNCTION("""COMPUTED_VALUE"""),1.44)</f>
        <v>1.44</v>
      </c>
    </row>
    <row r="2708">
      <c r="A2708" s="13" t="str">
        <f>IFERROR(__xludf.DUMMYFUNCTION("""COMPUTED_VALUE"""),"товари")</f>
        <v>товари</v>
      </c>
      <c r="B2708" s="16" t="str">
        <f>IFERROR(__xludf.DUMMYFUNCTION("""COMPUTED_VALUE"""),"одяг та взуття")</f>
        <v>одяг та взуття</v>
      </c>
      <c r="C2708" s="16" t="str">
        <f>IFERROR(__xludf.DUMMYFUNCTION("""COMPUTED_VALUE"""),"карнавальні костюми")</f>
        <v>карнавальні костюми</v>
      </c>
      <c r="D2708" s="16" t="str">
        <f>IFERROR(__xludf.DUMMYFUNCTION("""COMPUTED_VALUE"""),"дитячі карнавальні костюми")</f>
        <v>дитячі карнавальні костюми</v>
      </c>
      <c r="E2708" s="16" t="str">
        <f>IFERROR(__xludf.DUMMYFUNCTION("""COMPUTED_VALUE"""),"дитячі карнавальні костюми")</f>
        <v>дитячі карнавальні костюми</v>
      </c>
      <c r="F2708" s="17">
        <f>IFERROR(__xludf.DUMMYFUNCTION("""COMPUTED_VALUE"""),3.0)</f>
        <v>3</v>
      </c>
      <c r="G2708" s="17" t="str">
        <f>IFERROR(__xludf.DUMMYFUNCTION("""COMPUTED_VALUE"""),"34704")</f>
        <v>34704</v>
      </c>
      <c r="H2708" s="17" t="str">
        <f>IFERROR(__xludf.DUMMYFUNCTION("""COMPUTED_VALUE"""),"дитячі карнавальні костюми")</f>
        <v>дитячі карнавальні костюми</v>
      </c>
      <c r="I2708" s="19">
        <f>IFERROR(__xludf.DUMMYFUNCTION("""COMPUTED_VALUE"""),0.0667)</f>
        <v>0.0667</v>
      </c>
      <c r="J2708" s="19">
        <f>IFERROR(__xludf.DUMMYFUNCTION("""COMPUTED_VALUE"""),0.1334)</f>
        <v>0.1334</v>
      </c>
      <c r="K2708" s="19">
        <f>IFERROR(__xludf.DUMMYFUNCTION("""COMPUTED_VALUE"""),0.1668)</f>
        <v>0.1668</v>
      </c>
      <c r="L2708" s="19">
        <f>IFERROR(__xludf.DUMMYFUNCTION("""COMPUTED_VALUE"""),0.2001)</f>
        <v>0.2001</v>
      </c>
      <c r="M2708" s="18">
        <f>IFERROR(__xludf.DUMMYFUNCTION("""COMPUTED_VALUE"""),1.53)</f>
        <v>1.53</v>
      </c>
    </row>
    <row r="2709">
      <c r="A2709" s="13" t="str">
        <f>IFERROR(__xludf.DUMMYFUNCTION("""COMPUTED_VALUE"""),"товари")</f>
        <v>товари</v>
      </c>
      <c r="B2709" s="16" t="str">
        <f>IFERROR(__xludf.DUMMYFUNCTION("""COMPUTED_VALUE"""),"одяг та взуття")</f>
        <v>одяг та взуття</v>
      </c>
      <c r="C2709" s="16" t="str">
        <f>IFERROR(__xludf.DUMMYFUNCTION("""COMPUTED_VALUE"""),"дитячий одяг та взуття")</f>
        <v>дитячий одяг та взуття</v>
      </c>
      <c r="D2709" s="16" t="str">
        <f>IFERROR(__xludf.DUMMYFUNCTION("""COMPUTED_VALUE"""),"дитяча білизна і купальники  ")</f>
        <v>дитяча білизна і купальники  </v>
      </c>
      <c r="E2709" s="16" t="str">
        <f>IFERROR(__xludf.DUMMYFUNCTION("""COMPUTED_VALUE"""),"дитячі колготи")</f>
        <v>дитячі колготи</v>
      </c>
      <c r="F2709" s="17">
        <f>IFERROR(__xludf.DUMMYFUNCTION("""COMPUTED_VALUE"""),4.0)</f>
        <v>4</v>
      </c>
      <c r="G2709" s="17" t="str">
        <f>IFERROR(__xludf.DUMMYFUNCTION("""COMPUTED_VALUE"""),"31114")</f>
        <v>31114</v>
      </c>
      <c r="H2709" s="17" t="str">
        <f>IFERROR(__xludf.DUMMYFUNCTION("""COMPUTED_VALUE"""),"дитячі колготи")</f>
        <v>дитячі колготи</v>
      </c>
      <c r="I2709" s="19">
        <f>IFERROR(__xludf.DUMMYFUNCTION("""COMPUTED_VALUE"""),0.0892)</f>
        <v>0.0892</v>
      </c>
      <c r="J2709" s="19">
        <f>IFERROR(__xludf.DUMMYFUNCTION("""COMPUTED_VALUE"""),0.1783)</f>
        <v>0.1783</v>
      </c>
      <c r="K2709" s="19">
        <f>IFERROR(__xludf.DUMMYFUNCTION("""COMPUTED_VALUE"""),0.2229)</f>
        <v>0.2229</v>
      </c>
      <c r="L2709" s="19">
        <f>IFERROR(__xludf.DUMMYFUNCTION("""COMPUTED_VALUE"""),0.2675)</f>
        <v>0.2675</v>
      </c>
      <c r="M2709" s="18">
        <f>IFERROR(__xludf.DUMMYFUNCTION("""COMPUTED_VALUE"""),1.05)</f>
        <v>1.05</v>
      </c>
    </row>
    <row r="2710">
      <c r="A2710" s="13" t="str">
        <f>IFERROR(__xludf.DUMMYFUNCTION("""COMPUTED_VALUE"""),"товари")</f>
        <v>товари</v>
      </c>
      <c r="B2710" s="16" t="str">
        <f>IFERROR(__xludf.DUMMYFUNCTION("""COMPUTED_VALUE"""),"одяг та взуття")</f>
        <v>одяг та взуття</v>
      </c>
      <c r="C2710" s="16" t="str">
        <f>IFERROR(__xludf.DUMMYFUNCTION("""COMPUTED_VALUE"""),"дитячий одяг та взуття")</f>
        <v>дитячий одяг та взуття</v>
      </c>
      <c r="D2710" s="16" t="str">
        <f>IFERROR(__xludf.DUMMYFUNCTION("""COMPUTED_VALUE"""),"дитяча білизна і купальники  ")</f>
        <v>дитяча білизна і купальники  </v>
      </c>
      <c r="E2710" s="16" t="str">
        <f>IFERROR(__xludf.DUMMYFUNCTION("""COMPUTED_VALUE"""),"дитячі купальники і плавки")</f>
        <v>дитячі купальники і плавки</v>
      </c>
      <c r="F2710" s="17">
        <f>IFERROR(__xludf.DUMMYFUNCTION("""COMPUTED_VALUE"""),4.0)</f>
        <v>4</v>
      </c>
      <c r="G2710" s="17" t="str">
        <f>IFERROR(__xludf.DUMMYFUNCTION("""COMPUTED_VALUE"""),"3110806")</f>
        <v>3110806</v>
      </c>
      <c r="H2710" s="17" t="str">
        <f>IFERROR(__xludf.DUMMYFUNCTION("""COMPUTED_VALUE"""),"дитячі купальники і плавки")</f>
        <v>дитячі купальники і плавки</v>
      </c>
      <c r="I2710" s="19">
        <f>IFERROR(__xludf.DUMMYFUNCTION("""COMPUTED_VALUE"""),0.0892)</f>
        <v>0.0892</v>
      </c>
      <c r="J2710" s="19">
        <f>IFERROR(__xludf.DUMMYFUNCTION("""COMPUTED_VALUE"""),0.1783)</f>
        <v>0.1783</v>
      </c>
      <c r="K2710" s="19">
        <f>IFERROR(__xludf.DUMMYFUNCTION("""COMPUTED_VALUE"""),0.2229)</f>
        <v>0.2229</v>
      </c>
      <c r="L2710" s="19">
        <f>IFERROR(__xludf.DUMMYFUNCTION("""COMPUTED_VALUE"""),0.2675)</f>
        <v>0.2675</v>
      </c>
      <c r="M2710" s="18">
        <f>IFERROR(__xludf.DUMMYFUNCTION("""COMPUTED_VALUE"""),1.05)</f>
        <v>1.05</v>
      </c>
    </row>
    <row r="2711">
      <c r="A2711" s="13" t="str">
        <f>IFERROR(__xludf.DUMMYFUNCTION("""COMPUTED_VALUE"""),"товари")</f>
        <v>товари</v>
      </c>
      <c r="B2711" s="16" t="str">
        <f>IFERROR(__xludf.DUMMYFUNCTION("""COMPUTED_VALUE"""),"одяг та взуття")</f>
        <v>одяг та взуття</v>
      </c>
      <c r="C2711" s="16" t="str">
        <f>IFERROR(__xludf.DUMMYFUNCTION("""COMPUTED_VALUE"""),"дитячий одяг та взуття")</f>
        <v>дитячий одяг та взуття</v>
      </c>
      <c r="D2711" s="16" t="str">
        <f>IFERROR(__xludf.DUMMYFUNCTION("""COMPUTED_VALUE"""),"одяг для дівчаток")</f>
        <v>одяг для дівчаток</v>
      </c>
      <c r="E2711" s="16" t="str">
        <f>IFERROR(__xludf.DUMMYFUNCTION("""COMPUTED_VALUE"""),"дитячі лосини")</f>
        <v>дитячі лосини</v>
      </c>
      <c r="F2711" s="17">
        <f>IFERROR(__xludf.DUMMYFUNCTION("""COMPUTED_VALUE"""),4.0)</f>
        <v>4</v>
      </c>
      <c r="G2711" s="17" t="str">
        <f>IFERROR(__xludf.DUMMYFUNCTION("""COMPUTED_VALUE"""),"3112503")</f>
        <v>3112503</v>
      </c>
      <c r="H2711" s="17" t="str">
        <f>IFERROR(__xludf.DUMMYFUNCTION("""COMPUTED_VALUE"""),"дитячі лосини")</f>
        <v>дитячі лосини</v>
      </c>
      <c r="I2711" s="19">
        <f>IFERROR(__xludf.DUMMYFUNCTION("""COMPUTED_VALUE"""),0.0927)</f>
        <v>0.0927</v>
      </c>
      <c r="J2711" s="19">
        <f>IFERROR(__xludf.DUMMYFUNCTION("""COMPUTED_VALUE"""),0.1853)</f>
        <v>0.1853</v>
      </c>
      <c r="K2711" s="19">
        <f>IFERROR(__xludf.DUMMYFUNCTION("""COMPUTED_VALUE"""),0.2316)</f>
        <v>0.2316</v>
      </c>
      <c r="L2711" s="19">
        <f>IFERROR(__xludf.DUMMYFUNCTION("""COMPUTED_VALUE"""),0.278)</f>
        <v>0.278</v>
      </c>
      <c r="M2711" s="18">
        <f>IFERROR(__xludf.DUMMYFUNCTION("""COMPUTED_VALUE"""),1.63)</f>
        <v>1.63</v>
      </c>
    </row>
    <row r="2712">
      <c r="A2712" s="13" t="str">
        <f>IFERROR(__xludf.DUMMYFUNCTION("""COMPUTED_VALUE"""),"товари")</f>
        <v>товари</v>
      </c>
      <c r="B2712" s="16" t="str">
        <f>IFERROR(__xludf.DUMMYFUNCTION("""COMPUTED_VALUE"""),"одяг та взуття")</f>
        <v>одяг та взуття</v>
      </c>
      <c r="C2712" s="16" t="str">
        <f>IFERROR(__xludf.DUMMYFUNCTION("""COMPUTED_VALUE"""),"дитячий одяг та взуття")</f>
        <v>дитячий одяг та взуття</v>
      </c>
      <c r="D2712" s="16" t="str">
        <f>IFERROR(__xludf.DUMMYFUNCTION("""COMPUTED_VALUE"""),"дитячий одяг для сну та дому")</f>
        <v>дитячий одяг для сну та дому</v>
      </c>
      <c r="E2712" s="16" t="str">
        <f>IFERROR(__xludf.DUMMYFUNCTION("""COMPUTED_VALUE"""),"дитячі піжами")</f>
        <v>дитячі піжами</v>
      </c>
      <c r="F2712" s="17">
        <f>IFERROR(__xludf.DUMMYFUNCTION("""COMPUTED_VALUE"""),4.0)</f>
        <v>4</v>
      </c>
      <c r="G2712" s="17" t="str">
        <f>IFERROR(__xludf.DUMMYFUNCTION("""COMPUTED_VALUE"""),"31113")</f>
        <v>31113</v>
      </c>
      <c r="H2712" s="17" t="str">
        <f>IFERROR(__xludf.DUMMYFUNCTION("""COMPUTED_VALUE"""),"дитячі піжами")</f>
        <v>дитячі піжами</v>
      </c>
      <c r="I2712" s="19">
        <f>IFERROR(__xludf.DUMMYFUNCTION("""COMPUTED_VALUE"""),0.0948)</f>
        <v>0.0948</v>
      </c>
      <c r="J2712" s="19">
        <f>IFERROR(__xludf.DUMMYFUNCTION("""COMPUTED_VALUE"""),0.1896)</f>
        <v>0.1896</v>
      </c>
      <c r="K2712" s="19">
        <f>IFERROR(__xludf.DUMMYFUNCTION("""COMPUTED_VALUE"""),0.237)</f>
        <v>0.237</v>
      </c>
      <c r="L2712" s="19">
        <f>IFERROR(__xludf.DUMMYFUNCTION("""COMPUTED_VALUE"""),0.2844)</f>
        <v>0.2844</v>
      </c>
      <c r="M2712" s="18">
        <f>IFERROR(__xludf.DUMMYFUNCTION("""COMPUTED_VALUE"""),1.8)</f>
        <v>1.8</v>
      </c>
    </row>
    <row r="2713">
      <c r="A2713" s="13" t="str">
        <f>IFERROR(__xludf.DUMMYFUNCTION("""COMPUTED_VALUE"""),"товари")</f>
        <v>товари</v>
      </c>
      <c r="B2713" s="16" t="str">
        <f>IFERROR(__xludf.DUMMYFUNCTION("""COMPUTED_VALUE"""),"одяг та взуття")</f>
        <v>одяг та взуття</v>
      </c>
      <c r="C2713" s="16" t="str">
        <f>IFERROR(__xludf.DUMMYFUNCTION("""COMPUTED_VALUE"""),"дитячий одяг та взуття")</f>
        <v>дитячий одяг та взуття</v>
      </c>
      <c r="D2713" s="16" t="str">
        <f>IFERROR(__xludf.DUMMYFUNCTION("""COMPUTED_VALUE"""),"одяг для дівчаток")</f>
        <v>одяг для дівчаток</v>
      </c>
      <c r="E2713" s="16" t="str">
        <f>IFERROR(__xludf.DUMMYFUNCTION("""COMPUTED_VALUE"""),"дитячі спідниці")</f>
        <v>дитячі спідниці</v>
      </c>
      <c r="F2713" s="17">
        <f>IFERROR(__xludf.DUMMYFUNCTION("""COMPUTED_VALUE"""),4.0)</f>
        <v>4</v>
      </c>
      <c r="G2713" s="17" t="str">
        <f>IFERROR(__xludf.DUMMYFUNCTION("""COMPUTED_VALUE"""),"31111")</f>
        <v>31111</v>
      </c>
      <c r="H2713" s="17" t="str">
        <f>IFERROR(__xludf.DUMMYFUNCTION("""COMPUTED_VALUE"""),"дитячі спідниці")</f>
        <v>дитячі спідниці</v>
      </c>
      <c r="I2713" s="19">
        <f>IFERROR(__xludf.DUMMYFUNCTION("""COMPUTED_VALUE"""),0.0927)</f>
        <v>0.0927</v>
      </c>
      <c r="J2713" s="19">
        <f>IFERROR(__xludf.DUMMYFUNCTION("""COMPUTED_VALUE"""),0.1853)</f>
        <v>0.1853</v>
      </c>
      <c r="K2713" s="19">
        <f>IFERROR(__xludf.DUMMYFUNCTION("""COMPUTED_VALUE"""),0.2316)</f>
        <v>0.2316</v>
      </c>
      <c r="L2713" s="19">
        <f>IFERROR(__xludf.DUMMYFUNCTION("""COMPUTED_VALUE"""),0.278)</f>
        <v>0.278</v>
      </c>
      <c r="M2713" s="18">
        <f>IFERROR(__xludf.DUMMYFUNCTION("""COMPUTED_VALUE"""),1.63)</f>
        <v>1.63</v>
      </c>
    </row>
    <row r="2714">
      <c r="A2714" s="13" t="str">
        <f>IFERROR(__xludf.DUMMYFUNCTION("""COMPUTED_VALUE"""),"товари")</f>
        <v>товари</v>
      </c>
      <c r="B2714" s="16" t="str">
        <f>IFERROR(__xludf.DUMMYFUNCTION("""COMPUTED_VALUE"""),"одяг та взуття")</f>
        <v>одяг та взуття</v>
      </c>
      <c r="C2714" s="16" t="str">
        <f>IFERROR(__xludf.DUMMYFUNCTION("""COMPUTED_VALUE"""),"дитячий одяг та взуття")</f>
        <v>дитячий одяг та взуття</v>
      </c>
      <c r="D2714" s="16" t="str">
        <f>IFERROR(__xludf.DUMMYFUNCTION("""COMPUTED_VALUE"""),"дитячий спортивний одяг")</f>
        <v>дитячий спортивний одяг</v>
      </c>
      <c r="E2714" s="16" t="str">
        <f>IFERROR(__xludf.DUMMYFUNCTION("""COMPUTED_VALUE"""),"дитячі спортивні костюми")</f>
        <v>дитячі спортивні костюми</v>
      </c>
      <c r="F2714" s="17">
        <f>IFERROR(__xludf.DUMMYFUNCTION("""COMPUTED_VALUE"""),4.0)</f>
        <v>4</v>
      </c>
      <c r="G2714" s="17" t="str">
        <f>IFERROR(__xludf.DUMMYFUNCTION("""COMPUTED_VALUE"""),"3110506")</f>
        <v>3110506</v>
      </c>
      <c r="H2714" s="17" t="str">
        <f>IFERROR(__xludf.DUMMYFUNCTION("""COMPUTED_VALUE"""),"дитячі спортивні костюми")</f>
        <v>дитячі спортивні костюми</v>
      </c>
      <c r="I2714" s="19">
        <f>IFERROR(__xludf.DUMMYFUNCTION("""COMPUTED_VALUE"""),0.09)</f>
        <v>0.09</v>
      </c>
      <c r="J2714" s="19">
        <f>IFERROR(__xludf.DUMMYFUNCTION("""COMPUTED_VALUE"""),0.18)</f>
        <v>0.18</v>
      </c>
      <c r="K2714" s="19">
        <f>IFERROR(__xludf.DUMMYFUNCTION("""COMPUTED_VALUE"""),0.225)</f>
        <v>0.225</v>
      </c>
      <c r="L2714" s="19">
        <f>IFERROR(__xludf.DUMMYFUNCTION("""COMPUTED_VALUE"""),0.27)</f>
        <v>0.27</v>
      </c>
      <c r="M2714" s="18">
        <f>IFERROR(__xludf.DUMMYFUNCTION("""COMPUTED_VALUE"""),1.71)</f>
        <v>1.71</v>
      </c>
    </row>
    <row r="2715">
      <c r="A2715" s="13" t="str">
        <f>IFERROR(__xludf.DUMMYFUNCTION("""COMPUTED_VALUE"""),"товари")</f>
        <v>товари</v>
      </c>
      <c r="B2715" s="16" t="str">
        <f>IFERROR(__xludf.DUMMYFUNCTION("""COMPUTED_VALUE"""),"одяг та взуття")</f>
        <v>одяг та взуття</v>
      </c>
      <c r="C2715" s="16" t="str">
        <f>IFERROR(__xludf.DUMMYFUNCTION("""COMPUTED_VALUE"""),"дитячий одяг та взуття")</f>
        <v>дитячий одяг та взуття</v>
      </c>
      <c r="D2715" s="16" t="str">
        <f>IFERROR(__xludf.DUMMYFUNCTION("""COMPUTED_VALUE"""),"дитячий спортивний одяг")</f>
        <v>дитячий спортивний одяг</v>
      </c>
      <c r="E2715" s="16" t="str">
        <f>IFERROR(__xludf.DUMMYFUNCTION("""COMPUTED_VALUE"""),"дитячі спортивні кофти та светри")</f>
        <v>дитячі спортивні кофти та светри</v>
      </c>
      <c r="F2715" s="17">
        <f>IFERROR(__xludf.DUMMYFUNCTION("""COMPUTED_VALUE"""),4.0)</f>
        <v>4</v>
      </c>
      <c r="G2715" s="17" t="str">
        <f>IFERROR(__xludf.DUMMYFUNCTION("""COMPUTED_VALUE"""),"3110508")</f>
        <v>3110508</v>
      </c>
      <c r="H2715" s="17" t="str">
        <f>IFERROR(__xludf.DUMMYFUNCTION("""COMPUTED_VALUE"""),"дитячі спортивні кофти та светри")</f>
        <v>дитячі спортивні кофти та светри</v>
      </c>
      <c r="I2715" s="19">
        <f>IFERROR(__xludf.DUMMYFUNCTION("""COMPUTED_VALUE"""),0.09)</f>
        <v>0.09</v>
      </c>
      <c r="J2715" s="19">
        <f>IFERROR(__xludf.DUMMYFUNCTION("""COMPUTED_VALUE"""),0.18)</f>
        <v>0.18</v>
      </c>
      <c r="K2715" s="19">
        <f>IFERROR(__xludf.DUMMYFUNCTION("""COMPUTED_VALUE"""),0.225)</f>
        <v>0.225</v>
      </c>
      <c r="L2715" s="19">
        <f>IFERROR(__xludf.DUMMYFUNCTION("""COMPUTED_VALUE"""),0.27)</f>
        <v>0.27</v>
      </c>
      <c r="M2715" s="18">
        <f>IFERROR(__xludf.DUMMYFUNCTION("""COMPUTED_VALUE"""),1.71)</f>
        <v>1.71</v>
      </c>
    </row>
    <row r="2716">
      <c r="A2716" s="13" t="str">
        <f>IFERROR(__xludf.DUMMYFUNCTION("""COMPUTED_VALUE"""),"товари")</f>
        <v>товари</v>
      </c>
      <c r="B2716" s="16" t="str">
        <f>IFERROR(__xludf.DUMMYFUNCTION("""COMPUTED_VALUE"""),"одяг та взуття")</f>
        <v>одяг та взуття</v>
      </c>
      <c r="C2716" s="16" t="str">
        <f>IFERROR(__xludf.DUMMYFUNCTION("""COMPUTED_VALUE"""),"дитячий одяг та взуття")</f>
        <v>дитячий одяг та взуття</v>
      </c>
      <c r="D2716" s="16" t="str">
        <f>IFERROR(__xludf.DUMMYFUNCTION("""COMPUTED_VALUE"""),"дитячий спортивний одяг")</f>
        <v>дитячий спортивний одяг</v>
      </c>
      <c r="E2716" s="16" t="str">
        <f>IFERROR(__xludf.DUMMYFUNCTION("""COMPUTED_VALUE"""),"дитячі спортивні штани")</f>
        <v>дитячі спортивні штани</v>
      </c>
      <c r="F2716" s="17">
        <f>IFERROR(__xludf.DUMMYFUNCTION("""COMPUTED_VALUE"""),4.0)</f>
        <v>4</v>
      </c>
      <c r="G2716" s="17" t="str">
        <f>IFERROR(__xludf.DUMMYFUNCTION("""COMPUTED_VALUE"""),"3110510")</f>
        <v>3110510</v>
      </c>
      <c r="H2716" s="17" t="str">
        <f>IFERROR(__xludf.DUMMYFUNCTION("""COMPUTED_VALUE"""),"дитячі спортивні штани")</f>
        <v>дитячі спортивні штани</v>
      </c>
      <c r="I2716" s="19">
        <f>IFERROR(__xludf.DUMMYFUNCTION("""COMPUTED_VALUE"""),0.09)</f>
        <v>0.09</v>
      </c>
      <c r="J2716" s="19">
        <f>IFERROR(__xludf.DUMMYFUNCTION("""COMPUTED_VALUE"""),0.18)</f>
        <v>0.18</v>
      </c>
      <c r="K2716" s="19">
        <f>IFERROR(__xludf.DUMMYFUNCTION("""COMPUTED_VALUE"""),0.225)</f>
        <v>0.225</v>
      </c>
      <c r="L2716" s="19">
        <f>IFERROR(__xludf.DUMMYFUNCTION("""COMPUTED_VALUE"""),0.27)</f>
        <v>0.27</v>
      </c>
      <c r="M2716" s="18">
        <f>IFERROR(__xludf.DUMMYFUNCTION("""COMPUTED_VALUE"""),1.71)</f>
        <v>1.71</v>
      </c>
    </row>
    <row r="2717">
      <c r="A2717" s="13" t="str">
        <f>IFERROR(__xludf.DUMMYFUNCTION("""COMPUTED_VALUE"""),"товари")</f>
        <v>товари</v>
      </c>
      <c r="B2717" s="16" t="str">
        <f>IFERROR(__xludf.DUMMYFUNCTION("""COMPUTED_VALUE"""),"одяг та взуття")</f>
        <v>одяг та взуття</v>
      </c>
      <c r="C2717" s="16" t="str">
        <f>IFERROR(__xludf.DUMMYFUNCTION("""COMPUTED_VALUE"""),"дитячий одяг та взуття")</f>
        <v>дитячий одяг та взуття</v>
      </c>
      <c r="D2717" s="16" t="str">
        <f>IFERROR(__xludf.DUMMYFUNCTION("""COMPUTED_VALUE"""),"дитяче та підліткове взуття")</f>
        <v>дитяче та підліткове взуття</v>
      </c>
      <c r="E2717" s="16" t="str">
        <f>IFERROR(__xludf.DUMMYFUNCTION("""COMPUTED_VALUE"""),"дитячі та підліткові домашні капці")</f>
        <v>дитячі та підліткові домашні капці</v>
      </c>
      <c r="F2717" s="17">
        <f>IFERROR(__xludf.DUMMYFUNCTION("""COMPUTED_VALUE"""),4.0)</f>
        <v>4</v>
      </c>
      <c r="G2717" s="17" t="str">
        <f>IFERROR(__xludf.DUMMYFUNCTION("""COMPUTED_VALUE"""),"3221207")</f>
        <v>3221207</v>
      </c>
      <c r="H2717" s="17" t="str">
        <f>IFERROR(__xludf.DUMMYFUNCTION("""COMPUTED_VALUE"""),"дитячі та підліткові домашні капці")</f>
        <v>дитячі та підліткові домашні капці</v>
      </c>
      <c r="I2717" s="19">
        <f>IFERROR(__xludf.DUMMYFUNCTION("""COMPUTED_VALUE"""),0.0905)</f>
        <v>0.0905</v>
      </c>
      <c r="J2717" s="19">
        <f>IFERROR(__xludf.DUMMYFUNCTION("""COMPUTED_VALUE"""),0.1809)</f>
        <v>0.1809</v>
      </c>
      <c r="K2717" s="19">
        <f>IFERROR(__xludf.DUMMYFUNCTION("""COMPUTED_VALUE"""),0.2261)</f>
        <v>0.2261</v>
      </c>
      <c r="L2717" s="19">
        <f>IFERROR(__xludf.DUMMYFUNCTION("""COMPUTED_VALUE"""),0.2714)</f>
        <v>0.2714</v>
      </c>
      <c r="M2717" s="18">
        <f>IFERROR(__xludf.DUMMYFUNCTION("""COMPUTED_VALUE"""),1.44)</f>
        <v>1.44</v>
      </c>
    </row>
    <row r="2718">
      <c r="A2718" s="13" t="str">
        <f>IFERROR(__xludf.DUMMYFUNCTION("""COMPUTED_VALUE"""),"товари")</f>
        <v>товари</v>
      </c>
      <c r="B2718" s="16" t="str">
        <f>IFERROR(__xludf.DUMMYFUNCTION("""COMPUTED_VALUE"""),"одяг та взуття")</f>
        <v>одяг та взуття</v>
      </c>
      <c r="C2718" s="16" t="str">
        <f>IFERROR(__xludf.DUMMYFUNCTION("""COMPUTED_VALUE"""),"дитячий одяг та взуття")</f>
        <v>дитячий одяг та взуття</v>
      </c>
      <c r="D2718" s="16" t="str">
        <f>IFERROR(__xludf.DUMMYFUNCTION("""COMPUTED_VALUE"""),"дитяче та підліткове взуття")</f>
        <v>дитяче та підліткове взуття</v>
      </c>
      <c r="E2718" s="16" t="str">
        <f>IFERROR(__xludf.DUMMYFUNCTION("""COMPUTED_VALUE"""),"дитячі та підліткові кросівки, кеди")</f>
        <v>дитячі та підліткові кросівки, кеди</v>
      </c>
      <c r="F2718" s="17">
        <f>IFERROR(__xludf.DUMMYFUNCTION("""COMPUTED_VALUE"""),4.0)</f>
        <v>4</v>
      </c>
      <c r="G2718" s="17" t="str">
        <f>IFERROR(__xludf.DUMMYFUNCTION("""COMPUTED_VALUE"""),"3221214")</f>
        <v>3221214</v>
      </c>
      <c r="H2718" s="17" t="str">
        <f>IFERROR(__xludf.DUMMYFUNCTION("""COMPUTED_VALUE"""),"дитячі та підліткові кросівки, кеди")</f>
        <v>дитячі та підліткові кросівки, кеди</v>
      </c>
      <c r="I2718" s="19">
        <f>IFERROR(__xludf.DUMMYFUNCTION("""COMPUTED_VALUE"""),0.0905)</f>
        <v>0.0905</v>
      </c>
      <c r="J2718" s="19">
        <f>IFERROR(__xludf.DUMMYFUNCTION("""COMPUTED_VALUE"""),0.1809)</f>
        <v>0.1809</v>
      </c>
      <c r="K2718" s="19">
        <f>IFERROR(__xludf.DUMMYFUNCTION("""COMPUTED_VALUE"""),0.2261)</f>
        <v>0.2261</v>
      </c>
      <c r="L2718" s="19">
        <f>IFERROR(__xludf.DUMMYFUNCTION("""COMPUTED_VALUE"""),0.2714)</f>
        <v>0.2714</v>
      </c>
      <c r="M2718" s="18">
        <f>IFERROR(__xludf.DUMMYFUNCTION("""COMPUTED_VALUE"""),1.44)</f>
        <v>1.44</v>
      </c>
    </row>
    <row r="2719">
      <c r="A2719" s="13" t="str">
        <f>IFERROR(__xludf.DUMMYFUNCTION("""COMPUTED_VALUE"""),"товари")</f>
        <v>товари</v>
      </c>
      <c r="B2719" s="16" t="str">
        <f>IFERROR(__xludf.DUMMYFUNCTION("""COMPUTED_VALUE"""),"одяг та взуття")</f>
        <v>одяг та взуття</v>
      </c>
      <c r="C2719" s="16" t="str">
        <f>IFERROR(__xludf.DUMMYFUNCTION("""COMPUTED_VALUE"""),"дитячий одяг та взуття")</f>
        <v>дитячий одяг та взуття</v>
      </c>
      <c r="D2719" s="16" t="str">
        <f>IFERROR(__xludf.DUMMYFUNCTION("""COMPUTED_VALUE"""),"дитяча білизна і купальники  ")</f>
        <v>дитяча білизна і купальники  </v>
      </c>
      <c r="E2719" s="16" t="str">
        <f>IFERROR(__xludf.DUMMYFUNCTION("""COMPUTED_VALUE"""),"дитячі трусики")</f>
        <v>дитячі трусики</v>
      </c>
      <c r="F2719" s="17">
        <f>IFERROR(__xludf.DUMMYFUNCTION("""COMPUTED_VALUE"""),4.0)</f>
        <v>4</v>
      </c>
      <c r="G2719" s="17" t="str">
        <f>IFERROR(__xludf.DUMMYFUNCTION("""COMPUTED_VALUE"""),"3110801")</f>
        <v>3110801</v>
      </c>
      <c r="H2719" s="17" t="str">
        <f>IFERROR(__xludf.DUMMYFUNCTION("""COMPUTED_VALUE"""),"дитячі трусики")</f>
        <v>дитячі трусики</v>
      </c>
      <c r="I2719" s="19">
        <f>IFERROR(__xludf.DUMMYFUNCTION("""COMPUTED_VALUE"""),0.0892)</f>
        <v>0.0892</v>
      </c>
      <c r="J2719" s="19">
        <f>IFERROR(__xludf.DUMMYFUNCTION("""COMPUTED_VALUE"""),0.1783)</f>
        <v>0.1783</v>
      </c>
      <c r="K2719" s="19">
        <f>IFERROR(__xludf.DUMMYFUNCTION("""COMPUTED_VALUE"""),0.2229)</f>
        <v>0.2229</v>
      </c>
      <c r="L2719" s="19">
        <f>IFERROR(__xludf.DUMMYFUNCTION("""COMPUTED_VALUE"""),0.2675)</f>
        <v>0.2675</v>
      </c>
      <c r="M2719" s="18">
        <f>IFERROR(__xludf.DUMMYFUNCTION("""COMPUTED_VALUE"""),1.05)</f>
        <v>1.05</v>
      </c>
    </row>
    <row r="2720">
      <c r="A2720" s="13" t="str">
        <f>IFERROR(__xludf.DUMMYFUNCTION("""COMPUTED_VALUE"""),"товари")</f>
        <v>товари</v>
      </c>
      <c r="B2720" s="16" t="str">
        <f>IFERROR(__xludf.DUMMYFUNCTION("""COMPUTED_VALUE"""),"одяг та взуття")</f>
        <v>одяг та взуття</v>
      </c>
      <c r="C2720" s="16" t="str">
        <f>IFERROR(__xludf.DUMMYFUNCTION("""COMPUTED_VALUE"""),"дитячий одяг та взуття")</f>
        <v>дитячий одяг та взуття</v>
      </c>
      <c r="D2720" s="16" t="str">
        <f>IFERROR(__xludf.DUMMYFUNCTION("""COMPUTED_VALUE"""),"одяг для хлопчиків")</f>
        <v>одяг для хлопчиків</v>
      </c>
      <c r="E2720" s="16" t="str">
        <f>IFERROR(__xludf.DUMMYFUNCTION("""COMPUTED_VALUE"""),"дитячі футболки та майки")</f>
        <v>дитячі футболки та майки</v>
      </c>
      <c r="F2720" s="17">
        <f>IFERROR(__xludf.DUMMYFUNCTION("""COMPUTED_VALUE"""),4.0)</f>
        <v>4</v>
      </c>
      <c r="G2720" s="17" t="str">
        <f>IFERROR(__xludf.DUMMYFUNCTION("""COMPUTED_VALUE"""),"3111703")</f>
        <v>3111703</v>
      </c>
      <c r="H2720" s="17" t="str">
        <f>IFERROR(__xludf.DUMMYFUNCTION("""COMPUTED_VALUE"""),"дитячі футболки та майки")</f>
        <v>дитячі футболки та майки</v>
      </c>
      <c r="I2720" s="19">
        <f>IFERROR(__xludf.DUMMYFUNCTION("""COMPUTED_VALUE"""),0.0927)</f>
        <v>0.0927</v>
      </c>
      <c r="J2720" s="19">
        <f>IFERROR(__xludf.DUMMYFUNCTION("""COMPUTED_VALUE"""),0.1853)</f>
        <v>0.1853</v>
      </c>
      <c r="K2720" s="19">
        <f>IFERROR(__xludf.DUMMYFUNCTION("""COMPUTED_VALUE"""),0.2316)</f>
        <v>0.2316</v>
      </c>
      <c r="L2720" s="19">
        <f>IFERROR(__xludf.DUMMYFUNCTION("""COMPUTED_VALUE"""),0.278)</f>
        <v>0.278</v>
      </c>
      <c r="M2720" s="18">
        <f>IFERROR(__xludf.DUMMYFUNCTION("""COMPUTED_VALUE"""),1.53)</f>
        <v>1.53</v>
      </c>
    </row>
    <row r="2721">
      <c r="A2721" s="13" t="str">
        <f>IFERROR(__xludf.DUMMYFUNCTION("""COMPUTED_VALUE"""),"товари")</f>
        <v>товари</v>
      </c>
      <c r="B2721" s="16" t="str">
        <f>IFERROR(__xludf.DUMMYFUNCTION("""COMPUTED_VALUE"""),"одяг та взуття")</f>
        <v>одяг та взуття</v>
      </c>
      <c r="C2721" s="16" t="str">
        <f>IFERROR(__xludf.DUMMYFUNCTION("""COMPUTED_VALUE"""),"дитячий одяг та взуття")</f>
        <v>дитячий одяг та взуття</v>
      </c>
      <c r="D2721" s="16" t="str">
        <f>IFERROR(__xludf.DUMMYFUNCTION("""COMPUTED_VALUE"""),"дитячий одяг для сну та дому")</f>
        <v>дитячий одяг для сну та дому</v>
      </c>
      <c r="E2721" s="16" t="str">
        <f>IFERROR(__xludf.DUMMYFUNCTION("""COMPUTED_VALUE"""),"дитячі халати")</f>
        <v>дитячі халати</v>
      </c>
      <c r="F2721" s="17">
        <f>IFERROR(__xludf.DUMMYFUNCTION("""COMPUTED_VALUE"""),4.0)</f>
        <v>4</v>
      </c>
      <c r="G2721" s="17" t="str">
        <f>IFERROR(__xludf.DUMMYFUNCTION("""COMPUTED_VALUE"""),"31112")</f>
        <v>31112</v>
      </c>
      <c r="H2721" s="17" t="str">
        <f>IFERROR(__xludf.DUMMYFUNCTION("""COMPUTED_VALUE"""),"дитячі халати")</f>
        <v>дитячі халати</v>
      </c>
      <c r="I2721" s="19">
        <f>IFERROR(__xludf.DUMMYFUNCTION("""COMPUTED_VALUE"""),0.0948)</f>
        <v>0.0948</v>
      </c>
      <c r="J2721" s="19">
        <f>IFERROR(__xludf.DUMMYFUNCTION("""COMPUTED_VALUE"""),0.1896)</f>
        <v>0.1896</v>
      </c>
      <c r="K2721" s="19">
        <f>IFERROR(__xludf.DUMMYFUNCTION("""COMPUTED_VALUE"""),0.237)</f>
        <v>0.237</v>
      </c>
      <c r="L2721" s="19">
        <f>IFERROR(__xludf.DUMMYFUNCTION("""COMPUTED_VALUE"""),0.2844)</f>
        <v>0.2844</v>
      </c>
      <c r="M2721" s="18">
        <f>IFERROR(__xludf.DUMMYFUNCTION("""COMPUTED_VALUE"""),1.8)</f>
        <v>1.8</v>
      </c>
    </row>
    <row r="2722">
      <c r="A2722" s="13" t="str">
        <f>IFERROR(__xludf.DUMMYFUNCTION("""COMPUTED_VALUE"""),"товари")</f>
        <v>товари</v>
      </c>
      <c r="B2722" s="16" t="str">
        <f>IFERROR(__xludf.DUMMYFUNCTION("""COMPUTED_VALUE"""),"одяг та взуття")</f>
        <v>одяг та взуття</v>
      </c>
      <c r="C2722" s="16" t="str">
        <f>IFERROR(__xludf.DUMMYFUNCTION("""COMPUTED_VALUE"""),"дитячий одяг та взуття")</f>
        <v>дитячий одяг та взуття</v>
      </c>
      <c r="D2722" s="16" t="str">
        <f>IFERROR(__xludf.DUMMYFUNCTION("""COMPUTED_VALUE"""),"дитяча білизна і купальники  ")</f>
        <v>дитяча білизна і купальники  </v>
      </c>
      <c r="E2722" s="16" t="str">
        <f>IFERROR(__xludf.DUMMYFUNCTION("""COMPUTED_VALUE"""),"дитячі шкарпетки та гольфи")</f>
        <v>дитячі шкарпетки та гольфи</v>
      </c>
      <c r="F2722" s="17">
        <f>IFERROR(__xludf.DUMMYFUNCTION("""COMPUTED_VALUE"""),4.0)</f>
        <v>4</v>
      </c>
      <c r="G2722" s="17" t="str">
        <f>IFERROR(__xludf.DUMMYFUNCTION("""COMPUTED_VALUE"""),"31115")</f>
        <v>31115</v>
      </c>
      <c r="H2722" s="17" t="str">
        <f>IFERROR(__xludf.DUMMYFUNCTION("""COMPUTED_VALUE"""),"дитячі шкарпетки та гольфи")</f>
        <v>дитячі шкарпетки та гольфи</v>
      </c>
      <c r="I2722" s="19">
        <f>IFERROR(__xludf.DUMMYFUNCTION("""COMPUTED_VALUE"""),0.0892)</f>
        <v>0.0892</v>
      </c>
      <c r="J2722" s="19">
        <f>IFERROR(__xludf.DUMMYFUNCTION("""COMPUTED_VALUE"""),0.1783)</f>
        <v>0.1783</v>
      </c>
      <c r="K2722" s="19">
        <f>IFERROR(__xludf.DUMMYFUNCTION("""COMPUTED_VALUE"""),0.2229)</f>
        <v>0.2229</v>
      </c>
      <c r="L2722" s="19">
        <f>IFERROR(__xludf.DUMMYFUNCTION("""COMPUTED_VALUE"""),0.2675)</f>
        <v>0.2675</v>
      </c>
      <c r="M2722" s="18">
        <f>IFERROR(__xludf.DUMMYFUNCTION("""COMPUTED_VALUE"""),1.05)</f>
        <v>1.05</v>
      </c>
    </row>
    <row r="2723">
      <c r="A2723" s="13" t="str">
        <f>IFERROR(__xludf.DUMMYFUNCTION("""COMPUTED_VALUE"""),"товари")</f>
        <v>товари</v>
      </c>
      <c r="B2723" s="16" t="str">
        <f>IFERROR(__xludf.DUMMYFUNCTION("""COMPUTED_VALUE"""),"одяг та взуття")</f>
        <v>одяг та взуття</v>
      </c>
      <c r="C2723" s="16" t="str">
        <f>IFERROR(__xludf.DUMMYFUNCTION("""COMPUTED_VALUE"""),"дитячий одяг та взуття")</f>
        <v>дитячий одяг та взуття</v>
      </c>
      <c r="D2723" s="16" t="str">
        <f>IFERROR(__xludf.DUMMYFUNCTION("""COMPUTED_VALUE"""),"одяг для дівчаток")</f>
        <v>одяг для дівчаток</v>
      </c>
      <c r="E2723" s="16" t="str">
        <f>IFERROR(__xludf.DUMMYFUNCTION("""COMPUTED_VALUE"""),"дитячі шорти і бриджі ")</f>
        <v>дитячі шорти і бриджі </v>
      </c>
      <c r="F2723" s="17">
        <f>IFERROR(__xludf.DUMMYFUNCTION("""COMPUTED_VALUE"""),4.0)</f>
        <v>4</v>
      </c>
      <c r="G2723" s="17" t="str">
        <f>IFERROR(__xludf.DUMMYFUNCTION("""COMPUTED_VALUE"""),"30603")</f>
        <v>30603</v>
      </c>
      <c r="H2723" s="17" t="str">
        <f>IFERROR(__xludf.DUMMYFUNCTION("""COMPUTED_VALUE"""),"дитячі шорти і бриджі ")</f>
        <v>дитячі шорти і бриджі </v>
      </c>
      <c r="I2723" s="19">
        <f>IFERROR(__xludf.DUMMYFUNCTION("""COMPUTED_VALUE"""),0.0927)</f>
        <v>0.0927</v>
      </c>
      <c r="J2723" s="19">
        <f>IFERROR(__xludf.DUMMYFUNCTION("""COMPUTED_VALUE"""),0.1853)</f>
        <v>0.1853</v>
      </c>
      <c r="K2723" s="19">
        <f>IFERROR(__xludf.DUMMYFUNCTION("""COMPUTED_VALUE"""),0.2316)</f>
        <v>0.2316</v>
      </c>
      <c r="L2723" s="19">
        <f>IFERROR(__xludf.DUMMYFUNCTION("""COMPUTED_VALUE"""),0.278)</f>
        <v>0.278</v>
      </c>
      <c r="M2723" s="18">
        <f>IFERROR(__xludf.DUMMYFUNCTION("""COMPUTED_VALUE"""),1.63)</f>
        <v>1.63</v>
      </c>
    </row>
    <row r="2724">
      <c r="A2724" s="13" t="str">
        <f>IFERROR(__xludf.DUMMYFUNCTION("""COMPUTED_VALUE"""),"товари")</f>
        <v>товари</v>
      </c>
      <c r="B2724" s="16" t="str">
        <f>IFERROR(__xludf.DUMMYFUNCTION("""COMPUTED_VALUE"""),"одяг та взуття")</f>
        <v>одяг та взуття</v>
      </c>
      <c r="C2724" s="16" t="str">
        <f>IFERROR(__xludf.DUMMYFUNCTION("""COMPUTED_VALUE"""),"етнічний одяг")</f>
        <v>етнічний одяг</v>
      </c>
      <c r="D2724" s="16" t="str">
        <f>IFERROR(__xludf.DUMMYFUNCTION("""COMPUTED_VALUE"""),"етнічний одяг, загальне")</f>
        <v>етнічний одяг, загальне</v>
      </c>
      <c r="E2724" s="16" t="str">
        <f>IFERROR(__xludf.DUMMYFUNCTION("""COMPUTED_VALUE"""),"етнічний одяг, загальне")</f>
        <v>етнічний одяг, загальне</v>
      </c>
      <c r="F2724" s="17">
        <f>IFERROR(__xludf.DUMMYFUNCTION("""COMPUTED_VALUE"""),3.0)</f>
        <v>3</v>
      </c>
      <c r="G2724" s="17" t="str">
        <f>IFERROR(__xludf.DUMMYFUNCTION("""COMPUTED_VALUE"""),"7601")</f>
        <v>7601</v>
      </c>
      <c r="H2724" s="17" t="str">
        <f>IFERROR(__xludf.DUMMYFUNCTION("""COMPUTED_VALUE"""),"етнічний одяг, загальне")</f>
        <v>етнічний одяг, загальне</v>
      </c>
      <c r="I2724" s="19">
        <f>IFERROR(__xludf.DUMMYFUNCTION("""COMPUTED_VALUE"""),0.125)</f>
        <v>0.125</v>
      </c>
      <c r="J2724" s="19">
        <f>IFERROR(__xludf.DUMMYFUNCTION("""COMPUTED_VALUE"""),0.25)</f>
        <v>0.25</v>
      </c>
      <c r="K2724" s="19">
        <f>IFERROR(__xludf.DUMMYFUNCTION("""COMPUTED_VALUE"""),0.3125)</f>
        <v>0.3125</v>
      </c>
      <c r="L2724" s="19">
        <f>IFERROR(__xludf.DUMMYFUNCTION("""COMPUTED_VALUE"""),0.375)</f>
        <v>0.375</v>
      </c>
      <c r="M2724" s="18">
        <f>IFERROR(__xludf.DUMMYFUNCTION("""COMPUTED_VALUE"""),4.33)</f>
        <v>4.33</v>
      </c>
    </row>
    <row r="2725">
      <c r="A2725" s="13" t="str">
        <f>IFERROR(__xludf.DUMMYFUNCTION("""COMPUTED_VALUE"""),"товари")</f>
        <v>товари</v>
      </c>
      <c r="B2725" s="16" t="str">
        <f>IFERROR(__xludf.DUMMYFUNCTION("""COMPUTED_VALUE"""),"одяг та взуття")</f>
        <v>одяг та взуття</v>
      </c>
      <c r="C2725" s="16" t="str">
        <f>IFERROR(__xludf.DUMMYFUNCTION("""COMPUTED_VALUE"""),"дитячий одяг та взуття")</f>
        <v>дитячий одяг та взуття</v>
      </c>
      <c r="D2725" s="16" t="str">
        <f>IFERROR(__xludf.DUMMYFUNCTION("""COMPUTED_VALUE"""),"одяг для дівчаток")</f>
        <v>одяг для дівчаток</v>
      </c>
      <c r="E2725" s="16" t="str">
        <f>IFERROR(__xludf.DUMMYFUNCTION("""COMPUTED_VALUE"""),"жилети для дівчаток")</f>
        <v>жилети для дівчаток</v>
      </c>
      <c r="F2725" s="17">
        <f>IFERROR(__xludf.DUMMYFUNCTION("""COMPUTED_VALUE"""),4.0)</f>
        <v>4</v>
      </c>
      <c r="G2725" s="17" t="str">
        <f>IFERROR(__xludf.DUMMYFUNCTION("""COMPUTED_VALUE"""),"31109")</f>
        <v>31109</v>
      </c>
      <c r="H2725" s="17" t="str">
        <f>IFERROR(__xludf.DUMMYFUNCTION("""COMPUTED_VALUE"""),"жилети для дівчаток")</f>
        <v>жилети для дівчаток</v>
      </c>
      <c r="I2725" s="19">
        <f>IFERROR(__xludf.DUMMYFUNCTION("""COMPUTED_VALUE"""),0.0927)</f>
        <v>0.0927</v>
      </c>
      <c r="J2725" s="19">
        <f>IFERROR(__xludf.DUMMYFUNCTION("""COMPUTED_VALUE"""),0.1853)</f>
        <v>0.1853</v>
      </c>
      <c r="K2725" s="19">
        <f>IFERROR(__xludf.DUMMYFUNCTION("""COMPUTED_VALUE"""),0.2316)</f>
        <v>0.2316</v>
      </c>
      <c r="L2725" s="19">
        <f>IFERROR(__xludf.DUMMYFUNCTION("""COMPUTED_VALUE"""),0.278)</f>
        <v>0.278</v>
      </c>
      <c r="M2725" s="18">
        <f>IFERROR(__xludf.DUMMYFUNCTION("""COMPUTED_VALUE"""),1.63)</f>
        <v>1.63</v>
      </c>
    </row>
    <row r="2726">
      <c r="A2726" s="13" t="str">
        <f>IFERROR(__xludf.DUMMYFUNCTION("""COMPUTED_VALUE"""),"товари")</f>
        <v>товари</v>
      </c>
      <c r="B2726" s="16" t="str">
        <f>IFERROR(__xludf.DUMMYFUNCTION("""COMPUTED_VALUE"""),"одяг та взуття")</f>
        <v>одяг та взуття</v>
      </c>
      <c r="C2726" s="16" t="str">
        <f>IFERROR(__xludf.DUMMYFUNCTION("""COMPUTED_VALUE"""),"дитячий одяг та взуття")</f>
        <v>дитячий одяг та взуття</v>
      </c>
      <c r="D2726" s="16" t="str">
        <f>IFERROR(__xludf.DUMMYFUNCTION("""COMPUTED_VALUE"""),"одяг для хлопчиків")</f>
        <v>одяг для хлопчиків</v>
      </c>
      <c r="E2726" s="16" t="str">
        <f>IFERROR(__xludf.DUMMYFUNCTION("""COMPUTED_VALUE"""),"жилети для хлопчиків")</f>
        <v>жилети для хлопчиків</v>
      </c>
      <c r="F2726" s="17">
        <f>IFERROR(__xludf.DUMMYFUNCTION("""COMPUTED_VALUE"""),4.0)</f>
        <v>4</v>
      </c>
      <c r="G2726" s="17" t="str">
        <f>IFERROR(__xludf.DUMMYFUNCTION("""COMPUTED_VALUE"""),"3111704")</f>
        <v>3111704</v>
      </c>
      <c r="H2726" s="17" t="str">
        <f>IFERROR(__xludf.DUMMYFUNCTION("""COMPUTED_VALUE"""),"жилети для хлопчиків")</f>
        <v>жилети для хлопчиків</v>
      </c>
      <c r="I2726" s="19">
        <f>IFERROR(__xludf.DUMMYFUNCTION("""COMPUTED_VALUE"""),0.0927)</f>
        <v>0.0927</v>
      </c>
      <c r="J2726" s="19">
        <f>IFERROR(__xludf.DUMMYFUNCTION("""COMPUTED_VALUE"""),0.1853)</f>
        <v>0.1853</v>
      </c>
      <c r="K2726" s="19">
        <f>IFERROR(__xludf.DUMMYFUNCTION("""COMPUTED_VALUE"""),0.2316)</f>
        <v>0.2316</v>
      </c>
      <c r="L2726" s="19">
        <f>IFERROR(__xludf.DUMMYFUNCTION("""COMPUTED_VALUE"""),0.278)</f>
        <v>0.278</v>
      </c>
      <c r="M2726" s="18">
        <f>IFERROR(__xludf.DUMMYFUNCTION("""COMPUTED_VALUE"""),1.53)</f>
        <v>1.53</v>
      </c>
    </row>
    <row r="2727">
      <c r="A2727" s="13" t="str">
        <f>IFERROR(__xludf.DUMMYFUNCTION("""COMPUTED_VALUE"""),"товари")</f>
        <v>товари</v>
      </c>
      <c r="B2727" s="16" t="str">
        <f>IFERROR(__xludf.DUMMYFUNCTION("""COMPUTED_VALUE"""),"одяг та взуття")</f>
        <v>одяг та взуття</v>
      </c>
      <c r="C2727" s="16" t="str">
        <f>IFERROR(__xludf.DUMMYFUNCTION("""COMPUTED_VALUE"""),"жіночий одяг")</f>
        <v>жіночий одяг</v>
      </c>
      <c r="D2727" s="16" t="str">
        <f>IFERROR(__xludf.DUMMYFUNCTION("""COMPUTED_VALUE"""),"жіноча білизна і купальники")</f>
        <v>жіноча білизна і купальники</v>
      </c>
      <c r="E2727" s="16" t="str">
        <f>IFERROR(__xludf.DUMMYFUNCTION("""COMPUTED_VALUE"""),"жіноча білизна і купальники, загальне")</f>
        <v>жіноча білизна і купальники, загальне</v>
      </c>
      <c r="F2727" s="17">
        <f>IFERROR(__xludf.DUMMYFUNCTION("""COMPUTED_VALUE"""),4.0)</f>
        <v>4</v>
      </c>
      <c r="G2727" s="17" t="str">
        <f>IFERROR(__xludf.DUMMYFUNCTION("""COMPUTED_VALUE"""),"3121101")</f>
        <v>3121101</v>
      </c>
      <c r="H2727" s="17" t="str">
        <f>IFERROR(__xludf.DUMMYFUNCTION("""COMPUTED_VALUE"""),"жіноча білизна і купальники, загальне")</f>
        <v>жіноча білизна і купальники, загальне</v>
      </c>
      <c r="I2727" s="19">
        <f>IFERROR(__xludf.DUMMYFUNCTION("""COMPUTED_VALUE"""),0.125)</f>
        <v>0.125</v>
      </c>
      <c r="J2727" s="19">
        <f>IFERROR(__xludf.DUMMYFUNCTION("""COMPUTED_VALUE"""),0.25)</f>
        <v>0.25</v>
      </c>
      <c r="K2727" s="19">
        <f>IFERROR(__xludf.DUMMYFUNCTION("""COMPUTED_VALUE"""),0.3125)</f>
        <v>0.3125</v>
      </c>
      <c r="L2727" s="19">
        <f>IFERROR(__xludf.DUMMYFUNCTION("""COMPUTED_VALUE"""),0.375)</f>
        <v>0.375</v>
      </c>
      <c r="M2727" s="18">
        <f>IFERROR(__xludf.DUMMYFUNCTION("""COMPUTED_VALUE"""),4.33)</f>
        <v>4.33</v>
      </c>
    </row>
    <row r="2728">
      <c r="A2728" s="13" t="str">
        <f>IFERROR(__xludf.DUMMYFUNCTION("""COMPUTED_VALUE"""),"товари")</f>
        <v>товари</v>
      </c>
      <c r="B2728" s="16" t="str">
        <f>IFERROR(__xludf.DUMMYFUNCTION("""COMPUTED_VALUE"""),"одяг та взуття")</f>
        <v>одяг та взуття</v>
      </c>
      <c r="C2728" s="16" t="str">
        <f>IFERROR(__xludf.DUMMYFUNCTION("""COMPUTED_VALUE"""),"взуття")</f>
        <v>взуття</v>
      </c>
      <c r="D2728" s="16" t="str">
        <f>IFERROR(__xludf.DUMMYFUNCTION("""COMPUTED_VALUE"""),"жіноче взуття ")</f>
        <v>жіноче взуття </v>
      </c>
      <c r="E2728" s="16" t="str">
        <f>IFERROR(__xludf.DUMMYFUNCTION("""COMPUTED_VALUE"""),"жіноче взуття, загальне")</f>
        <v>жіноче взуття, загальне</v>
      </c>
      <c r="F2728" s="17">
        <f>IFERROR(__xludf.DUMMYFUNCTION("""COMPUTED_VALUE"""),4.0)</f>
        <v>4</v>
      </c>
      <c r="G2728" s="17" t="str">
        <f>IFERROR(__xludf.DUMMYFUNCTION("""COMPUTED_VALUE"""),"32299")</f>
        <v>32299</v>
      </c>
      <c r="H2728" s="17" t="str">
        <f>IFERROR(__xludf.DUMMYFUNCTION("""COMPUTED_VALUE"""),"жіноче взуття, загальне")</f>
        <v>жіноче взуття, загальне</v>
      </c>
      <c r="I2728" s="19">
        <f>IFERROR(__xludf.DUMMYFUNCTION("""COMPUTED_VALUE"""),0.125)</f>
        <v>0.125</v>
      </c>
      <c r="J2728" s="19">
        <f>IFERROR(__xludf.DUMMYFUNCTION("""COMPUTED_VALUE"""),0.25)</f>
        <v>0.25</v>
      </c>
      <c r="K2728" s="19">
        <f>IFERROR(__xludf.DUMMYFUNCTION("""COMPUTED_VALUE"""),0.3125)</f>
        <v>0.3125</v>
      </c>
      <c r="L2728" s="19">
        <f>IFERROR(__xludf.DUMMYFUNCTION("""COMPUTED_VALUE"""),0.375)</f>
        <v>0.375</v>
      </c>
      <c r="M2728" s="18">
        <f>IFERROR(__xludf.DUMMYFUNCTION("""COMPUTED_VALUE"""),4.33)</f>
        <v>4.33</v>
      </c>
    </row>
    <row r="2729">
      <c r="A2729" s="13" t="str">
        <f>IFERROR(__xludf.DUMMYFUNCTION("""COMPUTED_VALUE"""),"товари")</f>
        <v>товари</v>
      </c>
      <c r="B2729" s="16" t="str">
        <f>IFERROR(__xludf.DUMMYFUNCTION("""COMPUTED_VALUE"""),"одяг та взуття")</f>
        <v>одяг та взуття</v>
      </c>
      <c r="C2729" s="16" t="str">
        <f>IFERROR(__xludf.DUMMYFUNCTION("""COMPUTED_VALUE"""),"взуття")</f>
        <v>взуття</v>
      </c>
      <c r="D2729" s="16" t="str">
        <f>IFERROR(__xludf.DUMMYFUNCTION("""COMPUTED_VALUE"""),"жіноче взуття ")</f>
        <v>жіноче взуття </v>
      </c>
      <c r="E2729" s="16" t="str">
        <f>IFERROR(__xludf.DUMMYFUNCTION("""COMPUTED_VALUE"""),"жіноче ортопедичне взуття ")</f>
        <v>жіноче ортопедичне взуття </v>
      </c>
      <c r="F2729" s="17">
        <f>IFERROR(__xludf.DUMMYFUNCTION("""COMPUTED_VALUE"""),4.0)</f>
        <v>4</v>
      </c>
      <c r="G2729" s="17" t="str">
        <f>IFERROR(__xludf.DUMMYFUNCTION("""COMPUTED_VALUE"""),"32219")</f>
        <v>32219</v>
      </c>
      <c r="H2729" s="17" t="str">
        <f>IFERROR(__xludf.DUMMYFUNCTION("""COMPUTED_VALUE"""),"жіноче ортопедичне взуття ")</f>
        <v>жіноче ортопедичне взуття </v>
      </c>
      <c r="I2729" s="19">
        <f>IFERROR(__xludf.DUMMYFUNCTION("""COMPUTED_VALUE"""),0.0726)</f>
        <v>0.0726</v>
      </c>
      <c r="J2729" s="19">
        <f>IFERROR(__xludf.DUMMYFUNCTION("""COMPUTED_VALUE"""),0.1452)</f>
        <v>0.1452</v>
      </c>
      <c r="K2729" s="19">
        <f>IFERROR(__xludf.DUMMYFUNCTION("""COMPUTED_VALUE"""),0.1815)</f>
        <v>0.1815</v>
      </c>
      <c r="L2729" s="19">
        <f>IFERROR(__xludf.DUMMYFUNCTION("""COMPUTED_VALUE"""),0.2178)</f>
        <v>0.2178</v>
      </c>
      <c r="M2729" s="18">
        <f>IFERROR(__xludf.DUMMYFUNCTION("""COMPUTED_VALUE"""),1.05)</f>
        <v>1.05</v>
      </c>
    </row>
    <row r="2730">
      <c r="A2730" s="13" t="str">
        <f>IFERROR(__xludf.DUMMYFUNCTION("""COMPUTED_VALUE"""),"товари")</f>
        <v>товари</v>
      </c>
      <c r="B2730" s="16" t="str">
        <f>IFERROR(__xludf.DUMMYFUNCTION("""COMPUTED_VALUE"""),"одяг та взуття")</f>
        <v>одяг та взуття</v>
      </c>
      <c r="C2730" s="16" t="str">
        <f>IFERROR(__xludf.DUMMYFUNCTION("""COMPUTED_VALUE"""),"жіночий одяг")</f>
        <v>жіночий одяг</v>
      </c>
      <c r="D2730" s="16" t="str">
        <f>IFERROR(__xludf.DUMMYFUNCTION("""COMPUTED_VALUE"""),"жіночий верхній одяг ")</f>
        <v>жіночий верхній одяг </v>
      </c>
      <c r="E2730" s="16" t="str">
        <f>IFERROR(__xludf.DUMMYFUNCTION("""COMPUTED_VALUE"""),"жіночий верхній одяг, загальне")</f>
        <v>жіночий верхній одяг, загальне</v>
      </c>
      <c r="F2730" s="17">
        <f>IFERROR(__xludf.DUMMYFUNCTION("""COMPUTED_VALUE"""),4.0)</f>
        <v>4</v>
      </c>
      <c r="G2730" s="17" t="str">
        <f>IFERROR(__xludf.DUMMYFUNCTION("""COMPUTED_VALUE"""),"31309")</f>
        <v>31309</v>
      </c>
      <c r="H2730" s="17" t="str">
        <f>IFERROR(__xludf.DUMMYFUNCTION("""COMPUTED_VALUE"""),"жіночий верхній одяг, загальне")</f>
        <v>жіночий верхній одяг, загальне</v>
      </c>
      <c r="I2730" s="19">
        <f>IFERROR(__xludf.DUMMYFUNCTION("""COMPUTED_VALUE"""),0.125)</f>
        <v>0.125</v>
      </c>
      <c r="J2730" s="19">
        <f>IFERROR(__xludf.DUMMYFUNCTION("""COMPUTED_VALUE"""),0.25)</f>
        <v>0.25</v>
      </c>
      <c r="K2730" s="19">
        <f>IFERROR(__xludf.DUMMYFUNCTION("""COMPUTED_VALUE"""),0.3125)</f>
        <v>0.3125</v>
      </c>
      <c r="L2730" s="19">
        <f>IFERROR(__xludf.DUMMYFUNCTION("""COMPUTED_VALUE"""),0.375)</f>
        <v>0.375</v>
      </c>
      <c r="M2730" s="18">
        <f>IFERROR(__xludf.DUMMYFUNCTION("""COMPUTED_VALUE"""),4.33)</f>
        <v>4.33</v>
      </c>
    </row>
    <row r="2731">
      <c r="A2731" s="13" t="str">
        <f>IFERROR(__xludf.DUMMYFUNCTION("""COMPUTED_VALUE"""),"товари")</f>
        <v>товари</v>
      </c>
      <c r="B2731" s="16" t="str">
        <f>IFERROR(__xludf.DUMMYFUNCTION("""COMPUTED_VALUE"""),"одяг та взуття")</f>
        <v>одяг та взуття</v>
      </c>
      <c r="C2731" s="16" t="str">
        <f>IFERROR(__xludf.DUMMYFUNCTION("""COMPUTED_VALUE"""),"жіночий одяг")</f>
        <v>жіночий одяг</v>
      </c>
      <c r="D2731" s="16" t="str">
        <f>IFERROR(__xludf.DUMMYFUNCTION("""COMPUTED_VALUE"""),"жіночий одяг для сну та дому ")</f>
        <v>жіночий одяг для сну та дому </v>
      </c>
      <c r="E2731" s="16" t="str">
        <f>IFERROR(__xludf.DUMMYFUNCTION("""COMPUTED_VALUE"""),"жіночий домашній одяг ")</f>
        <v>жіночий домашній одяг </v>
      </c>
      <c r="F2731" s="17">
        <f>IFERROR(__xludf.DUMMYFUNCTION("""COMPUTED_VALUE"""),4.0)</f>
        <v>4</v>
      </c>
      <c r="G2731" s="17" t="str">
        <f>IFERROR(__xludf.DUMMYFUNCTION("""COMPUTED_VALUE"""),"36602")</f>
        <v>36602</v>
      </c>
      <c r="H2731" s="17" t="str">
        <f>IFERROR(__xludf.DUMMYFUNCTION("""COMPUTED_VALUE"""),"жіночий домашній одяг ")</f>
        <v>жіночий домашній одяг </v>
      </c>
      <c r="I2731" s="19">
        <f>IFERROR(__xludf.DUMMYFUNCTION("""COMPUTED_VALUE"""),0.0953)</f>
        <v>0.0953</v>
      </c>
      <c r="J2731" s="19">
        <f>IFERROR(__xludf.DUMMYFUNCTION("""COMPUTED_VALUE"""),0.1905)</f>
        <v>0.1905</v>
      </c>
      <c r="K2731" s="19">
        <f>IFERROR(__xludf.DUMMYFUNCTION("""COMPUTED_VALUE"""),0.2381)</f>
        <v>0.2381</v>
      </c>
      <c r="L2731" s="19">
        <f>IFERROR(__xludf.DUMMYFUNCTION("""COMPUTED_VALUE"""),0.2858)</f>
        <v>0.2858</v>
      </c>
      <c r="M2731" s="18">
        <f>IFERROR(__xludf.DUMMYFUNCTION("""COMPUTED_VALUE"""),1.8)</f>
        <v>1.8</v>
      </c>
    </row>
    <row r="2732">
      <c r="A2732" s="13" t="str">
        <f>IFERROR(__xludf.DUMMYFUNCTION("""COMPUTED_VALUE"""),"товари")</f>
        <v>товари</v>
      </c>
      <c r="B2732" s="16" t="str">
        <f>IFERROR(__xludf.DUMMYFUNCTION("""COMPUTED_VALUE"""),"одяг та взуття")</f>
        <v>одяг та взуття</v>
      </c>
      <c r="C2732" s="16" t="str">
        <f>IFERROR(__xludf.DUMMYFUNCTION("""COMPUTED_VALUE"""),"етнічний одяг")</f>
        <v>етнічний одяг</v>
      </c>
      <c r="D2732" s="16" t="str">
        <f>IFERROR(__xludf.DUMMYFUNCTION("""COMPUTED_VALUE"""),"жіночий етнічний одяг та взуття ")</f>
        <v>жіночий етнічний одяг та взуття </v>
      </c>
      <c r="E2732" s="16" t="str">
        <f>IFERROR(__xludf.DUMMYFUNCTION("""COMPUTED_VALUE"""),"жіночий етнічний одяг та взуття ")</f>
        <v>жіночий етнічний одяг та взуття </v>
      </c>
      <c r="F2732" s="17">
        <f>IFERROR(__xludf.DUMMYFUNCTION("""COMPUTED_VALUE"""),3.0)</f>
        <v>3</v>
      </c>
      <c r="G2732" s="17" t="str">
        <f>IFERROR(__xludf.DUMMYFUNCTION("""COMPUTED_VALUE"""),"307")</f>
        <v>307</v>
      </c>
      <c r="H2732" s="17" t="str">
        <f>IFERROR(__xludf.DUMMYFUNCTION("""COMPUTED_VALUE"""),"жіночий етнічний одяг та взуття ")</f>
        <v>жіночий етнічний одяг та взуття </v>
      </c>
      <c r="I2732" s="19">
        <f>IFERROR(__xludf.DUMMYFUNCTION("""COMPUTED_VALUE"""),0.0922)</f>
        <v>0.0922</v>
      </c>
      <c r="J2732" s="19">
        <f>IFERROR(__xludf.DUMMYFUNCTION("""COMPUTED_VALUE"""),0.1844)</f>
        <v>0.1844</v>
      </c>
      <c r="K2732" s="19">
        <f>IFERROR(__xludf.DUMMYFUNCTION("""COMPUTED_VALUE"""),0.2305)</f>
        <v>0.2305</v>
      </c>
      <c r="L2732" s="19">
        <f>IFERROR(__xludf.DUMMYFUNCTION("""COMPUTED_VALUE"""),0.2766)</f>
        <v>0.2766</v>
      </c>
      <c r="M2732" s="18">
        <f>IFERROR(__xludf.DUMMYFUNCTION("""COMPUTED_VALUE"""),1.44)</f>
        <v>1.44</v>
      </c>
    </row>
    <row r="2733">
      <c r="A2733" s="13" t="str">
        <f>IFERROR(__xludf.DUMMYFUNCTION("""COMPUTED_VALUE"""),"товари")</f>
        <v>товари</v>
      </c>
      <c r="B2733" s="16" t="str">
        <f>IFERROR(__xludf.DUMMYFUNCTION("""COMPUTED_VALUE"""),"одяг та взуття")</f>
        <v>одяг та взуття</v>
      </c>
      <c r="C2733" s="16" t="str">
        <f>IFERROR(__xludf.DUMMYFUNCTION("""COMPUTED_VALUE"""),"жіночий одяг")</f>
        <v>жіночий одяг</v>
      </c>
      <c r="D2733" s="16" t="str">
        <f>IFERROR(__xludf.DUMMYFUNCTION("""COMPUTED_VALUE"""),"жіночий одяг для сну та дому ")</f>
        <v>жіночий одяг для сну та дому </v>
      </c>
      <c r="E2733" s="16" t="str">
        <f>IFERROR(__xludf.DUMMYFUNCTION("""COMPUTED_VALUE"""),"жіночий одяг для сну та дому, загальне")</f>
        <v>жіночий одяг для сну та дому, загальне</v>
      </c>
      <c r="F2733" s="17">
        <f>IFERROR(__xludf.DUMMYFUNCTION("""COMPUTED_VALUE"""),4.0)</f>
        <v>4</v>
      </c>
      <c r="G2733" s="17" t="str">
        <f>IFERROR(__xludf.DUMMYFUNCTION("""COMPUTED_VALUE"""),"36611")</f>
        <v>36611</v>
      </c>
      <c r="H2733" s="17" t="str">
        <f>IFERROR(__xludf.DUMMYFUNCTION("""COMPUTED_VALUE"""),"жіночий одяг для сну та дому, загальне")</f>
        <v>жіночий одяг для сну та дому, загальне</v>
      </c>
      <c r="I2733" s="19">
        <f>IFERROR(__xludf.DUMMYFUNCTION("""COMPUTED_VALUE"""),0.125)</f>
        <v>0.125</v>
      </c>
      <c r="J2733" s="19">
        <f>IFERROR(__xludf.DUMMYFUNCTION("""COMPUTED_VALUE"""),0.25)</f>
        <v>0.25</v>
      </c>
      <c r="K2733" s="19">
        <f>IFERROR(__xludf.DUMMYFUNCTION("""COMPUTED_VALUE"""),0.3125)</f>
        <v>0.3125</v>
      </c>
      <c r="L2733" s="19">
        <f>IFERROR(__xludf.DUMMYFUNCTION("""COMPUTED_VALUE"""),0.375)</f>
        <v>0.375</v>
      </c>
      <c r="M2733" s="18">
        <f>IFERROR(__xludf.DUMMYFUNCTION("""COMPUTED_VALUE"""),4.33)</f>
        <v>4.33</v>
      </c>
    </row>
    <row r="2734">
      <c r="A2734" s="13" t="str">
        <f>IFERROR(__xludf.DUMMYFUNCTION("""COMPUTED_VALUE"""),"товари")</f>
        <v>товари</v>
      </c>
      <c r="B2734" s="16" t="str">
        <f>IFERROR(__xludf.DUMMYFUNCTION("""COMPUTED_VALUE"""),"одяг та взуття")</f>
        <v>одяг та взуття</v>
      </c>
      <c r="C2734" s="16" t="str">
        <f>IFERROR(__xludf.DUMMYFUNCTION("""COMPUTED_VALUE"""),"жіночий одяг")</f>
        <v>жіночий одяг</v>
      </c>
      <c r="D2734" s="16" t="str">
        <f>IFERROR(__xludf.DUMMYFUNCTION("""COMPUTED_VALUE"""),"жіночий одяг, загальне")</f>
        <v>жіночий одяг, загальне</v>
      </c>
      <c r="E2734" s="16" t="str">
        <f>IFERROR(__xludf.DUMMYFUNCTION("""COMPUTED_VALUE"""),"жіночий одяг, загальне")</f>
        <v>жіночий одяг, загальне</v>
      </c>
      <c r="F2734" s="17">
        <f>IFERROR(__xludf.DUMMYFUNCTION("""COMPUTED_VALUE"""),3.0)</f>
        <v>3</v>
      </c>
      <c r="G2734" s="17" t="str">
        <f>IFERROR(__xludf.DUMMYFUNCTION("""COMPUTED_VALUE"""),"35404")</f>
        <v>35404</v>
      </c>
      <c r="H2734" s="17" t="str">
        <f>IFERROR(__xludf.DUMMYFUNCTION("""COMPUTED_VALUE"""),"жіночий одяг, загальне")</f>
        <v>жіночий одяг, загальне</v>
      </c>
      <c r="I2734" s="19">
        <f>IFERROR(__xludf.DUMMYFUNCTION("""COMPUTED_VALUE"""),0.125)</f>
        <v>0.125</v>
      </c>
      <c r="J2734" s="19">
        <f>IFERROR(__xludf.DUMMYFUNCTION("""COMPUTED_VALUE"""),0.25)</f>
        <v>0.25</v>
      </c>
      <c r="K2734" s="19">
        <f>IFERROR(__xludf.DUMMYFUNCTION("""COMPUTED_VALUE"""),0.3125)</f>
        <v>0.3125</v>
      </c>
      <c r="L2734" s="19">
        <f>IFERROR(__xludf.DUMMYFUNCTION("""COMPUTED_VALUE"""),0.375)</f>
        <v>0.375</v>
      </c>
      <c r="M2734" s="18">
        <f>IFERROR(__xludf.DUMMYFUNCTION("""COMPUTED_VALUE"""),4.33)</f>
        <v>4.33</v>
      </c>
    </row>
    <row r="2735">
      <c r="A2735" s="13" t="str">
        <f>IFERROR(__xludf.DUMMYFUNCTION("""COMPUTED_VALUE"""),"товари")</f>
        <v>товари</v>
      </c>
      <c r="B2735" s="16" t="str">
        <f>IFERROR(__xludf.DUMMYFUNCTION("""COMPUTED_VALUE"""),"одяг та взуття")</f>
        <v>одяг та взуття</v>
      </c>
      <c r="C2735" s="16" t="str">
        <f>IFERROR(__xludf.DUMMYFUNCTION("""COMPUTED_VALUE"""),"взуття")</f>
        <v>взуття</v>
      </c>
      <c r="D2735" s="16" t="str">
        <f>IFERROR(__xludf.DUMMYFUNCTION("""COMPUTED_VALUE"""),"жіноче взуття ")</f>
        <v>жіноче взуття </v>
      </c>
      <c r="E2735" s="16" t="str">
        <f>IFERROR(__xludf.DUMMYFUNCTION("""COMPUTED_VALUE"""),"жіночі балетки ")</f>
        <v>жіночі балетки </v>
      </c>
      <c r="F2735" s="17">
        <f>IFERROR(__xludf.DUMMYFUNCTION("""COMPUTED_VALUE"""),4.0)</f>
        <v>4</v>
      </c>
      <c r="G2735" s="17" t="str">
        <f>IFERROR(__xludf.DUMMYFUNCTION("""COMPUTED_VALUE"""),"35705")</f>
        <v>35705</v>
      </c>
      <c r="H2735" s="17" t="str">
        <f>IFERROR(__xludf.DUMMYFUNCTION("""COMPUTED_VALUE"""),"жіночі балетки ")</f>
        <v>жіночі балетки </v>
      </c>
      <c r="I2735" s="19">
        <f>IFERROR(__xludf.DUMMYFUNCTION("""COMPUTED_VALUE"""),0.0887)</f>
        <v>0.0887</v>
      </c>
      <c r="J2735" s="19">
        <f>IFERROR(__xludf.DUMMYFUNCTION("""COMPUTED_VALUE"""),0.1774)</f>
        <v>0.1774</v>
      </c>
      <c r="K2735" s="19">
        <f>IFERROR(__xludf.DUMMYFUNCTION("""COMPUTED_VALUE"""),0.2218)</f>
        <v>0.2218</v>
      </c>
      <c r="L2735" s="19">
        <f>IFERROR(__xludf.DUMMYFUNCTION("""COMPUTED_VALUE"""),0.2661)</f>
        <v>0.2661</v>
      </c>
      <c r="M2735" s="18">
        <f>IFERROR(__xludf.DUMMYFUNCTION("""COMPUTED_VALUE"""),1.05)</f>
        <v>1.05</v>
      </c>
    </row>
    <row r="2736">
      <c r="A2736" s="13" t="str">
        <f>IFERROR(__xludf.DUMMYFUNCTION("""COMPUTED_VALUE"""),"товари")</f>
        <v>товари</v>
      </c>
      <c r="B2736" s="16" t="str">
        <f>IFERROR(__xludf.DUMMYFUNCTION("""COMPUTED_VALUE"""),"одяг та взуття")</f>
        <v>одяг та взуття</v>
      </c>
      <c r="C2736" s="16" t="str">
        <f>IFERROR(__xludf.DUMMYFUNCTION("""COMPUTED_VALUE"""),"жіночий одяг")</f>
        <v>жіночий одяг</v>
      </c>
      <c r="D2736" s="16" t="str">
        <f>IFERROR(__xludf.DUMMYFUNCTION("""COMPUTED_VALUE"""),"жіночі блузки та туніки ")</f>
        <v>жіночі блузки та туніки </v>
      </c>
      <c r="E2736" s="16" t="str">
        <f>IFERROR(__xludf.DUMMYFUNCTION("""COMPUTED_VALUE"""),"жіночі блузки та туніки ")</f>
        <v>жіночі блузки та туніки </v>
      </c>
      <c r="F2736" s="17">
        <f>IFERROR(__xludf.DUMMYFUNCTION("""COMPUTED_VALUE"""),3.0)</f>
        <v>3</v>
      </c>
      <c r="G2736" s="17" t="str">
        <f>IFERROR(__xludf.DUMMYFUNCTION("""COMPUTED_VALUE"""),"314")</f>
        <v>314</v>
      </c>
      <c r="H2736" s="17" t="str">
        <f>IFERROR(__xludf.DUMMYFUNCTION("""COMPUTED_VALUE"""),"жіночі блузки та туніки ")</f>
        <v>жіночі блузки та туніки </v>
      </c>
      <c r="I2736" s="19">
        <f>IFERROR(__xludf.DUMMYFUNCTION("""COMPUTED_VALUE"""),0.0992)</f>
        <v>0.0992</v>
      </c>
      <c r="J2736" s="19">
        <f>IFERROR(__xludf.DUMMYFUNCTION("""COMPUTED_VALUE"""),0.1984)</f>
        <v>0.1984</v>
      </c>
      <c r="K2736" s="19">
        <f>IFERROR(__xludf.DUMMYFUNCTION("""COMPUTED_VALUE"""),0.248)</f>
        <v>0.248</v>
      </c>
      <c r="L2736" s="19">
        <f>IFERROR(__xludf.DUMMYFUNCTION("""COMPUTED_VALUE"""),0.2976)</f>
        <v>0.2976</v>
      </c>
      <c r="M2736" s="18">
        <f>IFERROR(__xludf.DUMMYFUNCTION("""COMPUTED_VALUE"""),1.05)</f>
        <v>1.05</v>
      </c>
    </row>
    <row r="2737">
      <c r="A2737" s="13" t="str">
        <f>IFERROR(__xludf.DUMMYFUNCTION("""COMPUTED_VALUE"""),"товари")</f>
        <v>товари</v>
      </c>
      <c r="B2737" s="16" t="str">
        <f>IFERROR(__xludf.DUMMYFUNCTION("""COMPUTED_VALUE"""),"одяг та взуття")</f>
        <v>одяг та взуття</v>
      </c>
      <c r="C2737" s="16" t="str">
        <f>IFERROR(__xludf.DUMMYFUNCTION("""COMPUTED_VALUE"""),"взуття")</f>
        <v>взуття</v>
      </c>
      <c r="D2737" s="16" t="str">
        <f>IFERROR(__xludf.DUMMYFUNCTION("""COMPUTED_VALUE"""),"жіноче взуття ")</f>
        <v>жіноче взуття </v>
      </c>
      <c r="E2737" s="16" t="str">
        <f>IFERROR(__xludf.DUMMYFUNCTION("""COMPUTED_VALUE"""),"жіночі босоніжки та сандалі")</f>
        <v>жіночі босоніжки та сандалі</v>
      </c>
      <c r="F2737" s="17">
        <f>IFERROR(__xludf.DUMMYFUNCTION("""COMPUTED_VALUE"""),4.0)</f>
        <v>4</v>
      </c>
      <c r="G2737" s="17" t="str">
        <f>IFERROR(__xludf.DUMMYFUNCTION("""COMPUTED_VALUE"""),"35702")</f>
        <v>35702</v>
      </c>
      <c r="H2737" s="17" t="str">
        <f>IFERROR(__xludf.DUMMYFUNCTION("""COMPUTED_VALUE"""),"жіночі босоніжки та сандалі")</f>
        <v>жіночі босоніжки та сандалі</v>
      </c>
      <c r="I2737" s="19">
        <f>IFERROR(__xludf.DUMMYFUNCTION("""COMPUTED_VALUE"""),0.0887)</f>
        <v>0.0887</v>
      </c>
      <c r="J2737" s="19">
        <f>IFERROR(__xludf.DUMMYFUNCTION("""COMPUTED_VALUE"""),0.1774)</f>
        <v>0.1774</v>
      </c>
      <c r="K2737" s="19">
        <f>IFERROR(__xludf.DUMMYFUNCTION("""COMPUTED_VALUE"""),0.2218)</f>
        <v>0.2218</v>
      </c>
      <c r="L2737" s="19">
        <f>IFERROR(__xludf.DUMMYFUNCTION("""COMPUTED_VALUE"""),0.2661)</f>
        <v>0.2661</v>
      </c>
      <c r="M2737" s="18">
        <f>IFERROR(__xludf.DUMMYFUNCTION("""COMPUTED_VALUE"""),1.05)</f>
        <v>1.05</v>
      </c>
    </row>
    <row r="2738">
      <c r="A2738" s="13" t="str">
        <f>IFERROR(__xludf.DUMMYFUNCTION("""COMPUTED_VALUE"""),"товари")</f>
        <v>товари</v>
      </c>
      <c r="B2738" s="16" t="str">
        <f>IFERROR(__xludf.DUMMYFUNCTION("""COMPUTED_VALUE"""),"одяг та взуття")</f>
        <v>одяг та взуття</v>
      </c>
      <c r="C2738" s="16" t="str">
        <f>IFERROR(__xludf.DUMMYFUNCTION("""COMPUTED_VALUE"""),"взуття")</f>
        <v>взуття</v>
      </c>
      <c r="D2738" s="16" t="str">
        <f>IFERROR(__xludf.DUMMYFUNCTION("""COMPUTED_VALUE"""),"жіноче взуття ")</f>
        <v>жіноче взуття </v>
      </c>
      <c r="E2738" s="16" t="str">
        <f>IFERROR(__xludf.DUMMYFUNCTION("""COMPUTED_VALUE"""),"жіночі ботильйони, черевики ")</f>
        <v>жіночі ботильйони, черевики </v>
      </c>
      <c r="F2738" s="17">
        <f>IFERROR(__xludf.DUMMYFUNCTION("""COMPUTED_VALUE"""),4.0)</f>
        <v>4</v>
      </c>
      <c r="G2738" s="17" t="str">
        <f>IFERROR(__xludf.DUMMYFUNCTION("""COMPUTED_VALUE"""),"3220404")</f>
        <v>3220404</v>
      </c>
      <c r="H2738" s="17" t="str">
        <f>IFERROR(__xludf.DUMMYFUNCTION("""COMPUTED_VALUE"""),"жіночі ботильйони, черевики ")</f>
        <v>жіночі ботильйони, черевики </v>
      </c>
      <c r="I2738" s="19">
        <f>IFERROR(__xludf.DUMMYFUNCTION("""COMPUTED_VALUE"""),0.0887)</f>
        <v>0.0887</v>
      </c>
      <c r="J2738" s="19">
        <f>IFERROR(__xludf.DUMMYFUNCTION("""COMPUTED_VALUE"""),0.1774)</f>
        <v>0.1774</v>
      </c>
      <c r="K2738" s="19">
        <f>IFERROR(__xludf.DUMMYFUNCTION("""COMPUTED_VALUE"""),0.2218)</f>
        <v>0.2218</v>
      </c>
      <c r="L2738" s="19">
        <f>IFERROR(__xludf.DUMMYFUNCTION("""COMPUTED_VALUE"""),0.2661)</f>
        <v>0.2661</v>
      </c>
      <c r="M2738" s="18">
        <f>IFERROR(__xludf.DUMMYFUNCTION("""COMPUTED_VALUE"""),1.05)</f>
        <v>1.05</v>
      </c>
    </row>
    <row r="2739">
      <c r="A2739" s="13" t="str">
        <f>IFERROR(__xludf.DUMMYFUNCTION("""COMPUTED_VALUE"""),"товари")</f>
        <v>товари</v>
      </c>
      <c r="B2739" s="16" t="str">
        <f>IFERROR(__xludf.DUMMYFUNCTION("""COMPUTED_VALUE"""),"одяг та взуття")</f>
        <v>одяг та взуття</v>
      </c>
      <c r="C2739" s="16" t="str">
        <f>IFERROR(__xludf.DUMMYFUNCTION("""COMPUTED_VALUE"""),"жіночий одяг")</f>
        <v>жіночий одяг</v>
      </c>
      <c r="D2739" s="16" t="str">
        <f>IFERROR(__xludf.DUMMYFUNCTION("""COMPUTED_VALUE"""),"жіночі джинси ")</f>
        <v>жіночі джинси </v>
      </c>
      <c r="E2739" s="16" t="str">
        <f>IFERROR(__xludf.DUMMYFUNCTION("""COMPUTED_VALUE"""),"жіночі джинси ")</f>
        <v>жіночі джинси </v>
      </c>
      <c r="F2739" s="17">
        <f>IFERROR(__xludf.DUMMYFUNCTION("""COMPUTED_VALUE"""),3.0)</f>
        <v>3</v>
      </c>
      <c r="G2739" s="17" t="str">
        <f>IFERROR(__xludf.DUMMYFUNCTION("""COMPUTED_VALUE"""),"35401")</f>
        <v>35401</v>
      </c>
      <c r="H2739" s="17" t="str">
        <f>IFERROR(__xludf.DUMMYFUNCTION("""COMPUTED_VALUE"""),"жіночі джинси ")</f>
        <v>жіночі джинси </v>
      </c>
      <c r="I2739" s="19">
        <f>IFERROR(__xludf.DUMMYFUNCTION("""COMPUTED_VALUE"""),0.0984)</f>
        <v>0.0984</v>
      </c>
      <c r="J2739" s="19">
        <f>IFERROR(__xludf.DUMMYFUNCTION("""COMPUTED_VALUE"""),0.1968)</f>
        <v>0.1968</v>
      </c>
      <c r="K2739" s="19">
        <f>IFERROR(__xludf.DUMMYFUNCTION("""COMPUTED_VALUE"""),0.246)</f>
        <v>0.246</v>
      </c>
      <c r="L2739" s="19">
        <f>IFERROR(__xludf.DUMMYFUNCTION("""COMPUTED_VALUE"""),0.2952)</f>
        <v>0.2952</v>
      </c>
      <c r="M2739" s="18">
        <f>IFERROR(__xludf.DUMMYFUNCTION("""COMPUTED_VALUE"""),1.05)</f>
        <v>1.05</v>
      </c>
    </row>
    <row r="2740">
      <c r="A2740" s="13" t="str">
        <f>IFERROR(__xludf.DUMMYFUNCTION("""COMPUTED_VALUE"""),"товари")</f>
        <v>товари</v>
      </c>
      <c r="B2740" s="16" t="str">
        <f>IFERROR(__xludf.DUMMYFUNCTION("""COMPUTED_VALUE"""),"одяг та взуття")</f>
        <v>одяг та взуття</v>
      </c>
      <c r="C2740" s="16" t="str">
        <f>IFERROR(__xludf.DUMMYFUNCTION("""COMPUTED_VALUE"""),"взуття")</f>
        <v>взуття</v>
      </c>
      <c r="D2740" s="16" t="str">
        <f>IFERROR(__xludf.DUMMYFUNCTION("""COMPUTED_VALUE"""),"жіноче взуття ")</f>
        <v>жіноче взуття </v>
      </c>
      <c r="E2740" s="16" t="str">
        <f>IFERROR(__xludf.DUMMYFUNCTION("""COMPUTED_VALUE"""),"жіночі домашні капці")</f>
        <v>жіночі домашні капці</v>
      </c>
      <c r="F2740" s="17">
        <f>IFERROR(__xludf.DUMMYFUNCTION("""COMPUTED_VALUE"""),4.0)</f>
        <v>4</v>
      </c>
      <c r="G2740" s="17" t="str">
        <f>IFERROR(__xludf.DUMMYFUNCTION("""COMPUTED_VALUE"""),"32206")</f>
        <v>32206</v>
      </c>
      <c r="H2740" s="17" t="str">
        <f>IFERROR(__xludf.DUMMYFUNCTION("""COMPUTED_VALUE"""),"жіночі домашні капці")</f>
        <v>жіночі домашні капці</v>
      </c>
      <c r="I2740" s="19">
        <f>IFERROR(__xludf.DUMMYFUNCTION("""COMPUTED_VALUE"""),0.0887)</f>
        <v>0.0887</v>
      </c>
      <c r="J2740" s="19">
        <f>IFERROR(__xludf.DUMMYFUNCTION("""COMPUTED_VALUE"""),0.1774)</f>
        <v>0.1774</v>
      </c>
      <c r="K2740" s="19">
        <f>IFERROR(__xludf.DUMMYFUNCTION("""COMPUTED_VALUE"""),0.2218)</f>
        <v>0.2218</v>
      </c>
      <c r="L2740" s="19">
        <f>IFERROR(__xludf.DUMMYFUNCTION("""COMPUTED_VALUE"""),0.2661)</f>
        <v>0.2661</v>
      </c>
      <c r="M2740" s="18">
        <f>IFERROR(__xludf.DUMMYFUNCTION("""COMPUTED_VALUE"""),1.05)</f>
        <v>1.05</v>
      </c>
    </row>
    <row r="2741">
      <c r="A2741" s="13" t="str">
        <f>IFERROR(__xludf.DUMMYFUNCTION("""COMPUTED_VALUE"""),"товари")</f>
        <v>товари</v>
      </c>
      <c r="B2741" s="16" t="str">
        <f>IFERROR(__xludf.DUMMYFUNCTION("""COMPUTED_VALUE"""),"одяг та взуття")</f>
        <v>одяг та взуття</v>
      </c>
      <c r="C2741" s="16" t="str">
        <f>IFERROR(__xludf.DUMMYFUNCTION("""COMPUTED_VALUE"""),"жіночий одяг")</f>
        <v>жіночий одяг</v>
      </c>
      <c r="D2741" s="16" t="str">
        <f>IFERROR(__xludf.DUMMYFUNCTION("""COMPUTED_VALUE"""),"жіночий верхній одяг ")</f>
        <v>жіночий верхній одяг </v>
      </c>
      <c r="E2741" s="16" t="str">
        <f>IFERROR(__xludf.DUMMYFUNCTION("""COMPUTED_VALUE"""),"жіночі дублянки ")</f>
        <v>жіночі дублянки </v>
      </c>
      <c r="F2741" s="17">
        <f>IFERROR(__xludf.DUMMYFUNCTION("""COMPUTED_VALUE"""),4.0)</f>
        <v>4</v>
      </c>
      <c r="G2741" s="17" t="str">
        <f>IFERROR(__xludf.DUMMYFUNCTION("""COMPUTED_VALUE"""),"31305")</f>
        <v>31305</v>
      </c>
      <c r="H2741" s="17" t="str">
        <f>IFERROR(__xludf.DUMMYFUNCTION("""COMPUTED_VALUE"""),"жіночі дублянки ")</f>
        <v>жіночі дублянки </v>
      </c>
      <c r="I2741" s="19">
        <f>IFERROR(__xludf.DUMMYFUNCTION("""COMPUTED_VALUE"""),0.0861)</f>
        <v>0.0861</v>
      </c>
      <c r="J2741" s="19">
        <f>IFERROR(__xludf.DUMMYFUNCTION("""COMPUTED_VALUE"""),0.1721)</f>
        <v>0.1721</v>
      </c>
      <c r="K2741" s="19">
        <f>IFERROR(__xludf.DUMMYFUNCTION("""COMPUTED_VALUE"""),0.2151)</f>
        <v>0.2151</v>
      </c>
      <c r="L2741" s="19">
        <f>IFERROR(__xludf.DUMMYFUNCTION("""COMPUTED_VALUE"""),0.2582)</f>
        <v>0.2582</v>
      </c>
      <c r="M2741" s="18">
        <f>IFERROR(__xludf.DUMMYFUNCTION("""COMPUTED_VALUE"""),1.05)</f>
        <v>1.05</v>
      </c>
    </row>
    <row r="2742">
      <c r="A2742" s="13" t="str">
        <f>IFERROR(__xludf.DUMMYFUNCTION("""COMPUTED_VALUE"""),"товари")</f>
        <v>товари</v>
      </c>
      <c r="B2742" s="16" t="str">
        <f>IFERROR(__xludf.DUMMYFUNCTION("""COMPUTED_VALUE"""),"одяг та взуття")</f>
        <v>одяг та взуття</v>
      </c>
      <c r="C2742" s="16" t="str">
        <f>IFERROR(__xludf.DUMMYFUNCTION("""COMPUTED_VALUE"""),"жіночий одяг")</f>
        <v>жіночий одяг</v>
      </c>
      <c r="D2742" s="16" t="str">
        <f>IFERROR(__xludf.DUMMYFUNCTION("""COMPUTED_VALUE"""),"жіночий верхній одяг ")</f>
        <v>жіночий верхній одяг </v>
      </c>
      <c r="E2742" s="16" t="str">
        <f>IFERROR(__xludf.DUMMYFUNCTION("""COMPUTED_VALUE"""),"жіночі жилети та безрукавки ")</f>
        <v>жіночі жилети та безрукавки </v>
      </c>
      <c r="F2742" s="17">
        <f>IFERROR(__xludf.DUMMYFUNCTION("""COMPUTED_VALUE"""),4.0)</f>
        <v>4</v>
      </c>
      <c r="G2742" s="17" t="str">
        <f>IFERROR(__xludf.DUMMYFUNCTION("""COMPUTED_VALUE"""),"352")</f>
        <v>352</v>
      </c>
      <c r="H2742" s="17" t="str">
        <f>IFERROR(__xludf.DUMMYFUNCTION("""COMPUTED_VALUE"""),"жіночі жилети та безрукавки ")</f>
        <v>жіночі жилети та безрукавки </v>
      </c>
      <c r="I2742" s="19">
        <f>IFERROR(__xludf.DUMMYFUNCTION("""COMPUTED_VALUE"""),0.0892)</f>
        <v>0.0892</v>
      </c>
      <c r="J2742" s="19">
        <f>IFERROR(__xludf.DUMMYFUNCTION("""COMPUTED_VALUE"""),0.1783)</f>
        <v>0.1783</v>
      </c>
      <c r="K2742" s="19">
        <f>IFERROR(__xludf.DUMMYFUNCTION("""COMPUTED_VALUE"""),0.2229)</f>
        <v>0.2229</v>
      </c>
      <c r="L2742" s="19">
        <f>IFERROR(__xludf.DUMMYFUNCTION("""COMPUTED_VALUE"""),0.2675)</f>
        <v>0.2675</v>
      </c>
      <c r="M2742" s="18">
        <f>IFERROR(__xludf.DUMMYFUNCTION("""COMPUTED_VALUE"""),1.05)</f>
        <v>1.05</v>
      </c>
    </row>
    <row r="2743">
      <c r="A2743" s="13" t="str">
        <f>IFERROR(__xludf.DUMMYFUNCTION("""COMPUTED_VALUE"""),"товари")</f>
        <v>товари</v>
      </c>
      <c r="B2743" s="16" t="str">
        <f>IFERROR(__xludf.DUMMYFUNCTION("""COMPUTED_VALUE"""),"одяг та взуття")</f>
        <v>одяг та взуття</v>
      </c>
      <c r="C2743" s="16" t="str">
        <f>IFERROR(__xludf.DUMMYFUNCTION("""COMPUTED_VALUE"""),"карнавальні костюми")</f>
        <v>карнавальні костюми</v>
      </c>
      <c r="D2743" s="16" t="str">
        <f>IFERROR(__xludf.DUMMYFUNCTION("""COMPUTED_VALUE"""),"жіночі карнавальні костюми ")</f>
        <v>жіночі карнавальні костюми </v>
      </c>
      <c r="E2743" s="16" t="str">
        <f>IFERROR(__xludf.DUMMYFUNCTION("""COMPUTED_VALUE"""),"жіночі карнавальні костюми ")</f>
        <v>жіночі карнавальні костюми </v>
      </c>
      <c r="F2743" s="17">
        <f>IFERROR(__xludf.DUMMYFUNCTION("""COMPUTED_VALUE"""),3.0)</f>
        <v>3</v>
      </c>
      <c r="G2743" s="17" t="str">
        <f>IFERROR(__xludf.DUMMYFUNCTION("""COMPUTED_VALUE"""),"34701")</f>
        <v>34701</v>
      </c>
      <c r="H2743" s="17" t="str">
        <f>IFERROR(__xludf.DUMMYFUNCTION("""COMPUTED_VALUE"""),"жіночі карнавальні костюми ")</f>
        <v>жіночі карнавальні костюми </v>
      </c>
      <c r="I2743" s="19">
        <f>IFERROR(__xludf.DUMMYFUNCTION("""COMPUTED_VALUE"""),0.0959)</f>
        <v>0.0959</v>
      </c>
      <c r="J2743" s="19">
        <f>IFERROR(__xludf.DUMMYFUNCTION("""COMPUTED_VALUE"""),0.1918)</f>
        <v>0.1918</v>
      </c>
      <c r="K2743" s="19">
        <f>IFERROR(__xludf.DUMMYFUNCTION("""COMPUTED_VALUE"""),0.2398)</f>
        <v>0.2398</v>
      </c>
      <c r="L2743" s="19">
        <f>IFERROR(__xludf.DUMMYFUNCTION("""COMPUTED_VALUE"""),0.2877)</f>
        <v>0.2877</v>
      </c>
      <c r="M2743" s="18">
        <f>IFERROR(__xludf.DUMMYFUNCTION("""COMPUTED_VALUE"""),1.44)</f>
        <v>1.44</v>
      </c>
    </row>
    <row r="2744">
      <c r="A2744" s="13" t="str">
        <f>IFERROR(__xludf.DUMMYFUNCTION("""COMPUTED_VALUE"""),"товари")</f>
        <v>товари</v>
      </c>
      <c r="B2744" s="16" t="str">
        <f>IFERROR(__xludf.DUMMYFUNCTION("""COMPUTED_VALUE"""),"одяг та взуття")</f>
        <v>одяг та взуття</v>
      </c>
      <c r="C2744" s="16" t="str">
        <f>IFERROR(__xludf.DUMMYFUNCTION("""COMPUTED_VALUE"""),"жіночий одяг")</f>
        <v>жіночий одяг</v>
      </c>
      <c r="D2744" s="16" t="str">
        <f>IFERROR(__xludf.DUMMYFUNCTION("""COMPUTED_VALUE"""),"жіноча білизна і купальники")</f>
        <v>жіноча білизна і купальники</v>
      </c>
      <c r="E2744" s="16" t="str">
        <f>IFERROR(__xludf.DUMMYFUNCTION("""COMPUTED_VALUE"""),"жіночі колготи та панчохи")</f>
        <v>жіночі колготи та панчохи</v>
      </c>
      <c r="F2744" s="17">
        <f>IFERROR(__xludf.DUMMYFUNCTION("""COMPUTED_VALUE"""),4.0)</f>
        <v>4</v>
      </c>
      <c r="G2744" s="17" t="str">
        <f>IFERROR(__xludf.DUMMYFUNCTION("""COMPUTED_VALUE"""),"304")</f>
        <v>304</v>
      </c>
      <c r="H2744" s="17" t="str">
        <f>IFERROR(__xludf.DUMMYFUNCTION("""COMPUTED_VALUE"""),"жіночі колготи та панчохи")</f>
        <v>жіночі колготи та панчохи</v>
      </c>
      <c r="I2744" s="19">
        <f>IFERROR(__xludf.DUMMYFUNCTION("""COMPUTED_VALUE"""),0.0966)</f>
        <v>0.0966</v>
      </c>
      <c r="J2744" s="19">
        <f>IFERROR(__xludf.DUMMYFUNCTION("""COMPUTED_VALUE"""),0.1931)</f>
        <v>0.1931</v>
      </c>
      <c r="K2744" s="19">
        <f>IFERROR(__xludf.DUMMYFUNCTION("""COMPUTED_VALUE"""),0.2414)</f>
        <v>0.2414</v>
      </c>
      <c r="L2744" s="19">
        <f>IFERROR(__xludf.DUMMYFUNCTION("""COMPUTED_VALUE"""),0.2897)</f>
        <v>0.2897</v>
      </c>
      <c r="M2744" s="18">
        <f>IFERROR(__xludf.DUMMYFUNCTION("""COMPUTED_VALUE"""),1.05)</f>
        <v>1.05</v>
      </c>
    </row>
    <row r="2745">
      <c r="A2745" s="13" t="str">
        <f>IFERROR(__xludf.DUMMYFUNCTION("""COMPUTED_VALUE"""),"товари")</f>
        <v>товари</v>
      </c>
      <c r="B2745" s="16" t="str">
        <f>IFERROR(__xludf.DUMMYFUNCTION("""COMPUTED_VALUE"""),"одяг та взуття")</f>
        <v>одяг та взуття</v>
      </c>
      <c r="C2745" s="16" t="str">
        <f>IFERROR(__xludf.DUMMYFUNCTION("""COMPUTED_VALUE"""),"жіночий одяг")</f>
        <v>жіночий одяг</v>
      </c>
      <c r="D2745" s="16" t="str">
        <f>IFERROR(__xludf.DUMMYFUNCTION("""COMPUTED_VALUE"""),"жіночі комбінезони ")</f>
        <v>жіночі комбінезони </v>
      </c>
      <c r="E2745" s="16" t="str">
        <f>IFERROR(__xludf.DUMMYFUNCTION("""COMPUTED_VALUE"""),"жіночі комбінезони ")</f>
        <v>жіночі комбінезони </v>
      </c>
      <c r="F2745" s="17">
        <f>IFERROR(__xludf.DUMMYFUNCTION("""COMPUTED_VALUE"""),3.0)</f>
        <v>3</v>
      </c>
      <c r="G2745" s="17" t="str">
        <f>IFERROR(__xludf.DUMMYFUNCTION("""COMPUTED_VALUE"""),"331")</f>
        <v>331</v>
      </c>
      <c r="H2745" s="17" t="str">
        <f>IFERROR(__xludf.DUMMYFUNCTION("""COMPUTED_VALUE"""),"жіночі комбінезони ")</f>
        <v>жіночі комбінезони </v>
      </c>
      <c r="I2745" s="19">
        <f>IFERROR(__xludf.DUMMYFUNCTION("""COMPUTED_VALUE"""),0.0883)</f>
        <v>0.0883</v>
      </c>
      <c r="J2745" s="19">
        <f>IFERROR(__xludf.DUMMYFUNCTION("""COMPUTED_VALUE"""),0.1765)</f>
        <v>0.1765</v>
      </c>
      <c r="K2745" s="19">
        <f>IFERROR(__xludf.DUMMYFUNCTION("""COMPUTED_VALUE"""),0.2206)</f>
        <v>0.2206</v>
      </c>
      <c r="L2745" s="19">
        <f>IFERROR(__xludf.DUMMYFUNCTION("""COMPUTED_VALUE"""),0.2648)</f>
        <v>0.2648</v>
      </c>
      <c r="M2745" s="18">
        <f>IFERROR(__xludf.DUMMYFUNCTION("""COMPUTED_VALUE"""),1.05)</f>
        <v>1.05</v>
      </c>
    </row>
    <row r="2746">
      <c r="A2746" s="13" t="str">
        <f>IFERROR(__xludf.DUMMYFUNCTION("""COMPUTED_VALUE"""),"товари")</f>
        <v>товари</v>
      </c>
      <c r="B2746" s="16" t="str">
        <f>IFERROR(__xludf.DUMMYFUNCTION("""COMPUTED_VALUE"""),"одяг та взуття")</f>
        <v>одяг та взуття</v>
      </c>
      <c r="C2746" s="16" t="str">
        <f>IFERROR(__xludf.DUMMYFUNCTION("""COMPUTED_VALUE"""),"жіночий одяг")</f>
        <v>жіночий одяг</v>
      </c>
      <c r="D2746" s="16" t="str">
        <f>IFERROR(__xludf.DUMMYFUNCTION("""COMPUTED_VALUE"""),"жіноча білизна і купальники")</f>
        <v>жіноча білизна і купальники</v>
      </c>
      <c r="E2746" s="16" t="str">
        <f>IFERROR(__xludf.DUMMYFUNCTION("""COMPUTED_VALUE"""),"жіночі комплекти нижньої білизни ")</f>
        <v>жіночі комплекти нижньої білизни </v>
      </c>
      <c r="F2746" s="17">
        <f>IFERROR(__xludf.DUMMYFUNCTION("""COMPUTED_VALUE"""),4.0)</f>
        <v>4</v>
      </c>
      <c r="G2746" s="17" t="str">
        <f>IFERROR(__xludf.DUMMYFUNCTION("""COMPUTED_VALUE"""),"31206")</f>
        <v>31206</v>
      </c>
      <c r="H2746" s="17" t="str">
        <f>IFERROR(__xludf.DUMMYFUNCTION("""COMPUTED_VALUE"""),"жіночі комплекти нижньої білизни ")</f>
        <v>жіночі комплекти нижньої білизни </v>
      </c>
      <c r="I2746" s="19">
        <f>IFERROR(__xludf.DUMMYFUNCTION("""COMPUTED_VALUE"""),0.0966)</f>
        <v>0.0966</v>
      </c>
      <c r="J2746" s="19">
        <f>IFERROR(__xludf.DUMMYFUNCTION("""COMPUTED_VALUE"""),0.1931)</f>
        <v>0.1931</v>
      </c>
      <c r="K2746" s="19">
        <f>IFERROR(__xludf.DUMMYFUNCTION("""COMPUTED_VALUE"""),0.2414)</f>
        <v>0.2414</v>
      </c>
      <c r="L2746" s="19">
        <f>IFERROR(__xludf.DUMMYFUNCTION("""COMPUTED_VALUE"""),0.2897)</f>
        <v>0.2897</v>
      </c>
      <c r="M2746" s="18">
        <f>IFERROR(__xludf.DUMMYFUNCTION("""COMPUTED_VALUE"""),1.05)</f>
        <v>1.05</v>
      </c>
    </row>
    <row r="2747">
      <c r="A2747" s="13" t="str">
        <f>IFERROR(__xludf.DUMMYFUNCTION("""COMPUTED_VALUE"""),"товари")</f>
        <v>товари</v>
      </c>
      <c r="B2747" s="16" t="str">
        <f>IFERROR(__xludf.DUMMYFUNCTION("""COMPUTED_VALUE"""),"одяг та взуття")</f>
        <v>одяг та взуття</v>
      </c>
      <c r="C2747" s="16" t="str">
        <f>IFERROR(__xludf.DUMMYFUNCTION("""COMPUTED_VALUE"""),"жіночий одяг")</f>
        <v>жіночий одяг</v>
      </c>
      <c r="D2747" s="16" t="str">
        <f>IFERROR(__xludf.DUMMYFUNCTION("""COMPUTED_VALUE"""),"жіночі корсети ")</f>
        <v>жіночі корсети </v>
      </c>
      <c r="E2747" s="16" t="str">
        <f>IFERROR(__xludf.DUMMYFUNCTION("""COMPUTED_VALUE"""),"жіночі корсети ")</f>
        <v>жіночі корсети </v>
      </c>
      <c r="F2747" s="17">
        <f>IFERROR(__xludf.DUMMYFUNCTION("""COMPUTED_VALUE"""),3.0)</f>
        <v>3</v>
      </c>
      <c r="G2747" s="17" t="str">
        <f>IFERROR(__xludf.DUMMYFUNCTION("""COMPUTED_VALUE"""),"319")</f>
        <v>319</v>
      </c>
      <c r="H2747" s="17" t="str">
        <f>IFERROR(__xludf.DUMMYFUNCTION("""COMPUTED_VALUE"""),"жіночі корсети ")</f>
        <v>жіночі корсети </v>
      </c>
      <c r="I2747" s="19">
        <f>IFERROR(__xludf.DUMMYFUNCTION("""COMPUTED_VALUE"""),0.0784)</f>
        <v>0.0784</v>
      </c>
      <c r="J2747" s="19">
        <f>IFERROR(__xludf.DUMMYFUNCTION("""COMPUTED_VALUE"""),0.1568)</f>
        <v>0.1568</v>
      </c>
      <c r="K2747" s="19">
        <f>IFERROR(__xludf.DUMMYFUNCTION("""COMPUTED_VALUE"""),0.196)</f>
        <v>0.196</v>
      </c>
      <c r="L2747" s="19">
        <f>IFERROR(__xludf.DUMMYFUNCTION("""COMPUTED_VALUE"""),0.2352)</f>
        <v>0.2352</v>
      </c>
      <c r="M2747" s="18">
        <f>IFERROR(__xludf.DUMMYFUNCTION("""COMPUTED_VALUE"""),1.05)</f>
        <v>1.05</v>
      </c>
    </row>
    <row r="2748">
      <c r="A2748" s="13" t="str">
        <f>IFERROR(__xludf.DUMMYFUNCTION("""COMPUTED_VALUE"""),"товари")</f>
        <v>товари</v>
      </c>
      <c r="B2748" s="16" t="str">
        <f>IFERROR(__xludf.DUMMYFUNCTION("""COMPUTED_VALUE"""),"одяг та взуття")</f>
        <v>одяг та взуття</v>
      </c>
      <c r="C2748" s="16" t="str">
        <f>IFERROR(__xludf.DUMMYFUNCTION("""COMPUTED_VALUE"""),"жіночий одяг")</f>
        <v>жіночий одяг</v>
      </c>
      <c r="D2748" s="16" t="str">
        <f>IFERROR(__xludf.DUMMYFUNCTION("""COMPUTED_VALUE"""),"жіночі костюми ")</f>
        <v>жіночі костюми </v>
      </c>
      <c r="E2748" s="16" t="str">
        <f>IFERROR(__xludf.DUMMYFUNCTION("""COMPUTED_VALUE"""),"жіночі костюми ")</f>
        <v>жіночі костюми </v>
      </c>
      <c r="F2748" s="17">
        <f>IFERROR(__xludf.DUMMYFUNCTION("""COMPUTED_VALUE"""),3.0)</f>
        <v>3</v>
      </c>
      <c r="G2748" s="17" t="str">
        <f>IFERROR(__xludf.DUMMYFUNCTION("""COMPUTED_VALUE"""),"332")</f>
        <v>332</v>
      </c>
      <c r="H2748" s="17" t="str">
        <f>IFERROR(__xludf.DUMMYFUNCTION("""COMPUTED_VALUE"""),"жіночі костюми ")</f>
        <v>жіночі костюми </v>
      </c>
      <c r="I2748" s="19">
        <f>IFERROR(__xludf.DUMMYFUNCTION("""COMPUTED_VALUE"""),0.0957)</f>
        <v>0.0957</v>
      </c>
      <c r="J2748" s="19">
        <f>IFERROR(__xludf.DUMMYFUNCTION("""COMPUTED_VALUE"""),0.1914)</f>
        <v>0.1914</v>
      </c>
      <c r="K2748" s="19">
        <f>IFERROR(__xludf.DUMMYFUNCTION("""COMPUTED_VALUE"""),0.2393)</f>
        <v>0.2393</v>
      </c>
      <c r="L2748" s="19">
        <f>IFERROR(__xludf.DUMMYFUNCTION("""COMPUTED_VALUE"""),0.2871)</f>
        <v>0.2871</v>
      </c>
      <c r="M2748" s="18">
        <f>IFERROR(__xludf.DUMMYFUNCTION("""COMPUTED_VALUE"""),1.05)</f>
        <v>1.05</v>
      </c>
    </row>
    <row r="2749">
      <c r="A2749" s="13" t="str">
        <f>IFERROR(__xludf.DUMMYFUNCTION("""COMPUTED_VALUE"""),"товари")</f>
        <v>товари</v>
      </c>
      <c r="B2749" s="16" t="str">
        <f>IFERROR(__xludf.DUMMYFUNCTION("""COMPUTED_VALUE"""),"одяг та взуття")</f>
        <v>одяг та взуття</v>
      </c>
      <c r="C2749" s="16" t="str">
        <f>IFERROR(__xludf.DUMMYFUNCTION("""COMPUTED_VALUE"""),"жіночий одяг")</f>
        <v>жіночий одяг</v>
      </c>
      <c r="D2749" s="16" t="str">
        <f>IFERROR(__xludf.DUMMYFUNCTION("""COMPUTED_VALUE"""),"жіноча білизна і купальники")</f>
        <v>жіноча білизна і купальники</v>
      </c>
      <c r="E2749" s="16" t="str">
        <f>IFERROR(__xludf.DUMMYFUNCTION("""COMPUTED_VALUE"""),"жіночі купальники ")</f>
        <v>жіночі купальники </v>
      </c>
      <c r="F2749" s="17">
        <f>IFERROR(__xludf.DUMMYFUNCTION("""COMPUTED_VALUE"""),4.0)</f>
        <v>4</v>
      </c>
      <c r="G2749" s="17" t="str">
        <f>IFERROR(__xludf.DUMMYFUNCTION("""COMPUTED_VALUE"""),"31299")</f>
        <v>31299</v>
      </c>
      <c r="H2749" s="17" t="str">
        <f>IFERROR(__xludf.DUMMYFUNCTION("""COMPUTED_VALUE"""),"жіночі купальники ")</f>
        <v>жіночі купальники </v>
      </c>
      <c r="I2749" s="19">
        <f>IFERROR(__xludf.DUMMYFUNCTION("""COMPUTED_VALUE"""),0.0966)</f>
        <v>0.0966</v>
      </c>
      <c r="J2749" s="19">
        <f>IFERROR(__xludf.DUMMYFUNCTION("""COMPUTED_VALUE"""),0.1931)</f>
        <v>0.1931</v>
      </c>
      <c r="K2749" s="19">
        <f>IFERROR(__xludf.DUMMYFUNCTION("""COMPUTED_VALUE"""),0.2414)</f>
        <v>0.2414</v>
      </c>
      <c r="L2749" s="19">
        <f>IFERROR(__xludf.DUMMYFUNCTION("""COMPUTED_VALUE"""),0.2897)</f>
        <v>0.2897</v>
      </c>
      <c r="M2749" s="18">
        <f>IFERROR(__xludf.DUMMYFUNCTION("""COMPUTED_VALUE"""),1.05)</f>
        <v>1.05</v>
      </c>
    </row>
    <row r="2750">
      <c r="A2750" s="13" t="str">
        <f>IFERROR(__xludf.DUMMYFUNCTION("""COMPUTED_VALUE"""),"товари")</f>
        <v>товари</v>
      </c>
      <c r="B2750" s="16" t="str">
        <f>IFERROR(__xludf.DUMMYFUNCTION("""COMPUTED_VALUE"""),"одяг та взуття")</f>
        <v>одяг та взуття</v>
      </c>
      <c r="C2750" s="16" t="str">
        <f>IFERROR(__xludf.DUMMYFUNCTION("""COMPUTED_VALUE"""),"жіночий одяг")</f>
        <v>жіночий одяг</v>
      </c>
      <c r="D2750" s="16" t="str">
        <f>IFERROR(__xludf.DUMMYFUNCTION("""COMPUTED_VALUE"""),"жіночий верхній одяг ")</f>
        <v>жіночий верхній одяг </v>
      </c>
      <c r="E2750" s="16" t="str">
        <f>IFERROR(__xludf.DUMMYFUNCTION("""COMPUTED_VALUE"""),"жіночі куртки ")</f>
        <v>жіночі куртки </v>
      </c>
      <c r="F2750" s="17">
        <f>IFERROR(__xludf.DUMMYFUNCTION("""COMPUTED_VALUE"""),4.0)</f>
        <v>4</v>
      </c>
      <c r="G2750" s="17" t="str">
        <f>IFERROR(__xludf.DUMMYFUNCTION("""COMPUTED_VALUE"""),"31302")</f>
        <v>31302</v>
      </c>
      <c r="H2750" s="17" t="str">
        <f>IFERROR(__xludf.DUMMYFUNCTION("""COMPUTED_VALUE"""),"жіночі куртки ")</f>
        <v>жіночі куртки </v>
      </c>
      <c r="I2750" s="19">
        <f>IFERROR(__xludf.DUMMYFUNCTION("""COMPUTED_VALUE"""),0.0858)</f>
        <v>0.0858</v>
      </c>
      <c r="J2750" s="19">
        <f>IFERROR(__xludf.DUMMYFUNCTION("""COMPUTED_VALUE"""),0.1715)</f>
        <v>0.1715</v>
      </c>
      <c r="K2750" s="19">
        <f>IFERROR(__xludf.DUMMYFUNCTION("""COMPUTED_VALUE"""),0.2144)</f>
        <v>0.2144</v>
      </c>
      <c r="L2750" s="19">
        <f>IFERROR(__xludf.DUMMYFUNCTION("""COMPUTED_VALUE"""),0.2573)</f>
        <v>0.2573</v>
      </c>
      <c r="M2750" s="18">
        <f>IFERROR(__xludf.DUMMYFUNCTION("""COMPUTED_VALUE"""),1.05)</f>
        <v>1.05</v>
      </c>
    </row>
    <row r="2751">
      <c r="A2751" s="13" t="str">
        <f>IFERROR(__xludf.DUMMYFUNCTION("""COMPUTED_VALUE"""),"товари")</f>
        <v>товари</v>
      </c>
      <c r="B2751" s="16" t="str">
        <f>IFERROR(__xludf.DUMMYFUNCTION("""COMPUTED_VALUE"""),"одяг та взуття")</f>
        <v>одяг та взуття</v>
      </c>
      <c r="C2751" s="16" t="str">
        <f>IFERROR(__xludf.DUMMYFUNCTION("""COMPUTED_VALUE"""),"взуття")</f>
        <v>взуття</v>
      </c>
      <c r="D2751" s="16" t="str">
        <f>IFERROR(__xludf.DUMMYFUNCTION("""COMPUTED_VALUE"""),"жіноче взуття ")</f>
        <v>жіноче взуття </v>
      </c>
      <c r="E2751" s="16" t="str">
        <f>IFERROR(__xludf.DUMMYFUNCTION("""COMPUTED_VALUE"""),"жіночі мокасини і сліпони ")</f>
        <v>жіночі мокасини і сліпони </v>
      </c>
      <c r="F2751" s="17">
        <f>IFERROR(__xludf.DUMMYFUNCTION("""COMPUTED_VALUE"""),4.0)</f>
        <v>4</v>
      </c>
      <c r="G2751" s="17" t="str">
        <f>IFERROR(__xludf.DUMMYFUNCTION("""COMPUTED_VALUE"""),"35703")</f>
        <v>35703</v>
      </c>
      <c r="H2751" s="17" t="str">
        <f>IFERROR(__xludf.DUMMYFUNCTION("""COMPUTED_VALUE"""),"жіночі мокасини і сліпони ")</f>
        <v>жіночі мокасини і сліпони </v>
      </c>
      <c r="I2751" s="19">
        <f>IFERROR(__xludf.DUMMYFUNCTION("""COMPUTED_VALUE"""),0.0887)</f>
        <v>0.0887</v>
      </c>
      <c r="J2751" s="19">
        <f>IFERROR(__xludf.DUMMYFUNCTION("""COMPUTED_VALUE"""),0.1774)</f>
        <v>0.1774</v>
      </c>
      <c r="K2751" s="19">
        <f>IFERROR(__xludf.DUMMYFUNCTION("""COMPUTED_VALUE"""),0.2218)</f>
        <v>0.2218</v>
      </c>
      <c r="L2751" s="19">
        <f>IFERROR(__xludf.DUMMYFUNCTION("""COMPUTED_VALUE"""),0.2661)</f>
        <v>0.2661</v>
      </c>
      <c r="M2751" s="18">
        <f>IFERROR(__xludf.DUMMYFUNCTION("""COMPUTED_VALUE"""),1.05)</f>
        <v>1.05</v>
      </c>
    </row>
    <row r="2752">
      <c r="A2752" s="13" t="str">
        <f>IFERROR(__xludf.DUMMYFUNCTION("""COMPUTED_VALUE"""),"товари")</f>
        <v>товари</v>
      </c>
      <c r="B2752" s="16" t="str">
        <f>IFERROR(__xludf.DUMMYFUNCTION("""COMPUTED_VALUE"""),"одяг та взуття")</f>
        <v>одяг та взуття</v>
      </c>
      <c r="C2752" s="16" t="str">
        <f>IFERROR(__xludf.DUMMYFUNCTION("""COMPUTED_VALUE"""),"жіночий одяг")</f>
        <v>жіночий одяг</v>
      </c>
      <c r="D2752" s="16" t="str">
        <f>IFERROR(__xludf.DUMMYFUNCTION("""COMPUTED_VALUE"""),"жіночий верхній одяг ")</f>
        <v>жіночий верхній одяг </v>
      </c>
      <c r="E2752" s="16" t="str">
        <f>IFERROR(__xludf.DUMMYFUNCTION("""COMPUTED_VALUE"""),"жіночі пальта")</f>
        <v>жіночі пальта</v>
      </c>
      <c r="F2752" s="17">
        <f>IFERROR(__xludf.DUMMYFUNCTION("""COMPUTED_VALUE"""),4.0)</f>
        <v>4</v>
      </c>
      <c r="G2752" s="17" t="str">
        <f>IFERROR(__xludf.DUMMYFUNCTION("""COMPUTED_VALUE"""),"31301")</f>
        <v>31301</v>
      </c>
      <c r="H2752" s="17" t="str">
        <f>IFERROR(__xludf.DUMMYFUNCTION("""COMPUTED_VALUE"""),"жіночі пальта")</f>
        <v>жіночі пальта</v>
      </c>
      <c r="I2752" s="19">
        <f>IFERROR(__xludf.DUMMYFUNCTION("""COMPUTED_VALUE"""),0.0871)</f>
        <v>0.0871</v>
      </c>
      <c r="J2752" s="19">
        <f>IFERROR(__xludf.DUMMYFUNCTION("""COMPUTED_VALUE"""),0.1741)</f>
        <v>0.1741</v>
      </c>
      <c r="K2752" s="19">
        <f>IFERROR(__xludf.DUMMYFUNCTION("""COMPUTED_VALUE"""),0.2176)</f>
        <v>0.2176</v>
      </c>
      <c r="L2752" s="19">
        <f>IFERROR(__xludf.DUMMYFUNCTION("""COMPUTED_VALUE"""),0.2612)</f>
        <v>0.2612</v>
      </c>
      <c r="M2752" s="18">
        <f>IFERROR(__xludf.DUMMYFUNCTION("""COMPUTED_VALUE"""),1.05)</f>
        <v>1.05</v>
      </c>
    </row>
    <row r="2753">
      <c r="A2753" s="13" t="str">
        <f>IFERROR(__xludf.DUMMYFUNCTION("""COMPUTED_VALUE"""),"товари")</f>
        <v>товари</v>
      </c>
      <c r="B2753" s="16" t="str">
        <f>IFERROR(__xludf.DUMMYFUNCTION("""COMPUTED_VALUE"""),"одяг та взуття")</f>
        <v>одяг та взуття</v>
      </c>
      <c r="C2753" s="16" t="str">
        <f>IFERROR(__xludf.DUMMYFUNCTION("""COMPUTED_VALUE"""),"жіночий одяг")</f>
        <v>жіночий одяг</v>
      </c>
      <c r="D2753" s="16" t="str">
        <f>IFERROR(__xludf.DUMMYFUNCTION("""COMPUTED_VALUE"""),"жіночі піджаки та жакети ")</f>
        <v>жіночі піджаки та жакети </v>
      </c>
      <c r="E2753" s="16" t="str">
        <f>IFERROR(__xludf.DUMMYFUNCTION("""COMPUTED_VALUE"""),"жіночі піджаки та жакети ")</f>
        <v>жіночі піджаки та жакети </v>
      </c>
      <c r="F2753" s="17">
        <f>IFERROR(__xludf.DUMMYFUNCTION("""COMPUTED_VALUE"""),3.0)</f>
        <v>3</v>
      </c>
      <c r="G2753" s="17" t="str">
        <f>IFERROR(__xludf.DUMMYFUNCTION("""COMPUTED_VALUE"""),"317")</f>
        <v>317</v>
      </c>
      <c r="H2753" s="17" t="str">
        <f>IFERROR(__xludf.DUMMYFUNCTION("""COMPUTED_VALUE"""),"жіночі піджаки та жакети ")</f>
        <v>жіночі піджаки та жакети </v>
      </c>
      <c r="I2753" s="19">
        <f>IFERROR(__xludf.DUMMYFUNCTION("""COMPUTED_VALUE"""),0.0931)</f>
        <v>0.0931</v>
      </c>
      <c r="J2753" s="19">
        <f>IFERROR(__xludf.DUMMYFUNCTION("""COMPUTED_VALUE"""),0.1861)</f>
        <v>0.1861</v>
      </c>
      <c r="K2753" s="19">
        <f>IFERROR(__xludf.DUMMYFUNCTION("""COMPUTED_VALUE"""),0.2326)</f>
        <v>0.2326</v>
      </c>
      <c r="L2753" s="19">
        <f>IFERROR(__xludf.DUMMYFUNCTION("""COMPUTED_VALUE"""),0.2792)</f>
        <v>0.2792</v>
      </c>
      <c r="M2753" s="18">
        <f>IFERROR(__xludf.DUMMYFUNCTION("""COMPUTED_VALUE"""),1.05)</f>
        <v>1.05</v>
      </c>
    </row>
    <row r="2754">
      <c r="A2754" s="13" t="str">
        <f>IFERROR(__xludf.DUMMYFUNCTION("""COMPUTED_VALUE"""),"товари")</f>
        <v>товари</v>
      </c>
      <c r="B2754" s="16" t="str">
        <f>IFERROR(__xludf.DUMMYFUNCTION("""COMPUTED_VALUE"""),"одяг та взуття")</f>
        <v>одяг та взуття</v>
      </c>
      <c r="C2754" s="16" t="str">
        <f>IFERROR(__xludf.DUMMYFUNCTION("""COMPUTED_VALUE"""),"жіночий одяг")</f>
        <v>жіночий одяг</v>
      </c>
      <c r="D2754" s="16" t="str">
        <f>IFERROR(__xludf.DUMMYFUNCTION("""COMPUTED_VALUE"""),"жіночий одяг для сну та дому ")</f>
        <v>жіночий одяг для сну та дому </v>
      </c>
      <c r="E2754" s="16" t="str">
        <f>IFERROR(__xludf.DUMMYFUNCTION("""COMPUTED_VALUE"""),"жіночі піжами ")</f>
        <v>жіночі піжами </v>
      </c>
      <c r="F2754" s="17">
        <f>IFERROR(__xludf.DUMMYFUNCTION("""COMPUTED_VALUE"""),4.0)</f>
        <v>4</v>
      </c>
      <c r="G2754" s="17" t="str">
        <f>IFERROR(__xludf.DUMMYFUNCTION("""COMPUTED_VALUE"""),"36601")</f>
        <v>36601</v>
      </c>
      <c r="H2754" s="17" t="str">
        <f>IFERROR(__xludf.DUMMYFUNCTION("""COMPUTED_VALUE"""),"жіночі піжами ")</f>
        <v>жіночі піжами </v>
      </c>
      <c r="I2754" s="19">
        <f>IFERROR(__xludf.DUMMYFUNCTION("""COMPUTED_VALUE"""),0.0953)</f>
        <v>0.0953</v>
      </c>
      <c r="J2754" s="19">
        <f>IFERROR(__xludf.DUMMYFUNCTION("""COMPUTED_VALUE"""),0.1905)</f>
        <v>0.1905</v>
      </c>
      <c r="K2754" s="19">
        <f>IFERROR(__xludf.DUMMYFUNCTION("""COMPUTED_VALUE"""),0.2381)</f>
        <v>0.2381</v>
      </c>
      <c r="L2754" s="19">
        <f>IFERROR(__xludf.DUMMYFUNCTION("""COMPUTED_VALUE"""),0.2858)</f>
        <v>0.2858</v>
      </c>
      <c r="M2754" s="18">
        <f>IFERROR(__xludf.DUMMYFUNCTION("""COMPUTED_VALUE"""),1.8)</f>
        <v>1.8</v>
      </c>
    </row>
    <row r="2755">
      <c r="A2755" s="13" t="str">
        <f>IFERROR(__xludf.DUMMYFUNCTION("""COMPUTED_VALUE"""),"товари")</f>
        <v>товари</v>
      </c>
      <c r="B2755" s="16" t="str">
        <f>IFERROR(__xludf.DUMMYFUNCTION("""COMPUTED_VALUE"""),"одяг та взуття")</f>
        <v>одяг та взуття</v>
      </c>
      <c r="C2755" s="16" t="str">
        <f>IFERROR(__xludf.DUMMYFUNCTION("""COMPUTED_VALUE"""),"жіночий одяг")</f>
        <v>жіночий одяг</v>
      </c>
      <c r="D2755" s="16" t="str">
        <f>IFERROR(__xludf.DUMMYFUNCTION("""COMPUTED_VALUE"""),"жіночий верхній одяг ")</f>
        <v>жіночий верхній одяг </v>
      </c>
      <c r="E2755" s="16" t="str">
        <f>IFERROR(__xludf.DUMMYFUNCTION("""COMPUTED_VALUE"""),"жіночі плащі ")</f>
        <v>жіночі плащі </v>
      </c>
      <c r="F2755" s="17">
        <f>IFERROR(__xludf.DUMMYFUNCTION("""COMPUTED_VALUE"""),4.0)</f>
        <v>4</v>
      </c>
      <c r="G2755" s="17" t="str">
        <f>IFERROR(__xludf.DUMMYFUNCTION("""COMPUTED_VALUE"""),"31304")</f>
        <v>31304</v>
      </c>
      <c r="H2755" s="17" t="str">
        <f>IFERROR(__xludf.DUMMYFUNCTION("""COMPUTED_VALUE"""),"жіночі плащі ")</f>
        <v>жіночі плащі </v>
      </c>
      <c r="I2755" s="19">
        <f>IFERROR(__xludf.DUMMYFUNCTION("""COMPUTED_VALUE"""),0.0892)</f>
        <v>0.0892</v>
      </c>
      <c r="J2755" s="19">
        <f>IFERROR(__xludf.DUMMYFUNCTION("""COMPUTED_VALUE"""),0.1783)</f>
        <v>0.1783</v>
      </c>
      <c r="K2755" s="19">
        <f>IFERROR(__xludf.DUMMYFUNCTION("""COMPUTED_VALUE"""),0.2229)</f>
        <v>0.2229</v>
      </c>
      <c r="L2755" s="19">
        <f>IFERROR(__xludf.DUMMYFUNCTION("""COMPUTED_VALUE"""),0.2675)</f>
        <v>0.2675</v>
      </c>
      <c r="M2755" s="18">
        <f>IFERROR(__xludf.DUMMYFUNCTION("""COMPUTED_VALUE"""),1.05)</f>
        <v>1.05</v>
      </c>
    </row>
    <row r="2756">
      <c r="A2756" s="13" t="str">
        <f>IFERROR(__xludf.DUMMYFUNCTION("""COMPUTED_VALUE"""),"товари")</f>
        <v>товари</v>
      </c>
      <c r="B2756" s="16" t="str">
        <f>IFERROR(__xludf.DUMMYFUNCTION("""COMPUTED_VALUE"""),"одяг та взуття")</f>
        <v>одяг та взуття</v>
      </c>
      <c r="C2756" s="16" t="str">
        <f>IFERROR(__xludf.DUMMYFUNCTION("""COMPUTED_VALUE"""),"жіночий одяг")</f>
        <v>жіночий одяг</v>
      </c>
      <c r="D2756" s="16" t="str">
        <f>IFERROR(__xludf.DUMMYFUNCTION("""COMPUTED_VALUE"""),"жіночий верхній одяг ")</f>
        <v>жіночий верхній одяг </v>
      </c>
      <c r="E2756" s="16" t="str">
        <f>IFERROR(__xludf.DUMMYFUNCTION("""COMPUTED_VALUE"""),"жіночі пуховики ")</f>
        <v>жіночі пуховики </v>
      </c>
      <c r="F2756" s="17">
        <f>IFERROR(__xludf.DUMMYFUNCTION("""COMPUTED_VALUE"""),4.0)</f>
        <v>4</v>
      </c>
      <c r="G2756" s="17" t="str">
        <f>IFERROR(__xludf.DUMMYFUNCTION("""COMPUTED_VALUE"""),"31308")</f>
        <v>31308</v>
      </c>
      <c r="H2756" s="17" t="str">
        <f>IFERROR(__xludf.DUMMYFUNCTION("""COMPUTED_VALUE"""),"жіночі пуховики ")</f>
        <v>жіночі пуховики </v>
      </c>
      <c r="I2756" s="19">
        <f>IFERROR(__xludf.DUMMYFUNCTION("""COMPUTED_VALUE"""),0.0757)</f>
        <v>0.0757</v>
      </c>
      <c r="J2756" s="19">
        <f>IFERROR(__xludf.DUMMYFUNCTION("""COMPUTED_VALUE"""),0.1513)</f>
        <v>0.1513</v>
      </c>
      <c r="K2756" s="19">
        <f>IFERROR(__xludf.DUMMYFUNCTION("""COMPUTED_VALUE"""),0.1891)</f>
        <v>0.1891</v>
      </c>
      <c r="L2756" s="19">
        <f>IFERROR(__xludf.DUMMYFUNCTION("""COMPUTED_VALUE"""),0.227)</f>
        <v>0.227</v>
      </c>
      <c r="M2756" s="18">
        <f>IFERROR(__xludf.DUMMYFUNCTION("""COMPUTED_VALUE"""),1.05)</f>
        <v>1.05</v>
      </c>
    </row>
    <row r="2757">
      <c r="A2757" s="13" t="str">
        <f>IFERROR(__xludf.DUMMYFUNCTION("""COMPUTED_VALUE"""),"товари")</f>
        <v>товари</v>
      </c>
      <c r="B2757" s="16" t="str">
        <f>IFERROR(__xludf.DUMMYFUNCTION("""COMPUTED_VALUE"""),"одяг та взуття")</f>
        <v>одяг та взуття</v>
      </c>
      <c r="C2757" s="16" t="str">
        <f>IFERROR(__xludf.DUMMYFUNCTION("""COMPUTED_VALUE"""),"жіночий одяг")</f>
        <v>жіночий одяг</v>
      </c>
      <c r="D2757" s="16" t="str">
        <f>IFERROR(__xludf.DUMMYFUNCTION("""COMPUTED_VALUE"""),"жіночі светри та кардигани ")</f>
        <v>жіночі светри та кардигани </v>
      </c>
      <c r="E2757" s="16" t="str">
        <f>IFERROR(__xludf.DUMMYFUNCTION("""COMPUTED_VALUE"""),"жіночі светри та кардигани ")</f>
        <v>жіночі светри та кардигани </v>
      </c>
      <c r="F2757" s="17">
        <f>IFERROR(__xludf.DUMMYFUNCTION("""COMPUTED_VALUE"""),3.0)</f>
        <v>3</v>
      </c>
      <c r="G2757" s="17" t="str">
        <f>IFERROR(__xludf.DUMMYFUNCTION("""COMPUTED_VALUE"""),"30504")</f>
        <v>30504</v>
      </c>
      <c r="H2757" s="17" t="str">
        <f>IFERROR(__xludf.DUMMYFUNCTION("""COMPUTED_VALUE"""),"жіночі светри та кардигани ")</f>
        <v>жіночі светри та кардигани </v>
      </c>
      <c r="I2757" s="19">
        <f>IFERROR(__xludf.DUMMYFUNCTION("""COMPUTED_VALUE"""),0.097)</f>
        <v>0.097</v>
      </c>
      <c r="J2757" s="19">
        <f>IFERROR(__xludf.DUMMYFUNCTION("""COMPUTED_VALUE"""),0.194)</f>
        <v>0.194</v>
      </c>
      <c r="K2757" s="19">
        <f>IFERROR(__xludf.DUMMYFUNCTION("""COMPUTED_VALUE"""),0.2425)</f>
        <v>0.2425</v>
      </c>
      <c r="L2757" s="19">
        <f>IFERROR(__xludf.DUMMYFUNCTION("""COMPUTED_VALUE"""),0.291)</f>
        <v>0.291</v>
      </c>
      <c r="M2757" s="18">
        <f>IFERROR(__xludf.DUMMYFUNCTION("""COMPUTED_VALUE"""),1.05)</f>
        <v>1.05</v>
      </c>
    </row>
    <row r="2758">
      <c r="A2758" s="13" t="str">
        <f>IFERROR(__xludf.DUMMYFUNCTION("""COMPUTED_VALUE"""),"товари")</f>
        <v>товари</v>
      </c>
      <c r="B2758" s="16" t="str">
        <f>IFERROR(__xludf.DUMMYFUNCTION("""COMPUTED_VALUE"""),"одяг та взуття")</f>
        <v>одяг та взуття</v>
      </c>
      <c r="C2758" s="16" t="str">
        <f>IFERROR(__xludf.DUMMYFUNCTION("""COMPUTED_VALUE"""),"жіночий одяг")</f>
        <v>жіночий одяг</v>
      </c>
      <c r="D2758" s="16" t="str">
        <f>IFERROR(__xludf.DUMMYFUNCTION("""COMPUTED_VALUE"""),"жіночі спідниці ")</f>
        <v>жіночі спідниці </v>
      </c>
      <c r="E2758" s="16" t="str">
        <f>IFERROR(__xludf.DUMMYFUNCTION("""COMPUTED_VALUE"""),"жіночі спідниці ")</f>
        <v>жіночі спідниці </v>
      </c>
      <c r="F2758" s="17">
        <f>IFERROR(__xludf.DUMMYFUNCTION("""COMPUTED_VALUE"""),3.0)</f>
        <v>3</v>
      </c>
      <c r="G2758" s="17" t="str">
        <f>IFERROR(__xludf.DUMMYFUNCTION("""COMPUTED_VALUE"""),"349")</f>
        <v>349</v>
      </c>
      <c r="H2758" s="17" t="str">
        <f>IFERROR(__xludf.DUMMYFUNCTION("""COMPUTED_VALUE"""),"жіночі спідниці ")</f>
        <v>жіночі спідниці </v>
      </c>
      <c r="I2758" s="19">
        <f>IFERROR(__xludf.DUMMYFUNCTION("""COMPUTED_VALUE"""),0.0962)</f>
        <v>0.0962</v>
      </c>
      <c r="J2758" s="19">
        <f>IFERROR(__xludf.DUMMYFUNCTION("""COMPUTED_VALUE"""),0.1923)</f>
        <v>0.1923</v>
      </c>
      <c r="K2758" s="19">
        <f>IFERROR(__xludf.DUMMYFUNCTION("""COMPUTED_VALUE"""),0.2404)</f>
        <v>0.2404</v>
      </c>
      <c r="L2758" s="19">
        <f>IFERROR(__xludf.DUMMYFUNCTION("""COMPUTED_VALUE"""),0.2885)</f>
        <v>0.2885</v>
      </c>
      <c r="M2758" s="18">
        <f>IFERROR(__xludf.DUMMYFUNCTION("""COMPUTED_VALUE"""),1.05)</f>
        <v>1.05</v>
      </c>
    </row>
    <row r="2759">
      <c r="A2759" s="13" t="str">
        <f>IFERROR(__xludf.DUMMYFUNCTION("""COMPUTED_VALUE"""),"товари")</f>
        <v>товари</v>
      </c>
      <c r="B2759" s="16" t="str">
        <f>IFERROR(__xludf.DUMMYFUNCTION("""COMPUTED_VALUE"""),"одяг та взуття")</f>
        <v>одяг та взуття</v>
      </c>
      <c r="C2759" s="16" t="str">
        <f>IFERROR(__xludf.DUMMYFUNCTION("""COMPUTED_VALUE"""),"жіночий одяг")</f>
        <v>жіночий одяг</v>
      </c>
      <c r="D2759" s="16" t="str">
        <f>IFERROR(__xludf.DUMMYFUNCTION("""COMPUTED_VALUE"""),"жіночі сукні ")</f>
        <v>жіночі сукні </v>
      </c>
      <c r="E2759" s="16" t="str">
        <f>IFERROR(__xludf.DUMMYFUNCTION("""COMPUTED_VALUE"""),"жіночі сукні ")</f>
        <v>жіночі сукні </v>
      </c>
      <c r="F2759" s="17">
        <f>IFERROR(__xludf.DUMMYFUNCTION("""COMPUTED_VALUE"""),3.0)</f>
        <v>3</v>
      </c>
      <c r="G2759" s="17" t="str">
        <f>IFERROR(__xludf.DUMMYFUNCTION("""COMPUTED_VALUE"""),"35402")</f>
        <v>35402</v>
      </c>
      <c r="H2759" s="17" t="str">
        <f>IFERROR(__xludf.DUMMYFUNCTION("""COMPUTED_VALUE"""),"жіночі сукні ")</f>
        <v>жіночі сукні </v>
      </c>
      <c r="I2759" s="19">
        <f>IFERROR(__xludf.DUMMYFUNCTION("""COMPUTED_VALUE"""),0.0943)</f>
        <v>0.0943</v>
      </c>
      <c r="J2759" s="19">
        <f>IFERROR(__xludf.DUMMYFUNCTION("""COMPUTED_VALUE"""),0.1886)</f>
        <v>0.1886</v>
      </c>
      <c r="K2759" s="19">
        <f>IFERROR(__xludf.DUMMYFUNCTION("""COMPUTED_VALUE"""),0.2358)</f>
        <v>0.2358</v>
      </c>
      <c r="L2759" s="19">
        <f>IFERROR(__xludf.DUMMYFUNCTION("""COMPUTED_VALUE"""),0.2829)</f>
        <v>0.2829</v>
      </c>
      <c r="M2759" s="18">
        <f>IFERROR(__xludf.DUMMYFUNCTION("""COMPUTED_VALUE"""),1.05)</f>
        <v>1.05</v>
      </c>
    </row>
    <row r="2760">
      <c r="A2760" s="13" t="str">
        <f>IFERROR(__xludf.DUMMYFUNCTION("""COMPUTED_VALUE"""),"товари")</f>
        <v>товари</v>
      </c>
      <c r="B2760" s="16" t="str">
        <f>IFERROR(__xludf.DUMMYFUNCTION("""COMPUTED_VALUE"""),"одяг та взуття")</f>
        <v>одяг та взуття</v>
      </c>
      <c r="C2760" s="16" t="str">
        <f>IFERROR(__xludf.DUMMYFUNCTION("""COMPUTED_VALUE"""),"жіночий одяг")</f>
        <v>жіночий одяг</v>
      </c>
      <c r="D2760" s="16" t="str">
        <f>IFERROR(__xludf.DUMMYFUNCTION("""COMPUTED_VALUE"""),"жіночі толстовки і реглани ")</f>
        <v>жіночі толстовки і реглани </v>
      </c>
      <c r="E2760" s="16" t="str">
        <f>IFERROR(__xludf.DUMMYFUNCTION("""COMPUTED_VALUE"""),"жіночі толстовки і реглани ")</f>
        <v>жіночі толстовки і реглани </v>
      </c>
      <c r="F2760" s="17">
        <f>IFERROR(__xludf.DUMMYFUNCTION("""COMPUTED_VALUE"""),3.0)</f>
        <v>3</v>
      </c>
      <c r="G2760" s="17" t="str">
        <f>IFERROR(__xludf.DUMMYFUNCTION("""COMPUTED_VALUE"""),"303")</f>
        <v>303</v>
      </c>
      <c r="H2760" s="17" t="str">
        <f>IFERROR(__xludf.DUMMYFUNCTION("""COMPUTED_VALUE"""),"жіночі толстовки і реглани ")</f>
        <v>жіночі толстовки і реглани </v>
      </c>
      <c r="I2760" s="19">
        <f>IFERROR(__xludf.DUMMYFUNCTION("""COMPUTED_VALUE"""),0.0948)</f>
        <v>0.0948</v>
      </c>
      <c r="J2760" s="19">
        <f>IFERROR(__xludf.DUMMYFUNCTION("""COMPUTED_VALUE"""),0.1896)</f>
        <v>0.1896</v>
      </c>
      <c r="K2760" s="19">
        <f>IFERROR(__xludf.DUMMYFUNCTION("""COMPUTED_VALUE"""),0.237)</f>
        <v>0.237</v>
      </c>
      <c r="L2760" s="19">
        <f>IFERROR(__xludf.DUMMYFUNCTION("""COMPUTED_VALUE"""),0.2844)</f>
        <v>0.2844</v>
      </c>
      <c r="M2760" s="18">
        <f>IFERROR(__xludf.DUMMYFUNCTION("""COMPUTED_VALUE"""),2.7)</f>
        <v>2.7</v>
      </c>
    </row>
    <row r="2761">
      <c r="A2761" s="13" t="str">
        <f>IFERROR(__xludf.DUMMYFUNCTION("""COMPUTED_VALUE"""),"товари")</f>
        <v>товари</v>
      </c>
      <c r="B2761" s="16" t="str">
        <f>IFERROR(__xludf.DUMMYFUNCTION("""COMPUTED_VALUE"""),"одяг та взуття")</f>
        <v>одяг та взуття</v>
      </c>
      <c r="C2761" s="16" t="str">
        <f>IFERROR(__xludf.DUMMYFUNCTION("""COMPUTED_VALUE"""),"жіночий одяг")</f>
        <v>жіночий одяг</v>
      </c>
      <c r="D2761" s="16" t="str">
        <f>IFERROR(__xludf.DUMMYFUNCTION("""COMPUTED_VALUE"""),"жіноча білизна і купальники")</f>
        <v>жіноча білизна і купальники</v>
      </c>
      <c r="E2761" s="16" t="str">
        <f>IFERROR(__xludf.DUMMYFUNCTION("""COMPUTED_VALUE"""),"жіночі трусики ")</f>
        <v>жіночі трусики </v>
      </c>
      <c r="F2761" s="17">
        <f>IFERROR(__xludf.DUMMYFUNCTION("""COMPUTED_VALUE"""),4.0)</f>
        <v>4</v>
      </c>
      <c r="G2761" s="17" t="str">
        <f>IFERROR(__xludf.DUMMYFUNCTION("""COMPUTED_VALUE"""),"351")</f>
        <v>351</v>
      </c>
      <c r="H2761" s="17" t="str">
        <f>IFERROR(__xludf.DUMMYFUNCTION("""COMPUTED_VALUE"""),"жіночі трусики ")</f>
        <v>жіночі трусики </v>
      </c>
      <c r="I2761" s="19">
        <f>IFERROR(__xludf.DUMMYFUNCTION("""COMPUTED_VALUE"""),0.0966)</f>
        <v>0.0966</v>
      </c>
      <c r="J2761" s="19">
        <f>IFERROR(__xludf.DUMMYFUNCTION("""COMPUTED_VALUE"""),0.1931)</f>
        <v>0.1931</v>
      </c>
      <c r="K2761" s="19">
        <f>IFERROR(__xludf.DUMMYFUNCTION("""COMPUTED_VALUE"""),0.2414)</f>
        <v>0.2414</v>
      </c>
      <c r="L2761" s="19">
        <f>IFERROR(__xludf.DUMMYFUNCTION("""COMPUTED_VALUE"""),0.2897)</f>
        <v>0.2897</v>
      </c>
      <c r="M2761" s="18">
        <f>IFERROR(__xludf.DUMMYFUNCTION("""COMPUTED_VALUE"""),1.05)</f>
        <v>1.05</v>
      </c>
    </row>
    <row r="2762">
      <c r="A2762" s="13" t="str">
        <f>IFERROR(__xludf.DUMMYFUNCTION("""COMPUTED_VALUE"""),"товари")</f>
        <v>товари</v>
      </c>
      <c r="B2762" s="16" t="str">
        <f>IFERROR(__xludf.DUMMYFUNCTION("""COMPUTED_VALUE"""),"одяг та взуття")</f>
        <v>одяг та взуття</v>
      </c>
      <c r="C2762" s="16" t="str">
        <f>IFERROR(__xludf.DUMMYFUNCTION("""COMPUTED_VALUE"""),"взуття")</f>
        <v>взуття</v>
      </c>
      <c r="D2762" s="16" t="str">
        <f>IFERROR(__xludf.DUMMYFUNCTION("""COMPUTED_VALUE"""),"жіноче взуття ")</f>
        <v>жіноче взуття </v>
      </c>
      <c r="E2762" s="16" t="str">
        <f>IFERROR(__xludf.DUMMYFUNCTION("""COMPUTED_VALUE"""),"жіночі туфлі ")</f>
        <v>жіночі туфлі </v>
      </c>
      <c r="F2762" s="17">
        <f>IFERROR(__xludf.DUMMYFUNCTION("""COMPUTED_VALUE"""),4.0)</f>
        <v>4</v>
      </c>
      <c r="G2762" s="17" t="str">
        <f>IFERROR(__xludf.DUMMYFUNCTION("""COMPUTED_VALUE"""),"32202")</f>
        <v>32202</v>
      </c>
      <c r="H2762" s="17" t="str">
        <f>IFERROR(__xludf.DUMMYFUNCTION("""COMPUTED_VALUE"""),"жіночі туфлі ")</f>
        <v>жіночі туфлі </v>
      </c>
      <c r="I2762" s="19">
        <f>IFERROR(__xludf.DUMMYFUNCTION("""COMPUTED_VALUE"""),0.0887)</f>
        <v>0.0887</v>
      </c>
      <c r="J2762" s="19">
        <f>IFERROR(__xludf.DUMMYFUNCTION("""COMPUTED_VALUE"""),0.1774)</f>
        <v>0.1774</v>
      </c>
      <c r="K2762" s="19">
        <f>IFERROR(__xludf.DUMMYFUNCTION("""COMPUTED_VALUE"""),0.2218)</f>
        <v>0.2218</v>
      </c>
      <c r="L2762" s="19">
        <f>IFERROR(__xludf.DUMMYFUNCTION("""COMPUTED_VALUE"""),0.2661)</f>
        <v>0.2661</v>
      </c>
      <c r="M2762" s="18">
        <f>IFERROR(__xludf.DUMMYFUNCTION("""COMPUTED_VALUE"""),1.05)</f>
        <v>1.05</v>
      </c>
    </row>
    <row r="2763">
      <c r="A2763" s="13" t="str">
        <f>IFERROR(__xludf.DUMMYFUNCTION("""COMPUTED_VALUE"""),"товари")</f>
        <v>товари</v>
      </c>
      <c r="B2763" s="16" t="str">
        <f>IFERROR(__xludf.DUMMYFUNCTION("""COMPUTED_VALUE"""),"одяг та взуття")</f>
        <v>одяг та взуття</v>
      </c>
      <c r="C2763" s="16" t="str">
        <f>IFERROR(__xludf.DUMMYFUNCTION("""COMPUTED_VALUE"""),"жіночий одяг")</f>
        <v>жіночий одяг</v>
      </c>
      <c r="D2763" s="16" t="str">
        <f>IFERROR(__xludf.DUMMYFUNCTION("""COMPUTED_VALUE"""),"жіночі футболки та майки ")</f>
        <v>жіночі футболки та майки </v>
      </c>
      <c r="E2763" s="16" t="str">
        <f>IFERROR(__xludf.DUMMYFUNCTION("""COMPUTED_VALUE"""),"жіночі футболки та майки ")</f>
        <v>жіночі футболки та майки </v>
      </c>
      <c r="F2763" s="17">
        <f>IFERROR(__xludf.DUMMYFUNCTION("""COMPUTED_VALUE"""),3.0)</f>
        <v>3</v>
      </c>
      <c r="G2763" s="17" t="str">
        <f>IFERROR(__xludf.DUMMYFUNCTION("""COMPUTED_VALUE"""),"315")</f>
        <v>315</v>
      </c>
      <c r="H2763" s="17" t="str">
        <f>IFERROR(__xludf.DUMMYFUNCTION("""COMPUTED_VALUE"""),"жіночі футболки та майки ")</f>
        <v>жіночі футболки та майки </v>
      </c>
      <c r="I2763" s="19">
        <f>IFERROR(__xludf.DUMMYFUNCTION("""COMPUTED_VALUE"""),0.0966)</f>
        <v>0.0966</v>
      </c>
      <c r="J2763" s="19">
        <f>IFERROR(__xludf.DUMMYFUNCTION("""COMPUTED_VALUE"""),0.1931)</f>
        <v>0.1931</v>
      </c>
      <c r="K2763" s="19">
        <f>IFERROR(__xludf.DUMMYFUNCTION("""COMPUTED_VALUE"""),0.2414)</f>
        <v>0.2414</v>
      </c>
      <c r="L2763" s="19">
        <f>IFERROR(__xludf.DUMMYFUNCTION("""COMPUTED_VALUE"""),0.2897)</f>
        <v>0.2897</v>
      </c>
      <c r="M2763" s="18">
        <f>IFERROR(__xludf.DUMMYFUNCTION("""COMPUTED_VALUE"""),3.6)</f>
        <v>3.6</v>
      </c>
    </row>
    <row r="2764">
      <c r="A2764" s="13" t="str">
        <f>IFERROR(__xludf.DUMMYFUNCTION("""COMPUTED_VALUE"""),"товари")</f>
        <v>товари</v>
      </c>
      <c r="B2764" s="16" t="str">
        <f>IFERROR(__xludf.DUMMYFUNCTION("""COMPUTED_VALUE"""),"одяг та взуття")</f>
        <v>одяг та взуття</v>
      </c>
      <c r="C2764" s="16" t="str">
        <f>IFERROR(__xludf.DUMMYFUNCTION("""COMPUTED_VALUE"""),"жіночий одяг")</f>
        <v>жіночий одяг</v>
      </c>
      <c r="D2764" s="16" t="str">
        <f>IFERROR(__xludf.DUMMYFUNCTION("""COMPUTED_VALUE"""),"жіночий одяг для сну та дому ")</f>
        <v>жіночий одяг для сну та дому </v>
      </c>
      <c r="E2764" s="16" t="str">
        <f>IFERROR(__xludf.DUMMYFUNCTION("""COMPUTED_VALUE"""),"жіночі халати ")</f>
        <v>жіночі халати </v>
      </c>
      <c r="F2764" s="17">
        <f>IFERROR(__xludf.DUMMYFUNCTION("""COMPUTED_VALUE"""),4.0)</f>
        <v>4</v>
      </c>
      <c r="G2764" s="17" t="str">
        <f>IFERROR(__xludf.DUMMYFUNCTION("""COMPUTED_VALUE"""),"336")</f>
        <v>336</v>
      </c>
      <c r="H2764" s="17" t="str">
        <f>IFERROR(__xludf.DUMMYFUNCTION("""COMPUTED_VALUE"""),"жіночі халати ")</f>
        <v>жіночі халати </v>
      </c>
      <c r="I2764" s="19">
        <f>IFERROR(__xludf.DUMMYFUNCTION("""COMPUTED_VALUE"""),0.0953)</f>
        <v>0.0953</v>
      </c>
      <c r="J2764" s="19">
        <f>IFERROR(__xludf.DUMMYFUNCTION("""COMPUTED_VALUE"""),0.1905)</f>
        <v>0.1905</v>
      </c>
      <c r="K2764" s="19">
        <f>IFERROR(__xludf.DUMMYFUNCTION("""COMPUTED_VALUE"""),0.2381)</f>
        <v>0.2381</v>
      </c>
      <c r="L2764" s="19">
        <f>IFERROR(__xludf.DUMMYFUNCTION("""COMPUTED_VALUE"""),0.2858)</f>
        <v>0.2858</v>
      </c>
      <c r="M2764" s="18">
        <f>IFERROR(__xludf.DUMMYFUNCTION("""COMPUTED_VALUE"""),1.8)</f>
        <v>1.8</v>
      </c>
    </row>
    <row r="2765">
      <c r="A2765" s="13" t="str">
        <f>IFERROR(__xludf.DUMMYFUNCTION("""COMPUTED_VALUE"""),"товари")</f>
        <v>товари</v>
      </c>
      <c r="B2765" s="16" t="str">
        <f>IFERROR(__xludf.DUMMYFUNCTION("""COMPUTED_VALUE"""),"одяг та взуття")</f>
        <v>одяг та взуття</v>
      </c>
      <c r="C2765" s="16" t="str">
        <f>IFERROR(__xludf.DUMMYFUNCTION("""COMPUTED_VALUE"""),"жіночий одяг")</f>
        <v>жіночий одяг</v>
      </c>
      <c r="D2765" s="16" t="str">
        <f>IFERROR(__xludf.DUMMYFUNCTION("""COMPUTED_VALUE"""),"жіночий верхній одяг ")</f>
        <v>жіночий верхній одяг </v>
      </c>
      <c r="E2765" s="16" t="str">
        <f>IFERROR(__xludf.DUMMYFUNCTION("""COMPUTED_VALUE"""),"жіночі хутряні жилети ")</f>
        <v>жіночі хутряні жилети </v>
      </c>
      <c r="F2765" s="17">
        <f>IFERROR(__xludf.DUMMYFUNCTION("""COMPUTED_VALUE"""),4.0)</f>
        <v>4</v>
      </c>
      <c r="G2765" s="17" t="str">
        <f>IFERROR(__xludf.DUMMYFUNCTION("""COMPUTED_VALUE"""),"31311")</f>
        <v>31311</v>
      </c>
      <c r="H2765" s="17" t="str">
        <f>IFERROR(__xludf.DUMMYFUNCTION("""COMPUTED_VALUE"""),"жіночі хутряні жилети ")</f>
        <v>жіночі хутряні жилети </v>
      </c>
      <c r="I2765" s="19">
        <f>IFERROR(__xludf.DUMMYFUNCTION("""COMPUTED_VALUE"""),0.0728)</f>
        <v>0.0728</v>
      </c>
      <c r="J2765" s="19">
        <f>IFERROR(__xludf.DUMMYFUNCTION("""COMPUTED_VALUE"""),0.1455)</f>
        <v>0.1455</v>
      </c>
      <c r="K2765" s="19">
        <f>IFERROR(__xludf.DUMMYFUNCTION("""COMPUTED_VALUE"""),0.1819)</f>
        <v>0.1819</v>
      </c>
      <c r="L2765" s="19">
        <f>IFERROR(__xludf.DUMMYFUNCTION("""COMPUTED_VALUE"""),0.2183)</f>
        <v>0.2183</v>
      </c>
      <c r="M2765" s="18">
        <f>IFERROR(__xludf.DUMMYFUNCTION("""COMPUTED_VALUE"""),1.05)</f>
        <v>1.05</v>
      </c>
    </row>
    <row r="2766">
      <c r="A2766" s="13" t="str">
        <f>IFERROR(__xludf.DUMMYFUNCTION("""COMPUTED_VALUE"""),"товари")</f>
        <v>товари</v>
      </c>
      <c r="B2766" s="16" t="str">
        <f>IFERROR(__xludf.DUMMYFUNCTION("""COMPUTED_VALUE"""),"одяг та взуття")</f>
        <v>одяг та взуття</v>
      </c>
      <c r="C2766" s="16" t="str">
        <f>IFERROR(__xludf.DUMMYFUNCTION("""COMPUTED_VALUE"""),"взуття")</f>
        <v>взуття</v>
      </c>
      <c r="D2766" s="16" t="str">
        <f>IFERROR(__xludf.DUMMYFUNCTION("""COMPUTED_VALUE"""),"жіноче взуття ")</f>
        <v>жіноче взуття </v>
      </c>
      <c r="E2766" s="16" t="str">
        <f>IFERROR(__xludf.DUMMYFUNCTION("""COMPUTED_VALUE"""),"жіночі чоботи, напівчоботи ")</f>
        <v>жіночі чоботи, напівчоботи </v>
      </c>
      <c r="F2766" s="17">
        <f>IFERROR(__xludf.DUMMYFUNCTION("""COMPUTED_VALUE"""),4.0)</f>
        <v>4</v>
      </c>
      <c r="G2766" s="17" t="str">
        <f>IFERROR(__xludf.DUMMYFUNCTION("""COMPUTED_VALUE"""),"3220409")</f>
        <v>3220409</v>
      </c>
      <c r="H2766" s="17" t="str">
        <f>IFERROR(__xludf.DUMMYFUNCTION("""COMPUTED_VALUE"""),"жіночі чоботи, напівчоботи ")</f>
        <v>жіночі чоботи, напівчоботи </v>
      </c>
      <c r="I2766" s="19">
        <f>IFERROR(__xludf.DUMMYFUNCTION("""COMPUTED_VALUE"""),0.0887)</f>
        <v>0.0887</v>
      </c>
      <c r="J2766" s="19">
        <f>IFERROR(__xludf.DUMMYFUNCTION("""COMPUTED_VALUE"""),0.1774)</f>
        <v>0.1774</v>
      </c>
      <c r="K2766" s="19">
        <f>IFERROR(__xludf.DUMMYFUNCTION("""COMPUTED_VALUE"""),0.2218)</f>
        <v>0.2218</v>
      </c>
      <c r="L2766" s="19">
        <f>IFERROR(__xludf.DUMMYFUNCTION("""COMPUTED_VALUE"""),0.2661)</f>
        <v>0.2661</v>
      </c>
      <c r="M2766" s="18">
        <f>IFERROR(__xludf.DUMMYFUNCTION("""COMPUTED_VALUE"""),1.05)</f>
        <v>1.05</v>
      </c>
    </row>
    <row r="2767">
      <c r="A2767" s="13" t="str">
        <f>IFERROR(__xludf.DUMMYFUNCTION("""COMPUTED_VALUE"""),"товари")</f>
        <v>товари</v>
      </c>
      <c r="B2767" s="16" t="str">
        <f>IFERROR(__xludf.DUMMYFUNCTION("""COMPUTED_VALUE"""),"одяг та взуття")</f>
        <v>одяг та взуття</v>
      </c>
      <c r="C2767" s="16" t="str">
        <f>IFERROR(__xludf.DUMMYFUNCTION("""COMPUTED_VALUE"""),"жіночий одяг")</f>
        <v>жіночий одяг</v>
      </c>
      <c r="D2767" s="16" t="str">
        <f>IFERROR(__xludf.DUMMYFUNCTION("""COMPUTED_VALUE"""),"жіноча білизна і купальники")</f>
        <v>жіноча білизна і купальники</v>
      </c>
      <c r="E2767" s="16" t="str">
        <f>IFERROR(__xludf.DUMMYFUNCTION("""COMPUTED_VALUE"""),"жіночі шкарпетки, гольфи, гетри ")</f>
        <v>жіночі шкарпетки, гольфи, гетри </v>
      </c>
      <c r="F2767" s="17">
        <f>IFERROR(__xludf.DUMMYFUNCTION("""COMPUTED_VALUE"""),4.0)</f>
        <v>4</v>
      </c>
      <c r="G2767" s="17" t="str">
        <f>IFERROR(__xludf.DUMMYFUNCTION("""COMPUTED_VALUE"""),"323")</f>
        <v>323</v>
      </c>
      <c r="H2767" s="17" t="str">
        <f>IFERROR(__xludf.DUMMYFUNCTION("""COMPUTED_VALUE"""),"жіночі шкарпетки, гольфи, гетри ")</f>
        <v>жіночі шкарпетки, гольфи, гетри </v>
      </c>
      <c r="I2767" s="19">
        <f>IFERROR(__xludf.DUMMYFUNCTION("""COMPUTED_VALUE"""),0.0966)</f>
        <v>0.0966</v>
      </c>
      <c r="J2767" s="19">
        <f>IFERROR(__xludf.DUMMYFUNCTION("""COMPUTED_VALUE"""),0.1931)</f>
        <v>0.1931</v>
      </c>
      <c r="K2767" s="19">
        <f>IFERROR(__xludf.DUMMYFUNCTION("""COMPUTED_VALUE"""),0.2414)</f>
        <v>0.2414</v>
      </c>
      <c r="L2767" s="19">
        <f>IFERROR(__xludf.DUMMYFUNCTION("""COMPUTED_VALUE"""),0.2897)</f>
        <v>0.2897</v>
      </c>
      <c r="M2767" s="18">
        <f>IFERROR(__xludf.DUMMYFUNCTION("""COMPUTED_VALUE"""),1.05)</f>
        <v>1.05</v>
      </c>
    </row>
    <row r="2768">
      <c r="A2768" s="13" t="str">
        <f>IFERROR(__xludf.DUMMYFUNCTION("""COMPUTED_VALUE"""),"товари")</f>
        <v>товари</v>
      </c>
      <c r="B2768" s="16" t="str">
        <f>IFERROR(__xludf.DUMMYFUNCTION("""COMPUTED_VALUE"""),"одяг та взуття")</f>
        <v>одяг та взуття</v>
      </c>
      <c r="C2768" s="16" t="str">
        <f>IFERROR(__xludf.DUMMYFUNCTION("""COMPUTED_VALUE"""),"жіночий одяг")</f>
        <v>жіночий одяг</v>
      </c>
      <c r="D2768" s="16" t="str">
        <f>IFERROR(__xludf.DUMMYFUNCTION("""COMPUTED_VALUE"""),"жіночі шорти і бриджі ")</f>
        <v>жіночі шорти і бриджі </v>
      </c>
      <c r="E2768" s="16" t="str">
        <f>IFERROR(__xludf.DUMMYFUNCTION("""COMPUTED_VALUE"""),"жіночі шорти і бриджі ")</f>
        <v>жіночі шорти і бриджі </v>
      </c>
      <c r="F2768" s="17">
        <f>IFERROR(__xludf.DUMMYFUNCTION("""COMPUTED_VALUE"""),3.0)</f>
        <v>3</v>
      </c>
      <c r="G2768" s="17" t="str">
        <f>IFERROR(__xludf.DUMMYFUNCTION("""COMPUTED_VALUE"""),"306")</f>
        <v>306</v>
      </c>
      <c r="H2768" s="17" t="str">
        <f>IFERROR(__xludf.DUMMYFUNCTION("""COMPUTED_VALUE"""),"жіночі шорти і бриджі ")</f>
        <v>жіночі шорти і бриджі </v>
      </c>
      <c r="I2768" s="19">
        <f>IFERROR(__xludf.DUMMYFUNCTION("""COMPUTED_VALUE"""),0.0865)</f>
        <v>0.0865</v>
      </c>
      <c r="J2768" s="19">
        <f>IFERROR(__xludf.DUMMYFUNCTION("""COMPUTED_VALUE"""),0.173)</f>
        <v>0.173</v>
      </c>
      <c r="K2768" s="19">
        <f>IFERROR(__xludf.DUMMYFUNCTION("""COMPUTED_VALUE"""),0.2163)</f>
        <v>0.2163</v>
      </c>
      <c r="L2768" s="19">
        <f>IFERROR(__xludf.DUMMYFUNCTION("""COMPUTED_VALUE"""),0.2595)</f>
        <v>0.2595</v>
      </c>
      <c r="M2768" s="18">
        <f>IFERROR(__xludf.DUMMYFUNCTION("""COMPUTED_VALUE"""),1.05)</f>
        <v>1.05</v>
      </c>
    </row>
    <row r="2769">
      <c r="A2769" s="13" t="str">
        <f>IFERROR(__xludf.DUMMYFUNCTION("""COMPUTED_VALUE"""),"товари")</f>
        <v>товари</v>
      </c>
      <c r="B2769" s="16" t="str">
        <f>IFERROR(__xludf.DUMMYFUNCTION("""COMPUTED_VALUE"""),"одяг та взуття")</f>
        <v>одяг та взуття</v>
      </c>
      <c r="C2769" s="16" t="str">
        <f>IFERROR(__xludf.DUMMYFUNCTION("""COMPUTED_VALUE"""),"жіночий одяг")</f>
        <v>жіночий одяг</v>
      </c>
      <c r="D2769" s="16" t="str">
        <f>IFERROR(__xludf.DUMMYFUNCTION("""COMPUTED_VALUE"""),"жіночі штани ")</f>
        <v>жіночі штани </v>
      </c>
      <c r="E2769" s="16" t="str">
        <f>IFERROR(__xludf.DUMMYFUNCTION("""COMPUTED_VALUE"""),"жіночі штани ")</f>
        <v>жіночі штани </v>
      </c>
      <c r="F2769" s="17">
        <f>IFERROR(__xludf.DUMMYFUNCTION("""COMPUTED_VALUE"""),3.0)</f>
        <v>3</v>
      </c>
      <c r="G2769" s="17" t="str">
        <f>IFERROR(__xludf.DUMMYFUNCTION("""COMPUTED_VALUE"""),"318")</f>
        <v>318</v>
      </c>
      <c r="H2769" s="17" t="str">
        <f>IFERROR(__xludf.DUMMYFUNCTION("""COMPUTED_VALUE"""),"жіночі штани ")</f>
        <v>жіночі штани </v>
      </c>
      <c r="I2769" s="19">
        <f>IFERROR(__xludf.DUMMYFUNCTION("""COMPUTED_VALUE"""),0.0922)</f>
        <v>0.0922</v>
      </c>
      <c r="J2769" s="19">
        <f>IFERROR(__xludf.DUMMYFUNCTION("""COMPUTED_VALUE"""),0.1844)</f>
        <v>0.1844</v>
      </c>
      <c r="K2769" s="19">
        <f>IFERROR(__xludf.DUMMYFUNCTION("""COMPUTED_VALUE"""),0.2305)</f>
        <v>0.2305</v>
      </c>
      <c r="L2769" s="19">
        <f>IFERROR(__xludf.DUMMYFUNCTION("""COMPUTED_VALUE"""),0.2766)</f>
        <v>0.2766</v>
      </c>
      <c r="M2769" s="18">
        <f>IFERROR(__xludf.DUMMYFUNCTION("""COMPUTED_VALUE"""),1.05)</f>
        <v>1.05</v>
      </c>
    </row>
    <row r="2770">
      <c r="A2770" s="13" t="str">
        <f>IFERROR(__xludf.DUMMYFUNCTION("""COMPUTED_VALUE"""),"товари")</f>
        <v>товари</v>
      </c>
      <c r="B2770" s="16" t="str">
        <f>IFERROR(__xludf.DUMMYFUNCTION("""COMPUTED_VALUE"""),"одяг та взуття")</f>
        <v>одяг та взуття</v>
      </c>
      <c r="C2770" s="16" t="str">
        <f>IFERROR(__xludf.DUMMYFUNCTION("""COMPUTED_VALUE"""),"жіночий одяг")</f>
        <v>жіночий одяг</v>
      </c>
      <c r="D2770" s="16" t="str">
        <f>IFERROR(__xludf.DUMMYFUNCTION("""COMPUTED_VALUE"""),"жіночий верхній одяг ")</f>
        <v>жіночий верхній одяг </v>
      </c>
      <c r="E2770" s="16" t="str">
        <f>IFERROR(__xludf.DUMMYFUNCTION("""COMPUTED_VALUE"""),"жіночі шуби ")</f>
        <v>жіночі шуби </v>
      </c>
      <c r="F2770" s="17">
        <f>IFERROR(__xludf.DUMMYFUNCTION("""COMPUTED_VALUE"""),4.0)</f>
        <v>4</v>
      </c>
      <c r="G2770" s="17" t="str">
        <f>IFERROR(__xludf.DUMMYFUNCTION("""COMPUTED_VALUE"""),"31303")</f>
        <v>31303</v>
      </c>
      <c r="H2770" s="17" t="str">
        <f>IFERROR(__xludf.DUMMYFUNCTION("""COMPUTED_VALUE"""),"жіночі шуби ")</f>
        <v>жіночі шуби </v>
      </c>
      <c r="I2770" s="19">
        <f>IFERROR(__xludf.DUMMYFUNCTION("""COMPUTED_VALUE"""),0.0776)</f>
        <v>0.0776</v>
      </c>
      <c r="J2770" s="19">
        <f>IFERROR(__xludf.DUMMYFUNCTION("""COMPUTED_VALUE"""),0.1552)</f>
        <v>0.1552</v>
      </c>
      <c r="K2770" s="19">
        <f>IFERROR(__xludf.DUMMYFUNCTION("""COMPUTED_VALUE"""),0.194)</f>
        <v>0.194</v>
      </c>
      <c r="L2770" s="19">
        <f>IFERROR(__xludf.DUMMYFUNCTION("""COMPUTED_VALUE"""),0.2328)</f>
        <v>0.2328</v>
      </c>
      <c r="M2770" s="18">
        <f>IFERROR(__xludf.DUMMYFUNCTION("""COMPUTED_VALUE"""),1.05)</f>
        <v>1.05</v>
      </c>
    </row>
    <row r="2771">
      <c r="A2771" s="13" t="str">
        <f>IFERROR(__xludf.DUMMYFUNCTION("""COMPUTED_VALUE"""),"товари")</f>
        <v>товари</v>
      </c>
      <c r="B2771" s="16" t="str">
        <f>IFERROR(__xludf.DUMMYFUNCTION("""COMPUTED_VALUE"""),"одяг та взуття")</f>
        <v>одяг та взуття</v>
      </c>
      <c r="C2771" s="16" t="str">
        <f>IFERROR(__xludf.DUMMYFUNCTION("""COMPUTED_VALUE"""),"жіночий одяг")</f>
        <v>жіночий одяг</v>
      </c>
      <c r="D2771" s="16" t="str">
        <f>IFERROR(__xludf.DUMMYFUNCTION("""COMPUTED_VALUE"""),"одяг та білизна для вагітних та годуючих")</f>
        <v>одяг та білизна для вагітних та годуючих</v>
      </c>
      <c r="E2771" s="16" t="str">
        <f>IFERROR(__xludf.DUMMYFUNCTION("""COMPUTED_VALUE"""),"капрі та шорти для вагітних")</f>
        <v>капрі та шорти для вагітних</v>
      </c>
      <c r="F2771" s="17">
        <f>IFERROR(__xludf.DUMMYFUNCTION("""COMPUTED_VALUE"""),4.0)</f>
        <v>4</v>
      </c>
      <c r="G2771" s="17" t="str">
        <f>IFERROR(__xludf.DUMMYFUNCTION("""COMPUTED_VALUE"""),"3450105")</f>
        <v>3450105</v>
      </c>
      <c r="H2771" s="17" t="str">
        <f>IFERROR(__xludf.DUMMYFUNCTION("""COMPUTED_VALUE"""),"капрі та шорти для вагітних")</f>
        <v>капрі та шорти для вагітних</v>
      </c>
      <c r="I2771" s="19">
        <f>IFERROR(__xludf.DUMMYFUNCTION("""COMPUTED_VALUE"""),0.0795)</f>
        <v>0.0795</v>
      </c>
      <c r="J2771" s="19">
        <f>IFERROR(__xludf.DUMMYFUNCTION("""COMPUTED_VALUE"""),0.1589)</f>
        <v>0.1589</v>
      </c>
      <c r="K2771" s="19">
        <f>IFERROR(__xludf.DUMMYFUNCTION("""COMPUTED_VALUE"""),0.1986)</f>
        <v>0.1986</v>
      </c>
      <c r="L2771" s="19">
        <f>IFERROR(__xludf.DUMMYFUNCTION("""COMPUTED_VALUE"""),0.2384)</f>
        <v>0.2384</v>
      </c>
      <c r="M2771" s="18">
        <f>IFERROR(__xludf.DUMMYFUNCTION("""COMPUTED_VALUE"""),1.05)</f>
        <v>1.05</v>
      </c>
    </row>
    <row r="2772">
      <c r="A2772" s="13" t="str">
        <f>IFERROR(__xludf.DUMMYFUNCTION("""COMPUTED_VALUE"""),"товари")</f>
        <v>товари</v>
      </c>
      <c r="B2772" s="16" t="str">
        <f>IFERROR(__xludf.DUMMYFUNCTION("""COMPUTED_VALUE"""),"одяг та взуття")</f>
        <v>одяг та взуття</v>
      </c>
      <c r="C2772" s="16" t="str">
        <f>IFERROR(__xludf.DUMMYFUNCTION("""COMPUTED_VALUE"""),"карнавальні костюми")</f>
        <v>карнавальні костюми</v>
      </c>
      <c r="D2772" s="16" t="str">
        <f>IFERROR(__xludf.DUMMYFUNCTION("""COMPUTED_VALUE"""),"карнавальні костюми унісекс")</f>
        <v>карнавальні костюми унісекс</v>
      </c>
      <c r="E2772" s="16" t="str">
        <f>IFERROR(__xludf.DUMMYFUNCTION("""COMPUTED_VALUE"""),"карнавальні костюми унісекс")</f>
        <v>карнавальні костюми унісекс</v>
      </c>
      <c r="F2772" s="17">
        <f>IFERROR(__xludf.DUMMYFUNCTION("""COMPUTED_VALUE"""),3.0)</f>
        <v>3</v>
      </c>
      <c r="G2772" s="17" t="str">
        <f>IFERROR(__xludf.DUMMYFUNCTION("""COMPUTED_VALUE"""),"34707")</f>
        <v>34707</v>
      </c>
      <c r="H2772" s="17" t="str">
        <f>IFERROR(__xludf.DUMMYFUNCTION("""COMPUTED_VALUE"""),"карнавальні костюми унісекс")</f>
        <v>карнавальні костюми унісекс</v>
      </c>
      <c r="I2772" s="19">
        <f>IFERROR(__xludf.DUMMYFUNCTION("""COMPUTED_VALUE"""),0.0557)</f>
        <v>0.0557</v>
      </c>
      <c r="J2772" s="19">
        <f>IFERROR(__xludf.DUMMYFUNCTION("""COMPUTED_VALUE"""),0.1114)</f>
        <v>0.1114</v>
      </c>
      <c r="K2772" s="19">
        <f>IFERROR(__xludf.DUMMYFUNCTION("""COMPUTED_VALUE"""),0.1393)</f>
        <v>0.1393</v>
      </c>
      <c r="L2772" s="19">
        <f>IFERROR(__xludf.DUMMYFUNCTION("""COMPUTED_VALUE"""),0.1671)</f>
        <v>0.1671</v>
      </c>
      <c r="M2772" s="18">
        <f>IFERROR(__xludf.DUMMYFUNCTION("""COMPUTED_VALUE"""),1.63)</f>
        <v>1.63</v>
      </c>
    </row>
    <row r="2773">
      <c r="A2773" s="13" t="str">
        <f>IFERROR(__xludf.DUMMYFUNCTION("""COMPUTED_VALUE"""),"товари")</f>
        <v>товари</v>
      </c>
      <c r="B2773" s="16" t="str">
        <f>IFERROR(__xludf.DUMMYFUNCTION("""COMPUTED_VALUE"""),"одяг та взуття")</f>
        <v>одяг та взуття</v>
      </c>
      <c r="C2773" s="16" t="str">
        <f>IFERROR(__xludf.DUMMYFUNCTION("""COMPUTED_VALUE"""),"карнавальні костюми")</f>
        <v>карнавальні костюми</v>
      </c>
      <c r="D2773" s="16" t="str">
        <f>IFERROR(__xludf.DUMMYFUNCTION("""COMPUTED_VALUE"""),"карнавальні костюми, загальне")</f>
        <v>карнавальні костюми, загальне</v>
      </c>
      <c r="E2773" s="16" t="str">
        <f>IFERROR(__xludf.DUMMYFUNCTION("""COMPUTED_VALUE"""),"карнавальні костюми, загальне")</f>
        <v>карнавальні костюми, загальне</v>
      </c>
      <c r="F2773" s="17">
        <f>IFERROR(__xludf.DUMMYFUNCTION("""COMPUTED_VALUE"""),3.0)</f>
        <v>3</v>
      </c>
      <c r="G2773" s="17" t="str">
        <f>IFERROR(__xludf.DUMMYFUNCTION("""COMPUTED_VALUE"""),"34705")</f>
        <v>34705</v>
      </c>
      <c r="H2773" s="17" t="str">
        <f>IFERROR(__xludf.DUMMYFUNCTION("""COMPUTED_VALUE"""),"карнавальні костюми, загальне")</f>
        <v>карнавальні костюми, загальне</v>
      </c>
      <c r="I2773" s="19">
        <f>IFERROR(__xludf.DUMMYFUNCTION("""COMPUTED_VALUE"""),0.125)</f>
        <v>0.125</v>
      </c>
      <c r="J2773" s="19">
        <f>IFERROR(__xludf.DUMMYFUNCTION("""COMPUTED_VALUE"""),0.25)</f>
        <v>0.25</v>
      </c>
      <c r="K2773" s="19">
        <f>IFERROR(__xludf.DUMMYFUNCTION("""COMPUTED_VALUE"""),0.3125)</f>
        <v>0.3125</v>
      </c>
      <c r="L2773" s="19">
        <f>IFERROR(__xludf.DUMMYFUNCTION("""COMPUTED_VALUE"""),0.375)</f>
        <v>0.375</v>
      </c>
      <c r="M2773" s="18">
        <f>IFERROR(__xludf.DUMMYFUNCTION("""COMPUTED_VALUE"""),4.33)</f>
        <v>4.33</v>
      </c>
    </row>
    <row r="2774">
      <c r="A2774" s="13" t="str">
        <f>IFERROR(__xludf.DUMMYFUNCTION("""COMPUTED_VALUE"""),"товари")</f>
        <v>товари</v>
      </c>
      <c r="B2774" s="16" t="str">
        <f>IFERROR(__xludf.DUMMYFUNCTION("""COMPUTED_VALUE"""),"одяг та взуття")</f>
        <v>одяг та взуття</v>
      </c>
      <c r="C2774" s="16" t="str">
        <f>IFERROR(__xludf.DUMMYFUNCTION("""COMPUTED_VALUE"""),"карнавальні костюми")</f>
        <v>карнавальні костюми</v>
      </c>
      <c r="D2774" s="16" t="str">
        <f>IFERROR(__xludf.DUMMYFUNCTION("""COMPUTED_VALUE"""),"карнавальні маски")</f>
        <v>карнавальні маски</v>
      </c>
      <c r="E2774" s="16" t="str">
        <f>IFERROR(__xludf.DUMMYFUNCTION("""COMPUTED_VALUE"""),"карнавальні маски")</f>
        <v>карнавальні маски</v>
      </c>
      <c r="F2774" s="17">
        <f>IFERROR(__xludf.DUMMYFUNCTION("""COMPUTED_VALUE"""),3.0)</f>
        <v>3</v>
      </c>
      <c r="G2774" s="17" t="str">
        <f>IFERROR(__xludf.DUMMYFUNCTION("""COMPUTED_VALUE"""),"34702")</f>
        <v>34702</v>
      </c>
      <c r="H2774" s="17" t="str">
        <f>IFERROR(__xludf.DUMMYFUNCTION("""COMPUTED_VALUE"""),"карнавальні маски")</f>
        <v>карнавальні маски</v>
      </c>
      <c r="I2774" s="19">
        <f>IFERROR(__xludf.DUMMYFUNCTION("""COMPUTED_VALUE"""),0.0736)</f>
        <v>0.0736</v>
      </c>
      <c r="J2774" s="19">
        <f>IFERROR(__xludf.DUMMYFUNCTION("""COMPUTED_VALUE"""),0.1471)</f>
        <v>0.1471</v>
      </c>
      <c r="K2774" s="19">
        <f>IFERROR(__xludf.DUMMYFUNCTION("""COMPUTED_VALUE"""),0.1839)</f>
        <v>0.1839</v>
      </c>
      <c r="L2774" s="19">
        <f>IFERROR(__xludf.DUMMYFUNCTION("""COMPUTED_VALUE"""),0.2207)</f>
        <v>0.2207</v>
      </c>
      <c r="M2774" s="18">
        <f>IFERROR(__xludf.DUMMYFUNCTION("""COMPUTED_VALUE"""),1.05)</f>
        <v>1.05</v>
      </c>
    </row>
    <row r="2775">
      <c r="A2775" s="13" t="str">
        <f>IFERROR(__xludf.DUMMYFUNCTION("""COMPUTED_VALUE"""),"товари")</f>
        <v>товари</v>
      </c>
      <c r="B2775" s="16" t="str">
        <f>IFERROR(__xludf.DUMMYFUNCTION("""COMPUTED_VALUE"""),"одяг та взуття")</f>
        <v>одяг та взуття</v>
      </c>
      <c r="C2775" s="16" t="str">
        <f>IFERROR(__xludf.DUMMYFUNCTION("""COMPUTED_VALUE"""),"жіночий одяг")</f>
        <v>жіночий одяг</v>
      </c>
      <c r="D2775" s="16" t="str">
        <f>IFERROR(__xludf.DUMMYFUNCTION("""COMPUTED_VALUE"""),"жіночий одяг для сну та дому ")</f>
        <v>жіночий одяг для сну та дому </v>
      </c>
      <c r="E2775" s="16" t="str">
        <f>IFERROR(__xludf.DUMMYFUNCTION("""COMPUTED_VALUE"""),"кігурумі")</f>
        <v>кігурумі</v>
      </c>
      <c r="F2775" s="17">
        <f>IFERROR(__xludf.DUMMYFUNCTION("""COMPUTED_VALUE"""),4.0)</f>
        <v>4</v>
      </c>
      <c r="G2775" s="17" t="str">
        <f>IFERROR(__xludf.DUMMYFUNCTION("""COMPUTED_VALUE"""),"3121104")</f>
        <v>3121104</v>
      </c>
      <c r="H2775" s="17" t="str">
        <f>IFERROR(__xludf.DUMMYFUNCTION("""COMPUTED_VALUE"""),"кігурумі")</f>
        <v>кігурумі</v>
      </c>
      <c r="I2775" s="19">
        <f>IFERROR(__xludf.DUMMYFUNCTION("""COMPUTED_VALUE"""),0.0953)</f>
        <v>0.0953</v>
      </c>
      <c r="J2775" s="19">
        <f>IFERROR(__xludf.DUMMYFUNCTION("""COMPUTED_VALUE"""),0.1905)</f>
        <v>0.1905</v>
      </c>
      <c r="K2775" s="19">
        <f>IFERROR(__xludf.DUMMYFUNCTION("""COMPUTED_VALUE"""),0.2381)</f>
        <v>0.2381</v>
      </c>
      <c r="L2775" s="19">
        <f>IFERROR(__xludf.DUMMYFUNCTION("""COMPUTED_VALUE"""),0.2858)</f>
        <v>0.2858</v>
      </c>
      <c r="M2775" s="18">
        <f>IFERROR(__xludf.DUMMYFUNCTION("""COMPUTED_VALUE"""),1.8)</f>
        <v>1.8</v>
      </c>
    </row>
    <row r="2776">
      <c r="A2776" s="13" t="str">
        <f>IFERROR(__xludf.DUMMYFUNCTION("""COMPUTED_VALUE"""),"товари")</f>
        <v>товари</v>
      </c>
      <c r="B2776" s="16" t="str">
        <f>IFERROR(__xludf.DUMMYFUNCTION("""COMPUTED_VALUE"""),"одяг та взуття")</f>
        <v>одяг та взуття</v>
      </c>
      <c r="C2776" s="16" t="str">
        <f>IFERROR(__xludf.DUMMYFUNCTION("""COMPUTED_VALUE"""),"жіночий одяг")</f>
        <v>жіночий одяг</v>
      </c>
      <c r="D2776" s="16" t="str">
        <f>IFERROR(__xludf.DUMMYFUNCTION("""COMPUTED_VALUE"""),"одяг та білизна для вагітних та годуючих")</f>
        <v>одяг та білизна для вагітних та годуючих</v>
      </c>
      <c r="E2776" s="16" t="str">
        <f>IFERROR(__xludf.DUMMYFUNCTION("""COMPUTED_VALUE"""),"колготи для вагітних")</f>
        <v>колготи для вагітних</v>
      </c>
      <c r="F2776" s="17">
        <f>IFERROR(__xludf.DUMMYFUNCTION("""COMPUTED_VALUE"""),4.0)</f>
        <v>4</v>
      </c>
      <c r="G2776" s="17" t="str">
        <f>IFERROR(__xludf.DUMMYFUNCTION("""COMPUTED_VALUE"""),"3450511")</f>
        <v>3450511</v>
      </c>
      <c r="H2776" s="17" t="str">
        <f>IFERROR(__xludf.DUMMYFUNCTION("""COMPUTED_VALUE"""),"колготи для вагітних")</f>
        <v>колготи для вагітних</v>
      </c>
      <c r="I2776" s="19">
        <f>IFERROR(__xludf.DUMMYFUNCTION("""COMPUTED_VALUE"""),0.0795)</f>
        <v>0.0795</v>
      </c>
      <c r="J2776" s="19">
        <f>IFERROR(__xludf.DUMMYFUNCTION("""COMPUTED_VALUE"""),0.1589)</f>
        <v>0.1589</v>
      </c>
      <c r="K2776" s="19">
        <f>IFERROR(__xludf.DUMMYFUNCTION("""COMPUTED_VALUE"""),0.1986)</f>
        <v>0.1986</v>
      </c>
      <c r="L2776" s="19">
        <f>IFERROR(__xludf.DUMMYFUNCTION("""COMPUTED_VALUE"""),0.2384)</f>
        <v>0.2384</v>
      </c>
      <c r="M2776" s="18">
        <f>IFERROR(__xludf.DUMMYFUNCTION("""COMPUTED_VALUE"""),1.05)</f>
        <v>1.05</v>
      </c>
    </row>
    <row r="2777">
      <c r="A2777" s="13" t="str">
        <f>IFERROR(__xludf.DUMMYFUNCTION("""COMPUTED_VALUE"""),"товари")</f>
        <v>товари</v>
      </c>
      <c r="B2777" s="16" t="str">
        <f>IFERROR(__xludf.DUMMYFUNCTION("""COMPUTED_VALUE"""),"одяг та взуття")</f>
        <v>одяг та взуття</v>
      </c>
      <c r="C2777" s="16" t="str">
        <f>IFERROR(__xludf.DUMMYFUNCTION("""COMPUTED_VALUE"""),"жіночий одяг")</f>
        <v>жіночий одяг</v>
      </c>
      <c r="D2777" s="16" t="str">
        <f>IFERROR(__xludf.DUMMYFUNCTION("""COMPUTED_VALUE"""),"одяг та білизна для вагітних та годуючих")</f>
        <v>одяг та білизна для вагітних та годуючих</v>
      </c>
      <c r="E2777" s="16" t="str">
        <f>IFERROR(__xludf.DUMMYFUNCTION("""COMPUTED_VALUE"""),"комбінезони для вагітних і годуючих")</f>
        <v>комбінезони для вагітних і годуючих</v>
      </c>
      <c r="F2777" s="17">
        <f>IFERROR(__xludf.DUMMYFUNCTION("""COMPUTED_VALUE"""),4.0)</f>
        <v>4</v>
      </c>
      <c r="G2777" s="17" t="str">
        <f>IFERROR(__xludf.DUMMYFUNCTION("""COMPUTED_VALUE"""),"3450107")</f>
        <v>3450107</v>
      </c>
      <c r="H2777" s="17" t="str">
        <f>IFERROR(__xludf.DUMMYFUNCTION("""COMPUTED_VALUE"""),"комбінезони для вагітних і годуючих")</f>
        <v>комбінезони для вагітних і годуючих</v>
      </c>
      <c r="I2777" s="19">
        <f>IFERROR(__xludf.DUMMYFUNCTION("""COMPUTED_VALUE"""),0.0795)</f>
        <v>0.0795</v>
      </c>
      <c r="J2777" s="19">
        <f>IFERROR(__xludf.DUMMYFUNCTION("""COMPUTED_VALUE"""),0.1589)</f>
        <v>0.1589</v>
      </c>
      <c r="K2777" s="19">
        <f>IFERROR(__xludf.DUMMYFUNCTION("""COMPUTED_VALUE"""),0.1986)</f>
        <v>0.1986</v>
      </c>
      <c r="L2777" s="19">
        <f>IFERROR(__xludf.DUMMYFUNCTION("""COMPUTED_VALUE"""),0.2384)</f>
        <v>0.2384</v>
      </c>
      <c r="M2777" s="18">
        <f>IFERROR(__xludf.DUMMYFUNCTION("""COMPUTED_VALUE"""),1.05)</f>
        <v>1.05</v>
      </c>
    </row>
    <row r="2778">
      <c r="A2778" s="13" t="str">
        <f>IFERROR(__xludf.DUMMYFUNCTION("""COMPUTED_VALUE"""),"товари")</f>
        <v>товари</v>
      </c>
      <c r="B2778" s="16" t="str">
        <f>IFERROR(__xludf.DUMMYFUNCTION("""COMPUTED_VALUE"""),"одяг та взуття")</f>
        <v>одяг та взуття</v>
      </c>
      <c r="C2778" s="16" t="str">
        <f>IFERROR(__xludf.DUMMYFUNCTION("""COMPUTED_VALUE"""),"дитячий одяг та взуття")</f>
        <v>дитячий одяг та взуття</v>
      </c>
      <c r="D2778" s="16" t="str">
        <f>IFERROR(__xludf.DUMMYFUNCTION("""COMPUTED_VALUE"""),"одяг для малюків")</f>
        <v>одяг для малюків</v>
      </c>
      <c r="E2778" s="16" t="str">
        <f>IFERROR(__xludf.DUMMYFUNCTION("""COMPUTED_VALUE"""),"комбінезони для малюків")</f>
        <v>комбінезони для малюків</v>
      </c>
      <c r="F2778" s="17">
        <f>IFERROR(__xludf.DUMMYFUNCTION("""COMPUTED_VALUE"""),4.0)</f>
        <v>4</v>
      </c>
      <c r="G2778" s="17" t="str">
        <f>IFERROR(__xludf.DUMMYFUNCTION("""COMPUTED_VALUE"""),"31006")</f>
        <v>31006</v>
      </c>
      <c r="H2778" s="17" t="str">
        <f>IFERROR(__xludf.DUMMYFUNCTION("""COMPUTED_VALUE"""),"комбінезони для малюків")</f>
        <v>комбінезони для малюків</v>
      </c>
      <c r="I2778" s="19">
        <f>IFERROR(__xludf.DUMMYFUNCTION("""COMPUTED_VALUE"""),0.0931)</f>
        <v>0.0931</v>
      </c>
      <c r="J2778" s="19">
        <f>IFERROR(__xludf.DUMMYFUNCTION("""COMPUTED_VALUE"""),0.1861)</f>
        <v>0.1861</v>
      </c>
      <c r="K2778" s="19">
        <f>IFERROR(__xludf.DUMMYFUNCTION("""COMPUTED_VALUE"""),0.2326)</f>
        <v>0.2326</v>
      </c>
      <c r="L2778" s="19">
        <f>IFERROR(__xludf.DUMMYFUNCTION("""COMPUTED_VALUE"""),0.2792)</f>
        <v>0.2792</v>
      </c>
      <c r="M2778" s="18">
        <f>IFERROR(__xludf.DUMMYFUNCTION("""COMPUTED_VALUE"""),1.44)</f>
        <v>1.44</v>
      </c>
    </row>
    <row r="2779">
      <c r="A2779" s="13" t="str">
        <f>IFERROR(__xludf.DUMMYFUNCTION("""COMPUTED_VALUE"""),"товари")</f>
        <v>товари</v>
      </c>
      <c r="B2779" s="16" t="str">
        <f>IFERROR(__xludf.DUMMYFUNCTION("""COMPUTED_VALUE"""),"одяг та взуття")</f>
        <v>одяг та взуття</v>
      </c>
      <c r="C2779" s="16" t="str">
        <f>IFERROR(__xludf.DUMMYFUNCTION("""COMPUTED_VALUE"""),"дитячий одяг та взуття")</f>
        <v>дитячий одяг та взуття</v>
      </c>
      <c r="D2779" s="16" t="str">
        <f>IFERROR(__xludf.DUMMYFUNCTION("""COMPUTED_VALUE"""),"дитяча білизна і купальники  ")</f>
        <v>дитяча білизна і купальники  </v>
      </c>
      <c r="E2779" s="16" t="str">
        <f>IFERROR(__xludf.DUMMYFUNCTION("""COMPUTED_VALUE"""),"комплекти дитячої нижньої білизни")</f>
        <v>комплекти дитячої нижньої білизни</v>
      </c>
      <c r="F2779" s="17">
        <f>IFERROR(__xludf.DUMMYFUNCTION("""COMPUTED_VALUE"""),4.0)</f>
        <v>4</v>
      </c>
      <c r="G2779" s="17" t="str">
        <f>IFERROR(__xludf.DUMMYFUNCTION("""COMPUTED_VALUE"""),"3110804")</f>
        <v>3110804</v>
      </c>
      <c r="H2779" s="17" t="str">
        <f>IFERROR(__xludf.DUMMYFUNCTION("""COMPUTED_VALUE"""),"комплекти дитячої нижньої білизни")</f>
        <v>комплекти дитячої нижньої білизни</v>
      </c>
      <c r="I2779" s="19">
        <f>IFERROR(__xludf.DUMMYFUNCTION("""COMPUTED_VALUE"""),0.0892)</f>
        <v>0.0892</v>
      </c>
      <c r="J2779" s="19">
        <f>IFERROR(__xludf.DUMMYFUNCTION("""COMPUTED_VALUE"""),0.1783)</f>
        <v>0.1783</v>
      </c>
      <c r="K2779" s="19">
        <f>IFERROR(__xludf.DUMMYFUNCTION("""COMPUTED_VALUE"""),0.2229)</f>
        <v>0.2229</v>
      </c>
      <c r="L2779" s="19">
        <f>IFERROR(__xludf.DUMMYFUNCTION("""COMPUTED_VALUE"""),0.2675)</f>
        <v>0.2675</v>
      </c>
      <c r="M2779" s="18">
        <f>IFERROR(__xludf.DUMMYFUNCTION("""COMPUTED_VALUE"""),1.05)</f>
        <v>1.05</v>
      </c>
    </row>
    <row r="2780">
      <c r="A2780" s="13" t="str">
        <f>IFERROR(__xludf.DUMMYFUNCTION("""COMPUTED_VALUE"""),"товари")</f>
        <v>товари</v>
      </c>
      <c r="B2780" s="16" t="str">
        <f>IFERROR(__xludf.DUMMYFUNCTION("""COMPUTED_VALUE"""),"одяг та взуття")</f>
        <v>одяг та взуття</v>
      </c>
      <c r="C2780" s="16" t="str">
        <f>IFERROR(__xludf.DUMMYFUNCTION("""COMPUTED_VALUE"""),"дитячий одяг та взуття")</f>
        <v>дитячий одяг та взуття</v>
      </c>
      <c r="D2780" s="16" t="str">
        <f>IFERROR(__xludf.DUMMYFUNCTION("""COMPUTED_VALUE"""),"одяг для малюків")</f>
        <v>одяг для малюків</v>
      </c>
      <c r="E2780" s="16" t="str">
        <f>IFERROR(__xludf.DUMMYFUNCTION("""COMPUTED_VALUE"""),"комплекти для малюків")</f>
        <v>комплекти для малюків</v>
      </c>
      <c r="F2780" s="17">
        <f>IFERROR(__xludf.DUMMYFUNCTION("""COMPUTED_VALUE"""),4.0)</f>
        <v>4</v>
      </c>
      <c r="G2780" s="17" t="str">
        <f>IFERROR(__xludf.DUMMYFUNCTION("""COMPUTED_VALUE"""),"31016")</f>
        <v>31016</v>
      </c>
      <c r="H2780" s="17" t="str">
        <f>IFERROR(__xludf.DUMMYFUNCTION("""COMPUTED_VALUE"""),"комплекти для малюків")</f>
        <v>комплекти для малюків</v>
      </c>
      <c r="I2780" s="19">
        <f>IFERROR(__xludf.DUMMYFUNCTION("""COMPUTED_VALUE"""),0.0931)</f>
        <v>0.0931</v>
      </c>
      <c r="J2780" s="19">
        <f>IFERROR(__xludf.DUMMYFUNCTION("""COMPUTED_VALUE"""),0.1861)</f>
        <v>0.1861</v>
      </c>
      <c r="K2780" s="19">
        <f>IFERROR(__xludf.DUMMYFUNCTION("""COMPUTED_VALUE"""),0.2326)</f>
        <v>0.2326</v>
      </c>
      <c r="L2780" s="19">
        <f>IFERROR(__xludf.DUMMYFUNCTION("""COMPUTED_VALUE"""),0.2792)</f>
        <v>0.2792</v>
      </c>
      <c r="M2780" s="18">
        <f>IFERROR(__xludf.DUMMYFUNCTION("""COMPUTED_VALUE"""),1.44)</f>
        <v>1.44</v>
      </c>
    </row>
    <row r="2781">
      <c r="A2781" s="13" t="str">
        <f>IFERROR(__xludf.DUMMYFUNCTION("""COMPUTED_VALUE"""),"товари")</f>
        <v>товари</v>
      </c>
      <c r="B2781" s="16" t="str">
        <f>IFERROR(__xludf.DUMMYFUNCTION("""COMPUTED_VALUE"""),"одяг та взуття")</f>
        <v>одяг та взуття</v>
      </c>
      <c r="C2781" s="16" t="str">
        <f>IFERROR(__xludf.DUMMYFUNCTION("""COMPUTED_VALUE"""),"чоловічий одяг ")</f>
        <v>чоловічий одяг </v>
      </c>
      <c r="D2781" s="16" t="str">
        <f>IFERROR(__xludf.DUMMYFUNCTION("""COMPUTED_VALUE"""),"чоловіча білизна та купальні плавки")</f>
        <v>чоловіча білизна та купальні плавки</v>
      </c>
      <c r="E2781" s="16" t="str">
        <f>IFERROR(__xludf.DUMMYFUNCTION("""COMPUTED_VALUE"""),"комплекти чоловічої білизни")</f>
        <v>комплекти чоловічої білизни</v>
      </c>
      <c r="F2781" s="17">
        <f>IFERROR(__xludf.DUMMYFUNCTION("""COMPUTED_VALUE"""),4.0)</f>
        <v>4</v>
      </c>
      <c r="G2781" s="17" t="str">
        <f>IFERROR(__xludf.DUMMYFUNCTION("""COMPUTED_VALUE"""),"3121208")</f>
        <v>3121208</v>
      </c>
      <c r="H2781" s="17" t="str">
        <f>IFERROR(__xludf.DUMMYFUNCTION("""COMPUTED_VALUE"""),"комплекти чоловічої білизни")</f>
        <v>комплекти чоловічої білизни</v>
      </c>
      <c r="I2781" s="19">
        <f>IFERROR(__xludf.DUMMYFUNCTION("""COMPUTED_VALUE"""),0.0944)</f>
        <v>0.0944</v>
      </c>
      <c r="J2781" s="19">
        <f>IFERROR(__xludf.DUMMYFUNCTION("""COMPUTED_VALUE"""),0.1888)</f>
        <v>0.1888</v>
      </c>
      <c r="K2781" s="19">
        <f>IFERROR(__xludf.DUMMYFUNCTION("""COMPUTED_VALUE"""),0.236)</f>
        <v>0.236</v>
      </c>
      <c r="L2781" s="19">
        <f>IFERROR(__xludf.DUMMYFUNCTION("""COMPUTED_VALUE"""),0.2832)</f>
        <v>0.2832</v>
      </c>
      <c r="M2781" s="18">
        <f>IFERROR(__xludf.DUMMYFUNCTION("""COMPUTED_VALUE"""),1.63)</f>
        <v>1.63</v>
      </c>
    </row>
    <row r="2782">
      <c r="A2782" s="13" t="str">
        <f>IFERROR(__xludf.DUMMYFUNCTION("""COMPUTED_VALUE"""),"товари")</f>
        <v>товари</v>
      </c>
      <c r="B2782" s="16" t="str">
        <f>IFERROR(__xludf.DUMMYFUNCTION("""COMPUTED_VALUE"""),"одяг та взуття")</f>
        <v>одяг та взуття</v>
      </c>
      <c r="C2782" s="16" t="str">
        <f>IFERROR(__xludf.DUMMYFUNCTION("""COMPUTED_VALUE"""),"дитячий одяг та взуття")</f>
        <v>дитячий одяг та взуття</v>
      </c>
      <c r="D2782" s="16" t="str">
        <f>IFERROR(__xludf.DUMMYFUNCTION("""COMPUTED_VALUE"""),"одяг для малюків")</f>
        <v>одяг для малюків</v>
      </c>
      <c r="E2782" s="16" t="str">
        <f>IFERROR(__xludf.DUMMYFUNCTION("""COMPUTED_VALUE"""),"конверти для новонароджених")</f>
        <v>конверти для новонароджених</v>
      </c>
      <c r="F2782" s="17">
        <f>IFERROR(__xludf.DUMMYFUNCTION("""COMPUTED_VALUE"""),4.0)</f>
        <v>4</v>
      </c>
      <c r="G2782" s="17" t="str">
        <f>IFERROR(__xludf.DUMMYFUNCTION("""COMPUTED_VALUE"""),"15011308")</f>
        <v>15011308</v>
      </c>
      <c r="H2782" s="17" t="str">
        <f>IFERROR(__xludf.DUMMYFUNCTION("""COMPUTED_VALUE"""),"конверти для новонароджених")</f>
        <v>конверти для новонароджених</v>
      </c>
      <c r="I2782" s="19">
        <f>IFERROR(__xludf.DUMMYFUNCTION("""COMPUTED_VALUE"""),0.0931)</f>
        <v>0.0931</v>
      </c>
      <c r="J2782" s="19">
        <f>IFERROR(__xludf.DUMMYFUNCTION("""COMPUTED_VALUE"""),0.1861)</f>
        <v>0.1861</v>
      </c>
      <c r="K2782" s="19">
        <f>IFERROR(__xludf.DUMMYFUNCTION("""COMPUTED_VALUE"""),0.2326)</f>
        <v>0.2326</v>
      </c>
      <c r="L2782" s="19">
        <f>IFERROR(__xludf.DUMMYFUNCTION("""COMPUTED_VALUE"""),0.2792)</f>
        <v>0.2792</v>
      </c>
      <c r="M2782" s="18">
        <f>IFERROR(__xludf.DUMMYFUNCTION("""COMPUTED_VALUE"""),1.44)</f>
        <v>1.44</v>
      </c>
    </row>
    <row r="2783">
      <c r="A2783" s="13" t="str">
        <f>IFERROR(__xludf.DUMMYFUNCTION("""COMPUTED_VALUE"""),"товари")</f>
        <v>товари</v>
      </c>
      <c r="B2783" s="16" t="str">
        <f>IFERROR(__xludf.DUMMYFUNCTION("""COMPUTED_VALUE"""),"одяг та взуття")</f>
        <v>одяг та взуття</v>
      </c>
      <c r="C2783" s="16" t="str">
        <f>IFERROR(__xludf.DUMMYFUNCTION("""COMPUTED_VALUE"""),"жіночий одяг")</f>
        <v>жіночий одяг</v>
      </c>
      <c r="D2783" s="16" t="str">
        <f>IFERROR(__xludf.DUMMYFUNCTION("""COMPUTED_VALUE"""),"жіноча білизна і купальники")</f>
        <v>жіноча білизна і купальники</v>
      </c>
      <c r="E2783" s="16" t="str">
        <f>IFERROR(__xludf.DUMMYFUNCTION("""COMPUTED_VALUE"""),"корегуюча білизна")</f>
        <v>корегуюча білизна</v>
      </c>
      <c r="F2783" s="17">
        <f>IFERROR(__xludf.DUMMYFUNCTION("""COMPUTED_VALUE"""),4.0)</f>
        <v>4</v>
      </c>
      <c r="G2783" s="17" t="str">
        <f>IFERROR(__xludf.DUMMYFUNCTION("""COMPUTED_VALUE"""),"163401")</f>
        <v>163401</v>
      </c>
      <c r="H2783" s="17" t="str">
        <f>IFERROR(__xludf.DUMMYFUNCTION("""COMPUTED_VALUE"""),"корегуюча білизна")</f>
        <v>корегуюча білизна</v>
      </c>
      <c r="I2783" s="19">
        <f>IFERROR(__xludf.DUMMYFUNCTION("""COMPUTED_VALUE"""),0.1027)</f>
        <v>0.1027</v>
      </c>
      <c r="J2783" s="19">
        <f>IFERROR(__xludf.DUMMYFUNCTION("""COMPUTED_VALUE"""),0.2053)</f>
        <v>0.2053</v>
      </c>
      <c r="K2783" s="19">
        <f>IFERROR(__xludf.DUMMYFUNCTION("""COMPUTED_VALUE"""),0.2566)</f>
        <v>0.2566</v>
      </c>
      <c r="L2783" s="19">
        <f>IFERROR(__xludf.DUMMYFUNCTION("""COMPUTED_VALUE"""),0.308)</f>
        <v>0.308</v>
      </c>
      <c r="M2783" s="18">
        <f>IFERROR(__xludf.DUMMYFUNCTION("""COMPUTED_VALUE"""),2.53)</f>
        <v>2.53</v>
      </c>
    </row>
    <row r="2784">
      <c r="A2784" s="13" t="str">
        <f>IFERROR(__xludf.DUMMYFUNCTION("""COMPUTED_VALUE"""),"товари")</f>
        <v>товари</v>
      </c>
      <c r="B2784" s="16" t="str">
        <f>IFERROR(__xludf.DUMMYFUNCTION("""COMPUTED_VALUE"""),"одяг та взуття")</f>
        <v>одяг та взуття</v>
      </c>
      <c r="C2784" s="16" t="str">
        <f>IFERROR(__xludf.DUMMYFUNCTION("""COMPUTED_VALUE"""),"жіночий одяг")</f>
        <v>жіночий одяг</v>
      </c>
      <c r="D2784" s="16" t="str">
        <f>IFERROR(__xludf.DUMMYFUNCTION("""COMPUTED_VALUE"""),"одяг та білизна для вагітних та годуючих")</f>
        <v>одяг та білизна для вагітних та годуючих</v>
      </c>
      <c r="E2784" s="16" t="str">
        <f>IFERROR(__xludf.DUMMYFUNCTION("""COMPUTED_VALUE"""),"костюми для вагітних та годуючих")</f>
        <v>костюми для вагітних та годуючих</v>
      </c>
      <c r="F2784" s="17">
        <f>IFERROR(__xludf.DUMMYFUNCTION("""COMPUTED_VALUE"""),4.0)</f>
        <v>4</v>
      </c>
      <c r="G2784" s="17" t="str">
        <f>IFERROR(__xludf.DUMMYFUNCTION("""COMPUTED_VALUE"""),"3450111")</f>
        <v>3450111</v>
      </c>
      <c r="H2784" s="17" t="str">
        <f>IFERROR(__xludf.DUMMYFUNCTION("""COMPUTED_VALUE"""),"костюми для вагітних та годуючих")</f>
        <v>костюми для вагітних та годуючих</v>
      </c>
      <c r="I2784" s="19">
        <f>IFERROR(__xludf.DUMMYFUNCTION("""COMPUTED_VALUE"""),0.0795)</f>
        <v>0.0795</v>
      </c>
      <c r="J2784" s="19">
        <f>IFERROR(__xludf.DUMMYFUNCTION("""COMPUTED_VALUE"""),0.1589)</f>
        <v>0.1589</v>
      </c>
      <c r="K2784" s="19">
        <f>IFERROR(__xludf.DUMMYFUNCTION("""COMPUTED_VALUE"""),0.1986)</f>
        <v>0.1986</v>
      </c>
      <c r="L2784" s="19">
        <f>IFERROR(__xludf.DUMMYFUNCTION("""COMPUTED_VALUE"""),0.2384)</f>
        <v>0.2384</v>
      </c>
      <c r="M2784" s="18">
        <f>IFERROR(__xludf.DUMMYFUNCTION("""COMPUTED_VALUE"""),1.05)</f>
        <v>1.05</v>
      </c>
    </row>
    <row r="2785">
      <c r="A2785" s="13" t="str">
        <f>IFERROR(__xludf.DUMMYFUNCTION("""COMPUTED_VALUE"""),"товари")</f>
        <v>товари</v>
      </c>
      <c r="B2785" s="16" t="str">
        <f>IFERROR(__xludf.DUMMYFUNCTION("""COMPUTED_VALUE"""),"одяг та взуття")</f>
        <v>одяг та взуття</v>
      </c>
      <c r="C2785" s="16" t="str">
        <f>IFERROR(__xludf.DUMMYFUNCTION("""COMPUTED_VALUE"""),"дитячий одяг та взуття")</f>
        <v>дитячий одяг та взуття</v>
      </c>
      <c r="D2785" s="16" t="str">
        <f>IFERROR(__xludf.DUMMYFUNCTION("""COMPUTED_VALUE"""),"одяг для дівчаток")</f>
        <v>одяг для дівчаток</v>
      </c>
      <c r="E2785" s="16" t="str">
        <f>IFERROR(__xludf.DUMMYFUNCTION("""COMPUTED_VALUE"""),"костюми для дівчаток")</f>
        <v>костюми для дівчаток</v>
      </c>
      <c r="F2785" s="17">
        <f>IFERROR(__xludf.DUMMYFUNCTION("""COMPUTED_VALUE"""),4.0)</f>
        <v>4</v>
      </c>
      <c r="G2785" s="17" t="str">
        <f>IFERROR(__xludf.DUMMYFUNCTION("""COMPUTED_VALUE"""),"31103")</f>
        <v>31103</v>
      </c>
      <c r="H2785" s="17" t="str">
        <f>IFERROR(__xludf.DUMMYFUNCTION("""COMPUTED_VALUE"""),"костюми для дівчаток")</f>
        <v>костюми для дівчаток</v>
      </c>
      <c r="I2785" s="19">
        <f>IFERROR(__xludf.DUMMYFUNCTION("""COMPUTED_VALUE"""),0.0927)</f>
        <v>0.0927</v>
      </c>
      <c r="J2785" s="19">
        <f>IFERROR(__xludf.DUMMYFUNCTION("""COMPUTED_VALUE"""),0.1853)</f>
        <v>0.1853</v>
      </c>
      <c r="K2785" s="19">
        <f>IFERROR(__xludf.DUMMYFUNCTION("""COMPUTED_VALUE"""),0.2316)</f>
        <v>0.2316</v>
      </c>
      <c r="L2785" s="19">
        <f>IFERROR(__xludf.DUMMYFUNCTION("""COMPUTED_VALUE"""),0.278)</f>
        <v>0.278</v>
      </c>
      <c r="M2785" s="18">
        <f>IFERROR(__xludf.DUMMYFUNCTION("""COMPUTED_VALUE"""),1.63)</f>
        <v>1.63</v>
      </c>
    </row>
    <row r="2786">
      <c r="A2786" s="13" t="str">
        <f>IFERROR(__xludf.DUMMYFUNCTION("""COMPUTED_VALUE"""),"товари")</f>
        <v>товари</v>
      </c>
      <c r="B2786" s="16" t="str">
        <f>IFERROR(__xludf.DUMMYFUNCTION("""COMPUTED_VALUE"""),"одяг та взуття")</f>
        <v>одяг та взуття</v>
      </c>
      <c r="C2786" s="16" t="str">
        <f>IFERROR(__xludf.DUMMYFUNCTION("""COMPUTED_VALUE"""),"дитячий одяг та взуття")</f>
        <v>дитячий одяг та взуття</v>
      </c>
      <c r="D2786" s="16" t="str">
        <f>IFERROR(__xludf.DUMMYFUNCTION("""COMPUTED_VALUE"""),"одяг для хлопчиків")</f>
        <v>одяг для хлопчиків</v>
      </c>
      <c r="E2786" s="16" t="str">
        <f>IFERROR(__xludf.DUMMYFUNCTION("""COMPUTED_VALUE"""),"костюми для хлопчиків")</f>
        <v>костюми для хлопчиків</v>
      </c>
      <c r="F2786" s="17">
        <f>IFERROR(__xludf.DUMMYFUNCTION("""COMPUTED_VALUE"""),4.0)</f>
        <v>4</v>
      </c>
      <c r="G2786" s="17" t="str">
        <f>IFERROR(__xludf.DUMMYFUNCTION("""COMPUTED_VALUE"""),"3111702")</f>
        <v>3111702</v>
      </c>
      <c r="H2786" s="17" t="str">
        <f>IFERROR(__xludf.DUMMYFUNCTION("""COMPUTED_VALUE"""),"костюми для хлопчиків")</f>
        <v>костюми для хлопчиків</v>
      </c>
      <c r="I2786" s="19">
        <f>IFERROR(__xludf.DUMMYFUNCTION("""COMPUTED_VALUE"""),0.0927)</f>
        <v>0.0927</v>
      </c>
      <c r="J2786" s="19">
        <f>IFERROR(__xludf.DUMMYFUNCTION("""COMPUTED_VALUE"""),0.1853)</f>
        <v>0.1853</v>
      </c>
      <c r="K2786" s="19">
        <f>IFERROR(__xludf.DUMMYFUNCTION("""COMPUTED_VALUE"""),0.2316)</f>
        <v>0.2316</v>
      </c>
      <c r="L2786" s="19">
        <f>IFERROR(__xludf.DUMMYFUNCTION("""COMPUTED_VALUE"""),0.278)</f>
        <v>0.278</v>
      </c>
      <c r="M2786" s="18">
        <f>IFERROR(__xludf.DUMMYFUNCTION("""COMPUTED_VALUE"""),1.53)</f>
        <v>1.53</v>
      </c>
    </row>
    <row r="2787">
      <c r="A2787" s="13" t="str">
        <f>IFERROR(__xludf.DUMMYFUNCTION("""COMPUTED_VALUE"""),"товари")</f>
        <v>товари</v>
      </c>
      <c r="B2787" s="16" t="str">
        <f>IFERROR(__xludf.DUMMYFUNCTION("""COMPUTED_VALUE"""),"одяг та взуття")</f>
        <v>одяг та взуття</v>
      </c>
      <c r="C2787" s="16" t="str">
        <f>IFERROR(__xludf.DUMMYFUNCTION("""COMPUTED_VALUE"""),"дитячий одяг та взуття")</f>
        <v>дитячий одяг та взуття</v>
      </c>
      <c r="D2787" s="16" t="str">
        <f>IFERROR(__xludf.DUMMYFUNCTION("""COMPUTED_VALUE"""),"одяг для дівчаток")</f>
        <v>одяг для дівчаток</v>
      </c>
      <c r="E2787" s="16" t="str">
        <f>IFERROR(__xludf.DUMMYFUNCTION("""COMPUTED_VALUE"""),"кофти та светри для дівчаток")</f>
        <v>кофти та светри для дівчаток</v>
      </c>
      <c r="F2787" s="17">
        <f>IFERROR(__xludf.DUMMYFUNCTION("""COMPUTED_VALUE"""),4.0)</f>
        <v>4</v>
      </c>
      <c r="G2787" s="17" t="str">
        <f>IFERROR(__xludf.DUMMYFUNCTION("""COMPUTED_VALUE"""),"31106")</f>
        <v>31106</v>
      </c>
      <c r="H2787" s="17" t="str">
        <f>IFERROR(__xludf.DUMMYFUNCTION("""COMPUTED_VALUE"""),"кофти та светри для дівчаток")</f>
        <v>кофти та светри для дівчаток</v>
      </c>
      <c r="I2787" s="19">
        <f>IFERROR(__xludf.DUMMYFUNCTION("""COMPUTED_VALUE"""),0.0927)</f>
        <v>0.0927</v>
      </c>
      <c r="J2787" s="19">
        <f>IFERROR(__xludf.DUMMYFUNCTION("""COMPUTED_VALUE"""),0.1853)</f>
        <v>0.1853</v>
      </c>
      <c r="K2787" s="19">
        <f>IFERROR(__xludf.DUMMYFUNCTION("""COMPUTED_VALUE"""),0.2316)</f>
        <v>0.2316</v>
      </c>
      <c r="L2787" s="19">
        <f>IFERROR(__xludf.DUMMYFUNCTION("""COMPUTED_VALUE"""),0.278)</f>
        <v>0.278</v>
      </c>
      <c r="M2787" s="18">
        <f>IFERROR(__xludf.DUMMYFUNCTION("""COMPUTED_VALUE"""),1.63)</f>
        <v>1.63</v>
      </c>
    </row>
    <row r="2788">
      <c r="A2788" s="13" t="str">
        <f>IFERROR(__xludf.DUMMYFUNCTION("""COMPUTED_VALUE"""),"товари")</f>
        <v>товари</v>
      </c>
      <c r="B2788" s="16" t="str">
        <f>IFERROR(__xludf.DUMMYFUNCTION("""COMPUTED_VALUE"""),"одяг та взуття")</f>
        <v>одяг та взуття</v>
      </c>
      <c r="C2788" s="16" t="str">
        <f>IFERROR(__xludf.DUMMYFUNCTION("""COMPUTED_VALUE"""),"дитячий одяг та взуття")</f>
        <v>дитячий одяг та взуття</v>
      </c>
      <c r="D2788" s="16" t="str">
        <f>IFERROR(__xludf.DUMMYFUNCTION("""COMPUTED_VALUE"""),"одяг для хлопчиків")</f>
        <v>одяг для хлопчиків</v>
      </c>
      <c r="E2788" s="16" t="str">
        <f>IFERROR(__xludf.DUMMYFUNCTION("""COMPUTED_VALUE"""),"кофти та светри для хлопчиків")</f>
        <v>кофти та светри для хлопчиків</v>
      </c>
      <c r="F2788" s="17">
        <f>IFERROR(__xludf.DUMMYFUNCTION("""COMPUTED_VALUE"""),4.0)</f>
        <v>4</v>
      </c>
      <c r="G2788" s="17" t="str">
        <f>IFERROR(__xludf.DUMMYFUNCTION("""COMPUTED_VALUE"""),"31122")</f>
        <v>31122</v>
      </c>
      <c r="H2788" s="17" t="str">
        <f>IFERROR(__xludf.DUMMYFUNCTION("""COMPUTED_VALUE"""),"кофти та светри для хлопчиків")</f>
        <v>кофти та светри для хлопчиків</v>
      </c>
      <c r="I2788" s="19">
        <f>IFERROR(__xludf.DUMMYFUNCTION("""COMPUTED_VALUE"""),0.0927)</f>
        <v>0.0927</v>
      </c>
      <c r="J2788" s="19">
        <f>IFERROR(__xludf.DUMMYFUNCTION("""COMPUTED_VALUE"""),0.1853)</f>
        <v>0.1853</v>
      </c>
      <c r="K2788" s="19">
        <f>IFERROR(__xludf.DUMMYFUNCTION("""COMPUTED_VALUE"""),0.2316)</f>
        <v>0.2316</v>
      </c>
      <c r="L2788" s="19">
        <f>IFERROR(__xludf.DUMMYFUNCTION("""COMPUTED_VALUE"""),0.278)</f>
        <v>0.278</v>
      </c>
      <c r="M2788" s="18">
        <f>IFERROR(__xludf.DUMMYFUNCTION("""COMPUTED_VALUE"""),1.53)</f>
        <v>1.53</v>
      </c>
    </row>
    <row r="2789">
      <c r="A2789" s="13" t="str">
        <f>IFERROR(__xludf.DUMMYFUNCTION("""COMPUTED_VALUE"""),"товари")</f>
        <v>товари</v>
      </c>
      <c r="B2789" s="16" t="str">
        <f>IFERROR(__xludf.DUMMYFUNCTION("""COMPUTED_VALUE"""),"одяг та взуття")</f>
        <v>одяг та взуття</v>
      </c>
      <c r="C2789" s="16" t="str">
        <f>IFERROR(__xludf.DUMMYFUNCTION("""COMPUTED_VALUE"""),"спортивний одяг та взуття")</f>
        <v>спортивний одяг та взуття</v>
      </c>
      <c r="D2789" s="16" t="str">
        <f>IFERROR(__xludf.DUMMYFUNCTION("""COMPUTED_VALUE"""),"кросівки та кеди")</f>
        <v>кросівки та кеди</v>
      </c>
      <c r="E2789" s="16" t="str">
        <f>IFERROR(__xludf.DUMMYFUNCTION("""COMPUTED_VALUE"""),"кросівки та кеди")</f>
        <v>кросівки та кеди</v>
      </c>
      <c r="F2789" s="17">
        <f>IFERROR(__xludf.DUMMYFUNCTION("""COMPUTED_VALUE"""),3.0)</f>
        <v>3</v>
      </c>
      <c r="G2789" s="17" t="str">
        <f>IFERROR(__xludf.DUMMYFUNCTION("""COMPUTED_VALUE"""),"3220713")</f>
        <v>3220713</v>
      </c>
      <c r="H2789" s="17" t="str">
        <f>IFERROR(__xludf.DUMMYFUNCTION("""COMPUTED_VALUE"""),"кросівки та кеди")</f>
        <v>кросівки та кеди</v>
      </c>
      <c r="I2789" s="19">
        <f>IFERROR(__xludf.DUMMYFUNCTION("""COMPUTED_VALUE"""),0.0927)</f>
        <v>0.0927</v>
      </c>
      <c r="J2789" s="19">
        <f>IFERROR(__xludf.DUMMYFUNCTION("""COMPUTED_VALUE"""),0.1853)</f>
        <v>0.1853</v>
      </c>
      <c r="K2789" s="19">
        <f>IFERROR(__xludf.DUMMYFUNCTION("""COMPUTED_VALUE"""),0.2316)</f>
        <v>0.2316</v>
      </c>
      <c r="L2789" s="19">
        <f>IFERROR(__xludf.DUMMYFUNCTION("""COMPUTED_VALUE"""),0.278)</f>
        <v>0.278</v>
      </c>
      <c r="M2789" s="18">
        <f>IFERROR(__xludf.DUMMYFUNCTION("""COMPUTED_VALUE"""),2.08)</f>
        <v>2.08</v>
      </c>
    </row>
    <row r="2790">
      <c r="A2790" s="13" t="str">
        <f>IFERROR(__xludf.DUMMYFUNCTION("""COMPUTED_VALUE"""),"товари")</f>
        <v>товари</v>
      </c>
      <c r="B2790" s="16" t="str">
        <f>IFERROR(__xludf.DUMMYFUNCTION("""COMPUTED_VALUE"""),"одяг та взуття")</f>
        <v>одяг та взуття</v>
      </c>
      <c r="C2790" s="16" t="str">
        <f>IFERROR(__xludf.DUMMYFUNCTION("""COMPUTED_VALUE"""),"жіночий одяг")</f>
        <v>жіночий одяг</v>
      </c>
      <c r="D2790" s="16" t="str">
        <f>IFERROR(__xludf.DUMMYFUNCTION("""COMPUTED_VALUE"""),"легінси і лосини")</f>
        <v>легінси і лосини</v>
      </c>
      <c r="E2790" s="16" t="str">
        <f>IFERROR(__xludf.DUMMYFUNCTION("""COMPUTED_VALUE"""),"легінси і лосини")</f>
        <v>легінси і лосини</v>
      </c>
      <c r="F2790" s="17">
        <f>IFERROR(__xludf.DUMMYFUNCTION("""COMPUTED_VALUE"""),3.0)</f>
        <v>3</v>
      </c>
      <c r="G2790" s="17" t="str">
        <f>IFERROR(__xludf.DUMMYFUNCTION("""COMPUTED_VALUE"""),"32302")</f>
        <v>32302</v>
      </c>
      <c r="H2790" s="17" t="str">
        <f>IFERROR(__xludf.DUMMYFUNCTION("""COMPUTED_VALUE"""),"легінси і лосини")</f>
        <v>легінси і лосини</v>
      </c>
      <c r="I2790" s="19">
        <f>IFERROR(__xludf.DUMMYFUNCTION("""COMPUTED_VALUE"""),0.0922)</f>
        <v>0.0922</v>
      </c>
      <c r="J2790" s="19">
        <f>IFERROR(__xludf.DUMMYFUNCTION("""COMPUTED_VALUE"""),0.1844)</f>
        <v>0.1844</v>
      </c>
      <c r="K2790" s="19">
        <f>IFERROR(__xludf.DUMMYFUNCTION("""COMPUTED_VALUE"""),0.2305)</f>
        <v>0.2305</v>
      </c>
      <c r="L2790" s="19">
        <f>IFERROR(__xludf.DUMMYFUNCTION("""COMPUTED_VALUE"""),0.2766)</f>
        <v>0.2766</v>
      </c>
      <c r="M2790" s="18">
        <f>IFERROR(__xludf.DUMMYFUNCTION("""COMPUTED_VALUE"""),1.05)</f>
        <v>1.05</v>
      </c>
    </row>
    <row r="2791">
      <c r="A2791" s="13" t="str">
        <f>IFERROR(__xludf.DUMMYFUNCTION("""COMPUTED_VALUE"""),"товари")</f>
        <v>товари</v>
      </c>
      <c r="B2791" s="16" t="str">
        <f>IFERROR(__xludf.DUMMYFUNCTION("""COMPUTED_VALUE"""),"одяг та взуття")</f>
        <v>одяг та взуття</v>
      </c>
      <c r="C2791" s="16" t="str">
        <f>IFERROR(__xludf.DUMMYFUNCTION("""COMPUTED_VALUE"""),"дитячий одяг та взуття")</f>
        <v>дитячий одяг та взуття</v>
      </c>
      <c r="D2791" s="16" t="str">
        <f>IFERROR(__xludf.DUMMYFUNCTION("""COMPUTED_VALUE"""),"одяг для дівчаток")</f>
        <v>одяг для дівчаток</v>
      </c>
      <c r="E2791" s="16" t="str">
        <f>IFERROR(__xludf.DUMMYFUNCTION("""COMPUTED_VALUE"""),"легкі комбінезони для дівчаток")</f>
        <v>легкі комбінезони для дівчаток</v>
      </c>
      <c r="F2791" s="17">
        <f>IFERROR(__xludf.DUMMYFUNCTION("""COMPUTED_VALUE"""),4.0)</f>
        <v>4</v>
      </c>
      <c r="G2791" s="17" t="str">
        <f>IFERROR(__xludf.DUMMYFUNCTION("""COMPUTED_VALUE"""),"31121")</f>
        <v>31121</v>
      </c>
      <c r="H2791" s="17" t="str">
        <f>IFERROR(__xludf.DUMMYFUNCTION("""COMPUTED_VALUE"""),"легкі комбінезони для дівчаток")</f>
        <v>легкі комбінезони для дівчаток</v>
      </c>
      <c r="I2791" s="19">
        <f>IFERROR(__xludf.DUMMYFUNCTION("""COMPUTED_VALUE"""),0.0927)</f>
        <v>0.0927</v>
      </c>
      <c r="J2791" s="19">
        <f>IFERROR(__xludf.DUMMYFUNCTION("""COMPUTED_VALUE"""),0.1853)</f>
        <v>0.1853</v>
      </c>
      <c r="K2791" s="19">
        <f>IFERROR(__xludf.DUMMYFUNCTION("""COMPUTED_VALUE"""),0.2316)</f>
        <v>0.2316</v>
      </c>
      <c r="L2791" s="19">
        <f>IFERROR(__xludf.DUMMYFUNCTION("""COMPUTED_VALUE"""),0.278)</f>
        <v>0.278</v>
      </c>
      <c r="M2791" s="18">
        <f>IFERROR(__xludf.DUMMYFUNCTION("""COMPUTED_VALUE"""),1.63)</f>
        <v>1.63</v>
      </c>
    </row>
    <row r="2792">
      <c r="A2792" s="13" t="str">
        <f>IFERROR(__xludf.DUMMYFUNCTION("""COMPUTED_VALUE"""),"товари")</f>
        <v>товари</v>
      </c>
      <c r="B2792" s="16" t="str">
        <f>IFERROR(__xludf.DUMMYFUNCTION("""COMPUTED_VALUE"""),"одяг та взуття")</f>
        <v>одяг та взуття</v>
      </c>
      <c r="C2792" s="16" t="str">
        <f>IFERROR(__xludf.DUMMYFUNCTION("""COMPUTED_VALUE"""),"дитячий одяг та взуття")</f>
        <v>дитячий одяг та взуття</v>
      </c>
      <c r="D2792" s="16" t="str">
        <f>IFERROR(__xludf.DUMMYFUNCTION("""COMPUTED_VALUE"""),"одяг для хлопчиків")</f>
        <v>одяг для хлопчиків</v>
      </c>
      <c r="E2792" s="16" t="str">
        <f>IFERROR(__xludf.DUMMYFUNCTION("""COMPUTED_VALUE"""),"легкі комбінезони для хлопчиків")</f>
        <v>легкі комбінезони для хлопчиків</v>
      </c>
      <c r="F2792" s="17">
        <f>IFERROR(__xludf.DUMMYFUNCTION("""COMPUTED_VALUE"""),4.0)</f>
        <v>4</v>
      </c>
      <c r="G2792" s="17" t="str">
        <f>IFERROR(__xludf.DUMMYFUNCTION("""COMPUTED_VALUE"""),"3111709")</f>
        <v>3111709</v>
      </c>
      <c r="H2792" s="17" t="str">
        <f>IFERROR(__xludf.DUMMYFUNCTION("""COMPUTED_VALUE"""),"легкі комбінезони для хлопчиків")</f>
        <v>легкі комбінезони для хлопчиків</v>
      </c>
      <c r="I2792" s="19">
        <f>IFERROR(__xludf.DUMMYFUNCTION("""COMPUTED_VALUE"""),0.0927)</f>
        <v>0.0927</v>
      </c>
      <c r="J2792" s="19">
        <f>IFERROR(__xludf.DUMMYFUNCTION("""COMPUTED_VALUE"""),0.1853)</f>
        <v>0.1853</v>
      </c>
      <c r="K2792" s="19">
        <f>IFERROR(__xludf.DUMMYFUNCTION("""COMPUTED_VALUE"""),0.2316)</f>
        <v>0.2316</v>
      </c>
      <c r="L2792" s="19">
        <f>IFERROR(__xludf.DUMMYFUNCTION("""COMPUTED_VALUE"""),0.278)</f>
        <v>0.278</v>
      </c>
      <c r="M2792" s="18">
        <f>IFERROR(__xludf.DUMMYFUNCTION("""COMPUTED_VALUE"""),1.53)</f>
        <v>1.53</v>
      </c>
    </row>
    <row r="2793">
      <c r="A2793" s="13" t="str">
        <f>IFERROR(__xludf.DUMMYFUNCTION("""COMPUTED_VALUE"""),"товари")</f>
        <v>товари</v>
      </c>
      <c r="B2793" s="16" t="str">
        <f>IFERROR(__xludf.DUMMYFUNCTION("""COMPUTED_VALUE"""),"одяг та взуття")</f>
        <v>одяг та взуття</v>
      </c>
      <c r="C2793" s="16" t="str">
        <f>IFERROR(__xludf.DUMMYFUNCTION("""COMPUTED_VALUE"""),"жіночий одяг")</f>
        <v>жіночий одяг</v>
      </c>
      <c r="D2793" s="16" t="str">
        <f>IFERROR(__xludf.DUMMYFUNCTION("""COMPUTED_VALUE"""),"одяг та білизна для вагітних та годуючих")</f>
        <v>одяг та білизна для вагітних та годуючих</v>
      </c>
      <c r="E2793" s="16" t="str">
        <f>IFERROR(__xludf.DUMMYFUNCTION("""COMPUTED_VALUE"""),"накидки для годування")</f>
        <v>накидки для годування</v>
      </c>
      <c r="F2793" s="17">
        <f>IFERROR(__xludf.DUMMYFUNCTION("""COMPUTED_VALUE"""),4.0)</f>
        <v>4</v>
      </c>
      <c r="G2793" s="17" t="str">
        <f>IFERROR(__xludf.DUMMYFUNCTION("""COMPUTED_VALUE"""),"34507")</f>
        <v>34507</v>
      </c>
      <c r="H2793" s="17" t="str">
        <f>IFERROR(__xludf.DUMMYFUNCTION("""COMPUTED_VALUE"""),"накидки для годування")</f>
        <v>накидки для годування</v>
      </c>
      <c r="I2793" s="19">
        <f>IFERROR(__xludf.DUMMYFUNCTION("""COMPUTED_VALUE"""),0.0776)</f>
        <v>0.0776</v>
      </c>
      <c r="J2793" s="19">
        <f>IFERROR(__xludf.DUMMYFUNCTION("""COMPUTED_VALUE"""),0.1551)</f>
        <v>0.1551</v>
      </c>
      <c r="K2793" s="19">
        <f>IFERROR(__xludf.DUMMYFUNCTION("""COMPUTED_VALUE"""),0.1939)</f>
        <v>0.1939</v>
      </c>
      <c r="L2793" s="19">
        <f>IFERROR(__xludf.DUMMYFUNCTION("""COMPUTED_VALUE"""),0.2327)</f>
        <v>0.2327</v>
      </c>
      <c r="M2793" s="18">
        <f>IFERROR(__xludf.DUMMYFUNCTION("""COMPUTED_VALUE"""),1.05)</f>
        <v>1.05</v>
      </c>
    </row>
    <row r="2794">
      <c r="A2794" s="13" t="str">
        <f>IFERROR(__xludf.DUMMYFUNCTION("""COMPUTED_VALUE"""),"товари")</f>
        <v>товари</v>
      </c>
      <c r="B2794" s="16" t="str">
        <f>IFERROR(__xludf.DUMMYFUNCTION("""COMPUTED_VALUE"""),"одяг та взуття")</f>
        <v>одяг та взуття</v>
      </c>
      <c r="C2794" s="16" t="str">
        <f>IFERROR(__xludf.DUMMYFUNCTION("""COMPUTED_VALUE"""),"жіночий одяг")</f>
        <v>жіночий одяг</v>
      </c>
      <c r="D2794" s="16" t="str">
        <f>IFERROR(__xludf.DUMMYFUNCTION("""COMPUTED_VALUE"""),"одяг та білизна для вагітних та годуючих")</f>
        <v>одяг та білизна для вагітних та годуючих</v>
      </c>
      <c r="E2794" s="16" t="str">
        <f>IFERROR(__xludf.DUMMYFUNCTION("""COMPUTED_VALUE"""),"нижня білизна для вагітних і годуючих")</f>
        <v>нижня білизна для вагітних і годуючих</v>
      </c>
      <c r="F2794" s="17">
        <f>IFERROR(__xludf.DUMMYFUNCTION("""COMPUTED_VALUE"""),4.0)</f>
        <v>4</v>
      </c>
      <c r="G2794" s="17" t="str">
        <f>IFERROR(__xludf.DUMMYFUNCTION("""COMPUTED_VALUE"""),"31210")</f>
        <v>31210</v>
      </c>
      <c r="H2794" s="17" t="str">
        <f>IFERROR(__xludf.DUMMYFUNCTION("""COMPUTED_VALUE"""),"нижня білизна для вагітних і годуючих")</f>
        <v>нижня білизна для вагітних і годуючих</v>
      </c>
      <c r="I2794" s="19">
        <f>IFERROR(__xludf.DUMMYFUNCTION("""COMPUTED_VALUE"""),0.0832)</f>
        <v>0.0832</v>
      </c>
      <c r="J2794" s="19">
        <f>IFERROR(__xludf.DUMMYFUNCTION("""COMPUTED_VALUE"""),0.1664)</f>
        <v>0.1664</v>
      </c>
      <c r="K2794" s="19">
        <f>IFERROR(__xludf.DUMMYFUNCTION("""COMPUTED_VALUE"""),0.208)</f>
        <v>0.208</v>
      </c>
      <c r="L2794" s="19">
        <f>IFERROR(__xludf.DUMMYFUNCTION("""COMPUTED_VALUE"""),0.2496)</f>
        <v>0.2496</v>
      </c>
      <c r="M2794" s="18">
        <f>IFERROR(__xludf.DUMMYFUNCTION("""COMPUTED_VALUE"""),1.05)</f>
        <v>1.05</v>
      </c>
    </row>
    <row r="2795">
      <c r="A2795" s="13" t="str">
        <f>IFERROR(__xludf.DUMMYFUNCTION("""COMPUTED_VALUE"""),"товари")</f>
        <v>товари</v>
      </c>
      <c r="B2795" s="16" t="str">
        <f>IFERROR(__xludf.DUMMYFUNCTION("""COMPUTED_VALUE"""),"одяг та взуття")</f>
        <v>одяг та взуття</v>
      </c>
      <c r="C2795" s="16" t="str">
        <f>IFERROR(__xludf.DUMMYFUNCTION("""COMPUTED_VALUE"""),"жіночий одяг")</f>
        <v>жіночий одяг</v>
      </c>
      <c r="D2795" s="16" t="str">
        <f>IFERROR(__xludf.DUMMYFUNCTION("""COMPUTED_VALUE"""),"одяг та білизна для вагітних та годуючих")</f>
        <v>одяг та білизна для вагітних та годуючих</v>
      </c>
      <c r="E2795" s="16" t="str">
        <f>IFERROR(__xludf.DUMMYFUNCTION("""COMPUTED_VALUE"""),"одяг для вагітних, загальне")</f>
        <v>одяг для вагітних, загальне</v>
      </c>
      <c r="F2795" s="17">
        <f>IFERROR(__xludf.DUMMYFUNCTION("""COMPUTED_VALUE"""),4.0)</f>
        <v>4</v>
      </c>
      <c r="G2795" s="17" t="str">
        <f>IFERROR(__xludf.DUMMYFUNCTION("""COMPUTED_VALUE"""),"3450114")</f>
        <v>3450114</v>
      </c>
      <c r="H2795" s="17" t="str">
        <f>IFERROR(__xludf.DUMMYFUNCTION("""COMPUTED_VALUE"""),"одяг для вагітних, загальне")</f>
        <v>одяг для вагітних, загальне</v>
      </c>
      <c r="I2795" s="19">
        <f>IFERROR(__xludf.DUMMYFUNCTION("""COMPUTED_VALUE"""),0.125)</f>
        <v>0.125</v>
      </c>
      <c r="J2795" s="19">
        <f>IFERROR(__xludf.DUMMYFUNCTION("""COMPUTED_VALUE"""),0.25)</f>
        <v>0.25</v>
      </c>
      <c r="K2795" s="19">
        <f>IFERROR(__xludf.DUMMYFUNCTION("""COMPUTED_VALUE"""),0.3125)</f>
        <v>0.3125</v>
      </c>
      <c r="L2795" s="19">
        <f>IFERROR(__xludf.DUMMYFUNCTION("""COMPUTED_VALUE"""),0.375)</f>
        <v>0.375</v>
      </c>
      <c r="M2795" s="18">
        <f>IFERROR(__xludf.DUMMYFUNCTION("""COMPUTED_VALUE"""),4.33)</f>
        <v>4.33</v>
      </c>
    </row>
    <row r="2796">
      <c r="A2796" s="13" t="str">
        <f>IFERROR(__xludf.DUMMYFUNCTION("""COMPUTED_VALUE"""),"товари")</f>
        <v>товари</v>
      </c>
      <c r="B2796" s="16" t="str">
        <f>IFERROR(__xludf.DUMMYFUNCTION("""COMPUTED_VALUE"""),"одяг та взуття")</f>
        <v>одяг та взуття</v>
      </c>
      <c r="C2796" s="16" t="str">
        <f>IFERROR(__xludf.DUMMYFUNCTION("""COMPUTED_VALUE"""),"дитячий одяг та взуття")</f>
        <v>дитячий одяг та взуття</v>
      </c>
      <c r="D2796" s="16" t="str">
        <f>IFERROR(__xludf.DUMMYFUNCTION("""COMPUTED_VALUE"""),"одяг для дівчаток")</f>
        <v>одяг для дівчаток</v>
      </c>
      <c r="E2796" s="16" t="str">
        <f>IFERROR(__xludf.DUMMYFUNCTION("""COMPUTED_VALUE"""),"одяг для дівчаток, загальне")</f>
        <v>одяг для дівчаток, загальне</v>
      </c>
      <c r="F2796" s="17">
        <f>IFERROR(__xludf.DUMMYFUNCTION("""COMPUTED_VALUE"""),4.0)</f>
        <v>4</v>
      </c>
      <c r="G2796" s="17" t="str">
        <f>IFERROR(__xludf.DUMMYFUNCTION("""COMPUTED_VALUE"""),"3112501")</f>
        <v>3112501</v>
      </c>
      <c r="H2796" s="17" t="str">
        <f>IFERROR(__xludf.DUMMYFUNCTION("""COMPUTED_VALUE"""),"одяг для дівчаток, загальне")</f>
        <v>одяг для дівчаток, загальне</v>
      </c>
      <c r="I2796" s="19">
        <f>IFERROR(__xludf.DUMMYFUNCTION("""COMPUTED_VALUE"""),0.125)</f>
        <v>0.125</v>
      </c>
      <c r="J2796" s="19">
        <f>IFERROR(__xludf.DUMMYFUNCTION("""COMPUTED_VALUE"""),0.25)</f>
        <v>0.25</v>
      </c>
      <c r="K2796" s="19">
        <f>IFERROR(__xludf.DUMMYFUNCTION("""COMPUTED_VALUE"""),0.3125)</f>
        <v>0.3125</v>
      </c>
      <c r="L2796" s="19">
        <f>IFERROR(__xludf.DUMMYFUNCTION("""COMPUTED_VALUE"""),0.375)</f>
        <v>0.375</v>
      </c>
      <c r="M2796" s="18">
        <f>IFERROR(__xludf.DUMMYFUNCTION("""COMPUTED_VALUE"""),4.33)</f>
        <v>4.33</v>
      </c>
    </row>
    <row r="2797">
      <c r="A2797" s="13" t="str">
        <f>IFERROR(__xludf.DUMMYFUNCTION("""COMPUTED_VALUE"""),"товари")</f>
        <v>товари</v>
      </c>
      <c r="B2797" s="16" t="str">
        <f>IFERROR(__xludf.DUMMYFUNCTION("""COMPUTED_VALUE"""),"одяг та взуття")</f>
        <v>одяг та взуття</v>
      </c>
      <c r="C2797" s="16" t="str">
        <f>IFERROR(__xludf.DUMMYFUNCTION("""COMPUTED_VALUE"""),"дитячий одяг та взуття")</f>
        <v>дитячий одяг та взуття</v>
      </c>
      <c r="D2797" s="16" t="str">
        <f>IFERROR(__xludf.DUMMYFUNCTION("""COMPUTED_VALUE"""),"одяг для малюків")</f>
        <v>одяг для малюків</v>
      </c>
      <c r="E2797" s="16" t="str">
        <f>IFERROR(__xludf.DUMMYFUNCTION("""COMPUTED_VALUE"""),"одяг для малюків, загальне")</f>
        <v>одяг для малюків, загальне</v>
      </c>
      <c r="F2797" s="17">
        <f>IFERROR(__xludf.DUMMYFUNCTION("""COMPUTED_VALUE"""),4.0)</f>
        <v>4</v>
      </c>
      <c r="G2797" s="17" t="str">
        <f>IFERROR(__xludf.DUMMYFUNCTION("""COMPUTED_VALUE"""),"31099")</f>
        <v>31099</v>
      </c>
      <c r="H2797" s="17" t="str">
        <f>IFERROR(__xludf.DUMMYFUNCTION("""COMPUTED_VALUE"""),"одяг для малюків, загальне")</f>
        <v>одяг для малюків, загальне</v>
      </c>
      <c r="I2797" s="19">
        <f>IFERROR(__xludf.DUMMYFUNCTION("""COMPUTED_VALUE"""),0.125)</f>
        <v>0.125</v>
      </c>
      <c r="J2797" s="19">
        <f>IFERROR(__xludf.DUMMYFUNCTION("""COMPUTED_VALUE"""),0.25)</f>
        <v>0.25</v>
      </c>
      <c r="K2797" s="19">
        <f>IFERROR(__xludf.DUMMYFUNCTION("""COMPUTED_VALUE"""),0.3125)</f>
        <v>0.3125</v>
      </c>
      <c r="L2797" s="19">
        <f>IFERROR(__xludf.DUMMYFUNCTION("""COMPUTED_VALUE"""),0.375)</f>
        <v>0.375</v>
      </c>
      <c r="M2797" s="18">
        <f>IFERROR(__xludf.DUMMYFUNCTION("""COMPUTED_VALUE"""),4.33)</f>
        <v>4.33</v>
      </c>
    </row>
    <row r="2798">
      <c r="A2798" s="13" t="str">
        <f>IFERROR(__xludf.DUMMYFUNCTION("""COMPUTED_VALUE"""),"товари")</f>
        <v>товари</v>
      </c>
      <c r="B2798" s="16" t="str">
        <f>IFERROR(__xludf.DUMMYFUNCTION("""COMPUTED_VALUE"""),"одяг та взуття")</f>
        <v>одяг та взуття</v>
      </c>
      <c r="C2798" s="16" t="str">
        <f>IFERROR(__xludf.DUMMYFUNCTION("""COMPUTED_VALUE"""),"жіночий одяг")</f>
        <v>жіночий одяг</v>
      </c>
      <c r="D2798" s="16" t="str">
        <f>IFERROR(__xludf.DUMMYFUNCTION("""COMPUTED_VALUE"""),"одяг та білизна для вагітних та годуючих")</f>
        <v>одяг та білизна для вагітних та годуючих</v>
      </c>
      <c r="E2798" s="16" t="str">
        <f>IFERROR(__xludf.DUMMYFUNCTION("""COMPUTED_VALUE"""),"одяг для сну та дому для вагітних і годуючих")</f>
        <v>одяг для сну та дому для вагітних і годуючих</v>
      </c>
      <c r="F2798" s="17">
        <f>IFERROR(__xludf.DUMMYFUNCTION("""COMPUTED_VALUE"""),4.0)</f>
        <v>4</v>
      </c>
      <c r="G2798" s="17" t="str">
        <f>IFERROR(__xludf.DUMMYFUNCTION("""COMPUTED_VALUE"""),"3121001")</f>
        <v>3121001</v>
      </c>
      <c r="H2798" s="17" t="str">
        <f>IFERROR(__xludf.DUMMYFUNCTION("""COMPUTED_VALUE"""),"одяг для сну та дому для вагітних і годуючих")</f>
        <v>одяг для сну та дому для вагітних і годуючих</v>
      </c>
      <c r="I2798" s="19">
        <f>IFERROR(__xludf.DUMMYFUNCTION("""COMPUTED_VALUE"""),0.0795)</f>
        <v>0.0795</v>
      </c>
      <c r="J2798" s="19">
        <f>IFERROR(__xludf.DUMMYFUNCTION("""COMPUTED_VALUE"""),0.1589)</f>
        <v>0.1589</v>
      </c>
      <c r="K2798" s="19">
        <f>IFERROR(__xludf.DUMMYFUNCTION("""COMPUTED_VALUE"""),0.1986)</f>
        <v>0.1986</v>
      </c>
      <c r="L2798" s="19">
        <f>IFERROR(__xludf.DUMMYFUNCTION("""COMPUTED_VALUE"""),0.2384)</f>
        <v>0.2384</v>
      </c>
      <c r="M2798" s="18">
        <f>IFERROR(__xludf.DUMMYFUNCTION("""COMPUTED_VALUE"""),1.05)</f>
        <v>1.05</v>
      </c>
    </row>
    <row r="2799">
      <c r="A2799" s="13" t="str">
        <f>IFERROR(__xludf.DUMMYFUNCTION("""COMPUTED_VALUE"""),"товари")</f>
        <v>товари</v>
      </c>
      <c r="B2799" s="16" t="str">
        <f>IFERROR(__xludf.DUMMYFUNCTION("""COMPUTED_VALUE"""),"одяг та взуття")</f>
        <v>одяг та взуття</v>
      </c>
      <c r="C2799" s="16" t="str">
        <f>IFERROR(__xludf.DUMMYFUNCTION("""COMPUTED_VALUE"""),"дитячий одяг та взуття")</f>
        <v>дитячий одяг та взуття</v>
      </c>
      <c r="D2799" s="16" t="str">
        <f>IFERROR(__xludf.DUMMYFUNCTION("""COMPUTED_VALUE"""),"одяг для хлопчиків")</f>
        <v>одяг для хлопчиків</v>
      </c>
      <c r="E2799" s="16" t="str">
        <f>IFERROR(__xludf.DUMMYFUNCTION("""COMPUTED_VALUE"""),"одяг для хлопчиків, загальне")</f>
        <v>одяг для хлопчиків, загальне</v>
      </c>
      <c r="F2799" s="17">
        <f>IFERROR(__xludf.DUMMYFUNCTION("""COMPUTED_VALUE"""),4.0)</f>
        <v>4</v>
      </c>
      <c r="G2799" s="17" t="str">
        <f>IFERROR(__xludf.DUMMYFUNCTION("""COMPUTED_VALUE"""),"3111710")</f>
        <v>3111710</v>
      </c>
      <c r="H2799" s="17" t="str">
        <f>IFERROR(__xludf.DUMMYFUNCTION("""COMPUTED_VALUE"""),"одяг для хлопчиків, загальне")</f>
        <v>одяг для хлопчиків, загальне</v>
      </c>
      <c r="I2799" s="19">
        <f>IFERROR(__xludf.DUMMYFUNCTION("""COMPUTED_VALUE"""),0.125)</f>
        <v>0.125</v>
      </c>
      <c r="J2799" s="19">
        <f>IFERROR(__xludf.DUMMYFUNCTION("""COMPUTED_VALUE"""),0.25)</f>
        <v>0.25</v>
      </c>
      <c r="K2799" s="19">
        <f>IFERROR(__xludf.DUMMYFUNCTION("""COMPUTED_VALUE"""),0.3125)</f>
        <v>0.3125</v>
      </c>
      <c r="L2799" s="19">
        <f>IFERROR(__xludf.DUMMYFUNCTION("""COMPUTED_VALUE"""),0.375)</f>
        <v>0.375</v>
      </c>
      <c r="M2799" s="18">
        <f>IFERROR(__xludf.DUMMYFUNCTION("""COMPUTED_VALUE"""),4.33)</f>
        <v>4.33</v>
      </c>
    </row>
    <row r="2800">
      <c r="A2800" s="13" t="str">
        <f>IFERROR(__xludf.DUMMYFUNCTION("""COMPUTED_VALUE"""),"товари")</f>
        <v>товари</v>
      </c>
      <c r="B2800" s="16" t="str">
        <f>IFERROR(__xludf.DUMMYFUNCTION("""COMPUTED_VALUE"""),"одяг та взуття")</f>
        <v>одяг та взуття</v>
      </c>
      <c r="C2800" s="16" t="str">
        <f>IFERROR(__xludf.DUMMYFUNCTION("""COMPUTED_VALUE"""),"одяг, взуття, аксесуари, загальне")</f>
        <v>одяг, взуття, аксесуари, загальне</v>
      </c>
      <c r="D2800" s="16" t="str">
        <f>IFERROR(__xludf.DUMMYFUNCTION("""COMPUTED_VALUE"""),"одяг, взуття, аксесуари, загальне")</f>
        <v>одяг, взуття, аксесуари, загальне</v>
      </c>
      <c r="E2800" s="16" t="str">
        <f>IFERROR(__xludf.DUMMYFUNCTION("""COMPUTED_VALUE"""),"одяг, взуття, аксесуари, загальне")</f>
        <v>одяг, взуття, аксесуари, загальне</v>
      </c>
      <c r="F2800" s="17">
        <f>IFERROR(__xludf.DUMMYFUNCTION("""COMPUTED_VALUE"""),2.0)</f>
        <v>2</v>
      </c>
      <c r="G2800" s="17" t="str">
        <f>IFERROR(__xludf.DUMMYFUNCTION("""COMPUTED_VALUE"""),"335")</f>
        <v>335</v>
      </c>
      <c r="H2800" s="17" t="str">
        <f>IFERROR(__xludf.DUMMYFUNCTION("""COMPUTED_VALUE"""),"одяг, взуття, аксесуари, загальне")</f>
        <v>одяг, взуття, аксесуари, загальне</v>
      </c>
      <c r="I2800" s="19">
        <f>IFERROR(__xludf.DUMMYFUNCTION("""COMPUTED_VALUE"""),0.125)</f>
        <v>0.125</v>
      </c>
      <c r="J2800" s="19">
        <f>IFERROR(__xludf.DUMMYFUNCTION("""COMPUTED_VALUE"""),0.25)</f>
        <v>0.25</v>
      </c>
      <c r="K2800" s="19">
        <f>IFERROR(__xludf.DUMMYFUNCTION("""COMPUTED_VALUE"""),0.3125)</f>
        <v>0.3125</v>
      </c>
      <c r="L2800" s="19">
        <f>IFERROR(__xludf.DUMMYFUNCTION("""COMPUTED_VALUE"""),0.375)</f>
        <v>0.375</v>
      </c>
      <c r="M2800" s="18">
        <f>IFERROR(__xludf.DUMMYFUNCTION("""COMPUTED_VALUE"""),4.33)</f>
        <v>4.33</v>
      </c>
    </row>
    <row r="2801">
      <c r="A2801" s="13" t="str">
        <f>IFERROR(__xludf.DUMMYFUNCTION("""COMPUTED_VALUE"""),"товари")</f>
        <v>товари</v>
      </c>
      <c r="B2801" s="16" t="str">
        <f>IFERROR(__xludf.DUMMYFUNCTION("""COMPUTED_VALUE"""),"одяг та взуття")</f>
        <v>одяг та взуття</v>
      </c>
      <c r="C2801" s="16" t="str">
        <f>IFERROR(__xludf.DUMMYFUNCTION("""COMPUTED_VALUE"""),"жіночий одяг")</f>
        <v>жіночий одяг</v>
      </c>
      <c r="D2801" s="16" t="str">
        <f>IFERROR(__xludf.DUMMYFUNCTION("""COMPUTED_VALUE"""),"жіночий одяг для сну та дому ")</f>
        <v>жіночий одяг для сну та дому </v>
      </c>
      <c r="E2801" s="16" t="str">
        <f>IFERROR(__xludf.DUMMYFUNCTION("""COMPUTED_VALUE"""),"пеньюари і нічні сорочки")</f>
        <v>пеньюари і нічні сорочки</v>
      </c>
      <c r="F2801" s="17">
        <f>IFERROR(__xludf.DUMMYFUNCTION("""COMPUTED_VALUE"""),4.0)</f>
        <v>4</v>
      </c>
      <c r="G2801" s="17" t="str">
        <f>IFERROR(__xludf.DUMMYFUNCTION("""COMPUTED_VALUE"""),"31208")</f>
        <v>31208</v>
      </c>
      <c r="H2801" s="17" t="str">
        <f>IFERROR(__xludf.DUMMYFUNCTION("""COMPUTED_VALUE"""),"пеньюари і нічні сорочки")</f>
        <v>пеньюари і нічні сорочки</v>
      </c>
      <c r="I2801" s="19">
        <f>IFERROR(__xludf.DUMMYFUNCTION("""COMPUTED_VALUE"""),0.0953)</f>
        <v>0.0953</v>
      </c>
      <c r="J2801" s="19">
        <f>IFERROR(__xludf.DUMMYFUNCTION("""COMPUTED_VALUE"""),0.1905)</f>
        <v>0.1905</v>
      </c>
      <c r="K2801" s="19">
        <f>IFERROR(__xludf.DUMMYFUNCTION("""COMPUTED_VALUE"""),0.2381)</f>
        <v>0.2381</v>
      </c>
      <c r="L2801" s="19">
        <f>IFERROR(__xludf.DUMMYFUNCTION("""COMPUTED_VALUE"""),0.2858)</f>
        <v>0.2858</v>
      </c>
      <c r="M2801" s="18">
        <f>IFERROR(__xludf.DUMMYFUNCTION("""COMPUTED_VALUE"""),1.8)</f>
        <v>1.8</v>
      </c>
    </row>
    <row r="2802">
      <c r="A2802" s="13" t="str">
        <f>IFERROR(__xludf.DUMMYFUNCTION("""COMPUTED_VALUE"""),"товари")</f>
        <v>товари</v>
      </c>
      <c r="B2802" s="16" t="str">
        <f>IFERROR(__xludf.DUMMYFUNCTION("""COMPUTED_VALUE"""),"одяг та взуття")</f>
        <v>одяг та взуття</v>
      </c>
      <c r="C2802" s="16" t="str">
        <f>IFERROR(__xludf.DUMMYFUNCTION("""COMPUTED_VALUE"""),"дитячий одяг та взуття")</f>
        <v>дитячий одяг та взуття</v>
      </c>
      <c r="D2802" s="16" t="str">
        <f>IFERROR(__xludf.DUMMYFUNCTION("""COMPUTED_VALUE"""),"одяг для хлопчиків")</f>
        <v>одяг для хлопчиків</v>
      </c>
      <c r="E2802" s="16" t="str">
        <f>IFERROR(__xludf.DUMMYFUNCTION("""COMPUTED_VALUE"""),"піджаки для хлопчиків")</f>
        <v>піджаки для хлопчиків</v>
      </c>
      <c r="F2802" s="17">
        <f>IFERROR(__xludf.DUMMYFUNCTION("""COMPUTED_VALUE"""),4.0)</f>
        <v>4</v>
      </c>
      <c r="G2802" s="17" t="str">
        <f>IFERROR(__xludf.DUMMYFUNCTION("""COMPUTED_VALUE"""),"3111714")</f>
        <v>3111714</v>
      </c>
      <c r="H2802" s="17" t="str">
        <f>IFERROR(__xludf.DUMMYFUNCTION("""COMPUTED_VALUE"""),"піджаки для хлопчиків")</f>
        <v>піджаки для хлопчиків</v>
      </c>
      <c r="I2802" s="19">
        <f>IFERROR(__xludf.DUMMYFUNCTION("""COMPUTED_VALUE"""),0.0927)</f>
        <v>0.0927</v>
      </c>
      <c r="J2802" s="19">
        <f>IFERROR(__xludf.DUMMYFUNCTION("""COMPUTED_VALUE"""),0.1853)</f>
        <v>0.1853</v>
      </c>
      <c r="K2802" s="19">
        <f>IFERROR(__xludf.DUMMYFUNCTION("""COMPUTED_VALUE"""),0.2316)</f>
        <v>0.2316</v>
      </c>
      <c r="L2802" s="19">
        <f>IFERROR(__xludf.DUMMYFUNCTION("""COMPUTED_VALUE"""),0.278)</f>
        <v>0.278</v>
      </c>
      <c r="M2802" s="18">
        <f>IFERROR(__xludf.DUMMYFUNCTION("""COMPUTED_VALUE"""),1.53)</f>
        <v>1.53</v>
      </c>
    </row>
    <row r="2803">
      <c r="A2803" s="13" t="str">
        <f>IFERROR(__xludf.DUMMYFUNCTION("""COMPUTED_VALUE"""),"товари")</f>
        <v>товари</v>
      </c>
      <c r="B2803" s="16" t="str">
        <f>IFERROR(__xludf.DUMMYFUNCTION("""COMPUTED_VALUE"""),"одяг та взуття")</f>
        <v>одяг та взуття</v>
      </c>
      <c r="C2803" s="16" t="str">
        <f>IFERROR(__xludf.DUMMYFUNCTION("""COMPUTED_VALUE"""),"дитячий одяг та взуття")</f>
        <v>дитячий одяг та взуття</v>
      </c>
      <c r="D2803" s="16" t="str">
        <f>IFERROR(__xludf.DUMMYFUNCTION("""COMPUTED_VALUE"""),"одяг для дівчаток")</f>
        <v>одяг для дівчаток</v>
      </c>
      <c r="E2803" s="16" t="str">
        <f>IFERROR(__xludf.DUMMYFUNCTION("""COMPUTED_VALUE"""),"піджаки і болеро для дівчаток")</f>
        <v>піджаки і болеро для дівчаток</v>
      </c>
      <c r="F2803" s="17">
        <f>IFERROR(__xludf.DUMMYFUNCTION("""COMPUTED_VALUE"""),4.0)</f>
        <v>4</v>
      </c>
      <c r="G2803" s="17" t="str">
        <f>IFERROR(__xludf.DUMMYFUNCTION("""COMPUTED_VALUE"""),"33403")</f>
        <v>33403</v>
      </c>
      <c r="H2803" s="17" t="str">
        <f>IFERROR(__xludf.DUMMYFUNCTION("""COMPUTED_VALUE"""),"піджаки і болеро для дівчаток")</f>
        <v>піджаки і болеро для дівчаток</v>
      </c>
      <c r="I2803" s="19">
        <f>IFERROR(__xludf.DUMMYFUNCTION("""COMPUTED_VALUE"""),0.0927)</f>
        <v>0.0927</v>
      </c>
      <c r="J2803" s="19">
        <f>IFERROR(__xludf.DUMMYFUNCTION("""COMPUTED_VALUE"""),0.1853)</f>
        <v>0.1853</v>
      </c>
      <c r="K2803" s="19">
        <f>IFERROR(__xludf.DUMMYFUNCTION("""COMPUTED_VALUE"""),0.2316)</f>
        <v>0.2316</v>
      </c>
      <c r="L2803" s="19">
        <f>IFERROR(__xludf.DUMMYFUNCTION("""COMPUTED_VALUE"""),0.278)</f>
        <v>0.278</v>
      </c>
      <c r="M2803" s="18">
        <f>IFERROR(__xludf.DUMMYFUNCTION("""COMPUTED_VALUE"""),1.63)</f>
        <v>1.63</v>
      </c>
    </row>
    <row r="2804">
      <c r="A2804" s="13" t="str">
        <f>IFERROR(__xludf.DUMMYFUNCTION("""COMPUTED_VALUE"""),"товари")</f>
        <v>товари</v>
      </c>
      <c r="B2804" s="16" t="str">
        <f>IFERROR(__xludf.DUMMYFUNCTION("""COMPUTED_VALUE"""),"одяг та взуття")</f>
        <v>одяг та взуття</v>
      </c>
      <c r="C2804" s="16" t="str">
        <f>IFERROR(__xludf.DUMMYFUNCTION("""COMPUTED_VALUE"""),"жіночий одяг")</f>
        <v>жіночий одяг</v>
      </c>
      <c r="D2804" s="16" t="str">
        <f>IFERROR(__xludf.DUMMYFUNCTION("""COMPUTED_VALUE"""),"пляжний одяг і парео")</f>
        <v>пляжний одяг і парео</v>
      </c>
      <c r="E2804" s="16" t="str">
        <f>IFERROR(__xludf.DUMMYFUNCTION("""COMPUTED_VALUE"""),"пляжний одяг і парео")</f>
        <v>пляжний одяг і парео</v>
      </c>
      <c r="F2804" s="17">
        <f>IFERROR(__xludf.DUMMYFUNCTION("""COMPUTED_VALUE"""),3.0)</f>
        <v>3</v>
      </c>
      <c r="G2804" s="17" t="str">
        <f>IFERROR(__xludf.DUMMYFUNCTION("""COMPUTED_VALUE"""),"32508")</f>
        <v>32508</v>
      </c>
      <c r="H2804" s="17" t="str">
        <f>IFERROR(__xludf.DUMMYFUNCTION("""COMPUTED_VALUE"""),"пляжний одяг і парео")</f>
        <v>пляжний одяг і парео</v>
      </c>
      <c r="I2804" s="19">
        <f>IFERROR(__xludf.DUMMYFUNCTION("""COMPUTED_VALUE"""),0.0988)</f>
        <v>0.0988</v>
      </c>
      <c r="J2804" s="19">
        <f>IFERROR(__xludf.DUMMYFUNCTION("""COMPUTED_VALUE"""),0.1975)</f>
        <v>0.1975</v>
      </c>
      <c r="K2804" s="19">
        <f>IFERROR(__xludf.DUMMYFUNCTION("""COMPUTED_VALUE"""),0.2469)</f>
        <v>0.2469</v>
      </c>
      <c r="L2804" s="19">
        <f>IFERROR(__xludf.DUMMYFUNCTION("""COMPUTED_VALUE"""),0.2963)</f>
        <v>0.2963</v>
      </c>
      <c r="M2804" s="18">
        <f>IFERROR(__xludf.DUMMYFUNCTION("""COMPUTED_VALUE"""),1.05)</f>
        <v>1.05</v>
      </c>
    </row>
    <row r="2805">
      <c r="A2805" s="13" t="str">
        <f>IFERROR(__xludf.DUMMYFUNCTION("""COMPUTED_VALUE"""),"товари")</f>
        <v>товари</v>
      </c>
      <c r="B2805" s="16" t="str">
        <f>IFERROR(__xludf.DUMMYFUNCTION("""COMPUTED_VALUE"""),"одяг та взуття")</f>
        <v>одяг та взуття</v>
      </c>
      <c r="C2805" s="16" t="str">
        <f>IFERROR(__xludf.DUMMYFUNCTION("""COMPUTED_VALUE"""),"дитячий одяг та взуття")</f>
        <v>дитячий одяг та взуття</v>
      </c>
      <c r="D2805" s="16" t="str">
        <f>IFERROR(__xludf.DUMMYFUNCTION("""COMPUTED_VALUE"""),"одяг для малюків")</f>
        <v>одяг для малюків</v>
      </c>
      <c r="E2805" s="16" t="str">
        <f>IFERROR(__xludf.DUMMYFUNCTION("""COMPUTED_VALUE"""),"повзунки і штани для новонароджених")</f>
        <v>повзунки і штани для новонароджених</v>
      </c>
      <c r="F2805" s="17">
        <f>IFERROR(__xludf.DUMMYFUNCTION("""COMPUTED_VALUE"""),4.0)</f>
        <v>4</v>
      </c>
      <c r="G2805" s="17" t="str">
        <f>IFERROR(__xludf.DUMMYFUNCTION("""COMPUTED_VALUE"""),"31012")</f>
        <v>31012</v>
      </c>
      <c r="H2805" s="17" t="str">
        <f>IFERROR(__xludf.DUMMYFUNCTION("""COMPUTED_VALUE"""),"повзунки і штани для новонароджених")</f>
        <v>повзунки і штани для новонароджених</v>
      </c>
      <c r="I2805" s="19">
        <f>IFERROR(__xludf.DUMMYFUNCTION("""COMPUTED_VALUE"""),0.0931)</f>
        <v>0.0931</v>
      </c>
      <c r="J2805" s="19">
        <f>IFERROR(__xludf.DUMMYFUNCTION("""COMPUTED_VALUE"""),0.1861)</f>
        <v>0.1861</v>
      </c>
      <c r="K2805" s="19">
        <f>IFERROR(__xludf.DUMMYFUNCTION("""COMPUTED_VALUE"""),0.2326)</f>
        <v>0.2326</v>
      </c>
      <c r="L2805" s="19">
        <f>IFERROR(__xludf.DUMMYFUNCTION("""COMPUTED_VALUE"""),0.2792)</f>
        <v>0.2792</v>
      </c>
      <c r="M2805" s="18">
        <f>IFERROR(__xludf.DUMMYFUNCTION("""COMPUTED_VALUE"""),1.44)</f>
        <v>1.44</v>
      </c>
    </row>
    <row r="2806">
      <c r="A2806" s="13" t="str">
        <f>IFERROR(__xludf.DUMMYFUNCTION("""COMPUTED_VALUE"""),"товари")</f>
        <v>товари</v>
      </c>
      <c r="B2806" s="16" t="str">
        <f>IFERROR(__xludf.DUMMYFUNCTION("""COMPUTED_VALUE"""),"одяг та взуття")</f>
        <v>одяг та взуття</v>
      </c>
      <c r="C2806" s="16" t="str">
        <f>IFERROR(__xludf.DUMMYFUNCTION("""COMPUTED_VALUE"""),"жіночий одяг")</f>
        <v>жіночий одяг</v>
      </c>
      <c r="D2806" s="16" t="str">
        <f>IFERROR(__xludf.DUMMYFUNCTION("""COMPUTED_VALUE"""),"одяг та білизна для вагітних та годуючих")</f>
        <v>одяг та білизна для вагітних та годуючих</v>
      </c>
      <c r="E2806" s="16" t="str">
        <f>IFERROR(__xludf.DUMMYFUNCTION("""COMPUTED_VALUE"""),"светри і толстовки для вагітних та годуючих")</f>
        <v>светри і толстовки для вагітних та годуючих</v>
      </c>
      <c r="F2806" s="17">
        <f>IFERROR(__xludf.DUMMYFUNCTION("""COMPUTED_VALUE"""),4.0)</f>
        <v>4</v>
      </c>
      <c r="G2806" s="17" t="str">
        <f>IFERROR(__xludf.DUMMYFUNCTION("""COMPUTED_VALUE"""),"3450110")</f>
        <v>3450110</v>
      </c>
      <c r="H2806" s="17" t="str">
        <f>IFERROR(__xludf.DUMMYFUNCTION("""COMPUTED_VALUE"""),"светри і толстовки для вагітних та годуючих")</f>
        <v>светри і толстовки для вагітних та годуючих</v>
      </c>
      <c r="I2806" s="19">
        <f>IFERROR(__xludf.DUMMYFUNCTION("""COMPUTED_VALUE"""),0.0795)</f>
        <v>0.0795</v>
      </c>
      <c r="J2806" s="19">
        <f>IFERROR(__xludf.DUMMYFUNCTION("""COMPUTED_VALUE"""),0.1589)</f>
        <v>0.1589</v>
      </c>
      <c r="K2806" s="19">
        <f>IFERROR(__xludf.DUMMYFUNCTION("""COMPUTED_VALUE"""),0.1986)</f>
        <v>0.1986</v>
      </c>
      <c r="L2806" s="19">
        <f>IFERROR(__xludf.DUMMYFUNCTION("""COMPUTED_VALUE"""),0.2384)</f>
        <v>0.2384</v>
      </c>
      <c r="M2806" s="18">
        <f>IFERROR(__xludf.DUMMYFUNCTION("""COMPUTED_VALUE"""),1.05)</f>
        <v>1.05</v>
      </c>
    </row>
    <row r="2807">
      <c r="A2807" s="13" t="str">
        <f>IFERROR(__xludf.DUMMYFUNCTION("""COMPUTED_VALUE"""),"товари")</f>
        <v>товари</v>
      </c>
      <c r="B2807" s="16" t="str">
        <f>IFERROR(__xludf.DUMMYFUNCTION("""COMPUTED_VALUE"""),"одяг та взуття")</f>
        <v>одяг та взуття</v>
      </c>
      <c r="C2807" s="16" t="str">
        <f>IFERROR(__xludf.DUMMYFUNCTION("""COMPUTED_VALUE"""),"дитячий одяг та взуття")</f>
        <v>дитячий одяг та взуття</v>
      </c>
      <c r="D2807" s="16" t="str">
        <f>IFERROR(__xludf.DUMMYFUNCTION("""COMPUTED_VALUE"""),"одяг для малюків")</f>
        <v>одяг для малюків</v>
      </c>
      <c r="E2807" s="16" t="str">
        <f>IFERROR(__xludf.DUMMYFUNCTION("""COMPUTED_VALUE"""),"сорочечки і сорочки для новонароджених")</f>
        <v>сорочечки і сорочки для новонароджених</v>
      </c>
      <c r="F2807" s="17">
        <f>IFERROR(__xludf.DUMMYFUNCTION("""COMPUTED_VALUE"""),4.0)</f>
        <v>4</v>
      </c>
      <c r="G2807" s="17" t="str">
        <f>IFERROR(__xludf.DUMMYFUNCTION("""COMPUTED_VALUE"""),"31013")</f>
        <v>31013</v>
      </c>
      <c r="H2807" s="17" t="str">
        <f>IFERROR(__xludf.DUMMYFUNCTION("""COMPUTED_VALUE"""),"сорочечки і сорочки для новонароджених")</f>
        <v>сорочечки і сорочки для новонароджених</v>
      </c>
      <c r="I2807" s="19">
        <f>IFERROR(__xludf.DUMMYFUNCTION("""COMPUTED_VALUE"""),0.0931)</f>
        <v>0.0931</v>
      </c>
      <c r="J2807" s="19">
        <f>IFERROR(__xludf.DUMMYFUNCTION("""COMPUTED_VALUE"""),0.1861)</f>
        <v>0.1861</v>
      </c>
      <c r="K2807" s="19">
        <f>IFERROR(__xludf.DUMMYFUNCTION("""COMPUTED_VALUE"""),0.2326)</f>
        <v>0.2326</v>
      </c>
      <c r="L2807" s="19">
        <f>IFERROR(__xludf.DUMMYFUNCTION("""COMPUTED_VALUE"""),0.2792)</f>
        <v>0.2792</v>
      </c>
      <c r="M2807" s="18">
        <f>IFERROR(__xludf.DUMMYFUNCTION("""COMPUTED_VALUE"""),1.44)</f>
        <v>1.44</v>
      </c>
    </row>
    <row r="2808">
      <c r="A2808" s="13" t="str">
        <f>IFERROR(__xludf.DUMMYFUNCTION("""COMPUTED_VALUE"""),"товари")</f>
        <v>товари</v>
      </c>
      <c r="B2808" s="16" t="str">
        <f>IFERROR(__xludf.DUMMYFUNCTION("""COMPUTED_VALUE"""),"одяг та взуття")</f>
        <v>одяг та взуття</v>
      </c>
      <c r="C2808" s="16" t="str">
        <f>IFERROR(__xludf.DUMMYFUNCTION("""COMPUTED_VALUE"""),"дитячий одяг та взуття")</f>
        <v>дитячий одяг та взуття</v>
      </c>
      <c r="D2808" s="16" t="str">
        <f>IFERROR(__xludf.DUMMYFUNCTION("""COMPUTED_VALUE"""),"одяг для хлопчиків")</f>
        <v>одяг для хлопчиків</v>
      </c>
      <c r="E2808" s="16" t="str">
        <f>IFERROR(__xludf.DUMMYFUNCTION("""COMPUTED_VALUE"""),"сорочки для хлопчиків")</f>
        <v>сорочки для хлопчиків</v>
      </c>
      <c r="F2808" s="17">
        <f>IFERROR(__xludf.DUMMYFUNCTION("""COMPUTED_VALUE"""),4.0)</f>
        <v>4</v>
      </c>
      <c r="G2808" s="17" t="str">
        <f>IFERROR(__xludf.DUMMYFUNCTION("""COMPUTED_VALUE"""),"31123")</f>
        <v>31123</v>
      </c>
      <c r="H2808" s="17" t="str">
        <f>IFERROR(__xludf.DUMMYFUNCTION("""COMPUTED_VALUE"""),"сорочки для хлопчиків")</f>
        <v>сорочки для хлопчиків</v>
      </c>
      <c r="I2808" s="19">
        <f>IFERROR(__xludf.DUMMYFUNCTION("""COMPUTED_VALUE"""),0.0927)</f>
        <v>0.0927</v>
      </c>
      <c r="J2808" s="19">
        <f>IFERROR(__xludf.DUMMYFUNCTION("""COMPUTED_VALUE"""),0.1853)</f>
        <v>0.1853</v>
      </c>
      <c r="K2808" s="19">
        <f>IFERROR(__xludf.DUMMYFUNCTION("""COMPUTED_VALUE"""),0.2316)</f>
        <v>0.2316</v>
      </c>
      <c r="L2808" s="19">
        <f>IFERROR(__xludf.DUMMYFUNCTION("""COMPUTED_VALUE"""),0.278)</f>
        <v>0.278</v>
      </c>
      <c r="M2808" s="18">
        <f>IFERROR(__xludf.DUMMYFUNCTION("""COMPUTED_VALUE"""),1.53)</f>
        <v>1.53</v>
      </c>
    </row>
    <row r="2809">
      <c r="A2809" s="13" t="str">
        <f>IFERROR(__xludf.DUMMYFUNCTION("""COMPUTED_VALUE"""),"товари")</f>
        <v>товари</v>
      </c>
      <c r="B2809" s="16" t="str">
        <f>IFERROR(__xludf.DUMMYFUNCTION("""COMPUTED_VALUE"""),"одяг та взуття")</f>
        <v>одяг та взуття</v>
      </c>
      <c r="C2809" s="16" t="str">
        <f>IFERROR(__xludf.DUMMYFUNCTION("""COMPUTED_VALUE"""),"жіночий одяг")</f>
        <v>жіночий одяг</v>
      </c>
      <c r="D2809" s="16" t="str">
        <f>IFERROR(__xludf.DUMMYFUNCTION("""COMPUTED_VALUE"""),"одяг та білизна для вагітних та годуючих")</f>
        <v>одяг та білизна для вагітних та годуючих</v>
      </c>
      <c r="E2809" s="16" t="str">
        <f>IFERROR(__xludf.DUMMYFUNCTION("""COMPUTED_VALUE"""),"спідниці для вагітних")</f>
        <v>спідниці для вагітних</v>
      </c>
      <c r="F2809" s="17">
        <f>IFERROR(__xludf.DUMMYFUNCTION("""COMPUTED_VALUE"""),4.0)</f>
        <v>4</v>
      </c>
      <c r="G2809" s="17" t="str">
        <f>IFERROR(__xludf.DUMMYFUNCTION("""COMPUTED_VALUE"""),"3450103")</f>
        <v>3450103</v>
      </c>
      <c r="H2809" s="17" t="str">
        <f>IFERROR(__xludf.DUMMYFUNCTION("""COMPUTED_VALUE"""),"спідниці для вагітних")</f>
        <v>спідниці для вагітних</v>
      </c>
      <c r="I2809" s="19">
        <f>IFERROR(__xludf.DUMMYFUNCTION("""COMPUTED_VALUE"""),0.0795)</f>
        <v>0.0795</v>
      </c>
      <c r="J2809" s="19">
        <f>IFERROR(__xludf.DUMMYFUNCTION("""COMPUTED_VALUE"""),0.1589)</f>
        <v>0.1589</v>
      </c>
      <c r="K2809" s="19">
        <f>IFERROR(__xludf.DUMMYFUNCTION("""COMPUTED_VALUE"""),0.1986)</f>
        <v>0.1986</v>
      </c>
      <c r="L2809" s="19">
        <f>IFERROR(__xludf.DUMMYFUNCTION("""COMPUTED_VALUE"""),0.2384)</f>
        <v>0.2384</v>
      </c>
      <c r="M2809" s="18">
        <f>IFERROR(__xludf.DUMMYFUNCTION("""COMPUTED_VALUE"""),1.05)</f>
        <v>1.05</v>
      </c>
    </row>
    <row r="2810">
      <c r="A2810" s="13" t="str">
        <f>IFERROR(__xludf.DUMMYFUNCTION("""COMPUTED_VALUE"""),"товари")</f>
        <v>товари</v>
      </c>
      <c r="B2810" s="16" t="str">
        <f>IFERROR(__xludf.DUMMYFUNCTION("""COMPUTED_VALUE"""),"одяг та взуття")</f>
        <v>одяг та взуття</v>
      </c>
      <c r="C2810" s="16" t="str">
        <f>IFERROR(__xludf.DUMMYFUNCTION("""COMPUTED_VALUE"""),"спортивний одяг та взуття")</f>
        <v>спортивний одяг та взуття</v>
      </c>
      <c r="D2810" s="16" t="str">
        <f>IFERROR(__xludf.DUMMYFUNCTION("""COMPUTED_VALUE"""),"спортивний одяг, загальне")</f>
        <v>спортивний одяг, загальне</v>
      </c>
      <c r="E2810" s="16" t="str">
        <f>IFERROR(__xludf.DUMMYFUNCTION("""COMPUTED_VALUE"""),"спортивний одяг, загальне")</f>
        <v>спортивний одяг, загальне</v>
      </c>
      <c r="F2810" s="17">
        <f>IFERROR(__xludf.DUMMYFUNCTION("""COMPUTED_VALUE"""),3.0)</f>
        <v>3</v>
      </c>
      <c r="G2810" s="17" t="str">
        <f>IFERROR(__xludf.DUMMYFUNCTION("""COMPUTED_VALUE"""),"30199")</f>
        <v>30199</v>
      </c>
      <c r="H2810" s="17" t="str">
        <f>IFERROR(__xludf.DUMMYFUNCTION("""COMPUTED_VALUE"""),"спортивний одяг, загальне")</f>
        <v>спортивний одяг, загальне</v>
      </c>
      <c r="I2810" s="19">
        <f>IFERROR(__xludf.DUMMYFUNCTION("""COMPUTED_VALUE"""),0.125)</f>
        <v>0.125</v>
      </c>
      <c r="J2810" s="19">
        <f>IFERROR(__xludf.DUMMYFUNCTION("""COMPUTED_VALUE"""),0.25)</f>
        <v>0.25</v>
      </c>
      <c r="K2810" s="19">
        <f>IFERROR(__xludf.DUMMYFUNCTION("""COMPUTED_VALUE"""),0.3125)</f>
        <v>0.3125</v>
      </c>
      <c r="L2810" s="19">
        <f>IFERROR(__xludf.DUMMYFUNCTION("""COMPUTED_VALUE"""),0.375)</f>
        <v>0.375</v>
      </c>
      <c r="M2810" s="18">
        <f>IFERROR(__xludf.DUMMYFUNCTION("""COMPUTED_VALUE"""),4.33)</f>
        <v>4.33</v>
      </c>
    </row>
    <row r="2811">
      <c r="A2811" s="13" t="str">
        <f>IFERROR(__xludf.DUMMYFUNCTION("""COMPUTED_VALUE"""),"товари")</f>
        <v>товари</v>
      </c>
      <c r="B2811" s="16" t="str">
        <f>IFERROR(__xludf.DUMMYFUNCTION("""COMPUTED_VALUE"""),"одяг та взуття")</f>
        <v>одяг та взуття</v>
      </c>
      <c r="C2811" s="16" t="str">
        <f>IFERROR(__xludf.DUMMYFUNCTION("""COMPUTED_VALUE"""),"спортивний одяг та взуття")</f>
        <v>спортивний одяг та взуття</v>
      </c>
      <c r="D2811" s="16" t="str">
        <f>IFERROR(__xludf.DUMMYFUNCTION("""COMPUTED_VALUE"""),"спортивні костюми")</f>
        <v>спортивні костюми</v>
      </c>
      <c r="E2811" s="16" t="str">
        <f>IFERROR(__xludf.DUMMYFUNCTION("""COMPUTED_VALUE"""),"спортивні костюми")</f>
        <v>спортивні костюми</v>
      </c>
      <c r="F2811" s="17">
        <f>IFERROR(__xludf.DUMMYFUNCTION("""COMPUTED_VALUE"""),3.0)</f>
        <v>3</v>
      </c>
      <c r="G2811" s="17" t="str">
        <f>IFERROR(__xludf.DUMMYFUNCTION("""COMPUTED_VALUE"""),"30107")</f>
        <v>30107</v>
      </c>
      <c r="H2811" s="17" t="str">
        <f>IFERROR(__xludf.DUMMYFUNCTION("""COMPUTED_VALUE"""),"спортивні костюми")</f>
        <v>спортивні костюми</v>
      </c>
      <c r="I2811" s="19">
        <f>IFERROR(__xludf.DUMMYFUNCTION("""COMPUTED_VALUE"""),0.0988)</f>
        <v>0.0988</v>
      </c>
      <c r="J2811" s="19">
        <f>IFERROR(__xludf.DUMMYFUNCTION("""COMPUTED_VALUE"""),0.1975)</f>
        <v>0.1975</v>
      </c>
      <c r="K2811" s="19">
        <f>IFERROR(__xludf.DUMMYFUNCTION("""COMPUTED_VALUE"""),0.2469)</f>
        <v>0.2469</v>
      </c>
      <c r="L2811" s="19">
        <f>IFERROR(__xludf.DUMMYFUNCTION("""COMPUTED_VALUE"""),0.2963)</f>
        <v>0.2963</v>
      </c>
      <c r="M2811" s="18">
        <f>IFERROR(__xludf.DUMMYFUNCTION("""COMPUTED_VALUE"""),1.8)</f>
        <v>1.8</v>
      </c>
    </row>
    <row r="2812">
      <c r="A2812" s="13" t="str">
        <f>IFERROR(__xludf.DUMMYFUNCTION("""COMPUTED_VALUE"""),"товари")</f>
        <v>товари</v>
      </c>
      <c r="B2812" s="16" t="str">
        <f>IFERROR(__xludf.DUMMYFUNCTION("""COMPUTED_VALUE"""),"одяг та взуття")</f>
        <v>одяг та взуття</v>
      </c>
      <c r="C2812" s="16" t="str">
        <f>IFERROR(__xludf.DUMMYFUNCTION("""COMPUTED_VALUE"""),"спортивний одяг та взуття")</f>
        <v>спортивний одяг та взуття</v>
      </c>
      <c r="D2812" s="16" t="str">
        <f>IFERROR(__xludf.DUMMYFUNCTION("""COMPUTED_VALUE"""),"спортивні кофти та светри")</f>
        <v>спортивні кофти та светри</v>
      </c>
      <c r="E2812" s="16" t="str">
        <f>IFERROR(__xludf.DUMMYFUNCTION("""COMPUTED_VALUE"""),"спортивні кофти та светри")</f>
        <v>спортивні кофти та светри</v>
      </c>
      <c r="F2812" s="17">
        <f>IFERROR(__xludf.DUMMYFUNCTION("""COMPUTED_VALUE"""),3.0)</f>
        <v>3</v>
      </c>
      <c r="G2812" s="17" t="str">
        <f>IFERROR(__xludf.DUMMYFUNCTION("""COMPUTED_VALUE"""),"30111")</f>
        <v>30111</v>
      </c>
      <c r="H2812" s="17" t="str">
        <f>IFERROR(__xludf.DUMMYFUNCTION("""COMPUTED_VALUE"""),"спортивні кофти та светри")</f>
        <v>спортивні кофти та светри</v>
      </c>
      <c r="I2812" s="19">
        <f>IFERROR(__xludf.DUMMYFUNCTION("""COMPUTED_VALUE"""),0.0905)</f>
        <v>0.0905</v>
      </c>
      <c r="J2812" s="19">
        <f>IFERROR(__xludf.DUMMYFUNCTION("""COMPUTED_VALUE"""),0.1809)</f>
        <v>0.1809</v>
      </c>
      <c r="K2812" s="19">
        <f>IFERROR(__xludf.DUMMYFUNCTION("""COMPUTED_VALUE"""),0.2261)</f>
        <v>0.2261</v>
      </c>
      <c r="L2812" s="19">
        <f>IFERROR(__xludf.DUMMYFUNCTION("""COMPUTED_VALUE"""),0.2714)</f>
        <v>0.2714</v>
      </c>
      <c r="M2812" s="18">
        <f>IFERROR(__xludf.DUMMYFUNCTION("""COMPUTED_VALUE"""),1.05)</f>
        <v>1.05</v>
      </c>
    </row>
    <row r="2813">
      <c r="A2813" s="13" t="str">
        <f>IFERROR(__xludf.DUMMYFUNCTION("""COMPUTED_VALUE"""),"товари")</f>
        <v>товари</v>
      </c>
      <c r="B2813" s="16" t="str">
        <f>IFERROR(__xludf.DUMMYFUNCTION("""COMPUTED_VALUE"""),"одяг та взуття")</f>
        <v>одяг та взуття</v>
      </c>
      <c r="C2813" s="16" t="str">
        <f>IFERROR(__xludf.DUMMYFUNCTION("""COMPUTED_VALUE"""),"спортивний одяг та взуття")</f>
        <v>спортивний одяг та взуття</v>
      </c>
      <c r="D2813" s="16" t="str">
        <f>IFERROR(__xludf.DUMMYFUNCTION("""COMPUTED_VALUE"""),"спортивні куртки")</f>
        <v>спортивні куртки</v>
      </c>
      <c r="E2813" s="16" t="str">
        <f>IFERROR(__xludf.DUMMYFUNCTION("""COMPUTED_VALUE"""),"спортивні куртки")</f>
        <v>спортивні куртки</v>
      </c>
      <c r="F2813" s="17">
        <f>IFERROR(__xludf.DUMMYFUNCTION("""COMPUTED_VALUE"""),3.0)</f>
        <v>3</v>
      </c>
      <c r="G2813" s="17" t="str">
        <f>IFERROR(__xludf.DUMMYFUNCTION("""COMPUTED_VALUE"""),"34301")</f>
        <v>34301</v>
      </c>
      <c r="H2813" s="17" t="str">
        <f>IFERROR(__xludf.DUMMYFUNCTION("""COMPUTED_VALUE"""),"спортивні куртки")</f>
        <v>спортивні куртки</v>
      </c>
      <c r="I2813" s="19">
        <f>IFERROR(__xludf.DUMMYFUNCTION("""COMPUTED_VALUE"""),0.0913)</f>
        <v>0.0913</v>
      </c>
      <c r="J2813" s="19">
        <f>IFERROR(__xludf.DUMMYFUNCTION("""COMPUTED_VALUE"""),0.1826)</f>
        <v>0.1826</v>
      </c>
      <c r="K2813" s="19">
        <f>IFERROR(__xludf.DUMMYFUNCTION("""COMPUTED_VALUE"""),0.2283)</f>
        <v>0.2283</v>
      </c>
      <c r="L2813" s="19">
        <f>IFERROR(__xludf.DUMMYFUNCTION("""COMPUTED_VALUE"""),0.2739)</f>
        <v>0.2739</v>
      </c>
      <c r="M2813" s="18">
        <f>IFERROR(__xludf.DUMMYFUNCTION("""COMPUTED_VALUE"""),1.05)</f>
        <v>1.05</v>
      </c>
    </row>
    <row r="2814">
      <c r="A2814" s="13" t="str">
        <f>IFERROR(__xludf.DUMMYFUNCTION("""COMPUTED_VALUE"""),"товари")</f>
        <v>товари</v>
      </c>
      <c r="B2814" s="16" t="str">
        <f>IFERROR(__xludf.DUMMYFUNCTION("""COMPUTED_VALUE"""),"одяг та взуття")</f>
        <v>одяг та взуття</v>
      </c>
      <c r="C2814" s="16" t="str">
        <f>IFERROR(__xludf.DUMMYFUNCTION("""COMPUTED_VALUE"""),"спортивний одяг та взуття")</f>
        <v>спортивний одяг та взуття</v>
      </c>
      <c r="D2814" s="16" t="str">
        <f>IFERROR(__xludf.DUMMYFUNCTION("""COMPUTED_VALUE"""),"спортивні футболки та майки")</f>
        <v>спортивні футболки та майки</v>
      </c>
      <c r="E2814" s="16" t="str">
        <f>IFERROR(__xludf.DUMMYFUNCTION("""COMPUTED_VALUE"""),"спортивні футболки та майки")</f>
        <v>спортивні футболки та майки</v>
      </c>
      <c r="F2814" s="17">
        <f>IFERROR(__xludf.DUMMYFUNCTION("""COMPUTED_VALUE"""),3.0)</f>
        <v>3</v>
      </c>
      <c r="G2814" s="17" t="str">
        <f>IFERROR(__xludf.DUMMYFUNCTION("""COMPUTED_VALUE"""),"30104")</f>
        <v>30104</v>
      </c>
      <c r="H2814" s="17" t="str">
        <f>IFERROR(__xludf.DUMMYFUNCTION("""COMPUTED_VALUE"""),"спортивні футболки та майки")</f>
        <v>спортивні футболки та майки</v>
      </c>
      <c r="I2814" s="19">
        <f>IFERROR(__xludf.DUMMYFUNCTION("""COMPUTED_VALUE"""),0.0874)</f>
        <v>0.0874</v>
      </c>
      <c r="J2814" s="19">
        <f>IFERROR(__xludf.DUMMYFUNCTION("""COMPUTED_VALUE"""),0.1748)</f>
        <v>0.1748</v>
      </c>
      <c r="K2814" s="19">
        <f>IFERROR(__xludf.DUMMYFUNCTION("""COMPUTED_VALUE"""),0.2185)</f>
        <v>0.2185</v>
      </c>
      <c r="L2814" s="19">
        <f>IFERROR(__xludf.DUMMYFUNCTION("""COMPUTED_VALUE"""),0.2622)</f>
        <v>0.2622</v>
      </c>
      <c r="M2814" s="18">
        <f>IFERROR(__xludf.DUMMYFUNCTION("""COMPUTED_VALUE"""),1.44)</f>
        <v>1.44</v>
      </c>
    </row>
    <row r="2815">
      <c r="A2815" s="13" t="str">
        <f>IFERROR(__xludf.DUMMYFUNCTION("""COMPUTED_VALUE"""),"товари")</f>
        <v>товари</v>
      </c>
      <c r="B2815" s="16" t="str">
        <f>IFERROR(__xludf.DUMMYFUNCTION("""COMPUTED_VALUE"""),"одяг та взуття")</f>
        <v>одяг та взуття</v>
      </c>
      <c r="C2815" s="16" t="str">
        <f>IFERROR(__xludf.DUMMYFUNCTION("""COMPUTED_VALUE"""),"спортивний одяг та взуття")</f>
        <v>спортивний одяг та взуття</v>
      </c>
      <c r="D2815" s="16" t="str">
        <f>IFERROR(__xludf.DUMMYFUNCTION("""COMPUTED_VALUE"""),"спортивні шкарпетки, гетри")</f>
        <v>спортивні шкарпетки, гетри</v>
      </c>
      <c r="E2815" s="16" t="str">
        <f>IFERROR(__xludf.DUMMYFUNCTION("""COMPUTED_VALUE"""),"спортивні шкарпетки, гетри")</f>
        <v>спортивні шкарпетки, гетри</v>
      </c>
      <c r="F2815" s="17">
        <f>IFERROR(__xludf.DUMMYFUNCTION("""COMPUTED_VALUE"""),3.0)</f>
        <v>3</v>
      </c>
      <c r="G2815" s="17" t="str">
        <f>IFERROR(__xludf.DUMMYFUNCTION("""COMPUTED_VALUE"""),"30110")</f>
        <v>30110</v>
      </c>
      <c r="H2815" s="17" t="str">
        <f>IFERROR(__xludf.DUMMYFUNCTION("""COMPUTED_VALUE"""),"спортивні шкарпетки, гетри")</f>
        <v>спортивні шкарпетки, гетри</v>
      </c>
      <c r="I2815" s="19">
        <f>IFERROR(__xludf.DUMMYFUNCTION("""COMPUTED_VALUE"""),0.0468)</f>
        <v>0.0468</v>
      </c>
      <c r="J2815" s="19">
        <f>IFERROR(__xludf.DUMMYFUNCTION("""COMPUTED_VALUE"""),0.0935)</f>
        <v>0.0935</v>
      </c>
      <c r="K2815" s="19">
        <f>IFERROR(__xludf.DUMMYFUNCTION("""COMPUTED_VALUE"""),0.1169)</f>
        <v>0.1169</v>
      </c>
      <c r="L2815" s="19">
        <f>IFERROR(__xludf.DUMMYFUNCTION("""COMPUTED_VALUE"""),0.1403)</f>
        <v>0.1403</v>
      </c>
      <c r="M2815" s="18">
        <f>IFERROR(__xludf.DUMMYFUNCTION("""COMPUTED_VALUE"""),1.63)</f>
        <v>1.63</v>
      </c>
    </row>
    <row r="2816">
      <c r="A2816" s="13" t="str">
        <f>IFERROR(__xludf.DUMMYFUNCTION("""COMPUTED_VALUE"""),"товари")</f>
        <v>товари</v>
      </c>
      <c r="B2816" s="16" t="str">
        <f>IFERROR(__xludf.DUMMYFUNCTION("""COMPUTED_VALUE"""),"одяг та взуття")</f>
        <v>одяг та взуття</v>
      </c>
      <c r="C2816" s="16" t="str">
        <f>IFERROR(__xludf.DUMMYFUNCTION("""COMPUTED_VALUE"""),"спортивний одяг та взуття")</f>
        <v>спортивний одяг та взуття</v>
      </c>
      <c r="D2816" s="16" t="str">
        <f>IFERROR(__xludf.DUMMYFUNCTION("""COMPUTED_VALUE"""),"спортивні шорти")</f>
        <v>спортивні шорти</v>
      </c>
      <c r="E2816" s="16" t="str">
        <f>IFERROR(__xludf.DUMMYFUNCTION("""COMPUTED_VALUE"""),"спортивні шорти")</f>
        <v>спортивні шорти</v>
      </c>
      <c r="F2816" s="17">
        <f>IFERROR(__xludf.DUMMYFUNCTION("""COMPUTED_VALUE"""),3.0)</f>
        <v>3</v>
      </c>
      <c r="G2816" s="17" t="str">
        <f>IFERROR(__xludf.DUMMYFUNCTION("""COMPUTED_VALUE"""),"30105")</f>
        <v>30105</v>
      </c>
      <c r="H2816" s="17" t="str">
        <f>IFERROR(__xludf.DUMMYFUNCTION("""COMPUTED_VALUE"""),"спортивні шорти")</f>
        <v>спортивні шорти</v>
      </c>
      <c r="I2816" s="19">
        <f>IFERROR(__xludf.DUMMYFUNCTION("""COMPUTED_VALUE"""),0.0913)</f>
        <v>0.0913</v>
      </c>
      <c r="J2816" s="19">
        <f>IFERROR(__xludf.DUMMYFUNCTION("""COMPUTED_VALUE"""),0.1826)</f>
        <v>0.1826</v>
      </c>
      <c r="K2816" s="19">
        <f>IFERROR(__xludf.DUMMYFUNCTION("""COMPUTED_VALUE"""),0.2283)</f>
        <v>0.2283</v>
      </c>
      <c r="L2816" s="19">
        <f>IFERROR(__xludf.DUMMYFUNCTION("""COMPUTED_VALUE"""),0.2739)</f>
        <v>0.2739</v>
      </c>
      <c r="M2816" s="18">
        <f>IFERROR(__xludf.DUMMYFUNCTION("""COMPUTED_VALUE"""),1.71)</f>
        <v>1.71</v>
      </c>
    </row>
    <row r="2817">
      <c r="A2817" s="13" t="str">
        <f>IFERROR(__xludf.DUMMYFUNCTION("""COMPUTED_VALUE"""),"товари")</f>
        <v>товари</v>
      </c>
      <c r="B2817" s="16" t="str">
        <f>IFERROR(__xludf.DUMMYFUNCTION("""COMPUTED_VALUE"""),"одяг та взуття")</f>
        <v>одяг та взуття</v>
      </c>
      <c r="C2817" s="16" t="str">
        <f>IFERROR(__xludf.DUMMYFUNCTION("""COMPUTED_VALUE"""),"спортивний одяг та взуття")</f>
        <v>спортивний одяг та взуття</v>
      </c>
      <c r="D2817" s="16" t="str">
        <f>IFERROR(__xludf.DUMMYFUNCTION("""COMPUTED_VALUE"""),"спортивні штани")</f>
        <v>спортивні штани</v>
      </c>
      <c r="E2817" s="16" t="str">
        <f>IFERROR(__xludf.DUMMYFUNCTION("""COMPUTED_VALUE"""),"спортивні штани")</f>
        <v>спортивні штани</v>
      </c>
      <c r="F2817" s="17">
        <f>IFERROR(__xludf.DUMMYFUNCTION("""COMPUTED_VALUE"""),3.0)</f>
        <v>3</v>
      </c>
      <c r="G2817" s="17" t="str">
        <f>IFERROR(__xludf.DUMMYFUNCTION("""COMPUTED_VALUE"""),"30113")</f>
        <v>30113</v>
      </c>
      <c r="H2817" s="17" t="str">
        <f>IFERROR(__xludf.DUMMYFUNCTION("""COMPUTED_VALUE"""),"спортивні штани")</f>
        <v>спортивні штани</v>
      </c>
      <c r="I2817" s="19">
        <f>IFERROR(__xludf.DUMMYFUNCTION("""COMPUTED_VALUE"""),0.0963)</f>
        <v>0.0963</v>
      </c>
      <c r="J2817" s="19">
        <f>IFERROR(__xludf.DUMMYFUNCTION("""COMPUTED_VALUE"""),0.1925)</f>
        <v>0.1925</v>
      </c>
      <c r="K2817" s="19">
        <f>IFERROR(__xludf.DUMMYFUNCTION("""COMPUTED_VALUE"""),0.2406)</f>
        <v>0.2406</v>
      </c>
      <c r="L2817" s="19">
        <f>IFERROR(__xludf.DUMMYFUNCTION("""COMPUTED_VALUE"""),0.2888)</f>
        <v>0.2888</v>
      </c>
      <c r="M2817" s="18">
        <f>IFERROR(__xludf.DUMMYFUNCTION("""COMPUTED_VALUE"""),1.71)</f>
        <v>1.71</v>
      </c>
    </row>
    <row r="2818">
      <c r="A2818" s="13" t="str">
        <f>IFERROR(__xludf.DUMMYFUNCTION("""COMPUTED_VALUE"""),"товари")</f>
        <v>товари</v>
      </c>
      <c r="B2818" s="16" t="str">
        <f>IFERROR(__xludf.DUMMYFUNCTION("""COMPUTED_VALUE"""),"одяг та взуття")</f>
        <v>одяг та взуття</v>
      </c>
      <c r="C2818" s="16" t="str">
        <f>IFERROR(__xludf.DUMMYFUNCTION("""COMPUTED_VALUE"""),"жіночий одяг")</f>
        <v>жіночий одяг</v>
      </c>
      <c r="D2818" s="16" t="str">
        <f>IFERROR(__xludf.DUMMYFUNCTION("""COMPUTED_VALUE"""),"одяг та білизна для вагітних та годуючих")</f>
        <v>одяг та білизна для вагітних та годуючих</v>
      </c>
      <c r="E2818" s="16" t="str">
        <f>IFERROR(__xludf.DUMMYFUNCTION("""COMPUTED_VALUE"""),"сукні для вагітних і годуючих")</f>
        <v>сукні для вагітних і годуючих</v>
      </c>
      <c r="F2818" s="17">
        <f>IFERROR(__xludf.DUMMYFUNCTION("""COMPUTED_VALUE"""),4.0)</f>
        <v>4</v>
      </c>
      <c r="G2818" s="17" t="str">
        <f>IFERROR(__xludf.DUMMYFUNCTION("""COMPUTED_VALUE"""),"3450101")</f>
        <v>3450101</v>
      </c>
      <c r="H2818" s="17" t="str">
        <f>IFERROR(__xludf.DUMMYFUNCTION("""COMPUTED_VALUE"""),"сукні для вагітних і годуючих")</f>
        <v>сукні для вагітних і годуючих</v>
      </c>
      <c r="I2818" s="19">
        <f>IFERROR(__xludf.DUMMYFUNCTION("""COMPUTED_VALUE"""),0.0795)</f>
        <v>0.0795</v>
      </c>
      <c r="J2818" s="19">
        <f>IFERROR(__xludf.DUMMYFUNCTION("""COMPUTED_VALUE"""),0.1589)</f>
        <v>0.1589</v>
      </c>
      <c r="K2818" s="19">
        <f>IFERROR(__xludf.DUMMYFUNCTION("""COMPUTED_VALUE"""),0.1986)</f>
        <v>0.1986</v>
      </c>
      <c r="L2818" s="19">
        <f>IFERROR(__xludf.DUMMYFUNCTION("""COMPUTED_VALUE"""),0.2384)</f>
        <v>0.2384</v>
      </c>
      <c r="M2818" s="18">
        <f>IFERROR(__xludf.DUMMYFUNCTION("""COMPUTED_VALUE"""),1.05)</f>
        <v>1.05</v>
      </c>
    </row>
    <row r="2819">
      <c r="A2819" s="13" t="str">
        <f>IFERROR(__xludf.DUMMYFUNCTION("""COMPUTED_VALUE"""),"товари")</f>
        <v>товари</v>
      </c>
      <c r="B2819" s="16" t="str">
        <f>IFERROR(__xludf.DUMMYFUNCTION("""COMPUTED_VALUE"""),"одяг та взуття")</f>
        <v>одяг та взуття</v>
      </c>
      <c r="C2819" s="16" t="str">
        <f>IFERROR(__xludf.DUMMYFUNCTION("""COMPUTED_VALUE"""),"дитячий одяг та взуття")</f>
        <v>дитячий одяг та взуття</v>
      </c>
      <c r="D2819" s="16" t="str">
        <f>IFERROR(__xludf.DUMMYFUNCTION("""COMPUTED_VALUE"""),"одяг для дівчаток")</f>
        <v>одяг для дівчаток</v>
      </c>
      <c r="E2819" s="16" t="str">
        <f>IFERROR(__xludf.DUMMYFUNCTION("""COMPUTED_VALUE"""),"сукні та сарафани для дівчаток")</f>
        <v>сукні та сарафани для дівчаток</v>
      </c>
      <c r="F2819" s="17">
        <f>IFERROR(__xludf.DUMMYFUNCTION("""COMPUTED_VALUE"""),4.0)</f>
        <v>4</v>
      </c>
      <c r="G2819" s="17" t="str">
        <f>IFERROR(__xludf.DUMMYFUNCTION("""COMPUTED_VALUE"""),"31110")</f>
        <v>31110</v>
      </c>
      <c r="H2819" s="17" t="str">
        <f>IFERROR(__xludf.DUMMYFUNCTION("""COMPUTED_VALUE"""),"сукні та сарафани для дівчаток")</f>
        <v>сукні та сарафани для дівчаток</v>
      </c>
      <c r="I2819" s="19">
        <f>IFERROR(__xludf.DUMMYFUNCTION("""COMPUTED_VALUE"""),0.0927)</f>
        <v>0.0927</v>
      </c>
      <c r="J2819" s="19">
        <f>IFERROR(__xludf.DUMMYFUNCTION("""COMPUTED_VALUE"""),0.1853)</f>
        <v>0.1853</v>
      </c>
      <c r="K2819" s="19">
        <f>IFERROR(__xludf.DUMMYFUNCTION("""COMPUTED_VALUE"""),0.2316)</f>
        <v>0.2316</v>
      </c>
      <c r="L2819" s="19">
        <f>IFERROR(__xludf.DUMMYFUNCTION("""COMPUTED_VALUE"""),0.278)</f>
        <v>0.278</v>
      </c>
      <c r="M2819" s="18">
        <f>IFERROR(__xludf.DUMMYFUNCTION("""COMPUTED_VALUE"""),1.63)</f>
        <v>1.63</v>
      </c>
    </row>
    <row r="2820">
      <c r="A2820" s="13" t="str">
        <f>IFERROR(__xludf.DUMMYFUNCTION("""COMPUTED_VALUE"""),"товари")</f>
        <v>товари</v>
      </c>
      <c r="B2820" s="16" t="str">
        <f>IFERROR(__xludf.DUMMYFUNCTION("""COMPUTED_VALUE"""),"одяг та взуття")</f>
        <v>одяг та взуття</v>
      </c>
      <c r="C2820" s="16" t="str">
        <f>IFERROR(__xludf.DUMMYFUNCTION("""COMPUTED_VALUE"""),"спортивний одяг та взуття")</f>
        <v>спортивний одяг та взуття</v>
      </c>
      <c r="D2820" s="16" t="str">
        <f>IFERROR(__xludf.DUMMYFUNCTION("""COMPUTED_VALUE"""),"термобілизна")</f>
        <v>термобілизна</v>
      </c>
      <c r="E2820" s="16" t="str">
        <f>IFERROR(__xludf.DUMMYFUNCTION("""COMPUTED_VALUE"""),"термобілизна")</f>
        <v>термобілизна</v>
      </c>
      <c r="F2820" s="17">
        <f>IFERROR(__xludf.DUMMYFUNCTION("""COMPUTED_VALUE"""),3.0)</f>
        <v>3</v>
      </c>
      <c r="G2820" s="17" t="str">
        <f>IFERROR(__xludf.DUMMYFUNCTION("""COMPUTED_VALUE"""),"3120602")</f>
        <v>3120602</v>
      </c>
      <c r="H2820" s="17" t="str">
        <f>IFERROR(__xludf.DUMMYFUNCTION("""COMPUTED_VALUE"""),"термобілизна")</f>
        <v>термобілизна</v>
      </c>
      <c r="I2820" s="19">
        <f>IFERROR(__xludf.DUMMYFUNCTION("""COMPUTED_VALUE"""),0.0934)</f>
        <v>0.0934</v>
      </c>
      <c r="J2820" s="19">
        <f>IFERROR(__xludf.DUMMYFUNCTION("""COMPUTED_VALUE"""),0.1868)</f>
        <v>0.1868</v>
      </c>
      <c r="K2820" s="19">
        <f>IFERROR(__xludf.DUMMYFUNCTION("""COMPUTED_VALUE"""),0.2335)</f>
        <v>0.2335</v>
      </c>
      <c r="L2820" s="19">
        <f>IFERROR(__xludf.DUMMYFUNCTION("""COMPUTED_VALUE"""),0.2802)</f>
        <v>0.2802</v>
      </c>
      <c r="M2820" s="18">
        <f>IFERROR(__xludf.DUMMYFUNCTION("""COMPUTED_VALUE"""),4.2)</f>
        <v>4.2</v>
      </c>
    </row>
    <row r="2821">
      <c r="A2821" s="13" t="str">
        <f>IFERROR(__xludf.DUMMYFUNCTION("""COMPUTED_VALUE"""),"товари")</f>
        <v>товари</v>
      </c>
      <c r="B2821" s="16" t="str">
        <f>IFERROR(__xludf.DUMMYFUNCTION("""COMPUTED_VALUE"""),"одяг та взуття")</f>
        <v>одяг та взуття</v>
      </c>
      <c r="C2821" s="16" t="str">
        <f>IFERROR(__xludf.DUMMYFUNCTION("""COMPUTED_VALUE"""),"дитячий одяг та взуття")</f>
        <v>дитячий одяг та взуття</v>
      </c>
      <c r="D2821" s="16" t="str">
        <f>IFERROR(__xludf.DUMMYFUNCTION("""COMPUTED_VALUE"""),"дитяча білизна і купальники  ")</f>
        <v>дитяча білизна і купальники  </v>
      </c>
      <c r="E2821" s="16" t="str">
        <f>IFERROR(__xludf.DUMMYFUNCTION("""COMPUTED_VALUE"""),"топи і бюстгалтери для дівчаток")</f>
        <v>топи і бюстгалтери для дівчаток</v>
      </c>
      <c r="F2821" s="17">
        <f>IFERROR(__xludf.DUMMYFUNCTION("""COMPUTED_VALUE"""),4.0)</f>
        <v>4</v>
      </c>
      <c r="G2821" s="17" t="str">
        <f>IFERROR(__xludf.DUMMYFUNCTION("""COMPUTED_VALUE"""),"3110807")</f>
        <v>3110807</v>
      </c>
      <c r="H2821" s="17" t="str">
        <f>IFERROR(__xludf.DUMMYFUNCTION("""COMPUTED_VALUE"""),"топи і бюстгалтери для дівчаток")</f>
        <v>топи і бюстгалтери для дівчаток</v>
      </c>
      <c r="I2821" s="19">
        <f>IFERROR(__xludf.DUMMYFUNCTION("""COMPUTED_VALUE"""),0.0892)</f>
        <v>0.0892</v>
      </c>
      <c r="J2821" s="19">
        <f>IFERROR(__xludf.DUMMYFUNCTION("""COMPUTED_VALUE"""),0.1783)</f>
        <v>0.1783</v>
      </c>
      <c r="K2821" s="19">
        <f>IFERROR(__xludf.DUMMYFUNCTION("""COMPUTED_VALUE"""),0.2229)</f>
        <v>0.2229</v>
      </c>
      <c r="L2821" s="19">
        <f>IFERROR(__xludf.DUMMYFUNCTION("""COMPUTED_VALUE"""),0.2675)</f>
        <v>0.2675</v>
      </c>
      <c r="M2821" s="18">
        <f>IFERROR(__xludf.DUMMYFUNCTION("""COMPUTED_VALUE"""),1.51)</f>
        <v>1.51</v>
      </c>
    </row>
    <row r="2822">
      <c r="A2822" s="13" t="str">
        <f>IFERROR(__xludf.DUMMYFUNCTION("""COMPUTED_VALUE"""),"товари")</f>
        <v>товари</v>
      </c>
      <c r="B2822" s="16" t="str">
        <f>IFERROR(__xludf.DUMMYFUNCTION("""COMPUTED_VALUE"""),"одяг та взуття")</f>
        <v>одяг та взуття</v>
      </c>
      <c r="C2822" s="16" t="str">
        <f>IFERROR(__xludf.DUMMYFUNCTION("""COMPUTED_VALUE"""),"взуття")</f>
        <v>взуття</v>
      </c>
      <c r="D2822" s="16" t="str">
        <f>IFERROR(__xludf.DUMMYFUNCTION("""COMPUTED_VALUE"""),"жіноче взуття ")</f>
        <v>жіноче взуття </v>
      </c>
      <c r="E2822" s="16" t="str">
        <f>IFERROR(__xludf.DUMMYFUNCTION("""COMPUTED_VALUE"""),"унти, уггі, сноубутси")</f>
        <v>унти, уггі, сноубутси</v>
      </c>
      <c r="F2822" s="17">
        <f>IFERROR(__xludf.DUMMYFUNCTION("""COMPUTED_VALUE"""),4.0)</f>
        <v>4</v>
      </c>
      <c r="G2822" s="17" t="str">
        <f>IFERROR(__xludf.DUMMYFUNCTION("""COMPUTED_VALUE"""),"3220416")</f>
        <v>3220416</v>
      </c>
      <c r="H2822" s="17" t="str">
        <f>IFERROR(__xludf.DUMMYFUNCTION("""COMPUTED_VALUE"""),"унти, уггі, сноубутси")</f>
        <v>унти, уггі, сноубутси</v>
      </c>
      <c r="I2822" s="19">
        <f>IFERROR(__xludf.DUMMYFUNCTION("""COMPUTED_VALUE"""),0.0887)</f>
        <v>0.0887</v>
      </c>
      <c r="J2822" s="19">
        <f>IFERROR(__xludf.DUMMYFUNCTION("""COMPUTED_VALUE"""),0.1774)</f>
        <v>0.1774</v>
      </c>
      <c r="K2822" s="19">
        <f>IFERROR(__xludf.DUMMYFUNCTION("""COMPUTED_VALUE"""),0.2218)</f>
        <v>0.2218</v>
      </c>
      <c r="L2822" s="19">
        <f>IFERROR(__xludf.DUMMYFUNCTION("""COMPUTED_VALUE"""),0.2661)</f>
        <v>0.2661</v>
      </c>
      <c r="M2822" s="18">
        <f>IFERROR(__xludf.DUMMYFUNCTION("""COMPUTED_VALUE"""),1.05)</f>
        <v>1.05</v>
      </c>
    </row>
    <row r="2823">
      <c r="A2823" s="13" t="str">
        <f>IFERROR(__xludf.DUMMYFUNCTION("""COMPUTED_VALUE"""),"товари")</f>
        <v>товари</v>
      </c>
      <c r="B2823" s="16" t="str">
        <f>IFERROR(__xludf.DUMMYFUNCTION("""COMPUTED_VALUE"""),"одяг та взуття")</f>
        <v>одяг та взуття</v>
      </c>
      <c r="C2823" s="16" t="str">
        <f>IFERROR(__xludf.DUMMYFUNCTION("""COMPUTED_VALUE"""),"аксесуари для взуття")</f>
        <v>аксесуари для взуття</v>
      </c>
      <c r="D2823" s="16" t="str">
        <f>IFERROR(__xludf.DUMMYFUNCTION("""COMPUTED_VALUE"""),"устілки")</f>
        <v>устілки</v>
      </c>
      <c r="E2823" s="16" t="str">
        <f>IFERROR(__xludf.DUMMYFUNCTION("""COMPUTED_VALUE"""),"устілки")</f>
        <v>устілки</v>
      </c>
      <c r="F2823" s="17">
        <f>IFERROR(__xludf.DUMMYFUNCTION("""COMPUTED_VALUE"""),3.0)</f>
        <v>3</v>
      </c>
      <c r="G2823" s="17" t="str">
        <f>IFERROR(__xludf.DUMMYFUNCTION("""COMPUTED_VALUE"""),"3221019")</f>
        <v>3221019</v>
      </c>
      <c r="H2823" s="17" t="str">
        <f>IFERROR(__xludf.DUMMYFUNCTION("""COMPUTED_VALUE"""),"устілки")</f>
        <v>устілки</v>
      </c>
      <c r="I2823" s="19">
        <f>IFERROR(__xludf.DUMMYFUNCTION("""COMPUTED_VALUE"""),0.0763)</f>
        <v>0.0763</v>
      </c>
      <c r="J2823" s="19">
        <f>IFERROR(__xludf.DUMMYFUNCTION("""COMPUTED_VALUE"""),0.1525)</f>
        <v>0.1525</v>
      </c>
      <c r="K2823" s="19">
        <f>IFERROR(__xludf.DUMMYFUNCTION("""COMPUTED_VALUE"""),0.1906)</f>
        <v>0.1906</v>
      </c>
      <c r="L2823" s="19">
        <f>IFERROR(__xludf.DUMMYFUNCTION("""COMPUTED_VALUE"""),0.2288)</f>
        <v>0.2288</v>
      </c>
      <c r="M2823" s="18">
        <f>IFERROR(__xludf.DUMMYFUNCTION("""COMPUTED_VALUE"""),3.06)</f>
        <v>3.06</v>
      </c>
    </row>
    <row r="2824">
      <c r="A2824" s="13" t="str">
        <f>IFERROR(__xludf.DUMMYFUNCTION("""COMPUTED_VALUE"""),"товари")</f>
        <v>товари</v>
      </c>
      <c r="B2824" s="16" t="str">
        <f>IFERROR(__xludf.DUMMYFUNCTION("""COMPUTED_VALUE"""),"одяг та взуття")</f>
        <v>одяг та взуття</v>
      </c>
      <c r="C2824" s="16" t="str">
        <f>IFERROR(__xludf.DUMMYFUNCTION("""COMPUTED_VALUE"""),"аксесуари для взуття")</f>
        <v>аксесуари для взуття</v>
      </c>
      <c r="D2824" s="16" t="str">
        <f>IFERROR(__xludf.DUMMYFUNCTION("""COMPUTED_VALUE"""),"утеплювачі, вкладиші для чобіт")</f>
        <v>утеплювачі, вкладиші для чобіт</v>
      </c>
      <c r="E2824" s="16" t="str">
        <f>IFERROR(__xludf.DUMMYFUNCTION("""COMPUTED_VALUE"""),"утеплювачі, вкладиші для чобіт")</f>
        <v>утеплювачі, вкладиші для чобіт</v>
      </c>
      <c r="F2824" s="17">
        <f>IFERROR(__xludf.DUMMYFUNCTION("""COMPUTED_VALUE"""),3.0)</f>
        <v>3</v>
      </c>
      <c r="G2824" s="17" t="str">
        <f>IFERROR(__xludf.DUMMYFUNCTION("""COMPUTED_VALUE"""),"580305")</f>
        <v>580305</v>
      </c>
      <c r="H2824" s="17" t="str">
        <f>IFERROR(__xludf.DUMMYFUNCTION("""COMPUTED_VALUE"""),"утеплювачі, вкладиші для чобіт")</f>
        <v>утеплювачі, вкладиші для чобіт</v>
      </c>
      <c r="I2824" s="19">
        <f>IFERROR(__xludf.DUMMYFUNCTION("""COMPUTED_VALUE"""),0.0447)</f>
        <v>0.0447</v>
      </c>
      <c r="J2824" s="19">
        <f>IFERROR(__xludf.DUMMYFUNCTION("""COMPUTED_VALUE"""),0.0894)</f>
        <v>0.0894</v>
      </c>
      <c r="K2824" s="19">
        <f>IFERROR(__xludf.DUMMYFUNCTION("""COMPUTED_VALUE"""),0.1118)</f>
        <v>0.1118</v>
      </c>
      <c r="L2824" s="19">
        <f>IFERROR(__xludf.DUMMYFUNCTION("""COMPUTED_VALUE"""),0.1341)</f>
        <v>0.1341</v>
      </c>
      <c r="M2824" s="18">
        <f>IFERROR(__xludf.DUMMYFUNCTION("""COMPUTED_VALUE"""),1.05)</f>
        <v>1.05</v>
      </c>
    </row>
    <row r="2825">
      <c r="A2825" s="13" t="str">
        <f>IFERROR(__xludf.DUMMYFUNCTION("""COMPUTED_VALUE"""),"товари")</f>
        <v>товари</v>
      </c>
      <c r="B2825" s="16" t="str">
        <f>IFERROR(__xludf.DUMMYFUNCTION("""COMPUTED_VALUE"""),"одяг та взуття")</f>
        <v>одяг та взуття</v>
      </c>
      <c r="C2825" s="16" t="str">
        <f>IFERROR(__xludf.DUMMYFUNCTION("""COMPUTED_VALUE"""),"жіночий одяг")</f>
        <v>жіночий одяг</v>
      </c>
      <c r="D2825" s="16" t="str">
        <f>IFERROR(__xludf.DUMMYFUNCTION("""COMPUTED_VALUE"""),"одяг та білизна для вагітних та годуючих")</f>
        <v>одяг та білизна для вагітних та годуючих</v>
      </c>
      <c r="E2825" s="16" t="str">
        <f>IFERROR(__xludf.DUMMYFUNCTION("""COMPUTED_VALUE"""),"футболки та майки для вагітних та годуючих")</f>
        <v>футболки та майки для вагітних та годуючих</v>
      </c>
      <c r="F2825" s="17">
        <f>IFERROR(__xludf.DUMMYFUNCTION("""COMPUTED_VALUE"""),4.0)</f>
        <v>4</v>
      </c>
      <c r="G2825" s="17" t="str">
        <f>IFERROR(__xludf.DUMMYFUNCTION("""COMPUTED_VALUE"""),"3450205")</f>
        <v>3450205</v>
      </c>
      <c r="H2825" s="17" t="str">
        <f>IFERROR(__xludf.DUMMYFUNCTION("""COMPUTED_VALUE"""),"футболки та майки для вагітних та годуючих")</f>
        <v>футболки та майки для вагітних та годуючих</v>
      </c>
      <c r="I2825" s="19">
        <f>IFERROR(__xludf.DUMMYFUNCTION("""COMPUTED_VALUE"""),0.0795)</f>
        <v>0.0795</v>
      </c>
      <c r="J2825" s="19">
        <f>IFERROR(__xludf.DUMMYFUNCTION("""COMPUTED_VALUE"""),0.1589)</f>
        <v>0.1589</v>
      </c>
      <c r="K2825" s="19">
        <f>IFERROR(__xludf.DUMMYFUNCTION("""COMPUTED_VALUE"""),0.1986)</f>
        <v>0.1986</v>
      </c>
      <c r="L2825" s="19">
        <f>IFERROR(__xludf.DUMMYFUNCTION("""COMPUTED_VALUE"""),0.2384)</f>
        <v>0.2384</v>
      </c>
      <c r="M2825" s="18">
        <f>IFERROR(__xludf.DUMMYFUNCTION("""COMPUTED_VALUE"""),1.05)</f>
        <v>1.05</v>
      </c>
    </row>
    <row r="2826">
      <c r="A2826" s="13" t="str">
        <f>IFERROR(__xludf.DUMMYFUNCTION("""COMPUTED_VALUE"""),"товари")</f>
        <v>товари</v>
      </c>
      <c r="B2826" s="16" t="str">
        <f>IFERROR(__xludf.DUMMYFUNCTION("""COMPUTED_VALUE"""),"одяг та взуття")</f>
        <v>одяг та взуття</v>
      </c>
      <c r="C2826" s="16" t="str">
        <f>IFERROR(__xludf.DUMMYFUNCTION("""COMPUTED_VALUE"""),"дитячий одяг та взуття")</f>
        <v>дитячий одяг та взуття</v>
      </c>
      <c r="D2826" s="16" t="str">
        <f>IFERROR(__xludf.DUMMYFUNCTION("""COMPUTED_VALUE"""),"одяг для малюків")</f>
        <v>одяг для малюків</v>
      </c>
      <c r="E2826" s="16" t="str">
        <f>IFERROR(__xludf.DUMMYFUNCTION("""COMPUTED_VALUE"""),"царапки")</f>
        <v>царапки</v>
      </c>
      <c r="F2826" s="17">
        <f>IFERROR(__xludf.DUMMYFUNCTION("""COMPUTED_VALUE"""),4.0)</f>
        <v>4</v>
      </c>
      <c r="G2826" s="17" t="str">
        <f>IFERROR(__xludf.DUMMYFUNCTION("""COMPUTED_VALUE"""),"31015")</f>
        <v>31015</v>
      </c>
      <c r="H2826" s="17" t="str">
        <f>IFERROR(__xludf.DUMMYFUNCTION("""COMPUTED_VALUE"""),"царапки")</f>
        <v>царапки</v>
      </c>
      <c r="I2826" s="19">
        <f>IFERROR(__xludf.DUMMYFUNCTION("""COMPUTED_VALUE"""),0.0931)</f>
        <v>0.0931</v>
      </c>
      <c r="J2826" s="19">
        <f>IFERROR(__xludf.DUMMYFUNCTION("""COMPUTED_VALUE"""),0.1861)</f>
        <v>0.1861</v>
      </c>
      <c r="K2826" s="19">
        <f>IFERROR(__xludf.DUMMYFUNCTION("""COMPUTED_VALUE"""),0.2326)</f>
        <v>0.2326</v>
      </c>
      <c r="L2826" s="19">
        <f>IFERROR(__xludf.DUMMYFUNCTION("""COMPUTED_VALUE"""),0.2792)</f>
        <v>0.2792</v>
      </c>
      <c r="M2826" s="18">
        <f>IFERROR(__xludf.DUMMYFUNCTION("""COMPUTED_VALUE"""),1.44)</f>
        <v>1.44</v>
      </c>
    </row>
    <row r="2827">
      <c r="A2827" s="13" t="str">
        <f>IFERROR(__xludf.DUMMYFUNCTION("""COMPUTED_VALUE"""),"товари")</f>
        <v>товари</v>
      </c>
      <c r="B2827" s="16" t="str">
        <f>IFERROR(__xludf.DUMMYFUNCTION("""COMPUTED_VALUE"""),"одяг та взуття")</f>
        <v>одяг та взуття</v>
      </c>
      <c r="C2827" s="16" t="str">
        <f>IFERROR(__xludf.DUMMYFUNCTION("""COMPUTED_VALUE"""),"чоловічий одяг ")</f>
        <v>чоловічий одяг </v>
      </c>
      <c r="D2827" s="16" t="str">
        <f>IFERROR(__xludf.DUMMYFUNCTION("""COMPUTED_VALUE"""),"чоловіча білизна та купальні плавки")</f>
        <v>чоловіча білизна та купальні плавки</v>
      </c>
      <c r="E2827" s="16" t="str">
        <f>IFERROR(__xludf.DUMMYFUNCTION("""COMPUTED_VALUE"""),"чоловіча білизна і плавки купальні, загальне")</f>
        <v>чоловіча білизна і плавки купальні, загальне</v>
      </c>
      <c r="F2827" s="17">
        <f>IFERROR(__xludf.DUMMYFUNCTION("""COMPUTED_VALUE"""),4.0)</f>
        <v>4</v>
      </c>
      <c r="G2827" s="17" t="str">
        <f>IFERROR(__xludf.DUMMYFUNCTION("""COMPUTED_VALUE"""),"3121207")</f>
        <v>3121207</v>
      </c>
      <c r="H2827" s="17" t="str">
        <f>IFERROR(__xludf.DUMMYFUNCTION("""COMPUTED_VALUE"""),"чоловіча білизна і плавки купальні, загальне")</f>
        <v>чоловіча білизна і плавки купальні, загальне</v>
      </c>
      <c r="I2827" s="19">
        <f>IFERROR(__xludf.DUMMYFUNCTION("""COMPUTED_VALUE"""),0.125)</f>
        <v>0.125</v>
      </c>
      <c r="J2827" s="19">
        <f>IFERROR(__xludf.DUMMYFUNCTION("""COMPUTED_VALUE"""),0.25)</f>
        <v>0.25</v>
      </c>
      <c r="K2827" s="19">
        <f>IFERROR(__xludf.DUMMYFUNCTION("""COMPUTED_VALUE"""),0.3125)</f>
        <v>0.3125</v>
      </c>
      <c r="L2827" s="19">
        <f>IFERROR(__xludf.DUMMYFUNCTION("""COMPUTED_VALUE"""),0.375)</f>
        <v>0.375</v>
      </c>
      <c r="M2827" s="18">
        <f>IFERROR(__xludf.DUMMYFUNCTION("""COMPUTED_VALUE"""),4.33)</f>
        <v>4.33</v>
      </c>
    </row>
    <row r="2828">
      <c r="A2828" s="13" t="str">
        <f>IFERROR(__xludf.DUMMYFUNCTION("""COMPUTED_VALUE"""),"товари")</f>
        <v>товари</v>
      </c>
      <c r="B2828" s="16" t="str">
        <f>IFERROR(__xludf.DUMMYFUNCTION("""COMPUTED_VALUE"""),"одяг та взуття")</f>
        <v>одяг та взуття</v>
      </c>
      <c r="C2828" s="16" t="str">
        <f>IFERROR(__xludf.DUMMYFUNCTION("""COMPUTED_VALUE"""),"взуття")</f>
        <v>взуття</v>
      </c>
      <c r="D2828" s="16" t="str">
        <f>IFERROR(__xludf.DUMMYFUNCTION("""COMPUTED_VALUE"""),"чоловіче взуття ")</f>
        <v>чоловіче взуття </v>
      </c>
      <c r="E2828" s="16" t="str">
        <f>IFERROR(__xludf.DUMMYFUNCTION("""COMPUTED_VALUE"""),"чоловіче взуття, загальне")</f>
        <v>чоловіче взуття, загальне</v>
      </c>
      <c r="F2828" s="17">
        <f>IFERROR(__xludf.DUMMYFUNCTION("""COMPUTED_VALUE"""),4.0)</f>
        <v>4</v>
      </c>
      <c r="G2828" s="17" t="str">
        <f>IFERROR(__xludf.DUMMYFUNCTION("""COMPUTED_VALUE"""),"35809")</f>
        <v>35809</v>
      </c>
      <c r="H2828" s="17" t="str">
        <f>IFERROR(__xludf.DUMMYFUNCTION("""COMPUTED_VALUE"""),"чоловіче взуття, загальне")</f>
        <v>чоловіче взуття, загальне</v>
      </c>
      <c r="I2828" s="19">
        <f>IFERROR(__xludf.DUMMYFUNCTION("""COMPUTED_VALUE"""),0.125)</f>
        <v>0.125</v>
      </c>
      <c r="J2828" s="19">
        <f>IFERROR(__xludf.DUMMYFUNCTION("""COMPUTED_VALUE"""),0.25)</f>
        <v>0.25</v>
      </c>
      <c r="K2828" s="19">
        <f>IFERROR(__xludf.DUMMYFUNCTION("""COMPUTED_VALUE"""),0.3125)</f>
        <v>0.3125</v>
      </c>
      <c r="L2828" s="19">
        <f>IFERROR(__xludf.DUMMYFUNCTION("""COMPUTED_VALUE"""),0.375)</f>
        <v>0.375</v>
      </c>
      <c r="M2828" s="18">
        <f>IFERROR(__xludf.DUMMYFUNCTION("""COMPUTED_VALUE"""),4.33)</f>
        <v>4.33</v>
      </c>
    </row>
    <row r="2829">
      <c r="A2829" s="13" t="str">
        <f>IFERROR(__xludf.DUMMYFUNCTION("""COMPUTED_VALUE"""),"товари")</f>
        <v>товари</v>
      </c>
      <c r="B2829" s="16" t="str">
        <f>IFERROR(__xludf.DUMMYFUNCTION("""COMPUTED_VALUE"""),"одяг та взуття")</f>
        <v>одяг та взуття</v>
      </c>
      <c r="C2829" s="16" t="str">
        <f>IFERROR(__xludf.DUMMYFUNCTION("""COMPUTED_VALUE"""),"взуття")</f>
        <v>взуття</v>
      </c>
      <c r="D2829" s="16" t="str">
        <f>IFERROR(__xludf.DUMMYFUNCTION("""COMPUTED_VALUE"""),"чоловіче взуття ")</f>
        <v>чоловіче взуття </v>
      </c>
      <c r="E2829" s="16" t="str">
        <f>IFERROR(__xludf.DUMMYFUNCTION("""COMPUTED_VALUE"""),"чоловіче ортопедичне взуття ")</f>
        <v>чоловіче ортопедичне взуття </v>
      </c>
      <c r="F2829" s="17">
        <f>IFERROR(__xludf.DUMMYFUNCTION("""COMPUTED_VALUE"""),4.0)</f>
        <v>4</v>
      </c>
      <c r="G2829" s="17" t="str">
        <f>IFERROR(__xludf.DUMMYFUNCTION("""COMPUTED_VALUE"""),"35806")</f>
        <v>35806</v>
      </c>
      <c r="H2829" s="17" t="str">
        <f>IFERROR(__xludf.DUMMYFUNCTION("""COMPUTED_VALUE"""),"чоловіче ортопедичне взуття ")</f>
        <v>чоловіче ортопедичне взуття </v>
      </c>
      <c r="I2829" s="19">
        <f>IFERROR(__xludf.DUMMYFUNCTION("""COMPUTED_VALUE"""),0.0699)</f>
        <v>0.0699</v>
      </c>
      <c r="J2829" s="19">
        <f>IFERROR(__xludf.DUMMYFUNCTION("""COMPUTED_VALUE"""),0.1397)</f>
        <v>0.1397</v>
      </c>
      <c r="K2829" s="19">
        <f>IFERROR(__xludf.DUMMYFUNCTION("""COMPUTED_VALUE"""),0.1746)</f>
        <v>0.1746</v>
      </c>
      <c r="L2829" s="19">
        <f>IFERROR(__xludf.DUMMYFUNCTION("""COMPUTED_VALUE"""),0.2096)</f>
        <v>0.2096</v>
      </c>
      <c r="M2829" s="18">
        <f>IFERROR(__xludf.DUMMYFUNCTION("""COMPUTED_VALUE"""),1.98)</f>
        <v>1.98</v>
      </c>
    </row>
    <row r="2830">
      <c r="A2830" s="13" t="str">
        <f>IFERROR(__xludf.DUMMYFUNCTION("""COMPUTED_VALUE"""),"товари")</f>
        <v>товари</v>
      </c>
      <c r="B2830" s="16" t="str">
        <f>IFERROR(__xludf.DUMMYFUNCTION("""COMPUTED_VALUE"""),"одяг та взуття")</f>
        <v>одяг та взуття</v>
      </c>
      <c r="C2830" s="16" t="str">
        <f>IFERROR(__xludf.DUMMYFUNCTION("""COMPUTED_VALUE"""),"чоловічий одяг ")</f>
        <v>чоловічий одяг </v>
      </c>
      <c r="D2830" s="16" t="str">
        <f>IFERROR(__xludf.DUMMYFUNCTION("""COMPUTED_VALUE"""),"чоловічий верхній одяг ")</f>
        <v>чоловічий верхній одяг </v>
      </c>
      <c r="E2830" s="16" t="str">
        <f>IFERROR(__xludf.DUMMYFUNCTION("""COMPUTED_VALUE"""),"чоловічий верхній одяг, загальне")</f>
        <v>чоловічий верхній одяг, загальне</v>
      </c>
      <c r="F2830" s="17">
        <f>IFERROR(__xludf.DUMMYFUNCTION("""COMPUTED_VALUE"""),4.0)</f>
        <v>4</v>
      </c>
      <c r="G2830" s="17" t="str">
        <f>IFERROR(__xludf.DUMMYFUNCTION("""COMPUTED_VALUE"""),"35504")</f>
        <v>35504</v>
      </c>
      <c r="H2830" s="17" t="str">
        <f>IFERROR(__xludf.DUMMYFUNCTION("""COMPUTED_VALUE"""),"чоловічий верхній одяг, загальне")</f>
        <v>чоловічий верхній одяг, загальне</v>
      </c>
      <c r="I2830" s="19">
        <f>IFERROR(__xludf.DUMMYFUNCTION("""COMPUTED_VALUE"""),0.125)</f>
        <v>0.125</v>
      </c>
      <c r="J2830" s="19">
        <f>IFERROR(__xludf.DUMMYFUNCTION("""COMPUTED_VALUE"""),0.25)</f>
        <v>0.25</v>
      </c>
      <c r="K2830" s="19">
        <f>IFERROR(__xludf.DUMMYFUNCTION("""COMPUTED_VALUE"""),0.3125)</f>
        <v>0.3125</v>
      </c>
      <c r="L2830" s="19">
        <f>IFERROR(__xludf.DUMMYFUNCTION("""COMPUTED_VALUE"""),0.375)</f>
        <v>0.375</v>
      </c>
      <c r="M2830" s="18">
        <f>IFERROR(__xludf.DUMMYFUNCTION("""COMPUTED_VALUE"""),4.33)</f>
        <v>4.33</v>
      </c>
    </row>
    <row r="2831">
      <c r="A2831" s="13" t="str">
        <f>IFERROR(__xludf.DUMMYFUNCTION("""COMPUTED_VALUE"""),"товари")</f>
        <v>товари</v>
      </c>
      <c r="B2831" s="16" t="str">
        <f>IFERROR(__xludf.DUMMYFUNCTION("""COMPUTED_VALUE"""),"одяг та взуття")</f>
        <v>одяг та взуття</v>
      </c>
      <c r="C2831" s="16" t="str">
        <f>IFERROR(__xludf.DUMMYFUNCTION("""COMPUTED_VALUE"""),"чоловічий одяг ")</f>
        <v>чоловічий одяг </v>
      </c>
      <c r="D2831" s="16" t="str">
        <f>IFERROR(__xludf.DUMMYFUNCTION("""COMPUTED_VALUE"""),"чоловічий одяг для сну та дому")</f>
        <v>чоловічий одяг для сну та дому</v>
      </c>
      <c r="E2831" s="16" t="str">
        <f>IFERROR(__xludf.DUMMYFUNCTION("""COMPUTED_VALUE"""),"чоловічий домашній одяг ")</f>
        <v>чоловічий домашній одяг </v>
      </c>
      <c r="F2831" s="17">
        <f>IFERROR(__xludf.DUMMYFUNCTION("""COMPUTED_VALUE"""),4.0)</f>
        <v>4</v>
      </c>
      <c r="G2831" s="17" t="str">
        <f>IFERROR(__xludf.DUMMYFUNCTION("""COMPUTED_VALUE"""),"36608")</f>
        <v>36608</v>
      </c>
      <c r="H2831" s="17" t="str">
        <f>IFERROR(__xludf.DUMMYFUNCTION("""COMPUTED_VALUE"""),"чоловічий домашній одяг ")</f>
        <v>чоловічий домашній одяг </v>
      </c>
      <c r="I2831" s="19">
        <f>IFERROR(__xludf.DUMMYFUNCTION("""COMPUTED_VALUE"""),0.0931)</f>
        <v>0.0931</v>
      </c>
      <c r="J2831" s="19">
        <f>IFERROR(__xludf.DUMMYFUNCTION("""COMPUTED_VALUE"""),0.1861)</f>
        <v>0.1861</v>
      </c>
      <c r="K2831" s="19">
        <f>IFERROR(__xludf.DUMMYFUNCTION("""COMPUTED_VALUE"""),0.2326)</f>
        <v>0.2326</v>
      </c>
      <c r="L2831" s="19">
        <f>IFERROR(__xludf.DUMMYFUNCTION("""COMPUTED_VALUE"""),0.2792)</f>
        <v>0.2792</v>
      </c>
      <c r="M2831" s="18">
        <f>IFERROR(__xludf.DUMMYFUNCTION("""COMPUTED_VALUE"""),2.7)</f>
        <v>2.7</v>
      </c>
    </row>
    <row r="2832">
      <c r="A2832" s="13" t="str">
        <f>IFERROR(__xludf.DUMMYFUNCTION("""COMPUTED_VALUE"""),"товари")</f>
        <v>товари</v>
      </c>
      <c r="B2832" s="16" t="str">
        <f>IFERROR(__xludf.DUMMYFUNCTION("""COMPUTED_VALUE"""),"одяг та взуття")</f>
        <v>одяг та взуття</v>
      </c>
      <c r="C2832" s="16" t="str">
        <f>IFERROR(__xludf.DUMMYFUNCTION("""COMPUTED_VALUE"""),"етнічний одяг")</f>
        <v>етнічний одяг</v>
      </c>
      <c r="D2832" s="16" t="str">
        <f>IFERROR(__xludf.DUMMYFUNCTION("""COMPUTED_VALUE"""),"чоловічий етнічний одяг та взуття ")</f>
        <v>чоловічий етнічний одяг та взуття </v>
      </c>
      <c r="E2832" s="16" t="str">
        <f>IFERROR(__xludf.DUMMYFUNCTION("""COMPUTED_VALUE"""),"чоловічий етнічний одяг та взуття ")</f>
        <v>чоловічий етнічний одяг та взуття </v>
      </c>
      <c r="F2832" s="17">
        <f>IFERROR(__xludf.DUMMYFUNCTION("""COMPUTED_VALUE"""),3.0)</f>
        <v>3</v>
      </c>
      <c r="G2832" s="17" t="str">
        <f>IFERROR(__xludf.DUMMYFUNCTION("""COMPUTED_VALUE"""),"35514")</f>
        <v>35514</v>
      </c>
      <c r="H2832" s="17" t="str">
        <f>IFERROR(__xludf.DUMMYFUNCTION("""COMPUTED_VALUE"""),"чоловічий етнічний одяг та взуття ")</f>
        <v>чоловічий етнічний одяг та взуття </v>
      </c>
      <c r="I2832" s="19">
        <f>IFERROR(__xludf.DUMMYFUNCTION("""COMPUTED_VALUE"""),0.0878)</f>
        <v>0.0878</v>
      </c>
      <c r="J2832" s="19">
        <f>IFERROR(__xludf.DUMMYFUNCTION("""COMPUTED_VALUE"""),0.1756)</f>
        <v>0.1756</v>
      </c>
      <c r="K2832" s="19">
        <f>IFERROR(__xludf.DUMMYFUNCTION("""COMPUTED_VALUE"""),0.2195)</f>
        <v>0.2195</v>
      </c>
      <c r="L2832" s="19">
        <f>IFERROR(__xludf.DUMMYFUNCTION("""COMPUTED_VALUE"""),0.2634)</f>
        <v>0.2634</v>
      </c>
      <c r="M2832" s="18">
        <f>IFERROR(__xludf.DUMMYFUNCTION("""COMPUTED_VALUE"""),1.05)</f>
        <v>1.05</v>
      </c>
    </row>
    <row r="2833">
      <c r="A2833" s="13" t="str">
        <f>IFERROR(__xludf.DUMMYFUNCTION("""COMPUTED_VALUE"""),"товари")</f>
        <v>товари</v>
      </c>
      <c r="B2833" s="16" t="str">
        <f>IFERROR(__xludf.DUMMYFUNCTION("""COMPUTED_VALUE"""),"одяг та взуття")</f>
        <v>одяг та взуття</v>
      </c>
      <c r="C2833" s="16" t="str">
        <f>IFERROR(__xludf.DUMMYFUNCTION("""COMPUTED_VALUE"""),"чоловічий одяг ")</f>
        <v>чоловічий одяг </v>
      </c>
      <c r="D2833" s="16" t="str">
        <f>IFERROR(__xludf.DUMMYFUNCTION("""COMPUTED_VALUE"""),"чоловічий одяг для сну та дому")</f>
        <v>чоловічий одяг для сну та дому</v>
      </c>
      <c r="E2833" s="16" t="str">
        <f>IFERROR(__xludf.DUMMYFUNCTION("""COMPUTED_VALUE"""),"чоловічий одяг для сну та дому, загальне")</f>
        <v>чоловічий одяг для сну та дому, загальне</v>
      </c>
      <c r="F2833" s="17">
        <f>IFERROR(__xludf.DUMMYFUNCTION("""COMPUTED_VALUE"""),4.0)</f>
        <v>4</v>
      </c>
      <c r="G2833" s="17" t="str">
        <f>IFERROR(__xludf.DUMMYFUNCTION("""COMPUTED_VALUE"""),"36612")</f>
        <v>36612</v>
      </c>
      <c r="H2833" s="17" t="str">
        <f>IFERROR(__xludf.DUMMYFUNCTION("""COMPUTED_VALUE"""),"чоловічий одяг для сну та дому, загальне")</f>
        <v>чоловічий одяг для сну та дому, загальне</v>
      </c>
      <c r="I2833" s="19">
        <f>IFERROR(__xludf.DUMMYFUNCTION("""COMPUTED_VALUE"""),0.125)</f>
        <v>0.125</v>
      </c>
      <c r="J2833" s="19">
        <f>IFERROR(__xludf.DUMMYFUNCTION("""COMPUTED_VALUE"""),0.25)</f>
        <v>0.25</v>
      </c>
      <c r="K2833" s="19">
        <f>IFERROR(__xludf.DUMMYFUNCTION("""COMPUTED_VALUE"""),0.3125)</f>
        <v>0.3125</v>
      </c>
      <c r="L2833" s="19">
        <f>IFERROR(__xludf.DUMMYFUNCTION("""COMPUTED_VALUE"""),0.375)</f>
        <v>0.375</v>
      </c>
      <c r="M2833" s="18">
        <f>IFERROR(__xludf.DUMMYFUNCTION("""COMPUTED_VALUE"""),4.33)</f>
        <v>4.33</v>
      </c>
    </row>
    <row r="2834">
      <c r="A2834" s="13" t="str">
        <f>IFERROR(__xludf.DUMMYFUNCTION("""COMPUTED_VALUE"""),"товари")</f>
        <v>товари</v>
      </c>
      <c r="B2834" s="16" t="str">
        <f>IFERROR(__xludf.DUMMYFUNCTION("""COMPUTED_VALUE"""),"одяг та взуття")</f>
        <v>одяг та взуття</v>
      </c>
      <c r="C2834" s="16" t="str">
        <f>IFERROR(__xludf.DUMMYFUNCTION("""COMPUTED_VALUE"""),"чоловічий одяг ")</f>
        <v>чоловічий одяг </v>
      </c>
      <c r="D2834" s="16" t="str">
        <f>IFERROR(__xludf.DUMMYFUNCTION("""COMPUTED_VALUE"""),"чоловічий одяг, загальне")</f>
        <v>чоловічий одяг, загальне</v>
      </c>
      <c r="E2834" s="16" t="str">
        <f>IFERROR(__xludf.DUMMYFUNCTION("""COMPUTED_VALUE"""),"чоловічий одяг, загальне")</f>
        <v>чоловічий одяг, загальне</v>
      </c>
      <c r="F2834" s="17">
        <f>IFERROR(__xludf.DUMMYFUNCTION("""COMPUTED_VALUE"""),3.0)</f>
        <v>3</v>
      </c>
      <c r="G2834" s="17" t="str">
        <f>IFERROR(__xludf.DUMMYFUNCTION("""COMPUTED_VALUE"""),"35510")</f>
        <v>35510</v>
      </c>
      <c r="H2834" s="17" t="str">
        <f>IFERROR(__xludf.DUMMYFUNCTION("""COMPUTED_VALUE"""),"чоловічий одяг, загальне")</f>
        <v>чоловічий одяг, загальне</v>
      </c>
      <c r="I2834" s="19">
        <f>IFERROR(__xludf.DUMMYFUNCTION("""COMPUTED_VALUE"""),0.125)</f>
        <v>0.125</v>
      </c>
      <c r="J2834" s="19">
        <f>IFERROR(__xludf.DUMMYFUNCTION("""COMPUTED_VALUE"""),0.25)</f>
        <v>0.25</v>
      </c>
      <c r="K2834" s="19">
        <f>IFERROR(__xludf.DUMMYFUNCTION("""COMPUTED_VALUE"""),0.3125)</f>
        <v>0.3125</v>
      </c>
      <c r="L2834" s="19">
        <f>IFERROR(__xludf.DUMMYFUNCTION("""COMPUTED_VALUE"""),0.375)</f>
        <v>0.375</v>
      </c>
      <c r="M2834" s="18">
        <f>IFERROR(__xludf.DUMMYFUNCTION("""COMPUTED_VALUE"""),4.33)</f>
        <v>4.33</v>
      </c>
    </row>
    <row r="2835">
      <c r="A2835" s="13" t="str">
        <f>IFERROR(__xludf.DUMMYFUNCTION("""COMPUTED_VALUE"""),"товари")</f>
        <v>товари</v>
      </c>
      <c r="B2835" s="16" t="str">
        <f>IFERROR(__xludf.DUMMYFUNCTION("""COMPUTED_VALUE"""),"одяг та взуття")</f>
        <v>одяг та взуття</v>
      </c>
      <c r="C2835" s="16" t="str">
        <f>IFERROR(__xludf.DUMMYFUNCTION("""COMPUTED_VALUE"""),"чоловічий одяг ")</f>
        <v>чоловічий одяг </v>
      </c>
      <c r="D2835" s="16" t="str">
        <f>IFERROR(__xludf.DUMMYFUNCTION("""COMPUTED_VALUE"""),"чоловічі джинси ")</f>
        <v>чоловічі джинси </v>
      </c>
      <c r="E2835" s="16" t="str">
        <f>IFERROR(__xludf.DUMMYFUNCTION("""COMPUTED_VALUE"""),"чоловічі джинси ")</f>
        <v>чоловічі джинси </v>
      </c>
      <c r="F2835" s="17">
        <f>IFERROR(__xludf.DUMMYFUNCTION("""COMPUTED_VALUE"""),3.0)</f>
        <v>3</v>
      </c>
      <c r="G2835" s="17" t="str">
        <f>IFERROR(__xludf.DUMMYFUNCTION("""COMPUTED_VALUE"""),"35502")</f>
        <v>35502</v>
      </c>
      <c r="H2835" s="17" t="str">
        <f>IFERROR(__xludf.DUMMYFUNCTION("""COMPUTED_VALUE"""),"чоловічі джинси ")</f>
        <v>чоловічі джинси </v>
      </c>
      <c r="I2835" s="19">
        <f>IFERROR(__xludf.DUMMYFUNCTION("""COMPUTED_VALUE"""),0.0931)</f>
        <v>0.0931</v>
      </c>
      <c r="J2835" s="19">
        <f>IFERROR(__xludf.DUMMYFUNCTION("""COMPUTED_VALUE"""),0.1862)</f>
        <v>0.1862</v>
      </c>
      <c r="K2835" s="19">
        <f>IFERROR(__xludf.DUMMYFUNCTION("""COMPUTED_VALUE"""),0.2328)</f>
        <v>0.2328</v>
      </c>
      <c r="L2835" s="19">
        <f>IFERROR(__xludf.DUMMYFUNCTION("""COMPUTED_VALUE"""),0.2793)</f>
        <v>0.2793</v>
      </c>
      <c r="M2835" s="18">
        <f>IFERROR(__xludf.DUMMYFUNCTION("""COMPUTED_VALUE"""),1.05)</f>
        <v>1.05</v>
      </c>
    </row>
    <row r="2836">
      <c r="A2836" s="13" t="str">
        <f>IFERROR(__xludf.DUMMYFUNCTION("""COMPUTED_VALUE"""),"товари")</f>
        <v>товари</v>
      </c>
      <c r="B2836" s="16" t="str">
        <f>IFERROR(__xludf.DUMMYFUNCTION("""COMPUTED_VALUE"""),"одяг та взуття")</f>
        <v>одяг та взуття</v>
      </c>
      <c r="C2836" s="16" t="str">
        <f>IFERROR(__xludf.DUMMYFUNCTION("""COMPUTED_VALUE"""),"взуття")</f>
        <v>взуття</v>
      </c>
      <c r="D2836" s="16" t="str">
        <f>IFERROR(__xludf.DUMMYFUNCTION("""COMPUTED_VALUE"""),"чоловіче взуття ")</f>
        <v>чоловіче взуття </v>
      </c>
      <c r="E2836" s="16" t="str">
        <f>IFERROR(__xludf.DUMMYFUNCTION("""COMPUTED_VALUE"""),"чоловічі домашні капці ")</f>
        <v>чоловічі домашні капці </v>
      </c>
      <c r="F2836" s="17">
        <f>IFERROR(__xludf.DUMMYFUNCTION("""COMPUTED_VALUE"""),4.0)</f>
        <v>4</v>
      </c>
      <c r="G2836" s="17" t="str">
        <f>IFERROR(__xludf.DUMMYFUNCTION("""COMPUTED_VALUE"""),"35805")</f>
        <v>35805</v>
      </c>
      <c r="H2836" s="17" t="str">
        <f>IFERROR(__xludf.DUMMYFUNCTION("""COMPUTED_VALUE"""),"чоловічі домашні капці ")</f>
        <v>чоловічі домашні капці </v>
      </c>
      <c r="I2836" s="19">
        <f>IFERROR(__xludf.DUMMYFUNCTION("""COMPUTED_VALUE"""),0.0883)</f>
        <v>0.0883</v>
      </c>
      <c r="J2836" s="19">
        <f>IFERROR(__xludf.DUMMYFUNCTION("""COMPUTED_VALUE"""),0.1765)</f>
        <v>0.1765</v>
      </c>
      <c r="K2836" s="19">
        <f>IFERROR(__xludf.DUMMYFUNCTION("""COMPUTED_VALUE"""),0.2206)</f>
        <v>0.2206</v>
      </c>
      <c r="L2836" s="19">
        <f>IFERROR(__xludf.DUMMYFUNCTION("""COMPUTED_VALUE"""),0.2648)</f>
        <v>0.2648</v>
      </c>
      <c r="M2836" s="18">
        <f>IFERROR(__xludf.DUMMYFUNCTION("""COMPUTED_VALUE"""),1.98)</f>
        <v>1.98</v>
      </c>
    </row>
    <row r="2837">
      <c r="A2837" s="13" t="str">
        <f>IFERROR(__xludf.DUMMYFUNCTION("""COMPUTED_VALUE"""),"товари")</f>
        <v>товари</v>
      </c>
      <c r="B2837" s="16" t="str">
        <f>IFERROR(__xludf.DUMMYFUNCTION("""COMPUTED_VALUE"""),"одяг та взуття")</f>
        <v>одяг та взуття</v>
      </c>
      <c r="C2837" s="16" t="str">
        <f>IFERROR(__xludf.DUMMYFUNCTION("""COMPUTED_VALUE"""),"чоловічий одяг ")</f>
        <v>чоловічий одяг </v>
      </c>
      <c r="D2837" s="16" t="str">
        <f>IFERROR(__xludf.DUMMYFUNCTION("""COMPUTED_VALUE"""),"чоловічий верхній одяг ")</f>
        <v>чоловічий верхній одяг </v>
      </c>
      <c r="E2837" s="16" t="str">
        <f>IFERROR(__xludf.DUMMYFUNCTION("""COMPUTED_VALUE"""),"чоловічі дублянки та шуби")</f>
        <v>чоловічі дублянки та шуби</v>
      </c>
      <c r="F2837" s="17">
        <f>IFERROR(__xludf.DUMMYFUNCTION("""COMPUTED_VALUE"""),4.0)</f>
        <v>4</v>
      </c>
      <c r="G2837" s="17" t="str">
        <f>IFERROR(__xludf.DUMMYFUNCTION("""COMPUTED_VALUE"""),"3550405")</f>
        <v>3550405</v>
      </c>
      <c r="H2837" s="17" t="str">
        <f>IFERROR(__xludf.DUMMYFUNCTION("""COMPUTED_VALUE"""),"чоловічі дублянки та шуби")</f>
        <v>чоловічі дублянки та шуби</v>
      </c>
      <c r="I2837" s="19">
        <f>IFERROR(__xludf.DUMMYFUNCTION("""COMPUTED_VALUE"""),0.0565)</f>
        <v>0.0565</v>
      </c>
      <c r="J2837" s="19">
        <f>IFERROR(__xludf.DUMMYFUNCTION("""COMPUTED_VALUE"""),0.113)</f>
        <v>0.113</v>
      </c>
      <c r="K2837" s="19">
        <f>IFERROR(__xludf.DUMMYFUNCTION("""COMPUTED_VALUE"""),0.1413)</f>
        <v>0.1413</v>
      </c>
      <c r="L2837" s="19">
        <f>IFERROR(__xludf.DUMMYFUNCTION("""COMPUTED_VALUE"""),0.1695)</f>
        <v>0.1695</v>
      </c>
      <c r="M2837" s="18">
        <f>IFERROR(__xludf.DUMMYFUNCTION("""COMPUTED_VALUE"""),1.71)</f>
        <v>1.71</v>
      </c>
    </row>
    <row r="2838">
      <c r="A2838" s="13" t="str">
        <f>IFERROR(__xludf.DUMMYFUNCTION("""COMPUTED_VALUE"""),"товари")</f>
        <v>товари</v>
      </c>
      <c r="B2838" s="16" t="str">
        <f>IFERROR(__xludf.DUMMYFUNCTION("""COMPUTED_VALUE"""),"одяг та взуття")</f>
        <v>одяг та взуття</v>
      </c>
      <c r="C2838" s="16" t="str">
        <f>IFERROR(__xludf.DUMMYFUNCTION("""COMPUTED_VALUE"""),"чоловічий одяг ")</f>
        <v>чоловічий одяг </v>
      </c>
      <c r="D2838" s="16" t="str">
        <f>IFERROR(__xludf.DUMMYFUNCTION("""COMPUTED_VALUE"""),"чоловічий верхній одяг ")</f>
        <v>чоловічий верхній одяг </v>
      </c>
      <c r="E2838" s="16" t="str">
        <f>IFERROR(__xludf.DUMMYFUNCTION("""COMPUTED_VALUE"""),"чоловічі жилети та безрукавки ")</f>
        <v>чоловічі жилети та безрукавки </v>
      </c>
      <c r="F2838" s="17">
        <f>IFERROR(__xludf.DUMMYFUNCTION("""COMPUTED_VALUE"""),4.0)</f>
        <v>4</v>
      </c>
      <c r="G2838" s="17" t="str">
        <f>IFERROR(__xludf.DUMMYFUNCTION("""COMPUTED_VALUE"""),"35513")</f>
        <v>35513</v>
      </c>
      <c r="H2838" s="17" t="str">
        <f>IFERROR(__xludf.DUMMYFUNCTION("""COMPUTED_VALUE"""),"чоловічі жилети та безрукавки ")</f>
        <v>чоловічі жилети та безрукавки </v>
      </c>
      <c r="I2838" s="19">
        <f>IFERROR(__xludf.DUMMYFUNCTION("""COMPUTED_VALUE"""),0.0887)</f>
        <v>0.0887</v>
      </c>
      <c r="J2838" s="19">
        <f>IFERROR(__xludf.DUMMYFUNCTION("""COMPUTED_VALUE"""),0.1774)</f>
        <v>0.1774</v>
      </c>
      <c r="K2838" s="19">
        <f>IFERROR(__xludf.DUMMYFUNCTION("""COMPUTED_VALUE"""),0.2218)</f>
        <v>0.2218</v>
      </c>
      <c r="L2838" s="19">
        <f>IFERROR(__xludf.DUMMYFUNCTION("""COMPUTED_VALUE"""),0.2661)</f>
        <v>0.2661</v>
      </c>
      <c r="M2838" s="18">
        <f>IFERROR(__xludf.DUMMYFUNCTION("""COMPUTED_VALUE"""),1.71)</f>
        <v>1.71</v>
      </c>
    </row>
    <row r="2839">
      <c r="A2839" s="13" t="str">
        <f>IFERROR(__xludf.DUMMYFUNCTION("""COMPUTED_VALUE"""),"товари")</f>
        <v>товари</v>
      </c>
      <c r="B2839" s="16" t="str">
        <f>IFERROR(__xludf.DUMMYFUNCTION("""COMPUTED_VALUE"""),"одяг та взуття")</f>
        <v>одяг та взуття</v>
      </c>
      <c r="C2839" s="16" t="str">
        <f>IFERROR(__xludf.DUMMYFUNCTION("""COMPUTED_VALUE"""),"карнавальні костюми")</f>
        <v>карнавальні костюми</v>
      </c>
      <c r="D2839" s="16" t="str">
        <f>IFERROR(__xludf.DUMMYFUNCTION("""COMPUTED_VALUE"""),"чоловічі карнавальні костюми ")</f>
        <v>чоловічі карнавальні костюми </v>
      </c>
      <c r="E2839" s="16" t="str">
        <f>IFERROR(__xludf.DUMMYFUNCTION("""COMPUTED_VALUE"""),"чоловічі карнавальні костюми ")</f>
        <v>чоловічі карнавальні костюми </v>
      </c>
      <c r="F2839" s="17">
        <f>IFERROR(__xludf.DUMMYFUNCTION("""COMPUTED_VALUE"""),3.0)</f>
        <v>3</v>
      </c>
      <c r="G2839" s="17" t="str">
        <f>IFERROR(__xludf.DUMMYFUNCTION("""COMPUTED_VALUE"""),"34703")</f>
        <v>34703</v>
      </c>
      <c r="H2839" s="17" t="str">
        <f>IFERROR(__xludf.DUMMYFUNCTION("""COMPUTED_VALUE"""),"чоловічі карнавальні костюми ")</f>
        <v>чоловічі карнавальні костюми </v>
      </c>
      <c r="I2839" s="19">
        <f>IFERROR(__xludf.DUMMYFUNCTION("""COMPUTED_VALUE"""),0.0475)</f>
        <v>0.0475</v>
      </c>
      <c r="J2839" s="19">
        <f>IFERROR(__xludf.DUMMYFUNCTION("""COMPUTED_VALUE"""),0.0949)</f>
        <v>0.0949</v>
      </c>
      <c r="K2839" s="19">
        <f>IFERROR(__xludf.DUMMYFUNCTION("""COMPUTED_VALUE"""),0.1186)</f>
        <v>0.1186</v>
      </c>
      <c r="L2839" s="19">
        <f>IFERROR(__xludf.DUMMYFUNCTION("""COMPUTED_VALUE"""),0.1424)</f>
        <v>0.1424</v>
      </c>
      <c r="M2839" s="18">
        <f>IFERROR(__xludf.DUMMYFUNCTION("""COMPUTED_VALUE"""),3.33)</f>
        <v>3.33</v>
      </c>
    </row>
    <row r="2840">
      <c r="A2840" s="13" t="str">
        <f>IFERROR(__xludf.DUMMYFUNCTION("""COMPUTED_VALUE"""),"товари")</f>
        <v>товари</v>
      </c>
      <c r="B2840" s="16" t="str">
        <f>IFERROR(__xludf.DUMMYFUNCTION("""COMPUTED_VALUE"""),"одяг та взуття")</f>
        <v>одяг та взуття</v>
      </c>
      <c r="C2840" s="16" t="str">
        <f>IFERROR(__xludf.DUMMYFUNCTION("""COMPUTED_VALUE"""),"чоловічий одяг ")</f>
        <v>чоловічий одяг </v>
      </c>
      <c r="D2840" s="16" t="str">
        <f>IFERROR(__xludf.DUMMYFUNCTION("""COMPUTED_VALUE"""),"чоловічі костюми")</f>
        <v>чоловічі костюми</v>
      </c>
      <c r="E2840" s="16" t="str">
        <f>IFERROR(__xludf.DUMMYFUNCTION("""COMPUTED_VALUE"""),"чоловічі костюми")</f>
        <v>чоловічі костюми</v>
      </c>
      <c r="F2840" s="17">
        <f>IFERROR(__xludf.DUMMYFUNCTION("""COMPUTED_VALUE"""),3.0)</f>
        <v>3</v>
      </c>
      <c r="G2840" s="17" t="str">
        <f>IFERROR(__xludf.DUMMYFUNCTION("""COMPUTED_VALUE"""),"32003")</f>
        <v>32003</v>
      </c>
      <c r="H2840" s="17" t="str">
        <f>IFERROR(__xludf.DUMMYFUNCTION("""COMPUTED_VALUE"""),"чоловічі костюми")</f>
        <v>чоловічі костюми</v>
      </c>
      <c r="I2840" s="19">
        <f>IFERROR(__xludf.DUMMYFUNCTION("""COMPUTED_VALUE"""),0.0808)</f>
        <v>0.0808</v>
      </c>
      <c r="J2840" s="19">
        <f>IFERROR(__xludf.DUMMYFUNCTION("""COMPUTED_VALUE"""),0.1616)</f>
        <v>0.1616</v>
      </c>
      <c r="K2840" s="19">
        <f>IFERROR(__xludf.DUMMYFUNCTION("""COMPUTED_VALUE"""),0.202)</f>
        <v>0.202</v>
      </c>
      <c r="L2840" s="19">
        <f>IFERROR(__xludf.DUMMYFUNCTION("""COMPUTED_VALUE"""),0.2424)</f>
        <v>0.2424</v>
      </c>
      <c r="M2840" s="18">
        <f>IFERROR(__xludf.DUMMYFUNCTION("""COMPUTED_VALUE"""),1.8)</f>
        <v>1.8</v>
      </c>
    </row>
    <row r="2841">
      <c r="A2841" s="13" t="str">
        <f>IFERROR(__xludf.DUMMYFUNCTION("""COMPUTED_VALUE"""),"товари")</f>
        <v>товари</v>
      </c>
      <c r="B2841" s="16" t="str">
        <f>IFERROR(__xludf.DUMMYFUNCTION("""COMPUTED_VALUE"""),"одяг та взуття")</f>
        <v>одяг та взуття</v>
      </c>
      <c r="C2841" s="16" t="str">
        <f>IFERROR(__xludf.DUMMYFUNCTION("""COMPUTED_VALUE"""),"чоловічий одяг ")</f>
        <v>чоловічий одяг </v>
      </c>
      <c r="D2841" s="16" t="str">
        <f>IFERROR(__xludf.DUMMYFUNCTION("""COMPUTED_VALUE"""),"чоловіча білизна та купальні плавки")</f>
        <v>чоловіча білизна та купальні плавки</v>
      </c>
      <c r="E2841" s="16" t="str">
        <f>IFERROR(__xludf.DUMMYFUNCTION("""COMPUTED_VALUE"""),"чоловічі купальні плавки ")</f>
        <v>чоловічі купальні плавки </v>
      </c>
      <c r="F2841" s="17">
        <f>IFERROR(__xludf.DUMMYFUNCTION("""COMPUTED_VALUE"""),4.0)</f>
        <v>4</v>
      </c>
      <c r="G2841" s="17" t="str">
        <f>IFERROR(__xludf.DUMMYFUNCTION("""COMPUTED_VALUE"""),"3121201")</f>
        <v>3121201</v>
      </c>
      <c r="H2841" s="17" t="str">
        <f>IFERROR(__xludf.DUMMYFUNCTION("""COMPUTED_VALUE"""),"чоловічі купальні плавки ")</f>
        <v>чоловічі купальні плавки </v>
      </c>
      <c r="I2841" s="19">
        <f>IFERROR(__xludf.DUMMYFUNCTION("""COMPUTED_VALUE"""),0.0944)</f>
        <v>0.0944</v>
      </c>
      <c r="J2841" s="19">
        <f>IFERROR(__xludf.DUMMYFUNCTION("""COMPUTED_VALUE"""),0.1888)</f>
        <v>0.1888</v>
      </c>
      <c r="K2841" s="19">
        <f>IFERROR(__xludf.DUMMYFUNCTION("""COMPUTED_VALUE"""),0.236)</f>
        <v>0.236</v>
      </c>
      <c r="L2841" s="19">
        <f>IFERROR(__xludf.DUMMYFUNCTION("""COMPUTED_VALUE"""),0.2832)</f>
        <v>0.2832</v>
      </c>
      <c r="M2841" s="18">
        <f>IFERROR(__xludf.DUMMYFUNCTION("""COMPUTED_VALUE"""),1.63)</f>
        <v>1.63</v>
      </c>
    </row>
    <row r="2842">
      <c r="A2842" s="13" t="str">
        <f>IFERROR(__xludf.DUMMYFUNCTION("""COMPUTED_VALUE"""),"товари")</f>
        <v>товари</v>
      </c>
      <c r="B2842" s="16" t="str">
        <f>IFERROR(__xludf.DUMMYFUNCTION("""COMPUTED_VALUE"""),"одяг та взуття")</f>
        <v>одяг та взуття</v>
      </c>
      <c r="C2842" s="16" t="str">
        <f>IFERROR(__xludf.DUMMYFUNCTION("""COMPUTED_VALUE"""),"чоловічий одяг ")</f>
        <v>чоловічий одяг </v>
      </c>
      <c r="D2842" s="16" t="str">
        <f>IFERROR(__xludf.DUMMYFUNCTION("""COMPUTED_VALUE"""),"чоловічий верхній одяг ")</f>
        <v>чоловічий верхній одяг </v>
      </c>
      <c r="E2842" s="16" t="str">
        <f>IFERROR(__xludf.DUMMYFUNCTION("""COMPUTED_VALUE"""),"чоловічі куртки ")</f>
        <v>чоловічі куртки </v>
      </c>
      <c r="F2842" s="17">
        <f>IFERROR(__xludf.DUMMYFUNCTION("""COMPUTED_VALUE"""),4.0)</f>
        <v>4</v>
      </c>
      <c r="G2842" s="17" t="str">
        <f>IFERROR(__xludf.DUMMYFUNCTION("""COMPUTED_VALUE"""),"3550402")</f>
        <v>3550402</v>
      </c>
      <c r="H2842" s="17" t="str">
        <f>IFERROR(__xludf.DUMMYFUNCTION("""COMPUTED_VALUE"""),"чоловічі куртки ")</f>
        <v>чоловічі куртки </v>
      </c>
      <c r="I2842" s="19">
        <f>IFERROR(__xludf.DUMMYFUNCTION("""COMPUTED_VALUE"""),0.0847)</f>
        <v>0.0847</v>
      </c>
      <c r="J2842" s="19">
        <f>IFERROR(__xludf.DUMMYFUNCTION("""COMPUTED_VALUE"""),0.1693)</f>
        <v>0.1693</v>
      </c>
      <c r="K2842" s="19">
        <f>IFERROR(__xludf.DUMMYFUNCTION("""COMPUTED_VALUE"""),0.2116)</f>
        <v>0.2116</v>
      </c>
      <c r="L2842" s="19">
        <f>IFERROR(__xludf.DUMMYFUNCTION("""COMPUTED_VALUE"""),0.254)</f>
        <v>0.254</v>
      </c>
      <c r="M2842" s="18">
        <f>IFERROR(__xludf.DUMMYFUNCTION("""COMPUTED_VALUE"""),1.71)</f>
        <v>1.71</v>
      </c>
    </row>
    <row r="2843">
      <c r="A2843" s="13" t="str">
        <f>IFERROR(__xludf.DUMMYFUNCTION("""COMPUTED_VALUE"""),"товари")</f>
        <v>товари</v>
      </c>
      <c r="B2843" s="16" t="str">
        <f>IFERROR(__xludf.DUMMYFUNCTION("""COMPUTED_VALUE"""),"одяг та взуття")</f>
        <v>одяг та взуття</v>
      </c>
      <c r="C2843" s="16" t="str">
        <f>IFERROR(__xludf.DUMMYFUNCTION("""COMPUTED_VALUE"""),"взуття")</f>
        <v>взуття</v>
      </c>
      <c r="D2843" s="16" t="str">
        <f>IFERROR(__xludf.DUMMYFUNCTION("""COMPUTED_VALUE"""),"чоловіче взуття ")</f>
        <v>чоловіче взуття </v>
      </c>
      <c r="E2843" s="16" t="str">
        <f>IFERROR(__xludf.DUMMYFUNCTION("""COMPUTED_VALUE"""),"чоловічі мокасини ")</f>
        <v>чоловічі мокасини </v>
      </c>
      <c r="F2843" s="17">
        <f>IFERROR(__xludf.DUMMYFUNCTION("""COMPUTED_VALUE"""),4.0)</f>
        <v>4</v>
      </c>
      <c r="G2843" s="17" t="str">
        <f>IFERROR(__xludf.DUMMYFUNCTION("""COMPUTED_VALUE"""),"35804")</f>
        <v>35804</v>
      </c>
      <c r="H2843" s="17" t="str">
        <f>IFERROR(__xludf.DUMMYFUNCTION("""COMPUTED_VALUE"""),"чоловічі мокасини ")</f>
        <v>чоловічі мокасини </v>
      </c>
      <c r="I2843" s="19">
        <f>IFERROR(__xludf.DUMMYFUNCTION("""COMPUTED_VALUE"""),0.0883)</f>
        <v>0.0883</v>
      </c>
      <c r="J2843" s="19">
        <f>IFERROR(__xludf.DUMMYFUNCTION("""COMPUTED_VALUE"""),0.1765)</f>
        <v>0.1765</v>
      </c>
      <c r="K2843" s="19">
        <f>IFERROR(__xludf.DUMMYFUNCTION("""COMPUTED_VALUE"""),0.2206)</f>
        <v>0.2206</v>
      </c>
      <c r="L2843" s="19">
        <f>IFERROR(__xludf.DUMMYFUNCTION("""COMPUTED_VALUE"""),0.2648)</f>
        <v>0.2648</v>
      </c>
      <c r="M2843" s="18">
        <f>IFERROR(__xludf.DUMMYFUNCTION("""COMPUTED_VALUE"""),1.98)</f>
        <v>1.98</v>
      </c>
    </row>
    <row r="2844">
      <c r="A2844" s="13" t="str">
        <f>IFERROR(__xludf.DUMMYFUNCTION("""COMPUTED_VALUE"""),"товари")</f>
        <v>товари</v>
      </c>
      <c r="B2844" s="16" t="str">
        <f>IFERROR(__xludf.DUMMYFUNCTION("""COMPUTED_VALUE"""),"одяг та взуття")</f>
        <v>одяг та взуття</v>
      </c>
      <c r="C2844" s="16" t="str">
        <f>IFERROR(__xludf.DUMMYFUNCTION("""COMPUTED_VALUE"""),"чоловічий одяг ")</f>
        <v>чоловічий одяг </v>
      </c>
      <c r="D2844" s="16" t="str">
        <f>IFERROR(__xludf.DUMMYFUNCTION("""COMPUTED_VALUE"""),"чоловічий верхній одяг ")</f>
        <v>чоловічий верхній одяг </v>
      </c>
      <c r="E2844" s="16" t="str">
        <f>IFERROR(__xludf.DUMMYFUNCTION("""COMPUTED_VALUE"""),"чоловічі пальта та плащі")</f>
        <v>чоловічі пальта та плащі</v>
      </c>
      <c r="F2844" s="17">
        <f>IFERROR(__xludf.DUMMYFUNCTION("""COMPUTED_VALUE"""),4.0)</f>
        <v>4</v>
      </c>
      <c r="G2844" s="17" t="str">
        <f>IFERROR(__xludf.DUMMYFUNCTION("""COMPUTED_VALUE"""),"3550401")</f>
        <v>3550401</v>
      </c>
      <c r="H2844" s="17" t="str">
        <f>IFERROR(__xludf.DUMMYFUNCTION("""COMPUTED_VALUE"""),"чоловічі пальта та плащі")</f>
        <v>чоловічі пальта та плащі</v>
      </c>
      <c r="I2844" s="19">
        <f>IFERROR(__xludf.DUMMYFUNCTION("""COMPUTED_VALUE"""),0.084)</f>
        <v>0.084</v>
      </c>
      <c r="J2844" s="19">
        <f>IFERROR(__xludf.DUMMYFUNCTION("""COMPUTED_VALUE"""),0.168)</f>
        <v>0.168</v>
      </c>
      <c r="K2844" s="19">
        <f>IFERROR(__xludf.DUMMYFUNCTION("""COMPUTED_VALUE"""),0.21)</f>
        <v>0.21</v>
      </c>
      <c r="L2844" s="19">
        <f>IFERROR(__xludf.DUMMYFUNCTION("""COMPUTED_VALUE"""),0.252)</f>
        <v>0.252</v>
      </c>
      <c r="M2844" s="18">
        <f>IFERROR(__xludf.DUMMYFUNCTION("""COMPUTED_VALUE"""),1.71)</f>
        <v>1.71</v>
      </c>
    </row>
    <row r="2845">
      <c r="A2845" s="13" t="str">
        <f>IFERROR(__xludf.DUMMYFUNCTION("""COMPUTED_VALUE"""),"товари")</f>
        <v>товари</v>
      </c>
      <c r="B2845" s="16" t="str">
        <f>IFERROR(__xludf.DUMMYFUNCTION("""COMPUTED_VALUE"""),"одяг та взуття")</f>
        <v>одяг та взуття</v>
      </c>
      <c r="C2845" s="16" t="str">
        <f>IFERROR(__xludf.DUMMYFUNCTION("""COMPUTED_VALUE"""),"чоловічий одяг ")</f>
        <v>чоловічий одяг </v>
      </c>
      <c r="D2845" s="16" t="str">
        <f>IFERROR(__xludf.DUMMYFUNCTION("""COMPUTED_VALUE"""),"чоловічі піджаки ")</f>
        <v>чоловічі піджаки </v>
      </c>
      <c r="E2845" s="16" t="str">
        <f>IFERROR(__xludf.DUMMYFUNCTION("""COMPUTED_VALUE"""),"чоловічі піджаки ")</f>
        <v>чоловічі піджаки </v>
      </c>
      <c r="F2845" s="17">
        <f>IFERROR(__xludf.DUMMYFUNCTION("""COMPUTED_VALUE"""),3.0)</f>
        <v>3</v>
      </c>
      <c r="G2845" s="17" t="str">
        <f>IFERROR(__xludf.DUMMYFUNCTION("""COMPUTED_VALUE"""),"35509")</f>
        <v>35509</v>
      </c>
      <c r="H2845" s="17" t="str">
        <f>IFERROR(__xludf.DUMMYFUNCTION("""COMPUTED_VALUE"""),"чоловічі піджаки ")</f>
        <v>чоловічі піджаки </v>
      </c>
      <c r="I2845" s="19">
        <f>IFERROR(__xludf.DUMMYFUNCTION("""COMPUTED_VALUE"""),0.0914)</f>
        <v>0.0914</v>
      </c>
      <c r="J2845" s="19">
        <f>IFERROR(__xludf.DUMMYFUNCTION("""COMPUTED_VALUE"""),0.1828)</f>
        <v>0.1828</v>
      </c>
      <c r="K2845" s="19">
        <f>IFERROR(__xludf.DUMMYFUNCTION("""COMPUTED_VALUE"""),0.2285)</f>
        <v>0.2285</v>
      </c>
      <c r="L2845" s="19">
        <f>IFERROR(__xludf.DUMMYFUNCTION("""COMPUTED_VALUE"""),0.2742)</f>
        <v>0.2742</v>
      </c>
      <c r="M2845" s="18">
        <f>IFERROR(__xludf.DUMMYFUNCTION("""COMPUTED_VALUE"""),1.05)</f>
        <v>1.05</v>
      </c>
    </row>
    <row r="2846">
      <c r="A2846" s="13" t="str">
        <f>IFERROR(__xludf.DUMMYFUNCTION("""COMPUTED_VALUE"""),"товари")</f>
        <v>товари</v>
      </c>
      <c r="B2846" s="16" t="str">
        <f>IFERROR(__xludf.DUMMYFUNCTION("""COMPUTED_VALUE"""),"одяг та взуття")</f>
        <v>одяг та взуття</v>
      </c>
      <c r="C2846" s="16" t="str">
        <f>IFERROR(__xludf.DUMMYFUNCTION("""COMPUTED_VALUE"""),"чоловічий одяг ")</f>
        <v>чоловічий одяг </v>
      </c>
      <c r="D2846" s="16" t="str">
        <f>IFERROR(__xludf.DUMMYFUNCTION("""COMPUTED_VALUE"""),"чоловіча білизна та купальні плавки")</f>
        <v>чоловіча білизна та купальні плавки</v>
      </c>
      <c r="E2846" s="16" t="str">
        <f>IFERROR(__xludf.DUMMYFUNCTION("""COMPUTED_VALUE"""),"чоловічі підштаники ")</f>
        <v>чоловічі підштаники </v>
      </c>
      <c r="F2846" s="17">
        <f>IFERROR(__xludf.DUMMYFUNCTION("""COMPUTED_VALUE"""),4.0)</f>
        <v>4</v>
      </c>
      <c r="G2846" s="17" t="str">
        <f>IFERROR(__xludf.DUMMYFUNCTION("""COMPUTED_VALUE"""),"3121206")</f>
        <v>3121206</v>
      </c>
      <c r="H2846" s="17" t="str">
        <f>IFERROR(__xludf.DUMMYFUNCTION("""COMPUTED_VALUE"""),"чоловічі підштаники ")</f>
        <v>чоловічі підштаники </v>
      </c>
      <c r="I2846" s="19">
        <f>IFERROR(__xludf.DUMMYFUNCTION("""COMPUTED_VALUE"""),0.0944)</f>
        <v>0.0944</v>
      </c>
      <c r="J2846" s="19">
        <f>IFERROR(__xludf.DUMMYFUNCTION("""COMPUTED_VALUE"""),0.1888)</f>
        <v>0.1888</v>
      </c>
      <c r="K2846" s="19">
        <f>IFERROR(__xludf.DUMMYFUNCTION("""COMPUTED_VALUE"""),0.236)</f>
        <v>0.236</v>
      </c>
      <c r="L2846" s="19">
        <f>IFERROR(__xludf.DUMMYFUNCTION("""COMPUTED_VALUE"""),0.2832)</f>
        <v>0.2832</v>
      </c>
      <c r="M2846" s="18">
        <f>IFERROR(__xludf.DUMMYFUNCTION("""COMPUTED_VALUE"""),1.63)</f>
        <v>1.63</v>
      </c>
    </row>
    <row r="2847">
      <c r="A2847" s="13" t="str">
        <f>IFERROR(__xludf.DUMMYFUNCTION("""COMPUTED_VALUE"""),"товари")</f>
        <v>товари</v>
      </c>
      <c r="B2847" s="16" t="str">
        <f>IFERROR(__xludf.DUMMYFUNCTION("""COMPUTED_VALUE"""),"одяг та взуття")</f>
        <v>одяг та взуття</v>
      </c>
      <c r="C2847" s="16" t="str">
        <f>IFERROR(__xludf.DUMMYFUNCTION("""COMPUTED_VALUE"""),"чоловічий одяг ")</f>
        <v>чоловічий одяг </v>
      </c>
      <c r="D2847" s="16" t="str">
        <f>IFERROR(__xludf.DUMMYFUNCTION("""COMPUTED_VALUE"""),"чоловічий одяг для сну та дому")</f>
        <v>чоловічий одяг для сну та дому</v>
      </c>
      <c r="E2847" s="16" t="str">
        <f>IFERROR(__xludf.DUMMYFUNCTION("""COMPUTED_VALUE"""),"чоловічі піжами ")</f>
        <v>чоловічі піжами </v>
      </c>
      <c r="F2847" s="17">
        <f>IFERROR(__xludf.DUMMYFUNCTION("""COMPUTED_VALUE"""),4.0)</f>
        <v>4</v>
      </c>
      <c r="G2847" s="17" t="str">
        <f>IFERROR(__xludf.DUMMYFUNCTION("""COMPUTED_VALUE"""),"36607")</f>
        <v>36607</v>
      </c>
      <c r="H2847" s="17" t="str">
        <f>IFERROR(__xludf.DUMMYFUNCTION("""COMPUTED_VALUE"""),"чоловічі піжами ")</f>
        <v>чоловічі піжами </v>
      </c>
      <c r="I2847" s="19">
        <f>IFERROR(__xludf.DUMMYFUNCTION("""COMPUTED_VALUE"""),0.0931)</f>
        <v>0.0931</v>
      </c>
      <c r="J2847" s="19">
        <f>IFERROR(__xludf.DUMMYFUNCTION("""COMPUTED_VALUE"""),0.1861)</f>
        <v>0.1861</v>
      </c>
      <c r="K2847" s="19">
        <f>IFERROR(__xludf.DUMMYFUNCTION("""COMPUTED_VALUE"""),0.2326)</f>
        <v>0.2326</v>
      </c>
      <c r="L2847" s="19">
        <f>IFERROR(__xludf.DUMMYFUNCTION("""COMPUTED_VALUE"""),0.2792)</f>
        <v>0.2792</v>
      </c>
      <c r="M2847" s="18">
        <f>IFERROR(__xludf.DUMMYFUNCTION("""COMPUTED_VALUE"""),2.7)</f>
        <v>2.7</v>
      </c>
    </row>
    <row r="2848">
      <c r="A2848" s="13" t="str">
        <f>IFERROR(__xludf.DUMMYFUNCTION("""COMPUTED_VALUE"""),"товари")</f>
        <v>товари</v>
      </c>
      <c r="B2848" s="16" t="str">
        <f>IFERROR(__xludf.DUMMYFUNCTION("""COMPUTED_VALUE"""),"одяг та взуття")</f>
        <v>одяг та взуття</v>
      </c>
      <c r="C2848" s="16" t="str">
        <f>IFERROR(__xludf.DUMMYFUNCTION("""COMPUTED_VALUE"""),"чоловічий одяг ")</f>
        <v>чоловічий одяг </v>
      </c>
      <c r="D2848" s="16" t="str">
        <f>IFERROR(__xludf.DUMMYFUNCTION("""COMPUTED_VALUE"""),"чоловічий верхній одяг ")</f>
        <v>чоловічий верхній одяг </v>
      </c>
      <c r="E2848" s="16" t="str">
        <f>IFERROR(__xludf.DUMMYFUNCTION("""COMPUTED_VALUE"""),"чоловічі пуховики ")</f>
        <v>чоловічі пуховики </v>
      </c>
      <c r="F2848" s="17">
        <f>IFERROR(__xludf.DUMMYFUNCTION("""COMPUTED_VALUE"""),4.0)</f>
        <v>4</v>
      </c>
      <c r="G2848" s="17" t="str">
        <f>IFERROR(__xludf.DUMMYFUNCTION("""COMPUTED_VALUE"""),"3550406")</f>
        <v>3550406</v>
      </c>
      <c r="H2848" s="17" t="str">
        <f>IFERROR(__xludf.DUMMYFUNCTION("""COMPUTED_VALUE"""),"чоловічі пуховики ")</f>
        <v>чоловічі пуховики </v>
      </c>
      <c r="I2848" s="19">
        <f>IFERROR(__xludf.DUMMYFUNCTION("""COMPUTED_VALUE"""),0.0645)</f>
        <v>0.0645</v>
      </c>
      <c r="J2848" s="19">
        <f>IFERROR(__xludf.DUMMYFUNCTION("""COMPUTED_VALUE"""),0.129)</f>
        <v>0.129</v>
      </c>
      <c r="K2848" s="19">
        <f>IFERROR(__xludf.DUMMYFUNCTION("""COMPUTED_VALUE"""),0.1613)</f>
        <v>0.1613</v>
      </c>
      <c r="L2848" s="19">
        <f>IFERROR(__xludf.DUMMYFUNCTION("""COMPUTED_VALUE"""),0.1935)</f>
        <v>0.1935</v>
      </c>
      <c r="M2848" s="18">
        <f>IFERROR(__xludf.DUMMYFUNCTION("""COMPUTED_VALUE"""),1.71)</f>
        <v>1.71</v>
      </c>
    </row>
    <row r="2849">
      <c r="A2849" s="13" t="str">
        <f>IFERROR(__xludf.DUMMYFUNCTION("""COMPUTED_VALUE"""),"товари")</f>
        <v>товари</v>
      </c>
      <c r="B2849" s="16" t="str">
        <f>IFERROR(__xludf.DUMMYFUNCTION("""COMPUTED_VALUE"""),"одяг та взуття")</f>
        <v>одяг та взуття</v>
      </c>
      <c r="C2849" s="16" t="str">
        <f>IFERROR(__xludf.DUMMYFUNCTION("""COMPUTED_VALUE"""),"взуття")</f>
        <v>взуття</v>
      </c>
      <c r="D2849" s="16" t="str">
        <f>IFERROR(__xludf.DUMMYFUNCTION("""COMPUTED_VALUE"""),"чоловіче взуття ")</f>
        <v>чоловіче взуття </v>
      </c>
      <c r="E2849" s="16" t="str">
        <f>IFERROR(__xludf.DUMMYFUNCTION("""COMPUTED_VALUE"""),"чоловічі сандалі і шльопанці ")</f>
        <v>чоловічі сандалі і шльопанці </v>
      </c>
      <c r="F2849" s="17">
        <f>IFERROR(__xludf.DUMMYFUNCTION("""COMPUTED_VALUE"""),4.0)</f>
        <v>4</v>
      </c>
      <c r="G2849" s="17" t="str">
        <f>IFERROR(__xludf.DUMMYFUNCTION("""COMPUTED_VALUE"""),"32205")</f>
        <v>32205</v>
      </c>
      <c r="H2849" s="17" t="str">
        <f>IFERROR(__xludf.DUMMYFUNCTION("""COMPUTED_VALUE"""),"чоловічі сандалі і шльопанці ")</f>
        <v>чоловічі сандалі і шльопанці </v>
      </c>
      <c r="I2849" s="19">
        <f>IFERROR(__xludf.DUMMYFUNCTION("""COMPUTED_VALUE"""),0.0883)</f>
        <v>0.0883</v>
      </c>
      <c r="J2849" s="19">
        <f>IFERROR(__xludf.DUMMYFUNCTION("""COMPUTED_VALUE"""),0.1765)</f>
        <v>0.1765</v>
      </c>
      <c r="K2849" s="19">
        <f>IFERROR(__xludf.DUMMYFUNCTION("""COMPUTED_VALUE"""),0.2206)</f>
        <v>0.2206</v>
      </c>
      <c r="L2849" s="19">
        <f>IFERROR(__xludf.DUMMYFUNCTION("""COMPUTED_VALUE"""),0.2648)</f>
        <v>0.2648</v>
      </c>
      <c r="M2849" s="18">
        <f>IFERROR(__xludf.DUMMYFUNCTION("""COMPUTED_VALUE"""),1.98)</f>
        <v>1.98</v>
      </c>
    </row>
    <row r="2850">
      <c r="A2850" s="13" t="str">
        <f>IFERROR(__xludf.DUMMYFUNCTION("""COMPUTED_VALUE"""),"товари")</f>
        <v>товари</v>
      </c>
      <c r="B2850" s="16" t="str">
        <f>IFERROR(__xludf.DUMMYFUNCTION("""COMPUTED_VALUE"""),"одяг та взуття")</f>
        <v>одяг та взуття</v>
      </c>
      <c r="C2850" s="16" t="str">
        <f>IFERROR(__xludf.DUMMYFUNCTION("""COMPUTED_VALUE"""),"чоловічий одяг ")</f>
        <v>чоловічий одяг </v>
      </c>
      <c r="D2850" s="16" t="str">
        <f>IFERROR(__xludf.DUMMYFUNCTION("""COMPUTED_VALUE"""),"чоловічі светри та кардигани ")</f>
        <v>чоловічі светри та кардигани </v>
      </c>
      <c r="E2850" s="16" t="str">
        <f>IFERROR(__xludf.DUMMYFUNCTION("""COMPUTED_VALUE"""),"чоловічі светри та кардигани ")</f>
        <v>чоловічі светри та кардигани </v>
      </c>
      <c r="F2850" s="17">
        <f>IFERROR(__xludf.DUMMYFUNCTION("""COMPUTED_VALUE"""),3.0)</f>
        <v>3</v>
      </c>
      <c r="G2850" s="17" t="str">
        <f>IFERROR(__xludf.DUMMYFUNCTION("""COMPUTED_VALUE"""),"30509")</f>
        <v>30509</v>
      </c>
      <c r="H2850" s="17" t="str">
        <f>IFERROR(__xludf.DUMMYFUNCTION("""COMPUTED_VALUE"""),"чоловічі светри та кардигани ")</f>
        <v>чоловічі светри та кардигани </v>
      </c>
      <c r="I2850" s="19">
        <f>IFERROR(__xludf.DUMMYFUNCTION("""COMPUTED_VALUE"""),0.0914)</f>
        <v>0.0914</v>
      </c>
      <c r="J2850" s="19">
        <f>IFERROR(__xludf.DUMMYFUNCTION("""COMPUTED_VALUE"""),0.1828)</f>
        <v>0.1828</v>
      </c>
      <c r="K2850" s="19">
        <f>IFERROR(__xludf.DUMMYFUNCTION("""COMPUTED_VALUE"""),0.2285)</f>
        <v>0.2285</v>
      </c>
      <c r="L2850" s="19">
        <f>IFERROR(__xludf.DUMMYFUNCTION("""COMPUTED_VALUE"""),0.2742)</f>
        <v>0.2742</v>
      </c>
      <c r="M2850" s="18">
        <f>IFERROR(__xludf.DUMMYFUNCTION("""COMPUTED_VALUE"""),1.71)</f>
        <v>1.71</v>
      </c>
    </row>
    <row r="2851">
      <c r="A2851" s="13" t="str">
        <f>IFERROR(__xludf.DUMMYFUNCTION("""COMPUTED_VALUE"""),"товари")</f>
        <v>товари</v>
      </c>
      <c r="B2851" s="16" t="str">
        <f>IFERROR(__xludf.DUMMYFUNCTION("""COMPUTED_VALUE"""),"одяг та взуття")</f>
        <v>одяг та взуття</v>
      </c>
      <c r="C2851" s="16" t="str">
        <f>IFERROR(__xludf.DUMMYFUNCTION("""COMPUTED_VALUE"""),"чоловічий одяг ")</f>
        <v>чоловічий одяг </v>
      </c>
      <c r="D2851" s="16" t="str">
        <f>IFERROR(__xludf.DUMMYFUNCTION("""COMPUTED_VALUE"""),"чоловічі сорочки ")</f>
        <v>чоловічі сорочки </v>
      </c>
      <c r="E2851" s="16" t="str">
        <f>IFERROR(__xludf.DUMMYFUNCTION("""COMPUTED_VALUE"""),"чоловічі сорочки ")</f>
        <v>чоловічі сорочки </v>
      </c>
      <c r="F2851" s="17">
        <f>IFERROR(__xludf.DUMMYFUNCTION("""COMPUTED_VALUE"""),3.0)</f>
        <v>3</v>
      </c>
      <c r="G2851" s="17" t="str">
        <f>IFERROR(__xludf.DUMMYFUNCTION("""COMPUTED_VALUE"""),"348")</f>
        <v>348</v>
      </c>
      <c r="H2851" s="17" t="str">
        <f>IFERROR(__xludf.DUMMYFUNCTION("""COMPUTED_VALUE"""),"чоловічі сорочки ")</f>
        <v>чоловічі сорочки </v>
      </c>
      <c r="I2851" s="19">
        <f>IFERROR(__xludf.DUMMYFUNCTION("""COMPUTED_VALUE"""),0.0927)</f>
        <v>0.0927</v>
      </c>
      <c r="J2851" s="19">
        <f>IFERROR(__xludf.DUMMYFUNCTION("""COMPUTED_VALUE"""),0.1853)</f>
        <v>0.1853</v>
      </c>
      <c r="K2851" s="19">
        <f>IFERROR(__xludf.DUMMYFUNCTION("""COMPUTED_VALUE"""),0.2316)</f>
        <v>0.2316</v>
      </c>
      <c r="L2851" s="19">
        <f>IFERROR(__xludf.DUMMYFUNCTION("""COMPUTED_VALUE"""),0.278)</f>
        <v>0.278</v>
      </c>
      <c r="M2851" s="18">
        <f>IFERROR(__xludf.DUMMYFUNCTION("""COMPUTED_VALUE"""),2.16)</f>
        <v>2.16</v>
      </c>
    </row>
    <row r="2852">
      <c r="A2852" s="13" t="str">
        <f>IFERROR(__xludf.DUMMYFUNCTION("""COMPUTED_VALUE"""),"товари")</f>
        <v>товари</v>
      </c>
      <c r="B2852" s="16" t="str">
        <f>IFERROR(__xludf.DUMMYFUNCTION("""COMPUTED_VALUE"""),"одяг та взуття")</f>
        <v>одяг та взуття</v>
      </c>
      <c r="C2852" s="16" t="str">
        <f>IFERROR(__xludf.DUMMYFUNCTION("""COMPUTED_VALUE"""),"чоловічий одяг ")</f>
        <v>чоловічий одяг </v>
      </c>
      <c r="D2852" s="16" t="str">
        <f>IFERROR(__xludf.DUMMYFUNCTION("""COMPUTED_VALUE"""),"чоловічі толстовки і реглани ")</f>
        <v>чоловічі толстовки і реглани </v>
      </c>
      <c r="E2852" s="16" t="str">
        <f>IFERROR(__xludf.DUMMYFUNCTION("""COMPUTED_VALUE"""),"чоловічі толстовки і реглани ")</f>
        <v>чоловічі толстовки і реглани </v>
      </c>
      <c r="F2852" s="17">
        <f>IFERROR(__xludf.DUMMYFUNCTION("""COMPUTED_VALUE"""),3.0)</f>
        <v>3</v>
      </c>
      <c r="G2852" s="17" t="str">
        <f>IFERROR(__xludf.DUMMYFUNCTION("""COMPUTED_VALUE"""),"30503")</f>
        <v>30503</v>
      </c>
      <c r="H2852" s="17" t="str">
        <f>IFERROR(__xludf.DUMMYFUNCTION("""COMPUTED_VALUE"""),"чоловічі толстовки і реглани ")</f>
        <v>чоловічі толстовки і реглани </v>
      </c>
      <c r="I2852" s="19">
        <f>IFERROR(__xludf.DUMMYFUNCTION("""COMPUTED_VALUE"""),0.0981)</f>
        <v>0.0981</v>
      </c>
      <c r="J2852" s="19">
        <f>IFERROR(__xludf.DUMMYFUNCTION("""COMPUTED_VALUE"""),0.1962)</f>
        <v>0.1962</v>
      </c>
      <c r="K2852" s="19">
        <f>IFERROR(__xludf.DUMMYFUNCTION("""COMPUTED_VALUE"""),0.2453)</f>
        <v>0.2453</v>
      </c>
      <c r="L2852" s="19">
        <f>IFERROR(__xludf.DUMMYFUNCTION("""COMPUTED_VALUE"""),0.2943)</f>
        <v>0.2943</v>
      </c>
      <c r="M2852" s="18">
        <f>IFERROR(__xludf.DUMMYFUNCTION("""COMPUTED_VALUE"""),3.33)</f>
        <v>3.33</v>
      </c>
    </row>
    <row r="2853">
      <c r="A2853" s="13" t="str">
        <f>IFERROR(__xludf.DUMMYFUNCTION("""COMPUTED_VALUE"""),"товари")</f>
        <v>товари</v>
      </c>
      <c r="B2853" s="16" t="str">
        <f>IFERROR(__xludf.DUMMYFUNCTION("""COMPUTED_VALUE"""),"одяг та взуття")</f>
        <v>одяг та взуття</v>
      </c>
      <c r="C2853" s="16" t="str">
        <f>IFERROR(__xludf.DUMMYFUNCTION("""COMPUTED_VALUE"""),"чоловічий одяг ")</f>
        <v>чоловічий одяг </v>
      </c>
      <c r="D2853" s="16" t="str">
        <f>IFERROR(__xludf.DUMMYFUNCTION("""COMPUTED_VALUE"""),"чоловіча білизна та купальні плавки")</f>
        <v>чоловіча білизна та купальні плавки</v>
      </c>
      <c r="E2853" s="16" t="str">
        <f>IFERROR(__xludf.DUMMYFUNCTION("""COMPUTED_VALUE"""),"чоловічі труси ")</f>
        <v>чоловічі труси </v>
      </c>
      <c r="F2853" s="17">
        <f>IFERROR(__xludf.DUMMYFUNCTION("""COMPUTED_VALUE"""),4.0)</f>
        <v>4</v>
      </c>
      <c r="G2853" s="17" t="str">
        <f>IFERROR(__xludf.DUMMYFUNCTION("""COMPUTED_VALUE"""),"31202")</f>
        <v>31202</v>
      </c>
      <c r="H2853" s="17" t="str">
        <f>IFERROR(__xludf.DUMMYFUNCTION("""COMPUTED_VALUE"""),"чоловічі труси ")</f>
        <v>чоловічі труси </v>
      </c>
      <c r="I2853" s="19">
        <f>IFERROR(__xludf.DUMMYFUNCTION("""COMPUTED_VALUE"""),0.0944)</f>
        <v>0.0944</v>
      </c>
      <c r="J2853" s="19">
        <f>IFERROR(__xludf.DUMMYFUNCTION("""COMPUTED_VALUE"""),0.1888)</f>
        <v>0.1888</v>
      </c>
      <c r="K2853" s="19">
        <f>IFERROR(__xludf.DUMMYFUNCTION("""COMPUTED_VALUE"""),0.236)</f>
        <v>0.236</v>
      </c>
      <c r="L2853" s="19">
        <f>IFERROR(__xludf.DUMMYFUNCTION("""COMPUTED_VALUE"""),0.2832)</f>
        <v>0.2832</v>
      </c>
      <c r="M2853" s="18">
        <f>IFERROR(__xludf.DUMMYFUNCTION("""COMPUTED_VALUE"""),1.63)</f>
        <v>1.63</v>
      </c>
    </row>
    <row r="2854">
      <c r="A2854" s="13" t="str">
        <f>IFERROR(__xludf.DUMMYFUNCTION("""COMPUTED_VALUE"""),"товари")</f>
        <v>товари</v>
      </c>
      <c r="B2854" s="16" t="str">
        <f>IFERROR(__xludf.DUMMYFUNCTION("""COMPUTED_VALUE"""),"одяг та взуття")</f>
        <v>одяг та взуття</v>
      </c>
      <c r="C2854" s="16" t="str">
        <f>IFERROR(__xludf.DUMMYFUNCTION("""COMPUTED_VALUE"""),"взуття")</f>
        <v>взуття</v>
      </c>
      <c r="D2854" s="16" t="str">
        <f>IFERROR(__xludf.DUMMYFUNCTION("""COMPUTED_VALUE"""),"чоловіче взуття ")</f>
        <v>чоловіче взуття </v>
      </c>
      <c r="E2854" s="16" t="str">
        <f>IFERROR(__xludf.DUMMYFUNCTION("""COMPUTED_VALUE"""),"чоловічі туфлі ")</f>
        <v>чоловічі туфлі </v>
      </c>
      <c r="F2854" s="17">
        <f>IFERROR(__xludf.DUMMYFUNCTION("""COMPUTED_VALUE"""),4.0)</f>
        <v>4</v>
      </c>
      <c r="G2854" s="17" t="str">
        <f>IFERROR(__xludf.DUMMYFUNCTION("""COMPUTED_VALUE"""),"32213")</f>
        <v>32213</v>
      </c>
      <c r="H2854" s="17" t="str">
        <f>IFERROR(__xludf.DUMMYFUNCTION("""COMPUTED_VALUE"""),"чоловічі туфлі ")</f>
        <v>чоловічі туфлі </v>
      </c>
      <c r="I2854" s="19">
        <f>IFERROR(__xludf.DUMMYFUNCTION("""COMPUTED_VALUE"""),0.0883)</f>
        <v>0.0883</v>
      </c>
      <c r="J2854" s="19">
        <f>IFERROR(__xludf.DUMMYFUNCTION("""COMPUTED_VALUE"""),0.1765)</f>
        <v>0.1765</v>
      </c>
      <c r="K2854" s="19">
        <f>IFERROR(__xludf.DUMMYFUNCTION("""COMPUTED_VALUE"""),0.2206)</f>
        <v>0.2206</v>
      </c>
      <c r="L2854" s="19">
        <f>IFERROR(__xludf.DUMMYFUNCTION("""COMPUTED_VALUE"""),0.2648)</f>
        <v>0.2648</v>
      </c>
      <c r="M2854" s="18">
        <f>IFERROR(__xludf.DUMMYFUNCTION("""COMPUTED_VALUE"""),1.98)</f>
        <v>1.98</v>
      </c>
    </row>
    <row r="2855">
      <c r="A2855" s="13" t="str">
        <f>IFERROR(__xludf.DUMMYFUNCTION("""COMPUTED_VALUE"""),"товари")</f>
        <v>товари</v>
      </c>
      <c r="B2855" s="16" t="str">
        <f>IFERROR(__xludf.DUMMYFUNCTION("""COMPUTED_VALUE"""),"одяг та взуття")</f>
        <v>одяг та взуття</v>
      </c>
      <c r="C2855" s="16" t="str">
        <f>IFERROR(__xludf.DUMMYFUNCTION("""COMPUTED_VALUE"""),"чоловічий одяг ")</f>
        <v>чоловічий одяг </v>
      </c>
      <c r="D2855" s="16" t="str">
        <f>IFERROR(__xludf.DUMMYFUNCTION("""COMPUTED_VALUE"""),"чоловічі футболки та майки ")</f>
        <v>чоловічі футболки та майки </v>
      </c>
      <c r="E2855" s="16" t="str">
        <f>IFERROR(__xludf.DUMMYFUNCTION("""COMPUTED_VALUE"""),"чоловічі футболки та майки ")</f>
        <v>чоловічі футболки та майки </v>
      </c>
      <c r="F2855" s="17">
        <f>IFERROR(__xludf.DUMMYFUNCTION("""COMPUTED_VALUE"""),3.0)</f>
        <v>3</v>
      </c>
      <c r="G2855" s="17" t="str">
        <f>IFERROR(__xludf.DUMMYFUNCTION("""COMPUTED_VALUE"""),"35506")</f>
        <v>35506</v>
      </c>
      <c r="H2855" s="17" t="str">
        <f>IFERROR(__xludf.DUMMYFUNCTION("""COMPUTED_VALUE"""),"чоловічі футболки та майки ")</f>
        <v>чоловічі футболки та майки </v>
      </c>
      <c r="I2855" s="19">
        <f>IFERROR(__xludf.DUMMYFUNCTION("""COMPUTED_VALUE"""),0.101)</f>
        <v>0.101</v>
      </c>
      <c r="J2855" s="19">
        <f>IFERROR(__xludf.DUMMYFUNCTION("""COMPUTED_VALUE"""),0.2019)</f>
        <v>0.2019</v>
      </c>
      <c r="K2855" s="19">
        <f>IFERROR(__xludf.DUMMYFUNCTION("""COMPUTED_VALUE"""),0.2524)</f>
        <v>0.2524</v>
      </c>
      <c r="L2855" s="19">
        <f>IFERROR(__xludf.DUMMYFUNCTION("""COMPUTED_VALUE"""),0.3029)</f>
        <v>0.3029</v>
      </c>
      <c r="M2855" s="18">
        <f>IFERROR(__xludf.DUMMYFUNCTION("""COMPUTED_VALUE"""),2.88)</f>
        <v>2.88</v>
      </c>
    </row>
    <row r="2856">
      <c r="A2856" s="13" t="str">
        <f>IFERROR(__xludf.DUMMYFUNCTION("""COMPUTED_VALUE"""),"товари")</f>
        <v>товари</v>
      </c>
      <c r="B2856" s="16" t="str">
        <f>IFERROR(__xludf.DUMMYFUNCTION("""COMPUTED_VALUE"""),"одяг та взуття")</f>
        <v>одяг та взуття</v>
      </c>
      <c r="C2856" s="16" t="str">
        <f>IFERROR(__xludf.DUMMYFUNCTION("""COMPUTED_VALUE"""),"чоловічий одяг ")</f>
        <v>чоловічий одяг </v>
      </c>
      <c r="D2856" s="16" t="str">
        <f>IFERROR(__xludf.DUMMYFUNCTION("""COMPUTED_VALUE"""),"чоловічий одяг для сну та дому")</f>
        <v>чоловічий одяг для сну та дому</v>
      </c>
      <c r="E2856" s="16" t="str">
        <f>IFERROR(__xludf.DUMMYFUNCTION("""COMPUTED_VALUE"""),"чоловічі халати ")</f>
        <v>чоловічі халати </v>
      </c>
      <c r="F2856" s="17">
        <f>IFERROR(__xludf.DUMMYFUNCTION("""COMPUTED_VALUE"""),4.0)</f>
        <v>4</v>
      </c>
      <c r="G2856" s="17" t="str">
        <f>IFERROR(__xludf.DUMMYFUNCTION("""COMPUTED_VALUE"""),"3121205")</f>
        <v>3121205</v>
      </c>
      <c r="H2856" s="17" t="str">
        <f>IFERROR(__xludf.DUMMYFUNCTION("""COMPUTED_VALUE"""),"чоловічі халати ")</f>
        <v>чоловічі халати </v>
      </c>
      <c r="I2856" s="19">
        <f>IFERROR(__xludf.DUMMYFUNCTION("""COMPUTED_VALUE"""),0.0931)</f>
        <v>0.0931</v>
      </c>
      <c r="J2856" s="19">
        <f>IFERROR(__xludf.DUMMYFUNCTION("""COMPUTED_VALUE"""),0.1861)</f>
        <v>0.1861</v>
      </c>
      <c r="K2856" s="19">
        <f>IFERROR(__xludf.DUMMYFUNCTION("""COMPUTED_VALUE"""),0.2326)</f>
        <v>0.2326</v>
      </c>
      <c r="L2856" s="19">
        <f>IFERROR(__xludf.DUMMYFUNCTION("""COMPUTED_VALUE"""),0.2792)</f>
        <v>0.2792</v>
      </c>
      <c r="M2856" s="18">
        <f>IFERROR(__xludf.DUMMYFUNCTION("""COMPUTED_VALUE"""),2.7)</f>
        <v>2.7</v>
      </c>
    </row>
    <row r="2857">
      <c r="A2857" s="13" t="str">
        <f>IFERROR(__xludf.DUMMYFUNCTION("""COMPUTED_VALUE"""),"товари")</f>
        <v>товари</v>
      </c>
      <c r="B2857" s="16" t="str">
        <f>IFERROR(__xludf.DUMMYFUNCTION("""COMPUTED_VALUE"""),"одяг та взуття")</f>
        <v>одяг та взуття</v>
      </c>
      <c r="C2857" s="16" t="str">
        <f>IFERROR(__xludf.DUMMYFUNCTION("""COMPUTED_VALUE"""),"взуття")</f>
        <v>взуття</v>
      </c>
      <c r="D2857" s="16" t="str">
        <f>IFERROR(__xludf.DUMMYFUNCTION("""COMPUTED_VALUE"""),"чоловіче взуття ")</f>
        <v>чоловіче взуття </v>
      </c>
      <c r="E2857" s="16" t="str">
        <f>IFERROR(__xludf.DUMMYFUNCTION("""COMPUTED_VALUE"""),"чоловічі черевики ")</f>
        <v>чоловічі черевики </v>
      </c>
      <c r="F2857" s="17">
        <f>IFERROR(__xludf.DUMMYFUNCTION("""COMPUTED_VALUE"""),4.0)</f>
        <v>4</v>
      </c>
      <c r="G2857" s="17" t="str">
        <f>IFERROR(__xludf.DUMMYFUNCTION("""COMPUTED_VALUE"""),"3220413")</f>
        <v>3220413</v>
      </c>
      <c r="H2857" s="17" t="str">
        <f>IFERROR(__xludf.DUMMYFUNCTION("""COMPUTED_VALUE"""),"чоловічі черевики ")</f>
        <v>чоловічі черевики </v>
      </c>
      <c r="I2857" s="19">
        <f>IFERROR(__xludf.DUMMYFUNCTION("""COMPUTED_VALUE"""),0.0883)</f>
        <v>0.0883</v>
      </c>
      <c r="J2857" s="19">
        <f>IFERROR(__xludf.DUMMYFUNCTION("""COMPUTED_VALUE"""),0.1765)</f>
        <v>0.1765</v>
      </c>
      <c r="K2857" s="19">
        <f>IFERROR(__xludf.DUMMYFUNCTION("""COMPUTED_VALUE"""),0.2206)</f>
        <v>0.2206</v>
      </c>
      <c r="L2857" s="19">
        <f>IFERROR(__xludf.DUMMYFUNCTION("""COMPUTED_VALUE"""),0.2648)</f>
        <v>0.2648</v>
      </c>
      <c r="M2857" s="18">
        <f>IFERROR(__xludf.DUMMYFUNCTION("""COMPUTED_VALUE"""),1.98)</f>
        <v>1.98</v>
      </c>
    </row>
    <row r="2858">
      <c r="A2858" s="13" t="str">
        <f>IFERROR(__xludf.DUMMYFUNCTION("""COMPUTED_VALUE"""),"товари")</f>
        <v>товари</v>
      </c>
      <c r="B2858" s="16" t="str">
        <f>IFERROR(__xludf.DUMMYFUNCTION("""COMPUTED_VALUE"""),"одяг та взуття")</f>
        <v>одяг та взуття</v>
      </c>
      <c r="C2858" s="16" t="str">
        <f>IFERROR(__xludf.DUMMYFUNCTION("""COMPUTED_VALUE"""),"взуття")</f>
        <v>взуття</v>
      </c>
      <c r="D2858" s="16" t="str">
        <f>IFERROR(__xludf.DUMMYFUNCTION("""COMPUTED_VALUE"""),"чоловіче взуття ")</f>
        <v>чоловіче взуття </v>
      </c>
      <c r="E2858" s="16" t="str">
        <f>IFERROR(__xludf.DUMMYFUNCTION("""COMPUTED_VALUE"""),"чоловічі чоботи ")</f>
        <v>чоловічі чоботи </v>
      </c>
      <c r="F2858" s="17">
        <f>IFERROR(__xludf.DUMMYFUNCTION("""COMPUTED_VALUE"""),4.0)</f>
        <v>4</v>
      </c>
      <c r="G2858" s="17" t="str">
        <f>IFERROR(__xludf.DUMMYFUNCTION("""COMPUTED_VALUE"""),"3220411")</f>
        <v>3220411</v>
      </c>
      <c r="H2858" s="17" t="str">
        <f>IFERROR(__xludf.DUMMYFUNCTION("""COMPUTED_VALUE"""),"чоловічі чоботи ")</f>
        <v>чоловічі чоботи </v>
      </c>
      <c r="I2858" s="19">
        <f>IFERROR(__xludf.DUMMYFUNCTION("""COMPUTED_VALUE"""),0.0883)</f>
        <v>0.0883</v>
      </c>
      <c r="J2858" s="19">
        <f>IFERROR(__xludf.DUMMYFUNCTION("""COMPUTED_VALUE"""),0.1765)</f>
        <v>0.1765</v>
      </c>
      <c r="K2858" s="19">
        <f>IFERROR(__xludf.DUMMYFUNCTION("""COMPUTED_VALUE"""),0.2206)</f>
        <v>0.2206</v>
      </c>
      <c r="L2858" s="19">
        <f>IFERROR(__xludf.DUMMYFUNCTION("""COMPUTED_VALUE"""),0.2648)</f>
        <v>0.2648</v>
      </c>
      <c r="M2858" s="18">
        <f>IFERROR(__xludf.DUMMYFUNCTION("""COMPUTED_VALUE"""),1.98)</f>
        <v>1.98</v>
      </c>
    </row>
    <row r="2859">
      <c r="A2859" s="13" t="str">
        <f>IFERROR(__xludf.DUMMYFUNCTION("""COMPUTED_VALUE"""),"товари")</f>
        <v>товари</v>
      </c>
      <c r="B2859" s="16" t="str">
        <f>IFERROR(__xludf.DUMMYFUNCTION("""COMPUTED_VALUE"""),"одяг та взуття")</f>
        <v>одяг та взуття</v>
      </c>
      <c r="C2859" s="16" t="str">
        <f>IFERROR(__xludf.DUMMYFUNCTION("""COMPUTED_VALUE"""),"чоловічий одяг ")</f>
        <v>чоловічий одяг </v>
      </c>
      <c r="D2859" s="16" t="str">
        <f>IFERROR(__xludf.DUMMYFUNCTION("""COMPUTED_VALUE"""),"чоловіча білизна та купальні плавки")</f>
        <v>чоловіча білизна та купальні плавки</v>
      </c>
      <c r="E2859" s="16" t="str">
        <f>IFERROR(__xludf.DUMMYFUNCTION("""COMPUTED_VALUE"""),"чоловічі шкарпетки ")</f>
        <v>чоловічі шкарпетки </v>
      </c>
      <c r="F2859" s="17">
        <f>IFERROR(__xludf.DUMMYFUNCTION("""COMPUTED_VALUE"""),4.0)</f>
        <v>4</v>
      </c>
      <c r="G2859" s="17" t="str">
        <f>IFERROR(__xludf.DUMMYFUNCTION("""COMPUTED_VALUE"""),"3121204")</f>
        <v>3121204</v>
      </c>
      <c r="H2859" s="17" t="str">
        <f>IFERROR(__xludf.DUMMYFUNCTION("""COMPUTED_VALUE"""),"чоловічі шкарпетки ")</f>
        <v>чоловічі шкарпетки </v>
      </c>
      <c r="I2859" s="19">
        <f>IFERROR(__xludf.DUMMYFUNCTION("""COMPUTED_VALUE"""),0.0944)</f>
        <v>0.0944</v>
      </c>
      <c r="J2859" s="19">
        <f>IFERROR(__xludf.DUMMYFUNCTION("""COMPUTED_VALUE"""),0.1888)</f>
        <v>0.1888</v>
      </c>
      <c r="K2859" s="19">
        <f>IFERROR(__xludf.DUMMYFUNCTION("""COMPUTED_VALUE"""),0.236)</f>
        <v>0.236</v>
      </c>
      <c r="L2859" s="19">
        <f>IFERROR(__xludf.DUMMYFUNCTION("""COMPUTED_VALUE"""),0.2832)</f>
        <v>0.2832</v>
      </c>
      <c r="M2859" s="18">
        <f>IFERROR(__xludf.DUMMYFUNCTION("""COMPUTED_VALUE"""),1.63)</f>
        <v>1.63</v>
      </c>
    </row>
    <row r="2860">
      <c r="A2860" s="13" t="str">
        <f>IFERROR(__xludf.DUMMYFUNCTION("""COMPUTED_VALUE"""),"товари")</f>
        <v>товари</v>
      </c>
      <c r="B2860" s="16" t="str">
        <f>IFERROR(__xludf.DUMMYFUNCTION("""COMPUTED_VALUE"""),"одяг та взуття")</f>
        <v>одяг та взуття</v>
      </c>
      <c r="C2860" s="16" t="str">
        <f>IFERROR(__xludf.DUMMYFUNCTION("""COMPUTED_VALUE"""),"чоловічий одяг ")</f>
        <v>чоловічий одяг </v>
      </c>
      <c r="D2860" s="16" t="str">
        <f>IFERROR(__xludf.DUMMYFUNCTION("""COMPUTED_VALUE"""),"чоловічі шорти і бриджі ")</f>
        <v>чоловічі шорти і бриджі </v>
      </c>
      <c r="E2860" s="16" t="str">
        <f>IFERROR(__xludf.DUMMYFUNCTION("""COMPUTED_VALUE"""),"чоловічі шорти і бриджі ")</f>
        <v>чоловічі шорти і бриджі </v>
      </c>
      <c r="F2860" s="17">
        <f>IFERROR(__xludf.DUMMYFUNCTION("""COMPUTED_VALUE"""),3.0)</f>
        <v>3</v>
      </c>
      <c r="G2860" s="17" t="str">
        <f>IFERROR(__xludf.DUMMYFUNCTION("""COMPUTED_VALUE"""),"30602")</f>
        <v>30602</v>
      </c>
      <c r="H2860" s="17" t="str">
        <f>IFERROR(__xludf.DUMMYFUNCTION("""COMPUTED_VALUE"""),"чоловічі шорти і бриджі ")</f>
        <v>чоловічі шорти і бриджі </v>
      </c>
      <c r="I2860" s="19">
        <f>IFERROR(__xludf.DUMMYFUNCTION("""COMPUTED_VALUE"""),0.0818)</f>
        <v>0.0818</v>
      </c>
      <c r="J2860" s="19">
        <f>IFERROR(__xludf.DUMMYFUNCTION("""COMPUTED_VALUE"""),0.1635)</f>
        <v>0.1635</v>
      </c>
      <c r="K2860" s="19">
        <f>IFERROR(__xludf.DUMMYFUNCTION("""COMPUTED_VALUE"""),0.2044)</f>
        <v>0.2044</v>
      </c>
      <c r="L2860" s="19">
        <f>IFERROR(__xludf.DUMMYFUNCTION("""COMPUTED_VALUE"""),0.2453)</f>
        <v>0.2453</v>
      </c>
      <c r="M2860" s="18">
        <f>IFERROR(__xludf.DUMMYFUNCTION("""COMPUTED_VALUE"""),1.05)</f>
        <v>1.05</v>
      </c>
    </row>
    <row r="2861">
      <c r="A2861" s="13" t="str">
        <f>IFERROR(__xludf.DUMMYFUNCTION("""COMPUTED_VALUE"""),"товари")</f>
        <v>товари</v>
      </c>
      <c r="B2861" s="16" t="str">
        <f>IFERROR(__xludf.DUMMYFUNCTION("""COMPUTED_VALUE"""),"одяг та взуття")</f>
        <v>одяг та взуття</v>
      </c>
      <c r="C2861" s="16" t="str">
        <f>IFERROR(__xludf.DUMMYFUNCTION("""COMPUTED_VALUE"""),"чоловічий одяг ")</f>
        <v>чоловічий одяг </v>
      </c>
      <c r="D2861" s="16" t="str">
        <f>IFERROR(__xludf.DUMMYFUNCTION("""COMPUTED_VALUE"""),"чоловічі штани ")</f>
        <v>чоловічі штани </v>
      </c>
      <c r="E2861" s="16" t="str">
        <f>IFERROR(__xludf.DUMMYFUNCTION("""COMPUTED_VALUE"""),"чоловічі штани ")</f>
        <v>чоловічі штани </v>
      </c>
      <c r="F2861" s="17">
        <f>IFERROR(__xludf.DUMMYFUNCTION("""COMPUTED_VALUE"""),3.0)</f>
        <v>3</v>
      </c>
      <c r="G2861" s="17" t="str">
        <f>IFERROR(__xludf.DUMMYFUNCTION("""COMPUTED_VALUE"""),"35501")</f>
        <v>35501</v>
      </c>
      <c r="H2861" s="17" t="str">
        <f>IFERROR(__xludf.DUMMYFUNCTION("""COMPUTED_VALUE"""),"чоловічі штани ")</f>
        <v>чоловічі штани </v>
      </c>
      <c r="I2861" s="19">
        <f>IFERROR(__xludf.DUMMYFUNCTION("""COMPUTED_VALUE"""),0.09)</f>
        <v>0.09</v>
      </c>
      <c r="J2861" s="19">
        <f>IFERROR(__xludf.DUMMYFUNCTION("""COMPUTED_VALUE"""),0.18)</f>
        <v>0.18</v>
      </c>
      <c r="K2861" s="19">
        <f>IFERROR(__xludf.DUMMYFUNCTION("""COMPUTED_VALUE"""),0.225)</f>
        <v>0.225</v>
      </c>
      <c r="L2861" s="19">
        <f>IFERROR(__xludf.DUMMYFUNCTION("""COMPUTED_VALUE"""),0.27)</f>
        <v>0.27</v>
      </c>
      <c r="M2861" s="18">
        <f>IFERROR(__xludf.DUMMYFUNCTION("""COMPUTED_VALUE"""),1.8)</f>
        <v>1.8</v>
      </c>
    </row>
    <row r="2862">
      <c r="A2862" s="13" t="str">
        <f>IFERROR(__xludf.DUMMYFUNCTION("""COMPUTED_VALUE"""),"товари")</f>
        <v>товари</v>
      </c>
      <c r="B2862" s="16" t="str">
        <f>IFERROR(__xludf.DUMMYFUNCTION("""COMPUTED_VALUE"""),"одяг та взуття")</f>
        <v>одяг та взуття</v>
      </c>
      <c r="C2862" s="16" t="str">
        <f>IFERROR(__xludf.DUMMYFUNCTION("""COMPUTED_VALUE"""),"дитячий одяг та взуття")</f>
        <v>дитячий одяг та взуття</v>
      </c>
      <c r="D2862" s="16" t="str">
        <f>IFERROR(__xludf.DUMMYFUNCTION("""COMPUTED_VALUE"""),"шкільна форма")</f>
        <v>шкільна форма</v>
      </c>
      <c r="E2862" s="16" t="str">
        <f>IFERROR(__xludf.DUMMYFUNCTION("""COMPUTED_VALUE"""),"шкільна форма")</f>
        <v>шкільна форма</v>
      </c>
      <c r="F2862" s="17">
        <f>IFERROR(__xludf.DUMMYFUNCTION("""COMPUTED_VALUE"""),3.0)</f>
        <v>3</v>
      </c>
      <c r="G2862" s="17" t="str">
        <f>IFERROR(__xludf.DUMMYFUNCTION("""COMPUTED_VALUE"""),"31116")</f>
        <v>31116</v>
      </c>
      <c r="H2862" s="17" t="str">
        <f>IFERROR(__xludf.DUMMYFUNCTION("""COMPUTED_VALUE"""),"шкільна форма")</f>
        <v>шкільна форма</v>
      </c>
      <c r="I2862" s="19">
        <f>IFERROR(__xludf.DUMMYFUNCTION("""COMPUTED_VALUE"""),0.0839)</f>
        <v>0.0839</v>
      </c>
      <c r="J2862" s="19">
        <f>IFERROR(__xludf.DUMMYFUNCTION("""COMPUTED_VALUE"""),0.1678)</f>
        <v>0.1678</v>
      </c>
      <c r="K2862" s="19">
        <f>IFERROR(__xludf.DUMMYFUNCTION("""COMPUTED_VALUE"""),0.2098)</f>
        <v>0.2098</v>
      </c>
      <c r="L2862" s="19">
        <f>IFERROR(__xludf.DUMMYFUNCTION("""COMPUTED_VALUE"""),0.2517)</f>
        <v>0.2517</v>
      </c>
      <c r="M2862" s="18">
        <f>IFERROR(__xludf.DUMMYFUNCTION("""COMPUTED_VALUE"""),1.05)</f>
        <v>1.05</v>
      </c>
    </row>
    <row r="2863">
      <c r="A2863" s="13" t="str">
        <f>IFERROR(__xludf.DUMMYFUNCTION("""COMPUTED_VALUE"""),"товари")</f>
        <v>товари</v>
      </c>
      <c r="B2863" s="16" t="str">
        <f>IFERROR(__xludf.DUMMYFUNCTION("""COMPUTED_VALUE"""),"одяг та взуття")</f>
        <v>одяг та взуття</v>
      </c>
      <c r="C2863" s="16" t="str">
        <f>IFERROR(__xludf.DUMMYFUNCTION("""COMPUTED_VALUE"""),"дитячий одяг та взуття")</f>
        <v>дитячий одяг та взуття</v>
      </c>
      <c r="D2863" s="16" t="str">
        <f>IFERROR(__xludf.DUMMYFUNCTION("""COMPUTED_VALUE"""),"дитяче та підліткове взуття")</f>
        <v>дитяче та підліткове взуття</v>
      </c>
      <c r="E2863" s="16" t="str">
        <f>IFERROR(__xludf.DUMMYFUNCTION("""COMPUTED_VALUE"""),"шкільне взуття")</f>
        <v>шкільне взуття</v>
      </c>
      <c r="F2863" s="17">
        <f>IFERROR(__xludf.DUMMYFUNCTION("""COMPUTED_VALUE"""),4.0)</f>
        <v>4</v>
      </c>
      <c r="G2863" s="17" t="str">
        <f>IFERROR(__xludf.DUMMYFUNCTION("""COMPUTED_VALUE"""),"3221217")</f>
        <v>3221217</v>
      </c>
      <c r="H2863" s="17" t="str">
        <f>IFERROR(__xludf.DUMMYFUNCTION("""COMPUTED_VALUE"""),"шкільне взуття")</f>
        <v>шкільне взуття</v>
      </c>
      <c r="I2863" s="19">
        <f>IFERROR(__xludf.DUMMYFUNCTION("""COMPUTED_VALUE"""),0.0905)</f>
        <v>0.0905</v>
      </c>
      <c r="J2863" s="19">
        <f>IFERROR(__xludf.DUMMYFUNCTION("""COMPUTED_VALUE"""),0.1809)</f>
        <v>0.1809</v>
      </c>
      <c r="K2863" s="19">
        <f>IFERROR(__xludf.DUMMYFUNCTION("""COMPUTED_VALUE"""),0.2261)</f>
        <v>0.2261</v>
      </c>
      <c r="L2863" s="19">
        <f>IFERROR(__xludf.DUMMYFUNCTION("""COMPUTED_VALUE"""),0.2714)</f>
        <v>0.2714</v>
      </c>
      <c r="M2863" s="18">
        <f>IFERROR(__xludf.DUMMYFUNCTION("""COMPUTED_VALUE"""),1.44)</f>
        <v>1.44</v>
      </c>
    </row>
    <row r="2864">
      <c r="A2864" s="13" t="str">
        <f>IFERROR(__xludf.DUMMYFUNCTION("""COMPUTED_VALUE"""),"товари")</f>
        <v>товари</v>
      </c>
      <c r="B2864" s="16" t="str">
        <f>IFERROR(__xludf.DUMMYFUNCTION("""COMPUTED_VALUE"""),"одяг та взуття")</f>
        <v>одяг та взуття</v>
      </c>
      <c r="C2864" s="16" t="str">
        <f>IFERROR(__xludf.DUMMYFUNCTION("""COMPUTED_VALUE"""),"аксесуари для взуття")</f>
        <v>аксесуари для взуття</v>
      </c>
      <c r="D2864" s="16" t="str">
        <f>IFERROR(__xludf.DUMMYFUNCTION("""COMPUTED_VALUE"""),"шнурки для взуття")</f>
        <v>шнурки для взуття</v>
      </c>
      <c r="E2864" s="16" t="str">
        <f>IFERROR(__xludf.DUMMYFUNCTION("""COMPUTED_VALUE"""),"шнурки для взуття")</f>
        <v>шнурки для взуття</v>
      </c>
      <c r="F2864" s="17">
        <f>IFERROR(__xludf.DUMMYFUNCTION("""COMPUTED_VALUE"""),3.0)</f>
        <v>3</v>
      </c>
      <c r="G2864" s="17" t="str">
        <f>IFERROR(__xludf.DUMMYFUNCTION("""COMPUTED_VALUE"""),"580303")</f>
        <v>580303</v>
      </c>
      <c r="H2864" s="17" t="str">
        <f>IFERROR(__xludf.DUMMYFUNCTION("""COMPUTED_VALUE"""),"шнурки для взуття")</f>
        <v>шнурки для взуття</v>
      </c>
      <c r="I2864" s="19">
        <f>IFERROR(__xludf.DUMMYFUNCTION("""COMPUTED_VALUE"""),0.0944)</f>
        <v>0.0944</v>
      </c>
      <c r="J2864" s="19">
        <f>IFERROR(__xludf.DUMMYFUNCTION("""COMPUTED_VALUE"""),0.1888)</f>
        <v>0.1888</v>
      </c>
      <c r="K2864" s="19">
        <f>IFERROR(__xludf.DUMMYFUNCTION("""COMPUTED_VALUE"""),0.236)</f>
        <v>0.236</v>
      </c>
      <c r="L2864" s="19">
        <f>IFERROR(__xludf.DUMMYFUNCTION("""COMPUTED_VALUE"""),0.2832)</f>
        <v>0.2832</v>
      </c>
      <c r="M2864" s="18">
        <f>IFERROR(__xludf.DUMMYFUNCTION("""COMPUTED_VALUE"""),1.8)</f>
        <v>1.8</v>
      </c>
    </row>
    <row r="2865">
      <c r="A2865" s="13" t="str">
        <f>IFERROR(__xludf.DUMMYFUNCTION("""COMPUTED_VALUE"""),"товари")</f>
        <v>товари</v>
      </c>
      <c r="B2865" s="16" t="str">
        <f>IFERROR(__xludf.DUMMYFUNCTION("""COMPUTED_VALUE"""),"опалення")</f>
        <v>опалення</v>
      </c>
      <c r="C2865" s="16" t="str">
        <f>IFERROR(__xludf.DUMMYFUNCTION("""COMPUTED_VALUE"""),"газові котли")</f>
        <v>газові котли</v>
      </c>
      <c r="D2865" s="16" t="str">
        <f>IFERROR(__xludf.DUMMYFUNCTION("""COMPUTED_VALUE"""),"газові котли")</f>
        <v>газові котли</v>
      </c>
      <c r="E2865" s="16" t="str">
        <f>IFERROR(__xludf.DUMMYFUNCTION("""COMPUTED_VALUE"""),"газові котли")</f>
        <v>газові котли</v>
      </c>
      <c r="F2865" s="17">
        <f>IFERROR(__xludf.DUMMYFUNCTION("""COMPUTED_VALUE"""),2.0)</f>
        <v>2</v>
      </c>
      <c r="G2865" s="17" t="str">
        <f>IFERROR(__xludf.DUMMYFUNCTION("""COMPUTED_VALUE"""),"14210101")</f>
        <v>14210101</v>
      </c>
      <c r="H2865" s="17" t="str">
        <f>IFERROR(__xludf.DUMMYFUNCTION("""COMPUTED_VALUE"""),"газові котли")</f>
        <v>газові котли</v>
      </c>
      <c r="I2865" s="19">
        <f>IFERROR(__xludf.DUMMYFUNCTION("""COMPUTED_VALUE"""),0.039)</f>
        <v>0.039</v>
      </c>
      <c r="J2865" s="19">
        <f>IFERROR(__xludf.DUMMYFUNCTION("""COMPUTED_VALUE"""),0.078)</f>
        <v>0.078</v>
      </c>
      <c r="K2865" s="19">
        <f>IFERROR(__xludf.DUMMYFUNCTION("""COMPUTED_VALUE"""),0.0975)</f>
        <v>0.0975</v>
      </c>
      <c r="L2865" s="19">
        <f>IFERROR(__xludf.DUMMYFUNCTION("""COMPUTED_VALUE"""),0.117)</f>
        <v>0.117</v>
      </c>
      <c r="M2865" s="18">
        <f>IFERROR(__xludf.DUMMYFUNCTION("""COMPUTED_VALUE"""),1.53)</f>
        <v>1.53</v>
      </c>
    </row>
    <row r="2866">
      <c r="A2866" s="13" t="str">
        <f>IFERROR(__xludf.DUMMYFUNCTION("""COMPUTED_VALUE"""),"товари")</f>
        <v>товари</v>
      </c>
      <c r="B2866" s="16" t="str">
        <f>IFERROR(__xludf.DUMMYFUNCTION("""COMPUTED_VALUE"""),"опалення")</f>
        <v>опалення</v>
      </c>
      <c r="C2866" s="16" t="str">
        <f>IFERROR(__xludf.DUMMYFUNCTION("""COMPUTED_VALUE"""),"електричні котли")</f>
        <v>електричні котли</v>
      </c>
      <c r="D2866" s="16" t="str">
        <f>IFERROR(__xludf.DUMMYFUNCTION("""COMPUTED_VALUE"""),"електричні котли")</f>
        <v>електричні котли</v>
      </c>
      <c r="E2866" s="16" t="str">
        <f>IFERROR(__xludf.DUMMYFUNCTION("""COMPUTED_VALUE"""),"електричні котли")</f>
        <v>електричні котли</v>
      </c>
      <c r="F2866" s="17">
        <f>IFERROR(__xludf.DUMMYFUNCTION("""COMPUTED_VALUE"""),2.0)</f>
        <v>2</v>
      </c>
      <c r="G2866" s="17" t="str">
        <f>IFERROR(__xludf.DUMMYFUNCTION("""COMPUTED_VALUE"""),"14210102")</f>
        <v>14210102</v>
      </c>
      <c r="H2866" s="17" t="str">
        <f>IFERROR(__xludf.DUMMYFUNCTION("""COMPUTED_VALUE"""),"електричні котли")</f>
        <v>електричні котли</v>
      </c>
      <c r="I2866" s="19">
        <f>IFERROR(__xludf.DUMMYFUNCTION("""COMPUTED_VALUE"""),0.0457)</f>
        <v>0.0457</v>
      </c>
      <c r="J2866" s="19">
        <f>IFERROR(__xludf.DUMMYFUNCTION("""COMPUTED_VALUE"""),0.0914)</f>
        <v>0.0914</v>
      </c>
      <c r="K2866" s="19">
        <f>IFERROR(__xludf.DUMMYFUNCTION("""COMPUTED_VALUE"""),0.1143)</f>
        <v>0.1143</v>
      </c>
      <c r="L2866" s="19">
        <f>IFERROR(__xludf.DUMMYFUNCTION("""COMPUTED_VALUE"""),0.1371)</f>
        <v>0.1371</v>
      </c>
      <c r="M2866" s="18">
        <f>IFERROR(__xludf.DUMMYFUNCTION("""COMPUTED_VALUE"""),3.78)</f>
        <v>3.78</v>
      </c>
    </row>
    <row r="2867">
      <c r="A2867" s="13" t="str">
        <f>IFERROR(__xludf.DUMMYFUNCTION("""COMPUTED_VALUE"""),"товари")</f>
        <v>товари</v>
      </c>
      <c r="B2867" s="16" t="str">
        <f>IFERROR(__xludf.DUMMYFUNCTION("""COMPUTED_VALUE"""),"опалення")</f>
        <v>опалення</v>
      </c>
      <c r="C2867" s="16" t="str">
        <f>IFERROR(__xludf.DUMMYFUNCTION("""COMPUTED_VALUE"""),"опалення, загальне")</f>
        <v>опалення, загальне</v>
      </c>
      <c r="D2867" s="16" t="str">
        <f>IFERROR(__xludf.DUMMYFUNCTION("""COMPUTED_VALUE"""),"опалення, загальне")</f>
        <v>опалення, загальне</v>
      </c>
      <c r="E2867" s="16" t="str">
        <f>IFERROR(__xludf.DUMMYFUNCTION("""COMPUTED_VALUE"""),"опалення, загальне")</f>
        <v>опалення, загальне</v>
      </c>
      <c r="F2867" s="17">
        <f>IFERROR(__xludf.DUMMYFUNCTION("""COMPUTED_VALUE"""),2.0)</f>
        <v>2</v>
      </c>
      <c r="G2867" s="17" t="str">
        <f>IFERROR(__xludf.DUMMYFUNCTION("""COMPUTED_VALUE"""),"5901")</f>
        <v>5901</v>
      </c>
      <c r="H2867" s="17" t="str">
        <f>IFERROR(__xludf.DUMMYFUNCTION("""COMPUTED_VALUE"""),"опалення, загальне")</f>
        <v>опалення, загальне</v>
      </c>
      <c r="I2867" s="19">
        <f>IFERROR(__xludf.DUMMYFUNCTION("""COMPUTED_VALUE"""),0.125)</f>
        <v>0.125</v>
      </c>
      <c r="J2867" s="19">
        <f>IFERROR(__xludf.DUMMYFUNCTION("""COMPUTED_VALUE"""),0.25)</f>
        <v>0.25</v>
      </c>
      <c r="K2867" s="19">
        <f>IFERROR(__xludf.DUMMYFUNCTION("""COMPUTED_VALUE"""),0.3125)</f>
        <v>0.3125</v>
      </c>
      <c r="L2867" s="19">
        <f>IFERROR(__xludf.DUMMYFUNCTION("""COMPUTED_VALUE"""),0.375)</f>
        <v>0.375</v>
      </c>
      <c r="M2867" s="18">
        <f>IFERROR(__xludf.DUMMYFUNCTION("""COMPUTED_VALUE"""),4.33)</f>
        <v>4.33</v>
      </c>
    </row>
    <row r="2868">
      <c r="A2868" s="13" t="str">
        <f>IFERROR(__xludf.DUMMYFUNCTION("""COMPUTED_VALUE"""),"товари")</f>
        <v>товари</v>
      </c>
      <c r="B2868" s="16" t="str">
        <f>IFERROR(__xludf.DUMMYFUNCTION("""COMPUTED_VALUE"""),"подарунки, хобі, книги")</f>
        <v>подарунки, хобі, книги</v>
      </c>
      <c r="C2868" s="16" t="str">
        <f>IFERROR(__xludf.DUMMYFUNCTION("""COMPUTED_VALUE"""),"подарунки і сувеніри")</f>
        <v>подарунки і сувеніри</v>
      </c>
      <c r="D2868" s="16" t="str">
        <f>IFERROR(__xludf.DUMMYFUNCTION("""COMPUTED_VALUE"""),"сувенірні магніти")</f>
        <v>сувенірні магніти</v>
      </c>
      <c r="E2868" s="16" t="str">
        <f>IFERROR(__xludf.DUMMYFUNCTION("""COMPUTED_VALUE"""),"сувенірні магніти")</f>
        <v>сувенірні магніти</v>
      </c>
      <c r="F2868" s="17">
        <f>IFERROR(__xludf.DUMMYFUNCTION("""COMPUTED_VALUE"""),3.0)</f>
        <v>3</v>
      </c>
      <c r="G2868" s="17" t="str">
        <f>IFERROR(__xludf.DUMMYFUNCTION("""COMPUTED_VALUE"""),"170701")</f>
        <v>170701</v>
      </c>
      <c r="H2868" s="17" t="str">
        <f>IFERROR(__xludf.DUMMYFUNCTION("""COMPUTED_VALUE"""),"сувенірні магніти")</f>
        <v>сувенірні магніти</v>
      </c>
      <c r="I2868" s="19">
        <f>IFERROR(__xludf.DUMMYFUNCTION("""COMPUTED_VALUE"""),0.081)</f>
        <v>0.081</v>
      </c>
      <c r="J2868" s="19">
        <f>IFERROR(__xludf.DUMMYFUNCTION("""COMPUTED_VALUE"""),0.1619)</f>
        <v>0.1619</v>
      </c>
      <c r="K2868" s="19">
        <f>IFERROR(__xludf.DUMMYFUNCTION("""COMPUTED_VALUE"""),0.2024)</f>
        <v>0.2024</v>
      </c>
      <c r="L2868" s="19">
        <f>IFERROR(__xludf.DUMMYFUNCTION("""COMPUTED_VALUE"""),0.2429)</f>
        <v>0.2429</v>
      </c>
      <c r="M2868" s="18">
        <f>IFERROR(__xludf.DUMMYFUNCTION("""COMPUTED_VALUE"""),1.05)</f>
        <v>1.05</v>
      </c>
    </row>
    <row r="2869">
      <c r="A2869" s="13" t="str">
        <f>IFERROR(__xludf.DUMMYFUNCTION("""COMPUTED_VALUE"""),"товари")</f>
        <v>товари</v>
      </c>
      <c r="B2869" s="16" t="str">
        <f>IFERROR(__xludf.DUMMYFUNCTION("""COMPUTED_VALUE"""),"подарунки, хобі, книги")</f>
        <v>подарунки, хобі, книги</v>
      </c>
      <c r="C2869" s="16" t="str">
        <f>IFERROR(__xludf.DUMMYFUNCTION("""COMPUTED_VALUE"""),"музичні інструменти")</f>
        <v>музичні інструменти</v>
      </c>
      <c r="D2869" s="16" t="str">
        <f>IFERROR(__xludf.DUMMYFUNCTION("""COMPUTED_VALUE"""),"клавішні інструменти та обладнання")</f>
        <v>клавішні інструменти та обладнання</v>
      </c>
      <c r="E2869" s="16" t="str">
        <f>IFERROR(__xludf.DUMMYFUNCTION("""COMPUTED_VALUE"""),"midi-клавіатури")</f>
        <v>midi-клавіатури</v>
      </c>
      <c r="F2869" s="17">
        <f>IFERROR(__xludf.DUMMYFUNCTION("""COMPUTED_VALUE"""),4.0)</f>
        <v>4</v>
      </c>
      <c r="G2869" s="17" t="str">
        <f>IFERROR(__xludf.DUMMYFUNCTION("""COMPUTED_VALUE"""),"180550")</f>
        <v>180550</v>
      </c>
      <c r="H2869" s="17" t="str">
        <f>IFERROR(__xludf.DUMMYFUNCTION("""COMPUTED_VALUE"""),"midi-клавіатури")</f>
        <v>midi-клавіатури</v>
      </c>
      <c r="I2869" s="19">
        <f>IFERROR(__xludf.DUMMYFUNCTION("""COMPUTED_VALUE"""),0.0539)</f>
        <v>0.0539</v>
      </c>
      <c r="J2869" s="19">
        <f>IFERROR(__xludf.DUMMYFUNCTION("""COMPUTED_VALUE"""),0.1077)</f>
        <v>0.1077</v>
      </c>
      <c r="K2869" s="19">
        <f>IFERROR(__xludf.DUMMYFUNCTION("""COMPUTED_VALUE"""),0.1346)</f>
        <v>0.1346</v>
      </c>
      <c r="L2869" s="19">
        <f>IFERROR(__xludf.DUMMYFUNCTION("""COMPUTED_VALUE"""),0.1616)</f>
        <v>0.1616</v>
      </c>
      <c r="M2869" s="18">
        <f>IFERROR(__xludf.DUMMYFUNCTION("""COMPUTED_VALUE"""),3.9)</f>
        <v>3.9</v>
      </c>
    </row>
    <row r="2870">
      <c r="A2870" s="13" t="str">
        <f>IFERROR(__xludf.DUMMYFUNCTION("""COMPUTED_VALUE"""),"товари")</f>
        <v>товари</v>
      </c>
      <c r="B2870" s="16" t="str">
        <f>IFERROR(__xludf.DUMMYFUNCTION("""COMPUTED_VALUE"""),"подарунки, хобі, книги")</f>
        <v>подарунки, хобі, книги</v>
      </c>
      <c r="C2870" s="16" t="str">
        <f>IFERROR(__xludf.DUMMYFUNCTION("""COMPUTED_VALUE"""),"подарунки і сувеніри")</f>
        <v>подарунки і сувеніри</v>
      </c>
      <c r="D2870" s="16" t="str">
        <f>IFERROR(__xludf.DUMMYFUNCTION("""COMPUTED_VALUE"""),"адвент календарі")</f>
        <v>адвент календарі</v>
      </c>
      <c r="E2870" s="16" t="str">
        <f>IFERROR(__xludf.DUMMYFUNCTION("""COMPUTED_VALUE"""),"адвент календарі")</f>
        <v>адвент календарі</v>
      </c>
      <c r="F2870" s="17">
        <f>IFERROR(__xludf.DUMMYFUNCTION("""COMPUTED_VALUE"""),3.0)</f>
        <v>3</v>
      </c>
      <c r="G2870" s="17" t="str">
        <f>IFERROR(__xludf.DUMMYFUNCTION("""COMPUTED_VALUE"""),"1768")</f>
        <v>1768</v>
      </c>
      <c r="H2870" s="17" t="str">
        <f>IFERROR(__xludf.DUMMYFUNCTION("""COMPUTED_VALUE"""),"адвент календарі")</f>
        <v>адвент календарі</v>
      </c>
      <c r="I2870" s="19">
        <f>IFERROR(__xludf.DUMMYFUNCTION("""COMPUTED_VALUE"""),0.0447)</f>
        <v>0.0447</v>
      </c>
      <c r="J2870" s="19">
        <f>IFERROR(__xludf.DUMMYFUNCTION("""COMPUTED_VALUE"""),0.0893)</f>
        <v>0.0893</v>
      </c>
      <c r="K2870" s="19">
        <f>IFERROR(__xludf.DUMMYFUNCTION("""COMPUTED_VALUE"""),0.1116)</f>
        <v>0.1116</v>
      </c>
      <c r="L2870" s="19">
        <f>IFERROR(__xludf.DUMMYFUNCTION("""COMPUTED_VALUE"""),0.134)</f>
        <v>0.134</v>
      </c>
      <c r="M2870" s="18">
        <f>IFERROR(__xludf.DUMMYFUNCTION("""COMPUTED_VALUE"""),1.05)</f>
        <v>1.05</v>
      </c>
    </row>
    <row r="2871">
      <c r="A2871" s="13" t="str">
        <f>IFERROR(__xludf.DUMMYFUNCTION("""COMPUTED_VALUE"""),"товари")</f>
        <v>товари</v>
      </c>
      <c r="B2871" s="16" t="str">
        <f>IFERROR(__xludf.DUMMYFUNCTION("""COMPUTED_VALUE"""),"подарунки, хобі, книги")</f>
        <v>подарунки, хобі, книги</v>
      </c>
      <c r="C2871" s="16" t="str">
        <f>IFERROR(__xludf.DUMMYFUNCTION("""COMPUTED_VALUE"""),"музичні інструменти")</f>
        <v>музичні інструменти</v>
      </c>
      <c r="D2871" s="16" t="str">
        <f>IFERROR(__xludf.DUMMYFUNCTION("""COMPUTED_VALUE"""),"клавішні інструменти та обладнання")</f>
        <v>клавішні інструменти та обладнання</v>
      </c>
      <c r="E2871" s="16" t="str">
        <f>IFERROR(__xludf.DUMMYFUNCTION("""COMPUTED_VALUE"""),"акордеони, баяни, гармоні")</f>
        <v>акордеони, баяни, гармоні</v>
      </c>
      <c r="F2871" s="17">
        <f>IFERROR(__xludf.DUMMYFUNCTION("""COMPUTED_VALUE"""),4.0)</f>
        <v>4</v>
      </c>
      <c r="G2871" s="17" t="str">
        <f>IFERROR(__xludf.DUMMYFUNCTION("""COMPUTED_VALUE"""),"180517")</f>
        <v>180517</v>
      </c>
      <c r="H2871" s="17" t="str">
        <f>IFERROR(__xludf.DUMMYFUNCTION("""COMPUTED_VALUE"""),"акордеони, баяни, гармоні")</f>
        <v>акордеони, баяни, гармоні</v>
      </c>
      <c r="I2871" s="19">
        <f>IFERROR(__xludf.DUMMYFUNCTION("""COMPUTED_VALUE"""),0.0526)</f>
        <v>0.0526</v>
      </c>
      <c r="J2871" s="19">
        <f>IFERROR(__xludf.DUMMYFUNCTION("""COMPUTED_VALUE"""),0.1051)</f>
        <v>0.1051</v>
      </c>
      <c r="K2871" s="19">
        <f>IFERROR(__xludf.DUMMYFUNCTION("""COMPUTED_VALUE"""),0.1314)</f>
        <v>0.1314</v>
      </c>
      <c r="L2871" s="19">
        <f>IFERROR(__xludf.DUMMYFUNCTION("""COMPUTED_VALUE"""),0.1577)</f>
        <v>0.1577</v>
      </c>
      <c r="M2871" s="18">
        <f>IFERROR(__xludf.DUMMYFUNCTION("""COMPUTED_VALUE"""),3.9)</f>
        <v>3.9</v>
      </c>
    </row>
    <row r="2872">
      <c r="A2872" s="13" t="str">
        <f>IFERROR(__xludf.DUMMYFUNCTION("""COMPUTED_VALUE"""),"товари")</f>
        <v>товари</v>
      </c>
      <c r="B2872" s="16" t="str">
        <f>IFERROR(__xludf.DUMMYFUNCTION("""COMPUTED_VALUE"""),"подарунки, хобі, книги")</f>
        <v>подарунки, хобі, книги</v>
      </c>
      <c r="C2872" s="16" t="str">
        <f>IFERROR(__xludf.DUMMYFUNCTION("""COMPUTED_VALUE"""),"музичні інструменти")</f>
        <v>музичні інструменти</v>
      </c>
      <c r="D2872" s="16" t="str">
        <f>IFERROR(__xludf.DUMMYFUNCTION("""COMPUTED_VALUE"""),"духові інструменти та аксесуари")</f>
        <v>духові інструменти та аксесуари</v>
      </c>
      <c r="E2872" s="16" t="str">
        <f>IFERROR(__xludf.DUMMYFUNCTION("""COMPUTED_VALUE"""),"аксесуари для духових інструментів")</f>
        <v>аксесуари для духових інструментів</v>
      </c>
      <c r="F2872" s="17">
        <f>IFERROR(__xludf.DUMMYFUNCTION("""COMPUTED_VALUE"""),4.0)</f>
        <v>4</v>
      </c>
      <c r="G2872" s="17" t="str">
        <f>IFERROR(__xludf.DUMMYFUNCTION("""COMPUTED_VALUE"""),"180563")</f>
        <v>180563</v>
      </c>
      <c r="H2872" s="17" t="str">
        <f>IFERROR(__xludf.DUMMYFUNCTION("""COMPUTED_VALUE"""),"аксесуари для духових інструментів")</f>
        <v>аксесуари для духових інструментів</v>
      </c>
      <c r="I2872" s="19">
        <f>IFERROR(__xludf.DUMMYFUNCTION("""COMPUTED_VALUE"""),0.056)</f>
        <v>0.056</v>
      </c>
      <c r="J2872" s="19">
        <f>IFERROR(__xludf.DUMMYFUNCTION("""COMPUTED_VALUE"""),0.112)</f>
        <v>0.112</v>
      </c>
      <c r="K2872" s="19">
        <f>IFERROR(__xludf.DUMMYFUNCTION("""COMPUTED_VALUE"""),0.14)</f>
        <v>0.14</v>
      </c>
      <c r="L2872" s="19">
        <f>IFERROR(__xludf.DUMMYFUNCTION("""COMPUTED_VALUE"""),0.168)</f>
        <v>0.168</v>
      </c>
      <c r="M2872" s="18">
        <f>IFERROR(__xludf.DUMMYFUNCTION("""COMPUTED_VALUE"""),2.53)</f>
        <v>2.53</v>
      </c>
    </row>
    <row r="2873">
      <c r="A2873" s="13" t="str">
        <f>IFERROR(__xludf.DUMMYFUNCTION("""COMPUTED_VALUE"""),"товари")</f>
        <v>товари</v>
      </c>
      <c r="B2873" s="16" t="str">
        <f>IFERROR(__xludf.DUMMYFUNCTION("""COMPUTED_VALUE"""),"подарунки, хобі, книги")</f>
        <v>подарунки, хобі, книги</v>
      </c>
      <c r="C2873" s="16" t="str">
        <f>IFERROR(__xludf.DUMMYFUNCTION("""COMPUTED_VALUE"""),"ігри")</f>
        <v>ігри</v>
      </c>
      <c r="D2873" s="16" t="str">
        <f>IFERROR(__xludf.DUMMYFUNCTION("""COMPUTED_VALUE"""),"аксесуари для настільних ігор")</f>
        <v>аксесуари для настільних ігор</v>
      </c>
      <c r="E2873" s="16" t="str">
        <f>IFERROR(__xludf.DUMMYFUNCTION("""COMPUTED_VALUE"""),"аксесуари для настільних ігор")</f>
        <v>аксесуари для настільних ігор</v>
      </c>
      <c r="F2873" s="17">
        <f>IFERROR(__xludf.DUMMYFUNCTION("""COMPUTED_VALUE"""),3.0)</f>
        <v>3</v>
      </c>
      <c r="G2873" s="17" t="str">
        <f>IFERROR(__xludf.DUMMYFUNCTION("""COMPUTED_VALUE"""),"180616")</f>
        <v>180616</v>
      </c>
      <c r="H2873" s="17" t="str">
        <f>IFERROR(__xludf.DUMMYFUNCTION("""COMPUTED_VALUE"""),"аксесуари для настільних ігор")</f>
        <v>аксесуари для настільних ігор</v>
      </c>
      <c r="I2873" s="19">
        <f>IFERROR(__xludf.DUMMYFUNCTION("""COMPUTED_VALUE"""),0.1035)</f>
        <v>0.1035</v>
      </c>
      <c r="J2873" s="19">
        <f>IFERROR(__xludf.DUMMYFUNCTION("""COMPUTED_VALUE"""),0.2069)</f>
        <v>0.2069</v>
      </c>
      <c r="K2873" s="19">
        <f>IFERROR(__xludf.DUMMYFUNCTION("""COMPUTED_VALUE"""),0.2586)</f>
        <v>0.2586</v>
      </c>
      <c r="L2873" s="19">
        <f>IFERROR(__xludf.DUMMYFUNCTION("""COMPUTED_VALUE"""),0.3104)</f>
        <v>0.3104</v>
      </c>
      <c r="M2873" s="18">
        <f>IFERROR(__xludf.DUMMYFUNCTION("""COMPUTED_VALUE"""),1.05)</f>
        <v>1.05</v>
      </c>
    </row>
    <row r="2874">
      <c r="A2874" s="13" t="str">
        <f>IFERROR(__xludf.DUMMYFUNCTION("""COMPUTED_VALUE"""),"товари")</f>
        <v>товари</v>
      </c>
      <c r="B2874" s="16" t="str">
        <f>IFERROR(__xludf.DUMMYFUNCTION("""COMPUTED_VALUE"""),"подарунки, хобі, книги")</f>
        <v>подарунки, хобі, книги</v>
      </c>
      <c r="C2874" s="16" t="str">
        <f>IFERROR(__xludf.DUMMYFUNCTION("""COMPUTED_VALUE"""),"cвяткові прикраси")</f>
        <v>cвяткові прикраси</v>
      </c>
      <c r="D2874" s="16" t="str">
        <f>IFERROR(__xludf.DUMMYFUNCTION("""COMPUTED_VALUE"""),"аксесуари для свята")</f>
        <v>аксесуари для свята</v>
      </c>
      <c r="E2874" s="16" t="str">
        <f>IFERROR(__xludf.DUMMYFUNCTION("""COMPUTED_VALUE"""),"аксесуари для свята")</f>
        <v>аксесуари для свята</v>
      </c>
      <c r="F2874" s="17">
        <f>IFERROR(__xludf.DUMMYFUNCTION("""COMPUTED_VALUE"""),3.0)</f>
        <v>3</v>
      </c>
      <c r="G2874" s="17" t="str">
        <f>IFERROR(__xludf.DUMMYFUNCTION("""COMPUTED_VALUE"""),"175509")</f>
        <v>175509</v>
      </c>
      <c r="H2874" s="17" t="str">
        <f>IFERROR(__xludf.DUMMYFUNCTION("""COMPUTED_VALUE"""),"аксесуари для свята")</f>
        <v>аксесуари для свята</v>
      </c>
      <c r="I2874" s="19">
        <f>IFERROR(__xludf.DUMMYFUNCTION("""COMPUTED_VALUE"""),0.1174)</f>
        <v>0.1174</v>
      </c>
      <c r="J2874" s="19">
        <f>IFERROR(__xludf.DUMMYFUNCTION("""COMPUTED_VALUE"""),0.2348)</f>
        <v>0.2348</v>
      </c>
      <c r="K2874" s="19">
        <f>IFERROR(__xludf.DUMMYFUNCTION("""COMPUTED_VALUE"""),0.2935)</f>
        <v>0.2935</v>
      </c>
      <c r="L2874" s="19">
        <f>IFERROR(__xludf.DUMMYFUNCTION("""COMPUTED_VALUE"""),0.3522)</f>
        <v>0.3522</v>
      </c>
      <c r="M2874" s="18">
        <f>IFERROR(__xludf.DUMMYFUNCTION("""COMPUTED_VALUE"""),1.05)</f>
        <v>1.05</v>
      </c>
    </row>
    <row r="2875">
      <c r="A2875" s="13" t="str">
        <f>IFERROR(__xludf.DUMMYFUNCTION("""COMPUTED_VALUE"""),"товари")</f>
        <v>товари</v>
      </c>
      <c r="B2875" s="16" t="str">
        <f>IFERROR(__xludf.DUMMYFUNCTION("""COMPUTED_VALUE"""),"подарунки, хобі, книги")</f>
        <v>подарунки, хобі, книги</v>
      </c>
      <c r="C2875" s="16" t="str">
        <f>IFERROR(__xludf.DUMMYFUNCTION("""COMPUTED_VALUE"""),"музичні інструменти")</f>
        <v>музичні інструменти</v>
      </c>
      <c r="D2875" s="16" t="str">
        <f>IFERROR(__xludf.DUMMYFUNCTION("""COMPUTED_VALUE"""),"смичкові інструменти та аксесуари")</f>
        <v>смичкові інструменти та аксесуари</v>
      </c>
      <c r="E2875" s="16" t="str">
        <f>IFERROR(__xludf.DUMMYFUNCTION("""COMPUTED_VALUE"""),"аксесуари для смичкових інструментів")</f>
        <v>аксесуари для смичкових інструментів</v>
      </c>
      <c r="F2875" s="17">
        <f>IFERROR(__xludf.DUMMYFUNCTION("""COMPUTED_VALUE"""),4.0)</f>
        <v>4</v>
      </c>
      <c r="G2875" s="17" t="str">
        <f>IFERROR(__xludf.DUMMYFUNCTION("""COMPUTED_VALUE"""),"180562")</f>
        <v>180562</v>
      </c>
      <c r="H2875" s="17" t="str">
        <f>IFERROR(__xludf.DUMMYFUNCTION("""COMPUTED_VALUE"""),"аксесуари для смичкових інструментів")</f>
        <v>аксесуари для смичкових інструментів</v>
      </c>
      <c r="I2875" s="19">
        <f>IFERROR(__xludf.DUMMYFUNCTION("""COMPUTED_VALUE"""),0.0707)</f>
        <v>0.0707</v>
      </c>
      <c r="J2875" s="19">
        <f>IFERROR(__xludf.DUMMYFUNCTION("""COMPUTED_VALUE"""),0.1414)</f>
        <v>0.1414</v>
      </c>
      <c r="K2875" s="19">
        <f>IFERROR(__xludf.DUMMYFUNCTION("""COMPUTED_VALUE"""),0.1768)</f>
        <v>0.1768</v>
      </c>
      <c r="L2875" s="19">
        <f>IFERROR(__xludf.DUMMYFUNCTION("""COMPUTED_VALUE"""),0.2121)</f>
        <v>0.2121</v>
      </c>
      <c r="M2875" s="18">
        <f>IFERROR(__xludf.DUMMYFUNCTION("""COMPUTED_VALUE"""),2.08)</f>
        <v>2.08</v>
      </c>
    </row>
    <row r="2876">
      <c r="A2876" s="13" t="str">
        <f>IFERROR(__xludf.DUMMYFUNCTION("""COMPUTED_VALUE"""),"товари")</f>
        <v>товари</v>
      </c>
      <c r="B2876" s="16" t="str">
        <f>IFERROR(__xludf.DUMMYFUNCTION("""COMPUTED_VALUE"""),"подарунки, хобі, книги")</f>
        <v>подарунки, хобі, книги</v>
      </c>
      <c r="C2876" s="16" t="str">
        <f>IFERROR(__xludf.DUMMYFUNCTION("""COMPUTED_VALUE"""),"музичні інструменти")</f>
        <v>музичні інструменти</v>
      </c>
      <c r="D2876" s="16" t="str">
        <f>IFERROR(__xludf.DUMMYFUNCTION("""COMPUTED_VALUE"""),"ударні музичні інструменти та аксесуари")</f>
        <v>ударні музичні інструменти та аксесуари</v>
      </c>
      <c r="E2876" s="16" t="str">
        <f>IFERROR(__xludf.DUMMYFUNCTION("""COMPUTED_VALUE"""),"аксесуари та комплектуючі для ударних інструментів")</f>
        <v>аксесуари та комплектуючі для ударних інструментів</v>
      </c>
      <c r="F2876" s="17">
        <f>IFERROR(__xludf.DUMMYFUNCTION("""COMPUTED_VALUE"""),4.0)</f>
        <v>4</v>
      </c>
      <c r="G2876" s="17" t="str">
        <f>IFERROR(__xludf.DUMMYFUNCTION("""COMPUTED_VALUE"""),"180537")</f>
        <v>180537</v>
      </c>
      <c r="H2876" s="17" t="str">
        <f>IFERROR(__xludf.DUMMYFUNCTION("""COMPUTED_VALUE"""),"аксесуари та комплектуючі для ударних інструментів")</f>
        <v>аксесуари та комплектуючі для ударних інструментів</v>
      </c>
      <c r="I2876" s="19">
        <f>IFERROR(__xludf.DUMMYFUNCTION("""COMPUTED_VALUE"""),0.0661)</f>
        <v>0.0661</v>
      </c>
      <c r="J2876" s="19">
        <f>IFERROR(__xludf.DUMMYFUNCTION("""COMPUTED_VALUE"""),0.1321)</f>
        <v>0.1321</v>
      </c>
      <c r="K2876" s="19">
        <f>IFERROR(__xludf.DUMMYFUNCTION("""COMPUTED_VALUE"""),0.1651)</f>
        <v>0.1651</v>
      </c>
      <c r="L2876" s="19">
        <f>IFERROR(__xludf.DUMMYFUNCTION("""COMPUTED_VALUE"""),0.1982)</f>
        <v>0.1982</v>
      </c>
      <c r="M2876" s="18">
        <f>IFERROR(__xludf.DUMMYFUNCTION("""COMPUTED_VALUE"""),2.34)</f>
        <v>2.34</v>
      </c>
    </row>
    <row r="2877">
      <c r="A2877" s="13" t="str">
        <f>IFERROR(__xludf.DUMMYFUNCTION("""COMPUTED_VALUE"""),"товари")</f>
        <v>товари</v>
      </c>
      <c r="B2877" s="16" t="str">
        <f>IFERROR(__xludf.DUMMYFUNCTION("""COMPUTED_VALUE"""),"подарунки, хобі, книги")</f>
        <v>подарунки, хобі, книги</v>
      </c>
      <c r="C2877" s="16" t="str">
        <f>IFERROR(__xludf.DUMMYFUNCTION("""COMPUTED_VALUE"""),"cвяткові прикраси")</f>
        <v>cвяткові прикраси</v>
      </c>
      <c r="D2877" s="16" t="str">
        <f>IFERROR(__xludf.DUMMYFUNCTION("""COMPUTED_VALUE"""),"аксесуари та обладнання для повітряних куль")</f>
        <v>аксесуари та обладнання для повітряних куль</v>
      </c>
      <c r="E2877" s="16" t="str">
        <f>IFERROR(__xludf.DUMMYFUNCTION("""COMPUTED_VALUE"""),"аксесуари та обладнання для повітряних куль")</f>
        <v>аксесуари та обладнання для повітряних куль</v>
      </c>
      <c r="F2877" s="17">
        <f>IFERROR(__xludf.DUMMYFUNCTION("""COMPUTED_VALUE"""),3.0)</f>
        <v>3</v>
      </c>
      <c r="G2877" s="17" t="str">
        <f>IFERROR(__xludf.DUMMYFUNCTION("""COMPUTED_VALUE"""),"283081")</f>
        <v>283081</v>
      </c>
      <c r="H2877" s="17" t="str">
        <f>IFERROR(__xludf.DUMMYFUNCTION("""COMPUTED_VALUE"""),"аксесуари та обладнання для повітряних куль")</f>
        <v>аксесуари та обладнання для повітряних куль</v>
      </c>
      <c r="I2877" s="19">
        <f>IFERROR(__xludf.DUMMYFUNCTION("""COMPUTED_VALUE"""),0.0485)</f>
        <v>0.0485</v>
      </c>
      <c r="J2877" s="19">
        <f>IFERROR(__xludf.DUMMYFUNCTION("""COMPUTED_VALUE"""),0.097)</f>
        <v>0.097</v>
      </c>
      <c r="K2877" s="19">
        <f>IFERROR(__xludf.DUMMYFUNCTION("""COMPUTED_VALUE"""),0.1213)</f>
        <v>0.1213</v>
      </c>
      <c r="L2877" s="19">
        <f>IFERROR(__xludf.DUMMYFUNCTION("""COMPUTED_VALUE"""),0.1455)</f>
        <v>0.1455</v>
      </c>
      <c r="M2877" s="18">
        <f>IFERROR(__xludf.DUMMYFUNCTION("""COMPUTED_VALUE"""),1.05)</f>
        <v>1.05</v>
      </c>
    </row>
    <row r="2878">
      <c r="A2878" s="13" t="str">
        <f>IFERROR(__xludf.DUMMYFUNCTION("""COMPUTED_VALUE"""),"товари")</f>
        <v>товари</v>
      </c>
      <c r="B2878" s="16" t="str">
        <f>IFERROR(__xludf.DUMMYFUNCTION("""COMPUTED_VALUE"""),"подарунки, хобі, книги")</f>
        <v>подарунки, хобі, книги</v>
      </c>
      <c r="C2878" s="16" t="str">
        <f>IFERROR(__xludf.DUMMYFUNCTION("""COMPUTED_VALUE"""),"музичні інструменти")</f>
        <v>музичні інструменти</v>
      </c>
      <c r="D2878" s="16" t="str">
        <f>IFERROR(__xludf.DUMMYFUNCTION("""COMPUTED_VALUE"""),"ударні музичні інструменти та аксесуари")</f>
        <v>ударні музичні інструменти та аксесуари</v>
      </c>
      <c r="E2878" s="16" t="str">
        <f>IFERROR(__xludf.DUMMYFUNCTION("""COMPUTED_VALUE"""),"акустичні ударні установки і барабани")</f>
        <v>акустичні ударні установки і барабани</v>
      </c>
      <c r="F2878" s="17">
        <f>IFERROR(__xludf.DUMMYFUNCTION("""COMPUTED_VALUE"""),4.0)</f>
        <v>4</v>
      </c>
      <c r="G2878" s="17" t="str">
        <f>IFERROR(__xludf.DUMMYFUNCTION("""COMPUTED_VALUE"""),"180531")</f>
        <v>180531</v>
      </c>
      <c r="H2878" s="17" t="str">
        <f>IFERROR(__xludf.DUMMYFUNCTION("""COMPUTED_VALUE"""),"акустичні ударні установки і барабани")</f>
        <v>акустичні ударні установки і барабани</v>
      </c>
      <c r="I2878" s="19">
        <f>IFERROR(__xludf.DUMMYFUNCTION("""COMPUTED_VALUE"""),0.0654)</f>
        <v>0.0654</v>
      </c>
      <c r="J2878" s="19">
        <f>IFERROR(__xludf.DUMMYFUNCTION("""COMPUTED_VALUE"""),0.1308)</f>
        <v>0.1308</v>
      </c>
      <c r="K2878" s="19">
        <f>IFERROR(__xludf.DUMMYFUNCTION("""COMPUTED_VALUE"""),0.1635)</f>
        <v>0.1635</v>
      </c>
      <c r="L2878" s="19">
        <f>IFERROR(__xludf.DUMMYFUNCTION("""COMPUTED_VALUE"""),0.1962)</f>
        <v>0.1962</v>
      </c>
      <c r="M2878" s="18">
        <f>IFERROR(__xludf.DUMMYFUNCTION("""COMPUTED_VALUE"""),2.34)</f>
        <v>2.34</v>
      </c>
    </row>
    <row r="2879">
      <c r="A2879" s="13" t="str">
        <f>IFERROR(__xludf.DUMMYFUNCTION("""COMPUTED_VALUE"""),"товари")</f>
        <v>товари</v>
      </c>
      <c r="B2879" s="16" t="str">
        <f>IFERROR(__xludf.DUMMYFUNCTION("""COMPUTED_VALUE"""),"подарунки, хобі, книги")</f>
        <v>подарунки, хобі, книги</v>
      </c>
      <c r="C2879" s="16" t="str">
        <f>IFERROR(__xludf.DUMMYFUNCTION("""COMPUTED_VALUE"""),"рукоділля")</f>
        <v>рукоділля</v>
      </c>
      <c r="D2879" s="16" t="str">
        <f>IFERROR(__xludf.DUMMYFUNCTION("""COMPUTED_VALUE"""),"малювання і аплікація")</f>
        <v>малювання і аплікація</v>
      </c>
      <c r="E2879" s="16" t="str">
        <f>IFERROR(__xludf.DUMMYFUNCTION("""COMPUTED_VALUE"""),"алмазна мозаїка")</f>
        <v>алмазна мозаїка</v>
      </c>
      <c r="F2879" s="17">
        <f>IFERROR(__xludf.DUMMYFUNCTION("""COMPUTED_VALUE"""),4.0)</f>
        <v>4</v>
      </c>
      <c r="G2879" s="17" t="str">
        <f>IFERROR(__xludf.DUMMYFUNCTION("""COMPUTED_VALUE"""),"211133")</f>
        <v>211133</v>
      </c>
      <c r="H2879" s="17" t="str">
        <f>IFERROR(__xludf.DUMMYFUNCTION("""COMPUTED_VALUE"""),"алмазна мозаїка")</f>
        <v>алмазна мозаїка</v>
      </c>
      <c r="I2879" s="19">
        <f>IFERROR(__xludf.DUMMYFUNCTION("""COMPUTED_VALUE"""),0.0785)</f>
        <v>0.0785</v>
      </c>
      <c r="J2879" s="19">
        <f>IFERROR(__xludf.DUMMYFUNCTION("""COMPUTED_VALUE"""),0.157)</f>
        <v>0.157</v>
      </c>
      <c r="K2879" s="19">
        <f>IFERROR(__xludf.DUMMYFUNCTION("""COMPUTED_VALUE"""),0.1963)</f>
        <v>0.1963</v>
      </c>
      <c r="L2879" s="19">
        <f>IFERROR(__xludf.DUMMYFUNCTION("""COMPUTED_VALUE"""),0.2355)</f>
        <v>0.2355</v>
      </c>
      <c r="M2879" s="18">
        <f>IFERROR(__xludf.DUMMYFUNCTION("""COMPUTED_VALUE"""),3.98)</f>
        <v>3.98</v>
      </c>
    </row>
    <row r="2880">
      <c r="A2880" s="13" t="str">
        <f>IFERROR(__xludf.DUMMYFUNCTION("""COMPUTED_VALUE"""),"товари")</f>
        <v>товари</v>
      </c>
      <c r="B2880" s="16" t="str">
        <f>IFERROR(__xludf.DUMMYFUNCTION("""COMPUTED_VALUE"""),"подарунки, хобі, книги")</f>
        <v>подарунки, хобі, книги</v>
      </c>
      <c r="C2880" s="16" t="str">
        <f>IFERROR(__xludf.DUMMYFUNCTION("""COMPUTED_VALUE"""),"аудіо/відео продукція")</f>
        <v>аудіо/відео продукція</v>
      </c>
      <c r="D2880" s="16" t="str">
        <f>IFERROR(__xludf.DUMMYFUNCTION("""COMPUTED_VALUE"""),"аудіо/відео продукція")</f>
        <v>аудіо/відео продукція</v>
      </c>
      <c r="E2880" s="16" t="str">
        <f>IFERROR(__xludf.DUMMYFUNCTION("""COMPUTED_VALUE"""),"аудіо/відео продукція")</f>
        <v>аудіо/відео продукція</v>
      </c>
      <c r="F2880" s="17">
        <f>IFERROR(__xludf.DUMMYFUNCTION("""COMPUTED_VALUE"""),2.0)</f>
        <v>2</v>
      </c>
      <c r="G2880" s="17" t="str">
        <f>IFERROR(__xludf.DUMMYFUNCTION("""COMPUTED_VALUE"""),"2203")</f>
        <v>2203</v>
      </c>
      <c r="H2880" s="17" t="str">
        <f>IFERROR(__xludf.DUMMYFUNCTION("""COMPUTED_VALUE"""),"аудіо/відео продукція")</f>
        <v>аудіо/відео продукція</v>
      </c>
      <c r="I2880" s="19">
        <f>IFERROR(__xludf.DUMMYFUNCTION("""COMPUTED_VALUE"""),0.0678)</f>
        <v>0.0678</v>
      </c>
      <c r="J2880" s="19">
        <f>IFERROR(__xludf.DUMMYFUNCTION("""COMPUTED_VALUE"""),0.1355)</f>
        <v>0.1355</v>
      </c>
      <c r="K2880" s="19">
        <f>IFERROR(__xludf.DUMMYFUNCTION("""COMPUTED_VALUE"""),0.1694)</f>
        <v>0.1694</v>
      </c>
      <c r="L2880" s="19">
        <f>IFERROR(__xludf.DUMMYFUNCTION("""COMPUTED_VALUE"""),0.2033)</f>
        <v>0.2033</v>
      </c>
      <c r="M2880" s="18">
        <f>IFERROR(__xludf.DUMMYFUNCTION("""COMPUTED_VALUE"""),1.05)</f>
        <v>1.05</v>
      </c>
    </row>
    <row r="2881">
      <c r="A2881" s="13" t="str">
        <f>IFERROR(__xludf.DUMMYFUNCTION("""COMPUTED_VALUE"""),"товари")</f>
        <v>товари</v>
      </c>
      <c r="B2881" s="16" t="str">
        <f>IFERROR(__xludf.DUMMYFUNCTION("""COMPUTED_VALUE"""),"подарунки, хобі, книги")</f>
        <v>подарунки, хобі, книги</v>
      </c>
      <c r="C2881" s="16" t="str">
        <f>IFERROR(__xludf.DUMMYFUNCTION("""COMPUTED_VALUE"""),"музичні інструменти")</f>
        <v>музичні інструменти</v>
      </c>
      <c r="D2881" s="16" t="str">
        <f>IFERROR(__xludf.DUMMYFUNCTION("""COMPUTED_VALUE"""),"ударні музичні інструменти та аксесуари")</f>
        <v>ударні музичні інструменти та аксесуари</v>
      </c>
      <c r="E2881" s="16" t="str">
        <f>IFERROR(__xludf.DUMMYFUNCTION("""COMPUTED_VALUE"""),"барабанні палички, щітки, рукавички")</f>
        <v>барабанні палички, щітки, рукавички</v>
      </c>
      <c r="F2881" s="17">
        <f>IFERROR(__xludf.DUMMYFUNCTION("""COMPUTED_VALUE"""),4.0)</f>
        <v>4</v>
      </c>
      <c r="G2881" s="17" t="str">
        <f>IFERROR(__xludf.DUMMYFUNCTION("""COMPUTED_VALUE"""),"180520")</f>
        <v>180520</v>
      </c>
      <c r="H2881" s="17" t="str">
        <f>IFERROR(__xludf.DUMMYFUNCTION("""COMPUTED_VALUE"""),"барабанні палички, щітки, рукавички")</f>
        <v>барабанні палички, щітки, рукавички</v>
      </c>
      <c r="I2881" s="19">
        <f>IFERROR(__xludf.DUMMYFUNCTION("""COMPUTED_VALUE"""),0.0703)</f>
        <v>0.0703</v>
      </c>
      <c r="J2881" s="19">
        <f>IFERROR(__xludf.DUMMYFUNCTION("""COMPUTED_VALUE"""),0.1406)</f>
        <v>0.1406</v>
      </c>
      <c r="K2881" s="19">
        <f>IFERROR(__xludf.DUMMYFUNCTION("""COMPUTED_VALUE"""),0.1758)</f>
        <v>0.1758</v>
      </c>
      <c r="L2881" s="19">
        <f>IFERROR(__xludf.DUMMYFUNCTION("""COMPUTED_VALUE"""),0.2109)</f>
        <v>0.2109</v>
      </c>
      <c r="M2881" s="18">
        <f>IFERROR(__xludf.DUMMYFUNCTION("""COMPUTED_VALUE"""),2.34)</f>
        <v>2.34</v>
      </c>
    </row>
    <row r="2882">
      <c r="A2882" s="13" t="str">
        <f>IFERROR(__xludf.DUMMYFUNCTION("""COMPUTED_VALUE"""),"товари")</f>
        <v>товари</v>
      </c>
      <c r="B2882" s="16" t="str">
        <f>IFERROR(__xludf.DUMMYFUNCTION("""COMPUTED_VALUE"""),"подарунки, хобі, книги")</f>
        <v>подарунки, хобі, книги</v>
      </c>
      <c r="C2882" s="16" t="str">
        <f>IFERROR(__xludf.DUMMYFUNCTION("""COMPUTED_VALUE"""),"рукоділля")</f>
        <v>рукоділля</v>
      </c>
      <c r="D2882" s="16" t="str">
        <f>IFERROR(__xludf.DUMMYFUNCTION("""COMPUTED_VALUE"""),"миловаріння та виготовлення свічок")</f>
        <v>миловаріння та виготовлення свічок</v>
      </c>
      <c r="E2882" s="16" t="str">
        <f>IFERROR(__xludf.DUMMYFUNCTION("""COMPUTED_VALUE"""),"барвники, пігменти для мила")</f>
        <v>барвники, пігменти для мила</v>
      </c>
      <c r="F2882" s="17">
        <f>IFERROR(__xludf.DUMMYFUNCTION("""COMPUTED_VALUE"""),4.0)</f>
        <v>4</v>
      </c>
      <c r="G2882" s="17" t="str">
        <f>IFERROR(__xludf.DUMMYFUNCTION("""COMPUTED_VALUE"""),"15250905")</f>
        <v>15250905</v>
      </c>
      <c r="H2882" s="17" t="str">
        <f>IFERROR(__xludf.DUMMYFUNCTION("""COMPUTED_VALUE"""),"барвники, пігменти для мила")</f>
        <v>барвники, пігменти для мила</v>
      </c>
      <c r="I2882" s="19">
        <f>IFERROR(__xludf.DUMMYFUNCTION("""COMPUTED_VALUE"""),0.0631)</f>
        <v>0.0631</v>
      </c>
      <c r="J2882" s="19">
        <f>IFERROR(__xludf.DUMMYFUNCTION("""COMPUTED_VALUE"""),0.1261)</f>
        <v>0.1261</v>
      </c>
      <c r="K2882" s="19">
        <f>IFERROR(__xludf.DUMMYFUNCTION("""COMPUTED_VALUE"""),0.1576)</f>
        <v>0.1576</v>
      </c>
      <c r="L2882" s="19">
        <f>IFERROR(__xludf.DUMMYFUNCTION("""COMPUTED_VALUE"""),0.1892)</f>
        <v>0.1892</v>
      </c>
      <c r="M2882" s="18">
        <f>IFERROR(__xludf.DUMMYFUNCTION("""COMPUTED_VALUE"""),1.26)</f>
        <v>1.26</v>
      </c>
    </row>
    <row r="2883">
      <c r="A2883" s="13" t="str">
        <f>IFERROR(__xludf.DUMMYFUNCTION("""COMPUTED_VALUE"""),"товари")</f>
        <v>товари</v>
      </c>
      <c r="B2883" s="16" t="str">
        <f>IFERROR(__xludf.DUMMYFUNCTION("""COMPUTED_VALUE"""),"подарунки, хобі, книги")</f>
        <v>подарунки, хобі, книги</v>
      </c>
      <c r="C2883" s="16" t="str">
        <f>IFERROR(__xludf.DUMMYFUNCTION("""COMPUTED_VALUE"""),"cвяткові прикраси")</f>
        <v>cвяткові прикраси</v>
      </c>
      <c r="D2883" s="16" t="str">
        <f>IFERROR(__xludf.DUMMYFUNCTION("""COMPUTED_VALUE"""),"бенгальські вогні")</f>
        <v>бенгальські вогні</v>
      </c>
      <c r="E2883" s="16" t="str">
        <f>IFERROR(__xludf.DUMMYFUNCTION("""COMPUTED_VALUE"""),"бенгальські вогні")</f>
        <v>бенгальські вогні</v>
      </c>
      <c r="F2883" s="17">
        <f>IFERROR(__xludf.DUMMYFUNCTION("""COMPUTED_VALUE"""),3.0)</f>
        <v>3</v>
      </c>
      <c r="G2883" s="17" t="str">
        <f>IFERROR(__xludf.DUMMYFUNCTION("""COMPUTED_VALUE"""),"175508")</f>
        <v>175508</v>
      </c>
      <c r="H2883" s="17" t="str">
        <f>IFERROR(__xludf.DUMMYFUNCTION("""COMPUTED_VALUE"""),"бенгальські вогні")</f>
        <v>бенгальські вогні</v>
      </c>
      <c r="I2883" s="19">
        <f>IFERROR(__xludf.DUMMYFUNCTION("""COMPUTED_VALUE"""),0.0909)</f>
        <v>0.0909</v>
      </c>
      <c r="J2883" s="19">
        <f>IFERROR(__xludf.DUMMYFUNCTION("""COMPUTED_VALUE"""),0.1817)</f>
        <v>0.1817</v>
      </c>
      <c r="K2883" s="19">
        <f>IFERROR(__xludf.DUMMYFUNCTION("""COMPUTED_VALUE"""),0.2271)</f>
        <v>0.2271</v>
      </c>
      <c r="L2883" s="19">
        <f>IFERROR(__xludf.DUMMYFUNCTION("""COMPUTED_VALUE"""),0.2726)</f>
        <v>0.2726</v>
      </c>
      <c r="M2883" s="18">
        <f>IFERROR(__xludf.DUMMYFUNCTION("""COMPUTED_VALUE"""),1.05)</f>
        <v>1.05</v>
      </c>
    </row>
    <row r="2884">
      <c r="A2884" s="13" t="str">
        <f>IFERROR(__xludf.DUMMYFUNCTION("""COMPUTED_VALUE"""),"товари")</f>
        <v>товари</v>
      </c>
      <c r="B2884" s="16" t="str">
        <f>IFERROR(__xludf.DUMMYFUNCTION("""COMPUTED_VALUE"""),"подарунки, хобі, книги")</f>
        <v>подарунки, хобі, книги</v>
      </c>
      <c r="C2884" s="16" t="str">
        <f>IFERROR(__xludf.DUMMYFUNCTION("""COMPUTED_VALUE"""),"книги, журнали, друкована продукція")</f>
        <v>книги, журнали, друкована продукція</v>
      </c>
      <c r="D2884" s="16" t="str">
        <f>IFERROR(__xludf.DUMMYFUNCTION("""COMPUTED_VALUE"""),"книги")</f>
        <v>книги</v>
      </c>
      <c r="E2884" s="16" t="str">
        <f>IFERROR(__xludf.DUMMYFUNCTION("""COMPUTED_VALUE"""),"бізнес-книги")</f>
        <v>бізнес-книги</v>
      </c>
      <c r="F2884" s="17">
        <f>IFERROR(__xludf.DUMMYFUNCTION("""COMPUTED_VALUE"""),4.0)</f>
        <v>4</v>
      </c>
      <c r="G2884" s="17" t="str">
        <f>IFERROR(__xludf.DUMMYFUNCTION("""COMPUTED_VALUE"""),"220228")</f>
        <v>220228</v>
      </c>
      <c r="H2884" s="17" t="str">
        <f>IFERROR(__xludf.DUMMYFUNCTION("""COMPUTED_VALUE"""),"бізнес-книги")</f>
        <v>бізнес-книги</v>
      </c>
      <c r="I2884" s="19">
        <f>IFERROR(__xludf.DUMMYFUNCTION("""COMPUTED_VALUE"""),0.0758)</f>
        <v>0.0758</v>
      </c>
      <c r="J2884" s="19">
        <f>IFERROR(__xludf.DUMMYFUNCTION("""COMPUTED_VALUE"""),0.1516)</f>
        <v>0.1516</v>
      </c>
      <c r="K2884" s="19">
        <f>IFERROR(__xludf.DUMMYFUNCTION("""COMPUTED_VALUE"""),0.1895)</f>
        <v>0.1895</v>
      </c>
      <c r="L2884" s="19">
        <f>IFERROR(__xludf.DUMMYFUNCTION("""COMPUTED_VALUE"""),0.2274)</f>
        <v>0.2274</v>
      </c>
      <c r="M2884" s="18">
        <f>IFERROR(__xludf.DUMMYFUNCTION("""COMPUTED_VALUE"""),3.43)</f>
        <v>3.43</v>
      </c>
    </row>
    <row r="2885">
      <c r="A2885" s="13" t="str">
        <f>IFERROR(__xludf.DUMMYFUNCTION("""COMPUTED_VALUE"""),"товари")</f>
        <v>товари</v>
      </c>
      <c r="B2885" s="16" t="str">
        <f>IFERROR(__xludf.DUMMYFUNCTION("""COMPUTED_VALUE"""),"подарунки, хобі, книги")</f>
        <v>подарунки, хобі, книги</v>
      </c>
      <c r="C2885" s="16" t="str">
        <f>IFERROR(__xludf.DUMMYFUNCTION("""COMPUTED_VALUE"""),"рукоділля")</f>
        <v>рукоділля</v>
      </c>
      <c r="D2885" s="16" t="str">
        <f>IFERROR(__xludf.DUMMYFUNCTION("""COMPUTED_VALUE"""),"вишивка та бісероплетіння")</f>
        <v>вишивка та бісероплетіння</v>
      </c>
      <c r="E2885" s="16" t="str">
        <f>IFERROR(__xludf.DUMMYFUNCTION("""COMPUTED_VALUE"""),"бісер")</f>
        <v>бісер</v>
      </c>
      <c r="F2885" s="17">
        <f>IFERROR(__xludf.DUMMYFUNCTION("""COMPUTED_VALUE"""),4.0)</f>
        <v>4</v>
      </c>
      <c r="G2885" s="17" t="str">
        <f>IFERROR(__xludf.DUMMYFUNCTION("""COMPUTED_VALUE"""),"15251005")</f>
        <v>15251005</v>
      </c>
      <c r="H2885" s="17" t="str">
        <f>IFERROR(__xludf.DUMMYFUNCTION("""COMPUTED_VALUE"""),"бісер")</f>
        <v>бісер</v>
      </c>
      <c r="I2885" s="19">
        <f>IFERROR(__xludf.DUMMYFUNCTION("""COMPUTED_VALUE"""),0.0762)</f>
        <v>0.0762</v>
      </c>
      <c r="J2885" s="19">
        <f>IFERROR(__xludf.DUMMYFUNCTION("""COMPUTED_VALUE"""),0.1524)</f>
        <v>0.1524</v>
      </c>
      <c r="K2885" s="19">
        <f>IFERROR(__xludf.DUMMYFUNCTION("""COMPUTED_VALUE"""),0.1905)</f>
        <v>0.1905</v>
      </c>
      <c r="L2885" s="19">
        <f>IFERROR(__xludf.DUMMYFUNCTION("""COMPUTED_VALUE"""),0.2286)</f>
        <v>0.2286</v>
      </c>
      <c r="M2885" s="18">
        <f>IFERROR(__xludf.DUMMYFUNCTION("""COMPUTED_VALUE"""),1.05)</f>
        <v>1.05</v>
      </c>
    </row>
    <row r="2886">
      <c r="A2886" s="13" t="str">
        <f>IFERROR(__xludf.DUMMYFUNCTION("""COMPUTED_VALUE"""),"товари")</f>
        <v>товари</v>
      </c>
      <c r="B2886" s="16" t="str">
        <f>IFERROR(__xludf.DUMMYFUNCTION("""COMPUTED_VALUE"""),"подарунки, хобі, книги")</f>
        <v>подарунки, хобі, книги</v>
      </c>
      <c r="C2886" s="16" t="str">
        <f>IFERROR(__xludf.DUMMYFUNCTION("""COMPUTED_VALUE"""),"рукоділля")</f>
        <v>рукоділля</v>
      </c>
      <c r="D2886" s="16" t="str">
        <f>IFERROR(__xludf.DUMMYFUNCTION("""COMPUTED_VALUE"""),"вишивка та бісероплетіння")</f>
        <v>вишивка та бісероплетіння</v>
      </c>
      <c r="E2886" s="16" t="str">
        <f>IFERROR(__xludf.DUMMYFUNCTION("""COMPUTED_VALUE"""),"бісерне рукоділля")</f>
        <v>бісерне рукоділля</v>
      </c>
      <c r="F2886" s="17">
        <f>IFERROR(__xludf.DUMMYFUNCTION("""COMPUTED_VALUE"""),4.0)</f>
        <v>4</v>
      </c>
      <c r="G2886" s="17" t="str">
        <f>IFERROR(__xludf.DUMMYFUNCTION("""COMPUTED_VALUE"""),"152517")</f>
        <v>152517</v>
      </c>
      <c r="H2886" s="17" t="str">
        <f>IFERROR(__xludf.DUMMYFUNCTION("""COMPUTED_VALUE"""),"бісерне рукоділля")</f>
        <v>бісерне рукоділля</v>
      </c>
      <c r="I2886" s="19">
        <f>IFERROR(__xludf.DUMMYFUNCTION("""COMPUTED_VALUE"""),0.0775)</f>
        <v>0.0775</v>
      </c>
      <c r="J2886" s="19">
        <f>IFERROR(__xludf.DUMMYFUNCTION("""COMPUTED_VALUE"""),0.155)</f>
        <v>0.155</v>
      </c>
      <c r="K2886" s="19">
        <f>IFERROR(__xludf.DUMMYFUNCTION("""COMPUTED_VALUE"""),0.1938)</f>
        <v>0.1938</v>
      </c>
      <c r="L2886" s="19">
        <f>IFERROR(__xludf.DUMMYFUNCTION("""COMPUTED_VALUE"""),0.2325)</f>
        <v>0.2325</v>
      </c>
      <c r="M2886" s="18">
        <f>IFERROR(__xludf.DUMMYFUNCTION("""COMPUTED_VALUE"""),1.05)</f>
        <v>1.05</v>
      </c>
    </row>
    <row r="2887">
      <c r="A2887" s="13" t="str">
        <f>IFERROR(__xludf.DUMMYFUNCTION("""COMPUTED_VALUE"""),"товари")</f>
        <v>товари</v>
      </c>
      <c r="B2887" s="16" t="str">
        <f>IFERROR(__xludf.DUMMYFUNCTION("""COMPUTED_VALUE"""),"подарунки, хобі, книги")</f>
        <v>подарунки, хобі, книги</v>
      </c>
      <c r="C2887" s="16" t="str">
        <f>IFERROR(__xludf.DUMMYFUNCTION("""COMPUTED_VALUE"""),"подарунки і сувеніри")</f>
        <v>подарунки і сувеніри</v>
      </c>
      <c r="D2887" s="16" t="str">
        <f>IFERROR(__xludf.DUMMYFUNCTION("""COMPUTED_VALUE"""),"брелоки")</f>
        <v>брелоки</v>
      </c>
      <c r="E2887" s="16" t="str">
        <f>IFERROR(__xludf.DUMMYFUNCTION("""COMPUTED_VALUE"""),"брелоки")</f>
        <v>брелоки</v>
      </c>
      <c r="F2887" s="17">
        <f>IFERROR(__xludf.DUMMYFUNCTION("""COMPUTED_VALUE"""),3.0)</f>
        <v>3</v>
      </c>
      <c r="G2887" s="17" t="str">
        <f>IFERROR(__xludf.DUMMYFUNCTION("""COMPUTED_VALUE"""),"170702")</f>
        <v>170702</v>
      </c>
      <c r="H2887" s="17" t="str">
        <f>IFERROR(__xludf.DUMMYFUNCTION("""COMPUTED_VALUE"""),"брелоки")</f>
        <v>брелоки</v>
      </c>
      <c r="I2887" s="19">
        <f>IFERROR(__xludf.DUMMYFUNCTION("""COMPUTED_VALUE"""),0.0985)</f>
        <v>0.0985</v>
      </c>
      <c r="J2887" s="19">
        <f>IFERROR(__xludf.DUMMYFUNCTION("""COMPUTED_VALUE"""),0.1969)</f>
        <v>0.1969</v>
      </c>
      <c r="K2887" s="19">
        <f>IFERROR(__xludf.DUMMYFUNCTION("""COMPUTED_VALUE"""),0.2461)</f>
        <v>0.2461</v>
      </c>
      <c r="L2887" s="19">
        <f>IFERROR(__xludf.DUMMYFUNCTION("""COMPUTED_VALUE"""),0.2954)</f>
        <v>0.2954</v>
      </c>
      <c r="M2887" s="18">
        <f>IFERROR(__xludf.DUMMYFUNCTION("""COMPUTED_VALUE"""),1.05)</f>
        <v>1.05</v>
      </c>
    </row>
    <row r="2888">
      <c r="A2888" s="13" t="str">
        <f>IFERROR(__xludf.DUMMYFUNCTION("""COMPUTED_VALUE"""),"товари")</f>
        <v>товари</v>
      </c>
      <c r="B2888" s="16" t="str">
        <f>IFERROR(__xludf.DUMMYFUNCTION("""COMPUTED_VALUE"""),"подарунки, хобі, книги")</f>
        <v>подарунки, хобі, книги</v>
      </c>
      <c r="C2888" s="16" t="str">
        <f>IFERROR(__xludf.DUMMYFUNCTION("""COMPUTED_VALUE"""),"рукоділля")</f>
        <v>рукоділля</v>
      </c>
      <c r="D2888" s="16" t="str">
        <f>IFERROR(__xludf.DUMMYFUNCTION("""COMPUTED_VALUE"""),"в'язання та валяння")</f>
        <v>в'язання та валяння</v>
      </c>
      <c r="E2888" s="16" t="str">
        <f>IFERROR(__xludf.DUMMYFUNCTION("""COMPUTED_VALUE"""),"в'язання та валяння, загальне")</f>
        <v>в'язання та валяння, загальне</v>
      </c>
      <c r="F2888" s="17">
        <f>IFERROR(__xludf.DUMMYFUNCTION("""COMPUTED_VALUE"""),4.0)</f>
        <v>4</v>
      </c>
      <c r="G2888" s="17" t="str">
        <f>IFERROR(__xludf.DUMMYFUNCTION("""COMPUTED_VALUE"""),"15252301")</f>
        <v>15252301</v>
      </c>
      <c r="H2888" s="17" t="str">
        <f>IFERROR(__xludf.DUMMYFUNCTION("""COMPUTED_VALUE"""),"в'язання та валяння, загальне")</f>
        <v>в'язання та валяння, загальне</v>
      </c>
      <c r="I2888" s="19">
        <f>IFERROR(__xludf.DUMMYFUNCTION("""COMPUTED_VALUE"""),0.125)</f>
        <v>0.125</v>
      </c>
      <c r="J2888" s="19">
        <f>IFERROR(__xludf.DUMMYFUNCTION("""COMPUTED_VALUE"""),0.25)</f>
        <v>0.25</v>
      </c>
      <c r="K2888" s="19">
        <f>IFERROR(__xludf.DUMMYFUNCTION("""COMPUTED_VALUE"""),0.3125)</f>
        <v>0.3125</v>
      </c>
      <c r="L2888" s="19">
        <f>IFERROR(__xludf.DUMMYFUNCTION("""COMPUTED_VALUE"""),0.375)</f>
        <v>0.375</v>
      </c>
      <c r="M2888" s="18">
        <f>IFERROR(__xludf.DUMMYFUNCTION("""COMPUTED_VALUE"""),4.33)</f>
        <v>4.33</v>
      </c>
    </row>
    <row r="2889">
      <c r="A2889" s="13" t="str">
        <f>IFERROR(__xludf.DUMMYFUNCTION("""COMPUTED_VALUE"""),"товари")</f>
        <v>товари</v>
      </c>
      <c r="B2889" s="16" t="str">
        <f>IFERROR(__xludf.DUMMYFUNCTION("""COMPUTED_VALUE"""),"подарунки, хобі, книги")</f>
        <v>подарунки, хобі, книги</v>
      </c>
      <c r="C2889" s="16" t="str">
        <f>IFERROR(__xludf.DUMMYFUNCTION("""COMPUTED_VALUE"""),"cвяткові прикраси")</f>
        <v>cвяткові прикраси</v>
      </c>
      <c r="D2889" s="16" t="str">
        <f>IFERROR(__xludf.DUMMYFUNCTION("""COMPUTED_VALUE"""),"великодні подарунки та прикраси")</f>
        <v>великодні подарунки та прикраси</v>
      </c>
      <c r="E2889" s="16" t="str">
        <f>IFERROR(__xludf.DUMMYFUNCTION("""COMPUTED_VALUE"""),"великодні подарунки та прикраси")</f>
        <v>великодні подарунки та прикраси</v>
      </c>
      <c r="F2889" s="17">
        <f>IFERROR(__xludf.DUMMYFUNCTION("""COMPUTED_VALUE"""),3.0)</f>
        <v>3</v>
      </c>
      <c r="G2889" s="17" t="str">
        <f>IFERROR(__xludf.DUMMYFUNCTION("""COMPUTED_VALUE"""),"1740")</f>
        <v>1740</v>
      </c>
      <c r="H2889" s="17" t="str">
        <f>IFERROR(__xludf.DUMMYFUNCTION("""COMPUTED_VALUE"""),"великодні подарунки та прикраси")</f>
        <v>великодні подарунки та прикраси</v>
      </c>
      <c r="I2889" s="19">
        <f>IFERROR(__xludf.DUMMYFUNCTION("""COMPUTED_VALUE"""),0.1143)</f>
        <v>0.1143</v>
      </c>
      <c r="J2889" s="19">
        <f>IFERROR(__xludf.DUMMYFUNCTION("""COMPUTED_VALUE"""),0.2285)</f>
        <v>0.2285</v>
      </c>
      <c r="K2889" s="19">
        <f>IFERROR(__xludf.DUMMYFUNCTION("""COMPUTED_VALUE"""),0.2856)</f>
        <v>0.2856</v>
      </c>
      <c r="L2889" s="19">
        <f>IFERROR(__xludf.DUMMYFUNCTION("""COMPUTED_VALUE"""),0.3428)</f>
        <v>0.3428</v>
      </c>
      <c r="M2889" s="18">
        <f>IFERROR(__xludf.DUMMYFUNCTION("""COMPUTED_VALUE"""),2.08)</f>
        <v>2.08</v>
      </c>
    </row>
    <row r="2890">
      <c r="A2890" s="13" t="str">
        <f>IFERROR(__xludf.DUMMYFUNCTION("""COMPUTED_VALUE"""),"товари")</f>
        <v>товари</v>
      </c>
      <c r="B2890" s="16" t="str">
        <f>IFERROR(__xludf.DUMMYFUNCTION("""COMPUTED_VALUE"""),"подарунки, хобі, книги")</f>
        <v>подарунки, хобі, книги</v>
      </c>
      <c r="C2890" s="16" t="str">
        <f>IFERROR(__xludf.DUMMYFUNCTION("""COMPUTED_VALUE"""),"рукоділля")</f>
        <v>рукоділля</v>
      </c>
      <c r="D2890" s="16" t="str">
        <f>IFERROR(__xludf.DUMMYFUNCTION("""COMPUTED_VALUE"""),"виготовлення ножів")</f>
        <v>виготовлення ножів</v>
      </c>
      <c r="E2890" s="16" t="str">
        <f>IFERROR(__xludf.DUMMYFUNCTION("""COMPUTED_VALUE"""),"виготовлення ножів")</f>
        <v>виготовлення ножів</v>
      </c>
      <c r="F2890" s="17">
        <f>IFERROR(__xludf.DUMMYFUNCTION("""COMPUTED_VALUE"""),3.0)</f>
        <v>3</v>
      </c>
      <c r="G2890" s="17" t="str">
        <f>IFERROR(__xludf.DUMMYFUNCTION("""COMPUTED_VALUE"""),"152529")</f>
        <v>152529</v>
      </c>
      <c r="H2890" s="17" t="str">
        <f>IFERROR(__xludf.DUMMYFUNCTION("""COMPUTED_VALUE"""),"виготовлення ножів")</f>
        <v>виготовлення ножів</v>
      </c>
      <c r="I2890" s="19">
        <f>IFERROR(__xludf.DUMMYFUNCTION("""COMPUTED_VALUE"""),0.0734)</f>
        <v>0.0734</v>
      </c>
      <c r="J2890" s="19">
        <f>IFERROR(__xludf.DUMMYFUNCTION("""COMPUTED_VALUE"""),0.1468)</f>
        <v>0.1468</v>
      </c>
      <c r="K2890" s="19">
        <f>IFERROR(__xludf.DUMMYFUNCTION("""COMPUTED_VALUE"""),0.1835)</f>
        <v>0.1835</v>
      </c>
      <c r="L2890" s="19">
        <f>IFERROR(__xludf.DUMMYFUNCTION("""COMPUTED_VALUE"""),0.2202)</f>
        <v>0.2202</v>
      </c>
      <c r="M2890" s="18">
        <f>IFERROR(__xludf.DUMMYFUNCTION("""COMPUTED_VALUE"""),1.05)</f>
        <v>1.05</v>
      </c>
    </row>
    <row r="2891">
      <c r="A2891" s="13" t="str">
        <f>IFERROR(__xludf.DUMMYFUNCTION("""COMPUTED_VALUE"""),"товари")</f>
        <v>товари</v>
      </c>
      <c r="B2891" s="16" t="str">
        <f>IFERROR(__xludf.DUMMYFUNCTION("""COMPUTED_VALUE"""),"подарунки, хобі, книги")</f>
        <v>подарунки, хобі, книги</v>
      </c>
      <c r="C2891" s="16" t="str">
        <f>IFERROR(__xludf.DUMMYFUNCTION("""COMPUTED_VALUE"""),"рукоділля")</f>
        <v>рукоділля</v>
      </c>
      <c r="D2891" s="16" t="str">
        <f>IFERROR(__xludf.DUMMYFUNCTION("""COMPUTED_VALUE"""),"вишивка та бісероплетіння")</f>
        <v>вишивка та бісероплетіння</v>
      </c>
      <c r="E2891" s="16" t="str">
        <f>IFERROR(__xludf.DUMMYFUNCTION("""COMPUTED_VALUE"""),"вишивка та бісероплетіння, загальне")</f>
        <v>вишивка та бісероплетіння, загальне</v>
      </c>
      <c r="F2891" s="17">
        <f>IFERROR(__xludf.DUMMYFUNCTION("""COMPUTED_VALUE"""),4.0)</f>
        <v>4</v>
      </c>
      <c r="G2891" s="17" t="str">
        <f>IFERROR(__xludf.DUMMYFUNCTION("""COMPUTED_VALUE"""),"152501")</f>
        <v>152501</v>
      </c>
      <c r="H2891" s="17" t="str">
        <f>IFERROR(__xludf.DUMMYFUNCTION("""COMPUTED_VALUE"""),"вишивка та бісероплетіння, загальне")</f>
        <v>вишивка та бісероплетіння, загальне</v>
      </c>
      <c r="I2891" s="19">
        <f>IFERROR(__xludf.DUMMYFUNCTION("""COMPUTED_VALUE"""),0.125)</f>
        <v>0.125</v>
      </c>
      <c r="J2891" s="19">
        <f>IFERROR(__xludf.DUMMYFUNCTION("""COMPUTED_VALUE"""),0.25)</f>
        <v>0.25</v>
      </c>
      <c r="K2891" s="19">
        <f>IFERROR(__xludf.DUMMYFUNCTION("""COMPUTED_VALUE"""),0.3125)</f>
        <v>0.3125</v>
      </c>
      <c r="L2891" s="19">
        <f>IFERROR(__xludf.DUMMYFUNCTION("""COMPUTED_VALUE"""),0.375)</f>
        <v>0.375</v>
      </c>
      <c r="M2891" s="18">
        <f>IFERROR(__xludf.DUMMYFUNCTION("""COMPUTED_VALUE"""),4.33)</f>
        <v>4.33</v>
      </c>
    </row>
    <row r="2892">
      <c r="A2892" s="13" t="str">
        <f>IFERROR(__xludf.DUMMYFUNCTION("""COMPUTED_VALUE"""),"товари")</f>
        <v>товари</v>
      </c>
      <c r="B2892" s="16" t="str">
        <f>IFERROR(__xludf.DUMMYFUNCTION("""COMPUTED_VALUE"""),"подарунки, хобі, книги")</f>
        <v>подарунки, хобі, книги</v>
      </c>
      <c r="C2892" s="16" t="str">
        <f>IFERROR(__xludf.DUMMYFUNCTION("""COMPUTED_VALUE"""),"кальяни і аксесуари до них")</f>
        <v>кальяни і аксесуари до них</v>
      </c>
      <c r="D2892" s="16" t="str">
        <f>IFERROR(__xludf.DUMMYFUNCTION("""COMPUTED_VALUE"""),"вугілля та фольга для кальянів")</f>
        <v>вугілля та фольга для кальянів</v>
      </c>
      <c r="E2892" s="16" t="str">
        <f>IFERROR(__xludf.DUMMYFUNCTION("""COMPUTED_VALUE"""),"вугілля та фольга для кальянів")</f>
        <v>вугілля та фольга для кальянів</v>
      </c>
      <c r="F2892" s="17">
        <f>IFERROR(__xludf.DUMMYFUNCTION("""COMPUTED_VALUE"""),3.0)</f>
        <v>3</v>
      </c>
      <c r="G2892" s="17" t="str">
        <f>IFERROR(__xludf.DUMMYFUNCTION("""COMPUTED_VALUE"""),"152611")</f>
        <v>152611</v>
      </c>
      <c r="H2892" s="17" t="str">
        <f>IFERROR(__xludf.DUMMYFUNCTION("""COMPUTED_VALUE"""),"вугілля та фольга для кальянів")</f>
        <v>вугілля та фольга для кальянів</v>
      </c>
      <c r="I2892" s="19">
        <f>IFERROR(__xludf.DUMMYFUNCTION("""COMPUTED_VALUE"""),0.0746)</f>
        <v>0.0746</v>
      </c>
      <c r="J2892" s="19">
        <f>IFERROR(__xludf.DUMMYFUNCTION("""COMPUTED_VALUE"""),0.1492)</f>
        <v>0.1492</v>
      </c>
      <c r="K2892" s="19">
        <f>IFERROR(__xludf.DUMMYFUNCTION("""COMPUTED_VALUE"""),0.1865)</f>
        <v>0.1865</v>
      </c>
      <c r="L2892" s="19">
        <f>IFERROR(__xludf.DUMMYFUNCTION("""COMPUTED_VALUE"""),0.2238)</f>
        <v>0.2238</v>
      </c>
      <c r="M2892" s="18">
        <f>IFERROR(__xludf.DUMMYFUNCTION("""COMPUTED_VALUE"""),1.98)</f>
        <v>1.98</v>
      </c>
    </row>
    <row r="2893">
      <c r="A2893" s="13" t="str">
        <f>IFERROR(__xludf.DUMMYFUNCTION("""COMPUTED_VALUE"""),"товари")</f>
        <v>товари</v>
      </c>
      <c r="B2893" s="16" t="str">
        <f>IFERROR(__xludf.DUMMYFUNCTION("""COMPUTED_VALUE"""),"подарунки, хобі, книги")</f>
        <v>подарунки, хобі, книги</v>
      </c>
      <c r="C2893" s="16" t="str">
        <f>IFERROR(__xludf.DUMMYFUNCTION("""COMPUTED_VALUE"""),"музичні інструменти")</f>
        <v>музичні інструменти</v>
      </c>
      <c r="D2893" s="16" t="str">
        <f>IFERROR(__xludf.DUMMYFUNCTION("""COMPUTED_VALUE"""),"гітари та обладнання")</f>
        <v>гітари та обладнання</v>
      </c>
      <c r="E2893" s="16" t="str">
        <f>IFERROR(__xludf.DUMMYFUNCTION("""COMPUTED_VALUE"""),"гітари та обладнання, загальне")</f>
        <v>гітари та обладнання, загальне</v>
      </c>
      <c r="F2893" s="17">
        <f>IFERROR(__xludf.DUMMYFUNCTION("""COMPUTED_VALUE"""),4.0)</f>
        <v>4</v>
      </c>
      <c r="G2893" s="17" t="str">
        <f>IFERROR(__xludf.DUMMYFUNCTION("""COMPUTED_VALUE"""),"180526")</f>
        <v>180526</v>
      </c>
      <c r="H2893" s="17" t="str">
        <f>IFERROR(__xludf.DUMMYFUNCTION("""COMPUTED_VALUE"""),"гітари та обладнання, загальне")</f>
        <v>гітари та обладнання, загальне</v>
      </c>
      <c r="I2893" s="19">
        <f>IFERROR(__xludf.DUMMYFUNCTION("""COMPUTED_VALUE"""),0.125)</f>
        <v>0.125</v>
      </c>
      <c r="J2893" s="19">
        <f>IFERROR(__xludf.DUMMYFUNCTION("""COMPUTED_VALUE"""),0.25)</f>
        <v>0.25</v>
      </c>
      <c r="K2893" s="19">
        <f>IFERROR(__xludf.DUMMYFUNCTION("""COMPUTED_VALUE"""),0.3125)</f>
        <v>0.3125</v>
      </c>
      <c r="L2893" s="19">
        <f>IFERROR(__xludf.DUMMYFUNCTION("""COMPUTED_VALUE"""),0.375)</f>
        <v>0.375</v>
      </c>
      <c r="M2893" s="18">
        <f>IFERROR(__xludf.DUMMYFUNCTION("""COMPUTED_VALUE"""),4.33)</f>
        <v>4.33</v>
      </c>
    </row>
    <row r="2894">
      <c r="A2894" s="13" t="str">
        <f>IFERROR(__xludf.DUMMYFUNCTION("""COMPUTED_VALUE"""),"товари")</f>
        <v>товари</v>
      </c>
      <c r="B2894" s="16" t="str">
        <f>IFERROR(__xludf.DUMMYFUNCTION("""COMPUTED_VALUE"""),"подарунки, хобі, книги")</f>
        <v>подарунки, хобі, книги</v>
      </c>
      <c r="C2894" s="16" t="str">
        <f>IFERROR(__xludf.DUMMYFUNCTION("""COMPUTED_VALUE"""),"музичні інструменти")</f>
        <v>музичні інструменти</v>
      </c>
      <c r="D2894" s="16" t="str">
        <f>IFERROR(__xludf.DUMMYFUNCTION("""COMPUTED_VALUE"""),"гітари та обладнання")</f>
        <v>гітари та обладнання</v>
      </c>
      <c r="E2894" s="16" t="str">
        <f>IFERROR(__xludf.DUMMYFUNCTION("""COMPUTED_VALUE"""),"гітари, струнні інструменти")</f>
        <v>гітари, струнні інструменти</v>
      </c>
      <c r="F2894" s="17">
        <f>IFERROR(__xludf.DUMMYFUNCTION("""COMPUTED_VALUE"""),4.0)</f>
        <v>4</v>
      </c>
      <c r="G2894" s="17" t="str">
        <f>IFERROR(__xludf.DUMMYFUNCTION("""COMPUTED_VALUE"""),"180509")</f>
        <v>180509</v>
      </c>
      <c r="H2894" s="17" t="str">
        <f>IFERROR(__xludf.DUMMYFUNCTION("""COMPUTED_VALUE"""),"гітари, струнні інструменти")</f>
        <v>гітари, струнні інструменти</v>
      </c>
      <c r="I2894" s="19">
        <f>IFERROR(__xludf.DUMMYFUNCTION("""COMPUTED_VALUE"""),0.0636)</f>
        <v>0.0636</v>
      </c>
      <c r="J2894" s="19">
        <f>IFERROR(__xludf.DUMMYFUNCTION("""COMPUTED_VALUE"""),0.1272)</f>
        <v>0.1272</v>
      </c>
      <c r="K2894" s="19">
        <f>IFERROR(__xludf.DUMMYFUNCTION("""COMPUTED_VALUE"""),0.159)</f>
        <v>0.159</v>
      </c>
      <c r="L2894" s="19">
        <f>IFERROR(__xludf.DUMMYFUNCTION("""COMPUTED_VALUE"""),0.1908)</f>
        <v>0.1908</v>
      </c>
      <c r="M2894" s="18">
        <f>IFERROR(__xludf.DUMMYFUNCTION("""COMPUTED_VALUE"""),4.41)</f>
        <v>4.41</v>
      </c>
    </row>
    <row r="2895">
      <c r="A2895" s="13" t="str">
        <f>IFERROR(__xludf.DUMMYFUNCTION("""COMPUTED_VALUE"""),"товари")</f>
        <v>товари</v>
      </c>
      <c r="B2895" s="16" t="str">
        <f>IFERROR(__xludf.DUMMYFUNCTION("""COMPUTED_VALUE"""),"подарунки, хобі, книги")</f>
        <v>подарунки, хобі, книги</v>
      </c>
      <c r="C2895" s="16" t="str">
        <f>IFERROR(__xludf.DUMMYFUNCTION("""COMPUTED_VALUE"""),"музичні інструменти")</f>
        <v>музичні інструменти</v>
      </c>
      <c r="D2895" s="16" t="str">
        <f>IFERROR(__xludf.DUMMYFUNCTION("""COMPUTED_VALUE"""),"гітари та обладнання")</f>
        <v>гітари та обладнання</v>
      </c>
      <c r="E2895" s="16" t="str">
        <f>IFERROR(__xludf.DUMMYFUNCTION("""COMPUTED_VALUE"""),"гітарна електроніка і фурнітура")</f>
        <v>гітарна електроніка і фурнітура</v>
      </c>
      <c r="F2895" s="17">
        <f>IFERROR(__xludf.DUMMYFUNCTION("""COMPUTED_VALUE"""),4.0)</f>
        <v>4</v>
      </c>
      <c r="G2895" s="17" t="str">
        <f>IFERROR(__xludf.DUMMYFUNCTION("""COMPUTED_VALUE"""),"180546")</f>
        <v>180546</v>
      </c>
      <c r="H2895" s="17" t="str">
        <f>IFERROR(__xludf.DUMMYFUNCTION("""COMPUTED_VALUE"""),"гітарна електроніка і фурнітура")</f>
        <v>гітарна електроніка і фурнітура</v>
      </c>
      <c r="I2895" s="19">
        <f>IFERROR(__xludf.DUMMYFUNCTION("""COMPUTED_VALUE"""),0.0617)</f>
        <v>0.0617</v>
      </c>
      <c r="J2895" s="19">
        <f>IFERROR(__xludf.DUMMYFUNCTION("""COMPUTED_VALUE"""),0.1233)</f>
        <v>0.1233</v>
      </c>
      <c r="K2895" s="19">
        <f>IFERROR(__xludf.DUMMYFUNCTION("""COMPUTED_VALUE"""),0.1541)</f>
        <v>0.1541</v>
      </c>
      <c r="L2895" s="19">
        <f>IFERROR(__xludf.DUMMYFUNCTION("""COMPUTED_VALUE"""),0.185)</f>
        <v>0.185</v>
      </c>
      <c r="M2895" s="18">
        <f>IFERROR(__xludf.DUMMYFUNCTION("""COMPUTED_VALUE"""),4.41)</f>
        <v>4.41</v>
      </c>
    </row>
    <row r="2896">
      <c r="A2896" s="13" t="str">
        <f>IFERROR(__xludf.DUMMYFUNCTION("""COMPUTED_VALUE"""),"товари")</f>
        <v>товари</v>
      </c>
      <c r="B2896" s="16" t="str">
        <f>IFERROR(__xludf.DUMMYFUNCTION("""COMPUTED_VALUE"""),"подарунки, хобі, книги")</f>
        <v>подарунки, хобі, книги</v>
      </c>
      <c r="C2896" s="16" t="str">
        <f>IFERROR(__xludf.DUMMYFUNCTION("""COMPUTED_VALUE"""),"музичні інструменти")</f>
        <v>музичні інструменти</v>
      </c>
      <c r="D2896" s="16" t="str">
        <f>IFERROR(__xludf.DUMMYFUNCTION("""COMPUTED_VALUE"""),"гітари та обладнання")</f>
        <v>гітари та обладнання</v>
      </c>
      <c r="E2896" s="16" t="str">
        <f>IFERROR(__xludf.DUMMYFUNCTION("""COMPUTED_VALUE"""),"гітарні динаміки, лампи посилення")</f>
        <v>гітарні динаміки, лампи посилення</v>
      </c>
      <c r="F2896" s="17">
        <f>IFERROR(__xludf.DUMMYFUNCTION("""COMPUTED_VALUE"""),4.0)</f>
        <v>4</v>
      </c>
      <c r="G2896" s="17" t="str">
        <f>IFERROR(__xludf.DUMMYFUNCTION("""COMPUTED_VALUE"""),"180545")</f>
        <v>180545</v>
      </c>
      <c r="H2896" s="17" t="str">
        <f>IFERROR(__xludf.DUMMYFUNCTION("""COMPUTED_VALUE"""),"гітарні динаміки, лампи посилення")</f>
        <v>гітарні динаміки, лампи посилення</v>
      </c>
      <c r="I2896" s="19">
        <f>IFERROR(__xludf.DUMMYFUNCTION("""COMPUTED_VALUE"""),0.0582)</f>
        <v>0.0582</v>
      </c>
      <c r="J2896" s="19">
        <f>IFERROR(__xludf.DUMMYFUNCTION("""COMPUTED_VALUE"""),0.1164)</f>
        <v>0.1164</v>
      </c>
      <c r="K2896" s="19">
        <f>IFERROR(__xludf.DUMMYFUNCTION("""COMPUTED_VALUE"""),0.1455)</f>
        <v>0.1455</v>
      </c>
      <c r="L2896" s="19">
        <f>IFERROR(__xludf.DUMMYFUNCTION("""COMPUTED_VALUE"""),0.1746)</f>
        <v>0.1746</v>
      </c>
      <c r="M2896" s="18">
        <f>IFERROR(__xludf.DUMMYFUNCTION("""COMPUTED_VALUE"""),4.41)</f>
        <v>4.41</v>
      </c>
    </row>
    <row r="2897">
      <c r="A2897" s="13" t="str">
        <f>IFERROR(__xludf.DUMMYFUNCTION("""COMPUTED_VALUE"""),"товари")</f>
        <v>товари</v>
      </c>
      <c r="B2897" s="16" t="str">
        <f>IFERROR(__xludf.DUMMYFUNCTION("""COMPUTED_VALUE"""),"подарунки, хобі, книги")</f>
        <v>подарунки, хобі, книги</v>
      </c>
      <c r="C2897" s="16" t="str">
        <f>IFERROR(__xludf.DUMMYFUNCTION("""COMPUTED_VALUE"""),"музичні інструменти")</f>
        <v>музичні інструменти</v>
      </c>
      <c r="D2897" s="16" t="str">
        <f>IFERROR(__xludf.DUMMYFUNCTION("""COMPUTED_VALUE"""),"гітари та обладнання")</f>
        <v>гітари та обладнання</v>
      </c>
      <c r="E2897" s="16" t="str">
        <f>IFERROR(__xludf.DUMMYFUNCTION("""COMPUTED_VALUE"""),"гітарні педалі і процесори")</f>
        <v>гітарні педалі і процесори</v>
      </c>
      <c r="F2897" s="17">
        <f>IFERROR(__xludf.DUMMYFUNCTION("""COMPUTED_VALUE"""),4.0)</f>
        <v>4</v>
      </c>
      <c r="G2897" s="17" t="str">
        <f>IFERROR(__xludf.DUMMYFUNCTION("""COMPUTED_VALUE"""),"180533")</f>
        <v>180533</v>
      </c>
      <c r="H2897" s="17" t="str">
        <f>IFERROR(__xludf.DUMMYFUNCTION("""COMPUTED_VALUE"""),"гітарні педалі і процесори")</f>
        <v>гітарні педалі і процесори</v>
      </c>
      <c r="I2897" s="19">
        <f>IFERROR(__xludf.DUMMYFUNCTION("""COMPUTED_VALUE"""),0.0582)</f>
        <v>0.0582</v>
      </c>
      <c r="J2897" s="19">
        <f>IFERROR(__xludf.DUMMYFUNCTION("""COMPUTED_VALUE"""),0.1164)</f>
        <v>0.1164</v>
      </c>
      <c r="K2897" s="19">
        <f>IFERROR(__xludf.DUMMYFUNCTION("""COMPUTED_VALUE"""),0.1455)</f>
        <v>0.1455</v>
      </c>
      <c r="L2897" s="19">
        <f>IFERROR(__xludf.DUMMYFUNCTION("""COMPUTED_VALUE"""),0.1746)</f>
        <v>0.1746</v>
      </c>
      <c r="M2897" s="18">
        <f>IFERROR(__xludf.DUMMYFUNCTION("""COMPUTED_VALUE"""),4.41)</f>
        <v>4.41</v>
      </c>
    </row>
    <row r="2898">
      <c r="A2898" s="13" t="str">
        <f>IFERROR(__xludf.DUMMYFUNCTION("""COMPUTED_VALUE"""),"товари")</f>
        <v>товари</v>
      </c>
      <c r="B2898" s="16" t="str">
        <f>IFERROR(__xludf.DUMMYFUNCTION("""COMPUTED_VALUE"""),"подарунки, хобі, книги")</f>
        <v>подарунки, хобі, книги</v>
      </c>
      <c r="C2898" s="16" t="str">
        <f>IFERROR(__xludf.DUMMYFUNCTION("""COMPUTED_VALUE"""),"музичні інструменти")</f>
        <v>музичні інструменти</v>
      </c>
      <c r="D2898" s="16" t="str">
        <f>IFERROR(__xludf.DUMMYFUNCTION("""COMPUTED_VALUE"""),"гітари та обладнання")</f>
        <v>гітари та обладнання</v>
      </c>
      <c r="E2898" s="16" t="str">
        <f>IFERROR(__xludf.DUMMYFUNCTION("""COMPUTED_VALUE"""),"гітарні ремені, стреплоки")</f>
        <v>гітарні ремені, стреплоки</v>
      </c>
      <c r="F2898" s="17">
        <f>IFERROR(__xludf.DUMMYFUNCTION("""COMPUTED_VALUE"""),4.0)</f>
        <v>4</v>
      </c>
      <c r="G2898" s="17" t="str">
        <f>IFERROR(__xludf.DUMMYFUNCTION("""COMPUTED_VALUE"""),"180539")</f>
        <v>180539</v>
      </c>
      <c r="H2898" s="17" t="str">
        <f>IFERROR(__xludf.DUMMYFUNCTION("""COMPUTED_VALUE"""),"гітарні ремені, стреплоки")</f>
        <v>гітарні ремені, стреплоки</v>
      </c>
      <c r="I2898" s="19">
        <f>IFERROR(__xludf.DUMMYFUNCTION("""COMPUTED_VALUE"""),0.0669)</f>
        <v>0.0669</v>
      </c>
      <c r="J2898" s="19">
        <f>IFERROR(__xludf.DUMMYFUNCTION("""COMPUTED_VALUE"""),0.1337)</f>
        <v>0.1337</v>
      </c>
      <c r="K2898" s="19">
        <f>IFERROR(__xludf.DUMMYFUNCTION("""COMPUTED_VALUE"""),0.1671)</f>
        <v>0.1671</v>
      </c>
      <c r="L2898" s="19">
        <f>IFERROR(__xludf.DUMMYFUNCTION("""COMPUTED_VALUE"""),0.2006)</f>
        <v>0.2006</v>
      </c>
      <c r="M2898" s="18">
        <f>IFERROR(__xludf.DUMMYFUNCTION("""COMPUTED_VALUE"""),4.41)</f>
        <v>4.41</v>
      </c>
    </row>
    <row r="2899">
      <c r="A2899" s="13" t="str">
        <f>IFERROR(__xludf.DUMMYFUNCTION("""COMPUTED_VALUE"""),"товари")</f>
        <v>товари</v>
      </c>
      <c r="B2899" s="16" t="str">
        <f>IFERROR(__xludf.DUMMYFUNCTION("""COMPUTED_VALUE"""),"подарунки, хобі, книги")</f>
        <v>подарунки, хобі, книги</v>
      </c>
      <c r="C2899" s="16" t="str">
        <f>IFERROR(__xludf.DUMMYFUNCTION("""COMPUTED_VALUE"""),"ігри")</f>
        <v>ігри</v>
      </c>
      <c r="D2899" s="16" t="str">
        <f>IFERROR(__xludf.DUMMYFUNCTION("""COMPUTED_VALUE"""),"гральні карти")</f>
        <v>гральні карти</v>
      </c>
      <c r="E2899" s="16" t="str">
        <f>IFERROR(__xludf.DUMMYFUNCTION("""COMPUTED_VALUE"""),"гральні карти")</f>
        <v>гральні карти</v>
      </c>
      <c r="F2899" s="17">
        <f>IFERROR(__xludf.DUMMYFUNCTION("""COMPUTED_VALUE"""),3.0)</f>
        <v>3</v>
      </c>
      <c r="G2899" s="17" t="str">
        <f>IFERROR(__xludf.DUMMYFUNCTION("""COMPUTED_VALUE"""),"180609")</f>
        <v>180609</v>
      </c>
      <c r="H2899" s="17" t="str">
        <f>IFERROR(__xludf.DUMMYFUNCTION("""COMPUTED_VALUE"""),"гральні карти")</f>
        <v>гральні карти</v>
      </c>
      <c r="I2899" s="19">
        <f>IFERROR(__xludf.DUMMYFUNCTION("""COMPUTED_VALUE"""),0.1174)</f>
        <v>0.1174</v>
      </c>
      <c r="J2899" s="19">
        <f>IFERROR(__xludf.DUMMYFUNCTION("""COMPUTED_VALUE"""),0.2348)</f>
        <v>0.2348</v>
      </c>
      <c r="K2899" s="19">
        <f>IFERROR(__xludf.DUMMYFUNCTION("""COMPUTED_VALUE"""),0.2935)</f>
        <v>0.2935</v>
      </c>
      <c r="L2899" s="19">
        <f>IFERROR(__xludf.DUMMYFUNCTION("""COMPUTED_VALUE"""),0.3522)</f>
        <v>0.3522</v>
      </c>
      <c r="M2899" s="18">
        <f>IFERROR(__xludf.DUMMYFUNCTION("""COMPUTED_VALUE"""),1.05)</f>
        <v>1.05</v>
      </c>
    </row>
    <row r="2900">
      <c r="A2900" s="13" t="str">
        <f>IFERROR(__xludf.DUMMYFUNCTION("""COMPUTED_VALUE"""),"товари")</f>
        <v>товари</v>
      </c>
      <c r="B2900" s="16" t="str">
        <f>IFERROR(__xludf.DUMMYFUNCTION("""COMPUTED_VALUE"""),"подарунки, хобі, книги")</f>
        <v>подарунки, хобі, книги</v>
      </c>
      <c r="C2900" s="16" t="str">
        <f>IFERROR(__xludf.DUMMYFUNCTION("""COMPUTED_VALUE"""),"музичні інструменти")</f>
        <v>музичні інструменти</v>
      </c>
      <c r="D2900" s="16" t="str">
        <f>IFERROR(__xludf.DUMMYFUNCTION("""COMPUTED_VALUE"""),"духові інструменти та аксесуари")</f>
        <v>духові інструменти та аксесуари</v>
      </c>
      <c r="E2900" s="16" t="str">
        <f>IFERROR(__xludf.DUMMYFUNCTION("""COMPUTED_VALUE"""),"губні гармошки")</f>
        <v>губні гармошки</v>
      </c>
      <c r="F2900" s="17">
        <f>IFERROR(__xludf.DUMMYFUNCTION("""COMPUTED_VALUE"""),4.0)</f>
        <v>4</v>
      </c>
      <c r="G2900" s="17" t="str">
        <f>IFERROR(__xludf.DUMMYFUNCTION("""COMPUTED_VALUE"""),"180565")</f>
        <v>180565</v>
      </c>
      <c r="H2900" s="17" t="str">
        <f>IFERROR(__xludf.DUMMYFUNCTION("""COMPUTED_VALUE"""),"губні гармошки")</f>
        <v>губні гармошки</v>
      </c>
      <c r="I2900" s="19">
        <f>IFERROR(__xludf.DUMMYFUNCTION("""COMPUTED_VALUE"""),0.0713)</f>
        <v>0.0713</v>
      </c>
      <c r="J2900" s="19">
        <f>IFERROR(__xludf.DUMMYFUNCTION("""COMPUTED_VALUE"""),0.1426)</f>
        <v>0.1426</v>
      </c>
      <c r="K2900" s="19">
        <f>IFERROR(__xludf.DUMMYFUNCTION("""COMPUTED_VALUE"""),0.1783)</f>
        <v>0.1783</v>
      </c>
      <c r="L2900" s="19">
        <f>IFERROR(__xludf.DUMMYFUNCTION("""COMPUTED_VALUE"""),0.2139)</f>
        <v>0.2139</v>
      </c>
      <c r="M2900" s="18">
        <f>IFERROR(__xludf.DUMMYFUNCTION("""COMPUTED_VALUE"""),2.53)</f>
        <v>2.53</v>
      </c>
    </row>
    <row r="2901">
      <c r="A2901" s="13" t="str">
        <f>IFERROR(__xludf.DUMMYFUNCTION("""COMPUTED_VALUE"""),"товари")</f>
        <v>товари</v>
      </c>
      <c r="B2901" s="16" t="str">
        <f>IFERROR(__xludf.DUMMYFUNCTION("""COMPUTED_VALUE"""),"подарунки, хобі, книги")</f>
        <v>подарунки, хобі, книги</v>
      </c>
      <c r="C2901" s="16" t="str">
        <f>IFERROR(__xludf.DUMMYFUNCTION("""COMPUTED_VALUE"""),"рукоділля")</f>
        <v>рукоділля</v>
      </c>
      <c r="D2901" s="16" t="str">
        <f>IFERROR(__xludf.DUMMYFUNCTION("""COMPUTED_VALUE"""),"шиття")</f>
        <v>шиття</v>
      </c>
      <c r="E2901" s="16" t="str">
        <f>IFERROR(__xludf.DUMMYFUNCTION("""COMPUTED_VALUE"""),"гудзики")</f>
        <v>гудзики</v>
      </c>
      <c r="F2901" s="17">
        <f>IFERROR(__xludf.DUMMYFUNCTION("""COMPUTED_VALUE"""),4.0)</f>
        <v>4</v>
      </c>
      <c r="G2901" s="17" t="str">
        <f>IFERROR(__xludf.DUMMYFUNCTION("""COMPUTED_VALUE"""),"32810")</f>
        <v>32810</v>
      </c>
      <c r="H2901" s="17" t="str">
        <f>IFERROR(__xludf.DUMMYFUNCTION("""COMPUTED_VALUE"""),"гудзики")</f>
        <v>гудзики</v>
      </c>
      <c r="I2901" s="19">
        <f>IFERROR(__xludf.DUMMYFUNCTION("""COMPUTED_VALUE"""),0.0775)</f>
        <v>0.0775</v>
      </c>
      <c r="J2901" s="19">
        <f>IFERROR(__xludf.DUMMYFUNCTION("""COMPUTED_VALUE"""),0.155)</f>
        <v>0.155</v>
      </c>
      <c r="K2901" s="19">
        <f>IFERROR(__xludf.DUMMYFUNCTION("""COMPUTED_VALUE"""),0.1938)</f>
        <v>0.1938</v>
      </c>
      <c r="L2901" s="19">
        <f>IFERROR(__xludf.DUMMYFUNCTION("""COMPUTED_VALUE"""),0.2325)</f>
        <v>0.2325</v>
      </c>
      <c r="M2901" s="18">
        <f>IFERROR(__xludf.DUMMYFUNCTION("""COMPUTED_VALUE"""),2.34)</f>
        <v>2.34</v>
      </c>
    </row>
    <row r="2902">
      <c r="A2902" s="13" t="str">
        <f>IFERROR(__xludf.DUMMYFUNCTION("""COMPUTED_VALUE"""),"товари")</f>
        <v>товари</v>
      </c>
      <c r="B2902" s="16" t="str">
        <f>IFERROR(__xludf.DUMMYFUNCTION("""COMPUTED_VALUE"""),"подарунки, хобі, книги")</f>
        <v>подарунки, хобі, книги</v>
      </c>
      <c r="C2902" s="16" t="str">
        <f>IFERROR(__xludf.DUMMYFUNCTION("""COMPUTED_VALUE"""),"ігри")</f>
        <v>ігри</v>
      </c>
      <c r="D2902" s="16" t="str">
        <f>IFERROR(__xludf.DUMMYFUNCTION("""COMPUTED_VALUE"""),"дартс")</f>
        <v>дартс</v>
      </c>
      <c r="E2902" s="16" t="str">
        <f>IFERROR(__xludf.DUMMYFUNCTION("""COMPUTED_VALUE"""),"дартс")</f>
        <v>дартс</v>
      </c>
      <c r="F2902" s="17">
        <f>IFERROR(__xludf.DUMMYFUNCTION("""COMPUTED_VALUE"""),3.0)</f>
        <v>3</v>
      </c>
      <c r="G2902" s="17" t="str">
        <f>IFERROR(__xludf.DUMMYFUNCTION("""COMPUTED_VALUE"""),"180602")</f>
        <v>180602</v>
      </c>
      <c r="H2902" s="17" t="str">
        <f>IFERROR(__xludf.DUMMYFUNCTION("""COMPUTED_VALUE"""),"дартс")</f>
        <v>дартс</v>
      </c>
      <c r="I2902" s="19">
        <f>IFERROR(__xludf.DUMMYFUNCTION("""COMPUTED_VALUE"""),0.0796)</f>
        <v>0.0796</v>
      </c>
      <c r="J2902" s="19">
        <f>IFERROR(__xludf.DUMMYFUNCTION("""COMPUTED_VALUE"""),0.1592)</f>
        <v>0.1592</v>
      </c>
      <c r="K2902" s="19">
        <f>IFERROR(__xludf.DUMMYFUNCTION("""COMPUTED_VALUE"""),0.199)</f>
        <v>0.199</v>
      </c>
      <c r="L2902" s="19">
        <f>IFERROR(__xludf.DUMMYFUNCTION("""COMPUTED_VALUE"""),0.2388)</f>
        <v>0.2388</v>
      </c>
      <c r="M2902" s="18">
        <f>IFERROR(__xludf.DUMMYFUNCTION("""COMPUTED_VALUE"""),2.7)</f>
        <v>2.7</v>
      </c>
    </row>
    <row r="2903">
      <c r="A2903" s="13" t="str">
        <f>IFERROR(__xludf.DUMMYFUNCTION("""COMPUTED_VALUE"""),"товари")</f>
        <v>товари</v>
      </c>
      <c r="B2903" s="16" t="str">
        <f>IFERROR(__xludf.DUMMYFUNCTION("""COMPUTED_VALUE"""),"подарунки, хобі, книги")</f>
        <v>подарунки, хобі, книги</v>
      </c>
      <c r="C2903" s="16" t="str">
        <f>IFERROR(__xludf.DUMMYFUNCTION("""COMPUTED_VALUE"""),"рукоділля")</f>
        <v>рукоділля</v>
      </c>
      <c r="D2903" s="16" t="str">
        <f>IFERROR(__xludf.DUMMYFUNCTION("""COMPUTED_VALUE"""),"шиття")</f>
        <v>шиття</v>
      </c>
      <c r="E2903" s="16" t="str">
        <f>IFERROR(__xludf.DUMMYFUNCTION("""COMPUTED_VALUE"""),"декор для шиття та рукоділля")</f>
        <v>декор для шиття та рукоділля</v>
      </c>
      <c r="F2903" s="17">
        <f>IFERROR(__xludf.DUMMYFUNCTION("""COMPUTED_VALUE"""),4.0)</f>
        <v>4</v>
      </c>
      <c r="G2903" s="17" t="str">
        <f>IFERROR(__xludf.DUMMYFUNCTION("""COMPUTED_VALUE"""),"32812")</f>
        <v>32812</v>
      </c>
      <c r="H2903" s="17" t="str">
        <f>IFERROR(__xludf.DUMMYFUNCTION("""COMPUTED_VALUE"""),"декор для шиття та рукоділля")</f>
        <v>декор для шиття та рукоділля</v>
      </c>
      <c r="I2903" s="19">
        <f>IFERROR(__xludf.DUMMYFUNCTION("""COMPUTED_VALUE"""),0.0772)</f>
        <v>0.0772</v>
      </c>
      <c r="J2903" s="19">
        <f>IFERROR(__xludf.DUMMYFUNCTION("""COMPUTED_VALUE"""),0.1543)</f>
        <v>0.1543</v>
      </c>
      <c r="K2903" s="19">
        <f>IFERROR(__xludf.DUMMYFUNCTION("""COMPUTED_VALUE"""),0.1929)</f>
        <v>0.1929</v>
      </c>
      <c r="L2903" s="19">
        <f>IFERROR(__xludf.DUMMYFUNCTION("""COMPUTED_VALUE"""),0.2315)</f>
        <v>0.2315</v>
      </c>
      <c r="M2903" s="18">
        <f>IFERROR(__xludf.DUMMYFUNCTION("""COMPUTED_VALUE"""),2.34)</f>
        <v>2.34</v>
      </c>
    </row>
    <row r="2904">
      <c r="A2904" s="13" t="str">
        <f>IFERROR(__xludf.DUMMYFUNCTION("""COMPUTED_VALUE"""),"товари")</f>
        <v>товари</v>
      </c>
      <c r="B2904" s="16" t="str">
        <f>IFERROR(__xludf.DUMMYFUNCTION("""COMPUTED_VALUE"""),"товари для дому")</f>
        <v>товари для дому</v>
      </c>
      <c r="C2904" s="16" t="str">
        <f>IFERROR(__xludf.DUMMYFUNCTION("""COMPUTED_VALUE"""),"декор для дому")</f>
        <v>декор для дому</v>
      </c>
      <c r="D2904" s="16" t="str">
        <f>IFERROR(__xludf.DUMMYFUNCTION("""COMPUTED_VALUE"""),"інтер'єрні аксесуари")</f>
        <v>інтер'єрні аксесуари</v>
      </c>
      <c r="E2904" s="16" t="str">
        <f>IFERROR(__xludf.DUMMYFUNCTION("""COMPUTED_VALUE"""),"декоративні подушки")</f>
        <v>декоративні подушки</v>
      </c>
      <c r="F2904" s="17">
        <f>IFERROR(__xludf.DUMMYFUNCTION("""COMPUTED_VALUE"""),4.0)</f>
        <v>4</v>
      </c>
      <c r="G2904" s="17" t="str">
        <f>IFERROR(__xludf.DUMMYFUNCTION("""COMPUTED_VALUE"""),"170718")</f>
        <v>170718</v>
      </c>
      <c r="H2904" s="17" t="str">
        <f>IFERROR(__xludf.DUMMYFUNCTION("""COMPUTED_VALUE"""),"декоративні подушки")</f>
        <v>декоративні подушки</v>
      </c>
      <c r="I2904" s="19">
        <f>IFERROR(__xludf.DUMMYFUNCTION("""COMPUTED_VALUE"""),0.0834)</f>
        <v>0.0834</v>
      </c>
      <c r="J2904" s="19">
        <f>IFERROR(__xludf.DUMMYFUNCTION("""COMPUTED_VALUE"""),0.1667)</f>
        <v>0.1667</v>
      </c>
      <c r="K2904" s="19">
        <f>IFERROR(__xludf.DUMMYFUNCTION("""COMPUTED_VALUE"""),0.2084)</f>
        <v>0.2084</v>
      </c>
      <c r="L2904" s="19">
        <f>IFERROR(__xludf.DUMMYFUNCTION("""COMPUTED_VALUE"""),0.2501)</f>
        <v>0.2501</v>
      </c>
      <c r="M2904" s="18">
        <f>IFERROR(__xludf.DUMMYFUNCTION("""COMPUTED_VALUE"""),1.05)</f>
        <v>1.05</v>
      </c>
    </row>
    <row r="2905">
      <c r="A2905" s="13" t="str">
        <f>IFERROR(__xludf.DUMMYFUNCTION("""COMPUTED_VALUE"""),"товари")</f>
        <v>товари</v>
      </c>
      <c r="B2905" s="16" t="str">
        <f>IFERROR(__xludf.DUMMYFUNCTION("""COMPUTED_VALUE"""),"подарунки, хобі, книги")</f>
        <v>подарунки, хобі, книги</v>
      </c>
      <c r="C2905" s="16" t="str">
        <f>IFERROR(__xludf.DUMMYFUNCTION("""COMPUTED_VALUE"""),"подарунки і сувеніри")</f>
        <v>подарунки і сувеніри</v>
      </c>
      <c r="D2905" s="16" t="str">
        <f>IFERROR(__xludf.DUMMYFUNCTION("""COMPUTED_VALUE"""),"дзвіночки")</f>
        <v>дзвіночки</v>
      </c>
      <c r="E2905" s="16" t="str">
        <f>IFERROR(__xludf.DUMMYFUNCTION("""COMPUTED_VALUE"""),"дзвіночки")</f>
        <v>дзвіночки</v>
      </c>
      <c r="F2905" s="17">
        <f>IFERROR(__xludf.DUMMYFUNCTION("""COMPUTED_VALUE"""),3.0)</f>
        <v>3</v>
      </c>
      <c r="G2905" s="17" t="str">
        <f>IFERROR(__xludf.DUMMYFUNCTION("""COMPUTED_VALUE"""),"1746")</f>
        <v>1746</v>
      </c>
      <c r="H2905" s="17" t="str">
        <f>IFERROR(__xludf.DUMMYFUNCTION("""COMPUTED_VALUE"""),"дзвіночки")</f>
        <v>дзвіночки</v>
      </c>
      <c r="I2905" s="19">
        <f>IFERROR(__xludf.DUMMYFUNCTION("""COMPUTED_VALUE"""),0.0709)</f>
        <v>0.0709</v>
      </c>
      <c r="J2905" s="19">
        <f>IFERROR(__xludf.DUMMYFUNCTION("""COMPUTED_VALUE"""),0.1417)</f>
        <v>0.1417</v>
      </c>
      <c r="K2905" s="19">
        <f>IFERROR(__xludf.DUMMYFUNCTION("""COMPUTED_VALUE"""),0.1771)</f>
        <v>0.1771</v>
      </c>
      <c r="L2905" s="19">
        <f>IFERROR(__xludf.DUMMYFUNCTION("""COMPUTED_VALUE"""),0.2126)</f>
        <v>0.2126</v>
      </c>
      <c r="M2905" s="18">
        <f>IFERROR(__xludf.DUMMYFUNCTION("""COMPUTED_VALUE"""),1.05)</f>
        <v>1.05</v>
      </c>
    </row>
    <row r="2906">
      <c r="A2906" s="13" t="str">
        <f>IFERROR(__xludf.DUMMYFUNCTION("""COMPUTED_VALUE"""),"товари")</f>
        <v>товари</v>
      </c>
      <c r="B2906" s="16" t="str">
        <f>IFERROR(__xludf.DUMMYFUNCTION("""COMPUTED_VALUE"""),"подарунки, хобі, книги")</f>
        <v>подарунки, хобі, книги</v>
      </c>
      <c r="C2906" s="16" t="str">
        <f>IFERROR(__xludf.DUMMYFUNCTION("""COMPUTED_VALUE"""),"рукоділля")</f>
        <v>рукоділля</v>
      </c>
      <c r="D2906" s="16" t="str">
        <f>IFERROR(__xludf.DUMMYFUNCTION("""COMPUTED_VALUE"""),"миловаріння та виготовлення свічок")</f>
        <v>миловаріння та виготовлення свічок</v>
      </c>
      <c r="E2906" s="16" t="str">
        <f>IFERROR(__xludf.DUMMYFUNCTION("""COMPUTED_VALUE"""),"добавки для миловаріння")</f>
        <v>добавки для миловаріння</v>
      </c>
      <c r="F2906" s="17">
        <f>IFERROR(__xludf.DUMMYFUNCTION("""COMPUTED_VALUE"""),4.0)</f>
        <v>4</v>
      </c>
      <c r="G2906" s="17" t="str">
        <f>IFERROR(__xludf.DUMMYFUNCTION("""COMPUTED_VALUE"""),"152503")</f>
        <v>152503</v>
      </c>
      <c r="H2906" s="17" t="str">
        <f>IFERROR(__xludf.DUMMYFUNCTION("""COMPUTED_VALUE"""),"добавки для миловаріння")</f>
        <v>добавки для миловаріння</v>
      </c>
      <c r="I2906" s="19">
        <f>IFERROR(__xludf.DUMMYFUNCTION("""COMPUTED_VALUE"""),0.0724)</f>
        <v>0.0724</v>
      </c>
      <c r="J2906" s="19">
        <f>IFERROR(__xludf.DUMMYFUNCTION("""COMPUTED_VALUE"""),0.1447)</f>
        <v>0.1447</v>
      </c>
      <c r="K2906" s="19">
        <f>IFERROR(__xludf.DUMMYFUNCTION("""COMPUTED_VALUE"""),0.1809)</f>
        <v>0.1809</v>
      </c>
      <c r="L2906" s="19">
        <f>IFERROR(__xludf.DUMMYFUNCTION("""COMPUTED_VALUE"""),0.2171)</f>
        <v>0.2171</v>
      </c>
      <c r="M2906" s="18">
        <f>IFERROR(__xludf.DUMMYFUNCTION("""COMPUTED_VALUE"""),1.26)</f>
        <v>1.26</v>
      </c>
    </row>
    <row r="2907">
      <c r="A2907" s="13" t="str">
        <f>IFERROR(__xludf.DUMMYFUNCTION("""COMPUTED_VALUE"""),"товари")</f>
        <v>товари</v>
      </c>
      <c r="B2907" s="16" t="str">
        <f>IFERROR(__xludf.DUMMYFUNCTION("""COMPUTED_VALUE"""),"подарунки, хобі, книги")</f>
        <v>подарунки, хобі, книги</v>
      </c>
      <c r="C2907" s="16" t="str">
        <f>IFERROR(__xludf.DUMMYFUNCTION("""COMPUTED_VALUE"""),"музичні інструменти")</f>
        <v>музичні інструменти</v>
      </c>
      <c r="D2907" s="16" t="str">
        <f>IFERROR(__xludf.DUMMYFUNCTION("""COMPUTED_VALUE"""),"духові інструменти та аксесуари")</f>
        <v>духові інструменти та аксесуари</v>
      </c>
      <c r="E2907" s="16" t="str">
        <f>IFERROR(__xludf.DUMMYFUNCTION("""COMPUTED_VALUE"""),"духові інструменти")</f>
        <v>духові інструменти</v>
      </c>
      <c r="F2907" s="17">
        <f>IFERROR(__xludf.DUMMYFUNCTION("""COMPUTED_VALUE"""),4.0)</f>
        <v>4</v>
      </c>
      <c r="G2907" s="17" t="str">
        <f>IFERROR(__xludf.DUMMYFUNCTION("""COMPUTED_VALUE"""),"180502")</f>
        <v>180502</v>
      </c>
      <c r="H2907" s="17" t="str">
        <f>IFERROR(__xludf.DUMMYFUNCTION("""COMPUTED_VALUE"""),"духові інструменти")</f>
        <v>духові інструменти</v>
      </c>
      <c r="I2907" s="19">
        <f>IFERROR(__xludf.DUMMYFUNCTION("""COMPUTED_VALUE"""),0.0694)</f>
        <v>0.0694</v>
      </c>
      <c r="J2907" s="19">
        <f>IFERROR(__xludf.DUMMYFUNCTION("""COMPUTED_VALUE"""),0.1387)</f>
        <v>0.1387</v>
      </c>
      <c r="K2907" s="19">
        <f>IFERROR(__xludf.DUMMYFUNCTION("""COMPUTED_VALUE"""),0.1734)</f>
        <v>0.1734</v>
      </c>
      <c r="L2907" s="19">
        <f>IFERROR(__xludf.DUMMYFUNCTION("""COMPUTED_VALUE"""),0.2081)</f>
        <v>0.2081</v>
      </c>
      <c r="M2907" s="18">
        <f>IFERROR(__xludf.DUMMYFUNCTION("""COMPUTED_VALUE"""),2.53)</f>
        <v>2.53</v>
      </c>
    </row>
    <row r="2908">
      <c r="A2908" s="13" t="str">
        <f>IFERROR(__xludf.DUMMYFUNCTION("""COMPUTED_VALUE"""),"товари")</f>
        <v>товари</v>
      </c>
      <c r="B2908" s="16" t="str">
        <f>IFERROR(__xludf.DUMMYFUNCTION("""COMPUTED_VALUE"""),"подарунки, хобі, книги")</f>
        <v>подарунки, хобі, книги</v>
      </c>
      <c r="C2908" s="16" t="str">
        <f>IFERROR(__xludf.DUMMYFUNCTION("""COMPUTED_VALUE"""),"музичні інструменти")</f>
        <v>музичні інструменти</v>
      </c>
      <c r="D2908" s="16" t="str">
        <f>IFERROR(__xludf.DUMMYFUNCTION("""COMPUTED_VALUE"""),"духові інструменти та аксесуари")</f>
        <v>духові інструменти та аксесуари</v>
      </c>
      <c r="E2908" s="16" t="str">
        <f>IFERROR(__xludf.DUMMYFUNCTION("""COMPUTED_VALUE"""),"духові інструменти та аксесуари, загальне")</f>
        <v>духові інструменти та аксесуари, загальне</v>
      </c>
      <c r="F2908" s="17">
        <f>IFERROR(__xludf.DUMMYFUNCTION("""COMPUTED_VALUE"""),4.0)</f>
        <v>4</v>
      </c>
      <c r="G2908" s="17" t="str">
        <f>IFERROR(__xludf.DUMMYFUNCTION("""COMPUTED_VALUE"""),"180559")</f>
        <v>180559</v>
      </c>
      <c r="H2908" s="17" t="str">
        <f>IFERROR(__xludf.DUMMYFUNCTION("""COMPUTED_VALUE"""),"духові інструменти та аксесуари, загальне")</f>
        <v>духові інструменти та аксесуари, загальне</v>
      </c>
      <c r="I2908" s="19">
        <f>IFERROR(__xludf.DUMMYFUNCTION("""COMPUTED_VALUE"""),0.125)</f>
        <v>0.125</v>
      </c>
      <c r="J2908" s="19">
        <f>IFERROR(__xludf.DUMMYFUNCTION("""COMPUTED_VALUE"""),0.25)</f>
        <v>0.25</v>
      </c>
      <c r="K2908" s="19">
        <f>IFERROR(__xludf.DUMMYFUNCTION("""COMPUTED_VALUE"""),0.3125)</f>
        <v>0.3125</v>
      </c>
      <c r="L2908" s="19">
        <f>IFERROR(__xludf.DUMMYFUNCTION("""COMPUTED_VALUE"""),0.375)</f>
        <v>0.375</v>
      </c>
      <c r="M2908" s="18">
        <f>IFERROR(__xludf.DUMMYFUNCTION("""COMPUTED_VALUE"""),4.33)</f>
        <v>4.33</v>
      </c>
    </row>
    <row r="2909">
      <c r="A2909" s="13" t="str">
        <f>IFERROR(__xludf.DUMMYFUNCTION("""COMPUTED_VALUE"""),"товари")</f>
        <v>товари</v>
      </c>
      <c r="B2909" s="16" t="str">
        <f>IFERROR(__xludf.DUMMYFUNCTION("""COMPUTED_VALUE"""),"подарунки, хобі, книги")</f>
        <v>подарунки, хобі, книги</v>
      </c>
      <c r="C2909" s="16" t="str">
        <f>IFERROR(__xludf.DUMMYFUNCTION("""COMPUTED_VALUE"""),"музичні інструменти")</f>
        <v>музичні інструменти</v>
      </c>
      <c r="D2909" s="16" t="str">
        <f>IFERROR(__xludf.DUMMYFUNCTION("""COMPUTED_VALUE"""),"ударні музичні інструменти та аксесуари")</f>
        <v>ударні музичні інструменти та аксесуари</v>
      </c>
      <c r="E2909" s="16" t="str">
        <f>IFERROR(__xludf.DUMMYFUNCTION("""COMPUTED_VALUE"""),"електронні барабани і установки")</f>
        <v>електронні барабани і установки</v>
      </c>
      <c r="F2909" s="17">
        <f>IFERROR(__xludf.DUMMYFUNCTION("""COMPUTED_VALUE"""),4.0)</f>
        <v>4</v>
      </c>
      <c r="G2909" s="17" t="str">
        <f>IFERROR(__xludf.DUMMYFUNCTION("""COMPUTED_VALUE"""),"180530")</f>
        <v>180530</v>
      </c>
      <c r="H2909" s="17" t="str">
        <f>IFERROR(__xludf.DUMMYFUNCTION("""COMPUTED_VALUE"""),"електронні барабани і установки")</f>
        <v>електронні барабани і установки</v>
      </c>
      <c r="I2909" s="19">
        <f>IFERROR(__xludf.DUMMYFUNCTION("""COMPUTED_VALUE"""),0.0654)</f>
        <v>0.0654</v>
      </c>
      <c r="J2909" s="19">
        <f>IFERROR(__xludf.DUMMYFUNCTION("""COMPUTED_VALUE"""),0.1308)</f>
        <v>0.1308</v>
      </c>
      <c r="K2909" s="19">
        <f>IFERROR(__xludf.DUMMYFUNCTION("""COMPUTED_VALUE"""),0.1635)</f>
        <v>0.1635</v>
      </c>
      <c r="L2909" s="19">
        <f>IFERROR(__xludf.DUMMYFUNCTION("""COMPUTED_VALUE"""),0.1962)</f>
        <v>0.1962</v>
      </c>
      <c r="M2909" s="18">
        <f>IFERROR(__xludf.DUMMYFUNCTION("""COMPUTED_VALUE"""),2.34)</f>
        <v>2.34</v>
      </c>
    </row>
    <row r="2910">
      <c r="A2910" s="13" t="str">
        <f>IFERROR(__xludf.DUMMYFUNCTION("""COMPUTED_VALUE"""),"товари")</f>
        <v>товари</v>
      </c>
      <c r="B2910" s="16" t="str">
        <f>IFERROR(__xludf.DUMMYFUNCTION("""COMPUTED_VALUE"""),"подарунки, хобі, книги")</f>
        <v>подарунки, хобі, книги</v>
      </c>
      <c r="C2910" s="16" t="str">
        <f>IFERROR(__xludf.DUMMYFUNCTION("""COMPUTED_VALUE"""),"cвяткові прикраси")</f>
        <v>cвяткові прикраси</v>
      </c>
      <c r="D2910" s="16" t="str">
        <f>IFERROR(__xludf.DUMMYFUNCTION("""COMPUTED_VALUE"""),"етикетки, прикраси на пляшки")</f>
        <v>етикетки, прикраси на пляшки</v>
      </c>
      <c r="E2910" s="16" t="str">
        <f>IFERROR(__xludf.DUMMYFUNCTION("""COMPUTED_VALUE"""),"етикетки, прикраси на пляшки")</f>
        <v>етикетки, прикраси на пляшки</v>
      </c>
      <c r="F2910" s="17">
        <f>IFERROR(__xludf.DUMMYFUNCTION("""COMPUTED_VALUE"""),3.0)</f>
        <v>3</v>
      </c>
      <c r="G2910" s="17" t="str">
        <f>IFERROR(__xludf.DUMMYFUNCTION("""COMPUTED_VALUE"""),"175506")</f>
        <v>175506</v>
      </c>
      <c r="H2910" s="17" t="str">
        <f>IFERROR(__xludf.DUMMYFUNCTION("""COMPUTED_VALUE"""),"етикетки, прикраси на пляшки")</f>
        <v>етикетки, прикраси на пляшки</v>
      </c>
      <c r="I2910" s="19">
        <f>IFERROR(__xludf.DUMMYFUNCTION("""COMPUTED_VALUE"""),0.1094)</f>
        <v>0.1094</v>
      </c>
      <c r="J2910" s="19">
        <f>IFERROR(__xludf.DUMMYFUNCTION("""COMPUTED_VALUE"""),0.2187)</f>
        <v>0.2187</v>
      </c>
      <c r="K2910" s="19">
        <f>IFERROR(__xludf.DUMMYFUNCTION("""COMPUTED_VALUE"""),0.2734)</f>
        <v>0.2734</v>
      </c>
      <c r="L2910" s="19">
        <f>IFERROR(__xludf.DUMMYFUNCTION("""COMPUTED_VALUE"""),0.3281)</f>
        <v>0.3281</v>
      </c>
      <c r="M2910" s="18">
        <f>IFERROR(__xludf.DUMMYFUNCTION("""COMPUTED_VALUE"""),1.05)</f>
        <v>1.05</v>
      </c>
    </row>
    <row r="2911">
      <c r="A2911" s="13" t="str">
        <f>IFERROR(__xludf.DUMMYFUNCTION("""COMPUTED_VALUE"""),"товари")</f>
        <v>товари</v>
      </c>
      <c r="B2911" s="16" t="str">
        <f>IFERROR(__xludf.DUMMYFUNCTION("""COMPUTED_VALUE"""),"подарунки, хобі, книги")</f>
        <v>подарунки, хобі, книги</v>
      </c>
      <c r="C2911" s="16" t="str">
        <f>IFERROR(__xludf.DUMMYFUNCTION("""COMPUTED_VALUE"""),"музичні інструменти")</f>
        <v>музичні інструменти</v>
      </c>
      <c r="D2911" s="16" t="str">
        <f>IFERROR(__xludf.DUMMYFUNCTION("""COMPUTED_VALUE"""),"етнічні інструменти")</f>
        <v>етнічні інструменти</v>
      </c>
      <c r="E2911" s="16" t="str">
        <f>IFERROR(__xludf.DUMMYFUNCTION("""COMPUTED_VALUE"""),"етнічні інструменти")</f>
        <v>етнічні інструменти</v>
      </c>
      <c r="F2911" s="17">
        <f>IFERROR(__xludf.DUMMYFUNCTION("""COMPUTED_VALUE"""),3.0)</f>
        <v>3</v>
      </c>
      <c r="G2911" s="17" t="str">
        <f>IFERROR(__xludf.DUMMYFUNCTION("""COMPUTED_VALUE"""),"180507")</f>
        <v>180507</v>
      </c>
      <c r="H2911" s="17" t="str">
        <f>IFERROR(__xludf.DUMMYFUNCTION("""COMPUTED_VALUE"""),"етнічні інструменти")</f>
        <v>етнічні інструменти</v>
      </c>
      <c r="I2911" s="19">
        <f>IFERROR(__xludf.DUMMYFUNCTION("""COMPUTED_VALUE"""),0.0761)</f>
        <v>0.0761</v>
      </c>
      <c r="J2911" s="19">
        <f>IFERROR(__xludf.DUMMYFUNCTION("""COMPUTED_VALUE"""),0.1521)</f>
        <v>0.1521</v>
      </c>
      <c r="K2911" s="19">
        <f>IFERROR(__xludf.DUMMYFUNCTION("""COMPUTED_VALUE"""),0.1901)</f>
        <v>0.1901</v>
      </c>
      <c r="L2911" s="19">
        <f>IFERROR(__xludf.DUMMYFUNCTION("""COMPUTED_VALUE"""),0.2282)</f>
        <v>0.2282</v>
      </c>
      <c r="M2911" s="18">
        <f>IFERROR(__xludf.DUMMYFUNCTION("""COMPUTED_VALUE"""),1.05)</f>
        <v>1.05</v>
      </c>
    </row>
    <row r="2912">
      <c r="A2912" s="13" t="str">
        <f>IFERROR(__xludf.DUMMYFUNCTION("""COMPUTED_VALUE"""),"товари")</f>
        <v>товари</v>
      </c>
      <c r="B2912" s="16" t="str">
        <f>IFERROR(__xludf.DUMMYFUNCTION("""COMPUTED_VALUE"""),"подарунки, хобі, книги")</f>
        <v>подарунки, хобі, книги</v>
      </c>
      <c r="C2912" s="16" t="str">
        <f>IFERROR(__xludf.DUMMYFUNCTION("""COMPUTED_VALUE"""),"букети")</f>
        <v>букети</v>
      </c>
      <c r="D2912" s="16" t="str">
        <f>IFERROR(__xludf.DUMMYFUNCTION("""COMPUTED_VALUE"""),"живі квіти і букети")</f>
        <v>живі квіти і букети</v>
      </c>
      <c r="E2912" s="16" t="str">
        <f>IFERROR(__xludf.DUMMYFUNCTION("""COMPUTED_VALUE"""),"живі квіти і букети")</f>
        <v>живі квіти і букети</v>
      </c>
      <c r="F2912" s="17">
        <f>IFERROR(__xludf.DUMMYFUNCTION("""COMPUTED_VALUE"""),3.0)</f>
        <v>3</v>
      </c>
      <c r="G2912" s="17" t="str">
        <f>IFERROR(__xludf.DUMMYFUNCTION("""COMPUTED_VALUE"""),"1140501")</f>
        <v>1140501</v>
      </c>
      <c r="H2912" s="17" t="str">
        <f>IFERROR(__xludf.DUMMYFUNCTION("""COMPUTED_VALUE"""),"живі квіти і букети")</f>
        <v>живі квіти і букети</v>
      </c>
      <c r="I2912" s="19">
        <f>IFERROR(__xludf.DUMMYFUNCTION("""COMPUTED_VALUE"""),0.1054)</f>
        <v>0.1054</v>
      </c>
      <c r="J2912" s="19">
        <f>IFERROR(__xludf.DUMMYFUNCTION("""COMPUTED_VALUE"""),0.2108)</f>
        <v>0.2108</v>
      </c>
      <c r="K2912" s="19">
        <f>IFERROR(__xludf.DUMMYFUNCTION("""COMPUTED_VALUE"""),0.2635)</f>
        <v>0.2635</v>
      </c>
      <c r="L2912" s="19">
        <f>IFERROR(__xludf.DUMMYFUNCTION("""COMPUTED_VALUE"""),0.3162)</f>
        <v>0.3162</v>
      </c>
      <c r="M2912" s="18">
        <f>IFERROR(__xludf.DUMMYFUNCTION("""COMPUTED_VALUE"""),1.44)</f>
        <v>1.44</v>
      </c>
    </row>
    <row r="2913">
      <c r="A2913" s="13" t="str">
        <f>IFERROR(__xludf.DUMMYFUNCTION("""COMPUTED_VALUE"""),"товари")</f>
        <v>товари</v>
      </c>
      <c r="B2913" s="16" t="str">
        <f>IFERROR(__xludf.DUMMYFUNCTION("""COMPUTED_VALUE"""),"подарунки, хобі, книги")</f>
        <v>подарунки, хобі, книги</v>
      </c>
      <c r="C2913" s="16" t="str">
        <f>IFERROR(__xludf.DUMMYFUNCTION("""COMPUTED_VALUE"""),"книги, журнали, друкована продукція")</f>
        <v>книги, журнали, друкована продукція</v>
      </c>
      <c r="D2913" s="16" t="str">
        <f>IFERROR(__xludf.DUMMYFUNCTION("""COMPUTED_VALUE"""),"журнали, газети")</f>
        <v>журнали, газети</v>
      </c>
      <c r="E2913" s="16" t="str">
        <f>IFERROR(__xludf.DUMMYFUNCTION("""COMPUTED_VALUE"""),"журнали, газети")</f>
        <v>журнали, газети</v>
      </c>
      <c r="F2913" s="17">
        <f>IFERROR(__xludf.DUMMYFUNCTION("""COMPUTED_VALUE"""),3.0)</f>
        <v>3</v>
      </c>
      <c r="G2913" s="17" t="str">
        <f>IFERROR(__xludf.DUMMYFUNCTION("""COMPUTED_VALUE"""),"2205")</f>
        <v>2205</v>
      </c>
      <c r="H2913" s="17" t="str">
        <f>IFERROR(__xludf.DUMMYFUNCTION("""COMPUTED_VALUE"""),"журнали, газети")</f>
        <v>журнали, газети</v>
      </c>
      <c r="I2913" s="19">
        <f>IFERROR(__xludf.DUMMYFUNCTION("""COMPUTED_VALUE"""),0.0755)</f>
        <v>0.0755</v>
      </c>
      <c r="J2913" s="19">
        <f>IFERROR(__xludf.DUMMYFUNCTION("""COMPUTED_VALUE"""),0.151)</f>
        <v>0.151</v>
      </c>
      <c r="K2913" s="19">
        <f>IFERROR(__xludf.DUMMYFUNCTION("""COMPUTED_VALUE"""),0.1888)</f>
        <v>0.1888</v>
      </c>
      <c r="L2913" s="19">
        <f>IFERROR(__xludf.DUMMYFUNCTION("""COMPUTED_VALUE"""),0.2265)</f>
        <v>0.2265</v>
      </c>
      <c r="M2913" s="18">
        <f>IFERROR(__xludf.DUMMYFUNCTION("""COMPUTED_VALUE"""),1.05)</f>
        <v>1.05</v>
      </c>
    </row>
    <row r="2914">
      <c r="A2914" s="13" t="str">
        <f>IFERROR(__xludf.DUMMYFUNCTION("""COMPUTED_VALUE"""),"товари")</f>
        <v>товари</v>
      </c>
      <c r="B2914" s="16" t="str">
        <f>IFERROR(__xludf.DUMMYFUNCTION("""COMPUTED_VALUE"""),"подарунки, хобі, книги")</f>
        <v>подарунки, хобі, книги</v>
      </c>
      <c r="C2914" s="16" t="str">
        <f>IFERROR(__xludf.DUMMYFUNCTION("""COMPUTED_VALUE"""),"рукоділля")</f>
        <v>рукоділля</v>
      </c>
      <c r="D2914" s="16" t="str">
        <f>IFERROR(__xludf.DUMMYFUNCTION("""COMPUTED_VALUE"""),"органайзери та заготовки для рукоділля")</f>
        <v>органайзери та заготовки для рукоділля</v>
      </c>
      <c r="E2914" s="16" t="str">
        <f>IFERROR(__xludf.DUMMYFUNCTION("""COMPUTED_VALUE"""),"заготовки для творчості")</f>
        <v>заготовки для творчості</v>
      </c>
      <c r="F2914" s="17">
        <f>IFERROR(__xludf.DUMMYFUNCTION("""COMPUTED_VALUE"""),4.0)</f>
        <v>4</v>
      </c>
      <c r="G2914" s="17" t="str">
        <f>IFERROR(__xludf.DUMMYFUNCTION("""COMPUTED_VALUE"""),"152514")</f>
        <v>152514</v>
      </c>
      <c r="H2914" s="17" t="str">
        <f>IFERROR(__xludf.DUMMYFUNCTION("""COMPUTED_VALUE"""),"заготовки для творчості")</f>
        <v>заготовки для творчості</v>
      </c>
      <c r="I2914" s="19">
        <f>IFERROR(__xludf.DUMMYFUNCTION("""COMPUTED_VALUE"""),0.0789)</f>
        <v>0.0789</v>
      </c>
      <c r="J2914" s="19">
        <f>IFERROR(__xludf.DUMMYFUNCTION("""COMPUTED_VALUE"""),0.1577)</f>
        <v>0.1577</v>
      </c>
      <c r="K2914" s="19">
        <f>IFERROR(__xludf.DUMMYFUNCTION("""COMPUTED_VALUE"""),0.1971)</f>
        <v>0.1971</v>
      </c>
      <c r="L2914" s="19">
        <f>IFERROR(__xludf.DUMMYFUNCTION("""COMPUTED_VALUE"""),0.2366)</f>
        <v>0.2366</v>
      </c>
      <c r="M2914" s="18">
        <f>IFERROR(__xludf.DUMMYFUNCTION("""COMPUTED_VALUE"""),1.05)</f>
        <v>1.05</v>
      </c>
    </row>
    <row r="2915">
      <c r="A2915" s="13" t="str">
        <f>IFERROR(__xludf.DUMMYFUNCTION("""COMPUTED_VALUE"""),"товари")</f>
        <v>товари</v>
      </c>
      <c r="B2915" s="16" t="str">
        <f>IFERROR(__xludf.DUMMYFUNCTION("""COMPUTED_VALUE"""),"подарунки, хобі, книги")</f>
        <v>подарунки, хобі, книги</v>
      </c>
      <c r="C2915" s="16" t="str">
        <f>IFERROR(__xludf.DUMMYFUNCTION("""COMPUTED_VALUE"""),"музичні інструменти")</f>
        <v>музичні інструменти</v>
      </c>
      <c r="D2915" s="16" t="str">
        <f>IFERROR(__xludf.DUMMYFUNCTION("""COMPUTED_VALUE"""),"гітари та обладнання")</f>
        <v>гітари та обладнання</v>
      </c>
      <c r="E2915" s="16" t="str">
        <f>IFERROR(__xludf.DUMMYFUNCTION("""COMPUTED_VALUE"""),"засоби по догляду за гітарами")</f>
        <v>засоби по догляду за гітарами</v>
      </c>
      <c r="F2915" s="17">
        <f>IFERROR(__xludf.DUMMYFUNCTION("""COMPUTED_VALUE"""),4.0)</f>
        <v>4</v>
      </c>
      <c r="G2915" s="17" t="str">
        <f>IFERROR(__xludf.DUMMYFUNCTION("""COMPUTED_VALUE"""),"180572")</f>
        <v>180572</v>
      </c>
      <c r="H2915" s="17" t="str">
        <f>IFERROR(__xludf.DUMMYFUNCTION("""COMPUTED_VALUE"""),"засоби по догляду за гітарами")</f>
        <v>засоби по догляду за гітарами</v>
      </c>
      <c r="I2915" s="19">
        <f>IFERROR(__xludf.DUMMYFUNCTION("""COMPUTED_VALUE"""),0.0613)</f>
        <v>0.0613</v>
      </c>
      <c r="J2915" s="19">
        <f>IFERROR(__xludf.DUMMYFUNCTION("""COMPUTED_VALUE"""),0.1226)</f>
        <v>0.1226</v>
      </c>
      <c r="K2915" s="19">
        <f>IFERROR(__xludf.DUMMYFUNCTION("""COMPUTED_VALUE"""),0.1533)</f>
        <v>0.1533</v>
      </c>
      <c r="L2915" s="19">
        <f>IFERROR(__xludf.DUMMYFUNCTION("""COMPUTED_VALUE"""),0.1839)</f>
        <v>0.1839</v>
      </c>
      <c r="M2915" s="18">
        <f>IFERROR(__xludf.DUMMYFUNCTION("""COMPUTED_VALUE"""),4.41)</f>
        <v>4.41</v>
      </c>
    </row>
    <row r="2916">
      <c r="A2916" s="13" t="str">
        <f>IFERROR(__xludf.DUMMYFUNCTION("""COMPUTED_VALUE"""),"товари")</f>
        <v>товари</v>
      </c>
      <c r="B2916" s="16" t="str">
        <f>IFERROR(__xludf.DUMMYFUNCTION("""COMPUTED_VALUE"""),"подарунки, хобі, книги")</f>
        <v>подарунки, хобі, книги</v>
      </c>
      <c r="C2916" s="16" t="str">
        <f>IFERROR(__xludf.DUMMYFUNCTION("""COMPUTED_VALUE"""),"рукоділля")</f>
        <v>рукоділля</v>
      </c>
      <c r="D2916" s="16" t="str">
        <f>IFERROR(__xludf.DUMMYFUNCTION("""COMPUTED_VALUE"""),"шиття")</f>
        <v>шиття</v>
      </c>
      <c r="E2916" s="16" t="str">
        <f>IFERROR(__xludf.DUMMYFUNCTION("""COMPUTED_VALUE"""),"застібки")</f>
        <v>застібки</v>
      </c>
      <c r="F2916" s="17">
        <f>IFERROR(__xludf.DUMMYFUNCTION("""COMPUTED_VALUE"""),4.0)</f>
        <v>4</v>
      </c>
      <c r="G2916" s="17" t="str">
        <f>IFERROR(__xludf.DUMMYFUNCTION("""COMPUTED_VALUE"""),"32806")</f>
        <v>32806</v>
      </c>
      <c r="H2916" s="17" t="str">
        <f>IFERROR(__xludf.DUMMYFUNCTION("""COMPUTED_VALUE"""),"застібки")</f>
        <v>застібки</v>
      </c>
      <c r="I2916" s="19">
        <f>IFERROR(__xludf.DUMMYFUNCTION("""COMPUTED_VALUE"""),0.0775)</f>
        <v>0.0775</v>
      </c>
      <c r="J2916" s="19">
        <f>IFERROR(__xludf.DUMMYFUNCTION("""COMPUTED_VALUE"""),0.155)</f>
        <v>0.155</v>
      </c>
      <c r="K2916" s="19">
        <f>IFERROR(__xludf.DUMMYFUNCTION("""COMPUTED_VALUE"""),0.1938)</f>
        <v>0.1938</v>
      </c>
      <c r="L2916" s="19">
        <f>IFERROR(__xludf.DUMMYFUNCTION("""COMPUTED_VALUE"""),0.2325)</f>
        <v>0.2325</v>
      </c>
      <c r="M2916" s="18">
        <f>IFERROR(__xludf.DUMMYFUNCTION("""COMPUTED_VALUE"""),2.34)</f>
        <v>2.34</v>
      </c>
    </row>
    <row r="2917">
      <c r="A2917" s="13" t="str">
        <f>IFERROR(__xludf.DUMMYFUNCTION("""COMPUTED_VALUE"""),"товари")</f>
        <v>товари</v>
      </c>
      <c r="B2917" s="16" t="str">
        <f>IFERROR(__xludf.DUMMYFUNCTION("""COMPUTED_VALUE"""),"подарунки, хобі, книги")</f>
        <v>подарунки, хобі, книги</v>
      </c>
      <c r="C2917" s="16" t="str">
        <f>IFERROR(__xludf.DUMMYFUNCTION("""COMPUTED_VALUE"""),"музичні інструменти")</f>
        <v>музичні інструменти</v>
      </c>
      <c r="D2917" s="16" t="str">
        <f>IFERROR(__xludf.DUMMYFUNCTION("""COMPUTED_VALUE"""),"гітари та обладнання")</f>
        <v>гітари та обладнання</v>
      </c>
      <c r="E2917" s="16" t="str">
        <f>IFERROR(__xludf.DUMMYFUNCTION("""COMPUTED_VALUE"""),"звукознімачі для гітар")</f>
        <v>звукознімачі для гітар</v>
      </c>
      <c r="F2917" s="17">
        <f>IFERROR(__xludf.DUMMYFUNCTION("""COMPUTED_VALUE"""),4.0)</f>
        <v>4</v>
      </c>
      <c r="G2917" s="17" t="str">
        <f>IFERROR(__xludf.DUMMYFUNCTION("""COMPUTED_VALUE"""),"180518")</f>
        <v>180518</v>
      </c>
      <c r="H2917" s="17" t="str">
        <f>IFERROR(__xludf.DUMMYFUNCTION("""COMPUTED_VALUE"""),"звукознімачі для гітар")</f>
        <v>звукознімачі для гітар</v>
      </c>
      <c r="I2917" s="19">
        <f>IFERROR(__xludf.DUMMYFUNCTION("""COMPUTED_VALUE"""),0.0699)</f>
        <v>0.0699</v>
      </c>
      <c r="J2917" s="19">
        <f>IFERROR(__xludf.DUMMYFUNCTION("""COMPUTED_VALUE"""),0.1397)</f>
        <v>0.1397</v>
      </c>
      <c r="K2917" s="19">
        <f>IFERROR(__xludf.DUMMYFUNCTION("""COMPUTED_VALUE"""),0.1746)</f>
        <v>0.1746</v>
      </c>
      <c r="L2917" s="19">
        <f>IFERROR(__xludf.DUMMYFUNCTION("""COMPUTED_VALUE"""),0.2096)</f>
        <v>0.2096</v>
      </c>
      <c r="M2917" s="18">
        <f>IFERROR(__xludf.DUMMYFUNCTION("""COMPUTED_VALUE"""),4.41)</f>
        <v>4.41</v>
      </c>
    </row>
    <row r="2918">
      <c r="A2918" s="13" t="str">
        <f>IFERROR(__xludf.DUMMYFUNCTION("""COMPUTED_VALUE"""),"товари")</f>
        <v>товари</v>
      </c>
      <c r="B2918" s="16" t="str">
        <f>IFERROR(__xludf.DUMMYFUNCTION("""COMPUTED_VALUE"""),"подарунки, хобі, книги")</f>
        <v>подарунки, хобі, книги</v>
      </c>
      <c r="C2918" s="16" t="str">
        <f>IFERROR(__xludf.DUMMYFUNCTION("""COMPUTED_VALUE"""),"ігри")</f>
        <v>ігри</v>
      </c>
      <c r="D2918" s="16" t="str">
        <f>IFERROR(__xludf.DUMMYFUNCTION("""COMPUTED_VALUE"""),"ігри, загальне")</f>
        <v>ігри, загальне</v>
      </c>
      <c r="E2918" s="16" t="str">
        <f>IFERROR(__xludf.DUMMYFUNCTION("""COMPUTED_VALUE"""),"ігри, загальне")</f>
        <v>ігри, загальне</v>
      </c>
      <c r="F2918" s="17">
        <f>IFERROR(__xludf.DUMMYFUNCTION("""COMPUTED_VALUE"""),3.0)</f>
        <v>3</v>
      </c>
      <c r="G2918" s="17" t="str">
        <f>IFERROR(__xludf.DUMMYFUNCTION("""COMPUTED_VALUE"""),"180699")</f>
        <v>180699</v>
      </c>
      <c r="H2918" s="17" t="str">
        <f>IFERROR(__xludf.DUMMYFUNCTION("""COMPUTED_VALUE"""),"ігри, загальне")</f>
        <v>ігри, загальне</v>
      </c>
      <c r="I2918" s="19">
        <f>IFERROR(__xludf.DUMMYFUNCTION("""COMPUTED_VALUE"""),0.125)</f>
        <v>0.125</v>
      </c>
      <c r="J2918" s="19">
        <f>IFERROR(__xludf.DUMMYFUNCTION("""COMPUTED_VALUE"""),0.25)</f>
        <v>0.25</v>
      </c>
      <c r="K2918" s="19">
        <f>IFERROR(__xludf.DUMMYFUNCTION("""COMPUTED_VALUE"""),0.3125)</f>
        <v>0.3125</v>
      </c>
      <c r="L2918" s="19">
        <f>IFERROR(__xludf.DUMMYFUNCTION("""COMPUTED_VALUE"""),0.375)</f>
        <v>0.375</v>
      </c>
      <c r="M2918" s="18">
        <f>IFERROR(__xludf.DUMMYFUNCTION("""COMPUTED_VALUE"""),4.33)</f>
        <v>4.33</v>
      </c>
    </row>
    <row r="2919">
      <c r="A2919" s="13" t="str">
        <f>IFERROR(__xludf.DUMMYFUNCTION("""COMPUTED_VALUE"""),"товари")</f>
        <v>товари</v>
      </c>
      <c r="B2919" s="16" t="str">
        <f>IFERROR(__xludf.DUMMYFUNCTION("""COMPUTED_VALUE"""),"подарунки, хобі, книги")</f>
        <v>подарунки, хобі, книги</v>
      </c>
      <c r="C2919" s="16" t="str">
        <f>IFERROR(__xludf.DUMMYFUNCTION("""COMPUTED_VALUE"""),"ігри")</f>
        <v>ігри</v>
      </c>
      <c r="D2919" s="16" t="str">
        <f>IFERROR(__xludf.DUMMYFUNCTION("""COMPUTED_VALUE"""),"ігрові столи")</f>
        <v>ігрові столи</v>
      </c>
      <c r="E2919" s="16" t="str">
        <f>IFERROR(__xludf.DUMMYFUNCTION("""COMPUTED_VALUE"""),"ігрові столи")</f>
        <v>ігрові столи</v>
      </c>
      <c r="F2919" s="17">
        <f>IFERROR(__xludf.DUMMYFUNCTION("""COMPUTED_VALUE"""),3.0)</f>
        <v>3</v>
      </c>
      <c r="G2919" s="17" t="str">
        <f>IFERROR(__xludf.DUMMYFUNCTION("""COMPUTED_VALUE"""),"180605")</f>
        <v>180605</v>
      </c>
      <c r="H2919" s="17" t="str">
        <f>IFERROR(__xludf.DUMMYFUNCTION("""COMPUTED_VALUE"""),"ігрові столи")</f>
        <v>ігрові столи</v>
      </c>
      <c r="I2919" s="19">
        <f>IFERROR(__xludf.DUMMYFUNCTION("""COMPUTED_VALUE"""),0.106)</f>
        <v>0.106</v>
      </c>
      <c r="J2919" s="19">
        <f>IFERROR(__xludf.DUMMYFUNCTION("""COMPUTED_VALUE"""),0.212)</f>
        <v>0.212</v>
      </c>
      <c r="K2919" s="19">
        <f>IFERROR(__xludf.DUMMYFUNCTION("""COMPUTED_VALUE"""),0.265)</f>
        <v>0.265</v>
      </c>
      <c r="L2919" s="19">
        <f>IFERROR(__xludf.DUMMYFUNCTION("""COMPUTED_VALUE"""),0.318)</f>
        <v>0.318</v>
      </c>
      <c r="M2919" s="18">
        <f>IFERROR(__xludf.DUMMYFUNCTION("""COMPUTED_VALUE"""),4.41)</f>
        <v>4.41</v>
      </c>
    </row>
    <row r="2920">
      <c r="A2920" s="13" t="str">
        <f>IFERROR(__xludf.DUMMYFUNCTION("""COMPUTED_VALUE"""),"товари")</f>
        <v>товари</v>
      </c>
      <c r="B2920" s="16" t="str">
        <f>IFERROR(__xludf.DUMMYFUNCTION("""COMPUTED_VALUE"""),"подарунки, хобі, книги")</f>
        <v>подарунки, хобі, книги</v>
      </c>
      <c r="C2920" s="16" t="str">
        <f>IFERROR(__xludf.DUMMYFUNCTION("""COMPUTED_VALUE"""),"музичні інструменти")</f>
        <v>музичні інструменти</v>
      </c>
      <c r="D2920" s="16" t="str">
        <f>IFERROR(__xludf.DUMMYFUNCTION("""COMPUTED_VALUE"""),"гітари та обладнання")</f>
        <v>гітари та обладнання</v>
      </c>
      <c r="E2920" s="16" t="str">
        <f>IFERROR(__xludf.DUMMYFUNCTION("""COMPUTED_VALUE"""),"інструментальні кабелі, перехідники, роз'єми")</f>
        <v>інструментальні кабелі, перехідники, роз'єми</v>
      </c>
      <c r="F2920" s="17">
        <f>IFERROR(__xludf.DUMMYFUNCTION("""COMPUTED_VALUE"""),4.0)</f>
        <v>4</v>
      </c>
      <c r="G2920" s="17" t="str">
        <f>IFERROR(__xludf.DUMMYFUNCTION("""COMPUTED_VALUE"""),"180542")</f>
        <v>180542</v>
      </c>
      <c r="H2920" s="17" t="str">
        <f>IFERROR(__xludf.DUMMYFUNCTION("""COMPUTED_VALUE"""),"інструментальні кабелі, перехідники, роз'єми")</f>
        <v>інструментальні кабелі, перехідники, роз'єми</v>
      </c>
      <c r="I2920" s="19">
        <f>IFERROR(__xludf.DUMMYFUNCTION("""COMPUTED_VALUE"""),0.075)</f>
        <v>0.075</v>
      </c>
      <c r="J2920" s="19">
        <f>IFERROR(__xludf.DUMMYFUNCTION("""COMPUTED_VALUE"""),0.1499)</f>
        <v>0.1499</v>
      </c>
      <c r="K2920" s="19">
        <f>IFERROR(__xludf.DUMMYFUNCTION("""COMPUTED_VALUE"""),0.1874)</f>
        <v>0.1874</v>
      </c>
      <c r="L2920" s="19">
        <f>IFERROR(__xludf.DUMMYFUNCTION("""COMPUTED_VALUE"""),0.2249)</f>
        <v>0.2249</v>
      </c>
      <c r="M2920" s="18">
        <f>IFERROR(__xludf.DUMMYFUNCTION("""COMPUTED_VALUE"""),4.41)</f>
        <v>4.41</v>
      </c>
    </row>
    <row r="2921">
      <c r="A2921" s="13" t="str">
        <f>IFERROR(__xludf.DUMMYFUNCTION("""COMPUTED_VALUE"""),"товари")</f>
        <v>товари</v>
      </c>
      <c r="B2921" s="16" t="str">
        <f>IFERROR(__xludf.DUMMYFUNCTION("""COMPUTED_VALUE"""),"подарунки, хобі, книги")</f>
        <v>подарунки, хобі, книги</v>
      </c>
      <c r="C2921" s="16" t="str">
        <f>IFERROR(__xludf.DUMMYFUNCTION("""COMPUTED_VALUE"""),"рукоділля")</f>
        <v>рукоділля</v>
      </c>
      <c r="D2921" s="16" t="str">
        <f>IFERROR(__xludf.DUMMYFUNCTION("""COMPUTED_VALUE"""),"ліплення та створення іграшок")</f>
        <v>ліплення та створення іграшок</v>
      </c>
      <c r="E2921" s="16" t="str">
        <f>IFERROR(__xludf.DUMMYFUNCTION("""COMPUTED_VALUE"""),"інструменти для роботи з полімерною глиною")</f>
        <v>інструменти для роботи з полімерною глиною</v>
      </c>
      <c r="F2921" s="17">
        <f>IFERROR(__xludf.DUMMYFUNCTION("""COMPUTED_VALUE"""),4.0)</f>
        <v>4</v>
      </c>
      <c r="G2921" s="17" t="str">
        <f>IFERROR(__xludf.DUMMYFUNCTION("""COMPUTED_VALUE"""),"152520")</f>
        <v>152520</v>
      </c>
      <c r="H2921" s="17" t="str">
        <f>IFERROR(__xludf.DUMMYFUNCTION("""COMPUTED_VALUE"""),"інструменти для роботи з полімерною глиною")</f>
        <v>інструменти для роботи з полімерною глиною</v>
      </c>
      <c r="I2921" s="19">
        <f>IFERROR(__xludf.DUMMYFUNCTION("""COMPUTED_VALUE"""),0.0798)</f>
        <v>0.0798</v>
      </c>
      <c r="J2921" s="19">
        <f>IFERROR(__xludf.DUMMYFUNCTION("""COMPUTED_VALUE"""),0.1596)</f>
        <v>0.1596</v>
      </c>
      <c r="K2921" s="19">
        <f>IFERROR(__xludf.DUMMYFUNCTION("""COMPUTED_VALUE"""),0.1995)</f>
        <v>0.1995</v>
      </c>
      <c r="L2921" s="19">
        <f>IFERROR(__xludf.DUMMYFUNCTION("""COMPUTED_VALUE"""),0.2394)</f>
        <v>0.2394</v>
      </c>
      <c r="M2921" s="18">
        <f>IFERROR(__xludf.DUMMYFUNCTION("""COMPUTED_VALUE"""),1.05)</f>
        <v>1.05</v>
      </c>
    </row>
    <row r="2922">
      <c r="A2922" s="13" t="str">
        <f>IFERROR(__xludf.DUMMYFUNCTION("""COMPUTED_VALUE"""),"товари")</f>
        <v>товари</v>
      </c>
      <c r="B2922" s="16" t="str">
        <f>IFERROR(__xludf.DUMMYFUNCTION("""COMPUTED_VALUE"""),"подарунки, хобі, книги")</f>
        <v>подарунки, хобі, книги</v>
      </c>
      <c r="C2922" s="16" t="str">
        <f>IFERROR(__xludf.DUMMYFUNCTION("""COMPUTED_VALUE"""),"книги, журнали, друкована продукція")</f>
        <v>книги, журнали, друкована продукція</v>
      </c>
      <c r="D2922" s="16" t="str">
        <f>IFERROR(__xludf.DUMMYFUNCTION("""COMPUTED_VALUE"""),"календарі та плакати")</f>
        <v>календарі та плакати</v>
      </c>
      <c r="E2922" s="16" t="str">
        <f>IFERROR(__xludf.DUMMYFUNCTION("""COMPUTED_VALUE"""),"календарі та плакати")</f>
        <v>календарі та плакати</v>
      </c>
      <c r="F2922" s="17">
        <f>IFERROR(__xludf.DUMMYFUNCTION("""COMPUTED_VALUE"""),3.0)</f>
        <v>3</v>
      </c>
      <c r="G2922" s="17" t="str">
        <f>IFERROR(__xludf.DUMMYFUNCTION("""COMPUTED_VALUE"""),"3504")</f>
        <v>3504</v>
      </c>
      <c r="H2922" s="17" t="str">
        <f>IFERROR(__xludf.DUMMYFUNCTION("""COMPUTED_VALUE"""),"календарі та плакати")</f>
        <v>календарі та плакати</v>
      </c>
      <c r="I2922" s="19">
        <f>IFERROR(__xludf.DUMMYFUNCTION("""COMPUTED_VALUE"""),0.0738)</f>
        <v>0.0738</v>
      </c>
      <c r="J2922" s="19">
        <f>IFERROR(__xludf.DUMMYFUNCTION("""COMPUTED_VALUE"""),0.1476)</f>
        <v>0.1476</v>
      </c>
      <c r="K2922" s="19">
        <f>IFERROR(__xludf.DUMMYFUNCTION("""COMPUTED_VALUE"""),0.1845)</f>
        <v>0.1845</v>
      </c>
      <c r="L2922" s="19">
        <f>IFERROR(__xludf.DUMMYFUNCTION("""COMPUTED_VALUE"""),0.2214)</f>
        <v>0.2214</v>
      </c>
      <c r="M2922" s="18">
        <f>IFERROR(__xludf.DUMMYFUNCTION("""COMPUTED_VALUE"""),2.16)</f>
        <v>2.16</v>
      </c>
    </row>
    <row r="2923">
      <c r="A2923" s="13" t="str">
        <f>IFERROR(__xludf.DUMMYFUNCTION("""COMPUTED_VALUE"""),"товари")</f>
        <v>товари</v>
      </c>
      <c r="B2923" s="16" t="str">
        <f>IFERROR(__xludf.DUMMYFUNCTION("""COMPUTED_VALUE"""),"подарунки, хобі, книги")</f>
        <v>подарунки, хобі, книги</v>
      </c>
      <c r="C2923" s="16" t="str">
        <f>IFERROR(__xludf.DUMMYFUNCTION("""COMPUTED_VALUE"""),"кальяни і аксесуари до них")</f>
        <v>кальяни і аксесуари до них</v>
      </c>
      <c r="D2923" s="16" t="str">
        <f>IFERROR(__xludf.DUMMYFUNCTION("""COMPUTED_VALUE"""),"кальяни")</f>
        <v>кальяни</v>
      </c>
      <c r="E2923" s="16" t="str">
        <f>IFERROR(__xludf.DUMMYFUNCTION("""COMPUTED_VALUE"""),"кальяни")</f>
        <v>кальяни</v>
      </c>
      <c r="F2923" s="17">
        <f>IFERROR(__xludf.DUMMYFUNCTION("""COMPUTED_VALUE"""),3.0)</f>
        <v>3</v>
      </c>
      <c r="G2923" s="17" t="str">
        <f>IFERROR(__xludf.DUMMYFUNCTION("""COMPUTED_VALUE"""),"152604")</f>
        <v>152604</v>
      </c>
      <c r="H2923" s="17" t="str">
        <f>IFERROR(__xludf.DUMMYFUNCTION("""COMPUTED_VALUE"""),"кальяни")</f>
        <v>кальяни</v>
      </c>
      <c r="I2923" s="19">
        <f>IFERROR(__xludf.DUMMYFUNCTION("""COMPUTED_VALUE"""),0.0759)</f>
        <v>0.0759</v>
      </c>
      <c r="J2923" s="19">
        <f>IFERROR(__xludf.DUMMYFUNCTION("""COMPUTED_VALUE"""),0.1518)</f>
        <v>0.1518</v>
      </c>
      <c r="K2923" s="19">
        <f>IFERROR(__xludf.DUMMYFUNCTION("""COMPUTED_VALUE"""),0.1898)</f>
        <v>0.1898</v>
      </c>
      <c r="L2923" s="19">
        <f>IFERROR(__xludf.DUMMYFUNCTION("""COMPUTED_VALUE"""),0.2277)</f>
        <v>0.2277</v>
      </c>
      <c r="M2923" s="18">
        <f>IFERROR(__xludf.DUMMYFUNCTION("""COMPUTED_VALUE"""),4.8)</f>
        <v>4.8</v>
      </c>
    </row>
    <row r="2924">
      <c r="A2924" s="13" t="str">
        <f>IFERROR(__xludf.DUMMYFUNCTION("""COMPUTED_VALUE"""),"товари")</f>
        <v>товари</v>
      </c>
      <c r="B2924" s="16" t="str">
        <f>IFERROR(__xludf.DUMMYFUNCTION("""COMPUTED_VALUE"""),"подарунки, хобі, книги")</f>
        <v>подарунки, хобі, книги</v>
      </c>
      <c r="C2924" s="16" t="str">
        <f>IFERROR(__xludf.DUMMYFUNCTION("""COMPUTED_VALUE"""),"рукоділля")</f>
        <v>рукоділля</v>
      </c>
      <c r="D2924" s="16" t="str">
        <f>IFERROR(__xludf.DUMMYFUNCTION("""COMPUTED_VALUE"""),"вишивка та бісероплетіння")</f>
        <v>вишивка та бісероплетіння</v>
      </c>
      <c r="E2924" s="16" t="str">
        <f>IFERROR(__xludf.DUMMYFUNCTION("""COMPUTED_VALUE"""),"канва, полотно для вишивання")</f>
        <v>канва, полотно для вишивання</v>
      </c>
      <c r="F2924" s="17">
        <f>IFERROR(__xludf.DUMMYFUNCTION("""COMPUTED_VALUE"""),4.0)</f>
        <v>4</v>
      </c>
      <c r="G2924" s="17" t="str">
        <f>IFERROR(__xludf.DUMMYFUNCTION("""COMPUTED_VALUE"""),"15251003")</f>
        <v>15251003</v>
      </c>
      <c r="H2924" s="17" t="str">
        <f>IFERROR(__xludf.DUMMYFUNCTION("""COMPUTED_VALUE"""),"канва, полотно для вишивання")</f>
        <v>канва, полотно для вишивання</v>
      </c>
      <c r="I2924" s="19">
        <f>IFERROR(__xludf.DUMMYFUNCTION("""COMPUTED_VALUE"""),0.0774)</f>
        <v>0.0774</v>
      </c>
      <c r="J2924" s="19">
        <f>IFERROR(__xludf.DUMMYFUNCTION("""COMPUTED_VALUE"""),0.1547)</f>
        <v>0.1547</v>
      </c>
      <c r="K2924" s="19">
        <f>IFERROR(__xludf.DUMMYFUNCTION("""COMPUTED_VALUE"""),0.1934)</f>
        <v>0.1934</v>
      </c>
      <c r="L2924" s="19">
        <f>IFERROR(__xludf.DUMMYFUNCTION("""COMPUTED_VALUE"""),0.2321)</f>
        <v>0.2321</v>
      </c>
      <c r="M2924" s="18">
        <f>IFERROR(__xludf.DUMMYFUNCTION("""COMPUTED_VALUE"""),1.05)</f>
        <v>1.05</v>
      </c>
    </row>
    <row r="2925">
      <c r="A2925" s="13" t="str">
        <f>IFERROR(__xludf.DUMMYFUNCTION("""COMPUTED_VALUE"""),"товари")</f>
        <v>товари</v>
      </c>
      <c r="B2925" s="16" t="str">
        <f>IFERROR(__xludf.DUMMYFUNCTION("""COMPUTED_VALUE"""),"подарунки, хобі, книги")</f>
        <v>подарунки, хобі, книги</v>
      </c>
      <c r="C2925" s="16" t="str">
        <f>IFERROR(__xludf.DUMMYFUNCTION("""COMPUTED_VALUE"""),"рукоділля")</f>
        <v>рукоділля</v>
      </c>
      <c r="D2925" s="16" t="str">
        <f>IFERROR(__xludf.DUMMYFUNCTION("""COMPUTED_VALUE"""),"малювання і аплікація")</f>
        <v>малювання і аплікація</v>
      </c>
      <c r="E2925" s="16" t="str">
        <f>IFERROR(__xludf.DUMMYFUNCTION("""COMPUTED_VALUE"""),"картини за номерами")</f>
        <v>картини за номерами</v>
      </c>
      <c r="F2925" s="17">
        <f>IFERROR(__xludf.DUMMYFUNCTION("""COMPUTED_VALUE"""),4.0)</f>
        <v>4</v>
      </c>
      <c r="G2925" s="17" t="str">
        <f>IFERROR(__xludf.DUMMYFUNCTION("""COMPUTED_VALUE"""),"170416")</f>
        <v>170416</v>
      </c>
      <c r="H2925" s="17" t="str">
        <f>IFERROR(__xludf.DUMMYFUNCTION("""COMPUTED_VALUE"""),"картини за номерами")</f>
        <v>картини за номерами</v>
      </c>
      <c r="I2925" s="19">
        <f>IFERROR(__xludf.DUMMYFUNCTION("""COMPUTED_VALUE"""),0.0782)</f>
        <v>0.0782</v>
      </c>
      <c r="J2925" s="19">
        <f>IFERROR(__xludf.DUMMYFUNCTION("""COMPUTED_VALUE"""),0.1564)</f>
        <v>0.1564</v>
      </c>
      <c r="K2925" s="19">
        <f>IFERROR(__xludf.DUMMYFUNCTION("""COMPUTED_VALUE"""),0.1955)</f>
        <v>0.1955</v>
      </c>
      <c r="L2925" s="19">
        <f>IFERROR(__xludf.DUMMYFUNCTION("""COMPUTED_VALUE"""),0.2346)</f>
        <v>0.2346</v>
      </c>
      <c r="M2925" s="18">
        <f>IFERROR(__xludf.DUMMYFUNCTION("""COMPUTED_VALUE"""),3.98)</f>
        <v>3.98</v>
      </c>
    </row>
    <row r="2926">
      <c r="A2926" s="13" t="str">
        <f>IFERROR(__xludf.DUMMYFUNCTION("""COMPUTED_VALUE"""),"товари")</f>
        <v>товари</v>
      </c>
      <c r="B2926" s="16" t="str">
        <f>IFERROR(__xludf.DUMMYFUNCTION("""COMPUTED_VALUE"""),"подарунки, хобі, книги")</f>
        <v>подарунки, хобі, книги</v>
      </c>
      <c r="C2926" s="16" t="str">
        <f>IFERROR(__xludf.DUMMYFUNCTION("""COMPUTED_VALUE"""),"музичні інструменти")</f>
        <v>музичні інструменти</v>
      </c>
      <c r="D2926" s="16" t="str">
        <f>IFERROR(__xludf.DUMMYFUNCTION("""COMPUTED_VALUE"""),"клавішні інструменти та обладнання")</f>
        <v>клавішні інструменти та обладнання</v>
      </c>
      <c r="E2926" s="16" t="str">
        <f>IFERROR(__xludf.DUMMYFUNCTION("""COMPUTED_VALUE"""),"клавішні інструменти та обладнання, загальне")</f>
        <v>клавішні інструменти та обладнання, загальне</v>
      </c>
      <c r="F2926" s="17">
        <f>IFERROR(__xludf.DUMMYFUNCTION("""COMPUTED_VALUE"""),4.0)</f>
        <v>4</v>
      </c>
      <c r="G2926" s="17" t="str">
        <f>IFERROR(__xludf.DUMMYFUNCTION("""COMPUTED_VALUE"""),"180548")</f>
        <v>180548</v>
      </c>
      <c r="H2926" s="17" t="str">
        <f>IFERROR(__xludf.DUMMYFUNCTION("""COMPUTED_VALUE"""),"клавішні інструменти та обладнання, загальне")</f>
        <v>клавішні інструменти та обладнання, загальне</v>
      </c>
      <c r="I2926" s="19">
        <f>IFERROR(__xludf.DUMMYFUNCTION("""COMPUTED_VALUE"""),0.125)</f>
        <v>0.125</v>
      </c>
      <c r="J2926" s="19">
        <f>IFERROR(__xludf.DUMMYFUNCTION("""COMPUTED_VALUE"""),0.25)</f>
        <v>0.25</v>
      </c>
      <c r="K2926" s="19">
        <f>IFERROR(__xludf.DUMMYFUNCTION("""COMPUTED_VALUE"""),0.3125)</f>
        <v>0.3125</v>
      </c>
      <c r="L2926" s="19">
        <f>IFERROR(__xludf.DUMMYFUNCTION("""COMPUTED_VALUE"""),0.375)</f>
        <v>0.375</v>
      </c>
      <c r="M2926" s="18">
        <f>IFERROR(__xludf.DUMMYFUNCTION("""COMPUTED_VALUE"""),4.33)</f>
        <v>4.33</v>
      </c>
    </row>
    <row r="2927">
      <c r="A2927" s="13" t="str">
        <f>IFERROR(__xludf.DUMMYFUNCTION("""COMPUTED_VALUE"""),"товари")</f>
        <v>товари</v>
      </c>
      <c r="B2927" s="16" t="str">
        <f>IFERROR(__xludf.DUMMYFUNCTION("""COMPUTED_VALUE"""),"подарунки, хобі, книги")</f>
        <v>подарунки, хобі, книги</v>
      </c>
      <c r="C2927" s="16" t="str">
        <f>IFERROR(__xludf.DUMMYFUNCTION("""COMPUTED_VALUE"""),"книги, журнали, друкована продукція")</f>
        <v>книги, журнали, друкована продукція</v>
      </c>
      <c r="D2927" s="16" t="str">
        <f>IFERROR(__xludf.DUMMYFUNCTION("""COMPUTED_VALUE"""),"книги")</f>
        <v>книги</v>
      </c>
      <c r="E2927" s="16" t="str">
        <f>IFERROR(__xludf.DUMMYFUNCTION("""COMPUTED_VALUE"""),"книги для батьків")</f>
        <v>книги для батьків</v>
      </c>
      <c r="F2927" s="17">
        <f>IFERROR(__xludf.DUMMYFUNCTION("""COMPUTED_VALUE"""),4.0)</f>
        <v>4</v>
      </c>
      <c r="G2927" s="17" t="str">
        <f>IFERROR(__xludf.DUMMYFUNCTION("""COMPUTED_VALUE"""),"220232")</f>
        <v>220232</v>
      </c>
      <c r="H2927" s="17" t="str">
        <f>IFERROR(__xludf.DUMMYFUNCTION("""COMPUTED_VALUE"""),"книги для батьків")</f>
        <v>книги для батьків</v>
      </c>
      <c r="I2927" s="19">
        <f>IFERROR(__xludf.DUMMYFUNCTION("""COMPUTED_VALUE"""),0.0767)</f>
        <v>0.0767</v>
      </c>
      <c r="J2927" s="19">
        <f>IFERROR(__xludf.DUMMYFUNCTION("""COMPUTED_VALUE"""),0.1533)</f>
        <v>0.1533</v>
      </c>
      <c r="K2927" s="19">
        <f>IFERROR(__xludf.DUMMYFUNCTION("""COMPUTED_VALUE"""),0.1916)</f>
        <v>0.1916</v>
      </c>
      <c r="L2927" s="19">
        <f>IFERROR(__xludf.DUMMYFUNCTION("""COMPUTED_VALUE"""),0.23)</f>
        <v>0.23</v>
      </c>
      <c r="M2927" s="18">
        <f>IFERROR(__xludf.DUMMYFUNCTION("""COMPUTED_VALUE"""),2.53)</f>
        <v>2.53</v>
      </c>
    </row>
    <row r="2928">
      <c r="A2928" s="13" t="str">
        <f>IFERROR(__xludf.DUMMYFUNCTION("""COMPUTED_VALUE"""),"товари")</f>
        <v>товари</v>
      </c>
      <c r="B2928" s="16" t="str">
        <f>IFERROR(__xludf.DUMMYFUNCTION("""COMPUTED_VALUE"""),"подарунки, хобі, книги")</f>
        <v>подарунки, хобі, книги</v>
      </c>
      <c r="C2928" s="16" t="str">
        <f>IFERROR(__xludf.DUMMYFUNCTION("""COMPUTED_VALUE"""),"книги, журнали, друкована продукція")</f>
        <v>книги, журнали, друкована продукція</v>
      </c>
      <c r="D2928" s="16" t="str">
        <f>IFERROR(__xludf.DUMMYFUNCTION("""COMPUTED_VALUE"""),"книги")</f>
        <v>книги</v>
      </c>
      <c r="E2928" s="16" t="str">
        <f>IFERROR(__xludf.DUMMYFUNCTION("""COMPUTED_VALUE"""),"книги для вашого хобі")</f>
        <v>книги для вашого хобі</v>
      </c>
      <c r="F2928" s="17">
        <f>IFERROR(__xludf.DUMMYFUNCTION("""COMPUTED_VALUE"""),4.0)</f>
        <v>4</v>
      </c>
      <c r="G2928" s="17" t="str">
        <f>IFERROR(__xludf.DUMMYFUNCTION("""COMPUTED_VALUE"""),"220242")</f>
        <v>220242</v>
      </c>
      <c r="H2928" s="17" t="str">
        <f>IFERROR(__xludf.DUMMYFUNCTION("""COMPUTED_VALUE"""),"книги для вашого хобі")</f>
        <v>книги для вашого хобі</v>
      </c>
      <c r="I2928" s="19">
        <f>IFERROR(__xludf.DUMMYFUNCTION("""COMPUTED_VALUE"""),0.0757)</f>
        <v>0.0757</v>
      </c>
      <c r="J2928" s="19">
        <f>IFERROR(__xludf.DUMMYFUNCTION("""COMPUTED_VALUE"""),0.1513)</f>
        <v>0.1513</v>
      </c>
      <c r="K2928" s="19">
        <f>IFERROR(__xludf.DUMMYFUNCTION("""COMPUTED_VALUE"""),0.1891)</f>
        <v>0.1891</v>
      </c>
      <c r="L2928" s="19">
        <f>IFERROR(__xludf.DUMMYFUNCTION("""COMPUTED_VALUE"""),0.227)</f>
        <v>0.227</v>
      </c>
      <c r="M2928" s="18">
        <f>IFERROR(__xludf.DUMMYFUNCTION("""COMPUTED_VALUE"""),2.53)</f>
        <v>2.53</v>
      </c>
    </row>
    <row r="2929">
      <c r="A2929" s="13" t="str">
        <f>IFERROR(__xludf.DUMMYFUNCTION("""COMPUTED_VALUE"""),"товари")</f>
        <v>товари</v>
      </c>
      <c r="B2929" s="16" t="str">
        <f>IFERROR(__xludf.DUMMYFUNCTION("""COMPUTED_VALUE"""),"подарунки, хобі, книги")</f>
        <v>подарунки, хобі, книги</v>
      </c>
      <c r="C2929" s="16" t="str">
        <f>IFERROR(__xludf.DUMMYFUNCTION("""COMPUTED_VALUE"""),"книги, журнали, друкована продукція")</f>
        <v>книги, журнали, друкована продукція</v>
      </c>
      <c r="D2929" s="16" t="str">
        <f>IFERROR(__xludf.DUMMYFUNCTION("""COMPUTED_VALUE"""),"книги")</f>
        <v>книги</v>
      </c>
      <c r="E2929" s="16" t="str">
        <f>IFERROR(__xludf.DUMMYFUNCTION("""COMPUTED_VALUE"""),"книги для вивчення іноземних мов")</f>
        <v>книги для вивчення іноземних мов</v>
      </c>
      <c r="F2929" s="17">
        <f>IFERROR(__xludf.DUMMYFUNCTION("""COMPUTED_VALUE"""),4.0)</f>
        <v>4</v>
      </c>
      <c r="G2929" s="17" t="str">
        <f>IFERROR(__xludf.DUMMYFUNCTION("""COMPUTED_VALUE"""),"220211")</f>
        <v>220211</v>
      </c>
      <c r="H2929" s="17" t="str">
        <f>IFERROR(__xludf.DUMMYFUNCTION("""COMPUTED_VALUE"""),"книги для вивчення іноземних мов")</f>
        <v>книги для вивчення іноземних мов</v>
      </c>
      <c r="I2929" s="19">
        <f>IFERROR(__xludf.DUMMYFUNCTION("""COMPUTED_VALUE"""),0.075)</f>
        <v>0.075</v>
      </c>
      <c r="J2929" s="19">
        <f>IFERROR(__xludf.DUMMYFUNCTION("""COMPUTED_VALUE"""),0.15)</f>
        <v>0.15</v>
      </c>
      <c r="K2929" s="19">
        <f>IFERROR(__xludf.DUMMYFUNCTION("""COMPUTED_VALUE"""),0.1875)</f>
        <v>0.1875</v>
      </c>
      <c r="L2929" s="19">
        <f>IFERROR(__xludf.DUMMYFUNCTION("""COMPUTED_VALUE"""),0.225)</f>
        <v>0.225</v>
      </c>
      <c r="M2929" s="18">
        <f>IFERROR(__xludf.DUMMYFUNCTION("""COMPUTED_VALUE"""),2.53)</f>
        <v>2.53</v>
      </c>
    </row>
    <row r="2930">
      <c r="A2930" s="13" t="str">
        <f>IFERROR(__xludf.DUMMYFUNCTION("""COMPUTED_VALUE"""),"товари")</f>
        <v>товари</v>
      </c>
      <c r="B2930" s="16" t="str">
        <f>IFERROR(__xludf.DUMMYFUNCTION("""COMPUTED_VALUE"""),"подарунки, хобі, книги")</f>
        <v>подарунки, хобі, книги</v>
      </c>
      <c r="C2930" s="16" t="str">
        <f>IFERROR(__xludf.DUMMYFUNCTION("""COMPUTED_VALUE"""),"книги, журнали, друкована продукція")</f>
        <v>книги, журнали, друкована продукція</v>
      </c>
      <c r="D2930" s="16" t="str">
        <f>IFERROR(__xludf.DUMMYFUNCTION("""COMPUTED_VALUE"""),"книги")</f>
        <v>книги</v>
      </c>
      <c r="E2930" s="16" t="str">
        <f>IFERROR(__xludf.DUMMYFUNCTION("""COMPUTED_VALUE"""),"книги з природничих і технічних наук")</f>
        <v>книги з природничих і технічних наук</v>
      </c>
      <c r="F2930" s="17">
        <f>IFERROR(__xludf.DUMMYFUNCTION("""COMPUTED_VALUE"""),4.0)</f>
        <v>4</v>
      </c>
      <c r="G2930" s="17" t="str">
        <f>IFERROR(__xludf.DUMMYFUNCTION("""COMPUTED_VALUE"""),"220205")</f>
        <v>220205</v>
      </c>
      <c r="H2930" s="17" t="str">
        <f>IFERROR(__xludf.DUMMYFUNCTION("""COMPUTED_VALUE"""),"книги з природничих і технічних наук")</f>
        <v>книги з природничих і технічних наук</v>
      </c>
      <c r="I2930" s="19">
        <f>IFERROR(__xludf.DUMMYFUNCTION("""COMPUTED_VALUE"""),0.0757)</f>
        <v>0.0757</v>
      </c>
      <c r="J2930" s="19">
        <f>IFERROR(__xludf.DUMMYFUNCTION("""COMPUTED_VALUE"""),0.1513)</f>
        <v>0.1513</v>
      </c>
      <c r="K2930" s="19">
        <f>IFERROR(__xludf.DUMMYFUNCTION("""COMPUTED_VALUE"""),0.1891)</f>
        <v>0.1891</v>
      </c>
      <c r="L2930" s="19">
        <f>IFERROR(__xludf.DUMMYFUNCTION("""COMPUTED_VALUE"""),0.227)</f>
        <v>0.227</v>
      </c>
      <c r="M2930" s="18">
        <f>IFERROR(__xludf.DUMMYFUNCTION("""COMPUTED_VALUE"""),2.53)</f>
        <v>2.53</v>
      </c>
    </row>
    <row r="2931">
      <c r="A2931" s="13" t="str">
        <f>IFERROR(__xludf.DUMMYFUNCTION("""COMPUTED_VALUE"""),"товари")</f>
        <v>товари</v>
      </c>
      <c r="B2931" s="16" t="str">
        <f>IFERROR(__xludf.DUMMYFUNCTION("""COMPUTED_VALUE"""),"подарунки, хобі, книги")</f>
        <v>подарунки, хобі, книги</v>
      </c>
      <c r="C2931" s="16" t="str">
        <f>IFERROR(__xludf.DUMMYFUNCTION("""COMPUTED_VALUE"""),"книги, журнали, друкована продукція")</f>
        <v>книги, журнали, друкована продукція</v>
      </c>
      <c r="D2931" s="16" t="str">
        <f>IFERROR(__xludf.DUMMYFUNCTION("""COMPUTED_VALUE"""),"книги, журнали, друкована продукція, загальне")</f>
        <v>книги, журнали, друкована продукція, загальне</v>
      </c>
      <c r="E2931" s="16" t="str">
        <f>IFERROR(__xludf.DUMMYFUNCTION("""COMPUTED_VALUE"""),"книги, журнали, друкована продукція, загальне")</f>
        <v>книги, журнали, друкована продукція, загальне</v>
      </c>
      <c r="F2931" s="17">
        <f>IFERROR(__xludf.DUMMYFUNCTION("""COMPUTED_VALUE"""),3.0)</f>
        <v>3</v>
      </c>
      <c r="G2931" s="17" t="str">
        <f>IFERROR(__xludf.DUMMYFUNCTION("""COMPUTED_VALUE"""),"2211")</f>
        <v>2211</v>
      </c>
      <c r="H2931" s="17" t="str">
        <f>IFERROR(__xludf.DUMMYFUNCTION("""COMPUTED_VALUE"""),"книги, журнали, друкована продукція, загальне")</f>
        <v>книги, журнали, друкована продукція, загальне</v>
      </c>
      <c r="I2931" s="19">
        <f>IFERROR(__xludf.DUMMYFUNCTION("""COMPUTED_VALUE"""),0.125)</f>
        <v>0.125</v>
      </c>
      <c r="J2931" s="19">
        <f>IFERROR(__xludf.DUMMYFUNCTION("""COMPUTED_VALUE"""),0.25)</f>
        <v>0.25</v>
      </c>
      <c r="K2931" s="19">
        <f>IFERROR(__xludf.DUMMYFUNCTION("""COMPUTED_VALUE"""),0.3125)</f>
        <v>0.3125</v>
      </c>
      <c r="L2931" s="19">
        <f>IFERROR(__xludf.DUMMYFUNCTION("""COMPUTED_VALUE"""),0.375)</f>
        <v>0.375</v>
      </c>
      <c r="M2931" s="18">
        <f>IFERROR(__xludf.DUMMYFUNCTION("""COMPUTED_VALUE"""),4.33)</f>
        <v>4.33</v>
      </c>
    </row>
    <row r="2932">
      <c r="A2932" s="13" t="str">
        <f>IFERROR(__xludf.DUMMYFUNCTION("""COMPUTED_VALUE"""),"товари")</f>
        <v>товари</v>
      </c>
      <c r="B2932" s="16" t="str">
        <f>IFERROR(__xludf.DUMMYFUNCTION("""COMPUTED_VALUE"""),"подарунки, хобі, книги")</f>
        <v>подарунки, хобі, книги</v>
      </c>
      <c r="C2932" s="16" t="str">
        <f>IFERROR(__xludf.DUMMYFUNCTION("""COMPUTED_VALUE"""),"книги, журнали, друкована продукція")</f>
        <v>книги, журнали, друкована продукція</v>
      </c>
      <c r="D2932" s="16" t="str">
        <f>IFERROR(__xludf.DUMMYFUNCTION("""COMPUTED_VALUE"""),"книги")</f>
        <v>книги</v>
      </c>
      <c r="E2932" s="16" t="str">
        <f>IFERROR(__xludf.DUMMYFUNCTION("""COMPUTED_VALUE"""),"книги, загальне")</f>
        <v>книги, загальне</v>
      </c>
      <c r="F2932" s="17">
        <f>IFERROR(__xludf.DUMMYFUNCTION("""COMPUTED_VALUE"""),4.0)</f>
        <v>4</v>
      </c>
      <c r="G2932" s="17" t="str">
        <f>IFERROR(__xludf.DUMMYFUNCTION("""COMPUTED_VALUE"""),"220202")</f>
        <v>220202</v>
      </c>
      <c r="H2932" s="17" t="str">
        <f>IFERROR(__xludf.DUMMYFUNCTION("""COMPUTED_VALUE"""),"книги, загальне")</f>
        <v>книги, загальне</v>
      </c>
      <c r="I2932" s="19">
        <f>IFERROR(__xludf.DUMMYFUNCTION("""COMPUTED_VALUE"""),0.125)</f>
        <v>0.125</v>
      </c>
      <c r="J2932" s="19">
        <f>IFERROR(__xludf.DUMMYFUNCTION("""COMPUTED_VALUE"""),0.25)</f>
        <v>0.25</v>
      </c>
      <c r="K2932" s="19">
        <f>IFERROR(__xludf.DUMMYFUNCTION("""COMPUTED_VALUE"""),0.3125)</f>
        <v>0.3125</v>
      </c>
      <c r="L2932" s="19">
        <f>IFERROR(__xludf.DUMMYFUNCTION("""COMPUTED_VALUE"""),0.375)</f>
        <v>0.375</v>
      </c>
      <c r="M2932" s="18">
        <f>IFERROR(__xludf.DUMMYFUNCTION("""COMPUTED_VALUE"""),4.33)</f>
        <v>4.33</v>
      </c>
    </row>
    <row r="2933">
      <c r="A2933" s="13" t="str">
        <f>IFERROR(__xludf.DUMMYFUNCTION("""COMPUTED_VALUE"""),"товари")</f>
        <v>товари</v>
      </c>
      <c r="B2933" s="16" t="str">
        <f>IFERROR(__xludf.DUMMYFUNCTION("""COMPUTED_VALUE"""),"подарунки, хобі, книги")</f>
        <v>подарунки, хобі, книги</v>
      </c>
      <c r="C2933" s="16" t="str">
        <f>IFERROR(__xludf.DUMMYFUNCTION("""COMPUTED_VALUE"""),"cвяткові прикраси")</f>
        <v>cвяткові прикраси</v>
      </c>
      <c r="D2933" s="16" t="str">
        <f>IFERROR(__xludf.DUMMYFUNCTION("""COMPUTED_VALUE"""),"кольоровий дим")</f>
        <v>кольоровий дим</v>
      </c>
      <c r="E2933" s="16" t="str">
        <f>IFERROR(__xludf.DUMMYFUNCTION("""COMPUTED_VALUE"""),"кольоровий дим")</f>
        <v>кольоровий дим</v>
      </c>
      <c r="F2933" s="17">
        <f>IFERROR(__xludf.DUMMYFUNCTION("""COMPUTED_VALUE"""),3.0)</f>
        <v>3</v>
      </c>
      <c r="G2933" s="17" t="str">
        <f>IFERROR(__xludf.DUMMYFUNCTION("""COMPUTED_VALUE"""),"175511")</f>
        <v>175511</v>
      </c>
      <c r="H2933" s="17" t="str">
        <f>IFERROR(__xludf.DUMMYFUNCTION("""COMPUTED_VALUE"""),"кольоровий дим")</f>
        <v>кольоровий дим</v>
      </c>
      <c r="I2933" s="19">
        <f>IFERROR(__xludf.DUMMYFUNCTION("""COMPUTED_VALUE"""),0.12)</f>
        <v>0.12</v>
      </c>
      <c r="J2933" s="19">
        <f>IFERROR(__xludf.DUMMYFUNCTION("""COMPUTED_VALUE"""),0.24)</f>
        <v>0.24</v>
      </c>
      <c r="K2933" s="19">
        <f>IFERROR(__xludf.DUMMYFUNCTION("""COMPUTED_VALUE"""),0.3)</f>
        <v>0.3</v>
      </c>
      <c r="L2933" s="19">
        <f>IFERROR(__xludf.DUMMYFUNCTION("""COMPUTED_VALUE"""),0.36)</f>
        <v>0.36</v>
      </c>
      <c r="M2933" s="18">
        <f>IFERROR(__xludf.DUMMYFUNCTION("""COMPUTED_VALUE"""),2.79)</f>
        <v>2.79</v>
      </c>
    </row>
    <row r="2934">
      <c r="A2934" s="13" t="str">
        <f>IFERROR(__xludf.DUMMYFUNCTION("""COMPUTED_VALUE"""),"товари")</f>
        <v>товари</v>
      </c>
      <c r="B2934" s="16" t="str">
        <f>IFERROR(__xludf.DUMMYFUNCTION("""COMPUTED_VALUE"""),"подарунки, хобі, книги")</f>
        <v>подарунки, хобі, книги</v>
      </c>
      <c r="C2934" s="16" t="str">
        <f>IFERROR(__xludf.DUMMYFUNCTION("""COMPUTED_VALUE"""),"книги, журнали, друкована продукція")</f>
        <v>книги, журнали, друкована продукція</v>
      </c>
      <c r="D2934" s="16" t="str">
        <f>IFERROR(__xludf.DUMMYFUNCTION("""COMPUTED_VALUE"""),"книги")</f>
        <v>книги</v>
      </c>
      <c r="E2934" s="16" t="str">
        <f>IFERROR(__xludf.DUMMYFUNCTION("""COMPUTED_VALUE"""),"комп'ютерні книги")</f>
        <v>комп'ютерні книги</v>
      </c>
      <c r="F2934" s="17">
        <f>IFERROR(__xludf.DUMMYFUNCTION("""COMPUTED_VALUE"""),4.0)</f>
        <v>4</v>
      </c>
      <c r="G2934" s="17" t="str">
        <f>IFERROR(__xludf.DUMMYFUNCTION("""COMPUTED_VALUE"""),"220229")</f>
        <v>220229</v>
      </c>
      <c r="H2934" s="17" t="str">
        <f>IFERROR(__xludf.DUMMYFUNCTION("""COMPUTED_VALUE"""),"комп'ютерні книги")</f>
        <v>комп'ютерні книги</v>
      </c>
      <c r="I2934" s="19">
        <f>IFERROR(__xludf.DUMMYFUNCTION("""COMPUTED_VALUE"""),0.0754)</f>
        <v>0.0754</v>
      </c>
      <c r="J2934" s="19">
        <f>IFERROR(__xludf.DUMMYFUNCTION("""COMPUTED_VALUE"""),0.1507)</f>
        <v>0.1507</v>
      </c>
      <c r="K2934" s="19">
        <f>IFERROR(__xludf.DUMMYFUNCTION("""COMPUTED_VALUE"""),0.1884)</f>
        <v>0.1884</v>
      </c>
      <c r="L2934" s="19">
        <f>IFERROR(__xludf.DUMMYFUNCTION("""COMPUTED_VALUE"""),0.2261)</f>
        <v>0.2261</v>
      </c>
      <c r="M2934" s="18">
        <f>IFERROR(__xludf.DUMMYFUNCTION("""COMPUTED_VALUE"""),2.53)</f>
        <v>2.53</v>
      </c>
    </row>
    <row r="2935">
      <c r="A2935" s="13" t="str">
        <f>IFERROR(__xludf.DUMMYFUNCTION("""COMPUTED_VALUE"""),"товари")</f>
        <v>товари</v>
      </c>
      <c r="B2935" s="16" t="str">
        <f>IFERROR(__xludf.DUMMYFUNCTION("""COMPUTED_VALUE"""),"подарунки, хобі, книги")</f>
        <v>подарунки, хобі, книги</v>
      </c>
      <c r="C2935" s="16" t="str">
        <f>IFERROR(__xludf.DUMMYFUNCTION("""COMPUTED_VALUE"""),"кальяни і аксесуари до них")</f>
        <v>кальяни і аксесуари до них</v>
      </c>
      <c r="D2935" s="16" t="str">
        <f>IFERROR(__xludf.DUMMYFUNCTION("""COMPUTED_VALUE"""),"комплектуючі для pod-систем")</f>
        <v>комплектуючі для pod-систем</v>
      </c>
      <c r="E2935" s="16" t="str">
        <f>IFERROR(__xludf.DUMMYFUNCTION("""COMPUTED_VALUE"""),"комплектуючі для pod-систем")</f>
        <v>комплектуючі для pod-систем</v>
      </c>
      <c r="F2935" s="17">
        <f>IFERROR(__xludf.DUMMYFUNCTION("""COMPUTED_VALUE"""),3.0)</f>
        <v>3</v>
      </c>
      <c r="G2935" s="17" t="str">
        <f>IFERROR(__xludf.DUMMYFUNCTION("""COMPUTED_VALUE"""),"177103")</f>
        <v>177103</v>
      </c>
      <c r="H2935" s="17" t="str">
        <f>IFERROR(__xludf.DUMMYFUNCTION("""COMPUTED_VALUE"""),"комплектуючі для pod-систем")</f>
        <v>комплектуючі для pod-систем</v>
      </c>
      <c r="I2935" s="19">
        <f>IFERROR(__xludf.DUMMYFUNCTION("""COMPUTED_VALUE"""),0.0828)</f>
        <v>0.0828</v>
      </c>
      <c r="J2935" s="19">
        <f>IFERROR(__xludf.DUMMYFUNCTION("""COMPUTED_VALUE"""),0.1655)</f>
        <v>0.1655</v>
      </c>
      <c r="K2935" s="19">
        <f>IFERROR(__xludf.DUMMYFUNCTION("""COMPUTED_VALUE"""),0.2069)</f>
        <v>0.2069</v>
      </c>
      <c r="L2935" s="19">
        <f>IFERROR(__xludf.DUMMYFUNCTION("""COMPUTED_VALUE"""),0.2483)</f>
        <v>0.2483</v>
      </c>
      <c r="M2935" s="18">
        <f>IFERROR(__xludf.DUMMYFUNCTION("""COMPUTED_VALUE"""),1.53)</f>
        <v>1.53</v>
      </c>
    </row>
    <row r="2936">
      <c r="A2936" s="13" t="str">
        <f>IFERROR(__xludf.DUMMYFUNCTION("""COMPUTED_VALUE"""),"товари")</f>
        <v>товари</v>
      </c>
      <c r="B2936" s="16" t="str">
        <f>IFERROR(__xludf.DUMMYFUNCTION("""COMPUTED_VALUE"""),"подарунки, хобі, книги")</f>
        <v>подарунки, хобі, книги</v>
      </c>
      <c r="C2936" s="16" t="str">
        <f>IFERROR(__xludf.DUMMYFUNCTION("""COMPUTED_VALUE"""),"кальяни і аксесуари до них")</f>
        <v>кальяни і аксесуари до них</v>
      </c>
      <c r="D2936" s="16" t="str">
        <f>IFERROR(__xludf.DUMMYFUNCTION("""COMPUTED_VALUE"""),"комплектуючі для кальянів")</f>
        <v>комплектуючі для кальянів</v>
      </c>
      <c r="E2936" s="16" t="str">
        <f>IFERROR(__xludf.DUMMYFUNCTION("""COMPUTED_VALUE"""),"комплектуючі для кальянів")</f>
        <v>комплектуючі для кальянів</v>
      </c>
      <c r="F2936" s="17">
        <f>IFERROR(__xludf.DUMMYFUNCTION("""COMPUTED_VALUE"""),3.0)</f>
        <v>3</v>
      </c>
      <c r="G2936" s="17" t="str">
        <f>IFERROR(__xludf.DUMMYFUNCTION("""COMPUTED_VALUE"""),"152610")</f>
        <v>152610</v>
      </c>
      <c r="H2936" s="17" t="str">
        <f>IFERROR(__xludf.DUMMYFUNCTION("""COMPUTED_VALUE"""),"комплектуючі для кальянів")</f>
        <v>комплектуючі для кальянів</v>
      </c>
      <c r="I2936" s="19">
        <f>IFERROR(__xludf.DUMMYFUNCTION("""COMPUTED_VALUE"""),0.0827)</f>
        <v>0.0827</v>
      </c>
      <c r="J2936" s="19">
        <f>IFERROR(__xludf.DUMMYFUNCTION("""COMPUTED_VALUE"""),0.1654)</f>
        <v>0.1654</v>
      </c>
      <c r="K2936" s="19">
        <f>IFERROR(__xludf.DUMMYFUNCTION("""COMPUTED_VALUE"""),0.2068)</f>
        <v>0.2068</v>
      </c>
      <c r="L2936" s="19">
        <f>IFERROR(__xludf.DUMMYFUNCTION("""COMPUTED_VALUE"""),0.2481)</f>
        <v>0.2481</v>
      </c>
      <c r="M2936" s="18">
        <f>IFERROR(__xludf.DUMMYFUNCTION("""COMPUTED_VALUE"""),3.88)</f>
        <v>3.88</v>
      </c>
    </row>
    <row r="2937">
      <c r="A2937" s="13" t="str">
        <f>IFERROR(__xludf.DUMMYFUNCTION("""COMPUTED_VALUE"""),"товари")</f>
        <v>товари</v>
      </c>
      <c r="B2937" s="16" t="str">
        <f>IFERROR(__xludf.DUMMYFUNCTION("""COMPUTED_VALUE"""),"подарунки, хобі, книги")</f>
        <v>подарунки, хобі, книги</v>
      </c>
      <c r="C2937" s="16" t="str">
        <f>IFERROR(__xludf.DUMMYFUNCTION("""COMPUTED_VALUE"""),"букети")</f>
        <v>букети</v>
      </c>
      <c r="D2937" s="16" t="str">
        <f>IFERROR(__xludf.DUMMYFUNCTION("""COMPUTED_VALUE"""),"композиції з іграшок, одягу, підгузків")</f>
        <v>композиції з іграшок, одягу, підгузків</v>
      </c>
      <c r="E2937" s="16" t="str">
        <f>IFERROR(__xludf.DUMMYFUNCTION("""COMPUTED_VALUE"""),"композиції з іграшок, одягу, підгузків")</f>
        <v>композиції з іграшок, одягу, підгузків</v>
      </c>
      <c r="F2937" s="17">
        <f>IFERROR(__xludf.DUMMYFUNCTION("""COMPUTED_VALUE"""),3.0)</f>
        <v>3</v>
      </c>
      <c r="G2937" s="17" t="str">
        <f>IFERROR(__xludf.DUMMYFUNCTION("""COMPUTED_VALUE"""),"1750")</f>
        <v>1750</v>
      </c>
      <c r="H2937" s="17" t="str">
        <f>IFERROR(__xludf.DUMMYFUNCTION("""COMPUTED_VALUE"""),"композиції з іграшок, одягу, підгузків")</f>
        <v>композиції з іграшок, одягу, підгузків</v>
      </c>
      <c r="I2937" s="19">
        <f>IFERROR(__xludf.DUMMYFUNCTION("""COMPUTED_VALUE"""),0.1086)</f>
        <v>0.1086</v>
      </c>
      <c r="J2937" s="19">
        <f>IFERROR(__xludf.DUMMYFUNCTION("""COMPUTED_VALUE"""),0.2171)</f>
        <v>0.2171</v>
      </c>
      <c r="K2937" s="19">
        <f>IFERROR(__xludf.DUMMYFUNCTION("""COMPUTED_VALUE"""),0.2714)</f>
        <v>0.2714</v>
      </c>
      <c r="L2937" s="19">
        <f>IFERROR(__xludf.DUMMYFUNCTION("""COMPUTED_VALUE"""),0.3257)</f>
        <v>0.3257</v>
      </c>
      <c r="M2937" s="18">
        <f>IFERROR(__xludf.DUMMYFUNCTION("""COMPUTED_VALUE"""),1.05)</f>
        <v>1.05</v>
      </c>
    </row>
    <row r="2938">
      <c r="A2938" s="13" t="str">
        <f>IFERROR(__xludf.DUMMYFUNCTION("""COMPUTED_VALUE"""),"товари")</f>
        <v>товари</v>
      </c>
      <c r="B2938" s="16" t="str">
        <f>IFERROR(__xludf.DUMMYFUNCTION("""COMPUTED_VALUE"""),"подарунки, хобі, книги")</f>
        <v>подарунки, хобі, книги</v>
      </c>
      <c r="C2938" s="16" t="str">
        <f>IFERROR(__xludf.DUMMYFUNCTION("""COMPUTED_VALUE"""),"рукоділля")</f>
        <v>рукоділля</v>
      </c>
      <c r="D2938" s="16" t="str">
        <f>IFERROR(__xludf.DUMMYFUNCTION("""COMPUTED_VALUE"""),"миловаріння та виготовлення свічок")</f>
        <v>миловаріння та виготовлення свічок</v>
      </c>
      <c r="E2938" s="16" t="str">
        <f>IFERROR(__xludf.DUMMYFUNCTION("""COMPUTED_VALUE"""),"косметичні аромати")</f>
        <v>косметичні аромати</v>
      </c>
      <c r="F2938" s="17">
        <f>IFERROR(__xludf.DUMMYFUNCTION("""COMPUTED_VALUE"""),4.0)</f>
        <v>4</v>
      </c>
      <c r="G2938" s="17" t="str">
        <f>IFERROR(__xludf.DUMMYFUNCTION("""COMPUTED_VALUE"""),"15250904")</f>
        <v>15250904</v>
      </c>
      <c r="H2938" s="17" t="str">
        <f>IFERROR(__xludf.DUMMYFUNCTION("""COMPUTED_VALUE"""),"косметичні аромати")</f>
        <v>косметичні аромати</v>
      </c>
      <c r="I2938" s="19">
        <f>IFERROR(__xludf.DUMMYFUNCTION("""COMPUTED_VALUE"""),0.0757)</f>
        <v>0.0757</v>
      </c>
      <c r="J2938" s="19">
        <f>IFERROR(__xludf.DUMMYFUNCTION("""COMPUTED_VALUE"""),0.1514)</f>
        <v>0.1514</v>
      </c>
      <c r="K2938" s="19">
        <f>IFERROR(__xludf.DUMMYFUNCTION("""COMPUTED_VALUE"""),0.1893)</f>
        <v>0.1893</v>
      </c>
      <c r="L2938" s="19">
        <f>IFERROR(__xludf.DUMMYFUNCTION("""COMPUTED_VALUE"""),0.2271)</f>
        <v>0.2271</v>
      </c>
      <c r="M2938" s="18">
        <f>IFERROR(__xludf.DUMMYFUNCTION("""COMPUTED_VALUE"""),1.26)</f>
        <v>1.26</v>
      </c>
    </row>
    <row r="2939">
      <c r="A2939" s="13" t="str">
        <f>IFERROR(__xludf.DUMMYFUNCTION("""COMPUTED_VALUE"""),"товари")</f>
        <v>товари</v>
      </c>
      <c r="B2939" s="16" t="str">
        <f>IFERROR(__xludf.DUMMYFUNCTION("""COMPUTED_VALUE"""),"подарунки, хобі, книги")</f>
        <v>подарунки, хобі, книги</v>
      </c>
      <c r="C2939" s="16" t="str">
        <f>IFERROR(__xludf.DUMMYFUNCTION("""COMPUTED_VALUE"""),"подарунки і сувеніри")</f>
        <v>подарунки і сувеніри</v>
      </c>
      <c r="D2939" s="16" t="str">
        <f>IFERROR(__xludf.DUMMYFUNCTION("""COMPUTED_VALUE"""),"листівки та подарункові конверти")</f>
        <v>листівки та подарункові конверти</v>
      </c>
      <c r="E2939" s="16" t="str">
        <f>IFERROR(__xludf.DUMMYFUNCTION("""COMPUTED_VALUE"""),"листівки та подарункові конверти")</f>
        <v>листівки та подарункові конверти</v>
      </c>
      <c r="F2939" s="17">
        <f>IFERROR(__xludf.DUMMYFUNCTION("""COMPUTED_VALUE"""),3.0)</f>
        <v>3</v>
      </c>
      <c r="G2939" s="17" t="str">
        <f>IFERROR(__xludf.DUMMYFUNCTION("""COMPUTED_VALUE"""),"1756")</f>
        <v>1756</v>
      </c>
      <c r="H2939" s="17" t="str">
        <f>IFERROR(__xludf.DUMMYFUNCTION("""COMPUTED_VALUE"""),"листівки та подарункові конверти")</f>
        <v>листівки та подарункові конверти</v>
      </c>
      <c r="I2939" s="19">
        <f>IFERROR(__xludf.DUMMYFUNCTION("""COMPUTED_VALUE"""),0.077)</f>
        <v>0.077</v>
      </c>
      <c r="J2939" s="19">
        <f>IFERROR(__xludf.DUMMYFUNCTION("""COMPUTED_VALUE"""),0.154)</f>
        <v>0.154</v>
      </c>
      <c r="K2939" s="19">
        <f>IFERROR(__xludf.DUMMYFUNCTION("""COMPUTED_VALUE"""),0.1925)</f>
        <v>0.1925</v>
      </c>
      <c r="L2939" s="19">
        <f>IFERROR(__xludf.DUMMYFUNCTION("""COMPUTED_VALUE"""),0.231)</f>
        <v>0.231</v>
      </c>
      <c r="M2939" s="18">
        <f>IFERROR(__xludf.DUMMYFUNCTION("""COMPUTED_VALUE"""),1.05)</f>
        <v>1.05</v>
      </c>
    </row>
    <row r="2940">
      <c r="A2940" s="13" t="str">
        <f>IFERROR(__xludf.DUMMYFUNCTION("""COMPUTED_VALUE"""),"товари")</f>
        <v>товари</v>
      </c>
      <c r="B2940" s="16" t="str">
        <f>IFERROR(__xludf.DUMMYFUNCTION("""COMPUTED_VALUE"""),"подарунки, хобі, книги")</f>
        <v>подарунки, хобі, книги</v>
      </c>
      <c r="C2940" s="16" t="str">
        <f>IFERROR(__xludf.DUMMYFUNCTION("""COMPUTED_VALUE"""),"рукоділля")</f>
        <v>рукоділля</v>
      </c>
      <c r="D2940" s="16" t="str">
        <f>IFERROR(__xludf.DUMMYFUNCTION("""COMPUTED_VALUE"""),"ліплення та створення іграшок")</f>
        <v>ліплення та створення іграшок</v>
      </c>
      <c r="E2940" s="16" t="str">
        <f>IFERROR(__xludf.DUMMYFUNCTION("""COMPUTED_VALUE"""),"ліплення та створення іграшок, загальне")</f>
        <v>ліплення та створення іграшок, загальне</v>
      </c>
      <c r="F2940" s="17">
        <f>IFERROR(__xludf.DUMMYFUNCTION("""COMPUTED_VALUE"""),4.0)</f>
        <v>4</v>
      </c>
      <c r="G2940" s="17" t="str">
        <f>IFERROR(__xludf.DUMMYFUNCTION("""COMPUTED_VALUE"""),"15252601")</f>
        <v>15252601</v>
      </c>
      <c r="H2940" s="17" t="str">
        <f>IFERROR(__xludf.DUMMYFUNCTION("""COMPUTED_VALUE"""),"ліплення та створення іграшок, загальне")</f>
        <v>ліплення та створення іграшок, загальне</v>
      </c>
      <c r="I2940" s="19">
        <f>IFERROR(__xludf.DUMMYFUNCTION("""COMPUTED_VALUE"""),0.125)</f>
        <v>0.125</v>
      </c>
      <c r="J2940" s="19">
        <f>IFERROR(__xludf.DUMMYFUNCTION("""COMPUTED_VALUE"""),0.25)</f>
        <v>0.25</v>
      </c>
      <c r="K2940" s="19">
        <f>IFERROR(__xludf.DUMMYFUNCTION("""COMPUTED_VALUE"""),0.3125)</f>
        <v>0.3125</v>
      </c>
      <c r="L2940" s="19">
        <f>IFERROR(__xludf.DUMMYFUNCTION("""COMPUTED_VALUE"""),0.375)</f>
        <v>0.375</v>
      </c>
      <c r="M2940" s="18">
        <f>IFERROR(__xludf.DUMMYFUNCTION("""COMPUTED_VALUE"""),4.33)</f>
        <v>4.33</v>
      </c>
    </row>
    <row r="2941">
      <c r="A2941" s="13" t="str">
        <f>IFERROR(__xludf.DUMMYFUNCTION("""COMPUTED_VALUE"""),"товари")</f>
        <v>товари</v>
      </c>
      <c r="B2941" s="16" t="str">
        <f>IFERROR(__xludf.DUMMYFUNCTION("""COMPUTED_VALUE"""),"подарунки, хобі, книги")</f>
        <v>подарунки, хобі, книги</v>
      </c>
      <c r="C2941" s="16" t="str">
        <f>IFERROR(__xludf.DUMMYFUNCTION("""COMPUTED_VALUE"""),"книги, журнали, друкована продукція")</f>
        <v>книги, журнали, друкована продукція</v>
      </c>
      <c r="D2941" s="16" t="str">
        <f>IFERROR(__xludf.DUMMYFUNCTION("""COMPUTED_VALUE"""),"книги")</f>
        <v>книги</v>
      </c>
      <c r="E2941" s="16" t="str">
        <f>IFERROR(__xludf.DUMMYFUNCTION("""COMPUTED_VALUE"""),"література з суспільних та гуманітарних наук")</f>
        <v>література з суспільних та гуманітарних наук</v>
      </c>
      <c r="F2941" s="17">
        <f>IFERROR(__xludf.DUMMYFUNCTION("""COMPUTED_VALUE"""),4.0)</f>
        <v>4</v>
      </c>
      <c r="G2941" s="17" t="str">
        <f>IFERROR(__xludf.DUMMYFUNCTION("""COMPUTED_VALUE"""),"220206")</f>
        <v>220206</v>
      </c>
      <c r="H2941" s="17" t="str">
        <f>IFERROR(__xludf.DUMMYFUNCTION("""COMPUTED_VALUE"""),"література з суспільних та гуманітарних наук")</f>
        <v>література з суспільних та гуманітарних наук</v>
      </c>
      <c r="I2941" s="19">
        <f>IFERROR(__xludf.DUMMYFUNCTION("""COMPUTED_VALUE"""),0.076)</f>
        <v>0.076</v>
      </c>
      <c r="J2941" s="19">
        <f>IFERROR(__xludf.DUMMYFUNCTION("""COMPUTED_VALUE"""),0.152)</f>
        <v>0.152</v>
      </c>
      <c r="K2941" s="19">
        <f>IFERROR(__xludf.DUMMYFUNCTION("""COMPUTED_VALUE"""),0.19)</f>
        <v>0.19</v>
      </c>
      <c r="L2941" s="19">
        <f>IFERROR(__xludf.DUMMYFUNCTION("""COMPUTED_VALUE"""),0.228)</f>
        <v>0.228</v>
      </c>
      <c r="M2941" s="18">
        <f>IFERROR(__xludf.DUMMYFUNCTION("""COMPUTED_VALUE"""),2.53)</f>
        <v>2.53</v>
      </c>
    </row>
    <row r="2942">
      <c r="A2942" s="13" t="str">
        <f>IFERROR(__xludf.DUMMYFUNCTION("""COMPUTED_VALUE"""),"товари")</f>
        <v>товари</v>
      </c>
      <c r="B2942" s="16" t="str">
        <f>IFERROR(__xludf.DUMMYFUNCTION("""COMPUTED_VALUE"""),"подарунки, хобі, книги")</f>
        <v>подарунки, хобі, книги</v>
      </c>
      <c r="C2942" s="16" t="str">
        <f>IFERROR(__xludf.DUMMYFUNCTION("""COMPUTED_VALUE"""),"рукоділля")</f>
        <v>рукоділля</v>
      </c>
      <c r="D2942" s="16" t="str">
        <f>IFERROR(__xludf.DUMMYFUNCTION("""COMPUTED_VALUE"""),"малювання і аплікація")</f>
        <v>малювання і аплікація</v>
      </c>
      <c r="E2942" s="16" t="str">
        <f>IFERROR(__xludf.DUMMYFUNCTION("""COMPUTED_VALUE"""),"малювання, загальне")</f>
        <v>малювання, загальне</v>
      </c>
      <c r="F2942" s="17">
        <f>IFERROR(__xludf.DUMMYFUNCTION("""COMPUTED_VALUE"""),4.0)</f>
        <v>4</v>
      </c>
      <c r="G2942" s="17" t="str">
        <f>IFERROR(__xludf.DUMMYFUNCTION("""COMPUTED_VALUE"""),"21111199")</f>
        <v>21111199</v>
      </c>
      <c r="H2942" s="17" t="str">
        <f>IFERROR(__xludf.DUMMYFUNCTION("""COMPUTED_VALUE"""),"малювання, загальне")</f>
        <v>малювання, загальне</v>
      </c>
      <c r="I2942" s="19">
        <f>IFERROR(__xludf.DUMMYFUNCTION("""COMPUTED_VALUE"""),0.125)</f>
        <v>0.125</v>
      </c>
      <c r="J2942" s="19">
        <f>IFERROR(__xludf.DUMMYFUNCTION("""COMPUTED_VALUE"""),0.25)</f>
        <v>0.25</v>
      </c>
      <c r="K2942" s="19">
        <f>IFERROR(__xludf.DUMMYFUNCTION("""COMPUTED_VALUE"""),0.3125)</f>
        <v>0.3125</v>
      </c>
      <c r="L2942" s="19">
        <f>IFERROR(__xludf.DUMMYFUNCTION("""COMPUTED_VALUE"""),0.375)</f>
        <v>0.375</v>
      </c>
      <c r="M2942" s="18">
        <f>IFERROR(__xludf.DUMMYFUNCTION("""COMPUTED_VALUE"""),4.33)</f>
        <v>4.33</v>
      </c>
    </row>
    <row r="2943">
      <c r="A2943" s="13" t="str">
        <f>IFERROR(__xludf.DUMMYFUNCTION("""COMPUTED_VALUE"""),"товари")</f>
        <v>товари</v>
      </c>
      <c r="B2943" s="16" t="str">
        <f>IFERROR(__xludf.DUMMYFUNCTION("""COMPUTED_VALUE"""),"подарунки, хобі, книги")</f>
        <v>подарунки, хобі, книги</v>
      </c>
      <c r="C2943" s="16" t="str">
        <f>IFERROR(__xludf.DUMMYFUNCTION("""COMPUTED_VALUE"""),"рукоділля")</f>
        <v>рукоділля</v>
      </c>
      <c r="D2943" s="16" t="str">
        <f>IFERROR(__xludf.DUMMYFUNCTION("""COMPUTED_VALUE"""),"ліплення та створення іграшок")</f>
        <v>ліплення та створення іграшок</v>
      </c>
      <c r="E2943" s="16" t="str">
        <f>IFERROR(__xludf.DUMMYFUNCTION("""COMPUTED_VALUE"""),"матеріали для виготовлення іграшок")</f>
        <v>матеріали для виготовлення іграшок</v>
      </c>
      <c r="F2943" s="17">
        <f>IFERROR(__xludf.DUMMYFUNCTION("""COMPUTED_VALUE"""),4.0)</f>
        <v>4</v>
      </c>
      <c r="G2943" s="17" t="str">
        <f>IFERROR(__xludf.DUMMYFUNCTION("""COMPUTED_VALUE"""),"152518")</f>
        <v>152518</v>
      </c>
      <c r="H2943" s="17" t="str">
        <f>IFERROR(__xludf.DUMMYFUNCTION("""COMPUTED_VALUE"""),"матеріали для виготовлення іграшок")</f>
        <v>матеріали для виготовлення іграшок</v>
      </c>
      <c r="I2943" s="19">
        <f>IFERROR(__xludf.DUMMYFUNCTION("""COMPUTED_VALUE"""),0.0954)</f>
        <v>0.0954</v>
      </c>
      <c r="J2943" s="19">
        <f>IFERROR(__xludf.DUMMYFUNCTION("""COMPUTED_VALUE"""),0.1908)</f>
        <v>0.1908</v>
      </c>
      <c r="K2943" s="19">
        <f>IFERROR(__xludf.DUMMYFUNCTION("""COMPUTED_VALUE"""),0.2385)</f>
        <v>0.2385</v>
      </c>
      <c r="L2943" s="19">
        <f>IFERROR(__xludf.DUMMYFUNCTION("""COMPUTED_VALUE"""),0.2862)</f>
        <v>0.2862</v>
      </c>
      <c r="M2943" s="18">
        <f>IFERROR(__xludf.DUMMYFUNCTION("""COMPUTED_VALUE"""),1.05)</f>
        <v>1.05</v>
      </c>
    </row>
    <row r="2944">
      <c r="A2944" s="13" t="str">
        <f>IFERROR(__xludf.DUMMYFUNCTION("""COMPUTED_VALUE"""),"товари")</f>
        <v>товари</v>
      </c>
      <c r="B2944" s="16" t="str">
        <f>IFERROR(__xludf.DUMMYFUNCTION("""COMPUTED_VALUE"""),"подарунки, хобі, книги")</f>
        <v>подарунки, хобі, книги</v>
      </c>
      <c r="C2944" s="16" t="str">
        <f>IFERROR(__xludf.DUMMYFUNCTION("""COMPUTED_VALUE"""),"рукоділля")</f>
        <v>рукоділля</v>
      </c>
      <c r="D2944" s="16" t="str">
        <f>IFERROR(__xludf.DUMMYFUNCTION("""COMPUTED_VALUE"""),"матеріали для виготовлення прикрас та аксесуарів")</f>
        <v>матеріали для виготовлення прикрас та аксесуарів</v>
      </c>
      <c r="E2944" s="16" t="str">
        <f>IFERROR(__xludf.DUMMYFUNCTION("""COMPUTED_VALUE"""),"матеріали для виготовлення прикрас та аксесуарів")</f>
        <v>матеріали для виготовлення прикрас та аксесуарів</v>
      </c>
      <c r="F2944" s="17">
        <f>IFERROR(__xludf.DUMMYFUNCTION("""COMPUTED_VALUE"""),3.0)</f>
        <v>3</v>
      </c>
      <c r="G2944" s="17" t="str">
        <f>IFERROR(__xludf.DUMMYFUNCTION("""COMPUTED_VALUE"""),"152528")</f>
        <v>152528</v>
      </c>
      <c r="H2944" s="17" t="str">
        <f>IFERROR(__xludf.DUMMYFUNCTION("""COMPUTED_VALUE"""),"матеріали для виготовлення прикрас та аксесуарів")</f>
        <v>матеріали для виготовлення прикрас та аксесуарів</v>
      </c>
      <c r="I2944" s="19">
        <f>IFERROR(__xludf.DUMMYFUNCTION("""COMPUTED_VALUE"""),0.0767)</f>
        <v>0.0767</v>
      </c>
      <c r="J2944" s="19">
        <f>IFERROR(__xludf.DUMMYFUNCTION("""COMPUTED_VALUE"""),0.1534)</f>
        <v>0.1534</v>
      </c>
      <c r="K2944" s="19">
        <f>IFERROR(__xludf.DUMMYFUNCTION("""COMPUTED_VALUE"""),0.1918)</f>
        <v>0.1918</v>
      </c>
      <c r="L2944" s="19">
        <f>IFERROR(__xludf.DUMMYFUNCTION("""COMPUTED_VALUE"""),0.2301)</f>
        <v>0.2301</v>
      </c>
      <c r="M2944" s="18">
        <f>IFERROR(__xludf.DUMMYFUNCTION("""COMPUTED_VALUE"""),1.26)</f>
        <v>1.26</v>
      </c>
    </row>
    <row r="2945">
      <c r="A2945" s="13" t="str">
        <f>IFERROR(__xludf.DUMMYFUNCTION("""COMPUTED_VALUE"""),"товари")</f>
        <v>товари</v>
      </c>
      <c r="B2945" s="16" t="str">
        <f>IFERROR(__xludf.DUMMYFUNCTION("""COMPUTED_VALUE"""),"подарунки, хобі, книги")</f>
        <v>подарунки, хобі, книги</v>
      </c>
      <c r="C2945" s="16" t="str">
        <f>IFERROR(__xludf.DUMMYFUNCTION("""COMPUTED_VALUE"""),"рукоділля")</f>
        <v>рукоділля</v>
      </c>
      <c r="D2945" s="16" t="str">
        <f>IFERROR(__xludf.DUMMYFUNCTION("""COMPUTED_VALUE"""),"миловаріння та виготовлення свічок")</f>
        <v>миловаріння та виготовлення свічок</v>
      </c>
      <c r="E2945" s="16" t="str">
        <f>IFERROR(__xludf.DUMMYFUNCTION("""COMPUTED_VALUE"""),"матеріали для виготовлення свічок")</f>
        <v>матеріали для виготовлення свічок</v>
      </c>
      <c r="F2945" s="17">
        <f>IFERROR(__xludf.DUMMYFUNCTION("""COMPUTED_VALUE"""),4.0)</f>
        <v>4</v>
      </c>
      <c r="G2945" s="17" t="str">
        <f>IFERROR(__xludf.DUMMYFUNCTION("""COMPUTED_VALUE"""),"152522")</f>
        <v>152522</v>
      </c>
      <c r="H2945" s="17" t="str">
        <f>IFERROR(__xludf.DUMMYFUNCTION("""COMPUTED_VALUE"""),"матеріали для виготовлення свічок")</f>
        <v>матеріали для виготовлення свічок</v>
      </c>
      <c r="I2945" s="19">
        <f>IFERROR(__xludf.DUMMYFUNCTION("""COMPUTED_VALUE"""),0.0757)</f>
        <v>0.0757</v>
      </c>
      <c r="J2945" s="19">
        <f>IFERROR(__xludf.DUMMYFUNCTION("""COMPUTED_VALUE"""),0.1514)</f>
        <v>0.1514</v>
      </c>
      <c r="K2945" s="19">
        <f>IFERROR(__xludf.DUMMYFUNCTION("""COMPUTED_VALUE"""),0.1893)</f>
        <v>0.1893</v>
      </c>
      <c r="L2945" s="19">
        <f>IFERROR(__xludf.DUMMYFUNCTION("""COMPUTED_VALUE"""),0.2271)</f>
        <v>0.2271</v>
      </c>
      <c r="M2945" s="18">
        <f>IFERROR(__xludf.DUMMYFUNCTION("""COMPUTED_VALUE"""),1.26)</f>
        <v>1.26</v>
      </c>
    </row>
    <row r="2946">
      <c r="A2946" s="13" t="str">
        <f>IFERROR(__xludf.DUMMYFUNCTION("""COMPUTED_VALUE"""),"товари")</f>
        <v>товари</v>
      </c>
      <c r="B2946" s="16" t="str">
        <f>IFERROR(__xludf.DUMMYFUNCTION("""COMPUTED_VALUE"""),"подарунки, хобі, книги")</f>
        <v>подарунки, хобі, книги</v>
      </c>
      <c r="C2946" s="16" t="str">
        <f>IFERROR(__xludf.DUMMYFUNCTION("""COMPUTED_VALUE"""),"рукоділля")</f>
        <v>рукоділля</v>
      </c>
      <c r="D2946" s="16" t="str">
        <f>IFERROR(__xludf.DUMMYFUNCTION("""COMPUTED_VALUE"""),"матеріали для виготовлення сувенірної продукції")</f>
        <v>матеріали для виготовлення сувенірної продукції</v>
      </c>
      <c r="E2946" s="16" t="str">
        <f>IFERROR(__xludf.DUMMYFUNCTION("""COMPUTED_VALUE"""),"матеріали для виготовлення сувенірної продукції")</f>
        <v>матеріали для виготовлення сувенірної продукції</v>
      </c>
      <c r="F2946" s="17">
        <f>IFERROR(__xludf.DUMMYFUNCTION("""COMPUTED_VALUE"""),3.0)</f>
        <v>3</v>
      </c>
      <c r="G2946" s="17" t="str">
        <f>IFERROR(__xludf.DUMMYFUNCTION("""COMPUTED_VALUE"""),"1751")</f>
        <v>1751</v>
      </c>
      <c r="H2946" s="17" t="str">
        <f>IFERROR(__xludf.DUMMYFUNCTION("""COMPUTED_VALUE"""),"матеріали для виготовлення сувенірної продукції")</f>
        <v>матеріали для виготовлення сувенірної продукції</v>
      </c>
      <c r="I2946" s="19">
        <f>IFERROR(__xludf.DUMMYFUNCTION("""COMPUTED_VALUE"""),0.066)</f>
        <v>0.066</v>
      </c>
      <c r="J2946" s="19">
        <f>IFERROR(__xludf.DUMMYFUNCTION("""COMPUTED_VALUE"""),0.132)</f>
        <v>0.132</v>
      </c>
      <c r="K2946" s="19">
        <f>IFERROR(__xludf.DUMMYFUNCTION("""COMPUTED_VALUE"""),0.165)</f>
        <v>0.165</v>
      </c>
      <c r="L2946" s="19">
        <f>IFERROR(__xludf.DUMMYFUNCTION("""COMPUTED_VALUE"""),0.198)</f>
        <v>0.198</v>
      </c>
      <c r="M2946" s="18">
        <f>IFERROR(__xludf.DUMMYFUNCTION("""COMPUTED_VALUE"""),1.8)</f>
        <v>1.8</v>
      </c>
    </row>
    <row r="2947">
      <c r="A2947" s="13" t="str">
        <f>IFERROR(__xludf.DUMMYFUNCTION("""COMPUTED_VALUE"""),"товари")</f>
        <v>товари</v>
      </c>
      <c r="B2947" s="16" t="str">
        <f>IFERROR(__xludf.DUMMYFUNCTION("""COMPUTED_VALUE"""),"подарунки, хобі, книги")</f>
        <v>подарунки, хобі, книги</v>
      </c>
      <c r="C2947" s="16" t="str">
        <f>IFERROR(__xludf.DUMMYFUNCTION("""COMPUTED_VALUE"""),"рукоділля")</f>
        <v>рукоділля</v>
      </c>
      <c r="D2947" s="16" t="str">
        <f>IFERROR(__xludf.DUMMYFUNCTION("""COMPUTED_VALUE"""),"в'язання та валяння")</f>
        <v>в'язання та валяння</v>
      </c>
      <c r="E2947" s="16" t="str">
        <f>IFERROR(__xludf.DUMMYFUNCTION("""COMPUTED_VALUE"""),"матеріали та інструменти для фелтингу")</f>
        <v>матеріали та інструменти для фелтингу</v>
      </c>
      <c r="F2947" s="17">
        <f>IFERROR(__xludf.DUMMYFUNCTION("""COMPUTED_VALUE"""),4.0)</f>
        <v>4</v>
      </c>
      <c r="G2947" s="17" t="str">
        <f>IFERROR(__xludf.DUMMYFUNCTION("""COMPUTED_VALUE"""),"152502")</f>
        <v>152502</v>
      </c>
      <c r="H2947" s="17" t="str">
        <f>IFERROR(__xludf.DUMMYFUNCTION("""COMPUTED_VALUE"""),"матеріали та інструменти для фелтингу")</f>
        <v>матеріали та інструменти для фелтингу</v>
      </c>
      <c r="I2947" s="19">
        <f>IFERROR(__xludf.DUMMYFUNCTION("""COMPUTED_VALUE"""),0.08)</f>
        <v>0.08</v>
      </c>
      <c r="J2947" s="19">
        <f>IFERROR(__xludf.DUMMYFUNCTION("""COMPUTED_VALUE"""),0.16)</f>
        <v>0.16</v>
      </c>
      <c r="K2947" s="19">
        <f>IFERROR(__xludf.DUMMYFUNCTION("""COMPUTED_VALUE"""),0.2)</f>
        <v>0.2</v>
      </c>
      <c r="L2947" s="19">
        <f>IFERROR(__xludf.DUMMYFUNCTION("""COMPUTED_VALUE"""),0.24)</f>
        <v>0.24</v>
      </c>
      <c r="M2947" s="18">
        <f>IFERROR(__xludf.DUMMYFUNCTION("""COMPUTED_VALUE"""),1.05)</f>
        <v>1.05</v>
      </c>
    </row>
    <row r="2948">
      <c r="A2948" s="13" t="str">
        <f>IFERROR(__xludf.DUMMYFUNCTION("""COMPUTED_VALUE"""),"товари")</f>
        <v>товари</v>
      </c>
      <c r="B2948" s="16" t="str">
        <f>IFERROR(__xludf.DUMMYFUNCTION("""COMPUTED_VALUE"""),"подарунки, хобі, книги")</f>
        <v>подарунки, хобі, книги</v>
      </c>
      <c r="C2948" s="16" t="str">
        <f>IFERROR(__xludf.DUMMYFUNCTION("""COMPUTED_VALUE"""),"книги, журнали, друкована продукція")</f>
        <v>книги, журнали, друкована продукція</v>
      </c>
      <c r="D2948" s="16" t="str">
        <f>IFERROR(__xludf.DUMMYFUNCTION("""COMPUTED_VALUE"""),"книги")</f>
        <v>книги</v>
      </c>
      <c r="E2948" s="16" t="str">
        <f>IFERROR(__xludf.DUMMYFUNCTION("""COMPUTED_VALUE"""),"медична література")</f>
        <v>медична література</v>
      </c>
      <c r="F2948" s="17">
        <f>IFERROR(__xludf.DUMMYFUNCTION("""COMPUTED_VALUE"""),4.0)</f>
        <v>4</v>
      </c>
      <c r="G2948" s="17" t="str">
        <f>IFERROR(__xludf.DUMMYFUNCTION("""COMPUTED_VALUE"""),"220207")</f>
        <v>220207</v>
      </c>
      <c r="H2948" s="17" t="str">
        <f>IFERROR(__xludf.DUMMYFUNCTION("""COMPUTED_VALUE"""),"медична література")</f>
        <v>медична література</v>
      </c>
      <c r="I2948" s="19">
        <f>IFERROR(__xludf.DUMMYFUNCTION("""COMPUTED_VALUE"""),0.0754)</f>
        <v>0.0754</v>
      </c>
      <c r="J2948" s="19">
        <f>IFERROR(__xludf.DUMMYFUNCTION("""COMPUTED_VALUE"""),0.1507)</f>
        <v>0.1507</v>
      </c>
      <c r="K2948" s="19">
        <f>IFERROR(__xludf.DUMMYFUNCTION("""COMPUTED_VALUE"""),0.1884)</f>
        <v>0.1884</v>
      </c>
      <c r="L2948" s="19">
        <f>IFERROR(__xludf.DUMMYFUNCTION("""COMPUTED_VALUE"""),0.2261)</f>
        <v>0.2261</v>
      </c>
      <c r="M2948" s="18">
        <f>IFERROR(__xludf.DUMMYFUNCTION("""COMPUTED_VALUE"""),2.53)</f>
        <v>2.53</v>
      </c>
    </row>
    <row r="2949">
      <c r="A2949" s="13" t="str">
        <f>IFERROR(__xludf.DUMMYFUNCTION("""COMPUTED_VALUE"""),"товари")</f>
        <v>товари</v>
      </c>
      <c r="B2949" s="16" t="str">
        <f>IFERROR(__xludf.DUMMYFUNCTION("""COMPUTED_VALUE"""),"подарунки, хобі, книги")</f>
        <v>подарунки, хобі, книги</v>
      </c>
      <c r="C2949" s="16" t="str">
        <f>IFERROR(__xludf.DUMMYFUNCTION("""COMPUTED_VALUE"""),"музичні інструменти")</f>
        <v>музичні інструменти</v>
      </c>
      <c r="D2949" s="16" t="str">
        <f>IFERROR(__xludf.DUMMYFUNCTION("""COMPUTED_VALUE"""),"гітари та обладнання")</f>
        <v>гітари та обладнання</v>
      </c>
      <c r="E2949" s="16" t="str">
        <f>IFERROR(__xludf.DUMMYFUNCTION("""COMPUTED_VALUE"""),"медіатори, слайдери, каподастри")</f>
        <v>медіатори, слайдери, каподастри</v>
      </c>
      <c r="F2949" s="17">
        <f>IFERROR(__xludf.DUMMYFUNCTION("""COMPUTED_VALUE"""),4.0)</f>
        <v>4</v>
      </c>
      <c r="G2949" s="17" t="str">
        <f>IFERROR(__xludf.DUMMYFUNCTION("""COMPUTED_VALUE"""),"180512")</f>
        <v>180512</v>
      </c>
      <c r="H2949" s="17" t="str">
        <f>IFERROR(__xludf.DUMMYFUNCTION("""COMPUTED_VALUE"""),"медіатори, слайдери, каподастри")</f>
        <v>медіатори, слайдери, каподастри</v>
      </c>
      <c r="I2949" s="19">
        <f>IFERROR(__xludf.DUMMYFUNCTION("""COMPUTED_VALUE"""),0.0617)</f>
        <v>0.0617</v>
      </c>
      <c r="J2949" s="19">
        <f>IFERROR(__xludf.DUMMYFUNCTION("""COMPUTED_VALUE"""),0.1233)</f>
        <v>0.1233</v>
      </c>
      <c r="K2949" s="19">
        <f>IFERROR(__xludf.DUMMYFUNCTION("""COMPUTED_VALUE"""),0.1541)</f>
        <v>0.1541</v>
      </c>
      <c r="L2949" s="19">
        <f>IFERROR(__xludf.DUMMYFUNCTION("""COMPUTED_VALUE"""),0.185)</f>
        <v>0.185</v>
      </c>
      <c r="M2949" s="18">
        <f>IFERROR(__xludf.DUMMYFUNCTION("""COMPUTED_VALUE"""),4.41)</f>
        <v>4.41</v>
      </c>
    </row>
    <row r="2950">
      <c r="A2950" s="13" t="str">
        <f>IFERROR(__xludf.DUMMYFUNCTION("""COMPUTED_VALUE"""),"товари")</f>
        <v>товари</v>
      </c>
      <c r="B2950" s="16" t="str">
        <f>IFERROR(__xludf.DUMMYFUNCTION("""COMPUTED_VALUE"""),"подарунки, хобі, книги")</f>
        <v>подарунки, хобі, книги</v>
      </c>
      <c r="C2950" s="16" t="str">
        <f>IFERROR(__xludf.DUMMYFUNCTION("""COMPUTED_VALUE"""),"рукоділля")</f>
        <v>рукоділля</v>
      </c>
      <c r="D2950" s="16" t="str">
        <f>IFERROR(__xludf.DUMMYFUNCTION("""COMPUTED_VALUE"""),"миловаріння та виготовлення свічок")</f>
        <v>миловаріння та виготовлення свічок</v>
      </c>
      <c r="E2950" s="16" t="str">
        <f>IFERROR(__xludf.DUMMYFUNCTION("""COMPUTED_VALUE"""),"миловаріння та виготовлення свічок, загальне")</f>
        <v>миловаріння та виготовлення свічок, загальне</v>
      </c>
      <c r="F2950" s="17">
        <f>IFERROR(__xludf.DUMMYFUNCTION("""COMPUTED_VALUE"""),4.0)</f>
        <v>4</v>
      </c>
      <c r="G2950" s="17" t="str">
        <f>IFERROR(__xludf.DUMMYFUNCTION("""COMPUTED_VALUE"""),"15250902")</f>
        <v>15250902</v>
      </c>
      <c r="H2950" s="17" t="str">
        <f>IFERROR(__xludf.DUMMYFUNCTION("""COMPUTED_VALUE"""),"миловаріння та виготовлення свічок, загальне")</f>
        <v>миловаріння та виготовлення свічок, загальне</v>
      </c>
      <c r="I2950" s="19">
        <f>IFERROR(__xludf.DUMMYFUNCTION("""COMPUTED_VALUE"""),0.125)</f>
        <v>0.125</v>
      </c>
      <c r="J2950" s="19">
        <f>IFERROR(__xludf.DUMMYFUNCTION("""COMPUTED_VALUE"""),0.25)</f>
        <v>0.25</v>
      </c>
      <c r="K2950" s="19">
        <f>IFERROR(__xludf.DUMMYFUNCTION("""COMPUTED_VALUE"""),0.3125)</f>
        <v>0.3125</v>
      </c>
      <c r="L2950" s="19">
        <f>IFERROR(__xludf.DUMMYFUNCTION("""COMPUTED_VALUE"""),0.375)</f>
        <v>0.375</v>
      </c>
      <c r="M2950" s="18">
        <f>IFERROR(__xludf.DUMMYFUNCTION("""COMPUTED_VALUE"""),4.33)</f>
        <v>4.33</v>
      </c>
    </row>
    <row r="2951">
      <c r="A2951" s="13" t="str">
        <f>IFERROR(__xludf.DUMMYFUNCTION("""COMPUTED_VALUE"""),"товари")</f>
        <v>товари</v>
      </c>
      <c r="B2951" s="16" t="str">
        <f>IFERROR(__xludf.DUMMYFUNCTION("""COMPUTED_VALUE"""),"подарунки, хобі, книги")</f>
        <v>подарунки, хобі, книги</v>
      </c>
      <c r="C2951" s="16" t="str">
        <f>IFERROR(__xludf.DUMMYFUNCTION("""COMPUTED_VALUE"""),"рукоділля")</f>
        <v>рукоділля</v>
      </c>
      <c r="D2951" s="16" t="str">
        <f>IFERROR(__xludf.DUMMYFUNCTION("""COMPUTED_VALUE"""),"миловаріння та виготовлення свічок")</f>
        <v>миловаріння та виготовлення свічок</v>
      </c>
      <c r="E2951" s="16" t="str">
        <f>IFERROR(__xludf.DUMMYFUNCTION("""COMPUTED_VALUE"""),"мильна основа")</f>
        <v>мильна основа</v>
      </c>
      <c r="F2951" s="17">
        <f>IFERROR(__xludf.DUMMYFUNCTION("""COMPUTED_VALUE"""),4.0)</f>
        <v>4</v>
      </c>
      <c r="G2951" s="17" t="str">
        <f>IFERROR(__xludf.DUMMYFUNCTION("""COMPUTED_VALUE"""),"15250903")</f>
        <v>15250903</v>
      </c>
      <c r="H2951" s="17" t="str">
        <f>IFERROR(__xludf.DUMMYFUNCTION("""COMPUTED_VALUE"""),"мильна основа")</f>
        <v>мильна основа</v>
      </c>
      <c r="I2951" s="19">
        <f>IFERROR(__xludf.DUMMYFUNCTION("""COMPUTED_VALUE"""),0.0724)</f>
        <v>0.0724</v>
      </c>
      <c r="J2951" s="19">
        <f>IFERROR(__xludf.DUMMYFUNCTION("""COMPUTED_VALUE"""),0.1447)</f>
        <v>0.1447</v>
      </c>
      <c r="K2951" s="19">
        <f>IFERROR(__xludf.DUMMYFUNCTION("""COMPUTED_VALUE"""),0.1809)</f>
        <v>0.1809</v>
      </c>
      <c r="L2951" s="19">
        <f>IFERROR(__xludf.DUMMYFUNCTION("""COMPUTED_VALUE"""),0.2171)</f>
        <v>0.2171</v>
      </c>
      <c r="M2951" s="18">
        <f>IFERROR(__xludf.DUMMYFUNCTION("""COMPUTED_VALUE"""),1.26)</f>
        <v>1.26</v>
      </c>
    </row>
    <row r="2952">
      <c r="A2952" s="13" t="str">
        <f>IFERROR(__xludf.DUMMYFUNCTION("""COMPUTED_VALUE"""),"товари")</f>
        <v>товари</v>
      </c>
      <c r="B2952" s="16" t="str">
        <f>IFERROR(__xludf.DUMMYFUNCTION("""COMPUTED_VALUE"""),"подарунки, хобі, книги")</f>
        <v>подарунки, хобі, книги</v>
      </c>
      <c r="C2952" s="16" t="str">
        <f>IFERROR(__xludf.DUMMYFUNCTION("""COMPUTED_VALUE"""),"рукоділля")</f>
        <v>рукоділля</v>
      </c>
      <c r="D2952" s="16" t="str">
        <f>IFERROR(__xludf.DUMMYFUNCTION("""COMPUTED_VALUE"""),"малювання і аплікація")</f>
        <v>малювання і аплікація</v>
      </c>
      <c r="E2952" s="16" t="str">
        <f>IFERROR(__xludf.DUMMYFUNCTION("""COMPUTED_VALUE"""),"мольберти")</f>
        <v>мольберти</v>
      </c>
      <c r="F2952" s="17">
        <f>IFERROR(__xludf.DUMMYFUNCTION("""COMPUTED_VALUE"""),4.0)</f>
        <v>4</v>
      </c>
      <c r="G2952" s="17" t="str">
        <f>IFERROR(__xludf.DUMMYFUNCTION("""COMPUTED_VALUE"""),"21111107")</f>
        <v>21111107</v>
      </c>
      <c r="H2952" s="17" t="str">
        <f>IFERROR(__xludf.DUMMYFUNCTION("""COMPUTED_VALUE"""),"мольберти")</f>
        <v>мольберти</v>
      </c>
      <c r="I2952" s="19">
        <f>IFERROR(__xludf.DUMMYFUNCTION("""COMPUTED_VALUE"""),0.0782)</f>
        <v>0.0782</v>
      </c>
      <c r="J2952" s="19">
        <f>IFERROR(__xludf.DUMMYFUNCTION("""COMPUTED_VALUE"""),0.1564)</f>
        <v>0.1564</v>
      </c>
      <c r="K2952" s="19">
        <f>IFERROR(__xludf.DUMMYFUNCTION("""COMPUTED_VALUE"""),0.1955)</f>
        <v>0.1955</v>
      </c>
      <c r="L2952" s="19">
        <f>IFERROR(__xludf.DUMMYFUNCTION("""COMPUTED_VALUE"""),0.2346)</f>
        <v>0.2346</v>
      </c>
      <c r="M2952" s="18">
        <f>IFERROR(__xludf.DUMMYFUNCTION("""COMPUTED_VALUE"""),3.98)</f>
        <v>3.98</v>
      </c>
    </row>
    <row r="2953">
      <c r="A2953" s="13" t="str">
        <f>IFERROR(__xludf.DUMMYFUNCTION("""COMPUTED_VALUE"""),"товари")</f>
        <v>товари</v>
      </c>
      <c r="B2953" s="16" t="str">
        <f>IFERROR(__xludf.DUMMYFUNCTION("""COMPUTED_VALUE"""),"подарунки, хобі, книги")</f>
        <v>подарунки, хобі, книги</v>
      </c>
      <c r="C2953" s="16" t="str">
        <f>IFERROR(__xludf.DUMMYFUNCTION("""COMPUTED_VALUE"""),"музичні інструменти")</f>
        <v>музичні інструменти</v>
      </c>
      <c r="D2953" s="16" t="str">
        <f>IFERROR(__xludf.DUMMYFUNCTION("""COMPUTED_VALUE"""),"музичні інструменти, загальне")</f>
        <v>музичні інструменти, загальне</v>
      </c>
      <c r="E2953" s="16" t="str">
        <f>IFERROR(__xludf.DUMMYFUNCTION("""COMPUTED_VALUE"""),"музичні інструменти, загальне")</f>
        <v>музичні інструменти, загальне</v>
      </c>
      <c r="F2953" s="17">
        <f>IFERROR(__xludf.DUMMYFUNCTION("""COMPUTED_VALUE"""),3.0)</f>
        <v>3</v>
      </c>
      <c r="G2953" s="17" t="str">
        <f>IFERROR(__xludf.DUMMYFUNCTION("""COMPUTED_VALUE"""),"180501")</f>
        <v>180501</v>
      </c>
      <c r="H2953" s="17" t="str">
        <f>IFERROR(__xludf.DUMMYFUNCTION("""COMPUTED_VALUE"""),"музичні інструменти, загальне")</f>
        <v>музичні інструменти, загальне</v>
      </c>
      <c r="I2953" s="19">
        <f>IFERROR(__xludf.DUMMYFUNCTION("""COMPUTED_VALUE"""),0.125)</f>
        <v>0.125</v>
      </c>
      <c r="J2953" s="19">
        <f>IFERROR(__xludf.DUMMYFUNCTION("""COMPUTED_VALUE"""),0.25)</f>
        <v>0.25</v>
      </c>
      <c r="K2953" s="19">
        <f>IFERROR(__xludf.DUMMYFUNCTION("""COMPUTED_VALUE"""),0.3125)</f>
        <v>0.3125</v>
      </c>
      <c r="L2953" s="19">
        <f>IFERROR(__xludf.DUMMYFUNCTION("""COMPUTED_VALUE"""),0.375)</f>
        <v>0.375</v>
      </c>
      <c r="M2953" s="18">
        <f>IFERROR(__xludf.DUMMYFUNCTION("""COMPUTED_VALUE"""),4.33)</f>
        <v>4.33</v>
      </c>
    </row>
    <row r="2954">
      <c r="A2954" s="13" t="str">
        <f>IFERROR(__xludf.DUMMYFUNCTION("""COMPUTED_VALUE"""),"товари")</f>
        <v>товари</v>
      </c>
      <c r="B2954" s="16" t="str">
        <f>IFERROR(__xludf.DUMMYFUNCTION("""COMPUTED_VALUE"""),"подарунки, хобі, книги")</f>
        <v>подарунки, хобі, книги</v>
      </c>
      <c r="C2954" s="16" t="str">
        <f>IFERROR(__xludf.DUMMYFUNCTION("""COMPUTED_VALUE"""),"рукоділля")</f>
        <v>рукоділля</v>
      </c>
      <c r="D2954" s="16" t="str">
        <f>IFERROR(__xludf.DUMMYFUNCTION("""COMPUTED_VALUE"""),"миловаріння та виготовлення свічок")</f>
        <v>миловаріння та виготовлення свічок</v>
      </c>
      <c r="E2954" s="16" t="str">
        <f>IFERROR(__xludf.DUMMYFUNCTION("""COMPUTED_VALUE"""),"набори для виготовлення свічок і мила")</f>
        <v>набори для виготовлення свічок і мила</v>
      </c>
      <c r="F2954" s="17">
        <f>IFERROR(__xludf.DUMMYFUNCTION("""COMPUTED_VALUE"""),4.0)</f>
        <v>4</v>
      </c>
      <c r="G2954" s="17" t="str">
        <f>IFERROR(__xludf.DUMMYFUNCTION("""COMPUTED_VALUE"""),"15250907")</f>
        <v>15250907</v>
      </c>
      <c r="H2954" s="17" t="str">
        <f>IFERROR(__xludf.DUMMYFUNCTION("""COMPUTED_VALUE"""),"набори для виготовлення свічок і мила")</f>
        <v>набори для виготовлення свічок і мила</v>
      </c>
      <c r="I2954" s="19">
        <f>IFERROR(__xludf.DUMMYFUNCTION("""COMPUTED_VALUE"""),0.0844)</f>
        <v>0.0844</v>
      </c>
      <c r="J2954" s="19">
        <f>IFERROR(__xludf.DUMMYFUNCTION("""COMPUTED_VALUE"""),0.1688)</f>
        <v>0.1688</v>
      </c>
      <c r="K2954" s="19">
        <f>IFERROR(__xludf.DUMMYFUNCTION("""COMPUTED_VALUE"""),0.211)</f>
        <v>0.211</v>
      </c>
      <c r="L2954" s="19">
        <f>IFERROR(__xludf.DUMMYFUNCTION("""COMPUTED_VALUE"""),0.2532)</f>
        <v>0.2532</v>
      </c>
      <c r="M2954" s="18">
        <f>IFERROR(__xludf.DUMMYFUNCTION("""COMPUTED_VALUE"""),1.26)</f>
        <v>1.26</v>
      </c>
    </row>
    <row r="2955">
      <c r="A2955" s="13" t="str">
        <f>IFERROR(__xludf.DUMMYFUNCTION("""COMPUTED_VALUE"""),"товари")</f>
        <v>товари</v>
      </c>
      <c r="B2955" s="16" t="str">
        <f>IFERROR(__xludf.DUMMYFUNCTION("""COMPUTED_VALUE"""),"подарунки, хобі, книги")</f>
        <v>подарунки, хобі, книги</v>
      </c>
      <c r="C2955" s="16" t="str">
        <f>IFERROR(__xludf.DUMMYFUNCTION("""COMPUTED_VALUE"""),"рукоділля")</f>
        <v>рукоділля</v>
      </c>
      <c r="D2955" s="16" t="str">
        <f>IFERROR(__xludf.DUMMYFUNCTION("""COMPUTED_VALUE"""),"вишивка та бісероплетіння")</f>
        <v>вишивка та бісероплетіння</v>
      </c>
      <c r="E2955" s="16" t="str">
        <f>IFERROR(__xludf.DUMMYFUNCTION("""COMPUTED_VALUE"""),"набори для вишивання")</f>
        <v>набори для вишивання</v>
      </c>
      <c r="F2955" s="17">
        <f>IFERROR(__xludf.DUMMYFUNCTION("""COMPUTED_VALUE"""),4.0)</f>
        <v>4</v>
      </c>
      <c r="G2955" s="17" t="str">
        <f>IFERROR(__xludf.DUMMYFUNCTION("""COMPUTED_VALUE"""),"15251001")</f>
        <v>15251001</v>
      </c>
      <c r="H2955" s="17" t="str">
        <f>IFERROR(__xludf.DUMMYFUNCTION("""COMPUTED_VALUE"""),"набори для вишивання")</f>
        <v>набори для вишивання</v>
      </c>
      <c r="I2955" s="19">
        <f>IFERROR(__xludf.DUMMYFUNCTION("""COMPUTED_VALUE"""),0.0784)</f>
        <v>0.0784</v>
      </c>
      <c r="J2955" s="19">
        <f>IFERROR(__xludf.DUMMYFUNCTION("""COMPUTED_VALUE"""),0.1568)</f>
        <v>0.1568</v>
      </c>
      <c r="K2955" s="19">
        <f>IFERROR(__xludf.DUMMYFUNCTION("""COMPUTED_VALUE"""),0.196)</f>
        <v>0.196</v>
      </c>
      <c r="L2955" s="19">
        <f>IFERROR(__xludf.DUMMYFUNCTION("""COMPUTED_VALUE"""),0.2352)</f>
        <v>0.2352</v>
      </c>
      <c r="M2955" s="18">
        <f>IFERROR(__xludf.DUMMYFUNCTION("""COMPUTED_VALUE"""),1.05)</f>
        <v>1.05</v>
      </c>
    </row>
    <row r="2956">
      <c r="A2956" s="13" t="str">
        <f>IFERROR(__xludf.DUMMYFUNCTION("""COMPUTED_VALUE"""),"товари")</f>
        <v>товари</v>
      </c>
      <c r="B2956" s="16" t="str">
        <f>IFERROR(__xludf.DUMMYFUNCTION("""COMPUTED_VALUE"""),"подарунки, хобі, книги")</f>
        <v>подарунки, хобі, книги</v>
      </c>
      <c r="C2956" s="16" t="str">
        <f>IFERROR(__xludf.DUMMYFUNCTION("""COMPUTED_VALUE"""),"кальяни і аксесуари до них")</f>
        <v>кальяни і аксесуари до них</v>
      </c>
      <c r="D2956" s="16" t="str">
        <f>IFERROR(__xludf.DUMMYFUNCTION("""COMPUTED_VALUE"""),"набори для самозамісу")</f>
        <v>набори для самозамісу</v>
      </c>
      <c r="E2956" s="16" t="str">
        <f>IFERROR(__xludf.DUMMYFUNCTION("""COMPUTED_VALUE"""),"набори для самозамісу")</f>
        <v>набори для самозамісу</v>
      </c>
      <c r="F2956" s="17">
        <f>IFERROR(__xludf.DUMMYFUNCTION("""COMPUTED_VALUE"""),3.0)</f>
        <v>3</v>
      </c>
      <c r="G2956" s="17" t="str">
        <f>IFERROR(__xludf.DUMMYFUNCTION("""COMPUTED_VALUE"""),"177102")</f>
        <v>177102</v>
      </c>
      <c r="H2956" s="17" t="str">
        <f>IFERROR(__xludf.DUMMYFUNCTION("""COMPUTED_VALUE"""),"набори для самозамісу")</f>
        <v>набори для самозамісу</v>
      </c>
      <c r="I2956" s="19">
        <f>IFERROR(__xludf.DUMMYFUNCTION("""COMPUTED_VALUE"""),0.0898)</f>
        <v>0.0898</v>
      </c>
      <c r="J2956" s="19">
        <f>IFERROR(__xludf.DUMMYFUNCTION("""COMPUTED_VALUE"""),0.1795)</f>
        <v>0.1795</v>
      </c>
      <c r="K2956" s="19">
        <f>IFERROR(__xludf.DUMMYFUNCTION("""COMPUTED_VALUE"""),0.2244)</f>
        <v>0.2244</v>
      </c>
      <c r="L2956" s="19">
        <f>IFERROR(__xludf.DUMMYFUNCTION("""COMPUTED_VALUE"""),0.2693)</f>
        <v>0.2693</v>
      </c>
      <c r="M2956" s="18">
        <f>IFERROR(__xludf.DUMMYFUNCTION("""COMPUTED_VALUE"""),1.53)</f>
        <v>1.53</v>
      </c>
    </row>
    <row r="2957">
      <c r="A2957" s="13" t="str">
        <f>IFERROR(__xludf.DUMMYFUNCTION("""COMPUTED_VALUE"""),"товари")</f>
        <v>товари</v>
      </c>
      <c r="B2957" s="16" t="str">
        <f>IFERROR(__xludf.DUMMYFUNCTION("""COMPUTED_VALUE"""),"подарунки, хобі, книги")</f>
        <v>подарунки, хобі, книги</v>
      </c>
      <c r="C2957" s="16" t="str">
        <f>IFERROR(__xludf.DUMMYFUNCTION("""COMPUTED_VALUE"""),"книги, журнали, друкована продукція")</f>
        <v>книги, журнали, друкована продукція</v>
      </c>
      <c r="D2957" s="16" t="str">
        <f>IFERROR(__xludf.DUMMYFUNCTION("""COMPUTED_VALUE"""),"книги")</f>
        <v>книги</v>
      </c>
      <c r="E2957" s="16" t="str">
        <f>IFERROR(__xludf.DUMMYFUNCTION("""COMPUTED_VALUE"""),"навчальна і довідкова література")</f>
        <v>навчальна і довідкова література</v>
      </c>
      <c r="F2957" s="17">
        <f>IFERROR(__xludf.DUMMYFUNCTION("""COMPUTED_VALUE"""),4.0)</f>
        <v>4</v>
      </c>
      <c r="G2957" s="17" t="str">
        <f>IFERROR(__xludf.DUMMYFUNCTION("""COMPUTED_VALUE"""),"220201")</f>
        <v>220201</v>
      </c>
      <c r="H2957" s="17" t="str">
        <f>IFERROR(__xludf.DUMMYFUNCTION("""COMPUTED_VALUE"""),"навчальна і довідкова література")</f>
        <v>навчальна і довідкова література</v>
      </c>
      <c r="I2957" s="19">
        <f>IFERROR(__xludf.DUMMYFUNCTION("""COMPUTED_VALUE"""),0.0754)</f>
        <v>0.0754</v>
      </c>
      <c r="J2957" s="19">
        <f>IFERROR(__xludf.DUMMYFUNCTION("""COMPUTED_VALUE"""),0.1507)</f>
        <v>0.1507</v>
      </c>
      <c r="K2957" s="19">
        <f>IFERROR(__xludf.DUMMYFUNCTION("""COMPUTED_VALUE"""),0.1884)</f>
        <v>0.1884</v>
      </c>
      <c r="L2957" s="19">
        <f>IFERROR(__xludf.DUMMYFUNCTION("""COMPUTED_VALUE"""),0.2261)</f>
        <v>0.2261</v>
      </c>
      <c r="M2957" s="18">
        <f>IFERROR(__xludf.DUMMYFUNCTION("""COMPUTED_VALUE"""),2.53)</f>
        <v>2.53</v>
      </c>
    </row>
    <row r="2958">
      <c r="A2958" s="13" t="str">
        <f>IFERROR(__xludf.DUMMYFUNCTION("""COMPUTED_VALUE"""),"товари")</f>
        <v>товари</v>
      </c>
      <c r="B2958" s="16" t="str">
        <f>IFERROR(__xludf.DUMMYFUNCTION("""COMPUTED_VALUE"""),"подарунки, хобі, книги")</f>
        <v>подарунки, хобі, книги</v>
      </c>
      <c r="C2958" s="16" t="str">
        <f>IFERROR(__xludf.DUMMYFUNCTION("""COMPUTED_VALUE"""),"книги, журнали, друкована продукція")</f>
        <v>книги, журнали, друкована продукція</v>
      </c>
      <c r="D2958" s="16" t="str">
        <f>IFERROR(__xludf.DUMMYFUNCTION("""COMPUTED_VALUE"""),"наочні та роздаткові матеріали")</f>
        <v>наочні та роздаткові матеріали</v>
      </c>
      <c r="E2958" s="16" t="str">
        <f>IFERROR(__xludf.DUMMYFUNCTION("""COMPUTED_VALUE"""),"наочні та роздаткові матеріали")</f>
        <v>наочні та роздаткові матеріали</v>
      </c>
      <c r="F2958" s="17">
        <f>IFERROR(__xludf.DUMMYFUNCTION("""COMPUTED_VALUE"""),3.0)</f>
        <v>3</v>
      </c>
      <c r="G2958" s="17" t="str">
        <f>IFERROR(__xludf.DUMMYFUNCTION("""COMPUTED_VALUE"""),"900502")</f>
        <v>900502</v>
      </c>
      <c r="H2958" s="17" t="str">
        <f>IFERROR(__xludf.DUMMYFUNCTION("""COMPUTED_VALUE"""),"наочні та роздаткові матеріали")</f>
        <v>наочні та роздаткові матеріали</v>
      </c>
      <c r="I2958" s="19">
        <f>IFERROR(__xludf.DUMMYFUNCTION("""COMPUTED_VALUE"""),0.0532)</f>
        <v>0.0532</v>
      </c>
      <c r="J2958" s="19">
        <f>IFERROR(__xludf.DUMMYFUNCTION("""COMPUTED_VALUE"""),0.1063)</f>
        <v>0.1063</v>
      </c>
      <c r="K2958" s="19">
        <f>IFERROR(__xludf.DUMMYFUNCTION("""COMPUTED_VALUE"""),0.1329)</f>
        <v>0.1329</v>
      </c>
      <c r="L2958" s="19">
        <f>IFERROR(__xludf.DUMMYFUNCTION("""COMPUTED_VALUE"""),0.1595)</f>
        <v>0.1595</v>
      </c>
      <c r="M2958" s="18">
        <f>IFERROR(__xludf.DUMMYFUNCTION("""COMPUTED_VALUE"""),1.05)</f>
        <v>1.05</v>
      </c>
    </row>
    <row r="2959">
      <c r="A2959" s="13" t="str">
        <f>IFERROR(__xludf.DUMMYFUNCTION("""COMPUTED_VALUE"""),"товари")</f>
        <v>товари</v>
      </c>
      <c r="B2959" s="16" t="str">
        <f>IFERROR(__xludf.DUMMYFUNCTION("""COMPUTED_VALUE"""),"подарунки, хобі, книги")</f>
        <v>подарунки, хобі, книги</v>
      </c>
      <c r="C2959" s="16" t="str">
        <f>IFERROR(__xludf.DUMMYFUNCTION("""COMPUTED_VALUE"""),"подарунки і сувеніри")</f>
        <v>подарунки і сувеніри</v>
      </c>
      <c r="D2959" s="16" t="str">
        <f>IFERROR(__xludf.DUMMYFUNCTION("""COMPUTED_VALUE"""),"народні сувеніри")</f>
        <v>народні сувеніри</v>
      </c>
      <c r="E2959" s="16" t="str">
        <f>IFERROR(__xludf.DUMMYFUNCTION("""COMPUTED_VALUE"""),"народні сувеніри")</f>
        <v>народні сувеніри</v>
      </c>
      <c r="F2959" s="17">
        <f>IFERROR(__xludf.DUMMYFUNCTION("""COMPUTED_VALUE"""),3.0)</f>
        <v>3</v>
      </c>
      <c r="G2959" s="17" t="str">
        <f>IFERROR(__xludf.DUMMYFUNCTION("""COMPUTED_VALUE"""),"1725")</f>
        <v>1725</v>
      </c>
      <c r="H2959" s="17" t="str">
        <f>IFERROR(__xludf.DUMMYFUNCTION("""COMPUTED_VALUE"""),"народні сувеніри")</f>
        <v>народні сувеніри</v>
      </c>
      <c r="I2959" s="19">
        <f>IFERROR(__xludf.DUMMYFUNCTION("""COMPUTED_VALUE"""),0.072)</f>
        <v>0.072</v>
      </c>
      <c r="J2959" s="19">
        <f>IFERROR(__xludf.DUMMYFUNCTION("""COMPUTED_VALUE"""),0.1439)</f>
        <v>0.1439</v>
      </c>
      <c r="K2959" s="19">
        <f>IFERROR(__xludf.DUMMYFUNCTION("""COMPUTED_VALUE"""),0.1799)</f>
        <v>0.1799</v>
      </c>
      <c r="L2959" s="19">
        <f>IFERROR(__xludf.DUMMYFUNCTION("""COMPUTED_VALUE"""),0.2159)</f>
        <v>0.2159</v>
      </c>
      <c r="M2959" s="18">
        <f>IFERROR(__xludf.DUMMYFUNCTION("""COMPUTED_VALUE"""),1.71)</f>
        <v>1.71</v>
      </c>
    </row>
    <row r="2960">
      <c r="A2960" s="13" t="str">
        <f>IFERROR(__xludf.DUMMYFUNCTION("""COMPUTED_VALUE"""),"товари")</f>
        <v>товари</v>
      </c>
      <c r="B2960" s="16" t="str">
        <f>IFERROR(__xludf.DUMMYFUNCTION("""COMPUTED_VALUE"""),"подарунки, хобі, книги")</f>
        <v>подарунки, хобі, книги</v>
      </c>
      <c r="C2960" s="16" t="str">
        <f>IFERROR(__xludf.DUMMYFUNCTION("""COMPUTED_VALUE"""),"ігри")</f>
        <v>ігри</v>
      </c>
      <c r="D2960" s="16" t="str">
        <f>IFERROR(__xludf.DUMMYFUNCTION("""COMPUTED_VALUE"""),"настільні ігри")</f>
        <v>настільні ігри</v>
      </c>
      <c r="E2960" s="16" t="str">
        <f>IFERROR(__xludf.DUMMYFUNCTION("""COMPUTED_VALUE"""),"настільні ігри")</f>
        <v>настільні ігри</v>
      </c>
      <c r="F2960" s="17">
        <f>IFERROR(__xludf.DUMMYFUNCTION("""COMPUTED_VALUE"""),3.0)</f>
        <v>3</v>
      </c>
      <c r="G2960" s="17" t="str">
        <f>IFERROR(__xludf.DUMMYFUNCTION("""COMPUTED_VALUE"""),"180607")</f>
        <v>180607</v>
      </c>
      <c r="H2960" s="17" t="str">
        <f>IFERROR(__xludf.DUMMYFUNCTION("""COMPUTED_VALUE"""),"настільні ігри")</f>
        <v>настільні ігри</v>
      </c>
      <c r="I2960" s="19">
        <f>IFERROR(__xludf.DUMMYFUNCTION("""COMPUTED_VALUE"""),0.1129)</f>
        <v>0.1129</v>
      </c>
      <c r="J2960" s="19">
        <f>IFERROR(__xludf.DUMMYFUNCTION("""COMPUTED_VALUE"""),0.2258)</f>
        <v>0.2258</v>
      </c>
      <c r="K2960" s="19">
        <f>IFERROR(__xludf.DUMMYFUNCTION("""COMPUTED_VALUE"""),0.2823)</f>
        <v>0.2823</v>
      </c>
      <c r="L2960" s="19">
        <f>IFERROR(__xludf.DUMMYFUNCTION("""COMPUTED_VALUE"""),0.3387)</f>
        <v>0.3387</v>
      </c>
      <c r="M2960" s="18">
        <f>IFERROR(__xludf.DUMMYFUNCTION("""COMPUTED_VALUE"""),2.34)</f>
        <v>2.34</v>
      </c>
    </row>
    <row r="2961">
      <c r="A2961" s="13" t="str">
        <f>IFERROR(__xludf.DUMMYFUNCTION("""COMPUTED_VALUE"""),"товари")</f>
        <v>товари</v>
      </c>
      <c r="B2961" s="16" t="str">
        <f>IFERROR(__xludf.DUMMYFUNCTION("""COMPUTED_VALUE"""),"подарунки, хобі, книги")</f>
        <v>подарунки, хобі, книги</v>
      </c>
      <c r="C2961" s="16" t="str">
        <f>IFERROR(__xludf.DUMMYFUNCTION("""COMPUTED_VALUE"""),"кальяни і аксесуари до них")</f>
        <v>кальяни і аксесуари до них</v>
      </c>
      <c r="D2961" s="16" t="str">
        <f>IFERROR(__xludf.DUMMYFUNCTION("""COMPUTED_VALUE"""),"кальяни та аксесуари, загальне")</f>
        <v>кальяни та аксесуари, загальне</v>
      </c>
      <c r="E2961" s="16" t="str">
        <f>IFERROR(__xludf.DUMMYFUNCTION("""COMPUTED_VALUE"""),"кальяни та аксесуари, загальне")</f>
        <v>кальяни та аксесуари, загальне</v>
      </c>
      <c r="F2961" s="17">
        <f>IFERROR(__xludf.DUMMYFUNCTION("""COMPUTED_VALUE"""),3.0)</f>
        <v>3</v>
      </c>
      <c r="G2961" s="17" t="str">
        <f>IFERROR(__xludf.DUMMYFUNCTION("""COMPUTED_VALUE"""),"177101")</f>
        <v>177101</v>
      </c>
      <c r="H2961" s="17" t="str">
        <f>IFERROR(__xludf.DUMMYFUNCTION("""COMPUTED_VALUE"""),"кальяни та аксесуари, загальне")</f>
        <v>кальяни та аксесуари, загальне</v>
      </c>
      <c r="I2961" s="19">
        <f>IFERROR(__xludf.DUMMYFUNCTION("""COMPUTED_VALUE"""),0.125)</f>
        <v>0.125</v>
      </c>
      <c r="J2961" s="19">
        <f>IFERROR(__xludf.DUMMYFUNCTION("""COMPUTED_VALUE"""),0.25)</f>
        <v>0.25</v>
      </c>
      <c r="K2961" s="19">
        <f>IFERROR(__xludf.DUMMYFUNCTION("""COMPUTED_VALUE"""),0.3125)</f>
        <v>0.3125</v>
      </c>
      <c r="L2961" s="19">
        <f>IFERROR(__xludf.DUMMYFUNCTION("""COMPUTED_VALUE"""),0.375)</f>
        <v>0.375</v>
      </c>
      <c r="M2961" s="18">
        <f>IFERROR(__xludf.DUMMYFUNCTION("""COMPUTED_VALUE"""),2.33)</f>
        <v>2.33</v>
      </c>
    </row>
    <row r="2962">
      <c r="A2962" s="13" t="str">
        <f>IFERROR(__xludf.DUMMYFUNCTION("""COMPUTED_VALUE"""),"товари")</f>
        <v>товари</v>
      </c>
      <c r="B2962" s="16" t="str">
        <f>IFERROR(__xludf.DUMMYFUNCTION("""COMPUTED_VALUE"""),"подарунки, хобі, книги")</f>
        <v>подарунки, хобі, книги</v>
      </c>
      <c r="C2962" s="16" t="str">
        <f>IFERROR(__xludf.DUMMYFUNCTION("""COMPUTED_VALUE"""),"cвяткові прикраси")</f>
        <v>cвяткові прикраси</v>
      </c>
      <c r="D2962" s="16" t="str">
        <f>IFERROR(__xludf.DUMMYFUNCTION("""COMPUTED_VALUE"""),"небесні ліхтарики")</f>
        <v>небесні ліхтарики</v>
      </c>
      <c r="E2962" s="16" t="str">
        <f>IFERROR(__xludf.DUMMYFUNCTION("""COMPUTED_VALUE"""),"небесні ліхтарики")</f>
        <v>небесні ліхтарики</v>
      </c>
      <c r="F2962" s="17">
        <f>IFERROR(__xludf.DUMMYFUNCTION("""COMPUTED_VALUE"""),3.0)</f>
        <v>3</v>
      </c>
      <c r="G2962" s="17" t="str">
        <f>IFERROR(__xludf.DUMMYFUNCTION("""COMPUTED_VALUE"""),"1749")</f>
        <v>1749</v>
      </c>
      <c r="H2962" s="17" t="str">
        <f>IFERROR(__xludf.DUMMYFUNCTION("""COMPUTED_VALUE"""),"небесні ліхтарики")</f>
        <v>небесні ліхтарики</v>
      </c>
      <c r="I2962" s="19">
        <f>IFERROR(__xludf.DUMMYFUNCTION("""COMPUTED_VALUE"""),0.1074)</f>
        <v>0.1074</v>
      </c>
      <c r="J2962" s="19">
        <f>IFERROR(__xludf.DUMMYFUNCTION("""COMPUTED_VALUE"""),0.2148)</f>
        <v>0.2148</v>
      </c>
      <c r="K2962" s="19">
        <f>IFERROR(__xludf.DUMMYFUNCTION("""COMPUTED_VALUE"""),0.2685)</f>
        <v>0.2685</v>
      </c>
      <c r="L2962" s="19">
        <f>IFERROR(__xludf.DUMMYFUNCTION("""COMPUTED_VALUE"""),0.3222)</f>
        <v>0.3222</v>
      </c>
      <c r="M2962" s="18">
        <f>IFERROR(__xludf.DUMMYFUNCTION("""COMPUTED_VALUE"""),1.53)</f>
        <v>1.53</v>
      </c>
    </row>
    <row r="2963">
      <c r="A2963" s="13" t="str">
        <f>IFERROR(__xludf.DUMMYFUNCTION("""COMPUTED_VALUE"""),"товари")</f>
        <v>товари</v>
      </c>
      <c r="B2963" s="16" t="str">
        <f>IFERROR(__xludf.DUMMYFUNCTION("""COMPUTED_VALUE"""),"подарунки, хобі, книги")</f>
        <v>подарунки, хобі, книги</v>
      </c>
      <c r="C2963" s="16" t="str">
        <f>IFERROR(__xludf.DUMMYFUNCTION("""COMPUTED_VALUE"""),"рукоділля")</f>
        <v>рукоділля</v>
      </c>
      <c r="D2963" s="16" t="str">
        <f>IFERROR(__xludf.DUMMYFUNCTION("""COMPUTED_VALUE"""),"шиття")</f>
        <v>шиття</v>
      </c>
      <c r="E2963" s="16" t="str">
        <f>IFERROR(__xludf.DUMMYFUNCTION("""COMPUTED_VALUE"""),"нитки")</f>
        <v>нитки</v>
      </c>
      <c r="F2963" s="17">
        <f>IFERROR(__xludf.DUMMYFUNCTION("""COMPUTED_VALUE"""),4.0)</f>
        <v>4</v>
      </c>
      <c r="G2963" s="17" t="str">
        <f>IFERROR(__xludf.DUMMYFUNCTION("""COMPUTED_VALUE"""),"427")</f>
        <v>427</v>
      </c>
      <c r="H2963" s="17" t="str">
        <f>IFERROR(__xludf.DUMMYFUNCTION("""COMPUTED_VALUE"""),"нитки")</f>
        <v>нитки</v>
      </c>
      <c r="I2963" s="19">
        <f>IFERROR(__xludf.DUMMYFUNCTION("""COMPUTED_VALUE"""),0.0769)</f>
        <v>0.0769</v>
      </c>
      <c r="J2963" s="19">
        <f>IFERROR(__xludf.DUMMYFUNCTION("""COMPUTED_VALUE"""),0.1537)</f>
        <v>0.1537</v>
      </c>
      <c r="K2963" s="19">
        <f>IFERROR(__xludf.DUMMYFUNCTION("""COMPUTED_VALUE"""),0.1921)</f>
        <v>0.1921</v>
      </c>
      <c r="L2963" s="19">
        <f>IFERROR(__xludf.DUMMYFUNCTION("""COMPUTED_VALUE"""),0.2306)</f>
        <v>0.2306</v>
      </c>
      <c r="M2963" s="18">
        <f>IFERROR(__xludf.DUMMYFUNCTION("""COMPUTED_VALUE"""),2.34)</f>
        <v>2.34</v>
      </c>
    </row>
    <row r="2964">
      <c r="A2964" s="13" t="str">
        <f>IFERROR(__xludf.DUMMYFUNCTION("""COMPUTED_VALUE"""),"товари")</f>
        <v>товари</v>
      </c>
      <c r="B2964" s="16" t="str">
        <f>IFERROR(__xludf.DUMMYFUNCTION("""COMPUTED_VALUE"""),"подарунки, хобі, книги")</f>
        <v>подарунки, хобі, книги</v>
      </c>
      <c r="C2964" s="16" t="str">
        <f>IFERROR(__xludf.DUMMYFUNCTION("""COMPUTED_VALUE"""),"cвяткові прикраси")</f>
        <v>cвяткові прикраси</v>
      </c>
      <c r="D2964" s="16" t="str">
        <f>IFERROR(__xludf.DUMMYFUNCTION("""COMPUTED_VALUE"""),"новорічні іграшки та прикраси")</f>
        <v>новорічні іграшки та прикраси</v>
      </c>
      <c r="E2964" s="16" t="str">
        <f>IFERROR(__xludf.DUMMYFUNCTION("""COMPUTED_VALUE"""),"новорічні іграшки та прикраси")</f>
        <v>новорічні іграшки та прикраси</v>
      </c>
      <c r="F2964" s="17">
        <f>IFERROR(__xludf.DUMMYFUNCTION("""COMPUTED_VALUE"""),3.0)</f>
        <v>3</v>
      </c>
      <c r="G2964" s="17" t="str">
        <f>IFERROR(__xludf.DUMMYFUNCTION("""COMPUTED_VALUE"""),"175503")</f>
        <v>175503</v>
      </c>
      <c r="H2964" s="17" t="str">
        <f>IFERROR(__xludf.DUMMYFUNCTION("""COMPUTED_VALUE"""),"новорічні іграшки та прикраси")</f>
        <v>новорічні іграшки та прикраси</v>
      </c>
      <c r="I2964" s="19">
        <f>IFERROR(__xludf.DUMMYFUNCTION("""COMPUTED_VALUE"""),0.1183)</f>
        <v>0.1183</v>
      </c>
      <c r="J2964" s="19">
        <f>IFERROR(__xludf.DUMMYFUNCTION("""COMPUTED_VALUE"""),0.2365)</f>
        <v>0.2365</v>
      </c>
      <c r="K2964" s="19">
        <f>IFERROR(__xludf.DUMMYFUNCTION("""COMPUTED_VALUE"""),0.2956)</f>
        <v>0.2956</v>
      </c>
      <c r="L2964" s="19">
        <f>IFERROR(__xludf.DUMMYFUNCTION("""COMPUTED_VALUE"""),0.3548)</f>
        <v>0.3548</v>
      </c>
      <c r="M2964" s="18">
        <f>IFERROR(__xludf.DUMMYFUNCTION("""COMPUTED_VALUE"""),2.34)</f>
        <v>2.34</v>
      </c>
    </row>
    <row r="2965">
      <c r="A2965" s="13" t="str">
        <f>IFERROR(__xludf.DUMMYFUNCTION("""COMPUTED_VALUE"""),"товари")</f>
        <v>товари</v>
      </c>
      <c r="B2965" s="16" t="str">
        <f>IFERROR(__xludf.DUMMYFUNCTION("""COMPUTED_VALUE"""),"подарунки, хобі, книги")</f>
        <v>подарунки, хобі, книги</v>
      </c>
      <c r="C2965" s="16" t="str">
        <f>IFERROR(__xludf.DUMMYFUNCTION("""COMPUTED_VALUE"""),"рукоділля")</f>
        <v>рукоділля</v>
      </c>
      <c r="D2965" s="16" t="str">
        <f>IFERROR(__xludf.DUMMYFUNCTION("""COMPUTED_VALUE"""),"органайзери та заготовки для рукоділля")</f>
        <v>органайзери та заготовки для рукоділля</v>
      </c>
      <c r="E2965" s="16" t="str">
        <f>IFERROR(__xludf.DUMMYFUNCTION("""COMPUTED_VALUE"""),"органайзери та заготовки для рукоділля, загальне")</f>
        <v>органайзери та заготовки для рукоділля, загальне</v>
      </c>
      <c r="F2965" s="17">
        <f>IFERROR(__xludf.DUMMYFUNCTION("""COMPUTED_VALUE"""),4.0)</f>
        <v>4</v>
      </c>
      <c r="G2965" s="17" t="str">
        <f>IFERROR(__xludf.DUMMYFUNCTION("""COMPUTED_VALUE"""),"15252501")</f>
        <v>15252501</v>
      </c>
      <c r="H2965" s="17" t="str">
        <f>IFERROR(__xludf.DUMMYFUNCTION("""COMPUTED_VALUE"""),"органайзери та заготовки для рукоділля, загальне")</f>
        <v>органайзери та заготовки для рукоділля, загальне</v>
      </c>
      <c r="I2965" s="19">
        <f>IFERROR(__xludf.DUMMYFUNCTION("""COMPUTED_VALUE"""),0.125)</f>
        <v>0.125</v>
      </c>
      <c r="J2965" s="19">
        <f>IFERROR(__xludf.DUMMYFUNCTION("""COMPUTED_VALUE"""),0.25)</f>
        <v>0.25</v>
      </c>
      <c r="K2965" s="19">
        <f>IFERROR(__xludf.DUMMYFUNCTION("""COMPUTED_VALUE"""),0.3125)</f>
        <v>0.3125</v>
      </c>
      <c r="L2965" s="19">
        <f>IFERROR(__xludf.DUMMYFUNCTION("""COMPUTED_VALUE"""),0.375)</f>
        <v>0.375</v>
      </c>
      <c r="M2965" s="18">
        <f>IFERROR(__xludf.DUMMYFUNCTION("""COMPUTED_VALUE"""),4.33)</f>
        <v>4.33</v>
      </c>
    </row>
    <row r="2966">
      <c r="A2966" s="13" t="str">
        <f>IFERROR(__xludf.DUMMYFUNCTION("""COMPUTED_VALUE"""),"товари")</f>
        <v>товари</v>
      </c>
      <c r="B2966" s="16" t="str">
        <f>IFERROR(__xludf.DUMMYFUNCTION("""COMPUTED_VALUE"""),"подарунки, хобі, книги")</f>
        <v>подарунки, хобі, книги</v>
      </c>
      <c r="C2966" s="16" t="str">
        <f>IFERROR(__xludf.DUMMYFUNCTION("""COMPUTED_VALUE"""),"рукоділля")</f>
        <v>рукоділля</v>
      </c>
      <c r="D2966" s="16" t="str">
        <f>IFERROR(__xludf.DUMMYFUNCTION("""COMPUTED_VALUE"""),"органайзери та заготовки для рукоділля")</f>
        <v>органайзери та заготовки для рукоділля</v>
      </c>
      <c r="E2966" s="16" t="str">
        <f>IFERROR(__xludf.DUMMYFUNCTION("""COMPUTED_VALUE"""),"органайзери та шкатулки для рукоділля")</f>
        <v>органайзери та шкатулки для рукоділля</v>
      </c>
      <c r="F2966" s="17">
        <f>IFERROR(__xludf.DUMMYFUNCTION("""COMPUTED_VALUE"""),4.0)</f>
        <v>4</v>
      </c>
      <c r="G2966" s="17" t="str">
        <f>IFERROR(__xludf.DUMMYFUNCTION("""COMPUTED_VALUE"""),"152505")</f>
        <v>152505</v>
      </c>
      <c r="H2966" s="17" t="str">
        <f>IFERROR(__xludf.DUMMYFUNCTION("""COMPUTED_VALUE"""),"органайзери та шкатулки для рукоділля")</f>
        <v>органайзери та шкатулки для рукоділля</v>
      </c>
      <c r="I2966" s="19">
        <f>IFERROR(__xludf.DUMMYFUNCTION("""COMPUTED_VALUE"""),0.0772)</f>
        <v>0.0772</v>
      </c>
      <c r="J2966" s="19">
        <f>IFERROR(__xludf.DUMMYFUNCTION("""COMPUTED_VALUE"""),0.1544)</f>
        <v>0.1544</v>
      </c>
      <c r="K2966" s="19">
        <f>IFERROR(__xludf.DUMMYFUNCTION("""COMPUTED_VALUE"""),0.193)</f>
        <v>0.193</v>
      </c>
      <c r="L2966" s="19">
        <f>IFERROR(__xludf.DUMMYFUNCTION("""COMPUTED_VALUE"""),0.2316)</f>
        <v>0.2316</v>
      </c>
      <c r="M2966" s="18">
        <f>IFERROR(__xludf.DUMMYFUNCTION("""COMPUTED_VALUE"""),1.05)</f>
        <v>1.05</v>
      </c>
    </row>
    <row r="2967">
      <c r="A2967" s="13" t="str">
        <f>IFERROR(__xludf.DUMMYFUNCTION("""COMPUTED_VALUE"""),"товари")</f>
        <v>товари</v>
      </c>
      <c r="B2967" s="16" t="str">
        <f>IFERROR(__xludf.DUMMYFUNCTION("""COMPUTED_VALUE"""),"подарунки, хобі, книги")</f>
        <v>подарунки, хобі, книги</v>
      </c>
      <c r="C2967" s="16" t="str">
        <f>IFERROR(__xludf.DUMMYFUNCTION("""COMPUTED_VALUE"""),"подарунки і сувеніри")</f>
        <v>подарунки і сувеніри</v>
      </c>
      <c r="D2967" s="16" t="str">
        <f>IFERROR(__xludf.DUMMYFUNCTION("""COMPUTED_VALUE"""),"оригінальні подарунки")</f>
        <v>оригінальні подарунки</v>
      </c>
      <c r="E2967" s="16" t="str">
        <f>IFERROR(__xludf.DUMMYFUNCTION("""COMPUTED_VALUE"""),"оригінальні подарунки")</f>
        <v>оригінальні подарунки</v>
      </c>
      <c r="F2967" s="17">
        <f>IFERROR(__xludf.DUMMYFUNCTION("""COMPUTED_VALUE"""),3.0)</f>
        <v>3</v>
      </c>
      <c r="G2967" s="17" t="str">
        <f>IFERROR(__xludf.DUMMYFUNCTION("""COMPUTED_VALUE"""),"281916")</f>
        <v>281916</v>
      </c>
      <c r="H2967" s="17" t="str">
        <f>IFERROR(__xludf.DUMMYFUNCTION("""COMPUTED_VALUE"""),"оригінальні подарунки")</f>
        <v>оригінальні подарунки</v>
      </c>
      <c r="I2967" s="19">
        <f>IFERROR(__xludf.DUMMYFUNCTION("""COMPUTED_VALUE"""),0.1193)</f>
        <v>0.1193</v>
      </c>
      <c r="J2967" s="19">
        <f>IFERROR(__xludf.DUMMYFUNCTION("""COMPUTED_VALUE"""),0.2385)</f>
        <v>0.2385</v>
      </c>
      <c r="K2967" s="19">
        <f>IFERROR(__xludf.DUMMYFUNCTION("""COMPUTED_VALUE"""),0.2981)</f>
        <v>0.2981</v>
      </c>
      <c r="L2967" s="19">
        <f>IFERROR(__xludf.DUMMYFUNCTION("""COMPUTED_VALUE"""),0.3578)</f>
        <v>0.3578</v>
      </c>
      <c r="M2967" s="18">
        <f>IFERROR(__xludf.DUMMYFUNCTION("""COMPUTED_VALUE"""),2.88)</f>
        <v>2.88</v>
      </c>
    </row>
    <row r="2968">
      <c r="A2968" s="13" t="str">
        <f>IFERROR(__xludf.DUMMYFUNCTION("""COMPUTED_VALUE"""),"товари")</f>
        <v>товари</v>
      </c>
      <c r="B2968" s="16" t="str">
        <f>IFERROR(__xludf.DUMMYFUNCTION("""COMPUTED_VALUE"""),"подарунки, хобі, книги")</f>
        <v>подарунки, хобі, книги</v>
      </c>
      <c r="C2968" s="16" t="str">
        <f>IFERROR(__xludf.DUMMYFUNCTION("""COMPUTED_VALUE"""),"ігри")</f>
        <v>ігри</v>
      </c>
      <c r="D2968" s="16" t="str">
        <f>IFERROR(__xludf.DUMMYFUNCTION("""COMPUTED_VALUE"""),"пазли і головоломки")</f>
        <v>пазли і головоломки</v>
      </c>
      <c r="E2968" s="16" t="str">
        <f>IFERROR(__xludf.DUMMYFUNCTION("""COMPUTED_VALUE"""),"пазли і головоломки")</f>
        <v>пазли і головоломки</v>
      </c>
      <c r="F2968" s="17">
        <f>IFERROR(__xludf.DUMMYFUNCTION("""COMPUTED_VALUE"""),3.0)</f>
        <v>3</v>
      </c>
      <c r="G2968" s="17" t="str">
        <f>IFERROR(__xludf.DUMMYFUNCTION("""COMPUTED_VALUE"""),"180613")</f>
        <v>180613</v>
      </c>
      <c r="H2968" s="17" t="str">
        <f>IFERROR(__xludf.DUMMYFUNCTION("""COMPUTED_VALUE"""),"пазли і головоломки")</f>
        <v>пазли і головоломки</v>
      </c>
      <c r="I2968" s="19">
        <f>IFERROR(__xludf.DUMMYFUNCTION("""COMPUTED_VALUE"""),0.1164)</f>
        <v>0.1164</v>
      </c>
      <c r="J2968" s="19">
        <f>IFERROR(__xludf.DUMMYFUNCTION("""COMPUTED_VALUE"""),0.2328)</f>
        <v>0.2328</v>
      </c>
      <c r="K2968" s="19">
        <f>IFERROR(__xludf.DUMMYFUNCTION("""COMPUTED_VALUE"""),0.291)</f>
        <v>0.291</v>
      </c>
      <c r="L2968" s="19">
        <f>IFERROR(__xludf.DUMMYFUNCTION("""COMPUTED_VALUE"""),0.3492)</f>
        <v>0.3492</v>
      </c>
      <c r="M2968" s="18">
        <f>IFERROR(__xludf.DUMMYFUNCTION("""COMPUTED_VALUE"""),1.8)</f>
        <v>1.8</v>
      </c>
    </row>
    <row r="2969">
      <c r="A2969" s="13" t="str">
        <f>IFERROR(__xludf.DUMMYFUNCTION("""COMPUTED_VALUE"""),"товари")</f>
        <v>товари</v>
      </c>
      <c r="B2969" s="16" t="str">
        <f>IFERROR(__xludf.DUMMYFUNCTION("""COMPUTED_VALUE"""),"подарунки, хобі, книги")</f>
        <v>подарунки, хобі, книги</v>
      </c>
      <c r="C2969" s="16" t="str">
        <f>IFERROR(__xludf.DUMMYFUNCTION("""COMPUTED_VALUE"""),"подарункова упаковка")</f>
        <v>подарункова упаковка</v>
      </c>
      <c r="D2969" s="16" t="str">
        <f>IFERROR(__xludf.DUMMYFUNCTION("""COMPUTED_VALUE"""),"пакувальний папір")</f>
        <v>пакувальний папір</v>
      </c>
      <c r="E2969" s="16" t="str">
        <f>IFERROR(__xludf.DUMMYFUNCTION("""COMPUTED_VALUE"""),"пакувальний папір")</f>
        <v>пакувальний папір</v>
      </c>
      <c r="F2969" s="17">
        <f>IFERROR(__xludf.DUMMYFUNCTION("""COMPUTED_VALUE"""),3.0)</f>
        <v>3</v>
      </c>
      <c r="G2969" s="17" t="str">
        <f>IFERROR(__xludf.DUMMYFUNCTION("""COMPUTED_VALUE"""),"230105")</f>
        <v>230105</v>
      </c>
      <c r="H2969" s="17" t="str">
        <f>IFERROR(__xludf.DUMMYFUNCTION("""COMPUTED_VALUE"""),"пакувальний папір")</f>
        <v>пакувальний папір</v>
      </c>
      <c r="I2969" s="19">
        <f>IFERROR(__xludf.DUMMYFUNCTION("""COMPUTED_VALUE"""),0.1181)</f>
        <v>0.1181</v>
      </c>
      <c r="J2969" s="19">
        <f>IFERROR(__xludf.DUMMYFUNCTION("""COMPUTED_VALUE"""),0.2361)</f>
        <v>0.2361</v>
      </c>
      <c r="K2969" s="19">
        <f>IFERROR(__xludf.DUMMYFUNCTION("""COMPUTED_VALUE"""),0.2951)</f>
        <v>0.2951</v>
      </c>
      <c r="L2969" s="19">
        <f>IFERROR(__xludf.DUMMYFUNCTION("""COMPUTED_VALUE"""),0.3542)</f>
        <v>0.3542</v>
      </c>
      <c r="M2969" s="18">
        <f>IFERROR(__xludf.DUMMYFUNCTION("""COMPUTED_VALUE"""),1.98)</f>
        <v>1.98</v>
      </c>
    </row>
    <row r="2970">
      <c r="A2970" s="13" t="str">
        <f>IFERROR(__xludf.DUMMYFUNCTION("""COMPUTED_VALUE"""),"товари")</f>
        <v>товари</v>
      </c>
      <c r="B2970" s="16" t="str">
        <f>IFERROR(__xludf.DUMMYFUNCTION("""COMPUTED_VALUE"""),"подарунки, хобі, книги")</f>
        <v>подарунки, хобі, книги</v>
      </c>
      <c r="C2970" s="16" t="str">
        <f>IFERROR(__xludf.DUMMYFUNCTION("""COMPUTED_VALUE"""),"рукоділля")</f>
        <v>рукоділля</v>
      </c>
      <c r="D2970" s="16" t="str">
        <f>IFERROR(__xludf.DUMMYFUNCTION("""COMPUTED_VALUE"""),"малювання і аплікація")</f>
        <v>малювання і аплікація</v>
      </c>
      <c r="E2970" s="16" t="str">
        <f>IFERROR(__xludf.DUMMYFUNCTION("""COMPUTED_VALUE"""),"палітри, художні пенали")</f>
        <v>палітри, художні пенали</v>
      </c>
      <c r="F2970" s="17">
        <f>IFERROR(__xludf.DUMMYFUNCTION("""COMPUTED_VALUE"""),4.0)</f>
        <v>4</v>
      </c>
      <c r="G2970" s="17" t="str">
        <f>IFERROR(__xludf.DUMMYFUNCTION("""COMPUTED_VALUE"""),"21111102")</f>
        <v>21111102</v>
      </c>
      <c r="H2970" s="17" t="str">
        <f>IFERROR(__xludf.DUMMYFUNCTION("""COMPUTED_VALUE"""),"палітри, художні пенали")</f>
        <v>палітри, художні пенали</v>
      </c>
      <c r="I2970" s="19">
        <f>IFERROR(__xludf.DUMMYFUNCTION("""COMPUTED_VALUE"""),0.0785)</f>
        <v>0.0785</v>
      </c>
      <c r="J2970" s="19">
        <f>IFERROR(__xludf.DUMMYFUNCTION("""COMPUTED_VALUE"""),0.157)</f>
        <v>0.157</v>
      </c>
      <c r="K2970" s="19">
        <f>IFERROR(__xludf.DUMMYFUNCTION("""COMPUTED_VALUE"""),0.1963)</f>
        <v>0.1963</v>
      </c>
      <c r="L2970" s="19">
        <f>IFERROR(__xludf.DUMMYFUNCTION("""COMPUTED_VALUE"""),0.2355)</f>
        <v>0.2355</v>
      </c>
      <c r="M2970" s="18">
        <f>IFERROR(__xludf.DUMMYFUNCTION("""COMPUTED_VALUE"""),3.98)</f>
        <v>3.98</v>
      </c>
    </row>
    <row r="2971">
      <c r="A2971" s="13" t="str">
        <f>IFERROR(__xludf.DUMMYFUNCTION("""COMPUTED_VALUE"""),"товари")</f>
        <v>товари</v>
      </c>
      <c r="B2971" s="16" t="str">
        <f>IFERROR(__xludf.DUMMYFUNCTION("""COMPUTED_VALUE"""),"подарунки, хобі, книги")</f>
        <v>подарунки, хобі, книги</v>
      </c>
      <c r="C2971" s="16" t="str">
        <f>IFERROR(__xludf.DUMMYFUNCTION("""COMPUTED_VALUE"""),"рукоділля")</f>
        <v>рукоділля</v>
      </c>
      <c r="D2971" s="16" t="str">
        <f>IFERROR(__xludf.DUMMYFUNCTION("""COMPUTED_VALUE"""),"скрапбукінг, квіллінг і декупаж")</f>
        <v>скрапбукінг, квіллінг і декупаж</v>
      </c>
      <c r="E2971" s="16" t="str">
        <f>IFERROR(__xludf.DUMMYFUNCTION("""COMPUTED_VALUE"""),"папір та картон для творчості")</f>
        <v>папір та картон для творчості</v>
      </c>
      <c r="F2971" s="17">
        <f>IFERROR(__xludf.DUMMYFUNCTION("""COMPUTED_VALUE"""),4.0)</f>
        <v>4</v>
      </c>
      <c r="G2971" s="17" t="str">
        <f>IFERROR(__xludf.DUMMYFUNCTION("""COMPUTED_VALUE"""),"152512")</f>
        <v>152512</v>
      </c>
      <c r="H2971" s="17" t="str">
        <f>IFERROR(__xludf.DUMMYFUNCTION("""COMPUTED_VALUE"""),"папір та картон для творчості")</f>
        <v>папір та картон для творчості</v>
      </c>
      <c r="I2971" s="19">
        <f>IFERROR(__xludf.DUMMYFUNCTION("""COMPUTED_VALUE"""),0.0807)</f>
        <v>0.0807</v>
      </c>
      <c r="J2971" s="19">
        <f>IFERROR(__xludf.DUMMYFUNCTION("""COMPUTED_VALUE"""),0.1614)</f>
        <v>0.1614</v>
      </c>
      <c r="K2971" s="19">
        <f>IFERROR(__xludf.DUMMYFUNCTION("""COMPUTED_VALUE"""),0.2018)</f>
        <v>0.2018</v>
      </c>
      <c r="L2971" s="19">
        <f>IFERROR(__xludf.DUMMYFUNCTION("""COMPUTED_VALUE"""),0.2421)</f>
        <v>0.2421</v>
      </c>
      <c r="M2971" s="18">
        <f>IFERROR(__xludf.DUMMYFUNCTION("""COMPUTED_VALUE"""),1.26)</f>
        <v>1.26</v>
      </c>
    </row>
    <row r="2972">
      <c r="A2972" s="13" t="str">
        <f>IFERROR(__xludf.DUMMYFUNCTION("""COMPUTED_VALUE"""),"товари")</f>
        <v>товари</v>
      </c>
      <c r="B2972" s="16" t="str">
        <f>IFERROR(__xludf.DUMMYFUNCTION("""COMPUTED_VALUE"""),"подарунки, хобі, книги")</f>
        <v>подарунки, хобі, книги</v>
      </c>
      <c r="C2972" s="16" t="str">
        <f>IFERROR(__xludf.DUMMYFUNCTION("""COMPUTED_VALUE"""),"парний одяг")</f>
        <v>парний одяг</v>
      </c>
      <c r="D2972" s="16" t="str">
        <f>IFERROR(__xludf.DUMMYFUNCTION("""COMPUTED_VALUE"""),"парний одяг")</f>
        <v>парний одяг</v>
      </c>
      <c r="E2972" s="16" t="str">
        <f>IFERROR(__xludf.DUMMYFUNCTION("""COMPUTED_VALUE"""),"парний одяг")</f>
        <v>парний одяг</v>
      </c>
      <c r="F2972" s="17">
        <f>IFERROR(__xludf.DUMMYFUNCTION("""COMPUTED_VALUE"""),2.0)</f>
        <v>2</v>
      </c>
      <c r="G2972" s="17" t="str">
        <f>IFERROR(__xludf.DUMMYFUNCTION("""COMPUTED_VALUE"""),"1760")</f>
        <v>1760</v>
      </c>
      <c r="H2972" s="17" t="str">
        <f>IFERROR(__xludf.DUMMYFUNCTION("""COMPUTED_VALUE"""),"парний одяг")</f>
        <v>парний одяг</v>
      </c>
      <c r="I2972" s="19">
        <f>IFERROR(__xludf.DUMMYFUNCTION("""COMPUTED_VALUE"""),0.0733)</f>
        <v>0.0733</v>
      </c>
      <c r="J2972" s="19">
        <f>IFERROR(__xludf.DUMMYFUNCTION("""COMPUTED_VALUE"""),0.1465)</f>
        <v>0.1465</v>
      </c>
      <c r="K2972" s="19">
        <f>IFERROR(__xludf.DUMMYFUNCTION("""COMPUTED_VALUE"""),0.1831)</f>
        <v>0.1831</v>
      </c>
      <c r="L2972" s="19">
        <f>IFERROR(__xludf.DUMMYFUNCTION("""COMPUTED_VALUE"""),0.2198)</f>
        <v>0.2198</v>
      </c>
      <c r="M2972" s="18">
        <f>IFERROR(__xludf.DUMMYFUNCTION("""COMPUTED_VALUE"""),2.7)</f>
        <v>2.7</v>
      </c>
    </row>
    <row r="2973">
      <c r="A2973" s="13" t="str">
        <f>IFERROR(__xludf.DUMMYFUNCTION("""COMPUTED_VALUE"""),"товари")</f>
        <v>товари</v>
      </c>
      <c r="B2973" s="16" t="str">
        <f>IFERROR(__xludf.DUMMYFUNCTION("""COMPUTED_VALUE"""),"подарунки, хобі, книги")</f>
        <v>подарунки, хобі, книги</v>
      </c>
      <c r="C2973" s="16" t="str">
        <f>IFERROR(__xludf.DUMMYFUNCTION("""COMPUTED_VALUE"""),"музичні інструменти")</f>
        <v>музичні інструменти</v>
      </c>
      <c r="D2973" s="16" t="str">
        <f>IFERROR(__xludf.DUMMYFUNCTION("""COMPUTED_VALUE"""),"ударні музичні інструменти та аксесуари")</f>
        <v>ударні музичні інструменти та аксесуари</v>
      </c>
      <c r="E2973" s="16" t="str">
        <f>IFERROR(__xludf.DUMMYFUNCTION("""COMPUTED_VALUE"""),"педалі для акустичних барабанів")</f>
        <v>педалі для акустичних барабанів</v>
      </c>
      <c r="F2973" s="17">
        <f>IFERROR(__xludf.DUMMYFUNCTION("""COMPUTED_VALUE"""),4.0)</f>
        <v>4</v>
      </c>
      <c r="G2973" s="17" t="str">
        <f>IFERROR(__xludf.DUMMYFUNCTION("""COMPUTED_VALUE"""),"180535")</f>
        <v>180535</v>
      </c>
      <c r="H2973" s="17" t="str">
        <f>IFERROR(__xludf.DUMMYFUNCTION("""COMPUTED_VALUE"""),"педалі для акустичних барабанів")</f>
        <v>педалі для акустичних барабанів</v>
      </c>
      <c r="I2973" s="19">
        <f>IFERROR(__xludf.DUMMYFUNCTION("""COMPUTED_VALUE"""),0.0593)</f>
        <v>0.0593</v>
      </c>
      <c r="J2973" s="19">
        <f>IFERROR(__xludf.DUMMYFUNCTION("""COMPUTED_VALUE"""),0.1185)</f>
        <v>0.1185</v>
      </c>
      <c r="K2973" s="19">
        <f>IFERROR(__xludf.DUMMYFUNCTION("""COMPUTED_VALUE"""),0.1481)</f>
        <v>0.1481</v>
      </c>
      <c r="L2973" s="19">
        <f>IFERROR(__xludf.DUMMYFUNCTION("""COMPUTED_VALUE"""),0.1778)</f>
        <v>0.1778</v>
      </c>
      <c r="M2973" s="18">
        <f>IFERROR(__xludf.DUMMYFUNCTION("""COMPUTED_VALUE"""),2.34)</f>
        <v>2.34</v>
      </c>
    </row>
    <row r="2974">
      <c r="A2974" s="13" t="str">
        <f>IFERROR(__xludf.DUMMYFUNCTION("""COMPUTED_VALUE"""),"товари")</f>
        <v>товари</v>
      </c>
      <c r="B2974" s="16" t="str">
        <f>IFERROR(__xludf.DUMMYFUNCTION("""COMPUTED_VALUE"""),"подарунки, хобі, книги")</f>
        <v>подарунки, хобі, книги</v>
      </c>
      <c r="C2974" s="16" t="str">
        <f>IFERROR(__xludf.DUMMYFUNCTION("""COMPUTED_VALUE"""),"музичні інструменти")</f>
        <v>музичні інструменти</v>
      </c>
      <c r="D2974" s="16" t="str">
        <f>IFERROR(__xludf.DUMMYFUNCTION("""COMPUTED_VALUE"""),"ударні музичні інструменти та аксесуари")</f>
        <v>ударні музичні інструменти та аксесуари</v>
      </c>
      <c r="E2974" s="16" t="str">
        <f>IFERROR(__xludf.DUMMYFUNCTION("""COMPUTED_VALUE"""),"перкусія")</f>
        <v>перкусія</v>
      </c>
      <c r="F2974" s="17">
        <f>IFERROR(__xludf.DUMMYFUNCTION("""COMPUTED_VALUE"""),4.0)</f>
        <v>4</v>
      </c>
      <c r="G2974" s="17" t="str">
        <f>IFERROR(__xludf.DUMMYFUNCTION("""COMPUTED_VALUE"""),"180505")</f>
        <v>180505</v>
      </c>
      <c r="H2974" s="17" t="str">
        <f>IFERROR(__xludf.DUMMYFUNCTION("""COMPUTED_VALUE"""),"перкусія")</f>
        <v>перкусія</v>
      </c>
      <c r="I2974" s="19">
        <f>IFERROR(__xludf.DUMMYFUNCTION("""COMPUTED_VALUE"""),0.0726)</f>
        <v>0.0726</v>
      </c>
      <c r="J2974" s="19">
        <f>IFERROR(__xludf.DUMMYFUNCTION("""COMPUTED_VALUE"""),0.1451)</f>
        <v>0.1451</v>
      </c>
      <c r="K2974" s="19">
        <f>IFERROR(__xludf.DUMMYFUNCTION("""COMPUTED_VALUE"""),0.1814)</f>
        <v>0.1814</v>
      </c>
      <c r="L2974" s="19">
        <f>IFERROR(__xludf.DUMMYFUNCTION("""COMPUTED_VALUE"""),0.2177)</f>
        <v>0.2177</v>
      </c>
      <c r="M2974" s="18">
        <f>IFERROR(__xludf.DUMMYFUNCTION("""COMPUTED_VALUE"""),2.34)</f>
        <v>2.34</v>
      </c>
    </row>
    <row r="2975">
      <c r="A2975" s="13" t="str">
        <f>IFERROR(__xludf.DUMMYFUNCTION("""COMPUTED_VALUE"""),"товари")</f>
        <v>товари</v>
      </c>
      <c r="B2975" s="16" t="str">
        <f>IFERROR(__xludf.DUMMYFUNCTION("""COMPUTED_VALUE"""),"подарунки, хобі, книги")</f>
        <v>подарунки, хобі, книги</v>
      </c>
      <c r="C2975" s="16" t="str">
        <f>IFERROR(__xludf.DUMMYFUNCTION("""COMPUTED_VALUE"""),"музичні інструменти")</f>
        <v>музичні інструменти</v>
      </c>
      <c r="D2975" s="16" t="str">
        <f>IFERROR(__xludf.DUMMYFUNCTION("""COMPUTED_VALUE"""),"клавішні інструменти та обладнання")</f>
        <v>клавішні інструменти та обладнання</v>
      </c>
      <c r="E2975" s="16" t="str">
        <f>IFERROR(__xludf.DUMMYFUNCTION("""COMPUTED_VALUE"""),"піаніно, синтезатори, роялі")</f>
        <v>піаніно, синтезатори, роялі</v>
      </c>
      <c r="F2975" s="17">
        <f>IFERROR(__xludf.DUMMYFUNCTION("""COMPUTED_VALUE"""),4.0)</f>
        <v>4</v>
      </c>
      <c r="G2975" s="17" t="str">
        <f>IFERROR(__xludf.DUMMYFUNCTION("""COMPUTED_VALUE"""),"180551")</f>
        <v>180551</v>
      </c>
      <c r="H2975" s="17" t="str">
        <f>IFERROR(__xludf.DUMMYFUNCTION("""COMPUTED_VALUE"""),"піаніно, синтезатори, роялі")</f>
        <v>піаніно, синтезатори, роялі</v>
      </c>
      <c r="I2975" s="19">
        <f>IFERROR(__xludf.DUMMYFUNCTION("""COMPUTED_VALUE"""),0.0598)</f>
        <v>0.0598</v>
      </c>
      <c r="J2975" s="19">
        <f>IFERROR(__xludf.DUMMYFUNCTION("""COMPUTED_VALUE"""),0.1195)</f>
        <v>0.1195</v>
      </c>
      <c r="K2975" s="19">
        <f>IFERROR(__xludf.DUMMYFUNCTION("""COMPUTED_VALUE"""),0.1494)</f>
        <v>0.1494</v>
      </c>
      <c r="L2975" s="19">
        <f>IFERROR(__xludf.DUMMYFUNCTION("""COMPUTED_VALUE"""),0.1793)</f>
        <v>0.1793</v>
      </c>
      <c r="M2975" s="18">
        <f>IFERROR(__xludf.DUMMYFUNCTION("""COMPUTED_VALUE"""),3.9)</f>
        <v>3.9</v>
      </c>
    </row>
    <row r="2976">
      <c r="A2976" s="13" t="str">
        <f>IFERROR(__xludf.DUMMYFUNCTION("""COMPUTED_VALUE"""),"товари")</f>
        <v>товари</v>
      </c>
      <c r="B2976" s="16" t="str">
        <f>IFERROR(__xludf.DUMMYFUNCTION("""COMPUTED_VALUE"""),"подарунки, хобі, книги")</f>
        <v>подарунки, хобі, книги</v>
      </c>
      <c r="C2976" s="16" t="str">
        <f>IFERROR(__xludf.DUMMYFUNCTION("""COMPUTED_VALUE"""),"музичні інструменти")</f>
        <v>музичні інструменти</v>
      </c>
      <c r="D2976" s="16" t="str">
        <f>IFERROR(__xludf.DUMMYFUNCTION("""COMPUTED_VALUE"""),"гітари та обладнання")</f>
        <v>гітари та обладнання</v>
      </c>
      <c r="E2976" s="16" t="str">
        <f>IFERROR(__xludf.DUMMYFUNCTION("""COMPUTED_VALUE"""),"підсилювачі музичних інструментів")</f>
        <v>підсилювачі музичних інструментів</v>
      </c>
      <c r="F2976" s="17">
        <f>IFERROR(__xludf.DUMMYFUNCTION("""COMPUTED_VALUE"""),4.0)</f>
        <v>4</v>
      </c>
      <c r="G2976" s="17" t="str">
        <f>IFERROR(__xludf.DUMMYFUNCTION("""COMPUTED_VALUE"""),"180540")</f>
        <v>180540</v>
      </c>
      <c r="H2976" s="17" t="str">
        <f>IFERROR(__xludf.DUMMYFUNCTION("""COMPUTED_VALUE"""),"підсилювачі музичних інструментів")</f>
        <v>підсилювачі музичних інструментів</v>
      </c>
      <c r="I2976" s="19">
        <f>IFERROR(__xludf.DUMMYFUNCTION("""COMPUTED_VALUE"""),0.0582)</f>
        <v>0.0582</v>
      </c>
      <c r="J2976" s="19">
        <f>IFERROR(__xludf.DUMMYFUNCTION("""COMPUTED_VALUE"""),0.1164)</f>
        <v>0.1164</v>
      </c>
      <c r="K2976" s="19">
        <f>IFERROR(__xludf.DUMMYFUNCTION("""COMPUTED_VALUE"""),0.1455)</f>
        <v>0.1455</v>
      </c>
      <c r="L2976" s="19">
        <f>IFERROR(__xludf.DUMMYFUNCTION("""COMPUTED_VALUE"""),0.1746)</f>
        <v>0.1746</v>
      </c>
      <c r="M2976" s="18">
        <f>IFERROR(__xludf.DUMMYFUNCTION("""COMPUTED_VALUE"""),4.41)</f>
        <v>4.41</v>
      </c>
    </row>
    <row r="2977">
      <c r="A2977" s="13" t="str">
        <f>IFERROR(__xludf.DUMMYFUNCTION("""COMPUTED_VALUE"""),"товари")</f>
        <v>товари</v>
      </c>
      <c r="B2977" s="16" t="str">
        <f>IFERROR(__xludf.DUMMYFUNCTION("""COMPUTED_VALUE"""),"подарунки, хобі, книги")</f>
        <v>подарунки, хобі, книги</v>
      </c>
      <c r="C2977" s="16" t="str">
        <f>IFERROR(__xludf.DUMMYFUNCTION("""COMPUTED_VALUE"""),"музичні інструменти")</f>
        <v>музичні інструменти</v>
      </c>
      <c r="D2977" s="16" t="str">
        <f>IFERROR(__xludf.DUMMYFUNCTION("""COMPUTED_VALUE"""),"ударні музичні інструменти та аксесуари")</f>
        <v>ударні музичні інструменти та аксесуари</v>
      </c>
      <c r="E2977" s="16" t="str">
        <f>IFERROR(__xludf.DUMMYFUNCTION("""COMPUTED_VALUE"""),"пластики для барабанів")</f>
        <v>пластики для барабанів</v>
      </c>
      <c r="F2977" s="17">
        <f>IFERROR(__xludf.DUMMYFUNCTION("""COMPUTED_VALUE"""),4.0)</f>
        <v>4</v>
      </c>
      <c r="G2977" s="17" t="str">
        <f>IFERROR(__xludf.DUMMYFUNCTION("""COMPUTED_VALUE"""),"180523")</f>
        <v>180523</v>
      </c>
      <c r="H2977" s="17" t="str">
        <f>IFERROR(__xludf.DUMMYFUNCTION("""COMPUTED_VALUE"""),"пластики для барабанів")</f>
        <v>пластики для барабанів</v>
      </c>
      <c r="I2977" s="19">
        <f>IFERROR(__xludf.DUMMYFUNCTION("""COMPUTED_VALUE"""),0.0619)</f>
        <v>0.0619</v>
      </c>
      <c r="J2977" s="19">
        <f>IFERROR(__xludf.DUMMYFUNCTION("""COMPUTED_VALUE"""),0.1237)</f>
        <v>0.1237</v>
      </c>
      <c r="K2977" s="19">
        <f>IFERROR(__xludf.DUMMYFUNCTION("""COMPUTED_VALUE"""),0.1546)</f>
        <v>0.1546</v>
      </c>
      <c r="L2977" s="19">
        <f>IFERROR(__xludf.DUMMYFUNCTION("""COMPUTED_VALUE"""),0.1856)</f>
        <v>0.1856</v>
      </c>
      <c r="M2977" s="18">
        <f>IFERROR(__xludf.DUMMYFUNCTION("""COMPUTED_VALUE"""),2.34)</f>
        <v>2.34</v>
      </c>
    </row>
    <row r="2978">
      <c r="A2978" s="13" t="str">
        <f>IFERROR(__xludf.DUMMYFUNCTION("""COMPUTED_VALUE"""),"товари")</f>
        <v>товари</v>
      </c>
      <c r="B2978" s="16" t="str">
        <f>IFERROR(__xludf.DUMMYFUNCTION("""COMPUTED_VALUE"""),"подарунки, хобі, книги")</f>
        <v>подарунки, хобі, книги</v>
      </c>
      <c r="C2978" s="16" t="str">
        <f>IFERROR(__xludf.DUMMYFUNCTION("""COMPUTED_VALUE"""),"повітряні кулі та композиції з них")</f>
        <v>повітряні кулі та композиції з них</v>
      </c>
      <c r="D2978" s="16" t="str">
        <f>IFERROR(__xludf.DUMMYFUNCTION("""COMPUTED_VALUE"""),"повітряні кулі та композиції з них")</f>
        <v>повітряні кулі та композиції з них</v>
      </c>
      <c r="E2978" s="16" t="str">
        <f>IFERROR(__xludf.DUMMYFUNCTION("""COMPUTED_VALUE"""),"повітряні кулі та композиції з них")</f>
        <v>повітряні кулі та композиції з них</v>
      </c>
      <c r="F2978" s="17">
        <f>IFERROR(__xludf.DUMMYFUNCTION("""COMPUTED_VALUE"""),2.0)</f>
        <v>2</v>
      </c>
      <c r="G2978" s="17" t="str">
        <f>IFERROR(__xludf.DUMMYFUNCTION("""COMPUTED_VALUE"""),"1742")</f>
        <v>1742</v>
      </c>
      <c r="H2978" s="17" t="str">
        <f>IFERROR(__xludf.DUMMYFUNCTION("""COMPUTED_VALUE"""),"повітряні кулі та композиції з них")</f>
        <v>повітряні кулі та композиції з них</v>
      </c>
      <c r="I2978" s="19">
        <f>IFERROR(__xludf.DUMMYFUNCTION("""COMPUTED_VALUE"""),0.1172)</f>
        <v>0.1172</v>
      </c>
      <c r="J2978" s="19">
        <f>IFERROR(__xludf.DUMMYFUNCTION("""COMPUTED_VALUE"""),0.2343)</f>
        <v>0.2343</v>
      </c>
      <c r="K2978" s="19">
        <f>IFERROR(__xludf.DUMMYFUNCTION("""COMPUTED_VALUE"""),0.2929)</f>
        <v>0.2929</v>
      </c>
      <c r="L2978" s="19">
        <f>IFERROR(__xludf.DUMMYFUNCTION("""COMPUTED_VALUE"""),0.3515)</f>
        <v>0.3515</v>
      </c>
      <c r="M2978" s="18">
        <f>IFERROR(__xludf.DUMMYFUNCTION("""COMPUTED_VALUE"""),2.53)</f>
        <v>2.53</v>
      </c>
    </row>
    <row r="2979">
      <c r="A2979" s="13" t="str">
        <f>IFERROR(__xludf.DUMMYFUNCTION("""COMPUTED_VALUE"""),"товари")</f>
        <v>товари</v>
      </c>
      <c r="B2979" s="16" t="str">
        <f>IFERROR(__xludf.DUMMYFUNCTION("""COMPUTED_VALUE"""),"подарунки, хобі, книги")</f>
        <v>подарунки, хобі, книги</v>
      </c>
      <c r="C2979" s="16" t="str">
        <f>IFERROR(__xludf.DUMMYFUNCTION("""COMPUTED_VALUE"""),"подарунки та сувеніри ручної роботи")</f>
        <v>подарунки та сувеніри ручної роботи</v>
      </c>
      <c r="D2979" s="16" t="str">
        <f>IFERROR(__xludf.DUMMYFUNCTION("""COMPUTED_VALUE"""),"подарунки та сувеніри ручної роботи")</f>
        <v>подарунки та сувеніри ручної роботи</v>
      </c>
      <c r="E2979" s="16" t="str">
        <f>IFERROR(__xludf.DUMMYFUNCTION("""COMPUTED_VALUE"""),"подарунки та сувеніри ручної роботи")</f>
        <v>подарунки та сувеніри ручної роботи</v>
      </c>
      <c r="F2979" s="17">
        <f>IFERROR(__xludf.DUMMYFUNCTION("""COMPUTED_VALUE"""),2.0)</f>
        <v>2</v>
      </c>
      <c r="G2979" s="17" t="str">
        <f>IFERROR(__xludf.DUMMYFUNCTION("""COMPUTED_VALUE"""),"172001")</f>
        <v>172001</v>
      </c>
      <c r="H2979" s="17" t="str">
        <f>IFERROR(__xludf.DUMMYFUNCTION("""COMPUTED_VALUE"""),"подарунки та сувеніри ручної роботи")</f>
        <v>подарунки та сувеніри ручної роботи</v>
      </c>
      <c r="I2979" s="19">
        <f>IFERROR(__xludf.DUMMYFUNCTION("""COMPUTED_VALUE"""),0.0786)</f>
        <v>0.0786</v>
      </c>
      <c r="J2979" s="19">
        <f>IFERROR(__xludf.DUMMYFUNCTION("""COMPUTED_VALUE"""),0.1571)</f>
        <v>0.1571</v>
      </c>
      <c r="K2979" s="19">
        <f>IFERROR(__xludf.DUMMYFUNCTION("""COMPUTED_VALUE"""),0.1964)</f>
        <v>0.1964</v>
      </c>
      <c r="L2979" s="19">
        <f>IFERROR(__xludf.DUMMYFUNCTION("""COMPUTED_VALUE"""),0.2357)</f>
        <v>0.2357</v>
      </c>
      <c r="M2979" s="18">
        <f>IFERROR(__xludf.DUMMYFUNCTION("""COMPUTED_VALUE"""),1.53)</f>
        <v>1.53</v>
      </c>
    </row>
    <row r="2980">
      <c r="A2980" s="13" t="str">
        <f>IFERROR(__xludf.DUMMYFUNCTION("""COMPUTED_VALUE"""),"товари")</f>
        <v>товари</v>
      </c>
      <c r="B2980" s="16" t="str">
        <f>IFERROR(__xludf.DUMMYFUNCTION("""COMPUTED_VALUE"""),"подарунки, хобі, книги")</f>
        <v>подарунки, хобі, книги</v>
      </c>
      <c r="C2980" s="16" t="str">
        <f>IFERROR(__xludf.DUMMYFUNCTION("""COMPUTED_VALUE"""),"подарунки та сувеніри, загальне")</f>
        <v>подарунки та сувеніри, загальне</v>
      </c>
      <c r="D2980" s="16" t="str">
        <f>IFERROR(__xludf.DUMMYFUNCTION("""COMPUTED_VALUE"""),"подарунки та сувеніри, загальне")</f>
        <v>подарунки та сувеніри, загальне</v>
      </c>
      <c r="E2980" s="16" t="str">
        <f>IFERROR(__xludf.DUMMYFUNCTION("""COMPUTED_VALUE"""),"подарунки та сувеніри, загальне")</f>
        <v>подарунки та сувеніри, загальне</v>
      </c>
      <c r="F2980" s="17">
        <f>IFERROR(__xludf.DUMMYFUNCTION("""COMPUTED_VALUE"""),2.0)</f>
        <v>2</v>
      </c>
      <c r="G2980" s="17" t="str">
        <f>IFERROR(__xludf.DUMMYFUNCTION("""COMPUTED_VALUE"""),"1729")</f>
        <v>1729</v>
      </c>
      <c r="H2980" s="17" t="str">
        <f>IFERROR(__xludf.DUMMYFUNCTION("""COMPUTED_VALUE"""),"подарунки та сувеніри, загальне")</f>
        <v>подарунки та сувеніри, загальне</v>
      </c>
      <c r="I2980" s="19">
        <f>IFERROR(__xludf.DUMMYFUNCTION("""COMPUTED_VALUE"""),0.125)</f>
        <v>0.125</v>
      </c>
      <c r="J2980" s="19">
        <f>IFERROR(__xludf.DUMMYFUNCTION("""COMPUTED_VALUE"""),0.25)</f>
        <v>0.25</v>
      </c>
      <c r="K2980" s="19">
        <f>IFERROR(__xludf.DUMMYFUNCTION("""COMPUTED_VALUE"""),0.3125)</f>
        <v>0.3125</v>
      </c>
      <c r="L2980" s="19">
        <f>IFERROR(__xludf.DUMMYFUNCTION("""COMPUTED_VALUE"""),0.375)</f>
        <v>0.375</v>
      </c>
      <c r="M2980" s="18">
        <f>IFERROR(__xludf.DUMMYFUNCTION("""COMPUTED_VALUE"""),4.33)</f>
        <v>4.33</v>
      </c>
    </row>
    <row r="2981">
      <c r="A2981" s="13" t="str">
        <f>IFERROR(__xludf.DUMMYFUNCTION("""COMPUTED_VALUE"""),"товари")</f>
        <v>товари</v>
      </c>
      <c r="B2981" s="16" t="str">
        <f>IFERROR(__xludf.DUMMYFUNCTION("""COMPUTED_VALUE"""),"подарунки, хобі, книги")</f>
        <v>подарунки, хобі, книги</v>
      </c>
      <c r="C2981" s="16" t="str">
        <f>IFERROR(__xludf.DUMMYFUNCTION("""COMPUTED_VALUE"""),"подарункова упаковка")</f>
        <v>подарункова упаковка</v>
      </c>
      <c r="D2981" s="16" t="str">
        <f>IFERROR(__xludf.DUMMYFUNCTION("""COMPUTED_VALUE"""),"подарункова упаковка, загальне")</f>
        <v>подарункова упаковка, загальне</v>
      </c>
      <c r="E2981" s="16" t="str">
        <f>IFERROR(__xludf.DUMMYFUNCTION("""COMPUTED_VALUE"""),"подарункова упаковка, загальне")</f>
        <v>подарункова упаковка, загальне</v>
      </c>
      <c r="F2981" s="17">
        <f>IFERROR(__xludf.DUMMYFUNCTION("""COMPUTED_VALUE"""),3.0)</f>
        <v>3</v>
      </c>
      <c r="G2981" s="17" t="str">
        <f>IFERROR(__xludf.DUMMYFUNCTION("""COMPUTED_VALUE"""),"176201")</f>
        <v>176201</v>
      </c>
      <c r="H2981" s="17" t="str">
        <f>IFERROR(__xludf.DUMMYFUNCTION("""COMPUTED_VALUE"""),"подарункова упаковка, загальне")</f>
        <v>подарункова упаковка, загальне</v>
      </c>
      <c r="I2981" s="19">
        <f>IFERROR(__xludf.DUMMYFUNCTION("""COMPUTED_VALUE"""),0.125)</f>
        <v>0.125</v>
      </c>
      <c r="J2981" s="19">
        <f>IFERROR(__xludf.DUMMYFUNCTION("""COMPUTED_VALUE"""),0.25)</f>
        <v>0.25</v>
      </c>
      <c r="K2981" s="19">
        <f>IFERROR(__xludf.DUMMYFUNCTION("""COMPUTED_VALUE"""),0.3125)</f>
        <v>0.3125</v>
      </c>
      <c r="L2981" s="19">
        <f>IFERROR(__xludf.DUMMYFUNCTION("""COMPUTED_VALUE"""),0.375)</f>
        <v>0.375</v>
      </c>
      <c r="M2981" s="18">
        <f>IFERROR(__xludf.DUMMYFUNCTION("""COMPUTED_VALUE"""),4.33)</f>
        <v>4.33</v>
      </c>
    </row>
    <row r="2982">
      <c r="A2982" s="13" t="str">
        <f>IFERROR(__xludf.DUMMYFUNCTION("""COMPUTED_VALUE"""),"товари")</f>
        <v>товари</v>
      </c>
      <c r="B2982" s="16" t="str">
        <f>IFERROR(__xludf.DUMMYFUNCTION("""COMPUTED_VALUE"""),"подарунки, хобі, книги")</f>
        <v>подарунки, хобі, книги</v>
      </c>
      <c r="C2982" s="16" t="str">
        <f>IFERROR(__xludf.DUMMYFUNCTION("""COMPUTED_VALUE"""),"подарункова упаковка")</f>
        <v>подарункова упаковка</v>
      </c>
      <c r="D2982" s="16" t="str">
        <f>IFERROR(__xludf.DUMMYFUNCTION("""COMPUTED_VALUE"""),"подарункові коробки і пакети")</f>
        <v>подарункові коробки і пакети</v>
      </c>
      <c r="E2982" s="16" t="str">
        <f>IFERROR(__xludf.DUMMYFUNCTION("""COMPUTED_VALUE"""),"подарункові коробки і пакети")</f>
        <v>подарункові коробки і пакети</v>
      </c>
      <c r="F2982" s="17">
        <f>IFERROR(__xludf.DUMMYFUNCTION("""COMPUTED_VALUE"""),3.0)</f>
        <v>3</v>
      </c>
      <c r="G2982" s="17" t="str">
        <f>IFERROR(__xludf.DUMMYFUNCTION("""COMPUTED_VALUE"""),"380540")</f>
        <v>380540</v>
      </c>
      <c r="H2982" s="17" t="str">
        <f>IFERROR(__xludf.DUMMYFUNCTION("""COMPUTED_VALUE"""),"подарункові коробки і пакети")</f>
        <v>подарункові коробки і пакети</v>
      </c>
      <c r="I2982" s="19">
        <f>IFERROR(__xludf.DUMMYFUNCTION("""COMPUTED_VALUE"""),0.0814)</f>
        <v>0.0814</v>
      </c>
      <c r="J2982" s="19">
        <f>IFERROR(__xludf.DUMMYFUNCTION("""COMPUTED_VALUE"""),0.1628)</f>
        <v>0.1628</v>
      </c>
      <c r="K2982" s="19">
        <f>IFERROR(__xludf.DUMMYFUNCTION("""COMPUTED_VALUE"""),0.2035)</f>
        <v>0.2035</v>
      </c>
      <c r="L2982" s="19">
        <f>IFERROR(__xludf.DUMMYFUNCTION("""COMPUTED_VALUE"""),0.2442)</f>
        <v>0.2442</v>
      </c>
      <c r="M2982" s="18">
        <f>IFERROR(__xludf.DUMMYFUNCTION("""COMPUTED_VALUE"""),3.24)</f>
        <v>3.24</v>
      </c>
    </row>
    <row r="2983">
      <c r="A2983" s="13" t="str">
        <f>IFERROR(__xludf.DUMMYFUNCTION("""COMPUTED_VALUE"""),"товари")</f>
        <v>товари</v>
      </c>
      <c r="B2983" s="16" t="str">
        <f>IFERROR(__xludf.DUMMYFUNCTION("""COMPUTED_VALUE"""),"подарунки, хобі, книги")</f>
        <v>подарунки, хобі, книги</v>
      </c>
      <c r="C2983" s="16" t="str">
        <f>IFERROR(__xludf.DUMMYFUNCTION("""COMPUTED_VALUE"""),"подарунки і сувеніри")</f>
        <v>подарунки і сувеніри</v>
      </c>
      <c r="D2983" s="16" t="str">
        <f>IFERROR(__xludf.DUMMYFUNCTION("""COMPUTED_VALUE"""),"подарункові сертифікати")</f>
        <v>подарункові сертифікати</v>
      </c>
      <c r="E2983" s="16" t="str">
        <f>IFERROR(__xludf.DUMMYFUNCTION("""COMPUTED_VALUE"""),"подарункові сертифікати")</f>
        <v>подарункові сертифікати</v>
      </c>
      <c r="F2983" s="17">
        <f>IFERROR(__xludf.DUMMYFUNCTION("""COMPUTED_VALUE"""),3.0)</f>
        <v>3</v>
      </c>
      <c r="G2983" s="17" t="str">
        <f>IFERROR(__xludf.DUMMYFUNCTION("""COMPUTED_VALUE"""),"1752")</f>
        <v>1752</v>
      </c>
      <c r="H2983" s="17" t="str">
        <f>IFERROR(__xludf.DUMMYFUNCTION("""COMPUTED_VALUE"""),"подарункові сертифікати")</f>
        <v>подарункові сертифікати</v>
      </c>
      <c r="I2983" s="19">
        <f>IFERROR(__xludf.DUMMYFUNCTION("""COMPUTED_VALUE"""),0.0986)</f>
        <v>0.0986</v>
      </c>
      <c r="J2983" s="19">
        <f>IFERROR(__xludf.DUMMYFUNCTION("""COMPUTED_VALUE"""),0.1971)</f>
        <v>0.1971</v>
      </c>
      <c r="K2983" s="19">
        <f>IFERROR(__xludf.DUMMYFUNCTION("""COMPUTED_VALUE"""),0.2464)</f>
        <v>0.2464</v>
      </c>
      <c r="L2983" s="19">
        <f>IFERROR(__xludf.DUMMYFUNCTION("""COMPUTED_VALUE"""),0.2957)</f>
        <v>0.2957</v>
      </c>
      <c r="M2983" s="18">
        <f>IFERROR(__xludf.DUMMYFUNCTION("""COMPUTED_VALUE"""),1.44)</f>
        <v>1.44</v>
      </c>
    </row>
    <row r="2984">
      <c r="A2984" s="13" t="str">
        <f>IFERROR(__xludf.DUMMYFUNCTION("""COMPUTED_VALUE"""),"товари")</f>
        <v>товари</v>
      </c>
      <c r="B2984" s="16" t="str">
        <f>IFERROR(__xludf.DUMMYFUNCTION("""COMPUTED_VALUE"""),"подарунки, хобі, книги")</f>
        <v>подарунки, хобі, книги</v>
      </c>
      <c r="C2984" s="16" t="str">
        <f>IFERROR(__xludf.DUMMYFUNCTION("""COMPUTED_VALUE"""),"подарункова упаковка")</f>
        <v>подарункова упаковка</v>
      </c>
      <c r="D2984" s="16" t="str">
        <f>IFERROR(__xludf.DUMMYFUNCTION("""COMPUTED_VALUE"""),"подарункові стрічки і банти")</f>
        <v>подарункові стрічки і банти</v>
      </c>
      <c r="E2984" s="16" t="str">
        <f>IFERROR(__xludf.DUMMYFUNCTION("""COMPUTED_VALUE"""),"подарункові стрічки і банти")</f>
        <v>подарункові стрічки і банти</v>
      </c>
      <c r="F2984" s="17">
        <f>IFERROR(__xludf.DUMMYFUNCTION("""COMPUTED_VALUE"""),3.0)</f>
        <v>3</v>
      </c>
      <c r="G2984" s="17" t="str">
        <f>IFERROR(__xludf.DUMMYFUNCTION("""COMPUTED_VALUE"""),"176203")</f>
        <v>176203</v>
      </c>
      <c r="H2984" s="17" t="str">
        <f>IFERROR(__xludf.DUMMYFUNCTION("""COMPUTED_VALUE"""),"подарункові стрічки і банти")</f>
        <v>подарункові стрічки і банти</v>
      </c>
      <c r="I2984" s="19">
        <f>IFERROR(__xludf.DUMMYFUNCTION("""COMPUTED_VALUE"""),0.1015)</f>
        <v>0.1015</v>
      </c>
      <c r="J2984" s="19">
        <f>IFERROR(__xludf.DUMMYFUNCTION("""COMPUTED_VALUE"""),0.203)</f>
        <v>0.203</v>
      </c>
      <c r="K2984" s="19">
        <f>IFERROR(__xludf.DUMMYFUNCTION("""COMPUTED_VALUE"""),0.2538)</f>
        <v>0.2538</v>
      </c>
      <c r="L2984" s="19">
        <f>IFERROR(__xludf.DUMMYFUNCTION("""COMPUTED_VALUE"""),0.3045)</f>
        <v>0.3045</v>
      </c>
      <c r="M2984" s="18">
        <f>IFERROR(__xludf.DUMMYFUNCTION("""COMPUTED_VALUE"""),1.26)</f>
        <v>1.26</v>
      </c>
    </row>
    <row r="2985">
      <c r="A2985" s="13" t="str">
        <f>IFERROR(__xludf.DUMMYFUNCTION("""COMPUTED_VALUE"""),"товари")</f>
        <v>товари</v>
      </c>
      <c r="B2985" s="16" t="str">
        <f>IFERROR(__xludf.DUMMYFUNCTION("""COMPUTED_VALUE"""),"подарунки, хобі, книги")</f>
        <v>подарунки, хобі, книги</v>
      </c>
      <c r="C2985" s="16" t="str">
        <f>IFERROR(__xludf.DUMMYFUNCTION("""COMPUTED_VALUE"""),"ігри")</f>
        <v>ігри</v>
      </c>
      <c r="D2985" s="16" t="str">
        <f>IFERROR(__xludf.DUMMYFUNCTION("""COMPUTED_VALUE"""),"покерні набори")</f>
        <v>покерні набори</v>
      </c>
      <c r="E2985" s="16" t="str">
        <f>IFERROR(__xludf.DUMMYFUNCTION("""COMPUTED_VALUE"""),"покерні набори")</f>
        <v>покерні набори</v>
      </c>
      <c r="F2985" s="17">
        <f>IFERROR(__xludf.DUMMYFUNCTION("""COMPUTED_VALUE"""),3.0)</f>
        <v>3</v>
      </c>
      <c r="G2985" s="17" t="str">
        <f>IFERROR(__xludf.DUMMYFUNCTION("""COMPUTED_VALUE"""),"180610")</f>
        <v>180610</v>
      </c>
      <c r="H2985" s="17" t="str">
        <f>IFERROR(__xludf.DUMMYFUNCTION("""COMPUTED_VALUE"""),"покерні набори")</f>
        <v>покерні набори</v>
      </c>
      <c r="I2985" s="19">
        <f>IFERROR(__xludf.DUMMYFUNCTION("""COMPUTED_VALUE"""),0.067)</f>
        <v>0.067</v>
      </c>
      <c r="J2985" s="19">
        <f>IFERROR(__xludf.DUMMYFUNCTION("""COMPUTED_VALUE"""),0.134)</f>
        <v>0.134</v>
      </c>
      <c r="K2985" s="19">
        <f>IFERROR(__xludf.DUMMYFUNCTION("""COMPUTED_VALUE"""),0.1675)</f>
        <v>0.1675</v>
      </c>
      <c r="L2985" s="19">
        <f>IFERROR(__xludf.DUMMYFUNCTION("""COMPUTED_VALUE"""),0.201)</f>
        <v>0.201</v>
      </c>
      <c r="M2985" s="18">
        <f>IFERROR(__xludf.DUMMYFUNCTION("""COMPUTED_VALUE"""),2.79)</f>
        <v>2.79</v>
      </c>
    </row>
    <row r="2986">
      <c r="A2986" s="13" t="str">
        <f>IFERROR(__xludf.DUMMYFUNCTION("""COMPUTED_VALUE"""),"товари")</f>
        <v>товари</v>
      </c>
      <c r="B2986" s="16" t="str">
        <f>IFERROR(__xludf.DUMMYFUNCTION("""COMPUTED_VALUE"""),"подарунки, хобі, книги")</f>
        <v>подарунки, хобі, книги</v>
      </c>
      <c r="C2986" s="16" t="str">
        <f>IFERROR(__xludf.DUMMYFUNCTION("""COMPUTED_VALUE"""),"рукоділля")</f>
        <v>рукоділля</v>
      </c>
      <c r="D2986" s="16" t="str">
        <f>IFERROR(__xludf.DUMMYFUNCTION("""COMPUTED_VALUE"""),"ліплення та створення іграшок")</f>
        <v>ліплення та створення іграшок</v>
      </c>
      <c r="E2986" s="16" t="str">
        <f>IFERROR(__xludf.DUMMYFUNCTION("""COMPUTED_VALUE"""),"полімерна глина")</f>
        <v>полімерна глина</v>
      </c>
      <c r="F2986" s="17">
        <f>IFERROR(__xludf.DUMMYFUNCTION("""COMPUTED_VALUE"""),4.0)</f>
        <v>4</v>
      </c>
      <c r="G2986" s="17" t="str">
        <f>IFERROR(__xludf.DUMMYFUNCTION("""COMPUTED_VALUE"""),"152508")</f>
        <v>152508</v>
      </c>
      <c r="H2986" s="17" t="str">
        <f>IFERROR(__xludf.DUMMYFUNCTION("""COMPUTED_VALUE"""),"полімерна глина")</f>
        <v>полімерна глина</v>
      </c>
      <c r="I2986" s="19">
        <f>IFERROR(__xludf.DUMMYFUNCTION("""COMPUTED_VALUE"""),0.0961)</f>
        <v>0.0961</v>
      </c>
      <c r="J2986" s="19">
        <f>IFERROR(__xludf.DUMMYFUNCTION("""COMPUTED_VALUE"""),0.1921)</f>
        <v>0.1921</v>
      </c>
      <c r="K2986" s="19">
        <f>IFERROR(__xludf.DUMMYFUNCTION("""COMPUTED_VALUE"""),0.2401)</f>
        <v>0.2401</v>
      </c>
      <c r="L2986" s="19">
        <f>IFERROR(__xludf.DUMMYFUNCTION("""COMPUTED_VALUE"""),0.2882)</f>
        <v>0.2882</v>
      </c>
      <c r="M2986" s="18">
        <f>IFERROR(__xludf.DUMMYFUNCTION("""COMPUTED_VALUE"""),1.05)</f>
        <v>1.05</v>
      </c>
    </row>
    <row r="2987">
      <c r="A2987" s="13" t="str">
        <f>IFERROR(__xludf.DUMMYFUNCTION("""COMPUTED_VALUE"""),"товари")</f>
        <v>товари</v>
      </c>
      <c r="B2987" s="16" t="str">
        <f>IFERROR(__xludf.DUMMYFUNCTION("""COMPUTED_VALUE"""),"подарунки, хобі, книги")</f>
        <v>подарунки, хобі, книги</v>
      </c>
      <c r="C2987" s="16" t="str">
        <f>IFERROR(__xludf.DUMMYFUNCTION("""COMPUTED_VALUE"""),"рукоділля")</f>
        <v>рукоділля</v>
      </c>
      <c r="D2987" s="16" t="str">
        <f>IFERROR(__xludf.DUMMYFUNCTION("""COMPUTED_VALUE"""),"малювання і аплікація")</f>
        <v>малювання і аплікація</v>
      </c>
      <c r="E2987" s="16" t="str">
        <f>IFERROR(__xludf.DUMMYFUNCTION("""COMPUTED_VALUE"""),"полотна")</f>
        <v>полотна</v>
      </c>
      <c r="F2987" s="17">
        <f>IFERROR(__xludf.DUMMYFUNCTION("""COMPUTED_VALUE"""),4.0)</f>
        <v>4</v>
      </c>
      <c r="G2987" s="17" t="str">
        <f>IFERROR(__xludf.DUMMYFUNCTION("""COMPUTED_VALUE"""),"21111106")</f>
        <v>21111106</v>
      </c>
      <c r="H2987" s="17" t="str">
        <f>IFERROR(__xludf.DUMMYFUNCTION("""COMPUTED_VALUE"""),"полотна")</f>
        <v>полотна</v>
      </c>
      <c r="I2987" s="19">
        <f>IFERROR(__xludf.DUMMYFUNCTION("""COMPUTED_VALUE"""),0.0785)</f>
        <v>0.0785</v>
      </c>
      <c r="J2987" s="19">
        <f>IFERROR(__xludf.DUMMYFUNCTION("""COMPUTED_VALUE"""),0.157)</f>
        <v>0.157</v>
      </c>
      <c r="K2987" s="19">
        <f>IFERROR(__xludf.DUMMYFUNCTION("""COMPUTED_VALUE"""),0.1963)</f>
        <v>0.1963</v>
      </c>
      <c r="L2987" s="19">
        <f>IFERROR(__xludf.DUMMYFUNCTION("""COMPUTED_VALUE"""),0.2355)</f>
        <v>0.2355</v>
      </c>
      <c r="M2987" s="18">
        <f>IFERROR(__xludf.DUMMYFUNCTION("""COMPUTED_VALUE"""),3.98)</f>
        <v>3.98</v>
      </c>
    </row>
    <row r="2988">
      <c r="A2988" s="13" t="str">
        <f>IFERROR(__xludf.DUMMYFUNCTION("""COMPUTED_VALUE"""),"товари")</f>
        <v>товари</v>
      </c>
      <c r="B2988" s="16" t="str">
        <f>IFERROR(__xludf.DUMMYFUNCTION("""COMPUTED_VALUE"""),"подарунки, хобі, книги")</f>
        <v>подарунки, хобі, книги</v>
      </c>
      <c r="C2988" s="16" t="str">
        <f>IFERROR(__xludf.DUMMYFUNCTION("""COMPUTED_VALUE"""),"прапори та герби")</f>
        <v>прапори та герби</v>
      </c>
      <c r="D2988" s="16" t="str">
        <f>IFERROR(__xludf.DUMMYFUNCTION("""COMPUTED_VALUE"""),"прапори та герби")</f>
        <v>прапори та герби</v>
      </c>
      <c r="E2988" s="16" t="str">
        <f>IFERROR(__xludf.DUMMYFUNCTION("""COMPUTED_VALUE"""),"прапори та герби")</f>
        <v>прапори та герби</v>
      </c>
      <c r="F2988" s="17">
        <f>IFERROR(__xludf.DUMMYFUNCTION("""COMPUTED_VALUE"""),2.0)</f>
        <v>2</v>
      </c>
      <c r="G2988" s="17" t="str">
        <f>IFERROR(__xludf.DUMMYFUNCTION("""COMPUTED_VALUE"""),"1733")</f>
        <v>1733</v>
      </c>
      <c r="H2988" s="17" t="str">
        <f>IFERROR(__xludf.DUMMYFUNCTION("""COMPUTED_VALUE"""),"прапори та герби")</f>
        <v>прапори та герби</v>
      </c>
      <c r="I2988" s="19">
        <f>IFERROR(__xludf.DUMMYFUNCTION("""COMPUTED_VALUE"""),0.0582)</f>
        <v>0.0582</v>
      </c>
      <c r="J2988" s="19">
        <f>IFERROR(__xludf.DUMMYFUNCTION("""COMPUTED_VALUE"""),0.1164)</f>
        <v>0.1164</v>
      </c>
      <c r="K2988" s="19">
        <f>IFERROR(__xludf.DUMMYFUNCTION("""COMPUTED_VALUE"""),0.1455)</f>
        <v>0.1455</v>
      </c>
      <c r="L2988" s="19">
        <f>IFERROR(__xludf.DUMMYFUNCTION("""COMPUTED_VALUE"""),0.1746)</f>
        <v>0.1746</v>
      </c>
      <c r="M2988" s="18">
        <f>IFERROR(__xludf.DUMMYFUNCTION("""COMPUTED_VALUE"""),1.63)</f>
        <v>1.63</v>
      </c>
    </row>
    <row r="2989">
      <c r="A2989" s="13" t="str">
        <f>IFERROR(__xludf.DUMMYFUNCTION("""COMPUTED_VALUE"""),"товари")</f>
        <v>товари</v>
      </c>
      <c r="B2989" s="16" t="str">
        <f>IFERROR(__xludf.DUMMYFUNCTION("""COMPUTED_VALUE"""),"подарунки, хобі, книги")</f>
        <v>подарунки, хобі, книги</v>
      </c>
      <c r="C2989" s="16" t="str">
        <f>IFERROR(__xludf.DUMMYFUNCTION("""COMPUTED_VALUE"""),"рукоділля")</f>
        <v>рукоділля</v>
      </c>
      <c r="D2989" s="16" t="str">
        <f>IFERROR(__xludf.DUMMYFUNCTION("""COMPUTED_VALUE"""),"шиття")</f>
        <v>шиття</v>
      </c>
      <c r="E2989" s="16" t="str">
        <f>IFERROR(__xludf.DUMMYFUNCTION("""COMPUTED_VALUE"""),"прикладні матеріали для шиття")</f>
        <v>прикладні матеріали для шиття</v>
      </c>
      <c r="F2989" s="17">
        <f>IFERROR(__xludf.DUMMYFUNCTION("""COMPUTED_VALUE"""),4.0)</f>
        <v>4</v>
      </c>
      <c r="G2989" s="17" t="str">
        <f>IFERROR(__xludf.DUMMYFUNCTION("""COMPUTED_VALUE"""),"32821")</f>
        <v>32821</v>
      </c>
      <c r="H2989" s="17" t="str">
        <f>IFERROR(__xludf.DUMMYFUNCTION("""COMPUTED_VALUE"""),"прикладні матеріали для шиття")</f>
        <v>прикладні матеріали для шиття</v>
      </c>
      <c r="I2989" s="19">
        <f>IFERROR(__xludf.DUMMYFUNCTION("""COMPUTED_VALUE"""),0.0794)</f>
        <v>0.0794</v>
      </c>
      <c r="J2989" s="19">
        <f>IFERROR(__xludf.DUMMYFUNCTION("""COMPUTED_VALUE"""),0.1588)</f>
        <v>0.1588</v>
      </c>
      <c r="K2989" s="19">
        <f>IFERROR(__xludf.DUMMYFUNCTION("""COMPUTED_VALUE"""),0.1985)</f>
        <v>0.1985</v>
      </c>
      <c r="L2989" s="19">
        <f>IFERROR(__xludf.DUMMYFUNCTION("""COMPUTED_VALUE"""),0.2382)</f>
        <v>0.2382</v>
      </c>
      <c r="M2989" s="18">
        <f>IFERROR(__xludf.DUMMYFUNCTION("""COMPUTED_VALUE"""),2.34)</f>
        <v>2.34</v>
      </c>
    </row>
    <row r="2990">
      <c r="A2990" s="13" t="str">
        <f>IFERROR(__xludf.DUMMYFUNCTION("""COMPUTED_VALUE"""),"товари")</f>
        <v>товари</v>
      </c>
      <c r="B2990" s="16" t="str">
        <f>IFERROR(__xludf.DUMMYFUNCTION("""COMPUTED_VALUE"""),"подарунки, хобі, книги")</f>
        <v>подарунки, хобі, книги</v>
      </c>
      <c r="C2990" s="16" t="str">
        <f>IFERROR(__xludf.DUMMYFUNCTION("""COMPUTED_VALUE"""),"cвяткові прикраси")</f>
        <v>cвяткові прикраси</v>
      </c>
      <c r="D2990" s="16" t="str">
        <f>IFERROR(__xludf.DUMMYFUNCTION("""COMPUTED_VALUE"""),"прикраси для виписки з пологового будинку")</f>
        <v>прикраси для виписки з пологового будинку</v>
      </c>
      <c r="E2990" s="16" t="str">
        <f>IFERROR(__xludf.DUMMYFUNCTION("""COMPUTED_VALUE"""),"прикраси для виписки з пологового будинку")</f>
        <v>прикраси для виписки з пологового будинку</v>
      </c>
      <c r="F2990" s="17">
        <f>IFERROR(__xludf.DUMMYFUNCTION("""COMPUTED_VALUE"""),3.0)</f>
        <v>3</v>
      </c>
      <c r="G2990" s="17" t="str">
        <f>IFERROR(__xludf.DUMMYFUNCTION("""COMPUTED_VALUE"""),"175505")</f>
        <v>175505</v>
      </c>
      <c r="H2990" s="17" t="str">
        <f>IFERROR(__xludf.DUMMYFUNCTION("""COMPUTED_VALUE"""),"прикраси для виписки з пологового будинку")</f>
        <v>прикраси для виписки з пологового будинку</v>
      </c>
      <c r="I2990" s="19">
        <f>IFERROR(__xludf.DUMMYFUNCTION("""COMPUTED_VALUE"""),0.1183)</f>
        <v>0.1183</v>
      </c>
      <c r="J2990" s="19">
        <f>IFERROR(__xludf.DUMMYFUNCTION("""COMPUTED_VALUE"""),0.2365)</f>
        <v>0.2365</v>
      </c>
      <c r="K2990" s="19">
        <f>IFERROR(__xludf.DUMMYFUNCTION("""COMPUTED_VALUE"""),0.2956)</f>
        <v>0.2956</v>
      </c>
      <c r="L2990" s="19">
        <f>IFERROR(__xludf.DUMMYFUNCTION("""COMPUTED_VALUE"""),0.3548)</f>
        <v>0.3548</v>
      </c>
      <c r="M2990" s="18">
        <f>IFERROR(__xludf.DUMMYFUNCTION("""COMPUTED_VALUE"""),1.05)</f>
        <v>1.05</v>
      </c>
    </row>
    <row r="2991">
      <c r="A2991" s="13" t="str">
        <f>IFERROR(__xludf.DUMMYFUNCTION("""COMPUTED_VALUE"""),"товари")</f>
        <v>товари</v>
      </c>
      <c r="B2991" s="16" t="str">
        <f>IFERROR(__xludf.DUMMYFUNCTION("""COMPUTED_VALUE"""),"подарунки, хобі, книги")</f>
        <v>подарунки, хобі, книги</v>
      </c>
      <c r="C2991" s="16" t="str">
        <f>IFERROR(__xludf.DUMMYFUNCTION("""COMPUTED_VALUE"""),"рукоділля")</f>
        <v>рукоділля</v>
      </c>
      <c r="D2991" s="16" t="str">
        <f>IFERROR(__xludf.DUMMYFUNCTION("""COMPUTED_VALUE"""),"скрапбукінг, квіллінг і декупаж")</f>
        <v>скрапбукінг, квіллінг і декупаж</v>
      </c>
      <c r="E2991" s="16" t="str">
        <f>IFERROR(__xludf.DUMMYFUNCTION("""COMPUTED_VALUE"""),"приладдя для декупажу, патинування та кракелюру")</f>
        <v>приладдя для декупажу, патинування та кракелюру</v>
      </c>
      <c r="F2991" s="17">
        <f>IFERROR(__xludf.DUMMYFUNCTION("""COMPUTED_VALUE"""),4.0)</f>
        <v>4</v>
      </c>
      <c r="G2991" s="17" t="str">
        <f>IFERROR(__xludf.DUMMYFUNCTION("""COMPUTED_VALUE"""),"152511")</f>
        <v>152511</v>
      </c>
      <c r="H2991" s="17" t="str">
        <f>IFERROR(__xludf.DUMMYFUNCTION("""COMPUTED_VALUE"""),"приладдя для декупажу, патинування та кракелюру")</f>
        <v>приладдя для декупажу, патинування та кракелюру</v>
      </c>
      <c r="I2991" s="19">
        <f>IFERROR(__xludf.DUMMYFUNCTION("""COMPUTED_VALUE"""),0.1005)</f>
        <v>0.1005</v>
      </c>
      <c r="J2991" s="19">
        <f>IFERROR(__xludf.DUMMYFUNCTION("""COMPUTED_VALUE"""),0.201)</f>
        <v>0.201</v>
      </c>
      <c r="K2991" s="19">
        <f>IFERROR(__xludf.DUMMYFUNCTION("""COMPUTED_VALUE"""),0.2513)</f>
        <v>0.2513</v>
      </c>
      <c r="L2991" s="19">
        <f>IFERROR(__xludf.DUMMYFUNCTION("""COMPUTED_VALUE"""),0.3015)</f>
        <v>0.3015</v>
      </c>
      <c r="M2991" s="18">
        <f>IFERROR(__xludf.DUMMYFUNCTION("""COMPUTED_VALUE"""),1.26)</f>
        <v>1.26</v>
      </c>
    </row>
    <row r="2992">
      <c r="A2992" s="13" t="str">
        <f>IFERROR(__xludf.DUMMYFUNCTION("""COMPUTED_VALUE"""),"товари")</f>
        <v>товари</v>
      </c>
      <c r="B2992" s="16" t="str">
        <f>IFERROR(__xludf.DUMMYFUNCTION("""COMPUTED_VALUE"""),"подарунки, хобі, книги")</f>
        <v>подарунки, хобі, книги</v>
      </c>
      <c r="C2992" s="16" t="str">
        <f>IFERROR(__xludf.DUMMYFUNCTION("""COMPUTED_VALUE"""),"книги, журнали, друкована продукція")</f>
        <v>книги, журнали, друкована продукція</v>
      </c>
      <c r="D2992" s="16" t="str">
        <f>IFERROR(__xludf.DUMMYFUNCTION("""COMPUTED_VALUE"""),"приладдя для книг")</f>
        <v>приладдя для книг</v>
      </c>
      <c r="E2992" s="16" t="str">
        <f>IFERROR(__xludf.DUMMYFUNCTION("""COMPUTED_VALUE"""),"приладдя для книг, загальне")</f>
        <v>приладдя для книг, загальне</v>
      </c>
      <c r="F2992" s="17">
        <f>IFERROR(__xludf.DUMMYFUNCTION("""COMPUTED_VALUE"""),4.0)</f>
        <v>4</v>
      </c>
      <c r="G2992" s="17" t="str">
        <f>IFERROR(__xludf.DUMMYFUNCTION("""COMPUTED_VALUE"""),"350601")</f>
        <v>350601</v>
      </c>
      <c r="H2992" s="17" t="str">
        <f>IFERROR(__xludf.DUMMYFUNCTION("""COMPUTED_VALUE"""),"приладдя для книг, загальне")</f>
        <v>приладдя для книг, загальне</v>
      </c>
      <c r="I2992" s="19">
        <f>IFERROR(__xludf.DUMMYFUNCTION("""COMPUTED_VALUE"""),0.125)</f>
        <v>0.125</v>
      </c>
      <c r="J2992" s="19">
        <f>IFERROR(__xludf.DUMMYFUNCTION("""COMPUTED_VALUE"""),0.25)</f>
        <v>0.25</v>
      </c>
      <c r="K2992" s="19">
        <f>IFERROR(__xludf.DUMMYFUNCTION("""COMPUTED_VALUE"""),0.3125)</f>
        <v>0.3125</v>
      </c>
      <c r="L2992" s="19">
        <f>IFERROR(__xludf.DUMMYFUNCTION("""COMPUTED_VALUE"""),0.375)</f>
        <v>0.375</v>
      </c>
      <c r="M2992" s="18">
        <f>IFERROR(__xludf.DUMMYFUNCTION("""COMPUTED_VALUE"""),4.33)</f>
        <v>4.33</v>
      </c>
    </row>
    <row r="2993">
      <c r="A2993" s="13" t="str">
        <f>IFERROR(__xludf.DUMMYFUNCTION("""COMPUTED_VALUE"""),"товари")</f>
        <v>товари</v>
      </c>
      <c r="B2993" s="16" t="str">
        <f>IFERROR(__xludf.DUMMYFUNCTION("""COMPUTED_VALUE"""),"подарунки, хобі, книги")</f>
        <v>подарунки, хобі, книги</v>
      </c>
      <c r="C2993" s="16" t="str">
        <f>IFERROR(__xludf.DUMMYFUNCTION("""COMPUTED_VALUE"""),"рукоділля")</f>
        <v>рукоділля</v>
      </c>
      <c r="D2993" s="16" t="str">
        <f>IFERROR(__xludf.DUMMYFUNCTION("""COMPUTED_VALUE"""),"скрапбукінг, квіллінг і декупаж")</f>
        <v>скрапбукінг, квіллінг і декупаж</v>
      </c>
      <c r="E2993" s="16" t="str">
        <f>IFERROR(__xludf.DUMMYFUNCTION("""COMPUTED_VALUE"""),"приладдя для скрапбукінгу")</f>
        <v>приладдя для скрапбукінгу</v>
      </c>
      <c r="F2993" s="17">
        <f>IFERROR(__xludf.DUMMYFUNCTION("""COMPUTED_VALUE"""),4.0)</f>
        <v>4</v>
      </c>
      <c r="G2993" s="17" t="str">
        <f>IFERROR(__xludf.DUMMYFUNCTION("""COMPUTED_VALUE"""),"152513")</f>
        <v>152513</v>
      </c>
      <c r="H2993" s="17" t="str">
        <f>IFERROR(__xludf.DUMMYFUNCTION("""COMPUTED_VALUE"""),"приладдя для скрапбукінгу")</f>
        <v>приладдя для скрапбукінгу</v>
      </c>
      <c r="I2993" s="19">
        <f>IFERROR(__xludf.DUMMYFUNCTION("""COMPUTED_VALUE"""),0.0973)</f>
        <v>0.0973</v>
      </c>
      <c r="J2993" s="19">
        <f>IFERROR(__xludf.DUMMYFUNCTION("""COMPUTED_VALUE"""),0.1945)</f>
        <v>0.1945</v>
      </c>
      <c r="K2993" s="19">
        <f>IFERROR(__xludf.DUMMYFUNCTION("""COMPUTED_VALUE"""),0.2431)</f>
        <v>0.2431</v>
      </c>
      <c r="L2993" s="19">
        <f>IFERROR(__xludf.DUMMYFUNCTION("""COMPUTED_VALUE"""),0.2918)</f>
        <v>0.2918</v>
      </c>
      <c r="M2993" s="18">
        <f>IFERROR(__xludf.DUMMYFUNCTION("""COMPUTED_VALUE"""),1.26)</f>
        <v>1.26</v>
      </c>
    </row>
    <row r="2994">
      <c r="A2994" s="13" t="str">
        <f>IFERROR(__xludf.DUMMYFUNCTION("""COMPUTED_VALUE"""),"товари")</f>
        <v>товари</v>
      </c>
      <c r="B2994" s="16" t="str">
        <f>IFERROR(__xludf.DUMMYFUNCTION("""COMPUTED_VALUE"""),"подарунки, хобі, книги")</f>
        <v>подарунки, хобі, книги</v>
      </c>
      <c r="C2994" s="16" t="str">
        <f>IFERROR(__xludf.DUMMYFUNCTION("""COMPUTED_VALUE"""),"рукоділля")</f>
        <v>рукоділля</v>
      </c>
      <c r="D2994" s="16" t="str">
        <f>IFERROR(__xludf.DUMMYFUNCTION("""COMPUTED_VALUE"""),"малювання і аплікація")</f>
        <v>малювання і аплікація</v>
      </c>
      <c r="E2994" s="16" t="str">
        <f>IFERROR(__xludf.DUMMYFUNCTION("""COMPUTED_VALUE"""),"приладдя для художньої графіки")</f>
        <v>приладдя для художньої графіки</v>
      </c>
      <c r="F2994" s="17">
        <f>IFERROR(__xludf.DUMMYFUNCTION("""COMPUTED_VALUE"""),4.0)</f>
        <v>4</v>
      </c>
      <c r="G2994" s="17" t="str">
        <f>IFERROR(__xludf.DUMMYFUNCTION("""COMPUTED_VALUE"""),"211125")</f>
        <v>211125</v>
      </c>
      <c r="H2994" s="17" t="str">
        <f>IFERROR(__xludf.DUMMYFUNCTION("""COMPUTED_VALUE"""),"приладдя для художньої графіки")</f>
        <v>приладдя для художньої графіки</v>
      </c>
      <c r="I2994" s="19">
        <f>IFERROR(__xludf.DUMMYFUNCTION("""COMPUTED_VALUE"""),0.0772)</f>
        <v>0.0772</v>
      </c>
      <c r="J2994" s="19">
        <f>IFERROR(__xludf.DUMMYFUNCTION("""COMPUTED_VALUE"""),0.1544)</f>
        <v>0.1544</v>
      </c>
      <c r="K2994" s="19">
        <f>IFERROR(__xludf.DUMMYFUNCTION("""COMPUTED_VALUE"""),0.193)</f>
        <v>0.193</v>
      </c>
      <c r="L2994" s="19">
        <f>IFERROR(__xludf.DUMMYFUNCTION("""COMPUTED_VALUE"""),0.2316)</f>
        <v>0.2316</v>
      </c>
      <c r="M2994" s="18">
        <f>IFERROR(__xludf.DUMMYFUNCTION("""COMPUTED_VALUE"""),3.98)</f>
        <v>3.98</v>
      </c>
    </row>
    <row r="2995">
      <c r="A2995" s="13" t="str">
        <f>IFERROR(__xludf.DUMMYFUNCTION("""COMPUTED_VALUE"""),"товари")</f>
        <v>товари</v>
      </c>
      <c r="B2995" s="16" t="str">
        <f>IFERROR(__xludf.DUMMYFUNCTION("""COMPUTED_VALUE"""),"подарунки, хобі, книги")</f>
        <v>подарунки, хобі, книги</v>
      </c>
      <c r="C2995" s="16" t="str">
        <f>IFERROR(__xludf.DUMMYFUNCTION("""COMPUTED_VALUE"""),"рукоділля")</f>
        <v>рукоділля</v>
      </c>
      <c r="D2995" s="16" t="str">
        <f>IFERROR(__xludf.DUMMYFUNCTION("""COMPUTED_VALUE"""),"в'язання та валяння")</f>
        <v>в'язання та валяння</v>
      </c>
      <c r="E2995" s="16" t="str">
        <f>IFERROR(__xludf.DUMMYFUNCTION("""COMPUTED_VALUE"""),"пряжа")</f>
        <v>пряжа</v>
      </c>
      <c r="F2995" s="17">
        <f>IFERROR(__xludf.DUMMYFUNCTION("""COMPUTED_VALUE"""),4.0)</f>
        <v>4</v>
      </c>
      <c r="G2995" s="17" t="str">
        <f>IFERROR(__xludf.DUMMYFUNCTION("""COMPUTED_VALUE"""),"408")</f>
        <v>408</v>
      </c>
      <c r="H2995" s="17" t="str">
        <f>IFERROR(__xludf.DUMMYFUNCTION("""COMPUTED_VALUE"""),"пряжа")</f>
        <v>пряжа</v>
      </c>
      <c r="I2995" s="19">
        <f>IFERROR(__xludf.DUMMYFUNCTION("""COMPUTED_VALUE"""),0.0786)</f>
        <v>0.0786</v>
      </c>
      <c r="J2995" s="19">
        <f>IFERROR(__xludf.DUMMYFUNCTION("""COMPUTED_VALUE"""),0.1571)</f>
        <v>0.1571</v>
      </c>
      <c r="K2995" s="19">
        <f>IFERROR(__xludf.DUMMYFUNCTION("""COMPUTED_VALUE"""),0.1964)</f>
        <v>0.1964</v>
      </c>
      <c r="L2995" s="19">
        <f>IFERROR(__xludf.DUMMYFUNCTION("""COMPUTED_VALUE"""),0.2357)</f>
        <v>0.2357</v>
      </c>
      <c r="M2995" s="18">
        <f>IFERROR(__xludf.DUMMYFUNCTION("""COMPUTED_VALUE"""),1.05)</f>
        <v>1.05</v>
      </c>
    </row>
    <row r="2996">
      <c r="A2996" s="13" t="str">
        <f>IFERROR(__xludf.DUMMYFUNCTION("""COMPUTED_VALUE"""),"товари")</f>
        <v>товари</v>
      </c>
      <c r="B2996" s="16" t="str">
        <f>IFERROR(__xludf.DUMMYFUNCTION("""COMPUTED_VALUE"""),"подарунки, хобі, книги")</f>
        <v>подарунки, хобі, книги</v>
      </c>
      <c r="C2996" s="16" t="str">
        <f>IFERROR(__xludf.DUMMYFUNCTION("""COMPUTED_VALUE"""),"музичні інструменти")</f>
        <v>музичні інструменти</v>
      </c>
      <c r="D2996" s="16" t="str">
        <f>IFERROR(__xludf.DUMMYFUNCTION("""COMPUTED_VALUE"""),"смичкові інструменти та аксесуари")</f>
        <v>смичкові інструменти та аксесуари</v>
      </c>
      <c r="E2996" s="16" t="str">
        <f>IFERROR(__xludf.DUMMYFUNCTION("""COMPUTED_VALUE"""),"пюпітри для нот")</f>
        <v>пюпітри для нот</v>
      </c>
      <c r="F2996" s="17">
        <f>IFERROR(__xludf.DUMMYFUNCTION("""COMPUTED_VALUE"""),4.0)</f>
        <v>4</v>
      </c>
      <c r="G2996" s="17" t="str">
        <f>IFERROR(__xludf.DUMMYFUNCTION("""COMPUTED_VALUE"""),"180522")</f>
        <v>180522</v>
      </c>
      <c r="H2996" s="17" t="str">
        <f>IFERROR(__xludf.DUMMYFUNCTION("""COMPUTED_VALUE"""),"пюпітри для нот")</f>
        <v>пюпітри для нот</v>
      </c>
      <c r="I2996" s="19">
        <f>IFERROR(__xludf.DUMMYFUNCTION("""COMPUTED_VALUE"""),0.0724)</f>
        <v>0.0724</v>
      </c>
      <c r="J2996" s="19">
        <f>IFERROR(__xludf.DUMMYFUNCTION("""COMPUTED_VALUE"""),0.1447)</f>
        <v>0.1447</v>
      </c>
      <c r="K2996" s="19">
        <f>IFERROR(__xludf.DUMMYFUNCTION("""COMPUTED_VALUE"""),0.1809)</f>
        <v>0.1809</v>
      </c>
      <c r="L2996" s="19">
        <f>IFERROR(__xludf.DUMMYFUNCTION("""COMPUTED_VALUE"""),0.2171)</f>
        <v>0.2171</v>
      </c>
      <c r="M2996" s="18">
        <f>IFERROR(__xludf.DUMMYFUNCTION("""COMPUTED_VALUE"""),2.08)</f>
        <v>2.08</v>
      </c>
    </row>
    <row r="2997">
      <c r="A2997" s="13" t="str">
        <f>IFERROR(__xludf.DUMMYFUNCTION("""COMPUTED_VALUE"""),"товари")</f>
        <v>товари</v>
      </c>
      <c r="B2997" s="16" t="str">
        <f>IFERROR(__xludf.DUMMYFUNCTION("""COMPUTED_VALUE"""),"подарунки, хобі, книги")</f>
        <v>подарунки, хобі, книги</v>
      </c>
      <c r="C2997" s="16" t="str">
        <f>IFERROR(__xludf.DUMMYFUNCTION("""COMPUTED_VALUE"""),"рукоділля")</f>
        <v>рукоділля</v>
      </c>
      <c r="D2997" s="16" t="str">
        <f>IFERROR(__xludf.DUMMYFUNCTION("""COMPUTED_VALUE"""),"вишивка та бісероплетіння")</f>
        <v>вишивка та бісероплетіння</v>
      </c>
      <c r="E2997" s="16" t="str">
        <f>IFERROR(__xludf.DUMMYFUNCTION("""COMPUTED_VALUE"""),"пяльці для вишивання")</f>
        <v>пяльці для вишивання</v>
      </c>
      <c r="F2997" s="17">
        <f>IFERROR(__xludf.DUMMYFUNCTION("""COMPUTED_VALUE"""),4.0)</f>
        <v>4</v>
      </c>
      <c r="G2997" s="17" t="str">
        <f>IFERROR(__xludf.DUMMYFUNCTION("""COMPUTED_VALUE"""),"15251002")</f>
        <v>15251002</v>
      </c>
      <c r="H2997" s="17" t="str">
        <f>IFERROR(__xludf.DUMMYFUNCTION("""COMPUTED_VALUE"""),"пяльці для вишивання")</f>
        <v>пяльці для вишивання</v>
      </c>
      <c r="I2997" s="19">
        <f>IFERROR(__xludf.DUMMYFUNCTION("""COMPUTED_VALUE"""),0.0774)</f>
        <v>0.0774</v>
      </c>
      <c r="J2997" s="19">
        <f>IFERROR(__xludf.DUMMYFUNCTION("""COMPUTED_VALUE"""),0.1547)</f>
        <v>0.1547</v>
      </c>
      <c r="K2997" s="19">
        <f>IFERROR(__xludf.DUMMYFUNCTION("""COMPUTED_VALUE"""),0.1934)</f>
        <v>0.1934</v>
      </c>
      <c r="L2997" s="19">
        <f>IFERROR(__xludf.DUMMYFUNCTION("""COMPUTED_VALUE"""),0.2321)</f>
        <v>0.2321</v>
      </c>
      <c r="M2997" s="18">
        <f>IFERROR(__xludf.DUMMYFUNCTION("""COMPUTED_VALUE"""),1.05)</f>
        <v>1.05</v>
      </c>
    </row>
    <row r="2998">
      <c r="A2998" s="13" t="str">
        <f>IFERROR(__xludf.DUMMYFUNCTION("""COMPUTED_VALUE"""),"товари")</f>
        <v>товари</v>
      </c>
      <c r="B2998" s="16" t="str">
        <f>IFERROR(__xludf.DUMMYFUNCTION("""COMPUTED_VALUE"""),"подарунки, хобі, книги")</f>
        <v>подарунки, хобі, книги</v>
      </c>
      <c r="C2998" s="16" t="str">
        <f>IFERROR(__xludf.DUMMYFUNCTION("""COMPUTED_VALUE"""),"книги, журнали, друкована продукція")</f>
        <v>книги, журнали, друкована продукція</v>
      </c>
      <c r="D2998" s="16" t="str">
        <f>IFERROR(__xludf.DUMMYFUNCTION("""COMPUTED_VALUE"""),"книги")</f>
        <v>книги</v>
      </c>
      <c r="E2998" s="16" t="str">
        <f>IFERROR(__xludf.DUMMYFUNCTION("""COMPUTED_VALUE"""),"релігійна, езотерична література")</f>
        <v>релігійна, езотерична література</v>
      </c>
      <c r="F2998" s="17">
        <f>IFERROR(__xludf.DUMMYFUNCTION("""COMPUTED_VALUE"""),4.0)</f>
        <v>4</v>
      </c>
      <c r="G2998" s="17" t="str">
        <f>IFERROR(__xludf.DUMMYFUNCTION("""COMPUTED_VALUE"""),"220241")</f>
        <v>220241</v>
      </c>
      <c r="H2998" s="17" t="str">
        <f>IFERROR(__xludf.DUMMYFUNCTION("""COMPUTED_VALUE"""),"релігійна, езотерична література")</f>
        <v>релігійна, езотерична література</v>
      </c>
      <c r="I2998" s="19">
        <f>IFERROR(__xludf.DUMMYFUNCTION("""COMPUTED_VALUE"""),0.0763)</f>
        <v>0.0763</v>
      </c>
      <c r="J2998" s="19">
        <f>IFERROR(__xludf.DUMMYFUNCTION("""COMPUTED_VALUE"""),0.1526)</f>
        <v>0.1526</v>
      </c>
      <c r="K2998" s="19">
        <f>IFERROR(__xludf.DUMMYFUNCTION("""COMPUTED_VALUE"""),0.1908)</f>
        <v>0.1908</v>
      </c>
      <c r="L2998" s="19">
        <f>IFERROR(__xludf.DUMMYFUNCTION("""COMPUTED_VALUE"""),0.2289)</f>
        <v>0.2289</v>
      </c>
      <c r="M2998" s="18">
        <f>IFERROR(__xludf.DUMMYFUNCTION("""COMPUTED_VALUE"""),2.53)</f>
        <v>2.53</v>
      </c>
    </row>
    <row r="2999">
      <c r="A2999" s="13" t="str">
        <f>IFERROR(__xludf.DUMMYFUNCTION("""COMPUTED_VALUE"""),"товари")</f>
        <v>товари</v>
      </c>
      <c r="B2999" s="16" t="str">
        <f>IFERROR(__xludf.DUMMYFUNCTION("""COMPUTED_VALUE"""),"подарунки, хобі, книги")</f>
        <v>подарунки, хобі, книги</v>
      </c>
      <c r="C2999" s="16" t="str">
        <f>IFERROR(__xludf.DUMMYFUNCTION("""COMPUTED_VALUE"""),"рукоділля")</f>
        <v>рукоділля</v>
      </c>
      <c r="D2999" s="16" t="str">
        <f>IFERROR(__xludf.DUMMYFUNCTION("""COMPUTED_VALUE"""),"рукоділля, загальне")</f>
        <v>рукоділля, загальне</v>
      </c>
      <c r="E2999" s="16" t="str">
        <f>IFERROR(__xludf.DUMMYFUNCTION("""COMPUTED_VALUE"""),"рукоділля, загальне")</f>
        <v>рукоділля, загальне</v>
      </c>
      <c r="F2999" s="17">
        <f>IFERROR(__xludf.DUMMYFUNCTION("""COMPUTED_VALUE"""),3.0)</f>
        <v>3</v>
      </c>
      <c r="G2999" s="17" t="str">
        <f>IFERROR(__xludf.DUMMYFUNCTION("""COMPUTED_VALUE"""),"152506")</f>
        <v>152506</v>
      </c>
      <c r="H2999" s="17" t="str">
        <f>IFERROR(__xludf.DUMMYFUNCTION("""COMPUTED_VALUE"""),"рукоділля, загальне")</f>
        <v>рукоділля, загальне</v>
      </c>
      <c r="I2999" s="19">
        <f>IFERROR(__xludf.DUMMYFUNCTION("""COMPUTED_VALUE"""),0.125)</f>
        <v>0.125</v>
      </c>
      <c r="J2999" s="19">
        <f>IFERROR(__xludf.DUMMYFUNCTION("""COMPUTED_VALUE"""),0.25)</f>
        <v>0.25</v>
      </c>
      <c r="K2999" s="19">
        <f>IFERROR(__xludf.DUMMYFUNCTION("""COMPUTED_VALUE"""),0.3125)</f>
        <v>0.3125</v>
      </c>
      <c r="L2999" s="19">
        <f>IFERROR(__xludf.DUMMYFUNCTION("""COMPUTED_VALUE"""),0.375)</f>
        <v>0.375</v>
      </c>
      <c r="M2999" s="18">
        <f>IFERROR(__xludf.DUMMYFUNCTION("""COMPUTED_VALUE"""),4.33)</f>
        <v>4.33</v>
      </c>
    </row>
    <row r="3000">
      <c r="A3000" s="13" t="str">
        <f>IFERROR(__xludf.DUMMYFUNCTION("""COMPUTED_VALUE"""),"товари")</f>
        <v>товари</v>
      </c>
      <c r="B3000" s="16" t="str">
        <f>IFERROR(__xludf.DUMMYFUNCTION("""COMPUTED_VALUE"""),"подарунки, хобі, книги")</f>
        <v>подарунки, хобі, книги</v>
      </c>
      <c r="C3000" s="16" t="str">
        <f>IFERROR(__xludf.DUMMYFUNCTION("""COMPUTED_VALUE"""),"cвяткові прикраси")</f>
        <v>cвяткові прикраси</v>
      </c>
      <c r="D3000" s="16" t="str">
        <f>IFERROR(__xludf.DUMMYFUNCTION("""COMPUTED_VALUE"""),"свічки для торта")</f>
        <v>свічки для торта</v>
      </c>
      <c r="E3000" s="16" t="str">
        <f>IFERROR(__xludf.DUMMYFUNCTION("""COMPUTED_VALUE"""),"свічки для торта")</f>
        <v>свічки для торта</v>
      </c>
      <c r="F3000" s="17">
        <f>IFERROR(__xludf.DUMMYFUNCTION("""COMPUTED_VALUE"""),3.0)</f>
        <v>3</v>
      </c>
      <c r="G3000" s="17" t="str">
        <f>IFERROR(__xludf.DUMMYFUNCTION("""COMPUTED_VALUE"""),"175510")</f>
        <v>175510</v>
      </c>
      <c r="H3000" s="17" t="str">
        <f>IFERROR(__xludf.DUMMYFUNCTION("""COMPUTED_VALUE"""),"свічки для торта")</f>
        <v>свічки для торта</v>
      </c>
      <c r="I3000" s="19">
        <f>IFERROR(__xludf.DUMMYFUNCTION("""COMPUTED_VALUE"""),0.0745)</f>
        <v>0.0745</v>
      </c>
      <c r="J3000" s="19">
        <f>IFERROR(__xludf.DUMMYFUNCTION("""COMPUTED_VALUE"""),0.1489)</f>
        <v>0.1489</v>
      </c>
      <c r="K3000" s="19">
        <f>IFERROR(__xludf.DUMMYFUNCTION("""COMPUTED_VALUE"""),0.1861)</f>
        <v>0.1861</v>
      </c>
      <c r="L3000" s="19">
        <f>IFERROR(__xludf.DUMMYFUNCTION("""COMPUTED_VALUE"""),0.2234)</f>
        <v>0.2234</v>
      </c>
      <c r="M3000" s="18">
        <f>IFERROR(__xludf.DUMMYFUNCTION("""COMPUTED_VALUE"""),1.63)</f>
        <v>1.63</v>
      </c>
    </row>
    <row r="3001">
      <c r="A3001" s="13" t="str">
        <f>IFERROR(__xludf.DUMMYFUNCTION("""COMPUTED_VALUE"""),"товари")</f>
        <v>товари</v>
      </c>
      <c r="B3001" s="16" t="str">
        <f>IFERROR(__xludf.DUMMYFUNCTION("""COMPUTED_VALUE"""),"подарунки, хобі, книги")</f>
        <v>подарунки, хобі, книги</v>
      </c>
      <c r="C3001" s="16" t="str">
        <f>IFERROR(__xludf.DUMMYFUNCTION("""COMPUTED_VALUE"""),"cвяткові прикраси")</f>
        <v>cвяткові прикраси</v>
      </c>
      <c r="D3001" s="16" t="str">
        <f>IFERROR(__xludf.DUMMYFUNCTION("""COMPUTED_VALUE"""),"святкові прикраси та феєрверки, загальне")</f>
        <v>святкові прикраси та феєрверки, загальне</v>
      </c>
      <c r="E3001" s="16" t="str">
        <f>IFERROR(__xludf.DUMMYFUNCTION("""COMPUTED_VALUE"""),"святкові прикраси та феєрверки, загальне")</f>
        <v>святкові прикраси та феєрверки, загальне</v>
      </c>
      <c r="F3001" s="17">
        <f>IFERROR(__xludf.DUMMYFUNCTION("""COMPUTED_VALUE"""),3.0)</f>
        <v>3</v>
      </c>
      <c r="G3001" s="17" t="str">
        <f>IFERROR(__xludf.DUMMYFUNCTION("""COMPUTED_VALUE"""),"1702")</f>
        <v>1702</v>
      </c>
      <c r="H3001" s="17" t="str">
        <f>IFERROR(__xludf.DUMMYFUNCTION("""COMPUTED_VALUE"""),"святкові прикраси та феєрверки, загальне")</f>
        <v>святкові прикраси та феєрверки, загальне</v>
      </c>
      <c r="I3001" s="19">
        <f>IFERROR(__xludf.DUMMYFUNCTION("""COMPUTED_VALUE"""),0.125)</f>
        <v>0.125</v>
      </c>
      <c r="J3001" s="19">
        <f>IFERROR(__xludf.DUMMYFUNCTION("""COMPUTED_VALUE"""),0.25)</f>
        <v>0.25</v>
      </c>
      <c r="K3001" s="19">
        <f>IFERROR(__xludf.DUMMYFUNCTION("""COMPUTED_VALUE"""),0.3125)</f>
        <v>0.3125</v>
      </c>
      <c r="L3001" s="19">
        <f>IFERROR(__xludf.DUMMYFUNCTION("""COMPUTED_VALUE"""),0.375)</f>
        <v>0.375</v>
      </c>
      <c r="M3001" s="18">
        <f>IFERROR(__xludf.DUMMYFUNCTION("""COMPUTED_VALUE"""),4.33)</f>
        <v>4.33</v>
      </c>
    </row>
    <row r="3002">
      <c r="A3002" s="13" t="str">
        <f>IFERROR(__xludf.DUMMYFUNCTION("""COMPUTED_VALUE"""),"товари")</f>
        <v>товари</v>
      </c>
      <c r="B3002" s="16" t="str">
        <f>IFERROR(__xludf.DUMMYFUNCTION("""COMPUTED_VALUE"""),"подарунки, хобі, книги")</f>
        <v>подарунки, хобі, книги</v>
      </c>
      <c r="C3002" s="16" t="str">
        <f>IFERROR(__xludf.DUMMYFUNCTION("""COMPUTED_VALUE"""),"cвяткові прикраси")</f>
        <v>cвяткові прикраси</v>
      </c>
      <c r="D3002" s="16" t="str">
        <f>IFERROR(__xludf.DUMMYFUNCTION("""COMPUTED_VALUE"""),"серпантин і конфеті")</f>
        <v>серпантин і конфеті</v>
      </c>
      <c r="E3002" s="16" t="str">
        <f>IFERROR(__xludf.DUMMYFUNCTION("""COMPUTED_VALUE"""),"серпантин і конфеті")</f>
        <v>серпантин і конфеті</v>
      </c>
      <c r="F3002" s="17">
        <f>IFERROR(__xludf.DUMMYFUNCTION("""COMPUTED_VALUE"""),3.0)</f>
        <v>3</v>
      </c>
      <c r="G3002" s="17" t="str">
        <f>IFERROR(__xludf.DUMMYFUNCTION("""COMPUTED_VALUE"""),"175501")</f>
        <v>175501</v>
      </c>
      <c r="H3002" s="17" t="str">
        <f>IFERROR(__xludf.DUMMYFUNCTION("""COMPUTED_VALUE"""),"серпантин і конфеті")</f>
        <v>серпантин і конфеті</v>
      </c>
      <c r="I3002" s="19">
        <f>IFERROR(__xludf.DUMMYFUNCTION("""COMPUTED_VALUE"""),0.1143)</f>
        <v>0.1143</v>
      </c>
      <c r="J3002" s="19">
        <f>IFERROR(__xludf.DUMMYFUNCTION("""COMPUTED_VALUE"""),0.2285)</f>
        <v>0.2285</v>
      </c>
      <c r="K3002" s="19">
        <f>IFERROR(__xludf.DUMMYFUNCTION("""COMPUTED_VALUE"""),0.2856)</f>
        <v>0.2856</v>
      </c>
      <c r="L3002" s="19">
        <f>IFERROR(__xludf.DUMMYFUNCTION("""COMPUTED_VALUE"""),0.3428)</f>
        <v>0.3428</v>
      </c>
      <c r="M3002" s="18">
        <f>IFERROR(__xludf.DUMMYFUNCTION("""COMPUTED_VALUE"""),2.08)</f>
        <v>2.08</v>
      </c>
    </row>
    <row r="3003">
      <c r="A3003" s="13" t="str">
        <f>IFERROR(__xludf.DUMMYFUNCTION("""COMPUTED_VALUE"""),"товари")</f>
        <v>товари</v>
      </c>
      <c r="B3003" s="16" t="str">
        <f>IFERROR(__xludf.DUMMYFUNCTION("""COMPUTED_VALUE"""),"подарунки, хобі, книги")</f>
        <v>подарунки, хобі, книги</v>
      </c>
      <c r="C3003" s="16" t="str">
        <f>IFERROR(__xludf.DUMMYFUNCTION("""COMPUTED_VALUE"""),"подарунки і сувеніри")</f>
        <v>подарунки і сувеніри</v>
      </c>
      <c r="D3003" s="16" t="str">
        <f>IFERROR(__xludf.DUMMYFUNCTION("""COMPUTED_VALUE"""),"скарбнички")</f>
        <v>скарбнички</v>
      </c>
      <c r="E3003" s="16" t="str">
        <f>IFERROR(__xludf.DUMMYFUNCTION("""COMPUTED_VALUE"""),"скарбнички")</f>
        <v>скарбнички</v>
      </c>
      <c r="F3003" s="17">
        <f>IFERROR(__xludf.DUMMYFUNCTION("""COMPUTED_VALUE"""),3.0)</f>
        <v>3</v>
      </c>
      <c r="G3003" s="17" t="str">
        <f>IFERROR(__xludf.DUMMYFUNCTION("""COMPUTED_VALUE"""),"1736")</f>
        <v>1736</v>
      </c>
      <c r="H3003" s="17" t="str">
        <f>IFERROR(__xludf.DUMMYFUNCTION("""COMPUTED_VALUE"""),"скарбнички")</f>
        <v>скарбнички</v>
      </c>
      <c r="I3003" s="19">
        <f>IFERROR(__xludf.DUMMYFUNCTION("""COMPUTED_VALUE"""),0.1193)</f>
        <v>0.1193</v>
      </c>
      <c r="J3003" s="19">
        <f>IFERROR(__xludf.DUMMYFUNCTION("""COMPUTED_VALUE"""),0.2385)</f>
        <v>0.2385</v>
      </c>
      <c r="K3003" s="19">
        <f>IFERROR(__xludf.DUMMYFUNCTION("""COMPUTED_VALUE"""),0.2981)</f>
        <v>0.2981</v>
      </c>
      <c r="L3003" s="19">
        <f>IFERROR(__xludf.DUMMYFUNCTION("""COMPUTED_VALUE"""),0.3578)</f>
        <v>0.3578</v>
      </c>
      <c r="M3003" s="18">
        <f>IFERROR(__xludf.DUMMYFUNCTION("""COMPUTED_VALUE"""),3.6)</f>
        <v>3.6</v>
      </c>
    </row>
    <row r="3004">
      <c r="A3004" s="13" t="str">
        <f>IFERROR(__xludf.DUMMYFUNCTION("""COMPUTED_VALUE"""),"товари")</f>
        <v>товари</v>
      </c>
      <c r="B3004" s="16" t="str">
        <f>IFERROR(__xludf.DUMMYFUNCTION("""COMPUTED_VALUE"""),"подарунки, хобі, книги")</f>
        <v>подарунки, хобі, книги</v>
      </c>
      <c r="C3004" s="16" t="str">
        <f>IFERROR(__xludf.DUMMYFUNCTION("""COMPUTED_VALUE"""),"рукоділля")</f>
        <v>рукоділля</v>
      </c>
      <c r="D3004" s="16" t="str">
        <f>IFERROR(__xludf.DUMMYFUNCTION("""COMPUTED_VALUE"""),"скрапбукінг, квіллінг і декупаж")</f>
        <v>скрапбукінг, квіллінг і декупаж</v>
      </c>
      <c r="E3004" s="16" t="str">
        <f>IFERROR(__xludf.DUMMYFUNCTION("""COMPUTED_VALUE"""),"скрапбукінг, квіллінг і декупаж, загальне")</f>
        <v>скрапбукінг, квіллінг і декупаж, загальне</v>
      </c>
      <c r="F3004" s="17">
        <f>IFERROR(__xludf.DUMMYFUNCTION("""COMPUTED_VALUE"""),4.0)</f>
        <v>4</v>
      </c>
      <c r="G3004" s="17" t="str">
        <f>IFERROR(__xludf.DUMMYFUNCTION("""COMPUTED_VALUE"""),"15252401")</f>
        <v>15252401</v>
      </c>
      <c r="H3004" s="17" t="str">
        <f>IFERROR(__xludf.DUMMYFUNCTION("""COMPUTED_VALUE"""),"скрапбукінг, квіллінг і декупаж, загальне")</f>
        <v>скрапбукінг, квіллінг і декупаж, загальне</v>
      </c>
      <c r="I3004" s="19">
        <f>IFERROR(__xludf.DUMMYFUNCTION("""COMPUTED_VALUE"""),0.125)</f>
        <v>0.125</v>
      </c>
      <c r="J3004" s="19">
        <f>IFERROR(__xludf.DUMMYFUNCTION("""COMPUTED_VALUE"""),0.25)</f>
        <v>0.25</v>
      </c>
      <c r="K3004" s="19">
        <f>IFERROR(__xludf.DUMMYFUNCTION("""COMPUTED_VALUE"""),0.3125)</f>
        <v>0.3125</v>
      </c>
      <c r="L3004" s="19">
        <f>IFERROR(__xludf.DUMMYFUNCTION("""COMPUTED_VALUE"""),0.375)</f>
        <v>0.375</v>
      </c>
      <c r="M3004" s="18">
        <f>IFERROR(__xludf.DUMMYFUNCTION("""COMPUTED_VALUE"""),4.33)</f>
        <v>4.33</v>
      </c>
    </row>
    <row r="3005">
      <c r="A3005" s="13" t="str">
        <f>IFERROR(__xludf.DUMMYFUNCTION("""COMPUTED_VALUE"""),"товари")</f>
        <v>товари</v>
      </c>
      <c r="B3005" s="16" t="str">
        <f>IFERROR(__xludf.DUMMYFUNCTION("""COMPUTED_VALUE"""),"товари для дому")</f>
        <v>товари для дому</v>
      </c>
      <c r="C3005" s="16" t="str">
        <f>IFERROR(__xludf.DUMMYFUNCTION("""COMPUTED_VALUE"""),"декор для дому")</f>
        <v>декор для дому</v>
      </c>
      <c r="D3005" s="16" t="str">
        <f>IFERROR(__xludf.DUMMYFUNCTION("""COMPUTED_VALUE"""),"інтер'єрні аксесуари")</f>
        <v>інтер'єрні аксесуари</v>
      </c>
      <c r="E3005" s="16" t="str">
        <f>IFERROR(__xludf.DUMMYFUNCTION("""COMPUTED_VALUE"""),"скретч-карти подорожей")</f>
        <v>скретч-карти подорожей</v>
      </c>
      <c r="F3005" s="17">
        <f>IFERROR(__xludf.DUMMYFUNCTION("""COMPUTED_VALUE"""),4.0)</f>
        <v>4</v>
      </c>
      <c r="G3005" s="17" t="str">
        <f>IFERROR(__xludf.DUMMYFUNCTION("""COMPUTED_VALUE"""),"170713")</f>
        <v>170713</v>
      </c>
      <c r="H3005" s="17" t="str">
        <f>IFERROR(__xludf.DUMMYFUNCTION("""COMPUTED_VALUE"""),"скретч-карти подорожей")</f>
        <v>скретч-карти подорожей</v>
      </c>
      <c r="I3005" s="19">
        <f>IFERROR(__xludf.DUMMYFUNCTION("""COMPUTED_VALUE"""),0.0795)</f>
        <v>0.0795</v>
      </c>
      <c r="J3005" s="19">
        <f>IFERROR(__xludf.DUMMYFUNCTION("""COMPUTED_VALUE"""),0.159)</f>
        <v>0.159</v>
      </c>
      <c r="K3005" s="19">
        <f>IFERROR(__xludf.DUMMYFUNCTION("""COMPUTED_VALUE"""),0.1988)</f>
        <v>0.1988</v>
      </c>
      <c r="L3005" s="19">
        <f>IFERROR(__xludf.DUMMYFUNCTION("""COMPUTED_VALUE"""),0.2385)</f>
        <v>0.2385</v>
      </c>
      <c r="M3005" s="18">
        <f>IFERROR(__xludf.DUMMYFUNCTION("""COMPUTED_VALUE"""),2.61)</f>
        <v>2.61</v>
      </c>
    </row>
    <row r="3006">
      <c r="A3006" s="13" t="str">
        <f>IFERROR(__xludf.DUMMYFUNCTION("""COMPUTED_VALUE"""),"товари")</f>
        <v>товари</v>
      </c>
      <c r="B3006" s="16" t="str">
        <f>IFERROR(__xludf.DUMMYFUNCTION("""COMPUTED_VALUE"""),"подарунки, хобі, книги")</f>
        <v>подарунки, хобі, книги</v>
      </c>
      <c r="C3006" s="16" t="str">
        <f>IFERROR(__xludf.DUMMYFUNCTION("""COMPUTED_VALUE"""),"рукоділля")</f>
        <v>рукоділля</v>
      </c>
      <c r="D3006" s="16" t="str">
        <f>IFERROR(__xludf.DUMMYFUNCTION("""COMPUTED_VALUE"""),"малювання і аплікація")</f>
        <v>малювання і аплікація</v>
      </c>
      <c r="E3006" s="16" t="str">
        <f>IFERROR(__xludf.DUMMYFUNCTION("""COMPUTED_VALUE"""),"скретч-набори")</f>
        <v>скретч-набори</v>
      </c>
      <c r="F3006" s="17">
        <f>IFERROR(__xludf.DUMMYFUNCTION("""COMPUTED_VALUE"""),4.0)</f>
        <v>4</v>
      </c>
      <c r="G3006" s="17" t="str">
        <f>IFERROR(__xludf.DUMMYFUNCTION("""COMPUTED_VALUE"""),"211135")</f>
        <v>211135</v>
      </c>
      <c r="H3006" s="17" t="str">
        <f>IFERROR(__xludf.DUMMYFUNCTION("""COMPUTED_VALUE"""),"скретч-набори")</f>
        <v>скретч-набори</v>
      </c>
      <c r="I3006" s="19">
        <f>IFERROR(__xludf.DUMMYFUNCTION("""COMPUTED_VALUE"""),0.0918)</f>
        <v>0.0918</v>
      </c>
      <c r="J3006" s="19">
        <f>IFERROR(__xludf.DUMMYFUNCTION("""COMPUTED_VALUE"""),0.1835)</f>
        <v>0.1835</v>
      </c>
      <c r="K3006" s="19">
        <f>IFERROR(__xludf.DUMMYFUNCTION("""COMPUTED_VALUE"""),0.2294)</f>
        <v>0.2294</v>
      </c>
      <c r="L3006" s="19">
        <f>IFERROR(__xludf.DUMMYFUNCTION("""COMPUTED_VALUE"""),0.2753)</f>
        <v>0.2753</v>
      </c>
      <c r="M3006" s="18">
        <f>IFERROR(__xludf.DUMMYFUNCTION("""COMPUTED_VALUE"""),3.98)</f>
        <v>3.98</v>
      </c>
    </row>
    <row r="3007">
      <c r="A3007" s="13" t="str">
        <f>IFERROR(__xludf.DUMMYFUNCTION("""COMPUTED_VALUE"""),"товари")</f>
        <v>товари</v>
      </c>
      <c r="B3007" s="16" t="str">
        <f>IFERROR(__xludf.DUMMYFUNCTION("""COMPUTED_VALUE"""),"подарунки, хобі, книги")</f>
        <v>подарунки, хобі, книги</v>
      </c>
      <c r="C3007" s="16" t="str">
        <f>IFERROR(__xludf.DUMMYFUNCTION("""COMPUTED_VALUE"""),"смачні подарунки")</f>
        <v>смачні подарунки</v>
      </c>
      <c r="D3007" s="16" t="str">
        <f>IFERROR(__xludf.DUMMYFUNCTION("""COMPUTED_VALUE"""),"смачні подарунки")</f>
        <v>смачні подарунки</v>
      </c>
      <c r="E3007" s="16" t="str">
        <f>IFERROR(__xludf.DUMMYFUNCTION("""COMPUTED_VALUE"""),"смачні подарунки")</f>
        <v>смачні подарунки</v>
      </c>
      <c r="F3007" s="17">
        <f>IFERROR(__xludf.DUMMYFUNCTION("""COMPUTED_VALUE"""),2.0)</f>
        <v>2</v>
      </c>
      <c r="G3007" s="17" t="str">
        <f>IFERROR(__xludf.DUMMYFUNCTION("""COMPUTED_VALUE"""),"1764")</f>
        <v>1764</v>
      </c>
      <c r="H3007" s="17" t="str">
        <f>IFERROR(__xludf.DUMMYFUNCTION("""COMPUTED_VALUE"""),"смачні подарунки")</f>
        <v>смачні подарунки</v>
      </c>
      <c r="I3007" s="19">
        <f>IFERROR(__xludf.DUMMYFUNCTION("""COMPUTED_VALUE"""),0.076)</f>
        <v>0.076</v>
      </c>
      <c r="J3007" s="19">
        <f>IFERROR(__xludf.DUMMYFUNCTION("""COMPUTED_VALUE"""),0.1519)</f>
        <v>0.1519</v>
      </c>
      <c r="K3007" s="19">
        <f>IFERROR(__xludf.DUMMYFUNCTION("""COMPUTED_VALUE"""),0.1899)</f>
        <v>0.1899</v>
      </c>
      <c r="L3007" s="19">
        <f>IFERROR(__xludf.DUMMYFUNCTION("""COMPUTED_VALUE"""),0.2279)</f>
        <v>0.2279</v>
      </c>
      <c r="M3007" s="18">
        <f>IFERROR(__xludf.DUMMYFUNCTION("""COMPUTED_VALUE"""),2.08)</f>
        <v>2.08</v>
      </c>
    </row>
    <row r="3008">
      <c r="A3008" s="13" t="str">
        <f>IFERROR(__xludf.DUMMYFUNCTION("""COMPUTED_VALUE"""),"товари")</f>
        <v>товари</v>
      </c>
      <c r="B3008" s="16" t="str">
        <f>IFERROR(__xludf.DUMMYFUNCTION("""COMPUTED_VALUE"""),"подарунки, хобі, книги")</f>
        <v>подарунки, хобі, книги</v>
      </c>
      <c r="C3008" s="16" t="str">
        <f>IFERROR(__xludf.DUMMYFUNCTION("""COMPUTED_VALUE"""),"музичні інструменти")</f>
        <v>музичні інструменти</v>
      </c>
      <c r="D3008" s="16" t="str">
        <f>IFERROR(__xludf.DUMMYFUNCTION("""COMPUTED_VALUE"""),"смичкові інструменти та аксесуари")</f>
        <v>смичкові інструменти та аксесуари</v>
      </c>
      <c r="E3008" s="16" t="str">
        <f>IFERROR(__xludf.DUMMYFUNCTION("""COMPUTED_VALUE"""),"смички")</f>
        <v>смички</v>
      </c>
      <c r="F3008" s="17">
        <f>IFERROR(__xludf.DUMMYFUNCTION("""COMPUTED_VALUE"""),4.0)</f>
        <v>4</v>
      </c>
      <c r="G3008" s="17" t="str">
        <f>IFERROR(__xludf.DUMMYFUNCTION("""COMPUTED_VALUE"""),"180557")</f>
        <v>180557</v>
      </c>
      <c r="H3008" s="17" t="str">
        <f>IFERROR(__xludf.DUMMYFUNCTION("""COMPUTED_VALUE"""),"смички")</f>
        <v>смички</v>
      </c>
      <c r="I3008" s="19">
        <f>IFERROR(__xludf.DUMMYFUNCTION("""COMPUTED_VALUE"""),0.0707)</f>
        <v>0.0707</v>
      </c>
      <c r="J3008" s="19">
        <f>IFERROR(__xludf.DUMMYFUNCTION("""COMPUTED_VALUE"""),0.1414)</f>
        <v>0.1414</v>
      </c>
      <c r="K3008" s="19">
        <f>IFERROR(__xludf.DUMMYFUNCTION("""COMPUTED_VALUE"""),0.1768)</f>
        <v>0.1768</v>
      </c>
      <c r="L3008" s="19">
        <f>IFERROR(__xludf.DUMMYFUNCTION("""COMPUTED_VALUE"""),0.2121)</f>
        <v>0.2121</v>
      </c>
      <c r="M3008" s="18">
        <f>IFERROR(__xludf.DUMMYFUNCTION("""COMPUTED_VALUE"""),2.08)</f>
        <v>2.08</v>
      </c>
    </row>
    <row r="3009">
      <c r="A3009" s="13" t="str">
        <f>IFERROR(__xludf.DUMMYFUNCTION("""COMPUTED_VALUE"""),"товари")</f>
        <v>товари</v>
      </c>
      <c r="B3009" s="16" t="str">
        <f>IFERROR(__xludf.DUMMYFUNCTION("""COMPUTED_VALUE"""),"подарунки, хобі, книги")</f>
        <v>подарунки, хобі, книги</v>
      </c>
      <c r="C3009" s="16" t="str">
        <f>IFERROR(__xludf.DUMMYFUNCTION("""COMPUTED_VALUE"""),"музичні інструменти")</f>
        <v>музичні інструменти</v>
      </c>
      <c r="D3009" s="16" t="str">
        <f>IFERROR(__xludf.DUMMYFUNCTION("""COMPUTED_VALUE"""),"смичкові інструменти та аксесуари")</f>
        <v>смичкові інструменти та аксесуари</v>
      </c>
      <c r="E3009" s="16" t="str">
        <f>IFERROR(__xludf.DUMMYFUNCTION("""COMPUTED_VALUE"""),"смичкові інструменти")</f>
        <v>смичкові інструменти</v>
      </c>
      <c r="F3009" s="17">
        <f>IFERROR(__xludf.DUMMYFUNCTION("""COMPUTED_VALUE"""),4.0)</f>
        <v>4</v>
      </c>
      <c r="G3009" s="17" t="str">
        <f>IFERROR(__xludf.DUMMYFUNCTION("""COMPUTED_VALUE"""),"180506")</f>
        <v>180506</v>
      </c>
      <c r="H3009" s="17" t="str">
        <f>IFERROR(__xludf.DUMMYFUNCTION("""COMPUTED_VALUE"""),"смичкові інструменти")</f>
        <v>смичкові інструменти</v>
      </c>
      <c r="I3009" s="19">
        <f>IFERROR(__xludf.DUMMYFUNCTION("""COMPUTED_VALUE"""),0.0681)</f>
        <v>0.0681</v>
      </c>
      <c r="J3009" s="19">
        <f>IFERROR(__xludf.DUMMYFUNCTION("""COMPUTED_VALUE"""),0.1362)</f>
        <v>0.1362</v>
      </c>
      <c r="K3009" s="19">
        <f>IFERROR(__xludf.DUMMYFUNCTION("""COMPUTED_VALUE"""),0.1703)</f>
        <v>0.1703</v>
      </c>
      <c r="L3009" s="19">
        <f>IFERROR(__xludf.DUMMYFUNCTION("""COMPUTED_VALUE"""),0.2043)</f>
        <v>0.2043</v>
      </c>
      <c r="M3009" s="18">
        <f>IFERROR(__xludf.DUMMYFUNCTION("""COMPUTED_VALUE"""),2.08)</f>
        <v>2.08</v>
      </c>
    </row>
    <row r="3010">
      <c r="A3010" s="13" t="str">
        <f>IFERROR(__xludf.DUMMYFUNCTION("""COMPUTED_VALUE"""),"товари")</f>
        <v>товари</v>
      </c>
      <c r="B3010" s="16" t="str">
        <f>IFERROR(__xludf.DUMMYFUNCTION("""COMPUTED_VALUE"""),"подарунки, хобі, книги")</f>
        <v>подарунки, хобі, книги</v>
      </c>
      <c r="C3010" s="16" t="str">
        <f>IFERROR(__xludf.DUMMYFUNCTION("""COMPUTED_VALUE"""),"музичні інструменти")</f>
        <v>музичні інструменти</v>
      </c>
      <c r="D3010" s="16" t="str">
        <f>IFERROR(__xludf.DUMMYFUNCTION("""COMPUTED_VALUE"""),"смичкові інструменти та аксесуари")</f>
        <v>смичкові інструменти та аксесуари</v>
      </c>
      <c r="E3010" s="16" t="str">
        <f>IFERROR(__xludf.DUMMYFUNCTION("""COMPUTED_VALUE"""),"смичкові інструменти та аксесуари, загальне")</f>
        <v>смичкові інструменти та аксесуари, загальне</v>
      </c>
      <c r="F3010" s="17">
        <f>IFERROR(__xludf.DUMMYFUNCTION("""COMPUTED_VALUE"""),4.0)</f>
        <v>4</v>
      </c>
      <c r="G3010" s="17" t="str">
        <f>IFERROR(__xludf.DUMMYFUNCTION("""COMPUTED_VALUE"""),"180554")</f>
        <v>180554</v>
      </c>
      <c r="H3010" s="17" t="str">
        <f>IFERROR(__xludf.DUMMYFUNCTION("""COMPUTED_VALUE"""),"смичкові інструменти та аксесуари, загальне")</f>
        <v>смичкові інструменти та аксесуари, загальне</v>
      </c>
      <c r="I3010" s="19">
        <f>IFERROR(__xludf.DUMMYFUNCTION("""COMPUTED_VALUE"""),0.125)</f>
        <v>0.125</v>
      </c>
      <c r="J3010" s="19">
        <f>IFERROR(__xludf.DUMMYFUNCTION("""COMPUTED_VALUE"""),0.25)</f>
        <v>0.25</v>
      </c>
      <c r="K3010" s="19">
        <f>IFERROR(__xludf.DUMMYFUNCTION("""COMPUTED_VALUE"""),0.3125)</f>
        <v>0.3125</v>
      </c>
      <c r="L3010" s="19">
        <f>IFERROR(__xludf.DUMMYFUNCTION("""COMPUTED_VALUE"""),0.375)</f>
        <v>0.375</v>
      </c>
      <c r="M3010" s="18">
        <f>IFERROR(__xludf.DUMMYFUNCTION("""COMPUTED_VALUE"""),4.33)</f>
        <v>4.33</v>
      </c>
    </row>
    <row r="3011">
      <c r="A3011" s="13" t="str">
        <f>IFERROR(__xludf.DUMMYFUNCTION("""COMPUTED_VALUE"""),"товари")</f>
        <v>товари</v>
      </c>
      <c r="B3011" s="16" t="str">
        <f>IFERROR(__xludf.DUMMYFUNCTION("""COMPUTED_VALUE"""),"подарунки, хобі, книги")</f>
        <v>подарунки, хобі, книги</v>
      </c>
      <c r="C3011" s="16" t="str">
        <f>IFERROR(__xludf.DUMMYFUNCTION("""COMPUTED_VALUE"""),"рукоділля")</f>
        <v>рукоділля</v>
      </c>
      <c r="D3011" s="16" t="str">
        <f>IFERROR(__xludf.DUMMYFUNCTION("""COMPUTED_VALUE"""),"в'язання та валяння")</f>
        <v>в'язання та валяння</v>
      </c>
      <c r="E3011" s="16" t="str">
        <f>IFERROR(__xludf.DUMMYFUNCTION("""COMPUTED_VALUE"""),"спиці, гачки та аксесуари для в'язання")</f>
        <v>спиці, гачки та аксесуари для в'язання</v>
      </c>
      <c r="F3011" s="17">
        <f>IFERROR(__xludf.DUMMYFUNCTION("""COMPUTED_VALUE"""),4.0)</f>
        <v>4</v>
      </c>
      <c r="G3011" s="17" t="str">
        <f>IFERROR(__xludf.DUMMYFUNCTION("""COMPUTED_VALUE"""),"152504")</f>
        <v>152504</v>
      </c>
      <c r="H3011" s="17" t="str">
        <f>IFERROR(__xludf.DUMMYFUNCTION("""COMPUTED_VALUE"""),"спиці, гачки та аксесуари для в'язання")</f>
        <v>спиці, гачки та аксесуари для в'язання</v>
      </c>
      <c r="I3011" s="19">
        <f>IFERROR(__xludf.DUMMYFUNCTION("""COMPUTED_VALUE"""),0.0784)</f>
        <v>0.0784</v>
      </c>
      <c r="J3011" s="19">
        <f>IFERROR(__xludf.DUMMYFUNCTION("""COMPUTED_VALUE"""),0.1567)</f>
        <v>0.1567</v>
      </c>
      <c r="K3011" s="19">
        <f>IFERROR(__xludf.DUMMYFUNCTION("""COMPUTED_VALUE"""),0.1959)</f>
        <v>0.1959</v>
      </c>
      <c r="L3011" s="19">
        <f>IFERROR(__xludf.DUMMYFUNCTION("""COMPUTED_VALUE"""),0.2351)</f>
        <v>0.2351</v>
      </c>
      <c r="M3011" s="18">
        <f>IFERROR(__xludf.DUMMYFUNCTION("""COMPUTED_VALUE"""),1.05)</f>
        <v>1.05</v>
      </c>
    </row>
    <row r="3012">
      <c r="A3012" s="13" t="str">
        <f>IFERROR(__xludf.DUMMYFUNCTION("""COMPUTED_VALUE"""),"товари")</f>
        <v>товари</v>
      </c>
      <c r="B3012" s="16" t="str">
        <f>IFERROR(__xludf.DUMMYFUNCTION("""COMPUTED_VALUE"""),"подарунки, хобі, книги")</f>
        <v>подарунки, хобі, книги</v>
      </c>
      <c r="C3012" s="16" t="str">
        <f>IFERROR(__xludf.DUMMYFUNCTION("""COMPUTED_VALUE"""),"музичні інструменти")</f>
        <v>музичні інструменти</v>
      </c>
      <c r="D3012" s="16" t="str">
        <f>IFERROR(__xludf.DUMMYFUNCTION("""COMPUTED_VALUE"""),"стійки, підставки для музичних інструментів")</f>
        <v>стійки, підставки для музичних інструментів</v>
      </c>
      <c r="E3012" s="16" t="str">
        <f>IFERROR(__xludf.DUMMYFUNCTION("""COMPUTED_VALUE"""),"стійки, підставки для музичних інструментів")</f>
        <v>стійки, підставки для музичних інструментів</v>
      </c>
      <c r="F3012" s="17">
        <f>IFERROR(__xludf.DUMMYFUNCTION("""COMPUTED_VALUE"""),3.0)</f>
        <v>3</v>
      </c>
      <c r="G3012" s="17" t="str">
        <f>IFERROR(__xludf.DUMMYFUNCTION("""COMPUTED_VALUE"""),"180544")</f>
        <v>180544</v>
      </c>
      <c r="H3012" s="17" t="str">
        <f>IFERROR(__xludf.DUMMYFUNCTION("""COMPUTED_VALUE"""),"стійки, підставки для музичних інструментів")</f>
        <v>стійки, підставки для музичних інструментів</v>
      </c>
      <c r="I3012" s="19">
        <f>IFERROR(__xludf.DUMMYFUNCTION("""COMPUTED_VALUE"""),0.0689)</f>
        <v>0.0689</v>
      </c>
      <c r="J3012" s="19">
        <f>IFERROR(__xludf.DUMMYFUNCTION("""COMPUTED_VALUE"""),0.1378)</f>
        <v>0.1378</v>
      </c>
      <c r="K3012" s="19">
        <f>IFERROR(__xludf.DUMMYFUNCTION("""COMPUTED_VALUE"""),0.1723)</f>
        <v>0.1723</v>
      </c>
      <c r="L3012" s="19">
        <f>IFERROR(__xludf.DUMMYFUNCTION("""COMPUTED_VALUE"""),0.2067)</f>
        <v>0.2067</v>
      </c>
      <c r="M3012" s="18">
        <f>IFERROR(__xludf.DUMMYFUNCTION("""COMPUTED_VALUE"""),1.71)</f>
        <v>1.71</v>
      </c>
    </row>
    <row r="3013">
      <c r="A3013" s="13" t="str">
        <f>IFERROR(__xludf.DUMMYFUNCTION("""COMPUTED_VALUE"""),"товари")</f>
        <v>товари</v>
      </c>
      <c r="B3013" s="16" t="str">
        <f>IFERROR(__xludf.DUMMYFUNCTION("""COMPUTED_VALUE"""),"подарунки, хобі, книги")</f>
        <v>подарунки, хобі, книги</v>
      </c>
      <c r="C3013" s="16" t="str">
        <f>IFERROR(__xludf.DUMMYFUNCTION("""COMPUTED_VALUE"""),"музичні інструменти")</f>
        <v>музичні інструменти</v>
      </c>
      <c r="D3013" s="16" t="str">
        <f>IFERROR(__xludf.DUMMYFUNCTION("""COMPUTED_VALUE"""),"ударні музичні інструменти та аксесуари")</f>
        <v>ударні музичні інструменти та аксесуари</v>
      </c>
      <c r="E3013" s="16" t="str">
        <f>IFERROR(__xludf.DUMMYFUNCTION("""COMPUTED_VALUE"""),"стільці для музикантів")</f>
        <v>стільці для музикантів</v>
      </c>
      <c r="F3013" s="17">
        <f>IFERROR(__xludf.DUMMYFUNCTION("""COMPUTED_VALUE"""),4.0)</f>
        <v>4</v>
      </c>
      <c r="G3013" s="17" t="str">
        <f>IFERROR(__xludf.DUMMYFUNCTION("""COMPUTED_VALUE"""),"180521")</f>
        <v>180521</v>
      </c>
      <c r="H3013" s="17" t="str">
        <f>IFERROR(__xludf.DUMMYFUNCTION("""COMPUTED_VALUE"""),"стільці для музикантів")</f>
        <v>стільці для музикантів</v>
      </c>
      <c r="I3013" s="19">
        <f>IFERROR(__xludf.DUMMYFUNCTION("""COMPUTED_VALUE"""),0.0661)</f>
        <v>0.0661</v>
      </c>
      <c r="J3013" s="19">
        <f>IFERROR(__xludf.DUMMYFUNCTION("""COMPUTED_VALUE"""),0.1321)</f>
        <v>0.1321</v>
      </c>
      <c r="K3013" s="19">
        <f>IFERROR(__xludf.DUMMYFUNCTION("""COMPUTED_VALUE"""),0.1651)</f>
        <v>0.1651</v>
      </c>
      <c r="L3013" s="19">
        <f>IFERROR(__xludf.DUMMYFUNCTION("""COMPUTED_VALUE"""),0.1982)</f>
        <v>0.1982</v>
      </c>
      <c r="M3013" s="18">
        <f>IFERROR(__xludf.DUMMYFUNCTION("""COMPUTED_VALUE"""),2.34)</f>
        <v>2.34</v>
      </c>
    </row>
    <row r="3014">
      <c r="A3014" s="13" t="str">
        <f>IFERROR(__xludf.DUMMYFUNCTION("""COMPUTED_VALUE"""),"товари")</f>
        <v>товари</v>
      </c>
      <c r="B3014" s="16" t="str">
        <f>IFERROR(__xludf.DUMMYFUNCTION("""COMPUTED_VALUE"""),"подарунки, хобі, книги")</f>
        <v>подарунки, хобі, книги</v>
      </c>
      <c r="C3014" s="16" t="str">
        <f>IFERROR(__xludf.DUMMYFUNCTION("""COMPUTED_VALUE"""),"музичні інструменти")</f>
        <v>музичні інструменти</v>
      </c>
      <c r="D3014" s="16" t="str">
        <f>IFERROR(__xludf.DUMMYFUNCTION("""COMPUTED_VALUE"""),"гітари та обладнання")</f>
        <v>гітари та обладнання</v>
      </c>
      <c r="E3014" s="16" t="str">
        <f>IFERROR(__xludf.DUMMYFUNCTION("""COMPUTED_VALUE"""),"струни для музичних інструментів")</f>
        <v>струни для музичних інструментів</v>
      </c>
      <c r="F3014" s="17">
        <f>IFERROR(__xludf.DUMMYFUNCTION("""COMPUTED_VALUE"""),4.0)</f>
        <v>4</v>
      </c>
      <c r="G3014" s="17" t="str">
        <f>IFERROR(__xludf.DUMMYFUNCTION("""COMPUTED_VALUE"""),"180515")</f>
        <v>180515</v>
      </c>
      <c r="H3014" s="17" t="str">
        <f>IFERROR(__xludf.DUMMYFUNCTION("""COMPUTED_VALUE"""),"струни для музичних інструментів")</f>
        <v>струни для музичних інструментів</v>
      </c>
      <c r="I3014" s="19">
        <f>IFERROR(__xludf.DUMMYFUNCTION("""COMPUTED_VALUE"""),0.0678)</f>
        <v>0.0678</v>
      </c>
      <c r="J3014" s="19">
        <f>IFERROR(__xludf.DUMMYFUNCTION("""COMPUTED_VALUE"""),0.1356)</f>
        <v>0.1356</v>
      </c>
      <c r="K3014" s="19">
        <f>IFERROR(__xludf.DUMMYFUNCTION("""COMPUTED_VALUE"""),0.1695)</f>
        <v>0.1695</v>
      </c>
      <c r="L3014" s="19">
        <f>IFERROR(__xludf.DUMMYFUNCTION("""COMPUTED_VALUE"""),0.2034)</f>
        <v>0.2034</v>
      </c>
      <c r="M3014" s="18">
        <f>IFERROR(__xludf.DUMMYFUNCTION("""COMPUTED_VALUE"""),4.41)</f>
        <v>4.41</v>
      </c>
    </row>
    <row r="3015">
      <c r="A3015" s="13" t="str">
        <f>IFERROR(__xludf.DUMMYFUNCTION("""COMPUTED_VALUE"""),"товари")</f>
        <v>товари</v>
      </c>
      <c r="B3015" s="16" t="str">
        <f>IFERROR(__xludf.DUMMYFUNCTION("""COMPUTED_VALUE"""),"подарунки, хобі, книги")</f>
        <v>подарунки, хобі, книги</v>
      </c>
      <c r="C3015" s="16" t="str">
        <f>IFERROR(__xludf.DUMMYFUNCTION("""COMPUTED_VALUE"""),"подарунки і сувеніри")</f>
        <v>подарунки і сувеніри</v>
      </c>
      <c r="D3015" s="16" t="str">
        <f>IFERROR(__xludf.DUMMYFUNCTION("""COMPUTED_VALUE"""),"сувеніри морської тематики")</f>
        <v>сувеніри морської тематики</v>
      </c>
      <c r="E3015" s="16" t="str">
        <f>IFERROR(__xludf.DUMMYFUNCTION("""COMPUTED_VALUE"""),"сувеніри морської тематики")</f>
        <v>сувеніри морської тематики</v>
      </c>
      <c r="F3015" s="17">
        <f>IFERROR(__xludf.DUMMYFUNCTION("""COMPUTED_VALUE"""),3.0)</f>
        <v>3</v>
      </c>
      <c r="G3015" s="17" t="str">
        <f>IFERROR(__xludf.DUMMYFUNCTION("""COMPUTED_VALUE"""),"1738")</f>
        <v>1738</v>
      </c>
      <c r="H3015" s="17" t="str">
        <f>IFERROR(__xludf.DUMMYFUNCTION("""COMPUTED_VALUE"""),"сувеніри морської тематики")</f>
        <v>сувеніри морської тематики</v>
      </c>
      <c r="I3015" s="19">
        <f>IFERROR(__xludf.DUMMYFUNCTION("""COMPUTED_VALUE"""),0.1183)</f>
        <v>0.1183</v>
      </c>
      <c r="J3015" s="19">
        <f>IFERROR(__xludf.DUMMYFUNCTION("""COMPUTED_VALUE"""),0.2366)</f>
        <v>0.2366</v>
      </c>
      <c r="K3015" s="19">
        <f>IFERROR(__xludf.DUMMYFUNCTION("""COMPUTED_VALUE"""),0.2958)</f>
        <v>0.2958</v>
      </c>
      <c r="L3015" s="19">
        <f>IFERROR(__xludf.DUMMYFUNCTION("""COMPUTED_VALUE"""),0.3549)</f>
        <v>0.3549</v>
      </c>
      <c r="M3015" s="18">
        <f>IFERROR(__xludf.DUMMYFUNCTION("""COMPUTED_VALUE"""),1.98)</f>
        <v>1.98</v>
      </c>
    </row>
    <row r="3016">
      <c r="A3016" s="13" t="str">
        <f>IFERROR(__xludf.DUMMYFUNCTION("""COMPUTED_VALUE"""),"товари")</f>
        <v>товари</v>
      </c>
      <c r="B3016" s="16" t="str">
        <f>IFERROR(__xludf.DUMMYFUNCTION("""COMPUTED_VALUE"""),"подарунки, хобі, книги")</f>
        <v>подарунки, хобі, книги</v>
      </c>
      <c r="C3016" s="16" t="str">
        <f>IFERROR(__xludf.DUMMYFUNCTION("""COMPUTED_VALUE"""),"подарунки і сувеніри")</f>
        <v>подарунки і сувеніри</v>
      </c>
      <c r="D3016" s="16" t="str">
        <f>IFERROR(__xludf.DUMMYFUNCTION("""COMPUTED_VALUE"""),"сувеніри фен-шуй")</f>
        <v>сувеніри фен-шуй</v>
      </c>
      <c r="E3016" s="16" t="str">
        <f>IFERROR(__xludf.DUMMYFUNCTION("""COMPUTED_VALUE"""),"сувеніри фен-шуй")</f>
        <v>сувеніри фен-шуй</v>
      </c>
      <c r="F3016" s="17">
        <f>IFERROR(__xludf.DUMMYFUNCTION("""COMPUTED_VALUE"""),3.0)</f>
        <v>3</v>
      </c>
      <c r="G3016" s="17" t="str">
        <f>IFERROR(__xludf.DUMMYFUNCTION("""COMPUTED_VALUE"""),"170710")</f>
        <v>170710</v>
      </c>
      <c r="H3016" s="17" t="str">
        <f>IFERROR(__xludf.DUMMYFUNCTION("""COMPUTED_VALUE"""),"сувеніри фен-шуй")</f>
        <v>сувеніри фен-шуй</v>
      </c>
      <c r="I3016" s="19">
        <f>IFERROR(__xludf.DUMMYFUNCTION("""COMPUTED_VALUE"""),0.0786)</f>
        <v>0.0786</v>
      </c>
      <c r="J3016" s="19">
        <f>IFERROR(__xludf.DUMMYFUNCTION("""COMPUTED_VALUE"""),0.1572)</f>
        <v>0.1572</v>
      </c>
      <c r="K3016" s="19">
        <f>IFERROR(__xludf.DUMMYFUNCTION("""COMPUTED_VALUE"""),0.1965)</f>
        <v>0.1965</v>
      </c>
      <c r="L3016" s="19">
        <f>IFERROR(__xludf.DUMMYFUNCTION("""COMPUTED_VALUE"""),0.2358)</f>
        <v>0.2358</v>
      </c>
      <c r="M3016" s="18">
        <f>IFERROR(__xludf.DUMMYFUNCTION("""COMPUTED_VALUE"""),1.05)</f>
        <v>1.05</v>
      </c>
    </row>
    <row r="3017">
      <c r="A3017" s="13" t="str">
        <f>IFERROR(__xludf.DUMMYFUNCTION("""COMPUTED_VALUE"""),"товари")</f>
        <v>товари</v>
      </c>
      <c r="B3017" s="16" t="str">
        <f>IFERROR(__xludf.DUMMYFUNCTION("""COMPUTED_VALUE"""),"подарунки, хобі, книги")</f>
        <v>подарунки, хобі, книги</v>
      </c>
      <c r="C3017" s="16" t="str">
        <f>IFERROR(__xludf.DUMMYFUNCTION("""COMPUTED_VALUE"""),"подарунки і сувеніри")</f>
        <v>подарунки і сувеніри</v>
      </c>
      <c r="D3017" s="16" t="str">
        <f>IFERROR(__xludf.DUMMYFUNCTION("""COMPUTED_VALUE"""),"сувеніри, загальне")</f>
        <v>сувеніри, загальне</v>
      </c>
      <c r="E3017" s="16" t="str">
        <f>IFERROR(__xludf.DUMMYFUNCTION("""COMPUTED_VALUE"""),"сувеніри, загальне")</f>
        <v>сувеніри, загальне</v>
      </c>
      <c r="F3017" s="17">
        <f>IFERROR(__xludf.DUMMYFUNCTION("""COMPUTED_VALUE"""),3.0)</f>
        <v>3</v>
      </c>
      <c r="G3017" s="17" t="str">
        <f>IFERROR(__xludf.DUMMYFUNCTION("""COMPUTED_VALUE"""),"170706")</f>
        <v>170706</v>
      </c>
      <c r="H3017" s="17" t="str">
        <f>IFERROR(__xludf.DUMMYFUNCTION("""COMPUTED_VALUE"""),"сувеніри, загальне")</f>
        <v>сувеніри, загальне</v>
      </c>
      <c r="I3017" s="19">
        <f>IFERROR(__xludf.DUMMYFUNCTION("""COMPUTED_VALUE"""),0.125)</f>
        <v>0.125</v>
      </c>
      <c r="J3017" s="19">
        <f>IFERROR(__xludf.DUMMYFUNCTION("""COMPUTED_VALUE"""),0.25)</f>
        <v>0.25</v>
      </c>
      <c r="K3017" s="19">
        <f>IFERROR(__xludf.DUMMYFUNCTION("""COMPUTED_VALUE"""),0.3125)</f>
        <v>0.3125</v>
      </c>
      <c r="L3017" s="19">
        <f>IFERROR(__xludf.DUMMYFUNCTION("""COMPUTED_VALUE"""),0.375)</f>
        <v>0.375</v>
      </c>
      <c r="M3017" s="18">
        <f>IFERROR(__xludf.DUMMYFUNCTION("""COMPUTED_VALUE"""),4.33)</f>
        <v>4.33</v>
      </c>
    </row>
    <row r="3018">
      <c r="A3018" s="13" t="str">
        <f>IFERROR(__xludf.DUMMYFUNCTION("""COMPUTED_VALUE"""),"товари")</f>
        <v>товари</v>
      </c>
      <c r="B3018" s="16" t="str">
        <f>IFERROR(__xludf.DUMMYFUNCTION("""COMPUTED_VALUE"""),"подарунки, хобі, книги")</f>
        <v>подарунки, хобі, книги</v>
      </c>
      <c r="C3018" s="16" t="str">
        <f>IFERROR(__xludf.DUMMYFUNCTION("""COMPUTED_VALUE"""),"подарунки і сувеніри")</f>
        <v>подарунки і сувеніри</v>
      </c>
      <c r="D3018" s="16" t="str">
        <f>IFERROR(__xludf.DUMMYFUNCTION("""COMPUTED_VALUE"""),"сувенірна зброя і обладунки")</f>
        <v>сувенірна зброя і обладунки</v>
      </c>
      <c r="E3018" s="16" t="str">
        <f>IFERROR(__xludf.DUMMYFUNCTION("""COMPUTED_VALUE"""),"сувенірна зброя і обладунки")</f>
        <v>сувенірна зброя і обладунки</v>
      </c>
      <c r="F3018" s="17">
        <f>IFERROR(__xludf.DUMMYFUNCTION("""COMPUTED_VALUE"""),3.0)</f>
        <v>3</v>
      </c>
      <c r="G3018" s="17" t="str">
        <f>IFERROR(__xludf.DUMMYFUNCTION("""COMPUTED_VALUE"""),"170703")</f>
        <v>170703</v>
      </c>
      <c r="H3018" s="17" t="str">
        <f>IFERROR(__xludf.DUMMYFUNCTION("""COMPUTED_VALUE"""),"сувенірна зброя і обладунки")</f>
        <v>сувенірна зброя і обладунки</v>
      </c>
      <c r="I3018" s="19">
        <f>IFERROR(__xludf.DUMMYFUNCTION("""COMPUTED_VALUE"""),0.0816)</f>
        <v>0.0816</v>
      </c>
      <c r="J3018" s="19">
        <f>IFERROR(__xludf.DUMMYFUNCTION("""COMPUTED_VALUE"""),0.1632)</f>
        <v>0.1632</v>
      </c>
      <c r="K3018" s="19">
        <f>IFERROR(__xludf.DUMMYFUNCTION("""COMPUTED_VALUE"""),0.204)</f>
        <v>0.204</v>
      </c>
      <c r="L3018" s="19">
        <f>IFERROR(__xludf.DUMMYFUNCTION("""COMPUTED_VALUE"""),0.2448)</f>
        <v>0.2448</v>
      </c>
      <c r="M3018" s="18">
        <f>IFERROR(__xludf.DUMMYFUNCTION("""COMPUTED_VALUE"""),1.63)</f>
        <v>1.63</v>
      </c>
    </row>
    <row r="3019">
      <c r="A3019" s="13" t="str">
        <f>IFERROR(__xludf.DUMMYFUNCTION("""COMPUTED_VALUE"""),"товари")</f>
        <v>товари</v>
      </c>
      <c r="B3019" s="16" t="str">
        <f>IFERROR(__xludf.DUMMYFUNCTION("""COMPUTED_VALUE"""),"подарунки, хобі, книги")</f>
        <v>подарунки, хобі, книги</v>
      </c>
      <c r="C3019" s="16" t="str">
        <f>IFERROR(__xludf.DUMMYFUNCTION("""COMPUTED_VALUE"""),"cвяткові прикраси")</f>
        <v>cвяткові прикраси</v>
      </c>
      <c r="D3019" s="16" t="str">
        <f>IFERROR(__xludf.DUMMYFUNCTION("""COMPUTED_VALUE"""),"сувенірні гроші")</f>
        <v>сувенірні гроші</v>
      </c>
      <c r="E3019" s="16" t="str">
        <f>IFERROR(__xludf.DUMMYFUNCTION("""COMPUTED_VALUE"""),"сувенірні гроші")</f>
        <v>сувенірні гроші</v>
      </c>
      <c r="F3019" s="17">
        <f>IFERROR(__xludf.DUMMYFUNCTION("""COMPUTED_VALUE"""),3.0)</f>
        <v>3</v>
      </c>
      <c r="G3019" s="17" t="str">
        <f>IFERROR(__xludf.DUMMYFUNCTION("""COMPUTED_VALUE"""),"1763")</f>
        <v>1763</v>
      </c>
      <c r="H3019" s="17" t="str">
        <f>IFERROR(__xludf.DUMMYFUNCTION("""COMPUTED_VALUE"""),"сувенірні гроші")</f>
        <v>сувенірні гроші</v>
      </c>
      <c r="I3019" s="19">
        <f>IFERROR(__xludf.DUMMYFUNCTION("""COMPUTED_VALUE"""),0.0963)</f>
        <v>0.0963</v>
      </c>
      <c r="J3019" s="19">
        <f>IFERROR(__xludf.DUMMYFUNCTION("""COMPUTED_VALUE"""),0.1925)</f>
        <v>0.1925</v>
      </c>
      <c r="K3019" s="19">
        <f>IFERROR(__xludf.DUMMYFUNCTION("""COMPUTED_VALUE"""),0.2406)</f>
        <v>0.2406</v>
      </c>
      <c r="L3019" s="19">
        <f>IFERROR(__xludf.DUMMYFUNCTION("""COMPUTED_VALUE"""),0.2888)</f>
        <v>0.2888</v>
      </c>
      <c r="M3019" s="18">
        <f>IFERROR(__xludf.DUMMYFUNCTION("""COMPUTED_VALUE"""),1.71)</f>
        <v>1.71</v>
      </c>
    </row>
    <row r="3020">
      <c r="A3020" s="13" t="str">
        <f>IFERROR(__xludf.DUMMYFUNCTION("""COMPUTED_VALUE"""),"товари")</f>
        <v>товари</v>
      </c>
      <c r="B3020" s="16" t="str">
        <f>IFERROR(__xludf.DUMMYFUNCTION("""COMPUTED_VALUE"""),"подарунки, хобі, книги")</f>
        <v>подарунки, хобі, книги</v>
      </c>
      <c r="C3020" s="16" t="str">
        <f>IFERROR(__xludf.DUMMYFUNCTION("""COMPUTED_VALUE"""),"подарунки і сувеніри")</f>
        <v>подарунки і сувеніри</v>
      </c>
      <c r="D3020" s="16" t="str">
        <f>IFERROR(__xludf.DUMMYFUNCTION("""COMPUTED_VALUE"""),"сувенірні значки, нагороди")</f>
        <v>сувенірні значки, нагороди</v>
      </c>
      <c r="E3020" s="16" t="str">
        <f>IFERROR(__xludf.DUMMYFUNCTION("""COMPUTED_VALUE"""),"сувенірні значки, нагороди")</f>
        <v>сувенірні значки, нагороди</v>
      </c>
      <c r="F3020" s="17">
        <f>IFERROR(__xludf.DUMMYFUNCTION("""COMPUTED_VALUE"""),3.0)</f>
        <v>3</v>
      </c>
      <c r="G3020" s="17" t="str">
        <f>IFERROR(__xludf.DUMMYFUNCTION("""COMPUTED_VALUE"""),"170708")</f>
        <v>170708</v>
      </c>
      <c r="H3020" s="17" t="str">
        <f>IFERROR(__xludf.DUMMYFUNCTION("""COMPUTED_VALUE"""),"сувенірні значки, нагороди")</f>
        <v>сувенірні значки, нагороди</v>
      </c>
      <c r="I3020" s="19">
        <f>IFERROR(__xludf.DUMMYFUNCTION("""COMPUTED_VALUE"""),0.1162)</f>
        <v>0.1162</v>
      </c>
      <c r="J3020" s="19">
        <f>IFERROR(__xludf.DUMMYFUNCTION("""COMPUTED_VALUE"""),0.2324)</f>
        <v>0.2324</v>
      </c>
      <c r="K3020" s="19">
        <f>IFERROR(__xludf.DUMMYFUNCTION("""COMPUTED_VALUE"""),0.2905)</f>
        <v>0.2905</v>
      </c>
      <c r="L3020" s="19">
        <f>IFERROR(__xludf.DUMMYFUNCTION("""COMPUTED_VALUE"""),0.3486)</f>
        <v>0.3486</v>
      </c>
      <c r="M3020" s="18">
        <f>IFERROR(__xludf.DUMMYFUNCTION("""COMPUTED_VALUE"""),2.79)</f>
        <v>2.79</v>
      </c>
    </row>
    <row r="3021">
      <c r="A3021" s="13" t="str">
        <f>IFERROR(__xludf.DUMMYFUNCTION("""COMPUTED_VALUE"""),"товари")</f>
        <v>товари</v>
      </c>
      <c r="B3021" s="16" t="str">
        <f>IFERROR(__xludf.DUMMYFUNCTION("""COMPUTED_VALUE"""),"подарунки, хобі, книги")</f>
        <v>подарунки, хобі, книги</v>
      </c>
      <c r="C3021" s="16" t="str">
        <f>IFERROR(__xludf.DUMMYFUNCTION("""COMPUTED_VALUE"""),"подарунки і сувеніри")</f>
        <v>подарунки і сувеніри</v>
      </c>
      <c r="D3021" s="16" t="str">
        <f>IFERROR(__xludf.DUMMYFUNCTION("""COMPUTED_VALUE"""),"сувенірні та подарункові набори")</f>
        <v>сувенірні та подарункові набори</v>
      </c>
      <c r="E3021" s="16" t="str">
        <f>IFERROR(__xludf.DUMMYFUNCTION("""COMPUTED_VALUE"""),"сувенірні та подарункові набори")</f>
        <v>сувенірні та подарункові набори</v>
      </c>
      <c r="F3021" s="17">
        <f>IFERROR(__xludf.DUMMYFUNCTION("""COMPUTED_VALUE"""),3.0)</f>
        <v>3</v>
      </c>
      <c r="G3021" s="17" t="str">
        <f>IFERROR(__xludf.DUMMYFUNCTION("""COMPUTED_VALUE"""),"1769")</f>
        <v>1769</v>
      </c>
      <c r="H3021" s="17" t="str">
        <f>IFERROR(__xludf.DUMMYFUNCTION("""COMPUTED_VALUE"""),"сувенірні та подарункові набори")</f>
        <v>сувенірні та подарункові набори</v>
      </c>
      <c r="I3021" s="19">
        <f>IFERROR(__xludf.DUMMYFUNCTION("""COMPUTED_VALUE"""),0.0959)</f>
        <v>0.0959</v>
      </c>
      <c r="J3021" s="19">
        <f>IFERROR(__xludf.DUMMYFUNCTION("""COMPUTED_VALUE"""),0.1918)</f>
        <v>0.1918</v>
      </c>
      <c r="K3021" s="19">
        <f>IFERROR(__xludf.DUMMYFUNCTION("""COMPUTED_VALUE"""),0.2398)</f>
        <v>0.2398</v>
      </c>
      <c r="L3021" s="19">
        <f>IFERROR(__xludf.DUMMYFUNCTION("""COMPUTED_VALUE"""),0.2877)</f>
        <v>0.2877</v>
      </c>
      <c r="M3021" s="18">
        <f>IFERROR(__xludf.DUMMYFUNCTION("""COMPUTED_VALUE"""),1.05)</f>
        <v>1.05</v>
      </c>
    </row>
    <row r="3022">
      <c r="A3022" s="13" t="str">
        <f>IFERROR(__xludf.DUMMYFUNCTION("""COMPUTED_VALUE"""),"товари")</f>
        <v>товари</v>
      </c>
      <c r="B3022" s="16" t="str">
        <f>IFERROR(__xludf.DUMMYFUNCTION("""COMPUTED_VALUE"""),"подарунки, хобі, книги")</f>
        <v>подарунки, хобі, книги</v>
      </c>
      <c r="C3022" s="16" t="str">
        <f>IFERROR(__xludf.DUMMYFUNCTION("""COMPUTED_VALUE"""),"кальяни і аксесуари до них")</f>
        <v>кальяни і аксесуари до них</v>
      </c>
      <c r="D3022" s="16" t="str">
        <f>IFERROR(__xludf.DUMMYFUNCTION("""COMPUTED_VALUE"""),"сумки та кейси для кальянів")</f>
        <v>сумки та кейси для кальянів</v>
      </c>
      <c r="E3022" s="16" t="str">
        <f>IFERROR(__xludf.DUMMYFUNCTION("""COMPUTED_VALUE"""),"сумки та кейси для кальянів")</f>
        <v>сумки та кейси для кальянів</v>
      </c>
      <c r="F3022" s="17">
        <f>IFERROR(__xludf.DUMMYFUNCTION("""COMPUTED_VALUE"""),3.0)</f>
        <v>3</v>
      </c>
      <c r="G3022" s="17" t="str">
        <f>IFERROR(__xludf.DUMMYFUNCTION("""COMPUTED_VALUE"""),"152612")</f>
        <v>152612</v>
      </c>
      <c r="H3022" s="17" t="str">
        <f>IFERROR(__xludf.DUMMYFUNCTION("""COMPUTED_VALUE"""),"сумки та кейси для кальянів")</f>
        <v>сумки та кейси для кальянів</v>
      </c>
      <c r="I3022" s="19">
        <f>IFERROR(__xludf.DUMMYFUNCTION("""COMPUTED_VALUE"""),0.0808)</f>
        <v>0.0808</v>
      </c>
      <c r="J3022" s="19">
        <f>IFERROR(__xludf.DUMMYFUNCTION("""COMPUTED_VALUE"""),0.1615)</f>
        <v>0.1615</v>
      </c>
      <c r="K3022" s="19">
        <f>IFERROR(__xludf.DUMMYFUNCTION("""COMPUTED_VALUE"""),0.2019)</f>
        <v>0.2019</v>
      </c>
      <c r="L3022" s="19">
        <f>IFERROR(__xludf.DUMMYFUNCTION("""COMPUTED_VALUE"""),0.2423)</f>
        <v>0.2423</v>
      </c>
      <c r="M3022" s="18">
        <f>IFERROR(__xludf.DUMMYFUNCTION("""COMPUTED_VALUE"""),1.53)</f>
        <v>1.53</v>
      </c>
    </row>
    <row r="3023">
      <c r="A3023" s="13" t="str">
        <f>IFERROR(__xludf.DUMMYFUNCTION("""COMPUTED_VALUE"""),"товари")</f>
        <v>товари</v>
      </c>
      <c r="B3023" s="16" t="str">
        <f>IFERROR(__xludf.DUMMYFUNCTION("""COMPUTED_VALUE"""),"подарунки, хобі, книги")</f>
        <v>подарунки, хобі, книги</v>
      </c>
      <c r="C3023" s="16" t="str">
        <f>IFERROR(__xludf.DUMMYFUNCTION("""COMPUTED_VALUE"""),"подарунки і сувеніри")</f>
        <v>подарунки і сувеніри</v>
      </c>
      <c r="D3023" s="16" t="str">
        <f>IFERROR(__xludf.DUMMYFUNCTION("""COMPUTED_VALUE"""),"талісмани, обереги, амулети")</f>
        <v>талісмани, обереги, амулети</v>
      </c>
      <c r="E3023" s="16" t="str">
        <f>IFERROR(__xludf.DUMMYFUNCTION("""COMPUTED_VALUE"""),"талісмани, обереги, амулети")</f>
        <v>талісмани, обереги, амулети</v>
      </c>
      <c r="F3023" s="17">
        <f>IFERROR(__xludf.DUMMYFUNCTION("""COMPUTED_VALUE"""),3.0)</f>
        <v>3</v>
      </c>
      <c r="G3023" s="17" t="str">
        <f>IFERROR(__xludf.DUMMYFUNCTION("""COMPUTED_VALUE"""),"1757")</f>
        <v>1757</v>
      </c>
      <c r="H3023" s="17" t="str">
        <f>IFERROR(__xludf.DUMMYFUNCTION("""COMPUTED_VALUE"""),"талісмани, обереги, амулети")</f>
        <v>талісмани, обереги, амулети</v>
      </c>
      <c r="I3023" s="19">
        <f>IFERROR(__xludf.DUMMYFUNCTION("""COMPUTED_VALUE"""),0.077)</f>
        <v>0.077</v>
      </c>
      <c r="J3023" s="19">
        <f>IFERROR(__xludf.DUMMYFUNCTION("""COMPUTED_VALUE"""),0.154)</f>
        <v>0.154</v>
      </c>
      <c r="K3023" s="19">
        <f>IFERROR(__xludf.DUMMYFUNCTION("""COMPUTED_VALUE"""),0.1925)</f>
        <v>0.1925</v>
      </c>
      <c r="L3023" s="19">
        <f>IFERROR(__xludf.DUMMYFUNCTION("""COMPUTED_VALUE"""),0.231)</f>
        <v>0.231</v>
      </c>
      <c r="M3023" s="18">
        <f>IFERROR(__xludf.DUMMYFUNCTION("""COMPUTED_VALUE"""),2.08)</f>
        <v>2.08</v>
      </c>
    </row>
    <row r="3024">
      <c r="A3024" s="13" t="str">
        <f>IFERROR(__xludf.DUMMYFUNCTION("""COMPUTED_VALUE"""),"товари")</f>
        <v>товари</v>
      </c>
      <c r="B3024" s="16" t="str">
        <f>IFERROR(__xludf.DUMMYFUNCTION("""COMPUTED_VALUE"""),"подарунки, хобі, книги")</f>
        <v>подарунки, хобі, книги</v>
      </c>
      <c r="C3024" s="16" t="str">
        <f>IFERROR(__xludf.DUMMYFUNCTION("""COMPUTED_VALUE"""),"музичні інструменти")</f>
        <v>музичні інструменти</v>
      </c>
      <c r="D3024" s="16" t="str">
        <f>IFERROR(__xludf.DUMMYFUNCTION("""COMPUTED_VALUE"""),"ударні музичні інструменти та аксесуари")</f>
        <v>ударні музичні інструменти та аксесуари</v>
      </c>
      <c r="E3024" s="16" t="str">
        <f>IFERROR(__xludf.DUMMYFUNCTION("""COMPUTED_VALUE"""),"тарілки для барабанів")</f>
        <v>тарілки для барабанів</v>
      </c>
      <c r="F3024" s="17">
        <f>IFERROR(__xludf.DUMMYFUNCTION("""COMPUTED_VALUE"""),4.0)</f>
        <v>4</v>
      </c>
      <c r="G3024" s="17" t="str">
        <f>IFERROR(__xludf.DUMMYFUNCTION("""COMPUTED_VALUE"""),"180524")</f>
        <v>180524</v>
      </c>
      <c r="H3024" s="17" t="str">
        <f>IFERROR(__xludf.DUMMYFUNCTION("""COMPUTED_VALUE"""),"тарілки для барабанів")</f>
        <v>тарілки для барабанів</v>
      </c>
      <c r="I3024" s="19">
        <f>IFERROR(__xludf.DUMMYFUNCTION("""COMPUTED_VALUE"""),0.0674)</f>
        <v>0.0674</v>
      </c>
      <c r="J3024" s="19">
        <f>IFERROR(__xludf.DUMMYFUNCTION("""COMPUTED_VALUE"""),0.1347)</f>
        <v>0.1347</v>
      </c>
      <c r="K3024" s="19">
        <f>IFERROR(__xludf.DUMMYFUNCTION("""COMPUTED_VALUE"""),0.1684)</f>
        <v>0.1684</v>
      </c>
      <c r="L3024" s="19">
        <f>IFERROR(__xludf.DUMMYFUNCTION("""COMPUTED_VALUE"""),0.2021)</f>
        <v>0.2021</v>
      </c>
      <c r="M3024" s="18">
        <f>IFERROR(__xludf.DUMMYFUNCTION("""COMPUTED_VALUE"""),2.34)</f>
        <v>2.34</v>
      </c>
    </row>
    <row r="3025">
      <c r="A3025" s="13" t="str">
        <f>IFERROR(__xludf.DUMMYFUNCTION("""COMPUTED_VALUE"""),"товари")</f>
        <v>товари</v>
      </c>
      <c r="B3025" s="16" t="str">
        <f>IFERROR(__xludf.DUMMYFUNCTION("""COMPUTED_VALUE"""),"подарунки, хобі, книги")</f>
        <v>подарунки, хобі, книги</v>
      </c>
      <c r="C3025" s="16" t="str">
        <f>IFERROR(__xludf.DUMMYFUNCTION("""COMPUTED_VALUE"""),"рукоділля")</f>
        <v>рукоділля</v>
      </c>
      <c r="D3025" s="16" t="str">
        <f>IFERROR(__xludf.DUMMYFUNCTION("""COMPUTED_VALUE"""),"шиття")</f>
        <v>шиття</v>
      </c>
      <c r="E3025" s="16" t="str">
        <f>IFERROR(__xludf.DUMMYFUNCTION("""COMPUTED_VALUE"""),"текстильні аксесуари")</f>
        <v>текстильні аксесуари</v>
      </c>
      <c r="F3025" s="17">
        <f>IFERROR(__xludf.DUMMYFUNCTION("""COMPUTED_VALUE"""),4.0)</f>
        <v>4</v>
      </c>
      <c r="G3025" s="17" t="str">
        <f>IFERROR(__xludf.DUMMYFUNCTION("""COMPUTED_VALUE"""),"32809")</f>
        <v>32809</v>
      </c>
      <c r="H3025" s="17" t="str">
        <f>IFERROR(__xludf.DUMMYFUNCTION("""COMPUTED_VALUE"""),"текстильні аксесуари")</f>
        <v>текстильні аксесуари</v>
      </c>
      <c r="I3025" s="19">
        <f>IFERROR(__xludf.DUMMYFUNCTION("""COMPUTED_VALUE"""),0.0782)</f>
        <v>0.0782</v>
      </c>
      <c r="J3025" s="19">
        <f>IFERROR(__xludf.DUMMYFUNCTION("""COMPUTED_VALUE"""),0.1563)</f>
        <v>0.1563</v>
      </c>
      <c r="K3025" s="19">
        <f>IFERROR(__xludf.DUMMYFUNCTION("""COMPUTED_VALUE"""),0.1954)</f>
        <v>0.1954</v>
      </c>
      <c r="L3025" s="19">
        <f>IFERROR(__xludf.DUMMYFUNCTION("""COMPUTED_VALUE"""),0.2345)</f>
        <v>0.2345</v>
      </c>
      <c r="M3025" s="18">
        <f>IFERROR(__xludf.DUMMYFUNCTION("""COMPUTED_VALUE"""),2.34)</f>
        <v>2.34</v>
      </c>
    </row>
    <row r="3026">
      <c r="A3026" s="13" t="str">
        <f>IFERROR(__xludf.DUMMYFUNCTION("""COMPUTED_VALUE"""),"товари")</f>
        <v>товари</v>
      </c>
      <c r="B3026" s="16" t="str">
        <f>IFERROR(__xludf.DUMMYFUNCTION("""COMPUTED_VALUE"""),"подарунки, хобі, книги")</f>
        <v>подарунки, хобі, книги</v>
      </c>
      <c r="C3026" s="16" t="str">
        <f>IFERROR(__xludf.DUMMYFUNCTION("""COMPUTED_VALUE"""),"книги, журнали, друкована продукція")</f>
        <v>книги, журнали, друкована продукція</v>
      </c>
      <c r="D3026" s="16" t="str">
        <f>IFERROR(__xludf.DUMMYFUNCTION("""COMPUTED_VALUE"""),"технічна література")</f>
        <v>технічна література</v>
      </c>
      <c r="E3026" s="16" t="str">
        <f>IFERROR(__xludf.DUMMYFUNCTION("""COMPUTED_VALUE"""),"технічна література")</f>
        <v>технічна література</v>
      </c>
      <c r="F3026" s="17">
        <f>IFERROR(__xludf.DUMMYFUNCTION("""COMPUTED_VALUE"""),3.0)</f>
        <v>3</v>
      </c>
      <c r="G3026" s="17" t="str">
        <f>IFERROR(__xludf.DUMMYFUNCTION("""COMPUTED_VALUE"""),"3501")</f>
        <v>3501</v>
      </c>
      <c r="H3026" s="17" t="str">
        <f>IFERROR(__xludf.DUMMYFUNCTION("""COMPUTED_VALUE"""),"технічна література")</f>
        <v>технічна література</v>
      </c>
      <c r="I3026" s="19">
        <f>IFERROR(__xludf.DUMMYFUNCTION("""COMPUTED_VALUE"""),0.0742)</f>
        <v>0.0742</v>
      </c>
      <c r="J3026" s="19">
        <f>IFERROR(__xludf.DUMMYFUNCTION("""COMPUTED_VALUE"""),0.1484)</f>
        <v>0.1484</v>
      </c>
      <c r="K3026" s="19">
        <f>IFERROR(__xludf.DUMMYFUNCTION("""COMPUTED_VALUE"""),0.1855)</f>
        <v>0.1855</v>
      </c>
      <c r="L3026" s="19">
        <f>IFERROR(__xludf.DUMMYFUNCTION("""COMPUTED_VALUE"""),0.2226)</f>
        <v>0.2226</v>
      </c>
      <c r="M3026" s="18">
        <f>IFERROR(__xludf.DUMMYFUNCTION("""COMPUTED_VALUE"""),1.8)</f>
        <v>1.8</v>
      </c>
    </row>
    <row r="3027">
      <c r="A3027" s="13" t="str">
        <f>IFERROR(__xludf.DUMMYFUNCTION("""COMPUTED_VALUE"""),"товари")</f>
        <v>товари</v>
      </c>
      <c r="B3027" s="16" t="str">
        <f>IFERROR(__xludf.DUMMYFUNCTION("""COMPUTED_VALUE"""),"подарунки, хобі, книги")</f>
        <v>подарунки, хобі, книги</v>
      </c>
      <c r="C3027" s="16" t="str">
        <f>IFERROR(__xludf.DUMMYFUNCTION("""COMPUTED_VALUE"""),"рукоділля")</f>
        <v>рукоділля</v>
      </c>
      <c r="D3027" s="16" t="str">
        <f>IFERROR(__xludf.DUMMYFUNCTION("""COMPUTED_VALUE"""),"шиття")</f>
        <v>шиття</v>
      </c>
      <c r="E3027" s="16" t="str">
        <f>IFERROR(__xludf.DUMMYFUNCTION("""COMPUTED_VALUE"""),"тканини та сітки для рукоділля")</f>
        <v>тканини та сітки для рукоділля</v>
      </c>
      <c r="F3027" s="17">
        <f>IFERROR(__xludf.DUMMYFUNCTION("""COMPUTED_VALUE"""),4.0)</f>
        <v>4</v>
      </c>
      <c r="G3027" s="17" t="str">
        <f>IFERROR(__xludf.DUMMYFUNCTION("""COMPUTED_VALUE"""),"152516")</f>
        <v>152516</v>
      </c>
      <c r="H3027" s="17" t="str">
        <f>IFERROR(__xludf.DUMMYFUNCTION("""COMPUTED_VALUE"""),"тканини та сітки для рукоділля")</f>
        <v>тканини та сітки для рукоділля</v>
      </c>
      <c r="I3027" s="19">
        <f>IFERROR(__xludf.DUMMYFUNCTION("""COMPUTED_VALUE"""),0.0759)</f>
        <v>0.0759</v>
      </c>
      <c r="J3027" s="19">
        <f>IFERROR(__xludf.DUMMYFUNCTION("""COMPUTED_VALUE"""),0.1517)</f>
        <v>0.1517</v>
      </c>
      <c r="K3027" s="19">
        <f>IFERROR(__xludf.DUMMYFUNCTION("""COMPUTED_VALUE"""),0.1896)</f>
        <v>0.1896</v>
      </c>
      <c r="L3027" s="19">
        <f>IFERROR(__xludf.DUMMYFUNCTION("""COMPUTED_VALUE"""),0.2276)</f>
        <v>0.2276</v>
      </c>
      <c r="M3027" s="18">
        <f>IFERROR(__xludf.DUMMYFUNCTION("""COMPUTED_VALUE"""),2.34)</f>
        <v>2.34</v>
      </c>
    </row>
    <row r="3028">
      <c r="A3028" s="13" t="str">
        <f>IFERROR(__xludf.DUMMYFUNCTION("""COMPUTED_VALUE"""),"товари")</f>
        <v>товари</v>
      </c>
      <c r="B3028" s="16" t="str">
        <f>IFERROR(__xludf.DUMMYFUNCTION("""COMPUTED_VALUE"""),"подарунки, хобі, книги")</f>
        <v>подарунки, хобі, книги</v>
      </c>
      <c r="C3028" s="16" t="str">
        <f>IFERROR(__xludf.DUMMYFUNCTION("""COMPUTED_VALUE"""),"рукоділля")</f>
        <v>рукоділля</v>
      </c>
      <c r="D3028" s="16" t="str">
        <f>IFERROR(__xludf.DUMMYFUNCTION("""COMPUTED_VALUE"""),"шиття")</f>
        <v>шиття</v>
      </c>
      <c r="E3028" s="16" t="str">
        <f>IFERROR(__xludf.DUMMYFUNCTION("""COMPUTED_VALUE"""),"товари для печворку")</f>
        <v>товари для печворку</v>
      </c>
      <c r="F3028" s="17">
        <f>IFERROR(__xludf.DUMMYFUNCTION("""COMPUTED_VALUE"""),4.0)</f>
        <v>4</v>
      </c>
      <c r="G3028" s="17" t="str">
        <f>IFERROR(__xludf.DUMMYFUNCTION("""COMPUTED_VALUE"""),"152519")</f>
        <v>152519</v>
      </c>
      <c r="H3028" s="17" t="str">
        <f>IFERROR(__xludf.DUMMYFUNCTION("""COMPUTED_VALUE"""),"товари для печворку")</f>
        <v>товари для печворку</v>
      </c>
      <c r="I3028" s="19">
        <f>IFERROR(__xludf.DUMMYFUNCTION("""COMPUTED_VALUE"""),0.0864)</f>
        <v>0.0864</v>
      </c>
      <c r="J3028" s="19">
        <f>IFERROR(__xludf.DUMMYFUNCTION("""COMPUTED_VALUE"""),0.1728)</f>
        <v>0.1728</v>
      </c>
      <c r="K3028" s="19">
        <f>IFERROR(__xludf.DUMMYFUNCTION("""COMPUTED_VALUE"""),0.216)</f>
        <v>0.216</v>
      </c>
      <c r="L3028" s="19">
        <f>IFERROR(__xludf.DUMMYFUNCTION("""COMPUTED_VALUE"""),0.2592)</f>
        <v>0.2592</v>
      </c>
      <c r="M3028" s="18">
        <f>IFERROR(__xludf.DUMMYFUNCTION("""COMPUTED_VALUE"""),2.34)</f>
        <v>2.34</v>
      </c>
    </row>
    <row r="3029">
      <c r="A3029" s="13" t="str">
        <f>IFERROR(__xludf.DUMMYFUNCTION("""COMPUTED_VALUE"""),"товари")</f>
        <v>товари</v>
      </c>
      <c r="B3029" s="16" t="str">
        <f>IFERROR(__xludf.DUMMYFUNCTION("""COMPUTED_VALUE"""),"товари для дому")</f>
        <v>товари для дому</v>
      </c>
      <c r="C3029" s="16" t="str">
        <f>IFERROR(__xludf.DUMMYFUNCTION("""COMPUTED_VALUE"""),"декор для дому")</f>
        <v>декор для дому</v>
      </c>
      <c r="D3029" s="16" t="str">
        <f>IFERROR(__xludf.DUMMYFUNCTION("""COMPUTED_VALUE"""),"кімнатні рослини")</f>
        <v>кімнатні рослини</v>
      </c>
      <c r="E3029" s="16" t="str">
        <f>IFERROR(__xludf.DUMMYFUNCTION("""COMPUTED_VALUE"""),"трав'янчики та екокуби")</f>
        <v>трав'янчики та екокуби</v>
      </c>
      <c r="F3029" s="17">
        <f>IFERROR(__xludf.DUMMYFUNCTION("""COMPUTED_VALUE"""),4.0)</f>
        <v>4</v>
      </c>
      <c r="G3029" s="17" t="str">
        <f>IFERROR(__xludf.DUMMYFUNCTION("""COMPUTED_VALUE"""),"170711")</f>
        <v>170711</v>
      </c>
      <c r="H3029" s="17" t="str">
        <f>IFERROR(__xludf.DUMMYFUNCTION("""COMPUTED_VALUE"""),"трав'янчики та екокуби")</f>
        <v>трав'янчики та екокуби</v>
      </c>
      <c r="I3029" s="19">
        <f>IFERROR(__xludf.DUMMYFUNCTION("""COMPUTED_VALUE"""),0.0891)</f>
        <v>0.0891</v>
      </c>
      <c r="J3029" s="19">
        <f>IFERROR(__xludf.DUMMYFUNCTION("""COMPUTED_VALUE"""),0.1781)</f>
        <v>0.1781</v>
      </c>
      <c r="K3029" s="19">
        <f>IFERROR(__xludf.DUMMYFUNCTION("""COMPUTED_VALUE"""),0.2226)</f>
        <v>0.2226</v>
      </c>
      <c r="L3029" s="19">
        <f>IFERROR(__xludf.DUMMYFUNCTION("""COMPUTED_VALUE"""),0.2672)</f>
        <v>0.2672</v>
      </c>
      <c r="M3029" s="18">
        <f>IFERROR(__xludf.DUMMYFUNCTION("""COMPUTED_VALUE"""),1.44)</f>
        <v>1.44</v>
      </c>
    </row>
    <row r="3030">
      <c r="A3030" s="13" t="str">
        <f>IFERROR(__xludf.DUMMYFUNCTION("""COMPUTED_VALUE"""),"товари")</f>
        <v>товари</v>
      </c>
      <c r="B3030" s="16" t="str">
        <f>IFERROR(__xludf.DUMMYFUNCTION("""COMPUTED_VALUE"""),"подарунки, хобі, книги")</f>
        <v>подарунки, хобі, книги</v>
      </c>
      <c r="C3030" s="16" t="str">
        <f>IFERROR(__xludf.DUMMYFUNCTION("""COMPUTED_VALUE"""),"рукоділля")</f>
        <v>рукоділля</v>
      </c>
      <c r="D3030" s="16" t="str">
        <f>IFERROR(__xludf.DUMMYFUNCTION("""COMPUTED_VALUE"""),"скрапбукінг, квіллінг і декупаж")</f>
        <v>скрапбукінг, квіллінг і декупаж</v>
      </c>
      <c r="E3030" s="16" t="str">
        <f>IFERROR(__xludf.DUMMYFUNCTION("""COMPUTED_VALUE"""),"трафарети та штампи для рукоділля")</f>
        <v>трафарети та штампи для рукоділля</v>
      </c>
      <c r="F3030" s="17">
        <f>IFERROR(__xludf.DUMMYFUNCTION("""COMPUTED_VALUE"""),4.0)</f>
        <v>4</v>
      </c>
      <c r="G3030" s="17" t="str">
        <f>IFERROR(__xludf.DUMMYFUNCTION("""COMPUTED_VALUE"""),"152515")</f>
        <v>152515</v>
      </c>
      <c r="H3030" s="17" t="str">
        <f>IFERROR(__xludf.DUMMYFUNCTION("""COMPUTED_VALUE"""),"трафарети та штампи для рукоділля")</f>
        <v>трафарети та штампи для рукоділля</v>
      </c>
      <c r="I3030" s="19">
        <f>IFERROR(__xludf.DUMMYFUNCTION("""COMPUTED_VALUE"""),0.0823)</f>
        <v>0.0823</v>
      </c>
      <c r="J3030" s="19">
        <f>IFERROR(__xludf.DUMMYFUNCTION("""COMPUTED_VALUE"""),0.1646)</f>
        <v>0.1646</v>
      </c>
      <c r="K3030" s="19">
        <f>IFERROR(__xludf.DUMMYFUNCTION("""COMPUTED_VALUE"""),0.2058)</f>
        <v>0.2058</v>
      </c>
      <c r="L3030" s="19">
        <f>IFERROR(__xludf.DUMMYFUNCTION("""COMPUTED_VALUE"""),0.2469)</f>
        <v>0.2469</v>
      </c>
      <c r="M3030" s="18">
        <f>IFERROR(__xludf.DUMMYFUNCTION("""COMPUTED_VALUE"""),1.26)</f>
        <v>1.26</v>
      </c>
    </row>
    <row r="3031">
      <c r="A3031" s="13" t="str">
        <f>IFERROR(__xludf.DUMMYFUNCTION("""COMPUTED_VALUE"""),"товари")</f>
        <v>товари</v>
      </c>
      <c r="B3031" s="16" t="str">
        <f>IFERROR(__xludf.DUMMYFUNCTION("""COMPUTED_VALUE"""),"подарунки, хобі, книги")</f>
        <v>подарунки, хобі, книги</v>
      </c>
      <c r="C3031" s="16" t="str">
        <f>IFERROR(__xludf.DUMMYFUNCTION("""COMPUTED_VALUE"""),"музичні інструменти")</f>
        <v>музичні інструменти</v>
      </c>
      <c r="D3031" s="16" t="str">
        <f>IFERROR(__xludf.DUMMYFUNCTION("""COMPUTED_VALUE"""),"ударні музичні інструменти та аксесуари")</f>
        <v>ударні музичні інструменти та аксесуари</v>
      </c>
      <c r="E3031" s="16" t="str">
        <f>IFERROR(__xludf.DUMMYFUNCTION("""COMPUTED_VALUE"""),"тренувальні педи, демпфери та установки")</f>
        <v>тренувальні педи, демпфери та установки</v>
      </c>
      <c r="F3031" s="17">
        <f>IFERROR(__xludf.DUMMYFUNCTION("""COMPUTED_VALUE"""),4.0)</f>
        <v>4</v>
      </c>
      <c r="G3031" s="17" t="str">
        <f>IFERROR(__xludf.DUMMYFUNCTION("""COMPUTED_VALUE"""),"180532")</f>
        <v>180532</v>
      </c>
      <c r="H3031" s="17" t="str">
        <f>IFERROR(__xludf.DUMMYFUNCTION("""COMPUTED_VALUE"""),"тренувальні педи, демпфери та установки")</f>
        <v>тренувальні педи, демпфери та установки</v>
      </c>
      <c r="I3031" s="19">
        <f>IFERROR(__xludf.DUMMYFUNCTION("""COMPUTED_VALUE"""),0.0739)</f>
        <v>0.0739</v>
      </c>
      <c r="J3031" s="19">
        <f>IFERROR(__xludf.DUMMYFUNCTION("""COMPUTED_VALUE"""),0.1477)</f>
        <v>0.1477</v>
      </c>
      <c r="K3031" s="19">
        <f>IFERROR(__xludf.DUMMYFUNCTION("""COMPUTED_VALUE"""),0.1846)</f>
        <v>0.1846</v>
      </c>
      <c r="L3031" s="19">
        <f>IFERROR(__xludf.DUMMYFUNCTION("""COMPUTED_VALUE"""),0.2216)</f>
        <v>0.2216</v>
      </c>
      <c r="M3031" s="18">
        <f>IFERROR(__xludf.DUMMYFUNCTION("""COMPUTED_VALUE"""),2.34)</f>
        <v>2.34</v>
      </c>
    </row>
    <row r="3032">
      <c r="A3032" s="13" t="str">
        <f>IFERROR(__xludf.DUMMYFUNCTION("""COMPUTED_VALUE"""),"товари")</f>
        <v>товари</v>
      </c>
      <c r="B3032" s="16" t="str">
        <f>IFERROR(__xludf.DUMMYFUNCTION("""COMPUTED_VALUE"""),"подарунки, хобі, книги")</f>
        <v>подарунки, хобі, книги</v>
      </c>
      <c r="C3032" s="16" t="str">
        <f>IFERROR(__xludf.DUMMYFUNCTION("""COMPUTED_VALUE"""),"музичні інструменти")</f>
        <v>музичні інструменти</v>
      </c>
      <c r="D3032" s="16" t="str">
        <f>IFERROR(__xludf.DUMMYFUNCTION("""COMPUTED_VALUE"""),"гітари та обладнання")</f>
        <v>гітари та обладнання</v>
      </c>
      <c r="E3032" s="16" t="str">
        <f>IFERROR(__xludf.DUMMYFUNCTION("""COMPUTED_VALUE"""),"тюнери і метрономи")</f>
        <v>тюнери і метрономи</v>
      </c>
      <c r="F3032" s="17">
        <f>IFERROR(__xludf.DUMMYFUNCTION("""COMPUTED_VALUE"""),4.0)</f>
        <v>4</v>
      </c>
      <c r="G3032" s="17" t="str">
        <f>IFERROR(__xludf.DUMMYFUNCTION("""COMPUTED_VALUE"""),"180536")</f>
        <v>180536</v>
      </c>
      <c r="H3032" s="17" t="str">
        <f>IFERROR(__xludf.DUMMYFUNCTION("""COMPUTED_VALUE"""),"тюнери і метрономи")</f>
        <v>тюнери і метрономи</v>
      </c>
      <c r="I3032" s="19">
        <f>IFERROR(__xludf.DUMMYFUNCTION("""COMPUTED_VALUE"""),0.0688)</f>
        <v>0.0688</v>
      </c>
      <c r="J3032" s="19">
        <f>IFERROR(__xludf.DUMMYFUNCTION("""COMPUTED_VALUE"""),0.1376)</f>
        <v>0.1376</v>
      </c>
      <c r="K3032" s="19">
        <f>IFERROR(__xludf.DUMMYFUNCTION("""COMPUTED_VALUE"""),0.172)</f>
        <v>0.172</v>
      </c>
      <c r="L3032" s="19">
        <f>IFERROR(__xludf.DUMMYFUNCTION("""COMPUTED_VALUE"""),0.2064)</f>
        <v>0.2064</v>
      </c>
      <c r="M3032" s="18">
        <f>IFERROR(__xludf.DUMMYFUNCTION("""COMPUTED_VALUE"""),4.41)</f>
        <v>4.41</v>
      </c>
    </row>
    <row r="3033">
      <c r="A3033" s="13" t="str">
        <f>IFERROR(__xludf.DUMMYFUNCTION("""COMPUTED_VALUE"""),"товари")</f>
        <v>товари</v>
      </c>
      <c r="B3033" s="16" t="str">
        <f>IFERROR(__xludf.DUMMYFUNCTION("""COMPUTED_VALUE"""),"подарунки, хобі, книги")</f>
        <v>подарунки, хобі, книги</v>
      </c>
      <c r="C3033" s="16" t="str">
        <f>IFERROR(__xludf.DUMMYFUNCTION("""COMPUTED_VALUE"""),"музичні інструменти")</f>
        <v>музичні інструменти</v>
      </c>
      <c r="D3033" s="16" t="str">
        <f>IFERROR(__xludf.DUMMYFUNCTION("""COMPUTED_VALUE"""),"ударні музичні інструменти та аксесуари")</f>
        <v>ударні музичні інструменти та аксесуари</v>
      </c>
      <c r="E3033" s="16" t="str">
        <f>IFERROR(__xludf.DUMMYFUNCTION("""COMPUTED_VALUE"""),"ударні інструменти та аксесуари, загальне")</f>
        <v>ударні інструменти та аксесуари, загальне</v>
      </c>
      <c r="F3033" s="17">
        <f>IFERROR(__xludf.DUMMYFUNCTION("""COMPUTED_VALUE"""),4.0)</f>
        <v>4</v>
      </c>
      <c r="G3033" s="17" t="str">
        <f>IFERROR(__xludf.DUMMYFUNCTION("""COMPUTED_VALUE"""),"180528")</f>
        <v>180528</v>
      </c>
      <c r="H3033" s="17" t="str">
        <f>IFERROR(__xludf.DUMMYFUNCTION("""COMPUTED_VALUE"""),"ударні інструменти та аксесуари, загальне")</f>
        <v>ударні інструменти та аксесуари, загальне</v>
      </c>
      <c r="I3033" s="19">
        <f>IFERROR(__xludf.DUMMYFUNCTION("""COMPUTED_VALUE"""),0.125)</f>
        <v>0.125</v>
      </c>
      <c r="J3033" s="19">
        <f>IFERROR(__xludf.DUMMYFUNCTION("""COMPUTED_VALUE"""),0.25)</f>
        <v>0.25</v>
      </c>
      <c r="K3033" s="19">
        <f>IFERROR(__xludf.DUMMYFUNCTION("""COMPUTED_VALUE"""),0.3125)</f>
        <v>0.3125</v>
      </c>
      <c r="L3033" s="19">
        <f>IFERROR(__xludf.DUMMYFUNCTION("""COMPUTED_VALUE"""),0.375)</f>
        <v>0.375</v>
      </c>
      <c r="M3033" s="18">
        <f>IFERROR(__xludf.DUMMYFUNCTION("""COMPUTED_VALUE"""),4.33)</f>
        <v>4.33</v>
      </c>
    </row>
    <row r="3034">
      <c r="A3034" s="13" t="str">
        <f>IFERROR(__xludf.DUMMYFUNCTION("""COMPUTED_VALUE"""),"товари")</f>
        <v>товари</v>
      </c>
      <c r="B3034" s="16" t="str">
        <f>IFERROR(__xludf.DUMMYFUNCTION("""COMPUTED_VALUE"""),"подарунки, хобі, книги")</f>
        <v>подарунки, хобі, книги</v>
      </c>
      <c r="C3034" s="16" t="str">
        <f>IFERROR(__xludf.DUMMYFUNCTION("""COMPUTED_VALUE"""),"cвяткові прикраси")</f>
        <v>cвяткові прикраси</v>
      </c>
      <c r="D3034" s="16" t="str">
        <f>IFERROR(__xludf.DUMMYFUNCTION("""COMPUTED_VALUE"""),"урочисті стрічки")</f>
        <v>урочисті стрічки</v>
      </c>
      <c r="E3034" s="16" t="str">
        <f>IFERROR(__xludf.DUMMYFUNCTION("""COMPUTED_VALUE"""),"урочисті стрічки")</f>
        <v>урочисті стрічки</v>
      </c>
      <c r="F3034" s="17">
        <f>IFERROR(__xludf.DUMMYFUNCTION("""COMPUTED_VALUE"""),3.0)</f>
        <v>3</v>
      </c>
      <c r="G3034" s="17" t="str">
        <f>IFERROR(__xludf.DUMMYFUNCTION("""COMPUTED_VALUE"""),"175504")</f>
        <v>175504</v>
      </c>
      <c r="H3034" s="17" t="str">
        <f>IFERROR(__xludf.DUMMYFUNCTION("""COMPUTED_VALUE"""),"урочисті стрічки")</f>
        <v>урочисті стрічки</v>
      </c>
      <c r="I3034" s="19">
        <f>IFERROR(__xludf.DUMMYFUNCTION("""COMPUTED_VALUE"""),0.1181)</f>
        <v>0.1181</v>
      </c>
      <c r="J3034" s="19">
        <f>IFERROR(__xludf.DUMMYFUNCTION("""COMPUTED_VALUE"""),0.2361)</f>
        <v>0.2361</v>
      </c>
      <c r="K3034" s="19">
        <f>IFERROR(__xludf.DUMMYFUNCTION("""COMPUTED_VALUE"""),0.2951)</f>
        <v>0.2951</v>
      </c>
      <c r="L3034" s="19">
        <f>IFERROR(__xludf.DUMMYFUNCTION("""COMPUTED_VALUE"""),0.3542)</f>
        <v>0.3542</v>
      </c>
      <c r="M3034" s="18">
        <f>IFERROR(__xludf.DUMMYFUNCTION("""COMPUTED_VALUE"""),2.16)</f>
        <v>2.16</v>
      </c>
    </row>
    <row r="3035">
      <c r="A3035" s="13" t="str">
        <f>IFERROR(__xludf.DUMMYFUNCTION("""COMPUTED_VALUE"""),"товари")</f>
        <v>товари</v>
      </c>
      <c r="B3035" s="16" t="str">
        <f>IFERROR(__xludf.DUMMYFUNCTION("""COMPUTED_VALUE"""),"подарунки, хобі, книги")</f>
        <v>подарунки, хобі, книги</v>
      </c>
      <c r="C3035" s="16" t="str">
        <f>IFERROR(__xludf.DUMMYFUNCTION("""COMPUTED_VALUE"""),"cвяткові прикраси")</f>
        <v>cвяткові прикраси</v>
      </c>
      <c r="D3035" s="16" t="str">
        <f>IFERROR(__xludf.DUMMYFUNCTION("""COMPUTED_VALUE"""),"феєрверки та піротехніка")</f>
        <v>феєрверки та піротехніка</v>
      </c>
      <c r="E3035" s="16" t="str">
        <f>IFERROR(__xludf.DUMMYFUNCTION("""COMPUTED_VALUE"""),"феєрверки та піротехніка")</f>
        <v>феєрверки та піротехніка</v>
      </c>
      <c r="F3035" s="17">
        <f>IFERROR(__xludf.DUMMYFUNCTION("""COMPUTED_VALUE"""),3.0)</f>
        <v>3</v>
      </c>
      <c r="G3035" s="17" t="str">
        <f>IFERROR(__xludf.DUMMYFUNCTION("""COMPUTED_VALUE"""),"282913")</f>
        <v>282913</v>
      </c>
      <c r="H3035" s="17" t="str">
        <f>IFERROR(__xludf.DUMMYFUNCTION("""COMPUTED_VALUE"""),"феєрверки та піротехніка")</f>
        <v>феєрверки та піротехніка</v>
      </c>
      <c r="I3035" s="19">
        <f>IFERROR(__xludf.DUMMYFUNCTION("""COMPUTED_VALUE"""),0.0984)</f>
        <v>0.0984</v>
      </c>
      <c r="J3035" s="19">
        <f>IFERROR(__xludf.DUMMYFUNCTION("""COMPUTED_VALUE"""),0.1967)</f>
        <v>0.1967</v>
      </c>
      <c r="K3035" s="19">
        <f>IFERROR(__xludf.DUMMYFUNCTION("""COMPUTED_VALUE"""),0.2459)</f>
        <v>0.2459</v>
      </c>
      <c r="L3035" s="19">
        <f>IFERROR(__xludf.DUMMYFUNCTION("""COMPUTED_VALUE"""),0.2951)</f>
        <v>0.2951</v>
      </c>
      <c r="M3035" s="18">
        <f>IFERROR(__xludf.DUMMYFUNCTION("""COMPUTED_VALUE"""),1.53)</f>
        <v>1.53</v>
      </c>
    </row>
    <row r="3036">
      <c r="A3036" s="13" t="str">
        <f>IFERROR(__xludf.DUMMYFUNCTION("""COMPUTED_VALUE"""),"товари")</f>
        <v>товари</v>
      </c>
      <c r="B3036" s="16" t="str">
        <f>IFERROR(__xludf.DUMMYFUNCTION("""COMPUTED_VALUE"""),"подарунки, хобі, книги")</f>
        <v>подарунки, хобі, книги</v>
      </c>
      <c r="C3036" s="16" t="str">
        <f>IFERROR(__xludf.DUMMYFUNCTION("""COMPUTED_VALUE"""),"рукоділля")</f>
        <v>рукоділля</v>
      </c>
      <c r="D3036" s="16" t="str">
        <f>IFERROR(__xludf.DUMMYFUNCTION("""COMPUTED_VALUE"""),"миловаріння та виготовлення свічок")</f>
        <v>миловаріння та виготовлення свічок</v>
      </c>
      <c r="E3036" s="16" t="str">
        <f>IFERROR(__xludf.DUMMYFUNCTION("""COMPUTED_VALUE"""),"форми для мила")</f>
        <v>форми для мила</v>
      </c>
      <c r="F3036" s="17">
        <f>IFERROR(__xludf.DUMMYFUNCTION("""COMPUTED_VALUE"""),4.0)</f>
        <v>4</v>
      </c>
      <c r="G3036" s="17" t="str">
        <f>IFERROR(__xludf.DUMMYFUNCTION("""COMPUTED_VALUE"""),"15250901")</f>
        <v>15250901</v>
      </c>
      <c r="H3036" s="17" t="str">
        <f>IFERROR(__xludf.DUMMYFUNCTION("""COMPUTED_VALUE"""),"форми для мила")</f>
        <v>форми для мила</v>
      </c>
      <c r="I3036" s="19">
        <f>IFERROR(__xludf.DUMMYFUNCTION("""COMPUTED_VALUE"""),0.0767)</f>
        <v>0.0767</v>
      </c>
      <c r="J3036" s="19">
        <f>IFERROR(__xludf.DUMMYFUNCTION("""COMPUTED_VALUE"""),0.1534)</f>
        <v>0.1534</v>
      </c>
      <c r="K3036" s="19">
        <f>IFERROR(__xludf.DUMMYFUNCTION("""COMPUTED_VALUE"""),0.1918)</f>
        <v>0.1918</v>
      </c>
      <c r="L3036" s="19">
        <f>IFERROR(__xludf.DUMMYFUNCTION("""COMPUTED_VALUE"""),0.2301)</f>
        <v>0.2301</v>
      </c>
      <c r="M3036" s="18">
        <f>IFERROR(__xludf.DUMMYFUNCTION("""COMPUTED_VALUE"""),1.26)</f>
        <v>1.26</v>
      </c>
    </row>
    <row r="3037">
      <c r="A3037" s="13" t="str">
        <f>IFERROR(__xludf.DUMMYFUNCTION("""COMPUTED_VALUE"""),"товари")</f>
        <v>товари</v>
      </c>
      <c r="B3037" s="16" t="str">
        <f>IFERROR(__xludf.DUMMYFUNCTION("""COMPUTED_VALUE"""),"подарунки, хобі, книги")</f>
        <v>подарунки, хобі, книги</v>
      </c>
      <c r="C3037" s="16" t="str">
        <f>IFERROR(__xludf.DUMMYFUNCTION("""COMPUTED_VALUE"""),"кальяни і аксесуари до них")</f>
        <v>кальяни і аксесуари до них</v>
      </c>
      <c r="D3037" s="16" t="str">
        <f>IFERROR(__xludf.DUMMYFUNCTION("""COMPUTED_VALUE"""),"футляри для сигар і сигарет")</f>
        <v>футляри для сигар і сигарет</v>
      </c>
      <c r="E3037" s="16" t="str">
        <f>IFERROR(__xludf.DUMMYFUNCTION("""COMPUTED_VALUE"""),"футляри для сигар і сигарет")</f>
        <v>футляри для сигар і сигарет</v>
      </c>
      <c r="F3037" s="17">
        <f>IFERROR(__xludf.DUMMYFUNCTION("""COMPUTED_VALUE"""),3.0)</f>
        <v>3</v>
      </c>
      <c r="G3037" s="17" t="str">
        <f>IFERROR(__xludf.DUMMYFUNCTION("""COMPUTED_VALUE"""),"152602")</f>
        <v>152602</v>
      </c>
      <c r="H3037" s="17" t="str">
        <f>IFERROR(__xludf.DUMMYFUNCTION("""COMPUTED_VALUE"""),"футляри для сигар і сигарет")</f>
        <v>футляри для сигар і сигарет</v>
      </c>
      <c r="I3037" s="19">
        <f>IFERROR(__xludf.DUMMYFUNCTION("""COMPUTED_VALUE"""),0.0739)</f>
        <v>0.0739</v>
      </c>
      <c r="J3037" s="19">
        <f>IFERROR(__xludf.DUMMYFUNCTION("""COMPUTED_VALUE"""),0.1478)</f>
        <v>0.1478</v>
      </c>
      <c r="K3037" s="19">
        <f>IFERROR(__xludf.DUMMYFUNCTION("""COMPUTED_VALUE"""),0.1848)</f>
        <v>0.1848</v>
      </c>
      <c r="L3037" s="19">
        <f>IFERROR(__xludf.DUMMYFUNCTION("""COMPUTED_VALUE"""),0.2217)</f>
        <v>0.2217</v>
      </c>
      <c r="M3037" s="18">
        <f>IFERROR(__xludf.DUMMYFUNCTION("""COMPUTED_VALUE"""),1.05)</f>
        <v>1.05</v>
      </c>
    </row>
    <row r="3038">
      <c r="A3038" s="13" t="str">
        <f>IFERROR(__xludf.DUMMYFUNCTION("""COMPUTED_VALUE"""),"товари")</f>
        <v>товари</v>
      </c>
      <c r="B3038" s="16" t="str">
        <f>IFERROR(__xludf.DUMMYFUNCTION("""COMPUTED_VALUE"""),"подарунки, хобі, книги")</f>
        <v>подарунки, хобі, книги</v>
      </c>
      <c r="C3038" s="16" t="str">
        <f>IFERROR(__xludf.DUMMYFUNCTION("""COMPUTED_VALUE"""),"cвяткові прикраси")</f>
        <v>cвяткові прикраси</v>
      </c>
      <c r="D3038" s="16" t="str">
        <f>IFERROR(__xludf.DUMMYFUNCTION("""COMPUTED_VALUE"""),"хвойні гірлянди та вінки")</f>
        <v>хвойні гірлянди та вінки</v>
      </c>
      <c r="E3038" s="16" t="str">
        <f>IFERROR(__xludf.DUMMYFUNCTION("""COMPUTED_VALUE"""),"хвойні гірлянди та вінки")</f>
        <v>хвойні гірлянди та вінки</v>
      </c>
      <c r="F3038" s="17">
        <f>IFERROR(__xludf.DUMMYFUNCTION("""COMPUTED_VALUE"""),3.0)</f>
        <v>3</v>
      </c>
      <c r="G3038" s="17" t="str">
        <f>IFERROR(__xludf.DUMMYFUNCTION("""COMPUTED_VALUE"""),"175512")</f>
        <v>175512</v>
      </c>
      <c r="H3038" s="17" t="str">
        <f>IFERROR(__xludf.DUMMYFUNCTION("""COMPUTED_VALUE"""),"хвойні гірлянди та вінки")</f>
        <v>хвойні гірлянди та вінки</v>
      </c>
      <c r="I3038" s="19">
        <f>IFERROR(__xludf.DUMMYFUNCTION("""COMPUTED_VALUE"""),0.1148)</f>
        <v>0.1148</v>
      </c>
      <c r="J3038" s="19">
        <f>IFERROR(__xludf.DUMMYFUNCTION("""COMPUTED_VALUE"""),0.2296)</f>
        <v>0.2296</v>
      </c>
      <c r="K3038" s="19">
        <f>IFERROR(__xludf.DUMMYFUNCTION("""COMPUTED_VALUE"""),0.287)</f>
        <v>0.287</v>
      </c>
      <c r="L3038" s="19">
        <f>IFERROR(__xludf.DUMMYFUNCTION("""COMPUTED_VALUE"""),0.3444)</f>
        <v>0.3444</v>
      </c>
      <c r="M3038" s="18">
        <f>IFERROR(__xludf.DUMMYFUNCTION("""COMPUTED_VALUE"""),1.05)</f>
        <v>1.05</v>
      </c>
    </row>
    <row r="3039">
      <c r="A3039" s="13" t="str">
        <f>IFERROR(__xludf.DUMMYFUNCTION("""COMPUTED_VALUE"""),"товари")</f>
        <v>товари</v>
      </c>
      <c r="B3039" s="16" t="str">
        <f>IFERROR(__xludf.DUMMYFUNCTION("""COMPUTED_VALUE"""),"подарунки, хобі, книги")</f>
        <v>подарунки, хобі, книги</v>
      </c>
      <c r="C3039" s="16" t="str">
        <f>IFERROR(__xludf.DUMMYFUNCTION("""COMPUTED_VALUE"""),"cвяткові прикраси")</f>
        <v>cвяткові прикраси</v>
      </c>
      <c r="D3039" s="16" t="str">
        <f>IFERROR(__xludf.DUMMYFUNCTION("""COMPUTED_VALUE"""),"хлопавки, пневмохлопавки")</f>
        <v>хлопавки, пневмохлопавки</v>
      </c>
      <c r="E3039" s="16" t="str">
        <f>IFERROR(__xludf.DUMMYFUNCTION("""COMPUTED_VALUE"""),"хлопавки, пневмохлопавки")</f>
        <v>хлопавки, пневмохлопавки</v>
      </c>
      <c r="F3039" s="17">
        <f>IFERROR(__xludf.DUMMYFUNCTION("""COMPUTED_VALUE"""),3.0)</f>
        <v>3</v>
      </c>
      <c r="G3039" s="17" t="str">
        <f>IFERROR(__xludf.DUMMYFUNCTION("""COMPUTED_VALUE"""),"175507")</f>
        <v>175507</v>
      </c>
      <c r="H3039" s="17" t="str">
        <f>IFERROR(__xludf.DUMMYFUNCTION("""COMPUTED_VALUE"""),"хлопавки, пневмохлопавки")</f>
        <v>хлопавки, пневмохлопавки</v>
      </c>
      <c r="I3039" s="19">
        <f>IFERROR(__xludf.DUMMYFUNCTION("""COMPUTED_VALUE"""),0.0924)</f>
        <v>0.0924</v>
      </c>
      <c r="J3039" s="19">
        <f>IFERROR(__xludf.DUMMYFUNCTION("""COMPUTED_VALUE"""),0.1848)</f>
        <v>0.1848</v>
      </c>
      <c r="K3039" s="19">
        <f>IFERROR(__xludf.DUMMYFUNCTION("""COMPUTED_VALUE"""),0.231)</f>
        <v>0.231</v>
      </c>
      <c r="L3039" s="19">
        <f>IFERROR(__xludf.DUMMYFUNCTION("""COMPUTED_VALUE"""),0.2772)</f>
        <v>0.2772</v>
      </c>
      <c r="M3039" s="18">
        <f>IFERROR(__xludf.DUMMYFUNCTION("""COMPUTED_VALUE"""),1.53)</f>
        <v>1.53</v>
      </c>
    </row>
    <row r="3040">
      <c r="A3040" s="13" t="str">
        <f>IFERROR(__xludf.DUMMYFUNCTION("""COMPUTED_VALUE"""),"товари")</f>
        <v>товари</v>
      </c>
      <c r="B3040" s="16" t="str">
        <f>IFERROR(__xludf.DUMMYFUNCTION("""COMPUTED_VALUE"""),"подарунки, хобі, книги")</f>
        <v>подарунки, хобі, книги</v>
      </c>
      <c r="C3040" s="16" t="str">
        <f>IFERROR(__xludf.DUMMYFUNCTION("""COMPUTED_VALUE"""),"рукоділля")</f>
        <v>рукоділля</v>
      </c>
      <c r="D3040" s="16" t="str">
        <f>IFERROR(__xludf.DUMMYFUNCTION("""COMPUTED_VALUE"""),"малювання і аплікація")</f>
        <v>малювання і аплікація</v>
      </c>
      <c r="E3040" s="16" t="str">
        <f>IFERROR(__xludf.DUMMYFUNCTION("""COMPUTED_VALUE"""),"художні лаки, грунтовки, добавки")</f>
        <v>художні лаки, грунтовки, добавки</v>
      </c>
      <c r="F3040" s="17">
        <f>IFERROR(__xludf.DUMMYFUNCTION("""COMPUTED_VALUE"""),4.0)</f>
        <v>4</v>
      </c>
      <c r="G3040" s="17" t="str">
        <f>IFERROR(__xludf.DUMMYFUNCTION("""COMPUTED_VALUE"""),"211136")</f>
        <v>211136</v>
      </c>
      <c r="H3040" s="17" t="str">
        <f>IFERROR(__xludf.DUMMYFUNCTION("""COMPUTED_VALUE"""),"художні лаки, грунтовки, добавки")</f>
        <v>художні лаки, грунтовки, добавки</v>
      </c>
      <c r="I3040" s="19">
        <f>IFERROR(__xludf.DUMMYFUNCTION("""COMPUTED_VALUE"""),0.0615)</f>
        <v>0.0615</v>
      </c>
      <c r="J3040" s="19">
        <f>IFERROR(__xludf.DUMMYFUNCTION("""COMPUTED_VALUE"""),0.123)</f>
        <v>0.123</v>
      </c>
      <c r="K3040" s="19">
        <f>IFERROR(__xludf.DUMMYFUNCTION("""COMPUTED_VALUE"""),0.1538)</f>
        <v>0.1538</v>
      </c>
      <c r="L3040" s="19">
        <f>IFERROR(__xludf.DUMMYFUNCTION("""COMPUTED_VALUE"""),0.1845)</f>
        <v>0.1845</v>
      </c>
      <c r="M3040" s="18">
        <f>IFERROR(__xludf.DUMMYFUNCTION("""COMPUTED_VALUE"""),3.98)</f>
        <v>3.98</v>
      </c>
    </row>
    <row r="3041">
      <c r="A3041" s="13" t="str">
        <f>IFERROR(__xludf.DUMMYFUNCTION("""COMPUTED_VALUE"""),"товари")</f>
        <v>товари</v>
      </c>
      <c r="B3041" s="16" t="str">
        <f>IFERROR(__xludf.DUMMYFUNCTION("""COMPUTED_VALUE"""),"подарунки, хобі, книги")</f>
        <v>подарунки, хобі, книги</v>
      </c>
      <c r="C3041" s="16" t="str">
        <f>IFERROR(__xludf.DUMMYFUNCTION("""COMPUTED_VALUE"""),"рукоділля")</f>
        <v>рукоділля</v>
      </c>
      <c r="D3041" s="16" t="str">
        <f>IFERROR(__xludf.DUMMYFUNCTION("""COMPUTED_VALUE"""),"малювання і аплікація")</f>
        <v>малювання і аплікація</v>
      </c>
      <c r="E3041" s="16" t="str">
        <f>IFERROR(__xludf.DUMMYFUNCTION("""COMPUTED_VALUE"""),"художні пензлі")</f>
        <v>художні пензлі</v>
      </c>
      <c r="F3041" s="17">
        <f>IFERROR(__xludf.DUMMYFUNCTION("""COMPUTED_VALUE"""),4.0)</f>
        <v>4</v>
      </c>
      <c r="G3041" s="17" t="str">
        <f>IFERROR(__xludf.DUMMYFUNCTION("""COMPUTED_VALUE"""),"21111112")</f>
        <v>21111112</v>
      </c>
      <c r="H3041" s="17" t="str">
        <f>IFERROR(__xludf.DUMMYFUNCTION("""COMPUTED_VALUE"""),"художні пензлі")</f>
        <v>художні пензлі</v>
      </c>
      <c r="I3041" s="19">
        <f>IFERROR(__xludf.DUMMYFUNCTION("""COMPUTED_VALUE"""),0.0785)</f>
        <v>0.0785</v>
      </c>
      <c r="J3041" s="19">
        <f>IFERROR(__xludf.DUMMYFUNCTION("""COMPUTED_VALUE"""),0.157)</f>
        <v>0.157</v>
      </c>
      <c r="K3041" s="19">
        <f>IFERROR(__xludf.DUMMYFUNCTION("""COMPUTED_VALUE"""),0.1963)</f>
        <v>0.1963</v>
      </c>
      <c r="L3041" s="19">
        <f>IFERROR(__xludf.DUMMYFUNCTION("""COMPUTED_VALUE"""),0.2355)</f>
        <v>0.2355</v>
      </c>
      <c r="M3041" s="18">
        <f>IFERROR(__xludf.DUMMYFUNCTION("""COMPUTED_VALUE"""),3.98)</f>
        <v>3.98</v>
      </c>
    </row>
    <row r="3042">
      <c r="A3042" s="13" t="str">
        <f>IFERROR(__xludf.DUMMYFUNCTION("""COMPUTED_VALUE"""),"товари")</f>
        <v>товари</v>
      </c>
      <c r="B3042" s="16" t="str">
        <f>IFERROR(__xludf.DUMMYFUNCTION("""COMPUTED_VALUE"""),"подарунки, хобі, книги")</f>
        <v>подарунки, хобі, книги</v>
      </c>
      <c r="C3042" s="16" t="str">
        <f>IFERROR(__xludf.DUMMYFUNCTION("""COMPUTED_VALUE"""),"рукоділля")</f>
        <v>рукоділля</v>
      </c>
      <c r="D3042" s="16" t="str">
        <f>IFERROR(__xludf.DUMMYFUNCTION("""COMPUTED_VALUE"""),"малювання і аплікація")</f>
        <v>малювання і аплікація</v>
      </c>
      <c r="E3042" s="16" t="str">
        <f>IFERROR(__xludf.DUMMYFUNCTION("""COMPUTED_VALUE"""),"художні пігменти")</f>
        <v>художні пігменти</v>
      </c>
      <c r="F3042" s="17">
        <f>IFERROR(__xludf.DUMMYFUNCTION("""COMPUTED_VALUE"""),4.0)</f>
        <v>4</v>
      </c>
      <c r="G3042" s="17" t="str">
        <f>IFERROR(__xludf.DUMMYFUNCTION("""COMPUTED_VALUE"""),"211138")</f>
        <v>211138</v>
      </c>
      <c r="H3042" s="17" t="str">
        <f>IFERROR(__xludf.DUMMYFUNCTION("""COMPUTED_VALUE"""),"художні пігменти")</f>
        <v>художні пігменти</v>
      </c>
      <c r="I3042" s="19">
        <f>IFERROR(__xludf.DUMMYFUNCTION("""COMPUTED_VALUE"""),0.0792)</f>
        <v>0.0792</v>
      </c>
      <c r="J3042" s="19">
        <f>IFERROR(__xludf.DUMMYFUNCTION("""COMPUTED_VALUE"""),0.1583)</f>
        <v>0.1583</v>
      </c>
      <c r="K3042" s="19">
        <f>IFERROR(__xludf.DUMMYFUNCTION("""COMPUTED_VALUE"""),0.1979)</f>
        <v>0.1979</v>
      </c>
      <c r="L3042" s="19">
        <f>IFERROR(__xludf.DUMMYFUNCTION("""COMPUTED_VALUE"""),0.2375)</f>
        <v>0.2375</v>
      </c>
      <c r="M3042" s="18">
        <f>IFERROR(__xludf.DUMMYFUNCTION("""COMPUTED_VALUE"""),3.98)</f>
        <v>3.98</v>
      </c>
    </row>
    <row r="3043">
      <c r="A3043" s="13" t="str">
        <f>IFERROR(__xludf.DUMMYFUNCTION("""COMPUTED_VALUE"""),"товари")</f>
        <v>товари</v>
      </c>
      <c r="B3043" s="16" t="str">
        <f>IFERROR(__xludf.DUMMYFUNCTION("""COMPUTED_VALUE"""),"подарунки, хобі, книги")</f>
        <v>подарунки, хобі, книги</v>
      </c>
      <c r="C3043" s="16" t="str">
        <f>IFERROR(__xludf.DUMMYFUNCTION("""COMPUTED_VALUE"""),"рукоділля")</f>
        <v>рукоділля</v>
      </c>
      <c r="D3043" s="16" t="str">
        <f>IFERROR(__xludf.DUMMYFUNCTION("""COMPUTED_VALUE"""),"малювання і аплікація")</f>
        <v>малювання і аплікація</v>
      </c>
      <c r="E3043" s="16" t="str">
        <f>IFERROR(__xludf.DUMMYFUNCTION("""COMPUTED_VALUE"""),"художні планшети для малювання")</f>
        <v>художні планшети для малювання</v>
      </c>
      <c r="F3043" s="17">
        <f>IFERROR(__xludf.DUMMYFUNCTION("""COMPUTED_VALUE"""),4.0)</f>
        <v>4</v>
      </c>
      <c r="G3043" s="17" t="str">
        <f>IFERROR(__xludf.DUMMYFUNCTION("""COMPUTED_VALUE"""),"21111105")</f>
        <v>21111105</v>
      </c>
      <c r="H3043" s="17" t="str">
        <f>IFERROR(__xludf.DUMMYFUNCTION("""COMPUTED_VALUE"""),"художні планшети для малювання")</f>
        <v>художні планшети для малювання</v>
      </c>
      <c r="I3043" s="19">
        <f>IFERROR(__xludf.DUMMYFUNCTION("""COMPUTED_VALUE"""),0.0785)</f>
        <v>0.0785</v>
      </c>
      <c r="J3043" s="19">
        <f>IFERROR(__xludf.DUMMYFUNCTION("""COMPUTED_VALUE"""),0.157)</f>
        <v>0.157</v>
      </c>
      <c r="K3043" s="19">
        <f>IFERROR(__xludf.DUMMYFUNCTION("""COMPUTED_VALUE"""),0.1963)</f>
        <v>0.1963</v>
      </c>
      <c r="L3043" s="19">
        <f>IFERROR(__xludf.DUMMYFUNCTION("""COMPUTED_VALUE"""),0.2355)</f>
        <v>0.2355</v>
      </c>
      <c r="M3043" s="18">
        <f>IFERROR(__xludf.DUMMYFUNCTION("""COMPUTED_VALUE"""),3.98)</f>
        <v>3.98</v>
      </c>
    </row>
    <row r="3044">
      <c r="A3044" s="13" t="str">
        <f>IFERROR(__xludf.DUMMYFUNCTION("""COMPUTED_VALUE"""),"товари")</f>
        <v>товари</v>
      </c>
      <c r="B3044" s="16" t="str">
        <f>IFERROR(__xludf.DUMMYFUNCTION("""COMPUTED_VALUE"""),"подарунки, хобі, книги")</f>
        <v>подарунки, хобі, книги</v>
      </c>
      <c r="C3044" s="16" t="str">
        <f>IFERROR(__xludf.DUMMYFUNCTION("""COMPUTED_VALUE"""),"рукоділля")</f>
        <v>рукоділля</v>
      </c>
      <c r="D3044" s="16" t="str">
        <f>IFERROR(__xludf.DUMMYFUNCTION("""COMPUTED_VALUE"""),"малювання і аплікація")</f>
        <v>малювання і аплікація</v>
      </c>
      <c r="E3044" s="16" t="str">
        <f>IFERROR(__xludf.DUMMYFUNCTION("""COMPUTED_VALUE"""),"художні фарби")</f>
        <v>художні фарби</v>
      </c>
      <c r="F3044" s="17">
        <f>IFERROR(__xludf.DUMMYFUNCTION("""COMPUTED_VALUE"""),4.0)</f>
        <v>4</v>
      </c>
      <c r="G3044" s="17" t="str">
        <f>IFERROR(__xludf.DUMMYFUNCTION("""COMPUTED_VALUE"""),"21111109")</f>
        <v>21111109</v>
      </c>
      <c r="H3044" s="17" t="str">
        <f>IFERROR(__xludf.DUMMYFUNCTION("""COMPUTED_VALUE"""),"художні фарби")</f>
        <v>художні фарби</v>
      </c>
      <c r="I3044" s="19">
        <f>IFERROR(__xludf.DUMMYFUNCTION("""COMPUTED_VALUE"""),0.0785)</f>
        <v>0.0785</v>
      </c>
      <c r="J3044" s="19">
        <f>IFERROR(__xludf.DUMMYFUNCTION("""COMPUTED_VALUE"""),0.157)</f>
        <v>0.157</v>
      </c>
      <c r="K3044" s="19">
        <f>IFERROR(__xludf.DUMMYFUNCTION("""COMPUTED_VALUE"""),0.1963)</f>
        <v>0.1963</v>
      </c>
      <c r="L3044" s="19">
        <f>IFERROR(__xludf.DUMMYFUNCTION("""COMPUTED_VALUE"""),0.2355)</f>
        <v>0.2355</v>
      </c>
      <c r="M3044" s="18">
        <f>IFERROR(__xludf.DUMMYFUNCTION("""COMPUTED_VALUE"""),3.98)</f>
        <v>3.98</v>
      </c>
    </row>
    <row r="3045">
      <c r="A3045" s="13" t="str">
        <f>IFERROR(__xludf.DUMMYFUNCTION("""COMPUTED_VALUE"""),"товари")</f>
        <v>товари</v>
      </c>
      <c r="B3045" s="16" t="str">
        <f>IFERROR(__xludf.DUMMYFUNCTION("""COMPUTED_VALUE"""),"подарунки, хобі, книги")</f>
        <v>подарунки, хобі, книги</v>
      </c>
      <c r="C3045" s="16" t="str">
        <f>IFERROR(__xludf.DUMMYFUNCTION("""COMPUTED_VALUE"""),"книги, журнали, друкована продукція")</f>
        <v>книги, журнали, друкована продукція</v>
      </c>
      <c r="D3045" s="16" t="str">
        <f>IFERROR(__xludf.DUMMYFUNCTION("""COMPUTED_VALUE"""),"книги")</f>
        <v>книги</v>
      </c>
      <c r="E3045" s="16" t="str">
        <f>IFERROR(__xludf.DUMMYFUNCTION("""COMPUTED_VALUE"""),"художня література")</f>
        <v>художня література</v>
      </c>
      <c r="F3045" s="17">
        <f>IFERROR(__xludf.DUMMYFUNCTION("""COMPUTED_VALUE"""),4.0)</f>
        <v>4</v>
      </c>
      <c r="G3045" s="17" t="str">
        <f>IFERROR(__xludf.DUMMYFUNCTION("""COMPUTED_VALUE"""),"220203")</f>
        <v>220203</v>
      </c>
      <c r="H3045" s="17" t="str">
        <f>IFERROR(__xludf.DUMMYFUNCTION("""COMPUTED_VALUE"""),"художня література")</f>
        <v>художня література</v>
      </c>
      <c r="I3045" s="19">
        <f>IFERROR(__xludf.DUMMYFUNCTION("""COMPUTED_VALUE"""),0.075)</f>
        <v>0.075</v>
      </c>
      <c r="J3045" s="19">
        <f>IFERROR(__xludf.DUMMYFUNCTION("""COMPUTED_VALUE"""),0.15)</f>
        <v>0.15</v>
      </c>
      <c r="K3045" s="19">
        <f>IFERROR(__xludf.DUMMYFUNCTION("""COMPUTED_VALUE"""),0.1875)</f>
        <v>0.1875</v>
      </c>
      <c r="L3045" s="19">
        <f>IFERROR(__xludf.DUMMYFUNCTION("""COMPUTED_VALUE"""),0.225)</f>
        <v>0.225</v>
      </c>
      <c r="M3045" s="18">
        <f>IFERROR(__xludf.DUMMYFUNCTION("""COMPUTED_VALUE"""),2.53)</f>
        <v>2.53</v>
      </c>
    </row>
    <row r="3046">
      <c r="A3046" s="13" t="str">
        <f>IFERROR(__xludf.DUMMYFUNCTION("""COMPUTED_VALUE"""),"товари")</f>
        <v>товари</v>
      </c>
      <c r="B3046" s="16" t="str">
        <f>IFERROR(__xludf.DUMMYFUNCTION("""COMPUTED_VALUE"""),"подарунки, хобі, книги")</f>
        <v>подарунки, хобі, книги</v>
      </c>
      <c r="C3046" s="16" t="str">
        <f>IFERROR(__xludf.DUMMYFUNCTION("""COMPUTED_VALUE"""),"музичні інструменти")</f>
        <v>музичні інструменти</v>
      </c>
      <c r="D3046" s="16" t="str">
        <f>IFERROR(__xludf.DUMMYFUNCTION("""COMPUTED_VALUE"""),"чохли, кейси для музичних інструментів")</f>
        <v>чохли, кейси для музичних інструментів</v>
      </c>
      <c r="E3046" s="16" t="str">
        <f>IFERROR(__xludf.DUMMYFUNCTION("""COMPUTED_VALUE"""),"чохли, кейси для музичних інструментів")</f>
        <v>чохли, кейси для музичних інструментів</v>
      </c>
      <c r="F3046" s="17">
        <f>IFERROR(__xludf.DUMMYFUNCTION("""COMPUTED_VALUE"""),3.0)</f>
        <v>3</v>
      </c>
      <c r="G3046" s="17" t="str">
        <f>IFERROR(__xludf.DUMMYFUNCTION("""COMPUTED_VALUE"""),"180513")</f>
        <v>180513</v>
      </c>
      <c r="H3046" s="17" t="str">
        <f>IFERROR(__xludf.DUMMYFUNCTION("""COMPUTED_VALUE"""),"чохли, кейси для музичних інструментів")</f>
        <v>чохли, кейси для музичних інструментів</v>
      </c>
      <c r="I3046" s="19">
        <f>IFERROR(__xludf.DUMMYFUNCTION("""COMPUTED_VALUE"""),0.0598)</f>
        <v>0.0598</v>
      </c>
      <c r="J3046" s="19">
        <f>IFERROR(__xludf.DUMMYFUNCTION("""COMPUTED_VALUE"""),0.1195)</f>
        <v>0.1195</v>
      </c>
      <c r="K3046" s="19">
        <f>IFERROR(__xludf.DUMMYFUNCTION("""COMPUTED_VALUE"""),0.1494)</f>
        <v>0.1494</v>
      </c>
      <c r="L3046" s="19">
        <f>IFERROR(__xludf.DUMMYFUNCTION("""COMPUTED_VALUE"""),0.1793)</f>
        <v>0.1793</v>
      </c>
      <c r="M3046" s="18">
        <f>IFERROR(__xludf.DUMMYFUNCTION("""COMPUTED_VALUE"""),2.7)</f>
        <v>2.7</v>
      </c>
    </row>
    <row r="3047">
      <c r="A3047" s="13" t="str">
        <f>IFERROR(__xludf.DUMMYFUNCTION("""COMPUTED_VALUE"""),"товари")</f>
        <v>товари</v>
      </c>
      <c r="B3047" s="16" t="str">
        <f>IFERROR(__xludf.DUMMYFUNCTION("""COMPUTED_VALUE"""),"подарунки, хобі, книги")</f>
        <v>подарунки, хобі, книги</v>
      </c>
      <c r="C3047" s="16" t="str">
        <f>IFERROR(__xludf.DUMMYFUNCTION("""COMPUTED_VALUE"""),"ігри")</f>
        <v>ігри</v>
      </c>
      <c r="D3047" s="16" t="str">
        <f>IFERROR(__xludf.DUMMYFUNCTION("""COMPUTED_VALUE"""),"шахи, шашки, нарди")</f>
        <v>шахи, шашки, нарди</v>
      </c>
      <c r="E3047" s="16" t="str">
        <f>IFERROR(__xludf.DUMMYFUNCTION("""COMPUTED_VALUE"""),"шахи, шашки, нарди")</f>
        <v>шахи, шашки, нарди</v>
      </c>
      <c r="F3047" s="17">
        <f>IFERROR(__xludf.DUMMYFUNCTION("""COMPUTED_VALUE"""),3.0)</f>
        <v>3</v>
      </c>
      <c r="G3047" s="17" t="str">
        <f>IFERROR(__xludf.DUMMYFUNCTION("""COMPUTED_VALUE"""),"1809")</f>
        <v>1809</v>
      </c>
      <c r="H3047" s="17" t="str">
        <f>IFERROR(__xludf.DUMMYFUNCTION("""COMPUTED_VALUE"""),"шахи, шашки, нарди")</f>
        <v>шахи, шашки, нарди</v>
      </c>
      <c r="I3047" s="19">
        <f>IFERROR(__xludf.DUMMYFUNCTION("""COMPUTED_VALUE"""),0.1163)</f>
        <v>0.1163</v>
      </c>
      <c r="J3047" s="19">
        <f>IFERROR(__xludf.DUMMYFUNCTION("""COMPUTED_VALUE"""),0.2325)</f>
        <v>0.2325</v>
      </c>
      <c r="K3047" s="19">
        <f>IFERROR(__xludf.DUMMYFUNCTION("""COMPUTED_VALUE"""),0.2906)</f>
        <v>0.2906</v>
      </c>
      <c r="L3047" s="19">
        <f>IFERROR(__xludf.DUMMYFUNCTION("""COMPUTED_VALUE"""),0.3488)</f>
        <v>0.3488</v>
      </c>
      <c r="M3047" s="18">
        <f>IFERROR(__xludf.DUMMYFUNCTION("""COMPUTED_VALUE"""),2.34)</f>
        <v>2.34</v>
      </c>
    </row>
    <row r="3048">
      <c r="A3048" s="13" t="str">
        <f>IFERROR(__xludf.DUMMYFUNCTION("""COMPUTED_VALUE"""),"товари")</f>
        <v>товари</v>
      </c>
      <c r="B3048" s="16" t="str">
        <f>IFERROR(__xludf.DUMMYFUNCTION("""COMPUTED_VALUE"""),"подарунки, хобі, книги")</f>
        <v>подарунки, хобі, книги</v>
      </c>
      <c r="C3048" s="16" t="str">
        <f>IFERROR(__xludf.DUMMYFUNCTION("""COMPUTED_VALUE"""),"рукоділля")</f>
        <v>рукоділля</v>
      </c>
      <c r="D3048" s="16" t="str">
        <f>IFERROR(__xludf.DUMMYFUNCTION("""COMPUTED_VALUE"""),"шиття")</f>
        <v>шиття</v>
      </c>
      <c r="E3048" s="16" t="str">
        <f>IFERROR(__xludf.DUMMYFUNCTION("""COMPUTED_VALUE"""),"шиття, загальне")</f>
        <v>шиття, загальне</v>
      </c>
      <c r="F3048" s="17">
        <f>IFERROR(__xludf.DUMMYFUNCTION("""COMPUTED_VALUE"""),4.0)</f>
        <v>4</v>
      </c>
      <c r="G3048" s="17" t="str">
        <f>IFERROR(__xludf.DUMMYFUNCTION("""COMPUTED_VALUE"""),"15252701")</f>
        <v>15252701</v>
      </c>
      <c r="H3048" s="17" t="str">
        <f>IFERROR(__xludf.DUMMYFUNCTION("""COMPUTED_VALUE"""),"шиття, загальне")</f>
        <v>шиття, загальне</v>
      </c>
      <c r="I3048" s="19">
        <f>IFERROR(__xludf.DUMMYFUNCTION("""COMPUTED_VALUE"""),0.125)</f>
        <v>0.125</v>
      </c>
      <c r="J3048" s="19">
        <f>IFERROR(__xludf.DUMMYFUNCTION("""COMPUTED_VALUE"""),0.25)</f>
        <v>0.25</v>
      </c>
      <c r="K3048" s="19">
        <f>IFERROR(__xludf.DUMMYFUNCTION("""COMPUTED_VALUE"""),0.3125)</f>
        <v>0.3125</v>
      </c>
      <c r="L3048" s="19">
        <f>IFERROR(__xludf.DUMMYFUNCTION("""COMPUTED_VALUE"""),0.375)</f>
        <v>0.375</v>
      </c>
      <c r="M3048" s="18">
        <f>IFERROR(__xludf.DUMMYFUNCTION("""COMPUTED_VALUE"""),4.33)</f>
        <v>4.33</v>
      </c>
    </row>
    <row r="3049">
      <c r="A3049" s="13" t="str">
        <f>IFERROR(__xludf.DUMMYFUNCTION("""COMPUTED_VALUE"""),"товари")</f>
        <v>товари</v>
      </c>
      <c r="B3049" s="16" t="str">
        <f>IFERROR(__xludf.DUMMYFUNCTION("""COMPUTED_VALUE"""),"продукти харчування, напої")</f>
        <v>продукти харчування, напої</v>
      </c>
      <c r="C3049" s="16" t="str">
        <f>IFERROR(__xludf.DUMMYFUNCTION("""COMPUTED_VALUE"""),"напої")</f>
        <v>напої</v>
      </c>
      <c r="D3049" s="16" t="str">
        <f>IFERROR(__xludf.DUMMYFUNCTION("""COMPUTED_VALUE"""),"алкогольні напої")</f>
        <v>алкогольні напої</v>
      </c>
      <c r="E3049" s="16" t="str">
        <f>IFERROR(__xludf.DUMMYFUNCTION("""COMPUTED_VALUE"""),"алкогольні напої, загальне")</f>
        <v>алкогольні напої, загальне</v>
      </c>
      <c r="F3049" s="17">
        <f>IFERROR(__xludf.DUMMYFUNCTION("""COMPUTED_VALUE"""),4.0)</f>
        <v>4</v>
      </c>
      <c r="G3049" s="17" t="str">
        <f>IFERROR(__xludf.DUMMYFUNCTION("""COMPUTED_VALUE"""),"2041101")</f>
        <v>2041101</v>
      </c>
      <c r="H3049" s="17" t="str">
        <f>IFERROR(__xludf.DUMMYFUNCTION("""COMPUTED_VALUE"""),"алкогольні напої, загальне")</f>
        <v>алкогольні напої, загальне</v>
      </c>
      <c r="I3049" s="19">
        <f>IFERROR(__xludf.DUMMYFUNCTION("""COMPUTED_VALUE"""),0.125)</f>
        <v>0.125</v>
      </c>
      <c r="J3049" s="19">
        <f>IFERROR(__xludf.DUMMYFUNCTION("""COMPUTED_VALUE"""),0.25)</f>
        <v>0.25</v>
      </c>
      <c r="K3049" s="19">
        <f>IFERROR(__xludf.DUMMYFUNCTION("""COMPUTED_VALUE"""),0.3125)</f>
        <v>0.3125</v>
      </c>
      <c r="L3049" s="19">
        <f>IFERROR(__xludf.DUMMYFUNCTION("""COMPUTED_VALUE"""),0.375)</f>
        <v>0.375</v>
      </c>
      <c r="M3049" s="18">
        <f>IFERROR(__xludf.DUMMYFUNCTION("""COMPUTED_VALUE"""),4.33)</f>
        <v>4.33</v>
      </c>
    </row>
    <row r="3050">
      <c r="A3050" s="13" t="str">
        <f>IFERROR(__xludf.DUMMYFUNCTION("""COMPUTED_VALUE"""),"товари")</f>
        <v>товари</v>
      </c>
      <c r="B3050" s="16" t="str">
        <f>IFERROR(__xludf.DUMMYFUNCTION("""COMPUTED_VALUE"""),"продукти харчування, напої")</f>
        <v>продукти харчування, напої</v>
      </c>
      <c r="C3050" s="16" t="str">
        <f>IFERROR(__xludf.DUMMYFUNCTION("""COMPUTED_VALUE"""),"бакалія")</f>
        <v>бакалія</v>
      </c>
      <c r="D3050" s="16" t="str">
        <f>IFERROR(__xludf.DUMMYFUNCTION("""COMPUTED_VALUE"""),"харчові інгредієнти")</f>
        <v>харчові інгредієнти</v>
      </c>
      <c r="E3050" s="16" t="str">
        <f>IFERROR(__xludf.DUMMYFUNCTION("""COMPUTED_VALUE"""),"ароматизатори, смакові добавки")</f>
        <v>ароматизатори, смакові добавки</v>
      </c>
      <c r="F3050" s="17">
        <f>IFERROR(__xludf.DUMMYFUNCTION("""COMPUTED_VALUE"""),4.0)</f>
        <v>4</v>
      </c>
      <c r="G3050" s="17" t="str">
        <f>IFERROR(__xludf.DUMMYFUNCTION("""COMPUTED_VALUE"""),"23003")</f>
        <v>23003</v>
      </c>
      <c r="H3050" s="17" t="str">
        <f>IFERROR(__xludf.DUMMYFUNCTION("""COMPUTED_VALUE"""),"ароматизатори, смакові добавки")</f>
        <v>ароматизатори, смакові добавки</v>
      </c>
      <c r="I3050" s="19">
        <f>IFERROR(__xludf.DUMMYFUNCTION("""COMPUTED_VALUE"""),0.0778)</f>
        <v>0.0778</v>
      </c>
      <c r="J3050" s="19">
        <f>IFERROR(__xludf.DUMMYFUNCTION("""COMPUTED_VALUE"""),0.1556)</f>
        <v>0.1556</v>
      </c>
      <c r="K3050" s="19">
        <f>IFERROR(__xludf.DUMMYFUNCTION("""COMPUTED_VALUE"""),0.1945)</f>
        <v>0.1945</v>
      </c>
      <c r="L3050" s="19">
        <f>IFERROR(__xludf.DUMMYFUNCTION("""COMPUTED_VALUE"""),0.2334)</f>
        <v>0.2334</v>
      </c>
      <c r="M3050" s="18">
        <f>IFERROR(__xludf.DUMMYFUNCTION("""COMPUTED_VALUE"""),3.88)</f>
        <v>3.88</v>
      </c>
    </row>
    <row r="3051">
      <c r="A3051" s="13" t="str">
        <f>IFERROR(__xludf.DUMMYFUNCTION("""COMPUTED_VALUE"""),"товари")</f>
        <v>товари</v>
      </c>
      <c r="B3051" s="16" t="str">
        <f>IFERROR(__xludf.DUMMYFUNCTION("""COMPUTED_VALUE"""),"продукти харчування, напої")</f>
        <v>продукти харчування, напої</v>
      </c>
      <c r="C3051" s="16" t="str">
        <f>IFERROR(__xludf.DUMMYFUNCTION("""COMPUTED_VALUE"""),"бакалія")</f>
        <v>бакалія</v>
      </c>
      <c r="D3051" s="16" t="str">
        <f>IFERROR(__xludf.DUMMYFUNCTION("""COMPUTED_VALUE"""),"бакалія, загальне")</f>
        <v>бакалія, загальне</v>
      </c>
      <c r="E3051" s="16" t="str">
        <f>IFERROR(__xludf.DUMMYFUNCTION("""COMPUTED_VALUE"""),"бакалія, загальне")</f>
        <v>бакалія, загальне</v>
      </c>
      <c r="F3051" s="17">
        <f>IFERROR(__xludf.DUMMYFUNCTION("""COMPUTED_VALUE"""),3.0)</f>
        <v>3</v>
      </c>
      <c r="G3051" s="17" t="str">
        <f>IFERROR(__xludf.DUMMYFUNCTION("""COMPUTED_VALUE"""),"23501")</f>
        <v>23501</v>
      </c>
      <c r="H3051" s="17" t="str">
        <f>IFERROR(__xludf.DUMMYFUNCTION("""COMPUTED_VALUE"""),"бакалія, загальне")</f>
        <v>бакалія, загальне</v>
      </c>
      <c r="I3051" s="19">
        <f>IFERROR(__xludf.DUMMYFUNCTION("""COMPUTED_VALUE"""),0.125)</f>
        <v>0.125</v>
      </c>
      <c r="J3051" s="19">
        <f>IFERROR(__xludf.DUMMYFUNCTION("""COMPUTED_VALUE"""),0.25)</f>
        <v>0.25</v>
      </c>
      <c r="K3051" s="19">
        <f>IFERROR(__xludf.DUMMYFUNCTION("""COMPUTED_VALUE"""),0.3125)</f>
        <v>0.3125</v>
      </c>
      <c r="L3051" s="19">
        <f>IFERROR(__xludf.DUMMYFUNCTION("""COMPUTED_VALUE"""),0.375)</f>
        <v>0.375</v>
      </c>
      <c r="M3051" s="18">
        <f>IFERROR(__xludf.DUMMYFUNCTION("""COMPUTED_VALUE"""),4.33)</f>
        <v>4.33</v>
      </c>
    </row>
    <row r="3052">
      <c r="A3052" s="13" t="str">
        <f>IFERROR(__xludf.DUMMYFUNCTION("""COMPUTED_VALUE"""),"товари")</f>
        <v>товари</v>
      </c>
      <c r="B3052" s="16" t="str">
        <f>IFERROR(__xludf.DUMMYFUNCTION("""COMPUTED_VALUE"""),"продукти харчування, напої")</f>
        <v>продукти харчування, напої</v>
      </c>
      <c r="C3052" s="16" t="str">
        <f>IFERROR(__xludf.DUMMYFUNCTION("""COMPUTED_VALUE"""),"напої")</f>
        <v>напої</v>
      </c>
      <c r="D3052" s="16" t="str">
        <f>IFERROR(__xludf.DUMMYFUNCTION("""COMPUTED_VALUE"""),"безалкогольні напої")</f>
        <v>безалкогольні напої</v>
      </c>
      <c r="E3052" s="16" t="str">
        <f>IFERROR(__xludf.DUMMYFUNCTION("""COMPUTED_VALUE"""),"безалкогольні напої")</f>
        <v>безалкогольні напої</v>
      </c>
      <c r="F3052" s="17">
        <f>IFERROR(__xludf.DUMMYFUNCTION("""COMPUTED_VALUE"""),3.0)</f>
        <v>3</v>
      </c>
      <c r="G3052" s="17" t="str">
        <f>IFERROR(__xludf.DUMMYFUNCTION("""COMPUTED_VALUE"""),"202")</f>
        <v>202</v>
      </c>
      <c r="H3052" s="17" t="str">
        <f>IFERROR(__xludf.DUMMYFUNCTION("""COMPUTED_VALUE"""),"безалкогольні напої")</f>
        <v>безалкогольні напої</v>
      </c>
      <c r="I3052" s="19">
        <f>IFERROR(__xludf.DUMMYFUNCTION("""COMPUTED_VALUE"""),0.0738)</f>
        <v>0.0738</v>
      </c>
      <c r="J3052" s="19">
        <f>IFERROR(__xludf.DUMMYFUNCTION("""COMPUTED_VALUE"""),0.1475)</f>
        <v>0.1475</v>
      </c>
      <c r="K3052" s="19">
        <f>IFERROR(__xludf.DUMMYFUNCTION("""COMPUTED_VALUE"""),0.1844)</f>
        <v>0.1844</v>
      </c>
      <c r="L3052" s="19">
        <f>IFERROR(__xludf.DUMMYFUNCTION("""COMPUTED_VALUE"""),0.2213)</f>
        <v>0.2213</v>
      </c>
      <c r="M3052" s="18">
        <f>IFERROR(__xludf.DUMMYFUNCTION("""COMPUTED_VALUE"""),1.98)</f>
        <v>1.98</v>
      </c>
    </row>
    <row r="3053">
      <c r="A3053" s="13" t="str">
        <f>IFERROR(__xludf.DUMMYFUNCTION("""COMPUTED_VALUE"""),"товари")</f>
        <v>товари</v>
      </c>
      <c r="B3053" s="16" t="str">
        <f>IFERROR(__xludf.DUMMYFUNCTION("""COMPUTED_VALUE"""),"продукти харчування, напої")</f>
        <v>продукти харчування, напої</v>
      </c>
      <c r="C3053" s="16" t="str">
        <f>IFERROR(__xludf.DUMMYFUNCTION("""COMPUTED_VALUE"""),"безглютенові продукти харчування")</f>
        <v>безглютенові продукти харчування</v>
      </c>
      <c r="D3053" s="16" t="str">
        <f>IFERROR(__xludf.DUMMYFUNCTION("""COMPUTED_VALUE"""),"безглютенові продукти харчування")</f>
        <v>безглютенові продукти харчування</v>
      </c>
      <c r="E3053" s="16" t="str">
        <f>IFERROR(__xludf.DUMMYFUNCTION("""COMPUTED_VALUE"""),"безглютенові продукти харчування")</f>
        <v>безглютенові продукти харчування</v>
      </c>
      <c r="F3053" s="17">
        <f>IFERROR(__xludf.DUMMYFUNCTION("""COMPUTED_VALUE"""),2.0)</f>
        <v>2</v>
      </c>
      <c r="G3053" s="17" t="str">
        <f>IFERROR(__xludf.DUMMYFUNCTION("""COMPUTED_VALUE"""),"241")</f>
        <v>241</v>
      </c>
      <c r="H3053" s="17" t="str">
        <f>IFERROR(__xludf.DUMMYFUNCTION("""COMPUTED_VALUE"""),"безглютенові продукти харчування")</f>
        <v>безглютенові продукти харчування</v>
      </c>
      <c r="I3053" s="19">
        <f>IFERROR(__xludf.DUMMYFUNCTION("""COMPUTED_VALUE"""),0.0614)</f>
        <v>0.0614</v>
      </c>
      <c r="J3053" s="19">
        <f>IFERROR(__xludf.DUMMYFUNCTION("""COMPUTED_VALUE"""),0.1228)</f>
        <v>0.1228</v>
      </c>
      <c r="K3053" s="19">
        <f>IFERROR(__xludf.DUMMYFUNCTION("""COMPUTED_VALUE"""),0.1535)</f>
        <v>0.1535</v>
      </c>
      <c r="L3053" s="19">
        <f>IFERROR(__xludf.DUMMYFUNCTION("""COMPUTED_VALUE"""),0.1842)</f>
        <v>0.1842</v>
      </c>
      <c r="M3053" s="18">
        <f>IFERROR(__xludf.DUMMYFUNCTION("""COMPUTED_VALUE"""),1.05)</f>
        <v>1.05</v>
      </c>
    </row>
    <row r="3054">
      <c r="A3054" s="13" t="str">
        <f>IFERROR(__xludf.DUMMYFUNCTION("""COMPUTED_VALUE"""),"товари")</f>
        <v>товари</v>
      </c>
      <c r="B3054" s="16" t="str">
        <f>IFERROR(__xludf.DUMMYFUNCTION("""COMPUTED_VALUE"""),"продукти харчування, напої")</f>
        <v>продукти харчування, напої</v>
      </c>
      <c r="C3054" s="16" t="str">
        <f>IFERROR(__xludf.DUMMYFUNCTION("""COMPUTED_VALUE"""),"бакалія")</f>
        <v>бакалія</v>
      </c>
      <c r="D3054" s="16" t="str">
        <f>IFERROR(__xludf.DUMMYFUNCTION("""COMPUTED_VALUE"""),"бобові")</f>
        <v>бобові</v>
      </c>
      <c r="E3054" s="16" t="str">
        <f>IFERROR(__xludf.DUMMYFUNCTION("""COMPUTED_VALUE"""),"бобові")</f>
        <v>бобові</v>
      </c>
      <c r="F3054" s="17">
        <f>IFERROR(__xludf.DUMMYFUNCTION("""COMPUTED_VALUE"""),3.0)</f>
        <v>3</v>
      </c>
      <c r="G3054" s="17" t="str">
        <f>IFERROR(__xludf.DUMMYFUNCTION("""COMPUTED_VALUE"""),"23503")</f>
        <v>23503</v>
      </c>
      <c r="H3054" s="17" t="str">
        <f>IFERROR(__xludf.DUMMYFUNCTION("""COMPUTED_VALUE"""),"бобові")</f>
        <v>бобові</v>
      </c>
      <c r="I3054" s="19">
        <f>IFERROR(__xludf.DUMMYFUNCTION("""COMPUTED_VALUE"""),0.0601)</f>
        <v>0.0601</v>
      </c>
      <c r="J3054" s="19">
        <f>IFERROR(__xludf.DUMMYFUNCTION("""COMPUTED_VALUE"""),0.1201)</f>
        <v>0.1201</v>
      </c>
      <c r="K3054" s="19">
        <f>IFERROR(__xludf.DUMMYFUNCTION("""COMPUTED_VALUE"""),0.1501)</f>
        <v>0.1501</v>
      </c>
      <c r="L3054" s="19">
        <f>IFERROR(__xludf.DUMMYFUNCTION("""COMPUTED_VALUE"""),0.1802)</f>
        <v>0.1802</v>
      </c>
      <c r="M3054" s="18">
        <f>IFERROR(__xludf.DUMMYFUNCTION("""COMPUTED_VALUE"""),1.05)</f>
        <v>1.05</v>
      </c>
    </row>
    <row r="3055">
      <c r="A3055" s="13" t="str">
        <f>IFERROR(__xludf.DUMMYFUNCTION("""COMPUTED_VALUE"""),"товари")</f>
        <v>товари</v>
      </c>
      <c r="B3055" s="16" t="str">
        <f>IFERROR(__xludf.DUMMYFUNCTION("""COMPUTED_VALUE"""),"продукти харчування, напої")</f>
        <v>продукти харчування, напої</v>
      </c>
      <c r="C3055" s="16" t="str">
        <f>IFERROR(__xludf.DUMMYFUNCTION("""COMPUTED_VALUE"""),"бакалія")</f>
        <v>бакалія</v>
      </c>
      <c r="D3055" s="16" t="str">
        <f>IFERROR(__xludf.DUMMYFUNCTION("""COMPUTED_VALUE"""),"борошно та висівки")</f>
        <v>борошно та висівки</v>
      </c>
      <c r="E3055" s="16" t="str">
        <f>IFERROR(__xludf.DUMMYFUNCTION("""COMPUTED_VALUE"""),"борошно")</f>
        <v>борошно</v>
      </c>
      <c r="F3055" s="17">
        <f>IFERROR(__xludf.DUMMYFUNCTION("""COMPUTED_VALUE"""),4.0)</f>
        <v>4</v>
      </c>
      <c r="G3055" s="17" t="str">
        <f>IFERROR(__xludf.DUMMYFUNCTION("""COMPUTED_VALUE"""),"300")</f>
        <v>300</v>
      </c>
      <c r="H3055" s="17" t="str">
        <f>IFERROR(__xludf.DUMMYFUNCTION("""COMPUTED_VALUE"""),"борошно")</f>
        <v>борошно</v>
      </c>
      <c r="I3055" s="19">
        <f>IFERROR(__xludf.DUMMYFUNCTION("""COMPUTED_VALUE"""),0.0748)</f>
        <v>0.0748</v>
      </c>
      <c r="J3055" s="19">
        <f>IFERROR(__xludf.DUMMYFUNCTION("""COMPUTED_VALUE"""),0.1495)</f>
        <v>0.1495</v>
      </c>
      <c r="K3055" s="19">
        <f>IFERROR(__xludf.DUMMYFUNCTION("""COMPUTED_VALUE"""),0.1869)</f>
        <v>0.1869</v>
      </c>
      <c r="L3055" s="19">
        <f>IFERROR(__xludf.DUMMYFUNCTION("""COMPUTED_VALUE"""),0.2243)</f>
        <v>0.2243</v>
      </c>
      <c r="M3055" s="18">
        <f>IFERROR(__xludf.DUMMYFUNCTION("""COMPUTED_VALUE"""),2.61)</f>
        <v>2.61</v>
      </c>
    </row>
    <row r="3056">
      <c r="A3056" s="13" t="str">
        <f>IFERROR(__xludf.DUMMYFUNCTION("""COMPUTED_VALUE"""),"товари")</f>
        <v>товари</v>
      </c>
      <c r="B3056" s="16" t="str">
        <f>IFERROR(__xludf.DUMMYFUNCTION("""COMPUTED_VALUE"""),"продукти харчування, напої")</f>
        <v>продукти харчування, напої</v>
      </c>
      <c r="C3056" s="16" t="str">
        <f>IFERROR(__xludf.DUMMYFUNCTION("""COMPUTED_VALUE"""),"бакалія")</f>
        <v>бакалія</v>
      </c>
      <c r="D3056" s="16" t="str">
        <f>IFERROR(__xludf.DUMMYFUNCTION("""COMPUTED_VALUE"""),"борошно та висівки")</f>
        <v>борошно та висівки</v>
      </c>
      <c r="E3056" s="16" t="str">
        <f>IFERROR(__xludf.DUMMYFUNCTION("""COMPUTED_VALUE"""),"борошно та висівки, загальне")</f>
        <v>борошно та висівки, загальне</v>
      </c>
      <c r="F3056" s="17">
        <f>IFERROR(__xludf.DUMMYFUNCTION("""COMPUTED_VALUE"""),4.0)</f>
        <v>4</v>
      </c>
      <c r="G3056" s="17" t="str">
        <f>IFERROR(__xludf.DUMMYFUNCTION("""COMPUTED_VALUE"""),"23301")</f>
        <v>23301</v>
      </c>
      <c r="H3056" s="17" t="str">
        <f>IFERROR(__xludf.DUMMYFUNCTION("""COMPUTED_VALUE"""),"борошно та висівки, загальне")</f>
        <v>борошно та висівки, загальне</v>
      </c>
      <c r="I3056" s="19">
        <f>IFERROR(__xludf.DUMMYFUNCTION("""COMPUTED_VALUE"""),0.125)</f>
        <v>0.125</v>
      </c>
      <c r="J3056" s="19">
        <f>IFERROR(__xludf.DUMMYFUNCTION("""COMPUTED_VALUE"""),0.25)</f>
        <v>0.25</v>
      </c>
      <c r="K3056" s="19">
        <f>IFERROR(__xludf.DUMMYFUNCTION("""COMPUTED_VALUE"""),0.3125)</f>
        <v>0.3125</v>
      </c>
      <c r="L3056" s="19">
        <f>IFERROR(__xludf.DUMMYFUNCTION("""COMPUTED_VALUE"""),0.375)</f>
        <v>0.375</v>
      </c>
      <c r="M3056" s="18">
        <f>IFERROR(__xludf.DUMMYFUNCTION("""COMPUTED_VALUE"""),4.33)</f>
        <v>4.33</v>
      </c>
    </row>
    <row r="3057">
      <c r="A3057" s="13" t="str">
        <f>IFERROR(__xludf.DUMMYFUNCTION("""COMPUTED_VALUE"""),"товари")</f>
        <v>товари</v>
      </c>
      <c r="B3057" s="16" t="str">
        <f>IFERROR(__xludf.DUMMYFUNCTION("""COMPUTED_VALUE"""),"продукти харчування, напої")</f>
        <v>продукти харчування, напої</v>
      </c>
      <c r="C3057" s="16" t="str">
        <f>IFERROR(__xludf.DUMMYFUNCTION("""COMPUTED_VALUE"""),"хлібобулочні, кондитерські вироби")</f>
        <v>хлібобулочні, кондитерські вироби</v>
      </c>
      <c r="D3057" s="16" t="str">
        <f>IFERROR(__xludf.DUMMYFUNCTION("""COMPUTED_VALUE"""),"борошняні кондитерські вироби")</f>
        <v>борошняні кондитерські вироби</v>
      </c>
      <c r="E3057" s="16" t="str">
        <f>IFERROR(__xludf.DUMMYFUNCTION("""COMPUTED_VALUE"""),"борошняні кондитерські вироби, загальне")</f>
        <v>борошняні кондитерські вироби, загальне</v>
      </c>
      <c r="F3057" s="17">
        <f>IFERROR(__xludf.DUMMYFUNCTION("""COMPUTED_VALUE"""),4.0)</f>
        <v>4</v>
      </c>
      <c r="G3057" s="17" t="str">
        <f>IFERROR(__xludf.DUMMYFUNCTION("""COMPUTED_VALUE"""),"2181701")</f>
        <v>2181701</v>
      </c>
      <c r="H3057" s="17" t="str">
        <f>IFERROR(__xludf.DUMMYFUNCTION("""COMPUTED_VALUE"""),"борошняні кондитерські вироби, загальне")</f>
        <v>борошняні кондитерські вироби, загальне</v>
      </c>
      <c r="I3057" s="19">
        <f>IFERROR(__xludf.DUMMYFUNCTION("""COMPUTED_VALUE"""),0.125)</f>
        <v>0.125</v>
      </c>
      <c r="J3057" s="19">
        <f>IFERROR(__xludf.DUMMYFUNCTION("""COMPUTED_VALUE"""),0.25)</f>
        <v>0.25</v>
      </c>
      <c r="K3057" s="19">
        <f>IFERROR(__xludf.DUMMYFUNCTION("""COMPUTED_VALUE"""),0.3125)</f>
        <v>0.3125</v>
      </c>
      <c r="L3057" s="19">
        <f>IFERROR(__xludf.DUMMYFUNCTION("""COMPUTED_VALUE"""),0.375)</f>
        <v>0.375</v>
      </c>
      <c r="M3057" s="18">
        <f>IFERROR(__xludf.DUMMYFUNCTION("""COMPUTED_VALUE"""),4.33)</f>
        <v>4.33</v>
      </c>
    </row>
    <row r="3058">
      <c r="A3058" s="13" t="str">
        <f>IFERROR(__xludf.DUMMYFUNCTION("""COMPUTED_VALUE"""),"товари")</f>
        <v>товари</v>
      </c>
      <c r="B3058" s="16" t="str">
        <f>IFERROR(__xludf.DUMMYFUNCTION("""COMPUTED_VALUE"""),"продукти харчування, напої")</f>
        <v>продукти харчування, напої</v>
      </c>
      <c r="C3058" s="16" t="str">
        <f>IFERROR(__xludf.DUMMYFUNCTION("""COMPUTED_VALUE"""),"бакалія")</f>
        <v>бакалія</v>
      </c>
      <c r="D3058" s="16" t="str">
        <f>IFERROR(__xludf.DUMMYFUNCTION("""COMPUTED_VALUE"""),"консерви")</f>
        <v>консерви</v>
      </c>
      <c r="E3058" s="16" t="str">
        <f>IFERROR(__xludf.DUMMYFUNCTION("""COMPUTED_VALUE"""),"варення і джеми")</f>
        <v>варення і джеми</v>
      </c>
      <c r="F3058" s="17">
        <f>IFERROR(__xludf.DUMMYFUNCTION("""COMPUTED_VALUE"""),4.0)</f>
        <v>4</v>
      </c>
      <c r="G3058" s="17" t="str">
        <f>IFERROR(__xludf.DUMMYFUNCTION("""COMPUTED_VALUE"""),"21403")</f>
        <v>21403</v>
      </c>
      <c r="H3058" s="17" t="str">
        <f>IFERROR(__xludf.DUMMYFUNCTION("""COMPUTED_VALUE"""),"варення і джеми")</f>
        <v>варення і джеми</v>
      </c>
      <c r="I3058" s="19">
        <f>IFERROR(__xludf.DUMMYFUNCTION("""COMPUTED_VALUE"""),0.0729)</f>
        <v>0.0729</v>
      </c>
      <c r="J3058" s="19">
        <f>IFERROR(__xludf.DUMMYFUNCTION("""COMPUTED_VALUE"""),0.1458)</f>
        <v>0.1458</v>
      </c>
      <c r="K3058" s="19">
        <f>IFERROR(__xludf.DUMMYFUNCTION("""COMPUTED_VALUE"""),0.1823)</f>
        <v>0.1823</v>
      </c>
      <c r="L3058" s="19">
        <f>IFERROR(__xludf.DUMMYFUNCTION("""COMPUTED_VALUE"""),0.2187)</f>
        <v>0.2187</v>
      </c>
      <c r="M3058" s="18">
        <f>IFERROR(__xludf.DUMMYFUNCTION("""COMPUTED_VALUE"""),1.71)</f>
        <v>1.71</v>
      </c>
    </row>
    <row r="3059">
      <c r="A3059" s="13" t="str">
        <f>IFERROR(__xludf.DUMMYFUNCTION("""COMPUTED_VALUE"""),"товари")</f>
        <v>товари</v>
      </c>
      <c r="B3059" s="16" t="str">
        <f>IFERROR(__xludf.DUMMYFUNCTION("""COMPUTED_VALUE"""),"продукти харчування, напої")</f>
        <v>продукти харчування, напої</v>
      </c>
      <c r="C3059" s="16" t="str">
        <f>IFERROR(__xludf.DUMMYFUNCTION("""COMPUTED_VALUE"""),"хлібобулочні, кондитерські вироби")</f>
        <v>хлібобулочні, кондитерські вироби</v>
      </c>
      <c r="D3059" s="16" t="str">
        <f>IFERROR(__xludf.DUMMYFUNCTION("""COMPUTED_VALUE"""),"борошняні кондитерські вироби")</f>
        <v>борошняні кондитерські вироби</v>
      </c>
      <c r="E3059" s="16" t="str">
        <f>IFERROR(__xludf.DUMMYFUNCTION("""COMPUTED_VALUE"""),"вафлі та трубочки")</f>
        <v>вафлі та трубочки</v>
      </c>
      <c r="F3059" s="17">
        <f>IFERROR(__xludf.DUMMYFUNCTION("""COMPUTED_VALUE"""),4.0)</f>
        <v>4</v>
      </c>
      <c r="G3059" s="17" t="str">
        <f>IFERROR(__xludf.DUMMYFUNCTION("""COMPUTED_VALUE"""),"2181706")</f>
        <v>2181706</v>
      </c>
      <c r="H3059" s="17" t="str">
        <f>IFERROR(__xludf.DUMMYFUNCTION("""COMPUTED_VALUE"""),"вафлі та трубочки")</f>
        <v>вафлі та трубочки</v>
      </c>
      <c r="I3059" s="19">
        <f>IFERROR(__xludf.DUMMYFUNCTION("""COMPUTED_VALUE"""),0.0729)</f>
        <v>0.0729</v>
      </c>
      <c r="J3059" s="19">
        <f>IFERROR(__xludf.DUMMYFUNCTION("""COMPUTED_VALUE"""),0.1458)</f>
        <v>0.1458</v>
      </c>
      <c r="K3059" s="19">
        <f>IFERROR(__xludf.DUMMYFUNCTION("""COMPUTED_VALUE"""),0.1823)</f>
        <v>0.1823</v>
      </c>
      <c r="L3059" s="19">
        <f>IFERROR(__xludf.DUMMYFUNCTION("""COMPUTED_VALUE"""),0.2187)</f>
        <v>0.2187</v>
      </c>
      <c r="M3059" s="18">
        <f>IFERROR(__xludf.DUMMYFUNCTION("""COMPUTED_VALUE"""),1.05)</f>
        <v>1.05</v>
      </c>
    </row>
    <row r="3060">
      <c r="A3060" s="13" t="str">
        <f>IFERROR(__xludf.DUMMYFUNCTION("""COMPUTED_VALUE"""),"товари")</f>
        <v>товари</v>
      </c>
      <c r="B3060" s="16" t="str">
        <f>IFERROR(__xludf.DUMMYFUNCTION("""COMPUTED_VALUE"""),"продукти харчування, напої")</f>
        <v>продукти харчування, напої</v>
      </c>
      <c r="C3060" s="16" t="str">
        <f>IFERROR(__xludf.DUMMYFUNCTION("""COMPUTED_VALUE"""),"веганські і вегетаріанські продукти")</f>
        <v>веганські і вегетаріанські продукти</v>
      </c>
      <c r="D3060" s="16" t="str">
        <f>IFERROR(__xludf.DUMMYFUNCTION("""COMPUTED_VALUE"""),"вегетаріанські напівфабрикати")</f>
        <v>вегетаріанські напівфабрикати</v>
      </c>
      <c r="E3060" s="16" t="str">
        <f>IFERROR(__xludf.DUMMYFUNCTION("""COMPUTED_VALUE"""),"вегетаріанські напівфабрикати")</f>
        <v>вегетаріанські напівфабрикати</v>
      </c>
      <c r="F3060" s="17">
        <f>IFERROR(__xludf.DUMMYFUNCTION("""COMPUTED_VALUE"""),3.0)</f>
        <v>3</v>
      </c>
      <c r="G3060" s="17" t="str">
        <f>IFERROR(__xludf.DUMMYFUNCTION("""COMPUTED_VALUE"""),"23702")</f>
        <v>23702</v>
      </c>
      <c r="H3060" s="17" t="str">
        <f>IFERROR(__xludf.DUMMYFUNCTION("""COMPUTED_VALUE"""),"вегетаріанські напівфабрикати")</f>
        <v>вегетаріанські напівфабрикати</v>
      </c>
      <c r="I3060" s="19">
        <f>IFERROR(__xludf.DUMMYFUNCTION("""COMPUTED_VALUE"""),0.0639)</f>
        <v>0.0639</v>
      </c>
      <c r="J3060" s="19">
        <f>IFERROR(__xludf.DUMMYFUNCTION("""COMPUTED_VALUE"""),0.1278)</f>
        <v>0.1278</v>
      </c>
      <c r="K3060" s="19">
        <f>IFERROR(__xludf.DUMMYFUNCTION("""COMPUTED_VALUE"""),0.1598)</f>
        <v>0.1598</v>
      </c>
      <c r="L3060" s="19">
        <f>IFERROR(__xludf.DUMMYFUNCTION("""COMPUTED_VALUE"""),0.1917)</f>
        <v>0.1917</v>
      </c>
      <c r="M3060" s="18">
        <f>IFERROR(__xludf.DUMMYFUNCTION("""COMPUTED_VALUE"""),2.88)</f>
        <v>2.88</v>
      </c>
    </row>
    <row r="3061">
      <c r="A3061" s="13" t="str">
        <f>IFERROR(__xludf.DUMMYFUNCTION("""COMPUTED_VALUE"""),"товари")</f>
        <v>товари</v>
      </c>
      <c r="B3061" s="16" t="str">
        <f>IFERROR(__xludf.DUMMYFUNCTION("""COMPUTED_VALUE"""),"продукти харчування, напої")</f>
        <v>продукти харчування, напої</v>
      </c>
      <c r="C3061" s="16" t="str">
        <f>IFERROR(__xludf.DUMMYFUNCTION("""COMPUTED_VALUE"""),"веганські і вегетаріанські продукти")</f>
        <v>веганські і вегетаріанські продукти</v>
      </c>
      <c r="D3061" s="16" t="str">
        <f>IFERROR(__xludf.DUMMYFUNCTION("""COMPUTED_VALUE""")," вегетаріанські солодощі і снеки")</f>
        <v> вегетаріанські солодощі і снеки</v>
      </c>
      <c r="E3061" s="16" t="str">
        <f>IFERROR(__xludf.DUMMYFUNCTION("""COMPUTED_VALUE""")," вегетаріанські солодощі і снеки")</f>
        <v> вегетаріанські солодощі і снеки</v>
      </c>
      <c r="F3061" s="17">
        <f>IFERROR(__xludf.DUMMYFUNCTION("""COMPUTED_VALUE"""),3.0)</f>
        <v>3</v>
      </c>
      <c r="G3061" s="17" t="str">
        <f>IFERROR(__xludf.DUMMYFUNCTION("""COMPUTED_VALUE"""),"23704")</f>
        <v>23704</v>
      </c>
      <c r="H3061" s="17" t="str">
        <f>IFERROR(__xludf.DUMMYFUNCTION("""COMPUTED_VALUE""")," вегетаріанські солодощі і снеки")</f>
        <v> вегетаріанські солодощі і снеки</v>
      </c>
      <c r="I3061" s="19">
        <f>IFERROR(__xludf.DUMMYFUNCTION("""COMPUTED_VALUE"""),0.0647)</f>
        <v>0.0647</v>
      </c>
      <c r="J3061" s="19">
        <f>IFERROR(__xludf.DUMMYFUNCTION("""COMPUTED_VALUE"""),0.1294)</f>
        <v>0.1294</v>
      </c>
      <c r="K3061" s="19">
        <f>IFERROR(__xludf.DUMMYFUNCTION("""COMPUTED_VALUE"""),0.1618)</f>
        <v>0.1618</v>
      </c>
      <c r="L3061" s="19">
        <f>IFERROR(__xludf.DUMMYFUNCTION("""COMPUTED_VALUE"""),0.1941)</f>
        <v>0.1941</v>
      </c>
      <c r="M3061" s="18">
        <f>IFERROR(__xludf.DUMMYFUNCTION("""COMPUTED_VALUE"""),2.53)</f>
        <v>2.53</v>
      </c>
    </row>
    <row r="3062">
      <c r="A3062" s="13" t="str">
        <f>IFERROR(__xludf.DUMMYFUNCTION("""COMPUTED_VALUE"""),"товари")</f>
        <v>товари</v>
      </c>
      <c r="B3062" s="16" t="str">
        <f>IFERROR(__xludf.DUMMYFUNCTION("""COMPUTED_VALUE"""),"продукти харчування, напої")</f>
        <v>продукти харчування, напої</v>
      </c>
      <c r="C3062" s="16" t="str">
        <f>IFERROR(__xludf.DUMMYFUNCTION("""COMPUTED_VALUE"""),"веганські і вегетаріанські продукти")</f>
        <v>веганські і вегетаріанські продукти</v>
      </c>
      <c r="D3062" s="16" t="str">
        <f>IFERROR(__xludf.DUMMYFUNCTION("""COMPUTED_VALUE""")," вегетаріанські сосиски і ковбаси")</f>
        <v> вегетаріанські сосиски і ковбаси</v>
      </c>
      <c r="E3062" s="16" t="str">
        <f>IFERROR(__xludf.DUMMYFUNCTION("""COMPUTED_VALUE""")," вегетаріанські сосиски і ковбаси")</f>
        <v> вегетаріанські сосиски і ковбаси</v>
      </c>
      <c r="F3062" s="17">
        <f>IFERROR(__xludf.DUMMYFUNCTION("""COMPUTED_VALUE"""),3.0)</f>
        <v>3</v>
      </c>
      <c r="G3062" s="17" t="str">
        <f>IFERROR(__xludf.DUMMYFUNCTION("""COMPUTED_VALUE"""),"23703")</f>
        <v>23703</v>
      </c>
      <c r="H3062" s="17" t="str">
        <f>IFERROR(__xludf.DUMMYFUNCTION("""COMPUTED_VALUE""")," вегетаріанські сосиски і ковбаси")</f>
        <v> вегетаріанські сосиски і ковбаси</v>
      </c>
      <c r="I3062" s="19">
        <f>IFERROR(__xludf.DUMMYFUNCTION("""COMPUTED_VALUE"""),0.0704)</f>
        <v>0.0704</v>
      </c>
      <c r="J3062" s="19">
        <f>IFERROR(__xludf.DUMMYFUNCTION("""COMPUTED_VALUE"""),0.1407)</f>
        <v>0.1407</v>
      </c>
      <c r="K3062" s="19">
        <f>IFERROR(__xludf.DUMMYFUNCTION("""COMPUTED_VALUE"""),0.1759)</f>
        <v>0.1759</v>
      </c>
      <c r="L3062" s="19">
        <f>IFERROR(__xludf.DUMMYFUNCTION("""COMPUTED_VALUE"""),0.2111)</f>
        <v>0.2111</v>
      </c>
      <c r="M3062" s="18">
        <f>IFERROR(__xludf.DUMMYFUNCTION("""COMPUTED_VALUE"""),1.05)</f>
        <v>1.05</v>
      </c>
    </row>
    <row r="3063">
      <c r="A3063" s="13" t="str">
        <f>IFERROR(__xludf.DUMMYFUNCTION("""COMPUTED_VALUE"""),"товари")</f>
        <v>товари</v>
      </c>
      <c r="B3063" s="16" t="str">
        <f>IFERROR(__xludf.DUMMYFUNCTION("""COMPUTED_VALUE"""),"продукти харчування, напої")</f>
        <v>продукти харчування, напої</v>
      </c>
      <c r="C3063" s="16" t="str">
        <f>IFERROR(__xludf.DUMMYFUNCTION("""COMPUTED_VALUE"""),"молочні продукти")</f>
        <v>молочні продукти</v>
      </c>
      <c r="D3063" s="16" t="str">
        <f>IFERROR(__xludf.DUMMYFUNCTION("""COMPUTED_VALUE"""),"вершки")</f>
        <v>вершки</v>
      </c>
      <c r="E3063" s="16" t="str">
        <f>IFERROR(__xludf.DUMMYFUNCTION("""COMPUTED_VALUE"""),"вершки")</f>
        <v>вершки</v>
      </c>
      <c r="F3063" s="17">
        <f>IFERROR(__xludf.DUMMYFUNCTION("""COMPUTED_VALUE"""),3.0)</f>
        <v>3</v>
      </c>
      <c r="G3063" s="17" t="str">
        <f>IFERROR(__xludf.DUMMYFUNCTION("""COMPUTED_VALUE"""),"20906")</f>
        <v>20906</v>
      </c>
      <c r="H3063" s="17" t="str">
        <f>IFERROR(__xludf.DUMMYFUNCTION("""COMPUTED_VALUE"""),"вершки")</f>
        <v>вершки</v>
      </c>
      <c r="I3063" s="19">
        <f>IFERROR(__xludf.DUMMYFUNCTION("""COMPUTED_VALUE"""),0.0735)</f>
        <v>0.0735</v>
      </c>
      <c r="J3063" s="19">
        <f>IFERROR(__xludf.DUMMYFUNCTION("""COMPUTED_VALUE"""),0.147)</f>
        <v>0.147</v>
      </c>
      <c r="K3063" s="19">
        <f>IFERROR(__xludf.DUMMYFUNCTION("""COMPUTED_VALUE"""),0.1838)</f>
        <v>0.1838</v>
      </c>
      <c r="L3063" s="19">
        <f>IFERROR(__xludf.DUMMYFUNCTION("""COMPUTED_VALUE"""),0.2205)</f>
        <v>0.2205</v>
      </c>
      <c r="M3063" s="18">
        <f>IFERROR(__xludf.DUMMYFUNCTION("""COMPUTED_VALUE"""),1.53)</f>
        <v>1.53</v>
      </c>
    </row>
    <row r="3064">
      <c r="A3064" s="13" t="str">
        <f>IFERROR(__xludf.DUMMYFUNCTION("""COMPUTED_VALUE"""),"товари")</f>
        <v>товари</v>
      </c>
      <c r="B3064" s="16" t="str">
        <f>IFERROR(__xludf.DUMMYFUNCTION("""COMPUTED_VALUE"""),"продукти харчування, напої")</f>
        <v>продукти харчування, напої</v>
      </c>
      <c r="C3064" s="16" t="str">
        <f>IFERROR(__xludf.DUMMYFUNCTION("""COMPUTED_VALUE"""),"молочні продукти")</f>
        <v>молочні продукти</v>
      </c>
      <c r="D3064" s="16" t="str">
        <f>IFERROR(__xludf.DUMMYFUNCTION("""COMPUTED_VALUE"""),"вершкове масло")</f>
        <v>вершкове масло</v>
      </c>
      <c r="E3064" s="16" t="str">
        <f>IFERROR(__xludf.DUMMYFUNCTION("""COMPUTED_VALUE"""),"вершкове масло")</f>
        <v>вершкове масло</v>
      </c>
      <c r="F3064" s="17">
        <f>IFERROR(__xludf.DUMMYFUNCTION("""COMPUTED_VALUE"""),3.0)</f>
        <v>3</v>
      </c>
      <c r="G3064" s="17" t="str">
        <f>IFERROR(__xludf.DUMMYFUNCTION("""COMPUTED_VALUE"""),"21301")</f>
        <v>21301</v>
      </c>
      <c r="H3064" s="17" t="str">
        <f>IFERROR(__xludf.DUMMYFUNCTION("""COMPUTED_VALUE"""),"вершкове масло")</f>
        <v>вершкове масло</v>
      </c>
      <c r="I3064" s="19">
        <f>IFERROR(__xludf.DUMMYFUNCTION("""COMPUTED_VALUE"""),0.0708)</f>
        <v>0.0708</v>
      </c>
      <c r="J3064" s="19">
        <f>IFERROR(__xludf.DUMMYFUNCTION("""COMPUTED_VALUE"""),0.1416)</f>
        <v>0.1416</v>
      </c>
      <c r="K3064" s="19">
        <f>IFERROR(__xludf.DUMMYFUNCTION("""COMPUTED_VALUE"""),0.177)</f>
        <v>0.177</v>
      </c>
      <c r="L3064" s="19">
        <f>IFERROR(__xludf.DUMMYFUNCTION("""COMPUTED_VALUE"""),0.2124)</f>
        <v>0.2124</v>
      </c>
      <c r="M3064" s="18">
        <f>IFERROR(__xludf.DUMMYFUNCTION("""COMPUTED_VALUE"""),1.05)</f>
        <v>1.05</v>
      </c>
    </row>
    <row r="3065">
      <c r="A3065" s="13" t="str">
        <f>IFERROR(__xludf.DUMMYFUNCTION("""COMPUTED_VALUE"""),"товари")</f>
        <v>товари</v>
      </c>
      <c r="B3065" s="16" t="str">
        <f>IFERROR(__xludf.DUMMYFUNCTION("""COMPUTED_VALUE"""),"продукти харчування, напої")</f>
        <v>продукти харчування, напої</v>
      </c>
      <c r="C3065" s="16" t="str">
        <f>IFERROR(__xludf.DUMMYFUNCTION("""COMPUTED_VALUE"""),"бакалія")</f>
        <v>бакалія</v>
      </c>
      <c r="D3065" s="16" t="str">
        <f>IFERROR(__xludf.DUMMYFUNCTION("""COMPUTED_VALUE"""),"борошно та висівки")</f>
        <v>борошно та висівки</v>
      </c>
      <c r="E3065" s="16" t="str">
        <f>IFERROR(__xludf.DUMMYFUNCTION("""COMPUTED_VALUE"""),"висівки")</f>
        <v>висівки</v>
      </c>
      <c r="F3065" s="17">
        <f>IFERROR(__xludf.DUMMYFUNCTION("""COMPUTED_VALUE"""),4.0)</f>
        <v>4</v>
      </c>
      <c r="G3065" s="17" t="str">
        <f>IFERROR(__xludf.DUMMYFUNCTION("""COMPUTED_VALUE"""),"30003")</f>
        <v>30003</v>
      </c>
      <c r="H3065" s="17" t="str">
        <f>IFERROR(__xludf.DUMMYFUNCTION("""COMPUTED_VALUE"""),"висівки")</f>
        <v>висівки</v>
      </c>
      <c r="I3065" s="19">
        <f>IFERROR(__xludf.DUMMYFUNCTION("""COMPUTED_VALUE"""),0.0748)</f>
        <v>0.0748</v>
      </c>
      <c r="J3065" s="19">
        <f>IFERROR(__xludf.DUMMYFUNCTION("""COMPUTED_VALUE"""),0.1495)</f>
        <v>0.1495</v>
      </c>
      <c r="K3065" s="19">
        <f>IFERROR(__xludf.DUMMYFUNCTION("""COMPUTED_VALUE"""),0.1869)</f>
        <v>0.1869</v>
      </c>
      <c r="L3065" s="19">
        <f>IFERROR(__xludf.DUMMYFUNCTION("""COMPUTED_VALUE"""),0.2243)</f>
        <v>0.2243</v>
      </c>
      <c r="M3065" s="18">
        <f>IFERROR(__xludf.DUMMYFUNCTION("""COMPUTED_VALUE"""),2.61)</f>
        <v>2.61</v>
      </c>
    </row>
    <row r="3066">
      <c r="A3066" s="13" t="str">
        <f>IFERROR(__xludf.DUMMYFUNCTION("""COMPUTED_VALUE"""),"товари")</f>
        <v>товари</v>
      </c>
      <c r="B3066" s="16" t="str">
        <f>IFERROR(__xludf.DUMMYFUNCTION("""COMPUTED_VALUE"""),"продукти харчування, напої")</f>
        <v>продукти харчування, напої</v>
      </c>
      <c r="C3066" s="16" t="str">
        <f>IFERROR(__xludf.DUMMYFUNCTION("""COMPUTED_VALUE"""),"хлібобулочні, кондитерські вироби")</f>
        <v>хлібобулочні, кондитерські вироби</v>
      </c>
      <c r="D3066" s="16" t="str">
        <f>IFERROR(__xludf.DUMMYFUNCTION("""COMPUTED_VALUE"""),"все для кондитера")</f>
        <v>все для кондитера</v>
      </c>
      <c r="E3066" s="16" t="str">
        <f>IFERROR(__xludf.DUMMYFUNCTION("""COMPUTED_VALUE"""),"все для кондитера, загальне")</f>
        <v>все для кондитера, загальне</v>
      </c>
      <c r="F3066" s="17">
        <f>IFERROR(__xludf.DUMMYFUNCTION("""COMPUTED_VALUE"""),4.0)</f>
        <v>4</v>
      </c>
      <c r="G3066" s="17" t="str">
        <f>IFERROR(__xludf.DUMMYFUNCTION("""COMPUTED_VALUE"""),"2181801")</f>
        <v>2181801</v>
      </c>
      <c r="H3066" s="17" t="str">
        <f>IFERROR(__xludf.DUMMYFUNCTION("""COMPUTED_VALUE"""),"все для кондитера, загальне")</f>
        <v>все для кондитера, загальне</v>
      </c>
      <c r="I3066" s="19">
        <f>IFERROR(__xludf.DUMMYFUNCTION("""COMPUTED_VALUE"""),0.125)</f>
        <v>0.125</v>
      </c>
      <c r="J3066" s="19">
        <f>IFERROR(__xludf.DUMMYFUNCTION("""COMPUTED_VALUE"""),0.25)</f>
        <v>0.25</v>
      </c>
      <c r="K3066" s="19">
        <f>IFERROR(__xludf.DUMMYFUNCTION("""COMPUTED_VALUE"""),0.3125)</f>
        <v>0.3125</v>
      </c>
      <c r="L3066" s="19">
        <f>IFERROR(__xludf.DUMMYFUNCTION("""COMPUTED_VALUE"""),0.375)</f>
        <v>0.375</v>
      </c>
      <c r="M3066" s="18">
        <f>IFERROR(__xludf.DUMMYFUNCTION("""COMPUTED_VALUE"""),4.33)</f>
        <v>4.33</v>
      </c>
    </row>
    <row r="3067">
      <c r="A3067" s="13" t="str">
        <f>IFERROR(__xludf.DUMMYFUNCTION("""COMPUTED_VALUE"""),"товари")</f>
        <v>товари</v>
      </c>
      <c r="B3067" s="16" t="str">
        <f>IFERROR(__xludf.DUMMYFUNCTION("""COMPUTED_VALUE"""),"продукти харчування, напої")</f>
        <v>продукти харчування, напої</v>
      </c>
      <c r="C3067" s="16" t="str">
        <f>IFERROR(__xludf.DUMMYFUNCTION("""COMPUTED_VALUE"""),"бакалія")</f>
        <v>бакалія</v>
      </c>
      <c r="D3067" s="16" t="str">
        <f>IFERROR(__xludf.DUMMYFUNCTION("""COMPUTED_VALUE"""),"горіхи")</f>
        <v>горіхи</v>
      </c>
      <c r="E3067" s="16" t="str">
        <f>IFERROR(__xludf.DUMMYFUNCTION("""COMPUTED_VALUE"""),"горіхи")</f>
        <v>горіхи</v>
      </c>
      <c r="F3067" s="17">
        <f>IFERROR(__xludf.DUMMYFUNCTION("""COMPUTED_VALUE"""),3.0)</f>
        <v>3</v>
      </c>
      <c r="G3067" s="17" t="str">
        <f>IFERROR(__xludf.DUMMYFUNCTION("""COMPUTED_VALUE"""),"104")</f>
        <v>104</v>
      </c>
      <c r="H3067" s="17" t="str">
        <f>IFERROR(__xludf.DUMMYFUNCTION("""COMPUTED_VALUE"""),"горіхи")</f>
        <v>горіхи</v>
      </c>
      <c r="I3067" s="19">
        <f>IFERROR(__xludf.DUMMYFUNCTION("""COMPUTED_VALUE"""),0.0735)</f>
        <v>0.0735</v>
      </c>
      <c r="J3067" s="19">
        <f>IFERROR(__xludf.DUMMYFUNCTION("""COMPUTED_VALUE"""),0.147)</f>
        <v>0.147</v>
      </c>
      <c r="K3067" s="19">
        <f>IFERROR(__xludf.DUMMYFUNCTION("""COMPUTED_VALUE"""),0.1838)</f>
        <v>0.1838</v>
      </c>
      <c r="L3067" s="19">
        <f>IFERROR(__xludf.DUMMYFUNCTION("""COMPUTED_VALUE"""),0.2205)</f>
        <v>0.2205</v>
      </c>
      <c r="M3067" s="18">
        <f>IFERROR(__xludf.DUMMYFUNCTION("""COMPUTED_VALUE"""),3.06)</f>
        <v>3.06</v>
      </c>
    </row>
    <row r="3068">
      <c r="A3068" s="13" t="str">
        <f>IFERROR(__xludf.DUMMYFUNCTION("""COMPUTED_VALUE"""),"товари")</f>
        <v>товари</v>
      </c>
      <c r="B3068" s="16" t="str">
        <f>IFERROR(__xludf.DUMMYFUNCTION("""COMPUTED_VALUE"""),"продукти харчування, напої")</f>
        <v>продукти харчування, напої</v>
      </c>
      <c r="C3068" s="16" t="str">
        <f>IFERROR(__xludf.DUMMYFUNCTION("""COMPUTED_VALUE"""),"солодощі")</f>
        <v>солодощі</v>
      </c>
      <c r="D3068" s="16" t="str">
        <f>IFERROR(__xludf.DUMMYFUNCTION("""COMPUTED_VALUE"""),"горіхові і шоколадні пасти")</f>
        <v>горіхові і шоколадні пасти</v>
      </c>
      <c r="E3068" s="16" t="str">
        <f>IFERROR(__xludf.DUMMYFUNCTION("""COMPUTED_VALUE"""),"горіхові і шоколадні пасти")</f>
        <v>горіхові і шоколадні пасти</v>
      </c>
      <c r="F3068" s="17">
        <f>IFERROR(__xludf.DUMMYFUNCTION("""COMPUTED_VALUE"""),3.0)</f>
        <v>3</v>
      </c>
      <c r="G3068" s="17" t="str">
        <f>IFERROR(__xludf.DUMMYFUNCTION("""COMPUTED_VALUE"""),"21306")</f>
        <v>21306</v>
      </c>
      <c r="H3068" s="17" t="str">
        <f>IFERROR(__xludf.DUMMYFUNCTION("""COMPUTED_VALUE"""),"горіхові і шоколадні пасти")</f>
        <v>горіхові і шоколадні пасти</v>
      </c>
      <c r="I3068" s="19">
        <f>IFERROR(__xludf.DUMMYFUNCTION("""COMPUTED_VALUE"""),0.0753)</f>
        <v>0.0753</v>
      </c>
      <c r="J3068" s="19">
        <f>IFERROR(__xludf.DUMMYFUNCTION("""COMPUTED_VALUE"""),0.1505)</f>
        <v>0.1505</v>
      </c>
      <c r="K3068" s="19">
        <f>IFERROR(__xludf.DUMMYFUNCTION("""COMPUTED_VALUE"""),0.1881)</f>
        <v>0.1881</v>
      </c>
      <c r="L3068" s="19">
        <f>IFERROR(__xludf.DUMMYFUNCTION("""COMPUTED_VALUE"""),0.2258)</f>
        <v>0.2258</v>
      </c>
      <c r="M3068" s="18">
        <f>IFERROR(__xludf.DUMMYFUNCTION("""COMPUTED_VALUE"""),1.98)</f>
        <v>1.98</v>
      </c>
    </row>
    <row r="3069">
      <c r="A3069" s="13" t="str">
        <f>IFERROR(__xludf.DUMMYFUNCTION("""COMPUTED_VALUE"""),"товари")</f>
        <v>товари</v>
      </c>
      <c r="B3069" s="16" t="str">
        <f>IFERROR(__xludf.DUMMYFUNCTION("""COMPUTED_VALUE"""),"продукти харчування, напої")</f>
        <v>продукти харчування, напої</v>
      </c>
      <c r="C3069" s="16" t="str">
        <f>IFERROR(__xludf.DUMMYFUNCTION("""COMPUTED_VALUE"""),"овочі, фрукти, ягоди, гриби")</f>
        <v>овочі, фрукти, ягоди, гриби</v>
      </c>
      <c r="D3069" s="16" t="str">
        <f>IFERROR(__xludf.DUMMYFUNCTION("""COMPUTED_VALUE"""),"гриби")</f>
        <v>гриби</v>
      </c>
      <c r="E3069" s="16" t="str">
        <f>IFERROR(__xludf.DUMMYFUNCTION("""COMPUTED_VALUE"""),"гриби")</f>
        <v>гриби</v>
      </c>
      <c r="F3069" s="17">
        <f>IFERROR(__xludf.DUMMYFUNCTION("""COMPUTED_VALUE"""),3.0)</f>
        <v>3</v>
      </c>
      <c r="G3069" s="17" t="str">
        <f>IFERROR(__xludf.DUMMYFUNCTION("""COMPUTED_VALUE"""),"10609")</f>
        <v>10609</v>
      </c>
      <c r="H3069" s="17" t="str">
        <f>IFERROR(__xludf.DUMMYFUNCTION("""COMPUTED_VALUE"""),"гриби")</f>
        <v>гриби</v>
      </c>
      <c r="I3069" s="19">
        <f>IFERROR(__xludf.DUMMYFUNCTION("""COMPUTED_VALUE"""),0.0708)</f>
        <v>0.0708</v>
      </c>
      <c r="J3069" s="19">
        <f>IFERROR(__xludf.DUMMYFUNCTION("""COMPUTED_VALUE"""),0.1416)</f>
        <v>0.1416</v>
      </c>
      <c r="K3069" s="19">
        <f>IFERROR(__xludf.DUMMYFUNCTION("""COMPUTED_VALUE"""),0.177)</f>
        <v>0.177</v>
      </c>
      <c r="L3069" s="19">
        <f>IFERROR(__xludf.DUMMYFUNCTION("""COMPUTED_VALUE"""),0.2124)</f>
        <v>0.2124</v>
      </c>
      <c r="M3069" s="18">
        <f>IFERROR(__xludf.DUMMYFUNCTION("""COMPUTED_VALUE"""),1.8)</f>
        <v>1.8</v>
      </c>
    </row>
    <row r="3070">
      <c r="A3070" s="13" t="str">
        <f>IFERROR(__xludf.DUMMYFUNCTION("""COMPUTED_VALUE"""),"товари")</f>
        <v>товари</v>
      </c>
      <c r="B3070" s="16" t="str">
        <f>IFERROR(__xludf.DUMMYFUNCTION("""COMPUTED_VALUE"""),"продукти харчування, напої")</f>
        <v>продукти харчування, напої</v>
      </c>
      <c r="C3070" s="16" t="str">
        <f>IFERROR(__xludf.DUMMYFUNCTION("""COMPUTED_VALUE"""),"напої")</f>
        <v>напої</v>
      </c>
      <c r="D3070" s="16" t="str">
        <f>IFERROR(__xludf.DUMMYFUNCTION("""COMPUTED_VALUE"""),"алкогольні напої")</f>
        <v>алкогольні напої</v>
      </c>
      <c r="E3070" s="16" t="str">
        <f>IFERROR(__xludf.DUMMYFUNCTION("""COMPUTED_VALUE"""),"десертні та ігристі вина")</f>
        <v>десертні та ігристі вина</v>
      </c>
      <c r="F3070" s="17">
        <f>IFERROR(__xludf.DUMMYFUNCTION("""COMPUTED_VALUE"""),4.0)</f>
        <v>4</v>
      </c>
      <c r="G3070" s="17" t="str">
        <f>IFERROR(__xludf.DUMMYFUNCTION("""COMPUTED_VALUE"""),"20406")</f>
        <v>20406</v>
      </c>
      <c r="H3070" s="17" t="str">
        <f>IFERROR(__xludf.DUMMYFUNCTION("""COMPUTED_VALUE"""),"десертні та ігристі вина")</f>
        <v>десертні та ігристі вина</v>
      </c>
      <c r="I3070" s="19">
        <f>IFERROR(__xludf.DUMMYFUNCTION("""COMPUTED_VALUE"""),0.0556)</f>
        <v>0.0556</v>
      </c>
      <c r="J3070" s="19">
        <f>IFERROR(__xludf.DUMMYFUNCTION("""COMPUTED_VALUE"""),0.1111)</f>
        <v>0.1111</v>
      </c>
      <c r="K3070" s="19">
        <f>IFERROR(__xludf.DUMMYFUNCTION("""COMPUTED_VALUE"""),0.1389)</f>
        <v>0.1389</v>
      </c>
      <c r="L3070" s="19">
        <f>IFERROR(__xludf.DUMMYFUNCTION("""COMPUTED_VALUE"""),0.1667)</f>
        <v>0.1667</v>
      </c>
      <c r="M3070" s="18">
        <f>IFERROR(__xludf.DUMMYFUNCTION("""COMPUTED_VALUE"""),1.53)</f>
        <v>1.53</v>
      </c>
    </row>
    <row r="3071">
      <c r="A3071" s="13" t="str">
        <f>IFERROR(__xludf.DUMMYFUNCTION("""COMPUTED_VALUE"""),"товари")</f>
        <v>товари</v>
      </c>
      <c r="B3071" s="16" t="str">
        <f>IFERROR(__xludf.DUMMYFUNCTION("""COMPUTED_VALUE"""),"продукти харчування, напої")</f>
        <v>продукти харчування, напої</v>
      </c>
      <c r="C3071" s="16" t="str">
        <f>IFERROR(__xludf.DUMMYFUNCTION("""COMPUTED_VALUE"""),"дієтичні продукти")</f>
        <v>дієтичні продукти</v>
      </c>
      <c r="D3071" s="16" t="str">
        <f>IFERROR(__xludf.DUMMYFUNCTION("""COMPUTED_VALUE"""),"дієтичні продукти")</f>
        <v>дієтичні продукти</v>
      </c>
      <c r="E3071" s="16" t="str">
        <f>IFERROR(__xludf.DUMMYFUNCTION("""COMPUTED_VALUE"""),"дієтичні продукти")</f>
        <v>дієтичні продукти</v>
      </c>
      <c r="F3071" s="17">
        <f>IFERROR(__xludf.DUMMYFUNCTION("""COMPUTED_VALUE"""),2.0)</f>
        <v>2</v>
      </c>
      <c r="G3071" s="17" t="str">
        <f>IFERROR(__xludf.DUMMYFUNCTION("""COMPUTED_VALUE"""),"217")</f>
        <v>217</v>
      </c>
      <c r="H3071" s="17" t="str">
        <f>IFERROR(__xludf.DUMMYFUNCTION("""COMPUTED_VALUE"""),"дієтичні продукти")</f>
        <v>дієтичні продукти</v>
      </c>
      <c r="I3071" s="19">
        <f>IFERROR(__xludf.DUMMYFUNCTION("""COMPUTED_VALUE"""),0.0738)</f>
        <v>0.0738</v>
      </c>
      <c r="J3071" s="19">
        <f>IFERROR(__xludf.DUMMYFUNCTION("""COMPUTED_VALUE"""),0.1475)</f>
        <v>0.1475</v>
      </c>
      <c r="K3071" s="19">
        <f>IFERROR(__xludf.DUMMYFUNCTION("""COMPUTED_VALUE"""),0.1844)</f>
        <v>0.1844</v>
      </c>
      <c r="L3071" s="19">
        <f>IFERROR(__xludf.DUMMYFUNCTION("""COMPUTED_VALUE"""),0.2213)</f>
        <v>0.2213</v>
      </c>
      <c r="M3071" s="18">
        <f>IFERROR(__xludf.DUMMYFUNCTION("""COMPUTED_VALUE"""),2.08)</f>
        <v>2.08</v>
      </c>
    </row>
    <row r="3072">
      <c r="A3072" s="13" t="str">
        <f>IFERROR(__xludf.DUMMYFUNCTION("""COMPUTED_VALUE"""),"товари")</f>
        <v>товари</v>
      </c>
      <c r="B3072" s="16" t="str">
        <f>IFERROR(__xludf.DUMMYFUNCTION("""COMPUTED_VALUE"""),"продукти харчування, напої")</f>
        <v>продукти харчування, напої</v>
      </c>
      <c r="C3072" s="16" t="str">
        <f>IFERROR(__xludf.DUMMYFUNCTION("""COMPUTED_VALUE"""),"хлібобулочні, кондитерські вироби")</f>
        <v>хлібобулочні, кондитерські вироби</v>
      </c>
      <c r="D3072" s="16" t="str">
        <f>IFERROR(__xludf.DUMMYFUNCTION("""COMPUTED_VALUE"""),"все для кондитера")</f>
        <v>все для кондитера</v>
      </c>
      <c r="E3072" s="16" t="str">
        <f>IFERROR(__xludf.DUMMYFUNCTION("""COMPUTED_VALUE"""),"дріжджі та розпушувач тіста")</f>
        <v>дріжджі та розпушувач тіста</v>
      </c>
      <c r="F3072" s="17">
        <f>IFERROR(__xludf.DUMMYFUNCTION("""COMPUTED_VALUE"""),4.0)</f>
        <v>4</v>
      </c>
      <c r="G3072" s="17" t="str">
        <f>IFERROR(__xludf.DUMMYFUNCTION("""COMPUTED_VALUE"""),"23002")</f>
        <v>23002</v>
      </c>
      <c r="H3072" s="17" t="str">
        <f>IFERROR(__xludf.DUMMYFUNCTION("""COMPUTED_VALUE"""),"дріжджі та розпушувач тіста")</f>
        <v>дріжджі та розпушувач тіста</v>
      </c>
      <c r="I3072" s="19">
        <f>IFERROR(__xludf.DUMMYFUNCTION("""COMPUTED_VALUE"""),0.0813)</f>
        <v>0.0813</v>
      </c>
      <c r="J3072" s="19">
        <f>IFERROR(__xludf.DUMMYFUNCTION("""COMPUTED_VALUE"""),0.1625)</f>
        <v>0.1625</v>
      </c>
      <c r="K3072" s="19">
        <f>IFERROR(__xludf.DUMMYFUNCTION("""COMPUTED_VALUE"""),0.2031)</f>
        <v>0.2031</v>
      </c>
      <c r="L3072" s="19">
        <f>IFERROR(__xludf.DUMMYFUNCTION("""COMPUTED_VALUE"""),0.2438)</f>
        <v>0.2438</v>
      </c>
      <c r="M3072" s="18">
        <f>IFERROR(__xludf.DUMMYFUNCTION("""COMPUTED_VALUE"""),1.05)</f>
        <v>1.05</v>
      </c>
    </row>
    <row r="3073">
      <c r="A3073" s="20" t="str">
        <f>IFERROR(__xludf.DUMMYFUNCTION("""COMPUTED_VALUE"""),"товари")</f>
        <v>товари</v>
      </c>
      <c r="B3073" s="21" t="str">
        <f>IFERROR(__xludf.DUMMYFUNCTION("""COMPUTED_VALUE"""),"продукти харчування, напої")</f>
        <v>продукти харчування, напої</v>
      </c>
      <c r="C3073" s="21" t="str">
        <f>IFERROR(__xludf.DUMMYFUNCTION("""COMPUTED_VALUE"""),"хлібобулочні, кондитерські вироби")</f>
        <v>хлібобулочні, кондитерські вироби</v>
      </c>
      <c r="D3073" s="21" t="str">
        <f>IFERROR(__xludf.DUMMYFUNCTION("""COMPUTED_VALUE"""),"борошняні кондитерські вироби")</f>
        <v>борошняні кондитерські вироби</v>
      </c>
      <c r="E3073" s="21" t="str">
        <f>IFERROR(__xludf.DUMMYFUNCTION("""COMPUTED_VALUE"""),"еклери і пончики")</f>
        <v>еклери і пончики</v>
      </c>
      <c r="F3073" s="22">
        <f>IFERROR(__xludf.DUMMYFUNCTION("""COMPUTED_VALUE"""),4.0)</f>
        <v>4</v>
      </c>
      <c r="G3073" s="22" t="str">
        <f>IFERROR(__xludf.DUMMYFUNCTION("""COMPUTED_VALUE"""),"236")</f>
        <v>236</v>
      </c>
      <c r="H3073" s="22" t="str">
        <f>IFERROR(__xludf.DUMMYFUNCTION("""COMPUTED_VALUE"""),"еклери і пончики")</f>
        <v>еклери і пончики</v>
      </c>
      <c r="I3073" s="19">
        <f>IFERROR(__xludf.DUMMYFUNCTION("""COMPUTED_VALUE"""),0.0729)</f>
        <v>0.0729</v>
      </c>
      <c r="J3073" s="19">
        <f>IFERROR(__xludf.DUMMYFUNCTION("""COMPUTED_VALUE"""),0.1458)</f>
        <v>0.1458</v>
      </c>
      <c r="K3073" s="19">
        <f>IFERROR(__xludf.DUMMYFUNCTION("""COMPUTED_VALUE"""),0.1823)</f>
        <v>0.1823</v>
      </c>
      <c r="L3073" s="19">
        <f>IFERROR(__xludf.DUMMYFUNCTION("""COMPUTED_VALUE"""),0.2187)</f>
        <v>0.2187</v>
      </c>
      <c r="M3073" s="18">
        <f>IFERROR(__xludf.DUMMYFUNCTION("""COMPUTED_VALUE"""),1.05)</f>
        <v>1.05</v>
      </c>
    </row>
    <row r="3074">
      <c r="A3074" s="13" t="str">
        <f>IFERROR(__xludf.DUMMYFUNCTION("""COMPUTED_VALUE"""),"товари")</f>
        <v>товари</v>
      </c>
      <c r="B3074" s="16" t="str">
        <f>IFERROR(__xludf.DUMMYFUNCTION("""COMPUTED_VALUE"""),"продукти харчування, напої")</f>
        <v>продукти харчування, напої</v>
      </c>
      <c r="C3074" s="16" t="str">
        <f>IFERROR(__xludf.DUMMYFUNCTION("""COMPUTED_VALUE"""),"бакалія")</f>
        <v>бакалія</v>
      </c>
      <c r="D3074" s="16" t="str">
        <f>IFERROR(__xludf.DUMMYFUNCTION("""COMPUTED_VALUE"""),"харчові інгредієнти")</f>
        <v>харчові інгредієнти</v>
      </c>
      <c r="E3074" s="16" t="str">
        <f>IFERROR(__xludf.DUMMYFUNCTION("""COMPUTED_VALUE"""),"емульгатори")</f>
        <v>емульгатори</v>
      </c>
      <c r="F3074" s="17">
        <f>IFERROR(__xludf.DUMMYFUNCTION("""COMPUTED_VALUE"""),4.0)</f>
        <v>4</v>
      </c>
      <c r="G3074" s="17" t="str">
        <f>IFERROR(__xludf.DUMMYFUNCTION("""COMPUTED_VALUE"""),"81904")</f>
        <v>81904</v>
      </c>
      <c r="H3074" s="17" t="str">
        <f>IFERROR(__xludf.DUMMYFUNCTION("""COMPUTED_VALUE"""),"емульгатори")</f>
        <v>емульгатори</v>
      </c>
      <c r="I3074" s="19">
        <f>IFERROR(__xludf.DUMMYFUNCTION("""COMPUTED_VALUE"""),0.0778)</f>
        <v>0.0778</v>
      </c>
      <c r="J3074" s="19">
        <f>IFERROR(__xludf.DUMMYFUNCTION("""COMPUTED_VALUE"""),0.1556)</f>
        <v>0.1556</v>
      </c>
      <c r="K3074" s="19">
        <f>IFERROR(__xludf.DUMMYFUNCTION("""COMPUTED_VALUE"""),0.1945)</f>
        <v>0.1945</v>
      </c>
      <c r="L3074" s="19">
        <f>IFERROR(__xludf.DUMMYFUNCTION("""COMPUTED_VALUE"""),0.2334)</f>
        <v>0.2334</v>
      </c>
      <c r="M3074" s="18">
        <f>IFERROR(__xludf.DUMMYFUNCTION("""COMPUTED_VALUE"""),3.88)</f>
        <v>3.88</v>
      </c>
    </row>
    <row r="3075">
      <c r="A3075" s="13" t="str">
        <f>IFERROR(__xludf.DUMMYFUNCTION("""COMPUTED_VALUE"""),"товари")</f>
        <v>товари</v>
      </c>
      <c r="B3075" s="16" t="str">
        <f>IFERROR(__xludf.DUMMYFUNCTION("""COMPUTED_VALUE"""),"продукти харчування, напої")</f>
        <v>продукти харчування, напої</v>
      </c>
      <c r="C3075" s="16" t="str">
        <f>IFERROR(__xludf.DUMMYFUNCTION("""COMPUTED_VALUE"""),"бакалія")</f>
        <v>бакалія</v>
      </c>
      <c r="D3075" s="16" t="str">
        <f>IFERROR(__xludf.DUMMYFUNCTION("""COMPUTED_VALUE"""),"харчові інгредієнти")</f>
        <v>харчові інгредієнти</v>
      </c>
      <c r="E3075" s="16" t="str">
        <f>IFERROR(__xludf.DUMMYFUNCTION("""COMPUTED_VALUE"""),"желатин, загусники")</f>
        <v>желатин, загусники</v>
      </c>
      <c r="F3075" s="17">
        <f>IFERROR(__xludf.DUMMYFUNCTION("""COMPUTED_VALUE"""),4.0)</f>
        <v>4</v>
      </c>
      <c r="G3075" s="17" t="str">
        <f>IFERROR(__xludf.DUMMYFUNCTION("""COMPUTED_VALUE"""),"81910")</f>
        <v>81910</v>
      </c>
      <c r="H3075" s="17" t="str">
        <f>IFERROR(__xludf.DUMMYFUNCTION("""COMPUTED_VALUE"""),"желатин, загусники")</f>
        <v>желатин, загусники</v>
      </c>
      <c r="I3075" s="19">
        <f>IFERROR(__xludf.DUMMYFUNCTION("""COMPUTED_VALUE"""),0.0743)</f>
        <v>0.0743</v>
      </c>
      <c r="J3075" s="19">
        <f>IFERROR(__xludf.DUMMYFUNCTION("""COMPUTED_VALUE"""),0.1485)</f>
        <v>0.1485</v>
      </c>
      <c r="K3075" s="19">
        <f>IFERROR(__xludf.DUMMYFUNCTION("""COMPUTED_VALUE"""),0.1856)</f>
        <v>0.1856</v>
      </c>
      <c r="L3075" s="19">
        <f>IFERROR(__xludf.DUMMYFUNCTION("""COMPUTED_VALUE"""),0.2228)</f>
        <v>0.2228</v>
      </c>
      <c r="M3075" s="18">
        <f>IFERROR(__xludf.DUMMYFUNCTION("""COMPUTED_VALUE"""),3.88)</f>
        <v>3.88</v>
      </c>
    </row>
    <row r="3076">
      <c r="A3076" s="13" t="str">
        <f>IFERROR(__xludf.DUMMYFUNCTION("""COMPUTED_VALUE"""),"товари")</f>
        <v>товари</v>
      </c>
      <c r="B3076" s="16" t="str">
        <f>IFERROR(__xludf.DUMMYFUNCTION("""COMPUTED_VALUE"""),"продукти харчування, напої")</f>
        <v>продукти харчування, напої</v>
      </c>
      <c r="C3076" s="16" t="str">
        <f>IFERROR(__xludf.DUMMYFUNCTION("""COMPUTED_VALUE"""),"солодощі")</f>
        <v>солодощі</v>
      </c>
      <c r="D3076" s="16" t="str">
        <f>IFERROR(__xludf.DUMMYFUNCTION("""COMPUTED_VALUE""")," желе і десерти")</f>
        <v> желе і десерти</v>
      </c>
      <c r="E3076" s="16" t="str">
        <f>IFERROR(__xludf.DUMMYFUNCTION("""COMPUTED_VALUE""")," желе і десерти")</f>
        <v> желе і десерти</v>
      </c>
      <c r="F3076" s="17">
        <f>IFERROR(__xludf.DUMMYFUNCTION("""COMPUTED_VALUE"""),3.0)</f>
        <v>3</v>
      </c>
      <c r="G3076" s="17" t="str">
        <f>IFERROR(__xludf.DUMMYFUNCTION("""COMPUTED_VALUE"""),"21812")</f>
        <v>21812</v>
      </c>
      <c r="H3076" s="17" t="str">
        <f>IFERROR(__xludf.DUMMYFUNCTION("""COMPUTED_VALUE""")," желе і десерти")</f>
        <v> желе і десерти</v>
      </c>
      <c r="I3076" s="19">
        <f>IFERROR(__xludf.DUMMYFUNCTION("""COMPUTED_VALUE"""),0.0718)</f>
        <v>0.0718</v>
      </c>
      <c r="J3076" s="19">
        <f>IFERROR(__xludf.DUMMYFUNCTION("""COMPUTED_VALUE"""),0.1436)</f>
        <v>0.1436</v>
      </c>
      <c r="K3076" s="19">
        <f>IFERROR(__xludf.DUMMYFUNCTION("""COMPUTED_VALUE"""),0.1795)</f>
        <v>0.1795</v>
      </c>
      <c r="L3076" s="19">
        <f>IFERROR(__xludf.DUMMYFUNCTION("""COMPUTED_VALUE"""),0.2154)</f>
        <v>0.2154</v>
      </c>
      <c r="M3076" s="18">
        <f>IFERROR(__xludf.DUMMYFUNCTION("""COMPUTED_VALUE"""),1.05)</f>
        <v>1.05</v>
      </c>
    </row>
    <row r="3077">
      <c r="A3077" s="13" t="str">
        <f>IFERROR(__xludf.DUMMYFUNCTION("""COMPUTED_VALUE"""),"товари")</f>
        <v>товари</v>
      </c>
      <c r="B3077" s="16" t="str">
        <f>IFERROR(__xludf.DUMMYFUNCTION("""COMPUTED_VALUE"""),"продукти харчування, напої")</f>
        <v>продукти харчування, напої</v>
      </c>
      <c r="C3077" s="16" t="str">
        <f>IFERROR(__xludf.DUMMYFUNCTION("""COMPUTED_VALUE"""),"бакалія")</f>
        <v>бакалія</v>
      </c>
      <c r="D3077" s="16" t="str">
        <f>IFERROR(__xludf.DUMMYFUNCTION("""COMPUTED_VALUE"""),"харчові інгредієнти")</f>
        <v>харчові інгредієнти</v>
      </c>
      <c r="E3077" s="16" t="str">
        <f>IFERROR(__xludf.DUMMYFUNCTION("""COMPUTED_VALUE"""),"закваски")</f>
        <v>закваски</v>
      </c>
      <c r="F3077" s="17">
        <f>IFERROR(__xludf.DUMMYFUNCTION("""COMPUTED_VALUE"""),4.0)</f>
        <v>4</v>
      </c>
      <c r="G3077" s="17" t="str">
        <f>IFERROR(__xludf.DUMMYFUNCTION("""COMPUTED_VALUE"""),"81911")</f>
        <v>81911</v>
      </c>
      <c r="H3077" s="17" t="str">
        <f>IFERROR(__xludf.DUMMYFUNCTION("""COMPUTED_VALUE"""),"закваски")</f>
        <v>закваски</v>
      </c>
      <c r="I3077" s="19">
        <f>IFERROR(__xludf.DUMMYFUNCTION("""COMPUTED_VALUE"""),0.0743)</f>
        <v>0.0743</v>
      </c>
      <c r="J3077" s="19">
        <f>IFERROR(__xludf.DUMMYFUNCTION("""COMPUTED_VALUE"""),0.1485)</f>
        <v>0.1485</v>
      </c>
      <c r="K3077" s="19">
        <f>IFERROR(__xludf.DUMMYFUNCTION("""COMPUTED_VALUE"""),0.1856)</f>
        <v>0.1856</v>
      </c>
      <c r="L3077" s="19">
        <f>IFERROR(__xludf.DUMMYFUNCTION("""COMPUTED_VALUE"""),0.2228)</f>
        <v>0.2228</v>
      </c>
      <c r="M3077" s="18">
        <f>IFERROR(__xludf.DUMMYFUNCTION("""COMPUTED_VALUE"""),3.88)</f>
        <v>3.88</v>
      </c>
    </row>
    <row r="3078">
      <c r="A3078" s="13" t="str">
        <f>IFERROR(__xludf.DUMMYFUNCTION("""COMPUTED_VALUE"""),"товари")</f>
        <v>товари</v>
      </c>
      <c r="B3078" s="16" t="str">
        <f>IFERROR(__xludf.DUMMYFUNCTION("""COMPUTED_VALUE"""),"продукти харчування, напої")</f>
        <v>продукти харчування, напої</v>
      </c>
      <c r="C3078" s="16" t="str">
        <f>IFERROR(__xludf.DUMMYFUNCTION("""COMPUTED_VALUE""")," заморожені напівфабрикати")</f>
        <v> заморожені напівфабрикати</v>
      </c>
      <c r="D3078" s="16" t="str">
        <f>IFERROR(__xludf.DUMMYFUNCTION("""COMPUTED_VALUE""")," заморожені напівфабрикати")</f>
        <v> заморожені напівфабрикати</v>
      </c>
      <c r="E3078" s="16" t="str">
        <f>IFERROR(__xludf.DUMMYFUNCTION("""COMPUTED_VALUE""")," заморожені напівфабрикати")</f>
        <v> заморожені напівфабрикати</v>
      </c>
      <c r="F3078" s="17">
        <f>IFERROR(__xludf.DUMMYFUNCTION("""COMPUTED_VALUE"""),2.0)</f>
        <v>2</v>
      </c>
      <c r="G3078" s="17" t="str">
        <f>IFERROR(__xludf.DUMMYFUNCTION("""COMPUTED_VALUE"""),"222")</f>
        <v>222</v>
      </c>
      <c r="H3078" s="17" t="str">
        <f>IFERROR(__xludf.DUMMYFUNCTION("""COMPUTED_VALUE""")," заморожені напівфабрикати")</f>
        <v> заморожені напівфабрикати</v>
      </c>
      <c r="I3078" s="19">
        <f>IFERROR(__xludf.DUMMYFUNCTION("""COMPUTED_VALUE"""),0.0678)</f>
        <v>0.0678</v>
      </c>
      <c r="J3078" s="19">
        <f>IFERROR(__xludf.DUMMYFUNCTION("""COMPUTED_VALUE"""),0.1355)</f>
        <v>0.1355</v>
      </c>
      <c r="K3078" s="19">
        <f>IFERROR(__xludf.DUMMYFUNCTION("""COMPUTED_VALUE"""),0.1694)</f>
        <v>0.1694</v>
      </c>
      <c r="L3078" s="19">
        <f>IFERROR(__xludf.DUMMYFUNCTION("""COMPUTED_VALUE"""),0.2033)</f>
        <v>0.2033</v>
      </c>
      <c r="M3078" s="18">
        <f>IFERROR(__xludf.DUMMYFUNCTION("""COMPUTED_VALUE"""),1.53)</f>
        <v>1.53</v>
      </c>
    </row>
    <row r="3079">
      <c r="A3079" s="13" t="str">
        <f>IFERROR(__xludf.DUMMYFUNCTION("""COMPUTED_VALUE"""),"товари")</f>
        <v>товари</v>
      </c>
      <c r="B3079" s="16" t="str">
        <f>IFERROR(__xludf.DUMMYFUNCTION("""COMPUTED_VALUE"""),"продукти харчування, напої")</f>
        <v>продукти харчування, напої</v>
      </c>
      <c r="C3079" s="16" t="str">
        <f>IFERROR(__xludf.DUMMYFUNCTION("""COMPUTED_VALUE"""),"молочні продукти")</f>
        <v>молочні продукти</v>
      </c>
      <c r="D3079" s="16" t="str">
        <f>IFERROR(__xludf.DUMMYFUNCTION("""COMPUTED_VALUE"""),"згущене молоко")</f>
        <v>згущене молоко</v>
      </c>
      <c r="E3079" s="16" t="str">
        <f>IFERROR(__xludf.DUMMYFUNCTION("""COMPUTED_VALUE"""),"згущене молоко")</f>
        <v>згущене молоко</v>
      </c>
      <c r="F3079" s="17">
        <f>IFERROR(__xludf.DUMMYFUNCTION("""COMPUTED_VALUE"""),3.0)</f>
        <v>3</v>
      </c>
      <c r="G3079" s="17" t="str">
        <f>IFERROR(__xludf.DUMMYFUNCTION("""COMPUTED_VALUE"""),"20911")</f>
        <v>20911</v>
      </c>
      <c r="H3079" s="17" t="str">
        <f>IFERROR(__xludf.DUMMYFUNCTION("""COMPUTED_VALUE"""),"згущене молоко")</f>
        <v>згущене молоко</v>
      </c>
      <c r="I3079" s="19">
        <f>IFERROR(__xludf.DUMMYFUNCTION("""COMPUTED_VALUE"""),0.0735)</f>
        <v>0.0735</v>
      </c>
      <c r="J3079" s="19">
        <f>IFERROR(__xludf.DUMMYFUNCTION("""COMPUTED_VALUE"""),0.147)</f>
        <v>0.147</v>
      </c>
      <c r="K3079" s="19">
        <f>IFERROR(__xludf.DUMMYFUNCTION("""COMPUTED_VALUE"""),0.1838)</f>
        <v>0.1838</v>
      </c>
      <c r="L3079" s="19">
        <f>IFERROR(__xludf.DUMMYFUNCTION("""COMPUTED_VALUE"""),0.2205)</f>
        <v>0.2205</v>
      </c>
      <c r="M3079" s="18">
        <f>IFERROR(__xludf.DUMMYFUNCTION("""COMPUTED_VALUE"""),1.26)</f>
        <v>1.26</v>
      </c>
    </row>
    <row r="3080">
      <c r="A3080" s="13" t="str">
        <f>IFERROR(__xludf.DUMMYFUNCTION("""COMPUTED_VALUE"""),"товари")</f>
        <v>товари</v>
      </c>
      <c r="B3080" s="16" t="str">
        <f>IFERROR(__xludf.DUMMYFUNCTION("""COMPUTED_VALUE"""),"продукти харчування, напої")</f>
        <v>продукти харчування, напої</v>
      </c>
      <c r="C3080" s="16" t="str">
        <f>IFERROR(__xludf.DUMMYFUNCTION("""COMPUTED_VALUE"""),"солодощі")</f>
        <v>солодощі</v>
      </c>
      <c r="D3080" s="16" t="str">
        <f>IFERROR(__xludf.DUMMYFUNCTION("""COMPUTED_VALUE"""),"зефір і мармелад")</f>
        <v>зефір і мармелад</v>
      </c>
      <c r="E3080" s="16" t="str">
        <f>IFERROR(__xludf.DUMMYFUNCTION("""COMPUTED_VALUE"""),"зефір і мармелад")</f>
        <v>зефір і мармелад</v>
      </c>
      <c r="F3080" s="17">
        <f>IFERROR(__xludf.DUMMYFUNCTION("""COMPUTED_VALUE"""),3.0)</f>
        <v>3</v>
      </c>
      <c r="G3080" s="17" t="str">
        <f>IFERROR(__xludf.DUMMYFUNCTION("""COMPUTED_VALUE"""),"21813")</f>
        <v>21813</v>
      </c>
      <c r="H3080" s="17" t="str">
        <f>IFERROR(__xludf.DUMMYFUNCTION("""COMPUTED_VALUE"""),"зефір і мармелад")</f>
        <v>зефір і мармелад</v>
      </c>
      <c r="I3080" s="19">
        <f>IFERROR(__xludf.DUMMYFUNCTION("""COMPUTED_VALUE"""),0.0715)</f>
        <v>0.0715</v>
      </c>
      <c r="J3080" s="19">
        <f>IFERROR(__xludf.DUMMYFUNCTION("""COMPUTED_VALUE"""),0.1429)</f>
        <v>0.1429</v>
      </c>
      <c r="K3080" s="19">
        <f>IFERROR(__xludf.DUMMYFUNCTION("""COMPUTED_VALUE"""),0.1786)</f>
        <v>0.1786</v>
      </c>
      <c r="L3080" s="19">
        <f>IFERROR(__xludf.DUMMYFUNCTION("""COMPUTED_VALUE"""),0.2144)</f>
        <v>0.2144</v>
      </c>
      <c r="M3080" s="18">
        <f>IFERROR(__xludf.DUMMYFUNCTION("""COMPUTED_VALUE"""),1.05)</f>
        <v>1.05</v>
      </c>
    </row>
    <row r="3081">
      <c r="A3081" s="13" t="str">
        <f>IFERROR(__xludf.DUMMYFUNCTION("""COMPUTED_VALUE"""),"товари")</f>
        <v>товари</v>
      </c>
      <c r="B3081" s="16" t="str">
        <f>IFERROR(__xludf.DUMMYFUNCTION("""COMPUTED_VALUE"""),"продукти харчування, напої")</f>
        <v>продукти харчування, напої</v>
      </c>
      <c r="C3081" s="16" t="str">
        <f>IFERROR(__xludf.DUMMYFUNCTION("""COMPUTED_VALUE"""),"ікра")</f>
        <v>ікра</v>
      </c>
      <c r="D3081" s="16" t="str">
        <f>IFERROR(__xludf.DUMMYFUNCTION("""COMPUTED_VALUE"""),"ікра")</f>
        <v>ікра</v>
      </c>
      <c r="E3081" s="16" t="str">
        <f>IFERROR(__xludf.DUMMYFUNCTION("""COMPUTED_VALUE"""),"ікра")</f>
        <v>ікра</v>
      </c>
      <c r="F3081" s="17">
        <f>IFERROR(__xludf.DUMMYFUNCTION("""COMPUTED_VALUE"""),2.0)</f>
        <v>2</v>
      </c>
      <c r="G3081" s="17" t="str">
        <f>IFERROR(__xludf.DUMMYFUNCTION("""COMPUTED_VALUE"""),"10904")</f>
        <v>10904</v>
      </c>
      <c r="H3081" s="17" t="str">
        <f>IFERROR(__xludf.DUMMYFUNCTION("""COMPUTED_VALUE"""),"ікра")</f>
        <v>ікра</v>
      </c>
      <c r="I3081" s="19">
        <f>IFERROR(__xludf.DUMMYFUNCTION("""COMPUTED_VALUE"""),0.0732)</f>
        <v>0.0732</v>
      </c>
      <c r="J3081" s="19">
        <f>IFERROR(__xludf.DUMMYFUNCTION("""COMPUTED_VALUE"""),0.1464)</f>
        <v>0.1464</v>
      </c>
      <c r="K3081" s="19">
        <f>IFERROR(__xludf.DUMMYFUNCTION("""COMPUTED_VALUE"""),0.183)</f>
        <v>0.183</v>
      </c>
      <c r="L3081" s="19">
        <f>IFERROR(__xludf.DUMMYFUNCTION("""COMPUTED_VALUE"""),0.2196)</f>
        <v>0.2196</v>
      </c>
      <c r="M3081" s="18">
        <f>IFERROR(__xludf.DUMMYFUNCTION("""COMPUTED_VALUE"""),2.88)</f>
        <v>2.88</v>
      </c>
    </row>
    <row r="3082">
      <c r="A3082" s="13" t="str">
        <f>IFERROR(__xludf.DUMMYFUNCTION("""COMPUTED_VALUE"""),"товари")</f>
        <v>товари</v>
      </c>
      <c r="B3082" s="16" t="str">
        <f>IFERROR(__xludf.DUMMYFUNCTION("""COMPUTED_VALUE"""),"продукти харчування, напої")</f>
        <v>продукти харчування, напої</v>
      </c>
      <c r="C3082" s="16" t="str">
        <f>IFERROR(__xludf.DUMMYFUNCTION("""COMPUTED_VALUE"""),"бакалія")</f>
        <v>бакалія</v>
      </c>
      <c r="D3082" s="16" t="str">
        <f>IFERROR(__xludf.DUMMYFUNCTION("""COMPUTED_VALUE"""),"харчові інгредієнти")</f>
        <v>харчові інгредієнти</v>
      </c>
      <c r="E3082" s="16" t="str">
        <f>IFERROR(__xludf.DUMMYFUNCTION("""COMPUTED_VALUE"""),"інгредієнти для кондитерських і хлібобулочних виробів")</f>
        <v>інгредієнти для кондитерських і хлібобулочних виробів</v>
      </c>
      <c r="F3082" s="17">
        <f>IFERROR(__xludf.DUMMYFUNCTION("""COMPUTED_VALUE"""),4.0)</f>
        <v>4</v>
      </c>
      <c r="G3082" s="17" t="str">
        <f>IFERROR(__xludf.DUMMYFUNCTION("""COMPUTED_VALUE"""),"23011")</f>
        <v>23011</v>
      </c>
      <c r="H3082" s="17" t="str">
        <f>IFERROR(__xludf.DUMMYFUNCTION("""COMPUTED_VALUE"""),"інгредієнти для кондитерських і хлібобулочних виробів")</f>
        <v>інгредієнти для кондитерських і хлібобулочних виробів</v>
      </c>
      <c r="I3082" s="19">
        <f>IFERROR(__xludf.DUMMYFUNCTION("""COMPUTED_VALUE"""),0.0743)</f>
        <v>0.0743</v>
      </c>
      <c r="J3082" s="19">
        <f>IFERROR(__xludf.DUMMYFUNCTION("""COMPUTED_VALUE"""),0.1485)</f>
        <v>0.1485</v>
      </c>
      <c r="K3082" s="19">
        <f>IFERROR(__xludf.DUMMYFUNCTION("""COMPUTED_VALUE"""),0.1856)</f>
        <v>0.1856</v>
      </c>
      <c r="L3082" s="19">
        <f>IFERROR(__xludf.DUMMYFUNCTION("""COMPUTED_VALUE"""),0.2228)</f>
        <v>0.2228</v>
      </c>
      <c r="M3082" s="18">
        <f>IFERROR(__xludf.DUMMYFUNCTION("""COMPUTED_VALUE"""),3.88)</f>
        <v>3.88</v>
      </c>
    </row>
    <row r="3083">
      <c r="A3083" s="13" t="str">
        <f>IFERROR(__xludf.DUMMYFUNCTION("""COMPUTED_VALUE"""),"товари")</f>
        <v>товари</v>
      </c>
      <c r="B3083" s="16" t="str">
        <f>IFERROR(__xludf.DUMMYFUNCTION("""COMPUTED_VALUE"""),"продукти харчування, напої")</f>
        <v>продукти харчування, напої</v>
      </c>
      <c r="C3083" s="16" t="str">
        <f>IFERROR(__xludf.DUMMYFUNCTION("""COMPUTED_VALUE"""),"молочні продукти")</f>
        <v>молочні продукти</v>
      </c>
      <c r="D3083" s="16" t="str">
        <f>IFERROR(__xludf.DUMMYFUNCTION("""COMPUTED_VALUE"""),"йогурти та молочні десерти")</f>
        <v>йогурти та молочні десерти</v>
      </c>
      <c r="E3083" s="16" t="str">
        <f>IFERROR(__xludf.DUMMYFUNCTION("""COMPUTED_VALUE"""),"йогурти та молочні десерти")</f>
        <v>йогурти та молочні десерти</v>
      </c>
      <c r="F3083" s="17">
        <f>IFERROR(__xludf.DUMMYFUNCTION("""COMPUTED_VALUE"""),3.0)</f>
        <v>3</v>
      </c>
      <c r="G3083" s="17" t="str">
        <f>IFERROR(__xludf.DUMMYFUNCTION("""COMPUTED_VALUE"""),"20913")</f>
        <v>20913</v>
      </c>
      <c r="H3083" s="17" t="str">
        <f>IFERROR(__xludf.DUMMYFUNCTION("""COMPUTED_VALUE"""),"йогурти та молочні десерти")</f>
        <v>йогурти та молочні десерти</v>
      </c>
      <c r="I3083" s="19">
        <f>IFERROR(__xludf.DUMMYFUNCTION("""COMPUTED_VALUE"""),0.0678)</f>
        <v>0.0678</v>
      </c>
      <c r="J3083" s="19">
        <f>IFERROR(__xludf.DUMMYFUNCTION("""COMPUTED_VALUE"""),0.1355)</f>
        <v>0.1355</v>
      </c>
      <c r="K3083" s="19">
        <f>IFERROR(__xludf.DUMMYFUNCTION("""COMPUTED_VALUE"""),0.1694)</f>
        <v>0.1694</v>
      </c>
      <c r="L3083" s="19">
        <f>IFERROR(__xludf.DUMMYFUNCTION("""COMPUTED_VALUE"""),0.2033)</f>
        <v>0.2033</v>
      </c>
      <c r="M3083" s="18">
        <f>IFERROR(__xludf.DUMMYFUNCTION("""COMPUTED_VALUE"""),1.05)</f>
        <v>1.05</v>
      </c>
    </row>
    <row r="3084">
      <c r="A3084" s="13" t="str">
        <f>IFERROR(__xludf.DUMMYFUNCTION("""COMPUTED_VALUE"""),"товари")</f>
        <v>товари</v>
      </c>
      <c r="B3084" s="16" t="str">
        <f>IFERROR(__xludf.DUMMYFUNCTION("""COMPUTED_VALUE"""),"продукти харчування, напої")</f>
        <v>продукти харчування, напої</v>
      </c>
      <c r="C3084" s="16" t="str">
        <f>IFERROR(__xludf.DUMMYFUNCTION("""COMPUTED_VALUE"""),"напої")</f>
        <v>напої</v>
      </c>
      <c r="D3084" s="16" t="str">
        <f>IFERROR(__xludf.DUMMYFUNCTION("""COMPUTED_VALUE"""),"чай, кава, какао")</f>
        <v>чай, кава, какао</v>
      </c>
      <c r="E3084" s="16" t="str">
        <f>IFERROR(__xludf.DUMMYFUNCTION("""COMPUTED_VALUE"""),"кава")</f>
        <v>кава</v>
      </c>
      <c r="F3084" s="17">
        <f>IFERROR(__xludf.DUMMYFUNCTION("""COMPUTED_VALUE"""),4.0)</f>
        <v>4</v>
      </c>
      <c r="G3084" s="17" t="str">
        <f>IFERROR(__xludf.DUMMYFUNCTION("""COMPUTED_VALUE"""),"10702")</f>
        <v>10702</v>
      </c>
      <c r="H3084" s="17" t="str">
        <f>IFERROR(__xludf.DUMMYFUNCTION("""COMPUTED_VALUE"""),"кава")</f>
        <v>кава</v>
      </c>
      <c r="I3084" s="19">
        <f>IFERROR(__xludf.DUMMYFUNCTION("""COMPUTED_VALUE"""),0.0772)</f>
        <v>0.0772</v>
      </c>
      <c r="J3084" s="19">
        <f>IFERROR(__xludf.DUMMYFUNCTION("""COMPUTED_VALUE"""),0.1543)</f>
        <v>0.1543</v>
      </c>
      <c r="K3084" s="19">
        <f>IFERROR(__xludf.DUMMYFUNCTION("""COMPUTED_VALUE"""),0.1929)</f>
        <v>0.1929</v>
      </c>
      <c r="L3084" s="19">
        <f>IFERROR(__xludf.DUMMYFUNCTION("""COMPUTED_VALUE"""),0.2315)</f>
        <v>0.2315</v>
      </c>
      <c r="M3084" s="18">
        <f>IFERROR(__xludf.DUMMYFUNCTION("""COMPUTED_VALUE"""),3.24)</f>
        <v>3.24</v>
      </c>
    </row>
    <row r="3085">
      <c r="A3085" s="13" t="str">
        <f>IFERROR(__xludf.DUMMYFUNCTION("""COMPUTED_VALUE"""),"товари")</f>
        <v>товари</v>
      </c>
      <c r="B3085" s="16" t="str">
        <f>IFERROR(__xludf.DUMMYFUNCTION("""COMPUTED_VALUE"""),"продукти харчування, напої")</f>
        <v>продукти харчування, напої</v>
      </c>
      <c r="C3085" s="16" t="str">
        <f>IFERROR(__xludf.DUMMYFUNCTION("""COMPUTED_VALUE"""),"напої")</f>
        <v>напої</v>
      </c>
      <c r="D3085" s="16" t="str">
        <f>IFERROR(__xludf.DUMMYFUNCTION("""COMPUTED_VALUE"""),"чай, кава, какао")</f>
        <v>чай, кава, какао</v>
      </c>
      <c r="E3085" s="16" t="str">
        <f>IFERROR(__xludf.DUMMYFUNCTION("""COMPUTED_VALUE"""),"кавові напої")</f>
        <v>кавові напої</v>
      </c>
      <c r="F3085" s="17">
        <f>IFERROR(__xludf.DUMMYFUNCTION("""COMPUTED_VALUE"""),4.0)</f>
        <v>4</v>
      </c>
      <c r="G3085" s="17" t="str">
        <f>IFERROR(__xludf.DUMMYFUNCTION("""COMPUTED_VALUE"""),"10705")</f>
        <v>10705</v>
      </c>
      <c r="H3085" s="17" t="str">
        <f>IFERROR(__xludf.DUMMYFUNCTION("""COMPUTED_VALUE"""),"кавові напої")</f>
        <v>кавові напої</v>
      </c>
      <c r="I3085" s="19">
        <f>IFERROR(__xludf.DUMMYFUNCTION("""COMPUTED_VALUE"""),0.0766)</f>
        <v>0.0766</v>
      </c>
      <c r="J3085" s="19">
        <f>IFERROR(__xludf.DUMMYFUNCTION("""COMPUTED_VALUE"""),0.1532)</f>
        <v>0.1532</v>
      </c>
      <c r="K3085" s="19">
        <f>IFERROR(__xludf.DUMMYFUNCTION("""COMPUTED_VALUE"""),0.1915)</f>
        <v>0.1915</v>
      </c>
      <c r="L3085" s="19">
        <f>IFERROR(__xludf.DUMMYFUNCTION("""COMPUTED_VALUE"""),0.2298)</f>
        <v>0.2298</v>
      </c>
      <c r="M3085" s="18">
        <f>IFERROR(__xludf.DUMMYFUNCTION("""COMPUTED_VALUE"""),3.24)</f>
        <v>3.24</v>
      </c>
    </row>
    <row r="3086">
      <c r="A3086" s="13" t="str">
        <f>IFERROR(__xludf.DUMMYFUNCTION("""COMPUTED_VALUE"""),"товари")</f>
        <v>товари</v>
      </c>
      <c r="B3086" s="16" t="str">
        <f>IFERROR(__xludf.DUMMYFUNCTION("""COMPUTED_VALUE"""),"продукти харчування, напої")</f>
        <v>продукти харчування, напої</v>
      </c>
      <c r="C3086" s="16" t="str">
        <f>IFERROR(__xludf.DUMMYFUNCTION("""COMPUTED_VALUE"""),"напої")</f>
        <v>напої</v>
      </c>
      <c r="D3086" s="16" t="str">
        <f>IFERROR(__xludf.DUMMYFUNCTION("""COMPUTED_VALUE"""),"чай, кава, какао")</f>
        <v>чай, кава, какао</v>
      </c>
      <c r="E3086" s="16" t="str">
        <f>IFERROR(__xludf.DUMMYFUNCTION("""COMPUTED_VALUE"""),"какао")</f>
        <v>какао</v>
      </c>
      <c r="F3086" s="17">
        <f>IFERROR(__xludf.DUMMYFUNCTION("""COMPUTED_VALUE"""),4.0)</f>
        <v>4</v>
      </c>
      <c r="G3086" s="17" t="str">
        <f>IFERROR(__xludf.DUMMYFUNCTION("""COMPUTED_VALUE"""),"10703")</f>
        <v>10703</v>
      </c>
      <c r="H3086" s="17" t="str">
        <f>IFERROR(__xludf.DUMMYFUNCTION("""COMPUTED_VALUE"""),"какао")</f>
        <v>какао</v>
      </c>
      <c r="I3086" s="19">
        <f>IFERROR(__xludf.DUMMYFUNCTION("""COMPUTED_VALUE"""),0.0736)</f>
        <v>0.0736</v>
      </c>
      <c r="J3086" s="19">
        <f>IFERROR(__xludf.DUMMYFUNCTION("""COMPUTED_VALUE"""),0.1471)</f>
        <v>0.1471</v>
      </c>
      <c r="K3086" s="19">
        <f>IFERROR(__xludf.DUMMYFUNCTION("""COMPUTED_VALUE"""),0.1839)</f>
        <v>0.1839</v>
      </c>
      <c r="L3086" s="19">
        <f>IFERROR(__xludf.DUMMYFUNCTION("""COMPUTED_VALUE"""),0.2207)</f>
        <v>0.2207</v>
      </c>
      <c r="M3086" s="18">
        <f>IFERROR(__xludf.DUMMYFUNCTION("""COMPUTED_VALUE"""),3.24)</f>
        <v>3.24</v>
      </c>
    </row>
    <row r="3087">
      <c r="A3087" s="13" t="str">
        <f>IFERROR(__xludf.DUMMYFUNCTION("""COMPUTED_VALUE"""),"товари")</f>
        <v>товари</v>
      </c>
      <c r="B3087" s="16" t="str">
        <f>IFERROR(__xludf.DUMMYFUNCTION("""COMPUTED_VALUE"""),"продукти харчування, напої")</f>
        <v>продукти харчування, напої</v>
      </c>
      <c r="C3087" s="16" t="str">
        <f>IFERROR(__xludf.DUMMYFUNCTION("""COMPUTED_VALUE"""),"молочні продукти")</f>
        <v>молочні продукти</v>
      </c>
      <c r="D3087" s="16" t="str">
        <f>IFERROR(__xludf.DUMMYFUNCTION("""COMPUTED_VALUE"""),"кисломолочний сир ")</f>
        <v>кисломолочний сир </v>
      </c>
      <c r="E3087" s="16" t="str">
        <f>IFERROR(__xludf.DUMMYFUNCTION("""COMPUTED_VALUE"""),"кисломолочний сир ")</f>
        <v>кисломолочний сир </v>
      </c>
      <c r="F3087" s="17">
        <f>IFERROR(__xludf.DUMMYFUNCTION("""COMPUTED_VALUE"""),3.0)</f>
        <v>3</v>
      </c>
      <c r="G3087" s="17" t="str">
        <f>IFERROR(__xludf.DUMMYFUNCTION("""COMPUTED_VALUE"""),"20905")</f>
        <v>20905</v>
      </c>
      <c r="H3087" s="17" t="str">
        <f>IFERROR(__xludf.DUMMYFUNCTION("""COMPUTED_VALUE"""),"кисломолочний сир ")</f>
        <v>кисломолочний сир </v>
      </c>
      <c r="I3087" s="19">
        <f>IFERROR(__xludf.DUMMYFUNCTION("""COMPUTED_VALUE"""),0.0447)</f>
        <v>0.0447</v>
      </c>
      <c r="J3087" s="19">
        <f>IFERROR(__xludf.DUMMYFUNCTION("""COMPUTED_VALUE"""),0.0893)</f>
        <v>0.0893</v>
      </c>
      <c r="K3087" s="19">
        <f>IFERROR(__xludf.DUMMYFUNCTION("""COMPUTED_VALUE"""),0.1116)</f>
        <v>0.1116</v>
      </c>
      <c r="L3087" s="19">
        <f>IFERROR(__xludf.DUMMYFUNCTION("""COMPUTED_VALUE"""),0.134)</f>
        <v>0.134</v>
      </c>
      <c r="M3087" s="18">
        <f>IFERROR(__xludf.DUMMYFUNCTION("""COMPUTED_VALUE"""),1.05)</f>
        <v>1.05</v>
      </c>
    </row>
    <row r="3088">
      <c r="A3088" s="13" t="str">
        <f>IFERROR(__xludf.DUMMYFUNCTION("""COMPUTED_VALUE"""),"товари")</f>
        <v>товари</v>
      </c>
      <c r="B3088" s="16" t="str">
        <f>IFERROR(__xludf.DUMMYFUNCTION("""COMPUTED_VALUE"""),"продукти харчування, напої")</f>
        <v>продукти харчування, напої</v>
      </c>
      <c r="C3088" s="16" t="str">
        <f>IFERROR(__xludf.DUMMYFUNCTION("""COMPUTED_VALUE"""),"молочні продукти")</f>
        <v>молочні продукти</v>
      </c>
      <c r="D3088" s="16" t="str">
        <f>IFERROR(__xludf.DUMMYFUNCTION("""COMPUTED_VALUE"""),"кисломолочні напої")</f>
        <v>кисломолочні напої</v>
      </c>
      <c r="E3088" s="16" t="str">
        <f>IFERROR(__xludf.DUMMYFUNCTION("""COMPUTED_VALUE"""),"кисломолочні напої")</f>
        <v>кисломолочні напої</v>
      </c>
      <c r="F3088" s="17">
        <f>IFERROR(__xludf.DUMMYFUNCTION("""COMPUTED_VALUE"""),3.0)</f>
        <v>3</v>
      </c>
      <c r="G3088" s="17" t="str">
        <f>IFERROR(__xludf.DUMMYFUNCTION("""COMPUTED_VALUE"""),"20903")</f>
        <v>20903</v>
      </c>
      <c r="H3088" s="17" t="str">
        <f>IFERROR(__xludf.DUMMYFUNCTION("""COMPUTED_VALUE"""),"кисломолочні напої")</f>
        <v>кисломолочні напої</v>
      </c>
      <c r="I3088" s="19">
        <f>IFERROR(__xludf.DUMMYFUNCTION("""COMPUTED_VALUE"""),0.0623)</f>
        <v>0.0623</v>
      </c>
      <c r="J3088" s="19">
        <f>IFERROR(__xludf.DUMMYFUNCTION("""COMPUTED_VALUE"""),0.1246)</f>
        <v>0.1246</v>
      </c>
      <c r="K3088" s="19">
        <f>IFERROR(__xludf.DUMMYFUNCTION("""COMPUTED_VALUE"""),0.1558)</f>
        <v>0.1558</v>
      </c>
      <c r="L3088" s="19">
        <f>IFERROR(__xludf.DUMMYFUNCTION("""COMPUTED_VALUE"""),0.1869)</f>
        <v>0.1869</v>
      </c>
      <c r="M3088" s="18">
        <f>IFERROR(__xludf.DUMMYFUNCTION("""COMPUTED_VALUE"""),1.05)</f>
        <v>1.05</v>
      </c>
    </row>
    <row r="3089">
      <c r="A3089" s="13" t="str">
        <f>IFERROR(__xludf.DUMMYFUNCTION("""COMPUTED_VALUE"""),"товари")</f>
        <v>товари</v>
      </c>
      <c r="B3089" s="16" t="str">
        <f>IFERROR(__xludf.DUMMYFUNCTION("""COMPUTED_VALUE"""),"продукти харчування, напої")</f>
        <v>продукти харчування, напої</v>
      </c>
      <c r="C3089" s="16" t="str">
        <f>IFERROR(__xludf.DUMMYFUNCTION("""COMPUTED_VALUE"""),"бакалія")</f>
        <v>бакалія</v>
      </c>
      <c r="D3089" s="16" t="str">
        <f>IFERROR(__xludf.DUMMYFUNCTION("""COMPUTED_VALUE"""),"борошно та висівки")</f>
        <v>борошно та висівки</v>
      </c>
      <c r="E3089" s="16" t="str">
        <f>IFERROR(__xludf.DUMMYFUNCTION("""COMPUTED_VALUE"""),"клітковина та рослинний шрот")</f>
        <v>клітковина та рослинний шрот</v>
      </c>
      <c r="F3089" s="17">
        <f>IFERROR(__xludf.DUMMYFUNCTION("""COMPUTED_VALUE"""),4.0)</f>
        <v>4</v>
      </c>
      <c r="G3089" s="17" t="str">
        <f>IFERROR(__xludf.DUMMYFUNCTION("""COMPUTED_VALUE"""),"23302")</f>
        <v>23302</v>
      </c>
      <c r="H3089" s="17" t="str">
        <f>IFERROR(__xludf.DUMMYFUNCTION("""COMPUTED_VALUE"""),"клітковина та рослинний шрот")</f>
        <v>клітковина та рослинний шрот</v>
      </c>
      <c r="I3089" s="19">
        <f>IFERROR(__xludf.DUMMYFUNCTION("""COMPUTED_VALUE"""),0.0748)</f>
        <v>0.0748</v>
      </c>
      <c r="J3089" s="19">
        <f>IFERROR(__xludf.DUMMYFUNCTION("""COMPUTED_VALUE"""),0.1495)</f>
        <v>0.1495</v>
      </c>
      <c r="K3089" s="19">
        <f>IFERROR(__xludf.DUMMYFUNCTION("""COMPUTED_VALUE"""),0.1869)</f>
        <v>0.1869</v>
      </c>
      <c r="L3089" s="19">
        <f>IFERROR(__xludf.DUMMYFUNCTION("""COMPUTED_VALUE"""),0.2243)</f>
        <v>0.2243</v>
      </c>
      <c r="M3089" s="18">
        <f>IFERROR(__xludf.DUMMYFUNCTION("""COMPUTED_VALUE"""),2.61)</f>
        <v>2.61</v>
      </c>
    </row>
    <row r="3090">
      <c r="A3090" s="13" t="str">
        <f>IFERROR(__xludf.DUMMYFUNCTION("""COMPUTED_VALUE"""),"товари")</f>
        <v>товари</v>
      </c>
      <c r="B3090" s="16" t="str">
        <f>IFERROR(__xludf.DUMMYFUNCTION("""COMPUTED_VALUE"""),"продукти харчування, напої")</f>
        <v>продукти харчування, напої</v>
      </c>
      <c r="C3090" s="16" t="str">
        <f>IFERROR(__xludf.DUMMYFUNCTION("""COMPUTED_VALUE"""),"м'ясо та м'ясна продукція")</f>
        <v>м'ясо та м'ясна продукція</v>
      </c>
      <c r="D3090" s="16" t="str">
        <f>IFERROR(__xludf.DUMMYFUNCTION("""COMPUTED_VALUE"""),"ковбаси та м'ясні вироби")</f>
        <v>ковбаси та м'ясні вироби</v>
      </c>
      <c r="E3090" s="16" t="str">
        <f>IFERROR(__xludf.DUMMYFUNCTION("""COMPUTED_VALUE"""),"ковбаси")</f>
        <v>ковбаси</v>
      </c>
      <c r="F3090" s="17">
        <f>IFERROR(__xludf.DUMMYFUNCTION("""COMPUTED_VALUE"""),4.0)</f>
        <v>4</v>
      </c>
      <c r="G3090" s="17" t="str">
        <f>IFERROR(__xludf.DUMMYFUNCTION("""COMPUTED_VALUE"""),"2110301")</f>
        <v>2110301</v>
      </c>
      <c r="H3090" s="17" t="str">
        <f>IFERROR(__xludf.DUMMYFUNCTION("""COMPUTED_VALUE"""),"ковбаси")</f>
        <v>ковбаси</v>
      </c>
      <c r="I3090" s="19">
        <f>IFERROR(__xludf.DUMMYFUNCTION("""COMPUTED_VALUE"""),0.0718)</f>
        <v>0.0718</v>
      </c>
      <c r="J3090" s="19">
        <f>IFERROR(__xludf.DUMMYFUNCTION("""COMPUTED_VALUE"""),0.1436)</f>
        <v>0.1436</v>
      </c>
      <c r="K3090" s="19">
        <f>IFERROR(__xludf.DUMMYFUNCTION("""COMPUTED_VALUE"""),0.1795)</f>
        <v>0.1795</v>
      </c>
      <c r="L3090" s="19">
        <f>IFERROR(__xludf.DUMMYFUNCTION("""COMPUTED_VALUE"""),0.2154)</f>
        <v>0.2154</v>
      </c>
      <c r="M3090" s="18">
        <f>IFERROR(__xludf.DUMMYFUNCTION("""COMPUTED_VALUE"""),1.63)</f>
        <v>1.63</v>
      </c>
    </row>
    <row r="3091">
      <c r="A3091" s="13" t="str">
        <f>IFERROR(__xludf.DUMMYFUNCTION("""COMPUTED_VALUE"""),"товари")</f>
        <v>товари</v>
      </c>
      <c r="B3091" s="16" t="str">
        <f>IFERROR(__xludf.DUMMYFUNCTION("""COMPUTED_VALUE"""),"продукти харчування, напої")</f>
        <v>продукти харчування, напої</v>
      </c>
      <c r="C3091" s="16" t="str">
        <f>IFERROR(__xludf.DUMMYFUNCTION("""COMPUTED_VALUE"""),"м'ясо та м'ясна продукція")</f>
        <v>м'ясо та м'ясна продукція</v>
      </c>
      <c r="D3091" s="16" t="str">
        <f>IFERROR(__xludf.DUMMYFUNCTION("""COMPUTED_VALUE"""),"ковбаси та м'ясні вироби")</f>
        <v>ковбаси та м'ясні вироби</v>
      </c>
      <c r="E3091" s="16" t="str">
        <f>IFERROR(__xludf.DUMMYFUNCTION("""COMPUTED_VALUE"""),"ковбасні вироби, загальне")</f>
        <v>ковбасні вироби, загальне</v>
      </c>
      <c r="F3091" s="17">
        <f>IFERROR(__xludf.DUMMYFUNCTION("""COMPUTED_VALUE"""),4.0)</f>
        <v>4</v>
      </c>
      <c r="G3091" s="17" t="str">
        <f>IFERROR(__xludf.DUMMYFUNCTION("""COMPUTED_VALUE"""),"2110310")</f>
        <v>2110310</v>
      </c>
      <c r="H3091" s="17" t="str">
        <f>IFERROR(__xludf.DUMMYFUNCTION("""COMPUTED_VALUE"""),"ковбасні вироби, загальне")</f>
        <v>ковбасні вироби, загальне</v>
      </c>
      <c r="I3091" s="19">
        <f>IFERROR(__xludf.DUMMYFUNCTION("""COMPUTED_VALUE"""),0.125)</f>
        <v>0.125</v>
      </c>
      <c r="J3091" s="19">
        <f>IFERROR(__xludf.DUMMYFUNCTION("""COMPUTED_VALUE"""),0.25)</f>
        <v>0.25</v>
      </c>
      <c r="K3091" s="19">
        <f>IFERROR(__xludf.DUMMYFUNCTION("""COMPUTED_VALUE"""),0.3125)</f>
        <v>0.3125</v>
      </c>
      <c r="L3091" s="19">
        <f>IFERROR(__xludf.DUMMYFUNCTION("""COMPUTED_VALUE"""),0.375)</f>
        <v>0.375</v>
      </c>
      <c r="M3091" s="18">
        <f>IFERROR(__xludf.DUMMYFUNCTION("""COMPUTED_VALUE"""),4.33)</f>
        <v>4.33</v>
      </c>
    </row>
    <row r="3092">
      <c r="A3092" s="13" t="str">
        <f>IFERROR(__xludf.DUMMYFUNCTION("""COMPUTED_VALUE"""),"товари")</f>
        <v>товари</v>
      </c>
      <c r="B3092" s="16" t="str">
        <f>IFERROR(__xludf.DUMMYFUNCTION("""COMPUTED_VALUE"""),"продукти харчування, напої")</f>
        <v>продукти харчування, напої</v>
      </c>
      <c r="C3092" s="16" t="str">
        <f>IFERROR(__xludf.DUMMYFUNCTION("""COMPUTED_VALUE"""),"хлібобулочні, кондитерські вироби")</f>
        <v>хлібобулочні, кондитерські вироби</v>
      </c>
      <c r="D3092" s="16" t="str">
        <f>IFERROR(__xludf.DUMMYFUNCTION("""COMPUTED_VALUE"""),"все для кондитера")</f>
        <v>все для кондитера</v>
      </c>
      <c r="E3092" s="16" t="str">
        <f>IFERROR(__xludf.DUMMYFUNCTION("""COMPUTED_VALUE"""),"кондитерський декор")</f>
        <v>кондитерський декор</v>
      </c>
      <c r="F3092" s="17">
        <f>IFERROR(__xludf.DUMMYFUNCTION("""COMPUTED_VALUE"""),4.0)</f>
        <v>4</v>
      </c>
      <c r="G3092" s="17" t="str">
        <f>IFERROR(__xludf.DUMMYFUNCTION("""COMPUTED_VALUE"""),"21804")</f>
        <v>21804</v>
      </c>
      <c r="H3092" s="17" t="str">
        <f>IFERROR(__xludf.DUMMYFUNCTION("""COMPUTED_VALUE"""),"кондитерський декор")</f>
        <v>кондитерський декор</v>
      </c>
      <c r="I3092" s="19">
        <f>IFERROR(__xludf.DUMMYFUNCTION("""COMPUTED_VALUE"""),0.0744)</f>
        <v>0.0744</v>
      </c>
      <c r="J3092" s="19">
        <f>IFERROR(__xludf.DUMMYFUNCTION("""COMPUTED_VALUE"""),0.1488)</f>
        <v>0.1488</v>
      </c>
      <c r="K3092" s="19">
        <f>IFERROR(__xludf.DUMMYFUNCTION("""COMPUTED_VALUE"""),0.186)</f>
        <v>0.186</v>
      </c>
      <c r="L3092" s="19">
        <f>IFERROR(__xludf.DUMMYFUNCTION("""COMPUTED_VALUE"""),0.2232)</f>
        <v>0.2232</v>
      </c>
      <c r="M3092" s="18">
        <f>IFERROR(__xludf.DUMMYFUNCTION("""COMPUTED_VALUE"""),1.05)</f>
        <v>1.05</v>
      </c>
    </row>
    <row r="3093">
      <c r="A3093" s="13" t="str">
        <f>IFERROR(__xludf.DUMMYFUNCTION("""COMPUTED_VALUE"""),"товари")</f>
        <v>товари</v>
      </c>
      <c r="B3093" s="16" t="str">
        <f>IFERROR(__xludf.DUMMYFUNCTION("""COMPUTED_VALUE"""),"продукти харчування, напої")</f>
        <v>продукти харчування, напої</v>
      </c>
      <c r="C3093" s="16" t="str">
        <f>IFERROR(__xludf.DUMMYFUNCTION("""COMPUTED_VALUE"""),"хлібобулочні, кондитерські вироби")</f>
        <v>хлібобулочні, кондитерські вироби</v>
      </c>
      <c r="D3093" s="16" t="str">
        <f>IFERROR(__xludf.DUMMYFUNCTION("""COMPUTED_VALUE"""),"все для кондитера")</f>
        <v>все для кондитера</v>
      </c>
      <c r="E3093" s="16" t="str">
        <f>IFERROR(__xludf.DUMMYFUNCTION("""COMPUTED_VALUE"""),"кондитерський крем та начинки")</f>
        <v>кондитерський крем та начинки</v>
      </c>
      <c r="F3093" s="17">
        <f>IFERROR(__xludf.DUMMYFUNCTION("""COMPUTED_VALUE"""),4.0)</f>
        <v>4</v>
      </c>
      <c r="G3093" s="17" t="str">
        <f>IFERROR(__xludf.DUMMYFUNCTION("""COMPUTED_VALUE"""),"21810")</f>
        <v>21810</v>
      </c>
      <c r="H3093" s="17" t="str">
        <f>IFERROR(__xludf.DUMMYFUNCTION("""COMPUTED_VALUE"""),"кондитерський крем та начинки")</f>
        <v>кондитерський крем та начинки</v>
      </c>
      <c r="I3093" s="19">
        <f>IFERROR(__xludf.DUMMYFUNCTION("""COMPUTED_VALUE"""),0.0744)</f>
        <v>0.0744</v>
      </c>
      <c r="J3093" s="19">
        <f>IFERROR(__xludf.DUMMYFUNCTION("""COMPUTED_VALUE"""),0.1488)</f>
        <v>0.1488</v>
      </c>
      <c r="K3093" s="19">
        <f>IFERROR(__xludf.DUMMYFUNCTION("""COMPUTED_VALUE"""),0.186)</f>
        <v>0.186</v>
      </c>
      <c r="L3093" s="19">
        <f>IFERROR(__xludf.DUMMYFUNCTION("""COMPUTED_VALUE"""),0.2232)</f>
        <v>0.2232</v>
      </c>
      <c r="M3093" s="18">
        <f>IFERROR(__xludf.DUMMYFUNCTION("""COMPUTED_VALUE"""),1.05)</f>
        <v>1.05</v>
      </c>
    </row>
    <row r="3094">
      <c r="A3094" s="13" t="str">
        <f>IFERROR(__xludf.DUMMYFUNCTION("""COMPUTED_VALUE"""),"товари")</f>
        <v>товари</v>
      </c>
      <c r="B3094" s="16" t="str">
        <f>IFERROR(__xludf.DUMMYFUNCTION("""COMPUTED_VALUE"""),"продукти харчування, напої")</f>
        <v>продукти харчування, напої</v>
      </c>
      <c r="C3094" s="16" t="str">
        <f>IFERROR(__xludf.DUMMYFUNCTION("""COMPUTED_VALUE"""),"хлібобулочні, кондитерські вироби")</f>
        <v>хлібобулочні, кондитерські вироби</v>
      </c>
      <c r="D3094" s="16" t="str">
        <f>IFERROR(__xludf.DUMMYFUNCTION("""COMPUTED_VALUE"""),"все для кондитера")</f>
        <v>все для кондитера</v>
      </c>
      <c r="E3094" s="16" t="str">
        <f>IFERROR(__xludf.DUMMYFUNCTION("""COMPUTED_VALUE"""),"кондитерські глазурі та покриття")</f>
        <v>кондитерські глазурі та покриття</v>
      </c>
      <c r="F3094" s="17">
        <f>IFERROR(__xludf.DUMMYFUNCTION("""COMPUTED_VALUE"""),4.0)</f>
        <v>4</v>
      </c>
      <c r="G3094" s="17" t="str">
        <f>IFERROR(__xludf.DUMMYFUNCTION("""COMPUTED_VALUE"""),"21811")</f>
        <v>21811</v>
      </c>
      <c r="H3094" s="17" t="str">
        <f>IFERROR(__xludf.DUMMYFUNCTION("""COMPUTED_VALUE"""),"кондитерські глазурі та покриття")</f>
        <v>кондитерські глазурі та покриття</v>
      </c>
      <c r="I3094" s="19">
        <f>IFERROR(__xludf.DUMMYFUNCTION("""COMPUTED_VALUE"""),0.0744)</f>
        <v>0.0744</v>
      </c>
      <c r="J3094" s="19">
        <f>IFERROR(__xludf.DUMMYFUNCTION("""COMPUTED_VALUE"""),0.1488)</f>
        <v>0.1488</v>
      </c>
      <c r="K3094" s="19">
        <f>IFERROR(__xludf.DUMMYFUNCTION("""COMPUTED_VALUE"""),0.186)</f>
        <v>0.186</v>
      </c>
      <c r="L3094" s="19">
        <f>IFERROR(__xludf.DUMMYFUNCTION("""COMPUTED_VALUE"""),0.2232)</f>
        <v>0.2232</v>
      </c>
      <c r="M3094" s="18">
        <f>IFERROR(__xludf.DUMMYFUNCTION("""COMPUTED_VALUE"""),1.05)</f>
        <v>1.05</v>
      </c>
    </row>
    <row r="3095">
      <c r="A3095" s="13" t="str">
        <f>IFERROR(__xludf.DUMMYFUNCTION("""COMPUTED_VALUE"""),"товари")</f>
        <v>товари</v>
      </c>
      <c r="B3095" s="16" t="str">
        <f>IFERROR(__xludf.DUMMYFUNCTION("""COMPUTED_VALUE"""),"продукти харчування, напої")</f>
        <v>продукти харчування, напої</v>
      </c>
      <c r="C3095" s="16" t="str">
        <f>IFERROR(__xludf.DUMMYFUNCTION("""COMPUTED_VALUE"""),"бакалія")</f>
        <v>бакалія</v>
      </c>
      <c r="D3095" s="16" t="str">
        <f>IFERROR(__xludf.DUMMYFUNCTION("""COMPUTED_VALUE"""),"харчові інгредієнти")</f>
        <v>харчові інгредієнти</v>
      </c>
      <c r="E3095" s="16" t="str">
        <f>IFERROR(__xludf.DUMMYFUNCTION("""COMPUTED_VALUE"""),"консерванти")</f>
        <v>консерванти</v>
      </c>
      <c r="F3095" s="17">
        <f>IFERROR(__xludf.DUMMYFUNCTION("""COMPUTED_VALUE"""),4.0)</f>
        <v>4</v>
      </c>
      <c r="G3095" s="17" t="str">
        <f>IFERROR(__xludf.DUMMYFUNCTION("""COMPUTED_VALUE"""),"81907")</f>
        <v>81907</v>
      </c>
      <c r="H3095" s="17" t="str">
        <f>IFERROR(__xludf.DUMMYFUNCTION("""COMPUTED_VALUE"""),"консерванти")</f>
        <v>консерванти</v>
      </c>
      <c r="I3095" s="19">
        <f>IFERROR(__xludf.DUMMYFUNCTION("""COMPUTED_VALUE"""),0.0778)</f>
        <v>0.0778</v>
      </c>
      <c r="J3095" s="19">
        <f>IFERROR(__xludf.DUMMYFUNCTION("""COMPUTED_VALUE"""),0.1556)</f>
        <v>0.1556</v>
      </c>
      <c r="K3095" s="19">
        <f>IFERROR(__xludf.DUMMYFUNCTION("""COMPUTED_VALUE"""),0.1945)</f>
        <v>0.1945</v>
      </c>
      <c r="L3095" s="19">
        <f>IFERROR(__xludf.DUMMYFUNCTION("""COMPUTED_VALUE"""),0.2334)</f>
        <v>0.2334</v>
      </c>
      <c r="M3095" s="18">
        <f>IFERROR(__xludf.DUMMYFUNCTION("""COMPUTED_VALUE"""),3.88)</f>
        <v>3.88</v>
      </c>
    </row>
    <row r="3096">
      <c r="A3096" s="13" t="str">
        <f>IFERROR(__xludf.DUMMYFUNCTION("""COMPUTED_VALUE"""),"товари")</f>
        <v>товари</v>
      </c>
      <c r="B3096" s="16" t="str">
        <f>IFERROR(__xludf.DUMMYFUNCTION("""COMPUTED_VALUE"""),"продукти харчування, напої")</f>
        <v>продукти харчування, напої</v>
      </c>
      <c r="C3096" s="16" t="str">
        <f>IFERROR(__xludf.DUMMYFUNCTION("""COMPUTED_VALUE"""),"бакалія")</f>
        <v>бакалія</v>
      </c>
      <c r="D3096" s="16" t="str">
        <f>IFERROR(__xludf.DUMMYFUNCTION("""COMPUTED_VALUE"""),"консерви")</f>
        <v>консерви</v>
      </c>
      <c r="E3096" s="16" t="str">
        <f>IFERROR(__xludf.DUMMYFUNCTION("""COMPUTED_VALUE"""),"консервовані гриби")</f>
        <v>консервовані гриби</v>
      </c>
      <c r="F3096" s="17">
        <f>IFERROR(__xludf.DUMMYFUNCTION("""COMPUTED_VALUE"""),4.0)</f>
        <v>4</v>
      </c>
      <c r="G3096" s="17" t="str">
        <f>IFERROR(__xludf.DUMMYFUNCTION("""COMPUTED_VALUE"""),"10606")</f>
        <v>10606</v>
      </c>
      <c r="H3096" s="17" t="str">
        <f>IFERROR(__xludf.DUMMYFUNCTION("""COMPUTED_VALUE"""),"консервовані гриби")</f>
        <v>консервовані гриби</v>
      </c>
      <c r="I3096" s="19">
        <f>IFERROR(__xludf.DUMMYFUNCTION("""COMPUTED_VALUE"""),0.0729)</f>
        <v>0.0729</v>
      </c>
      <c r="J3096" s="19">
        <f>IFERROR(__xludf.DUMMYFUNCTION("""COMPUTED_VALUE"""),0.1458)</f>
        <v>0.1458</v>
      </c>
      <c r="K3096" s="19">
        <f>IFERROR(__xludf.DUMMYFUNCTION("""COMPUTED_VALUE"""),0.1823)</f>
        <v>0.1823</v>
      </c>
      <c r="L3096" s="19">
        <f>IFERROR(__xludf.DUMMYFUNCTION("""COMPUTED_VALUE"""),0.2187)</f>
        <v>0.2187</v>
      </c>
      <c r="M3096" s="18">
        <f>IFERROR(__xludf.DUMMYFUNCTION("""COMPUTED_VALUE"""),1.71)</f>
        <v>1.71</v>
      </c>
    </row>
    <row r="3097">
      <c r="A3097" s="13" t="str">
        <f>IFERROR(__xludf.DUMMYFUNCTION("""COMPUTED_VALUE"""),"товари")</f>
        <v>товари</v>
      </c>
      <c r="B3097" s="16" t="str">
        <f>IFERROR(__xludf.DUMMYFUNCTION("""COMPUTED_VALUE"""),"продукти харчування, напої")</f>
        <v>продукти харчування, напої</v>
      </c>
      <c r="C3097" s="16" t="str">
        <f>IFERROR(__xludf.DUMMYFUNCTION("""COMPUTED_VALUE"""),"бакалія")</f>
        <v>бакалія</v>
      </c>
      <c r="D3097" s="16" t="str">
        <f>IFERROR(__xludf.DUMMYFUNCTION("""COMPUTED_VALUE"""),"консерви")</f>
        <v>консерви</v>
      </c>
      <c r="E3097" s="16" t="str">
        <f>IFERROR(__xludf.DUMMYFUNCTION("""COMPUTED_VALUE"""),"консервовані овочі")</f>
        <v>консервовані овочі</v>
      </c>
      <c r="F3097" s="17">
        <f>IFERROR(__xludf.DUMMYFUNCTION("""COMPUTED_VALUE"""),4.0)</f>
        <v>4</v>
      </c>
      <c r="G3097" s="17" t="str">
        <f>IFERROR(__xludf.DUMMYFUNCTION("""COMPUTED_VALUE"""),"21405")</f>
        <v>21405</v>
      </c>
      <c r="H3097" s="17" t="str">
        <f>IFERROR(__xludf.DUMMYFUNCTION("""COMPUTED_VALUE"""),"консервовані овочі")</f>
        <v>консервовані овочі</v>
      </c>
      <c r="I3097" s="19">
        <f>IFERROR(__xludf.DUMMYFUNCTION("""COMPUTED_VALUE"""),0.0729)</f>
        <v>0.0729</v>
      </c>
      <c r="J3097" s="19">
        <f>IFERROR(__xludf.DUMMYFUNCTION("""COMPUTED_VALUE"""),0.1458)</f>
        <v>0.1458</v>
      </c>
      <c r="K3097" s="19">
        <f>IFERROR(__xludf.DUMMYFUNCTION("""COMPUTED_VALUE"""),0.1823)</f>
        <v>0.1823</v>
      </c>
      <c r="L3097" s="19">
        <f>IFERROR(__xludf.DUMMYFUNCTION("""COMPUTED_VALUE"""),0.2187)</f>
        <v>0.2187</v>
      </c>
      <c r="M3097" s="18">
        <f>IFERROR(__xludf.DUMMYFUNCTION("""COMPUTED_VALUE"""),1.71)</f>
        <v>1.71</v>
      </c>
    </row>
    <row r="3098">
      <c r="A3098" s="13" t="str">
        <f>IFERROR(__xludf.DUMMYFUNCTION("""COMPUTED_VALUE"""),"товари")</f>
        <v>товари</v>
      </c>
      <c r="B3098" s="16" t="str">
        <f>IFERROR(__xludf.DUMMYFUNCTION("""COMPUTED_VALUE"""),"продукти харчування, напої")</f>
        <v>продукти харчування, напої</v>
      </c>
      <c r="C3098" s="16" t="str">
        <f>IFERROR(__xludf.DUMMYFUNCTION("""COMPUTED_VALUE"""),"бакалія")</f>
        <v>бакалія</v>
      </c>
      <c r="D3098" s="16" t="str">
        <f>IFERROR(__xludf.DUMMYFUNCTION("""COMPUTED_VALUE"""),"консерви")</f>
        <v>консерви</v>
      </c>
      <c r="E3098" s="16" t="str">
        <f>IFERROR(__xludf.DUMMYFUNCTION("""COMPUTED_VALUE"""),"консервовані продукти, загальне")</f>
        <v>консервовані продукти, загальне</v>
      </c>
      <c r="F3098" s="17">
        <f>IFERROR(__xludf.DUMMYFUNCTION("""COMPUTED_VALUE"""),4.0)</f>
        <v>4</v>
      </c>
      <c r="G3098" s="17" t="str">
        <f>IFERROR(__xludf.DUMMYFUNCTION("""COMPUTED_VALUE"""),"21406")</f>
        <v>21406</v>
      </c>
      <c r="H3098" s="17" t="str">
        <f>IFERROR(__xludf.DUMMYFUNCTION("""COMPUTED_VALUE"""),"консервовані продукти, загальне")</f>
        <v>консервовані продукти, загальне</v>
      </c>
      <c r="I3098" s="19">
        <f>IFERROR(__xludf.DUMMYFUNCTION("""COMPUTED_VALUE"""),0.125)</f>
        <v>0.125</v>
      </c>
      <c r="J3098" s="19">
        <f>IFERROR(__xludf.DUMMYFUNCTION("""COMPUTED_VALUE"""),0.25)</f>
        <v>0.25</v>
      </c>
      <c r="K3098" s="19">
        <f>IFERROR(__xludf.DUMMYFUNCTION("""COMPUTED_VALUE"""),0.3125)</f>
        <v>0.3125</v>
      </c>
      <c r="L3098" s="19">
        <f>IFERROR(__xludf.DUMMYFUNCTION("""COMPUTED_VALUE"""),0.375)</f>
        <v>0.375</v>
      </c>
      <c r="M3098" s="18">
        <f>IFERROR(__xludf.DUMMYFUNCTION("""COMPUTED_VALUE"""),4.33)</f>
        <v>4.33</v>
      </c>
    </row>
    <row r="3099">
      <c r="A3099" s="13" t="str">
        <f>IFERROR(__xludf.DUMMYFUNCTION("""COMPUTED_VALUE"""),"товари")</f>
        <v>товари</v>
      </c>
      <c r="B3099" s="16" t="str">
        <f>IFERROR(__xludf.DUMMYFUNCTION("""COMPUTED_VALUE"""),"продукти харчування, напої")</f>
        <v>продукти харчування, напої</v>
      </c>
      <c r="C3099" s="16" t="str">
        <f>IFERROR(__xludf.DUMMYFUNCTION("""COMPUTED_VALUE"""),"бакалія")</f>
        <v>бакалія</v>
      </c>
      <c r="D3099" s="16" t="str">
        <f>IFERROR(__xludf.DUMMYFUNCTION("""COMPUTED_VALUE"""),"консерви")</f>
        <v>консерви</v>
      </c>
      <c r="E3099" s="16" t="str">
        <f>IFERROR(__xludf.DUMMYFUNCTION("""COMPUTED_VALUE"""),"консервовані фрукти і ягоди")</f>
        <v>консервовані фрукти і ягоди</v>
      </c>
      <c r="F3099" s="17">
        <f>IFERROR(__xludf.DUMMYFUNCTION("""COMPUTED_VALUE"""),4.0)</f>
        <v>4</v>
      </c>
      <c r="G3099" s="17" t="str">
        <f>IFERROR(__xludf.DUMMYFUNCTION("""COMPUTED_VALUE"""),"21404")</f>
        <v>21404</v>
      </c>
      <c r="H3099" s="17" t="str">
        <f>IFERROR(__xludf.DUMMYFUNCTION("""COMPUTED_VALUE"""),"консервовані фрукти і ягоди")</f>
        <v>консервовані фрукти і ягоди</v>
      </c>
      <c r="I3099" s="19">
        <f>IFERROR(__xludf.DUMMYFUNCTION("""COMPUTED_VALUE"""),0.0729)</f>
        <v>0.0729</v>
      </c>
      <c r="J3099" s="19">
        <f>IFERROR(__xludf.DUMMYFUNCTION("""COMPUTED_VALUE"""),0.1458)</f>
        <v>0.1458</v>
      </c>
      <c r="K3099" s="19">
        <f>IFERROR(__xludf.DUMMYFUNCTION("""COMPUTED_VALUE"""),0.1823)</f>
        <v>0.1823</v>
      </c>
      <c r="L3099" s="19">
        <f>IFERROR(__xludf.DUMMYFUNCTION("""COMPUTED_VALUE"""),0.2187)</f>
        <v>0.2187</v>
      </c>
      <c r="M3099" s="18">
        <f>IFERROR(__xludf.DUMMYFUNCTION("""COMPUTED_VALUE"""),1.71)</f>
        <v>1.71</v>
      </c>
    </row>
    <row r="3100">
      <c r="A3100" s="13" t="str">
        <f>IFERROR(__xludf.DUMMYFUNCTION("""COMPUTED_VALUE"""),"товари")</f>
        <v>товари</v>
      </c>
      <c r="B3100" s="16" t="str">
        <f>IFERROR(__xludf.DUMMYFUNCTION("""COMPUTED_VALUE"""),"продукти харчування, напої")</f>
        <v>продукти харчування, напої</v>
      </c>
      <c r="C3100" s="16" t="str">
        <f>IFERROR(__xludf.DUMMYFUNCTION("""COMPUTED_VALUE"""),"бакалія")</f>
        <v>бакалія</v>
      </c>
      <c r="D3100" s="16" t="str">
        <f>IFERROR(__xludf.DUMMYFUNCTION("""COMPUTED_VALUE"""),"харчові інгредієнти")</f>
        <v>харчові інгредієнти</v>
      </c>
      <c r="E3100" s="16" t="str">
        <f>IFERROR(__xludf.DUMMYFUNCTION("""COMPUTED_VALUE"""),"крохмаль")</f>
        <v>крохмаль</v>
      </c>
      <c r="F3100" s="17">
        <f>IFERROR(__xludf.DUMMYFUNCTION("""COMPUTED_VALUE"""),4.0)</f>
        <v>4</v>
      </c>
      <c r="G3100" s="17" t="str">
        <f>IFERROR(__xludf.DUMMYFUNCTION("""COMPUTED_VALUE"""),"226")</f>
        <v>226</v>
      </c>
      <c r="H3100" s="17" t="str">
        <f>IFERROR(__xludf.DUMMYFUNCTION("""COMPUTED_VALUE"""),"крохмаль")</f>
        <v>крохмаль</v>
      </c>
      <c r="I3100" s="19">
        <f>IFERROR(__xludf.DUMMYFUNCTION("""COMPUTED_VALUE"""),0.0743)</f>
        <v>0.0743</v>
      </c>
      <c r="J3100" s="19">
        <f>IFERROR(__xludf.DUMMYFUNCTION("""COMPUTED_VALUE"""),0.1485)</f>
        <v>0.1485</v>
      </c>
      <c r="K3100" s="19">
        <f>IFERROR(__xludf.DUMMYFUNCTION("""COMPUTED_VALUE"""),0.1856)</f>
        <v>0.1856</v>
      </c>
      <c r="L3100" s="19">
        <f>IFERROR(__xludf.DUMMYFUNCTION("""COMPUTED_VALUE"""),0.2228)</f>
        <v>0.2228</v>
      </c>
      <c r="M3100" s="18">
        <f>IFERROR(__xludf.DUMMYFUNCTION("""COMPUTED_VALUE"""),3.88)</f>
        <v>3.88</v>
      </c>
    </row>
    <row r="3101">
      <c r="A3101" s="13" t="str">
        <f>IFERROR(__xludf.DUMMYFUNCTION("""COMPUTED_VALUE"""),"товари")</f>
        <v>товари</v>
      </c>
      <c r="B3101" s="16" t="str">
        <f>IFERROR(__xludf.DUMMYFUNCTION("""COMPUTED_VALUE"""),"продукти харчування, напої")</f>
        <v>продукти харчування, напої</v>
      </c>
      <c r="C3101" s="16" t="str">
        <f>IFERROR(__xludf.DUMMYFUNCTION("""COMPUTED_VALUE"""),"бакалія")</f>
        <v>бакалія</v>
      </c>
      <c r="D3101" s="16" t="str">
        <f>IFERROR(__xludf.DUMMYFUNCTION("""COMPUTED_VALUE"""),"крупи")</f>
        <v>крупи</v>
      </c>
      <c r="E3101" s="16" t="str">
        <f>IFERROR(__xludf.DUMMYFUNCTION("""COMPUTED_VALUE"""),"крупи")</f>
        <v>крупи</v>
      </c>
      <c r="F3101" s="17">
        <f>IFERROR(__xludf.DUMMYFUNCTION("""COMPUTED_VALUE"""),3.0)</f>
        <v>3</v>
      </c>
      <c r="G3101" s="17" t="str">
        <f>IFERROR(__xludf.DUMMYFUNCTION("""COMPUTED_VALUE"""),"205")</f>
        <v>205</v>
      </c>
      <c r="H3101" s="17" t="str">
        <f>IFERROR(__xludf.DUMMYFUNCTION("""COMPUTED_VALUE"""),"крупи")</f>
        <v>крупи</v>
      </c>
      <c r="I3101" s="19">
        <f>IFERROR(__xludf.DUMMYFUNCTION("""COMPUTED_VALUE"""),0.0719)</f>
        <v>0.0719</v>
      </c>
      <c r="J3101" s="19">
        <f>IFERROR(__xludf.DUMMYFUNCTION("""COMPUTED_VALUE"""),0.1438)</f>
        <v>0.1438</v>
      </c>
      <c r="K3101" s="19">
        <f>IFERROR(__xludf.DUMMYFUNCTION("""COMPUTED_VALUE"""),0.1798)</f>
        <v>0.1798</v>
      </c>
      <c r="L3101" s="19">
        <f>IFERROR(__xludf.DUMMYFUNCTION("""COMPUTED_VALUE"""),0.2157)</f>
        <v>0.2157</v>
      </c>
      <c r="M3101" s="18">
        <f>IFERROR(__xludf.DUMMYFUNCTION("""COMPUTED_VALUE"""),1.05)</f>
        <v>1.05</v>
      </c>
    </row>
    <row r="3102">
      <c r="A3102" s="13" t="str">
        <f>IFERROR(__xludf.DUMMYFUNCTION("""COMPUTED_VALUE"""),"товари")</f>
        <v>товари</v>
      </c>
      <c r="B3102" s="16" t="str">
        <f>IFERROR(__xludf.DUMMYFUNCTION("""COMPUTED_VALUE"""),"продукти харчування, напої")</f>
        <v>продукти харчування, напої</v>
      </c>
      <c r="C3102" s="16" t="str">
        <f>IFERROR(__xludf.DUMMYFUNCTION("""COMPUTED_VALUE"""),"м'ясо та м'ясна продукція")</f>
        <v>м'ясо та м'ясна продукція</v>
      </c>
      <c r="D3102" s="16" t="str">
        <f>IFERROR(__xludf.DUMMYFUNCTION("""COMPUTED_VALUE"""),"м'ясна продукція, загальне")</f>
        <v>м'ясна продукція, загальне</v>
      </c>
      <c r="E3102" s="16" t="str">
        <f>IFERROR(__xludf.DUMMYFUNCTION("""COMPUTED_VALUE"""),"м'ясна продукція, загальне")</f>
        <v>м'ясна продукція, загальне</v>
      </c>
      <c r="F3102" s="17">
        <f>IFERROR(__xludf.DUMMYFUNCTION("""COMPUTED_VALUE"""),3.0)</f>
        <v>3</v>
      </c>
      <c r="G3102" s="17" t="str">
        <f>IFERROR(__xludf.DUMMYFUNCTION("""COMPUTED_VALUE"""),"21104")</f>
        <v>21104</v>
      </c>
      <c r="H3102" s="17" t="str">
        <f>IFERROR(__xludf.DUMMYFUNCTION("""COMPUTED_VALUE"""),"м'ясна продукція, загальне")</f>
        <v>м'ясна продукція, загальне</v>
      </c>
      <c r="I3102" s="19">
        <f>IFERROR(__xludf.DUMMYFUNCTION("""COMPUTED_VALUE"""),0.125)</f>
        <v>0.125</v>
      </c>
      <c r="J3102" s="19">
        <f>IFERROR(__xludf.DUMMYFUNCTION("""COMPUTED_VALUE"""),0.25)</f>
        <v>0.25</v>
      </c>
      <c r="K3102" s="19">
        <f>IFERROR(__xludf.DUMMYFUNCTION("""COMPUTED_VALUE"""),0.3125)</f>
        <v>0.3125</v>
      </c>
      <c r="L3102" s="19">
        <f>IFERROR(__xludf.DUMMYFUNCTION("""COMPUTED_VALUE"""),0.375)</f>
        <v>0.375</v>
      </c>
      <c r="M3102" s="18">
        <f>IFERROR(__xludf.DUMMYFUNCTION("""COMPUTED_VALUE"""),4.33)</f>
        <v>4.33</v>
      </c>
    </row>
    <row r="3103">
      <c r="A3103" s="13" t="str">
        <f>IFERROR(__xludf.DUMMYFUNCTION("""COMPUTED_VALUE"""),"товари")</f>
        <v>товари</v>
      </c>
      <c r="B3103" s="16" t="str">
        <f>IFERROR(__xludf.DUMMYFUNCTION("""COMPUTED_VALUE"""),"продукти харчування, напої")</f>
        <v>продукти харчування, напої</v>
      </c>
      <c r="C3103" s="16" t="str">
        <f>IFERROR(__xludf.DUMMYFUNCTION("""COMPUTED_VALUE"""),"м'ясо та м'ясна продукція")</f>
        <v>м'ясо та м'ясна продукція</v>
      </c>
      <c r="D3103" s="16" t="str">
        <f>IFERROR(__xludf.DUMMYFUNCTION("""COMPUTED_VALUE"""),"ковбаси та м'ясні вироби")</f>
        <v>ковбаси та м'ясні вироби</v>
      </c>
      <c r="E3103" s="16" t="str">
        <f>IFERROR(__xludf.DUMMYFUNCTION("""COMPUTED_VALUE"""),"м'ясні делікатеси")</f>
        <v>м'ясні делікатеси</v>
      </c>
      <c r="F3103" s="17">
        <f>IFERROR(__xludf.DUMMYFUNCTION("""COMPUTED_VALUE"""),4.0)</f>
        <v>4</v>
      </c>
      <c r="G3103" s="17" t="str">
        <f>IFERROR(__xludf.DUMMYFUNCTION("""COMPUTED_VALUE"""),"2110104")</f>
        <v>2110104</v>
      </c>
      <c r="H3103" s="17" t="str">
        <f>IFERROR(__xludf.DUMMYFUNCTION("""COMPUTED_VALUE"""),"м'ясні делікатеси")</f>
        <v>м'ясні делікатеси</v>
      </c>
      <c r="I3103" s="19">
        <f>IFERROR(__xludf.DUMMYFUNCTION("""COMPUTED_VALUE"""),0.0712)</f>
        <v>0.0712</v>
      </c>
      <c r="J3103" s="19">
        <f>IFERROR(__xludf.DUMMYFUNCTION("""COMPUTED_VALUE"""),0.1423)</f>
        <v>0.1423</v>
      </c>
      <c r="K3103" s="19">
        <f>IFERROR(__xludf.DUMMYFUNCTION("""COMPUTED_VALUE"""),0.1779)</f>
        <v>0.1779</v>
      </c>
      <c r="L3103" s="19">
        <f>IFERROR(__xludf.DUMMYFUNCTION("""COMPUTED_VALUE"""),0.2135)</f>
        <v>0.2135</v>
      </c>
      <c r="M3103" s="18">
        <f>IFERROR(__xludf.DUMMYFUNCTION("""COMPUTED_VALUE"""),1.63)</f>
        <v>1.63</v>
      </c>
    </row>
    <row r="3104">
      <c r="A3104" s="13" t="str">
        <f>IFERROR(__xludf.DUMMYFUNCTION("""COMPUTED_VALUE"""),"товари")</f>
        <v>товари</v>
      </c>
      <c r="B3104" s="16" t="str">
        <f>IFERROR(__xludf.DUMMYFUNCTION("""COMPUTED_VALUE"""),"продукти харчування, напої")</f>
        <v>продукти харчування, напої</v>
      </c>
      <c r="C3104" s="16" t="str">
        <f>IFERROR(__xludf.DUMMYFUNCTION("""COMPUTED_VALUE"""),"бакалія")</f>
        <v>бакалія</v>
      </c>
      <c r="D3104" s="16" t="str">
        <f>IFERROR(__xludf.DUMMYFUNCTION("""COMPUTED_VALUE"""),"консерви")</f>
        <v>консерви</v>
      </c>
      <c r="E3104" s="16" t="str">
        <f>IFERROR(__xludf.DUMMYFUNCTION("""COMPUTED_VALUE"""),"м'ясні консерви")</f>
        <v>м'ясні консерви</v>
      </c>
      <c r="F3104" s="17">
        <f>IFERROR(__xludf.DUMMYFUNCTION("""COMPUTED_VALUE"""),4.0)</f>
        <v>4</v>
      </c>
      <c r="G3104" s="17" t="str">
        <f>IFERROR(__xludf.DUMMYFUNCTION("""COMPUTED_VALUE"""),"21401")</f>
        <v>21401</v>
      </c>
      <c r="H3104" s="17" t="str">
        <f>IFERROR(__xludf.DUMMYFUNCTION("""COMPUTED_VALUE"""),"м'ясні консерви")</f>
        <v>м'ясні консерви</v>
      </c>
      <c r="I3104" s="19">
        <f>IFERROR(__xludf.DUMMYFUNCTION("""COMPUTED_VALUE"""),0.0729)</f>
        <v>0.0729</v>
      </c>
      <c r="J3104" s="19">
        <f>IFERROR(__xludf.DUMMYFUNCTION("""COMPUTED_VALUE"""),0.1458)</f>
        <v>0.1458</v>
      </c>
      <c r="K3104" s="19">
        <f>IFERROR(__xludf.DUMMYFUNCTION("""COMPUTED_VALUE"""),0.1823)</f>
        <v>0.1823</v>
      </c>
      <c r="L3104" s="19">
        <f>IFERROR(__xludf.DUMMYFUNCTION("""COMPUTED_VALUE"""),0.2187)</f>
        <v>0.2187</v>
      </c>
      <c r="M3104" s="18">
        <f>IFERROR(__xludf.DUMMYFUNCTION("""COMPUTED_VALUE"""),1.71)</f>
        <v>1.71</v>
      </c>
    </row>
    <row r="3105">
      <c r="A3105" s="13" t="str">
        <f>IFERROR(__xludf.DUMMYFUNCTION("""COMPUTED_VALUE"""),"товари")</f>
        <v>товари</v>
      </c>
      <c r="B3105" s="16" t="str">
        <f>IFERROR(__xludf.DUMMYFUNCTION("""COMPUTED_VALUE"""),"продукти харчування, напої")</f>
        <v>продукти харчування, напої</v>
      </c>
      <c r="C3105" s="16" t="str">
        <f>IFERROR(__xludf.DUMMYFUNCTION("""COMPUTED_VALUE"""),"м'ясо та м'ясна продукція")</f>
        <v>м'ясо та м'ясна продукція</v>
      </c>
      <c r="D3105" s="16" t="str">
        <f>IFERROR(__xludf.DUMMYFUNCTION("""COMPUTED_VALUE"""),"м'ясо")</f>
        <v>м'ясо</v>
      </c>
      <c r="E3105" s="16" t="str">
        <f>IFERROR(__xludf.DUMMYFUNCTION("""COMPUTED_VALUE"""),"м'ясо")</f>
        <v>м'ясо</v>
      </c>
      <c r="F3105" s="17">
        <f>IFERROR(__xludf.DUMMYFUNCTION("""COMPUTED_VALUE"""),3.0)</f>
        <v>3</v>
      </c>
      <c r="G3105" s="17" t="str">
        <f>IFERROR(__xludf.DUMMYFUNCTION("""COMPUTED_VALUE"""),"21101")</f>
        <v>21101</v>
      </c>
      <c r="H3105" s="17" t="str">
        <f>IFERROR(__xludf.DUMMYFUNCTION("""COMPUTED_VALUE"""),"м'ясо")</f>
        <v>м'ясо</v>
      </c>
      <c r="I3105" s="19">
        <f>IFERROR(__xludf.DUMMYFUNCTION("""COMPUTED_VALUE"""),0.0678)</f>
        <v>0.0678</v>
      </c>
      <c r="J3105" s="19">
        <f>IFERROR(__xludf.DUMMYFUNCTION("""COMPUTED_VALUE"""),0.1355)</f>
        <v>0.1355</v>
      </c>
      <c r="K3105" s="19">
        <f>IFERROR(__xludf.DUMMYFUNCTION("""COMPUTED_VALUE"""),0.1694)</f>
        <v>0.1694</v>
      </c>
      <c r="L3105" s="19">
        <f>IFERROR(__xludf.DUMMYFUNCTION("""COMPUTED_VALUE"""),0.2033)</f>
        <v>0.2033</v>
      </c>
      <c r="M3105" s="18">
        <f>IFERROR(__xludf.DUMMYFUNCTION("""COMPUTED_VALUE"""),1.53)</f>
        <v>1.53</v>
      </c>
    </row>
    <row r="3106">
      <c r="A3106" s="13" t="str">
        <f>IFERROR(__xludf.DUMMYFUNCTION("""COMPUTED_VALUE"""),"товари")</f>
        <v>товари</v>
      </c>
      <c r="B3106" s="16" t="str">
        <f>IFERROR(__xludf.DUMMYFUNCTION("""COMPUTED_VALUE"""),"продукти харчування, напої")</f>
        <v>продукти харчування, напої</v>
      </c>
      <c r="C3106" s="16" t="str">
        <f>IFERROR(__xludf.DUMMYFUNCTION("""COMPUTED_VALUE"""),"бакалія")</f>
        <v>бакалія</v>
      </c>
      <c r="D3106" s="16" t="str">
        <f>IFERROR(__xludf.DUMMYFUNCTION("""COMPUTED_VALUE"""),"макаронні вироби")</f>
        <v>макаронні вироби</v>
      </c>
      <c r="E3106" s="16" t="str">
        <f>IFERROR(__xludf.DUMMYFUNCTION("""COMPUTED_VALUE"""),"макаронні вироби")</f>
        <v>макаронні вироби</v>
      </c>
      <c r="F3106" s="17">
        <f>IFERROR(__xludf.DUMMYFUNCTION("""COMPUTED_VALUE"""),3.0)</f>
        <v>3</v>
      </c>
      <c r="G3106" s="17" t="str">
        <f>IFERROR(__xludf.DUMMYFUNCTION("""COMPUTED_VALUE"""),"201")</f>
        <v>201</v>
      </c>
      <c r="H3106" s="17" t="str">
        <f>IFERROR(__xludf.DUMMYFUNCTION("""COMPUTED_VALUE"""),"макаронні вироби")</f>
        <v>макаронні вироби</v>
      </c>
      <c r="I3106" s="19">
        <f>IFERROR(__xludf.DUMMYFUNCTION("""COMPUTED_VALUE"""),0.0738)</f>
        <v>0.0738</v>
      </c>
      <c r="J3106" s="19">
        <f>IFERROR(__xludf.DUMMYFUNCTION("""COMPUTED_VALUE"""),0.1475)</f>
        <v>0.1475</v>
      </c>
      <c r="K3106" s="19">
        <f>IFERROR(__xludf.DUMMYFUNCTION("""COMPUTED_VALUE"""),0.1844)</f>
        <v>0.1844</v>
      </c>
      <c r="L3106" s="19">
        <f>IFERROR(__xludf.DUMMYFUNCTION("""COMPUTED_VALUE"""),0.2213)</f>
        <v>0.2213</v>
      </c>
      <c r="M3106" s="18">
        <f>IFERROR(__xludf.DUMMYFUNCTION("""COMPUTED_VALUE"""),2.08)</f>
        <v>2.08</v>
      </c>
    </row>
    <row r="3107">
      <c r="A3107" s="13" t="str">
        <f>IFERROR(__xludf.DUMMYFUNCTION("""COMPUTED_VALUE"""),"товари")</f>
        <v>товари</v>
      </c>
      <c r="B3107" s="16" t="str">
        <f>IFERROR(__xludf.DUMMYFUNCTION("""COMPUTED_VALUE"""),"продукти харчування, напої")</f>
        <v>продукти харчування, напої</v>
      </c>
      <c r="C3107" s="16" t="str">
        <f>IFERROR(__xludf.DUMMYFUNCTION("""COMPUTED_VALUE"""),"бакалія")</f>
        <v>бакалія</v>
      </c>
      <c r="D3107" s="16" t="str">
        <f>IFERROR(__xludf.DUMMYFUNCTION("""COMPUTED_VALUE"""),"мед")</f>
        <v>мед</v>
      </c>
      <c r="E3107" s="16" t="str">
        <f>IFERROR(__xludf.DUMMYFUNCTION("""COMPUTED_VALUE"""),"мед")</f>
        <v>мед</v>
      </c>
      <c r="F3107" s="17">
        <f>IFERROR(__xludf.DUMMYFUNCTION("""COMPUTED_VALUE"""),3.0)</f>
        <v>3</v>
      </c>
      <c r="G3107" s="17" t="str">
        <f>IFERROR(__xludf.DUMMYFUNCTION("""COMPUTED_VALUE"""),"210")</f>
        <v>210</v>
      </c>
      <c r="H3107" s="17" t="str">
        <f>IFERROR(__xludf.DUMMYFUNCTION("""COMPUTED_VALUE"""),"мед")</f>
        <v>мед</v>
      </c>
      <c r="I3107" s="19">
        <f>IFERROR(__xludf.DUMMYFUNCTION("""COMPUTED_VALUE"""),0.0735)</f>
        <v>0.0735</v>
      </c>
      <c r="J3107" s="19">
        <f>IFERROR(__xludf.DUMMYFUNCTION("""COMPUTED_VALUE"""),0.147)</f>
        <v>0.147</v>
      </c>
      <c r="K3107" s="19">
        <f>IFERROR(__xludf.DUMMYFUNCTION("""COMPUTED_VALUE"""),0.1838)</f>
        <v>0.1838</v>
      </c>
      <c r="L3107" s="19">
        <f>IFERROR(__xludf.DUMMYFUNCTION("""COMPUTED_VALUE"""),0.2205)</f>
        <v>0.2205</v>
      </c>
      <c r="M3107" s="18">
        <f>IFERROR(__xludf.DUMMYFUNCTION("""COMPUTED_VALUE"""),2.16)</f>
        <v>2.16</v>
      </c>
    </row>
    <row r="3108">
      <c r="A3108" s="13" t="str">
        <f>IFERROR(__xludf.DUMMYFUNCTION("""COMPUTED_VALUE"""),"товари")</f>
        <v>товари</v>
      </c>
      <c r="B3108" s="16" t="str">
        <f>IFERROR(__xludf.DUMMYFUNCTION("""COMPUTED_VALUE"""),"продукти харчування, напої")</f>
        <v>продукти харчування, напої</v>
      </c>
      <c r="C3108" s="16" t="str">
        <f>IFERROR(__xludf.DUMMYFUNCTION("""COMPUTED_VALUE"""),"напої")</f>
        <v>напої</v>
      </c>
      <c r="D3108" s="16" t="str">
        <f>IFERROR(__xludf.DUMMYFUNCTION("""COMPUTED_VALUE"""),"мінеральні та питні води")</f>
        <v>мінеральні та питні води</v>
      </c>
      <c r="E3108" s="16" t="str">
        <f>IFERROR(__xludf.DUMMYFUNCTION("""COMPUTED_VALUE"""),"мінеральні та питні води")</f>
        <v>мінеральні та питні води</v>
      </c>
      <c r="F3108" s="17">
        <f>IFERROR(__xludf.DUMMYFUNCTION("""COMPUTED_VALUE"""),3.0)</f>
        <v>3</v>
      </c>
      <c r="G3108" s="17" t="str">
        <f>IFERROR(__xludf.DUMMYFUNCTION("""COMPUTED_VALUE"""),"20402")</f>
        <v>20402</v>
      </c>
      <c r="H3108" s="17" t="str">
        <f>IFERROR(__xludf.DUMMYFUNCTION("""COMPUTED_VALUE"""),"мінеральні та питні води")</f>
        <v>мінеральні та питні води</v>
      </c>
      <c r="I3108" s="19">
        <f>IFERROR(__xludf.DUMMYFUNCTION("""COMPUTED_VALUE"""),0.0744)</f>
        <v>0.0744</v>
      </c>
      <c r="J3108" s="19">
        <f>IFERROR(__xludf.DUMMYFUNCTION("""COMPUTED_VALUE"""),0.1487)</f>
        <v>0.1487</v>
      </c>
      <c r="K3108" s="19">
        <f>IFERROR(__xludf.DUMMYFUNCTION("""COMPUTED_VALUE"""),0.1859)</f>
        <v>0.1859</v>
      </c>
      <c r="L3108" s="19">
        <f>IFERROR(__xludf.DUMMYFUNCTION("""COMPUTED_VALUE"""),0.2231)</f>
        <v>0.2231</v>
      </c>
      <c r="M3108" s="18">
        <f>IFERROR(__xludf.DUMMYFUNCTION("""COMPUTED_VALUE"""),1.8)</f>
        <v>1.8</v>
      </c>
    </row>
    <row r="3109">
      <c r="A3109" s="13" t="str">
        <f>IFERROR(__xludf.DUMMYFUNCTION("""COMPUTED_VALUE"""),"товари")</f>
        <v>товари</v>
      </c>
      <c r="B3109" s="16" t="str">
        <f>IFERROR(__xludf.DUMMYFUNCTION("""COMPUTED_VALUE"""),"продукти харчування, напої")</f>
        <v>продукти харчування, напої</v>
      </c>
      <c r="C3109" s="16" t="str">
        <f>IFERROR(__xludf.DUMMYFUNCTION("""COMPUTED_VALUE"""),"напої")</f>
        <v>напої</v>
      </c>
      <c r="D3109" s="16" t="str">
        <f>IFERROR(__xludf.DUMMYFUNCTION("""COMPUTED_VALUE"""),"алкогольні напої")</f>
        <v>алкогольні напої</v>
      </c>
      <c r="E3109" s="16" t="str">
        <f>IFERROR(__xludf.DUMMYFUNCTION("""COMPUTED_VALUE"""),"міцні алкогольні напої")</f>
        <v>міцні алкогольні напої</v>
      </c>
      <c r="F3109" s="17">
        <f>IFERROR(__xludf.DUMMYFUNCTION("""COMPUTED_VALUE"""),4.0)</f>
        <v>4</v>
      </c>
      <c r="G3109" s="17" t="str">
        <f>IFERROR(__xludf.DUMMYFUNCTION("""COMPUTED_VALUE"""),"20401")</f>
        <v>20401</v>
      </c>
      <c r="H3109" s="17" t="str">
        <f>IFERROR(__xludf.DUMMYFUNCTION("""COMPUTED_VALUE"""),"міцні алкогольні напої")</f>
        <v>міцні алкогольні напої</v>
      </c>
      <c r="I3109" s="19">
        <f>IFERROR(__xludf.DUMMYFUNCTION("""COMPUTED_VALUE"""),0.0556)</f>
        <v>0.0556</v>
      </c>
      <c r="J3109" s="19">
        <f>IFERROR(__xludf.DUMMYFUNCTION("""COMPUTED_VALUE"""),0.1111)</f>
        <v>0.1111</v>
      </c>
      <c r="K3109" s="19">
        <f>IFERROR(__xludf.DUMMYFUNCTION("""COMPUTED_VALUE"""),0.1389)</f>
        <v>0.1389</v>
      </c>
      <c r="L3109" s="19">
        <f>IFERROR(__xludf.DUMMYFUNCTION("""COMPUTED_VALUE"""),0.1667)</f>
        <v>0.1667</v>
      </c>
      <c r="M3109" s="18">
        <f>IFERROR(__xludf.DUMMYFUNCTION("""COMPUTED_VALUE"""),1.53)</f>
        <v>1.53</v>
      </c>
    </row>
    <row r="3110">
      <c r="A3110" s="13" t="str">
        <f>IFERROR(__xludf.DUMMYFUNCTION("""COMPUTED_VALUE"""),"товари")</f>
        <v>товари</v>
      </c>
      <c r="B3110" s="16" t="str">
        <f>IFERROR(__xludf.DUMMYFUNCTION("""COMPUTED_VALUE"""),"продукти харчування, напої")</f>
        <v>продукти харчування, напої</v>
      </c>
      <c r="C3110" s="16" t="str">
        <f>IFERROR(__xludf.DUMMYFUNCTION("""COMPUTED_VALUE"""),"молочні продукти")</f>
        <v>молочні продукти</v>
      </c>
      <c r="D3110" s="16" t="str">
        <f>IFERROR(__xludf.DUMMYFUNCTION("""COMPUTED_VALUE"""),"молоко")</f>
        <v>молоко</v>
      </c>
      <c r="E3110" s="16" t="str">
        <f>IFERROR(__xludf.DUMMYFUNCTION("""COMPUTED_VALUE"""),"молоко")</f>
        <v>молоко</v>
      </c>
      <c r="F3110" s="17">
        <f>IFERROR(__xludf.DUMMYFUNCTION("""COMPUTED_VALUE"""),3.0)</f>
        <v>3</v>
      </c>
      <c r="G3110" s="17" t="str">
        <f>IFERROR(__xludf.DUMMYFUNCTION("""COMPUTED_VALUE"""),"20902")</f>
        <v>20902</v>
      </c>
      <c r="H3110" s="17" t="str">
        <f>IFERROR(__xludf.DUMMYFUNCTION("""COMPUTED_VALUE"""),"молоко")</f>
        <v>молоко</v>
      </c>
      <c r="I3110" s="19">
        <f>IFERROR(__xludf.DUMMYFUNCTION("""COMPUTED_VALUE"""),0.0738)</f>
        <v>0.0738</v>
      </c>
      <c r="J3110" s="19">
        <f>IFERROR(__xludf.DUMMYFUNCTION("""COMPUTED_VALUE"""),0.1475)</f>
        <v>0.1475</v>
      </c>
      <c r="K3110" s="19">
        <f>IFERROR(__xludf.DUMMYFUNCTION("""COMPUTED_VALUE"""),0.1844)</f>
        <v>0.1844</v>
      </c>
      <c r="L3110" s="19">
        <f>IFERROR(__xludf.DUMMYFUNCTION("""COMPUTED_VALUE"""),0.2213)</f>
        <v>0.2213</v>
      </c>
      <c r="M3110" s="18">
        <f>IFERROR(__xludf.DUMMYFUNCTION("""COMPUTED_VALUE"""),1.44)</f>
        <v>1.44</v>
      </c>
    </row>
    <row r="3111">
      <c r="A3111" s="13" t="str">
        <f>IFERROR(__xludf.DUMMYFUNCTION("""COMPUTED_VALUE"""),"товари")</f>
        <v>товари</v>
      </c>
      <c r="B3111" s="16" t="str">
        <f>IFERROR(__xludf.DUMMYFUNCTION("""COMPUTED_VALUE"""),"продукти харчування, напої")</f>
        <v>продукти харчування, напої</v>
      </c>
      <c r="C3111" s="16" t="str">
        <f>IFERROR(__xludf.DUMMYFUNCTION("""COMPUTED_VALUE"""),"молочні продукти")</f>
        <v>молочні продукти</v>
      </c>
      <c r="D3111" s="16" t="str">
        <f>IFERROR(__xludf.DUMMYFUNCTION("""COMPUTED_VALUE"""),"молочні продукти, загальне")</f>
        <v>молочні продукти, загальне</v>
      </c>
      <c r="E3111" s="16" t="str">
        <f>IFERROR(__xludf.DUMMYFUNCTION("""COMPUTED_VALUE"""),"молочні продукти, загальне")</f>
        <v>молочні продукти, загальне</v>
      </c>
      <c r="F3111" s="17">
        <f>IFERROR(__xludf.DUMMYFUNCTION("""COMPUTED_VALUE"""),3.0)</f>
        <v>3</v>
      </c>
      <c r="G3111" s="17" t="str">
        <f>IFERROR(__xludf.DUMMYFUNCTION("""COMPUTED_VALUE"""),"20909")</f>
        <v>20909</v>
      </c>
      <c r="H3111" s="17" t="str">
        <f>IFERROR(__xludf.DUMMYFUNCTION("""COMPUTED_VALUE"""),"молочні продукти, загальне")</f>
        <v>молочні продукти, загальне</v>
      </c>
      <c r="I3111" s="19">
        <f>IFERROR(__xludf.DUMMYFUNCTION("""COMPUTED_VALUE"""),0.125)</f>
        <v>0.125</v>
      </c>
      <c r="J3111" s="19">
        <f>IFERROR(__xludf.DUMMYFUNCTION("""COMPUTED_VALUE"""),0.25)</f>
        <v>0.25</v>
      </c>
      <c r="K3111" s="19">
        <f>IFERROR(__xludf.DUMMYFUNCTION("""COMPUTED_VALUE"""),0.3125)</f>
        <v>0.3125</v>
      </c>
      <c r="L3111" s="19">
        <f>IFERROR(__xludf.DUMMYFUNCTION("""COMPUTED_VALUE"""),0.375)</f>
        <v>0.375</v>
      </c>
      <c r="M3111" s="18">
        <f>IFERROR(__xludf.DUMMYFUNCTION("""COMPUTED_VALUE"""),4.33)</f>
        <v>4.33</v>
      </c>
    </row>
    <row r="3112">
      <c r="A3112" s="13" t="str">
        <f>IFERROR(__xludf.DUMMYFUNCTION("""COMPUTED_VALUE"""),"товари")</f>
        <v>товари</v>
      </c>
      <c r="B3112" s="16" t="str">
        <f>IFERROR(__xludf.DUMMYFUNCTION("""COMPUTED_VALUE"""),"продукти харчування, напої")</f>
        <v>продукти харчування, напої</v>
      </c>
      <c r="C3112" s="16" t="str">
        <f>IFERROR(__xludf.DUMMYFUNCTION("""COMPUTED_VALUE"""),"молочні продукти")</f>
        <v>молочні продукти</v>
      </c>
      <c r="D3112" s="16" t="str">
        <f>IFERROR(__xludf.DUMMYFUNCTION("""COMPUTED_VALUE"""),"морозиво")</f>
        <v>морозиво</v>
      </c>
      <c r="E3112" s="16" t="str">
        <f>IFERROR(__xludf.DUMMYFUNCTION("""COMPUTED_VALUE"""),"морозиво")</f>
        <v>морозиво</v>
      </c>
      <c r="F3112" s="17">
        <f>IFERROR(__xludf.DUMMYFUNCTION("""COMPUTED_VALUE"""),3.0)</f>
        <v>3</v>
      </c>
      <c r="G3112" s="17" t="str">
        <f>IFERROR(__xludf.DUMMYFUNCTION("""COMPUTED_VALUE"""),"20912")</f>
        <v>20912</v>
      </c>
      <c r="H3112" s="17" t="str">
        <f>IFERROR(__xludf.DUMMYFUNCTION("""COMPUTED_VALUE"""),"морозиво")</f>
        <v>морозиво</v>
      </c>
      <c r="I3112" s="19">
        <f>IFERROR(__xludf.DUMMYFUNCTION("""COMPUTED_VALUE"""),0.0697)</f>
        <v>0.0697</v>
      </c>
      <c r="J3112" s="19">
        <f>IFERROR(__xludf.DUMMYFUNCTION("""COMPUTED_VALUE"""),0.1394)</f>
        <v>0.1394</v>
      </c>
      <c r="K3112" s="19">
        <f>IFERROR(__xludf.DUMMYFUNCTION("""COMPUTED_VALUE"""),0.1743)</f>
        <v>0.1743</v>
      </c>
      <c r="L3112" s="19">
        <f>IFERROR(__xludf.DUMMYFUNCTION("""COMPUTED_VALUE"""),0.2091)</f>
        <v>0.2091</v>
      </c>
      <c r="M3112" s="18">
        <f>IFERROR(__xludf.DUMMYFUNCTION("""COMPUTED_VALUE"""),1.26)</f>
        <v>1.26</v>
      </c>
    </row>
    <row r="3113">
      <c r="A3113" s="13" t="str">
        <f>IFERROR(__xludf.DUMMYFUNCTION("""COMPUTED_VALUE"""),"товари")</f>
        <v>товари</v>
      </c>
      <c r="B3113" s="16" t="str">
        <f>IFERROR(__xludf.DUMMYFUNCTION("""COMPUTED_VALUE"""),"продукти харчування, напої")</f>
        <v>продукти харчування, напої</v>
      </c>
      <c r="C3113" s="16" t="str">
        <f>IFERROR(__xludf.DUMMYFUNCTION("""COMPUTED_VALUE"""),"бакалія")</f>
        <v>бакалія</v>
      </c>
      <c r="D3113" s="16" t="str">
        <f>IFERROR(__xludf.DUMMYFUNCTION("""COMPUTED_VALUE"""),"морська капуста")</f>
        <v>морська капуста</v>
      </c>
      <c r="E3113" s="16" t="str">
        <f>IFERROR(__xludf.DUMMYFUNCTION("""COMPUTED_VALUE"""),"морська капуста")</f>
        <v>морська капуста</v>
      </c>
      <c r="F3113" s="17">
        <f>IFERROR(__xludf.DUMMYFUNCTION("""COMPUTED_VALUE"""),3.0)</f>
        <v>3</v>
      </c>
      <c r="G3113" s="17" t="str">
        <f>IFERROR(__xludf.DUMMYFUNCTION("""COMPUTED_VALUE"""),"10911")</f>
        <v>10911</v>
      </c>
      <c r="H3113" s="17" t="str">
        <f>IFERROR(__xludf.DUMMYFUNCTION("""COMPUTED_VALUE"""),"морська капуста")</f>
        <v>морська капуста</v>
      </c>
      <c r="I3113" s="19">
        <f>IFERROR(__xludf.DUMMYFUNCTION("""COMPUTED_VALUE"""),0.0539)</f>
        <v>0.0539</v>
      </c>
      <c r="J3113" s="19">
        <f>IFERROR(__xludf.DUMMYFUNCTION("""COMPUTED_VALUE"""),0.1078)</f>
        <v>0.1078</v>
      </c>
      <c r="K3113" s="19">
        <f>IFERROR(__xludf.DUMMYFUNCTION("""COMPUTED_VALUE"""),0.1348)</f>
        <v>0.1348</v>
      </c>
      <c r="L3113" s="19">
        <f>IFERROR(__xludf.DUMMYFUNCTION("""COMPUTED_VALUE"""),0.1617)</f>
        <v>0.1617</v>
      </c>
      <c r="M3113" s="18">
        <f>IFERROR(__xludf.DUMMYFUNCTION("""COMPUTED_VALUE"""),1.71)</f>
        <v>1.71</v>
      </c>
    </row>
    <row r="3114">
      <c r="A3114" s="13" t="str">
        <f>IFERROR(__xludf.DUMMYFUNCTION("""COMPUTED_VALUE"""),"товари")</f>
        <v>товари</v>
      </c>
      <c r="B3114" s="16" t="str">
        <f>IFERROR(__xludf.DUMMYFUNCTION("""COMPUTED_VALUE"""),"продукти харчування, напої")</f>
        <v>продукти харчування, напої</v>
      </c>
      <c r="C3114" s="16" t="str">
        <f>IFERROR(__xludf.DUMMYFUNCTION("""COMPUTED_VALUE"""),"напої")</f>
        <v>напої</v>
      </c>
      <c r="D3114" s="16" t="str">
        <f>IFERROR(__xludf.DUMMYFUNCTION("""COMPUTED_VALUE"""),"напої, загальне")</f>
        <v>напої, загальне</v>
      </c>
      <c r="E3114" s="16" t="str">
        <f>IFERROR(__xludf.DUMMYFUNCTION("""COMPUTED_VALUE"""),"напої, загальне")</f>
        <v>напої, загальне</v>
      </c>
      <c r="F3114" s="17">
        <f>IFERROR(__xludf.DUMMYFUNCTION("""COMPUTED_VALUE"""),3.0)</f>
        <v>3</v>
      </c>
      <c r="G3114" s="17" t="str">
        <f>IFERROR(__xludf.DUMMYFUNCTION("""COMPUTED_VALUE"""),"20409")</f>
        <v>20409</v>
      </c>
      <c r="H3114" s="17" t="str">
        <f>IFERROR(__xludf.DUMMYFUNCTION("""COMPUTED_VALUE"""),"напої, загальне")</f>
        <v>напої, загальне</v>
      </c>
      <c r="I3114" s="19">
        <f>IFERROR(__xludf.DUMMYFUNCTION("""COMPUTED_VALUE"""),0.125)</f>
        <v>0.125</v>
      </c>
      <c r="J3114" s="19">
        <f>IFERROR(__xludf.DUMMYFUNCTION("""COMPUTED_VALUE"""),0.25)</f>
        <v>0.25</v>
      </c>
      <c r="K3114" s="19">
        <f>IFERROR(__xludf.DUMMYFUNCTION("""COMPUTED_VALUE"""),0.3125)</f>
        <v>0.3125</v>
      </c>
      <c r="L3114" s="19">
        <f>IFERROR(__xludf.DUMMYFUNCTION("""COMPUTED_VALUE"""),0.375)</f>
        <v>0.375</v>
      </c>
      <c r="M3114" s="18">
        <f>IFERROR(__xludf.DUMMYFUNCTION("""COMPUTED_VALUE"""),4.33)</f>
        <v>4.33</v>
      </c>
    </row>
    <row r="3115">
      <c r="A3115" s="13" t="str">
        <f>IFERROR(__xludf.DUMMYFUNCTION("""COMPUTED_VALUE"""),"товари")</f>
        <v>товари</v>
      </c>
      <c r="B3115" s="16" t="str">
        <f>IFERROR(__xludf.DUMMYFUNCTION("""COMPUTED_VALUE"""),"продукти харчування, напої")</f>
        <v>продукти харчування, напої</v>
      </c>
      <c r="C3115" s="16" t="str">
        <f>IFERROR(__xludf.DUMMYFUNCTION("""COMPUTED_VALUE"""),"овочі, фрукти, ягоди, гриби")</f>
        <v>овочі, фрукти, ягоди, гриби</v>
      </c>
      <c r="D3115" s="16" t="str">
        <f>IFERROR(__xludf.DUMMYFUNCTION("""COMPUTED_VALUE"""),"овочі та зелень")</f>
        <v>овочі та зелень</v>
      </c>
      <c r="E3115" s="16" t="str">
        <f>IFERROR(__xludf.DUMMYFUNCTION("""COMPUTED_VALUE"""),"овочі та зелень")</f>
        <v>овочі та зелень</v>
      </c>
      <c r="F3115" s="17">
        <f>IFERROR(__xludf.DUMMYFUNCTION("""COMPUTED_VALUE"""),3.0)</f>
        <v>3</v>
      </c>
      <c r="G3115" s="17" t="str">
        <f>IFERROR(__xludf.DUMMYFUNCTION("""COMPUTED_VALUE"""),"10201")</f>
        <v>10201</v>
      </c>
      <c r="H3115" s="17" t="str">
        <f>IFERROR(__xludf.DUMMYFUNCTION("""COMPUTED_VALUE"""),"овочі та зелень")</f>
        <v>овочі та зелень</v>
      </c>
      <c r="I3115" s="19">
        <f>IFERROR(__xludf.DUMMYFUNCTION("""COMPUTED_VALUE"""),0.0678)</f>
        <v>0.0678</v>
      </c>
      <c r="J3115" s="19">
        <f>IFERROR(__xludf.DUMMYFUNCTION("""COMPUTED_VALUE"""),0.1355)</f>
        <v>0.1355</v>
      </c>
      <c r="K3115" s="19">
        <f>IFERROR(__xludf.DUMMYFUNCTION("""COMPUTED_VALUE"""),0.1694)</f>
        <v>0.1694</v>
      </c>
      <c r="L3115" s="19">
        <f>IFERROR(__xludf.DUMMYFUNCTION("""COMPUTED_VALUE"""),0.2033)</f>
        <v>0.2033</v>
      </c>
      <c r="M3115" s="18">
        <f>IFERROR(__xludf.DUMMYFUNCTION("""COMPUTED_VALUE"""),1.71)</f>
        <v>1.71</v>
      </c>
    </row>
    <row r="3116">
      <c r="A3116" s="13" t="str">
        <f>IFERROR(__xludf.DUMMYFUNCTION("""COMPUTED_VALUE"""),"товари")</f>
        <v>товари</v>
      </c>
      <c r="B3116" s="16" t="str">
        <f>IFERROR(__xludf.DUMMYFUNCTION("""COMPUTED_VALUE"""),"продукти харчування, напої")</f>
        <v>продукти харчування, напої</v>
      </c>
      <c r="C3116" s="16" t="str">
        <f>IFERROR(__xludf.DUMMYFUNCTION("""COMPUTED_VALUE"""),"овочі, фрукти, ягоди, гриби")</f>
        <v>овочі, фрукти, ягоди, гриби</v>
      </c>
      <c r="D3116" s="16" t="str">
        <f>IFERROR(__xludf.DUMMYFUNCTION("""COMPUTED_VALUE"""),"овочі, фрукти, ягоди, гриби, загальне")</f>
        <v>овочі, фрукти, ягоди, гриби, загальне</v>
      </c>
      <c r="E3116" s="16" t="str">
        <f>IFERROR(__xludf.DUMMYFUNCTION("""COMPUTED_VALUE"""),"овочі, фрукти, ягоди, гриби, загальне")</f>
        <v>овочі, фрукти, ягоди, гриби, загальне</v>
      </c>
      <c r="F3116" s="17">
        <f>IFERROR(__xludf.DUMMYFUNCTION("""COMPUTED_VALUE"""),3.0)</f>
        <v>3</v>
      </c>
      <c r="G3116" s="17" t="str">
        <f>IFERROR(__xludf.DUMMYFUNCTION("""COMPUTED_VALUE"""),"23401")</f>
        <v>23401</v>
      </c>
      <c r="H3116" s="17" t="str">
        <f>IFERROR(__xludf.DUMMYFUNCTION("""COMPUTED_VALUE"""),"овочі, фрукти, ягоди, гриби, загальне")</f>
        <v>овочі, фрукти, ягоди, гриби, загальне</v>
      </c>
      <c r="I3116" s="19">
        <f>IFERROR(__xludf.DUMMYFUNCTION("""COMPUTED_VALUE"""),0.125)</f>
        <v>0.125</v>
      </c>
      <c r="J3116" s="19">
        <f>IFERROR(__xludf.DUMMYFUNCTION("""COMPUTED_VALUE"""),0.25)</f>
        <v>0.25</v>
      </c>
      <c r="K3116" s="19">
        <f>IFERROR(__xludf.DUMMYFUNCTION("""COMPUTED_VALUE"""),0.3125)</f>
        <v>0.3125</v>
      </c>
      <c r="L3116" s="19">
        <f>IFERROR(__xludf.DUMMYFUNCTION("""COMPUTED_VALUE"""),0.375)</f>
        <v>0.375</v>
      </c>
      <c r="M3116" s="18">
        <f>IFERROR(__xludf.DUMMYFUNCTION("""COMPUTED_VALUE"""),4.33)</f>
        <v>4.33</v>
      </c>
    </row>
    <row r="3117">
      <c r="A3117" s="13" t="str">
        <f>IFERROR(__xludf.DUMMYFUNCTION("""COMPUTED_VALUE"""),"товари")</f>
        <v>товари</v>
      </c>
      <c r="B3117" s="16" t="str">
        <f>IFERROR(__xludf.DUMMYFUNCTION("""COMPUTED_VALUE"""),"продукти харчування, напої")</f>
        <v>продукти харчування, напої</v>
      </c>
      <c r="C3117" s="16" t="str">
        <f>IFERROR(__xludf.DUMMYFUNCTION("""COMPUTED_VALUE"""),"бакалія")</f>
        <v>бакалія</v>
      </c>
      <c r="D3117" s="16" t="str">
        <f>IFERROR(__xludf.DUMMYFUNCTION("""COMPUTED_VALUE"""),"харчові інгредієнти")</f>
        <v>харчові інгредієнти</v>
      </c>
      <c r="E3117" s="16" t="str">
        <f>IFERROR(__xludf.DUMMYFUNCTION("""COMPUTED_VALUE"""),"оцет")</f>
        <v>оцет</v>
      </c>
      <c r="F3117" s="17">
        <f>IFERROR(__xludf.DUMMYFUNCTION("""COMPUTED_VALUE"""),4.0)</f>
        <v>4</v>
      </c>
      <c r="G3117" s="17" t="str">
        <f>IFERROR(__xludf.DUMMYFUNCTION("""COMPUTED_VALUE"""),"81905")</f>
        <v>81905</v>
      </c>
      <c r="H3117" s="17" t="str">
        <f>IFERROR(__xludf.DUMMYFUNCTION("""COMPUTED_VALUE"""),"оцет")</f>
        <v>оцет</v>
      </c>
      <c r="I3117" s="19">
        <f>IFERROR(__xludf.DUMMYFUNCTION("""COMPUTED_VALUE"""),0.0743)</f>
        <v>0.0743</v>
      </c>
      <c r="J3117" s="19">
        <f>IFERROR(__xludf.DUMMYFUNCTION("""COMPUTED_VALUE"""),0.1485)</f>
        <v>0.1485</v>
      </c>
      <c r="K3117" s="19">
        <f>IFERROR(__xludf.DUMMYFUNCTION("""COMPUTED_VALUE"""),0.1856)</f>
        <v>0.1856</v>
      </c>
      <c r="L3117" s="19">
        <f>IFERROR(__xludf.DUMMYFUNCTION("""COMPUTED_VALUE"""),0.2228)</f>
        <v>0.2228</v>
      </c>
      <c r="M3117" s="18">
        <f>IFERROR(__xludf.DUMMYFUNCTION("""COMPUTED_VALUE"""),3.88)</f>
        <v>3.88</v>
      </c>
    </row>
    <row r="3118">
      <c r="A3118" s="13" t="str">
        <f>IFERROR(__xludf.DUMMYFUNCTION("""COMPUTED_VALUE"""),"товари")</f>
        <v>товари</v>
      </c>
      <c r="B3118" s="16" t="str">
        <f>IFERROR(__xludf.DUMMYFUNCTION("""COMPUTED_VALUE"""),"продукти харчування, напої")</f>
        <v>продукти харчування, напої</v>
      </c>
      <c r="C3118" s="16" t="str">
        <f>IFERROR(__xludf.DUMMYFUNCTION("""COMPUTED_VALUE"""),"м'ясо та м'ясна продукція")</f>
        <v>м'ясо та м'ясна продукція</v>
      </c>
      <c r="D3118" s="16" t="str">
        <f>IFERROR(__xludf.DUMMYFUNCTION("""COMPUTED_VALUE"""),"ковбаси та м'ясні вироби")</f>
        <v>ковбаси та м'ясні вироби</v>
      </c>
      <c r="E3118" s="16" t="str">
        <f>IFERROR(__xludf.DUMMYFUNCTION("""COMPUTED_VALUE"""),"паштети")</f>
        <v>паштети</v>
      </c>
      <c r="F3118" s="17">
        <f>IFERROR(__xludf.DUMMYFUNCTION("""COMPUTED_VALUE"""),4.0)</f>
        <v>4</v>
      </c>
      <c r="G3118" s="17" t="str">
        <f>IFERROR(__xludf.DUMMYFUNCTION("""COMPUTED_VALUE"""),"2110308")</f>
        <v>2110308</v>
      </c>
      <c r="H3118" s="17" t="str">
        <f>IFERROR(__xludf.DUMMYFUNCTION("""COMPUTED_VALUE"""),"паштети")</f>
        <v>паштети</v>
      </c>
      <c r="I3118" s="19">
        <f>IFERROR(__xludf.DUMMYFUNCTION("""COMPUTED_VALUE"""),0.0718)</f>
        <v>0.0718</v>
      </c>
      <c r="J3118" s="19">
        <f>IFERROR(__xludf.DUMMYFUNCTION("""COMPUTED_VALUE"""),0.1436)</f>
        <v>0.1436</v>
      </c>
      <c r="K3118" s="19">
        <f>IFERROR(__xludf.DUMMYFUNCTION("""COMPUTED_VALUE"""),0.1795)</f>
        <v>0.1795</v>
      </c>
      <c r="L3118" s="19">
        <f>IFERROR(__xludf.DUMMYFUNCTION("""COMPUTED_VALUE"""),0.2154)</f>
        <v>0.2154</v>
      </c>
      <c r="M3118" s="18">
        <f>IFERROR(__xludf.DUMMYFUNCTION("""COMPUTED_VALUE"""),1.63)</f>
        <v>1.63</v>
      </c>
    </row>
    <row r="3119">
      <c r="A3119" s="13" t="str">
        <f>IFERROR(__xludf.DUMMYFUNCTION("""COMPUTED_VALUE"""),"товари")</f>
        <v>товари</v>
      </c>
      <c r="B3119" s="16" t="str">
        <f>IFERROR(__xludf.DUMMYFUNCTION("""COMPUTED_VALUE"""),"продукти харчування, напої")</f>
        <v>продукти харчування, напої</v>
      </c>
      <c r="C3119" s="16" t="str">
        <f>IFERROR(__xludf.DUMMYFUNCTION("""COMPUTED_VALUE"""),"хлібобулочні, кондитерські вироби")</f>
        <v>хлібобулочні, кондитерські вироби</v>
      </c>
      <c r="D3119" s="16" t="str">
        <f>IFERROR(__xludf.DUMMYFUNCTION("""COMPUTED_VALUE"""),"борошняні кондитерські вироби")</f>
        <v>борошняні кондитерські вироби</v>
      </c>
      <c r="E3119" s="16" t="str">
        <f>IFERROR(__xludf.DUMMYFUNCTION("""COMPUTED_VALUE"""),"печиво і пряники")</f>
        <v>печиво і пряники</v>
      </c>
      <c r="F3119" s="17">
        <f>IFERROR(__xludf.DUMMYFUNCTION("""COMPUTED_VALUE"""),4.0)</f>
        <v>4</v>
      </c>
      <c r="G3119" s="17" t="str">
        <f>IFERROR(__xludf.DUMMYFUNCTION("""COMPUTED_VALUE"""),"2181703")</f>
        <v>2181703</v>
      </c>
      <c r="H3119" s="17" t="str">
        <f>IFERROR(__xludf.DUMMYFUNCTION("""COMPUTED_VALUE"""),"печиво і пряники")</f>
        <v>печиво і пряники</v>
      </c>
      <c r="I3119" s="19">
        <f>IFERROR(__xludf.DUMMYFUNCTION("""COMPUTED_VALUE"""),0.0729)</f>
        <v>0.0729</v>
      </c>
      <c r="J3119" s="19">
        <f>IFERROR(__xludf.DUMMYFUNCTION("""COMPUTED_VALUE"""),0.1458)</f>
        <v>0.1458</v>
      </c>
      <c r="K3119" s="19">
        <f>IFERROR(__xludf.DUMMYFUNCTION("""COMPUTED_VALUE"""),0.1823)</f>
        <v>0.1823</v>
      </c>
      <c r="L3119" s="19">
        <f>IFERROR(__xludf.DUMMYFUNCTION("""COMPUTED_VALUE"""),0.2187)</f>
        <v>0.2187</v>
      </c>
      <c r="M3119" s="18">
        <f>IFERROR(__xludf.DUMMYFUNCTION("""COMPUTED_VALUE"""),1.05)</f>
        <v>1.05</v>
      </c>
    </row>
    <row r="3120">
      <c r="A3120" s="13" t="str">
        <f>IFERROR(__xludf.DUMMYFUNCTION("""COMPUTED_VALUE"""),"товари")</f>
        <v>товари</v>
      </c>
      <c r="B3120" s="16" t="str">
        <f>IFERROR(__xludf.DUMMYFUNCTION("""COMPUTED_VALUE"""),"продукти харчування, напої")</f>
        <v>продукти харчування, напої</v>
      </c>
      <c r="C3120" s="16" t="str">
        <f>IFERROR(__xludf.DUMMYFUNCTION("""COMPUTED_VALUE"""),"напої")</f>
        <v>напої</v>
      </c>
      <c r="D3120" s="16" t="str">
        <f>IFERROR(__xludf.DUMMYFUNCTION("""COMPUTED_VALUE"""),"алкогольні напої")</f>
        <v>алкогольні напої</v>
      </c>
      <c r="E3120" s="16" t="str">
        <f>IFERROR(__xludf.DUMMYFUNCTION("""COMPUTED_VALUE"""),"пиво")</f>
        <v>пиво</v>
      </c>
      <c r="F3120" s="17">
        <f>IFERROR(__xludf.DUMMYFUNCTION("""COMPUTED_VALUE"""),4.0)</f>
        <v>4</v>
      </c>
      <c r="G3120" s="17" t="str">
        <f>IFERROR(__xludf.DUMMYFUNCTION("""COMPUTED_VALUE"""),"20405")</f>
        <v>20405</v>
      </c>
      <c r="H3120" s="17" t="str">
        <f>IFERROR(__xludf.DUMMYFUNCTION("""COMPUTED_VALUE"""),"пиво")</f>
        <v>пиво</v>
      </c>
      <c r="I3120" s="19">
        <f>IFERROR(__xludf.DUMMYFUNCTION("""COMPUTED_VALUE"""),0.0556)</f>
        <v>0.0556</v>
      </c>
      <c r="J3120" s="19">
        <f>IFERROR(__xludf.DUMMYFUNCTION("""COMPUTED_VALUE"""),0.1111)</f>
        <v>0.1111</v>
      </c>
      <c r="K3120" s="19">
        <f>IFERROR(__xludf.DUMMYFUNCTION("""COMPUTED_VALUE"""),0.1389)</f>
        <v>0.1389</v>
      </c>
      <c r="L3120" s="19">
        <f>IFERROR(__xludf.DUMMYFUNCTION("""COMPUTED_VALUE"""),0.1667)</f>
        <v>0.1667</v>
      </c>
      <c r="M3120" s="18">
        <f>IFERROR(__xludf.DUMMYFUNCTION("""COMPUTED_VALUE"""),1.53)</f>
        <v>1.53</v>
      </c>
    </row>
    <row r="3121">
      <c r="A3121" s="13" t="str">
        <f>IFERROR(__xludf.DUMMYFUNCTION("""COMPUTED_VALUE"""),"товари")</f>
        <v>товари</v>
      </c>
      <c r="B3121" s="16" t="str">
        <f>IFERROR(__xludf.DUMMYFUNCTION("""COMPUTED_VALUE"""),"продукти харчування, напої")</f>
        <v>продукти харчування, напої</v>
      </c>
      <c r="C3121" s="16" t="str">
        <f>IFERROR(__xludf.DUMMYFUNCTION("""COMPUTED_VALUE"""),"бакалія")</f>
        <v>бакалія</v>
      </c>
      <c r="D3121" s="16" t="str">
        <f>IFERROR(__xludf.DUMMYFUNCTION("""COMPUTED_VALUE"""),"харчові інгредієнти")</f>
        <v>харчові інгредієнти</v>
      </c>
      <c r="E3121" s="16" t="str">
        <f>IFERROR(__xludf.DUMMYFUNCTION("""COMPUTED_VALUE"""),"підсолоджувачі, цукрозамінники")</f>
        <v>підсолоджувачі, цукрозамінники</v>
      </c>
      <c r="F3121" s="17">
        <f>IFERROR(__xludf.DUMMYFUNCTION("""COMPUTED_VALUE"""),4.0)</f>
        <v>4</v>
      </c>
      <c r="G3121" s="17" t="str">
        <f>IFERROR(__xludf.DUMMYFUNCTION("""COMPUTED_VALUE"""),"81909")</f>
        <v>81909</v>
      </c>
      <c r="H3121" s="17" t="str">
        <f>IFERROR(__xludf.DUMMYFUNCTION("""COMPUTED_VALUE"""),"підсолоджувачі, цукрозамінники")</f>
        <v>підсолоджувачі, цукрозамінники</v>
      </c>
      <c r="I3121" s="19">
        <f>IFERROR(__xludf.DUMMYFUNCTION("""COMPUTED_VALUE"""),0.0743)</f>
        <v>0.0743</v>
      </c>
      <c r="J3121" s="19">
        <f>IFERROR(__xludf.DUMMYFUNCTION("""COMPUTED_VALUE"""),0.1485)</f>
        <v>0.1485</v>
      </c>
      <c r="K3121" s="19">
        <f>IFERROR(__xludf.DUMMYFUNCTION("""COMPUTED_VALUE"""),0.1856)</f>
        <v>0.1856</v>
      </c>
      <c r="L3121" s="19">
        <f>IFERROR(__xludf.DUMMYFUNCTION("""COMPUTED_VALUE"""),0.2228)</f>
        <v>0.2228</v>
      </c>
      <c r="M3121" s="18">
        <f>IFERROR(__xludf.DUMMYFUNCTION("""COMPUTED_VALUE"""),3.88)</f>
        <v>3.88</v>
      </c>
    </row>
    <row r="3122">
      <c r="A3122" s="13" t="str">
        <f>IFERROR(__xludf.DUMMYFUNCTION("""COMPUTED_VALUE"""),"товари")</f>
        <v>товари</v>
      </c>
      <c r="B3122" s="16" t="str">
        <f>IFERROR(__xludf.DUMMYFUNCTION("""COMPUTED_VALUE"""),"продукти харчування, напої")</f>
        <v>продукти харчування, напої</v>
      </c>
      <c r="C3122" s="16" t="str">
        <f>IFERROR(__xludf.DUMMYFUNCTION("""COMPUTED_VALUE"""),"бакалія")</f>
        <v>бакалія</v>
      </c>
      <c r="D3122" s="16" t="str">
        <f>IFERROR(__xludf.DUMMYFUNCTION("""COMPUTED_VALUE"""),"продукти для приготування суші")</f>
        <v>продукти для приготування суші</v>
      </c>
      <c r="E3122" s="16" t="str">
        <f>IFERROR(__xludf.DUMMYFUNCTION("""COMPUTED_VALUE"""),"продукти для приготування суші")</f>
        <v>продукти для приготування суші</v>
      </c>
      <c r="F3122" s="17">
        <f>IFERROR(__xludf.DUMMYFUNCTION("""COMPUTED_VALUE"""),3.0)</f>
        <v>3</v>
      </c>
      <c r="G3122" s="17" t="str">
        <f>IFERROR(__xludf.DUMMYFUNCTION("""COMPUTED_VALUE"""),"219")</f>
        <v>219</v>
      </c>
      <c r="H3122" s="17" t="str">
        <f>IFERROR(__xludf.DUMMYFUNCTION("""COMPUTED_VALUE"""),"продукти для приготування суші")</f>
        <v>продукти для приготування суші</v>
      </c>
      <c r="I3122" s="19">
        <f>IFERROR(__xludf.DUMMYFUNCTION("""COMPUTED_VALUE"""),0.0759)</f>
        <v>0.0759</v>
      </c>
      <c r="J3122" s="19">
        <f>IFERROR(__xludf.DUMMYFUNCTION("""COMPUTED_VALUE"""),0.1517)</f>
        <v>0.1517</v>
      </c>
      <c r="K3122" s="19">
        <f>IFERROR(__xludf.DUMMYFUNCTION("""COMPUTED_VALUE"""),0.1896)</f>
        <v>0.1896</v>
      </c>
      <c r="L3122" s="19">
        <f>IFERROR(__xludf.DUMMYFUNCTION("""COMPUTED_VALUE"""),0.2276)</f>
        <v>0.2276</v>
      </c>
      <c r="M3122" s="18">
        <f>IFERROR(__xludf.DUMMYFUNCTION("""COMPUTED_VALUE"""),2.25)</f>
        <v>2.25</v>
      </c>
    </row>
    <row r="3123">
      <c r="A3123" s="13" t="str">
        <f>IFERROR(__xludf.DUMMYFUNCTION("""COMPUTED_VALUE"""),"товари")</f>
        <v>товари</v>
      </c>
      <c r="B3123" s="16" t="str">
        <f>IFERROR(__xludf.DUMMYFUNCTION("""COMPUTED_VALUE"""),"продукти харчування, напої")</f>
        <v>продукти харчування, напої</v>
      </c>
      <c r="C3123" s="16" t="str">
        <f>IFERROR(__xludf.DUMMYFUNCTION("""COMPUTED_VALUE"""),"продукти харчування, загальне")</f>
        <v>продукти харчування, загальне</v>
      </c>
      <c r="D3123" s="16" t="str">
        <f>IFERROR(__xludf.DUMMYFUNCTION("""COMPUTED_VALUE"""),"продукти харчування, загальне")</f>
        <v>продукти харчування, загальне</v>
      </c>
      <c r="E3123" s="16" t="str">
        <f>IFERROR(__xludf.DUMMYFUNCTION("""COMPUTED_VALUE"""),"продукти харчування, загальне")</f>
        <v>продукти харчування, загальне</v>
      </c>
      <c r="F3123" s="17">
        <f>IFERROR(__xludf.DUMMYFUNCTION("""COMPUTED_VALUE"""),2.0)</f>
        <v>2</v>
      </c>
      <c r="G3123" s="17" t="str">
        <f>IFERROR(__xludf.DUMMYFUNCTION("""COMPUTED_VALUE"""),"225")</f>
        <v>225</v>
      </c>
      <c r="H3123" s="17" t="str">
        <f>IFERROR(__xludf.DUMMYFUNCTION("""COMPUTED_VALUE"""),"продукти харчування, загальне")</f>
        <v>продукти харчування, загальне</v>
      </c>
      <c r="I3123" s="19">
        <f>IFERROR(__xludf.DUMMYFUNCTION("""COMPUTED_VALUE"""),0.125)</f>
        <v>0.125</v>
      </c>
      <c r="J3123" s="19">
        <f>IFERROR(__xludf.DUMMYFUNCTION("""COMPUTED_VALUE"""),0.25)</f>
        <v>0.25</v>
      </c>
      <c r="K3123" s="19">
        <f>IFERROR(__xludf.DUMMYFUNCTION("""COMPUTED_VALUE"""),0.3125)</f>
        <v>0.3125</v>
      </c>
      <c r="L3123" s="19">
        <f>IFERROR(__xludf.DUMMYFUNCTION("""COMPUTED_VALUE"""),0.375)</f>
        <v>0.375</v>
      </c>
      <c r="M3123" s="18">
        <f>IFERROR(__xludf.DUMMYFUNCTION("""COMPUTED_VALUE"""),4.33)</f>
        <v>4.33</v>
      </c>
    </row>
    <row r="3124">
      <c r="A3124" s="13" t="str">
        <f>IFERROR(__xludf.DUMMYFUNCTION("""COMPUTED_VALUE"""),"товари")</f>
        <v>товари</v>
      </c>
      <c r="B3124" s="16" t="str">
        <f>IFERROR(__xludf.DUMMYFUNCTION("""COMPUTED_VALUE"""),"продукти харчування, напої")</f>
        <v>продукти харчування, напої</v>
      </c>
      <c r="C3124" s="16" t="str">
        <f>IFERROR(__xludf.DUMMYFUNCTION("""COMPUTED_VALUE"""),"бакалія")</f>
        <v>бакалія</v>
      </c>
      <c r="D3124" s="16" t="str">
        <f>IFERROR(__xludf.DUMMYFUNCTION("""COMPUTED_VALUE"""),"прянощі, спеції, приправи")</f>
        <v>прянощі, спеції, приправи</v>
      </c>
      <c r="E3124" s="16" t="str">
        <f>IFERROR(__xludf.DUMMYFUNCTION("""COMPUTED_VALUE"""),"прянощі, спеції, приправи")</f>
        <v>прянощі, спеції, приправи</v>
      </c>
      <c r="F3124" s="17">
        <f>IFERROR(__xludf.DUMMYFUNCTION("""COMPUTED_VALUE"""),3.0)</f>
        <v>3</v>
      </c>
      <c r="G3124" s="17" t="str">
        <f>IFERROR(__xludf.DUMMYFUNCTION("""COMPUTED_VALUE"""),"212")</f>
        <v>212</v>
      </c>
      <c r="H3124" s="17" t="str">
        <f>IFERROR(__xludf.DUMMYFUNCTION("""COMPUTED_VALUE"""),"прянощі, спеції, приправи")</f>
        <v>прянощі, спеції, приправи</v>
      </c>
      <c r="I3124" s="19">
        <f>IFERROR(__xludf.DUMMYFUNCTION("""COMPUTED_VALUE"""),0.0738)</f>
        <v>0.0738</v>
      </c>
      <c r="J3124" s="19">
        <f>IFERROR(__xludf.DUMMYFUNCTION("""COMPUTED_VALUE"""),0.1475)</f>
        <v>0.1475</v>
      </c>
      <c r="K3124" s="19">
        <f>IFERROR(__xludf.DUMMYFUNCTION("""COMPUTED_VALUE"""),0.1844)</f>
        <v>0.1844</v>
      </c>
      <c r="L3124" s="19">
        <f>IFERROR(__xludf.DUMMYFUNCTION("""COMPUTED_VALUE"""),0.2213)</f>
        <v>0.2213</v>
      </c>
      <c r="M3124" s="18">
        <f>IFERROR(__xludf.DUMMYFUNCTION("""COMPUTED_VALUE"""),3.15)</f>
        <v>3.15</v>
      </c>
    </row>
    <row r="3125">
      <c r="A3125" s="13" t="str">
        <f>IFERROR(__xludf.DUMMYFUNCTION("""COMPUTED_VALUE"""),"товари")</f>
        <v>товари</v>
      </c>
      <c r="B3125" s="16" t="str">
        <f>IFERROR(__xludf.DUMMYFUNCTION("""COMPUTED_VALUE"""),"продукти харчування, напої")</f>
        <v>продукти харчування, напої</v>
      </c>
      <c r="C3125" s="16" t="str">
        <f>IFERROR(__xludf.DUMMYFUNCTION("""COMPUTED_VALUE"""),"риба і морепродукти")</f>
        <v>риба і морепродукти</v>
      </c>
      <c r="D3125" s="16" t="str">
        <f>IFERROR(__xludf.DUMMYFUNCTION("""COMPUTED_VALUE"""),"риба і морепродукти")</f>
        <v>риба і морепродукти</v>
      </c>
      <c r="E3125" s="16" t="str">
        <f>IFERROR(__xludf.DUMMYFUNCTION("""COMPUTED_VALUE"""),"риба і морепродукти")</f>
        <v>риба і морепродукти</v>
      </c>
      <c r="F3125" s="17">
        <f>IFERROR(__xludf.DUMMYFUNCTION("""COMPUTED_VALUE"""),2.0)</f>
        <v>2</v>
      </c>
      <c r="G3125" s="17" t="str">
        <f>IFERROR(__xludf.DUMMYFUNCTION("""COMPUTED_VALUE"""),"1091203")</f>
        <v>1091203</v>
      </c>
      <c r="H3125" s="17" t="str">
        <f>IFERROR(__xludf.DUMMYFUNCTION("""COMPUTED_VALUE"""),"риба і морепродукти")</f>
        <v>риба і морепродукти</v>
      </c>
      <c r="I3125" s="19">
        <f>IFERROR(__xludf.DUMMYFUNCTION("""COMPUTED_VALUE"""),0.0727)</f>
        <v>0.0727</v>
      </c>
      <c r="J3125" s="19">
        <f>IFERROR(__xludf.DUMMYFUNCTION("""COMPUTED_VALUE"""),0.1453)</f>
        <v>0.1453</v>
      </c>
      <c r="K3125" s="19">
        <f>IFERROR(__xludf.DUMMYFUNCTION("""COMPUTED_VALUE"""),0.1816)</f>
        <v>0.1816</v>
      </c>
      <c r="L3125" s="19">
        <f>IFERROR(__xludf.DUMMYFUNCTION("""COMPUTED_VALUE"""),0.218)</f>
        <v>0.218</v>
      </c>
      <c r="M3125" s="18">
        <f>IFERROR(__xludf.DUMMYFUNCTION("""COMPUTED_VALUE"""),1.53)</f>
        <v>1.53</v>
      </c>
    </row>
    <row r="3126">
      <c r="A3126" s="13" t="str">
        <f>IFERROR(__xludf.DUMMYFUNCTION("""COMPUTED_VALUE"""),"товари")</f>
        <v>товари</v>
      </c>
      <c r="B3126" s="16" t="str">
        <f>IFERROR(__xludf.DUMMYFUNCTION("""COMPUTED_VALUE"""),"продукти харчування, напої")</f>
        <v>продукти харчування, напої</v>
      </c>
      <c r="C3126" s="16" t="str">
        <f>IFERROR(__xludf.DUMMYFUNCTION("""COMPUTED_VALUE"""),"бакалія")</f>
        <v>бакалія</v>
      </c>
      <c r="D3126" s="16" t="str">
        <f>IFERROR(__xludf.DUMMYFUNCTION("""COMPUTED_VALUE"""),"консерви")</f>
        <v>консерви</v>
      </c>
      <c r="E3126" s="16" t="str">
        <f>IFERROR(__xludf.DUMMYFUNCTION("""COMPUTED_VALUE"""),"рибні консерви")</f>
        <v>рибні консерви</v>
      </c>
      <c r="F3126" s="17">
        <f>IFERROR(__xludf.DUMMYFUNCTION("""COMPUTED_VALUE"""),4.0)</f>
        <v>4</v>
      </c>
      <c r="G3126" s="17" t="str">
        <f>IFERROR(__xludf.DUMMYFUNCTION("""COMPUTED_VALUE"""),"21402")</f>
        <v>21402</v>
      </c>
      <c r="H3126" s="17" t="str">
        <f>IFERROR(__xludf.DUMMYFUNCTION("""COMPUTED_VALUE"""),"рибні консерви")</f>
        <v>рибні консерви</v>
      </c>
      <c r="I3126" s="19">
        <f>IFERROR(__xludf.DUMMYFUNCTION("""COMPUTED_VALUE"""),0.0729)</f>
        <v>0.0729</v>
      </c>
      <c r="J3126" s="19">
        <f>IFERROR(__xludf.DUMMYFUNCTION("""COMPUTED_VALUE"""),0.1458)</f>
        <v>0.1458</v>
      </c>
      <c r="K3126" s="19">
        <f>IFERROR(__xludf.DUMMYFUNCTION("""COMPUTED_VALUE"""),0.1823)</f>
        <v>0.1823</v>
      </c>
      <c r="L3126" s="19">
        <f>IFERROR(__xludf.DUMMYFUNCTION("""COMPUTED_VALUE"""),0.2187)</f>
        <v>0.2187</v>
      </c>
      <c r="M3126" s="18">
        <f>IFERROR(__xludf.DUMMYFUNCTION("""COMPUTED_VALUE"""),1.71)</f>
        <v>1.71</v>
      </c>
    </row>
    <row r="3127">
      <c r="A3127" s="13" t="str">
        <f>IFERROR(__xludf.DUMMYFUNCTION("""COMPUTED_VALUE"""),"товари")</f>
        <v>товари</v>
      </c>
      <c r="B3127" s="16" t="str">
        <f>IFERROR(__xludf.DUMMYFUNCTION("""COMPUTED_VALUE"""),"продукти харчування, напої")</f>
        <v>продукти харчування, напої</v>
      </c>
      <c r="C3127" s="16" t="str">
        <f>IFERROR(__xludf.DUMMYFUNCTION("""COMPUTED_VALUE"""),"бакалія")</f>
        <v>бакалія</v>
      </c>
      <c r="D3127" s="16" t="str">
        <f>IFERROR(__xludf.DUMMYFUNCTION("""COMPUTED_VALUE"""),"рослинна олія")</f>
        <v>рослинна олія</v>
      </c>
      <c r="E3127" s="16" t="str">
        <f>IFERROR(__xludf.DUMMYFUNCTION("""COMPUTED_VALUE"""),"рослинна олія")</f>
        <v>рослинна олія</v>
      </c>
      <c r="F3127" s="17">
        <f>IFERROR(__xludf.DUMMYFUNCTION("""COMPUTED_VALUE"""),3.0)</f>
        <v>3</v>
      </c>
      <c r="G3127" s="17" t="str">
        <f>IFERROR(__xludf.DUMMYFUNCTION("""COMPUTED_VALUE"""),"21302")</f>
        <v>21302</v>
      </c>
      <c r="H3127" s="17" t="str">
        <f>IFERROR(__xludf.DUMMYFUNCTION("""COMPUTED_VALUE"""),"рослинна олія")</f>
        <v>рослинна олія</v>
      </c>
      <c r="I3127" s="19">
        <f>IFERROR(__xludf.DUMMYFUNCTION("""COMPUTED_VALUE"""),0.0738)</f>
        <v>0.0738</v>
      </c>
      <c r="J3127" s="19">
        <f>IFERROR(__xludf.DUMMYFUNCTION("""COMPUTED_VALUE"""),0.1475)</f>
        <v>0.1475</v>
      </c>
      <c r="K3127" s="19">
        <f>IFERROR(__xludf.DUMMYFUNCTION("""COMPUTED_VALUE"""),0.1844)</f>
        <v>0.1844</v>
      </c>
      <c r="L3127" s="19">
        <f>IFERROR(__xludf.DUMMYFUNCTION("""COMPUTED_VALUE"""),0.2213)</f>
        <v>0.2213</v>
      </c>
      <c r="M3127" s="18">
        <f>IFERROR(__xludf.DUMMYFUNCTION("""COMPUTED_VALUE"""),2.79)</f>
        <v>2.79</v>
      </c>
    </row>
    <row r="3128">
      <c r="A3128" s="13" t="str">
        <f>IFERROR(__xludf.DUMMYFUNCTION("""COMPUTED_VALUE"""),"товари")</f>
        <v>товари</v>
      </c>
      <c r="B3128" s="16" t="str">
        <f>IFERROR(__xludf.DUMMYFUNCTION("""COMPUTED_VALUE"""),"продукти харчування, напої")</f>
        <v>продукти харчування, напої</v>
      </c>
      <c r="C3128" s="16" t="str">
        <f>IFERROR(__xludf.DUMMYFUNCTION("""COMPUTED_VALUE"""),"веганські і вегетаріанські продукти")</f>
        <v>веганські і вегетаріанські продукти</v>
      </c>
      <c r="D3128" s="16" t="str">
        <f>IFERROR(__xludf.DUMMYFUNCTION("""COMPUTED_VALUE"""),"рослинні молочні продукти")</f>
        <v>рослинні молочні продукти</v>
      </c>
      <c r="E3128" s="16" t="str">
        <f>IFERROR(__xludf.DUMMYFUNCTION("""COMPUTED_VALUE"""),"рослинні молочні продукти")</f>
        <v>рослинні молочні продукти</v>
      </c>
      <c r="F3128" s="17">
        <f>IFERROR(__xludf.DUMMYFUNCTION("""COMPUTED_VALUE"""),3.0)</f>
        <v>3</v>
      </c>
      <c r="G3128" s="17" t="str">
        <f>IFERROR(__xludf.DUMMYFUNCTION("""COMPUTED_VALUE"""),"20412")</f>
        <v>20412</v>
      </c>
      <c r="H3128" s="17" t="str">
        <f>IFERROR(__xludf.DUMMYFUNCTION("""COMPUTED_VALUE"""),"рослинні молочні продукти")</f>
        <v>рослинні молочні продукти</v>
      </c>
      <c r="I3128" s="19">
        <f>IFERROR(__xludf.DUMMYFUNCTION("""COMPUTED_VALUE"""),0.0708)</f>
        <v>0.0708</v>
      </c>
      <c r="J3128" s="19">
        <f>IFERROR(__xludf.DUMMYFUNCTION("""COMPUTED_VALUE"""),0.1416)</f>
        <v>0.1416</v>
      </c>
      <c r="K3128" s="19">
        <f>IFERROR(__xludf.DUMMYFUNCTION("""COMPUTED_VALUE"""),0.177)</f>
        <v>0.177</v>
      </c>
      <c r="L3128" s="19">
        <f>IFERROR(__xludf.DUMMYFUNCTION("""COMPUTED_VALUE"""),0.2124)</f>
        <v>0.2124</v>
      </c>
      <c r="M3128" s="18">
        <f>IFERROR(__xludf.DUMMYFUNCTION("""COMPUTED_VALUE"""),2.34)</f>
        <v>2.34</v>
      </c>
    </row>
    <row r="3129">
      <c r="A3129" s="13" t="str">
        <f>IFERROR(__xludf.DUMMYFUNCTION("""COMPUTED_VALUE"""),"товари")</f>
        <v>товари</v>
      </c>
      <c r="B3129" s="16" t="str">
        <f>IFERROR(__xludf.DUMMYFUNCTION("""COMPUTED_VALUE"""),"продукти харчування, напої")</f>
        <v>продукти харчування, напої</v>
      </c>
      <c r="C3129" s="16" t="str">
        <f>IFERROR(__xludf.DUMMYFUNCTION("""COMPUTED_VALUE"""),"хлібобулочні, кондитерські вироби")</f>
        <v>хлібобулочні, кондитерські вироби</v>
      </c>
      <c r="D3129" s="16" t="str">
        <f>IFERROR(__xludf.DUMMYFUNCTION("""COMPUTED_VALUE"""),"борошняні кондитерські вироби")</f>
        <v>борошняні кондитерські вироби</v>
      </c>
      <c r="E3129" s="16" t="str">
        <f>IFERROR(__xludf.DUMMYFUNCTION("""COMPUTED_VALUE"""),"рулети і круасани")</f>
        <v>рулети і круасани</v>
      </c>
      <c r="F3129" s="17">
        <f>IFERROR(__xludf.DUMMYFUNCTION("""COMPUTED_VALUE"""),4.0)</f>
        <v>4</v>
      </c>
      <c r="G3129" s="17" t="str">
        <f>IFERROR(__xludf.DUMMYFUNCTION("""COMPUTED_VALUE"""),"2181705")</f>
        <v>2181705</v>
      </c>
      <c r="H3129" s="17" t="str">
        <f>IFERROR(__xludf.DUMMYFUNCTION("""COMPUTED_VALUE"""),"рулети і круасани")</f>
        <v>рулети і круасани</v>
      </c>
      <c r="I3129" s="19">
        <f>IFERROR(__xludf.DUMMYFUNCTION("""COMPUTED_VALUE"""),0.0729)</f>
        <v>0.0729</v>
      </c>
      <c r="J3129" s="19">
        <f>IFERROR(__xludf.DUMMYFUNCTION("""COMPUTED_VALUE"""),0.1458)</f>
        <v>0.1458</v>
      </c>
      <c r="K3129" s="19">
        <f>IFERROR(__xludf.DUMMYFUNCTION("""COMPUTED_VALUE"""),0.1823)</f>
        <v>0.1823</v>
      </c>
      <c r="L3129" s="19">
        <f>IFERROR(__xludf.DUMMYFUNCTION("""COMPUTED_VALUE"""),0.2187)</f>
        <v>0.2187</v>
      </c>
      <c r="M3129" s="18">
        <f>IFERROR(__xludf.DUMMYFUNCTION("""COMPUTED_VALUE"""),1.05)</f>
        <v>1.05</v>
      </c>
    </row>
    <row r="3130">
      <c r="A3130" s="20" t="str">
        <f>IFERROR(__xludf.DUMMYFUNCTION("""COMPUTED_VALUE"""),"товари")</f>
        <v>товари</v>
      </c>
      <c r="B3130" s="21" t="str">
        <f>IFERROR(__xludf.DUMMYFUNCTION("""COMPUTED_VALUE"""),"продукти харчування, напої")</f>
        <v>продукти харчування, напої</v>
      </c>
      <c r="C3130" s="21" t="str">
        <f>IFERROR(__xludf.DUMMYFUNCTION("""COMPUTED_VALUE"""),"м'ясо та м'ясна продукція")</f>
        <v>м'ясо та м'ясна продукція</v>
      </c>
      <c r="D3130" s="21" t="str">
        <f>IFERROR(__xludf.DUMMYFUNCTION("""COMPUTED_VALUE"""),"сало")</f>
        <v>сало</v>
      </c>
      <c r="E3130" s="21" t="str">
        <f>IFERROR(__xludf.DUMMYFUNCTION("""COMPUTED_VALUE"""),"сало")</f>
        <v>сало</v>
      </c>
      <c r="F3130" s="22">
        <f>IFERROR(__xludf.DUMMYFUNCTION("""COMPUTED_VALUE"""),3.0)</f>
        <v>3</v>
      </c>
      <c r="G3130" s="22" t="str">
        <f>IFERROR(__xludf.DUMMYFUNCTION("""COMPUTED_VALUE"""),"2110110")</f>
        <v>2110110</v>
      </c>
      <c r="H3130" s="22" t="str">
        <f>IFERROR(__xludf.DUMMYFUNCTION("""COMPUTED_VALUE"""),"сало")</f>
        <v>сало</v>
      </c>
      <c r="I3130" s="19">
        <f>IFERROR(__xludf.DUMMYFUNCTION("""COMPUTED_VALUE"""),0.0539)</f>
        <v>0.0539</v>
      </c>
      <c r="J3130" s="19">
        <f>IFERROR(__xludf.DUMMYFUNCTION("""COMPUTED_VALUE"""),0.1078)</f>
        <v>0.1078</v>
      </c>
      <c r="K3130" s="19">
        <f>IFERROR(__xludf.DUMMYFUNCTION("""COMPUTED_VALUE"""),0.1348)</f>
        <v>0.1348</v>
      </c>
      <c r="L3130" s="19">
        <f>IFERROR(__xludf.DUMMYFUNCTION("""COMPUTED_VALUE"""),0.1617)</f>
        <v>0.1617</v>
      </c>
      <c r="M3130" s="18">
        <f>IFERROR(__xludf.DUMMYFUNCTION("""COMPUTED_VALUE"""),1.05)</f>
        <v>1.05</v>
      </c>
    </row>
    <row r="3131">
      <c r="A3131" s="13" t="str">
        <f>IFERROR(__xludf.DUMMYFUNCTION("""COMPUTED_VALUE"""),"товари")</f>
        <v>товари</v>
      </c>
      <c r="B3131" s="16" t="str">
        <f>IFERROR(__xludf.DUMMYFUNCTION("""COMPUTED_VALUE"""),"продукти харчування, напої")</f>
        <v>продукти харчування, напої</v>
      </c>
      <c r="C3131" s="16" t="str">
        <f>IFERROR(__xludf.DUMMYFUNCTION("""COMPUTED_VALUE"""),"молочні продукти")</f>
        <v>молочні продукти</v>
      </c>
      <c r="D3131" s="16" t="str">
        <f>IFERROR(__xludf.DUMMYFUNCTION("""COMPUTED_VALUE"""),"сири")</f>
        <v>сири</v>
      </c>
      <c r="E3131" s="16" t="str">
        <f>IFERROR(__xludf.DUMMYFUNCTION("""COMPUTED_VALUE"""),"сири")</f>
        <v>сири</v>
      </c>
      <c r="F3131" s="17">
        <f>IFERROR(__xludf.DUMMYFUNCTION("""COMPUTED_VALUE"""),3.0)</f>
        <v>3</v>
      </c>
      <c r="G3131" s="17" t="str">
        <f>IFERROR(__xludf.DUMMYFUNCTION("""COMPUTED_VALUE"""),"20901")</f>
        <v>20901</v>
      </c>
      <c r="H3131" s="17" t="str">
        <f>IFERROR(__xludf.DUMMYFUNCTION("""COMPUTED_VALUE"""),"сири")</f>
        <v>сири</v>
      </c>
      <c r="I3131" s="19">
        <f>IFERROR(__xludf.DUMMYFUNCTION("""COMPUTED_VALUE"""),0.0738)</f>
        <v>0.0738</v>
      </c>
      <c r="J3131" s="19">
        <f>IFERROR(__xludf.DUMMYFUNCTION("""COMPUTED_VALUE"""),0.1475)</f>
        <v>0.1475</v>
      </c>
      <c r="K3131" s="19">
        <f>IFERROR(__xludf.DUMMYFUNCTION("""COMPUTED_VALUE"""),0.1844)</f>
        <v>0.1844</v>
      </c>
      <c r="L3131" s="19">
        <f>IFERROR(__xludf.DUMMYFUNCTION("""COMPUTED_VALUE"""),0.2213)</f>
        <v>0.2213</v>
      </c>
      <c r="M3131" s="18">
        <f>IFERROR(__xludf.DUMMYFUNCTION("""COMPUTED_VALUE"""),2.25)</f>
        <v>2.25</v>
      </c>
    </row>
    <row r="3132">
      <c r="A3132" s="13" t="str">
        <f>IFERROR(__xludf.DUMMYFUNCTION("""COMPUTED_VALUE"""),"товари")</f>
        <v>товари</v>
      </c>
      <c r="B3132" s="16" t="str">
        <f>IFERROR(__xludf.DUMMYFUNCTION("""COMPUTED_VALUE"""),"продукти харчування, напої")</f>
        <v>продукти харчування, напої</v>
      </c>
      <c r="C3132" s="16" t="str">
        <f>IFERROR(__xludf.DUMMYFUNCTION("""COMPUTED_VALUE"""),"бакалія")</f>
        <v>бакалія</v>
      </c>
      <c r="D3132" s="16" t="str">
        <f>IFERROR(__xludf.DUMMYFUNCTION("""COMPUTED_VALUE"""),"харчові інгредієнти")</f>
        <v>харчові інгредієнти</v>
      </c>
      <c r="E3132" s="16" t="str">
        <f>IFERROR(__xludf.DUMMYFUNCTION("""COMPUTED_VALUE"""),"сировина, концентрати для алкогольної продукції")</f>
        <v>сировина, концентрати для алкогольної продукції</v>
      </c>
      <c r="F3132" s="17">
        <f>IFERROR(__xludf.DUMMYFUNCTION("""COMPUTED_VALUE"""),4.0)</f>
        <v>4</v>
      </c>
      <c r="G3132" s="17" t="str">
        <f>IFERROR(__xludf.DUMMYFUNCTION("""COMPUTED_VALUE"""),"20408")</f>
        <v>20408</v>
      </c>
      <c r="H3132" s="17" t="str">
        <f>IFERROR(__xludf.DUMMYFUNCTION("""COMPUTED_VALUE"""),"сировина, концентрати для алкогольної продукції")</f>
        <v>сировина, концентрати для алкогольної продукції</v>
      </c>
      <c r="I3132" s="19">
        <f>IFERROR(__xludf.DUMMYFUNCTION("""COMPUTED_VALUE"""),0.0808)</f>
        <v>0.0808</v>
      </c>
      <c r="J3132" s="19">
        <f>IFERROR(__xludf.DUMMYFUNCTION("""COMPUTED_VALUE"""),0.1615)</f>
        <v>0.1615</v>
      </c>
      <c r="K3132" s="19">
        <f>IFERROR(__xludf.DUMMYFUNCTION("""COMPUTED_VALUE"""),0.2019)</f>
        <v>0.2019</v>
      </c>
      <c r="L3132" s="19">
        <f>IFERROR(__xludf.DUMMYFUNCTION("""COMPUTED_VALUE"""),0.2423)</f>
        <v>0.2423</v>
      </c>
      <c r="M3132" s="18">
        <f>IFERROR(__xludf.DUMMYFUNCTION("""COMPUTED_VALUE"""),3.88)</f>
        <v>3.88</v>
      </c>
    </row>
    <row r="3133">
      <c r="A3133" s="13" t="str">
        <f>IFERROR(__xludf.DUMMYFUNCTION("""COMPUTED_VALUE"""),"товари")</f>
        <v>товари</v>
      </c>
      <c r="B3133" s="16" t="str">
        <f>IFERROR(__xludf.DUMMYFUNCTION("""COMPUTED_VALUE"""),"продукти харчування, напої")</f>
        <v>продукти харчування, напої</v>
      </c>
      <c r="C3133" s="16" t="str">
        <f>IFERROR(__xludf.DUMMYFUNCTION("""COMPUTED_VALUE"""),"бакалія")</f>
        <v>бакалія</v>
      </c>
      <c r="D3133" s="16" t="str">
        <f>IFERROR(__xludf.DUMMYFUNCTION("""COMPUTED_VALUE"""),"харчові інгредієнти")</f>
        <v>харчові інгредієнти</v>
      </c>
      <c r="E3133" s="16" t="str">
        <f>IFERROR(__xludf.DUMMYFUNCTION("""COMPUTED_VALUE"""),"сиропи і топінги")</f>
        <v>сиропи і топінги</v>
      </c>
      <c r="F3133" s="17">
        <f>IFERROR(__xludf.DUMMYFUNCTION("""COMPUTED_VALUE"""),4.0)</f>
        <v>4</v>
      </c>
      <c r="G3133" s="17" t="str">
        <f>IFERROR(__xludf.DUMMYFUNCTION("""COMPUTED_VALUE"""),"23012")</f>
        <v>23012</v>
      </c>
      <c r="H3133" s="17" t="str">
        <f>IFERROR(__xludf.DUMMYFUNCTION("""COMPUTED_VALUE"""),"сиропи і топінги")</f>
        <v>сиропи і топінги</v>
      </c>
      <c r="I3133" s="19">
        <f>IFERROR(__xludf.DUMMYFUNCTION("""COMPUTED_VALUE"""),0.0743)</f>
        <v>0.0743</v>
      </c>
      <c r="J3133" s="19">
        <f>IFERROR(__xludf.DUMMYFUNCTION("""COMPUTED_VALUE"""),0.1485)</f>
        <v>0.1485</v>
      </c>
      <c r="K3133" s="19">
        <f>IFERROR(__xludf.DUMMYFUNCTION("""COMPUTED_VALUE"""),0.1856)</f>
        <v>0.1856</v>
      </c>
      <c r="L3133" s="19">
        <f>IFERROR(__xludf.DUMMYFUNCTION("""COMPUTED_VALUE"""),0.2228)</f>
        <v>0.2228</v>
      </c>
      <c r="M3133" s="18">
        <f>IFERROR(__xludf.DUMMYFUNCTION("""COMPUTED_VALUE"""),3.88)</f>
        <v>3.88</v>
      </c>
    </row>
    <row r="3134">
      <c r="A3134" s="13" t="str">
        <f>IFERROR(__xludf.DUMMYFUNCTION("""COMPUTED_VALUE"""),"товари")</f>
        <v>товари</v>
      </c>
      <c r="B3134" s="16" t="str">
        <f>IFERROR(__xludf.DUMMYFUNCTION("""COMPUTED_VALUE"""),"продукти харчування, напої")</f>
        <v>продукти харчування, напої</v>
      </c>
      <c r="C3134" s="16" t="str">
        <f>IFERROR(__xludf.DUMMYFUNCTION("""COMPUTED_VALUE"""),"напої")</f>
        <v>напої</v>
      </c>
      <c r="D3134" s="16" t="str">
        <f>IFERROR(__xludf.DUMMYFUNCTION("""COMPUTED_VALUE"""),"алкогольні напої")</f>
        <v>алкогольні напої</v>
      </c>
      <c r="E3134" s="16" t="str">
        <f>IFERROR(__xludf.DUMMYFUNCTION("""COMPUTED_VALUE"""),"слабоалкогольні напої")</f>
        <v>слабоалкогольні напої</v>
      </c>
      <c r="F3134" s="17">
        <f>IFERROR(__xludf.DUMMYFUNCTION("""COMPUTED_VALUE"""),4.0)</f>
        <v>4</v>
      </c>
      <c r="G3134" s="17" t="str">
        <f>IFERROR(__xludf.DUMMYFUNCTION("""COMPUTED_VALUE"""),"20407")</f>
        <v>20407</v>
      </c>
      <c r="H3134" s="17" t="str">
        <f>IFERROR(__xludf.DUMMYFUNCTION("""COMPUTED_VALUE"""),"слабоалкогольні напої")</f>
        <v>слабоалкогольні напої</v>
      </c>
      <c r="I3134" s="19">
        <f>IFERROR(__xludf.DUMMYFUNCTION("""COMPUTED_VALUE"""),0.0556)</f>
        <v>0.0556</v>
      </c>
      <c r="J3134" s="19">
        <f>IFERROR(__xludf.DUMMYFUNCTION("""COMPUTED_VALUE"""),0.1111)</f>
        <v>0.1111</v>
      </c>
      <c r="K3134" s="19">
        <f>IFERROR(__xludf.DUMMYFUNCTION("""COMPUTED_VALUE"""),0.1389)</f>
        <v>0.1389</v>
      </c>
      <c r="L3134" s="19">
        <f>IFERROR(__xludf.DUMMYFUNCTION("""COMPUTED_VALUE"""),0.1667)</f>
        <v>0.1667</v>
      </c>
      <c r="M3134" s="18">
        <f>IFERROR(__xludf.DUMMYFUNCTION("""COMPUTED_VALUE"""),1.53)</f>
        <v>1.53</v>
      </c>
    </row>
    <row r="3135">
      <c r="A3135" s="13" t="str">
        <f>IFERROR(__xludf.DUMMYFUNCTION("""COMPUTED_VALUE"""),"товари")</f>
        <v>товари</v>
      </c>
      <c r="B3135" s="16" t="str">
        <f>IFERROR(__xludf.DUMMYFUNCTION("""COMPUTED_VALUE"""),"продукти харчування, напої")</f>
        <v>продукти харчування, напої</v>
      </c>
      <c r="C3135" s="16" t="str">
        <f>IFERROR(__xludf.DUMMYFUNCTION("""COMPUTED_VALUE"""),"молочні продукти")</f>
        <v>молочні продукти</v>
      </c>
      <c r="D3135" s="16" t="str">
        <f>IFERROR(__xludf.DUMMYFUNCTION("""COMPUTED_VALUE"""),"сметана")</f>
        <v>сметана</v>
      </c>
      <c r="E3135" s="16" t="str">
        <f>IFERROR(__xludf.DUMMYFUNCTION("""COMPUTED_VALUE"""),"сметана")</f>
        <v>сметана</v>
      </c>
      <c r="F3135" s="17">
        <f>IFERROR(__xludf.DUMMYFUNCTION("""COMPUTED_VALUE"""),3.0)</f>
        <v>3</v>
      </c>
      <c r="G3135" s="17" t="str">
        <f>IFERROR(__xludf.DUMMYFUNCTION("""COMPUTED_VALUE"""),"20904")</f>
        <v>20904</v>
      </c>
      <c r="H3135" s="17" t="str">
        <f>IFERROR(__xludf.DUMMYFUNCTION("""COMPUTED_VALUE"""),"сметана")</f>
        <v>сметана</v>
      </c>
      <c r="I3135" s="19">
        <f>IFERROR(__xludf.DUMMYFUNCTION("""COMPUTED_VALUE"""),0.0447)</f>
        <v>0.0447</v>
      </c>
      <c r="J3135" s="19">
        <f>IFERROR(__xludf.DUMMYFUNCTION("""COMPUTED_VALUE"""),0.0893)</f>
        <v>0.0893</v>
      </c>
      <c r="K3135" s="19">
        <f>IFERROR(__xludf.DUMMYFUNCTION("""COMPUTED_VALUE"""),0.1116)</f>
        <v>0.1116</v>
      </c>
      <c r="L3135" s="19">
        <f>IFERROR(__xludf.DUMMYFUNCTION("""COMPUTED_VALUE"""),0.134)</f>
        <v>0.134</v>
      </c>
      <c r="M3135" s="18">
        <f>IFERROR(__xludf.DUMMYFUNCTION("""COMPUTED_VALUE"""),1.53)</f>
        <v>1.53</v>
      </c>
    </row>
    <row r="3136">
      <c r="A3136" s="13" t="str">
        <f>IFERROR(__xludf.DUMMYFUNCTION("""COMPUTED_VALUE"""),"товари")</f>
        <v>товари</v>
      </c>
      <c r="B3136" s="16" t="str">
        <f>IFERROR(__xludf.DUMMYFUNCTION("""COMPUTED_VALUE"""),"продукти харчування, напої")</f>
        <v>продукти харчування, напої</v>
      </c>
      <c r="C3136" s="16" t="str">
        <f>IFERROR(__xludf.DUMMYFUNCTION("""COMPUTED_VALUE"""),"бакалія")</f>
        <v>бакалія</v>
      </c>
      <c r="D3136" s="16" t="str">
        <f>IFERROR(__xludf.DUMMYFUNCTION("""COMPUTED_VALUE"""),"снеки")</f>
        <v>снеки</v>
      </c>
      <c r="E3136" s="16" t="str">
        <f>IFERROR(__xludf.DUMMYFUNCTION("""COMPUTED_VALUE"""),"снеки")</f>
        <v>снеки</v>
      </c>
      <c r="F3136" s="17">
        <f>IFERROR(__xludf.DUMMYFUNCTION("""COMPUTED_VALUE"""),3.0)</f>
        <v>3</v>
      </c>
      <c r="G3136" s="17" t="str">
        <f>IFERROR(__xludf.DUMMYFUNCTION("""COMPUTED_VALUE"""),"215")</f>
        <v>215</v>
      </c>
      <c r="H3136" s="17" t="str">
        <f>IFERROR(__xludf.DUMMYFUNCTION("""COMPUTED_VALUE"""),"снеки")</f>
        <v>снеки</v>
      </c>
      <c r="I3136" s="19">
        <f>IFERROR(__xludf.DUMMYFUNCTION("""COMPUTED_VALUE"""),0.0717)</f>
        <v>0.0717</v>
      </c>
      <c r="J3136" s="19">
        <f>IFERROR(__xludf.DUMMYFUNCTION("""COMPUTED_VALUE"""),0.1433)</f>
        <v>0.1433</v>
      </c>
      <c r="K3136" s="19">
        <f>IFERROR(__xludf.DUMMYFUNCTION("""COMPUTED_VALUE"""),0.1791)</f>
        <v>0.1791</v>
      </c>
      <c r="L3136" s="19">
        <f>IFERROR(__xludf.DUMMYFUNCTION("""COMPUTED_VALUE"""),0.215)</f>
        <v>0.215</v>
      </c>
      <c r="M3136" s="18">
        <f>IFERROR(__xludf.DUMMYFUNCTION("""COMPUTED_VALUE"""),1.05)</f>
        <v>1.05</v>
      </c>
    </row>
    <row r="3137">
      <c r="A3137" s="13" t="str">
        <f>IFERROR(__xludf.DUMMYFUNCTION("""COMPUTED_VALUE"""),"товари")</f>
        <v>товари</v>
      </c>
      <c r="B3137" s="16" t="str">
        <f>IFERROR(__xludf.DUMMYFUNCTION("""COMPUTED_VALUE"""),"продукти харчування, напої")</f>
        <v>продукти харчування, напої</v>
      </c>
      <c r="C3137" s="16" t="str">
        <f>IFERROR(__xludf.DUMMYFUNCTION("""COMPUTED_VALUE"""),"бакалія")</f>
        <v>бакалія</v>
      </c>
      <c r="D3137" s="16" t="str">
        <f>IFERROR(__xludf.DUMMYFUNCTION("""COMPUTED_VALUE"""),"соєві продукти")</f>
        <v>соєві продукти</v>
      </c>
      <c r="E3137" s="16" t="str">
        <f>IFERROR(__xludf.DUMMYFUNCTION("""COMPUTED_VALUE"""),"соєві продукти")</f>
        <v>соєві продукти</v>
      </c>
      <c r="F3137" s="17">
        <f>IFERROR(__xludf.DUMMYFUNCTION("""COMPUTED_VALUE"""),3.0)</f>
        <v>3</v>
      </c>
      <c r="G3137" s="17" t="str">
        <f>IFERROR(__xludf.DUMMYFUNCTION("""COMPUTED_VALUE"""),"207")</f>
        <v>207</v>
      </c>
      <c r="H3137" s="17" t="str">
        <f>IFERROR(__xludf.DUMMYFUNCTION("""COMPUTED_VALUE"""),"соєві продукти")</f>
        <v>соєві продукти</v>
      </c>
      <c r="I3137" s="19">
        <f>IFERROR(__xludf.DUMMYFUNCTION("""COMPUTED_VALUE"""),0.0719)</f>
        <v>0.0719</v>
      </c>
      <c r="J3137" s="19">
        <f>IFERROR(__xludf.DUMMYFUNCTION("""COMPUTED_VALUE"""),0.1438)</f>
        <v>0.1438</v>
      </c>
      <c r="K3137" s="19">
        <f>IFERROR(__xludf.DUMMYFUNCTION("""COMPUTED_VALUE"""),0.1798)</f>
        <v>0.1798</v>
      </c>
      <c r="L3137" s="19">
        <f>IFERROR(__xludf.DUMMYFUNCTION("""COMPUTED_VALUE"""),0.2157)</f>
        <v>0.2157</v>
      </c>
      <c r="M3137" s="18">
        <f>IFERROR(__xludf.DUMMYFUNCTION("""COMPUTED_VALUE"""),1.63)</f>
        <v>1.63</v>
      </c>
    </row>
    <row r="3138">
      <c r="A3138" s="13" t="str">
        <f>IFERROR(__xludf.DUMMYFUNCTION("""COMPUTED_VALUE"""),"товари")</f>
        <v>товари</v>
      </c>
      <c r="B3138" s="16" t="str">
        <f>IFERROR(__xludf.DUMMYFUNCTION("""COMPUTED_VALUE"""),"продукти харчування, напої")</f>
        <v>продукти харчування, напої</v>
      </c>
      <c r="C3138" s="16" t="str">
        <f>IFERROR(__xludf.DUMMYFUNCTION("""COMPUTED_VALUE"""),"напої")</f>
        <v>напої</v>
      </c>
      <c r="D3138" s="16" t="str">
        <f>IFERROR(__xludf.DUMMYFUNCTION("""COMPUTED_VALUE"""),"соки та нектари")</f>
        <v>соки та нектари</v>
      </c>
      <c r="E3138" s="16" t="str">
        <f>IFERROR(__xludf.DUMMYFUNCTION("""COMPUTED_VALUE"""),"соки та нектари")</f>
        <v>соки та нектари</v>
      </c>
      <c r="F3138" s="17">
        <f>IFERROR(__xludf.DUMMYFUNCTION("""COMPUTED_VALUE"""),3.0)</f>
        <v>3</v>
      </c>
      <c r="G3138" s="17" t="str">
        <f>IFERROR(__xludf.DUMMYFUNCTION("""COMPUTED_VALUE"""),"20403")</f>
        <v>20403</v>
      </c>
      <c r="H3138" s="17" t="str">
        <f>IFERROR(__xludf.DUMMYFUNCTION("""COMPUTED_VALUE"""),"соки та нектари")</f>
        <v>соки та нектари</v>
      </c>
      <c r="I3138" s="19">
        <f>IFERROR(__xludf.DUMMYFUNCTION("""COMPUTED_VALUE"""),0.0718)</f>
        <v>0.0718</v>
      </c>
      <c r="J3138" s="19">
        <f>IFERROR(__xludf.DUMMYFUNCTION("""COMPUTED_VALUE"""),0.1435)</f>
        <v>0.1435</v>
      </c>
      <c r="K3138" s="19">
        <f>IFERROR(__xludf.DUMMYFUNCTION("""COMPUTED_VALUE"""),0.1794)</f>
        <v>0.1794</v>
      </c>
      <c r="L3138" s="19">
        <f>IFERROR(__xludf.DUMMYFUNCTION("""COMPUTED_VALUE"""),0.2153)</f>
        <v>0.2153</v>
      </c>
      <c r="M3138" s="18">
        <f>IFERROR(__xludf.DUMMYFUNCTION("""COMPUTED_VALUE"""),1.98)</f>
        <v>1.98</v>
      </c>
    </row>
    <row r="3139">
      <c r="A3139" s="13" t="str">
        <f>IFERROR(__xludf.DUMMYFUNCTION("""COMPUTED_VALUE"""),"товари")</f>
        <v>товари</v>
      </c>
      <c r="B3139" s="16" t="str">
        <f>IFERROR(__xludf.DUMMYFUNCTION("""COMPUTED_VALUE"""),"продукти харчування, напої")</f>
        <v>продукти харчування, напої</v>
      </c>
      <c r="C3139" s="16" t="str">
        <f>IFERROR(__xludf.DUMMYFUNCTION("""COMPUTED_VALUE"""),"солодощі")</f>
        <v>солодощі</v>
      </c>
      <c r="D3139" s="16" t="str">
        <f>IFERROR(__xludf.DUMMYFUNCTION("""COMPUTED_VALUE"""),"солодощі, загальне")</f>
        <v>солодощі, загальне</v>
      </c>
      <c r="E3139" s="16" t="str">
        <f>IFERROR(__xludf.DUMMYFUNCTION("""COMPUTED_VALUE"""),"солодощі, загальне")</f>
        <v>солодощі, загальне</v>
      </c>
      <c r="F3139" s="17">
        <f>IFERROR(__xludf.DUMMYFUNCTION("""COMPUTED_VALUE"""),3.0)</f>
        <v>3</v>
      </c>
      <c r="G3139" s="17" t="str">
        <f>IFERROR(__xludf.DUMMYFUNCTION("""COMPUTED_VALUE"""),"24001")</f>
        <v>24001</v>
      </c>
      <c r="H3139" s="17" t="str">
        <f>IFERROR(__xludf.DUMMYFUNCTION("""COMPUTED_VALUE"""),"солодощі, загальне")</f>
        <v>солодощі, загальне</v>
      </c>
      <c r="I3139" s="19">
        <f>IFERROR(__xludf.DUMMYFUNCTION("""COMPUTED_VALUE"""),0.125)</f>
        <v>0.125</v>
      </c>
      <c r="J3139" s="19">
        <f>IFERROR(__xludf.DUMMYFUNCTION("""COMPUTED_VALUE"""),0.25)</f>
        <v>0.25</v>
      </c>
      <c r="K3139" s="19">
        <f>IFERROR(__xludf.DUMMYFUNCTION("""COMPUTED_VALUE"""),0.3125)</f>
        <v>0.3125</v>
      </c>
      <c r="L3139" s="19">
        <f>IFERROR(__xludf.DUMMYFUNCTION("""COMPUTED_VALUE"""),0.375)</f>
        <v>0.375</v>
      </c>
      <c r="M3139" s="18">
        <f>IFERROR(__xludf.DUMMYFUNCTION("""COMPUTED_VALUE"""),4.33)</f>
        <v>4.33</v>
      </c>
    </row>
    <row r="3140">
      <c r="A3140" s="13" t="str">
        <f>IFERROR(__xludf.DUMMYFUNCTION("""COMPUTED_VALUE"""),"товари")</f>
        <v>товари</v>
      </c>
      <c r="B3140" s="16" t="str">
        <f>IFERROR(__xludf.DUMMYFUNCTION("""COMPUTED_VALUE"""),"продукти харчування, напої")</f>
        <v>продукти харчування, напої</v>
      </c>
      <c r="C3140" s="16" t="str">
        <f>IFERROR(__xludf.DUMMYFUNCTION("""COMPUTED_VALUE"""),"м'ясо та м'ясна продукція")</f>
        <v>м'ясо та м'ясна продукція</v>
      </c>
      <c r="D3140" s="16" t="str">
        <f>IFERROR(__xludf.DUMMYFUNCTION("""COMPUTED_VALUE"""),"ковбаси та м'ясні вироби")</f>
        <v>ковбаси та м'ясні вироби</v>
      </c>
      <c r="E3140" s="16" t="str">
        <f>IFERROR(__xludf.DUMMYFUNCTION("""COMPUTED_VALUE"""),"сосиски, сардельки")</f>
        <v>сосиски, сардельки</v>
      </c>
      <c r="F3140" s="17">
        <f>IFERROR(__xludf.DUMMYFUNCTION("""COMPUTED_VALUE"""),4.0)</f>
        <v>4</v>
      </c>
      <c r="G3140" s="17" t="str">
        <f>IFERROR(__xludf.DUMMYFUNCTION("""COMPUTED_VALUE"""),"2110304")</f>
        <v>2110304</v>
      </c>
      <c r="H3140" s="17" t="str">
        <f>IFERROR(__xludf.DUMMYFUNCTION("""COMPUTED_VALUE"""),"сосиски, сардельки")</f>
        <v>сосиски, сардельки</v>
      </c>
      <c r="I3140" s="19">
        <f>IFERROR(__xludf.DUMMYFUNCTION("""COMPUTED_VALUE"""),0.0718)</f>
        <v>0.0718</v>
      </c>
      <c r="J3140" s="19">
        <f>IFERROR(__xludf.DUMMYFUNCTION("""COMPUTED_VALUE"""),0.1436)</f>
        <v>0.1436</v>
      </c>
      <c r="K3140" s="19">
        <f>IFERROR(__xludf.DUMMYFUNCTION("""COMPUTED_VALUE"""),0.1795)</f>
        <v>0.1795</v>
      </c>
      <c r="L3140" s="19">
        <f>IFERROR(__xludf.DUMMYFUNCTION("""COMPUTED_VALUE"""),0.2154)</f>
        <v>0.2154</v>
      </c>
      <c r="M3140" s="18">
        <f>IFERROR(__xludf.DUMMYFUNCTION("""COMPUTED_VALUE"""),1.63)</f>
        <v>1.63</v>
      </c>
    </row>
    <row r="3141">
      <c r="A3141" s="13" t="str">
        <f>IFERROR(__xludf.DUMMYFUNCTION("""COMPUTED_VALUE"""),"товари")</f>
        <v>товари</v>
      </c>
      <c r="B3141" s="16" t="str">
        <f>IFERROR(__xludf.DUMMYFUNCTION("""COMPUTED_VALUE"""),"продукти харчування, напої")</f>
        <v>продукти харчування, напої</v>
      </c>
      <c r="C3141" s="16" t="str">
        <f>IFERROR(__xludf.DUMMYFUNCTION("""COMPUTED_VALUE"""),"бакалія")</f>
        <v>бакалія</v>
      </c>
      <c r="D3141" s="16" t="str">
        <f>IFERROR(__xludf.DUMMYFUNCTION("""COMPUTED_VALUE"""),"соуси і заправки")</f>
        <v>соуси і заправки</v>
      </c>
      <c r="E3141" s="16" t="str">
        <f>IFERROR(__xludf.DUMMYFUNCTION("""COMPUTED_VALUE"""),"соуси і заправки")</f>
        <v>соуси і заправки</v>
      </c>
      <c r="F3141" s="17">
        <f>IFERROR(__xludf.DUMMYFUNCTION("""COMPUTED_VALUE"""),3.0)</f>
        <v>3</v>
      </c>
      <c r="G3141" s="17" t="str">
        <f>IFERROR(__xludf.DUMMYFUNCTION("""COMPUTED_VALUE"""),"23001")</f>
        <v>23001</v>
      </c>
      <c r="H3141" s="17" t="str">
        <f>IFERROR(__xludf.DUMMYFUNCTION("""COMPUTED_VALUE"""),"соуси і заправки")</f>
        <v>соуси і заправки</v>
      </c>
      <c r="I3141" s="19">
        <f>IFERROR(__xludf.DUMMYFUNCTION("""COMPUTED_VALUE"""),0.0743)</f>
        <v>0.0743</v>
      </c>
      <c r="J3141" s="19">
        <f>IFERROR(__xludf.DUMMYFUNCTION("""COMPUTED_VALUE"""),0.1485)</f>
        <v>0.1485</v>
      </c>
      <c r="K3141" s="19">
        <f>IFERROR(__xludf.DUMMYFUNCTION("""COMPUTED_VALUE"""),0.1856)</f>
        <v>0.1856</v>
      </c>
      <c r="L3141" s="19">
        <f>IFERROR(__xludf.DUMMYFUNCTION("""COMPUTED_VALUE"""),0.2228)</f>
        <v>0.2228</v>
      </c>
      <c r="M3141" s="18">
        <f>IFERROR(__xludf.DUMMYFUNCTION("""COMPUTED_VALUE"""),1.71)</f>
        <v>1.71</v>
      </c>
    </row>
    <row r="3142">
      <c r="A3142" s="13" t="str">
        <f>IFERROR(__xludf.DUMMYFUNCTION("""COMPUTED_VALUE"""),"товари")</f>
        <v>товари</v>
      </c>
      <c r="B3142" s="16" t="str">
        <f>IFERROR(__xludf.DUMMYFUNCTION("""COMPUTED_VALUE"""),"продукти харчування, напої")</f>
        <v>продукти харчування, напої</v>
      </c>
      <c r="C3142" s="16" t="str">
        <f>IFERROR(__xludf.DUMMYFUNCTION("""COMPUTED_VALUE"""),"напої")</f>
        <v>напої</v>
      </c>
      <c r="D3142" s="16" t="str">
        <f>IFERROR(__xludf.DUMMYFUNCTION("""COMPUTED_VALUE"""),"алкогольні напої")</f>
        <v>алкогольні напої</v>
      </c>
      <c r="E3142" s="16" t="str">
        <f>IFERROR(__xludf.DUMMYFUNCTION("""COMPUTED_VALUE"""),"столові вина")</f>
        <v>столові вина</v>
      </c>
      <c r="F3142" s="17">
        <f>IFERROR(__xludf.DUMMYFUNCTION("""COMPUTED_VALUE"""),4.0)</f>
        <v>4</v>
      </c>
      <c r="G3142" s="17" t="str">
        <f>IFERROR(__xludf.DUMMYFUNCTION("""COMPUTED_VALUE"""),"2041102")</f>
        <v>2041102</v>
      </c>
      <c r="H3142" s="17" t="str">
        <f>IFERROR(__xludf.DUMMYFUNCTION("""COMPUTED_VALUE"""),"столові вина")</f>
        <v>столові вина</v>
      </c>
      <c r="I3142" s="19">
        <f>IFERROR(__xludf.DUMMYFUNCTION("""COMPUTED_VALUE"""),0.0556)</f>
        <v>0.0556</v>
      </c>
      <c r="J3142" s="19">
        <f>IFERROR(__xludf.DUMMYFUNCTION("""COMPUTED_VALUE"""),0.1111)</f>
        <v>0.1111</v>
      </c>
      <c r="K3142" s="19">
        <f>IFERROR(__xludf.DUMMYFUNCTION("""COMPUTED_VALUE"""),0.1389)</f>
        <v>0.1389</v>
      </c>
      <c r="L3142" s="19">
        <f>IFERROR(__xludf.DUMMYFUNCTION("""COMPUTED_VALUE"""),0.1667)</f>
        <v>0.1667</v>
      </c>
      <c r="M3142" s="18">
        <f>IFERROR(__xludf.DUMMYFUNCTION("""COMPUTED_VALUE"""),1.53)</f>
        <v>1.53</v>
      </c>
    </row>
    <row r="3143">
      <c r="A3143" s="13" t="str">
        <f>IFERROR(__xludf.DUMMYFUNCTION("""COMPUTED_VALUE"""),"товари")</f>
        <v>товари</v>
      </c>
      <c r="B3143" s="16" t="str">
        <f>IFERROR(__xludf.DUMMYFUNCTION("""COMPUTED_VALUE"""),"продукти харчування, напої")</f>
        <v>продукти харчування, напої</v>
      </c>
      <c r="C3143" s="16" t="str">
        <f>IFERROR(__xludf.DUMMYFUNCTION("""COMPUTED_VALUE"""),"бакалія")</f>
        <v>бакалія</v>
      </c>
      <c r="D3143" s="16" t="str">
        <f>IFERROR(__xludf.DUMMYFUNCTION("""COMPUTED_VALUE"""),"сублімована їжа та їжа швидкого приготування")</f>
        <v>сублімована їжа та їжа швидкого приготування</v>
      </c>
      <c r="E3143" s="16" t="str">
        <f>IFERROR(__xludf.DUMMYFUNCTION("""COMPUTED_VALUE"""),"сублімована їжа та їжа швидкого приготування")</f>
        <v>сублімована їжа та їжа швидкого приготування</v>
      </c>
      <c r="F3143" s="17">
        <f>IFERROR(__xludf.DUMMYFUNCTION("""COMPUTED_VALUE"""),3.0)</f>
        <v>3</v>
      </c>
      <c r="G3143" s="17" t="str">
        <f>IFERROR(__xludf.DUMMYFUNCTION("""COMPUTED_VALUE"""),"216")</f>
        <v>216</v>
      </c>
      <c r="H3143" s="17" t="str">
        <f>IFERROR(__xludf.DUMMYFUNCTION("""COMPUTED_VALUE"""),"сублімована їжа та їжа швидкого приготування")</f>
        <v>сублімована їжа та їжа швидкого приготування</v>
      </c>
      <c r="I3143" s="19">
        <f>IFERROR(__xludf.DUMMYFUNCTION("""COMPUTED_VALUE"""),0.0731)</f>
        <v>0.0731</v>
      </c>
      <c r="J3143" s="19">
        <f>IFERROR(__xludf.DUMMYFUNCTION("""COMPUTED_VALUE"""),0.1462)</f>
        <v>0.1462</v>
      </c>
      <c r="K3143" s="19">
        <f>IFERROR(__xludf.DUMMYFUNCTION("""COMPUTED_VALUE"""),0.1828)</f>
        <v>0.1828</v>
      </c>
      <c r="L3143" s="19">
        <f>IFERROR(__xludf.DUMMYFUNCTION("""COMPUTED_VALUE"""),0.2193)</f>
        <v>0.2193</v>
      </c>
      <c r="M3143" s="18">
        <f>IFERROR(__xludf.DUMMYFUNCTION("""COMPUTED_VALUE"""),2.7)</f>
        <v>2.7</v>
      </c>
    </row>
    <row r="3144">
      <c r="A3144" s="13" t="str">
        <f>IFERROR(__xludf.DUMMYFUNCTION("""COMPUTED_VALUE"""),"товари")</f>
        <v>товари</v>
      </c>
      <c r="B3144" s="16" t="str">
        <f>IFERROR(__xludf.DUMMYFUNCTION("""COMPUTED_VALUE"""),"продукти харчування, напої")</f>
        <v>продукти харчування, напої</v>
      </c>
      <c r="C3144" s="16" t="str">
        <f>IFERROR(__xludf.DUMMYFUNCTION("""COMPUTED_VALUE"""),"м'ясо та м'ясна продукція")</f>
        <v>м'ясо та м'ясна продукція</v>
      </c>
      <c r="D3144" s="16" t="str">
        <f>IFERROR(__xludf.DUMMYFUNCTION("""COMPUTED_VALUE"""),"субпродукти")</f>
        <v>субпродукти</v>
      </c>
      <c r="E3144" s="16" t="str">
        <f>IFERROR(__xludf.DUMMYFUNCTION("""COMPUTED_VALUE"""),"субпродукти")</f>
        <v>субпродукти</v>
      </c>
      <c r="F3144" s="17">
        <f>IFERROR(__xludf.DUMMYFUNCTION("""COMPUTED_VALUE"""),3.0)</f>
        <v>3</v>
      </c>
      <c r="G3144" s="17" t="str">
        <f>IFERROR(__xludf.DUMMYFUNCTION("""COMPUTED_VALUE"""),"21102")</f>
        <v>21102</v>
      </c>
      <c r="H3144" s="17" t="str">
        <f>IFERROR(__xludf.DUMMYFUNCTION("""COMPUTED_VALUE"""),"субпродукти")</f>
        <v>субпродукти</v>
      </c>
      <c r="I3144" s="19">
        <f>IFERROR(__xludf.DUMMYFUNCTION("""COMPUTED_VALUE"""),0.0383)</f>
        <v>0.0383</v>
      </c>
      <c r="J3144" s="19">
        <f>IFERROR(__xludf.DUMMYFUNCTION("""COMPUTED_VALUE"""),0.0766)</f>
        <v>0.0766</v>
      </c>
      <c r="K3144" s="19">
        <f>IFERROR(__xludf.DUMMYFUNCTION("""COMPUTED_VALUE"""),0.0958)</f>
        <v>0.0958</v>
      </c>
      <c r="L3144" s="19">
        <f>IFERROR(__xludf.DUMMYFUNCTION("""COMPUTED_VALUE"""),0.1149)</f>
        <v>0.1149</v>
      </c>
      <c r="M3144" s="18">
        <f>IFERROR(__xludf.DUMMYFUNCTION("""COMPUTED_VALUE"""),1.05)</f>
        <v>1.05</v>
      </c>
    </row>
    <row r="3145">
      <c r="A3145" s="13" t="str">
        <f>IFERROR(__xludf.DUMMYFUNCTION("""COMPUTED_VALUE"""),"товари")</f>
        <v>товари</v>
      </c>
      <c r="B3145" s="16" t="str">
        <f>IFERROR(__xludf.DUMMYFUNCTION("""COMPUTED_VALUE"""),"продукти харчування, напої")</f>
        <v>продукти харчування, напої</v>
      </c>
      <c r="C3145" s="16" t="str">
        <f>IFERROR(__xludf.DUMMYFUNCTION("""COMPUTED_VALUE"""),"молочні продукти")</f>
        <v>молочні продукти</v>
      </c>
      <c r="D3145" s="16" t="str">
        <f>IFERROR(__xludf.DUMMYFUNCTION("""COMPUTED_VALUE"""),"сухе молоко, сухі вершки")</f>
        <v>сухе молоко, сухі вершки</v>
      </c>
      <c r="E3145" s="16" t="str">
        <f>IFERROR(__xludf.DUMMYFUNCTION("""COMPUTED_VALUE"""),"сухе молоко, сухі вершки")</f>
        <v>сухе молоко, сухі вершки</v>
      </c>
      <c r="F3145" s="17">
        <f>IFERROR(__xludf.DUMMYFUNCTION("""COMPUTED_VALUE"""),3.0)</f>
        <v>3</v>
      </c>
      <c r="G3145" s="17" t="str">
        <f>IFERROR(__xludf.DUMMYFUNCTION("""COMPUTED_VALUE"""),"20910")</f>
        <v>20910</v>
      </c>
      <c r="H3145" s="17" t="str">
        <f>IFERROR(__xludf.DUMMYFUNCTION("""COMPUTED_VALUE"""),"сухе молоко, сухі вершки")</f>
        <v>сухе молоко, сухі вершки</v>
      </c>
      <c r="I3145" s="19">
        <f>IFERROR(__xludf.DUMMYFUNCTION("""COMPUTED_VALUE"""),0.0725)</f>
        <v>0.0725</v>
      </c>
      <c r="J3145" s="19">
        <f>IFERROR(__xludf.DUMMYFUNCTION("""COMPUTED_VALUE"""),0.145)</f>
        <v>0.145</v>
      </c>
      <c r="K3145" s="19">
        <f>IFERROR(__xludf.DUMMYFUNCTION("""COMPUTED_VALUE"""),0.1813)</f>
        <v>0.1813</v>
      </c>
      <c r="L3145" s="19">
        <f>IFERROR(__xludf.DUMMYFUNCTION("""COMPUTED_VALUE"""),0.2175)</f>
        <v>0.2175</v>
      </c>
      <c r="M3145" s="18">
        <f>IFERROR(__xludf.DUMMYFUNCTION("""COMPUTED_VALUE"""),2.08)</f>
        <v>2.08</v>
      </c>
    </row>
    <row r="3146">
      <c r="A3146" s="13" t="str">
        <f>IFERROR(__xludf.DUMMYFUNCTION("""COMPUTED_VALUE"""),"товари")</f>
        <v>товари</v>
      </c>
      <c r="B3146" s="16" t="str">
        <f>IFERROR(__xludf.DUMMYFUNCTION("""COMPUTED_VALUE"""),"продукти харчування, напої")</f>
        <v>продукти харчування, напої</v>
      </c>
      <c r="C3146" s="16" t="str">
        <f>IFERROR(__xludf.DUMMYFUNCTION("""COMPUTED_VALUE"""),"бакалія")</f>
        <v>бакалія</v>
      </c>
      <c r="D3146" s="16" t="str">
        <f>IFERROR(__xludf.DUMMYFUNCTION("""COMPUTED_VALUE"""),"сухі пайки")</f>
        <v>сухі пайки</v>
      </c>
      <c r="E3146" s="16" t="str">
        <f>IFERROR(__xludf.DUMMYFUNCTION("""COMPUTED_VALUE"""),"сухі пайки")</f>
        <v>сухі пайки</v>
      </c>
      <c r="F3146" s="17">
        <f>IFERROR(__xludf.DUMMYFUNCTION("""COMPUTED_VALUE"""),3.0)</f>
        <v>3</v>
      </c>
      <c r="G3146" s="17" t="str">
        <f>IFERROR(__xludf.DUMMYFUNCTION("""COMPUTED_VALUE"""),"23507")</f>
        <v>23507</v>
      </c>
      <c r="H3146" s="17" t="str">
        <f>IFERROR(__xludf.DUMMYFUNCTION("""COMPUTED_VALUE"""),"сухі пайки")</f>
        <v>сухі пайки</v>
      </c>
      <c r="I3146" s="19">
        <f>IFERROR(__xludf.DUMMYFUNCTION("""COMPUTED_VALUE"""),0.0719)</f>
        <v>0.0719</v>
      </c>
      <c r="J3146" s="19">
        <f>IFERROR(__xludf.DUMMYFUNCTION("""COMPUTED_VALUE"""),0.1438)</f>
        <v>0.1438</v>
      </c>
      <c r="K3146" s="19">
        <f>IFERROR(__xludf.DUMMYFUNCTION("""COMPUTED_VALUE"""),0.1798)</f>
        <v>0.1798</v>
      </c>
      <c r="L3146" s="19">
        <f>IFERROR(__xludf.DUMMYFUNCTION("""COMPUTED_VALUE"""),0.2157)</f>
        <v>0.2157</v>
      </c>
      <c r="M3146" s="18">
        <f>IFERROR(__xludf.DUMMYFUNCTION("""COMPUTED_VALUE"""),1.05)</f>
        <v>1.05</v>
      </c>
    </row>
    <row r="3147">
      <c r="A3147" s="13" t="str">
        <f>IFERROR(__xludf.DUMMYFUNCTION("""COMPUTED_VALUE"""),"товари")</f>
        <v>товари</v>
      </c>
      <c r="B3147" s="16" t="str">
        <f>IFERROR(__xludf.DUMMYFUNCTION("""COMPUTED_VALUE"""),"продукти харчування, напої")</f>
        <v>продукти харчування, напої</v>
      </c>
      <c r="C3147" s="16" t="str">
        <f>IFERROR(__xludf.DUMMYFUNCTION("""COMPUTED_VALUE"""),"бакалія")</f>
        <v>бакалія</v>
      </c>
      <c r="D3147" s="16" t="str">
        <f>IFERROR(__xludf.DUMMYFUNCTION("""COMPUTED_VALUE"""),"сухі сніданки")</f>
        <v>сухі сніданки</v>
      </c>
      <c r="E3147" s="16" t="str">
        <f>IFERROR(__xludf.DUMMYFUNCTION("""COMPUTED_VALUE"""),"сухі сніданки")</f>
        <v>сухі сніданки</v>
      </c>
      <c r="F3147" s="17">
        <f>IFERROR(__xludf.DUMMYFUNCTION("""COMPUTED_VALUE"""),3.0)</f>
        <v>3</v>
      </c>
      <c r="G3147" s="17" t="str">
        <f>IFERROR(__xludf.DUMMYFUNCTION("""COMPUTED_VALUE"""),"224")</f>
        <v>224</v>
      </c>
      <c r="H3147" s="17" t="str">
        <f>IFERROR(__xludf.DUMMYFUNCTION("""COMPUTED_VALUE"""),"сухі сніданки")</f>
        <v>сухі сніданки</v>
      </c>
      <c r="I3147" s="19">
        <f>IFERROR(__xludf.DUMMYFUNCTION("""COMPUTED_VALUE"""),0.0735)</f>
        <v>0.0735</v>
      </c>
      <c r="J3147" s="19">
        <f>IFERROR(__xludf.DUMMYFUNCTION("""COMPUTED_VALUE"""),0.147)</f>
        <v>0.147</v>
      </c>
      <c r="K3147" s="19">
        <f>IFERROR(__xludf.DUMMYFUNCTION("""COMPUTED_VALUE"""),0.1838)</f>
        <v>0.1838</v>
      </c>
      <c r="L3147" s="19">
        <f>IFERROR(__xludf.DUMMYFUNCTION("""COMPUTED_VALUE"""),0.2205)</f>
        <v>0.2205</v>
      </c>
      <c r="M3147" s="18">
        <f>IFERROR(__xludf.DUMMYFUNCTION("""COMPUTED_VALUE"""),2.53)</f>
        <v>2.53</v>
      </c>
    </row>
    <row r="3148">
      <c r="A3148" s="13" t="str">
        <f>IFERROR(__xludf.DUMMYFUNCTION("""COMPUTED_VALUE"""),"товари")</f>
        <v>товари</v>
      </c>
      <c r="B3148" s="16" t="str">
        <f>IFERROR(__xludf.DUMMYFUNCTION("""COMPUTED_VALUE"""),"продукти харчування, напої")</f>
        <v>продукти харчування, напої</v>
      </c>
      <c r="C3148" s="16" t="str">
        <f>IFERROR(__xludf.DUMMYFUNCTION("""COMPUTED_VALUE"""),"бакалія")</f>
        <v>бакалія</v>
      </c>
      <c r="D3148" s="16" t="str">
        <f>IFERROR(__xludf.DUMMYFUNCTION("""COMPUTED_VALUE"""),"харчові інгредієнти")</f>
        <v>харчові інгредієнти</v>
      </c>
      <c r="E3148" s="16" t="str">
        <f>IFERROR(__xludf.DUMMYFUNCTION("""COMPUTED_VALUE"""),"сухі суміші для сиру, морозива")</f>
        <v>сухі суміші для сиру, морозива</v>
      </c>
      <c r="F3148" s="17">
        <f>IFERROR(__xludf.DUMMYFUNCTION("""COMPUTED_VALUE"""),4.0)</f>
        <v>4</v>
      </c>
      <c r="G3148" s="17" t="str">
        <f>IFERROR(__xludf.DUMMYFUNCTION("""COMPUTED_VALUE"""),"81908")</f>
        <v>81908</v>
      </c>
      <c r="H3148" s="17" t="str">
        <f>IFERROR(__xludf.DUMMYFUNCTION("""COMPUTED_VALUE"""),"сухі суміші для сиру, морозива")</f>
        <v>сухі суміші для сиру, морозива</v>
      </c>
      <c r="I3148" s="19">
        <f>IFERROR(__xludf.DUMMYFUNCTION("""COMPUTED_VALUE"""),0.0743)</f>
        <v>0.0743</v>
      </c>
      <c r="J3148" s="19">
        <f>IFERROR(__xludf.DUMMYFUNCTION("""COMPUTED_VALUE"""),0.1485)</f>
        <v>0.1485</v>
      </c>
      <c r="K3148" s="19">
        <f>IFERROR(__xludf.DUMMYFUNCTION("""COMPUTED_VALUE"""),0.1856)</f>
        <v>0.1856</v>
      </c>
      <c r="L3148" s="19">
        <f>IFERROR(__xludf.DUMMYFUNCTION("""COMPUTED_VALUE"""),0.2228)</f>
        <v>0.2228</v>
      </c>
      <c r="M3148" s="18">
        <f>IFERROR(__xludf.DUMMYFUNCTION("""COMPUTED_VALUE"""),3.88)</f>
        <v>3.88</v>
      </c>
    </row>
    <row r="3149">
      <c r="A3149" s="13" t="str">
        <f>IFERROR(__xludf.DUMMYFUNCTION("""COMPUTED_VALUE"""),"товари")</f>
        <v>товари</v>
      </c>
      <c r="B3149" s="16" t="str">
        <f>IFERROR(__xludf.DUMMYFUNCTION("""COMPUTED_VALUE"""),"продукти харчування, напої")</f>
        <v>продукти харчування, напої</v>
      </c>
      <c r="C3149" s="16" t="str">
        <f>IFERROR(__xludf.DUMMYFUNCTION("""COMPUTED_VALUE"""),"овочі, фрукти, ягоди, гриби")</f>
        <v>овочі, фрукти, ягоди, гриби</v>
      </c>
      <c r="D3149" s="16" t="str">
        <f>IFERROR(__xludf.DUMMYFUNCTION("""COMPUTED_VALUE"""),"сушені та в'ялені овочі")</f>
        <v>сушені та в'ялені овочі</v>
      </c>
      <c r="E3149" s="16" t="str">
        <f>IFERROR(__xludf.DUMMYFUNCTION("""COMPUTED_VALUE"""),"сушені та в'ялені овочі")</f>
        <v>сушені та в'ялені овочі</v>
      </c>
      <c r="F3149" s="17">
        <f>IFERROR(__xludf.DUMMYFUNCTION("""COMPUTED_VALUE"""),3.0)</f>
        <v>3</v>
      </c>
      <c r="G3149" s="17" t="str">
        <f>IFERROR(__xludf.DUMMYFUNCTION("""COMPUTED_VALUE"""),"23402")</f>
        <v>23402</v>
      </c>
      <c r="H3149" s="17" t="str">
        <f>IFERROR(__xludf.DUMMYFUNCTION("""COMPUTED_VALUE"""),"сушені та в'ялені овочі")</f>
        <v>сушені та в'ялені овочі</v>
      </c>
      <c r="I3149" s="19">
        <f>IFERROR(__xludf.DUMMYFUNCTION("""COMPUTED_VALUE"""),0.0704)</f>
        <v>0.0704</v>
      </c>
      <c r="J3149" s="19">
        <f>IFERROR(__xludf.DUMMYFUNCTION("""COMPUTED_VALUE"""),0.1407)</f>
        <v>0.1407</v>
      </c>
      <c r="K3149" s="19">
        <f>IFERROR(__xludf.DUMMYFUNCTION("""COMPUTED_VALUE"""),0.1759)</f>
        <v>0.1759</v>
      </c>
      <c r="L3149" s="19">
        <f>IFERROR(__xludf.DUMMYFUNCTION("""COMPUTED_VALUE"""),0.2111)</f>
        <v>0.2111</v>
      </c>
      <c r="M3149" s="18">
        <f>IFERROR(__xludf.DUMMYFUNCTION("""COMPUTED_VALUE"""),2.34)</f>
        <v>2.34</v>
      </c>
    </row>
    <row r="3150">
      <c r="A3150" s="13" t="str">
        <f>IFERROR(__xludf.DUMMYFUNCTION("""COMPUTED_VALUE"""),"товари")</f>
        <v>товари</v>
      </c>
      <c r="B3150" s="16" t="str">
        <f>IFERROR(__xludf.DUMMYFUNCTION("""COMPUTED_VALUE"""),"продукти харчування, напої")</f>
        <v>продукти харчування, напої</v>
      </c>
      <c r="C3150" s="16" t="str">
        <f>IFERROR(__xludf.DUMMYFUNCTION("""COMPUTED_VALUE"""),"солодощі")</f>
        <v>солодощі</v>
      </c>
      <c r="D3150" s="16" t="str">
        <f>IFERROR(__xludf.DUMMYFUNCTION("""COMPUTED_VALUE"""),"східні солодощі")</f>
        <v>східні солодощі</v>
      </c>
      <c r="E3150" s="16" t="str">
        <f>IFERROR(__xludf.DUMMYFUNCTION("""COMPUTED_VALUE"""),"східні солодощі")</f>
        <v>східні солодощі</v>
      </c>
      <c r="F3150" s="17">
        <f>IFERROR(__xludf.DUMMYFUNCTION("""COMPUTED_VALUE"""),3.0)</f>
        <v>3</v>
      </c>
      <c r="G3150" s="17" t="str">
        <f>IFERROR(__xludf.DUMMYFUNCTION("""COMPUTED_VALUE"""),"2181405")</f>
        <v>2181405</v>
      </c>
      <c r="H3150" s="17" t="str">
        <f>IFERROR(__xludf.DUMMYFUNCTION("""COMPUTED_VALUE"""),"східні солодощі")</f>
        <v>східні солодощі</v>
      </c>
      <c r="I3150" s="19">
        <f>IFERROR(__xludf.DUMMYFUNCTION("""COMPUTED_VALUE"""),0.0717)</f>
        <v>0.0717</v>
      </c>
      <c r="J3150" s="19">
        <f>IFERROR(__xludf.DUMMYFUNCTION("""COMPUTED_VALUE"""),0.1433)</f>
        <v>0.1433</v>
      </c>
      <c r="K3150" s="19">
        <f>IFERROR(__xludf.DUMMYFUNCTION("""COMPUTED_VALUE"""),0.1791)</f>
        <v>0.1791</v>
      </c>
      <c r="L3150" s="19">
        <f>IFERROR(__xludf.DUMMYFUNCTION("""COMPUTED_VALUE"""),0.215)</f>
        <v>0.215</v>
      </c>
      <c r="M3150" s="18">
        <f>IFERROR(__xludf.DUMMYFUNCTION("""COMPUTED_VALUE"""),1.05)</f>
        <v>1.05</v>
      </c>
    </row>
    <row r="3151">
      <c r="A3151" s="13" t="str">
        <f>IFERROR(__xludf.DUMMYFUNCTION("""COMPUTED_VALUE"""),"товари")</f>
        <v>товари</v>
      </c>
      <c r="B3151" s="16" t="str">
        <f>IFERROR(__xludf.DUMMYFUNCTION("""COMPUTED_VALUE"""),"продукти харчування, напої")</f>
        <v>продукти харчування, напої</v>
      </c>
      <c r="C3151" s="16" t="str">
        <f>IFERROR(__xludf.DUMMYFUNCTION("""COMPUTED_VALUE"""),"хлібобулочні, кондитерські вироби")</f>
        <v>хлібобулочні, кондитерські вироби</v>
      </c>
      <c r="D3151" s="16" t="str">
        <f>IFERROR(__xludf.DUMMYFUNCTION("""COMPUTED_VALUE"""),"борошняні кондитерські вироби")</f>
        <v>борошняні кондитерські вироби</v>
      </c>
      <c r="E3151" s="16" t="str">
        <f>IFERROR(__xludf.DUMMYFUNCTION("""COMPUTED_VALUE"""),"тістечка, мафіни, кекси")</f>
        <v>тістечка, мафіни, кекси</v>
      </c>
      <c r="F3151" s="17">
        <f>IFERROR(__xludf.DUMMYFUNCTION("""COMPUTED_VALUE"""),4.0)</f>
        <v>4</v>
      </c>
      <c r="G3151" s="17" t="str">
        <f>IFERROR(__xludf.DUMMYFUNCTION("""COMPUTED_VALUE"""),"2181704")</f>
        <v>2181704</v>
      </c>
      <c r="H3151" s="17" t="str">
        <f>IFERROR(__xludf.DUMMYFUNCTION("""COMPUTED_VALUE"""),"тістечка, мафіни, кекси")</f>
        <v>тістечка, мафіни, кекси</v>
      </c>
      <c r="I3151" s="19">
        <f>IFERROR(__xludf.DUMMYFUNCTION("""COMPUTED_VALUE"""),0.0729)</f>
        <v>0.0729</v>
      </c>
      <c r="J3151" s="19">
        <f>IFERROR(__xludf.DUMMYFUNCTION("""COMPUTED_VALUE"""),0.1458)</f>
        <v>0.1458</v>
      </c>
      <c r="K3151" s="19">
        <f>IFERROR(__xludf.DUMMYFUNCTION("""COMPUTED_VALUE"""),0.1823)</f>
        <v>0.1823</v>
      </c>
      <c r="L3151" s="19">
        <f>IFERROR(__xludf.DUMMYFUNCTION("""COMPUTED_VALUE"""),0.2187)</f>
        <v>0.2187</v>
      </c>
      <c r="M3151" s="18">
        <f>IFERROR(__xludf.DUMMYFUNCTION("""COMPUTED_VALUE"""),1.05)</f>
        <v>1.05</v>
      </c>
    </row>
    <row r="3152">
      <c r="A3152" s="13" t="str">
        <f>IFERROR(__xludf.DUMMYFUNCTION("""COMPUTED_VALUE"""),"товари")</f>
        <v>товари</v>
      </c>
      <c r="B3152" s="16" t="str">
        <f>IFERROR(__xludf.DUMMYFUNCTION("""COMPUTED_VALUE"""),"продукти харчування, напої")</f>
        <v>продукти харчування, напої</v>
      </c>
      <c r="C3152" s="16" t="str">
        <f>IFERROR(__xludf.DUMMYFUNCTION("""COMPUTED_VALUE"""),"хлібобулочні, кондитерські вироби")</f>
        <v>хлібобулочні, кондитерські вироби</v>
      </c>
      <c r="D3152" s="16" t="str">
        <f>IFERROR(__xludf.DUMMYFUNCTION("""COMPUTED_VALUE"""),"борошняні кондитерські вироби")</f>
        <v>борошняні кондитерські вироби</v>
      </c>
      <c r="E3152" s="16" t="str">
        <f>IFERROR(__xludf.DUMMYFUNCTION("""COMPUTED_VALUE"""),"торти і пироги")</f>
        <v>торти і пироги</v>
      </c>
      <c r="F3152" s="17">
        <f>IFERROR(__xludf.DUMMYFUNCTION("""COMPUTED_VALUE"""),4.0)</f>
        <v>4</v>
      </c>
      <c r="G3152" s="17" t="str">
        <f>IFERROR(__xludf.DUMMYFUNCTION("""COMPUTED_VALUE"""),"2181702")</f>
        <v>2181702</v>
      </c>
      <c r="H3152" s="17" t="str">
        <f>IFERROR(__xludf.DUMMYFUNCTION("""COMPUTED_VALUE"""),"торти і пироги")</f>
        <v>торти і пироги</v>
      </c>
      <c r="I3152" s="19">
        <f>IFERROR(__xludf.DUMMYFUNCTION("""COMPUTED_VALUE"""),0.0729)</f>
        <v>0.0729</v>
      </c>
      <c r="J3152" s="19">
        <f>IFERROR(__xludf.DUMMYFUNCTION("""COMPUTED_VALUE"""),0.1458)</f>
        <v>0.1458</v>
      </c>
      <c r="K3152" s="19">
        <f>IFERROR(__xludf.DUMMYFUNCTION("""COMPUTED_VALUE"""),0.1823)</f>
        <v>0.1823</v>
      </c>
      <c r="L3152" s="19">
        <f>IFERROR(__xludf.DUMMYFUNCTION("""COMPUTED_VALUE"""),0.2187)</f>
        <v>0.2187</v>
      </c>
      <c r="M3152" s="18">
        <f>IFERROR(__xludf.DUMMYFUNCTION("""COMPUTED_VALUE"""),1.05)</f>
        <v>1.05</v>
      </c>
    </row>
    <row r="3153">
      <c r="A3153" s="13" t="str">
        <f>IFERROR(__xludf.DUMMYFUNCTION("""COMPUTED_VALUE"""),"товари")</f>
        <v>товари</v>
      </c>
      <c r="B3153" s="16" t="str">
        <f>IFERROR(__xludf.DUMMYFUNCTION("""COMPUTED_VALUE"""),"продукти харчування, напої")</f>
        <v>продукти харчування, напої</v>
      </c>
      <c r="C3153" s="16" t="str">
        <f>IFERROR(__xludf.DUMMYFUNCTION("""COMPUTED_VALUE"""),"овочі, фрукти, ягоди, гриби")</f>
        <v>овочі, фрукти, ягоди, гриби</v>
      </c>
      <c r="D3153" s="16" t="str">
        <f>IFERROR(__xludf.DUMMYFUNCTION("""COMPUTED_VALUE"""),"фрукти та ягоди")</f>
        <v>фрукти та ягоди</v>
      </c>
      <c r="E3153" s="16" t="str">
        <f>IFERROR(__xludf.DUMMYFUNCTION("""COMPUTED_VALUE"""),"фрукти та ягоди")</f>
        <v>фрукти та ягоди</v>
      </c>
      <c r="F3153" s="17">
        <f>IFERROR(__xludf.DUMMYFUNCTION("""COMPUTED_VALUE"""),3.0)</f>
        <v>3</v>
      </c>
      <c r="G3153" s="17" t="str">
        <f>IFERROR(__xludf.DUMMYFUNCTION("""COMPUTED_VALUE"""),"228")</f>
        <v>228</v>
      </c>
      <c r="H3153" s="17" t="str">
        <f>IFERROR(__xludf.DUMMYFUNCTION("""COMPUTED_VALUE"""),"фрукти та ягоди")</f>
        <v>фрукти та ягоди</v>
      </c>
      <c r="I3153" s="19">
        <f>IFERROR(__xludf.DUMMYFUNCTION("""COMPUTED_VALUE"""),0.0733)</f>
        <v>0.0733</v>
      </c>
      <c r="J3153" s="19">
        <f>IFERROR(__xludf.DUMMYFUNCTION("""COMPUTED_VALUE"""),0.1465)</f>
        <v>0.1465</v>
      </c>
      <c r="K3153" s="19">
        <f>IFERROR(__xludf.DUMMYFUNCTION("""COMPUTED_VALUE"""),0.1831)</f>
        <v>0.1831</v>
      </c>
      <c r="L3153" s="19">
        <f>IFERROR(__xludf.DUMMYFUNCTION("""COMPUTED_VALUE"""),0.2198)</f>
        <v>0.2198</v>
      </c>
      <c r="M3153" s="18">
        <f>IFERROR(__xludf.DUMMYFUNCTION("""COMPUTED_VALUE"""),2.25)</f>
        <v>2.25</v>
      </c>
    </row>
    <row r="3154">
      <c r="A3154" s="13" t="str">
        <f>IFERROR(__xludf.DUMMYFUNCTION("""COMPUTED_VALUE"""),"товари")</f>
        <v>товари</v>
      </c>
      <c r="B3154" s="16" t="str">
        <f>IFERROR(__xludf.DUMMYFUNCTION("""COMPUTED_VALUE"""),"продукти харчування, напої")</f>
        <v>продукти харчування, напої</v>
      </c>
      <c r="C3154" s="16" t="str">
        <f>IFERROR(__xludf.DUMMYFUNCTION("""COMPUTED_VALUE"""),"бакалія")</f>
        <v>бакалія</v>
      </c>
      <c r="D3154" s="16" t="str">
        <f>IFERROR(__xludf.DUMMYFUNCTION("""COMPUTED_VALUE"""),"харчові інгредієнти")</f>
        <v>харчові інгредієнти</v>
      </c>
      <c r="E3154" s="16" t="str">
        <f>IFERROR(__xludf.DUMMYFUNCTION("""COMPUTED_VALUE"""),"фруктові концентрати")</f>
        <v>фруктові концентрати</v>
      </c>
      <c r="F3154" s="17">
        <f>IFERROR(__xludf.DUMMYFUNCTION("""COMPUTED_VALUE"""),4.0)</f>
        <v>4</v>
      </c>
      <c r="G3154" s="17" t="str">
        <f>IFERROR(__xludf.DUMMYFUNCTION("""COMPUTED_VALUE"""),"81912")</f>
        <v>81912</v>
      </c>
      <c r="H3154" s="17" t="str">
        <f>IFERROR(__xludf.DUMMYFUNCTION("""COMPUTED_VALUE"""),"фруктові концентрати")</f>
        <v>фруктові концентрати</v>
      </c>
      <c r="I3154" s="19">
        <f>IFERROR(__xludf.DUMMYFUNCTION("""COMPUTED_VALUE"""),0.0743)</f>
        <v>0.0743</v>
      </c>
      <c r="J3154" s="19">
        <f>IFERROR(__xludf.DUMMYFUNCTION("""COMPUTED_VALUE"""),0.1485)</f>
        <v>0.1485</v>
      </c>
      <c r="K3154" s="19">
        <f>IFERROR(__xludf.DUMMYFUNCTION("""COMPUTED_VALUE"""),0.1856)</f>
        <v>0.1856</v>
      </c>
      <c r="L3154" s="19">
        <f>IFERROR(__xludf.DUMMYFUNCTION("""COMPUTED_VALUE"""),0.2228)</f>
        <v>0.2228</v>
      </c>
      <c r="M3154" s="18">
        <f>IFERROR(__xludf.DUMMYFUNCTION("""COMPUTED_VALUE"""),3.88)</f>
        <v>3.88</v>
      </c>
    </row>
    <row r="3155">
      <c r="A3155" s="13" t="str">
        <f>IFERROR(__xludf.DUMMYFUNCTION("""COMPUTED_VALUE"""),"товари")</f>
        <v>товари</v>
      </c>
      <c r="B3155" s="16" t="str">
        <f>IFERROR(__xludf.DUMMYFUNCTION("""COMPUTED_VALUE"""),"продукти харчування, напої")</f>
        <v>продукти харчування, напої</v>
      </c>
      <c r="C3155" s="16" t="str">
        <f>IFERROR(__xludf.DUMMYFUNCTION("""COMPUTED_VALUE"""),"бакалія")</f>
        <v>бакалія</v>
      </c>
      <c r="D3155" s="16" t="str">
        <f>IFERROR(__xludf.DUMMYFUNCTION("""COMPUTED_VALUE"""),"харчова сіль")</f>
        <v>харчова сіль</v>
      </c>
      <c r="E3155" s="16" t="str">
        <f>IFERROR(__xludf.DUMMYFUNCTION("""COMPUTED_VALUE"""),"харчова сіль")</f>
        <v>харчова сіль</v>
      </c>
      <c r="F3155" s="17">
        <f>IFERROR(__xludf.DUMMYFUNCTION("""COMPUTED_VALUE"""),3.0)</f>
        <v>3</v>
      </c>
      <c r="G3155" s="17">
        <f>IFERROR(__xludf.DUMMYFUNCTION("""COMPUTED_VALUE"""),23006.0)</f>
        <v>23006</v>
      </c>
      <c r="H3155" s="17" t="str">
        <f>IFERROR(__xludf.DUMMYFUNCTION("""COMPUTED_VALUE"""),"харчова сіль")</f>
        <v>харчова сіль</v>
      </c>
      <c r="I3155" s="19">
        <f>IFERROR(__xludf.DUMMYFUNCTION("""COMPUTED_VALUE"""),0.0743)</f>
        <v>0.0743</v>
      </c>
      <c r="J3155" s="19">
        <f>IFERROR(__xludf.DUMMYFUNCTION("""COMPUTED_VALUE"""),0.1485)</f>
        <v>0.1485</v>
      </c>
      <c r="K3155" s="19">
        <f>IFERROR(__xludf.DUMMYFUNCTION("""COMPUTED_VALUE"""),0.1856)</f>
        <v>0.1856</v>
      </c>
      <c r="L3155" s="19">
        <f>IFERROR(__xludf.DUMMYFUNCTION("""COMPUTED_VALUE"""),0.2228)</f>
        <v>0.2228</v>
      </c>
      <c r="M3155" s="18">
        <f>IFERROR(__xludf.DUMMYFUNCTION("""COMPUTED_VALUE"""),1.53)</f>
        <v>1.53</v>
      </c>
    </row>
    <row r="3156">
      <c r="A3156" s="13" t="str">
        <f>IFERROR(__xludf.DUMMYFUNCTION("""COMPUTED_VALUE"""),"товари")</f>
        <v>товари</v>
      </c>
      <c r="B3156" s="16" t="str">
        <f>IFERROR(__xludf.DUMMYFUNCTION("""COMPUTED_VALUE"""),"продукти харчування, напої")</f>
        <v>продукти харчування, напої</v>
      </c>
      <c r="C3156" s="16" t="str">
        <f>IFERROR(__xludf.DUMMYFUNCTION("""COMPUTED_VALUE"""),"бакалія")</f>
        <v>бакалія</v>
      </c>
      <c r="D3156" s="16" t="str">
        <f>IFERROR(__xludf.DUMMYFUNCTION("""COMPUTED_VALUE"""),"харчова сода")</f>
        <v>харчова сода</v>
      </c>
      <c r="E3156" s="16" t="str">
        <f>IFERROR(__xludf.DUMMYFUNCTION("""COMPUTED_VALUE"""),"харчова сода")</f>
        <v>харчова сода</v>
      </c>
      <c r="F3156" s="17">
        <f>IFERROR(__xludf.DUMMYFUNCTION("""COMPUTED_VALUE"""),3.0)</f>
        <v>3</v>
      </c>
      <c r="G3156" s="17" t="str">
        <f>IFERROR(__xludf.DUMMYFUNCTION("""COMPUTED_VALUE"""),"23014")</f>
        <v>23014</v>
      </c>
      <c r="H3156" s="17" t="str">
        <f>IFERROR(__xludf.DUMMYFUNCTION("""COMPUTED_VALUE"""),"харчова сода")</f>
        <v>харчова сода</v>
      </c>
      <c r="I3156" s="19">
        <f>IFERROR(__xludf.DUMMYFUNCTION("""COMPUTED_VALUE"""),0.0754)</f>
        <v>0.0754</v>
      </c>
      <c r="J3156" s="19">
        <f>IFERROR(__xludf.DUMMYFUNCTION("""COMPUTED_VALUE"""),0.1507)</f>
        <v>0.1507</v>
      </c>
      <c r="K3156" s="19">
        <f>IFERROR(__xludf.DUMMYFUNCTION("""COMPUTED_VALUE"""),0.1884)</f>
        <v>0.1884</v>
      </c>
      <c r="L3156" s="19">
        <f>IFERROR(__xludf.DUMMYFUNCTION("""COMPUTED_VALUE"""),0.2261)</f>
        <v>0.2261</v>
      </c>
      <c r="M3156" s="18">
        <f>IFERROR(__xludf.DUMMYFUNCTION("""COMPUTED_VALUE"""),2.16)</f>
        <v>2.16</v>
      </c>
    </row>
    <row r="3157">
      <c r="A3157" s="13" t="str">
        <f>IFERROR(__xludf.DUMMYFUNCTION("""COMPUTED_VALUE"""),"товари")</f>
        <v>товари</v>
      </c>
      <c r="B3157" s="16" t="str">
        <f>IFERROR(__xludf.DUMMYFUNCTION("""COMPUTED_VALUE"""),"продукти харчування, напої")</f>
        <v>продукти харчування, напої</v>
      </c>
      <c r="C3157" s="16" t="str">
        <f>IFERROR(__xludf.DUMMYFUNCTION("""COMPUTED_VALUE"""),"бакалія")</f>
        <v>бакалія</v>
      </c>
      <c r="D3157" s="16" t="str">
        <f>IFERROR(__xludf.DUMMYFUNCTION("""COMPUTED_VALUE"""),"харчові інгредієнти")</f>
        <v>харчові інгредієнти</v>
      </c>
      <c r="E3157" s="16" t="str">
        <f>IFERROR(__xludf.DUMMYFUNCTION("""COMPUTED_VALUE"""),"харчові барвники")</f>
        <v>харчові барвники</v>
      </c>
      <c r="F3157" s="17">
        <f>IFERROR(__xludf.DUMMYFUNCTION("""COMPUTED_VALUE"""),4.0)</f>
        <v>4</v>
      </c>
      <c r="G3157" s="17" t="str">
        <f>IFERROR(__xludf.DUMMYFUNCTION("""COMPUTED_VALUE"""),"81906")</f>
        <v>81906</v>
      </c>
      <c r="H3157" s="17" t="str">
        <f>IFERROR(__xludf.DUMMYFUNCTION("""COMPUTED_VALUE"""),"харчові барвники")</f>
        <v>харчові барвники</v>
      </c>
      <c r="I3157" s="19">
        <f>IFERROR(__xludf.DUMMYFUNCTION("""COMPUTED_VALUE"""),0.0743)</f>
        <v>0.0743</v>
      </c>
      <c r="J3157" s="19">
        <f>IFERROR(__xludf.DUMMYFUNCTION("""COMPUTED_VALUE"""),0.1485)</f>
        <v>0.1485</v>
      </c>
      <c r="K3157" s="19">
        <f>IFERROR(__xludf.DUMMYFUNCTION("""COMPUTED_VALUE"""),0.1856)</f>
        <v>0.1856</v>
      </c>
      <c r="L3157" s="19">
        <f>IFERROR(__xludf.DUMMYFUNCTION("""COMPUTED_VALUE"""),0.2228)</f>
        <v>0.2228</v>
      </c>
      <c r="M3157" s="18">
        <f>IFERROR(__xludf.DUMMYFUNCTION("""COMPUTED_VALUE"""),3.88)</f>
        <v>3.88</v>
      </c>
    </row>
    <row r="3158">
      <c r="A3158" s="13" t="str">
        <f>IFERROR(__xludf.DUMMYFUNCTION("""COMPUTED_VALUE"""),"товари")</f>
        <v>товари</v>
      </c>
      <c r="B3158" s="16" t="str">
        <f>IFERROR(__xludf.DUMMYFUNCTION("""COMPUTED_VALUE"""),"продукти харчування, напої")</f>
        <v>продукти харчування, напої</v>
      </c>
      <c r="C3158" s="16" t="str">
        <f>IFERROR(__xludf.DUMMYFUNCTION("""COMPUTED_VALUE"""),"бакалія")</f>
        <v>бакалія</v>
      </c>
      <c r="D3158" s="16" t="str">
        <f>IFERROR(__xludf.DUMMYFUNCTION("""COMPUTED_VALUE"""),"харчові інгредієнти")</f>
        <v>харчові інгредієнти</v>
      </c>
      <c r="E3158" s="16" t="str">
        <f>IFERROR(__xludf.DUMMYFUNCTION("""COMPUTED_VALUE"""),"харчові добавки, загальне")</f>
        <v>харчові добавки, загальне</v>
      </c>
      <c r="F3158" s="17">
        <f>IFERROR(__xludf.DUMMYFUNCTION("""COMPUTED_VALUE"""),4.0)</f>
        <v>4</v>
      </c>
      <c r="G3158" s="17" t="str">
        <f>IFERROR(__xludf.DUMMYFUNCTION("""COMPUTED_VALUE"""),"81999")</f>
        <v>81999</v>
      </c>
      <c r="H3158" s="17" t="str">
        <f>IFERROR(__xludf.DUMMYFUNCTION("""COMPUTED_VALUE"""),"харчові добавки, загальне")</f>
        <v>харчові добавки, загальне</v>
      </c>
      <c r="I3158" s="19">
        <f>IFERROR(__xludf.DUMMYFUNCTION("""COMPUTED_VALUE"""),0.125)</f>
        <v>0.125</v>
      </c>
      <c r="J3158" s="19">
        <f>IFERROR(__xludf.DUMMYFUNCTION("""COMPUTED_VALUE"""),0.25)</f>
        <v>0.25</v>
      </c>
      <c r="K3158" s="19">
        <f>IFERROR(__xludf.DUMMYFUNCTION("""COMPUTED_VALUE"""),0.3125)</f>
        <v>0.3125</v>
      </c>
      <c r="L3158" s="19">
        <f>IFERROR(__xludf.DUMMYFUNCTION("""COMPUTED_VALUE"""),0.375)</f>
        <v>0.375</v>
      </c>
      <c r="M3158" s="18">
        <f>IFERROR(__xludf.DUMMYFUNCTION("""COMPUTED_VALUE"""),4.33)</f>
        <v>4.33</v>
      </c>
    </row>
    <row r="3159">
      <c r="A3159" s="13" t="str">
        <f>IFERROR(__xludf.DUMMYFUNCTION("""COMPUTED_VALUE"""),"товари")</f>
        <v>товари</v>
      </c>
      <c r="B3159" s="16" t="str">
        <f>IFERROR(__xludf.DUMMYFUNCTION("""COMPUTED_VALUE"""),"продукти харчування, напої")</f>
        <v>продукти харчування, напої</v>
      </c>
      <c r="C3159" s="16" t="str">
        <f>IFERROR(__xludf.DUMMYFUNCTION("""COMPUTED_VALUE"""),"молочні продукти")</f>
        <v>молочні продукти</v>
      </c>
      <c r="D3159" s="16" t="str">
        <f>IFERROR(__xludf.DUMMYFUNCTION("""COMPUTED_VALUE"""),"харчові жири, маргарин")</f>
        <v>харчові жири, маргарин</v>
      </c>
      <c r="E3159" s="16" t="str">
        <f>IFERROR(__xludf.DUMMYFUNCTION("""COMPUTED_VALUE"""),"харчові жири, маргарин")</f>
        <v>харчові жири, маргарин</v>
      </c>
      <c r="F3159" s="17">
        <f>IFERROR(__xludf.DUMMYFUNCTION("""COMPUTED_VALUE"""),3.0)</f>
        <v>3</v>
      </c>
      <c r="G3159" s="17" t="str">
        <f>IFERROR(__xludf.DUMMYFUNCTION("""COMPUTED_VALUE"""),"21303")</f>
        <v>21303</v>
      </c>
      <c r="H3159" s="17" t="str">
        <f>IFERROR(__xludf.DUMMYFUNCTION("""COMPUTED_VALUE"""),"харчові жири, маргарин")</f>
        <v>харчові жири, маргарин</v>
      </c>
      <c r="I3159" s="19">
        <f>IFERROR(__xludf.DUMMYFUNCTION("""COMPUTED_VALUE"""),0.0447)</f>
        <v>0.0447</v>
      </c>
      <c r="J3159" s="19">
        <f>IFERROR(__xludf.DUMMYFUNCTION("""COMPUTED_VALUE"""),0.0893)</f>
        <v>0.0893</v>
      </c>
      <c r="K3159" s="19">
        <f>IFERROR(__xludf.DUMMYFUNCTION("""COMPUTED_VALUE"""),0.1116)</f>
        <v>0.1116</v>
      </c>
      <c r="L3159" s="19">
        <f>IFERROR(__xludf.DUMMYFUNCTION("""COMPUTED_VALUE"""),0.134)</f>
        <v>0.134</v>
      </c>
      <c r="M3159" s="18">
        <f>IFERROR(__xludf.DUMMYFUNCTION("""COMPUTED_VALUE"""),1.26)</f>
        <v>1.26</v>
      </c>
    </row>
    <row r="3160">
      <c r="A3160" s="13" t="str">
        <f>IFERROR(__xludf.DUMMYFUNCTION("""COMPUTED_VALUE"""),"товари")</f>
        <v>товари</v>
      </c>
      <c r="B3160" s="16" t="str">
        <f>IFERROR(__xludf.DUMMYFUNCTION("""COMPUTED_VALUE"""),"продукти харчування, напої")</f>
        <v>продукти харчування, напої</v>
      </c>
      <c r="C3160" s="16" t="str">
        <f>IFERROR(__xludf.DUMMYFUNCTION("""COMPUTED_VALUE"""),"бакалія")</f>
        <v>бакалія</v>
      </c>
      <c r="D3160" s="16" t="str">
        <f>IFERROR(__xludf.DUMMYFUNCTION("""COMPUTED_VALUE"""),"харчові інгредієнти")</f>
        <v>харчові інгредієнти</v>
      </c>
      <c r="E3160" s="16" t="str">
        <f>IFERROR(__xludf.DUMMYFUNCTION("""COMPUTED_VALUE"""),"харчові стабілізатори")</f>
        <v>харчові стабілізатори</v>
      </c>
      <c r="F3160" s="17">
        <f>IFERROR(__xludf.DUMMYFUNCTION("""COMPUTED_VALUE"""),4.0)</f>
        <v>4</v>
      </c>
      <c r="G3160" s="17" t="str">
        <f>IFERROR(__xludf.DUMMYFUNCTION("""COMPUTED_VALUE"""),"23004")</f>
        <v>23004</v>
      </c>
      <c r="H3160" s="17" t="str">
        <f>IFERROR(__xludf.DUMMYFUNCTION("""COMPUTED_VALUE"""),"харчові стабілізатори")</f>
        <v>харчові стабілізатори</v>
      </c>
      <c r="I3160" s="19">
        <f>IFERROR(__xludf.DUMMYFUNCTION("""COMPUTED_VALUE"""),0.0778)</f>
        <v>0.0778</v>
      </c>
      <c r="J3160" s="19">
        <f>IFERROR(__xludf.DUMMYFUNCTION("""COMPUTED_VALUE"""),0.1556)</f>
        <v>0.1556</v>
      </c>
      <c r="K3160" s="19">
        <f>IFERROR(__xludf.DUMMYFUNCTION("""COMPUTED_VALUE"""),0.1945)</f>
        <v>0.1945</v>
      </c>
      <c r="L3160" s="19">
        <f>IFERROR(__xludf.DUMMYFUNCTION("""COMPUTED_VALUE"""),0.2334)</f>
        <v>0.2334</v>
      </c>
      <c r="M3160" s="18">
        <f>IFERROR(__xludf.DUMMYFUNCTION("""COMPUTED_VALUE"""),3.88)</f>
        <v>3.88</v>
      </c>
    </row>
    <row r="3161">
      <c r="A3161" s="13" t="str">
        <f>IFERROR(__xludf.DUMMYFUNCTION("""COMPUTED_VALUE"""),"товари")</f>
        <v>товари</v>
      </c>
      <c r="B3161" s="16" t="str">
        <f>IFERROR(__xludf.DUMMYFUNCTION("""COMPUTED_VALUE"""),"продукти харчування, напої")</f>
        <v>продукти харчування, напої</v>
      </c>
      <c r="C3161" s="16" t="str">
        <f>IFERROR(__xludf.DUMMYFUNCTION("""COMPUTED_VALUE"""),"хлібобулочні, кондитерські вироби")</f>
        <v>хлібобулочні, кондитерські вироби</v>
      </c>
      <c r="D3161" s="16" t="str">
        <f>IFERROR(__xludf.DUMMYFUNCTION("""COMPUTED_VALUE"""),"хлібобулочні вироби")</f>
        <v>хлібобулочні вироби</v>
      </c>
      <c r="E3161" s="16" t="str">
        <f>IFERROR(__xludf.DUMMYFUNCTION("""COMPUTED_VALUE"""),"хлібобулочні вироби")</f>
        <v>хлібобулочні вироби</v>
      </c>
      <c r="F3161" s="17">
        <f>IFERROR(__xludf.DUMMYFUNCTION("""COMPUTED_VALUE"""),3.0)</f>
        <v>3</v>
      </c>
      <c r="G3161" s="17" t="str">
        <f>IFERROR(__xludf.DUMMYFUNCTION("""COMPUTED_VALUE"""),"2181905")</f>
        <v>2181905</v>
      </c>
      <c r="H3161" s="17" t="str">
        <f>IFERROR(__xludf.DUMMYFUNCTION("""COMPUTED_VALUE"""),"хлібобулочні вироби")</f>
        <v>хлібобулочні вироби</v>
      </c>
      <c r="I3161" s="19">
        <f>IFERROR(__xludf.DUMMYFUNCTION("""COMPUTED_VALUE"""),0.0713)</f>
        <v>0.0713</v>
      </c>
      <c r="J3161" s="19">
        <f>IFERROR(__xludf.DUMMYFUNCTION("""COMPUTED_VALUE"""),0.1426)</f>
        <v>0.1426</v>
      </c>
      <c r="K3161" s="19">
        <f>IFERROR(__xludf.DUMMYFUNCTION("""COMPUTED_VALUE"""),0.1783)</f>
        <v>0.1783</v>
      </c>
      <c r="L3161" s="19">
        <f>IFERROR(__xludf.DUMMYFUNCTION("""COMPUTED_VALUE"""),0.2139)</f>
        <v>0.2139</v>
      </c>
      <c r="M3161" s="18">
        <f>IFERROR(__xludf.DUMMYFUNCTION("""COMPUTED_VALUE"""),1.53)</f>
        <v>1.53</v>
      </c>
    </row>
    <row r="3162">
      <c r="A3162" s="13" t="str">
        <f>IFERROR(__xludf.DUMMYFUNCTION("""COMPUTED_VALUE"""),"товари")</f>
        <v>товари</v>
      </c>
      <c r="B3162" s="16" t="str">
        <f>IFERROR(__xludf.DUMMYFUNCTION("""COMPUTED_VALUE"""),"продукти харчування, напої")</f>
        <v>продукти харчування, напої</v>
      </c>
      <c r="C3162" s="16" t="str">
        <f>IFERROR(__xludf.DUMMYFUNCTION("""COMPUTED_VALUE"""),"хлібобулочні, кондитерські вироби")</f>
        <v>хлібобулочні, кондитерські вироби</v>
      </c>
      <c r="D3162" s="16" t="str">
        <f>IFERROR(__xludf.DUMMYFUNCTION("""COMPUTED_VALUE"""),"хлібобулочні, кондитерські вироби, загальне")</f>
        <v>хлібобулочні, кондитерські вироби, загальне</v>
      </c>
      <c r="E3162" s="16" t="str">
        <f>IFERROR(__xludf.DUMMYFUNCTION("""COMPUTED_VALUE"""),"хлібобулочні, кондитерські вироби, загальне")</f>
        <v>хлібобулочні, кондитерські вироби, загальне</v>
      </c>
      <c r="F3162" s="17">
        <f>IFERROR(__xludf.DUMMYFUNCTION("""COMPUTED_VALUE"""),3.0)</f>
        <v>3</v>
      </c>
      <c r="G3162" s="17" t="str">
        <f>IFERROR(__xludf.DUMMYFUNCTION("""COMPUTED_VALUE"""),"21806")</f>
        <v>21806</v>
      </c>
      <c r="H3162" s="17" t="str">
        <f>IFERROR(__xludf.DUMMYFUNCTION("""COMPUTED_VALUE"""),"хлібобулочні, кондитерські вироби, загальне")</f>
        <v>хлібобулочні, кондитерські вироби, загальне</v>
      </c>
      <c r="I3162" s="19">
        <f>IFERROR(__xludf.DUMMYFUNCTION("""COMPUTED_VALUE"""),0.125)</f>
        <v>0.125</v>
      </c>
      <c r="J3162" s="19">
        <f>IFERROR(__xludf.DUMMYFUNCTION("""COMPUTED_VALUE"""),0.25)</f>
        <v>0.25</v>
      </c>
      <c r="K3162" s="19">
        <f>IFERROR(__xludf.DUMMYFUNCTION("""COMPUTED_VALUE"""),0.3125)</f>
        <v>0.3125</v>
      </c>
      <c r="L3162" s="19">
        <f>IFERROR(__xludf.DUMMYFUNCTION("""COMPUTED_VALUE"""),0.375)</f>
        <v>0.375</v>
      </c>
      <c r="M3162" s="18">
        <f>IFERROR(__xludf.DUMMYFUNCTION("""COMPUTED_VALUE"""),4.33)</f>
        <v>4.33</v>
      </c>
    </row>
    <row r="3163">
      <c r="A3163" s="13" t="str">
        <f>IFERROR(__xludf.DUMMYFUNCTION("""COMPUTED_VALUE"""),"товари")</f>
        <v>товари</v>
      </c>
      <c r="B3163" s="16" t="str">
        <f>IFERROR(__xludf.DUMMYFUNCTION("""COMPUTED_VALUE"""),"продукти харчування, напої")</f>
        <v>продукти харчування, напої</v>
      </c>
      <c r="C3163" s="16" t="str">
        <f>IFERROR(__xludf.DUMMYFUNCTION("""COMPUTED_VALUE"""),"овочі, фрукти, ягоди, гриби")</f>
        <v>овочі, фрукти, ягоди, гриби</v>
      </c>
      <c r="D3163" s="16" t="str">
        <f>IFERROR(__xludf.DUMMYFUNCTION("""COMPUTED_VALUE"""),"цукати та сухофрукти")</f>
        <v>цукати та сухофрукти</v>
      </c>
      <c r="E3163" s="16" t="str">
        <f>IFERROR(__xludf.DUMMYFUNCTION("""COMPUTED_VALUE"""),"цукати та сухофрукти")</f>
        <v>цукати та сухофрукти</v>
      </c>
      <c r="F3163" s="17">
        <f>IFERROR(__xludf.DUMMYFUNCTION("""COMPUTED_VALUE"""),3.0)</f>
        <v>3</v>
      </c>
      <c r="G3163" s="17" t="str">
        <f>IFERROR(__xludf.DUMMYFUNCTION("""COMPUTED_VALUE"""),"23403")</f>
        <v>23403</v>
      </c>
      <c r="H3163" s="17" t="str">
        <f>IFERROR(__xludf.DUMMYFUNCTION("""COMPUTED_VALUE"""),"цукати та сухофрукти")</f>
        <v>цукати та сухофрукти</v>
      </c>
      <c r="I3163" s="19">
        <f>IFERROR(__xludf.DUMMYFUNCTION("""COMPUTED_VALUE"""),0.0719)</f>
        <v>0.0719</v>
      </c>
      <c r="J3163" s="19">
        <f>IFERROR(__xludf.DUMMYFUNCTION("""COMPUTED_VALUE"""),0.1438)</f>
        <v>0.1438</v>
      </c>
      <c r="K3163" s="19">
        <f>IFERROR(__xludf.DUMMYFUNCTION("""COMPUTED_VALUE"""),0.1798)</f>
        <v>0.1798</v>
      </c>
      <c r="L3163" s="19">
        <f>IFERROR(__xludf.DUMMYFUNCTION("""COMPUTED_VALUE"""),0.2157)</f>
        <v>0.2157</v>
      </c>
      <c r="M3163" s="18">
        <f>IFERROR(__xludf.DUMMYFUNCTION("""COMPUTED_VALUE"""),2.61)</f>
        <v>2.61</v>
      </c>
    </row>
    <row r="3164">
      <c r="A3164" s="13" t="str">
        <f>IFERROR(__xludf.DUMMYFUNCTION("""COMPUTED_VALUE"""),"товари")</f>
        <v>товари</v>
      </c>
      <c r="B3164" s="16" t="str">
        <f>IFERROR(__xludf.DUMMYFUNCTION("""COMPUTED_VALUE"""),"продукти харчування, напої")</f>
        <v>продукти харчування, напої</v>
      </c>
      <c r="C3164" s="16" t="str">
        <f>IFERROR(__xludf.DUMMYFUNCTION("""COMPUTED_VALUE"""),"солодощі")</f>
        <v>солодощі</v>
      </c>
      <c r="D3164" s="16" t="str">
        <f>IFERROR(__xludf.DUMMYFUNCTION("""COMPUTED_VALUE"""),"цукерки")</f>
        <v>цукерки</v>
      </c>
      <c r="E3164" s="16" t="str">
        <f>IFERROR(__xludf.DUMMYFUNCTION("""COMPUTED_VALUE"""),"цукерки")</f>
        <v>цукерки</v>
      </c>
      <c r="F3164" s="17">
        <f>IFERROR(__xludf.DUMMYFUNCTION("""COMPUTED_VALUE"""),3.0)</f>
        <v>3</v>
      </c>
      <c r="G3164" s="17" t="str">
        <f>IFERROR(__xludf.DUMMYFUNCTION("""COMPUTED_VALUE"""),"21803")</f>
        <v>21803</v>
      </c>
      <c r="H3164" s="17" t="str">
        <f>IFERROR(__xludf.DUMMYFUNCTION("""COMPUTED_VALUE"""),"цукерки")</f>
        <v>цукерки</v>
      </c>
      <c r="I3164" s="19">
        <f>IFERROR(__xludf.DUMMYFUNCTION("""COMPUTED_VALUE"""),0.0719)</f>
        <v>0.0719</v>
      </c>
      <c r="J3164" s="19">
        <f>IFERROR(__xludf.DUMMYFUNCTION("""COMPUTED_VALUE"""),0.1438)</f>
        <v>0.1438</v>
      </c>
      <c r="K3164" s="19">
        <f>IFERROR(__xludf.DUMMYFUNCTION("""COMPUTED_VALUE"""),0.1798)</f>
        <v>0.1798</v>
      </c>
      <c r="L3164" s="19">
        <f>IFERROR(__xludf.DUMMYFUNCTION("""COMPUTED_VALUE"""),0.2157)</f>
        <v>0.2157</v>
      </c>
      <c r="M3164" s="18">
        <f>IFERROR(__xludf.DUMMYFUNCTION("""COMPUTED_VALUE"""),1.26)</f>
        <v>1.26</v>
      </c>
    </row>
    <row r="3165">
      <c r="A3165" s="13" t="str">
        <f>IFERROR(__xludf.DUMMYFUNCTION("""COMPUTED_VALUE"""),"товари")</f>
        <v>товари</v>
      </c>
      <c r="B3165" s="16" t="str">
        <f>IFERROR(__xludf.DUMMYFUNCTION("""COMPUTED_VALUE"""),"продукти харчування, напої")</f>
        <v>продукти харчування, напої</v>
      </c>
      <c r="C3165" s="16" t="str">
        <f>IFERROR(__xludf.DUMMYFUNCTION("""COMPUTED_VALUE"""),"бакалія")</f>
        <v>бакалія</v>
      </c>
      <c r="D3165" s="16" t="str">
        <f>IFERROR(__xludf.DUMMYFUNCTION("""COMPUTED_VALUE"""),"цукор")</f>
        <v>цукор</v>
      </c>
      <c r="E3165" s="16" t="str">
        <f>IFERROR(__xludf.DUMMYFUNCTION("""COMPUTED_VALUE"""),"цукор")</f>
        <v>цукор</v>
      </c>
      <c r="F3165" s="17">
        <f>IFERROR(__xludf.DUMMYFUNCTION("""COMPUTED_VALUE"""),3.0)</f>
        <v>3</v>
      </c>
      <c r="G3165" s="17" t="str">
        <f>IFERROR(__xludf.DUMMYFUNCTION("""COMPUTED_VALUE"""),"23007")</f>
        <v>23007</v>
      </c>
      <c r="H3165" s="17" t="str">
        <f>IFERROR(__xludf.DUMMYFUNCTION("""COMPUTED_VALUE"""),"цукор")</f>
        <v>цукор</v>
      </c>
      <c r="I3165" s="19">
        <f>IFERROR(__xludf.DUMMYFUNCTION("""COMPUTED_VALUE"""),0.0733)</f>
        <v>0.0733</v>
      </c>
      <c r="J3165" s="19">
        <f>IFERROR(__xludf.DUMMYFUNCTION("""COMPUTED_VALUE"""),0.1465)</f>
        <v>0.1465</v>
      </c>
      <c r="K3165" s="19">
        <f>IFERROR(__xludf.DUMMYFUNCTION("""COMPUTED_VALUE"""),0.1831)</f>
        <v>0.1831</v>
      </c>
      <c r="L3165" s="19">
        <f>IFERROR(__xludf.DUMMYFUNCTION("""COMPUTED_VALUE"""),0.2198)</f>
        <v>0.2198</v>
      </c>
      <c r="M3165" s="18">
        <f>IFERROR(__xludf.DUMMYFUNCTION("""COMPUTED_VALUE"""),2.34)</f>
        <v>2.34</v>
      </c>
    </row>
    <row r="3166">
      <c r="A3166" s="13" t="str">
        <f>IFERROR(__xludf.DUMMYFUNCTION("""COMPUTED_VALUE"""),"товари")</f>
        <v>товари</v>
      </c>
      <c r="B3166" s="16" t="str">
        <f>IFERROR(__xludf.DUMMYFUNCTION("""COMPUTED_VALUE"""),"продукти харчування, напої")</f>
        <v>продукти харчування, напої</v>
      </c>
      <c r="C3166" s="16" t="str">
        <f>IFERROR(__xludf.DUMMYFUNCTION("""COMPUTED_VALUE"""),"напої")</f>
        <v>напої</v>
      </c>
      <c r="D3166" s="16" t="str">
        <f>IFERROR(__xludf.DUMMYFUNCTION("""COMPUTED_VALUE"""),"чай, кава, какао")</f>
        <v>чай, кава, какао</v>
      </c>
      <c r="E3166" s="16" t="str">
        <f>IFERROR(__xludf.DUMMYFUNCTION("""COMPUTED_VALUE"""),"чай")</f>
        <v>чай</v>
      </c>
      <c r="F3166" s="17">
        <f>IFERROR(__xludf.DUMMYFUNCTION("""COMPUTED_VALUE"""),4.0)</f>
        <v>4</v>
      </c>
      <c r="G3166" s="17" t="str">
        <f>IFERROR(__xludf.DUMMYFUNCTION("""COMPUTED_VALUE"""),"10701")</f>
        <v>10701</v>
      </c>
      <c r="H3166" s="17" t="str">
        <f>IFERROR(__xludf.DUMMYFUNCTION("""COMPUTED_VALUE"""),"чай")</f>
        <v>чай</v>
      </c>
      <c r="I3166" s="19">
        <f>IFERROR(__xludf.DUMMYFUNCTION("""COMPUTED_VALUE"""),0.0729)</f>
        <v>0.0729</v>
      </c>
      <c r="J3166" s="19">
        <f>IFERROR(__xludf.DUMMYFUNCTION("""COMPUTED_VALUE"""),0.1457)</f>
        <v>0.1457</v>
      </c>
      <c r="K3166" s="19">
        <f>IFERROR(__xludf.DUMMYFUNCTION("""COMPUTED_VALUE"""),0.1821)</f>
        <v>0.1821</v>
      </c>
      <c r="L3166" s="19">
        <f>IFERROR(__xludf.DUMMYFUNCTION("""COMPUTED_VALUE"""),0.2186)</f>
        <v>0.2186</v>
      </c>
      <c r="M3166" s="18">
        <f>IFERROR(__xludf.DUMMYFUNCTION("""COMPUTED_VALUE"""),3.24)</f>
        <v>3.24</v>
      </c>
    </row>
    <row r="3167">
      <c r="A3167" s="13" t="str">
        <f>IFERROR(__xludf.DUMMYFUNCTION("""COMPUTED_VALUE"""),"товари")</f>
        <v>товари</v>
      </c>
      <c r="B3167" s="16" t="str">
        <f>IFERROR(__xludf.DUMMYFUNCTION("""COMPUTED_VALUE"""),"продукти харчування, напої")</f>
        <v>продукти харчування, напої</v>
      </c>
      <c r="C3167" s="16" t="str">
        <f>IFERROR(__xludf.DUMMYFUNCTION("""COMPUTED_VALUE"""),"напої")</f>
        <v>напої</v>
      </c>
      <c r="D3167" s="16" t="str">
        <f>IFERROR(__xludf.DUMMYFUNCTION("""COMPUTED_VALUE"""),"чай, кава, какао")</f>
        <v>чай, кава, какао</v>
      </c>
      <c r="E3167" s="16" t="str">
        <f>IFERROR(__xludf.DUMMYFUNCTION("""COMPUTED_VALUE"""),"чай, кава, какао, загальне")</f>
        <v>чай, кава, какао, загальне</v>
      </c>
      <c r="F3167" s="17">
        <f>IFERROR(__xludf.DUMMYFUNCTION("""COMPUTED_VALUE"""),4.0)</f>
        <v>4</v>
      </c>
      <c r="G3167" s="17" t="str">
        <f>IFERROR(__xludf.DUMMYFUNCTION("""COMPUTED_VALUE"""),"10704")</f>
        <v>10704</v>
      </c>
      <c r="H3167" s="17" t="str">
        <f>IFERROR(__xludf.DUMMYFUNCTION("""COMPUTED_VALUE"""),"чай, кава, какао, загальне")</f>
        <v>чай, кава, какао, загальне</v>
      </c>
      <c r="I3167" s="19">
        <f>IFERROR(__xludf.DUMMYFUNCTION("""COMPUTED_VALUE"""),0.125)</f>
        <v>0.125</v>
      </c>
      <c r="J3167" s="19">
        <f>IFERROR(__xludf.DUMMYFUNCTION("""COMPUTED_VALUE"""),0.25)</f>
        <v>0.25</v>
      </c>
      <c r="K3167" s="19">
        <f>IFERROR(__xludf.DUMMYFUNCTION("""COMPUTED_VALUE"""),0.3125)</f>
        <v>0.3125</v>
      </c>
      <c r="L3167" s="19">
        <f>IFERROR(__xludf.DUMMYFUNCTION("""COMPUTED_VALUE"""),0.375)</f>
        <v>0.375</v>
      </c>
      <c r="M3167" s="18">
        <f>IFERROR(__xludf.DUMMYFUNCTION("""COMPUTED_VALUE"""),4.33)</f>
        <v>4.33</v>
      </c>
    </row>
    <row r="3168">
      <c r="A3168" s="13" t="str">
        <f>IFERROR(__xludf.DUMMYFUNCTION("""COMPUTED_VALUE"""),"товари")</f>
        <v>товари</v>
      </c>
      <c r="B3168" s="16" t="str">
        <f>IFERROR(__xludf.DUMMYFUNCTION("""COMPUTED_VALUE"""),"продукти харчування, напої")</f>
        <v>продукти харчування, напої</v>
      </c>
      <c r="C3168" s="16" t="str">
        <f>IFERROR(__xludf.DUMMYFUNCTION("""COMPUTED_VALUE"""),"солодощі")</f>
        <v>солодощі</v>
      </c>
      <c r="D3168" s="16" t="str">
        <f>IFERROR(__xludf.DUMMYFUNCTION("""COMPUTED_VALUE"""),"шоколадні вироби")</f>
        <v>шоколадні вироби</v>
      </c>
      <c r="E3168" s="16" t="str">
        <f>IFERROR(__xludf.DUMMYFUNCTION("""COMPUTED_VALUE"""),"шоколадні вироби")</f>
        <v>шоколадні вироби</v>
      </c>
      <c r="F3168" s="17">
        <f>IFERROR(__xludf.DUMMYFUNCTION("""COMPUTED_VALUE"""),3.0)</f>
        <v>3</v>
      </c>
      <c r="G3168" s="17" t="str">
        <f>IFERROR(__xludf.DUMMYFUNCTION("""COMPUTED_VALUE"""),"2180305")</f>
        <v>2180305</v>
      </c>
      <c r="H3168" s="17" t="str">
        <f>IFERROR(__xludf.DUMMYFUNCTION("""COMPUTED_VALUE"""),"шоколадні вироби")</f>
        <v>шоколадні вироби</v>
      </c>
      <c r="I3168" s="19">
        <f>IFERROR(__xludf.DUMMYFUNCTION("""COMPUTED_VALUE"""),0.073)</f>
        <v>0.073</v>
      </c>
      <c r="J3168" s="19">
        <f>IFERROR(__xludf.DUMMYFUNCTION("""COMPUTED_VALUE"""),0.146)</f>
        <v>0.146</v>
      </c>
      <c r="K3168" s="19">
        <f>IFERROR(__xludf.DUMMYFUNCTION("""COMPUTED_VALUE"""),0.1825)</f>
        <v>0.1825</v>
      </c>
      <c r="L3168" s="19">
        <f>IFERROR(__xludf.DUMMYFUNCTION("""COMPUTED_VALUE"""),0.219)</f>
        <v>0.219</v>
      </c>
      <c r="M3168" s="18">
        <f>IFERROR(__xludf.DUMMYFUNCTION("""COMPUTED_VALUE"""),1.05)</f>
        <v>1.05</v>
      </c>
    </row>
    <row r="3169">
      <c r="A3169" s="13" t="str">
        <f>IFERROR(__xludf.DUMMYFUNCTION("""COMPUTED_VALUE"""),"товари")</f>
        <v>товари</v>
      </c>
      <c r="B3169" s="16" t="str">
        <f>IFERROR(__xludf.DUMMYFUNCTION("""COMPUTED_VALUE"""),"продукти харчування, напої")</f>
        <v>продукти харчування, напої</v>
      </c>
      <c r="C3169" s="16" t="str">
        <f>IFERROR(__xludf.DUMMYFUNCTION("""COMPUTED_VALUE"""),"бакалія")</f>
        <v>бакалія</v>
      </c>
      <c r="D3169" s="16" t="str">
        <f>IFERROR(__xludf.DUMMYFUNCTION("""COMPUTED_VALUE"""),"яйця")</f>
        <v>яйця</v>
      </c>
      <c r="E3169" s="16" t="str">
        <f>IFERROR(__xludf.DUMMYFUNCTION("""COMPUTED_VALUE"""),"яйця")</f>
        <v>яйця</v>
      </c>
      <c r="F3169" s="17">
        <f>IFERROR(__xludf.DUMMYFUNCTION("""COMPUTED_VALUE"""),3.0)</f>
        <v>3</v>
      </c>
      <c r="G3169" s="17" t="str">
        <f>IFERROR(__xludf.DUMMYFUNCTION("""COMPUTED_VALUE"""),"21105")</f>
        <v>21105</v>
      </c>
      <c r="H3169" s="17" t="str">
        <f>IFERROR(__xludf.DUMMYFUNCTION("""COMPUTED_VALUE"""),"яйця")</f>
        <v>яйця</v>
      </c>
      <c r="I3169" s="19">
        <f>IFERROR(__xludf.DUMMYFUNCTION("""COMPUTED_VALUE"""),0.0713)</f>
        <v>0.0713</v>
      </c>
      <c r="J3169" s="19">
        <f>IFERROR(__xludf.DUMMYFUNCTION("""COMPUTED_VALUE"""),0.1426)</f>
        <v>0.1426</v>
      </c>
      <c r="K3169" s="19">
        <f>IFERROR(__xludf.DUMMYFUNCTION("""COMPUTED_VALUE"""),0.1783)</f>
        <v>0.1783</v>
      </c>
      <c r="L3169" s="19">
        <f>IFERROR(__xludf.DUMMYFUNCTION("""COMPUTED_VALUE"""),0.2139)</f>
        <v>0.2139</v>
      </c>
      <c r="M3169" s="18">
        <f>IFERROR(__xludf.DUMMYFUNCTION("""COMPUTED_VALUE"""),1.05)</f>
        <v>1.05</v>
      </c>
    </row>
    <row r="3170">
      <c r="A3170" s="13" t="str">
        <f>IFERROR(__xludf.DUMMYFUNCTION("""COMPUTED_VALUE"""),"товари")</f>
        <v>товари</v>
      </c>
      <c r="B3170" s="16" t="str">
        <f>IFERROR(__xludf.DUMMYFUNCTION("""COMPUTED_VALUE"""),"промислова хімія")</f>
        <v>промислова хімія</v>
      </c>
      <c r="C3170" s="16" t="str">
        <f>IFERROR(__xludf.DUMMYFUNCTION("""COMPUTED_VALUE"""),"колоїдна хімія")</f>
        <v>колоїдна хімія</v>
      </c>
      <c r="D3170" s="16" t="str">
        <f>IFERROR(__xludf.DUMMYFUNCTION("""COMPUTED_VALUE"""),"адсорбенти")</f>
        <v>адсорбенти</v>
      </c>
      <c r="E3170" s="16" t="str">
        <f>IFERROR(__xludf.DUMMYFUNCTION("""COMPUTED_VALUE"""),"активоване вугілля")</f>
        <v>активоване вугілля</v>
      </c>
      <c r="F3170" s="17">
        <f>IFERROR(__xludf.DUMMYFUNCTION("""COMPUTED_VALUE"""),4.0)</f>
        <v>4</v>
      </c>
      <c r="G3170" s="17" t="str">
        <f>IFERROR(__xludf.DUMMYFUNCTION("""COMPUTED_VALUE"""),"100109")</f>
        <v>100109</v>
      </c>
      <c r="H3170" s="17" t="str">
        <f>IFERROR(__xludf.DUMMYFUNCTION("""COMPUTED_VALUE"""),"активоване вугілля")</f>
        <v>активоване вугілля</v>
      </c>
      <c r="I3170" s="19">
        <f>IFERROR(__xludf.DUMMYFUNCTION("""COMPUTED_VALUE"""),0.0762)</f>
        <v>0.0762</v>
      </c>
      <c r="J3170" s="19">
        <f>IFERROR(__xludf.DUMMYFUNCTION("""COMPUTED_VALUE"""),0.1523)</f>
        <v>0.1523</v>
      </c>
      <c r="K3170" s="19">
        <f>IFERROR(__xludf.DUMMYFUNCTION("""COMPUTED_VALUE"""),0.1904)</f>
        <v>0.1904</v>
      </c>
      <c r="L3170" s="19">
        <f>IFERROR(__xludf.DUMMYFUNCTION("""COMPUTED_VALUE"""),0.2285)</f>
        <v>0.2285</v>
      </c>
      <c r="M3170" s="18">
        <f>IFERROR(__xludf.DUMMYFUNCTION("""COMPUTED_VALUE"""),1.71)</f>
        <v>1.71</v>
      </c>
    </row>
    <row r="3171">
      <c r="A3171" s="13" t="str">
        <f>IFERROR(__xludf.DUMMYFUNCTION("""COMPUTED_VALUE"""),"товари")</f>
        <v>товари</v>
      </c>
      <c r="B3171" s="16" t="str">
        <f>IFERROR(__xludf.DUMMYFUNCTION("""COMPUTED_VALUE"""),"промислова хімія")</f>
        <v>промислова хімія</v>
      </c>
      <c r="C3171" s="16" t="str">
        <f>IFERROR(__xludf.DUMMYFUNCTION("""COMPUTED_VALUE"""),"органічні сполуки")</f>
        <v>органічні сполуки</v>
      </c>
      <c r="D3171" s="16" t="str">
        <f>IFERROR(__xludf.DUMMYFUNCTION("""COMPUTED_VALUE"""),"алкани")</f>
        <v>алкани</v>
      </c>
      <c r="E3171" s="16" t="str">
        <f>IFERROR(__xludf.DUMMYFUNCTION("""COMPUTED_VALUE"""),"алкани")</f>
        <v>алкани</v>
      </c>
      <c r="F3171" s="17">
        <f>IFERROR(__xludf.DUMMYFUNCTION("""COMPUTED_VALUE"""),3.0)</f>
        <v>3</v>
      </c>
      <c r="G3171" s="17" t="str">
        <f>IFERROR(__xludf.DUMMYFUNCTION("""COMPUTED_VALUE"""),"80208")</f>
        <v>80208</v>
      </c>
      <c r="H3171" s="17" t="str">
        <f>IFERROR(__xludf.DUMMYFUNCTION("""COMPUTED_VALUE"""),"алкани")</f>
        <v>алкани</v>
      </c>
      <c r="I3171" s="19">
        <f>IFERROR(__xludf.DUMMYFUNCTION("""COMPUTED_VALUE"""),0.0442)</f>
        <v>0.0442</v>
      </c>
      <c r="J3171" s="19">
        <f>IFERROR(__xludf.DUMMYFUNCTION("""COMPUTED_VALUE"""),0.0884)</f>
        <v>0.0884</v>
      </c>
      <c r="K3171" s="19">
        <f>IFERROR(__xludf.DUMMYFUNCTION("""COMPUTED_VALUE"""),0.1105)</f>
        <v>0.1105</v>
      </c>
      <c r="L3171" s="19">
        <f>IFERROR(__xludf.DUMMYFUNCTION("""COMPUTED_VALUE"""),0.1326)</f>
        <v>0.1326</v>
      </c>
      <c r="M3171" s="18">
        <f>IFERROR(__xludf.DUMMYFUNCTION("""COMPUTED_VALUE"""),4.14)</f>
        <v>4.14</v>
      </c>
    </row>
    <row r="3172">
      <c r="A3172" s="13" t="str">
        <f>IFERROR(__xludf.DUMMYFUNCTION("""COMPUTED_VALUE"""),"товари")</f>
        <v>товари</v>
      </c>
      <c r="B3172" s="16" t="str">
        <f>IFERROR(__xludf.DUMMYFUNCTION("""COMPUTED_VALUE"""),"промислова хімія")</f>
        <v>промислова хімія</v>
      </c>
      <c r="C3172" s="16" t="str">
        <f>IFERROR(__xludf.DUMMYFUNCTION("""COMPUTED_VALUE"""),"органічні сполуки")</f>
        <v>органічні сполуки</v>
      </c>
      <c r="D3172" s="16" t="str">
        <f>IFERROR(__xludf.DUMMYFUNCTION("""COMPUTED_VALUE"""),"альдегіди і кетон")</f>
        <v>альдегіди і кетон</v>
      </c>
      <c r="E3172" s="16" t="str">
        <f>IFERROR(__xludf.DUMMYFUNCTION("""COMPUTED_VALUE"""),"альдегіди і кетон")</f>
        <v>альдегіди і кетон</v>
      </c>
      <c r="F3172" s="17">
        <f>IFERROR(__xludf.DUMMYFUNCTION("""COMPUTED_VALUE"""),3.0)</f>
        <v>3</v>
      </c>
      <c r="G3172" s="17" t="str">
        <f>IFERROR(__xludf.DUMMYFUNCTION("""COMPUTED_VALUE"""),"80309")</f>
        <v>80309</v>
      </c>
      <c r="H3172" s="17" t="str">
        <f>IFERROR(__xludf.DUMMYFUNCTION("""COMPUTED_VALUE"""),"альдегіди і кетон")</f>
        <v>альдегіди і кетон</v>
      </c>
      <c r="I3172" s="19">
        <f>IFERROR(__xludf.DUMMYFUNCTION("""COMPUTED_VALUE"""),0.0693)</f>
        <v>0.0693</v>
      </c>
      <c r="J3172" s="19">
        <f>IFERROR(__xludf.DUMMYFUNCTION("""COMPUTED_VALUE"""),0.1386)</f>
        <v>0.1386</v>
      </c>
      <c r="K3172" s="19">
        <f>IFERROR(__xludf.DUMMYFUNCTION("""COMPUTED_VALUE"""),0.1733)</f>
        <v>0.1733</v>
      </c>
      <c r="L3172" s="19">
        <f>IFERROR(__xludf.DUMMYFUNCTION("""COMPUTED_VALUE"""),0.2079)</f>
        <v>0.2079</v>
      </c>
      <c r="M3172" s="18">
        <f>IFERROR(__xludf.DUMMYFUNCTION("""COMPUTED_VALUE"""),3.98)</f>
        <v>3.98</v>
      </c>
    </row>
    <row r="3173">
      <c r="A3173" s="13" t="str">
        <f>IFERROR(__xludf.DUMMYFUNCTION("""COMPUTED_VALUE"""),"товари")</f>
        <v>товари</v>
      </c>
      <c r="B3173" s="16" t="str">
        <f>IFERROR(__xludf.DUMMYFUNCTION("""COMPUTED_VALUE"""),"промислова хімія")</f>
        <v>промислова хімія</v>
      </c>
      <c r="C3173" s="16" t="str">
        <f>IFERROR(__xludf.DUMMYFUNCTION("""COMPUTED_VALUE"""),"хімічні реактиви")</f>
        <v>хімічні реактиви</v>
      </c>
      <c r="D3173" s="16" t="str">
        <f>IFERROR(__xludf.DUMMYFUNCTION("""COMPUTED_VALUE"""),"антиожеледні реагенти")</f>
        <v>антиожеледні реагенти</v>
      </c>
      <c r="E3173" s="16" t="str">
        <f>IFERROR(__xludf.DUMMYFUNCTION("""COMPUTED_VALUE"""),"антиожеледні реагенти")</f>
        <v>антиожеледні реагенти</v>
      </c>
      <c r="F3173" s="17">
        <f>IFERROR(__xludf.DUMMYFUNCTION("""COMPUTED_VALUE"""),3.0)</f>
        <v>3</v>
      </c>
      <c r="G3173" s="17">
        <f>IFERROR(__xludf.DUMMYFUNCTION("""COMPUTED_VALUE"""),81706.0)</f>
        <v>81706</v>
      </c>
      <c r="H3173" s="17" t="str">
        <f>IFERROR(__xludf.DUMMYFUNCTION("""COMPUTED_VALUE"""),"антиожеледні реагенти")</f>
        <v>антиожеледні реагенти</v>
      </c>
      <c r="I3173" s="19">
        <f>IFERROR(__xludf.DUMMYFUNCTION("""COMPUTED_VALUE"""),0.0532)</f>
        <v>0.0532</v>
      </c>
      <c r="J3173" s="19">
        <f>IFERROR(__xludf.DUMMYFUNCTION("""COMPUTED_VALUE"""),0.1063)</f>
        <v>0.1063</v>
      </c>
      <c r="K3173" s="19">
        <f>IFERROR(__xludf.DUMMYFUNCTION("""COMPUTED_VALUE"""),0.1329)</f>
        <v>0.1329</v>
      </c>
      <c r="L3173" s="19">
        <f>IFERROR(__xludf.DUMMYFUNCTION("""COMPUTED_VALUE"""),0.1595)</f>
        <v>0.1595</v>
      </c>
      <c r="M3173" s="18">
        <f>IFERROR(__xludf.DUMMYFUNCTION("""COMPUTED_VALUE"""),1.53)</f>
        <v>1.53</v>
      </c>
    </row>
    <row r="3174">
      <c r="A3174" s="13" t="str">
        <f>IFERROR(__xludf.DUMMYFUNCTION("""COMPUTED_VALUE"""),"товари")</f>
        <v>товари</v>
      </c>
      <c r="B3174" s="16" t="str">
        <f>IFERROR(__xludf.DUMMYFUNCTION("""COMPUTED_VALUE"""),"промислова хімія")</f>
        <v>промислова хімія</v>
      </c>
      <c r="C3174" s="16" t="str">
        <f>IFERROR(__xludf.DUMMYFUNCTION("""COMPUTED_VALUE"""),"ароматизатори та ароматизуючі речовини")</f>
        <v>ароматизатори та ароматизуючі речовини</v>
      </c>
      <c r="D3174" s="16" t="str">
        <f>IFERROR(__xludf.DUMMYFUNCTION("""COMPUTED_VALUE"""),"ароматизатори та ароматизуючі речовини")</f>
        <v>ароматизатори та ароматизуючі речовини</v>
      </c>
      <c r="E3174" s="16" t="str">
        <f>IFERROR(__xludf.DUMMYFUNCTION("""COMPUTED_VALUE"""),"ароматизатори та ароматизуючі речовини")</f>
        <v>ароматизатори та ароматизуючі речовини</v>
      </c>
      <c r="F3174" s="17">
        <f>IFERROR(__xludf.DUMMYFUNCTION("""COMPUTED_VALUE"""),2.0)</f>
        <v>2</v>
      </c>
      <c r="G3174" s="17" t="str">
        <f>IFERROR(__xludf.DUMMYFUNCTION("""COMPUTED_VALUE"""),"82102")</f>
        <v>82102</v>
      </c>
      <c r="H3174" s="17" t="str">
        <f>IFERROR(__xludf.DUMMYFUNCTION("""COMPUTED_VALUE"""),"ароматизатори та ароматизуючі речовини")</f>
        <v>ароматизатори та ароматизуючі речовини</v>
      </c>
      <c r="I3174" s="19">
        <f>IFERROR(__xludf.DUMMYFUNCTION("""COMPUTED_VALUE"""),0.0501)</f>
        <v>0.0501</v>
      </c>
      <c r="J3174" s="19">
        <f>IFERROR(__xludf.DUMMYFUNCTION("""COMPUTED_VALUE"""),0.1001)</f>
        <v>0.1001</v>
      </c>
      <c r="K3174" s="19">
        <f>IFERROR(__xludf.DUMMYFUNCTION("""COMPUTED_VALUE"""),0.1251)</f>
        <v>0.1251</v>
      </c>
      <c r="L3174" s="19">
        <f>IFERROR(__xludf.DUMMYFUNCTION("""COMPUTED_VALUE"""),0.1502)</f>
        <v>0.1502</v>
      </c>
      <c r="M3174" s="18">
        <f>IFERROR(__xludf.DUMMYFUNCTION("""COMPUTED_VALUE"""),2.88)</f>
        <v>2.88</v>
      </c>
    </row>
    <row r="3175">
      <c r="A3175" s="13" t="str">
        <f>IFERROR(__xludf.DUMMYFUNCTION("""COMPUTED_VALUE"""),"товари")</f>
        <v>товари</v>
      </c>
      <c r="B3175" s="16" t="str">
        <f>IFERROR(__xludf.DUMMYFUNCTION("""COMPUTED_VALUE"""),"промислова хімія")</f>
        <v>промислова хімія</v>
      </c>
      <c r="C3175" s="16" t="str">
        <f>IFERROR(__xludf.DUMMYFUNCTION("""COMPUTED_VALUE"""),"пігменти, барвники")</f>
        <v>пігменти, барвники</v>
      </c>
      <c r="D3175" s="16" t="str">
        <f>IFERROR(__xludf.DUMMYFUNCTION("""COMPUTED_VALUE"""),"барвники")</f>
        <v>барвники</v>
      </c>
      <c r="E3175" s="16" t="str">
        <f>IFERROR(__xludf.DUMMYFUNCTION("""COMPUTED_VALUE"""),"барвники")</f>
        <v>барвники</v>
      </c>
      <c r="F3175" s="17">
        <f>IFERROR(__xludf.DUMMYFUNCTION("""COMPUTED_VALUE"""),3.0)</f>
        <v>3</v>
      </c>
      <c r="G3175" s="17" t="str">
        <f>IFERROR(__xludf.DUMMYFUNCTION("""COMPUTED_VALUE"""),"81502")</f>
        <v>81502</v>
      </c>
      <c r="H3175" s="17" t="str">
        <f>IFERROR(__xludf.DUMMYFUNCTION("""COMPUTED_VALUE"""),"барвники")</f>
        <v>барвники</v>
      </c>
      <c r="I3175" s="19">
        <f>IFERROR(__xludf.DUMMYFUNCTION("""COMPUTED_VALUE"""),0.0485)</f>
        <v>0.0485</v>
      </c>
      <c r="J3175" s="19">
        <f>IFERROR(__xludf.DUMMYFUNCTION("""COMPUTED_VALUE"""),0.097)</f>
        <v>0.097</v>
      </c>
      <c r="K3175" s="19">
        <f>IFERROR(__xludf.DUMMYFUNCTION("""COMPUTED_VALUE"""),0.1213)</f>
        <v>0.1213</v>
      </c>
      <c r="L3175" s="19">
        <f>IFERROR(__xludf.DUMMYFUNCTION("""COMPUTED_VALUE"""),0.1455)</f>
        <v>0.1455</v>
      </c>
      <c r="M3175" s="18">
        <f>IFERROR(__xludf.DUMMYFUNCTION("""COMPUTED_VALUE"""),1.05)</f>
        <v>1.05</v>
      </c>
    </row>
    <row r="3176">
      <c r="A3176" s="13" t="str">
        <f>IFERROR(__xludf.DUMMYFUNCTION("""COMPUTED_VALUE"""),"товари")</f>
        <v>товари</v>
      </c>
      <c r="B3176" s="16" t="str">
        <f>IFERROR(__xludf.DUMMYFUNCTION("""COMPUTED_VALUE"""),"промислова хімія")</f>
        <v>промислова хімія</v>
      </c>
      <c r="C3176" s="16" t="str">
        <f>IFERROR(__xludf.DUMMYFUNCTION("""COMPUTED_VALUE"""),"клеючі речовини та герметики")</f>
        <v>клеючі речовини та герметики</v>
      </c>
      <c r="D3176" s="16" t="str">
        <f>IFERROR(__xludf.DUMMYFUNCTION("""COMPUTED_VALUE"""),"будівельні та промислові клеї")</f>
        <v>будівельні та промислові клеї</v>
      </c>
      <c r="E3176" s="16" t="str">
        <f>IFERROR(__xludf.DUMMYFUNCTION("""COMPUTED_VALUE"""),"будівельні та промислові клеї")</f>
        <v>будівельні та промислові клеї</v>
      </c>
      <c r="F3176" s="17">
        <f>IFERROR(__xludf.DUMMYFUNCTION("""COMPUTED_VALUE"""),3.0)</f>
        <v>3</v>
      </c>
      <c r="G3176" s="17" t="str">
        <f>IFERROR(__xludf.DUMMYFUNCTION("""COMPUTED_VALUE"""),"1319")</f>
        <v>1319</v>
      </c>
      <c r="H3176" s="17" t="str">
        <f>IFERROR(__xludf.DUMMYFUNCTION("""COMPUTED_VALUE"""),"будівельні та промислові клеї")</f>
        <v>будівельні та промислові клеї</v>
      </c>
      <c r="I3176" s="19">
        <f>IFERROR(__xludf.DUMMYFUNCTION("""COMPUTED_VALUE"""),0.0576)</f>
        <v>0.0576</v>
      </c>
      <c r="J3176" s="19">
        <f>IFERROR(__xludf.DUMMYFUNCTION("""COMPUTED_VALUE"""),0.1151)</f>
        <v>0.1151</v>
      </c>
      <c r="K3176" s="19">
        <f>IFERROR(__xludf.DUMMYFUNCTION("""COMPUTED_VALUE"""),0.1439)</f>
        <v>0.1439</v>
      </c>
      <c r="L3176" s="19">
        <f>IFERROR(__xludf.DUMMYFUNCTION("""COMPUTED_VALUE"""),0.1727)</f>
        <v>0.1727</v>
      </c>
      <c r="M3176" s="18">
        <f>IFERROR(__xludf.DUMMYFUNCTION("""COMPUTED_VALUE"""),3.06)</f>
        <v>3.06</v>
      </c>
    </row>
    <row r="3177">
      <c r="A3177" s="13" t="str">
        <f>IFERROR(__xludf.DUMMYFUNCTION("""COMPUTED_VALUE"""),"товари")</f>
        <v>товари</v>
      </c>
      <c r="B3177" s="16" t="str">
        <f>IFERROR(__xludf.DUMMYFUNCTION("""COMPUTED_VALUE"""),"промислова хімія")</f>
        <v>промислова хімія</v>
      </c>
      <c r="C3177" s="16" t="str">
        <f>IFERROR(__xludf.DUMMYFUNCTION("""COMPUTED_VALUE"""),"органічні сполуки")</f>
        <v>органічні сполуки</v>
      </c>
      <c r="D3177" s="16" t="str">
        <f>IFERROR(__xludf.DUMMYFUNCTION("""COMPUTED_VALUE"""),"вуглеводи")</f>
        <v>вуглеводи</v>
      </c>
      <c r="E3177" s="16" t="str">
        <f>IFERROR(__xludf.DUMMYFUNCTION("""COMPUTED_VALUE"""),"вуглеводи")</f>
        <v>вуглеводи</v>
      </c>
      <c r="F3177" s="17">
        <f>IFERROR(__xludf.DUMMYFUNCTION("""COMPUTED_VALUE"""),3.0)</f>
        <v>3</v>
      </c>
      <c r="G3177" s="17" t="str">
        <f>IFERROR(__xludf.DUMMYFUNCTION("""COMPUTED_VALUE"""),"80311")</f>
        <v>80311</v>
      </c>
      <c r="H3177" s="17" t="str">
        <f>IFERROR(__xludf.DUMMYFUNCTION("""COMPUTED_VALUE"""),"вуглеводи")</f>
        <v>вуглеводи</v>
      </c>
      <c r="I3177" s="19">
        <f>IFERROR(__xludf.DUMMYFUNCTION("""COMPUTED_VALUE"""),0.0601)</f>
        <v>0.0601</v>
      </c>
      <c r="J3177" s="19">
        <f>IFERROR(__xludf.DUMMYFUNCTION("""COMPUTED_VALUE"""),0.1201)</f>
        <v>0.1201</v>
      </c>
      <c r="K3177" s="19">
        <f>IFERROR(__xludf.DUMMYFUNCTION("""COMPUTED_VALUE"""),0.1501)</f>
        <v>0.1501</v>
      </c>
      <c r="L3177" s="19">
        <f>IFERROR(__xludf.DUMMYFUNCTION("""COMPUTED_VALUE"""),0.1802)</f>
        <v>0.1802</v>
      </c>
      <c r="M3177" s="18">
        <f>IFERROR(__xludf.DUMMYFUNCTION("""COMPUTED_VALUE"""),2.25)</f>
        <v>2.25</v>
      </c>
    </row>
    <row r="3178">
      <c r="A3178" s="13" t="str">
        <f>IFERROR(__xludf.DUMMYFUNCTION("""COMPUTED_VALUE"""),"товари")</f>
        <v>товари</v>
      </c>
      <c r="B3178" s="16" t="str">
        <f>IFERROR(__xludf.DUMMYFUNCTION("""COMPUTED_VALUE"""),"промислова хімія")</f>
        <v>промислова хімія</v>
      </c>
      <c r="C3178" s="16" t="str">
        <f>IFERROR(__xludf.DUMMYFUNCTION("""COMPUTED_VALUE"""),"неорганічні сполуки")</f>
        <v>неорганічні сполуки</v>
      </c>
      <c r="D3178" s="16" t="str">
        <f>IFERROR(__xludf.DUMMYFUNCTION("""COMPUTED_VALUE"""),"дистильована вода")</f>
        <v>дистильована вода</v>
      </c>
      <c r="E3178" s="16" t="str">
        <f>IFERROR(__xludf.DUMMYFUNCTION("""COMPUTED_VALUE"""),"дистильована вода")</f>
        <v>дистильована вода</v>
      </c>
      <c r="F3178" s="17">
        <f>IFERROR(__xludf.DUMMYFUNCTION("""COMPUTED_VALUE"""),3.0)</f>
        <v>3</v>
      </c>
      <c r="G3178" s="17" t="str">
        <f>IFERROR(__xludf.DUMMYFUNCTION("""COMPUTED_VALUE"""),"80102")</f>
        <v>80102</v>
      </c>
      <c r="H3178" s="17" t="str">
        <f>IFERROR(__xludf.DUMMYFUNCTION("""COMPUTED_VALUE"""),"дистильована вода")</f>
        <v>дистильована вода</v>
      </c>
      <c r="I3178" s="19">
        <f>IFERROR(__xludf.DUMMYFUNCTION("""COMPUTED_VALUE"""),0.0697)</f>
        <v>0.0697</v>
      </c>
      <c r="J3178" s="19">
        <f>IFERROR(__xludf.DUMMYFUNCTION("""COMPUTED_VALUE"""),0.1394)</f>
        <v>0.1394</v>
      </c>
      <c r="K3178" s="19">
        <f>IFERROR(__xludf.DUMMYFUNCTION("""COMPUTED_VALUE"""),0.1743)</f>
        <v>0.1743</v>
      </c>
      <c r="L3178" s="19">
        <f>IFERROR(__xludf.DUMMYFUNCTION("""COMPUTED_VALUE"""),0.2091)</f>
        <v>0.2091</v>
      </c>
      <c r="M3178" s="18">
        <f>IFERROR(__xludf.DUMMYFUNCTION("""COMPUTED_VALUE"""),3.98)</f>
        <v>3.98</v>
      </c>
    </row>
    <row r="3179">
      <c r="A3179" s="13" t="str">
        <f>IFERROR(__xludf.DUMMYFUNCTION("""COMPUTED_VALUE"""),"товари")</f>
        <v>товари</v>
      </c>
      <c r="B3179" s="16" t="str">
        <f>IFERROR(__xludf.DUMMYFUNCTION("""COMPUTED_VALUE"""),"промислова хімія")</f>
        <v>промислова хімія</v>
      </c>
      <c r="C3179" s="16" t="str">
        <f>IFERROR(__xludf.DUMMYFUNCTION("""COMPUTED_VALUE"""),"органічні сполуки")</f>
        <v>органічні сполуки</v>
      </c>
      <c r="D3179" s="16" t="str">
        <f>IFERROR(__xludf.DUMMYFUNCTION("""COMPUTED_VALUE"""),"ефіри")</f>
        <v>ефіри</v>
      </c>
      <c r="E3179" s="16" t="str">
        <f>IFERROR(__xludf.DUMMYFUNCTION("""COMPUTED_VALUE"""),"ефіри")</f>
        <v>ефіри</v>
      </c>
      <c r="F3179" s="17">
        <f>IFERROR(__xludf.DUMMYFUNCTION("""COMPUTED_VALUE"""),3.0)</f>
        <v>3</v>
      </c>
      <c r="G3179" s="17" t="str">
        <f>IFERROR(__xludf.DUMMYFUNCTION("""COMPUTED_VALUE"""),"80305")</f>
        <v>80305</v>
      </c>
      <c r="H3179" s="17" t="str">
        <f>IFERROR(__xludf.DUMMYFUNCTION("""COMPUTED_VALUE"""),"ефіри")</f>
        <v>ефіри</v>
      </c>
      <c r="I3179" s="19">
        <f>IFERROR(__xludf.DUMMYFUNCTION("""COMPUTED_VALUE"""),0.047)</f>
        <v>0.047</v>
      </c>
      <c r="J3179" s="19">
        <f>IFERROR(__xludf.DUMMYFUNCTION("""COMPUTED_VALUE"""),0.0939)</f>
        <v>0.0939</v>
      </c>
      <c r="K3179" s="19">
        <f>IFERROR(__xludf.DUMMYFUNCTION("""COMPUTED_VALUE"""),0.1174)</f>
        <v>0.1174</v>
      </c>
      <c r="L3179" s="19">
        <f>IFERROR(__xludf.DUMMYFUNCTION("""COMPUTED_VALUE"""),0.1409)</f>
        <v>0.1409</v>
      </c>
      <c r="M3179" s="18">
        <f>IFERROR(__xludf.DUMMYFUNCTION("""COMPUTED_VALUE"""),3.88)</f>
        <v>3.88</v>
      </c>
    </row>
    <row r="3180">
      <c r="A3180" s="13" t="str">
        <f>IFERROR(__xludf.DUMMYFUNCTION("""COMPUTED_VALUE"""),"товари")</f>
        <v>товари</v>
      </c>
      <c r="B3180" s="16" t="str">
        <f>IFERROR(__xludf.DUMMYFUNCTION("""COMPUTED_VALUE"""),"промислова хімія")</f>
        <v>промислова хімія</v>
      </c>
      <c r="C3180" s="16" t="str">
        <f>IFERROR(__xludf.DUMMYFUNCTION("""COMPUTED_VALUE"""),"засоби для біотуалетів та вигрібних ям")</f>
        <v>засоби для біотуалетів та вигрібних ям</v>
      </c>
      <c r="D3180" s="16" t="str">
        <f>IFERROR(__xludf.DUMMYFUNCTION("""COMPUTED_VALUE"""),"засоби для біотуалетів та вигрібних ям")</f>
        <v>засоби для біотуалетів та вигрібних ям</v>
      </c>
      <c r="E3180" s="16" t="str">
        <f>IFERROR(__xludf.DUMMYFUNCTION("""COMPUTED_VALUE"""),"засоби для біотуалетів та вигрібних ям")</f>
        <v>засоби для біотуалетів та вигрібних ям</v>
      </c>
      <c r="F3180" s="17">
        <f>IFERROR(__xludf.DUMMYFUNCTION("""COMPUTED_VALUE"""),2.0)</f>
        <v>2</v>
      </c>
      <c r="G3180" s="17" t="str">
        <f>IFERROR(__xludf.DUMMYFUNCTION("""COMPUTED_VALUE"""),"809")</f>
        <v>809</v>
      </c>
      <c r="H3180" s="17" t="str">
        <f>IFERROR(__xludf.DUMMYFUNCTION("""COMPUTED_VALUE"""),"засоби для біотуалетів та вигрібних ям")</f>
        <v>засоби для біотуалетів та вигрібних ям</v>
      </c>
      <c r="I3180" s="19">
        <f>IFERROR(__xludf.DUMMYFUNCTION("""COMPUTED_VALUE"""),0.0688)</f>
        <v>0.0688</v>
      </c>
      <c r="J3180" s="19">
        <f>IFERROR(__xludf.DUMMYFUNCTION("""COMPUTED_VALUE"""),0.1375)</f>
        <v>0.1375</v>
      </c>
      <c r="K3180" s="19">
        <f>IFERROR(__xludf.DUMMYFUNCTION("""COMPUTED_VALUE"""),0.1719)</f>
        <v>0.1719</v>
      </c>
      <c r="L3180" s="19">
        <f>IFERROR(__xludf.DUMMYFUNCTION("""COMPUTED_VALUE"""),0.2063)</f>
        <v>0.2063</v>
      </c>
      <c r="M3180" s="18">
        <f>IFERROR(__xludf.DUMMYFUNCTION("""COMPUTED_VALUE"""),5.4)</f>
        <v>5.4</v>
      </c>
    </row>
    <row r="3181">
      <c r="A3181" s="13" t="str">
        <f>IFERROR(__xludf.DUMMYFUNCTION("""COMPUTED_VALUE"""),"товари")</f>
        <v>товари</v>
      </c>
      <c r="B3181" s="16" t="str">
        <f>IFERROR(__xludf.DUMMYFUNCTION("""COMPUTED_VALUE"""),"промислова хімія")</f>
        <v>промислова хімія</v>
      </c>
      <c r="C3181" s="16" t="str">
        <f>IFERROR(__xludf.DUMMYFUNCTION("""COMPUTED_VALUE"""),"лакофарбові матеріали та покриття")</f>
        <v>лакофарбові матеріали та покриття</v>
      </c>
      <c r="D3181" s="16" t="str">
        <f>IFERROR(__xludf.DUMMYFUNCTION("""COMPUTED_VALUE"""),"захисні просочення")</f>
        <v>захисні просочення</v>
      </c>
      <c r="E3181" s="16" t="str">
        <f>IFERROR(__xludf.DUMMYFUNCTION("""COMPUTED_VALUE"""),"захисні просочення")</f>
        <v>захисні просочення</v>
      </c>
      <c r="F3181" s="17">
        <f>IFERROR(__xludf.DUMMYFUNCTION("""COMPUTED_VALUE"""),3.0)</f>
        <v>3</v>
      </c>
      <c r="G3181" s="17" t="str">
        <f>IFERROR(__xludf.DUMMYFUNCTION("""COMPUTED_VALUE"""),"81115")</f>
        <v>81115</v>
      </c>
      <c r="H3181" s="17" t="str">
        <f>IFERROR(__xludf.DUMMYFUNCTION("""COMPUTED_VALUE"""),"захисні просочення")</f>
        <v>захисні просочення</v>
      </c>
      <c r="I3181" s="19">
        <f>IFERROR(__xludf.DUMMYFUNCTION("""COMPUTED_VALUE"""),0.0561)</f>
        <v>0.0561</v>
      </c>
      <c r="J3181" s="19">
        <f>IFERROR(__xludf.DUMMYFUNCTION("""COMPUTED_VALUE"""),0.1122)</f>
        <v>0.1122</v>
      </c>
      <c r="K3181" s="19">
        <f>IFERROR(__xludf.DUMMYFUNCTION("""COMPUTED_VALUE"""),0.1403)</f>
        <v>0.1403</v>
      </c>
      <c r="L3181" s="19">
        <f>IFERROR(__xludf.DUMMYFUNCTION("""COMPUTED_VALUE"""),0.1683)</f>
        <v>0.1683</v>
      </c>
      <c r="M3181" s="18">
        <f>IFERROR(__xludf.DUMMYFUNCTION("""COMPUTED_VALUE"""),3.78)</f>
        <v>3.78</v>
      </c>
    </row>
    <row r="3182">
      <c r="A3182" s="13" t="str">
        <f>IFERROR(__xludf.DUMMYFUNCTION("""COMPUTED_VALUE"""),"товари")</f>
        <v>товари</v>
      </c>
      <c r="B3182" s="16" t="str">
        <f>IFERROR(__xludf.DUMMYFUNCTION("""COMPUTED_VALUE"""),"промислова хімія")</f>
        <v>промислова хімія</v>
      </c>
      <c r="C3182" s="16" t="str">
        <f>IFERROR(__xludf.DUMMYFUNCTION("""COMPUTED_VALUE"""),"клеючі речовини та герметики")</f>
        <v>клеючі речовини та герметики</v>
      </c>
      <c r="D3182" s="16" t="str">
        <f>IFERROR(__xludf.DUMMYFUNCTION("""COMPUTED_VALUE"""),"клей для ремонту одягу та взуття")</f>
        <v>клей для ремонту одягу та взуття</v>
      </c>
      <c r="E3182" s="16" t="str">
        <f>IFERROR(__xludf.DUMMYFUNCTION("""COMPUTED_VALUE"""),"клей для ремонту одягу та взуття")</f>
        <v>клей для ремонту одягу та взуття</v>
      </c>
      <c r="F3182" s="17">
        <f>IFERROR(__xludf.DUMMYFUNCTION("""COMPUTED_VALUE"""),3.0)</f>
        <v>3</v>
      </c>
      <c r="G3182" s="17" t="str">
        <f>IFERROR(__xludf.DUMMYFUNCTION("""COMPUTED_VALUE"""),"82203")</f>
        <v>82203</v>
      </c>
      <c r="H3182" s="17" t="str">
        <f>IFERROR(__xludf.DUMMYFUNCTION("""COMPUTED_VALUE"""),"клей для ремонту одягу та взуття")</f>
        <v>клей для ремонту одягу та взуття</v>
      </c>
      <c r="I3182" s="19">
        <f>IFERROR(__xludf.DUMMYFUNCTION("""COMPUTED_VALUE"""),0.0532)</f>
        <v>0.0532</v>
      </c>
      <c r="J3182" s="19">
        <f>IFERROR(__xludf.DUMMYFUNCTION("""COMPUTED_VALUE"""),0.1063)</f>
        <v>0.1063</v>
      </c>
      <c r="K3182" s="19">
        <f>IFERROR(__xludf.DUMMYFUNCTION("""COMPUTED_VALUE"""),0.1329)</f>
        <v>0.1329</v>
      </c>
      <c r="L3182" s="19">
        <f>IFERROR(__xludf.DUMMYFUNCTION("""COMPUTED_VALUE"""),0.1595)</f>
        <v>0.1595</v>
      </c>
      <c r="M3182" s="18">
        <f>IFERROR(__xludf.DUMMYFUNCTION("""COMPUTED_VALUE"""),1.98)</f>
        <v>1.98</v>
      </c>
    </row>
    <row r="3183">
      <c r="A3183" s="13" t="str">
        <f>IFERROR(__xludf.DUMMYFUNCTION("""COMPUTED_VALUE"""),"товари")</f>
        <v>товари</v>
      </c>
      <c r="B3183" s="16" t="str">
        <f>IFERROR(__xludf.DUMMYFUNCTION("""COMPUTED_VALUE"""),"промислова хімія")</f>
        <v>промислова хімія</v>
      </c>
      <c r="C3183" s="16" t="str">
        <f>IFERROR(__xludf.DUMMYFUNCTION("""COMPUTED_VALUE"""),"клеючі речовини та герметики")</f>
        <v>клеючі речовини та герметики</v>
      </c>
      <c r="D3183" s="16" t="str">
        <f>IFERROR(__xludf.DUMMYFUNCTION("""COMPUTED_VALUE"""),"клейка універсальна стрічка")</f>
        <v>клейка універсальна стрічка</v>
      </c>
      <c r="E3183" s="16" t="str">
        <f>IFERROR(__xludf.DUMMYFUNCTION("""COMPUTED_VALUE"""),"клейка універсальна стрічка")</f>
        <v>клейка універсальна стрічка</v>
      </c>
      <c r="F3183" s="17">
        <f>IFERROR(__xludf.DUMMYFUNCTION("""COMPUTED_VALUE"""),3.0)</f>
        <v>3</v>
      </c>
      <c r="G3183" s="17" t="str">
        <f>IFERROR(__xludf.DUMMYFUNCTION("""COMPUTED_VALUE"""),"230620")</f>
        <v>230620</v>
      </c>
      <c r="H3183" s="17" t="str">
        <f>IFERROR(__xludf.DUMMYFUNCTION("""COMPUTED_VALUE"""),"клейка універсальна стрічка")</f>
        <v>клейка універсальна стрічка</v>
      </c>
      <c r="I3183" s="19">
        <f>IFERROR(__xludf.DUMMYFUNCTION("""COMPUTED_VALUE"""),0.0746)</f>
        <v>0.0746</v>
      </c>
      <c r="J3183" s="19">
        <f>IFERROR(__xludf.DUMMYFUNCTION("""COMPUTED_VALUE"""),0.1491)</f>
        <v>0.1491</v>
      </c>
      <c r="K3183" s="19">
        <f>IFERROR(__xludf.DUMMYFUNCTION("""COMPUTED_VALUE"""),0.1864)</f>
        <v>0.1864</v>
      </c>
      <c r="L3183" s="19">
        <f>IFERROR(__xludf.DUMMYFUNCTION("""COMPUTED_VALUE"""),0.2237)</f>
        <v>0.2237</v>
      </c>
      <c r="M3183" s="18">
        <f>IFERROR(__xludf.DUMMYFUNCTION("""COMPUTED_VALUE"""),2.34)</f>
        <v>2.34</v>
      </c>
    </row>
    <row r="3184">
      <c r="A3184" s="13" t="str">
        <f>IFERROR(__xludf.DUMMYFUNCTION("""COMPUTED_VALUE"""),"товари")</f>
        <v>товари</v>
      </c>
      <c r="B3184" s="16" t="str">
        <f>IFERROR(__xludf.DUMMYFUNCTION("""COMPUTED_VALUE"""),"промислова хімія")</f>
        <v>промислова хімія</v>
      </c>
      <c r="C3184" s="16" t="str">
        <f>IFERROR(__xludf.DUMMYFUNCTION("""COMPUTED_VALUE"""),"клеючі речовини та герметики")</f>
        <v>клеючі речовини та герметики</v>
      </c>
      <c r="D3184" s="16" t="str">
        <f>IFERROR(__xludf.DUMMYFUNCTION("""COMPUTED_VALUE"""),"клеючі речовини та герметики, загальне")</f>
        <v>клеючі речовини та герметики, загальне</v>
      </c>
      <c r="E3184" s="16" t="str">
        <f>IFERROR(__xludf.DUMMYFUNCTION("""COMPUTED_VALUE"""),"клеючі речовини та герметики, загальне")</f>
        <v>клеючі речовини та герметики, загальне</v>
      </c>
      <c r="F3184" s="17">
        <f>IFERROR(__xludf.DUMMYFUNCTION("""COMPUTED_VALUE"""),3.0)</f>
        <v>3</v>
      </c>
      <c r="G3184" s="17" t="str">
        <f>IFERROR(__xludf.DUMMYFUNCTION("""COMPUTED_VALUE"""),"82299")</f>
        <v>82299</v>
      </c>
      <c r="H3184" s="17" t="str">
        <f>IFERROR(__xludf.DUMMYFUNCTION("""COMPUTED_VALUE"""),"клеючі речовини та герметики, загальне")</f>
        <v>клеючі речовини та герметики, загальне</v>
      </c>
      <c r="I3184" s="19">
        <f>IFERROR(__xludf.DUMMYFUNCTION("""COMPUTED_VALUE"""),0.125)</f>
        <v>0.125</v>
      </c>
      <c r="J3184" s="19">
        <f>IFERROR(__xludf.DUMMYFUNCTION("""COMPUTED_VALUE"""),0.25)</f>
        <v>0.25</v>
      </c>
      <c r="K3184" s="19">
        <f>IFERROR(__xludf.DUMMYFUNCTION("""COMPUTED_VALUE"""),0.3125)</f>
        <v>0.3125</v>
      </c>
      <c r="L3184" s="19">
        <f>IFERROR(__xludf.DUMMYFUNCTION("""COMPUTED_VALUE"""),0.375)</f>
        <v>0.375</v>
      </c>
      <c r="M3184" s="18">
        <f>IFERROR(__xludf.DUMMYFUNCTION("""COMPUTED_VALUE"""),4.33)</f>
        <v>4.33</v>
      </c>
    </row>
    <row r="3185">
      <c r="A3185" s="13" t="str">
        <f>IFERROR(__xludf.DUMMYFUNCTION("""COMPUTED_VALUE"""),"товари")</f>
        <v>товари</v>
      </c>
      <c r="B3185" s="16" t="str">
        <f>IFERROR(__xludf.DUMMYFUNCTION("""COMPUTED_VALUE"""),"промислова хімія")</f>
        <v>промислова хімія</v>
      </c>
      <c r="C3185" s="16" t="str">
        <f>IFERROR(__xludf.DUMMYFUNCTION("""COMPUTED_VALUE"""),"лакофарбові матеріали та покриття")</f>
        <v>лакофарбові матеріали та покриття</v>
      </c>
      <c r="D3185" s="16" t="str">
        <f>IFERROR(__xludf.DUMMYFUNCTION("""COMPUTED_VALUE"""),"лакофарбові матеріали для декорування")</f>
        <v>лакофарбові матеріали для декорування</v>
      </c>
      <c r="E3185" s="16" t="str">
        <f>IFERROR(__xludf.DUMMYFUNCTION("""COMPUTED_VALUE"""),"лакофарбові матеріали для декорування")</f>
        <v>лакофарбові матеріали для декорування</v>
      </c>
      <c r="F3185" s="17">
        <f>IFERROR(__xludf.DUMMYFUNCTION("""COMPUTED_VALUE"""),3.0)</f>
        <v>3</v>
      </c>
      <c r="G3185" s="17" t="str">
        <f>IFERROR(__xludf.DUMMYFUNCTION("""COMPUTED_VALUE"""),"81121")</f>
        <v>81121</v>
      </c>
      <c r="H3185" s="17" t="str">
        <f>IFERROR(__xludf.DUMMYFUNCTION("""COMPUTED_VALUE"""),"лакофарбові матеріали для декорування")</f>
        <v>лакофарбові матеріали для декорування</v>
      </c>
      <c r="I3185" s="19">
        <f>IFERROR(__xludf.DUMMYFUNCTION("""COMPUTED_VALUE"""),0.0447)</f>
        <v>0.0447</v>
      </c>
      <c r="J3185" s="19">
        <f>IFERROR(__xludf.DUMMYFUNCTION("""COMPUTED_VALUE"""),0.0893)</f>
        <v>0.0893</v>
      </c>
      <c r="K3185" s="19">
        <f>IFERROR(__xludf.DUMMYFUNCTION("""COMPUTED_VALUE"""),0.1116)</f>
        <v>0.1116</v>
      </c>
      <c r="L3185" s="19">
        <f>IFERROR(__xludf.DUMMYFUNCTION("""COMPUTED_VALUE"""),0.134)</f>
        <v>0.134</v>
      </c>
      <c r="M3185" s="18">
        <f>IFERROR(__xludf.DUMMYFUNCTION("""COMPUTED_VALUE"""),1.05)</f>
        <v>1.05</v>
      </c>
    </row>
    <row r="3186">
      <c r="A3186" s="13" t="str">
        <f>IFERROR(__xludf.DUMMYFUNCTION("""COMPUTED_VALUE"""),"товари")</f>
        <v>товари</v>
      </c>
      <c r="B3186" s="16" t="str">
        <f>IFERROR(__xludf.DUMMYFUNCTION("""COMPUTED_VALUE"""),"промислова хімія")</f>
        <v>промислова хімія</v>
      </c>
      <c r="C3186" s="16" t="str">
        <f>IFERROR(__xludf.DUMMYFUNCTION("""COMPUTED_VALUE"""),"лакофарбові матеріали та покриття")</f>
        <v>лакофарбові матеріали та покриття</v>
      </c>
      <c r="D3186" s="16" t="str">
        <f>IFERROR(__xludf.DUMMYFUNCTION("""COMPUTED_VALUE"""),"лакофарбові матеріали з антисептичними властивостями")</f>
        <v>лакофарбові матеріали з антисептичними властивостями</v>
      </c>
      <c r="E3186" s="16" t="str">
        <f>IFERROR(__xludf.DUMMYFUNCTION("""COMPUTED_VALUE"""),"лакофарбові матеріали з антисептичними властивостями")</f>
        <v>лакофарбові матеріали з антисептичними властивостями</v>
      </c>
      <c r="F3186" s="17">
        <f>IFERROR(__xludf.DUMMYFUNCTION("""COMPUTED_VALUE"""),3.0)</f>
        <v>3</v>
      </c>
      <c r="G3186" s="17" t="str">
        <f>IFERROR(__xludf.DUMMYFUNCTION("""COMPUTED_VALUE"""),"81117")</f>
        <v>81117</v>
      </c>
      <c r="H3186" s="17" t="str">
        <f>IFERROR(__xludf.DUMMYFUNCTION("""COMPUTED_VALUE"""),"лакофарбові матеріали з антисептичними властивостями")</f>
        <v>лакофарбові матеріали з антисептичними властивостями</v>
      </c>
      <c r="I3186" s="19">
        <f>IFERROR(__xludf.DUMMYFUNCTION("""COMPUTED_VALUE"""),0.0563)</f>
        <v>0.0563</v>
      </c>
      <c r="J3186" s="19">
        <f>IFERROR(__xludf.DUMMYFUNCTION("""COMPUTED_VALUE"""),0.1126)</f>
        <v>0.1126</v>
      </c>
      <c r="K3186" s="19">
        <f>IFERROR(__xludf.DUMMYFUNCTION("""COMPUTED_VALUE"""),0.1408)</f>
        <v>0.1408</v>
      </c>
      <c r="L3186" s="19">
        <f>IFERROR(__xludf.DUMMYFUNCTION("""COMPUTED_VALUE"""),0.1689)</f>
        <v>0.1689</v>
      </c>
      <c r="M3186" s="18">
        <f>IFERROR(__xludf.DUMMYFUNCTION("""COMPUTED_VALUE"""),3.75)</f>
        <v>3.75</v>
      </c>
    </row>
    <row r="3187">
      <c r="A3187" s="13" t="str">
        <f>IFERROR(__xludf.DUMMYFUNCTION("""COMPUTED_VALUE"""),"товари")</f>
        <v>товари</v>
      </c>
      <c r="B3187" s="16" t="str">
        <f>IFERROR(__xludf.DUMMYFUNCTION("""COMPUTED_VALUE"""),"промислова хімія")</f>
        <v>промислова хімія</v>
      </c>
      <c r="C3187" s="16" t="str">
        <f>IFERROR(__xludf.DUMMYFUNCTION("""COMPUTED_VALUE"""),"лакофарбові матеріали та покриття")</f>
        <v>лакофарбові матеріали та покриття</v>
      </c>
      <c r="D3187" s="16" t="str">
        <f>IFERROR(__xludf.DUMMYFUNCTION("""COMPUTED_VALUE"""),"лакофарбові матеріали, загальне")</f>
        <v>лакофарбові матеріали, загальне</v>
      </c>
      <c r="E3187" s="16" t="str">
        <f>IFERROR(__xludf.DUMMYFUNCTION("""COMPUTED_VALUE"""),"лакофарбові матеріали, загальне")</f>
        <v>лакофарбові матеріали, загальне</v>
      </c>
      <c r="F3187" s="17">
        <f>IFERROR(__xludf.DUMMYFUNCTION("""COMPUTED_VALUE"""),3.0)</f>
        <v>3</v>
      </c>
      <c r="G3187" s="17" t="str">
        <f>IFERROR(__xludf.DUMMYFUNCTION("""COMPUTED_VALUE"""),"81199")</f>
        <v>81199</v>
      </c>
      <c r="H3187" s="17" t="str">
        <f>IFERROR(__xludf.DUMMYFUNCTION("""COMPUTED_VALUE"""),"лакофарбові матеріали, загальне")</f>
        <v>лакофарбові матеріали, загальне</v>
      </c>
      <c r="I3187" s="19">
        <f>IFERROR(__xludf.DUMMYFUNCTION("""COMPUTED_VALUE"""),0.125)</f>
        <v>0.125</v>
      </c>
      <c r="J3187" s="19">
        <f>IFERROR(__xludf.DUMMYFUNCTION("""COMPUTED_VALUE"""),0.25)</f>
        <v>0.25</v>
      </c>
      <c r="K3187" s="19">
        <f>IFERROR(__xludf.DUMMYFUNCTION("""COMPUTED_VALUE"""),0.3125)</f>
        <v>0.3125</v>
      </c>
      <c r="L3187" s="19">
        <f>IFERROR(__xludf.DUMMYFUNCTION("""COMPUTED_VALUE"""),0.375)</f>
        <v>0.375</v>
      </c>
      <c r="M3187" s="18">
        <f>IFERROR(__xludf.DUMMYFUNCTION("""COMPUTED_VALUE"""),4.33)</f>
        <v>4.33</v>
      </c>
    </row>
    <row r="3188">
      <c r="A3188" s="13" t="str">
        <f>IFERROR(__xludf.DUMMYFUNCTION("""COMPUTED_VALUE"""),"товари")</f>
        <v>товари</v>
      </c>
      <c r="B3188" s="16" t="str">
        <f>IFERROR(__xludf.DUMMYFUNCTION("""COMPUTED_VALUE"""),"промислова хімія")</f>
        <v>промислова хімія</v>
      </c>
      <c r="C3188" s="16" t="str">
        <f>IFERROR(__xludf.DUMMYFUNCTION("""COMPUTED_VALUE"""),"лакофарбові матеріали та покриття")</f>
        <v>лакофарбові матеріали та покриття</v>
      </c>
      <c r="D3188" s="16" t="str">
        <f>IFERROR(__xludf.DUMMYFUNCTION("""COMPUTED_VALUE"""),"люмінесцентні покриття")</f>
        <v>люмінесцентні покриття</v>
      </c>
      <c r="E3188" s="16" t="str">
        <f>IFERROR(__xludf.DUMMYFUNCTION("""COMPUTED_VALUE"""),"люмінесцентні покриття")</f>
        <v>люмінесцентні покриття</v>
      </c>
      <c r="F3188" s="17">
        <f>IFERROR(__xludf.DUMMYFUNCTION("""COMPUTED_VALUE"""),3.0)</f>
        <v>3</v>
      </c>
      <c r="G3188" s="17" t="str">
        <f>IFERROR(__xludf.DUMMYFUNCTION("""COMPUTED_VALUE"""),"13071004")</f>
        <v>13071004</v>
      </c>
      <c r="H3188" s="17" t="str">
        <f>IFERROR(__xludf.DUMMYFUNCTION("""COMPUTED_VALUE"""),"люмінесцентні покриття")</f>
        <v>люмінесцентні покриття</v>
      </c>
      <c r="I3188" s="19">
        <f>IFERROR(__xludf.DUMMYFUNCTION("""COMPUTED_VALUE"""),0.0654)</f>
        <v>0.0654</v>
      </c>
      <c r="J3188" s="19">
        <f>IFERROR(__xludf.DUMMYFUNCTION("""COMPUTED_VALUE"""),0.1307)</f>
        <v>0.1307</v>
      </c>
      <c r="K3188" s="19">
        <f>IFERROR(__xludf.DUMMYFUNCTION("""COMPUTED_VALUE"""),0.1634)</f>
        <v>0.1634</v>
      </c>
      <c r="L3188" s="19">
        <f>IFERROR(__xludf.DUMMYFUNCTION("""COMPUTED_VALUE"""),0.1961)</f>
        <v>0.1961</v>
      </c>
      <c r="M3188" s="18">
        <f>IFERROR(__xludf.DUMMYFUNCTION("""COMPUTED_VALUE"""),1.53)</f>
        <v>1.53</v>
      </c>
    </row>
    <row r="3189">
      <c r="A3189" s="20" t="str">
        <f>IFERROR(__xludf.DUMMYFUNCTION("""COMPUTED_VALUE"""),"товари")</f>
        <v>товари</v>
      </c>
      <c r="B3189" s="21" t="str">
        <f>IFERROR(__xludf.DUMMYFUNCTION("""COMPUTED_VALUE"""),"промислова хімія")</f>
        <v>промислова хімія</v>
      </c>
      <c r="C3189" s="21" t="str">
        <f>IFERROR(__xludf.DUMMYFUNCTION("""COMPUTED_VALUE"""),"мастильно-охолоджуючі рідини")</f>
        <v>мастильно-охолоджуючі рідини</v>
      </c>
      <c r="D3189" s="21" t="str">
        <f>IFERROR(__xludf.DUMMYFUNCTION("""COMPUTED_VALUE"""),"мастильно-охолоджуючі рідини")</f>
        <v>мастильно-охолоджуючі рідини</v>
      </c>
      <c r="E3189" s="21" t="str">
        <f>IFERROR(__xludf.DUMMYFUNCTION("""COMPUTED_VALUE"""),"мастильно-охолоджуючі рідини")</f>
        <v>мастильно-охолоджуючі рідини</v>
      </c>
      <c r="F3189" s="22">
        <f>IFERROR(__xludf.DUMMYFUNCTION("""COMPUTED_VALUE"""),2.0)</f>
        <v>2</v>
      </c>
      <c r="G3189" s="22" t="str">
        <f>IFERROR(__xludf.DUMMYFUNCTION("""COMPUTED_VALUE"""),"10010207")</f>
        <v>10010207</v>
      </c>
      <c r="H3189" s="22" t="str">
        <f>IFERROR(__xludf.DUMMYFUNCTION("""COMPUTED_VALUE"""),"мастильно-охолоджуючі рідини")</f>
        <v>мастильно-охолоджуючі рідини</v>
      </c>
      <c r="I3189" s="19">
        <f>IFERROR(__xludf.DUMMYFUNCTION("""COMPUTED_VALUE"""),0.0416)</f>
        <v>0.0416</v>
      </c>
      <c r="J3189" s="19">
        <f>IFERROR(__xludf.DUMMYFUNCTION("""COMPUTED_VALUE"""),0.0832)</f>
        <v>0.0832</v>
      </c>
      <c r="K3189" s="19">
        <f>IFERROR(__xludf.DUMMYFUNCTION("""COMPUTED_VALUE"""),0.104)</f>
        <v>0.104</v>
      </c>
      <c r="L3189" s="19">
        <f>IFERROR(__xludf.DUMMYFUNCTION("""COMPUTED_VALUE"""),0.1248)</f>
        <v>0.1248</v>
      </c>
      <c r="M3189" s="18">
        <f>IFERROR(__xludf.DUMMYFUNCTION("""COMPUTED_VALUE"""),1.53)</f>
        <v>1.53</v>
      </c>
    </row>
    <row r="3190">
      <c r="A3190" s="13" t="str">
        <f>IFERROR(__xludf.DUMMYFUNCTION("""COMPUTED_VALUE"""),"товари")</f>
        <v>товари</v>
      </c>
      <c r="B3190" s="16" t="str">
        <f>IFERROR(__xludf.DUMMYFUNCTION("""COMPUTED_VALUE"""),"промислова хімія")</f>
        <v>промислова хімія</v>
      </c>
      <c r="C3190" s="16" t="str">
        <f>IFERROR(__xludf.DUMMYFUNCTION("""COMPUTED_VALUE"""),"лакофарбові матеріали та покриття")</f>
        <v>лакофарбові матеріали та покриття</v>
      </c>
      <c r="D3190" s="16" t="str">
        <f>IFERROR(__xludf.DUMMYFUNCTION("""COMPUTED_VALUE"""),"матеріали для пластикових покриттів")</f>
        <v>матеріали для пластикових покриттів</v>
      </c>
      <c r="E3190" s="16" t="str">
        <f>IFERROR(__xludf.DUMMYFUNCTION("""COMPUTED_VALUE"""),"матеріали для пластикових покриттів")</f>
        <v>матеріали для пластикових покриттів</v>
      </c>
      <c r="F3190" s="17">
        <f>IFERROR(__xludf.DUMMYFUNCTION("""COMPUTED_VALUE"""),3.0)</f>
        <v>3</v>
      </c>
      <c r="G3190" s="17" t="str">
        <f>IFERROR(__xludf.DUMMYFUNCTION("""COMPUTED_VALUE"""),"81107")</f>
        <v>81107</v>
      </c>
      <c r="H3190" s="17" t="str">
        <f>IFERROR(__xludf.DUMMYFUNCTION("""COMPUTED_VALUE"""),"матеріали для пластикових покриттів")</f>
        <v>матеріали для пластикових покриттів</v>
      </c>
      <c r="I3190" s="19">
        <f>IFERROR(__xludf.DUMMYFUNCTION("""COMPUTED_VALUE"""),0.0429)</f>
        <v>0.0429</v>
      </c>
      <c r="J3190" s="19">
        <f>IFERROR(__xludf.DUMMYFUNCTION("""COMPUTED_VALUE"""),0.0858)</f>
        <v>0.0858</v>
      </c>
      <c r="K3190" s="19">
        <f>IFERROR(__xludf.DUMMYFUNCTION("""COMPUTED_VALUE"""),0.1073)</f>
        <v>0.1073</v>
      </c>
      <c r="L3190" s="19">
        <f>IFERROR(__xludf.DUMMYFUNCTION("""COMPUTED_VALUE"""),0.1287)</f>
        <v>0.1287</v>
      </c>
      <c r="M3190" s="18">
        <f>IFERROR(__xludf.DUMMYFUNCTION("""COMPUTED_VALUE"""),1.05)</f>
        <v>1.05</v>
      </c>
    </row>
    <row r="3191">
      <c r="A3191" s="13" t="str">
        <f>IFERROR(__xludf.DUMMYFUNCTION("""COMPUTED_VALUE"""),"товари")</f>
        <v>товари</v>
      </c>
      <c r="B3191" s="16" t="str">
        <f>IFERROR(__xludf.DUMMYFUNCTION("""COMPUTED_VALUE"""),"промислова хімія")</f>
        <v>промислова хімія</v>
      </c>
      <c r="C3191" s="16" t="str">
        <f>IFERROR(__xludf.DUMMYFUNCTION("""COMPUTED_VALUE"""),"неорганічні сполуки")</f>
        <v>неорганічні сполуки</v>
      </c>
      <c r="D3191" s="16" t="str">
        <f>IFERROR(__xludf.DUMMYFUNCTION("""COMPUTED_VALUE"""),"мінеральні солі")</f>
        <v>мінеральні солі</v>
      </c>
      <c r="E3191" s="16" t="str">
        <f>IFERROR(__xludf.DUMMYFUNCTION("""COMPUTED_VALUE"""),"мінеральні солі")</f>
        <v>мінеральні солі</v>
      </c>
      <c r="F3191" s="17">
        <f>IFERROR(__xludf.DUMMYFUNCTION("""COMPUTED_VALUE"""),3.0)</f>
        <v>3</v>
      </c>
      <c r="G3191" s="17" t="str">
        <f>IFERROR(__xludf.DUMMYFUNCTION("""COMPUTED_VALUE"""),"8020313")</f>
        <v>8020313</v>
      </c>
      <c r="H3191" s="17" t="str">
        <f>IFERROR(__xludf.DUMMYFUNCTION("""COMPUTED_VALUE"""),"мінеральні солі")</f>
        <v>мінеральні солі</v>
      </c>
      <c r="I3191" s="19">
        <f>IFERROR(__xludf.DUMMYFUNCTION("""COMPUTED_VALUE"""),0.0478)</f>
        <v>0.0478</v>
      </c>
      <c r="J3191" s="19">
        <f>IFERROR(__xludf.DUMMYFUNCTION("""COMPUTED_VALUE"""),0.0955)</f>
        <v>0.0955</v>
      </c>
      <c r="K3191" s="19">
        <f>IFERROR(__xludf.DUMMYFUNCTION("""COMPUTED_VALUE"""),0.1194)</f>
        <v>0.1194</v>
      </c>
      <c r="L3191" s="19">
        <f>IFERROR(__xludf.DUMMYFUNCTION("""COMPUTED_VALUE"""),0.1433)</f>
        <v>0.1433</v>
      </c>
      <c r="M3191" s="18">
        <f>IFERROR(__xludf.DUMMYFUNCTION("""COMPUTED_VALUE"""),3.43)</f>
        <v>3.43</v>
      </c>
    </row>
    <row r="3192">
      <c r="A3192" s="13" t="str">
        <f>IFERROR(__xludf.DUMMYFUNCTION("""COMPUTED_VALUE"""),"товари")</f>
        <v>товари</v>
      </c>
      <c r="B3192" s="16" t="str">
        <f>IFERROR(__xludf.DUMMYFUNCTION("""COMPUTED_VALUE"""),"промислова хімія")</f>
        <v>промислова хімія</v>
      </c>
      <c r="C3192" s="16" t="str">
        <f>IFERROR(__xludf.DUMMYFUNCTION("""COMPUTED_VALUE"""),"хімічні реактиви")</f>
        <v>хімічні реактиви</v>
      </c>
      <c r="D3192" s="16" t="str">
        <f>IFERROR(__xludf.DUMMYFUNCTION("""COMPUTED_VALUE"""),"органічні та неорганічні кислоти")</f>
        <v>органічні та неорганічні кислоти</v>
      </c>
      <c r="E3192" s="16" t="str">
        <f>IFERROR(__xludf.DUMMYFUNCTION("""COMPUTED_VALUE"""),"органічні та неорганічні кислоти")</f>
        <v>органічні та неорганічні кислоти</v>
      </c>
      <c r="F3192" s="17">
        <f>IFERROR(__xludf.DUMMYFUNCTION("""COMPUTED_VALUE"""),3.0)</f>
        <v>3</v>
      </c>
      <c r="G3192" s="17" t="str">
        <f>IFERROR(__xludf.DUMMYFUNCTION("""COMPUTED_VALUE"""),"81702")</f>
        <v>81702</v>
      </c>
      <c r="H3192" s="17" t="str">
        <f>IFERROR(__xludf.DUMMYFUNCTION("""COMPUTED_VALUE"""),"органічні та неорганічні кислоти")</f>
        <v>органічні та неорганічні кислоти</v>
      </c>
      <c r="I3192" s="19">
        <f>IFERROR(__xludf.DUMMYFUNCTION("""COMPUTED_VALUE"""),0.0447)</f>
        <v>0.0447</v>
      </c>
      <c r="J3192" s="19">
        <f>IFERROR(__xludf.DUMMYFUNCTION("""COMPUTED_VALUE"""),0.0893)</f>
        <v>0.0893</v>
      </c>
      <c r="K3192" s="19">
        <f>IFERROR(__xludf.DUMMYFUNCTION("""COMPUTED_VALUE"""),0.1116)</f>
        <v>0.1116</v>
      </c>
      <c r="L3192" s="19">
        <f>IFERROR(__xludf.DUMMYFUNCTION("""COMPUTED_VALUE"""),0.134)</f>
        <v>0.134</v>
      </c>
      <c r="M3192" s="18">
        <f>IFERROR(__xludf.DUMMYFUNCTION("""COMPUTED_VALUE"""),3.98)</f>
        <v>3.98</v>
      </c>
    </row>
    <row r="3193">
      <c r="A3193" s="13" t="str">
        <f>IFERROR(__xludf.DUMMYFUNCTION("""COMPUTED_VALUE"""),"товари")</f>
        <v>товари</v>
      </c>
      <c r="B3193" s="16" t="str">
        <f>IFERROR(__xludf.DUMMYFUNCTION("""COMPUTED_VALUE"""),"промислова хімія")</f>
        <v>промислова хімія</v>
      </c>
      <c r="C3193" s="16" t="str">
        <f>IFERROR(__xludf.DUMMYFUNCTION("""COMPUTED_VALUE"""),"побутовий антифриз для опалювальних систем")</f>
        <v>побутовий антифриз для опалювальних систем</v>
      </c>
      <c r="D3193" s="16" t="str">
        <f>IFERROR(__xludf.DUMMYFUNCTION("""COMPUTED_VALUE"""),"побутовий антифриз для опалювальних систем")</f>
        <v>побутовий антифриз для опалювальних систем</v>
      </c>
      <c r="E3193" s="16" t="str">
        <f>IFERROR(__xludf.DUMMYFUNCTION("""COMPUTED_VALUE"""),"побутовий антифриз для опалювальних систем")</f>
        <v>побутовий антифриз для опалювальних систем</v>
      </c>
      <c r="F3193" s="17">
        <f>IFERROR(__xludf.DUMMYFUNCTION("""COMPUTED_VALUE"""),2.0)</f>
        <v>2</v>
      </c>
      <c r="G3193" s="17" t="str">
        <f>IFERROR(__xludf.DUMMYFUNCTION("""COMPUTED_VALUE"""),"816")</f>
        <v>816</v>
      </c>
      <c r="H3193" s="17" t="str">
        <f>IFERROR(__xludf.DUMMYFUNCTION("""COMPUTED_VALUE"""),"побутовий антифриз для опалювальних систем")</f>
        <v>побутовий антифриз для опалювальних систем</v>
      </c>
      <c r="I3193" s="19">
        <f>IFERROR(__xludf.DUMMYFUNCTION("""COMPUTED_VALUE"""),0.058)</f>
        <v>0.058</v>
      </c>
      <c r="J3193" s="19">
        <f>IFERROR(__xludf.DUMMYFUNCTION("""COMPUTED_VALUE"""),0.116)</f>
        <v>0.116</v>
      </c>
      <c r="K3193" s="19">
        <f>IFERROR(__xludf.DUMMYFUNCTION("""COMPUTED_VALUE"""),0.145)</f>
        <v>0.145</v>
      </c>
      <c r="L3193" s="19">
        <f>IFERROR(__xludf.DUMMYFUNCTION("""COMPUTED_VALUE"""),0.174)</f>
        <v>0.174</v>
      </c>
      <c r="M3193" s="18">
        <f>IFERROR(__xludf.DUMMYFUNCTION("""COMPUTED_VALUE"""),1.53)</f>
        <v>1.53</v>
      </c>
    </row>
    <row r="3194">
      <c r="A3194" s="13" t="str">
        <f>IFERROR(__xludf.DUMMYFUNCTION("""COMPUTED_VALUE"""),"товари")</f>
        <v>товари</v>
      </c>
      <c r="B3194" s="16" t="str">
        <f>IFERROR(__xludf.DUMMYFUNCTION("""COMPUTED_VALUE"""),"промислова хімія")</f>
        <v>промислова хімія</v>
      </c>
      <c r="C3194" s="16" t="str">
        <f>IFERROR(__xludf.DUMMYFUNCTION("""COMPUTED_VALUE"""),"колоїдна хімія")</f>
        <v>колоїдна хімія</v>
      </c>
      <c r="D3194" s="16" t="str">
        <f>IFERROR(__xludf.DUMMYFUNCTION("""COMPUTED_VALUE"""),"поверхнево-активні речовини")</f>
        <v>поверхнево-активні речовини</v>
      </c>
      <c r="E3194" s="16" t="str">
        <f>IFERROR(__xludf.DUMMYFUNCTION("""COMPUTED_VALUE"""),"поверхнево-активні речовини")</f>
        <v>поверхнево-активні речовини</v>
      </c>
      <c r="F3194" s="17">
        <f>IFERROR(__xludf.DUMMYFUNCTION("""COMPUTED_VALUE"""),3.0)</f>
        <v>3</v>
      </c>
      <c r="G3194" s="17" t="str">
        <f>IFERROR(__xludf.DUMMYFUNCTION("""COMPUTED_VALUE"""),"83208")</f>
        <v>83208</v>
      </c>
      <c r="H3194" s="17" t="str">
        <f>IFERROR(__xludf.DUMMYFUNCTION("""COMPUTED_VALUE"""),"поверхнево-активні речовини")</f>
        <v>поверхнево-активні речовини</v>
      </c>
      <c r="I3194" s="19">
        <f>IFERROR(__xludf.DUMMYFUNCTION("""COMPUTED_VALUE"""),0.0601)</f>
        <v>0.0601</v>
      </c>
      <c r="J3194" s="19">
        <f>IFERROR(__xludf.DUMMYFUNCTION("""COMPUTED_VALUE"""),0.1201)</f>
        <v>0.1201</v>
      </c>
      <c r="K3194" s="19">
        <f>IFERROR(__xludf.DUMMYFUNCTION("""COMPUTED_VALUE"""),0.1501)</f>
        <v>0.1501</v>
      </c>
      <c r="L3194" s="19">
        <f>IFERROR(__xludf.DUMMYFUNCTION("""COMPUTED_VALUE"""),0.1802)</f>
        <v>0.1802</v>
      </c>
      <c r="M3194" s="18">
        <f>IFERROR(__xludf.DUMMYFUNCTION("""COMPUTED_VALUE"""),3.43)</f>
        <v>3.43</v>
      </c>
    </row>
    <row r="3195">
      <c r="A3195" s="13" t="str">
        <f>IFERROR(__xludf.DUMMYFUNCTION("""COMPUTED_VALUE"""),"товари")</f>
        <v>товари</v>
      </c>
      <c r="B3195" s="16" t="str">
        <f>IFERROR(__xludf.DUMMYFUNCTION("""COMPUTED_VALUE"""),"промислова хімія")</f>
        <v>промислова хімія</v>
      </c>
      <c r="C3195" s="16" t="str">
        <f>IFERROR(__xludf.DUMMYFUNCTION("""COMPUTED_VALUE"""),"лакофарбові матеріали та покриття")</f>
        <v>лакофарбові матеріали та покриття</v>
      </c>
      <c r="D3195" s="16" t="str">
        <f>IFERROR(__xludf.DUMMYFUNCTION("""COMPUTED_VALUE"""),"порошкові фарби")</f>
        <v>порошкові фарби</v>
      </c>
      <c r="E3195" s="16" t="str">
        <f>IFERROR(__xludf.DUMMYFUNCTION("""COMPUTED_VALUE"""),"порошкові фарби")</f>
        <v>порошкові фарби</v>
      </c>
      <c r="F3195" s="17">
        <f>IFERROR(__xludf.DUMMYFUNCTION("""COMPUTED_VALUE"""),3.0)</f>
        <v>3</v>
      </c>
      <c r="G3195" s="17" t="str">
        <f>IFERROR(__xludf.DUMMYFUNCTION("""COMPUTED_VALUE"""),"81108")</f>
        <v>81108</v>
      </c>
      <c r="H3195" s="17" t="str">
        <f>IFERROR(__xludf.DUMMYFUNCTION("""COMPUTED_VALUE"""),"порошкові фарби")</f>
        <v>порошкові фарби</v>
      </c>
      <c r="I3195" s="19">
        <f>IFERROR(__xludf.DUMMYFUNCTION("""COMPUTED_VALUE"""),0.0539)</f>
        <v>0.0539</v>
      </c>
      <c r="J3195" s="19">
        <f>IFERROR(__xludf.DUMMYFUNCTION("""COMPUTED_VALUE"""),0.1078)</f>
        <v>0.1078</v>
      </c>
      <c r="K3195" s="19">
        <f>IFERROR(__xludf.DUMMYFUNCTION("""COMPUTED_VALUE"""),0.1348)</f>
        <v>0.1348</v>
      </c>
      <c r="L3195" s="19">
        <f>IFERROR(__xludf.DUMMYFUNCTION("""COMPUTED_VALUE"""),0.1617)</f>
        <v>0.1617</v>
      </c>
      <c r="M3195" s="18">
        <f>IFERROR(__xludf.DUMMYFUNCTION("""COMPUTED_VALUE"""),4.14)</f>
        <v>4.14</v>
      </c>
    </row>
    <row r="3196">
      <c r="A3196" s="13" t="str">
        <f>IFERROR(__xludf.DUMMYFUNCTION("""COMPUTED_VALUE"""),"товари")</f>
        <v>товари</v>
      </c>
      <c r="B3196" s="16" t="str">
        <f>IFERROR(__xludf.DUMMYFUNCTION("""COMPUTED_VALUE"""),"промислова хімія")</f>
        <v>промислова хімія</v>
      </c>
      <c r="C3196" s="16" t="str">
        <f>IFERROR(__xludf.DUMMYFUNCTION("""COMPUTED_VALUE"""),"лакофарбові матеріали та покриття")</f>
        <v>лакофарбові матеріали та покриття</v>
      </c>
      <c r="D3196" s="16" t="str">
        <f>IFERROR(__xludf.DUMMYFUNCTION("""COMPUTED_VALUE"""),"промислові маркери")</f>
        <v>промислові маркери</v>
      </c>
      <c r="E3196" s="16" t="str">
        <f>IFERROR(__xludf.DUMMYFUNCTION("""COMPUTED_VALUE"""),"промислові маркери")</f>
        <v>промислові маркери</v>
      </c>
      <c r="F3196" s="17">
        <f>IFERROR(__xludf.DUMMYFUNCTION("""COMPUTED_VALUE"""),3.0)</f>
        <v>3</v>
      </c>
      <c r="G3196" s="17" t="str">
        <f>IFERROR(__xludf.DUMMYFUNCTION("""COMPUTED_VALUE"""),"81118")</f>
        <v>81118</v>
      </c>
      <c r="H3196" s="17" t="str">
        <f>IFERROR(__xludf.DUMMYFUNCTION("""COMPUTED_VALUE"""),"промислові маркери")</f>
        <v>промислові маркери</v>
      </c>
      <c r="I3196" s="19">
        <f>IFERROR(__xludf.DUMMYFUNCTION("""COMPUTED_VALUE"""),0.0616)</f>
        <v>0.0616</v>
      </c>
      <c r="J3196" s="19">
        <f>IFERROR(__xludf.DUMMYFUNCTION("""COMPUTED_VALUE"""),0.1232)</f>
        <v>0.1232</v>
      </c>
      <c r="K3196" s="19">
        <f>IFERROR(__xludf.DUMMYFUNCTION("""COMPUTED_VALUE"""),0.154)</f>
        <v>0.154</v>
      </c>
      <c r="L3196" s="19">
        <f>IFERROR(__xludf.DUMMYFUNCTION("""COMPUTED_VALUE"""),0.1848)</f>
        <v>0.1848</v>
      </c>
      <c r="M3196" s="18">
        <f>IFERROR(__xludf.DUMMYFUNCTION("""COMPUTED_VALUE"""),1.44)</f>
        <v>1.44</v>
      </c>
    </row>
    <row r="3197">
      <c r="A3197" s="13" t="str">
        <f>IFERROR(__xludf.DUMMYFUNCTION("""COMPUTED_VALUE"""),"товари")</f>
        <v>товари</v>
      </c>
      <c r="B3197" s="16" t="str">
        <f>IFERROR(__xludf.DUMMYFUNCTION("""COMPUTED_VALUE"""),"промислова хімія")</f>
        <v>промислова хімія</v>
      </c>
      <c r="C3197" s="16" t="str">
        <f>IFERROR(__xludf.DUMMYFUNCTION("""COMPUTED_VALUE"""),"речовини для обробки води")</f>
        <v>речовини для обробки води</v>
      </c>
      <c r="D3197" s="16" t="str">
        <f>IFERROR(__xludf.DUMMYFUNCTION("""COMPUTED_VALUE"""),"речовини для обробки води")</f>
        <v>речовини для обробки води</v>
      </c>
      <c r="E3197" s="16" t="str">
        <f>IFERROR(__xludf.DUMMYFUNCTION("""COMPUTED_VALUE"""),"речовини для обробки води")</f>
        <v>речовини для обробки води</v>
      </c>
      <c r="F3197" s="17">
        <f>IFERROR(__xludf.DUMMYFUNCTION("""COMPUTED_VALUE"""),2.0)</f>
        <v>2</v>
      </c>
      <c r="G3197" s="17" t="str">
        <f>IFERROR(__xludf.DUMMYFUNCTION("""COMPUTED_VALUE"""),"83210")</f>
        <v>83210</v>
      </c>
      <c r="H3197" s="17" t="str">
        <f>IFERROR(__xludf.DUMMYFUNCTION("""COMPUTED_VALUE"""),"речовини для обробки води")</f>
        <v>речовини для обробки води</v>
      </c>
      <c r="I3197" s="19">
        <f>IFERROR(__xludf.DUMMYFUNCTION("""COMPUTED_VALUE"""),0.0493)</f>
        <v>0.0493</v>
      </c>
      <c r="J3197" s="19">
        <f>IFERROR(__xludf.DUMMYFUNCTION("""COMPUTED_VALUE"""),0.0986)</f>
        <v>0.0986</v>
      </c>
      <c r="K3197" s="19">
        <f>IFERROR(__xludf.DUMMYFUNCTION("""COMPUTED_VALUE"""),0.1233)</f>
        <v>0.1233</v>
      </c>
      <c r="L3197" s="19">
        <f>IFERROR(__xludf.DUMMYFUNCTION("""COMPUTED_VALUE"""),0.1479)</f>
        <v>0.1479</v>
      </c>
      <c r="M3197" s="18">
        <f>IFERROR(__xludf.DUMMYFUNCTION("""COMPUTED_VALUE"""),4.88)</f>
        <v>4.88</v>
      </c>
    </row>
    <row r="3198">
      <c r="A3198" s="13" t="str">
        <f>IFERROR(__xludf.DUMMYFUNCTION("""COMPUTED_VALUE"""),"товари")</f>
        <v>товари</v>
      </c>
      <c r="B3198" s="16" t="str">
        <f>IFERROR(__xludf.DUMMYFUNCTION("""COMPUTED_VALUE"""),"промислова хімія")</f>
        <v>промислова хімія</v>
      </c>
      <c r="C3198" s="16" t="str">
        <f>IFERROR(__xludf.DUMMYFUNCTION("""COMPUTED_VALUE"""),"рідке скло")</f>
        <v>рідке скло</v>
      </c>
      <c r="D3198" s="16" t="str">
        <f>IFERROR(__xludf.DUMMYFUNCTION("""COMPUTED_VALUE"""),"рідке скло")</f>
        <v>рідке скло</v>
      </c>
      <c r="E3198" s="16" t="str">
        <f>IFERROR(__xludf.DUMMYFUNCTION("""COMPUTED_VALUE"""),"рідке скло")</f>
        <v>рідке скло</v>
      </c>
      <c r="F3198" s="17">
        <f>IFERROR(__xludf.DUMMYFUNCTION("""COMPUTED_VALUE"""),2.0)</f>
        <v>2</v>
      </c>
      <c r="G3198" s="17" t="str">
        <f>IFERROR(__xludf.DUMMYFUNCTION("""COMPUTED_VALUE"""),"80325")</f>
        <v>80325</v>
      </c>
      <c r="H3198" s="17" t="str">
        <f>IFERROR(__xludf.DUMMYFUNCTION("""COMPUTED_VALUE"""),"рідке скло")</f>
        <v>рідке скло</v>
      </c>
      <c r="I3198" s="19">
        <f>IFERROR(__xludf.DUMMYFUNCTION("""COMPUTED_VALUE"""),0.062)</f>
        <v>0.062</v>
      </c>
      <c r="J3198" s="19">
        <f>IFERROR(__xludf.DUMMYFUNCTION("""COMPUTED_VALUE"""),0.124)</f>
        <v>0.124</v>
      </c>
      <c r="K3198" s="19">
        <f>IFERROR(__xludf.DUMMYFUNCTION("""COMPUTED_VALUE"""),0.155)</f>
        <v>0.155</v>
      </c>
      <c r="L3198" s="19">
        <f>IFERROR(__xludf.DUMMYFUNCTION("""COMPUTED_VALUE"""),0.186)</f>
        <v>0.186</v>
      </c>
      <c r="M3198" s="18">
        <f>IFERROR(__xludf.DUMMYFUNCTION("""COMPUTED_VALUE"""),1.63)</f>
        <v>1.63</v>
      </c>
    </row>
    <row r="3199">
      <c r="A3199" s="13" t="str">
        <f>IFERROR(__xludf.DUMMYFUNCTION("""COMPUTED_VALUE"""),"товари")</f>
        <v>товари</v>
      </c>
      <c r="B3199" s="16" t="str">
        <f>IFERROR(__xludf.DUMMYFUNCTION("""COMPUTED_VALUE"""),"промислова хімія")</f>
        <v>промислова хімія</v>
      </c>
      <c r="C3199" s="16" t="str">
        <f>IFERROR(__xludf.DUMMYFUNCTION("""COMPUTED_VALUE"""),"клеючі речовини та герметики")</f>
        <v>клеючі речовини та герметики</v>
      </c>
      <c r="D3199" s="16" t="str">
        <f>IFERROR(__xludf.DUMMYFUNCTION("""COMPUTED_VALUE"""),"рідкі цвяхи")</f>
        <v>рідкі цвяхи</v>
      </c>
      <c r="E3199" s="16" t="str">
        <f>IFERROR(__xludf.DUMMYFUNCTION("""COMPUTED_VALUE"""),"рідкі цвяхи")</f>
        <v>рідкі цвяхи</v>
      </c>
      <c r="F3199" s="17">
        <f>IFERROR(__xludf.DUMMYFUNCTION("""COMPUTED_VALUE"""),3.0)</f>
        <v>3</v>
      </c>
      <c r="G3199" s="17" t="str">
        <f>IFERROR(__xludf.DUMMYFUNCTION("""COMPUTED_VALUE"""),"82213")</f>
        <v>82213</v>
      </c>
      <c r="H3199" s="17" t="str">
        <f>IFERROR(__xludf.DUMMYFUNCTION("""COMPUTED_VALUE"""),"рідкі цвяхи")</f>
        <v>рідкі цвяхи</v>
      </c>
      <c r="I3199" s="19">
        <f>IFERROR(__xludf.DUMMYFUNCTION("""COMPUTED_VALUE"""),0.0559)</f>
        <v>0.0559</v>
      </c>
      <c r="J3199" s="19">
        <f>IFERROR(__xludf.DUMMYFUNCTION("""COMPUTED_VALUE"""),0.1118)</f>
        <v>0.1118</v>
      </c>
      <c r="K3199" s="19">
        <f>IFERROR(__xludf.DUMMYFUNCTION("""COMPUTED_VALUE"""),0.1398)</f>
        <v>0.1398</v>
      </c>
      <c r="L3199" s="19">
        <f>IFERROR(__xludf.DUMMYFUNCTION("""COMPUTED_VALUE"""),0.1677)</f>
        <v>0.1677</v>
      </c>
      <c r="M3199" s="18">
        <f>IFERROR(__xludf.DUMMYFUNCTION("""COMPUTED_VALUE"""),1.05)</f>
        <v>1.05</v>
      </c>
    </row>
    <row r="3200">
      <c r="A3200" s="13" t="str">
        <f>IFERROR(__xludf.DUMMYFUNCTION("""COMPUTED_VALUE"""),"товари")</f>
        <v>товари</v>
      </c>
      <c r="B3200" s="16" t="str">
        <f>IFERROR(__xludf.DUMMYFUNCTION("""COMPUTED_VALUE"""),"промислова хімія")</f>
        <v>промислова хімія</v>
      </c>
      <c r="C3200" s="16" t="str">
        <f>IFERROR(__xludf.DUMMYFUNCTION("""COMPUTED_VALUE"""),"колоїдна хімія")</f>
        <v>колоїдна хімія</v>
      </c>
      <c r="D3200" s="16" t="str">
        <f>IFERROR(__xludf.DUMMYFUNCTION("""COMPUTED_VALUE"""),"адсорбенти")</f>
        <v>адсорбенти</v>
      </c>
      <c r="E3200" s="16" t="str">
        <f>IFERROR(__xludf.DUMMYFUNCTION("""COMPUTED_VALUE"""),"силікагель")</f>
        <v>силікагель</v>
      </c>
      <c r="F3200" s="17">
        <f>IFERROR(__xludf.DUMMYFUNCTION("""COMPUTED_VALUE"""),4.0)</f>
        <v>4</v>
      </c>
      <c r="G3200" s="17">
        <f>IFERROR(__xludf.DUMMYFUNCTION("""COMPUTED_VALUE"""),8320102.0)</f>
        <v>8320102</v>
      </c>
      <c r="H3200" s="17" t="str">
        <f>IFERROR(__xludf.DUMMYFUNCTION("""COMPUTED_VALUE"""),"силікагель")</f>
        <v>силікагель</v>
      </c>
      <c r="I3200" s="19">
        <f>IFERROR(__xludf.DUMMYFUNCTION("""COMPUTED_VALUE"""),0.0749)</f>
        <v>0.0749</v>
      </c>
      <c r="J3200" s="19">
        <f>IFERROR(__xludf.DUMMYFUNCTION("""COMPUTED_VALUE"""),0.1497)</f>
        <v>0.1497</v>
      </c>
      <c r="K3200" s="19">
        <f>IFERROR(__xludf.DUMMYFUNCTION("""COMPUTED_VALUE"""),0.1871)</f>
        <v>0.1871</v>
      </c>
      <c r="L3200" s="19">
        <f>IFERROR(__xludf.DUMMYFUNCTION("""COMPUTED_VALUE"""),0.2246)</f>
        <v>0.2246</v>
      </c>
      <c r="M3200" s="18">
        <f>IFERROR(__xludf.DUMMYFUNCTION("""COMPUTED_VALUE"""),1.71)</f>
        <v>1.71</v>
      </c>
    </row>
    <row r="3201">
      <c r="A3201" s="13" t="str">
        <f>IFERROR(__xludf.DUMMYFUNCTION("""COMPUTED_VALUE"""),"товари")</f>
        <v>товари</v>
      </c>
      <c r="B3201" s="16" t="str">
        <f>IFERROR(__xludf.DUMMYFUNCTION("""COMPUTED_VALUE"""),"промислова хімія")</f>
        <v>промислова хімія</v>
      </c>
      <c r="C3201" s="16" t="str">
        <f>IFERROR(__xludf.DUMMYFUNCTION("""COMPUTED_VALUE"""),"органічні сполуки")</f>
        <v>органічні сполуки</v>
      </c>
      <c r="D3201" s="16" t="str">
        <f>IFERROR(__xludf.DUMMYFUNCTION("""COMPUTED_VALUE"""),"спирти")</f>
        <v>спирти</v>
      </c>
      <c r="E3201" s="16" t="str">
        <f>IFERROR(__xludf.DUMMYFUNCTION("""COMPUTED_VALUE"""),"спирти")</f>
        <v>спирти</v>
      </c>
      <c r="F3201" s="17">
        <f>IFERROR(__xludf.DUMMYFUNCTION("""COMPUTED_VALUE"""),3.0)</f>
        <v>3</v>
      </c>
      <c r="G3201" s="17" t="str">
        <f>IFERROR(__xludf.DUMMYFUNCTION("""COMPUTED_VALUE"""),"80206")</f>
        <v>80206</v>
      </c>
      <c r="H3201" s="17" t="str">
        <f>IFERROR(__xludf.DUMMYFUNCTION("""COMPUTED_VALUE"""),"спирти")</f>
        <v>спирти</v>
      </c>
      <c r="I3201" s="19">
        <f>IFERROR(__xludf.DUMMYFUNCTION("""COMPUTED_VALUE"""),0.0547)</f>
        <v>0.0547</v>
      </c>
      <c r="J3201" s="19">
        <f>IFERROR(__xludf.DUMMYFUNCTION("""COMPUTED_VALUE"""),0.1093)</f>
        <v>0.1093</v>
      </c>
      <c r="K3201" s="19">
        <f>IFERROR(__xludf.DUMMYFUNCTION("""COMPUTED_VALUE"""),0.1366)</f>
        <v>0.1366</v>
      </c>
      <c r="L3201" s="19">
        <f>IFERROR(__xludf.DUMMYFUNCTION("""COMPUTED_VALUE"""),0.164)</f>
        <v>0.164</v>
      </c>
      <c r="M3201" s="18">
        <f>IFERROR(__xludf.DUMMYFUNCTION("""COMPUTED_VALUE"""),5.4)</f>
        <v>5.4</v>
      </c>
    </row>
    <row r="3202">
      <c r="A3202" s="13" t="str">
        <f>IFERROR(__xludf.DUMMYFUNCTION("""COMPUTED_VALUE"""),"товари")</f>
        <v>товари</v>
      </c>
      <c r="B3202" s="16" t="str">
        <f>IFERROR(__xludf.DUMMYFUNCTION("""COMPUTED_VALUE"""),"промислова хімія")</f>
        <v>промислова хімія</v>
      </c>
      <c r="C3202" s="16" t="str">
        <f>IFERROR(__xludf.DUMMYFUNCTION("""COMPUTED_VALUE"""),"клеючі речовини та герметики")</f>
        <v>клеючі речовини та герметики</v>
      </c>
      <c r="D3202" s="16" t="str">
        <f>IFERROR(__xludf.DUMMYFUNCTION("""COMPUTED_VALUE"""),"столярні клеї")</f>
        <v>столярні клеї</v>
      </c>
      <c r="E3202" s="16" t="str">
        <f>IFERROR(__xludf.DUMMYFUNCTION("""COMPUTED_VALUE"""),"столярні клеї")</f>
        <v>столярні клеї</v>
      </c>
      <c r="F3202" s="17">
        <f>IFERROR(__xludf.DUMMYFUNCTION("""COMPUTED_VALUE"""),3.0)</f>
        <v>3</v>
      </c>
      <c r="G3202" s="17" t="str">
        <f>IFERROR(__xludf.DUMMYFUNCTION("""COMPUTED_VALUE"""),"82207")</f>
        <v>82207</v>
      </c>
      <c r="H3202" s="17" t="str">
        <f>IFERROR(__xludf.DUMMYFUNCTION("""COMPUTED_VALUE"""),"столярні клеї")</f>
        <v>столярні клеї</v>
      </c>
      <c r="I3202" s="19">
        <f>IFERROR(__xludf.DUMMYFUNCTION("""COMPUTED_VALUE"""),0.0493)</f>
        <v>0.0493</v>
      </c>
      <c r="J3202" s="19">
        <f>IFERROR(__xludf.DUMMYFUNCTION("""COMPUTED_VALUE"""),0.0986)</f>
        <v>0.0986</v>
      </c>
      <c r="K3202" s="19">
        <f>IFERROR(__xludf.DUMMYFUNCTION("""COMPUTED_VALUE"""),0.1233)</f>
        <v>0.1233</v>
      </c>
      <c r="L3202" s="19">
        <f>IFERROR(__xludf.DUMMYFUNCTION("""COMPUTED_VALUE"""),0.1479)</f>
        <v>0.1479</v>
      </c>
      <c r="M3202" s="18">
        <f>IFERROR(__xludf.DUMMYFUNCTION("""COMPUTED_VALUE"""),3.06)</f>
        <v>3.06</v>
      </c>
    </row>
    <row r="3203">
      <c r="A3203" s="13" t="str">
        <f>IFERROR(__xludf.DUMMYFUNCTION("""COMPUTED_VALUE"""),"товари")</f>
        <v>товари</v>
      </c>
      <c r="B3203" s="16" t="str">
        <f>IFERROR(__xludf.DUMMYFUNCTION("""COMPUTED_VALUE"""),"промислова хімія")</f>
        <v>промислова хімія</v>
      </c>
      <c r="C3203" s="16" t="str">
        <f>IFERROR(__xludf.DUMMYFUNCTION("""COMPUTED_VALUE"""),"лакофарбові матеріали та покриття")</f>
        <v>лакофарбові матеріали та покриття</v>
      </c>
      <c r="D3203" s="16" t="str">
        <f>IFERROR(__xludf.DUMMYFUNCTION("""COMPUTED_VALUE"""),"фарби для текстилю та шкіри")</f>
        <v>фарби для текстилю та шкіри</v>
      </c>
      <c r="E3203" s="16" t="str">
        <f>IFERROR(__xludf.DUMMYFUNCTION("""COMPUTED_VALUE"""),"фарби для текстилю та шкіри")</f>
        <v>фарби для текстилю та шкіри</v>
      </c>
      <c r="F3203" s="17">
        <f>IFERROR(__xludf.DUMMYFUNCTION("""COMPUTED_VALUE"""),3.0)</f>
        <v>3</v>
      </c>
      <c r="G3203" s="17" t="str">
        <f>IFERROR(__xludf.DUMMYFUNCTION("""COMPUTED_VALUE"""),"81110")</f>
        <v>81110</v>
      </c>
      <c r="H3203" s="17" t="str">
        <f>IFERROR(__xludf.DUMMYFUNCTION("""COMPUTED_VALUE"""),"фарби для текстилю та шкіри")</f>
        <v>фарби для текстилю та шкіри</v>
      </c>
      <c r="I3203" s="19">
        <f>IFERROR(__xludf.DUMMYFUNCTION("""COMPUTED_VALUE"""),0.0778)</f>
        <v>0.0778</v>
      </c>
      <c r="J3203" s="19">
        <f>IFERROR(__xludf.DUMMYFUNCTION("""COMPUTED_VALUE"""),0.1555)</f>
        <v>0.1555</v>
      </c>
      <c r="K3203" s="19">
        <f>IFERROR(__xludf.DUMMYFUNCTION("""COMPUTED_VALUE"""),0.1944)</f>
        <v>0.1944</v>
      </c>
      <c r="L3203" s="19">
        <f>IFERROR(__xludf.DUMMYFUNCTION("""COMPUTED_VALUE"""),0.2333)</f>
        <v>0.2333</v>
      </c>
      <c r="M3203" s="18">
        <f>IFERROR(__xludf.DUMMYFUNCTION("""COMPUTED_VALUE"""),3.98)</f>
        <v>3.98</v>
      </c>
    </row>
    <row r="3204">
      <c r="A3204" s="13" t="str">
        <f>IFERROR(__xludf.DUMMYFUNCTION("""COMPUTED_VALUE"""),"товари")</f>
        <v>товари</v>
      </c>
      <c r="B3204" s="16" t="str">
        <f>IFERROR(__xludf.DUMMYFUNCTION("""COMPUTED_VALUE"""),"промислова хімія")</f>
        <v>промислова хімія</v>
      </c>
      <c r="C3204" s="16" t="str">
        <f>IFERROR(__xludf.DUMMYFUNCTION("""COMPUTED_VALUE"""),"хімікати для шкіри")</f>
        <v>хімікати для шкіри</v>
      </c>
      <c r="D3204" s="16" t="str">
        <f>IFERROR(__xludf.DUMMYFUNCTION("""COMPUTED_VALUE"""),"хімікати для шкіри")</f>
        <v>хімікати для шкіри</v>
      </c>
      <c r="E3204" s="16" t="str">
        <f>IFERROR(__xludf.DUMMYFUNCTION("""COMPUTED_VALUE"""),"хімікати для шкіри")</f>
        <v>хімікати для шкіри</v>
      </c>
      <c r="F3204" s="17">
        <f>IFERROR(__xludf.DUMMYFUNCTION("""COMPUTED_VALUE"""),2.0)</f>
        <v>2</v>
      </c>
      <c r="G3204" s="17" t="str">
        <f>IFERROR(__xludf.DUMMYFUNCTION("""COMPUTED_VALUE"""),"83203")</f>
        <v>83203</v>
      </c>
      <c r="H3204" s="17" t="str">
        <f>IFERROR(__xludf.DUMMYFUNCTION("""COMPUTED_VALUE"""),"хімікати для шкіри")</f>
        <v>хімікати для шкіри</v>
      </c>
      <c r="I3204" s="19">
        <f>IFERROR(__xludf.DUMMYFUNCTION("""COMPUTED_VALUE"""),0.0447)</f>
        <v>0.0447</v>
      </c>
      <c r="J3204" s="19">
        <f>IFERROR(__xludf.DUMMYFUNCTION("""COMPUTED_VALUE"""),0.0893)</f>
        <v>0.0893</v>
      </c>
      <c r="K3204" s="19">
        <f>IFERROR(__xludf.DUMMYFUNCTION("""COMPUTED_VALUE"""),0.1116)</f>
        <v>0.1116</v>
      </c>
      <c r="L3204" s="19">
        <f>IFERROR(__xludf.DUMMYFUNCTION("""COMPUTED_VALUE"""),0.134)</f>
        <v>0.134</v>
      </c>
      <c r="M3204" s="18">
        <f>IFERROR(__xludf.DUMMYFUNCTION("""COMPUTED_VALUE"""),2.25)</f>
        <v>2.25</v>
      </c>
    </row>
    <row r="3205">
      <c r="A3205" s="13" t="str">
        <f>IFERROR(__xludf.DUMMYFUNCTION("""COMPUTED_VALUE"""),"товари")</f>
        <v>товари</v>
      </c>
      <c r="B3205" s="16" t="str">
        <f>IFERROR(__xludf.DUMMYFUNCTION("""COMPUTED_VALUE"""),"промислова хімія")</f>
        <v>промислова хімія</v>
      </c>
      <c r="C3205" s="16" t="str">
        <f>IFERROR(__xludf.DUMMYFUNCTION("""COMPUTED_VALUE"""),"хімічні реактиви")</f>
        <v>хімічні реактиви</v>
      </c>
      <c r="D3205" s="16" t="str">
        <f>IFERROR(__xludf.DUMMYFUNCTION("""COMPUTED_VALUE"""),"хімічні індикатори ")</f>
        <v>хімічні індикатори </v>
      </c>
      <c r="E3205" s="16" t="str">
        <f>IFERROR(__xludf.DUMMYFUNCTION("""COMPUTED_VALUE"""),"хімічні індикатори ")</f>
        <v>хімічні індикатори </v>
      </c>
      <c r="F3205" s="17">
        <f>IFERROR(__xludf.DUMMYFUNCTION("""COMPUTED_VALUE"""),3.0)</f>
        <v>3</v>
      </c>
      <c r="G3205" s="17" t="str">
        <f>IFERROR(__xludf.DUMMYFUNCTION("""COMPUTED_VALUE"""),"81701")</f>
        <v>81701</v>
      </c>
      <c r="H3205" s="17" t="str">
        <f>IFERROR(__xludf.DUMMYFUNCTION("""COMPUTED_VALUE"""),"хімічні індикатори ")</f>
        <v>хімічні індикатори </v>
      </c>
      <c r="I3205" s="19">
        <f>IFERROR(__xludf.DUMMYFUNCTION("""COMPUTED_VALUE"""),0.0447)</f>
        <v>0.0447</v>
      </c>
      <c r="J3205" s="19">
        <f>IFERROR(__xludf.DUMMYFUNCTION("""COMPUTED_VALUE"""),0.0893)</f>
        <v>0.0893</v>
      </c>
      <c r="K3205" s="19">
        <f>IFERROR(__xludf.DUMMYFUNCTION("""COMPUTED_VALUE"""),0.1116)</f>
        <v>0.1116</v>
      </c>
      <c r="L3205" s="19">
        <f>IFERROR(__xludf.DUMMYFUNCTION("""COMPUTED_VALUE"""),0.134)</f>
        <v>0.134</v>
      </c>
      <c r="M3205" s="18">
        <f>IFERROR(__xludf.DUMMYFUNCTION("""COMPUTED_VALUE"""),2.16)</f>
        <v>2.16</v>
      </c>
    </row>
    <row r="3206">
      <c r="A3206" s="13" t="str">
        <f>IFERROR(__xludf.DUMMYFUNCTION("""COMPUTED_VALUE"""),"товари")</f>
        <v>товари</v>
      </c>
      <c r="B3206" s="16" t="str">
        <f>IFERROR(__xludf.DUMMYFUNCTION("""COMPUTED_VALUE"""),"промислова хімія")</f>
        <v>промислова хімія</v>
      </c>
      <c r="C3206" s="16" t="str">
        <f>IFERROR(__xludf.DUMMYFUNCTION("""COMPUTED_VALUE"""),"хімічні речовини для електроніки")</f>
        <v>хімічні речовини для електроніки</v>
      </c>
      <c r="D3206" s="16" t="str">
        <f>IFERROR(__xludf.DUMMYFUNCTION("""COMPUTED_VALUE"""),"хімічні речовини для електроніки")</f>
        <v>хімічні речовини для електроніки</v>
      </c>
      <c r="E3206" s="16" t="str">
        <f>IFERROR(__xludf.DUMMYFUNCTION("""COMPUTED_VALUE"""),"хімічні речовини для електроніки")</f>
        <v>хімічні речовини для електроніки</v>
      </c>
      <c r="F3206" s="17">
        <f>IFERROR(__xludf.DUMMYFUNCTION("""COMPUTED_VALUE"""),2.0)</f>
        <v>2</v>
      </c>
      <c r="G3206" s="17" t="str">
        <f>IFERROR(__xludf.DUMMYFUNCTION("""COMPUTED_VALUE"""),"83202")</f>
        <v>83202</v>
      </c>
      <c r="H3206" s="17" t="str">
        <f>IFERROR(__xludf.DUMMYFUNCTION("""COMPUTED_VALUE"""),"хімічні речовини для електроніки")</f>
        <v>хімічні речовини для електроніки</v>
      </c>
      <c r="I3206" s="19">
        <f>IFERROR(__xludf.DUMMYFUNCTION("""COMPUTED_VALUE"""),0.0539)</f>
        <v>0.0539</v>
      </c>
      <c r="J3206" s="19">
        <f>IFERROR(__xludf.DUMMYFUNCTION("""COMPUTED_VALUE"""),0.1078)</f>
        <v>0.1078</v>
      </c>
      <c r="K3206" s="19">
        <f>IFERROR(__xludf.DUMMYFUNCTION("""COMPUTED_VALUE"""),0.1348)</f>
        <v>0.1348</v>
      </c>
      <c r="L3206" s="19">
        <f>IFERROR(__xludf.DUMMYFUNCTION("""COMPUTED_VALUE"""),0.1617)</f>
        <v>0.1617</v>
      </c>
      <c r="M3206" s="18">
        <f>IFERROR(__xludf.DUMMYFUNCTION("""COMPUTED_VALUE"""),1.05)</f>
        <v>1.05</v>
      </c>
    </row>
    <row r="3207">
      <c r="A3207" s="13" t="str">
        <f>IFERROR(__xludf.DUMMYFUNCTION("""COMPUTED_VALUE"""),"товари")</f>
        <v>товари</v>
      </c>
      <c r="B3207" s="16" t="str">
        <f>IFERROR(__xludf.DUMMYFUNCTION("""COMPUTED_VALUE"""),"промислова хімія")</f>
        <v>промислова хімія</v>
      </c>
      <c r="C3207" s="16" t="str">
        <f>IFERROR(__xludf.DUMMYFUNCTION("""COMPUTED_VALUE"""),"клеючі речовини та герметики")</f>
        <v>клеючі речовини та герметики</v>
      </c>
      <c r="D3207" s="16" t="str">
        <f>IFERROR(__xludf.DUMMYFUNCTION("""COMPUTED_VALUE"""),"холодне зварювання")</f>
        <v>холодне зварювання</v>
      </c>
      <c r="E3207" s="16" t="str">
        <f>IFERROR(__xludf.DUMMYFUNCTION("""COMPUTED_VALUE"""),"холодне зварювання")</f>
        <v>холодне зварювання</v>
      </c>
      <c r="F3207" s="17">
        <f>IFERROR(__xludf.DUMMYFUNCTION("""COMPUTED_VALUE"""),3.0)</f>
        <v>3</v>
      </c>
      <c r="G3207" s="17" t="str">
        <f>IFERROR(__xludf.DUMMYFUNCTION("""COMPUTED_VALUE"""),"82212")</f>
        <v>82212</v>
      </c>
      <c r="H3207" s="17" t="str">
        <f>IFERROR(__xludf.DUMMYFUNCTION("""COMPUTED_VALUE"""),"холодне зварювання")</f>
        <v>холодне зварювання</v>
      </c>
      <c r="I3207" s="19">
        <f>IFERROR(__xludf.DUMMYFUNCTION("""COMPUTED_VALUE"""),0.0447)</f>
        <v>0.0447</v>
      </c>
      <c r="J3207" s="19">
        <f>IFERROR(__xludf.DUMMYFUNCTION("""COMPUTED_VALUE"""),0.0893)</f>
        <v>0.0893</v>
      </c>
      <c r="K3207" s="19">
        <f>IFERROR(__xludf.DUMMYFUNCTION("""COMPUTED_VALUE"""),0.1116)</f>
        <v>0.1116</v>
      </c>
      <c r="L3207" s="19">
        <f>IFERROR(__xludf.DUMMYFUNCTION("""COMPUTED_VALUE"""),0.134)</f>
        <v>0.134</v>
      </c>
      <c r="M3207" s="18">
        <f>IFERROR(__xludf.DUMMYFUNCTION("""COMPUTED_VALUE"""),1.44)</f>
        <v>1.44</v>
      </c>
    </row>
    <row r="3208">
      <c r="A3208" s="13" t="str">
        <f>IFERROR(__xludf.DUMMYFUNCTION("""COMPUTED_VALUE"""),"товари")</f>
        <v>товари</v>
      </c>
      <c r="B3208" s="16" t="str">
        <f>IFERROR(__xludf.DUMMYFUNCTION("""COMPUTED_VALUE"""),"промислова хімія")</f>
        <v>промислова хімія</v>
      </c>
      <c r="C3208" s="16" t="str">
        <f>IFERROR(__xludf.DUMMYFUNCTION("""COMPUTED_VALUE"""),"холодоагенти")</f>
        <v>холодоагенти</v>
      </c>
      <c r="D3208" s="16" t="str">
        <f>IFERROR(__xludf.DUMMYFUNCTION("""COMPUTED_VALUE"""),"холодоагенти")</f>
        <v>холодоагенти</v>
      </c>
      <c r="E3208" s="16" t="str">
        <f>IFERROR(__xludf.DUMMYFUNCTION("""COMPUTED_VALUE"""),"холодоагенти")</f>
        <v>холодоагенти</v>
      </c>
      <c r="F3208" s="17">
        <f>IFERROR(__xludf.DUMMYFUNCTION("""COMPUTED_VALUE"""),2.0)</f>
        <v>2</v>
      </c>
      <c r="G3208" s="17" t="str">
        <f>IFERROR(__xludf.DUMMYFUNCTION("""COMPUTED_VALUE"""),"80316")</f>
        <v>80316</v>
      </c>
      <c r="H3208" s="17" t="str">
        <f>IFERROR(__xludf.DUMMYFUNCTION("""COMPUTED_VALUE"""),"холодоагенти")</f>
        <v>холодоагенти</v>
      </c>
      <c r="I3208" s="19">
        <f>IFERROR(__xludf.DUMMYFUNCTION("""COMPUTED_VALUE"""),0.0385)</f>
        <v>0.0385</v>
      </c>
      <c r="J3208" s="19">
        <f>IFERROR(__xludf.DUMMYFUNCTION("""COMPUTED_VALUE"""),0.077)</f>
        <v>0.077</v>
      </c>
      <c r="K3208" s="19">
        <f>IFERROR(__xludf.DUMMYFUNCTION("""COMPUTED_VALUE"""),0.0963)</f>
        <v>0.0963</v>
      </c>
      <c r="L3208" s="19">
        <f>IFERROR(__xludf.DUMMYFUNCTION("""COMPUTED_VALUE"""),0.1155)</f>
        <v>0.1155</v>
      </c>
      <c r="M3208" s="18">
        <f>IFERROR(__xludf.DUMMYFUNCTION("""COMPUTED_VALUE"""),2.79)</f>
        <v>2.79</v>
      </c>
    </row>
    <row r="3209">
      <c r="A3209" s="13" t="str">
        <f>IFERROR(__xludf.DUMMYFUNCTION("""COMPUTED_VALUE"""),"товари")</f>
        <v>товари</v>
      </c>
      <c r="B3209" s="16" t="str">
        <f>IFERROR(__xludf.DUMMYFUNCTION("""COMPUTED_VALUE"""),"промислова хімія")</f>
        <v>промислова хімія</v>
      </c>
      <c r="C3209" s="16" t="str">
        <f>IFERROR(__xludf.DUMMYFUNCTION("""COMPUTED_VALUE"""),"колоїдна хімія")</f>
        <v>колоїдна хімія</v>
      </c>
      <c r="D3209" s="16" t="str">
        <f>IFERROR(__xludf.DUMMYFUNCTION("""COMPUTED_VALUE"""),"адсорбенти")</f>
        <v>адсорбенти</v>
      </c>
      <c r="E3209" s="16" t="str">
        <f>IFERROR(__xludf.DUMMYFUNCTION("""COMPUTED_VALUE"""),"цеоліт")</f>
        <v>цеоліт</v>
      </c>
      <c r="F3209" s="17">
        <f>IFERROR(__xludf.DUMMYFUNCTION("""COMPUTED_VALUE"""),4.0)</f>
        <v>4</v>
      </c>
      <c r="G3209" s="17" t="str">
        <f>IFERROR(__xludf.DUMMYFUNCTION("""COMPUTED_VALUE"""),"8320101")</f>
        <v>8320101</v>
      </c>
      <c r="H3209" s="17" t="str">
        <f>IFERROR(__xludf.DUMMYFUNCTION("""COMPUTED_VALUE"""),"цеоліт")</f>
        <v>цеоліт</v>
      </c>
      <c r="I3209" s="19">
        <f>IFERROR(__xludf.DUMMYFUNCTION("""COMPUTED_VALUE"""),0.0788)</f>
        <v>0.0788</v>
      </c>
      <c r="J3209" s="19">
        <f>IFERROR(__xludf.DUMMYFUNCTION("""COMPUTED_VALUE"""),0.1575)</f>
        <v>0.1575</v>
      </c>
      <c r="K3209" s="19">
        <f>IFERROR(__xludf.DUMMYFUNCTION("""COMPUTED_VALUE"""),0.1969)</f>
        <v>0.1969</v>
      </c>
      <c r="L3209" s="19">
        <f>IFERROR(__xludf.DUMMYFUNCTION("""COMPUTED_VALUE"""),0.2363)</f>
        <v>0.2363</v>
      </c>
      <c r="M3209" s="18">
        <f>IFERROR(__xludf.DUMMYFUNCTION("""COMPUTED_VALUE"""),1.71)</f>
        <v>1.71</v>
      </c>
    </row>
    <row r="3210">
      <c r="A3210" s="13" t="str">
        <f>IFERROR(__xludf.DUMMYFUNCTION("""COMPUTED_VALUE"""),"товари")</f>
        <v>товари</v>
      </c>
      <c r="B3210" s="16" t="str">
        <f>IFERROR(__xludf.DUMMYFUNCTION("""COMPUTED_VALUE"""),"промислове обладнання та верстати")</f>
        <v>промислове обладнання та верстати</v>
      </c>
      <c r="C3210" s="16" t="str">
        <f>IFERROR(__xludf.DUMMYFUNCTION("""COMPUTED_VALUE"""),"зварювальне та паяльне обладнання")</f>
        <v>зварювальне та паяльне обладнання</v>
      </c>
      <c r="D3210" s="16" t="str">
        <f>IFERROR(__xludf.DUMMYFUNCTION("""COMPUTED_VALUE"""),"апарати контактного зварювання")</f>
        <v>апарати контактного зварювання</v>
      </c>
      <c r="E3210" s="16" t="str">
        <f>IFERROR(__xludf.DUMMYFUNCTION("""COMPUTED_VALUE"""),"апарати контактного зварювання")</f>
        <v>апарати контактного зварювання</v>
      </c>
      <c r="F3210" s="17">
        <f>IFERROR(__xludf.DUMMYFUNCTION("""COMPUTED_VALUE"""),3.0)</f>
        <v>3</v>
      </c>
      <c r="G3210" s="17" t="str">
        <f>IFERROR(__xludf.DUMMYFUNCTION("""COMPUTED_VALUE"""),"14400901")</f>
        <v>14400901</v>
      </c>
      <c r="H3210" s="17" t="str">
        <f>IFERROR(__xludf.DUMMYFUNCTION("""COMPUTED_VALUE"""),"апарати контактного зварювання")</f>
        <v>апарати контактного зварювання</v>
      </c>
      <c r="I3210" s="19">
        <f>IFERROR(__xludf.DUMMYFUNCTION("""COMPUTED_VALUE"""),0.0476)</f>
        <v>0.0476</v>
      </c>
      <c r="J3210" s="19">
        <f>IFERROR(__xludf.DUMMYFUNCTION("""COMPUTED_VALUE"""),0.0952)</f>
        <v>0.0952</v>
      </c>
      <c r="K3210" s="19">
        <f>IFERROR(__xludf.DUMMYFUNCTION("""COMPUTED_VALUE"""),0.119)</f>
        <v>0.119</v>
      </c>
      <c r="L3210" s="19">
        <f>IFERROR(__xludf.DUMMYFUNCTION("""COMPUTED_VALUE"""),0.1428)</f>
        <v>0.1428</v>
      </c>
      <c r="M3210" s="18">
        <f>IFERROR(__xludf.DUMMYFUNCTION("""COMPUTED_VALUE"""),1.8)</f>
        <v>1.8</v>
      </c>
    </row>
    <row r="3211">
      <c r="A3211" s="13" t="str">
        <f>IFERROR(__xludf.DUMMYFUNCTION("""COMPUTED_VALUE"""),"товари")</f>
        <v>товари</v>
      </c>
      <c r="B3211" s="16" t="str">
        <f>IFERROR(__xludf.DUMMYFUNCTION("""COMPUTED_VALUE"""),"промислове обладнання та верстати")</f>
        <v>промислове обладнання та верстати</v>
      </c>
      <c r="C3211" s="16" t="str">
        <f>IFERROR(__xludf.DUMMYFUNCTION("""COMPUTED_VALUE"""),"резервуари та баки")</f>
        <v>резервуари та баки</v>
      </c>
      <c r="D3211" s="16" t="str">
        <f>IFERROR(__xludf.DUMMYFUNCTION("""COMPUTED_VALUE"""),"бочкові насоси")</f>
        <v>бочкові насоси</v>
      </c>
      <c r="E3211" s="16" t="str">
        <f>IFERROR(__xludf.DUMMYFUNCTION("""COMPUTED_VALUE"""),"бочкові насоси")</f>
        <v>бочкові насоси</v>
      </c>
      <c r="F3211" s="17">
        <f>IFERROR(__xludf.DUMMYFUNCTION("""COMPUTED_VALUE"""),3.0)</f>
        <v>3</v>
      </c>
      <c r="G3211" s="17" t="str">
        <f>IFERROR(__xludf.DUMMYFUNCTION("""COMPUTED_VALUE"""),"140310")</f>
        <v>140310</v>
      </c>
      <c r="H3211" s="17" t="str">
        <f>IFERROR(__xludf.DUMMYFUNCTION("""COMPUTED_VALUE"""),"бочкові насоси")</f>
        <v>бочкові насоси</v>
      </c>
      <c r="I3211" s="19">
        <f>IFERROR(__xludf.DUMMYFUNCTION("""COMPUTED_VALUE"""),0.0726)</f>
        <v>0.0726</v>
      </c>
      <c r="J3211" s="19">
        <f>IFERROR(__xludf.DUMMYFUNCTION("""COMPUTED_VALUE"""),0.1452)</f>
        <v>0.1452</v>
      </c>
      <c r="K3211" s="19">
        <f>IFERROR(__xludf.DUMMYFUNCTION("""COMPUTED_VALUE"""),0.1815)</f>
        <v>0.1815</v>
      </c>
      <c r="L3211" s="19">
        <f>IFERROR(__xludf.DUMMYFUNCTION("""COMPUTED_VALUE"""),0.2178)</f>
        <v>0.2178</v>
      </c>
      <c r="M3211" s="18">
        <f>IFERROR(__xludf.DUMMYFUNCTION("""COMPUTED_VALUE"""),2.61)</f>
        <v>2.61</v>
      </c>
    </row>
    <row r="3212">
      <c r="A3212" s="13" t="str">
        <f>IFERROR(__xludf.DUMMYFUNCTION("""COMPUTED_VALUE"""),"товари")</f>
        <v>товари</v>
      </c>
      <c r="B3212" s="16" t="str">
        <f>IFERROR(__xludf.DUMMYFUNCTION("""COMPUTED_VALUE"""),"промислове обладнання та верстати")</f>
        <v>промислове обладнання та верстати</v>
      </c>
      <c r="C3212" s="16" t="str">
        <f>IFERROR(__xludf.DUMMYFUNCTION("""COMPUTED_VALUE"""),"технологічне обладнання")</f>
        <v>технологічне обладнання</v>
      </c>
      <c r="D3212" s="16" t="str">
        <f>IFERROR(__xludf.DUMMYFUNCTION("""COMPUTED_VALUE"""),"вакуумне обладнання")</f>
        <v>вакуумне обладнання</v>
      </c>
      <c r="E3212" s="16" t="str">
        <f>IFERROR(__xludf.DUMMYFUNCTION("""COMPUTED_VALUE"""),"вакуумні системи")</f>
        <v>вакуумні системи</v>
      </c>
      <c r="F3212" s="17">
        <f>IFERROR(__xludf.DUMMYFUNCTION("""COMPUTED_VALUE"""),4.0)</f>
        <v>4</v>
      </c>
      <c r="G3212" s="17" t="str">
        <f>IFERROR(__xludf.DUMMYFUNCTION("""COMPUTED_VALUE"""),"142503")</f>
        <v>142503</v>
      </c>
      <c r="H3212" s="17" t="str">
        <f>IFERROR(__xludf.DUMMYFUNCTION("""COMPUTED_VALUE"""),"вакуумні системи")</f>
        <v>вакуумні системи</v>
      </c>
      <c r="I3212" s="19">
        <f>IFERROR(__xludf.DUMMYFUNCTION("""COMPUTED_VALUE"""),0.0385)</f>
        <v>0.0385</v>
      </c>
      <c r="J3212" s="19">
        <f>IFERROR(__xludf.DUMMYFUNCTION("""COMPUTED_VALUE"""),0.077)</f>
        <v>0.077</v>
      </c>
      <c r="K3212" s="19">
        <f>IFERROR(__xludf.DUMMYFUNCTION("""COMPUTED_VALUE"""),0.0963)</f>
        <v>0.0963</v>
      </c>
      <c r="L3212" s="19">
        <f>IFERROR(__xludf.DUMMYFUNCTION("""COMPUTED_VALUE"""),0.1155)</f>
        <v>0.1155</v>
      </c>
      <c r="M3212" s="18">
        <f>IFERROR(__xludf.DUMMYFUNCTION("""COMPUTED_VALUE"""),2.16)</f>
        <v>2.16</v>
      </c>
    </row>
    <row r="3213">
      <c r="A3213" s="13" t="str">
        <f>IFERROR(__xludf.DUMMYFUNCTION("""COMPUTED_VALUE"""),"товари")</f>
        <v>товари</v>
      </c>
      <c r="B3213" s="16" t="str">
        <f>IFERROR(__xludf.DUMMYFUNCTION("""COMPUTED_VALUE"""),"промислове обладнання та верстати")</f>
        <v>промислове обладнання та верстати</v>
      </c>
      <c r="C3213" s="16" t="str">
        <f>IFERROR(__xludf.DUMMYFUNCTION("""COMPUTED_VALUE"""),"верстати")</f>
        <v>верстати</v>
      </c>
      <c r="D3213" s="16" t="str">
        <f>IFERROR(__xludf.DUMMYFUNCTION("""COMPUTED_VALUE"""),"металообробні верстати")</f>
        <v>металообробні верстати</v>
      </c>
      <c r="E3213" s="16" t="str">
        <f>IFERROR(__xludf.DUMMYFUNCTION("""COMPUTED_VALUE"""),"відрізні верстати, пилки")</f>
        <v>відрізні верстати, пилки</v>
      </c>
      <c r="F3213" s="17">
        <f>IFERROR(__xludf.DUMMYFUNCTION("""COMPUTED_VALUE"""),4.0)</f>
        <v>4</v>
      </c>
      <c r="G3213" s="17" t="str">
        <f>IFERROR(__xludf.DUMMYFUNCTION("""COMPUTED_VALUE"""),"14172703")</f>
        <v>14172703</v>
      </c>
      <c r="H3213" s="17" t="str">
        <f>IFERROR(__xludf.DUMMYFUNCTION("""COMPUTED_VALUE"""),"відрізні верстати, пилки")</f>
        <v>відрізні верстати, пилки</v>
      </c>
      <c r="I3213" s="19">
        <f>IFERROR(__xludf.DUMMYFUNCTION("""COMPUTED_VALUE"""),0.0518)</f>
        <v>0.0518</v>
      </c>
      <c r="J3213" s="19">
        <f>IFERROR(__xludf.DUMMYFUNCTION("""COMPUTED_VALUE"""),0.1035)</f>
        <v>0.1035</v>
      </c>
      <c r="K3213" s="19">
        <f>IFERROR(__xludf.DUMMYFUNCTION("""COMPUTED_VALUE"""),0.1294)</f>
        <v>0.1294</v>
      </c>
      <c r="L3213" s="19">
        <f>IFERROR(__xludf.DUMMYFUNCTION("""COMPUTED_VALUE"""),0.1553)</f>
        <v>0.1553</v>
      </c>
      <c r="M3213" s="18">
        <f>IFERROR(__xludf.DUMMYFUNCTION("""COMPUTED_VALUE"""),4.14)</f>
        <v>4.14</v>
      </c>
    </row>
    <row r="3214">
      <c r="A3214" s="13" t="str">
        <f>IFERROR(__xludf.DUMMYFUNCTION("""COMPUTED_VALUE"""),"товари")</f>
        <v>товари</v>
      </c>
      <c r="B3214" s="16" t="str">
        <f>IFERROR(__xludf.DUMMYFUNCTION("""COMPUTED_VALUE"""),"промислове обладнання та верстати")</f>
        <v>промислове обладнання та верстати</v>
      </c>
      <c r="C3214" s="16" t="str">
        <f>IFERROR(__xludf.DUMMYFUNCTION("""COMPUTED_VALUE"""),"зварювальне та паяльне обладнання")</f>
        <v>зварювальне та паяльне обладнання</v>
      </c>
      <c r="D3214" s="16" t="str">
        <f>IFERROR(__xludf.DUMMYFUNCTION("""COMPUTED_VALUE"""),"газозварювальні апарати")</f>
        <v>газозварювальні апарати</v>
      </c>
      <c r="E3214" s="16" t="str">
        <f>IFERROR(__xludf.DUMMYFUNCTION("""COMPUTED_VALUE"""),"газозварювальні апарати")</f>
        <v>газозварювальні апарати</v>
      </c>
      <c r="F3214" s="17">
        <f>IFERROR(__xludf.DUMMYFUNCTION("""COMPUTED_VALUE"""),3.0)</f>
        <v>3</v>
      </c>
      <c r="G3214" s="17" t="str">
        <f>IFERROR(__xludf.DUMMYFUNCTION("""COMPUTED_VALUE"""),"14400301")</f>
        <v>14400301</v>
      </c>
      <c r="H3214" s="17" t="str">
        <f>IFERROR(__xludf.DUMMYFUNCTION("""COMPUTED_VALUE"""),"газозварювальні апарати")</f>
        <v>газозварювальні апарати</v>
      </c>
      <c r="I3214" s="19">
        <f>IFERROR(__xludf.DUMMYFUNCTION("""COMPUTED_VALUE"""),0.0499)</f>
        <v>0.0499</v>
      </c>
      <c r="J3214" s="19">
        <f>IFERROR(__xludf.DUMMYFUNCTION("""COMPUTED_VALUE"""),0.0998)</f>
        <v>0.0998</v>
      </c>
      <c r="K3214" s="19">
        <f>IFERROR(__xludf.DUMMYFUNCTION("""COMPUTED_VALUE"""),0.1248)</f>
        <v>0.1248</v>
      </c>
      <c r="L3214" s="19">
        <f>IFERROR(__xludf.DUMMYFUNCTION("""COMPUTED_VALUE"""),0.1497)</f>
        <v>0.1497</v>
      </c>
      <c r="M3214" s="18">
        <f>IFERROR(__xludf.DUMMYFUNCTION("""COMPUTED_VALUE"""),1.05)</f>
        <v>1.05</v>
      </c>
    </row>
    <row r="3215">
      <c r="A3215" s="13" t="str">
        <f>IFERROR(__xludf.DUMMYFUNCTION("""COMPUTED_VALUE"""),"товари")</f>
        <v>товари</v>
      </c>
      <c r="B3215" s="16" t="str">
        <f>IFERROR(__xludf.DUMMYFUNCTION("""COMPUTED_VALUE"""),"промислове обладнання та верстати")</f>
        <v>промислове обладнання та верстати</v>
      </c>
      <c r="C3215" s="16" t="str">
        <f>IFERROR(__xludf.DUMMYFUNCTION("""COMPUTED_VALUE"""),"гідрообладнання")</f>
        <v>гідрообладнання</v>
      </c>
      <c r="D3215" s="16" t="str">
        <f>IFERROR(__xludf.DUMMYFUNCTION("""COMPUTED_VALUE"""),"гідрообладнання, загальне")</f>
        <v>гідрообладнання, загальне</v>
      </c>
      <c r="E3215" s="16" t="str">
        <f>IFERROR(__xludf.DUMMYFUNCTION("""COMPUTED_VALUE"""),"гідрообладнання, загальне")</f>
        <v>гідрообладнання, загальне</v>
      </c>
      <c r="F3215" s="17">
        <f>IFERROR(__xludf.DUMMYFUNCTION("""COMPUTED_VALUE"""),3.0)</f>
        <v>3</v>
      </c>
      <c r="G3215" s="17" t="str">
        <f>IFERROR(__xludf.DUMMYFUNCTION("""COMPUTED_VALUE"""),"140308")</f>
        <v>140308</v>
      </c>
      <c r="H3215" s="17" t="str">
        <f>IFERROR(__xludf.DUMMYFUNCTION("""COMPUTED_VALUE"""),"гідрообладнання, загальне")</f>
        <v>гідрообладнання, загальне</v>
      </c>
      <c r="I3215" s="19">
        <f>IFERROR(__xludf.DUMMYFUNCTION("""COMPUTED_VALUE"""),0.125)</f>
        <v>0.125</v>
      </c>
      <c r="J3215" s="19">
        <f>IFERROR(__xludf.DUMMYFUNCTION("""COMPUTED_VALUE"""),0.25)</f>
        <v>0.25</v>
      </c>
      <c r="K3215" s="19">
        <f>IFERROR(__xludf.DUMMYFUNCTION("""COMPUTED_VALUE"""),0.3125)</f>
        <v>0.3125</v>
      </c>
      <c r="L3215" s="19">
        <f>IFERROR(__xludf.DUMMYFUNCTION("""COMPUTED_VALUE"""),0.375)</f>
        <v>0.375</v>
      </c>
      <c r="M3215" s="18">
        <f>IFERROR(__xludf.DUMMYFUNCTION("""COMPUTED_VALUE"""),4.33)</f>
        <v>4.33</v>
      </c>
    </row>
    <row r="3216">
      <c r="A3216" s="13" t="str">
        <f>IFERROR(__xludf.DUMMYFUNCTION("""COMPUTED_VALUE"""),"товари")</f>
        <v>товари</v>
      </c>
      <c r="B3216" s="16" t="str">
        <f>IFERROR(__xludf.DUMMYFUNCTION("""COMPUTED_VALUE"""),"промислове обладнання та верстати")</f>
        <v>промислове обладнання та верстати</v>
      </c>
      <c r="C3216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16" s="16" t="str">
        <f>IFERROR(__xludf.DUMMYFUNCTION("""COMPUTED_VALUE"""),"підшипники")</f>
        <v>підшипники</v>
      </c>
      <c r="E3216" s="16" t="str">
        <f>IFERROR(__xludf.DUMMYFUNCTION("""COMPUTED_VALUE"""),"деталі підшипників")</f>
        <v>деталі підшипників</v>
      </c>
      <c r="F3216" s="17">
        <f>IFERROR(__xludf.DUMMYFUNCTION("""COMPUTED_VALUE"""),4.0)</f>
        <v>4</v>
      </c>
      <c r="G3216" s="17" t="str">
        <f>IFERROR(__xludf.DUMMYFUNCTION("""COMPUTED_VALUE"""),"145605")</f>
        <v>145605</v>
      </c>
      <c r="H3216" s="17" t="str">
        <f>IFERROR(__xludf.DUMMYFUNCTION("""COMPUTED_VALUE"""),"деталі підшипників")</f>
        <v>деталі підшипників</v>
      </c>
      <c r="I3216" s="19">
        <f>IFERROR(__xludf.DUMMYFUNCTION("""COMPUTED_VALUE"""),0.0712)</f>
        <v>0.0712</v>
      </c>
      <c r="J3216" s="19">
        <f>IFERROR(__xludf.DUMMYFUNCTION("""COMPUTED_VALUE"""),0.1424)</f>
        <v>0.1424</v>
      </c>
      <c r="K3216" s="19">
        <f>IFERROR(__xludf.DUMMYFUNCTION("""COMPUTED_VALUE"""),0.178)</f>
        <v>0.178</v>
      </c>
      <c r="L3216" s="19">
        <f>IFERROR(__xludf.DUMMYFUNCTION("""COMPUTED_VALUE"""),0.2136)</f>
        <v>0.2136</v>
      </c>
      <c r="M3216" s="18">
        <f>IFERROR(__xludf.DUMMYFUNCTION("""COMPUTED_VALUE"""),1.05)</f>
        <v>1.05</v>
      </c>
    </row>
    <row r="3217">
      <c r="A3217" s="13" t="str">
        <f>IFERROR(__xludf.DUMMYFUNCTION("""COMPUTED_VALUE"""),"товари")</f>
        <v>товари</v>
      </c>
      <c r="B3217" s="16" t="str">
        <f>IFERROR(__xludf.DUMMYFUNCTION("""COMPUTED_VALUE"""),"промислове обладнання та верстати")</f>
        <v>промислове обладнання та верстати</v>
      </c>
      <c r="C3217" s="16" t="str">
        <f>IFERROR(__xludf.DUMMYFUNCTION("""COMPUTED_VALUE"""),"складське обладнання")</f>
        <v>складське обладнання</v>
      </c>
      <c r="D3217" s="16" t="str">
        <f>IFERROR(__xludf.DUMMYFUNCTION("""COMPUTED_VALUE"""),"домкрати")</f>
        <v>домкрати</v>
      </c>
      <c r="E3217" s="16" t="str">
        <f>IFERROR(__xludf.DUMMYFUNCTION("""COMPUTED_VALUE"""),"домкрати")</f>
        <v>домкрати</v>
      </c>
      <c r="F3217" s="17">
        <f>IFERROR(__xludf.DUMMYFUNCTION("""COMPUTED_VALUE"""),3.0)</f>
        <v>3</v>
      </c>
      <c r="G3217" s="17" t="str">
        <f>IFERROR(__xludf.DUMMYFUNCTION("""COMPUTED_VALUE"""),"142910")</f>
        <v>142910</v>
      </c>
      <c r="H3217" s="17" t="str">
        <f>IFERROR(__xludf.DUMMYFUNCTION("""COMPUTED_VALUE"""),"домкрати")</f>
        <v>домкрати</v>
      </c>
      <c r="I3217" s="19">
        <f>IFERROR(__xludf.DUMMYFUNCTION("""COMPUTED_VALUE"""),0.072)</f>
        <v>0.072</v>
      </c>
      <c r="J3217" s="19">
        <f>IFERROR(__xludf.DUMMYFUNCTION("""COMPUTED_VALUE"""),0.1439)</f>
        <v>0.1439</v>
      </c>
      <c r="K3217" s="19">
        <f>IFERROR(__xludf.DUMMYFUNCTION("""COMPUTED_VALUE"""),0.1799)</f>
        <v>0.1799</v>
      </c>
      <c r="L3217" s="19">
        <f>IFERROR(__xludf.DUMMYFUNCTION("""COMPUTED_VALUE"""),0.2159)</f>
        <v>0.2159</v>
      </c>
      <c r="M3217" s="18">
        <f>IFERROR(__xludf.DUMMYFUNCTION("""COMPUTED_VALUE"""),1.53)</f>
        <v>1.53</v>
      </c>
    </row>
    <row r="3218">
      <c r="A3218" s="13" t="str">
        <f>IFERROR(__xludf.DUMMYFUNCTION("""COMPUTED_VALUE"""),"товари")</f>
        <v>товари</v>
      </c>
      <c r="B3218" s="16" t="str">
        <f>IFERROR(__xludf.DUMMYFUNCTION("""COMPUTED_VALUE"""),"промислове обладнання та верстати")</f>
        <v>промислове обладнання та верстати</v>
      </c>
      <c r="C3218" s="16" t="str">
        <f>IFERROR(__xludf.DUMMYFUNCTION("""COMPUTED_VALUE"""),"виробниче обладнання")</f>
        <v>виробниче обладнання</v>
      </c>
      <c r="D3218" s="16" t="str">
        <f>IFERROR(__xludf.DUMMYFUNCTION("""COMPUTED_VALUE"""),"допоміжне обладнання")</f>
        <v>допоміжне обладнання</v>
      </c>
      <c r="E3218" s="16" t="str">
        <f>IFERROR(__xludf.DUMMYFUNCTION("""COMPUTED_VALUE"""),"допоміжне обладнання, загальне")</f>
        <v>допоміжне обладнання, загальне</v>
      </c>
      <c r="F3218" s="22">
        <f>IFERROR(__xludf.DUMMYFUNCTION("""COMPUTED_VALUE"""),4.0)</f>
        <v>4</v>
      </c>
      <c r="G3218" s="17" t="str">
        <f>IFERROR(__xludf.DUMMYFUNCTION("""COMPUTED_VALUE"""),"14312401")</f>
        <v>14312401</v>
      </c>
      <c r="H3218" s="17" t="str">
        <f>IFERROR(__xludf.DUMMYFUNCTION("""COMPUTED_VALUE"""),"допоміжне обладнання, загальне")</f>
        <v>допоміжне обладнання, загальне</v>
      </c>
      <c r="I3218" s="19">
        <f>IFERROR(__xludf.DUMMYFUNCTION("""COMPUTED_VALUE"""),0.125)</f>
        <v>0.125</v>
      </c>
      <c r="J3218" s="19">
        <f>IFERROR(__xludf.DUMMYFUNCTION("""COMPUTED_VALUE"""),0.25)</f>
        <v>0.25</v>
      </c>
      <c r="K3218" s="19">
        <f>IFERROR(__xludf.DUMMYFUNCTION("""COMPUTED_VALUE"""),0.3125)</f>
        <v>0.3125</v>
      </c>
      <c r="L3218" s="19">
        <f>IFERROR(__xludf.DUMMYFUNCTION("""COMPUTED_VALUE"""),0.375)</f>
        <v>0.375</v>
      </c>
      <c r="M3218" s="18">
        <f>IFERROR(__xludf.DUMMYFUNCTION("""COMPUTED_VALUE"""),4.33)</f>
        <v>4.33</v>
      </c>
    </row>
    <row r="3219">
      <c r="A3219" s="13" t="str">
        <f>IFERROR(__xludf.DUMMYFUNCTION("""COMPUTED_VALUE"""),"товари")</f>
        <v>товари</v>
      </c>
      <c r="B3219" s="16" t="str">
        <f>IFERROR(__xludf.DUMMYFUNCTION("""COMPUTED_VALUE"""),"промислове обладнання та верстати")</f>
        <v>промислове обладнання та верстати</v>
      </c>
      <c r="C3219" s="16" t="str">
        <f>IFERROR(__xludf.DUMMYFUNCTION("""COMPUTED_VALUE"""),"електрогенератори та електродвигуни")</f>
        <v>електрогенератори та електродвигуни</v>
      </c>
      <c r="D3219" s="16" t="str">
        <f>IFERROR(__xludf.DUMMYFUNCTION("""COMPUTED_VALUE"""),"електрогенератори та електродвигуни, загальне")</f>
        <v>електрогенератори та електродвигуни, загальне</v>
      </c>
      <c r="E3219" s="16" t="str">
        <f>IFERROR(__xludf.DUMMYFUNCTION("""COMPUTED_VALUE"""),"електрогенератори та електродвигуни, загальне")</f>
        <v>електрогенератори та електродвигуни, загальне</v>
      </c>
      <c r="F3219" s="17">
        <f>IFERROR(__xludf.DUMMYFUNCTION("""COMPUTED_VALUE"""),3.0)</f>
        <v>3</v>
      </c>
      <c r="G3219" s="17" t="str">
        <f>IFERROR(__xludf.DUMMYFUNCTION("""COMPUTED_VALUE"""),"145201")</f>
        <v>145201</v>
      </c>
      <c r="H3219" s="17" t="str">
        <f>IFERROR(__xludf.DUMMYFUNCTION("""COMPUTED_VALUE"""),"електрогенератори та електродвигуни, загальне")</f>
        <v>електрогенератори та електродвигуни, загальне</v>
      </c>
      <c r="I3219" s="19">
        <f>IFERROR(__xludf.DUMMYFUNCTION("""COMPUTED_VALUE"""),0.125)</f>
        <v>0.125</v>
      </c>
      <c r="J3219" s="19">
        <f>IFERROR(__xludf.DUMMYFUNCTION("""COMPUTED_VALUE"""),0.25)</f>
        <v>0.25</v>
      </c>
      <c r="K3219" s="19">
        <f>IFERROR(__xludf.DUMMYFUNCTION("""COMPUTED_VALUE"""),0.3125)</f>
        <v>0.3125</v>
      </c>
      <c r="L3219" s="19">
        <f>IFERROR(__xludf.DUMMYFUNCTION("""COMPUTED_VALUE"""),0.375)</f>
        <v>0.375</v>
      </c>
      <c r="M3219" s="18">
        <f>IFERROR(__xludf.DUMMYFUNCTION("""COMPUTED_VALUE"""),4.33)</f>
        <v>4.33</v>
      </c>
    </row>
    <row r="3220">
      <c r="A3220" s="13" t="str">
        <f>IFERROR(__xludf.DUMMYFUNCTION("""COMPUTED_VALUE"""),"товари")</f>
        <v>товари</v>
      </c>
      <c r="B3220" s="16" t="str">
        <f>IFERROR(__xludf.DUMMYFUNCTION("""COMPUTED_VALUE"""),"промислове обладнання та верстати")</f>
        <v>промислове обладнання та верстати</v>
      </c>
      <c r="C3220" s="16" t="str">
        <f>IFERROR(__xludf.DUMMYFUNCTION("""COMPUTED_VALUE"""),"зварювальне та паяльне обладнання")</f>
        <v>зварювальне та паяльне обладнання</v>
      </c>
      <c r="D3220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20" s="16" t="str">
        <f>IFERROR(__xludf.DUMMYFUNCTION("""COMPUTED_VALUE"""),"електроди")</f>
        <v>електроди</v>
      </c>
      <c r="F3220" s="17">
        <f>IFERROR(__xludf.DUMMYFUNCTION("""COMPUTED_VALUE"""),4.0)</f>
        <v>4</v>
      </c>
      <c r="G3220" s="17" t="str">
        <f>IFERROR(__xludf.DUMMYFUNCTION("""COMPUTED_VALUE"""),"142706")</f>
        <v>142706</v>
      </c>
      <c r="H3220" s="17" t="str">
        <f>IFERROR(__xludf.DUMMYFUNCTION("""COMPUTED_VALUE"""),"електроди")</f>
        <v>електроди</v>
      </c>
      <c r="I3220" s="19">
        <f>IFERROR(__xludf.DUMMYFUNCTION("""COMPUTED_VALUE"""),0.0533)</f>
        <v>0.0533</v>
      </c>
      <c r="J3220" s="19">
        <f>IFERROR(__xludf.DUMMYFUNCTION("""COMPUTED_VALUE"""),0.1065)</f>
        <v>0.1065</v>
      </c>
      <c r="K3220" s="19">
        <f>IFERROR(__xludf.DUMMYFUNCTION("""COMPUTED_VALUE"""),0.1331)</f>
        <v>0.1331</v>
      </c>
      <c r="L3220" s="19">
        <f>IFERROR(__xludf.DUMMYFUNCTION("""COMPUTED_VALUE"""),0.1598)</f>
        <v>0.1598</v>
      </c>
      <c r="M3220" s="18">
        <f>IFERROR(__xludf.DUMMYFUNCTION("""COMPUTED_VALUE"""),1.53)</f>
        <v>1.53</v>
      </c>
    </row>
    <row r="3221">
      <c r="A3221" s="13" t="str">
        <f>IFERROR(__xludf.DUMMYFUNCTION("""COMPUTED_VALUE"""),"товари")</f>
        <v>товари</v>
      </c>
      <c r="B3221" s="16" t="str">
        <f>IFERROR(__xludf.DUMMYFUNCTION("""COMPUTED_VALUE"""),"промислове обладнання та верстати")</f>
        <v>промислове обладнання та верстати</v>
      </c>
      <c r="C3221" s="16" t="str">
        <f>IFERROR(__xludf.DUMMYFUNCTION("""COMPUTED_VALUE"""),"пакувальне та фасувальне обладнання")</f>
        <v>пакувальне та фасувальне обладнання</v>
      </c>
      <c r="D3221" s="16" t="str">
        <f>IFERROR(__xludf.DUMMYFUNCTION("""COMPUTED_VALUE"""),"зашивочне обладнання")</f>
        <v>зашивочне обладнання</v>
      </c>
      <c r="E3221" s="16" t="str">
        <f>IFERROR(__xludf.DUMMYFUNCTION("""COMPUTED_VALUE"""),"зашивочне обладнання")</f>
        <v>зашивочне обладнання</v>
      </c>
      <c r="F3221" s="17">
        <f>IFERROR(__xludf.DUMMYFUNCTION("""COMPUTED_VALUE"""),3.0)</f>
        <v>3</v>
      </c>
      <c r="G3221" s="17" t="str">
        <f>IFERROR(__xludf.DUMMYFUNCTION("""COMPUTED_VALUE"""),"230732")</f>
        <v>230732</v>
      </c>
      <c r="H3221" s="17" t="str">
        <f>IFERROR(__xludf.DUMMYFUNCTION("""COMPUTED_VALUE"""),"зашивочне обладнання")</f>
        <v>зашивочне обладнання</v>
      </c>
      <c r="I3221" s="19">
        <f>IFERROR(__xludf.DUMMYFUNCTION("""COMPUTED_VALUE"""),0.0447)</f>
        <v>0.0447</v>
      </c>
      <c r="J3221" s="19">
        <f>IFERROR(__xludf.DUMMYFUNCTION("""COMPUTED_VALUE"""),0.0893)</f>
        <v>0.0893</v>
      </c>
      <c r="K3221" s="19">
        <f>IFERROR(__xludf.DUMMYFUNCTION("""COMPUTED_VALUE"""),0.1116)</f>
        <v>0.1116</v>
      </c>
      <c r="L3221" s="19">
        <f>IFERROR(__xludf.DUMMYFUNCTION("""COMPUTED_VALUE"""),0.134)</f>
        <v>0.134</v>
      </c>
      <c r="M3221" s="18">
        <f>IFERROR(__xludf.DUMMYFUNCTION("""COMPUTED_VALUE"""),2.79)</f>
        <v>2.79</v>
      </c>
    </row>
    <row r="3222">
      <c r="A3222" s="13" t="str">
        <f>IFERROR(__xludf.DUMMYFUNCTION("""COMPUTED_VALUE"""),"товари")</f>
        <v>товари</v>
      </c>
      <c r="B3222" s="16" t="str">
        <f>IFERROR(__xludf.DUMMYFUNCTION("""COMPUTED_VALUE"""),"промислове обладнання та верстати")</f>
        <v>промислове обладнання та верстати</v>
      </c>
      <c r="C3222" s="16" t="str">
        <f>IFERROR(__xludf.DUMMYFUNCTION("""COMPUTED_VALUE"""),"зварювальне та паяльне обладнання")</f>
        <v>зварювальне та паяльне обладнання</v>
      </c>
      <c r="D3222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22" s="16" t="str">
        <f>IFERROR(__xludf.DUMMYFUNCTION("""COMPUTED_VALUE"""),"зварювальна хімія")</f>
        <v>зварювальна хімія</v>
      </c>
      <c r="F3222" s="17">
        <f>IFERROR(__xludf.DUMMYFUNCTION("""COMPUTED_VALUE"""),4.0)</f>
        <v>4</v>
      </c>
      <c r="G3222" s="17" t="str">
        <f>IFERROR(__xludf.DUMMYFUNCTION("""COMPUTED_VALUE"""),"142714")</f>
        <v>142714</v>
      </c>
      <c r="H3222" s="17" t="str">
        <f>IFERROR(__xludf.DUMMYFUNCTION("""COMPUTED_VALUE"""),"зварювальна хімія")</f>
        <v>зварювальна хімія</v>
      </c>
      <c r="I3222" s="19">
        <f>IFERROR(__xludf.DUMMYFUNCTION("""COMPUTED_VALUE"""),0.0533)</f>
        <v>0.0533</v>
      </c>
      <c r="J3222" s="19">
        <f>IFERROR(__xludf.DUMMYFUNCTION("""COMPUTED_VALUE"""),0.1065)</f>
        <v>0.1065</v>
      </c>
      <c r="K3222" s="19">
        <f>IFERROR(__xludf.DUMMYFUNCTION("""COMPUTED_VALUE"""),0.1331)</f>
        <v>0.1331</v>
      </c>
      <c r="L3222" s="19">
        <f>IFERROR(__xludf.DUMMYFUNCTION("""COMPUTED_VALUE"""),0.1598)</f>
        <v>0.1598</v>
      </c>
      <c r="M3222" s="18">
        <f>IFERROR(__xludf.DUMMYFUNCTION("""COMPUTED_VALUE"""),1.53)</f>
        <v>1.53</v>
      </c>
    </row>
    <row r="3223">
      <c r="A3223" s="13" t="str">
        <f>IFERROR(__xludf.DUMMYFUNCTION("""COMPUTED_VALUE"""),"товари")</f>
        <v>товари</v>
      </c>
      <c r="B3223" s="16" t="str">
        <f>IFERROR(__xludf.DUMMYFUNCTION("""COMPUTED_VALUE"""),"промислове обладнання та верстати")</f>
        <v>промислове обладнання та верстати</v>
      </c>
      <c r="C3223" s="16" t="str">
        <f>IFERROR(__xludf.DUMMYFUNCTION("""COMPUTED_VALUE"""),"зварювальне та паяльне обладнання")</f>
        <v>зварювальне та паяльне обладнання</v>
      </c>
      <c r="D3223" s="16" t="str">
        <f>IFERROR(__xludf.DUMMYFUNCTION("""COMPUTED_VALUE"""),"зварювальне обладнання, загальне")</f>
        <v>зварювальне обладнання, загальне</v>
      </c>
      <c r="E3223" s="16" t="str">
        <f>IFERROR(__xludf.DUMMYFUNCTION("""COMPUTED_VALUE"""),"зварювальне обладнання, загальне")</f>
        <v>зварювальне обладнання, загальне</v>
      </c>
      <c r="F3223" s="17">
        <f>IFERROR(__xludf.DUMMYFUNCTION("""COMPUTED_VALUE"""),3.0)</f>
        <v>3</v>
      </c>
      <c r="G3223" s="17" t="str">
        <f>IFERROR(__xludf.DUMMYFUNCTION("""COMPUTED_VALUE"""),"144099")</f>
        <v>144099</v>
      </c>
      <c r="H3223" s="17" t="str">
        <f>IFERROR(__xludf.DUMMYFUNCTION("""COMPUTED_VALUE"""),"зварювальне обладнання, загальне")</f>
        <v>зварювальне обладнання, загальне</v>
      </c>
      <c r="I3223" s="19">
        <f>IFERROR(__xludf.DUMMYFUNCTION("""COMPUTED_VALUE"""),0.125)</f>
        <v>0.125</v>
      </c>
      <c r="J3223" s="19">
        <f>IFERROR(__xludf.DUMMYFUNCTION("""COMPUTED_VALUE"""),0.25)</f>
        <v>0.25</v>
      </c>
      <c r="K3223" s="19">
        <f>IFERROR(__xludf.DUMMYFUNCTION("""COMPUTED_VALUE"""),0.3125)</f>
        <v>0.3125</v>
      </c>
      <c r="L3223" s="19">
        <f>IFERROR(__xludf.DUMMYFUNCTION("""COMPUTED_VALUE"""),0.375)</f>
        <v>0.375</v>
      </c>
      <c r="M3223" s="18">
        <f>IFERROR(__xludf.DUMMYFUNCTION("""COMPUTED_VALUE"""),4.33)</f>
        <v>4.33</v>
      </c>
    </row>
    <row r="3224">
      <c r="A3224" s="13" t="str">
        <f>IFERROR(__xludf.DUMMYFUNCTION("""COMPUTED_VALUE"""),"товари")</f>
        <v>товари</v>
      </c>
      <c r="B3224" s="16" t="str">
        <f>IFERROR(__xludf.DUMMYFUNCTION("""COMPUTED_VALUE"""),"промислове обладнання та верстати")</f>
        <v>промислове обладнання та верстати</v>
      </c>
      <c r="C3224" s="16" t="str">
        <f>IFERROR(__xludf.DUMMYFUNCTION("""COMPUTED_VALUE"""),"зварювальне та паяльне обладнання")</f>
        <v>зварювальне та паяльне обладнання</v>
      </c>
      <c r="D3224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24" s="16" t="str">
        <f>IFERROR(__xludf.DUMMYFUNCTION("""COMPUTED_VALUE"""),"зварювальний дріт")</f>
        <v>зварювальний дріт</v>
      </c>
      <c r="F3224" s="17">
        <f>IFERROR(__xludf.DUMMYFUNCTION("""COMPUTED_VALUE"""),4.0)</f>
        <v>4</v>
      </c>
      <c r="G3224" s="17" t="str">
        <f>IFERROR(__xludf.DUMMYFUNCTION("""COMPUTED_VALUE"""),"142709")</f>
        <v>142709</v>
      </c>
      <c r="H3224" s="17" t="str">
        <f>IFERROR(__xludf.DUMMYFUNCTION("""COMPUTED_VALUE"""),"зварювальний дріт")</f>
        <v>зварювальний дріт</v>
      </c>
      <c r="I3224" s="19">
        <f>IFERROR(__xludf.DUMMYFUNCTION("""COMPUTED_VALUE"""),0.0533)</f>
        <v>0.0533</v>
      </c>
      <c r="J3224" s="19">
        <f>IFERROR(__xludf.DUMMYFUNCTION("""COMPUTED_VALUE"""),0.1065)</f>
        <v>0.1065</v>
      </c>
      <c r="K3224" s="19">
        <f>IFERROR(__xludf.DUMMYFUNCTION("""COMPUTED_VALUE"""),0.1331)</f>
        <v>0.1331</v>
      </c>
      <c r="L3224" s="19">
        <f>IFERROR(__xludf.DUMMYFUNCTION("""COMPUTED_VALUE"""),0.1598)</f>
        <v>0.1598</v>
      </c>
      <c r="M3224" s="18">
        <f>IFERROR(__xludf.DUMMYFUNCTION("""COMPUTED_VALUE"""),1.53)</f>
        <v>1.53</v>
      </c>
    </row>
    <row r="3225">
      <c r="A3225" s="13" t="str">
        <f>IFERROR(__xludf.DUMMYFUNCTION("""COMPUTED_VALUE"""),"товари")</f>
        <v>товари</v>
      </c>
      <c r="B3225" s="16" t="str">
        <f>IFERROR(__xludf.DUMMYFUNCTION("""COMPUTED_VALUE"""),"промислове обладнання та верстати")</f>
        <v>промислове обладнання та верстати</v>
      </c>
      <c r="C3225" s="16" t="str">
        <f>IFERROR(__xludf.DUMMYFUNCTION("""COMPUTED_VALUE"""),"зварювальне та паяльне обладнання")</f>
        <v>зварювальне та паяльне обладнання</v>
      </c>
      <c r="D3225" s="16" t="str">
        <f>IFERROR(__xludf.DUMMYFUNCTION("""COMPUTED_VALUE"""),"зварювальні автомати та напівавтомати")</f>
        <v>зварювальні автомати та напівавтомати</v>
      </c>
      <c r="E3225" s="16" t="str">
        <f>IFERROR(__xludf.DUMMYFUNCTION("""COMPUTED_VALUE"""),"зварювальні автомати та напівавтомати")</f>
        <v>зварювальні автомати та напівавтомати</v>
      </c>
      <c r="F3225" s="17">
        <f>IFERROR(__xludf.DUMMYFUNCTION("""COMPUTED_VALUE"""),3.0)</f>
        <v>3</v>
      </c>
      <c r="G3225" s="17" t="str">
        <f>IFERROR(__xludf.DUMMYFUNCTION("""COMPUTED_VALUE"""),"14400105")</f>
        <v>14400105</v>
      </c>
      <c r="H3225" s="17" t="str">
        <f>IFERROR(__xludf.DUMMYFUNCTION("""COMPUTED_VALUE"""),"зварювальні автомати та напівавтомати")</f>
        <v>зварювальні автомати та напівавтомати</v>
      </c>
      <c r="I3225" s="19">
        <f>IFERROR(__xludf.DUMMYFUNCTION("""COMPUTED_VALUE"""),0.0472)</f>
        <v>0.0472</v>
      </c>
      <c r="J3225" s="19">
        <f>IFERROR(__xludf.DUMMYFUNCTION("""COMPUTED_VALUE"""),0.0944)</f>
        <v>0.0944</v>
      </c>
      <c r="K3225" s="19">
        <f>IFERROR(__xludf.DUMMYFUNCTION("""COMPUTED_VALUE"""),0.118)</f>
        <v>0.118</v>
      </c>
      <c r="L3225" s="19">
        <f>IFERROR(__xludf.DUMMYFUNCTION("""COMPUTED_VALUE"""),0.1416)</f>
        <v>0.1416</v>
      </c>
      <c r="M3225" s="18">
        <f>IFERROR(__xludf.DUMMYFUNCTION("""COMPUTED_VALUE"""),3.15)</f>
        <v>3.15</v>
      </c>
    </row>
    <row r="3226">
      <c r="A3226" s="13" t="str">
        <f>IFERROR(__xludf.DUMMYFUNCTION("""COMPUTED_VALUE"""),"товари")</f>
        <v>товари</v>
      </c>
      <c r="B3226" s="16" t="str">
        <f>IFERROR(__xludf.DUMMYFUNCTION("""COMPUTED_VALUE"""),"промислове обладнання та верстати")</f>
        <v>промислове обладнання та верстати</v>
      </c>
      <c r="C3226" s="16" t="str">
        <f>IFERROR(__xludf.DUMMYFUNCTION("""COMPUTED_VALUE"""),"зварювальне та паяльне обладнання")</f>
        <v>зварювальне та паяльне обладнання</v>
      </c>
      <c r="D3226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26" s="16" t="str">
        <f>IFERROR(__xludf.DUMMYFUNCTION("""COMPUTED_VALUE"""),"зварювальні голівки")</f>
        <v>зварювальні голівки</v>
      </c>
      <c r="F3226" s="17">
        <f>IFERROR(__xludf.DUMMYFUNCTION("""COMPUTED_VALUE"""),4.0)</f>
        <v>4</v>
      </c>
      <c r="G3226" s="17" t="str">
        <f>IFERROR(__xludf.DUMMYFUNCTION("""COMPUTED_VALUE"""),"142707")</f>
        <v>142707</v>
      </c>
      <c r="H3226" s="17" t="str">
        <f>IFERROR(__xludf.DUMMYFUNCTION("""COMPUTED_VALUE"""),"зварювальні голівки")</f>
        <v>зварювальні голівки</v>
      </c>
      <c r="I3226" s="19">
        <f>IFERROR(__xludf.DUMMYFUNCTION("""COMPUTED_VALUE"""),0.0533)</f>
        <v>0.0533</v>
      </c>
      <c r="J3226" s="19">
        <f>IFERROR(__xludf.DUMMYFUNCTION("""COMPUTED_VALUE"""),0.1065)</f>
        <v>0.1065</v>
      </c>
      <c r="K3226" s="19">
        <f>IFERROR(__xludf.DUMMYFUNCTION("""COMPUTED_VALUE"""),0.1331)</f>
        <v>0.1331</v>
      </c>
      <c r="L3226" s="19">
        <f>IFERROR(__xludf.DUMMYFUNCTION("""COMPUTED_VALUE"""),0.1598)</f>
        <v>0.1598</v>
      </c>
      <c r="M3226" s="18">
        <f>IFERROR(__xludf.DUMMYFUNCTION("""COMPUTED_VALUE"""),1.53)</f>
        <v>1.53</v>
      </c>
    </row>
    <row r="3227">
      <c r="A3227" s="13" t="str">
        <f>IFERROR(__xludf.DUMMYFUNCTION("""COMPUTED_VALUE"""),"товари")</f>
        <v>товари</v>
      </c>
      <c r="B3227" s="16" t="str">
        <f>IFERROR(__xludf.DUMMYFUNCTION("""COMPUTED_VALUE"""),"промислове обладнання та верстати")</f>
        <v>промислове обладнання та верстати</v>
      </c>
      <c r="C3227" s="16" t="str">
        <f>IFERROR(__xludf.DUMMYFUNCTION("""COMPUTED_VALUE"""),"зварювальне та паяльне обладнання")</f>
        <v>зварювальне та паяльне обладнання</v>
      </c>
      <c r="D3227" s="16" t="str">
        <f>IFERROR(__xludf.DUMMYFUNCTION("""COMPUTED_VALUE"""),"зварювальні інвертори")</f>
        <v>зварювальні інвертори</v>
      </c>
      <c r="E3227" s="16" t="str">
        <f>IFERROR(__xludf.DUMMYFUNCTION("""COMPUTED_VALUE"""),"зварювальні інвертори")</f>
        <v>зварювальні інвертори</v>
      </c>
      <c r="F3227" s="17">
        <f>IFERROR(__xludf.DUMMYFUNCTION("""COMPUTED_VALUE"""),3.0)</f>
        <v>3</v>
      </c>
      <c r="G3227" s="17" t="str">
        <f>IFERROR(__xludf.DUMMYFUNCTION("""COMPUTED_VALUE"""),"14400101")</f>
        <v>14400101</v>
      </c>
      <c r="H3227" s="17" t="str">
        <f>IFERROR(__xludf.DUMMYFUNCTION("""COMPUTED_VALUE"""),"зварювальні інвертори")</f>
        <v>зварювальні інвертори</v>
      </c>
      <c r="I3227" s="19">
        <f>IFERROR(__xludf.DUMMYFUNCTION("""COMPUTED_VALUE"""),0.0512)</f>
        <v>0.0512</v>
      </c>
      <c r="J3227" s="19">
        <f>IFERROR(__xludf.DUMMYFUNCTION("""COMPUTED_VALUE"""),0.1023)</f>
        <v>0.1023</v>
      </c>
      <c r="K3227" s="19">
        <f>IFERROR(__xludf.DUMMYFUNCTION("""COMPUTED_VALUE"""),0.1279)</f>
        <v>0.1279</v>
      </c>
      <c r="L3227" s="19">
        <f>IFERROR(__xludf.DUMMYFUNCTION("""COMPUTED_VALUE"""),0.1535)</f>
        <v>0.1535</v>
      </c>
      <c r="M3227" s="18">
        <f>IFERROR(__xludf.DUMMYFUNCTION("""COMPUTED_VALUE"""),2.88)</f>
        <v>2.88</v>
      </c>
    </row>
    <row r="3228">
      <c r="A3228" s="13" t="str">
        <f>IFERROR(__xludf.DUMMYFUNCTION("""COMPUTED_VALUE"""),"товари")</f>
        <v>товари</v>
      </c>
      <c r="B3228" s="16" t="str">
        <f>IFERROR(__xludf.DUMMYFUNCTION("""COMPUTED_VALUE"""),"промислове обладнання та верстати")</f>
        <v>промислове обладнання та верстати</v>
      </c>
      <c r="C3228" s="16" t="str">
        <f>IFERROR(__xludf.DUMMYFUNCTION("""COMPUTED_VALUE"""),"зварювальне та паяльне обладнання")</f>
        <v>зварювальне та паяльне обладнання</v>
      </c>
      <c r="D3228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28" s="16" t="str">
        <f>IFERROR(__xludf.DUMMYFUNCTION("""COMPUTED_VALUE"""),"зварювальні наконечники та сопла")</f>
        <v>зварювальні наконечники та сопла</v>
      </c>
      <c r="F3228" s="17">
        <f>IFERROR(__xludf.DUMMYFUNCTION("""COMPUTED_VALUE"""),4.0)</f>
        <v>4</v>
      </c>
      <c r="G3228" s="17" t="str">
        <f>IFERROR(__xludf.DUMMYFUNCTION("""COMPUTED_VALUE"""),"142713")</f>
        <v>142713</v>
      </c>
      <c r="H3228" s="17" t="str">
        <f>IFERROR(__xludf.DUMMYFUNCTION("""COMPUTED_VALUE"""),"зварювальні наконечники та сопла")</f>
        <v>зварювальні наконечники та сопла</v>
      </c>
      <c r="I3228" s="19">
        <f>IFERROR(__xludf.DUMMYFUNCTION("""COMPUTED_VALUE"""),0.0533)</f>
        <v>0.0533</v>
      </c>
      <c r="J3228" s="19">
        <f>IFERROR(__xludf.DUMMYFUNCTION("""COMPUTED_VALUE"""),0.1065)</f>
        <v>0.1065</v>
      </c>
      <c r="K3228" s="19">
        <f>IFERROR(__xludf.DUMMYFUNCTION("""COMPUTED_VALUE"""),0.1331)</f>
        <v>0.1331</v>
      </c>
      <c r="L3228" s="19">
        <f>IFERROR(__xludf.DUMMYFUNCTION("""COMPUTED_VALUE"""),0.1598)</f>
        <v>0.1598</v>
      </c>
      <c r="M3228" s="18">
        <f>IFERROR(__xludf.DUMMYFUNCTION("""COMPUTED_VALUE"""),1.53)</f>
        <v>1.53</v>
      </c>
    </row>
    <row r="3229">
      <c r="A3229" s="13" t="str">
        <f>IFERROR(__xludf.DUMMYFUNCTION("""COMPUTED_VALUE"""),"товари")</f>
        <v>товари</v>
      </c>
      <c r="B3229" s="16" t="str">
        <f>IFERROR(__xludf.DUMMYFUNCTION("""COMPUTED_VALUE"""),"промислове обладнання та верстати")</f>
        <v>промислове обладнання та верстати</v>
      </c>
      <c r="C3229" s="16" t="str">
        <f>IFERROR(__xludf.DUMMYFUNCTION("""COMPUTED_VALUE"""),"зварювальне та паяльне обладнання")</f>
        <v>зварювальне та паяльне обладнання</v>
      </c>
      <c r="D3229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29" s="16" t="str">
        <f>IFERROR(__xludf.DUMMYFUNCTION("""COMPUTED_VALUE"""),"зварювальні пальники та різаки")</f>
        <v>зварювальні пальники та різаки</v>
      </c>
      <c r="F3229" s="17">
        <f>IFERROR(__xludf.DUMMYFUNCTION("""COMPUTED_VALUE"""),4.0)</f>
        <v>4</v>
      </c>
      <c r="G3229" s="17" t="str">
        <f>IFERROR(__xludf.DUMMYFUNCTION("""COMPUTED_VALUE"""),"142712")</f>
        <v>142712</v>
      </c>
      <c r="H3229" s="17" t="str">
        <f>IFERROR(__xludf.DUMMYFUNCTION("""COMPUTED_VALUE"""),"зварювальні пальники та різаки")</f>
        <v>зварювальні пальники та різаки</v>
      </c>
      <c r="I3229" s="19">
        <f>IFERROR(__xludf.DUMMYFUNCTION("""COMPUTED_VALUE"""),0.0533)</f>
        <v>0.0533</v>
      </c>
      <c r="J3229" s="19">
        <f>IFERROR(__xludf.DUMMYFUNCTION("""COMPUTED_VALUE"""),0.1065)</f>
        <v>0.1065</v>
      </c>
      <c r="K3229" s="19">
        <f>IFERROR(__xludf.DUMMYFUNCTION("""COMPUTED_VALUE"""),0.1331)</f>
        <v>0.1331</v>
      </c>
      <c r="L3229" s="19">
        <f>IFERROR(__xludf.DUMMYFUNCTION("""COMPUTED_VALUE"""),0.1598)</f>
        <v>0.1598</v>
      </c>
      <c r="M3229" s="18">
        <f>IFERROR(__xludf.DUMMYFUNCTION("""COMPUTED_VALUE"""),1.53)</f>
        <v>1.53</v>
      </c>
    </row>
    <row r="3230">
      <c r="A3230" s="13" t="str">
        <f>IFERROR(__xludf.DUMMYFUNCTION("""COMPUTED_VALUE"""),"товари")</f>
        <v>товари</v>
      </c>
      <c r="B3230" s="16" t="str">
        <f>IFERROR(__xludf.DUMMYFUNCTION("""COMPUTED_VALUE"""),"промислове обладнання та верстати")</f>
        <v>промислове обладнання та верстати</v>
      </c>
      <c r="C3230" s="16" t="str">
        <f>IFERROR(__xludf.DUMMYFUNCTION("""COMPUTED_VALUE"""),"зварювальне та паяльне обладнання")</f>
        <v>зварювальне та паяльне обладнання</v>
      </c>
      <c r="D3230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30" s="16" t="str">
        <f>IFERROR(__xludf.DUMMYFUNCTION("""COMPUTED_VALUE"""),"зварювальні пістолети")</f>
        <v>зварювальні пістолети</v>
      </c>
      <c r="F3230" s="17">
        <f>IFERROR(__xludf.DUMMYFUNCTION("""COMPUTED_VALUE"""),4.0)</f>
        <v>4</v>
      </c>
      <c r="G3230" s="17" t="str">
        <f>IFERROR(__xludf.DUMMYFUNCTION("""COMPUTED_VALUE"""),"142704")</f>
        <v>142704</v>
      </c>
      <c r="H3230" s="17" t="str">
        <f>IFERROR(__xludf.DUMMYFUNCTION("""COMPUTED_VALUE"""),"зварювальні пістолети")</f>
        <v>зварювальні пістолети</v>
      </c>
      <c r="I3230" s="19">
        <f>IFERROR(__xludf.DUMMYFUNCTION("""COMPUTED_VALUE"""),0.0533)</f>
        <v>0.0533</v>
      </c>
      <c r="J3230" s="19">
        <f>IFERROR(__xludf.DUMMYFUNCTION("""COMPUTED_VALUE"""),0.1065)</f>
        <v>0.1065</v>
      </c>
      <c r="K3230" s="19">
        <f>IFERROR(__xludf.DUMMYFUNCTION("""COMPUTED_VALUE"""),0.1331)</f>
        <v>0.1331</v>
      </c>
      <c r="L3230" s="19">
        <f>IFERROR(__xludf.DUMMYFUNCTION("""COMPUTED_VALUE"""),0.1598)</f>
        <v>0.1598</v>
      </c>
      <c r="M3230" s="18">
        <f>IFERROR(__xludf.DUMMYFUNCTION("""COMPUTED_VALUE"""),1.53)</f>
        <v>1.53</v>
      </c>
    </row>
    <row r="3231">
      <c r="A3231" s="13" t="str">
        <f>IFERROR(__xludf.DUMMYFUNCTION("""COMPUTED_VALUE"""),"товари")</f>
        <v>товари</v>
      </c>
      <c r="B3231" s="16" t="str">
        <f>IFERROR(__xludf.DUMMYFUNCTION("""COMPUTED_VALUE"""),"промислове обладнання та верстати")</f>
        <v>промислове обладнання та верстати</v>
      </c>
      <c r="C3231" s="16" t="str">
        <f>IFERROR(__xludf.DUMMYFUNCTION("""COMPUTED_VALUE"""),"зварювальне та паяльне обладнання")</f>
        <v>зварювальне та паяльне обладнання</v>
      </c>
      <c r="D3231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31" s="16" t="str">
        <f>IFERROR(__xludf.DUMMYFUNCTION("""COMPUTED_VALUE"""),"клеми маси")</f>
        <v>клеми маси</v>
      </c>
      <c r="F3231" s="17">
        <f>IFERROR(__xludf.DUMMYFUNCTION("""COMPUTED_VALUE"""),4.0)</f>
        <v>4</v>
      </c>
      <c r="G3231" s="17" t="str">
        <f>IFERROR(__xludf.DUMMYFUNCTION("""COMPUTED_VALUE"""),"142710")</f>
        <v>142710</v>
      </c>
      <c r="H3231" s="17" t="str">
        <f>IFERROR(__xludf.DUMMYFUNCTION("""COMPUTED_VALUE"""),"клеми маси")</f>
        <v>клеми маси</v>
      </c>
      <c r="I3231" s="19">
        <f>IFERROR(__xludf.DUMMYFUNCTION("""COMPUTED_VALUE"""),0.0533)</f>
        <v>0.0533</v>
      </c>
      <c r="J3231" s="19">
        <f>IFERROR(__xludf.DUMMYFUNCTION("""COMPUTED_VALUE"""),0.1065)</f>
        <v>0.1065</v>
      </c>
      <c r="K3231" s="19">
        <f>IFERROR(__xludf.DUMMYFUNCTION("""COMPUTED_VALUE"""),0.1331)</f>
        <v>0.1331</v>
      </c>
      <c r="L3231" s="19">
        <f>IFERROR(__xludf.DUMMYFUNCTION("""COMPUTED_VALUE"""),0.1598)</f>
        <v>0.1598</v>
      </c>
      <c r="M3231" s="18">
        <f>IFERROR(__xludf.DUMMYFUNCTION("""COMPUTED_VALUE"""),1.53)</f>
        <v>1.53</v>
      </c>
    </row>
    <row r="3232">
      <c r="A3232" s="20" t="str">
        <f>IFERROR(__xludf.DUMMYFUNCTION("""COMPUTED_VALUE"""),"товари")</f>
        <v>товари</v>
      </c>
      <c r="B3232" s="21" t="str">
        <f>IFERROR(__xludf.DUMMYFUNCTION("""COMPUTED_VALUE"""),"промислове обладнання та верстати")</f>
        <v>промислове обладнання та верстати</v>
      </c>
      <c r="C3232" s="21" t="str">
        <f>IFERROR(__xludf.DUMMYFUNCTION("""COMPUTED_VALUE"""),"альтернативні джерела енергії")</f>
        <v>альтернативні джерела енергії</v>
      </c>
      <c r="D3232" s="21" t="str">
        <f>IFERROR(__xludf.DUMMYFUNCTION("""COMPUTED_VALUE"""),"комплектуючі для альтернативних джерел енергії")</f>
        <v>комплектуючі для альтернативних джерел енергії</v>
      </c>
      <c r="E3232" s="21" t="str">
        <f>IFERROR(__xludf.DUMMYFUNCTION("""COMPUTED_VALUE"""),"комплектуючі для альтернативних джерел енергії")</f>
        <v>комплектуючі для альтернативних джерел енергії</v>
      </c>
      <c r="F3232" s="22">
        <f>IFERROR(__xludf.DUMMYFUNCTION("""COMPUTED_VALUE"""),3.0)</f>
        <v>3</v>
      </c>
      <c r="G3232" s="22" t="str">
        <f>IFERROR(__xludf.DUMMYFUNCTION("""COMPUTED_VALUE"""),"101003")</f>
        <v>101003</v>
      </c>
      <c r="H3232" s="22" t="str">
        <f>IFERROR(__xludf.DUMMYFUNCTION("""COMPUTED_VALUE"""),"комплектуючі для альтернативних джерел енергії")</f>
        <v>комплектуючі для альтернативних джерел енергії</v>
      </c>
      <c r="I3232" s="19">
        <f>IFERROR(__xludf.DUMMYFUNCTION("""COMPUTED_VALUE"""),0.0568)</f>
        <v>0.0568</v>
      </c>
      <c r="J3232" s="19">
        <f>IFERROR(__xludf.DUMMYFUNCTION("""COMPUTED_VALUE"""),0.1135)</f>
        <v>0.1135</v>
      </c>
      <c r="K3232" s="19">
        <f>IFERROR(__xludf.DUMMYFUNCTION("""COMPUTED_VALUE"""),0.1419)</f>
        <v>0.1419</v>
      </c>
      <c r="L3232" s="19">
        <f>IFERROR(__xludf.DUMMYFUNCTION("""COMPUTED_VALUE"""),0.1703)</f>
        <v>0.1703</v>
      </c>
      <c r="M3232" s="18">
        <f>IFERROR(__xludf.DUMMYFUNCTION("""COMPUTED_VALUE"""),3.88)</f>
        <v>3.88</v>
      </c>
    </row>
    <row r="3233">
      <c r="A3233" s="13" t="str">
        <f>IFERROR(__xludf.DUMMYFUNCTION("""COMPUTED_VALUE"""),"товари")</f>
        <v>товари</v>
      </c>
      <c r="B3233" s="16" t="str">
        <f>IFERROR(__xludf.DUMMYFUNCTION("""COMPUTED_VALUE"""),"промислове обладнання та верстати")</f>
        <v>промислове обладнання та верстати</v>
      </c>
      <c r="C3233" s="16" t="str">
        <f>IFERROR(__xludf.DUMMYFUNCTION("""COMPUTED_VALUE"""),"хімічне обладнання")</f>
        <v>хімічне обладнання</v>
      </c>
      <c r="D3233" s="16" t="str">
        <f>IFERROR(__xludf.DUMMYFUNCTION("""COMPUTED_VALUE"""),"газобалонне обладнання")</f>
        <v>газобалонне обладнання</v>
      </c>
      <c r="E3233" s="16" t="str">
        <f>IFERROR(__xludf.DUMMYFUNCTION("""COMPUTED_VALUE"""),"комплектуючі для газобалонного обладнання")</f>
        <v>комплектуючі для газобалонного обладнання</v>
      </c>
      <c r="F3233" s="17">
        <f>IFERROR(__xludf.DUMMYFUNCTION("""COMPUTED_VALUE"""),4.0)</f>
        <v>4</v>
      </c>
      <c r="G3233" s="17" t="str">
        <f>IFERROR(__xludf.DUMMYFUNCTION("""COMPUTED_VALUE"""),"141611")</f>
        <v>141611</v>
      </c>
      <c r="H3233" s="17" t="str">
        <f>IFERROR(__xludf.DUMMYFUNCTION("""COMPUTED_VALUE"""),"комплектуючі для газобалонного обладнання")</f>
        <v>комплектуючі для газобалонного обладнання</v>
      </c>
      <c r="I3233" s="19">
        <f>IFERROR(__xludf.DUMMYFUNCTION("""COMPUTED_VALUE"""),0.0524)</f>
        <v>0.0524</v>
      </c>
      <c r="J3233" s="19">
        <f>IFERROR(__xludf.DUMMYFUNCTION("""COMPUTED_VALUE"""),0.1047)</f>
        <v>0.1047</v>
      </c>
      <c r="K3233" s="19">
        <f>IFERROR(__xludf.DUMMYFUNCTION("""COMPUTED_VALUE"""),0.1309)</f>
        <v>0.1309</v>
      </c>
      <c r="L3233" s="19">
        <f>IFERROR(__xludf.DUMMYFUNCTION("""COMPUTED_VALUE"""),0.1571)</f>
        <v>0.1571</v>
      </c>
      <c r="M3233" s="18">
        <f>IFERROR(__xludf.DUMMYFUNCTION("""COMPUTED_VALUE"""),1.71)</f>
        <v>1.71</v>
      </c>
    </row>
    <row r="3234">
      <c r="A3234" s="13" t="str">
        <f>IFERROR(__xludf.DUMMYFUNCTION("""COMPUTED_VALUE"""),"товари")</f>
        <v>товари</v>
      </c>
      <c r="B3234" s="16" t="str">
        <f>IFERROR(__xludf.DUMMYFUNCTION("""COMPUTED_VALUE"""),"промислове обладнання та верстати")</f>
        <v>промислове обладнання та верстати</v>
      </c>
      <c r="C3234" s="16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34" s="16" t="str">
        <f>IFERROR(__xludf.DUMMYFUNCTION("""COMPUTED_VALUE"""),"комплектуючі для електродвигунів")</f>
        <v>комплектуючі для електродвигунів</v>
      </c>
      <c r="E3234" s="16" t="str">
        <f>IFERROR(__xludf.DUMMYFUNCTION("""COMPUTED_VALUE"""),"комплектуючі для електродвигунів")</f>
        <v>комплектуючі для електродвигунів</v>
      </c>
      <c r="F3234" s="17">
        <f>IFERROR(__xludf.DUMMYFUNCTION("""COMPUTED_VALUE"""),3.0)</f>
        <v>3</v>
      </c>
      <c r="G3234" s="17" t="str">
        <f>IFERROR(__xludf.DUMMYFUNCTION("""COMPUTED_VALUE"""),"140136")</f>
        <v>140136</v>
      </c>
      <c r="H3234" s="17" t="str">
        <f>IFERROR(__xludf.DUMMYFUNCTION("""COMPUTED_VALUE"""),"комплектуючі для електродвигунів")</f>
        <v>комплектуючі для електродвигунів</v>
      </c>
      <c r="I3234" s="19">
        <f>IFERROR(__xludf.DUMMYFUNCTION("""COMPUTED_VALUE"""),0.0442)</f>
        <v>0.0442</v>
      </c>
      <c r="J3234" s="19">
        <f>IFERROR(__xludf.DUMMYFUNCTION("""COMPUTED_VALUE"""),0.0884)</f>
        <v>0.0884</v>
      </c>
      <c r="K3234" s="19">
        <f>IFERROR(__xludf.DUMMYFUNCTION("""COMPUTED_VALUE"""),0.1105)</f>
        <v>0.1105</v>
      </c>
      <c r="L3234" s="19">
        <f>IFERROR(__xludf.DUMMYFUNCTION("""COMPUTED_VALUE"""),0.1326)</f>
        <v>0.1326</v>
      </c>
      <c r="M3234" s="18">
        <f>IFERROR(__xludf.DUMMYFUNCTION("""COMPUTED_VALUE"""),2.79)</f>
        <v>2.79</v>
      </c>
    </row>
    <row r="3235">
      <c r="A3235" s="13" t="str">
        <f>IFERROR(__xludf.DUMMYFUNCTION("""COMPUTED_VALUE"""),"товари")</f>
        <v>товари</v>
      </c>
      <c r="B3235" s="16" t="str">
        <f>IFERROR(__xludf.DUMMYFUNCTION("""COMPUTED_VALUE"""),"промислове обладнання та верстати")</f>
        <v>промислове обладнання та верстати</v>
      </c>
      <c r="C3235" s="16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35" s="16" t="str">
        <f>IFERROR(__xludf.DUMMYFUNCTION("""COMPUTED_VALUE"""),"комплектуючі для енергозберігаючого обладнання")</f>
        <v>комплектуючі для енергозберігаючого обладнання</v>
      </c>
      <c r="E3235" s="16" t="str">
        <f>IFERROR(__xludf.DUMMYFUNCTION("""COMPUTED_VALUE"""),"комплектуючі для енергозберігаючого обладнання")</f>
        <v>комплектуючі для енергозберігаючого обладнання</v>
      </c>
      <c r="F3235" s="17">
        <f>IFERROR(__xludf.DUMMYFUNCTION("""COMPUTED_VALUE"""),3.0)</f>
        <v>3</v>
      </c>
      <c r="G3235" s="17" t="str">
        <f>IFERROR(__xludf.DUMMYFUNCTION("""COMPUTED_VALUE"""),"140119")</f>
        <v>140119</v>
      </c>
      <c r="H3235" s="17" t="str">
        <f>IFERROR(__xludf.DUMMYFUNCTION("""COMPUTED_VALUE"""),"комплектуючі для енергозберігаючого обладнання")</f>
        <v>комплектуючі для енергозберігаючого обладнання</v>
      </c>
      <c r="I3235" s="19">
        <f>IFERROR(__xludf.DUMMYFUNCTION("""COMPUTED_VALUE"""),0.033)</f>
        <v>0.033</v>
      </c>
      <c r="J3235" s="19">
        <f>IFERROR(__xludf.DUMMYFUNCTION("""COMPUTED_VALUE"""),0.066)</f>
        <v>0.066</v>
      </c>
      <c r="K3235" s="19">
        <f>IFERROR(__xludf.DUMMYFUNCTION("""COMPUTED_VALUE"""),0.0825)</f>
        <v>0.0825</v>
      </c>
      <c r="L3235" s="19">
        <f>IFERROR(__xludf.DUMMYFUNCTION("""COMPUTED_VALUE"""),0.099)</f>
        <v>0.099</v>
      </c>
      <c r="M3235" s="18">
        <f>IFERROR(__xludf.DUMMYFUNCTION("""COMPUTED_VALUE"""),1.05)</f>
        <v>1.05</v>
      </c>
    </row>
    <row r="3236">
      <c r="A3236" s="13" t="str">
        <f>IFERROR(__xludf.DUMMYFUNCTION("""COMPUTED_VALUE"""),"товари")</f>
        <v>товари</v>
      </c>
      <c r="B3236" s="16" t="str">
        <f>IFERROR(__xludf.DUMMYFUNCTION("""COMPUTED_VALUE"""),"промислове обладнання та верстати")</f>
        <v>промислове обладнання та верстати</v>
      </c>
      <c r="C3236" s="16" t="str">
        <f>IFERROR(__xludf.DUMMYFUNCTION("""COMPUTED_VALUE"""),"зварювальне та паяльне обладнання")</f>
        <v>зварювальне та паяльне обладнання</v>
      </c>
      <c r="D3236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36" s="16" t="str">
        <f>IFERROR(__xludf.DUMMYFUNCTION("""COMPUTED_VALUE"""),"комплектуючі для зварювання та паяння")</f>
        <v>комплектуючі для зварювання та паяння</v>
      </c>
      <c r="F3236" s="17">
        <f>IFERROR(__xludf.DUMMYFUNCTION("""COMPUTED_VALUE"""),4.0)</f>
        <v>4</v>
      </c>
      <c r="G3236" s="17" t="str">
        <f>IFERROR(__xludf.DUMMYFUNCTION("""COMPUTED_VALUE"""),"142716")</f>
        <v>142716</v>
      </c>
      <c r="H3236" s="17" t="str">
        <f>IFERROR(__xludf.DUMMYFUNCTION("""COMPUTED_VALUE"""),"комплектуючі для зварювання та паяння")</f>
        <v>комплектуючі для зварювання та паяння</v>
      </c>
      <c r="I3236" s="19">
        <f>IFERROR(__xludf.DUMMYFUNCTION("""COMPUTED_VALUE"""),0.0727)</f>
        <v>0.0727</v>
      </c>
      <c r="J3236" s="19">
        <f>IFERROR(__xludf.DUMMYFUNCTION("""COMPUTED_VALUE"""),0.1453)</f>
        <v>0.1453</v>
      </c>
      <c r="K3236" s="19">
        <f>IFERROR(__xludf.DUMMYFUNCTION("""COMPUTED_VALUE"""),0.1816)</f>
        <v>0.1816</v>
      </c>
      <c r="L3236" s="19">
        <f>IFERROR(__xludf.DUMMYFUNCTION("""COMPUTED_VALUE"""),0.218)</f>
        <v>0.218</v>
      </c>
      <c r="M3236" s="18">
        <f>IFERROR(__xludf.DUMMYFUNCTION("""COMPUTED_VALUE"""),1.53)</f>
        <v>1.53</v>
      </c>
    </row>
    <row r="3237">
      <c r="A3237" s="13" t="str">
        <f>IFERROR(__xludf.DUMMYFUNCTION("""COMPUTED_VALUE"""),"товари")</f>
        <v>товари</v>
      </c>
      <c r="B3237" s="16" t="str">
        <f>IFERROR(__xludf.DUMMYFUNCTION("""COMPUTED_VALUE"""),"промислове обладнання та верстати")</f>
        <v>промислове обладнання та верстати</v>
      </c>
      <c r="C3237" s="16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37" s="16" t="str">
        <f>IFERROR(__xludf.DUMMYFUNCTION("""COMPUTED_VALUE"""),"комплектуючі для очищувачів повітря")</f>
        <v>комплектуючі для очищувачів повітря</v>
      </c>
      <c r="E3237" s="16" t="str">
        <f>IFERROR(__xludf.DUMMYFUNCTION("""COMPUTED_VALUE"""),"комплектуючі для очищувачів повітря")</f>
        <v>комплектуючі для очищувачів повітря</v>
      </c>
      <c r="F3237" s="17">
        <f>IFERROR(__xludf.DUMMYFUNCTION("""COMPUTED_VALUE"""),3.0)</f>
        <v>3</v>
      </c>
      <c r="G3237" s="17" t="str">
        <f>IFERROR(__xludf.DUMMYFUNCTION("""COMPUTED_VALUE"""),"140101")</f>
        <v>140101</v>
      </c>
      <c r="H3237" s="17" t="str">
        <f>IFERROR(__xludf.DUMMYFUNCTION("""COMPUTED_VALUE"""),"комплектуючі для очищувачів повітря")</f>
        <v>комплектуючі для очищувачів повітря</v>
      </c>
      <c r="I3237" s="19">
        <f>IFERROR(__xludf.DUMMYFUNCTION("""COMPUTED_VALUE"""),0.0527)</f>
        <v>0.0527</v>
      </c>
      <c r="J3237" s="19">
        <f>IFERROR(__xludf.DUMMYFUNCTION("""COMPUTED_VALUE"""),0.1054)</f>
        <v>0.1054</v>
      </c>
      <c r="K3237" s="19">
        <f>IFERROR(__xludf.DUMMYFUNCTION("""COMPUTED_VALUE"""),0.1318)</f>
        <v>0.1318</v>
      </c>
      <c r="L3237" s="19">
        <f>IFERROR(__xludf.DUMMYFUNCTION("""COMPUTED_VALUE"""),0.1581)</f>
        <v>0.1581</v>
      </c>
      <c r="M3237" s="18">
        <f>IFERROR(__xludf.DUMMYFUNCTION("""COMPUTED_VALUE"""),1.05)</f>
        <v>1.05</v>
      </c>
    </row>
    <row r="3238">
      <c r="A3238" s="13" t="str">
        <f>IFERROR(__xludf.DUMMYFUNCTION("""COMPUTED_VALUE"""),"товари")</f>
        <v>товари</v>
      </c>
      <c r="B3238" s="16" t="str">
        <f>IFERROR(__xludf.DUMMYFUNCTION("""COMPUTED_VALUE"""),"промислове обладнання та верстати")</f>
        <v>промислове обладнання та верстати</v>
      </c>
      <c r="C3238" s="16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38" s="16" t="str">
        <f>IFERROR(__xludf.DUMMYFUNCTION("""COMPUTED_VALUE"""),"комплектуючі для промислового обладнання та верстатів, загальне")</f>
        <v>комплектуючі для промислового обладнання та верстатів, загальне</v>
      </c>
      <c r="E3238" s="16" t="str">
        <f>IFERROR(__xludf.DUMMYFUNCTION("""COMPUTED_VALUE"""),"комплектуючі для промислового обладнання та верстатів, загальне")</f>
        <v>комплектуючі для промислового обладнання та верстатів, загальне</v>
      </c>
      <c r="F3238" s="17">
        <f>IFERROR(__xludf.DUMMYFUNCTION("""COMPUTED_VALUE"""),3.0)</f>
        <v>3</v>
      </c>
      <c r="G3238" s="17" t="str">
        <f>IFERROR(__xludf.DUMMYFUNCTION("""COMPUTED_VALUE"""),"140104")</f>
        <v>140104</v>
      </c>
      <c r="H3238" s="17" t="str">
        <f>IFERROR(__xludf.DUMMYFUNCTION("""COMPUTED_VALUE"""),"комплектуючі для промислового обладнання та верстатів, загальне")</f>
        <v>комплектуючі для промислового обладнання та верстатів, загальне</v>
      </c>
      <c r="I3238" s="19">
        <f>IFERROR(__xludf.DUMMYFUNCTION("""COMPUTED_VALUE"""),0.125)</f>
        <v>0.125</v>
      </c>
      <c r="J3238" s="19">
        <f>IFERROR(__xludf.DUMMYFUNCTION("""COMPUTED_VALUE"""),0.25)</f>
        <v>0.25</v>
      </c>
      <c r="K3238" s="19">
        <f>IFERROR(__xludf.DUMMYFUNCTION("""COMPUTED_VALUE"""),0.3125)</f>
        <v>0.3125</v>
      </c>
      <c r="L3238" s="19">
        <f>IFERROR(__xludf.DUMMYFUNCTION("""COMPUTED_VALUE"""),0.375)</f>
        <v>0.375</v>
      </c>
      <c r="M3238" s="18">
        <f>IFERROR(__xludf.DUMMYFUNCTION("""COMPUTED_VALUE"""),4.33)</f>
        <v>4.33</v>
      </c>
    </row>
    <row r="3239">
      <c r="A3239" s="13" t="str">
        <f>IFERROR(__xludf.DUMMYFUNCTION("""COMPUTED_VALUE"""),"товари")</f>
        <v>товари</v>
      </c>
      <c r="B3239" s="16" t="str">
        <f>IFERROR(__xludf.DUMMYFUNCTION("""COMPUTED_VALUE"""),"промислове обладнання та верстати")</f>
        <v>промислове обладнання та верстати</v>
      </c>
      <c r="C3239" s="16" t="str">
        <f>IFERROR(__xludf.DUMMYFUNCTION("""COMPUTED_VALUE"""),"обладнання для видобувної промисловості")</f>
        <v>обладнання для видобувної промисловості</v>
      </c>
      <c r="D3239" s="16" t="str">
        <f>IFERROR(__xludf.DUMMYFUNCTION("""COMPUTED_VALUE"""),"бурове обладнання")</f>
        <v>бурове обладнання</v>
      </c>
      <c r="E3239" s="16" t="str">
        <f>IFERROR(__xludf.DUMMYFUNCTION("""COMPUTED_VALUE"""),"комплектуючі для свердловин")</f>
        <v>комплектуючі для свердловин</v>
      </c>
      <c r="F3239" s="17">
        <f>IFERROR(__xludf.DUMMYFUNCTION("""COMPUTED_VALUE"""),4.0)</f>
        <v>4</v>
      </c>
      <c r="G3239" s="17" t="str">
        <f>IFERROR(__xludf.DUMMYFUNCTION("""COMPUTED_VALUE"""),"9150412")</f>
        <v>9150412</v>
      </c>
      <c r="H3239" s="17" t="str">
        <f>IFERROR(__xludf.DUMMYFUNCTION("""COMPUTED_VALUE"""),"комплектуючі для свердловин")</f>
        <v>комплектуючі для свердловин</v>
      </c>
      <c r="I3239" s="19">
        <f>IFERROR(__xludf.DUMMYFUNCTION("""COMPUTED_VALUE"""),0.0447)</f>
        <v>0.0447</v>
      </c>
      <c r="J3239" s="19">
        <f>IFERROR(__xludf.DUMMYFUNCTION("""COMPUTED_VALUE"""),0.0893)</f>
        <v>0.0893</v>
      </c>
      <c r="K3239" s="19">
        <f>IFERROR(__xludf.DUMMYFUNCTION("""COMPUTED_VALUE"""),0.1116)</f>
        <v>0.1116</v>
      </c>
      <c r="L3239" s="19">
        <f>IFERROR(__xludf.DUMMYFUNCTION("""COMPUTED_VALUE"""),0.134)</f>
        <v>0.134</v>
      </c>
      <c r="M3239" s="18">
        <f>IFERROR(__xludf.DUMMYFUNCTION("""COMPUTED_VALUE"""),1.71)</f>
        <v>1.71</v>
      </c>
    </row>
    <row r="3240">
      <c r="A3240" s="13" t="str">
        <f>IFERROR(__xludf.DUMMYFUNCTION("""COMPUTED_VALUE"""),"товари")</f>
        <v>товари</v>
      </c>
      <c r="B3240" s="16" t="str">
        <f>IFERROR(__xludf.DUMMYFUNCTION("""COMPUTED_VALUE"""),"промислове обладнання та верстати")</f>
        <v>промислове обладнання та верстати</v>
      </c>
      <c r="C3240" s="16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40" s="16" t="str">
        <f>IFERROR(__xludf.DUMMYFUNCTION("""COMPUTED_VALUE"""),"комплектуючі для сепараторів")</f>
        <v>комплектуючі для сепараторів</v>
      </c>
      <c r="E3240" s="16" t="str">
        <f>IFERROR(__xludf.DUMMYFUNCTION("""COMPUTED_VALUE"""),"комплектуючі для сепараторів")</f>
        <v>комплектуючі для сепараторів</v>
      </c>
      <c r="F3240" s="17">
        <f>IFERROR(__xludf.DUMMYFUNCTION("""COMPUTED_VALUE"""),3.0)</f>
        <v>3</v>
      </c>
      <c r="G3240" s="17" t="str">
        <f>IFERROR(__xludf.DUMMYFUNCTION("""COMPUTED_VALUE"""),"140111")</f>
        <v>140111</v>
      </c>
      <c r="H3240" s="17" t="str">
        <f>IFERROR(__xludf.DUMMYFUNCTION("""COMPUTED_VALUE"""),"комплектуючі для сепараторів")</f>
        <v>комплектуючі для сепараторів</v>
      </c>
      <c r="I3240" s="19">
        <f>IFERROR(__xludf.DUMMYFUNCTION("""COMPUTED_VALUE"""),0.0383)</f>
        <v>0.0383</v>
      </c>
      <c r="J3240" s="19">
        <f>IFERROR(__xludf.DUMMYFUNCTION("""COMPUTED_VALUE"""),0.0766)</f>
        <v>0.0766</v>
      </c>
      <c r="K3240" s="19">
        <f>IFERROR(__xludf.DUMMYFUNCTION("""COMPUTED_VALUE"""),0.0958)</f>
        <v>0.0958</v>
      </c>
      <c r="L3240" s="19">
        <f>IFERROR(__xludf.DUMMYFUNCTION("""COMPUTED_VALUE"""),0.1149)</f>
        <v>0.1149</v>
      </c>
      <c r="M3240" s="18">
        <f>IFERROR(__xludf.DUMMYFUNCTION("""COMPUTED_VALUE"""),2.7)</f>
        <v>2.7</v>
      </c>
    </row>
    <row r="3241">
      <c r="A3241" s="13" t="str">
        <f>IFERROR(__xludf.DUMMYFUNCTION("""COMPUTED_VALUE"""),"товари")</f>
        <v>товари</v>
      </c>
      <c r="B3241" s="16" t="str">
        <f>IFERROR(__xludf.DUMMYFUNCTION("""COMPUTED_VALUE"""),"промислове обладнання та верстати")</f>
        <v>промислове обладнання та верстати</v>
      </c>
      <c r="C3241" s="16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41" s="16" t="str">
        <f>IFERROR(__xludf.DUMMYFUNCTION("""COMPUTED_VALUE"""),"комплектуючі для холодильного і теплообмінного обладнання")</f>
        <v>комплектуючі для холодильного і теплообмінного обладнання</v>
      </c>
      <c r="E3241" s="16" t="str">
        <f>IFERROR(__xludf.DUMMYFUNCTION("""COMPUTED_VALUE"""),"комплектуючі для холодильного і теплообмінного обладнання")</f>
        <v>комплектуючі для холодильного і теплообмінного обладнання</v>
      </c>
      <c r="F3241" s="17">
        <f>IFERROR(__xludf.DUMMYFUNCTION("""COMPUTED_VALUE"""),3.0)</f>
        <v>3</v>
      </c>
      <c r="G3241" s="17" t="str">
        <f>IFERROR(__xludf.DUMMYFUNCTION("""COMPUTED_VALUE"""),"140137")</f>
        <v>140137</v>
      </c>
      <c r="H3241" s="17" t="str">
        <f>IFERROR(__xludf.DUMMYFUNCTION("""COMPUTED_VALUE"""),"комплектуючі для холодильного і теплообмінного обладнання")</f>
        <v>комплектуючі для холодильного і теплообмінного обладнання</v>
      </c>
      <c r="I3241" s="19">
        <f>IFERROR(__xludf.DUMMYFUNCTION("""COMPUTED_VALUE"""),0.0447)</f>
        <v>0.0447</v>
      </c>
      <c r="J3241" s="19">
        <f>IFERROR(__xludf.DUMMYFUNCTION("""COMPUTED_VALUE"""),0.0893)</f>
        <v>0.0893</v>
      </c>
      <c r="K3241" s="19">
        <f>IFERROR(__xludf.DUMMYFUNCTION("""COMPUTED_VALUE"""),0.1116)</f>
        <v>0.1116</v>
      </c>
      <c r="L3241" s="19">
        <f>IFERROR(__xludf.DUMMYFUNCTION("""COMPUTED_VALUE"""),0.134)</f>
        <v>0.134</v>
      </c>
      <c r="M3241" s="18">
        <f>IFERROR(__xludf.DUMMYFUNCTION("""COMPUTED_VALUE"""),3.88)</f>
        <v>3.88</v>
      </c>
    </row>
    <row r="3242">
      <c r="A3242" s="13" t="str">
        <f>IFERROR(__xludf.DUMMYFUNCTION("""COMPUTED_VALUE"""),"товари")</f>
        <v>товари</v>
      </c>
      <c r="B3242" s="16" t="str">
        <f>IFERROR(__xludf.DUMMYFUNCTION("""COMPUTED_VALUE"""),"промислове обладнання та верстати")</f>
        <v>промислове обладнання та верстати</v>
      </c>
      <c r="C3242" s="16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42" s="16" t="str">
        <f>IFERROR(__xludf.DUMMYFUNCTION("""COMPUTED_VALUE"""),"комплектуючі для швейного та вишивального обладнання")</f>
        <v>комплектуючі для швейного та вишивального обладнання</v>
      </c>
      <c r="E3242" s="16" t="str">
        <f>IFERROR(__xludf.DUMMYFUNCTION("""COMPUTED_VALUE"""),"комплектуючі для швейного та вишивального обладнання")</f>
        <v>комплектуючі для швейного та вишивального обладнання</v>
      </c>
      <c r="F3242" s="17">
        <f>IFERROR(__xludf.DUMMYFUNCTION("""COMPUTED_VALUE"""),3.0)</f>
        <v>3</v>
      </c>
      <c r="G3242" s="17" t="str">
        <f>IFERROR(__xludf.DUMMYFUNCTION("""COMPUTED_VALUE"""),"432404")</f>
        <v>432404</v>
      </c>
      <c r="H3242" s="17" t="str">
        <f>IFERROR(__xludf.DUMMYFUNCTION("""COMPUTED_VALUE"""),"комплектуючі для швейного та вишивального обладнання")</f>
        <v>комплектуючі для швейного та вишивального обладнання</v>
      </c>
      <c r="I3242" s="19">
        <f>IFERROR(__xludf.DUMMYFUNCTION("""COMPUTED_VALUE"""),0.0383)</f>
        <v>0.0383</v>
      </c>
      <c r="J3242" s="19">
        <f>IFERROR(__xludf.DUMMYFUNCTION("""COMPUTED_VALUE"""),0.0766)</f>
        <v>0.0766</v>
      </c>
      <c r="K3242" s="19">
        <f>IFERROR(__xludf.DUMMYFUNCTION("""COMPUTED_VALUE"""),0.0958)</f>
        <v>0.0958</v>
      </c>
      <c r="L3242" s="19">
        <f>IFERROR(__xludf.DUMMYFUNCTION("""COMPUTED_VALUE"""),0.1149)</f>
        <v>0.1149</v>
      </c>
      <c r="M3242" s="18">
        <f>IFERROR(__xludf.DUMMYFUNCTION("""COMPUTED_VALUE"""),1.98)</f>
        <v>1.98</v>
      </c>
    </row>
    <row r="3243">
      <c r="A3243" s="13" t="str">
        <f>IFERROR(__xludf.DUMMYFUNCTION("""COMPUTED_VALUE"""),"товари")</f>
        <v>товари</v>
      </c>
      <c r="B3243" s="16" t="str">
        <f>IFERROR(__xludf.DUMMYFUNCTION("""COMPUTED_VALUE"""),"промислове обладнання та верстати")</f>
        <v>промислове обладнання та верстати</v>
      </c>
      <c r="C3243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43" s="16" t="str">
        <f>IFERROR(__xludf.DUMMYFUNCTION("""COMPUTED_VALUE"""),"компоненти гідравліки")</f>
        <v>компоненти гідравліки</v>
      </c>
      <c r="E3243" s="16" t="str">
        <f>IFERROR(__xludf.DUMMYFUNCTION("""COMPUTED_VALUE"""),"компоненти гідравліки")</f>
        <v>компоненти гідравліки</v>
      </c>
      <c r="F3243" s="17">
        <f>IFERROR(__xludf.DUMMYFUNCTION("""COMPUTED_VALUE"""),3.0)</f>
        <v>3</v>
      </c>
      <c r="G3243" s="17" t="str">
        <f>IFERROR(__xludf.DUMMYFUNCTION("""COMPUTED_VALUE"""),"4110")</f>
        <v>4110</v>
      </c>
      <c r="H3243" s="17" t="str">
        <f>IFERROR(__xludf.DUMMYFUNCTION("""COMPUTED_VALUE"""),"компоненти гідравліки")</f>
        <v>компоненти гідравліки</v>
      </c>
      <c r="I3243" s="19">
        <f>IFERROR(__xludf.DUMMYFUNCTION("""COMPUTED_VALUE"""),0.0585)</f>
        <v>0.0585</v>
      </c>
      <c r="J3243" s="19">
        <f>IFERROR(__xludf.DUMMYFUNCTION("""COMPUTED_VALUE"""),0.117)</f>
        <v>0.117</v>
      </c>
      <c r="K3243" s="19">
        <f>IFERROR(__xludf.DUMMYFUNCTION("""COMPUTED_VALUE"""),0.1463)</f>
        <v>0.1463</v>
      </c>
      <c r="L3243" s="19">
        <f>IFERROR(__xludf.DUMMYFUNCTION("""COMPUTED_VALUE"""),0.1755)</f>
        <v>0.1755</v>
      </c>
      <c r="M3243" s="18">
        <f>IFERROR(__xludf.DUMMYFUNCTION("""COMPUTED_VALUE"""),1.53)</f>
        <v>1.53</v>
      </c>
    </row>
    <row r="3244">
      <c r="A3244" s="13" t="str">
        <f>IFERROR(__xludf.DUMMYFUNCTION("""COMPUTED_VALUE"""),"товари")</f>
        <v>товари</v>
      </c>
      <c r="B3244" s="16" t="str">
        <f>IFERROR(__xludf.DUMMYFUNCTION("""COMPUTED_VALUE"""),"промислове обладнання та верстати")</f>
        <v>промислове обладнання та верстати</v>
      </c>
      <c r="C3244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44" s="16" t="str">
        <f>IFERROR(__xludf.DUMMYFUNCTION("""COMPUTED_VALUE"""),"компоненти пневматики")</f>
        <v>компоненти пневматики</v>
      </c>
      <c r="E3244" s="16" t="str">
        <f>IFERROR(__xludf.DUMMYFUNCTION("""COMPUTED_VALUE"""),"компоненти пневматики")</f>
        <v>компоненти пневматики</v>
      </c>
      <c r="F3244" s="17">
        <f>IFERROR(__xludf.DUMMYFUNCTION("""COMPUTED_VALUE"""),3.0)</f>
        <v>3</v>
      </c>
      <c r="G3244" s="17" t="str">
        <f>IFERROR(__xludf.DUMMYFUNCTION("""COMPUTED_VALUE"""),"1473")</f>
        <v>1473</v>
      </c>
      <c r="H3244" s="17" t="str">
        <f>IFERROR(__xludf.DUMMYFUNCTION("""COMPUTED_VALUE"""),"компоненти пневматики")</f>
        <v>компоненти пневматики</v>
      </c>
      <c r="I3244" s="19">
        <f>IFERROR(__xludf.DUMMYFUNCTION("""COMPUTED_VALUE"""),0.0532)</f>
        <v>0.0532</v>
      </c>
      <c r="J3244" s="19">
        <f>IFERROR(__xludf.DUMMYFUNCTION("""COMPUTED_VALUE"""),0.1063)</f>
        <v>0.1063</v>
      </c>
      <c r="K3244" s="19">
        <f>IFERROR(__xludf.DUMMYFUNCTION("""COMPUTED_VALUE"""),0.1329)</f>
        <v>0.1329</v>
      </c>
      <c r="L3244" s="19">
        <f>IFERROR(__xludf.DUMMYFUNCTION("""COMPUTED_VALUE"""),0.1595)</f>
        <v>0.1595</v>
      </c>
      <c r="M3244" s="18">
        <f>IFERROR(__xludf.DUMMYFUNCTION("""COMPUTED_VALUE"""),2.88)</f>
        <v>2.88</v>
      </c>
    </row>
    <row r="3245">
      <c r="A3245" s="13" t="str">
        <f>IFERROR(__xludf.DUMMYFUNCTION("""COMPUTED_VALUE"""),"товари")</f>
        <v>товари</v>
      </c>
      <c r="B3245" s="16" t="str">
        <f>IFERROR(__xludf.DUMMYFUNCTION("""COMPUTED_VALUE"""),"промислове обладнання та верстати")</f>
        <v>промислове обладнання та верстати</v>
      </c>
      <c r="C3245" s="16" t="str">
        <f>IFERROR(__xludf.DUMMYFUNCTION("""COMPUTED_VALUE"""),"обладнання для харчової промисловості")</f>
        <v>обладнання для харчової промисловості</v>
      </c>
      <c r="D3245" s="16" t="str">
        <f>IFERROR(__xludf.DUMMYFUNCTION("""COMPUTED_VALUE"""),"коптильне обладнання")</f>
        <v>коптильне обладнання</v>
      </c>
      <c r="E3245" s="16" t="str">
        <f>IFERROR(__xludf.DUMMYFUNCTION("""COMPUTED_VALUE"""),"коптильне обладнання")</f>
        <v>коптильне обладнання</v>
      </c>
      <c r="F3245" s="17">
        <f>IFERROR(__xludf.DUMMYFUNCTION("""COMPUTED_VALUE"""),3.0)</f>
        <v>3</v>
      </c>
      <c r="G3245" s="17">
        <f>IFERROR(__xludf.DUMMYFUNCTION("""COMPUTED_VALUE"""),22010.0)</f>
        <v>22010</v>
      </c>
      <c r="H3245" s="17" t="str">
        <f>IFERROR(__xludf.DUMMYFUNCTION("""COMPUTED_VALUE"""),"коптильне обладнання")</f>
        <v>коптильне обладнання</v>
      </c>
      <c r="I3245" s="19">
        <f>IFERROR(__xludf.DUMMYFUNCTION("""COMPUTED_VALUE"""),0.0686)</f>
        <v>0.0686</v>
      </c>
      <c r="J3245" s="19">
        <f>IFERROR(__xludf.DUMMYFUNCTION("""COMPUTED_VALUE"""),0.1371)</f>
        <v>0.1371</v>
      </c>
      <c r="K3245" s="19">
        <f>IFERROR(__xludf.DUMMYFUNCTION("""COMPUTED_VALUE"""),0.1714)</f>
        <v>0.1714</v>
      </c>
      <c r="L3245" s="19">
        <f>IFERROR(__xludf.DUMMYFUNCTION("""COMPUTED_VALUE"""),0.2057)</f>
        <v>0.2057</v>
      </c>
      <c r="M3245" s="18">
        <f>IFERROR(__xludf.DUMMYFUNCTION("""COMPUTED_VALUE"""),2.25)</f>
        <v>2.25</v>
      </c>
    </row>
    <row r="3246">
      <c r="A3246" s="13" t="str">
        <f>IFERROR(__xludf.DUMMYFUNCTION("""COMPUTED_VALUE"""),"товари")</f>
        <v>товари</v>
      </c>
      <c r="B3246" s="16" t="str">
        <f>IFERROR(__xludf.DUMMYFUNCTION("""COMPUTED_VALUE"""),"промислове обладнання та верстати")</f>
        <v>промислове обладнання та верстати</v>
      </c>
      <c r="C3246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46" s="16" t="str">
        <f>IFERROR(__xludf.DUMMYFUNCTION("""COMPUTED_VALUE"""),"підшипники")</f>
        <v>підшипники</v>
      </c>
      <c r="E3246" s="16" t="str">
        <f>IFERROR(__xludf.DUMMYFUNCTION("""COMPUTED_VALUE"""),"магнітні підшипники")</f>
        <v>магнітні підшипники</v>
      </c>
      <c r="F3246" s="17">
        <f>IFERROR(__xludf.DUMMYFUNCTION("""COMPUTED_VALUE"""),4.0)</f>
        <v>4</v>
      </c>
      <c r="G3246" s="17" t="str">
        <f>IFERROR(__xludf.DUMMYFUNCTION("""COMPUTED_VALUE"""),"145611")</f>
        <v>145611</v>
      </c>
      <c r="H3246" s="17" t="str">
        <f>IFERROR(__xludf.DUMMYFUNCTION("""COMPUTED_VALUE"""),"магнітні підшипники")</f>
        <v>магнітні підшипники</v>
      </c>
      <c r="I3246" s="19">
        <f>IFERROR(__xludf.DUMMYFUNCTION("""COMPUTED_VALUE"""),0.0712)</f>
        <v>0.0712</v>
      </c>
      <c r="J3246" s="19">
        <f>IFERROR(__xludf.DUMMYFUNCTION("""COMPUTED_VALUE"""),0.1424)</f>
        <v>0.1424</v>
      </c>
      <c r="K3246" s="19">
        <f>IFERROR(__xludf.DUMMYFUNCTION("""COMPUTED_VALUE"""),0.178)</f>
        <v>0.178</v>
      </c>
      <c r="L3246" s="19">
        <f>IFERROR(__xludf.DUMMYFUNCTION("""COMPUTED_VALUE"""),0.2136)</f>
        <v>0.2136</v>
      </c>
      <c r="M3246" s="18">
        <f>IFERROR(__xludf.DUMMYFUNCTION("""COMPUTED_VALUE"""),1.05)</f>
        <v>1.05</v>
      </c>
    </row>
    <row r="3247">
      <c r="A3247" s="13" t="str">
        <f>IFERROR(__xludf.DUMMYFUNCTION("""COMPUTED_VALUE"""),"товари")</f>
        <v>товари</v>
      </c>
      <c r="B3247" s="16" t="str">
        <f>IFERROR(__xludf.DUMMYFUNCTION("""COMPUTED_VALUE"""),"промислове обладнання та верстати")</f>
        <v>промислове обладнання та верстати</v>
      </c>
      <c r="C3247" s="16" t="str">
        <f>IFERROR(__xludf.DUMMYFUNCTION("""COMPUTED_VALUE"""),"зварювальне та паяльне обладнання")</f>
        <v>зварювальне та паяльне обладнання</v>
      </c>
      <c r="D3247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47" s="16" t="str">
        <f>IFERROR(__xludf.DUMMYFUNCTION("""COMPUTED_VALUE"""),"магнітні фіксатори")</f>
        <v>магнітні фіксатори</v>
      </c>
      <c r="F3247" s="17">
        <f>IFERROR(__xludf.DUMMYFUNCTION("""COMPUTED_VALUE"""),4.0)</f>
        <v>4</v>
      </c>
      <c r="G3247" s="17" t="str">
        <f>IFERROR(__xludf.DUMMYFUNCTION("""COMPUTED_VALUE"""),"142702")</f>
        <v>142702</v>
      </c>
      <c r="H3247" s="17" t="str">
        <f>IFERROR(__xludf.DUMMYFUNCTION("""COMPUTED_VALUE"""),"магнітні фіксатори")</f>
        <v>магнітні фіксатори</v>
      </c>
      <c r="I3247" s="19">
        <f>IFERROR(__xludf.DUMMYFUNCTION("""COMPUTED_VALUE"""),0.0533)</f>
        <v>0.0533</v>
      </c>
      <c r="J3247" s="19">
        <f>IFERROR(__xludf.DUMMYFUNCTION("""COMPUTED_VALUE"""),0.1065)</f>
        <v>0.1065</v>
      </c>
      <c r="K3247" s="19">
        <f>IFERROR(__xludf.DUMMYFUNCTION("""COMPUTED_VALUE"""),0.1331)</f>
        <v>0.1331</v>
      </c>
      <c r="L3247" s="19">
        <f>IFERROR(__xludf.DUMMYFUNCTION("""COMPUTED_VALUE"""),0.1598)</f>
        <v>0.1598</v>
      </c>
      <c r="M3247" s="18">
        <f>IFERROR(__xludf.DUMMYFUNCTION("""COMPUTED_VALUE"""),1.53)</f>
        <v>1.53</v>
      </c>
    </row>
    <row r="3248">
      <c r="A3248" s="13" t="str">
        <f>IFERROR(__xludf.DUMMYFUNCTION("""COMPUTED_VALUE"""),"товари")</f>
        <v>товари</v>
      </c>
      <c r="B3248" s="16" t="str">
        <f>IFERROR(__xludf.DUMMYFUNCTION("""COMPUTED_VALUE"""),"промислове обладнання та верстати")</f>
        <v>промислове обладнання та верстати</v>
      </c>
      <c r="C3248" s="16" t="str">
        <f>IFERROR(__xludf.DUMMYFUNCTION("""COMPUTED_VALUE"""),"зварювальне та паяльне обладнання")</f>
        <v>зварювальне та паяльне обладнання</v>
      </c>
      <c r="D3248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48" s="16" t="str">
        <f>IFERROR(__xludf.DUMMYFUNCTION("""COMPUTED_VALUE"""),"матеріали та комплектуючі для зварювання і паяння, загальне")</f>
        <v>матеріали та комплектуючі для зварювання і паяння, загальне</v>
      </c>
      <c r="F3248" s="17">
        <f>IFERROR(__xludf.DUMMYFUNCTION("""COMPUTED_VALUE"""),4.0)</f>
        <v>4</v>
      </c>
      <c r="G3248" s="17" t="str">
        <f>IFERROR(__xludf.DUMMYFUNCTION("""COMPUTED_VALUE"""),"142799")</f>
        <v>142799</v>
      </c>
      <c r="H3248" s="17" t="str">
        <f>IFERROR(__xludf.DUMMYFUNCTION("""COMPUTED_VALUE"""),"матеріали та комплектуючі для зварювання і паяння, загальне")</f>
        <v>матеріали та комплектуючі для зварювання і паяння, загальне</v>
      </c>
      <c r="I3248" s="19">
        <f>IFERROR(__xludf.DUMMYFUNCTION("""COMPUTED_VALUE"""),0.125)</f>
        <v>0.125</v>
      </c>
      <c r="J3248" s="19">
        <f>IFERROR(__xludf.DUMMYFUNCTION("""COMPUTED_VALUE"""),0.25)</f>
        <v>0.25</v>
      </c>
      <c r="K3248" s="19">
        <f>IFERROR(__xludf.DUMMYFUNCTION("""COMPUTED_VALUE"""),0.3125)</f>
        <v>0.3125</v>
      </c>
      <c r="L3248" s="19">
        <f>IFERROR(__xludf.DUMMYFUNCTION("""COMPUTED_VALUE"""),0.375)</f>
        <v>0.375</v>
      </c>
      <c r="M3248" s="18">
        <f>IFERROR(__xludf.DUMMYFUNCTION("""COMPUTED_VALUE"""),4.33)</f>
        <v>4.33</v>
      </c>
    </row>
    <row r="3249">
      <c r="A3249" s="13" t="str">
        <f>IFERROR(__xludf.DUMMYFUNCTION("""COMPUTED_VALUE"""),"товари")</f>
        <v>товари</v>
      </c>
      <c r="B3249" s="16" t="str">
        <f>IFERROR(__xludf.DUMMYFUNCTION("""COMPUTED_VALUE"""),"промислове обладнання та верстати")</f>
        <v>промислове обладнання та верстати</v>
      </c>
      <c r="C3249" s="16" t="str">
        <f>IFERROR(__xludf.DUMMYFUNCTION("""COMPUTED_VALUE"""),"компресори")</f>
        <v>компресори</v>
      </c>
      <c r="D3249" s="16" t="str">
        <f>IFERROR(__xludf.DUMMYFUNCTION("""COMPUTED_VALUE"""),"мембранні компресори")</f>
        <v>мембранні компресори</v>
      </c>
      <c r="E3249" s="16" t="str">
        <f>IFERROR(__xludf.DUMMYFUNCTION("""COMPUTED_VALUE"""),"мембранні компресори")</f>
        <v>мембранні компресори</v>
      </c>
      <c r="F3249" s="17">
        <f>IFERROR(__xludf.DUMMYFUNCTION("""COMPUTED_VALUE"""),3.0)</f>
        <v>3</v>
      </c>
      <c r="G3249" s="17" t="str">
        <f>IFERROR(__xludf.DUMMYFUNCTION("""COMPUTED_VALUE"""),"141009")</f>
        <v>141009</v>
      </c>
      <c r="H3249" s="17" t="str">
        <f>IFERROR(__xludf.DUMMYFUNCTION("""COMPUTED_VALUE"""),"мембранні компресори")</f>
        <v>мембранні компресори</v>
      </c>
      <c r="I3249" s="19">
        <f>IFERROR(__xludf.DUMMYFUNCTION("""COMPUTED_VALUE"""),0.0485)</f>
        <v>0.0485</v>
      </c>
      <c r="J3249" s="19">
        <f>IFERROR(__xludf.DUMMYFUNCTION("""COMPUTED_VALUE"""),0.0969)</f>
        <v>0.0969</v>
      </c>
      <c r="K3249" s="19">
        <f>IFERROR(__xludf.DUMMYFUNCTION("""COMPUTED_VALUE"""),0.1211)</f>
        <v>0.1211</v>
      </c>
      <c r="L3249" s="19">
        <f>IFERROR(__xludf.DUMMYFUNCTION("""COMPUTED_VALUE"""),0.1454)</f>
        <v>0.1454</v>
      </c>
      <c r="M3249" s="18">
        <f>IFERROR(__xludf.DUMMYFUNCTION("""COMPUTED_VALUE"""),1.71)</f>
        <v>1.71</v>
      </c>
    </row>
    <row r="3250">
      <c r="A3250" s="13" t="str">
        <f>IFERROR(__xludf.DUMMYFUNCTION("""COMPUTED_VALUE"""),"товари")</f>
        <v>товари</v>
      </c>
      <c r="B3250" s="16" t="str">
        <f>IFERROR(__xludf.DUMMYFUNCTION("""COMPUTED_VALUE"""),"промислове обладнання та верстати")</f>
        <v>промислове обладнання та верстати</v>
      </c>
      <c r="C3250" s="16" t="str">
        <f>IFERROR(__xludf.DUMMYFUNCTION("""COMPUTED_VALUE"""),"гідрообладнання")</f>
        <v>гідрообладнання</v>
      </c>
      <c r="D3250" s="16" t="str">
        <f>IFERROR(__xludf.DUMMYFUNCTION("""COMPUTED_VALUE"""),"мотопомпи")</f>
        <v>мотопомпи</v>
      </c>
      <c r="E3250" s="16" t="str">
        <f>IFERROR(__xludf.DUMMYFUNCTION("""COMPUTED_VALUE"""),"мотопомпи")</f>
        <v>мотопомпи</v>
      </c>
      <c r="F3250" s="17">
        <f>IFERROR(__xludf.DUMMYFUNCTION("""COMPUTED_VALUE"""),3.0)</f>
        <v>3</v>
      </c>
      <c r="G3250" s="17" t="str">
        <f>IFERROR(__xludf.DUMMYFUNCTION("""COMPUTED_VALUE"""),"140314")</f>
        <v>140314</v>
      </c>
      <c r="H3250" s="17" t="str">
        <f>IFERROR(__xludf.DUMMYFUNCTION("""COMPUTED_VALUE"""),"мотопомпи")</f>
        <v>мотопомпи</v>
      </c>
      <c r="I3250" s="19">
        <f>IFERROR(__xludf.DUMMYFUNCTION("""COMPUTED_VALUE"""),0.064)</f>
        <v>0.064</v>
      </c>
      <c r="J3250" s="19">
        <f>IFERROR(__xludf.DUMMYFUNCTION("""COMPUTED_VALUE"""),0.128)</f>
        <v>0.128</v>
      </c>
      <c r="K3250" s="19">
        <f>IFERROR(__xludf.DUMMYFUNCTION("""COMPUTED_VALUE"""),0.16)</f>
        <v>0.16</v>
      </c>
      <c r="L3250" s="19">
        <f>IFERROR(__xludf.DUMMYFUNCTION("""COMPUTED_VALUE"""),0.192)</f>
        <v>0.192</v>
      </c>
      <c r="M3250" s="18">
        <f>IFERROR(__xludf.DUMMYFUNCTION("""COMPUTED_VALUE"""),3.43)</f>
        <v>3.43</v>
      </c>
    </row>
    <row r="3251">
      <c r="A3251" s="13" t="str">
        <f>IFERROR(__xludf.DUMMYFUNCTION("""COMPUTED_VALUE"""),"товари")</f>
        <v>товари</v>
      </c>
      <c r="B3251" s="16" t="str">
        <f>IFERROR(__xludf.DUMMYFUNCTION("""COMPUTED_VALUE"""),"промислове обладнання та верстати")</f>
        <v>промислове обладнання та верстати</v>
      </c>
      <c r="C3251" s="16" t="str">
        <f>IFERROR(__xludf.DUMMYFUNCTION("""COMPUTED_VALUE"""),"зварювальне та паяльне обладнання")</f>
        <v>зварювальне та паяльне обладнання</v>
      </c>
      <c r="D3251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51" s="16" t="str">
        <f>IFERROR(__xludf.DUMMYFUNCTION("""COMPUTED_VALUE"""),"направляючі канали для зварювального дроту")</f>
        <v>направляючі канали для зварювального дроту</v>
      </c>
      <c r="F3251" s="17">
        <f>IFERROR(__xludf.DUMMYFUNCTION("""COMPUTED_VALUE"""),4.0)</f>
        <v>4</v>
      </c>
      <c r="G3251" s="17" t="str">
        <f>IFERROR(__xludf.DUMMYFUNCTION("""COMPUTED_VALUE"""),"142715")</f>
        <v>142715</v>
      </c>
      <c r="H3251" s="17" t="str">
        <f>IFERROR(__xludf.DUMMYFUNCTION("""COMPUTED_VALUE"""),"направляючі канали для зварювального дроту")</f>
        <v>направляючі канали для зварювального дроту</v>
      </c>
      <c r="I3251" s="19">
        <f>IFERROR(__xludf.DUMMYFUNCTION("""COMPUTED_VALUE"""),0.0533)</f>
        <v>0.0533</v>
      </c>
      <c r="J3251" s="19">
        <f>IFERROR(__xludf.DUMMYFUNCTION("""COMPUTED_VALUE"""),0.1065)</f>
        <v>0.1065</v>
      </c>
      <c r="K3251" s="19">
        <f>IFERROR(__xludf.DUMMYFUNCTION("""COMPUTED_VALUE"""),0.1331)</f>
        <v>0.1331</v>
      </c>
      <c r="L3251" s="19">
        <f>IFERROR(__xludf.DUMMYFUNCTION("""COMPUTED_VALUE"""),0.1598)</f>
        <v>0.1598</v>
      </c>
      <c r="M3251" s="18">
        <f>IFERROR(__xludf.DUMMYFUNCTION("""COMPUTED_VALUE"""),1.53)</f>
        <v>1.53</v>
      </c>
    </row>
    <row r="3252">
      <c r="A3252" s="13" t="str">
        <f>IFERROR(__xludf.DUMMYFUNCTION("""COMPUTED_VALUE"""),"товари")</f>
        <v>товари</v>
      </c>
      <c r="B3252" s="16" t="str">
        <f>IFERROR(__xludf.DUMMYFUNCTION("""COMPUTED_VALUE"""),"промислове обладнання та верстати")</f>
        <v>промислове обладнання та верстати</v>
      </c>
      <c r="C3252" s="16" t="str">
        <f>IFERROR(__xludf.DUMMYFUNCTION("""COMPUTED_VALUE"""),"зварювальне та паяльне обладнання")</f>
        <v>зварювальне та паяльне обладнання</v>
      </c>
      <c r="D3252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52" s="16" t="str">
        <f>IFERROR(__xludf.DUMMYFUNCTION("""COMPUTED_VALUE"""),"насадки та жала для паяльників")</f>
        <v>насадки та жала для паяльників</v>
      </c>
      <c r="F3252" s="17">
        <f>IFERROR(__xludf.DUMMYFUNCTION("""COMPUTED_VALUE"""),4.0)</f>
        <v>4</v>
      </c>
      <c r="G3252" s="17" t="str">
        <f>IFERROR(__xludf.DUMMYFUNCTION("""COMPUTED_VALUE"""),"142711")</f>
        <v>142711</v>
      </c>
      <c r="H3252" s="17" t="str">
        <f>IFERROR(__xludf.DUMMYFUNCTION("""COMPUTED_VALUE"""),"насадки та жала для паяльників")</f>
        <v>насадки та жала для паяльників</v>
      </c>
      <c r="I3252" s="19">
        <f>IFERROR(__xludf.DUMMYFUNCTION("""COMPUTED_VALUE"""),0.0727)</f>
        <v>0.0727</v>
      </c>
      <c r="J3252" s="19">
        <f>IFERROR(__xludf.DUMMYFUNCTION("""COMPUTED_VALUE"""),0.1453)</f>
        <v>0.1453</v>
      </c>
      <c r="K3252" s="19">
        <f>IFERROR(__xludf.DUMMYFUNCTION("""COMPUTED_VALUE"""),0.1816)</f>
        <v>0.1816</v>
      </c>
      <c r="L3252" s="19">
        <f>IFERROR(__xludf.DUMMYFUNCTION("""COMPUTED_VALUE"""),0.218)</f>
        <v>0.218</v>
      </c>
      <c r="M3252" s="18">
        <f>IFERROR(__xludf.DUMMYFUNCTION("""COMPUTED_VALUE"""),1.53)</f>
        <v>1.53</v>
      </c>
    </row>
    <row r="3253">
      <c r="A3253" s="13" t="str">
        <f>IFERROR(__xludf.DUMMYFUNCTION("""COMPUTED_VALUE"""),"товари")</f>
        <v>товари</v>
      </c>
      <c r="B3253" s="16" t="str">
        <f>IFERROR(__xludf.DUMMYFUNCTION("""COMPUTED_VALUE"""),"промислове обладнання та верстати")</f>
        <v>промислове обладнання та верстати</v>
      </c>
      <c r="C3253" s="16" t="str">
        <f>IFERROR(__xludf.DUMMYFUNCTION("""COMPUTED_VALUE"""),"промислові насоси")</f>
        <v>промислові насоси</v>
      </c>
      <c r="D3253" s="16" t="str">
        <f>IFERROR(__xludf.DUMMYFUNCTION("""COMPUTED_VALUE"""),"насосні станції")</f>
        <v>насосні станції</v>
      </c>
      <c r="E3253" s="16" t="str">
        <f>IFERROR(__xludf.DUMMYFUNCTION("""COMPUTED_VALUE"""),"насосні станції")</f>
        <v>насосні станції</v>
      </c>
      <c r="F3253" s="17">
        <f>IFERROR(__xludf.DUMMYFUNCTION("""COMPUTED_VALUE"""),3.0)</f>
        <v>3</v>
      </c>
      <c r="G3253" s="17" t="str">
        <f>IFERROR(__xludf.DUMMYFUNCTION("""COMPUTED_VALUE"""),"140305")</f>
        <v>140305</v>
      </c>
      <c r="H3253" s="17" t="str">
        <f>IFERROR(__xludf.DUMMYFUNCTION("""COMPUTED_VALUE"""),"насосні станції")</f>
        <v>насосні станції</v>
      </c>
      <c r="I3253" s="19">
        <f>IFERROR(__xludf.DUMMYFUNCTION("""COMPUTED_VALUE"""),0.0601)</f>
        <v>0.0601</v>
      </c>
      <c r="J3253" s="19">
        <f>IFERROR(__xludf.DUMMYFUNCTION("""COMPUTED_VALUE"""),0.1201)</f>
        <v>0.1201</v>
      </c>
      <c r="K3253" s="19">
        <f>IFERROR(__xludf.DUMMYFUNCTION("""COMPUTED_VALUE"""),0.1501)</f>
        <v>0.1501</v>
      </c>
      <c r="L3253" s="19">
        <f>IFERROR(__xludf.DUMMYFUNCTION("""COMPUTED_VALUE"""),0.1802)</f>
        <v>0.1802</v>
      </c>
      <c r="M3253" s="18">
        <f>IFERROR(__xludf.DUMMYFUNCTION("""COMPUTED_VALUE"""),3.98)</f>
        <v>3.98</v>
      </c>
    </row>
    <row r="3254">
      <c r="A3254" s="13" t="str">
        <f>IFERROR(__xludf.DUMMYFUNCTION("""COMPUTED_VALUE"""),"товари")</f>
        <v>товари</v>
      </c>
      <c r="B3254" s="16" t="str">
        <f>IFERROR(__xludf.DUMMYFUNCTION("""COMPUTED_VALUE"""),"промислове обладнання та верстати")</f>
        <v>промислове обладнання та верстати</v>
      </c>
      <c r="C3254" s="16" t="str">
        <f>IFERROR(__xludf.DUMMYFUNCTION("""COMPUTED_VALUE"""),"обладнання для автозаправних станцій, нафтобаз")</f>
        <v>обладнання для автозаправних станцій, нафтобаз</v>
      </c>
      <c r="D3254" s="16" t="str">
        <f>IFERROR(__xludf.DUMMYFUNCTION("""COMPUTED_VALUE"""),"обладнання для автозаправних станцій, нафтобаз, загальне")</f>
        <v>обладнання для автозаправних станцій, нафтобаз, загальне</v>
      </c>
      <c r="E3254" s="16" t="str">
        <f>IFERROR(__xludf.DUMMYFUNCTION("""COMPUTED_VALUE"""),"обладнання для автозаправних станцій, нафтобаз, загальне")</f>
        <v>обладнання для автозаправних станцій, нафтобаз, загальне</v>
      </c>
      <c r="F3254" s="17">
        <f>IFERROR(__xludf.DUMMYFUNCTION("""COMPUTED_VALUE"""),3.0)</f>
        <v>3</v>
      </c>
      <c r="G3254" s="17" t="str">
        <f>IFERROR(__xludf.DUMMYFUNCTION("""COMPUTED_VALUE"""),"1461")</f>
        <v>1461</v>
      </c>
      <c r="H3254" s="17" t="str">
        <f>IFERROR(__xludf.DUMMYFUNCTION("""COMPUTED_VALUE"""),"обладнання для автозаправних станцій, нафтобаз, загальне")</f>
        <v>обладнання для автозаправних станцій, нафтобаз, загальне</v>
      </c>
      <c r="I3254" s="19">
        <f>IFERROR(__xludf.DUMMYFUNCTION("""COMPUTED_VALUE"""),0.125)</f>
        <v>0.125</v>
      </c>
      <c r="J3254" s="19">
        <f>IFERROR(__xludf.DUMMYFUNCTION("""COMPUTED_VALUE"""),0.25)</f>
        <v>0.25</v>
      </c>
      <c r="K3254" s="19">
        <f>IFERROR(__xludf.DUMMYFUNCTION("""COMPUTED_VALUE"""),0.3125)</f>
        <v>0.3125</v>
      </c>
      <c r="L3254" s="19">
        <f>IFERROR(__xludf.DUMMYFUNCTION("""COMPUTED_VALUE"""),0.375)</f>
        <v>0.375</v>
      </c>
      <c r="M3254" s="18">
        <f>IFERROR(__xludf.DUMMYFUNCTION("""COMPUTED_VALUE"""),4.33)</f>
        <v>4.33</v>
      </c>
    </row>
    <row r="3255">
      <c r="A3255" s="13" t="str">
        <f>IFERROR(__xludf.DUMMYFUNCTION("""COMPUTED_VALUE"""),"товари")</f>
        <v>товари</v>
      </c>
      <c r="B3255" s="16" t="str">
        <f>IFERROR(__xludf.DUMMYFUNCTION("""COMPUTED_VALUE"""),"промислове обладнання та верстати")</f>
        <v>промислове обладнання та верстати</v>
      </c>
      <c r="C3255" s="16" t="str">
        <f>IFERROR(__xludf.DUMMYFUNCTION("""COMPUTED_VALUE"""),"обладнання для харчової промисловості")</f>
        <v>обладнання для харчової промисловості</v>
      </c>
      <c r="D3255" s="16" t="str">
        <f>IFERROR(__xludf.DUMMYFUNCTION("""COMPUTED_VALUE"""),"обладнання для виробництва напоїв")</f>
        <v>обладнання для виробництва напоїв</v>
      </c>
      <c r="E3255" s="16" t="str">
        <f>IFERROR(__xludf.DUMMYFUNCTION("""COMPUTED_VALUE"""),"обладнання для виробництва напоїв, загальне")</f>
        <v>обладнання для виробництва напоїв, загальне</v>
      </c>
      <c r="F3255" s="17">
        <f>IFERROR(__xludf.DUMMYFUNCTION("""COMPUTED_VALUE"""),4.0)</f>
        <v>4</v>
      </c>
      <c r="G3255" s="17" t="str">
        <f>IFERROR(__xludf.DUMMYFUNCTION("""COMPUTED_VALUE"""),"23101")</f>
        <v>23101</v>
      </c>
      <c r="H3255" s="17" t="str">
        <f>IFERROR(__xludf.DUMMYFUNCTION("""COMPUTED_VALUE"""),"обладнання для виробництва напоїв, загальне")</f>
        <v>обладнання для виробництва напоїв, загальне</v>
      </c>
      <c r="I3255" s="19">
        <f>IFERROR(__xludf.DUMMYFUNCTION("""COMPUTED_VALUE"""),0.125)</f>
        <v>0.125</v>
      </c>
      <c r="J3255" s="19">
        <f>IFERROR(__xludf.DUMMYFUNCTION("""COMPUTED_VALUE"""),0.25)</f>
        <v>0.25</v>
      </c>
      <c r="K3255" s="19">
        <f>IFERROR(__xludf.DUMMYFUNCTION("""COMPUTED_VALUE"""),0.3125)</f>
        <v>0.3125</v>
      </c>
      <c r="L3255" s="19">
        <f>IFERROR(__xludf.DUMMYFUNCTION("""COMPUTED_VALUE"""),0.375)</f>
        <v>0.375</v>
      </c>
      <c r="M3255" s="18">
        <f>IFERROR(__xludf.DUMMYFUNCTION("""COMPUTED_VALUE"""),4.33)</f>
        <v>4.33</v>
      </c>
    </row>
    <row r="3256">
      <c r="A3256" s="13" t="str">
        <f>IFERROR(__xludf.DUMMYFUNCTION("""COMPUTED_VALUE"""),"товари")</f>
        <v>товари</v>
      </c>
      <c r="B3256" s="16" t="str">
        <f>IFERROR(__xludf.DUMMYFUNCTION("""COMPUTED_VALUE"""),"промислове обладнання та верстати")</f>
        <v>промислове обладнання та верстати</v>
      </c>
      <c r="C3256" s="16" t="str">
        <f>IFERROR(__xludf.DUMMYFUNCTION("""COMPUTED_VALUE"""),"зварювальне та паяльне обладнання")</f>
        <v>зварювальне та паяльне обладнання</v>
      </c>
      <c r="D3256" s="16" t="str">
        <f>IFERROR(__xludf.DUMMYFUNCTION("""COMPUTED_VALUE"""),"обладнання для зварювання та паяння пластикових труб")</f>
        <v>обладнання для зварювання та паяння пластикових труб</v>
      </c>
      <c r="E3256" s="16" t="str">
        <f>IFERROR(__xludf.DUMMYFUNCTION("""COMPUTED_VALUE"""),"обладнання для зварювання та паяння пластикових труб")</f>
        <v>обладнання для зварювання та паяння пластикових труб</v>
      </c>
      <c r="F3256" s="17">
        <f>IFERROR(__xludf.DUMMYFUNCTION("""COMPUTED_VALUE"""),3.0)</f>
        <v>3</v>
      </c>
      <c r="G3256" s="17" t="str">
        <f>IFERROR(__xludf.DUMMYFUNCTION("""COMPUTED_VALUE"""),"144007")</f>
        <v>144007</v>
      </c>
      <c r="H3256" s="17" t="str">
        <f>IFERROR(__xludf.DUMMYFUNCTION("""COMPUTED_VALUE"""),"обладнання для зварювання та паяння пластикових труб")</f>
        <v>обладнання для зварювання та паяння пластикових труб</v>
      </c>
      <c r="I3256" s="19">
        <f>IFERROR(__xludf.DUMMYFUNCTION("""COMPUTED_VALUE"""),0.0761)</f>
        <v>0.0761</v>
      </c>
      <c r="J3256" s="19">
        <f>IFERROR(__xludf.DUMMYFUNCTION("""COMPUTED_VALUE"""),0.1521)</f>
        <v>0.1521</v>
      </c>
      <c r="K3256" s="19">
        <f>IFERROR(__xludf.DUMMYFUNCTION("""COMPUTED_VALUE"""),0.1901)</f>
        <v>0.1901</v>
      </c>
      <c r="L3256" s="19">
        <f>IFERROR(__xludf.DUMMYFUNCTION("""COMPUTED_VALUE"""),0.2282)</f>
        <v>0.2282</v>
      </c>
      <c r="M3256" s="18">
        <f>IFERROR(__xludf.DUMMYFUNCTION("""COMPUTED_VALUE"""),3.78)</f>
        <v>3.78</v>
      </c>
    </row>
    <row r="3257">
      <c r="A3257" s="13" t="str">
        <f>IFERROR(__xludf.DUMMYFUNCTION("""COMPUTED_VALUE"""),"товари")</f>
        <v>товари</v>
      </c>
      <c r="B3257" s="16" t="str">
        <f>IFERROR(__xludf.DUMMYFUNCTION("""COMPUTED_VALUE"""),"промислове обладнання та верстати")</f>
        <v>промислове обладнання та верстати</v>
      </c>
      <c r="C3257" s="16" t="str">
        <f>IFERROR(__xludf.DUMMYFUNCTION("""COMPUTED_VALUE"""),"виробниче обладнання")</f>
        <v>виробниче обладнання</v>
      </c>
      <c r="D3257" s="16" t="str">
        <f>IFERROR(__xludf.DUMMYFUNCTION("""COMPUTED_VALUE"""),"обладнання для обробки каменю")</f>
        <v>обладнання для обробки каменю</v>
      </c>
      <c r="E3257" s="16" t="str">
        <f>IFERROR(__xludf.DUMMYFUNCTION("""COMPUTED_VALUE"""),"обладнання для обробки каменю")</f>
        <v>обладнання для обробки каменю</v>
      </c>
      <c r="F3257" s="17">
        <f>IFERROR(__xludf.DUMMYFUNCTION("""COMPUTED_VALUE"""),3.0)</f>
        <v>3</v>
      </c>
      <c r="G3257" s="17" t="str">
        <f>IFERROR(__xludf.DUMMYFUNCTION("""COMPUTED_VALUE"""),"14209811")</f>
        <v>14209811</v>
      </c>
      <c r="H3257" s="17" t="str">
        <f>IFERROR(__xludf.DUMMYFUNCTION("""COMPUTED_VALUE"""),"обладнання для обробки каменю")</f>
        <v>обладнання для обробки каменю</v>
      </c>
      <c r="I3257" s="19">
        <f>IFERROR(__xludf.DUMMYFUNCTION("""COMPUTED_VALUE"""),0.0336)</f>
        <v>0.0336</v>
      </c>
      <c r="J3257" s="19">
        <f>IFERROR(__xludf.DUMMYFUNCTION("""COMPUTED_VALUE"""),0.0672)</f>
        <v>0.0672</v>
      </c>
      <c r="K3257" s="19">
        <f>IFERROR(__xludf.DUMMYFUNCTION("""COMPUTED_VALUE"""),0.084)</f>
        <v>0.084</v>
      </c>
      <c r="L3257" s="19">
        <f>IFERROR(__xludf.DUMMYFUNCTION("""COMPUTED_VALUE"""),0.1008)</f>
        <v>0.1008</v>
      </c>
      <c r="M3257" s="18">
        <f>IFERROR(__xludf.DUMMYFUNCTION("""COMPUTED_VALUE"""),4.05)</f>
        <v>4.05</v>
      </c>
    </row>
    <row r="3258">
      <c r="A3258" s="13" t="str">
        <f>IFERROR(__xludf.DUMMYFUNCTION("""COMPUTED_VALUE"""),"товари")</f>
        <v>товари</v>
      </c>
      <c r="B3258" s="16" t="str">
        <f>IFERROR(__xludf.DUMMYFUNCTION("""COMPUTED_VALUE"""),"промислове обладнання та верстати")</f>
        <v>промислове обладнання та верстати</v>
      </c>
      <c r="C3258" s="16" t="str">
        <f>IFERROR(__xludf.DUMMYFUNCTION("""COMPUTED_VALUE"""),"обладнання для харчової промисловості")</f>
        <v>обладнання для харчової промисловості</v>
      </c>
      <c r="D3258" s="16" t="str">
        <f>IFERROR(__xludf.DUMMYFUNCTION("""COMPUTED_VALUE"""),"обладнання для переробки м'яса, виробництва м'ясопродуктів")</f>
        <v>обладнання для переробки м'яса, виробництва м'ясопродуктів</v>
      </c>
      <c r="E3258" s="16" t="str">
        <f>IFERROR(__xludf.DUMMYFUNCTION("""COMPUTED_VALUE"""),"обладнання для переробки м'яса, виробництва м'ясопродуктів, загальне")</f>
        <v>обладнання для переробки м'яса, виробництва м'ясопродуктів, загальне</v>
      </c>
      <c r="F3258" s="17">
        <f>IFERROR(__xludf.DUMMYFUNCTION("""COMPUTED_VALUE"""),4.0)</f>
        <v>4</v>
      </c>
      <c r="G3258" s="17" t="str">
        <f>IFERROR(__xludf.DUMMYFUNCTION("""COMPUTED_VALUE"""),"2200601")</f>
        <v>2200601</v>
      </c>
      <c r="H3258" s="17" t="str">
        <f>IFERROR(__xludf.DUMMYFUNCTION("""COMPUTED_VALUE"""),"обладнання для переробки м'яса, виробництва м'ясопродуктів, загальне")</f>
        <v>обладнання для переробки м'яса, виробництва м'ясопродуктів, загальне</v>
      </c>
      <c r="I3258" s="19">
        <f>IFERROR(__xludf.DUMMYFUNCTION("""COMPUTED_VALUE"""),0.125)</f>
        <v>0.125</v>
      </c>
      <c r="J3258" s="19">
        <f>IFERROR(__xludf.DUMMYFUNCTION("""COMPUTED_VALUE"""),0.25)</f>
        <v>0.25</v>
      </c>
      <c r="K3258" s="19">
        <f>IFERROR(__xludf.DUMMYFUNCTION("""COMPUTED_VALUE"""),0.3125)</f>
        <v>0.3125</v>
      </c>
      <c r="L3258" s="19">
        <f>IFERROR(__xludf.DUMMYFUNCTION("""COMPUTED_VALUE"""),0.375)</f>
        <v>0.375</v>
      </c>
      <c r="M3258" s="18">
        <f>IFERROR(__xludf.DUMMYFUNCTION("""COMPUTED_VALUE"""),4.33)</f>
        <v>4.33</v>
      </c>
    </row>
    <row r="3259">
      <c r="A3259" s="13" t="str">
        <f>IFERROR(__xludf.DUMMYFUNCTION("""COMPUTED_VALUE"""),"товари")</f>
        <v>товари</v>
      </c>
      <c r="B3259" s="16" t="str">
        <f>IFERROR(__xludf.DUMMYFUNCTION("""COMPUTED_VALUE"""),"промислове обладнання та верстати")</f>
        <v>промислове обладнання та верстати</v>
      </c>
      <c r="C3259" s="16" t="str">
        <f>IFERROR(__xludf.DUMMYFUNCTION("""COMPUTED_VALUE"""),"зварювальне та паяльне обладнання")</f>
        <v>зварювальне та паяльне обладнання</v>
      </c>
      <c r="D3259" s="16" t="str">
        <f>IFERROR(__xludf.DUMMYFUNCTION("""COMPUTED_VALUE"""),"обладнання для плазмового зварювання та різання")</f>
        <v>обладнання для плазмового зварювання та різання</v>
      </c>
      <c r="E3259" s="16" t="str">
        <f>IFERROR(__xludf.DUMMYFUNCTION("""COMPUTED_VALUE"""),"обладнання для плазмового зварювання та різання")</f>
        <v>обладнання для плазмового зварювання та різання</v>
      </c>
      <c r="F3259" s="17">
        <f>IFERROR(__xludf.DUMMYFUNCTION("""COMPUTED_VALUE"""),3.0)</f>
        <v>3</v>
      </c>
      <c r="G3259" s="17" t="str">
        <f>IFERROR(__xludf.DUMMYFUNCTION("""COMPUTED_VALUE"""),"144006")</f>
        <v>144006</v>
      </c>
      <c r="H3259" s="17" t="str">
        <f>IFERROR(__xludf.DUMMYFUNCTION("""COMPUTED_VALUE"""),"обладнання для плазмового зварювання та різання")</f>
        <v>обладнання для плазмового зварювання та різання</v>
      </c>
      <c r="I3259" s="19">
        <f>IFERROR(__xludf.DUMMYFUNCTION("""COMPUTED_VALUE"""),0.0439)</f>
        <v>0.0439</v>
      </c>
      <c r="J3259" s="19">
        <f>IFERROR(__xludf.DUMMYFUNCTION("""COMPUTED_VALUE"""),0.0878)</f>
        <v>0.0878</v>
      </c>
      <c r="K3259" s="19">
        <f>IFERROR(__xludf.DUMMYFUNCTION("""COMPUTED_VALUE"""),0.1098)</f>
        <v>0.1098</v>
      </c>
      <c r="L3259" s="19">
        <f>IFERROR(__xludf.DUMMYFUNCTION("""COMPUTED_VALUE"""),0.1317)</f>
        <v>0.1317</v>
      </c>
      <c r="M3259" s="18">
        <f>IFERROR(__xludf.DUMMYFUNCTION("""COMPUTED_VALUE"""),1.53)</f>
        <v>1.53</v>
      </c>
    </row>
    <row r="3260">
      <c r="A3260" s="13" t="str">
        <f>IFERROR(__xludf.DUMMYFUNCTION("""COMPUTED_VALUE"""),"товари")</f>
        <v>товари</v>
      </c>
      <c r="B3260" s="16" t="str">
        <f>IFERROR(__xludf.DUMMYFUNCTION("""COMPUTED_VALUE"""),"промислове обладнання та верстати")</f>
        <v>промислове обладнання та верстати</v>
      </c>
      <c r="C3260" s="16" t="str">
        <f>IFERROR(__xludf.DUMMYFUNCTION("""COMPUTED_VALUE"""),"технологічне обладнання")</f>
        <v>технологічне обладнання</v>
      </c>
      <c r="D3260" s="16" t="str">
        <f>IFERROR(__xludf.DUMMYFUNCTION("""COMPUTED_VALUE"""),"обладнання для прочищення та телеінспекції трубопроводів")</f>
        <v>обладнання для прочищення та телеінспекції трубопроводів</v>
      </c>
      <c r="E3260" s="16" t="str">
        <f>IFERROR(__xludf.DUMMYFUNCTION("""COMPUTED_VALUE"""),"обладнання для прочищення та телеінспекції трубопроводів")</f>
        <v>обладнання для прочищення та телеінспекції трубопроводів</v>
      </c>
      <c r="F3260" s="17">
        <f>IFERROR(__xludf.DUMMYFUNCTION("""COMPUTED_VALUE"""),3.0)</f>
        <v>3</v>
      </c>
      <c r="G3260" s="17">
        <f>IFERROR(__xludf.DUMMYFUNCTION("""COMPUTED_VALUE"""),144504.0)</f>
        <v>144504</v>
      </c>
      <c r="H3260" s="17" t="str">
        <f>IFERROR(__xludf.DUMMYFUNCTION("""COMPUTED_VALUE"""),"обладнання для прочищення та телеінспекції трубопроводів")</f>
        <v>обладнання для прочищення та телеінспекції трубопроводів</v>
      </c>
      <c r="I3260" s="19">
        <f>IFERROR(__xludf.DUMMYFUNCTION("""COMPUTED_VALUE"""),0.0732)</f>
        <v>0.0732</v>
      </c>
      <c r="J3260" s="19">
        <f>IFERROR(__xludf.DUMMYFUNCTION("""COMPUTED_VALUE"""),0.1463)</f>
        <v>0.1463</v>
      </c>
      <c r="K3260" s="19">
        <f>IFERROR(__xludf.DUMMYFUNCTION("""COMPUTED_VALUE"""),0.1829)</f>
        <v>0.1829</v>
      </c>
      <c r="L3260" s="19">
        <f>IFERROR(__xludf.DUMMYFUNCTION("""COMPUTED_VALUE"""),0.2195)</f>
        <v>0.2195</v>
      </c>
      <c r="M3260" s="18">
        <f>IFERROR(__xludf.DUMMYFUNCTION("""COMPUTED_VALUE"""),1.05)</f>
        <v>1.05</v>
      </c>
    </row>
    <row r="3261">
      <c r="A3261" s="13" t="str">
        <f>IFERROR(__xludf.DUMMYFUNCTION("""COMPUTED_VALUE"""),"товари")</f>
        <v>товари</v>
      </c>
      <c r="B3261" s="16" t="str">
        <f>IFERROR(__xludf.DUMMYFUNCTION("""COMPUTED_VALUE"""),"промислове обладнання та верстати")</f>
        <v>промислове обладнання та верстати</v>
      </c>
      <c r="C3261" s="16" t="str">
        <f>IFERROR(__xludf.DUMMYFUNCTION("""COMPUTED_VALUE"""),"обладнання для легкої промисловості")</f>
        <v>обладнання для легкої промисловості</v>
      </c>
      <c r="D3261" s="16" t="str">
        <f>IFERROR(__xludf.DUMMYFUNCTION("""COMPUTED_VALUE"""),"швейне обладнання")</f>
        <v>швейне обладнання</v>
      </c>
      <c r="E3261" s="16" t="str">
        <f>IFERROR(__xludf.DUMMYFUNCTION("""COMPUTED_VALUE"""),"обладнання для розкрою та підготовки")</f>
        <v>обладнання для розкрою та підготовки</v>
      </c>
      <c r="F3261" s="17">
        <f>IFERROR(__xludf.DUMMYFUNCTION("""COMPUTED_VALUE"""),4.0)</f>
        <v>4</v>
      </c>
      <c r="G3261" s="17" t="str">
        <f>IFERROR(__xludf.DUMMYFUNCTION("""COMPUTED_VALUE"""),"33002")</f>
        <v>33002</v>
      </c>
      <c r="H3261" s="17" t="str">
        <f>IFERROR(__xludf.DUMMYFUNCTION("""COMPUTED_VALUE"""),"обладнання для розкрою та підготовки")</f>
        <v>обладнання для розкрою та підготовки</v>
      </c>
      <c r="I3261" s="19">
        <f>IFERROR(__xludf.DUMMYFUNCTION("""COMPUTED_VALUE"""),0.0707)</f>
        <v>0.0707</v>
      </c>
      <c r="J3261" s="19">
        <f>IFERROR(__xludf.DUMMYFUNCTION("""COMPUTED_VALUE"""),0.1414)</f>
        <v>0.1414</v>
      </c>
      <c r="K3261" s="19">
        <f>IFERROR(__xludf.DUMMYFUNCTION("""COMPUTED_VALUE"""),0.1768)</f>
        <v>0.1768</v>
      </c>
      <c r="L3261" s="19">
        <f>IFERROR(__xludf.DUMMYFUNCTION("""COMPUTED_VALUE"""),0.2121)</f>
        <v>0.2121</v>
      </c>
      <c r="M3261" s="18">
        <f>IFERROR(__xludf.DUMMYFUNCTION("""COMPUTED_VALUE"""),3.15)</f>
        <v>3.15</v>
      </c>
    </row>
    <row r="3262">
      <c r="A3262" s="13" t="str">
        <f>IFERROR(__xludf.DUMMYFUNCTION("""COMPUTED_VALUE"""),"товари")</f>
        <v>товари</v>
      </c>
      <c r="B3262" s="16" t="str">
        <f>IFERROR(__xludf.DUMMYFUNCTION("""COMPUTED_VALUE"""),"промислове обладнання та верстати")</f>
        <v>промислове обладнання та верстати</v>
      </c>
      <c r="C3262" s="16" t="str">
        <f>IFERROR(__xludf.DUMMYFUNCTION("""COMPUTED_VALUE"""),"обладнання для харчової промисловості")</f>
        <v>обладнання для харчової промисловості</v>
      </c>
      <c r="D3262" s="16" t="str">
        <f>IFERROR(__xludf.DUMMYFUNCTION("""COMPUTED_VALUE"""),"обладнання для харчової промисловості, загальне")</f>
        <v>обладнання для харчової промисловості, загальне</v>
      </c>
      <c r="E3262" s="16" t="str">
        <f>IFERROR(__xludf.DUMMYFUNCTION("""COMPUTED_VALUE"""),"обладнання для харчової промисловості, загальне")</f>
        <v>обладнання для харчової промисловості, загальне</v>
      </c>
      <c r="F3262" s="17">
        <f>IFERROR(__xludf.DUMMYFUNCTION("""COMPUTED_VALUE"""),3.0)</f>
        <v>3</v>
      </c>
      <c r="G3262" s="17" t="str">
        <f>IFERROR(__xludf.DUMMYFUNCTION("""COMPUTED_VALUE"""),"22008")</f>
        <v>22008</v>
      </c>
      <c r="H3262" s="17" t="str">
        <f>IFERROR(__xludf.DUMMYFUNCTION("""COMPUTED_VALUE"""),"обладнання для харчової промисловості, загальне")</f>
        <v>обладнання для харчової промисловості, загальне</v>
      </c>
      <c r="I3262" s="19">
        <f>IFERROR(__xludf.DUMMYFUNCTION("""COMPUTED_VALUE"""),0.125)</f>
        <v>0.125</v>
      </c>
      <c r="J3262" s="19">
        <f>IFERROR(__xludf.DUMMYFUNCTION("""COMPUTED_VALUE"""),0.25)</f>
        <v>0.25</v>
      </c>
      <c r="K3262" s="19">
        <f>IFERROR(__xludf.DUMMYFUNCTION("""COMPUTED_VALUE"""),0.3125)</f>
        <v>0.3125</v>
      </c>
      <c r="L3262" s="19">
        <f>IFERROR(__xludf.DUMMYFUNCTION("""COMPUTED_VALUE"""),0.375)</f>
        <v>0.375</v>
      </c>
      <c r="M3262" s="18">
        <f>IFERROR(__xludf.DUMMYFUNCTION("""COMPUTED_VALUE"""),4.33)</f>
        <v>4.33</v>
      </c>
    </row>
    <row r="3263">
      <c r="A3263" s="13" t="str">
        <f>IFERROR(__xludf.DUMMYFUNCTION("""COMPUTED_VALUE"""),"товари")</f>
        <v>товари</v>
      </c>
      <c r="B3263" s="16" t="str">
        <f>IFERROR(__xludf.DUMMYFUNCTION("""COMPUTED_VALUE"""),"промислове обладнання та верстати")</f>
        <v>промислове обладнання та верстати</v>
      </c>
      <c r="C3263" s="16" t="str">
        <f>IFERROR(__xludf.DUMMYFUNCTION("""COMPUTED_VALUE"""),"зварювальне та паяльне обладнання")</f>
        <v>зварювальне та паяльне обладнання</v>
      </c>
      <c r="D3263" s="16" t="str">
        <f>IFERROR(__xludf.DUMMYFUNCTION("""COMPUTED_VALUE"""),"паяльне обладнання")</f>
        <v>паяльне обладнання</v>
      </c>
      <c r="E3263" s="16" t="str">
        <f>IFERROR(__xludf.DUMMYFUNCTION("""COMPUTED_VALUE"""),"паяльне обладнання, загальне")</f>
        <v>паяльне обладнання, загальне</v>
      </c>
      <c r="F3263" s="17">
        <f>IFERROR(__xludf.DUMMYFUNCTION("""COMPUTED_VALUE"""),4.0)</f>
        <v>4</v>
      </c>
      <c r="G3263" s="17" t="str">
        <f>IFERROR(__xludf.DUMMYFUNCTION("""COMPUTED_VALUE"""),"14400801")</f>
        <v>14400801</v>
      </c>
      <c r="H3263" s="17" t="str">
        <f>IFERROR(__xludf.DUMMYFUNCTION("""COMPUTED_VALUE"""),"паяльне обладнання, загальне")</f>
        <v>паяльне обладнання, загальне</v>
      </c>
      <c r="I3263" s="19">
        <f>IFERROR(__xludf.DUMMYFUNCTION("""COMPUTED_VALUE"""),0.125)</f>
        <v>0.125</v>
      </c>
      <c r="J3263" s="19">
        <f>IFERROR(__xludf.DUMMYFUNCTION("""COMPUTED_VALUE"""),0.25)</f>
        <v>0.25</v>
      </c>
      <c r="K3263" s="19">
        <f>IFERROR(__xludf.DUMMYFUNCTION("""COMPUTED_VALUE"""),0.3125)</f>
        <v>0.3125</v>
      </c>
      <c r="L3263" s="19">
        <f>IFERROR(__xludf.DUMMYFUNCTION("""COMPUTED_VALUE"""),0.375)</f>
        <v>0.375</v>
      </c>
      <c r="M3263" s="18">
        <f>IFERROR(__xludf.DUMMYFUNCTION("""COMPUTED_VALUE"""),4.33)</f>
        <v>4.33</v>
      </c>
    </row>
    <row r="3264">
      <c r="A3264" s="13" t="str">
        <f>IFERROR(__xludf.DUMMYFUNCTION("""COMPUTED_VALUE"""),"товари")</f>
        <v>товари</v>
      </c>
      <c r="B3264" s="16" t="str">
        <f>IFERROR(__xludf.DUMMYFUNCTION("""COMPUTED_VALUE"""),"промислове обладнання та верстати")</f>
        <v>промислове обладнання та верстати</v>
      </c>
      <c r="C3264" s="16" t="str">
        <f>IFERROR(__xludf.DUMMYFUNCTION("""COMPUTED_VALUE"""),"зварювальне та паяльне обладнання")</f>
        <v>зварювальне та паяльне обладнання</v>
      </c>
      <c r="D3264" s="16" t="str">
        <f>IFERROR(__xludf.DUMMYFUNCTION("""COMPUTED_VALUE"""),"паяльне обладнання")</f>
        <v>паяльне обладнання</v>
      </c>
      <c r="E3264" s="16" t="str">
        <f>IFERROR(__xludf.DUMMYFUNCTION("""COMPUTED_VALUE"""),"паяльні ванни")</f>
        <v>паяльні ванни</v>
      </c>
      <c r="F3264" s="17">
        <f>IFERROR(__xludf.DUMMYFUNCTION("""COMPUTED_VALUE"""),4.0)</f>
        <v>4</v>
      </c>
      <c r="G3264" s="17" t="str">
        <f>IFERROR(__xludf.DUMMYFUNCTION("""COMPUTED_VALUE"""),"14400806")</f>
        <v>14400806</v>
      </c>
      <c r="H3264" s="17" t="str">
        <f>IFERROR(__xludf.DUMMYFUNCTION("""COMPUTED_VALUE"""),"паяльні ванни")</f>
        <v>паяльні ванни</v>
      </c>
      <c r="I3264" s="19">
        <f>IFERROR(__xludf.DUMMYFUNCTION("""COMPUTED_VALUE"""),0.0697)</f>
        <v>0.0697</v>
      </c>
      <c r="J3264" s="19">
        <f>IFERROR(__xludf.DUMMYFUNCTION("""COMPUTED_VALUE"""),0.1394)</f>
        <v>0.1394</v>
      </c>
      <c r="K3264" s="19">
        <f>IFERROR(__xludf.DUMMYFUNCTION("""COMPUTED_VALUE"""),0.1743)</f>
        <v>0.1743</v>
      </c>
      <c r="L3264" s="19">
        <f>IFERROR(__xludf.DUMMYFUNCTION("""COMPUTED_VALUE"""),0.2091)</f>
        <v>0.2091</v>
      </c>
      <c r="M3264" s="18">
        <f>IFERROR(__xludf.DUMMYFUNCTION("""COMPUTED_VALUE"""),1.05)</f>
        <v>1.05</v>
      </c>
    </row>
    <row r="3265">
      <c r="A3265" s="13" t="str">
        <f>IFERROR(__xludf.DUMMYFUNCTION("""COMPUTED_VALUE"""),"товари")</f>
        <v>товари</v>
      </c>
      <c r="B3265" s="16" t="str">
        <f>IFERROR(__xludf.DUMMYFUNCTION("""COMPUTED_VALUE"""),"промислове обладнання та верстати")</f>
        <v>промислове обладнання та верстати</v>
      </c>
      <c r="C3265" s="16" t="str">
        <f>IFERROR(__xludf.DUMMYFUNCTION("""COMPUTED_VALUE"""),"зварювальне та паяльне обладнання")</f>
        <v>зварювальне та паяльне обладнання</v>
      </c>
      <c r="D3265" s="16" t="str">
        <f>IFERROR(__xludf.DUMMYFUNCTION("""COMPUTED_VALUE"""),"паяльне обладнання")</f>
        <v>паяльне обладнання</v>
      </c>
      <c r="E3265" s="16" t="str">
        <f>IFERROR(__xludf.DUMMYFUNCTION("""COMPUTED_VALUE"""),"паяльні лампи")</f>
        <v>паяльні лампи</v>
      </c>
      <c r="F3265" s="17">
        <f>IFERROR(__xludf.DUMMYFUNCTION("""COMPUTED_VALUE"""),4.0)</f>
        <v>4</v>
      </c>
      <c r="G3265" s="17" t="str">
        <f>IFERROR(__xludf.DUMMYFUNCTION("""COMPUTED_VALUE"""),"14400804")</f>
        <v>14400804</v>
      </c>
      <c r="H3265" s="17" t="str">
        <f>IFERROR(__xludf.DUMMYFUNCTION("""COMPUTED_VALUE"""),"паяльні лампи")</f>
        <v>паяльні лампи</v>
      </c>
      <c r="I3265" s="19">
        <f>IFERROR(__xludf.DUMMYFUNCTION("""COMPUTED_VALUE"""),0.0697)</f>
        <v>0.0697</v>
      </c>
      <c r="J3265" s="19">
        <f>IFERROR(__xludf.DUMMYFUNCTION("""COMPUTED_VALUE"""),0.1394)</f>
        <v>0.1394</v>
      </c>
      <c r="K3265" s="19">
        <f>IFERROR(__xludf.DUMMYFUNCTION("""COMPUTED_VALUE"""),0.1743)</f>
        <v>0.1743</v>
      </c>
      <c r="L3265" s="19">
        <f>IFERROR(__xludf.DUMMYFUNCTION("""COMPUTED_VALUE"""),0.2091)</f>
        <v>0.2091</v>
      </c>
      <c r="M3265" s="18">
        <f>IFERROR(__xludf.DUMMYFUNCTION("""COMPUTED_VALUE"""),1.05)</f>
        <v>1.05</v>
      </c>
    </row>
    <row r="3266">
      <c r="A3266" s="13" t="str">
        <f>IFERROR(__xludf.DUMMYFUNCTION("""COMPUTED_VALUE"""),"товари")</f>
        <v>товари</v>
      </c>
      <c r="B3266" s="16" t="str">
        <f>IFERROR(__xludf.DUMMYFUNCTION("""COMPUTED_VALUE"""),"промислове обладнання та верстати")</f>
        <v>промислове обладнання та верстати</v>
      </c>
      <c r="C3266" s="16" t="str">
        <f>IFERROR(__xludf.DUMMYFUNCTION("""COMPUTED_VALUE"""),"зварювальне та паяльне обладнання")</f>
        <v>зварювальне та паяльне обладнання</v>
      </c>
      <c r="D3266" s="16" t="str">
        <f>IFERROR(__xludf.DUMMYFUNCTION("""COMPUTED_VALUE"""),"паяльне обладнання")</f>
        <v>паяльне обладнання</v>
      </c>
      <c r="E3266" s="16" t="str">
        <f>IFERROR(__xludf.DUMMYFUNCTION("""COMPUTED_VALUE"""),"паяльні станції")</f>
        <v>паяльні станції</v>
      </c>
      <c r="F3266" s="17">
        <f>IFERROR(__xludf.DUMMYFUNCTION("""COMPUTED_VALUE"""),4.0)</f>
        <v>4</v>
      </c>
      <c r="G3266" s="17" t="str">
        <f>IFERROR(__xludf.DUMMYFUNCTION("""COMPUTED_VALUE"""),"14400802")</f>
        <v>14400802</v>
      </c>
      <c r="H3266" s="17" t="str">
        <f>IFERROR(__xludf.DUMMYFUNCTION("""COMPUTED_VALUE"""),"паяльні станції")</f>
        <v>паяльні станції</v>
      </c>
      <c r="I3266" s="19">
        <f>IFERROR(__xludf.DUMMYFUNCTION("""COMPUTED_VALUE"""),0.0697)</f>
        <v>0.0697</v>
      </c>
      <c r="J3266" s="19">
        <f>IFERROR(__xludf.DUMMYFUNCTION("""COMPUTED_VALUE"""),0.1394)</f>
        <v>0.1394</v>
      </c>
      <c r="K3266" s="19">
        <f>IFERROR(__xludf.DUMMYFUNCTION("""COMPUTED_VALUE"""),0.1743)</f>
        <v>0.1743</v>
      </c>
      <c r="L3266" s="19">
        <f>IFERROR(__xludf.DUMMYFUNCTION("""COMPUTED_VALUE"""),0.2091)</f>
        <v>0.2091</v>
      </c>
      <c r="M3266" s="18">
        <f>IFERROR(__xludf.DUMMYFUNCTION("""COMPUTED_VALUE"""),1.05)</f>
        <v>1.05</v>
      </c>
    </row>
    <row r="3267">
      <c r="A3267" s="13" t="str">
        <f>IFERROR(__xludf.DUMMYFUNCTION("""COMPUTED_VALUE"""),"товари")</f>
        <v>товари</v>
      </c>
      <c r="B3267" s="16" t="str">
        <f>IFERROR(__xludf.DUMMYFUNCTION("""COMPUTED_VALUE"""),"промислове обладнання та верстати")</f>
        <v>промислове обладнання та верстати</v>
      </c>
      <c r="C3267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67" s="16" t="str">
        <f>IFERROR(__xludf.DUMMYFUNCTION("""COMPUTED_VALUE"""),"підшипники")</f>
        <v>підшипники</v>
      </c>
      <c r="E3267" s="16" t="str">
        <f>IFERROR(__xludf.DUMMYFUNCTION("""COMPUTED_VALUE"""),"підшипники ковзання")</f>
        <v>підшипники ковзання</v>
      </c>
      <c r="F3267" s="17">
        <f>IFERROR(__xludf.DUMMYFUNCTION("""COMPUTED_VALUE"""),4.0)</f>
        <v>4</v>
      </c>
      <c r="G3267" s="17" t="str">
        <f>IFERROR(__xludf.DUMMYFUNCTION("""COMPUTED_VALUE"""),"145607")</f>
        <v>145607</v>
      </c>
      <c r="H3267" s="17" t="str">
        <f>IFERROR(__xludf.DUMMYFUNCTION("""COMPUTED_VALUE"""),"підшипники ковзання")</f>
        <v>підшипники ковзання</v>
      </c>
      <c r="I3267" s="19">
        <f>IFERROR(__xludf.DUMMYFUNCTION("""COMPUTED_VALUE"""),0.0712)</f>
        <v>0.0712</v>
      </c>
      <c r="J3267" s="19">
        <f>IFERROR(__xludf.DUMMYFUNCTION("""COMPUTED_VALUE"""),0.1424)</f>
        <v>0.1424</v>
      </c>
      <c r="K3267" s="19">
        <f>IFERROR(__xludf.DUMMYFUNCTION("""COMPUTED_VALUE"""),0.178)</f>
        <v>0.178</v>
      </c>
      <c r="L3267" s="19">
        <f>IFERROR(__xludf.DUMMYFUNCTION("""COMPUTED_VALUE"""),0.2136)</f>
        <v>0.2136</v>
      </c>
      <c r="M3267" s="18">
        <f>IFERROR(__xludf.DUMMYFUNCTION("""COMPUTED_VALUE"""),1.05)</f>
        <v>1.05</v>
      </c>
    </row>
    <row r="3268">
      <c r="A3268" s="13" t="str">
        <f>IFERROR(__xludf.DUMMYFUNCTION("""COMPUTED_VALUE"""),"товари")</f>
        <v>товари</v>
      </c>
      <c r="B3268" s="16" t="str">
        <f>IFERROR(__xludf.DUMMYFUNCTION("""COMPUTED_VALUE"""),"промислове обладнання та верстати")</f>
        <v>промислове обладнання та верстати</v>
      </c>
      <c r="C3268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68" s="16" t="str">
        <f>IFERROR(__xludf.DUMMYFUNCTION("""COMPUTED_VALUE"""),"підшипники")</f>
        <v>підшипники</v>
      </c>
      <c r="E3268" s="16" t="str">
        <f>IFERROR(__xludf.DUMMYFUNCTION("""COMPUTED_VALUE"""),"підшипники кочення")</f>
        <v>підшипники кочення</v>
      </c>
      <c r="F3268" s="17">
        <f>IFERROR(__xludf.DUMMYFUNCTION("""COMPUTED_VALUE"""),4.0)</f>
        <v>4</v>
      </c>
      <c r="G3268" s="17" t="str">
        <f>IFERROR(__xludf.DUMMYFUNCTION("""COMPUTED_VALUE"""),"145606")</f>
        <v>145606</v>
      </c>
      <c r="H3268" s="17" t="str">
        <f>IFERROR(__xludf.DUMMYFUNCTION("""COMPUTED_VALUE"""),"підшипники кочення")</f>
        <v>підшипники кочення</v>
      </c>
      <c r="I3268" s="19">
        <f>IFERROR(__xludf.DUMMYFUNCTION("""COMPUTED_VALUE"""),0.0712)</f>
        <v>0.0712</v>
      </c>
      <c r="J3268" s="19">
        <f>IFERROR(__xludf.DUMMYFUNCTION("""COMPUTED_VALUE"""),0.1424)</f>
        <v>0.1424</v>
      </c>
      <c r="K3268" s="19">
        <f>IFERROR(__xludf.DUMMYFUNCTION("""COMPUTED_VALUE"""),0.178)</f>
        <v>0.178</v>
      </c>
      <c r="L3268" s="19">
        <f>IFERROR(__xludf.DUMMYFUNCTION("""COMPUTED_VALUE"""),0.2136)</f>
        <v>0.2136</v>
      </c>
      <c r="M3268" s="18">
        <f>IFERROR(__xludf.DUMMYFUNCTION("""COMPUTED_VALUE"""),1.05)</f>
        <v>1.05</v>
      </c>
    </row>
    <row r="3269">
      <c r="A3269" s="13" t="str">
        <f>IFERROR(__xludf.DUMMYFUNCTION("""COMPUTED_VALUE"""),"товари")</f>
        <v>товари</v>
      </c>
      <c r="B3269" s="16" t="str">
        <f>IFERROR(__xludf.DUMMYFUNCTION("""COMPUTED_VALUE"""),"промислове обладнання та верстати")</f>
        <v>промислове обладнання та верстати</v>
      </c>
      <c r="C3269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69" s="16" t="str">
        <f>IFERROR(__xludf.DUMMYFUNCTION("""COMPUTED_VALUE"""),"підшипники")</f>
        <v>підшипники</v>
      </c>
      <c r="E3269" s="16" t="str">
        <f>IFERROR(__xludf.DUMMYFUNCTION("""COMPUTED_VALUE"""),"підшипники, загальне")</f>
        <v>підшипники, загальне</v>
      </c>
      <c r="F3269" s="17">
        <f>IFERROR(__xludf.DUMMYFUNCTION("""COMPUTED_VALUE"""),4.0)</f>
        <v>4</v>
      </c>
      <c r="G3269" s="17" t="str">
        <f>IFERROR(__xludf.DUMMYFUNCTION("""COMPUTED_VALUE"""),"145699")</f>
        <v>145699</v>
      </c>
      <c r="H3269" s="17" t="str">
        <f>IFERROR(__xludf.DUMMYFUNCTION("""COMPUTED_VALUE"""),"підшипники, загальне")</f>
        <v>підшипники, загальне</v>
      </c>
      <c r="I3269" s="19">
        <f>IFERROR(__xludf.DUMMYFUNCTION("""COMPUTED_VALUE"""),0.125)</f>
        <v>0.125</v>
      </c>
      <c r="J3269" s="19">
        <f>IFERROR(__xludf.DUMMYFUNCTION("""COMPUTED_VALUE"""),0.25)</f>
        <v>0.25</v>
      </c>
      <c r="K3269" s="19">
        <f>IFERROR(__xludf.DUMMYFUNCTION("""COMPUTED_VALUE"""),0.3125)</f>
        <v>0.3125</v>
      </c>
      <c r="L3269" s="19">
        <f>IFERROR(__xludf.DUMMYFUNCTION("""COMPUTED_VALUE"""),0.375)</f>
        <v>0.375</v>
      </c>
      <c r="M3269" s="18">
        <f>IFERROR(__xludf.DUMMYFUNCTION("""COMPUTED_VALUE"""),4.33)</f>
        <v>4.33</v>
      </c>
    </row>
    <row r="3270">
      <c r="A3270" s="13" t="str">
        <f>IFERROR(__xludf.DUMMYFUNCTION("""COMPUTED_VALUE"""),"товари")</f>
        <v>товари</v>
      </c>
      <c r="B3270" s="16" t="str">
        <f>IFERROR(__xludf.DUMMYFUNCTION("""COMPUTED_VALUE"""),"промислове обладнання та верстати")</f>
        <v>промислове обладнання та верстати</v>
      </c>
      <c r="C3270" s="16" t="str">
        <f>IFERROR(__xludf.DUMMYFUNCTION("""COMPUTED_VALUE"""),"технологічне обладнання")</f>
        <v>технологічне обладнання</v>
      </c>
      <c r="D3270" s="16" t="str">
        <f>IFERROR(__xludf.DUMMYFUNCTION("""COMPUTED_VALUE"""),"піскоструминне обладнання")</f>
        <v>піскоструминне обладнання</v>
      </c>
      <c r="E3270" s="16" t="str">
        <f>IFERROR(__xludf.DUMMYFUNCTION("""COMPUTED_VALUE"""),"піскоструминні пересувні апарати")</f>
        <v>піскоструминні пересувні апарати</v>
      </c>
      <c r="F3270" s="17">
        <f>IFERROR(__xludf.DUMMYFUNCTION("""COMPUTED_VALUE"""),4.0)</f>
        <v>4</v>
      </c>
      <c r="G3270" s="17" t="str">
        <f>IFERROR(__xludf.DUMMYFUNCTION("""COMPUTED_VALUE"""),"14171602")</f>
        <v>14171602</v>
      </c>
      <c r="H3270" s="17" t="str">
        <f>IFERROR(__xludf.DUMMYFUNCTION("""COMPUTED_VALUE"""),"піскоструминні пересувні апарати")</f>
        <v>піскоструминні пересувні апарати</v>
      </c>
      <c r="I3270" s="19">
        <f>IFERROR(__xludf.DUMMYFUNCTION("""COMPUTED_VALUE"""),0.0658)</f>
        <v>0.0658</v>
      </c>
      <c r="J3270" s="19">
        <f>IFERROR(__xludf.DUMMYFUNCTION("""COMPUTED_VALUE"""),0.1316)</f>
        <v>0.1316</v>
      </c>
      <c r="K3270" s="19">
        <f>IFERROR(__xludf.DUMMYFUNCTION("""COMPUTED_VALUE"""),0.1645)</f>
        <v>0.1645</v>
      </c>
      <c r="L3270" s="19">
        <f>IFERROR(__xludf.DUMMYFUNCTION("""COMPUTED_VALUE"""),0.1974)</f>
        <v>0.1974</v>
      </c>
      <c r="M3270" s="18">
        <f>IFERROR(__xludf.DUMMYFUNCTION("""COMPUTED_VALUE"""),2.88)</f>
        <v>2.88</v>
      </c>
    </row>
    <row r="3271">
      <c r="A3271" s="13" t="str">
        <f>IFERROR(__xludf.DUMMYFUNCTION("""COMPUTED_VALUE"""),"товари")</f>
        <v>товари</v>
      </c>
      <c r="B3271" s="16" t="str">
        <f>IFERROR(__xludf.DUMMYFUNCTION("""COMPUTED_VALUE"""),"промислове обладнання та верстати")</f>
        <v>промислове обладнання та верстати</v>
      </c>
      <c r="C3271" s="16" t="str">
        <f>IFERROR(__xludf.DUMMYFUNCTION("""COMPUTED_VALUE"""),"складське обладнання")</f>
        <v>складське обладнання</v>
      </c>
      <c r="D3271" s="16" t="str">
        <f>IFERROR(__xludf.DUMMYFUNCTION("""COMPUTED_VALUE"""),"промислово-складські ваги")</f>
        <v>промислово-складські ваги</v>
      </c>
      <c r="E3271" s="16" t="str">
        <f>IFERROR(__xludf.DUMMYFUNCTION("""COMPUTED_VALUE"""),"платформні ваги")</f>
        <v>платформні ваги</v>
      </c>
      <c r="F3271" s="17">
        <f>IFERROR(__xludf.DUMMYFUNCTION("""COMPUTED_VALUE"""),4.0)</f>
        <v>4</v>
      </c>
      <c r="G3271" s="17" t="str">
        <f>IFERROR(__xludf.DUMMYFUNCTION("""COMPUTED_VALUE"""),"15371111")</f>
        <v>15371111</v>
      </c>
      <c r="H3271" s="17" t="str">
        <f>IFERROR(__xludf.DUMMYFUNCTION("""COMPUTED_VALUE"""),"платформні ваги")</f>
        <v>платформні ваги</v>
      </c>
      <c r="I3271" s="19">
        <f>IFERROR(__xludf.DUMMYFUNCTION("""COMPUTED_VALUE"""),0.0746)</f>
        <v>0.0746</v>
      </c>
      <c r="J3271" s="19">
        <f>IFERROR(__xludf.DUMMYFUNCTION("""COMPUTED_VALUE"""),0.1491)</f>
        <v>0.1491</v>
      </c>
      <c r="K3271" s="19">
        <f>IFERROR(__xludf.DUMMYFUNCTION("""COMPUTED_VALUE"""),0.1864)</f>
        <v>0.1864</v>
      </c>
      <c r="L3271" s="19">
        <f>IFERROR(__xludf.DUMMYFUNCTION("""COMPUTED_VALUE"""),0.2237)</f>
        <v>0.2237</v>
      </c>
      <c r="M3271" s="18">
        <f>IFERROR(__xludf.DUMMYFUNCTION("""COMPUTED_VALUE"""),5.03)</f>
        <v>5.03</v>
      </c>
    </row>
    <row r="3272">
      <c r="A3272" s="13" t="str">
        <f>IFERROR(__xludf.DUMMYFUNCTION("""COMPUTED_VALUE"""),"товари")</f>
        <v>товари</v>
      </c>
      <c r="B3272" s="16" t="str">
        <f>IFERROR(__xludf.DUMMYFUNCTION("""COMPUTED_VALUE"""),"промислове обладнання та верстати")</f>
        <v>промислове обладнання та верстати</v>
      </c>
      <c r="C3272" s="16" t="str">
        <f>IFERROR(__xludf.DUMMYFUNCTION("""COMPUTED_VALUE"""),"компресори")</f>
        <v>компресори</v>
      </c>
      <c r="D3272" s="16" t="str">
        <f>IFERROR(__xludf.DUMMYFUNCTION("""COMPUTED_VALUE"""),"поршневі компресори")</f>
        <v>поршневі компресори</v>
      </c>
      <c r="E3272" s="16" t="str">
        <f>IFERROR(__xludf.DUMMYFUNCTION("""COMPUTED_VALUE"""),"поршневі компресори")</f>
        <v>поршневі компресори</v>
      </c>
      <c r="F3272" s="17">
        <f>IFERROR(__xludf.DUMMYFUNCTION("""COMPUTED_VALUE"""),3.0)</f>
        <v>3</v>
      </c>
      <c r="G3272" s="17" t="str">
        <f>IFERROR(__xludf.DUMMYFUNCTION("""COMPUTED_VALUE"""),"141002")</f>
        <v>141002</v>
      </c>
      <c r="H3272" s="17" t="str">
        <f>IFERROR(__xludf.DUMMYFUNCTION("""COMPUTED_VALUE"""),"поршневі компресори")</f>
        <v>поршневі компресори</v>
      </c>
      <c r="I3272" s="19">
        <f>IFERROR(__xludf.DUMMYFUNCTION("""COMPUTED_VALUE"""),0.0453)</f>
        <v>0.0453</v>
      </c>
      <c r="J3272" s="19">
        <f>IFERROR(__xludf.DUMMYFUNCTION("""COMPUTED_VALUE"""),0.0905)</f>
        <v>0.0905</v>
      </c>
      <c r="K3272" s="19">
        <f>IFERROR(__xludf.DUMMYFUNCTION("""COMPUTED_VALUE"""),0.1131)</f>
        <v>0.1131</v>
      </c>
      <c r="L3272" s="19">
        <f>IFERROR(__xludf.DUMMYFUNCTION("""COMPUTED_VALUE"""),0.1358)</f>
        <v>0.1358</v>
      </c>
      <c r="M3272" s="18">
        <f>IFERROR(__xludf.DUMMYFUNCTION("""COMPUTED_VALUE"""),4.43)</f>
        <v>4.43</v>
      </c>
    </row>
    <row r="3273">
      <c r="A3273" s="13" t="str">
        <f>IFERROR(__xludf.DUMMYFUNCTION("""COMPUTED_VALUE"""),"товари")</f>
        <v>товари</v>
      </c>
      <c r="B3273" s="16" t="str">
        <f>IFERROR(__xludf.DUMMYFUNCTION("""COMPUTED_VALUE"""),"промислове обладнання та верстати")</f>
        <v>промислове обладнання та верстати</v>
      </c>
      <c r="C3273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73" s="16" t="str">
        <f>IFERROR(__xludf.DUMMYFUNCTION("""COMPUTED_VALUE"""),"прес-маслянки")</f>
        <v>прес-маслянки</v>
      </c>
      <c r="E3273" s="16" t="str">
        <f>IFERROR(__xludf.DUMMYFUNCTION("""COMPUTED_VALUE"""),"прес-маслянки")</f>
        <v>прес-маслянки</v>
      </c>
      <c r="F3273" s="17">
        <f>IFERROR(__xludf.DUMMYFUNCTION("""COMPUTED_VALUE"""),3.0)</f>
        <v>3</v>
      </c>
      <c r="G3273" s="17" t="str">
        <f>IFERROR(__xludf.DUMMYFUNCTION("""COMPUTED_VALUE"""),"4103")</f>
        <v>4103</v>
      </c>
      <c r="H3273" s="17" t="str">
        <f>IFERROR(__xludf.DUMMYFUNCTION("""COMPUTED_VALUE"""),"прес-маслянки")</f>
        <v>прес-маслянки</v>
      </c>
      <c r="I3273" s="19">
        <f>IFERROR(__xludf.DUMMYFUNCTION("""COMPUTED_VALUE"""),0.0493)</f>
        <v>0.0493</v>
      </c>
      <c r="J3273" s="19">
        <f>IFERROR(__xludf.DUMMYFUNCTION("""COMPUTED_VALUE"""),0.0986)</f>
        <v>0.0986</v>
      </c>
      <c r="K3273" s="19">
        <f>IFERROR(__xludf.DUMMYFUNCTION("""COMPUTED_VALUE"""),0.1233)</f>
        <v>0.1233</v>
      </c>
      <c r="L3273" s="19">
        <f>IFERROR(__xludf.DUMMYFUNCTION("""COMPUTED_VALUE"""),0.1479)</f>
        <v>0.1479</v>
      </c>
      <c r="M3273" s="18">
        <f>IFERROR(__xludf.DUMMYFUNCTION("""COMPUTED_VALUE"""),1.05)</f>
        <v>1.05</v>
      </c>
    </row>
    <row r="3274">
      <c r="A3274" s="13" t="str">
        <f>IFERROR(__xludf.DUMMYFUNCTION("""COMPUTED_VALUE"""),"товари")</f>
        <v>товари</v>
      </c>
      <c r="B3274" s="16" t="str">
        <f>IFERROR(__xludf.DUMMYFUNCTION("""COMPUTED_VALUE"""),"промислове обладнання та верстати")</f>
        <v>промислове обладнання та верстати</v>
      </c>
      <c r="C3274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74" s="16" t="str">
        <f>IFERROR(__xludf.DUMMYFUNCTION("""COMPUTED_VALUE"""),"прокладки")</f>
        <v>прокладки</v>
      </c>
      <c r="E3274" s="16" t="str">
        <f>IFERROR(__xludf.DUMMYFUNCTION("""COMPUTED_VALUE"""),"прокладки")</f>
        <v>прокладки</v>
      </c>
      <c r="F3274" s="17">
        <f>IFERROR(__xludf.DUMMYFUNCTION("""COMPUTED_VALUE"""),3.0)</f>
        <v>3</v>
      </c>
      <c r="G3274" s="17" t="str">
        <f>IFERROR(__xludf.DUMMYFUNCTION("""COMPUTED_VALUE"""),"1407")</f>
        <v>1407</v>
      </c>
      <c r="H3274" s="17" t="str">
        <f>IFERROR(__xludf.DUMMYFUNCTION("""COMPUTED_VALUE"""),"прокладки")</f>
        <v>прокладки</v>
      </c>
      <c r="I3274" s="19">
        <f>IFERROR(__xludf.DUMMYFUNCTION("""COMPUTED_VALUE"""),0.0501)</f>
        <v>0.0501</v>
      </c>
      <c r="J3274" s="19">
        <f>IFERROR(__xludf.DUMMYFUNCTION("""COMPUTED_VALUE"""),0.1001)</f>
        <v>0.1001</v>
      </c>
      <c r="K3274" s="19">
        <f>IFERROR(__xludf.DUMMYFUNCTION("""COMPUTED_VALUE"""),0.1251)</f>
        <v>0.1251</v>
      </c>
      <c r="L3274" s="19">
        <f>IFERROR(__xludf.DUMMYFUNCTION("""COMPUTED_VALUE"""),0.1502)</f>
        <v>0.1502</v>
      </c>
      <c r="M3274" s="18">
        <f>IFERROR(__xludf.DUMMYFUNCTION("""COMPUTED_VALUE"""),2.16)</f>
        <v>2.16</v>
      </c>
    </row>
    <row r="3275">
      <c r="A3275" s="13" t="str">
        <f>IFERROR(__xludf.DUMMYFUNCTION("""COMPUTED_VALUE"""),"товари")</f>
        <v>товари</v>
      </c>
      <c r="B3275" s="16" t="str">
        <f>IFERROR(__xludf.DUMMYFUNCTION("""COMPUTED_VALUE"""),"промислове обладнання та верстати")</f>
        <v>промислове обладнання та верстати</v>
      </c>
      <c r="C3275" s="16" t="str">
        <f>IFERROR(__xludf.DUMMYFUNCTION("""COMPUTED_VALUE"""),"обладнання для харчової промисловості")</f>
        <v>обладнання для харчової промисловості</v>
      </c>
      <c r="D3275" s="16" t="str">
        <f>IFERROR(__xludf.DUMMYFUNCTION("""COMPUTED_VALUE"""),"промислове обладнання для оброблення та нарізання продуктів харчування")</f>
        <v>промислове обладнання для оброблення та нарізання продуктів харчування</v>
      </c>
      <c r="E3275" s="16" t="str">
        <f>IFERROR(__xludf.DUMMYFUNCTION("""COMPUTED_VALUE"""),"промислове обладнання для оброблення та нарізання продуктів харчування")</f>
        <v>промислове обладнання для оброблення та нарізання продуктів харчування</v>
      </c>
      <c r="F3275" s="17">
        <f>IFERROR(__xludf.DUMMYFUNCTION("""COMPUTED_VALUE"""),3.0)</f>
        <v>3</v>
      </c>
      <c r="G3275" s="17">
        <f>IFERROR(__xludf.DUMMYFUNCTION("""COMPUTED_VALUE"""),22014.0)</f>
        <v>22014</v>
      </c>
      <c r="H3275" s="17" t="str">
        <f>IFERROR(__xludf.DUMMYFUNCTION("""COMPUTED_VALUE"""),"промислове обладнання для оброблення та нарізання продуктів харчування")</f>
        <v>промислове обладнання для оброблення та нарізання продуктів харчування</v>
      </c>
      <c r="I3275" s="19">
        <f>IFERROR(__xludf.DUMMYFUNCTION("""COMPUTED_VALUE"""),0.0494)</f>
        <v>0.0494</v>
      </c>
      <c r="J3275" s="19">
        <f>IFERROR(__xludf.DUMMYFUNCTION("""COMPUTED_VALUE"""),0.0988)</f>
        <v>0.0988</v>
      </c>
      <c r="K3275" s="19">
        <f>IFERROR(__xludf.DUMMYFUNCTION("""COMPUTED_VALUE"""),0.1235)</f>
        <v>0.1235</v>
      </c>
      <c r="L3275" s="19">
        <f>IFERROR(__xludf.DUMMYFUNCTION("""COMPUTED_VALUE"""),0.1482)</f>
        <v>0.1482</v>
      </c>
      <c r="M3275" s="18">
        <f>IFERROR(__xludf.DUMMYFUNCTION("""COMPUTED_VALUE"""),2.53)</f>
        <v>2.53</v>
      </c>
    </row>
    <row r="3276">
      <c r="A3276" s="13" t="str">
        <f>IFERROR(__xludf.DUMMYFUNCTION("""COMPUTED_VALUE"""),"товари")</f>
        <v>товари</v>
      </c>
      <c r="B3276" s="16" t="str">
        <f>IFERROR(__xludf.DUMMYFUNCTION("""COMPUTED_VALUE"""),"промислове обладнання та верстати")</f>
        <v>промислове обладнання та верстати</v>
      </c>
      <c r="C3276" s="16" t="str">
        <f>IFERROR(__xludf.DUMMYFUNCTION("""COMPUTED_VALUE"""),"промислове обладнання та верстати, загальне")</f>
        <v>промислове обладнання та верстати, загальне</v>
      </c>
      <c r="D3276" s="16" t="str">
        <f>IFERROR(__xludf.DUMMYFUNCTION("""COMPUTED_VALUE"""),"промислове обладнання та верстати, загальне")</f>
        <v>промислове обладнання та верстати, загальне</v>
      </c>
      <c r="E3276" s="16" t="str">
        <f>IFERROR(__xludf.DUMMYFUNCTION("""COMPUTED_VALUE"""),"промислове обладнання та верстати, загальне")</f>
        <v>промислове обладнання та верстати, загальне</v>
      </c>
      <c r="F3276" s="17">
        <f>IFERROR(__xludf.DUMMYFUNCTION("""COMPUTED_VALUE"""),2.0)</f>
        <v>2</v>
      </c>
      <c r="G3276" s="17" t="str">
        <f>IFERROR(__xludf.DUMMYFUNCTION("""COMPUTED_VALUE"""),"1451")</f>
        <v>1451</v>
      </c>
      <c r="H3276" s="17" t="str">
        <f>IFERROR(__xludf.DUMMYFUNCTION("""COMPUTED_VALUE"""),"промислове обладнання та верстати, загальне")</f>
        <v>промислове обладнання та верстати, загальне</v>
      </c>
      <c r="I3276" s="19">
        <f>IFERROR(__xludf.DUMMYFUNCTION("""COMPUTED_VALUE"""),0.125)</f>
        <v>0.125</v>
      </c>
      <c r="J3276" s="19">
        <f>IFERROR(__xludf.DUMMYFUNCTION("""COMPUTED_VALUE"""),0.25)</f>
        <v>0.25</v>
      </c>
      <c r="K3276" s="19">
        <f>IFERROR(__xludf.DUMMYFUNCTION("""COMPUTED_VALUE"""),0.3125)</f>
        <v>0.3125</v>
      </c>
      <c r="L3276" s="19">
        <f>IFERROR(__xludf.DUMMYFUNCTION("""COMPUTED_VALUE"""),0.375)</f>
        <v>0.375</v>
      </c>
      <c r="M3276" s="18">
        <f>IFERROR(__xludf.DUMMYFUNCTION("""COMPUTED_VALUE"""),4.33)</f>
        <v>4.33</v>
      </c>
    </row>
    <row r="3277">
      <c r="A3277" s="13" t="str">
        <f>IFERROR(__xludf.DUMMYFUNCTION("""COMPUTED_VALUE"""),"товари")</f>
        <v>товари</v>
      </c>
      <c r="B3277" s="16" t="str">
        <f>IFERROR(__xludf.DUMMYFUNCTION("""COMPUTED_VALUE"""),"промислове обладнання та верстати")</f>
        <v>промислове обладнання та верстати</v>
      </c>
      <c r="C3277" s="16" t="str">
        <f>IFERROR(__xludf.DUMMYFUNCTION("""COMPUTED_VALUE"""),"промислові насоси")</f>
        <v>промислові насоси</v>
      </c>
      <c r="D3277" s="16" t="str">
        <f>IFERROR(__xludf.DUMMYFUNCTION("""COMPUTED_VALUE"""),"промислові насоси, загальне")</f>
        <v>промислові насоси, загальне</v>
      </c>
      <c r="E3277" s="16" t="str">
        <f>IFERROR(__xludf.DUMMYFUNCTION("""COMPUTED_VALUE"""),"промислові насоси, загальне")</f>
        <v>промислові насоси, загальне</v>
      </c>
      <c r="F3277" s="17">
        <f>IFERROR(__xludf.DUMMYFUNCTION("""COMPUTED_VALUE"""),3.0)</f>
        <v>3</v>
      </c>
      <c r="G3277" s="17" t="str">
        <f>IFERROR(__xludf.DUMMYFUNCTION("""COMPUTED_VALUE"""),"147601")</f>
        <v>147601</v>
      </c>
      <c r="H3277" s="17" t="str">
        <f>IFERROR(__xludf.DUMMYFUNCTION("""COMPUTED_VALUE"""),"промислові насоси, загальне")</f>
        <v>промислові насоси, загальне</v>
      </c>
      <c r="I3277" s="19">
        <f>IFERROR(__xludf.DUMMYFUNCTION("""COMPUTED_VALUE"""),0.125)</f>
        <v>0.125</v>
      </c>
      <c r="J3277" s="19">
        <f>IFERROR(__xludf.DUMMYFUNCTION("""COMPUTED_VALUE"""),0.25)</f>
        <v>0.25</v>
      </c>
      <c r="K3277" s="19">
        <f>IFERROR(__xludf.DUMMYFUNCTION("""COMPUTED_VALUE"""),0.3125)</f>
        <v>0.3125</v>
      </c>
      <c r="L3277" s="19">
        <f>IFERROR(__xludf.DUMMYFUNCTION("""COMPUTED_VALUE"""),0.375)</f>
        <v>0.375</v>
      </c>
      <c r="M3277" s="18">
        <f>IFERROR(__xludf.DUMMYFUNCTION("""COMPUTED_VALUE"""),4.33)</f>
        <v>4.33</v>
      </c>
    </row>
    <row r="3278">
      <c r="A3278" s="13" t="str">
        <f>IFERROR(__xludf.DUMMYFUNCTION("""COMPUTED_VALUE"""),"товари")</f>
        <v>товари</v>
      </c>
      <c r="B3278" s="16" t="str">
        <f>IFERROR(__xludf.DUMMYFUNCTION("""COMPUTED_VALUE"""),"промислове обладнання та верстати")</f>
        <v>промислове обладнання та верстати</v>
      </c>
      <c r="C3278" s="16" t="str">
        <f>IFERROR(__xludf.DUMMYFUNCTION("""COMPUTED_VALUE"""),"складське обладнання")</f>
        <v>складське обладнання</v>
      </c>
      <c r="D3278" s="16" t="str">
        <f>IFERROR(__xludf.DUMMYFUNCTION("""COMPUTED_VALUE"""),"промислові стелажі")</f>
        <v>промислові стелажі</v>
      </c>
      <c r="E3278" s="16" t="str">
        <f>IFERROR(__xludf.DUMMYFUNCTION("""COMPUTED_VALUE"""),"промислові стелажі")</f>
        <v>промислові стелажі</v>
      </c>
      <c r="F3278" s="17">
        <f>IFERROR(__xludf.DUMMYFUNCTION("""COMPUTED_VALUE"""),3.0)</f>
        <v>3</v>
      </c>
      <c r="G3278" s="17" t="str">
        <f>IFERROR(__xludf.DUMMYFUNCTION("""COMPUTED_VALUE"""),"14290202")</f>
        <v>14290202</v>
      </c>
      <c r="H3278" s="17" t="str">
        <f>IFERROR(__xludf.DUMMYFUNCTION("""COMPUTED_VALUE"""),"промислові стелажі")</f>
        <v>промислові стелажі</v>
      </c>
      <c r="I3278" s="19">
        <f>IFERROR(__xludf.DUMMYFUNCTION("""COMPUTED_VALUE"""),0.0639)</f>
        <v>0.0639</v>
      </c>
      <c r="J3278" s="19">
        <f>IFERROR(__xludf.DUMMYFUNCTION("""COMPUTED_VALUE"""),0.1278)</f>
        <v>0.1278</v>
      </c>
      <c r="K3278" s="19">
        <f>IFERROR(__xludf.DUMMYFUNCTION("""COMPUTED_VALUE"""),0.1598)</f>
        <v>0.1598</v>
      </c>
      <c r="L3278" s="19">
        <f>IFERROR(__xludf.DUMMYFUNCTION("""COMPUTED_VALUE"""),0.1917)</f>
        <v>0.1917</v>
      </c>
      <c r="M3278" s="18">
        <f>IFERROR(__xludf.DUMMYFUNCTION("""COMPUTED_VALUE"""),5.4)</f>
        <v>5.4</v>
      </c>
    </row>
    <row r="3279">
      <c r="A3279" s="13" t="str">
        <f>IFERROR(__xludf.DUMMYFUNCTION("""COMPUTED_VALUE"""),"товари")</f>
        <v>товари</v>
      </c>
      <c r="B3279" s="16" t="str">
        <f>IFERROR(__xludf.DUMMYFUNCTION("""COMPUTED_VALUE"""),"промислове обладнання та верстати")</f>
        <v>промислове обладнання та верстати</v>
      </c>
      <c r="C3279" s="16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3279" s="16" t="str">
        <f>IFERROR(__xludf.DUMMYFUNCTION("""COMPUTED_VALUE"""),"протиральні матеріали для промисловості")</f>
        <v>протиральні матеріали для промисловості</v>
      </c>
      <c r="E3279" s="16" t="str">
        <f>IFERROR(__xludf.DUMMYFUNCTION("""COMPUTED_VALUE"""),"протиральні матеріали для промисловості")</f>
        <v>протиральні матеріали для промисловості</v>
      </c>
      <c r="F3279" s="17">
        <f>IFERROR(__xludf.DUMMYFUNCTION("""COMPUTED_VALUE"""),3.0)</f>
        <v>3</v>
      </c>
      <c r="G3279" s="17" t="str">
        <f>IFERROR(__xludf.DUMMYFUNCTION("""COMPUTED_VALUE"""),"144804")</f>
        <v>144804</v>
      </c>
      <c r="H3279" s="17" t="str">
        <f>IFERROR(__xludf.DUMMYFUNCTION("""COMPUTED_VALUE"""),"протиральні матеріали для промисловості")</f>
        <v>протиральні матеріали для промисловості</v>
      </c>
      <c r="I3279" s="19">
        <f>IFERROR(__xludf.DUMMYFUNCTION("""COMPUTED_VALUE"""),0.0662)</f>
        <v>0.0662</v>
      </c>
      <c r="J3279" s="19">
        <f>IFERROR(__xludf.DUMMYFUNCTION("""COMPUTED_VALUE"""),0.1324)</f>
        <v>0.1324</v>
      </c>
      <c r="K3279" s="19">
        <f>IFERROR(__xludf.DUMMYFUNCTION("""COMPUTED_VALUE"""),0.1655)</f>
        <v>0.1655</v>
      </c>
      <c r="L3279" s="19">
        <f>IFERROR(__xludf.DUMMYFUNCTION("""COMPUTED_VALUE"""),0.1986)</f>
        <v>0.1986</v>
      </c>
      <c r="M3279" s="18">
        <f>IFERROR(__xludf.DUMMYFUNCTION("""COMPUTED_VALUE"""),2.16)</f>
        <v>2.16</v>
      </c>
    </row>
    <row r="3280">
      <c r="A3280" s="13" t="str">
        <f>IFERROR(__xludf.DUMMYFUNCTION("""COMPUTED_VALUE"""),"товари")</f>
        <v>товари</v>
      </c>
      <c r="B3280" s="16" t="str">
        <f>IFERROR(__xludf.DUMMYFUNCTION("""COMPUTED_VALUE"""),"промислове обладнання та верстати")</f>
        <v>промислове обладнання та верстати</v>
      </c>
      <c r="C3280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80" s="16" t="str">
        <f>IFERROR(__xludf.DUMMYFUNCTION("""COMPUTED_VALUE"""),"редуктори")</f>
        <v>редуктори</v>
      </c>
      <c r="E3280" s="16" t="str">
        <f>IFERROR(__xludf.DUMMYFUNCTION("""COMPUTED_VALUE"""),"редуктори")</f>
        <v>редуктори</v>
      </c>
      <c r="F3280" s="17">
        <f>IFERROR(__xludf.DUMMYFUNCTION("""COMPUTED_VALUE"""),3.0)</f>
        <v>3</v>
      </c>
      <c r="G3280" s="17">
        <f>IFERROR(__xludf.DUMMYFUNCTION("""COMPUTED_VALUE"""),146911.0)</f>
        <v>146911</v>
      </c>
      <c r="H3280" s="17" t="str">
        <f>IFERROR(__xludf.DUMMYFUNCTION("""COMPUTED_VALUE"""),"редуктори")</f>
        <v>редуктори</v>
      </c>
      <c r="I3280" s="19">
        <f>IFERROR(__xludf.DUMMYFUNCTION("""COMPUTED_VALUE"""),0.051)</f>
        <v>0.051</v>
      </c>
      <c r="J3280" s="19">
        <f>IFERROR(__xludf.DUMMYFUNCTION("""COMPUTED_VALUE"""),0.102)</f>
        <v>0.102</v>
      </c>
      <c r="K3280" s="19">
        <f>IFERROR(__xludf.DUMMYFUNCTION("""COMPUTED_VALUE"""),0.1275)</f>
        <v>0.1275</v>
      </c>
      <c r="L3280" s="19">
        <f>IFERROR(__xludf.DUMMYFUNCTION("""COMPUTED_VALUE"""),0.153)</f>
        <v>0.153</v>
      </c>
      <c r="M3280" s="18">
        <f>IFERROR(__xludf.DUMMYFUNCTION("""COMPUTED_VALUE"""),1.53)</f>
        <v>1.53</v>
      </c>
    </row>
    <row r="3281">
      <c r="A3281" s="13" t="str">
        <f>IFERROR(__xludf.DUMMYFUNCTION("""COMPUTED_VALUE"""),"товари")</f>
        <v>товари</v>
      </c>
      <c r="B3281" s="16" t="str">
        <f>IFERROR(__xludf.DUMMYFUNCTION("""COMPUTED_VALUE"""),"промислове обладнання та верстати")</f>
        <v>промислове обладнання та верстати</v>
      </c>
      <c r="C3281" s="16" t="str">
        <f>IFERROR(__xludf.DUMMYFUNCTION("""COMPUTED_VALUE"""),"складське обладнання")</f>
        <v>складське обладнання</v>
      </c>
      <c r="D3281" s="16" t="str">
        <f>IFERROR(__xludf.DUMMYFUNCTION("""COMPUTED_VALUE"""),"ручні візки")</f>
        <v>ручні візки</v>
      </c>
      <c r="E3281" s="16" t="str">
        <f>IFERROR(__xludf.DUMMYFUNCTION("""COMPUTED_VALUE"""),"ручні візки")</f>
        <v>ручні візки</v>
      </c>
      <c r="F3281" s="17">
        <f>IFERROR(__xludf.DUMMYFUNCTION("""COMPUTED_VALUE"""),3.0)</f>
        <v>3</v>
      </c>
      <c r="G3281" s="17" t="str">
        <f>IFERROR(__xludf.DUMMYFUNCTION("""COMPUTED_VALUE"""),"142904")</f>
        <v>142904</v>
      </c>
      <c r="H3281" s="17" t="str">
        <f>IFERROR(__xludf.DUMMYFUNCTION("""COMPUTED_VALUE"""),"ручні візки")</f>
        <v>ручні візки</v>
      </c>
      <c r="I3281" s="19">
        <f>IFERROR(__xludf.DUMMYFUNCTION("""COMPUTED_VALUE"""),0.0733)</f>
        <v>0.0733</v>
      </c>
      <c r="J3281" s="19">
        <f>IFERROR(__xludf.DUMMYFUNCTION("""COMPUTED_VALUE"""),0.1465)</f>
        <v>0.1465</v>
      </c>
      <c r="K3281" s="19">
        <f>IFERROR(__xludf.DUMMYFUNCTION("""COMPUTED_VALUE"""),0.1831)</f>
        <v>0.1831</v>
      </c>
      <c r="L3281" s="19">
        <f>IFERROR(__xludf.DUMMYFUNCTION("""COMPUTED_VALUE"""),0.2198)</f>
        <v>0.2198</v>
      </c>
      <c r="M3281" s="18">
        <f>IFERROR(__xludf.DUMMYFUNCTION("""COMPUTED_VALUE"""),2.7)</f>
        <v>2.7</v>
      </c>
    </row>
    <row r="3282">
      <c r="A3282" s="13" t="str">
        <f>IFERROR(__xludf.DUMMYFUNCTION("""COMPUTED_VALUE"""),"товари")</f>
        <v>товари</v>
      </c>
      <c r="B3282" s="16" t="str">
        <f>IFERROR(__xludf.DUMMYFUNCTION("""COMPUTED_VALUE"""),"промислове обладнання та верстати")</f>
        <v>промислове обладнання та верстати</v>
      </c>
      <c r="C3282" s="16" t="str">
        <f>IFERROR(__xludf.DUMMYFUNCTION("""COMPUTED_VALUE"""),"верстати")</f>
        <v>верстати</v>
      </c>
      <c r="D3282" s="16" t="str">
        <f>IFERROR(__xludf.DUMMYFUNCTION("""COMPUTED_VALUE"""),"металообробні верстати")</f>
        <v>металообробні верстати</v>
      </c>
      <c r="E3282" s="16" t="str">
        <f>IFERROR(__xludf.DUMMYFUNCTION("""COMPUTED_VALUE"""),"свердлильні верстати")</f>
        <v>свердлильні верстати</v>
      </c>
      <c r="F3282" s="17">
        <f>IFERROR(__xludf.DUMMYFUNCTION("""COMPUTED_VALUE"""),4.0)</f>
        <v>4</v>
      </c>
      <c r="G3282" s="17" t="str">
        <f>IFERROR(__xludf.DUMMYFUNCTION("""COMPUTED_VALUE"""),"14209803")</f>
        <v>14209803</v>
      </c>
      <c r="H3282" s="17" t="str">
        <f>IFERROR(__xludf.DUMMYFUNCTION("""COMPUTED_VALUE"""),"свердлильні верстати")</f>
        <v>свердлильні верстати</v>
      </c>
      <c r="I3282" s="19">
        <f>IFERROR(__xludf.DUMMYFUNCTION("""COMPUTED_VALUE"""),0.0498)</f>
        <v>0.0498</v>
      </c>
      <c r="J3282" s="19">
        <f>IFERROR(__xludf.DUMMYFUNCTION("""COMPUTED_VALUE"""),0.0996)</f>
        <v>0.0996</v>
      </c>
      <c r="K3282" s="19">
        <f>IFERROR(__xludf.DUMMYFUNCTION("""COMPUTED_VALUE"""),0.1245)</f>
        <v>0.1245</v>
      </c>
      <c r="L3282" s="19">
        <f>IFERROR(__xludf.DUMMYFUNCTION("""COMPUTED_VALUE"""),0.1494)</f>
        <v>0.1494</v>
      </c>
      <c r="M3282" s="18">
        <f>IFERROR(__xludf.DUMMYFUNCTION("""COMPUTED_VALUE"""),4.14)</f>
        <v>4.14</v>
      </c>
    </row>
    <row r="3283">
      <c r="A3283" s="13" t="str">
        <f>IFERROR(__xludf.DUMMYFUNCTION("""COMPUTED_VALUE"""),"товари")</f>
        <v>товари</v>
      </c>
      <c r="B3283" s="16" t="str">
        <f>IFERROR(__xludf.DUMMYFUNCTION("""COMPUTED_VALUE"""),"промислове обладнання та верстати")</f>
        <v>промислове обладнання та верстати</v>
      </c>
      <c r="C3283" s="16" t="str">
        <f>IFERROR(__xludf.DUMMYFUNCTION("""COMPUTED_VALUE"""),"технологічне обладнання")</f>
        <v>технологічне обладнання</v>
      </c>
      <c r="D3283" s="16" t="str">
        <f>IFERROR(__xludf.DUMMYFUNCTION("""COMPUTED_VALUE"""),"сепаратори")</f>
        <v>сепаратори</v>
      </c>
      <c r="E3283" s="16" t="str">
        <f>IFERROR(__xludf.DUMMYFUNCTION("""COMPUTED_VALUE"""),"сепаратори жиру")</f>
        <v>сепаратори жиру</v>
      </c>
      <c r="F3283" s="17">
        <f>IFERROR(__xludf.DUMMYFUNCTION("""COMPUTED_VALUE"""),4.0)</f>
        <v>4</v>
      </c>
      <c r="G3283" s="17" t="str">
        <f>IFERROR(__xludf.DUMMYFUNCTION("""COMPUTED_VALUE"""),"142306")</f>
        <v>142306</v>
      </c>
      <c r="H3283" s="17" t="str">
        <f>IFERROR(__xludf.DUMMYFUNCTION("""COMPUTED_VALUE"""),"сепаратори жиру")</f>
        <v>сепаратори жиру</v>
      </c>
      <c r="I3283" s="19">
        <f>IFERROR(__xludf.DUMMYFUNCTION("""COMPUTED_VALUE"""),0.0686)</f>
        <v>0.0686</v>
      </c>
      <c r="J3283" s="19">
        <f>IFERROR(__xludf.DUMMYFUNCTION("""COMPUTED_VALUE"""),0.1371)</f>
        <v>0.1371</v>
      </c>
      <c r="K3283" s="19">
        <f>IFERROR(__xludf.DUMMYFUNCTION("""COMPUTED_VALUE"""),0.1714)</f>
        <v>0.1714</v>
      </c>
      <c r="L3283" s="19">
        <f>IFERROR(__xludf.DUMMYFUNCTION("""COMPUTED_VALUE"""),0.2057)</f>
        <v>0.2057</v>
      </c>
      <c r="M3283" s="18">
        <f>IFERROR(__xludf.DUMMYFUNCTION("""COMPUTED_VALUE"""),5.4)</f>
        <v>5.4</v>
      </c>
    </row>
    <row r="3284">
      <c r="A3284" s="13" t="str">
        <f>IFERROR(__xludf.DUMMYFUNCTION("""COMPUTED_VALUE"""),"товари")</f>
        <v>товари</v>
      </c>
      <c r="B3284" s="16" t="str">
        <f>IFERROR(__xludf.DUMMYFUNCTION("""COMPUTED_VALUE"""),"промислове обладнання та верстати")</f>
        <v>промислове обладнання та верстати</v>
      </c>
      <c r="C3284" s="16" t="str">
        <f>IFERROR(__xludf.DUMMYFUNCTION("""COMPUTED_VALUE"""),"альтернативні джерела енергії")</f>
        <v>альтернативні джерела енергії</v>
      </c>
      <c r="D3284" s="16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84" s="16" t="str">
        <f>IFERROR(__xludf.DUMMYFUNCTION("""COMPUTED_VALUE"""),"системи, які використовують сонячну енергію, загальне")</f>
        <v>системи, які використовують сонячну енергію, загальне</v>
      </c>
      <c r="F3284" s="17">
        <f>IFERROR(__xludf.DUMMYFUNCTION("""COMPUTED_VALUE"""),4.0)</f>
        <v>4</v>
      </c>
      <c r="G3284" s="17" t="str">
        <f>IFERROR(__xludf.DUMMYFUNCTION("""COMPUTED_VALUE"""),"100799")</f>
        <v>100799</v>
      </c>
      <c r="H3284" s="17" t="str">
        <f>IFERROR(__xludf.DUMMYFUNCTION("""COMPUTED_VALUE"""),"системи, які використовують сонячну енергію, загальне")</f>
        <v>системи, які використовують сонячну енергію, загальне</v>
      </c>
      <c r="I3284" s="19">
        <f>IFERROR(__xludf.DUMMYFUNCTION("""COMPUTED_VALUE"""),0.125)</f>
        <v>0.125</v>
      </c>
      <c r="J3284" s="19">
        <f>IFERROR(__xludf.DUMMYFUNCTION("""COMPUTED_VALUE"""),0.25)</f>
        <v>0.25</v>
      </c>
      <c r="K3284" s="19">
        <f>IFERROR(__xludf.DUMMYFUNCTION("""COMPUTED_VALUE"""),0.3125)</f>
        <v>0.3125</v>
      </c>
      <c r="L3284" s="19">
        <f>IFERROR(__xludf.DUMMYFUNCTION("""COMPUTED_VALUE"""),0.375)</f>
        <v>0.375</v>
      </c>
      <c r="M3284" s="18">
        <f>IFERROR(__xludf.DUMMYFUNCTION("""COMPUTED_VALUE"""),4.33)</f>
        <v>4.33</v>
      </c>
    </row>
    <row r="3285">
      <c r="A3285" s="13" t="str">
        <f>IFERROR(__xludf.DUMMYFUNCTION("""COMPUTED_VALUE"""),"товари")</f>
        <v>товари</v>
      </c>
      <c r="B3285" s="16" t="str">
        <f>IFERROR(__xludf.DUMMYFUNCTION("""COMPUTED_VALUE"""),"промислове обладнання та верстати")</f>
        <v>промислове обладнання та верстати</v>
      </c>
      <c r="C3285" s="16" t="str">
        <f>IFERROR(__xludf.DUMMYFUNCTION("""COMPUTED_VALUE"""),"складське обладнання")</f>
        <v>складське обладнання</v>
      </c>
      <c r="D3285" s="16" t="str">
        <f>IFERROR(__xludf.DUMMYFUNCTION("""COMPUTED_VALUE"""),"складське обладнання, загальне")</f>
        <v>складське обладнання, загальне</v>
      </c>
      <c r="E3285" s="16" t="str">
        <f>IFERROR(__xludf.DUMMYFUNCTION("""COMPUTED_VALUE"""),"складське обладнання, загальне")</f>
        <v>складське обладнання, загальне</v>
      </c>
      <c r="F3285" s="17">
        <f>IFERROR(__xludf.DUMMYFUNCTION("""COMPUTED_VALUE"""),3.0)</f>
        <v>3</v>
      </c>
      <c r="G3285" s="17" t="str">
        <f>IFERROR(__xludf.DUMMYFUNCTION("""COMPUTED_VALUE"""),"142905")</f>
        <v>142905</v>
      </c>
      <c r="H3285" s="17" t="str">
        <f>IFERROR(__xludf.DUMMYFUNCTION("""COMPUTED_VALUE"""),"складське обладнання, загальне")</f>
        <v>складське обладнання, загальне</v>
      </c>
      <c r="I3285" s="19">
        <f>IFERROR(__xludf.DUMMYFUNCTION("""COMPUTED_VALUE"""),0.125)</f>
        <v>0.125</v>
      </c>
      <c r="J3285" s="19">
        <f>IFERROR(__xludf.DUMMYFUNCTION("""COMPUTED_VALUE"""),0.25)</f>
        <v>0.25</v>
      </c>
      <c r="K3285" s="19">
        <f>IFERROR(__xludf.DUMMYFUNCTION("""COMPUTED_VALUE"""),0.3125)</f>
        <v>0.3125</v>
      </c>
      <c r="L3285" s="19">
        <f>IFERROR(__xludf.DUMMYFUNCTION("""COMPUTED_VALUE"""),0.375)</f>
        <v>0.375</v>
      </c>
      <c r="M3285" s="18">
        <f>IFERROR(__xludf.DUMMYFUNCTION("""COMPUTED_VALUE"""),4.33)</f>
        <v>4.33</v>
      </c>
    </row>
    <row r="3286">
      <c r="A3286" s="13" t="str">
        <f>IFERROR(__xludf.DUMMYFUNCTION("""COMPUTED_VALUE"""),"товари")</f>
        <v>товари</v>
      </c>
      <c r="B3286" s="16" t="str">
        <f>IFERROR(__xludf.DUMMYFUNCTION("""COMPUTED_VALUE"""),"промислове обладнання та верстати")</f>
        <v>промислове обладнання та верстати</v>
      </c>
      <c r="C3286" s="16" t="str">
        <f>IFERROR(__xludf.DUMMYFUNCTION("""COMPUTED_VALUE"""),"альтернативні джерела енергії")</f>
        <v>альтернативні джерела енергії</v>
      </c>
      <c r="D3286" s="16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86" s="16" t="str">
        <f>IFERROR(__xludf.DUMMYFUNCTION("""COMPUTED_VALUE"""),"сонячні електростанції")</f>
        <v>сонячні електростанції</v>
      </c>
      <c r="F3286" s="17">
        <f>IFERROR(__xludf.DUMMYFUNCTION("""COMPUTED_VALUE"""),4.0)</f>
        <v>4</v>
      </c>
      <c r="G3286" s="17" t="str">
        <f>IFERROR(__xludf.DUMMYFUNCTION("""COMPUTED_VALUE"""),"100705")</f>
        <v>100705</v>
      </c>
      <c r="H3286" s="17" t="str">
        <f>IFERROR(__xludf.DUMMYFUNCTION("""COMPUTED_VALUE"""),"сонячні електростанції")</f>
        <v>сонячні електростанції</v>
      </c>
      <c r="I3286" s="19">
        <f>IFERROR(__xludf.DUMMYFUNCTION("""COMPUTED_VALUE"""),0.0345)</f>
        <v>0.0345</v>
      </c>
      <c r="J3286" s="19">
        <f>IFERROR(__xludf.DUMMYFUNCTION("""COMPUTED_VALUE"""),0.069)</f>
        <v>0.069</v>
      </c>
      <c r="K3286" s="19">
        <f>IFERROR(__xludf.DUMMYFUNCTION("""COMPUTED_VALUE"""),0.0863)</f>
        <v>0.0863</v>
      </c>
      <c r="L3286" s="19">
        <f>IFERROR(__xludf.DUMMYFUNCTION("""COMPUTED_VALUE"""),0.1035)</f>
        <v>0.1035</v>
      </c>
      <c r="M3286" s="18">
        <f>IFERROR(__xludf.DUMMYFUNCTION("""COMPUTED_VALUE"""),1.53)</f>
        <v>1.53</v>
      </c>
    </row>
    <row r="3287">
      <c r="A3287" s="13" t="str">
        <f>IFERROR(__xludf.DUMMYFUNCTION("""COMPUTED_VALUE"""),"товари")</f>
        <v>товари</v>
      </c>
      <c r="B3287" s="16" t="str">
        <f>IFERROR(__xludf.DUMMYFUNCTION("""COMPUTED_VALUE"""),"промислове обладнання та верстати")</f>
        <v>промислове обладнання та верстати</v>
      </c>
      <c r="C3287" s="16" t="str">
        <f>IFERROR(__xludf.DUMMYFUNCTION("""COMPUTED_VALUE"""),"альтернативні джерела енергії")</f>
        <v>альтернативні джерела енергії</v>
      </c>
      <c r="D3287" s="16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87" s="16" t="str">
        <f>IFERROR(__xludf.DUMMYFUNCTION("""COMPUTED_VALUE"""),"сонячні колектори")</f>
        <v>сонячні колектори</v>
      </c>
      <c r="F3287" s="17">
        <f>IFERROR(__xludf.DUMMYFUNCTION("""COMPUTED_VALUE"""),4.0)</f>
        <v>4</v>
      </c>
      <c r="G3287" s="17" t="str">
        <f>IFERROR(__xludf.DUMMYFUNCTION("""COMPUTED_VALUE"""),"100704")</f>
        <v>100704</v>
      </c>
      <c r="H3287" s="17" t="str">
        <f>IFERROR(__xludf.DUMMYFUNCTION("""COMPUTED_VALUE"""),"сонячні колектори")</f>
        <v>сонячні колектори</v>
      </c>
      <c r="I3287" s="19">
        <f>IFERROR(__xludf.DUMMYFUNCTION("""COMPUTED_VALUE"""),0.0356)</f>
        <v>0.0356</v>
      </c>
      <c r="J3287" s="19">
        <f>IFERROR(__xludf.DUMMYFUNCTION("""COMPUTED_VALUE"""),0.0711)</f>
        <v>0.0711</v>
      </c>
      <c r="K3287" s="19">
        <f>IFERROR(__xludf.DUMMYFUNCTION("""COMPUTED_VALUE"""),0.0889)</f>
        <v>0.0889</v>
      </c>
      <c r="L3287" s="19">
        <f>IFERROR(__xludf.DUMMYFUNCTION("""COMPUTED_VALUE"""),0.1067)</f>
        <v>0.1067</v>
      </c>
      <c r="M3287" s="18">
        <f>IFERROR(__xludf.DUMMYFUNCTION("""COMPUTED_VALUE"""),1.53)</f>
        <v>1.53</v>
      </c>
    </row>
    <row r="3288">
      <c r="A3288" s="13" t="str">
        <f>IFERROR(__xludf.DUMMYFUNCTION("""COMPUTED_VALUE"""),"товари")</f>
        <v>товари</v>
      </c>
      <c r="B3288" s="16" t="str">
        <f>IFERROR(__xludf.DUMMYFUNCTION("""COMPUTED_VALUE"""),"промислове обладнання та верстати")</f>
        <v>промислове обладнання та верстати</v>
      </c>
      <c r="C3288" s="16" t="str">
        <f>IFERROR(__xludf.DUMMYFUNCTION("""COMPUTED_VALUE"""),"альтернативні джерела енергії")</f>
        <v>альтернативні джерела енергії</v>
      </c>
      <c r="D3288" s="16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88" s="16" t="str">
        <f>IFERROR(__xludf.DUMMYFUNCTION("""COMPUTED_VALUE"""),"сонячні контролери")</f>
        <v>сонячні контролери</v>
      </c>
      <c r="F3288" s="17">
        <f>IFERROR(__xludf.DUMMYFUNCTION("""COMPUTED_VALUE"""),4.0)</f>
        <v>4</v>
      </c>
      <c r="G3288" s="17" t="str">
        <f>IFERROR(__xludf.DUMMYFUNCTION("""COMPUTED_VALUE"""),"100703")</f>
        <v>100703</v>
      </c>
      <c r="H3288" s="17" t="str">
        <f>IFERROR(__xludf.DUMMYFUNCTION("""COMPUTED_VALUE"""),"сонячні контролери")</f>
        <v>сонячні контролери</v>
      </c>
      <c r="I3288" s="19">
        <f>IFERROR(__xludf.DUMMYFUNCTION("""COMPUTED_VALUE"""),0.0506)</f>
        <v>0.0506</v>
      </c>
      <c r="J3288" s="19">
        <f>IFERROR(__xludf.DUMMYFUNCTION("""COMPUTED_VALUE"""),0.1012)</f>
        <v>0.1012</v>
      </c>
      <c r="K3288" s="19">
        <f>IFERROR(__xludf.DUMMYFUNCTION("""COMPUTED_VALUE"""),0.1265)</f>
        <v>0.1265</v>
      </c>
      <c r="L3288" s="19">
        <f>IFERROR(__xludf.DUMMYFUNCTION("""COMPUTED_VALUE"""),0.1518)</f>
        <v>0.1518</v>
      </c>
      <c r="M3288" s="18">
        <f>IFERROR(__xludf.DUMMYFUNCTION("""COMPUTED_VALUE"""),1.53)</f>
        <v>1.53</v>
      </c>
    </row>
    <row r="3289">
      <c r="A3289" s="13" t="str">
        <f>IFERROR(__xludf.DUMMYFUNCTION("""COMPUTED_VALUE"""),"товари")</f>
        <v>товари</v>
      </c>
      <c r="B3289" s="16" t="str">
        <f>IFERROR(__xludf.DUMMYFUNCTION("""COMPUTED_VALUE"""),"промислове обладнання та верстати")</f>
        <v>промислове обладнання та верстати</v>
      </c>
      <c r="C3289" s="16" t="str">
        <f>IFERROR(__xludf.DUMMYFUNCTION("""COMPUTED_VALUE"""),"альтернативні джерела енергії")</f>
        <v>альтернативні джерела енергії</v>
      </c>
      <c r="D3289" s="16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89" s="16" t="str">
        <f>IFERROR(__xludf.DUMMYFUNCTION("""COMPUTED_VALUE"""),"сонячні панелі")</f>
        <v>сонячні панелі</v>
      </c>
      <c r="F3289" s="17">
        <f>IFERROR(__xludf.DUMMYFUNCTION("""COMPUTED_VALUE"""),4.0)</f>
        <v>4</v>
      </c>
      <c r="G3289" s="17" t="str">
        <f>IFERROR(__xludf.DUMMYFUNCTION("""COMPUTED_VALUE"""),"52806")</f>
        <v>52806</v>
      </c>
      <c r="H3289" s="17" t="str">
        <f>IFERROR(__xludf.DUMMYFUNCTION("""COMPUTED_VALUE"""),"сонячні панелі")</f>
        <v>сонячні панелі</v>
      </c>
      <c r="I3289" s="19">
        <f>IFERROR(__xludf.DUMMYFUNCTION("""COMPUTED_VALUE"""),0.0495)</f>
        <v>0.0495</v>
      </c>
      <c r="J3289" s="19">
        <f>IFERROR(__xludf.DUMMYFUNCTION("""COMPUTED_VALUE"""),0.0989)</f>
        <v>0.0989</v>
      </c>
      <c r="K3289" s="19">
        <f>IFERROR(__xludf.DUMMYFUNCTION("""COMPUTED_VALUE"""),0.1236)</f>
        <v>0.1236</v>
      </c>
      <c r="L3289" s="19">
        <f>IFERROR(__xludf.DUMMYFUNCTION("""COMPUTED_VALUE"""),0.1484)</f>
        <v>0.1484</v>
      </c>
      <c r="M3289" s="18">
        <f>IFERROR(__xludf.DUMMYFUNCTION("""COMPUTED_VALUE"""),1.53)</f>
        <v>1.53</v>
      </c>
    </row>
    <row r="3290">
      <c r="A3290" s="16" t="str">
        <f>IFERROR(__xludf.DUMMYFUNCTION("""COMPUTED_VALUE"""),"товари")</f>
        <v>товари</v>
      </c>
      <c r="B3290" s="16" t="str">
        <f>IFERROR(__xludf.DUMMYFUNCTION("""COMPUTED_VALUE"""),"промислове обладнання та верстати")</f>
        <v>промислове обладнання та верстати</v>
      </c>
      <c r="C3290" s="16" t="str">
        <f>IFERROR(__xludf.DUMMYFUNCTION("""COMPUTED_VALUE"""),"альтернативні джерела енергії")</f>
        <v>альтернативні джерела енергії</v>
      </c>
      <c r="D3290" s="16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90" s="16" t="str">
        <f>IFERROR(__xludf.DUMMYFUNCTION("""COMPUTED_VALUE"""),"сонячні трекери")</f>
        <v>сонячні трекери</v>
      </c>
      <c r="F3290" s="17">
        <f>IFERROR(__xludf.DUMMYFUNCTION("""COMPUTED_VALUE"""),4.0)</f>
        <v>4</v>
      </c>
      <c r="G3290" s="17" t="str">
        <f>IFERROR(__xludf.DUMMYFUNCTION("""COMPUTED_VALUE"""),"100709")</f>
        <v>100709</v>
      </c>
      <c r="H3290" s="17" t="str">
        <f>IFERROR(__xludf.DUMMYFUNCTION("""COMPUTED_VALUE"""),"сонячні трекери")</f>
        <v>сонячні трекери</v>
      </c>
      <c r="I3290" s="19">
        <f>IFERROR(__xludf.DUMMYFUNCTION("""COMPUTED_VALUE"""),0.0484)</f>
        <v>0.0484</v>
      </c>
      <c r="J3290" s="19">
        <f>IFERROR(__xludf.DUMMYFUNCTION("""COMPUTED_VALUE"""),0.0968)</f>
        <v>0.0968</v>
      </c>
      <c r="K3290" s="19">
        <f>IFERROR(__xludf.DUMMYFUNCTION("""COMPUTED_VALUE"""),0.121)</f>
        <v>0.121</v>
      </c>
      <c r="L3290" s="19">
        <f>IFERROR(__xludf.DUMMYFUNCTION("""COMPUTED_VALUE"""),0.1452)</f>
        <v>0.1452</v>
      </c>
      <c r="M3290" s="18">
        <f>IFERROR(__xludf.DUMMYFUNCTION("""COMPUTED_VALUE"""),1.53)</f>
        <v>1.53</v>
      </c>
    </row>
    <row r="3291">
      <c r="A3291" s="16" t="str">
        <f>IFERROR(__xludf.DUMMYFUNCTION("""COMPUTED_VALUE"""),"товари")</f>
        <v>товари</v>
      </c>
      <c r="B3291" s="16" t="str">
        <f>IFERROR(__xludf.DUMMYFUNCTION("""COMPUTED_VALUE"""),"промислове обладнання та верстати")</f>
        <v>промислове обладнання та верстати</v>
      </c>
      <c r="C3291" s="16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91" s="16" t="str">
        <f>IFERROR(__xludf.DUMMYFUNCTION("""COMPUTED_VALUE"""),"підшипники")</f>
        <v>підшипники</v>
      </c>
      <c r="E3291" s="16" t="str">
        <f>IFERROR(__xludf.DUMMYFUNCTION("""COMPUTED_VALUE"""),"спеціальні підшипники")</f>
        <v>спеціальні підшипники</v>
      </c>
      <c r="F3291" s="17">
        <f>IFERROR(__xludf.DUMMYFUNCTION("""COMPUTED_VALUE"""),4.0)</f>
        <v>4</v>
      </c>
      <c r="G3291" s="17" t="str">
        <f>IFERROR(__xludf.DUMMYFUNCTION("""COMPUTED_VALUE"""),"145604")</f>
        <v>145604</v>
      </c>
      <c r="H3291" s="17" t="str">
        <f>IFERROR(__xludf.DUMMYFUNCTION("""COMPUTED_VALUE"""),"спеціальні підшипники")</f>
        <v>спеціальні підшипники</v>
      </c>
      <c r="I3291" s="19">
        <f>IFERROR(__xludf.DUMMYFUNCTION("""COMPUTED_VALUE"""),0.0712)</f>
        <v>0.0712</v>
      </c>
      <c r="J3291" s="19">
        <f>IFERROR(__xludf.DUMMYFUNCTION("""COMPUTED_VALUE"""),0.1424)</f>
        <v>0.1424</v>
      </c>
      <c r="K3291" s="19">
        <f>IFERROR(__xludf.DUMMYFUNCTION("""COMPUTED_VALUE"""),0.178)</f>
        <v>0.178</v>
      </c>
      <c r="L3291" s="19">
        <f>IFERROR(__xludf.DUMMYFUNCTION("""COMPUTED_VALUE"""),0.2136)</f>
        <v>0.2136</v>
      </c>
      <c r="M3291" s="18">
        <f>IFERROR(__xludf.DUMMYFUNCTION("""COMPUTED_VALUE"""),1.05)</f>
        <v>1.05</v>
      </c>
    </row>
    <row r="3292">
      <c r="A3292" s="16" t="str">
        <f>IFERROR(__xludf.DUMMYFUNCTION("""COMPUTED_VALUE"""),"товари")</f>
        <v>товари</v>
      </c>
      <c r="B3292" s="16" t="str">
        <f>IFERROR(__xludf.DUMMYFUNCTION("""COMPUTED_VALUE"""),"промислове обладнання та верстати")</f>
        <v>промислове обладнання та верстати</v>
      </c>
      <c r="C3292" s="16" t="str">
        <f>IFERROR(__xludf.DUMMYFUNCTION("""COMPUTED_VALUE"""),"виробниче обладнання")</f>
        <v>виробниче обладнання</v>
      </c>
      <c r="D3292" s="16" t="str">
        <f>IFERROR(__xludf.DUMMYFUNCTION("""COMPUTED_VALUE"""),"допоміжне обладнання")</f>
        <v>допоміжне обладнання</v>
      </c>
      <c r="E3292" s="16" t="str">
        <f>IFERROR(__xludf.DUMMYFUNCTION("""COMPUTED_VALUE"""),"станини, верстаки, робочі столи")</f>
        <v>станини, верстаки, робочі столи</v>
      </c>
      <c r="F3292" s="17">
        <f>IFERROR(__xludf.DUMMYFUNCTION("""COMPUTED_VALUE"""),4.0)</f>
        <v>4</v>
      </c>
      <c r="G3292" s="17" t="str">
        <f>IFERROR(__xludf.DUMMYFUNCTION("""COMPUTED_VALUE"""),"142614")</f>
        <v>142614</v>
      </c>
      <c r="H3292" s="17" t="str">
        <f>IFERROR(__xludf.DUMMYFUNCTION("""COMPUTED_VALUE"""),"станини, верстаки, робочі столи")</f>
        <v>станини, верстаки, робочі столи</v>
      </c>
      <c r="I3292" s="19">
        <f>IFERROR(__xludf.DUMMYFUNCTION("""COMPUTED_VALUE"""),0.0717)</f>
        <v>0.0717</v>
      </c>
      <c r="J3292" s="19">
        <f>IFERROR(__xludf.DUMMYFUNCTION("""COMPUTED_VALUE"""),0.1434)</f>
        <v>0.1434</v>
      </c>
      <c r="K3292" s="19">
        <f>IFERROR(__xludf.DUMMYFUNCTION("""COMPUTED_VALUE"""),0.1793)</f>
        <v>0.1793</v>
      </c>
      <c r="L3292" s="19">
        <f>IFERROR(__xludf.DUMMYFUNCTION("""COMPUTED_VALUE"""),0.2151)</f>
        <v>0.2151</v>
      </c>
      <c r="M3292" s="18">
        <f>IFERROR(__xludf.DUMMYFUNCTION("""COMPUTED_VALUE"""),2.53)</f>
        <v>2.53</v>
      </c>
    </row>
    <row r="3293">
      <c r="A3293" s="13" t="str">
        <f>IFERROR(__xludf.DUMMYFUNCTION("""COMPUTED_VALUE"""),"товари")</f>
        <v>товари</v>
      </c>
      <c r="B3293" s="16" t="str">
        <f>IFERROR(__xludf.DUMMYFUNCTION("""COMPUTED_VALUE"""),"промислове обладнання та верстати")</f>
        <v>промислове обладнання та верстати</v>
      </c>
      <c r="C3293" s="16" t="str">
        <f>IFERROR(__xludf.DUMMYFUNCTION("""COMPUTED_VALUE"""),"пакувальне та фасувальне обладнання")</f>
        <v>пакувальне та фасувальне обладнання</v>
      </c>
      <c r="D3293" s="16" t="str">
        <f>IFERROR(__xludf.DUMMYFUNCTION("""COMPUTED_VALUE"""),"стрепінг обладнання")</f>
        <v>стрепінг обладнання</v>
      </c>
      <c r="E3293" s="16" t="str">
        <f>IFERROR(__xludf.DUMMYFUNCTION("""COMPUTED_VALUE"""),"стрепінг обладнання")</f>
        <v>стрепінг обладнання</v>
      </c>
      <c r="F3293" s="17">
        <f>IFERROR(__xludf.DUMMYFUNCTION("""COMPUTED_VALUE"""),3.0)</f>
        <v>3</v>
      </c>
      <c r="G3293" s="17" t="str">
        <f>IFERROR(__xludf.DUMMYFUNCTION("""COMPUTED_VALUE"""),"230727")</f>
        <v>230727</v>
      </c>
      <c r="H3293" s="17" t="str">
        <f>IFERROR(__xludf.DUMMYFUNCTION("""COMPUTED_VALUE"""),"стрепінг обладнання")</f>
        <v>стрепінг обладнання</v>
      </c>
      <c r="I3293" s="19">
        <f>IFERROR(__xludf.DUMMYFUNCTION("""COMPUTED_VALUE"""),0.0423)</f>
        <v>0.0423</v>
      </c>
      <c r="J3293" s="19">
        <f>IFERROR(__xludf.DUMMYFUNCTION("""COMPUTED_VALUE"""),0.0845)</f>
        <v>0.0845</v>
      </c>
      <c r="K3293" s="19">
        <f>IFERROR(__xludf.DUMMYFUNCTION("""COMPUTED_VALUE"""),0.1056)</f>
        <v>0.1056</v>
      </c>
      <c r="L3293" s="19">
        <f>IFERROR(__xludf.DUMMYFUNCTION("""COMPUTED_VALUE"""),0.1268)</f>
        <v>0.1268</v>
      </c>
      <c r="M3293" s="18">
        <f>IFERROR(__xludf.DUMMYFUNCTION("""COMPUTED_VALUE"""),2.88)</f>
        <v>2.88</v>
      </c>
    </row>
    <row r="3294">
      <c r="A3294" s="16" t="str">
        <f>IFERROR(__xludf.DUMMYFUNCTION("""COMPUTED_VALUE"""),"товари")</f>
        <v>товари</v>
      </c>
      <c r="B3294" s="16" t="str">
        <f>IFERROR(__xludf.DUMMYFUNCTION("""COMPUTED_VALUE"""),"промислове обладнання та верстати")</f>
        <v>промислове обладнання та верстати</v>
      </c>
      <c r="C3294" s="16" t="str">
        <f>IFERROR(__xludf.DUMMYFUNCTION("""COMPUTED_VALUE"""),"промислове кліматичне обладнання")</f>
        <v>промислове кліматичне обладнання</v>
      </c>
      <c r="D3294" s="16" t="str">
        <f>IFERROR(__xludf.DUMMYFUNCTION("""COMPUTED_VALUE"""),"теплові гармати та нагрівачі")</f>
        <v>теплові гармати та нагрівачі</v>
      </c>
      <c r="E3294" s="16" t="str">
        <f>IFERROR(__xludf.DUMMYFUNCTION("""COMPUTED_VALUE"""),"теплові гармати")</f>
        <v>теплові гармати</v>
      </c>
      <c r="F3294" s="17">
        <f>IFERROR(__xludf.DUMMYFUNCTION("""COMPUTED_VALUE"""),4.0)</f>
        <v>4</v>
      </c>
      <c r="G3294" s="17" t="str">
        <f>IFERROR(__xludf.DUMMYFUNCTION("""COMPUTED_VALUE"""),"14150501")</f>
        <v>14150501</v>
      </c>
      <c r="H3294" s="17" t="str">
        <f>IFERROR(__xludf.DUMMYFUNCTION("""COMPUTED_VALUE"""),"теплові гармати")</f>
        <v>теплові гармати</v>
      </c>
      <c r="I3294" s="19">
        <f>IFERROR(__xludf.DUMMYFUNCTION("""COMPUTED_VALUE"""),0.0447)</f>
        <v>0.0447</v>
      </c>
      <c r="J3294" s="19">
        <f>IFERROR(__xludf.DUMMYFUNCTION("""COMPUTED_VALUE"""),0.0893)</f>
        <v>0.0893</v>
      </c>
      <c r="K3294" s="19">
        <f>IFERROR(__xludf.DUMMYFUNCTION("""COMPUTED_VALUE"""),0.1116)</f>
        <v>0.1116</v>
      </c>
      <c r="L3294" s="19">
        <f>IFERROR(__xludf.DUMMYFUNCTION("""COMPUTED_VALUE"""),0.134)</f>
        <v>0.134</v>
      </c>
      <c r="M3294" s="18">
        <f>IFERROR(__xludf.DUMMYFUNCTION("""COMPUTED_VALUE"""),1.71)</f>
        <v>1.71</v>
      </c>
    </row>
    <row r="3295">
      <c r="A3295" s="16" t="str">
        <f>IFERROR(__xludf.DUMMYFUNCTION("""COMPUTED_VALUE"""),"товари")</f>
        <v>товари</v>
      </c>
      <c r="B3295" s="16" t="str">
        <f>IFERROR(__xludf.DUMMYFUNCTION("""COMPUTED_VALUE"""),"промислове обладнання та верстати")</f>
        <v>промислове обладнання та верстати</v>
      </c>
      <c r="C3295" s="16" t="str">
        <f>IFERROR(__xludf.DUMMYFUNCTION("""COMPUTED_VALUE"""),"верстати")</f>
        <v>верстати</v>
      </c>
      <c r="D3295" s="16" t="str">
        <f>IFERROR(__xludf.DUMMYFUNCTION("""COMPUTED_VALUE"""),"металообробні верстати")</f>
        <v>металообробні верстати</v>
      </c>
      <c r="E3295" s="16" t="str">
        <f>IFERROR(__xludf.DUMMYFUNCTION("""COMPUTED_VALUE"""),"точильні верстати")</f>
        <v>точильні верстати</v>
      </c>
      <c r="F3295" s="17">
        <f>IFERROR(__xludf.DUMMYFUNCTION("""COMPUTED_VALUE"""),4.0)</f>
        <v>4</v>
      </c>
      <c r="G3295" s="17" t="str">
        <f>IFERROR(__xludf.DUMMYFUNCTION("""COMPUTED_VALUE"""),"143109")</f>
        <v>143109</v>
      </c>
      <c r="H3295" s="17" t="str">
        <f>IFERROR(__xludf.DUMMYFUNCTION("""COMPUTED_VALUE"""),"точильні верстати")</f>
        <v>точильні верстати</v>
      </c>
      <c r="I3295" s="19">
        <f>IFERROR(__xludf.DUMMYFUNCTION("""COMPUTED_VALUE"""),0.0518)</f>
        <v>0.0518</v>
      </c>
      <c r="J3295" s="19">
        <f>IFERROR(__xludf.DUMMYFUNCTION("""COMPUTED_VALUE"""),0.1035)</f>
        <v>0.1035</v>
      </c>
      <c r="K3295" s="19">
        <f>IFERROR(__xludf.DUMMYFUNCTION("""COMPUTED_VALUE"""),0.1294)</f>
        <v>0.1294</v>
      </c>
      <c r="L3295" s="19">
        <f>IFERROR(__xludf.DUMMYFUNCTION("""COMPUTED_VALUE"""),0.1553)</f>
        <v>0.1553</v>
      </c>
      <c r="M3295" s="18">
        <f>IFERROR(__xludf.DUMMYFUNCTION("""COMPUTED_VALUE"""),4.14)</f>
        <v>4.14</v>
      </c>
    </row>
    <row r="3296">
      <c r="A3296" s="16" t="str">
        <f>IFERROR(__xludf.DUMMYFUNCTION("""COMPUTED_VALUE"""),"товари")</f>
        <v>товари</v>
      </c>
      <c r="B3296" s="16" t="str">
        <f>IFERROR(__xludf.DUMMYFUNCTION("""COMPUTED_VALUE"""),"промислове обладнання та верстати")</f>
        <v>промислове обладнання та верстати</v>
      </c>
      <c r="C3296" s="16" t="str">
        <f>IFERROR(__xludf.DUMMYFUNCTION("""COMPUTED_VALUE"""),"зварювальне та паяльне обладнання")</f>
        <v>зварювальне та паяльне обладнання</v>
      </c>
      <c r="D3296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96" s="16" t="str">
        <f>IFERROR(__xludf.DUMMYFUNCTION("""COMPUTED_VALUE"""),"тримачі для паяльників")</f>
        <v>тримачі для паяльників</v>
      </c>
      <c r="F3296" s="17">
        <f>IFERROR(__xludf.DUMMYFUNCTION("""COMPUTED_VALUE"""),4.0)</f>
        <v>4</v>
      </c>
      <c r="G3296" s="17" t="str">
        <f>IFERROR(__xludf.DUMMYFUNCTION("""COMPUTED_VALUE"""),"142718")</f>
        <v>142718</v>
      </c>
      <c r="H3296" s="17" t="str">
        <f>IFERROR(__xludf.DUMMYFUNCTION("""COMPUTED_VALUE"""),"тримачі для паяльників")</f>
        <v>тримачі для паяльників</v>
      </c>
      <c r="I3296" s="19">
        <f>IFERROR(__xludf.DUMMYFUNCTION("""COMPUTED_VALUE"""),0.0727)</f>
        <v>0.0727</v>
      </c>
      <c r="J3296" s="19">
        <f>IFERROR(__xludf.DUMMYFUNCTION("""COMPUTED_VALUE"""),0.1453)</f>
        <v>0.1453</v>
      </c>
      <c r="K3296" s="19">
        <f>IFERROR(__xludf.DUMMYFUNCTION("""COMPUTED_VALUE"""),0.1816)</f>
        <v>0.1816</v>
      </c>
      <c r="L3296" s="19">
        <f>IFERROR(__xludf.DUMMYFUNCTION("""COMPUTED_VALUE"""),0.218)</f>
        <v>0.218</v>
      </c>
      <c r="M3296" s="18">
        <f>IFERROR(__xludf.DUMMYFUNCTION("""COMPUTED_VALUE"""),1.53)</f>
        <v>1.53</v>
      </c>
    </row>
    <row r="3297">
      <c r="A3297" s="13" t="str">
        <f>IFERROR(__xludf.DUMMYFUNCTION("""COMPUTED_VALUE"""),"товари")</f>
        <v>товари</v>
      </c>
      <c r="B3297" s="16" t="str">
        <f>IFERROR(__xludf.DUMMYFUNCTION("""COMPUTED_VALUE"""),"промислове обладнання та верстати")</f>
        <v>промислове обладнання та верстати</v>
      </c>
      <c r="C3297" s="16" t="str">
        <f>IFERROR(__xludf.DUMMYFUNCTION("""COMPUTED_VALUE"""),"зварювальне та паяльне обладнання")</f>
        <v>зварювальне та паяльне обладнання</v>
      </c>
      <c r="D3297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97" s="16" t="str">
        <f>IFERROR(__xludf.DUMMYFUNCTION("""COMPUTED_VALUE"""),"тримачі електродів")</f>
        <v>тримачі електродів</v>
      </c>
      <c r="F3297" s="17">
        <f>IFERROR(__xludf.DUMMYFUNCTION("""COMPUTED_VALUE"""),4.0)</f>
        <v>4</v>
      </c>
      <c r="G3297" s="17" t="str">
        <f>IFERROR(__xludf.DUMMYFUNCTION("""COMPUTED_VALUE"""),"142701")</f>
        <v>142701</v>
      </c>
      <c r="H3297" s="17" t="str">
        <f>IFERROR(__xludf.DUMMYFUNCTION("""COMPUTED_VALUE"""),"тримачі електродів")</f>
        <v>тримачі електродів</v>
      </c>
      <c r="I3297" s="19">
        <f>IFERROR(__xludf.DUMMYFUNCTION("""COMPUTED_VALUE"""),0.0522)</f>
        <v>0.0522</v>
      </c>
      <c r="J3297" s="19">
        <f>IFERROR(__xludf.DUMMYFUNCTION("""COMPUTED_VALUE"""),0.1044)</f>
        <v>0.1044</v>
      </c>
      <c r="K3297" s="19">
        <f>IFERROR(__xludf.DUMMYFUNCTION("""COMPUTED_VALUE"""),0.1305)</f>
        <v>0.1305</v>
      </c>
      <c r="L3297" s="19">
        <f>IFERROR(__xludf.DUMMYFUNCTION("""COMPUTED_VALUE"""),0.1566)</f>
        <v>0.1566</v>
      </c>
      <c r="M3297" s="18">
        <f>IFERROR(__xludf.DUMMYFUNCTION("""COMPUTED_VALUE"""),1.53)</f>
        <v>1.53</v>
      </c>
    </row>
    <row r="3298">
      <c r="A3298" s="13" t="str">
        <f>IFERROR(__xludf.DUMMYFUNCTION("""COMPUTED_VALUE"""),"товари")</f>
        <v>товари</v>
      </c>
      <c r="B3298" s="16" t="str">
        <f>IFERROR(__xludf.DUMMYFUNCTION("""COMPUTED_VALUE"""),"промислове обладнання та верстати")</f>
        <v>промислове обладнання та верстати</v>
      </c>
      <c r="C3298" s="16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3298" s="16" t="str">
        <f>IFERROR(__xludf.DUMMYFUNCTION("""COMPUTED_VALUE"""),"фільтрувальні матеріали")</f>
        <v>фільтрувальні матеріали</v>
      </c>
      <c r="E3298" s="16" t="str">
        <f>IFERROR(__xludf.DUMMYFUNCTION("""COMPUTED_VALUE"""),"фільтрувальна сітка")</f>
        <v>фільтрувальна сітка</v>
      </c>
      <c r="F3298" s="17">
        <f>IFERROR(__xludf.DUMMYFUNCTION("""COMPUTED_VALUE"""),4.0)</f>
        <v>4</v>
      </c>
      <c r="G3298" s="17" t="str">
        <f>IFERROR(__xludf.DUMMYFUNCTION("""COMPUTED_VALUE"""),"143305")</f>
        <v>143305</v>
      </c>
      <c r="H3298" s="17" t="str">
        <f>IFERROR(__xludf.DUMMYFUNCTION("""COMPUTED_VALUE"""),"фільтрувальна сітка")</f>
        <v>фільтрувальна сітка</v>
      </c>
      <c r="I3298" s="19">
        <f>IFERROR(__xludf.DUMMYFUNCTION("""COMPUTED_VALUE"""),0.0391)</f>
        <v>0.0391</v>
      </c>
      <c r="J3298" s="19">
        <f>IFERROR(__xludf.DUMMYFUNCTION("""COMPUTED_VALUE"""),0.0781)</f>
        <v>0.0781</v>
      </c>
      <c r="K3298" s="19">
        <f>IFERROR(__xludf.DUMMYFUNCTION("""COMPUTED_VALUE"""),0.0976)</f>
        <v>0.0976</v>
      </c>
      <c r="L3298" s="19">
        <f>IFERROR(__xludf.DUMMYFUNCTION("""COMPUTED_VALUE"""),0.1172)</f>
        <v>0.1172</v>
      </c>
      <c r="M3298" s="18">
        <f>IFERROR(__xludf.DUMMYFUNCTION("""COMPUTED_VALUE"""),3.24)</f>
        <v>3.24</v>
      </c>
    </row>
    <row r="3299">
      <c r="A3299" s="13" t="str">
        <f>IFERROR(__xludf.DUMMYFUNCTION("""COMPUTED_VALUE"""),"товари")</f>
        <v>товари</v>
      </c>
      <c r="B3299" s="16" t="str">
        <f>IFERROR(__xludf.DUMMYFUNCTION("""COMPUTED_VALUE"""),"промислове обладнання та верстати")</f>
        <v>промислове обладнання та верстати</v>
      </c>
      <c r="C3299" s="16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3299" s="16" t="str">
        <f>IFERROR(__xludf.DUMMYFUNCTION("""COMPUTED_VALUE"""),"фільтрувальні матеріали")</f>
        <v>фільтрувальні матеріали</v>
      </c>
      <c r="E3299" s="16" t="str">
        <f>IFERROR(__xludf.DUMMYFUNCTION("""COMPUTED_VALUE"""),"фільтрувальна тканина")</f>
        <v>фільтрувальна тканина</v>
      </c>
      <c r="F3299" s="17">
        <f>IFERROR(__xludf.DUMMYFUNCTION("""COMPUTED_VALUE"""),4.0)</f>
        <v>4</v>
      </c>
      <c r="G3299" s="17" t="str">
        <f>IFERROR(__xludf.DUMMYFUNCTION("""COMPUTED_VALUE"""),"143303")</f>
        <v>143303</v>
      </c>
      <c r="H3299" s="17" t="str">
        <f>IFERROR(__xludf.DUMMYFUNCTION("""COMPUTED_VALUE"""),"фільтрувальна тканина")</f>
        <v>фільтрувальна тканина</v>
      </c>
      <c r="I3299" s="19">
        <f>IFERROR(__xludf.DUMMYFUNCTION("""COMPUTED_VALUE"""),0.0547)</f>
        <v>0.0547</v>
      </c>
      <c r="J3299" s="19">
        <f>IFERROR(__xludf.DUMMYFUNCTION("""COMPUTED_VALUE"""),0.1093)</f>
        <v>0.1093</v>
      </c>
      <c r="K3299" s="19">
        <f>IFERROR(__xludf.DUMMYFUNCTION("""COMPUTED_VALUE"""),0.1366)</f>
        <v>0.1366</v>
      </c>
      <c r="L3299" s="19">
        <f>IFERROR(__xludf.DUMMYFUNCTION("""COMPUTED_VALUE"""),0.164)</f>
        <v>0.164</v>
      </c>
      <c r="M3299" s="18">
        <f>IFERROR(__xludf.DUMMYFUNCTION("""COMPUTED_VALUE"""),3.24)</f>
        <v>3.24</v>
      </c>
    </row>
    <row r="3300">
      <c r="A3300" s="13" t="str">
        <f>IFERROR(__xludf.DUMMYFUNCTION("""COMPUTED_VALUE"""),"товари")</f>
        <v>товари</v>
      </c>
      <c r="B3300" s="16" t="str">
        <f>IFERROR(__xludf.DUMMYFUNCTION("""COMPUTED_VALUE"""),"промислове обладнання та верстати")</f>
        <v>промислове обладнання та верстати</v>
      </c>
      <c r="C3300" s="16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3300" s="16" t="str">
        <f>IFERROR(__xludf.DUMMYFUNCTION("""COMPUTED_VALUE"""),"фільтрувальні матеріали")</f>
        <v>фільтрувальні матеріали</v>
      </c>
      <c r="E3300" s="16" t="str">
        <f>IFERROR(__xludf.DUMMYFUNCTION("""COMPUTED_VALUE"""),"фільтрувальний папір")</f>
        <v>фільтрувальний папір</v>
      </c>
      <c r="F3300" s="17">
        <f>IFERROR(__xludf.DUMMYFUNCTION("""COMPUTED_VALUE"""),4.0)</f>
        <v>4</v>
      </c>
      <c r="G3300" s="17" t="str">
        <f>IFERROR(__xludf.DUMMYFUNCTION("""COMPUTED_VALUE"""),"143306")</f>
        <v>143306</v>
      </c>
      <c r="H3300" s="17" t="str">
        <f>IFERROR(__xludf.DUMMYFUNCTION("""COMPUTED_VALUE"""),"фільтрувальний папір")</f>
        <v>фільтрувальний папір</v>
      </c>
      <c r="I3300" s="19">
        <f>IFERROR(__xludf.DUMMYFUNCTION("""COMPUTED_VALUE"""),0.0547)</f>
        <v>0.0547</v>
      </c>
      <c r="J3300" s="19">
        <f>IFERROR(__xludf.DUMMYFUNCTION("""COMPUTED_VALUE"""),0.1093)</f>
        <v>0.1093</v>
      </c>
      <c r="K3300" s="19">
        <f>IFERROR(__xludf.DUMMYFUNCTION("""COMPUTED_VALUE"""),0.1366)</f>
        <v>0.1366</v>
      </c>
      <c r="L3300" s="19">
        <f>IFERROR(__xludf.DUMMYFUNCTION("""COMPUTED_VALUE"""),0.164)</f>
        <v>0.164</v>
      </c>
      <c r="M3300" s="18">
        <f>IFERROR(__xludf.DUMMYFUNCTION("""COMPUTED_VALUE"""),3.24)</f>
        <v>3.24</v>
      </c>
    </row>
    <row r="3301">
      <c r="A3301" s="13" t="str">
        <f>IFERROR(__xludf.DUMMYFUNCTION("""COMPUTED_VALUE"""),"товари")</f>
        <v>товари</v>
      </c>
      <c r="B3301" s="16" t="str">
        <f>IFERROR(__xludf.DUMMYFUNCTION("""COMPUTED_VALUE"""),"промислове обладнання та верстати")</f>
        <v>промислове обладнання та верстати</v>
      </c>
      <c r="C3301" s="16" t="str">
        <f>IFERROR(__xludf.DUMMYFUNCTION("""COMPUTED_VALUE"""),"зварювальне та паяльне обладнання")</f>
        <v>зварювальне та паяльне обладнання</v>
      </c>
      <c r="D3301" s="16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301" s="16" t="str">
        <f>IFERROR(__xludf.DUMMYFUNCTION("""COMPUTED_VALUE"""),"флюси, припій")</f>
        <v>флюси, припій</v>
      </c>
      <c r="F3301" s="17">
        <f>IFERROR(__xludf.DUMMYFUNCTION("""COMPUTED_VALUE"""),4.0)</f>
        <v>4</v>
      </c>
      <c r="G3301" s="17" t="str">
        <f>IFERROR(__xludf.DUMMYFUNCTION("""COMPUTED_VALUE"""),"142703")</f>
        <v>142703</v>
      </c>
      <c r="H3301" s="17" t="str">
        <f>IFERROR(__xludf.DUMMYFUNCTION("""COMPUTED_VALUE"""),"флюси, припій")</f>
        <v>флюси, припій</v>
      </c>
      <c r="I3301" s="19">
        <f>IFERROR(__xludf.DUMMYFUNCTION("""COMPUTED_VALUE"""),0.0727)</f>
        <v>0.0727</v>
      </c>
      <c r="J3301" s="19">
        <f>IFERROR(__xludf.DUMMYFUNCTION("""COMPUTED_VALUE"""),0.1453)</f>
        <v>0.1453</v>
      </c>
      <c r="K3301" s="19">
        <f>IFERROR(__xludf.DUMMYFUNCTION("""COMPUTED_VALUE"""),0.1816)</f>
        <v>0.1816</v>
      </c>
      <c r="L3301" s="19">
        <f>IFERROR(__xludf.DUMMYFUNCTION("""COMPUTED_VALUE"""),0.218)</f>
        <v>0.218</v>
      </c>
      <c r="M3301" s="18">
        <f>IFERROR(__xludf.DUMMYFUNCTION("""COMPUTED_VALUE"""),1.53)</f>
        <v>1.53</v>
      </c>
    </row>
    <row r="3302">
      <c r="A3302" s="13" t="str">
        <f>IFERROR(__xludf.DUMMYFUNCTION("""COMPUTED_VALUE"""),"товари")</f>
        <v>товари</v>
      </c>
      <c r="B3302" s="16" t="str">
        <f>IFERROR(__xludf.DUMMYFUNCTION("""COMPUTED_VALUE"""),"промислове обладнання та верстати")</f>
        <v>промислове обладнання та верстати</v>
      </c>
      <c r="C3302" s="16" t="str">
        <f>IFERROR(__xludf.DUMMYFUNCTION("""COMPUTED_VALUE"""),"виробниче обладнання")</f>
        <v>виробниче обладнання</v>
      </c>
      <c r="D3302" s="16" t="str">
        <f>IFERROR(__xludf.DUMMYFUNCTION("""COMPUTED_VALUE"""),"форми для пресового та ливарного виробництва")</f>
        <v>форми для пресового та ливарного виробництва</v>
      </c>
      <c r="E3302" s="16" t="str">
        <f>IFERROR(__xludf.DUMMYFUNCTION("""COMPUTED_VALUE"""),"форми для пресового та ливарного виробництва")</f>
        <v>форми для пресового та ливарного виробництва</v>
      </c>
      <c r="F3302" s="17">
        <f>IFERROR(__xludf.DUMMYFUNCTION("""COMPUTED_VALUE"""),3.0)</f>
        <v>3</v>
      </c>
      <c r="G3302" s="17" t="str">
        <f>IFERROR(__xludf.DUMMYFUNCTION("""COMPUTED_VALUE"""),"431409")</f>
        <v>431409</v>
      </c>
      <c r="H3302" s="17" t="str">
        <f>IFERROR(__xludf.DUMMYFUNCTION("""COMPUTED_VALUE"""),"форми для пресового та ливарного виробництва")</f>
        <v>форми для пресового та ливарного виробництва</v>
      </c>
      <c r="I3302" s="19">
        <f>IFERROR(__xludf.DUMMYFUNCTION("""COMPUTED_VALUE"""),0.0778)</f>
        <v>0.0778</v>
      </c>
      <c r="J3302" s="19">
        <f>IFERROR(__xludf.DUMMYFUNCTION("""COMPUTED_VALUE"""),0.1556)</f>
        <v>0.1556</v>
      </c>
      <c r="K3302" s="19">
        <f>IFERROR(__xludf.DUMMYFUNCTION("""COMPUTED_VALUE"""),0.1945)</f>
        <v>0.1945</v>
      </c>
      <c r="L3302" s="19">
        <f>IFERROR(__xludf.DUMMYFUNCTION("""COMPUTED_VALUE"""),0.2334)</f>
        <v>0.2334</v>
      </c>
      <c r="M3302" s="18">
        <f>IFERROR(__xludf.DUMMYFUNCTION("""COMPUTED_VALUE"""),3.69)</f>
        <v>3.69</v>
      </c>
    </row>
    <row r="3303">
      <c r="A3303" s="13" t="str">
        <f>IFERROR(__xludf.DUMMYFUNCTION("""COMPUTED_VALUE"""),"товари")</f>
        <v>товари</v>
      </c>
      <c r="B3303" s="16" t="str">
        <f>IFERROR(__xludf.DUMMYFUNCTION("""COMPUTED_VALUE"""),"промислове обладнання та верстати")</f>
        <v>промислове обладнання та верстати</v>
      </c>
      <c r="C3303" s="16" t="str">
        <f>IFERROR(__xludf.DUMMYFUNCTION("""COMPUTED_VALUE"""),"верстати")</f>
        <v>верстати</v>
      </c>
      <c r="D3303" s="16" t="str">
        <f>IFERROR(__xludf.DUMMYFUNCTION("""COMPUTED_VALUE"""),"фрезерні та фрезерно-гравіювальні верстати")</f>
        <v>фрезерні та фрезерно-гравіювальні верстати</v>
      </c>
      <c r="E3303" s="16" t="str">
        <f>IFERROR(__xludf.DUMMYFUNCTION("""COMPUTED_VALUE"""),"фрезерні та фрезерно-гравіювальні верстати")</f>
        <v>фрезерні та фрезерно-гравіювальні верстати</v>
      </c>
      <c r="F3303" s="17">
        <f>IFERROR(__xludf.DUMMYFUNCTION("""COMPUTED_VALUE"""),3.0)</f>
        <v>3</v>
      </c>
      <c r="G3303" s="17">
        <f>IFERROR(__xludf.DUMMYFUNCTION("""COMPUTED_VALUE"""),142605.0)</f>
        <v>142605</v>
      </c>
      <c r="H3303" s="17" t="str">
        <f>IFERROR(__xludf.DUMMYFUNCTION("""COMPUTED_VALUE"""),"фрезерні та фрезерно-гравіювальні верстати")</f>
        <v>фрезерні та фрезерно-гравіювальні верстати</v>
      </c>
      <c r="I3303" s="19">
        <f>IFERROR(__xludf.DUMMYFUNCTION("""COMPUTED_VALUE"""),0.0474)</f>
        <v>0.0474</v>
      </c>
      <c r="J3303" s="19">
        <f>IFERROR(__xludf.DUMMYFUNCTION("""COMPUTED_VALUE"""),0.0948)</f>
        <v>0.0948</v>
      </c>
      <c r="K3303" s="19">
        <f>IFERROR(__xludf.DUMMYFUNCTION("""COMPUTED_VALUE"""),0.1185)</f>
        <v>0.1185</v>
      </c>
      <c r="L3303" s="19">
        <f>IFERROR(__xludf.DUMMYFUNCTION("""COMPUTED_VALUE"""),0.1422)</f>
        <v>0.1422</v>
      </c>
      <c r="M3303" s="18">
        <f>IFERROR(__xludf.DUMMYFUNCTION("""COMPUTED_VALUE"""),1.53)</f>
        <v>1.53</v>
      </c>
    </row>
    <row r="3304">
      <c r="A3304" s="13" t="str">
        <f>IFERROR(__xludf.DUMMYFUNCTION("""COMPUTED_VALUE"""),"товари")</f>
        <v>товари</v>
      </c>
      <c r="B3304" s="16" t="str">
        <f>IFERROR(__xludf.DUMMYFUNCTION("""COMPUTED_VALUE"""),"промислове обладнання та верстати")</f>
        <v>промислове обладнання та верстати</v>
      </c>
      <c r="C3304" s="16" t="str">
        <f>IFERROR(__xludf.DUMMYFUNCTION("""COMPUTED_VALUE"""),"енергообладнання")</f>
        <v>енергообладнання</v>
      </c>
      <c r="D3304" s="16" t="str">
        <f>IFERROR(__xludf.DUMMYFUNCTION("""COMPUTED_VALUE"""),"холодильне промислове обладнання")</f>
        <v>холодильне промислове обладнання</v>
      </c>
      <c r="E3304" s="16" t="str">
        <f>IFERROR(__xludf.DUMMYFUNCTION("""COMPUTED_VALUE"""),"холодильний інструмент")</f>
        <v>холодильний інструмент</v>
      </c>
      <c r="F3304" s="17">
        <f>IFERROR(__xludf.DUMMYFUNCTION("""COMPUTED_VALUE"""),4.0)</f>
        <v>4</v>
      </c>
      <c r="G3304" s="17" t="str">
        <f>IFERROR(__xludf.DUMMYFUNCTION("""COMPUTED_VALUE"""),"61607")</f>
        <v>61607</v>
      </c>
      <c r="H3304" s="17" t="str">
        <f>IFERROR(__xludf.DUMMYFUNCTION("""COMPUTED_VALUE"""),"холодильний інструмент")</f>
        <v>холодильний інструмент</v>
      </c>
      <c r="I3304" s="19">
        <f>IFERROR(__xludf.DUMMYFUNCTION("""COMPUTED_VALUE"""),0.0667)</f>
        <v>0.0667</v>
      </c>
      <c r="J3304" s="19">
        <f>IFERROR(__xludf.DUMMYFUNCTION("""COMPUTED_VALUE"""),0.1333)</f>
        <v>0.1333</v>
      </c>
      <c r="K3304" s="19">
        <f>IFERROR(__xludf.DUMMYFUNCTION("""COMPUTED_VALUE"""),0.1666)</f>
        <v>0.1666</v>
      </c>
      <c r="L3304" s="19">
        <f>IFERROR(__xludf.DUMMYFUNCTION("""COMPUTED_VALUE"""),0.2)</f>
        <v>0.2</v>
      </c>
      <c r="M3304" s="18">
        <f>IFERROR(__xludf.DUMMYFUNCTION("""COMPUTED_VALUE"""),2.79)</f>
        <v>2.79</v>
      </c>
    </row>
    <row r="3305">
      <c r="A3305" s="13" t="str">
        <f>IFERROR(__xludf.DUMMYFUNCTION("""COMPUTED_VALUE"""),"товари")</f>
        <v>товари</v>
      </c>
      <c r="B3305" s="16" t="str">
        <f>IFERROR(__xludf.DUMMYFUNCTION("""COMPUTED_VALUE"""),"промислове обладнання та верстати")</f>
        <v>промислове обладнання та верстати</v>
      </c>
      <c r="C3305" s="16" t="str">
        <f>IFERROR(__xludf.DUMMYFUNCTION("""COMPUTED_VALUE"""),"компресори")</f>
        <v>компресори</v>
      </c>
      <c r="D3305" s="16" t="str">
        <f>IFERROR(__xludf.DUMMYFUNCTION("""COMPUTED_VALUE"""),"холодильні компресори")</f>
        <v>холодильні компресори</v>
      </c>
      <c r="E3305" s="16" t="str">
        <f>IFERROR(__xludf.DUMMYFUNCTION("""COMPUTED_VALUE"""),"холодильні компресори")</f>
        <v>холодильні компресори</v>
      </c>
      <c r="F3305" s="17">
        <f>IFERROR(__xludf.DUMMYFUNCTION("""COMPUTED_VALUE"""),3.0)</f>
        <v>3</v>
      </c>
      <c r="G3305" s="17" t="str">
        <f>IFERROR(__xludf.DUMMYFUNCTION("""COMPUTED_VALUE"""),"141001")</f>
        <v>141001</v>
      </c>
      <c r="H3305" s="17" t="str">
        <f>IFERROR(__xludf.DUMMYFUNCTION("""COMPUTED_VALUE"""),"холодильні компресори")</f>
        <v>холодильні компресори</v>
      </c>
      <c r="I3305" s="19">
        <f>IFERROR(__xludf.DUMMYFUNCTION("""COMPUTED_VALUE"""),0.0494)</f>
        <v>0.0494</v>
      </c>
      <c r="J3305" s="19">
        <f>IFERROR(__xludf.DUMMYFUNCTION("""COMPUTED_VALUE"""),0.0988)</f>
        <v>0.0988</v>
      </c>
      <c r="K3305" s="19">
        <f>IFERROR(__xludf.DUMMYFUNCTION("""COMPUTED_VALUE"""),0.1235)</f>
        <v>0.1235</v>
      </c>
      <c r="L3305" s="19">
        <f>IFERROR(__xludf.DUMMYFUNCTION("""COMPUTED_VALUE"""),0.1482)</f>
        <v>0.1482</v>
      </c>
      <c r="M3305" s="18">
        <f>IFERROR(__xludf.DUMMYFUNCTION("""COMPUTED_VALUE"""),1.53)</f>
        <v>1.53</v>
      </c>
    </row>
    <row r="3306">
      <c r="A3306" s="13" t="str">
        <f>IFERROR(__xludf.DUMMYFUNCTION("""COMPUTED_VALUE"""),"товари")</f>
        <v>товари</v>
      </c>
      <c r="B3306" s="16" t="str">
        <f>IFERROR(__xludf.DUMMYFUNCTION("""COMPUTED_VALUE"""),"промислове обладнання та верстати")</f>
        <v>промислове обладнання та верстати</v>
      </c>
      <c r="C3306" s="16" t="str">
        <f>IFERROR(__xludf.DUMMYFUNCTION("""COMPUTED_VALUE"""),"верстати")</f>
        <v>верстати</v>
      </c>
      <c r="D3306" s="16" t="str">
        <f>IFERROR(__xludf.DUMMYFUNCTION("""COMPUTED_VALUE"""),"деревообробні верстати")</f>
        <v>деревообробні верстати</v>
      </c>
      <c r="E3306" s="16" t="str">
        <f>IFERROR(__xludf.DUMMYFUNCTION("""COMPUTED_VALUE"""),"циркулярні настільні пилки")</f>
        <v>циркулярні настільні пилки</v>
      </c>
      <c r="F3306" s="17">
        <f>IFERROR(__xludf.DUMMYFUNCTION("""COMPUTED_VALUE"""),4.0)</f>
        <v>4</v>
      </c>
      <c r="G3306" s="17" t="str">
        <f>IFERROR(__xludf.DUMMYFUNCTION("""COMPUTED_VALUE"""),"143110")</f>
        <v>143110</v>
      </c>
      <c r="H3306" s="17" t="str">
        <f>IFERROR(__xludf.DUMMYFUNCTION("""COMPUTED_VALUE"""),"циркулярні настільні пилки")</f>
        <v>циркулярні настільні пилки</v>
      </c>
      <c r="I3306" s="19">
        <f>IFERROR(__xludf.DUMMYFUNCTION("""COMPUTED_VALUE"""),0.0469)</f>
        <v>0.0469</v>
      </c>
      <c r="J3306" s="19">
        <f>IFERROR(__xludf.DUMMYFUNCTION("""COMPUTED_VALUE"""),0.0938)</f>
        <v>0.0938</v>
      </c>
      <c r="K3306" s="19">
        <f>IFERROR(__xludf.DUMMYFUNCTION("""COMPUTED_VALUE"""),0.1173)</f>
        <v>0.1173</v>
      </c>
      <c r="L3306" s="19">
        <f>IFERROR(__xludf.DUMMYFUNCTION("""COMPUTED_VALUE"""),0.1407)</f>
        <v>0.1407</v>
      </c>
      <c r="M3306" s="18">
        <f>IFERROR(__xludf.DUMMYFUNCTION("""COMPUTED_VALUE"""),2.53)</f>
        <v>2.53</v>
      </c>
    </row>
    <row r="3307">
      <c r="A3307" s="13" t="str">
        <f>IFERROR(__xludf.DUMMYFUNCTION("""COMPUTED_VALUE"""),"товари")</f>
        <v>товари</v>
      </c>
      <c r="B3307" s="16" t="str">
        <f>IFERROR(__xludf.DUMMYFUNCTION("""COMPUTED_VALUE"""),"промислове обладнання та верстати")</f>
        <v>промислове обладнання та верстати</v>
      </c>
      <c r="C3307" s="16" t="str">
        <f>IFERROR(__xludf.DUMMYFUNCTION("""COMPUTED_VALUE"""),"верстати")</f>
        <v>верстати</v>
      </c>
      <c r="D3307" s="16" t="str">
        <f>IFERROR(__xludf.DUMMYFUNCTION("""COMPUTED_VALUE"""),"деревообробні верстати")</f>
        <v>деревообробні верстати</v>
      </c>
      <c r="E3307" s="16" t="str">
        <f>IFERROR(__xludf.DUMMYFUNCTION("""COMPUTED_VALUE"""),"шліфувальні верстати по дереву")</f>
        <v>шліфувальні верстати по дереву</v>
      </c>
      <c r="F3307" s="17">
        <f>IFERROR(__xludf.DUMMYFUNCTION("""COMPUTED_VALUE"""),4.0)</f>
        <v>4</v>
      </c>
      <c r="G3307" s="17" t="str">
        <f>IFERROR(__xludf.DUMMYFUNCTION("""COMPUTED_VALUE"""),"370908")</f>
        <v>370908</v>
      </c>
      <c r="H3307" s="17" t="str">
        <f>IFERROR(__xludf.DUMMYFUNCTION("""COMPUTED_VALUE"""),"шліфувальні верстати по дереву")</f>
        <v>шліфувальні верстати по дереву</v>
      </c>
      <c r="I3307" s="19">
        <f>IFERROR(__xludf.DUMMYFUNCTION("""COMPUTED_VALUE"""),0.0479)</f>
        <v>0.0479</v>
      </c>
      <c r="J3307" s="19">
        <f>IFERROR(__xludf.DUMMYFUNCTION("""COMPUTED_VALUE"""),0.0957)</f>
        <v>0.0957</v>
      </c>
      <c r="K3307" s="19">
        <f>IFERROR(__xludf.DUMMYFUNCTION("""COMPUTED_VALUE"""),0.1196)</f>
        <v>0.1196</v>
      </c>
      <c r="L3307" s="19">
        <f>IFERROR(__xludf.DUMMYFUNCTION("""COMPUTED_VALUE"""),0.1436)</f>
        <v>0.1436</v>
      </c>
      <c r="M3307" s="18">
        <f>IFERROR(__xludf.DUMMYFUNCTION("""COMPUTED_VALUE"""),2.53)</f>
        <v>2.53</v>
      </c>
    </row>
    <row r="3308">
      <c r="A3308" s="13" t="str">
        <f>IFERROR(__xludf.DUMMYFUNCTION("""COMPUTED_VALUE"""),"товари")</f>
        <v>товари</v>
      </c>
      <c r="B3308" s="16" t="str">
        <f>IFERROR(__xludf.DUMMYFUNCTION("""COMPUTED_VALUE"""),"сировина та матеріали")</f>
        <v>сировина та матеріали</v>
      </c>
      <c r="C3308" s="16" t="str">
        <f>IFERROR(__xludf.DUMMYFUNCTION("""COMPUTED_VALUE"""),"абразивні матеріали")</f>
        <v>абразивні матеріали</v>
      </c>
      <c r="D3308" s="16" t="str">
        <f>IFERROR(__xludf.DUMMYFUNCTION("""COMPUTED_VALUE"""),"абразивні матеріали")</f>
        <v>абразивні матеріали</v>
      </c>
      <c r="E3308" s="16" t="str">
        <f>IFERROR(__xludf.DUMMYFUNCTION("""COMPUTED_VALUE"""),"абразивні матеріали")</f>
        <v>абразивні матеріали</v>
      </c>
      <c r="F3308" s="17">
        <f>IFERROR(__xludf.DUMMYFUNCTION("""COMPUTED_VALUE"""),2.0)</f>
        <v>2</v>
      </c>
      <c r="G3308" s="17" t="str">
        <f>IFERROR(__xludf.DUMMYFUNCTION("""COMPUTED_VALUE"""),"1428")</f>
        <v>1428</v>
      </c>
      <c r="H3308" s="17" t="str">
        <f>IFERROR(__xludf.DUMMYFUNCTION("""COMPUTED_VALUE"""),"абразивні матеріали")</f>
        <v>абразивні матеріали</v>
      </c>
      <c r="I3308" s="19">
        <f>IFERROR(__xludf.DUMMYFUNCTION("""COMPUTED_VALUE"""),0.033)</f>
        <v>0.033</v>
      </c>
      <c r="J3308" s="19">
        <f>IFERROR(__xludf.DUMMYFUNCTION("""COMPUTED_VALUE"""),0.066)</f>
        <v>0.066</v>
      </c>
      <c r="K3308" s="19">
        <f>IFERROR(__xludf.DUMMYFUNCTION("""COMPUTED_VALUE"""),0.0825)</f>
        <v>0.0825</v>
      </c>
      <c r="L3308" s="19">
        <f>IFERROR(__xludf.DUMMYFUNCTION("""COMPUTED_VALUE"""),0.099)</f>
        <v>0.099</v>
      </c>
      <c r="M3308" s="18">
        <f>IFERROR(__xludf.DUMMYFUNCTION("""COMPUTED_VALUE"""),1.05)</f>
        <v>1.05</v>
      </c>
    </row>
    <row r="3309">
      <c r="A3309" s="13" t="str">
        <f>IFERROR(__xludf.DUMMYFUNCTION("""COMPUTED_VALUE"""),"товари")</f>
        <v>товари</v>
      </c>
      <c r="B3309" s="16" t="str">
        <f>IFERROR(__xludf.DUMMYFUNCTION("""COMPUTED_VALUE"""),"сировина та матеріали")</f>
        <v>сировина та матеріали</v>
      </c>
      <c r="C3309" s="16" t="str">
        <f>IFERROR(__xludf.DUMMYFUNCTION("""COMPUTED_VALUE"""),"паливно-енергетична сировина")</f>
        <v>паливно-енергетична сировина</v>
      </c>
      <c r="D3309" s="16" t="str">
        <f>IFERROR(__xludf.DUMMYFUNCTION("""COMPUTED_VALUE"""),"рідке паливо")</f>
        <v>рідке паливо</v>
      </c>
      <c r="E3309" s="16" t="str">
        <f>IFERROR(__xludf.DUMMYFUNCTION("""COMPUTED_VALUE"""),"бензинове паливо")</f>
        <v>бензинове паливо</v>
      </c>
      <c r="F3309" s="17">
        <f>IFERROR(__xludf.DUMMYFUNCTION("""COMPUTED_VALUE"""),4.0)</f>
        <v>4</v>
      </c>
      <c r="G3309" s="17" t="str">
        <f>IFERROR(__xludf.DUMMYFUNCTION("""COMPUTED_VALUE"""),"10010302")</f>
        <v>10010302</v>
      </c>
      <c r="H3309" s="17" t="str">
        <f>IFERROR(__xludf.DUMMYFUNCTION("""COMPUTED_VALUE"""),"бензинове паливо")</f>
        <v>бензинове паливо</v>
      </c>
      <c r="I3309" s="19">
        <f>IFERROR(__xludf.DUMMYFUNCTION("""COMPUTED_VALUE"""),0.0455)</f>
        <v>0.0455</v>
      </c>
      <c r="J3309" s="19">
        <f>IFERROR(__xludf.DUMMYFUNCTION("""COMPUTED_VALUE"""),0.0909)</f>
        <v>0.0909</v>
      </c>
      <c r="K3309" s="19">
        <f>IFERROR(__xludf.DUMMYFUNCTION("""COMPUTED_VALUE"""),0.1136)</f>
        <v>0.1136</v>
      </c>
      <c r="L3309" s="19">
        <f>IFERROR(__xludf.DUMMYFUNCTION("""COMPUTED_VALUE"""),0.1364)</f>
        <v>0.1364</v>
      </c>
      <c r="M3309" s="18">
        <f>IFERROR(__xludf.DUMMYFUNCTION("""COMPUTED_VALUE"""),1.71)</f>
        <v>1.71</v>
      </c>
    </row>
    <row r="3310">
      <c r="A3310" s="13" t="str">
        <f>IFERROR(__xludf.DUMMYFUNCTION("""COMPUTED_VALUE"""),"товари")</f>
        <v>товари</v>
      </c>
      <c r="B3310" s="16" t="str">
        <f>IFERROR(__xludf.DUMMYFUNCTION("""COMPUTED_VALUE"""),"сировина та матеріали")</f>
        <v>сировина та матеріали</v>
      </c>
      <c r="C3310" s="16" t="str">
        <f>IFERROR(__xludf.DUMMYFUNCTION("""COMPUTED_VALUE"""),"паливно-енергетична сировина")</f>
        <v>паливно-енергетична сировина</v>
      </c>
      <c r="D3310" s="16" t="str">
        <f>IFERROR(__xludf.DUMMYFUNCTION("""COMPUTED_VALUE"""),"нафта та нафтопродукти")</f>
        <v>нафта та нафтопродукти</v>
      </c>
      <c r="E3310" s="16" t="str">
        <f>IFERROR(__xludf.DUMMYFUNCTION("""COMPUTED_VALUE"""),"вазелін")</f>
        <v>вазелін</v>
      </c>
      <c r="F3310" s="17">
        <f>IFERROR(__xludf.DUMMYFUNCTION("""COMPUTED_VALUE"""),4.0)</f>
        <v>4</v>
      </c>
      <c r="G3310" s="17" t="str">
        <f>IFERROR(__xludf.DUMMYFUNCTION("""COMPUTED_VALUE"""),"100106")</f>
        <v>100106</v>
      </c>
      <c r="H3310" s="17" t="str">
        <f>IFERROR(__xludf.DUMMYFUNCTION("""COMPUTED_VALUE"""),"вазелін")</f>
        <v>вазелін</v>
      </c>
      <c r="I3310" s="19">
        <f>IFERROR(__xludf.DUMMYFUNCTION("""COMPUTED_VALUE"""),0.0693)</f>
        <v>0.0693</v>
      </c>
      <c r="J3310" s="19">
        <f>IFERROR(__xludf.DUMMYFUNCTION("""COMPUTED_VALUE"""),0.1385)</f>
        <v>0.1385</v>
      </c>
      <c r="K3310" s="19">
        <f>IFERROR(__xludf.DUMMYFUNCTION("""COMPUTED_VALUE"""),0.1731)</f>
        <v>0.1731</v>
      </c>
      <c r="L3310" s="19">
        <f>IFERROR(__xludf.DUMMYFUNCTION("""COMPUTED_VALUE"""),0.2078)</f>
        <v>0.2078</v>
      </c>
      <c r="M3310" s="18">
        <f>IFERROR(__xludf.DUMMYFUNCTION("""COMPUTED_VALUE"""),1.98)</f>
        <v>1.98</v>
      </c>
    </row>
    <row r="3311">
      <c r="A3311" s="13" t="str">
        <f>IFERROR(__xludf.DUMMYFUNCTION("""COMPUTED_VALUE"""),"товари")</f>
        <v>товари</v>
      </c>
      <c r="B3311" s="16" t="str">
        <f>IFERROR(__xludf.DUMMYFUNCTION("""COMPUTED_VALUE"""),"сировина та матеріали")</f>
        <v>сировина та матеріали</v>
      </c>
      <c r="C3311" s="16" t="str">
        <f>IFERROR(__xludf.DUMMYFUNCTION("""COMPUTED_VALUE"""),"паливно-енергетична сировина")</f>
        <v>паливно-енергетична сировина</v>
      </c>
      <c r="D3311" s="16" t="str">
        <f>IFERROR(__xludf.DUMMYFUNCTION("""COMPUTED_VALUE"""),"газоподібне паливо")</f>
        <v>газоподібне паливо</v>
      </c>
      <c r="E3311" s="16" t="str">
        <f>IFERROR(__xludf.DUMMYFUNCTION("""COMPUTED_VALUE"""),"газоподібне паливо")</f>
        <v>газоподібне паливо</v>
      </c>
      <c r="F3311" s="17">
        <f>IFERROR(__xludf.DUMMYFUNCTION("""COMPUTED_VALUE"""),3.0)</f>
        <v>3</v>
      </c>
      <c r="G3311" s="17" t="str">
        <f>IFERROR(__xludf.DUMMYFUNCTION("""COMPUTED_VALUE"""),"1003")</f>
        <v>1003</v>
      </c>
      <c r="H3311" s="17" t="str">
        <f>IFERROR(__xludf.DUMMYFUNCTION("""COMPUTED_VALUE"""),"газоподібне паливо")</f>
        <v>газоподібне паливо</v>
      </c>
      <c r="I3311" s="19">
        <f>IFERROR(__xludf.DUMMYFUNCTION("""COMPUTED_VALUE"""),0.0516)</f>
        <v>0.0516</v>
      </c>
      <c r="J3311" s="19">
        <f>IFERROR(__xludf.DUMMYFUNCTION("""COMPUTED_VALUE"""),0.1032)</f>
        <v>0.1032</v>
      </c>
      <c r="K3311" s="19">
        <f>IFERROR(__xludf.DUMMYFUNCTION("""COMPUTED_VALUE"""),0.129)</f>
        <v>0.129</v>
      </c>
      <c r="L3311" s="19">
        <f>IFERROR(__xludf.DUMMYFUNCTION("""COMPUTED_VALUE"""),0.1548)</f>
        <v>0.1548</v>
      </c>
      <c r="M3311" s="18">
        <f>IFERROR(__xludf.DUMMYFUNCTION("""COMPUTED_VALUE"""),1.05)</f>
        <v>1.05</v>
      </c>
    </row>
    <row r="3312">
      <c r="A3312" s="13" t="str">
        <f>IFERROR(__xludf.DUMMYFUNCTION("""COMPUTED_VALUE"""),"товари")</f>
        <v>товари</v>
      </c>
      <c r="B3312" s="16" t="str">
        <f>IFERROR(__xludf.DUMMYFUNCTION("""COMPUTED_VALUE"""),"сировина та матеріали")</f>
        <v>сировина та матеріали</v>
      </c>
      <c r="C3312" s="16" t="str">
        <f>IFERROR(__xludf.DUMMYFUNCTION("""COMPUTED_VALUE"""),"паливно-енергетична сировина")</f>
        <v>паливно-енергетична сировина</v>
      </c>
      <c r="D3312" s="16" t="str">
        <f>IFERROR(__xludf.DUMMYFUNCTION("""COMPUTED_VALUE"""),"рідке паливо")</f>
        <v>рідке паливо</v>
      </c>
      <c r="E3312" s="16" t="str">
        <f>IFERROR(__xludf.DUMMYFUNCTION("""COMPUTED_VALUE"""),"гас")</f>
        <v>гас</v>
      </c>
      <c r="F3312" s="17">
        <f>IFERROR(__xludf.DUMMYFUNCTION("""COMPUTED_VALUE"""),4.0)</f>
        <v>4</v>
      </c>
      <c r="G3312" s="17" t="str">
        <f>IFERROR(__xludf.DUMMYFUNCTION("""COMPUTED_VALUE"""),"10010305")</f>
        <v>10010305</v>
      </c>
      <c r="H3312" s="17" t="str">
        <f>IFERROR(__xludf.DUMMYFUNCTION("""COMPUTED_VALUE"""),"гас")</f>
        <v>гас</v>
      </c>
      <c r="I3312" s="19">
        <f>IFERROR(__xludf.DUMMYFUNCTION("""COMPUTED_VALUE"""),0.0455)</f>
        <v>0.0455</v>
      </c>
      <c r="J3312" s="19">
        <f>IFERROR(__xludf.DUMMYFUNCTION("""COMPUTED_VALUE"""),0.0909)</f>
        <v>0.0909</v>
      </c>
      <c r="K3312" s="19">
        <f>IFERROR(__xludf.DUMMYFUNCTION("""COMPUTED_VALUE"""),0.1136)</f>
        <v>0.1136</v>
      </c>
      <c r="L3312" s="19">
        <f>IFERROR(__xludf.DUMMYFUNCTION("""COMPUTED_VALUE"""),0.1364)</f>
        <v>0.1364</v>
      </c>
      <c r="M3312" s="18">
        <f>IFERROR(__xludf.DUMMYFUNCTION("""COMPUTED_VALUE"""),1.71)</f>
        <v>1.71</v>
      </c>
    </row>
    <row r="3313">
      <c r="A3313" s="13" t="str">
        <f>IFERROR(__xludf.DUMMYFUNCTION("""COMPUTED_VALUE"""),"товари")</f>
        <v>товари</v>
      </c>
      <c r="B3313" s="16" t="str">
        <f>IFERROR(__xludf.DUMMYFUNCTION("""COMPUTED_VALUE"""),"сировина та матеріали")</f>
        <v>сировина та матеріали</v>
      </c>
      <c r="C3313" s="16" t="str">
        <f>IFERROR(__xludf.DUMMYFUNCTION("""COMPUTED_VALUE"""),"паливно-енергетична сировина")</f>
        <v>паливно-енергетична сировина</v>
      </c>
      <c r="D3313" s="16" t="str">
        <f>IFERROR(__xludf.DUMMYFUNCTION("""COMPUTED_VALUE"""),"тверде паливо")</f>
        <v>тверде паливо</v>
      </c>
      <c r="E3313" s="16" t="str">
        <f>IFERROR(__xludf.DUMMYFUNCTION("""COMPUTED_VALUE"""),"деревне вугілля")</f>
        <v>деревне вугілля</v>
      </c>
      <c r="F3313" s="17">
        <f>IFERROR(__xludf.DUMMYFUNCTION("""COMPUTED_VALUE"""),4.0)</f>
        <v>4</v>
      </c>
      <c r="G3313" s="17" t="str">
        <f>IFERROR(__xludf.DUMMYFUNCTION("""COMPUTED_VALUE"""),"122")</f>
        <v>122</v>
      </c>
      <c r="H3313" s="17" t="str">
        <f>IFERROR(__xludf.DUMMYFUNCTION("""COMPUTED_VALUE"""),"деревне вугілля")</f>
        <v>деревне вугілля</v>
      </c>
      <c r="I3313" s="19">
        <f>IFERROR(__xludf.DUMMYFUNCTION("""COMPUTED_VALUE"""),0.0524)</f>
        <v>0.0524</v>
      </c>
      <c r="J3313" s="19">
        <f>IFERROR(__xludf.DUMMYFUNCTION("""COMPUTED_VALUE"""),0.1047)</f>
        <v>0.1047</v>
      </c>
      <c r="K3313" s="19">
        <f>IFERROR(__xludf.DUMMYFUNCTION("""COMPUTED_VALUE"""),0.1309)</f>
        <v>0.1309</v>
      </c>
      <c r="L3313" s="19">
        <f>IFERROR(__xludf.DUMMYFUNCTION("""COMPUTED_VALUE"""),0.1571)</f>
        <v>0.1571</v>
      </c>
      <c r="M3313" s="18">
        <f>IFERROR(__xludf.DUMMYFUNCTION("""COMPUTED_VALUE"""),5.4)</f>
        <v>5.4</v>
      </c>
    </row>
    <row r="3314">
      <c r="A3314" s="13" t="str">
        <f>IFERROR(__xludf.DUMMYFUNCTION("""COMPUTED_VALUE"""),"товари")</f>
        <v>товари</v>
      </c>
      <c r="B3314" s="16" t="str">
        <f>IFERROR(__xludf.DUMMYFUNCTION("""COMPUTED_VALUE"""),"сировина та матеріали")</f>
        <v>сировина та матеріали</v>
      </c>
      <c r="C3314" s="16" t="str">
        <f>IFERROR(__xludf.DUMMYFUNCTION("""COMPUTED_VALUE"""),"сировина для легкої промисловості")</f>
        <v>сировина для легкої промисловості</v>
      </c>
      <c r="D3314" s="16" t="str">
        <f>IFERROR(__xludf.DUMMYFUNCTION("""COMPUTED_VALUE"""),"тканини")</f>
        <v>тканини</v>
      </c>
      <c r="E3314" s="16" t="str">
        <f>IFERROR(__xludf.DUMMYFUNCTION("""COMPUTED_VALUE"""),"інтер'єрні тканини")</f>
        <v>інтер'єрні тканини</v>
      </c>
      <c r="F3314" s="17">
        <f>IFERROR(__xludf.DUMMYFUNCTION("""COMPUTED_VALUE"""),4.0)</f>
        <v>4</v>
      </c>
      <c r="G3314" s="17" t="str">
        <f>IFERROR(__xludf.DUMMYFUNCTION("""COMPUTED_VALUE"""),"432")</f>
        <v>432</v>
      </c>
      <c r="H3314" s="17" t="str">
        <f>IFERROR(__xludf.DUMMYFUNCTION("""COMPUTED_VALUE"""),"інтер'єрні тканини")</f>
        <v>інтер'єрні тканини</v>
      </c>
      <c r="I3314" s="19">
        <f>IFERROR(__xludf.DUMMYFUNCTION("""COMPUTED_VALUE"""),0.0769)</f>
        <v>0.0769</v>
      </c>
      <c r="J3314" s="19">
        <f>IFERROR(__xludf.DUMMYFUNCTION("""COMPUTED_VALUE"""),0.1538)</f>
        <v>0.1538</v>
      </c>
      <c r="K3314" s="19">
        <f>IFERROR(__xludf.DUMMYFUNCTION("""COMPUTED_VALUE"""),0.1923)</f>
        <v>0.1923</v>
      </c>
      <c r="L3314" s="19">
        <f>IFERROR(__xludf.DUMMYFUNCTION("""COMPUTED_VALUE"""),0.2307)</f>
        <v>0.2307</v>
      </c>
      <c r="M3314" s="18">
        <f>IFERROR(__xludf.DUMMYFUNCTION("""COMPUTED_VALUE"""),1.53)</f>
        <v>1.53</v>
      </c>
    </row>
    <row r="3315">
      <c r="A3315" s="13" t="str">
        <f>IFERROR(__xludf.DUMMYFUNCTION("""COMPUTED_VALUE"""),"товари")</f>
        <v>товари</v>
      </c>
      <c r="B3315" s="16" t="str">
        <f>IFERROR(__xludf.DUMMYFUNCTION("""COMPUTED_VALUE"""),"сировина та матеріали")</f>
        <v>сировина та матеріали</v>
      </c>
      <c r="C3315" s="16" t="str">
        <f>IFERROR(__xludf.DUMMYFUNCTION("""COMPUTED_VALUE"""),"композиційні матеріали")</f>
        <v>композиційні матеріали</v>
      </c>
      <c r="D3315" s="16" t="str">
        <f>IFERROR(__xludf.DUMMYFUNCTION("""COMPUTED_VALUE"""),"композиційні матеріали")</f>
        <v>композиційні матеріали</v>
      </c>
      <c r="E3315" s="16" t="str">
        <f>IFERROR(__xludf.DUMMYFUNCTION("""COMPUTED_VALUE"""),"композиційні матеріали")</f>
        <v>композиційні матеріали</v>
      </c>
      <c r="F3315" s="17">
        <f>IFERROR(__xludf.DUMMYFUNCTION("""COMPUTED_VALUE"""),2.0)</f>
        <v>2</v>
      </c>
      <c r="G3315" s="17">
        <f>IFERROR(__xludf.DUMMYFUNCTION("""COMPUTED_VALUE"""),924.0)</f>
        <v>924</v>
      </c>
      <c r="H3315" s="17" t="str">
        <f>IFERROR(__xludf.DUMMYFUNCTION("""COMPUTED_VALUE"""),"композиційні матеріали")</f>
        <v>композиційні матеріали</v>
      </c>
      <c r="I3315" s="19">
        <f>IFERROR(__xludf.DUMMYFUNCTION("""COMPUTED_VALUE"""),0.06055)</f>
        <v>0.06055</v>
      </c>
      <c r="J3315" s="19">
        <f>IFERROR(__xludf.DUMMYFUNCTION("""COMPUTED_VALUE"""),0.1211)</f>
        <v>0.1211</v>
      </c>
      <c r="K3315" s="19">
        <f>IFERROR(__xludf.DUMMYFUNCTION("""COMPUTED_VALUE"""),0.1514)</f>
        <v>0.1514</v>
      </c>
      <c r="L3315" s="19">
        <f>IFERROR(__xludf.DUMMYFUNCTION("""COMPUTED_VALUE"""),0.1817)</f>
        <v>0.1817</v>
      </c>
      <c r="M3315" s="18">
        <f>IFERROR(__xludf.DUMMYFUNCTION("""COMPUTED_VALUE"""),1.53)</f>
        <v>1.53</v>
      </c>
    </row>
    <row r="3316">
      <c r="A3316" s="13" t="str">
        <f>IFERROR(__xludf.DUMMYFUNCTION("""COMPUTED_VALUE"""),"товари")</f>
        <v>товари</v>
      </c>
      <c r="B3316" s="16" t="str">
        <f>IFERROR(__xludf.DUMMYFUNCTION("""COMPUTED_VALUE"""),"сировина та матеріали")</f>
        <v>сировина та матеріали</v>
      </c>
      <c r="C3316" s="16" t="str">
        <f>IFERROR(__xludf.DUMMYFUNCTION("""COMPUTED_VALUE"""),"магніти та магнітні матеріали")</f>
        <v>магніти та магнітні матеріали</v>
      </c>
      <c r="D3316" s="16" t="str">
        <f>IFERROR(__xludf.DUMMYFUNCTION("""COMPUTED_VALUE"""),"магніти та магнітні матеріали")</f>
        <v>магніти та магнітні матеріали</v>
      </c>
      <c r="E3316" s="16" t="str">
        <f>IFERROR(__xludf.DUMMYFUNCTION("""COMPUTED_VALUE"""),"магніти та магнітні матеріали")</f>
        <v>магніти та магнітні матеріали</v>
      </c>
      <c r="F3316" s="17">
        <f>IFERROR(__xludf.DUMMYFUNCTION("""COMPUTED_VALUE"""),2.0)</f>
        <v>2</v>
      </c>
      <c r="G3316" s="17" t="str">
        <f>IFERROR(__xludf.DUMMYFUNCTION("""COMPUTED_VALUE"""),"911")</f>
        <v>911</v>
      </c>
      <c r="H3316" s="17" t="str">
        <f>IFERROR(__xludf.DUMMYFUNCTION("""COMPUTED_VALUE"""),"магніти та магнітні матеріали")</f>
        <v>магніти та магнітні матеріали</v>
      </c>
      <c r="I3316" s="19">
        <f>IFERROR(__xludf.DUMMYFUNCTION("""COMPUTED_VALUE"""),0.0881)</f>
        <v>0.0881</v>
      </c>
      <c r="J3316" s="19">
        <f>IFERROR(__xludf.DUMMYFUNCTION("""COMPUTED_VALUE"""),0.1761)</f>
        <v>0.1761</v>
      </c>
      <c r="K3316" s="19">
        <f>IFERROR(__xludf.DUMMYFUNCTION("""COMPUTED_VALUE"""),0.2201)</f>
        <v>0.2201</v>
      </c>
      <c r="L3316" s="19">
        <f>IFERROR(__xludf.DUMMYFUNCTION("""COMPUTED_VALUE"""),0.2642)</f>
        <v>0.2642</v>
      </c>
      <c r="M3316" s="18">
        <f>IFERROR(__xludf.DUMMYFUNCTION("""COMPUTED_VALUE"""),2.61)</f>
        <v>2.61</v>
      </c>
    </row>
    <row r="3317">
      <c r="A3317" s="13" t="str">
        <f>IFERROR(__xludf.DUMMYFUNCTION("""COMPUTED_VALUE"""),"товари")</f>
        <v>товари</v>
      </c>
      <c r="B3317" s="16" t="str">
        <f>IFERROR(__xludf.DUMMYFUNCTION("""COMPUTED_VALUE"""),"сировина та матеріали")</f>
        <v>сировина та матеріали</v>
      </c>
      <c r="C3317" s="16" t="str">
        <f>IFERROR(__xludf.DUMMYFUNCTION("""COMPUTED_VALUE"""),"паливно-енергетична сировина")</f>
        <v>паливно-енергетична сировина</v>
      </c>
      <c r="D3317" s="16" t="str">
        <f>IFERROR(__xludf.DUMMYFUNCTION("""COMPUTED_VALUE"""),"мастильні оливи")</f>
        <v>мастильні оливи</v>
      </c>
      <c r="E3317" s="16" t="str">
        <f>IFERROR(__xludf.DUMMYFUNCTION("""COMPUTED_VALUE"""),"мастильні оливи, загальне")</f>
        <v>мастильні оливи, загальне</v>
      </c>
      <c r="F3317" s="17">
        <f>IFERROR(__xludf.DUMMYFUNCTION("""COMPUTED_VALUE"""),4.0)</f>
        <v>4</v>
      </c>
      <c r="G3317" s="17" t="str">
        <f>IFERROR(__xludf.DUMMYFUNCTION("""COMPUTED_VALUE"""),"10010202")</f>
        <v>10010202</v>
      </c>
      <c r="H3317" s="17" t="str">
        <f>IFERROR(__xludf.DUMMYFUNCTION("""COMPUTED_VALUE"""),"мастильні оливи, загальне")</f>
        <v>мастильні оливи, загальне</v>
      </c>
      <c r="I3317" s="19">
        <f>IFERROR(__xludf.DUMMYFUNCTION("""COMPUTED_VALUE"""),0.125)</f>
        <v>0.125</v>
      </c>
      <c r="J3317" s="19">
        <f>IFERROR(__xludf.DUMMYFUNCTION("""COMPUTED_VALUE"""),0.25)</f>
        <v>0.25</v>
      </c>
      <c r="K3317" s="19">
        <f>IFERROR(__xludf.DUMMYFUNCTION("""COMPUTED_VALUE"""),0.3125)</f>
        <v>0.3125</v>
      </c>
      <c r="L3317" s="19">
        <f>IFERROR(__xludf.DUMMYFUNCTION("""COMPUTED_VALUE"""),0.375)</f>
        <v>0.375</v>
      </c>
      <c r="M3317" s="18">
        <f>IFERROR(__xludf.DUMMYFUNCTION("""COMPUTED_VALUE"""),4.33)</f>
        <v>4.33</v>
      </c>
    </row>
    <row r="3318">
      <c r="A3318" s="13" t="str">
        <f>IFERROR(__xludf.DUMMYFUNCTION("""COMPUTED_VALUE"""),"товари")</f>
        <v>товари</v>
      </c>
      <c r="B3318" s="16" t="str">
        <f>IFERROR(__xludf.DUMMYFUNCTION("""COMPUTED_VALUE"""),"сировина та матеріали")</f>
        <v>сировина та матеріали</v>
      </c>
      <c r="C3318" s="16" t="str">
        <f>IFERROR(__xludf.DUMMYFUNCTION("""COMPUTED_VALUE"""),"сировина для легкої промисловості")</f>
        <v>сировина для легкої промисловості</v>
      </c>
      <c r="D3318" s="16" t="str">
        <f>IFERROR(__xludf.DUMMYFUNCTION("""COMPUTED_VALUE"""),"неткані матеріали")</f>
        <v>неткані матеріали</v>
      </c>
      <c r="E3318" s="16" t="str">
        <f>IFERROR(__xludf.DUMMYFUNCTION("""COMPUTED_VALUE"""),"неткані матеріали")</f>
        <v>неткані матеріали</v>
      </c>
      <c r="F3318" s="17">
        <f>IFERROR(__xludf.DUMMYFUNCTION("""COMPUTED_VALUE"""),3.0)</f>
        <v>3</v>
      </c>
      <c r="G3318" s="17" t="str">
        <f>IFERROR(__xludf.DUMMYFUNCTION("""COMPUTED_VALUE"""),"425")</f>
        <v>425</v>
      </c>
      <c r="H3318" s="17" t="str">
        <f>IFERROR(__xludf.DUMMYFUNCTION("""COMPUTED_VALUE"""),"неткані матеріали")</f>
        <v>неткані матеріали</v>
      </c>
      <c r="I3318" s="19">
        <f>IFERROR(__xludf.DUMMYFUNCTION("""COMPUTED_VALUE"""),0.0539)</f>
        <v>0.0539</v>
      </c>
      <c r="J3318" s="19">
        <f>IFERROR(__xludf.DUMMYFUNCTION("""COMPUTED_VALUE"""),0.1078)</f>
        <v>0.1078</v>
      </c>
      <c r="K3318" s="19">
        <f>IFERROR(__xludf.DUMMYFUNCTION("""COMPUTED_VALUE"""),0.1348)</f>
        <v>0.1348</v>
      </c>
      <c r="L3318" s="19">
        <f>IFERROR(__xludf.DUMMYFUNCTION("""COMPUTED_VALUE"""),0.1617)</f>
        <v>0.1617</v>
      </c>
      <c r="M3318" s="18">
        <f>IFERROR(__xludf.DUMMYFUNCTION("""COMPUTED_VALUE"""),2.34)</f>
        <v>2.34</v>
      </c>
    </row>
    <row r="3319">
      <c r="A3319" s="13" t="str">
        <f>IFERROR(__xludf.DUMMYFUNCTION("""COMPUTED_VALUE"""),"товари")</f>
        <v>товари</v>
      </c>
      <c r="B3319" s="16" t="str">
        <f>IFERROR(__xludf.DUMMYFUNCTION("""COMPUTED_VALUE"""),"сировина та матеріали")</f>
        <v>сировина та матеріали</v>
      </c>
      <c r="C3319" s="16" t="str">
        <f>IFERROR(__xludf.DUMMYFUNCTION("""COMPUTED_VALUE"""),"паливно-енергетична сировина")</f>
        <v>паливно-енергетична сировина</v>
      </c>
      <c r="D3319" s="16" t="str">
        <f>IFERROR(__xludf.DUMMYFUNCTION("""COMPUTED_VALUE"""),"нафта та нафтопродукти")</f>
        <v>нафта та нафтопродукти</v>
      </c>
      <c r="E3319" s="16" t="str">
        <f>IFERROR(__xludf.DUMMYFUNCTION("""COMPUTED_VALUE"""),"парафін")</f>
        <v>парафін</v>
      </c>
      <c r="F3319" s="17">
        <f>IFERROR(__xludf.DUMMYFUNCTION("""COMPUTED_VALUE"""),4.0)</f>
        <v>4</v>
      </c>
      <c r="G3319" s="17" t="str">
        <f>IFERROR(__xludf.DUMMYFUNCTION("""COMPUTED_VALUE"""),"100104")</f>
        <v>100104</v>
      </c>
      <c r="H3319" s="17" t="str">
        <f>IFERROR(__xludf.DUMMYFUNCTION("""COMPUTED_VALUE"""),"парафін")</f>
        <v>парафін</v>
      </c>
      <c r="I3319" s="19">
        <f>IFERROR(__xludf.DUMMYFUNCTION("""COMPUTED_VALUE"""),0.0693)</f>
        <v>0.0693</v>
      </c>
      <c r="J3319" s="19">
        <f>IFERROR(__xludf.DUMMYFUNCTION("""COMPUTED_VALUE"""),0.1385)</f>
        <v>0.1385</v>
      </c>
      <c r="K3319" s="19">
        <f>IFERROR(__xludf.DUMMYFUNCTION("""COMPUTED_VALUE"""),0.1731)</f>
        <v>0.1731</v>
      </c>
      <c r="L3319" s="19">
        <f>IFERROR(__xludf.DUMMYFUNCTION("""COMPUTED_VALUE"""),0.2078)</f>
        <v>0.2078</v>
      </c>
      <c r="M3319" s="18">
        <f>IFERROR(__xludf.DUMMYFUNCTION("""COMPUTED_VALUE"""),1.98)</f>
        <v>1.98</v>
      </c>
    </row>
    <row r="3320">
      <c r="A3320" s="13" t="str">
        <f>IFERROR(__xludf.DUMMYFUNCTION("""COMPUTED_VALUE"""),"товари")</f>
        <v>товари</v>
      </c>
      <c r="B3320" s="16" t="str">
        <f>IFERROR(__xludf.DUMMYFUNCTION("""COMPUTED_VALUE"""),"сировина та матеріали")</f>
        <v>сировина та матеріали</v>
      </c>
      <c r="C3320" s="16" t="str">
        <f>IFERROR(__xludf.DUMMYFUNCTION("""COMPUTED_VALUE"""),"паливно-енергетична сировина")</f>
        <v>паливно-енергетична сировина</v>
      </c>
      <c r="D3320" s="16" t="str">
        <f>IFERROR(__xludf.DUMMYFUNCTION("""COMPUTED_VALUE"""),"мастильні оливи")</f>
        <v>мастильні оливи</v>
      </c>
      <c r="E3320" s="16" t="str">
        <f>IFERROR(__xludf.DUMMYFUNCTION("""COMPUTED_VALUE"""),"промислові мастила")</f>
        <v>промислові мастила</v>
      </c>
      <c r="F3320" s="17">
        <f>IFERROR(__xludf.DUMMYFUNCTION("""COMPUTED_VALUE"""),4.0)</f>
        <v>4</v>
      </c>
      <c r="G3320" s="17" t="str">
        <f>IFERROR(__xludf.DUMMYFUNCTION("""COMPUTED_VALUE"""),"10010211")</f>
        <v>10010211</v>
      </c>
      <c r="H3320" s="17" t="str">
        <f>IFERROR(__xludf.DUMMYFUNCTION("""COMPUTED_VALUE"""),"промислові мастила")</f>
        <v>промислові мастила</v>
      </c>
      <c r="I3320" s="19">
        <f>IFERROR(__xludf.DUMMYFUNCTION("""COMPUTED_VALUE"""),0.0766)</f>
        <v>0.0766</v>
      </c>
      <c r="J3320" s="19">
        <f>IFERROR(__xludf.DUMMYFUNCTION("""COMPUTED_VALUE"""),0.1531)</f>
        <v>0.1531</v>
      </c>
      <c r="K3320" s="19">
        <f>IFERROR(__xludf.DUMMYFUNCTION("""COMPUTED_VALUE"""),0.1914)</f>
        <v>0.1914</v>
      </c>
      <c r="L3320" s="19">
        <f>IFERROR(__xludf.DUMMYFUNCTION("""COMPUTED_VALUE"""),0.2297)</f>
        <v>0.2297</v>
      </c>
      <c r="M3320" s="18">
        <f>IFERROR(__xludf.DUMMYFUNCTION("""COMPUTED_VALUE"""),2.88)</f>
        <v>2.88</v>
      </c>
    </row>
    <row r="3321">
      <c r="A3321" s="13" t="str">
        <f>IFERROR(__xludf.DUMMYFUNCTION("""COMPUTED_VALUE"""),"товари")</f>
        <v>товари</v>
      </c>
      <c r="B3321" s="16" t="str">
        <f>IFERROR(__xludf.DUMMYFUNCTION("""COMPUTED_VALUE"""),"сировина та матеріали")</f>
        <v>сировина та матеріали</v>
      </c>
      <c r="C3321" s="16" t="str">
        <f>IFERROR(__xludf.DUMMYFUNCTION("""COMPUTED_VALUE"""),"паливно-енергетична сировина")</f>
        <v>паливно-енергетична сировина</v>
      </c>
      <c r="D3321" s="16" t="str">
        <f>IFERROR(__xludf.DUMMYFUNCTION("""COMPUTED_VALUE"""),"мастильні оливи")</f>
        <v>мастильні оливи</v>
      </c>
      <c r="E3321" s="16" t="str">
        <f>IFERROR(__xludf.DUMMYFUNCTION("""COMPUTED_VALUE"""),"промислові оливи")</f>
        <v>промислові оливи</v>
      </c>
      <c r="F3321" s="17">
        <f>IFERROR(__xludf.DUMMYFUNCTION("""COMPUTED_VALUE"""),4.0)</f>
        <v>4</v>
      </c>
      <c r="G3321" s="17" t="str">
        <f>IFERROR(__xludf.DUMMYFUNCTION("""COMPUTED_VALUE"""),"10010203")</f>
        <v>10010203</v>
      </c>
      <c r="H3321" s="17" t="str">
        <f>IFERROR(__xludf.DUMMYFUNCTION("""COMPUTED_VALUE"""),"промислові оливи")</f>
        <v>промислові оливи</v>
      </c>
      <c r="I3321" s="19">
        <f>IFERROR(__xludf.DUMMYFUNCTION("""COMPUTED_VALUE"""),0.0746)</f>
        <v>0.0746</v>
      </c>
      <c r="J3321" s="19">
        <f>IFERROR(__xludf.DUMMYFUNCTION("""COMPUTED_VALUE"""),0.1492)</f>
        <v>0.1492</v>
      </c>
      <c r="K3321" s="19">
        <f>IFERROR(__xludf.DUMMYFUNCTION("""COMPUTED_VALUE"""),0.1865)</f>
        <v>0.1865</v>
      </c>
      <c r="L3321" s="19">
        <f>IFERROR(__xludf.DUMMYFUNCTION("""COMPUTED_VALUE"""),0.2238)</f>
        <v>0.2238</v>
      </c>
      <c r="M3321" s="18">
        <f>IFERROR(__xludf.DUMMYFUNCTION("""COMPUTED_VALUE"""),2.88)</f>
        <v>2.88</v>
      </c>
    </row>
    <row r="3322">
      <c r="A3322" s="13" t="str">
        <f>IFERROR(__xludf.DUMMYFUNCTION("""COMPUTED_VALUE"""),"товари")</f>
        <v>товари</v>
      </c>
      <c r="B3322" s="16" t="str">
        <f>IFERROR(__xludf.DUMMYFUNCTION("""COMPUTED_VALUE"""),"сировина та матеріали")</f>
        <v>сировина та матеріали</v>
      </c>
      <c r="C3322" s="16" t="str">
        <f>IFERROR(__xludf.DUMMYFUNCTION("""COMPUTED_VALUE"""),"сировина для легкої промисловості")</f>
        <v>сировина для легкої промисловості</v>
      </c>
      <c r="D3322" s="16" t="str">
        <f>IFERROR(__xludf.DUMMYFUNCTION("""COMPUTED_VALUE"""),"пух та пір'я")</f>
        <v>пух та пір'я</v>
      </c>
      <c r="E3322" s="16" t="str">
        <f>IFERROR(__xludf.DUMMYFUNCTION("""COMPUTED_VALUE"""),"пух та пір'я")</f>
        <v>пух та пір'я</v>
      </c>
      <c r="F3322" s="17">
        <f>IFERROR(__xludf.DUMMYFUNCTION("""COMPUTED_VALUE"""),3.0)</f>
        <v>3</v>
      </c>
      <c r="G3322" s="17" t="str">
        <f>IFERROR(__xludf.DUMMYFUNCTION("""COMPUTED_VALUE"""),"429")</f>
        <v>429</v>
      </c>
      <c r="H3322" s="17" t="str">
        <f>IFERROR(__xludf.DUMMYFUNCTION("""COMPUTED_VALUE"""),"пух та пір'я")</f>
        <v>пух та пір'я</v>
      </c>
      <c r="I3322" s="19">
        <f>IFERROR(__xludf.DUMMYFUNCTION("""COMPUTED_VALUE"""),0.0524)</f>
        <v>0.0524</v>
      </c>
      <c r="J3322" s="19">
        <f>IFERROR(__xludf.DUMMYFUNCTION("""COMPUTED_VALUE"""),0.1047)</f>
        <v>0.1047</v>
      </c>
      <c r="K3322" s="19">
        <f>IFERROR(__xludf.DUMMYFUNCTION("""COMPUTED_VALUE"""),0.1309)</f>
        <v>0.1309</v>
      </c>
      <c r="L3322" s="19">
        <f>IFERROR(__xludf.DUMMYFUNCTION("""COMPUTED_VALUE"""),0.1571)</f>
        <v>0.1571</v>
      </c>
      <c r="M3322" s="18">
        <f>IFERROR(__xludf.DUMMYFUNCTION("""COMPUTED_VALUE"""),2.79)</f>
        <v>2.79</v>
      </c>
    </row>
    <row r="3323">
      <c r="A3323" s="13" t="str">
        <f>IFERROR(__xludf.DUMMYFUNCTION("""COMPUTED_VALUE"""),"товари")</f>
        <v>товари</v>
      </c>
      <c r="B3323" s="16" t="str">
        <f>IFERROR(__xludf.DUMMYFUNCTION("""COMPUTED_VALUE"""),"сировина та матеріали")</f>
        <v>сировина та матеріали</v>
      </c>
      <c r="C3323" s="16" t="str">
        <f>IFERROR(__xludf.DUMMYFUNCTION("""COMPUTED_VALUE"""),"ротанг")</f>
        <v>ротанг</v>
      </c>
      <c r="D3323" s="16" t="str">
        <f>IFERROR(__xludf.DUMMYFUNCTION("""COMPUTED_VALUE"""),"ротанг")</f>
        <v>ротанг</v>
      </c>
      <c r="E3323" s="16" t="str">
        <f>IFERROR(__xludf.DUMMYFUNCTION("""COMPUTED_VALUE"""),"ротанг")</f>
        <v>ротанг</v>
      </c>
      <c r="F3323" s="17">
        <f>IFERROR(__xludf.DUMMYFUNCTION("""COMPUTED_VALUE"""),2.0)</f>
        <v>2</v>
      </c>
      <c r="G3323" s="17" t="str">
        <f>IFERROR(__xludf.DUMMYFUNCTION("""COMPUTED_VALUE"""),"926")</f>
        <v>926</v>
      </c>
      <c r="H3323" s="17" t="str">
        <f>IFERROR(__xludf.DUMMYFUNCTION("""COMPUTED_VALUE"""),"ротанг")</f>
        <v>ротанг</v>
      </c>
      <c r="I3323" s="19">
        <f>IFERROR(__xludf.DUMMYFUNCTION("""COMPUTED_VALUE"""),0.0716)</f>
        <v>0.0716</v>
      </c>
      <c r="J3323" s="19">
        <f>IFERROR(__xludf.DUMMYFUNCTION("""COMPUTED_VALUE"""),0.1432)</f>
        <v>0.1432</v>
      </c>
      <c r="K3323" s="19">
        <f>IFERROR(__xludf.DUMMYFUNCTION("""COMPUTED_VALUE"""),0.179)</f>
        <v>0.179</v>
      </c>
      <c r="L3323" s="19">
        <f>IFERROR(__xludf.DUMMYFUNCTION("""COMPUTED_VALUE"""),0.2148)</f>
        <v>0.2148</v>
      </c>
      <c r="M3323" s="18">
        <f>IFERROR(__xludf.DUMMYFUNCTION("""COMPUTED_VALUE"""),1.05)</f>
        <v>1.05</v>
      </c>
    </row>
    <row r="3324">
      <c r="A3324" s="13" t="str">
        <f>IFERROR(__xludf.DUMMYFUNCTION("""COMPUTED_VALUE"""),"товари")</f>
        <v>товари</v>
      </c>
      <c r="B3324" s="16" t="str">
        <f>IFERROR(__xludf.DUMMYFUNCTION("""COMPUTED_VALUE"""),"сировина та матеріали")</f>
        <v>сировина та матеріали</v>
      </c>
      <c r="C3324" s="16" t="str">
        <f>IFERROR(__xludf.DUMMYFUNCTION("""COMPUTED_VALUE"""),"сировина для легкої промисловості")</f>
        <v>сировина для легкої промисловості</v>
      </c>
      <c r="D3324" s="16" t="str">
        <f>IFERROR(__xludf.DUMMYFUNCTION("""COMPUTED_VALUE"""),"рулонна клейонка")</f>
        <v>рулонна клейонка</v>
      </c>
      <c r="E3324" s="16" t="str">
        <f>IFERROR(__xludf.DUMMYFUNCTION("""COMPUTED_VALUE"""),"рулонна клейонка")</f>
        <v>рулонна клейонка</v>
      </c>
      <c r="F3324" s="17">
        <f>IFERROR(__xludf.DUMMYFUNCTION("""COMPUTED_VALUE"""),3.0)</f>
        <v>3</v>
      </c>
      <c r="G3324" s="17" t="str">
        <f>IFERROR(__xludf.DUMMYFUNCTION("""COMPUTED_VALUE"""),"422")</f>
        <v>422</v>
      </c>
      <c r="H3324" s="17" t="str">
        <f>IFERROR(__xludf.DUMMYFUNCTION("""COMPUTED_VALUE"""),"рулонна клейонка")</f>
        <v>рулонна клейонка</v>
      </c>
      <c r="I3324" s="19">
        <f>IFERROR(__xludf.DUMMYFUNCTION("""COMPUTED_VALUE"""),0.0447)</f>
        <v>0.0447</v>
      </c>
      <c r="J3324" s="19">
        <f>IFERROR(__xludf.DUMMYFUNCTION("""COMPUTED_VALUE"""),0.0893)</f>
        <v>0.0893</v>
      </c>
      <c r="K3324" s="19">
        <f>IFERROR(__xludf.DUMMYFUNCTION("""COMPUTED_VALUE"""),0.1116)</f>
        <v>0.1116</v>
      </c>
      <c r="L3324" s="19">
        <f>IFERROR(__xludf.DUMMYFUNCTION("""COMPUTED_VALUE"""),0.134)</f>
        <v>0.134</v>
      </c>
      <c r="M3324" s="18">
        <f>IFERROR(__xludf.DUMMYFUNCTION("""COMPUTED_VALUE"""),1.44)</f>
        <v>1.44</v>
      </c>
    </row>
    <row r="3325">
      <c r="A3325" s="13" t="str">
        <f>IFERROR(__xludf.DUMMYFUNCTION("""COMPUTED_VALUE"""),"товари")</f>
        <v>товари</v>
      </c>
      <c r="B3325" s="16" t="str">
        <f>IFERROR(__xludf.DUMMYFUNCTION("""COMPUTED_VALUE"""),"сировина та матеріали")</f>
        <v>сировина та матеріали</v>
      </c>
      <c r="C3325" s="16" t="str">
        <f>IFERROR(__xludf.DUMMYFUNCTION("""COMPUTED_VALUE"""),"сировина для важкої промисловості")</f>
        <v>сировина для важкої промисловості</v>
      </c>
      <c r="D3325" s="16" t="str">
        <f>IFERROR(__xludf.DUMMYFUNCTION("""COMPUTED_VALUE"""),"полімерна сировина")</f>
        <v>полімерна сировина</v>
      </c>
      <c r="E3325" s="16" t="str">
        <f>IFERROR(__xludf.DUMMYFUNCTION("""COMPUTED_VALUE"""),"синтетичні смоли")</f>
        <v>синтетичні смоли</v>
      </c>
      <c r="F3325" s="17">
        <f>IFERROR(__xludf.DUMMYFUNCTION("""COMPUTED_VALUE"""),4.0)</f>
        <v>4</v>
      </c>
      <c r="G3325" s="17" t="str">
        <f>IFERROR(__xludf.DUMMYFUNCTION("""COMPUTED_VALUE"""),"80702")</f>
        <v>80702</v>
      </c>
      <c r="H3325" s="17" t="str">
        <f>IFERROR(__xludf.DUMMYFUNCTION("""COMPUTED_VALUE"""),"синтетичні смоли")</f>
        <v>синтетичні смоли</v>
      </c>
      <c r="I3325" s="19">
        <f>IFERROR(__xludf.DUMMYFUNCTION("""COMPUTED_VALUE"""),0.0505)</f>
        <v>0.0505</v>
      </c>
      <c r="J3325" s="19">
        <f>IFERROR(__xludf.DUMMYFUNCTION("""COMPUTED_VALUE"""),0.101)</f>
        <v>0.101</v>
      </c>
      <c r="K3325" s="19">
        <f>IFERROR(__xludf.DUMMYFUNCTION("""COMPUTED_VALUE"""),0.1263)</f>
        <v>0.1263</v>
      </c>
      <c r="L3325" s="19">
        <f>IFERROR(__xludf.DUMMYFUNCTION("""COMPUTED_VALUE"""),0.1515)</f>
        <v>0.1515</v>
      </c>
      <c r="M3325" s="18">
        <f>IFERROR(__xludf.DUMMYFUNCTION("""COMPUTED_VALUE"""),4.23)</f>
        <v>4.23</v>
      </c>
    </row>
    <row r="3326">
      <c r="A3326" s="13" t="str">
        <f>IFERROR(__xludf.DUMMYFUNCTION("""COMPUTED_VALUE"""),"товари")</f>
        <v>товари</v>
      </c>
      <c r="B3326" s="16" t="str">
        <f>IFERROR(__xludf.DUMMYFUNCTION("""COMPUTED_VALUE"""),"сировина та матеріали")</f>
        <v>сировина та матеріали</v>
      </c>
      <c r="C3326" s="16" t="str">
        <f>IFERROR(__xludf.DUMMYFUNCTION("""COMPUTED_VALUE"""),"сировина для легкої промисловості")</f>
        <v>сировина для легкої промисловості</v>
      </c>
      <c r="D3326" s="16" t="str">
        <f>IFERROR(__xludf.DUMMYFUNCTION("""COMPUTED_VALUE"""),"тканини")</f>
        <v>тканини</v>
      </c>
      <c r="E3326" s="16" t="str">
        <f>IFERROR(__xludf.DUMMYFUNCTION("""COMPUTED_VALUE"""),"тканини для домашнього текстилю та horeca")</f>
        <v>тканини для домашнього текстилю та horeca</v>
      </c>
      <c r="F3326" s="17">
        <f>IFERROR(__xludf.DUMMYFUNCTION("""COMPUTED_VALUE"""),4.0)</f>
        <v>4</v>
      </c>
      <c r="G3326" s="17" t="str">
        <f>IFERROR(__xludf.DUMMYFUNCTION("""COMPUTED_VALUE"""),"43201")</f>
        <v>43201</v>
      </c>
      <c r="H3326" s="17" t="str">
        <f>IFERROR(__xludf.DUMMYFUNCTION("""COMPUTED_VALUE"""),"тканини для домашнього текстилю та horeca")</f>
        <v>тканини для домашнього текстилю та horeca</v>
      </c>
      <c r="I3326" s="19">
        <f>IFERROR(__xludf.DUMMYFUNCTION("""COMPUTED_VALUE"""),0.0769)</f>
        <v>0.0769</v>
      </c>
      <c r="J3326" s="19">
        <f>IFERROR(__xludf.DUMMYFUNCTION("""COMPUTED_VALUE"""),0.1538)</f>
        <v>0.1538</v>
      </c>
      <c r="K3326" s="19">
        <f>IFERROR(__xludf.DUMMYFUNCTION("""COMPUTED_VALUE"""),0.1923)</f>
        <v>0.1923</v>
      </c>
      <c r="L3326" s="19">
        <f>IFERROR(__xludf.DUMMYFUNCTION("""COMPUTED_VALUE"""),0.2307)</f>
        <v>0.2307</v>
      </c>
      <c r="M3326" s="18">
        <f>IFERROR(__xludf.DUMMYFUNCTION("""COMPUTED_VALUE"""),1.53)</f>
        <v>1.53</v>
      </c>
    </row>
    <row r="3327">
      <c r="A3327" s="13" t="str">
        <f>IFERROR(__xludf.DUMMYFUNCTION("""COMPUTED_VALUE"""),"товари")</f>
        <v>товари</v>
      </c>
      <c r="B3327" s="16" t="str">
        <f>IFERROR(__xludf.DUMMYFUNCTION("""COMPUTED_VALUE"""),"сировина та матеріали")</f>
        <v>сировина та матеріали</v>
      </c>
      <c r="C3327" s="16" t="str">
        <f>IFERROR(__xludf.DUMMYFUNCTION("""COMPUTED_VALUE"""),"сировина для легкої промисловості")</f>
        <v>сировина для легкої промисловості</v>
      </c>
      <c r="D3327" s="16" t="str">
        <f>IFERROR(__xludf.DUMMYFUNCTION("""COMPUTED_VALUE"""),"тканини")</f>
        <v>тканини</v>
      </c>
      <c r="E3327" s="16" t="str">
        <f>IFERROR(__xludf.DUMMYFUNCTION("""COMPUTED_VALUE"""),"тканини для одягу")</f>
        <v>тканини для одягу</v>
      </c>
      <c r="F3327" s="17">
        <f>IFERROR(__xludf.DUMMYFUNCTION("""COMPUTED_VALUE"""),4.0)</f>
        <v>4</v>
      </c>
      <c r="G3327" s="17" t="str">
        <f>IFERROR(__xludf.DUMMYFUNCTION("""COMPUTED_VALUE"""),"42315")</f>
        <v>42315</v>
      </c>
      <c r="H3327" s="17" t="str">
        <f>IFERROR(__xludf.DUMMYFUNCTION("""COMPUTED_VALUE"""),"тканини для одягу")</f>
        <v>тканини для одягу</v>
      </c>
      <c r="I3327" s="19">
        <f>IFERROR(__xludf.DUMMYFUNCTION("""COMPUTED_VALUE"""),0.0765)</f>
        <v>0.0765</v>
      </c>
      <c r="J3327" s="19">
        <f>IFERROR(__xludf.DUMMYFUNCTION("""COMPUTED_VALUE"""),0.153)</f>
        <v>0.153</v>
      </c>
      <c r="K3327" s="19">
        <f>IFERROR(__xludf.DUMMYFUNCTION("""COMPUTED_VALUE"""),0.1913)</f>
        <v>0.1913</v>
      </c>
      <c r="L3327" s="19">
        <f>IFERROR(__xludf.DUMMYFUNCTION("""COMPUTED_VALUE"""),0.2295)</f>
        <v>0.2295</v>
      </c>
      <c r="M3327" s="18">
        <f>IFERROR(__xludf.DUMMYFUNCTION("""COMPUTED_VALUE"""),2.34)</f>
        <v>2.34</v>
      </c>
    </row>
    <row r="3328">
      <c r="A3328" s="13" t="str">
        <f>IFERROR(__xludf.DUMMYFUNCTION("""COMPUTED_VALUE"""),"товари")</f>
        <v>товари</v>
      </c>
      <c r="B3328" s="16" t="str">
        <f>IFERROR(__xludf.DUMMYFUNCTION("""COMPUTED_VALUE"""),"сировина та матеріали")</f>
        <v>сировина та матеріали</v>
      </c>
      <c r="C3328" s="16" t="str">
        <f>IFERROR(__xludf.DUMMYFUNCTION("""COMPUTED_VALUE"""),"сировина для легкої промисловості")</f>
        <v>сировина для легкої промисловості</v>
      </c>
      <c r="D3328" s="16" t="str">
        <f>IFERROR(__xludf.DUMMYFUNCTION("""COMPUTED_VALUE"""),"тканини")</f>
        <v>тканини</v>
      </c>
      <c r="E3328" s="16" t="str">
        <f>IFERROR(__xludf.DUMMYFUNCTION("""COMPUTED_VALUE"""),"тканини, загальне")</f>
        <v>тканини, загальне</v>
      </c>
      <c r="F3328" s="17">
        <f>IFERROR(__xludf.DUMMYFUNCTION("""COMPUTED_VALUE"""),4.0)</f>
        <v>4</v>
      </c>
      <c r="G3328" s="17" t="str">
        <f>IFERROR(__xludf.DUMMYFUNCTION("""COMPUTED_VALUE"""),"420")</f>
        <v>420</v>
      </c>
      <c r="H3328" s="17" t="str">
        <f>IFERROR(__xludf.DUMMYFUNCTION("""COMPUTED_VALUE"""),"тканини, загальне")</f>
        <v>тканини, загальне</v>
      </c>
      <c r="I3328" s="19">
        <f>IFERROR(__xludf.DUMMYFUNCTION("""COMPUTED_VALUE"""),0.125)</f>
        <v>0.125</v>
      </c>
      <c r="J3328" s="19">
        <f>IFERROR(__xludf.DUMMYFUNCTION("""COMPUTED_VALUE"""),0.25)</f>
        <v>0.25</v>
      </c>
      <c r="K3328" s="19">
        <f>IFERROR(__xludf.DUMMYFUNCTION("""COMPUTED_VALUE"""),0.3125)</f>
        <v>0.3125</v>
      </c>
      <c r="L3328" s="19">
        <f>IFERROR(__xludf.DUMMYFUNCTION("""COMPUTED_VALUE"""),0.375)</f>
        <v>0.375</v>
      </c>
      <c r="M3328" s="18">
        <f>IFERROR(__xludf.DUMMYFUNCTION("""COMPUTED_VALUE"""),4.33)</f>
        <v>4.33</v>
      </c>
    </row>
    <row r="3329">
      <c r="A3329" s="13" t="str">
        <f>IFERROR(__xludf.DUMMYFUNCTION("""COMPUTED_VALUE"""),"товари")</f>
        <v>товари</v>
      </c>
      <c r="B3329" s="16" t="str">
        <f>IFERROR(__xludf.DUMMYFUNCTION("""COMPUTED_VALUE"""),"сировина та матеріали")</f>
        <v>сировина та матеріали</v>
      </c>
      <c r="C3329" s="16" t="str">
        <f>IFERROR(__xludf.DUMMYFUNCTION("""COMPUTED_VALUE"""),"сировина для легкої промисловості")</f>
        <v>сировина для легкої промисловості</v>
      </c>
      <c r="D3329" s="16" t="str">
        <f>IFERROR(__xludf.DUMMYFUNCTION("""COMPUTED_VALUE"""),"холлофайбер")</f>
        <v>холлофайбер</v>
      </c>
      <c r="E3329" s="16" t="str">
        <f>IFERROR(__xludf.DUMMYFUNCTION("""COMPUTED_VALUE"""),"холлофайбер")</f>
        <v>холлофайбер</v>
      </c>
      <c r="F3329" s="17">
        <f>IFERROR(__xludf.DUMMYFUNCTION("""COMPUTED_VALUE"""),3.0)</f>
        <v>3</v>
      </c>
      <c r="G3329" s="17" t="str">
        <f>IFERROR(__xludf.DUMMYFUNCTION("""COMPUTED_VALUE"""),"424")</f>
        <v>424</v>
      </c>
      <c r="H3329" s="17" t="str">
        <f>IFERROR(__xludf.DUMMYFUNCTION("""COMPUTED_VALUE"""),"холлофайбер")</f>
        <v>холлофайбер</v>
      </c>
      <c r="I3329" s="19">
        <f>IFERROR(__xludf.DUMMYFUNCTION("""COMPUTED_VALUE"""),0.0539)</f>
        <v>0.0539</v>
      </c>
      <c r="J3329" s="19">
        <f>IFERROR(__xludf.DUMMYFUNCTION("""COMPUTED_VALUE"""),0.1078)</f>
        <v>0.1078</v>
      </c>
      <c r="K3329" s="19">
        <f>IFERROR(__xludf.DUMMYFUNCTION("""COMPUTED_VALUE"""),0.1348)</f>
        <v>0.1348</v>
      </c>
      <c r="L3329" s="19">
        <f>IFERROR(__xludf.DUMMYFUNCTION("""COMPUTED_VALUE"""),0.1617)</f>
        <v>0.1617</v>
      </c>
      <c r="M3329" s="18">
        <f>IFERROR(__xludf.DUMMYFUNCTION("""COMPUTED_VALUE"""),2.79)</f>
        <v>2.79</v>
      </c>
    </row>
    <row r="3330">
      <c r="A3330" s="13" t="str">
        <f>IFERROR(__xludf.DUMMYFUNCTION("""COMPUTED_VALUE"""),"товари")</f>
        <v>товари</v>
      </c>
      <c r="B3330" s="16" t="str">
        <f>IFERROR(__xludf.DUMMYFUNCTION("""COMPUTED_VALUE"""),"сировина та матеріали")</f>
        <v>сировина та матеріали</v>
      </c>
      <c r="C3330" s="16" t="str">
        <f>IFERROR(__xludf.DUMMYFUNCTION("""COMPUTED_VALUE"""),"сировина для легкої промисловості")</f>
        <v>сировина для легкої промисловості</v>
      </c>
      <c r="D3330" s="16" t="str">
        <f>IFERROR(__xludf.DUMMYFUNCTION("""COMPUTED_VALUE"""),"хутро")</f>
        <v>хутро</v>
      </c>
      <c r="E3330" s="16" t="str">
        <f>IFERROR(__xludf.DUMMYFUNCTION("""COMPUTED_VALUE"""),"хутро")</f>
        <v>хутро</v>
      </c>
      <c r="F3330" s="17">
        <f>IFERROR(__xludf.DUMMYFUNCTION("""COMPUTED_VALUE"""),3.0)</f>
        <v>3</v>
      </c>
      <c r="G3330" s="17" t="str">
        <f>IFERROR(__xludf.DUMMYFUNCTION("""COMPUTED_VALUE"""),"419")</f>
        <v>419</v>
      </c>
      <c r="H3330" s="17" t="str">
        <f>IFERROR(__xludf.DUMMYFUNCTION("""COMPUTED_VALUE"""),"хутро")</f>
        <v>хутро</v>
      </c>
      <c r="I3330" s="19">
        <f>IFERROR(__xludf.DUMMYFUNCTION("""COMPUTED_VALUE"""),0.0493)</f>
        <v>0.0493</v>
      </c>
      <c r="J3330" s="19">
        <f>IFERROR(__xludf.DUMMYFUNCTION("""COMPUTED_VALUE"""),0.0986)</f>
        <v>0.0986</v>
      </c>
      <c r="K3330" s="19">
        <f>IFERROR(__xludf.DUMMYFUNCTION("""COMPUTED_VALUE"""),0.1233)</f>
        <v>0.1233</v>
      </c>
      <c r="L3330" s="19">
        <f>IFERROR(__xludf.DUMMYFUNCTION("""COMPUTED_VALUE"""),0.1479)</f>
        <v>0.1479</v>
      </c>
      <c r="M3330" s="18">
        <f>IFERROR(__xludf.DUMMYFUNCTION("""COMPUTED_VALUE"""),2.53)</f>
        <v>2.53</v>
      </c>
    </row>
    <row r="3331">
      <c r="A3331" s="13" t="str">
        <f>IFERROR(__xludf.DUMMYFUNCTION("""COMPUTED_VALUE"""),"товари")</f>
        <v>товари</v>
      </c>
      <c r="B3331" s="16" t="str">
        <f>IFERROR(__xludf.DUMMYFUNCTION("""COMPUTED_VALUE"""),"сировина та матеріали")</f>
        <v>сировина та матеріали</v>
      </c>
      <c r="C3331" s="16" t="str">
        <f>IFERROR(__xludf.DUMMYFUNCTION("""COMPUTED_VALUE"""),"сировина для легкої промисловості")</f>
        <v>сировина для легкої промисловості</v>
      </c>
      <c r="D3331" s="16" t="str">
        <f>IFERROR(__xludf.DUMMYFUNCTION("""COMPUTED_VALUE"""),"шкіра та замша")</f>
        <v>шкіра та замша</v>
      </c>
      <c r="E3331" s="16" t="str">
        <f>IFERROR(__xludf.DUMMYFUNCTION("""COMPUTED_VALUE"""),"шкіра та замша")</f>
        <v>шкіра та замша</v>
      </c>
      <c r="F3331" s="17">
        <f>IFERROR(__xludf.DUMMYFUNCTION("""COMPUTED_VALUE"""),3.0)</f>
        <v>3</v>
      </c>
      <c r="G3331" s="17" t="str">
        <f>IFERROR(__xludf.DUMMYFUNCTION("""COMPUTED_VALUE"""),"421")</f>
        <v>421</v>
      </c>
      <c r="H3331" s="17" t="str">
        <f>IFERROR(__xludf.DUMMYFUNCTION("""COMPUTED_VALUE"""),"шкіра та замша")</f>
        <v>шкіра та замша</v>
      </c>
      <c r="I3331" s="19">
        <f>IFERROR(__xludf.DUMMYFUNCTION("""COMPUTED_VALUE"""),0.0532)</f>
        <v>0.0532</v>
      </c>
      <c r="J3331" s="19">
        <f>IFERROR(__xludf.DUMMYFUNCTION("""COMPUTED_VALUE"""),0.1063)</f>
        <v>0.1063</v>
      </c>
      <c r="K3331" s="19">
        <f>IFERROR(__xludf.DUMMYFUNCTION("""COMPUTED_VALUE"""),0.1329)</f>
        <v>0.1329</v>
      </c>
      <c r="L3331" s="19">
        <f>IFERROR(__xludf.DUMMYFUNCTION("""COMPUTED_VALUE"""),0.1595)</f>
        <v>0.1595</v>
      </c>
      <c r="M3331" s="18">
        <f>IFERROR(__xludf.DUMMYFUNCTION("""COMPUTED_VALUE"""),2.61)</f>
        <v>2.61</v>
      </c>
    </row>
    <row r="3332">
      <c r="A3332" s="13" t="str">
        <f>IFERROR(__xludf.DUMMYFUNCTION("""COMPUTED_VALUE"""),"товари")</f>
        <v>товари</v>
      </c>
      <c r="B3332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32" s="16" t="str">
        <f>IFERROR(__xludf.DUMMYFUNCTION("""COMPUTED_VALUE"""),"рослинництво")</f>
        <v>рослинництво</v>
      </c>
      <c r="D3332" s="16" t="str">
        <f>IFERROR(__xludf.DUMMYFUNCTION("""COMPUTED_VALUE"""),"добрива")</f>
        <v>добрива</v>
      </c>
      <c r="E3332" s="16" t="str">
        <f>IFERROR(__xludf.DUMMYFUNCTION("""COMPUTED_VALUE"""),"азотні добрива")</f>
        <v>азотні добрива</v>
      </c>
      <c r="F3332" s="17">
        <f>IFERROR(__xludf.DUMMYFUNCTION("""COMPUTED_VALUE"""),4.0)</f>
        <v>4</v>
      </c>
      <c r="G3332" s="17" t="str">
        <f>IFERROR(__xludf.DUMMYFUNCTION("""COMPUTED_VALUE"""),"11504")</f>
        <v>11504</v>
      </c>
      <c r="H3332" s="17" t="str">
        <f>IFERROR(__xludf.DUMMYFUNCTION("""COMPUTED_VALUE"""),"азотні добрива")</f>
        <v>азотні добрива</v>
      </c>
      <c r="I3332" s="19">
        <f>IFERROR(__xludf.DUMMYFUNCTION("""COMPUTED_VALUE"""),0.0688)</f>
        <v>0.0688</v>
      </c>
      <c r="J3332" s="19">
        <f>IFERROR(__xludf.DUMMYFUNCTION("""COMPUTED_VALUE"""),0.1375)</f>
        <v>0.1375</v>
      </c>
      <c r="K3332" s="19">
        <f>IFERROR(__xludf.DUMMYFUNCTION("""COMPUTED_VALUE"""),0.1719)</f>
        <v>0.1719</v>
      </c>
      <c r="L3332" s="19">
        <f>IFERROR(__xludf.DUMMYFUNCTION("""COMPUTED_VALUE"""),0.2063)</f>
        <v>0.2063</v>
      </c>
      <c r="M3332" s="18">
        <f>IFERROR(__xludf.DUMMYFUNCTION("""COMPUTED_VALUE"""),1.53)</f>
        <v>1.53</v>
      </c>
    </row>
    <row r="3333">
      <c r="A3333" s="13" t="str">
        <f>IFERROR(__xludf.DUMMYFUNCTION("""COMPUTED_VALUE"""),"товари")</f>
        <v>товари</v>
      </c>
      <c r="B3333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33" s="16" t="str">
        <f>IFERROR(__xludf.DUMMYFUNCTION("""COMPUTED_VALUE"""),"рослинництво")</f>
        <v>рослинництво</v>
      </c>
      <c r="D3333" s="16" t="str">
        <f>IFERROR(__xludf.DUMMYFUNCTION("""COMPUTED_VALUE"""),"засоби захисту рослин")</f>
        <v>засоби захисту рослин</v>
      </c>
      <c r="E3333" s="16" t="str">
        <f>IFERROR(__xludf.DUMMYFUNCTION("""COMPUTED_VALUE"""),"бактерициди")</f>
        <v>бактерициди</v>
      </c>
      <c r="F3333" s="17">
        <f>IFERROR(__xludf.DUMMYFUNCTION("""COMPUTED_VALUE"""),4.0)</f>
        <v>4</v>
      </c>
      <c r="G3333" s="17" t="str">
        <f>IFERROR(__xludf.DUMMYFUNCTION("""COMPUTED_VALUE"""),"1160206")</f>
        <v>1160206</v>
      </c>
      <c r="H3333" s="17" t="str">
        <f>IFERROR(__xludf.DUMMYFUNCTION("""COMPUTED_VALUE"""),"бактерициди")</f>
        <v>бактерициди</v>
      </c>
      <c r="I3333" s="19">
        <f>IFERROR(__xludf.DUMMYFUNCTION("""COMPUTED_VALUE"""),0.0694)</f>
        <v>0.0694</v>
      </c>
      <c r="J3333" s="19">
        <f>IFERROR(__xludf.DUMMYFUNCTION("""COMPUTED_VALUE"""),0.1388)</f>
        <v>0.1388</v>
      </c>
      <c r="K3333" s="19">
        <f>IFERROR(__xludf.DUMMYFUNCTION("""COMPUTED_VALUE"""),0.1735)</f>
        <v>0.1735</v>
      </c>
      <c r="L3333" s="19">
        <f>IFERROR(__xludf.DUMMYFUNCTION("""COMPUTED_VALUE"""),0.2082)</f>
        <v>0.2082</v>
      </c>
      <c r="M3333" s="18">
        <f>IFERROR(__xludf.DUMMYFUNCTION("""COMPUTED_VALUE"""),1.05)</f>
        <v>1.05</v>
      </c>
    </row>
    <row r="3334">
      <c r="A3334" s="16" t="str">
        <f>IFERROR(__xludf.DUMMYFUNCTION("""COMPUTED_VALUE"""),"товари")</f>
        <v>товари</v>
      </c>
      <c r="B3334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34" s="16" t="str">
        <f>IFERROR(__xludf.DUMMYFUNCTION("""COMPUTED_VALUE"""),"рослинництво")</f>
        <v>рослинництво</v>
      </c>
      <c r="D3334" s="16" t="str">
        <f>IFERROR(__xludf.DUMMYFUNCTION("""COMPUTED_VALUE"""),"добрива")</f>
        <v>добрива</v>
      </c>
      <c r="E3334" s="16" t="str">
        <f>IFERROR(__xludf.DUMMYFUNCTION("""COMPUTED_VALUE"""),"бактеріальні добрива")</f>
        <v>бактеріальні добрива</v>
      </c>
      <c r="F3334" s="17">
        <f>IFERROR(__xludf.DUMMYFUNCTION("""COMPUTED_VALUE"""),4.0)</f>
        <v>4</v>
      </c>
      <c r="G3334" s="17" t="str">
        <f>IFERROR(__xludf.DUMMYFUNCTION("""COMPUTED_VALUE"""),"11605")</f>
        <v>11605</v>
      </c>
      <c r="H3334" s="17" t="str">
        <f>IFERROR(__xludf.DUMMYFUNCTION("""COMPUTED_VALUE"""),"бактеріальні добрива")</f>
        <v>бактеріальні добрива</v>
      </c>
      <c r="I3334" s="19">
        <f>IFERROR(__xludf.DUMMYFUNCTION("""COMPUTED_VALUE"""),0.0688)</f>
        <v>0.0688</v>
      </c>
      <c r="J3334" s="19">
        <f>IFERROR(__xludf.DUMMYFUNCTION("""COMPUTED_VALUE"""),0.1375)</f>
        <v>0.1375</v>
      </c>
      <c r="K3334" s="19">
        <f>IFERROR(__xludf.DUMMYFUNCTION("""COMPUTED_VALUE"""),0.1719)</f>
        <v>0.1719</v>
      </c>
      <c r="L3334" s="19">
        <f>IFERROR(__xludf.DUMMYFUNCTION("""COMPUTED_VALUE"""),0.2063)</f>
        <v>0.2063</v>
      </c>
      <c r="M3334" s="18">
        <f>IFERROR(__xludf.DUMMYFUNCTION("""COMPUTED_VALUE"""),1.53)</f>
        <v>1.53</v>
      </c>
    </row>
    <row r="3335">
      <c r="A3335" s="16" t="str">
        <f>IFERROR(__xludf.DUMMYFUNCTION("""COMPUTED_VALUE"""),"товари")</f>
        <v>товари</v>
      </c>
      <c r="B3335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35" s="16" t="str">
        <f>IFERROR(__xludf.DUMMYFUNCTION("""COMPUTED_VALUE"""),"тваринництво")</f>
        <v>тваринництво</v>
      </c>
      <c r="D3335" s="16" t="str">
        <f>IFERROR(__xludf.DUMMYFUNCTION("""COMPUTED_VALUE"""),"бджільництво")</f>
        <v>бджільництво</v>
      </c>
      <c r="E3335" s="16" t="str">
        <f>IFERROR(__xludf.DUMMYFUNCTION("""COMPUTED_VALUE"""),"бджільництво")</f>
        <v>бджільництво</v>
      </c>
      <c r="F3335" s="17">
        <f>IFERROR(__xludf.DUMMYFUNCTION("""COMPUTED_VALUE"""),3.0)</f>
        <v>3</v>
      </c>
      <c r="G3335" s="17" t="str">
        <f>IFERROR(__xludf.DUMMYFUNCTION("""COMPUTED_VALUE"""),"105")</f>
        <v>105</v>
      </c>
      <c r="H3335" s="17" t="str">
        <f>IFERROR(__xludf.DUMMYFUNCTION("""COMPUTED_VALUE"""),"бджільництво")</f>
        <v>бджільництво</v>
      </c>
      <c r="I3335" s="19">
        <f>IFERROR(__xludf.DUMMYFUNCTION("""COMPUTED_VALUE"""),0.0502)</f>
        <v>0.0502</v>
      </c>
      <c r="J3335" s="19">
        <f>IFERROR(__xludf.DUMMYFUNCTION("""COMPUTED_VALUE"""),0.1003)</f>
        <v>0.1003</v>
      </c>
      <c r="K3335" s="19">
        <f>IFERROR(__xludf.DUMMYFUNCTION("""COMPUTED_VALUE"""),0.1254)</f>
        <v>0.1254</v>
      </c>
      <c r="L3335" s="19">
        <f>IFERROR(__xludf.DUMMYFUNCTION("""COMPUTED_VALUE"""),0.1505)</f>
        <v>0.1505</v>
      </c>
      <c r="M3335" s="18">
        <f>IFERROR(__xludf.DUMMYFUNCTION("""COMPUTED_VALUE"""),1.8)</f>
        <v>1.8</v>
      </c>
    </row>
    <row r="3336">
      <c r="A3336" s="16" t="str">
        <f>IFERROR(__xludf.DUMMYFUNCTION("""COMPUTED_VALUE"""),"товари")</f>
        <v>товари</v>
      </c>
      <c r="B3336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36" s="16" t="str">
        <f>IFERROR(__xludf.DUMMYFUNCTION("""COMPUTED_VALUE"""),"рослинництво")</f>
        <v>рослинництво</v>
      </c>
      <c r="D3336" s="16" t="str">
        <f>IFERROR(__xludf.DUMMYFUNCTION("""COMPUTED_VALUE"""),"засоби захисту рослин")</f>
        <v>засоби захисту рослин</v>
      </c>
      <c r="E3336" s="16" t="str">
        <f>IFERROR(__xludf.DUMMYFUNCTION("""COMPUTED_VALUE"""),"біопрепарати")</f>
        <v>біопрепарати</v>
      </c>
      <c r="F3336" s="17">
        <f>IFERROR(__xludf.DUMMYFUNCTION("""COMPUTED_VALUE"""),4.0)</f>
        <v>4</v>
      </c>
      <c r="G3336" s="17" t="str">
        <f>IFERROR(__xludf.DUMMYFUNCTION("""COMPUTED_VALUE"""),"1110501")</f>
        <v>1110501</v>
      </c>
      <c r="H3336" s="17" t="str">
        <f>IFERROR(__xludf.DUMMYFUNCTION("""COMPUTED_VALUE"""),"біопрепарати")</f>
        <v>біопрепарати</v>
      </c>
      <c r="I3336" s="19">
        <f>IFERROR(__xludf.DUMMYFUNCTION("""COMPUTED_VALUE"""),0.0778)</f>
        <v>0.0778</v>
      </c>
      <c r="J3336" s="19">
        <f>IFERROR(__xludf.DUMMYFUNCTION("""COMPUTED_VALUE"""),0.1555)</f>
        <v>0.1555</v>
      </c>
      <c r="K3336" s="19">
        <f>IFERROR(__xludf.DUMMYFUNCTION("""COMPUTED_VALUE"""),0.1944)</f>
        <v>0.1944</v>
      </c>
      <c r="L3336" s="19">
        <f>IFERROR(__xludf.DUMMYFUNCTION("""COMPUTED_VALUE"""),0.2333)</f>
        <v>0.2333</v>
      </c>
      <c r="M3336" s="18">
        <f>IFERROR(__xludf.DUMMYFUNCTION("""COMPUTED_VALUE"""),1.05)</f>
        <v>1.05</v>
      </c>
    </row>
    <row r="3337">
      <c r="A3337" s="13" t="str">
        <f>IFERROR(__xludf.DUMMYFUNCTION("""COMPUTED_VALUE"""),"товари")</f>
        <v>товари</v>
      </c>
      <c r="B3337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37" s="16" t="str">
        <f>IFERROR(__xludf.DUMMYFUNCTION("""COMPUTED_VALUE"""),"рослинництво")</f>
        <v>рослинництво</v>
      </c>
      <c r="D3337" s="16" t="str">
        <f>IFERROR(__xludf.DUMMYFUNCTION("""COMPUTED_VALUE"""),"добрива")</f>
        <v>добрива</v>
      </c>
      <c r="E3337" s="16" t="str">
        <f>IFERROR(__xludf.DUMMYFUNCTION("""COMPUTED_VALUE"""),"вермикулітові добрива")</f>
        <v>вермикулітові добрива</v>
      </c>
      <c r="F3337" s="17">
        <f>IFERROR(__xludf.DUMMYFUNCTION("""COMPUTED_VALUE"""),4.0)</f>
        <v>4</v>
      </c>
      <c r="G3337" s="17" t="str">
        <f>IFERROR(__xludf.DUMMYFUNCTION("""COMPUTED_VALUE"""),"11508")</f>
        <v>11508</v>
      </c>
      <c r="H3337" s="17" t="str">
        <f>IFERROR(__xludf.DUMMYFUNCTION("""COMPUTED_VALUE"""),"вермикулітові добрива")</f>
        <v>вермикулітові добрива</v>
      </c>
      <c r="I3337" s="19">
        <f>IFERROR(__xludf.DUMMYFUNCTION("""COMPUTED_VALUE"""),0.0688)</f>
        <v>0.0688</v>
      </c>
      <c r="J3337" s="19">
        <f>IFERROR(__xludf.DUMMYFUNCTION("""COMPUTED_VALUE"""),0.1375)</f>
        <v>0.1375</v>
      </c>
      <c r="K3337" s="19">
        <f>IFERROR(__xludf.DUMMYFUNCTION("""COMPUTED_VALUE"""),0.1719)</f>
        <v>0.1719</v>
      </c>
      <c r="L3337" s="19">
        <f>IFERROR(__xludf.DUMMYFUNCTION("""COMPUTED_VALUE"""),0.2063)</f>
        <v>0.2063</v>
      </c>
      <c r="M3337" s="18">
        <f>IFERROR(__xludf.DUMMYFUNCTION("""COMPUTED_VALUE"""),1.53)</f>
        <v>1.53</v>
      </c>
    </row>
    <row r="3338">
      <c r="A3338" s="13" t="str">
        <f>IFERROR(__xludf.DUMMYFUNCTION("""COMPUTED_VALUE"""),"товари")</f>
        <v>товари</v>
      </c>
      <c r="B3338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38" s="16" t="str">
        <f>IFERROR(__xludf.DUMMYFUNCTION("""COMPUTED_VALUE"""),"сільськогосподарська техніка")</f>
        <v>сільськогосподарська техніка</v>
      </c>
      <c r="D3338" s="16" t="str">
        <f>IFERROR(__xludf.DUMMYFUNCTION("""COMPUTED_VALUE"""),"навісне та причіпне сільгоспобладнання")</f>
        <v>навісне та причіпне сільгоспобладнання</v>
      </c>
      <c r="E3338" s="16" t="str">
        <f>IFERROR(__xludf.DUMMYFUNCTION("""COMPUTED_VALUE"""),"ворошителі та граблі-ворошилки")</f>
        <v>ворошителі та граблі-ворошилки</v>
      </c>
      <c r="F3338" s="17">
        <f>IFERROR(__xludf.DUMMYFUNCTION("""COMPUTED_VALUE"""),4.0)</f>
        <v>4</v>
      </c>
      <c r="G3338" s="17" t="str">
        <f>IFERROR(__xludf.DUMMYFUNCTION("""COMPUTED_VALUE"""),"1280602")</f>
        <v>1280602</v>
      </c>
      <c r="H3338" s="17" t="str">
        <f>IFERROR(__xludf.DUMMYFUNCTION("""COMPUTED_VALUE"""),"ворошителі та граблі-ворошилки")</f>
        <v>ворошителі та граблі-ворошилки</v>
      </c>
      <c r="I3338" s="19">
        <f>IFERROR(__xludf.DUMMYFUNCTION("""COMPUTED_VALUE"""),0.0416)</f>
        <v>0.0416</v>
      </c>
      <c r="J3338" s="19">
        <f>IFERROR(__xludf.DUMMYFUNCTION("""COMPUTED_VALUE"""),0.0832)</f>
        <v>0.0832</v>
      </c>
      <c r="K3338" s="19">
        <f>IFERROR(__xludf.DUMMYFUNCTION("""COMPUTED_VALUE"""),0.104)</f>
        <v>0.104</v>
      </c>
      <c r="L3338" s="19">
        <f>IFERROR(__xludf.DUMMYFUNCTION("""COMPUTED_VALUE"""),0.1248)</f>
        <v>0.1248</v>
      </c>
      <c r="M3338" s="18">
        <f>IFERROR(__xludf.DUMMYFUNCTION("""COMPUTED_VALUE"""),3.75)</f>
        <v>3.75</v>
      </c>
    </row>
    <row r="3339">
      <c r="A3339" s="13" t="str">
        <f>IFERROR(__xludf.DUMMYFUNCTION("""COMPUTED_VALUE"""),"товари")</f>
        <v>товари</v>
      </c>
      <c r="B3339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39" s="16" t="str">
        <f>IFERROR(__xludf.DUMMYFUNCTION("""COMPUTED_VALUE"""),"рослинництво")</f>
        <v>рослинництво</v>
      </c>
      <c r="D3339" s="16" t="str">
        <f>IFERROR(__xludf.DUMMYFUNCTION("""COMPUTED_VALUE"""),"засоби захисту рослин")</f>
        <v>засоби захисту рослин</v>
      </c>
      <c r="E3339" s="16" t="str">
        <f>IFERROR(__xludf.DUMMYFUNCTION("""COMPUTED_VALUE"""),"гербіциди")</f>
        <v>гербіциди</v>
      </c>
      <c r="F3339" s="17">
        <f>IFERROR(__xludf.DUMMYFUNCTION("""COMPUTED_VALUE"""),4.0)</f>
        <v>4</v>
      </c>
      <c r="G3339" s="17" t="str">
        <f>IFERROR(__xludf.DUMMYFUNCTION("""COMPUTED_VALUE"""),"1160205")</f>
        <v>1160205</v>
      </c>
      <c r="H3339" s="17" t="str">
        <f>IFERROR(__xludf.DUMMYFUNCTION("""COMPUTED_VALUE"""),"гербіциди")</f>
        <v>гербіциди</v>
      </c>
      <c r="I3339" s="19">
        <f>IFERROR(__xludf.DUMMYFUNCTION("""COMPUTED_VALUE"""),0.0797)</f>
        <v>0.0797</v>
      </c>
      <c r="J3339" s="19">
        <f>IFERROR(__xludf.DUMMYFUNCTION("""COMPUTED_VALUE"""),0.1594)</f>
        <v>0.1594</v>
      </c>
      <c r="K3339" s="19">
        <f>IFERROR(__xludf.DUMMYFUNCTION("""COMPUTED_VALUE"""),0.1993)</f>
        <v>0.1993</v>
      </c>
      <c r="L3339" s="19">
        <f>IFERROR(__xludf.DUMMYFUNCTION("""COMPUTED_VALUE"""),0.2391)</f>
        <v>0.2391</v>
      </c>
      <c r="M3339" s="18">
        <f>IFERROR(__xludf.DUMMYFUNCTION("""COMPUTED_VALUE"""),1.05)</f>
        <v>1.05</v>
      </c>
    </row>
    <row r="3340">
      <c r="A3340" s="13" t="str">
        <f>IFERROR(__xludf.DUMMYFUNCTION("""COMPUTED_VALUE"""),"товари")</f>
        <v>товари</v>
      </c>
      <c r="B3340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0" s="16" t="str">
        <f>IFERROR(__xludf.DUMMYFUNCTION("""COMPUTED_VALUE"""),"грибівництво")</f>
        <v>грибівництво</v>
      </c>
      <c r="D3340" s="16" t="str">
        <f>IFERROR(__xludf.DUMMYFUNCTION("""COMPUTED_VALUE"""),"грибівництво")</f>
        <v>грибівництво</v>
      </c>
      <c r="E3340" s="16" t="str">
        <f>IFERROR(__xludf.DUMMYFUNCTION("""COMPUTED_VALUE"""),"грибівництво")</f>
        <v>грибівництво</v>
      </c>
      <c r="F3340" s="17">
        <f>IFERROR(__xludf.DUMMYFUNCTION("""COMPUTED_VALUE"""),2.0)</f>
        <v>2</v>
      </c>
      <c r="G3340" s="17" t="str">
        <f>IFERROR(__xludf.DUMMYFUNCTION("""COMPUTED_VALUE"""),"10601")</f>
        <v>10601</v>
      </c>
      <c r="H3340" s="17" t="str">
        <f>IFERROR(__xludf.DUMMYFUNCTION("""COMPUTED_VALUE"""),"грибівництво")</f>
        <v>грибівництво</v>
      </c>
      <c r="I3340" s="19">
        <f>IFERROR(__xludf.DUMMYFUNCTION("""COMPUTED_VALUE"""),0.0727)</f>
        <v>0.0727</v>
      </c>
      <c r="J3340" s="19">
        <f>IFERROR(__xludf.DUMMYFUNCTION("""COMPUTED_VALUE"""),0.1453)</f>
        <v>0.1453</v>
      </c>
      <c r="K3340" s="19">
        <f>IFERROR(__xludf.DUMMYFUNCTION("""COMPUTED_VALUE"""),0.1816)</f>
        <v>0.1816</v>
      </c>
      <c r="L3340" s="19">
        <f>IFERROR(__xludf.DUMMYFUNCTION("""COMPUTED_VALUE"""),0.218)</f>
        <v>0.218</v>
      </c>
      <c r="M3340" s="18">
        <f>IFERROR(__xludf.DUMMYFUNCTION("""COMPUTED_VALUE"""),1.05)</f>
        <v>1.05</v>
      </c>
    </row>
    <row r="3341">
      <c r="A3341" s="13" t="str">
        <f>IFERROR(__xludf.DUMMYFUNCTION("""COMPUTED_VALUE"""),"товари")</f>
        <v>товари</v>
      </c>
      <c r="B3341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1" s="16" t="str">
        <f>IFERROR(__xludf.DUMMYFUNCTION("""COMPUTED_VALUE"""),"рослинництво")</f>
        <v>рослинництво</v>
      </c>
      <c r="D3341" s="16" t="str">
        <f>IFERROR(__xludf.DUMMYFUNCTION("""COMPUTED_VALUE"""),"засоби захисту рослин")</f>
        <v>засоби захисту рослин</v>
      </c>
      <c r="E3341" s="16" t="str">
        <f>IFERROR(__xludf.DUMMYFUNCTION("""COMPUTED_VALUE"""),"десиканти")</f>
        <v>десиканти</v>
      </c>
      <c r="F3341" s="17">
        <f>IFERROR(__xludf.DUMMYFUNCTION("""COMPUTED_VALUE"""),4.0)</f>
        <v>4</v>
      </c>
      <c r="G3341" s="17" t="str">
        <f>IFERROR(__xludf.DUMMYFUNCTION("""COMPUTED_VALUE"""),"11108")</f>
        <v>11108</v>
      </c>
      <c r="H3341" s="17" t="str">
        <f>IFERROR(__xludf.DUMMYFUNCTION("""COMPUTED_VALUE"""),"десиканти")</f>
        <v>десиканти</v>
      </c>
      <c r="I3341" s="19">
        <f>IFERROR(__xludf.DUMMYFUNCTION("""COMPUTED_VALUE"""),0.0694)</f>
        <v>0.0694</v>
      </c>
      <c r="J3341" s="19">
        <f>IFERROR(__xludf.DUMMYFUNCTION("""COMPUTED_VALUE"""),0.1388)</f>
        <v>0.1388</v>
      </c>
      <c r="K3341" s="19">
        <f>IFERROR(__xludf.DUMMYFUNCTION("""COMPUTED_VALUE"""),0.1735)</f>
        <v>0.1735</v>
      </c>
      <c r="L3341" s="19">
        <f>IFERROR(__xludf.DUMMYFUNCTION("""COMPUTED_VALUE"""),0.2082)</f>
        <v>0.2082</v>
      </c>
      <c r="M3341" s="18">
        <f>IFERROR(__xludf.DUMMYFUNCTION("""COMPUTED_VALUE"""),1.05)</f>
        <v>1.05</v>
      </c>
    </row>
    <row r="3342">
      <c r="A3342" s="13" t="str">
        <f>IFERROR(__xludf.DUMMYFUNCTION("""COMPUTED_VALUE"""),"товари")</f>
        <v>товари</v>
      </c>
      <c r="B3342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2" s="16" t="str">
        <f>IFERROR(__xludf.DUMMYFUNCTION("""COMPUTED_VALUE"""),"рослинництво")</f>
        <v>рослинництво</v>
      </c>
      <c r="D3342" s="16" t="str">
        <f>IFERROR(__xludf.DUMMYFUNCTION("""COMPUTED_VALUE"""),"добрива")</f>
        <v>добрива</v>
      </c>
      <c r="E3342" s="16" t="str">
        <f>IFERROR(__xludf.DUMMYFUNCTION("""COMPUTED_VALUE"""),"добрива, загальне")</f>
        <v>добрива, загальне</v>
      </c>
      <c r="F3342" s="17">
        <f>IFERROR(__xludf.DUMMYFUNCTION("""COMPUTED_VALUE"""),4.0)</f>
        <v>4</v>
      </c>
      <c r="G3342" s="17" t="str">
        <f>IFERROR(__xludf.DUMMYFUNCTION("""COMPUTED_VALUE"""),"11699")</f>
        <v>11699</v>
      </c>
      <c r="H3342" s="17" t="str">
        <f>IFERROR(__xludf.DUMMYFUNCTION("""COMPUTED_VALUE"""),"добрива, загальне")</f>
        <v>добрива, загальне</v>
      </c>
      <c r="I3342" s="19">
        <f>IFERROR(__xludf.DUMMYFUNCTION("""COMPUTED_VALUE"""),0.125)</f>
        <v>0.125</v>
      </c>
      <c r="J3342" s="19">
        <f>IFERROR(__xludf.DUMMYFUNCTION("""COMPUTED_VALUE"""),0.25)</f>
        <v>0.25</v>
      </c>
      <c r="K3342" s="19">
        <f>IFERROR(__xludf.DUMMYFUNCTION("""COMPUTED_VALUE"""),0.3125)</f>
        <v>0.3125</v>
      </c>
      <c r="L3342" s="19">
        <f>IFERROR(__xludf.DUMMYFUNCTION("""COMPUTED_VALUE"""),0.375)</f>
        <v>0.375</v>
      </c>
      <c r="M3342" s="18">
        <f>IFERROR(__xludf.DUMMYFUNCTION("""COMPUTED_VALUE"""),4.33)</f>
        <v>4.33</v>
      </c>
    </row>
    <row r="3343">
      <c r="A3343" s="13" t="str">
        <f>IFERROR(__xludf.DUMMYFUNCTION("""COMPUTED_VALUE"""),"товари")</f>
        <v>товари</v>
      </c>
      <c r="B3343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3" s="16" t="str">
        <f>IFERROR(__xludf.DUMMYFUNCTION("""COMPUTED_VALUE"""),"сільськогосподарська техніка")</f>
        <v>сільськогосподарська техніка</v>
      </c>
      <c r="D3343" s="16" t="str">
        <f>IFERROR(__xludf.DUMMYFUNCTION("""COMPUTED_VALUE"""),"навісне та причіпне сільгоспобладнання")</f>
        <v>навісне та причіпне сільгоспобладнання</v>
      </c>
      <c r="E3343" s="16" t="str">
        <f>IFERROR(__xludf.DUMMYFUNCTION("""COMPUTED_VALUE"""),"додаткове обладнання для культиваторів")</f>
        <v>додаткове обладнання для культиваторів</v>
      </c>
      <c r="F3343" s="17">
        <f>IFERROR(__xludf.DUMMYFUNCTION("""COMPUTED_VALUE"""),4.0)</f>
        <v>4</v>
      </c>
      <c r="G3343" s="17" t="str">
        <f>IFERROR(__xludf.DUMMYFUNCTION("""COMPUTED_VALUE"""),"1280808")</f>
        <v>1280808</v>
      </c>
      <c r="H3343" s="17" t="str">
        <f>IFERROR(__xludf.DUMMYFUNCTION("""COMPUTED_VALUE"""),"додаткове обладнання для культиваторів")</f>
        <v>додаткове обладнання для культиваторів</v>
      </c>
      <c r="I3343" s="19">
        <f>IFERROR(__xludf.DUMMYFUNCTION("""COMPUTED_VALUE"""),0.0485)</f>
        <v>0.0485</v>
      </c>
      <c r="J3343" s="19">
        <f>IFERROR(__xludf.DUMMYFUNCTION("""COMPUTED_VALUE"""),0.097)</f>
        <v>0.097</v>
      </c>
      <c r="K3343" s="19">
        <f>IFERROR(__xludf.DUMMYFUNCTION("""COMPUTED_VALUE"""),0.1213)</f>
        <v>0.1213</v>
      </c>
      <c r="L3343" s="19">
        <f>IFERROR(__xludf.DUMMYFUNCTION("""COMPUTED_VALUE"""),0.1455)</f>
        <v>0.1455</v>
      </c>
      <c r="M3343" s="18">
        <f>IFERROR(__xludf.DUMMYFUNCTION("""COMPUTED_VALUE"""),3.75)</f>
        <v>3.75</v>
      </c>
    </row>
    <row r="3344">
      <c r="A3344" s="13" t="str">
        <f>IFERROR(__xludf.DUMMYFUNCTION("""COMPUTED_VALUE"""),"товари")</f>
        <v>товари</v>
      </c>
      <c r="B3344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4" s="16" t="str">
        <f>IFERROR(__xludf.DUMMYFUNCTION("""COMPUTED_VALUE"""),"сільськогосподарське обладнання")</f>
        <v>сільськогосподарське обладнання</v>
      </c>
      <c r="D3344" s="16" t="str">
        <f>IFERROR(__xludf.DUMMYFUNCTION("""COMPUTED_VALUE"""),"обладнання для тваринництва")</f>
        <v>обладнання для тваринництва</v>
      </c>
      <c r="E3344" s="16" t="str">
        <f>IFERROR(__xludf.DUMMYFUNCTION("""COMPUTED_VALUE"""),"електрозагорожі, електропастухи")</f>
        <v>електрозагорожі, електропастухи</v>
      </c>
      <c r="F3344" s="17">
        <f>IFERROR(__xludf.DUMMYFUNCTION("""COMPUTED_VALUE"""),4.0)</f>
        <v>4</v>
      </c>
      <c r="G3344" s="17" t="str">
        <f>IFERROR(__xludf.DUMMYFUNCTION("""COMPUTED_VALUE"""),"13112")</f>
        <v>13112</v>
      </c>
      <c r="H3344" s="17" t="str">
        <f>IFERROR(__xludf.DUMMYFUNCTION("""COMPUTED_VALUE"""),"електрозагорожі, електропастухи")</f>
        <v>електрозагорожі, електропастухи</v>
      </c>
      <c r="I3344" s="19">
        <f>IFERROR(__xludf.DUMMYFUNCTION("""COMPUTED_VALUE"""),0.0499)</f>
        <v>0.0499</v>
      </c>
      <c r="J3344" s="19">
        <f>IFERROR(__xludf.DUMMYFUNCTION("""COMPUTED_VALUE"""),0.0998)</f>
        <v>0.0998</v>
      </c>
      <c r="K3344" s="19">
        <f>IFERROR(__xludf.DUMMYFUNCTION("""COMPUTED_VALUE"""),0.1248)</f>
        <v>0.1248</v>
      </c>
      <c r="L3344" s="19">
        <f>IFERROR(__xludf.DUMMYFUNCTION("""COMPUTED_VALUE"""),0.1497)</f>
        <v>0.1497</v>
      </c>
      <c r="M3344" s="18">
        <f>IFERROR(__xludf.DUMMYFUNCTION("""COMPUTED_VALUE"""),3.88)</f>
        <v>3.88</v>
      </c>
    </row>
    <row r="3345">
      <c r="A3345" s="13" t="str">
        <f>IFERROR(__xludf.DUMMYFUNCTION("""COMPUTED_VALUE"""),"товари")</f>
        <v>товари</v>
      </c>
      <c r="B3345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5" s="16" t="str">
        <f>IFERROR(__xludf.DUMMYFUNCTION("""COMPUTED_VALUE"""),"сільськогосподарська техніка")</f>
        <v>сільськогосподарська техніка</v>
      </c>
      <c r="D3345" s="16" t="str">
        <f>IFERROR(__xludf.DUMMYFUNCTION("""COMPUTED_VALUE"""),"запасні частини для причіпної техніки")</f>
        <v>запасні частини для причіпної техніки</v>
      </c>
      <c r="E3345" s="16" t="str">
        <f>IFERROR(__xludf.DUMMYFUNCTION("""COMPUTED_VALUE"""),"запасні частини для причіпної техніки")</f>
        <v>запасні частини для причіпної техніки</v>
      </c>
      <c r="F3345" s="17">
        <f>IFERROR(__xludf.DUMMYFUNCTION("""COMPUTED_VALUE"""),3.0)</f>
        <v>3</v>
      </c>
      <c r="G3345" s="17" t="str">
        <f>IFERROR(__xludf.DUMMYFUNCTION("""COMPUTED_VALUE"""),"14090204")</f>
        <v>14090204</v>
      </c>
      <c r="H3345" s="17" t="str">
        <f>IFERROR(__xludf.DUMMYFUNCTION("""COMPUTED_VALUE"""),"запасні частини для причіпної техніки")</f>
        <v>запасні частини для причіпної техніки</v>
      </c>
      <c r="I3345" s="19">
        <f>IFERROR(__xludf.DUMMYFUNCTION("""COMPUTED_VALUE"""),0.0447)</f>
        <v>0.0447</v>
      </c>
      <c r="J3345" s="19">
        <f>IFERROR(__xludf.DUMMYFUNCTION("""COMPUTED_VALUE"""),0.0893)</f>
        <v>0.0893</v>
      </c>
      <c r="K3345" s="19">
        <f>IFERROR(__xludf.DUMMYFUNCTION("""COMPUTED_VALUE"""),0.1116)</f>
        <v>0.1116</v>
      </c>
      <c r="L3345" s="19">
        <f>IFERROR(__xludf.DUMMYFUNCTION("""COMPUTED_VALUE"""),0.134)</f>
        <v>0.134</v>
      </c>
      <c r="M3345" s="18">
        <f>IFERROR(__xludf.DUMMYFUNCTION("""COMPUTED_VALUE"""),3.75)</f>
        <v>3.75</v>
      </c>
    </row>
    <row r="3346">
      <c r="A3346" s="13" t="str">
        <f>IFERROR(__xludf.DUMMYFUNCTION("""COMPUTED_VALUE"""),"товари")</f>
        <v>товари</v>
      </c>
      <c r="B3346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6" s="16" t="str">
        <f>IFERROR(__xludf.DUMMYFUNCTION("""COMPUTED_VALUE"""),"сільськогосподарська техніка")</f>
        <v>сільськогосподарська техніка</v>
      </c>
      <c r="D3346" s="16" t="str">
        <f>IFERROR(__xludf.DUMMYFUNCTION("""COMPUTED_VALUE""")," запчастини до грунтообробної техніки")</f>
        <v> запчастини до грунтообробної техніки</v>
      </c>
      <c r="E3346" s="16" t="str">
        <f>IFERROR(__xludf.DUMMYFUNCTION("""COMPUTED_VALUE""")," запчастини до грунтообробної техніки")</f>
        <v> запчастини до грунтообробної техніки</v>
      </c>
      <c r="F3346" s="17">
        <f>IFERROR(__xludf.DUMMYFUNCTION("""COMPUTED_VALUE"""),3.0)</f>
        <v>3</v>
      </c>
      <c r="G3346" s="17" t="str">
        <f>IFERROR(__xludf.DUMMYFUNCTION("""COMPUTED_VALUE"""),"14090207")</f>
        <v>14090207</v>
      </c>
      <c r="H3346" s="17" t="str">
        <f>IFERROR(__xludf.DUMMYFUNCTION("""COMPUTED_VALUE""")," запчастини до грунтообробної техніки")</f>
        <v> запчастини до грунтообробної техніки</v>
      </c>
      <c r="I3346" s="19">
        <f>IFERROR(__xludf.DUMMYFUNCTION("""COMPUTED_VALUE"""),0.0515)</f>
        <v>0.0515</v>
      </c>
      <c r="J3346" s="19">
        <f>IFERROR(__xludf.DUMMYFUNCTION("""COMPUTED_VALUE"""),0.103)</f>
        <v>0.103</v>
      </c>
      <c r="K3346" s="19">
        <f>IFERROR(__xludf.DUMMYFUNCTION("""COMPUTED_VALUE"""),0.1288)</f>
        <v>0.1288</v>
      </c>
      <c r="L3346" s="19">
        <f>IFERROR(__xludf.DUMMYFUNCTION("""COMPUTED_VALUE"""),0.1545)</f>
        <v>0.1545</v>
      </c>
      <c r="M3346" s="18">
        <f>IFERROR(__xludf.DUMMYFUNCTION("""COMPUTED_VALUE"""),1.8)</f>
        <v>1.8</v>
      </c>
    </row>
    <row r="3347">
      <c r="A3347" s="13" t="str">
        <f>IFERROR(__xludf.DUMMYFUNCTION("""COMPUTED_VALUE"""),"товари")</f>
        <v>товари</v>
      </c>
      <c r="B3347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7" s="16" t="str">
        <f>IFERROR(__xludf.DUMMYFUNCTION("""COMPUTED_VALUE"""),"сільськогосподарське обладнання")</f>
        <v>сільськогосподарське обладнання</v>
      </c>
      <c r="D3347" s="16" t="str">
        <f>IFERROR(__xludf.DUMMYFUNCTION("""COMPUTED_VALUE"""),"обладнання для тваринництва")</f>
        <v>обладнання для тваринництва</v>
      </c>
      <c r="E3347" s="16" t="str">
        <f>IFERROR(__xludf.DUMMYFUNCTION("""COMPUTED_VALUE"""),"запчастини та аксесуари до доїльних апаратів")</f>
        <v>запчастини та аксесуари до доїльних апаратів</v>
      </c>
      <c r="F3347" s="17">
        <f>IFERROR(__xludf.DUMMYFUNCTION("""COMPUTED_VALUE"""),4.0)</f>
        <v>4</v>
      </c>
      <c r="G3347" s="17">
        <f>IFERROR(__xludf.DUMMYFUNCTION("""COMPUTED_VALUE"""),1310702.0)</f>
        <v>1310702</v>
      </c>
      <c r="H3347" s="17" t="str">
        <f>IFERROR(__xludf.DUMMYFUNCTION("""COMPUTED_VALUE"""),"запчастини та аксесуари до доїльних апаратів")</f>
        <v>запчастини та аксесуари до доїльних апаратів</v>
      </c>
      <c r="I3347" s="19">
        <f>IFERROR(__xludf.DUMMYFUNCTION("""COMPUTED_VALUE"""),0.0477)</f>
        <v>0.0477</v>
      </c>
      <c r="J3347" s="19">
        <f>IFERROR(__xludf.DUMMYFUNCTION("""COMPUTED_VALUE"""),0.0953)</f>
        <v>0.0953</v>
      </c>
      <c r="K3347" s="19">
        <f>IFERROR(__xludf.DUMMYFUNCTION("""COMPUTED_VALUE"""),0.1191)</f>
        <v>0.1191</v>
      </c>
      <c r="L3347" s="19">
        <f>IFERROR(__xludf.DUMMYFUNCTION("""COMPUTED_VALUE"""),0.143)</f>
        <v>0.143</v>
      </c>
      <c r="M3347" s="18">
        <f>IFERROR(__xludf.DUMMYFUNCTION("""COMPUTED_VALUE"""),3.88)</f>
        <v>3.88</v>
      </c>
    </row>
    <row r="3348">
      <c r="A3348" s="13" t="str">
        <f>IFERROR(__xludf.DUMMYFUNCTION("""COMPUTED_VALUE"""),"товари")</f>
        <v>товари</v>
      </c>
      <c r="B3348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8" s="16" t="str">
        <f>IFERROR(__xludf.DUMMYFUNCTION("""COMPUTED_VALUE"""),"рослинництво")</f>
        <v>рослинництво</v>
      </c>
      <c r="D3348" s="16" t="str">
        <f>IFERROR(__xludf.DUMMYFUNCTION("""COMPUTED_VALUE"""),"засоби захисту рослин")</f>
        <v>засоби захисту рослин</v>
      </c>
      <c r="E3348" s="16" t="str">
        <f>IFERROR(__xludf.DUMMYFUNCTION("""COMPUTED_VALUE"""),"засоби захисту рослин, загальне")</f>
        <v>засоби захисту рослин, загальне</v>
      </c>
      <c r="F3348" s="17">
        <f>IFERROR(__xludf.DUMMYFUNCTION("""COMPUTED_VALUE"""),4.0)</f>
        <v>4</v>
      </c>
      <c r="G3348" s="17" t="str">
        <f>IFERROR(__xludf.DUMMYFUNCTION("""COMPUTED_VALUE"""),"11106")</f>
        <v>11106</v>
      </c>
      <c r="H3348" s="17" t="str">
        <f>IFERROR(__xludf.DUMMYFUNCTION("""COMPUTED_VALUE"""),"засоби захисту рослин, загальне")</f>
        <v>засоби захисту рослин, загальне</v>
      </c>
      <c r="I3348" s="19">
        <f>IFERROR(__xludf.DUMMYFUNCTION("""COMPUTED_VALUE"""),0.125)</f>
        <v>0.125</v>
      </c>
      <c r="J3348" s="19">
        <f>IFERROR(__xludf.DUMMYFUNCTION("""COMPUTED_VALUE"""),0.25)</f>
        <v>0.25</v>
      </c>
      <c r="K3348" s="19">
        <f>IFERROR(__xludf.DUMMYFUNCTION("""COMPUTED_VALUE"""),0.3125)</f>
        <v>0.3125</v>
      </c>
      <c r="L3348" s="19">
        <f>IFERROR(__xludf.DUMMYFUNCTION("""COMPUTED_VALUE"""),0.375)</f>
        <v>0.375</v>
      </c>
      <c r="M3348" s="18">
        <f>IFERROR(__xludf.DUMMYFUNCTION("""COMPUTED_VALUE"""),4.33)</f>
        <v>4.33</v>
      </c>
    </row>
    <row r="3349">
      <c r="A3349" s="13" t="str">
        <f>IFERROR(__xludf.DUMMYFUNCTION("""COMPUTED_VALUE"""),"товари")</f>
        <v>товари</v>
      </c>
      <c r="B3349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49" s="16" t="str">
        <f>IFERROR(__xludf.DUMMYFUNCTION("""COMPUTED_VALUE"""),"рослинництво")</f>
        <v>рослинництво</v>
      </c>
      <c r="D3349" s="16" t="str">
        <f>IFERROR(__xludf.DUMMYFUNCTION("""COMPUTED_VALUE"""),"засоби захисту рослин")</f>
        <v>засоби захисту рослин</v>
      </c>
      <c r="E3349" s="16" t="str">
        <f>IFERROR(__xludf.DUMMYFUNCTION("""COMPUTED_VALUE"""),"зооциди")</f>
        <v>зооциди</v>
      </c>
      <c r="F3349" s="17">
        <f>IFERROR(__xludf.DUMMYFUNCTION("""COMPUTED_VALUE"""),4.0)</f>
        <v>4</v>
      </c>
      <c r="G3349" s="17" t="str">
        <f>IFERROR(__xludf.DUMMYFUNCTION("""COMPUTED_VALUE"""),"1160208")</f>
        <v>1160208</v>
      </c>
      <c r="H3349" s="17" t="str">
        <f>IFERROR(__xludf.DUMMYFUNCTION("""COMPUTED_VALUE"""),"зооциди")</f>
        <v>зооциди</v>
      </c>
      <c r="I3349" s="19">
        <f>IFERROR(__xludf.DUMMYFUNCTION("""COMPUTED_VALUE"""),0.0694)</f>
        <v>0.0694</v>
      </c>
      <c r="J3349" s="19">
        <f>IFERROR(__xludf.DUMMYFUNCTION("""COMPUTED_VALUE"""),0.1388)</f>
        <v>0.1388</v>
      </c>
      <c r="K3349" s="19">
        <f>IFERROR(__xludf.DUMMYFUNCTION("""COMPUTED_VALUE"""),0.1735)</f>
        <v>0.1735</v>
      </c>
      <c r="L3349" s="19">
        <f>IFERROR(__xludf.DUMMYFUNCTION("""COMPUTED_VALUE"""),0.2082)</f>
        <v>0.2082</v>
      </c>
      <c r="M3349" s="18">
        <f>IFERROR(__xludf.DUMMYFUNCTION("""COMPUTED_VALUE"""),1.05)</f>
        <v>1.05</v>
      </c>
    </row>
    <row r="3350">
      <c r="A3350" s="13" t="str">
        <f>IFERROR(__xludf.DUMMYFUNCTION("""COMPUTED_VALUE"""),"товари")</f>
        <v>товари</v>
      </c>
      <c r="B3350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0" s="16" t="str">
        <f>IFERROR(__xludf.DUMMYFUNCTION("""COMPUTED_VALUE"""),"сільськогосподарське обладнання")</f>
        <v>сільськогосподарське обладнання</v>
      </c>
      <c r="D3350" s="16" t="str">
        <f>IFERROR(__xludf.DUMMYFUNCTION("""COMPUTED_VALUE"""),"обладнання для тваринництва")</f>
        <v>обладнання для тваринництва</v>
      </c>
      <c r="E3350" s="16" t="str">
        <f>IFERROR(__xludf.DUMMYFUNCTION("""COMPUTED_VALUE"""),"інвентар для бджільництва")</f>
        <v>інвентар для бджільництва</v>
      </c>
      <c r="F3350" s="17">
        <f>IFERROR(__xludf.DUMMYFUNCTION("""COMPUTED_VALUE"""),4.0)</f>
        <v>4</v>
      </c>
      <c r="G3350" s="17" t="str">
        <f>IFERROR(__xludf.DUMMYFUNCTION("""COMPUTED_VALUE"""),"12814")</f>
        <v>12814</v>
      </c>
      <c r="H3350" s="17" t="str">
        <f>IFERROR(__xludf.DUMMYFUNCTION("""COMPUTED_VALUE"""),"інвентар для бджільництва")</f>
        <v>інвентар для бджільництва</v>
      </c>
      <c r="I3350" s="19">
        <f>IFERROR(__xludf.DUMMYFUNCTION("""COMPUTED_VALUE"""),0.0519)</f>
        <v>0.0519</v>
      </c>
      <c r="J3350" s="19">
        <f>IFERROR(__xludf.DUMMYFUNCTION("""COMPUTED_VALUE"""),0.1037)</f>
        <v>0.1037</v>
      </c>
      <c r="K3350" s="19">
        <f>IFERROR(__xludf.DUMMYFUNCTION("""COMPUTED_VALUE"""),0.1296)</f>
        <v>0.1296</v>
      </c>
      <c r="L3350" s="19">
        <f>IFERROR(__xludf.DUMMYFUNCTION("""COMPUTED_VALUE"""),0.1556)</f>
        <v>0.1556</v>
      </c>
      <c r="M3350" s="18">
        <f>IFERROR(__xludf.DUMMYFUNCTION("""COMPUTED_VALUE"""),3.88)</f>
        <v>3.88</v>
      </c>
    </row>
    <row r="3351">
      <c r="A3351" s="13" t="str">
        <f>IFERROR(__xludf.DUMMYFUNCTION("""COMPUTED_VALUE"""),"товари")</f>
        <v>товари</v>
      </c>
      <c r="B3351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1" s="16" t="str">
        <f>IFERROR(__xludf.DUMMYFUNCTION("""COMPUTED_VALUE"""),"рослинництво")</f>
        <v>рослинництво</v>
      </c>
      <c r="D3351" s="16" t="str">
        <f>IFERROR(__xludf.DUMMYFUNCTION("""COMPUTED_VALUE"""),"засоби захисту рослин")</f>
        <v>засоби захисту рослин</v>
      </c>
      <c r="E3351" s="16" t="str">
        <f>IFERROR(__xludf.DUMMYFUNCTION("""COMPUTED_VALUE"""),"інсектициди")</f>
        <v>інсектициди</v>
      </c>
      <c r="F3351" s="17">
        <f>IFERROR(__xludf.DUMMYFUNCTION("""COMPUTED_VALUE"""),4.0)</f>
        <v>4</v>
      </c>
      <c r="G3351" s="17" t="str">
        <f>IFERROR(__xludf.DUMMYFUNCTION("""COMPUTED_VALUE"""),"11603")</f>
        <v>11603</v>
      </c>
      <c r="H3351" s="17" t="str">
        <f>IFERROR(__xludf.DUMMYFUNCTION("""COMPUTED_VALUE"""),"інсектициди")</f>
        <v>інсектициди</v>
      </c>
      <c r="I3351" s="19">
        <f>IFERROR(__xludf.DUMMYFUNCTION("""COMPUTED_VALUE"""),0.0778)</f>
        <v>0.0778</v>
      </c>
      <c r="J3351" s="19">
        <f>IFERROR(__xludf.DUMMYFUNCTION("""COMPUTED_VALUE"""),0.1555)</f>
        <v>0.1555</v>
      </c>
      <c r="K3351" s="19">
        <f>IFERROR(__xludf.DUMMYFUNCTION("""COMPUTED_VALUE"""),0.1944)</f>
        <v>0.1944</v>
      </c>
      <c r="L3351" s="19">
        <f>IFERROR(__xludf.DUMMYFUNCTION("""COMPUTED_VALUE"""),0.2333)</f>
        <v>0.2333</v>
      </c>
      <c r="M3351" s="18">
        <f>IFERROR(__xludf.DUMMYFUNCTION("""COMPUTED_VALUE"""),1.05)</f>
        <v>1.05</v>
      </c>
    </row>
    <row r="3352">
      <c r="A3352" s="13" t="str">
        <f>IFERROR(__xludf.DUMMYFUNCTION("""COMPUTED_VALUE"""),"товари")</f>
        <v>товари</v>
      </c>
      <c r="B3352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2" s="16" t="str">
        <f>IFERROR(__xludf.DUMMYFUNCTION("""COMPUTED_VALUE"""),"рослинництво")</f>
        <v>рослинництво</v>
      </c>
      <c r="D3352" s="16" t="str">
        <f>IFERROR(__xludf.DUMMYFUNCTION("""COMPUTED_VALUE"""),"добрива")</f>
        <v>добрива</v>
      </c>
      <c r="E3352" s="16" t="str">
        <f>IFERROR(__xludf.DUMMYFUNCTION("""COMPUTED_VALUE"""),"калійні добрива")</f>
        <v>калійні добрива</v>
      </c>
      <c r="F3352" s="17">
        <f>IFERROR(__xludf.DUMMYFUNCTION("""COMPUTED_VALUE"""),4.0)</f>
        <v>4</v>
      </c>
      <c r="G3352" s="17" t="str">
        <f>IFERROR(__xludf.DUMMYFUNCTION("""COMPUTED_VALUE"""),"11506")</f>
        <v>11506</v>
      </c>
      <c r="H3352" s="17" t="str">
        <f>IFERROR(__xludf.DUMMYFUNCTION("""COMPUTED_VALUE"""),"калійні добрива")</f>
        <v>калійні добрива</v>
      </c>
      <c r="I3352" s="19">
        <f>IFERROR(__xludf.DUMMYFUNCTION("""COMPUTED_VALUE"""),0.0688)</f>
        <v>0.0688</v>
      </c>
      <c r="J3352" s="19">
        <f>IFERROR(__xludf.DUMMYFUNCTION("""COMPUTED_VALUE"""),0.1375)</f>
        <v>0.1375</v>
      </c>
      <c r="K3352" s="19">
        <f>IFERROR(__xludf.DUMMYFUNCTION("""COMPUTED_VALUE"""),0.1719)</f>
        <v>0.1719</v>
      </c>
      <c r="L3352" s="19">
        <f>IFERROR(__xludf.DUMMYFUNCTION("""COMPUTED_VALUE"""),0.2063)</f>
        <v>0.2063</v>
      </c>
      <c r="M3352" s="18">
        <f>IFERROR(__xludf.DUMMYFUNCTION("""COMPUTED_VALUE"""),1.53)</f>
        <v>1.53</v>
      </c>
    </row>
    <row r="3353">
      <c r="A3353" s="13" t="str">
        <f>IFERROR(__xludf.DUMMYFUNCTION("""COMPUTED_VALUE"""),"товари")</f>
        <v>товари</v>
      </c>
      <c r="B3353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3" s="16" t="str">
        <f>IFERROR(__xludf.DUMMYFUNCTION("""COMPUTED_VALUE"""),"рослинництво")</f>
        <v>рослинництво</v>
      </c>
      <c r="D3353" s="16" t="str">
        <f>IFERROR(__xludf.DUMMYFUNCTION("""COMPUTED_VALUE"""),"добрива")</f>
        <v>добрива</v>
      </c>
      <c r="E3353" s="16" t="str">
        <f>IFERROR(__xludf.DUMMYFUNCTION("""COMPUTED_VALUE"""),"кальцієві добрива")</f>
        <v>кальцієві добрива</v>
      </c>
      <c r="F3353" s="17">
        <f>IFERROR(__xludf.DUMMYFUNCTION("""COMPUTED_VALUE"""),4.0)</f>
        <v>4</v>
      </c>
      <c r="G3353" s="17" t="str">
        <f>IFERROR(__xludf.DUMMYFUNCTION("""COMPUTED_VALUE"""),"11608")</f>
        <v>11608</v>
      </c>
      <c r="H3353" s="17" t="str">
        <f>IFERROR(__xludf.DUMMYFUNCTION("""COMPUTED_VALUE"""),"кальцієві добрива")</f>
        <v>кальцієві добрива</v>
      </c>
      <c r="I3353" s="19">
        <f>IFERROR(__xludf.DUMMYFUNCTION("""COMPUTED_VALUE"""),0.0688)</f>
        <v>0.0688</v>
      </c>
      <c r="J3353" s="19">
        <f>IFERROR(__xludf.DUMMYFUNCTION("""COMPUTED_VALUE"""),0.1375)</f>
        <v>0.1375</v>
      </c>
      <c r="K3353" s="19">
        <f>IFERROR(__xludf.DUMMYFUNCTION("""COMPUTED_VALUE"""),0.1719)</f>
        <v>0.1719</v>
      </c>
      <c r="L3353" s="19">
        <f>IFERROR(__xludf.DUMMYFUNCTION("""COMPUTED_VALUE"""),0.2063)</f>
        <v>0.2063</v>
      </c>
      <c r="M3353" s="18">
        <f>IFERROR(__xludf.DUMMYFUNCTION("""COMPUTED_VALUE"""),1.53)</f>
        <v>1.53</v>
      </c>
    </row>
    <row r="3354">
      <c r="A3354" s="13" t="str">
        <f>IFERROR(__xludf.DUMMYFUNCTION("""COMPUTED_VALUE"""),"товари")</f>
        <v>товари</v>
      </c>
      <c r="B3354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4" s="16" t="str">
        <f>IFERROR(__xludf.DUMMYFUNCTION("""COMPUTED_VALUE"""),"тваринництво")</f>
        <v>тваринництво</v>
      </c>
      <c r="D3354" s="16" t="str">
        <f>IFERROR(__xludf.DUMMYFUNCTION("""COMPUTED_VALUE"""),"сільськогосподарські корми")</f>
        <v>сільськогосподарські корми</v>
      </c>
      <c r="E3354" s="16" t="str">
        <f>IFERROR(__xludf.DUMMYFUNCTION("""COMPUTED_VALUE"""),"комбікорми та премікси")</f>
        <v>комбікорми та премікси</v>
      </c>
      <c r="F3354" s="17">
        <f>IFERROR(__xludf.DUMMYFUNCTION("""COMPUTED_VALUE"""),4.0)</f>
        <v>4</v>
      </c>
      <c r="G3354" s="17" t="str">
        <f>IFERROR(__xludf.DUMMYFUNCTION("""COMPUTED_VALUE"""),"11302")</f>
        <v>11302</v>
      </c>
      <c r="H3354" s="17" t="str">
        <f>IFERROR(__xludf.DUMMYFUNCTION("""COMPUTED_VALUE"""),"комбікорми та премікси")</f>
        <v>комбікорми та премікси</v>
      </c>
      <c r="I3354" s="19">
        <f>IFERROR(__xludf.DUMMYFUNCTION("""COMPUTED_VALUE"""),0.0505)</f>
        <v>0.0505</v>
      </c>
      <c r="J3354" s="19">
        <f>IFERROR(__xludf.DUMMYFUNCTION("""COMPUTED_VALUE"""),0.1009)</f>
        <v>0.1009</v>
      </c>
      <c r="K3354" s="19">
        <f>IFERROR(__xludf.DUMMYFUNCTION("""COMPUTED_VALUE"""),0.1261)</f>
        <v>0.1261</v>
      </c>
      <c r="L3354" s="19">
        <f>IFERROR(__xludf.DUMMYFUNCTION("""COMPUTED_VALUE"""),0.1514)</f>
        <v>0.1514</v>
      </c>
      <c r="M3354" s="18">
        <f>IFERROR(__xludf.DUMMYFUNCTION("""COMPUTED_VALUE"""),1.53)</f>
        <v>1.53</v>
      </c>
    </row>
    <row r="3355">
      <c r="A3355" s="16" t="str">
        <f>IFERROR(__xludf.DUMMYFUNCTION("""COMPUTED_VALUE"""),"товари")</f>
        <v>товари</v>
      </c>
      <c r="B3355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5" s="16" t="str">
        <f>IFERROR(__xludf.DUMMYFUNCTION("""COMPUTED_VALUE"""),"рослинництво")</f>
        <v>рослинництво</v>
      </c>
      <c r="D3355" s="16" t="str">
        <f>IFERROR(__xludf.DUMMYFUNCTION("""COMPUTED_VALUE"""),"добрива")</f>
        <v>добрива</v>
      </c>
      <c r="E3355" s="16" t="str">
        <f>IFERROR(__xludf.DUMMYFUNCTION("""COMPUTED_VALUE"""),"комплексні добрива")</f>
        <v>комплексні добрива</v>
      </c>
      <c r="F3355" s="17">
        <f>IFERROR(__xludf.DUMMYFUNCTION("""COMPUTED_VALUE"""),4.0)</f>
        <v>4</v>
      </c>
      <c r="G3355" s="17" t="str">
        <f>IFERROR(__xludf.DUMMYFUNCTION("""COMPUTED_VALUE"""),"11503")</f>
        <v>11503</v>
      </c>
      <c r="H3355" s="17" t="str">
        <f>IFERROR(__xludf.DUMMYFUNCTION("""COMPUTED_VALUE"""),"комплексні добрива")</f>
        <v>комплексні добрива</v>
      </c>
      <c r="I3355" s="19">
        <f>IFERROR(__xludf.DUMMYFUNCTION("""COMPUTED_VALUE"""),0.0688)</f>
        <v>0.0688</v>
      </c>
      <c r="J3355" s="19">
        <f>IFERROR(__xludf.DUMMYFUNCTION("""COMPUTED_VALUE"""),0.1375)</f>
        <v>0.1375</v>
      </c>
      <c r="K3355" s="19">
        <f>IFERROR(__xludf.DUMMYFUNCTION("""COMPUTED_VALUE"""),0.1719)</f>
        <v>0.1719</v>
      </c>
      <c r="L3355" s="19">
        <f>IFERROR(__xludf.DUMMYFUNCTION("""COMPUTED_VALUE"""),0.2063)</f>
        <v>0.2063</v>
      </c>
      <c r="M3355" s="18">
        <f>IFERROR(__xludf.DUMMYFUNCTION("""COMPUTED_VALUE"""),1.53)</f>
        <v>1.53</v>
      </c>
    </row>
    <row r="3356">
      <c r="A3356" s="16" t="str">
        <f>IFERROR(__xludf.DUMMYFUNCTION("""COMPUTED_VALUE"""),"товари")</f>
        <v>товари</v>
      </c>
      <c r="B3356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6" s="16" t="str">
        <f>IFERROR(__xludf.DUMMYFUNCTION("""COMPUTED_VALUE"""),"сільськогосподарська техніка")</f>
        <v>сільськогосподарська техніка</v>
      </c>
      <c r="D3356" s="16" t="str">
        <f>IFERROR(__xludf.DUMMYFUNCTION("""COMPUTED_VALUE"""),"навісне та причіпне сільгоспобладнання")</f>
        <v>навісне та причіпне сільгоспобладнання</v>
      </c>
      <c r="E3356" s="16" t="str">
        <f>IFERROR(__xludf.DUMMYFUNCTION("""COMPUTED_VALUE"""),"комплектуючі для навісного сільгоспобладнання")</f>
        <v>комплектуючі для навісного сільгоспобладнання</v>
      </c>
      <c r="F3356" s="17">
        <f>IFERROR(__xludf.DUMMYFUNCTION("""COMPUTED_VALUE"""),4.0)</f>
        <v>4</v>
      </c>
      <c r="G3356" s="17" t="str">
        <f>IFERROR(__xludf.DUMMYFUNCTION("""COMPUTED_VALUE"""),"1281104")</f>
        <v>1281104</v>
      </c>
      <c r="H3356" s="17" t="str">
        <f>IFERROR(__xludf.DUMMYFUNCTION("""COMPUTED_VALUE"""),"комплектуючі для навісного сільгоспобладнання")</f>
        <v>комплектуючі для навісного сільгоспобладнання</v>
      </c>
      <c r="I3356" s="19">
        <f>IFERROR(__xludf.DUMMYFUNCTION("""COMPUTED_VALUE"""),0.0476)</f>
        <v>0.0476</v>
      </c>
      <c r="J3356" s="19">
        <f>IFERROR(__xludf.DUMMYFUNCTION("""COMPUTED_VALUE"""),0.0951)</f>
        <v>0.0951</v>
      </c>
      <c r="K3356" s="19">
        <f>IFERROR(__xludf.DUMMYFUNCTION("""COMPUTED_VALUE"""),0.1189)</f>
        <v>0.1189</v>
      </c>
      <c r="L3356" s="19">
        <f>IFERROR(__xludf.DUMMYFUNCTION("""COMPUTED_VALUE"""),0.1427)</f>
        <v>0.1427</v>
      </c>
      <c r="M3356" s="18">
        <f>IFERROR(__xludf.DUMMYFUNCTION("""COMPUTED_VALUE"""),3.75)</f>
        <v>3.75</v>
      </c>
    </row>
    <row r="3357">
      <c r="A3357" s="16" t="str">
        <f>IFERROR(__xludf.DUMMYFUNCTION("""COMPUTED_VALUE"""),"товари")</f>
        <v>товари</v>
      </c>
      <c r="B3357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7" s="16" t="str">
        <f>IFERROR(__xludf.DUMMYFUNCTION("""COMPUTED_VALUE"""),"сільськогосподарське обладнання")</f>
        <v>сільськогосподарське обладнання</v>
      </c>
      <c r="D3357" s="16" t="str">
        <f>IFERROR(__xludf.DUMMYFUNCTION("""COMPUTED_VALUE"""),"обладнання для рослинництва")</f>
        <v>обладнання для рослинництва</v>
      </c>
      <c r="E3357" s="16" t="str">
        <f>IFERROR(__xludf.DUMMYFUNCTION("""COMPUTED_VALUE"""),"комплектуючі та запчастини до обприскувачів")</f>
        <v>комплектуючі та запчастини до обприскувачів</v>
      </c>
      <c r="F3357" s="17">
        <f>IFERROR(__xludf.DUMMYFUNCTION("""COMPUTED_VALUE"""),4.0)</f>
        <v>4</v>
      </c>
      <c r="G3357" s="17" t="str">
        <f>IFERROR(__xludf.DUMMYFUNCTION("""COMPUTED_VALUE"""),"12820")</f>
        <v>12820</v>
      </c>
      <c r="H3357" s="17" t="str">
        <f>IFERROR(__xludf.DUMMYFUNCTION("""COMPUTED_VALUE"""),"комплектуючі та запчастини до обприскувачів")</f>
        <v>комплектуючі та запчастини до обприскувачів</v>
      </c>
      <c r="I3357" s="19">
        <f>IFERROR(__xludf.DUMMYFUNCTION("""COMPUTED_VALUE"""),0.0693)</f>
        <v>0.0693</v>
      </c>
      <c r="J3357" s="19">
        <f>IFERROR(__xludf.DUMMYFUNCTION("""COMPUTED_VALUE"""),0.1385)</f>
        <v>0.1385</v>
      </c>
      <c r="K3357" s="19">
        <f>IFERROR(__xludf.DUMMYFUNCTION("""COMPUTED_VALUE"""),0.1731)</f>
        <v>0.1731</v>
      </c>
      <c r="L3357" s="19">
        <f>IFERROR(__xludf.DUMMYFUNCTION("""COMPUTED_VALUE"""),0.2078)</f>
        <v>0.2078</v>
      </c>
      <c r="M3357" s="18">
        <f>IFERROR(__xludf.DUMMYFUNCTION("""COMPUTED_VALUE"""),3.43)</f>
        <v>3.43</v>
      </c>
    </row>
    <row r="3358">
      <c r="A3358" s="13" t="str">
        <f>IFERROR(__xludf.DUMMYFUNCTION("""COMPUTED_VALUE"""),"товари")</f>
        <v>товари</v>
      </c>
      <c r="B3358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8" s="16" t="str">
        <f>IFERROR(__xludf.DUMMYFUNCTION("""COMPUTED_VALUE"""),"тваринництво")</f>
        <v>тваринництво</v>
      </c>
      <c r="D3358" s="16" t="str">
        <f>IFERROR(__xludf.DUMMYFUNCTION("""COMPUTED_VALUE"""),"сільськогосподарські корми")</f>
        <v>сільськогосподарські корми</v>
      </c>
      <c r="E3358" s="16" t="str">
        <f>IFERROR(__xludf.DUMMYFUNCTION("""COMPUTED_VALUE"""),"кормові добавки")</f>
        <v>кормові добавки</v>
      </c>
      <c r="F3358" s="17">
        <f>IFERROR(__xludf.DUMMYFUNCTION("""COMPUTED_VALUE"""),4.0)</f>
        <v>4</v>
      </c>
      <c r="G3358" s="17" t="str">
        <f>IFERROR(__xludf.DUMMYFUNCTION("""COMPUTED_VALUE"""),"818")</f>
        <v>818</v>
      </c>
      <c r="H3358" s="17" t="str">
        <f>IFERROR(__xludf.DUMMYFUNCTION("""COMPUTED_VALUE"""),"кормові добавки")</f>
        <v>кормові добавки</v>
      </c>
      <c r="I3358" s="19">
        <f>IFERROR(__xludf.DUMMYFUNCTION("""COMPUTED_VALUE"""),0.0515)</f>
        <v>0.0515</v>
      </c>
      <c r="J3358" s="19">
        <f>IFERROR(__xludf.DUMMYFUNCTION("""COMPUTED_VALUE"""),0.1029)</f>
        <v>0.1029</v>
      </c>
      <c r="K3358" s="19">
        <f>IFERROR(__xludf.DUMMYFUNCTION("""COMPUTED_VALUE"""),0.1286)</f>
        <v>0.1286</v>
      </c>
      <c r="L3358" s="19">
        <f>IFERROR(__xludf.DUMMYFUNCTION("""COMPUTED_VALUE"""),0.1544)</f>
        <v>0.1544</v>
      </c>
      <c r="M3358" s="18">
        <f>IFERROR(__xludf.DUMMYFUNCTION("""COMPUTED_VALUE"""),1.53)</f>
        <v>1.53</v>
      </c>
    </row>
    <row r="3359">
      <c r="A3359" s="13" t="str">
        <f>IFERROR(__xludf.DUMMYFUNCTION("""COMPUTED_VALUE"""),"товари")</f>
        <v>товари</v>
      </c>
      <c r="B3359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59" s="16" t="str">
        <f>IFERROR(__xludf.DUMMYFUNCTION("""COMPUTED_VALUE"""),"тваринництво")</f>
        <v>тваринництво</v>
      </c>
      <c r="D3359" s="16" t="str">
        <f>IFERROR(__xludf.DUMMYFUNCTION("""COMPUTED_VALUE"""),"маркувальні бирки та кільця")</f>
        <v>маркувальні бирки та кільця</v>
      </c>
      <c r="E3359" s="16" t="str">
        <f>IFERROR(__xludf.DUMMYFUNCTION("""COMPUTED_VALUE"""),"маркувальні бирки та кільця")</f>
        <v>маркувальні бирки та кільця</v>
      </c>
      <c r="F3359" s="17">
        <f>IFERROR(__xludf.DUMMYFUNCTION("""COMPUTED_VALUE"""),3.0)</f>
        <v>3</v>
      </c>
      <c r="G3359" s="17" t="str">
        <f>IFERROR(__xludf.DUMMYFUNCTION("""COMPUTED_VALUE"""),"1100210")</f>
        <v>1100210</v>
      </c>
      <c r="H3359" s="17" t="str">
        <f>IFERROR(__xludf.DUMMYFUNCTION("""COMPUTED_VALUE"""),"маркувальні бирки та кільця")</f>
        <v>маркувальні бирки та кільця</v>
      </c>
      <c r="I3359" s="19">
        <f>IFERROR(__xludf.DUMMYFUNCTION("""COMPUTED_VALUE"""),0.0555)</f>
        <v>0.0555</v>
      </c>
      <c r="J3359" s="19">
        <f>IFERROR(__xludf.DUMMYFUNCTION("""COMPUTED_VALUE"""),0.1109)</f>
        <v>0.1109</v>
      </c>
      <c r="K3359" s="19">
        <f>IFERROR(__xludf.DUMMYFUNCTION("""COMPUTED_VALUE"""),0.1386)</f>
        <v>0.1386</v>
      </c>
      <c r="L3359" s="19">
        <f>IFERROR(__xludf.DUMMYFUNCTION("""COMPUTED_VALUE"""),0.1664)</f>
        <v>0.1664</v>
      </c>
      <c r="M3359" s="18">
        <f>IFERROR(__xludf.DUMMYFUNCTION("""COMPUTED_VALUE"""),1.05)</f>
        <v>1.05</v>
      </c>
    </row>
    <row r="3360">
      <c r="A3360" s="13" t="str">
        <f>IFERROR(__xludf.DUMMYFUNCTION("""COMPUTED_VALUE"""),"товари")</f>
        <v>товари</v>
      </c>
      <c r="B3360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0" s="16" t="str">
        <f>IFERROR(__xludf.DUMMYFUNCTION("""COMPUTED_VALUE"""),"рослинництво")</f>
        <v>рослинництво</v>
      </c>
      <c r="D3360" s="16" t="str">
        <f>IFERROR(__xludf.DUMMYFUNCTION("""COMPUTED_VALUE"""),"добрива")</f>
        <v>добрива</v>
      </c>
      <c r="E3360" s="16" t="str">
        <f>IFERROR(__xludf.DUMMYFUNCTION("""COMPUTED_VALUE"""),"мікродобрива")</f>
        <v>мікродобрива</v>
      </c>
      <c r="F3360" s="17">
        <f>IFERROR(__xludf.DUMMYFUNCTION("""COMPUTED_VALUE"""),4.0)</f>
        <v>4</v>
      </c>
      <c r="G3360" s="17" t="str">
        <f>IFERROR(__xludf.DUMMYFUNCTION("""COMPUTED_VALUE"""),"11607")</f>
        <v>11607</v>
      </c>
      <c r="H3360" s="17" t="str">
        <f>IFERROR(__xludf.DUMMYFUNCTION("""COMPUTED_VALUE"""),"мікродобрива")</f>
        <v>мікродобрива</v>
      </c>
      <c r="I3360" s="19">
        <f>IFERROR(__xludf.DUMMYFUNCTION("""COMPUTED_VALUE"""),0.0688)</f>
        <v>0.0688</v>
      </c>
      <c r="J3360" s="19">
        <f>IFERROR(__xludf.DUMMYFUNCTION("""COMPUTED_VALUE"""),0.1375)</f>
        <v>0.1375</v>
      </c>
      <c r="K3360" s="19">
        <f>IFERROR(__xludf.DUMMYFUNCTION("""COMPUTED_VALUE"""),0.1719)</f>
        <v>0.1719</v>
      </c>
      <c r="L3360" s="19">
        <f>IFERROR(__xludf.DUMMYFUNCTION("""COMPUTED_VALUE"""),0.2063)</f>
        <v>0.2063</v>
      </c>
      <c r="M3360" s="18">
        <f>IFERROR(__xludf.DUMMYFUNCTION("""COMPUTED_VALUE"""),1.53)</f>
        <v>1.53</v>
      </c>
    </row>
    <row r="3361">
      <c r="A3361" s="13" t="str">
        <f>IFERROR(__xludf.DUMMYFUNCTION("""COMPUTED_VALUE"""),"товари")</f>
        <v>товари</v>
      </c>
      <c r="B3361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1" s="16" t="str">
        <f>IFERROR(__xludf.DUMMYFUNCTION("""COMPUTED_VALUE"""),"рослинництво")</f>
        <v>рослинництво</v>
      </c>
      <c r="D3361" s="16" t="str">
        <f>IFERROR(__xludf.DUMMYFUNCTION("""COMPUTED_VALUE"""),"польові культури")</f>
        <v>польові культури</v>
      </c>
      <c r="E3361" s="16" t="str">
        <f>IFERROR(__xludf.DUMMYFUNCTION("""COMPUTED_VALUE"""),"насіння зернових культур")</f>
        <v>насіння зернових культур</v>
      </c>
      <c r="F3361" s="17">
        <f>IFERROR(__xludf.DUMMYFUNCTION("""COMPUTED_VALUE"""),4.0)</f>
        <v>4</v>
      </c>
      <c r="G3361" s="17">
        <f>IFERROR(__xludf.DUMMYFUNCTION("""COMPUTED_VALUE"""),10102.0)</f>
        <v>10102</v>
      </c>
      <c r="H3361" s="17" t="str">
        <f>IFERROR(__xludf.DUMMYFUNCTION("""COMPUTED_VALUE"""),"насіння зернових культур")</f>
        <v>насіння зернових культур</v>
      </c>
      <c r="I3361" s="19">
        <f>IFERROR(__xludf.DUMMYFUNCTION("""COMPUTED_VALUE"""),0.0683)</f>
        <v>0.0683</v>
      </c>
      <c r="J3361" s="19">
        <f>IFERROR(__xludf.DUMMYFUNCTION("""COMPUTED_VALUE"""),0.1365)</f>
        <v>0.1365</v>
      </c>
      <c r="K3361" s="19">
        <f>IFERROR(__xludf.DUMMYFUNCTION("""COMPUTED_VALUE"""),0.1706)</f>
        <v>0.1706</v>
      </c>
      <c r="L3361" s="19">
        <f>IFERROR(__xludf.DUMMYFUNCTION("""COMPUTED_VALUE"""),0.2048)</f>
        <v>0.2048</v>
      </c>
      <c r="M3361" s="18">
        <f>IFERROR(__xludf.DUMMYFUNCTION("""COMPUTED_VALUE"""),1.53)</f>
        <v>1.53</v>
      </c>
    </row>
    <row r="3362">
      <c r="A3362" s="13" t="str">
        <f>IFERROR(__xludf.DUMMYFUNCTION("""COMPUTED_VALUE"""),"товари")</f>
        <v>товари</v>
      </c>
      <c r="B3362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2" s="16" t="str">
        <f>IFERROR(__xludf.DUMMYFUNCTION("""COMPUTED_VALUE"""),"рослинництво")</f>
        <v>рослинництво</v>
      </c>
      <c r="D3362" s="16" t="str">
        <f>IFERROR(__xludf.DUMMYFUNCTION("""COMPUTED_VALUE"""),"польові культури")</f>
        <v>польові культури</v>
      </c>
      <c r="E3362" s="16" t="str">
        <f>IFERROR(__xludf.DUMMYFUNCTION("""COMPUTED_VALUE"""),"насіння олійних культур")</f>
        <v>насіння олійних культур</v>
      </c>
      <c r="F3362" s="17">
        <f>IFERROR(__xludf.DUMMYFUNCTION("""COMPUTED_VALUE"""),4.0)</f>
        <v>4</v>
      </c>
      <c r="G3362" s="17">
        <f>IFERROR(__xludf.DUMMYFUNCTION("""COMPUTED_VALUE"""),10104.0)</f>
        <v>10104</v>
      </c>
      <c r="H3362" s="17" t="str">
        <f>IFERROR(__xludf.DUMMYFUNCTION("""COMPUTED_VALUE"""),"насіння олійних культур")</f>
        <v>насіння олійних культур</v>
      </c>
      <c r="I3362" s="19">
        <f>IFERROR(__xludf.DUMMYFUNCTION("""COMPUTED_VALUE"""),0.0683)</f>
        <v>0.0683</v>
      </c>
      <c r="J3362" s="19">
        <f>IFERROR(__xludf.DUMMYFUNCTION("""COMPUTED_VALUE"""),0.1365)</f>
        <v>0.1365</v>
      </c>
      <c r="K3362" s="19">
        <f>IFERROR(__xludf.DUMMYFUNCTION("""COMPUTED_VALUE"""),0.1706)</f>
        <v>0.1706</v>
      </c>
      <c r="L3362" s="19">
        <f>IFERROR(__xludf.DUMMYFUNCTION("""COMPUTED_VALUE"""),0.2048)</f>
        <v>0.2048</v>
      </c>
      <c r="M3362" s="18">
        <f>IFERROR(__xludf.DUMMYFUNCTION("""COMPUTED_VALUE"""),1.53)</f>
        <v>1.53</v>
      </c>
    </row>
    <row r="3363">
      <c r="A3363" s="13" t="str">
        <f>IFERROR(__xludf.DUMMYFUNCTION("""COMPUTED_VALUE"""),"товари")</f>
        <v>товари</v>
      </c>
      <c r="B3363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3" s="16" t="str">
        <f>IFERROR(__xludf.DUMMYFUNCTION("""COMPUTED_VALUE"""),"рослинництво")</f>
        <v>рослинництво</v>
      </c>
      <c r="D3363" s="16" t="str">
        <f>IFERROR(__xludf.DUMMYFUNCTION("""COMPUTED_VALUE"""),"польові культури")</f>
        <v>польові культури</v>
      </c>
      <c r="E3363" s="16" t="str">
        <f>IFERROR(__xludf.DUMMYFUNCTION("""COMPUTED_VALUE"""),"непродовольчі культури")</f>
        <v>непродовольчі культури</v>
      </c>
      <c r="F3363" s="17">
        <f>IFERROR(__xludf.DUMMYFUNCTION("""COMPUTED_VALUE"""),4.0)</f>
        <v>4</v>
      </c>
      <c r="G3363" s="17" t="str">
        <f>IFERROR(__xludf.DUMMYFUNCTION("""COMPUTED_VALUE"""),"1140210")</f>
        <v>1140210</v>
      </c>
      <c r="H3363" s="17" t="str">
        <f>IFERROR(__xludf.DUMMYFUNCTION("""COMPUTED_VALUE"""),"непродовольчі культури")</f>
        <v>непродовольчі культури</v>
      </c>
      <c r="I3363" s="19">
        <f>IFERROR(__xludf.DUMMYFUNCTION("""COMPUTED_VALUE"""),0.0585)</f>
        <v>0.0585</v>
      </c>
      <c r="J3363" s="19">
        <f>IFERROR(__xludf.DUMMYFUNCTION("""COMPUTED_VALUE"""),0.117)</f>
        <v>0.117</v>
      </c>
      <c r="K3363" s="19">
        <f>IFERROR(__xludf.DUMMYFUNCTION("""COMPUTED_VALUE"""),0.1463)</f>
        <v>0.1463</v>
      </c>
      <c r="L3363" s="19">
        <f>IFERROR(__xludf.DUMMYFUNCTION("""COMPUTED_VALUE"""),0.1755)</f>
        <v>0.1755</v>
      </c>
      <c r="M3363" s="18">
        <f>IFERROR(__xludf.DUMMYFUNCTION("""COMPUTED_VALUE"""),1.53)</f>
        <v>1.53</v>
      </c>
    </row>
    <row r="3364">
      <c r="A3364" s="13" t="str">
        <f>IFERROR(__xludf.DUMMYFUNCTION("""COMPUTED_VALUE"""),"товари")</f>
        <v>товари</v>
      </c>
      <c r="B3364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4" s="16" t="str">
        <f>IFERROR(__xludf.DUMMYFUNCTION("""COMPUTED_VALUE"""),"сільськогосподарське обладнання")</f>
        <v>сільськогосподарське обладнання</v>
      </c>
      <c r="D3364" s="16" t="str">
        <f>IFERROR(__xludf.DUMMYFUNCTION("""COMPUTED_VALUE"""),"обладнання для тваринництва")</f>
        <v>обладнання для тваринництва</v>
      </c>
      <c r="E3364" s="16" t="str">
        <f>IFERROR(__xludf.DUMMYFUNCTION("""COMPUTED_VALUE"""),"обладнання для вівчарства та козівництва")</f>
        <v>обладнання для вівчарства та козівництва</v>
      </c>
      <c r="F3364" s="17">
        <f>IFERROR(__xludf.DUMMYFUNCTION("""COMPUTED_VALUE"""),4.0)</f>
        <v>4</v>
      </c>
      <c r="G3364" s="17" t="str">
        <f>IFERROR(__xludf.DUMMYFUNCTION("""COMPUTED_VALUE"""),"13117")</f>
        <v>13117</v>
      </c>
      <c r="H3364" s="17" t="str">
        <f>IFERROR(__xludf.DUMMYFUNCTION("""COMPUTED_VALUE"""),"обладнання для вівчарства та козівництва")</f>
        <v>обладнання для вівчарства та козівництва</v>
      </c>
      <c r="I3364" s="19">
        <f>IFERROR(__xludf.DUMMYFUNCTION("""COMPUTED_VALUE"""),0.0508)</f>
        <v>0.0508</v>
      </c>
      <c r="J3364" s="19">
        <f>IFERROR(__xludf.DUMMYFUNCTION("""COMPUTED_VALUE"""),0.1015)</f>
        <v>0.1015</v>
      </c>
      <c r="K3364" s="19">
        <f>IFERROR(__xludf.DUMMYFUNCTION("""COMPUTED_VALUE"""),0.1269)</f>
        <v>0.1269</v>
      </c>
      <c r="L3364" s="19">
        <f>IFERROR(__xludf.DUMMYFUNCTION("""COMPUTED_VALUE"""),0.1523)</f>
        <v>0.1523</v>
      </c>
      <c r="M3364" s="18">
        <f>IFERROR(__xludf.DUMMYFUNCTION("""COMPUTED_VALUE"""),3.88)</f>
        <v>3.88</v>
      </c>
    </row>
    <row r="3365">
      <c r="A3365" s="13" t="str">
        <f>IFERROR(__xludf.DUMMYFUNCTION("""COMPUTED_VALUE"""),"товари")</f>
        <v>товари</v>
      </c>
      <c r="B3365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5" s="16" t="str">
        <f>IFERROR(__xludf.DUMMYFUNCTION("""COMPUTED_VALUE"""),"сільськогосподарське обладнання")</f>
        <v>сільськогосподарське обладнання</v>
      </c>
      <c r="D3365" s="16" t="str">
        <f>IFERROR(__xludf.DUMMYFUNCTION("""COMPUTED_VALUE"""),"обладнання для тваринництва")</f>
        <v>обладнання для тваринництва</v>
      </c>
      <c r="E3365" s="16" t="str">
        <f>IFERROR(__xludf.DUMMYFUNCTION("""COMPUTED_VALUE"""),"обладнання для запліднення")</f>
        <v>обладнання для запліднення</v>
      </c>
      <c r="F3365" s="17">
        <f>IFERROR(__xludf.DUMMYFUNCTION("""COMPUTED_VALUE"""),4.0)</f>
        <v>4</v>
      </c>
      <c r="G3365" s="17" t="str">
        <f>IFERROR(__xludf.DUMMYFUNCTION("""COMPUTED_VALUE"""),"13108")</f>
        <v>13108</v>
      </c>
      <c r="H3365" s="17" t="str">
        <f>IFERROR(__xludf.DUMMYFUNCTION("""COMPUTED_VALUE"""),"обладнання для запліднення")</f>
        <v>обладнання для запліднення</v>
      </c>
      <c r="I3365" s="19">
        <f>IFERROR(__xludf.DUMMYFUNCTION("""COMPUTED_VALUE"""),0.0532)</f>
        <v>0.0532</v>
      </c>
      <c r="J3365" s="19">
        <f>IFERROR(__xludf.DUMMYFUNCTION("""COMPUTED_VALUE"""),0.1063)</f>
        <v>0.1063</v>
      </c>
      <c r="K3365" s="19">
        <f>IFERROR(__xludf.DUMMYFUNCTION("""COMPUTED_VALUE"""),0.1329)</f>
        <v>0.1329</v>
      </c>
      <c r="L3365" s="19">
        <f>IFERROR(__xludf.DUMMYFUNCTION("""COMPUTED_VALUE"""),0.1595)</f>
        <v>0.1595</v>
      </c>
      <c r="M3365" s="18">
        <f>IFERROR(__xludf.DUMMYFUNCTION("""COMPUTED_VALUE"""),3.88)</f>
        <v>3.88</v>
      </c>
    </row>
    <row r="3366">
      <c r="A3366" s="13" t="str">
        <f>IFERROR(__xludf.DUMMYFUNCTION("""COMPUTED_VALUE"""),"товари")</f>
        <v>товари</v>
      </c>
      <c r="B3366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6" s="16" t="str">
        <f>IFERROR(__xludf.DUMMYFUNCTION("""COMPUTED_VALUE"""),"сільськогосподарське обладнання")</f>
        <v>сільськогосподарське обладнання</v>
      </c>
      <c r="D3366" s="16" t="str">
        <f>IFERROR(__xludf.DUMMYFUNCTION("""COMPUTED_VALUE"""),"обладнання для тваринництва")</f>
        <v>обладнання для тваринництва</v>
      </c>
      <c r="E3366" s="16" t="str">
        <f>IFERROR(__xludf.DUMMYFUNCTION("""COMPUTED_VALUE"""),"обладнання для кролівництва")</f>
        <v>обладнання для кролівництва</v>
      </c>
      <c r="F3366" s="17">
        <f>IFERROR(__xludf.DUMMYFUNCTION("""COMPUTED_VALUE"""),4.0)</f>
        <v>4</v>
      </c>
      <c r="G3366" s="17" t="str">
        <f>IFERROR(__xludf.DUMMYFUNCTION("""COMPUTED_VALUE"""),"13109")</f>
        <v>13109</v>
      </c>
      <c r="H3366" s="17" t="str">
        <f>IFERROR(__xludf.DUMMYFUNCTION("""COMPUTED_VALUE"""),"обладнання для кролівництва")</f>
        <v>обладнання для кролівництва</v>
      </c>
      <c r="I3366" s="19">
        <f>IFERROR(__xludf.DUMMYFUNCTION("""COMPUTED_VALUE"""),0.0508)</f>
        <v>0.0508</v>
      </c>
      <c r="J3366" s="19">
        <f>IFERROR(__xludf.DUMMYFUNCTION("""COMPUTED_VALUE"""),0.1015)</f>
        <v>0.1015</v>
      </c>
      <c r="K3366" s="19">
        <f>IFERROR(__xludf.DUMMYFUNCTION("""COMPUTED_VALUE"""),0.1269)</f>
        <v>0.1269</v>
      </c>
      <c r="L3366" s="19">
        <f>IFERROR(__xludf.DUMMYFUNCTION("""COMPUTED_VALUE"""),0.1523)</f>
        <v>0.1523</v>
      </c>
      <c r="M3366" s="18">
        <f>IFERROR(__xludf.DUMMYFUNCTION("""COMPUTED_VALUE"""),3.88)</f>
        <v>3.88</v>
      </c>
    </row>
    <row r="3367">
      <c r="A3367" s="13" t="str">
        <f>IFERROR(__xludf.DUMMYFUNCTION("""COMPUTED_VALUE"""),"товари")</f>
        <v>товари</v>
      </c>
      <c r="B3367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7" s="16" t="str">
        <f>IFERROR(__xludf.DUMMYFUNCTION("""COMPUTED_VALUE"""),"сільськогосподарське обладнання")</f>
        <v>сільськогосподарське обладнання</v>
      </c>
      <c r="D3367" s="16" t="str">
        <f>IFERROR(__xludf.DUMMYFUNCTION("""COMPUTED_VALUE"""),"обладнання для рослинництва")</f>
        <v>обладнання для рослинництва</v>
      </c>
      <c r="E3367" s="16" t="str">
        <f>IFERROR(__xludf.DUMMYFUNCTION("""COMPUTED_VALUE"""),"обладнання для рослинництва, загальне")</f>
        <v>обладнання для рослинництва, загальне</v>
      </c>
      <c r="F3367" s="17">
        <f>IFERROR(__xludf.DUMMYFUNCTION("""COMPUTED_VALUE"""),4.0)</f>
        <v>4</v>
      </c>
      <c r="G3367" s="17" t="str">
        <f>IFERROR(__xludf.DUMMYFUNCTION("""COMPUTED_VALUE"""),"1280701")</f>
        <v>1280701</v>
      </c>
      <c r="H3367" s="17" t="str">
        <f>IFERROR(__xludf.DUMMYFUNCTION("""COMPUTED_VALUE"""),"обладнання для рослинництва, загальне")</f>
        <v>обладнання для рослинництва, загальне</v>
      </c>
      <c r="I3367" s="19">
        <f>IFERROR(__xludf.DUMMYFUNCTION("""COMPUTED_VALUE"""),0.125)</f>
        <v>0.125</v>
      </c>
      <c r="J3367" s="19">
        <f>IFERROR(__xludf.DUMMYFUNCTION("""COMPUTED_VALUE"""),0.25)</f>
        <v>0.25</v>
      </c>
      <c r="K3367" s="19">
        <f>IFERROR(__xludf.DUMMYFUNCTION("""COMPUTED_VALUE"""),0.3125)</f>
        <v>0.3125</v>
      </c>
      <c r="L3367" s="19">
        <f>IFERROR(__xludf.DUMMYFUNCTION("""COMPUTED_VALUE"""),0.375)</f>
        <v>0.375</v>
      </c>
      <c r="M3367" s="18">
        <f>IFERROR(__xludf.DUMMYFUNCTION("""COMPUTED_VALUE"""),4.33)</f>
        <v>4.33</v>
      </c>
    </row>
    <row r="3368">
      <c r="A3368" s="13" t="str">
        <f>IFERROR(__xludf.DUMMYFUNCTION("""COMPUTED_VALUE"""),"товари")</f>
        <v>товари</v>
      </c>
      <c r="B3368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8" s="16" t="str">
        <f>IFERROR(__xludf.DUMMYFUNCTION("""COMPUTED_VALUE"""),"рослинництво")</f>
        <v>рослинництво</v>
      </c>
      <c r="D3368" s="16" t="str">
        <f>IFERROR(__xludf.DUMMYFUNCTION("""COMPUTED_VALUE"""),"добрива")</f>
        <v>добрива</v>
      </c>
      <c r="E3368" s="16" t="str">
        <f>IFERROR(__xludf.DUMMYFUNCTION("""COMPUTED_VALUE"""),"органічні добрива")</f>
        <v>органічні добрива</v>
      </c>
      <c r="F3368" s="17">
        <f>IFERROR(__xludf.DUMMYFUNCTION("""COMPUTED_VALUE"""),4.0)</f>
        <v>4</v>
      </c>
      <c r="G3368" s="17" t="str">
        <f>IFERROR(__xludf.DUMMYFUNCTION("""COMPUTED_VALUE"""),"11502")</f>
        <v>11502</v>
      </c>
      <c r="H3368" s="17" t="str">
        <f>IFERROR(__xludf.DUMMYFUNCTION("""COMPUTED_VALUE"""),"органічні добрива")</f>
        <v>органічні добрива</v>
      </c>
      <c r="I3368" s="19">
        <f>IFERROR(__xludf.DUMMYFUNCTION("""COMPUTED_VALUE"""),0.0688)</f>
        <v>0.0688</v>
      </c>
      <c r="J3368" s="19">
        <f>IFERROR(__xludf.DUMMYFUNCTION("""COMPUTED_VALUE"""),0.1375)</f>
        <v>0.1375</v>
      </c>
      <c r="K3368" s="19">
        <f>IFERROR(__xludf.DUMMYFUNCTION("""COMPUTED_VALUE"""),0.1719)</f>
        <v>0.1719</v>
      </c>
      <c r="L3368" s="19">
        <f>IFERROR(__xludf.DUMMYFUNCTION("""COMPUTED_VALUE"""),0.2063)</f>
        <v>0.2063</v>
      </c>
      <c r="M3368" s="18">
        <f>IFERROR(__xludf.DUMMYFUNCTION("""COMPUTED_VALUE"""),1.53)</f>
        <v>1.53</v>
      </c>
    </row>
    <row r="3369">
      <c r="A3369" s="13" t="str">
        <f>IFERROR(__xludf.DUMMYFUNCTION("""COMPUTED_VALUE"""),"товари")</f>
        <v>товари</v>
      </c>
      <c r="B3369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69" s="16" t="str">
        <f>IFERROR(__xludf.DUMMYFUNCTION("""COMPUTED_VALUE"""),"сільськогосподарське обладнання")</f>
        <v>сільськогосподарське обладнання</v>
      </c>
      <c r="D3369" s="16" t="str">
        <f>IFERROR(__xludf.DUMMYFUNCTION("""COMPUTED_VALUE"""),"обладнання для тваринництва")</f>
        <v>обладнання для тваринництва</v>
      </c>
      <c r="E3369" s="16" t="str">
        <f>IFERROR(__xludf.DUMMYFUNCTION("""COMPUTED_VALUE"""),"поїлки для сільськогосподарських тварин")</f>
        <v>поїлки для сільськогосподарських тварин</v>
      </c>
      <c r="F3369" s="17">
        <f>IFERROR(__xludf.DUMMYFUNCTION("""COMPUTED_VALUE"""),4.0)</f>
        <v>4</v>
      </c>
      <c r="G3369" s="17" t="str">
        <f>IFERROR(__xludf.DUMMYFUNCTION("""COMPUTED_VALUE"""),"13103")</f>
        <v>13103</v>
      </c>
      <c r="H3369" s="17" t="str">
        <f>IFERROR(__xludf.DUMMYFUNCTION("""COMPUTED_VALUE"""),"поїлки для сільськогосподарських тварин")</f>
        <v>поїлки для сільськогосподарських тварин</v>
      </c>
      <c r="I3369" s="19">
        <f>IFERROR(__xludf.DUMMYFUNCTION("""COMPUTED_VALUE"""),0.0529)</f>
        <v>0.0529</v>
      </c>
      <c r="J3369" s="19">
        <f>IFERROR(__xludf.DUMMYFUNCTION("""COMPUTED_VALUE"""),0.1057)</f>
        <v>0.1057</v>
      </c>
      <c r="K3369" s="19">
        <f>IFERROR(__xludf.DUMMYFUNCTION("""COMPUTED_VALUE"""),0.1321)</f>
        <v>0.1321</v>
      </c>
      <c r="L3369" s="19">
        <f>IFERROR(__xludf.DUMMYFUNCTION("""COMPUTED_VALUE"""),0.1586)</f>
        <v>0.1586</v>
      </c>
      <c r="M3369" s="18">
        <f>IFERROR(__xludf.DUMMYFUNCTION("""COMPUTED_VALUE"""),3.88)</f>
        <v>3.88</v>
      </c>
    </row>
    <row r="3370">
      <c r="A3370" s="13" t="str">
        <f>IFERROR(__xludf.DUMMYFUNCTION("""COMPUTED_VALUE"""),"товари")</f>
        <v>товари</v>
      </c>
      <c r="B3370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70" s="16" t="str">
        <f>IFERROR(__xludf.DUMMYFUNCTION("""COMPUTED_VALUE"""),"рослинництво")</f>
        <v>рослинництво</v>
      </c>
      <c r="D3370" s="16" t="str">
        <f>IFERROR(__xludf.DUMMYFUNCTION("""COMPUTED_VALUE"""),"польові культури")</f>
        <v>польові культури</v>
      </c>
      <c r="E3370" s="16" t="str">
        <f>IFERROR(__xludf.DUMMYFUNCTION("""COMPUTED_VALUE"""),"польові культури, загальне")</f>
        <v>польові культури, загальне</v>
      </c>
      <c r="F3370" s="17">
        <f>IFERROR(__xludf.DUMMYFUNCTION("""COMPUTED_VALUE"""),4.0)</f>
        <v>4</v>
      </c>
      <c r="G3370" s="17" t="str">
        <f>IFERROR(__xludf.DUMMYFUNCTION("""COMPUTED_VALUE"""),"1140701")</f>
        <v>1140701</v>
      </c>
      <c r="H3370" s="17" t="str">
        <f>IFERROR(__xludf.DUMMYFUNCTION("""COMPUTED_VALUE"""),"польові культури, загальне")</f>
        <v>польові культури, загальне</v>
      </c>
      <c r="I3370" s="19">
        <f>IFERROR(__xludf.DUMMYFUNCTION("""COMPUTED_VALUE"""),0.125)</f>
        <v>0.125</v>
      </c>
      <c r="J3370" s="19">
        <f>IFERROR(__xludf.DUMMYFUNCTION("""COMPUTED_VALUE"""),0.25)</f>
        <v>0.25</v>
      </c>
      <c r="K3370" s="19">
        <f>IFERROR(__xludf.DUMMYFUNCTION("""COMPUTED_VALUE"""),0.3125)</f>
        <v>0.3125</v>
      </c>
      <c r="L3370" s="19">
        <f>IFERROR(__xludf.DUMMYFUNCTION("""COMPUTED_VALUE"""),0.375)</f>
        <v>0.375</v>
      </c>
      <c r="M3370" s="18">
        <f>IFERROR(__xludf.DUMMYFUNCTION("""COMPUTED_VALUE"""),4.33)</f>
        <v>4.33</v>
      </c>
    </row>
    <row r="3371">
      <c r="A3371" s="13" t="str">
        <f>IFERROR(__xludf.DUMMYFUNCTION("""COMPUTED_VALUE"""),"товари")</f>
        <v>товари</v>
      </c>
      <c r="B3371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71" s="16" t="str">
        <f>IFERROR(__xludf.DUMMYFUNCTION("""COMPUTED_VALUE"""),"рослинництво")</f>
        <v>рослинництво</v>
      </c>
      <c r="D3371" s="16" t="str">
        <f>IFERROR(__xludf.DUMMYFUNCTION("""COMPUTED_VALUE"""),"засоби захисту рослин")</f>
        <v>засоби захисту рослин</v>
      </c>
      <c r="E3371" s="16" t="str">
        <f>IFERROR(__xludf.DUMMYFUNCTION("""COMPUTED_VALUE"""),"прилипачі")</f>
        <v>прилипачі</v>
      </c>
      <c r="F3371" s="17">
        <f>IFERROR(__xludf.DUMMYFUNCTION("""COMPUTED_VALUE"""),4.0)</f>
        <v>4</v>
      </c>
      <c r="G3371" s="17" t="str">
        <f>IFERROR(__xludf.DUMMYFUNCTION("""COMPUTED_VALUE"""),"11107")</f>
        <v>11107</v>
      </c>
      <c r="H3371" s="17" t="str">
        <f>IFERROR(__xludf.DUMMYFUNCTION("""COMPUTED_VALUE"""),"прилипачі")</f>
        <v>прилипачі</v>
      </c>
      <c r="I3371" s="19">
        <f>IFERROR(__xludf.DUMMYFUNCTION("""COMPUTED_VALUE"""),0.0797)</f>
        <v>0.0797</v>
      </c>
      <c r="J3371" s="19">
        <f>IFERROR(__xludf.DUMMYFUNCTION("""COMPUTED_VALUE"""),0.1594)</f>
        <v>0.1594</v>
      </c>
      <c r="K3371" s="19">
        <f>IFERROR(__xludf.DUMMYFUNCTION("""COMPUTED_VALUE"""),0.1993)</f>
        <v>0.1993</v>
      </c>
      <c r="L3371" s="19">
        <f>IFERROR(__xludf.DUMMYFUNCTION("""COMPUTED_VALUE"""),0.2391)</f>
        <v>0.2391</v>
      </c>
      <c r="M3371" s="18">
        <f>IFERROR(__xludf.DUMMYFUNCTION("""COMPUTED_VALUE"""),1.05)</f>
        <v>1.05</v>
      </c>
    </row>
    <row r="3372">
      <c r="A3372" s="13" t="str">
        <f>IFERROR(__xludf.DUMMYFUNCTION("""COMPUTED_VALUE"""),"товари")</f>
        <v>товари</v>
      </c>
      <c r="B3372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72" s="16" t="str">
        <f>IFERROR(__xludf.DUMMYFUNCTION("""COMPUTED_VALUE"""),"рослинництво")</f>
        <v>рослинництво</v>
      </c>
      <c r="D3372" s="16" t="str">
        <f>IFERROR(__xludf.DUMMYFUNCTION("""COMPUTED_VALUE"""),"засоби захисту рослин")</f>
        <v>засоби захисту рослин</v>
      </c>
      <c r="E3372" s="16" t="str">
        <f>IFERROR(__xludf.DUMMYFUNCTION("""COMPUTED_VALUE"""),"протруйники насіння")</f>
        <v>протруйники насіння</v>
      </c>
      <c r="F3372" s="17">
        <f>IFERROR(__xludf.DUMMYFUNCTION("""COMPUTED_VALUE"""),4.0)</f>
        <v>4</v>
      </c>
      <c r="G3372" s="17" t="str">
        <f>IFERROR(__xludf.DUMMYFUNCTION("""COMPUTED_VALUE"""),"1160207")</f>
        <v>1160207</v>
      </c>
      <c r="H3372" s="17" t="str">
        <f>IFERROR(__xludf.DUMMYFUNCTION("""COMPUTED_VALUE"""),"протруйники насіння")</f>
        <v>протруйники насіння</v>
      </c>
      <c r="I3372" s="19">
        <f>IFERROR(__xludf.DUMMYFUNCTION("""COMPUTED_VALUE"""),0.0794)</f>
        <v>0.0794</v>
      </c>
      <c r="J3372" s="19">
        <f>IFERROR(__xludf.DUMMYFUNCTION("""COMPUTED_VALUE"""),0.1588)</f>
        <v>0.1588</v>
      </c>
      <c r="K3372" s="19">
        <f>IFERROR(__xludf.DUMMYFUNCTION("""COMPUTED_VALUE"""),0.1985)</f>
        <v>0.1985</v>
      </c>
      <c r="L3372" s="19">
        <f>IFERROR(__xludf.DUMMYFUNCTION("""COMPUTED_VALUE"""),0.2382)</f>
        <v>0.2382</v>
      </c>
      <c r="M3372" s="18">
        <f>IFERROR(__xludf.DUMMYFUNCTION("""COMPUTED_VALUE"""),1.05)</f>
        <v>1.05</v>
      </c>
    </row>
    <row r="3373">
      <c r="A3373" s="13" t="str">
        <f>IFERROR(__xludf.DUMMYFUNCTION("""COMPUTED_VALUE"""),"товари")</f>
        <v>товари</v>
      </c>
      <c r="B3373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73" s="16" t="str">
        <f>IFERROR(__xludf.DUMMYFUNCTION("""COMPUTED_VALUE"""),"рослинництво")</f>
        <v>рослинництво</v>
      </c>
      <c r="D3373" s="16" t="str">
        <f>IFERROR(__xludf.DUMMYFUNCTION("""COMPUTED_VALUE"""),"добрива")</f>
        <v>добрива</v>
      </c>
      <c r="E3373" s="16" t="str">
        <f>IFERROR(__xludf.DUMMYFUNCTION("""COMPUTED_VALUE"""),"регулятори росту рослин")</f>
        <v>регулятори росту рослин</v>
      </c>
      <c r="F3373" s="17">
        <f>IFERROR(__xludf.DUMMYFUNCTION("""COMPUTED_VALUE"""),4.0)</f>
        <v>4</v>
      </c>
      <c r="G3373" s="17" t="str">
        <f>IFERROR(__xludf.DUMMYFUNCTION("""COMPUTED_VALUE"""),"11604")</f>
        <v>11604</v>
      </c>
      <c r="H3373" s="17" t="str">
        <f>IFERROR(__xludf.DUMMYFUNCTION("""COMPUTED_VALUE"""),"регулятори росту рослин")</f>
        <v>регулятори росту рослин</v>
      </c>
      <c r="I3373" s="19">
        <f>IFERROR(__xludf.DUMMYFUNCTION("""COMPUTED_VALUE"""),0.0688)</f>
        <v>0.0688</v>
      </c>
      <c r="J3373" s="19">
        <f>IFERROR(__xludf.DUMMYFUNCTION("""COMPUTED_VALUE"""),0.1375)</f>
        <v>0.1375</v>
      </c>
      <c r="K3373" s="19">
        <f>IFERROR(__xludf.DUMMYFUNCTION("""COMPUTED_VALUE"""),0.1719)</f>
        <v>0.1719</v>
      </c>
      <c r="L3373" s="19">
        <f>IFERROR(__xludf.DUMMYFUNCTION("""COMPUTED_VALUE"""),0.2063)</f>
        <v>0.2063</v>
      </c>
      <c r="M3373" s="18">
        <f>IFERROR(__xludf.DUMMYFUNCTION("""COMPUTED_VALUE"""),1.53)</f>
        <v>1.53</v>
      </c>
    </row>
    <row r="3374">
      <c r="A3374" s="13" t="str">
        <f>IFERROR(__xludf.DUMMYFUNCTION("""COMPUTED_VALUE"""),"товари")</f>
        <v>товари</v>
      </c>
      <c r="B3374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74" s="16" t="str">
        <f>IFERROR(__xludf.DUMMYFUNCTION("""COMPUTED_VALUE"""),"тваринництво")</f>
        <v>тваринництво</v>
      </c>
      <c r="D3374" s="16" t="str">
        <f>IFERROR(__xludf.DUMMYFUNCTION("""COMPUTED_VALUE"""),"свійські тварини та птиця")</f>
        <v>свійські тварини та птиця</v>
      </c>
      <c r="E3374" s="16" t="str">
        <f>IFERROR(__xludf.DUMMYFUNCTION("""COMPUTED_VALUE"""),"свійські тварини та птиця")</f>
        <v>свійські тварини та птиця</v>
      </c>
      <c r="F3374" s="17">
        <f>IFERROR(__xludf.DUMMYFUNCTION("""COMPUTED_VALUE"""),3.0)</f>
        <v>3</v>
      </c>
      <c r="G3374" s="17" t="str">
        <f>IFERROR(__xludf.DUMMYFUNCTION("""COMPUTED_VALUE"""),"1100211")</f>
        <v>1100211</v>
      </c>
      <c r="H3374" s="17" t="str">
        <f>IFERROR(__xludf.DUMMYFUNCTION("""COMPUTED_VALUE"""),"свійські тварини та птиця")</f>
        <v>свійські тварини та птиця</v>
      </c>
      <c r="I3374" s="19">
        <f>IFERROR(__xludf.DUMMYFUNCTION("""COMPUTED_VALUE"""),0.033)</f>
        <v>0.033</v>
      </c>
      <c r="J3374" s="19">
        <f>IFERROR(__xludf.DUMMYFUNCTION("""COMPUTED_VALUE"""),0.066)</f>
        <v>0.066</v>
      </c>
      <c r="K3374" s="19">
        <f>IFERROR(__xludf.DUMMYFUNCTION("""COMPUTED_VALUE"""),0.0825)</f>
        <v>0.0825</v>
      </c>
      <c r="L3374" s="19">
        <f>IFERROR(__xludf.DUMMYFUNCTION("""COMPUTED_VALUE"""),0.099)</f>
        <v>0.099</v>
      </c>
      <c r="M3374" s="18">
        <f>IFERROR(__xludf.DUMMYFUNCTION("""COMPUTED_VALUE"""),1.05)</f>
        <v>1.05</v>
      </c>
    </row>
    <row r="3375">
      <c r="A3375" s="13" t="str">
        <f>IFERROR(__xludf.DUMMYFUNCTION("""COMPUTED_VALUE"""),"товари")</f>
        <v>товари</v>
      </c>
      <c r="B3375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75" s="16" t="str">
        <f>IFERROR(__xludf.DUMMYFUNCTION("""COMPUTED_VALUE"""),"сільськогосподарське обладнання")</f>
        <v>сільськогосподарське обладнання</v>
      </c>
      <c r="D3375" s="16" t="str">
        <f>IFERROR(__xludf.DUMMYFUNCTION("""COMPUTED_VALUE"""),"сільськогосподарська техніка та обладнання, загальне")</f>
        <v>сільськогосподарська техніка та обладнання, загальне</v>
      </c>
      <c r="E3375" s="16" t="str">
        <f>IFERROR(__xludf.DUMMYFUNCTION("""COMPUTED_VALUE"""),"сільськогосподарська техніка та обладнання, загальне")</f>
        <v>сільськогосподарська техніка та обладнання, загальне</v>
      </c>
      <c r="F3375" s="17">
        <f>IFERROR(__xludf.DUMMYFUNCTION("""COMPUTED_VALUE"""),3.0)</f>
        <v>3</v>
      </c>
      <c r="G3375" s="17" t="str">
        <f>IFERROR(__xludf.DUMMYFUNCTION("""COMPUTED_VALUE"""),"12804")</f>
        <v>12804</v>
      </c>
      <c r="H3375" s="17" t="str">
        <f>IFERROR(__xludf.DUMMYFUNCTION("""COMPUTED_VALUE"""),"сільськогосподарська техніка та обладнання, загальне")</f>
        <v>сільськогосподарська техніка та обладнання, загальне</v>
      </c>
      <c r="I3375" s="19">
        <f>IFERROR(__xludf.DUMMYFUNCTION("""COMPUTED_VALUE"""),0.125)</f>
        <v>0.125</v>
      </c>
      <c r="J3375" s="19">
        <f>IFERROR(__xludf.DUMMYFUNCTION("""COMPUTED_VALUE"""),0.25)</f>
        <v>0.25</v>
      </c>
      <c r="K3375" s="19">
        <f>IFERROR(__xludf.DUMMYFUNCTION("""COMPUTED_VALUE"""),0.3125)</f>
        <v>0.3125</v>
      </c>
      <c r="L3375" s="19">
        <f>IFERROR(__xludf.DUMMYFUNCTION("""COMPUTED_VALUE"""),0.375)</f>
        <v>0.375</v>
      </c>
      <c r="M3375" s="18">
        <f>IFERROR(__xludf.DUMMYFUNCTION("""COMPUTED_VALUE"""),4.33)</f>
        <v>4.33</v>
      </c>
    </row>
    <row r="3376">
      <c r="A3376" s="13" t="str">
        <f>IFERROR(__xludf.DUMMYFUNCTION("""COMPUTED_VALUE"""),"товари")</f>
        <v>товари</v>
      </c>
      <c r="B3376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76" s="16" t="str">
        <f>IFERROR(__xludf.DUMMYFUNCTION("""COMPUTED_VALUE"""),"сільськогосподарське обладнання")</f>
        <v>сільськогосподарське обладнання</v>
      </c>
      <c r="D3376" s="16" t="str">
        <f>IFERROR(__xludf.DUMMYFUNCTION("""COMPUTED_VALUE"""),"обладнання для рослинництва")</f>
        <v>обладнання для рослинництва</v>
      </c>
      <c r="E3376" s="16" t="str">
        <f>IFERROR(__xludf.DUMMYFUNCTION("""COMPUTED_VALUE"""),"фітоосвітлення")</f>
        <v>фітоосвітлення</v>
      </c>
      <c r="F3376" s="17">
        <f>IFERROR(__xludf.DUMMYFUNCTION("""COMPUTED_VALUE"""),4.0)</f>
        <v>4</v>
      </c>
      <c r="G3376" s="17" t="str">
        <f>IFERROR(__xludf.DUMMYFUNCTION("""COMPUTED_VALUE"""),"1280702")</f>
        <v>1280702</v>
      </c>
      <c r="H3376" s="17" t="str">
        <f>IFERROR(__xludf.DUMMYFUNCTION("""COMPUTED_VALUE"""),"фітоосвітлення")</f>
        <v>фітоосвітлення</v>
      </c>
      <c r="I3376" s="19">
        <f>IFERROR(__xludf.DUMMYFUNCTION("""COMPUTED_VALUE"""),0.0693)</f>
        <v>0.0693</v>
      </c>
      <c r="J3376" s="19">
        <f>IFERROR(__xludf.DUMMYFUNCTION("""COMPUTED_VALUE"""),0.1385)</f>
        <v>0.1385</v>
      </c>
      <c r="K3376" s="19">
        <f>IFERROR(__xludf.DUMMYFUNCTION("""COMPUTED_VALUE"""),0.1731)</f>
        <v>0.1731</v>
      </c>
      <c r="L3376" s="19">
        <f>IFERROR(__xludf.DUMMYFUNCTION("""COMPUTED_VALUE"""),0.2078)</f>
        <v>0.2078</v>
      </c>
      <c r="M3376" s="18">
        <f>IFERROR(__xludf.DUMMYFUNCTION("""COMPUTED_VALUE"""),3.43)</f>
        <v>3.43</v>
      </c>
    </row>
    <row r="3377">
      <c r="A3377" s="13" t="str">
        <f>IFERROR(__xludf.DUMMYFUNCTION("""COMPUTED_VALUE"""),"товари")</f>
        <v>товари</v>
      </c>
      <c r="B3377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77" s="16" t="str">
        <f>IFERROR(__xludf.DUMMYFUNCTION("""COMPUTED_VALUE"""),"рослинництво")</f>
        <v>рослинництво</v>
      </c>
      <c r="D3377" s="16" t="str">
        <f>IFERROR(__xludf.DUMMYFUNCTION("""COMPUTED_VALUE"""),"добрива")</f>
        <v>добрива</v>
      </c>
      <c r="E3377" s="16" t="str">
        <f>IFERROR(__xludf.DUMMYFUNCTION("""COMPUTED_VALUE"""),"фосфорні добрива")</f>
        <v>фосфорні добрива</v>
      </c>
      <c r="F3377" s="17">
        <f>IFERROR(__xludf.DUMMYFUNCTION("""COMPUTED_VALUE"""),4.0)</f>
        <v>4</v>
      </c>
      <c r="G3377" s="17">
        <f>IFERROR(__xludf.DUMMYFUNCTION("""COMPUTED_VALUE"""),11505.0)</f>
        <v>11505</v>
      </c>
      <c r="H3377" s="17" t="str">
        <f>IFERROR(__xludf.DUMMYFUNCTION("""COMPUTED_VALUE"""),"фосфорні добрива")</f>
        <v>фосфорні добрива</v>
      </c>
      <c r="I3377" s="19">
        <f>IFERROR(__xludf.DUMMYFUNCTION("""COMPUTED_VALUE"""),0.0688)</f>
        <v>0.0688</v>
      </c>
      <c r="J3377" s="19">
        <f>IFERROR(__xludf.DUMMYFUNCTION("""COMPUTED_VALUE"""),0.1375)</f>
        <v>0.1375</v>
      </c>
      <c r="K3377" s="19">
        <f>IFERROR(__xludf.DUMMYFUNCTION("""COMPUTED_VALUE"""),0.1719)</f>
        <v>0.1719</v>
      </c>
      <c r="L3377" s="19">
        <f>IFERROR(__xludf.DUMMYFUNCTION("""COMPUTED_VALUE"""),0.2063)</f>
        <v>0.2063</v>
      </c>
      <c r="M3377" s="18">
        <f>IFERROR(__xludf.DUMMYFUNCTION("""COMPUTED_VALUE"""),1.53)</f>
        <v>1.53</v>
      </c>
    </row>
    <row r="3378">
      <c r="A3378" s="13" t="str">
        <f>IFERROR(__xludf.DUMMYFUNCTION("""COMPUTED_VALUE"""),"товари")</f>
        <v>товари</v>
      </c>
      <c r="B3378" s="16" t="str">
        <f>IFERROR(__xludf.DUMMYFUNCTION("""COMPUTED_VALUE"""),"сільгосппродукція, техніка та обладнання")</f>
        <v>сільгосппродукція, техніка та обладнання</v>
      </c>
      <c r="C3378" s="16" t="str">
        <f>IFERROR(__xludf.DUMMYFUNCTION("""COMPUTED_VALUE"""),"рослинництво")</f>
        <v>рослинництво</v>
      </c>
      <c r="D3378" s="16" t="str">
        <f>IFERROR(__xludf.DUMMYFUNCTION("""COMPUTED_VALUE"""),"засоби захисту рослин")</f>
        <v>засоби захисту рослин</v>
      </c>
      <c r="E3378" s="16" t="str">
        <f>IFERROR(__xludf.DUMMYFUNCTION("""COMPUTED_VALUE"""),"фунгіциди")</f>
        <v>фунгіциди</v>
      </c>
      <c r="F3378" s="17">
        <f>IFERROR(__xludf.DUMMYFUNCTION("""COMPUTED_VALUE"""),4.0)</f>
        <v>4</v>
      </c>
      <c r="G3378" s="17" t="str">
        <f>IFERROR(__xludf.DUMMYFUNCTION("""COMPUTED_VALUE"""),"11601")</f>
        <v>11601</v>
      </c>
      <c r="H3378" s="17" t="str">
        <f>IFERROR(__xludf.DUMMYFUNCTION("""COMPUTED_VALUE"""),"фунгіциди")</f>
        <v>фунгіциди</v>
      </c>
      <c r="I3378" s="19">
        <f>IFERROR(__xludf.DUMMYFUNCTION("""COMPUTED_VALUE"""),0.0791)</f>
        <v>0.0791</v>
      </c>
      <c r="J3378" s="19">
        <f>IFERROR(__xludf.DUMMYFUNCTION("""COMPUTED_VALUE"""),0.1581)</f>
        <v>0.1581</v>
      </c>
      <c r="K3378" s="19">
        <f>IFERROR(__xludf.DUMMYFUNCTION("""COMPUTED_VALUE"""),0.1976)</f>
        <v>0.1976</v>
      </c>
      <c r="L3378" s="19">
        <f>IFERROR(__xludf.DUMMYFUNCTION("""COMPUTED_VALUE"""),0.2372)</f>
        <v>0.2372</v>
      </c>
      <c r="M3378" s="18">
        <f>IFERROR(__xludf.DUMMYFUNCTION("""COMPUTED_VALUE"""),1.05)</f>
        <v>1.05</v>
      </c>
    </row>
    <row r="3379">
      <c r="A3379" s="13" t="str">
        <f>IFERROR(__xludf.DUMMYFUNCTION("""COMPUTED_VALUE"""),"товари")</f>
        <v>товари</v>
      </c>
      <c r="B3379" s="16" t="str">
        <f>IFERROR(__xludf.DUMMYFUNCTION("""COMPUTED_VALUE"""),"спецодяг та взуття")</f>
        <v>спецодяг та взуття</v>
      </c>
      <c r="C3379" s="16" t="str">
        <f>IFERROR(__xludf.DUMMYFUNCTION("""COMPUTED_VALUE"""),"академічний та суддівський одяг")</f>
        <v>академічний та суддівський одяг</v>
      </c>
      <c r="D3379" s="16" t="str">
        <f>IFERROR(__xludf.DUMMYFUNCTION("""COMPUTED_VALUE"""),"академічний та суддівський одяг")</f>
        <v>академічний та суддівський одяг</v>
      </c>
      <c r="E3379" s="16" t="str">
        <f>IFERROR(__xludf.DUMMYFUNCTION("""COMPUTED_VALUE"""),"академічний та суддівський одяг")</f>
        <v>академічний та суддівський одяг</v>
      </c>
      <c r="F3379" s="17">
        <f>IFERROR(__xludf.DUMMYFUNCTION("""COMPUTED_VALUE"""),2.0)</f>
        <v>2</v>
      </c>
      <c r="G3379" s="17" t="str">
        <f>IFERROR(__xludf.DUMMYFUNCTION("""COMPUTED_VALUE"""),"30819")</f>
        <v>30819</v>
      </c>
      <c r="H3379" s="17" t="str">
        <f>IFERROR(__xludf.DUMMYFUNCTION("""COMPUTED_VALUE"""),"академічний та суддівський одяг")</f>
        <v>академічний та суддівський одяг</v>
      </c>
      <c r="I3379" s="19">
        <f>IFERROR(__xludf.DUMMYFUNCTION("""COMPUTED_VALUE"""),0.0593)</f>
        <v>0.0593</v>
      </c>
      <c r="J3379" s="19">
        <f>IFERROR(__xludf.DUMMYFUNCTION("""COMPUTED_VALUE"""),0.1186)</f>
        <v>0.1186</v>
      </c>
      <c r="K3379" s="19">
        <f>IFERROR(__xludf.DUMMYFUNCTION("""COMPUTED_VALUE"""),0.1483)</f>
        <v>0.1483</v>
      </c>
      <c r="L3379" s="19">
        <f>IFERROR(__xludf.DUMMYFUNCTION("""COMPUTED_VALUE"""),0.1779)</f>
        <v>0.1779</v>
      </c>
      <c r="M3379" s="18">
        <f>IFERROR(__xludf.DUMMYFUNCTION("""COMPUTED_VALUE"""),1.98)</f>
        <v>1.98</v>
      </c>
    </row>
    <row r="3380">
      <c r="A3380" s="13" t="str">
        <f>IFERROR(__xludf.DUMMYFUNCTION("""COMPUTED_VALUE"""),"товари")</f>
        <v>товари</v>
      </c>
      <c r="B3380" s="16" t="str">
        <f>IFERROR(__xludf.DUMMYFUNCTION("""COMPUTED_VALUE"""),"спецодяг та взуття")</f>
        <v>спецодяг та взуття</v>
      </c>
      <c r="C3380" s="16" t="str">
        <f>IFERROR(__xludf.DUMMYFUNCTION("""COMPUTED_VALUE"""),"водонепроникний одяг")</f>
        <v>водонепроникний одяг</v>
      </c>
      <c r="D3380" s="16" t="str">
        <f>IFERROR(__xludf.DUMMYFUNCTION("""COMPUTED_VALUE"""),"водонепроникний одяг")</f>
        <v>водонепроникний одяг</v>
      </c>
      <c r="E3380" s="16" t="str">
        <f>IFERROR(__xludf.DUMMYFUNCTION("""COMPUTED_VALUE"""),"водонепроникний одяг")</f>
        <v>водонепроникний одяг</v>
      </c>
      <c r="F3380" s="17">
        <f>IFERROR(__xludf.DUMMYFUNCTION("""COMPUTED_VALUE"""),2.0)</f>
        <v>2</v>
      </c>
      <c r="G3380" s="17" t="str">
        <f>IFERROR(__xludf.DUMMYFUNCTION("""COMPUTED_VALUE"""),"30802")</f>
        <v>30802</v>
      </c>
      <c r="H3380" s="17" t="str">
        <f>IFERROR(__xludf.DUMMYFUNCTION("""COMPUTED_VALUE"""),"водонепроникний одяг")</f>
        <v>водонепроникний одяг</v>
      </c>
      <c r="I3380" s="19">
        <f>IFERROR(__xludf.DUMMYFUNCTION("""COMPUTED_VALUE"""),0.0662)</f>
        <v>0.0662</v>
      </c>
      <c r="J3380" s="19">
        <f>IFERROR(__xludf.DUMMYFUNCTION("""COMPUTED_VALUE"""),0.1324)</f>
        <v>0.1324</v>
      </c>
      <c r="K3380" s="19">
        <f>IFERROR(__xludf.DUMMYFUNCTION("""COMPUTED_VALUE"""),0.1655)</f>
        <v>0.1655</v>
      </c>
      <c r="L3380" s="19">
        <f>IFERROR(__xludf.DUMMYFUNCTION("""COMPUTED_VALUE"""),0.1986)</f>
        <v>0.1986</v>
      </c>
      <c r="M3380" s="18">
        <f>IFERROR(__xludf.DUMMYFUNCTION("""COMPUTED_VALUE"""),1.98)</f>
        <v>1.98</v>
      </c>
    </row>
    <row r="3381">
      <c r="A3381" s="13" t="str">
        <f>IFERROR(__xludf.DUMMYFUNCTION("""COMPUTED_VALUE"""),"товари")</f>
        <v>товари</v>
      </c>
      <c r="B3381" s="16" t="str">
        <f>IFERROR(__xludf.DUMMYFUNCTION("""COMPUTED_VALUE"""),"спецодяг та взуття")</f>
        <v>спецодяг та взуття</v>
      </c>
      <c r="C3381" s="16" t="str">
        <f>IFERROR(__xludf.DUMMYFUNCTION("""COMPUTED_VALUE"""),"захисний спецодяг")</f>
        <v>захисний спецодяг</v>
      </c>
      <c r="D3381" s="16" t="str">
        <f>IFERROR(__xludf.DUMMYFUNCTION("""COMPUTED_VALUE"""),"захисний спецодяг")</f>
        <v>захисний спецодяг</v>
      </c>
      <c r="E3381" s="16" t="str">
        <f>IFERROR(__xludf.DUMMYFUNCTION("""COMPUTED_VALUE"""),"захисний спецодяг")</f>
        <v>захисний спецодяг</v>
      </c>
      <c r="F3381" s="17">
        <f>IFERROR(__xludf.DUMMYFUNCTION("""COMPUTED_VALUE"""),2.0)</f>
        <v>2</v>
      </c>
      <c r="G3381" s="17" t="str">
        <f>IFERROR(__xludf.DUMMYFUNCTION("""COMPUTED_VALUE"""),"30813")</f>
        <v>30813</v>
      </c>
      <c r="H3381" s="17" t="str">
        <f>IFERROR(__xludf.DUMMYFUNCTION("""COMPUTED_VALUE"""),"захисний спецодяг")</f>
        <v>захисний спецодяг</v>
      </c>
      <c r="I3381" s="19">
        <f>IFERROR(__xludf.DUMMYFUNCTION("""COMPUTED_VALUE"""),0.0994)</f>
        <v>0.0994</v>
      </c>
      <c r="J3381" s="19">
        <f>IFERROR(__xludf.DUMMYFUNCTION("""COMPUTED_VALUE"""),0.1988)</f>
        <v>0.1988</v>
      </c>
      <c r="K3381" s="19">
        <f>IFERROR(__xludf.DUMMYFUNCTION("""COMPUTED_VALUE"""),0.2485)</f>
        <v>0.2485</v>
      </c>
      <c r="L3381" s="19">
        <f>IFERROR(__xludf.DUMMYFUNCTION("""COMPUTED_VALUE"""),0.2982)</f>
        <v>0.2982</v>
      </c>
      <c r="M3381" s="18">
        <f>IFERROR(__xludf.DUMMYFUNCTION("""COMPUTED_VALUE"""),4.8)</f>
        <v>4.8</v>
      </c>
    </row>
    <row r="3382">
      <c r="A3382" s="13" t="str">
        <f>IFERROR(__xludf.DUMMYFUNCTION("""COMPUTED_VALUE"""),"товари")</f>
        <v>товари</v>
      </c>
      <c r="B3382" s="16" t="str">
        <f>IFERROR(__xludf.DUMMYFUNCTION("""COMPUTED_VALUE"""),"спецодяг та взуття")</f>
        <v>спецодяг та взуття</v>
      </c>
      <c r="C3382" s="16" t="str">
        <f>IFERROR(__xludf.DUMMYFUNCTION("""COMPUTED_VALUE"""),"медичний одяг")</f>
        <v>медичний одяг</v>
      </c>
      <c r="D3382" s="16" t="str">
        <f>IFERROR(__xludf.DUMMYFUNCTION("""COMPUTED_VALUE"""),"медичний одяг")</f>
        <v>медичний одяг</v>
      </c>
      <c r="E3382" s="16" t="str">
        <f>IFERROR(__xludf.DUMMYFUNCTION("""COMPUTED_VALUE"""),"медичний одяг")</f>
        <v>медичний одяг</v>
      </c>
      <c r="F3382" s="17">
        <f>IFERROR(__xludf.DUMMYFUNCTION("""COMPUTED_VALUE"""),2.0)</f>
        <v>2</v>
      </c>
      <c r="G3382" s="17" t="str">
        <f>IFERROR(__xludf.DUMMYFUNCTION("""COMPUTED_VALUE"""),"30801")</f>
        <v>30801</v>
      </c>
      <c r="H3382" s="17" t="str">
        <f>IFERROR(__xludf.DUMMYFUNCTION("""COMPUTED_VALUE"""),"медичний одяг")</f>
        <v>медичний одяг</v>
      </c>
      <c r="I3382" s="19">
        <f>IFERROR(__xludf.DUMMYFUNCTION("""COMPUTED_VALUE"""),0.0994)</f>
        <v>0.0994</v>
      </c>
      <c r="J3382" s="19">
        <f>IFERROR(__xludf.DUMMYFUNCTION("""COMPUTED_VALUE"""),0.1988)</f>
        <v>0.1988</v>
      </c>
      <c r="K3382" s="19">
        <f>IFERROR(__xludf.DUMMYFUNCTION("""COMPUTED_VALUE"""),0.2485)</f>
        <v>0.2485</v>
      </c>
      <c r="L3382" s="19">
        <f>IFERROR(__xludf.DUMMYFUNCTION("""COMPUTED_VALUE"""),0.2982)</f>
        <v>0.2982</v>
      </c>
      <c r="M3382" s="18">
        <f>IFERROR(__xludf.DUMMYFUNCTION("""COMPUTED_VALUE"""),2.16)</f>
        <v>2.16</v>
      </c>
    </row>
    <row r="3383">
      <c r="A3383" s="13" t="str">
        <f>IFERROR(__xludf.DUMMYFUNCTION("""COMPUTED_VALUE"""),"товари")</f>
        <v>товари</v>
      </c>
      <c r="B3383" s="16" t="str">
        <f>IFERROR(__xludf.DUMMYFUNCTION("""COMPUTED_VALUE"""),"спецодяг та взуття")</f>
        <v>спецодяг та взуття</v>
      </c>
      <c r="C3383" s="16" t="str">
        <f>IFERROR(__xludf.DUMMYFUNCTION("""COMPUTED_VALUE"""),"одяг для захисту від комах")</f>
        <v>одяг для захисту від комах</v>
      </c>
      <c r="D3383" s="16" t="str">
        <f>IFERROR(__xludf.DUMMYFUNCTION("""COMPUTED_VALUE"""),"одяг для захисту від комах")</f>
        <v>одяг для захисту від комах</v>
      </c>
      <c r="E3383" s="16" t="str">
        <f>IFERROR(__xludf.DUMMYFUNCTION("""COMPUTED_VALUE"""),"одяг для захисту від комах")</f>
        <v>одяг для захисту від комах</v>
      </c>
      <c r="F3383" s="17">
        <f>IFERROR(__xludf.DUMMYFUNCTION("""COMPUTED_VALUE"""),2.0)</f>
        <v>2</v>
      </c>
      <c r="G3383" s="17" t="str">
        <f>IFERROR(__xludf.DUMMYFUNCTION("""COMPUTED_VALUE"""),"30815")</f>
        <v>30815</v>
      </c>
      <c r="H3383" s="17" t="str">
        <f>IFERROR(__xludf.DUMMYFUNCTION("""COMPUTED_VALUE"""),"одяг для захисту від комах")</f>
        <v>одяг для захисту від комах</v>
      </c>
      <c r="I3383" s="19">
        <f>IFERROR(__xludf.DUMMYFUNCTION("""COMPUTED_VALUE"""),0.0447)</f>
        <v>0.0447</v>
      </c>
      <c r="J3383" s="19">
        <f>IFERROR(__xludf.DUMMYFUNCTION("""COMPUTED_VALUE"""),0.0893)</f>
        <v>0.0893</v>
      </c>
      <c r="K3383" s="19">
        <f>IFERROR(__xludf.DUMMYFUNCTION("""COMPUTED_VALUE"""),0.1116)</f>
        <v>0.1116</v>
      </c>
      <c r="L3383" s="19">
        <f>IFERROR(__xludf.DUMMYFUNCTION("""COMPUTED_VALUE"""),0.134)</f>
        <v>0.134</v>
      </c>
      <c r="M3383" s="18">
        <f>IFERROR(__xludf.DUMMYFUNCTION("""COMPUTED_VALUE"""),1.71)</f>
        <v>1.71</v>
      </c>
    </row>
    <row r="3384">
      <c r="A3384" s="13" t="str">
        <f>IFERROR(__xludf.DUMMYFUNCTION("""COMPUTED_VALUE"""),"товари")</f>
        <v>товари</v>
      </c>
      <c r="B3384" s="16" t="str">
        <f>IFERROR(__xludf.DUMMYFUNCTION("""COMPUTED_VALUE"""),"спецодяг та взуття")</f>
        <v>спецодяг та взуття</v>
      </c>
      <c r="C3384" s="16" t="str">
        <f>IFERROR(__xludf.DUMMYFUNCTION("""COMPUTED_VALUE"""),"одяг для сфери обслуговування")</f>
        <v>одяг для сфери обслуговування</v>
      </c>
      <c r="D3384" s="16" t="str">
        <f>IFERROR(__xludf.DUMMYFUNCTION("""COMPUTED_VALUE"""),"одяг для сфери обслуговування")</f>
        <v>одяг для сфери обслуговування</v>
      </c>
      <c r="E3384" s="16" t="str">
        <f>IFERROR(__xludf.DUMMYFUNCTION("""COMPUTED_VALUE"""),"одяг для сфери обслуговування")</f>
        <v>одяг для сфери обслуговування</v>
      </c>
      <c r="F3384" s="17">
        <f>IFERROR(__xludf.DUMMYFUNCTION("""COMPUTED_VALUE"""),2.0)</f>
        <v>2</v>
      </c>
      <c r="G3384" s="17" t="str">
        <f>IFERROR(__xludf.DUMMYFUNCTION("""COMPUTED_VALUE"""),"30803")</f>
        <v>30803</v>
      </c>
      <c r="H3384" s="17" t="str">
        <f>IFERROR(__xludf.DUMMYFUNCTION("""COMPUTED_VALUE"""),"одяг для сфери обслуговування")</f>
        <v>одяг для сфери обслуговування</v>
      </c>
      <c r="I3384" s="19">
        <f>IFERROR(__xludf.DUMMYFUNCTION("""COMPUTED_VALUE"""),0.0994)</f>
        <v>0.0994</v>
      </c>
      <c r="J3384" s="19">
        <f>IFERROR(__xludf.DUMMYFUNCTION("""COMPUTED_VALUE"""),0.1988)</f>
        <v>0.1988</v>
      </c>
      <c r="K3384" s="19">
        <f>IFERROR(__xludf.DUMMYFUNCTION("""COMPUTED_VALUE"""),0.2485)</f>
        <v>0.2485</v>
      </c>
      <c r="L3384" s="19">
        <f>IFERROR(__xludf.DUMMYFUNCTION("""COMPUTED_VALUE"""),0.2982)</f>
        <v>0.2982</v>
      </c>
      <c r="M3384" s="18">
        <f>IFERROR(__xludf.DUMMYFUNCTION("""COMPUTED_VALUE"""),3.98)</f>
        <v>3.98</v>
      </c>
    </row>
    <row r="3385">
      <c r="A3385" s="13" t="str">
        <f>IFERROR(__xludf.DUMMYFUNCTION("""COMPUTED_VALUE"""),"товари")</f>
        <v>товари</v>
      </c>
      <c r="B3385" s="16" t="str">
        <f>IFERROR(__xludf.DUMMYFUNCTION("""COMPUTED_VALUE"""),"спецодяг та взуття")</f>
        <v>спецодяг та взуття</v>
      </c>
      <c r="C3385" s="16" t="str">
        <f>IFERROR(__xludf.DUMMYFUNCTION("""COMPUTED_VALUE"""),"робочий одяг")</f>
        <v>робочий одяг</v>
      </c>
      <c r="D3385" s="16" t="str">
        <f>IFERROR(__xludf.DUMMYFUNCTION("""COMPUTED_VALUE"""),"робочий одяг, загальне")</f>
        <v>робочий одяг, загальне</v>
      </c>
      <c r="E3385" s="16" t="str">
        <f>IFERROR(__xludf.DUMMYFUNCTION("""COMPUTED_VALUE"""),"робочий одяг, загальне")</f>
        <v>робочий одяг, загальне</v>
      </c>
      <c r="F3385" s="17">
        <f>IFERROR(__xludf.DUMMYFUNCTION("""COMPUTED_VALUE"""),3.0)</f>
        <v>3</v>
      </c>
      <c r="G3385" s="17" t="str">
        <f>IFERROR(__xludf.DUMMYFUNCTION("""COMPUTED_VALUE"""),"3080809")</f>
        <v>3080809</v>
      </c>
      <c r="H3385" s="17" t="str">
        <f>IFERROR(__xludf.DUMMYFUNCTION("""COMPUTED_VALUE"""),"робочий одяг, загальне")</f>
        <v>робочий одяг, загальне</v>
      </c>
      <c r="I3385" s="19">
        <f>IFERROR(__xludf.DUMMYFUNCTION("""COMPUTED_VALUE"""),0.125)</f>
        <v>0.125</v>
      </c>
      <c r="J3385" s="19">
        <f>IFERROR(__xludf.DUMMYFUNCTION("""COMPUTED_VALUE"""),0.25)</f>
        <v>0.25</v>
      </c>
      <c r="K3385" s="19">
        <f>IFERROR(__xludf.DUMMYFUNCTION("""COMPUTED_VALUE"""),0.3125)</f>
        <v>0.3125</v>
      </c>
      <c r="L3385" s="19">
        <f>IFERROR(__xludf.DUMMYFUNCTION("""COMPUTED_VALUE"""),0.375)</f>
        <v>0.375</v>
      </c>
      <c r="M3385" s="18">
        <f>IFERROR(__xludf.DUMMYFUNCTION("""COMPUTED_VALUE"""),4.33)</f>
        <v>4.33</v>
      </c>
    </row>
    <row r="3386">
      <c r="A3386" s="13" t="str">
        <f>IFERROR(__xludf.DUMMYFUNCTION("""COMPUTED_VALUE"""),"товари")</f>
        <v>товари</v>
      </c>
      <c r="B3386" s="16" t="str">
        <f>IFERROR(__xludf.DUMMYFUNCTION("""COMPUTED_VALUE"""),"спецодяг та взуття")</f>
        <v>спецодяг та взуття</v>
      </c>
      <c r="C3386" s="16" t="str">
        <f>IFERROR(__xludf.DUMMYFUNCTION("""COMPUTED_VALUE"""),"робочий одяг")</f>
        <v>робочий одяг</v>
      </c>
      <c r="D3386" s="16" t="str">
        <f>IFERROR(__xludf.DUMMYFUNCTION("""COMPUTED_VALUE"""),"робочі головні убори")</f>
        <v>робочі головні убори</v>
      </c>
      <c r="E3386" s="16" t="str">
        <f>IFERROR(__xludf.DUMMYFUNCTION("""COMPUTED_VALUE"""),"робочі головні убори")</f>
        <v>робочі головні убори</v>
      </c>
      <c r="F3386" s="17">
        <f>IFERROR(__xludf.DUMMYFUNCTION("""COMPUTED_VALUE"""),3.0)</f>
        <v>3</v>
      </c>
      <c r="G3386" s="17" t="str">
        <f>IFERROR(__xludf.DUMMYFUNCTION("""COMPUTED_VALUE"""),"3080808")</f>
        <v>3080808</v>
      </c>
      <c r="H3386" s="17" t="str">
        <f>IFERROR(__xludf.DUMMYFUNCTION("""COMPUTED_VALUE"""),"робочі головні убори")</f>
        <v>робочі головні убори</v>
      </c>
      <c r="I3386" s="19">
        <f>IFERROR(__xludf.DUMMYFUNCTION("""COMPUTED_VALUE"""),0.0793)</f>
        <v>0.0793</v>
      </c>
      <c r="J3386" s="19">
        <f>IFERROR(__xludf.DUMMYFUNCTION("""COMPUTED_VALUE"""),0.1586)</f>
        <v>0.1586</v>
      </c>
      <c r="K3386" s="19">
        <f>IFERROR(__xludf.DUMMYFUNCTION("""COMPUTED_VALUE"""),0.1983)</f>
        <v>0.1983</v>
      </c>
      <c r="L3386" s="19">
        <f>IFERROR(__xludf.DUMMYFUNCTION("""COMPUTED_VALUE"""),0.2379)</f>
        <v>0.2379</v>
      </c>
      <c r="M3386" s="18">
        <f>IFERROR(__xludf.DUMMYFUNCTION("""COMPUTED_VALUE"""),1.26)</f>
        <v>1.26</v>
      </c>
    </row>
    <row r="3387">
      <c r="A3387" s="13" t="str">
        <f>IFERROR(__xludf.DUMMYFUNCTION("""COMPUTED_VALUE"""),"товари")</f>
        <v>товари</v>
      </c>
      <c r="B3387" s="16" t="str">
        <f>IFERROR(__xludf.DUMMYFUNCTION("""COMPUTED_VALUE"""),"спецодяг та взуття")</f>
        <v>спецодяг та взуття</v>
      </c>
      <c r="C3387" s="16" t="str">
        <f>IFERROR(__xludf.DUMMYFUNCTION("""COMPUTED_VALUE"""),"робочий одяг")</f>
        <v>робочий одяг</v>
      </c>
      <c r="D3387" s="16" t="str">
        <f>IFERROR(__xludf.DUMMYFUNCTION("""COMPUTED_VALUE"""),"робочі жилети")</f>
        <v>робочі жилети</v>
      </c>
      <c r="E3387" s="16" t="str">
        <f>IFERROR(__xludf.DUMMYFUNCTION("""COMPUTED_VALUE"""),"робочі жилети")</f>
        <v>робочі жилети</v>
      </c>
      <c r="F3387" s="17">
        <f>IFERROR(__xludf.DUMMYFUNCTION("""COMPUTED_VALUE"""),3.0)</f>
        <v>3</v>
      </c>
      <c r="G3387" s="17" t="str">
        <f>IFERROR(__xludf.DUMMYFUNCTION("""COMPUTED_VALUE"""),"3080806")</f>
        <v>3080806</v>
      </c>
      <c r="H3387" s="17" t="str">
        <f>IFERROR(__xludf.DUMMYFUNCTION("""COMPUTED_VALUE"""),"робочі жилети")</f>
        <v>робочі жилети</v>
      </c>
      <c r="I3387" s="19">
        <f>IFERROR(__xludf.DUMMYFUNCTION("""COMPUTED_VALUE"""),0.0863)</f>
        <v>0.0863</v>
      </c>
      <c r="J3387" s="19">
        <f>IFERROR(__xludf.DUMMYFUNCTION("""COMPUTED_VALUE"""),0.1725)</f>
        <v>0.1725</v>
      </c>
      <c r="K3387" s="19">
        <f>IFERROR(__xludf.DUMMYFUNCTION("""COMPUTED_VALUE"""),0.2156)</f>
        <v>0.2156</v>
      </c>
      <c r="L3387" s="19">
        <f>IFERROR(__xludf.DUMMYFUNCTION("""COMPUTED_VALUE"""),0.2588)</f>
        <v>0.2588</v>
      </c>
      <c r="M3387" s="18">
        <f>IFERROR(__xludf.DUMMYFUNCTION("""COMPUTED_VALUE"""),3.24)</f>
        <v>3.24</v>
      </c>
    </row>
    <row r="3388">
      <c r="A3388" s="13" t="str">
        <f>IFERROR(__xludf.DUMMYFUNCTION("""COMPUTED_VALUE"""),"товари")</f>
        <v>товари</v>
      </c>
      <c r="B3388" s="16" t="str">
        <f>IFERROR(__xludf.DUMMYFUNCTION("""COMPUTED_VALUE"""),"спецодяг та взуття")</f>
        <v>спецодяг та взуття</v>
      </c>
      <c r="C3388" s="16" t="str">
        <f>IFERROR(__xludf.DUMMYFUNCTION("""COMPUTED_VALUE"""),"робочий одяг")</f>
        <v>робочий одяг</v>
      </c>
      <c r="D3388" s="16" t="str">
        <f>IFERROR(__xludf.DUMMYFUNCTION("""COMPUTED_VALUE"""),"робочі комбінезони та напівкомбінезони")</f>
        <v>робочі комбінезони та напівкомбінезони</v>
      </c>
      <c r="E3388" s="16" t="str">
        <f>IFERROR(__xludf.DUMMYFUNCTION("""COMPUTED_VALUE"""),"робочі комбінезони та напівкомбінезони")</f>
        <v>робочі комбінезони та напівкомбінезони</v>
      </c>
      <c r="F3388" s="17">
        <f>IFERROR(__xludf.DUMMYFUNCTION("""COMPUTED_VALUE"""),3.0)</f>
        <v>3</v>
      </c>
      <c r="G3388" s="17" t="str">
        <f>IFERROR(__xludf.DUMMYFUNCTION("""COMPUTED_VALUE"""),"3080804")</f>
        <v>3080804</v>
      </c>
      <c r="H3388" s="17" t="str">
        <f>IFERROR(__xludf.DUMMYFUNCTION("""COMPUTED_VALUE"""),"робочі комбінезони та напівкомбінезони")</f>
        <v>робочі комбінезони та напівкомбінезони</v>
      </c>
      <c r="I3388" s="19">
        <f>IFERROR(__xludf.DUMMYFUNCTION("""COMPUTED_VALUE"""),0.0855)</f>
        <v>0.0855</v>
      </c>
      <c r="J3388" s="19">
        <f>IFERROR(__xludf.DUMMYFUNCTION("""COMPUTED_VALUE"""),0.1709)</f>
        <v>0.1709</v>
      </c>
      <c r="K3388" s="19">
        <f>IFERROR(__xludf.DUMMYFUNCTION("""COMPUTED_VALUE"""),0.2136)</f>
        <v>0.2136</v>
      </c>
      <c r="L3388" s="19">
        <f>IFERROR(__xludf.DUMMYFUNCTION("""COMPUTED_VALUE"""),0.2564)</f>
        <v>0.2564</v>
      </c>
      <c r="M3388" s="18">
        <f>IFERROR(__xludf.DUMMYFUNCTION("""COMPUTED_VALUE"""),4.2)</f>
        <v>4.2</v>
      </c>
    </row>
    <row r="3389">
      <c r="A3389" s="13" t="str">
        <f>IFERROR(__xludf.DUMMYFUNCTION("""COMPUTED_VALUE"""),"товари")</f>
        <v>товари</v>
      </c>
      <c r="B3389" s="16" t="str">
        <f>IFERROR(__xludf.DUMMYFUNCTION("""COMPUTED_VALUE"""),"спецодяг та взуття")</f>
        <v>спецодяг та взуття</v>
      </c>
      <c r="C3389" s="16" t="str">
        <f>IFERROR(__xludf.DUMMYFUNCTION("""COMPUTED_VALUE"""),"робочий одяг")</f>
        <v>робочий одяг</v>
      </c>
      <c r="D3389" s="16" t="str">
        <f>IFERROR(__xludf.DUMMYFUNCTION("""COMPUTED_VALUE"""),"робочі костюми")</f>
        <v>робочі костюми</v>
      </c>
      <c r="E3389" s="16" t="str">
        <f>IFERROR(__xludf.DUMMYFUNCTION("""COMPUTED_VALUE"""),"робочі костюми")</f>
        <v>робочі костюми</v>
      </c>
      <c r="F3389" s="17">
        <f>IFERROR(__xludf.DUMMYFUNCTION("""COMPUTED_VALUE"""),3.0)</f>
        <v>3</v>
      </c>
      <c r="G3389" s="17" t="str">
        <f>IFERROR(__xludf.DUMMYFUNCTION("""COMPUTED_VALUE"""),"3080802")</f>
        <v>3080802</v>
      </c>
      <c r="H3389" s="17" t="str">
        <f>IFERROR(__xludf.DUMMYFUNCTION("""COMPUTED_VALUE"""),"робочі костюми")</f>
        <v>робочі костюми</v>
      </c>
      <c r="I3389" s="19">
        <f>IFERROR(__xludf.DUMMYFUNCTION("""COMPUTED_VALUE"""),0.0855)</f>
        <v>0.0855</v>
      </c>
      <c r="J3389" s="19">
        <f>IFERROR(__xludf.DUMMYFUNCTION("""COMPUTED_VALUE"""),0.1709)</f>
        <v>0.1709</v>
      </c>
      <c r="K3389" s="19">
        <f>IFERROR(__xludf.DUMMYFUNCTION("""COMPUTED_VALUE"""),0.2136)</f>
        <v>0.2136</v>
      </c>
      <c r="L3389" s="19">
        <f>IFERROR(__xludf.DUMMYFUNCTION("""COMPUTED_VALUE"""),0.2564)</f>
        <v>0.2564</v>
      </c>
      <c r="M3389" s="18">
        <f>IFERROR(__xludf.DUMMYFUNCTION("""COMPUTED_VALUE"""),4.41)</f>
        <v>4.41</v>
      </c>
    </row>
    <row r="3390">
      <c r="A3390" s="13" t="str">
        <f>IFERROR(__xludf.DUMMYFUNCTION("""COMPUTED_VALUE"""),"товари")</f>
        <v>товари</v>
      </c>
      <c r="B3390" s="16" t="str">
        <f>IFERROR(__xludf.DUMMYFUNCTION("""COMPUTED_VALUE"""),"спецодяг та взуття")</f>
        <v>спецодяг та взуття</v>
      </c>
      <c r="C3390" s="16" t="str">
        <f>IFERROR(__xludf.DUMMYFUNCTION("""COMPUTED_VALUE"""),"робочий одяг")</f>
        <v>робочий одяг</v>
      </c>
      <c r="D3390" s="16" t="str">
        <f>IFERROR(__xludf.DUMMYFUNCTION("""COMPUTED_VALUE"""),"робочі куртки")</f>
        <v>робочі куртки</v>
      </c>
      <c r="E3390" s="16" t="str">
        <f>IFERROR(__xludf.DUMMYFUNCTION("""COMPUTED_VALUE"""),"робочі куртки")</f>
        <v>робочі куртки</v>
      </c>
      <c r="F3390" s="17">
        <f>IFERROR(__xludf.DUMMYFUNCTION("""COMPUTED_VALUE"""),3.0)</f>
        <v>3</v>
      </c>
      <c r="G3390" s="17" t="str">
        <f>IFERROR(__xludf.DUMMYFUNCTION("""COMPUTED_VALUE"""),"3080801")</f>
        <v>3080801</v>
      </c>
      <c r="H3390" s="17" t="str">
        <f>IFERROR(__xludf.DUMMYFUNCTION("""COMPUTED_VALUE"""),"робочі куртки")</f>
        <v>робочі куртки</v>
      </c>
      <c r="I3390" s="19">
        <f>IFERROR(__xludf.DUMMYFUNCTION("""COMPUTED_VALUE"""),0.0971)</f>
        <v>0.0971</v>
      </c>
      <c r="J3390" s="19">
        <f>IFERROR(__xludf.DUMMYFUNCTION("""COMPUTED_VALUE"""),0.1941)</f>
        <v>0.1941</v>
      </c>
      <c r="K3390" s="19">
        <f>IFERROR(__xludf.DUMMYFUNCTION("""COMPUTED_VALUE"""),0.2426)</f>
        <v>0.2426</v>
      </c>
      <c r="L3390" s="19">
        <f>IFERROR(__xludf.DUMMYFUNCTION("""COMPUTED_VALUE"""),0.2912)</f>
        <v>0.2912</v>
      </c>
      <c r="M3390" s="18">
        <f>IFERROR(__xludf.DUMMYFUNCTION("""COMPUTED_VALUE"""),2.53)</f>
        <v>2.53</v>
      </c>
    </row>
    <row r="3391">
      <c r="A3391" s="13" t="str">
        <f>IFERROR(__xludf.DUMMYFUNCTION("""COMPUTED_VALUE"""),"товари")</f>
        <v>товари</v>
      </c>
      <c r="B3391" s="16" t="str">
        <f>IFERROR(__xludf.DUMMYFUNCTION("""COMPUTED_VALUE"""),"спецодяг та взуття")</f>
        <v>спецодяг та взуття</v>
      </c>
      <c r="C3391" s="16" t="str">
        <f>IFERROR(__xludf.DUMMYFUNCTION("""COMPUTED_VALUE"""),"робочі рукавички")</f>
        <v>робочі рукавички</v>
      </c>
      <c r="D3391" s="16" t="str">
        <f>IFERROR(__xludf.DUMMYFUNCTION("""COMPUTED_VALUE"""),"робочі рукавички")</f>
        <v>робочі рукавички</v>
      </c>
      <c r="E3391" s="16" t="str">
        <f>IFERROR(__xludf.DUMMYFUNCTION("""COMPUTED_VALUE"""),"робочі рукавички")</f>
        <v>робочі рукавички</v>
      </c>
      <c r="F3391" s="17">
        <f>IFERROR(__xludf.DUMMYFUNCTION("""COMPUTED_VALUE"""),2.0)</f>
        <v>2</v>
      </c>
      <c r="G3391" s="17" t="str">
        <f>IFERROR(__xludf.DUMMYFUNCTION("""COMPUTED_VALUE"""),"30816")</f>
        <v>30816</v>
      </c>
      <c r="H3391" s="17" t="str">
        <f>IFERROR(__xludf.DUMMYFUNCTION("""COMPUTED_VALUE"""),"робочі рукавички")</f>
        <v>робочі рукавички</v>
      </c>
      <c r="I3391" s="19">
        <f>IFERROR(__xludf.DUMMYFUNCTION("""COMPUTED_VALUE"""),0.0752)</f>
        <v>0.0752</v>
      </c>
      <c r="J3391" s="19">
        <f>IFERROR(__xludf.DUMMYFUNCTION("""COMPUTED_VALUE"""),0.1503)</f>
        <v>0.1503</v>
      </c>
      <c r="K3391" s="19">
        <f>IFERROR(__xludf.DUMMYFUNCTION("""COMPUTED_VALUE"""),0.1879)</f>
        <v>0.1879</v>
      </c>
      <c r="L3391" s="19">
        <f>IFERROR(__xludf.DUMMYFUNCTION("""COMPUTED_VALUE"""),0.2255)</f>
        <v>0.2255</v>
      </c>
      <c r="M3391" s="18">
        <f>IFERROR(__xludf.DUMMYFUNCTION("""COMPUTED_VALUE"""),4.33)</f>
        <v>4.33</v>
      </c>
    </row>
    <row r="3392">
      <c r="A3392" s="13" t="str">
        <f>IFERROR(__xludf.DUMMYFUNCTION("""COMPUTED_VALUE"""),"товари")</f>
        <v>товари</v>
      </c>
      <c r="B3392" s="16" t="str">
        <f>IFERROR(__xludf.DUMMYFUNCTION("""COMPUTED_VALUE"""),"спецодяг та взуття")</f>
        <v>спецодяг та взуття</v>
      </c>
      <c r="C3392" s="16" t="str">
        <f>IFERROR(__xludf.DUMMYFUNCTION("""COMPUTED_VALUE"""),"робочий одяг")</f>
        <v>робочий одяг</v>
      </c>
      <c r="D3392" s="16" t="str">
        <f>IFERROR(__xludf.DUMMYFUNCTION("""COMPUTED_VALUE"""),"робочі фартухи")</f>
        <v>робочі фартухи</v>
      </c>
      <c r="E3392" s="16" t="str">
        <f>IFERROR(__xludf.DUMMYFUNCTION("""COMPUTED_VALUE"""),"робочі фартухи")</f>
        <v>робочі фартухи</v>
      </c>
      <c r="F3392" s="17">
        <f>IFERROR(__xludf.DUMMYFUNCTION("""COMPUTED_VALUE"""),3.0)</f>
        <v>3</v>
      </c>
      <c r="G3392" s="17" t="str">
        <f>IFERROR(__xludf.DUMMYFUNCTION("""COMPUTED_VALUE"""),"3080807")</f>
        <v>3080807</v>
      </c>
      <c r="H3392" s="17" t="str">
        <f>IFERROR(__xludf.DUMMYFUNCTION("""COMPUTED_VALUE"""),"робочі фартухи")</f>
        <v>робочі фартухи</v>
      </c>
      <c r="I3392" s="19">
        <f>IFERROR(__xludf.DUMMYFUNCTION("""COMPUTED_VALUE"""),0.0793)</f>
        <v>0.0793</v>
      </c>
      <c r="J3392" s="19">
        <f>IFERROR(__xludf.DUMMYFUNCTION("""COMPUTED_VALUE"""),0.1586)</f>
        <v>0.1586</v>
      </c>
      <c r="K3392" s="19">
        <f>IFERROR(__xludf.DUMMYFUNCTION("""COMPUTED_VALUE"""),0.1983)</f>
        <v>0.1983</v>
      </c>
      <c r="L3392" s="19">
        <f>IFERROR(__xludf.DUMMYFUNCTION("""COMPUTED_VALUE"""),0.2379)</f>
        <v>0.2379</v>
      </c>
      <c r="M3392" s="18">
        <f>IFERROR(__xludf.DUMMYFUNCTION("""COMPUTED_VALUE"""),4.33)</f>
        <v>4.33</v>
      </c>
    </row>
    <row r="3393">
      <c r="A3393" s="13" t="str">
        <f>IFERROR(__xludf.DUMMYFUNCTION("""COMPUTED_VALUE"""),"товари")</f>
        <v>товари</v>
      </c>
      <c r="B3393" s="16" t="str">
        <f>IFERROR(__xludf.DUMMYFUNCTION("""COMPUTED_VALUE"""),"спецодяг та взуття")</f>
        <v>спецодяг та взуття</v>
      </c>
      <c r="C3393" s="16" t="str">
        <f>IFERROR(__xludf.DUMMYFUNCTION("""COMPUTED_VALUE"""),"робочий одяг")</f>
        <v>робочий одяг</v>
      </c>
      <c r="D3393" s="16" t="str">
        <f>IFERROR(__xludf.DUMMYFUNCTION("""COMPUTED_VALUE"""),"робочі халати")</f>
        <v>робочі халати</v>
      </c>
      <c r="E3393" s="16" t="str">
        <f>IFERROR(__xludf.DUMMYFUNCTION("""COMPUTED_VALUE"""),"робочі халати")</f>
        <v>робочі халати</v>
      </c>
      <c r="F3393" s="17">
        <f>IFERROR(__xludf.DUMMYFUNCTION("""COMPUTED_VALUE"""),3.0)</f>
        <v>3</v>
      </c>
      <c r="G3393" s="17" t="str">
        <f>IFERROR(__xludf.DUMMYFUNCTION("""COMPUTED_VALUE"""),"3080803")</f>
        <v>3080803</v>
      </c>
      <c r="H3393" s="17" t="str">
        <f>IFERROR(__xludf.DUMMYFUNCTION("""COMPUTED_VALUE"""),"робочі халати")</f>
        <v>робочі халати</v>
      </c>
      <c r="I3393" s="19">
        <f>IFERROR(__xludf.DUMMYFUNCTION("""COMPUTED_VALUE"""),0.077)</f>
        <v>0.077</v>
      </c>
      <c r="J3393" s="19">
        <f>IFERROR(__xludf.DUMMYFUNCTION("""COMPUTED_VALUE"""),0.154)</f>
        <v>0.154</v>
      </c>
      <c r="K3393" s="19">
        <f>IFERROR(__xludf.DUMMYFUNCTION("""COMPUTED_VALUE"""),0.1925)</f>
        <v>0.1925</v>
      </c>
      <c r="L3393" s="19">
        <f>IFERROR(__xludf.DUMMYFUNCTION("""COMPUTED_VALUE"""),0.231)</f>
        <v>0.231</v>
      </c>
      <c r="M3393" s="18">
        <f>IFERROR(__xludf.DUMMYFUNCTION("""COMPUTED_VALUE"""),3.75)</f>
        <v>3.75</v>
      </c>
    </row>
    <row r="3394">
      <c r="A3394" s="13" t="str">
        <f>IFERROR(__xludf.DUMMYFUNCTION("""COMPUTED_VALUE"""),"товари")</f>
        <v>товари</v>
      </c>
      <c r="B3394" s="16" t="str">
        <f>IFERROR(__xludf.DUMMYFUNCTION("""COMPUTED_VALUE"""),"спецодяг та взуття")</f>
        <v>спецодяг та взуття</v>
      </c>
      <c r="C3394" s="16" t="str">
        <f>IFERROR(__xludf.DUMMYFUNCTION("""COMPUTED_VALUE"""),"сигнальний одяг")</f>
        <v>сигнальний одяг</v>
      </c>
      <c r="D3394" s="16" t="str">
        <f>IFERROR(__xludf.DUMMYFUNCTION("""COMPUTED_VALUE"""),"сигнальний одяг")</f>
        <v>сигнальний одяг</v>
      </c>
      <c r="E3394" s="16" t="str">
        <f>IFERROR(__xludf.DUMMYFUNCTION("""COMPUTED_VALUE"""),"сигнальний одяг")</f>
        <v>сигнальний одяг</v>
      </c>
      <c r="F3394" s="17">
        <f>IFERROR(__xludf.DUMMYFUNCTION("""COMPUTED_VALUE"""),2.0)</f>
        <v>2</v>
      </c>
      <c r="G3394" s="17" t="str">
        <f>IFERROR(__xludf.DUMMYFUNCTION("""COMPUTED_VALUE"""),"30812")</f>
        <v>30812</v>
      </c>
      <c r="H3394" s="17" t="str">
        <f>IFERROR(__xludf.DUMMYFUNCTION("""COMPUTED_VALUE"""),"сигнальний одяг")</f>
        <v>сигнальний одяг</v>
      </c>
      <c r="I3394" s="19">
        <f>IFERROR(__xludf.DUMMYFUNCTION("""COMPUTED_VALUE"""),0.0988)</f>
        <v>0.0988</v>
      </c>
      <c r="J3394" s="19">
        <f>IFERROR(__xludf.DUMMYFUNCTION("""COMPUTED_VALUE"""),0.1975)</f>
        <v>0.1975</v>
      </c>
      <c r="K3394" s="19">
        <f>IFERROR(__xludf.DUMMYFUNCTION("""COMPUTED_VALUE"""),0.2469)</f>
        <v>0.2469</v>
      </c>
      <c r="L3394" s="19">
        <f>IFERROR(__xludf.DUMMYFUNCTION("""COMPUTED_VALUE"""),0.2963)</f>
        <v>0.2963</v>
      </c>
      <c r="M3394" s="18">
        <f>IFERROR(__xludf.DUMMYFUNCTION("""COMPUTED_VALUE"""),4.14)</f>
        <v>4.14</v>
      </c>
    </row>
    <row r="3395">
      <c r="A3395" s="13" t="str">
        <f>IFERROR(__xludf.DUMMYFUNCTION("""COMPUTED_VALUE"""),"товари")</f>
        <v>товари</v>
      </c>
      <c r="B3395" s="16" t="str">
        <f>IFERROR(__xludf.DUMMYFUNCTION("""COMPUTED_VALUE"""),"спецодяг та взуття")</f>
        <v>спецодяг та взуття</v>
      </c>
      <c r="C3395" s="16" t="str">
        <f>IFERROR(__xludf.DUMMYFUNCTION("""COMPUTED_VALUE"""),"спецвзуття")</f>
        <v>спецвзуття</v>
      </c>
      <c r="D3395" s="16" t="str">
        <f>IFERROR(__xludf.DUMMYFUNCTION("""COMPUTED_VALUE"""),"спецвзуття")</f>
        <v>спецвзуття</v>
      </c>
      <c r="E3395" s="16" t="str">
        <f>IFERROR(__xludf.DUMMYFUNCTION("""COMPUTED_VALUE"""),"спецвзуття")</f>
        <v>спецвзуття</v>
      </c>
      <c r="F3395" s="17">
        <f>IFERROR(__xludf.DUMMYFUNCTION("""COMPUTED_VALUE"""),2.0)</f>
        <v>2</v>
      </c>
      <c r="G3395" s="17" t="str">
        <f>IFERROR(__xludf.DUMMYFUNCTION("""COMPUTED_VALUE"""),"32208")</f>
        <v>32208</v>
      </c>
      <c r="H3395" s="17" t="str">
        <f>IFERROR(__xludf.DUMMYFUNCTION("""COMPUTED_VALUE"""),"спецвзуття")</f>
        <v>спецвзуття</v>
      </c>
      <c r="I3395" s="19">
        <f>IFERROR(__xludf.DUMMYFUNCTION("""COMPUTED_VALUE"""),0.078)</f>
        <v>0.078</v>
      </c>
      <c r="J3395" s="19">
        <f>IFERROR(__xludf.DUMMYFUNCTION("""COMPUTED_VALUE"""),0.1559)</f>
        <v>0.1559</v>
      </c>
      <c r="K3395" s="19">
        <f>IFERROR(__xludf.DUMMYFUNCTION("""COMPUTED_VALUE"""),0.1949)</f>
        <v>0.1949</v>
      </c>
      <c r="L3395" s="19">
        <f>IFERROR(__xludf.DUMMYFUNCTION("""COMPUTED_VALUE"""),0.2339)</f>
        <v>0.2339</v>
      </c>
      <c r="M3395" s="18">
        <f>IFERROR(__xludf.DUMMYFUNCTION("""COMPUTED_VALUE"""),3.96)</f>
        <v>3.96</v>
      </c>
    </row>
    <row r="3396">
      <c r="A3396" s="13" t="str">
        <f>IFERROR(__xludf.DUMMYFUNCTION("""COMPUTED_VALUE"""),"товари")</f>
        <v>товари</v>
      </c>
      <c r="B3396" s="16" t="str">
        <f>IFERROR(__xludf.DUMMYFUNCTION("""COMPUTED_VALUE"""),"спецодяг та взуття")</f>
        <v>спецодяг та взуття</v>
      </c>
      <c r="C3396" s="16" t="str">
        <f>IFERROR(__xludf.DUMMYFUNCTION("""COMPUTED_VALUE"""),"спецодяг та взуття, загальне")</f>
        <v>спецодяг та взуття, загальне</v>
      </c>
      <c r="D3396" s="16" t="str">
        <f>IFERROR(__xludf.DUMMYFUNCTION("""COMPUTED_VALUE"""),"спецодяг та взуття, загальне")</f>
        <v>спецодяг та взуття, загальне</v>
      </c>
      <c r="E3396" s="16" t="str">
        <f>IFERROR(__xludf.DUMMYFUNCTION("""COMPUTED_VALUE"""),"спецодяг та взуття, загальне")</f>
        <v>спецодяг та взуття, загальне</v>
      </c>
      <c r="F3396" s="17">
        <f>IFERROR(__xludf.DUMMYFUNCTION("""COMPUTED_VALUE"""),2.0)</f>
        <v>2</v>
      </c>
      <c r="G3396" s="17" t="str">
        <f>IFERROR(__xludf.DUMMYFUNCTION("""COMPUTED_VALUE"""),"309")</f>
        <v>309</v>
      </c>
      <c r="H3396" s="17" t="str">
        <f>IFERROR(__xludf.DUMMYFUNCTION("""COMPUTED_VALUE"""),"спецодяг та взуття, загальне")</f>
        <v>спецодяг та взуття, загальне</v>
      </c>
      <c r="I3396" s="19">
        <f>IFERROR(__xludf.DUMMYFUNCTION("""COMPUTED_VALUE"""),0.125)</f>
        <v>0.125</v>
      </c>
      <c r="J3396" s="19">
        <f>IFERROR(__xludf.DUMMYFUNCTION("""COMPUTED_VALUE"""),0.25)</f>
        <v>0.25</v>
      </c>
      <c r="K3396" s="19">
        <f>IFERROR(__xludf.DUMMYFUNCTION("""COMPUTED_VALUE"""),0.3125)</f>
        <v>0.3125</v>
      </c>
      <c r="L3396" s="19">
        <f>IFERROR(__xludf.DUMMYFUNCTION("""COMPUTED_VALUE"""),0.375)</f>
        <v>0.375</v>
      </c>
      <c r="M3396" s="18">
        <f>IFERROR(__xludf.DUMMYFUNCTION("""COMPUTED_VALUE"""),4.33)</f>
        <v>4.33</v>
      </c>
    </row>
    <row r="3397">
      <c r="A3397" s="13" t="str">
        <f>IFERROR(__xludf.DUMMYFUNCTION("""COMPUTED_VALUE"""),"товари")</f>
        <v>товари</v>
      </c>
      <c r="B3397" s="16" t="str">
        <f>IFERROR(__xludf.DUMMYFUNCTION("""COMPUTED_VALUE"""),"спецодяг та взуття")</f>
        <v>спецодяг та взуття</v>
      </c>
      <c r="C3397" s="16" t="str">
        <f>IFERROR(__xludf.DUMMYFUNCTION("""COMPUTED_VALUE"""),"робочий одяг")</f>
        <v>робочий одяг</v>
      </c>
      <c r="D3397" s="16" t="str">
        <f>IFERROR(__xludf.DUMMYFUNCTION("""COMPUTED_VALUE"""),"штани робочі")</f>
        <v>штани робочі</v>
      </c>
      <c r="E3397" s="16" t="str">
        <f>IFERROR(__xludf.DUMMYFUNCTION("""COMPUTED_VALUE"""),"штани робочі")</f>
        <v>штани робочі</v>
      </c>
      <c r="F3397" s="17">
        <f>IFERROR(__xludf.DUMMYFUNCTION("""COMPUTED_VALUE"""),3.0)</f>
        <v>3</v>
      </c>
      <c r="G3397" s="17" t="str">
        <f>IFERROR(__xludf.DUMMYFUNCTION("""COMPUTED_VALUE"""),"3080810")</f>
        <v>3080810</v>
      </c>
      <c r="H3397" s="17" t="str">
        <f>IFERROR(__xludf.DUMMYFUNCTION("""COMPUTED_VALUE"""),"штани робочі")</f>
        <v>штани робочі</v>
      </c>
      <c r="I3397" s="19">
        <f>IFERROR(__xludf.DUMMYFUNCTION("""COMPUTED_VALUE"""),0.0924)</f>
        <v>0.0924</v>
      </c>
      <c r="J3397" s="19">
        <f>IFERROR(__xludf.DUMMYFUNCTION("""COMPUTED_VALUE"""),0.1848)</f>
        <v>0.1848</v>
      </c>
      <c r="K3397" s="19">
        <f>IFERROR(__xludf.DUMMYFUNCTION("""COMPUTED_VALUE"""),0.231)</f>
        <v>0.231</v>
      </c>
      <c r="L3397" s="19">
        <f>IFERROR(__xludf.DUMMYFUNCTION("""COMPUTED_VALUE"""),0.2772)</f>
        <v>0.2772</v>
      </c>
      <c r="M3397" s="18">
        <f>IFERROR(__xludf.DUMMYFUNCTION("""COMPUTED_VALUE"""),1.8)</f>
        <v>1.8</v>
      </c>
    </row>
    <row r="3398">
      <c r="A3398" s="13" t="str">
        <f>IFERROR(__xludf.DUMMYFUNCTION("""COMPUTED_VALUE"""),"товари")</f>
        <v>товари</v>
      </c>
      <c r="B3398" s="16" t="str">
        <f>IFERROR(__xludf.DUMMYFUNCTION("""COMPUTED_VALUE"""),"спорт і відпочинок")</f>
        <v>спорт і відпочинок</v>
      </c>
      <c r="C3398" s="16" t="str">
        <f>IFERROR(__xludf.DUMMYFUNCTION("""COMPUTED_VALUE"""),"водні види спорту")</f>
        <v>водні види спорту</v>
      </c>
      <c r="D3398" s="16" t="str">
        <f>IFERROR(__xludf.DUMMYFUNCTION("""COMPUTED_VALUE"""),"аксесуари для аквафітнесу")</f>
        <v>аксесуари для аквафітнесу</v>
      </c>
      <c r="E3398" s="16" t="str">
        <f>IFERROR(__xludf.DUMMYFUNCTION("""COMPUTED_VALUE"""),"аксесуари для аквафітнесу")</f>
        <v>аксесуари для аквафітнесу</v>
      </c>
      <c r="F3398" s="17">
        <f>IFERROR(__xludf.DUMMYFUNCTION("""COMPUTED_VALUE"""),3.0)</f>
        <v>3</v>
      </c>
      <c r="G3398" s="17" t="str">
        <f>IFERROR(__xludf.DUMMYFUNCTION("""COMPUTED_VALUE"""),"203422")</f>
        <v>203422</v>
      </c>
      <c r="H3398" s="17" t="str">
        <f>IFERROR(__xludf.DUMMYFUNCTION("""COMPUTED_VALUE"""),"аксесуари для аквафітнесу")</f>
        <v>аксесуари для аквафітнесу</v>
      </c>
      <c r="I3398" s="19">
        <f>IFERROR(__xludf.DUMMYFUNCTION("""COMPUTED_VALUE"""),0.0784)</f>
        <v>0.0784</v>
      </c>
      <c r="J3398" s="19">
        <f>IFERROR(__xludf.DUMMYFUNCTION("""COMPUTED_VALUE"""),0.1568)</f>
        <v>0.1568</v>
      </c>
      <c r="K3398" s="19">
        <f>IFERROR(__xludf.DUMMYFUNCTION("""COMPUTED_VALUE"""),0.196)</f>
        <v>0.196</v>
      </c>
      <c r="L3398" s="19">
        <f>IFERROR(__xludf.DUMMYFUNCTION("""COMPUTED_VALUE"""),0.2352)</f>
        <v>0.2352</v>
      </c>
      <c r="M3398" s="18">
        <f>IFERROR(__xludf.DUMMYFUNCTION("""COMPUTED_VALUE"""),1.05)</f>
        <v>1.05</v>
      </c>
    </row>
    <row r="3399">
      <c r="A3399" s="13" t="str">
        <f>IFERROR(__xludf.DUMMYFUNCTION("""COMPUTED_VALUE"""),"товари")</f>
        <v>товари</v>
      </c>
      <c r="B3399" s="16" t="str">
        <f>IFERROR(__xludf.DUMMYFUNCTION("""COMPUTED_VALUE"""),"спорт і відпочинок")</f>
        <v>спорт і відпочинок</v>
      </c>
      <c r="C3399" s="16" t="str">
        <f>IFERROR(__xludf.DUMMYFUNCTION("""COMPUTED_VALUE"""),"спортивні товари")</f>
        <v>спортивні товари</v>
      </c>
      <c r="D3399" s="16" t="str">
        <f>IFERROR(__xludf.DUMMYFUNCTION("""COMPUTED_VALUE"""),"спортивний інвентар")</f>
        <v>спортивний інвентар</v>
      </c>
      <c r="E3399" s="16" t="str">
        <f>IFERROR(__xludf.DUMMYFUNCTION("""COMPUTED_VALUE"""),"аксесуари для м'ячів")</f>
        <v>аксесуари для м'ячів</v>
      </c>
      <c r="F3399" s="17">
        <f>IFERROR(__xludf.DUMMYFUNCTION("""COMPUTED_VALUE"""),4.0)</f>
        <v>4</v>
      </c>
      <c r="G3399" s="17" t="str">
        <f>IFERROR(__xludf.DUMMYFUNCTION("""COMPUTED_VALUE"""),"200315")</f>
        <v>200315</v>
      </c>
      <c r="H3399" s="17" t="str">
        <f>IFERROR(__xludf.DUMMYFUNCTION("""COMPUTED_VALUE"""),"аксесуари для м'ячів")</f>
        <v>аксесуари для м'ячів</v>
      </c>
      <c r="I3399" s="19">
        <f>IFERROR(__xludf.DUMMYFUNCTION("""COMPUTED_VALUE"""),0.0797)</f>
        <v>0.0797</v>
      </c>
      <c r="J3399" s="19">
        <f>IFERROR(__xludf.DUMMYFUNCTION("""COMPUTED_VALUE"""),0.1593)</f>
        <v>0.1593</v>
      </c>
      <c r="K3399" s="19">
        <f>IFERROR(__xludf.DUMMYFUNCTION("""COMPUTED_VALUE"""),0.1991)</f>
        <v>0.1991</v>
      </c>
      <c r="L3399" s="19">
        <f>IFERROR(__xludf.DUMMYFUNCTION("""COMPUTED_VALUE"""),0.239)</f>
        <v>0.239</v>
      </c>
      <c r="M3399" s="18">
        <f>IFERROR(__xludf.DUMMYFUNCTION("""COMPUTED_VALUE"""),2.53)</f>
        <v>2.53</v>
      </c>
    </row>
    <row r="3400">
      <c r="A3400" s="13" t="str">
        <f>IFERROR(__xludf.DUMMYFUNCTION("""COMPUTED_VALUE"""),"товари")</f>
        <v>товари</v>
      </c>
      <c r="B3400" s="16" t="str">
        <f>IFERROR(__xludf.DUMMYFUNCTION("""COMPUTED_VALUE"""),"спорт і відпочинок")</f>
        <v>спорт і відпочинок</v>
      </c>
      <c r="C3400" s="16" t="str">
        <f>IFERROR(__xludf.DUMMYFUNCTION("""COMPUTED_VALUE"""),"товари для полювання")</f>
        <v>товари для полювання</v>
      </c>
      <c r="D3400" s="16" t="str">
        <f>IFERROR(__xludf.DUMMYFUNCTION("""COMPUTED_VALUE"""),"аксесуари для мисливських рушниць")</f>
        <v>аксесуари для мисливських рушниць</v>
      </c>
      <c r="E3400" s="16" t="str">
        <f>IFERROR(__xludf.DUMMYFUNCTION("""COMPUTED_VALUE"""),"аксесуари для мисливських рушниць, загальне")</f>
        <v>аксесуари для мисливських рушниць, загальне</v>
      </c>
      <c r="F3400" s="17">
        <f>IFERROR(__xludf.DUMMYFUNCTION("""COMPUTED_VALUE"""),4.0)</f>
        <v>4</v>
      </c>
      <c r="G3400" s="17" t="str">
        <f>IFERROR(__xludf.DUMMYFUNCTION("""COMPUTED_VALUE"""),"181612")</f>
        <v>181612</v>
      </c>
      <c r="H3400" s="17" t="str">
        <f>IFERROR(__xludf.DUMMYFUNCTION("""COMPUTED_VALUE"""),"аксесуари для мисливських рушниць, загальне")</f>
        <v>аксесуари для мисливських рушниць, загальне</v>
      </c>
      <c r="I3400" s="19">
        <f>IFERROR(__xludf.DUMMYFUNCTION("""COMPUTED_VALUE"""),0.125)</f>
        <v>0.125</v>
      </c>
      <c r="J3400" s="19">
        <f>IFERROR(__xludf.DUMMYFUNCTION("""COMPUTED_VALUE"""),0.25)</f>
        <v>0.25</v>
      </c>
      <c r="K3400" s="19">
        <f>IFERROR(__xludf.DUMMYFUNCTION("""COMPUTED_VALUE"""),0.3125)</f>
        <v>0.3125</v>
      </c>
      <c r="L3400" s="19">
        <f>IFERROR(__xludf.DUMMYFUNCTION("""COMPUTED_VALUE"""),0.375)</f>
        <v>0.375</v>
      </c>
      <c r="M3400" s="18">
        <f>IFERROR(__xludf.DUMMYFUNCTION("""COMPUTED_VALUE"""),4.33)</f>
        <v>4.33</v>
      </c>
    </row>
    <row r="3401">
      <c r="A3401" s="13" t="str">
        <f>IFERROR(__xludf.DUMMYFUNCTION("""COMPUTED_VALUE"""),"товари")</f>
        <v>товари</v>
      </c>
      <c r="B3401" s="16" t="str">
        <f>IFERROR(__xludf.DUMMYFUNCTION("""COMPUTED_VALUE"""),"спорт і відпочинок")</f>
        <v>спорт і відпочинок</v>
      </c>
      <c r="C3401" s="16" t="str">
        <f>IFERROR(__xludf.DUMMYFUNCTION("""COMPUTED_VALUE"""),"товари для туризму та подорожей")</f>
        <v>товари для туризму та подорожей</v>
      </c>
      <c r="D3401" s="16" t="str">
        <f>IFERROR(__xludf.DUMMYFUNCTION("""COMPUTED_VALUE"""),"переносне освітлення")</f>
        <v>переносне освітлення</v>
      </c>
      <c r="E3401" s="16" t="str">
        <f>IFERROR(__xludf.DUMMYFUNCTION("""COMPUTED_VALUE"""),"аксесуари для переносних ліхтарів")</f>
        <v>аксесуари для переносних ліхтарів</v>
      </c>
      <c r="F3401" s="17">
        <f>IFERROR(__xludf.DUMMYFUNCTION("""COMPUTED_VALUE"""),4.0)</f>
        <v>4</v>
      </c>
      <c r="G3401" s="17" t="str">
        <f>IFERROR(__xludf.DUMMYFUNCTION("""COMPUTED_VALUE"""),"390505")</f>
        <v>390505</v>
      </c>
      <c r="H3401" s="17" t="str">
        <f>IFERROR(__xludf.DUMMYFUNCTION("""COMPUTED_VALUE"""),"аксесуари для переносних ліхтарів")</f>
        <v>аксесуари для переносних ліхтарів</v>
      </c>
      <c r="I3401" s="19">
        <f>IFERROR(__xludf.DUMMYFUNCTION("""COMPUTED_VALUE"""),0.0795)</f>
        <v>0.0795</v>
      </c>
      <c r="J3401" s="19">
        <f>IFERROR(__xludf.DUMMYFUNCTION("""COMPUTED_VALUE"""),0.159)</f>
        <v>0.159</v>
      </c>
      <c r="K3401" s="19">
        <f>IFERROR(__xludf.DUMMYFUNCTION("""COMPUTED_VALUE"""),0.1988)</f>
        <v>0.1988</v>
      </c>
      <c r="L3401" s="19">
        <f>IFERROR(__xludf.DUMMYFUNCTION("""COMPUTED_VALUE"""),0.2385)</f>
        <v>0.2385</v>
      </c>
      <c r="M3401" s="18">
        <f>IFERROR(__xludf.DUMMYFUNCTION("""COMPUTED_VALUE"""),1.44)</f>
        <v>1.44</v>
      </c>
    </row>
    <row r="3402">
      <c r="A3402" s="13" t="str">
        <f>IFERROR(__xludf.DUMMYFUNCTION("""COMPUTED_VALUE"""),"товари")</f>
        <v>товари</v>
      </c>
      <c r="B3402" s="16" t="str">
        <f>IFERROR(__xludf.DUMMYFUNCTION("""COMPUTED_VALUE"""),"спорт і відпочинок")</f>
        <v>спорт і відпочинок</v>
      </c>
      <c r="C3402" s="16" t="str">
        <f>IFERROR(__xludf.DUMMYFUNCTION("""COMPUTED_VALUE"""),"товари для туризму та подорожей")</f>
        <v>товари для туризму та подорожей</v>
      </c>
      <c r="D3402" s="16" t="str">
        <f>IFERROR(__xludf.DUMMYFUNCTION("""COMPUTED_VALUE"""),"аксесуари для спальних мішків, карематів та наметів")</f>
        <v>аксесуари для спальних мішків, карематів та наметів</v>
      </c>
      <c r="E3402" s="16" t="str">
        <f>IFERROR(__xludf.DUMMYFUNCTION("""COMPUTED_VALUE"""),"аксесуари для спальних мішків, карематів та наметів")</f>
        <v>аксесуари для спальних мішків, карематів та наметів</v>
      </c>
      <c r="F3402" s="17">
        <f>IFERROR(__xludf.DUMMYFUNCTION("""COMPUTED_VALUE"""),3.0)</f>
        <v>3</v>
      </c>
      <c r="G3402" s="17" t="str">
        <f>IFERROR(__xludf.DUMMYFUNCTION("""COMPUTED_VALUE"""),"240435")</f>
        <v>240435</v>
      </c>
      <c r="H3402" s="17" t="str">
        <f>IFERROR(__xludf.DUMMYFUNCTION("""COMPUTED_VALUE"""),"аксесуари для спальних мішків, карематів та наметів")</f>
        <v>аксесуари для спальних мішків, карематів та наметів</v>
      </c>
      <c r="I3402" s="19">
        <f>IFERROR(__xludf.DUMMYFUNCTION("""COMPUTED_VALUE"""),0.0447)</f>
        <v>0.0447</v>
      </c>
      <c r="J3402" s="19">
        <f>IFERROR(__xludf.DUMMYFUNCTION("""COMPUTED_VALUE"""),0.0893)</f>
        <v>0.0893</v>
      </c>
      <c r="K3402" s="19">
        <f>IFERROR(__xludf.DUMMYFUNCTION("""COMPUTED_VALUE"""),0.1116)</f>
        <v>0.1116</v>
      </c>
      <c r="L3402" s="19">
        <f>IFERROR(__xludf.DUMMYFUNCTION("""COMPUTED_VALUE"""),0.134)</f>
        <v>0.134</v>
      </c>
      <c r="M3402" s="18">
        <f>IFERROR(__xludf.DUMMYFUNCTION("""COMPUTED_VALUE"""),1.05)</f>
        <v>1.05</v>
      </c>
    </row>
    <row r="3403">
      <c r="A3403" s="13" t="str">
        <f>IFERROR(__xludf.DUMMYFUNCTION("""COMPUTED_VALUE"""),"товари")</f>
        <v>товари</v>
      </c>
      <c r="B3403" s="16" t="str">
        <f>IFERROR(__xludf.DUMMYFUNCTION("""COMPUTED_VALUE"""),"спорт і відпочинок")</f>
        <v>спорт і відпочинок</v>
      </c>
      <c r="C3403" s="16" t="str">
        <f>IFERROR(__xludf.DUMMYFUNCTION("""COMPUTED_VALUE"""),"товари для туризму та подорожей")</f>
        <v>товари для туризму та подорожей</v>
      </c>
      <c r="D3403" s="16" t="str">
        <f>IFERROR(__xludf.DUMMYFUNCTION("""COMPUTED_VALUE"""),"газове обладнання для туризму")</f>
        <v>газове обладнання для туризму</v>
      </c>
      <c r="E3403" s="16" t="str">
        <f>IFERROR(__xludf.DUMMYFUNCTION("""COMPUTED_VALUE"""),"аксесуари для туристичних пальників та балонів")</f>
        <v>аксесуари для туристичних пальників та балонів</v>
      </c>
      <c r="F3403" s="17">
        <f>IFERROR(__xludf.DUMMYFUNCTION("""COMPUTED_VALUE"""),4.0)</f>
        <v>4</v>
      </c>
      <c r="G3403" s="17" t="str">
        <f>IFERROR(__xludf.DUMMYFUNCTION("""COMPUTED_VALUE"""),"240446")</f>
        <v>240446</v>
      </c>
      <c r="H3403" s="17" t="str">
        <f>IFERROR(__xludf.DUMMYFUNCTION("""COMPUTED_VALUE"""),"аксесуари для туристичних пальників та балонів")</f>
        <v>аксесуари для туристичних пальників та балонів</v>
      </c>
      <c r="I3403" s="19">
        <f>IFERROR(__xludf.DUMMYFUNCTION("""COMPUTED_VALUE"""),0.0734)</f>
        <v>0.0734</v>
      </c>
      <c r="J3403" s="19">
        <f>IFERROR(__xludf.DUMMYFUNCTION("""COMPUTED_VALUE"""),0.1468)</f>
        <v>0.1468</v>
      </c>
      <c r="K3403" s="19">
        <f>IFERROR(__xludf.DUMMYFUNCTION("""COMPUTED_VALUE"""),0.1835)</f>
        <v>0.1835</v>
      </c>
      <c r="L3403" s="19">
        <f>IFERROR(__xludf.DUMMYFUNCTION("""COMPUTED_VALUE"""),0.2202)</f>
        <v>0.2202</v>
      </c>
      <c r="M3403" s="18">
        <f>IFERROR(__xludf.DUMMYFUNCTION("""COMPUTED_VALUE"""),2.25)</f>
        <v>2.25</v>
      </c>
    </row>
    <row r="3404">
      <c r="A3404" s="13" t="str">
        <f>IFERROR(__xludf.DUMMYFUNCTION("""COMPUTED_VALUE"""),"товари")</f>
        <v>товари</v>
      </c>
      <c r="B3404" s="16" t="str">
        <f>IFERROR(__xludf.DUMMYFUNCTION("""COMPUTED_VALUE"""),"спорт і відпочинок")</f>
        <v>спорт і відпочинок</v>
      </c>
      <c r="C3404" s="16" t="str">
        <f>IFERROR(__xludf.DUMMYFUNCTION("""COMPUTED_VALUE"""),"товари для підводного полювання")</f>
        <v>товари для підводного полювання</v>
      </c>
      <c r="D3404" s="16" t="str">
        <f>IFERROR(__xludf.DUMMYFUNCTION("""COMPUTED_VALUE"""),"підводні рушниці")</f>
        <v>підводні рушниці</v>
      </c>
      <c r="E3404" s="16" t="str">
        <f>IFERROR(__xludf.DUMMYFUNCTION("""COMPUTED_VALUE"""),"аксесуари і комплектуючі для підводних рушниць")</f>
        <v>аксесуари і комплектуючі для підводних рушниць</v>
      </c>
      <c r="F3404" s="17">
        <f>IFERROR(__xludf.DUMMYFUNCTION("""COMPUTED_VALUE"""),4.0)</f>
        <v>4</v>
      </c>
      <c r="G3404" s="17" t="str">
        <f>IFERROR(__xludf.DUMMYFUNCTION("""COMPUTED_VALUE"""),"302117")</f>
        <v>302117</v>
      </c>
      <c r="H3404" s="17" t="str">
        <f>IFERROR(__xludf.DUMMYFUNCTION("""COMPUTED_VALUE"""),"аксесуари і комплектуючі для підводних рушниць")</f>
        <v>аксесуари і комплектуючі для підводних рушниць</v>
      </c>
      <c r="I3404" s="19">
        <f>IFERROR(__xludf.DUMMYFUNCTION("""COMPUTED_VALUE"""),0.0549)</f>
        <v>0.0549</v>
      </c>
      <c r="J3404" s="19">
        <f>IFERROR(__xludf.DUMMYFUNCTION("""COMPUTED_VALUE"""),0.1097)</f>
        <v>0.1097</v>
      </c>
      <c r="K3404" s="19">
        <f>IFERROR(__xludf.DUMMYFUNCTION("""COMPUTED_VALUE"""),0.1371)</f>
        <v>0.1371</v>
      </c>
      <c r="L3404" s="19">
        <f>IFERROR(__xludf.DUMMYFUNCTION("""COMPUTED_VALUE"""),0.1646)</f>
        <v>0.1646</v>
      </c>
      <c r="M3404" s="18">
        <f>IFERROR(__xludf.DUMMYFUNCTION("""COMPUTED_VALUE"""),1.98)</f>
        <v>1.98</v>
      </c>
    </row>
    <row r="3405">
      <c r="A3405" s="13" t="str">
        <f>IFERROR(__xludf.DUMMYFUNCTION("""COMPUTED_VALUE"""),"товари")</f>
        <v>товари</v>
      </c>
      <c r="B3405" s="16" t="str">
        <f>IFERROR(__xludf.DUMMYFUNCTION("""COMPUTED_VALUE"""),"спорт і відпочинок")</f>
        <v>спорт і відпочинок</v>
      </c>
      <c r="C3405" s="16" t="str">
        <f>IFERROR(__xludf.DUMMYFUNCTION("""COMPUTED_VALUE"""),"екстремальні види спорту")</f>
        <v>екстремальні види спорту</v>
      </c>
      <c r="D3405" s="16" t="str">
        <f>IFERROR(__xludf.DUMMYFUNCTION("""COMPUTED_VALUE"""),"спортивний захист")</f>
        <v>спортивний захист</v>
      </c>
      <c r="E3405" s="16" t="str">
        <f>IFERROR(__xludf.DUMMYFUNCTION("""COMPUTED_VALUE"""),"аксесуари та запчастини до шоломів")</f>
        <v>аксесуари та запчастини до шоломів</v>
      </c>
      <c r="F3405" s="17">
        <f>IFERROR(__xludf.DUMMYFUNCTION("""COMPUTED_VALUE"""),4.0)</f>
        <v>4</v>
      </c>
      <c r="G3405" s="17" t="str">
        <f>IFERROR(__xludf.DUMMYFUNCTION("""COMPUTED_VALUE"""),"204012")</f>
        <v>204012</v>
      </c>
      <c r="H3405" s="17" t="str">
        <f>IFERROR(__xludf.DUMMYFUNCTION("""COMPUTED_VALUE"""),"аксесуари та запчастини до шоломів")</f>
        <v>аксесуари та запчастини до шоломів</v>
      </c>
      <c r="I3405" s="19">
        <f>IFERROR(__xludf.DUMMYFUNCTION("""COMPUTED_VALUE"""),0.053)</f>
        <v>0.053</v>
      </c>
      <c r="J3405" s="19">
        <f>IFERROR(__xludf.DUMMYFUNCTION("""COMPUTED_VALUE"""),0.1059)</f>
        <v>0.1059</v>
      </c>
      <c r="K3405" s="19">
        <f>IFERROR(__xludf.DUMMYFUNCTION("""COMPUTED_VALUE"""),0.1324)</f>
        <v>0.1324</v>
      </c>
      <c r="L3405" s="19">
        <f>IFERROR(__xludf.DUMMYFUNCTION("""COMPUTED_VALUE"""),0.1589)</f>
        <v>0.1589</v>
      </c>
      <c r="M3405" s="18">
        <f>IFERROR(__xludf.DUMMYFUNCTION("""COMPUTED_VALUE"""),1.63)</f>
        <v>1.63</v>
      </c>
    </row>
    <row r="3406">
      <c r="A3406" s="13" t="str">
        <f>IFERROR(__xludf.DUMMYFUNCTION("""COMPUTED_VALUE"""),"товари")</f>
        <v>товари</v>
      </c>
      <c r="B3406" s="16" t="str">
        <f>IFERROR(__xludf.DUMMYFUNCTION("""COMPUTED_VALUE"""),"спорт і відпочинок")</f>
        <v>спорт і відпочинок</v>
      </c>
      <c r="C3406" s="16" t="str">
        <f>IFERROR(__xludf.DUMMYFUNCTION("""COMPUTED_VALUE"""),"аксесуари та комплектуючі для електротранспорту")</f>
        <v>аксесуари та комплектуючі для електротранспорту</v>
      </c>
      <c r="D3406" s="16" t="str">
        <f>IFERROR(__xludf.DUMMYFUNCTION("""COMPUTED_VALUE"""),"аксесуари та комплектуючі для електротранспорту")</f>
        <v>аксесуари та комплектуючі для електротранспорту</v>
      </c>
      <c r="E3406" s="16" t="str">
        <f>IFERROR(__xludf.DUMMYFUNCTION("""COMPUTED_VALUE"""),"аксесуари та комплектуючі для електротранспорту")</f>
        <v>аксесуари та комплектуючі для електротранспорту</v>
      </c>
      <c r="F3406" s="17">
        <f>IFERROR(__xludf.DUMMYFUNCTION("""COMPUTED_VALUE"""),2.0)</f>
        <v>2</v>
      </c>
      <c r="G3406" s="17" t="str">
        <f>IFERROR(__xludf.DUMMYFUNCTION("""COMPUTED_VALUE"""),"1827")</f>
        <v>1827</v>
      </c>
      <c r="H3406" s="17" t="str">
        <f>IFERROR(__xludf.DUMMYFUNCTION("""COMPUTED_VALUE"""),"аксесуари та комплектуючі для електротранспорту")</f>
        <v>аксесуари та комплектуючі для електротранспорту</v>
      </c>
      <c r="I3406" s="19">
        <f>IFERROR(__xludf.DUMMYFUNCTION("""COMPUTED_VALUE"""),0.0736)</f>
        <v>0.0736</v>
      </c>
      <c r="J3406" s="19">
        <f>IFERROR(__xludf.DUMMYFUNCTION("""COMPUTED_VALUE"""),0.1472)</f>
        <v>0.1472</v>
      </c>
      <c r="K3406" s="19">
        <f>IFERROR(__xludf.DUMMYFUNCTION("""COMPUTED_VALUE"""),0.184)</f>
        <v>0.184</v>
      </c>
      <c r="L3406" s="19">
        <f>IFERROR(__xludf.DUMMYFUNCTION("""COMPUTED_VALUE"""),0.2208)</f>
        <v>0.2208</v>
      </c>
      <c r="M3406" s="18">
        <f>IFERROR(__xludf.DUMMYFUNCTION("""COMPUTED_VALUE"""),1.44)</f>
        <v>1.44</v>
      </c>
    </row>
    <row r="3407">
      <c r="A3407" s="13" t="str">
        <f>IFERROR(__xludf.DUMMYFUNCTION("""COMPUTED_VALUE"""),"товари")</f>
        <v>товари</v>
      </c>
      <c r="B3407" s="16" t="str">
        <f>IFERROR(__xludf.DUMMYFUNCTION("""COMPUTED_VALUE"""),"спорт і відпочинок")</f>
        <v>спорт і відпочинок</v>
      </c>
      <c r="C3407" s="16" t="str">
        <f>IFERROR(__xludf.DUMMYFUNCTION("""COMPUTED_VALUE"""),"велосипеди та аксесуари")</f>
        <v>велосипеди та аксесуари</v>
      </c>
      <c r="D3407" s="16" t="str">
        <f>IFERROR(__xludf.DUMMYFUNCTION("""COMPUTED_VALUE"""),"велозапчастини")</f>
        <v>велозапчастини</v>
      </c>
      <c r="E3407" s="16" t="str">
        <f>IFERROR(__xludf.DUMMYFUNCTION("""COMPUTED_VALUE"""),"акумулятори для електровелосипедів")</f>
        <v>акумулятори для електровелосипедів</v>
      </c>
      <c r="F3407" s="17">
        <f>IFERROR(__xludf.DUMMYFUNCTION("""COMPUTED_VALUE"""),4.0)</f>
        <v>4</v>
      </c>
      <c r="G3407" s="17" t="str">
        <f>IFERROR(__xludf.DUMMYFUNCTION("""COMPUTED_VALUE"""),"122221")</f>
        <v>122221</v>
      </c>
      <c r="H3407" s="17" t="str">
        <f>IFERROR(__xludf.DUMMYFUNCTION("""COMPUTED_VALUE"""),"акумулятори для електровелосипедів")</f>
        <v>акумулятори для електровелосипедів</v>
      </c>
      <c r="I3407" s="19">
        <f>IFERROR(__xludf.DUMMYFUNCTION("""COMPUTED_VALUE"""),0.0753)</f>
        <v>0.0753</v>
      </c>
      <c r="J3407" s="19">
        <f>IFERROR(__xludf.DUMMYFUNCTION("""COMPUTED_VALUE"""),0.1506)</f>
        <v>0.1506</v>
      </c>
      <c r="K3407" s="19">
        <f>IFERROR(__xludf.DUMMYFUNCTION("""COMPUTED_VALUE"""),0.1883)</f>
        <v>0.1883</v>
      </c>
      <c r="L3407" s="19">
        <f>IFERROR(__xludf.DUMMYFUNCTION("""COMPUTED_VALUE"""),0.2259)</f>
        <v>0.2259</v>
      </c>
      <c r="M3407" s="18">
        <f>IFERROR(__xludf.DUMMYFUNCTION("""COMPUTED_VALUE"""),1.71)</f>
        <v>1.71</v>
      </c>
    </row>
    <row r="3408">
      <c r="A3408" s="13" t="str">
        <f>IFERROR(__xludf.DUMMYFUNCTION("""COMPUTED_VALUE"""),"товари")</f>
        <v>товари</v>
      </c>
      <c r="B3408" s="16" t="str">
        <f>IFERROR(__xludf.DUMMYFUNCTION("""COMPUTED_VALUE"""),"спорт і відпочинок")</f>
        <v>спорт і відпочинок</v>
      </c>
      <c r="C3408" s="16" t="str">
        <f>IFERROR(__xludf.DUMMYFUNCTION("""COMPUTED_VALUE"""),"екстремальні види спорту")</f>
        <v>екстремальні види спорту</v>
      </c>
      <c r="D3408" s="16" t="str">
        <f>IFERROR(__xludf.DUMMYFUNCTION("""COMPUTED_VALUE"""),"альпінізм")</f>
        <v>альпінізм</v>
      </c>
      <c r="E3408" s="16" t="str">
        <f>IFERROR(__xludf.DUMMYFUNCTION("""COMPUTED_VALUE"""),"альпінізм, загальне")</f>
        <v>альпінізм, загальне</v>
      </c>
      <c r="F3408" s="17">
        <f>IFERROR(__xludf.DUMMYFUNCTION("""COMPUTED_VALUE"""),4.0)</f>
        <v>4</v>
      </c>
      <c r="G3408" s="17" t="str">
        <f>IFERROR(__xludf.DUMMYFUNCTION("""COMPUTED_VALUE"""),"203507")</f>
        <v>203507</v>
      </c>
      <c r="H3408" s="17" t="str">
        <f>IFERROR(__xludf.DUMMYFUNCTION("""COMPUTED_VALUE"""),"альпінізм, загальне")</f>
        <v>альпінізм, загальне</v>
      </c>
      <c r="I3408" s="19">
        <f>IFERROR(__xludf.DUMMYFUNCTION("""COMPUTED_VALUE"""),0.125)</f>
        <v>0.125</v>
      </c>
      <c r="J3408" s="19">
        <f>IFERROR(__xludf.DUMMYFUNCTION("""COMPUTED_VALUE"""),0.25)</f>
        <v>0.25</v>
      </c>
      <c r="K3408" s="19">
        <f>IFERROR(__xludf.DUMMYFUNCTION("""COMPUTED_VALUE"""),0.3125)</f>
        <v>0.3125</v>
      </c>
      <c r="L3408" s="19">
        <f>IFERROR(__xludf.DUMMYFUNCTION("""COMPUTED_VALUE"""),0.375)</f>
        <v>0.375</v>
      </c>
      <c r="M3408" s="18">
        <f>IFERROR(__xludf.DUMMYFUNCTION("""COMPUTED_VALUE"""),4.33)</f>
        <v>4.33</v>
      </c>
    </row>
    <row r="3409">
      <c r="A3409" s="13" t="str">
        <f>IFERROR(__xludf.DUMMYFUNCTION("""COMPUTED_VALUE"""),"товари")</f>
        <v>товари</v>
      </c>
      <c r="B3409" s="16" t="str">
        <f>IFERROR(__xludf.DUMMYFUNCTION("""COMPUTED_VALUE"""),"спорт і відпочинок")</f>
        <v>спорт і відпочинок</v>
      </c>
      <c r="C3409" s="16" t="str">
        <f>IFERROR(__xludf.DUMMYFUNCTION("""COMPUTED_VALUE"""),"спортивні товари")</f>
        <v>спортивні товари</v>
      </c>
      <c r="D3409" s="16" t="str">
        <f>IFERROR(__xludf.DUMMYFUNCTION("""COMPUTED_VALUE"""),"спортивні пістолети та рушниці")</f>
        <v>спортивні пістолети та рушниці</v>
      </c>
      <c r="E3409" s="16" t="str">
        <f>IFERROR(__xludf.DUMMYFUNCTION("""COMPUTED_VALUE"""),"арбалети, луки")</f>
        <v>арбалети, луки</v>
      </c>
      <c r="F3409" s="17">
        <f>IFERROR(__xludf.DUMMYFUNCTION("""COMPUTED_VALUE"""),4.0)</f>
        <v>4</v>
      </c>
      <c r="G3409" s="17" t="str">
        <f>IFERROR(__xludf.DUMMYFUNCTION("""COMPUTED_VALUE"""),"181605")</f>
        <v>181605</v>
      </c>
      <c r="H3409" s="17" t="str">
        <f>IFERROR(__xludf.DUMMYFUNCTION("""COMPUTED_VALUE"""),"арбалети, луки")</f>
        <v>арбалети, луки</v>
      </c>
      <c r="I3409" s="19">
        <f>IFERROR(__xludf.DUMMYFUNCTION("""COMPUTED_VALUE"""),0.052)</f>
        <v>0.052</v>
      </c>
      <c r="J3409" s="19">
        <f>IFERROR(__xludf.DUMMYFUNCTION("""COMPUTED_VALUE"""),0.1039)</f>
        <v>0.1039</v>
      </c>
      <c r="K3409" s="19">
        <f>IFERROR(__xludf.DUMMYFUNCTION("""COMPUTED_VALUE"""),0.1299)</f>
        <v>0.1299</v>
      </c>
      <c r="L3409" s="19">
        <f>IFERROR(__xludf.DUMMYFUNCTION("""COMPUTED_VALUE"""),0.1559)</f>
        <v>0.1559</v>
      </c>
      <c r="M3409" s="18">
        <f>IFERROR(__xludf.DUMMYFUNCTION("""COMPUTED_VALUE"""),2.25)</f>
        <v>2.25</v>
      </c>
    </row>
    <row r="3410">
      <c r="A3410" s="13" t="str">
        <f>IFERROR(__xludf.DUMMYFUNCTION("""COMPUTED_VALUE"""),"товари")</f>
        <v>товари</v>
      </c>
      <c r="B3410" s="16" t="str">
        <f>IFERROR(__xludf.DUMMYFUNCTION("""COMPUTED_VALUE"""),"спорт і відпочинок")</f>
        <v>спорт і відпочинок</v>
      </c>
      <c r="C3410" s="16" t="str">
        <f>IFERROR(__xludf.DUMMYFUNCTION("""COMPUTED_VALUE"""),"спортивні товари")</f>
        <v>спортивні товари</v>
      </c>
      <c r="D3410" s="16" t="str">
        <f>IFERROR(__xludf.DUMMYFUNCTION("""COMPUTED_VALUE"""),"важка атлетика")</f>
        <v>важка атлетика</v>
      </c>
      <c r="E3410" s="16" t="str">
        <f>IFERROR(__xludf.DUMMYFUNCTION("""COMPUTED_VALUE"""),"атлетичні петлі, лямки та напульсники")</f>
        <v>атлетичні петлі, лямки та напульсники</v>
      </c>
      <c r="F3410" s="17">
        <f>IFERROR(__xludf.DUMMYFUNCTION("""COMPUTED_VALUE"""),4.0)</f>
        <v>4</v>
      </c>
      <c r="G3410" s="17" t="str">
        <f>IFERROR(__xludf.DUMMYFUNCTION("""COMPUTED_VALUE"""),"200329")</f>
        <v>200329</v>
      </c>
      <c r="H3410" s="17" t="str">
        <f>IFERROR(__xludf.DUMMYFUNCTION("""COMPUTED_VALUE"""),"атлетичні петлі, лямки та напульсники")</f>
        <v>атлетичні петлі, лямки та напульсники</v>
      </c>
      <c r="I3410" s="19">
        <f>IFERROR(__xludf.DUMMYFUNCTION("""COMPUTED_VALUE"""),0.08)</f>
        <v>0.08</v>
      </c>
      <c r="J3410" s="19">
        <f>IFERROR(__xludf.DUMMYFUNCTION("""COMPUTED_VALUE"""),0.16)</f>
        <v>0.16</v>
      </c>
      <c r="K3410" s="19">
        <f>IFERROR(__xludf.DUMMYFUNCTION("""COMPUTED_VALUE"""),0.2)</f>
        <v>0.2</v>
      </c>
      <c r="L3410" s="19">
        <f>IFERROR(__xludf.DUMMYFUNCTION("""COMPUTED_VALUE"""),0.24)</f>
        <v>0.24</v>
      </c>
      <c r="M3410" s="18">
        <f>IFERROR(__xludf.DUMMYFUNCTION("""COMPUTED_VALUE"""),2.61)</f>
        <v>2.61</v>
      </c>
    </row>
    <row r="3411">
      <c r="A3411" s="13" t="str">
        <f>IFERROR(__xludf.DUMMYFUNCTION("""COMPUTED_VALUE"""),"товари")</f>
        <v>товари</v>
      </c>
      <c r="B3411" s="16" t="str">
        <f>IFERROR(__xludf.DUMMYFUNCTION("""COMPUTED_VALUE"""),"спорт і відпочинок")</f>
        <v>спорт і відпочинок</v>
      </c>
      <c r="C3411" s="16" t="str">
        <f>IFERROR(__xludf.DUMMYFUNCTION("""COMPUTED_VALUE"""),"спортивні товари")</f>
        <v>спортивні товари</v>
      </c>
      <c r="D3411" s="16" t="str">
        <f>IFERROR(__xludf.DUMMYFUNCTION("""COMPUTED_VALUE"""),"важка атлетика")</f>
        <v>важка атлетика</v>
      </c>
      <c r="E3411" s="16" t="str">
        <f>IFERROR(__xludf.DUMMYFUNCTION("""COMPUTED_VALUE"""),"атлетичні пояси")</f>
        <v>атлетичні пояси</v>
      </c>
      <c r="F3411" s="17">
        <f>IFERROR(__xludf.DUMMYFUNCTION("""COMPUTED_VALUE"""),4.0)</f>
        <v>4</v>
      </c>
      <c r="G3411" s="17" t="str">
        <f>IFERROR(__xludf.DUMMYFUNCTION("""COMPUTED_VALUE"""),"200324")</f>
        <v>200324</v>
      </c>
      <c r="H3411" s="17" t="str">
        <f>IFERROR(__xludf.DUMMYFUNCTION("""COMPUTED_VALUE"""),"атлетичні пояси")</f>
        <v>атлетичні пояси</v>
      </c>
      <c r="I3411" s="19">
        <f>IFERROR(__xludf.DUMMYFUNCTION("""COMPUTED_VALUE"""),0.0797)</f>
        <v>0.0797</v>
      </c>
      <c r="J3411" s="19">
        <f>IFERROR(__xludf.DUMMYFUNCTION("""COMPUTED_VALUE"""),0.1593)</f>
        <v>0.1593</v>
      </c>
      <c r="K3411" s="19">
        <f>IFERROR(__xludf.DUMMYFUNCTION("""COMPUTED_VALUE"""),0.1991)</f>
        <v>0.1991</v>
      </c>
      <c r="L3411" s="19">
        <f>IFERROR(__xludf.DUMMYFUNCTION("""COMPUTED_VALUE"""),0.239)</f>
        <v>0.239</v>
      </c>
      <c r="M3411" s="18">
        <f>IFERROR(__xludf.DUMMYFUNCTION("""COMPUTED_VALUE"""),2.61)</f>
        <v>2.61</v>
      </c>
    </row>
    <row r="3412">
      <c r="A3412" s="13" t="str">
        <f>IFERROR(__xludf.DUMMYFUNCTION("""COMPUTED_VALUE"""),"товари")</f>
        <v>товари</v>
      </c>
      <c r="B3412" s="16" t="str">
        <f>IFERROR(__xludf.DUMMYFUNCTION("""COMPUTED_VALUE"""),"спорт і відпочинок")</f>
        <v>спорт і відпочинок</v>
      </c>
      <c r="C3412" s="16" t="str">
        <f>IFERROR(__xludf.DUMMYFUNCTION("""COMPUTED_VALUE"""),"ігри з ракетками")</f>
        <v>ігри з ракетками</v>
      </c>
      <c r="D3412" s="16" t="str">
        <f>IFERROR(__xludf.DUMMYFUNCTION("""COMPUTED_VALUE"""),"бадмінтон")</f>
        <v>бадмінтон</v>
      </c>
      <c r="E3412" s="16" t="str">
        <f>IFERROR(__xludf.DUMMYFUNCTION("""COMPUTED_VALUE"""),"бадмінтон, загальне")</f>
        <v>бадмінтон, загальне</v>
      </c>
      <c r="F3412" s="17">
        <f>IFERROR(__xludf.DUMMYFUNCTION("""COMPUTED_VALUE"""),4.0)</f>
        <v>4</v>
      </c>
      <c r="G3412" s="17" t="str">
        <f>IFERROR(__xludf.DUMMYFUNCTION("""COMPUTED_VALUE"""),"182405")</f>
        <v>182405</v>
      </c>
      <c r="H3412" s="17" t="str">
        <f>IFERROR(__xludf.DUMMYFUNCTION("""COMPUTED_VALUE"""),"бадмінтон, загальне")</f>
        <v>бадмінтон, загальне</v>
      </c>
      <c r="I3412" s="19">
        <f>IFERROR(__xludf.DUMMYFUNCTION("""COMPUTED_VALUE"""),0.125)</f>
        <v>0.125</v>
      </c>
      <c r="J3412" s="19">
        <f>IFERROR(__xludf.DUMMYFUNCTION("""COMPUTED_VALUE"""),0.25)</f>
        <v>0.25</v>
      </c>
      <c r="K3412" s="19">
        <f>IFERROR(__xludf.DUMMYFUNCTION("""COMPUTED_VALUE"""),0.3125)</f>
        <v>0.3125</v>
      </c>
      <c r="L3412" s="19">
        <f>IFERROR(__xludf.DUMMYFUNCTION("""COMPUTED_VALUE"""),0.375)</f>
        <v>0.375</v>
      </c>
      <c r="M3412" s="18">
        <f>IFERROR(__xludf.DUMMYFUNCTION("""COMPUTED_VALUE"""),4.33)</f>
        <v>4.33</v>
      </c>
    </row>
    <row r="3413">
      <c r="A3413" s="13" t="str">
        <f>IFERROR(__xludf.DUMMYFUNCTION("""COMPUTED_VALUE"""),"товари")</f>
        <v>товари</v>
      </c>
      <c r="B3413" s="16" t="str">
        <f>IFERROR(__xludf.DUMMYFUNCTION("""COMPUTED_VALUE"""),"спорт і відпочинок")</f>
        <v>спорт і відпочинок</v>
      </c>
      <c r="C3413" s="16" t="str">
        <f>IFERROR(__xludf.DUMMYFUNCTION("""COMPUTED_VALUE"""),"зимові види спорту")</f>
        <v>зимові види спорту</v>
      </c>
      <c r="D3413" s="16" t="str">
        <f>IFERROR(__xludf.DUMMYFUNCTION("""COMPUTED_VALUE"""),"лижний спорт та сноубординг")</f>
        <v>лижний спорт та сноубординг</v>
      </c>
      <c r="E3413" s="16" t="str">
        <f>IFERROR(__xludf.DUMMYFUNCTION("""COMPUTED_VALUE"""),"балаклави, підшоломники, маски")</f>
        <v>балаклави, підшоломники, маски</v>
      </c>
      <c r="F3413" s="17">
        <f>IFERROR(__xludf.DUMMYFUNCTION("""COMPUTED_VALUE"""),4.0)</f>
        <v>4</v>
      </c>
      <c r="G3413" s="17" t="str">
        <f>IFERROR(__xludf.DUMMYFUNCTION("""COMPUTED_VALUE"""),"3081801")</f>
        <v>3081801</v>
      </c>
      <c r="H3413" s="17" t="str">
        <f>IFERROR(__xludf.DUMMYFUNCTION("""COMPUTED_VALUE"""),"балаклави, підшоломники, маски")</f>
        <v>балаклави, підшоломники, маски</v>
      </c>
      <c r="I3413" s="19">
        <f>IFERROR(__xludf.DUMMYFUNCTION("""COMPUTED_VALUE"""),0.005)</f>
        <v>0.005</v>
      </c>
      <c r="J3413" s="19">
        <f>IFERROR(__xludf.DUMMYFUNCTION("""COMPUTED_VALUE"""),0.01)</f>
        <v>0.01</v>
      </c>
      <c r="K3413" s="19">
        <f>IFERROR(__xludf.DUMMYFUNCTION("""COMPUTED_VALUE"""),0.0125)</f>
        <v>0.0125</v>
      </c>
      <c r="L3413" s="19">
        <f>IFERROR(__xludf.DUMMYFUNCTION("""COMPUTED_VALUE"""),0.015)</f>
        <v>0.015</v>
      </c>
      <c r="M3413" s="18">
        <f>IFERROR(__xludf.DUMMYFUNCTION("""COMPUTED_VALUE"""),1.05)</f>
        <v>1.05</v>
      </c>
    </row>
    <row r="3414">
      <c r="A3414" s="13" t="str">
        <f>IFERROR(__xludf.DUMMYFUNCTION("""COMPUTED_VALUE"""),"товари")</f>
        <v>товари</v>
      </c>
      <c r="B3414" s="16" t="str">
        <f>IFERROR(__xludf.DUMMYFUNCTION("""COMPUTED_VALUE"""),"спорт і відпочинок")</f>
        <v>спорт і відпочинок</v>
      </c>
      <c r="C3414" s="16" t="str">
        <f>IFERROR(__xludf.DUMMYFUNCTION("""COMPUTED_VALUE"""),"тренажери")</f>
        <v>тренажери</v>
      </c>
      <c r="D3414" s="16" t="str">
        <f>IFERROR(__xludf.DUMMYFUNCTION("""COMPUTED_VALUE"""),"балансувальні, степ платформи")</f>
        <v>балансувальні, степ платформи</v>
      </c>
      <c r="E3414" s="16" t="str">
        <f>IFERROR(__xludf.DUMMYFUNCTION("""COMPUTED_VALUE"""),"балансувальні, степ платформи")</f>
        <v>балансувальні, степ платформи</v>
      </c>
      <c r="F3414" s="17">
        <f>IFERROR(__xludf.DUMMYFUNCTION("""COMPUTED_VALUE"""),3.0)</f>
        <v>3</v>
      </c>
      <c r="G3414" s="17" t="str">
        <f>IFERROR(__xludf.DUMMYFUNCTION("""COMPUTED_VALUE"""),"200912")</f>
        <v>200912</v>
      </c>
      <c r="H3414" s="17" t="str">
        <f>IFERROR(__xludf.DUMMYFUNCTION("""COMPUTED_VALUE"""),"балансувальні, степ платформи")</f>
        <v>балансувальні, степ платформи</v>
      </c>
      <c r="I3414" s="19">
        <f>IFERROR(__xludf.DUMMYFUNCTION("""COMPUTED_VALUE"""),0.0774)</f>
        <v>0.0774</v>
      </c>
      <c r="J3414" s="19">
        <f>IFERROR(__xludf.DUMMYFUNCTION("""COMPUTED_VALUE"""),0.1547)</f>
        <v>0.1547</v>
      </c>
      <c r="K3414" s="19">
        <f>IFERROR(__xludf.DUMMYFUNCTION("""COMPUTED_VALUE"""),0.1934)</f>
        <v>0.1934</v>
      </c>
      <c r="L3414" s="19">
        <f>IFERROR(__xludf.DUMMYFUNCTION("""COMPUTED_VALUE"""),0.2321)</f>
        <v>0.2321</v>
      </c>
      <c r="M3414" s="18">
        <f>IFERROR(__xludf.DUMMYFUNCTION("""COMPUTED_VALUE"""),2.79)</f>
        <v>2.79</v>
      </c>
    </row>
    <row r="3415">
      <c r="A3415" s="13" t="str">
        <f>IFERROR(__xludf.DUMMYFUNCTION("""COMPUTED_VALUE"""),"товари")</f>
        <v>товари</v>
      </c>
      <c r="B3415" s="16" t="str">
        <f>IFERROR(__xludf.DUMMYFUNCTION("""COMPUTED_VALUE"""),"спорт і відпочинок")</f>
        <v>спорт і відпочинок</v>
      </c>
      <c r="C3415" s="16" t="str">
        <f>IFERROR(__xludf.DUMMYFUNCTION("""COMPUTED_VALUE"""),"екстремальні види спорту")</f>
        <v>екстремальні види спорту</v>
      </c>
      <c r="D3415" s="16" t="str">
        <f>IFERROR(__xludf.DUMMYFUNCTION("""COMPUTED_VALUE"""),"дайвінг")</f>
        <v>дайвінг</v>
      </c>
      <c r="E3415" s="16" t="str">
        <f>IFERROR(__xludf.DUMMYFUNCTION("""COMPUTED_VALUE"""),"балони для дайвінгу")</f>
        <v>балони для дайвінгу</v>
      </c>
      <c r="F3415" s="17">
        <f>IFERROR(__xludf.DUMMYFUNCTION("""COMPUTED_VALUE"""),4.0)</f>
        <v>4</v>
      </c>
      <c r="G3415" s="17" t="str">
        <f>IFERROR(__xludf.DUMMYFUNCTION("""COMPUTED_VALUE"""),"203428")</f>
        <v>203428</v>
      </c>
      <c r="H3415" s="17" t="str">
        <f>IFERROR(__xludf.DUMMYFUNCTION("""COMPUTED_VALUE"""),"балони для дайвінгу")</f>
        <v>балони для дайвінгу</v>
      </c>
      <c r="I3415" s="19">
        <f>IFERROR(__xludf.DUMMYFUNCTION("""COMPUTED_VALUE"""),0.0758)</f>
        <v>0.0758</v>
      </c>
      <c r="J3415" s="19">
        <f>IFERROR(__xludf.DUMMYFUNCTION("""COMPUTED_VALUE"""),0.1515)</f>
        <v>0.1515</v>
      </c>
      <c r="K3415" s="19">
        <f>IFERROR(__xludf.DUMMYFUNCTION("""COMPUTED_VALUE"""),0.1894)</f>
        <v>0.1894</v>
      </c>
      <c r="L3415" s="19">
        <f>IFERROR(__xludf.DUMMYFUNCTION("""COMPUTED_VALUE"""),0.2273)</f>
        <v>0.2273</v>
      </c>
      <c r="M3415" s="18">
        <f>IFERROR(__xludf.DUMMYFUNCTION("""COMPUTED_VALUE"""),2.88)</f>
        <v>2.88</v>
      </c>
    </row>
    <row r="3416">
      <c r="A3416" s="13" t="str">
        <f>IFERROR(__xludf.DUMMYFUNCTION("""COMPUTED_VALUE"""),"товари")</f>
        <v>товари</v>
      </c>
      <c r="B3416" s="16" t="str">
        <f>IFERROR(__xludf.DUMMYFUNCTION("""COMPUTED_VALUE"""),"спорт і відпочинок")</f>
        <v>спорт і відпочинок</v>
      </c>
      <c r="C3416" s="16" t="str">
        <f>IFERROR(__xludf.DUMMYFUNCTION("""COMPUTED_VALUE"""),"командні види спорту")</f>
        <v>командні види спорту</v>
      </c>
      <c r="D3416" s="16" t="str">
        <f>IFERROR(__xludf.DUMMYFUNCTION("""COMPUTED_VALUE"""),"баскетбол")</f>
        <v>баскетбол</v>
      </c>
      <c r="E3416" s="16" t="str">
        <f>IFERROR(__xludf.DUMMYFUNCTION("""COMPUTED_VALUE"""),"баскетбол, загальне")</f>
        <v>баскетбол, загальне</v>
      </c>
      <c r="F3416" s="17">
        <f>IFERROR(__xludf.DUMMYFUNCTION("""COMPUTED_VALUE"""),4.0)</f>
        <v>4</v>
      </c>
      <c r="G3416" s="17" t="str">
        <f>IFERROR(__xludf.DUMMYFUNCTION("""COMPUTED_VALUE"""),"203308")</f>
        <v>203308</v>
      </c>
      <c r="H3416" s="17" t="str">
        <f>IFERROR(__xludf.DUMMYFUNCTION("""COMPUTED_VALUE"""),"баскетбол, загальне")</f>
        <v>баскетбол, загальне</v>
      </c>
      <c r="I3416" s="19">
        <f>IFERROR(__xludf.DUMMYFUNCTION("""COMPUTED_VALUE"""),0.125)</f>
        <v>0.125</v>
      </c>
      <c r="J3416" s="19">
        <f>IFERROR(__xludf.DUMMYFUNCTION("""COMPUTED_VALUE"""),0.25)</f>
        <v>0.25</v>
      </c>
      <c r="K3416" s="19">
        <f>IFERROR(__xludf.DUMMYFUNCTION("""COMPUTED_VALUE"""),0.3125)</f>
        <v>0.3125</v>
      </c>
      <c r="L3416" s="19">
        <f>IFERROR(__xludf.DUMMYFUNCTION("""COMPUTED_VALUE"""),0.375)</f>
        <v>0.375</v>
      </c>
      <c r="M3416" s="18">
        <f>IFERROR(__xludf.DUMMYFUNCTION("""COMPUTED_VALUE"""),4.33)</f>
        <v>4.33</v>
      </c>
    </row>
    <row r="3417">
      <c r="A3417" s="13" t="str">
        <f>IFERROR(__xludf.DUMMYFUNCTION("""COMPUTED_VALUE"""),"товари")</f>
        <v>товари</v>
      </c>
      <c r="B3417" s="16" t="str">
        <f>IFERROR(__xludf.DUMMYFUNCTION("""COMPUTED_VALUE"""),"спорт і відпочинок")</f>
        <v>спорт і відпочинок</v>
      </c>
      <c r="C3417" s="16" t="str">
        <f>IFERROR(__xludf.DUMMYFUNCTION("""COMPUTED_VALUE"""),"спортивні товари")</f>
        <v>спортивні товари</v>
      </c>
      <c r="D3417" s="16" t="str">
        <f>IFERROR(__xludf.DUMMYFUNCTION("""COMPUTED_VALUE"""),"гімнастика")</f>
        <v>гімнастика</v>
      </c>
      <c r="E3417" s="16" t="str">
        <f>IFERROR(__xludf.DUMMYFUNCTION("""COMPUTED_VALUE"""),"батути та комплектуючі")</f>
        <v>батути та комплектуючі</v>
      </c>
      <c r="F3417" s="17">
        <f>IFERROR(__xludf.DUMMYFUNCTION("""COMPUTED_VALUE"""),4.0)</f>
        <v>4</v>
      </c>
      <c r="G3417" s="17" t="str">
        <f>IFERROR(__xludf.DUMMYFUNCTION("""COMPUTED_VALUE"""),"2015")</f>
        <v>2015</v>
      </c>
      <c r="H3417" s="17" t="str">
        <f>IFERROR(__xludf.DUMMYFUNCTION("""COMPUTED_VALUE"""),"батути та комплектуючі")</f>
        <v>батути та комплектуючі</v>
      </c>
      <c r="I3417" s="19">
        <f>IFERROR(__xludf.DUMMYFUNCTION("""COMPUTED_VALUE"""),0.0692)</f>
        <v>0.0692</v>
      </c>
      <c r="J3417" s="19">
        <f>IFERROR(__xludf.DUMMYFUNCTION("""COMPUTED_VALUE"""),0.1384)</f>
        <v>0.1384</v>
      </c>
      <c r="K3417" s="19">
        <f>IFERROR(__xludf.DUMMYFUNCTION("""COMPUTED_VALUE"""),0.173)</f>
        <v>0.173</v>
      </c>
      <c r="L3417" s="19">
        <f>IFERROR(__xludf.DUMMYFUNCTION("""COMPUTED_VALUE"""),0.2076)</f>
        <v>0.2076</v>
      </c>
      <c r="M3417" s="18">
        <f>IFERROR(__xludf.DUMMYFUNCTION("""COMPUTED_VALUE"""),4.95)</f>
        <v>4.95</v>
      </c>
    </row>
    <row r="3418">
      <c r="A3418" s="13" t="str">
        <f>IFERROR(__xludf.DUMMYFUNCTION("""COMPUTED_VALUE"""),"товари")</f>
        <v>товари</v>
      </c>
      <c r="B3418" s="16" t="str">
        <f>IFERROR(__xludf.DUMMYFUNCTION("""COMPUTED_VALUE"""),"спорт і відпочинок")</f>
        <v>спорт і відпочинок</v>
      </c>
      <c r="C3418" s="16" t="str">
        <f>IFERROR(__xludf.DUMMYFUNCTION("""COMPUTED_VALUE"""),"командні види спорту")</f>
        <v>командні види спорту</v>
      </c>
      <c r="D3418" s="16" t="str">
        <f>IFERROR(__xludf.DUMMYFUNCTION("""COMPUTED_VALUE"""),"бейсбол")</f>
        <v>бейсбол</v>
      </c>
      <c r="E3418" s="16" t="str">
        <f>IFERROR(__xludf.DUMMYFUNCTION("""COMPUTED_VALUE"""),"бейсбол, загальне")</f>
        <v>бейсбол, загальне</v>
      </c>
      <c r="F3418" s="17">
        <f>IFERROR(__xludf.DUMMYFUNCTION("""COMPUTED_VALUE"""),4.0)</f>
        <v>4</v>
      </c>
      <c r="G3418" s="17" t="str">
        <f>IFERROR(__xludf.DUMMYFUNCTION("""COMPUTED_VALUE"""),"203313")</f>
        <v>203313</v>
      </c>
      <c r="H3418" s="17" t="str">
        <f>IFERROR(__xludf.DUMMYFUNCTION("""COMPUTED_VALUE"""),"бейсбол, загальне")</f>
        <v>бейсбол, загальне</v>
      </c>
      <c r="I3418" s="19">
        <f>IFERROR(__xludf.DUMMYFUNCTION("""COMPUTED_VALUE"""),0.125)</f>
        <v>0.125</v>
      </c>
      <c r="J3418" s="19">
        <f>IFERROR(__xludf.DUMMYFUNCTION("""COMPUTED_VALUE"""),0.25)</f>
        <v>0.25</v>
      </c>
      <c r="K3418" s="19">
        <f>IFERROR(__xludf.DUMMYFUNCTION("""COMPUTED_VALUE"""),0.3125)</f>
        <v>0.3125</v>
      </c>
      <c r="L3418" s="19">
        <f>IFERROR(__xludf.DUMMYFUNCTION("""COMPUTED_VALUE"""),0.375)</f>
        <v>0.375</v>
      </c>
      <c r="M3418" s="18">
        <f>IFERROR(__xludf.DUMMYFUNCTION("""COMPUTED_VALUE"""),4.33)</f>
        <v>4.33</v>
      </c>
    </row>
    <row r="3419">
      <c r="A3419" s="13" t="str">
        <f>IFERROR(__xludf.DUMMYFUNCTION("""COMPUTED_VALUE"""),"товари")</f>
        <v>товари</v>
      </c>
      <c r="B3419" s="16" t="str">
        <f>IFERROR(__xludf.DUMMYFUNCTION("""COMPUTED_VALUE"""),"спорт і відпочинок")</f>
        <v>спорт і відпочинок</v>
      </c>
      <c r="C3419" s="16" t="str">
        <f>IFERROR(__xludf.DUMMYFUNCTION("""COMPUTED_VALUE"""),"тренажери")</f>
        <v>тренажери</v>
      </c>
      <c r="D3419" s="16" t="str">
        <f>IFERROR(__xludf.DUMMYFUNCTION("""COMPUTED_VALUE"""),"бігові доріжки")</f>
        <v>бігові доріжки</v>
      </c>
      <c r="E3419" s="16" t="str">
        <f>IFERROR(__xludf.DUMMYFUNCTION("""COMPUTED_VALUE"""),"бігові доріжки")</f>
        <v>бігові доріжки</v>
      </c>
      <c r="F3419" s="17">
        <f>IFERROR(__xludf.DUMMYFUNCTION("""COMPUTED_VALUE"""),3.0)</f>
        <v>3</v>
      </c>
      <c r="G3419" s="17" t="str">
        <f>IFERROR(__xludf.DUMMYFUNCTION("""COMPUTED_VALUE"""),"200905")</f>
        <v>200905</v>
      </c>
      <c r="H3419" s="17" t="str">
        <f>IFERROR(__xludf.DUMMYFUNCTION("""COMPUTED_VALUE"""),"бігові доріжки")</f>
        <v>бігові доріжки</v>
      </c>
      <c r="I3419" s="19">
        <f>IFERROR(__xludf.DUMMYFUNCTION("""COMPUTED_VALUE"""),0.0566)</f>
        <v>0.0566</v>
      </c>
      <c r="J3419" s="19">
        <f>IFERROR(__xludf.DUMMYFUNCTION("""COMPUTED_VALUE"""),0.1131)</f>
        <v>0.1131</v>
      </c>
      <c r="K3419" s="19">
        <f>IFERROR(__xludf.DUMMYFUNCTION("""COMPUTED_VALUE"""),0.1414)</f>
        <v>0.1414</v>
      </c>
      <c r="L3419" s="19">
        <f>IFERROR(__xludf.DUMMYFUNCTION("""COMPUTED_VALUE"""),0.1697)</f>
        <v>0.1697</v>
      </c>
      <c r="M3419" s="18">
        <f>IFERROR(__xludf.DUMMYFUNCTION("""COMPUTED_VALUE"""),5.4)</f>
        <v>5.4</v>
      </c>
    </row>
    <row r="3420">
      <c r="A3420" s="13" t="str">
        <f>IFERROR(__xludf.DUMMYFUNCTION("""COMPUTED_VALUE"""),"товари")</f>
        <v>товари</v>
      </c>
      <c r="B3420" s="16" t="str">
        <f>IFERROR(__xludf.DUMMYFUNCTION("""COMPUTED_VALUE"""),"спорт і відпочинок")</f>
        <v>спорт і відпочинок</v>
      </c>
      <c r="C3420" s="16" t="str">
        <f>IFERROR(__xludf.DUMMYFUNCTION("""COMPUTED_VALUE"""),"одяг та взуття для спортсменів")</f>
        <v>одяг та взуття для спортсменів</v>
      </c>
      <c r="D3420" s="16" t="str">
        <f>IFERROR(__xludf.DUMMYFUNCTION("""COMPUTED_VALUE"""),"взуття для спорту та активного відпочинку")</f>
        <v>взуття для спорту та активного відпочинку</v>
      </c>
      <c r="E3420" s="16" t="str">
        <f>IFERROR(__xludf.DUMMYFUNCTION("""COMPUTED_VALUE"""),"бігові кросівки")</f>
        <v>бігові кросівки</v>
      </c>
      <c r="F3420" s="17">
        <f>IFERROR(__xludf.DUMMYFUNCTION("""COMPUTED_VALUE"""),4.0)</f>
        <v>4</v>
      </c>
      <c r="G3420" s="17" t="str">
        <f>IFERROR(__xludf.DUMMYFUNCTION("""COMPUTED_VALUE"""),"3220722")</f>
        <v>3220722</v>
      </c>
      <c r="H3420" s="17" t="str">
        <f>IFERROR(__xludf.DUMMYFUNCTION("""COMPUTED_VALUE"""),"бігові кросівки")</f>
        <v>бігові кросівки</v>
      </c>
      <c r="I3420" s="19">
        <f>IFERROR(__xludf.DUMMYFUNCTION("""COMPUTED_VALUE"""),0.0949)</f>
        <v>0.0949</v>
      </c>
      <c r="J3420" s="19">
        <f>IFERROR(__xludf.DUMMYFUNCTION("""COMPUTED_VALUE"""),0.1898)</f>
        <v>0.1898</v>
      </c>
      <c r="K3420" s="19">
        <f>IFERROR(__xludf.DUMMYFUNCTION("""COMPUTED_VALUE"""),0.2373)</f>
        <v>0.2373</v>
      </c>
      <c r="L3420" s="19">
        <f>IFERROR(__xludf.DUMMYFUNCTION("""COMPUTED_VALUE"""),0.2847)</f>
        <v>0.2847</v>
      </c>
      <c r="M3420" s="18">
        <f>IFERROR(__xludf.DUMMYFUNCTION("""COMPUTED_VALUE"""),1.8)</f>
        <v>1.8</v>
      </c>
    </row>
    <row r="3421">
      <c r="A3421" s="13" t="str">
        <f>IFERROR(__xludf.DUMMYFUNCTION("""COMPUTED_VALUE"""),"товари")</f>
        <v>товари</v>
      </c>
      <c r="B3421" s="16" t="str">
        <f>IFERROR(__xludf.DUMMYFUNCTION("""COMPUTED_VALUE"""),"спорт і відпочинок")</f>
        <v>спорт і відпочинок</v>
      </c>
      <c r="C3421" s="16" t="str">
        <f>IFERROR(__xludf.DUMMYFUNCTION("""COMPUTED_VALUE"""),"товари для туризму та подорожей")</f>
        <v>товари для туризму та подорожей</v>
      </c>
      <c r="D3421" s="16" t="str">
        <f>IFERROR(__xludf.DUMMYFUNCTION("""COMPUTED_VALUE"""),"біотуалети та кабінки туалетні дачні")</f>
        <v>біотуалети та кабінки туалетні дачні</v>
      </c>
      <c r="E3421" s="16" t="str">
        <f>IFERROR(__xludf.DUMMYFUNCTION("""COMPUTED_VALUE"""),"біотуалети та кабінки туалетні дачні")</f>
        <v>біотуалети та кабінки туалетні дачні</v>
      </c>
      <c r="F3421" s="17">
        <f>IFERROR(__xludf.DUMMYFUNCTION("""COMPUTED_VALUE"""),3.0)</f>
        <v>3</v>
      </c>
      <c r="G3421" s="17" t="str">
        <f>IFERROR(__xludf.DUMMYFUNCTION("""COMPUTED_VALUE"""),"13240202")</f>
        <v>13240202</v>
      </c>
      <c r="H3421" s="17" t="str">
        <f>IFERROR(__xludf.DUMMYFUNCTION("""COMPUTED_VALUE"""),"біотуалети та кабінки туалетні дачні")</f>
        <v>біотуалети та кабінки туалетні дачні</v>
      </c>
      <c r="I3421" s="19">
        <f>IFERROR(__xludf.DUMMYFUNCTION("""COMPUTED_VALUE"""),0.0702)</f>
        <v>0.0702</v>
      </c>
      <c r="J3421" s="19">
        <f>IFERROR(__xludf.DUMMYFUNCTION("""COMPUTED_VALUE"""),0.1404)</f>
        <v>0.1404</v>
      </c>
      <c r="K3421" s="19">
        <f>IFERROR(__xludf.DUMMYFUNCTION("""COMPUTED_VALUE"""),0.1755)</f>
        <v>0.1755</v>
      </c>
      <c r="L3421" s="19">
        <f>IFERROR(__xludf.DUMMYFUNCTION("""COMPUTED_VALUE"""),0.2106)</f>
        <v>0.2106</v>
      </c>
      <c r="M3421" s="18">
        <f>IFERROR(__xludf.DUMMYFUNCTION("""COMPUTED_VALUE"""),2.79)</f>
        <v>2.79</v>
      </c>
    </row>
    <row r="3422">
      <c r="A3422" s="13" t="str">
        <f>IFERROR(__xludf.DUMMYFUNCTION("""COMPUTED_VALUE"""),"товари")</f>
        <v>товари</v>
      </c>
      <c r="B3422" s="16" t="str">
        <f>IFERROR(__xludf.DUMMYFUNCTION("""COMPUTED_VALUE"""),"спорт і відпочинок")</f>
        <v>спорт і відпочинок</v>
      </c>
      <c r="C3422" s="16" t="str">
        <f>IFERROR(__xludf.DUMMYFUNCTION("""COMPUTED_VALUE"""),"товари для риболовлі")</f>
        <v>товари для риболовлі</v>
      </c>
      <c r="D3422" s="16" t="str">
        <f>IFERROR(__xludf.DUMMYFUNCTION("""COMPUTED_VALUE"""),"рибальські снасті")</f>
        <v>рибальські снасті</v>
      </c>
      <c r="E3422" s="16" t="str">
        <f>IFERROR(__xludf.DUMMYFUNCTION("""COMPUTED_VALUE"""),"блесни та балансири")</f>
        <v>блесни та балансири</v>
      </c>
      <c r="F3422" s="17">
        <f>IFERROR(__xludf.DUMMYFUNCTION("""COMPUTED_VALUE"""),4.0)</f>
        <v>4</v>
      </c>
      <c r="G3422" s="17" t="str">
        <f>IFERROR(__xludf.DUMMYFUNCTION("""COMPUTED_VALUE"""),"181001")</f>
        <v>181001</v>
      </c>
      <c r="H3422" s="17" t="str">
        <f>IFERROR(__xludf.DUMMYFUNCTION("""COMPUTED_VALUE"""),"блесни та балансири")</f>
        <v>блесни та балансири</v>
      </c>
      <c r="I3422" s="19">
        <f>IFERROR(__xludf.DUMMYFUNCTION("""COMPUTED_VALUE"""),0.0766)</f>
        <v>0.0766</v>
      </c>
      <c r="J3422" s="19">
        <f>IFERROR(__xludf.DUMMYFUNCTION("""COMPUTED_VALUE"""),0.1532)</f>
        <v>0.1532</v>
      </c>
      <c r="K3422" s="19">
        <f>IFERROR(__xludf.DUMMYFUNCTION("""COMPUTED_VALUE"""),0.1915)</f>
        <v>0.1915</v>
      </c>
      <c r="L3422" s="19">
        <f>IFERROR(__xludf.DUMMYFUNCTION("""COMPUTED_VALUE"""),0.2298)</f>
        <v>0.2298</v>
      </c>
      <c r="M3422" s="18">
        <f>IFERROR(__xludf.DUMMYFUNCTION("""COMPUTED_VALUE"""),1.05)</f>
        <v>1.05</v>
      </c>
    </row>
    <row r="3423">
      <c r="A3423" s="13" t="str">
        <f>IFERROR(__xludf.DUMMYFUNCTION("""COMPUTED_VALUE"""),"товари")</f>
        <v>товари</v>
      </c>
      <c r="B3423" s="16" t="str">
        <f>IFERROR(__xludf.DUMMYFUNCTION("""COMPUTED_VALUE"""),"спорт і відпочинок")</f>
        <v>спорт і відпочинок</v>
      </c>
      <c r="C3423" s="16" t="str">
        <f>IFERROR(__xludf.DUMMYFUNCTION("""COMPUTED_VALUE"""),"спортивні товари")</f>
        <v>спортивні товари</v>
      </c>
      <c r="D3423" s="16" t="str">
        <f>IFERROR(__xludf.DUMMYFUNCTION("""COMPUTED_VALUE"""),"йога")</f>
        <v>йога</v>
      </c>
      <c r="E3423" s="16" t="str">
        <f>IFERROR(__xludf.DUMMYFUNCTION("""COMPUTED_VALUE"""),"блоки та ролики для йоги")</f>
        <v>блоки та ролики для йоги</v>
      </c>
      <c r="F3423" s="17">
        <f>IFERROR(__xludf.DUMMYFUNCTION("""COMPUTED_VALUE"""),4.0)</f>
        <v>4</v>
      </c>
      <c r="G3423" s="17" t="str">
        <f>IFERROR(__xludf.DUMMYFUNCTION("""COMPUTED_VALUE"""),"204302")</f>
        <v>204302</v>
      </c>
      <c r="H3423" s="17" t="str">
        <f>IFERROR(__xludf.DUMMYFUNCTION("""COMPUTED_VALUE"""),"блоки та ролики для йоги")</f>
        <v>блоки та ролики для йоги</v>
      </c>
      <c r="I3423" s="19">
        <f>IFERROR(__xludf.DUMMYFUNCTION("""COMPUTED_VALUE"""),0.0803)</f>
        <v>0.0803</v>
      </c>
      <c r="J3423" s="19">
        <f>IFERROR(__xludf.DUMMYFUNCTION("""COMPUTED_VALUE"""),0.1606)</f>
        <v>0.1606</v>
      </c>
      <c r="K3423" s="19">
        <f>IFERROR(__xludf.DUMMYFUNCTION("""COMPUTED_VALUE"""),0.2008)</f>
        <v>0.2008</v>
      </c>
      <c r="L3423" s="19">
        <f>IFERROR(__xludf.DUMMYFUNCTION("""COMPUTED_VALUE"""),0.2409)</f>
        <v>0.2409</v>
      </c>
      <c r="M3423" s="18">
        <f>IFERROR(__xludf.DUMMYFUNCTION("""COMPUTED_VALUE"""),3.96)</f>
        <v>3.96</v>
      </c>
    </row>
    <row r="3424">
      <c r="A3424" s="13" t="str">
        <f>IFERROR(__xludf.DUMMYFUNCTION("""COMPUTED_VALUE"""),"товари")</f>
        <v>товари</v>
      </c>
      <c r="B3424" s="16" t="str">
        <f>IFERROR(__xludf.DUMMYFUNCTION("""COMPUTED_VALUE"""),"спорт і відпочинок")</f>
        <v>спорт і відпочинок</v>
      </c>
      <c r="C3424" s="16" t="str">
        <f>IFERROR(__xludf.DUMMYFUNCTION("""COMPUTED_VALUE"""),"екстремальні види спорту")</f>
        <v>екстремальні види спорту</v>
      </c>
      <c r="D3424" s="16" t="str">
        <f>IFERROR(__xludf.DUMMYFUNCTION("""COMPUTED_VALUE"""),"альпінізм")</f>
        <v>альпінізм</v>
      </c>
      <c r="E3424" s="16" t="str">
        <f>IFERROR(__xludf.DUMMYFUNCTION("""COMPUTED_VALUE"""),"блоки, ролики та вертлюги")</f>
        <v>блоки, ролики та вертлюги</v>
      </c>
      <c r="F3424" s="17">
        <f>IFERROR(__xludf.DUMMYFUNCTION("""COMPUTED_VALUE"""),4.0)</f>
        <v>4</v>
      </c>
      <c r="G3424" s="17" t="str">
        <f>IFERROR(__xludf.DUMMYFUNCTION("""COMPUTED_VALUE"""),"203536")</f>
        <v>203536</v>
      </c>
      <c r="H3424" s="17" t="str">
        <f>IFERROR(__xludf.DUMMYFUNCTION("""COMPUTED_VALUE"""),"блоки, ролики та вертлюги")</f>
        <v>блоки, ролики та вертлюги</v>
      </c>
      <c r="I3424" s="19">
        <f>IFERROR(__xludf.DUMMYFUNCTION("""COMPUTED_VALUE"""),0.0786)</f>
        <v>0.0786</v>
      </c>
      <c r="J3424" s="19">
        <f>IFERROR(__xludf.DUMMYFUNCTION("""COMPUTED_VALUE"""),0.1571)</f>
        <v>0.1571</v>
      </c>
      <c r="K3424" s="19">
        <f>IFERROR(__xludf.DUMMYFUNCTION("""COMPUTED_VALUE"""),0.1964)</f>
        <v>0.1964</v>
      </c>
      <c r="L3424" s="19">
        <f>IFERROR(__xludf.DUMMYFUNCTION("""COMPUTED_VALUE"""),0.2357)</f>
        <v>0.2357</v>
      </c>
      <c r="M3424" s="18">
        <f>IFERROR(__xludf.DUMMYFUNCTION("""COMPUTED_VALUE"""),1.8)</f>
        <v>1.8</v>
      </c>
    </row>
    <row r="3425">
      <c r="A3425" s="13" t="str">
        <f>IFERROR(__xludf.DUMMYFUNCTION("""COMPUTED_VALUE"""),"товари")</f>
        <v>товари</v>
      </c>
      <c r="B3425" s="16" t="str">
        <f>IFERROR(__xludf.DUMMYFUNCTION("""COMPUTED_VALUE"""),"спорт і відпочинок")</f>
        <v>спорт і відпочинок</v>
      </c>
      <c r="C3425" s="16" t="str">
        <f>IFERROR(__xludf.DUMMYFUNCTION("""COMPUTED_VALUE"""),"спортивні товари")</f>
        <v>спортивні товари</v>
      </c>
      <c r="D3425" s="16" t="str">
        <f>IFERROR(__xludf.DUMMYFUNCTION("""COMPUTED_VALUE"""),"бойові мистецтва")</f>
        <v>бойові мистецтва</v>
      </c>
      <c r="E3425" s="16" t="str">
        <f>IFERROR(__xludf.DUMMYFUNCTION("""COMPUTED_VALUE"""),"боксерські бинти ")</f>
        <v>боксерські бинти </v>
      </c>
      <c r="F3425" s="17">
        <f>IFERROR(__xludf.DUMMYFUNCTION("""COMPUTED_VALUE"""),4.0)</f>
        <v>4</v>
      </c>
      <c r="G3425" s="17" t="str">
        <f>IFERROR(__xludf.DUMMYFUNCTION("""COMPUTED_VALUE"""),"202704")</f>
        <v>202704</v>
      </c>
      <c r="H3425" s="17" t="str">
        <f>IFERROR(__xludf.DUMMYFUNCTION("""COMPUTED_VALUE"""),"боксерські бинти ")</f>
        <v>боксерські бинти </v>
      </c>
      <c r="I3425" s="19">
        <f>IFERROR(__xludf.DUMMYFUNCTION("""COMPUTED_VALUE"""),0.0783)</f>
        <v>0.0783</v>
      </c>
      <c r="J3425" s="19">
        <f>IFERROR(__xludf.DUMMYFUNCTION("""COMPUTED_VALUE"""),0.1565)</f>
        <v>0.1565</v>
      </c>
      <c r="K3425" s="19">
        <f>IFERROR(__xludf.DUMMYFUNCTION("""COMPUTED_VALUE"""),0.1956)</f>
        <v>0.1956</v>
      </c>
      <c r="L3425" s="19">
        <f>IFERROR(__xludf.DUMMYFUNCTION("""COMPUTED_VALUE"""),0.2348)</f>
        <v>0.2348</v>
      </c>
      <c r="M3425" s="18">
        <f>IFERROR(__xludf.DUMMYFUNCTION("""COMPUTED_VALUE"""),2.34)</f>
        <v>2.34</v>
      </c>
    </row>
    <row r="3426">
      <c r="A3426" s="13" t="str">
        <f>IFERROR(__xludf.DUMMYFUNCTION("""COMPUTED_VALUE"""),"товари")</f>
        <v>товари</v>
      </c>
      <c r="B3426" s="16" t="str">
        <f>IFERROR(__xludf.DUMMYFUNCTION("""COMPUTED_VALUE"""),"спорт і відпочинок")</f>
        <v>спорт і відпочинок</v>
      </c>
      <c r="C3426" s="16" t="str">
        <f>IFERROR(__xludf.DUMMYFUNCTION("""COMPUTED_VALUE"""),"спортивні товари")</f>
        <v>спортивні товари</v>
      </c>
      <c r="D3426" s="16" t="str">
        <f>IFERROR(__xludf.DUMMYFUNCTION("""COMPUTED_VALUE"""),"бойові мистецтва")</f>
        <v>бойові мистецтва</v>
      </c>
      <c r="E3426" s="16" t="str">
        <f>IFERROR(__xludf.DUMMYFUNCTION("""COMPUTED_VALUE"""),"боксерські груші та снаряди")</f>
        <v>боксерські груші та снаряди</v>
      </c>
      <c r="F3426" s="17">
        <f>IFERROR(__xludf.DUMMYFUNCTION("""COMPUTED_VALUE"""),4.0)</f>
        <v>4</v>
      </c>
      <c r="G3426" s="17" t="str">
        <f>IFERROR(__xludf.DUMMYFUNCTION("""COMPUTED_VALUE"""),"2018")</f>
        <v>2018</v>
      </c>
      <c r="H3426" s="17" t="str">
        <f>IFERROR(__xludf.DUMMYFUNCTION("""COMPUTED_VALUE"""),"боксерські груші та снаряди")</f>
        <v>боксерські груші та снаряди</v>
      </c>
      <c r="I3426" s="19">
        <f>IFERROR(__xludf.DUMMYFUNCTION("""COMPUTED_VALUE"""),0.0747)</f>
        <v>0.0747</v>
      </c>
      <c r="J3426" s="19">
        <f>IFERROR(__xludf.DUMMYFUNCTION("""COMPUTED_VALUE"""),0.1494)</f>
        <v>0.1494</v>
      </c>
      <c r="K3426" s="19">
        <f>IFERROR(__xludf.DUMMYFUNCTION("""COMPUTED_VALUE"""),0.1868)</f>
        <v>0.1868</v>
      </c>
      <c r="L3426" s="19">
        <f>IFERROR(__xludf.DUMMYFUNCTION("""COMPUTED_VALUE"""),0.2241)</f>
        <v>0.2241</v>
      </c>
      <c r="M3426" s="18">
        <f>IFERROR(__xludf.DUMMYFUNCTION("""COMPUTED_VALUE"""),2.34)</f>
        <v>2.34</v>
      </c>
    </row>
    <row r="3427">
      <c r="A3427" s="13" t="str">
        <f>IFERROR(__xludf.DUMMYFUNCTION("""COMPUTED_VALUE"""),"товари")</f>
        <v>товари</v>
      </c>
      <c r="B3427" s="16" t="str">
        <f>IFERROR(__xludf.DUMMYFUNCTION("""COMPUTED_VALUE"""),"спорт і відпочинок")</f>
        <v>спорт і відпочинок</v>
      </c>
      <c r="C3427" s="16" t="str">
        <f>IFERROR(__xludf.DUMMYFUNCTION("""COMPUTED_VALUE"""),"спортивні товари")</f>
        <v>спортивні товари</v>
      </c>
      <c r="D3427" s="16" t="str">
        <f>IFERROR(__xludf.DUMMYFUNCTION("""COMPUTED_VALUE"""),"бойові мистецтва")</f>
        <v>бойові мистецтва</v>
      </c>
      <c r="E3427" s="16" t="str">
        <f>IFERROR(__xludf.DUMMYFUNCTION("""COMPUTED_VALUE"""),"боксерські ринги")</f>
        <v>боксерські ринги</v>
      </c>
      <c r="F3427" s="17">
        <f>IFERROR(__xludf.DUMMYFUNCTION("""COMPUTED_VALUE"""),4.0)</f>
        <v>4</v>
      </c>
      <c r="G3427" s="17" t="str">
        <f>IFERROR(__xludf.DUMMYFUNCTION("""COMPUTED_VALUE"""),"202711")</f>
        <v>202711</v>
      </c>
      <c r="H3427" s="17" t="str">
        <f>IFERROR(__xludf.DUMMYFUNCTION("""COMPUTED_VALUE"""),"боксерські ринги")</f>
        <v>боксерські ринги</v>
      </c>
      <c r="I3427" s="19">
        <f>IFERROR(__xludf.DUMMYFUNCTION("""COMPUTED_VALUE"""),0.0745)</f>
        <v>0.0745</v>
      </c>
      <c r="J3427" s="19">
        <f>IFERROR(__xludf.DUMMYFUNCTION("""COMPUTED_VALUE"""),0.1489)</f>
        <v>0.1489</v>
      </c>
      <c r="K3427" s="19">
        <f>IFERROR(__xludf.DUMMYFUNCTION("""COMPUTED_VALUE"""),0.1861)</f>
        <v>0.1861</v>
      </c>
      <c r="L3427" s="19">
        <f>IFERROR(__xludf.DUMMYFUNCTION("""COMPUTED_VALUE"""),0.2234)</f>
        <v>0.2234</v>
      </c>
      <c r="M3427" s="18">
        <f>IFERROR(__xludf.DUMMYFUNCTION("""COMPUTED_VALUE"""),2.34)</f>
        <v>2.34</v>
      </c>
    </row>
    <row r="3428">
      <c r="A3428" s="13" t="str">
        <f>IFERROR(__xludf.DUMMYFUNCTION("""COMPUTED_VALUE"""),"товари")</f>
        <v>товари</v>
      </c>
      <c r="B3428" s="16" t="str">
        <f>IFERROR(__xludf.DUMMYFUNCTION("""COMPUTED_VALUE"""),"спорт і відпочинок")</f>
        <v>спорт і відпочинок</v>
      </c>
      <c r="C3428" s="16" t="str">
        <f>IFERROR(__xludf.DUMMYFUNCTION("""COMPUTED_VALUE"""),"товари для підводного полювання")</f>
        <v>товари для підводного полювання</v>
      </c>
      <c r="D3428" s="16" t="str">
        <f>IFERROR(__xludf.DUMMYFUNCTION("""COMPUTED_VALUE"""),"буї для підводного полювання")</f>
        <v>буї для підводного полювання</v>
      </c>
      <c r="E3428" s="16" t="str">
        <f>IFERROR(__xludf.DUMMYFUNCTION("""COMPUTED_VALUE"""),"буї для підводного полювання")</f>
        <v>буї для підводного полювання</v>
      </c>
      <c r="F3428" s="17">
        <f>IFERROR(__xludf.DUMMYFUNCTION("""COMPUTED_VALUE"""),3.0)</f>
        <v>3</v>
      </c>
      <c r="G3428" s="17" t="str">
        <f>IFERROR(__xludf.DUMMYFUNCTION("""COMPUTED_VALUE"""),"182303")</f>
        <v>182303</v>
      </c>
      <c r="H3428" s="17" t="str">
        <f>IFERROR(__xludf.DUMMYFUNCTION("""COMPUTED_VALUE"""),"буї для підводного полювання")</f>
        <v>буї для підводного полювання</v>
      </c>
      <c r="I3428" s="19">
        <f>IFERROR(__xludf.DUMMYFUNCTION("""COMPUTED_VALUE"""),0.0709)</f>
        <v>0.0709</v>
      </c>
      <c r="J3428" s="19">
        <f>IFERROR(__xludf.DUMMYFUNCTION("""COMPUTED_VALUE"""),0.1417)</f>
        <v>0.1417</v>
      </c>
      <c r="K3428" s="19">
        <f>IFERROR(__xludf.DUMMYFUNCTION("""COMPUTED_VALUE"""),0.1771)</f>
        <v>0.1771</v>
      </c>
      <c r="L3428" s="19">
        <f>IFERROR(__xludf.DUMMYFUNCTION("""COMPUTED_VALUE"""),0.2126)</f>
        <v>0.2126</v>
      </c>
      <c r="M3428" s="18">
        <f>IFERROR(__xludf.DUMMYFUNCTION("""COMPUTED_VALUE"""),1.05)</f>
        <v>1.05</v>
      </c>
    </row>
    <row r="3429">
      <c r="A3429" s="13" t="str">
        <f>IFERROR(__xludf.DUMMYFUNCTION("""COMPUTED_VALUE"""),"товари")</f>
        <v>товари</v>
      </c>
      <c r="B3429" s="16" t="str">
        <f>IFERROR(__xludf.DUMMYFUNCTION("""COMPUTED_VALUE"""),"спорт і відпочинок")</f>
        <v>спорт і відпочинок</v>
      </c>
      <c r="C3429" s="16" t="str">
        <f>IFERROR(__xludf.DUMMYFUNCTION("""COMPUTED_VALUE"""),"спортивні товари")</f>
        <v>спортивні товари</v>
      </c>
      <c r="D3429" s="16" t="str">
        <f>IFERROR(__xludf.DUMMYFUNCTION("""COMPUTED_VALUE"""),"важка атлетика")</f>
        <v>важка атлетика</v>
      </c>
      <c r="E3429" s="16" t="str">
        <f>IFERROR(__xludf.DUMMYFUNCTION("""COMPUTED_VALUE"""),"важка атлетика, загальне")</f>
        <v>важка атлетика, загальне</v>
      </c>
      <c r="F3429" s="17">
        <f>IFERROR(__xludf.DUMMYFUNCTION("""COMPUTED_VALUE"""),4.0)</f>
        <v>4</v>
      </c>
      <c r="G3429" s="17" t="str">
        <f>IFERROR(__xludf.DUMMYFUNCTION("""COMPUTED_VALUE"""),"205401")</f>
        <v>205401</v>
      </c>
      <c r="H3429" s="17" t="str">
        <f>IFERROR(__xludf.DUMMYFUNCTION("""COMPUTED_VALUE"""),"важка атлетика, загальне")</f>
        <v>важка атлетика, загальне</v>
      </c>
      <c r="I3429" s="19">
        <f>IFERROR(__xludf.DUMMYFUNCTION("""COMPUTED_VALUE"""),0.125)</f>
        <v>0.125</v>
      </c>
      <c r="J3429" s="19">
        <f>IFERROR(__xludf.DUMMYFUNCTION("""COMPUTED_VALUE"""),0.25)</f>
        <v>0.25</v>
      </c>
      <c r="K3429" s="19">
        <f>IFERROR(__xludf.DUMMYFUNCTION("""COMPUTED_VALUE"""),0.3125)</f>
        <v>0.3125</v>
      </c>
      <c r="L3429" s="19">
        <f>IFERROR(__xludf.DUMMYFUNCTION("""COMPUTED_VALUE"""),0.375)</f>
        <v>0.375</v>
      </c>
      <c r="M3429" s="18">
        <f>IFERROR(__xludf.DUMMYFUNCTION("""COMPUTED_VALUE"""),4.33)</f>
        <v>4.33</v>
      </c>
    </row>
    <row r="3430">
      <c r="A3430" s="13" t="str">
        <f>IFERROR(__xludf.DUMMYFUNCTION("""COMPUTED_VALUE"""),"товари")</f>
        <v>товари</v>
      </c>
      <c r="B3430" s="16" t="str">
        <f>IFERROR(__xludf.DUMMYFUNCTION("""COMPUTED_VALUE"""),"спорт і відпочинок")</f>
        <v>спорт і відпочинок</v>
      </c>
      <c r="C3430" s="16" t="str">
        <f>IFERROR(__xludf.DUMMYFUNCTION("""COMPUTED_VALUE"""),"екстремальні види спорту")</f>
        <v>екстремальні види спорту</v>
      </c>
      <c r="D3430" s="16" t="str">
        <f>IFERROR(__xludf.DUMMYFUNCTION("""COMPUTED_VALUE"""),"дайвінг")</f>
        <v>дайвінг</v>
      </c>
      <c r="E3430" s="16" t="str">
        <f>IFERROR(__xludf.DUMMYFUNCTION("""COMPUTED_VALUE"""),"вантажні пояси та вантажі")</f>
        <v>вантажні пояси та вантажі</v>
      </c>
      <c r="F3430" s="17">
        <f>IFERROR(__xludf.DUMMYFUNCTION("""COMPUTED_VALUE"""),4.0)</f>
        <v>4</v>
      </c>
      <c r="G3430" s="17" t="str">
        <f>IFERROR(__xludf.DUMMYFUNCTION("""COMPUTED_VALUE"""),"203424")</f>
        <v>203424</v>
      </c>
      <c r="H3430" s="17" t="str">
        <f>IFERROR(__xludf.DUMMYFUNCTION("""COMPUTED_VALUE"""),"вантажні пояси та вантажі")</f>
        <v>вантажні пояси та вантажі</v>
      </c>
      <c r="I3430" s="19">
        <f>IFERROR(__xludf.DUMMYFUNCTION("""COMPUTED_VALUE"""),0.0784)</f>
        <v>0.0784</v>
      </c>
      <c r="J3430" s="19">
        <f>IFERROR(__xludf.DUMMYFUNCTION("""COMPUTED_VALUE"""),0.1567)</f>
        <v>0.1567</v>
      </c>
      <c r="K3430" s="19">
        <f>IFERROR(__xludf.DUMMYFUNCTION("""COMPUTED_VALUE"""),0.1959)</f>
        <v>0.1959</v>
      </c>
      <c r="L3430" s="19">
        <f>IFERROR(__xludf.DUMMYFUNCTION("""COMPUTED_VALUE"""),0.2351)</f>
        <v>0.2351</v>
      </c>
      <c r="M3430" s="18">
        <f>IFERROR(__xludf.DUMMYFUNCTION("""COMPUTED_VALUE"""),2.88)</f>
        <v>2.88</v>
      </c>
    </row>
    <row r="3431">
      <c r="A3431" s="13" t="str">
        <f>IFERROR(__xludf.DUMMYFUNCTION("""COMPUTED_VALUE"""),"товари")</f>
        <v>товари</v>
      </c>
      <c r="B3431" s="16" t="str">
        <f>IFERROR(__xludf.DUMMYFUNCTION("""COMPUTED_VALUE"""),"спорт і відпочинок")</f>
        <v>спорт і відпочинок</v>
      </c>
      <c r="C3431" s="16" t="str">
        <f>IFERROR(__xludf.DUMMYFUNCTION("""COMPUTED_VALUE"""),"ігри з ракетками")</f>
        <v>ігри з ракетками</v>
      </c>
      <c r="D3431" s="16" t="str">
        <f>IFERROR(__xludf.DUMMYFUNCTION("""COMPUTED_VALUE"""),"теніс")</f>
        <v>теніс</v>
      </c>
      <c r="E3431" s="16" t="str">
        <f>IFERROR(__xludf.DUMMYFUNCTION("""COMPUTED_VALUE"""),"великий теніс, загальне")</f>
        <v>великий теніс, загальне</v>
      </c>
      <c r="F3431" s="17">
        <f>IFERROR(__xludf.DUMMYFUNCTION("""COMPUTED_VALUE"""),4.0)</f>
        <v>4</v>
      </c>
      <c r="G3431" s="17" t="str">
        <f>IFERROR(__xludf.DUMMYFUNCTION("""COMPUTED_VALUE"""),"182403")</f>
        <v>182403</v>
      </c>
      <c r="H3431" s="17" t="str">
        <f>IFERROR(__xludf.DUMMYFUNCTION("""COMPUTED_VALUE"""),"великий теніс, загальне")</f>
        <v>великий теніс, загальне</v>
      </c>
      <c r="I3431" s="19">
        <f>IFERROR(__xludf.DUMMYFUNCTION("""COMPUTED_VALUE"""),0.125)</f>
        <v>0.125</v>
      </c>
      <c r="J3431" s="19">
        <f>IFERROR(__xludf.DUMMYFUNCTION("""COMPUTED_VALUE"""),0.25)</f>
        <v>0.25</v>
      </c>
      <c r="K3431" s="19">
        <f>IFERROR(__xludf.DUMMYFUNCTION("""COMPUTED_VALUE"""),0.3125)</f>
        <v>0.3125</v>
      </c>
      <c r="L3431" s="19">
        <f>IFERROR(__xludf.DUMMYFUNCTION("""COMPUTED_VALUE"""),0.375)</f>
        <v>0.375</v>
      </c>
      <c r="M3431" s="18">
        <f>IFERROR(__xludf.DUMMYFUNCTION("""COMPUTED_VALUE"""),4.33)</f>
        <v>4.33</v>
      </c>
    </row>
    <row r="3432">
      <c r="A3432" s="13" t="str">
        <f>IFERROR(__xludf.DUMMYFUNCTION("""COMPUTED_VALUE"""),"товари")</f>
        <v>товари</v>
      </c>
      <c r="B3432" s="16" t="str">
        <f>IFERROR(__xludf.DUMMYFUNCTION("""COMPUTED_VALUE"""),"спорт і відпочинок")</f>
        <v>спорт і відпочинок</v>
      </c>
      <c r="C3432" s="16" t="str">
        <f>IFERROR(__xludf.DUMMYFUNCTION("""COMPUTED_VALUE"""),"велосипеди та аксесуари")</f>
        <v>велосипеди та аксесуари</v>
      </c>
      <c r="D3432" s="16" t="str">
        <f>IFERROR(__xludf.DUMMYFUNCTION("""COMPUTED_VALUE"""),"велоаксесуари")</f>
        <v>велоаксесуари</v>
      </c>
      <c r="E3432" s="16" t="str">
        <f>IFERROR(__xludf.DUMMYFUNCTION("""COMPUTED_VALUE"""),"велоаксесуари, загальне")</f>
        <v>велоаксесуари, загальне</v>
      </c>
      <c r="F3432" s="17">
        <f>IFERROR(__xludf.DUMMYFUNCTION("""COMPUTED_VALUE"""),4.0)</f>
        <v>4</v>
      </c>
      <c r="G3432" s="17" t="str">
        <f>IFERROR(__xludf.DUMMYFUNCTION("""COMPUTED_VALUE"""),"342412")</f>
        <v>342412</v>
      </c>
      <c r="H3432" s="17" t="str">
        <f>IFERROR(__xludf.DUMMYFUNCTION("""COMPUTED_VALUE"""),"велоаксесуари, загальне")</f>
        <v>велоаксесуари, загальне</v>
      </c>
      <c r="I3432" s="19">
        <f>IFERROR(__xludf.DUMMYFUNCTION("""COMPUTED_VALUE"""),0.125)</f>
        <v>0.125</v>
      </c>
      <c r="J3432" s="19">
        <f>IFERROR(__xludf.DUMMYFUNCTION("""COMPUTED_VALUE"""),0.25)</f>
        <v>0.25</v>
      </c>
      <c r="K3432" s="19">
        <f>IFERROR(__xludf.DUMMYFUNCTION("""COMPUTED_VALUE"""),0.3125)</f>
        <v>0.3125</v>
      </c>
      <c r="L3432" s="19">
        <f>IFERROR(__xludf.DUMMYFUNCTION("""COMPUTED_VALUE"""),0.375)</f>
        <v>0.375</v>
      </c>
      <c r="M3432" s="18">
        <f>IFERROR(__xludf.DUMMYFUNCTION("""COMPUTED_VALUE"""),4.33)</f>
        <v>4.33</v>
      </c>
    </row>
    <row r="3433">
      <c r="A3433" s="13" t="str">
        <f>IFERROR(__xludf.DUMMYFUNCTION("""COMPUTED_VALUE"""),"товари")</f>
        <v>товари</v>
      </c>
      <c r="B3433" s="16" t="str">
        <f>IFERROR(__xludf.DUMMYFUNCTION("""COMPUTED_VALUE"""),"спорт і відпочинок")</f>
        <v>спорт і відпочинок</v>
      </c>
      <c r="C3433" s="16" t="str">
        <f>IFERROR(__xludf.DUMMYFUNCTION("""COMPUTED_VALUE"""),"одяг та взуття для спортсменів")</f>
        <v>одяг та взуття для спортсменів</v>
      </c>
      <c r="D3433" s="16" t="str">
        <f>IFERROR(__xludf.DUMMYFUNCTION("""COMPUTED_VALUE"""),"велоекіпірування")</f>
        <v>велоекіпірування</v>
      </c>
      <c r="E3433" s="16" t="str">
        <f>IFERROR(__xludf.DUMMYFUNCTION("""COMPUTED_VALUE"""),"велобахіли")</f>
        <v>велобахіли</v>
      </c>
      <c r="F3433" s="17">
        <f>IFERROR(__xludf.DUMMYFUNCTION("""COMPUTED_VALUE"""),4.0)</f>
        <v>4</v>
      </c>
      <c r="G3433" s="17" t="str">
        <f>IFERROR(__xludf.DUMMYFUNCTION("""COMPUTED_VALUE"""),"3011808")</f>
        <v>3011808</v>
      </c>
      <c r="H3433" s="17" t="str">
        <f>IFERROR(__xludf.DUMMYFUNCTION("""COMPUTED_VALUE"""),"велобахіли")</f>
        <v>велобахіли</v>
      </c>
      <c r="I3433" s="19">
        <f>IFERROR(__xludf.DUMMYFUNCTION("""COMPUTED_VALUE"""),0.0784)</f>
        <v>0.0784</v>
      </c>
      <c r="J3433" s="19">
        <f>IFERROR(__xludf.DUMMYFUNCTION("""COMPUTED_VALUE"""),0.1567)</f>
        <v>0.1567</v>
      </c>
      <c r="K3433" s="19">
        <f>IFERROR(__xludf.DUMMYFUNCTION("""COMPUTED_VALUE"""),0.1959)</f>
        <v>0.1959</v>
      </c>
      <c r="L3433" s="19">
        <f>IFERROR(__xludf.DUMMYFUNCTION("""COMPUTED_VALUE"""),0.2351)</f>
        <v>0.2351</v>
      </c>
      <c r="M3433" s="18">
        <f>IFERROR(__xludf.DUMMYFUNCTION("""COMPUTED_VALUE"""),1.05)</f>
        <v>1.05</v>
      </c>
    </row>
    <row r="3434">
      <c r="A3434" s="13" t="str">
        <f>IFERROR(__xludf.DUMMYFUNCTION("""COMPUTED_VALUE"""),"товари")</f>
        <v>товари</v>
      </c>
      <c r="B3434" s="16" t="str">
        <f>IFERROR(__xludf.DUMMYFUNCTION("""COMPUTED_VALUE"""),"спорт і відпочинок")</f>
        <v>спорт і відпочинок</v>
      </c>
      <c r="C3434" s="16" t="str">
        <f>IFERROR(__xludf.DUMMYFUNCTION("""COMPUTED_VALUE"""),"одяг та взуття для спортсменів")</f>
        <v>одяг та взуття для спортсменів</v>
      </c>
      <c r="D3434" s="16" t="str">
        <f>IFERROR(__xludf.DUMMYFUNCTION("""COMPUTED_VALUE"""),"велоекіпірування")</f>
        <v>велоекіпірування</v>
      </c>
      <c r="E3434" s="16" t="str">
        <f>IFERROR(__xludf.DUMMYFUNCTION("""COMPUTED_VALUE"""),"веловзуття")</f>
        <v>веловзуття</v>
      </c>
      <c r="F3434" s="17">
        <f>IFERROR(__xludf.DUMMYFUNCTION("""COMPUTED_VALUE"""),4.0)</f>
        <v>4</v>
      </c>
      <c r="G3434" s="17" t="str">
        <f>IFERROR(__xludf.DUMMYFUNCTION("""COMPUTED_VALUE"""),"3011805")</f>
        <v>3011805</v>
      </c>
      <c r="H3434" s="17" t="str">
        <f>IFERROR(__xludf.DUMMYFUNCTION("""COMPUTED_VALUE"""),"веловзуття")</f>
        <v>веловзуття</v>
      </c>
      <c r="I3434" s="19">
        <f>IFERROR(__xludf.DUMMYFUNCTION("""COMPUTED_VALUE"""),0.0784)</f>
        <v>0.0784</v>
      </c>
      <c r="J3434" s="19">
        <f>IFERROR(__xludf.DUMMYFUNCTION("""COMPUTED_VALUE"""),0.1567)</f>
        <v>0.1567</v>
      </c>
      <c r="K3434" s="19">
        <f>IFERROR(__xludf.DUMMYFUNCTION("""COMPUTED_VALUE"""),0.1959)</f>
        <v>0.1959</v>
      </c>
      <c r="L3434" s="19">
        <f>IFERROR(__xludf.DUMMYFUNCTION("""COMPUTED_VALUE"""),0.2351)</f>
        <v>0.2351</v>
      </c>
      <c r="M3434" s="18">
        <f>IFERROR(__xludf.DUMMYFUNCTION("""COMPUTED_VALUE"""),1.05)</f>
        <v>1.05</v>
      </c>
    </row>
    <row r="3435">
      <c r="A3435" s="13" t="str">
        <f>IFERROR(__xludf.DUMMYFUNCTION("""COMPUTED_VALUE"""),"товари")</f>
        <v>товари</v>
      </c>
      <c r="B3435" s="16" t="str">
        <f>IFERROR(__xludf.DUMMYFUNCTION("""COMPUTED_VALUE"""),"спорт і відпочинок")</f>
        <v>спорт і відпочинок</v>
      </c>
      <c r="C3435" s="16" t="str">
        <f>IFERROR(__xludf.DUMMYFUNCTION("""COMPUTED_VALUE"""),"одяг та взуття для спортсменів")</f>
        <v>одяг та взуття для спортсменів</v>
      </c>
      <c r="D3435" s="16" t="str">
        <f>IFERROR(__xludf.DUMMYFUNCTION("""COMPUTED_VALUE"""),"велоекіпірування")</f>
        <v>велоекіпірування</v>
      </c>
      <c r="E3435" s="16" t="str">
        <f>IFERROR(__xludf.DUMMYFUNCTION("""COMPUTED_VALUE"""),"велоекіпірування, загальне")</f>
        <v>велоекіпірування, загальне</v>
      </c>
      <c r="F3435" s="17">
        <f>IFERROR(__xludf.DUMMYFUNCTION("""COMPUTED_VALUE"""),4.0)</f>
        <v>4</v>
      </c>
      <c r="G3435" s="17" t="str">
        <f>IFERROR(__xludf.DUMMYFUNCTION("""COMPUTED_VALUE"""),"3011806")</f>
        <v>3011806</v>
      </c>
      <c r="H3435" s="17" t="str">
        <f>IFERROR(__xludf.DUMMYFUNCTION("""COMPUTED_VALUE"""),"велоекіпірування, загальне")</f>
        <v>велоекіпірування, загальне</v>
      </c>
      <c r="I3435" s="19">
        <f>IFERROR(__xludf.DUMMYFUNCTION("""COMPUTED_VALUE"""),0.125)</f>
        <v>0.125</v>
      </c>
      <c r="J3435" s="19">
        <f>IFERROR(__xludf.DUMMYFUNCTION("""COMPUTED_VALUE"""),0.25)</f>
        <v>0.25</v>
      </c>
      <c r="K3435" s="19">
        <f>IFERROR(__xludf.DUMMYFUNCTION("""COMPUTED_VALUE"""),0.3125)</f>
        <v>0.3125</v>
      </c>
      <c r="L3435" s="19">
        <f>IFERROR(__xludf.DUMMYFUNCTION("""COMPUTED_VALUE"""),0.375)</f>
        <v>0.375</v>
      </c>
      <c r="M3435" s="18">
        <f>IFERROR(__xludf.DUMMYFUNCTION("""COMPUTED_VALUE"""),4.33)</f>
        <v>4.33</v>
      </c>
    </row>
    <row r="3436">
      <c r="A3436" s="13" t="str">
        <f>IFERROR(__xludf.DUMMYFUNCTION("""COMPUTED_VALUE"""),"товари")</f>
        <v>товари</v>
      </c>
      <c r="B3436" s="16" t="str">
        <f>IFERROR(__xludf.DUMMYFUNCTION("""COMPUTED_VALUE"""),"спорт і відпочинок")</f>
        <v>спорт і відпочинок</v>
      </c>
      <c r="C3436" s="16" t="str">
        <f>IFERROR(__xludf.DUMMYFUNCTION("""COMPUTED_VALUE"""),"велосипеди та аксесуари")</f>
        <v>велосипеди та аксесуари</v>
      </c>
      <c r="D3436" s="16" t="str">
        <f>IFERROR(__xludf.DUMMYFUNCTION("""COMPUTED_VALUE"""),"велоаксесуари")</f>
        <v>велоаксесуари</v>
      </c>
      <c r="E3436" s="16" t="str">
        <f>IFERROR(__xludf.DUMMYFUNCTION("""COMPUTED_VALUE"""),"велозамки")</f>
        <v>велозамки</v>
      </c>
      <c r="F3436" s="17">
        <f>IFERROR(__xludf.DUMMYFUNCTION("""COMPUTED_VALUE"""),4.0)</f>
        <v>4</v>
      </c>
      <c r="G3436" s="17" t="str">
        <f>IFERROR(__xludf.DUMMYFUNCTION("""COMPUTED_VALUE"""),"342405")</f>
        <v>342405</v>
      </c>
      <c r="H3436" s="17" t="str">
        <f>IFERROR(__xludf.DUMMYFUNCTION("""COMPUTED_VALUE"""),"велозамки")</f>
        <v>велозамки</v>
      </c>
      <c r="I3436" s="19">
        <f>IFERROR(__xludf.DUMMYFUNCTION("""COMPUTED_VALUE"""),0.0773)</f>
        <v>0.0773</v>
      </c>
      <c r="J3436" s="19">
        <f>IFERROR(__xludf.DUMMYFUNCTION("""COMPUTED_VALUE"""),0.1545)</f>
        <v>0.1545</v>
      </c>
      <c r="K3436" s="19">
        <f>IFERROR(__xludf.DUMMYFUNCTION("""COMPUTED_VALUE"""),0.1931)</f>
        <v>0.1931</v>
      </c>
      <c r="L3436" s="19">
        <f>IFERROR(__xludf.DUMMYFUNCTION("""COMPUTED_VALUE"""),0.2318)</f>
        <v>0.2318</v>
      </c>
      <c r="M3436" s="18">
        <f>IFERROR(__xludf.DUMMYFUNCTION("""COMPUTED_VALUE"""),1.63)</f>
        <v>1.63</v>
      </c>
    </row>
    <row r="3437">
      <c r="A3437" s="13" t="str">
        <f>IFERROR(__xludf.DUMMYFUNCTION("""COMPUTED_VALUE"""),"товари")</f>
        <v>товари</v>
      </c>
      <c r="B3437" s="16" t="str">
        <f>IFERROR(__xludf.DUMMYFUNCTION("""COMPUTED_VALUE"""),"спорт і відпочинок")</f>
        <v>спорт і відпочинок</v>
      </c>
      <c r="C3437" s="16" t="str">
        <f>IFERROR(__xludf.DUMMYFUNCTION("""COMPUTED_VALUE"""),"велосипеди та аксесуари")</f>
        <v>велосипеди та аксесуари</v>
      </c>
      <c r="D3437" s="16" t="str">
        <f>IFERROR(__xludf.DUMMYFUNCTION("""COMPUTED_VALUE"""),"велозапчастини")</f>
        <v>велозапчастини</v>
      </c>
      <c r="E3437" s="16" t="str">
        <f>IFERROR(__xludf.DUMMYFUNCTION("""COMPUTED_VALUE"""),"велозапчастини, загальне")</f>
        <v>велозапчастини, загальне</v>
      </c>
      <c r="F3437" s="17">
        <f>IFERROR(__xludf.DUMMYFUNCTION("""COMPUTED_VALUE"""),4.0)</f>
        <v>4</v>
      </c>
      <c r="G3437" s="17" t="str">
        <f>IFERROR(__xludf.DUMMYFUNCTION("""COMPUTED_VALUE"""),"182102")</f>
        <v>182102</v>
      </c>
      <c r="H3437" s="17" t="str">
        <f>IFERROR(__xludf.DUMMYFUNCTION("""COMPUTED_VALUE"""),"велозапчастини, загальне")</f>
        <v>велозапчастини, загальне</v>
      </c>
      <c r="I3437" s="19">
        <f>IFERROR(__xludf.DUMMYFUNCTION("""COMPUTED_VALUE"""),0.125)</f>
        <v>0.125</v>
      </c>
      <c r="J3437" s="19">
        <f>IFERROR(__xludf.DUMMYFUNCTION("""COMPUTED_VALUE"""),0.25)</f>
        <v>0.25</v>
      </c>
      <c r="K3437" s="19">
        <f>IFERROR(__xludf.DUMMYFUNCTION("""COMPUTED_VALUE"""),0.3125)</f>
        <v>0.3125</v>
      </c>
      <c r="L3437" s="19">
        <f>IFERROR(__xludf.DUMMYFUNCTION("""COMPUTED_VALUE"""),0.375)</f>
        <v>0.375</v>
      </c>
      <c r="M3437" s="18">
        <f>IFERROR(__xludf.DUMMYFUNCTION("""COMPUTED_VALUE"""),4.33)</f>
        <v>4.33</v>
      </c>
    </row>
    <row r="3438">
      <c r="A3438" s="13" t="str">
        <f>IFERROR(__xludf.DUMMYFUNCTION("""COMPUTED_VALUE"""),"товари")</f>
        <v>товари</v>
      </c>
      <c r="B3438" s="16" t="str">
        <f>IFERROR(__xludf.DUMMYFUNCTION("""COMPUTED_VALUE"""),"спорт і відпочинок")</f>
        <v>спорт і відпочинок</v>
      </c>
      <c r="C3438" s="16" t="str">
        <f>IFERROR(__xludf.DUMMYFUNCTION("""COMPUTED_VALUE"""),"велосипеди та аксесуари")</f>
        <v>велосипеди та аксесуари</v>
      </c>
      <c r="D3438" s="16" t="str">
        <f>IFERROR(__xludf.DUMMYFUNCTION("""COMPUTED_VALUE"""),"велоаксесуари")</f>
        <v>велоаксесуари</v>
      </c>
      <c r="E3438" s="16" t="str">
        <f>IFERROR(__xludf.DUMMYFUNCTION("""COMPUTED_VALUE"""),"велоінструменти")</f>
        <v>велоінструменти</v>
      </c>
      <c r="F3438" s="17">
        <f>IFERROR(__xludf.DUMMYFUNCTION("""COMPUTED_VALUE"""),4.0)</f>
        <v>4</v>
      </c>
      <c r="G3438" s="17" t="str">
        <f>IFERROR(__xludf.DUMMYFUNCTION("""COMPUTED_VALUE"""),"342415")</f>
        <v>342415</v>
      </c>
      <c r="H3438" s="17" t="str">
        <f>IFERROR(__xludf.DUMMYFUNCTION("""COMPUTED_VALUE"""),"велоінструменти")</f>
        <v>велоінструменти</v>
      </c>
      <c r="I3438" s="19">
        <f>IFERROR(__xludf.DUMMYFUNCTION("""COMPUTED_VALUE"""),0.0773)</f>
        <v>0.0773</v>
      </c>
      <c r="J3438" s="19">
        <f>IFERROR(__xludf.DUMMYFUNCTION("""COMPUTED_VALUE"""),0.1545)</f>
        <v>0.1545</v>
      </c>
      <c r="K3438" s="19">
        <f>IFERROR(__xludf.DUMMYFUNCTION("""COMPUTED_VALUE"""),0.1931)</f>
        <v>0.1931</v>
      </c>
      <c r="L3438" s="19">
        <f>IFERROR(__xludf.DUMMYFUNCTION("""COMPUTED_VALUE"""),0.2318)</f>
        <v>0.2318</v>
      </c>
      <c r="M3438" s="18">
        <f>IFERROR(__xludf.DUMMYFUNCTION("""COMPUTED_VALUE"""),1.63)</f>
        <v>1.63</v>
      </c>
    </row>
    <row r="3439">
      <c r="A3439" s="13" t="str">
        <f>IFERROR(__xludf.DUMMYFUNCTION("""COMPUTED_VALUE"""),"товари")</f>
        <v>товари</v>
      </c>
      <c r="B3439" s="16" t="str">
        <f>IFERROR(__xludf.DUMMYFUNCTION("""COMPUTED_VALUE"""),"спорт і відпочинок")</f>
        <v>спорт і відпочинок</v>
      </c>
      <c r="C3439" s="16" t="str">
        <f>IFERROR(__xludf.DUMMYFUNCTION("""COMPUTED_VALUE"""),"велосипеди та аксесуари")</f>
        <v>велосипеди та аксесуари</v>
      </c>
      <c r="D3439" s="16" t="str">
        <f>IFERROR(__xludf.DUMMYFUNCTION("""COMPUTED_VALUE"""),"велоаксесуари")</f>
        <v>велоаксесуари</v>
      </c>
      <c r="E3439" s="16" t="str">
        <f>IFERROR(__xludf.DUMMYFUNCTION("""COMPUTED_VALUE"""),"велокомп'ютери")</f>
        <v>велокомп'ютери</v>
      </c>
      <c r="F3439" s="17">
        <f>IFERROR(__xludf.DUMMYFUNCTION("""COMPUTED_VALUE"""),4.0)</f>
        <v>4</v>
      </c>
      <c r="G3439" s="17" t="str">
        <f>IFERROR(__xludf.DUMMYFUNCTION("""COMPUTED_VALUE"""),"342401")</f>
        <v>342401</v>
      </c>
      <c r="H3439" s="17" t="str">
        <f>IFERROR(__xludf.DUMMYFUNCTION("""COMPUTED_VALUE"""),"велокомп'ютери")</f>
        <v>велокомп'ютери</v>
      </c>
      <c r="I3439" s="19">
        <f>IFERROR(__xludf.DUMMYFUNCTION("""COMPUTED_VALUE"""),0.0776)</f>
        <v>0.0776</v>
      </c>
      <c r="J3439" s="19">
        <f>IFERROR(__xludf.DUMMYFUNCTION("""COMPUTED_VALUE"""),0.1551)</f>
        <v>0.1551</v>
      </c>
      <c r="K3439" s="19">
        <f>IFERROR(__xludf.DUMMYFUNCTION("""COMPUTED_VALUE"""),0.1939)</f>
        <v>0.1939</v>
      </c>
      <c r="L3439" s="19">
        <f>IFERROR(__xludf.DUMMYFUNCTION("""COMPUTED_VALUE"""),0.2327)</f>
        <v>0.2327</v>
      </c>
      <c r="M3439" s="18">
        <f>IFERROR(__xludf.DUMMYFUNCTION("""COMPUTED_VALUE"""),1.63)</f>
        <v>1.63</v>
      </c>
    </row>
    <row r="3440">
      <c r="A3440" s="13" t="str">
        <f>IFERROR(__xludf.DUMMYFUNCTION("""COMPUTED_VALUE"""),"товари")</f>
        <v>товари</v>
      </c>
      <c r="B3440" s="16" t="str">
        <f>IFERROR(__xludf.DUMMYFUNCTION("""COMPUTED_VALUE"""),"спорт і відпочинок")</f>
        <v>спорт і відпочинок</v>
      </c>
      <c r="C3440" s="16" t="str">
        <f>IFERROR(__xludf.DUMMYFUNCTION("""COMPUTED_VALUE"""),"одяг та взуття для спортсменів")</f>
        <v>одяг та взуття для спортсменів</v>
      </c>
      <c r="D3440" s="16" t="str">
        <f>IFERROR(__xludf.DUMMYFUNCTION("""COMPUTED_VALUE"""),"велоекіпірування")</f>
        <v>велоекіпірування</v>
      </c>
      <c r="E3440" s="16" t="str">
        <f>IFERROR(__xludf.DUMMYFUNCTION("""COMPUTED_VALUE"""),"велоодяг")</f>
        <v>велоодяг</v>
      </c>
      <c r="F3440" s="17">
        <f>IFERROR(__xludf.DUMMYFUNCTION("""COMPUTED_VALUE"""),4.0)</f>
        <v>4</v>
      </c>
      <c r="G3440" s="17" t="str">
        <f>IFERROR(__xludf.DUMMYFUNCTION("""COMPUTED_VALUE"""),"3011801")</f>
        <v>3011801</v>
      </c>
      <c r="H3440" s="17" t="str">
        <f>IFERROR(__xludf.DUMMYFUNCTION("""COMPUTED_VALUE"""),"велоодяг")</f>
        <v>велоодяг</v>
      </c>
      <c r="I3440" s="19">
        <f>IFERROR(__xludf.DUMMYFUNCTION("""COMPUTED_VALUE"""),0.0787)</f>
        <v>0.0787</v>
      </c>
      <c r="J3440" s="19">
        <f>IFERROR(__xludf.DUMMYFUNCTION("""COMPUTED_VALUE"""),0.1573)</f>
        <v>0.1573</v>
      </c>
      <c r="K3440" s="19">
        <f>IFERROR(__xludf.DUMMYFUNCTION("""COMPUTED_VALUE"""),0.1966)</f>
        <v>0.1966</v>
      </c>
      <c r="L3440" s="19">
        <f>IFERROR(__xludf.DUMMYFUNCTION("""COMPUTED_VALUE"""),0.236)</f>
        <v>0.236</v>
      </c>
      <c r="M3440" s="18">
        <f>IFERROR(__xludf.DUMMYFUNCTION("""COMPUTED_VALUE"""),1.05)</f>
        <v>1.05</v>
      </c>
    </row>
    <row r="3441">
      <c r="A3441" s="13" t="str">
        <f>IFERROR(__xludf.DUMMYFUNCTION("""COMPUTED_VALUE"""),"товари")</f>
        <v>товари</v>
      </c>
      <c r="B3441" s="16" t="str">
        <f>IFERROR(__xludf.DUMMYFUNCTION("""COMPUTED_VALUE"""),"спорт і відпочинок")</f>
        <v>спорт і відпочинок</v>
      </c>
      <c r="C3441" s="16" t="str">
        <f>IFERROR(__xludf.DUMMYFUNCTION("""COMPUTED_VALUE"""),"одяг та взуття для спортсменів")</f>
        <v>одяг та взуття для спортсменів</v>
      </c>
      <c r="D3441" s="16" t="str">
        <f>IFERROR(__xludf.DUMMYFUNCTION("""COMPUTED_VALUE"""),"велоекіпірування")</f>
        <v>велоекіпірування</v>
      </c>
      <c r="E3441" s="16" t="str">
        <f>IFERROR(__xludf.DUMMYFUNCTION("""COMPUTED_VALUE"""),"велорукавички")</f>
        <v>велорукавички</v>
      </c>
      <c r="F3441" s="17">
        <f>IFERROR(__xludf.DUMMYFUNCTION("""COMPUTED_VALUE"""),4.0)</f>
        <v>4</v>
      </c>
      <c r="G3441" s="17" t="str">
        <f>IFERROR(__xludf.DUMMYFUNCTION("""COMPUTED_VALUE"""),"3011802")</f>
        <v>3011802</v>
      </c>
      <c r="H3441" s="17" t="str">
        <f>IFERROR(__xludf.DUMMYFUNCTION("""COMPUTED_VALUE"""),"велорукавички")</f>
        <v>велорукавички</v>
      </c>
      <c r="I3441" s="19">
        <f>IFERROR(__xludf.DUMMYFUNCTION("""COMPUTED_VALUE"""),0.0777)</f>
        <v>0.0777</v>
      </c>
      <c r="J3441" s="19">
        <f>IFERROR(__xludf.DUMMYFUNCTION("""COMPUTED_VALUE"""),0.1554)</f>
        <v>0.1554</v>
      </c>
      <c r="K3441" s="19">
        <f>IFERROR(__xludf.DUMMYFUNCTION("""COMPUTED_VALUE"""),0.1943)</f>
        <v>0.1943</v>
      </c>
      <c r="L3441" s="19">
        <f>IFERROR(__xludf.DUMMYFUNCTION("""COMPUTED_VALUE"""),0.2331)</f>
        <v>0.2331</v>
      </c>
      <c r="M3441" s="18">
        <f>IFERROR(__xludf.DUMMYFUNCTION("""COMPUTED_VALUE"""),1.05)</f>
        <v>1.05</v>
      </c>
    </row>
    <row r="3442">
      <c r="A3442" s="13" t="str">
        <f>IFERROR(__xludf.DUMMYFUNCTION("""COMPUTED_VALUE"""),"товари")</f>
        <v>товари</v>
      </c>
      <c r="B3442" s="16" t="str">
        <f>IFERROR(__xludf.DUMMYFUNCTION("""COMPUTED_VALUE"""),"спорт і відпочинок")</f>
        <v>спорт і відпочинок</v>
      </c>
      <c r="C3442" s="16" t="str">
        <f>IFERROR(__xludf.DUMMYFUNCTION("""COMPUTED_VALUE"""),"велосипеди та аксесуари")</f>
        <v>велосипеди та аксесуари</v>
      </c>
      <c r="D3442" s="16" t="str">
        <f>IFERROR(__xludf.DUMMYFUNCTION("""COMPUTED_VALUE"""),"велоаксесуари")</f>
        <v>велоаксесуари</v>
      </c>
      <c r="E3442" s="16" t="str">
        <f>IFERROR(__xludf.DUMMYFUNCTION("""COMPUTED_VALUE"""),"велорюкзаки та велосумки")</f>
        <v>велорюкзаки та велосумки</v>
      </c>
      <c r="F3442" s="17">
        <f>IFERROR(__xludf.DUMMYFUNCTION("""COMPUTED_VALUE"""),4.0)</f>
        <v>4</v>
      </c>
      <c r="G3442" s="17" t="str">
        <f>IFERROR(__xludf.DUMMYFUNCTION("""COMPUTED_VALUE"""),"3011807")</f>
        <v>3011807</v>
      </c>
      <c r="H3442" s="17" t="str">
        <f>IFERROR(__xludf.DUMMYFUNCTION("""COMPUTED_VALUE"""),"велорюкзаки та велосумки")</f>
        <v>велорюкзаки та велосумки</v>
      </c>
      <c r="I3442" s="19">
        <f>IFERROR(__xludf.DUMMYFUNCTION("""COMPUTED_VALUE"""),0.0769)</f>
        <v>0.0769</v>
      </c>
      <c r="J3442" s="19">
        <f>IFERROR(__xludf.DUMMYFUNCTION("""COMPUTED_VALUE"""),0.1538)</f>
        <v>0.1538</v>
      </c>
      <c r="K3442" s="19">
        <f>IFERROR(__xludf.DUMMYFUNCTION("""COMPUTED_VALUE"""),0.1923)</f>
        <v>0.1923</v>
      </c>
      <c r="L3442" s="19">
        <f>IFERROR(__xludf.DUMMYFUNCTION("""COMPUTED_VALUE"""),0.2307)</f>
        <v>0.2307</v>
      </c>
      <c r="M3442" s="18">
        <f>IFERROR(__xludf.DUMMYFUNCTION("""COMPUTED_VALUE"""),1.63)</f>
        <v>1.63</v>
      </c>
    </row>
    <row r="3443">
      <c r="A3443" s="13" t="str">
        <f>IFERROR(__xludf.DUMMYFUNCTION("""COMPUTED_VALUE"""),"товари")</f>
        <v>товари</v>
      </c>
      <c r="B3443" s="16" t="str">
        <f>IFERROR(__xludf.DUMMYFUNCTION("""COMPUTED_VALUE"""),"спорт і відпочинок")</f>
        <v>спорт і відпочинок</v>
      </c>
      <c r="C3443" s="16" t="str">
        <f>IFERROR(__xludf.DUMMYFUNCTION("""COMPUTED_VALUE"""),"велосипеди та аксесуари")</f>
        <v>велосипеди та аксесуари</v>
      </c>
      <c r="D3443" s="16" t="str">
        <f>IFERROR(__xludf.DUMMYFUNCTION("""COMPUTED_VALUE"""),"велоаксесуари")</f>
        <v>велоаксесуари</v>
      </c>
      <c r="E3443" s="16" t="str">
        <f>IFERROR(__xludf.DUMMYFUNCTION("""COMPUTED_VALUE"""),"велосигналізації")</f>
        <v>велосигналізації</v>
      </c>
      <c r="F3443" s="17">
        <f>IFERROR(__xludf.DUMMYFUNCTION("""COMPUTED_VALUE"""),4.0)</f>
        <v>4</v>
      </c>
      <c r="G3443" s="17" t="str">
        <f>IFERROR(__xludf.DUMMYFUNCTION("""COMPUTED_VALUE"""),"342418")</f>
        <v>342418</v>
      </c>
      <c r="H3443" s="17" t="str">
        <f>IFERROR(__xludf.DUMMYFUNCTION("""COMPUTED_VALUE"""),"велосигналізації")</f>
        <v>велосигналізації</v>
      </c>
      <c r="I3443" s="19">
        <f>IFERROR(__xludf.DUMMYFUNCTION("""COMPUTED_VALUE"""),0.0773)</f>
        <v>0.0773</v>
      </c>
      <c r="J3443" s="19">
        <f>IFERROR(__xludf.DUMMYFUNCTION("""COMPUTED_VALUE"""),0.1545)</f>
        <v>0.1545</v>
      </c>
      <c r="K3443" s="19">
        <f>IFERROR(__xludf.DUMMYFUNCTION("""COMPUTED_VALUE"""),0.1931)</f>
        <v>0.1931</v>
      </c>
      <c r="L3443" s="19">
        <f>IFERROR(__xludf.DUMMYFUNCTION("""COMPUTED_VALUE"""),0.2318)</f>
        <v>0.2318</v>
      </c>
      <c r="M3443" s="18">
        <f>IFERROR(__xludf.DUMMYFUNCTION("""COMPUTED_VALUE"""),1.63)</f>
        <v>1.63</v>
      </c>
    </row>
    <row r="3444">
      <c r="A3444" s="13" t="str">
        <f>IFERROR(__xludf.DUMMYFUNCTION("""COMPUTED_VALUE"""),"товари")</f>
        <v>товари</v>
      </c>
      <c r="B3444" s="16" t="str">
        <f>IFERROR(__xludf.DUMMYFUNCTION("""COMPUTED_VALUE"""),"спорт і відпочинок")</f>
        <v>спорт і відпочинок</v>
      </c>
      <c r="C3444" s="16" t="str">
        <f>IFERROR(__xludf.DUMMYFUNCTION("""COMPUTED_VALUE"""),"велосипеди та аксесуари")</f>
        <v>велосипеди та аксесуари</v>
      </c>
      <c r="D3444" s="16" t="str">
        <f>IFERROR(__xludf.DUMMYFUNCTION("""COMPUTED_VALUE"""),"велосипеди")</f>
        <v>велосипеди</v>
      </c>
      <c r="E3444" s="16" t="str">
        <f>IFERROR(__xludf.DUMMYFUNCTION("""COMPUTED_VALUE"""),"велосипеди")</f>
        <v>велосипеди</v>
      </c>
      <c r="F3444" s="17">
        <f>IFERROR(__xludf.DUMMYFUNCTION("""COMPUTED_VALUE"""),3.0)</f>
        <v>3</v>
      </c>
      <c r="G3444" s="17" t="str">
        <f>IFERROR(__xludf.DUMMYFUNCTION("""COMPUTED_VALUE"""),"1204")</f>
        <v>1204</v>
      </c>
      <c r="H3444" s="17" t="str">
        <f>IFERROR(__xludf.DUMMYFUNCTION("""COMPUTED_VALUE"""),"велосипеди")</f>
        <v>велосипеди</v>
      </c>
      <c r="I3444" s="19">
        <f>IFERROR(__xludf.DUMMYFUNCTION("""COMPUTED_VALUE"""),0.0655)</f>
        <v>0.0655</v>
      </c>
      <c r="J3444" s="19">
        <f>IFERROR(__xludf.DUMMYFUNCTION("""COMPUTED_VALUE"""),0.131)</f>
        <v>0.131</v>
      </c>
      <c r="K3444" s="19">
        <f>IFERROR(__xludf.DUMMYFUNCTION("""COMPUTED_VALUE"""),0.1638)</f>
        <v>0.1638</v>
      </c>
      <c r="L3444" s="19">
        <f>IFERROR(__xludf.DUMMYFUNCTION("""COMPUTED_VALUE"""),0.1965)</f>
        <v>0.1965</v>
      </c>
      <c r="M3444" s="18">
        <f>IFERROR(__xludf.DUMMYFUNCTION("""COMPUTED_VALUE"""),2.53)</f>
        <v>2.53</v>
      </c>
    </row>
    <row r="3445">
      <c r="A3445" s="13" t="str">
        <f>IFERROR(__xludf.DUMMYFUNCTION("""COMPUTED_VALUE"""),"товари")</f>
        <v>товари</v>
      </c>
      <c r="B3445" s="16" t="str">
        <f>IFERROR(__xludf.DUMMYFUNCTION("""COMPUTED_VALUE"""),"спорт і відпочинок")</f>
        <v>спорт і відпочинок</v>
      </c>
      <c r="C3445" s="16" t="str">
        <f>IFERROR(__xludf.DUMMYFUNCTION("""COMPUTED_VALUE"""),"велосипеди та аксесуари")</f>
        <v>велосипеди та аксесуари</v>
      </c>
      <c r="D3445" s="16" t="str">
        <f>IFERROR(__xludf.DUMMYFUNCTION("""COMPUTED_VALUE"""),"велосипеди та аксесуари, загальне")</f>
        <v>велосипеди та аксесуари, загальне</v>
      </c>
      <c r="E3445" s="16" t="str">
        <f>IFERROR(__xludf.DUMMYFUNCTION("""COMPUTED_VALUE"""),"велосипеди та аксесуари, загальне")</f>
        <v>велосипеди та аксесуари, загальне</v>
      </c>
      <c r="F3445" s="17">
        <f>IFERROR(__xludf.DUMMYFUNCTION("""COMPUTED_VALUE"""),3.0)</f>
        <v>3</v>
      </c>
      <c r="G3445" s="17" t="str">
        <f>IFERROR(__xludf.DUMMYFUNCTION("""COMPUTED_VALUE"""),"182101")</f>
        <v>182101</v>
      </c>
      <c r="H3445" s="17" t="str">
        <f>IFERROR(__xludf.DUMMYFUNCTION("""COMPUTED_VALUE"""),"велосипеди та аксесуари, загальне")</f>
        <v>велосипеди та аксесуари, загальне</v>
      </c>
      <c r="I3445" s="19">
        <f>IFERROR(__xludf.DUMMYFUNCTION("""COMPUTED_VALUE"""),0.125)</f>
        <v>0.125</v>
      </c>
      <c r="J3445" s="19">
        <f>IFERROR(__xludf.DUMMYFUNCTION("""COMPUTED_VALUE"""),0.25)</f>
        <v>0.25</v>
      </c>
      <c r="K3445" s="19">
        <f>IFERROR(__xludf.DUMMYFUNCTION("""COMPUTED_VALUE"""),0.3125)</f>
        <v>0.3125</v>
      </c>
      <c r="L3445" s="19">
        <f>IFERROR(__xludf.DUMMYFUNCTION("""COMPUTED_VALUE"""),0.375)</f>
        <v>0.375</v>
      </c>
      <c r="M3445" s="18">
        <f>IFERROR(__xludf.DUMMYFUNCTION("""COMPUTED_VALUE"""),4.33)</f>
        <v>4.33</v>
      </c>
    </row>
    <row r="3446">
      <c r="A3446" s="13" t="str">
        <f>IFERROR(__xludf.DUMMYFUNCTION("""COMPUTED_VALUE"""),"товари")</f>
        <v>товари</v>
      </c>
      <c r="B3446" s="16" t="str">
        <f>IFERROR(__xludf.DUMMYFUNCTION("""COMPUTED_VALUE"""),"спорт і відпочинок")</f>
        <v>спорт і відпочинок</v>
      </c>
      <c r="C3446" s="16" t="str">
        <f>IFERROR(__xludf.DUMMYFUNCTION("""COMPUTED_VALUE"""),"велосипеди та аксесуари")</f>
        <v>велосипеди та аксесуари</v>
      </c>
      <c r="D3446" s="16" t="str">
        <f>IFERROR(__xludf.DUMMYFUNCTION("""COMPUTED_VALUE"""),"велоаксесуари")</f>
        <v>велоаксесуари</v>
      </c>
      <c r="E3446" s="16" t="str">
        <f>IFERROR(__xludf.DUMMYFUNCTION("""COMPUTED_VALUE"""),"велосипедні багажники, кошики")</f>
        <v>велосипедні багажники, кошики</v>
      </c>
      <c r="F3446" s="17">
        <f>IFERROR(__xludf.DUMMYFUNCTION("""COMPUTED_VALUE"""),4.0)</f>
        <v>4</v>
      </c>
      <c r="G3446" s="17" t="str">
        <f>IFERROR(__xludf.DUMMYFUNCTION("""COMPUTED_VALUE"""),"342407")</f>
        <v>342407</v>
      </c>
      <c r="H3446" s="17" t="str">
        <f>IFERROR(__xludf.DUMMYFUNCTION("""COMPUTED_VALUE"""),"велосипедні багажники, кошики")</f>
        <v>велосипедні багажники, кошики</v>
      </c>
      <c r="I3446" s="19">
        <f>IFERROR(__xludf.DUMMYFUNCTION("""COMPUTED_VALUE"""),0.0714)</f>
        <v>0.0714</v>
      </c>
      <c r="J3446" s="19">
        <f>IFERROR(__xludf.DUMMYFUNCTION("""COMPUTED_VALUE"""),0.1428)</f>
        <v>0.1428</v>
      </c>
      <c r="K3446" s="19">
        <f>IFERROR(__xludf.DUMMYFUNCTION("""COMPUTED_VALUE"""),0.1785)</f>
        <v>0.1785</v>
      </c>
      <c r="L3446" s="19">
        <f>IFERROR(__xludf.DUMMYFUNCTION("""COMPUTED_VALUE"""),0.2142)</f>
        <v>0.2142</v>
      </c>
      <c r="M3446" s="18">
        <f>IFERROR(__xludf.DUMMYFUNCTION("""COMPUTED_VALUE"""),1.63)</f>
        <v>1.63</v>
      </c>
    </row>
    <row r="3447">
      <c r="A3447" s="13" t="str">
        <f>IFERROR(__xludf.DUMMYFUNCTION("""COMPUTED_VALUE"""),"товари")</f>
        <v>товари</v>
      </c>
      <c r="B3447" s="16" t="str">
        <f>IFERROR(__xludf.DUMMYFUNCTION("""COMPUTED_VALUE"""),"спорт і відпочинок")</f>
        <v>спорт і відпочинок</v>
      </c>
      <c r="C3447" s="16" t="str">
        <f>IFERROR(__xludf.DUMMYFUNCTION("""COMPUTED_VALUE"""),"велосипеди та аксесуари")</f>
        <v>велосипеди та аксесуари</v>
      </c>
      <c r="D3447" s="16" t="str">
        <f>IFERROR(__xludf.DUMMYFUNCTION("""COMPUTED_VALUE"""),"велозапчастини")</f>
        <v>велозапчастини</v>
      </c>
      <c r="E3447" s="16" t="str">
        <f>IFERROR(__xludf.DUMMYFUNCTION("""COMPUTED_VALUE"""),"велосипедні вилки та запчастини до них")</f>
        <v>велосипедні вилки та запчастини до них</v>
      </c>
      <c r="F3447" s="17">
        <f>IFERROR(__xludf.DUMMYFUNCTION("""COMPUTED_VALUE"""),4.0)</f>
        <v>4</v>
      </c>
      <c r="G3447" s="17" t="str">
        <f>IFERROR(__xludf.DUMMYFUNCTION("""COMPUTED_VALUE"""),"122208")</f>
        <v>122208</v>
      </c>
      <c r="H3447" s="17" t="str">
        <f>IFERROR(__xludf.DUMMYFUNCTION("""COMPUTED_VALUE"""),"велосипедні вилки та запчастини до них")</f>
        <v>велосипедні вилки та запчастини до них</v>
      </c>
      <c r="I3447" s="19">
        <f>IFERROR(__xludf.DUMMYFUNCTION("""COMPUTED_VALUE"""),0.0776)</f>
        <v>0.0776</v>
      </c>
      <c r="J3447" s="19">
        <f>IFERROR(__xludf.DUMMYFUNCTION("""COMPUTED_VALUE"""),0.1551)</f>
        <v>0.1551</v>
      </c>
      <c r="K3447" s="19">
        <f>IFERROR(__xludf.DUMMYFUNCTION("""COMPUTED_VALUE"""),0.1939)</f>
        <v>0.1939</v>
      </c>
      <c r="L3447" s="19">
        <f>IFERROR(__xludf.DUMMYFUNCTION("""COMPUTED_VALUE"""),0.2327)</f>
        <v>0.2327</v>
      </c>
      <c r="M3447" s="18">
        <f>IFERROR(__xludf.DUMMYFUNCTION("""COMPUTED_VALUE"""),1.71)</f>
        <v>1.71</v>
      </c>
    </row>
    <row r="3448">
      <c r="A3448" s="13" t="str">
        <f>IFERROR(__xludf.DUMMYFUNCTION("""COMPUTED_VALUE"""),"товари")</f>
        <v>товари</v>
      </c>
      <c r="B3448" s="16" t="str">
        <f>IFERROR(__xludf.DUMMYFUNCTION("""COMPUTED_VALUE"""),"спорт і відпочинок")</f>
        <v>спорт і відпочинок</v>
      </c>
      <c r="C3448" s="16" t="str">
        <f>IFERROR(__xludf.DUMMYFUNCTION("""COMPUTED_VALUE"""),"велосипеди та аксесуари")</f>
        <v>велосипеди та аксесуари</v>
      </c>
      <c r="D3448" s="16" t="str">
        <f>IFERROR(__xludf.DUMMYFUNCTION("""COMPUTED_VALUE"""),"велозапчастини")</f>
        <v>велозапчастини</v>
      </c>
      <c r="E3448" s="16" t="str">
        <f>IFERROR(__xludf.DUMMYFUNCTION("""COMPUTED_VALUE"""),"велосипедні втулки")</f>
        <v>велосипедні втулки</v>
      </c>
      <c r="F3448" s="17">
        <f>IFERROR(__xludf.DUMMYFUNCTION("""COMPUTED_VALUE"""),4.0)</f>
        <v>4</v>
      </c>
      <c r="G3448" s="17" t="str">
        <f>IFERROR(__xludf.DUMMYFUNCTION("""COMPUTED_VALUE"""),"122212")</f>
        <v>122212</v>
      </c>
      <c r="H3448" s="17" t="str">
        <f>IFERROR(__xludf.DUMMYFUNCTION("""COMPUTED_VALUE"""),"велосипедні втулки")</f>
        <v>велосипедні втулки</v>
      </c>
      <c r="I3448" s="19">
        <f>IFERROR(__xludf.DUMMYFUNCTION("""COMPUTED_VALUE"""),0.0776)</f>
        <v>0.0776</v>
      </c>
      <c r="J3448" s="19">
        <f>IFERROR(__xludf.DUMMYFUNCTION("""COMPUTED_VALUE"""),0.1551)</f>
        <v>0.1551</v>
      </c>
      <c r="K3448" s="19">
        <f>IFERROR(__xludf.DUMMYFUNCTION("""COMPUTED_VALUE"""),0.1939)</f>
        <v>0.1939</v>
      </c>
      <c r="L3448" s="19">
        <f>IFERROR(__xludf.DUMMYFUNCTION("""COMPUTED_VALUE"""),0.2327)</f>
        <v>0.2327</v>
      </c>
      <c r="M3448" s="18">
        <f>IFERROR(__xludf.DUMMYFUNCTION("""COMPUTED_VALUE"""),1.71)</f>
        <v>1.71</v>
      </c>
    </row>
    <row r="3449">
      <c r="A3449" s="13" t="str">
        <f>IFERROR(__xludf.DUMMYFUNCTION("""COMPUTED_VALUE"""),"товари")</f>
        <v>товари</v>
      </c>
      <c r="B3449" s="16" t="str">
        <f>IFERROR(__xludf.DUMMYFUNCTION("""COMPUTED_VALUE"""),"спорт і відпочинок")</f>
        <v>спорт і відпочинок</v>
      </c>
      <c r="C3449" s="16" t="str">
        <f>IFERROR(__xludf.DUMMYFUNCTION("""COMPUTED_VALUE"""),"велосипеди та аксесуари")</f>
        <v>велосипеди та аксесуари</v>
      </c>
      <c r="D3449" s="16" t="str">
        <f>IFERROR(__xludf.DUMMYFUNCTION("""COMPUTED_VALUE"""),"велоаксесуари")</f>
        <v>велоаксесуари</v>
      </c>
      <c r="E3449" s="16" t="str">
        <f>IFERROR(__xludf.DUMMYFUNCTION("""COMPUTED_VALUE"""),"велосипедні дзвінки та клаксони")</f>
        <v>велосипедні дзвінки та клаксони</v>
      </c>
      <c r="F3449" s="17">
        <f>IFERROR(__xludf.DUMMYFUNCTION("""COMPUTED_VALUE"""),4.0)</f>
        <v>4</v>
      </c>
      <c r="G3449" s="17" t="str">
        <f>IFERROR(__xludf.DUMMYFUNCTION("""COMPUTED_VALUE"""),"342420")</f>
        <v>342420</v>
      </c>
      <c r="H3449" s="17" t="str">
        <f>IFERROR(__xludf.DUMMYFUNCTION("""COMPUTED_VALUE"""),"велосипедні дзвінки та клаксони")</f>
        <v>велосипедні дзвінки та клаксони</v>
      </c>
      <c r="I3449" s="19">
        <f>IFERROR(__xludf.DUMMYFUNCTION("""COMPUTED_VALUE"""),0.0773)</f>
        <v>0.0773</v>
      </c>
      <c r="J3449" s="19">
        <f>IFERROR(__xludf.DUMMYFUNCTION("""COMPUTED_VALUE"""),0.1545)</f>
        <v>0.1545</v>
      </c>
      <c r="K3449" s="19">
        <f>IFERROR(__xludf.DUMMYFUNCTION("""COMPUTED_VALUE"""),0.1931)</f>
        <v>0.1931</v>
      </c>
      <c r="L3449" s="19">
        <f>IFERROR(__xludf.DUMMYFUNCTION("""COMPUTED_VALUE"""),0.2318)</f>
        <v>0.2318</v>
      </c>
      <c r="M3449" s="18">
        <f>IFERROR(__xludf.DUMMYFUNCTION("""COMPUTED_VALUE"""),1.63)</f>
        <v>1.63</v>
      </c>
    </row>
    <row r="3450">
      <c r="A3450" s="13" t="str">
        <f>IFERROR(__xludf.DUMMYFUNCTION("""COMPUTED_VALUE"""),"товари")</f>
        <v>товари</v>
      </c>
      <c r="B3450" s="16" t="str">
        <f>IFERROR(__xludf.DUMMYFUNCTION("""COMPUTED_VALUE"""),"спорт і відпочинок")</f>
        <v>спорт і відпочинок</v>
      </c>
      <c r="C3450" s="16" t="str">
        <f>IFERROR(__xludf.DUMMYFUNCTION("""COMPUTED_VALUE"""),"велосипеди та аксесуари")</f>
        <v>велосипеди та аксесуари</v>
      </c>
      <c r="D3450" s="16" t="str">
        <f>IFERROR(__xludf.DUMMYFUNCTION("""COMPUTED_VALUE"""),"велоаксесуари")</f>
        <v>велоаксесуари</v>
      </c>
      <c r="E3450" s="16" t="str">
        <f>IFERROR(__xludf.DUMMYFUNCTION("""COMPUTED_VALUE"""),"велосипедні дзеркала")</f>
        <v>велосипедні дзеркала</v>
      </c>
      <c r="F3450" s="17">
        <f>IFERROR(__xludf.DUMMYFUNCTION("""COMPUTED_VALUE"""),4.0)</f>
        <v>4</v>
      </c>
      <c r="G3450" s="17" t="str">
        <f>IFERROR(__xludf.DUMMYFUNCTION("""COMPUTED_VALUE"""),"342421")</f>
        <v>342421</v>
      </c>
      <c r="H3450" s="17" t="str">
        <f>IFERROR(__xludf.DUMMYFUNCTION("""COMPUTED_VALUE"""),"велосипедні дзеркала")</f>
        <v>велосипедні дзеркала</v>
      </c>
      <c r="I3450" s="19">
        <f>IFERROR(__xludf.DUMMYFUNCTION("""COMPUTED_VALUE"""),0.0773)</f>
        <v>0.0773</v>
      </c>
      <c r="J3450" s="19">
        <f>IFERROR(__xludf.DUMMYFUNCTION("""COMPUTED_VALUE"""),0.1545)</f>
        <v>0.1545</v>
      </c>
      <c r="K3450" s="19">
        <f>IFERROR(__xludf.DUMMYFUNCTION("""COMPUTED_VALUE"""),0.1931)</f>
        <v>0.1931</v>
      </c>
      <c r="L3450" s="19">
        <f>IFERROR(__xludf.DUMMYFUNCTION("""COMPUTED_VALUE"""),0.2318)</f>
        <v>0.2318</v>
      </c>
      <c r="M3450" s="18">
        <f>IFERROR(__xludf.DUMMYFUNCTION("""COMPUTED_VALUE"""),1.63)</f>
        <v>1.63</v>
      </c>
    </row>
    <row r="3451">
      <c r="A3451" s="13" t="str">
        <f>IFERROR(__xludf.DUMMYFUNCTION("""COMPUTED_VALUE"""),"товари")</f>
        <v>товари</v>
      </c>
      <c r="B3451" s="16" t="str">
        <f>IFERROR(__xludf.DUMMYFUNCTION("""COMPUTED_VALUE"""),"спорт і відпочинок")</f>
        <v>спорт і відпочинок</v>
      </c>
      <c r="C3451" s="16" t="str">
        <f>IFERROR(__xludf.DUMMYFUNCTION("""COMPUTED_VALUE"""),"велосипеди та аксесуари")</f>
        <v>велосипеди та аксесуари</v>
      </c>
      <c r="D3451" s="16" t="str">
        <f>IFERROR(__xludf.DUMMYFUNCTION("""COMPUTED_VALUE"""),"велозапчастини")</f>
        <v>велозапчастини</v>
      </c>
      <c r="E3451" s="16" t="str">
        <f>IFERROR(__xludf.DUMMYFUNCTION("""COMPUTED_VALUE"""),"велосипедні камери та обідні стрічки")</f>
        <v>велосипедні камери та обідні стрічки</v>
      </c>
      <c r="F3451" s="17">
        <f>IFERROR(__xludf.DUMMYFUNCTION("""COMPUTED_VALUE"""),4.0)</f>
        <v>4</v>
      </c>
      <c r="G3451" s="17" t="str">
        <f>IFERROR(__xludf.DUMMYFUNCTION("""COMPUTED_VALUE"""),"122203")</f>
        <v>122203</v>
      </c>
      <c r="H3451" s="17" t="str">
        <f>IFERROR(__xludf.DUMMYFUNCTION("""COMPUTED_VALUE"""),"велосипедні камери та обідні стрічки")</f>
        <v>велосипедні камери та обідні стрічки</v>
      </c>
      <c r="I3451" s="19">
        <f>IFERROR(__xludf.DUMMYFUNCTION("""COMPUTED_VALUE"""),0.0769)</f>
        <v>0.0769</v>
      </c>
      <c r="J3451" s="19">
        <f>IFERROR(__xludf.DUMMYFUNCTION("""COMPUTED_VALUE"""),0.1538)</f>
        <v>0.1538</v>
      </c>
      <c r="K3451" s="19">
        <f>IFERROR(__xludf.DUMMYFUNCTION("""COMPUTED_VALUE"""),0.1923)</f>
        <v>0.1923</v>
      </c>
      <c r="L3451" s="19">
        <f>IFERROR(__xludf.DUMMYFUNCTION("""COMPUTED_VALUE"""),0.2307)</f>
        <v>0.2307</v>
      </c>
      <c r="M3451" s="18">
        <f>IFERROR(__xludf.DUMMYFUNCTION("""COMPUTED_VALUE"""),1.71)</f>
        <v>1.71</v>
      </c>
    </row>
    <row r="3452">
      <c r="A3452" s="13" t="str">
        <f>IFERROR(__xludf.DUMMYFUNCTION("""COMPUTED_VALUE"""),"товари")</f>
        <v>товари</v>
      </c>
      <c r="B3452" s="16" t="str">
        <f>IFERROR(__xludf.DUMMYFUNCTION("""COMPUTED_VALUE"""),"спорт і відпочинок")</f>
        <v>спорт і відпочинок</v>
      </c>
      <c r="C3452" s="16" t="str">
        <f>IFERROR(__xludf.DUMMYFUNCTION("""COMPUTED_VALUE"""),"велосипеди та аксесуари")</f>
        <v>велосипеди та аксесуари</v>
      </c>
      <c r="D3452" s="16" t="str">
        <f>IFERROR(__xludf.DUMMYFUNCTION("""COMPUTED_VALUE"""),"велозапчастини")</f>
        <v>велозапчастини</v>
      </c>
      <c r="E3452" s="16" t="str">
        <f>IFERROR(__xludf.DUMMYFUNCTION("""COMPUTED_VALUE"""),"велосипедні касети")</f>
        <v>велосипедні касети</v>
      </c>
      <c r="F3452" s="17">
        <f>IFERROR(__xludf.DUMMYFUNCTION("""COMPUTED_VALUE"""),4.0)</f>
        <v>4</v>
      </c>
      <c r="G3452" s="17" t="str">
        <f>IFERROR(__xludf.DUMMYFUNCTION("""COMPUTED_VALUE"""),"122213")</f>
        <v>122213</v>
      </c>
      <c r="H3452" s="17" t="str">
        <f>IFERROR(__xludf.DUMMYFUNCTION("""COMPUTED_VALUE"""),"велосипедні касети")</f>
        <v>велосипедні касети</v>
      </c>
      <c r="I3452" s="19">
        <f>IFERROR(__xludf.DUMMYFUNCTION("""COMPUTED_VALUE"""),0.0776)</f>
        <v>0.0776</v>
      </c>
      <c r="J3452" s="19">
        <f>IFERROR(__xludf.DUMMYFUNCTION("""COMPUTED_VALUE"""),0.1551)</f>
        <v>0.1551</v>
      </c>
      <c r="K3452" s="19">
        <f>IFERROR(__xludf.DUMMYFUNCTION("""COMPUTED_VALUE"""),0.1939)</f>
        <v>0.1939</v>
      </c>
      <c r="L3452" s="19">
        <f>IFERROR(__xludf.DUMMYFUNCTION("""COMPUTED_VALUE"""),0.2327)</f>
        <v>0.2327</v>
      </c>
      <c r="M3452" s="18">
        <f>IFERROR(__xludf.DUMMYFUNCTION("""COMPUTED_VALUE"""),1.71)</f>
        <v>1.71</v>
      </c>
    </row>
    <row r="3453">
      <c r="A3453" s="13" t="str">
        <f>IFERROR(__xludf.DUMMYFUNCTION("""COMPUTED_VALUE"""),"товари")</f>
        <v>товари</v>
      </c>
      <c r="B3453" s="16" t="str">
        <f>IFERROR(__xludf.DUMMYFUNCTION("""COMPUTED_VALUE"""),"спорт і відпочинок")</f>
        <v>спорт і відпочинок</v>
      </c>
      <c r="C3453" s="16" t="str">
        <f>IFERROR(__xludf.DUMMYFUNCTION("""COMPUTED_VALUE"""),"велосипеди та аксесуари")</f>
        <v>велосипеди та аксесуари</v>
      </c>
      <c r="D3453" s="16" t="str">
        <f>IFERROR(__xludf.DUMMYFUNCTION("""COMPUTED_VALUE"""),"велозапчастини")</f>
        <v>велозапчастини</v>
      </c>
      <c r="E3453" s="16" t="str">
        <f>IFERROR(__xludf.DUMMYFUNCTION("""COMPUTED_VALUE"""),"велосипедні керма та кермові колонки")</f>
        <v>велосипедні керма та кермові колонки</v>
      </c>
      <c r="F3453" s="17">
        <f>IFERROR(__xludf.DUMMYFUNCTION("""COMPUTED_VALUE"""),4.0)</f>
        <v>4</v>
      </c>
      <c r="G3453" s="17" t="str">
        <f>IFERROR(__xludf.DUMMYFUNCTION("""COMPUTED_VALUE"""),"122210")</f>
        <v>122210</v>
      </c>
      <c r="H3453" s="17" t="str">
        <f>IFERROR(__xludf.DUMMYFUNCTION("""COMPUTED_VALUE"""),"велосипедні керма та кермові колонки")</f>
        <v>велосипедні керма та кермові колонки</v>
      </c>
      <c r="I3453" s="19">
        <f>IFERROR(__xludf.DUMMYFUNCTION("""COMPUTED_VALUE"""),0.0776)</f>
        <v>0.0776</v>
      </c>
      <c r="J3453" s="19">
        <f>IFERROR(__xludf.DUMMYFUNCTION("""COMPUTED_VALUE"""),0.1551)</f>
        <v>0.1551</v>
      </c>
      <c r="K3453" s="19">
        <f>IFERROR(__xludf.DUMMYFUNCTION("""COMPUTED_VALUE"""),0.1939)</f>
        <v>0.1939</v>
      </c>
      <c r="L3453" s="19">
        <f>IFERROR(__xludf.DUMMYFUNCTION("""COMPUTED_VALUE"""),0.2327)</f>
        <v>0.2327</v>
      </c>
      <c r="M3453" s="18">
        <f>IFERROR(__xludf.DUMMYFUNCTION("""COMPUTED_VALUE"""),1.71)</f>
        <v>1.71</v>
      </c>
    </row>
    <row r="3454">
      <c r="A3454" s="13" t="str">
        <f>IFERROR(__xludf.DUMMYFUNCTION("""COMPUTED_VALUE"""),"товари")</f>
        <v>товари</v>
      </c>
      <c r="B3454" s="16" t="str">
        <f>IFERROR(__xludf.DUMMYFUNCTION("""COMPUTED_VALUE"""),"спорт і відпочинок")</f>
        <v>спорт і відпочинок</v>
      </c>
      <c r="C3454" s="16" t="str">
        <f>IFERROR(__xludf.DUMMYFUNCTION("""COMPUTED_VALUE"""),"велосипеди та аксесуари")</f>
        <v>велосипеди та аксесуари</v>
      </c>
      <c r="D3454" s="16" t="str">
        <f>IFERROR(__xludf.DUMMYFUNCTION("""COMPUTED_VALUE"""),"велозапчастини")</f>
        <v>велозапчастини</v>
      </c>
      <c r="E3454" s="16" t="str">
        <f>IFERROR(__xludf.DUMMYFUNCTION("""COMPUTED_VALUE"""),"велосипедні колеса та ободи")</f>
        <v>велосипедні колеса та ободи</v>
      </c>
      <c r="F3454" s="17">
        <f>IFERROR(__xludf.DUMMYFUNCTION("""COMPUTED_VALUE"""),4.0)</f>
        <v>4</v>
      </c>
      <c r="G3454" s="17" t="str">
        <f>IFERROR(__xludf.DUMMYFUNCTION("""COMPUTED_VALUE"""),"122204")</f>
        <v>122204</v>
      </c>
      <c r="H3454" s="17" t="str">
        <f>IFERROR(__xludf.DUMMYFUNCTION("""COMPUTED_VALUE"""),"велосипедні колеса та ободи")</f>
        <v>велосипедні колеса та ободи</v>
      </c>
      <c r="I3454" s="19">
        <f>IFERROR(__xludf.DUMMYFUNCTION("""COMPUTED_VALUE"""),0.0776)</f>
        <v>0.0776</v>
      </c>
      <c r="J3454" s="19">
        <f>IFERROR(__xludf.DUMMYFUNCTION("""COMPUTED_VALUE"""),0.1551)</f>
        <v>0.1551</v>
      </c>
      <c r="K3454" s="19">
        <f>IFERROR(__xludf.DUMMYFUNCTION("""COMPUTED_VALUE"""),0.1939)</f>
        <v>0.1939</v>
      </c>
      <c r="L3454" s="19">
        <f>IFERROR(__xludf.DUMMYFUNCTION("""COMPUTED_VALUE"""),0.2327)</f>
        <v>0.2327</v>
      </c>
      <c r="M3454" s="18">
        <f>IFERROR(__xludf.DUMMYFUNCTION("""COMPUTED_VALUE"""),1.71)</f>
        <v>1.71</v>
      </c>
    </row>
    <row r="3455">
      <c r="A3455" s="13" t="str">
        <f>IFERROR(__xludf.DUMMYFUNCTION("""COMPUTED_VALUE"""),"товари")</f>
        <v>товари</v>
      </c>
      <c r="B3455" s="16" t="str">
        <f>IFERROR(__xludf.DUMMYFUNCTION("""COMPUTED_VALUE"""),"спорт і відпочинок")</f>
        <v>спорт і відпочинок</v>
      </c>
      <c r="C3455" s="16" t="str">
        <f>IFERROR(__xludf.DUMMYFUNCTION("""COMPUTED_VALUE"""),"велосипеди та аксесуари")</f>
        <v>велосипеди та аксесуари</v>
      </c>
      <c r="D3455" s="16" t="str">
        <f>IFERROR(__xludf.DUMMYFUNCTION("""COMPUTED_VALUE"""),"велозапчастини")</f>
        <v>велозапчастини</v>
      </c>
      <c r="E3455" s="16" t="str">
        <f>IFERROR(__xludf.DUMMYFUNCTION("""COMPUTED_VALUE"""),"велосипедні крила")</f>
        <v>велосипедні крила</v>
      </c>
      <c r="F3455" s="17">
        <f>IFERROR(__xludf.DUMMYFUNCTION("""COMPUTED_VALUE"""),4.0)</f>
        <v>4</v>
      </c>
      <c r="G3455" s="17" t="str">
        <f>IFERROR(__xludf.DUMMYFUNCTION("""COMPUTED_VALUE"""),"342403")</f>
        <v>342403</v>
      </c>
      <c r="H3455" s="17" t="str">
        <f>IFERROR(__xludf.DUMMYFUNCTION("""COMPUTED_VALUE"""),"велосипедні крила")</f>
        <v>велосипедні крила</v>
      </c>
      <c r="I3455" s="19">
        <f>IFERROR(__xludf.DUMMYFUNCTION("""COMPUTED_VALUE"""),0.0776)</f>
        <v>0.0776</v>
      </c>
      <c r="J3455" s="19">
        <f>IFERROR(__xludf.DUMMYFUNCTION("""COMPUTED_VALUE"""),0.1551)</f>
        <v>0.1551</v>
      </c>
      <c r="K3455" s="19">
        <f>IFERROR(__xludf.DUMMYFUNCTION("""COMPUTED_VALUE"""),0.1939)</f>
        <v>0.1939</v>
      </c>
      <c r="L3455" s="19">
        <f>IFERROR(__xludf.DUMMYFUNCTION("""COMPUTED_VALUE"""),0.2327)</f>
        <v>0.2327</v>
      </c>
      <c r="M3455" s="18">
        <f>IFERROR(__xludf.DUMMYFUNCTION("""COMPUTED_VALUE"""),1.71)</f>
        <v>1.71</v>
      </c>
    </row>
    <row r="3456">
      <c r="A3456" s="13" t="str">
        <f>IFERROR(__xludf.DUMMYFUNCTION("""COMPUTED_VALUE"""),"товари")</f>
        <v>товари</v>
      </c>
      <c r="B3456" s="16" t="str">
        <f>IFERROR(__xludf.DUMMYFUNCTION("""COMPUTED_VALUE"""),"спорт і відпочинок")</f>
        <v>спорт і відпочинок</v>
      </c>
      <c r="C3456" s="16" t="str">
        <f>IFERROR(__xludf.DUMMYFUNCTION("""COMPUTED_VALUE"""),"велосипеди та аксесуари")</f>
        <v>велосипеди та аксесуари</v>
      </c>
      <c r="D3456" s="16" t="str">
        <f>IFERROR(__xludf.DUMMYFUNCTION("""COMPUTED_VALUE"""),"велозапчастини")</f>
        <v>велозапчастини</v>
      </c>
      <c r="E3456" s="16" t="str">
        <f>IFERROR(__xludf.DUMMYFUNCTION("""COMPUTED_VALUE"""),"велосипедні ланцюги")</f>
        <v>велосипедні ланцюги</v>
      </c>
      <c r="F3456" s="17">
        <f>IFERROR(__xludf.DUMMYFUNCTION("""COMPUTED_VALUE"""),4.0)</f>
        <v>4</v>
      </c>
      <c r="G3456" s="17" t="str">
        <f>IFERROR(__xludf.DUMMYFUNCTION("""COMPUTED_VALUE"""),"122201")</f>
        <v>122201</v>
      </c>
      <c r="H3456" s="17" t="str">
        <f>IFERROR(__xludf.DUMMYFUNCTION("""COMPUTED_VALUE"""),"велосипедні ланцюги")</f>
        <v>велосипедні ланцюги</v>
      </c>
      <c r="I3456" s="19">
        <f>IFERROR(__xludf.DUMMYFUNCTION("""COMPUTED_VALUE"""),0.0776)</f>
        <v>0.0776</v>
      </c>
      <c r="J3456" s="19">
        <f>IFERROR(__xludf.DUMMYFUNCTION("""COMPUTED_VALUE"""),0.1551)</f>
        <v>0.1551</v>
      </c>
      <c r="K3456" s="19">
        <f>IFERROR(__xludf.DUMMYFUNCTION("""COMPUTED_VALUE"""),0.1939)</f>
        <v>0.1939</v>
      </c>
      <c r="L3456" s="19">
        <f>IFERROR(__xludf.DUMMYFUNCTION("""COMPUTED_VALUE"""),0.2327)</f>
        <v>0.2327</v>
      </c>
      <c r="M3456" s="18">
        <f>IFERROR(__xludf.DUMMYFUNCTION("""COMPUTED_VALUE"""),1.71)</f>
        <v>1.71</v>
      </c>
    </row>
    <row r="3457">
      <c r="A3457" s="13" t="str">
        <f>IFERROR(__xludf.DUMMYFUNCTION("""COMPUTED_VALUE"""),"товари")</f>
        <v>товари</v>
      </c>
      <c r="B3457" s="16" t="str">
        <f>IFERROR(__xludf.DUMMYFUNCTION("""COMPUTED_VALUE"""),"спорт і відпочинок")</f>
        <v>спорт і відпочинок</v>
      </c>
      <c r="C3457" s="16" t="str">
        <f>IFERROR(__xludf.DUMMYFUNCTION("""COMPUTED_VALUE"""),"велосипеди та аксесуари")</f>
        <v>велосипеди та аксесуари</v>
      </c>
      <c r="D3457" s="16" t="str">
        <f>IFERROR(__xludf.DUMMYFUNCTION("""COMPUTED_VALUE"""),"велоаксесуари")</f>
        <v>велоаксесуари</v>
      </c>
      <c r="E3457" s="16" t="str">
        <f>IFERROR(__xludf.DUMMYFUNCTION("""COMPUTED_VALUE"""),"велосипедні ліхтарі та відбивачі")</f>
        <v>велосипедні ліхтарі та відбивачі</v>
      </c>
      <c r="F3457" s="17">
        <f>IFERROR(__xludf.DUMMYFUNCTION("""COMPUTED_VALUE"""),4.0)</f>
        <v>4</v>
      </c>
      <c r="G3457" s="17" t="str">
        <f>IFERROR(__xludf.DUMMYFUNCTION("""COMPUTED_VALUE"""),"342402")</f>
        <v>342402</v>
      </c>
      <c r="H3457" s="17" t="str">
        <f>IFERROR(__xludf.DUMMYFUNCTION("""COMPUTED_VALUE"""),"велосипедні ліхтарі та відбивачі")</f>
        <v>велосипедні ліхтарі та відбивачі</v>
      </c>
      <c r="I3457" s="19">
        <f>IFERROR(__xludf.DUMMYFUNCTION("""COMPUTED_VALUE"""),0.0773)</f>
        <v>0.0773</v>
      </c>
      <c r="J3457" s="19">
        <f>IFERROR(__xludf.DUMMYFUNCTION("""COMPUTED_VALUE"""),0.1545)</f>
        <v>0.1545</v>
      </c>
      <c r="K3457" s="19">
        <f>IFERROR(__xludf.DUMMYFUNCTION("""COMPUTED_VALUE"""),0.1931)</f>
        <v>0.1931</v>
      </c>
      <c r="L3457" s="19">
        <f>IFERROR(__xludf.DUMMYFUNCTION("""COMPUTED_VALUE"""),0.2318)</f>
        <v>0.2318</v>
      </c>
      <c r="M3457" s="18">
        <f>IFERROR(__xludf.DUMMYFUNCTION("""COMPUTED_VALUE"""),1.63)</f>
        <v>1.63</v>
      </c>
    </row>
    <row r="3458">
      <c r="A3458" s="13" t="str">
        <f>IFERROR(__xludf.DUMMYFUNCTION("""COMPUTED_VALUE"""),"товари")</f>
        <v>товари</v>
      </c>
      <c r="B3458" s="16" t="str">
        <f>IFERROR(__xludf.DUMMYFUNCTION("""COMPUTED_VALUE"""),"спорт і відпочинок")</f>
        <v>спорт і відпочинок</v>
      </c>
      <c r="C3458" s="16" t="str">
        <f>IFERROR(__xludf.DUMMYFUNCTION("""COMPUTED_VALUE"""),"велосипеди та аксесуари")</f>
        <v>велосипеди та аксесуари</v>
      </c>
      <c r="D3458" s="16" t="str">
        <f>IFERROR(__xludf.DUMMYFUNCTION("""COMPUTED_VALUE"""),"велозапчастини")</f>
        <v>велозапчастини</v>
      </c>
      <c r="E3458" s="16" t="str">
        <f>IFERROR(__xludf.DUMMYFUNCTION("""COMPUTED_VALUE"""),"велосипедні манетки")</f>
        <v>велосипедні манетки</v>
      </c>
      <c r="F3458" s="17">
        <f>IFERROR(__xludf.DUMMYFUNCTION("""COMPUTED_VALUE"""),4.0)</f>
        <v>4</v>
      </c>
      <c r="G3458" s="17" t="str">
        <f>IFERROR(__xludf.DUMMYFUNCTION("""COMPUTED_VALUE"""),"122209")</f>
        <v>122209</v>
      </c>
      <c r="H3458" s="17" t="str">
        <f>IFERROR(__xludf.DUMMYFUNCTION("""COMPUTED_VALUE"""),"велосипедні манетки")</f>
        <v>велосипедні манетки</v>
      </c>
      <c r="I3458" s="19">
        <f>IFERROR(__xludf.DUMMYFUNCTION("""COMPUTED_VALUE"""),0.0776)</f>
        <v>0.0776</v>
      </c>
      <c r="J3458" s="19">
        <f>IFERROR(__xludf.DUMMYFUNCTION("""COMPUTED_VALUE"""),0.1551)</f>
        <v>0.1551</v>
      </c>
      <c r="K3458" s="19">
        <f>IFERROR(__xludf.DUMMYFUNCTION("""COMPUTED_VALUE"""),0.1939)</f>
        <v>0.1939</v>
      </c>
      <c r="L3458" s="19">
        <f>IFERROR(__xludf.DUMMYFUNCTION("""COMPUTED_VALUE"""),0.2327)</f>
        <v>0.2327</v>
      </c>
      <c r="M3458" s="18">
        <f>IFERROR(__xludf.DUMMYFUNCTION("""COMPUTED_VALUE"""),1.71)</f>
        <v>1.71</v>
      </c>
    </row>
    <row r="3459">
      <c r="A3459" s="13" t="str">
        <f>IFERROR(__xludf.DUMMYFUNCTION("""COMPUTED_VALUE"""),"товари")</f>
        <v>товари</v>
      </c>
      <c r="B3459" s="16" t="str">
        <f>IFERROR(__xludf.DUMMYFUNCTION("""COMPUTED_VALUE"""),"спорт і відпочинок")</f>
        <v>спорт і відпочинок</v>
      </c>
      <c r="C3459" s="16" t="str">
        <f>IFERROR(__xludf.DUMMYFUNCTION("""COMPUTED_VALUE"""),"велосипеди та аксесуари")</f>
        <v>велосипеди та аксесуари</v>
      </c>
      <c r="D3459" s="16" t="str">
        <f>IFERROR(__xludf.DUMMYFUNCTION("""COMPUTED_VALUE"""),"велоаксесуари")</f>
        <v>велоаксесуари</v>
      </c>
      <c r="E3459" s="16" t="str">
        <f>IFERROR(__xludf.DUMMYFUNCTION("""COMPUTED_VALUE"""),"велосипедні насоси")</f>
        <v>велосипедні насоси</v>
      </c>
      <c r="F3459" s="17">
        <f>IFERROR(__xludf.DUMMYFUNCTION("""COMPUTED_VALUE"""),4.0)</f>
        <v>4</v>
      </c>
      <c r="G3459" s="17" t="str">
        <f>IFERROR(__xludf.DUMMYFUNCTION("""COMPUTED_VALUE"""),"342406")</f>
        <v>342406</v>
      </c>
      <c r="H3459" s="17" t="str">
        <f>IFERROR(__xludf.DUMMYFUNCTION("""COMPUTED_VALUE"""),"велосипедні насоси")</f>
        <v>велосипедні насоси</v>
      </c>
      <c r="I3459" s="19">
        <f>IFERROR(__xludf.DUMMYFUNCTION("""COMPUTED_VALUE"""),0.0773)</f>
        <v>0.0773</v>
      </c>
      <c r="J3459" s="19">
        <f>IFERROR(__xludf.DUMMYFUNCTION("""COMPUTED_VALUE"""),0.1545)</f>
        <v>0.1545</v>
      </c>
      <c r="K3459" s="19">
        <f>IFERROR(__xludf.DUMMYFUNCTION("""COMPUTED_VALUE"""),0.1931)</f>
        <v>0.1931</v>
      </c>
      <c r="L3459" s="19">
        <f>IFERROR(__xludf.DUMMYFUNCTION("""COMPUTED_VALUE"""),0.2318)</f>
        <v>0.2318</v>
      </c>
      <c r="M3459" s="18">
        <f>IFERROR(__xludf.DUMMYFUNCTION("""COMPUTED_VALUE"""),1.63)</f>
        <v>1.63</v>
      </c>
    </row>
    <row r="3460">
      <c r="A3460" s="13" t="str">
        <f>IFERROR(__xludf.DUMMYFUNCTION("""COMPUTED_VALUE"""),"товари")</f>
        <v>товари</v>
      </c>
      <c r="B3460" s="16" t="str">
        <f>IFERROR(__xludf.DUMMYFUNCTION("""COMPUTED_VALUE"""),"спорт і відпочинок")</f>
        <v>спорт і відпочинок</v>
      </c>
      <c r="C3460" s="16" t="str">
        <f>IFERROR(__xludf.DUMMYFUNCTION("""COMPUTED_VALUE"""),"велосипеди та аксесуари")</f>
        <v>велосипеди та аксесуари</v>
      </c>
      <c r="D3460" s="16" t="str">
        <f>IFERROR(__xludf.DUMMYFUNCTION("""COMPUTED_VALUE"""),"велозапчастини")</f>
        <v>велозапчастини</v>
      </c>
      <c r="E3460" s="16" t="str">
        <f>IFERROR(__xludf.DUMMYFUNCTION("""COMPUTED_VALUE"""),"велосипедні перекидки")</f>
        <v>велосипедні перекидки</v>
      </c>
      <c r="F3460" s="17">
        <f>IFERROR(__xludf.DUMMYFUNCTION("""COMPUTED_VALUE"""),4.0)</f>
        <v>4</v>
      </c>
      <c r="G3460" s="17" t="str">
        <f>IFERROR(__xludf.DUMMYFUNCTION("""COMPUTED_VALUE"""),"122219")</f>
        <v>122219</v>
      </c>
      <c r="H3460" s="17" t="str">
        <f>IFERROR(__xludf.DUMMYFUNCTION("""COMPUTED_VALUE"""),"велосипедні перекидки")</f>
        <v>велосипедні перекидки</v>
      </c>
      <c r="I3460" s="19">
        <f>IFERROR(__xludf.DUMMYFUNCTION("""COMPUTED_VALUE"""),0.0776)</f>
        <v>0.0776</v>
      </c>
      <c r="J3460" s="19">
        <f>IFERROR(__xludf.DUMMYFUNCTION("""COMPUTED_VALUE"""),0.1551)</f>
        <v>0.1551</v>
      </c>
      <c r="K3460" s="19">
        <f>IFERROR(__xludf.DUMMYFUNCTION("""COMPUTED_VALUE"""),0.1939)</f>
        <v>0.1939</v>
      </c>
      <c r="L3460" s="19">
        <f>IFERROR(__xludf.DUMMYFUNCTION("""COMPUTED_VALUE"""),0.2327)</f>
        <v>0.2327</v>
      </c>
      <c r="M3460" s="18">
        <f>IFERROR(__xludf.DUMMYFUNCTION("""COMPUTED_VALUE"""),1.71)</f>
        <v>1.71</v>
      </c>
    </row>
    <row r="3461">
      <c r="A3461" s="13" t="str">
        <f>IFERROR(__xludf.DUMMYFUNCTION("""COMPUTED_VALUE"""),"товари")</f>
        <v>товари</v>
      </c>
      <c r="B3461" s="16" t="str">
        <f>IFERROR(__xludf.DUMMYFUNCTION("""COMPUTED_VALUE"""),"спорт і відпочинок")</f>
        <v>спорт і відпочинок</v>
      </c>
      <c r="C3461" s="16" t="str">
        <f>IFERROR(__xludf.DUMMYFUNCTION("""COMPUTED_VALUE"""),"велосипеди та аксесуари")</f>
        <v>велосипеди та аксесуари</v>
      </c>
      <c r="D3461" s="16" t="str">
        <f>IFERROR(__xludf.DUMMYFUNCTION("""COMPUTED_VALUE"""),"велозапчастини")</f>
        <v>велозапчастини</v>
      </c>
      <c r="E3461" s="16" t="str">
        <f>IFERROR(__xludf.DUMMYFUNCTION("""COMPUTED_VALUE"""),"велосипедні підніжки ")</f>
        <v>велосипедні підніжки </v>
      </c>
      <c r="F3461" s="17">
        <f>IFERROR(__xludf.DUMMYFUNCTION("""COMPUTED_VALUE"""),4.0)</f>
        <v>4</v>
      </c>
      <c r="G3461" s="17" t="str">
        <f>IFERROR(__xludf.DUMMYFUNCTION("""COMPUTED_VALUE"""),"122217")</f>
        <v>122217</v>
      </c>
      <c r="H3461" s="17" t="str">
        <f>IFERROR(__xludf.DUMMYFUNCTION("""COMPUTED_VALUE"""),"велосипедні підніжки ")</f>
        <v>велосипедні підніжки </v>
      </c>
      <c r="I3461" s="19">
        <f>IFERROR(__xludf.DUMMYFUNCTION("""COMPUTED_VALUE"""),0.0776)</f>
        <v>0.0776</v>
      </c>
      <c r="J3461" s="19">
        <f>IFERROR(__xludf.DUMMYFUNCTION("""COMPUTED_VALUE"""),0.1551)</f>
        <v>0.1551</v>
      </c>
      <c r="K3461" s="19">
        <f>IFERROR(__xludf.DUMMYFUNCTION("""COMPUTED_VALUE"""),0.1939)</f>
        <v>0.1939</v>
      </c>
      <c r="L3461" s="19">
        <f>IFERROR(__xludf.DUMMYFUNCTION("""COMPUTED_VALUE"""),0.2327)</f>
        <v>0.2327</v>
      </c>
      <c r="M3461" s="18">
        <f>IFERROR(__xludf.DUMMYFUNCTION("""COMPUTED_VALUE"""),1.71)</f>
        <v>1.71</v>
      </c>
    </row>
    <row r="3462">
      <c r="A3462" s="13" t="str">
        <f>IFERROR(__xludf.DUMMYFUNCTION("""COMPUTED_VALUE"""),"товари")</f>
        <v>товари</v>
      </c>
      <c r="B3462" s="16" t="str">
        <f>IFERROR(__xludf.DUMMYFUNCTION("""COMPUTED_VALUE"""),"спорт і відпочинок")</f>
        <v>спорт і відпочинок</v>
      </c>
      <c r="C3462" s="16" t="str">
        <f>IFERROR(__xludf.DUMMYFUNCTION("""COMPUTED_VALUE"""),"велосипеди та аксесуари")</f>
        <v>велосипеди та аксесуари</v>
      </c>
      <c r="D3462" s="16" t="str">
        <f>IFERROR(__xludf.DUMMYFUNCTION("""COMPUTED_VALUE"""),"велозапчастини")</f>
        <v>велозапчастини</v>
      </c>
      <c r="E3462" s="16" t="str">
        <f>IFERROR(__xludf.DUMMYFUNCTION("""COMPUTED_VALUE"""),"велосипедні покришки")</f>
        <v>велосипедні покришки</v>
      </c>
      <c r="F3462" s="17">
        <f>IFERROR(__xludf.DUMMYFUNCTION("""COMPUTED_VALUE"""),4.0)</f>
        <v>4</v>
      </c>
      <c r="G3462" s="17" t="str">
        <f>IFERROR(__xludf.DUMMYFUNCTION("""COMPUTED_VALUE"""),"122202")</f>
        <v>122202</v>
      </c>
      <c r="H3462" s="17" t="str">
        <f>IFERROR(__xludf.DUMMYFUNCTION("""COMPUTED_VALUE"""),"велосипедні покришки")</f>
        <v>велосипедні покришки</v>
      </c>
      <c r="I3462" s="19">
        <f>IFERROR(__xludf.DUMMYFUNCTION("""COMPUTED_VALUE"""),0.0769)</f>
        <v>0.0769</v>
      </c>
      <c r="J3462" s="19">
        <f>IFERROR(__xludf.DUMMYFUNCTION("""COMPUTED_VALUE"""),0.1538)</f>
        <v>0.1538</v>
      </c>
      <c r="K3462" s="19">
        <f>IFERROR(__xludf.DUMMYFUNCTION("""COMPUTED_VALUE"""),0.1923)</f>
        <v>0.1923</v>
      </c>
      <c r="L3462" s="19">
        <f>IFERROR(__xludf.DUMMYFUNCTION("""COMPUTED_VALUE"""),0.2307)</f>
        <v>0.2307</v>
      </c>
      <c r="M3462" s="18">
        <f>IFERROR(__xludf.DUMMYFUNCTION("""COMPUTED_VALUE"""),1.71)</f>
        <v>1.71</v>
      </c>
    </row>
    <row r="3463">
      <c r="A3463" s="13" t="str">
        <f>IFERROR(__xludf.DUMMYFUNCTION("""COMPUTED_VALUE"""),"товари")</f>
        <v>товари</v>
      </c>
      <c r="B3463" s="16" t="str">
        <f>IFERROR(__xludf.DUMMYFUNCTION("""COMPUTED_VALUE"""),"спорт і відпочинок")</f>
        <v>спорт і відпочинок</v>
      </c>
      <c r="C3463" s="16" t="str">
        <f>IFERROR(__xludf.DUMMYFUNCTION("""COMPUTED_VALUE"""),"велосипеди та аксесуари")</f>
        <v>велосипеди та аксесуари</v>
      </c>
      <c r="D3463" s="16" t="str">
        <f>IFERROR(__xludf.DUMMYFUNCTION("""COMPUTED_VALUE"""),"велозапчастини")</f>
        <v>велозапчастини</v>
      </c>
      <c r="E3463" s="16" t="str">
        <f>IFERROR(__xludf.DUMMYFUNCTION("""COMPUTED_VALUE"""),"велосипедні рами")</f>
        <v>велосипедні рами</v>
      </c>
      <c r="F3463" s="17">
        <f>IFERROR(__xludf.DUMMYFUNCTION("""COMPUTED_VALUE"""),4.0)</f>
        <v>4</v>
      </c>
      <c r="G3463" s="17" t="str">
        <f>IFERROR(__xludf.DUMMYFUNCTION("""COMPUTED_VALUE"""),"122207")</f>
        <v>122207</v>
      </c>
      <c r="H3463" s="17" t="str">
        <f>IFERROR(__xludf.DUMMYFUNCTION("""COMPUTED_VALUE"""),"велосипедні рами")</f>
        <v>велосипедні рами</v>
      </c>
      <c r="I3463" s="19">
        <f>IFERROR(__xludf.DUMMYFUNCTION("""COMPUTED_VALUE"""),0.0776)</f>
        <v>0.0776</v>
      </c>
      <c r="J3463" s="19">
        <f>IFERROR(__xludf.DUMMYFUNCTION("""COMPUTED_VALUE"""),0.1551)</f>
        <v>0.1551</v>
      </c>
      <c r="K3463" s="19">
        <f>IFERROR(__xludf.DUMMYFUNCTION("""COMPUTED_VALUE"""),0.1939)</f>
        <v>0.1939</v>
      </c>
      <c r="L3463" s="19">
        <f>IFERROR(__xludf.DUMMYFUNCTION("""COMPUTED_VALUE"""),0.2327)</f>
        <v>0.2327</v>
      </c>
      <c r="M3463" s="18">
        <f>IFERROR(__xludf.DUMMYFUNCTION("""COMPUTED_VALUE"""),1.71)</f>
        <v>1.71</v>
      </c>
    </row>
    <row r="3464">
      <c r="A3464" s="13" t="str">
        <f>IFERROR(__xludf.DUMMYFUNCTION("""COMPUTED_VALUE"""),"товари")</f>
        <v>товари</v>
      </c>
      <c r="B3464" s="16" t="str">
        <f>IFERROR(__xludf.DUMMYFUNCTION("""COMPUTED_VALUE"""),"спорт і відпочинок")</f>
        <v>спорт і відпочинок</v>
      </c>
      <c r="C3464" s="16" t="str">
        <f>IFERROR(__xludf.DUMMYFUNCTION("""COMPUTED_VALUE"""),"велосипеди та аксесуари")</f>
        <v>велосипеди та аксесуари</v>
      </c>
      <c r="D3464" s="16" t="str">
        <f>IFERROR(__xludf.DUMMYFUNCTION("""COMPUTED_VALUE"""),"велоаксесуари")</f>
        <v>велоаксесуари</v>
      </c>
      <c r="E3464" s="16" t="str">
        <f>IFERROR(__xludf.DUMMYFUNCTION("""COMPUTED_VALUE"""),"велосипедні ремкомплекти")</f>
        <v>велосипедні ремкомплекти</v>
      </c>
      <c r="F3464" s="17">
        <f>IFERROR(__xludf.DUMMYFUNCTION("""COMPUTED_VALUE"""),4.0)</f>
        <v>4</v>
      </c>
      <c r="G3464" s="17" t="str">
        <f>IFERROR(__xludf.DUMMYFUNCTION("""COMPUTED_VALUE"""),"342413")</f>
        <v>342413</v>
      </c>
      <c r="H3464" s="17" t="str">
        <f>IFERROR(__xludf.DUMMYFUNCTION("""COMPUTED_VALUE"""),"велосипедні ремкомплекти")</f>
        <v>велосипедні ремкомплекти</v>
      </c>
      <c r="I3464" s="19">
        <f>IFERROR(__xludf.DUMMYFUNCTION("""COMPUTED_VALUE"""),0.0773)</f>
        <v>0.0773</v>
      </c>
      <c r="J3464" s="19">
        <f>IFERROR(__xludf.DUMMYFUNCTION("""COMPUTED_VALUE"""),0.1545)</f>
        <v>0.1545</v>
      </c>
      <c r="K3464" s="19">
        <f>IFERROR(__xludf.DUMMYFUNCTION("""COMPUTED_VALUE"""),0.1931)</f>
        <v>0.1931</v>
      </c>
      <c r="L3464" s="19">
        <f>IFERROR(__xludf.DUMMYFUNCTION("""COMPUTED_VALUE"""),0.2318)</f>
        <v>0.2318</v>
      </c>
      <c r="M3464" s="18">
        <f>IFERROR(__xludf.DUMMYFUNCTION("""COMPUTED_VALUE"""),1.63)</f>
        <v>1.63</v>
      </c>
    </row>
    <row r="3465">
      <c r="A3465" s="13" t="str">
        <f>IFERROR(__xludf.DUMMYFUNCTION("""COMPUTED_VALUE"""),"товари")</f>
        <v>товари</v>
      </c>
      <c r="B3465" s="16" t="str">
        <f>IFERROR(__xludf.DUMMYFUNCTION("""COMPUTED_VALUE"""),"спорт і відпочинок")</f>
        <v>спорт і відпочинок</v>
      </c>
      <c r="C3465" s="16" t="str">
        <f>IFERROR(__xludf.DUMMYFUNCTION("""COMPUTED_VALUE"""),"велосипеди та аксесуари")</f>
        <v>велосипеди та аксесуари</v>
      </c>
      <c r="D3465" s="16" t="str">
        <f>IFERROR(__xludf.DUMMYFUNCTION("""COMPUTED_VALUE"""),"велозапчастини")</f>
        <v>велозапчастини</v>
      </c>
      <c r="E3465" s="16" t="str">
        <f>IFERROR(__xludf.DUMMYFUNCTION("""COMPUTED_VALUE"""),"велосипедні сідла, штирі")</f>
        <v>велосипедні сідла, штирі</v>
      </c>
      <c r="F3465" s="17">
        <f>IFERROR(__xludf.DUMMYFUNCTION("""COMPUTED_VALUE"""),4.0)</f>
        <v>4</v>
      </c>
      <c r="G3465" s="17" t="str">
        <f>IFERROR(__xludf.DUMMYFUNCTION("""COMPUTED_VALUE"""),"122211")</f>
        <v>122211</v>
      </c>
      <c r="H3465" s="17" t="str">
        <f>IFERROR(__xludf.DUMMYFUNCTION("""COMPUTED_VALUE"""),"велосипедні сідла, штирі")</f>
        <v>велосипедні сідла, штирі</v>
      </c>
      <c r="I3465" s="19">
        <f>IFERROR(__xludf.DUMMYFUNCTION("""COMPUTED_VALUE"""),0.0776)</f>
        <v>0.0776</v>
      </c>
      <c r="J3465" s="19">
        <f>IFERROR(__xludf.DUMMYFUNCTION("""COMPUTED_VALUE"""),0.1551)</f>
        <v>0.1551</v>
      </c>
      <c r="K3465" s="19">
        <f>IFERROR(__xludf.DUMMYFUNCTION("""COMPUTED_VALUE"""),0.1939)</f>
        <v>0.1939</v>
      </c>
      <c r="L3465" s="19">
        <f>IFERROR(__xludf.DUMMYFUNCTION("""COMPUTED_VALUE"""),0.2327)</f>
        <v>0.2327</v>
      </c>
      <c r="M3465" s="18">
        <f>IFERROR(__xludf.DUMMYFUNCTION("""COMPUTED_VALUE"""),1.71)</f>
        <v>1.71</v>
      </c>
    </row>
    <row r="3466">
      <c r="A3466" s="13" t="str">
        <f>IFERROR(__xludf.DUMMYFUNCTION("""COMPUTED_VALUE"""),"товари")</f>
        <v>товари</v>
      </c>
      <c r="B3466" s="16" t="str">
        <f>IFERROR(__xludf.DUMMYFUNCTION("""COMPUTED_VALUE"""),"спорт і відпочинок")</f>
        <v>спорт і відпочинок</v>
      </c>
      <c r="C3466" s="16" t="str">
        <f>IFERROR(__xludf.DUMMYFUNCTION("""COMPUTED_VALUE"""),"велосипеди та аксесуари")</f>
        <v>велосипеди та аксесуари</v>
      </c>
      <c r="D3466" s="16" t="str">
        <f>IFERROR(__xludf.DUMMYFUNCTION("""COMPUTED_VALUE"""),"велозапчастини")</f>
        <v>велозапчастини</v>
      </c>
      <c r="E3466" s="16" t="str">
        <f>IFERROR(__xludf.DUMMYFUNCTION("""COMPUTED_VALUE"""),"велосипедні спиці")</f>
        <v>велосипедні спиці</v>
      </c>
      <c r="F3466" s="17">
        <f>IFERROR(__xludf.DUMMYFUNCTION("""COMPUTED_VALUE"""),4.0)</f>
        <v>4</v>
      </c>
      <c r="G3466" s="17" t="str">
        <f>IFERROR(__xludf.DUMMYFUNCTION("""COMPUTED_VALUE"""),"122205")</f>
        <v>122205</v>
      </c>
      <c r="H3466" s="17" t="str">
        <f>IFERROR(__xludf.DUMMYFUNCTION("""COMPUTED_VALUE"""),"велосипедні спиці")</f>
        <v>велосипедні спиці</v>
      </c>
      <c r="I3466" s="19">
        <f>IFERROR(__xludf.DUMMYFUNCTION("""COMPUTED_VALUE"""),0.0776)</f>
        <v>0.0776</v>
      </c>
      <c r="J3466" s="19">
        <f>IFERROR(__xludf.DUMMYFUNCTION("""COMPUTED_VALUE"""),0.1551)</f>
        <v>0.1551</v>
      </c>
      <c r="K3466" s="19">
        <f>IFERROR(__xludf.DUMMYFUNCTION("""COMPUTED_VALUE"""),0.1939)</f>
        <v>0.1939</v>
      </c>
      <c r="L3466" s="19">
        <f>IFERROR(__xludf.DUMMYFUNCTION("""COMPUTED_VALUE"""),0.2327)</f>
        <v>0.2327</v>
      </c>
      <c r="M3466" s="18">
        <f>IFERROR(__xludf.DUMMYFUNCTION("""COMPUTED_VALUE"""),1.71)</f>
        <v>1.71</v>
      </c>
    </row>
    <row r="3467">
      <c r="A3467" s="13" t="str">
        <f>IFERROR(__xludf.DUMMYFUNCTION("""COMPUTED_VALUE"""),"товари")</f>
        <v>товари</v>
      </c>
      <c r="B3467" s="16" t="str">
        <f>IFERROR(__xludf.DUMMYFUNCTION("""COMPUTED_VALUE"""),"спорт і відпочинок")</f>
        <v>спорт і відпочинок</v>
      </c>
      <c r="C3467" s="16" t="str">
        <f>IFERROR(__xludf.DUMMYFUNCTION("""COMPUTED_VALUE"""),"велосипеди та аксесуари")</f>
        <v>велосипеди та аксесуари</v>
      </c>
      <c r="D3467" s="16" t="str">
        <f>IFERROR(__xludf.DUMMYFUNCTION("""COMPUTED_VALUE"""),"велоаксесуари")</f>
        <v>велоаксесуари</v>
      </c>
      <c r="E3467" s="16" t="str">
        <f>IFERROR(__xludf.DUMMYFUNCTION("""COMPUTED_VALUE"""),"велосипедні фляги та фляготримачі")</f>
        <v>велосипедні фляги та фляготримачі</v>
      </c>
      <c r="F3467" s="17">
        <f>IFERROR(__xludf.DUMMYFUNCTION("""COMPUTED_VALUE"""),4.0)</f>
        <v>4</v>
      </c>
      <c r="G3467" s="17" t="str">
        <f>IFERROR(__xludf.DUMMYFUNCTION("""COMPUTED_VALUE"""),"342404")</f>
        <v>342404</v>
      </c>
      <c r="H3467" s="17" t="str">
        <f>IFERROR(__xludf.DUMMYFUNCTION("""COMPUTED_VALUE"""),"велосипедні фляги та фляготримачі")</f>
        <v>велосипедні фляги та фляготримачі</v>
      </c>
      <c r="I3467" s="19">
        <f>IFERROR(__xludf.DUMMYFUNCTION("""COMPUTED_VALUE"""),0.0779)</f>
        <v>0.0779</v>
      </c>
      <c r="J3467" s="19">
        <f>IFERROR(__xludf.DUMMYFUNCTION("""COMPUTED_VALUE"""),0.1558)</f>
        <v>0.1558</v>
      </c>
      <c r="K3467" s="19">
        <f>IFERROR(__xludf.DUMMYFUNCTION("""COMPUTED_VALUE"""),0.1948)</f>
        <v>0.1948</v>
      </c>
      <c r="L3467" s="19">
        <f>IFERROR(__xludf.DUMMYFUNCTION("""COMPUTED_VALUE"""),0.2337)</f>
        <v>0.2337</v>
      </c>
      <c r="M3467" s="18">
        <f>IFERROR(__xludf.DUMMYFUNCTION("""COMPUTED_VALUE"""),1.63)</f>
        <v>1.63</v>
      </c>
    </row>
    <row r="3468">
      <c r="A3468" s="13" t="str">
        <f>IFERROR(__xludf.DUMMYFUNCTION("""COMPUTED_VALUE"""),"товари")</f>
        <v>товари</v>
      </c>
      <c r="B3468" s="16" t="str">
        <f>IFERROR(__xludf.DUMMYFUNCTION("""COMPUTED_VALUE"""),"спорт і відпочинок")</f>
        <v>спорт і відпочинок</v>
      </c>
      <c r="C3468" s="16" t="str">
        <f>IFERROR(__xludf.DUMMYFUNCTION("""COMPUTED_VALUE"""),"велосипеди та аксесуари")</f>
        <v>велосипеди та аксесуари</v>
      </c>
      <c r="D3468" s="16" t="str">
        <f>IFERROR(__xludf.DUMMYFUNCTION("""COMPUTED_VALUE"""),"велозапчастини")</f>
        <v>велозапчастини</v>
      </c>
      <c r="E3468" s="16" t="str">
        <f>IFERROR(__xludf.DUMMYFUNCTION("""COMPUTED_VALUE"""),"велосипедні шатуни, зірки, каретки")</f>
        <v>велосипедні шатуни, зірки, каретки</v>
      </c>
      <c r="F3468" s="17">
        <f>IFERROR(__xludf.DUMMYFUNCTION("""COMPUTED_VALUE"""),4.0)</f>
        <v>4</v>
      </c>
      <c r="G3468" s="17" t="str">
        <f>IFERROR(__xludf.DUMMYFUNCTION("""COMPUTED_VALUE"""),"122214")</f>
        <v>122214</v>
      </c>
      <c r="H3468" s="17" t="str">
        <f>IFERROR(__xludf.DUMMYFUNCTION("""COMPUTED_VALUE"""),"велосипедні шатуни, зірки, каретки")</f>
        <v>велосипедні шатуни, зірки, каретки</v>
      </c>
      <c r="I3468" s="19">
        <f>IFERROR(__xludf.DUMMYFUNCTION("""COMPUTED_VALUE"""),0.0776)</f>
        <v>0.0776</v>
      </c>
      <c r="J3468" s="19">
        <f>IFERROR(__xludf.DUMMYFUNCTION("""COMPUTED_VALUE"""),0.1551)</f>
        <v>0.1551</v>
      </c>
      <c r="K3468" s="19">
        <f>IFERROR(__xludf.DUMMYFUNCTION("""COMPUTED_VALUE"""),0.1939)</f>
        <v>0.1939</v>
      </c>
      <c r="L3468" s="19">
        <f>IFERROR(__xludf.DUMMYFUNCTION("""COMPUTED_VALUE"""),0.2327)</f>
        <v>0.2327</v>
      </c>
      <c r="M3468" s="18">
        <f>IFERROR(__xludf.DUMMYFUNCTION("""COMPUTED_VALUE"""),1.71)</f>
        <v>1.71</v>
      </c>
    </row>
    <row r="3469">
      <c r="A3469" s="13" t="str">
        <f>IFERROR(__xludf.DUMMYFUNCTION("""COMPUTED_VALUE"""),"товари")</f>
        <v>товари</v>
      </c>
      <c r="B3469" s="16" t="str">
        <f>IFERROR(__xludf.DUMMYFUNCTION("""COMPUTED_VALUE"""),"спорт і відпочинок")</f>
        <v>спорт і відпочинок</v>
      </c>
      <c r="C3469" s="16" t="str">
        <f>IFERROR(__xludf.DUMMYFUNCTION("""COMPUTED_VALUE"""),"тренажери")</f>
        <v>тренажери</v>
      </c>
      <c r="D3469" s="16" t="str">
        <f>IFERROR(__xludf.DUMMYFUNCTION("""COMPUTED_VALUE"""),"велотренажери")</f>
        <v>велотренажери</v>
      </c>
      <c r="E3469" s="16" t="str">
        <f>IFERROR(__xludf.DUMMYFUNCTION("""COMPUTED_VALUE"""),"велотренажери")</f>
        <v>велотренажери</v>
      </c>
      <c r="F3469" s="17">
        <f>IFERROR(__xludf.DUMMYFUNCTION("""COMPUTED_VALUE"""),3.0)</f>
        <v>3</v>
      </c>
      <c r="G3469" s="17" t="str">
        <f>IFERROR(__xludf.DUMMYFUNCTION("""COMPUTED_VALUE"""),"200904")</f>
        <v>200904</v>
      </c>
      <c r="H3469" s="17" t="str">
        <f>IFERROR(__xludf.DUMMYFUNCTION("""COMPUTED_VALUE"""),"велотренажери")</f>
        <v>велотренажери</v>
      </c>
      <c r="I3469" s="19">
        <f>IFERROR(__xludf.DUMMYFUNCTION("""COMPUTED_VALUE"""),0.063)</f>
        <v>0.063</v>
      </c>
      <c r="J3469" s="19">
        <f>IFERROR(__xludf.DUMMYFUNCTION("""COMPUTED_VALUE"""),0.1259)</f>
        <v>0.1259</v>
      </c>
      <c r="K3469" s="19">
        <f>IFERROR(__xludf.DUMMYFUNCTION("""COMPUTED_VALUE"""),0.1574)</f>
        <v>0.1574</v>
      </c>
      <c r="L3469" s="19">
        <f>IFERROR(__xludf.DUMMYFUNCTION("""COMPUTED_VALUE"""),0.1889)</f>
        <v>0.1889</v>
      </c>
      <c r="M3469" s="18">
        <f>IFERROR(__xludf.DUMMYFUNCTION("""COMPUTED_VALUE"""),4.95)</f>
        <v>4.95</v>
      </c>
    </row>
    <row r="3470">
      <c r="A3470" s="13" t="str">
        <f>IFERROR(__xludf.DUMMYFUNCTION("""COMPUTED_VALUE"""),"товари")</f>
        <v>товари</v>
      </c>
      <c r="B3470" s="16" t="str">
        <f>IFERROR(__xludf.DUMMYFUNCTION("""COMPUTED_VALUE"""),"спорт і відпочинок")</f>
        <v>спорт і відпочинок</v>
      </c>
      <c r="C3470" s="16" t="str">
        <f>IFERROR(__xludf.DUMMYFUNCTION("""COMPUTED_VALUE"""),"велосипеди та аксесуари")</f>
        <v>велосипеди та аксесуари</v>
      </c>
      <c r="D3470" s="16" t="str">
        <f>IFERROR(__xludf.DUMMYFUNCTION("""COMPUTED_VALUE"""),"велоаксесуари")</f>
        <v>велоаксесуари</v>
      </c>
      <c r="E3470" s="16" t="str">
        <f>IFERROR(__xludf.DUMMYFUNCTION("""COMPUTED_VALUE"""),"велотримачі")</f>
        <v>велотримачі</v>
      </c>
      <c r="F3470" s="17">
        <f>IFERROR(__xludf.DUMMYFUNCTION("""COMPUTED_VALUE"""),4.0)</f>
        <v>4</v>
      </c>
      <c r="G3470" s="17" t="str">
        <f>IFERROR(__xludf.DUMMYFUNCTION("""COMPUTED_VALUE"""),"342414")</f>
        <v>342414</v>
      </c>
      <c r="H3470" s="17" t="str">
        <f>IFERROR(__xludf.DUMMYFUNCTION("""COMPUTED_VALUE"""),"велотримачі")</f>
        <v>велотримачі</v>
      </c>
      <c r="I3470" s="19">
        <f>IFERROR(__xludf.DUMMYFUNCTION("""COMPUTED_VALUE"""),0.0815)</f>
        <v>0.0815</v>
      </c>
      <c r="J3470" s="19">
        <f>IFERROR(__xludf.DUMMYFUNCTION("""COMPUTED_VALUE"""),0.163)</f>
        <v>0.163</v>
      </c>
      <c r="K3470" s="19">
        <f>IFERROR(__xludf.DUMMYFUNCTION("""COMPUTED_VALUE"""),0.2038)</f>
        <v>0.2038</v>
      </c>
      <c r="L3470" s="19">
        <f>IFERROR(__xludf.DUMMYFUNCTION("""COMPUTED_VALUE"""),0.2445)</f>
        <v>0.2445</v>
      </c>
      <c r="M3470" s="18">
        <f>IFERROR(__xludf.DUMMYFUNCTION("""COMPUTED_VALUE"""),1.63)</f>
        <v>1.63</v>
      </c>
    </row>
    <row r="3471">
      <c r="A3471" s="13" t="str">
        <f>IFERROR(__xludf.DUMMYFUNCTION("""COMPUTED_VALUE"""),"товари")</f>
        <v>товари</v>
      </c>
      <c r="B3471" s="16" t="str">
        <f>IFERROR(__xludf.DUMMYFUNCTION("""COMPUTED_VALUE"""),"спорт і відпочинок")</f>
        <v>спорт і відпочинок</v>
      </c>
      <c r="C3471" s="16" t="str">
        <f>IFERROR(__xludf.DUMMYFUNCTION("""COMPUTED_VALUE"""),"велосипеди та аксесуари")</f>
        <v>велосипеди та аксесуари</v>
      </c>
      <c r="D3471" s="16" t="str">
        <f>IFERROR(__xludf.DUMMYFUNCTION("""COMPUTED_VALUE"""),"велоаксесуари")</f>
        <v>велоаксесуари</v>
      </c>
      <c r="E3471" s="16" t="str">
        <f>IFERROR(__xludf.DUMMYFUNCTION("""COMPUTED_VALUE"""),"велохімія")</f>
        <v>велохімія</v>
      </c>
      <c r="F3471" s="17">
        <f>IFERROR(__xludf.DUMMYFUNCTION("""COMPUTED_VALUE"""),4.0)</f>
        <v>4</v>
      </c>
      <c r="G3471" s="17" t="str">
        <f>IFERROR(__xludf.DUMMYFUNCTION("""COMPUTED_VALUE"""),"342417")</f>
        <v>342417</v>
      </c>
      <c r="H3471" s="17" t="str">
        <f>IFERROR(__xludf.DUMMYFUNCTION("""COMPUTED_VALUE"""),"велохімія")</f>
        <v>велохімія</v>
      </c>
      <c r="I3471" s="19">
        <f>IFERROR(__xludf.DUMMYFUNCTION("""COMPUTED_VALUE"""),0.0782)</f>
        <v>0.0782</v>
      </c>
      <c r="J3471" s="19">
        <f>IFERROR(__xludf.DUMMYFUNCTION("""COMPUTED_VALUE"""),0.1564)</f>
        <v>0.1564</v>
      </c>
      <c r="K3471" s="19">
        <f>IFERROR(__xludf.DUMMYFUNCTION("""COMPUTED_VALUE"""),0.1955)</f>
        <v>0.1955</v>
      </c>
      <c r="L3471" s="19">
        <f>IFERROR(__xludf.DUMMYFUNCTION("""COMPUTED_VALUE"""),0.2346)</f>
        <v>0.2346</v>
      </c>
      <c r="M3471" s="18">
        <f>IFERROR(__xludf.DUMMYFUNCTION("""COMPUTED_VALUE"""),1.63)</f>
        <v>1.63</v>
      </c>
    </row>
    <row r="3472">
      <c r="A3472" s="13" t="str">
        <f>IFERROR(__xludf.DUMMYFUNCTION("""COMPUTED_VALUE"""),"товари")</f>
        <v>товари</v>
      </c>
      <c r="B3472" s="16" t="str">
        <f>IFERROR(__xludf.DUMMYFUNCTION("""COMPUTED_VALUE"""),"спорт і відпочинок")</f>
        <v>спорт і відпочинок</v>
      </c>
      <c r="C3472" s="16" t="str">
        <f>IFERROR(__xludf.DUMMYFUNCTION("""COMPUTED_VALUE"""),"велосипеди та аксесуари")</f>
        <v>велосипеди та аксесуари</v>
      </c>
      <c r="D3472" s="16" t="str">
        <f>IFERROR(__xludf.DUMMYFUNCTION("""COMPUTED_VALUE"""),"велоаксесуари")</f>
        <v>велоаксесуари</v>
      </c>
      <c r="E3472" s="16" t="str">
        <f>IFERROR(__xludf.DUMMYFUNCTION("""COMPUTED_VALUE"""),"велочохли та велонакидки")</f>
        <v>велочохли та велонакидки</v>
      </c>
      <c r="F3472" s="17">
        <f>IFERROR(__xludf.DUMMYFUNCTION("""COMPUTED_VALUE"""),4.0)</f>
        <v>4</v>
      </c>
      <c r="G3472" s="17" t="str">
        <f>IFERROR(__xludf.DUMMYFUNCTION("""COMPUTED_VALUE"""),"342410")</f>
        <v>342410</v>
      </c>
      <c r="H3472" s="17" t="str">
        <f>IFERROR(__xludf.DUMMYFUNCTION("""COMPUTED_VALUE"""),"велочохли та велонакидки")</f>
        <v>велочохли та велонакидки</v>
      </c>
      <c r="I3472" s="19">
        <f>IFERROR(__xludf.DUMMYFUNCTION("""COMPUTED_VALUE"""),0.0773)</f>
        <v>0.0773</v>
      </c>
      <c r="J3472" s="19">
        <f>IFERROR(__xludf.DUMMYFUNCTION("""COMPUTED_VALUE"""),0.1545)</f>
        <v>0.1545</v>
      </c>
      <c r="K3472" s="19">
        <f>IFERROR(__xludf.DUMMYFUNCTION("""COMPUTED_VALUE"""),0.1931)</f>
        <v>0.1931</v>
      </c>
      <c r="L3472" s="19">
        <f>IFERROR(__xludf.DUMMYFUNCTION("""COMPUTED_VALUE"""),0.2318)</f>
        <v>0.2318</v>
      </c>
      <c r="M3472" s="18">
        <f>IFERROR(__xludf.DUMMYFUNCTION("""COMPUTED_VALUE"""),1.63)</f>
        <v>1.63</v>
      </c>
    </row>
    <row r="3473">
      <c r="A3473" s="13" t="str">
        <f>IFERROR(__xludf.DUMMYFUNCTION("""COMPUTED_VALUE"""),"товари")</f>
        <v>товари</v>
      </c>
      <c r="B3473" s="16" t="str">
        <f>IFERROR(__xludf.DUMMYFUNCTION("""COMPUTED_VALUE"""),"спорт і відпочинок")</f>
        <v>спорт і відпочинок</v>
      </c>
      <c r="C3473" s="16" t="str">
        <f>IFERROR(__xludf.DUMMYFUNCTION("""COMPUTED_VALUE"""),"товари для риболовлі")</f>
        <v>товари для риболовлі</v>
      </c>
      <c r="D3473" s="16" t="str">
        <f>IFERROR(__xludf.DUMMYFUNCTION("""COMPUTED_VALUE"""),"рибальські снасті")</f>
        <v>рибальські снасті</v>
      </c>
      <c r="E3473" s="16" t="str">
        <f>IFERROR(__xludf.DUMMYFUNCTION("""COMPUTED_VALUE"""),"вертлюги та застібки для риболовлі")</f>
        <v>вертлюги та застібки для риболовлі</v>
      </c>
      <c r="F3473" s="17">
        <f>IFERROR(__xludf.DUMMYFUNCTION("""COMPUTED_VALUE"""),4.0)</f>
        <v>4</v>
      </c>
      <c r="G3473" s="17" t="str">
        <f>IFERROR(__xludf.DUMMYFUNCTION("""COMPUTED_VALUE"""),"181040")</f>
        <v>181040</v>
      </c>
      <c r="H3473" s="17" t="str">
        <f>IFERROR(__xludf.DUMMYFUNCTION("""COMPUTED_VALUE"""),"вертлюги та застібки для риболовлі")</f>
        <v>вертлюги та застібки для риболовлі</v>
      </c>
      <c r="I3473" s="19">
        <f>IFERROR(__xludf.DUMMYFUNCTION("""COMPUTED_VALUE"""),0.0779)</f>
        <v>0.0779</v>
      </c>
      <c r="J3473" s="19">
        <f>IFERROR(__xludf.DUMMYFUNCTION("""COMPUTED_VALUE"""),0.1558)</f>
        <v>0.1558</v>
      </c>
      <c r="K3473" s="19">
        <f>IFERROR(__xludf.DUMMYFUNCTION("""COMPUTED_VALUE"""),0.1948)</f>
        <v>0.1948</v>
      </c>
      <c r="L3473" s="19">
        <f>IFERROR(__xludf.DUMMYFUNCTION("""COMPUTED_VALUE"""),0.2337)</f>
        <v>0.2337</v>
      </c>
      <c r="M3473" s="18">
        <f>IFERROR(__xludf.DUMMYFUNCTION("""COMPUTED_VALUE"""),1.05)</f>
        <v>1.05</v>
      </c>
    </row>
    <row r="3474">
      <c r="A3474" s="13" t="str">
        <f>IFERROR(__xludf.DUMMYFUNCTION("""COMPUTED_VALUE"""),"товари")</f>
        <v>товари</v>
      </c>
      <c r="B3474" s="16" t="str">
        <f>IFERROR(__xludf.DUMMYFUNCTION("""COMPUTED_VALUE"""),"спорт і відпочинок")</f>
        <v>спорт і відпочинок</v>
      </c>
      <c r="C3474" s="16" t="str">
        <f>IFERROR(__xludf.DUMMYFUNCTION("""COMPUTED_VALUE"""),"товари для риболовлі")</f>
        <v>товари для риболовлі</v>
      </c>
      <c r="D3474" s="16" t="str">
        <f>IFERROR(__xludf.DUMMYFUNCTION("""COMPUTED_VALUE"""),"одяг для полювання та риболовлі")</f>
        <v>одяг для полювання та риболовлі</v>
      </c>
      <c r="E3474" s="16" t="str">
        <f>IFERROR(__xludf.DUMMYFUNCTION("""COMPUTED_VALUE"""),"верхній одяг для полювання та риболовлі")</f>
        <v>верхній одяг для полювання та риболовлі</v>
      </c>
      <c r="F3474" s="17">
        <f>IFERROR(__xludf.DUMMYFUNCTION("""COMPUTED_VALUE"""),4.0)</f>
        <v>4</v>
      </c>
      <c r="G3474" s="17" t="str">
        <f>IFERROR(__xludf.DUMMYFUNCTION("""COMPUTED_VALUE"""),"181024")</f>
        <v>181024</v>
      </c>
      <c r="H3474" s="17" t="str">
        <f>IFERROR(__xludf.DUMMYFUNCTION("""COMPUTED_VALUE"""),"верхній одяг для полювання та риболовлі")</f>
        <v>верхній одяг для полювання та риболовлі</v>
      </c>
      <c r="I3474" s="19">
        <f>IFERROR(__xludf.DUMMYFUNCTION("""COMPUTED_VALUE"""),0.0952)</f>
        <v>0.0952</v>
      </c>
      <c r="J3474" s="19">
        <f>IFERROR(__xludf.DUMMYFUNCTION("""COMPUTED_VALUE"""),0.1903)</f>
        <v>0.1903</v>
      </c>
      <c r="K3474" s="19">
        <f>IFERROR(__xludf.DUMMYFUNCTION("""COMPUTED_VALUE"""),0.2379)</f>
        <v>0.2379</v>
      </c>
      <c r="L3474" s="19">
        <f>IFERROR(__xludf.DUMMYFUNCTION("""COMPUTED_VALUE"""),0.2855)</f>
        <v>0.2855</v>
      </c>
      <c r="M3474" s="18">
        <f>IFERROR(__xludf.DUMMYFUNCTION("""COMPUTED_VALUE"""),2.34)</f>
        <v>2.34</v>
      </c>
    </row>
    <row r="3475">
      <c r="A3475" s="13" t="str">
        <f>IFERROR(__xludf.DUMMYFUNCTION("""COMPUTED_VALUE"""),"товари")</f>
        <v>товари</v>
      </c>
      <c r="B3475" s="16" t="str">
        <f>IFERROR(__xludf.DUMMYFUNCTION("""COMPUTED_VALUE"""),"спорт і відпочинок")</f>
        <v>спорт і відпочинок</v>
      </c>
      <c r="C3475" s="16" t="str">
        <f>IFERROR(__xludf.DUMMYFUNCTION("""COMPUTED_VALUE"""),"товари для риболовлі")</f>
        <v>товари для риболовлі</v>
      </c>
      <c r="D3475" s="16" t="str">
        <f>IFERROR(__xludf.DUMMYFUNCTION("""COMPUTED_VALUE"""),"вершинки та комелі до вудилищ")</f>
        <v>вершинки та комелі до вудилищ</v>
      </c>
      <c r="E3475" s="16" t="str">
        <f>IFERROR(__xludf.DUMMYFUNCTION("""COMPUTED_VALUE"""),"вершинки та комелі до вудилищ")</f>
        <v>вершинки та комелі до вудилищ</v>
      </c>
      <c r="F3475" s="17">
        <f>IFERROR(__xludf.DUMMYFUNCTION("""COMPUTED_VALUE"""),3.0)</f>
        <v>3</v>
      </c>
      <c r="G3475" s="17" t="str">
        <f>IFERROR(__xludf.DUMMYFUNCTION("""COMPUTED_VALUE"""),"181042")</f>
        <v>181042</v>
      </c>
      <c r="H3475" s="17" t="str">
        <f>IFERROR(__xludf.DUMMYFUNCTION("""COMPUTED_VALUE"""),"вершинки та комелі до вудилищ")</f>
        <v>вершинки та комелі до вудилищ</v>
      </c>
      <c r="I3475" s="19">
        <f>IFERROR(__xludf.DUMMYFUNCTION("""COMPUTED_VALUE"""),0.0447)</f>
        <v>0.0447</v>
      </c>
      <c r="J3475" s="19">
        <f>IFERROR(__xludf.DUMMYFUNCTION("""COMPUTED_VALUE"""),0.0893)</f>
        <v>0.0893</v>
      </c>
      <c r="K3475" s="19">
        <f>IFERROR(__xludf.DUMMYFUNCTION("""COMPUTED_VALUE"""),0.1116)</f>
        <v>0.1116</v>
      </c>
      <c r="L3475" s="19">
        <f>IFERROR(__xludf.DUMMYFUNCTION("""COMPUTED_VALUE"""),0.134)</f>
        <v>0.134</v>
      </c>
      <c r="M3475" s="18">
        <f>IFERROR(__xludf.DUMMYFUNCTION("""COMPUTED_VALUE"""),1.05)</f>
        <v>1.05</v>
      </c>
    </row>
    <row r="3476">
      <c r="A3476" s="13" t="str">
        <f>IFERROR(__xludf.DUMMYFUNCTION("""COMPUTED_VALUE"""),"товари")</f>
        <v>товари</v>
      </c>
      <c r="B3476" s="16" t="str">
        <f>IFERROR(__xludf.DUMMYFUNCTION("""COMPUTED_VALUE"""),"спорт і відпочинок")</f>
        <v>спорт і відпочинок</v>
      </c>
      <c r="C3476" s="16" t="str">
        <f>IFERROR(__xludf.DUMMYFUNCTION("""COMPUTED_VALUE"""),"одяг та взуття для спортсменів")</f>
        <v>одяг та взуття для спортсменів</v>
      </c>
      <c r="D3476" s="16" t="str">
        <f>IFERROR(__xludf.DUMMYFUNCTION("""COMPUTED_VALUE"""),"взуття для спорту та активного відпочинку")</f>
        <v>взуття для спорту та активного відпочинку</v>
      </c>
      <c r="E3476" s="16" t="str">
        <f>IFERROR(__xludf.DUMMYFUNCTION("""COMPUTED_VALUE"""),"взуття для бойових мистецтв")</f>
        <v>взуття для бойових мистецтв</v>
      </c>
      <c r="F3476" s="17">
        <f>IFERROR(__xludf.DUMMYFUNCTION("""COMPUTED_VALUE"""),4.0)</f>
        <v>4</v>
      </c>
      <c r="G3476" s="17" t="str">
        <f>IFERROR(__xludf.DUMMYFUNCTION("""COMPUTED_VALUE"""),"3220710")</f>
        <v>3220710</v>
      </c>
      <c r="H3476" s="17" t="str">
        <f>IFERROR(__xludf.DUMMYFUNCTION("""COMPUTED_VALUE"""),"взуття для бойових мистецтв")</f>
        <v>взуття для бойових мистецтв</v>
      </c>
      <c r="I3476" s="19">
        <f>IFERROR(__xludf.DUMMYFUNCTION("""COMPUTED_VALUE"""),0.0935)</f>
        <v>0.0935</v>
      </c>
      <c r="J3476" s="19">
        <f>IFERROR(__xludf.DUMMYFUNCTION("""COMPUTED_VALUE"""),0.187)</f>
        <v>0.187</v>
      </c>
      <c r="K3476" s="19">
        <f>IFERROR(__xludf.DUMMYFUNCTION("""COMPUTED_VALUE"""),0.2338)</f>
        <v>0.2338</v>
      </c>
      <c r="L3476" s="19">
        <f>IFERROR(__xludf.DUMMYFUNCTION("""COMPUTED_VALUE"""),0.2805)</f>
        <v>0.2805</v>
      </c>
      <c r="M3476" s="18">
        <f>IFERROR(__xludf.DUMMYFUNCTION("""COMPUTED_VALUE"""),1.8)</f>
        <v>1.8</v>
      </c>
    </row>
    <row r="3477">
      <c r="A3477" s="13" t="str">
        <f>IFERROR(__xludf.DUMMYFUNCTION("""COMPUTED_VALUE"""),"товари")</f>
        <v>товари</v>
      </c>
      <c r="B3477" s="16" t="str">
        <f>IFERROR(__xludf.DUMMYFUNCTION("""COMPUTED_VALUE"""),"спорт і відпочинок")</f>
        <v>спорт і відпочинок</v>
      </c>
      <c r="C3477" s="16" t="str">
        <f>IFERROR(__xludf.DUMMYFUNCTION("""COMPUTED_VALUE"""),"одяг та взуття для спортсменів")</f>
        <v>одяг та взуття для спортсменів</v>
      </c>
      <c r="D3477" s="16" t="str">
        <f>IFERROR(__xludf.DUMMYFUNCTION("""COMPUTED_VALUE"""),"взуття для спорту та активного відпочинку")</f>
        <v>взуття для спорту та активного відпочинку</v>
      </c>
      <c r="E3477" s="16" t="str">
        <f>IFERROR(__xludf.DUMMYFUNCTION("""COMPUTED_VALUE"""),"взуття для важкої атлетики")</f>
        <v>взуття для важкої атлетики</v>
      </c>
      <c r="F3477" s="17">
        <f>IFERROR(__xludf.DUMMYFUNCTION("""COMPUTED_VALUE"""),4.0)</f>
        <v>4</v>
      </c>
      <c r="G3477" s="17" t="str">
        <f>IFERROR(__xludf.DUMMYFUNCTION("""COMPUTED_VALUE"""),"3220729")</f>
        <v>3220729</v>
      </c>
      <c r="H3477" s="17" t="str">
        <f>IFERROR(__xludf.DUMMYFUNCTION("""COMPUTED_VALUE"""),"взуття для важкої атлетики")</f>
        <v>взуття для важкої атлетики</v>
      </c>
      <c r="I3477" s="19">
        <f>IFERROR(__xludf.DUMMYFUNCTION("""COMPUTED_VALUE"""),0.092)</f>
        <v>0.092</v>
      </c>
      <c r="J3477" s="19">
        <f>IFERROR(__xludf.DUMMYFUNCTION("""COMPUTED_VALUE"""),0.184)</f>
        <v>0.184</v>
      </c>
      <c r="K3477" s="19">
        <f>IFERROR(__xludf.DUMMYFUNCTION("""COMPUTED_VALUE"""),0.23)</f>
        <v>0.23</v>
      </c>
      <c r="L3477" s="19">
        <f>IFERROR(__xludf.DUMMYFUNCTION("""COMPUTED_VALUE"""),0.276)</f>
        <v>0.276</v>
      </c>
      <c r="M3477" s="18">
        <f>IFERROR(__xludf.DUMMYFUNCTION("""COMPUTED_VALUE"""),1.8)</f>
        <v>1.8</v>
      </c>
    </row>
    <row r="3478">
      <c r="A3478" s="13" t="str">
        <f>IFERROR(__xludf.DUMMYFUNCTION("""COMPUTED_VALUE"""),"товари")</f>
        <v>товари</v>
      </c>
      <c r="B3478" s="16" t="str">
        <f>IFERROR(__xludf.DUMMYFUNCTION("""COMPUTED_VALUE"""),"спорт і відпочинок")</f>
        <v>спорт і відпочинок</v>
      </c>
      <c r="C3478" s="16" t="str">
        <f>IFERROR(__xludf.DUMMYFUNCTION("""COMPUTED_VALUE"""),"командні види спорту")</f>
        <v>командні види спорту</v>
      </c>
      <c r="D3478" s="16" t="str">
        <f>IFERROR(__xludf.DUMMYFUNCTION("""COMPUTED_VALUE"""),"волейбол")</f>
        <v>волейбол</v>
      </c>
      <c r="E3478" s="16" t="str">
        <f>IFERROR(__xludf.DUMMYFUNCTION("""COMPUTED_VALUE"""),"взуття для волейболу")</f>
        <v>взуття для волейболу</v>
      </c>
      <c r="F3478" s="17">
        <f>IFERROR(__xludf.DUMMYFUNCTION("""COMPUTED_VALUE"""),4.0)</f>
        <v>4</v>
      </c>
      <c r="G3478" s="17" t="str">
        <f>IFERROR(__xludf.DUMMYFUNCTION("""COMPUTED_VALUE"""),"3220723")</f>
        <v>3220723</v>
      </c>
      <c r="H3478" s="17" t="str">
        <f>IFERROR(__xludf.DUMMYFUNCTION("""COMPUTED_VALUE"""),"взуття для волейболу")</f>
        <v>взуття для волейболу</v>
      </c>
      <c r="I3478" s="19">
        <f>IFERROR(__xludf.DUMMYFUNCTION("""COMPUTED_VALUE"""),0.0686)</f>
        <v>0.0686</v>
      </c>
      <c r="J3478" s="19">
        <f>IFERROR(__xludf.DUMMYFUNCTION("""COMPUTED_VALUE"""),0.1371)</f>
        <v>0.1371</v>
      </c>
      <c r="K3478" s="19">
        <f>IFERROR(__xludf.DUMMYFUNCTION("""COMPUTED_VALUE"""),0.1714)</f>
        <v>0.1714</v>
      </c>
      <c r="L3478" s="19">
        <f>IFERROR(__xludf.DUMMYFUNCTION("""COMPUTED_VALUE"""),0.2057)</f>
        <v>0.2057</v>
      </c>
      <c r="M3478" s="18">
        <f>IFERROR(__xludf.DUMMYFUNCTION("""COMPUTED_VALUE"""),4.33)</f>
        <v>4.33</v>
      </c>
    </row>
    <row r="3479">
      <c r="A3479" s="13" t="str">
        <f>IFERROR(__xludf.DUMMYFUNCTION("""COMPUTED_VALUE"""),"товари")</f>
        <v>товари</v>
      </c>
      <c r="B3479" s="16" t="str">
        <f>IFERROR(__xludf.DUMMYFUNCTION("""COMPUTED_VALUE"""),"спорт і відпочинок")</f>
        <v>спорт і відпочинок</v>
      </c>
      <c r="C3479" s="16" t="str">
        <f>IFERROR(__xludf.DUMMYFUNCTION("""COMPUTED_VALUE"""),"екстремальні види спорту")</f>
        <v>екстремальні види спорту</v>
      </c>
      <c r="D3479" s="16" t="str">
        <f>IFERROR(__xludf.DUMMYFUNCTION("""COMPUTED_VALUE"""),"дайвінг")</f>
        <v>дайвінг</v>
      </c>
      <c r="E3479" s="16" t="str">
        <f>IFERROR(__xludf.DUMMYFUNCTION("""COMPUTED_VALUE"""),"взуття для дайвінгу та плавання")</f>
        <v>взуття для дайвінгу та плавання</v>
      </c>
      <c r="F3479" s="17">
        <f>IFERROR(__xludf.DUMMYFUNCTION("""COMPUTED_VALUE"""),4.0)</f>
        <v>4</v>
      </c>
      <c r="G3479" s="17" t="str">
        <f>IFERROR(__xludf.DUMMYFUNCTION("""COMPUTED_VALUE"""),"3220715")</f>
        <v>3220715</v>
      </c>
      <c r="H3479" s="17" t="str">
        <f>IFERROR(__xludf.DUMMYFUNCTION("""COMPUTED_VALUE"""),"взуття для дайвінгу та плавання")</f>
        <v>взуття для дайвінгу та плавання</v>
      </c>
      <c r="I3479" s="19">
        <f>IFERROR(__xludf.DUMMYFUNCTION("""COMPUTED_VALUE"""),0.0774)</f>
        <v>0.0774</v>
      </c>
      <c r="J3479" s="19">
        <f>IFERROR(__xludf.DUMMYFUNCTION("""COMPUTED_VALUE"""),0.1548)</f>
        <v>0.1548</v>
      </c>
      <c r="K3479" s="19">
        <f>IFERROR(__xludf.DUMMYFUNCTION("""COMPUTED_VALUE"""),0.1935)</f>
        <v>0.1935</v>
      </c>
      <c r="L3479" s="19">
        <f>IFERROR(__xludf.DUMMYFUNCTION("""COMPUTED_VALUE"""),0.2322)</f>
        <v>0.2322</v>
      </c>
      <c r="M3479" s="18">
        <f>IFERROR(__xludf.DUMMYFUNCTION("""COMPUTED_VALUE"""),2.88)</f>
        <v>2.88</v>
      </c>
    </row>
    <row r="3480">
      <c r="A3480" s="13" t="str">
        <f>IFERROR(__xludf.DUMMYFUNCTION("""COMPUTED_VALUE"""),"товари")</f>
        <v>товари</v>
      </c>
      <c r="B3480" s="16" t="str">
        <f>IFERROR(__xludf.DUMMYFUNCTION("""COMPUTED_VALUE"""),"спорт і відпочинок")</f>
        <v>спорт і відпочинок</v>
      </c>
      <c r="C3480" s="16" t="str">
        <f>IFERROR(__xludf.DUMMYFUNCTION("""COMPUTED_VALUE"""),"одяг та взуття для спортсменів")</f>
        <v>одяг та взуття для спортсменів</v>
      </c>
      <c r="D3480" s="16" t="str">
        <f>IFERROR(__xludf.DUMMYFUNCTION("""COMPUTED_VALUE"""),"взуття для спорту та активного відпочинку")</f>
        <v>взуття для спорту та активного відпочинку</v>
      </c>
      <c r="E3480" s="16" t="str">
        <f>IFERROR(__xludf.DUMMYFUNCTION("""COMPUTED_VALUE"""),"взуття для пляжу та басейну")</f>
        <v>взуття для пляжу та басейну</v>
      </c>
      <c r="F3480" s="17">
        <f>IFERROR(__xludf.DUMMYFUNCTION("""COMPUTED_VALUE"""),4.0)</f>
        <v>4</v>
      </c>
      <c r="G3480" s="17" t="str">
        <f>IFERROR(__xludf.DUMMYFUNCTION("""COMPUTED_VALUE"""),"34304")</f>
        <v>34304</v>
      </c>
      <c r="H3480" s="17" t="str">
        <f>IFERROR(__xludf.DUMMYFUNCTION("""COMPUTED_VALUE"""),"взуття для пляжу та басейну")</f>
        <v>взуття для пляжу та басейну</v>
      </c>
      <c r="I3480" s="19">
        <f>IFERROR(__xludf.DUMMYFUNCTION("""COMPUTED_VALUE"""),0.0984)</f>
        <v>0.0984</v>
      </c>
      <c r="J3480" s="19">
        <f>IFERROR(__xludf.DUMMYFUNCTION("""COMPUTED_VALUE"""),0.1967)</f>
        <v>0.1967</v>
      </c>
      <c r="K3480" s="19">
        <f>IFERROR(__xludf.DUMMYFUNCTION("""COMPUTED_VALUE"""),0.2459)</f>
        <v>0.2459</v>
      </c>
      <c r="L3480" s="19">
        <f>IFERROR(__xludf.DUMMYFUNCTION("""COMPUTED_VALUE"""),0.2951)</f>
        <v>0.2951</v>
      </c>
      <c r="M3480" s="18">
        <f>IFERROR(__xludf.DUMMYFUNCTION("""COMPUTED_VALUE"""),1.8)</f>
        <v>1.8</v>
      </c>
    </row>
    <row r="3481">
      <c r="A3481" s="13" t="str">
        <f>IFERROR(__xludf.DUMMYFUNCTION("""COMPUTED_VALUE"""),"товари")</f>
        <v>товари</v>
      </c>
      <c r="B3481" s="16" t="str">
        <f>IFERROR(__xludf.DUMMYFUNCTION("""COMPUTED_VALUE"""),"спорт і відпочинок")</f>
        <v>спорт і відпочинок</v>
      </c>
      <c r="C3481" s="16" t="str">
        <f>IFERROR(__xludf.DUMMYFUNCTION("""COMPUTED_VALUE"""),"товари для риболовлі")</f>
        <v>товари для риболовлі</v>
      </c>
      <c r="D3481" s="16" t="str">
        <f>IFERROR(__xludf.DUMMYFUNCTION("""COMPUTED_VALUE"""),"одяг для полювання та риболовлі")</f>
        <v>одяг для полювання та риболовлі</v>
      </c>
      <c r="E3481" s="16" t="str">
        <f>IFERROR(__xludf.DUMMYFUNCTION("""COMPUTED_VALUE"""),"взуття для полювання та риболовлі")</f>
        <v>взуття для полювання та риболовлі</v>
      </c>
      <c r="F3481" s="17">
        <f>IFERROR(__xludf.DUMMYFUNCTION("""COMPUTED_VALUE"""),4.0)</f>
        <v>4</v>
      </c>
      <c r="G3481" s="17" t="str">
        <f>IFERROR(__xludf.DUMMYFUNCTION("""COMPUTED_VALUE"""),"181015")</f>
        <v>181015</v>
      </c>
      <c r="H3481" s="17" t="str">
        <f>IFERROR(__xludf.DUMMYFUNCTION("""COMPUTED_VALUE"""),"взуття для полювання та риболовлі")</f>
        <v>взуття для полювання та риболовлі</v>
      </c>
      <c r="I3481" s="19">
        <f>IFERROR(__xludf.DUMMYFUNCTION("""COMPUTED_VALUE"""),0.0958)</f>
        <v>0.0958</v>
      </c>
      <c r="J3481" s="19">
        <f>IFERROR(__xludf.DUMMYFUNCTION("""COMPUTED_VALUE"""),0.1916)</f>
        <v>0.1916</v>
      </c>
      <c r="K3481" s="19">
        <f>IFERROR(__xludf.DUMMYFUNCTION("""COMPUTED_VALUE"""),0.2395)</f>
        <v>0.2395</v>
      </c>
      <c r="L3481" s="19">
        <f>IFERROR(__xludf.DUMMYFUNCTION("""COMPUTED_VALUE"""),0.2874)</f>
        <v>0.2874</v>
      </c>
      <c r="M3481" s="18">
        <f>IFERROR(__xludf.DUMMYFUNCTION("""COMPUTED_VALUE"""),2.34)</f>
        <v>2.34</v>
      </c>
    </row>
    <row r="3482">
      <c r="A3482" s="13" t="str">
        <f>IFERROR(__xludf.DUMMYFUNCTION("""COMPUTED_VALUE"""),"товари")</f>
        <v>товари</v>
      </c>
      <c r="B3482" s="16" t="str">
        <f>IFERROR(__xludf.DUMMYFUNCTION("""COMPUTED_VALUE"""),"спорт і відпочинок")</f>
        <v>спорт і відпочинок</v>
      </c>
      <c r="C3482" s="16" t="str">
        <f>IFERROR(__xludf.DUMMYFUNCTION("""COMPUTED_VALUE"""),"одяг та взуття для спортсменів")</f>
        <v>одяг та взуття для спортсменів</v>
      </c>
      <c r="D3482" s="16" t="str">
        <f>IFERROR(__xludf.DUMMYFUNCTION("""COMPUTED_VALUE"""),"взуття для спорту та активного відпочинку")</f>
        <v>взуття для спорту та активного відпочинку</v>
      </c>
      <c r="E3482" s="16" t="str">
        <f>IFERROR(__xludf.DUMMYFUNCTION("""COMPUTED_VALUE"""),"взуття для скейтборду")</f>
        <v>взуття для скейтборду</v>
      </c>
      <c r="F3482" s="17">
        <f>IFERROR(__xludf.DUMMYFUNCTION("""COMPUTED_VALUE"""),4.0)</f>
        <v>4</v>
      </c>
      <c r="G3482" s="17" t="str">
        <f>IFERROR(__xludf.DUMMYFUNCTION("""COMPUTED_VALUE"""),"20060103")</f>
        <v>20060103</v>
      </c>
      <c r="H3482" s="17" t="str">
        <f>IFERROR(__xludf.DUMMYFUNCTION("""COMPUTED_VALUE"""),"взуття для скейтборду")</f>
        <v>взуття для скейтборду</v>
      </c>
      <c r="I3482" s="19">
        <f>IFERROR(__xludf.DUMMYFUNCTION("""COMPUTED_VALUE"""),0.0956)</f>
        <v>0.0956</v>
      </c>
      <c r="J3482" s="19">
        <f>IFERROR(__xludf.DUMMYFUNCTION("""COMPUTED_VALUE"""),0.1911)</f>
        <v>0.1911</v>
      </c>
      <c r="K3482" s="19">
        <f>IFERROR(__xludf.DUMMYFUNCTION("""COMPUTED_VALUE"""),0.2389)</f>
        <v>0.2389</v>
      </c>
      <c r="L3482" s="19">
        <f>IFERROR(__xludf.DUMMYFUNCTION("""COMPUTED_VALUE"""),0.2867)</f>
        <v>0.2867</v>
      </c>
      <c r="M3482" s="18">
        <f>IFERROR(__xludf.DUMMYFUNCTION("""COMPUTED_VALUE"""),1.8)</f>
        <v>1.8</v>
      </c>
    </row>
    <row r="3483">
      <c r="A3483" s="13" t="str">
        <f>IFERROR(__xludf.DUMMYFUNCTION("""COMPUTED_VALUE"""),"товари")</f>
        <v>товари</v>
      </c>
      <c r="B3483" s="16" t="str">
        <f>IFERROR(__xludf.DUMMYFUNCTION("""COMPUTED_VALUE"""),"спорт і відпочинок")</f>
        <v>спорт і відпочинок</v>
      </c>
      <c r="C3483" s="16" t="str">
        <f>IFERROR(__xludf.DUMMYFUNCTION("""COMPUTED_VALUE"""),"одяг та взуття для спортсменів")</f>
        <v>одяг та взуття для спортсменів</v>
      </c>
      <c r="D3483" s="16" t="str">
        <f>IFERROR(__xludf.DUMMYFUNCTION("""COMPUTED_VALUE"""),"взуття для спорту та активного відпочинку")</f>
        <v>взуття для спорту та активного відпочинку</v>
      </c>
      <c r="E3483" s="16" t="str">
        <f>IFERROR(__xludf.DUMMYFUNCTION("""COMPUTED_VALUE"""),"взуття для скелелазіння")</f>
        <v>взуття для скелелазіння</v>
      </c>
      <c r="F3483" s="17">
        <f>IFERROR(__xludf.DUMMYFUNCTION("""COMPUTED_VALUE"""),4.0)</f>
        <v>4</v>
      </c>
      <c r="G3483" s="17" t="str">
        <f>IFERROR(__xludf.DUMMYFUNCTION("""COMPUTED_VALUE"""),"3220725")</f>
        <v>3220725</v>
      </c>
      <c r="H3483" s="17" t="str">
        <f>IFERROR(__xludf.DUMMYFUNCTION("""COMPUTED_VALUE"""),"взуття для скелелазіння")</f>
        <v>взуття для скелелазіння</v>
      </c>
      <c r="I3483" s="19">
        <f>IFERROR(__xludf.DUMMYFUNCTION("""COMPUTED_VALUE"""),0.0746)</f>
        <v>0.0746</v>
      </c>
      <c r="J3483" s="19">
        <f>IFERROR(__xludf.DUMMYFUNCTION("""COMPUTED_VALUE"""),0.1492)</f>
        <v>0.1492</v>
      </c>
      <c r="K3483" s="19">
        <f>IFERROR(__xludf.DUMMYFUNCTION("""COMPUTED_VALUE"""),0.1865)</f>
        <v>0.1865</v>
      </c>
      <c r="L3483" s="19">
        <f>IFERROR(__xludf.DUMMYFUNCTION("""COMPUTED_VALUE"""),0.2238)</f>
        <v>0.2238</v>
      </c>
      <c r="M3483" s="18">
        <f>IFERROR(__xludf.DUMMYFUNCTION("""COMPUTED_VALUE"""),1.8)</f>
        <v>1.8</v>
      </c>
    </row>
    <row r="3484">
      <c r="A3484" s="13" t="str">
        <f>IFERROR(__xludf.DUMMYFUNCTION("""COMPUTED_VALUE"""),"товари")</f>
        <v>товари</v>
      </c>
      <c r="B3484" s="16" t="str">
        <f>IFERROR(__xludf.DUMMYFUNCTION("""COMPUTED_VALUE"""),"спорт і відпочинок")</f>
        <v>спорт і відпочинок</v>
      </c>
      <c r="C3484" s="16" t="str">
        <f>IFERROR(__xludf.DUMMYFUNCTION("""COMPUTED_VALUE"""),"одяг та взуття для спортсменів")</f>
        <v>одяг та взуття для спортсменів</v>
      </c>
      <c r="D3484" s="16" t="str">
        <f>IFERROR(__xludf.DUMMYFUNCTION("""COMPUTED_VALUE"""),"взуття для спорту та активного відпочинку")</f>
        <v>взуття для спорту та активного відпочинку</v>
      </c>
      <c r="E3484" s="16" t="str">
        <f>IFERROR(__xludf.DUMMYFUNCTION("""COMPUTED_VALUE"""),"взуття для танців та гімнастики")</f>
        <v>взуття для танців та гімнастики</v>
      </c>
      <c r="F3484" s="17">
        <f>IFERROR(__xludf.DUMMYFUNCTION("""COMPUTED_VALUE"""),4.0)</f>
        <v>4</v>
      </c>
      <c r="G3484" s="17" t="str">
        <f>IFERROR(__xludf.DUMMYFUNCTION("""COMPUTED_VALUE"""),"3220705")</f>
        <v>3220705</v>
      </c>
      <c r="H3484" s="17" t="str">
        <f>IFERROR(__xludf.DUMMYFUNCTION("""COMPUTED_VALUE"""),"взуття для танців та гімнастики")</f>
        <v>взуття для танців та гімнастики</v>
      </c>
      <c r="I3484" s="19">
        <f>IFERROR(__xludf.DUMMYFUNCTION("""COMPUTED_VALUE"""),0.0964)</f>
        <v>0.0964</v>
      </c>
      <c r="J3484" s="19">
        <f>IFERROR(__xludf.DUMMYFUNCTION("""COMPUTED_VALUE"""),0.1928)</f>
        <v>0.1928</v>
      </c>
      <c r="K3484" s="19">
        <f>IFERROR(__xludf.DUMMYFUNCTION("""COMPUTED_VALUE"""),0.241)</f>
        <v>0.241</v>
      </c>
      <c r="L3484" s="19">
        <f>IFERROR(__xludf.DUMMYFUNCTION("""COMPUTED_VALUE"""),0.2892)</f>
        <v>0.2892</v>
      </c>
      <c r="M3484" s="18">
        <f>IFERROR(__xludf.DUMMYFUNCTION("""COMPUTED_VALUE"""),1.8)</f>
        <v>1.8</v>
      </c>
    </row>
    <row r="3485">
      <c r="A3485" s="13" t="str">
        <f>IFERROR(__xludf.DUMMYFUNCTION("""COMPUTED_VALUE"""),"товари")</f>
        <v>товари</v>
      </c>
      <c r="B3485" s="16" t="str">
        <f>IFERROR(__xludf.DUMMYFUNCTION("""COMPUTED_VALUE"""),"спорт і відпочинок")</f>
        <v>спорт і відпочинок</v>
      </c>
      <c r="C3485" s="16" t="str">
        <f>IFERROR(__xludf.DUMMYFUNCTION("""COMPUTED_VALUE"""),"велосипеди та аксесуари")</f>
        <v>велосипеди та аксесуари</v>
      </c>
      <c r="D3485" s="16" t="str">
        <f>IFERROR(__xludf.DUMMYFUNCTION("""COMPUTED_VALUE"""),"велозапчастини")</f>
        <v>велозапчастини</v>
      </c>
      <c r="E3485" s="16" t="str">
        <f>IFERROR(__xludf.DUMMYFUNCTION("""COMPUTED_VALUE"""),"виноси керма")</f>
        <v>виноси керма</v>
      </c>
      <c r="F3485" s="17">
        <f>IFERROR(__xludf.DUMMYFUNCTION("""COMPUTED_VALUE"""),4.0)</f>
        <v>4</v>
      </c>
      <c r="G3485" s="17" t="str">
        <f>IFERROR(__xludf.DUMMYFUNCTION("""COMPUTED_VALUE"""),"122216")</f>
        <v>122216</v>
      </c>
      <c r="H3485" s="17" t="str">
        <f>IFERROR(__xludf.DUMMYFUNCTION("""COMPUTED_VALUE"""),"виноси керма")</f>
        <v>виноси керма</v>
      </c>
      <c r="I3485" s="19">
        <f>IFERROR(__xludf.DUMMYFUNCTION("""COMPUTED_VALUE"""),0.0776)</f>
        <v>0.0776</v>
      </c>
      <c r="J3485" s="19">
        <f>IFERROR(__xludf.DUMMYFUNCTION("""COMPUTED_VALUE"""),0.1551)</f>
        <v>0.1551</v>
      </c>
      <c r="K3485" s="19">
        <f>IFERROR(__xludf.DUMMYFUNCTION("""COMPUTED_VALUE"""),0.1939)</f>
        <v>0.1939</v>
      </c>
      <c r="L3485" s="19">
        <f>IFERROR(__xludf.DUMMYFUNCTION("""COMPUTED_VALUE"""),0.2327)</f>
        <v>0.2327</v>
      </c>
      <c r="M3485" s="18">
        <f>IFERROR(__xludf.DUMMYFUNCTION("""COMPUTED_VALUE"""),1.71)</f>
        <v>1.71</v>
      </c>
    </row>
    <row r="3486">
      <c r="A3486" s="13" t="str">
        <f>IFERROR(__xludf.DUMMYFUNCTION("""COMPUTED_VALUE"""),"товари")</f>
        <v>товари</v>
      </c>
      <c r="B3486" s="16" t="str">
        <f>IFERROR(__xludf.DUMMYFUNCTION("""COMPUTED_VALUE"""),"спорт і відпочинок")</f>
        <v>спорт і відпочинок</v>
      </c>
      <c r="C3486" s="16" t="str">
        <f>IFERROR(__xludf.DUMMYFUNCTION("""COMPUTED_VALUE"""),"військово-спортивні ігри")</f>
        <v>військово-спортивні ігри</v>
      </c>
      <c r="D3486" s="16" t="str">
        <f>IFERROR(__xludf.DUMMYFUNCTION("""COMPUTED_VALUE"""),"військово-спортивні ігри, загальне")</f>
        <v>військово-спортивні ігри, загальне</v>
      </c>
      <c r="E3486" s="16" t="str">
        <f>IFERROR(__xludf.DUMMYFUNCTION("""COMPUTED_VALUE"""),"військово-спортивні ігри, загальне")</f>
        <v>військово-спортивні ігри, загальне</v>
      </c>
      <c r="F3486" s="17">
        <f>IFERROR(__xludf.DUMMYFUNCTION("""COMPUTED_VALUE"""),3.0)</f>
        <v>3</v>
      </c>
      <c r="G3486" s="17" t="str">
        <f>IFERROR(__xludf.DUMMYFUNCTION("""COMPUTED_VALUE"""),"182201")</f>
        <v>182201</v>
      </c>
      <c r="H3486" s="17" t="str">
        <f>IFERROR(__xludf.DUMMYFUNCTION("""COMPUTED_VALUE"""),"військово-спортивні ігри, загальне")</f>
        <v>військово-спортивні ігри, загальне</v>
      </c>
      <c r="I3486" s="19">
        <f>IFERROR(__xludf.DUMMYFUNCTION("""COMPUTED_VALUE"""),0.125)</f>
        <v>0.125</v>
      </c>
      <c r="J3486" s="19">
        <f>IFERROR(__xludf.DUMMYFUNCTION("""COMPUTED_VALUE"""),0.25)</f>
        <v>0.25</v>
      </c>
      <c r="K3486" s="19">
        <f>IFERROR(__xludf.DUMMYFUNCTION("""COMPUTED_VALUE"""),0.3125)</f>
        <v>0.3125</v>
      </c>
      <c r="L3486" s="19">
        <f>IFERROR(__xludf.DUMMYFUNCTION("""COMPUTED_VALUE"""),0.375)</f>
        <v>0.375</v>
      </c>
      <c r="M3486" s="18">
        <f>IFERROR(__xludf.DUMMYFUNCTION("""COMPUTED_VALUE"""),4.33)</f>
        <v>4.33</v>
      </c>
    </row>
    <row r="3487">
      <c r="A3487" s="13" t="str">
        <f>IFERROR(__xludf.DUMMYFUNCTION("""COMPUTED_VALUE"""),"товари")</f>
        <v>товари</v>
      </c>
      <c r="B3487" s="16" t="str">
        <f>IFERROR(__xludf.DUMMYFUNCTION("""COMPUTED_VALUE"""),"спорт і відпочинок")</f>
        <v>спорт і відпочинок</v>
      </c>
      <c r="C3487" s="16" t="str">
        <f>IFERROR(__xludf.DUMMYFUNCTION("""COMPUTED_VALUE"""),"екстремальні види спорту")</f>
        <v>екстремальні види спорту</v>
      </c>
      <c r="D3487" s="16" t="str">
        <f>IFERROR(__xludf.DUMMYFUNCTION("""COMPUTED_VALUE"""),"віндсерфінг та sup серфінг")</f>
        <v>віндсерфінг та sup серфінг</v>
      </c>
      <c r="E3487" s="16" t="str">
        <f>IFERROR(__xludf.DUMMYFUNCTION("""COMPUTED_VALUE"""),"віндсерфінг, загальне")</f>
        <v>віндсерфінг, загальне</v>
      </c>
      <c r="F3487" s="17">
        <f>IFERROR(__xludf.DUMMYFUNCTION("""COMPUTED_VALUE"""),4.0)</f>
        <v>4</v>
      </c>
      <c r="G3487" s="17" t="str">
        <f>IFERROR(__xludf.DUMMYFUNCTION("""COMPUTED_VALUE"""),"203517")</f>
        <v>203517</v>
      </c>
      <c r="H3487" s="17" t="str">
        <f>IFERROR(__xludf.DUMMYFUNCTION("""COMPUTED_VALUE"""),"віндсерфінг, загальне")</f>
        <v>віндсерфінг, загальне</v>
      </c>
      <c r="I3487" s="19">
        <f>IFERROR(__xludf.DUMMYFUNCTION("""COMPUTED_VALUE"""),0.125)</f>
        <v>0.125</v>
      </c>
      <c r="J3487" s="19">
        <f>IFERROR(__xludf.DUMMYFUNCTION("""COMPUTED_VALUE"""),0.25)</f>
        <v>0.25</v>
      </c>
      <c r="K3487" s="19">
        <f>IFERROR(__xludf.DUMMYFUNCTION("""COMPUTED_VALUE"""),0.3125)</f>
        <v>0.3125</v>
      </c>
      <c r="L3487" s="19">
        <f>IFERROR(__xludf.DUMMYFUNCTION("""COMPUTED_VALUE"""),0.375)</f>
        <v>0.375</v>
      </c>
      <c r="M3487" s="18">
        <f>IFERROR(__xludf.DUMMYFUNCTION("""COMPUTED_VALUE"""),4.33)</f>
        <v>4.33</v>
      </c>
    </row>
    <row r="3488">
      <c r="A3488" s="13" t="str">
        <f>IFERROR(__xludf.DUMMYFUNCTION("""COMPUTED_VALUE"""),"товари")</f>
        <v>товари</v>
      </c>
      <c r="B3488" s="16" t="str">
        <f>IFERROR(__xludf.DUMMYFUNCTION("""COMPUTED_VALUE"""),"спорт і відпочинок")</f>
        <v>спорт і відпочинок</v>
      </c>
      <c r="C3488" s="16" t="str">
        <f>IFERROR(__xludf.DUMMYFUNCTION("""COMPUTED_VALUE"""),"товари для риболовлі")</f>
        <v>товари для риболовлі</v>
      </c>
      <c r="D3488" s="16" t="str">
        <f>IFERROR(__xludf.DUMMYFUNCTION("""COMPUTED_VALUE"""),"рибальські снасті")</f>
        <v>рибальські снасті</v>
      </c>
      <c r="E3488" s="16" t="str">
        <f>IFERROR(__xludf.DUMMYFUNCTION("""COMPUTED_VALUE"""),"воблери")</f>
        <v>воблери</v>
      </c>
      <c r="F3488" s="17">
        <f>IFERROR(__xludf.DUMMYFUNCTION("""COMPUTED_VALUE"""),4.0)</f>
        <v>4</v>
      </c>
      <c r="G3488" s="17" t="str">
        <f>IFERROR(__xludf.DUMMYFUNCTION("""COMPUTED_VALUE"""),"181009")</f>
        <v>181009</v>
      </c>
      <c r="H3488" s="17" t="str">
        <f>IFERROR(__xludf.DUMMYFUNCTION("""COMPUTED_VALUE"""),"воблери")</f>
        <v>воблери</v>
      </c>
      <c r="I3488" s="19">
        <f>IFERROR(__xludf.DUMMYFUNCTION("""COMPUTED_VALUE"""),0.077)</f>
        <v>0.077</v>
      </c>
      <c r="J3488" s="19">
        <f>IFERROR(__xludf.DUMMYFUNCTION("""COMPUTED_VALUE"""),0.1539)</f>
        <v>0.1539</v>
      </c>
      <c r="K3488" s="19">
        <f>IFERROR(__xludf.DUMMYFUNCTION("""COMPUTED_VALUE"""),0.1924)</f>
        <v>0.1924</v>
      </c>
      <c r="L3488" s="19">
        <f>IFERROR(__xludf.DUMMYFUNCTION("""COMPUTED_VALUE"""),0.2309)</f>
        <v>0.2309</v>
      </c>
      <c r="M3488" s="18">
        <f>IFERROR(__xludf.DUMMYFUNCTION("""COMPUTED_VALUE"""),1.05)</f>
        <v>1.05</v>
      </c>
    </row>
    <row r="3489">
      <c r="A3489" s="13" t="str">
        <f>IFERROR(__xludf.DUMMYFUNCTION("""COMPUTED_VALUE"""),"товари")</f>
        <v>товари</v>
      </c>
      <c r="B3489" s="16" t="str">
        <f>IFERROR(__xludf.DUMMYFUNCTION("""COMPUTED_VALUE"""),"спорт і відпочинок")</f>
        <v>спорт і відпочинок</v>
      </c>
      <c r="C3489" s="16" t="str">
        <f>IFERROR(__xludf.DUMMYFUNCTION("""COMPUTED_VALUE"""),"водні види спорту")</f>
        <v>водні види спорту</v>
      </c>
      <c r="D3489" s="16" t="str">
        <f>IFERROR(__xludf.DUMMYFUNCTION("""COMPUTED_VALUE"""),"водні види спорту, загальне")</f>
        <v>водні види спорту, загальне</v>
      </c>
      <c r="E3489" s="16" t="str">
        <f>IFERROR(__xludf.DUMMYFUNCTION("""COMPUTED_VALUE"""),"водні види спорту, загальне")</f>
        <v>водні види спорту, загальне</v>
      </c>
      <c r="F3489" s="17">
        <f>IFERROR(__xludf.DUMMYFUNCTION("""COMPUTED_VALUE"""),3.0)</f>
        <v>3</v>
      </c>
      <c r="G3489" s="17" t="str">
        <f>IFERROR(__xludf.DUMMYFUNCTION("""COMPUTED_VALUE"""),"203401")</f>
        <v>203401</v>
      </c>
      <c r="H3489" s="17" t="str">
        <f>IFERROR(__xludf.DUMMYFUNCTION("""COMPUTED_VALUE"""),"водні види спорту, загальне")</f>
        <v>водні види спорту, загальне</v>
      </c>
      <c r="I3489" s="19">
        <f>IFERROR(__xludf.DUMMYFUNCTION("""COMPUTED_VALUE"""),0.125)</f>
        <v>0.125</v>
      </c>
      <c r="J3489" s="19">
        <f>IFERROR(__xludf.DUMMYFUNCTION("""COMPUTED_VALUE"""),0.25)</f>
        <v>0.25</v>
      </c>
      <c r="K3489" s="19">
        <f>IFERROR(__xludf.DUMMYFUNCTION("""COMPUTED_VALUE"""),0.3125)</f>
        <v>0.3125</v>
      </c>
      <c r="L3489" s="19">
        <f>IFERROR(__xludf.DUMMYFUNCTION("""COMPUTED_VALUE"""),0.375)</f>
        <v>0.375</v>
      </c>
      <c r="M3489" s="18">
        <f>IFERROR(__xludf.DUMMYFUNCTION("""COMPUTED_VALUE"""),4.33)</f>
        <v>4.33</v>
      </c>
    </row>
    <row r="3490">
      <c r="A3490" s="13" t="str">
        <f>IFERROR(__xludf.DUMMYFUNCTION("""COMPUTED_VALUE"""),"товари")</f>
        <v>товари</v>
      </c>
      <c r="B3490" s="16" t="str">
        <f>IFERROR(__xludf.DUMMYFUNCTION("""COMPUTED_VALUE"""),"спорт і відпочинок")</f>
        <v>спорт і відпочинок</v>
      </c>
      <c r="C3490" s="16" t="str">
        <f>IFERROR(__xludf.DUMMYFUNCTION("""COMPUTED_VALUE"""),"екстремальні види спорту")</f>
        <v>екстремальні види спорту</v>
      </c>
      <c r="D3490" s="16" t="str">
        <f>IFERROR(__xludf.DUMMYFUNCTION("""COMPUTED_VALUE"""),"водні лижі, вейкборди і аксесуари до них")</f>
        <v>водні лижі, вейкборди і аксесуари до них</v>
      </c>
      <c r="E3490" s="16" t="str">
        <f>IFERROR(__xludf.DUMMYFUNCTION("""COMPUTED_VALUE"""),"водні лижі, вейкборди і аксесуари до них")</f>
        <v>водні лижі, вейкборди і аксесуари до них</v>
      </c>
      <c r="F3490" s="17">
        <f>IFERROR(__xludf.DUMMYFUNCTION("""COMPUTED_VALUE"""),3.0)</f>
        <v>3</v>
      </c>
      <c r="G3490" s="17" t="str">
        <f>IFERROR(__xludf.DUMMYFUNCTION("""COMPUTED_VALUE"""),"200306")</f>
        <v>200306</v>
      </c>
      <c r="H3490" s="17" t="str">
        <f>IFERROR(__xludf.DUMMYFUNCTION("""COMPUTED_VALUE"""),"водні лижі, вейкборди і аксесуари до них")</f>
        <v>водні лижі, вейкборди і аксесуари до них</v>
      </c>
      <c r="I3490" s="19">
        <f>IFERROR(__xludf.DUMMYFUNCTION("""COMPUTED_VALUE"""),0.0594)</f>
        <v>0.0594</v>
      </c>
      <c r="J3490" s="19">
        <f>IFERROR(__xludf.DUMMYFUNCTION("""COMPUTED_VALUE"""),0.1188)</f>
        <v>0.1188</v>
      </c>
      <c r="K3490" s="19">
        <f>IFERROR(__xludf.DUMMYFUNCTION("""COMPUTED_VALUE"""),0.1485)</f>
        <v>0.1485</v>
      </c>
      <c r="L3490" s="19">
        <f>IFERROR(__xludf.DUMMYFUNCTION("""COMPUTED_VALUE"""),0.1782)</f>
        <v>0.1782</v>
      </c>
      <c r="M3490" s="18">
        <f>IFERROR(__xludf.DUMMYFUNCTION("""COMPUTED_VALUE"""),1.8)</f>
        <v>1.8</v>
      </c>
    </row>
    <row r="3491">
      <c r="A3491" s="13" t="str">
        <f>IFERROR(__xludf.DUMMYFUNCTION("""COMPUTED_VALUE"""),"товари")</f>
        <v>товари</v>
      </c>
      <c r="B3491" s="16" t="str">
        <f>IFERROR(__xludf.DUMMYFUNCTION("""COMPUTED_VALUE"""),"спорт і відпочинок")</f>
        <v>спорт і відпочинок</v>
      </c>
      <c r="C3491" s="16" t="str">
        <f>IFERROR(__xludf.DUMMYFUNCTION("""COMPUTED_VALUE"""),"спортивні товари")</f>
        <v>спортивні товари</v>
      </c>
      <c r="D3491" s="16" t="str">
        <f>IFERROR(__xludf.DUMMYFUNCTION("""COMPUTED_VALUE"""),"спортивний інвентар")</f>
        <v>спортивний інвентар</v>
      </c>
      <c r="E3491" s="16" t="str">
        <f>IFERROR(__xludf.DUMMYFUNCTION("""COMPUTED_VALUE"""),"волани")</f>
        <v>волани</v>
      </c>
      <c r="F3491" s="17">
        <f>IFERROR(__xludf.DUMMYFUNCTION("""COMPUTED_VALUE"""),4.0)</f>
        <v>4</v>
      </c>
      <c r="G3491" s="17" t="str">
        <f>IFERROR(__xludf.DUMMYFUNCTION("""COMPUTED_VALUE"""),"182406")</f>
        <v>182406</v>
      </c>
      <c r="H3491" s="17" t="str">
        <f>IFERROR(__xludf.DUMMYFUNCTION("""COMPUTED_VALUE"""),"волани")</f>
        <v>волани</v>
      </c>
      <c r="I3491" s="19">
        <f>IFERROR(__xludf.DUMMYFUNCTION("""COMPUTED_VALUE"""),0.0823)</f>
        <v>0.0823</v>
      </c>
      <c r="J3491" s="19">
        <f>IFERROR(__xludf.DUMMYFUNCTION("""COMPUTED_VALUE"""),0.1645)</f>
        <v>0.1645</v>
      </c>
      <c r="K3491" s="19">
        <f>IFERROR(__xludf.DUMMYFUNCTION("""COMPUTED_VALUE"""),0.2056)</f>
        <v>0.2056</v>
      </c>
      <c r="L3491" s="19">
        <f>IFERROR(__xludf.DUMMYFUNCTION("""COMPUTED_VALUE"""),0.2468)</f>
        <v>0.2468</v>
      </c>
      <c r="M3491" s="18">
        <f>IFERROR(__xludf.DUMMYFUNCTION("""COMPUTED_VALUE"""),2.53)</f>
        <v>2.53</v>
      </c>
    </row>
    <row r="3492">
      <c r="A3492" s="13" t="str">
        <f>IFERROR(__xludf.DUMMYFUNCTION("""COMPUTED_VALUE"""),"товари")</f>
        <v>товари</v>
      </c>
      <c r="B3492" s="16" t="str">
        <f>IFERROR(__xludf.DUMMYFUNCTION("""COMPUTED_VALUE"""),"спорт і відпочинок")</f>
        <v>спорт і відпочинок</v>
      </c>
      <c r="C3492" s="16" t="str">
        <f>IFERROR(__xludf.DUMMYFUNCTION("""COMPUTED_VALUE"""),"командні види спорту")</f>
        <v>командні види спорту</v>
      </c>
      <c r="D3492" s="16" t="str">
        <f>IFERROR(__xludf.DUMMYFUNCTION("""COMPUTED_VALUE"""),"волейбол")</f>
        <v>волейбол</v>
      </c>
      <c r="E3492" s="16" t="str">
        <f>IFERROR(__xludf.DUMMYFUNCTION("""COMPUTED_VALUE"""),"волейбол, загальне")</f>
        <v>волейбол, загальне</v>
      </c>
      <c r="F3492" s="17">
        <f>IFERROR(__xludf.DUMMYFUNCTION("""COMPUTED_VALUE"""),4.0)</f>
        <v>4</v>
      </c>
      <c r="G3492" s="17" t="str">
        <f>IFERROR(__xludf.DUMMYFUNCTION("""COMPUTED_VALUE"""),"203310")</f>
        <v>203310</v>
      </c>
      <c r="H3492" s="17" t="str">
        <f>IFERROR(__xludf.DUMMYFUNCTION("""COMPUTED_VALUE"""),"волейбол, загальне")</f>
        <v>волейбол, загальне</v>
      </c>
      <c r="I3492" s="19">
        <f>IFERROR(__xludf.DUMMYFUNCTION("""COMPUTED_VALUE"""),0.125)</f>
        <v>0.125</v>
      </c>
      <c r="J3492" s="19">
        <f>IFERROR(__xludf.DUMMYFUNCTION("""COMPUTED_VALUE"""),0.25)</f>
        <v>0.25</v>
      </c>
      <c r="K3492" s="19">
        <f>IFERROR(__xludf.DUMMYFUNCTION("""COMPUTED_VALUE"""),0.3125)</f>
        <v>0.3125</v>
      </c>
      <c r="L3492" s="19">
        <f>IFERROR(__xludf.DUMMYFUNCTION("""COMPUTED_VALUE"""),0.375)</f>
        <v>0.375</v>
      </c>
      <c r="M3492" s="18">
        <f>IFERROR(__xludf.DUMMYFUNCTION("""COMPUTED_VALUE"""),4.33)</f>
        <v>4.33</v>
      </c>
    </row>
    <row r="3493">
      <c r="A3493" s="13" t="str">
        <f>IFERROR(__xludf.DUMMYFUNCTION("""COMPUTED_VALUE"""),"товари")</f>
        <v>товари</v>
      </c>
      <c r="B3493" s="16" t="str">
        <f>IFERROR(__xludf.DUMMYFUNCTION("""COMPUTED_VALUE"""),"спорт і відпочинок")</f>
        <v>спорт і відпочинок</v>
      </c>
      <c r="C3493" s="16" t="str">
        <f>IFERROR(__xludf.DUMMYFUNCTION("""COMPUTED_VALUE"""),"командні види спорту")</f>
        <v>командні види спорту</v>
      </c>
      <c r="D3493" s="16" t="str">
        <f>IFERROR(__xludf.DUMMYFUNCTION("""COMPUTED_VALUE"""),"футбол")</f>
        <v>футбол</v>
      </c>
      <c r="E3493" s="16" t="str">
        <f>IFERROR(__xludf.DUMMYFUNCTION("""COMPUTED_VALUE"""),"ворота для ігрових майданчиків")</f>
        <v>ворота для ігрових майданчиків</v>
      </c>
      <c r="F3493" s="17">
        <f>IFERROR(__xludf.DUMMYFUNCTION("""COMPUTED_VALUE"""),4.0)</f>
        <v>4</v>
      </c>
      <c r="G3493" s="17" t="str">
        <f>IFERROR(__xludf.DUMMYFUNCTION("""COMPUTED_VALUE"""),"200322")</f>
        <v>200322</v>
      </c>
      <c r="H3493" s="17" t="str">
        <f>IFERROR(__xludf.DUMMYFUNCTION("""COMPUTED_VALUE"""),"ворота для ігрових майданчиків")</f>
        <v>ворота для ігрових майданчиків</v>
      </c>
      <c r="I3493" s="19">
        <f>IFERROR(__xludf.DUMMYFUNCTION("""COMPUTED_VALUE"""),0.0828)</f>
        <v>0.0828</v>
      </c>
      <c r="J3493" s="19">
        <f>IFERROR(__xludf.DUMMYFUNCTION("""COMPUTED_VALUE"""),0.1655)</f>
        <v>0.1655</v>
      </c>
      <c r="K3493" s="19">
        <f>IFERROR(__xludf.DUMMYFUNCTION("""COMPUTED_VALUE"""),0.2069)</f>
        <v>0.2069</v>
      </c>
      <c r="L3493" s="19">
        <f>IFERROR(__xludf.DUMMYFUNCTION("""COMPUTED_VALUE"""),0.2483)</f>
        <v>0.2483</v>
      </c>
      <c r="M3493" s="18">
        <f>IFERROR(__xludf.DUMMYFUNCTION("""COMPUTED_VALUE"""),3.24)</f>
        <v>3.24</v>
      </c>
    </row>
    <row r="3494">
      <c r="A3494" s="13" t="str">
        <f>IFERROR(__xludf.DUMMYFUNCTION("""COMPUTED_VALUE"""),"товари")</f>
        <v>товари</v>
      </c>
      <c r="B3494" s="16" t="str">
        <f>IFERROR(__xludf.DUMMYFUNCTION("""COMPUTED_VALUE"""),"спорт і відпочинок")</f>
        <v>спорт і відпочинок</v>
      </c>
      <c r="C3494" s="16" t="str">
        <f>IFERROR(__xludf.DUMMYFUNCTION("""COMPUTED_VALUE"""),"водні види спорту")</f>
        <v>водні види спорту</v>
      </c>
      <c r="D3494" s="16" t="str">
        <f>IFERROR(__xludf.DUMMYFUNCTION("""COMPUTED_VALUE"""),"все для плавання")</f>
        <v>все для плавання</v>
      </c>
      <c r="E3494" s="16" t="str">
        <f>IFERROR(__xludf.DUMMYFUNCTION("""COMPUTED_VALUE"""),"все для плавання, загальне")</f>
        <v>все для плавання, загальне</v>
      </c>
      <c r="F3494" s="17">
        <f>IFERROR(__xludf.DUMMYFUNCTION("""COMPUTED_VALUE"""),4.0)</f>
        <v>4</v>
      </c>
      <c r="G3494" s="17" t="str">
        <f>IFERROR(__xludf.DUMMYFUNCTION("""COMPUTED_VALUE"""),"203434")</f>
        <v>203434</v>
      </c>
      <c r="H3494" s="17" t="str">
        <f>IFERROR(__xludf.DUMMYFUNCTION("""COMPUTED_VALUE"""),"все для плавання, загальне")</f>
        <v>все для плавання, загальне</v>
      </c>
      <c r="I3494" s="19">
        <f>IFERROR(__xludf.DUMMYFUNCTION("""COMPUTED_VALUE"""),0.125)</f>
        <v>0.125</v>
      </c>
      <c r="J3494" s="19">
        <f>IFERROR(__xludf.DUMMYFUNCTION("""COMPUTED_VALUE"""),0.25)</f>
        <v>0.25</v>
      </c>
      <c r="K3494" s="19">
        <f>IFERROR(__xludf.DUMMYFUNCTION("""COMPUTED_VALUE"""),0.3125)</f>
        <v>0.3125</v>
      </c>
      <c r="L3494" s="19">
        <f>IFERROR(__xludf.DUMMYFUNCTION("""COMPUTED_VALUE"""),0.375)</f>
        <v>0.375</v>
      </c>
      <c r="M3494" s="18">
        <f>IFERROR(__xludf.DUMMYFUNCTION("""COMPUTED_VALUE"""),4.33)</f>
        <v>4.33</v>
      </c>
    </row>
    <row r="3495">
      <c r="A3495" s="13" t="str">
        <f>IFERROR(__xludf.DUMMYFUNCTION("""COMPUTED_VALUE"""),"товари")</f>
        <v>товари</v>
      </c>
      <c r="B3495" s="16" t="str">
        <f>IFERROR(__xludf.DUMMYFUNCTION("""COMPUTED_VALUE"""),"спорт і відпочинок")</f>
        <v>спорт і відпочинок</v>
      </c>
      <c r="C3495" s="16" t="str">
        <f>IFERROR(__xludf.DUMMYFUNCTION("""COMPUTED_VALUE"""),"все для пляжу")</f>
        <v>все для пляжу</v>
      </c>
      <c r="D3495" s="16" t="str">
        <f>IFERROR(__xludf.DUMMYFUNCTION("""COMPUTED_VALUE"""),"все для пляжу, загальне")</f>
        <v>все для пляжу, загальне</v>
      </c>
      <c r="E3495" s="16" t="str">
        <f>IFERROR(__xludf.DUMMYFUNCTION("""COMPUTED_VALUE"""),"все для пляжу, загальне")</f>
        <v>все для пляжу, загальне</v>
      </c>
      <c r="F3495" s="17">
        <f>IFERROR(__xludf.DUMMYFUNCTION("""COMPUTED_VALUE"""),3.0)</f>
        <v>3</v>
      </c>
      <c r="G3495" s="17" t="str">
        <f>IFERROR(__xludf.DUMMYFUNCTION("""COMPUTED_VALUE"""),"203417")</f>
        <v>203417</v>
      </c>
      <c r="H3495" s="17" t="str">
        <f>IFERROR(__xludf.DUMMYFUNCTION("""COMPUTED_VALUE"""),"все для пляжу, загальне")</f>
        <v>все для пляжу, загальне</v>
      </c>
      <c r="I3495" s="19">
        <f>IFERROR(__xludf.DUMMYFUNCTION("""COMPUTED_VALUE"""),0.125)</f>
        <v>0.125</v>
      </c>
      <c r="J3495" s="19">
        <f>IFERROR(__xludf.DUMMYFUNCTION("""COMPUTED_VALUE"""),0.25)</f>
        <v>0.25</v>
      </c>
      <c r="K3495" s="19">
        <f>IFERROR(__xludf.DUMMYFUNCTION("""COMPUTED_VALUE"""),0.3125)</f>
        <v>0.3125</v>
      </c>
      <c r="L3495" s="19">
        <f>IFERROR(__xludf.DUMMYFUNCTION("""COMPUTED_VALUE"""),0.375)</f>
        <v>0.375</v>
      </c>
      <c r="M3495" s="18">
        <f>IFERROR(__xludf.DUMMYFUNCTION("""COMPUTED_VALUE"""),4.33)</f>
        <v>4.33</v>
      </c>
    </row>
    <row r="3496">
      <c r="A3496" s="13" t="str">
        <f>IFERROR(__xludf.DUMMYFUNCTION("""COMPUTED_VALUE"""),"товари")</f>
        <v>товари</v>
      </c>
      <c r="B3496" s="16" t="str">
        <f>IFERROR(__xludf.DUMMYFUNCTION("""COMPUTED_VALUE"""),"спорт і відпочинок")</f>
        <v>спорт і відпочинок</v>
      </c>
      <c r="C3496" s="16" t="str">
        <f>IFERROR(__xludf.DUMMYFUNCTION("""COMPUTED_VALUE"""),"товари для риболовлі")</f>
        <v>товари для риболовлі</v>
      </c>
      <c r="D3496" s="16" t="str">
        <f>IFERROR(__xludf.DUMMYFUNCTION("""COMPUTED_VALUE"""),"вудки та спінінги")</f>
        <v>вудки та спінінги</v>
      </c>
      <c r="E3496" s="16" t="str">
        <f>IFERROR(__xludf.DUMMYFUNCTION("""COMPUTED_VALUE"""),"вудки та спінінги")</f>
        <v>вудки та спінінги</v>
      </c>
      <c r="F3496" s="17">
        <f>IFERROR(__xludf.DUMMYFUNCTION("""COMPUTED_VALUE"""),3.0)</f>
        <v>3</v>
      </c>
      <c r="G3496" s="17" t="str">
        <f>IFERROR(__xludf.DUMMYFUNCTION("""COMPUTED_VALUE"""),"181005")</f>
        <v>181005</v>
      </c>
      <c r="H3496" s="17" t="str">
        <f>IFERROR(__xludf.DUMMYFUNCTION("""COMPUTED_VALUE"""),"вудки та спінінги")</f>
        <v>вудки та спінінги</v>
      </c>
      <c r="I3496" s="19">
        <f>IFERROR(__xludf.DUMMYFUNCTION("""COMPUTED_VALUE"""),0.08)</f>
        <v>0.08</v>
      </c>
      <c r="J3496" s="19">
        <f>IFERROR(__xludf.DUMMYFUNCTION("""COMPUTED_VALUE"""),0.16)</f>
        <v>0.16</v>
      </c>
      <c r="K3496" s="19">
        <f>IFERROR(__xludf.DUMMYFUNCTION("""COMPUTED_VALUE"""),0.2)</f>
        <v>0.2</v>
      </c>
      <c r="L3496" s="19">
        <f>IFERROR(__xludf.DUMMYFUNCTION("""COMPUTED_VALUE"""),0.24)</f>
        <v>0.24</v>
      </c>
      <c r="M3496" s="18">
        <f>IFERROR(__xludf.DUMMYFUNCTION("""COMPUTED_VALUE"""),1.63)</f>
        <v>1.63</v>
      </c>
    </row>
    <row r="3497">
      <c r="A3497" s="13" t="str">
        <f>IFERROR(__xludf.DUMMYFUNCTION("""COMPUTED_VALUE"""),"товари")</f>
        <v>товари</v>
      </c>
      <c r="B3497" s="16" t="str">
        <f>IFERROR(__xludf.DUMMYFUNCTION("""COMPUTED_VALUE"""),"спорт і відпочинок")</f>
        <v>спорт і відпочинок</v>
      </c>
      <c r="C3497" s="16" t="str">
        <f>IFERROR(__xludf.DUMMYFUNCTION("""COMPUTED_VALUE"""),"гаджети для спорту")</f>
        <v>гаджети для спорту</v>
      </c>
      <c r="D3497" s="16" t="str">
        <f>IFERROR(__xludf.DUMMYFUNCTION("""COMPUTED_VALUE"""),"гаджети для спорту, загальне")</f>
        <v>гаджети для спорту, загальне</v>
      </c>
      <c r="E3497" s="16" t="str">
        <f>IFERROR(__xludf.DUMMYFUNCTION("""COMPUTED_VALUE"""),"гаджети для спорту, загальне")</f>
        <v>гаджети для спорту, загальне</v>
      </c>
      <c r="F3497" s="17">
        <f>IFERROR(__xludf.DUMMYFUNCTION("""COMPUTED_VALUE"""),3.0)</f>
        <v>3</v>
      </c>
      <c r="G3497" s="17" t="str">
        <f>IFERROR(__xludf.DUMMYFUNCTION("""COMPUTED_VALUE"""),"205501")</f>
        <v>205501</v>
      </c>
      <c r="H3497" s="17" t="str">
        <f>IFERROR(__xludf.DUMMYFUNCTION("""COMPUTED_VALUE"""),"гаджети для спорту, загальне")</f>
        <v>гаджети для спорту, загальне</v>
      </c>
      <c r="I3497" s="19">
        <f>IFERROR(__xludf.DUMMYFUNCTION("""COMPUTED_VALUE"""),0.125)</f>
        <v>0.125</v>
      </c>
      <c r="J3497" s="19">
        <f>IFERROR(__xludf.DUMMYFUNCTION("""COMPUTED_VALUE"""),0.25)</f>
        <v>0.25</v>
      </c>
      <c r="K3497" s="19">
        <f>IFERROR(__xludf.DUMMYFUNCTION("""COMPUTED_VALUE"""),0.3125)</f>
        <v>0.3125</v>
      </c>
      <c r="L3497" s="19">
        <f>IFERROR(__xludf.DUMMYFUNCTION("""COMPUTED_VALUE"""),0.375)</f>
        <v>0.375</v>
      </c>
      <c r="M3497" s="18">
        <f>IFERROR(__xludf.DUMMYFUNCTION("""COMPUTED_VALUE"""),4.33)</f>
        <v>4.33</v>
      </c>
    </row>
    <row r="3498">
      <c r="A3498" s="13" t="str">
        <f>IFERROR(__xludf.DUMMYFUNCTION("""COMPUTED_VALUE"""),"товари")</f>
        <v>товари</v>
      </c>
      <c r="B3498" s="16" t="str">
        <f>IFERROR(__xludf.DUMMYFUNCTION("""COMPUTED_VALUE"""),"спорт і відпочинок")</f>
        <v>спорт і відпочинок</v>
      </c>
      <c r="C3498" s="16" t="str">
        <f>IFERROR(__xludf.DUMMYFUNCTION("""COMPUTED_VALUE"""),"велосипеди та аксесуари")</f>
        <v>велосипеди та аксесуари</v>
      </c>
      <c r="D3498" s="16" t="str">
        <f>IFERROR(__xludf.DUMMYFUNCTION("""COMPUTED_VALUE"""),"велозапчастини")</f>
        <v>велозапчастини</v>
      </c>
      <c r="E3498" s="16" t="str">
        <f>IFERROR(__xludf.DUMMYFUNCTION("""COMPUTED_VALUE"""),"гальма та гальмівні ручки")</f>
        <v>гальма та гальмівні ручки</v>
      </c>
      <c r="F3498" s="17">
        <f>IFERROR(__xludf.DUMMYFUNCTION("""COMPUTED_VALUE"""),4.0)</f>
        <v>4</v>
      </c>
      <c r="G3498" s="17" t="str">
        <f>IFERROR(__xludf.DUMMYFUNCTION("""COMPUTED_VALUE"""),"122218")</f>
        <v>122218</v>
      </c>
      <c r="H3498" s="17" t="str">
        <f>IFERROR(__xludf.DUMMYFUNCTION("""COMPUTED_VALUE"""),"гальма та гальмівні ручки")</f>
        <v>гальма та гальмівні ручки</v>
      </c>
      <c r="I3498" s="19">
        <f>IFERROR(__xludf.DUMMYFUNCTION("""COMPUTED_VALUE"""),0.0776)</f>
        <v>0.0776</v>
      </c>
      <c r="J3498" s="19">
        <f>IFERROR(__xludf.DUMMYFUNCTION("""COMPUTED_VALUE"""),0.1551)</f>
        <v>0.1551</v>
      </c>
      <c r="K3498" s="19">
        <f>IFERROR(__xludf.DUMMYFUNCTION("""COMPUTED_VALUE"""),0.1939)</f>
        <v>0.1939</v>
      </c>
      <c r="L3498" s="19">
        <f>IFERROR(__xludf.DUMMYFUNCTION("""COMPUTED_VALUE"""),0.2327)</f>
        <v>0.2327</v>
      </c>
      <c r="M3498" s="18">
        <f>IFERROR(__xludf.DUMMYFUNCTION("""COMPUTED_VALUE"""),1.71)</f>
        <v>1.71</v>
      </c>
    </row>
    <row r="3499">
      <c r="A3499" s="13" t="str">
        <f>IFERROR(__xludf.DUMMYFUNCTION("""COMPUTED_VALUE"""),"товари")</f>
        <v>товари</v>
      </c>
      <c r="B3499" s="16" t="str">
        <f>IFERROR(__xludf.DUMMYFUNCTION("""COMPUTED_VALUE"""),"спорт і відпочинок")</f>
        <v>спорт і відпочинок</v>
      </c>
      <c r="C3499" s="16" t="str">
        <f>IFERROR(__xludf.DUMMYFUNCTION("""COMPUTED_VALUE"""),"спортивні товари")</f>
        <v>спортивні товари</v>
      </c>
      <c r="D3499" s="16" t="str">
        <f>IFERROR(__xludf.DUMMYFUNCTION("""COMPUTED_VALUE"""),"йога")</f>
        <v>йога</v>
      </c>
      <c r="E3499" s="16" t="str">
        <f>IFERROR(__xludf.DUMMYFUNCTION("""COMPUTED_VALUE"""),"гамаки для йоги")</f>
        <v>гамаки для йоги</v>
      </c>
      <c r="F3499" s="17">
        <f>IFERROR(__xludf.DUMMYFUNCTION("""COMPUTED_VALUE"""),4.0)</f>
        <v>4</v>
      </c>
      <c r="G3499" s="17" t="str">
        <f>IFERROR(__xludf.DUMMYFUNCTION("""COMPUTED_VALUE"""),"204303")</f>
        <v>204303</v>
      </c>
      <c r="H3499" s="17" t="str">
        <f>IFERROR(__xludf.DUMMYFUNCTION("""COMPUTED_VALUE"""),"гамаки для йоги")</f>
        <v>гамаки для йоги</v>
      </c>
      <c r="I3499" s="19">
        <f>IFERROR(__xludf.DUMMYFUNCTION("""COMPUTED_VALUE"""),0.0803)</f>
        <v>0.0803</v>
      </c>
      <c r="J3499" s="19">
        <f>IFERROR(__xludf.DUMMYFUNCTION("""COMPUTED_VALUE"""),0.1606)</f>
        <v>0.1606</v>
      </c>
      <c r="K3499" s="19">
        <f>IFERROR(__xludf.DUMMYFUNCTION("""COMPUTED_VALUE"""),0.2008)</f>
        <v>0.2008</v>
      </c>
      <c r="L3499" s="19">
        <f>IFERROR(__xludf.DUMMYFUNCTION("""COMPUTED_VALUE"""),0.2409)</f>
        <v>0.2409</v>
      </c>
      <c r="M3499" s="18">
        <f>IFERROR(__xludf.DUMMYFUNCTION("""COMPUTED_VALUE"""),3.96)</f>
        <v>3.96</v>
      </c>
    </row>
    <row r="3500">
      <c r="A3500" s="13" t="str">
        <f>IFERROR(__xludf.DUMMYFUNCTION("""COMPUTED_VALUE"""),"товари")</f>
        <v>товари</v>
      </c>
      <c r="B3500" s="16" t="str">
        <f>IFERROR(__xludf.DUMMYFUNCTION("""COMPUTED_VALUE"""),"спорт і відпочинок")</f>
        <v>спорт і відпочинок</v>
      </c>
      <c r="C3500" s="16" t="str">
        <f>IFERROR(__xludf.DUMMYFUNCTION("""COMPUTED_VALUE"""),"тренажери")</f>
        <v>тренажери</v>
      </c>
      <c r="D3500" s="16" t="str">
        <f>IFERROR(__xludf.DUMMYFUNCTION("""COMPUTED_VALUE"""),"гантелі, гирі, штанги та диски")</f>
        <v>гантелі, гирі, штанги та диски</v>
      </c>
      <c r="E3500" s="16" t="str">
        <f>IFERROR(__xludf.DUMMYFUNCTION("""COMPUTED_VALUE"""),"гантелі, гирі, штанги та диски")</f>
        <v>гантелі, гирі, штанги та диски</v>
      </c>
      <c r="F3500" s="17">
        <f>IFERROR(__xludf.DUMMYFUNCTION("""COMPUTED_VALUE"""),3.0)</f>
        <v>3</v>
      </c>
      <c r="G3500" s="17" t="str">
        <f>IFERROR(__xludf.DUMMYFUNCTION("""COMPUTED_VALUE"""),"200901")</f>
        <v>200901</v>
      </c>
      <c r="H3500" s="17" t="str">
        <f>IFERROR(__xludf.DUMMYFUNCTION("""COMPUTED_VALUE"""),"гантелі, гирі, штанги та диски")</f>
        <v>гантелі, гирі, штанги та диски</v>
      </c>
      <c r="I3500" s="19">
        <f>IFERROR(__xludf.DUMMYFUNCTION("""COMPUTED_VALUE"""),0.0655)</f>
        <v>0.0655</v>
      </c>
      <c r="J3500" s="19">
        <f>IFERROR(__xludf.DUMMYFUNCTION("""COMPUTED_VALUE"""),0.1309)</f>
        <v>0.1309</v>
      </c>
      <c r="K3500" s="19">
        <f>IFERROR(__xludf.DUMMYFUNCTION("""COMPUTED_VALUE"""),0.1636)</f>
        <v>0.1636</v>
      </c>
      <c r="L3500" s="19">
        <f>IFERROR(__xludf.DUMMYFUNCTION("""COMPUTED_VALUE"""),0.1964)</f>
        <v>0.1964</v>
      </c>
      <c r="M3500" s="18">
        <f>IFERROR(__xludf.DUMMYFUNCTION("""COMPUTED_VALUE"""),4.35)</f>
        <v>4.35</v>
      </c>
    </row>
    <row r="3501">
      <c r="A3501" s="13" t="str">
        <f>IFERROR(__xludf.DUMMYFUNCTION("""COMPUTED_VALUE"""),"товари")</f>
        <v>товари</v>
      </c>
      <c r="B3501" s="16" t="str">
        <f>IFERROR(__xludf.DUMMYFUNCTION("""COMPUTED_VALUE"""),"спорт і відпочинок")</f>
        <v>спорт і відпочинок</v>
      </c>
      <c r="C3501" s="16" t="str">
        <f>IFERROR(__xludf.DUMMYFUNCTION("""COMPUTED_VALUE"""),"товари для підводного полювання")</f>
        <v>товари для підводного полювання</v>
      </c>
      <c r="D3501" s="16" t="str">
        <f>IFERROR(__xludf.DUMMYFUNCTION("""COMPUTED_VALUE"""),"підводні рушниці")</f>
        <v>підводні рушниці</v>
      </c>
      <c r="E3501" s="16" t="str">
        <f>IFERROR(__xludf.DUMMYFUNCTION("""COMPUTED_VALUE"""),"гарпуни, тризуби та наконечники для підводних рушниць")</f>
        <v>гарпуни, тризуби та наконечники для підводних рушниць</v>
      </c>
      <c r="F3501" s="17">
        <f>IFERROR(__xludf.DUMMYFUNCTION("""COMPUTED_VALUE"""),4.0)</f>
        <v>4</v>
      </c>
      <c r="G3501" s="17" t="str">
        <f>IFERROR(__xludf.DUMMYFUNCTION("""COMPUTED_VALUE"""),"302115")</f>
        <v>302115</v>
      </c>
      <c r="H3501" s="17" t="str">
        <f>IFERROR(__xludf.DUMMYFUNCTION("""COMPUTED_VALUE"""),"гарпуни, тризуби та наконечники для підводних рушниць")</f>
        <v>гарпуни, тризуби та наконечники для підводних рушниць</v>
      </c>
      <c r="I3501" s="19">
        <f>IFERROR(__xludf.DUMMYFUNCTION("""COMPUTED_VALUE"""),0.0549)</f>
        <v>0.0549</v>
      </c>
      <c r="J3501" s="19">
        <f>IFERROR(__xludf.DUMMYFUNCTION("""COMPUTED_VALUE"""),0.1097)</f>
        <v>0.1097</v>
      </c>
      <c r="K3501" s="19">
        <f>IFERROR(__xludf.DUMMYFUNCTION("""COMPUTED_VALUE"""),0.1371)</f>
        <v>0.1371</v>
      </c>
      <c r="L3501" s="19">
        <f>IFERROR(__xludf.DUMMYFUNCTION("""COMPUTED_VALUE"""),0.1646)</f>
        <v>0.1646</v>
      </c>
      <c r="M3501" s="18">
        <f>IFERROR(__xludf.DUMMYFUNCTION("""COMPUTED_VALUE"""),1.53)</f>
        <v>1.53</v>
      </c>
    </row>
    <row r="3502">
      <c r="A3502" s="13" t="str">
        <f>IFERROR(__xludf.DUMMYFUNCTION("""COMPUTED_VALUE"""),"товари")</f>
        <v>товари</v>
      </c>
      <c r="B3502" s="16" t="str">
        <f>IFERROR(__xludf.DUMMYFUNCTION("""COMPUTED_VALUE"""),"спорт і відпочинок")</f>
        <v>спорт і відпочинок</v>
      </c>
      <c r="C3502" s="16" t="str">
        <f>IFERROR(__xludf.DUMMYFUNCTION("""COMPUTED_VALUE"""),"товари для риболовлі")</f>
        <v>товари для риболовлі</v>
      </c>
      <c r="D3502" s="16" t="str">
        <f>IFERROR(__xludf.DUMMYFUNCTION("""COMPUTED_VALUE"""),"рибальські снасті")</f>
        <v>рибальські снасті</v>
      </c>
      <c r="E3502" s="16" t="str">
        <f>IFERROR(__xludf.DUMMYFUNCTION("""COMPUTED_VALUE"""),"гачки та грузила")</f>
        <v>гачки та грузила</v>
      </c>
      <c r="F3502" s="17">
        <f>IFERROR(__xludf.DUMMYFUNCTION("""COMPUTED_VALUE"""),4.0)</f>
        <v>4</v>
      </c>
      <c r="G3502" s="17" t="str">
        <f>IFERROR(__xludf.DUMMYFUNCTION("""COMPUTED_VALUE"""),"181011")</f>
        <v>181011</v>
      </c>
      <c r="H3502" s="17" t="str">
        <f>IFERROR(__xludf.DUMMYFUNCTION("""COMPUTED_VALUE"""),"гачки та грузила")</f>
        <v>гачки та грузила</v>
      </c>
      <c r="I3502" s="19">
        <f>IFERROR(__xludf.DUMMYFUNCTION("""COMPUTED_VALUE"""),0.0783)</f>
        <v>0.0783</v>
      </c>
      <c r="J3502" s="19">
        <f>IFERROR(__xludf.DUMMYFUNCTION("""COMPUTED_VALUE"""),0.1565)</f>
        <v>0.1565</v>
      </c>
      <c r="K3502" s="19">
        <f>IFERROR(__xludf.DUMMYFUNCTION("""COMPUTED_VALUE"""),0.1956)</f>
        <v>0.1956</v>
      </c>
      <c r="L3502" s="19">
        <f>IFERROR(__xludf.DUMMYFUNCTION("""COMPUTED_VALUE"""),0.2348)</f>
        <v>0.2348</v>
      </c>
      <c r="M3502" s="18">
        <f>IFERROR(__xludf.DUMMYFUNCTION("""COMPUTED_VALUE"""),1.05)</f>
        <v>1.05</v>
      </c>
    </row>
    <row r="3503">
      <c r="A3503" s="13" t="str">
        <f>IFERROR(__xludf.DUMMYFUNCTION("""COMPUTED_VALUE"""),"товари")</f>
        <v>товари</v>
      </c>
      <c r="B3503" s="16" t="str">
        <f>IFERROR(__xludf.DUMMYFUNCTION("""COMPUTED_VALUE"""),"спорт і відпочинок")</f>
        <v>спорт і відпочинок</v>
      </c>
      <c r="C3503" s="16" t="str">
        <f>IFERROR(__xludf.DUMMYFUNCTION("""COMPUTED_VALUE"""),"екстремальні види спорту")</f>
        <v>екстремальні види спорту</v>
      </c>
      <c r="D3503" s="16" t="str">
        <f>IFERROR(__xludf.DUMMYFUNCTION("""COMPUTED_VALUE"""),"дайвінг")</f>
        <v>дайвінг</v>
      </c>
      <c r="E3503" s="16" t="str">
        <f>IFERROR(__xludf.DUMMYFUNCTION("""COMPUTED_VALUE"""),"гідрокостюми")</f>
        <v>гідрокостюми</v>
      </c>
      <c r="F3503" s="17">
        <f>IFERROR(__xludf.DUMMYFUNCTION("""COMPUTED_VALUE"""),4.0)</f>
        <v>4</v>
      </c>
      <c r="G3503" s="17" t="str">
        <f>IFERROR(__xludf.DUMMYFUNCTION("""COMPUTED_VALUE"""),"30108")</f>
        <v>30108</v>
      </c>
      <c r="H3503" s="17" t="str">
        <f>IFERROR(__xludf.DUMMYFUNCTION("""COMPUTED_VALUE"""),"гідрокостюми")</f>
        <v>гідрокостюми</v>
      </c>
      <c r="I3503" s="19">
        <f>IFERROR(__xludf.DUMMYFUNCTION("""COMPUTED_VALUE"""),0.0779)</f>
        <v>0.0779</v>
      </c>
      <c r="J3503" s="19">
        <f>IFERROR(__xludf.DUMMYFUNCTION("""COMPUTED_VALUE"""),0.1558)</f>
        <v>0.1558</v>
      </c>
      <c r="K3503" s="19">
        <f>IFERROR(__xludf.DUMMYFUNCTION("""COMPUTED_VALUE"""),0.1948)</f>
        <v>0.1948</v>
      </c>
      <c r="L3503" s="19">
        <f>IFERROR(__xludf.DUMMYFUNCTION("""COMPUTED_VALUE"""),0.2337)</f>
        <v>0.2337</v>
      </c>
      <c r="M3503" s="18">
        <f>IFERROR(__xludf.DUMMYFUNCTION("""COMPUTED_VALUE"""),2.88)</f>
        <v>2.88</v>
      </c>
    </row>
    <row r="3504">
      <c r="A3504" s="13" t="str">
        <f>IFERROR(__xludf.DUMMYFUNCTION("""COMPUTED_VALUE"""),"товари")</f>
        <v>товари</v>
      </c>
      <c r="B3504" s="16" t="str">
        <f>IFERROR(__xludf.DUMMYFUNCTION("""COMPUTED_VALUE"""),"спорт і відпочинок")</f>
        <v>спорт і відпочинок</v>
      </c>
      <c r="C3504" s="16" t="str">
        <f>IFERROR(__xludf.DUMMYFUNCTION("""COMPUTED_VALUE"""),"спортивні товари")</f>
        <v>спортивні товари</v>
      </c>
      <c r="D3504" s="16" t="str">
        <f>IFERROR(__xludf.DUMMYFUNCTION("""COMPUTED_VALUE"""),"гімнастика")</f>
        <v>гімнастика</v>
      </c>
      <c r="E3504" s="16" t="str">
        <f>IFERROR(__xludf.DUMMYFUNCTION("""COMPUTED_VALUE"""),"гімнастика, загальне")</f>
        <v>гімнастика, загальне</v>
      </c>
      <c r="F3504" s="17">
        <f>IFERROR(__xludf.DUMMYFUNCTION("""COMPUTED_VALUE"""),4.0)</f>
        <v>4</v>
      </c>
      <c r="G3504" s="17" t="str">
        <f>IFERROR(__xludf.DUMMYFUNCTION("""COMPUTED_VALUE"""),"204201")</f>
        <v>204201</v>
      </c>
      <c r="H3504" s="17" t="str">
        <f>IFERROR(__xludf.DUMMYFUNCTION("""COMPUTED_VALUE"""),"гімнастика, загальне")</f>
        <v>гімнастика, загальне</v>
      </c>
      <c r="I3504" s="19">
        <f>IFERROR(__xludf.DUMMYFUNCTION("""COMPUTED_VALUE"""),0.125)</f>
        <v>0.125</v>
      </c>
      <c r="J3504" s="19">
        <f>IFERROR(__xludf.DUMMYFUNCTION("""COMPUTED_VALUE"""),0.25)</f>
        <v>0.25</v>
      </c>
      <c r="K3504" s="19">
        <f>IFERROR(__xludf.DUMMYFUNCTION("""COMPUTED_VALUE"""),0.3125)</f>
        <v>0.3125</v>
      </c>
      <c r="L3504" s="19">
        <f>IFERROR(__xludf.DUMMYFUNCTION("""COMPUTED_VALUE"""),0.375)</f>
        <v>0.375</v>
      </c>
      <c r="M3504" s="18">
        <f>IFERROR(__xludf.DUMMYFUNCTION("""COMPUTED_VALUE"""),4.33)</f>
        <v>4.33</v>
      </c>
    </row>
    <row r="3505">
      <c r="A3505" s="13" t="str">
        <f>IFERROR(__xludf.DUMMYFUNCTION("""COMPUTED_VALUE"""),"товари")</f>
        <v>товари</v>
      </c>
      <c r="B3505" s="16" t="str">
        <f>IFERROR(__xludf.DUMMYFUNCTION("""COMPUTED_VALUE"""),"спорт і відпочинок")</f>
        <v>спорт і відпочинок</v>
      </c>
      <c r="C3505" s="16" t="str">
        <f>IFERROR(__xludf.DUMMYFUNCTION("""COMPUTED_VALUE"""),"спортивні товари")</f>
        <v>спортивні товари</v>
      </c>
      <c r="D3505" s="16" t="str">
        <f>IFERROR(__xludf.DUMMYFUNCTION("""COMPUTED_VALUE"""),"фітнес")</f>
        <v>фітнес</v>
      </c>
      <c r="E3505" s="16" t="str">
        <f>IFERROR(__xludf.DUMMYFUNCTION("""COMPUTED_VALUE"""),"гімнастичні диски")</f>
        <v>гімнастичні диски</v>
      </c>
      <c r="F3505" s="17">
        <f>IFERROR(__xludf.DUMMYFUNCTION("""COMPUTED_VALUE"""),4.0)</f>
        <v>4</v>
      </c>
      <c r="G3505" s="17" t="str">
        <f>IFERROR(__xludf.DUMMYFUNCTION("""COMPUTED_VALUE"""),"203604")</f>
        <v>203604</v>
      </c>
      <c r="H3505" s="17" t="str">
        <f>IFERROR(__xludf.DUMMYFUNCTION("""COMPUTED_VALUE"""),"гімнастичні диски")</f>
        <v>гімнастичні диски</v>
      </c>
      <c r="I3505" s="19">
        <f>IFERROR(__xludf.DUMMYFUNCTION("""COMPUTED_VALUE"""),0.0806)</f>
        <v>0.0806</v>
      </c>
      <c r="J3505" s="19">
        <f>IFERROR(__xludf.DUMMYFUNCTION("""COMPUTED_VALUE"""),0.1612)</f>
        <v>0.1612</v>
      </c>
      <c r="K3505" s="19">
        <f>IFERROR(__xludf.DUMMYFUNCTION("""COMPUTED_VALUE"""),0.2015)</f>
        <v>0.2015</v>
      </c>
      <c r="L3505" s="19">
        <f>IFERROR(__xludf.DUMMYFUNCTION("""COMPUTED_VALUE"""),0.2418)</f>
        <v>0.2418</v>
      </c>
      <c r="M3505" s="18">
        <f>IFERROR(__xludf.DUMMYFUNCTION("""COMPUTED_VALUE"""),3.06)</f>
        <v>3.06</v>
      </c>
    </row>
    <row r="3506">
      <c r="A3506" s="13" t="str">
        <f>IFERROR(__xludf.DUMMYFUNCTION("""COMPUTED_VALUE"""),"товари")</f>
        <v>товари</v>
      </c>
      <c r="B3506" s="16" t="str">
        <f>IFERROR(__xludf.DUMMYFUNCTION("""COMPUTED_VALUE"""),"спорт і відпочинок")</f>
        <v>спорт і відпочинок</v>
      </c>
      <c r="C3506" s="16" t="str">
        <f>IFERROR(__xludf.DUMMYFUNCTION("""COMPUTED_VALUE"""),"спортивні товари")</f>
        <v>спортивні товари</v>
      </c>
      <c r="D3506" s="16" t="str">
        <f>IFERROR(__xludf.DUMMYFUNCTION("""COMPUTED_VALUE"""),"фітнес")</f>
        <v>фітнес</v>
      </c>
      <c r="E3506" s="16" t="str">
        <f>IFERROR(__xludf.DUMMYFUNCTION("""COMPUTED_VALUE"""),"гімнастичні обручі ")</f>
        <v>гімнастичні обручі </v>
      </c>
      <c r="F3506" s="17">
        <f>IFERROR(__xludf.DUMMYFUNCTION("""COMPUTED_VALUE"""),4.0)</f>
        <v>4</v>
      </c>
      <c r="G3506" s="17" t="str">
        <f>IFERROR(__xludf.DUMMYFUNCTION("""COMPUTED_VALUE"""),"200327")</f>
        <v>200327</v>
      </c>
      <c r="H3506" s="17" t="str">
        <f>IFERROR(__xludf.DUMMYFUNCTION("""COMPUTED_VALUE"""),"гімнастичні обручі ")</f>
        <v>гімнастичні обручі </v>
      </c>
      <c r="I3506" s="19">
        <f>IFERROR(__xludf.DUMMYFUNCTION("""COMPUTED_VALUE"""),0.0806)</f>
        <v>0.0806</v>
      </c>
      <c r="J3506" s="19">
        <f>IFERROR(__xludf.DUMMYFUNCTION("""COMPUTED_VALUE"""),0.1612)</f>
        <v>0.1612</v>
      </c>
      <c r="K3506" s="19">
        <f>IFERROR(__xludf.DUMMYFUNCTION("""COMPUTED_VALUE"""),0.2015)</f>
        <v>0.2015</v>
      </c>
      <c r="L3506" s="19">
        <f>IFERROR(__xludf.DUMMYFUNCTION("""COMPUTED_VALUE"""),0.2418)</f>
        <v>0.2418</v>
      </c>
      <c r="M3506" s="18">
        <f>IFERROR(__xludf.DUMMYFUNCTION("""COMPUTED_VALUE"""),3.06)</f>
        <v>3.06</v>
      </c>
    </row>
    <row r="3507">
      <c r="A3507" s="13" t="str">
        <f>IFERROR(__xludf.DUMMYFUNCTION("""COMPUTED_VALUE"""),"товари")</f>
        <v>товари</v>
      </c>
      <c r="B3507" s="16" t="str">
        <f>IFERROR(__xludf.DUMMYFUNCTION("""COMPUTED_VALUE"""),"спорт і відпочинок")</f>
        <v>спорт і відпочинок</v>
      </c>
      <c r="C3507" s="16" t="str">
        <f>IFERROR(__xludf.DUMMYFUNCTION("""COMPUTED_VALUE"""),"спортивні товари")</f>
        <v>спортивні товари</v>
      </c>
      <c r="D3507" s="16" t="str">
        <f>IFERROR(__xludf.DUMMYFUNCTION("""COMPUTED_VALUE"""),"фітнес")</f>
        <v>фітнес</v>
      </c>
      <c r="E3507" s="16" t="str">
        <f>IFERROR(__xludf.DUMMYFUNCTION("""COMPUTED_VALUE"""),"гімнастичні палиці, бодібари")</f>
        <v>гімнастичні палиці, бодібари</v>
      </c>
      <c r="F3507" s="17">
        <f>IFERROR(__xludf.DUMMYFUNCTION("""COMPUTED_VALUE"""),4.0)</f>
        <v>4</v>
      </c>
      <c r="G3507" s="17" t="str">
        <f>IFERROR(__xludf.DUMMYFUNCTION("""COMPUTED_VALUE"""),"200326")</f>
        <v>200326</v>
      </c>
      <c r="H3507" s="17" t="str">
        <f>IFERROR(__xludf.DUMMYFUNCTION("""COMPUTED_VALUE"""),"гімнастичні палиці, бодібари")</f>
        <v>гімнастичні палиці, бодібари</v>
      </c>
      <c r="I3507" s="19">
        <f>IFERROR(__xludf.DUMMYFUNCTION("""COMPUTED_VALUE"""),0.08)</f>
        <v>0.08</v>
      </c>
      <c r="J3507" s="19">
        <f>IFERROR(__xludf.DUMMYFUNCTION("""COMPUTED_VALUE"""),0.1599)</f>
        <v>0.1599</v>
      </c>
      <c r="K3507" s="19">
        <f>IFERROR(__xludf.DUMMYFUNCTION("""COMPUTED_VALUE"""),0.1999)</f>
        <v>0.1999</v>
      </c>
      <c r="L3507" s="19">
        <f>IFERROR(__xludf.DUMMYFUNCTION("""COMPUTED_VALUE"""),0.2399)</f>
        <v>0.2399</v>
      </c>
      <c r="M3507" s="18">
        <f>IFERROR(__xludf.DUMMYFUNCTION("""COMPUTED_VALUE"""),3.06)</f>
        <v>3.06</v>
      </c>
    </row>
    <row r="3508">
      <c r="A3508" s="13" t="str">
        <f>IFERROR(__xludf.DUMMYFUNCTION("""COMPUTED_VALUE"""),"товари")</f>
        <v>товари</v>
      </c>
      <c r="B3508" s="16" t="str">
        <f>IFERROR(__xludf.DUMMYFUNCTION("""COMPUTED_VALUE"""),"спорт і відпочинок")</f>
        <v>спорт і відпочинок</v>
      </c>
      <c r="C3508" s="16" t="str">
        <f>IFERROR(__xludf.DUMMYFUNCTION("""COMPUTED_VALUE"""),"одяг та взуття для спортсменів")</f>
        <v>одяг та взуття для спортсменів</v>
      </c>
      <c r="D3508" s="16" t="str">
        <f>IFERROR(__xludf.DUMMYFUNCTION("""COMPUTED_VALUE"""),"гірськолижний та сноубордичний одяг")</f>
        <v>гірськолижний та сноубордичний одяг</v>
      </c>
      <c r="E3508" s="16" t="str">
        <f>IFERROR(__xludf.DUMMYFUNCTION("""COMPUTED_VALUE"""),"гірськолижний та сноубордичний одяг")</f>
        <v>гірськолижний та сноубордичний одяг</v>
      </c>
      <c r="F3508" s="17">
        <f>IFERROR(__xludf.DUMMYFUNCTION("""COMPUTED_VALUE"""),3.0)</f>
        <v>3</v>
      </c>
      <c r="G3508" s="17" t="str">
        <f>IFERROR(__xludf.DUMMYFUNCTION("""COMPUTED_VALUE"""),"30106")</f>
        <v>30106</v>
      </c>
      <c r="H3508" s="17" t="str">
        <f>IFERROR(__xludf.DUMMYFUNCTION("""COMPUTED_VALUE"""),"гірськолижний та сноубордичний одяг")</f>
        <v>гірськолижний та сноубордичний одяг</v>
      </c>
      <c r="I3508" s="19">
        <f>IFERROR(__xludf.DUMMYFUNCTION("""COMPUTED_VALUE"""),0.0664)</f>
        <v>0.0664</v>
      </c>
      <c r="J3508" s="19">
        <f>IFERROR(__xludf.DUMMYFUNCTION("""COMPUTED_VALUE"""),0.1328)</f>
        <v>0.1328</v>
      </c>
      <c r="K3508" s="19">
        <f>IFERROR(__xludf.DUMMYFUNCTION("""COMPUTED_VALUE"""),0.166)</f>
        <v>0.166</v>
      </c>
      <c r="L3508" s="19">
        <f>IFERROR(__xludf.DUMMYFUNCTION("""COMPUTED_VALUE"""),0.1992)</f>
        <v>0.1992</v>
      </c>
      <c r="M3508" s="18">
        <f>IFERROR(__xludf.DUMMYFUNCTION("""COMPUTED_VALUE"""),1.44)</f>
        <v>1.44</v>
      </c>
    </row>
    <row r="3509">
      <c r="A3509" s="13" t="str">
        <f>IFERROR(__xludf.DUMMYFUNCTION("""COMPUTED_VALUE"""),"товари")</f>
        <v>товари</v>
      </c>
      <c r="B3509" s="16" t="str">
        <f>IFERROR(__xludf.DUMMYFUNCTION("""COMPUTED_VALUE"""),"спорт і відпочинок")</f>
        <v>спорт і відпочинок</v>
      </c>
      <c r="C3509" s="16" t="str">
        <f>IFERROR(__xludf.DUMMYFUNCTION("""COMPUTED_VALUE"""),"спортивні товари")</f>
        <v>спортивні товари</v>
      </c>
      <c r="D3509" s="16" t="str">
        <f>IFERROR(__xludf.DUMMYFUNCTION("""COMPUTED_VALUE"""),"гольф")</f>
        <v>гольф</v>
      </c>
      <c r="E3509" s="16" t="str">
        <f>IFERROR(__xludf.DUMMYFUNCTION("""COMPUTED_VALUE"""),"гольф")</f>
        <v>гольф</v>
      </c>
      <c r="F3509" s="17">
        <f>IFERROR(__xludf.DUMMYFUNCTION("""COMPUTED_VALUE"""),3.0)</f>
        <v>3</v>
      </c>
      <c r="G3509" s="17" t="str">
        <f>IFERROR(__xludf.DUMMYFUNCTION("""COMPUTED_VALUE"""),"2005")</f>
        <v>2005</v>
      </c>
      <c r="H3509" s="17" t="str">
        <f>IFERROR(__xludf.DUMMYFUNCTION("""COMPUTED_VALUE"""),"гольф")</f>
        <v>гольф</v>
      </c>
      <c r="I3509" s="19">
        <f>IFERROR(__xludf.DUMMYFUNCTION("""COMPUTED_VALUE"""),0.0832)</f>
        <v>0.0832</v>
      </c>
      <c r="J3509" s="19">
        <f>IFERROR(__xludf.DUMMYFUNCTION("""COMPUTED_VALUE"""),0.1663)</f>
        <v>0.1663</v>
      </c>
      <c r="K3509" s="19">
        <f>IFERROR(__xludf.DUMMYFUNCTION("""COMPUTED_VALUE"""),0.2079)</f>
        <v>0.2079</v>
      </c>
      <c r="L3509" s="19">
        <f>IFERROR(__xludf.DUMMYFUNCTION("""COMPUTED_VALUE"""),0.2495)</f>
        <v>0.2495</v>
      </c>
      <c r="M3509" s="18">
        <f>IFERROR(__xludf.DUMMYFUNCTION("""COMPUTED_VALUE"""),1.63)</f>
        <v>1.63</v>
      </c>
    </row>
    <row r="3510">
      <c r="A3510" s="13" t="str">
        <f>IFERROR(__xludf.DUMMYFUNCTION("""COMPUTED_VALUE"""),"товари")</f>
        <v>товари</v>
      </c>
      <c r="B3510" s="16" t="str">
        <f>IFERROR(__xludf.DUMMYFUNCTION("""COMPUTED_VALUE"""),"спорт і відпочинок")</f>
        <v>спорт і відпочинок</v>
      </c>
      <c r="C3510" s="16" t="str">
        <f>IFERROR(__xludf.DUMMYFUNCTION("""COMPUTED_VALUE"""),"товари для риболовлі")</f>
        <v>товари для риболовлі</v>
      </c>
      <c r="D3510" s="16" t="str">
        <f>IFERROR(__xludf.DUMMYFUNCTION("""COMPUTED_VALUE"""),"рибальські снасті")</f>
        <v>рибальські снасті</v>
      </c>
      <c r="E3510" s="16" t="str">
        <f>IFERROR(__xludf.DUMMYFUNCTION("""COMPUTED_VALUE"""),"готове оснастка")</f>
        <v>готове оснастка</v>
      </c>
      <c r="F3510" s="17">
        <f>IFERROR(__xludf.DUMMYFUNCTION("""COMPUTED_VALUE"""),4.0)</f>
        <v>4</v>
      </c>
      <c r="G3510" s="17" t="str">
        <f>IFERROR(__xludf.DUMMYFUNCTION("""COMPUTED_VALUE"""),"181044")</f>
        <v>181044</v>
      </c>
      <c r="H3510" s="17" t="str">
        <f>IFERROR(__xludf.DUMMYFUNCTION("""COMPUTED_VALUE"""),"готове оснастка")</f>
        <v>готове оснастка</v>
      </c>
      <c r="I3510" s="19">
        <f>IFERROR(__xludf.DUMMYFUNCTION("""COMPUTED_VALUE"""),0.0789)</f>
        <v>0.0789</v>
      </c>
      <c r="J3510" s="19">
        <f>IFERROR(__xludf.DUMMYFUNCTION("""COMPUTED_VALUE"""),0.1578)</f>
        <v>0.1578</v>
      </c>
      <c r="K3510" s="19">
        <f>IFERROR(__xludf.DUMMYFUNCTION("""COMPUTED_VALUE"""),0.1973)</f>
        <v>0.1973</v>
      </c>
      <c r="L3510" s="19">
        <f>IFERROR(__xludf.DUMMYFUNCTION("""COMPUTED_VALUE"""),0.2367)</f>
        <v>0.2367</v>
      </c>
      <c r="M3510" s="18">
        <f>IFERROR(__xludf.DUMMYFUNCTION("""COMPUTED_VALUE"""),1.05)</f>
        <v>1.05</v>
      </c>
    </row>
    <row r="3511">
      <c r="A3511" s="13" t="str">
        <f>IFERROR(__xludf.DUMMYFUNCTION("""COMPUTED_VALUE"""),"товари")</f>
        <v>товари</v>
      </c>
      <c r="B3511" s="16" t="str">
        <f>IFERROR(__xludf.DUMMYFUNCTION("""COMPUTED_VALUE"""),"спорт і відпочинок")</f>
        <v>спорт і відпочинок</v>
      </c>
      <c r="C3511" s="16" t="str">
        <f>IFERROR(__xludf.DUMMYFUNCTION("""COMPUTED_VALUE"""),"тренажери")</f>
        <v>тренажери</v>
      </c>
      <c r="D3511" s="16" t="str">
        <f>IFERROR(__xludf.DUMMYFUNCTION("""COMPUTED_VALUE"""),"гребні тренажери")</f>
        <v>гребні тренажери</v>
      </c>
      <c r="E3511" s="16" t="str">
        <f>IFERROR(__xludf.DUMMYFUNCTION("""COMPUTED_VALUE"""),"гребні тренажери")</f>
        <v>гребні тренажери</v>
      </c>
      <c r="F3511" s="17">
        <f>IFERROR(__xludf.DUMMYFUNCTION("""COMPUTED_VALUE"""),3.0)</f>
        <v>3</v>
      </c>
      <c r="G3511" s="17" t="str">
        <f>IFERROR(__xludf.DUMMYFUNCTION("""COMPUTED_VALUE"""),"200909")</f>
        <v>200909</v>
      </c>
      <c r="H3511" s="17" t="str">
        <f>IFERROR(__xludf.DUMMYFUNCTION("""COMPUTED_VALUE"""),"гребні тренажери")</f>
        <v>гребні тренажери</v>
      </c>
      <c r="I3511" s="19">
        <f>IFERROR(__xludf.DUMMYFUNCTION("""COMPUTED_VALUE"""),0.0614)</f>
        <v>0.0614</v>
      </c>
      <c r="J3511" s="19">
        <f>IFERROR(__xludf.DUMMYFUNCTION("""COMPUTED_VALUE"""),0.1227)</f>
        <v>0.1227</v>
      </c>
      <c r="K3511" s="19">
        <f>IFERROR(__xludf.DUMMYFUNCTION("""COMPUTED_VALUE"""),0.1534)</f>
        <v>0.1534</v>
      </c>
      <c r="L3511" s="19">
        <f>IFERROR(__xludf.DUMMYFUNCTION("""COMPUTED_VALUE"""),0.1841)</f>
        <v>0.1841</v>
      </c>
      <c r="M3511" s="18">
        <f>IFERROR(__xludf.DUMMYFUNCTION("""COMPUTED_VALUE"""),1.26)</f>
        <v>1.26</v>
      </c>
    </row>
    <row r="3512">
      <c r="A3512" s="13" t="str">
        <f>IFERROR(__xludf.DUMMYFUNCTION("""COMPUTED_VALUE"""),"товари")</f>
        <v>товари</v>
      </c>
      <c r="B3512" s="16" t="str">
        <f>IFERROR(__xludf.DUMMYFUNCTION("""COMPUTED_VALUE"""),"спорт і відпочинок")</f>
        <v>спорт і відпочинок</v>
      </c>
      <c r="C3512" s="16" t="str">
        <f>IFERROR(__xludf.DUMMYFUNCTION("""COMPUTED_VALUE"""),"велосипеди та аксесуари")</f>
        <v>велосипеди та аксесуари</v>
      </c>
      <c r="D3512" s="16" t="str">
        <f>IFERROR(__xludf.DUMMYFUNCTION("""COMPUTED_VALUE"""),"велозапчастини")</f>
        <v>велозапчастини</v>
      </c>
      <c r="E3512" s="16" t="str">
        <f>IFERROR(__xludf.DUMMYFUNCTION("""COMPUTED_VALUE"""),"гріпси, роги та обмотки для керма")</f>
        <v>гріпси, роги та обмотки для керма</v>
      </c>
      <c r="F3512" s="17">
        <f>IFERROR(__xludf.DUMMYFUNCTION("""COMPUTED_VALUE"""),4.0)</f>
        <v>4</v>
      </c>
      <c r="G3512" s="17" t="str">
        <f>IFERROR(__xludf.DUMMYFUNCTION("""COMPUTED_VALUE"""),"342409")</f>
        <v>342409</v>
      </c>
      <c r="H3512" s="17" t="str">
        <f>IFERROR(__xludf.DUMMYFUNCTION("""COMPUTED_VALUE"""),"гріпси, роги та обмотки для керма")</f>
        <v>гріпси, роги та обмотки для керма</v>
      </c>
      <c r="I3512" s="19">
        <f>IFERROR(__xludf.DUMMYFUNCTION("""COMPUTED_VALUE"""),0.0773)</f>
        <v>0.0773</v>
      </c>
      <c r="J3512" s="19">
        <f>IFERROR(__xludf.DUMMYFUNCTION("""COMPUTED_VALUE"""),0.1545)</f>
        <v>0.1545</v>
      </c>
      <c r="K3512" s="19">
        <f>IFERROR(__xludf.DUMMYFUNCTION("""COMPUTED_VALUE"""),0.1931)</f>
        <v>0.1931</v>
      </c>
      <c r="L3512" s="19">
        <f>IFERROR(__xludf.DUMMYFUNCTION("""COMPUTED_VALUE"""),0.2318)</f>
        <v>0.2318</v>
      </c>
      <c r="M3512" s="18">
        <f>IFERROR(__xludf.DUMMYFUNCTION("""COMPUTED_VALUE"""),1.71)</f>
        <v>1.71</v>
      </c>
    </row>
    <row r="3513">
      <c r="A3513" s="13" t="str">
        <f>IFERROR(__xludf.DUMMYFUNCTION("""COMPUTED_VALUE"""),"товари")</f>
        <v>товари</v>
      </c>
      <c r="B3513" s="16" t="str">
        <f>IFERROR(__xludf.DUMMYFUNCTION("""COMPUTED_VALUE"""),"спорт і відпочинок")</f>
        <v>спорт і відпочинок</v>
      </c>
      <c r="C3513" s="16" t="str">
        <f>IFERROR(__xludf.DUMMYFUNCTION("""COMPUTED_VALUE"""),"екстремальні види спорту")</f>
        <v>екстремальні види спорту</v>
      </c>
      <c r="D3513" s="16" t="str">
        <f>IFERROR(__xludf.DUMMYFUNCTION("""COMPUTED_VALUE"""),"дайвінг")</f>
        <v>дайвінг</v>
      </c>
      <c r="E3513" s="16" t="str">
        <f>IFERROR(__xludf.DUMMYFUNCTION("""COMPUTED_VALUE"""),"дайвінг, загальне")</f>
        <v>дайвінг, загальне</v>
      </c>
      <c r="F3513" s="17">
        <f>IFERROR(__xludf.DUMMYFUNCTION("""COMPUTED_VALUE"""),4.0)</f>
        <v>4</v>
      </c>
      <c r="G3513" s="17" t="str">
        <f>IFERROR(__xludf.DUMMYFUNCTION("""COMPUTED_VALUE"""),"203408")</f>
        <v>203408</v>
      </c>
      <c r="H3513" s="17" t="str">
        <f>IFERROR(__xludf.DUMMYFUNCTION("""COMPUTED_VALUE"""),"дайвінг, загальне")</f>
        <v>дайвінг, загальне</v>
      </c>
      <c r="I3513" s="19">
        <f>IFERROR(__xludf.DUMMYFUNCTION("""COMPUTED_VALUE"""),0.125)</f>
        <v>0.125</v>
      </c>
      <c r="J3513" s="19">
        <f>IFERROR(__xludf.DUMMYFUNCTION("""COMPUTED_VALUE"""),0.25)</f>
        <v>0.25</v>
      </c>
      <c r="K3513" s="19">
        <f>IFERROR(__xludf.DUMMYFUNCTION("""COMPUTED_VALUE"""),0.3125)</f>
        <v>0.3125</v>
      </c>
      <c r="L3513" s="19">
        <f>IFERROR(__xludf.DUMMYFUNCTION("""COMPUTED_VALUE"""),0.375)</f>
        <v>0.375</v>
      </c>
      <c r="M3513" s="18">
        <f>IFERROR(__xludf.DUMMYFUNCTION("""COMPUTED_VALUE"""),4.33)</f>
        <v>4.33</v>
      </c>
    </row>
    <row r="3514">
      <c r="A3514" s="13" t="str">
        <f>IFERROR(__xludf.DUMMYFUNCTION("""COMPUTED_VALUE"""),"товари")</f>
        <v>товари</v>
      </c>
      <c r="B3514" s="16" t="str">
        <f>IFERROR(__xludf.DUMMYFUNCTION("""COMPUTED_VALUE"""),"спорт і відпочинок")</f>
        <v>спорт і відпочинок</v>
      </c>
      <c r="C3514" s="16" t="str">
        <f>IFERROR(__xludf.DUMMYFUNCTION("""COMPUTED_VALUE"""),"екстремальні види спорту")</f>
        <v>екстремальні види спорту</v>
      </c>
      <c r="D3514" s="16" t="str">
        <f>IFERROR(__xludf.DUMMYFUNCTION("""COMPUTED_VALUE"""),"джампери, пого стіки")</f>
        <v>джампери, пого стіки</v>
      </c>
      <c r="E3514" s="16" t="str">
        <f>IFERROR(__xludf.DUMMYFUNCTION("""COMPUTED_VALUE"""),"джампери, пого стіки")</f>
        <v>джампери, пого стіки</v>
      </c>
      <c r="F3514" s="17">
        <f>IFERROR(__xludf.DUMMYFUNCTION("""COMPUTED_VALUE"""),3.0)</f>
        <v>3</v>
      </c>
      <c r="G3514" s="17" t="str">
        <f>IFERROR(__xludf.DUMMYFUNCTION("""COMPUTED_VALUE"""),"2021")</f>
        <v>2021</v>
      </c>
      <c r="H3514" s="17" t="str">
        <f>IFERROR(__xludf.DUMMYFUNCTION("""COMPUTED_VALUE"""),"джампери, пого стіки")</f>
        <v>джампери, пого стіки</v>
      </c>
      <c r="I3514" s="19">
        <f>IFERROR(__xludf.DUMMYFUNCTION("""COMPUTED_VALUE"""),0.078)</f>
        <v>0.078</v>
      </c>
      <c r="J3514" s="19">
        <f>IFERROR(__xludf.DUMMYFUNCTION("""COMPUTED_VALUE"""),0.156)</f>
        <v>0.156</v>
      </c>
      <c r="K3514" s="19">
        <f>IFERROR(__xludf.DUMMYFUNCTION("""COMPUTED_VALUE"""),0.195)</f>
        <v>0.195</v>
      </c>
      <c r="L3514" s="19">
        <f>IFERROR(__xludf.DUMMYFUNCTION("""COMPUTED_VALUE"""),0.234)</f>
        <v>0.234</v>
      </c>
      <c r="M3514" s="18">
        <f>IFERROR(__xludf.DUMMYFUNCTION("""COMPUTED_VALUE"""),1.98)</f>
        <v>1.98</v>
      </c>
    </row>
    <row r="3515">
      <c r="A3515" s="13" t="str">
        <f>IFERROR(__xludf.DUMMYFUNCTION("""COMPUTED_VALUE"""),"товари")</f>
        <v>товари</v>
      </c>
      <c r="B3515" s="16" t="str">
        <f>IFERROR(__xludf.DUMMYFUNCTION("""COMPUTED_VALUE"""),"спорт і відпочинок")</f>
        <v>спорт і відпочинок</v>
      </c>
      <c r="C3515" s="16" t="str">
        <f>IFERROR(__xludf.DUMMYFUNCTION("""COMPUTED_VALUE"""),"велосипеди та аксесуари")</f>
        <v>велосипеди та аксесуари</v>
      </c>
      <c r="D3515" s="16" t="str">
        <f>IFERROR(__xludf.DUMMYFUNCTION("""COMPUTED_VALUE"""),"велоаксесуари")</f>
        <v>велоаксесуари</v>
      </c>
      <c r="E3515" s="16" t="str">
        <f>IFERROR(__xludf.DUMMYFUNCTION("""COMPUTED_VALUE"""),"дитячі велокрісла")</f>
        <v>дитячі велокрісла</v>
      </c>
      <c r="F3515" s="17">
        <f>IFERROR(__xludf.DUMMYFUNCTION("""COMPUTED_VALUE"""),4.0)</f>
        <v>4</v>
      </c>
      <c r="G3515" s="17" t="str">
        <f>IFERROR(__xludf.DUMMYFUNCTION("""COMPUTED_VALUE"""),"15011605")</f>
        <v>15011605</v>
      </c>
      <c r="H3515" s="17" t="str">
        <f>IFERROR(__xludf.DUMMYFUNCTION("""COMPUTED_VALUE"""),"дитячі велокрісла")</f>
        <v>дитячі велокрісла</v>
      </c>
      <c r="I3515" s="19">
        <f>IFERROR(__xludf.DUMMYFUNCTION("""COMPUTED_VALUE"""),0.0773)</f>
        <v>0.0773</v>
      </c>
      <c r="J3515" s="19">
        <f>IFERROR(__xludf.DUMMYFUNCTION("""COMPUTED_VALUE"""),0.1545)</f>
        <v>0.1545</v>
      </c>
      <c r="K3515" s="19">
        <f>IFERROR(__xludf.DUMMYFUNCTION("""COMPUTED_VALUE"""),0.1931)</f>
        <v>0.1931</v>
      </c>
      <c r="L3515" s="19">
        <f>IFERROR(__xludf.DUMMYFUNCTION("""COMPUTED_VALUE"""),0.2318)</f>
        <v>0.2318</v>
      </c>
      <c r="M3515" s="18">
        <f>IFERROR(__xludf.DUMMYFUNCTION("""COMPUTED_VALUE"""),1.63)</f>
        <v>1.63</v>
      </c>
    </row>
    <row r="3516">
      <c r="A3516" s="13" t="str">
        <f>IFERROR(__xludf.DUMMYFUNCTION("""COMPUTED_VALUE"""),"товари")</f>
        <v>товари</v>
      </c>
      <c r="B3516" s="16" t="str">
        <f>IFERROR(__xludf.DUMMYFUNCTION("""COMPUTED_VALUE"""),"спорт і відпочинок")</f>
        <v>спорт і відпочинок</v>
      </c>
      <c r="C3516" s="16" t="str">
        <f>IFERROR(__xludf.DUMMYFUNCTION("""COMPUTED_VALUE"""),"тренажери")</f>
        <v>тренажери</v>
      </c>
      <c r="D3516" s="16" t="str">
        <f>IFERROR(__xludf.DUMMYFUNCTION("""COMPUTED_VALUE"""),"дитячі тренажери")</f>
        <v>дитячі тренажери</v>
      </c>
      <c r="E3516" s="16" t="str">
        <f>IFERROR(__xludf.DUMMYFUNCTION("""COMPUTED_VALUE"""),"дитячі тренажери")</f>
        <v>дитячі тренажери</v>
      </c>
      <c r="F3516" s="17">
        <f>IFERROR(__xludf.DUMMYFUNCTION("""COMPUTED_VALUE"""),3.0)</f>
        <v>3</v>
      </c>
      <c r="G3516" s="17" t="str">
        <f>IFERROR(__xludf.DUMMYFUNCTION("""COMPUTED_VALUE"""),"200916")</f>
        <v>200916</v>
      </c>
      <c r="H3516" s="17" t="str">
        <f>IFERROR(__xludf.DUMMYFUNCTION("""COMPUTED_VALUE"""),"дитячі тренажери")</f>
        <v>дитячі тренажери</v>
      </c>
      <c r="I3516" s="19">
        <f>IFERROR(__xludf.DUMMYFUNCTION("""COMPUTED_VALUE"""),0.055)</f>
        <v>0.055</v>
      </c>
      <c r="J3516" s="19">
        <f>IFERROR(__xludf.DUMMYFUNCTION("""COMPUTED_VALUE"""),0.11)</f>
        <v>0.11</v>
      </c>
      <c r="K3516" s="19">
        <f>IFERROR(__xludf.DUMMYFUNCTION("""COMPUTED_VALUE"""),0.1375)</f>
        <v>0.1375</v>
      </c>
      <c r="L3516" s="19">
        <f>IFERROR(__xludf.DUMMYFUNCTION("""COMPUTED_VALUE"""),0.165)</f>
        <v>0.165</v>
      </c>
      <c r="M3516" s="18">
        <f>IFERROR(__xludf.DUMMYFUNCTION("""COMPUTED_VALUE"""),1.05)</f>
        <v>1.05</v>
      </c>
    </row>
    <row r="3517">
      <c r="A3517" s="13" t="str">
        <f>IFERROR(__xludf.DUMMYFUNCTION("""COMPUTED_VALUE"""),"товари")</f>
        <v>товари</v>
      </c>
      <c r="B3517" s="16" t="str">
        <f>IFERROR(__xludf.DUMMYFUNCTION("""COMPUTED_VALUE"""),"спорт і відпочинок")</f>
        <v>спорт і відпочинок</v>
      </c>
      <c r="C3517" s="16" t="str">
        <f>IFERROR(__xludf.DUMMYFUNCTION("""COMPUTED_VALUE"""),"водні види спорту")</f>
        <v>водні види спорту</v>
      </c>
      <c r="D3517" s="16" t="str">
        <f>IFERROR(__xludf.DUMMYFUNCTION("""COMPUTED_VALUE"""),"плавання")</f>
        <v>плавання</v>
      </c>
      <c r="E3517" s="16" t="str">
        <f>IFERROR(__xludf.DUMMYFUNCTION("""COMPUTED_VALUE"""),"дошки для плавання, колобашки")</f>
        <v>дошки для плавання, колобашки</v>
      </c>
      <c r="F3517" s="17">
        <f>IFERROR(__xludf.DUMMYFUNCTION("""COMPUTED_VALUE"""),4.0)</f>
        <v>4</v>
      </c>
      <c r="G3517" s="17" t="str">
        <f>IFERROR(__xludf.DUMMYFUNCTION("""COMPUTED_VALUE"""),"203403")</f>
        <v>203403</v>
      </c>
      <c r="H3517" s="17" t="str">
        <f>IFERROR(__xludf.DUMMYFUNCTION("""COMPUTED_VALUE"""),"дошки для плавання, колобашки")</f>
        <v>дошки для плавання, колобашки</v>
      </c>
      <c r="I3517" s="19">
        <f>IFERROR(__xludf.DUMMYFUNCTION("""COMPUTED_VALUE"""),0.0782)</f>
        <v>0.0782</v>
      </c>
      <c r="J3517" s="19">
        <f>IFERROR(__xludf.DUMMYFUNCTION("""COMPUTED_VALUE"""),0.1563)</f>
        <v>0.1563</v>
      </c>
      <c r="K3517" s="19">
        <f>IFERROR(__xludf.DUMMYFUNCTION("""COMPUTED_VALUE"""),0.1954)</f>
        <v>0.1954</v>
      </c>
      <c r="L3517" s="19">
        <f>IFERROR(__xludf.DUMMYFUNCTION("""COMPUTED_VALUE"""),0.2345)</f>
        <v>0.2345</v>
      </c>
      <c r="M3517" s="18">
        <f>IFERROR(__xludf.DUMMYFUNCTION("""COMPUTED_VALUE"""),1.26)</f>
        <v>1.26</v>
      </c>
    </row>
    <row r="3518">
      <c r="A3518" s="13" t="str">
        <f>IFERROR(__xludf.DUMMYFUNCTION("""COMPUTED_VALUE"""),"товари")</f>
        <v>товари</v>
      </c>
      <c r="B3518" s="16" t="str">
        <f>IFERROR(__xludf.DUMMYFUNCTION("""COMPUTED_VALUE"""),"спорт і відпочинок")</f>
        <v>спорт і відпочинок</v>
      </c>
      <c r="C3518" s="16" t="str">
        <f>IFERROR(__xludf.DUMMYFUNCTION("""COMPUTED_VALUE"""),"екстремальні види спорту")</f>
        <v>екстремальні види спорту</v>
      </c>
      <c r="D3518" s="16" t="str">
        <f>IFERROR(__xludf.DUMMYFUNCTION("""COMPUTED_VALUE"""),"віндсерфінг та sup серфінг")</f>
        <v>віндсерфінг та sup серфінг</v>
      </c>
      <c r="E3518" s="16" t="str">
        <f>IFERROR(__xludf.DUMMYFUNCTION("""COMPUTED_VALUE"""),"дошки та аксесуари для віндсерфінгу та sup-серфінгу")</f>
        <v>дошки та аксесуари для віндсерфінгу та sup-серфінгу</v>
      </c>
      <c r="F3518" s="17">
        <f>IFERROR(__xludf.DUMMYFUNCTION("""COMPUTED_VALUE"""),4.0)</f>
        <v>4</v>
      </c>
      <c r="G3518" s="17" t="str">
        <f>IFERROR(__xludf.DUMMYFUNCTION("""COMPUTED_VALUE"""),"203519")</f>
        <v>203519</v>
      </c>
      <c r="H3518" s="17" t="str">
        <f>IFERROR(__xludf.DUMMYFUNCTION("""COMPUTED_VALUE"""),"дошки та аксесуари для віндсерфінгу та sup-серфінгу")</f>
        <v>дошки та аксесуари для віндсерфінгу та sup-серфінгу</v>
      </c>
      <c r="I3518" s="19">
        <f>IFERROR(__xludf.DUMMYFUNCTION("""COMPUTED_VALUE"""),0.0479)</f>
        <v>0.0479</v>
      </c>
      <c r="J3518" s="19">
        <f>IFERROR(__xludf.DUMMYFUNCTION("""COMPUTED_VALUE"""),0.0958)</f>
        <v>0.0958</v>
      </c>
      <c r="K3518" s="19">
        <f>IFERROR(__xludf.DUMMYFUNCTION("""COMPUTED_VALUE"""),0.1198)</f>
        <v>0.1198</v>
      </c>
      <c r="L3518" s="19">
        <f>IFERROR(__xludf.DUMMYFUNCTION("""COMPUTED_VALUE"""),0.1437)</f>
        <v>0.1437</v>
      </c>
      <c r="M3518" s="18">
        <f>IFERROR(__xludf.DUMMYFUNCTION("""COMPUTED_VALUE"""),2.16)</f>
        <v>2.16</v>
      </c>
    </row>
    <row r="3519">
      <c r="A3519" s="13" t="str">
        <f>IFERROR(__xludf.DUMMYFUNCTION("""COMPUTED_VALUE"""),"товари")</f>
        <v>товари</v>
      </c>
      <c r="B3519" s="16" t="str">
        <f>IFERROR(__xludf.DUMMYFUNCTION("""COMPUTED_VALUE"""),"спорт і відпочинок")</f>
        <v>спорт і відпочинок</v>
      </c>
      <c r="C3519" s="16" t="str">
        <f>IFERROR(__xludf.DUMMYFUNCTION("""COMPUTED_VALUE"""),"екстремальні види спорту")</f>
        <v>екстремальні види спорту</v>
      </c>
      <c r="D3519" s="16" t="str">
        <f>IFERROR(__xludf.DUMMYFUNCTION("""COMPUTED_VALUE"""),"екстремальні види спорту, загальне")</f>
        <v>екстремальні види спорту, загальне</v>
      </c>
      <c r="E3519" s="16" t="str">
        <f>IFERROR(__xludf.DUMMYFUNCTION("""COMPUTED_VALUE"""),"екстремальні види спорту, загальне")</f>
        <v>екстремальні види спорту, загальне</v>
      </c>
      <c r="F3519" s="17">
        <f>IFERROR(__xludf.DUMMYFUNCTION("""COMPUTED_VALUE"""),3.0)</f>
        <v>3</v>
      </c>
      <c r="G3519" s="17" t="str">
        <f>IFERROR(__xludf.DUMMYFUNCTION("""COMPUTED_VALUE"""),"203501")</f>
        <v>203501</v>
      </c>
      <c r="H3519" s="17" t="str">
        <f>IFERROR(__xludf.DUMMYFUNCTION("""COMPUTED_VALUE"""),"екстремальні види спорту, загальне")</f>
        <v>екстремальні види спорту, загальне</v>
      </c>
      <c r="I3519" s="19">
        <f>IFERROR(__xludf.DUMMYFUNCTION("""COMPUTED_VALUE"""),0.125)</f>
        <v>0.125</v>
      </c>
      <c r="J3519" s="19">
        <f>IFERROR(__xludf.DUMMYFUNCTION("""COMPUTED_VALUE"""),0.25)</f>
        <v>0.25</v>
      </c>
      <c r="K3519" s="19">
        <f>IFERROR(__xludf.DUMMYFUNCTION("""COMPUTED_VALUE"""),0.3125)</f>
        <v>0.3125</v>
      </c>
      <c r="L3519" s="19">
        <f>IFERROR(__xludf.DUMMYFUNCTION("""COMPUTED_VALUE"""),0.375)</f>
        <v>0.375</v>
      </c>
      <c r="M3519" s="18">
        <f>IFERROR(__xludf.DUMMYFUNCTION("""COMPUTED_VALUE"""),4.33)</f>
        <v>4.33</v>
      </c>
    </row>
    <row r="3520">
      <c r="A3520" s="13" t="str">
        <f>IFERROR(__xludf.DUMMYFUNCTION("""COMPUTED_VALUE"""),"товари")</f>
        <v>товари</v>
      </c>
      <c r="B3520" s="16" t="str">
        <f>IFERROR(__xludf.DUMMYFUNCTION("""COMPUTED_VALUE"""),"спорт і відпочинок")</f>
        <v>спорт і відпочинок</v>
      </c>
      <c r="C3520" s="16" t="str">
        <f>IFERROR(__xludf.DUMMYFUNCTION("""COMPUTED_VALUE"""),"спортивні товари")</f>
        <v>спортивні товари</v>
      </c>
      <c r="D3520" s="16" t="str">
        <f>IFERROR(__xludf.DUMMYFUNCTION("""COMPUTED_VALUE"""),"спортивні фіксатори та супорти")</f>
        <v>спортивні фіксатори та супорти</v>
      </c>
      <c r="E3520" s="16" t="str">
        <f>IFERROR(__xludf.DUMMYFUNCTION("""COMPUTED_VALUE"""),"еластичні бинти")</f>
        <v>еластичні бинти</v>
      </c>
      <c r="F3520" s="17">
        <f>IFERROR(__xludf.DUMMYFUNCTION("""COMPUTED_VALUE"""),4.0)</f>
        <v>4</v>
      </c>
      <c r="G3520" s="17" t="str">
        <f>IFERROR(__xludf.DUMMYFUNCTION("""COMPUTED_VALUE"""),"401010")</f>
        <v>401010</v>
      </c>
      <c r="H3520" s="17" t="str">
        <f>IFERROR(__xludf.DUMMYFUNCTION("""COMPUTED_VALUE"""),"еластичні бинти")</f>
        <v>еластичні бинти</v>
      </c>
      <c r="I3520" s="19">
        <f>IFERROR(__xludf.DUMMYFUNCTION("""COMPUTED_VALUE"""),0.0772)</f>
        <v>0.0772</v>
      </c>
      <c r="J3520" s="19">
        <f>IFERROR(__xludf.DUMMYFUNCTION("""COMPUTED_VALUE"""),0.1543)</f>
        <v>0.1543</v>
      </c>
      <c r="K3520" s="19">
        <f>IFERROR(__xludf.DUMMYFUNCTION("""COMPUTED_VALUE"""),0.1929)</f>
        <v>0.1929</v>
      </c>
      <c r="L3520" s="19">
        <f>IFERROR(__xludf.DUMMYFUNCTION("""COMPUTED_VALUE"""),0.2315)</f>
        <v>0.2315</v>
      </c>
      <c r="M3520" s="18">
        <f>IFERROR(__xludf.DUMMYFUNCTION("""COMPUTED_VALUE"""),3.88)</f>
        <v>3.88</v>
      </c>
    </row>
    <row r="3521">
      <c r="A3521" s="13" t="str">
        <f>IFERROR(__xludf.DUMMYFUNCTION("""COMPUTED_VALUE"""),"товари")</f>
        <v>товари</v>
      </c>
      <c r="B3521" s="16" t="str">
        <f>IFERROR(__xludf.DUMMYFUNCTION("""COMPUTED_VALUE"""),"спорт і відпочинок")</f>
        <v>спорт і відпочинок</v>
      </c>
      <c r="C3521" s="16" t="str">
        <f>IFERROR(__xludf.DUMMYFUNCTION("""COMPUTED_VALUE"""),"спортивні товари")</f>
        <v>спортивні товари</v>
      </c>
      <c r="D3521" s="16" t="str">
        <f>IFERROR(__xludf.DUMMYFUNCTION("""COMPUTED_VALUE"""),"ролики, скейтборди та самокати")</f>
        <v>ролики, скейтборди та самокати</v>
      </c>
      <c r="E3521" s="16" t="str">
        <f>IFERROR(__xludf.DUMMYFUNCTION("""COMPUTED_VALUE"""),"електросамокати")</f>
        <v>електросамокати</v>
      </c>
      <c r="F3521" s="17">
        <f>IFERROR(__xludf.DUMMYFUNCTION("""COMPUTED_VALUE"""),4.0)</f>
        <v>4</v>
      </c>
      <c r="G3521" s="17" t="str">
        <f>IFERROR(__xludf.DUMMYFUNCTION("""COMPUTED_VALUE"""),"205302")</f>
        <v>205302</v>
      </c>
      <c r="H3521" s="17" t="str">
        <f>IFERROR(__xludf.DUMMYFUNCTION("""COMPUTED_VALUE"""),"електросамокати")</f>
        <v>електросамокати</v>
      </c>
      <c r="I3521" s="19">
        <f>IFERROR(__xludf.DUMMYFUNCTION("""COMPUTED_VALUE"""),0.055)</f>
        <v>0.055</v>
      </c>
      <c r="J3521" s="19">
        <f>IFERROR(__xludf.DUMMYFUNCTION("""COMPUTED_VALUE"""),0.11)</f>
        <v>0.11</v>
      </c>
      <c r="K3521" s="19">
        <f>IFERROR(__xludf.DUMMYFUNCTION("""COMPUTED_VALUE"""),0.1375)</f>
        <v>0.1375</v>
      </c>
      <c r="L3521" s="19">
        <f>IFERROR(__xludf.DUMMYFUNCTION("""COMPUTED_VALUE"""),0.165)</f>
        <v>0.165</v>
      </c>
      <c r="M3521" s="18">
        <f>IFERROR(__xludf.DUMMYFUNCTION("""COMPUTED_VALUE"""),3.43)</f>
        <v>3.43</v>
      </c>
    </row>
    <row r="3522">
      <c r="A3522" s="13" t="str">
        <f>IFERROR(__xludf.DUMMYFUNCTION("""COMPUTED_VALUE"""),"товари")</f>
        <v>товари</v>
      </c>
      <c r="B3522" s="16" t="str">
        <f>IFERROR(__xludf.DUMMYFUNCTION("""COMPUTED_VALUE"""),"спорт і відпочинок")</f>
        <v>спорт і відпочинок</v>
      </c>
      <c r="C3522" s="16" t="str">
        <f>IFERROR(__xludf.DUMMYFUNCTION("""COMPUTED_VALUE"""),"тренажери")</f>
        <v>тренажери</v>
      </c>
      <c r="D3522" s="16" t="str">
        <f>IFERROR(__xludf.DUMMYFUNCTION("""COMPUTED_VALUE"""),"еліптичні тренажери")</f>
        <v>еліптичні тренажери</v>
      </c>
      <c r="E3522" s="16" t="str">
        <f>IFERROR(__xludf.DUMMYFUNCTION("""COMPUTED_VALUE"""),"еліптичні тренажери")</f>
        <v>еліптичні тренажери</v>
      </c>
      <c r="F3522" s="17">
        <f>IFERROR(__xludf.DUMMYFUNCTION("""COMPUTED_VALUE"""),3.0)</f>
        <v>3</v>
      </c>
      <c r="G3522" s="17" t="str">
        <f>IFERROR(__xludf.DUMMYFUNCTION("""COMPUTED_VALUE"""),"200914")</f>
        <v>200914</v>
      </c>
      <c r="H3522" s="17" t="str">
        <f>IFERROR(__xludf.DUMMYFUNCTION("""COMPUTED_VALUE"""),"еліптичні тренажери")</f>
        <v>еліптичні тренажери</v>
      </c>
      <c r="I3522" s="19">
        <f>IFERROR(__xludf.DUMMYFUNCTION("""COMPUTED_VALUE"""),0.0584)</f>
        <v>0.0584</v>
      </c>
      <c r="J3522" s="19">
        <f>IFERROR(__xludf.DUMMYFUNCTION("""COMPUTED_VALUE"""),0.1167)</f>
        <v>0.1167</v>
      </c>
      <c r="K3522" s="19">
        <f>IFERROR(__xludf.DUMMYFUNCTION("""COMPUTED_VALUE"""),0.1459)</f>
        <v>0.1459</v>
      </c>
      <c r="L3522" s="19">
        <f>IFERROR(__xludf.DUMMYFUNCTION("""COMPUTED_VALUE"""),0.1751)</f>
        <v>0.1751</v>
      </c>
      <c r="M3522" s="18">
        <f>IFERROR(__xludf.DUMMYFUNCTION("""COMPUTED_VALUE"""),4.58)</f>
        <v>4.58</v>
      </c>
    </row>
    <row r="3523">
      <c r="A3523" s="13" t="str">
        <f>IFERROR(__xludf.DUMMYFUNCTION("""COMPUTED_VALUE"""),"товари")</f>
        <v>товари</v>
      </c>
      <c r="B3523" s="16" t="str">
        <f>IFERROR(__xludf.DUMMYFUNCTION("""COMPUTED_VALUE"""),"спорт і відпочинок")</f>
        <v>спорт і відпочинок</v>
      </c>
      <c r="C3523" s="16" t="str">
        <f>IFERROR(__xludf.DUMMYFUNCTION("""COMPUTED_VALUE"""),"спортивне харчування та препарати")</f>
        <v>спортивне харчування та препарати</v>
      </c>
      <c r="D3523" s="16" t="str">
        <f>IFERROR(__xludf.DUMMYFUNCTION("""COMPUTED_VALUE"""),"енергетичні батончики")</f>
        <v>енергетичні батончики</v>
      </c>
      <c r="E3523" s="16" t="str">
        <f>IFERROR(__xludf.DUMMYFUNCTION("""COMPUTED_VALUE"""),"енергетичні батончики")</f>
        <v>енергетичні батончики</v>
      </c>
      <c r="F3523" s="17">
        <f>IFERROR(__xludf.DUMMYFUNCTION("""COMPUTED_VALUE"""),3.0)</f>
        <v>3</v>
      </c>
      <c r="G3523" s="17" t="str">
        <f>IFERROR(__xludf.DUMMYFUNCTION("""COMPUTED_VALUE"""),"20814")</f>
        <v>20814</v>
      </c>
      <c r="H3523" s="17" t="str">
        <f>IFERROR(__xludf.DUMMYFUNCTION("""COMPUTED_VALUE"""),"енергетичні батончики")</f>
        <v>енергетичні батончики</v>
      </c>
      <c r="I3523" s="19">
        <f>IFERROR(__xludf.DUMMYFUNCTION("""COMPUTED_VALUE"""),0.0713)</f>
        <v>0.0713</v>
      </c>
      <c r="J3523" s="19">
        <f>IFERROR(__xludf.DUMMYFUNCTION("""COMPUTED_VALUE"""),0.1426)</f>
        <v>0.1426</v>
      </c>
      <c r="K3523" s="19">
        <f>IFERROR(__xludf.DUMMYFUNCTION("""COMPUTED_VALUE"""),0.1783)</f>
        <v>0.1783</v>
      </c>
      <c r="L3523" s="19">
        <f>IFERROR(__xludf.DUMMYFUNCTION("""COMPUTED_VALUE"""),0.2139)</f>
        <v>0.2139</v>
      </c>
      <c r="M3523" s="18">
        <f>IFERROR(__xludf.DUMMYFUNCTION("""COMPUTED_VALUE"""),3.15)</f>
        <v>3.15</v>
      </c>
    </row>
    <row r="3524">
      <c r="A3524" s="13" t="str">
        <f>IFERROR(__xludf.DUMMYFUNCTION("""COMPUTED_VALUE"""),"товари")</f>
        <v>товари</v>
      </c>
      <c r="B3524" s="16" t="str">
        <f>IFERROR(__xludf.DUMMYFUNCTION("""COMPUTED_VALUE"""),"спорт і відпочинок")</f>
        <v>спорт і відпочинок</v>
      </c>
      <c r="C3524" s="16" t="str">
        <f>IFERROR(__xludf.DUMMYFUNCTION("""COMPUTED_VALUE"""),"тренажери")</f>
        <v>тренажери</v>
      </c>
      <c r="D3524" s="16" t="str">
        <f>IFERROR(__xludf.DUMMYFUNCTION("""COMPUTED_VALUE"""),"еспандери")</f>
        <v>еспандери</v>
      </c>
      <c r="E3524" s="16" t="str">
        <f>IFERROR(__xludf.DUMMYFUNCTION("""COMPUTED_VALUE"""),"еспандери")</f>
        <v>еспандери</v>
      </c>
      <c r="F3524" s="17">
        <f>IFERROR(__xludf.DUMMYFUNCTION("""COMPUTED_VALUE"""),3.0)</f>
        <v>3</v>
      </c>
      <c r="G3524" s="17" t="str">
        <f>IFERROR(__xludf.DUMMYFUNCTION("""COMPUTED_VALUE"""),"200314")</f>
        <v>200314</v>
      </c>
      <c r="H3524" s="17" t="str">
        <f>IFERROR(__xludf.DUMMYFUNCTION("""COMPUTED_VALUE"""),"еспандери")</f>
        <v>еспандери</v>
      </c>
      <c r="I3524" s="19">
        <f>IFERROR(__xludf.DUMMYFUNCTION("""COMPUTED_VALUE"""),0.081)</f>
        <v>0.081</v>
      </c>
      <c r="J3524" s="19">
        <f>IFERROR(__xludf.DUMMYFUNCTION("""COMPUTED_VALUE"""),0.1619)</f>
        <v>0.1619</v>
      </c>
      <c r="K3524" s="19">
        <f>IFERROR(__xludf.DUMMYFUNCTION("""COMPUTED_VALUE"""),0.2024)</f>
        <v>0.2024</v>
      </c>
      <c r="L3524" s="19">
        <f>IFERROR(__xludf.DUMMYFUNCTION("""COMPUTED_VALUE"""),0.2429)</f>
        <v>0.2429</v>
      </c>
      <c r="M3524" s="18">
        <f>IFERROR(__xludf.DUMMYFUNCTION("""COMPUTED_VALUE"""),4.14)</f>
        <v>4.14</v>
      </c>
    </row>
    <row r="3525">
      <c r="A3525" s="13" t="str">
        <f>IFERROR(__xludf.DUMMYFUNCTION("""COMPUTED_VALUE"""),"товари")</f>
        <v>товари</v>
      </c>
      <c r="B3525" s="16" t="str">
        <f>IFERROR(__xludf.DUMMYFUNCTION("""COMPUTED_VALUE"""),"спорт і відпочинок")</f>
        <v>спорт і відпочинок</v>
      </c>
      <c r="C3525" s="16" t="str">
        <f>IFERROR(__xludf.DUMMYFUNCTION("""COMPUTED_VALUE"""),"товари для риболовлі")</f>
        <v>товари для риболовлі</v>
      </c>
      <c r="D3525" s="16" t="str">
        <f>IFERROR(__xludf.DUMMYFUNCTION("""COMPUTED_VALUE"""),"ехолоти та камери")</f>
        <v>ехолоти та камери</v>
      </c>
      <c r="E3525" s="16" t="str">
        <f>IFERROR(__xludf.DUMMYFUNCTION("""COMPUTED_VALUE"""),"ехолоти та камери")</f>
        <v>ехолоти та камери</v>
      </c>
      <c r="F3525" s="17">
        <f>IFERROR(__xludf.DUMMYFUNCTION("""COMPUTED_VALUE"""),3.0)</f>
        <v>3</v>
      </c>
      <c r="G3525" s="17" t="str">
        <f>IFERROR(__xludf.DUMMYFUNCTION("""COMPUTED_VALUE"""),"181007")</f>
        <v>181007</v>
      </c>
      <c r="H3525" s="17" t="str">
        <f>IFERROR(__xludf.DUMMYFUNCTION("""COMPUTED_VALUE"""),"ехолоти та камери")</f>
        <v>ехолоти та камери</v>
      </c>
      <c r="I3525" s="19">
        <f>IFERROR(__xludf.DUMMYFUNCTION("""COMPUTED_VALUE"""),0.0415)</f>
        <v>0.0415</v>
      </c>
      <c r="J3525" s="19">
        <f>IFERROR(__xludf.DUMMYFUNCTION("""COMPUTED_VALUE"""),0.083)</f>
        <v>0.083</v>
      </c>
      <c r="K3525" s="19">
        <f>IFERROR(__xludf.DUMMYFUNCTION("""COMPUTED_VALUE"""),0.1038)</f>
        <v>0.1038</v>
      </c>
      <c r="L3525" s="19">
        <f>IFERROR(__xludf.DUMMYFUNCTION("""COMPUTED_VALUE"""),0.1245)</f>
        <v>0.1245</v>
      </c>
      <c r="M3525" s="18">
        <f>IFERROR(__xludf.DUMMYFUNCTION("""COMPUTED_VALUE"""),2.61)</f>
        <v>2.61</v>
      </c>
    </row>
    <row r="3526">
      <c r="A3526" s="13" t="str">
        <f>IFERROR(__xludf.DUMMYFUNCTION("""COMPUTED_VALUE"""),"товари")</f>
        <v>товари</v>
      </c>
      <c r="B3526" s="16" t="str">
        <f>IFERROR(__xludf.DUMMYFUNCTION("""COMPUTED_VALUE"""),"спорт і відпочинок")</f>
        <v>спорт і відпочинок</v>
      </c>
      <c r="C3526" s="16" t="str">
        <f>IFERROR(__xludf.DUMMYFUNCTION("""COMPUTED_VALUE"""),"екстремальні види спорту")</f>
        <v>екстремальні види спорту</v>
      </c>
      <c r="D3526" s="16" t="str">
        <f>IFERROR(__xludf.DUMMYFUNCTION("""COMPUTED_VALUE"""),"альпінізм")</f>
        <v>альпінізм</v>
      </c>
      <c r="E3526" s="16" t="str">
        <f>IFERROR(__xludf.DUMMYFUNCTION("""COMPUTED_VALUE"""),"закладні елементи для альпінізму")</f>
        <v>закладні елементи для альпінізму</v>
      </c>
      <c r="F3526" s="17">
        <f>IFERROR(__xludf.DUMMYFUNCTION("""COMPUTED_VALUE"""),4.0)</f>
        <v>4</v>
      </c>
      <c r="G3526" s="17" t="str">
        <f>IFERROR(__xludf.DUMMYFUNCTION("""COMPUTED_VALUE"""),"203535")</f>
        <v>203535</v>
      </c>
      <c r="H3526" s="17" t="str">
        <f>IFERROR(__xludf.DUMMYFUNCTION("""COMPUTED_VALUE"""),"закладні елементи для альпінізму")</f>
        <v>закладні елементи для альпінізму</v>
      </c>
      <c r="I3526" s="19">
        <f>IFERROR(__xludf.DUMMYFUNCTION("""COMPUTED_VALUE"""),0.0786)</f>
        <v>0.0786</v>
      </c>
      <c r="J3526" s="19">
        <f>IFERROR(__xludf.DUMMYFUNCTION("""COMPUTED_VALUE"""),0.1571)</f>
        <v>0.1571</v>
      </c>
      <c r="K3526" s="19">
        <f>IFERROR(__xludf.DUMMYFUNCTION("""COMPUTED_VALUE"""),0.1964)</f>
        <v>0.1964</v>
      </c>
      <c r="L3526" s="19">
        <f>IFERROR(__xludf.DUMMYFUNCTION("""COMPUTED_VALUE"""),0.2357)</f>
        <v>0.2357</v>
      </c>
      <c r="M3526" s="18">
        <f>IFERROR(__xludf.DUMMYFUNCTION("""COMPUTED_VALUE"""),1.8)</f>
        <v>1.8</v>
      </c>
    </row>
    <row r="3527">
      <c r="A3527" s="13" t="str">
        <f>IFERROR(__xludf.DUMMYFUNCTION("""COMPUTED_VALUE"""),"товари")</f>
        <v>товари</v>
      </c>
      <c r="B3527" s="16" t="str">
        <f>IFERROR(__xludf.DUMMYFUNCTION("""COMPUTED_VALUE"""),"спорт і відпочинок")</f>
        <v>спорт і відпочинок</v>
      </c>
      <c r="C3527" s="16" t="str">
        <f>IFERROR(__xludf.DUMMYFUNCTION("""COMPUTED_VALUE"""),"спортивне харчування та препарати")</f>
        <v>спортивне харчування та препарати</v>
      </c>
      <c r="D3527" s="16" t="str">
        <f>IFERROR(__xludf.DUMMYFUNCTION("""COMPUTED_VALUE"""),"замінники харчування")</f>
        <v>замінники харчування</v>
      </c>
      <c r="E3527" s="16" t="str">
        <f>IFERROR(__xludf.DUMMYFUNCTION("""COMPUTED_VALUE"""),"замінники харчування")</f>
        <v>замінники харчування</v>
      </c>
      <c r="F3527" s="17">
        <f>IFERROR(__xludf.DUMMYFUNCTION("""COMPUTED_VALUE"""),3.0)</f>
        <v>3</v>
      </c>
      <c r="G3527" s="17" t="str">
        <f>IFERROR(__xludf.DUMMYFUNCTION("""COMPUTED_VALUE"""),"20820")</f>
        <v>20820</v>
      </c>
      <c r="H3527" s="17" t="str">
        <f>IFERROR(__xludf.DUMMYFUNCTION("""COMPUTED_VALUE"""),"замінники харчування")</f>
        <v>замінники харчування</v>
      </c>
      <c r="I3527" s="19">
        <f>IFERROR(__xludf.DUMMYFUNCTION("""COMPUTED_VALUE"""),0.072)</f>
        <v>0.072</v>
      </c>
      <c r="J3527" s="19">
        <f>IFERROR(__xludf.DUMMYFUNCTION("""COMPUTED_VALUE"""),0.1439)</f>
        <v>0.1439</v>
      </c>
      <c r="K3527" s="19">
        <f>IFERROR(__xludf.DUMMYFUNCTION("""COMPUTED_VALUE"""),0.1799)</f>
        <v>0.1799</v>
      </c>
      <c r="L3527" s="19">
        <f>IFERROR(__xludf.DUMMYFUNCTION("""COMPUTED_VALUE"""),0.2159)</f>
        <v>0.2159</v>
      </c>
      <c r="M3527" s="18">
        <f>IFERROR(__xludf.DUMMYFUNCTION("""COMPUTED_VALUE"""),1.8)</f>
        <v>1.8</v>
      </c>
    </row>
    <row r="3528">
      <c r="A3528" s="13" t="str">
        <f>IFERROR(__xludf.DUMMYFUNCTION("""COMPUTED_VALUE"""),"товари")</f>
        <v>товари</v>
      </c>
      <c r="B3528" s="16" t="str">
        <f>IFERROR(__xludf.DUMMYFUNCTION("""COMPUTED_VALUE"""),"спорт і відпочинок")</f>
        <v>спорт і відпочинок</v>
      </c>
      <c r="C3528" s="16" t="str">
        <f>IFERROR(__xludf.DUMMYFUNCTION("""COMPUTED_VALUE"""),"товари для туризму та подорожей")</f>
        <v>товари для туризму та подорожей</v>
      </c>
      <c r="D3528" s="16" t="str">
        <f>IFERROR(__xludf.DUMMYFUNCTION("""COMPUTED_VALUE"""),"туристичні інструменти")</f>
        <v>туристичні інструменти</v>
      </c>
      <c r="E3528" s="16" t="str">
        <f>IFERROR(__xludf.DUMMYFUNCTION("""COMPUTED_VALUE"""),"запчастини для ножів та мультитулів")</f>
        <v>запчастини для ножів та мультитулів</v>
      </c>
      <c r="F3528" s="17">
        <f>IFERROR(__xludf.DUMMYFUNCTION("""COMPUTED_VALUE"""),4.0)</f>
        <v>4</v>
      </c>
      <c r="G3528" s="17" t="str">
        <f>IFERROR(__xludf.DUMMYFUNCTION("""COMPUTED_VALUE"""),"181620")</f>
        <v>181620</v>
      </c>
      <c r="H3528" s="17" t="str">
        <f>IFERROR(__xludf.DUMMYFUNCTION("""COMPUTED_VALUE"""),"запчастини для ножів та мультитулів")</f>
        <v>запчастини для ножів та мультитулів</v>
      </c>
      <c r="I3528" s="19">
        <f>IFERROR(__xludf.DUMMYFUNCTION("""COMPUTED_VALUE"""),0.0786)</f>
        <v>0.0786</v>
      </c>
      <c r="J3528" s="19">
        <f>IFERROR(__xludf.DUMMYFUNCTION("""COMPUTED_VALUE"""),0.1571)</f>
        <v>0.1571</v>
      </c>
      <c r="K3528" s="19">
        <f>IFERROR(__xludf.DUMMYFUNCTION("""COMPUTED_VALUE"""),0.1964)</f>
        <v>0.1964</v>
      </c>
      <c r="L3528" s="19">
        <f>IFERROR(__xludf.DUMMYFUNCTION("""COMPUTED_VALUE"""),0.2357)</f>
        <v>0.2357</v>
      </c>
      <c r="M3528" s="18">
        <f>IFERROR(__xludf.DUMMYFUNCTION("""COMPUTED_VALUE"""),1.8)</f>
        <v>1.8</v>
      </c>
    </row>
    <row r="3529">
      <c r="A3529" s="13" t="str">
        <f>IFERROR(__xludf.DUMMYFUNCTION("""COMPUTED_VALUE"""),"товари")</f>
        <v>товари</v>
      </c>
      <c r="B3529" s="16" t="str">
        <f>IFERROR(__xludf.DUMMYFUNCTION("""COMPUTED_VALUE"""),"спорт і відпочинок")</f>
        <v>спорт і відпочинок</v>
      </c>
      <c r="C3529" s="16" t="str">
        <f>IFERROR(__xludf.DUMMYFUNCTION("""COMPUTED_VALUE"""),"спортивні товари")</f>
        <v>спортивні товари</v>
      </c>
      <c r="D3529" s="16" t="str">
        <f>IFERROR(__xludf.DUMMYFUNCTION("""COMPUTED_VALUE"""),"ролики, скейтборди та самокати")</f>
        <v>ролики, скейтборди та самокати</v>
      </c>
      <c r="E3529" s="16" t="str">
        <f>IFERROR(__xludf.DUMMYFUNCTION("""COMPUTED_VALUE"""),"запчастини та аксесуари для самокатів, скейтборду, роликових ковзанів")</f>
        <v>запчастини та аксесуари для самокатів, скейтборду, роликових ковзанів</v>
      </c>
      <c r="F3529" s="17">
        <f>IFERROR(__xludf.DUMMYFUNCTION("""COMPUTED_VALUE"""),4.0)</f>
        <v>4</v>
      </c>
      <c r="G3529" s="17" t="str">
        <f>IFERROR(__xludf.DUMMYFUNCTION("""COMPUTED_VALUE"""),"3423")</f>
        <v>3423</v>
      </c>
      <c r="H3529" s="17" t="str">
        <f>IFERROR(__xludf.DUMMYFUNCTION("""COMPUTED_VALUE"""),"запчастини та аксесуари для самокатів, скейтборду, роликових ковзанів")</f>
        <v>запчастини та аксесуари для самокатів, скейтборду, роликових ковзанів</v>
      </c>
      <c r="I3529" s="19">
        <f>IFERROR(__xludf.DUMMYFUNCTION("""COMPUTED_VALUE"""),0.0592)</f>
        <v>0.0592</v>
      </c>
      <c r="J3529" s="19">
        <f>IFERROR(__xludf.DUMMYFUNCTION("""COMPUTED_VALUE"""),0.1184)</f>
        <v>0.1184</v>
      </c>
      <c r="K3529" s="19">
        <f>IFERROR(__xludf.DUMMYFUNCTION("""COMPUTED_VALUE"""),0.148)</f>
        <v>0.148</v>
      </c>
      <c r="L3529" s="19">
        <f>IFERROR(__xludf.DUMMYFUNCTION("""COMPUTED_VALUE"""),0.1776)</f>
        <v>0.1776</v>
      </c>
      <c r="M3529" s="18">
        <f>IFERROR(__xludf.DUMMYFUNCTION("""COMPUTED_VALUE"""),3.43)</f>
        <v>3.43</v>
      </c>
    </row>
    <row r="3530">
      <c r="A3530" s="13" t="str">
        <f>IFERROR(__xludf.DUMMYFUNCTION("""COMPUTED_VALUE"""),"товари")</f>
        <v>товари</v>
      </c>
      <c r="B3530" s="16" t="str">
        <f>IFERROR(__xludf.DUMMYFUNCTION("""COMPUTED_VALUE"""),"спорт і відпочинок")</f>
        <v>спорт і відпочинок</v>
      </c>
      <c r="C3530" s="16" t="str">
        <f>IFERROR(__xludf.DUMMYFUNCTION("""COMPUTED_VALUE"""),"велосипеди та аксесуари")</f>
        <v>велосипеди та аксесуари</v>
      </c>
      <c r="D3530" s="16" t="str">
        <f>IFERROR(__xludf.DUMMYFUNCTION("""COMPUTED_VALUE"""),"велозапчастини")</f>
        <v>велозапчастини</v>
      </c>
      <c r="E3530" s="16" t="str">
        <f>IFERROR(__xludf.DUMMYFUNCTION("""COMPUTED_VALUE"""),"запчастини та комплектуючі для електровелосипедів")</f>
        <v>запчастини та комплектуючі для електровелосипедів</v>
      </c>
      <c r="F3530" s="17">
        <f>IFERROR(__xludf.DUMMYFUNCTION("""COMPUTED_VALUE"""),4.0)</f>
        <v>4</v>
      </c>
      <c r="G3530" s="17" t="str">
        <f>IFERROR(__xludf.DUMMYFUNCTION("""COMPUTED_VALUE"""),"122222")</f>
        <v>122222</v>
      </c>
      <c r="H3530" s="17" t="str">
        <f>IFERROR(__xludf.DUMMYFUNCTION("""COMPUTED_VALUE"""),"запчастини та комплектуючі для електровелосипедів")</f>
        <v>запчастини та комплектуючі для електровелосипедів</v>
      </c>
      <c r="I3530" s="19">
        <f>IFERROR(__xludf.DUMMYFUNCTION("""COMPUTED_VALUE"""),0.0753)</f>
        <v>0.0753</v>
      </c>
      <c r="J3530" s="19">
        <f>IFERROR(__xludf.DUMMYFUNCTION("""COMPUTED_VALUE"""),0.1506)</f>
        <v>0.1506</v>
      </c>
      <c r="K3530" s="19">
        <f>IFERROR(__xludf.DUMMYFUNCTION("""COMPUTED_VALUE"""),0.1883)</f>
        <v>0.1883</v>
      </c>
      <c r="L3530" s="19">
        <f>IFERROR(__xludf.DUMMYFUNCTION("""COMPUTED_VALUE"""),0.2259)</f>
        <v>0.2259</v>
      </c>
      <c r="M3530" s="18">
        <f>IFERROR(__xludf.DUMMYFUNCTION("""COMPUTED_VALUE"""),1.71)</f>
        <v>1.71</v>
      </c>
    </row>
    <row r="3531">
      <c r="A3531" s="13" t="str">
        <f>IFERROR(__xludf.DUMMYFUNCTION("""COMPUTED_VALUE"""),"товари")</f>
        <v>товари</v>
      </c>
      <c r="B3531" s="16" t="str">
        <f>IFERROR(__xludf.DUMMYFUNCTION("""COMPUTED_VALUE"""),"спорт і відпочинок")</f>
        <v>спорт і відпочинок</v>
      </c>
      <c r="C3531" s="16" t="str">
        <f>IFERROR(__xludf.DUMMYFUNCTION("""COMPUTED_VALUE"""),"товари для туризму та подорожей")</f>
        <v>товари для туризму та подорожей</v>
      </c>
      <c r="D3531" s="16" t="str">
        <f>IFERROR(__xludf.DUMMYFUNCTION("""COMPUTED_VALUE"""),"туристична косметика та хімія")</f>
        <v>туристична косметика та хімія</v>
      </c>
      <c r="E3531" s="16" t="str">
        <f>IFERROR(__xludf.DUMMYFUNCTION("""COMPUTED_VALUE"""),"засоби для чищення взуття")</f>
        <v>засоби для чищення взуття</v>
      </c>
      <c r="F3531" s="17">
        <f>IFERROR(__xludf.DUMMYFUNCTION("""COMPUTED_VALUE"""),4.0)</f>
        <v>4</v>
      </c>
      <c r="G3531" s="17" t="str">
        <f>IFERROR(__xludf.DUMMYFUNCTION("""COMPUTED_VALUE"""),"240447")</f>
        <v>240447</v>
      </c>
      <c r="H3531" s="17" t="str">
        <f>IFERROR(__xludf.DUMMYFUNCTION("""COMPUTED_VALUE"""),"засоби для чищення взуття")</f>
        <v>засоби для чищення взуття</v>
      </c>
      <c r="I3531" s="19">
        <f>IFERROR(__xludf.DUMMYFUNCTION("""COMPUTED_VALUE"""),0.0832)</f>
        <v>0.0832</v>
      </c>
      <c r="J3531" s="19">
        <f>IFERROR(__xludf.DUMMYFUNCTION("""COMPUTED_VALUE"""),0.1663)</f>
        <v>0.1663</v>
      </c>
      <c r="K3531" s="19">
        <f>IFERROR(__xludf.DUMMYFUNCTION("""COMPUTED_VALUE"""),0.2079)</f>
        <v>0.2079</v>
      </c>
      <c r="L3531" s="19">
        <f>IFERROR(__xludf.DUMMYFUNCTION("""COMPUTED_VALUE"""),0.2495)</f>
        <v>0.2495</v>
      </c>
      <c r="M3531" s="18">
        <f>IFERROR(__xludf.DUMMYFUNCTION("""COMPUTED_VALUE"""),1.05)</f>
        <v>1.05</v>
      </c>
    </row>
    <row r="3532">
      <c r="A3532" s="13" t="str">
        <f>IFERROR(__xludf.DUMMYFUNCTION("""COMPUTED_VALUE"""),"товари")</f>
        <v>товари</v>
      </c>
      <c r="B3532" s="16" t="str">
        <f>IFERROR(__xludf.DUMMYFUNCTION("""COMPUTED_VALUE"""),"спорт і відпочинок")</f>
        <v>спорт і відпочинок</v>
      </c>
      <c r="C3532" s="16" t="str">
        <f>IFERROR(__xludf.DUMMYFUNCTION("""COMPUTED_VALUE"""),"товари для полювання")</f>
        <v>товари для полювання</v>
      </c>
      <c r="D3532" s="16" t="str">
        <f>IFERROR(__xludf.DUMMYFUNCTION("""COMPUTED_VALUE"""),"засоби для чищення рушниць")</f>
        <v>засоби для чищення рушниць</v>
      </c>
      <c r="E3532" s="16" t="str">
        <f>IFERROR(__xludf.DUMMYFUNCTION("""COMPUTED_VALUE"""),"засоби для чищення рушниць")</f>
        <v>засоби для чищення рушниць</v>
      </c>
      <c r="F3532" s="17">
        <f>IFERROR(__xludf.DUMMYFUNCTION("""COMPUTED_VALUE"""),3.0)</f>
        <v>3</v>
      </c>
      <c r="G3532" s="17" t="str">
        <f>IFERROR(__xludf.DUMMYFUNCTION("""COMPUTED_VALUE"""),"181607")</f>
        <v>181607</v>
      </c>
      <c r="H3532" s="17" t="str">
        <f>IFERROR(__xludf.DUMMYFUNCTION("""COMPUTED_VALUE"""),"засоби для чищення рушниць")</f>
        <v>засоби для чищення рушниць</v>
      </c>
      <c r="I3532" s="19">
        <f>IFERROR(__xludf.DUMMYFUNCTION("""COMPUTED_VALUE"""),0.0581)</f>
        <v>0.0581</v>
      </c>
      <c r="J3532" s="19">
        <f>IFERROR(__xludf.DUMMYFUNCTION("""COMPUTED_VALUE"""),0.1161)</f>
        <v>0.1161</v>
      </c>
      <c r="K3532" s="19">
        <f>IFERROR(__xludf.DUMMYFUNCTION("""COMPUTED_VALUE"""),0.1451)</f>
        <v>0.1451</v>
      </c>
      <c r="L3532" s="19">
        <f>IFERROR(__xludf.DUMMYFUNCTION("""COMPUTED_VALUE"""),0.1742)</f>
        <v>0.1742</v>
      </c>
      <c r="M3532" s="18">
        <f>IFERROR(__xludf.DUMMYFUNCTION("""COMPUTED_VALUE"""),1.05)</f>
        <v>1.05</v>
      </c>
    </row>
    <row r="3533">
      <c r="A3533" s="13" t="str">
        <f>IFERROR(__xludf.DUMMYFUNCTION("""COMPUTED_VALUE"""),"товари")</f>
        <v>товари</v>
      </c>
      <c r="B3533" s="16" t="str">
        <f>IFERROR(__xludf.DUMMYFUNCTION("""COMPUTED_VALUE"""),"спорт і відпочинок")</f>
        <v>спорт і відпочинок</v>
      </c>
      <c r="C3533" s="16" t="str">
        <f>IFERROR(__xludf.DUMMYFUNCTION("""COMPUTED_VALUE"""),"товари для туризму та подорожей")</f>
        <v>товари для туризму та подорожей</v>
      </c>
      <c r="D3533" s="16" t="str">
        <f>IFERROR(__xludf.DUMMYFUNCTION("""COMPUTED_VALUE"""),"туристична косметика та хімія")</f>
        <v>туристична косметика та хімія</v>
      </c>
      <c r="E3533" s="16" t="str">
        <f>IFERROR(__xludf.DUMMYFUNCTION("""COMPUTED_VALUE"""),"засоби по догляду за екіпіруванням")</f>
        <v>засоби по догляду за екіпіруванням</v>
      </c>
      <c r="F3533" s="17">
        <f>IFERROR(__xludf.DUMMYFUNCTION("""COMPUTED_VALUE"""),4.0)</f>
        <v>4</v>
      </c>
      <c r="G3533" s="17" t="str">
        <f>IFERROR(__xludf.DUMMYFUNCTION("""COMPUTED_VALUE"""),"240443")</f>
        <v>240443</v>
      </c>
      <c r="H3533" s="17" t="str">
        <f>IFERROR(__xludf.DUMMYFUNCTION("""COMPUTED_VALUE"""),"засоби по догляду за екіпіруванням")</f>
        <v>засоби по догляду за екіпіруванням</v>
      </c>
      <c r="I3533" s="19">
        <f>IFERROR(__xludf.DUMMYFUNCTION("""COMPUTED_VALUE"""),0.077)</f>
        <v>0.077</v>
      </c>
      <c r="J3533" s="19">
        <f>IFERROR(__xludf.DUMMYFUNCTION("""COMPUTED_VALUE"""),0.154)</f>
        <v>0.154</v>
      </c>
      <c r="K3533" s="19">
        <f>IFERROR(__xludf.DUMMYFUNCTION("""COMPUTED_VALUE"""),0.1925)</f>
        <v>0.1925</v>
      </c>
      <c r="L3533" s="19">
        <f>IFERROR(__xludf.DUMMYFUNCTION("""COMPUTED_VALUE"""),0.231)</f>
        <v>0.231</v>
      </c>
      <c r="M3533" s="18">
        <f>IFERROR(__xludf.DUMMYFUNCTION("""COMPUTED_VALUE"""),1.05)</f>
        <v>1.05</v>
      </c>
    </row>
    <row r="3534">
      <c r="A3534" s="13" t="str">
        <f>IFERROR(__xludf.DUMMYFUNCTION("""COMPUTED_VALUE"""),"товари")</f>
        <v>товари</v>
      </c>
      <c r="B3534" s="16" t="str">
        <f>IFERROR(__xludf.DUMMYFUNCTION("""COMPUTED_VALUE"""),"спорт і відпочинок")</f>
        <v>спорт і відпочинок</v>
      </c>
      <c r="C3534" s="16" t="str">
        <f>IFERROR(__xludf.DUMMYFUNCTION("""COMPUTED_VALUE"""),"екстремальні види спорту")</f>
        <v>екстремальні види спорту</v>
      </c>
      <c r="D3534" s="16" t="str">
        <f>IFERROR(__xludf.DUMMYFUNCTION("""COMPUTED_VALUE"""),"альпінізм")</f>
        <v>альпінізм</v>
      </c>
      <c r="E3534" s="16" t="str">
        <f>IFERROR(__xludf.DUMMYFUNCTION("""COMPUTED_VALUE"""),"затискачі для мотузки")</f>
        <v>затискачі для мотузки</v>
      </c>
      <c r="F3534" s="17">
        <f>IFERROR(__xludf.DUMMYFUNCTION("""COMPUTED_VALUE"""),4.0)</f>
        <v>4</v>
      </c>
      <c r="G3534" s="17" t="str">
        <f>IFERROR(__xludf.DUMMYFUNCTION("""COMPUTED_VALUE"""),"203534")</f>
        <v>203534</v>
      </c>
      <c r="H3534" s="17" t="str">
        <f>IFERROR(__xludf.DUMMYFUNCTION("""COMPUTED_VALUE"""),"затискачі для мотузки")</f>
        <v>затискачі для мотузки</v>
      </c>
      <c r="I3534" s="19">
        <f>IFERROR(__xludf.DUMMYFUNCTION("""COMPUTED_VALUE"""),0.0786)</f>
        <v>0.0786</v>
      </c>
      <c r="J3534" s="19">
        <f>IFERROR(__xludf.DUMMYFUNCTION("""COMPUTED_VALUE"""),0.1571)</f>
        <v>0.1571</v>
      </c>
      <c r="K3534" s="19">
        <f>IFERROR(__xludf.DUMMYFUNCTION("""COMPUTED_VALUE"""),0.1964)</f>
        <v>0.1964</v>
      </c>
      <c r="L3534" s="19">
        <f>IFERROR(__xludf.DUMMYFUNCTION("""COMPUTED_VALUE"""),0.2357)</f>
        <v>0.2357</v>
      </c>
      <c r="M3534" s="18">
        <f>IFERROR(__xludf.DUMMYFUNCTION("""COMPUTED_VALUE"""),1.8)</f>
        <v>1.8</v>
      </c>
    </row>
    <row r="3535">
      <c r="A3535" s="13" t="str">
        <f>IFERROR(__xludf.DUMMYFUNCTION("""COMPUTED_VALUE"""),"товари")</f>
        <v>товари</v>
      </c>
      <c r="B3535" s="16" t="str">
        <f>IFERROR(__xludf.DUMMYFUNCTION("""COMPUTED_VALUE"""),"спорт і відпочинок")</f>
        <v>спорт і відпочинок</v>
      </c>
      <c r="C3535" s="16" t="str">
        <f>IFERROR(__xludf.DUMMYFUNCTION("""COMPUTED_VALUE"""),"водні види спорту")</f>
        <v>водні види спорту</v>
      </c>
      <c r="D3535" s="16" t="str">
        <f>IFERROR(__xludf.DUMMYFUNCTION("""COMPUTED_VALUE"""),"плавання")</f>
        <v>плавання</v>
      </c>
      <c r="E3535" s="16" t="str">
        <f>IFERROR(__xludf.DUMMYFUNCTION("""COMPUTED_VALUE"""),"затискачі для носа, беруші для плавання")</f>
        <v>затискачі для носа, беруші для плавання</v>
      </c>
      <c r="F3535" s="17">
        <f>IFERROR(__xludf.DUMMYFUNCTION("""COMPUTED_VALUE"""),4.0)</f>
        <v>4</v>
      </c>
      <c r="G3535" s="17" t="str">
        <f>IFERROR(__xludf.DUMMYFUNCTION("""COMPUTED_VALUE"""),"200321")</f>
        <v>200321</v>
      </c>
      <c r="H3535" s="17" t="str">
        <f>IFERROR(__xludf.DUMMYFUNCTION("""COMPUTED_VALUE"""),"затискачі для носа, беруші для плавання")</f>
        <v>затискачі для носа, беруші для плавання</v>
      </c>
      <c r="I3535" s="19">
        <f>IFERROR(__xludf.DUMMYFUNCTION("""COMPUTED_VALUE"""),0.0788)</f>
        <v>0.0788</v>
      </c>
      <c r="J3535" s="19">
        <f>IFERROR(__xludf.DUMMYFUNCTION("""COMPUTED_VALUE"""),0.1576)</f>
        <v>0.1576</v>
      </c>
      <c r="K3535" s="19">
        <f>IFERROR(__xludf.DUMMYFUNCTION("""COMPUTED_VALUE"""),0.197)</f>
        <v>0.197</v>
      </c>
      <c r="L3535" s="19">
        <f>IFERROR(__xludf.DUMMYFUNCTION("""COMPUTED_VALUE"""),0.2364)</f>
        <v>0.2364</v>
      </c>
      <c r="M3535" s="18">
        <f>IFERROR(__xludf.DUMMYFUNCTION("""COMPUTED_VALUE"""),1.26)</f>
        <v>1.26</v>
      </c>
    </row>
    <row r="3536">
      <c r="A3536" s="13" t="str">
        <f>IFERROR(__xludf.DUMMYFUNCTION("""COMPUTED_VALUE"""),"товари")</f>
        <v>товари</v>
      </c>
      <c r="B3536" s="16" t="str">
        <f>IFERROR(__xludf.DUMMYFUNCTION("""COMPUTED_VALUE"""),"спорт і відпочинок")</f>
        <v>спорт і відпочинок</v>
      </c>
      <c r="C3536" s="16" t="str">
        <f>IFERROR(__xludf.DUMMYFUNCTION("""COMPUTED_VALUE"""),"екстремальні види спорту")</f>
        <v>екстремальні види спорту</v>
      </c>
      <c r="D3536" s="16" t="str">
        <f>IFERROR(__xludf.DUMMYFUNCTION("""COMPUTED_VALUE"""),"спортивний захист")</f>
        <v>спортивний захист</v>
      </c>
      <c r="E3536" s="16" t="str">
        <f>IFERROR(__xludf.DUMMYFUNCTION("""COMPUTED_VALUE"""),"захисні наколінники")</f>
        <v>захисні наколінники</v>
      </c>
      <c r="F3536" s="17">
        <f>IFERROR(__xludf.DUMMYFUNCTION("""COMPUTED_VALUE"""),4.0)</f>
        <v>4</v>
      </c>
      <c r="G3536" s="17" t="str">
        <f>IFERROR(__xludf.DUMMYFUNCTION("""COMPUTED_VALUE"""),"204005")</f>
        <v>204005</v>
      </c>
      <c r="H3536" s="17" t="str">
        <f>IFERROR(__xludf.DUMMYFUNCTION("""COMPUTED_VALUE"""),"захисні наколінники")</f>
        <v>захисні наколінники</v>
      </c>
      <c r="I3536" s="19">
        <f>IFERROR(__xludf.DUMMYFUNCTION("""COMPUTED_VALUE"""),0.0566)</f>
        <v>0.0566</v>
      </c>
      <c r="J3536" s="19">
        <f>IFERROR(__xludf.DUMMYFUNCTION("""COMPUTED_VALUE"""),0.1131)</f>
        <v>0.1131</v>
      </c>
      <c r="K3536" s="19">
        <f>IFERROR(__xludf.DUMMYFUNCTION("""COMPUTED_VALUE"""),0.1414)</f>
        <v>0.1414</v>
      </c>
      <c r="L3536" s="19">
        <f>IFERROR(__xludf.DUMMYFUNCTION("""COMPUTED_VALUE"""),0.1697)</f>
        <v>0.1697</v>
      </c>
      <c r="M3536" s="18">
        <f>IFERROR(__xludf.DUMMYFUNCTION("""COMPUTED_VALUE"""),1.63)</f>
        <v>1.63</v>
      </c>
    </row>
    <row r="3537">
      <c r="A3537" s="13" t="str">
        <f>IFERROR(__xludf.DUMMYFUNCTION("""COMPUTED_VALUE"""),"товари")</f>
        <v>товари</v>
      </c>
      <c r="B3537" s="16" t="str">
        <f>IFERROR(__xludf.DUMMYFUNCTION("""COMPUTED_VALUE"""),"спорт і відпочинок")</f>
        <v>спорт і відпочинок</v>
      </c>
      <c r="C3537" s="16" t="str">
        <f>IFERROR(__xludf.DUMMYFUNCTION("""COMPUTED_VALUE"""),"екстремальні види спорту")</f>
        <v>екстремальні види спорту</v>
      </c>
      <c r="D3537" s="16" t="str">
        <f>IFERROR(__xludf.DUMMYFUNCTION("""COMPUTED_VALUE"""),"спортивний захист")</f>
        <v>спортивний захист</v>
      </c>
      <c r="E3537" s="16" t="str">
        <f>IFERROR(__xludf.DUMMYFUNCTION("""COMPUTED_VALUE"""),"захисні налокітники")</f>
        <v>захисні налокітники</v>
      </c>
      <c r="F3537" s="17">
        <f>IFERROR(__xludf.DUMMYFUNCTION("""COMPUTED_VALUE"""),4.0)</f>
        <v>4</v>
      </c>
      <c r="G3537" s="17" t="str">
        <f>IFERROR(__xludf.DUMMYFUNCTION("""COMPUTED_VALUE"""),"204006")</f>
        <v>204006</v>
      </c>
      <c r="H3537" s="17" t="str">
        <f>IFERROR(__xludf.DUMMYFUNCTION("""COMPUTED_VALUE"""),"захисні налокітники")</f>
        <v>захисні налокітники</v>
      </c>
      <c r="I3537" s="19">
        <f>IFERROR(__xludf.DUMMYFUNCTION("""COMPUTED_VALUE"""),0.0566)</f>
        <v>0.0566</v>
      </c>
      <c r="J3537" s="19">
        <f>IFERROR(__xludf.DUMMYFUNCTION("""COMPUTED_VALUE"""),0.1131)</f>
        <v>0.1131</v>
      </c>
      <c r="K3537" s="19">
        <f>IFERROR(__xludf.DUMMYFUNCTION("""COMPUTED_VALUE"""),0.1414)</f>
        <v>0.1414</v>
      </c>
      <c r="L3537" s="19">
        <f>IFERROR(__xludf.DUMMYFUNCTION("""COMPUTED_VALUE"""),0.1697)</f>
        <v>0.1697</v>
      </c>
      <c r="M3537" s="18">
        <f>IFERROR(__xludf.DUMMYFUNCTION("""COMPUTED_VALUE"""),1.63)</f>
        <v>1.63</v>
      </c>
    </row>
    <row r="3538">
      <c r="A3538" s="13" t="str">
        <f>IFERROR(__xludf.DUMMYFUNCTION("""COMPUTED_VALUE"""),"товари")</f>
        <v>товари</v>
      </c>
      <c r="B3538" s="16" t="str">
        <f>IFERROR(__xludf.DUMMYFUNCTION("""COMPUTED_VALUE"""),"спорт і відпочинок")</f>
        <v>спорт і відпочинок</v>
      </c>
      <c r="C3538" s="16" t="str">
        <f>IFERROR(__xludf.DUMMYFUNCTION("""COMPUTED_VALUE"""),"екстремальні види спорту")</f>
        <v>екстремальні види спорту</v>
      </c>
      <c r="D3538" s="16" t="str">
        <f>IFERROR(__xludf.DUMMYFUNCTION("""COMPUTED_VALUE"""),"спортивний захист")</f>
        <v>спортивний захист</v>
      </c>
      <c r="E3538" s="16" t="str">
        <f>IFERROR(__xludf.DUMMYFUNCTION("""COMPUTED_VALUE"""),"захисні шоломи для спорту")</f>
        <v>захисні шоломи для спорту</v>
      </c>
      <c r="F3538" s="17">
        <f>IFERROR(__xludf.DUMMYFUNCTION("""COMPUTED_VALUE"""),4.0)</f>
        <v>4</v>
      </c>
      <c r="G3538" s="17" t="str">
        <f>IFERROR(__xludf.DUMMYFUNCTION("""COMPUTED_VALUE"""),"204010")</f>
        <v>204010</v>
      </c>
      <c r="H3538" s="17" t="str">
        <f>IFERROR(__xludf.DUMMYFUNCTION("""COMPUTED_VALUE"""),"захисні шоломи для спорту")</f>
        <v>захисні шоломи для спорту</v>
      </c>
      <c r="I3538" s="19">
        <f>IFERROR(__xludf.DUMMYFUNCTION("""COMPUTED_VALUE"""),0.0637)</f>
        <v>0.0637</v>
      </c>
      <c r="J3538" s="19">
        <f>IFERROR(__xludf.DUMMYFUNCTION("""COMPUTED_VALUE"""),0.1273)</f>
        <v>0.1273</v>
      </c>
      <c r="K3538" s="19">
        <f>IFERROR(__xludf.DUMMYFUNCTION("""COMPUTED_VALUE"""),0.1591)</f>
        <v>0.1591</v>
      </c>
      <c r="L3538" s="19">
        <f>IFERROR(__xludf.DUMMYFUNCTION("""COMPUTED_VALUE"""),0.191)</f>
        <v>0.191</v>
      </c>
      <c r="M3538" s="18">
        <f>IFERROR(__xludf.DUMMYFUNCTION("""COMPUTED_VALUE"""),1.63)</f>
        <v>1.63</v>
      </c>
    </row>
    <row r="3539">
      <c r="A3539" s="13" t="str">
        <f>IFERROR(__xludf.DUMMYFUNCTION("""COMPUTED_VALUE"""),"товари")</f>
        <v>товари</v>
      </c>
      <c r="B3539" s="16" t="str">
        <f>IFERROR(__xludf.DUMMYFUNCTION("""COMPUTED_VALUE"""),"спорт і відпочинок")</f>
        <v>спорт і відпочинок</v>
      </c>
      <c r="C3539" s="16" t="str">
        <f>IFERROR(__xludf.DUMMYFUNCTION("""COMPUTED_VALUE"""),"екстремальні види спорту")</f>
        <v>екстремальні види спорту</v>
      </c>
      <c r="D3539" s="16" t="str">
        <f>IFERROR(__xludf.DUMMYFUNCTION("""COMPUTED_VALUE"""),"спортивний захист")</f>
        <v>спортивний захист</v>
      </c>
      <c r="E3539" s="16" t="str">
        <f>IFERROR(__xludf.DUMMYFUNCTION("""COMPUTED_VALUE"""),"захисні шорти")</f>
        <v>захисні шорти</v>
      </c>
      <c r="F3539" s="17">
        <f>IFERROR(__xludf.DUMMYFUNCTION("""COMPUTED_VALUE"""),4.0)</f>
        <v>4</v>
      </c>
      <c r="G3539" s="17" t="str">
        <f>IFERROR(__xludf.DUMMYFUNCTION("""COMPUTED_VALUE"""),"204008")</f>
        <v>204008</v>
      </c>
      <c r="H3539" s="17" t="str">
        <f>IFERROR(__xludf.DUMMYFUNCTION("""COMPUTED_VALUE"""),"захисні шорти")</f>
        <v>захисні шорти</v>
      </c>
      <c r="I3539" s="19">
        <f>IFERROR(__xludf.DUMMYFUNCTION("""COMPUTED_VALUE"""),0.0637)</f>
        <v>0.0637</v>
      </c>
      <c r="J3539" s="19">
        <f>IFERROR(__xludf.DUMMYFUNCTION("""COMPUTED_VALUE"""),0.1273)</f>
        <v>0.1273</v>
      </c>
      <c r="K3539" s="19">
        <f>IFERROR(__xludf.DUMMYFUNCTION("""COMPUTED_VALUE"""),0.1591)</f>
        <v>0.1591</v>
      </c>
      <c r="L3539" s="19">
        <f>IFERROR(__xludf.DUMMYFUNCTION("""COMPUTED_VALUE"""),0.191)</f>
        <v>0.191</v>
      </c>
      <c r="M3539" s="18">
        <f>IFERROR(__xludf.DUMMYFUNCTION("""COMPUTED_VALUE"""),1.63)</f>
        <v>1.63</v>
      </c>
    </row>
    <row r="3540">
      <c r="A3540" s="13" t="str">
        <f>IFERROR(__xludf.DUMMYFUNCTION("""COMPUTED_VALUE"""),"товари")</f>
        <v>товари</v>
      </c>
      <c r="B3540" s="16" t="str">
        <f>IFERROR(__xludf.DUMMYFUNCTION("""COMPUTED_VALUE"""),"спорт і відпочинок")</f>
        <v>спорт і відпочинок</v>
      </c>
      <c r="C3540" s="16" t="str">
        <f>IFERROR(__xludf.DUMMYFUNCTION("""COMPUTED_VALUE"""),"спортивні товари")</f>
        <v>спортивні товари</v>
      </c>
      <c r="D3540" s="16" t="str">
        <f>IFERROR(__xludf.DUMMYFUNCTION("""COMPUTED_VALUE"""),"бойові мистецтва")</f>
        <v>бойові мистецтва</v>
      </c>
      <c r="E3540" s="16" t="str">
        <f>IFERROR(__xludf.DUMMYFUNCTION("""COMPUTED_VALUE"""),"захист для бойових мистецтв")</f>
        <v>захист для бойових мистецтв</v>
      </c>
      <c r="F3540" s="17">
        <f>IFERROR(__xludf.DUMMYFUNCTION("""COMPUTED_VALUE"""),4.0)</f>
        <v>4</v>
      </c>
      <c r="G3540" s="17" t="str">
        <f>IFERROR(__xludf.DUMMYFUNCTION("""COMPUTED_VALUE"""),"202709")</f>
        <v>202709</v>
      </c>
      <c r="H3540" s="17" t="str">
        <f>IFERROR(__xludf.DUMMYFUNCTION("""COMPUTED_VALUE"""),"захист для бойових мистецтв")</f>
        <v>захист для бойових мистецтв</v>
      </c>
      <c r="I3540" s="19">
        <f>IFERROR(__xludf.DUMMYFUNCTION("""COMPUTED_VALUE"""),0.0773)</f>
        <v>0.0773</v>
      </c>
      <c r="J3540" s="19">
        <f>IFERROR(__xludf.DUMMYFUNCTION("""COMPUTED_VALUE"""),0.1546)</f>
        <v>0.1546</v>
      </c>
      <c r="K3540" s="19">
        <f>IFERROR(__xludf.DUMMYFUNCTION("""COMPUTED_VALUE"""),0.1933)</f>
        <v>0.1933</v>
      </c>
      <c r="L3540" s="19">
        <f>IFERROR(__xludf.DUMMYFUNCTION("""COMPUTED_VALUE"""),0.2319)</f>
        <v>0.2319</v>
      </c>
      <c r="M3540" s="18">
        <f>IFERROR(__xludf.DUMMYFUNCTION("""COMPUTED_VALUE"""),2.34)</f>
        <v>2.34</v>
      </c>
    </row>
    <row r="3541">
      <c r="A3541" s="13" t="str">
        <f>IFERROR(__xludf.DUMMYFUNCTION("""COMPUTED_VALUE"""),"товари")</f>
        <v>товари</v>
      </c>
      <c r="B3541" s="16" t="str">
        <f>IFERROR(__xludf.DUMMYFUNCTION("""COMPUTED_VALUE"""),"спорт і відпочинок")</f>
        <v>спорт і відпочинок</v>
      </c>
      <c r="C3541" s="16" t="str">
        <f>IFERROR(__xludf.DUMMYFUNCTION("""COMPUTED_VALUE"""),"екстремальні види спорту")</f>
        <v>екстремальні види спорту</v>
      </c>
      <c r="D3541" s="16" t="str">
        <f>IFERROR(__xludf.DUMMYFUNCTION("""COMPUTED_VALUE"""),"спортивний захист")</f>
        <v>спортивний захист</v>
      </c>
      <c r="E3541" s="16" t="str">
        <f>IFERROR(__xludf.DUMMYFUNCTION("""COMPUTED_VALUE"""),"захист зап'ястя")</f>
        <v>захист зап'ястя</v>
      </c>
      <c r="F3541" s="17">
        <f>IFERROR(__xludf.DUMMYFUNCTION("""COMPUTED_VALUE"""),4.0)</f>
        <v>4</v>
      </c>
      <c r="G3541" s="17" t="str">
        <f>IFERROR(__xludf.DUMMYFUNCTION("""COMPUTED_VALUE"""),"204007")</f>
        <v>204007</v>
      </c>
      <c r="H3541" s="17" t="str">
        <f>IFERROR(__xludf.DUMMYFUNCTION("""COMPUTED_VALUE"""),"захист зап'ястя")</f>
        <v>захист зап'ястя</v>
      </c>
      <c r="I3541" s="19">
        <f>IFERROR(__xludf.DUMMYFUNCTION("""COMPUTED_VALUE"""),0.0566)</f>
        <v>0.0566</v>
      </c>
      <c r="J3541" s="19">
        <f>IFERROR(__xludf.DUMMYFUNCTION("""COMPUTED_VALUE"""),0.1131)</f>
        <v>0.1131</v>
      </c>
      <c r="K3541" s="19">
        <f>IFERROR(__xludf.DUMMYFUNCTION("""COMPUTED_VALUE"""),0.1414)</f>
        <v>0.1414</v>
      </c>
      <c r="L3541" s="19">
        <f>IFERROR(__xludf.DUMMYFUNCTION("""COMPUTED_VALUE"""),0.1697)</f>
        <v>0.1697</v>
      </c>
      <c r="M3541" s="18">
        <f>IFERROR(__xludf.DUMMYFUNCTION("""COMPUTED_VALUE"""),1.63)</f>
        <v>1.63</v>
      </c>
    </row>
    <row r="3542">
      <c r="A3542" s="13" t="str">
        <f>IFERROR(__xludf.DUMMYFUNCTION("""COMPUTED_VALUE"""),"товари")</f>
        <v>товари</v>
      </c>
      <c r="B3542" s="16" t="str">
        <f>IFERROR(__xludf.DUMMYFUNCTION("""COMPUTED_VALUE"""),"спорт і відпочинок")</f>
        <v>спорт і відпочинок</v>
      </c>
      <c r="C3542" s="16" t="str">
        <f>IFERROR(__xludf.DUMMYFUNCTION("""COMPUTED_VALUE"""),"велосипеди та аксесуари")</f>
        <v>велосипеди та аксесуари</v>
      </c>
      <c r="D3542" s="16" t="str">
        <f>IFERROR(__xludf.DUMMYFUNCTION("""COMPUTED_VALUE"""),"велоаксесуари")</f>
        <v>велоаксесуари</v>
      </c>
      <c r="E3542" s="16" t="str">
        <f>IFERROR(__xludf.DUMMYFUNCTION("""COMPUTED_VALUE"""),"захист рами та комплектуючих")</f>
        <v>захист рами та комплектуючих</v>
      </c>
      <c r="F3542" s="17">
        <f>IFERROR(__xludf.DUMMYFUNCTION("""COMPUTED_VALUE"""),4.0)</f>
        <v>4</v>
      </c>
      <c r="G3542" s="17" t="str">
        <f>IFERROR(__xludf.DUMMYFUNCTION("""COMPUTED_VALUE"""),"342419")</f>
        <v>342419</v>
      </c>
      <c r="H3542" s="17" t="str">
        <f>IFERROR(__xludf.DUMMYFUNCTION("""COMPUTED_VALUE"""),"захист рами та комплектуючих")</f>
        <v>захист рами та комплектуючих</v>
      </c>
      <c r="I3542" s="19">
        <f>IFERROR(__xludf.DUMMYFUNCTION("""COMPUTED_VALUE"""),0.0773)</f>
        <v>0.0773</v>
      </c>
      <c r="J3542" s="19">
        <f>IFERROR(__xludf.DUMMYFUNCTION("""COMPUTED_VALUE"""),0.1545)</f>
        <v>0.1545</v>
      </c>
      <c r="K3542" s="19">
        <f>IFERROR(__xludf.DUMMYFUNCTION("""COMPUTED_VALUE"""),0.1931)</f>
        <v>0.1931</v>
      </c>
      <c r="L3542" s="19">
        <f>IFERROR(__xludf.DUMMYFUNCTION("""COMPUTED_VALUE"""),0.2318)</f>
        <v>0.2318</v>
      </c>
      <c r="M3542" s="18">
        <f>IFERROR(__xludf.DUMMYFUNCTION("""COMPUTED_VALUE"""),1.63)</f>
        <v>1.63</v>
      </c>
    </row>
    <row r="3543">
      <c r="A3543" s="13" t="str">
        <f>IFERROR(__xludf.DUMMYFUNCTION("""COMPUTED_VALUE"""),"товари")</f>
        <v>товари</v>
      </c>
      <c r="B3543" s="16" t="str">
        <f>IFERROR(__xludf.DUMMYFUNCTION("""COMPUTED_VALUE"""),"спорт і відпочинок")</f>
        <v>спорт і відпочинок</v>
      </c>
      <c r="C3543" s="16" t="str">
        <f>IFERROR(__xludf.DUMMYFUNCTION("""COMPUTED_VALUE"""),"ігри з ракетками")</f>
        <v>ігри з ракетками</v>
      </c>
      <c r="D3543" s="16" t="str">
        <f>IFERROR(__xludf.DUMMYFUNCTION("""COMPUTED_VALUE"""),"ігри з ракетками, загальне")</f>
        <v>ігри з ракетками, загальне</v>
      </c>
      <c r="E3543" s="16" t="str">
        <f>IFERROR(__xludf.DUMMYFUNCTION("""COMPUTED_VALUE"""),"ігри з ракетками, загальне")</f>
        <v>ігри з ракетками, загальне</v>
      </c>
      <c r="F3543" s="17">
        <f>IFERROR(__xludf.DUMMYFUNCTION("""COMPUTED_VALUE"""),3.0)</f>
        <v>3</v>
      </c>
      <c r="G3543" s="17" t="str">
        <f>IFERROR(__xludf.DUMMYFUNCTION("""COMPUTED_VALUE"""),"182401")</f>
        <v>182401</v>
      </c>
      <c r="H3543" s="17" t="str">
        <f>IFERROR(__xludf.DUMMYFUNCTION("""COMPUTED_VALUE"""),"ігри з ракетками, загальне")</f>
        <v>ігри з ракетками, загальне</v>
      </c>
      <c r="I3543" s="19">
        <f>IFERROR(__xludf.DUMMYFUNCTION("""COMPUTED_VALUE"""),0.125)</f>
        <v>0.125</v>
      </c>
      <c r="J3543" s="19">
        <f>IFERROR(__xludf.DUMMYFUNCTION("""COMPUTED_VALUE"""),0.25)</f>
        <v>0.25</v>
      </c>
      <c r="K3543" s="19">
        <f>IFERROR(__xludf.DUMMYFUNCTION("""COMPUTED_VALUE"""),0.3125)</f>
        <v>0.3125</v>
      </c>
      <c r="L3543" s="19">
        <f>IFERROR(__xludf.DUMMYFUNCTION("""COMPUTED_VALUE"""),0.375)</f>
        <v>0.375</v>
      </c>
      <c r="M3543" s="18">
        <f>IFERROR(__xludf.DUMMYFUNCTION("""COMPUTED_VALUE"""),4.33)</f>
        <v>4.33</v>
      </c>
    </row>
    <row r="3544">
      <c r="A3544" s="13" t="str">
        <f>IFERROR(__xludf.DUMMYFUNCTION("""COMPUTED_VALUE"""),"товари")</f>
        <v>товари</v>
      </c>
      <c r="B3544" s="16" t="str">
        <f>IFERROR(__xludf.DUMMYFUNCTION("""COMPUTED_VALUE"""),"спорт і відпочинок")</f>
        <v>спорт і відпочинок</v>
      </c>
      <c r="C3544" s="16" t="str">
        <f>IFERROR(__xludf.DUMMYFUNCTION("""COMPUTED_VALUE"""),"спортивні товари")</f>
        <v>спортивні товари</v>
      </c>
      <c r="D3544" s="16" t="str">
        <f>IFERROR(__xludf.DUMMYFUNCTION("""COMPUTED_VALUE"""),"гімнастика")</f>
        <v>гімнастика</v>
      </c>
      <c r="E3544" s="16" t="str">
        <f>IFERROR(__xludf.DUMMYFUNCTION("""COMPUTED_VALUE"""),"інвентар для гімнастики")</f>
        <v>інвентар для гімнастики</v>
      </c>
      <c r="F3544" s="17">
        <f>IFERROR(__xludf.DUMMYFUNCTION("""COMPUTED_VALUE"""),4.0)</f>
        <v>4</v>
      </c>
      <c r="G3544" s="17" t="str">
        <f>IFERROR(__xludf.DUMMYFUNCTION("""COMPUTED_VALUE"""),"204204")</f>
        <v>204204</v>
      </c>
      <c r="H3544" s="17" t="str">
        <f>IFERROR(__xludf.DUMMYFUNCTION("""COMPUTED_VALUE"""),"інвентар для гімнастики")</f>
        <v>інвентар для гімнастики</v>
      </c>
      <c r="I3544" s="19">
        <f>IFERROR(__xludf.DUMMYFUNCTION("""COMPUTED_VALUE"""),0.0692)</f>
        <v>0.0692</v>
      </c>
      <c r="J3544" s="19">
        <f>IFERROR(__xludf.DUMMYFUNCTION("""COMPUTED_VALUE"""),0.1384)</f>
        <v>0.1384</v>
      </c>
      <c r="K3544" s="19">
        <f>IFERROR(__xludf.DUMMYFUNCTION("""COMPUTED_VALUE"""),0.173)</f>
        <v>0.173</v>
      </c>
      <c r="L3544" s="19">
        <f>IFERROR(__xludf.DUMMYFUNCTION("""COMPUTED_VALUE"""),0.2076)</f>
        <v>0.2076</v>
      </c>
      <c r="M3544" s="18">
        <f>IFERROR(__xludf.DUMMYFUNCTION("""COMPUTED_VALUE"""),4.95)</f>
        <v>4.95</v>
      </c>
    </row>
    <row r="3545">
      <c r="A3545" s="13" t="str">
        <f>IFERROR(__xludf.DUMMYFUNCTION("""COMPUTED_VALUE"""),"товари")</f>
        <v>товари</v>
      </c>
      <c r="B3545" s="16" t="str">
        <f>IFERROR(__xludf.DUMMYFUNCTION("""COMPUTED_VALUE"""),"спорт і відпочинок")</f>
        <v>спорт і відпочинок</v>
      </c>
      <c r="C3545" s="16" t="str">
        <f>IFERROR(__xludf.DUMMYFUNCTION("""COMPUTED_VALUE"""),"спортивні товари")</f>
        <v>спортивні товари</v>
      </c>
      <c r="D3545" s="16" t="str">
        <f>IFERROR(__xludf.DUMMYFUNCTION("""COMPUTED_VALUE"""),"легка атлетика")</f>
        <v>легка атлетика</v>
      </c>
      <c r="E3545" s="16" t="str">
        <f>IFERROR(__xludf.DUMMYFUNCTION("""COMPUTED_VALUE"""),"інвентар для легкої атлетики")</f>
        <v>інвентар для легкої атлетики</v>
      </c>
      <c r="F3545" s="17">
        <f>IFERROR(__xludf.DUMMYFUNCTION("""COMPUTED_VALUE"""),4.0)</f>
        <v>4</v>
      </c>
      <c r="G3545" s="17" t="str">
        <f>IFERROR(__xludf.DUMMYFUNCTION("""COMPUTED_VALUE"""),"200332")</f>
        <v>200332</v>
      </c>
      <c r="H3545" s="17" t="str">
        <f>IFERROR(__xludf.DUMMYFUNCTION("""COMPUTED_VALUE"""),"інвентар для легкої атлетики")</f>
        <v>інвентар для легкої атлетики</v>
      </c>
      <c r="I3545" s="19">
        <f>IFERROR(__xludf.DUMMYFUNCTION("""COMPUTED_VALUE"""),0.0755)</f>
        <v>0.0755</v>
      </c>
      <c r="J3545" s="19">
        <f>IFERROR(__xludf.DUMMYFUNCTION("""COMPUTED_VALUE"""),0.151)</f>
        <v>0.151</v>
      </c>
      <c r="K3545" s="19">
        <f>IFERROR(__xludf.DUMMYFUNCTION("""COMPUTED_VALUE"""),0.1888)</f>
        <v>0.1888</v>
      </c>
      <c r="L3545" s="19">
        <f>IFERROR(__xludf.DUMMYFUNCTION("""COMPUTED_VALUE"""),0.2265)</f>
        <v>0.2265</v>
      </c>
      <c r="M3545" s="18">
        <f>IFERROR(__xludf.DUMMYFUNCTION("""COMPUTED_VALUE"""),1.26)</f>
        <v>1.26</v>
      </c>
    </row>
    <row r="3546">
      <c r="A3546" s="13" t="str">
        <f>IFERROR(__xludf.DUMMYFUNCTION("""COMPUTED_VALUE"""),"товари")</f>
        <v>товари</v>
      </c>
      <c r="B3546" s="16" t="str">
        <f>IFERROR(__xludf.DUMMYFUNCTION("""COMPUTED_VALUE"""),"спорт і відпочинок")</f>
        <v>спорт і відпочинок</v>
      </c>
      <c r="C3546" s="16" t="str">
        <f>IFERROR(__xludf.DUMMYFUNCTION("""COMPUTED_VALUE"""),"тренажери")</f>
        <v>тренажери</v>
      </c>
      <c r="D3546" s="16" t="str">
        <f>IFERROR(__xludf.DUMMYFUNCTION("""COMPUTED_VALUE"""),"інверсійні столи")</f>
        <v>інверсійні столи</v>
      </c>
      <c r="E3546" s="16" t="str">
        <f>IFERROR(__xludf.DUMMYFUNCTION("""COMPUTED_VALUE"""),"інверсійні столи")</f>
        <v>інверсійні столи</v>
      </c>
      <c r="F3546" s="17">
        <f>IFERROR(__xludf.DUMMYFUNCTION("""COMPUTED_VALUE"""),3.0)</f>
        <v>3</v>
      </c>
      <c r="G3546" s="17" t="str">
        <f>IFERROR(__xludf.DUMMYFUNCTION("""COMPUTED_VALUE"""),"200918")</f>
        <v>200918</v>
      </c>
      <c r="H3546" s="17" t="str">
        <f>IFERROR(__xludf.DUMMYFUNCTION("""COMPUTED_VALUE"""),"інверсійні столи")</f>
        <v>інверсійні столи</v>
      </c>
      <c r="I3546" s="19">
        <f>IFERROR(__xludf.DUMMYFUNCTION("""COMPUTED_VALUE"""),0.0516)</f>
        <v>0.0516</v>
      </c>
      <c r="J3546" s="19">
        <f>IFERROR(__xludf.DUMMYFUNCTION("""COMPUTED_VALUE"""),0.1032)</f>
        <v>0.1032</v>
      </c>
      <c r="K3546" s="19">
        <f>IFERROR(__xludf.DUMMYFUNCTION("""COMPUTED_VALUE"""),0.129)</f>
        <v>0.129</v>
      </c>
      <c r="L3546" s="19">
        <f>IFERROR(__xludf.DUMMYFUNCTION("""COMPUTED_VALUE"""),0.1548)</f>
        <v>0.1548</v>
      </c>
      <c r="M3546" s="18">
        <f>IFERROR(__xludf.DUMMYFUNCTION("""COMPUTED_VALUE"""),3.96)</f>
        <v>3.96</v>
      </c>
    </row>
    <row r="3547">
      <c r="A3547" s="13" t="str">
        <f>IFERROR(__xludf.DUMMYFUNCTION("""COMPUTED_VALUE"""),"товари")</f>
        <v>товари</v>
      </c>
      <c r="B3547" s="16" t="str">
        <f>IFERROR(__xludf.DUMMYFUNCTION("""COMPUTED_VALUE"""),"спорт і відпочинок")</f>
        <v>спорт і відпочинок</v>
      </c>
      <c r="C3547" s="16" t="str">
        <f>IFERROR(__xludf.DUMMYFUNCTION("""COMPUTED_VALUE"""),"спортивні товари")</f>
        <v>спортивні товари</v>
      </c>
      <c r="D3547" s="16" t="str">
        <f>IFERROR(__xludf.DUMMYFUNCTION("""COMPUTED_VALUE"""),"фітнес")</f>
        <v>фітнес</v>
      </c>
      <c r="E3547" s="16" t="str">
        <f>IFERROR(__xludf.DUMMYFUNCTION("""COMPUTED_VALUE"""),"інверсійні черевики")</f>
        <v>інверсійні черевики</v>
      </c>
      <c r="F3547" s="17">
        <f>IFERROR(__xludf.DUMMYFUNCTION("""COMPUTED_VALUE"""),4.0)</f>
        <v>4</v>
      </c>
      <c r="G3547" s="17" t="str">
        <f>IFERROR(__xludf.DUMMYFUNCTION("""COMPUTED_VALUE"""),"200335")</f>
        <v>200335</v>
      </c>
      <c r="H3547" s="17" t="str">
        <f>IFERROR(__xludf.DUMMYFUNCTION("""COMPUTED_VALUE"""),"інверсійні черевики")</f>
        <v>інверсійні черевики</v>
      </c>
      <c r="I3547" s="19">
        <f>IFERROR(__xludf.DUMMYFUNCTION("""COMPUTED_VALUE"""),0.0793)</f>
        <v>0.0793</v>
      </c>
      <c r="J3547" s="19">
        <f>IFERROR(__xludf.DUMMYFUNCTION("""COMPUTED_VALUE"""),0.1586)</f>
        <v>0.1586</v>
      </c>
      <c r="K3547" s="19">
        <f>IFERROR(__xludf.DUMMYFUNCTION("""COMPUTED_VALUE"""),0.1983)</f>
        <v>0.1983</v>
      </c>
      <c r="L3547" s="19">
        <f>IFERROR(__xludf.DUMMYFUNCTION("""COMPUTED_VALUE"""),0.2379)</f>
        <v>0.2379</v>
      </c>
      <c r="M3547" s="18">
        <f>IFERROR(__xludf.DUMMYFUNCTION("""COMPUTED_VALUE"""),3.06)</f>
        <v>3.06</v>
      </c>
    </row>
    <row r="3548">
      <c r="A3548" s="13" t="str">
        <f>IFERROR(__xludf.DUMMYFUNCTION("""COMPUTED_VALUE"""),"товари")</f>
        <v>товари</v>
      </c>
      <c r="B3548" s="16" t="str">
        <f>IFERROR(__xludf.DUMMYFUNCTION("""COMPUTED_VALUE"""),"спорт і відпочинок")</f>
        <v>спорт і відпочинок</v>
      </c>
      <c r="C3548" s="16" t="str">
        <f>IFERROR(__xludf.DUMMYFUNCTION("""COMPUTED_VALUE"""),"зимові види спорту")</f>
        <v>зимові види спорту</v>
      </c>
      <c r="D3548" s="16" t="str">
        <f>IFERROR(__xludf.DUMMYFUNCTION("""COMPUTED_VALUE"""),"лижний спорт та сноубординг")</f>
        <v>лижний спорт та сноубординг</v>
      </c>
      <c r="E3548" s="16" t="str">
        <f>IFERROR(__xludf.DUMMYFUNCTION("""COMPUTED_VALUE"""),"інструменти та мастила для лиж, сноубордів")</f>
        <v>інструменти та мастила для лиж, сноубордів</v>
      </c>
      <c r="F3548" s="17">
        <f>IFERROR(__xludf.DUMMYFUNCTION("""COMPUTED_VALUE"""),4.0)</f>
        <v>4</v>
      </c>
      <c r="G3548" s="17" t="str">
        <f>IFERROR(__xludf.DUMMYFUNCTION("""COMPUTED_VALUE"""),"202407")</f>
        <v>202407</v>
      </c>
      <c r="H3548" s="17" t="str">
        <f>IFERROR(__xludf.DUMMYFUNCTION("""COMPUTED_VALUE"""),"інструменти та мастила для лиж, сноубордів")</f>
        <v>інструменти та мастила для лиж, сноубордів</v>
      </c>
      <c r="I3548" s="19">
        <f>IFERROR(__xludf.DUMMYFUNCTION("""COMPUTED_VALUE"""),0.0735)</f>
        <v>0.0735</v>
      </c>
      <c r="J3548" s="19">
        <f>IFERROR(__xludf.DUMMYFUNCTION("""COMPUTED_VALUE"""),0.1469)</f>
        <v>0.1469</v>
      </c>
      <c r="K3548" s="19">
        <f>IFERROR(__xludf.DUMMYFUNCTION("""COMPUTED_VALUE"""),0.1836)</f>
        <v>0.1836</v>
      </c>
      <c r="L3548" s="19">
        <f>IFERROR(__xludf.DUMMYFUNCTION("""COMPUTED_VALUE"""),0.2204)</f>
        <v>0.2204</v>
      </c>
      <c r="M3548" s="18">
        <f>IFERROR(__xludf.DUMMYFUNCTION("""COMPUTED_VALUE"""),1.63)</f>
        <v>1.63</v>
      </c>
    </row>
    <row r="3549">
      <c r="A3549" s="13" t="str">
        <f>IFERROR(__xludf.DUMMYFUNCTION("""COMPUTED_VALUE"""),"товари")</f>
        <v>товари</v>
      </c>
      <c r="B3549" s="16" t="str">
        <f>IFERROR(__xludf.DUMMYFUNCTION("""COMPUTED_VALUE"""),"спорт і відпочинок")</f>
        <v>спорт і відпочинок</v>
      </c>
      <c r="C3549" s="16" t="str">
        <f>IFERROR(__xludf.DUMMYFUNCTION("""COMPUTED_VALUE"""),"спортивні товари")</f>
        <v>спортивні товари</v>
      </c>
      <c r="D3549" s="16" t="str">
        <f>IFERROR(__xludf.DUMMYFUNCTION("""COMPUTED_VALUE"""),"йога")</f>
        <v>йога</v>
      </c>
      <c r="E3549" s="16" t="str">
        <f>IFERROR(__xludf.DUMMYFUNCTION("""COMPUTED_VALUE"""),"йога, загальне")</f>
        <v>йога, загальне</v>
      </c>
      <c r="F3549" s="17">
        <f>IFERROR(__xludf.DUMMYFUNCTION("""COMPUTED_VALUE"""),4.0)</f>
        <v>4</v>
      </c>
      <c r="G3549" s="17" t="str">
        <f>IFERROR(__xludf.DUMMYFUNCTION("""COMPUTED_VALUE"""),"204301")</f>
        <v>204301</v>
      </c>
      <c r="H3549" s="17" t="str">
        <f>IFERROR(__xludf.DUMMYFUNCTION("""COMPUTED_VALUE"""),"йога, загальне")</f>
        <v>йога, загальне</v>
      </c>
      <c r="I3549" s="19">
        <f>IFERROR(__xludf.DUMMYFUNCTION("""COMPUTED_VALUE"""),0.125)</f>
        <v>0.125</v>
      </c>
      <c r="J3549" s="19">
        <f>IFERROR(__xludf.DUMMYFUNCTION("""COMPUTED_VALUE"""),0.25)</f>
        <v>0.25</v>
      </c>
      <c r="K3549" s="19">
        <f>IFERROR(__xludf.DUMMYFUNCTION("""COMPUTED_VALUE"""),0.3125)</f>
        <v>0.3125</v>
      </c>
      <c r="L3549" s="19">
        <f>IFERROR(__xludf.DUMMYFUNCTION("""COMPUTED_VALUE"""),0.375)</f>
        <v>0.375</v>
      </c>
      <c r="M3549" s="18">
        <f>IFERROR(__xludf.DUMMYFUNCTION("""COMPUTED_VALUE"""),4.33)</f>
        <v>4.33</v>
      </c>
    </row>
    <row r="3550">
      <c r="A3550" s="13" t="str">
        <f>IFERROR(__xludf.DUMMYFUNCTION("""COMPUTED_VALUE"""),"товари")</f>
        <v>товари</v>
      </c>
      <c r="B3550" s="16" t="str">
        <f>IFERROR(__xludf.DUMMYFUNCTION("""COMPUTED_VALUE"""),"спорт і відпочинок")</f>
        <v>спорт і відпочинок</v>
      </c>
      <c r="C3550" s="16" t="str">
        <f>IFERROR(__xludf.DUMMYFUNCTION("""COMPUTED_VALUE"""),"товари для туризму та подорожей")</f>
        <v>товари для туризму та подорожей</v>
      </c>
      <c r="D3550" s="16" t="str">
        <f>IFERROR(__xludf.DUMMYFUNCTION("""COMPUTED_VALUE"""),"туристичний посуд")</f>
        <v>туристичний посуд</v>
      </c>
      <c r="E3550" s="16" t="str">
        <f>IFERROR(__xludf.DUMMYFUNCTION("""COMPUTED_VALUE"""),"казани")</f>
        <v>казани</v>
      </c>
      <c r="F3550" s="17">
        <f>IFERROR(__xludf.DUMMYFUNCTION("""COMPUTED_VALUE"""),4.0)</f>
        <v>4</v>
      </c>
      <c r="G3550" s="17" t="str">
        <f>IFERROR(__xludf.DUMMYFUNCTION("""COMPUTED_VALUE"""),"15230310")</f>
        <v>15230310</v>
      </c>
      <c r="H3550" s="17" t="str">
        <f>IFERROR(__xludf.DUMMYFUNCTION("""COMPUTED_VALUE"""),"казани")</f>
        <v>казани</v>
      </c>
      <c r="I3550" s="19">
        <f>IFERROR(__xludf.DUMMYFUNCTION("""COMPUTED_VALUE"""),0.0788)</f>
        <v>0.0788</v>
      </c>
      <c r="J3550" s="19">
        <f>IFERROR(__xludf.DUMMYFUNCTION("""COMPUTED_VALUE"""),0.1575)</f>
        <v>0.1575</v>
      </c>
      <c r="K3550" s="19">
        <f>IFERROR(__xludf.DUMMYFUNCTION("""COMPUTED_VALUE"""),0.1969)</f>
        <v>0.1969</v>
      </c>
      <c r="L3550" s="19">
        <f>IFERROR(__xludf.DUMMYFUNCTION("""COMPUTED_VALUE"""),0.2363)</f>
        <v>0.2363</v>
      </c>
      <c r="M3550" s="18">
        <f>IFERROR(__xludf.DUMMYFUNCTION("""COMPUTED_VALUE"""),2.25)</f>
        <v>2.25</v>
      </c>
    </row>
    <row r="3551">
      <c r="A3551" s="13" t="str">
        <f>IFERROR(__xludf.DUMMYFUNCTION("""COMPUTED_VALUE"""),"товари")</f>
        <v>товари</v>
      </c>
      <c r="B3551" s="16" t="str">
        <f>IFERROR(__xludf.DUMMYFUNCTION("""COMPUTED_VALUE"""),"спорт і відпочинок")</f>
        <v>спорт і відпочинок</v>
      </c>
      <c r="C3551" s="16" t="str">
        <f>IFERROR(__xludf.DUMMYFUNCTION("""COMPUTED_VALUE"""),"спортивні товари")</f>
        <v>спортивні товари</v>
      </c>
      <c r="D3551" s="16" t="str">
        <f>IFERROR(__xludf.DUMMYFUNCTION("""COMPUTED_VALUE"""),"бойові мистецтва")</f>
        <v>бойові мистецтва</v>
      </c>
      <c r="E3551" s="16" t="str">
        <f>IFERROR(__xludf.DUMMYFUNCTION("""COMPUTED_VALUE"""),"капи")</f>
        <v>капи</v>
      </c>
      <c r="F3551" s="17">
        <f>IFERROR(__xludf.DUMMYFUNCTION("""COMPUTED_VALUE"""),4.0)</f>
        <v>4</v>
      </c>
      <c r="G3551" s="17" t="str">
        <f>IFERROR(__xludf.DUMMYFUNCTION("""COMPUTED_VALUE"""),"202702")</f>
        <v>202702</v>
      </c>
      <c r="H3551" s="17" t="str">
        <f>IFERROR(__xludf.DUMMYFUNCTION("""COMPUTED_VALUE"""),"капи")</f>
        <v>капи</v>
      </c>
      <c r="I3551" s="19">
        <f>IFERROR(__xludf.DUMMYFUNCTION("""COMPUTED_VALUE"""),0.0783)</f>
        <v>0.0783</v>
      </c>
      <c r="J3551" s="19">
        <f>IFERROR(__xludf.DUMMYFUNCTION("""COMPUTED_VALUE"""),0.1565)</f>
        <v>0.1565</v>
      </c>
      <c r="K3551" s="19">
        <f>IFERROR(__xludf.DUMMYFUNCTION("""COMPUTED_VALUE"""),0.1956)</f>
        <v>0.1956</v>
      </c>
      <c r="L3551" s="19">
        <f>IFERROR(__xludf.DUMMYFUNCTION("""COMPUTED_VALUE"""),0.2348)</f>
        <v>0.2348</v>
      </c>
      <c r="M3551" s="18">
        <f>IFERROR(__xludf.DUMMYFUNCTION("""COMPUTED_VALUE"""),2.34)</f>
        <v>2.34</v>
      </c>
    </row>
    <row r="3552">
      <c r="A3552" s="13" t="str">
        <f>IFERROR(__xludf.DUMMYFUNCTION("""COMPUTED_VALUE"""),"товари")</f>
        <v>товари</v>
      </c>
      <c r="B3552" s="16" t="str">
        <f>IFERROR(__xludf.DUMMYFUNCTION("""COMPUTED_VALUE"""),"спорт і відпочинок")</f>
        <v>спорт і відпочинок</v>
      </c>
      <c r="C3552" s="16" t="str">
        <f>IFERROR(__xludf.DUMMYFUNCTION("""COMPUTED_VALUE"""),"екстремальні види спорту")</f>
        <v>екстремальні види спорту</v>
      </c>
      <c r="D3552" s="16" t="str">
        <f>IFERROR(__xludf.DUMMYFUNCTION("""COMPUTED_VALUE"""),"альпінізм")</f>
        <v>альпінізм</v>
      </c>
      <c r="E3552" s="16" t="str">
        <f>IFERROR(__xludf.DUMMYFUNCTION("""COMPUTED_VALUE"""),"карабіни")</f>
        <v>карабіни</v>
      </c>
      <c r="F3552" s="17">
        <f>IFERROR(__xludf.DUMMYFUNCTION("""COMPUTED_VALUE"""),4.0)</f>
        <v>4</v>
      </c>
      <c r="G3552" s="17" t="str">
        <f>IFERROR(__xludf.DUMMYFUNCTION("""COMPUTED_VALUE"""),"203532")</f>
        <v>203532</v>
      </c>
      <c r="H3552" s="17" t="str">
        <f>IFERROR(__xludf.DUMMYFUNCTION("""COMPUTED_VALUE"""),"карабіни")</f>
        <v>карабіни</v>
      </c>
      <c r="I3552" s="19">
        <f>IFERROR(__xludf.DUMMYFUNCTION("""COMPUTED_VALUE"""),0.0786)</f>
        <v>0.0786</v>
      </c>
      <c r="J3552" s="19">
        <f>IFERROR(__xludf.DUMMYFUNCTION("""COMPUTED_VALUE"""),0.1571)</f>
        <v>0.1571</v>
      </c>
      <c r="K3552" s="19">
        <f>IFERROR(__xludf.DUMMYFUNCTION("""COMPUTED_VALUE"""),0.1964)</f>
        <v>0.1964</v>
      </c>
      <c r="L3552" s="19">
        <f>IFERROR(__xludf.DUMMYFUNCTION("""COMPUTED_VALUE"""),0.2357)</f>
        <v>0.2357</v>
      </c>
      <c r="M3552" s="18">
        <f>IFERROR(__xludf.DUMMYFUNCTION("""COMPUTED_VALUE"""),1.8)</f>
        <v>1.8</v>
      </c>
    </row>
    <row r="3553">
      <c r="A3553" s="13" t="str">
        <f>IFERROR(__xludf.DUMMYFUNCTION("""COMPUTED_VALUE"""),"товари")</f>
        <v>товари</v>
      </c>
      <c r="B3553" s="16" t="str">
        <f>IFERROR(__xludf.DUMMYFUNCTION("""COMPUTED_VALUE"""),"спорт і відпочинок")</f>
        <v>спорт і відпочинок</v>
      </c>
      <c r="C3553" s="16" t="str">
        <f>IFERROR(__xludf.DUMMYFUNCTION("""COMPUTED_VALUE"""),"товари для туризму та подорожей")</f>
        <v>товари для туризму та подорожей</v>
      </c>
      <c r="D3553" s="16" t="str">
        <f>IFERROR(__xludf.DUMMYFUNCTION("""COMPUTED_VALUE"""),"каремати та сидушки")</f>
        <v>каремати та сидушки</v>
      </c>
      <c r="E3553" s="16" t="str">
        <f>IFERROR(__xludf.DUMMYFUNCTION("""COMPUTED_VALUE"""),"каремати та сидушки")</f>
        <v>каремати та сидушки</v>
      </c>
      <c r="F3553" s="17">
        <f>IFERROR(__xludf.DUMMYFUNCTION("""COMPUTED_VALUE"""),3.0)</f>
        <v>3</v>
      </c>
      <c r="G3553" s="17" t="str">
        <f>IFERROR(__xludf.DUMMYFUNCTION("""COMPUTED_VALUE"""),"240405")</f>
        <v>240405</v>
      </c>
      <c r="H3553" s="17" t="str">
        <f>IFERROR(__xludf.DUMMYFUNCTION("""COMPUTED_VALUE"""),"каремати та сидушки")</f>
        <v>каремати та сидушки</v>
      </c>
      <c r="I3553" s="19">
        <f>IFERROR(__xludf.DUMMYFUNCTION("""COMPUTED_VALUE"""),0.0782)</f>
        <v>0.0782</v>
      </c>
      <c r="J3553" s="19">
        <f>IFERROR(__xludf.DUMMYFUNCTION("""COMPUTED_VALUE"""),0.1563)</f>
        <v>0.1563</v>
      </c>
      <c r="K3553" s="19">
        <f>IFERROR(__xludf.DUMMYFUNCTION("""COMPUTED_VALUE"""),0.1954)</f>
        <v>0.1954</v>
      </c>
      <c r="L3553" s="19">
        <f>IFERROR(__xludf.DUMMYFUNCTION("""COMPUTED_VALUE"""),0.2345)</f>
        <v>0.2345</v>
      </c>
      <c r="M3553" s="18">
        <f>IFERROR(__xludf.DUMMYFUNCTION("""COMPUTED_VALUE"""),2.25)</f>
        <v>2.25</v>
      </c>
    </row>
    <row r="3554">
      <c r="A3554" s="13" t="str">
        <f>IFERROR(__xludf.DUMMYFUNCTION("""COMPUTED_VALUE"""),"товари")</f>
        <v>товари</v>
      </c>
      <c r="B3554" s="16" t="str">
        <f>IFERROR(__xludf.DUMMYFUNCTION("""COMPUTED_VALUE"""),"спорт і відпочинок")</f>
        <v>спорт і відпочинок</v>
      </c>
      <c r="C3554" s="16" t="str">
        <f>IFERROR(__xludf.DUMMYFUNCTION("""COMPUTED_VALUE"""),"екстремальні види спорту")</f>
        <v>екстремальні види спорту</v>
      </c>
      <c r="D3554" s="16" t="str">
        <f>IFERROR(__xludf.DUMMYFUNCTION("""COMPUTED_VALUE"""),"альпінізм")</f>
        <v>альпінізм</v>
      </c>
      <c r="E3554" s="16" t="str">
        <f>IFERROR(__xludf.DUMMYFUNCTION("""COMPUTED_VALUE"""),"каски для альпінізму")</f>
        <v>каски для альпінізму</v>
      </c>
      <c r="F3554" s="17">
        <f>IFERROR(__xludf.DUMMYFUNCTION("""COMPUTED_VALUE"""),4.0)</f>
        <v>4</v>
      </c>
      <c r="G3554" s="17" t="str">
        <f>IFERROR(__xludf.DUMMYFUNCTION("""COMPUTED_VALUE"""),"203530")</f>
        <v>203530</v>
      </c>
      <c r="H3554" s="17" t="str">
        <f>IFERROR(__xludf.DUMMYFUNCTION("""COMPUTED_VALUE"""),"каски для альпінізму")</f>
        <v>каски для альпінізму</v>
      </c>
      <c r="I3554" s="19">
        <f>IFERROR(__xludf.DUMMYFUNCTION("""COMPUTED_VALUE"""),0.0786)</f>
        <v>0.0786</v>
      </c>
      <c r="J3554" s="19">
        <f>IFERROR(__xludf.DUMMYFUNCTION("""COMPUTED_VALUE"""),0.1571)</f>
        <v>0.1571</v>
      </c>
      <c r="K3554" s="19">
        <f>IFERROR(__xludf.DUMMYFUNCTION("""COMPUTED_VALUE"""),0.1964)</f>
        <v>0.1964</v>
      </c>
      <c r="L3554" s="19">
        <f>IFERROR(__xludf.DUMMYFUNCTION("""COMPUTED_VALUE"""),0.2357)</f>
        <v>0.2357</v>
      </c>
      <c r="M3554" s="18">
        <f>IFERROR(__xludf.DUMMYFUNCTION("""COMPUTED_VALUE"""),1.8)</f>
        <v>1.8</v>
      </c>
    </row>
    <row r="3555">
      <c r="A3555" s="13" t="str">
        <f>IFERROR(__xludf.DUMMYFUNCTION("""COMPUTED_VALUE"""),"товари")</f>
        <v>товари</v>
      </c>
      <c r="B3555" s="16" t="str">
        <f>IFERROR(__xludf.DUMMYFUNCTION("""COMPUTED_VALUE"""),"спорт і відпочинок")</f>
        <v>спорт і відпочинок</v>
      </c>
      <c r="C3555" s="16" t="str">
        <f>IFERROR(__xludf.DUMMYFUNCTION("""COMPUTED_VALUE"""),"спортивні товари")</f>
        <v>спортивні товари</v>
      </c>
      <c r="D3555" s="16" t="str">
        <f>IFERROR(__xludf.DUMMYFUNCTION("""COMPUTED_VALUE"""),"фітнес")</f>
        <v>фітнес</v>
      </c>
      <c r="E3555" s="16" t="str">
        <f>IFERROR(__xludf.DUMMYFUNCTION("""COMPUTED_VALUE"""),"килимки для йоги та фітнесу")</f>
        <v>килимки для йоги та фітнесу</v>
      </c>
      <c r="F3555" s="17">
        <f>IFERROR(__xludf.DUMMYFUNCTION("""COMPUTED_VALUE"""),4.0)</f>
        <v>4</v>
      </c>
      <c r="G3555" s="17" t="str">
        <f>IFERROR(__xludf.DUMMYFUNCTION("""COMPUTED_VALUE"""),"200311")</f>
        <v>200311</v>
      </c>
      <c r="H3555" s="17" t="str">
        <f>IFERROR(__xludf.DUMMYFUNCTION("""COMPUTED_VALUE"""),"килимки для йоги та фітнесу")</f>
        <v>килимки для йоги та фітнесу</v>
      </c>
      <c r="I3555" s="19">
        <f>IFERROR(__xludf.DUMMYFUNCTION("""COMPUTED_VALUE"""),0.08)</f>
        <v>0.08</v>
      </c>
      <c r="J3555" s="19">
        <f>IFERROR(__xludf.DUMMYFUNCTION("""COMPUTED_VALUE"""),0.1599)</f>
        <v>0.1599</v>
      </c>
      <c r="K3555" s="19">
        <f>IFERROR(__xludf.DUMMYFUNCTION("""COMPUTED_VALUE"""),0.1999)</f>
        <v>0.1999</v>
      </c>
      <c r="L3555" s="19">
        <f>IFERROR(__xludf.DUMMYFUNCTION("""COMPUTED_VALUE"""),0.2399)</f>
        <v>0.2399</v>
      </c>
      <c r="M3555" s="18">
        <f>IFERROR(__xludf.DUMMYFUNCTION("""COMPUTED_VALUE"""),3.06)</f>
        <v>3.06</v>
      </c>
    </row>
    <row r="3556">
      <c r="A3556" s="13" t="str">
        <f>IFERROR(__xludf.DUMMYFUNCTION("""COMPUTED_VALUE"""),"товари")</f>
        <v>товари</v>
      </c>
      <c r="B3556" s="16" t="str">
        <f>IFERROR(__xludf.DUMMYFUNCTION("""COMPUTED_VALUE"""),"спорт і відпочинок")</f>
        <v>спорт і відпочинок</v>
      </c>
      <c r="C3556" s="16" t="str">
        <f>IFERROR(__xludf.DUMMYFUNCTION("""COMPUTED_VALUE"""),"спортивні товари")</f>
        <v>спортивні товари</v>
      </c>
      <c r="D3556" s="16" t="str">
        <f>IFERROR(__xludf.DUMMYFUNCTION("""COMPUTED_VALUE"""),"спортивні фіксатори та супорти")</f>
        <v>спортивні фіксатори та супорти</v>
      </c>
      <c r="E3556" s="16" t="str">
        <f>IFERROR(__xludf.DUMMYFUNCTION("""COMPUTED_VALUE"""),"кінезіо тейпи і засоби для тейпування")</f>
        <v>кінезіо тейпи і засоби для тейпування</v>
      </c>
      <c r="F3556" s="17">
        <f>IFERROR(__xludf.DUMMYFUNCTION("""COMPUTED_VALUE"""),4.0)</f>
        <v>4</v>
      </c>
      <c r="G3556" s="17" t="str">
        <f>IFERROR(__xludf.DUMMYFUNCTION("""COMPUTED_VALUE"""),"201302")</f>
        <v>201302</v>
      </c>
      <c r="H3556" s="17" t="str">
        <f>IFERROR(__xludf.DUMMYFUNCTION("""COMPUTED_VALUE"""),"кінезіо тейпи і засоби для тейпування")</f>
        <v>кінезіо тейпи і засоби для тейпування</v>
      </c>
      <c r="I3556" s="19">
        <f>IFERROR(__xludf.DUMMYFUNCTION("""COMPUTED_VALUE"""),0.0752)</f>
        <v>0.0752</v>
      </c>
      <c r="J3556" s="19">
        <f>IFERROR(__xludf.DUMMYFUNCTION("""COMPUTED_VALUE"""),0.1504)</f>
        <v>0.1504</v>
      </c>
      <c r="K3556" s="19">
        <f>IFERROR(__xludf.DUMMYFUNCTION("""COMPUTED_VALUE"""),0.188)</f>
        <v>0.188</v>
      </c>
      <c r="L3556" s="19">
        <f>IFERROR(__xludf.DUMMYFUNCTION("""COMPUTED_VALUE"""),0.2256)</f>
        <v>0.2256</v>
      </c>
      <c r="M3556" s="18">
        <f>IFERROR(__xludf.DUMMYFUNCTION("""COMPUTED_VALUE"""),3.88)</f>
        <v>3.88</v>
      </c>
    </row>
    <row r="3557">
      <c r="A3557" s="13" t="str">
        <f>IFERROR(__xludf.DUMMYFUNCTION("""COMPUTED_VALUE"""),"товари")</f>
        <v>товари</v>
      </c>
      <c r="B3557" s="16" t="str">
        <f>IFERROR(__xludf.DUMMYFUNCTION("""COMPUTED_VALUE"""),"спорт і відпочинок")</f>
        <v>спорт і відпочинок</v>
      </c>
      <c r="C3557" s="16" t="str">
        <f>IFERROR(__xludf.DUMMYFUNCTION("""COMPUTED_VALUE"""),"спортивні товари")</f>
        <v>спортивні товари</v>
      </c>
      <c r="D3557" s="16" t="str">
        <f>IFERROR(__xludf.DUMMYFUNCTION("""COMPUTED_VALUE"""),"спортивний інвентар")</f>
        <v>спортивний інвентар</v>
      </c>
      <c r="E3557" s="16" t="str">
        <f>IFERROR(__xludf.DUMMYFUNCTION("""COMPUTED_VALUE"""),"ключки для флорболу")</f>
        <v>ключки для флорболу</v>
      </c>
      <c r="F3557" s="17">
        <f>IFERROR(__xludf.DUMMYFUNCTION("""COMPUTED_VALUE"""),4.0)</f>
        <v>4</v>
      </c>
      <c r="G3557" s="17" t="str">
        <f>IFERROR(__xludf.DUMMYFUNCTION("""COMPUTED_VALUE"""),"200323")</f>
        <v>200323</v>
      </c>
      <c r="H3557" s="17" t="str">
        <f>IFERROR(__xludf.DUMMYFUNCTION("""COMPUTED_VALUE"""),"ключки для флорболу")</f>
        <v>ключки для флорболу</v>
      </c>
      <c r="I3557" s="19">
        <f>IFERROR(__xludf.DUMMYFUNCTION("""COMPUTED_VALUE"""),0.0797)</f>
        <v>0.0797</v>
      </c>
      <c r="J3557" s="19">
        <f>IFERROR(__xludf.DUMMYFUNCTION("""COMPUTED_VALUE"""),0.1593)</f>
        <v>0.1593</v>
      </c>
      <c r="K3557" s="19">
        <f>IFERROR(__xludf.DUMMYFUNCTION("""COMPUTED_VALUE"""),0.1991)</f>
        <v>0.1991</v>
      </c>
      <c r="L3557" s="19">
        <f>IFERROR(__xludf.DUMMYFUNCTION("""COMPUTED_VALUE"""),0.239)</f>
        <v>0.239</v>
      </c>
      <c r="M3557" s="18">
        <f>IFERROR(__xludf.DUMMYFUNCTION("""COMPUTED_VALUE"""),2.53)</f>
        <v>2.53</v>
      </c>
    </row>
    <row r="3558">
      <c r="A3558" s="13" t="str">
        <f>IFERROR(__xludf.DUMMYFUNCTION("""COMPUTED_VALUE"""),"товари")</f>
        <v>товари</v>
      </c>
      <c r="B3558" s="16" t="str">
        <f>IFERROR(__xludf.DUMMYFUNCTION("""COMPUTED_VALUE"""),"спорт і відпочинок")</f>
        <v>спорт і відпочинок</v>
      </c>
      <c r="C3558" s="16" t="str">
        <f>IFERROR(__xludf.DUMMYFUNCTION("""COMPUTED_VALUE"""),"зимові види спорту")</f>
        <v>зимові види спорту</v>
      </c>
      <c r="D3558" s="16" t="str">
        <f>IFERROR(__xludf.DUMMYFUNCTION("""COMPUTED_VALUE"""),"хокей")</f>
        <v>хокей</v>
      </c>
      <c r="E3558" s="16" t="str">
        <f>IFERROR(__xludf.DUMMYFUNCTION("""COMPUTED_VALUE"""),"ковзани та аксесуари")</f>
        <v>ковзани та аксесуари</v>
      </c>
      <c r="F3558" s="17">
        <f>IFERROR(__xludf.DUMMYFUNCTION("""COMPUTED_VALUE"""),4.0)</f>
        <v>4</v>
      </c>
      <c r="G3558" s="17" t="str">
        <f>IFERROR(__xludf.DUMMYFUNCTION("""COMPUTED_VALUE"""),"200601")</f>
        <v>200601</v>
      </c>
      <c r="H3558" s="17" t="str">
        <f>IFERROR(__xludf.DUMMYFUNCTION("""COMPUTED_VALUE"""),"ковзани та аксесуари")</f>
        <v>ковзани та аксесуари</v>
      </c>
      <c r="I3558" s="19">
        <f>IFERROR(__xludf.DUMMYFUNCTION("""COMPUTED_VALUE"""),0.0721)</f>
        <v>0.0721</v>
      </c>
      <c r="J3558" s="19">
        <f>IFERROR(__xludf.DUMMYFUNCTION("""COMPUTED_VALUE"""),0.1442)</f>
        <v>0.1442</v>
      </c>
      <c r="K3558" s="19">
        <f>IFERROR(__xludf.DUMMYFUNCTION("""COMPUTED_VALUE"""),0.1803)</f>
        <v>0.1803</v>
      </c>
      <c r="L3558" s="19">
        <f>IFERROR(__xludf.DUMMYFUNCTION("""COMPUTED_VALUE"""),0.2163)</f>
        <v>0.2163</v>
      </c>
      <c r="M3558" s="18">
        <f>IFERROR(__xludf.DUMMYFUNCTION("""COMPUTED_VALUE"""),2.7)</f>
        <v>2.7</v>
      </c>
    </row>
    <row r="3559">
      <c r="A3559" s="13" t="str">
        <f>IFERROR(__xludf.DUMMYFUNCTION("""COMPUTED_VALUE"""),"товари")</f>
        <v>товари</v>
      </c>
      <c r="B3559" s="16" t="str">
        <f>IFERROR(__xludf.DUMMYFUNCTION("""COMPUTED_VALUE"""),"спорт і відпочинок")</f>
        <v>спорт і відпочинок</v>
      </c>
      <c r="C3559" s="16" t="str">
        <f>IFERROR(__xludf.DUMMYFUNCTION("""COMPUTED_VALUE"""),"зимові види спорту")</f>
        <v>зимові види спорту</v>
      </c>
      <c r="D3559" s="16" t="str">
        <f>IFERROR(__xludf.DUMMYFUNCTION("""COMPUTED_VALUE"""),"ковзанярський спорт")</f>
        <v>ковзанярський спорт</v>
      </c>
      <c r="E3559" s="16" t="str">
        <f>IFERROR(__xludf.DUMMYFUNCTION("""COMPUTED_VALUE"""),"ковзанярський спорт, загальне")</f>
        <v>ковзанярський спорт, загальне</v>
      </c>
      <c r="F3559" s="17">
        <f>IFERROR(__xludf.DUMMYFUNCTION("""COMPUTED_VALUE"""),4.0)</f>
        <v>4</v>
      </c>
      <c r="G3559" s="17" t="str">
        <f>IFERROR(__xludf.DUMMYFUNCTION("""COMPUTED_VALUE"""),"202425")</f>
        <v>202425</v>
      </c>
      <c r="H3559" s="17" t="str">
        <f>IFERROR(__xludf.DUMMYFUNCTION("""COMPUTED_VALUE"""),"ковзанярський спорт, загальне")</f>
        <v>ковзанярський спорт, загальне</v>
      </c>
      <c r="I3559" s="19">
        <f>IFERROR(__xludf.DUMMYFUNCTION("""COMPUTED_VALUE"""),0.125)</f>
        <v>0.125</v>
      </c>
      <c r="J3559" s="19">
        <f>IFERROR(__xludf.DUMMYFUNCTION("""COMPUTED_VALUE"""),0.25)</f>
        <v>0.25</v>
      </c>
      <c r="K3559" s="19">
        <f>IFERROR(__xludf.DUMMYFUNCTION("""COMPUTED_VALUE"""),0.3125)</f>
        <v>0.3125</v>
      </c>
      <c r="L3559" s="19">
        <f>IFERROR(__xludf.DUMMYFUNCTION("""COMPUTED_VALUE"""),0.375)</f>
        <v>0.375</v>
      </c>
      <c r="M3559" s="18">
        <f>IFERROR(__xludf.DUMMYFUNCTION("""COMPUTED_VALUE"""),4.33)</f>
        <v>4.33</v>
      </c>
    </row>
    <row r="3560">
      <c r="A3560" s="13" t="str">
        <f>IFERROR(__xludf.DUMMYFUNCTION("""COMPUTED_VALUE"""),"товари")</f>
        <v>товари</v>
      </c>
      <c r="B3560" s="16" t="str">
        <f>IFERROR(__xludf.DUMMYFUNCTION("""COMPUTED_VALUE"""),"спорт і відпочинок")</f>
        <v>спорт і відпочинок</v>
      </c>
      <c r="C3560" s="16" t="str">
        <f>IFERROR(__xludf.DUMMYFUNCTION("""COMPUTED_VALUE"""),"товари для туризму та подорожей")</f>
        <v>товари для туризму та подорожей</v>
      </c>
      <c r="D3560" s="16" t="str">
        <f>IFERROR(__xludf.DUMMYFUNCTION("""COMPUTED_VALUE"""),"туристичні інструменти")</f>
        <v>туристичні інструменти</v>
      </c>
      <c r="E3560" s="16" t="str">
        <f>IFERROR(__xludf.DUMMYFUNCTION("""COMPUTED_VALUE"""),"компаси ")</f>
        <v>компаси </v>
      </c>
      <c r="F3560" s="17">
        <f>IFERROR(__xludf.DUMMYFUNCTION("""COMPUTED_VALUE"""),4.0)</f>
        <v>4</v>
      </c>
      <c r="G3560" s="17" t="str">
        <f>IFERROR(__xludf.DUMMYFUNCTION("""COMPUTED_VALUE"""),"240404")</f>
        <v>240404</v>
      </c>
      <c r="H3560" s="17" t="str">
        <f>IFERROR(__xludf.DUMMYFUNCTION("""COMPUTED_VALUE"""),"компаси ")</f>
        <v>компаси </v>
      </c>
      <c r="I3560" s="19">
        <f>IFERROR(__xludf.DUMMYFUNCTION("""COMPUTED_VALUE"""),0.0969)</f>
        <v>0.0969</v>
      </c>
      <c r="J3560" s="19">
        <f>IFERROR(__xludf.DUMMYFUNCTION("""COMPUTED_VALUE"""),0.1938)</f>
        <v>0.1938</v>
      </c>
      <c r="K3560" s="19">
        <f>IFERROR(__xludf.DUMMYFUNCTION("""COMPUTED_VALUE"""),0.2423)</f>
        <v>0.2423</v>
      </c>
      <c r="L3560" s="19">
        <f>IFERROR(__xludf.DUMMYFUNCTION("""COMPUTED_VALUE"""),0.2907)</f>
        <v>0.2907</v>
      </c>
      <c r="M3560" s="18">
        <f>IFERROR(__xludf.DUMMYFUNCTION("""COMPUTED_VALUE"""),1.8)</f>
        <v>1.8</v>
      </c>
    </row>
    <row r="3561">
      <c r="A3561" s="13" t="str">
        <f>IFERROR(__xludf.DUMMYFUNCTION("""COMPUTED_VALUE"""),"товари")</f>
        <v>товари</v>
      </c>
      <c r="B3561" s="16" t="str">
        <f>IFERROR(__xludf.DUMMYFUNCTION("""COMPUTED_VALUE"""),"спорт і відпочинок")</f>
        <v>спорт і відпочинок</v>
      </c>
      <c r="C3561" s="16" t="str">
        <f>IFERROR(__xludf.DUMMYFUNCTION("""COMPUTED_VALUE"""),"екстремальні види спорту")</f>
        <v>екстремальні види спорту</v>
      </c>
      <c r="D3561" s="16" t="str">
        <f>IFERROR(__xludf.DUMMYFUNCTION("""COMPUTED_VALUE"""),"дайвінг")</f>
        <v>дайвінг</v>
      </c>
      <c r="E3561" s="16" t="str">
        <f>IFERROR(__xludf.DUMMYFUNCTION("""COMPUTED_VALUE"""),"компенсатори плавучості")</f>
        <v>компенсатори плавучості</v>
      </c>
      <c r="F3561" s="17">
        <f>IFERROR(__xludf.DUMMYFUNCTION("""COMPUTED_VALUE"""),4.0)</f>
        <v>4</v>
      </c>
      <c r="G3561" s="17" t="str">
        <f>IFERROR(__xludf.DUMMYFUNCTION("""COMPUTED_VALUE"""),"203426")</f>
        <v>203426</v>
      </c>
      <c r="H3561" s="17" t="str">
        <f>IFERROR(__xludf.DUMMYFUNCTION("""COMPUTED_VALUE"""),"компенсатори плавучості")</f>
        <v>компенсатори плавучості</v>
      </c>
      <c r="I3561" s="19">
        <f>IFERROR(__xludf.DUMMYFUNCTION("""COMPUTED_VALUE"""),0.0779)</f>
        <v>0.0779</v>
      </c>
      <c r="J3561" s="19">
        <f>IFERROR(__xludf.DUMMYFUNCTION("""COMPUTED_VALUE"""),0.1558)</f>
        <v>0.1558</v>
      </c>
      <c r="K3561" s="19">
        <f>IFERROR(__xludf.DUMMYFUNCTION("""COMPUTED_VALUE"""),0.1948)</f>
        <v>0.1948</v>
      </c>
      <c r="L3561" s="19">
        <f>IFERROR(__xludf.DUMMYFUNCTION("""COMPUTED_VALUE"""),0.2337)</f>
        <v>0.2337</v>
      </c>
      <c r="M3561" s="18">
        <f>IFERROR(__xludf.DUMMYFUNCTION("""COMPUTED_VALUE"""),2.88)</f>
        <v>2.88</v>
      </c>
    </row>
    <row r="3562">
      <c r="A3562" s="13" t="str">
        <f>IFERROR(__xludf.DUMMYFUNCTION("""COMPUTED_VALUE"""),"товари")</f>
        <v>товари</v>
      </c>
      <c r="B3562" s="16" t="str">
        <f>IFERROR(__xludf.DUMMYFUNCTION("""COMPUTED_VALUE"""),"спорт і відпочинок")</f>
        <v>спорт і відпочинок</v>
      </c>
      <c r="C3562" s="16" t="str">
        <f>IFERROR(__xludf.DUMMYFUNCTION("""COMPUTED_VALUE"""),"екстремальні види спорту")</f>
        <v>екстремальні види спорту</v>
      </c>
      <c r="D3562" s="16" t="str">
        <f>IFERROR(__xludf.DUMMYFUNCTION("""COMPUTED_VALUE"""),"спортивний захист")</f>
        <v>спортивний захист</v>
      </c>
      <c r="E3562" s="16" t="str">
        <f>IFERROR(__xludf.DUMMYFUNCTION("""COMPUTED_VALUE"""),"комплекти спортивного захисту")</f>
        <v>комплекти спортивного захисту</v>
      </c>
      <c r="F3562" s="17">
        <f>IFERROR(__xludf.DUMMYFUNCTION("""COMPUTED_VALUE"""),4.0)</f>
        <v>4</v>
      </c>
      <c r="G3562" s="17" t="str">
        <f>IFERROR(__xludf.DUMMYFUNCTION("""COMPUTED_VALUE"""),"204009")</f>
        <v>204009</v>
      </c>
      <c r="H3562" s="17" t="str">
        <f>IFERROR(__xludf.DUMMYFUNCTION("""COMPUTED_VALUE"""),"комплекти спортивного захисту")</f>
        <v>комплекти спортивного захисту</v>
      </c>
      <c r="I3562" s="19">
        <f>IFERROR(__xludf.DUMMYFUNCTION("""COMPUTED_VALUE"""),0.0566)</f>
        <v>0.0566</v>
      </c>
      <c r="J3562" s="19">
        <f>IFERROR(__xludf.DUMMYFUNCTION("""COMPUTED_VALUE"""),0.1131)</f>
        <v>0.1131</v>
      </c>
      <c r="K3562" s="19">
        <f>IFERROR(__xludf.DUMMYFUNCTION("""COMPUTED_VALUE"""),0.1414)</f>
        <v>0.1414</v>
      </c>
      <c r="L3562" s="19">
        <f>IFERROR(__xludf.DUMMYFUNCTION("""COMPUTED_VALUE"""),0.1697)</f>
        <v>0.1697</v>
      </c>
      <c r="M3562" s="18">
        <f>IFERROR(__xludf.DUMMYFUNCTION("""COMPUTED_VALUE"""),1.63)</f>
        <v>1.63</v>
      </c>
    </row>
    <row r="3563">
      <c r="A3563" s="13" t="str">
        <f>IFERROR(__xludf.DUMMYFUNCTION("""COMPUTED_VALUE"""),"товари")</f>
        <v>товари</v>
      </c>
      <c r="B3563" s="16" t="str">
        <f>IFERROR(__xludf.DUMMYFUNCTION("""COMPUTED_VALUE"""),"спорт і відпочинок")</f>
        <v>спорт і відпочинок</v>
      </c>
      <c r="C3563" s="16" t="str">
        <f>IFERROR(__xludf.DUMMYFUNCTION("""COMPUTED_VALUE"""),"спортивні товари")</f>
        <v>спортивні товари</v>
      </c>
      <c r="D3563" s="16" t="str">
        <f>IFERROR(__xludf.DUMMYFUNCTION("""COMPUTED_VALUE"""),"спортивні пістолети та рушниці")</f>
        <v>спортивні пістолети та рушниці</v>
      </c>
      <c r="E3563" s="16" t="str">
        <f>IFERROR(__xludf.DUMMYFUNCTION("""COMPUTED_VALUE"""),"комплектуючі для спортивних пістолетів та рушниць")</f>
        <v>комплектуючі для спортивних пістолетів та рушниць</v>
      </c>
      <c r="F3563" s="17">
        <f>IFERROR(__xludf.DUMMYFUNCTION("""COMPUTED_VALUE"""),4.0)</f>
        <v>4</v>
      </c>
      <c r="G3563" s="17" t="str">
        <f>IFERROR(__xludf.DUMMYFUNCTION("""COMPUTED_VALUE"""),"302111")</f>
        <v>302111</v>
      </c>
      <c r="H3563" s="17" t="str">
        <f>IFERROR(__xludf.DUMMYFUNCTION("""COMPUTED_VALUE"""),"комплектуючі для спортивних пістолетів та рушниць")</f>
        <v>комплектуючі для спортивних пістолетів та рушниць</v>
      </c>
      <c r="I3563" s="19">
        <f>IFERROR(__xludf.DUMMYFUNCTION("""COMPUTED_VALUE"""),0.0604)</f>
        <v>0.0604</v>
      </c>
      <c r="J3563" s="19">
        <f>IFERROR(__xludf.DUMMYFUNCTION("""COMPUTED_VALUE"""),0.1208)</f>
        <v>0.1208</v>
      </c>
      <c r="K3563" s="19">
        <f>IFERROR(__xludf.DUMMYFUNCTION("""COMPUTED_VALUE"""),0.151)</f>
        <v>0.151</v>
      </c>
      <c r="L3563" s="19">
        <f>IFERROR(__xludf.DUMMYFUNCTION("""COMPUTED_VALUE"""),0.1812)</f>
        <v>0.1812</v>
      </c>
      <c r="M3563" s="18">
        <f>IFERROR(__xludf.DUMMYFUNCTION("""COMPUTED_VALUE"""),2.25)</f>
        <v>2.25</v>
      </c>
    </row>
    <row r="3564">
      <c r="A3564" s="13" t="str">
        <f>IFERROR(__xludf.DUMMYFUNCTION("""COMPUTED_VALUE"""),"товари")</f>
        <v>товари</v>
      </c>
      <c r="B3564" s="16" t="str">
        <f>IFERROR(__xludf.DUMMYFUNCTION("""COMPUTED_VALUE"""),"спорт і відпочинок")</f>
        <v>спорт і відпочинок</v>
      </c>
      <c r="C3564" s="16" t="str">
        <f>IFERROR(__xludf.DUMMYFUNCTION("""COMPUTED_VALUE"""),"військово-спортивні ігри")</f>
        <v>військово-спортивні ігри</v>
      </c>
      <c r="D3564" s="16" t="str">
        <f>IFERROR(__xludf.DUMMYFUNCTION("""COMPUTED_VALUE"""),"страйкбольне обладнання")</f>
        <v>страйкбольне обладнання</v>
      </c>
      <c r="E3564" s="16" t="str">
        <f>IFERROR(__xludf.DUMMYFUNCTION("""COMPUTED_VALUE"""),"комплектуючі для страйкбольних автоматів та пістолетів")</f>
        <v>комплектуючі для страйкбольних автоматів та пістолетів</v>
      </c>
      <c r="F3564" s="17">
        <f>IFERROR(__xludf.DUMMYFUNCTION("""COMPUTED_VALUE"""),4.0)</f>
        <v>4</v>
      </c>
      <c r="G3564" s="17" t="str">
        <f>IFERROR(__xludf.DUMMYFUNCTION("""COMPUTED_VALUE"""),"181306")</f>
        <v>181306</v>
      </c>
      <c r="H3564" s="17" t="str">
        <f>IFERROR(__xludf.DUMMYFUNCTION("""COMPUTED_VALUE"""),"комплектуючі для страйкбольних автоматів та пістолетів")</f>
        <v>комплектуючі для страйкбольних автоматів та пістолетів</v>
      </c>
      <c r="I3564" s="19">
        <f>IFERROR(__xludf.DUMMYFUNCTION("""COMPUTED_VALUE"""),0.0624)</f>
        <v>0.0624</v>
      </c>
      <c r="J3564" s="19">
        <f>IFERROR(__xludf.DUMMYFUNCTION("""COMPUTED_VALUE"""),0.1248)</f>
        <v>0.1248</v>
      </c>
      <c r="K3564" s="19">
        <f>IFERROR(__xludf.DUMMYFUNCTION("""COMPUTED_VALUE"""),0.156)</f>
        <v>0.156</v>
      </c>
      <c r="L3564" s="19">
        <f>IFERROR(__xludf.DUMMYFUNCTION("""COMPUTED_VALUE"""),0.1872)</f>
        <v>0.1872</v>
      </c>
      <c r="M3564" s="18">
        <f>IFERROR(__xludf.DUMMYFUNCTION("""COMPUTED_VALUE"""),1.05)</f>
        <v>1.05</v>
      </c>
    </row>
    <row r="3565">
      <c r="A3565" s="13" t="str">
        <f>IFERROR(__xludf.DUMMYFUNCTION("""COMPUTED_VALUE"""),"товари")</f>
        <v>товари</v>
      </c>
      <c r="B3565" s="16" t="str">
        <f>IFERROR(__xludf.DUMMYFUNCTION("""COMPUTED_VALUE"""),"спорт і відпочинок")</f>
        <v>спорт і відпочинок</v>
      </c>
      <c r="C3565" s="16" t="str">
        <f>IFERROR(__xludf.DUMMYFUNCTION("""COMPUTED_VALUE"""),"тренажери")</f>
        <v>тренажери</v>
      </c>
      <c r="D3565" s="16" t="str">
        <f>IFERROR(__xludf.DUMMYFUNCTION("""COMPUTED_VALUE"""),"комплектуючі та аксесуари для тренажерів")</f>
        <v>комплектуючі та аксесуари для тренажерів</v>
      </c>
      <c r="E3565" s="16" t="str">
        <f>IFERROR(__xludf.DUMMYFUNCTION("""COMPUTED_VALUE"""),"комплектуючі та аксесуари для тренажерів")</f>
        <v>комплектуючі та аксесуари для тренажерів</v>
      </c>
      <c r="F3565" s="17">
        <f>IFERROR(__xludf.DUMMYFUNCTION("""COMPUTED_VALUE"""),3.0)</f>
        <v>3</v>
      </c>
      <c r="G3565" s="17" t="str">
        <f>IFERROR(__xludf.DUMMYFUNCTION("""COMPUTED_VALUE"""),"200920")</f>
        <v>200920</v>
      </c>
      <c r="H3565" s="17" t="str">
        <f>IFERROR(__xludf.DUMMYFUNCTION("""COMPUTED_VALUE"""),"комплектуючі та аксесуари для тренажерів")</f>
        <v>комплектуючі та аксесуари для тренажерів</v>
      </c>
      <c r="I3565" s="19">
        <f>IFERROR(__xludf.DUMMYFUNCTION("""COMPUTED_VALUE"""),0.0766)</f>
        <v>0.0766</v>
      </c>
      <c r="J3565" s="19">
        <f>IFERROR(__xludf.DUMMYFUNCTION("""COMPUTED_VALUE"""),0.1532)</f>
        <v>0.1532</v>
      </c>
      <c r="K3565" s="19">
        <f>IFERROR(__xludf.DUMMYFUNCTION("""COMPUTED_VALUE"""),0.1915)</f>
        <v>0.1915</v>
      </c>
      <c r="L3565" s="19">
        <f>IFERROR(__xludf.DUMMYFUNCTION("""COMPUTED_VALUE"""),0.2298)</f>
        <v>0.2298</v>
      </c>
      <c r="M3565" s="18">
        <f>IFERROR(__xludf.DUMMYFUNCTION("""COMPUTED_VALUE"""),1.05)</f>
        <v>1.05</v>
      </c>
    </row>
    <row r="3566">
      <c r="A3566" s="13" t="str">
        <f>IFERROR(__xludf.DUMMYFUNCTION("""COMPUTED_VALUE"""),"товари")</f>
        <v>товари</v>
      </c>
      <c r="B3566" s="16" t="str">
        <f>IFERROR(__xludf.DUMMYFUNCTION("""COMPUTED_VALUE"""),"спорт і відпочинок")</f>
        <v>спорт і відпочинок</v>
      </c>
      <c r="C3566" s="16" t="str">
        <f>IFERROR(__xludf.DUMMYFUNCTION("""COMPUTED_VALUE"""),"товари для туризму та подорожей")</f>
        <v>товари для туризму та подорожей</v>
      </c>
      <c r="D3566" s="16" t="str">
        <f>IFERROR(__xludf.DUMMYFUNCTION("""COMPUTED_VALUE"""),"туристичні інструменти")</f>
        <v>туристичні інструменти</v>
      </c>
      <c r="E3566" s="16" t="str">
        <f>IFERROR(__xludf.DUMMYFUNCTION("""COMPUTED_VALUE"""),"компресійні мішки та гермомішки")</f>
        <v>компресійні мішки та гермомішки</v>
      </c>
      <c r="F3566" s="17">
        <f>IFERROR(__xludf.DUMMYFUNCTION("""COMPUTED_VALUE"""),4.0)</f>
        <v>4</v>
      </c>
      <c r="G3566" s="17" t="str">
        <f>IFERROR(__xludf.DUMMYFUNCTION("""COMPUTED_VALUE"""),"240438")</f>
        <v>240438</v>
      </c>
      <c r="H3566" s="17" t="str">
        <f>IFERROR(__xludf.DUMMYFUNCTION("""COMPUTED_VALUE"""),"компресійні мішки та гермомішки")</f>
        <v>компресійні мішки та гермомішки</v>
      </c>
      <c r="I3566" s="19">
        <f>IFERROR(__xludf.DUMMYFUNCTION("""COMPUTED_VALUE"""),0.0781)</f>
        <v>0.0781</v>
      </c>
      <c r="J3566" s="19">
        <f>IFERROR(__xludf.DUMMYFUNCTION("""COMPUTED_VALUE"""),0.1561)</f>
        <v>0.1561</v>
      </c>
      <c r="K3566" s="19">
        <f>IFERROR(__xludf.DUMMYFUNCTION("""COMPUTED_VALUE"""),0.1951)</f>
        <v>0.1951</v>
      </c>
      <c r="L3566" s="19">
        <f>IFERROR(__xludf.DUMMYFUNCTION("""COMPUTED_VALUE"""),0.2342)</f>
        <v>0.2342</v>
      </c>
      <c r="M3566" s="18">
        <f>IFERROR(__xludf.DUMMYFUNCTION("""COMPUTED_VALUE"""),1.8)</f>
        <v>1.8</v>
      </c>
    </row>
    <row r="3567">
      <c r="A3567" s="13" t="str">
        <f>IFERROR(__xludf.DUMMYFUNCTION("""COMPUTED_VALUE"""),"товари")</f>
        <v>товари</v>
      </c>
      <c r="B3567" s="16" t="str">
        <f>IFERROR(__xludf.DUMMYFUNCTION("""COMPUTED_VALUE"""),"спорт і відпочинок")</f>
        <v>спорт і відпочинок</v>
      </c>
      <c r="C3567" s="16" t="str">
        <f>IFERROR(__xludf.DUMMYFUNCTION("""COMPUTED_VALUE"""),"екстремальні види спорту")</f>
        <v>екстремальні види спорту</v>
      </c>
      <c r="D3567" s="16" t="str">
        <f>IFERROR(__xludf.DUMMYFUNCTION("""COMPUTED_VALUE"""),"дайвінг")</f>
        <v>дайвінг</v>
      </c>
      <c r="E3567" s="16" t="str">
        <f>IFERROR(__xludf.DUMMYFUNCTION("""COMPUTED_VALUE"""),"консолі для дайвінгу")</f>
        <v>консолі для дайвінгу</v>
      </c>
      <c r="F3567" s="17">
        <f>IFERROR(__xludf.DUMMYFUNCTION("""COMPUTED_VALUE"""),4.0)</f>
        <v>4</v>
      </c>
      <c r="G3567" s="17" t="str">
        <f>IFERROR(__xludf.DUMMYFUNCTION("""COMPUTED_VALUE"""),"203429")</f>
        <v>203429</v>
      </c>
      <c r="H3567" s="17" t="str">
        <f>IFERROR(__xludf.DUMMYFUNCTION("""COMPUTED_VALUE"""),"консолі для дайвінгу")</f>
        <v>консолі для дайвінгу</v>
      </c>
      <c r="I3567" s="19">
        <f>IFERROR(__xludf.DUMMYFUNCTION("""COMPUTED_VALUE"""),0.0758)</f>
        <v>0.0758</v>
      </c>
      <c r="J3567" s="19">
        <f>IFERROR(__xludf.DUMMYFUNCTION("""COMPUTED_VALUE"""),0.1515)</f>
        <v>0.1515</v>
      </c>
      <c r="K3567" s="19">
        <f>IFERROR(__xludf.DUMMYFUNCTION("""COMPUTED_VALUE"""),0.1894)</f>
        <v>0.1894</v>
      </c>
      <c r="L3567" s="19">
        <f>IFERROR(__xludf.DUMMYFUNCTION("""COMPUTED_VALUE"""),0.2273)</f>
        <v>0.2273</v>
      </c>
      <c r="M3567" s="18">
        <f>IFERROR(__xludf.DUMMYFUNCTION("""COMPUTED_VALUE"""),2.88)</f>
        <v>2.88</v>
      </c>
    </row>
    <row r="3568">
      <c r="A3568" s="13" t="str">
        <f>IFERROR(__xludf.DUMMYFUNCTION("""COMPUTED_VALUE"""),"товари")</f>
        <v>товари</v>
      </c>
      <c r="B3568" s="16" t="str">
        <f>IFERROR(__xludf.DUMMYFUNCTION("""COMPUTED_VALUE"""),"спорт і відпочинок")</f>
        <v>спорт і відпочинок</v>
      </c>
      <c r="C3568" s="16" t="str">
        <f>IFERROR(__xludf.DUMMYFUNCTION("""COMPUTED_VALUE"""),"товари для риболовлі")</f>
        <v>товари для риболовлі</v>
      </c>
      <c r="D3568" s="16" t="str">
        <f>IFERROR(__xludf.DUMMYFUNCTION("""COMPUTED_VALUE"""),"корми та підгодовування для риби")</f>
        <v>корми та підгодовування для риби</v>
      </c>
      <c r="E3568" s="16" t="str">
        <f>IFERROR(__xludf.DUMMYFUNCTION("""COMPUTED_VALUE"""),"корми та підгодовування для риби")</f>
        <v>корми та підгодовування для риби</v>
      </c>
      <c r="F3568" s="17">
        <f>IFERROR(__xludf.DUMMYFUNCTION("""COMPUTED_VALUE"""),3.0)</f>
        <v>3</v>
      </c>
      <c r="G3568" s="17" t="str">
        <f>IFERROR(__xludf.DUMMYFUNCTION("""COMPUTED_VALUE"""),"181004")</f>
        <v>181004</v>
      </c>
      <c r="H3568" s="17" t="str">
        <f>IFERROR(__xludf.DUMMYFUNCTION("""COMPUTED_VALUE"""),"корми та підгодовування для риби")</f>
        <v>корми та підгодовування для риби</v>
      </c>
      <c r="I3568" s="19">
        <f>IFERROR(__xludf.DUMMYFUNCTION("""COMPUTED_VALUE"""),0.0808)</f>
        <v>0.0808</v>
      </c>
      <c r="J3568" s="19">
        <f>IFERROR(__xludf.DUMMYFUNCTION("""COMPUTED_VALUE"""),0.1616)</f>
        <v>0.1616</v>
      </c>
      <c r="K3568" s="19">
        <f>IFERROR(__xludf.DUMMYFUNCTION("""COMPUTED_VALUE"""),0.202)</f>
        <v>0.202</v>
      </c>
      <c r="L3568" s="19">
        <f>IFERROR(__xludf.DUMMYFUNCTION("""COMPUTED_VALUE"""),0.2424)</f>
        <v>0.2424</v>
      </c>
      <c r="M3568" s="18">
        <f>IFERROR(__xludf.DUMMYFUNCTION("""COMPUTED_VALUE"""),1.26)</f>
        <v>1.26</v>
      </c>
    </row>
    <row r="3569">
      <c r="A3569" s="13" t="str">
        <f>IFERROR(__xludf.DUMMYFUNCTION("""COMPUTED_VALUE"""),"товари")</f>
        <v>товари</v>
      </c>
      <c r="B3569" s="16" t="str">
        <f>IFERROR(__xludf.DUMMYFUNCTION("""COMPUTED_VALUE"""),"спорт і відпочинок")</f>
        <v>спорт і відпочинок</v>
      </c>
      <c r="C3569" s="16" t="str">
        <f>IFERROR(__xludf.DUMMYFUNCTION("""COMPUTED_VALUE"""),"товари для риболовлі")</f>
        <v>товари для риболовлі</v>
      </c>
      <c r="D3569" s="16" t="str">
        <f>IFERROR(__xludf.DUMMYFUNCTION("""COMPUTED_VALUE"""),"одяг для полювання та риболовлі")</f>
        <v>одяг для полювання та риболовлі</v>
      </c>
      <c r="E3569" s="16" t="str">
        <f>IFERROR(__xludf.DUMMYFUNCTION("""COMPUTED_VALUE"""),"костюми для полювання та риболовлі")</f>
        <v>костюми для полювання та риболовлі</v>
      </c>
      <c r="F3569" s="17">
        <f>IFERROR(__xludf.DUMMYFUNCTION("""COMPUTED_VALUE"""),4.0)</f>
        <v>4</v>
      </c>
      <c r="G3569" s="17" t="str">
        <f>IFERROR(__xludf.DUMMYFUNCTION("""COMPUTED_VALUE"""),"181026")</f>
        <v>181026</v>
      </c>
      <c r="H3569" s="17" t="str">
        <f>IFERROR(__xludf.DUMMYFUNCTION("""COMPUTED_VALUE"""),"костюми для полювання та риболовлі")</f>
        <v>костюми для полювання та риболовлі</v>
      </c>
      <c r="I3569" s="19">
        <f>IFERROR(__xludf.DUMMYFUNCTION("""COMPUTED_VALUE"""),0.0952)</f>
        <v>0.0952</v>
      </c>
      <c r="J3569" s="19">
        <f>IFERROR(__xludf.DUMMYFUNCTION("""COMPUTED_VALUE"""),0.1903)</f>
        <v>0.1903</v>
      </c>
      <c r="K3569" s="19">
        <f>IFERROR(__xludf.DUMMYFUNCTION("""COMPUTED_VALUE"""),0.2379)</f>
        <v>0.2379</v>
      </c>
      <c r="L3569" s="19">
        <f>IFERROR(__xludf.DUMMYFUNCTION("""COMPUTED_VALUE"""),0.2855)</f>
        <v>0.2855</v>
      </c>
      <c r="M3569" s="18">
        <f>IFERROR(__xludf.DUMMYFUNCTION("""COMPUTED_VALUE"""),2.34)</f>
        <v>2.34</v>
      </c>
    </row>
    <row r="3570">
      <c r="A3570" s="13" t="str">
        <f>IFERROR(__xludf.DUMMYFUNCTION("""COMPUTED_VALUE"""),"товари")</f>
        <v>товари</v>
      </c>
      <c r="B3570" s="16" t="str">
        <f>IFERROR(__xludf.DUMMYFUNCTION("""COMPUTED_VALUE"""),"спорт і відпочинок")</f>
        <v>спорт і відпочинок</v>
      </c>
      <c r="C3570" s="16" t="str">
        <f>IFERROR(__xludf.DUMMYFUNCTION("""COMPUTED_VALUE"""),"товари для підводного полювання")</f>
        <v>товари для підводного полювання</v>
      </c>
      <c r="D3570" s="16" t="str">
        <f>IFERROR(__xludf.DUMMYFUNCTION("""COMPUTED_VALUE"""),"підводні рушниці")</f>
        <v>підводні рушниці</v>
      </c>
      <c r="E3570" s="16" t="str">
        <f>IFERROR(__xludf.DUMMYFUNCTION("""COMPUTED_VALUE"""),"котушки для підводних рушниць")</f>
        <v>котушки для підводних рушниць</v>
      </c>
      <c r="F3570" s="17">
        <f>IFERROR(__xludf.DUMMYFUNCTION("""COMPUTED_VALUE"""),4.0)</f>
        <v>4</v>
      </c>
      <c r="G3570" s="17" t="str">
        <f>IFERROR(__xludf.DUMMYFUNCTION("""COMPUTED_VALUE"""),"302116")</f>
        <v>302116</v>
      </c>
      <c r="H3570" s="17" t="str">
        <f>IFERROR(__xludf.DUMMYFUNCTION("""COMPUTED_VALUE"""),"котушки для підводних рушниць")</f>
        <v>котушки для підводних рушниць</v>
      </c>
      <c r="I3570" s="19">
        <f>IFERROR(__xludf.DUMMYFUNCTION("""COMPUTED_VALUE"""),0.0549)</f>
        <v>0.0549</v>
      </c>
      <c r="J3570" s="19">
        <f>IFERROR(__xludf.DUMMYFUNCTION("""COMPUTED_VALUE"""),0.1097)</f>
        <v>0.1097</v>
      </c>
      <c r="K3570" s="19">
        <f>IFERROR(__xludf.DUMMYFUNCTION("""COMPUTED_VALUE"""),0.1371)</f>
        <v>0.1371</v>
      </c>
      <c r="L3570" s="19">
        <f>IFERROR(__xludf.DUMMYFUNCTION("""COMPUTED_VALUE"""),0.1646)</f>
        <v>0.1646</v>
      </c>
      <c r="M3570" s="18">
        <f>IFERROR(__xludf.DUMMYFUNCTION("""COMPUTED_VALUE"""),1.98)</f>
        <v>1.98</v>
      </c>
    </row>
    <row r="3571">
      <c r="A3571" s="13" t="str">
        <f>IFERROR(__xludf.DUMMYFUNCTION("""COMPUTED_VALUE"""),"товари")</f>
        <v>товари</v>
      </c>
      <c r="B3571" s="16" t="str">
        <f>IFERROR(__xludf.DUMMYFUNCTION("""COMPUTED_VALUE"""),"спорт і відпочинок")</f>
        <v>спорт і відпочинок</v>
      </c>
      <c r="C3571" s="16" t="str">
        <f>IFERROR(__xludf.DUMMYFUNCTION("""COMPUTED_VALUE"""),"зимові види спорту")</f>
        <v>зимові види спорту</v>
      </c>
      <c r="D3571" s="16" t="str">
        <f>IFERROR(__xludf.DUMMYFUNCTION("""COMPUTED_VALUE"""),"лижний спорт та сноубординг")</f>
        <v>лижний спорт та сноубординг</v>
      </c>
      <c r="E3571" s="16" t="str">
        <f>IFERROR(__xludf.DUMMYFUNCTION("""COMPUTED_VALUE"""),"кріплення для лиж, сноуборду")</f>
        <v>кріплення для лиж, сноуборду</v>
      </c>
      <c r="F3571" s="17">
        <f>IFERROR(__xludf.DUMMYFUNCTION("""COMPUTED_VALUE"""),4.0)</f>
        <v>4</v>
      </c>
      <c r="G3571" s="17" t="str">
        <f>IFERROR(__xludf.DUMMYFUNCTION("""COMPUTED_VALUE"""),"202406")</f>
        <v>202406</v>
      </c>
      <c r="H3571" s="17" t="str">
        <f>IFERROR(__xludf.DUMMYFUNCTION("""COMPUTED_VALUE"""),"кріплення для лиж, сноуборду")</f>
        <v>кріплення для лиж, сноуборду</v>
      </c>
      <c r="I3571" s="19">
        <f>IFERROR(__xludf.DUMMYFUNCTION("""COMPUTED_VALUE"""),0.0699)</f>
        <v>0.0699</v>
      </c>
      <c r="J3571" s="19">
        <f>IFERROR(__xludf.DUMMYFUNCTION("""COMPUTED_VALUE"""),0.1398)</f>
        <v>0.1398</v>
      </c>
      <c r="K3571" s="19">
        <f>IFERROR(__xludf.DUMMYFUNCTION("""COMPUTED_VALUE"""),0.1748)</f>
        <v>0.1748</v>
      </c>
      <c r="L3571" s="19">
        <f>IFERROR(__xludf.DUMMYFUNCTION("""COMPUTED_VALUE"""),0.2097)</f>
        <v>0.2097</v>
      </c>
      <c r="M3571" s="18">
        <f>IFERROR(__xludf.DUMMYFUNCTION("""COMPUTED_VALUE"""),1.63)</f>
        <v>1.63</v>
      </c>
    </row>
    <row r="3572">
      <c r="A3572" s="13" t="str">
        <f>IFERROR(__xludf.DUMMYFUNCTION("""COMPUTED_VALUE"""),"товари")</f>
        <v>товари</v>
      </c>
      <c r="B3572" s="16" t="str">
        <f>IFERROR(__xludf.DUMMYFUNCTION("""COMPUTED_VALUE"""),"спорт і відпочинок")</f>
        <v>спорт і відпочинок</v>
      </c>
      <c r="C3572" s="16" t="str">
        <f>IFERROR(__xludf.DUMMYFUNCTION("""COMPUTED_VALUE"""),"спортивні товари")</f>
        <v>спортивні товари</v>
      </c>
      <c r="D3572" s="16" t="str">
        <f>IFERROR(__xludf.DUMMYFUNCTION("""COMPUTED_VALUE"""),"бойові мистецтва")</f>
        <v>бойові мистецтва</v>
      </c>
      <c r="E3572" s="16" t="str">
        <f>IFERROR(__xludf.DUMMYFUNCTION("""COMPUTED_VALUE"""),"кріплення, стійки для груш")</f>
        <v>кріплення, стійки для груш</v>
      </c>
      <c r="F3572" s="17">
        <f>IFERROR(__xludf.DUMMYFUNCTION("""COMPUTED_VALUE"""),4.0)</f>
        <v>4</v>
      </c>
      <c r="G3572" s="17" t="str">
        <f>IFERROR(__xludf.DUMMYFUNCTION("""COMPUTED_VALUE"""),"202710")</f>
        <v>202710</v>
      </c>
      <c r="H3572" s="17" t="str">
        <f>IFERROR(__xludf.DUMMYFUNCTION("""COMPUTED_VALUE"""),"кріплення, стійки для груш")</f>
        <v>кріплення, стійки для груш</v>
      </c>
      <c r="I3572" s="19">
        <f>IFERROR(__xludf.DUMMYFUNCTION("""COMPUTED_VALUE"""),0.0747)</f>
        <v>0.0747</v>
      </c>
      <c r="J3572" s="19">
        <f>IFERROR(__xludf.DUMMYFUNCTION("""COMPUTED_VALUE"""),0.1494)</f>
        <v>0.1494</v>
      </c>
      <c r="K3572" s="19">
        <f>IFERROR(__xludf.DUMMYFUNCTION("""COMPUTED_VALUE"""),0.1868)</f>
        <v>0.1868</v>
      </c>
      <c r="L3572" s="19">
        <f>IFERROR(__xludf.DUMMYFUNCTION("""COMPUTED_VALUE"""),0.2241)</f>
        <v>0.2241</v>
      </c>
      <c r="M3572" s="18">
        <f>IFERROR(__xludf.DUMMYFUNCTION("""COMPUTED_VALUE"""),2.34)</f>
        <v>2.34</v>
      </c>
    </row>
    <row r="3573">
      <c r="A3573" s="13" t="str">
        <f>IFERROR(__xludf.DUMMYFUNCTION("""COMPUTED_VALUE"""),"товари")</f>
        <v>товари</v>
      </c>
      <c r="B3573" s="16" t="str">
        <f>IFERROR(__xludf.DUMMYFUNCTION("""COMPUTED_VALUE"""),"спорт і відпочинок")</f>
        <v>спорт і відпочинок</v>
      </c>
      <c r="C3573" s="16" t="str">
        <f>IFERROR(__xludf.DUMMYFUNCTION("""COMPUTED_VALUE"""),"гаджети для спорту")</f>
        <v>гаджети для спорту</v>
      </c>
      <c r="D3573" s="16" t="str">
        <f>IFERROR(__xludf.DUMMYFUNCTION("""COMPUTED_VALUE"""),"крокоміри")</f>
        <v>крокоміри</v>
      </c>
      <c r="E3573" s="16" t="str">
        <f>IFERROR(__xludf.DUMMYFUNCTION("""COMPUTED_VALUE"""),"крокоміри")</f>
        <v>крокоміри</v>
      </c>
      <c r="F3573" s="17">
        <f>IFERROR(__xludf.DUMMYFUNCTION("""COMPUTED_VALUE"""),3.0)</f>
        <v>3</v>
      </c>
      <c r="G3573" s="17" t="str">
        <f>IFERROR(__xludf.DUMMYFUNCTION("""COMPUTED_VALUE"""),"162518")</f>
        <v>162518</v>
      </c>
      <c r="H3573" s="17" t="str">
        <f>IFERROR(__xludf.DUMMYFUNCTION("""COMPUTED_VALUE"""),"крокоміри")</f>
        <v>крокоміри</v>
      </c>
      <c r="I3573" s="19">
        <f>IFERROR(__xludf.DUMMYFUNCTION("""COMPUTED_VALUE"""),0.0782)</f>
        <v>0.0782</v>
      </c>
      <c r="J3573" s="19">
        <f>IFERROR(__xludf.DUMMYFUNCTION("""COMPUTED_VALUE"""),0.1563)</f>
        <v>0.1563</v>
      </c>
      <c r="K3573" s="19">
        <f>IFERROR(__xludf.DUMMYFUNCTION("""COMPUTED_VALUE"""),0.1954)</f>
        <v>0.1954</v>
      </c>
      <c r="L3573" s="19">
        <f>IFERROR(__xludf.DUMMYFUNCTION("""COMPUTED_VALUE"""),0.2345)</f>
        <v>0.2345</v>
      </c>
      <c r="M3573" s="18">
        <f>IFERROR(__xludf.DUMMYFUNCTION("""COMPUTED_VALUE"""),1.05)</f>
        <v>1.05</v>
      </c>
    </row>
    <row r="3574">
      <c r="A3574" s="13" t="str">
        <f>IFERROR(__xludf.DUMMYFUNCTION("""COMPUTED_VALUE"""),"товари")</f>
        <v>товари</v>
      </c>
      <c r="B3574" s="16" t="str">
        <f>IFERROR(__xludf.DUMMYFUNCTION("""COMPUTED_VALUE"""),"спорт і відпочинок")</f>
        <v>спорт і відпочинок</v>
      </c>
      <c r="C3574" s="16" t="str">
        <f>IFERROR(__xludf.DUMMYFUNCTION("""COMPUTED_VALUE"""),"одяг та взуття для спортсменів")</f>
        <v>одяг та взуття для спортсменів</v>
      </c>
      <c r="D3574" s="16" t="str">
        <f>IFERROR(__xludf.DUMMYFUNCTION("""COMPUTED_VALUE"""),"взуття для спорту та активного відпочинку")</f>
        <v>взуття для спорту та активного відпочинку</v>
      </c>
      <c r="E3574" s="16" t="str">
        <f>IFERROR(__xludf.DUMMYFUNCTION("""COMPUTED_VALUE"""),"кросівки для заняття спортом")</f>
        <v>кросівки для заняття спортом</v>
      </c>
      <c r="F3574" s="17">
        <f>IFERROR(__xludf.DUMMYFUNCTION("""COMPUTED_VALUE"""),4.0)</f>
        <v>4</v>
      </c>
      <c r="G3574" s="17" t="str">
        <f>IFERROR(__xludf.DUMMYFUNCTION("""COMPUTED_VALUE"""),"3220707")</f>
        <v>3220707</v>
      </c>
      <c r="H3574" s="17" t="str">
        <f>IFERROR(__xludf.DUMMYFUNCTION("""COMPUTED_VALUE"""),"кросівки для заняття спортом")</f>
        <v>кросівки для заняття спортом</v>
      </c>
      <c r="I3574" s="19">
        <f>IFERROR(__xludf.DUMMYFUNCTION("""COMPUTED_VALUE"""),0.0968)</f>
        <v>0.0968</v>
      </c>
      <c r="J3574" s="19">
        <f>IFERROR(__xludf.DUMMYFUNCTION("""COMPUTED_VALUE"""),0.1935)</f>
        <v>0.1935</v>
      </c>
      <c r="K3574" s="19">
        <f>IFERROR(__xludf.DUMMYFUNCTION("""COMPUTED_VALUE"""),0.2419)</f>
        <v>0.2419</v>
      </c>
      <c r="L3574" s="19">
        <f>IFERROR(__xludf.DUMMYFUNCTION("""COMPUTED_VALUE"""),0.2903)</f>
        <v>0.2903</v>
      </c>
      <c r="M3574" s="18">
        <f>IFERROR(__xludf.DUMMYFUNCTION("""COMPUTED_VALUE"""),1.8)</f>
        <v>1.8</v>
      </c>
    </row>
    <row r="3575">
      <c r="A3575" s="13" t="str">
        <f>IFERROR(__xludf.DUMMYFUNCTION("""COMPUTED_VALUE"""),"товари")</f>
        <v>товари</v>
      </c>
      <c r="B3575" s="16" t="str">
        <f>IFERROR(__xludf.DUMMYFUNCTION("""COMPUTED_VALUE"""),"спорт і відпочинок")</f>
        <v>спорт і відпочинок</v>
      </c>
      <c r="C3575" s="16" t="str">
        <f>IFERROR(__xludf.DUMMYFUNCTION("""COMPUTED_VALUE"""),"зимові види спорту")</f>
        <v>зимові види спорту</v>
      </c>
      <c r="D3575" s="16" t="str">
        <f>IFERROR(__xludf.DUMMYFUNCTION("""COMPUTED_VALUE"""),"лижний спорт та сноубординг")</f>
        <v>лижний спорт та сноубординг</v>
      </c>
      <c r="E3575" s="16" t="str">
        <f>IFERROR(__xludf.DUMMYFUNCTION("""COMPUTED_VALUE"""),"лавинне спорядження")</f>
        <v>лавинне спорядження</v>
      </c>
      <c r="F3575" s="17">
        <f>IFERROR(__xludf.DUMMYFUNCTION("""COMPUTED_VALUE"""),4.0)</f>
        <v>4</v>
      </c>
      <c r="G3575" s="17" t="str">
        <f>IFERROR(__xludf.DUMMYFUNCTION("""COMPUTED_VALUE"""),"202427")</f>
        <v>202427</v>
      </c>
      <c r="H3575" s="17" t="str">
        <f>IFERROR(__xludf.DUMMYFUNCTION("""COMPUTED_VALUE"""),"лавинне спорядження")</f>
        <v>лавинне спорядження</v>
      </c>
      <c r="I3575" s="19">
        <f>IFERROR(__xludf.DUMMYFUNCTION("""COMPUTED_VALUE"""),0.0781)</f>
        <v>0.0781</v>
      </c>
      <c r="J3575" s="19">
        <f>IFERROR(__xludf.DUMMYFUNCTION("""COMPUTED_VALUE"""),0.1561)</f>
        <v>0.1561</v>
      </c>
      <c r="K3575" s="19">
        <f>IFERROR(__xludf.DUMMYFUNCTION("""COMPUTED_VALUE"""),0.1951)</f>
        <v>0.1951</v>
      </c>
      <c r="L3575" s="19">
        <f>IFERROR(__xludf.DUMMYFUNCTION("""COMPUTED_VALUE"""),0.2342)</f>
        <v>0.2342</v>
      </c>
      <c r="M3575" s="18">
        <f>IFERROR(__xludf.DUMMYFUNCTION("""COMPUTED_VALUE"""),1.63)</f>
        <v>1.63</v>
      </c>
    </row>
    <row r="3576">
      <c r="A3576" s="13" t="str">
        <f>IFERROR(__xludf.DUMMYFUNCTION("""COMPUTED_VALUE"""),"товари")</f>
        <v>товари</v>
      </c>
      <c r="B3576" s="16" t="str">
        <f>IFERROR(__xludf.DUMMYFUNCTION("""COMPUTED_VALUE"""),"спорт і відпочинок")</f>
        <v>спорт і відпочинок</v>
      </c>
      <c r="C3576" s="16" t="str">
        <f>IFERROR(__xludf.DUMMYFUNCTION("""COMPUTED_VALUE"""),"спортивні товари")</f>
        <v>спортивні товари</v>
      </c>
      <c r="D3576" s="16" t="str">
        <f>IFERROR(__xludf.DUMMYFUNCTION("""COMPUTED_VALUE"""),"бойові мистецтва")</f>
        <v>бойові мистецтва</v>
      </c>
      <c r="E3576" s="16" t="str">
        <f>IFERROR(__xludf.DUMMYFUNCTION("""COMPUTED_VALUE"""),"лапи, маківари ручні")</f>
        <v>лапи, маківари ручні</v>
      </c>
      <c r="F3576" s="17">
        <f>IFERROR(__xludf.DUMMYFUNCTION("""COMPUTED_VALUE"""),4.0)</f>
        <v>4</v>
      </c>
      <c r="G3576" s="17" t="str">
        <f>IFERROR(__xludf.DUMMYFUNCTION("""COMPUTED_VALUE"""),"202708")</f>
        <v>202708</v>
      </c>
      <c r="H3576" s="17" t="str">
        <f>IFERROR(__xludf.DUMMYFUNCTION("""COMPUTED_VALUE"""),"лапи, маківари ручні")</f>
        <v>лапи, маківари ручні</v>
      </c>
      <c r="I3576" s="19">
        <f>IFERROR(__xludf.DUMMYFUNCTION("""COMPUTED_VALUE"""),0.0773)</f>
        <v>0.0773</v>
      </c>
      <c r="J3576" s="19">
        <f>IFERROR(__xludf.DUMMYFUNCTION("""COMPUTED_VALUE"""),0.1546)</f>
        <v>0.1546</v>
      </c>
      <c r="K3576" s="19">
        <f>IFERROR(__xludf.DUMMYFUNCTION("""COMPUTED_VALUE"""),0.1933)</f>
        <v>0.1933</v>
      </c>
      <c r="L3576" s="19">
        <f>IFERROR(__xludf.DUMMYFUNCTION("""COMPUTED_VALUE"""),0.2319)</f>
        <v>0.2319</v>
      </c>
      <c r="M3576" s="18">
        <f>IFERROR(__xludf.DUMMYFUNCTION("""COMPUTED_VALUE"""),2.34)</f>
        <v>2.34</v>
      </c>
    </row>
    <row r="3577">
      <c r="A3577" s="13" t="str">
        <f>IFERROR(__xludf.DUMMYFUNCTION("""COMPUTED_VALUE"""),"товари")</f>
        <v>товари</v>
      </c>
      <c r="B3577" s="16" t="str">
        <f>IFERROR(__xludf.DUMMYFUNCTION("""COMPUTED_VALUE"""),"спорт і відпочинок")</f>
        <v>спорт і відпочинок</v>
      </c>
      <c r="C3577" s="16" t="str">
        <f>IFERROR(__xludf.DUMMYFUNCTION("""COMPUTED_VALUE"""),"екстремальні види спорту")</f>
        <v>екстремальні види спорту</v>
      </c>
      <c r="D3577" s="16" t="str">
        <f>IFERROR(__xludf.DUMMYFUNCTION("""COMPUTED_VALUE"""),"дайвінг")</f>
        <v>дайвінг</v>
      </c>
      <c r="E3577" s="16" t="str">
        <f>IFERROR(__xludf.DUMMYFUNCTION("""COMPUTED_VALUE"""),"ласти для плавання")</f>
        <v>ласти для плавання</v>
      </c>
      <c r="F3577" s="17">
        <f>IFERROR(__xludf.DUMMYFUNCTION("""COMPUTED_VALUE"""),4.0)</f>
        <v>4</v>
      </c>
      <c r="G3577" s="17" t="str">
        <f>IFERROR(__xludf.DUMMYFUNCTION("""COMPUTED_VALUE"""),"200319")</f>
        <v>200319</v>
      </c>
      <c r="H3577" s="17" t="str">
        <f>IFERROR(__xludf.DUMMYFUNCTION("""COMPUTED_VALUE"""),"ласти для плавання")</f>
        <v>ласти для плавання</v>
      </c>
      <c r="I3577" s="19">
        <f>IFERROR(__xludf.DUMMYFUNCTION("""COMPUTED_VALUE"""),0.0773)</f>
        <v>0.0773</v>
      </c>
      <c r="J3577" s="19">
        <f>IFERROR(__xludf.DUMMYFUNCTION("""COMPUTED_VALUE"""),0.1545)</f>
        <v>0.1545</v>
      </c>
      <c r="K3577" s="19">
        <f>IFERROR(__xludf.DUMMYFUNCTION("""COMPUTED_VALUE"""),0.1931)</f>
        <v>0.1931</v>
      </c>
      <c r="L3577" s="19">
        <f>IFERROR(__xludf.DUMMYFUNCTION("""COMPUTED_VALUE"""),0.2318)</f>
        <v>0.2318</v>
      </c>
      <c r="M3577" s="18">
        <f>IFERROR(__xludf.DUMMYFUNCTION("""COMPUTED_VALUE"""),2.88)</f>
        <v>2.88</v>
      </c>
    </row>
    <row r="3578">
      <c r="A3578" s="13" t="str">
        <f>IFERROR(__xludf.DUMMYFUNCTION("""COMPUTED_VALUE"""),"товари")</f>
        <v>товари</v>
      </c>
      <c r="B3578" s="16" t="str">
        <f>IFERROR(__xludf.DUMMYFUNCTION("""COMPUTED_VALUE"""),"спорт і відпочинок")</f>
        <v>спорт і відпочинок</v>
      </c>
      <c r="C3578" s="16" t="str">
        <f>IFERROR(__xludf.DUMMYFUNCTION("""COMPUTED_VALUE"""),"спортивні товари")</f>
        <v>спортивні товари</v>
      </c>
      <c r="D3578" s="16" t="str">
        <f>IFERROR(__xludf.DUMMYFUNCTION("""COMPUTED_VALUE"""),"легка атлетика")</f>
        <v>легка атлетика</v>
      </c>
      <c r="E3578" s="16" t="str">
        <f>IFERROR(__xludf.DUMMYFUNCTION("""COMPUTED_VALUE"""),"легка атлетика, загальне")</f>
        <v>легка атлетика, загальне</v>
      </c>
      <c r="F3578" s="17">
        <f>IFERROR(__xludf.DUMMYFUNCTION("""COMPUTED_VALUE"""),4.0)</f>
        <v>4</v>
      </c>
      <c r="G3578" s="17" t="str">
        <f>IFERROR(__xludf.DUMMYFUNCTION("""COMPUTED_VALUE"""),"204601")</f>
        <v>204601</v>
      </c>
      <c r="H3578" s="17" t="str">
        <f>IFERROR(__xludf.DUMMYFUNCTION("""COMPUTED_VALUE"""),"легка атлетика, загальне")</f>
        <v>легка атлетика, загальне</v>
      </c>
      <c r="I3578" s="19">
        <f>IFERROR(__xludf.DUMMYFUNCTION("""COMPUTED_VALUE"""),0.125)</f>
        <v>0.125</v>
      </c>
      <c r="J3578" s="19">
        <f>IFERROR(__xludf.DUMMYFUNCTION("""COMPUTED_VALUE"""),0.25)</f>
        <v>0.25</v>
      </c>
      <c r="K3578" s="19">
        <f>IFERROR(__xludf.DUMMYFUNCTION("""COMPUTED_VALUE"""),0.3125)</f>
        <v>0.3125</v>
      </c>
      <c r="L3578" s="19">
        <f>IFERROR(__xludf.DUMMYFUNCTION("""COMPUTED_VALUE"""),0.375)</f>
        <v>0.375</v>
      </c>
      <c r="M3578" s="18">
        <f>IFERROR(__xludf.DUMMYFUNCTION("""COMPUTED_VALUE"""),4.33)</f>
        <v>4.33</v>
      </c>
    </row>
    <row r="3579">
      <c r="A3579" s="13" t="str">
        <f>IFERROR(__xludf.DUMMYFUNCTION("""COMPUTED_VALUE"""),"товари")</f>
        <v>товари</v>
      </c>
      <c r="B3579" s="16" t="str">
        <f>IFERROR(__xludf.DUMMYFUNCTION("""COMPUTED_VALUE"""),"спорт і відпочинок")</f>
        <v>спорт і відпочинок</v>
      </c>
      <c r="C3579" s="16" t="str">
        <f>IFERROR(__xludf.DUMMYFUNCTION("""COMPUTED_VALUE"""),"зимові види спорту")</f>
        <v>зимові види спорту</v>
      </c>
      <c r="D3579" s="16" t="str">
        <f>IFERROR(__xludf.DUMMYFUNCTION("""COMPUTED_VALUE"""),"лижний спорт та сноубординг")</f>
        <v>лижний спорт та сноубординг</v>
      </c>
      <c r="E3579" s="16" t="str">
        <f>IFERROR(__xludf.DUMMYFUNCTION("""COMPUTED_VALUE"""),"лижі")</f>
        <v>лижі</v>
      </c>
      <c r="F3579" s="17">
        <f>IFERROR(__xludf.DUMMYFUNCTION("""COMPUTED_VALUE"""),4.0)</f>
        <v>4</v>
      </c>
      <c r="G3579" s="17" t="str">
        <f>IFERROR(__xludf.DUMMYFUNCTION("""COMPUTED_VALUE"""),"202401")</f>
        <v>202401</v>
      </c>
      <c r="H3579" s="17" t="str">
        <f>IFERROR(__xludf.DUMMYFUNCTION("""COMPUTED_VALUE"""),"лижі")</f>
        <v>лижі</v>
      </c>
      <c r="I3579" s="19">
        <f>IFERROR(__xludf.DUMMYFUNCTION("""COMPUTED_VALUE"""),0.0728)</f>
        <v>0.0728</v>
      </c>
      <c r="J3579" s="19">
        <f>IFERROR(__xludf.DUMMYFUNCTION("""COMPUTED_VALUE"""),0.1456)</f>
        <v>0.1456</v>
      </c>
      <c r="K3579" s="19">
        <f>IFERROR(__xludf.DUMMYFUNCTION("""COMPUTED_VALUE"""),0.182)</f>
        <v>0.182</v>
      </c>
      <c r="L3579" s="19">
        <f>IFERROR(__xludf.DUMMYFUNCTION("""COMPUTED_VALUE"""),0.2184)</f>
        <v>0.2184</v>
      </c>
      <c r="M3579" s="18">
        <f>IFERROR(__xludf.DUMMYFUNCTION("""COMPUTED_VALUE"""),1.63)</f>
        <v>1.63</v>
      </c>
    </row>
    <row r="3580">
      <c r="A3580" s="13" t="str">
        <f>IFERROR(__xludf.DUMMYFUNCTION("""COMPUTED_VALUE"""),"товари")</f>
        <v>товари</v>
      </c>
      <c r="B3580" s="16" t="str">
        <f>IFERROR(__xludf.DUMMYFUNCTION("""COMPUTED_VALUE"""),"спорт і відпочинок")</f>
        <v>спорт і відпочинок</v>
      </c>
      <c r="C3580" s="16" t="str">
        <f>IFERROR(__xludf.DUMMYFUNCTION("""COMPUTED_VALUE"""),"зимові види спорту")</f>
        <v>зимові види спорту</v>
      </c>
      <c r="D3580" s="16" t="str">
        <f>IFERROR(__xludf.DUMMYFUNCTION("""COMPUTED_VALUE"""),"лижний спорт та сноубординг")</f>
        <v>лижний спорт та сноубординг</v>
      </c>
      <c r="E3580" s="16" t="str">
        <f>IFERROR(__xludf.DUMMYFUNCTION("""COMPUTED_VALUE"""),"лижний спорт та сноубординг, загальне")</f>
        <v>лижний спорт та сноубординг, загальне</v>
      </c>
      <c r="F3580" s="17">
        <f>IFERROR(__xludf.DUMMYFUNCTION("""COMPUTED_VALUE"""),4.0)</f>
        <v>4</v>
      </c>
      <c r="G3580" s="17" t="str">
        <f>IFERROR(__xludf.DUMMYFUNCTION("""COMPUTED_VALUE"""),"202420")</f>
        <v>202420</v>
      </c>
      <c r="H3580" s="17" t="str">
        <f>IFERROR(__xludf.DUMMYFUNCTION("""COMPUTED_VALUE"""),"лижний спорт та сноубординг, загальне")</f>
        <v>лижний спорт та сноубординг, загальне</v>
      </c>
      <c r="I3580" s="19">
        <f>IFERROR(__xludf.DUMMYFUNCTION("""COMPUTED_VALUE"""),0.125)</f>
        <v>0.125</v>
      </c>
      <c r="J3580" s="19">
        <f>IFERROR(__xludf.DUMMYFUNCTION("""COMPUTED_VALUE"""),0.25)</f>
        <v>0.25</v>
      </c>
      <c r="K3580" s="19">
        <f>IFERROR(__xludf.DUMMYFUNCTION("""COMPUTED_VALUE"""),0.3125)</f>
        <v>0.3125</v>
      </c>
      <c r="L3580" s="19">
        <f>IFERROR(__xludf.DUMMYFUNCTION("""COMPUTED_VALUE"""),0.375)</f>
        <v>0.375</v>
      </c>
      <c r="M3580" s="18">
        <f>IFERROR(__xludf.DUMMYFUNCTION("""COMPUTED_VALUE"""),4.33)</f>
        <v>4.33</v>
      </c>
    </row>
    <row r="3581">
      <c r="A3581" s="13" t="str">
        <f>IFERROR(__xludf.DUMMYFUNCTION("""COMPUTED_VALUE"""),"товари")</f>
        <v>товари</v>
      </c>
      <c r="B3581" s="16" t="str">
        <f>IFERROR(__xludf.DUMMYFUNCTION("""COMPUTED_VALUE"""),"спорт і відпочинок")</f>
        <v>спорт і відпочинок</v>
      </c>
      <c r="C3581" s="16" t="str">
        <f>IFERROR(__xludf.DUMMYFUNCTION("""COMPUTED_VALUE"""),"зимові види спорту")</f>
        <v>зимові види спорту</v>
      </c>
      <c r="D3581" s="16" t="str">
        <f>IFERROR(__xludf.DUMMYFUNCTION("""COMPUTED_VALUE"""),"лижний спорт та сноубординг")</f>
        <v>лижний спорт та сноубординг</v>
      </c>
      <c r="E3581" s="16" t="str">
        <f>IFERROR(__xludf.DUMMYFUNCTION("""COMPUTED_VALUE"""),"лижний та сноубордичний захист")</f>
        <v>лижний та сноубордичний захист</v>
      </c>
      <c r="F3581" s="17">
        <f>IFERROR(__xludf.DUMMYFUNCTION("""COMPUTED_VALUE"""),4.0)</f>
        <v>4</v>
      </c>
      <c r="G3581" s="17" t="str">
        <f>IFERROR(__xludf.DUMMYFUNCTION("""COMPUTED_VALUE"""),"202413")</f>
        <v>202413</v>
      </c>
      <c r="H3581" s="17" t="str">
        <f>IFERROR(__xludf.DUMMYFUNCTION("""COMPUTED_VALUE"""),"лижний та сноубордичний захист")</f>
        <v>лижний та сноубордичний захист</v>
      </c>
      <c r="I3581" s="19">
        <f>IFERROR(__xludf.DUMMYFUNCTION("""COMPUTED_VALUE"""),0.0735)</f>
        <v>0.0735</v>
      </c>
      <c r="J3581" s="19">
        <f>IFERROR(__xludf.DUMMYFUNCTION("""COMPUTED_VALUE"""),0.1469)</f>
        <v>0.1469</v>
      </c>
      <c r="K3581" s="19">
        <f>IFERROR(__xludf.DUMMYFUNCTION("""COMPUTED_VALUE"""),0.1836)</f>
        <v>0.1836</v>
      </c>
      <c r="L3581" s="19">
        <f>IFERROR(__xludf.DUMMYFUNCTION("""COMPUTED_VALUE"""),0.2204)</f>
        <v>0.2204</v>
      </c>
      <c r="M3581" s="18">
        <f>IFERROR(__xludf.DUMMYFUNCTION("""COMPUTED_VALUE"""),1.63)</f>
        <v>1.63</v>
      </c>
    </row>
    <row r="3582">
      <c r="A3582" s="13" t="str">
        <f>IFERROR(__xludf.DUMMYFUNCTION("""COMPUTED_VALUE"""),"товари")</f>
        <v>товари</v>
      </c>
      <c r="B3582" s="16" t="str">
        <f>IFERROR(__xludf.DUMMYFUNCTION("""COMPUTED_VALUE"""),"спорт і відпочинок")</f>
        <v>спорт і відпочинок</v>
      </c>
      <c r="C3582" s="16" t="str">
        <f>IFERROR(__xludf.DUMMYFUNCTION("""COMPUTED_VALUE"""),"зимові види спорту")</f>
        <v>зимові види спорту</v>
      </c>
      <c r="D3582" s="16" t="str">
        <f>IFERROR(__xludf.DUMMYFUNCTION("""COMPUTED_VALUE"""),"лижний спорт та сноубординг")</f>
        <v>лижний спорт та сноубординг</v>
      </c>
      <c r="E3582" s="16" t="str">
        <f>IFERROR(__xludf.DUMMYFUNCTION("""COMPUTED_VALUE"""),"лижні палиці та аксесуари до них")</f>
        <v>лижні палиці та аксесуари до них</v>
      </c>
      <c r="F3582" s="17">
        <f>IFERROR(__xludf.DUMMYFUNCTION("""COMPUTED_VALUE"""),4.0)</f>
        <v>4</v>
      </c>
      <c r="G3582" s="17" t="str">
        <f>IFERROR(__xludf.DUMMYFUNCTION("""COMPUTED_VALUE"""),"202403")</f>
        <v>202403</v>
      </c>
      <c r="H3582" s="17" t="str">
        <f>IFERROR(__xludf.DUMMYFUNCTION("""COMPUTED_VALUE"""),"лижні палиці та аксесуари до них")</f>
        <v>лижні палиці та аксесуари до них</v>
      </c>
      <c r="I3582" s="19">
        <f>IFERROR(__xludf.DUMMYFUNCTION("""COMPUTED_VALUE"""),0.0754)</f>
        <v>0.0754</v>
      </c>
      <c r="J3582" s="19">
        <f>IFERROR(__xludf.DUMMYFUNCTION("""COMPUTED_VALUE"""),0.1508)</f>
        <v>0.1508</v>
      </c>
      <c r="K3582" s="19">
        <f>IFERROR(__xludf.DUMMYFUNCTION("""COMPUTED_VALUE"""),0.1885)</f>
        <v>0.1885</v>
      </c>
      <c r="L3582" s="19">
        <f>IFERROR(__xludf.DUMMYFUNCTION("""COMPUTED_VALUE"""),0.2262)</f>
        <v>0.2262</v>
      </c>
      <c r="M3582" s="18">
        <f>IFERROR(__xludf.DUMMYFUNCTION("""COMPUTED_VALUE"""),1.63)</f>
        <v>1.63</v>
      </c>
    </row>
    <row r="3583">
      <c r="A3583" s="13" t="str">
        <f>IFERROR(__xludf.DUMMYFUNCTION("""COMPUTED_VALUE"""),"товари")</f>
        <v>товари</v>
      </c>
      <c r="B3583" s="16" t="str">
        <f>IFERROR(__xludf.DUMMYFUNCTION("""COMPUTED_VALUE"""),"спорт і відпочинок")</f>
        <v>спорт і відпочинок</v>
      </c>
      <c r="C3583" s="16" t="str">
        <f>IFERROR(__xludf.DUMMYFUNCTION("""COMPUTED_VALUE"""),"зимові види спорту")</f>
        <v>зимові види спорту</v>
      </c>
      <c r="D3583" s="16" t="str">
        <f>IFERROR(__xludf.DUMMYFUNCTION("""COMPUTED_VALUE"""),"лижний спорт та сноубординг")</f>
        <v>лижний спорт та сноубординг</v>
      </c>
      <c r="E3583" s="16" t="str">
        <f>IFERROR(__xludf.DUMMYFUNCTION("""COMPUTED_VALUE"""),"лижні, сноубордичні маски")</f>
        <v>лижні, сноубордичні маски</v>
      </c>
      <c r="F3583" s="17">
        <f>IFERROR(__xludf.DUMMYFUNCTION("""COMPUTED_VALUE"""),4.0)</f>
        <v>4</v>
      </c>
      <c r="G3583" s="17" t="str">
        <f>IFERROR(__xludf.DUMMYFUNCTION("""COMPUTED_VALUE"""),"202405")</f>
        <v>202405</v>
      </c>
      <c r="H3583" s="17" t="str">
        <f>IFERROR(__xludf.DUMMYFUNCTION("""COMPUTED_VALUE"""),"лижні, сноубордичні маски")</f>
        <v>лижні, сноубордичні маски</v>
      </c>
      <c r="I3583" s="19">
        <f>IFERROR(__xludf.DUMMYFUNCTION("""COMPUTED_VALUE"""),0.0728)</f>
        <v>0.0728</v>
      </c>
      <c r="J3583" s="19">
        <f>IFERROR(__xludf.DUMMYFUNCTION("""COMPUTED_VALUE"""),0.1456)</f>
        <v>0.1456</v>
      </c>
      <c r="K3583" s="19">
        <f>IFERROR(__xludf.DUMMYFUNCTION("""COMPUTED_VALUE"""),0.182)</f>
        <v>0.182</v>
      </c>
      <c r="L3583" s="19">
        <f>IFERROR(__xludf.DUMMYFUNCTION("""COMPUTED_VALUE"""),0.2184)</f>
        <v>0.2184</v>
      </c>
      <c r="M3583" s="18">
        <f>IFERROR(__xludf.DUMMYFUNCTION("""COMPUTED_VALUE"""),1.63)</f>
        <v>1.63</v>
      </c>
    </row>
    <row r="3584">
      <c r="A3584" s="13" t="str">
        <f>IFERROR(__xludf.DUMMYFUNCTION("""COMPUTED_VALUE"""),"товари")</f>
        <v>товари</v>
      </c>
      <c r="B3584" s="16" t="str">
        <f>IFERROR(__xludf.DUMMYFUNCTION("""COMPUTED_VALUE"""),"спорт і відпочинок")</f>
        <v>спорт і відпочинок</v>
      </c>
      <c r="C3584" s="16" t="str">
        <f>IFERROR(__xludf.DUMMYFUNCTION("""COMPUTED_VALUE"""),"одяг та взуття для спортсменів")</f>
        <v>одяг та взуття для спортсменів</v>
      </c>
      <c r="D3584" s="16" t="str">
        <f>IFERROR(__xludf.DUMMYFUNCTION("""COMPUTED_VALUE"""),"лижні, сноубордичні рукавички")</f>
        <v>лижні, сноубордичні рукавички</v>
      </c>
      <c r="E3584" s="16" t="str">
        <f>IFERROR(__xludf.DUMMYFUNCTION("""COMPUTED_VALUE"""),"лижні, сноубордичні рукавички")</f>
        <v>лижні, сноубордичні рукавички</v>
      </c>
      <c r="F3584" s="17">
        <f>IFERROR(__xludf.DUMMYFUNCTION("""COMPUTED_VALUE"""),3.0)</f>
        <v>3</v>
      </c>
      <c r="G3584" s="17" t="str">
        <f>IFERROR(__xludf.DUMMYFUNCTION("""COMPUTED_VALUE"""),"203105")</f>
        <v>203105</v>
      </c>
      <c r="H3584" s="17" t="str">
        <f>IFERROR(__xludf.DUMMYFUNCTION("""COMPUTED_VALUE"""),"лижні, сноубордичні рукавички")</f>
        <v>лижні, сноубордичні рукавички</v>
      </c>
      <c r="I3584" s="19">
        <f>IFERROR(__xludf.DUMMYFUNCTION("""COMPUTED_VALUE"""),0.077)</f>
        <v>0.077</v>
      </c>
      <c r="J3584" s="19">
        <f>IFERROR(__xludf.DUMMYFUNCTION("""COMPUTED_VALUE"""),0.154)</f>
        <v>0.154</v>
      </c>
      <c r="K3584" s="19">
        <f>IFERROR(__xludf.DUMMYFUNCTION("""COMPUTED_VALUE"""),0.1925)</f>
        <v>0.1925</v>
      </c>
      <c r="L3584" s="19">
        <f>IFERROR(__xludf.DUMMYFUNCTION("""COMPUTED_VALUE"""),0.231)</f>
        <v>0.231</v>
      </c>
      <c r="M3584" s="18">
        <f>IFERROR(__xludf.DUMMYFUNCTION("""COMPUTED_VALUE"""),1.05)</f>
        <v>1.05</v>
      </c>
    </row>
    <row r="3585">
      <c r="A3585" s="13" t="str">
        <f>IFERROR(__xludf.DUMMYFUNCTION("""COMPUTED_VALUE"""),"товари")</f>
        <v>товари</v>
      </c>
      <c r="B3585" s="16" t="str">
        <f>IFERROR(__xludf.DUMMYFUNCTION("""COMPUTED_VALUE"""),"спорт і відпочинок")</f>
        <v>спорт і відпочинок</v>
      </c>
      <c r="C3585" s="16" t="str">
        <f>IFERROR(__xludf.DUMMYFUNCTION("""COMPUTED_VALUE"""),"зимові види спорту")</f>
        <v>зимові види спорту</v>
      </c>
      <c r="D3585" s="16" t="str">
        <f>IFERROR(__xludf.DUMMYFUNCTION("""COMPUTED_VALUE"""),"лижний спорт та сноубординг")</f>
        <v>лижний спорт та сноубординг</v>
      </c>
      <c r="E3585" s="16" t="str">
        <f>IFERROR(__xludf.DUMMYFUNCTION("""COMPUTED_VALUE"""),"лижні, сноубордичні черевики")</f>
        <v>лижні, сноубордичні черевики</v>
      </c>
      <c r="F3585" s="17">
        <f>IFERROR(__xludf.DUMMYFUNCTION("""COMPUTED_VALUE"""),4.0)</f>
        <v>4</v>
      </c>
      <c r="G3585" s="17" t="str">
        <f>IFERROR(__xludf.DUMMYFUNCTION("""COMPUTED_VALUE"""),"20060106")</f>
        <v>20060106</v>
      </c>
      <c r="H3585" s="17" t="str">
        <f>IFERROR(__xludf.DUMMYFUNCTION("""COMPUTED_VALUE"""),"лижні, сноубордичні черевики")</f>
        <v>лижні, сноубордичні черевики</v>
      </c>
      <c r="I3585" s="19">
        <f>IFERROR(__xludf.DUMMYFUNCTION("""COMPUTED_VALUE"""),0.0738)</f>
        <v>0.0738</v>
      </c>
      <c r="J3585" s="19">
        <f>IFERROR(__xludf.DUMMYFUNCTION("""COMPUTED_VALUE"""),0.1476)</f>
        <v>0.1476</v>
      </c>
      <c r="K3585" s="19">
        <f>IFERROR(__xludf.DUMMYFUNCTION("""COMPUTED_VALUE"""),0.1845)</f>
        <v>0.1845</v>
      </c>
      <c r="L3585" s="19">
        <f>IFERROR(__xludf.DUMMYFUNCTION("""COMPUTED_VALUE"""),0.2214)</f>
        <v>0.2214</v>
      </c>
      <c r="M3585" s="18">
        <f>IFERROR(__xludf.DUMMYFUNCTION("""COMPUTED_VALUE"""),1.63)</f>
        <v>1.63</v>
      </c>
    </row>
    <row r="3586">
      <c r="A3586" s="13" t="str">
        <f>IFERROR(__xludf.DUMMYFUNCTION("""COMPUTED_VALUE"""),"товари")</f>
        <v>товари</v>
      </c>
      <c r="B3586" s="16" t="str">
        <f>IFERROR(__xludf.DUMMYFUNCTION("""COMPUTED_VALUE"""),"спорт і відпочинок")</f>
        <v>спорт і відпочинок</v>
      </c>
      <c r="C3586" s="16" t="str">
        <f>IFERROR(__xludf.DUMMYFUNCTION("""COMPUTED_VALUE"""),"зимові види спорту")</f>
        <v>зимові види спорту</v>
      </c>
      <c r="D3586" s="16" t="str">
        <f>IFERROR(__xludf.DUMMYFUNCTION("""COMPUTED_VALUE"""),"лижний спорт та сноубординг")</f>
        <v>лижний спорт та сноубординг</v>
      </c>
      <c r="E3586" s="16" t="str">
        <f>IFERROR(__xludf.DUMMYFUNCTION("""COMPUTED_VALUE"""),"лижні, сноубордичні шоломи")</f>
        <v>лижні, сноубордичні шоломи</v>
      </c>
      <c r="F3586" s="17">
        <f>IFERROR(__xludf.DUMMYFUNCTION("""COMPUTED_VALUE"""),4.0)</f>
        <v>4</v>
      </c>
      <c r="G3586" s="17" t="str">
        <f>IFERROR(__xludf.DUMMYFUNCTION("""COMPUTED_VALUE"""),"202404")</f>
        <v>202404</v>
      </c>
      <c r="H3586" s="17" t="str">
        <f>IFERROR(__xludf.DUMMYFUNCTION("""COMPUTED_VALUE"""),"лижні, сноубордичні шоломи")</f>
        <v>лижні, сноубордичні шоломи</v>
      </c>
      <c r="I3586" s="19">
        <f>IFERROR(__xludf.DUMMYFUNCTION("""COMPUTED_VALUE"""),0.0725)</f>
        <v>0.0725</v>
      </c>
      <c r="J3586" s="19">
        <f>IFERROR(__xludf.DUMMYFUNCTION("""COMPUTED_VALUE"""),0.145)</f>
        <v>0.145</v>
      </c>
      <c r="K3586" s="19">
        <f>IFERROR(__xludf.DUMMYFUNCTION("""COMPUTED_VALUE"""),0.1813)</f>
        <v>0.1813</v>
      </c>
      <c r="L3586" s="19">
        <f>IFERROR(__xludf.DUMMYFUNCTION("""COMPUTED_VALUE"""),0.2175)</f>
        <v>0.2175</v>
      </c>
      <c r="M3586" s="18">
        <f>IFERROR(__xludf.DUMMYFUNCTION("""COMPUTED_VALUE"""),1.63)</f>
        <v>1.63</v>
      </c>
    </row>
    <row r="3587">
      <c r="A3587" s="13" t="str">
        <f>IFERROR(__xludf.DUMMYFUNCTION("""COMPUTED_VALUE"""),"товари")</f>
        <v>товари</v>
      </c>
      <c r="B3587" s="16" t="str">
        <f>IFERROR(__xludf.DUMMYFUNCTION("""COMPUTED_VALUE"""),"спорт і відпочинок")</f>
        <v>спорт і відпочинок</v>
      </c>
      <c r="C3587" s="16" t="str">
        <f>IFERROR(__xludf.DUMMYFUNCTION("""COMPUTED_VALUE"""),"товари для риболовлі")</f>
        <v>товари для риболовлі</v>
      </c>
      <c r="D3587" s="16" t="str">
        <f>IFERROR(__xludf.DUMMYFUNCTION("""COMPUTED_VALUE"""),"рибальські снасті")</f>
        <v>рибальські снасті</v>
      </c>
      <c r="E3587" s="16" t="str">
        <f>IFERROR(__xludf.DUMMYFUNCTION("""COMPUTED_VALUE"""),"ліски та повідки")</f>
        <v>ліски та повідки</v>
      </c>
      <c r="F3587" s="17">
        <f>IFERROR(__xludf.DUMMYFUNCTION("""COMPUTED_VALUE"""),4.0)</f>
        <v>4</v>
      </c>
      <c r="G3587" s="17" t="str">
        <f>IFERROR(__xludf.DUMMYFUNCTION("""COMPUTED_VALUE"""),"181002")</f>
        <v>181002</v>
      </c>
      <c r="H3587" s="17" t="str">
        <f>IFERROR(__xludf.DUMMYFUNCTION("""COMPUTED_VALUE"""),"ліски та повідки")</f>
        <v>ліски та повідки</v>
      </c>
      <c r="I3587" s="19">
        <f>IFERROR(__xludf.DUMMYFUNCTION("""COMPUTED_VALUE"""),0.077)</f>
        <v>0.077</v>
      </c>
      <c r="J3587" s="19">
        <f>IFERROR(__xludf.DUMMYFUNCTION("""COMPUTED_VALUE"""),0.1539)</f>
        <v>0.1539</v>
      </c>
      <c r="K3587" s="19">
        <f>IFERROR(__xludf.DUMMYFUNCTION("""COMPUTED_VALUE"""),0.1924)</f>
        <v>0.1924</v>
      </c>
      <c r="L3587" s="19">
        <f>IFERROR(__xludf.DUMMYFUNCTION("""COMPUTED_VALUE"""),0.2309)</f>
        <v>0.2309</v>
      </c>
      <c r="M3587" s="18">
        <f>IFERROR(__xludf.DUMMYFUNCTION("""COMPUTED_VALUE"""),1.05)</f>
        <v>1.05</v>
      </c>
    </row>
    <row r="3588">
      <c r="A3588" s="13" t="str">
        <f>IFERROR(__xludf.DUMMYFUNCTION("""COMPUTED_VALUE"""),"товари")</f>
        <v>товари</v>
      </c>
      <c r="B3588" s="16" t="str">
        <f>IFERROR(__xludf.DUMMYFUNCTION("""COMPUTED_VALUE"""),"спорт і відпочинок")</f>
        <v>спорт і відпочинок</v>
      </c>
      <c r="C3588" s="16" t="str">
        <f>IFERROR(__xludf.DUMMYFUNCTION("""COMPUTED_VALUE"""),"водні види спорту")</f>
        <v>водні види спорту</v>
      </c>
      <c r="D3588" s="16" t="str">
        <f>IFERROR(__xludf.DUMMYFUNCTION("""COMPUTED_VALUE"""),"плавання")</f>
        <v>плавання</v>
      </c>
      <c r="E3588" s="16" t="str">
        <f>IFERROR(__xludf.DUMMYFUNCTION("""COMPUTED_VALUE"""),"лопатки для плавання")</f>
        <v>лопатки для плавання</v>
      </c>
      <c r="F3588" s="17">
        <f>IFERROR(__xludf.DUMMYFUNCTION("""COMPUTED_VALUE"""),4.0)</f>
        <v>4</v>
      </c>
      <c r="G3588" s="17" t="str">
        <f>IFERROR(__xludf.DUMMYFUNCTION("""COMPUTED_VALUE"""),"200320")</f>
        <v>200320</v>
      </c>
      <c r="H3588" s="17" t="str">
        <f>IFERROR(__xludf.DUMMYFUNCTION("""COMPUTED_VALUE"""),"лопатки для плавання")</f>
        <v>лопатки для плавання</v>
      </c>
      <c r="I3588" s="19">
        <f>IFERROR(__xludf.DUMMYFUNCTION("""COMPUTED_VALUE"""),0.0782)</f>
        <v>0.0782</v>
      </c>
      <c r="J3588" s="19">
        <f>IFERROR(__xludf.DUMMYFUNCTION("""COMPUTED_VALUE"""),0.1563)</f>
        <v>0.1563</v>
      </c>
      <c r="K3588" s="19">
        <f>IFERROR(__xludf.DUMMYFUNCTION("""COMPUTED_VALUE"""),0.1954)</f>
        <v>0.1954</v>
      </c>
      <c r="L3588" s="19">
        <f>IFERROR(__xludf.DUMMYFUNCTION("""COMPUTED_VALUE"""),0.2345)</f>
        <v>0.2345</v>
      </c>
      <c r="M3588" s="18">
        <f>IFERROR(__xludf.DUMMYFUNCTION("""COMPUTED_VALUE"""),1.26)</f>
        <v>1.26</v>
      </c>
    </row>
    <row r="3589">
      <c r="A3589" s="13" t="str">
        <f>IFERROR(__xludf.DUMMYFUNCTION("""COMPUTED_VALUE"""),"товари")</f>
        <v>товари</v>
      </c>
      <c r="B3589" s="16" t="str">
        <f>IFERROR(__xludf.DUMMYFUNCTION("""COMPUTED_VALUE"""),"спорт і відпочинок")</f>
        <v>спорт і відпочинок</v>
      </c>
      <c r="C3589" s="16" t="str">
        <f>IFERROR(__xludf.DUMMYFUNCTION("""COMPUTED_VALUE"""),"товари для риболовлі")</f>
        <v>товари для риболовлі</v>
      </c>
      <c r="D3589" s="16" t="str">
        <f>IFERROR(__xludf.DUMMYFUNCTION("""COMPUTED_VALUE"""),"льодобури")</f>
        <v>льодобури</v>
      </c>
      <c r="E3589" s="16" t="str">
        <f>IFERROR(__xludf.DUMMYFUNCTION("""COMPUTED_VALUE"""),"льодобури")</f>
        <v>льодобури</v>
      </c>
      <c r="F3589" s="17">
        <f>IFERROR(__xludf.DUMMYFUNCTION("""COMPUTED_VALUE"""),3.0)</f>
        <v>3</v>
      </c>
      <c r="G3589" s="17" t="str">
        <f>IFERROR(__xludf.DUMMYFUNCTION("""COMPUTED_VALUE"""),"181020")</f>
        <v>181020</v>
      </c>
      <c r="H3589" s="17" t="str">
        <f>IFERROR(__xludf.DUMMYFUNCTION("""COMPUTED_VALUE"""),"льодобури")</f>
        <v>льодобури</v>
      </c>
      <c r="I3589" s="19">
        <f>IFERROR(__xludf.DUMMYFUNCTION("""COMPUTED_VALUE"""),0.0722)</f>
        <v>0.0722</v>
      </c>
      <c r="J3589" s="19">
        <f>IFERROR(__xludf.DUMMYFUNCTION("""COMPUTED_VALUE"""),0.1443)</f>
        <v>0.1443</v>
      </c>
      <c r="K3589" s="19">
        <f>IFERROR(__xludf.DUMMYFUNCTION("""COMPUTED_VALUE"""),0.1804)</f>
        <v>0.1804</v>
      </c>
      <c r="L3589" s="19">
        <f>IFERROR(__xludf.DUMMYFUNCTION("""COMPUTED_VALUE"""),0.2165)</f>
        <v>0.2165</v>
      </c>
      <c r="M3589" s="18">
        <f>IFERROR(__xludf.DUMMYFUNCTION("""COMPUTED_VALUE"""),1.05)</f>
        <v>1.05</v>
      </c>
    </row>
    <row r="3590">
      <c r="A3590" s="13" t="str">
        <f>IFERROR(__xludf.DUMMYFUNCTION("""COMPUTED_VALUE"""),"товари")</f>
        <v>товари</v>
      </c>
      <c r="B3590" s="16" t="str">
        <f>IFERROR(__xludf.DUMMYFUNCTION("""COMPUTED_VALUE"""),"спорт і відпочинок")</f>
        <v>спорт і відпочинок</v>
      </c>
      <c r="C3590" s="16" t="str">
        <f>IFERROR(__xludf.DUMMYFUNCTION("""COMPUTED_VALUE"""),"екстремальні види спорту")</f>
        <v>екстремальні види спорту</v>
      </c>
      <c r="D3590" s="16" t="str">
        <f>IFERROR(__xludf.DUMMYFUNCTION("""COMPUTED_VALUE"""),"альпінізм")</f>
        <v>альпінізм</v>
      </c>
      <c r="E3590" s="16" t="str">
        <f>IFERROR(__xludf.DUMMYFUNCTION("""COMPUTED_VALUE"""),"льодоруби")</f>
        <v>льодоруби</v>
      </c>
      <c r="F3590" s="17">
        <f>IFERROR(__xludf.DUMMYFUNCTION("""COMPUTED_VALUE"""),4.0)</f>
        <v>4</v>
      </c>
      <c r="G3590" s="17" t="str">
        <f>IFERROR(__xludf.DUMMYFUNCTION("""COMPUTED_VALUE"""),"203531")</f>
        <v>203531</v>
      </c>
      <c r="H3590" s="17" t="str">
        <f>IFERROR(__xludf.DUMMYFUNCTION("""COMPUTED_VALUE"""),"льодоруби")</f>
        <v>льодоруби</v>
      </c>
      <c r="I3590" s="19">
        <f>IFERROR(__xludf.DUMMYFUNCTION("""COMPUTED_VALUE"""),0.0786)</f>
        <v>0.0786</v>
      </c>
      <c r="J3590" s="19">
        <f>IFERROR(__xludf.DUMMYFUNCTION("""COMPUTED_VALUE"""),0.1571)</f>
        <v>0.1571</v>
      </c>
      <c r="K3590" s="19">
        <f>IFERROR(__xludf.DUMMYFUNCTION("""COMPUTED_VALUE"""),0.1964)</f>
        <v>0.1964</v>
      </c>
      <c r="L3590" s="19">
        <f>IFERROR(__xludf.DUMMYFUNCTION("""COMPUTED_VALUE"""),0.2357)</f>
        <v>0.2357</v>
      </c>
      <c r="M3590" s="18">
        <f>IFERROR(__xludf.DUMMYFUNCTION("""COMPUTED_VALUE"""),1.8)</f>
        <v>1.8</v>
      </c>
    </row>
    <row r="3591">
      <c r="A3591" s="13" t="str">
        <f>IFERROR(__xludf.DUMMYFUNCTION("""COMPUTED_VALUE"""),"товари")</f>
        <v>товари</v>
      </c>
      <c r="B3591" s="16" t="str">
        <f>IFERROR(__xludf.DUMMYFUNCTION("""COMPUTED_VALUE"""),"спорт і відпочинок")</f>
        <v>спорт і відпочинок</v>
      </c>
      <c r="C3591" s="16" t="str">
        <f>IFERROR(__xludf.DUMMYFUNCTION("""COMPUTED_VALUE"""),"товари для туризму та подорожей")</f>
        <v>товари для туризму та подорожей</v>
      </c>
      <c r="D3591" s="16" t="str">
        <f>IFERROR(__xludf.DUMMYFUNCTION("""COMPUTED_VALUE"""),"льодоходи та льодоступи")</f>
        <v>льодоходи та льодоступи</v>
      </c>
      <c r="E3591" s="16" t="str">
        <f>IFERROR(__xludf.DUMMYFUNCTION("""COMPUTED_VALUE"""),"льодоходи та льодоступи")</f>
        <v>льодоходи та льодоступи</v>
      </c>
      <c r="F3591" s="17">
        <f>IFERROR(__xludf.DUMMYFUNCTION("""COMPUTED_VALUE"""),3.0)</f>
        <v>3</v>
      </c>
      <c r="G3591" s="17" t="str">
        <f>IFERROR(__xludf.DUMMYFUNCTION("""COMPUTED_VALUE"""),"240452")</f>
        <v>240452</v>
      </c>
      <c r="H3591" s="17" t="str">
        <f>IFERROR(__xludf.DUMMYFUNCTION("""COMPUTED_VALUE"""),"льодоходи та льодоступи")</f>
        <v>льодоходи та льодоступи</v>
      </c>
      <c r="I3591" s="19">
        <f>IFERROR(__xludf.DUMMYFUNCTION("""COMPUTED_VALUE"""),0.0749)</f>
        <v>0.0749</v>
      </c>
      <c r="J3591" s="19">
        <f>IFERROR(__xludf.DUMMYFUNCTION("""COMPUTED_VALUE"""),0.1497)</f>
        <v>0.1497</v>
      </c>
      <c r="K3591" s="19">
        <f>IFERROR(__xludf.DUMMYFUNCTION("""COMPUTED_VALUE"""),0.1871)</f>
        <v>0.1871</v>
      </c>
      <c r="L3591" s="19">
        <f>IFERROR(__xludf.DUMMYFUNCTION("""COMPUTED_VALUE"""),0.2246)</f>
        <v>0.2246</v>
      </c>
      <c r="M3591" s="18">
        <f>IFERROR(__xludf.DUMMYFUNCTION("""COMPUTED_VALUE"""),1.53)</f>
        <v>1.53</v>
      </c>
    </row>
    <row r="3592">
      <c r="A3592" s="13" t="str">
        <f>IFERROR(__xludf.DUMMYFUNCTION("""COMPUTED_VALUE"""),"товари")</f>
        <v>товари</v>
      </c>
      <c r="B3592" s="16" t="str">
        <f>IFERROR(__xludf.DUMMYFUNCTION("""COMPUTED_VALUE"""),"спорт і відпочинок")</f>
        <v>спорт і відпочинок</v>
      </c>
      <c r="C3592" s="16" t="str">
        <f>IFERROR(__xludf.DUMMYFUNCTION("""COMPUTED_VALUE"""),"ігри з ракетками")</f>
        <v>ігри з ракетками</v>
      </c>
      <c r="D3592" s="16" t="str">
        <f>IFERROR(__xludf.DUMMYFUNCTION("""COMPUTED_VALUE"""),"теніс")</f>
        <v>теніс</v>
      </c>
      <c r="E3592" s="16" t="str">
        <f>IFERROR(__xludf.DUMMYFUNCTION("""COMPUTED_VALUE"""),"м'ячі для ігор з ракетками")</f>
        <v>м'ячі для ігор з ракетками</v>
      </c>
      <c r="F3592" s="17">
        <f>IFERROR(__xludf.DUMMYFUNCTION("""COMPUTED_VALUE"""),4.0)</f>
        <v>4</v>
      </c>
      <c r="G3592" s="17" t="str">
        <f>IFERROR(__xludf.DUMMYFUNCTION("""COMPUTED_VALUE"""),"182413")</f>
        <v>182413</v>
      </c>
      <c r="H3592" s="17" t="str">
        <f>IFERROR(__xludf.DUMMYFUNCTION("""COMPUTED_VALUE"""),"м'ячі для ігор з ракетками")</f>
        <v>м'ячі для ігор з ракетками</v>
      </c>
      <c r="I3592" s="19">
        <f>IFERROR(__xludf.DUMMYFUNCTION("""COMPUTED_VALUE"""),0.0783)</f>
        <v>0.0783</v>
      </c>
      <c r="J3592" s="19">
        <f>IFERROR(__xludf.DUMMYFUNCTION("""COMPUTED_VALUE"""),0.1566)</f>
        <v>0.1566</v>
      </c>
      <c r="K3592" s="19">
        <f>IFERROR(__xludf.DUMMYFUNCTION("""COMPUTED_VALUE"""),0.1958)</f>
        <v>0.1958</v>
      </c>
      <c r="L3592" s="19">
        <f>IFERROR(__xludf.DUMMYFUNCTION("""COMPUTED_VALUE"""),0.2349)</f>
        <v>0.2349</v>
      </c>
      <c r="M3592" s="18">
        <f>IFERROR(__xludf.DUMMYFUNCTION("""COMPUTED_VALUE"""),1.05)</f>
        <v>1.05</v>
      </c>
    </row>
    <row r="3593">
      <c r="A3593" s="13" t="str">
        <f>IFERROR(__xludf.DUMMYFUNCTION("""COMPUTED_VALUE"""),"товари")</f>
        <v>товари</v>
      </c>
      <c r="B3593" s="16" t="str">
        <f>IFERROR(__xludf.DUMMYFUNCTION("""COMPUTED_VALUE"""),"спорт і відпочинок")</f>
        <v>спорт і відпочинок</v>
      </c>
      <c r="C3593" s="16" t="str">
        <f>IFERROR(__xludf.DUMMYFUNCTION("""COMPUTED_VALUE"""),"товари для полювання")</f>
        <v>товари для полювання</v>
      </c>
      <c r="D3593" s="16" t="str">
        <f>IFERROR(__xludf.DUMMYFUNCTION("""COMPUTED_VALUE"""),"приманки для полювання")</f>
        <v>приманки для полювання</v>
      </c>
      <c r="E3593" s="16" t="str">
        <f>IFERROR(__xludf.DUMMYFUNCTION("""COMPUTED_VALUE"""),"манки для полювання")</f>
        <v>манки для полювання</v>
      </c>
      <c r="F3593" s="17">
        <f>IFERROR(__xludf.DUMMYFUNCTION("""COMPUTED_VALUE"""),4.0)</f>
        <v>4</v>
      </c>
      <c r="G3593" s="17" t="str">
        <f>IFERROR(__xludf.DUMMYFUNCTION("""COMPUTED_VALUE"""),"180304")</f>
        <v>180304</v>
      </c>
      <c r="H3593" s="17" t="str">
        <f>IFERROR(__xludf.DUMMYFUNCTION("""COMPUTED_VALUE"""),"манки для полювання")</f>
        <v>манки для полювання</v>
      </c>
      <c r="I3593" s="19">
        <f>IFERROR(__xludf.DUMMYFUNCTION("""COMPUTED_VALUE"""),0.0588)</f>
        <v>0.0588</v>
      </c>
      <c r="J3593" s="19">
        <f>IFERROR(__xludf.DUMMYFUNCTION("""COMPUTED_VALUE"""),0.1175)</f>
        <v>0.1175</v>
      </c>
      <c r="K3593" s="19">
        <f>IFERROR(__xludf.DUMMYFUNCTION("""COMPUTED_VALUE"""),0.1469)</f>
        <v>0.1469</v>
      </c>
      <c r="L3593" s="19">
        <f>IFERROR(__xludf.DUMMYFUNCTION("""COMPUTED_VALUE"""),0.1763)</f>
        <v>0.1763</v>
      </c>
      <c r="M3593" s="18">
        <f>IFERROR(__xludf.DUMMYFUNCTION("""COMPUTED_VALUE"""),1.44)</f>
        <v>1.44</v>
      </c>
    </row>
    <row r="3594">
      <c r="A3594" s="13" t="str">
        <f>IFERROR(__xludf.DUMMYFUNCTION("""COMPUTED_VALUE"""),"товари")</f>
        <v>товари</v>
      </c>
      <c r="B3594" s="16" t="str">
        <f>IFERROR(__xludf.DUMMYFUNCTION("""COMPUTED_VALUE"""),"спорт і відпочинок")</f>
        <v>спорт і відпочинок</v>
      </c>
      <c r="C3594" s="16" t="str">
        <f>IFERROR(__xludf.DUMMYFUNCTION("""COMPUTED_VALUE"""),"екстремальні види спорту")</f>
        <v>екстремальні види спорту</v>
      </c>
      <c r="D3594" s="16" t="str">
        <f>IFERROR(__xludf.DUMMYFUNCTION("""COMPUTED_VALUE"""),"дайвінг")</f>
        <v>дайвінг</v>
      </c>
      <c r="E3594" s="16" t="str">
        <f>IFERROR(__xludf.DUMMYFUNCTION("""COMPUTED_VALUE"""),"маски, окуляри для плавання")</f>
        <v>маски, окуляри для плавання</v>
      </c>
      <c r="F3594" s="17">
        <f>IFERROR(__xludf.DUMMYFUNCTION("""COMPUTED_VALUE"""),4.0)</f>
        <v>4</v>
      </c>
      <c r="G3594" s="17" t="str">
        <f>IFERROR(__xludf.DUMMYFUNCTION("""COMPUTED_VALUE"""),"200317")</f>
        <v>200317</v>
      </c>
      <c r="H3594" s="17" t="str">
        <f>IFERROR(__xludf.DUMMYFUNCTION("""COMPUTED_VALUE"""),"маски, окуляри для плавання")</f>
        <v>маски, окуляри для плавання</v>
      </c>
      <c r="I3594" s="19">
        <f>IFERROR(__xludf.DUMMYFUNCTION("""COMPUTED_VALUE"""),0.0662)</f>
        <v>0.0662</v>
      </c>
      <c r="J3594" s="19">
        <f>IFERROR(__xludf.DUMMYFUNCTION("""COMPUTED_VALUE"""),0.1324)</f>
        <v>0.1324</v>
      </c>
      <c r="K3594" s="19">
        <f>IFERROR(__xludf.DUMMYFUNCTION("""COMPUTED_VALUE"""),0.1655)</f>
        <v>0.1655</v>
      </c>
      <c r="L3594" s="19">
        <f>IFERROR(__xludf.DUMMYFUNCTION("""COMPUTED_VALUE"""),0.1986)</f>
        <v>0.1986</v>
      </c>
      <c r="M3594" s="18">
        <f>IFERROR(__xludf.DUMMYFUNCTION("""COMPUTED_VALUE"""),2.88)</f>
        <v>2.88</v>
      </c>
    </row>
    <row r="3595">
      <c r="A3595" s="13" t="str">
        <f>IFERROR(__xludf.DUMMYFUNCTION("""COMPUTED_VALUE"""),"товари")</f>
        <v>товари</v>
      </c>
      <c r="B3595" s="16" t="str">
        <f>IFERROR(__xludf.DUMMYFUNCTION("""COMPUTED_VALUE"""),"спорт і відпочинок")</f>
        <v>спорт і відпочинок</v>
      </c>
      <c r="C3595" s="16" t="str">
        <f>IFERROR(__xludf.DUMMYFUNCTION("""COMPUTED_VALUE"""),"товари для риболовлі")</f>
        <v>товари для риболовлі</v>
      </c>
      <c r="D3595" s="16" t="str">
        <f>IFERROR(__xludf.DUMMYFUNCTION("""COMPUTED_VALUE"""),"рибальські снасті")</f>
        <v>рибальські снасті</v>
      </c>
      <c r="E3595" s="16" t="str">
        <f>IFERROR(__xludf.DUMMYFUNCTION("""COMPUTED_VALUE"""),"матеріали для нахлисту")</f>
        <v>матеріали для нахлисту</v>
      </c>
      <c r="F3595" s="17">
        <f>IFERROR(__xludf.DUMMYFUNCTION("""COMPUTED_VALUE"""),4.0)</f>
        <v>4</v>
      </c>
      <c r="G3595" s="17" t="str">
        <f>IFERROR(__xludf.DUMMYFUNCTION("""COMPUTED_VALUE"""),"181034")</f>
        <v>181034</v>
      </c>
      <c r="H3595" s="17" t="str">
        <f>IFERROR(__xludf.DUMMYFUNCTION("""COMPUTED_VALUE"""),"матеріали для нахлисту")</f>
        <v>матеріали для нахлисту</v>
      </c>
      <c r="I3595" s="19">
        <f>IFERROR(__xludf.DUMMYFUNCTION("""COMPUTED_VALUE"""),0.0783)</f>
        <v>0.0783</v>
      </c>
      <c r="J3595" s="19">
        <f>IFERROR(__xludf.DUMMYFUNCTION("""COMPUTED_VALUE"""),0.1565)</f>
        <v>0.1565</v>
      </c>
      <c r="K3595" s="19">
        <f>IFERROR(__xludf.DUMMYFUNCTION("""COMPUTED_VALUE"""),0.1956)</f>
        <v>0.1956</v>
      </c>
      <c r="L3595" s="19">
        <f>IFERROR(__xludf.DUMMYFUNCTION("""COMPUTED_VALUE"""),0.2348)</f>
        <v>0.2348</v>
      </c>
      <c r="M3595" s="18">
        <f>IFERROR(__xludf.DUMMYFUNCTION("""COMPUTED_VALUE"""),1.05)</f>
        <v>1.05</v>
      </c>
    </row>
    <row r="3596">
      <c r="A3596" s="13" t="str">
        <f>IFERROR(__xludf.DUMMYFUNCTION("""COMPUTED_VALUE"""),"товари")</f>
        <v>товари</v>
      </c>
      <c r="B3596" s="16" t="str">
        <f>IFERROR(__xludf.DUMMYFUNCTION("""COMPUTED_VALUE"""),"спорт і відпочинок")</f>
        <v>спорт і відпочинок</v>
      </c>
      <c r="C3596" s="16" t="str">
        <f>IFERROR(__xludf.DUMMYFUNCTION("""COMPUTED_VALUE"""),"спортивні товари")</f>
        <v>спортивні товари</v>
      </c>
      <c r="D3596" s="16" t="str">
        <f>IFERROR(__xludf.DUMMYFUNCTION("""COMPUTED_VALUE"""),"фітнес")</f>
        <v>фітнес</v>
      </c>
      <c r="E3596" s="16" t="str">
        <f>IFERROR(__xludf.DUMMYFUNCTION("""COMPUTED_VALUE"""),"медболи")</f>
        <v>медболи</v>
      </c>
      <c r="F3596" s="17">
        <f>IFERROR(__xludf.DUMMYFUNCTION("""COMPUTED_VALUE"""),4.0)</f>
        <v>4</v>
      </c>
      <c r="G3596" s="17" t="str">
        <f>IFERROR(__xludf.DUMMYFUNCTION("""COMPUTED_VALUE"""),"200330")</f>
        <v>200330</v>
      </c>
      <c r="H3596" s="17" t="str">
        <f>IFERROR(__xludf.DUMMYFUNCTION("""COMPUTED_VALUE"""),"медболи")</f>
        <v>медболи</v>
      </c>
      <c r="I3596" s="19">
        <f>IFERROR(__xludf.DUMMYFUNCTION("""COMPUTED_VALUE"""),0.08)</f>
        <v>0.08</v>
      </c>
      <c r="J3596" s="19">
        <f>IFERROR(__xludf.DUMMYFUNCTION("""COMPUTED_VALUE"""),0.1599)</f>
        <v>0.1599</v>
      </c>
      <c r="K3596" s="19">
        <f>IFERROR(__xludf.DUMMYFUNCTION("""COMPUTED_VALUE"""),0.1999)</f>
        <v>0.1999</v>
      </c>
      <c r="L3596" s="19">
        <f>IFERROR(__xludf.DUMMYFUNCTION("""COMPUTED_VALUE"""),0.2399)</f>
        <v>0.2399</v>
      </c>
      <c r="M3596" s="18">
        <f>IFERROR(__xludf.DUMMYFUNCTION("""COMPUTED_VALUE"""),3.06)</f>
        <v>3.06</v>
      </c>
    </row>
    <row r="3597">
      <c r="A3597" s="13" t="str">
        <f>IFERROR(__xludf.DUMMYFUNCTION("""COMPUTED_VALUE"""),"товари")</f>
        <v>товари</v>
      </c>
      <c r="B3597" s="16" t="str">
        <f>IFERROR(__xludf.DUMMYFUNCTION("""COMPUTED_VALUE"""),"спорт і відпочинок")</f>
        <v>спорт і відпочинок</v>
      </c>
      <c r="C3597" s="16" t="str">
        <f>IFERROR(__xludf.DUMMYFUNCTION("""COMPUTED_VALUE"""),"спортивні товари")</f>
        <v>спортивні товари</v>
      </c>
      <c r="D3597" s="16" t="str">
        <f>IFERROR(__xludf.DUMMYFUNCTION("""COMPUTED_VALUE"""),"легка атлетика")</f>
        <v>легка атлетика</v>
      </c>
      <c r="E3597" s="16" t="str">
        <f>IFERROR(__xludf.DUMMYFUNCTION("""COMPUTED_VALUE"""),"метальний інвентар")</f>
        <v>метальний інвентар</v>
      </c>
      <c r="F3597" s="17">
        <f>IFERROR(__xludf.DUMMYFUNCTION("""COMPUTED_VALUE"""),4.0)</f>
        <v>4</v>
      </c>
      <c r="G3597" s="17" t="str">
        <f>IFERROR(__xludf.DUMMYFUNCTION("""COMPUTED_VALUE"""),"204603")</f>
        <v>204603</v>
      </c>
      <c r="H3597" s="17" t="str">
        <f>IFERROR(__xludf.DUMMYFUNCTION("""COMPUTED_VALUE"""),"метальний інвентар")</f>
        <v>метальний інвентар</v>
      </c>
      <c r="I3597" s="19">
        <f>IFERROR(__xludf.DUMMYFUNCTION("""COMPUTED_VALUE"""),0.077)</f>
        <v>0.077</v>
      </c>
      <c r="J3597" s="19">
        <f>IFERROR(__xludf.DUMMYFUNCTION("""COMPUTED_VALUE"""),0.154)</f>
        <v>0.154</v>
      </c>
      <c r="K3597" s="19">
        <f>IFERROR(__xludf.DUMMYFUNCTION("""COMPUTED_VALUE"""),0.1925)</f>
        <v>0.1925</v>
      </c>
      <c r="L3597" s="19">
        <f>IFERROR(__xludf.DUMMYFUNCTION("""COMPUTED_VALUE"""),0.231)</f>
        <v>0.231</v>
      </c>
      <c r="M3597" s="18">
        <f>IFERROR(__xludf.DUMMYFUNCTION("""COMPUTED_VALUE"""),1.26)</f>
        <v>1.26</v>
      </c>
    </row>
    <row r="3598">
      <c r="A3598" s="13" t="str">
        <f>IFERROR(__xludf.DUMMYFUNCTION("""COMPUTED_VALUE"""),"товари")</f>
        <v>товари</v>
      </c>
      <c r="B3598" s="16" t="str">
        <f>IFERROR(__xludf.DUMMYFUNCTION("""COMPUTED_VALUE"""),"спорт і відпочинок")</f>
        <v>спорт і відпочинок</v>
      </c>
      <c r="C3598" s="16" t="str">
        <f>IFERROR(__xludf.DUMMYFUNCTION("""COMPUTED_VALUE"""),"спортивні товари")</f>
        <v>спортивні товари</v>
      </c>
      <c r="D3598" s="16" t="str">
        <f>IFERROR(__xludf.DUMMYFUNCTION("""COMPUTED_VALUE"""),"спортивні сумки та рюкзаки")</f>
        <v>спортивні сумки та рюкзаки</v>
      </c>
      <c r="E3598" s="16" t="str">
        <f>IFERROR(__xludf.DUMMYFUNCTION("""COMPUTED_VALUE"""),"міські сумки")</f>
        <v>міські сумки</v>
      </c>
      <c r="F3598" s="17">
        <f>IFERROR(__xludf.DUMMYFUNCTION("""COMPUTED_VALUE"""),4.0)</f>
        <v>4</v>
      </c>
      <c r="G3598" s="17" t="str">
        <f>IFERROR(__xludf.DUMMYFUNCTION("""COMPUTED_VALUE"""),"380603")</f>
        <v>380603</v>
      </c>
      <c r="H3598" s="17" t="str">
        <f>IFERROR(__xludf.DUMMYFUNCTION("""COMPUTED_VALUE"""),"міські сумки")</f>
        <v>міські сумки</v>
      </c>
      <c r="I3598" s="19">
        <f>IFERROR(__xludf.DUMMYFUNCTION("""COMPUTED_VALUE"""),0.0957)</f>
        <v>0.0957</v>
      </c>
      <c r="J3598" s="19">
        <f>IFERROR(__xludf.DUMMYFUNCTION("""COMPUTED_VALUE"""),0.1913)</f>
        <v>0.1913</v>
      </c>
      <c r="K3598" s="19">
        <f>IFERROR(__xludf.DUMMYFUNCTION("""COMPUTED_VALUE"""),0.2391)</f>
        <v>0.2391</v>
      </c>
      <c r="L3598" s="19">
        <f>IFERROR(__xludf.DUMMYFUNCTION("""COMPUTED_VALUE"""),0.287)</f>
        <v>0.287</v>
      </c>
      <c r="M3598" s="18">
        <f>IFERROR(__xludf.DUMMYFUNCTION("""COMPUTED_VALUE"""),1.8)</f>
        <v>1.8</v>
      </c>
    </row>
    <row r="3599">
      <c r="A3599" s="13" t="str">
        <f>IFERROR(__xludf.DUMMYFUNCTION("""COMPUTED_VALUE"""),"товари")</f>
        <v>товари</v>
      </c>
      <c r="B3599" s="16" t="str">
        <f>IFERROR(__xludf.DUMMYFUNCTION("""COMPUTED_VALUE"""),"спорт і відпочинок")</f>
        <v>спорт і відпочинок</v>
      </c>
      <c r="C3599" s="16" t="str">
        <f>IFERROR(__xludf.DUMMYFUNCTION("""COMPUTED_VALUE"""),"спортивні товари")</f>
        <v>спортивні товари</v>
      </c>
      <c r="D3599" s="16" t="str">
        <f>IFERROR(__xludf.DUMMYFUNCTION("""COMPUTED_VALUE"""),"спортивні сумки та рюкзаки")</f>
        <v>спортивні сумки та рюкзаки</v>
      </c>
      <c r="E3599" s="16" t="str">
        <f>IFERROR(__xludf.DUMMYFUNCTION("""COMPUTED_VALUE"""),"міські та спортивні рюкзаки ")</f>
        <v>міські та спортивні рюкзаки </v>
      </c>
      <c r="F3599" s="17">
        <f>IFERROR(__xludf.DUMMYFUNCTION("""COMPUTED_VALUE"""),4.0)</f>
        <v>4</v>
      </c>
      <c r="G3599" s="17" t="str">
        <f>IFERROR(__xludf.DUMMYFUNCTION("""COMPUTED_VALUE"""),"380601")</f>
        <v>380601</v>
      </c>
      <c r="H3599" s="17" t="str">
        <f>IFERROR(__xludf.DUMMYFUNCTION("""COMPUTED_VALUE"""),"міські та спортивні рюкзаки ")</f>
        <v>міські та спортивні рюкзаки </v>
      </c>
      <c r="I3599" s="19">
        <f>IFERROR(__xludf.DUMMYFUNCTION("""COMPUTED_VALUE"""),0.0983)</f>
        <v>0.0983</v>
      </c>
      <c r="J3599" s="19">
        <f>IFERROR(__xludf.DUMMYFUNCTION("""COMPUTED_VALUE"""),0.1966)</f>
        <v>0.1966</v>
      </c>
      <c r="K3599" s="19">
        <f>IFERROR(__xludf.DUMMYFUNCTION("""COMPUTED_VALUE"""),0.2458)</f>
        <v>0.2458</v>
      </c>
      <c r="L3599" s="19">
        <f>IFERROR(__xludf.DUMMYFUNCTION("""COMPUTED_VALUE"""),0.2949)</f>
        <v>0.2949</v>
      </c>
      <c r="M3599" s="18">
        <f>IFERROR(__xludf.DUMMYFUNCTION("""COMPUTED_VALUE"""),1.8)</f>
        <v>1.8</v>
      </c>
    </row>
    <row r="3600">
      <c r="A3600" s="13" t="str">
        <f>IFERROR(__xludf.DUMMYFUNCTION("""COMPUTED_VALUE"""),"товари")</f>
        <v>товари</v>
      </c>
      <c r="B3600" s="16" t="str">
        <f>IFERROR(__xludf.DUMMYFUNCTION("""COMPUTED_VALUE"""),"спорт і відпочинок")</f>
        <v>спорт і відпочинок</v>
      </c>
      <c r="C3600" s="16" t="str">
        <f>IFERROR(__xludf.DUMMYFUNCTION("""COMPUTED_VALUE"""),"велосипеди та аксесуари")</f>
        <v>велосипеди та аксесуари</v>
      </c>
      <c r="D3600" s="16" t="str">
        <f>IFERROR(__xludf.DUMMYFUNCTION("""COMPUTED_VALUE"""),"велозапчастини")</f>
        <v>велозапчастини</v>
      </c>
      <c r="E3600" s="16" t="str">
        <f>IFERROR(__xludf.DUMMYFUNCTION("""COMPUTED_VALUE"""),"мотор-колеса")</f>
        <v>мотор-колеса</v>
      </c>
      <c r="F3600" s="17">
        <f>IFERROR(__xludf.DUMMYFUNCTION("""COMPUTED_VALUE"""),4.0)</f>
        <v>4</v>
      </c>
      <c r="G3600" s="17" t="str">
        <f>IFERROR(__xludf.DUMMYFUNCTION("""COMPUTED_VALUE"""),"122215")</f>
        <v>122215</v>
      </c>
      <c r="H3600" s="17" t="str">
        <f>IFERROR(__xludf.DUMMYFUNCTION("""COMPUTED_VALUE"""),"мотор-колеса")</f>
        <v>мотор-колеса</v>
      </c>
      <c r="I3600" s="19">
        <f>IFERROR(__xludf.DUMMYFUNCTION("""COMPUTED_VALUE"""),0.054)</f>
        <v>0.054</v>
      </c>
      <c r="J3600" s="19">
        <f>IFERROR(__xludf.DUMMYFUNCTION("""COMPUTED_VALUE"""),0.108)</f>
        <v>0.108</v>
      </c>
      <c r="K3600" s="19">
        <f>IFERROR(__xludf.DUMMYFUNCTION("""COMPUTED_VALUE"""),0.135)</f>
        <v>0.135</v>
      </c>
      <c r="L3600" s="19">
        <f>IFERROR(__xludf.DUMMYFUNCTION("""COMPUTED_VALUE"""),0.162)</f>
        <v>0.162</v>
      </c>
      <c r="M3600" s="18">
        <f>IFERROR(__xludf.DUMMYFUNCTION("""COMPUTED_VALUE"""),1.71)</f>
        <v>1.71</v>
      </c>
    </row>
    <row r="3601">
      <c r="A3601" s="13" t="str">
        <f>IFERROR(__xludf.DUMMYFUNCTION("""COMPUTED_VALUE"""),"товари")</f>
        <v>товари</v>
      </c>
      <c r="B3601" s="16" t="str">
        <f>IFERROR(__xludf.DUMMYFUNCTION("""COMPUTED_VALUE"""),"спорт і відпочинок")</f>
        <v>спорт і відпочинок</v>
      </c>
      <c r="C3601" s="16" t="str">
        <f>IFERROR(__xludf.DUMMYFUNCTION("""COMPUTED_VALUE"""),"екстремальні види спорту")</f>
        <v>екстремальні види спорту</v>
      </c>
      <c r="D3601" s="16" t="str">
        <f>IFERROR(__xludf.DUMMYFUNCTION("""COMPUTED_VALUE"""),"альпінізм")</f>
        <v>альпінізм</v>
      </c>
      <c r="E3601" s="16" t="str">
        <f>IFERROR(__xludf.DUMMYFUNCTION("""COMPUTED_VALUE"""),"мотузки для альпінізму")</f>
        <v>мотузки для альпінізму</v>
      </c>
      <c r="F3601" s="17">
        <f>IFERROR(__xludf.DUMMYFUNCTION("""COMPUTED_VALUE"""),4.0)</f>
        <v>4</v>
      </c>
      <c r="G3601" s="17" t="str">
        <f>IFERROR(__xludf.DUMMYFUNCTION("""COMPUTED_VALUE"""),"203533")</f>
        <v>203533</v>
      </c>
      <c r="H3601" s="17" t="str">
        <f>IFERROR(__xludf.DUMMYFUNCTION("""COMPUTED_VALUE"""),"мотузки для альпінізму")</f>
        <v>мотузки для альпінізму</v>
      </c>
      <c r="I3601" s="19">
        <f>IFERROR(__xludf.DUMMYFUNCTION("""COMPUTED_VALUE"""),0.0786)</f>
        <v>0.0786</v>
      </c>
      <c r="J3601" s="19">
        <f>IFERROR(__xludf.DUMMYFUNCTION("""COMPUTED_VALUE"""),0.1571)</f>
        <v>0.1571</v>
      </c>
      <c r="K3601" s="19">
        <f>IFERROR(__xludf.DUMMYFUNCTION("""COMPUTED_VALUE"""),0.1964)</f>
        <v>0.1964</v>
      </c>
      <c r="L3601" s="19">
        <f>IFERROR(__xludf.DUMMYFUNCTION("""COMPUTED_VALUE"""),0.2357)</f>
        <v>0.2357</v>
      </c>
      <c r="M3601" s="18">
        <f>IFERROR(__xludf.DUMMYFUNCTION("""COMPUTED_VALUE"""),1.8)</f>
        <v>1.8</v>
      </c>
    </row>
    <row r="3602">
      <c r="A3602" s="13" t="str">
        <f>IFERROR(__xludf.DUMMYFUNCTION("""COMPUTED_VALUE"""),"товари")</f>
        <v>товари</v>
      </c>
      <c r="B3602" s="16" t="str">
        <f>IFERROR(__xludf.DUMMYFUNCTION("""COMPUTED_VALUE"""),"спорт і відпочинок")</f>
        <v>спорт і відпочинок</v>
      </c>
      <c r="C3602" s="16" t="str">
        <f>IFERROR(__xludf.DUMMYFUNCTION("""COMPUTED_VALUE"""),"водні види спорту")</f>
        <v>водні види спорту</v>
      </c>
      <c r="D3602" s="16" t="str">
        <f>IFERROR(__xludf.DUMMYFUNCTION("""COMPUTED_VALUE"""),"все для плавання")</f>
        <v>все для плавання</v>
      </c>
      <c r="E3602" s="16" t="str">
        <f>IFERROR(__xludf.DUMMYFUNCTION("""COMPUTED_VALUE"""),"набори для плавання")</f>
        <v>набори для плавання</v>
      </c>
      <c r="F3602" s="17">
        <f>IFERROR(__xludf.DUMMYFUNCTION("""COMPUTED_VALUE"""),4.0)</f>
        <v>4</v>
      </c>
      <c r="G3602" s="17" t="str">
        <f>IFERROR(__xludf.DUMMYFUNCTION("""COMPUTED_VALUE"""),"203443")</f>
        <v>203443</v>
      </c>
      <c r="H3602" s="17" t="str">
        <f>IFERROR(__xludf.DUMMYFUNCTION("""COMPUTED_VALUE"""),"набори для плавання")</f>
        <v>набори для плавання</v>
      </c>
      <c r="I3602" s="19">
        <f>IFERROR(__xludf.DUMMYFUNCTION("""COMPUTED_VALUE"""),0.0814)</f>
        <v>0.0814</v>
      </c>
      <c r="J3602" s="19">
        <f>IFERROR(__xludf.DUMMYFUNCTION("""COMPUTED_VALUE"""),0.1627)</f>
        <v>0.1627</v>
      </c>
      <c r="K3602" s="19">
        <f>IFERROR(__xludf.DUMMYFUNCTION("""COMPUTED_VALUE"""),0.2034)</f>
        <v>0.2034</v>
      </c>
      <c r="L3602" s="19">
        <f>IFERROR(__xludf.DUMMYFUNCTION("""COMPUTED_VALUE"""),0.2441)</f>
        <v>0.2441</v>
      </c>
      <c r="M3602" s="18">
        <f>IFERROR(__xludf.DUMMYFUNCTION("""COMPUTED_VALUE"""),1.05)</f>
        <v>1.05</v>
      </c>
    </row>
    <row r="3603">
      <c r="A3603" s="13" t="str">
        <f>IFERROR(__xludf.DUMMYFUNCTION("""COMPUTED_VALUE"""),"товари")</f>
        <v>товари</v>
      </c>
      <c r="B3603" s="16" t="str">
        <f>IFERROR(__xludf.DUMMYFUNCTION("""COMPUTED_VALUE"""),"спорт і відпочинок")</f>
        <v>спорт і відпочинок</v>
      </c>
      <c r="C3603" s="16" t="str">
        <f>IFERROR(__xludf.DUMMYFUNCTION("""COMPUTED_VALUE"""),"товари для туризму та подорожей")</f>
        <v>товари для туризму та подорожей</v>
      </c>
      <c r="D3603" s="16" t="str">
        <f>IFERROR(__xludf.DUMMYFUNCTION("""COMPUTED_VALUE"""),"туристичні інструменти")</f>
        <v>туристичні інструменти</v>
      </c>
      <c r="E3603" s="16" t="str">
        <f>IFERROR(__xludf.DUMMYFUNCTION("""COMPUTED_VALUE"""),"набори туристичних інструментів")</f>
        <v>набори туристичних інструментів</v>
      </c>
      <c r="F3603" s="17">
        <f>IFERROR(__xludf.DUMMYFUNCTION("""COMPUTED_VALUE"""),4.0)</f>
        <v>4</v>
      </c>
      <c r="G3603" s="17" t="str">
        <f>IFERROR(__xludf.DUMMYFUNCTION("""COMPUTED_VALUE"""),"240460")</f>
        <v>240460</v>
      </c>
      <c r="H3603" s="17" t="str">
        <f>IFERROR(__xludf.DUMMYFUNCTION("""COMPUTED_VALUE"""),"набори туристичних інструментів")</f>
        <v>набори туристичних інструментів</v>
      </c>
      <c r="I3603" s="19">
        <f>IFERROR(__xludf.DUMMYFUNCTION("""COMPUTED_VALUE"""),0.0635)</f>
        <v>0.0635</v>
      </c>
      <c r="J3603" s="19">
        <f>IFERROR(__xludf.DUMMYFUNCTION("""COMPUTED_VALUE"""),0.127)</f>
        <v>0.127</v>
      </c>
      <c r="K3603" s="19">
        <f>IFERROR(__xludf.DUMMYFUNCTION("""COMPUTED_VALUE"""),0.1588)</f>
        <v>0.1588</v>
      </c>
      <c r="L3603" s="19">
        <f>IFERROR(__xludf.DUMMYFUNCTION("""COMPUTED_VALUE"""),0.1905)</f>
        <v>0.1905</v>
      </c>
      <c r="M3603" s="18">
        <f>IFERROR(__xludf.DUMMYFUNCTION("""COMPUTED_VALUE"""),1.8)</f>
        <v>1.8</v>
      </c>
    </row>
    <row r="3604">
      <c r="A3604" s="13" t="str">
        <f>IFERROR(__xludf.DUMMYFUNCTION("""COMPUTED_VALUE"""),"товари")</f>
        <v>товари</v>
      </c>
      <c r="B3604" s="16" t="str">
        <f>IFERROR(__xludf.DUMMYFUNCTION("""COMPUTED_VALUE"""),"спорт і відпочинок")</f>
        <v>спорт і відпочинок</v>
      </c>
      <c r="C3604" s="16" t="str">
        <f>IFERROR(__xludf.DUMMYFUNCTION("""COMPUTED_VALUE"""),"товари для туризму та подорожей")</f>
        <v>товари для туризму та подорожей</v>
      </c>
      <c r="D3604" s="16" t="str">
        <f>IFERROR(__xludf.DUMMYFUNCTION("""COMPUTED_VALUE"""),"туристичний посуд")</f>
        <v>туристичний посуд</v>
      </c>
      <c r="E3604" s="16" t="str">
        <f>IFERROR(__xludf.DUMMYFUNCTION("""COMPUTED_VALUE"""),"набори туристичного посуду")</f>
        <v>набори туристичного посуду</v>
      </c>
      <c r="F3604" s="17">
        <f>IFERROR(__xludf.DUMMYFUNCTION("""COMPUTED_VALUE"""),4.0)</f>
        <v>4</v>
      </c>
      <c r="G3604" s="17" t="str">
        <f>IFERROR(__xludf.DUMMYFUNCTION("""COMPUTED_VALUE"""),"240412")</f>
        <v>240412</v>
      </c>
      <c r="H3604" s="17" t="str">
        <f>IFERROR(__xludf.DUMMYFUNCTION("""COMPUTED_VALUE"""),"набори туристичного посуду")</f>
        <v>набори туристичного посуду</v>
      </c>
      <c r="I3604" s="19">
        <f>IFERROR(__xludf.DUMMYFUNCTION("""COMPUTED_VALUE"""),0.0788)</f>
        <v>0.0788</v>
      </c>
      <c r="J3604" s="19">
        <f>IFERROR(__xludf.DUMMYFUNCTION("""COMPUTED_VALUE"""),0.1575)</f>
        <v>0.1575</v>
      </c>
      <c r="K3604" s="19">
        <f>IFERROR(__xludf.DUMMYFUNCTION("""COMPUTED_VALUE"""),0.1969)</f>
        <v>0.1969</v>
      </c>
      <c r="L3604" s="19">
        <f>IFERROR(__xludf.DUMMYFUNCTION("""COMPUTED_VALUE"""),0.2363)</f>
        <v>0.2363</v>
      </c>
      <c r="M3604" s="18">
        <f>IFERROR(__xludf.DUMMYFUNCTION("""COMPUTED_VALUE"""),2.25)</f>
        <v>2.25</v>
      </c>
    </row>
    <row r="3605">
      <c r="A3605" s="13" t="str">
        <f>IFERROR(__xludf.DUMMYFUNCTION("""COMPUTED_VALUE"""),"товари")</f>
        <v>товари</v>
      </c>
      <c r="B3605" s="16" t="str">
        <f>IFERROR(__xludf.DUMMYFUNCTION("""COMPUTED_VALUE"""),"спорт і відпочинок")</f>
        <v>спорт і відпочинок</v>
      </c>
      <c r="C3605" s="16" t="str">
        <f>IFERROR(__xludf.DUMMYFUNCTION("""COMPUTED_VALUE"""),"все для пляжу")</f>
        <v>все для пляжу</v>
      </c>
      <c r="D3605" s="16" t="str">
        <f>IFERROR(__xludf.DUMMYFUNCTION("""COMPUTED_VALUE"""),"надувні жилети, нарукавники")</f>
        <v>надувні жилети, нарукавники</v>
      </c>
      <c r="E3605" s="16" t="str">
        <f>IFERROR(__xludf.DUMMYFUNCTION("""COMPUTED_VALUE"""),"надувні жилети, нарукавники")</f>
        <v>надувні жилети, нарукавники</v>
      </c>
      <c r="F3605" s="17">
        <f>IFERROR(__xludf.DUMMYFUNCTION("""COMPUTED_VALUE"""),3.0)</f>
        <v>3</v>
      </c>
      <c r="G3605" s="17" t="str">
        <f>IFERROR(__xludf.DUMMYFUNCTION("""COMPUTED_VALUE"""),"203405")</f>
        <v>203405</v>
      </c>
      <c r="H3605" s="17" t="str">
        <f>IFERROR(__xludf.DUMMYFUNCTION("""COMPUTED_VALUE"""),"надувні жилети, нарукавники")</f>
        <v>надувні жилети, нарукавники</v>
      </c>
      <c r="I3605" s="19">
        <f>IFERROR(__xludf.DUMMYFUNCTION("""COMPUTED_VALUE"""),0.0624)</f>
        <v>0.0624</v>
      </c>
      <c r="J3605" s="19">
        <f>IFERROR(__xludf.DUMMYFUNCTION("""COMPUTED_VALUE"""),0.1247)</f>
        <v>0.1247</v>
      </c>
      <c r="K3605" s="19">
        <f>IFERROR(__xludf.DUMMYFUNCTION("""COMPUTED_VALUE"""),0.1559)</f>
        <v>0.1559</v>
      </c>
      <c r="L3605" s="19">
        <f>IFERROR(__xludf.DUMMYFUNCTION("""COMPUTED_VALUE"""),0.1871)</f>
        <v>0.1871</v>
      </c>
      <c r="M3605" s="18">
        <f>IFERROR(__xludf.DUMMYFUNCTION("""COMPUTED_VALUE"""),1.05)</f>
        <v>1.05</v>
      </c>
    </row>
    <row r="3606">
      <c r="A3606" s="13" t="str">
        <f>IFERROR(__xludf.DUMMYFUNCTION("""COMPUTED_VALUE"""),"товари")</f>
        <v>товари</v>
      </c>
      <c r="B3606" s="16" t="str">
        <f>IFERROR(__xludf.DUMMYFUNCTION("""COMPUTED_VALUE"""),"спорт і відпочинок")</f>
        <v>спорт і відпочинок</v>
      </c>
      <c r="C3606" s="16" t="str">
        <f>IFERROR(__xludf.DUMMYFUNCTION("""COMPUTED_VALUE"""),"товари для туризму та подорожей")</f>
        <v>товари для туризму та подорожей</v>
      </c>
      <c r="D3606" s="16" t="str">
        <f>IFERROR(__xludf.DUMMYFUNCTION("""COMPUTED_VALUE"""),"накидки для рюкзаків, сумок")</f>
        <v>накидки для рюкзаків, сумок</v>
      </c>
      <c r="E3606" s="16" t="str">
        <f>IFERROR(__xludf.DUMMYFUNCTION("""COMPUTED_VALUE"""),"накидки для рюкзаків, сумок")</f>
        <v>накидки для рюкзаків, сумок</v>
      </c>
      <c r="F3606" s="17">
        <f>IFERROR(__xludf.DUMMYFUNCTION("""COMPUTED_VALUE"""),3.0)</f>
        <v>3</v>
      </c>
      <c r="G3606" s="17" t="str">
        <f>IFERROR(__xludf.DUMMYFUNCTION("""COMPUTED_VALUE"""),"240451")</f>
        <v>240451</v>
      </c>
      <c r="H3606" s="17" t="str">
        <f>IFERROR(__xludf.DUMMYFUNCTION("""COMPUTED_VALUE"""),"накидки для рюкзаків, сумок")</f>
        <v>накидки для рюкзаків, сумок</v>
      </c>
      <c r="I3606" s="19">
        <f>IFERROR(__xludf.DUMMYFUNCTION("""COMPUTED_VALUE"""),0.0751)</f>
        <v>0.0751</v>
      </c>
      <c r="J3606" s="19">
        <f>IFERROR(__xludf.DUMMYFUNCTION("""COMPUTED_VALUE"""),0.1502)</f>
        <v>0.1502</v>
      </c>
      <c r="K3606" s="19">
        <f>IFERROR(__xludf.DUMMYFUNCTION("""COMPUTED_VALUE"""),0.1878)</f>
        <v>0.1878</v>
      </c>
      <c r="L3606" s="19">
        <f>IFERROR(__xludf.DUMMYFUNCTION("""COMPUTED_VALUE"""),0.2253)</f>
        <v>0.2253</v>
      </c>
      <c r="M3606" s="18">
        <f>IFERROR(__xludf.DUMMYFUNCTION("""COMPUTED_VALUE"""),1.05)</f>
        <v>1.05</v>
      </c>
    </row>
    <row r="3607">
      <c r="A3607" s="13" t="str">
        <f>IFERROR(__xludf.DUMMYFUNCTION("""COMPUTED_VALUE"""),"товари")</f>
        <v>товари</v>
      </c>
      <c r="B3607" s="16" t="str">
        <f>IFERROR(__xludf.DUMMYFUNCTION("""COMPUTED_VALUE"""),"спорт і відпочинок")</f>
        <v>спорт і відпочинок</v>
      </c>
      <c r="C3607" s="16" t="str">
        <f>IFERROR(__xludf.DUMMYFUNCTION("""COMPUTED_VALUE"""),"ігри з ракетками")</f>
        <v>ігри з ракетками</v>
      </c>
      <c r="D3607" s="16" t="str">
        <f>IFERROR(__xludf.DUMMYFUNCTION("""COMPUTED_VALUE"""),"настільний теніс")</f>
        <v>настільний теніс</v>
      </c>
      <c r="E3607" s="16" t="str">
        <f>IFERROR(__xludf.DUMMYFUNCTION("""COMPUTED_VALUE"""),"накладки для ракеток")</f>
        <v>накладки для ракеток</v>
      </c>
      <c r="F3607" s="17">
        <f>IFERROR(__xludf.DUMMYFUNCTION("""COMPUTED_VALUE"""),4.0)</f>
        <v>4</v>
      </c>
      <c r="G3607" s="17" t="str">
        <f>IFERROR(__xludf.DUMMYFUNCTION("""COMPUTED_VALUE"""),"182420")</f>
        <v>182420</v>
      </c>
      <c r="H3607" s="17" t="str">
        <f>IFERROR(__xludf.DUMMYFUNCTION("""COMPUTED_VALUE"""),"накладки для ракеток")</f>
        <v>накладки для ракеток</v>
      </c>
      <c r="I3607" s="19">
        <f>IFERROR(__xludf.DUMMYFUNCTION("""COMPUTED_VALUE"""),0.0793)</f>
        <v>0.0793</v>
      </c>
      <c r="J3607" s="19">
        <f>IFERROR(__xludf.DUMMYFUNCTION("""COMPUTED_VALUE"""),0.1586)</f>
        <v>0.1586</v>
      </c>
      <c r="K3607" s="19">
        <f>IFERROR(__xludf.DUMMYFUNCTION("""COMPUTED_VALUE"""),0.1983)</f>
        <v>0.1983</v>
      </c>
      <c r="L3607" s="19">
        <f>IFERROR(__xludf.DUMMYFUNCTION("""COMPUTED_VALUE"""),0.2379)</f>
        <v>0.2379</v>
      </c>
      <c r="M3607" s="18">
        <f>IFERROR(__xludf.DUMMYFUNCTION("""COMPUTED_VALUE"""),3.98)</f>
        <v>3.98</v>
      </c>
    </row>
    <row r="3608">
      <c r="A3608" s="13" t="str">
        <f>IFERROR(__xludf.DUMMYFUNCTION("""COMPUTED_VALUE"""),"товари")</f>
        <v>товари</v>
      </c>
      <c r="B3608" s="16" t="str">
        <f>IFERROR(__xludf.DUMMYFUNCTION("""COMPUTED_VALUE"""),"спорт і відпочинок")</f>
        <v>спорт і відпочинок</v>
      </c>
      <c r="C3608" s="16" t="str">
        <f>IFERROR(__xludf.DUMMYFUNCTION("""COMPUTED_VALUE"""),"ігри з ракетками")</f>
        <v>ігри з ракетками</v>
      </c>
      <c r="D3608" s="16" t="str">
        <f>IFERROR(__xludf.DUMMYFUNCTION("""COMPUTED_VALUE"""),"настільний теніс")</f>
        <v>настільний теніс</v>
      </c>
      <c r="E3608" s="16" t="str">
        <f>IFERROR(__xludf.DUMMYFUNCTION("""COMPUTED_VALUE"""),"настільний теніс, загальне")</f>
        <v>настільний теніс, загальне</v>
      </c>
      <c r="F3608" s="17">
        <f>IFERROR(__xludf.DUMMYFUNCTION("""COMPUTED_VALUE"""),4.0)</f>
        <v>4</v>
      </c>
      <c r="G3608" s="17" t="str">
        <f>IFERROR(__xludf.DUMMYFUNCTION("""COMPUTED_VALUE"""),"182411")</f>
        <v>182411</v>
      </c>
      <c r="H3608" s="17" t="str">
        <f>IFERROR(__xludf.DUMMYFUNCTION("""COMPUTED_VALUE"""),"настільний теніс, загальне")</f>
        <v>настільний теніс, загальне</v>
      </c>
      <c r="I3608" s="19">
        <f>IFERROR(__xludf.DUMMYFUNCTION("""COMPUTED_VALUE"""),0.125)</f>
        <v>0.125</v>
      </c>
      <c r="J3608" s="19">
        <f>IFERROR(__xludf.DUMMYFUNCTION("""COMPUTED_VALUE"""),0.25)</f>
        <v>0.25</v>
      </c>
      <c r="K3608" s="19">
        <f>IFERROR(__xludf.DUMMYFUNCTION("""COMPUTED_VALUE"""),0.3125)</f>
        <v>0.3125</v>
      </c>
      <c r="L3608" s="19">
        <f>IFERROR(__xludf.DUMMYFUNCTION("""COMPUTED_VALUE"""),0.375)</f>
        <v>0.375</v>
      </c>
      <c r="M3608" s="18">
        <f>IFERROR(__xludf.DUMMYFUNCTION("""COMPUTED_VALUE"""),4.33)</f>
        <v>4.33</v>
      </c>
    </row>
    <row r="3609">
      <c r="A3609" s="13" t="str">
        <f>IFERROR(__xludf.DUMMYFUNCTION("""COMPUTED_VALUE"""),"товари")</f>
        <v>товари</v>
      </c>
      <c r="B3609" s="16" t="str">
        <f>IFERROR(__xludf.DUMMYFUNCTION("""COMPUTED_VALUE"""),"спорт і відпочинок")</f>
        <v>спорт і відпочинок</v>
      </c>
      <c r="C3609" s="16" t="str">
        <f>IFERROR(__xludf.DUMMYFUNCTION("""COMPUTED_VALUE"""),"велосипеди та аксесуари")</f>
        <v>велосипеди та аксесуари</v>
      </c>
      <c r="D3609" s="16" t="str">
        <f>IFERROR(__xludf.DUMMYFUNCTION("""COMPUTED_VALUE"""),"велозапчастини")</f>
        <v>велозапчастини</v>
      </c>
      <c r="E3609" s="16" t="str">
        <f>IFERROR(__xludf.DUMMYFUNCTION("""COMPUTED_VALUE"""),"натягувачі та заспокоювачі ланцюга")</f>
        <v>натягувачі та заспокоювачі ланцюга</v>
      </c>
      <c r="F3609" s="17">
        <f>IFERROR(__xludf.DUMMYFUNCTION("""COMPUTED_VALUE"""),4.0)</f>
        <v>4</v>
      </c>
      <c r="G3609" s="17" t="str">
        <f>IFERROR(__xludf.DUMMYFUNCTION("""COMPUTED_VALUE"""),"122223")</f>
        <v>122223</v>
      </c>
      <c r="H3609" s="17" t="str">
        <f>IFERROR(__xludf.DUMMYFUNCTION("""COMPUTED_VALUE"""),"натягувачі та заспокоювачі ланцюга")</f>
        <v>натягувачі та заспокоювачі ланцюга</v>
      </c>
      <c r="I3609" s="19">
        <f>IFERROR(__xludf.DUMMYFUNCTION("""COMPUTED_VALUE"""),0.0776)</f>
        <v>0.0776</v>
      </c>
      <c r="J3609" s="19">
        <f>IFERROR(__xludf.DUMMYFUNCTION("""COMPUTED_VALUE"""),0.1551)</f>
        <v>0.1551</v>
      </c>
      <c r="K3609" s="19">
        <f>IFERROR(__xludf.DUMMYFUNCTION("""COMPUTED_VALUE"""),0.1939)</f>
        <v>0.1939</v>
      </c>
      <c r="L3609" s="19">
        <f>IFERROR(__xludf.DUMMYFUNCTION("""COMPUTED_VALUE"""),0.2327)</f>
        <v>0.2327</v>
      </c>
      <c r="M3609" s="18">
        <f>IFERROR(__xludf.DUMMYFUNCTION("""COMPUTED_VALUE"""),1.71)</f>
        <v>1.71</v>
      </c>
    </row>
    <row r="3610">
      <c r="A3610" s="13" t="str">
        <f>IFERROR(__xludf.DUMMYFUNCTION("""COMPUTED_VALUE"""),"товари")</f>
        <v>товари</v>
      </c>
      <c r="B3610" s="16" t="str">
        <f>IFERROR(__xludf.DUMMYFUNCTION("""COMPUTED_VALUE"""),"спорт і відпочинок")</f>
        <v>спорт і відпочинок</v>
      </c>
      <c r="C3610" s="16" t="str">
        <f>IFERROR(__xludf.DUMMYFUNCTION("""COMPUTED_VALUE"""),"товари для туризму та подорожей")</f>
        <v>товари для туризму та подорожей</v>
      </c>
      <c r="D3610" s="16" t="str">
        <f>IFERROR(__xludf.DUMMYFUNCTION("""COMPUTED_VALUE"""),"туристичні інструменти")</f>
        <v>туристичні інструменти</v>
      </c>
      <c r="E3610" s="16" t="str">
        <f>IFERROR(__xludf.DUMMYFUNCTION("""COMPUTED_VALUE"""),"ножі для полювання, риболовлі та туризму")</f>
        <v>ножі для полювання, риболовлі та туризму</v>
      </c>
      <c r="F3610" s="17">
        <f>IFERROR(__xludf.DUMMYFUNCTION("""COMPUTED_VALUE"""),4.0)</f>
        <v>4</v>
      </c>
      <c r="G3610" s="17" t="str">
        <f>IFERROR(__xludf.DUMMYFUNCTION("""COMPUTED_VALUE"""),"181010")</f>
        <v>181010</v>
      </c>
      <c r="H3610" s="17" t="str">
        <f>IFERROR(__xludf.DUMMYFUNCTION("""COMPUTED_VALUE"""),"ножі для полювання, риболовлі та туризму")</f>
        <v>ножі для полювання, риболовлі та туризму</v>
      </c>
      <c r="I3610" s="19">
        <f>IFERROR(__xludf.DUMMYFUNCTION("""COMPUTED_VALUE"""),0.0656)</f>
        <v>0.0656</v>
      </c>
      <c r="J3610" s="19">
        <f>IFERROR(__xludf.DUMMYFUNCTION("""COMPUTED_VALUE"""),0.1312)</f>
        <v>0.1312</v>
      </c>
      <c r="K3610" s="19">
        <f>IFERROR(__xludf.DUMMYFUNCTION("""COMPUTED_VALUE"""),0.164)</f>
        <v>0.164</v>
      </c>
      <c r="L3610" s="19">
        <f>IFERROR(__xludf.DUMMYFUNCTION("""COMPUTED_VALUE"""),0.1968)</f>
        <v>0.1968</v>
      </c>
      <c r="M3610" s="18">
        <f>IFERROR(__xludf.DUMMYFUNCTION("""COMPUTED_VALUE"""),1.8)</f>
        <v>1.8</v>
      </c>
    </row>
    <row r="3611">
      <c r="A3611" s="13" t="str">
        <f>IFERROR(__xludf.DUMMYFUNCTION("""COMPUTED_VALUE"""),"товари")</f>
        <v>товари</v>
      </c>
      <c r="B3611" s="16" t="str">
        <f>IFERROR(__xludf.DUMMYFUNCTION("""COMPUTED_VALUE"""),"спорт і відпочинок")</f>
        <v>спорт і відпочинок</v>
      </c>
      <c r="C3611" s="16" t="str">
        <f>IFERROR(__xludf.DUMMYFUNCTION("""COMPUTED_VALUE"""),"спортивні товари")</f>
        <v>спортивні товари</v>
      </c>
      <c r="D3611" s="16" t="str">
        <f>IFERROR(__xludf.DUMMYFUNCTION("""COMPUTED_VALUE"""),"бойові мистецтва")</f>
        <v>бойові мистецтва</v>
      </c>
      <c r="E3611" s="16" t="str">
        <f>IFERROR(__xludf.DUMMYFUNCTION("""COMPUTED_VALUE"""),"нунчаки")</f>
        <v>нунчаки</v>
      </c>
      <c r="F3611" s="17">
        <f>IFERROR(__xludf.DUMMYFUNCTION("""COMPUTED_VALUE"""),4.0)</f>
        <v>4</v>
      </c>
      <c r="G3611" s="17" t="str">
        <f>IFERROR(__xludf.DUMMYFUNCTION("""COMPUTED_VALUE"""),"202707")</f>
        <v>202707</v>
      </c>
      <c r="H3611" s="17" t="str">
        <f>IFERROR(__xludf.DUMMYFUNCTION("""COMPUTED_VALUE"""),"нунчаки")</f>
        <v>нунчаки</v>
      </c>
      <c r="I3611" s="19">
        <f>IFERROR(__xludf.DUMMYFUNCTION("""COMPUTED_VALUE"""),0.0776)</f>
        <v>0.0776</v>
      </c>
      <c r="J3611" s="19">
        <f>IFERROR(__xludf.DUMMYFUNCTION("""COMPUTED_VALUE"""),0.1552)</f>
        <v>0.1552</v>
      </c>
      <c r="K3611" s="19">
        <f>IFERROR(__xludf.DUMMYFUNCTION("""COMPUTED_VALUE"""),0.194)</f>
        <v>0.194</v>
      </c>
      <c r="L3611" s="19">
        <f>IFERROR(__xludf.DUMMYFUNCTION("""COMPUTED_VALUE"""),0.2328)</f>
        <v>0.2328</v>
      </c>
      <c r="M3611" s="18">
        <f>IFERROR(__xludf.DUMMYFUNCTION("""COMPUTED_VALUE"""),1.53)</f>
        <v>1.53</v>
      </c>
    </row>
    <row r="3612">
      <c r="A3612" s="13" t="str">
        <f>IFERROR(__xludf.DUMMYFUNCTION("""COMPUTED_VALUE"""),"товари")</f>
        <v>товари</v>
      </c>
      <c r="B3612" s="16" t="str">
        <f>IFERROR(__xludf.DUMMYFUNCTION("""COMPUTED_VALUE"""),"спорт і відпочинок")</f>
        <v>спорт і відпочинок</v>
      </c>
      <c r="C3612" s="16" t="str">
        <f>IFERROR(__xludf.DUMMYFUNCTION("""COMPUTED_VALUE"""),"одяг та взуття для спортсменів")</f>
        <v>одяг та взуття для спортсменів</v>
      </c>
      <c r="D3612" s="16" t="str">
        <f>IFERROR(__xludf.DUMMYFUNCTION("""COMPUTED_VALUE"""),"одяг для йоги та фітнесу")</f>
        <v>одяг для йоги та фітнесу</v>
      </c>
      <c r="E3612" s="16" t="str">
        <f>IFERROR(__xludf.DUMMYFUNCTION("""COMPUTED_VALUE"""),"одяг для йоги та фітнесу")</f>
        <v>одяг для йоги та фітнесу</v>
      </c>
      <c r="F3612" s="17">
        <f>IFERROR(__xludf.DUMMYFUNCTION("""COMPUTED_VALUE"""),3.0)</f>
        <v>3</v>
      </c>
      <c r="G3612" s="17" t="str">
        <f>IFERROR(__xludf.DUMMYFUNCTION("""COMPUTED_VALUE"""),"30101")</f>
        <v>30101</v>
      </c>
      <c r="H3612" s="17" t="str">
        <f>IFERROR(__xludf.DUMMYFUNCTION("""COMPUTED_VALUE"""),"одяг для йоги та фітнесу")</f>
        <v>одяг для йоги та фітнесу</v>
      </c>
      <c r="I3612" s="19">
        <f>IFERROR(__xludf.DUMMYFUNCTION("""COMPUTED_VALUE"""),0.0985)</f>
        <v>0.0985</v>
      </c>
      <c r="J3612" s="19">
        <f>IFERROR(__xludf.DUMMYFUNCTION("""COMPUTED_VALUE"""),0.1969)</f>
        <v>0.1969</v>
      </c>
      <c r="K3612" s="19">
        <f>IFERROR(__xludf.DUMMYFUNCTION("""COMPUTED_VALUE"""),0.2461)</f>
        <v>0.2461</v>
      </c>
      <c r="L3612" s="19">
        <f>IFERROR(__xludf.DUMMYFUNCTION("""COMPUTED_VALUE"""),0.2954)</f>
        <v>0.2954</v>
      </c>
      <c r="M3612" s="18">
        <f>IFERROR(__xludf.DUMMYFUNCTION("""COMPUTED_VALUE"""),1.26)</f>
        <v>1.26</v>
      </c>
    </row>
    <row r="3613">
      <c r="A3613" s="13" t="str">
        <f>IFERROR(__xludf.DUMMYFUNCTION("""COMPUTED_VALUE"""),"товари")</f>
        <v>товари</v>
      </c>
      <c r="B3613" s="16" t="str">
        <f>IFERROR(__xludf.DUMMYFUNCTION("""COMPUTED_VALUE"""),"спорт і відпочинок")</f>
        <v>спорт і відпочинок</v>
      </c>
      <c r="C3613" s="16" t="str">
        <f>IFERROR(__xludf.DUMMYFUNCTION("""COMPUTED_VALUE"""),"одяг та взуття для спортсменів")</f>
        <v>одяг та взуття для спортсменів</v>
      </c>
      <c r="D3613" s="16" t="str">
        <f>IFERROR(__xludf.DUMMYFUNCTION("""COMPUTED_VALUE"""),"одяг та взуття для спортсменів, загальне")</f>
        <v>одяг та взуття для спортсменів, загальне</v>
      </c>
      <c r="E3613" s="16" t="str">
        <f>IFERROR(__xludf.DUMMYFUNCTION("""COMPUTED_VALUE"""),"одяг та взуття для спортсменів, загальне")</f>
        <v>одяг та взуття для спортсменів, загальне</v>
      </c>
      <c r="F3613" s="17">
        <f>IFERROR(__xludf.DUMMYFUNCTION("""COMPUTED_VALUE"""),3.0)</f>
        <v>3</v>
      </c>
      <c r="G3613" s="17" t="str">
        <f>IFERROR(__xludf.DUMMYFUNCTION("""COMPUTED_VALUE"""),"182601")</f>
        <v>182601</v>
      </c>
      <c r="H3613" s="17" t="str">
        <f>IFERROR(__xludf.DUMMYFUNCTION("""COMPUTED_VALUE"""),"одяг та взуття для спортсменів, загальне")</f>
        <v>одяг та взуття для спортсменів, загальне</v>
      </c>
      <c r="I3613" s="19">
        <f>IFERROR(__xludf.DUMMYFUNCTION("""COMPUTED_VALUE"""),0.125)</f>
        <v>0.125</v>
      </c>
      <c r="J3613" s="19">
        <f>IFERROR(__xludf.DUMMYFUNCTION("""COMPUTED_VALUE"""),0.25)</f>
        <v>0.25</v>
      </c>
      <c r="K3613" s="19">
        <f>IFERROR(__xludf.DUMMYFUNCTION("""COMPUTED_VALUE"""),0.3125)</f>
        <v>0.3125</v>
      </c>
      <c r="L3613" s="19">
        <f>IFERROR(__xludf.DUMMYFUNCTION("""COMPUTED_VALUE"""),0.375)</f>
        <v>0.375</v>
      </c>
      <c r="M3613" s="18">
        <f>IFERROR(__xludf.DUMMYFUNCTION("""COMPUTED_VALUE"""),4.33)</f>
        <v>4.33</v>
      </c>
    </row>
    <row r="3614">
      <c r="A3614" s="13" t="str">
        <f>IFERROR(__xludf.DUMMYFUNCTION("""COMPUTED_VALUE"""),"товари")</f>
        <v>товари</v>
      </c>
      <c r="B3614" s="16" t="str">
        <f>IFERROR(__xludf.DUMMYFUNCTION("""COMPUTED_VALUE"""),"спорт і відпочинок")</f>
        <v>спорт і відпочинок</v>
      </c>
      <c r="C3614" s="16" t="str">
        <f>IFERROR(__xludf.DUMMYFUNCTION("""COMPUTED_VALUE"""),"одяг та взуття для спортсменів")</f>
        <v>одяг та взуття для спортсменів</v>
      </c>
      <c r="D3614" s="16" t="str">
        <f>IFERROR(__xludf.DUMMYFUNCTION("""COMPUTED_VALUE"""),"окуляри для спорту")</f>
        <v>окуляри для спорту</v>
      </c>
      <c r="E3614" s="16" t="str">
        <f>IFERROR(__xludf.DUMMYFUNCTION("""COMPUTED_VALUE"""),"окуляри для спорту")</f>
        <v>окуляри для спорту</v>
      </c>
      <c r="F3614" s="17">
        <f>IFERROR(__xludf.DUMMYFUNCTION("""COMPUTED_VALUE"""),3.0)</f>
        <v>3</v>
      </c>
      <c r="G3614" s="17" t="str">
        <f>IFERROR(__xludf.DUMMYFUNCTION("""COMPUTED_VALUE"""),"361230")</f>
        <v>361230</v>
      </c>
      <c r="H3614" s="17" t="str">
        <f>IFERROR(__xludf.DUMMYFUNCTION("""COMPUTED_VALUE"""),"окуляри для спорту")</f>
        <v>окуляри для спорту</v>
      </c>
      <c r="I3614" s="19">
        <f>IFERROR(__xludf.DUMMYFUNCTION("""COMPUTED_VALUE"""),0.0778)</f>
        <v>0.0778</v>
      </c>
      <c r="J3614" s="19">
        <f>IFERROR(__xludf.DUMMYFUNCTION("""COMPUTED_VALUE"""),0.1556)</f>
        <v>0.1556</v>
      </c>
      <c r="K3614" s="19">
        <f>IFERROR(__xludf.DUMMYFUNCTION("""COMPUTED_VALUE"""),0.1945)</f>
        <v>0.1945</v>
      </c>
      <c r="L3614" s="19">
        <f>IFERROR(__xludf.DUMMYFUNCTION("""COMPUTED_VALUE"""),0.2334)</f>
        <v>0.2334</v>
      </c>
      <c r="M3614" s="18">
        <f>IFERROR(__xludf.DUMMYFUNCTION("""COMPUTED_VALUE"""),1.71)</f>
        <v>1.71</v>
      </c>
    </row>
    <row r="3615">
      <c r="A3615" s="13" t="str">
        <f>IFERROR(__xludf.DUMMYFUNCTION("""COMPUTED_VALUE"""),"товари")</f>
        <v>товари</v>
      </c>
      <c r="B3615" s="16" t="str">
        <f>IFERROR(__xludf.DUMMYFUNCTION("""COMPUTED_VALUE"""),"спорт і відпочинок")</f>
        <v>спорт і відпочинок</v>
      </c>
      <c r="C3615" s="16" t="str">
        <f>IFERROR(__xludf.DUMMYFUNCTION("""COMPUTED_VALUE"""),"товари для полювання")</f>
        <v>товари для полювання</v>
      </c>
      <c r="D3615" s="16" t="str">
        <f>IFERROR(__xludf.DUMMYFUNCTION("""COMPUTED_VALUE"""),"аксесуари для мисливських рушниць")</f>
        <v>аксесуари для мисливських рушниць</v>
      </c>
      <c r="E3615" s="16" t="str">
        <f>IFERROR(__xludf.DUMMYFUNCTION("""COMPUTED_VALUE"""),"оливи та мастила для рушниць")</f>
        <v>оливи та мастила для рушниць</v>
      </c>
      <c r="F3615" s="17">
        <f>IFERROR(__xludf.DUMMYFUNCTION("""COMPUTED_VALUE"""),4.0)</f>
        <v>4</v>
      </c>
      <c r="G3615" s="17" t="str">
        <f>IFERROR(__xludf.DUMMYFUNCTION("""COMPUTED_VALUE"""),"181614")</f>
        <v>181614</v>
      </c>
      <c r="H3615" s="17" t="str">
        <f>IFERROR(__xludf.DUMMYFUNCTION("""COMPUTED_VALUE"""),"оливи та мастила для рушниць")</f>
        <v>оливи та мастила для рушниць</v>
      </c>
      <c r="I3615" s="19">
        <f>IFERROR(__xludf.DUMMYFUNCTION("""COMPUTED_VALUE"""),0.0587)</f>
        <v>0.0587</v>
      </c>
      <c r="J3615" s="19">
        <f>IFERROR(__xludf.DUMMYFUNCTION("""COMPUTED_VALUE"""),0.1174)</f>
        <v>0.1174</v>
      </c>
      <c r="K3615" s="19">
        <f>IFERROR(__xludf.DUMMYFUNCTION("""COMPUTED_VALUE"""),0.1468)</f>
        <v>0.1468</v>
      </c>
      <c r="L3615" s="19">
        <f>IFERROR(__xludf.DUMMYFUNCTION("""COMPUTED_VALUE"""),0.1761)</f>
        <v>0.1761</v>
      </c>
      <c r="M3615" s="18">
        <f>IFERROR(__xludf.DUMMYFUNCTION("""COMPUTED_VALUE"""),1.44)</f>
        <v>1.44</v>
      </c>
    </row>
    <row r="3616">
      <c r="A3616" s="13" t="str">
        <f>IFERROR(__xludf.DUMMYFUNCTION("""COMPUTED_VALUE"""),"товари")</f>
        <v>товари</v>
      </c>
      <c r="B3616" s="16" t="str">
        <f>IFERROR(__xludf.DUMMYFUNCTION("""COMPUTED_VALUE"""),"спорт і відпочинок")</f>
        <v>спорт і відпочинок</v>
      </c>
      <c r="C3616" s="16" t="str">
        <f>IFERROR(__xludf.DUMMYFUNCTION("""COMPUTED_VALUE"""),"товари для полювання")</f>
        <v>товари для полювання</v>
      </c>
      <c r="D3616" s="16" t="str">
        <f>IFERROR(__xludf.DUMMYFUNCTION("""COMPUTED_VALUE"""),"приманки для полювання")</f>
        <v>приманки для полювання</v>
      </c>
      <c r="E3616" s="16" t="str">
        <f>IFERROR(__xludf.DUMMYFUNCTION("""COMPUTED_VALUE"""),"опудала для полювання")</f>
        <v>опудала для полювання</v>
      </c>
      <c r="F3616" s="17">
        <f>IFERROR(__xludf.DUMMYFUNCTION("""COMPUTED_VALUE"""),4.0)</f>
        <v>4</v>
      </c>
      <c r="G3616" s="17" t="str">
        <f>IFERROR(__xludf.DUMMYFUNCTION("""COMPUTED_VALUE"""),"180311")</f>
        <v>180311</v>
      </c>
      <c r="H3616" s="17" t="str">
        <f>IFERROR(__xludf.DUMMYFUNCTION("""COMPUTED_VALUE"""),"опудала для полювання")</f>
        <v>опудала для полювання</v>
      </c>
      <c r="I3616" s="19">
        <f>IFERROR(__xludf.DUMMYFUNCTION("""COMPUTED_VALUE"""),0.057)</f>
        <v>0.057</v>
      </c>
      <c r="J3616" s="19">
        <f>IFERROR(__xludf.DUMMYFUNCTION("""COMPUTED_VALUE"""),0.1139)</f>
        <v>0.1139</v>
      </c>
      <c r="K3616" s="19">
        <f>IFERROR(__xludf.DUMMYFUNCTION("""COMPUTED_VALUE"""),0.1424)</f>
        <v>0.1424</v>
      </c>
      <c r="L3616" s="19">
        <f>IFERROR(__xludf.DUMMYFUNCTION("""COMPUTED_VALUE"""),0.1709)</f>
        <v>0.1709</v>
      </c>
      <c r="M3616" s="18">
        <f>IFERROR(__xludf.DUMMYFUNCTION("""COMPUTED_VALUE"""),1.44)</f>
        <v>1.44</v>
      </c>
    </row>
    <row r="3617">
      <c r="A3617" s="13" t="str">
        <f>IFERROR(__xludf.DUMMYFUNCTION("""COMPUTED_VALUE"""),"товари")</f>
        <v>товари</v>
      </c>
      <c r="B3617" s="16" t="str">
        <f>IFERROR(__xludf.DUMMYFUNCTION("""COMPUTED_VALUE"""),"спорт і відпочинок")</f>
        <v>спорт і відпочинок</v>
      </c>
      <c r="C3617" s="16" t="str">
        <f>IFERROR(__xludf.DUMMYFUNCTION("""COMPUTED_VALUE"""),"спортивні товари")</f>
        <v>спортивні товари</v>
      </c>
      <c r="D3617" s="16" t="str">
        <f>IFERROR(__xludf.DUMMYFUNCTION("""COMPUTED_VALUE"""),"спортивні пістолети та рушниці")</f>
        <v>спортивні пістолети та рушниці</v>
      </c>
      <c r="E3617" s="16" t="str">
        <f>IFERROR(__xludf.DUMMYFUNCTION("""COMPUTED_VALUE"""),"патрони для сигнальної та стартової зброї")</f>
        <v>патрони для сигнальної та стартової зброї</v>
      </c>
      <c r="F3617" s="17">
        <f>IFERROR(__xludf.DUMMYFUNCTION("""COMPUTED_VALUE"""),4.0)</f>
        <v>4</v>
      </c>
      <c r="G3617" s="17" t="str">
        <f>IFERROR(__xludf.DUMMYFUNCTION("""COMPUTED_VALUE"""),"302127")</f>
        <v>302127</v>
      </c>
      <c r="H3617" s="17" t="str">
        <f>IFERROR(__xludf.DUMMYFUNCTION("""COMPUTED_VALUE"""),"патрони для сигнальної та стартової зброї")</f>
        <v>патрони для сигнальної та стартової зброї</v>
      </c>
      <c r="I3617" s="19">
        <f>IFERROR(__xludf.DUMMYFUNCTION("""COMPUTED_VALUE"""),0.0572)</f>
        <v>0.0572</v>
      </c>
      <c r="J3617" s="19">
        <f>IFERROR(__xludf.DUMMYFUNCTION("""COMPUTED_VALUE"""),0.1143)</f>
        <v>0.1143</v>
      </c>
      <c r="K3617" s="19">
        <f>IFERROR(__xludf.DUMMYFUNCTION("""COMPUTED_VALUE"""),0.1429)</f>
        <v>0.1429</v>
      </c>
      <c r="L3617" s="19">
        <f>IFERROR(__xludf.DUMMYFUNCTION("""COMPUTED_VALUE"""),0.1715)</f>
        <v>0.1715</v>
      </c>
      <c r="M3617" s="18">
        <f>IFERROR(__xludf.DUMMYFUNCTION("""COMPUTED_VALUE"""),2.25)</f>
        <v>2.25</v>
      </c>
    </row>
    <row r="3618">
      <c r="A3618" s="13" t="str">
        <f>IFERROR(__xludf.DUMMYFUNCTION("""COMPUTED_VALUE"""),"товари")</f>
        <v>товари</v>
      </c>
      <c r="B3618" s="16" t="str">
        <f>IFERROR(__xludf.DUMMYFUNCTION("""COMPUTED_VALUE"""),"спорт і відпочинок")</f>
        <v>спорт і відпочинок</v>
      </c>
      <c r="C3618" s="16" t="str">
        <f>IFERROR(__xludf.DUMMYFUNCTION("""COMPUTED_VALUE"""),"велосипеди та аксесуари")</f>
        <v>велосипеди та аксесуари</v>
      </c>
      <c r="D3618" s="16" t="str">
        <f>IFERROR(__xludf.DUMMYFUNCTION("""COMPUTED_VALUE"""),"велозапчастини")</f>
        <v>велозапчастини</v>
      </c>
      <c r="E3618" s="16" t="str">
        <f>IFERROR(__xludf.DUMMYFUNCTION("""COMPUTED_VALUE"""),"педалі, тукліпси, ремінці")</f>
        <v>педалі, тукліпси, ремінці</v>
      </c>
      <c r="F3618" s="17">
        <f>IFERROR(__xludf.DUMMYFUNCTION("""COMPUTED_VALUE"""),4.0)</f>
        <v>4</v>
      </c>
      <c r="G3618" s="17" t="str">
        <f>IFERROR(__xludf.DUMMYFUNCTION("""COMPUTED_VALUE"""),"122206")</f>
        <v>122206</v>
      </c>
      <c r="H3618" s="17" t="str">
        <f>IFERROR(__xludf.DUMMYFUNCTION("""COMPUTED_VALUE"""),"педалі, тукліпси, ремінці")</f>
        <v>педалі, тукліпси, ремінці</v>
      </c>
      <c r="I3618" s="19">
        <f>IFERROR(__xludf.DUMMYFUNCTION("""COMPUTED_VALUE"""),0.0773)</f>
        <v>0.0773</v>
      </c>
      <c r="J3618" s="19">
        <f>IFERROR(__xludf.DUMMYFUNCTION("""COMPUTED_VALUE"""),0.1545)</f>
        <v>0.1545</v>
      </c>
      <c r="K3618" s="19">
        <f>IFERROR(__xludf.DUMMYFUNCTION("""COMPUTED_VALUE"""),0.1931)</f>
        <v>0.1931</v>
      </c>
      <c r="L3618" s="19">
        <f>IFERROR(__xludf.DUMMYFUNCTION("""COMPUTED_VALUE"""),0.2318)</f>
        <v>0.2318</v>
      </c>
      <c r="M3618" s="18">
        <f>IFERROR(__xludf.DUMMYFUNCTION("""COMPUTED_VALUE"""),1.71)</f>
        <v>1.71</v>
      </c>
    </row>
    <row r="3619">
      <c r="A3619" s="13" t="str">
        <f>IFERROR(__xludf.DUMMYFUNCTION("""COMPUTED_VALUE"""),"товари")</f>
        <v>товари</v>
      </c>
      <c r="B3619" s="16" t="str">
        <f>IFERROR(__xludf.DUMMYFUNCTION("""COMPUTED_VALUE"""),"спорт і відпочинок")</f>
        <v>спорт і відпочинок</v>
      </c>
      <c r="C3619" s="16" t="str">
        <f>IFERROR(__xludf.DUMMYFUNCTION("""COMPUTED_VALUE"""),"військово-спортивні ігри")</f>
        <v>військово-спортивні ігри</v>
      </c>
      <c r="D3619" s="16" t="str">
        <f>IFERROR(__xludf.DUMMYFUNCTION("""COMPUTED_VALUE"""),"пейнтбольне спорядження")</f>
        <v>пейнтбольне спорядження</v>
      </c>
      <c r="E3619" s="16" t="str">
        <f>IFERROR(__xludf.DUMMYFUNCTION("""COMPUTED_VALUE"""),"пейнтбольне спорядження, загальне")</f>
        <v>пейнтбольне спорядження, загальне</v>
      </c>
      <c r="F3619" s="17">
        <f>IFERROR(__xludf.DUMMYFUNCTION("""COMPUTED_VALUE"""),4.0)</f>
        <v>4</v>
      </c>
      <c r="G3619" s="17" t="str">
        <f>IFERROR(__xludf.DUMMYFUNCTION("""COMPUTED_VALUE"""),"181704")</f>
        <v>181704</v>
      </c>
      <c r="H3619" s="17" t="str">
        <f>IFERROR(__xludf.DUMMYFUNCTION("""COMPUTED_VALUE"""),"пейнтбольне спорядження, загальне")</f>
        <v>пейнтбольне спорядження, загальне</v>
      </c>
      <c r="I3619" s="19">
        <f>IFERROR(__xludf.DUMMYFUNCTION("""COMPUTED_VALUE"""),0.125)</f>
        <v>0.125</v>
      </c>
      <c r="J3619" s="19">
        <f>IFERROR(__xludf.DUMMYFUNCTION("""COMPUTED_VALUE"""),0.25)</f>
        <v>0.25</v>
      </c>
      <c r="K3619" s="19">
        <f>IFERROR(__xludf.DUMMYFUNCTION("""COMPUTED_VALUE"""),0.3125)</f>
        <v>0.3125</v>
      </c>
      <c r="L3619" s="19">
        <f>IFERROR(__xludf.DUMMYFUNCTION("""COMPUTED_VALUE"""),0.375)</f>
        <v>0.375</v>
      </c>
      <c r="M3619" s="18">
        <f>IFERROR(__xludf.DUMMYFUNCTION("""COMPUTED_VALUE"""),4.33)</f>
        <v>4.33</v>
      </c>
    </row>
    <row r="3620">
      <c r="A3620" s="13" t="str">
        <f>IFERROR(__xludf.DUMMYFUNCTION("""COMPUTED_VALUE"""),"товари")</f>
        <v>товари</v>
      </c>
      <c r="B3620" s="16" t="str">
        <f>IFERROR(__xludf.DUMMYFUNCTION("""COMPUTED_VALUE"""),"спорт і відпочинок")</f>
        <v>спорт і відпочинок</v>
      </c>
      <c r="C3620" s="16" t="str">
        <f>IFERROR(__xludf.DUMMYFUNCTION("""COMPUTED_VALUE"""),"військово-спортивні ігри")</f>
        <v>військово-спортивні ігри</v>
      </c>
      <c r="D3620" s="16" t="str">
        <f>IFERROR(__xludf.DUMMYFUNCTION("""COMPUTED_VALUE"""),"пейнтбольне спорядження")</f>
        <v>пейнтбольне спорядження</v>
      </c>
      <c r="E3620" s="16" t="str">
        <f>IFERROR(__xludf.DUMMYFUNCTION("""COMPUTED_VALUE"""),"пейнтбольні, страйкбольні маски та захист")</f>
        <v>пейнтбольні, страйкбольні маски та захист</v>
      </c>
      <c r="F3620" s="17">
        <f>IFERROR(__xludf.DUMMYFUNCTION("""COMPUTED_VALUE"""),4.0)</f>
        <v>4</v>
      </c>
      <c r="G3620" s="17" t="str">
        <f>IFERROR(__xludf.DUMMYFUNCTION("""COMPUTED_VALUE"""),"181702")</f>
        <v>181702</v>
      </c>
      <c r="H3620" s="17" t="str">
        <f>IFERROR(__xludf.DUMMYFUNCTION("""COMPUTED_VALUE"""),"пейнтбольні, страйкбольні маски та захист")</f>
        <v>пейнтбольні, страйкбольні маски та захист</v>
      </c>
      <c r="I3620" s="19">
        <f>IFERROR(__xludf.DUMMYFUNCTION("""COMPUTED_VALUE"""),0.0602)</f>
        <v>0.0602</v>
      </c>
      <c r="J3620" s="19">
        <f>IFERROR(__xludf.DUMMYFUNCTION("""COMPUTED_VALUE"""),0.1204)</f>
        <v>0.1204</v>
      </c>
      <c r="K3620" s="19">
        <f>IFERROR(__xludf.DUMMYFUNCTION("""COMPUTED_VALUE"""),0.1505)</f>
        <v>0.1505</v>
      </c>
      <c r="L3620" s="19">
        <f>IFERROR(__xludf.DUMMYFUNCTION("""COMPUTED_VALUE"""),0.1806)</f>
        <v>0.1806</v>
      </c>
      <c r="M3620" s="18">
        <f>IFERROR(__xludf.DUMMYFUNCTION("""COMPUTED_VALUE"""),1.53)</f>
        <v>1.53</v>
      </c>
    </row>
    <row r="3621">
      <c r="A3621" s="13" t="str">
        <f>IFERROR(__xludf.DUMMYFUNCTION("""COMPUTED_VALUE"""),"товари")</f>
        <v>товари</v>
      </c>
      <c r="B3621" s="16" t="str">
        <f>IFERROR(__xludf.DUMMYFUNCTION("""COMPUTED_VALUE"""),"спорт і відпочинок")</f>
        <v>спорт і відпочинок</v>
      </c>
      <c r="C3621" s="16" t="str">
        <f>IFERROR(__xludf.DUMMYFUNCTION("""COMPUTED_VALUE"""),"товари для полювання")</f>
        <v>товари для полювання</v>
      </c>
      <c r="D3621" s="16" t="str">
        <f>IFERROR(__xludf.DUMMYFUNCTION("""COMPUTED_VALUE"""),"переноски, підвіси для дичини")</f>
        <v>переноски, підвіси для дичини</v>
      </c>
      <c r="E3621" s="16" t="str">
        <f>IFERROR(__xludf.DUMMYFUNCTION("""COMPUTED_VALUE"""),"переноски, підвіси для дичини")</f>
        <v>переноски, підвіси для дичини</v>
      </c>
      <c r="F3621" s="17">
        <f>IFERROR(__xludf.DUMMYFUNCTION("""COMPUTED_VALUE"""),3.0)</f>
        <v>3</v>
      </c>
      <c r="G3621" s="17" t="str">
        <f>IFERROR(__xludf.DUMMYFUNCTION("""COMPUTED_VALUE"""),"180306")</f>
        <v>180306</v>
      </c>
      <c r="H3621" s="17" t="str">
        <f>IFERROR(__xludf.DUMMYFUNCTION("""COMPUTED_VALUE"""),"переноски, підвіси для дичини")</f>
        <v>переноски, підвіси для дичини</v>
      </c>
      <c r="I3621" s="19">
        <f>IFERROR(__xludf.DUMMYFUNCTION("""COMPUTED_VALUE"""),0.0447)</f>
        <v>0.0447</v>
      </c>
      <c r="J3621" s="19">
        <f>IFERROR(__xludf.DUMMYFUNCTION("""COMPUTED_VALUE"""),0.0893)</f>
        <v>0.0893</v>
      </c>
      <c r="K3621" s="19">
        <f>IFERROR(__xludf.DUMMYFUNCTION("""COMPUTED_VALUE"""),0.1116)</f>
        <v>0.1116</v>
      </c>
      <c r="L3621" s="19">
        <f>IFERROR(__xludf.DUMMYFUNCTION("""COMPUTED_VALUE"""),0.134)</f>
        <v>0.134</v>
      </c>
      <c r="M3621" s="18">
        <f>IFERROR(__xludf.DUMMYFUNCTION("""COMPUTED_VALUE"""),1.63)</f>
        <v>1.63</v>
      </c>
    </row>
    <row r="3622">
      <c r="A3622" s="13" t="str">
        <f>IFERROR(__xludf.DUMMYFUNCTION("""COMPUTED_VALUE"""),"товари")</f>
        <v>товари</v>
      </c>
      <c r="B3622" s="16" t="str">
        <f>IFERROR(__xludf.DUMMYFUNCTION("""COMPUTED_VALUE"""),"спорт і відпочинок")</f>
        <v>спорт і відпочинок</v>
      </c>
      <c r="C3622" s="16" t="str">
        <f>IFERROR(__xludf.DUMMYFUNCTION("""COMPUTED_VALUE"""),"товари для туризму та подорожей")</f>
        <v>товари для туризму та подорожей</v>
      </c>
      <c r="D3622" s="16" t="str">
        <f>IFERROR(__xludf.DUMMYFUNCTION("""COMPUTED_VALUE"""),"переносне освітлення")</f>
        <v>переносне освітлення</v>
      </c>
      <c r="E3622" s="16" t="str">
        <f>IFERROR(__xludf.DUMMYFUNCTION("""COMPUTED_VALUE"""),"переносне освітлення, загальне")</f>
        <v>переносне освітлення, загальне</v>
      </c>
      <c r="F3622" s="17">
        <f>IFERROR(__xludf.DUMMYFUNCTION("""COMPUTED_VALUE"""),4.0)</f>
        <v>4</v>
      </c>
      <c r="G3622" s="17" t="str">
        <f>IFERROR(__xludf.DUMMYFUNCTION("""COMPUTED_VALUE"""),"39050399")</f>
        <v>39050399</v>
      </c>
      <c r="H3622" s="17" t="str">
        <f>IFERROR(__xludf.DUMMYFUNCTION("""COMPUTED_VALUE"""),"переносне освітлення, загальне")</f>
        <v>переносне освітлення, загальне</v>
      </c>
      <c r="I3622" s="19">
        <f>IFERROR(__xludf.DUMMYFUNCTION("""COMPUTED_VALUE"""),0.125)</f>
        <v>0.125</v>
      </c>
      <c r="J3622" s="19">
        <f>IFERROR(__xludf.DUMMYFUNCTION("""COMPUTED_VALUE"""),0.25)</f>
        <v>0.25</v>
      </c>
      <c r="K3622" s="19">
        <f>IFERROR(__xludf.DUMMYFUNCTION("""COMPUTED_VALUE"""),0.3125)</f>
        <v>0.3125</v>
      </c>
      <c r="L3622" s="19">
        <f>IFERROR(__xludf.DUMMYFUNCTION("""COMPUTED_VALUE"""),0.375)</f>
        <v>0.375</v>
      </c>
      <c r="M3622" s="18">
        <f>IFERROR(__xludf.DUMMYFUNCTION("""COMPUTED_VALUE"""),4.33)</f>
        <v>4.33</v>
      </c>
    </row>
    <row r="3623">
      <c r="A3623" s="13" t="str">
        <f>IFERROR(__xludf.DUMMYFUNCTION("""COMPUTED_VALUE"""),"товари")</f>
        <v>товари</v>
      </c>
      <c r="B3623" s="16" t="str">
        <f>IFERROR(__xludf.DUMMYFUNCTION("""COMPUTED_VALUE"""),"спорт і відпочинок")</f>
        <v>спорт і відпочинок</v>
      </c>
      <c r="C3623" s="16" t="str">
        <f>IFERROR(__xludf.DUMMYFUNCTION("""COMPUTED_VALUE"""),"товари для туризму та подорожей")</f>
        <v>товари для туризму та подорожей</v>
      </c>
      <c r="D3623" s="16" t="str">
        <f>IFERROR(__xludf.DUMMYFUNCTION("""COMPUTED_VALUE"""),"переносне освітлення")</f>
        <v>переносне освітлення</v>
      </c>
      <c r="E3623" s="16" t="str">
        <f>IFERROR(__xludf.DUMMYFUNCTION("""COMPUTED_VALUE"""),"переносні світильники")</f>
        <v>переносні світильники</v>
      </c>
      <c r="F3623" s="17">
        <f>IFERROR(__xludf.DUMMYFUNCTION("""COMPUTED_VALUE"""),4.0)</f>
        <v>4</v>
      </c>
      <c r="G3623" s="17" t="str">
        <f>IFERROR(__xludf.DUMMYFUNCTION("""COMPUTED_VALUE"""),"39050303")</f>
        <v>39050303</v>
      </c>
      <c r="H3623" s="17" t="str">
        <f>IFERROR(__xludf.DUMMYFUNCTION("""COMPUTED_VALUE"""),"переносні світильники")</f>
        <v>переносні світильники</v>
      </c>
      <c r="I3623" s="19">
        <f>IFERROR(__xludf.DUMMYFUNCTION("""COMPUTED_VALUE"""),0.0748)</f>
        <v>0.0748</v>
      </c>
      <c r="J3623" s="19">
        <f>IFERROR(__xludf.DUMMYFUNCTION("""COMPUTED_VALUE"""),0.1496)</f>
        <v>0.1496</v>
      </c>
      <c r="K3623" s="19">
        <f>IFERROR(__xludf.DUMMYFUNCTION("""COMPUTED_VALUE"""),0.187)</f>
        <v>0.187</v>
      </c>
      <c r="L3623" s="19">
        <f>IFERROR(__xludf.DUMMYFUNCTION("""COMPUTED_VALUE"""),0.2244)</f>
        <v>0.2244</v>
      </c>
      <c r="M3623" s="18">
        <f>IFERROR(__xludf.DUMMYFUNCTION("""COMPUTED_VALUE"""),1.44)</f>
        <v>1.44</v>
      </c>
    </row>
    <row r="3624">
      <c r="A3624" s="13" t="str">
        <f>IFERROR(__xludf.DUMMYFUNCTION("""COMPUTED_VALUE"""),"товари")</f>
        <v>товари</v>
      </c>
      <c r="B3624" s="16" t="str">
        <f>IFERROR(__xludf.DUMMYFUNCTION("""COMPUTED_VALUE"""),"спорт і відпочинок")</f>
        <v>спорт і відпочинок</v>
      </c>
      <c r="C3624" s="16" t="str">
        <f>IFERROR(__xludf.DUMMYFUNCTION("""COMPUTED_VALUE"""),"екстремальні види спорту")</f>
        <v>екстремальні види спорту</v>
      </c>
      <c r="D3624" s="16" t="str">
        <f>IFERROR(__xludf.DUMMYFUNCTION("""COMPUTED_VALUE"""),"альпінізм")</f>
        <v>альпінізм</v>
      </c>
      <c r="E3624" s="16" t="str">
        <f>IFERROR(__xludf.DUMMYFUNCTION("""COMPUTED_VALUE"""),"петлі, самостраховки, відтяжки, драбинки")</f>
        <v>петлі, самостраховки, відтяжки, драбинки</v>
      </c>
      <c r="F3624" s="17">
        <f>IFERROR(__xludf.DUMMYFUNCTION("""COMPUTED_VALUE"""),4.0)</f>
        <v>4</v>
      </c>
      <c r="G3624" s="17" t="str">
        <f>IFERROR(__xludf.DUMMYFUNCTION("""COMPUTED_VALUE"""),"203539")</f>
        <v>203539</v>
      </c>
      <c r="H3624" s="17" t="str">
        <f>IFERROR(__xludf.DUMMYFUNCTION("""COMPUTED_VALUE"""),"петлі, самостраховки, відтяжки, драбинки")</f>
        <v>петлі, самостраховки, відтяжки, драбинки</v>
      </c>
      <c r="I3624" s="19">
        <f>IFERROR(__xludf.DUMMYFUNCTION("""COMPUTED_VALUE"""),0.0786)</f>
        <v>0.0786</v>
      </c>
      <c r="J3624" s="19">
        <f>IFERROR(__xludf.DUMMYFUNCTION("""COMPUTED_VALUE"""),0.1571)</f>
        <v>0.1571</v>
      </c>
      <c r="K3624" s="19">
        <f>IFERROR(__xludf.DUMMYFUNCTION("""COMPUTED_VALUE"""),0.1964)</f>
        <v>0.1964</v>
      </c>
      <c r="L3624" s="19">
        <f>IFERROR(__xludf.DUMMYFUNCTION("""COMPUTED_VALUE"""),0.2357)</f>
        <v>0.2357</v>
      </c>
      <c r="M3624" s="18">
        <f>IFERROR(__xludf.DUMMYFUNCTION("""COMPUTED_VALUE"""),1.8)</f>
        <v>1.8</v>
      </c>
    </row>
    <row r="3625">
      <c r="A3625" s="13" t="str">
        <f>IFERROR(__xludf.DUMMYFUNCTION("""COMPUTED_VALUE"""),"товари")</f>
        <v>товари</v>
      </c>
      <c r="B3625" s="16" t="str">
        <f>IFERROR(__xludf.DUMMYFUNCTION("""COMPUTED_VALUE"""),"спорт і відпочинок")</f>
        <v>спорт і відпочинок</v>
      </c>
      <c r="C3625" s="16" t="str">
        <f>IFERROR(__xludf.DUMMYFUNCTION("""COMPUTED_VALUE"""),"товари для туризму та подорожей")</f>
        <v>товари для туризму та подорожей</v>
      </c>
      <c r="D3625" s="16" t="str">
        <f>IFERROR(__xludf.DUMMYFUNCTION("""COMPUTED_VALUE"""),"туристичні інструменти")</f>
        <v>туристичні інструменти</v>
      </c>
      <c r="E3625" s="16" t="str">
        <f>IFERROR(__xludf.DUMMYFUNCTION("""COMPUTED_VALUE"""),"питні системи, туристичні гідратори ")</f>
        <v>питні системи, туристичні гідратори </v>
      </c>
      <c r="F3625" s="17">
        <f>IFERROR(__xludf.DUMMYFUNCTION("""COMPUTED_VALUE"""),4.0)</f>
        <v>4</v>
      </c>
      <c r="G3625" s="17" t="str">
        <f>IFERROR(__xludf.DUMMYFUNCTION("""COMPUTED_VALUE"""),"240449")</f>
        <v>240449</v>
      </c>
      <c r="H3625" s="17" t="str">
        <f>IFERROR(__xludf.DUMMYFUNCTION("""COMPUTED_VALUE"""),"питні системи, туристичні гідратори ")</f>
        <v>питні системи, туристичні гідратори </v>
      </c>
      <c r="I3625" s="19">
        <f>IFERROR(__xludf.DUMMYFUNCTION("""COMPUTED_VALUE"""),0.0943)</f>
        <v>0.0943</v>
      </c>
      <c r="J3625" s="19">
        <f>IFERROR(__xludf.DUMMYFUNCTION("""COMPUTED_VALUE"""),0.1886)</f>
        <v>0.1886</v>
      </c>
      <c r="K3625" s="19">
        <f>IFERROR(__xludf.DUMMYFUNCTION("""COMPUTED_VALUE"""),0.2358)</f>
        <v>0.2358</v>
      </c>
      <c r="L3625" s="19">
        <f>IFERROR(__xludf.DUMMYFUNCTION("""COMPUTED_VALUE"""),0.2829)</f>
        <v>0.2829</v>
      </c>
      <c r="M3625" s="18">
        <f>IFERROR(__xludf.DUMMYFUNCTION("""COMPUTED_VALUE"""),1.8)</f>
        <v>1.8</v>
      </c>
    </row>
    <row r="3626">
      <c r="A3626" s="13" t="str">
        <f>IFERROR(__xludf.DUMMYFUNCTION("""COMPUTED_VALUE"""),"товари")</f>
        <v>товари</v>
      </c>
      <c r="B3626" s="16" t="str">
        <f>IFERROR(__xludf.DUMMYFUNCTION("""COMPUTED_VALUE"""),"спорт і відпочинок")</f>
        <v>спорт і відпочинок</v>
      </c>
      <c r="C3626" s="16" t="str">
        <f>IFERROR(__xludf.DUMMYFUNCTION("""COMPUTED_VALUE"""),"велосипеди та аксесуари")</f>
        <v>велосипеди та аксесуари</v>
      </c>
      <c r="D3626" s="16" t="str">
        <f>IFERROR(__xludf.DUMMYFUNCTION("""COMPUTED_VALUE"""),"підвіси, стійки для велосипедів")</f>
        <v>підвіси, стійки для велосипедів</v>
      </c>
      <c r="E3626" s="16" t="str">
        <f>IFERROR(__xludf.DUMMYFUNCTION("""COMPUTED_VALUE"""),"підвіси, стійки для велосипедів")</f>
        <v>підвіси, стійки для велосипедів</v>
      </c>
      <c r="F3626" s="17">
        <f>IFERROR(__xludf.DUMMYFUNCTION("""COMPUTED_VALUE"""),3.0)</f>
        <v>3</v>
      </c>
      <c r="G3626" s="17" t="str">
        <f>IFERROR(__xludf.DUMMYFUNCTION("""COMPUTED_VALUE"""),"182103")</f>
        <v>182103</v>
      </c>
      <c r="H3626" s="17" t="str">
        <f>IFERROR(__xludf.DUMMYFUNCTION("""COMPUTED_VALUE"""),"підвіси, стійки для велосипедів")</f>
        <v>підвіси, стійки для велосипедів</v>
      </c>
      <c r="I3626" s="19">
        <f>IFERROR(__xludf.DUMMYFUNCTION("""COMPUTED_VALUE"""),0.0547)</f>
        <v>0.0547</v>
      </c>
      <c r="J3626" s="19">
        <f>IFERROR(__xludf.DUMMYFUNCTION("""COMPUTED_VALUE"""),0.1093)</f>
        <v>0.1093</v>
      </c>
      <c r="K3626" s="19">
        <f>IFERROR(__xludf.DUMMYFUNCTION("""COMPUTED_VALUE"""),0.1366)</f>
        <v>0.1366</v>
      </c>
      <c r="L3626" s="19">
        <f>IFERROR(__xludf.DUMMYFUNCTION("""COMPUTED_VALUE"""),0.164)</f>
        <v>0.164</v>
      </c>
      <c r="M3626" s="18">
        <f>IFERROR(__xludf.DUMMYFUNCTION("""COMPUTED_VALUE"""),1.05)</f>
        <v>1.05</v>
      </c>
    </row>
    <row r="3627">
      <c r="A3627" s="13" t="str">
        <f>IFERROR(__xludf.DUMMYFUNCTION("""COMPUTED_VALUE"""),"товари")</f>
        <v>товари</v>
      </c>
      <c r="B3627" s="16" t="str">
        <f>IFERROR(__xludf.DUMMYFUNCTION("""COMPUTED_VALUE"""),"спорт і відпочинок")</f>
        <v>спорт і відпочинок</v>
      </c>
      <c r="C3627" s="16" t="str">
        <f>IFERROR(__xludf.DUMMYFUNCTION("""COMPUTED_VALUE"""),"екстремальні види спорту")</f>
        <v>екстремальні види спорту</v>
      </c>
      <c r="D3627" s="16" t="str">
        <f>IFERROR(__xludf.DUMMYFUNCTION("""COMPUTED_VALUE"""),"дайвінг")</f>
        <v>дайвінг</v>
      </c>
      <c r="E3627" s="16" t="str">
        <f>IFERROR(__xludf.DUMMYFUNCTION("""COMPUTED_VALUE"""),"підводні комп'ютери")</f>
        <v>підводні комп'ютери</v>
      </c>
      <c r="F3627" s="17">
        <f>IFERROR(__xludf.DUMMYFUNCTION("""COMPUTED_VALUE"""),4.0)</f>
        <v>4</v>
      </c>
      <c r="G3627" s="17" t="str">
        <f>IFERROR(__xludf.DUMMYFUNCTION("""COMPUTED_VALUE"""),"203427")</f>
        <v>203427</v>
      </c>
      <c r="H3627" s="17" t="str">
        <f>IFERROR(__xludf.DUMMYFUNCTION("""COMPUTED_VALUE"""),"підводні комп'ютери")</f>
        <v>підводні комп'ютери</v>
      </c>
      <c r="I3627" s="19">
        <f>IFERROR(__xludf.DUMMYFUNCTION("""COMPUTED_VALUE"""),0.0531)</f>
        <v>0.0531</v>
      </c>
      <c r="J3627" s="19">
        <f>IFERROR(__xludf.DUMMYFUNCTION("""COMPUTED_VALUE"""),0.1061)</f>
        <v>0.1061</v>
      </c>
      <c r="K3627" s="19">
        <f>IFERROR(__xludf.DUMMYFUNCTION("""COMPUTED_VALUE"""),0.1326)</f>
        <v>0.1326</v>
      </c>
      <c r="L3627" s="19">
        <f>IFERROR(__xludf.DUMMYFUNCTION("""COMPUTED_VALUE"""),0.1592)</f>
        <v>0.1592</v>
      </c>
      <c r="M3627" s="18">
        <f>IFERROR(__xludf.DUMMYFUNCTION("""COMPUTED_VALUE"""),2.88)</f>
        <v>2.88</v>
      </c>
    </row>
    <row r="3628">
      <c r="A3628" s="13" t="str">
        <f>IFERROR(__xludf.DUMMYFUNCTION("""COMPUTED_VALUE"""),"товари")</f>
        <v>товари</v>
      </c>
      <c r="B3628" s="16" t="str">
        <f>IFERROR(__xludf.DUMMYFUNCTION("""COMPUTED_VALUE"""),"спорт і відпочинок")</f>
        <v>спорт і відпочинок</v>
      </c>
      <c r="C3628" s="16" t="str">
        <f>IFERROR(__xludf.DUMMYFUNCTION("""COMPUTED_VALUE"""),"товари для підводного полювання")</f>
        <v>товари для підводного полювання</v>
      </c>
      <c r="D3628" s="16" t="str">
        <f>IFERROR(__xludf.DUMMYFUNCTION("""COMPUTED_VALUE"""),"підводні рушниці")</f>
        <v>підводні рушниці</v>
      </c>
      <c r="E3628" s="16" t="str">
        <f>IFERROR(__xludf.DUMMYFUNCTION("""COMPUTED_VALUE"""),"підводні рушниці, загальне")</f>
        <v>підводні рушниці, загальне</v>
      </c>
      <c r="F3628" s="17">
        <f>IFERROR(__xludf.DUMMYFUNCTION("""COMPUTED_VALUE"""),4.0)</f>
        <v>4</v>
      </c>
      <c r="G3628" s="17" t="str">
        <f>IFERROR(__xludf.DUMMYFUNCTION("""COMPUTED_VALUE"""),"302118")</f>
        <v>302118</v>
      </c>
      <c r="H3628" s="17" t="str">
        <f>IFERROR(__xludf.DUMMYFUNCTION("""COMPUTED_VALUE"""),"підводні рушниці, загальне")</f>
        <v>підводні рушниці, загальне</v>
      </c>
      <c r="I3628" s="19">
        <f>IFERROR(__xludf.DUMMYFUNCTION("""COMPUTED_VALUE"""),0.125)</f>
        <v>0.125</v>
      </c>
      <c r="J3628" s="19">
        <f>IFERROR(__xludf.DUMMYFUNCTION("""COMPUTED_VALUE"""),0.25)</f>
        <v>0.25</v>
      </c>
      <c r="K3628" s="19">
        <f>IFERROR(__xludf.DUMMYFUNCTION("""COMPUTED_VALUE"""),0.3125)</f>
        <v>0.3125</v>
      </c>
      <c r="L3628" s="19">
        <f>IFERROR(__xludf.DUMMYFUNCTION("""COMPUTED_VALUE"""),0.375)</f>
        <v>0.375</v>
      </c>
      <c r="M3628" s="18">
        <f>IFERROR(__xludf.DUMMYFUNCTION("""COMPUTED_VALUE"""),4.33)</f>
        <v>4.33</v>
      </c>
    </row>
    <row r="3629">
      <c r="A3629" s="13" t="str">
        <f>IFERROR(__xludf.DUMMYFUNCTION("""COMPUTED_VALUE"""),"товари")</f>
        <v>товари</v>
      </c>
      <c r="B3629" s="16" t="str">
        <f>IFERROR(__xludf.DUMMYFUNCTION("""COMPUTED_VALUE"""),"спорт і відпочинок")</f>
        <v>спорт і відпочинок</v>
      </c>
      <c r="C3629" s="16" t="str">
        <f>IFERROR(__xludf.DUMMYFUNCTION("""COMPUTED_VALUE"""),"товари для риболовлі")</f>
        <v>товари для риболовлі</v>
      </c>
      <c r="D3629" s="16" t="str">
        <f>IFERROR(__xludf.DUMMYFUNCTION("""COMPUTED_VALUE"""),"підставки для вудилищ")</f>
        <v>підставки для вудилищ</v>
      </c>
      <c r="E3629" s="16" t="str">
        <f>IFERROR(__xludf.DUMMYFUNCTION("""COMPUTED_VALUE"""),"підставки для вудилищ")</f>
        <v>підставки для вудилищ</v>
      </c>
      <c r="F3629" s="17">
        <f>IFERROR(__xludf.DUMMYFUNCTION("""COMPUTED_VALUE"""),3.0)</f>
        <v>3</v>
      </c>
      <c r="G3629" s="17" t="str">
        <f>IFERROR(__xludf.DUMMYFUNCTION("""COMPUTED_VALUE"""),"181022")</f>
        <v>181022</v>
      </c>
      <c r="H3629" s="17" t="str">
        <f>IFERROR(__xludf.DUMMYFUNCTION("""COMPUTED_VALUE"""),"підставки для вудилищ")</f>
        <v>підставки для вудилищ</v>
      </c>
      <c r="I3629" s="19">
        <f>IFERROR(__xludf.DUMMYFUNCTION("""COMPUTED_VALUE"""),0.0764)</f>
        <v>0.0764</v>
      </c>
      <c r="J3629" s="19">
        <f>IFERROR(__xludf.DUMMYFUNCTION("""COMPUTED_VALUE"""),0.1527)</f>
        <v>0.1527</v>
      </c>
      <c r="K3629" s="19">
        <f>IFERROR(__xludf.DUMMYFUNCTION("""COMPUTED_VALUE"""),0.1909)</f>
        <v>0.1909</v>
      </c>
      <c r="L3629" s="19">
        <f>IFERROR(__xludf.DUMMYFUNCTION("""COMPUTED_VALUE"""),0.2291)</f>
        <v>0.2291</v>
      </c>
      <c r="M3629" s="18">
        <f>IFERROR(__xludf.DUMMYFUNCTION("""COMPUTED_VALUE"""),1.05)</f>
        <v>1.05</v>
      </c>
    </row>
    <row r="3630">
      <c r="A3630" s="13" t="str">
        <f>IFERROR(__xludf.DUMMYFUNCTION("""COMPUTED_VALUE"""),"товари")</f>
        <v>товари</v>
      </c>
      <c r="B3630" s="16" t="str">
        <f>IFERROR(__xludf.DUMMYFUNCTION("""COMPUTED_VALUE"""),"спорт і відпочинок")</f>
        <v>спорт і відпочинок</v>
      </c>
      <c r="C3630" s="16" t="str">
        <f>IFERROR(__xludf.DUMMYFUNCTION("""COMPUTED_VALUE"""),"товари для туризму та подорожей")</f>
        <v>товари для туризму та подорожей</v>
      </c>
      <c r="D3630" s="16" t="str">
        <f>IFERROR(__xludf.DUMMYFUNCTION("""COMPUTED_VALUE"""),"туристичний посуд")</f>
        <v>туристичний посуд</v>
      </c>
      <c r="E3630" s="16" t="str">
        <f>IFERROR(__xludf.DUMMYFUNCTION("""COMPUTED_VALUE"""),"підставки і триноги для багаття")</f>
        <v>підставки і триноги для багаття</v>
      </c>
      <c r="F3630" s="17">
        <f>IFERROR(__xludf.DUMMYFUNCTION("""COMPUTED_VALUE"""),4.0)</f>
        <v>4</v>
      </c>
      <c r="G3630" s="17" t="str">
        <f>IFERROR(__xludf.DUMMYFUNCTION("""COMPUTED_VALUE"""),"240445")</f>
        <v>240445</v>
      </c>
      <c r="H3630" s="17" t="str">
        <f>IFERROR(__xludf.DUMMYFUNCTION("""COMPUTED_VALUE"""),"підставки і триноги для багаття")</f>
        <v>підставки і триноги для багаття</v>
      </c>
      <c r="I3630" s="19">
        <f>IFERROR(__xludf.DUMMYFUNCTION("""COMPUTED_VALUE"""),0.0743)</f>
        <v>0.0743</v>
      </c>
      <c r="J3630" s="19">
        <f>IFERROR(__xludf.DUMMYFUNCTION("""COMPUTED_VALUE"""),0.1486)</f>
        <v>0.1486</v>
      </c>
      <c r="K3630" s="19">
        <f>IFERROR(__xludf.DUMMYFUNCTION("""COMPUTED_VALUE"""),0.1858)</f>
        <v>0.1858</v>
      </c>
      <c r="L3630" s="19">
        <f>IFERROR(__xludf.DUMMYFUNCTION("""COMPUTED_VALUE"""),0.2229)</f>
        <v>0.2229</v>
      </c>
      <c r="M3630" s="18">
        <f>IFERROR(__xludf.DUMMYFUNCTION("""COMPUTED_VALUE"""),2.25)</f>
        <v>2.25</v>
      </c>
    </row>
    <row r="3631">
      <c r="A3631" s="13" t="str">
        <f>IFERROR(__xludf.DUMMYFUNCTION("""COMPUTED_VALUE"""),"товари")</f>
        <v>товари</v>
      </c>
      <c r="B3631" s="16" t="str">
        <f>IFERROR(__xludf.DUMMYFUNCTION("""COMPUTED_VALUE"""),"спорт і відпочинок")</f>
        <v>спорт і відпочинок</v>
      </c>
      <c r="C3631" s="16" t="str">
        <f>IFERROR(__xludf.DUMMYFUNCTION("""COMPUTED_VALUE"""),"водні види спорту")</f>
        <v>водні види спорту</v>
      </c>
      <c r="D3631" s="16" t="str">
        <f>IFERROR(__xludf.DUMMYFUNCTION("""COMPUTED_VALUE"""),"плавання")</f>
        <v>плавання</v>
      </c>
      <c r="E3631" s="16" t="str">
        <f>IFERROR(__xludf.DUMMYFUNCTION("""COMPUTED_VALUE"""),"плавання, загальне")</f>
        <v>плавання, загальне</v>
      </c>
      <c r="F3631" s="17">
        <f>IFERROR(__xludf.DUMMYFUNCTION("""COMPUTED_VALUE"""),4.0)</f>
        <v>4</v>
      </c>
      <c r="G3631" s="17" t="str">
        <f>IFERROR(__xludf.DUMMYFUNCTION("""COMPUTED_VALUE"""),"203419")</f>
        <v>203419</v>
      </c>
      <c r="H3631" s="17" t="str">
        <f>IFERROR(__xludf.DUMMYFUNCTION("""COMPUTED_VALUE"""),"плавання, загальне")</f>
        <v>плавання, загальне</v>
      </c>
      <c r="I3631" s="19">
        <f>IFERROR(__xludf.DUMMYFUNCTION("""COMPUTED_VALUE"""),0.125)</f>
        <v>0.125</v>
      </c>
      <c r="J3631" s="19">
        <f>IFERROR(__xludf.DUMMYFUNCTION("""COMPUTED_VALUE"""),0.25)</f>
        <v>0.25</v>
      </c>
      <c r="K3631" s="19">
        <f>IFERROR(__xludf.DUMMYFUNCTION("""COMPUTED_VALUE"""),0.3125)</f>
        <v>0.3125</v>
      </c>
      <c r="L3631" s="19">
        <f>IFERROR(__xludf.DUMMYFUNCTION("""COMPUTED_VALUE"""),0.375)</f>
        <v>0.375</v>
      </c>
      <c r="M3631" s="18">
        <f>IFERROR(__xludf.DUMMYFUNCTION("""COMPUTED_VALUE"""),4.33)</f>
        <v>4.33</v>
      </c>
    </row>
    <row r="3632">
      <c r="A3632" s="13" t="str">
        <f>IFERROR(__xludf.DUMMYFUNCTION("""COMPUTED_VALUE"""),"товари")</f>
        <v>товари</v>
      </c>
      <c r="B3632" s="16" t="str">
        <f>IFERROR(__xludf.DUMMYFUNCTION("""COMPUTED_VALUE"""),"спорт і відпочинок")</f>
        <v>спорт і відпочинок</v>
      </c>
      <c r="C3632" s="16" t="str">
        <f>IFERROR(__xludf.DUMMYFUNCTION("""COMPUTED_VALUE"""),"все для пляжу")</f>
        <v>все для пляжу</v>
      </c>
      <c r="D3632" s="16" t="str">
        <f>IFERROR(__xludf.DUMMYFUNCTION("""COMPUTED_VALUE"""),"пляжні килимки")</f>
        <v>пляжні килимки</v>
      </c>
      <c r="E3632" s="16" t="str">
        <f>IFERROR(__xludf.DUMMYFUNCTION("""COMPUTED_VALUE"""),"пляжні килимки")</f>
        <v>пляжні килимки</v>
      </c>
      <c r="F3632" s="17">
        <f>IFERROR(__xludf.DUMMYFUNCTION("""COMPUTED_VALUE"""),3.0)</f>
        <v>3</v>
      </c>
      <c r="G3632" s="17" t="str">
        <f>IFERROR(__xludf.DUMMYFUNCTION("""COMPUTED_VALUE"""),"203406")</f>
        <v>203406</v>
      </c>
      <c r="H3632" s="17" t="str">
        <f>IFERROR(__xludf.DUMMYFUNCTION("""COMPUTED_VALUE"""),"пляжні килимки")</f>
        <v>пляжні килимки</v>
      </c>
      <c r="I3632" s="19">
        <f>IFERROR(__xludf.DUMMYFUNCTION("""COMPUTED_VALUE"""),0.0839)</f>
        <v>0.0839</v>
      </c>
      <c r="J3632" s="19">
        <f>IFERROR(__xludf.DUMMYFUNCTION("""COMPUTED_VALUE"""),0.1677)</f>
        <v>0.1677</v>
      </c>
      <c r="K3632" s="19">
        <f>IFERROR(__xludf.DUMMYFUNCTION("""COMPUTED_VALUE"""),0.2096)</f>
        <v>0.2096</v>
      </c>
      <c r="L3632" s="19">
        <f>IFERROR(__xludf.DUMMYFUNCTION("""COMPUTED_VALUE"""),0.2516)</f>
        <v>0.2516</v>
      </c>
      <c r="M3632" s="18">
        <f>IFERROR(__xludf.DUMMYFUNCTION("""COMPUTED_VALUE"""),2.16)</f>
        <v>2.16</v>
      </c>
    </row>
    <row r="3633">
      <c r="A3633" s="13" t="str">
        <f>IFERROR(__xludf.DUMMYFUNCTION("""COMPUTED_VALUE"""),"товари")</f>
        <v>товари</v>
      </c>
      <c r="B3633" s="16" t="str">
        <f>IFERROR(__xludf.DUMMYFUNCTION("""COMPUTED_VALUE"""),"спорт і відпочинок")</f>
        <v>спорт і відпочинок</v>
      </c>
      <c r="C3633" s="16" t="str">
        <f>IFERROR(__xludf.DUMMYFUNCTION("""COMPUTED_VALUE"""),"товари для туризму та подорожей")</f>
        <v>товари для туризму та подорожей</v>
      </c>
      <c r="D3633" s="16" t="str">
        <f>IFERROR(__xludf.DUMMYFUNCTION("""COMPUTED_VALUE"""),"подушки для подорожей")</f>
        <v>подушки для подорожей</v>
      </c>
      <c r="E3633" s="16" t="str">
        <f>IFERROR(__xludf.DUMMYFUNCTION("""COMPUTED_VALUE"""),"подушки для подорожей")</f>
        <v>подушки для подорожей</v>
      </c>
      <c r="F3633" s="17">
        <f>IFERROR(__xludf.DUMMYFUNCTION("""COMPUTED_VALUE"""),3.0)</f>
        <v>3</v>
      </c>
      <c r="G3633" s="17" t="str">
        <f>IFERROR(__xludf.DUMMYFUNCTION("""COMPUTED_VALUE"""),"370601")</f>
        <v>370601</v>
      </c>
      <c r="H3633" s="17" t="str">
        <f>IFERROR(__xludf.DUMMYFUNCTION("""COMPUTED_VALUE"""),"подушки для подорожей")</f>
        <v>подушки для подорожей</v>
      </c>
      <c r="I3633" s="19">
        <f>IFERROR(__xludf.DUMMYFUNCTION("""COMPUTED_VALUE"""),0.0804)</f>
        <v>0.0804</v>
      </c>
      <c r="J3633" s="19">
        <f>IFERROR(__xludf.DUMMYFUNCTION("""COMPUTED_VALUE"""),0.1608)</f>
        <v>0.1608</v>
      </c>
      <c r="K3633" s="19">
        <f>IFERROR(__xludf.DUMMYFUNCTION("""COMPUTED_VALUE"""),0.201)</f>
        <v>0.201</v>
      </c>
      <c r="L3633" s="19">
        <f>IFERROR(__xludf.DUMMYFUNCTION("""COMPUTED_VALUE"""),0.2412)</f>
        <v>0.2412</v>
      </c>
      <c r="M3633" s="18">
        <f>IFERROR(__xludf.DUMMYFUNCTION("""COMPUTED_VALUE"""),2.7)</f>
        <v>2.7</v>
      </c>
    </row>
    <row r="3634">
      <c r="A3634" s="13" t="str">
        <f>IFERROR(__xludf.DUMMYFUNCTION("""COMPUTED_VALUE"""),"товари")</f>
        <v>товари</v>
      </c>
      <c r="B3634" s="16" t="str">
        <f>IFERROR(__xludf.DUMMYFUNCTION("""COMPUTED_VALUE"""),"спорт і відпочинок")</f>
        <v>спорт і відпочинок</v>
      </c>
      <c r="C3634" s="16" t="str">
        <f>IFERROR(__xludf.DUMMYFUNCTION("""COMPUTED_VALUE"""),"товари для туризму та подорожей")</f>
        <v>товари для туризму та подорожей</v>
      </c>
      <c r="D3634" s="16" t="str">
        <f>IFERROR(__xludf.DUMMYFUNCTION("""COMPUTED_VALUE"""),"туристичні інструменти")</f>
        <v>туристичні інструменти</v>
      </c>
      <c r="E3634" s="16" t="str">
        <f>IFERROR(__xludf.DUMMYFUNCTION("""COMPUTED_VALUE"""),"польові душі")</f>
        <v>польові душі</v>
      </c>
      <c r="F3634" s="17">
        <f>IFERROR(__xludf.DUMMYFUNCTION("""COMPUTED_VALUE"""),4.0)</f>
        <v>4</v>
      </c>
      <c r="G3634" s="17" t="str">
        <f>IFERROR(__xludf.DUMMYFUNCTION("""COMPUTED_VALUE"""),"240437")</f>
        <v>240437</v>
      </c>
      <c r="H3634" s="17" t="str">
        <f>IFERROR(__xludf.DUMMYFUNCTION("""COMPUTED_VALUE"""),"польові душі")</f>
        <v>польові душі</v>
      </c>
      <c r="I3634" s="19">
        <f>IFERROR(__xludf.DUMMYFUNCTION("""COMPUTED_VALUE"""),0.0783)</f>
        <v>0.0783</v>
      </c>
      <c r="J3634" s="19">
        <f>IFERROR(__xludf.DUMMYFUNCTION("""COMPUTED_VALUE"""),0.1565)</f>
        <v>0.1565</v>
      </c>
      <c r="K3634" s="19">
        <f>IFERROR(__xludf.DUMMYFUNCTION("""COMPUTED_VALUE"""),0.1956)</f>
        <v>0.1956</v>
      </c>
      <c r="L3634" s="19">
        <f>IFERROR(__xludf.DUMMYFUNCTION("""COMPUTED_VALUE"""),0.2348)</f>
        <v>0.2348</v>
      </c>
      <c r="M3634" s="18">
        <f>IFERROR(__xludf.DUMMYFUNCTION("""COMPUTED_VALUE"""),1.8)</f>
        <v>1.8</v>
      </c>
    </row>
    <row r="3635">
      <c r="A3635" s="13" t="str">
        <f>IFERROR(__xludf.DUMMYFUNCTION("""COMPUTED_VALUE"""),"товари")</f>
        <v>товари</v>
      </c>
      <c r="B3635" s="16" t="str">
        <f>IFERROR(__xludf.DUMMYFUNCTION("""COMPUTED_VALUE"""),"спорт і відпочинок")</f>
        <v>спорт і відпочинок</v>
      </c>
      <c r="C3635" s="16" t="str">
        <f>IFERROR(__xludf.DUMMYFUNCTION("""COMPUTED_VALUE"""),"товари для риболовлі")</f>
        <v>товари для риболовлі</v>
      </c>
      <c r="D3635" s="16" t="str">
        <f>IFERROR(__xludf.DUMMYFUNCTION("""COMPUTED_VALUE"""),"рибальські снасті")</f>
        <v>рибальські снасті</v>
      </c>
      <c r="E3635" s="16" t="str">
        <f>IFERROR(__xludf.DUMMYFUNCTION("""COMPUTED_VALUE"""),"поплавці")</f>
        <v>поплавці</v>
      </c>
      <c r="F3635" s="17">
        <f>IFERROR(__xludf.DUMMYFUNCTION("""COMPUTED_VALUE"""),4.0)</f>
        <v>4</v>
      </c>
      <c r="G3635" s="17" t="str">
        <f>IFERROR(__xludf.DUMMYFUNCTION("""COMPUTED_VALUE"""),"181041")</f>
        <v>181041</v>
      </c>
      <c r="H3635" s="17" t="str">
        <f>IFERROR(__xludf.DUMMYFUNCTION("""COMPUTED_VALUE"""),"поплавці")</f>
        <v>поплавці</v>
      </c>
      <c r="I3635" s="19">
        <f>IFERROR(__xludf.DUMMYFUNCTION("""COMPUTED_VALUE"""),0.0766)</f>
        <v>0.0766</v>
      </c>
      <c r="J3635" s="19">
        <f>IFERROR(__xludf.DUMMYFUNCTION("""COMPUTED_VALUE"""),0.1532)</f>
        <v>0.1532</v>
      </c>
      <c r="K3635" s="19">
        <f>IFERROR(__xludf.DUMMYFUNCTION("""COMPUTED_VALUE"""),0.1915)</f>
        <v>0.1915</v>
      </c>
      <c r="L3635" s="19">
        <f>IFERROR(__xludf.DUMMYFUNCTION("""COMPUTED_VALUE"""),0.2298)</f>
        <v>0.2298</v>
      </c>
      <c r="M3635" s="18">
        <f>IFERROR(__xludf.DUMMYFUNCTION("""COMPUTED_VALUE"""),1.05)</f>
        <v>1.05</v>
      </c>
    </row>
    <row r="3636">
      <c r="A3636" s="13" t="str">
        <f>IFERROR(__xludf.DUMMYFUNCTION("""COMPUTED_VALUE"""),"товари")</f>
        <v>товари</v>
      </c>
      <c r="B3636" s="16" t="str">
        <f>IFERROR(__xludf.DUMMYFUNCTION("""COMPUTED_VALUE"""),"спорт і відпочинок")</f>
        <v>спорт і відпочинок</v>
      </c>
      <c r="C3636" s="16" t="str">
        <f>IFERROR(__xludf.DUMMYFUNCTION("""COMPUTED_VALUE"""),"спортивні товари")</f>
        <v>спортивні товари</v>
      </c>
      <c r="D3636" s="16" t="str">
        <f>IFERROR(__xludf.DUMMYFUNCTION("""COMPUTED_VALUE"""),"спортивні сумки та рюкзаки")</f>
        <v>спортивні сумки та рюкзаки</v>
      </c>
      <c r="E3636" s="16" t="str">
        <f>IFERROR(__xludf.DUMMYFUNCTION("""COMPUTED_VALUE"""),"поясні сумки")</f>
        <v>поясні сумки</v>
      </c>
      <c r="F3636" s="17">
        <f>IFERROR(__xludf.DUMMYFUNCTION("""COMPUTED_VALUE"""),4.0)</f>
        <v>4</v>
      </c>
      <c r="G3636" s="17" t="str">
        <f>IFERROR(__xludf.DUMMYFUNCTION("""COMPUTED_VALUE"""),"380650")</f>
        <v>380650</v>
      </c>
      <c r="H3636" s="17" t="str">
        <f>IFERROR(__xludf.DUMMYFUNCTION("""COMPUTED_VALUE"""),"поясні сумки")</f>
        <v>поясні сумки</v>
      </c>
      <c r="I3636" s="19">
        <f>IFERROR(__xludf.DUMMYFUNCTION("""COMPUTED_VALUE"""),0.0957)</f>
        <v>0.0957</v>
      </c>
      <c r="J3636" s="19">
        <f>IFERROR(__xludf.DUMMYFUNCTION("""COMPUTED_VALUE"""),0.1913)</f>
        <v>0.1913</v>
      </c>
      <c r="K3636" s="19">
        <f>IFERROR(__xludf.DUMMYFUNCTION("""COMPUTED_VALUE"""),0.2391)</f>
        <v>0.2391</v>
      </c>
      <c r="L3636" s="19">
        <f>IFERROR(__xludf.DUMMYFUNCTION("""COMPUTED_VALUE"""),0.287)</f>
        <v>0.287</v>
      </c>
      <c r="M3636" s="18">
        <f>IFERROR(__xludf.DUMMYFUNCTION("""COMPUTED_VALUE"""),1.8)</f>
        <v>1.8</v>
      </c>
    </row>
    <row r="3637">
      <c r="A3637" s="13" t="str">
        <f>IFERROR(__xludf.DUMMYFUNCTION("""COMPUTED_VALUE"""),"товари")</f>
        <v>товари</v>
      </c>
      <c r="B3637" s="16" t="str">
        <f>IFERROR(__xludf.DUMMYFUNCTION("""COMPUTED_VALUE"""),"спорт і відпочинок")</f>
        <v>спорт і відпочинок</v>
      </c>
      <c r="C3637" s="16" t="str">
        <f>IFERROR(__xludf.DUMMYFUNCTION("""COMPUTED_VALUE"""),"товари для риболовлі")</f>
        <v>товари для риболовлі</v>
      </c>
      <c r="D3637" s="16" t="str">
        <f>IFERROR(__xludf.DUMMYFUNCTION("""COMPUTED_VALUE"""),"прикормочні кораблики")</f>
        <v>прикормочні кораблики</v>
      </c>
      <c r="E3637" s="16" t="str">
        <f>IFERROR(__xludf.DUMMYFUNCTION("""COMPUTED_VALUE"""),"прикормочні кораблики")</f>
        <v>прикормочні кораблики</v>
      </c>
      <c r="F3637" s="17">
        <f>IFERROR(__xludf.DUMMYFUNCTION("""COMPUTED_VALUE"""),3.0)</f>
        <v>3</v>
      </c>
      <c r="G3637" s="17" t="str">
        <f>IFERROR(__xludf.DUMMYFUNCTION("""COMPUTED_VALUE"""),"181030")</f>
        <v>181030</v>
      </c>
      <c r="H3637" s="17" t="str">
        <f>IFERROR(__xludf.DUMMYFUNCTION("""COMPUTED_VALUE"""),"прикормочні кораблики")</f>
        <v>прикормочні кораблики</v>
      </c>
      <c r="I3637" s="19">
        <f>IFERROR(__xludf.DUMMYFUNCTION("""COMPUTED_VALUE"""),0.064)</f>
        <v>0.064</v>
      </c>
      <c r="J3637" s="19">
        <f>IFERROR(__xludf.DUMMYFUNCTION("""COMPUTED_VALUE"""),0.128)</f>
        <v>0.128</v>
      </c>
      <c r="K3637" s="19">
        <f>IFERROR(__xludf.DUMMYFUNCTION("""COMPUTED_VALUE"""),0.16)</f>
        <v>0.16</v>
      </c>
      <c r="L3637" s="19">
        <f>IFERROR(__xludf.DUMMYFUNCTION("""COMPUTED_VALUE"""),0.192)</f>
        <v>0.192</v>
      </c>
      <c r="M3637" s="18">
        <f>IFERROR(__xludf.DUMMYFUNCTION("""COMPUTED_VALUE"""),2.53)</f>
        <v>2.53</v>
      </c>
    </row>
    <row r="3638">
      <c r="A3638" s="13" t="str">
        <f>IFERROR(__xludf.DUMMYFUNCTION("""COMPUTED_VALUE"""),"товари")</f>
        <v>товари</v>
      </c>
      <c r="B3638" s="16" t="str">
        <f>IFERROR(__xludf.DUMMYFUNCTION("""COMPUTED_VALUE"""),"спорт і відпочинок")</f>
        <v>спорт і відпочинок</v>
      </c>
      <c r="C3638" s="16" t="str">
        <f>IFERROR(__xludf.DUMMYFUNCTION("""COMPUTED_VALUE"""),"товари для полювання")</f>
        <v>товари для полювання</v>
      </c>
      <c r="D3638" s="16" t="str">
        <f>IFERROR(__xludf.DUMMYFUNCTION("""COMPUTED_VALUE"""),"приманки для полювання")</f>
        <v>приманки для полювання</v>
      </c>
      <c r="E3638" s="16" t="str">
        <f>IFERROR(__xludf.DUMMYFUNCTION("""COMPUTED_VALUE"""),"приманки для полювання, загальне")</f>
        <v>приманки для полювання, загальне</v>
      </c>
      <c r="F3638" s="17">
        <f>IFERROR(__xludf.DUMMYFUNCTION("""COMPUTED_VALUE"""),4.0)</f>
        <v>4</v>
      </c>
      <c r="G3638" s="17" t="str">
        <f>IFERROR(__xludf.DUMMYFUNCTION("""COMPUTED_VALUE"""),"180316")</f>
        <v>180316</v>
      </c>
      <c r="H3638" s="17" t="str">
        <f>IFERROR(__xludf.DUMMYFUNCTION("""COMPUTED_VALUE"""),"приманки для полювання, загальне")</f>
        <v>приманки для полювання, загальне</v>
      </c>
      <c r="I3638" s="19">
        <f>IFERROR(__xludf.DUMMYFUNCTION("""COMPUTED_VALUE"""),0.125)</f>
        <v>0.125</v>
      </c>
      <c r="J3638" s="19">
        <f>IFERROR(__xludf.DUMMYFUNCTION("""COMPUTED_VALUE"""),0.25)</f>
        <v>0.25</v>
      </c>
      <c r="K3638" s="19">
        <f>IFERROR(__xludf.DUMMYFUNCTION("""COMPUTED_VALUE"""),0.3125)</f>
        <v>0.3125</v>
      </c>
      <c r="L3638" s="19">
        <f>IFERROR(__xludf.DUMMYFUNCTION("""COMPUTED_VALUE"""),0.375)</f>
        <v>0.375</v>
      </c>
      <c r="M3638" s="18">
        <f>IFERROR(__xludf.DUMMYFUNCTION("""COMPUTED_VALUE"""),4.33)</f>
        <v>4.33</v>
      </c>
    </row>
    <row r="3639">
      <c r="A3639" s="13" t="str">
        <f>IFERROR(__xludf.DUMMYFUNCTION("""COMPUTED_VALUE"""),"товари")</f>
        <v>товари</v>
      </c>
      <c r="B3639" s="16" t="str">
        <f>IFERROR(__xludf.DUMMYFUNCTION("""COMPUTED_VALUE"""),"спорт і відпочинок")</f>
        <v>спорт і відпочинок</v>
      </c>
      <c r="C3639" s="16" t="str">
        <f>IFERROR(__xludf.DUMMYFUNCTION("""COMPUTED_VALUE"""),"гаджети для спорту")</f>
        <v>гаджети для спорту</v>
      </c>
      <c r="D3639" s="16" t="str">
        <f>IFERROR(__xludf.DUMMYFUNCTION("""COMPUTED_VALUE"""),"пульсометри")</f>
        <v>пульсометри</v>
      </c>
      <c r="E3639" s="16" t="str">
        <f>IFERROR(__xludf.DUMMYFUNCTION("""COMPUTED_VALUE"""),"пульсометри")</f>
        <v>пульсометри</v>
      </c>
      <c r="F3639" s="17">
        <f>IFERROR(__xludf.DUMMYFUNCTION("""COMPUTED_VALUE"""),3.0)</f>
        <v>3</v>
      </c>
      <c r="G3639" s="17" t="str">
        <f>IFERROR(__xludf.DUMMYFUNCTION("""COMPUTED_VALUE"""),"162519")</f>
        <v>162519</v>
      </c>
      <c r="H3639" s="17" t="str">
        <f>IFERROR(__xludf.DUMMYFUNCTION("""COMPUTED_VALUE"""),"пульсометри")</f>
        <v>пульсометри</v>
      </c>
      <c r="I3639" s="19">
        <f>IFERROR(__xludf.DUMMYFUNCTION("""COMPUTED_VALUE"""),0.0866)</f>
        <v>0.0866</v>
      </c>
      <c r="J3639" s="19">
        <f>IFERROR(__xludf.DUMMYFUNCTION("""COMPUTED_VALUE"""),0.1731)</f>
        <v>0.1731</v>
      </c>
      <c r="K3639" s="19">
        <f>IFERROR(__xludf.DUMMYFUNCTION("""COMPUTED_VALUE"""),0.2164)</f>
        <v>0.2164</v>
      </c>
      <c r="L3639" s="19">
        <f>IFERROR(__xludf.DUMMYFUNCTION("""COMPUTED_VALUE"""),0.2597)</f>
        <v>0.2597</v>
      </c>
      <c r="M3639" s="18">
        <f>IFERROR(__xludf.DUMMYFUNCTION("""COMPUTED_VALUE"""),3.75)</f>
        <v>3.75</v>
      </c>
    </row>
    <row r="3640">
      <c r="A3640" s="13" t="str">
        <f>IFERROR(__xludf.DUMMYFUNCTION("""COMPUTED_VALUE"""),"товари")</f>
        <v>товари</v>
      </c>
      <c r="B3640" s="16" t="str">
        <f>IFERROR(__xludf.DUMMYFUNCTION("""COMPUTED_VALUE"""),"спорт і відпочинок")</f>
        <v>спорт і відпочинок</v>
      </c>
      <c r="C3640" s="16" t="str">
        <f>IFERROR(__xludf.DUMMYFUNCTION("""COMPUTED_VALUE"""),"екстремальні види спорту")</f>
        <v>екстремальні види спорту</v>
      </c>
      <c r="D3640" s="16" t="str">
        <f>IFERROR(__xludf.DUMMYFUNCTION("""COMPUTED_VALUE"""),"дайвінг")</f>
        <v>дайвінг</v>
      </c>
      <c r="E3640" s="16" t="str">
        <f>IFERROR(__xludf.DUMMYFUNCTION("""COMPUTED_VALUE"""),"регулятори, октопуси")</f>
        <v>регулятори, октопуси</v>
      </c>
      <c r="F3640" s="17">
        <f>IFERROR(__xludf.DUMMYFUNCTION("""COMPUTED_VALUE"""),4.0)</f>
        <v>4</v>
      </c>
      <c r="G3640" s="17" t="str">
        <f>IFERROR(__xludf.DUMMYFUNCTION("""COMPUTED_VALUE"""),"203425")</f>
        <v>203425</v>
      </c>
      <c r="H3640" s="17" t="str">
        <f>IFERROR(__xludf.DUMMYFUNCTION("""COMPUTED_VALUE"""),"регулятори, октопуси")</f>
        <v>регулятори, октопуси</v>
      </c>
      <c r="I3640" s="19">
        <f>IFERROR(__xludf.DUMMYFUNCTION("""COMPUTED_VALUE"""),0.0747)</f>
        <v>0.0747</v>
      </c>
      <c r="J3640" s="19">
        <f>IFERROR(__xludf.DUMMYFUNCTION("""COMPUTED_VALUE"""),0.1493)</f>
        <v>0.1493</v>
      </c>
      <c r="K3640" s="19">
        <f>IFERROR(__xludf.DUMMYFUNCTION("""COMPUTED_VALUE"""),0.1866)</f>
        <v>0.1866</v>
      </c>
      <c r="L3640" s="19">
        <f>IFERROR(__xludf.DUMMYFUNCTION("""COMPUTED_VALUE"""),0.224)</f>
        <v>0.224</v>
      </c>
      <c r="M3640" s="18">
        <f>IFERROR(__xludf.DUMMYFUNCTION("""COMPUTED_VALUE"""),2.88)</f>
        <v>2.88</v>
      </c>
    </row>
    <row r="3641">
      <c r="A3641" s="13" t="str">
        <f>IFERROR(__xludf.DUMMYFUNCTION("""COMPUTED_VALUE"""),"товари")</f>
        <v>товари</v>
      </c>
      <c r="B3641" s="16" t="str">
        <f>IFERROR(__xludf.DUMMYFUNCTION("""COMPUTED_VALUE"""),"спорт і відпочинок")</f>
        <v>спорт і відпочинок</v>
      </c>
      <c r="C3641" s="16" t="str">
        <f>IFERROR(__xludf.DUMMYFUNCTION("""COMPUTED_VALUE"""),"товари для полювання")</f>
        <v>товари для полювання</v>
      </c>
      <c r="D3641" s="16" t="str">
        <f>IFERROR(__xludf.DUMMYFUNCTION("""COMPUTED_VALUE"""),"релоадінг")</f>
        <v>релоадінг</v>
      </c>
      <c r="E3641" s="16" t="str">
        <f>IFERROR(__xludf.DUMMYFUNCTION("""COMPUTED_VALUE"""),"релоадінг")</f>
        <v>релоадінг</v>
      </c>
      <c r="F3641" s="17">
        <f>IFERROR(__xludf.DUMMYFUNCTION("""COMPUTED_VALUE"""),3.0)</f>
        <v>3</v>
      </c>
      <c r="G3641" s="17">
        <f>IFERROR(__xludf.DUMMYFUNCTION("""COMPUTED_VALUE"""),180317.0)</f>
        <v>180317</v>
      </c>
      <c r="H3641" s="17" t="str">
        <f>IFERROR(__xludf.DUMMYFUNCTION("""COMPUTED_VALUE"""),"релоадінг")</f>
        <v>релоадінг</v>
      </c>
      <c r="I3641" s="19">
        <f>IFERROR(__xludf.DUMMYFUNCTION("""COMPUTED_VALUE"""),0.0566)</f>
        <v>0.0566</v>
      </c>
      <c r="J3641" s="19">
        <f>IFERROR(__xludf.DUMMYFUNCTION("""COMPUTED_VALUE"""),0.1132)</f>
        <v>0.1132</v>
      </c>
      <c r="K3641" s="19">
        <f>IFERROR(__xludf.DUMMYFUNCTION("""COMPUTED_VALUE"""),0.1415)</f>
        <v>0.1415</v>
      </c>
      <c r="L3641" s="19">
        <f>IFERROR(__xludf.DUMMYFUNCTION("""COMPUTED_VALUE"""),0.1698)</f>
        <v>0.1698</v>
      </c>
      <c r="M3641" s="18">
        <f>IFERROR(__xludf.DUMMYFUNCTION("""COMPUTED_VALUE"""),1.53)</f>
        <v>1.53</v>
      </c>
    </row>
    <row r="3642">
      <c r="A3642" s="13" t="str">
        <f>IFERROR(__xludf.DUMMYFUNCTION("""COMPUTED_VALUE"""),"товари")</f>
        <v>товари</v>
      </c>
      <c r="B3642" s="16" t="str">
        <f>IFERROR(__xludf.DUMMYFUNCTION("""COMPUTED_VALUE"""),"спорт і відпочинок")</f>
        <v>спорт і відпочинок</v>
      </c>
      <c r="C3642" s="16" t="str">
        <f>IFERROR(__xludf.DUMMYFUNCTION("""COMPUTED_VALUE"""),"спортивні товари")</f>
        <v>спортивні товари</v>
      </c>
      <c r="D3642" s="16" t="str">
        <f>IFERROR(__xludf.DUMMYFUNCTION("""COMPUTED_VALUE"""),"йога")</f>
        <v>йога</v>
      </c>
      <c r="E3642" s="16" t="str">
        <f>IFERROR(__xludf.DUMMYFUNCTION("""COMPUTED_VALUE"""),"ремені для йоги")</f>
        <v>ремені для йоги</v>
      </c>
      <c r="F3642" s="17">
        <f>IFERROR(__xludf.DUMMYFUNCTION("""COMPUTED_VALUE"""),4.0)</f>
        <v>4</v>
      </c>
      <c r="G3642" s="17" t="str">
        <f>IFERROR(__xludf.DUMMYFUNCTION("""COMPUTED_VALUE"""),"204304")</f>
        <v>204304</v>
      </c>
      <c r="H3642" s="17" t="str">
        <f>IFERROR(__xludf.DUMMYFUNCTION("""COMPUTED_VALUE"""),"ремені для йоги")</f>
        <v>ремені для йоги</v>
      </c>
      <c r="I3642" s="19">
        <f>IFERROR(__xludf.DUMMYFUNCTION("""COMPUTED_VALUE"""),0.0803)</f>
        <v>0.0803</v>
      </c>
      <c r="J3642" s="19">
        <f>IFERROR(__xludf.DUMMYFUNCTION("""COMPUTED_VALUE"""),0.1606)</f>
        <v>0.1606</v>
      </c>
      <c r="K3642" s="19">
        <f>IFERROR(__xludf.DUMMYFUNCTION("""COMPUTED_VALUE"""),0.2008)</f>
        <v>0.2008</v>
      </c>
      <c r="L3642" s="19">
        <f>IFERROR(__xludf.DUMMYFUNCTION("""COMPUTED_VALUE"""),0.2409)</f>
        <v>0.2409</v>
      </c>
      <c r="M3642" s="18">
        <f>IFERROR(__xludf.DUMMYFUNCTION("""COMPUTED_VALUE"""),3.96)</f>
        <v>3.96</v>
      </c>
    </row>
    <row r="3643">
      <c r="A3643" s="13" t="str">
        <f>IFERROR(__xludf.DUMMYFUNCTION("""COMPUTED_VALUE"""),"товари")</f>
        <v>товари</v>
      </c>
      <c r="B3643" s="16" t="str">
        <f>IFERROR(__xludf.DUMMYFUNCTION("""COMPUTED_VALUE"""),"спорт і відпочинок")</f>
        <v>спорт і відпочинок</v>
      </c>
      <c r="C3643" s="16" t="str">
        <f>IFERROR(__xludf.DUMMYFUNCTION("""COMPUTED_VALUE"""),"товари для риболовлі")</f>
        <v>товари для риболовлі</v>
      </c>
      <c r="D3643" s="16" t="str">
        <f>IFERROR(__xludf.DUMMYFUNCTION("""COMPUTED_VALUE"""),"рибальські інструменти")</f>
        <v>рибальські інструменти</v>
      </c>
      <c r="E3643" s="16" t="str">
        <f>IFERROR(__xludf.DUMMYFUNCTION("""COMPUTED_VALUE"""),"рибальські інструменти")</f>
        <v>рибальські інструменти</v>
      </c>
      <c r="F3643" s="17">
        <f>IFERROR(__xludf.DUMMYFUNCTION("""COMPUTED_VALUE"""),3.0)</f>
        <v>3</v>
      </c>
      <c r="G3643" s="17" t="str">
        <f>IFERROR(__xludf.DUMMYFUNCTION("""COMPUTED_VALUE"""),"181032")</f>
        <v>181032</v>
      </c>
      <c r="H3643" s="17" t="str">
        <f>IFERROR(__xludf.DUMMYFUNCTION("""COMPUTED_VALUE"""),"рибальські інструменти")</f>
        <v>рибальські інструменти</v>
      </c>
      <c r="I3643" s="19">
        <f>IFERROR(__xludf.DUMMYFUNCTION("""COMPUTED_VALUE"""),0.0745)</f>
        <v>0.0745</v>
      </c>
      <c r="J3643" s="19">
        <f>IFERROR(__xludf.DUMMYFUNCTION("""COMPUTED_VALUE"""),0.149)</f>
        <v>0.149</v>
      </c>
      <c r="K3643" s="19">
        <f>IFERROR(__xludf.DUMMYFUNCTION("""COMPUTED_VALUE"""),0.1863)</f>
        <v>0.1863</v>
      </c>
      <c r="L3643" s="19">
        <f>IFERROR(__xludf.DUMMYFUNCTION("""COMPUTED_VALUE"""),0.2235)</f>
        <v>0.2235</v>
      </c>
      <c r="M3643" s="18">
        <f>IFERROR(__xludf.DUMMYFUNCTION("""COMPUTED_VALUE"""),1.26)</f>
        <v>1.26</v>
      </c>
    </row>
    <row r="3644">
      <c r="A3644" s="13" t="str">
        <f>IFERROR(__xludf.DUMMYFUNCTION("""COMPUTED_VALUE"""),"товари")</f>
        <v>товари</v>
      </c>
      <c r="B3644" s="16" t="str">
        <f>IFERROR(__xludf.DUMMYFUNCTION("""COMPUTED_VALUE"""),"спорт і відпочинок")</f>
        <v>спорт і відпочинок</v>
      </c>
      <c r="C3644" s="16" t="str">
        <f>IFERROR(__xludf.DUMMYFUNCTION("""COMPUTED_VALUE"""),"товари для риболовлі")</f>
        <v>товари для риболовлі</v>
      </c>
      <c r="D3644" s="16" t="str">
        <f>IFERROR(__xludf.DUMMYFUNCTION("""COMPUTED_VALUE"""),"рибальські снасті")</f>
        <v>рибальські снасті</v>
      </c>
      <c r="E3644" s="16" t="str">
        <f>IFERROR(__xludf.DUMMYFUNCTION("""COMPUTED_VALUE"""),"рибальські кормушки")</f>
        <v>рибальські кормушки</v>
      </c>
      <c r="F3644" s="17">
        <f>IFERROR(__xludf.DUMMYFUNCTION("""COMPUTED_VALUE"""),4.0)</f>
        <v>4</v>
      </c>
      <c r="G3644" s="17" t="str">
        <f>IFERROR(__xludf.DUMMYFUNCTION("""COMPUTED_VALUE"""),"181021")</f>
        <v>181021</v>
      </c>
      <c r="H3644" s="17" t="str">
        <f>IFERROR(__xludf.DUMMYFUNCTION("""COMPUTED_VALUE"""),"рибальські кормушки")</f>
        <v>рибальські кормушки</v>
      </c>
      <c r="I3644" s="19">
        <f>IFERROR(__xludf.DUMMYFUNCTION("""COMPUTED_VALUE"""),0.0789)</f>
        <v>0.0789</v>
      </c>
      <c r="J3644" s="19">
        <f>IFERROR(__xludf.DUMMYFUNCTION("""COMPUTED_VALUE"""),0.1578)</f>
        <v>0.1578</v>
      </c>
      <c r="K3644" s="19">
        <f>IFERROR(__xludf.DUMMYFUNCTION("""COMPUTED_VALUE"""),0.1973)</f>
        <v>0.1973</v>
      </c>
      <c r="L3644" s="19">
        <f>IFERROR(__xludf.DUMMYFUNCTION("""COMPUTED_VALUE"""),0.2367)</f>
        <v>0.2367</v>
      </c>
      <c r="M3644" s="18">
        <f>IFERROR(__xludf.DUMMYFUNCTION("""COMPUTED_VALUE"""),1.05)</f>
        <v>1.05</v>
      </c>
    </row>
    <row r="3645">
      <c r="A3645" s="13" t="str">
        <f>IFERROR(__xludf.DUMMYFUNCTION("""COMPUTED_VALUE"""),"товари")</f>
        <v>товари</v>
      </c>
      <c r="B3645" s="16" t="str">
        <f>IFERROR(__xludf.DUMMYFUNCTION("""COMPUTED_VALUE"""),"спорт і відпочинок")</f>
        <v>спорт і відпочинок</v>
      </c>
      <c r="C3645" s="16" t="str">
        <f>IFERROR(__xludf.DUMMYFUNCTION("""COMPUTED_VALUE"""),"товари для риболовлі")</f>
        <v>товари для риболовлі</v>
      </c>
      <c r="D3645" s="16" t="str">
        <f>IFERROR(__xludf.DUMMYFUNCTION("""COMPUTED_VALUE"""),"рибальські котушки")</f>
        <v>рибальські котушки</v>
      </c>
      <c r="E3645" s="16" t="str">
        <f>IFERROR(__xludf.DUMMYFUNCTION("""COMPUTED_VALUE"""),"рибальські котушки")</f>
        <v>рибальські котушки</v>
      </c>
      <c r="F3645" s="17">
        <f>IFERROR(__xludf.DUMMYFUNCTION("""COMPUTED_VALUE"""),3.0)</f>
        <v>3</v>
      </c>
      <c r="G3645" s="17" t="str">
        <f>IFERROR(__xludf.DUMMYFUNCTION("""COMPUTED_VALUE"""),"181003")</f>
        <v>181003</v>
      </c>
      <c r="H3645" s="17" t="str">
        <f>IFERROR(__xludf.DUMMYFUNCTION("""COMPUTED_VALUE"""),"рибальські котушки")</f>
        <v>рибальські котушки</v>
      </c>
      <c r="I3645" s="19">
        <f>IFERROR(__xludf.DUMMYFUNCTION("""COMPUTED_VALUE"""),0.0783)</f>
        <v>0.0783</v>
      </c>
      <c r="J3645" s="19">
        <f>IFERROR(__xludf.DUMMYFUNCTION("""COMPUTED_VALUE"""),0.1565)</f>
        <v>0.1565</v>
      </c>
      <c r="K3645" s="19">
        <f>IFERROR(__xludf.DUMMYFUNCTION("""COMPUTED_VALUE"""),0.1956)</f>
        <v>0.1956</v>
      </c>
      <c r="L3645" s="19">
        <f>IFERROR(__xludf.DUMMYFUNCTION("""COMPUTED_VALUE"""),0.2348)</f>
        <v>0.2348</v>
      </c>
      <c r="M3645" s="18">
        <f>IFERROR(__xludf.DUMMYFUNCTION("""COMPUTED_VALUE"""),1.53)</f>
        <v>1.53</v>
      </c>
    </row>
    <row r="3646">
      <c r="A3646" s="13" t="str">
        <f>IFERROR(__xludf.DUMMYFUNCTION("""COMPUTED_VALUE"""),"товари")</f>
        <v>товари</v>
      </c>
      <c r="B3646" s="16" t="str">
        <f>IFERROR(__xludf.DUMMYFUNCTION("""COMPUTED_VALUE"""),"спорт і відпочинок")</f>
        <v>спорт і відпочинок</v>
      </c>
      <c r="C3646" s="16" t="str">
        <f>IFERROR(__xludf.DUMMYFUNCTION("""COMPUTED_VALUE"""),"товари для риболовлі")</f>
        <v>товари для риболовлі</v>
      </c>
      <c r="D3646" s="16" t="str">
        <f>IFERROR(__xludf.DUMMYFUNCTION("""COMPUTED_VALUE"""),"рибальські садки, кукани")</f>
        <v>рибальські садки, кукани</v>
      </c>
      <c r="E3646" s="16" t="str">
        <f>IFERROR(__xludf.DUMMYFUNCTION("""COMPUTED_VALUE"""),"рибальські садки, кукани")</f>
        <v>рибальські садки, кукани</v>
      </c>
      <c r="F3646" s="17">
        <f>IFERROR(__xludf.DUMMYFUNCTION("""COMPUTED_VALUE"""),3.0)</f>
        <v>3</v>
      </c>
      <c r="G3646" s="17" t="str">
        <f>IFERROR(__xludf.DUMMYFUNCTION("""COMPUTED_VALUE"""),"181018")</f>
        <v>181018</v>
      </c>
      <c r="H3646" s="17" t="str">
        <f>IFERROR(__xludf.DUMMYFUNCTION("""COMPUTED_VALUE"""),"рибальські садки, кукани")</f>
        <v>рибальські садки, кукани</v>
      </c>
      <c r="I3646" s="19">
        <f>IFERROR(__xludf.DUMMYFUNCTION("""COMPUTED_VALUE"""),0.0761)</f>
        <v>0.0761</v>
      </c>
      <c r="J3646" s="19">
        <f>IFERROR(__xludf.DUMMYFUNCTION("""COMPUTED_VALUE"""),0.1522)</f>
        <v>0.1522</v>
      </c>
      <c r="K3646" s="19">
        <f>IFERROR(__xludf.DUMMYFUNCTION("""COMPUTED_VALUE"""),0.1903)</f>
        <v>0.1903</v>
      </c>
      <c r="L3646" s="19">
        <f>IFERROR(__xludf.DUMMYFUNCTION("""COMPUTED_VALUE"""),0.2283)</f>
        <v>0.2283</v>
      </c>
      <c r="M3646" s="18">
        <f>IFERROR(__xludf.DUMMYFUNCTION("""COMPUTED_VALUE"""),1.05)</f>
        <v>1.05</v>
      </c>
    </row>
    <row r="3647">
      <c r="A3647" s="13" t="str">
        <f>IFERROR(__xludf.DUMMYFUNCTION("""COMPUTED_VALUE"""),"товари")</f>
        <v>товари</v>
      </c>
      <c r="B3647" s="16" t="str">
        <f>IFERROR(__xludf.DUMMYFUNCTION("""COMPUTED_VALUE"""),"спорт і відпочинок")</f>
        <v>спорт і відпочинок</v>
      </c>
      <c r="C3647" s="16" t="str">
        <f>IFERROR(__xludf.DUMMYFUNCTION("""COMPUTED_VALUE"""),"товари для риболовлі")</f>
        <v>товари для риболовлі</v>
      </c>
      <c r="D3647" s="16" t="str">
        <f>IFERROR(__xludf.DUMMYFUNCTION("""COMPUTED_VALUE"""),"рибальські санки")</f>
        <v>рибальські санки</v>
      </c>
      <c r="E3647" s="16" t="str">
        <f>IFERROR(__xludf.DUMMYFUNCTION("""COMPUTED_VALUE"""),"рибальські санки")</f>
        <v>рибальські санки</v>
      </c>
      <c r="F3647" s="17">
        <f>IFERROR(__xludf.DUMMYFUNCTION("""COMPUTED_VALUE"""),3.0)</f>
        <v>3</v>
      </c>
      <c r="G3647" s="17" t="str">
        <f>IFERROR(__xludf.DUMMYFUNCTION("""COMPUTED_VALUE"""),"181043")</f>
        <v>181043</v>
      </c>
      <c r="H3647" s="17" t="str">
        <f>IFERROR(__xludf.DUMMYFUNCTION("""COMPUTED_VALUE"""),"рибальські санки")</f>
        <v>рибальські санки</v>
      </c>
      <c r="I3647" s="19">
        <f>IFERROR(__xludf.DUMMYFUNCTION("""COMPUTED_VALUE"""),0.0539)</f>
        <v>0.0539</v>
      </c>
      <c r="J3647" s="19">
        <f>IFERROR(__xludf.DUMMYFUNCTION("""COMPUTED_VALUE"""),0.1078)</f>
        <v>0.1078</v>
      </c>
      <c r="K3647" s="19">
        <f>IFERROR(__xludf.DUMMYFUNCTION("""COMPUTED_VALUE"""),0.1348)</f>
        <v>0.1348</v>
      </c>
      <c r="L3647" s="19">
        <f>IFERROR(__xludf.DUMMYFUNCTION("""COMPUTED_VALUE"""),0.1617)</f>
        <v>0.1617</v>
      </c>
      <c r="M3647" s="18">
        <f>IFERROR(__xludf.DUMMYFUNCTION("""COMPUTED_VALUE"""),1.05)</f>
        <v>1.05</v>
      </c>
    </row>
    <row r="3648">
      <c r="A3648" s="13" t="str">
        <f>IFERROR(__xludf.DUMMYFUNCTION("""COMPUTED_VALUE"""),"товари")</f>
        <v>товари</v>
      </c>
      <c r="B3648" s="16" t="str">
        <f>IFERROR(__xludf.DUMMYFUNCTION("""COMPUTED_VALUE"""),"спорт і відпочинок")</f>
        <v>спорт і відпочинок</v>
      </c>
      <c r="C3648" s="16" t="str">
        <f>IFERROR(__xludf.DUMMYFUNCTION("""COMPUTED_VALUE"""),"товари для риболовлі")</f>
        <v>товари для риболовлі</v>
      </c>
      <c r="D3648" s="16" t="str">
        <f>IFERROR(__xludf.DUMMYFUNCTION("""COMPUTED_VALUE"""),"рибальські снасті")</f>
        <v>рибальські снасті</v>
      </c>
      <c r="E3648" s="16" t="str">
        <f>IFERROR(__xludf.DUMMYFUNCTION("""COMPUTED_VALUE"""),"рибальські снасті, загальне")</f>
        <v>рибальські снасті, загальне</v>
      </c>
      <c r="F3648" s="17">
        <f>IFERROR(__xludf.DUMMYFUNCTION("""COMPUTED_VALUE"""),4.0)</f>
        <v>4</v>
      </c>
      <c r="G3648" s="17" t="str">
        <f>IFERROR(__xludf.DUMMYFUNCTION("""COMPUTED_VALUE"""),"181037")</f>
        <v>181037</v>
      </c>
      <c r="H3648" s="17" t="str">
        <f>IFERROR(__xludf.DUMMYFUNCTION("""COMPUTED_VALUE"""),"рибальські снасті, загальне")</f>
        <v>рибальські снасті, загальне</v>
      </c>
      <c r="I3648" s="19">
        <f>IFERROR(__xludf.DUMMYFUNCTION("""COMPUTED_VALUE"""),0.125)</f>
        <v>0.125</v>
      </c>
      <c r="J3648" s="19">
        <f>IFERROR(__xludf.DUMMYFUNCTION("""COMPUTED_VALUE"""),0.25)</f>
        <v>0.25</v>
      </c>
      <c r="K3648" s="19">
        <f>IFERROR(__xludf.DUMMYFUNCTION("""COMPUTED_VALUE"""),0.3125)</f>
        <v>0.3125</v>
      </c>
      <c r="L3648" s="19">
        <f>IFERROR(__xludf.DUMMYFUNCTION("""COMPUTED_VALUE"""),0.375)</f>
        <v>0.375</v>
      </c>
      <c r="M3648" s="18">
        <f>IFERROR(__xludf.DUMMYFUNCTION("""COMPUTED_VALUE"""),4.33)</f>
        <v>4.33</v>
      </c>
    </row>
    <row r="3649">
      <c r="A3649" s="13" t="str">
        <f>IFERROR(__xludf.DUMMYFUNCTION("""COMPUTED_VALUE"""),"товари")</f>
        <v>товари</v>
      </c>
      <c r="B3649" s="16" t="str">
        <f>IFERROR(__xludf.DUMMYFUNCTION("""COMPUTED_VALUE"""),"спорт і відпочинок")</f>
        <v>спорт і відпочинок</v>
      </c>
      <c r="C3649" s="16" t="str">
        <f>IFERROR(__xludf.DUMMYFUNCTION("""COMPUTED_VALUE"""),"товари для риболовлі")</f>
        <v>товари для риболовлі</v>
      </c>
      <c r="D3649" s="16" t="str">
        <f>IFERROR(__xludf.DUMMYFUNCTION("""COMPUTED_VALUE"""),"рибальські сумки та коробки")</f>
        <v>рибальські сумки та коробки</v>
      </c>
      <c r="E3649" s="16" t="str">
        <f>IFERROR(__xludf.DUMMYFUNCTION("""COMPUTED_VALUE"""),"рибальські сумки та коробки")</f>
        <v>рибальські сумки та коробки</v>
      </c>
      <c r="F3649" s="17">
        <f>IFERROR(__xludf.DUMMYFUNCTION("""COMPUTED_VALUE"""),3.0)</f>
        <v>3</v>
      </c>
      <c r="G3649" s="17" t="str">
        <f>IFERROR(__xludf.DUMMYFUNCTION("""COMPUTED_VALUE"""),"181014")</f>
        <v>181014</v>
      </c>
      <c r="H3649" s="17" t="str">
        <f>IFERROR(__xludf.DUMMYFUNCTION("""COMPUTED_VALUE"""),"рибальські сумки та коробки")</f>
        <v>рибальські сумки та коробки</v>
      </c>
      <c r="I3649" s="19">
        <f>IFERROR(__xludf.DUMMYFUNCTION("""COMPUTED_VALUE"""),0.0778)</f>
        <v>0.0778</v>
      </c>
      <c r="J3649" s="19">
        <f>IFERROR(__xludf.DUMMYFUNCTION("""COMPUTED_VALUE"""),0.1556)</f>
        <v>0.1556</v>
      </c>
      <c r="K3649" s="19">
        <f>IFERROR(__xludf.DUMMYFUNCTION("""COMPUTED_VALUE"""),0.1945)</f>
        <v>0.1945</v>
      </c>
      <c r="L3649" s="19">
        <f>IFERROR(__xludf.DUMMYFUNCTION("""COMPUTED_VALUE"""),0.2334)</f>
        <v>0.2334</v>
      </c>
      <c r="M3649" s="18">
        <f>IFERROR(__xludf.DUMMYFUNCTION("""COMPUTED_VALUE"""),1.63)</f>
        <v>1.63</v>
      </c>
    </row>
    <row r="3650">
      <c r="A3650" s="13" t="str">
        <f>IFERROR(__xludf.DUMMYFUNCTION("""COMPUTED_VALUE"""),"товари")</f>
        <v>товари</v>
      </c>
      <c r="B3650" s="16" t="str">
        <f>IFERROR(__xludf.DUMMYFUNCTION("""COMPUTED_VALUE"""),"спорт і відпочинок")</f>
        <v>спорт і відпочинок</v>
      </c>
      <c r="C3650" s="16" t="str">
        <f>IFERROR(__xludf.DUMMYFUNCTION("""COMPUTED_VALUE"""),"спортивні товари")</f>
        <v>спортивні товари</v>
      </c>
      <c r="D3650" s="16" t="str">
        <f>IFERROR(__xludf.DUMMYFUNCTION("""COMPUTED_VALUE"""),"спортивні пістолети та рушниці")</f>
        <v>спортивні пістолети та рушниці</v>
      </c>
      <c r="E3650" s="16" t="str">
        <f>IFERROR(__xludf.DUMMYFUNCTION("""COMPUTED_VALUE"""),"рогатки")</f>
        <v>рогатки</v>
      </c>
      <c r="F3650" s="17">
        <f>IFERROR(__xludf.DUMMYFUNCTION("""COMPUTED_VALUE"""),4.0)</f>
        <v>4</v>
      </c>
      <c r="G3650" s="17" t="str">
        <f>IFERROR(__xludf.DUMMYFUNCTION("""COMPUTED_VALUE"""),"302104")</f>
        <v>302104</v>
      </c>
      <c r="H3650" s="17" t="str">
        <f>IFERROR(__xludf.DUMMYFUNCTION("""COMPUTED_VALUE"""),"рогатки")</f>
        <v>рогатки</v>
      </c>
      <c r="I3650" s="19">
        <f>IFERROR(__xludf.DUMMYFUNCTION("""COMPUTED_VALUE"""),0.0594)</f>
        <v>0.0594</v>
      </c>
      <c r="J3650" s="19">
        <f>IFERROR(__xludf.DUMMYFUNCTION("""COMPUTED_VALUE"""),0.1188)</f>
        <v>0.1188</v>
      </c>
      <c r="K3650" s="19">
        <f>IFERROR(__xludf.DUMMYFUNCTION("""COMPUTED_VALUE"""),0.1485)</f>
        <v>0.1485</v>
      </c>
      <c r="L3650" s="19">
        <f>IFERROR(__xludf.DUMMYFUNCTION("""COMPUTED_VALUE"""),0.1782)</f>
        <v>0.1782</v>
      </c>
      <c r="M3650" s="18">
        <f>IFERROR(__xludf.DUMMYFUNCTION("""COMPUTED_VALUE"""),2.25)</f>
        <v>2.25</v>
      </c>
    </row>
    <row r="3651">
      <c r="A3651" s="13" t="str">
        <f>IFERROR(__xludf.DUMMYFUNCTION("""COMPUTED_VALUE"""),"товари")</f>
        <v>товари</v>
      </c>
      <c r="B3651" s="16" t="str">
        <f>IFERROR(__xludf.DUMMYFUNCTION("""COMPUTED_VALUE"""),"спорт і відпочинок")</f>
        <v>спорт і відпочинок</v>
      </c>
      <c r="C3651" s="16" t="str">
        <f>IFERROR(__xludf.DUMMYFUNCTION("""COMPUTED_VALUE"""),"спортивні товари")</f>
        <v>спортивні товари</v>
      </c>
      <c r="D3651" s="16" t="str">
        <f>IFERROR(__xludf.DUMMYFUNCTION("""COMPUTED_VALUE"""),"ролики, скейтборди та самокати")</f>
        <v>ролики, скейтборди та самокати</v>
      </c>
      <c r="E3651" s="16" t="str">
        <f>IFERROR(__xludf.DUMMYFUNCTION("""COMPUTED_VALUE"""),"ролики, скейтборди та самокати, загальне")</f>
        <v>ролики, скейтборди та самокати, загальне</v>
      </c>
      <c r="F3651" s="17">
        <f>IFERROR(__xludf.DUMMYFUNCTION("""COMPUTED_VALUE"""),4.0)</f>
        <v>4</v>
      </c>
      <c r="G3651" s="17" t="str">
        <f>IFERROR(__xludf.DUMMYFUNCTION("""COMPUTED_VALUE"""),"205301")</f>
        <v>205301</v>
      </c>
      <c r="H3651" s="17" t="str">
        <f>IFERROR(__xludf.DUMMYFUNCTION("""COMPUTED_VALUE"""),"ролики, скейтборди та самокати, загальне")</f>
        <v>ролики, скейтборди та самокати, загальне</v>
      </c>
      <c r="I3651" s="19">
        <f>IFERROR(__xludf.DUMMYFUNCTION("""COMPUTED_VALUE"""),0.125)</f>
        <v>0.125</v>
      </c>
      <c r="J3651" s="19">
        <f>IFERROR(__xludf.DUMMYFUNCTION("""COMPUTED_VALUE"""),0.25)</f>
        <v>0.25</v>
      </c>
      <c r="K3651" s="19">
        <f>IFERROR(__xludf.DUMMYFUNCTION("""COMPUTED_VALUE"""),0.3125)</f>
        <v>0.3125</v>
      </c>
      <c r="L3651" s="19">
        <f>IFERROR(__xludf.DUMMYFUNCTION("""COMPUTED_VALUE"""),0.375)</f>
        <v>0.375</v>
      </c>
      <c r="M3651" s="18">
        <f>IFERROR(__xludf.DUMMYFUNCTION("""COMPUTED_VALUE"""),4.33)</f>
        <v>4.33</v>
      </c>
    </row>
    <row r="3652">
      <c r="A3652" s="13" t="str">
        <f>IFERROR(__xludf.DUMMYFUNCTION("""COMPUTED_VALUE"""),"товари")</f>
        <v>товари</v>
      </c>
      <c r="B3652" s="16" t="str">
        <f>IFERROR(__xludf.DUMMYFUNCTION("""COMPUTED_VALUE"""),"спорт і відпочинок")</f>
        <v>спорт і відпочинок</v>
      </c>
      <c r="C3652" s="16" t="str">
        <f>IFERROR(__xludf.DUMMYFUNCTION("""COMPUTED_VALUE"""),"спортивні товари")</f>
        <v>спортивні товари</v>
      </c>
      <c r="D3652" s="16" t="str">
        <f>IFERROR(__xludf.DUMMYFUNCTION("""COMPUTED_VALUE"""),"ролики, скейтборди та самокати")</f>
        <v>ролики, скейтборди та самокати</v>
      </c>
      <c r="E3652" s="16" t="str">
        <f>IFERROR(__xludf.DUMMYFUNCTION("""COMPUTED_VALUE"""),"роликові ковзани та лижоролери")</f>
        <v>роликові ковзани та лижоролери</v>
      </c>
      <c r="F3652" s="17">
        <f>IFERROR(__xludf.DUMMYFUNCTION("""COMPUTED_VALUE"""),4.0)</f>
        <v>4</v>
      </c>
      <c r="G3652" s="17" t="str">
        <f>IFERROR(__xludf.DUMMYFUNCTION("""COMPUTED_VALUE"""),"20060102")</f>
        <v>20060102</v>
      </c>
      <c r="H3652" s="17" t="str">
        <f>IFERROR(__xludf.DUMMYFUNCTION("""COMPUTED_VALUE"""),"роликові ковзани та лижоролери")</f>
        <v>роликові ковзани та лижоролери</v>
      </c>
      <c r="I3652" s="19">
        <f>IFERROR(__xludf.DUMMYFUNCTION("""COMPUTED_VALUE"""),0.056)</f>
        <v>0.056</v>
      </c>
      <c r="J3652" s="19">
        <f>IFERROR(__xludf.DUMMYFUNCTION("""COMPUTED_VALUE"""),0.1119)</f>
        <v>0.1119</v>
      </c>
      <c r="K3652" s="19">
        <f>IFERROR(__xludf.DUMMYFUNCTION("""COMPUTED_VALUE"""),0.1399)</f>
        <v>0.1399</v>
      </c>
      <c r="L3652" s="19">
        <f>IFERROR(__xludf.DUMMYFUNCTION("""COMPUTED_VALUE"""),0.1679)</f>
        <v>0.1679</v>
      </c>
      <c r="M3652" s="18">
        <f>IFERROR(__xludf.DUMMYFUNCTION("""COMPUTED_VALUE"""),3.43)</f>
        <v>3.43</v>
      </c>
    </row>
    <row r="3653">
      <c r="A3653" s="13" t="str">
        <f>IFERROR(__xludf.DUMMYFUNCTION("""COMPUTED_VALUE"""),"товари")</f>
        <v>товари</v>
      </c>
      <c r="B3653" s="16" t="str">
        <f>IFERROR(__xludf.DUMMYFUNCTION("""COMPUTED_VALUE"""),"спорт і відпочинок")</f>
        <v>спорт і відпочинок</v>
      </c>
      <c r="C3653" s="16" t="str">
        <f>IFERROR(__xludf.DUMMYFUNCTION("""COMPUTED_VALUE"""),"спортивні товари")</f>
        <v>спортивні товари</v>
      </c>
      <c r="D3653" s="16" t="str">
        <f>IFERROR(__xludf.DUMMYFUNCTION("""COMPUTED_VALUE"""),"бойові мистецтва")</f>
        <v>бойові мистецтва</v>
      </c>
      <c r="E3653" s="16" t="str">
        <f>IFERROR(__xludf.DUMMYFUNCTION("""COMPUTED_VALUE"""),"рукавички для боксу та єдиноборств")</f>
        <v>рукавички для боксу та єдиноборств</v>
      </c>
      <c r="F3653" s="17">
        <f>IFERROR(__xludf.DUMMYFUNCTION("""COMPUTED_VALUE"""),4.0)</f>
        <v>4</v>
      </c>
      <c r="G3653" s="17" t="str">
        <f>IFERROR(__xludf.DUMMYFUNCTION("""COMPUTED_VALUE"""),"203106")</f>
        <v>203106</v>
      </c>
      <c r="H3653" s="17" t="str">
        <f>IFERROR(__xludf.DUMMYFUNCTION("""COMPUTED_VALUE"""),"рукавички для боксу та єдиноборств")</f>
        <v>рукавички для боксу та єдиноборств</v>
      </c>
      <c r="I3653" s="19">
        <f>IFERROR(__xludf.DUMMYFUNCTION("""COMPUTED_VALUE"""),0.0776)</f>
        <v>0.0776</v>
      </c>
      <c r="J3653" s="19">
        <f>IFERROR(__xludf.DUMMYFUNCTION("""COMPUTED_VALUE"""),0.1552)</f>
        <v>0.1552</v>
      </c>
      <c r="K3653" s="19">
        <f>IFERROR(__xludf.DUMMYFUNCTION("""COMPUTED_VALUE"""),0.194)</f>
        <v>0.194</v>
      </c>
      <c r="L3653" s="19">
        <f>IFERROR(__xludf.DUMMYFUNCTION("""COMPUTED_VALUE"""),0.2328)</f>
        <v>0.2328</v>
      </c>
      <c r="M3653" s="18">
        <f>IFERROR(__xludf.DUMMYFUNCTION("""COMPUTED_VALUE"""),2.34)</f>
        <v>2.34</v>
      </c>
    </row>
    <row r="3654">
      <c r="A3654" s="13" t="str">
        <f>IFERROR(__xludf.DUMMYFUNCTION("""COMPUTED_VALUE"""),"товари")</f>
        <v>товари</v>
      </c>
      <c r="B3654" s="16" t="str">
        <f>IFERROR(__xludf.DUMMYFUNCTION("""COMPUTED_VALUE"""),"спорт і відпочинок")</f>
        <v>спорт і відпочинок</v>
      </c>
      <c r="C3654" s="16" t="str">
        <f>IFERROR(__xludf.DUMMYFUNCTION("""COMPUTED_VALUE"""),"екстремальні види спорту")</f>
        <v>екстремальні види спорту</v>
      </c>
      <c r="D3654" s="16" t="str">
        <f>IFERROR(__xludf.DUMMYFUNCTION("""COMPUTED_VALUE"""),"дайвінг")</f>
        <v>дайвінг</v>
      </c>
      <c r="E3654" s="16" t="str">
        <f>IFERROR(__xludf.DUMMYFUNCTION("""COMPUTED_VALUE"""),"рукавички для дайвінгу")</f>
        <v>рукавички для дайвінгу</v>
      </c>
      <c r="F3654" s="17">
        <f>IFERROR(__xludf.DUMMYFUNCTION("""COMPUTED_VALUE"""),4.0)</f>
        <v>4</v>
      </c>
      <c r="G3654" s="17" t="str">
        <f>IFERROR(__xludf.DUMMYFUNCTION("""COMPUTED_VALUE"""),"203102")</f>
        <v>203102</v>
      </c>
      <c r="H3654" s="17" t="str">
        <f>IFERROR(__xludf.DUMMYFUNCTION("""COMPUTED_VALUE"""),"рукавички для дайвінгу")</f>
        <v>рукавички для дайвінгу</v>
      </c>
      <c r="I3654" s="19">
        <f>IFERROR(__xludf.DUMMYFUNCTION("""COMPUTED_VALUE"""),0.0779)</f>
        <v>0.0779</v>
      </c>
      <c r="J3654" s="19">
        <f>IFERROR(__xludf.DUMMYFUNCTION("""COMPUTED_VALUE"""),0.1558)</f>
        <v>0.1558</v>
      </c>
      <c r="K3654" s="19">
        <f>IFERROR(__xludf.DUMMYFUNCTION("""COMPUTED_VALUE"""),0.1948)</f>
        <v>0.1948</v>
      </c>
      <c r="L3654" s="19">
        <f>IFERROR(__xludf.DUMMYFUNCTION("""COMPUTED_VALUE"""),0.2337)</f>
        <v>0.2337</v>
      </c>
      <c r="M3654" s="18">
        <f>IFERROR(__xludf.DUMMYFUNCTION("""COMPUTED_VALUE"""),2.88)</f>
        <v>2.88</v>
      </c>
    </row>
    <row r="3655">
      <c r="A3655" s="13" t="str">
        <f>IFERROR(__xludf.DUMMYFUNCTION("""COMPUTED_VALUE"""),"товари")</f>
        <v>товари</v>
      </c>
      <c r="B3655" s="16" t="str">
        <f>IFERROR(__xludf.DUMMYFUNCTION("""COMPUTED_VALUE"""),"спорт і відпочинок")</f>
        <v>спорт і відпочинок</v>
      </c>
      <c r="C3655" s="16" t="str">
        <f>IFERROR(__xludf.DUMMYFUNCTION("""COMPUTED_VALUE"""),"командні види спорту")</f>
        <v>командні види спорту</v>
      </c>
      <c r="D3655" s="16" t="str">
        <f>IFERROR(__xludf.DUMMYFUNCTION("""COMPUTED_VALUE"""),"бейсбол")</f>
        <v>бейсбол</v>
      </c>
      <c r="E3655" s="16" t="str">
        <f>IFERROR(__xludf.DUMMYFUNCTION("""COMPUTED_VALUE"""),"рукавички для крикету та бейсболу")</f>
        <v>рукавички для крикету та бейсболу</v>
      </c>
      <c r="F3655" s="17">
        <f>IFERROR(__xludf.DUMMYFUNCTION("""COMPUTED_VALUE"""),4.0)</f>
        <v>4</v>
      </c>
      <c r="G3655" s="17" t="str">
        <f>IFERROR(__xludf.DUMMYFUNCTION("""COMPUTED_VALUE"""),"203104")</f>
        <v>203104</v>
      </c>
      <c r="H3655" s="17" t="str">
        <f>IFERROR(__xludf.DUMMYFUNCTION("""COMPUTED_VALUE"""),"рукавички для крикету та бейсболу")</f>
        <v>рукавички для крикету та бейсболу</v>
      </c>
      <c r="I3655" s="19">
        <f>IFERROR(__xludf.DUMMYFUNCTION("""COMPUTED_VALUE"""),0.0798)</f>
        <v>0.0798</v>
      </c>
      <c r="J3655" s="19">
        <f>IFERROR(__xludf.DUMMYFUNCTION("""COMPUTED_VALUE"""),0.1596)</f>
        <v>0.1596</v>
      </c>
      <c r="K3655" s="19">
        <f>IFERROR(__xludf.DUMMYFUNCTION("""COMPUTED_VALUE"""),0.1995)</f>
        <v>0.1995</v>
      </c>
      <c r="L3655" s="19">
        <f>IFERROR(__xludf.DUMMYFUNCTION("""COMPUTED_VALUE"""),0.2394)</f>
        <v>0.2394</v>
      </c>
      <c r="M3655" s="18">
        <f>IFERROR(__xludf.DUMMYFUNCTION("""COMPUTED_VALUE"""),1.05)</f>
        <v>1.05</v>
      </c>
    </row>
    <row r="3656">
      <c r="A3656" s="13" t="str">
        <f>IFERROR(__xludf.DUMMYFUNCTION("""COMPUTED_VALUE"""),"товари")</f>
        <v>товари</v>
      </c>
      <c r="B3656" s="16" t="str">
        <f>IFERROR(__xludf.DUMMYFUNCTION("""COMPUTED_VALUE"""),"спорт і відпочинок")</f>
        <v>спорт і відпочинок</v>
      </c>
      <c r="C3656" s="16" t="str">
        <f>IFERROR(__xludf.DUMMYFUNCTION("""COMPUTED_VALUE"""),"товари для риболовлі")</f>
        <v>товари для риболовлі</v>
      </c>
      <c r="D3656" s="16" t="str">
        <f>IFERROR(__xludf.DUMMYFUNCTION("""COMPUTED_VALUE"""),"рукавички для риболовлі")</f>
        <v>рукавички для риболовлі</v>
      </c>
      <c r="E3656" s="16" t="str">
        <f>IFERROR(__xludf.DUMMYFUNCTION("""COMPUTED_VALUE"""),"рукавички для риболовлі")</f>
        <v>рукавички для риболовлі</v>
      </c>
      <c r="F3656" s="17">
        <f>IFERROR(__xludf.DUMMYFUNCTION("""COMPUTED_VALUE"""),3.0)</f>
        <v>3</v>
      </c>
      <c r="G3656" s="17" t="str">
        <f>IFERROR(__xludf.DUMMYFUNCTION("""COMPUTED_VALUE"""),"181038")</f>
        <v>181038</v>
      </c>
      <c r="H3656" s="17" t="str">
        <f>IFERROR(__xludf.DUMMYFUNCTION("""COMPUTED_VALUE"""),"рукавички для риболовлі")</f>
        <v>рукавички для риболовлі</v>
      </c>
      <c r="I3656" s="19">
        <f>IFERROR(__xludf.DUMMYFUNCTION("""COMPUTED_VALUE"""),0.077)</f>
        <v>0.077</v>
      </c>
      <c r="J3656" s="19">
        <f>IFERROR(__xludf.DUMMYFUNCTION("""COMPUTED_VALUE"""),0.154)</f>
        <v>0.154</v>
      </c>
      <c r="K3656" s="19">
        <f>IFERROR(__xludf.DUMMYFUNCTION("""COMPUTED_VALUE"""),0.1925)</f>
        <v>0.1925</v>
      </c>
      <c r="L3656" s="19">
        <f>IFERROR(__xludf.DUMMYFUNCTION("""COMPUTED_VALUE"""),0.231)</f>
        <v>0.231</v>
      </c>
      <c r="M3656" s="18">
        <f>IFERROR(__xludf.DUMMYFUNCTION("""COMPUTED_VALUE"""),1.05)</f>
        <v>1.05</v>
      </c>
    </row>
    <row r="3657">
      <c r="A3657" s="13" t="str">
        <f>IFERROR(__xludf.DUMMYFUNCTION("""COMPUTED_VALUE"""),"товари")</f>
        <v>товари</v>
      </c>
      <c r="B3657" s="16" t="str">
        <f>IFERROR(__xludf.DUMMYFUNCTION("""COMPUTED_VALUE"""),"спорт і відпочинок")</f>
        <v>спорт і відпочинок</v>
      </c>
      <c r="C3657" s="16" t="str">
        <f>IFERROR(__xludf.DUMMYFUNCTION("""COMPUTED_VALUE"""),"екстремальні види спорту")</f>
        <v>екстремальні види спорту</v>
      </c>
      <c r="D3657" s="16" t="str">
        <f>IFERROR(__xludf.DUMMYFUNCTION("""COMPUTED_VALUE"""),"альпінізм")</f>
        <v>альпінізм</v>
      </c>
      <c r="E3657" s="16" t="str">
        <f>IFERROR(__xludf.DUMMYFUNCTION("""COMPUTED_VALUE"""),"рукавички для туризму та альпінізму")</f>
        <v>рукавички для туризму та альпінізму</v>
      </c>
      <c r="F3657" s="17">
        <f>IFERROR(__xludf.DUMMYFUNCTION("""COMPUTED_VALUE"""),4.0)</f>
        <v>4</v>
      </c>
      <c r="G3657" s="17" t="str">
        <f>IFERROR(__xludf.DUMMYFUNCTION("""COMPUTED_VALUE"""),"203543")</f>
        <v>203543</v>
      </c>
      <c r="H3657" s="17" t="str">
        <f>IFERROR(__xludf.DUMMYFUNCTION("""COMPUTED_VALUE"""),"рукавички для туризму та альпінізму")</f>
        <v>рукавички для туризму та альпінізму</v>
      </c>
      <c r="I3657" s="19">
        <f>IFERROR(__xludf.DUMMYFUNCTION("""COMPUTED_VALUE"""),0.0786)</f>
        <v>0.0786</v>
      </c>
      <c r="J3657" s="19">
        <f>IFERROR(__xludf.DUMMYFUNCTION("""COMPUTED_VALUE"""),0.1571)</f>
        <v>0.1571</v>
      </c>
      <c r="K3657" s="19">
        <f>IFERROR(__xludf.DUMMYFUNCTION("""COMPUTED_VALUE"""),0.1964)</f>
        <v>0.1964</v>
      </c>
      <c r="L3657" s="19">
        <f>IFERROR(__xludf.DUMMYFUNCTION("""COMPUTED_VALUE"""),0.2357)</f>
        <v>0.2357</v>
      </c>
      <c r="M3657" s="18">
        <f>IFERROR(__xludf.DUMMYFUNCTION("""COMPUTED_VALUE"""),1.8)</f>
        <v>1.8</v>
      </c>
    </row>
    <row r="3658">
      <c r="A3658" s="13" t="str">
        <f>IFERROR(__xludf.DUMMYFUNCTION("""COMPUTED_VALUE"""),"товари")</f>
        <v>товари</v>
      </c>
      <c r="B3658" s="16" t="str">
        <f>IFERROR(__xludf.DUMMYFUNCTION("""COMPUTED_VALUE"""),"спорт і відпочинок")</f>
        <v>спорт і відпочинок</v>
      </c>
      <c r="C3658" s="16" t="str">
        <f>IFERROR(__xludf.DUMMYFUNCTION("""COMPUTED_VALUE"""),"спортивні товари")</f>
        <v>спортивні товари</v>
      </c>
      <c r="D3658" s="16" t="str">
        <f>IFERROR(__xludf.DUMMYFUNCTION("""COMPUTED_VALUE"""),"важка атлетика")</f>
        <v>важка атлетика</v>
      </c>
      <c r="E3658" s="16" t="str">
        <f>IFERROR(__xludf.DUMMYFUNCTION("""COMPUTED_VALUE"""),"рукавички для фітнесу і атлетики")</f>
        <v>рукавички для фітнесу і атлетики</v>
      </c>
      <c r="F3658" s="17">
        <f>IFERROR(__xludf.DUMMYFUNCTION("""COMPUTED_VALUE"""),4.0)</f>
        <v>4</v>
      </c>
      <c r="G3658" s="17" t="str">
        <f>IFERROR(__xludf.DUMMYFUNCTION("""COMPUTED_VALUE"""),"203109")</f>
        <v>203109</v>
      </c>
      <c r="H3658" s="17" t="str">
        <f>IFERROR(__xludf.DUMMYFUNCTION("""COMPUTED_VALUE"""),"рукавички для фітнесу і атлетики")</f>
        <v>рукавички для фітнесу і атлетики</v>
      </c>
      <c r="I3658" s="19">
        <f>IFERROR(__xludf.DUMMYFUNCTION("""COMPUTED_VALUE"""),0.0797)</f>
        <v>0.0797</v>
      </c>
      <c r="J3658" s="19">
        <f>IFERROR(__xludf.DUMMYFUNCTION("""COMPUTED_VALUE"""),0.1593)</f>
        <v>0.1593</v>
      </c>
      <c r="K3658" s="19">
        <f>IFERROR(__xludf.DUMMYFUNCTION("""COMPUTED_VALUE"""),0.1991)</f>
        <v>0.1991</v>
      </c>
      <c r="L3658" s="19">
        <f>IFERROR(__xludf.DUMMYFUNCTION("""COMPUTED_VALUE"""),0.239)</f>
        <v>0.239</v>
      </c>
      <c r="M3658" s="18">
        <f>IFERROR(__xludf.DUMMYFUNCTION("""COMPUTED_VALUE"""),2.61)</f>
        <v>2.61</v>
      </c>
    </row>
    <row r="3659">
      <c r="A3659" s="13" t="str">
        <f>IFERROR(__xludf.DUMMYFUNCTION("""COMPUTED_VALUE"""),"товари")</f>
        <v>товари</v>
      </c>
      <c r="B3659" s="16" t="str">
        <f>IFERROR(__xludf.DUMMYFUNCTION("""COMPUTED_VALUE"""),"спорт і відпочинок")</f>
        <v>спорт і відпочинок</v>
      </c>
      <c r="C3659" s="16" t="str">
        <f>IFERROR(__xludf.DUMMYFUNCTION("""COMPUTED_VALUE"""),"товари для туризму та подорожей")</f>
        <v>товари для туризму та подорожей</v>
      </c>
      <c r="D3659" s="16" t="str">
        <f>IFERROR(__xludf.DUMMYFUNCTION("""COMPUTED_VALUE"""),"туристичні інструменти")</f>
        <v>туристичні інструменти</v>
      </c>
      <c r="E3659" s="16" t="str">
        <f>IFERROR(__xludf.DUMMYFUNCTION("""COMPUTED_VALUE"""),"ручні та налобні ліхтарі")</f>
        <v>ручні та налобні ліхтарі</v>
      </c>
      <c r="F3659" s="17">
        <f>IFERROR(__xludf.DUMMYFUNCTION("""COMPUTED_VALUE"""),4.0)</f>
        <v>4</v>
      </c>
      <c r="G3659" s="17" t="str">
        <f>IFERROR(__xludf.DUMMYFUNCTION("""COMPUTED_VALUE"""),"150410")</f>
        <v>150410</v>
      </c>
      <c r="H3659" s="17" t="str">
        <f>IFERROR(__xludf.DUMMYFUNCTION("""COMPUTED_VALUE"""),"ручні та налобні ліхтарі")</f>
        <v>ручні та налобні ліхтарі</v>
      </c>
      <c r="I3659" s="19">
        <f>IFERROR(__xludf.DUMMYFUNCTION("""COMPUTED_VALUE"""),0.0939)</f>
        <v>0.0939</v>
      </c>
      <c r="J3659" s="19">
        <f>IFERROR(__xludf.DUMMYFUNCTION("""COMPUTED_VALUE"""),0.1877)</f>
        <v>0.1877</v>
      </c>
      <c r="K3659" s="19">
        <f>IFERROR(__xludf.DUMMYFUNCTION("""COMPUTED_VALUE"""),0.2346)</f>
        <v>0.2346</v>
      </c>
      <c r="L3659" s="19">
        <f>IFERROR(__xludf.DUMMYFUNCTION("""COMPUTED_VALUE"""),0.2816)</f>
        <v>0.2816</v>
      </c>
      <c r="M3659" s="18">
        <f>IFERROR(__xludf.DUMMYFUNCTION("""COMPUTED_VALUE"""),1.8)</f>
        <v>1.8</v>
      </c>
    </row>
    <row r="3660">
      <c r="A3660" s="13" t="str">
        <f>IFERROR(__xludf.DUMMYFUNCTION("""COMPUTED_VALUE"""),"товари")</f>
        <v>товари</v>
      </c>
      <c r="B3660" s="16" t="str">
        <f>IFERROR(__xludf.DUMMYFUNCTION("""COMPUTED_VALUE"""),"спорт і відпочинок")</f>
        <v>спорт і відпочинок</v>
      </c>
      <c r="C3660" s="16" t="str">
        <f>IFERROR(__xludf.DUMMYFUNCTION("""COMPUTED_VALUE"""),"товари для підводного полювання")</f>
        <v>товари для підводного полювання</v>
      </c>
      <c r="D3660" s="16" t="str">
        <f>IFERROR(__xludf.DUMMYFUNCTION("""COMPUTED_VALUE"""),"підводні рушниці")</f>
        <v>підводні рушниці</v>
      </c>
      <c r="E3660" s="16" t="str">
        <f>IFERROR(__xludf.DUMMYFUNCTION("""COMPUTED_VALUE"""),"рушниці для підводного полювання")</f>
        <v>рушниці для підводного полювання</v>
      </c>
      <c r="F3660" s="17">
        <f>IFERROR(__xludf.DUMMYFUNCTION("""COMPUTED_VALUE"""),4.0)</f>
        <v>4</v>
      </c>
      <c r="G3660" s="17" t="str">
        <f>IFERROR(__xludf.DUMMYFUNCTION("""COMPUTED_VALUE"""),"302114")</f>
        <v>302114</v>
      </c>
      <c r="H3660" s="17" t="str">
        <f>IFERROR(__xludf.DUMMYFUNCTION("""COMPUTED_VALUE"""),"рушниці для підводного полювання")</f>
        <v>рушниці для підводного полювання</v>
      </c>
      <c r="I3660" s="19">
        <f>IFERROR(__xludf.DUMMYFUNCTION("""COMPUTED_VALUE"""),0.0549)</f>
        <v>0.0549</v>
      </c>
      <c r="J3660" s="19">
        <f>IFERROR(__xludf.DUMMYFUNCTION("""COMPUTED_VALUE"""),0.1097)</f>
        <v>0.1097</v>
      </c>
      <c r="K3660" s="19">
        <f>IFERROR(__xludf.DUMMYFUNCTION("""COMPUTED_VALUE"""),0.1371)</f>
        <v>0.1371</v>
      </c>
      <c r="L3660" s="19">
        <f>IFERROR(__xludf.DUMMYFUNCTION("""COMPUTED_VALUE"""),0.1646)</f>
        <v>0.1646</v>
      </c>
      <c r="M3660" s="18">
        <f>IFERROR(__xludf.DUMMYFUNCTION("""COMPUTED_VALUE"""),1.98)</f>
        <v>1.98</v>
      </c>
    </row>
    <row r="3661">
      <c r="A3661" s="13" t="str">
        <f>IFERROR(__xludf.DUMMYFUNCTION("""COMPUTED_VALUE"""),"товари")</f>
        <v>товари</v>
      </c>
      <c r="B3661" s="16" t="str">
        <f>IFERROR(__xludf.DUMMYFUNCTION("""COMPUTED_VALUE"""),"спорт і відпочинок")</f>
        <v>спорт і відпочинок</v>
      </c>
      <c r="C3661" s="16" t="str">
        <f>IFERROR(__xludf.DUMMYFUNCTION("""COMPUTED_VALUE"""),"спортивні товари")</f>
        <v>спортивні товари</v>
      </c>
      <c r="D3661" s="16" t="str">
        <f>IFERROR(__xludf.DUMMYFUNCTION("""COMPUTED_VALUE"""),"ролики, скейтборди та самокати")</f>
        <v>ролики, скейтборди та самокати</v>
      </c>
      <c r="E3661" s="16" t="str">
        <f>IFERROR(__xludf.DUMMYFUNCTION("""COMPUTED_VALUE"""),"самокати")</f>
        <v>самокати</v>
      </c>
      <c r="F3661" s="17">
        <f>IFERROR(__xludf.DUMMYFUNCTION("""COMPUTED_VALUE"""),4.0)</f>
        <v>4</v>
      </c>
      <c r="G3661" s="17" t="str">
        <f>IFERROR(__xludf.DUMMYFUNCTION("""COMPUTED_VALUE"""),"202104")</f>
        <v>202104</v>
      </c>
      <c r="H3661" s="17" t="str">
        <f>IFERROR(__xludf.DUMMYFUNCTION("""COMPUTED_VALUE"""),"самокати")</f>
        <v>самокати</v>
      </c>
      <c r="I3661" s="19">
        <f>IFERROR(__xludf.DUMMYFUNCTION("""COMPUTED_VALUE"""),0.056)</f>
        <v>0.056</v>
      </c>
      <c r="J3661" s="19">
        <f>IFERROR(__xludf.DUMMYFUNCTION("""COMPUTED_VALUE"""),0.1119)</f>
        <v>0.1119</v>
      </c>
      <c r="K3661" s="19">
        <f>IFERROR(__xludf.DUMMYFUNCTION("""COMPUTED_VALUE"""),0.1399)</f>
        <v>0.1399</v>
      </c>
      <c r="L3661" s="19">
        <f>IFERROR(__xludf.DUMMYFUNCTION("""COMPUTED_VALUE"""),0.1679)</f>
        <v>0.1679</v>
      </c>
      <c r="M3661" s="18">
        <f>IFERROR(__xludf.DUMMYFUNCTION("""COMPUTED_VALUE"""),3.43)</f>
        <v>3.43</v>
      </c>
    </row>
    <row r="3662">
      <c r="A3662" s="13" t="str">
        <f>IFERROR(__xludf.DUMMYFUNCTION("""COMPUTED_VALUE"""),"товари")</f>
        <v>товари</v>
      </c>
      <c r="B3662" s="16" t="str">
        <f>IFERROR(__xludf.DUMMYFUNCTION("""COMPUTED_VALUE"""),"спорт і відпочинок")</f>
        <v>спорт і відпочинок</v>
      </c>
      <c r="C3662" s="16" t="str">
        <f>IFERROR(__xludf.DUMMYFUNCTION("""COMPUTED_VALUE"""),"спортивні товари")</f>
        <v>спортивні товари</v>
      </c>
      <c r="D3662" s="16" t="str">
        <f>IFERROR(__xludf.DUMMYFUNCTION("""COMPUTED_VALUE"""),"важка атлетика")</f>
        <v>важка атлетика</v>
      </c>
      <c r="E3662" s="16" t="str">
        <f>IFERROR(__xludf.DUMMYFUNCTION("""COMPUTED_VALUE"""),"сендбеги")</f>
        <v>сендбеги</v>
      </c>
      <c r="F3662" s="17">
        <f>IFERROR(__xludf.DUMMYFUNCTION("""COMPUTED_VALUE"""),4.0)</f>
        <v>4</v>
      </c>
      <c r="G3662" s="17" t="str">
        <f>IFERROR(__xludf.DUMMYFUNCTION("""COMPUTED_VALUE"""),"203602")</f>
        <v>203602</v>
      </c>
      <c r="H3662" s="17" t="str">
        <f>IFERROR(__xludf.DUMMYFUNCTION("""COMPUTED_VALUE"""),"сендбеги")</f>
        <v>сендбеги</v>
      </c>
      <c r="I3662" s="19">
        <f>IFERROR(__xludf.DUMMYFUNCTION("""COMPUTED_VALUE"""),0.0784)</f>
        <v>0.0784</v>
      </c>
      <c r="J3662" s="19">
        <f>IFERROR(__xludf.DUMMYFUNCTION("""COMPUTED_VALUE"""),0.1567)</f>
        <v>0.1567</v>
      </c>
      <c r="K3662" s="19">
        <f>IFERROR(__xludf.DUMMYFUNCTION("""COMPUTED_VALUE"""),0.1959)</f>
        <v>0.1959</v>
      </c>
      <c r="L3662" s="19">
        <f>IFERROR(__xludf.DUMMYFUNCTION("""COMPUTED_VALUE"""),0.2351)</f>
        <v>0.2351</v>
      </c>
      <c r="M3662" s="18">
        <f>IFERROR(__xludf.DUMMYFUNCTION("""COMPUTED_VALUE"""),2.61)</f>
        <v>2.61</v>
      </c>
    </row>
    <row r="3663">
      <c r="A3663" s="13" t="str">
        <f>IFERROR(__xludf.DUMMYFUNCTION("""COMPUTED_VALUE"""),"товари")</f>
        <v>товари</v>
      </c>
      <c r="B3663" s="16" t="str">
        <f>IFERROR(__xludf.DUMMYFUNCTION("""COMPUTED_VALUE"""),"спорт і відпочинок")</f>
        <v>спорт і відпочинок</v>
      </c>
      <c r="C3663" s="16" t="str">
        <f>IFERROR(__xludf.DUMMYFUNCTION("""COMPUTED_VALUE"""),"товари для риболовлі")</f>
        <v>товари для риболовлі</v>
      </c>
      <c r="D3663" s="16" t="str">
        <f>IFERROR(__xludf.DUMMYFUNCTION("""COMPUTED_VALUE"""),"рибальські снасті")</f>
        <v>рибальські снасті</v>
      </c>
      <c r="E3663" s="16" t="str">
        <f>IFERROR(__xludf.DUMMYFUNCTION("""COMPUTED_VALUE"""),"сигналізатори клювання та свінгери")</f>
        <v>сигналізатори клювання та свінгери</v>
      </c>
      <c r="F3663" s="17">
        <f>IFERROR(__xludf.DUMMYFUNCTION("""COMPUTED_VALUE"""),4.0)</f>
        <v>4</v>
      </c>
      <c r="G3663" s="17" t="str">
        <f>IFERROR(__xludf.DUMMYFUNCTION("""COMPUTED_VALUE"""),"181013")</f>
        <v>181013</v>
      </c>
      <c r="H3663" s="17" t="str">
        <f>IFERROR(__xludf.DUMMYFUNCTION("""COMPUTED_VALUE"""),"сигналізатори клювання та свінгери")</f>
        <v>сигналізатори клювання та свінгери</v>
      </c>
      <c r="I3663" s="19">
        <f>IFERROR(__xludf.DUMMYFUNCTION("""COMPUTED_VALUE"""),0.0773)</f>
        <v>0.0773</v>
      </c>
      <c r="J3663" s="19">
        <f>IFERROR(__xludf.DUMMYFUNCTION("""COMPUTED_VALUE"""),0.1545)</f>
        <v>0.1545</v>
      </c>
      <c r="K3663" s="19">
        <f>IFERROR(__xludf.DUMMYFUNCTION("""COMPUTED_VALUE"""),0.1931)</f>
        <v>0.1931</v>
      </c>
      <c r="L3663" s="19">
        <f>IFERROR(__xludf.DUMMYFUNCTION("""COMPUTED_VALUE"""),0.2318)</f>
        <v>0.2318</v>
      </c>
      <c r="M3663" s="18">
        <f>IFERROR(__xludf.DUMMYFUNCTION("""COMPUTED_VALUE"""),1.05)</f>
        <v>1.05</v>
      </c>
    </row>
    <row r="3664">
      <c r="A3664" s="13" t="str">
        <f>IFERROR(__xludf.DUMMYFUNCTION("""COMPUTED_VALUE"""),"товари")</f>
        <v>товари</v>
      </c>
      <c r="B3664" s="16" t="str">
        <f>IFERROR(__xludf.DUMMYFUNCTION("""COMPUTED_VALUE"""),"спорт і відпочинок")</f>
        <v>спорт і відпочинок</v>
      </c>
      <c r="C3664" s="16" t="str">
        <f>IFERROR(__xludf.DUMMYFUNCTION("""COMPUTED_VALUE"""),"спортивні товари")</f>
        <v>спортивні товари</v>
      </c>
      <c r="D3664" s="16" t="str">
        <f>IFERROR(__xludf.DUMMYFUNCTION("""COMPUTED_VALUE"""),"спортивні пістолети та рушниці")</f>
        <v>спортивні пістолети та рушниці</v>
      </c>
      <c r="E3664" s="16" t="str">
        <f>IFERROR(__xludf.DUMMYFUNCTION("""COMPUTED_VALUE"""),"сигнальні та стартові пістолети")</f>
        <v>сигнальні та стартові пістолети</v>
      </c>
      <c r="F3664" s="17">
        <f>IFERROR(__xludf.DUMMYFUNCTION("""COMPUTED_VALUE"""),4.0)</f>
        <v>4</v>
      </c>
      <c r="G3664" s="17" t="str">
        <f>IFERROR(__xludf.DUMMYFUNCTION("""COMPUTED_VALUE"""),"302119")</f>
        <v>302119</v>
      </c>
      <c r="H3664" s="17" t="str">
        <f>IFERROR(__xludf.DUMMYFUNCTION("""COMPUTED_VALUE"""),"сигнальні та стартові пістолети")</f>
        <v>сигнальні та стартові пістолети</v>
      </c>
      <c r="I3664" s="19">
        <f>IFERROR(__xludf.DUMMYFUNCTION("""COMPUTED_VALUE"""),0.0526)</f>
        <v>0.0526</v>
      </c>
      <c r="J3664" s="19">
        <f>IFERROR(__xludf.DUMMYFUNCTION("""COMPUTED_VALUE"""),0.1052)</f>
        <v>0.1052</v>
      </c>
      <c r="K3664" s="19">
        <f>IFERROR(__xludf.DUMMYFUNCTION("""COMPUTED_VALUE"""),0.1315)</f>
        <v>0.1315</v>
      </c>
      <c r="L3664" s="19">
        <f>IFERROR(__xludf.DUMMYFUNCTION("""COMPUTED_VALUE"""),0.1578)</f>
        <v>0.1578</v>
      </c>
      <c r="M3664" s="18">
        <f>IFERROR(__xludf.DUMMYFUNCTION("""COMPUTED_VALUE"""),2.25)</f>
        <v>2.25</v>
      </c>
    </row>
    <row r="3665">
      <c r="A3665" s="13" t="str">
        <f>IFERROR(__xludf.DUMMYFUNCTION("""COMPUTED_VALUE"""),"товари")</f>
        <v>товари</v>
      </c>
      <c r="B3665" s="16" t="str">
        <f>IFERROR(__xludf.DUMMYFUNCTION("""COMPUTED_VALUE"""),"спорт і відпочинок")</f>
        <v>спорт і відпочинок</v>
      </c>
      <c r="C3665" s="16" t="str">
        <f>IFERROR(__xludf.DUMMYFUNCTION("""COMPUTED_VALUE"""),"товари для риболовлі")</f>
        <v>товари для риболовлі</v>
      </c>
      <c r="D3665" s="16" t="str">
        <f>IFERROR(__xludf.DUMMYFUNCTION("""COMPUTED_VALUE"""),"рибальські снасті")</f>
        <v>рибальські снасті</v>
      </c>
      <c r="E3665" s="16" t="str">
        <f>IFERROR(__xludf.DUMMYFUNCTION("""COMPUTED_VALUE"""),"силіконові приманки, мандула та стримери")</f>
        <v>силіконові приманки, мандула та стримери</v>
      </c>
      <c r="F3665" s="17">
        <f>IFERROR(__xludf.DUMMYFUNCTION("""COMPUTED_VALUE"""),4.0)</f>
        <v>4</v>
      </c>
      <c r="G3665" s="17" t="str">
        <f>IFERROR(__xludf.DUMMYFUNCTION("""COMPUTED_VALUE"""),"181012")</f>
        <v>181012</v>
      </c>
      <c r="H3665" s="17" t="str">
        <f>IFERROR(__xludf.DUMMYFUNCTION("""COMPUTED_VALUE"""),"силіконові приманки, мандула та стримери")</f>
        <v>силіконові приманки, мандула та стримери</v>
      </c>
      <c r="I3665" s="19">
        <f>IFERROR(__xludf.DUMMYFUNCTION("""COMPUTED_VALUE"""),0.077)</f>
        <v>0.077</v>
      </c>
      <c r="J3665" s="19">
        <f>IFERROR(__xludf.DUMMYFUNCTION("""COMPUTED_VALUE"""),0.1539)</f>
        <v>0.1539</v>
      </c>
      <c r="K3665" s="19">
        <f>IFERROR(__xludf.DUMMYFUNCTION("""COMPUTED_VALUE"""),0.1924)</f>
        <v>0.1924</v>
      </c>
      <c r="L3665" s="19">
        <f>IFERROR(__xludf.DUMMYFUNCTION("""COMPUTED_VALUE"""),0.2309)</f>
        <v>0.2309</v>
      </c>
      <c r="M3665" s="18">
        <f>IFERROR(__xludf.DUMMYFUNCTION("""COMPUTED_VALUE"""),1.05)</f>
        <v>1.05</v>
      </c>
    </row>
    <row r="3666">
      <c r="A3666" s="13" t="str">
        <f>IFERROR(__xludf.DUMMYFUNCTION("""COMPUTED_VALUE"""),"товари")</f>
        <v>товари</v>
      </c>
      <c r="B3666" s="16" t="str">
        <f>IFERROR(__xludf.DUMMYFUNCTION("""COMPUTED_VALUE"""),"спорт і відпочинок")</f>
        <v>спорт і відпочинок</v>
      </c>
      <c r="C3666" s="16" t="str">
        <f>IFERROR(__xludf.DUMMYFUNCTION("""COMPUTED_VALUE"""),"тренажери")</f>
        <v>тренажери</v>
      </c>
      <c r="D3666" s="16" t="str">
        <f>IFERROR(__xludf.DUMMYFUNCTION("""COMPUTED_VALUE"""),"силові тренажери")</f>
        <v>силові тренажери</v>
      </c>
      <c r="E3666" s="16" t="str">
        <f>IFERROR(__xludf.DUMMYFUNCTION("""COMPUTED_VALUE"""),"силові тренажери")</f>
        <v>силові тренажери</v>
      </c>
      <c r="F3666" s="17">
        <f>IFERROR(__xludf.DUMMYFUNCTION("""COMPUTED_VALUE"""),3.0)</f>
        <v>3</v>
      </c>
      <c r="G3666" s="17" t="str">
        <f>IFERROR(__xludf.DUMMYFUNCTION("""COMPUTED_VALUE"""),"200911")</f>
        <v>200911</v>
      </c>
      <c r="H3666" s="17" t="str">
        <f>IFERROR(__xludf.DUMMYFUNCTION("""COMPUTED_VALUE"""),"силові тренажери")</f>
        <v>силові тренажери</v>
      </c>
      <c r="I3666" s="19">
        <f>IFERROR(__xludf.DUMMYFUNCTION("""COMPUTED_VALUE"""),0.0658)</f>
        <v>0.0658</v>
      </c>
      <c r="J3666" s="19">
        <f>IFERROR(__xludf.DUMMYFUNCTION("""COMPUTED_VALUE"""),0.1316)</f>
        <v>0.1316</v>
      </c>
      <c r="K3666" s="19">
        <f>IFERROR(__xludf.DUMMYFUNCTION("""COMPUTED_VALUE"""),0.1645)</f>
        <v>0.1645</v>
      </c>
      <c r="L3666" s="19">
        <f>IFERROR(__xludf.DUMMYFUNCTION("""COMPUTED_VALUE"""),0.1974)</f>
        <v>0.1974</v>
      </c>
      <c r="M3666" s="18">
        <f>IFERROR(__xludf.DUMMYFUNCTION("""COMPUTED_VALUE"""),3.43)</f>
        <v>3.43</v>
      </c>
    </row>
    <row r="3667">
      <c r="A3667" s="13" t="str">
        <f>IFERROR(__xludf.DUMMYFUNCTION("""COMPUTED_VALUE"""),"товари")</f>
        <v>товари</v>
      </c>
      <c r="B3667" s="16" t="str">
        <f>IFERROR(__xludf.DUMMYFUNCTION("""COMPUTED_VALUE"""),"спорт і відпочинок")</f>
        <v>спорт і відпочинок</v>
      </c>
      <c r="C3667" s="16" t="str">
        <f>IFERROR(__xludf.DUMMYFUNCTION("""COMPUTED_VALUE"""),"сігвеї та гіроскутери")</f>
        <v>сігвеї та гіроскутери</v>
      </c>
      <c r="D3667" s="16" t="str">
        <f>IFERROR(__xludf.DUMMYFUNCTION("""COMPUTED_VALUE"""),"сігвеї та гіроскутери")</f>
        <v>сігвеї та гіроскутери</v>
      </c>
      <c r="E3667" s="16" t="str">
        <f>IFERROR(__xludf.DUMMYFUNCTION("""COMPUTED_VALUE"""),"сігвеї та гіроскутери")</f>
        <v>сігвеї та гіроскутери</v>
      </c>
      <c r="F3667" s="17">
        <f>IFERROR(__xludf.DUMMYFUNCTION("""COMPUTED_VALUE"""),2.0)</f>
        <v>2</v>
      </c>
      <c r="G3667" s="17" t="str">
        <f>IFERROR(__xludf.DUMMYFUNCTION("""COMPUTED_VALUE"""),"203502")</f>
        <v>203502</v>
      </c>
      <c r="H3667" s="17" t="str">
        <f>IFERROR(__xludf.DUMMYFUNCTION("""COMPUTED_VALUE"""),"сігвеї та гіроскутери")</f>
        <v>сігвеї та гіроскутери</v>
      </c>
      <c r="I3667" s="19">
        <f>IFERROR(__xludf.DUMMYFUNCTION("""COMPUTED_VALUE"""),0.0537)</f>
        <v>0.0537</v>
      </c>
      <c r="J3667" s="19">
        <f>IFERROR(__xludf.DUMMYFUNCTION("""COMPUTED_VALUE"""),0.1073)</f>
        <v>0.1073</v>
      </c>
      <c r="K3667" s="19">
        <f>IFERROR(__xludf.DUMMYFUNCTION("""COMPUTED_VALUE"""),0.1341)</f>
        <v>0.1341</v>
      </c>
      <c r="L3667" s="19">
        <f>IFERROR(__xludf.DUMMYFUNCTION("""COMPUTED_VALUE"""),0.161)</f>
        <v>0.161</v>
      </c>
      <c r="M3667" s="18">
        <f>IFERROR(__xludf.DUMMYFUNCTION("""COMPUTED_VALUE"""),5.4)</f>
        <v>5.4</v>
      </c>
    </row>
    <row r="3668">
      <c r="A3668" s="13" t="str">
        <f>IFERROR(__xludf.DUMMYFUNCTION("""COMPUTED_VALUE"""),"товари")</f>
        <v>товари</v>
      </c>
      <c r="B3668" s="16" t="str">
        <f>IFERROR(__xludf.DUMMYFUNCTION("""COMPUTED_VALUE"""),"спорт і відпочинок")</f>
        <v>спорт і відпочинок</v>
      </c>
      <c r="C3668" s="16" t="str">
        <f>IFERROR(__xludf.DUMMYFUNCTION("""COMPUTED_VALUE"""),"командні види спорту")</f>
        <v>командні види спорту</v>
      </c>
      <c r="D3668" s="16" t="str">
        <f>IFERROR(__xludf.DUMMYFUNCTION("""COMPUTED_VALUE"""),"сітки для ігрових майданчиків")</f>
        <v>сітки для ігрових майданчиків</v>
      </c>
      <c r="E3668" s="16" t="str">
        <f>IFERROR(__xludf.DUMMYFUNCTION("""COMPUTED_VALUE"""),"сітки для ігрових майданчиків")</f>
        <v>сітки для ігрових майданчиків</v>
      </c>
      <c r="F3668" s="17">
        <f>IFERROR(__xludf.DUMMYFUNCTION("""COMPUTED_VALUE"""),3.0)</f>
        <v>3</v>
      </c>
      <c r="G3668" s="17" t="str">
        <f>IFERROR(__xludf.DUMMYFUNCTION("""COMPUTED_VALUE"""),"203305")</f>
        <v>203305</v>
      </c>
      <c r="H3668" s="17" t="str">
        <f>IFERROR(__xludf.DUMMYFUNCTION("""COMPUTED_VALUE"""),"сітки для ігрових майданчиків")</f>
        <v>сітки для ігрових майданчиків</v>
      </c>
      <c r="I3668" s="19">
        <f>IFERROR(__xludf.DUMMYFUNCTION("""COMPUTED_VALUE"""),0.0782)</f>
        <v>0.0782</v>
      </c>
      <c r="J3668" s="19">
        <f>IFERROR(__xludf.DUMMYFUNCTION("""COMPUTED_VALUE"""),0.1563)</f>
        <v>0.1563</v>
      </c>
      <c r="K3668" s="19">
        <f>IFERROR(__xludf.DUMMYFUNCTION("""COMPUTED_VALUE"""),0.1954)</f>
        <v>0.1954</v>
      </c>
      <c r="L3668" s="19">
        <f>IFERROR(__xludf.DUMMYFUNCTION("""COMPUTED_VALUE"""),0.2345)</f>
        <v>0.2345</v>
      </c>
      <c r="M3668" s="18">
        <f>IFERROR(__xludf.DUMMYFUNCTION("""COMPUTED_VALUE"""),5.4)</f>
        <v>5.4</v>
      </c>
    </row>
    <row r="3669">
      <c r="A3669" s="13" t="str">
        <f>IFERROR(__xludf.DUMMYFUNCTION("""COMPUTED_VALUE"""),"товари")</f>
        <v>товари</v>
      </c>
      <c r="B3669" s="16" t="str">
        <f>IFERROR(__xludf.DUMMYFUNCTION("""COMPUTED_VALUE"""),"спорт і відпочинок")</f>
        <v>спорт і відпочинок</v>
      </c>
      <c r="C3669" s="16" t="str">
        <f>IFERROR(__xludf.DUMMYFUNCTION("""COMPUTED_VALUE"""),"ігри з ракетками")</f>
        <v>ігри з ракетками</v>
      </c>
      <c r="D3669" s="16" t="str">
        <f>IFERROR(__xludf.DUMMYFUNCTION("""COMPUTED_VALUE"""),"настільний теніс")</f>
        <v>настільний теніс</v>
      </c>
      <c r="E3669" s="16" t="str">
        <f>IFERROR(__xludf.DUMMYFUNCTION("""COMPUTED_VALUE"""),"сітки для настільного тенісу")</f>
        <v>сітки для настільного тенісу</v>
      </c>
      <c r="F3669" s="17">
        <f>IFERROR(__xludf.DUMMYFUNCTION("""COMPUTED_VALUE"""),4.0)</f>
        <v>4</v>
      </c>
      <c r="G3669" s="17" t="str">
        <f>IFERROR(__xludf.DUMMYFUNCTION("""COMPUTED_VALUE"""),"182421")</f>
        <v>182421</v>
      </c>
      <c r="H3669" s="17" t="str">
        <f>IFERROR(__xludf.DUMMYFUNCTION("""COMPUTED_VALUE"""),"сітки для настільного тенісу")</f>
        <v>сітки для настільного тенісу</v>
      </c>
      <c r="I3669" s="19">
        <f>IFERROR(__xludf.DUMMYFUNCTION("""COMPUTED_VALUE"""),0.0764)</f>
        <v>0.0764</v>
      </c>
      <c r="J3669" s="19">
        <f>IFERROR(__xludf.DUMMYFUNCTION("""COMPUTED_VALUE"""),0.1527)</f>
        <v>0.1527</v>
      </c>
      <c r="K3669" s="19">
        <f>IFERROR(__xludf.DUMMYFUNCTION("""COMPUTED_VALUE"""),0.1909)</f>
        <v>0.1909</v>
      </c>
      <c r="L3669" s="19">
        <f>IFERROR(__xludf.DUMMYFUNCTION("""COMPUTED_VALUE"""),0.2291)</f>
        <v>0.2291</v>
      </c>
      <c r="M3669" s="18">
        <f>IFERROR(__xludf.DUMMYFUNCTION("""COMPUTED_VALUE"""),3.98)</f>
        <v>3.98</v>
      </c>
    </row>
    <row r="3670">
      <c r="A3670" s="13" t="str">
        <f>IFERROR(__xludf.DUMMYFUNCTION("""COMPUTED_VALUE"""),"товари")</f>
        <v>товари</v>
      </c>
      <c r="B3670" s="16" t="str">
        <f>IFERROR(__xludf.DUMMYFUNCTION("""COMPUTED_VALUE"""),"спорт і відпочинок")</f>
        <v>спорт і відпочинок</v>
      </c>
      <c r="C3670" s="16" t="str">
        <f>IFERROR(__xludf.DUMMYFUNCTION("""COMPUTED_VALUE"""),"спортивні товари")</f>
        <v>спортивні товари</v>
      </c>
      <c r="D3670" s="16" t="str">
        <f>IFERROR(__xludf.DUMMYFUNCTION("""COMPUTED_VALUE"""),"фітнес")</f>
        <v>фітнес</v>
      </c>
      <c r="E3670" s="16" t="str">
        <f>IFERROR(__xludf.DUMMYFUNCTION("""COMPUTED_VALUE"""),"скакалки")</f>
        <v>скакалки</v>
      </c>
      <c r="F3670" s="17">
        <f>IFERROR(__xludf.DUMMYFUNCTION("""COMPUTED_VALUE"""),4.0)</f>
        <v>4</v>
      </c>
      <c r="G3670" s="17" t="str">
        <f>IFERROR(__xludf.DUMMYFUNCTION("""COMPUTED_VALUE"""),"200313")</f>
        <v>200313</v>
      </c>
      <c r="H3670" s="17" t="str">
        <f>IFERROR(__xludf.DUMMYFUNCTION("""COMPUTED_VALUE"""),"скакалки")</f>
        <v>скакалки</v>
      </c>
      <c r="I3670" s="19">
        <f>IFERROR(__xludf.DUMMYFUNCTION("""COMPUTED_VALUE"""),0.0806)</f>
        <v>0.0806</v>
      </c>
      <c r="J3670" s="19">
        <f>IFERROR(__xludf.DUMMYFUNCTION("""COMPUTED_VALUE"""),0.1612)</f>
        <v>0.1612</v>
      </c>
      <c r="K3670" s="19">
        <f>IFERROR(__xludf.DUMMYFUNCTION("""COMPUTED_VALUE"""),0.2015)</f>
        <v>0.2015</v>
      </c>
      <c r="L3670" s="19">
        <f>IFERROR(__xludf.DUMMYFUNCTION("""COMPUTED_VALUE"""),0.2418)</f>
        <v>0.2418</v>
      </c>
      <c r="M3670" s="18">
        <f>IFERROR(__xludf.DUMMYFUNCTION("""COMPUTED_VALUE"""),3.06)</f>
        <v>3.06</v>
      </c>
    </row>
    <row r="3671">
      <c r="A3671" s="13" t="str">
        <f>IFERROR(__xludf.DUMMYFUNCTION("""COMPUTED_VALUE"""),"товари")</f>
        <v>товари</v>
      </c>
      <c r="B3671" s="16" t="str">
        <f>IFERROR(__xludf.DUMMYFUNCTION("""COMPUTED_VALUE"""),"спорт і відпочинок")</f>
        <v>спорт і відпочинок</v>
      </c>
      <c r="C3671" s="16" t="str">
        <f>IFERROR(__xludf.DUMMYFUNCTION("""COMPUTED_VALUE"""),"спортивні товари")</f>
        <v>спортивні товари</v>
      </c>
      <c r="D3671" s="16" t="str">
        <f>IFERROR(__xludf.DUMMYFUNCTION("""COMPUTED_VALUE"""),"ролики, скейтборди та самокати")</f>
        <v>ролики, скейтборди та самокати</v>
      </c>
      <c r="E3671" s="16" t="str">
        <f>IFERROR(__xludf.DUMMYFUNCTION("""COMPUTED_VALUE"""),"скейтборди та ролерсерфи")</f>
        <v>скейтборди та ролерсерфи</v>
      </c>
      <c r="F3671" s="17">
        <f>IFERROR(__xludf.DUMMYFUNCTION("""COMPUTED_VALUE"""),4.0)</f>
        <v>4</v>
      </c>
      <c r="G3671" s="17" t="str">
        <f>IFERROR(__xludf.DUMMYFUNCTION("""COMPUTED_VALUE"""),"2006")</f>
        <v>2006</v>
      </c>
      <c r="H3671" s="17" t="str">
        <f>IFERROR(__xludf.DUMMYFUNCTION("""COMPUTED_VALUE"""),"скейтборди та ролерсерфи")</f>
        <v>скейтборди та ролерсерфи</v>
      </c>
      <c r="I3671" s="19">
        <f>IFERROR(__xludf.DUMMYFUNCTION("""COMPUTED_VALUE"""),0.0546)</f>
        <v>0.0546</v>
      </c>
      <c r="J3671" s="19">
        <f>IFERROR(__xludf.DUMMYFUNCTION("""COMPUTED_VALUE"""),0.1091)</f>
        <v>0.1091</v>
      </c>
      <c r="K3671" s="19">
        <f>IFERROR(__xludf.DUMMYFUNCTION("""COMPUTED_VALUE"""),0.1364)</f>
        <v>0.1364</v>
      </c>
      <c r="L3671" s="19">
        <f>IFERROR(__xludf.DUMMYFUNCTION("""COMPUTED_VALUE"""),0.1637)</f>
        <v>0.1637</v>
      </c>
      <c r="M3671" s="18">
        <f>IFERROR(__xludf.DUMMYFUNCTION("""COMPUTED_VALUE"""),3.43)</f>
        <v>3.43</v>
      </c>
    </row>
    <row r="3672">
      <c r="A3672" s="13" t="str">
        <f>IFERROR(__xludf.DUMMYFUNCTION("""COMPUTED_VALUE"""),"товари")</f>
        <v>товари</v>
      </c>
      <c r="B3672" s="16" t="str">
        <f>IFERROR(__xludf.DUMMYFUNCTION("""COMPUTED_VALUE"""),"спорт і відпочинок")</f>
        <v>спорт і відпочинок</v>
      </c>
      <c r="C3672" s="16" t="str">
        <f>IFERROR(__xludf.DUMMYFUNCTION("""COMPUTED_VALUE"""),"екстремальні види спорту")</f>
        <v>екстремальні види спорту</v>
      </c>
      <c r="D3672" s="16" t="str">
        <f>IFERROR(__xludf.DUMMYFUNCTION("""COMPUTED_VALUE"""),"альпінізм")</f>
        <v>альпінізм</v>
      </c>
      <c r="E3672" s="16" t="str">
        <f>IFERROR(__xludf.DUMMYFUNCTION("""COMPUTED_VALUE"""),"скеледроми та комплектуючі")</f>
        <v>скеледроми та комплектуючі</v>
      </c>
      <c r="F3672" s="17">
        <f>IFERROR(__xludf.DUMMYFUNCTION("""COMPUTED_VALUE"""),4.0)</f>
        <v>4</v>
      </c>
      <c r="G3672" s="17" t="str">
        <f>IFERROR(__xludf.DUMMYFUNCTION("""COMPUTED_VALUE"""),"203528")</f>
        <v>203528</v>
      </c>
      <c r="H3672" s="17" t="str">
        <f>IFERROR(__xludf.DUMMYFUNCTION("""COMPUTED_VALUE"""),"скеледроми та комплектуючі")</f>
        <v>скеледроми та комплектуючі</v>
      </c>
      <c r="I3672" s="19">
        <f>IFERROR(__xludf.DUMMYFUNCTION("""COMPUTED_VALUE"""),0.055)</f>
        <v>0.055</v>
      </c>
      <c r="J3672" s="19">
        <f>IFERROR(__xludf.DUMMYFUNCTION("""COMPUTED_VALUE"""),0.11)</f>
        <v>0.11</v>
      </c>
      <c r="K3672" s="19">
        <f>IFERROR(__xludf.DUMMYFUNCTION("""COMPUTED_VALUE"""),0.1375)</f>
        <v>0.1375</v>
      </c>
      <c r="L3672" s="19">
        <f>IFERROR(__xludf.DUMMYFUNCTION("""COMPUTED_VALUE"""),0.165)</f>
        <v>0.165</v>
      </c>
      <c r="M3672" s="18">
        <f>IFERROR(__xludf.DUMMYFUNCTION("""COMPUTED_VALUE"""),1.8)</f>
        <v>1.8</v>
      </c>
    </row>
    <row r="3673">
      <c r="A3673" s="13" t="str">
        <f>IFERROR(__xludf.DUMMYFUNCTION("""COMPUTED_VALUE"""),"товари")</f>
        <v>товари</v>
      </c>
      <c r="B3673" s="16" t="str">
        <f>IFERROR(__xludf.DUMMYFUNCTION("""COMPUTED_VALUE"""),"спорт і відпочинок")</f>
        <v>спорт і відпочинок</v>
      </c>
      <c r="C3673" s="16" t="str">
        <f>IFERROR(__xludf.DUMMYFUNCTION("""COMPUTED_VALUE"""),"спортивні товари")</f>
        <v>спортивні товари</v>
      </c>
      <c r="D3673" s="16" t="str">
        <f>IFERROR(__xludf.DUMMYFUNCTION("""COMPUTED_VALUE"""),"спортивний інвентар")</f>
        <v>спортивний інвентар</v>
      </c>
      <c r="E3673" s="16" t="str">
        <f>IFERROR(__xludf.DUMMYFUNCTION("""COMPUTED_VALUE"""),"слеклайн")</f>
        <v>слеклайн</v>
      </c>
      <c r="F3673" s="17">
        <f>IFERROR(__xludf.DUMMYFUNCTION("""COMPUTED_VALUE"""),4.0)</f>
        <v>4</v>
      </c>
      <c r="G3673" s="17" t="str">
        <f>IFERROR(__xludf.DUMMYFUNCTION("""COMPUTED_VALUE"""),"200340")</f>
        <v>200340</v>
      </c>
      <c r="H3673" s="17" t="str">
        <f>IFERROR(__xludf.DUMMYFUNCTION("""COMPUTED_VALUE"""),"слеклайн")</f>
        <v>слеклайн</v>
      </c>
      <c r="I3673" s="19">
        <f>IFERROR(__xludf.DUMMYFUNCTION("""COMPUTED_VALUE"""),0.082)</f>
        <v>0.082</v>
      </c>
      <c r="J3673" s="19">
        <f>IFERROR(__xludf.DUMMYFUNCTION("""COMPUTED_VALUE"""),0.1639)</f>
        <v>0.1639</v>
      </c>
      <c r="K3673" s="19">
        <f>IFERROR(__xludf.DUMMYFUNCTION("""COMPUTED_VALUE"""),0.2049)</f>
        <v>0.2049</v>
      </c>
      <c r="L3673" s="19">
        <f>IFERROR(__xludf.DUMMYFUNCTION("""COMPUTED_VALUE"""),0.2459)</f>
        <v>0.2459</v>
      </c>
      <c r="M3673" s="18">
        <f>IFERROR(__xludf.DUMMYFUNCTION("""COMPUTED_VALUE"""),2.53)</f>
        <v>2.53</v>
      </c>
    </row>
    <row r="3674">
      <c r="A3674" s="13" t="str">
        <f>IFERROR(__xludf.DUMMYFUNCTION("""COMPUTED_VALUE"""),"товари")</f>
        <v>товари</v>
      </c>
      <c r="B3674" s="16" t="str">
        <f>IFERROR(__xludf.DUMMYFUNCTION("""COMPUTED_VALUE"""),"спорт і відпочинок")</f>
        <v>спорт і відпочинок</v>
      </c>
      <c r="C3674" s="16" t="str">
        <f>IFERROR(__xludf.DUMMYFUNCTION("""COMPUTED_VALUE"""),"товари для туризму та подорожей")</f>
        <v>товари для туризму та подорожей</v>
      </c>
      <c r="D3674" s="16" t="str">
        <f>IFERROR(__xludf.DUMMYFUNCTION("""COMPUTED_VALUE"""),"снігоступи, альпіністські кішки")</f>
        <v>снігоступи, альпіністські кішки</v>
      </c>
      <c r="E3674" s="16" t="str">
        <f>IFERROR(__xludf.DUMMYFUNCTION("""COMPUTED_VALUE"""),"снігоступи, альпіністські кішки")</f>
        <v>снігоступи, альпіністські кішки</v>
      </c>
      <c r="F3674" s="17">
        <f>IFERROR(__xludf.DUMMYFUNCTION("""COMPUTED_VALUE"""),3.0)</f>
        <v>3</v>
      </c>
      <c r="G3674" s="17" t="str">
        <f>IFERROR(__xludf.DUMMYFUNCTION("""COMPUTED_VALUE"""),"240453")</f>
        <v>240453</v>
      </c>
      <c r="H3674" s="17" t="str">
        <f>IFERROR(__xludf.DUMMYFUNCTION("""COMPUTED_VALUE"""),"снігоступи, альпіністські кішки")</f>
        <v>снігоступи, альпіністські кішки</v>
      </c>
      <c r="I3674" s="19">
        <f>IFERROR(__xludf.DUMMYFUNCTION("""COMPUTED_VALUE"""),0.0734)</f>
        <v>0.0734</v>
      </c>
      <c r="J3674" s="19">
        <f>IFERROR(__xludf.DUMMYFUNCTION("""COMPUTED_VALUE"""),0.1468)</f>
        <v>0.1468</v>
      </c>
      <c r="K3674" s="19">
        <f>IFERROR(__xludf.DUMMYFUNCTION("""COMPUTED_VALUE"""),0.1835)</f>
        <v>0.1835</v>
      </c>
      <c r="L3674" s="19">
        <f>IFERROR(__xludf.DUMMYFUNCTION("""COMPUTED_VALUE"""),0.2202)</f>
        <v>0.2202</v>
      </c>
      <c r="M3674" s="18">
        <f>IFERROR(__xludf.DUMMYFUNCTION("""COMPUTED_VALUE"""),1.05)</f>
        <v>1.05</v>
      </c>
    </row>
    <row r="3675">
      <c r="A3675" s="13" t="str">
        <f>IFERROR(__xludf.DUMMYFUNCTION("""COMPUTED_VALUE"""),"товари")</f>
        <v>товари</v>
      </c>
      <c r="B3675" s="16" t="str">
        <f>IFERROR(__xludf.DUMMYFUNCTION("""COMPUTED_VALUE"""),"спорт і відпочинок")</f>
        <v>спорт і відпочинок</v>
      </c>
      <c r="C3675" s="16" t="str">
        <f>IFERROR(__xludf.DUMMYFUNCTION("""COMPUTED_VALUE"""),"зимові види спорту")</f>
        <v>зимові види спорту</v>
      </c>
      <c r="D3675" s="16" t="str">
        <f>IFERROR(__xludf.DUMMYFUNCTION("""COMPUTED_VALUE"""),"лижний спорт та сноубординг")</f>
        <v>лижний спорт та сноубординг</v>
      </c>
      <c r="E3675" s="16" t="str">
        <f>IFERROR(__xludf.DUMMYFUNCTION("""COMPUTED_VALUE"""),"сноуборди")</f>
        <v>сноуборди</v>
      </c>
      <c r="F3675" s="17">
        <f>IFERROR(__xludf.DUMMYFUNCTION("""COMPUTED_VALUE"""),4.0)</f>
        <v>4</v>
      </c>
      <c r="G3675" s="17" t="str">
        <f>IFERROR(__xludf.DUMMYFUNCTION("""COMPUTED_VALUE"""),"202402")</f>
        <v>202402</v>
      </c>
      <c r="H3675" s="17" t="str">
        <f>IFERROR(__xludf.DUMMYFUNCTION("""COMPUTED_VALUE"""),"сноуборди")</f>
        <v>сноуборди</v>
      </c>
      <c r="I3675" s="19">
        <f>IFERROR(__xludf.DUMMYFUNCTION("""COMPUTED_VALUE"""),0.0699)</f>
        <v>0.0699</v>
      </c>
      <c r="J3675" s="19">
        <f>IFERROR(__xludf.DUMMYFUNCTION("""COMPUTED_VALUE"""),0.1398)</f>
        <v>0.1398</v>
      </c>
      <c r="K3675" s="19">
        <f>IFERROR(__xludf.DUMMYFUNCTION("""COMPUTED_VALUE"""),0.1748)</f>
        <v>0.1748</v>
      </c>
      <c r="L3675" s="19">
        <f>IFERROR(__xludf.DUMMYFUNCTION("""COMPUTED_VALUE"""),0.2097)</f>
        <v>0.2097</v>
      </c>
      <c r="M3675" s="18">
        <f>IFERROR(__xludf.DUMMYFUNCTION("""COMPUTED_VALUE"""),1.63)</f>
        <v>1.63</v>
      </c>
    </row>
    <row r="3676">
      <c r="A3676" s="13" t="str">
        <f>IFERROR(__xludf.DUMMYFUNCTION("""COMPUTED_VALUE"""),"товари")</f>
        <v>товари</v>
      </c>
      <c r="B3676" s="16" t="str">
        <f>IFERROR(__xludf.DUMMYFUNCTION("""COMPUTED_VALUE"""),"спорт і відпочинок")</f>
        <v>спорт і відпочинок</v>
      </c>
      <c r="C3676" s="16" t="str">
        <f>IFERROR(__xludf.DUMMYFUNCTION("""COMPUTED_VALUE"""),"товари для полювання")</f>
        <v>товари для полювання</v>
      </c>
      <c r="D3676" s="16" t="str">
        <f>IFERROR(__xludf.DUMMYFUNCTION("""COMPUTED_VALUE"""),"аксесуари для мисливських рушниць")</f>
        <v>аксесуари для мисливських рушниць</v>
      </c>
      <c r="E3676" s="16" t="str">
        <f>IFERROR(__xludf.DUMMYFUNCTION("""COMPUTED_VALUE"""),"сошки та упори для рушниць")</f>
        <v>сошки та упори для рушниць</v>
      </c>
      <c r="F3676" s="17">
        <f>IFERROR(__xludf.DUMMYFUNCTION("""COMPUTED_VALUE"""),4.0)</f>
        <v>4</v>
      </c>
      <c r="G3676" s="17" t="str">
        <f>IFERROR(__xludf.DUMMYFUNCTION("""COMPUTED_VALUE"""),"181615")</f>
        <v>181615</v>
      </c>
      <c r="H3676" s="17" t="str">
        <f>IFERROR(__xludf.DUMMYFUNCTION("""COMPUTED_VALUE"""),"сошки та упори для рушниць")</f>
        <v>сошки та упори для рушниць</v>
      </c>
      <c r="I3676" s="19">
        <f>IFERROR(__xludf.DUMMYFUNCTION("""COMPUTED_VALUE"""),0.0545)</f>
        <v>0.0545</v>
      </c>
      <c r="J3676" s="19">
        <f>IFERROR(__xludf.DUMMYFUNCTION("""COMPUTED_VALUE"""),0.1089)</f>
        <v>0.1089</v>
      </c>
      <c r="K3676" s="19">
        <f>IFERROR(__xludf.DUMMYFUNCTION("""COMPUTED_VALUE"""),0.1361)</f>
        <v>0.1361</v>
      </c>
      <c r="L3676" s="19">
        <f>IFERROR(__xludf.DUMMYFUNCTION("""COMPUTED_VALUE"""),0.1634)</f>
        <v>0.1634</v>
      </c>
      <c r="M3676" s="18">
        <f>IFERROR(__xludf.DUMMYFUNCTION("""COMPUTED_VALUE"""),1.44)</f>
        <v>1.44</v>
      </c>
    </row>
    <row r="3677">
      <c r="A3677" s="13" t="str">
        <f>IFERROR(__xludf.DUMMYFUNCTION("""COMPUTED_VALUE"""),"товари")</f>
        <v>товари</v>
      </c>
      <c r="B3677" s="16" t="str">
        <f>IFERROR(__xludf.DUMMYFUNCTION("""COMPUTED_VALUE"""),"спорт і відпочинок")</f>
        <v>спорт і відпочинок</v>
      </c>
      <c r="C3677" s="16" t="str">
        <f>IFERROR(__xludf.DUMMYFUNCTION("""COMPUTED_VALUE"""),"товари для туризму та подорожей")</f>
        <v>товари для туризму та подорожей</v>
      </c>
      <c r="D3677" s="16" t="str">
        <f>IFERROR(__xludf.DUMMYFUNCTION("""COMPUTED_VALUE"""),"спальні мішки")</f>
        <v>спальні мішки</v>
      </c>
      <c r="E3677" s="16" t="str">
        <f>IFERROR(__xludf.DUMMYFUNCTION("""COMPUTED_VALUE"""),"спальні мішки")</f>
        <v>спальні мішки</v>
      </c>
      <c r="F3677" s="17">
        <f>IFERROR(__xludf.DUMMYFUNCTION("""COMPUTED_VALUE"""),3.0)</f>
        <v>3</v>
      </c>
      <c r="G3677" s="17" t="str">
        <f>IFERROR(__xludf.DUMMYFUNCTION("""COMPUTED_VALUE"""),"240407")</f>
        <v>240407</v>
      </c>
      <c r="H3677" s="17" t="str">
        <f>IFERROR(__xludf.DUMMYFUNCTION("""COMPUTED_VALUE"""),"спальні мішки")</f>
        <v>спальні мішки</v>
      </c>
      <c r="I3677" s="19">
        <f>IFERROR(__xludf.DUMMYFUNCTION("""COMPUTED_VALUE"""),0.0752)</f>
        <v>0.0752</v>
      </c>
      <c r="J3677" s="19">
        <f>IFERROR(__xludf.DUMMYFUNCTION("""COMPUTED_VALUE"""),0.1504)</f>
        <v>0.1504</v>
      </c>
      <c r="K3677" s="19">
        <f>IFERROR(__xludf.DUMMYFUNCTION("""COMPUTED_VALUE"""),0.188)</f>
        <v>0.188</v>
      </c>
      <c r="L3677" s="19">
        <f>IFERROR(__xludf.DUMMYFUNCTION("""COMPUTED_VALUE"""),0.2256)</f>
        <v>0.2256</v>
      </c>
      <c r="M3677" s="18">
        <f>IFERROR(__xludf.DUMMYFUNCTION("""COMPUTED_VALUE"""),2.16)</f>
        <v>2.16</v>
      </c>
    </row>
    <row r="3678">
      <c r="A3678" s="13" t="str">
        <f>IFERROR(__xludf.DUMMYFUNCTION("""COMPUTED_VALUE"""),"товари")</f>
        <v>товари</v>
      </c>
      <c r="B3678" s="16" t="str">
        <f>IFERROR(__xludf.DUMMYFUNCTION("""COMPUTED_VALUE"""),"спорт і відпочинок")</f>
        <v>спорт і відпочинок</v>
      </c>
      <c r="C3678" s="16" t="str">
        <f>IFERROR(__xludf.DUMMYFUNCTION("""COMPUTED_VALUE"""),"екстремальні види спорту")</f>
        <v>екстремальні види спорту</v>
      </c>
      <c r="D3678" s="16" t="str">
        <f>IFERROR(__xludf.DUMMYFUNCTION("""COMPUTED_VALUE"""),"альпінізм")</f>
        <v>альпінізм</v>
      </c>
      <c r="E3678" s="16" t="str">
        <f>IFERROR(__xludf.DUMMYFUNCTION("""COMPUTED_VALUE"""),"спортивна магнезія ")</f>
        <v>спортивна магнезія </v>
      </c>
      <c r="F3678" s="17">
        <f>IFERROR(__xludf.DUMMYFUNCTION("""COMPUTED_VALUE"""),4.0)</f>
        <v>4</v>
      </c>
      <c r="G3678" s="17" t="str">
        <f>IFERROR(__xludf.DUMMYFUNCTION("""COMPUTED_VALUE"""),"200325")</f>
        <v>200325</v>
      </c>
      <c r="H3678" s="17" t="str">
        <f>IFERROR(__xludf.DUMMYFUNCTION("""COMPUTED_VALUE"""),"спортивна магнезія ")</f>
        <v>спортивна магнезія </v>
      </c>
      <c r="I3678" s="19">
        <f>IFERROR(__xludf.DUMMYFUNCTION("""COMPUTED_VALUE"""),0.0762)</f>
        <v>0.0762</v>
      </c>
      <c r="J3678" s="19">
        <f>IFERROR(__xludf.DUMMYFUNCTION("""COMPUTED_VALUE"""),0.1524)</f>
        <v>0.1524</v>
      </c>
      <c r="K3678" s="19">
        <f>IFERROR(__xludf.DUMMYFUNCTION("""COMPUTED_VALUE"""),0.1905)</f>
        <v>0.1905</v>
      </c>
      <c r="L3678" s="19">
        <f>IFERROR(__xludf.DUMMYFUNCTION("""COMPUTED_VALUE"""),0.2286)</f>
        <v>0.2286</v>
      </c>
      <c r="M3678" s="18">
        <f>IFERROR(__xludf.DUMMYFUNCTION("""COMPUTED_VALUE"""),1.8)</f>
        <v>1.8</v>
      </c>
    </row>
    <row r="3679">
      <c r="A3679" s="13" t="str">
        <f>IFERROR(__xludf.DUMMYFUNCTION("""COMPUTED_VALUE"""),"товари")</f>
        <v>товари</v>
      </c>
      <c r="B3679" s="16" t="str">
        <f>IFERROR(__xludf.DUMMYFUNCTION("""COMPUTED_VALUE"""),"спорт і відпочинок")</f>
        <v>спорт і відпочинок</v>
      </c>
      <c r="C3679" s="16" t="str">
        <f>IFERROR(__xludf.DUMMYFUNCTION("""COMPUTED_VALUE"""),"спортивні товари")</f>
        <v>спортивні товари</v>
      </c>
      <c r="D3679" s="16" t="str">
        <f>IFERROR(__xludf.DUMMYFUNCTION("""COMPUTED_VALUE"""),"спортивна медицина")</f>
        <v>спортивна медицина</v>
      </c>
      <c r="E3679" s="16" t="str">
        <f>IFERROR(__xludf.DUMMYFUNCTION("""COMPUTED_VALUE"""),"спортивна медицина")</f>
        <v>спортивна медицина</v>
      </c>
      <c r="F3679" s="17">
        <f>IFERROR(__xludf.DUMMYFUNCTION("""COMPUTED_VALUE"""),3.0)</f>
        <v>3</v>
      </c>
      <c r="G3679" s="17" t="str">
        <f>IFERROR(__xludf.DUMMYFUNCTION("""COMPUTED_VALUE"""),"2017")</f>
        <v>2017</v>
      </c>
      <c r="H3679" s="17" t="str">
        <f>IFERROR(__xludf.DUMMYFUNCTION("""COMPUTED_VALUE"""),"спортивна медицина")</f>
        <v>спортивна медицина</v>
      </c>
      <c r="I3679" s="19">
        <f>IFERROR(__xludf.DUMMYFUNCTION("""COMPUTED_VALUE"""),0.0593)</f>
        <v>0.0593</v>
      </c>
      <c r="J3679" s="19">
        <f>IFERROR(__xludf.DUMMYFUNCTION("""COMPUTED_VALUE"""),0.1186)</f>
        <v>0.1186</v>
      </c>
      <c r="K3679" s="19">
        <f>IFERROR(__xludf.DUMMYFUNCTION("""COMPUTED_VALUE"""),0.1483)</f>
        <v>0.1483</v>
      </c>
      <c r="L3679" s="19">
        <f>IFERROR(__xludf.DUMMYFUNCTION("""COMPUTED_VALUE"""),0.1779)</f>
        <v>0.1779</v>
      </c>
      <c r="M3679" s="18">
        <f>IFERROR(__xludf.DUMMYFUNCTION("""COMPUTED_VALUE"""),1.05)</f>
        <v>1.05</v>
      </c>
    </row>
    <row r="3680">
      <c r="A3680" s="13" t="str">
        <f>IFERROR(__xludf.DUMMYFUNCTION("""COMPUTED_VALUE"""),"товари")</f>
        <v>товари</v>
      </c>
      <c r="B3680" s="16" t="str">
        <f>IFERROR(__xludf.DUMMYFUNCTION("""COMPUTED_VALUE"""),"спорт і відпочинок")</f>
        <v>спорт і відпочинок</v>
      </c>
      <c r="C3680" s="16" t="str">
        <f>IFERROR(__xludf.DUMMYFUNCTION("""COMPUTED_VALUE"""),"одяг та взуття для спортсменів")</f>
        <v>одяг та взуття для спортсменів</v>
      </c>
      <c r="D3680" s="16" t="str">
        <f>IFERROR(__xludf.DUMMYFUNCTION("""COMPUTED_VALUE"""),"спортивна форма")</f>
        <v>спортивна форма</v>
      </c>
      <c r="E3680" s="16" t="str">
        <f>IFERROR(__xludf.DUMMYFUNCTION("""COMPUTED_VALUE"""),"спортивна форма")</f>
        <v>спортивна форма</v>
      </c>
      <c r="F3680" s="17">
        <f>IFERROR(__xludf.DUMMYFUNCTION("""COMPUTED_VALUE"""),3.0)</f>
        <v>3</v>
      </c>
      <c r="G3680" s="17" t="str">
        <f>IFERROR(__xludf.DUMMYFUNCTION("""COMPUTED_VALUE"""),"30124")</f>
        <v>30124</v>
      </c>
      <c r="H3680" s="17" t="str">
        <f>IFERROR(__xludf.DUMMYFUNCTION("""COMPUTED_VALUE"""),"спортивна форма")</f>
        <v>спортивна форма</v>
      </c>
      <c r="I3680" s="19">
        <f>IFERROR(__xludf.DUMMYFUNCTION("""COMPUTED_VALUE"""),0.0786)</f>
        <v>0.0786</v>
      </c>
      <c r="J3680" s="19">
        <f>IFERROR(__xludf.DUMMYFUNCTION("""COMPUTED_VALUE"""),0.1571)</f>
        <v>0.1571</v>
      </c>
      <c r="K3680" s="19">
        <f>IFERROR(__xludf.DUMMYFUNCTION("""COMPUTED_VALUE"""),0.1964)</f>
        <v>0.1964</v>
      </c>
      <c r="L3680" s="19">
        <f>IFERROR(__xludf.DUMMYFUNCTION("""COMPUTED_VALUE"""),0.2357)</f>
        <v>0.2357</v>
      </c>
      <c r="M3680" s="18">
        <f>IFERROR(__xludf.DUMMYFUNCTION("""COMPUTED_VALUE"""),2.16)</f>
        <v>2.16</v>
      </c>
    </row>
    <row r="3681">
      <c r="A3681" s="20" t="str">
        <f>IFERROR(__xludf.DUMMYFUNCTION("""COMPUTED_VALUE"""),"товари")</f>
        <v>товари</v>
      </c>
      <c r="B3681" s="21" t="str">
        <f>IFERROR(__xludf.DUMMYFUNCTION("""COMPUTED_VALUE"""),"спорт і відпочинок")</f>
        <v>спорт і відпочинок</v>
      </c>
      <c r="C3681" s="21" t="str">
        <f>IFERROR(__xludf.DUMMYFUNCTION("""COMPUTED_VALUE"""),"одяг та взуття для спортсменів")</f>
        <v>одяг та взуття для спортсменів</v>
      </c>
      <c r="D3681" s="26" t="str">
        <f>IFERROR(__xludf.DUMMYFUNCTION("""COMPUTED_VALUE"""),"взуття для спорту та активного відпочинку")</f>
        <v>взуття для спорту та активного відпочинку</v>
      </c>
      <c r="E3681" s="26" t="str">
        <f>IFERROR(__xludf.DUMMYFUNCTION("""COMPUTED_VALUE"""),"спортивне взуття, загальне")</f>
        <v>спортивне взуття, загальне</v>
      </c>
      <c r="F3681" s="22">
        <f>IFERROR(__xludf.DUMMYFUNCTION("""COMPUTED_VALUE"""),4.0)</f>
        <v>4</v>
      </c>
      <c r="G3681" s="30" t="str">
        <f>IFERROR(__xludf.DUMMYFUNCTION("""COMPUTED_VALUE"""),"20060199")</f>
        <v>20060199</v>
      </c>
      <c r="H3681" s="22" t="str">
        <f>IFERROR(__xludf.DUMMYFUNCTION("""COMPUTED_VALUE"""),"спортивне взуття, загальне")</f>
        <v>спортивне взуття, загальне</v>
      </c>
      <c r="I3681" s="19">
        <f>IFERROR(__xludf.DUMMYFUNCTION("""COMPUTED_VALUE"""),0.125)</f>
        <v>0.125</v>
      </c>
      <c r="J3681" s="19">
        <f>IFERROR(__xludf.DUMMYFUNCTION("""COMPUTED_VALUE"""),0.25)</f>
        <v>0.25</v>
      </c>
      <c r="K3681" s="19">
        <f>IFERROR(__xludf.DUMMYFUNCTION("""COMPUTED_VALUE"""),0.3125)</f>
        <v>0.3125</v>
      </c>
      <c r="L3681" s="19">
        <f>IFERROR(__xludf.DUMMYFUNCTION("""COMPUTED_VALUE"""),0.375)</f>
        <v>0.375</v>
      </c>
      <c r="M3681" s="18">
        <f>IFERROR(__xludf.DUMMYFUNCTION("""COMPUTED_VALUE"""),4.33)</f>
        <v>4.33</v>
      </c>
    </row>
    <row r="3682">
      <c r="A3682" s="13" t="str">
        <f>IFERROR(__xludf.DUMMYFUNCTION("""COMPUTED_VALUE"""),"товари")</f>
        <v>товари</v>
      </c>
      <c r="B3682" s="16" t="str">
        <f>IFERROR(__xludf.DUMMYFUNCTION("""COMPUTED_VALUE"""),"спорт і відпочинок")</f>
        <v>спорт і відпочинок</v>
      </c>
      <c r="C3682" s="16" t="str">
        <f>IFERROR(__xludf.DUMMYFUNCTION("""COMPUTED_VALUE"""),"спортивне харчування та препарати")</f>
        <v>спортивне харчування та препарати</v>
      </c>
      <c r="D3682" s="16" t="str">
        <f>IFERROR(__xludf.DUMMYFUNCTION("""COMPUTED_VALUE"""),"спортивне харчування")</f>
        <v>спортивне харчування</v>
      </c>
      <c r="E3682" s="16" t="str">
        <f>IFERROR(__xludf.DUMMYFUNCTION("""COMPUTED_VALUE"""),"спортивне харчування")</f>
        <v>спортивне харчування</v>
      </c>
      <c r="F3682" s="17">
        <f>IFERROR(__xludf.DUMMYFUNCTION("""COMPUTED_VALUE"""),3.0)</f>
        <v>3</v>
      </c>
      <c r="G3682" s="17" t="str">
        <f>IFERROR(__xludf.DUMMYFUNCTION("""COMPUTED_VALUE"""),"20808")</f>
        <v>20808</v>
      </c>
      <c r="H3682" s="17" t="str">
        <f>IFERROR(__xludf.DUMMYFUNCTION("""COMPUTED_VALUE"""),"спортивне харчування")</f>
        <v>спортивне харчування</v>
      </c>
      <c r="I3682" s="19">
        <f>IFERROR(__xludf.DUMMYFUNCTION("""COMPUTED_VALUE"""),0.0756)</f>
        <v>0.0756</v>
      </c>
      <c r="J3682" s="19">
        <f>IFERROR(__xludf.DUMMYFUNCTION("""COMPUTED_VALUE"""),0.1511)</f>
        <v>0.1511</v>
      </c>
      <c r="K3682" s="19">
        <f>IFERROR(__xludf.DUMMYFUNCTION("""COMPUTED_VALUE"""),0.1889)</f>
        <v>0.1889</v>
      </c>
      <c r="L3682" s="19">
        <f>IFERROR(__xludf.DUMMYFUNCTION("""COMPUTED_VALUE"""),0.2267)</f>
        <v>0.2267</v>
      </c>
      <c r="M3682" s="18">
        <f>IFERROR(__xludf.DUMMYFUNCTION("""COMPUTED_VALUE"""),3.43)</f>
        <v>3.43</v>
      </c>
    </row>
    <row r="3683">
      <c r="A3683" s="13" t="str">
        <f>IFERROR(__xludf.DUMMYFUNCTION("""COMPUTED_VALUE"""),"товари")</f>
        <v>товари</v>
      </c>
      <c r="B3683" s="16" t="str">
        <f>IFERROR(__xludf.DUMMYFUNCTION("""COMPUTED_VALUE"""),"спорт і відпочинок")</f>
        <v>спорт і відпочинок</v>
      </c>
      <c r="C3683" s="16" t="str">
        <f>IFERROR(__xludf.DUMMYFUNCTION("""COMPUTED_VALUE"""),"спортивне харчування та препарати")</f>
        <v>спортивне харчування та препарати</v>
      </c>
      <c r="D3683" s="16" t="str">
        <f>IFERROR(__xludf.DUMMYFUNCTION("""COMPUTED_VALUE"""),"спортивне харчування, загальне")</f>
        <v>спортивне харчування, загальне</v>
      </c>
      <c r="E3683" s="16" t="str">
        <f>IFERROR(__xludf.DUMMYFUNCTION("""COMPUTED_VALUE"""),"спортивне харчування, загальне")</f>
        <v>спортивне харчування, загальне</v>
      </c>
      <c r="F3683" s="17">
        <f>IFERROR(__xludf.DUMMYFUNCTION("""COMPUTED_VALUE"""),3.0)</f>
        <v>3</v>
      </c>
      <c r="G3683" s="17" t="str">
        <f>IFERROR(__xludf.DUMMYFUNCTION("""COMPUTED_VALUE"""),"20816")</f>
        <v>20816</v>
      </c>
      <c r="H3683" s="17" t="str">
        <f>IFERROR(__xludf.DUMMYFUNCTION("""COMPUTED_VALUE"""),"спортивне харчування, загальне")</f>
        <v>спортивне харчування, загальне</v>
      </c>
      <c r="I3683" s="19">
        <f>IFERROR(__xludf.DUMMYFUNCTION("""COMPUTED_VALUE"""),0.125)</f>
        <v>0.125</v>
      </c>
      <c r="J3683" s="19">
        <f>IFERROR(__xludf.DUMMYFUNCTION("""COMPUTED_VALUE"""),0.25)</f>
        <v>0.25</v>
      </c>
      <c r="K3683" s="19">
        <f>IFERROR(__xludf.DUMMYFUNCTION("""COMPUTED_VALUE"""),0.3125)</f>
        <v>0.3125</v>
      </c>
      <c r="L3683" s="19">
        <f>IFERROR(__xludf.DUMMYFUNCTION("""COMPUTED_VALUE"""),0.375)</f>
        <v>0.375</v>
      </c>
      <c r="M3683" s="18">
        <f>IFERROR(__xludf.DUMMYFUNCTION("""COMPUTED_VALUE"""),4.33)</f>
        <v>4.33</v>
      </c>
    </row>
    <row r="3684">
      <c r="A3684" s="13" t="str">
        <f>IFERROR(__xludf.DUMMYFUNCTION("""COMPUTED_VALUE"""),"товари")</f>
        <v>товари</v>
      </c>
      <c r="B3684" s="16" t="str">
        <f>IFERROR(__xludf.DUMMYFUNCTION("""COMPUTED_VALUE"""),"спорт і відпочинок")</f>
        <v>спорт і відпочинок</v>
      </c>
      <c r="C3684" s="16" t="str">
        <f>IFERROR(__xludf.DUMMYFUNCTION("""COMPUTED_VALUE"""),"екстремальні види спорту")</f>
        <v>екстремальні види спорту</v>
      </c>
      <c r="D3684" s="16" t="str">
        <f>IFERROR(__xludf.DUMMYFUNCTION("""COMPUTED_VALUE"""),"спортивний захист")</f>
        <v>спортивний захист</v>
      </c>
      <c r="E3684" s="16" t="str">
        <f>IFERROR(__xludf.DUMMYFUNCTION("""COMPUTED_VALUE"""),"спортивний захист, загальне")</f>
        <v>спортивний захист, загальне</v>
      </c>
      <c r="F3684" s="17">
        <f>IFERROR(__xludf.DUMMYFUNCTION("""COMPUTED_VALUE"""),4.0)</f>
        <v>4</v>
      </c>
      <c r="G3684" s="17" t="str">
        <f>IFERROR(__xludf.DUMMYFUNCTION("""COMPUTED_VALUE"""),"204011")</f>
        <v>204011</v>
      </c>
      <c r="H3684" s="17" t="str">
        <f>IFERROR(__xludf.DUMMYFUNCTION("""COMPUTED_VALUE"""),"спортивний захист, загальне")</f>
        <v>спортивний захист, загальне</v>
      </c>
      <c r="I3684" s="19">
        <f>IFERROR(__xludf.DUMMYFUNCTION("""COMPUTED_VALUE"""),0.125)</f>
        <v>0.125</v>
      </c>
      <c r="J3684" s="19">
        <f>IFERROR(__xludf.DUMMYFUNCTION("""COMPUTED_VALUE"""),0.25)</f>
        <v>0.25</v>
      </c>
      <c r="K3684" s="19">
        <f>IFERROR(__xludf.DUMMYFUNCTION("""COMPUTED_VALUE"""),0.3125)</f>
        <v>0.3125</v>
      </c>
      <c r="L3684" s="19">
        <f>IFERROR(__xludf.DUMMYFUNCTION("""COMPUTED_VALUE"""),0.375)</f>
        <v>0.375</v>
      </c>
      <c r="M3684" s="18">
        <f>IFERROR(__xludf.DUMMYFUNCTION("""COMPUTED_VALUE"""),4.33)</f>
        <v>4.33</v>
      </c>
    </row>
    <row r="3685">
      <c r="A3685" s="20" t="str">
        <f>IFERROR(__xludf.DUMMYFUNCTION("""COMPUTED_VALUE"""),"товари")</f>
        <v>товари</v>
      </c>
      <c r="B3685" s="21" t="str">
        <f>IFERROR(__xludf.DUMMYFUNCTION("""COMPUTED_VALUE"""),"спорт і відпочинок")</f>
        <v>спорт і відпочинок</v>
      </c>
      <c r="C3685" s="21" t="str">
        <f>IFERROR(__xludf.DUMMYFUNCTION("""COMPUTED_VALUE"""),"спортивні товари")</f>
        <v>спортивні товари</v>
      </c>
      <c r="D3685" s="21" t="str">
        <f>IFERROR(__xludf.DUMMYFUNCTION("""COMPUTED_VALUE"""),"спортивний інвентар")</f>
        <v>спортивний інвентар</v>
      </c>
      <c r="E3685" s="21" t="str">
        <f>IFERROR(__xludf.DUMMYFUNCTION("""COMPUTED_VALUE"""),"спортивний інвентар, загальне")</f>
        <v>спортивний інвентар, загальне</v>
      </c>
      <c r="F3685" s="22">
        <f>IFERROR(__xludf.DUMMYFUNCTION("""COMPUTED_VALUE"""),4.0)</f>
        <v>4</v>
      </c>
      <c r="G3685" s="22" t="str">
        <f>IFERROR(__xludf.DUMMYFUNCTION("""COMPUTED_VALUE"""),"200302")</f>
        <v>200302</v>
      </c>
      <c r="H3685" s="22" t="str">
        <f>IFERROR(__xludf.DUMMYFUNCTION("""COMPUTED_VALUE"""),"спортивний інвентар, загальне")</f>
        <v>спортивний інвентар, загальне</v>
      </c>
      <c r="I3685" s="19">
        <f>IFERROR(__xludf.DUMMYFUNCTION("""COMPUTED_VALUE"""),0.125)</f>
        <v>0.125</v>
      </c>
      <c r="J3685" s="19">
        <f>IFERROR(__xludf.DUMMYFUNCTION("""COMPUTED_VALUE"""),0.25)</f>
        <v>0.25</v>
      </c>
      <c r="K3685" s="19">
        <f>IFERROR(__xludf.DUMMYFUNCTION("""COMPUTED_VALUE"""),0.3125)</f>
        <v>0.3125</v>
      </c>
      <c r="L3685" s="19">
        <f>IFERROR(__xludf.DUMMYFUNCTION("""COMPUTED_VALUE"""),0.375)</f>
        <v>0.375</v>
      </c>
      <c r="M3685" s="18">
        <f>IFERROR(__xludf.DUMMYFUNCTION("""COMPUTED_VALUE"""),4.33)</f>
        <v>4.33</v>
      </c>
    </row>
    <row r="3686">
      <c r="A3686" s="13" t="str">
        <f>IFERROR(__xludf.DUMMYFUNCTION("""COMPUTED_VALUE"""),"товари")</f>
        <v>товари</v>
      </c>
      <c r="B3686" s="16" t="str">
        <f>IFERROR(__xludf.DUMMYFUNCTION("""COMPUTED_VALUE"""),"спорт і відпочинок")</f>
        <v>спорт і відпочинок</v>
      </c>
      <c r="C3686" s="16" t="str">
        <f>IFERROR(__xludf.DUMMYFUNCTION("""COMPUTED_VALUE"""),"спортивні товари")</f>
        <v>спортивні товари</v>
      </c>
      <c r="D3686" s="16" t="str">
        <f>IFERROR(__xludf.DUMMYFUNCTION("""COMPUTED_VALUE"""),"спортивний інвентар")</f>
        <v>спортивний інвентар</v>
      </c>
      <c r="E3686" s="16" t="str">
        <f>IFERROR(__xludf.DUMMYFUNCTION("""COMPUTED_VALUE"""),"спортивні бити")</f>
        <v>спортивні бити</v>
      </c>
      <c r="F3686" s="17">
        <f>IFERROR(__xludf.DUMMYFUNCTION("""COMPUTED_VALUE"""),4.0)</f>
        <v>4</v>
      </c>
      <c r="G3686" s="17" t="str">
        <f>IFERROR(__xludf.DUMMYFUNCTION("""COMPUTED_VALUE"""),"3220728")</f>
        <v>3220728</v>
      </c>
      <c r="H3686" s="17" t="str">
        <f>IFERROR(__xludf.DUMMYFUNCTION("""COMPUTED_VALUE"""),"спортивні бити")</f>
        <v>спортивні бити</v>
      </c>
      <c r="I3686" s="19">
        <f>IFERROR(__xludf.DUMMYFUNCTION("""COMPUTED_VALUE"""),0.0787)</f>
        <v>0.0787</v>
      </c>
      <c r="J3686" s="19">
        <f>IFERROR(__xludf.DUMMYFUNCTION("""COMPUTED_VALUE"""),0.1574)</f>
        <v>0.1574</v>
      </c>
      <c r="K3686" s="19">
        <f>IFERROR(__xludf.DUMMYFUNCTION("""COMPUTED_VALUE"""),0.1968)</f>
        <v>0.1968</v>
      </c>
      <c r="L3686" s="19">
        <f>IFERROR(__xludf.DUMMYFUNCTION("""COMPUTED_VALUE"""),0.2361)</f>
        <v>0.2361</v>
      </c>
      <c r="M3686" s="18">
        <f>IFERROR(__xludf.DUMMYFUNCTION("""COMPUTED_VALUE"""),2.53)</f>
        <v>2.53</v>
      </c>
    </row>
    <row r="3687">
      <c r="A3687" s="20" t="str">
        <f>IFERROR(__xludf.DUMMYFUNCTION("""COMPUTED_VALUE"""),"товари")</f>
        <v>товари</v>
      </c>
      <c r="B3687" s="21" t="str">
        <f>IFERROR(__xludf.DUMMYFUNCTION("""COMPUTED_VALUE"""),"спорт і відпочинок")</f>
        <v>спорт і відпочинок</v>
      </c>
      <c r="C3687" s="21" t="str">
        <f>IFERROR(__xludf.DUMMYFUNCTION("""COMPUTED_VALUE"""),"спортивні товари")</f>
        <v>спортивні товари</v>
      </c>
      <c r="D3687" s="21" t="str">
        <f>IFERROR(__xludf.DUMMYFUNCTION("""COMPUTED_VALUE"""),"спортивний інвентар")</f>
        <v>спортивний інвентар</v>
      </c>
      <c r="E3687" s="21" t="str">
        <f>IFERROR(__xludf.DUMMYFUNCTION("""COMPUTED_VALUE"""),"спортивні ігрові м'ячі")</f>
        <v>спортивні ігрові м'ячі</v>
      </c>
      <c r="F3687" s="22">
        <f>IFERROR(__xludf.DUMMYFUNCTION("""COMPUTED_VALUE"""),4.0)</f>
        <v>4</v>
      </c>
      <c r="G3687" s="22" t="str">
        <f>IFERROR(__xludf.DUMMYFUNCTION("""COMPUTED_VALUE"""),"2023")</f>
        <v>2023</v>
      </c>
      <c r="H3687" s="22" t="str">
        <f>IFERROR(__xludf.DUMMYFUNCTION("""COMPUTED_VALUE"""),"спортивні ігрові м'ячі")</f>
        <v>спортивні ігрові м'ячі</v>
      </c>
      <c r="I3687" s="19">
        <f>IFERROR(__xludf.DUMMYFUNCTION("""COMPUTED_VALUE"""),0.08)</f>
        <v>0.08</v>
      </c>
      <c r="J3687" s="19">
        <f>IFERROR(__xludf.DUMMYFUNCTION("""COMPUTED_VALUE"""),0.16)</f>
        <v>0.16</v>
      </c>
      <c r="K3687" s="19">
        <f>IFERROR(__xludf.DUMMYFUNCTION("""COMPUTED_VALUE"""),0.2)</f>
        <v>0.2</v>
      </c>
      <c r="L3687" s="19">
        <f>IFERROR(__xludf.DUMMYFUNCTION("""COMPUTED_VALUE"""),0.24)</f>
        <v>0.24</v>
      </c>
      <c r="M3687" s="18">
        <f>IFERROR(__xludf.DUMMYFUNCTION("""COMPUTED_VALUE"""),2.53)</f>
        <v>2.53</v>
      </c>
    </row>
    <row r="3688">
      <c r="A3688" s="13" t="str">
        <f>IFERROR(__xludf.DUMMYFUNCTION("""COMPUTED_VALUE"""),"товари")</f>
        <v>товари</v>
      </c>
      <c r="B3688" s="16" t="str">
        <f>IFERROR(__xludf.DUMMYFUNCTION("""COMPUTED_VALUE"""),"спорт і відпочинок")</f>
        <v>спорт і відпочинок</v>
      </c>
      <c r="C3688" s="16" t="str">
        <f>IFERROR(__xludf.DUMMYFUNCTION("""COMPUTED_VALUE"""),"спортивні товари")</f>
        <v>спортивні товари</v>
      </c>
      <c r="D3688" s="16" t="str">
        <f>IFERROR(__xludf.DUMMYFUNCTION("""COMPUTED_VALUE"""),"спортивний інвентар")</f>
        <v>спортивний інвентар</v>
      </c>
      <c r="E3688" s="16" t="str">
        <f>IFERROR(__xludf.DUMMYFUNCTION("""COMPUTED_VALUE"""),"спортивні ігрові ракетки")</f>
        <v>спортивні ігрові ракетки</v>
      </c>
      <c r="F3688" s="17">
        <f>IFERROR(__xludf.DUMMYFUNCTION("""COMPUTED_VALUE"""),4.0)</f>
        <v>4</v>
      </c>
      <c r="G3688" s="17" t="str">
        <f>IFERROR(__xludf.DUMMYFUNCTION("""COMPUTED_VALUE"""),"182422")</f>
        <v>182422</v>
      </c>
      <c r="H3688" s="17" t="str">
        <f>IFERROR(__xludf.DUMMYFUNCTION("""COMPUTED_VALUE"""),"спортивні ігрові ракетки")</f>
        <v>спортивні ігрові ракетки</v>
      </c>
      <c r="I3688" s="19">
        <f>IFERROR(__xludf.DUMMYFUNCTION("""COMPUTED_VALUE"""),0.0803)</f>
        <v>0.0803</v>
      </c>
      <c r="J3688" s="19">
        <f>IFERROR(__xludf.DUMMYFUNCTION("""COMPUTED_VALUE"""),0.1606)</f>
        <v>0.1606</v>
      </c>
      <c r="K3688" s="19">
        <f>IFERROR(__xludf.DUMMYFUNCTION("""COMPUTED_VALUE"""),0.2008)</f>
        <v>0.2008</v>
      </c>
      <c r="L3688" s="19">
        <f>IFERROR(__xludf.DUMMYFUNCTION("""COMPUTED_VALUE"""),0.2409)</f>
        <v>0.2409</v>
      </c>
      <c r="M3688" s="18">
        <f>IFERROR(__xludf.DUMMYFUNCTION("""COMPUTED_VALUE"""),2.53)</f>
        <v>2.53</v>
      </c>
    </row>
    <row r="3689">
      <c r="A3689" s="13" t="str">
        <f>IFERROR(__xludf.DUMMYFUNCTION("""COMPUTED_VALUE"""),"товари")</f>
        <v>товари</v>
      </c>
      <c r="B3689" s="16" t="str">
        <f>IFERROR(__xludf.DUMMYFUNCTION("""COMPUTED_VALUE"""),"спорт і відпочинок")</f>
        <v>спорт і відпочинок</v>
      </c>
      <c r="C3689" s="16" t="str">
        <f>IFERROR(__xludf.DUMMYFUNCTION("""COMPUTED_VALUE"""),"спортивні товари")</f>
        <v>спортивні товари</v>
      </c>
      <c r="D3689" s="16" t="str">
        <f>IFERROR(__xludf.DUMMYFUNCTION("""COMPUTED_VALUE"""),"гімнастика")</f>
        <v>гімнастика</v>
      </c>
      <c r="E3689" s="16" t="str">
        <f>IFERROR(__xludf.DUMMYFUNCTION("""COMPUTED_VALUE"""),"спортивні мати")</f>
        <v>спортивні мати</v>
      </c>
      <c r="F3689" s="17">
        <f>IFERROR(__xludf.DUMMYFUNCTION("""COMPUTED_VALUE"""),4.0)</f>
        <v>4</v>
      </c>
      <c r="G3689" s="17" t="str">
        <f>IFERROR(__xludf.DUMMYFUNCTION("""COMPUTED_VALUE"""),"200304")</f>
        <v>200304</v>
      </c>
      <c r="H3689" s="17" t="str">
        <f>IFERROR(__xludf.DUMMYFUNCTION("""COMPUTED_VALUE"""),"спортивні мати")</f>
        <v>спортивні мати</v>
      </c>
      <c r="I3689" s="19">
        <f>IFERROR(__xludf.DUMMYFUNCTION("""COMPUTED_VALUE"""),0.0741)</f>
        <v>0.0741</v>
      </c>
      <c r="J3689" s="19">
        <f>IFERROR(__xludf.DUMMYFUNCTION("""COMPUTED_VALUE"""),0.1481)</f>
        <v>0.1481</v>
      </c>
      <c r="K3689" s="19">
        <f>IFERROR(__xludf.DUMMYFUNCTION("""COMPUTED_VALUE"""),0.1851)</f>
        <v>0.1851</v>
      </c>
      <c r="L3689" s="19">
        <f>IFERROR(__xludf.DUMMYFUNCTION("""COMPUTED_VALUE"""),0.2222)</f>
        <v>0.2222</v>
      </c>
      <c r="M3689" s="18">
        <f>IFERROR(__xludf.DUMMYFUNCTION("""COMPUTED_VALUE"""),4.95)</f>
        <v>4.95</v>
      </c>
    </row>
    <row r="3690">
      <c r="A3690" s="13" t="str">
        <f>IFERROR(__xludf.DUMMYFUNCTION("""COMPUTED_VALUE"""),"товари")</f>
        <v>товари</v>
      </c>
      <c r="B3690" s="16" t="str">
        <f>IFERROR(__xludf.DUMMYFUNCTION("""COMPUTED_VALUE"""),"спорт і відпочинок")</f>
        <v>спорт і відпочинок</v>
      </c>
      <c r="C3690" s="16" t="str">
        <f>IFERROR(__xludf.DUMMYFUNCTION("""COMPUTED_VALUE"""),"спортивні товари")</f>
        <v>спортивні товари</v>
      </c>
      <c r="D3690" s="16" t="str">
        <f>IFERROR(__xludf.DUMMYFUNCTION("""COMPUTED_VALUE"""),"важка атлетика")</f>
        <v>важка атлетика</v>
      </c>
      <c r="E3690" s="16" t="str">
        <f>IFERROR(__xludf.DUMMYFUNCTION("""COMPUTED_VALUE"""),"спортивні обважнювачі")</f>
        <v>спортивні обважнювачі</v>
      </c>
      <c r="F3690" s="17">
        <f>IFERROR(__xludf.DUMMYFUNCTION("""COMPUTED_VALUE"""),4.0)</f>
        <v>4</v>
      </c>
      <c r="G3690" s="17" t="str">
        <f>IFERROR(__xludf.DUMMYFUNCTION("""COMPUTED_VALUE"""),"200316")</f>
        <v>200316</v>
      </c>
      <c r="H3690" s="17" t="str">
        <f>IFERROR(__xludf.DUMMYFUNCTION("""COMPUTED_VALUE"""),"спортивні обважнювачі")</f>
        <v>спортивні обважнювачі</v>
      </c>
      <c r="I3690" s="19">
        <f>IFERROR(__xludf.DUMMYFUNCTION("""COMPUTED_VALUE"""),0.079)</f>
        <v>0.079</v>
      </c>
      <c r="J3690" s="19">
        <f>IFERROR(__xludf.DUMMYFUNCTION("""COMPUTED_VALUE"""),0.158)</f>
        <v>0.158</v>
      </c>
      <c r="K3690" s="19">
        <f>IFERROR(__xludf.DUMMYFUNCTION("""COMPUTED_VALUE"""),0.1975)</f>
        <v>0.1975</v>
      </c>
      <c r="L3690" s="19">
        <f>IFERROR(__xludf.DUMMYFUNCTION("""COMPUTED_VALUE"""),0.237)</f>
        <v>0.237</v>
      </c>
      <c r="M3690" s="18">
        <f>IFERROR(__xludf.DUMMYFUNCTION("""COMPUTED_VALUE"""),2.61)</f>
        <v>2.61</v>
      </c>
    </row>
    <row r="3691">
      <c r="A3691" s="13" t="str">
        <f>IFERROR(__xludf.DUMMYFUNCTION("""COMPUTED_VALUE"""),"товари")</f>
        <v>товари</v>
      </c>
      <c r="B3691" s="16" t="str">
        <f>IFERROR(__xludf.DUMMYFUNCTION("""COMPUTED_VALUE"""),"спорт і відпочинок")</f>
        <v>спорт і відпочинок</v>
      </c>
      <c r="C3691" s="16" t="str">
        <f>IFERROR(__xludf.DUMMYFUNCTION("""COMPUTED_VALUE"""),"екстремальні види спорту")</f>
        <v>екстремальні види спорту</v>
      </c>
      <c r="D3691" s="16" t="str">
        <f>IFERROR(__xludf.DUMMYFUNCTION("""COMPUTED_VALUE"""),"віндсерфінг та sup серфінг")</f>
        <v>віндсерфінг та sup серфінг</v>
      </c>
      <c r="E3691" s="16" t="str">
        <f>IFERROR(__xludf.DUMMYFUNCTION("""COMPUTED_VALUE"""),"спортивні рятувальні жилети")</f>
        <v>спортивні рятувальні жилети</v>
      </c>
      <c r="F3691" s="17">
        <f>IFERROR(__xludf.DUMMYFUNCTION("""COMPUTED_VALUE"""),4.0)</f>
        <v>4</v>
      </c>
      <c r="G3691" s="17" t="str">
        <f>IFERROR(__xludf.DUMMYFUNCTION("""COMPUTED_VALUE"""),"203525")</f>
        <v>203525</v>
      </c>
      <c r="H3691" s="17" t="str">
        <f>IFERROR(__xludf.DUMMYFUNCTION("""COMPUTED_VALUE"""),"спортивні рятувальні жилети")</f>
        <v>спортивні рятувальні жилети</v>
      </c>
      <c r="I3691" s="19">
        <f>IFERROR(__xludf.DUMMYFUNCTION("""COMPUTED_VALUE"""),0.0551)</f>
        <v>0.0551</v>
      </c>
      <c r="J3691" s="19">
        <f>IFERROR(__xludf.DUMMYFUNCTION("""COMPUTED_VALUE"""),0.1102)</f>
        <v>0.1102</v>
      </c>
      <c r="K3691" s="19">
        <f>IFERROR(__xludf.DUMMYFUNCTION("""COMPUTED_VALUE"""),0.1378)</f>
        <v>0.1378</v>
      </c>
      <c r="L3691" s="19">
        <f>IFERROR(__xludf.DUMMYFUNCTION("""COMPUTED_VALUE"""),0.1653)</f>
        <v>0.1653</v>
      </c>
      <c r="M3691" s="18">
        <f>IFERROR(__xludf.DUMMYFUNCTION("""COMPUTED_VALUE"""),2.16)</f>
        <v>2.16</v>
      </c>
    </row>
    <row r="3692">
      <c r="A3692" s="13" t="str">
        <f>IFERROR(__xludf.DUMMYFUNCTION("""COMPUTED_VALUE"""),"товари")</f>
        <v>товари</v>
      </c>
      <c r="B3692" s="16" t="str">
        <f>IFERROR(__xludf.DUMMYFUNCTION("""COMPUTED_VALUE"""),"спорт і відпочинок")</f>
        <v>спорт і відпочинок</v>
      </c>
      <c r="C3692" s="16" t="str">
        <f>IFERROR(__xludf.DUMMYFUNCTION("""COMPUTED_VALUE"""),"тренажери")</f>
        <v>тренажери</v>
      </c>
      <c r="D3692" s="16" t="str">
        <f>IFERROR(__xludf.DUMMYFUNCTION("""COMPUTED_VALUE"""),"спортивні стінки і турніки для дому")</f>
        <v>спортивні стінки і турніки для дому</v>
      </c>
      <c r="E3692" s="16" t="str">
        <f>IFERROR(__xludf.DUMMYFUNCTION("""COMPUTED_VALUE"""),"спортивні стінки і турніки для дому")</f>
        <v>спортивні стінки і турніки для дому</v>
      </c>
      <c r="F3692" s="17">
        <f>IFERROR(__xludf.DUMMYFUNCTION("""COMPUTED_VALUE"""),3.0)</f>
        <v>3</v>
      </c>
      <c r="G3692" s="17" t="str">
        <f>IFERROR(__xludf.DUMMYFUNCTION("""COMPUTED_VALUE"""),"200908")</f>
        <v>200908</v>
      </c>
      <c r="H3692" s="17" t="str">
        <f>IFERROR(__xludf.DUMMYFUNCTION("""COMPUTED_VALUE"""),"спортивні стінки і турніки для дому")</f>
        <v>спортивні стінки і турніки для дому</v>
      </c>
      <c r="I3692" s="19">
        <f>IFERROR(__xludf.DUMMYFUNCTION("""COMPUTED_VALUE"""),0.0759)</f>
        <v>0.0759</v>
      </c>
      <c r="J3692" s="19">
        <f>IFERROR(__xludf.DUMMYFUNCTION("""COMPUTED_VALUE"""),0.1518)</f>
        <v>0.1518</v>
      </c>
      <c r="K3692" s="19">
        <f>IFERROR(__xludf.DUMMYFUNCTION("""COMPUTED_VALUE"""),0.1898)</f>
        <v>0.1898</v>
      </c>
      <c r="L3692" s="19">
        <f>IFERROR(__xludf.DUMMYFUNCTION("""COMPUTED_VALUE"""),0.2277)</f>
        <v>0.2277</v>
      </c>
      <c r="M3692" s="18">
        <f>IFERROR(__xludf.DUMMYFUNCTION("""COMPUTED_VALUE"""),4.5)</f>
        <v>4.5</v>
      </c>
    </row>
    <row r="3693">
      <c r="A3693" s="13" t="str">
        <f>IFERROR(__xludf.DUMMYFUNCTION("""COMPUTED_VALUE"""),"товари")</f>
        <v>товари</v>
      </c>
      <c r="B3693" s="16" t="str">
        <f>IFERROR(__xludf.DUMMYFUNCTION("""COMPUTED_VALUE"""),"спорт і відпочинок")</f>
        <v>спорт і відпочинок</v>
      </c>
      <c r="C3693" s="16" t="str">
        <f>IFERROR(__xludf.DUMMYFUNCTION("""COMPUTED_VALUE"""),"спортивні товари")</f>
        <v>спортивні товари</v>
      </c>
      <c r="D3693" s="16" t="str">
        <f>IFERROR(__xludf.DUMMYFUNCTION("""COMPUTED_VALUE"""),"спортивні сумки та рюкзаки")</f>
        <v>спортивні сумки та рюкзаки</v>
      </c>
      <c r="E3693" s="16" t="str">
        <f>IFERROR(__xludf.DUMMYFUNCTION("""COMPUTED_VALUE"""),"спортивні сумки")</f>
        <v>спортивні сумки</v>
      </c>
      <c r="F3693" s="17">
        <f>IFERROR(__xludf.DUMMYFUNCTION("""COMPUTED_VALUE"""),4.0)</f>
        <v>4</v>
      </c>
      <c r="G3693" s="17" t="str">
        <f>IFERROR(__xludf.DUMMYFUNCTION("""COMPUTED_VALUE"""),"380630")</f>
        <v>380630</v>
      </c>
      <c r="H3693" s="17" t="str">
        <f>IFERROR(__xludf.DUMMYFUNCTION("""COMPUTED_VALUE"""),"спортивні сумки")</f>
        <v>спортивні сумки</v>
      </c>
      <c r="I3693" s="19">
        <f>IFERROR(__xludf.DUMMYFUNCTION("""COMPUTED_VALUE"""),0.0957)</f>
        <v>0.0957</v>
      </c>
      <c r="J3693" s="19">
        <f>IFERROR(__xludf.DUMMYFUNCTION("""COMPUTED_VALUE"""),0.1914)</f>
        <v>0.1914</v>
      </c>
      <c r="K3693" s="19">
        <f>IFERROR(__xludf.DUMMYFUNCTION("""COMPUTED_VALUE"""),0.2393)</f>
        <v>0.2393</v>
      </c>
      <c r="L3693" s="19">
        <f>IFERROR(__xludf.DUMMYFUNCTION("""COMPUTED_VALUE"""),0.2871)</f>
        <v>0.2871</v>
      </c>
      <c r="M3693" s="18">
        <f>IFERROR(__xludf.DUMMYFUNCTION("""COMPUTED_VALUE"""),1.8)</f>
        <v>1.8</v>
      </c>
    </row>
    <row r="3694">
      <c r="A3694" s="13" t="str">
        <f>IFERROR(__xludf.DUMMYFUNCTION("""COMPUTED_VALUE"""),"товари")</f>
        <v>товари</v>
      </c>
      <c r="B3694" s="16" t="str">
        <f>IFERROR(__xludf.DUMMYFUNCTION("""COMPUTED_VALUE"""),"спорт і відпочинок")</f>
        <v>спорт і відпочинок</v>
      </c>
      <c r="C3694" s="16" t="str">
        <f>IFERROR(__xludf.DUMMYFUNCTION("""COMPUTED_VALUE"""),"спортивні товари")</f>
        <v>спортивні товари</v>
      </c>
      <c r="D3694" s="16" t="str">
        <f>IFERROR(__xludf.DUMMYFUNCTION("""COMPUTED_VALUE"""),"спортивні товари, загальне")</f>
        <v>спортивні товари, загальне</v>
      </c>
      <c r="E3694" s="16" t="str">
        <f>IFERROR(__xludf.DUMMYFUNCTION("""COMPUTED_VALUE"""),"спортивні товари, загальне")</f>
        <v>спортивні товари, загальне</v>
      </c>
      <c r="F3694" s="17">
        <f>IFERROR(__xludf.DUMMYFUNCTION("""COMPUTED_VALUE"""),3.0)</f>
        <v>3</v>
      </c>
      <c r="G3694" s="17" t="str">
        <f>IFERROR(__xludf.DUMMYFUNCTION("""COMPUTED_VALUE"""),"2047")</f>
        <v>2047</v>
      </c>
      <c r="H3694" s="17" t="str">
        <f>IFERROR(__xludf.DUMMYFUNCTION("""COMPUTED_VALUE"""),"спортивні товари, загальне")</f>
        <v>спортивні товари, загальне</v>
      </c>
      <c r="I3694" s="19">
        <f>IFERROR(__xludf.DUMMYFUNCTION("""COMPUTED_VALUE"""),0.125)</f>
        <v>0.125</v>
      </c>
      <c r="J3694" s="19">
        <f>IFERROR(__xludf.DUMMYFUNCTION("""COMPUTED_VALUE"""),0.25)</f>
        <v>0.25</v>
      </c>
      <c r="K3694" s="19">
        <f>IFERROR(__xludf.DUMMYFUNCTION("""COMPUTED_VALUE"""),0.3125)</f>
        <v>0.3125</v>
      </c>
      <c r="L3694" s="19">
        <f>IFERROR(__xludf.DUMMYFUNCTION("""COMPUTED_VALUE"""),0.375)</f>
        <v>0.375</v>
      </c>
      <c r="M3694" s="18">
        <f>IFERROR(__xludf.DUMMYFUNCTION("""COMPUTED_VALUE"""),4.33)</f>
        <v>4.33</v>
      </c>
    </row>
    <row r="3695">
      <c r="A3695" s="13" t="str">
        <f>IFERROR(__xludf.DUMMYFUNCTION("""COMPUTED_VALUE"""),"товари")</f>
        <v>товари</v>
      </c>
      <c r="B3695" s="16" t="str">
        <f>IFERROR(__xludf.DUMMYFUNCTION("""COMPUTED_VALUE"""),"спорт і відпочинок")</f>
        <v>спорт і відпочинок</v>
      </c>
      <c r="C3695" s="16" t="str">
        <f>IFERROR(__xludf.DUMMYFUNCTION("""COMPUTED_VALUE"""),"екстремальні види спорту")</f>
        <v>екстремальні види спорту</v>
      </c>
      <c r="D3695" s="16" t="str">
        <f>IFERROR(__xludf.DUMMYFUNCTION("""COMPUTED_VALUE"""),"альпінізм")</f>
        <v>альпінізм</v>
      </c>
      <c r="E3695" s="16" t="str">
        <f>IFERROR(__xludf.DUMMYFUNCTION("""COMPUTED_VALUE"""),"спускові пристрої для альпінізму")</f>
        <v>спускові пристрої для альпінізму</v>
      </c>
      <c r="F3695" s="17">
        <f>IFERROR(__xludf.DUMMYFUNCTION("""COMPUTED_VALUE"""),4.0)</f>
        <v>4</v>
      </c>
      <c r="G3695" s="17" t="str">
        <f>IFERROR(__xludf.DUMMYFUNCTION("""COMPUTED_VALUE"""),"203537")</f>
        <v>203537</v>
      </c>
      <c r="H3695" s="17" t="str">
        <f>IFERROR(__xludf.DUMMYFUNCTION("""COMPUTED_VALUE"""),"спускові пристрої для альпінізму")</f>
        <v>спускові пристрої для альпінізму</v>
      </c>
      <c r="I3695" s="19">
        <f>IFERROR(__xludf.DUMMYFUNCTION("""COMPUTED_VALUE"""),0.0786)</f>
        <v>0.0786</v>
      </c>
      <c r="J3695" s="19">
        <f>IFERROR(__xludf.DUMMYFUNCTION("""COMPUTED_VALUE"""),0.1571)</f>
        <v>0.1571</v>
      </c>
      <c r="K3695" s="19">
        <f>IFERROR(__xludf.DUMMYFUNCTION("""COMPUTED_VALUE"""),0.1964)</f>
        <v>0.1964</v>
      </c>
      <c r="L3695" s="19">
        <f>IFERROR(__xludf.DUMMYFUNCTION("""COMPUTED_VALUE"""),0.2357)</f>
        <v>0.2357</v>
      </c>
      <c r="M3695" s="18">
        <f>IFERROR(__xludf.DUMMYFUNCTION("""COMPUTED_VALUE"""),1.8)</f>
        <v>1.8</v>
      </c>
    </row>
    <row r="3696">
      <c r="A3696" s="13" t="str">
        <f>IFERROR(__xludf.DUMMYFUNCTION("""COMPUTED_VALUE"""),"товари")</f>
        <v>товари</v>
      </c>
      <c r="B3696" s="16" t="str">
        <f>IFERROR(__xludf.DUMMYFUNCTION("""COMPUTED_VALUE"""),"спорт і відпочинок")</f>
        <v>спорт і відпочинок</v>
      </c>
      <c r="C3696" s="16" t="str">
        <f>IFERROR(__xludf.DUMMYFUNCTION("""COMPUTED_VALUE"""),"тренажери")</f>
        <v>тренажери</v>
      </c>
      <c r="D3696" s="16" t="str">
        <f>IFERROR(__xludf.DUMMYFUNCTION("""COMPUTED_VALUE"""),"степери")</f>
        <v>степери</v>
      </c>
      <c r="E3696" s="16" t="str">
        <f>IFERROR(__xludf.DUMMYFUNCTION("""COMPUTED_VALUE"""),"степери")</f>
        <v>степери</v>
      </c>
      <c r="F3696" s="17">
        <f>IFERROR(__xludf.DUMMYFUNCTION("""COMPUTED_VALUE"""),3.0)</f>
        <v>3</v>
      </c>
      <c r="G3696" s="17" t="str">
        <f>IFERROR(__xludf.DUMMYFUNCTION("""COMPUTED_VALUE"""),"200917")</f>
        <v>200917</v>
      </c>
      <c r="H3696" s="17" t="str">
        <f>IFERROR(__xludf.DUMMYFUNCTION("""COMPUTED_VALUE"""),"степери")</f>
        <v>степери</v>
      </c>
      <c r="I3696" s="19">
        <f>IFERROR(__xludf.DUMMYFUNCTION("""COMPUTED_VALUE"""),0.0704)</f>
        <v>0.0704</v>
      </c>
      <c r="J3696" s="19">
        <f>IFERROR(__xludf.DUMMYFUNCTION("""COMPUTED_VALUE"""),0.1408)</f>
        <v>0.1408</v>
      </c>
      <c r="K3696" s="19">
        <f>IFERROR(__xludf.DUMMYFUNCTION("""COMPUTED_VALUE"""),0.176)</f>
        <v>0.176</v>
      </c>
      <c r="L3696" s="19">
        <f>IFERROR(__xludf.DUMMYFUNCTION("""COMPUTED_VALUE"""),0.2112)</f>
        <v>0.2112</v>
      </c>
      <c r="M3696" s="18">
        <f>IFERROR(__xludf.DUMMYFUNCTION("""COMPUTED_VALUE"""),2.7)</f>
        <v>2.7</v>
      </c>
    </row>
    <row r="3697">
      <c r="A3697" s="13" t="str">
        <f>IFERROR(__xludf.DUMMYFUNCTION("""COMPUTED_VALUE"""),"товари")</f>
        <v>товари</v>
      </c>
      <c r="B3697" s="16" t="str">
        <f>IFERROR(__xludf.DUMMYFUNCTION("""COMPUTED_VALUE"""),"спорт і відпочинок")</f>
        <v>спорт і відпочинок</v>
      </c>
      <c r="C3697" s="16" t="str">
        <f>IFERROR(__xludf.DUMMYFUNCTION("""COMPUTED_VALUE"""),"командні види спорту")</f>
        <v>командні види спорту</v>
      </c>
      <c r="D3697" s="16" t="str">
        <f>IFERROR(__xludf.DUMMYFUNCTION("""COMPUTED_VALUE"""),"баскетбол")</f>
        <v>баскетбол</v>
      </c>
      <c r="E3697" s="16" t="str">
        <f>IFERROR(__xludf.DUMMYFUNCTION("""COMPUTED_VALUE"""),"стійки для ігрових майданчиків")</f>
        <v>стійки для ігрових майданчиків</v>
      </c>
      <c r="F3697" s="17">
        <f>IFERROR(__xludf.DUMMYFUNCTION("""COMPUTED_VALUE"""),4.0)</f>
        <v>4</v>
      </c>
      <c r="G3697" s="17" t="str">
        <f>IFERROR(__xludf.DUMMYFUNCTION("""COMPUTED_VALUE"""),"203306")</f>
        <v>203306</v>
      </c>
      <c r="H3697" s="17" t="str">
        <f>IFERROR(__xludf.DUMMYFUNCTION("""COMPUTED_VALUE"""),"стійки для ігрових майданчиків")</f>
        <v>стійки для ігрових майданчиків</v>
      </c>
      <c r="I3697" s="19">
        <f>IFERROR(__xludf.DUMMYFUNCTION("""COMPUTED_VALUE"""),0.0647)</f>
        <v>0.0647</v>
      </c>
      <c r="J3697" s="19">
        <f>IFERROR(__xludf.DUMMYFUNCTION("""COMPUTED_VALUE"""),0.1294)</f>
        <v>0.1294</v>
      </c>
      <c r="K3697" s="19">
        <f>IFERROR(__xludf.DUMMYFUNCTION("""COMPUTED_VALUE"""),0.1618)</f>
        <v>0.1618</v>
      </c>
      <c r="L3697" s="19">
        <f>IFERROR(__xludf.DUMMYFUNCTION("""COMPUTED_VALUE"""),0.1941)</f>
        <v>0.1941</v>
      </c>
      <c r="M3697" s="18">
        <f>IFERROR(__xludf.DUMMYFUNCTION("""COMPUTED_VALUE"""),2.34)</f>
        <v>2.34</v>
      </c>
    </row>
    <row r="3698">
      <c r="A3698" s="13" t="str">
        <f>IFERROR(__xludf.DUMMYFUNCTION("""COMPUTED_VALUE"""),"товари")</f>
        <v>товари</v>
      </c>
      <c r="B3698" s="16" t="str">
        <f>IFERROR(__xludf.DUMMYFUNCTION("""COMPUTED_VALUE"""),"спорт і відпочинок")</f>
        <v>спорт і відпочинок</v>
      </c>
      <c r="C3698" s="16" t="str">
        <f>IFERROR(__xludf.DUMMYFUNCTION("""COMPUTED_VALUE"""),"тренажери")</f>
        <v>тренажери</v>
      </c>
      <c r="D3698" s="16" t="str">
        <f>IFERROR(__xludf.DUMMYFUNCTION("""COMPUTED_VALUE"""),"стійки, лави для жиму та присідань")</f>
        <v>стійки, лави для жиму та присідань</v>
      </c>
      <c r="E3698" s="16" t="str">
        <f>IFERROR(__xludf.DUMMYFUNCTION("""COMPUTED_VALUE"""),"стійки, лави для жиму та присідань")</f>
        <v>стійки, лави для жиму та присідань</v>
      </c>
      <c r="F3698" s="17">
        <f>IFERROR(__xludf.DUMMYFUNCTION("""COMPUTED_VALUE"""),3.0)</f>
        <v>3</v>
      </c>
      <c r="G3698" s="17" t="str">
        <f>IFERROR(__xludf.DUMMYFUNCTION("""COMPUTED_VALUE"""),"200902")</f>
        <v>200902</v>
      </c>
      <c r="H3698" s="17" t="str">
        <f>IFERROR(__xludf.DUMMYFUNCTION("""COMPUTED_VALUE"""),"стійки, лави для жиму та присідань")</f>
        <v>стійки, лави для жиму та присідань</v>
      </c>
      <c r="I3698" s="19">
        <f>IFERROR(__xludf.DUMMYFUNCTION("""COMPUTED_VALUE"""),0.0532)</f>
        <v>0.0532</v>
      </c>
      <c r="J3698" s="19">
        <f>IFERROR(__xludf.DUMMYFUNCTION("""COMPUTED_VALUE"""),0.1063)</f>
        <v>0.1063</v>
      </c>
      <c r="K3698" s="19">
        <f>IFERROR(__xludf.DUMMYFUNCTION("""COMPUTED_VALUE"""),0.1329)</f>
        <v>0.1329</v>
      </c>
      <c r="L3698" s="19">
        <f>IFERROR(__xludf.DUMMYFUNCTION("""COMPUTED_VALUE"""),0.1595)</f>
        <v>0.1595</v>
      </c>
      <c r="M3698" s="18">
        <f>IFERROR(__xludf.DUMMYFUNCTION("""COMPUTED_VALUE"""),3.69)</f>
        <v>3.69</v>
      </c>
    </row>
    <row r="3699">
      <c r="A3699" s="13" t="str">
        <f>IFERROR(__xludf.DUMMYFUNCTION("""COMPUTED_VALUE"""),"товари")</f>
        <v>товари</v>
      </c>
      <c r="B3699" s="16" t="str">
        <f>IFERROR(__xludf.DUMMYFUNCTION("""COMPUTED_VALUE"""),"спорт і відпочинок")</f>
        <v>спорт і відпочинок</v>
      </c>
      <c r="C3699" s="16" t="str">
        <f>IFERROR(__xludf.DUMMYFUNCTION("""COMPUTED_VALUE"""),"військово-спортивні ігри")</f>
        <v>військово-спортивні ігри</v>
      </c>
      <c r="D3699" s="16" t="str">
        <f>IFERROR(__xludf.DUMMYFUNCTION("""COMPUTED_VALUE"""),"страйкбольне обладнання")</f>
        <v>страйкбольне обладнання</v>
      </c>
      <c r="E3699" s="16" t="str">
        <f>IFERROR(__xludf.DUMMYFUNCTION("""COMPUTED_VALUE"""),"страйкбольне спорядження, загальне")</f>
        <v>страйкбольне спорядження, загальне</v>
      </c>
      <c r="F3699" s="17">
        <f>IFERROR(__xludf.DUMMYFUNCTION("""COMPUTED_VALUE"""),4.0)</f>
        <v>4</v>
      </c>
      <c r="G3699" s="17" t="str">
        <f>IFERROR(__xludf.DUMMYFUNCTION("""COMPUTED_VALUE"""),"181304")</f>
        <v>181304</v>
      </c>
      <c r="H3699" s="17" t="str">
        <f>IFERROR(__xludf.DUMMYFUNCTION("""COMPUTED_VALUE"""),"страйкбольне спорядження, загальне")</f>
        <v>страйкбольне спорядження, загальне</v>
      </c>
      <c r="I3699" s="19">
        <f>IFERROR(__xludf.DUMMYFUNCTION("""COMPUTED_VALUE"""),0.125)</f>
        <v>0.125</v>
      </c>
      <c r="J3699" s="19">
        <f>IFERROR(__xludf.DUMMYFUNCTION("""COMPUTED_VALUE"""),0.25)</f>
        <v>0.25</v>
      </c>
      <c r="K3699" s="19">
        <f>IFERROR(__xludf.DUMMYFUNCTION("""COMPUTED_VALUE"""),0.3125)</f>
        <v>0.3125</v>
      </c>
      <c r="L3699" s="19">
        <f>IFERROR(__xludf.DUMMYFUNCTION("""COMPUTED_VALUE"""),0.375)</f>
        <v>0.375</v>
      </c>
      <c r="M3699" s="18">
        <f>IFERROR(__xludf.DUMMYFUNCTION("""COMPUTED_VALUE"""),4.33)</f>
        <v>4.33</v>
      </c>
    </row>
    <row r="3700">
      <c r="A3700" s="13" t="str">
        <f>IFERROR(__xludf.DUMMYFUNCTION("""COMPUTED_VALUE"""),"товари")</f>
        <v>товари</v>
      </c>
      <c r="B3700" s="16" t="str">
        <f>IFERROR(__xludf.DUMMYFUNCTION("""COMPUTED_VALUE"""),"спорт і відпочинок")</f>
        <v>спорт і відпочинок</v>
      </c>
      <c r="C3700" s="16" t="str">
        <f>IFERROR(__xludf.DUMMYFUNCTION("""COMPUTED_VALUE"""),"військово-спортивні ігри")</f>
        <v>військово-спортивні ігри</v>
      </c>
      <c r="D3700" s="16" t="str">
        <f>IFERROR(__xludf.DUMMYFUNCTION("""COMPUTED_VALUE"""),"страйкбольне обладнання")</f>
        <v>страйкбольне обладнання</v>
      </c>
      <c r="E3700" s="16" t="str">
        <f>IFERROR(__xludf.DUMMYFUNCTION("""COMPUTED_VALUE"""),"страйкбольні автомати та пістолети")</f>
        <v>страйкбольні автомати та пістолети</v>
      </c>
      <c r="F3700" s="17">
        <f>IFERROR(__xludf.DUMMYFUNCTION("""COMPUTED_VALUE"""),4.0)</f>
        <v>4</v>
      </c>
      <c r="G3700" s="17" t="str">
        <f>IFERROR(__xludf.DUMMYFUNCTION("""COMPUTED_VALUE"""),"181305")</f>
        <v>181305</v>
      </c>
      <c r="H3700" s="17" t="str">
        <f>IFERROR(__xludf.DUMMYFUNCTION("""COMPUTED_VALUE"""),"страйкбольні автомати та пістолети")</f>
        <v>страйкбольні автомати та пістолети</v>
      </c>
      <c r="I3700" s="19">
        <f>IFERROR(__xludf.DUMMYFUNCTION("""COMPUTED_VALUE"""),0.0585)</f>
        <v>0.0585</v>
      </c>
      <c r="J3700" s="19">
        <f>IFERROR(__xludf.DUMMYFUNCTION("""COMPUTED_VALUE"""),0.117)</f>
        <v>0.117</v>
      </c>
      <c r="K3700" s="19">
        <f>IFERROR(__xludf.DUMMYFUNCTION("""COMPUTED_VALUE"""),0.1463)</f>
        <v>0.1463</v>
      </c>
      <c r="L3700" s="19">
        <f>IFERROR(__xludf.DUMMYFUNCTION("""COMPUTED_VALUE"""),0.1755)</f>
        <v>0.1755</v>
      </c>
      <c r="M3700" s="18">
        <f>IFERROR(__xludf.DUMMYFUNCTION("""COMPUTED_VALUE"""),1.05)</f>
        <v>1.05</v>
      </c>
    </row>
    <row r="3701">
      <c r="A3701" s="13" t="str">
        <f>IFERROR(__xludf.DUMMYFUNCTION("""COMPUTED_VALUE"""),"товари")</f>
        <v>товари</v>
      </c>
      <c r="B3701" s="16" t="str">
        <f>IFERROR(__xludf.DUMMYFUNCTION("""COMPUTED_VALUE"""),"спорт і відпочинок")</f>
        <v>спорт і відпочинок</v>
      </c>
      <c r="C3701" s="16" t="str">
        <f>IFERROR(__xludf.DUMMYFUNCTION("""COMPUTED_VALUE"""),"військово-спортивні ігри")</f>
        <v>військово-спортивні ігри</v>
      </c>
      <c r="D3701" s="16" t="str">
        <f>IFERROR(__xludf.DUMMYFUNCTION("""COMPUTED_VALUE"""),"страйкбольне обладнання")</f>
        <v>страйкбольне обладнання</v>
      </c>
      <c r="E3701" s="16" t="str">
        <f>IFERROR(__xludf.DUMMYFUNCTION("""COMPUTED_VALUE"""),"страйкбольні кулі")</f>
        <v>страйкбольні кулі</v>
      </c>
      <c r="F3701" s="17">
        <f>IFERROR(__xludf.DUMMYFUNCTION("""COMPUTED_VALUE"""),4.0)</f>
        <v>4</v>
      </c>
      <c r="G3701" s="17" t="str">
        <f>IFERROR(__xludf.DUMMYFUNCTION("""COMPUTED_VALUE"""),"181303")</f>
        <v>181303</v>
      </c>
      <c r="H3701" s="17" t="str">
        <f>IFERROR(__xludf.DUMMYFUNCTION("""COMPUTED_VALUE"""),"страйкбольні кулі")</f>
        <v>страйкбольні кулі</v>
      </c>
      <c r="I3701" s="19">
        <f>IFERROR(__xludf.DUMMYFUNCTION("""COMPUTED_VALUE"""),0.0624)</f>
        <v>0.0624</v>
      </c>
      <c r="J3701" s="19">
        <f>IFERROR(__xludf.DUMMYFUNCTION("""COMPUTED_VALUE"""),0.1248)</f>
        <v>0.1248</v>
      </c>
      <c r="K3701" s="19">
        <f>IFERROR(__xludf.DUMMYFUNCTION("""COMPUTED_VALUE"""),0.156)</f>
        <v>0.156</v>
      </c>
      <c r="L3701" s="19">
        <f>IFERROR(__xludf.DUMMYFUNCTION("""COMPUTED_VALUE"""),0.1872)</f>
        <v>0.1872</v>
      </c>
      <c r="M3701" s="18">
        <f>IFERROR(__xludf.DUMMYFUNCTION("""COMPUTED_VALUE"""),1.05)</f>
        <v>1.05</v>
      </c>
    </row>
    <row r="3702">
      <c r="A3702" s="13" t="str">
        <f>IFERROR(__xludf.DUMMYFUNCTION("""COMPUTED_VALUE"""),"товари")</f>
        <v>товари</v>
      </c>
      <c r="B3702" s="16" t="str">
        <f>IFERROR(__xludf.DUMMYFUNCTION("""COMPUTED_VALUE"""),"спорт і відпочинок")</f>
        <v>спорт і відпочинок</v>
      </c>
      <c r="C3702" s="16" t="str">
        <f>IFERROR(__xludf.DUMMYFUNCTION("""COMPUTED_VALUE"""),"екстремальні види спорту")</f>
        <v>екстремальні види спорту</v>
      </c>
      <c r="D3702" s="16" t="str">
        <f>IFERROR(__xludf.DUMMYFUNCTION("""COMPUTED_VALUE"""),"альпінізм")</f>
        <v>альпінізм</v>
      </c>
      <c r="E3702" s="16" t="str">
        <f>IFERROR(__xludf.DUMMYFUNCTION("""COMPUTED_VALUE"""),"страхувальні альтанки та системи")</f>
        <v>страхувальні альтанки та системи</v>
      </c>
      <c r="F3702" s="17">
        <f>IFERROR(__xludf.DUMMYFUNCTION("""COMPUTED_VALUE"""),4.0)</f>
        <v>4</v>
      </c>
      <c r="G3702" s="17" t="str">
        <f>IFERROR(__xludf.DUMMYFUNCTION("""COMPUTED_VALUE"""),"203529")</f>
        <v>203529</v>
      </c>
      <c r="H3702" s="17" t="str">
        <f>IFERROR(__xludf.DUMMYFUNCTION("""COMPUTED_VALUE"""),"страхувальні альтанки та системи")</f>
        <v>страхувальні альтанки та системи</v>
      </c>
      <c r="I3702" s="19">
        <f>IFERROR(__xludf.DUMMYFUNCTION("""COMPUTED_VALUE"""),0.0786)</f>
        <v>0.0786</v>
      </c>
      <c r="J3702" s="19">
        <f>IFERROR(__xludf.DUMMYFUNCTION("""COMPUTED_VALUE"""),0.1571)</f>
        <v>0.1571</v>
      </c>
      <c r="K3702" s="19">
        <f>IFERROR(__xludf.DUMMYFUNCTION("""COMPUTED_VALUE"""),0.1964)</f>
        <v>0.1964</v>
      </c>
      <c r="L3702" s="19">
        <f>IFERROR(__xludf.DUMMYFUNCTION("""COMPUTED_VALUE"""),0.2357)</f>
        <v>0.2357</v>
      </c>
      <c r="M3702" s="18">
        <f>IFERROR(__xludf.DUMMYFUNCTION("""COMPUTED_VALUE"""),1.8)</f>
        <v>1.8</v>
      </c>
    </row>
    <row r="3703">
      <c r="A3703" s="13" t="str">
        <f>IFERROR(__xludf.DUMMYFUNCTION("""COMPUTED_VALUE"""),"товари")</f>
        <v>товари</v>
      </c>
      <c r="B3703" s="16" t="str">
        <f>IFERROR(__xludf.DUMMYFUNCTION("""COMPUTED_VALUE"""),"спорт і відпочинок")</f>
        <v>спорт і відпочинок</v>
      </c>
      <c r="C3703" s="16" t="str">
        <f>IFERROR(__xludf.DUMMYFUNCTION("""COMPUTED_VALUE"""),"спортивні товари")</f>
        <v>спортивні товари</v>
      </c>
      <c r="D3703" s="16" t="str">
        <f>IFERROR(__xludf.DUMMYFUNCTION("""COMPUTED_VALUE"""),"спортивні пістолети та рушниці")</f>
        <v>спортивні пістолети та рушниці</v>
      </c>
      <c r="E3703" s="16" t="str">
        <f>IFERROR(__xludf.DUMMYFUNCTION("""COMPUTED_VALUE"""),"стріли, аксесуари до арбалетів, луків")</f>
        <v>стріли, аксесуари до арбалетів, луків</v>
      </c>
      <c r="F3703" s="17">
        <f>IFERROR(__xludf.DUMMYFUNCTION("""COMPUTED_VALUE"""),4.0)</f>
        <v>4</v>
      </c>
      <c r="G3703" s="17" t="str">
        <f>IFERROR(__xludf.DUMMYFUNCTION("""COMPUTED_VALUE"""),"302110")</f>
        <v>302110</v>
      </c>
      <c r="H3703" s="17" t="str">
        <f>IFERROR(__xludf.DUMMYFUNCTION("""COMPUTED_VALUE"""),"стріли, аксесуари до арбалетів, луків")</f>
        <v>стріли, аксесуари до арбалетів, луків</v>
      </c>
      <c r="I3703" s="19">
        <f>IFERROR(__xludf.DUMMYFUNCTION("""COMPUTED_VALUE"""),0.0572)</f>
        <v>0.0572</v>
      </c>
      <c r="J3703" s="19">
        <f>IFERROR(__xludf.DUMMYFUNCTION("""COMPUTED_VALUE"""),0.1143)</f>
        <v>0.1143</v>
      </c>
      <c r="K3703" s="19">
        <f>IFERROR(__xludf.DUMMYFUNCTION("""COMPUTED_VALUE"""),0.1429)</f>
        <v>0.1429</v>
      </c>
      <c r="L3703" s="19">
        <f>IFERROR(__xludf.DUMMYFUNCTION("""COMPUTED_VALUE"""),0.1715)</f>
        <v>0.1715</v>
      </c>
      <c r="M3703" s="18">
        <f>IFERROR(__xludf.DUMMYFUNCTION("""COMPUTED_VALUE"""),2.25)</f>
        <v>2.25</v>
      </c>
    </row>
    <row r="3704">
      <c r="A3704" s="13" t="str">
        <f>IFERROR(__xludf.DUMMYFUNCTION("""COMPUTED_VALUE"""),"товари")</f>
        <v>товари</v>
      </c>
      <c r="B3704" s="16" t="str">
        <f>IFERROR(__xludf.DUMMYFUNCTION("""COMPUTED_VALUE"""),"спорт і відпочинок")</f>
        <v>спорт і відпочинок</v>
      </c>
      <c r="C3704" s="16" t="str">
        <f>IFERROR(__xludf.DUMMYFUNCTION("""COMPUTED_VALUE"""),"екстремальні види спорту")</f>
        <v>екстремальні види спорту</v>
      </c>
      <c r="D3704" s="16" t="str">
        <f>IFERROR(__xludf.DUMMYFUNCTION("""COMPUTED_VALUE"""),"альпінізм")</f>
        <v>альпінізм</v>
      </c>
      <c r="E3704" s="16" t="str">
        <f>IFERROR(__xludf.DUMMYFUNCTION("""COMPUTED_VALUE"""),"сумки для альпінізму")</f>
        <v>сумки для альпінізму</v>
      </c>
      <c r="F3704" s="17">
        <f>IFERROR(__xludf.DUMMYFUNCTION("""COMPUTED_VALUE"""),4.0)</f>
        <v>4</v>
      </c>
      <c r="G3704" s="17" t="str">
        <f>IFERROR(__xludf.DUMMYFUNCTION("""COMPUTED_VALUE"""),"203538")</f>
        <v>203538</v>
      </c>
      <c r="H3704" s="17" t="str">
        <f>IFERROR(__xludf.DUMMYFUNCTION("""COMPUTED_VALUE"""),"сумки для альпінізму")</f>
        <v>сумки для альпінізму</v>
      </c>
      <c r="I3704" s="19">
        <f>IFERROR(__xludf.DUMMYFUNCTION("""COMPUTED_VALUE"""),0.0743)</f>
        <v>0.0743</v>
      </c>
      <c r="J3704" s="19">
        <f>IFERROR(__xludf.DUMMYFUNCTION("""COMPUTED_VALUE"""),0.1485)</f>
        <v>0.1485</v>
      </c>
      <c r="K3704" s="19">
        <f>IFERROR(__xludf.DUMMYFUNCTION("""COMPUTED_VALUE"""),0.1856)</f>
        <v>0.1856</v>
      </c>
      <c r="L3704" s="19">
        <f>IFERROR(__xludf.DUMMYFUNCTION("""COMPUTED_VALUE"""),0.2228)</f>
        <v>0.2228</v>
      </c>
      <c r="M3704" s="18">
        <f>IFERROR(__xludf.DUMMYFUNCTION("""COMPUTED_VALUE"""),1.8)</f>
        <v>1.8</v>
      </c>
    </row>
    <row r="3705">
      <c r="A3705" s="13" t="str">
        <f>IFERROR(__xludf.DUMMYFUNCTION("""COMPUTED_VALUE"""),"товари")</f>
        <v>товари</v>
      </c>
      <c r="B3705" s="16" t="str">
        <f>IFERROR(__xludf.DUMMYFUNCTION("""COMPUTED_VALUE"""),"спорт і відпочинок")</f>
        <v>спорт і відпочинок</v>
      </c>
      <c r="C3705" s="16" t="str">
        <f>IFERROR(__xludf.DUMMYFUNCTION("""COMPUTED_VALUE"""),"екстремальні види спорту")</f>
        <v>екстремальні види спорту</v>
      </c>
      <c r="D3705" s="16" t="str">
        <f>IFERROR(__xludf.DUMMYFUNCTION("""COMPUTED_VALUE"""),"дайвінг")</f>
        <v>дайвінг</v>
      </c>
      <c r="E3705" s="16" t="str">
        <f>IFERROR(__xludf.DUMMYFUNCTION("""COMPUTED_VALUE"""),"сумки для дайвінгу")</f>
        <v>сумки для дайвінгу</v>
      </c>
      <c r="F3705" s="17">
        <f>IFERROR(__xludf.DUMMYFUNCTION("""COMPUTED_VALUE"""),4.0)</f>
        <v>4</v>
      </c>
      <c r="G3705" s="17" t="str">
        <f>IFERROR(__xludf.DUMMYFUNCTION("""COMPUTED_VALUE"""),"203430")</f>
        <v>203430</v>
      </c>
      <c r="H3705" s="17" t="str">
        <f>IFERROR(__xludf.DUMMYFUNCTION("""COMPUTED_VALUE"""),"сумки для дайвінгу")</f>
        <v>сумки для дайвінгу</v>
      </c>
      <c r="I3705" s="19">
        <f>IFERROR(__xludf.DUMMYFUNCTION("""COMPUTED_VALUE"""),0.0763)</f>
        <v>0.0763</v>
      </c>
      <c r="J3705" s="19">
        <f>IFERROR(__xludf.DUMMYFUNCTION("""COMPUTED_VALUE"""),0.1526)</f>
        <v>0.1526</v>
      </c>
      <c r="K3705" s="19">
        <f>IFERROR(__xludf.DUMMYFUNCTION("""COMPUTED_VALUE"""),0.1908)</f>
        <v>0.1908</v>
      </c>
      <c r="L3705" s="19">
        <f>IFERROR(__xludf.DUMMYFUNCTION("""COMPUTED_VALUE"""),0.2289)</f>
        <v>0.2289</v>
      </c>
      <c r="M3705" s="18">
        <f>IFERROR(__xludf.DUMMYFUNCTION("""COMPUTED_VALUE"""),2.88)</f>
        <v>2.88</v>
      </c>
    </row>
    <row r="3706">
      <c r="A3706" s="13" t="str">
        <f>IFERROR(__xludf.DUMMYFUNCTION("""COMPUTED_VALUE"""),"товари")</f>
        <v>товари</v>
      </c>
      <c r="B3706" s="16" t="str">
        <f>IFERROR(__xludf.DUMMYFUNCTION("""COMPUTED_VALUE"""),"спорт і відпочинок")</f>
        <v>спорт і відпочинок</v>
      </c>
      <c r="C3706" s="16" t="str">
        <f>IFERROR(__xludf.DUMMYFUNCTION("""COMPUTED_VALUE"""),"спортивні товари")</f>
        <v>спортивні товари</v>
      </c>
      <c r="D3706" s="16" t="str">
        <f>IFERROR(__xludf.DUMMYFUNCTION("""COMPUTED_VALUE"""),"спортивні сумки та рюкзаки")</f>
        <v>спортивні сумки та рюкзаки</v>
      </c>
      <c r="E3706" s="16" t="str">
        <f>IFERROR(__xludf.DUMMYFUNCTION("""COMPUTED_VALUE"""),"сумки для дозвілля, загальне")</f>
        <v>сумки для дозвілля, загальне</v>
      </c>
      <c r="F3706" s="17">
        <f>IFERROR(__xludf.DUMMYFUNCTION("""COMPUTED_VALUE"""),4.0)</f>
        <v>4</v>
      </c>
      <c r="G3706" s="17" t="str">
        <f>IFERROR(__xludf.DUMMYFUNCTION("""COMPUTED_VALUE"""),"380699")</f>
        <v>380699</v>
      </c>
      <c r="H3706" s="17" t="str">
        <f>IFERROR(__xludf.DUMMYFUNCTION("""COMPUTED_VALUE"""),"сумки для дозвілля, загальне")</f>
        <v>сумки для дозвілля, загальне</v>
      </c>
      <c r="I3706" s="19">
        <f>IFERROR(__xludf.DUMMYFUNCTION("""COMPUTED_VALUE"""),0.125)</f>
        <v>0.125</v>
      </c>
      <c r="J3706" s="19">
        <f>IFERROR(__xludf.DUMMYFUNCTION("""COMPUTED_VALUE"""),0.25)</f>
        <v>0.25</v>
      </c>
      <c r="K3706" s="19">
        <f>IFERROR(__xludf.DUMMYFUNCTION("""COMPUTED_VALUE"""),0.3125)</f>
        <v>0.3125</v>
      </c>
      <c r="L3706" s="19">
        <f>IFERROR(__xludf.DUMMYFUNCTION("""COMPUTED_VALUE"""),0.375)</f>
        <v>0.375</v>
      </c>
      <c r="M3706" s="18">
        <f>IFERROR(__xludf.DUMMYFUNCTION("""COMPUTED_VALUE"""),4.33)</f>
        <v>4.33</v>
      </c>
    </row>
    <row r="3707">
      <c r="A3707" s="13" t="str">
        <f>IFERROR(__xludf.DUMMYFUNCTION("""COMPUTED_VALUE"""),"товари")</f>
        <v>товари</v>
      </c>
      <c r="B3707" s="16" t="str">
        <f>IFERROR(__xludf.DUMMYFUNCTION("""COMPUTED_VALUE"""),"спорт і відпочинок")</f>
        <v>спорт і відпочинок</v>
      </c>
      <c r="C3707" s="16" t="str">
        <f>IFERROR(__xludf.DUMMYFUNCTION("""COMPUTED_VALUE"""),"спортивні товари")</f>
        <v>спортивні товари</v>
      </c>
      <c r="D3707" s="16" t="str">
        <f>IFERROR(__xludf.DUMMYFUNCTION("""COMPUTED_VALUE"""),"спортивні сумки та рюкзаки")</f>
        <v>спортивні сумки та рюкзаки</v>
      </c>
      <c r="E3707" s="16" t="str">
        <f>IFERROR(__xludf.DUMMYFUNCTION("""COMPUTED_VALUE"""),"сумки для ковзанів, черевиків")</f>
        <v>сумки для ковзанів, черевиків</v>
      </c>
      <c r="F3707" s="17">
        <f>IFERROR(__xludf.DUMMYFUNCTION("""COMPUTED_VALUE"""),4.0)</f>
        <v>4</v>
      </c>
      <c r="G3707" s="17" t="str">
        <f>IFERROR(__xludf.DUMMYFUNCTION("""COMPUTED_VALUE"""),"380602")</f>
        <v>380602</v>
      </c>
      <c r="H3707" s="17" t="str">
        <f>IFERROR(__xludf.DUMMYFUNCTION("""COMPUTED_VALUE"""),"сумки для ковзанів, черевиків")</f>
        <v>сумки для ковзанів, черевиків</v>
      </c>
      <c r="I3707" s="19">
        <f>IFERROR(__xludf.DUMMYFUNCTION("""COMPUTED_VALUE"""),0.0655)</f>
        <v>0.0655</v>
      </c>
      <c r="J3707" s="19">
        <f>IFERROR(__xludf.DUMMYFUNCTION("""COMPUTED_VALUE"""),0.131)</f>
        <v>0.131</v>
      </c>
      <c r="K3707" s="19">
        <f>IFERROR(__xludf.DUMMYFUNCTION("""COMPUTED_VALUE"""),0.1638)</f>
        <v>0.1638</v>
      </c>
      <c r="L3707" s="19">
        <f>IFERROR(__xludf.DUMMYFUNCTION("""COMPUTED_VALUE"""),0.1965)</f>
        <v>0.1965</v>
      </c>
      <c r="M3707" s="18">
        <f>IFERROR(__xludf.DUMMYFUNCTION("""COMPUTED_VALUE"""),1.8)</f>
        <v>1.8</v>
      </c>
    </row>
    <row r="3708">
      <c r="A3708" s="13" t="str">
        <f>IFERROR(__xludf.DUMMYFUNCTION("""COMPUTED_VALUE"""),"товари")</f>
        <v>товари</v>
      </c>
      <c r="B3708" s="16" t="str">
        <f>IFERROR(__xludf.DUMMYFUNCTION("""COMPUTED_VALUE"""),"спорт і відпочинок")</f>
        <v>спорт і відпочинок</v>
      </c>
      <c r="C3708" s="16" t="str">
        <f>IFERROR(__xludf.DUMMYFUNCTION("""COMPUTED_VALUE"""),"товари для полювання")</f>
        <v>товари для полювання</v>
      </c>
      <c r="D3708" s="16" t="str">
        <f>IFERROR(__xludf.DUMMYFUNCTION("""COMPUTED_VALUE"""),"сумки для полювання")</f>
        <v>сумки для полювання</v>
      </c>
      <c r="E3708" s="16" t="str">
        <f>IFERROR(__xludf.DUMMYFUNCTION("""COMPUTED_VALUE"""),"сумки для полювання")</f>
        <v>сумки для полювання</v>
      </c>
      <c r="F3708" s="17">
        <f>IFERROR(__xludf.DUMMYFUNCTION("""COMPUTED_VALUE"""),3.0)</f>
        <v>3</v>
      </c>
      <c r="G3708" s="17" t="str">
        <f>IFERROR(__xludf.DUMMYFUNCTION("""COMPUTED_VALUE"""),"180310")</f>
        <v>180310</v>
      </c>
      <c r="H3708" s="17" t="str">
        <f>IFERROR(__xludf.DUMMYFUNCTION("""COMPUTED_VALUE"""),"сумки для полювання")</f>
        <v>сумки для полювання</v>
      </c>
      <c r="I3708" s="19">
        <f>IFERROR(__xludf.DUMMYFUNCTION("""COMPUTED_VALUE"""),0.0592)</f>
        <v>0.0592</v>
      </c>
      <c r="J3708" s="19">
        <f>IFERROR(__xludf.DUMMYFUNCTION("""COMPUTED_VALUE"""),0.1184)</f>
        <v>0.1184</v>
      </c>
      <c r="K3708" s="19">
        <f>IFERROR(__xludf.DUMMYFUNCTION("""COMPUTED_VALUE"""),0.148)</f>
        <v>0.148</v>
      </c>
      <c r="L3708" s="19">
        <f>IFERROR(__xludf.DUMMYFUNCTION("""COMPUTED_VALUE"""),0.1776)</f>
        <v>0.1776</v>
      </c>
      <c r="M3708" s="18">
        <f>IFERROR(__xludf.DUMMYFUNCTION("""COMPUTED_VALUE"""),1.05)</f>
        <v>1.05</v>
      </c>
    </row>
    <row r="3709">
      <c r="A3709" s="13" t="str">
        <f>IFERROR(__xludf.DUMMYFUNCTION("""COMPUTED_VALUE"""),"товари")</f>
        <v>товари</v>
      </c>
      <c r="B3709" s="16" t="str">
        <f>IFERROR(__xludf.DUMMYFUNCTION("""COMPUTED_VALUE"""),"спорт і відпочинок")</f>
        <v>спорт і відпочинок</v>
      </c>
      <c r="C3709" s="16" t="str">
        <f>IFERROR(__xludf.DUMMYFUNCTION("""COMPUTED_VALUE"""),"товари для туризму та подорожей")</f>
        <v>товари для туризму та подорожей</v>
      </c>
      <c r="D3709" s="16" t="str">
        <f>IFERROR(__xludf.DUMMYFUNCTION("""COMPUTED_VALUE"""),"туристичні інструменти")</f>
        <v>туристичні інструменти</v>
      </c>
      <c r="E3709" s="16" t="str">
        <f>IFERROR(__xludf.DUMMYFUNCTION("""COMPUTED_VALUE"""),"сумки-холодильники, термобокси")</f>
        <v>сумки-холодильники, термобокси</v>
      </c>
      <c r="F3709" s="17">
        <f>IFERROR(__xludf.DUMMYFUNCTION("""COMPUTED_VALUE"""),4.0)</f>
        <v>4</v>
      </c>
      <c r="G3709" s="17" t="str">
        <f>IFERROR(__xludf.DUMMYFUNCTION("""COMPUTED_VALUE"""),"152410")</f>
        <v>152410</v>
      </c>
      <c r="H3709" s="17" t="str">
        <f>IFERROR(__xludf.DUMMYFUNCTION("""COMPUTED_VALUE"""),"сумки-холодильники, термобокси")</f>
        <v>сумки-холодильники, термобокси</v>
      </c>
      <c r="I3709" s="19">
        <f>IFERROR(__xludf.DUMMYFUNCTION("""COMPUTED_VALUE"""),0.0794)</f>
        <v>0.0794</v>
      </c>
      <c r="J3709" s="19">
        <f>IFERROR(__xludf.DUMMYFUNCTION("""COMPUTED_VALUE"""),0.1587)</f>
        <v>0.1587</v>
      </c>
      <c r="K3709" s="19">
        <f>IFERROR(__xludf.DUMMYFUNCTION("""COMPUTED_VALUE"""),0.1984)</f>
        <v>0.1984</v>
      </c>
      <c r="L3709" s="19">
        <f>IFERROR(__xludf.DUMMYFUNCTION("""COMPUTED_VALUE"""),0.2381)</f>
        <v>0.2381</v>
      </c>
      <c r="M3709" s="18">
        <f>IFERROR(__xludf.DUMMYFUNCTION("""COMPUTED_VALUE"""),1.8)</f>
        <v>1.8</v>
      </c>
    </row>
    <row r="3710">
      <c r="A3710" s="13" t="str">
        <f>IFERROR(__xludf.DUMMYFUNCTION("""COMPUTED_VALUE"""),"товари")</f>
        <v>товари</v>
      </c>
      <c r="B3710" s="16" t="str">
        <f>IFERROR(__xludf.DUMMYFUNCTION("""COMPUTED_VALUE"""),"спорт і відпочинок")</f>
        <v>спорт і відпочинок</v>
      </c>
      <c r="C3710" s="16" t="str">
        <f>IFERROR(__xludf.DUMMYFUNCTION("""COMPUTED_VALUE"""),"ігри з ракетками")</f>
        <v>ігри з ракетками</v>
      </c>
      <c r="D3710" s="16" t="str">
        <f>IFERROR(__xludf.DUMMYFUNCTION("""COMPUTED_VALUE"""),"настільний теніс")</f>
        <v>настільний теніс</v>
      </c>
      <c r="E3710" s="16" t="str">
        <f>IFERROR(__xludf.DUMMYFUNCTION("""COMPUTED_VALUE"""),"тенісні столи")</f>
        <v>тенісні столи</v>
      </c>
      <c r="F3710" s="17">
        <f>IFERROR(__xludf.DUMMYFUNCTION("""COMPUTED_VALUE"""),4.0)</f>
        <v>4</v>
      </c>
      <c r="G3710" s="17" t="str">
        <f>IFERROR(__xludf.DUMMYFUNCTION("""COMPUTED_VALUE"""),"182412")</f>
        <v>182412</v>
      </c>
      <c r="H3710" s="17" t="str">
        <f>IFERROR(__xludf.DUMMYFUNCTION("""COMPUTED_VALUE"""),"тенісні столи")</f>
        <v>тенісні столи</v>
      </c>
      <c r="I3710" s="19">
        <f>IFERROR(__xludf.DUMMYFUNCTION("""COMPUTED_VALUE"""),0.0764)</f>
        <v>0.0764</v>
      </c>
      <c r="J3710" s="19">
        <f>IFERROR(__xludf.DUMMYFUNCTION("""COMPUTED_VALUE"""),0.1527)</f>
        <v>0.1527</v>
      </c>
      <c r="K3710" s="19">
        <f>IFERROR(__xludf.DUMMYFUNCTION("""COMPUTED_VALUE"""),0.1909)</f>
        <v>0.1909</v>
      </c>
      <c r="L3710" s="19">
        <f>IFERROR(__xludf.DUMMYFUNCTION("""COMPUTED_VALUE"""),0.2291)</f>
        <v>0.2291</v>
      </c>
      <c r="M3710" s="18">
        <f>IFERROR(__xludf.DUMMYFUNCTION("""COMPUTED_VALUE"""),3.98)</f>
        <v>3.98</v>
      </c>
    </row>
    <row r="3711">
      <c r="A3711" s="13" t="str">
        <f>IFERROR(__xludf.DUMMYFUNCTION("""COMPUTED_VALUE"""),"товари")</f>
        <v>товари</v>
      </c>
      <c r="B3711" s="16" t="str">
        <f>IFERROR(__xludf.DUMMYFUNCTION("""COMPUTED_VALUE"""),"спорт і відпочинок")</f>
        <v>спорт і відпочинок</v>
      </c>
      <c r="C3711" s="16" t="str">
        <f>IFERROR(__xludf.DUMMYFUNCTION("""COMPUTED_VALUE"""),"товари для туризму та подорожей")</f>
        <v>товари для туризму та подорожей</v>
      </c>
      <c r="D3711" s="16" t="str">
        <f>IFERROR(__xludf.DUMMYFUNCTION("""COMPUTED_VALUE"""),"тенти ")</f>
        <v>тенти </v>
      </c>
      <c r="E3711" s="16" t="str">
        <f>IFERROR(__xludf.DUMMYFUNCTION("""COMPUTED_VALUE"""),"тенти ")</f>
        <v>тенти </v>
      </c>
      <c r="F3711" s="17">
        <f>IFERROR(__xludf.DUMMYFUNCTION("""COMPUTED_VALUE"""),3.0)</f>
        <v>3</v>
      </c>
      <c r="G3711" s="17" t="str">
        <f>IFERROR(__xludf.DUMMYFUNCTION("""COMPUTED_VALUE"""),"130734")</f>
        <v>130734</v>
      </c>
      <c r="H3711" s="17" t="str">
        <f>IFERROR(__xludf.DUMMYFUNCTION("""COMPUTED_VALUE"""),"тенти ")</f>
        <v>тенти </v>
      </c>
      <c r="I3711" s="19">
        <f>IFERROR(__xludf.DUMMYFUNCTION("""COMPUTED_VALUE"""),0.0736)</f>
        <v>0.0736</v>
      </c>
      <c r="J3711" s="19">
        <f>IFERROR(__xludf.DUMMYFUNCTION("""COMPUTED_VALUE"""),0.1471)</f>
        <v>0.1471</v>
      </c>
      <c r="K3711" s="19">
        <f>IFERROR(__xludf.DUMMYFUNCTION("""COMPUTED_VALUE"""),0.1839)</f>
        <v>0.1839</v>
      </c>
      <c r="L3711" s="19">
        <f>IFERROR(__xludf.DUMMYFUNCTION("""COMPUTED_VALUE"""),0.2207)</f>
        <v>0.2207</v>
      </c>
      <c r="M3711" s="18">
        <f>IFERROR(__xludf.DUMMYFUNCTION("""COMPUTED_VALUE"""),4.14)</f>
        <v>4.14</v>
      </c>
    </row>
    <row r="3712">
      <c r="A3712" s="13" t="str">
        <f>IFERROR(__xludf.DUMMYFUNCTION("""COMPUTED_VALUE"""),"товари")</f>
        <v>товари</v>
      </c>
      <c r="B3712" s="16" t="str">
        <f>IFERROR(__xludf.DUMMYFUNCTION("""COMPUTED_VALUE"""),"спорт і відпочинок")</f>
        <v>спорт і відпочинок</v>
      </c>
      <c r="C3712" s="16" t="str">
        <f>IFERROR(__xludf.DUMMYFUNCTION("""COMPUTED_VALUE"""),"товари для туризму та подорожей")</f>
        <v>товари для туризму та подорожей</v>
      </c>
      <c r="D3712" s="16" t="str">
        <f>IFERROR(__xludf.DUMMYFUNCTION("""COMPUTED_VALUE"""),"туристичний посуд")</f>
        <v>туристичний посуд</v>
      </c>
      <c r="E3712" s="16" t="str">
        <f>IFERROR(__xludf.DUMMYFUNCTION("""COMPUTED_VALUE"""),"термоси та термокружки")</f>
        <v>термоси та термокружки</v>
      </c>
      <c r="F3712" s="17">
        <f>IFERROR(__xludf.DUMMYFUNCTION("""COMPUTED_VALUE"""),4.0)</f>
        <v>4</v>
      </c>
      <c r="G3712" s="17" t="str">
        <f>IFERROR(__xludf.DUMMYFUNCTION("""COMPUTED_VALUE"""),"1531")</f>
        <v>1531</v>
      </c>
      <c r="H3712" s="17" t="str">
        <f>IFERROR(__xludf.DUMMYFUNCTION("""COMPUTED_VALUE"""),"термоси та термокружки")</f>
        <v>термоси та термокружки</v>
      </c>
      <c r="I3712" s="19">
        <f>IFERROR(__xludf.DUMMYFUNCTION("""COMPUTED_VALUE"""),0.075)</f>
        <v>0.075</v>
      </c>
      <c r="J3712" s="19">
        <f>IFERROR(__xludf.DUMMYFUNCTION("""COMPUTED_VALUE"""),0.15)</f>
        <v>0.15</v>
      </c>
      <c r="K3712" s="19">
        <f>IFERROR(__xludf.DUMMYFUNCTION("""COMPUTED_VALUE"""),0.1875)</f>
        <v>0.1875</v>
      </c>
      <c r="L3712" s="19">
        <f>IFERROR(__xludf.DUMMYFUNCTION("""COMPUTED_VALUE"""),0.225)</f>
        <v>0.225</v>
      </c>
      <c r="M3712" s="18">
        <f>IFERROR(__xludf.DUMMYFUNCTION("""COMPUTED_VALUE"""),2.25)</f>
        <v>2.25</v>
      </c>
    </row>
    <row r="3713">
      <c r="A3713" s="13" t="str">
        <f>IFERROR(__xludf.DUMMYFUNCTION("""COMPUTED_VALUE"""),"товари")</f>
        <v>товари</v>
      </c>
      <c r="B3713" s="16" t="str">
        <f>IFERROR(__xludf.DUMMYFUNCTION("""COMPUTED_VALUE"""),"спорт і відпочинок")</f>
        <v>спорт і відпочинок</v>
      </c>
      <c r="C3713" s="16" t="str">
        <f>IFERROR(__xludf.DUMMYFUNCTION("""COMPUTED_VALUE"""),"спортивні товари")</f>
        <v>спортивні товари</v>
      </c>
      <c r="D3713" s="16" t="str">
        <f>IFERROR(__xludf.DUMMYFUNCTION("""COMPUTED_VALUE"""),"бойові мистецтва")</f>
        <v>бойові мистецтва</v>
      </c>
      <c r="E3713" s="16" t="str">
        <f>IFERROR(__xludf.DUMMYFUNCTION("""COMPUTED_VALUE"""),"товари для бойових мистецтв")</f>
        <v>товари для бойових мистецтв</v>
      </c>
      <c r="F3713" s="17">
        <f>IFERROR(__xludf.DUMMYFUNCTION("""COMPUTED_VALUE"""),4.0)</f>
        <v>4</v>
      </c>
      <c r="G3713" s="17" t="str">
        <f>IFERROR(__xludf.DUMMYFUNCTION("""COMPUTED_VALUE"""),"202712")</f>
        <v>202712</v>
      </c>
      <c r="H3713" s="17" t="str">
        <f>IFERROR(__xludf.DUMMYFUNCTION("""COMPUTED_VALUE"""),"товари для бойових мистецтв")</f>
        <v>товари для бойових мистецтв</v>
      </c>
      <c r="I3713" s="19">
        <f>IFERROR(__xludf.DUMMYFUNCTION("""COMPUTED_VALUE"""),0.0776)</f>
        <v>0.0776</v>
      </c>
      <c r="J3713" s="19">
        <f>IFERROR(__xludf.DUMMYFUNCTION("""COMPUTED_VALUE"""),0.1552)</f>
        <v>0.1552</v>
      </c>
      <c r="K3713" s="19">
        <f>IFERROR(__xludf.DUMMYFUNCTION("""COMPUTED_VALUE"""),0.194)</f>
        <v>0.194</v>
      </c>
      <c r="L3713" s="19">
        <f>IFERROR(__xludf.DUMMYFUNCTION("""COMPUTED_VALUE"""),0.2328)</f>
        <v>0.2328</v>
      </c>
      <c r="M3713" s="18">
        <f>IFERROR(__xludf.DUMMYFUNCTION("""COMPUTED_VALUE"""),2.34)</f>
        <v>2.34</v>
      </c>
    </row>
    <row r="3714">
      <c r="A3714" s="13" t="str">
        <f>IFERROR(__xludf.DUMMYFUNCTION("""COMPUTED_VALUE"""),"товари")</f>
        <v>товари</v>
      </c>
      <c r="B3714" s="16" t="str">
        <f>IFERROR(__xludf.DUMMYFUNCTION("""COMPUTED_VALUE"""),"спорт і відпочинок")</f>
        <v>спорт і відпочинок</v>
      </c>
      <c r="C3714" s="16" t="str">
        <f>IFERROR(__xludf.DUMMYFUNCTION("""COMPUTED_VALUE"""),"спортивні товари")</f>
        <v>спортивні товари</v>
      </c>
      <c r="D3714" s="16" t="str">
        <f>IFERROR(__xludf.DUMMYFUNCTION("""COMPUTED_VALUE"""),"бойові мистецтва")</f>
        <v>бойові мистецтва</v>
      </c>
      <c r="E3714" s="16" t="str">
        <f>IFERROR(__xludf.DUMMYFUNCTION("""COMPUTED_VALUE"""),"товари для бойових мистецтв, загальне")</f>
        <v>товари для бойових мистецтв, загальне</v>
      </c>
      <c r="F3714" s="17">
        <f>IFERROR(__xludf.DUMMYFUNCTION("""COMPUTED_VALUE"""),4.0)</f>
        <v>4</v>
      </c>
      <c r="G3714" s="17" t="str">
        <f>IFERROR(__xludf.DUMMYFUNCTION("""COMPUTED_VALUE"""),"202705")</f>
        <v>202705</v>
      </c>
      <c r="H3714" s="17" t="str">
        <f>IFERROR(__xludf.DUMMYFUNCTION("""COMPUTED_VALUE"""),"товари для бойових мистецтв, загальне")</f>
        <v>товари для бойових мистецтв, загальне</v>
      </c>
      <c r="I3714" s="19">
        <f>IFERROR(__xludf.DUMMYFUNCTION("""COMPUTED_VALUE"""),0.125)</f>
        <v>0.125</v>
      </c>
      <c r="J3714" s="19">
        <f>IFERROR(__xludf.DUMMYFUNCTION("""COMPUTED_VALUE"""),0.25)</f>
        <v>0.25</v>
      </c>
      <c r="K3714" s="19">
        <f>IFERROR(__xludf.DUMMYFUNCTION("""COMPUTED_VALUE"""),0.3125)</f>
        <v>0.3125</v>
      </c>
      <c r="L3714" s="19">
        <f>IFERROR(__xludf.DUMMYFUNCTION("""COMPUTED_VALUE"""),0.375)</f>
        <v>0.375</v>
      </c>
      <c r="M3714" s="18">
        <f>IFERROR(__xludf.DUMMYFUNCTION("""COMPUTED_VALUE"""),4.33)</f>
        <v>4.33</v>
      </c>
    </row>
    <row r="3715">
      <c r="A3715" s="13" t="str">
        <f>IFERROR(__xludf.DUMMYFUNCTION("""COMPUTED_VALUE"""),"товари")</f>
        <v>товари</v>
      </c>
      <c r="B3715" s="16" t="str">
        <f>IFERROR(__xludf.DUMMYFUNCTION("""COMPUTED_VALUE"""),"спорт і відпочинок")</f>
        <v>спорт і відпочинок</v>
      </c>
      <c r="C3715" s="16" t="str">
        <f>IFERROR(__xludf.DUMMYFUNCTION("""COMPUTED_VALUE"""),"товари для туризму та подорожей")</f>
        <v>товари для туризму та подорожей</v>
      </c>
      <c r="D3715" s="16" t="str">
        <f>IFERROR(__xludf.DUMMYFUNCTION("""COMPUTED_VALUE"""),"туристичні інструменти")</f>
        <v>туристичні інструменти</v>
      </c>
      <c r="E3715" s="16" t="str">
        <f>IFERROR(__xludf.DUMMYFUNCTION("""COMPUTED_VALUE"""),"товари для виживання")</f>
        <v>товари для виживання</v>
      </c>
      <c r="F3715" s="17">
        <f>IFERROR(__xludf.DUMMYFUNCTION("""COMPUTED_VALUE"""),4.0)</f>
        <v>4</v>
      </c>
      <c r="G3715" s="17" t="str">
        <f>IFERROR(__xludf.DUMMYFUNCTION("""COMPUTED_VALUE"""),"240450")</f>
        <v>240450</v>
      </c>
      <c r="H3715" s="17" t="str">
        <f>IFERROR(__xludf.DUMMYFUNCTION("""COMPUTED_VALUE"""),"товари для виживання")</f>
        <v>товари для виживання</v>
      </c>
      <c r="I3715" s="19">
        <f>IFERROR(__xludf.DUMMYFUNCTION("""COMPUTED_VALUE"""),0.0635)</f>
        <v>0.0635</v>
      </c>
      <c r="J3715" s="19">
        <f>IFERROR(__xludf.DUMMYFUNCTION("""COMPUTED_VALUE"""),0.127)</f>
        <v>0.127</v>
      </c>
      <c r="K3715" s="19">
        <f>IFERROR(__xludf.DUMMYFUNCTION("""COMPUTED_VALUE"""),0.1588)</f>
        <v>0.1588</v>
      </c>
      <c r="L3715" s="19">
        <f>IFERROR(__xludf.DUMMYFUNCTION("""COMPUTED_VALUE"""),0.1905)</f>
        <v>0.1905</v>
      </c>
      <c r="M3715" s="18">
        <f>IFERROR(__xludf.DUMMYFUNCTION("""COMPUTED_VALUE"""),1.8)</f>
        <v>1.8</v>
      </c>
    </row>
    <row r="3716">
      <c r="A3716" s="13" t="str">
        <f>IFERROR(__xludf.DUMMYFUNCTION("""COMPUTED_VALUE"""),"товари")</f>
        <v>товари</v>
      </c>
      <c r="B3716" s="16" t="str">
        <f>IFERROR(__xludf.DUMMYFUNCTION("""COMPUTED_VALUE"""),"спорт і відпочинок")</f>
        <v>спорт і відпочинок</v>
      </c>
      <c r="C3716" s="16" t="str">
        <f>IFERROR(__xludf.DUMMYFUNCTION("""COMPUTED_VALUE"""),"спортивні товари")</f>
        <v>спортивні товари</v>
      </c>
      <c r="D3716" s="16" t="str">
        <f>IFERROR(__xludf.DUMMYFUNCTION("""COMPUTED_VALUE"""),"товари для кінного спорту")</f>
        <v>товари для кінного спорту</v>
      </c>
      <c r="E3716" s="16" t="str">
        <f>IFERROR(__xludf.DUMMYFUNCTION("""COMPUTED_VALUE"""),"товари для кінного спорту")</f>
        <v>товари для кінного спорту</v>
      </c>
      <c r="F3716" s="17">
        <f>IFERROR(__xludf.DUMMYFUNCTION("""COMPUTED_VALUE"""),3.0)</f>
        <v>3</v>
      </c>
      <c r="G3716" s="17" t="str">
        <f>IFERROR(__xludf.DUMMYFUNCTION("""COMPUTED_VALUE"""),"2020")</f>
        <v>2020</v>
      </c>
      <c r="H3716" s="17" t="str">
        <f>IFERROR(__xludf.DUMMYFUNCTION("""COMPUTED_VALUE"""),"товари для кінного спорту")</f>
        <v>товари для кінного спорту</v>
      </c>
      <c r="I3716" s="19">
        <f>IFERROR(__xludf.DUMMYFUNCTION("""COMPUTED_VALUE"""),0.0794)</f>
        <v>0.0794</v>
      </c>
      <c r="J3716" s="19">
        <f>IFERROR(__xludf.DUMMYFUNCTION("""COMPUTED_VALUE"""),0.1588)</f>
        <v>0.1588</v>
      </c>
      <c r="K3716" s="19">
        <f>IFERROR(__xludf.DUMMYFUNCTION("""COMPUTED_VALUE"""),0.1985)</f>
        <v>0.1985</v>
      </c>
      <c r="L3716" s="19">
        <f>IFERROR(__xludf.DUMMYFUNCTION("""COMPUTED_VALUE"""),0.2382)</f>
        <v>0.2382</v>
      </c>
      <c r="M3716" s="18">
        <f>IFERROR(__xludf.DUMMYFUNCTION("""COMPUTED_VALUE"""),1.05)</f>
        <v>1.05</v>
      </c>
    </row>
    <row r="3717">
      <c r="A3717" s="13" t="str">
        <f>IFERROR(__xludf.DUMMYFUNCTION("""COMPUTED_VALUE"""),"товари")</f>
        <v>товари</v>
      </c>
      <c r="B3717" s="16" t="str">
        <f>IFERROR(__xludf.DUMMYFUNCTION("""COMPUTED_VALUE"""),"спорт і відпочинок")</f>
        <v>спорт і відпочинок</v>
      </c>
      <c r="C3717" s="16" t="str">
        <f>IFERROR(__xludf.DUMMYFUNCTION("""COMPUTED_VALUE"""),"товари для підводного полювання")</f>
        <v>товари для підводного полювання</v>
      </c>
      <c r="D3717" s="16" t="str">
        <f>IFERROR(__xludf.DUMMYFUNCTION("""COMPUTED_VALUE"""),"товари для підводного полювання, загальне")</f>
        <v>товари для підводного полювання, загальне</v>
      </c>
      <c r="E3717" s="16" t="str">
        <f>IFERROR(__xludf.DUMMYFUNCTION("""COMPUTED_VALUE"""),"товари для підводного полювання, загальне")</f>
        <v>товари для підводного полювання, загальне</v>
      </c>
      <c r="F3717" s="17">
        <f>IFERROR(__xludf.DUMMYFUNCTION("""COMPUTED_VALUE"""),3.0)</f>
        <v>3</v>
      </c>
      <c r="G3717" s="17" t="str">
        <f>IFERROR(__xludf.DUMMYFUNCTION("""COMPUTED_VALUE"""),"182301")</f>
        <v>182301</v>
      </c>
      <c r="H3717" s="17" t="str">
        <f>IFERROR(__xludf.DUMMYFUNCTION("""COMPUTED_VALUE"""),"товари для підводного полювання, загальне")</f>
        <v>товари для підводного полювання, загальне</v>
      </c>
      <c r="I3717" s="19">
        <f>IFERROR(__xludf.DUMMYFUNCTION("""COMPUTED_VALUE"""),0.125)</f>
        <v>0.125</v>
      </c>
      <c r="J3717" s="19">
        <f>IFERROR(__xludf.DUMMYFUNCTION("""COMPUTED_VALUE"""),0.25)</f>
        <v>0.25</v>
      </c>
      <c r="K3717" s="19">
        <f>IFERROR(__xludf.DUMMYFUNCTION("""COMPUTED_VALUE"""),0.3125)</f>
        <v>0.3125</v>
      </c>
      <c r="L3717" s="19">
        <f>IFERROR(__xludf.DUMMYFUNCTION("""COMPUTED_VALUE"""),0.375)</f>
        <v>0.375</v>
      </c>
      <c r="M3717" s="18">
        <f>IFERROR(__xludf.DUMMYFUNCTION("""COMPUTED_VALUE"""),4.33)</f>
        <v>4.33</v>
      </c>
    </row>
    <row r="3718">
      <c r="A3718" s="13" t="str">
        <f>IFERROR(__xludf.DUMMYFUNCTION("""COMPUTED_VALUE"""),"товари")</f>
        <v>товари</v>
      </c>
      <c r="B3718" s="16" t="str">
        <f>IFERROR(__xludf.DUMMYFUNCTION("""COMPUTED_VALUE"""),"спорт і відпочинок")</f>
        <v>спорт і відпочинок</v>
      </c>
      <c r="C3718" s="16" t="str">
        <f>IFERROR(__xludf.DUMMYFUNCTION("""COMPUTED_VALUE"""),"товари для полювання")</f>
        <v>товари для полювання</v>
      </c>
      <c r="D3718" s="16" t="str">
        <f>IFERROR(__xludf.DUMMYFUNCTION("""COMPUTED_VALUE"""),"товари для полювання, загальне")</f>
        <v>товари для полювання, загальне</v>
      </c>
      <c r="E3718" s="16" t="str">
        <f>IFERROR(__xludf.DUMMYFUNCTION("""COMPUTED_VALUE"""),"товари для полювання, загальне")</f>
        <v>товари для полювання, загальне</v>
      </c>
      <c r="F3718" s="17">
        <f>IFERROR(__xludf.DUMMYFUNCTION("""COMPUTED_VALUE"""),3.0)</f>
        <v>3</v>
      </c>
      <c r="G3718" s="17" t="str">
        <f>IFERROR(__xludf.DUMMYFUNCTION("""COMPUTED_VALUE"""),"180301")</f>
        <v>180301</v>
      </c>
      <c r="H3718" s="17" t="str">
        <f>IFERROR(__xludf.DUMMYFUNCTION("""COMPUTED_VALUE"""),"товари для полювання, загальне")</f>
        <v>товари для полювання, загальне</v>
      </c>
      <c r="I3718" s="19">
        <f>IFERROR(__xludf.DUMMYFUNCTION("""COMPUTED_VALUE"""),0.125)</f>
        <v>0.125</v>
      </c>
      <c r="J3718" s="19">
        <f>IFERROR(__xludf.DUMMYFUNCTION("""COMPUTED_VALUE"""),0.25)</f>
        <v>0.25</v>
      </c>
      <c r="K3718" s="19">
        <f>IFERROR(__xludf.DUMMYFUNCTION("""COMPUTED_VALUE"""),0.3125)</f>
        <v>0.3125</v>
      </c>
      <c r="L3718" s="19">
        <f>IFERROR(__xludf.DUMMYFUNCTION("""COMPUTED_VALUE"""),0.375)</f>
        <v>0.375</v>
      </c>
      <c r="M3718" s="18">
        <f>IFERROR(__xludf.DUMMYFUNCTION("""COMPUTED_VALUE"""),4.33)</f>
        <v>4.33</v>
      </c>
    </row>
    <row r="3719">
      <c r="A3719" s="13" t="str">
        <f>IFERROR(__xludf.DUMMYFUNCTION("""COMPUTED_VALUE"""),"товари")</f>
        <v>товари</v>
      </c>
      <c r="B3719" s="16" t="str">
        <f>IFERROR(__xludf.DUMMYFUNCTION("""COMPUTED_VALUE"""),"спорт і відпочинок")</f>
        <v>спорт і відпочинок</v>
      </c>
      <c r="C3719" s="16" t="str">
        <f>IFERROR(__xludf.DUMMYFUNCTION("""COMPUTED_VALUE"""),"товари для риболовлі")</f>
        <v>товари для риболовлі</v>
      </c>
      <c r="D3719" s="16" t="str">
        <f>IFERROR(__xludf.DUMMYFUNCTION("""COMPUTED_VALUE"""),"товари для риболовлі, загальне")</f>
        <v>товари для риболовлі, загальне</v>
      </c>
      <c r="E3719" s="16" t="str">
        <f>IFERROR(__xludf.DUMMYFUNCTION("""COMPUTED_VALUE"""),"товари для риболовлі, загальне")</f>
        <v>товари для риболовлі, загальне</v>
      </c>
      <c r="F3719" s="17">
        <f>IFERROR(__xludf.DUMMYFUNCTION("""COMPUTED_VALUE"""),3.0)</f>
        <v>3</v>
      </c>
      <c r="G3719" s="17" t="str">
        <f>IFERROR(__xludf.DUMMYFUNCTION("""COMPUTED_VALUE"""),"181008")</f>
        <v>181008</v>
      </c>
      <c r="H3719" s="17" t="str">
        <f>IFERROR(__xludf.DUMMYFUNCTION("""COMPUTED_VALUE"""),"товари для риболовлі, загальне")</f>
        <v>товари для риболовлі, загальне</v>
      </c>
      <c r="I3719" s="19">
        <f>IFERROR(__xludf.DUMMYFUNCTION("""COMPUTED_VALUE"""),0.125)</f>
        <v>0.125</v>
      </c>
      <c r="J3719" s="19">
        <f>IFERROR(__xludf.DUMMYFUNCTION("""COMPUTED_VALUE"""),0.25)</f>
        <v>0.25</v>
      </c>
      <c r="K3719" s="19">
        <f>IFERROR(__xludf.DUMMYFUNCTION("""COMPUTED_VALUE"""),0.3125)</f>
        <v>0.3125</v>
      </c>
      <c r="L3719" s="19">
        <f>IFERROR(__xludf.DUMMYFUNCTION("""COMPUTED_VALUE"""),0.375)</f>
        <v>0.375</v>
      </c>
      <c r="M3719" s="18">
        <f>IFERROR(__xludf.DUMMYFUNCTION("""COMPUTED_VALUE"""),4.33)</f>
        <v>4.33</v>
      </c>
    </row>
    <row r="3720">
      <c r="A3720" s="13" t="str">
        <f>IFERROR(__xludf.DUMMYFUNCTION("""COMPUTED_VALUE"""),"товари")</f>
        <v>товари</v>
      </c>
      <c r="B3720" s="16" t="str">
        <f>IFERROR(__xludf.DUMMYFUNCTION("""COMPUTED_VALUE"""),"спорт і відпочинок")</f>
        <v>спорт і відпочинок</v>
      </c>
      <c r="C3720" s="16" t="str">
        <f>IFERROR(__xludf.DUMMYFUNCTION("""COMPUTED_VALUE"""),"товари для спорту та відпочинку, загальне")</f>
        <v>товари для спорту та відпочинку, загальне</v>
      </c>
      <c r="D3720" s="16" t="str">
        <f>IFERROR(__xludf.DUMMYFUNCTION("""COMPUTED_VALUE"""),"товари для спорту та відпочинку, загальне")</f>
        <v>товари для спорту та відпочинку, загальне</v>
      </c>
      <c r="E3720" s="16" t="str">
        <f>IFERROR(__xludf.DUMMYFUNCTION("""COMPUTED_VALUE"""),"товари для спорту та відпочинку, загальне")</f>
        <v>товари для спорту та відпочинку, загальне</v>
      </c>
      <c r="F3720" s="17">
        <f>IFERROR(__xludf.DUMMYFUNCTION("""COMPUTED_VALUE"""),2.0)</f>
        <v>2</v>
      </c>
      <c r="G3720" s="17" t="str">
        <f>IFERROR(__xludf.DUMMYFUNCTION("""COMPUTED_VALUE"""),"1814")</f>
        <v>1814</v>
      </c>
      <c r="H3720" s="17" t="str">
        <f>IFERROR(__xludf.DUMMYFUNCTION("""COMPUTED_VALUE"""),"товари для спорту та відпочинку, загальне")</f>
        <v>товари для спорту та відпочинку, загальне</v>
      </c>
      <c r="I3720" s="19">
        <f>IFERROR(__xludf.DUMMYFUNCTION("""COMPUTED_VALUE"""),0.125)</f>
        <v>0.125</v>
      </c>
      <c r="J3720" s="19">
        <f>IFERROR(__xludf.DUMMYFUNCTION("""COMPUTED_VALUE"""),0.25)</f>
        <v>0.25</v>
      </c>
      <c r="K3720" s="19">
        <f>IFERROR(__xludf.DUMMYFUNCTION("""COMPUTED_VALUE"""),0.3125)</f>
        <v>0.3125</v>
      </c>
      <c r="L3720" s="19">
        <f>IFERROR(__xludf.DUMMYFUNCTION("""COMPUTED_VALUE"""),0.375)</f>
        <v>0.375</v>
      </c>
      <c r="M3720" s="18">
        <f>IFERROR(__xludf.DUMMYFUNCTION("""COMPUTED_VALUE"""),4.33)</f>
        <v>4.33</v>
      </c>
    </row>
    <row r="3721">
      <c r="A3721" s="13" t="str">
        <f>IFERROR(__xludf.DUMMYFUNCTION("""COMPUTED_VALUE"""),"товари")</f>
        <v>товари</v>
      </c>
      <c r="B3721" s="16" t="str">
        <f>IFERROR(__xludf.DUMMYFUNCTION("""COMPUTED_VALUE"""),"спорт і відпочинок")</f>
        <v>спорт і відпочинок</v>
      </c>
      <c r="C3721" s="16" t="str">
        <f>IFERROR(__xludf.DUMMYFUNCTION("""COMPUTED_VALUE"""),"командні види спорту")</f>
        <v>командні види спорту</v>
      </c>
      <c r="D3721" s="16" t="str">
        <f>IFERROR(__xludf.DUMMYFUNCTION("""COMPUTED_VALUE"""),"футбол")</f>
        <v>футбол</v>
      </c>
      <c r="E3721" s="16" t="str">
        <f>IFERROR(__xludf.DUMMYFUNCTION("""COMPUTED_VALUE"""),"товари для тренерів та суддів")</f>
        <v>товари для тренерів та суддів</v>
      </c>
      <c r="F3721" s="17">
        <f>IFERROR(__xludf.DUMMYFUNCTION("""COMPUTED_VALUE"""),4.0)</f>
        <v>4</v>
      </c>
      <c r="G3721" s="17" t="str">
        <f>IFERROR(__xludf.DUMMYFUNCTION("""COMPUTED_VALUE"""),"2022")</f>
        <v>2022</v>
      </c>
      <c r="H3721" s="17" t="str">
        <f>IFERROR(__xludf.DUMMYFUNCTION("""COMPUTED_VALUE"""),"товари для тренерів та суддів")</f>
        <v>товари для тренерів та суддів</v>
      </c>
      <c r="I3721" s="19">
        <f>IFERROR(__xludf.DUMMYFUNCTION("""COMPUTED_VALUE"""),0.0828)</f>
        <v>0.0828</v>
      </c>
      <c r="J3721" s="19">
        <f>IFERROR(__xludf.DUMMYFUNCTION("""COMPUTED_VALUE"""),0.1655)</f>
        <v>0.1655</v>
      </c>
      <c r="K3721" s="19">
        <f>IFERROR(__xludf.DUMMYFUNCTION("""COMPUTED_VALUE"""),0.2069)</f>
        <v>0.2069</v>
      </c>
      <c r="L3721" s="19">
        <f>IFERROR(__xludf.DUMMYFUNCTION("""COMPUTED_VALUE"""),0.2483)</f>
        <v>0.2483</v>
      </c>
      <c r="M3721" s="18">
        <f>IFERROR(__xludf.DUMMYFUNCTION("""COMPUTED_VALUE"""),3.24)</f>
        <v>3.24</v>
      </c>
    </row>
    <row r="3722">
      <c r="A3722" s="13" t="str">
        <f>IFERROR(__xludf.DUMMYFUNCTION("""COMPUTED_VALUE"""),"товари")</f>
        <v>товари</v>
      </c>
      <c r="B3722" s="16" t="str">
        <f>IFERROR(__xludf.DUMMYFUNCTION("""COMPUTED_VALUE"""),"спорт і відпочинок")</f>
        <v>спорт і відпочинок</v>
      </c>
      <c r="C3722" s="16" t="str">
        <f>IFERROR(__xludf.DUMMYFUNCTION("""COMPUTED_VALUE"""),"товари для туризму та подорожей")</f>
        <v>товари для туризму та подорожей</v>
      </c>
      <c r="D3722" s="16" t="str">
        <f>IFERROR(__xludf.DUMMYFUNCTION("""COMPUTED_VALUE"""),"товари для туризму та подорожей, загальне")</f>
        <v>товари для туризму та подорожей, загальне</v>
      </c>
      <c r="E3722" s="16" t="str">
        <f>IFERROR(__xludf.DUMMYFUNCTION("""COMPUTED_VALUE"""),"товари для туризму та подорожей, загальне")</f>
        <v>товари для туризму та подорожей, загальне</v>
      </c>
      <c r="F3722" s="17">
        <f>IFERROR(__xludf.DUMMYFUNCTION("""COMPUTED_VALUE"""),3.0)</f>
        <v>3</v>
      </c>
      <c r="G3722" s="17" t="str">
        <f>IFERROR(__xludf.DUMMYFUNCTION("""COMPUTED_VALUE"""),"240410")</f>
        <v>240410</v>
      </c>
      <c r="H3722" s="17" t="str">
        <f>IFERROR(__xludf.DUMMYFUNCTION("""COMPUTED_VALUE"""),"товари для туризму та подорожей, загальне")</f>
        <v>товари для туризму та подорожей, загальне</v>
      </c>
      <c r="I3722" s="19">
        <f>IFERROR(__xludf.DUMMYFUNCTION("""COMPUTED_VALUE"""),0.125)</f>
        <v>0.125</v>
      </c>
      <c r="J3722" s="19">
        <f>IFERROR(__xludf.DUMMYFUNCTION("""COMPUTED_VALUE"""),0.25)</f>
        <v>0.25</v>
      </c>
      <c r="K3722" s="19">
        <f>IFERROR(__xludf.DUMMYFUNCTION("""COMPUTED_VALUE"""),0.3125)</f>
        <v>0.3125</v>
      </c>
      <c r="L3722" s="19">
        <f>IFERROR(__xludf.DUMMYFUNCTION("""COMPUTED_VALUE"""),0.375)</f>
        <v>0.375</v>
      </c>
      <c r="M3722" s="18">
        <f>IFERROR(__xludf.DUMMYFUNCTION("""COMPUTED_VALUE"""),4.33)</f>
        <v>4.33</v>
      </c>
    </row>
    <row r="3723">
      <c r="A3723" s="13" t="str">
        <f>IFERROR(__xludf.DUMMYFUNCTION("""COMPUTED_VALUE"""),"товари")</f>
        <v>товари</v>
      </c>
      <c r="B3723" s="16" t="str">
        <f>IFERROR(__xludf.DUMMYFUNCTION("""COMPUTED_VALUE"""),"спорт і відпочинок")</f>
        <v>спорт і відпочинок</v>
      </c>
      <c r="C3723" s="16" t="str">
        <f>IFERROR(__xludf.DUMMYFUNCTION("""COMPUTED_VALUE"""),"командні види спорту")</f>
        <v>командні види спорту</v>
      </c>
      <c r="D3723" s="16" t="str">
        <f>IFERROR(__xludf.DUMMYFUNCTION("""COMPUTED_VALUE"""),"футбол")</f>
        <v>футбол</v>
      </c>
      <c r="E3723" s="16" t="str">
        <f>IFERROR(__xludf.DUMMYFUNCTION("""COMPUTED_VALUE"""),"товари для уболівальників")</f>
        <v>товари для уболівальників</v>
      </c>
      <c r="F3723" s="17">
        <f>IFERROR(__xludf.DUMMYFUNCTION("""COMPUTED_VALUE"""),4.0)</f>
        <v>4</v>
      </c>
      <c r="G3723" s="17" t="str">
        <f>IFERROR(__xludf.DUMMYFUNCTION("""COMPUTED_VALUE"""),"1819")</f>
        <v>1819</v>
      </c>
      <c r="H3723" s="17" t="str">
        <f>IFERROR(__xludf.DUMMYFUNCTION("""COMPUTED_VALUE"""),"товари для уболівальників")</f>
        <v>товари для уболівальників</v>
      </c>
      <c r="I3723" s="19">
        <f>IFERROR(__xludf.DUMMYFUNCTION("""COMPUTED_VALUE"""),0.1167)</f>
        <v>0.1167</v>
      </c>
      <c r="J3723" s="19">
        <f>IFERROR(__xludf.DUMMYFUNCTION("""COMPUTED_VALUE"""),0.2334)</f>
        <v>0.2334</v>
      </c>
      <c r="K3723" s="19">
        <f>IFERROR(__xludf.DUMMYFUNCTION("""COMPUTED_VALUE"""),0.2918)</f>
        <v>0.2918</v>
      </c>
      <c r="L3723" s="19">
        <f>IFERROR(__xludf.DUMMYFUNCTION("""COMPUTED_VALUE"""),0.3501)</f>
        <v>0.3501</v>
      </c>
      <c r="M3723" s="18">
        <f>IFERROR(__xludf.DUMMYFUNCTION("""COMPUTED_VALUE"""),3.24)</f>
        <v>3.24</v>
      </c>
    </row>
    <row r="3724">
      <c r="A3724" s="13" t="str">
        <f>IFERROR(__xludf.DUMMYFUNCTION("""COMPUTED_VALUE"""),"товари")</f>
        <v>товари</v>
      </c>
      <c r="B3724" s="16" t="str">
        <f>IFERROR(__xludf.DUMMYFUNCTION("""COMPUTED_VALUE"""),"спорт і відпочинок")</f>
        <v>спорт і відпочинок</v>
      </c>
      <c r="C3724" s="16" t="str">
        <f>IFERROR(__xludf.DUMMYFUNCTION("""COMPUTED_VALUE"""),"товари для туризму та подорожей")</f>
        <v>товари для туризму та подорожей</v>
      </c>
      <c r="D3724" s="16" t="str">
        <f>IFERROR(__xludf.DUMMYFUNCTION("""COMPUTED_VALUE"""),"туристичні інструменти")</f>
        <v>туристичні інструменти</v>
      </c>
      <c r="E3724" s="16" t="str">
        <f>IFERROR(__xludf.DUMMYFUNCTION("""COMPUTED_VALUE"""),"трекінгові палиці та аксесуари до них")</f>
        <v>трекінгові палиці та аксесуари до них</v>
      </c>
      <c r="F3724" s="17">
        <f>IFERROR(__xludf.DUMMYFUNCTION("""COMPUTED_VALUE"""),4.0)</f>
        <v>4</v>
      </c>
      <c r="G3724" s="17" t="str">
        <f>IFERROR(__xludf.DUMMYFUNCTION("""COMPUTED_VALUE"""),"240433")</f>
        <v>240433</v>
      </c>
      <c r="H3724" s="17" t="str">
        <f>IFERROR(__xludf.DUMMYFUNCTION("""COMPUTED_VALUE"""),"трекінгові палиці та аксесуари до них")</f>
        <v>трекінгові палиці та аксесуари до них</v>
      </c>
      <c r="I3724" s="19">
        <f>IFERROR(__xludf.DUMMYFUNCTION("""COMPUTED_VALUE"""),0.0966)</f>
        <v>0.0966</v>
      </c>
      <c r="J3724" s="19">
        <f>IFERROR(__xludf.DUMMYFUNCTION("""COMPUTED_VALUE"""),0.1932)</f>
        <v>0.1932</v>
      </c>
      <c r="K3724" s="19">
        <f>IFERROR(__xludf.DUMMYFUNCTION("""COMPUTED_VALUE"""),0.2415)</f>
        <v>0.2415</v>
      </c>
      <c r="L3724" s="19">
        <f>IFERROR(__xludf.DUMMYFUNCTION("""COMPUTED_VALUE"""),0.2898)</f>
        <v>0.2898</v>
      </c>
      <c r="M3724" s="18">
        <f>IFERROR(__xludf.DUMMYFUNCTION("""COMPUTED_VALUE"""),1.8)</f>
        <v>1.8</v>
      </c>
    </row>
    <row r="3725">
      <c r="A3725" s="13" t="str">
        <f>IFERROR(__xludf.DUMMYFUNCTION("""COMPUTED_VALUE"""),"товари")</f>
        <v>товари</v>
      </c>
      <c r="B3725" s="16" t="str">
        <f>IFERROR(__xludf.DUMMYFUNCTION("""COMPUTED_VALUE"""),"спорт і відпочинок")</f>
        <v>спорт і відпочинок</v>
      </c>
      <c r="C3725" s="16" t="str">
        <f>IFERROR(__xludf.DUMMYFUNCTION("""COMPUTED_VALUE"""),"тренажери")</f>
        <v>тренажери</v>
      </c>
      <c r="D3725" s="16" t="str">
        <f>IFERROR(__xludf.DUMMYFUNCTION("""COMPUTED_VALUE"""),"тренажери для пресу, гіперекстензії")</f>
        <v>тренажери для пресу, гіперекстензії</v>
      </c>
      <c r="E3725" s="16" t="str">
        <f>IFERROR(__xludf.DUMMYFUNCTION("""COMPUTED_VALUE"""),"тренажери для пресу, гіперекстензії")</f>
        <v>тренажери для пресу, гіперекстензії</v>
      </c>
      <c r="F3725" s="17">
        <f>IFERROR(__xludf.DUMMYFUNCTION("""COMPUTED_VALUE"""),3.0)</f>
        <v>3</v>
      </c>
      <c r="G3725" s="17" t="str">
        <f>IFERROR(__xludf.DUMMYFUNCTION("""COMPUTED_VALUE"""),"200903")</f>
        <v>200903</v>
      </c>
      <c r="H3725" s="17" t="str">
        <f>IFERROR(__xludf.DUMMYFUNCTION("""COMPUTED_VALUE"""),"тренажери для пресу, гіперекстензії")</f>
        <v>тренажери для пресу, гіперекстензії</v>
      </c>
      <c r="I3725" s="19">
        <f>IFERROR(__xludf.DUMMYFUNCTION("""COMPUTED_VALUE"""),0.0805)</f>
        <v>0.0805</v>
      </c>
      <c r="J3725" s="19">
        <f>IFERROR(__xludf.DUMMYFUNCTION("""COMPUTED_VALUE"""),0.1609)</f>
        <v>0.1609</v>
      </c>
      <c r="K3725" s="19">
        <f>IFERROR(__xludf.DUMMYFUNCTION("""COMPUTED_VALUE"""),0.2011)</f>
        <v>0.2011</v>
      </c>
      <c r="L3725" s="19">
        <f>IFERROR(__xludf.DUMMYFUNCTION("""COMPUTED_VALUE"""),0.2414)</f>
        <v>0.2414</v>
      </c>
      <c r="M3725" s="18">
        <f>IFERROR(__xludf.DUMMYFUNCTION("""COMPUTED_VALUE"""),3.33)</f>
        <v>3.33</v>
      </c>
    </row>
    <row r="3726">
      <c r="A3726" s="13" t="str">
        <f>IFERROR(__xludf.DUMMYFUNCTION("""COMPUTED_VALUE"""),"товари")</f>
        <v>товари</v>
      </c>
      <c r="B3726" s="16" t="str">
        <f>IFERROR(__xludf.DUMMYFUNCTION("""COMPUTED_VALUE"""),"спорт і відпочинок")</f>
        <v>спорт і відпочинок</v>
      </c>
      <c r="C3726" s="16" t="str">
        <f>IFERROR(__xludf.DUMMYFUNCTION("""COMPUTED_VALUE"""),"тренажери")</f>
        <v>тренажери</v>
      </c>
      <c r="D3726" s="16" t="str">
        <f>IFERROR(__xludf.DUMMYFUNCTION("""COMPUTED_VALUE"""),"тренажери імітатори")</f>
        <v>тренажери імітатори</v>
      </c>
      <c r="E3726" s="16" t="str">
        <f>IFERROR(__xludf.DUMMYFUNCTION("""COMPUTED_VALUE"""),"тренажери імітатори")</f>
        <v>тренажери імітатори</v>
      </c>
      <c r="F3726" s="17">
        <f>IFERROR(__xludf.DUMMYFUNCTION("""COMPUTED_VALUE"""),3.0)</f>
        <v>3</v>
      </c>
      <c r="G3726" s="17" t="str">
        <f>IFERROR(__xludf.DUMMYFUNCTION("""COMPUTED_VALUE"""),"200924")</f>
        <v>200924</v>
      </c>
      <c r="H3726" s="17" t="str">
        <f>IFERROR(__xludf.DUMMYFUNCTION("""COMPUTED_VALUE"""),"тренажери імітатори")</f>
        <v>тренажери імітатори</v>
      </c>
      <c r="I3726" s="19">
        <f>IFERROR(__xludf.DUMMYFUNCTION("""COMPUTED_VALUE"""),0.068)</f>
        <v>0.068</v>
      </c>
      <c r="J3726" s="19">
        <f>IFERROR(__xludf.DUMMYFUNCTION("""COMPUTED_VALUE"""),0.136)</f>
        <v>0.136</v>
      </c>
      <c r="K3726" s="19">
        <f>IFERROR(__xludf.DUMMYFUNCTION("""COMPUTED_VALUE"""),0.17)</f>
        <v>0.17</v>
      </c>
      <c r="L3726" s="19">
        <f>IFERROR(__xludf.DUMMYFUNCTION("""COMPUTED_VALUE"""),0.204)</f>
        <v>0.204</v>
      </c>
      <c r="M3726" s="18">
        <f>IFERROR(__xludf.DUMMYFUNCTION("""COMPUTED_VALUE"""),1.05)</f>
        <v>1.05</v>
      </c>
    </row>
    <row r="3727">
      <c r="A3727" s="13" t="str">
        <f>IFERROR(__xludf.DUMMYFUNCTION("""COMPUTED_VALUE"""),"товари")</f>
        <v>товари</v>
      </c>
      <c r="B3727" s="16" t="str">
        <f>IFERROR(__xludf.DUMMYFUNCTION("""COMPUTED_VALUE"""),"спорт і відпочинок")</f>
        <v>спорт і відпочинок</v>
      </c>
      <c r="C3727" s="16" t="str">
        <f>IFERROR(__xludf.DUMMYFUNCTION("""COMPUTED_VALUE"""),"тренажери")</f>
        <v>тренажери</v>
      </c>
      <c r="D3727" s="16" t="str">
        <f>IFERROR(__xludf.DUMMYFUNCTION("""COMPUTED_VALUE"""),"тренажери, загальне")</f>
        <v>тренажери, загальне</v>
      </c>
      <c r="E3727" s="16" t="str">
        <f>IFERROR(__xludf.DUMMYFUNCTION("""COMPUTED_VALUE"""),"тренажери, загальне")</f>
        <v>тренажери, загальне</v>
      </c>
      <c r="F3727" s="17">
        <f>IFERROR(__xludf.DUMMYFUNCTION("""COMPUTED_VALUE"""),3.0)</f>
        <v>3</v>
      </c>
      <c r="G3727" s="17" t="str">
        <f>IFERROR(__xludf.DUMMYFUNCTION("""COMPUTED_VALUE"""),"200913")</f>
        <v>200913</v>
      </c>
      <c r="H3727" s="17" t="str">
        <f>IFERROR(__xludf.DUMMYFUNCTION("""COMPUTED_VALUE"""),"тренажери, загальне")</f>
        <v>тренажери, загальне</v>
      </c>
      <c r="I3727" s="19">
        <f>IFERROR(__xludf.DUMMYFUNCTION("""COMPUTED_VALUE"""),0.125)</f>
        <v>0.125</v>
      </c>
      <c r="J3727" s="19">
        <f>IFERROR(__xludf.DUMMYFUNCTION("""COMPUTED_VALUE"""),0.25)</f>
        <v>0.25</v>
      </c>
      <c r="K3727" s="19">
        <f>IFERROR(__xludf.DUMMYFUNCTION("""COMPUTED_VALUE"""),0.3125)</f>
        <v>0.3125</v>
      </c>
      <c r="L3727" s="19">
        <f>IFERROR(__xludf.DUMMYFUNCTION("""COMPUTED_VALUE"""),0.375)</f>
        <v>0.375</v>
      </c>
      <c r="M3727" s="18">
        <f>IFERROR(__xludf.DUMMYFUNCTION("""COMPUTED_VALUE"""),4.33)</f>
        <v>4.33</v>
      </c>
    </row>
    <row r="3728">
      <c r="A3728" s="13" t="str">
        <f>IFERROR(__xludf.DUMMYFUNCTION("""COMPUTED_VALUE"""),"товари")</f>
        <v>товари</v>
      </c>
      <c r="B3728" s="16" t="str">
        <f>IFERROR(__xludf.DUMMYFUNCTION("""COMPUTED_VALUE"""),"спорт і відпочинок")</f>
        <v>спорт і відпочинок</v>
      </c>
      <c r="C3728" s="16" t="str">
        <f>IFERROR(__xludf.DUMMYFUNCTION("""COMPUTED_VALUE"""),"тренажери")</f>
        <v>тренажери</v>
      </c>
      <c r="D3728" s="16" t="str">
        <f>IFERROR(__xludf.DUMMYFUNCTION("""COMPUTED_VALUE"""),"реформери та обладнання для пілатесу")</f>
        <v>реформери та обладнання для пілатесу</v>
      </c>
      <c r="E3728" s="16" t="str">
        <f>IFERROR(__xludf.DUMMYFUNCTION("""COMPUTED_VALUE"""),"реформери та обладнання для пілатесу")</f>
        <v>реформери та обладнання для пілатесу</v>
      </c>
      <c r="F3728" s="17">
        <f>IFERROR(__xludf.DUMMYFUNCTION("""COMPUTED_VALUE"""),3.0)</f>
        <v>3</v>
      </c>
      <c r="G3728" s="17" t="str">
        <f>IFERROR(__xludf.DUMMYFUNCTION("""COMPUTED_VALUE"""),"200925")</f>
        <v>200925</v>
      </c>
      <c r="H3728" s="17" t="str">
        <f>IFERROR(__xludf.DUMMYFUNCTION("""COMPUTED_VALUE"""),"реформери та обладнання для пілатесу")</f>
        <v>реформери та обладнання для пілатесу</v>
      </c>
      <c r="I3728" s="19">
        <f>IFERROR(__xludf.DUMMYFUNCTION("""COMPUTED_VALUE"""),0.0614)</f>
        <v>0.0614</v>
      </c>
      <c r="J3728" s="19">
        <f>IFERROR(__xludf.DUMMYFUNCTION("""COMPUTED_VALUE"""),0.1227)</f>
        <v>0.1227</v>
      </c>
      <c r="K3728" s="19">
        <f>IFERROR(__xludf.DUMMYFUNCTION("""COMPUTED_VALUE"""),0.1534)</f>
        <v>0.1534</v>
      </c>
      <c r="L3728" s="19">
        <f>IFERROR(__xludf.DUMMYFUNCTION("""COMPUTED_VALUE"""),0.1841)</f>
        <v>0.1841</v>
      </c>
      <c r="M3728" s="18">
        <f>IFERROR(__xludf.DUMMYFUNCTION("""COMPUTED_VALUE"""),2.7)</f>
        <v>2.7</v>
      </c>
    </row>
    <row r="3729">
      <c r="A3729" s="13" t="str">
        <f>IFERROR(__xludf.DUMMYFUNCTION("""COMPUTED_VALUE"""),"товари")</f>
        <v>товари</v>
      </c>
      <c r="B3729" s="16" t="str">
        <f>IFERROR(__xludf.DUMMYFUNCTION("""COMPUTED_VALUE"""),"спорт і відпочинок")</f>
        <v>спорт і відпочинок</v>
      </c>
      <c r="C3729" s="16" t="str">
        <f>IFERROR(__xludf.DUMMYFUNCTION("""COMPUTED_VALUE"""),"велосипеди та аксесуари")</f>
        <v>велосипеди та аксесуари</v>
      </c>
      <c r="D3729" s="16" t="str">
        <f>IFERROR(__xludf.DUMMYFUNCTION("""COMPUTED_VALUE"""),"велозапчастини")</f>
        <v>велозапчастини</v>
      </c>
      <c r="E3729" s="16" t="str">
        <f>IFERROR(__xludf.DUMMYFUNCTION("""COMPUTED_VALUE"""),"тросики та сорочки для велосипедів")</f>
        <v>тросики та сорочки для велосипедів</v>
      </c>
      <c r="F3729" s="17">
        <f>IFERROR(__xludf.DUMMYFUNCTION("""COMPUTED_VALUE"""),4.0)</f>
        <v>4</v>
      </c>
      <c r="G3729" s="17" t="str">
        <f>IFERROR(__xludf.DUMMYFUNCTION("""COMPUTED_VALUE"""),"122220")</f>
        <v>122220</v>
      </c>
      <c r="H3729" s="17" t="str">
        <f>IFERROR(__xludf.DUMMYFUNCTION("""COMPUTED_VALUE"""),"тросики та сорочки для велосипедів")</f>
        <v>тросики та сорочки для велосипедів</v>
      </c>
      <c r="I3729" s="19">
        <f>IFERROR(__xludf.DUMMYFUNCTION("""COMPUTED_VALUE"""),0.0776)</f>
        <v>0.0776</v>
      </c>
      <c r="J3729" s="19">
        <f>IFERROR(__xludf.DUMMYFUNCTION("""COMPUTED_VALUE"""),0.1551)</f>
        <v>0.1551</v>
      </c>
      <c r="K3729" s="19">
        <f>IFERROR(__xludf.DUMMYFUNCTION("""COMPUTED_VALUE"""),0.1939)</f>
        <v>0.1939</v>
      </c>
      <c r="L3729" s="19">
        <f>IFERROR(__xludf.DUMMYFUNCTION("""COMPUTED_VALUE"""),0.2327)</f>
        <v>0.2327</v>
      </c>
      <c r="M3729" s="18">
        <f>IFERROR(__xludf.DUMMYFUNCTION("""COMPUTED_VALUE"""),1.71)</f>
        <v>1.71</v>
      </c>
    </row>
    <row r="3730">
      <c r="A3730" s="13" t="str">
        <f>IFERROR(__xludf.DUMMYFUNCTION("""COMPUTED_VALUE"""),"товари")</f>
        <v>товари</v>
      </c>
      <c r="B3730" s="16" t="str">
        <f>IFERROR(__xludf.DUMMYFUNCTION("""COMPUTED_VALUE"""),"спорт і відпочинок")</f>
        <v>спорт і відпочинок</v>
      </c>
      <c r="C3730" s="16" t="str">
        <f>IFERROR(__xludf.DUMMYFUNCTION("""COMPUTED_VALUE"""),"екстремальні види спорту")</f>
        <v>екстремальні види спорту</v>
      </c>
      <c r="D3730" s="16" t="str">
        <f>IFERROR(__xludf.DUMMYFUNCTION("""COMPUTED_VALUE"""),"дайвінг")</f>
        <v>дайвінг</v>
      </c>
      <c r="E3730" s="16" t="str">
        <f>IFERROR(__xludf.DUMMYFUNCTION("""COMPUTED_VALUE"""),"трубки для плавання")</f>
        <v>трубки для плавання</v>
      </c>
      <c r="F3730" s="17">
        <f>IFERROR(__xludf.DUMMYFUNCTION("""COMPUTED_VALUE"""),4.0)</f>
        <v>4</v>
      </c>
      <c r="G3730" s="17" t="str">
        <f>IFERROR(__xludf.DUMMYFUNCTION("""COMPUTED_VALUE"""),"200318")</f>
        <v>200318</v>
      </c>
      <c r="H3730" s="17" t="str">
        <f>IFERROR(__xludf.DUMMYFUNCTION("""COMPUTED_VALUE"""),"трубки для плавання")</f>
        <v>трубки для плавання</v>
      </c>
      <c r="I3730" s="19">
        <f>IFERROR(__xludf.DUMMYFUNCTION("""COMPUTED_VALUE"""),0.077)</f>
        <v>0.077</v>
      </c>
      <c r="J3730" s="19">
        <f>IFERROR(__xludf.DUMMYFUNCTION("""COMPUTED_VALUE"""),0.1539)</f>
        <v>0.1539</v>
      </c>
      <c r="K3730" s="19">
        <f>IFERROR(__xludf.DUMMYFUNCTION("""COMPUTED_VALUE"""),0.1924)</f>
        <v>0.1924</v>
      </c>
      <c r="L3730" s="19">
        <f>IFERROR(__xludf.DUMMYFUNCTION("""COMPUTED_VALUE"""),0.2309)</f>
        <v>0.2309</v>
      </c>
      <c r="M3730" s="18">
        <f>IFERROR(__xludf.DUMMYFUNCTION("""COMPUTED_VALUE"""),2.88)</f>
        <v>2.88</v>
      </c>
    </row>
    <row r="3731">
      <c r="A3731" s="13" t="str">
        <f>IFERROR(__xludf.DUMMYFUNCTION("""COMPUTED_VALUE"""),"товари")</f>
        <v>товари</v>
      </c>
      <c r="B3731" s="16" t="str">
        <f>IFERROR(__xludf.DUMMYFUNCTION("""COMPUTED_VALUE"""),"спорт і відпочинок")</f>
        <v>спорт і відпочинок</v>
      </c>
      <c r="C3731" s="16" t="str">
        <f>IFERROR(__xludf.DUMMYFUNCTION("""COMPUTED_VALUE"""),"одяг та взуття для спортсменів")</f>
        <v>одяг та взуття для спортсменів</v>
      </c>
      <c r="D3731" s="16" t="str">
        <f>IFERROR(__xludf.DUMMYFUNCTION("""COMPUTED_VALUE"""),"взуття для спорту та активного відпочинку")</f>
        <v>взуття для спорту та активного відпочинку</v>
      </c>
      <c r="E3731" s="16" t="str">
        <f>IFERROR(__xludf.DUMMYFUNCTION("""COMPUTED_VALUE"""),"туристичне взуття ")</f>
        <v>туристичне взуття </v>
      </c>
      <c r="F3731" s="17">
        <f>IFERROR(__xludf.DUMMYFUNCTION("""COMPUTED_VALUE"""),4.0)</f>
        <v>4</v>
      </c>
      <c r="G3731" s="17" t="str">
        <f>IFERROR(__xludf.DUMMYFUNCTION("""COMPUTED_VALUE"""),"3220704")</f>
        <v>3220704</v>
      </c>
      <c r="H3731" s="17" t="str">
        <f>IFERROR(__xludf.DUMMYFUNCTION("""COMPUTED_VALUE"""),"туристичне взуття ")</f>
        <v>туристичне взуття </v>
      </c>
      <c r="I3731" s="19">
        <f>IFERROR(__xludf.DUMMYFUNCTION("""COMPUTED_VALUE"""),0.0949)</f>
        <v>0.0949</v>
      </c>
      <c r="J3731" s="19">
        <f>IFERROR(__xludf.DUMMYFUNCTION("""COMPUTED_VALUE"""),0.1898)</f>
        <v>0.1898</v>
      </c>
      <c r="K3731" s="19">
        <f>IFERROR(__xludf.DUMMYFUNCTION("""COMPUTED_VALUE"""),0.2373)</f>
        <v>0.2373</v>
      </c>
      <c r="L3731" s="19">
        <f>IFERROR(__xludf.DUMMYFUNCTION("""COMPUTED_VALUE"""),0.2847)</f>
        <v>0.2847</v>
      </c>
      <c r="M3731" s="18">
        <f>IFERROR(__xludf.DUMMYFUNCTION("""COMPUTED_VALUE"""),1.8)</f>
        <v>1.8</v>
      </c>
    </row>
    <row r="3732">
      <c r="A3732" s="13" t="str">
        <f>IFERROR(__xludf.DUMMYFUNCTION("""COMPUTED_VALUE"""),"товари")</f>
        <v>товари</v>
      </c>
      <c r="B3732" s="16" t="str">
        <f>IFERROR(__xludf.DUMMYFUNCTION("""COMPUTED_VALUE"""),"спорт і відпочинок")</f>
        <v>спорт і відпочинок</v>
      </c>
      <c r="C3732" s="16" t="str">
        <f>IFERROR(__xludf.DUMMYFUNCTION("""COMPUTED_VALUE"""),"товари для туризму та подорожей")</f>
        <v>товари для туризму та подорожей</v>
      </c>
      <c r="D3732" s="16" t="str">
        <f>IFERROR(__xludf.DUMMYFUNCTION("""COMPUTED_VALUE"""),"туристичний посуд")</f>
        <v>туристичний посуд</v>
      </c>
      <c r="E3732" s="16" t="str">
        <f>IFERROR(__xludf.DUMMYFUNCTION("""COMPUTED_VALUE"""),"туристичний посуд, загальне")</f>
        <v>туристичний посуд, загальне</v>
      </c>
      <c r="F3732" s="17">
        <f>IFERROR(__xludf.DUMMYFUNCTION("""COMPUTED_VALUE"""),4.0)</f>
        <v>4</v>
      </c>
      <c r="G3732" s="17" t="str">
        <f>IFERROR(__xludf.DUMMYFUNCTION("""COMPUTED_VALUE"""),"240424")</f>
        <v>240424</v>
      </c>
      <c r="H3732" s="17" t="str">
        <f>IFERROR(__xludf.DUMMYFUNCTION("""COMPUTED_VALUE"""),"туристичний посуд, загальне")</f>
        <v>туристичний посуд, загальне</v>
      </c>
      <c r="I3732" s="19">
        <f>IFERROR(__xludf.DUMMYFUNCTION("""COMPUTED_VALUE"""),0.125)</f>
        <v>0.125</v>
      </c>
      <c r="J3732" s="19">
        <f>IFERROR(__xludf.DUMMYFUNCTION("""COMPUTED_VALUE"""),0.25)</f>
        <v>0.25</v>
      </c>
      <c r="K3732" s="19">
        <f>IFERROR(__xludf.DUMMYFUNCTION("""COMPUTED_VALUE"""),0.3125)</f>
        <v>0.3125</v>
      </c>
      <c r="L3732" s="19">
        <f>IFERROR(__xludf.DUMMYFUNCTION("""COMPUTED_VALUE"""),0.375)</f>
        <v>0.375</v>
      </c>
      <c r="M3732" s="18">
        <f>IFERROR(__xludf.DUMMYFUNCTION("""COMPUTED_VALUE"""),4.33)</f>
        <v>4.33</v>
      </c>
    </row>
    <row r="3733">
      <c r="A3733" s="13" t="str">
        <f>IFERROR(__xludf.DUMMYFUNCTION("""COMPUTED_VALUE"""),"товари")</f>
        <v>товари</v>
      </c>
      <c r="B3733" s="16" t="str">
        <f>IFERROR(__xludf.DUMMYFUNCTION("""COMPUTED_VALUE"""),"спорт і відпочинок")</f>
        <v>спорт і відпочинок</v>
      </c>
      <c r="C3733" s="16" t="str">
        <f>IFERROR(__xludf.DUMMYFUNCTION("""COMPUTED_VALUE"""),"товари для туризму та подорожей")</f>
        <v>товари для туризму та подорожей</v>
      </c>
      <c r="D3733" s="16" t="str">
        <f>IFERROR(__xludf.DUMMYFUNCTION("""COMPUTED_VALUE"""),"туристичні бахіли, гамаші")</f>
        <v>туристичні бахіли, гамаші</v>
      </c>
      <c r="E3733" s="16" t="str">
        <f>IFERROR(__xludf.DUMMYFUNCTION("""COMPUTED_VALUE"""),"туристичні бахіли, гамаші")</f>
        <v>туристичні бахіли, гамаші</v>
      </c>
      <c r="F3733" s="17">
        <f>IFERROR(__xludf.DUMMYFUNCTION("""COMPUTED_VALUE"""),3.0)</f>
        <v>3</v>
      </c>
      <c r="G3733" s="17" t="str">
        <f>IFERROR(__xludf.DUMMYFUNCTION("""COMPUTED_VALUE"""),"240436")</f>
        <v>240436</v>
      </c>
      <c r="H3733" s="17" t="str">
        <f>IFERROR(__xludf.DUMMYFUNCTION("""COMPUTED_VALUE"""),"туристичні бахіли, гамаші")</f>
        <v>туристичні бахіли, гамаші</v>
      </c>
      <c r="I3733" s="19">
        <f>IFERROR(__xludf.DUMMYFUNCTION("""COMPUTED_VALUE"""),0.064)</f>
        <v>0.064</v>
      </c>
      <c r="J3733" s="19">
        <f>IFERROR(__xludf.DUMMYFUNCTION("""COMPUTED_VALUE"""),0.128)</f>
        <v>0.128</v>
      </c>
      <c r="K3733" s="19">
        <f>IFERROR(__xludf.DUMMYFUNCTION("""COMPUTED_VALUE"""),0.16)</f>
        <v>0.16</v>
      </c>
      <c r="L3733" s="19">
        <f>IFERROR(__xludf.DUMMYFUNCTION("""COMPUTED_VALUE"""),0.192)</f>
        <v>0.192</v>
      </c>
      <c r="M3733" s="18">
        <f>IFERROR(__xludf.DUMMYFUNCTION("""COMPUTED_VALUE"""),1.05)</f>
        <v>1.05</v>
      </c>
    </row>
    <row r="3734">
      <c r="A3734" s="13" t="str">
        <f>IFERROR(__xludf.DUMMYFUNCTION("""COMPUTED_VALUE"""),"товари")</f>
        <v>товари</v>
      </c>
      <c r="B3734" s="16" t="str">
        <f>IFERROR(__xludf.DUMMYFUNCTION("""COMPUTED_VALUE"""),"спорт і відпочинок")</f>
        <v>спорт і відпочинок</v>
      </c>
      <c r="C3734" s="16" t="str">
        <f>IFERROR(__xludf.DUMMYFUNCTION("""COMPUTED_VALUE"""),"товари для туризму та подорожей")</f>
        <v>товари для туризму та подорожей</v>
      </c>
      <c r="D3734" s="16" t="str">
        <f>IFERROR(__xludf.DUMMYFUNCTION("""COMPUTED_VALUE"""),"газове обладнання для туризму")</f>
        <v>газове обладнання для туризму</v>
      </c>
      <c r="E3734" s="16" t="str">
        <f>IFERROR(__xludf.DUMMYFUNCTION("""COMPUTED_VALUE"""),"туристичні газові балони ")</f>
        <v>туристичні газові балони </v>
      </c>
      <c r="F3734" s="17">
        <f>IFERROR(__xludf.DUMMYFUNCTION("""COMPUTED_VALUE"""),4.0)</f>
        <v>4</v>
      </c>
      <c r="G3734" s="17" t="str">
        <f>IFERROR(__xludf.DUMMYFUNCTION("""COMPUTED_VALUE"""),"240432")</f>
        <v>240432</v>
      </c>
      <c r="H3734" s="17" t="str">
        <f>IFERROR(__xludf.DUMMYFUNCTION("""COMPUTED_VALUE"""),"туристичні газові балони ")</f>
        <v>туристичні газові балони </v>
      </c>
      <c r="I3734" s="19">
        <f>IFERROR(__xludf.DUMMYFUNCTION("""COMPUTED_VALUE"""),0.0728)</f>
        <v>0.0728</v>
      </c>
      <c r="J3734" s="19">
        <f>IFERROR(__xludf.DUMMYFUNCTION("""COMPUTED_VALUE"""),0.1455)</f>
        <v>0.1455</v>
      </c>
      <c r="K3734" s="19">
        <f>IFERROR(__xludf.DUMMYFUNCTION("""COMPUTED_VALUE"""),0.1819)</f>
        <v>0.1819</v>
      </c>
      <c r="L3734" s="19">
        <f>IFERROR(__xludf.DUMMYFUNCTION("""COMPUTED_VALUE"""),0.2183)</f>
        <v>0.2183</v>
      </c>
      <c r="M3734" s="18">
        <f>IFERROR(__xludf.DUMMYFUNCTION("""COMPUTED_VALUE"""),2.25)</f>
        <v>2.25</v>
      </c>
    </row>
    <row r="3735">
      <c r="A3735" s="13" t="str">
        <f>IFERROR(__xludf.DUMMYFUNCTION("""COMPUTED_VALUE"""),"товари")</f>
        <v>товари</v>
      </c>
      <c r="B3735" s="16" t="str">
        <f>IFERROR(__xludf.DUMMYFUNCTION("""COMPUTED_VALUE"""),"спорт і відпочинок")</f>
        <v>спорт і відпочинок</v>
      </c>
      <c r="C3735" s="16" t="str">
        <f>IFERROR(__xludf.DUMMYFUNCTION("""COMPUTED_VALUE"""),"товари для туризму та подорожей")</f>
        <v>товари для туризму та подорожей</v>
      </c>
      <c r="D3735" s="16" t="str">
        <f>IFERROR(__xludf.DUMMYFUNCTION("""COMPUTED_VALUE"""),"туристичні інструменти")</f>
        <v>туристичні інструменти</v>
      </c>
      <c r="E3735" s="16" t="str">
        <f>IFERROR(__xludf.DUMMYFUNCTION("""COMPUTED_VALUE"""),"туристичні інструменти, загальне")</f>
        <v>туристичні інструменти, загальне</v>
      </c>
      <c r="F3735" s="17">
        <f>IFERROR(__xludf.DUMMYFUNCTION("""COMPUTED_VALUE"""),4.0)</f>
        <v>4</v>
      </c>
      <c r="G3735" s="17" t="str">
        <f>IFERROR(__xludf.DUMMYFUNCTION("""COMPUTED_VALUE"""),"240430")</f>
        <v>240430</v>
      </c>
      <c r="H3735" s="17" t="str">
        <f>IFERROR(__xludf.DUMMYFUNCTION("""COMPUTED_VALUE"""),"туристичні інструменти, загальне")</f>
        <v>туристичні інструменти, загальне</v>
      </c>
      <c r="I3735" s="19">
        <f>IFERROR(__xludf.DUMMYFUNCTION("""COMPUTED_VALUE"""),0.125)</f>
        <v>0.125</v>
      </c>
      <c r="J3735" s="19">
        <f>IFERROR(__xludf.DUMMYFUNCTION("""COMPUTED_VALUE"""),0.25)</f>
        <v>0.25</v>
      </c>
      <c r="K3735" s="19">
        <f>IFERROR(__xludf.DUMMYFUNCTION("""COMPUTED_VALUE"""),0.3125)</f>
        <v>0.3125</v>
      </c>
      <c r="L3735" s="19">
        <f>IFERROR(__xludf.DUMMYFUNCTION("""COMPUTED_VALUE"""),0.375)</f>
        <v>0.375</v>
      </c>
      <c r="M3735" s="18">
        <f>IFERROR(__xludf.DUMMYFUNCTION("""COMPUTED_VALUE"""),4.33)</f>
        <v>4.33</v>
      </c>
    </row>
    <row r="3736">
      <c r="A3736" s="13" t="str">
        <f>IFERROR(__xludf.DUMMYFUNCTION("""COMPUTED_VALUE"""),"товари")</f>
        <v>товари</v>
      </c>
      <c r="B3736" s="16" t="str">
        <f>IFERROR(__xludf.DUMMYFUNCTION("""COMPUTED_VALUE"""),"спорт і відпочинок")</f>
        <v>спорт і відпочинок</v>
      </c>
      <c r="C3736" s="16" t="str">
        <f>IFERROR(__xludf.DUMMYFUNCTION("""COMPUTED_VALUE"""),"товари для туризму та подорожей")</f>
        <v>товари для туризму та подорожей</v>
      </c>
      <c r="D3736" s="16" t="str">
        <f>IFERROR(__xludf.DUMMYFUNCTION("""COMPUTED_VALUE"""),"туристичний посуд")</f>
        <v>туристичний посуд</v>
      </c>
      <c r="E3736" s="16" t="str">
        <f>IFERROR(__xludf.DUMMYFUNCTION("""COMPUTED_VALUE"""),"туристичні каструлі, казанки")</f>
        <v>туристичні каструлі, казанки</v>
      </c>
      <c r="F3736" s="17">
        <f>IFERROR(__xludf.DUMMYFUNCTION("""COMPUTED_VALUE"""),4.0)</f>
        <v>4</v>
      </c>
      <c r="G3736" s="17" t="str">
        <f>IFERROR(__xludf.DUMMYFUNCTION("""COMPUTED_VALUE"""),"240413")</f>
        <v>240413</v>
      </c>
      <c r="H3736" s="17" t="str">
        <f>IFERROR(__xludf.DUMMYFUNCTION("""COMPUTED_VALUE"""),"туристичні каструлі, казанки")</f>
        <v>туристичні каструлі, казанки</v>
      </c>
      <c r="I3736" s="19">
        <f>IFERROR(__xludf.DUMMYFUNCTION("""COMPUTED_VALUE"""),0.0788)</f>
        <v>0.0788</v>
      </c>
      <c r="J3736" s="19">
        <f>IFERROR(__xludf.DUMMYFUNCTION("""COMPUTED_VALUE"""),0.1575)</f>
        <v>0.1575</v>
      </c>
      <c r="K3736" s="19">
        <f>IFERROR(__xludf.DUMMYFUNCTION("""COMPUTED_VALUE"""),0.1969)</f>
        <v>0.1969</v>
      </c>
      <c r="L3736" s="19">
        <f>IFERROR(__xludf.DUMMYFUNCTION("""COMPUTED_VALUE"""),0.2363)</f>
        <v>0.2363</v>
      </c>
      <c r="M3736" s="18">
        <f>IFERROR(__xludf.DUMMYFUNCTION("""COMPUTED_VALUE"""),2.25)</f>
        <v>2.25</v>
      </c>
    </row>
    <row r="3737">
      <c r="A3737" s="13" t="str">
        <f>IFERROR(__xludf.DUMMYFUNCTION("""COMPUTED_VALUE"""),"товари")</f>
        <v>товари</v>
      </c>
      <c r="B3737" s="16" t="str">
        <f>IFERROR(__xludf.DUMMYFUNCTION("""COMPUTED_VALUE"""),"спорт і відпочинок")</f>
        <v>спорт і відпочинок</v>
      </c>
      <c r="C3737" s="16" t="str">
        <f>IFERROR(__xludf.DUMMYFUNCTION("""COMPUTED_VALUE"""),"товари для туризму та подорожей")</f>
        <v>товари для туризму та подорожей</v>
      </c>
      <c r="D3737" s="16" t="str">
        <f>IFERROR(__xludf.DUMMYFUNCTION("""COMPUTED_VALUE"""),"туристичний посуд")</f>
        <v>туристичний посуд</v>
      </c>
      <c r="E3737" s="16" t="str">
        <f>IFERROR(__xludf.DUMMYFUNCTION("""COMPUTED_VALUE"""),"туристичні кухлі")</f>
        <v>туристичні кухлі</v>
      </c>
      <c r="F3737" s="17">
        <f>IFERROR(__xludf.DUMMYFUNCTION("""COMPUTED_VALUE"""),4.0)</f>
        <v>4</v>
      </c>
      <c r="G3737" s="17" t="str">
        <f>IFERROR(__xludf.DUMMYFUNCTION("""COMPUTED_VALUE"""),"240418")</f>
        <v>240418</v>
      </c>
      <c r="H3737" s="17" t="str">
        <f>IFERROR(__xludf.DUMMYFUNCTION("""COMPUTED_VALUE"""),"туристичні кухлі")</f>
        <v>туристичні кухлі</v>
      </c>
      <c r="I3737" s="19">
        <f>IFERROR(__xludf.DUMMYFUNCTION("""COMPUTED_VALUE"""),0.0788)</f>
        <v>0.0788</v>
      </c>
      <c r="J3737" s="19">
        <f>IFERROR(__xludf.DUMMYFUNCTION("""COMPUTED_VALUE"""),0.1575)</f>
        <v>0.1575</v>
      </c>
      <c r="K3737" s="19">
        <f>IFERROR(__xludf.DUMMYFUNCTION("""COMPUTED_VALUE"""),0.1969)</f>
        <v>0.1969</v>
      </c>
      <c r="L3737" s="19">
        <f>IFERROR(__xludf.DUMMYFUNCTION("""COMPUTED_VALUE"""),0.2363)</f>
        <v>0.2363</v>
      </c>
      <c r="M3737" s="18">
        <f>IFERROR(__xludf.DUMMYFUNCTION("""COMPUTED_VALUE"""),2.25)</f>
        <v>2.25</v>
      </c>
    </row>
    <row r="3738">
      <c r="A3738" s="13" t="str">
        <f>IFERROR(__xludf.DUMMYFUNCTION("""COMPUTED_VALUE"""),"товари")</f>
        <v>товари</v>
      </c>
      <c r="B3738" s="16" t="str">
        <f>IFERROR(__xludf.DUMMYFUNCTION("""COMPUTED_VALUE"""),"спорт і відпочинок")</f>
        <v>спорт і відпочинок</v>
      </c>
      <c r="C3738" s="16" t="str">
        <f>IFERROR(__xludf.DUMMYFUNCTION("""COMPUTED_VALUE"""),"товари для туризму та подорожей")</f>
        <v>товари для туризму та подорожей</v>
      </c>
      <c r="D3738" s="16" t="str">
        <f>IFERROR(__xludf.DUMMYFUNCTION("""COMPUTED_VALUE"""),"туристичні інструменти")</f>
        <v>туристичні інструменти</v>
      </c>
      <c r="E3738" s="16" t="str">
        <f>IFERROR(__xludf.DUMMYFUNCTION("""COMPUTED_VALUE"""),"туристичні лопати ")</f>
        <v>туристичні лопати </v>
      </c>
      <c r="F3738" s="17">
        <f>IFERROR(__xludf.DUMMYFUNCTION("""COMPUTED_VALUE"""),4.0)</f>
        <v>4</v>
      </c>
      <c r="G3738" s="17" t="str">
        <f>IFERROR(__xludf.DUMMYFUNCTION("""COMPUTED_VALUE"""),"240429")</f>
        <v>240429</v>
      </c>
      <c r="H3738" s="17" t="str">
        <f>IFERROR(__xludf.DUMMYFUNCTION("""COMPUTED_VALUE"""),"туристичні лопати ")</f>
        <v>туристичні лопати </v>
      </c>
      <c r="I3738" s="19">
        <f>IFERROR(__xludf.DUMMYFUNCTION("""COMPUTED_VALUE"""),0.0809)</f>
        <v>0.0809</v>
      </c>
      <c r="J3738" s="19">
        <f>IFERROR(__xludf.DUMMYFUNCTION("""COMPUTED_VALUE"""),0.1617)</f>
        <v>0.1617</v>
      </c>
      <c r="K3738" s="19">
        <f>IFERROR(__xludf.DUMMYFUNCTION("""COMPUTED_VALUE"""),0.2021)</f>
        <v>0.2021</v>
      </c>
      <c r="L3738" s="19">
        <f>IFERROR(__xludf.DUMMYFUNCTION("""COMPUTED_VALUE"""),0.2426)</f>
        <v>0.2426</v>
      </c>
      <c r="M3738" s="18">
        <f>IFERROR(__xludf.DUMMYFUNCTION("""COMPUTED_VALUE"""),1.8)</f>
        <v>1.8</v>
      </c>
    </row>
    <row r="3739">
      <c r="A3739" s="13" t="str">
        <f>IFERROR(__xludf.DUMMYFUNCTION("""COMPUTED_VALUE"""),"товари")</f>
        <v>товари</v>
      </c>
      <c r="B3739" s="16" t="str">
        <f>IFERROR(__xludf.DUMMYFUNCTION("""COMPUTED_VALUE"""),"спорт і відпочинок")</f>
        <v>спорт і відпочинок</v>
      </c>
      <c r="C3739" s="16" t="str">
        <f>IFERROR(__xludf.DUMMYFUNCTION("""COMPUTED_VALUE"""),"товари для туризму та подорожей")</f>
        <v>товари для туризму та подорожей</v>
      </c>
      <c r="D3739" s="16" t="str">
        <f>IFERROR(__xludf.DUMMYFUNCTION("""COMPUTED_VALUE"""),"туристичний посуд")</f>
        <v>туристичний посуд</v>
      </c>
      <c r="E3739" s="16" t="str">
        <f>IFERROR(__xludf.DUMMYFUNCTION("""COMPUTED_VALUE"""),"туристичні миски і тарілки ")</f>
        <v>туристичні миски і тарілки </v>
      </c>
      <c r="F3739" s="17">
        <f>IFERROR(__xludf.DUMMYFUNCTION("""COMPUTED_VALUE"""),4.0)</f>
        <v>4</v>
      </c>
      <c r="G3739" s="17" t="str">
        <f>IFERROR(__xludf.DUMMYFUNCTION("""COMPUTED_VALUE"""),"240416")</f>
        <v>240416</v>
      </c>
      <c r="H3739" s="17" t="str">
        <f>IFERROR(__xludf.DUMMYFUNCTION("""COMPUTED_VALUE"""),"туристичні миски і тарілки ")</f>
        <v>туристичні миски і тарілки </v>
      </c>
      <c r="I3739" s="19">
        <f>IFERROR(__xludf.DUMMYFUNCTION("""COMPUTED_VALUE"""),0.0788)</f>
        <v>0.0788</v>
      </c>
      <c r="J3739" s="19">
        <f>IFERROR(__xludf.DUMMYFUNCTION("""COMPUTED_VALUE"""),0.1575)</f>
        <v>0.1575</v>
      </c>
      <c r="K3739" s="19">
        <f>IFERROR(__xludf.DUMMYFUNCTION("""COMPUTED_VALUE"""),0.1969)</f>
        <v>0.1969</v>
      </c>
      <c r="L3739" s="19">
        <f>IFERROR(__xludf.DUMMYFUNCTION("""COMPUTED_VALUE"""),0.2363)</f>
        <v>0.2363</v>
      </c>
      <c r="M3739" s="18">
        <f>IFERROR(__xludf.DUMMYFUNCTION("""COMPUTED_VALUE"""),2.25)</f>
        <v>2.25</v>
      </c>
    </row>
    <row r="3740">
      <c r="A3740" s="13" t="str">
        <f>IFERROR(__xludf.DUMMYFUNCTION("""COMPUTED_VALUE"""),"товари")</f>
        <v>товари</v>
      </c>
      <c r="B3740" s="16" t="str">
        <f>IFERROR(__xludf.DUMMYFUNCTION("""COMPUTED_VALUE"""),"спорт і відпочинок")</f>
        <v>спорт і відпочинок</v>
      </c>
      <c r="C3740" s="16" t="str">
        <f>IFERROR(__xludf.DUMMYFUNCTION("""COMPUTED_VALUE"""),"товари для туризму та подорожей")</f>
        <v>товари для туризму та подорожей</v>
      </c>
      <c r="D3740" s="16" t="str">
        <f>IFERROR(__xludf.DUMMYFUNCTION("""COMPUTED_VALUE"""),"туристичні намети")</f>
        <v>туристичні намети</v>
      </c>
      <c r="E3740" s="16" t="str">
        <f>IFERROR(__xludf.DUMMYFUNCTION("""COMPUTED_VALUE"""),"туристичні намети")</f>
        <v>туристичні намети</v>
      </c>
      <c r="F3740" s="17">
        <f>IFERROR(__xludf.DUMMYFUNCTION("""COMPUTED_VALUE"""),3.0)</f>
        <v>3</v>
      </c>
      <c r="G3740" s="17" t="str">
        <f>IFERROR(__xludf.DUMMYFUNCTION("""COMPUTED_VALUE"""),"240409")</f>
        <v>240409</v>
      </c>
      <c r="H3740" s="17" t="str">
        <f>IFERROR(__xludf.DUMMYFUNCTION("""COMPUTED_VALUE"""),"туристичні намети")</f>
        <v>туристичні намети</v>
      </c>
      <c r="I3740" s="19">
        <f>IFERROR(__xludf.DUMMYFUNCTION("""COMPUTED_VALUE"""),0.0746)</f>
        <v>0.0746</v>
      </c>
      <c r="J3740" s="19">
        <f>IFERROR(__xludf.DUMMYFUNCTION("""COMPUTED_VALUE"""),0.1491)</f>
        <v>0.1491</v>
      </c>
      <c r="K3740" s="19">
        <f>IFERROR(__xludf.DUMMYFUNCTION("""COMPUTED_VALUE"""),0.1864)</f>
        <v>0.1864</v>
      </c>
      <c r="L3740" s="19">
        <f>IFERROR(__xludf.DUMMYFUNCTION("""COMPUTED_VALUE"""),0.2237)</f>
        <v>0.2237</v>
      </c>
      <c r="M3740" s="18">
        <f>IFERROR(__xludf.DUMMYFUNCTION("""COMPUTED_VALUE"""),4.14)</f>
        <v>4.14</v>
      </c>
    </row>
    <row r="3741">
      <c r="A3741" s="13" t="str">
        <f>IFERROR(__xludf.DUMMYFUNCTION("""COMPUTED_VALUE"""),"товари")</f>
        <v>товари</v>
      </c>
      <c r="B3741" s="16" t="str">
        <f>IFERROR(__xludf.DUMMYFUNCTION("""COMPUTED_VALUE"""),"спорт і відпочинок")</f>
        <v>спорт і відпочинок</v>
      </c>
      <c r="C3741" s="16" t="str">
        <f>IFERROR(__xludf.DUMMYFUNCTION("""COMPUTED_VALUE"""),"товари для туризму та подорожей")</f>
        <v>товари для туризму та подорожей</v>
      </c>
      <c r="D3741" s="16" t="str">
        <f>IFERROR(__xludf.DUMMYFUNCTION("""COMPUTED_VALUE"""),"туристичні інструменти")</f>
        <v>туристичні інструменти</v>
      </c>
      <c r="E3741" s="16" t="str">
        <f>IFERROR(__xludf.DUMMYFUNCTION("""COMPUTED_VALUE"""),"туристичні обігрівачі ")</f>
        <v>туристичні обігрівачі </v>
      </c>
      <c r="F3741" s="17">
        <f>IFERROR(__xludf.DUMMYFUNCTION("""COMPUTED_VALUE"""),4.0)</f>
        <v>4</v>
      </c>
      <c r="G3741" s="17" t="str">
        <f>IFERROR(__xludf.DUMMYFUNCTION("""COMPUTED_VALUE"""),"240434")</f>
        <v>240434</v>
      </c>
      <c r="H3741" s="17" t="str">
        <f>IFERROR(__xludf.DUMMYFUNCTION("""COMPUTED_VALUE"""),"туристичні обігрівачі ")</f>
        <v>туристичні обігрівачі </v>
      </c>
      <c r="I3741" s="19">
        <f>IFERROR(__xludf.DUMMYFUNCTION("""COMPUTED_VALUE"""),0.0534)</f>
        <v>0.0534</v>
      </c>
      <c r="J3741" s="19">
        <f>IFERROR(__xludf.DUMMYFUNCTION("""COMPUTED_VALUE"""),0.1067)</f>
        <v>0.1067</v>
      </c>
      <c r="K3741" s="19">
        <f>IFERROR(__xludf.DUMMYFUNCTION("""COMPUTED_VALUE"""),0.1334)</f>
        <v>0.1334</v>
      </c>
      <c r="L3741" s="19">
        <f>IFERROR(__xludf.DUMMYFUNCTION("""COMPUTED_VALUE"""),0.1601)</f>
        <v>0.1601</v>
      </c>
      <c r="M3741" s="18">
        <f>IFERROR(__xludf.DUMMYFUNCTION("""COMPUTED_VALUE"""),1.8)</f>
        <v>1.8</v>
      </c>
    </row>
    <row r="3742">
      <c r="A3742" s="13" t="str">
        <f>IFERROR(__xludf.DUMMYFUNCTION("""COMPUTED_VALUE"""),"товари")</f>
        <v>товари</v>
      </c>
      <c r="B3742" s="16" t="str">
        <f>IFERROR(__xludf.DUMMYFUNCTION("""COMPUTED_VALUE"""),"спорт і відпочинок")</f>
        <v>спорт і відпочинок</v>
      </c>
      <c r="C3742" s="16" t="str">
        <f>IFERROR(__xludf.DUMMYFUNCTION("""COMPUTED_VALUE"""),"товари для туризму та подорожей")</f>
        <v>товари для туризму та подорожей</v>
      </c>
      <c r="D3742" s="16" t="str">
        <f>IFERROR(__xludf.DUMMYFUNCTION("""COMPUTED_VALUE"""),"туристичні інструменти")</f>
        <v>туристичні інструменти</v>
      </c>
      <c r="E3742" s="16" t="str">
        <f>IFERROR(__xludf.DUMMYFUNCTION("""COMPUTED_VALUE"""),"туристичні пилки")</f>
        <v>туристичні пилки</v>
      </c>
      <c r="F3742" s="17">
        <f>IFERROR(__xludf.DUMMYFUNCTION("""COMPUTED_VALUE"""),4.0)</f>
        <v>4</v>
      </c>
      <c r="G3742" s="17" t="str">
        <f>IFERROR(__xludf.DUMMYFUNCTION("""COMPUTED_VALUE"""),"240426")</f>
        <v>240426</v>
      </c>
      <c r="H3742" s="17" t="str">
        <f>IFERROR(__xludf.DUMMYFUNCTION("""COMPUTED_VALUE"""),"туристичні пилки")</f>
        <v>туристичні пилки</v>
      </c>
      <c r="I3742" s="19">
        <f>IFERROR(__xludf.DUMMYFUNCTION("""COMPUTED_VALUE"""),0.0948)</f>
        <v>0.0948</v>
      </c>
      <c r="J3742" s="19">
        <f>IFERROR(__xludf.DUMMYFUNCTION("""COMPUTED_VALUE"""),0.1896)</f>
        <v>0.1896</v>
      </c>
      <c r="K3742" s="19">
        <f>IFERROR(__xludf.DUMMYFUNCTION("""COMPUTED_VALUE"""),0.237)</f>
        <v>0.237</v>
      </c>
      <c r="L3742" s="19">
        <f>IFERROR(__xludf.DUMMYFUNCTION("""COMPUTED_VALUE"""),0.2844)</f>
        <v>0.2844</v>
      </c>
      <c r="M3742" s="18">
        <f>IFERROR(__xludf.DUMMYFUNCTION("""COMPUTED_VALUE"""),1.8)</f>
        <v>1.8</v>
      </c>
    </row>
    <row r="3743">
      <c r="A3743" s="13" t="str">
        <f>IFERROR(__xludf.DUMMYFUNCTION("""COMPUTED_VALUE"""),"товари")</f>
        <v>товари</v>
      </c>
      <c r="B3743" s="16" t="str">
        <f>IFERROR(__xludf.DUMMYFUNCTION("""COMPUTED_VALUE"""),"спорт і відпочинок")</f>
        <v>спорт і відпочинок</v>
      </c>
      <c r="C3743" s="16" t="str">
        <f>IFERROR(__xludf.DUMMYFUNCTION("""COMPUTED_VALUE"""),"товари для туризму та подорожей")</f>
        <v>товари для туризму та подорожей</v>
      </c>
      <c r="D3743" s="16" t="str">
        <f>IFERROR(__xludf.DUMMYFUNCTION("""COMPUTED_VALUE"""),"газове обладнання для туризму")</f>
        <v>газове обладнання для туризму</v>
      </c>
      <c r="E3743" s="16" t="str">
        <f>IFERROR(__xludf.DUMMYFUNCTION("""COMPUTED_VALUE"""),"туристичні плити та пальники ")</f>
        <v>туристичні плити та пальники </v>
      </c>
      <c r="F3743" s="17">
        <f>IFERROR(__xludf.DUMMYFUNCTION("""COMPUTED_VALUE"""),4.0)</f>
        <v>4</v>
      </c>
      <c r="G3743" s="17" t="str">
        <f>IFERROR(__xludf.DUMMYFUNCTION("""COMPUTED_VALUE"""),"13240602")</f>
        <v>13240602</v>
      </c>
      <c r="H3743" s="17" t="str">
        <f>IFERROR(__xludf.DUMMYFUNCTION("""COMPUTED_VALUE"""),"туристичні плити та пальники ")</f>
        <v>туристичні плити та пальники </v>
      </c>
      <c r="I3743" s="19">
        <f>IFERROR(__xludf.DUMMYFUNCTION("""COMPUTED_VALUE"""),0.0728)</f>
        <v>0.0728</v>
      </c>
      <c r="J3743" s="19">
        <f>IFERROR(__xludf.DUMMYFUNCTION("""COMPUTED_VALUE"""),0.1455)</f>
        <v>0.1455</v>
      </c>
      <c r="K3743" s="19">
        <f>IFERROR(__xludf.DUMMYFUNCTION("""COMPUTED_VALUE"""),0.1819)</f>
        <v>0.1819</v>
      </c>
      <c r="L3743" s="19">
        <f>IFERROR(__xludf.DUMMYFUNCTION("""COMPUTED_VALUE"""),0.2183)</f>
        <v>0.2183</v>
      </c>
      <c r="M3743" s="18">
        <f>IFERROR(__xludf.DUMMYFUNCTION("""COMPUTED_VALUE"""),2.25)</f>
        <v>2.25</v>
      </c>
    </row>
    <row r="3744">
      <c r="A3744" s="13" t="str">
        <f>IFERROR(__xludf.DUMMYFUNCTION("""COMPUTED_VALUE"""),"товари")</f>
        <v>товари</v>
      </c>
      <c r="B3744" s="16" t="str">
        <f>IFERROR(__xludf.DUMMYFUNCTION("""COMPUTED_VALUE"""),"спорт і відпочинок")</f>
        <v>спорт і відпочинок</v>
      </c>
      <c r="C3744" s="16" t="str">
        <f>IFERROR(__xludf.DUMMYFUNCTION("""COMPUTED_VALUE"""),"товари для туризму та подорожей")</f>
        <v>товари для туризму та подорожей</v>
      </c>
      <c r="D3744" s="16" t="str">
        <f>IFERROR(__xludf.DUMMYFUNCTION("""COMPUTED_VALUE"""),"туристичні інструменти")</f>
        <v>туристичні інструменти</v>
      </c>
      <c r="E3744" s="16" t="str">
        <f>IFERROR(__xludf.DUMMYFUNCTION("""COMPUTED_VALUE"""),"туристичні рушники")</f>
        <v>туристичні рушники</v>
      </c>
      <c r="F3744" s="17">
        <f>IFERROR(__xludf.DUMMYFUNCTION("""COMPUTED_VALUE"""),4.0)</f>
        <v>4</v>
      </c>
      <c r="G3744" s="17" t="str">
        <f>IFERROR(__xludf.DUMMYFUNCTION("""COMPUTED_VALUE"""),"240439")</f>
        <v>240439</v>
      </c>
      <c r="H3744" s="17" t="str">
        <f>IFERROR(__xludf.DUMMYFUNCTION("""COMPUTED_VALUE"""),"туристичні рушники")</f>
        <v>туристичні рушники</v>
      </c>
      <c r="I3744" s="19">
        <f>IFERROR(__xludf.DUMMYFUNCTION("""COMPUTED_VALUE"""),0.0948)</f>
        <v>0.0948</v>
      </c>
      <c r="J3744" s="19">
        <f>IFERROR(__xludf.DUMMYFUNCTION("""COMPUTED_VALUE"""),0.1896)</f>
        <v>0.1896</v>
      </c>
      <c r="K3744" s="19">
        <f>IFERROR(__xludf.DUMMYFUNCTION("""COMPUTED_VALUE"""),0.237)</f>
        <v>0.237</v>
      </c>
      <c r="L3744" s="19">
        <f>IFERROR(__xludf.DUMMYFUNCTION("""COMPUTED_VALUE"""),0.2844)</f>
        <v>0.2844</v>
      </c>
      <c r="M3744" s="18">
        <f>IFERROR(__xludf.DUMMYFUNCTION("""COMPUTED_VALUE"""),1.8)</f>
        <v>1.8</v>
      </c>
    </row>
    <row r="3745">
      <c r="A3745" s="13" t="str">
        <f>IFERROR(__xludf.DUMMYFUNCTION("""COMPUTED_VALUE"""),"товари")</f>
        <v>товари</v>
      </c>
      <c r="B3745" s="16" t="str">
        <f>IFERROR(__xludf.DUMMYFUNCTION("""COMPUTED_VALUE"""),"спорт і відпочинок")</f>
        <v>спорт і відпочинок</v>
      </c>
      <c r="C3745" s="16" t="str">
        <f>IFERROR(__xludf.DUMMYFUNCTION("""COMPUTED_VALUE"""),"товари для туризму та подорожей")</f>
        <v>товари для туризму та подорожей</v>
      </c>
      <c r="D3745" s="16" t="str">
        <f>IFERROR(__xludf.DUMMYFUNCTION("""COMPUTED_VALUE"""),"туристичні рюкзаки ")</f>
        <v>туристичні рюкзаки </v>
      </c>
      <c r="E3745" s="16" t="str">
        <f>IFERROR(__xludf.DUMMYFUNCTION("""COMPUTED_VALUE"""),"туристичні рюкзаки ")</f>
        <v>туристичні рюкзаки </v>
      </c>
      <c r="F3745" s="17">
        <f>IFERROR(__xludf.DUMMYFUNCTION("""COMPUTED_VALUE"""),3.0)</f>
        <v>3</v>
      </c>
      <c r="G3745" s="17" t="str">
        <f>IFERROR(__xludf.DUMMYFUNCTION("""COMPUTED_VALUE"""),"240411")</f>
        <v>240411</v>
      </c>
      <c r="H3745" s="17" t="str">
        <f>IFERROR(__xludf.DUMMYFUNCTION("""COMPUTED_VALUE"""),"туристичні рюкзаки ")</f>
        <v>туристичні рюкзаки </v>
      </c>
      <c r="I3745" s="19">
        <f>IFERROR(__xludf.DUMMYFUNCTION("""COMPUTED_VALUE"""),0.0781)</f>
        <v>0.0781</v>
      </c>
      <c r="J3745" s="19">
        <f>IFERROR(__xludf.DUMMYFUNCTION("""COMPUTED_VALUE"""),0.1562)</f>
        <v>0.1562</v>
      </c>
      <c r="K3745" s="19">
        <f>IFERROR(__xludf.DUMMYFUNCTION("""COMPUTED_VALUE"""),0.1953)</f>
        <v>0.1953</v>
      </c>
      <c r="L3745" s="19">
        <f>IFERROR(__xludf.DUMMYFUNCTION("""COMPUTED_VALUE"""),0.2343)</f>
        <v>0.2343</v>
      </c>
      <c r="M3745" s="18">
        <f>IFERROR(__xludf.DUMMYFUNCTION("""COMPUTED_VALUE"""),1.71)</f>
        <v>1.71</v>
      </c>
    </row>
    <row r="3746">
      <c r="A3746" s="13" t="str">
        <f>IFERROR(__xludf.DUMMYFUNCTION("""COMPUTED_VALUE"""),"товари")</f>
        <v>товари</v>
      </c>
      <c r="B3746" s="16" t="str">
        <f>IFERROR(__xludf.DUMMYFUNCTION("""COMPUTED_VALUE"""),"спорт і відпочинок")</f>
        <v>спорт і відпочинок</v>
      </c>
      <c r="C3746" s="16" t="str">
        <f>IFERROR(__xludf.DUMMYFUNCTION("""COMPUTED_VALUE"""),"товари для туризму та подорожей")</f>
        <v>товари для туризму та подорожей</v>
      </c>
      <c r="D3746" s="16" t="str">
        <f>IFERROR(__xludf.DUMMYFUNCTION("""COMPUTED_VALUE"""),"туристичні складані відра")</f>
        <v>туристичні складані відра</v>
      </c>
      <c r="E3746" s="16" t="str">
        <f>IFERROR(__xludf.DUMMYFUNCTION("""COMPUTED_VALUE"""),"туристичні складані відра")</f>
        <v>туристичні складані відра</v>
      </c>
      <c r="F3746" s="17">
        <f>IFERROR(__xludf.DUMMYFUNCTION("""COMPUTED_VALUE"""),3.0)</f>
        <v>3</v>
      </c>
      <c r="G3746" s="17" t="str">
        <f>IFERROR(__xludf.DUMMYFUNCTION("""COMPUTED_VALUE"""),"240459")</f>
        <v>240459</v>
      </c>
      <c r="H3746" s="17" t="str">
        <f>IFERROR(__xludf.DUMMYFUNCTION("""COMPUTED_VALUE"""),"туристичні складані відра")</f>
        <v>туристичні складані відра</v>
      </c>
      <c r="I3746" s="19">
        <f>IFERROR(__xludf.DUMMYFUNCTION("""COMPUTED_VALUE"""),0.0893)</f>
        <v>0.0893</v>
      </c>
      <c r="J3746" s="19">
        <f>IFERROR(__xludf.DUMMYFUNCTION("""COMPUTED_VALUE"""),0.1786)</f>
        <v>0.1786</v>
      </c>
      <c r="K3746" s="19">
        <f>IFERROR(__xludf.DUMMYFUNCTION("""COMPUTED_VALUE"""),0.2233)</f>
        <v>0.2233</v>
      </c>
      <c r="L3746" s="19">
        <f>IFERROR(__xludf.DUMMYFUNCTION("""COMPUTED_VALUE"""),0.2679)</f>
        <v>0.2679</v>
      </c>
      <c r="M3746" s="18">
        <f>IFERROR(__xludf.DUMMYFUNCTION("""COMPUTED_VALUE"""),1.44)</f>
        <v>1.44</v>
      </c>
    </row>
    <row r="3747">
      <c r="A3747" s="13" t="str">
        <f>IFERROR(__xludf.DUMMYFUNCTION("""COMPUTED_VALUE"""),"товари")</f>
        <v>товари</v>
      </c>
      <c r="B3747" s="16" t="str">
        <f>IFERROR(__xludf.DUMMYFUNCTION("""COMPUTED_VALUE"""),"спорт і відпочинок")</f>
        <v>спорт і відпочинок</v>
      </c>
      <c r="C3747" s="16" t="str">
        <f>IFERROR(__xludf.DUMMYFUNCTION("""COMPUTED_VALUE"""),"товари для туризму та подорожей")</f>
        <v>товари для туризму та подорожей</v>
      </c>
      <c r="D3747" s="16" t="str">
        <f>IFERROR(__xludf.DUMMYFUNCTION("""COMPUTED_VALUE"""),"туристичний посуд")</f>
        <v>туристичний посуд</v>
      </c>
      <c r="E3747" s="16" t="str">
        <f>IFERROR(__xludf.DUMMYFUNCTION("""COMPUTED_VALUE"""),"туристичні сковорідки ")</f>
        <v>туристичні сковорідки </v>
      </c>
      <c r="F3747" s="17">
        <f>IFERROR(__xludf.DUMMYFUNCTION("""COMPUTED_VALUE"""),4.0)</f>
        <v>4</v>
      </c>
      <c r="G3747" s="17" t="str">
        <f>IFERROR(__xludf.DUMMYFUNCTION("""COMPUTED_VALUE"""),"240414")</f>
        <v>240414</v>
      </c>
      <c r="H3747" s="17" t="str">
        <f>IFERROR(__xludf.DUMMYFUNCTION("""COMPUTED_VALUE"""),"туристичні сковорідки ")</f>
        <v>туристичні сковорідки </v>
      </c>
      <c r="I3747" s="19">
        <f>IFERROR(__xludf.DUMMYFUNCTION("""COMPUTED_VALUE"""),0.0788)</f>
        <v>0.0788</v>
      </c>
      <c r="J3747" s="19">
        <f>IFERROR(__xludf.DUMMYFUNCTION("""COMPUTED_VALUE"""),0.1575)</f>
        <v>0.1575</v>
      </c>
      <c r="K3747" s="19">
        <f>IFERROR(__xludf.DUMMYFUNCTION("""COMPUTED_VALUE"""),0.1969)</f>
        <v>0.1969</v>
      </c>
      <c r="L3747" s="19">
        <f>IFERROR(__xludf.DUMMYFUNCTION("""COMPUTED_VALUE"""),0.2363)</f>
        <v>0.2363</v>
      </c>
      <c r="M3747" s="18">
        <f>IFERROR(__xludf.DUMMYFUNCTION("""COMPUTED_VALUE"""),2.25)</f>
        <v>2.25</v>
      </c>
    </row>
    <row r="3748">
      <c r="A3748" s="13" t="str">
        <f>IFERROR(__xludf.DUMMYFUNCTION("""COMPUTED_VALUE"""),"товари")</f>
        <v>товари</v>
      </c>
      <c r="B3748" s="16" t="str">
        <f>IFERROR(__xludf.DUMMYFUNCTION("""COMPUTED_VALUE"""),"спорт і відпочинок")</f>
        <v>спорт і відпочинок</v>
      </c>
      <c r="C3748" s="16" t="str">
        <f>IFERROR(__xludf.DUMMYFUNCTION("""COMPUTED_VALUE"""),"товари для туризму та подорожей")</f>
        <v>товари для туризму та подорожей</v>
      </c>
      <c r="D3748" s="16" t="str">
        <f>IFERROR(__xludf.DUMMYFUNCTION("""COMPUTED_VALUE"""),"туристичний посуд")</f>
        <v>туристичний посуд</v>
      </c>
      <c r="E3748" s="16" t="str">
        <f>IFERROR(__xludf.DUMMYFUNCTION("""COMPUTED_VALUE"""),"туристичні столові прибори")</f>
        <v>туристичні столові прибори</v>
      </c>
      <c r="F3748" s="17">
        <f>IFERROR(__xludf.DUMMYFUNCTION("""COMPUTED_VALUE"""),4.0)</f>
        <v>4</v>
      </c>
      <c r="G3748" s="17" t="str">
        <f>IFERROR(__xludf.DUMMYFUNCTION("""COMPUTED_VALUE"""),"240417")</f>
        <v>240417</v>
      </c>
      <c r="H3748" s="17" t="str">
        <f>IFERROR(__xludf.DUMMYFUNCTION("""COMPUTED_VALUE"""),"туристичні столові прибори")</f>
        <v>туристичні столові прибори</v>
      </c>
      <c r="I3748" s="19">
        <f>IFERROR(__xludf.DUMMYFUNCTION("""COMPUTED_VALUE"""),0.0788)</f>
        <v>0.0788</v>
      </c>
      <c r="J3748" s="19">
        <f>IFERROR(__xludf.DUMMYFUNCTION("""COMPUTED_VALUE"""),0.1575)</f>
        <v>0.1575</v>
      </c>
      <c r="K3748" s="19">
        <f>IFERROR(__xludf.DUMMYFUNCTION("""COMPUTED_VALUE"""),0.1969)</f>
        <v>0.1969</v>
      </c>
      <c r="L3748" s="19">
        <f>IFERROR(__xludf.DUMMYFUNCTION("""COMPUTED_VALUE"""),0.2363)</f>
        <v>0.2363</v>
      </c>
      <c r="M3748" s="18">
        <f>IFERROR(__xludf.DUMMYFUNCTION("""COMPUTED_VALUE"""),2.25)</f>
        <v>2.25</v>
      </c>
    </row>
    <row r="3749">
      <c r="A3749" s="13" t="str">
        <f>IFERROR(__xludf.DUMMYFUNCTION("""COMPUTED_VALUE"""),"товари")</f>
        <v>товари</v>
      </c>
      <c r="B3749" s="16" t="str">
        <f>IFERROR(__xludf.DUMMYFUNCTION("""COMPUTED_VALUE"""),"спорт і відпочинок")</f>
        <v>спорт і відпочинок</v>
      </c>
      <c r="C3749" s="16" t="str">
        <f>IFERROR(__xludf.DUMMYFUNCTION("""COMPUTED_VALUE"""),"товари для туризму та подорожей")</f>
        <v>товари для туризму та подорожей</v>
      </c>
      <c r="D3749" s="16" t="str">
        <f>IFERROR(__xludf.DUMMYFUNCTION("""COMPUTED_VALUE"""),"туристичні інструменти")</f>
        <v>туристичні інструменти</v>
      </c>
      <c r="E3749" s="16" t="str">
        <f>IFERROR(__xludf.DUMMYFUNCTION("""COMPUTED_VALUE"""),"туристичні фільтри та пігулки для питної води")</f>
        <v>туристичні фільтри та пігулки для питної води</v>
      </c>
      <c r="F3749" s="17">
        <f>IFERROR(__xludf.DUMMYFUNCTION("""COMPUTED_VALUE"""),4.0)</f>
        <v>4</v>
      </c>
      <c r="G3749" s="17" t="str">
        <f>IFERROR(__xludf.DUMMYFUNCTION("""COMPUTED_VALUE"""),"240458")</f>
        <v>240458</v>
      </c>
      <c r="H3749" s="17" t="str">
        <f>IFERROR(__xludf.DUMMYFUNCTION("""COMPUTED_VALUE"""),"туристичні фільтри та пігулки для питної води")</f>
        <v>туристичні фільтри та пігулки для питної води</v>
      </c>
      <c r="I3749" s="19">
        <f>IFERROR(__xludf.DUMMYFUNCTION("""COMPUTED_VALUE"""),0.0922)</f>
        <v>0.0922</v>
      </c>
      <c r="J3749" s="19">
        <f>IFERROR(__xludf.DUMMYFUNCTION("""COMPUTED_VALUE"""),0.1844)</f>
        <v>0.1844</v>
      </c>
      <c r="K3749" s="19">
        <f>IFERROR(__xludf.DUMMYFUNCTION("""COMPUTED_VALUE"""),0.2305)</f>
        <v>0.2305</v>
      </c>
      <c r="L3749" s="19">
        <f>IFERROR(__xludf.DUMMYFUNCTION("""COMPUTED_VALUE"""),0.2766)</f>
        <v>0.2766</v>
      </c>
      <c r="M3749" s="18">
        <f>IFERROR(__xludf.DUMMYFUNCTION("""COMPUTED_VALUE"""),1.8)</f>
        <v>1.8</v>
      </c>
    </row>
    <row r="3750">
      <c r="A3750" s="13" t="str">
        <f>IFERROR(__xludf.DUMMYFUNCTION("""COMPUTED_VALUE"""),"товари")</f>
        <v>товари</v>
      </c>
      <c r="B3750" s="16" t="str">
        <f>IFERROR(__xludf.DUMMYFUNCTION("""COMPUTED_VALUE"""),"спорт і відпочинок")</f>
        <v>спорт і відпочинок</v>
      </c>
      <c r="C3750" s="16" t="str">
        <f>IFERROR(__xludf.DUMMYFUNCTION("""COMPUTED_VALUE"""),"товари для туризму та подорожей")</f>
        <v>товари для туризму та подорожей</v>
      </c>
      <c r="D3750" s="16" t="str">
        <f>IFERROR(__xludf.DUMMYFUNCTION("""COMPUTED_VALUE"""),"туристичний посуд")</f>
        <v>туристичний посуд</v>
      </c>
      <c r="E3750" s="16" t="str">
        <f>IFERROR(__xludf.DUMMYFUNCTION("""COMPUTED_VALUE"""),"туристичні фляги ")</f>
        <v>туристичні фляги </v>
      </c>
      <c r="F3750" s="17">
        <f>IFERROR(__xludf.DUMMYFUNCTION("""COMPUTED_VALUE"""),4.0)</f>
        <v>4</v>
      </c>
      <c r="G3750" s="17" t="str">
        <f>IFERROR(__xludf.DUMMYFUNCTION("""COMPUTED_VALUE"""),"240457")</f>
        <v>240457</v>
      </c>
      <c r="H3750" s="17" t="str">
        <f>IFERROR(__xludf.DUMMYFUNCTION("""COMPUTED_VALUE"""),"туристичні фляги ")</f>
        <v>туристичні фляги </v>
      </c>
      <c r="I3750" s="19">
        <f>IFERROR(__xludf.DUMMYFUNCTION("""COMPUTED_VALUE"""),0.0596)</f>
        <v>0.0596</v>
      </c>
      <c r="J3750" s="19">
        <f>IFERROR(__xludf.DUMMYFUNCTION("""COMPUTED_VALUE"""),0.1191)</f>
        <v>0.1191</v>
      </c>
      <c r="K3750" s="19">
        <f>IFERROR(__xludf.DUMMYFUNCTION("""COMPUTED_VALUE"""),0.1489)</f>
        <v>0.1489</v>
      </c>
      <c r="L3750" s="19">
        <f>IFERROR(__xludf.DUMMYFUNCTION("""COMPUTED_VALUE"""),0.1787)</f>
        <v>0.1787</v>
      </c>
      <c r="M3750" s="18">
        <f>IFERROR(__xludf.DUMMYFUNCTION("""COMPUTED_VALUE"""),2.25)</f>
        <v>2.25</v>
      </c>
    </row>
    <row r="3751">
      <c r="A3751" s="13" t="str">
        <f>IFERROR(__xludf.DUMMYFUNCTION("""COMPUTED_VALUE"""),"товари")</f>
        <v>товари</v>
      </c>
      <c r="B3751" s="16" t="str">
        <f>IFERROR(__xludf.DUMMYFUNCTION("""COMPUTED_VALUE"""),"спорт і відпочинок")</f>
        <v>спорт і відпочинок</v>
      </c>
      <c r="C3751" s="16" t="str">
        <f>IFERROR(__xludf.DUMMYFUNCTION("""COMPUTED_VALUE"""),"товари для туризму та подорожей")</f>
        <v>товари для туризму та подорожей</v>
      </c>
      <c r="D3751" s="16" t="str">
        <f>IFERROR(__xludf.DUMMYFUNCTION("""COMPUTED_VALUE"""),"туристичний посуд")</f>
        <v>туристичний посуд</v>
      </c>
      <c r="E3751" s="16" t="str">
        <f>IFERROR(__xludf.DUMMYFUNCTION("""COMPUTED_VALUE"""),"туристичні чайники ")</f>
        <v>туристичні чайники </v>
      </c>
      <c r="F3751" s="17">
        <f>IFERROR(__xludf.DUMMYFUNCTION("""COMPUTED_VALUE"""),4.0)</f>
        <v>4</v>
      </c>
      <c r="G3751" s="17" t="str">
        <f>IFERROR(__xludf.DUMMYFUNCTION("""COMPUTED_VALUE"""),"240415")</f>
        <v>240415</v>
      </c>
      <c r="H3751" s="17" t="str">
        <f>IFERROR(__xludf.DUMMYFUNCTION("""COMPUTED_VALUE"""),"туристичні чайники ")</f>
        <v>туристичні чайники </v>
      </c>
      <c r="I3751" s="19">
        <f>IFERROR(__xludf.DUMMYFUNCTION("""COMPUTED_VALUE"""),0.0788)</f>
        <v>0.0788</v>
      </c>
      <c r="J3751" s="19">
        <f>IFERROR(__xludf.DUMMYFUNCTION("""COMPUTED_VALUE"""),0.1575)</f>
        <v>0.1575</v>
      </c>
      <c r="K3751" s="19">
        <f>IFERROR(__xludf.DUMMYFUNCTION("""COMPUTED_VALUE"""),0.1969)</f>
        <v>0.1969</v>
      </c>
      <c r="L3751" s="19">
        <f>IFERROR(__xludf.DUMMYFUNCTION("""COMPUTED_VALUE"""),0.2363)</f>
        <v>0.2363</v>
      </c>
      <c r="M3751" s="18">
        <f>IFERROR(__xludf.DUMMYFUNCTION("""COMPUTED_VALUE"""),2.25)</f>
        <v>2.25</v>
      </c>
    </row>
    <row r="3752">
      <c r="A3752" s="13" t="str">
        <f>IFERROR(__xludf.DUMMYFUNCTION("""COMPUTED_VALUE"""),"товари")</f>
        <v>товари</v>
      </c>
      <c r="B3752" s="16" t="str">
        <f>IFERROR(__xludf.DUMMYFUNCTION("""COMPUTED_VALUE"""),"спорт і відпочинок")</f>
        <v>спорт і відпочинок</v>
      </c>
      <c r="C3752" s="16" t="str">
        <f>IFERROR(__xludf.DUMMYFUNCTION("""COMPUTED_VALUE"""),"одяг та взуття для спортсменів")</f>
        <v>одяг та взуття для спортсменів</v>
      </c>
      <c r="D3752" s="16" t="str">
        <f>IFERROR(__xludf.DUMMYFUNCTION("""COMPUTED_VALUE"""),"туристичні штани та шорти")</f>
        <v>туристичні штани та шорти</v>
      </c>
      <c r="E3752" s="16" t="str">
        <f>IFERROR(__xludf.DUMMYFUNCTION("""COMPUTED_VALUE"""),"туристичні штани та шорти")</f>
        <v>туристичні штани та шорти</v>
      </c>
      <c r="F3752" s="17">
        <f>IFERROR(__xludf.DUMMYFUNCTION("""COMPUTED_VALUE"""),3.0)</f>
        <v>3</v>
      </c>
      <c r="G3752" s="17" t="str">
        <f>IFERROR(__xludf.DUMMYFUNCTION("""COMPUTED_VALUE"""),"34305")</f>
        <v>34305</v>
      </c>
      <c r="H3752" s="17" t="str">
        <f>IFERROR(__xludf.DUMMYFUNCTION("""COMPUTED_VALUE"""),"туристичні штани та шорти")</f>
        <v>туристичні штани та шорти</v>
      </c>
      <c r="I3752" s="19">
        <f>IFERROR(__xludf.DUMMYFUNCTION("""COMPUTED_VALUE"""),0.0824)</f>
        <v>0.0824</v>
      </c>
      <c r="J3752" s="19">
        <f>IFERROR(__xludf.DUMMYFUNCTION("""COMPUTED_VALUE"""),0.1648)</f>
        <v>0.1648</v>
      </c>
      <c r="K3752" s="19">
        <f>IFERROR(__xludf.DUMMYFUNCTION("""COMPUTED_VALUE"""),0.206)</f>
        <v>0.206</v>
      </c>
      <c r="L3752" s="19">
        <f>IFERROR(__xludf.DUMMYFUNCTION("""COMPUTED_VALUE"""),0.2472)</f>
        <v>0.2472</v>
      </c>
      <c r="M3752" s="18">
        <f>IFERROR(__xludf.DUMMYFUNCTION("""COMPUTED_VALUE"""),1.05)</f>
        <v>1.05</v>
      </c>
    </row>
    <row r="3753">
      <c r="A3753" s="13" t="str">
        <f>IFERROR(__xludf.DUMMYFUNCTION("""COMPUTED_VALUE"""),"товари")</f>
        <v>товари</v>
      </c>
      <c r="B3753" s="16" t="str">
        <f>IFERROR(__xludf.DUMMYFUNCTION("""COMPUTED_VALUE"""),"спорт і відпочинок")</f>
        <v>спорт і відпочинок</v>
      </c>
      <c r="C3753" s="16" t="str">
        <f>IFERROR(__xludf.DUMMYFUNCTION("""COMPUTED_VALUE"""),"спортивні товари")</f>
        <v>спортивні товари</v>
      </c>
      <c r="D3753" s="16" t="str">
        <f>IFERROR(__xludf.DUMMYFUNCTION("""COMPUTED_VALUE"""),"важка атлетика")</f>
        <v>важка атлетика</v>
      </c>
      <c r="E3753" s="16" t="str">
        <f>IFERROR(__xludf.DUMMYFUNCTION("""COMPUTED_VALUE"""),"тяги для тренування шиї")</f>
        <v>тяги для тренування шиї</v>
      </c>
      <c r="F3753" s="17">
        <f>IFERROR(__xludf.DUMMYFUNCTION("""COMPUTED_VALUE"""),4.0)</f>
        <v>4</v>
      </c>
      <c r="G3753" s="17" t="str">
        <f>IFERROR(__xludf.DUMMYFUNCTION("""COMPUTED_VALUE"""),"200333")</f>
        <v>200333</v>
      </c>
      <c r="H3753" s="17" t="str">
        <f>IFERROR(__xludf.DUMMYFUNCTION("""COMPUTED_VALUE"""),"тяги для тренування шиї")</f>
        <v>тяги для тренування шиї</v>
      </c>
      <c r="I3753" s="19">
        <f>IFERROR(__xludf.DUMMYFUNCTION("""COMPUTED_VALUE"""),0.0677)</f>
        <v>0.0677</v>
      </c>
      <c r="J3753" s="19">
        <f>IFERROR(__xludf.DUMMYFUNCTION("""COMPUTED_VALUE"""),0.1353)</f>
        <v>0.1353</v>
      </c>
      <c r="K3753" s="19">
        <f>IFERROR(__xludf.DUMMYFUNCTION("""COMPUTED_VALUE"""),0.1691)</f>
        <v>0.1691</v>
      </c>
      <c r="L3753" s="19">
        <f>IFERROR(__xludf.DUMMYFUNCTION("""COMPUTED_VALUE"""),0.203)</f>
        <v>0.203</v>
      </c>
      <c r="M3753" s="18">
        <f>IFERROR(__xludf.DUMMYFUNCTION("""COMPUTED_VALUE"""),2.61)</f>
        <v>2.61</v>
      </c>
    </row>
    <row r="3754">
      <c r="A3754" s="13" t="str">
        <f>IFERROR(__xludf.DUMMYFUNCTION("""COMPUTED_VALUE"""),"товари")</f>
        <v>товари</v>
      </c>
      <c r="B3754" s="16" t="str">
        <f>IFERROR(__xludf.DUMMYFUNCTION("""COMPUTED_VALUE"""),"спорт і відпочинок")</f>
        <v>спорт і відпочинок</v>
      </c>
      <c r="C3754" s="16" t="str">
        <f>IFERROR(__xludf.DUMMYFUNCTION("""COMPUTED_VALUE"""),"спортивні товари")</f>
        <v>спортивні товари</v>
      </c>
      <c r="D3754" s="16" t="str">
        <f>IFERROR(__xludf.DUMMYFUNCTION("""COMPUTED_VALUE"""),"фітнес")</f>
        <v>фітнес</v>
      </c>
      <c r="E3754" s="16" t="str">
        <f>IFERROR(__xludf.DUMMYFUNCTION("""COMPUTED_VALUE"""),"упори для віджимань")</f>
        <v>упори для віджимань</v>
      </c>
      <c r="F3754" s="17">
        <f>IFERROR(__xludf.DUMMYFUNCTION("""COMPUTED_VALUE"""),4.0)</f>
        <v>4</v>
      </c>
      <c r="G3754" s="17" t="str">
        <f>IFERROR(__xludf.DUMMYFUNCTION("""COMPUTED_VALUE"""),"200337")</f>
        <v>200337</v>
      </c>
      <c r="H3754" s="17" t="str">
        <f>IFERROR(__xludf.DUMMYFUNCTION("""COMPUTED_VALUE"""),"упори для віджимань")</f>
        <v>упори для віджимань</v>
      </c>
      <c r="I3754" s="19">
        <f>IFERROR(__xludf.DUMMYFUNCTION("""COMPUTED_VALUE"""),0.0803)</f>
        <v>0.0803</v>
      </c>
      <c r="J3754" s="19">
        <f>IFERROR(__xludf.DUMMYFUNCTION("""COMPUTED_VALUE"""),0.1605)</f>
        <v>0.1605</v>
      </c>
      <c r="K3754" s="19">
        <f>IFERROR(__xludf.DUMMYFUNCTION("""COMPUTED_VALUE"""),0.2006)</f>
        <v>0.2006</v>
      </c>
      <c r="L3754" s="19">
        <f>IFERROR(__xludf.DUMMYFUNCTION("""COMPUTED_VALUE"""),0.2408)</f>
        <v>0.2408</v>
      </c>
      <c r="M3754" s="18">
        <f>IFERROR(__xludf.DUMMYFUNCTION("""COMPUTED_VALUE"""),3.06)</f>
        <v>3.06</v>
      </c>
    </row>
    <row r="3755">
      <c r="A3755" s="13" t="str">
        <f>IFERROR(__xludf.DUMMYFUNCTION("""COMPUTED_VALUE"""),"товари")</f>
        <v>товари</v>
      </c>
      <c r="B3755" s="16" t="str">
        <f>IFERROR(__xludf.DUMMYFUNCTION("""COMPUTED_VALUE"""),"спорт і відпочинок")</f>
        <v>спорт і відпочинок</v>
      </c>
      <c r="C3755" s="16" t="str">
        <f>IFERROR(__xludf.DUMMYFUNCTION("""COMPUTED_VALUE"""),"зимові види спорту")</f>
        <v>зимові види спорту</v>
      </c>
      <c r="D3755" s="16" t="str">
        <f>IFERROR(__xludf.DUMMYFUNCTION("""COMPUTED_VALUE"""),"фігурне катання")</f>
        <v>фігурне катання</v>
      </c>
      <c r="E3755" s="16" t="str">
        <f>IFERROR(__xludf.DUMMYFUNCTION("""COMPUTED_VALUE"""),"фігурне катання, загальне")</f>
        <v>фігурне катання, загальне</v>
      </c>
      <c r="F3755" s="17">
        <f>IFERROR(__xludf.DUMMYFUNCTION("""COMPUTED_VALUE"""),4.0)</f>
        <v>4</v>
      </c>
      <c r="G3755" s="17" t="str">
        <f>IFERROR(__xludf.DUMMYFUNCTION("""COMPUTED_VALUE"""),"202422")</f>
        <v>202422</v>
      </c>
      <c r="H3755" s="17" t="str">
        <f>IFERROR(__xludf.DUMMYFUNCTION("""COMPUTED_VALUE"""),"фігурне катання, загальне")</f>
        <v>фігурне катання, загальне</v>
      </c>
      <c r="I3755" s="19">
        <f>IFERROR(__xludf.DUMMYFUNCTION("""COMPUTED_VALUE"""),0.125)</f>
        <v>0.125</v>
      </c>
      <c r="J3755" s="19">
        <f>IFERROR(__xludf.DUMMYFUNCTION("""COMPUTED_VALUE"""),0.25)</f>
        <v>0.25</v>
      </c>
      <c r="K3755" s="19">
        <f>IFERROR(__xludf.DUMMYFUNCTION("""COMPUTED_VALUE"""),0.3125)</f>
        <v>0.3125</v>
      </c>
      <c r="L3755" s="19">
        <f>IFERROR(__xludf.DUMMYFUNCTION("""COMPUTED_VALUE"""),0.375)</f>
        <v>0.375</v>
      </c>
      <c r="M3755" s="18">
        <f>IFERROR(__xludf.DUMMYFUNCTION("""COMPUTED_VALUE"""),4.33)</f>
        <v>4.33</v>
      </c>
    </row>
    <row r="3756">
      <c r="A3756" s="13" t="str">
        <f>IFERROR(__xludf.DUMMYFUNCTION("""COMPUTED_VALUE"""),"товари")</f>
        <v>товари</v>
      </c>
      <c r="B3756" s="16" t="str">
        <f>IFERROR(__xludf.DUMMYFUNCTION("""COMPUTED_VALUE"""),"спорт і відпочинок")</f>
        <v>спорт і відпочинок</v>
      </c>
      <c r="C3756" s="16" t="str">
        <f>IFERROR(__xludf.DUMMYFUNCTION("""COMPUTED_VALUE"""),"спортивні товари")</f>
        <v>спортивні товари</v>
      </c>
      <c r="D3756" s="16" t="str">
        <f>IFERROR(__xludf.DUMMYFUNCTION("""COMPUTED_VALUE"""),"фітнес")</f>
        <v>фітнес</v>
      </c>
      <c r="E3756" s="16" t="str">
        <f>IFERROR(__xludf.DUMMYFUNCTION("""COMPUTED_VALUE"""),"фітболи")</f>
        <v>фітболи</v>
      </c>
      <c r="F3756" s="17">
        <f>IFERROR(__xludf.DUMMYFUNCTION("""COMPUTED_VALUE"""),4.0)</f>
        <v>4</v>
      </c>
      <c r="G3756" s="17" t="str">
        <f>IFERROR(__xludf.DUMMYFUNCTION("""COMPUTED_VALUE"""),"200331")</f>
        <v>200331</v>
      </c>
      <c r="H3756" s="17" t="str">
        <f>IFERROR(__xludf.DUMMYFUNCTION("""COMPUTED_VALUE"""),"фітболи")</f>
        <v>фітболи</v>
      </c>
      <c r="I3756" s="19">
        <f>IFERROR(__xludf.DUMMYFUNCTION("""COMPUTED_VALUE"""),0.08)</f>
        <v>0.08</v>
      </c>
      <c r="J3756" s="19">
        <f>IFERROR(__xludf.DUMMYFUNCTION("""COMPUTED_VALUE"""),0.1599)</f>
        <v>0.1599</v>
      </c>
      <c r="K3756" s="19">
        <f>IFERROR(__xludf.DUMMYFUNCTION("""COMPUTED_VALUE"""),0.1999)</f>
        <v>0.1999</v>
      </c>
      <c r="L3756" s="19">
        <f>IFERROR(__xludf.DUMMYFUNCTION("""COMPUTED_VALUE"""),0.2399)</f>
        <v>0.2399</v>
      </c>
      <c r="M3756" s="18">
        <f>IFERROR(__xludf.DUMMYFUNCTION("""COMPUTED_VALUE"""),3.06)</f>
        <v>3.06</v>
      </c>
    </row>
    <row r="3757">
      <c r="A3757" s="13" t="str">
        <f>IFERROR(__xludf.DUMMYFUNCTION("""COMPUTED_VALUE"""),"товари")</f>
        <v>товари</v>
      </c>
      <c r="B3757" s="16" t="str">
        <f>IFERROR(__xludf.DUMMYFUNCTION("""COMPUTED_VALUE"""),"спорт і відпочинок")</f>
        <v>спорт і відпочинок</v>
      </c>
      <c r="C3757" s="16" t="str">
        <f>IFERROR(__xludf.DUMMYFUNCTION("""COMPUTED_VALUE"""),"спортивні товари")</f>
        <v>спортивні товари</v>
      </c>
      <c r="D3757" s="16" t="str">
        <f>IFERROR(__xludf.DUMMYFUNCTION("""COMPUTED_VALUE"""),"фітнес")</f>
        <v>фітнес</v>
      </c>
      <c r="E3757" s="16" t="str">
        <f>IFERROR(__xludf.DUMMYFUNCTION("""COMPUTED_VALUE"""),"фітнес, загальне")</f>
        <v>фітнес, загальне</v>
      </c>
      <c r="F3757" s="17">
        <f>IFERROR(__xludf.DUMMYFUNCTION("""COMPUTED_VALUE"""),4.0)</f>
        <v>4</v>
      </c>
      <c r="G3757" s="17" t="str">
        <f>IFERROR(__xludf.DUMMYFUNCTION("""COMPUTED_VALUE"""),"203601")</f>
        <v>203601</v>
      </c>
      <c r="H3757" s="17" t="str">
        <f>IFERROR(__xludf.DUMMYFUNCTION("""COMPUTED_VALUE"""),"фітнес, загальне")</f>
        <v>фітнес, загальне</v>
      </c>
      <c r="I3757" s="19">
        <f>IFERROR(__xludf.DUMMYFUNCTION("""COMPUTED_VALUE"""),0.125)</f>
        <v>0.125</v>
      </c>
      <c r="J3757" s="19">
        <f>IFERROR(__xludf.DUMMYFUNCTION("""COMPUTED_VALUE"""),0.25)</f>
        <v>0.25</v>
      </c>
      <c r="K3757" s="19">
        <f>IFERROR(__xludf.DUMMYFUNCTION("""COMPUTED_VALUE"""),0.3125)</f>
        <v>0.3125</v>
      </c>
      <c r="L3757" s="19">
        <f>IFERROR(__xludf.DUMMYFUNCTION("""COMPUTED_VALUE"""),0.375)</f>
        <v>0.375</v>
      </c>
      <c r="M3757" s="18">
        <f>IFERROR(__xludf.DUMMYFUNCTION("""COMPUTED_VALUE"""),4.33)</f>
        <v>4.33</v>
      </c>
    </row>
    <row r="3758">
      <c r="A3758" s="13" t="str">
        <f>IFERROR(__xludf.DUMMYFUNCTION("""COMPUTED_VALUE"""),"товари")</f>
        <v>товари</v>
      </c>
      <c r="B3758" s="16" t="str">
        <f>IFERROR(__xludf.DUMMYFUNCTION("""COMPUTED_VALUE"""),"спорт і відпочинок")</f>
        <v>спорт і відпочинок</v>
      </c>
      <c r="C3758" s="16" t="str">
        <f>IFERROR(__xludf.DUMMYFUNCTION("""COMPUTED_VALUE"""),"товари для полювання")</f>
        <v>товари для полювання</v>
      </c>
      <c r="D3758" s="16" t="str">
        <f>IFERROR(__xludf.DUMMYFUNCTION("""COMPUTED_VALUE"""),"фотопастки, камери для полювання")</f>
        <v>фотопастки, камери для полювання</v>
      </c>
      <c r="E3758" s="16" t="str">
        <f>IFERROR(__xludf.DUMMYFUNCTION("""COMPUTED_VALUE"""),"фотопастки, камери для полювання")</f>
        <v>фотопастки, камери для полювання</v>
      </c>
      <c r="F3758" s="17">
        <f>IFERROR(__xludf.DUMMYFUNCTION("""COMPUTED_VALUE"""),3.0)</f>
        <v>3</v>
      </c>
      <c r="G3758" s="17" t="str">
        <f>IFERROR(__xludf.DUMMYFUNCTION("""COMPUTED_VALUE"""),"180312")</f>
        <v>180312</v>
      </c>
      <c r="H3758" s="17" t="str">
        <f>IFERROR(__xludf.DUMMYFUNCTION("""COMPUTED_VALUE"""),"фотопастки, камери для полювання")</f>
        <v>фотопастки, камери для полювання</v>
      </c>
      <c r="I3758" s="19">
        <f>IFERROR(__xludf.DUMMYFUNCTION("""COMPUTED_VALUE"""),0.0543)</f>
        <v>0.0543</v>
      </c>
      <c r="J3758" s="19">
        <f>IFERROR(__xludf.DUMMYFUNCTION("""COMPUTED_VALUE"""),0.1086)</f>
        <v>0.1086</v>
      </c>
      <c r="K3758" s="19">
        <f>IFERROR(__xludf.DUMMYFUNCTION("""COMPUTED_VALUE"""),0.1358)</f>
        <v>0.1358</v>
      </c>
      <c r="L3758" s="19">
        <f>IFERROR(__xludf.DUMMYFUNCTION("""COMPUTED_VALUE"""),0.1629)</f>
        <v>0.1629</v>
      </c>
      <c r="M3758" s="18">
        <f>IFERROR(__xludf.DUMMYFUNCTION("""COMPUTED_VALUE"""),5.03)</f>
        <v>5.03</v>
      </c>
    </row>
    <row r="3759">
      <c r="A3759" s="13" t="str">
        <f>IFERROR(__xludf.DUMMYFUNCTION("""COMPUTED_VALUE"""),"товари")</f>
        <v>товари</v>
      </c>
      <c r="B3759" s="16" t="str">
        <f>IFERROR(__xludf.DUMMYFUNCTION("""COMPUTED_VALUE"""),"спорт і відпочинок")</f>
        <v>спорт і відпочинок</v>
      </c>
      <c r="C3759" s="16" t="str">
        <f>IFERROR(__xludf.DUMMYFUNCTION("""COMPUTED_VALUE"""),"спортивні товари")</f>
        <v>спортивні товари</v>
      </c>
      <c r="D3759" s="16" t="str">
        <f>IFERROR(__xludf.DUMMYFUNCTION("""COMPUTED_VALUE"""),"спортивний інвентар")</f>
        <v>спортивний інвентар</v>
      </c>
      <c r="E3759" s="16" t="str">
        <f>IFERROR(__xludf.DUMMYFUNCTION("""COMPUTED_VALUE"""),"фрісбі, літаючі диски та бумеранги")</f>
        <v>фрісбі, літаючі диски та бумеранги</v>
      </c>
      <c r="F3759" s="17">
        <f>IFERROR(__xludf.DUMMYFUNCTION("""COMPUTED_VALUE"""),4.0)</f>
        <v>4</v>
      </c>
      <c r="G3759" s="17" t="str">
        <f>IFERROR(__xludf.DUMMYFUNCTION("""COMPUTED_VALUE"""),"200338")</f>
        <v>200338</v>
      </c>
      <c r="H3759" s="17" t="str">
        <f>IFERROR(__xludf.DUMMYFUNCTION("""COMPUTED_VALUE"""),"фрісбі, літаючі диски та бумеранги")</f>
        <v>фрісбі, літаючі диски та бумеранги</v>
      </c>
      <c r="I3759" s="19">
        <f>IFERROR(__xludf.DUMMYFUNCTION("""COMPUTED_VALUE"""),0.0938)</f>
        <v>0.0938</v>
      </c>
      <c r="J3759" s="19">
        <f>IFERROR(__xludf.DUMMYFUNCTION("""COMPUTED_VALUE"""),0.1875)</f>
        <v>0.1875</v>
      </c>
      <c r="K3759" s="19">
        <f>IFERROR(__xludf.DUMMYFUNCTION("""COMPUTED_VALUE"""),0.2344)</f>
        <v>0.2344</v>
      </c>
      <c r="L3759" s="19">
        <f>IFERROR(__xludf.DUMMYFUNCTION("""COMPUTED_VALUE"""),0.2813)</f>
        <v>0.2813</v>
      </c>
      <c r="M3759" s="18">
        <f>IFERROR(__xludf.DUMMYFUNCTION("""COMPUTED_VALUE"""),2.53)</f>
        <v>2.53</v>
      </c>
    </row>
    <row r="3760">
      <c r="A3760" s="13" t="str">
        <f>IFERROR(__xludf.DUMMYFUNCTION("""COMPUTED_VALUE"""),"товари")</f>
        <v>товари</v>
      </c>
      <c r="B3760" s="16" t="str">
        <f>IFERROR(__xludf.DUMMYFUNCTION("""COMPUTED_VALUE"""),"спорт і відпочинок")</f>
        <v>спорт і відпочинок</v>
      </c>
      <c r="C3760" s="16" t="str">
        <f>IFERROR(__xludf.DUMMYFUNCTION("""COMPUTED_VALUE"""),"командні види спорту")</f>
        <v>командні види спорту</v>
      </c>
      <c r="D3760" s="16" t="str">
        <f>IFERROR(__xludf.DUMMYFUNCTION("""COMPUTED_VALUE"""),"футбол")</f>
        <v>футбол</v>
      </c>
      <c r="E3760" s="16" t="str">
        <f>IFERROR(__xludf.DUMMYFUNCTION("""COMPUTED_VALUE"""),"футбол, загальне")</f>
        <v>футбол, загальне</v>
      </c>
      <c r="F3760" s="17">
        <f>IFERROR(__xludf.DUMMYFUNCTION("""COMPUTED_VALUE"""),4.0)</f>
        <v>4</v>
      </c>
      <c r="G3760" s="17" t="str">
        <f>IFERROR(__xludf.DUMMYFUNCTION("""COMPUTED_VALUE"""),"203701")</f>
        <v>203701</v>
      </c>
      <c r="H3760" s="17" t="str">
        <f>IFERROR(__xludf.DUMMYFUNCTION("""COMPUTED_VALUE"""),"футбол, загальне")</f>
        <v>футбол, загальне</v>
      </c>
      <c r="I3760" s="19">
        <f>IFERROR(__xludf.DUMMYFUNCTION("""COMPUTED_VALUE"""),0.125)</f>
        <v>0.125</v>
      </c>
      <c r="J3760" s="19">
        <f>IFERROR(__xludf.DUMMYFUNCTION("""COMPUTED_VALUE"""),0.25)</f>
        <v>0.25</v>
      </c>
      <c r="K3760" s="19">
        <f>IFERROR(__xludf.DUMMYFUNCTION("""COMPUTED_VALUE"""),0.3125)</f>
        <v>0.3125</v>
      </c>
      <c r="L3760" s="19">
        <f>IFERROR(__xludf.DUMMYFUNCTION("""COMPUTED_VALUE"""),0.375)</f>
        <v>0.375</v>
      </c>
      <c r="M3760" s="18">
        <f>IFERROR(__xludf.DUMMYFUNCTION("""COMPUTED_VALUE"""),4.33)</f>
        <v>4.33</v>
      </c>
    </row>
    <row r="3761">
      <c r="A3761" s="13" t="str">
        <f>IFERROR(__xludf.DUMMYFUNCTION("""COMPUTED_VALUE"""),"товари")</f>
        <v>товари</v>
      </c>
      <c r="B3761" s="16" t="str">
        <f>IFERROR(__xludf.DUMMYFUNCTION("""COMPUTED_VALUE"""),"спорт і відпочинок")</f>
        <v>спорт і відпочинок</v>
      </c>
      <c r="C3761" s="16" t="str">
        <f>IFERROR(__xludf.DUMMYFUNCTION("""COMPUTED_VALUE"""),"командні види спорту")</f>
        <v>командні види спорту</v>
      </c>
      <c r="D3761" s="16" t="str">
        <f>IFERROR(__xludf.DUMMYFUNCTION("""COMPUTED_VALUE"""),"футбол")</f>
        <v>футбол</v>
      </c>
      <c r="E3761" s="16" t="str">
        <f>IFERROR(__xludf.DUMMYFUNCTION("""COMPUTED_VALUE"""),"футбольні гетри")</f>
        <v>футбольні гетри</v>
      </c>
      <c r="F3761" s="17">
        <f>IFERROR(__xludf.DUMMYFUNCTION("""COMPUTED_VALUE"""),4.0)</f>
        <v>4</v>
      </c>
      <c r="G3761" s="17" t="str">
        <f>IFERROR(__xludf.DUMMYFUNCTION("""COMPUTED_VALUE"""),"203303")</f>
        <v>203303</v>
      </c>
      <c r="H3761" s="17" t="str">
        <f>IFERROR(__xludf.DUMMYFUNCTION("""COMPUTED_VALUE"""),"футбольні гетри")</f>
        <v>футбольні гетри</v>
      </c>
      <c r="I3761" s="19">
        <f>IFERROR(__xludf.DUMMYFUNCTION("""COMPUTED_VALUE"""),0.1)</f>
        <v>0.1</v>
      </c>
      <c r="J3761" s="19">
        <f>IFERROR(__xludf.DUMMYFUNCTION("""COMPUTED_VALUE"""),0.2)</f>
        <v>0.2</v>
      </c>
      <c r="K3761" s="19">
        <f>IFERROR(__xludf.DUMMYFUNCTION("""COMPUTED_VALUE"""),0.25)</f>
        <v>0.25</v>
      </c>
      <c r="L3761" s="19">
        <f>IFERROR(__xludf.DUMMYFUNCTION("""COMPUTED_VALUE"""),0.3)</f>
        <v>0.3</v>
      </c>
      <c r="M3761" s="18">
        <f>IFERROR(__xludf.DUMMYFUNCTION("""COMPUTED_VALUE"""),3.24)</f>
        <v>3.24</v>
      </c>
    </row>
    <row r="3762">
      <c r="A3762" s="13" t="str">
        <f>IFERROR(__xludf.DUMMYFUNCTION("""COMPUTED_VALUE"""),"товари")</f>
        <v>товари</v>
      </c>
      <c r="B3762" s="16" t="str">
        <f>IFERROR(__xludf.DUMMYFUNCTION("""COMPUTED_VALUE"""),"спорт і відпочинок")</f>
        <v>спорт і відпочинок</v>
      </c>
      <c r="C3762" s="16" t="str">
        <f>IFERROR(__xludf.DUMMYFUNCTION("""COMPUTED_VALUE"""),"командні види спорту")</f>
        <v>командні види спорту</v>
      </c>
      <c r="D3762" s="16" t="str">
        <f>IFERROR(__xludf.DUMMYFUNCTION("""COMPUTED_VALUE"""),"футбол")</f>
        <v>футбол</v>
      </c>
      <c r="E3762" s="16" t="str">
        <f>IFERROR(__xludf.DUMMYFUNCTION("""COMPUTED_VALUE"""),"футбольні рукавички")</f>
        <v>футбольні рукавички</v>
      </c>
      <c r="F3762" s="17">
        <f>IFERROR(__xludf.DUMMYFUNCTION("""COMPUTED_VALUE"""),4.0)</f>
        <v>4</v>
      </c>
      <c r="G3762" s="17" t="str">
        <f>IFERROR(__xludf.DUMMYFUNCTION("""COMPUTED_VALUE"""),"203108")</f>
        <v>203108</v>
      </c>
      <c r="H3762" s="17" t="str">
        <f>IFERROR(__xludf.DUMMYFUNCTION("""COMPUTED_VALUE"""),"футбольні рукавички")</f>
        <v>футбольні рукавички</v>
      </c>
      <c r="I3762" s="19">
        <f>IFERROR(__xludf.DUMMYFUNCTION("""COMPUTED_VALUE"""),0.0802)</f>
        <v>0.0802</v>
      </c>
      <c r="J3762" s="19">
        <f>IFERROR(__xludf.DUMMYFUNCTION("""COMPUTED_VALUE"""),0.1603)</f>
        <v>0.1603</v>
      </c>
      <c r="K3762" s="19">
        <f>IFERROR(__xludf.DUMMYFUNCTION("""COMPUTED_VALUE"""),0.2004)</f>
        <v>0.2004</v>
      </c>
      <c r="L3762" s="19">
        <f>IFERROR(__xludf.DUMMYFUNCTION("""COMPUTED_VALUE"""),0.2405)</f>
        <v>0.2405</v>
      </c>
      <c r="M3762" s="18">
        <f>IFERROR(__xludf.DUMMYFUNCTION("""COMPUTED_VALUE"""),3.24)</f>
        <v>3.24</v>
      </c>
    </row>
    <row r="3763">
      <c r="A3763" s="13" t="str">
        <f>IFERROR(__xludf.DUMMYFUNCTION("""COMPUTED_VALUE"""),"товари")</f>
        <v>товари</v>
      </c>
      <c r="B3763" s="16" t="str">
        <f>IFERROR(__xludf.DUMMYFUNCTION("""COMPUTED_VALUE"""),"спорт і відпочинок")</f>
        <v>спорт і відпочинок</v>
      </c>
      <c r="C3763" s="16" t="str">
        <f>IFERROR(__xludf.DUMMYFUNCTION("""COMPUTED_VALUE"""),"командні види спорту")</f>
        <v>командні види спорту</v>
      </c>
      <c r="D3763" s="16" t="str">
        <f>IFERROR(__xludf.DUMMYFUNCTION("""COMPUTED_VALUE"""),"футбол")</f>
        <v>футбол</v>
      </c>
      <c r="E3763" s="16" t="str">
        <f>IFERROR(__xludf.DUMMYFUNCTION("""COMPUTED_VALUE"""),"футбольні щитки")</f>
        <v>футбольні щитки</v>
      </c>
      <c r="F3763" s="17">
        <f>IFERROR(__xludf.DUMMYFUNCTION("""COMPUTED_VALUE"""),4.0)</f>
        <v>4</v>
      </c>
      <c r="G3763" s="17" t="str">
        <f>IFERROR(__xludf.DUMMYFUNCTION("""COMPUTED_VALUE"""),"203302")</f>
        <v>203302</v>
      </c>
      <c r="H3763" s="17" t="str">
        <f>IFERROR(__xludf.DUMMYFUNCTION("""COMPUTED_VALUE"""),"футбольні щитки")</f>
        <v>футбольні щитки</v>
      </c>
      <c r="I3763" s="19">
        <f>IFERROR(__xludf.DUMMYFUNCTION("""COMPUTED_VALUE"""),0.0828)</f>
        <v>0.0828</v>
      </c>
      <c r="J3763" s="19">
        <f>IFERROR(__xludf.DUMMYFUNCTION("""COMPUTED_VALUE"""),0.1655)</f>
        <v>0.1655</v>
      </c>
      <c r="K3763" s="19">
        <f>IFERROR(__xludf.DUMMYFUNCTION("""COMPUTED_VALUE"""),0.2069)</f>
        <v>0.2069</v>
      </c>
      <c r="L3763" s="19">
        <f>IFERROR(__xludf.DUMMYFUNCTION("""COMPUTED_VALUE"""),0.2483)</f>
        <v>0.2483</v>
      </c>
      <c r="M3763" s="18">
        <f>IFERROR(__xludf.DUMMYFUNCTION("""COMPUTED_VALUE"""),3.24)</f>
        <v>3.24</v>
      </c>
    </row>
    <row r="3764">
      <c r="A3764" s="13" t="str">
        <f>IFERROR(__xludf.DUMMYFUNCTION("""COMPUTED_VALUE"""),"товари")</f>
        <v>товари</v>
      </c>
      <c r="B3764" s="16" t="str">
        <f>IFERROR(__xludf.DUMMYFUNCTION("""COMPUTED_VALUE"""),"спорт і відпочинок")</f>
        <v>спорт і відпочинок</v>
      </c>
      <c r="C3764" s="16" t="str">
        <f>IFERROR(__xludf.DUMMYFUNCTION("""COMPUTED_VALUE"""),"зимові види спорту")</f>
        <v>зимові види спорту</v>
      </c>
      <c r="D3764" s="16" t="str">
        <f>IFERROR(__xludf.DUMMYFUNCTION("""COMPUTED_VALUE"""),"хокей")</f>
        <v>хокей</v>
      </c>
      <c r="E3764" s="16" t="str">
        <f>IFERROR(__xludf.DUMMYFUNCTION("""COMPUTED_VALUE"""),"хокей, загальне")</f>
        <v>хокей, загальне</v>
      </c>
      <c r="F3764" s="17">
        <f>IFERROR(__xludf.DUMMYFUNCTION("""COMPUTED_VALUE"""),4.0)</f>
        <v>4</v>
      </c>
      <c r="G3764" s="17" t="str">
        <f>IFERROR(__xludf.DUMMYFUNCTION("""COMPUTED_VALUE"""),"202423")</f>
        <v>202423</v>
      </c>
      <c r="H3764" s="17" t="str">
        <f>IFERROR(__xludf.DUMMYFUNCTION("""COMPUTED_VALUE"""),"хокей, загальне")</f>
        <v>хокей, загальне</v>
      </c>
      <c r="I3764" s="19">
        <f>IFERROR(__xludf.DUMMYFUNCTION("""COMPUTED_VALUE"""),0.125)</f>
        <v>0.125</v>
      </c>
      <c r="J3764" s="19">
        <f>IFERROR(__xludf.DUMMYFUNCTION("""COMPUTED_VALUE"""),0.25)</f>
        <v>0.25</v>
      </c>
      <c r="K3764" s="19">
        <f>IFERROR(__xludf.DUMMYFUNCTION("""COMPUTED_VALUE"""),0.3125)</f>
        <v>0.3125</v>
      </c>
      <c r="L3764" s="19">
        <f>IFERROR(__xludf.DUMMYFUNCTION("""COMPUTED_VALUE"""),0.375)</f>
        <v>0.375</v>
      </c>
      <c r="M3764" s="18">
        <f>IFERROR(__xludf.DUMMYFUNCTION("""COMPUTED_VALUE"""),4.33)</f>
        <v>4.33</v>
      </c>
    </row>
    <row r="3765">
      <c r="A3765" s="13" t="str">
        <f>IFERROR(__xludf.DUMMYFUNCTION("""COMPUTED_VALUE"""),"товари")</f>
        <v>товари</v>
      </c>
      <c r="B3765" s="16" t="str">
        <f>IFERROR(__xludf.DUMMYFUNCTION("""COMPUTED_VALUE"""),"спорт і відпочинок")</f>
        <v>спорт і відпочинок</v>
      </c>
      <c r="C3765" s="16" t="str">
        <f>IFERROR(__xludf.DUMMYFUNCTION("""COMPUTED_VALUE"""),"зимові види спорту")</f>
        <v>зимові види спорту</v>
      </c>
      <c r="D3765" s="16" t="str">
        <f>IFERROR(__xludf.DUMMYFUNCTION("""COMPUTED_VALUE"""),"хокей")</f>
        <v>хокей</v>
      </c>
      <c r="E3765" s="16" t="str">
        <f>IFERROR(__xludf.DUMMYFUNCTION("""COMPUTED_VALUE"""),"хокейне захисне екіпірування")</f>
        <v>хокейне захисне екіпірування</v>
      </c>
      <c r="F3765" s="17">
        <f>IFERROR(__xludf.DUMMYFUNCTION("""COMPUTED_VALUE"""),4.0)</f>
        <v>4</v>
      </c>
      <c r="G3765" s="17" t="str">
        <f>IFERROR(__xludf.DUMMYFUNCTION("""COMPUTED_VALUE"""),"202411")</f>
        <v>202411</v>
      </c>
      <c r="H3765" s="17" t="str">
        <f>IFERROR(__xludf.DUMMYFUNCTION("""COMPUTED_VALUE"""),"хокейне захисне екіпірування")</f>
        <v>хокейне захисне екіпірування</v>
      </c>
      <c r="I3765" s="19">
        <f>IFERROR(__xludf.DUMMYFUNCTION("""COMPUTED_VALUE"""),0.0718)</f>
        <v>0.0718</v>
      </c>
      <c r="J3765" s="19">
        <f>IFERROR(__xludf.DUMMYFUNCTION("""COMPUTED_VALUE"""),0.1436)</f>
        <v>0.1436</v>
      </c>
      <c r="K3765" s="19">
        <f>IFERROR(__xludf.DUMMYFUNCTION("""COMPUTED_VALUE"""),0.1795)</f>
        <v>0.1795</v>
      </c>
      <c r="L3765" s="19">
        <f>IFERROR(__xludf.DUMMYFUNCTION("""COMPUTED_VALUE"""),0.2154)</f>
        <v>0.2154</v>
      </c>
      <c r="M3765" s="18">
        <f>IFERROR(__xludf.DUMMYFUNCTION("""COMPUTED_VALUE"""),2.7)</f>
        <v>2.7</v>
      </c>
    </row>
    <row r="3766">
      <c r="A3766" s="13" t="str">
        <f>IFERROR(__xludf.DUMMYFUNCTION("""COMPUTED_VALUE"""),"товари")</f>
        <v>товари</v>
      </c>
      <c r="B3766" s="16" t="str">
        <f>IFERROR(__xludf.DUMMYFUNCTION("""COMPUTED_VALUE"""),"спорт і відпочинок")</f>
        <v>спорт і відпочинок</v>
      </c>
      <c r="C3766" s="16" t="str">
        <f>IFERROR(__xludf.DUMMYFUNCTION("""COMPUTED_VALUE"""),"спортивні товари")</f>
        <v>спортивні товари</v>
      </c>
      <c r="D3766" s="16" t="str">
        <f>IFERROR(__xludf.DUMMYFUNCTION("""COMPUTED_VALUE"""),"спортивний інвентар")</f>
        <v>спортивний інвентар</v>
      </c>
      <c r="E3766" s="16" t="str">
        <f>IFERROR(__xludf.DUMMYFUNCTION("""COMPUTED_VALUE"""),"хокейні ключки, шайби")</f>
        <v>хокейні ключки, шайби</v>
      </c>
      <c r="F3766" s="17">
        <f>IFERROR(__xludf.DUMMYFUNCTION("""COMPUTED_VALUE"""),4.0)</f>
        <v>4</v>
      </c>
      <c r="G3766" s="17" t="str">
        <f>IFERROR(__xludf.DUMMYFUNCTION("""COMPUTED_VALUE"""),"202408")</f>
        <v>202408</v>
      </c>
      <c r="H3766" s="17" t="str">
        <f>IFERROR(__xludf.DUMMYFUNCTION("""COMPUTED_VALUE"""),"хокейні ключки, шайби")</f>
        <v>хокейні ключки, шайби</v>
      </c>
      <c r="I3766" s="19">
        <f>IFERROR(__xludf.DUMMYFUNCTION("""COMPUTED_VALUE"""),0.0777)</f>
        <v>0.0777</v>
      </c>
      <c r="J3766" s="19">
        <f>IFERROR(__xludf.DUMMYFUNCTION("""COMPUTED_VALUE"""),0.1554)</f>
        <v>0.1554</v>
      </c>
      <c r="K3766" s="19">
        <f>IFERROR(__xludf.DUMMYFUNCTION("""COMPUTED_VALUE"""),0.1943)</f>
        <v>0.1943</v>
      </c>
      <c r="L3766" s="19">
        <f>IFERROR(__xludf.DUMMYFUNCTION("""COMPUTED_VALUE"""),0.2331)</f>
        <v>0.2331</v>
      </c>
      <c r="M3766" s="18">
        <f>IFERROR(__xludf.DUMMYFUNCTION("""COMPUTED_VALUE"""),2.53)</f>
        <v>2.53</v>
      </c>
    </row>
    <row r="3767">
      <c r="A3767" s="13" t="str">
        <f>IFERROR(__xludf.DUMMYFUNCTION("""COMPUTED_VALUE"""),"товари")</f>
        <v>товари</v>
      </c>
      <c r="B3767" s="16" t="str">
        <f>IFERROR(__xludf.DUMMYFUNCTION("""COMPUTED_VALUE"""),"спорт і відпочинок")</f>
        <v>спорт і відпочинок</v>
      </c>
      <c r="C3767" s="16" t="str">
        <f>IFERROR(__xludf.DUMMYFUNCTION("""COMPUTED_VALUE"""),"зимові види спорту")</f>
        <v>зимові види спорту</v>
      </c>
      <c r="D3767" s="16" t="str">
        <f>IFERROR(__xludf.DUMMYFUNCTION("""COMPUTED_VALUE"""),"лижний спорт та сноубординг")</f>
        <v>лижний спорт та сноубординг</v>
      </c>
      <c r="E3767" s="16" t="str">
        <f>IFERROR(__xludf.DUMMYFUNCTION("""COMPUTED_VALUE"""),"чохли для лиж, сноубордів")</f>
        <v>чохли для лиж, сноубордів</v>
      </c>
      <c r="F3767" s="17">
        <f>IFERROR(__xludf.DUMMYFUNCTION("""COMPUTED_VALUE"""),4.0)</f>
        <v>4</v>
      </c>
      <c r="G3767" s="17" t="str">
        <f>IFERROR(__xludf.DUMMYFUNCTION("""COMPUTED_VALUE"""),"202414")</f>
        <v>202414</v>
      </c>
      <c r="H3767" s="17" t="str">
        <f>IFERROR(__xludf.DUMMYFUNCTION("""COMPUTED_VALUE"""),"чохли для лиж, сноубордів")</f>
        <v>чохли для лиж, сноубордів</v>
      </c>
      <c r="I3767" s="19">
        <f>IFERROR(__xludf.DUMMYFUNCTION("""COMPUTED_VALUE"""),0.0735)</f>
        <v>0.0735</v>
      </c>
      <c r="J3767" s="19">
        <f>IFERROR(__xludf.DUMMYFUNCTION("""COMPUTED_VALUE"""),0.1469)</f>
        <v>0.1469</v>
      </c>
      <c r="K3767" s="19">
        <f>IFERROR(__xludf.DUMMYFUNCTION("""COMPUTED_VALUE"""),0.1836)</f>
        <v>0.1836</v>
      </c>
      <c r="L3767" s="19">
        <f>IFERROR(__xludf.DUMMYFUNCTION("""COMPUTED_VALUE"""),0.2204)</f>
        <v>0.2204</v>
      </c>
      <c r="M3767" s="18">
        <f>IFERROR(__xludf.DUMMYFUNCTION("""COMPUTED_VALUE"""),1.63)</f>
        <v>1.63</v>
      </c>
    </row>
    <row r="3768">
      <c r="A3768" s="13" t="str">
        <f>IFERROR(__xludf.DUMMYFUNCTION("""COMPUTED_VALUE"""),"товари")</f>
        <v>товари</v>
      </c>
      <c r="B3768" s="16" t="str">
        <f>IFERROR(__xludf.DUMMYFUNCTION("""COMPUTED_VALUE"""),"спорт і відпочинок")</f>
        <v>спорт і відпочинок</v>
      </c>
      <c r="C3768" s="16" t="str">
        <f>IFERROR(__xludf.DUMMYFUNCTION("""COMPUTED_VALUE"""),"ігри з ракетками")</f>
        <v>ігри з ракетками</v>
      </c>
      <c r="D3768" s="16" t="str">
        <f>IFERROR(__xludf.DUMMYFUNCTION("""COMPUTED_VALUE"""),"теніс")</f>
        <v>теніс</v>
      </c>
      <c r="E3768" s="16" t="str">
        <f>IFERROR(__xludf.DUMMYFUNCTION("""COMPUTED_VALUE"""),"чохли для ракеток")</f>
        <v>чохли для ракеток</v>
      </c>
      <c r="F3768" s="17">
        <f>IFERROR(__xludf.DUMMYFUNCTION("""COMPUTED_VALUE"""),4.0)</f>
        <v>4</v>
      </c>
      <c r="G3768" s="17" t="str">
        <f>IFERROR(__xludf.DUMMYFUNCTION("""COMPUTED_VALUE"""),"200336")</f>
        <v>200336</v>
      </c>
      <c r="H3768" s="17" t="str">
        <f>IFERROR(__xludf.DUMMYFUNCTION("""COMPUTED_VALUE"""),"чохли для ракеток")</f>
        <v>чохли для ракеток</v>
      </c>
      <c r="I3768" s="19">
        <f>IFERROR(__xludf.DUMMYFUNCTION("""COMPUTED_VALUE"""),0.0844)</f>
        <v>0.0844</v>
      </c>
      <c r="J3768" s="19">
        <f>IFERROR(__xludf.DUMMYFUNCTION("""COMPUTED_VALUE"""),0.1688)</f>
        <v>0.1688</v>
      </c>
      <c r="K3768" s="19">
        <f>IFERROR(__xludf.DUMMYFUNCTION("""COMPUTED_VALUE"""),0.211)</f>
        <v>0.211</v>
      </c>
      <c r="L3768" s="19">
        <f>IFERROR(__xludf.DUMMYFUNCTION("""COMPUTED_VALUE"""),0.2532)</f>
        <v>0.2532</v>
      </c>
      <c r="M3768" s="18">
        <f>IFERROR(__xludf.DUMMYFUNCTION("""COMPUTED_VALUE"""),1.05)</f>
        <v>1.05</v>
      </c>
    </row>
    <row r="3769">
      <c r="A3769" s="13" t="str">
        <f>IFERROR(__xludf.DUMMYFUNCTION("""COMPUTED_VALUE"""),"товари")</f>
        <v>товари</v>
      </c>
      <c r="B3769" s="16" t="str">
        <f>IFERROR(__xludf.DUMMYFUNCTION("""COMPUTED_VALUE"""),"спорт і відпочинок")</f>
        <v>спорт і відпочинок</v>
      </c>
      <c r="C3769" s="16" t="str">
        <f>IFERROR(__xludf.DUMMYFUNCTION("""COMPUTED_VALUE"""),"товари для полювання")</f>
        <v>товари для полювання</v>
      </c>
      <c r="D3769" s="16" t="str">
        <f>IFERROR(__xludf.DUMMYFUNCTION("""COMPUTED_VALUE"""),"чохли та кейси для зброї")</f>
        <v>чохли та кейси для зброї</v>
      </c>
      <c r="E3769" s="16" t="str">
        <f>IFERROR(__xludf.DUMMYFUNCTION("""COMPUTED_VALUE"""),"чохли та кейси для зброї")</f>
        <v>чохли та кейси для зброї</v>
      </c>
      <c r="F3769" s="17">
        <f>IFERROR(__xludf.DUMMYFUNCTION("""COMPUTED_VALUE"""),3.0)</f>
        <v>3</v>
      </c>
      <c r="G3769" s="17" t="str">
        <f>IFERROR(__xludf.DUMMYFUNCTION("""COMPUTED_VALUE"""),"181610")</f>
        <v>181610</v>
      </c>
      <c r="H3769" s="17" t="str">
        <f>IFERROR(__xludf.DUMMYFUNCTION("""COMPUTED_VALUE"""),"чохли та кейси для зброї")</f>
        <v>чохли та кейси для зброї</v>
      </c>
      <c r="I3769" s="19">
        <f>IFERROR(__xludf.DUMMYFUNCTION("""COMPUTED_VALUE"""),0.0599)</f>
        <v>0.0599</v>
      </c>
      <c r="J3769" s="19">
        <f>IFERROR(__xludf.DUMMYFUNCTION("""COMPUTED_VALUE"""),0.1198)</f>
        <v>0.1198</v>
      </c>
      <c r="K3769" s="19">
        <f>IFERROR(__xludf.DUMMYFUNCTION("""COMPUTED_VALUE"""),0.1498)</f>
        <v>0.1498</v>
      </c>
      <c r="L3769" s="19">
        <f>IFERROR(__xludf.DUMMYFUNCTION("""COMPUTED_VALUE"""),0.1797)</f>
        <v>0.1797</v>
      </c>
      <c r="M3769" s="18">
        <f>IFERROR(__xludf.DUMMYFUNCTION("""COMPUTED_VALUE"""),1.26)</f>
        <v>1.26</v>
      </c>
    </row>
    <row r="3770">
      <c r="A3770" s="13" t="str">
        <f>IFERROR(__xludf.DUMMYFUNCTION("""COMPUTED_VALUE"""),"товари")</f>
        <v>товари</v>
      </c>
      <c r="B3770" s="16" t="str">
        <f>IFERROR(__xludf.DUMMYFUNCTION("""COMPUTED_VALUE"""),"спорт і відпочинок")</f>
        <v>спорт і відпочинок</v>
      </c>
      <c r="C3770" s="16" t="str">
        <f>IFERROR(__xludf.DUMMYFUNCTION("""COMPUTED_VALUE"""),"товари для риболовлі")</f>
        <v>товари для риболовлі</v>
      </c>
      <c r="D3770" s="16" t="str">
        <f>IFERROR(__xludf.DUMMYFUNCTION("""COMPUTED_VALUE"""),"чохли та тубуси для вудилищ")</f>
        <v>чохли та тубуси для вудилищ</v>
      </c>
      <c r="E3770" s="16" t="str">
        <f>IFERROR(__xludf.DUMMYFUNCTION("""COMPUTED_VALUE"""),"чохли та тубуси для вудилищ")</f>
        <v>чохли та тубуси для вудилищ</v>
      </c>
      <c r="F3770" s="17">
        <f>IFERROR(__xludf.DUMMYFUNCTION("""COMPUTED_VALUE"""),3.0)</f>
        <v>3</v>
      </c>
      <c r="G3770" s="17" t="str">
        <f>IFERROR(__xludf.DUMMYFUNCTION("""COMPUTED_VALUE"""),"181019")</f>
        <v>181019</v>
      </c>
      <c r="H3770" s="17" t="str">
        <f>IFERROR(__xludf.DUMMYFUNCTION("""COMPUTED_VALUE"""),"чохли та тубуси для вудилищ")</f>
        <v>чохли та тубуси для вудилищ</v>
      </c>
      <c r="I3770" s="19">
        <f>IFERROR(__xludf.DUMMYFUNCTION("""COMPUTED_VALUE"""),0.0777)</f>
        <v>0.0777</v>
      </c>
      <c r="J3770" s="19">
        <f>IFERROR(__xludf.DUMMYFUNCTION("""COMPUTED_VALUE"""),0.1553)</f>
        <v>0.1553</v>
      </c>
      <c r="K3770" s="19">
        <f>IFERROR(__xludf.DUMMYFUNCTION("""COMPUTED_VALUE"""),0.1941)</f>
        <v>0.1941</v>
      </c>
      <c r="L3770" s="19">
        <f>IFERROR(__xludf.DUMMYFUNCTION("""COMPUTED_VALUE"""),0.233)</f>
        <v>0.233</v>
      </c>
      <c r="M3770" s="18">
        <f>IFERROR(__xludf.DUMMYFUNCTION("""COMPUTED_VALUE"""),1.05)</f>
        <v>1.05</v>
      </c>
    </row>
    <row r="3771">
      <c r="A3771" s="13" t="str">
        <f>IFERROR(__xludf.DUMMYFUNCTION("""COMPUTED_VALUE"""),"товари")</f>
        <v>товари</v>
      </c>
      <c r="B3771" s="16" t="str">
        <f>IFERROR(__xludf.DUMMYFUNCTION("""COMPUTED_VALUE"""),"спорт і відпочинок")</f>
        <v>спорт і відпочинок</v>
      </c>
      <c r="C3771" s="16" t="str">
        <f>IFERROR(__xludf.DUMMYFUNCTION("""COMPUTED_VALUE"""),"товари для туризму та подорожей")</f>
        <v>товари для туризму та подорожей</v>
      </c>
      <c r="D3771" s="16" t="str">
        <f>IFERROR(__xludf.DUMMYFUNCTION("""COMPUTED_VALUE"""),"туристичні інструменти")</f>
        <v>туристичні інструменти</v>
      </c>
      <c r="E3771" s="16" t="str">
        <f>IFERROR(__xludf.DUMMYFUNCTION("""COMPUTED_VALUE"""),"чохли, футляри для ножів")</f>
        <v>чохли, футляри для ножів</v>
      </c>
      <c r="F3771" s="17">
        <f>IFERROR(__xludf.DUMMYFUNCTION("""COMPUTED_VALUE"""),4.0)</f>
        <v>4</v>
      </c>
      <c r="G3771" s="17" t="str">
        <f>IFERROR(__xludf.DUMMYFUNCTION("""COMPUTED_VALUE"""),"240444")</f>
        <v>240444</v>
      </c>
      <c r="H3771" s="17" t="str">
        <f>IFERROR(__xludf.DUMMYFUNCTION("""COMPUTED_VALUE"""),"чохли, футляри для ножів")</f>
        <v>чохли, футляри для ножів</v>
      </c>
      <c r="I3771" s="19">
        <f>IFERROR(__xludf.DUMMYFUNCTION("""COMPUTED_VALUE"""),0.081)</f>
        <v>0.081</v>
      </c>
      <c r="J3771" s="19">
        <f>IFERROR(__xludf.DUMMYFUNCTION("""COMPUTED_VALUE"""),0.1619)</f>
        <v>0.1619</v>
      </c>
      <c r="K3771" s="19">
        <f>IFERROR(__xludf.DUMMYFUNCTION("""COMPUTED_VALUE"""),0.2024)</f>
        <v>0.2024</v>
      </c>
      <c r="L3771" s="19">
        <f>IFERROR(__xludf.DUMMYFUNCTION("""COMPUTED_VALUE"""),0.2429)</f>
        <v>0.2429</v>
      </c>
      <c r="M3771" s="18">
        <f>IFERROR(__xludf.DUMMYFUNCTION("""COMPUTED_VALUE"""),1.8)</f>
        <v>1.8</v>
      </c>
    </row>
    <row r="3772">
      <c r="A3772" s="13" t="str">
        <f>IFERROR(__xludf.DUMMYFUNCTION("""COMPUTED_VALUE"""),"товари")</f>
        <v>товари</v>
      </c>
      <c r="B3772" s="16" t="str">
        <f>IFERROR(__xludf.DUMMYFUNCTION("""COMPUTED_VALUE"""),"спорт і відпочинок")</f>
        <v>спорт і відпочинок</v>
      </c>
      <c r="C3772" s="16" t="str">
        <f>IFERROR(__xludf.DUMMYFUNCTION("""COMPUTED_VALUE"""),"водні види спорту")</f>
        <v>водні види спорту</v>
      </c>
      <c r="D3772" s="16" t="str">
        <f>IFERROR(__xludf.DUMMYFUNCTION("""COMPUTED_VALUE"""),"плавання")</f>
        <v>плавання</v>
      </c>
      <c r="E3772" s="16" t="str">
        <f>IFERROR(__xludf.DUMMYFUNCTION("""COMPUTED_VALUE"""),"шапочки для плавання")</f>
        <v>шапочки для плавання</v>
      </c>
      <c r="F3772" s="17">
        <f>IFERROR(__xludf.DUMMYFUNCTION("""COMPUTED_VALUE"""),4.0)</f>
        <v>4</v>
      </c>
      <c r="G3772" s="17" t="str">
        <f>IFERROR(__xludf.DUMMYFUNCTION("""COMPUTED_VALUE"""),"200308")</f>
        <v>200308</v>
      </c>
      <c r="H3772" s="17" t="str">
        <f>IFERROR(__xludf.DUMMYFUNCTION("""COMPUTED_VALUE"""),"шапочки для плавання")</f>
        <v>шапочки для плавання</v>
      </c>
      <c r="I3772" s="19">
        <f>IFERROR(__xludf.DUMMYFUNCTION("""COMPUTED_VALUE"""),0.0785)</f>
        <v>0.0785</v>
      </c>
      <c r="J3772" s="19">
        <f>IFERROR(__xludf.DUMMYFUNCTION("""COMPUTED_VALUE"""),0.157)</f>
        <v>0.157</v>
      </c>
      <c r="K3772" s="19">
        <f>IFERROR(__xludf.DUMMYFUNCTION("""COMPUTED_VALUE"""),0.1963)</f>
        <v>0.1963</v>
      </c>
      <c r="L3772" s="19">
        <f>IFERROR(__xludf.DUMMYFUNCTION("""COMPUTED_VALUE"""),0.2355)</f>
        <v>0.2355</v>
      </c>
      <c r="M3772" s="18">
        <f>IFERROR(__xludf.DUMMYFUNCTION("""COMPUTED_VALUE"""),1.26)</f>
        <v>1.26</v>
      </c>
    </row>
    <row r="3773">
      <c r="A3773" s="13" t="str">
        <f>IFERROR(__xludf.DUMMYFUNCTION("""COMPUTED_VALUE"""),"товари")</f>
        <v>товари</v>
      </c>
      <c r="B3773" s="16" t="str">
        <f>IFERROR(__xludf.DUMMYFUNCTION("""COMPUTED_VALUE"""),"спорт і відпочинок")</f>
        <v>спорт і відпочинок</v>
      </c>
      <c r="C3773" s="16" t="str">
        <f>IFERROR(__xludf.DUMMYFUNCTION("""COMPUTED_VALUE"""),"спортивні товари")</f>
        <v>спортивні товари</v>
      </c>
      <c r="D3773" s="16" t="str">
        <f>IFERROR(__xludf.DUMMYFUNCTION("""COMPUTED_VALUE"""),"важка атлетика")</f>
        <v>важка атлетика</v>
      </c>
      <c r="E3773" s="16" t="str">
        <f>IFERROR(__xludf.DUMMYFUNCTION("""COMPUTED_VALUE"""),"шейкери для спортивного харчування")</f>
        <v>шейкери для спортивного харчування</v>
      </c>
      <c r="F3773" s="17">
        <f>IFERROR(__xludf.DUMMYFUNCTION("""COMPUTED_VALUE"""),4.0)</f>
        <v>4</v>
      </c>
      <c r="G3773" s="17" t="str">
        <f>IFERROR(__xludf.DUMMYFUNCTION("""COMPUTED_VALUE"""),"2016")</f>
        <v>2016</v>
      </c>
      <c r="H3773" s="17" t="str">
        <f>IFERROR(__xludf.DUMMYFUNCTION("""COMPUTED_VALUE"""),"шейкери для спортивного харчування")</f>
        <v>шейкери для спортивного харчування</v>
      </c>
      <c r="I3773" s="19">
        <f>IFERROR(__xludf.DUMMYFUNCTION("""COMPUTED_VALUE"""),0.08)</f>
        <v>0.08</v>
      </c>
      <c r="J3773" s="19">
        <f>IFERROR(__xludf.DUMMYFUNCTION("""COMPUTED_VALUE"""),0.16)</f>
        <v>0.16</v>
      </c>
      <c r="K3773" s="19">
        <f>IFERROR(__xludf.DUMMYFUNCTION("""COMPUTED_VALUE"""),0.2)</f>
        <v>0.2</v>
      </c>
      <c r="L3773" s="19">
        <f>IFERROR(__xludf.DUMMYFUNCTION("""COMPUTED_VALUE"""),0.24)</f>
        <v>0.24</v>
      </c>
      <c r="M3773" s="18">
        <f>IFERROR(__xludf.DUMMYFUNCTION("""COMPUTED_VALUE"""),2.61)</f>
        <v>2.61</v>
      </c>
    </row>
    <row r="3774">
      <c r="A3774" s="13" t="str">
        <f>IFERROR(__xludf.DUMMYFUNCTION("""COMPUTED_VALUE"""),"товари")</f>
        <v>товари</v>
      </c>
      <c r="B3774" s="16" t="str">
        <f>IFERROR(__xludf.DUMMYFUNCTION("""COMPUTED_VALUE"""),"спорт і відпочинок")</f>
        <v>спорт і відпочинок</v>
      </c>
      <c r="C3774" s="16" t="str">
        <f>IFERROR(__xludf.DUMMYFUNCTION("""COMPUTED_VALUE"""),"спортивні товари")</f>
        <v>спортивні товари</v>
      </c>
      <c r="D3774" s="16" t="str">
        <f>IFERROR(__xludf.DUMMYFUNCTION("""COMPUTED_VALUE"""),"бойові мистецтва")</f>
        <v>бойові мистецтва</v>
      </c>
      <c r="E3774" s="16" t="str">
        <f>IFERROR(__xludf.DUMMYFUNCTION("""COMPUTED_VALUE"""),"шоломи для боксу та єдиноборств")</f>
        <v>шоломи для боксу та єдиноборств</v>
      </c>
      <c r="F3774" s="17">
        <f>IFERROR(__xludf.DUMMYFUNCTION("""COMPUTED_VALUE"""),4.0)</f>
        <v>4</v>
      </c>
      <c r="G3774" s="17" t="str">
        <f>IFERROR(__xludf.DUMMYFUNCTION("""COMPUTED_VALUE"""),"202701")</f>
        <v>202701</v>
      </c>
      <c r="H3774" s="17" t="str">
        <f>IFERROR(__xludf.DUMMYFUNCTION("""COMPUTED_VALUE"""),"шоломи для боксу та єдиноборств")</f>
        <v>шоломи для боксу та єдиноборств</v>
      </c>
      <c r="I3774" s="19">
        <f>IFERROR(__xludf.DUMMYFUNCTION("""COMPUTED_VALUE"""),0.0773)</f>
        <v>0.0773</v>
      </c>
      <c r="J3774" s="19">
        <f>IFERROR(__xludf.DUMMYFUNCTION("""COMPUTED_VALUE"""),0.1546)</f>
        <v>0.1546</v>
      </c>
      <c r="K3774" s="19">
        <f>IFERROR(__xludf.DUMMYFUNCTION("""COMPUTED_VALUE"""),0.1933)</f>
        <v>0.1933</v>
      </c>
      <c r="L3774" s="19">
        <f>IFERROR(__xludf.DUMMYFUNCTION("""COMPUTED_VALUE"""),0.2319)</f>
        <v>0.2319</v>
      </c>
      <c r="M3774" s="18">
        <f>IFERROR(__xludf.DUMMYFUNCTION("""COMPUTED_VALUE"""),2.34)</f>
        <v>2.34</v>
      </c>
    </row>
    <row r="3775">
      <c r="A3775" s="13" t="str">
        <f>IFERROR(__xludf.DUMMYFUNCTION("""COMPUTED_VALUE"""),"товари")</f>
        <v>товари</v>
      </c>
      <c r="B3775" s="16" t="str">
        <f>IFERROR(__xludf.DUMMYFUNCTION("""COMPUTED_VALUE"""),"спорт і відпочинок")</f>
        <v>спорт і відпочинок</v>
      </c>
      <c r="C3775" s="16" t="str">
        <f>IFERROR(__xludf.DUMMYFUNCTION("""COMPUTED_VALUE"""),"товари для риболовлі")</f>
        <v>товари для риболовлі</v>
      </c>
      <c r="D3775" s="16" t="str">
        <f>IFERROR(__xludf.DUMMYFUNCTION("""COMPUTED_VALUE"""),"одяг для полювання та риболовлі")</f>
        <v>одяг для полювання та риболовлі</v>
      </c>
      <c r="E3775" s="16" t="str">
        <f>IFERROR(__xludf.DUMMYFUNCTION("""COMPUTED_VALUE"""),"шорти, штани для полювання та риболовлі")</f>
        <v>шорти, штани для полювання та риболовлі</v>
      </c>
      <c r="F3775" s="17">
        <f>IFERROR(__xludf.DUMMYFUNCTION("""COMPUTED_VALUE"""),4.0)</f>
        <v>4</v>
      </c>
      <c r="G3775" s="17" t="str">
        <f>IFERROR(__xludf.DUMMYFUNCTION("""COMPUTED_VALUE"""),"181025")</f>
        <v>181025</v>
      </c>
      <c r="H3775" s="17" t="str">
        <f>IFERROR(__xludf.DUMMYFUNCTION("""COMPUTED_VALUE"""),"шорти, штани для полювання та риболовлі")</f>
        <v>шорти, штани для полювання та риболовлі</v>
      </c>
      <c r="I3775" s="19">
        <f>IFERROR(__xludf.DUMMYFUNCTION("""COMPUTED_VALUE"""),0.0952)</f>
        <v>0.0952</v>
      </c>
      <c r="J3775" s="19">
        <f>IFERROR(__xludf.DUMMYFUNCTION("""COMPUTED_VALUE"""),0.1903)</f>
        <v>0.1903</v>
      </c>
      <c r="K3775" s="19">
        <f>IFERROR(__xludf.DUMMYFUNCTION("""COMPUTED_VALUE"""),0.2379)</f>
        <v>0.2379</v>
      </c>
      <c r="L3775" s="19">
        <f>IFERROR(__xludf.DUMMYFUNCTION("""COMPUTED_VALUE"""),0.2855)</f>
        <v>0.2855</v>
      </c>
      <c r="M3775" s="18">
        <f>IFERROR(__xludf.DUMMYFUNCTION("""COMPUTED_VALUE"""),2.34)</f>
        <v>2.34</v>
      </c>
    </row>
    <row r="3776">
      <c r="A3776" s="13" t="str">
        <f>IFERROR(__xludf.DUMMYFUNCTION("""COMPUTED_VALUE"""),"товари")</f>
        <v>товари</v>
      </c>
      <c r="B3776" s="16" t="str">
        <f>IFERROR(__xludf.DUMMYFUNCTION("""COMPUTED_VALUE"""),"тара та упаковка")</f>
        <v>тара та упаковка</v>
      </c>
      <c r="C3776" s="16" t="str">
        <f>IFERROR(__xludf.DUMMYFUNCTION("""COMPUTED_VALUE"""),"упаковка для транспортування")</f>
        <v>упаковка для транспортування</v>
      </c>
      <c r="D3776" s="16" t="str">
        <f>IFERROR(__xludf.DUMMYFUNCTION("""COMPUTED_VALUE"""),"акумулятори холоду")</f>
        <v>акумулятори холоду</v>
      </c>
      <c r="E3776" s="16" t="str">
        <f>IFERROR(__xludf.DUMMYFUNCTION("""COMPUTED_VALUE"""),"акумулятори холоду")</f>
        <v>акумулятори холоду</v>
      </c>
      <c r="F3776" s="17">
        <f>IFERROR(__xludf.DUMMYFUNCTION("""COMPUTED_VALUE"""),3.0)</f>
        <v>3</v>
      </c>
      <c r="G3776" s="17" t="str">
        <f>IFERROR(__xludf.DUMMYFUNCTION("""COMPUTED_VALUE"""),"232012")</f>
        <v>232012</v>
      </c>
      <c r="H3776" s="17" t="str">
        <f>IFERROR(__xludf.DUMMYFUNCTION("""COMPUTED_VALUE"""),"акумулятори холоду")</f>
        <v>акумулятори холоду</v>
      </c>
      <c r="I3776" s="19">
        <f>IFERROR(__xludf.DUMMYFUNCTION("""COMPUTED_VALUE"""),0.0758)</f>
        <v>0.0758</v>
      </c>
      <c r="J3776" s="19">
        <f>IFERROR(__xludf.DUMMYFUNCTION("""COMPUTED_VALUE"""),0.1515)</f>
        <v>0.1515</v>
      </c>
      <c r="K3776" s="19">
        <f>IFERROR(__xludf.DUMMYFUNCTION("""COMPUTED_VALUE"""),0.1894)</f>
        <v>0.1894</v>
      </c>
      <c r="L3776" s="19">
        <f>IFERROR(__xludf.DUMMYFUNCTION("""COMPUTED_VALUE"""),0.2273)</f>
        <v>0.2273</v>
      </c>
      <c r="M3776" s="18">
        <f>IFERROR(__xludf.DUMMYFUNCTION("""COMPUTED_VALUE"""),1.05)</f>
        <v>1.05</v>
      </c>
    </row>
    <row r="3777">
      <c r="A3777" s="13" t="str">
        <f>IFERROR(__xludf.DUMMYFUNCTION("""COMPUTED_VALUE"""),"товари")</f>
        <v>товари</v>
      </c>
      <c r="B3777" s="16" t="str">
        <f>IFERROR(__xludf.DUMMYFUNCTION("""COMPUTED_VALUE"""),"тара та упаковка")</f>
        <v>тара та упаковка</v>
      </c>
      <c r="C3777" s="16" t="str">
        <f>IFERROR(__xludf.DUMMYFUNCTION("""COMPUTED_VALUE"""),"пакувальні матеріали")</f>
        <v>пакувальні матеріали</v>
      </c>
      <c r="D3777" s="16" t="str">
        <f>IFERROR(__xludf.DUMMYFUNCTION("""COMPUTED_VALUE"""),"пакувальні плівки")</f>
        <v>пакувальні плівки</v>
      </c>
      <c r="E3777" s="16" t="str">
        <f>IFERROR(__xludf.DUMMYFUNCTION("""COMPUTED_VALUE"""),"бар'єрна плівка")</f>
        <v>бар'єрна плівка</v>
      </c>
      <c r="F3777" s="17">
        <f>IFERROR(__xludf.DUMMYFUNCTION("""COMPUTED_VALUE"""),4.0)</f>
        <v>4</v>
      </c>
      <c r="G3777" s="17" t="str">
        <f>IFERROR(__xludf.DUMMYFUNCTION("""COMPUTED_VALUE"""),"230621")</f>
        <v>230621</v>
      </c>
      <c r="H3777" s="17" t="str">
        <f>IFERROR(__xludf.DUMMYFUNCTION("""COMPUTED_VALUE"""),"бар'єрна плівка")</f>
        <v>бар'єрна плівка</v>
      </c>
      <c r="I3777" s="19">
        <f>IFERROR(__xludf.DUMMYFUNCTION("""COMPUTED_VALUE"""),0.0555)</f>
        <v>0.0555</v>
      </c>
      <c r="J3777" s="19">
        <f>IFERROR(__xludf.DUMMYFUNCTION("""COMPUTED_VALUE"""),0.1109)</f>
        <v>0.1109</v>
      </c>
      <c r="K3777" s="19">
        <f>IFERROR(__xludf.DUMMYFUNCTION("""COMPUTED_VALUE"""),0.1386)</f>
        <v>0.1386</v>
      </c>
      <c r="L3777" s="19">
        <f>IFERROR(__xludf.DUMMYFUNCTION("""COMPUTED_VALUE"""),0.1664)</f>
        <v>0.1664</v>
      </c>
      <c r="M3777" s="18">
        <f>IFERROR(__xludf.DUMMYFUNCTION("""COMPUTED_VALUE"""),2.7)</f>
        <v>2.7</v>
      </c>
    </row>
    <row r="3778">
      <c r="A3778" s="13" t="str">
        <f>IFERROR(__xludf.DUMMYFUNCTION("""COMPUTED_VALUE"""),"товари")</f>
        <v>товари</v>
      </c>
      <c r="B3778" s="16" t="str">
        <f>IFERROR(__xludf.DUMMYFUNCTION("""COMPUTED_VALUE"""),"тара та упаковка")</f>
        <v>тара та упаковка</v>
      </c>
      <c r="C3778" s="16" t="str">
        <f>IFERROR(__xludf.DUMMYFUNCTION("""COMPUTED_VALUE"""),"пакувальні матеріали")</f>
        <v>пакувальні матеріали</v>
      </c>
      <c r="D3778" s="16" t="str">
        <f>IFERROR(__xludf.DUMMYFUNCTION("""COMPUTED_VALUE"""),"скляні пакувальні матеріали")</f>
        <v>скляні пакувальні матеріали</v>
      </c>
      <c r="E3778" s="16" t="str">
        <f>IFERROR(__xludf.DUMMYFUNCTION("""COMPUTED_VALUE"""),"бутлі")</f>
        <v>бутлі</v>
      </c>
      <c r="F3778" s="17">
        <f>IFERROR(__xludf.DUMMYFUNCTION("""COMPUTED_VALUE"""),4.0)</f>
        <v>4</v>
      </c>
      <c r="G3778" s="17" t="str">
        <f>IFERROR(__xludf.DUMMYFUNCTION("""COMPUTED_VALUE"""),"230622")</f>
        <v>230622</v>
      </c>
      <c r="H3778" s="17" t="str">
        <f>IFERROR(__xludf.DUMMYFUNCTION("""COMPUTED_VALUE"""),"бутлі")</f>
        <v>бутлі</v>
      </c>
      <c r="I3778" s="19">
        <f>IFERROR(__xludf.DUMMYFUNCTION("""COMPUTED_VALUE"""),0.0639)</f>
        <v>0.0639</v>
      </c>
      <c r="J3778" s="19">
        <f>IFERROR(__xludf.DUMMYFUNCTION("""COMPUTED_VALUE"""),0.1278)</f>
        <v>0.1278</v>
      </c>
      <c r="K3778" s="19">
        <f>IFERROR(__xludf.DUMMYFUNCTION("""COMPUTED_VALUE"""),0.1598)</f>
        <v>0.1598</v>
      </c>
      <c r="L3778" s="19">
        <f>IFERROR(__xludf.DUMMYFUNCTION("""COMPUTED_VALUE"""),0.1917)</f>
        <v>0.1917</v>
      </c>
      <c r="M3778" s="18">
        <f>IFERROR(__xludf.DUMMYFUNCTION("""COMPUTED_VALUE"""),1.05)</f>
        <v>1.05</v>
      </c>
    </row>
    <row r="3779">
      <c r="A3779" s="13" t="str">
        <f>IFERROR(__xludf.DUMMYFUNCTION("""COMPUTED_VALUE"""),"товари")</f>
        <v>товари</v>
      </c>
      <c r="B3779" s="16" t="str">
        <f>IFERROR(__xludf.DUMMYFUNCTION("""COMPUTED_VALUE"""),"тара та упаковка")</f>
        <v>тара та упаковка</v>
      </c>
      <c r="C3779" s="16" t="str">
        <f>IFERROR(__xludf.DUMMYFUNCTION("""COMPUTED_VALUE"""),"пакувальні матеріали")</f>
        <v>пакувальні матеріали</v>
      </c>
      <c r="D3779" s="16" t="str">
        <f>IFERROR(__xludf.DUMMYFUNCTION("""COMPUTED_VALUE"""),"гнучка упаковка")</f>
        <v>гнучка упаковка</v>
      </c>
      <c r="E3779" s="16" t="str">
        <f>IFERROR(__xludf.DUMMYFUNCTION("""COMPUTED_VALUE"""),"гнучка упаковка")</f>
        <v>гнучка упаковка</v>
      </c>
      <c r="F3779" s="17">
        <f>IFERROR(__xludf.DUMMYFUNCTION("""COMPUTED_VALUE"""),3.0)</f>
        <v>3</v>
      </c>
      <c r="G3779" s="17" t="str">
        <f>IFERROR(__xludf.DUMMYFUNCTION("""COMPUTED_VALUE"""),"2318")</f>
        <v>2318</v>
      </c>
      <c r="H3779" s="17" t="str">
        <f>IFERROR(__xludf.DUMMYFUNCTION("""COMPUTED_VALUE"""),"гнучка упаковка")</f>
        <v>гнучка упаковка</v>
      </c>
      <c r="I3779" s="19">
        <f>IFERROR(__xludf.DUMMYFUNCTION("""COMPUTED_VALUE"""),0.0383)</f>
        <v>0.0383</v>
      </c>
      <c r="J3779" s="19">
        <f>IFERROR(__xludf.DUMMYFUNCTION("""COMPUTED_VALUE"""),0.0766)</f>
        <v>0.0766</v>
      </c>
      <c r="K3779" s="19">
        <f>IFERROR(__xludf.DUMMYFUNCTION("""COMPUTED_VALUE"""),0.0958)</f>
        <v>0.0958</v>
      </c>
      <c r="L3779" s="19">
        <f>IFERROR(__xludf.DUMMYFUNCTION("""COMPUTED_VALUE"""),0.1149)</f>
        <v>0.1149</v>
      </c>
      <c r="M3779" s="18">
        <f>IFERROR(__xludf.DUMMYFUNCTION("""COMPUTED_VALUE"""),2.25)</f>
        <v>2.25</v>
      </c>
    </row>
    <row r="3780">
      <c r="A3780" s="13" t="str">
        <f>IFERROR(__xludf.DUMMYFUNCTION("""COMPUTED_VALUE"""),"товари")</f>
        <v>товари</v>
      </c>
      <c r="B3780" s="16" t="str">
        <f>IFERROR(__xludf.DUMMYFUNCTION("""COMPUTED_VALUE"""),"тара та упаковка")</f>
        <v>тара та упаковка</v>
      </c>
      <c r="C3780" s="16" t="str">
        <f>IFERROR(__xludf.DUMMYFUNCTION("""COMPUTED_VALUE"""),"пакувальні матеріали")</f>
        <v>пакувальні матеріали</v>
      </c>
      <c r="D3780" s="16" t="str">
        <f>IFERROR(__xludf.DUMMYFUNCTION("""COMPUTED_VALUE"""),"захисні та протиударні пакувальні матеріали")</f>
        <v>захисні та протиударні пакувальні матеріали</v>
      </c>
      <c r="E3780" s="16" t="str">
        <f>IFERROR(__xludf.DUMMYFUNCTION("""COMPUTED_VALUE"""),"захисні та протиударні пакувальні матеріали")</f>
        <v>захисні та протиударні пакувальні матеріали</v>
      </c>
      <c r="F3780" s="17">
        <f>IFERROR(__xludf.DUMMYFUNCTION("""COMPUTED_VALUE"""),3.0)</f>
        <v>3</v>
      </c>
      <c r="G3780" s="17" t="str">
        <f>IFERROR(__xludf.DUMMYFUNCTION("""COMPUTED_VALUE"""),"230615")</f>
        <v>230615</v>
      </c>
      <c r="H3780" s="17" t="str">
        <f>IFERROR(__xludf.DUMMYFUNCTION("""COMPUTED_VALUE"""),"захисні та протиударні пакувальні матеріали")</f>
        <v>захисні та протиударні пакувальні матеріали</v>
      </c>
      <c r="I3780" s="19">
        <f>IFERROR(__xludf.DUMMYFUNCTION("""COMPUTED_VALUE"""),0.0607)</f>
        <v>0.0607</v>
      </c>
      <c r="J3780" s="19">
        <f>IFERROR(__xludf.DUMMYFUNCTION("""COMPUTED_VALUE"""),0.1214)</f>
        <v>0.1214</v>
      </c>
      <c r="K3780" s="19">
        <f>IFERROR(__xludf.DUMMYFUNCTION("""COMPUTED_VALUE"""),0.1518)</f>
        <v>0.1518</v>
      </c>
      <c r="L3780" s="19">
        <f>IFERROR(__xludf.DUMMYFUNCTION("""COMPUTED_VALUE"""),0.1821)</f>
        <v>0.1821</v>
      </c>
      <c r="M3780" s="18">
        <f>IFERROR(__xludf.DUMMYFUNCTION("""COMPUTED_VALUE"""),1.8)</f>
        <v>1.8</v>
      </c>
    </row>
    <row r="3781">
      <c r="A3781" s="13" t="str">
        <f>IFERROR(__xludf.DUMMYFUNCTION("""COMPUTED_VALUE"""),"товари")</f>
        <v>товари</v>
      </c>
      <c r="B3781" s="16" t="str">
        <f>IFERROR(__xludf.DUMMYFUNCTION("""COMPUTED_VALUE"""),"тара та упаковка")</f>
        <v>тара та упаковка</v>
      </c>
      <c r="C3781" s="16" t="str">
        <f>IFERROR(__xludf.DUMMYFUNCTION("""COMPUTED_VALUE"""),"упаковка для транспортування")</f>
        <v>упаковка для транспортування</v>
      </c>
      <c r="D3781" s="16" t="str">
        <f>IFERROR(__xludf.DUMMYFUNCTION("""COMPUTED_VALUE"""),"ізотермічні контейнери")</f>
        <v>ізотермічні контейнери</v>
      </c>
      <c r="E3781" s="16" t="str">
        <f>IFERROR(__xludf.DUMMYFUNCTION("""COMPUTED_VALUE"""),"ізотермічні контейнери")</f>
        <v>ізотермічні контейнери</v>
      </c>
      <c r="F3781" s="17">
        <f>IFERROR(__xludf.DUMMYFUNCTION("""COMPUTED_VALUE"""),3.0)</f>
        <v>3</v>
      </c>
      <c r="G3781" s="17" t="str">
        <f>IFERROR(__xludf.DUMMYFUNCTION("""COMPUTED_VALUE"""),"232013")</f>
        <v>232013</v>
      </c>
      <c r="H3781" s="17" t="str">
        <f>IFERROR(__xludf.DUMMYFUNCTION("""COMPUTED_VALUE"""),"ізотермічні контейнери")</f>
        <v>ізотермічні контейнери</v>
      </c>
      <c r="I3781" s="19">
        <f>IFERROR(__xludf.DUMMYFUNCTION("""COMPUTED_VALUE"""),0.0794)</f>
        <v>0.0794</v>
      </c>
      <c r="J3781" s="19">
        <f>IFERROR(__xludf.DUMMYFUNCTION("""COMPUTED_VALUE"""),0.1588)</f>
        <v>0.1588</v>
      </c>
      <c r="K3781" s="19">
        <f>IFERROR(__xludf.DUMMYFUNCTION("""COMPUTED_VALUE"""),0.1985)</f>
        <v>0.1985</v>
      </c>
      <c r="L3781" s="19">
        <f>IFERROR(__xludf.DUMMYFUNCTION("""COMPUTED_VALUE"""),0.2382)</f>
        <v>0.2382</v>
      </c>
      <c r="M3781" s="18">
        <f>IFERROR(__xludf.DUMMYFUNCTION("""COMPUTED_VALUE"""),1.05)</f>
        <v>1.05</v>
      </c>
    </row>
    <row r="3782">
      <c r="A3782" s="13" t="str">
        <f>IFERROR(__xludf.DUMMYFUNCTION("""COMPUTED_VALUE"""),"товари")</f>
        <v>товари</v>
      </c>
      <c r="B3782" s="16" t="str">
        <f>IFERROR(__xludf.DUMMYFUNCTION("""COMPUTED_VALUE"""),"тара та упаковка")</f>
        <v>тара та упаковка</v>
      </c>
      <c r="C3782" s="16" t="str">
        <f>IFERROR(__xludf.DUMMYFUNCTION("""COMPUTED_VALUE"""),"пакувальні матеріали")</f>
        <v>пакувальні матеріали</v>
      </c>
      <c r="D3782" s="16" t="str">
        <f>IFERROR(__xludf.DUMMYFUNCTION("""COMPUTED_VALUE"""),"мотузкові вироби")</f>
        <v>мотузкові вироби</v>
      </c>
      <c r="E3782" s="16" t="str">
        <f>IFERROR(__xludf.DUMMYFUNCTION("""COMPUTED_VALUE"""),"канати")</f>
        <v>канати</v>
      </c>
      <c r="F3782" s="17">
        <f>IFERROR(__xludf.DUMMYFUNCTION("""COMPUTED_VALUE"""),4.0)</f>
        <v>4</v>
      </c>
      <c r="G3782" s="17" t="str">
        <f>IFERROR(__xludf.DUMMYFUNCTION("""COMPUTED_VALUE"""),"130728")</f>
        <v>130728</v>
      </c>
      <c r="H3782" s="17" t="str">
        <f>IFERROR(__xludf.DUMMYFUNCTION("""COMPUTED_VALUE"""),"канати")</f>
        <v>канати</v>
      </c>
      <c r="I3782" s="19">
        <f>IFERROR(__xludf.DUMMYFUNCTION("""COMPUTED_VALUE"""),0.0727)</f>
        <v>0.0727</v>
      </c>
      <c r="J3782" s="19">
        <f>IFERROR(__xludf.DUMMYFUNCTION("""COMPUTED_VALUE"""),0.1453)</f>
        <v>0.1453</v>
      </c>
      <c r="K3782" s="19">
        <f>IFERROR(__xludf.DUMMYFUNCTION("""COMPUTED_VALUE"""),0.1816)</f>
        <v>0.1816</v>
      </c>
      <c r="L3782" s="19">
        <f>IFERROR(__xludf.DUMMYFUNCTION("""COMPUTED_VALUE"""),0.218)</f>
        <v>0.218</v>
      </c>
      <c r="M3782" s="18">
        <f>IFERROR(__xludf.DUMMYFUNCTION("""COMPUTED_VALUE"""),2.53)</f>
        <v>2.53</v>
      </c>
    </row>
    <row r="3783">
      <c r="A3783" s="13" t="str">
        <f>IFERROR(__xludf.DUMMYFUNCTION("""COMPUTED_VALUE"""),"товари")</f>
        <v>товари</v>
      </c>
      <c r="B3783" s="16" t="str">
        <f>IFERROR(__xludf.DUMMYFUNCTION("""COMPUTED_VALUE"""),"тара та упаковка")</f>
        <v>тара та упаковка</v>
      </c>
      <c r="C3783" s="16" t="str">
        <f>IFERROR(__xludf.DUMMYFUNCTION("""COMPUTED_VALUE"""),"паперова продукція та упаковка")</f>
        <v>паперова продукція та упаковка</v>
      </c>
      <c r="D3783" s="16" t="str">
        <f>IFERROR(__xludf.DUMMYFUNCTION("""COMPUTED_VALUE"""),"картон")</f>
        <v>картон</v>
      </c>
      <c r="E3783" s="16" t="str">
        <f>IFERROR(__xludf.DUMMYFUNCTION("""COMPUTED_VALUE"""),"картон")</f>
        <v>картон</v>
      </c>
      <c r="F3783" s="17">
        <f>IFERROR(__xludf.DUMMYFUNCTION("""COMPUTED_VALUE"""),3.0)</f>
        <v>3</v>
      </c>
      <c r="G3783" s="17" t="str">
        <f>IFERROR(__xludf.DUMMYFUNCTION("""COMPUTED_VALUE"""),"230110")</f>
        <v>230110</v>
      </c>
      <c r="H3783" s="17" t="str">
        <f>IFERROR(__xludf.DUMMYFUNCTION("""COMPUTED_VALUE"""),"картон")</f>
        <v>картон</v>
      </c>
      <c r="I3783" s="19">
        <f>IFERROR(__xludf.DUMMYFUNCTION("""COMPUTED_VALUE"""),0.0485)</f>
        <v>0.0485</v>
      </c>
      <c r="J3783" s="19">
        <f>IFERROR(__xludf.DUMMYFUNCTION("""COMPUTED_VALUE"""),0.097)</f>
        <v>0.097</v>
      </c>
      <c r="K3783" s="19">
        <f>IFERROR(__xludf.DUMMYFUNCTION("""COMPUTED_VALUE"""),0.1213)</f>
        <v>0.1213</v>
      </c>
      <c r="L3783" s="19">
        <f>IFERROR(__xludf.DUMMYFUNCTION("""COMPUTED_VALUE"""),0.1455)</f>
        <v>0.1455</v>
      </c>
      <c r="M3783" s="18">
        <f>IFERROR(__xludf.DUMMYFUNCTION("""COMPUTED_VALUE"""),4.8)</f>
        <v>4.8</v>
      </c>
    </row>
    <row r="3784">
      <c r="A3784" s="13" t="str">
        <f>IFERROR(__xludf.DUMMYFUNCTION("""COMPUTED_VALUE"""),"товари")</f>
        <v>товари</v>
      </c>
      <c r="B3784" s="16" t="str">
        <f>IFERROR(__xludf.DUMMYFUNCTION("""COMPUTED_VALUE"""),"тара та упаковка")</f>
        <v>тара та упаковка</v>
      </c>
      <c r="C3784" s="16" t="str">
        <f>IFERROR(__xludf.DUMMYFUNCTION("""COMPUTED_VALUE"""),"паперова продукція та упаковка")</f>
        <v>паперова продукція та упаковка</v>
      </c>
      <c r="D3784" s="16" t="str">
        <f>IFERROR(__xludf.DUMMYFUNCTION("""COMPUTED_VALUE"""),"картонні гільзи")</f>
        <v>картонні гільзи</v>
      </c>
      <c r="E3784" s="16" t="str">
        <f>IFERROR(__xludf.DUMMYFUNCTION("""COMPUTED_VALUE"""),"картонні гільзи")</f>
        <v>картонні гільзи</v>
      </c>
      <c r="F3784" s="17">
        <f>IFERROR(__xludf.DUMMYFUNCTION("""COMPUTED_VALUE"""),3.0)</f>
        <v>3</v>
      </c>
      <c r="G3784" s="17" t="str">
        <f>IFERROR(__xludf.DUMMYFUNCTION("""COMPUTED_VALUE"""),"230117")</f>
        <v>230117</v>
      </c>
      <c r="H3784" s="17" t="str">
        <f>IFERROR(__xludf.DUMMYFUNCTION("""COMPUTED_VALUE"""),"картонні гільзи")</f>
        <v>картонні гільзи</v>
      </c>
      <c r="I3784" s="19">
        <f>IFERROR(__xludf.DUMMYFUNCTION("""COMPUTED_VALUE"""),0.0485)</f>
        <v>0.0485</v>
      </c>
      <c r="J3784" s="19">
        <f>IFERROR(__xludf.DUMMYFUNCTION("""COMPUTED_VALUE"""),0.097)</f>
        <v>0.097</v>
      </c>
      <c r="K3784" s="19">
        <f>IFERROR(__xludf.DUMMYFUNCTION("""COMPUTED_VALUE"""),0.1213)</f>
        <v>0.1213</v>
      </c>
      <c r="L3784" s="19">
        <f>IFERROR(__xludf.DUMMYFUNCTION("""COMPUTED_VALUE"""),0.1455)</f>
        <v>0.1455</v>
      </c>
      <c r="M3784" s="18">
        <f>IFERROR(__xludf.DUMMYFUNCTION("""COMPUTED_VALUE"""),1.63)</f>
        <v>1.63</v>
      </c>
    </row>
    <row r="3785">
      <c r="A3785" s="13" t="str">
        <f>IFERROR(__xludf.DUMMYFUNCTION("""COMPUTED_VALUE"""),"товари")</f>
        <v>товари</v>
      </c>
      <c r="B3785" s="16" t="str">
        <f>IFERROR(__xludf.DUMMYFUNCTION("""COMPUTED_VALUE"""),"тара та упаковка")</f>
        <v>тара та упаковка</v>
      </c>
      <c r="C3785" s="16" t="str">
        <f>IFERROR(__xludf.DUMMYFUNCTION("""COMPUTED_VALUE"""),"пакувальні матеріали")</f>
        <v>пакувальні матеріали</v>
      </c>
      <c r="D3785" s="16" t="str">
        <f>IFERROR(__xludf.DUMMYFUNCTION("""COMPUTED_VALUE"""),"ковпачки, кришки, ручка для пет пляшок")</f>
        <v>ковпачки, кришки, ручка для пет пляшок</v>
      </c>
      <c r="E3785" s="16" t="str">
        <f>IFERROR(__xludf.DUMMYFUNCTION("""COMPUTED_VALUE"""),"ковпачки, кришки, ручка для пет пляшок")</f>
        <v>ковпачки, кришки, ручка для пет пляшок</v>
      </c>
      <c r="F3785" s="17">
        <f>IFERROR(__xludf.DUMMYFUNCTION("""COMPUTED_VALUE"""),3.0)</f>
        <v>3</v>
      </c>
      <c r="G3785" s="17" t="str">
        <f>IFERROR(__xludf.DUMMYFUNCTION("""COMPUTED_VALUE"""),"230609")</f>
        <v>230609</v>
      </c>
      <c r="H3785" s="17" t="str">
        <f>IFERROR(__xludf.DUMMYFUNCTION("""COMPUTED_VALUE"""),"ковпачки, кришки, ручка для пет пляшок")</f>
        <v>ковпачки, кришки, ручка для пет пляшок</v>
      </c>
      <c r="I3785" s="19">
        <f>IFERROR(__xludf.DUMMYFUNCTION("""COMPUTED_VALUE"""),0.0709)</f>
        <v>0.0709</v>
      </c>
      <c r="J3785" s="19">
        <f>IFERROR(__xludf.DUMMYFUNCTION("""COMPUTED_VALUE"""),0.1417)</f>
        <v>0.1417</v>
      </c>
      <c r="K3785" s="19">
        <f>IFERROR(__xludf.DUMMYFUNCTION("""COMPUTED_VALUE"""),0.1771)</f>
        <v>0.1771</v>
      </c>
      <c r="L3785" s="19">
        <f>IFERROR(__xludf.DUMMYFUNCTION("""COMPUTED_VALUE"""),0.2126)</f>
        <v>0.2126</v>
      </c>
      <c r="M3785" s="18">
        <f>IFERROR(__xludf.DUMMYFUNCTION("""COMPUTED_VALUE"""),1.98)</f>
        <v>1.98</v>
      </c>
    </row>
    <row r="3786">
      <c r="A3786" s="13" t="str">
        <f>IFERROR(__xludf.DUMMYFUNCTION("""COMPUTED_VALUE"""),"товари")</f>
        <v>товари</v>
      </c>
      <c r="B3786" s="16" t="str">
        <f>IFERROR(__xludf.DUMMYFUNCTION("""COMPUTED_VALUE"""),"тара та упаковка")</f>
        <v>тара та упаковка</v>
      </c>
      <c r="C3786" s="16" t="str">
        <f>IFERROR(__xludf.DUMMYFUNCTION("""COMPUTED_VALUE"""),"пакувальні матеріали")</f>
        <v>пакувальні матеріали</v>
      </c>
      <c r="D3786" s="16" t="str">
        <f>IFERROR(__xludf.DUMMYFUNCTION("""COMPUTED_VALUE"""),"металеві пакувальні матеріали")</f>
        <v>металеві пакувальні матеріали</v>
      </c>
      <c r="E3786" s="16" t="str">
        <f>IFERROR(__xludf.DUMMYFUNCTION("""COMPUTED_VALUE"""),"металеві бокси")</f>
        <v>металеві бокси</v>
      </c>
      <c r="F3786" s="17">
        <f>IFERROR(__xludf.DUMMYFUNCTION("""COMPUTED_VALUE"""),4.0)</f>
        <v>4</v>
      </c>
      <c r="G3786" s="17" t="str">
        <f>IFERROR(__xludf.DUMMYFUNCTION("""COMPUTED_VALUE"""),"230605")</f>
        <v>230605</v>
      </c>
      <c r="H3786" s="17" t="str">
        <f>IFERROR(__xludf.DUMMYFUNCTION("""COMPUTED_VALUE"""),"металеві бокси")</f>
        <v>металеві бокси</v>
      </c>
      <c r="I3786" s="19">
        <f>IFERROR(__xludf.DUMMYFUNCTION("""COMPUTED_VALUE"""),0.0403)</f>
        <v>0.0403</v>
      </c>
      <c r="J3786" s="19">
        <f>IFERROR(__xludf.DUMMYFUNCTION("""COMPUTED_VALUE"""),0.0805)</f>
        <v>0.0805</v>
      </c>
      <c r="K3786" s="19">
        <f>IFERROR(__xludf.DUMMYFUNCTION("""COMPUTED_VALUE"""),0.1006)</f>
        <v>0.1006</v>
      </c>
      <c r="L3786" s="19">
        <f>IFERROR(__xludf.DUMMYFUNCTION("""COMPUTED_VALUE"""),0.1208)</f>
        <v>0.1208</v>
      </c>
      <c r="M3786" s="18">
        <f>IFERROR(__xludf.DUMMYFUNCTION("""COMPUTED_VALUE"""),1.71)</f>
        <v>1.71</v>
      </c>
    </row>
    <row r="3787">
      <c r="A3787" s="13" t="str">
        <f>IFERROR(__xludf.DUMMYFUNCTION("""COMPUTED_VALUE"""),"товари")</f>
        <v>товари</v>
      </c>
      <c r="B3787" s="16" t="str">
        <f>IFERROR(__xludf.DUMMYFUNCTION("""COMPUTED_VALUE"""),"тара та упаковка")</f>
        <v>тара та упаковка</v>
      </c>
      <c r="C3787" s="16" t="str">
        <f>IFERROR(__xludf.DUMMYFUNCTION("""COMPUTED_VALUE"""),"пакувальні матеріали")</f>
        <v>пакувальні матеріали</v>
      </c>
      <c r="D3787" s="16" t="str">
        <f>IFERROR(__xludf.DUMMYFUNCTION("""COMPUTED_VALUE"""),"металеві пакувальні матеріали")</f>
        <v>металеві пакувальні матеріали</v>
      </c>
      <c r="E3787" s="16" t="str">
        <f>IFERROR(__xludf.DUMMYFUNCTION("""COMPUTED_VALUE"""),"металеві каністри")</f>
        <v>металеві каністри</v>
      </c>
      <c r="F3787" s="17">
        <f>IFERROR(__xludf.DUMMYFUNCTION("""COMPUTED_VALUE"""),4.0)</f>
        <v>4</v>
      </c>
      <c r="G3787" s="17" t="str">
        <f>IFERROR(__xludf.DUMMYFUNCTION("""COMPUTED_VALUE"""),"230648")</f>
        <v>230648</v>
      </c>
      <c r="H3787" s="17" t="str">
        <f>IFERROR(__xludf.DUMMYFUNCTION("""COMPUTED_VALUE"""),"металеві каністри")</f>
        <v>металеві каністри</v>
      </c>
      <c r="I3787" s="19">
        <f>IFERROR(__xludf.DUMMYFUNCTION("""COMPUTED_VALUE"""),0.047)</f>
        <v>0.047</v>
      </c>
      <c r="J3787" s="19">
        <f>IFERROR(__xludf.DUMMYFUNCTION("""COMPUTED_VALUE"""),0.0939)</f>
        <v>0.0939</v>
      </c>
      <c r="K3787" s="19">
        <f>IFERROR(__xludf.DUMMYFUNCTION("""COMPUTED_VALUE"""),0.1174)</f>
        <v>0.1174</v>
      </c>
      <c r="L3787" s="19">
        <f>IFERROR(__xludf.DUMMYFUNCTION("""COMPUTED_VALUE"""),0.1409)</f>
        <v>0.1409</v>
      </c>
      <c r="M3787" s="18">
        <f>IFERROR(__xludf.DUMMYFUNCTION("""COMPUTED_VALUE"""),1.71)</f>
        <v>1.71</v>
      </c>
    </row>
    <row r="3788">
      <c r="A3788" s="13" t="str">
        <f>IFERROR(__xludf.DUMMYFUNCTION("""COMPUTED_VALUE"""),"товари")</f>
        <v>товари</v>
      </c>
      <c r="B3788" s="16" t="str">
        <f>IFERROR(__xludf.DUMMYFUNCTION("""COMPUTED_VALUE"""),"тара та упаковка")</f>
        <v>тара та упаковка</v>
      </c>
      <c r="C3788" s="16" t="str">
        <f>IFERROR(__xludf.DUMMYFUNCTION("""COMPUTED_VALUE"""),"пакувальні матеріали")</f>
        <v>пакувальні матеріали</v>
      </c>
      <c r="D3788" s="16" t="str">
        <f>IFERROR(__xludf.DUMMYFUNCTION("""COMPUTED_VALUE"""),"мотузкові вироби")</f>
        <v>мотузкові вироби</v>
      </c>
      <c r="E3788" s="16" t="str">
        <f>IFERROR(__xludf.DUMMYFUNCTION("""COMPUTED_VALUE"""),"мотузкові вироби, загальне")</f>
        <v>мотузкові вироби, загальне</v>
      </c>
      <c r="F3788" s="17">
        <f>IFERROR(__xludf.DUMMYFUNCTION("""COMPUTED_VALUE"""),4.0)</f>
        <v>4</v>
      </c>
      <c r="G3788" s="17" t="str">
        <f>IFERROR(__xludf.DUMMYFUNCTION("""COMPUTED_VALUE"""),"230632")</f>
        <v>230632</v>
      </c>
      <c r="H3788" s="17" t="str">
        <f>IFERROR(__xludf.DUMMYFUNCTION("""COMPUTED_VALUE"""),"мотузкові вироби, загальне")</f>
        <v>мотузкові вироби, загальне</v>
      </c>
      <c r="I3788" s="19">
        <f>IFERROR(__xludf.DUMMYFUNCTION("""COMPUTED_VALUE"""),0.125)</f>
        <v>0.125</v>
      </c>
      <c r="J3788" s="19">
        <f>IFERROR(__xludf.DUMMYFUNCTION("""COMPUTED_VALUE"""),0.25)</f>
        <v>0.25</v>
      </c>
      <c r="K3788" s="19">
        <f>IFERROR(__xludf.DUMMYFUNCTION("""COMPUTED_VALUE"""),0.3125)</f>
        <v>0.3125</v>
      </c>
      <c r="L3788" s="19">
        <f>IFERROR(__xludf.DUMMYFUNCTION("""COMPUTED_VALUE"""),0.375)</f>
        <v>0.375</v>
      </c>
      <c r="M3788" s="18">
        <f>IFERROR(__xludf.DUMMYFUNCTION("""COMPUTED_VALUE"""),4.33)</f>
        <v>4.33</v>
      </c>
    </row>
    <row r="3789">
      <c r="A3789" s="13" t="str">
        <f>IFERROR(__xludf.DUMMYFUNCTION("""COMPUTED_VALUE"""),"товари")</f>
        <v>товари</v>
      </c>
      <c r="B3789" s="16" t="str">
        <f>IFERROR(__xludf.DUMMYFUNCTION("""COMPUTED_VALUE"""),"тара та упаковка")</f>
        <v>тара та упаковка</v>
      </c>
      <c r="C3789" s="16" t="str">
        <f>IFERROR(__xludf.DUMMYFUNCTION("""COMPUTED_VALUE"""),"пакувальні матеріали")</f>
        <v>пакувальні матеріали</v>
      </c>
      <c r="D3789" s="16" t="str">
        <f>IFERROR(__xludf.DUMMYFUNCTION("""COMPUTED_VALUE"""),"пакети")</f>
        <v>пакети</v>
      </c>
      <c r="E3789" s="16" t="str">
        <f>IFERROR(__xludf.DUMMYFUNCTION("""COMPUTED_VALUE"""),"пакети")</f>
        <v>пакети</v>
      </c>
      <c r="F3789" s="17">
        <f>IFERROR(__xludf.DUMMYFUNCTION("""COMPUTED_VALUE"""),3.0)</f>
        <v>3</v>
      </c>
      <c r="G3789" s="17" t="str">
        <f>IFERROR(__xludf.DUMMYFUNCTION("""COMPUTED_VALUE"""),"2302")</f>
        <v>2302</v>
      </c>
      <c r="H3789" s="17" t="str">
        <f>IFERROR(__xludf.DUMMYFUNCTION("""COMPUTED_VALUE"""),"пакети")</f>
        <v>пакети</v>
      </c>
      <c r="I3789" s="19">
        <f>IFERROR(__xludf.DUMMYFUNCTION("""COMPUTED_VALUE"""),0.0761)</f>
        <v>0.0761</v>
      </c>
      <c r="J3789" s="19">
        <f>IFERROR(__xludf.DUMMYFUNCTION("""COMPUTED_VALUE"""),0.1521)</f>
        <v>0.1521</v>
      </c>
      <c r="K3789" s="19">
        <f>IFERROR(__xludf.DUMMYFUNCTION("""COMPUTED_VALUE"""),0.1901)</f>
        <v>0.1901</v>
      </c>
      <c r="L3789" s="19">
        <f>IFERROR(__xludf.DUMMYFUNCTION("""COMPUTED_VALUE"""),0.2282)</f>
        <v>0.2282</v>
      </c>
      <c r="M3789" s="18">
        <f>IFERROR(__xludf.DUMMYFUNCTION("""COMPUTED_VALUE"""),3.06)</f>
        <v>3.06</v>
      </c>
    </row>
    <row r="3790">
      <c r="A3790" s="13" t="str">
        <f>IFERROR(__xludf.DUMMYFUNCTION("""COMPUTED_VALUE"""),"товари")</f>
        <v>товари</v>
      </c>
      <c r="B3790" s="16" t="str">
        <f>IFERROR(__xludf.DUMMYFUNCTION("""COMPUTED_VALUE"""),"тара та упаковка")</f>
        <v>тара та упаковка</v>
      </c>
      <c r="C3790" s="16" t="str">
        <f>IFERROR(__xludf.DUMMYFUNCTION("""COMPUTED_VALUE"""),"пакувальні матеріали")</f>
        <v>пакувальні матеріали</v>
      </c>
      <c r="D3790" s="16" t="str">
        <f>IFERROR(__xludf.DUMMYFUNCTION("""COMPUTED_VALUE"""),"пакувальні матеріали, загальне")</f>
        <v>пакувальні матеріали, загальне</v>
      </c>
      <c r="E3790" s="16" t="str">
        <f>IFERROR(__xludf.DUMMYFUNCTION("""COMPUTED_VALUE"""),"пакувальні матеріали, загальне")</f>
        <v>пакувальні матеріали, загальне</v>
      </c>
      <c r="F3790" s="17">
        <f>IFERROR(__xludf.DUMMYFUNCTION("""COMPUTED_VALUE"""),3.0)</f>
        <v>3</v>
      </c>
      <c r="G3790" s="17" t="str">
        <f>IFERROR(__xludf.DUMMYFUNCTION("""COMPUTED_VALUE"""),"230699")</f>
        <v>230699</v>
      </c>
      <c r="H3790" s="17" t="str">
        <f>IFERROR(__xludf.DUMMYFUNCTION("""COMPUTED_VALUE"""),"пакувальні матеріали, загальне")</f>
        <v>пакувальні матеріали, загальне</v>
      </c>
      <c r="I3790" s="19">
        <f>IFERROR(__xludf.DUMMYFUNCTION("""COMPUTED_VALUE"""),0.125)</f>
        <v>0.125</v>
      </c>
      <c r="J3790" s="19">
        <f>IFERROR(__xludf.DUMMYFUNCTION("""COMPUTED_VALUE"""),0.25)</f>
        <v>0.25</v>
      </c>
      <c r="K3790" s="19">
        <f>IFERROR(__xludf.DUMMYFUNCTION("""COMPUTED_VALUE"""),0.3125)</f>
        <v>0.3125</v>
      </c>
      <c r="L3790" s="19">
        <f>IFERROR(__xludf.DUMMYFUNCTION("""COMPUTED_VALUE"""),0.375)</f>
        <v>0.375</v>
      </c>
      <c r="M3790" s="18">
        <f>IFERROR(__xludf.DUMMYFUNCTION("""COMPUTED_VALUE"""),4.33)</f>
        <v>4.33</v>
      </c>
    </row>
    <row r="3791">
      <c r="A3791" s="13" t="str">
        <f>IFERROR(__xludf.DUMMYFUNCTION("""COMPUTED_VALUE"""),"товари")</f>
        <v>товари</v>
      </c>
      <c r="B3791" s="16" t="str">
        <f>IFERROR(__xludf.DUMMYFUNCTION("""COMPUTED_VALUE"""),"тара та упаковка")</f>
        <v>тара та упаковка</v>
      </c>
      <c r="C3791" s="16" t="str">
        <f>IFERROR(__xludf.DUMMYFUNCTION("""COMPUTED_VALUE"""),"упаковка для транспортування")</f>
        <v>упаковка для транспортування</v>
      </c>
      <c r="D3791" s="16" t="str">
        <f>IFERROR(__xludf.DUMMYFUNCTION("""COMPUTED_VALUE"""),"пакувальні мішки")</f>
        <v>пакувальні мішки</v>
      </c>
      <c r="E3791" s="16" t="str">
        <f>IFERROR(__xludf.DUMMYFUNCTION("""COMPUTED_VALUE"""),"пакувальні мішки")</f>
        <v>пакувальні мішки</v>
      </c>
      <c r="F3791" s="17">
        <f>IFERROR(__xludf.DUMMYFUNCTION("""COMPUTED_VALUE"""),3.0)</f>
        <v>3</v>
      </c>
      <c r="G3791" s="17" t="str">
        <f>IFERROR(__xludf.DUMMYFUNCTION("""COMPUTED_VALUE"""),"232001")</f>
        <v>232001</v>
      </c>
      <c r="H3791" s="17" t="str">
        <f>IFERROR(__xludf.DUMMYFUNCTION("""COMPUTED_VALUE"""),"пакувальні мішки")</f>
        <v>пакувальні мішки</v>
      </c>
      <c r="I3791" s="19">
        <f>IFERROR(__xludf.DUMMYFUNCTION("""COMPUTED_VALUE"""),0.0779)</f>
        <v>0.0779</v>
      </c>
      <c r="J3791" s="19">
        <f>IFERROR(__xludf.DUMMYFUNCTION("""COMPUTED_VALUE"""),0.1557)</f>
        <v>0.1557</v>
      </c>
      <c r="K3791" s="19">
        <f>IFERROR(__xludf.DUMMYFUNCTION("""COMPUTED_VALUE"""),0.1946)</f>
        <v>0.1946</v>
      </c>
      <c r="L3791" s="19">
        <f>IFERROR(__xludf.DUMMYFUNCTION("""COMPUTED_VALUE"""),0.2336)</f>
        <v>0.2336</v>
      </c>
      <c r="M3791" s="18">
        <f>IFERROR(__xludf.DUMMYFUNCTION("""COMPUTED_VALUE"""),4.41)</f>
        <v>4.41</v>
      </c>
    </row>
    <row r="3792">
      <c r="A3792" s="13" t="str">
        <f>IFERROR(__xludf.DUMMYFUNCTION("""COMPUTED_VALUE"""),"товари")</f>
        <v>товари</v>
      </c>
      <c r="B3792" s="16" t="str">
        <f>IFERROR(__xludf.DUMMYFUNCTION("""COMPUTED_VALUE"""),"тара та упаковка")</f>
        <v>тара та упаковка</v>
      </c>
      <c r="C3792" s="16" t="str">
        <f>IFERROR(__xludf.DUMMYFUNCTION("""COMPUTED_VALUE"""),"пакувальні матеріали")</f>
        <v>пакувальні матеріали</v>
      </c>
      <c r="D3792" s="16" t="str">
        <f>IFERROR(__xludf.DUMMYFUNCTION("""COMPUTED_VALUE"""),"мотузкові вироби")</f>
        <v>мотузкові вироби</v>
      </c>
      <c r="E3792" s="16" t="str">
        <f>IFERROR(__xludf.DUMMYFUNCTION("""COMPUTED_VALUE"""),"пакувальні мотузки")</f>
        <v>пакувальні мотузки</v>
      </c>
      <c r="F3792" s="17">
        <f>IFERROR(__xludf.DUMMYFUNCTION("""COMPUTED_VALUE"""),4.0)</f>
        <v>4</v>
      </c>
      <c r="G3792" s="17" t="str">
        <f>IFERROR(__xludf.DUMMYFUNCTION("""COMPUTED_VALUE"""),"230633")</f>
        <v>230633</v>
      </c>
      <c r="H3792" s="17" t="str">
        <f>IFERROR(__xludf.DUMMYFUNCTION("""COMPUTED_VALUE"""),"пакувальні мотузки")</f>
        <v>пакувальні мотузки</v>
      </c>
      <c r="I3792" s="19">
        <f>IFERROR(__xludf.DUMMYFUNCTION("""COMPUTED_VALUE"""),0.0727)</f>
        <v>0.0727</v>
      </c>
      <c r="J3792" s="19">
        <f>IFERROR(__xludf.DUMMYFUNCTION("""COMPUTED_VALUE"""),0.1453)</f>
        <v>0.1453</v>
      </c>
      <c r="K3792" s="19">
        <f>IFERROR(__xludf.DUMMYFUNCTION("""COMPUTED_VALUE"""),0.1816)</f>
        <v>0.1816</v>
      </c>
      <c r="L3792" s="19">
        <f>IFERROR(__xludf.DUMMYFUNCTION("""COMPUTED_VALUE"""),0.218)</f>
        <v>0.218</v>
      </c>
      <c r="M3792" s="18">
        <f>IFERROR(__xludf.DUMMYFUNCTION("""COMPUTED_VALUE"""),2.53)</f>
        <v>2.53</v>
      </c>
    </row>
    <row r="3793">
      <c r="A3793" s="13" t="str">
        <f>IFERROR(__xludf.DUMMYFUNCTION("""COMPUTED_VALUE"""),"товари")</f>
        <v>товари</v>
      </c>
      <c r="B3793" s="16" t="str">
        <f>IFERROR(__xludf.DUMMYFUNCTION("""COMPUTED_VALUE"""),"тара та упаковка")</f>
        <v>тара та упаковка</v>
      </c>
      <c r="C3793" s="16" t="str">
        <f>IFERROR(__xludf.DUMMYFUNCTION("""COMPUTED_VALUE"""),"пакувальні матеріали")</f>
        <v>пакувальні матеріали</v>
      </c>
      <c r="D3793" s="16" t="str">
        <f>IFERROR(__xludf.DUMMYFUNCTION("""COMPUTED_VALUE"""),"пакувальні стяжки")</f>
        <v>пакувальні стяжки</v>
      </c>
      <c r="E3793" s="16" t="str">
        <f>IFERROR(__xludf.DUMMYFUNCTION("""COMPUTED_VALUE"""),"пакувальні стяжки")</f>
        <v>пакувальні стяжки</v>
      </c>
      <c r="F3793" s="22">
        <f>IFERROR(__xludf.DUMMYFUNCTION("""COMPUTED_VALUE"""),3.0)</f>
        <v>3</v>
      </c>
      <c r="G3793" s="17" t="str">
        <f>IFERROR(__xludf.DUMMYFUNCTION("""COMPUTED_VALUE"""),"230653")</f>
        <v>230653</v>
      </c>
      <c r="H3793" s="17" t="str">
        <f>IFERROR(__xludf.DUMMYFUNCTION("""COMPUTED_VALUE"""),"пакувальні стяжки")</f>
        <v>пакувальні стяжки</v>
      </c>
      <c r="I3793" s="19">
        <f>IFERROR(__xludf.DUMMYFUNCTION("""COMPUTED_VALUE"""),0.0501)</f>
        <v>0.0501</v>
      </c>
      <c r="J3793" s="19">
        <f>IFERROR(__xludf.DUMMYFUNCTION("""COMPUTED_VALUE"""),0.1001)</f>
        <v>0.1001</v>
      </c>
      <c r="K3793" s="19">
        <f>IFERROR(__xludf.DUMMYFUNCTION("""COMPUTED_VALUE"""),0.1251)</f>
        <v>0.1251</v>
      </c>
      <c r="L3793" s="19">
        <f>IFERROR(__xludf.DUMMYFUNCTION("""COMPUTED_VALUE"""),0.1502)</f>
        <v>0.1502</v>
      </c>
      <c r="M3793" s="28">
        <f>IFERROR(__xludf.DUMMYFUNCTION("""COMPUTED_VALUE"""),1.44)</f>
        <v>1.44</v>
      </c>
    </row>
    <row r="3794">
      <c r="A3794" s="13" t="str">
        <f>IFERROR(__xludf.DUMMYFUNCTION("""COMPUTED_VALUE"""),"товари")</f>
        <v>товари</v>
      </c>
      <c r="B3794" s="16" t="str">
        <f>IFERROR(__xludf.DUMMYFUNCTION("""COMPUTED_VALUE"""),"тара та упаковка")</f>
        <v>тара та упаковка</v>
      </c>
      <c r="C3794" s="16" t="str">
        <f>IFERROR(__xludf.DUMMYFUNCTION("""COMPUTED_VALUE"""),"паперова продукція та упаковка")</f>
        <v>паперова продукція та упаковка</v>
      </c>
      <c r="D3794" s="16" t="str">
        <f>IFERROR(__xludf.DUMMYFUNCTION("""COMPUTED_VALUE"""),"паперові кондитерські серветки та форми")</f>
        <v>паперові кондитерські серветки та форми</v>
      </c>
      <c r="E3794" s="16" t="str">
        <f>IFERROR(__xludf.DUMMYFUNCTION("""COMPUTED_VALUE"""),"паперові кондитерські серветки та форми")</f>
        <v>паперові кондитерські серветки та форми</v>
      </c>
      <c r="F3794" s="17">
        <f>IFERROR(__xludf.DUMMYFUNCTION("""COMPUTED_VALUE"""),3.0)</f>
        <v>3</v>
      </c>
      <c r="G3794" s="17" t="str">
        <f>IFERROR(__xludf.DUMMYFUNCTION("""COMPUTED_VALUE"""),"230115")</f>
        <v>230115</v>
      </c>
      <c r="H3794" s="17" t="str">
        <f>IFERROR(__xludf.DUMMYFUNCTION("""COMPUTED_VALUE"""),"паперові кондитерські серветки та форми")</f>
        <v>паперові кондитерські серветки та форми</v>
      </c>
      <c r="I3794" s="19">
        <f>IFERROR(__xludf.DUMMYFUNCTION("""COMPUTED_VALUE"""),0.0739)</f>
        <v>0.0739</v>
      </c>
      <c r="J3794" s="19">
        <f>IFERROR(__xludf.DUMMYFUNCTION("""COMPUTED_VALUE"""),0.1478)</f>
        <v>0.1478</v>
      </c>
      <c r="K3794" s="19">
        <f>IFERROR(__xludf.DUMMYFUNCTION("""COMPUTED_VALUE"""),0.1848)</f>
        <v>0.1848</v>
      </c>
      <c r="L3794" s="19">
        <f>IFERROR(__xludf.DUMMYFUNCTION("""COMPUTED_VALUE"""),0.2217)</f>
        <v>0.2217</v>
      </c>
      <c r="M3794" s="18">
        <f>IFERROR(__xludf.DUMMYFUNCTION("""COMPUTED_VALUE"""),1.05)</f>
        <v>1.05</v>
      </c>
    </row>
    <row r="3795">
      <c r="A3795" s="13" t="str">
        <f>IFERROR(__xludf.DUMMYFUNCTION("""COMPUTED_VALUE"""),"товари")</f>
        <v>товари</v>
      </c>
      <c r="B3795" s="16" t="str">
        <f>IFERROR(__xludf.DUMMYFUNCTION("""COMPUTED_VALUE"""),"тара та упаковка")</f>
        <v>тара та упаковка</v>
      </c>
      <c r="C3795" s="16" t="str">
        <f>IFERROR(__xludf.DUMMYFUNCTION("""COMPUTED_VALUE"""),"паперова продукція та упаковка")</f>
        <v>паперова продукція та упаковка</v>
      </c>
      <c r="D3795" s="16" t="str">
        <f>IFERROR(__xludf.DUMMYFUNCTION("""COMPUTED_VALUE"""),"паперові пакети, коробки та тубуси")</f>
        <v>паперові пакети, коробки та тубуси</v>
      </c>
      <c r="E3795" s="16" t="str">
        <f>IFERROR(__xludf.DUMMYFUNCTION("""COMPUTED_VALUE"""),"паперові пакети, коробки та тубуси")</f>
        <v>паперові пакети, коробки та тубуси</v>
      </c>
      <c r="F3795" s="17">
        <f>IFERROR(__xludf.DUMMYFUNCTION("""COMPUTED_VALUE"""),3.0)</f>
        <v>3</v>
      </c>
      <c r="G3795" s="17" t="str">
        <f>IFERROR(__xludf.DUMMYFUNCTION("""COMPUTED_VALUE"""),"230106")</f>
        <v>230106</v>
      </c>
      <c r="H3795" s="17" t="str">
        <f>IFERROR(__xludf.DUMMYFUNCTION("""COMPUTED_VALUE"""),"паперові пакети, коробки та тубуси")</f>
        <v>паперові пакети, коробки та тубуси</v>
      </c>
      <c r="I3795" s="19">
        <f>IFERROR(__xludf.DUMMYFUNCTION("""COMPUTED_VALUE"""),0.0765)</f>
        <v>0.0765</v>
      </c>
      <c r="J3795" s="19">
        <f>IFERROR(__xludf.DUMMYFUNCTION("""COMPUTED_VALUE"""),0.1529)</f>
        <v>0.1529</v>
      </c>
      <c r="K3795" s="19">
        <f>IFERROR(__xludf.DUMMYFUNCTION("""COMPUTED_VALUE"""),0.1911)</f>
        <v>0.1911</v>
      </c>
      <c r="L3795" s="19">
        <f>IFERROR(__xludf.DUMMYFUNCTION("""COMPUTED_VALUE"""),0.2294)</f>
        <v>0.2294</v>
      </c>
      <c r="M3795" s="18">
        <f>IFERROR(__xludf.DUMMYFUNCTION("""COMPUTED_VALUE"""),4.8)</f>
        <v>4.8</v>
      </c>
    </row>
    <row r="3796">
      <c r="A3796" s="13" t="str">
        <f>IFERROR(__xludf.DUMMYFUNCTION("""COMPUTED_VALUE"""),"товари")</f>
        <v>товари</v>
      </c>
      <c r="B3796" s="16" t="str">
        <f>IFERROR(__xludf.DUMMYFUNCTION("""COMPUTED_VALUE"""),"тара та упаковка")</f>
        <v>тара та упаковка</v>
      </c>
      <c r="C3796" s="16" t="str">
        <f>IFERROR(__xludf.DUMMYFUNCTION("""COMPUTED_VALUE"""),"пакувальні матеріали")</f>
        <v>пакувальні матеріали</v>
      </c>
      <c r="D3796" s="16" t="str">
        <f>IFERROR(__xludf.DUMMYFUNCTION("""COMPUTED_VALUE"""),"пластикові ємності")</f>
        <v>пластикові ємності</v>
      </c>
      <c r="E3796" s="16" t="str">
        <f>IFERROR(__xludf.DUMMYFUNCTION("""COMPUTED_VALUE"""),"пластикові бідони та фляги")</f>
        <v>пластикові бідони та фляги</v>
      </c>
      <c r="F3796" s="17">
        <f>IFERROR(__xludf.DUMMYFUNCTION("""COMPUTED_VALUE"""),4.0)</f>
        <v>4</v>
      </c>
      <c r="G3796" s="17" t="str">
        <f>IFERROR(__xludf.DUMMYFUNCTION("""COMPUTED_VALUE"""),"232008")</f>
        <v>232008</v>
      </c>
      <c r="H3796" s="17" t="str">
        <f>IFERROR(__xludf.DUMMYFUNCTION("""COMPUTED_VALUE"""),"пластикові бідони та фляги")</f>
        <v>пластикові бідони та фляги</v>
      </c>
      <c r="I3796" s="19">
        <f>IFERROR(__xludf.DUMMYFUNCTION("""COMPUTED_VALUE"""),0.0758)</f>
        <v>0.0758</v>
      </c>
      <c r="J3796" s="19">
        <f>IFERROR(__xludf.DUMMYFUNCTION("""COMPUTED_VALUE"""),0.1515)</f>
        <v>0.1515</v>
      </c>
      <c r="K3796" s="19">
        <f>IFERROR(__xludf.DUMMYFUNCTION("""COMPUTED_VALUE"""),0.1894)</f>
        <v>0.1894</v>
      </c>
      <c r="L3796" s="19">
        <f>IFERROR(__xludf.DUMMYFUNCTION("""COMPUTED_VALUE"""),0.2273)</f>
        <v>0.2273</v>
      </c>
      <c r="M3796" s="18">
        <f>IFERROR(__xludf.DUMMYFUNCTION("""COMPUTED_VALUE"""),1.53)</f>
        <v>1.53</v>
      </c>
    </row>
    <row r="3797">
      <c r="A3797" s="13" t="str">
        <f>IFERROR(__xludf.DUMMYFUNCTION("""COMPUTED_VALUE"""),"товари")</f>
        <v>товари</v>
      </c>
      <c r="B3797" s="16" t="str">
        <f>IFERROR(__xludf.DUMMYFUNCTION("""COMPUTED_VALUE"""),"тара та упаковка")</f>
        <v>тара та упаковка</v>
      </c>
      <c r="C3797" s="16" t="str">
        <f>IFERROR(__xludf.DUMMYFUNCTION("""COMPUTED_VALUE"""),"пакувальні матеріали")</f>
        <v>пакувальні матеріали</v>
      </c>
      <c r="D3797" s="16" t="str">
        <f>IFERROR(__xludf.DUMMYFUNCTION("""COMPUTED_VALUE"""),"пластикові ємності")</f>
        <v>пластикові ємності</v>
      </c>
      <c r="E3797" s="16" t="str">
        <f>IFERROR(__xludf.DUMMYFUNCTION("""COMPUTED_VALUE"""),"пластикові каністри")</f>
        <v>пластикові каністри</v>
      </c>
      <c r="F3797" s="17">
        <f>IFERROR(__xludf.DUMMYFUNCTION("""COMPUTED_VALUE"""),4.0)</f>
        <v>4</v>
      </c>
      <c r="G3797" s="17" t="str">
        <f>IFERROR(__xludf.DUMMYFUNCTION("""COMPUTED_VALUE"""),"230649")</f>
        <v>230649</v>
      </c>
      <c r="H3797" s="17" t="str">
        <f>IFERROR(__xludf.DUMMYFUNCTION("""COMPUTED_VALUE"""),"пластикові каністри")</f>
        <v>пластикові каністри</v>
      </c>
      <c r="I3797" s="19">
        <f>IFERROR(__xludf.DUMMYFUNCTION("""COMPUTED_VALUE"""),0.0758)</f>
        <v>0.0758</v>
      </c>
      <c r="J3797" s="19">
        <f>IFERROR(__xludf.DUMMYFUNCTION("""COMPUTED_VALUE"""),0.1515)</f>
        <v>0.1515</v>
      </c>
      <c r="K3797" s="19">
        <f>IFERROR(__xludf.DUMMYFUNCTION("""COMPUTED_VALUE"""),0.1894)</f>
        <v>0.1894</v>
      </c>
      <c r="L3797" s="19">
        <f>IFERROR(__xludf.DUMMYFUNCTION("""COMPUTED_VALUE"""),0.2273)</f>
        <v>0.2273</v>
      </c>
      <c r="M3797" s="18">
        <f>IFERROR(__xludf.DUMMYFUNCTION("""COMPUTED_VALUE"""),1.53)</f>
        <v>1.53</v>
      </c>
    </row>
    <row r="3798">
      <c r="A3798" s="13" t="str">
        <f>IFERROR(__xludf.DUMMYFUNCTION("""COMPUTED_VALUE"""),"товари")</f>
        <v>товари</v>
      </c>
      <c r="B3798" s="16" t="str">
        <f>IFERROR(__xludf.DUMMYFUNCTION("""COMPUTED_VALUE"""),"тара та упаковка")</f>
        <v>тара та упаковка</v>
      </c>
      <c r="C3798" s="16" t="str">
        <f>IFERROR(__xludf.DUMMYFUNCTION("""COMPUTED_VALUE"""),"упаковка для транспортування")</f>
        <v>упаковка для транспортування</v>
      </c>
      <c r="D3798" s="16" t="str">
        <f>IFERROR(__xludf.DUMMYFUNCTION("""COMPUTED_VALUE"""),"пластикові контейнери")</f>
        <v>пластикові контейнери</v>
      </c>
      <c r="E3798" s="16" t="str">
        <f>IFERROR(__xludf.DUMMYFUNCTION("""COMPUTED_VALUE"""),"пластикові контейнери")</f>
        <v>пластикові контейнери</v>
      </c>
      <c r="F3798" s="17">
        <f>IFERROR(__xludf.DUMMYFUNCTION("""COMPUTED_VALUE"""),3.0)</f>
        <v>3</v>
      </c>
      <c r="G3798" s="17" t="str">
        <f>IFERROR(__xludf.DUMMYFUNCTION("""COMPUTED_VALUE"""),"232014")</f>
        <v>232014</v>
      </c>
      <c r="H3798" s="17" t="str">
        <f>IFERROR(__xludf.DUMMYFUNCTION("""COMPUTED_VALUE"""),"пластикові контейнери")</f>
        <v>пластикові контейнери</v>
      </c>
      <c r="I3798" s="19">
        <f>IFERROR(__xludf.DUMMYFUNCTION("""COMPUTED_VALUE"""),0.0634)</f>
        <v>0.0634</v>
      </c>
      <c r="J3798" s="19">
        <f>IFERROR(__xludf.DUMMYFUNCTION("""COMPUTED_VALUE"""),0.1268)</f>
        <v>0.1268</v>
      </c>
      <c r="K3798" s="19">
        <f>IFERROR(__xludf.DUMMYFUNCTION("""COMPUTED_VALUE"""),0.1585)</f>
        <v>0.1585</v>
      </c>
      <c r="L3798" s="19">
        <f>IFERROR(__xludf.DUMMYFUNCTION("""COMPUTED_VALUE"""),0.1902)</f>
        <v>0.1902</v>
      </c>
      <c r="M3798" s="18">
        <f>IFERROR(__xludf.DUMMYFUNCTION("""COMPUTED_VALUE"""),3.33)</f>
        <v>3.33</v>
      </c>
    </row>
    <row r="3799">
      <c r="A3799" s="13" t="str">
        <f>IFERROR(__xludf.DUMMYFUNCTION("""COMPUTED_VALUE"""),"товари")</f>
        <v>товари</v>
      </c>
      <c r="B3799" s="16" t="str">
        <f>IFERROR(__xludf.DUMMYFUNCTION("""COMPUTED_VALUE"""),"тара та упаковка")</f>
        <v>тара та упаковка</v>
      </c>
      <c r="C3799" s="16" t="str">
        <f>IFERROR(__xludf.DUMMYFUNCTION("""COMPUTED_VALUE"""),"пакувальні матеріали")</f>
        <v>пакувальні матеріали</v>
      </c>
      <c r="D3799" s="16" t="str">
        <f>IFERROR(__xludf.DUMMYFUNCTION("""COMPUTED_VALUE"""),"пластикові ємності")</f>
        <v>пластикові ємності</v>
      </c>
      <c r="E3799" s="16" t="str">
        <f>IFERROR(__xludf.DUMMYFUNCTION("""COMPUTED_VALUE"""),"пластикові пляшки")</f>
        <v>пластикові пляшки</v>
      </c>
      <c r="F3799" s="17">
        <f>IFERROR(__xludf.DUMMYFUNCTION("""COMPUTED_VALUE"""),4.0)</f>
        <v>4</v>
      </c>
      <c r="G3799" s="17">
        <f>IFERROR(__xludf.DUMMYFUNCTION("""COMPUTED_VALUE"""),230623.0)</f>
        <v>230623</v>
      </c>
      <c r="H3799" s="17" t="str">
        <f>IFERROR(__xludf.DUMMYFUNCTION("""COMPUTED_VALUE"""),"пластикові пляшки")</f>
        <v>пластикові пляшки</v>
      </c>
      <c r="I3799" s="19">
        <f>IFERROR(__xludf.DUMMYFUNCTION("""COMPUTED_VALUE"""),0.07575)</f>
        <v>0.07575</v>
      </c>
      <c r="J3799" s="19">
        <f>IFERROR(__xludf.DUMMYFUNCTION("""COMPUTED_VALUE"""),0.1515)</f>
        <v>0.1515</v>
      </c>
      <c r="K3799" s="19">
        <f>IFERROR(__xludf.DUMMYFUNCTION("""COMPUTED_VALUE"""),0.1894)</f>
        <v>0.1894</v>
      </c>
      <c r="L3799" s="19">
        <f>IFERROR(__xludf.DUMMYFUNCTION("""COMPUTED_VALUE"""),0.2273)</f>
        <v>0.2273</v>
      </c>
      <c r="M3799" s="18">
        <f>IFERROR(__xludf.DUMMYFUNCTION("""COMPUTED_VALUE"""),1.53)</f>
        <v>1.53</v>
      </c>
    </row>
    <row r="3800">
      <c r="A3800" s="13" t="str">
        <f>IFERROR(__xludf.DUMMYFUNCTION("""COMPUTED_VALUE"""),"товари")</f>
        <v>товари</v>
      </c>
      <c r="B3800" s="16" t="str">
        <f>IFERROR(__xludf.DUMMYFUNCTION("""COMPUTED_VALUE"""),"тара та упаковка")</f>
        <v>тара та упаковка</v>
      </c>
      <c r="C3800" s="16" t="str">
        <f>IFERROR(__xludf.DUMMYFUNCTION("""COMPUTED_VALUE"""),"промислова упаковка")</f>
        <v>промислова упаковка</v>
      </c>
      <c r="D3800" s="16" t="str">
        <f>IFERROR(__xludf.DUMMYFUNCTION("""COMPUTED_VALUE"""),"промислова упаковка, загальне")</f>
        <v>промислова упаковка, загальне</v>
      </c>
      <c r="E3800" s="16" t="str">
        <f>IFERROR(__xludf.DUMMYFUNCTION("""COMPUTED_VALUE"""),"промислова упаковка, загальне")</f>
        <v>промислова упаковка, загальне</v>
      </c>
      <c r="F3800" s="17">
        <f>IFERROR(__xludf.DUMMYFUNCTION("""COMPUTED_VALUE"""),3.0)</f>
        <v>3</v>
      </c>
      <c r="G3800" s="17" t="str">
        <f>IFERROR(__xludf.DUMMYFUNCTION("""COMPUTED_VALUE"""),"231999")</f>
        <v>231999</v>
      </c>
      <c r="H3800" s="17" t="str">
        <f>IFERROR(__xludf.DUMMYFUNCTION("""COMPUTED_VALUE"""),"промислова упаковка, загальне")</f>
        <v>промислова упаковка, загальне</v>
      </c>
      <c r="I3800" s="19">
        <f>IFERROR(__xludf.DUMMYFUNCTION("""COMPUTED_VALUE"""),0.125)</f>
        <v>0.125</v>
      </c>
      <c r="J3800" s="19">
        <f>IFERROR(__xludf.DUMMYFUNCTION("""COMPUTED_VALUE"""),0.25)</f>
        <v>0.25</v>
      </c>
      <c r="K3800" s="19">
        <f>IFERROR(__xludf.DUMMYFUNCTION("""COMPUTED_VALUE"""),0.3125)</f>
        <v>0.3125</v>
      </c>
      <c r="L3800" s="19">
        <f>IFERROR(__xludf.DUMMYFUNCTION("""COMPUTED_VALUE"""),0.375)</f>
        <v>0.375</v>
      </c>
      <c r="M3800" s="18">
        <f>IFERROR(__xludf.DUMMYFUNCTION("""COMPUTED_VALUE"""),4.33)</f>
        <v>4.33</v>
      </c>
    </row>
    <row r="3801">
      <c r="A3801" s="13" t="str">
        <f>IFERROR(__xludf.DUMMYFUNCTION("""COMPUTED_VALUE"""),"товари")</f>
        <v>товари</v>
      </c>
      <c r="B3801" s="16" t="str">
        <f>IFERROR(__xludf.DUMMYFUNCTION("""COMPUTED_VALUE"""),"тара та упаковка")</f>
        <v>тара та упаковка</v>
      </c>
      <c r="C3801" s="16" t="str">
        <f>IFERROR(__xludf.DUMMYFUNCTION("""COMPUTED_VALUE"""),"спеціальна упаковка")</f>
        <v>спеціальна упаковка</v>
      </c>
      <c r="D3801" s="16" t="str">
        <f>IFERROR(__xludf.DUMMYFUNCTION("""COMPUTED_VALUE"""),"сейф-пакети, кур'єр-пакети")</f>
        <v>сейф-пакети, кур'єр-пакети</v>
      </c>
      <c r="E3801" s="16" t="str">
        <f>IFERROR(__xludf.DUMMYFUNCTION("""COMPUTED_VALUE"""),"сейф-пакети, кур'єр-пакети")</f>
        <v>сейф-пакети, кур'єр-пакети</v>
      </c>
      <c r="F3801" s="17">
        <f>IFERROR(__xludf.DUMMYFUNCTION("""COMPUTED_VALUE"""),3.0)</f>
        <v>3</v>
      </c>
      <c r="G3801" s="17" t="str">
        <f>IFERROR(__xludf.DUMMYFUNCTION("""COMPUTED_VALUE"""),"231001")</f>
        <v>231001</v>
      </c>
      <c r="H3801" s="17" t="str">
        <f>IFERROR(__xludf.DUMMYFUNCTION("""COMPUTED_VALUE"""),"сейф-пакети, кур'єр-пакети")</f>
        <v>сейф-пакети, кур'єр-пакети</v>
      </c>
      <c r="I3801" s="19">
        <f>IFERROR(__xludf.DUMMYFUNCTION("""COMPUTED_VALUE"""),0.0693)</f>
        <v>0.0693</v>
      </c>
      <c r="J3801" s="19">
        <f>IFERROR(__xludf.DUMMYFUNCTION("""COMPUTED_VALUE"""),0.1386)</f>
        <v>0.1386</v>
      </c>
      <c r="K3801" s="19">
        <f>IFERROR(__xludf.DUMMYFUNCTION("""COMPUTED_VALUE"""),0.1733)</f>
        <v>0.1733</v>
      </c>
      <c r="L3801" s="19">
        <f>IFERROR(__xludf.DUMMYFUNCTION("""COMPUTED_VALUE"""),0.2079)</f>
        <v>0.2079</v>
      </c>
      <c r="M3801" s="18">
        <f>IFERROR(__xludf.DUMMYFUNCTION("""COMPUTED_VALUE"""),5.25)</f>
        <v>5.25</v>
      </c>
    </row>
    <row r="3802">
      <c r="A3802" s="13" t="str">
        <f>IFERROR(__xludf.DUMMYFUNCTION("""COMPUTED_VALUE"""),"товари")</f>
        <v>товари</v>
      </c>
      <c r="B3802" s="16" t="str">
        <f>IFERROR(__xludf.DUMMYFUNCTION("""COMPUTED_VALUE"""),"тара та упаковка")</f>
        <v>тара та упаковка</v>
      </c>
      <c r="C3802" s="16" t="str">
        <f>IFERROR(__xludf.DUMMYFUNCTION("""COMPUTED_VALUE"""),"пакувальні матеріали")</f>
        <v>пакувальні матеріали</v>
      </c>
      <c r="D3802" s="16" t="str">
        <f>IFERROR(__xludf.DUMMYFUNCTION("""COMPUTED_VALUE"""),"скляні пакувальні матеріали")</f>
        <v>скляні пакувальні матеріали</v>
      </c>
      <c r="E3802" s="16" t="str">
        <f>IFERROR(__xludf.DUMMYFUNCTION("""COMPUTED_VALUE"""),"скляні пакувальні матеріали, загальне")</f>
        <v>скляні пакувальні матеріали, загальне</v>
      </c>
      <c r="F3802" s="17">
        <f>IFERROR(__xludf.DUMMYFUNCTION("""COMPUTED_VALUE"""),4.0)</f>
        <v>4</v>
      </c>
      <c r="G3802" s="17" t="str">
        <f>IFERROR(__xludf.DUMMYFUNCTION("""COMPUTED_VALUE"""),"230626")</f>
        <v>230626</v>
      </c>
      <c r="H3802" s="17" t="str">
        <f>IFERROR(__xludf.DUMMYFUNCTION("""COMPUTED_VALUE"""),"скляні пакувальні матеріали, загальне")</f>
        <v>скляні пакувальні матеріали, загальне</v>
      </c>
      <c r="I3802" s="19">
        <f>IFERROR(__xludf.DUMMYFUNCTION("""COMPUTED_VALUE"""),0.125)</f>
        <v>0.125</v>
      </c>
      <c r="J3802" s="19">
        <f>IFERROR(__xludf.DUMMYFUNCTION("""COMPUTED_VALUE"""),0.25)</f>
        <v>0.25</v>
      </c>
      <c r="K3802" s="19">
        <f>IFERROR(__xludf.DUMMYFUNCTION("""COMPUTED_VALUE"""),0.3125)</f>
        <v>0.3125</v>
      </c>
      <c r="L3802" s="19">
        <f>IFERROR(__xludf.DUMMYFUNCTION("""COMPUTED_VALUE"""),0.375)</f>
        <v>0.375</v>
      </c>
      <c r="M3802" s="18">
        <f>IFERROR(__xludf.DUMMYFUNCTION("""COMPUTED_VALUE"""),4.33)</f>
        <v>4.33</v>
      </c>
    </row>
    <row r="3803">
      <c r="A3803" s="13" t="str">
        <f>IFERROR(__xludf.DUMMYFUNCTION("""COMPUTED_VALUE"""),"товари")</f>
        <v>товари</v>
      </c>
      <c r="B3803" s="16" t="str">
        <f>IFERROR(__xludf.DUMMYFUNCTION("""COMPUTED_VALUE"""),"тара та упаковка")</f>
        <v>тара та упаковка</v>
      </c>
      <c r="C3803" s="16" t="str">
        <f>IFERROR(__xludf.DUMMYFUNCTION("""COMPUTED_VALUE"""),"пакувальні матеріали")</f>
        <v>пакувальні матеріали</v>
      </c>
      <c r="D3803" s="16" t="str">
        <f>IFERROR(__xludf.DUMMYFUNCTION("""COMPUTED_VALUE"""),"пакувальні плівки")</f>
        <v>пакувальні плівки</v>
      </c>
      <c r="E3803" s="16" t="str">
        <f>IFERROR(__xludf.DUMMYFUNCTION("""COMPUTED_VALUE"""),"стретч-плівка")</f>
        <v>стретч-плівка</v>
      </c>
      <c r="F3803" s="17">
        <f>IFERROR(__xludf.DUMMYFUNCTION("""COMPUTED_VALUE"""),4.0)</f>
        <v>4</v>
      </c>
      <c r="G3803" s="17" t="str">
        <f>IFERROR(__xludf.DUMMYFUNCTION("""COMPUTED_VALUE"""),"230646")</f>
        <v>230646</v>
      </c>
      <c r="H3803" s="17" t="str">
        <f>IFERROR(__xludf.DUMMYFUNCTION("""COMPUTED_VALUE"""),"стретч-плівка")</f>
        <v>стретч-плівка</v>
      </c>
      <c r="I3803" s="19">
        <f>IFERROR(__xludf.DUMMYFUNCTION("""COMPUTED_VALUE"""),0.0647)</f>
        <v>0.0647</v>
      </c>
      <c r="J3803" s="19">
        <f>IFERROR(__xludf.DUMMYFUNCTION("""COMPUTED_VALUE"""),0.1294)</f>
        <v>0.1294</v>
      </c>
      <c r="K3803" s="19">
        <f>IFERROR(__xludf.DUMMYFUNCTION("""COMPUTED_VALUE"""),0.1618)</f>
        <v>0.1618</v>
      </c>
      <c r="L3803" s="19">
        <f>IFERROR(__xludf.DUMMYFUNCTION("""COMPUTED_VALUE"""),0.1941)</f>
        <v>0.1941</v>
      </c>
      <c r="M3803" s="18">
        <f>IFERROR(__xludf.DUMMYFUNCTION("""COMPUTED_VALUE"""),2.7)</f>
        <v>2.7</v>
      </c>
    </row>
    <row r="3804">
      <c r="A3804" s="13" t="str">
        <f>IFERROR(__xludf.DUMMYFUNCTION("""COMPUTED_VALUE"""),"товари")</f>
        <v>товари</v>
      </c>
      <c r="B3804" s="16" t="str">
        <f>IFERROR(__xludf.DUMMYFUNCTION("""COMPUTED_VALUE"""),"тара та упаковка")</f>
        <v>тара та упаковка</v>
      </c>
      <c r="C3804" s="16" t="str">
        <f>IFERROR(__xludf.DUMMYFUNCTION("""COMPUTED_VALUE"""),"пакувальні матеріали")</f>
        <v>пакувальні матеріали</v>
      </c>
      <c r="D3804" s="16" t="str">
        <f>IFERROR(__xludf.DUMMYFUNCTION("""COMPUTED_VALUE"""),"пакувальні плівки")</f>
        <v>пакувальні плівки</v>
      </c>
      <c r="E3804" s="16" t="str">
        <f>IFERROR(__xludf.DUMMYFUNCTION("""COMPUTED_VALUE"""),"термозбіжна плівка")</f>
        <v>термозбіжна плівка</v>
      </c>
      <c r="F3804" s="17">
        <f>IFERROR(__xludf.DUMMYFUNCTION("""COMPUTED_VALUE"""),4.0)</f>
        <v>4</v>
      </c>
      <c r="G3804" s="17" t="str">
        <f>IFERROR(__xludf.DUMMYFUNCTION("""COMPUTED_VALUE"""),"230610")</f>
        <v>230610</v>
      </c>
      <c r="H3804" s="17" t="str">
        <f>IFERROR(__xludf.DUMMYFUNCTION("""COMPUTED_VALUE"""),"термозбіжна плівка")</f>
        <v>термозбіжна плівка</v>
      </c>
      <c r="I3804" s="19">
        <f>IFERROR(__xludf.DUMMYFUNCTION("""COMPUTED_VALUE"""),0.0571)</f>
        <v>0.0571</v>
      </c>
      <c r="J3804" s="19">
        <f>IFERROR(__xludf.DUMMYFUNCTION("""COMPUTED_VALUE"""),0.1142)</f>
        <v>0.1142</v>
      </c>
      <c r="K3804" s="19">
        <f>IFERROR(__xludf.DUMMYFUNCTION("""COMPUTED_VALUE"""),0.1428)</f>
        <v>0.1428</v>
      </c>
      <c r="L3804" s="19">
        <f>IFERROR(__xludf.DUMMYFUNCTION("""COMPUTED_VALUE"""),0.1713)</f>
        <v>0.1713</v>
      </c>
      <c r="M3804" s="18">
        <f>IFERROR(__xludf.DUMMYFUNCTION("""COMPUTED_VALUE"""),2.7)</f>
        <v>2.7</v>
      </c>
    </row>
    <row r="3805">
      <c r="A3805" s="13" t="str">
        <f>IFERROR(__xludf.DUMMYFUNCTION("""COMPUTED_VALUE"""),"товари")</f>
        <v>товари</v>
      </c>
      <c r="B3805" s="16" t="str">
        <f>IFERROR(__xludf.DUMMYFUNCTION("""COMPUTED_VALUE"""),"тара та упаковка")</f>
        <v>тара та упаковка</v>
      </c>
      <c r="C3805" s="16" t="str">
        <f>IFERROR(__xludf.DUMMYFUNCTION("""COMPUTED_VALUE"""),"пакувальні матеріали")</f>
        <v>пакувальні матеріали</v>
      </c>
      <c r="D3805" s="16" t="str">
        <f>IFERROR(__xludf.DUMMYFUNCTION("""COMPUTED_VALUE"""),"термоізоляційні пакети для сфери торгівлі")</f>
        <v>термоізоляційні пакети для сфери торгівлі</v>
      </c>
      <c r="E3805" s="16" t="str">
        <f>IFERROR(__xludf.DUMMYFUNCTION("""COMPUTED_VALUE"""),"термоізоляційні пакети для сфери торгівлі")</f>
        <v>термоізоляційні пакети для сфери торгівлі</v>
      </c>
      <c r="F3805" s="17">
        <f>IFERROR(__xludf.DUMMYFUNCTION("""COMPUTED_VALUE"""),3.0)</f>
        <v>3</v>
      </c>
      <c r="G3805" s="17" t="str">
        <f>IFERROR(__xludf.DUMMYFUNCTION("""COMPUTED_VALUE"""),"230638")</f>
        <v>230638</v>
      </c>
      <c r="H3805" s="17" t="str">
        <f>IFERROR(__xludf.DUMMYFUNCTION("""COMPUTED_VALUE"""),"термоізоляційні пакети для сфери торгівлі")</f>
        <v>термоізоляційні пакети для сфери торгівлі</v>
      </c>
      <c r="I3805" s="19">
        <f>IFERROR(__xludf.DUMMYFUNCTION("""COMPUTED_VALUE"""),0.0539)</f>
        <v>0.0539</v>
      </c>
      <c r="J3805" s="19">
        <f>IFERROR(__xludf.DUMMYFUNCTION("""COMPUTED_VALUE"""),0.1078)</f>
        <v>0.1078</v>
      </c>
      <c r="K3805" s="19">
        <f>IFERROR(__xludf.DUMMYFUNCTION("""COMPUTED_VALUE"""),0.1348)</f>
        <v>0.1348</v>
      </c>
      <c r="L3805" s="19">
        <f>IFERROR(__xludf.DUMMYFUNCTION("""COMPUTED_VALUE"""),0.1617)</f>
        <v>0.1617</v>
      </c>
      <c r="M3805" s="18">
        <f>IFERROR(__xludf.DUMMYFUNCTION("""COMPUTED_VALUE"""),2.34)</f>
        <v>2.34</v>
      </c>
    </row>
    <row r="3806">
      <c r="A3806" s="13" t="str">
        <f>IFERROR(__xludf.DUMMYFUNCTION("""COMPUTED_VALUE"""),"товари")</f>
        <v>товари</v>
      </c>
      <c r="B3806" s="16" t="str">
        <f>IFERROR(__xludf.DUMMYFUNCTION("""COMPUTED_VALUE"""),"тара та упаковка")</f>
        <v>тара та упаковка</v>
      </c>
      <c r="C3806" s="16" t="str">
        <f>IFERROR(__xludf.DUMMYFUNCTION("""COMPUTED_VALUE"""),"пакувальні матеріали")</f>
        <v>пакувальні матеріали</v>
      </c>
      <c r="D3806" s="16" t="str">
        <f>IFERROR(__xludf.DUMMYFUNCTION("""COMPUTED_VALUE"""),"пакувальні плівки")</f>
        <v>пакувальні плівки</v>
      </c>
      <c r="E3806" s="16" t="str">
        <f>IFERROR(__xludf.DUMMYFUNCTION("""COMPUTED_VALUE"""),"тефлонова плівка")</f>
        <v>тефлонова плівка</v>
      </c>
      <c r="F3806" s="17">
        <f>IFERROR(__xludf.DUMMYFUNCTION("""COMPUTED_VALUE"""),4.0)</f>
        <v>4</v>
      </c>
      <c r="G3806" s="17" t="str">
        <f>IFERROR(__xludf.DUMMYFUNCTION("""COMPUTED_VALUE"""),"230635")</f>
        <v>230635</v>
      </c>
      <c r="H3806" s="17" t="str">
        <f>IFERROR(__xludf.DUMMYFUNCTION("""COMPUTED_VALUE"""),"тефлонова плівка")</f>
        <v>тефлонова плівка</v>
      </c>
      <c r="I3806" s="19">
        <f>IFERROR(__xludf.DUMMYFUNCTION("""COMPUTED_VALUE"""),0.0647)</f>
        <v>0.0647</v>
      </c>
      <c r="J3806" s="19">
        <f>IFERROR(__xludf.DUMMYFUNCTION("""COMPUTED_VALUE"""),0.1294)</f>
        <v>0.1294</v>
      </c>
      <c r="K3806" s="19">
        <f>IFERROR(__xludf.DUMMYFUNCTION("""COMPUTED_VALUE"""),0.1618)</f>
        <v>0.1618</v>
      </c>
      <c r="L3806" s="19">
        <f>IFERROR(__xludf.DUMMYFUNCTION("""COMPUTED_VALUE"""),0.1941)</f>
        <v>0.1941</v>
      </c>
      <c r="M3806" s="18">
        <f>IFERROR(__xludf.DUMMYFUNCTION("""COMPUTED_VALUE"""),2.7)</f>
        <v>2.7</v>
      </c>
    </row>
    <row r="3807">
      <c r="A3807" s="13" t="str">
        <f>IFERROR(__xludf.DUMMYFUNCTION("""COMPUTED_VALUE"""),"товари")</f>
        <v>товари</v>
      </c>
      <c r="B3807" s="16" t="str">
        <f>IFERROR(__xludf.DUMMYFUNCTION("""COMPUTED_VALUE"""),"тара та упаковка")</f>
        <v>тара та упаковка</v>
      </c>
      <c r="C3807" s="16" t="str">
        <f>IFERROR(__xludf.DUMMYFUNCTION("""COMPUTED_VALUE"""),"пакувальні матеріали")</f>
        <v>пакувальні матеріали</v>
      </c>
      <c r="D3807" s="16" t="str">
        <f>IFERROR(__xludf.DUMMYFUNCTION("""COMPUTED_VALUE"""),"мотузкові вироби")</f>
        <v>мотузкові вироби</v>
      </c>
      <c r="E3807" s="16" t="str">
        <f>IFERROR(__xludf.DUMMYFUNCTION("""COMPUTED_VALUE"""),"технічні стрічки")</f>
        <v>технічні стрічки</v>
      </c>
      <c r="F3807" s="17">
        <f>IFERROR(__xludf.DUMMYFUNCTION("""COMPUTED_VALUE"""),4.0)</f>
        <v>4</v>
      </c>
      <c r="G3807" s="17" t="str">
        <f>IFERROR(__xludf.DUMMYFUNCTION("""COMPUTED_VALUE"""),"230656")</f>
        <v>230656</v>
      </c>
      <c r="H3807" s="17" t="str">
        <f>IFERROR(__xludf.DUMMYFUNCTION("""COMPUTED_VALUE"""),"технічні стрічки")</f>
        <v>технічні стрічки</v>
      </c>
      <c r="I3807" s="19">
        <f>IFERROR(__xludf.DUMMYFUNCTION("""COMPUTED_VALUE"""),0.0727)</f>
        <v>0.0727</v>
      </c>
      <c r="J3807" s="19">
        <f>IFERROR(__xludf.DUMMYFUNCTION("""COMPUTED_VALUE"""),0.1453)</f>
        <v>0.1453</v>
      </c>
      <c r="K3807" s="19">
        <f>IFERROR(__xludf.DUMMYFUNCTION("""COMPUTED_VALUE"""),0.1816)</f>
        <v>0.1816</v>
      </c>
      <c r="L3807" s="19">
        <f>IFERROR(__xludf.DUMMYFUNCTION("""COMPUTED_VALUE"""),0.218)</f>
        <v>0.218</v>
      </c>
      <c r="M3807" s="18">
        <f>IFERROR(__xludf.DUMMYFUNCTION("""COMPUTED_VALUE"""),2.53)</f>
        <v>2.53</v>
      </c>
    </row>
    <row r="3808">
      <c r="A3808" s="13" t="str">
        <f>IFERROR(__xludf.DUMMYFUNCTION("""COMPUTED_VALUE"""),"товари")</f>
        <v>товари</v>
      </c>
      <c r="B3808" s="16" t="str">
        <f>IFERROR(__xludf.DUMMYFUNCTION("""COMPUTED_VALUE"""),"тара та упаковка")</f>
        <v>тара та упаковка</v>
      </c>
      <c r="C3808" s="16" t="str">
        <f>IFERROR(__xludf.DUMMYFUNCTION("""COMPUTED_VALUE"""),"пакувальні матеріали")</f>
        <v>пакувальні матеріали</v>
      </c>
      <c r="D3808" s="16" t="str">
        <f>IFERROR(__xludf.DUMMYFUNCTION("""COMPUTED_VALUE"""),"тримачі")</f>
        <v>тримачі</v>
      </c>
      <c r="E3808" s="16" t="str">
        <f>IFERROR(__xludf.DUMMYFUNCTION("""COMPUTED_VALUE"""),"тримачі")</f>
        <v>тримачі</v>
      </c>
      <c r="F3808" s="17">
        <f>IFERROR(__xludf.DUMMYFUNCTION("""COMPUTED_VALUE"""),3.0)</f>
        <v>3</v>
      </c>
      <c r="G3808" s="17" t="str">
        <f>IFERROR(__xludf.DUMMYFUNCTION("""COMPUTED_VALUE"""),"230608")</f>
        <v>230608</v>
      </c>
      <c r="H3808" s="17" t="str">
        <f>IFERROR(__xludf.DUMMYFUNCTION("""COMPUTED_VALUE"""),"тримачі")</f>
        <v>тримачі</v>
      </c>
      <c r="I3808" s="19">
        <f>IFERROR(__xludf.DUMMYFUNCTION("""COMPUTED_VALUE"""),0.0508)</f>
        <v>0.0508</v>
      </c>
      <c r="J3808" s="19">
        <f>IFERROR(__xludf.DUMMYFUNCTION("""COMPUTED_VALUE"""),0.1016)</f>
        <v>0.1016</v>
      </c>
      <c r="K3808" s="19">
        <f>IFERROR(__xludf.DUMMYFUNCTION("""COMPUTED_VALUE"""),0.127)</f>
        <v>0.127</v>
      </c>
      <c r="L3808" s="19">
        <f>IFERROR(__xludf.DUMMYFUNCTION("""COMPUTED_VALUE"""),0.1524)</f>
        <v>0.1524</v>
      </c>
      <c r="M3808" s="18">
        <f>IFERROR(__xludf.DUMMYFUNCTION("""COMPUTED_VALUE"""),1.98)</f>
        <v>1.98</v>
      </c>
    </row>
    <row r="3809">
      <c r="A3809" s="13" t="str">
        <f>IFERROR(__xludf.DUMMYFUNCTION("""COMPUTED_VALUE"""),"товари")</f>
        <v>товари</v>
      </c>
      <c r="B3809" s="16" t="str">
        <f>IFERROR(__xludf.DUMMYFUNCTION("""COMPUTED_VALUE"""),"тара та упаковка")</f>
        <v>тара та упаковка</v>
      </c>
      <c r="C3809" s="16" t="str">
        <f>IFERROR(__xludf.DUMMYFUNCTION("""COMPUTED_VALUE"""),"пакувальні матеріали")</f>
        <v>пакувальні матеріали</v>
      </c>
      <c r="D3809" s="16" t="str">
        <f>IFERROR(__xludf.DUMMYFUNCTION("""COMPUTED_VALUE"""),"пакувальні плівки")</f>
        <v>пакувальні плівки</v>
      </c>
      <c r="E3809" s="16" t="str">
        <f>IFERROR(__xludf.DUMMYFUNCTION("""COMPUTED_VALUE"""),"універсальні плівки")</f>
        <v>універсальні плівки</v>
      </c>
      <c r="F3809" s="17">
        <f>IFERROR(__xludf.DUMMYFUNCTION("""COMPUTED_VALUE"""),4.0)</f>
        <v>4</v>
      </c>
      <c r="G3809" s="17" t="str">
        <f>IFERROR(__xludf.DUMMYFUNCTION("""COMPUTED_VALUE"""),"230654")</f>
        <v>230654</v>
      </c>
      <c r="H3809" s="17" t="str">
        <f>IFERROR(__xludf.DUMMYFUNCTION("""COMPUTED_VALUE"""),"універсальні плівки")</f>
        <v>універсальні плівки</v>
      </c>
      <c r="I3809" s="19">
        <f>IFERROR(__xludf.DUMMYFUNCTION("""COMPUTED_VALUE"""),0.0571)</f>
        <v>0.0571</v>
      </c>
      <c r="J3809" s="19">
        <f>IFERROR(__xludf.DUMMYFUNCTION("""COMPUTED_VALUE"""),0.1142)</f>
        <v>0.1142</v>
      </c>
      <c r="K3809" s="19">
        <f>IFERROR(__xludf.DUMMYFUNCTION("""COMPUTED_VALUE"""),0.1428)</f>
        <v>0.1428</v>
      </c>
      <c r="L3809" s="19">
        <f>IFERROR(__xludf.DUMMYFUNCTION("""COMPUTED_VALUE"""),0.1713)</f>
        <v>0.1713</v>
      </c>
      <c r="M3809" s="18">
        <f>IFERROR(__xludf.DUMMYFUNCTION("""COMPUTED_VALUE"""),2.7)</f>
        <v>2.7</v>
      </c>
    </row>
    <row r="3810">
      <c r="A3810" s="13" t="str">
        <f>IFERROR(__xludf.DUMMYFUNCTION("""COMPUTED_VALUE"""),"товари")</f>
        <v>товари</v>
      </c>
      <c r="B3810" s="16" t="str">
        <f>IFERROR(__xludf.DUMMYFUNCTION("""COMPUTED_VALUE"""),"тара та упаковка")</f>
        <v>тара та упаковка</v>
      </c>
      <c r="C3810" s="16" t="str">
        <f>IFERROR(__xludf.DUMMYFUNCTION("""COMPUTED_VALUE"""),"промислова упаковка")</f>
        <v>промислова упаковка</v>
      </c>
      <c r="D3810" s="16" t="str">
        <f>IFERROR(__xludf.DUMMYFUNCTION("""COMPUTED_VALUE"""),"упаковка для продуктів харчування")</f>
        <v>упаковка для продуктів харчування</v>
      </c>
      <c r="E3810" s="16" t="str">
        <f>IFERROR(__xludf.DUMMYFUNCTION("""COMPUTED_VALUE"""),"упаковка для продуктів харчування та напівфабрикатів")</f>
        <v>упаковка для продуктів харчування та напівфабрикатів</v>
      </c>
      <c r="F3810" s="17">
        <f>IFERROR(__xludf.DUMMYFUNCTION("""COMPUTED_VALUE"""),4.0)</f>
        <v>4</v>
      </c>
      <c r="G3810" s="17" t="str">
        <f>IFERROR(__xludf.DUMMYFUNCTION("""COMPUTED_VALUE"""),"231919")</f>
        <v>231919</v>
      </c>
      <c r="H3810" s="17" t="str">
        <f>IFERROR(__xludf.DUMMYFUNCTION("""COMPUTED_VALUE"""),"упаковка для продуктів харчування та напівфабрикатів")</f>
        <v>упаковка для продуктів харчування та напівфабрикатів</v>
      </c>
      <c r="I3810" s="19">
        <f>IFERROR(__xludf.DUMMYFUNCTION("""COMPUTED_VALUE"""),0.0709)</f>
        <v>0.0709</v>
      </c>
      <c r="J3810" s="19">
        <f>IFERROR(__xludf.DUMMYFUNCTION("""COMPUTED_VALUE"""),0.1417)</f>
        <v>0.1417</v>
      </c>
      <c r="K3810" s="19">
        <f>IFERROR(__xludf.DUMMYFUNCTION("""COMPUTED_VALUE"""),0.1771)</f>
        <v>0.1771</v>
      </c>
      <c r="L3810" s="19">
        <f>IFERROR(__xludf.DUMMYFUNCTION("""COMPUTED_VALUE"""),0.2126)</f>
        <v>0.2126</v>
      </c>
      <c r="M3810" s="18">
        <f>IFERROR(__xludf.DUMMYFUNCTION("""COMPUTED_VALUE"""),3.69)</f>
        <v>3.69</v>
      </c>
    </row>
    <row r="3811">
      <c r="A3811" s="13" t="str">
        <f>IFERROR(__xludf.DUMMYFUNCTION("""COMPUTED_VALUE"""),"товари")</f>
        <v>товари</v>
      </c>
      <c r="B3811" s="16" t="str">
        <f>IFERROR(__xludf.DUMMYFUNCTION("""COMPUTED_VALUE"""),"тара та упаковка")</f>
        <v>тара та упаковка</v>
      </c>
      <c r="C3811" s="16" t="str">
        <f>IFERROR(__xludf.DUMMYFUNCTION("""COMPUTED_VALUE"""),"промислова упаковка")</f>
        <v>промислова упаковка</v>
      </c>
      <c r="D3811" s="16" t="str">
        <f>IFERROR(__xludf.DUMMYFUNCTION("""COMPUTED_VALUE"""),"упаковка для продуктів харчування")</f>
        <v>упаковка для продуктів харчування</v>
      </c>
      <c r="E3811" s="16" t="str">
        <f>IFERROR(__xludf.DUMMYFUNCTION("""COMPUTED_VALUE"""),"упаковка для продуктів харчування, загальне")</f>
        <v>упаковка для продуктів харчування, загальне</v>
      </c>
      <c r="F3811" s="17">
        <f>IFERROR(__xludf.DUMMYFUNCTION("""COMPUTED_VALUE"""),4.0)</f>
        <v>4</v>
      </c>
      <c r="G3811" s="17" t="str">
        <f>IFERROR(__xludf.DUMMYFUNCTION("""COMPUTED_VALUE"""),"231911")</f>
        <v>231911</v>
      </c>
      <c r="H3811" s="17" t="str">
        <f>IFERROR(__xludf.DUMMYFUNCTION("""COMPUTED_VALUE"""),"упаковка для продуктів харчування, загальне")</f>
        <v>упаковка для продуктів харчування, загальне</v>
      </c>
      <c r="I3811" s="19">
        <f>IFERROR(__xludf.DUMMYFUNCTION("""COMPUTED_VALUE"""),0.125)</f>
        <v>0.125</v>
      </c>
      <c r="J3811" s="19">
        <f>IFERROR(__xludf.DUMMYFUNCTION("""COMPUTED_VALUE"""),0.25)</f>
        <v>0.25</v>
      </c>
      <c r="K3811" s="19">
        <f>IFERROR(__xludf.DUMMYFUNCTION("""COMPUTED_VALUE"""),0.3125)</f>
        <v>0.3125</v>
      </c>
      <c r="L3811" s="19">
        <f>IFERROR(__xludf.DUMMYFUNCTION("""COMPUTED_VALUE"""),0.375)</f>
        <v>0.375</v>
      </c>
      <c r="M3811" s="18">
        <f>IFERROR(__xludf.DUMMYFUNCTION("""COMPUTED_VALUE"""),4.33)</f>
        <v>4.33</v>
      </c>
    </row>
    <row r="3812">
      <c r="A3812" s="13" t="str">
        <f>IFERROR(__xludf.DUMMYFUNCTION("""COMPUTED_VALUE"""),"товари")</f>
        <v>товари</v>
      </c>
      <c r="B3812" s="16" t="str">
        <f>IFERROR(__xludf.DUMMYFUNCTION("""COMPUTED_VALUE"""),"тара та упаковка")</f>
        <v>тара та упаковка</v>
      </c>
      <c r="C3812" s="16" t="str">
        <f>IFERROR(__xludf.DUMMYFUNCTION("""COMPUTED_VALUE"""),"промислова упаковка")</f>
        <v>промислова упаковка</v>
      </c>
      <c r="D3812" s="16" t="str">
        <f>IFERROR(__xludf.DUMMYFUNCTION("""COMPUTED_VALUE"""),"упаковка для роздрібної торгівлі")</f>
        <v>упаковка для роздрібної торгівлі</v>
      </c>
      <c r="E3812" s="16" t="str">
        <f>IFERROR(__xludf.DUMMYFUNCTION("""COMPUTED_VALUE"""),"упаковка для роздрібної торгівлі")</f>
        <v>упаковка для роздрібної торгівлі</v>
      </c>
      <c r="F3812" s="17">
        <f>IFERROR(__xludf.DUMMYFUNCTION("""COMPUTED_VALUE"""),3.0)</f>
        <v>3</v>
      </c>
      <c r="G3812" s="17" t="str">
        <f>IFERROR(__xludf.DUMMYFUNCTION("""COMPUTED_VALUE"""),"231908")</f>
        <v>231908</v>
      </c>
      <c r="H3812" s="17" t="str">
        <f>IFERROR(__xludf.DUMMYFUNCTION("""COMPUTED_VALUE"""),"упаковка для роздрібної торгівлі")</f>
        <v>упаковка для роздрібної торгівлі</v>
      </c>
      <c r="I3812" s="19">
        <f>IFERROR(__xludf.DUMMYFUNCTION("""COMPUTED_VALUE"""),0.0385)</f>
        <v>0.0385</v>
      </c>
      <c r="J3812" s="19">
        <f>IFERROR(__xludf.DUMMYFUNCTION("""COMPUTED_VALUE"""),0.077)</f>
        <v>0.077</v>
      </c>
      <c r="K3812" s="19">
        <f>IFERROR(__xludf.DUMMYFUNCTION("""COMPUTED_VALUE"""),0.0963)</f>
        <v>0.0963</v>
      </c>
      <c r="L3812" s="19">
        <f>IFERROR(__xludf.DUMMYFUNCTION("""COMPUTED_VALUE"""),0.1155)</f>
        <v>0.1155</v>
      </c>
      <c r="M3812" s="18">
        <f>IFERROR(__xludf.DUMMYFUNCTION("""COMPUTED_VALUE"""),2.34)</f>
        <v>2.34</v>
      </c>
    </row>
    <row r="3813">
      <c r="A3813" s="13" t="str">
        <f>IFERROR(__xludf.DUMMYFUNCTION("""COMPUTED_VALUE"""),"товари")</f>
        <v>товари</v>
      </c>
      <c r="B3813" s="16" t="str">
        <f>IFERROR(__xludf.DUMMYFUNCTION("""COMPUTED_VALUE"""),"тара та упаковка")</f>
        <v>тара та упаковка</v>
      </c>
      <c r="C3813" s="16" t="str">
        <f>IFERROR(__xludf.DUMMYFUNCTION("""COMPUTED_VALUE"""),"промислова упаковка")</f>
        <v>промислова упаковка</v>
      </c>
      <c r="D3813" s="16" t="str">
        <f>IFERROR(__xludf.DUMMYFUNCTION("""COMPUTED_VALUE"""),"упаковка для сільгосппродуктів")</f>
        <v>упаковка для сільгосппродуктів</v>
      </c>
      <c r="E3813" s="16" t="str">
        <f>IFERROR(__xludf.DUMMYFUNCTION("""COMPUTED_VALUE"""),"упаковка для сільгосппродуктів")</f>
        <v>упаковка для сільгосппродуктів</v>
      </c>
      <c r="F3813" s="17">
        <f>IFERROR(__xludf.DUMMYFUNCTION("""COMPUTED_VALUE"""),3.0)</f>
        <v>3</v>
      </c>
      <c r="G3813" s="17" t="str">
        <f>IFERROR(__xludf.DUMMYFUNCTION("""COMPUTED_VALUE"""),"231901")</f>
        <v>231901</v>
      </c>
      <c r="H3813" s="17" t="str">
        <f>IFERROR(__xludf.DUMMYFUNCTION("""COMPUTED_VALUE"""),"упаковка для сільгосппродуктів")</f>
        <v>упаковка для сільгосппродуктів</v>
      </c>
      <c r="I3813" s="19">
        <f>IFERROR(__xludf.DUMMYFUNCTION("""COMPUTED_VALUE"""),0.0416)</f>
        <v>0.0416</v>
      </c>
      <c r="J3813" s="19">
        <f>IFERROR(__xludf.DUMMYFUNCTION("""COMPUTED_VALUE"""),0.0832)</f>
        <v>0.0832</v>
      </c>
      <c r="K3813" s="19">
        <f>IFERROR(__xludf.DUMMYFUNCTION("""COMPUTED_VALUE"""),0.104)</f>
        <v>0.104</v>
      </c>
      <c r="L3813" s="19">
        <f>IFERROR(__xludf.DUMMYFUNCTION("""COMPUTED_VALUE"""),0.1248)</f>
        <v>0.1248</v>
      </c>
      <c r="M3813" s="18">
        <f>IFERROR(__xludf.DUMMYFUNCTION("""COMPUTED_VALUE"""),2.34)</f>
        <v>2.34</v>
      </c>
    </row>
    <row r="3814">
      <c r="A3814" s="13" t="str">
        <f>IFERROR(__xludf.DUMMYFUNCTION("""COMPUTED_VALUE"""),"товари")</f>
        <v>товари</v>
      </c>
      <c r="B3814" s="16" t="str">
        <f>IFERROR(__xludf.DUMMYFUNCTION("""COMPUTED_VALUE"""),"тара та упаковка")</f>
        <v>тара та упаковка</v>
      </c>
      <c r="C3814" s="16" t="str">
        <f>IFERROR(__xludf.DUMMYFUNCTION("""COMPUTED_VALUE"""),"пакувальні матеріали")</f>
        <v>пакувальні матеріали</v>
      </c>
      <c r="D3814" s="16" t="str">
        <f>IFERROR(__xludf.DUMMYFUNCTION("""COMPUTED_VALUE"""),"упаковка з пінопласту")</f>
        <v>упаковка з пінопласту</v>
      </c>
      <c r="E3814" s="16" t="str">
        <f>IFERROR(__xludf.DUMMYFUNCTION("""COMPUTED_VALUE"""),"упаковка з пінопласту")</f>
        <v>упаковка з пінопласту</v>
      </c>
      <c r="F3814" s="17">
        <f>IFERROR(__xludf.DUMMYFUNCTION("""COMPUTED_VALUE"""),3.0)</f>
        <v>3</v>
      </c>
      <c r="G3814" s="17" t="str">
        <f>IFERROR(__xludf.DUMMYFUNCTION("""COMPUTED_VALUE"""),"230651")</f>
        <v>230651</v>
      </c>
      <c r="H3814" s="17" t="str">
        <f>IFERROR(__xludf.DUMMYFUNCTION("""COMPUTED_VALUE"""),"упаковка з пінопласту")</f>
        <v>упаковка з пінопласту</v>
      </c>
      <c r="I3814" s="19">
        <f>IFERROR(__xludf.DUMMYFUNCTION("""COMPUTED_VALUE"""),0.0691)</f>
        <v>0.0691</v>
      </c>
      <c r="J3814" s="19">
        <f>IFERROR(__xludf.DUMMYFUNCTION("""COMPUTED_VALUE"""),0.1381)</f>
        <v>0.1381</v>
      </c>
      <c r="K3814" s="19">
        <f>IFERROR(__xludf.DUMMYFUNCTION("""COMPUTED_VALUE"""),0.1726)</f>
        <v>0.1726</v>
      </c>
      <c r="L3814" s="19">
        <f>IFERROR(__xludf.DUMMYFUNCTION("""COMPUTED_VALUE"""),0.2072)</f>
        <v>0.2072</v>
      </c>
      <c r="M3814" s="18">
        <f>IFERROR(__xludf.DUMMYFUNCTION("""COMPUTED_VALUE"""),5.4)</f>
        <v>5.4</v>
      </c>
    </row>
    <row r="3815">
      <c r="A3815" s="13" t="str">
        <f>IFERROR(__xludf.DUMMYFUNCTION("""COMPUTED_VALUE"""),"товари")</f>
        <v>товари</v>
      </c>
      <c r="B3815" s="16" t="str">
        <f>IFERROR(__xludf.DUMMYFUNCTION("""COMPUTED_VALUE"""),"тара та упаковка")</f>
        <v>тара та упаковка</v>
      </c>
      <c r="C3815" s="16" t="str">
        <f>IFERROR(__xludf.DUMMYFUNCTION("""COMPUTED_VALUE"""),"промислова упаковка")</f>
        <v>промислова упаковка</v>
      </c>
      <c r="D3815" s="16" t="str">
        <f>IFERROR(__xludf.DUMMYFUNCTION("""COMPUTED_VALUE"""),"упаковка для продуктів харчування")</f>
        <v>упаковка для продуктів харчування</v>
      </c>
      <c r="E3815" s="16" t="str">
        <f>IFERROR(__xludf.DUMMYFUNCTION("""COMPUTED_VALUE"""),"упаковка і тара для напоїв")</f>
        <v>упаковка і тара для напоїв</v>
      </c>
      <c r="F3815" s="17">
        <f>IFERROR(__xludf.DUMMYFUNCTION("""COMPUTED_VALUE"""),4.0)</f>
        <v>4</v>
      </c>
      <c r="G3815" s="17" t="str">
        <f>IFERROR(__xludf.DUMMYFUNCTION("""COMPUTED_VALUE"""),"231916")</f>
        <v>231916</v>
      </c>
      <c r="H3815" s="17" t="str">
        <f>IFERROR(__xludf.DUMMYFUNCTION("""COMPUTED_VALUE"""),"упаковка і тара для напоїв")</f>
        <v>упаковка і тара для напоїв</v>
      </c>
      <c r="I3815" s="19">
        <f>IFERROR(__xludf.DUMMYFUNCTION("""COMPUTED_VALUE"""),0.0709)</f>
        <v>0.0709</v>
      </c>
      <c r="J3815" s="19">
        <f>IFERROR(__xludf.DUMMYFUNCTION("""COMPUTED_VALUE"""),0.1417)</f>
        <v>0.1417</v>
      </c>
      <c r="K3815" s="19">
        <f>IFERROR(__xludf.DUMMYFUNCTION("""COMPUTED_VALUE"""),0.1771)</f>
        <v>0.1771</v>
      </c>
      <c r="L3815" s="19">
        <f>IFERROR(__xludf.DUMMYFUNCTION("""COMPUTED_VALUE"""),0.2126)</f>
        <v>0.2126</v>
      </c>
      <c r="M3815" s="18">
        <f>IFERROR(__xludf.DUMMYFUNCTION("""COMPUTED_VALUE"""),3.69)</f>
        <v>3.69</v>
      </c>
    </row>
    <row r="3816">
      <c r="A3816" s="13" t="str">
        <f>IFERROR(__xludf.DUMMYFUNCTION("""COMPUTED_VALUE"""),"товари")</f>
        <v>товари</v>
      </c>
      <c r="B3816" s="16" t="str">
        <f>IFERROR(__xludf.DUMMYFUNCTION("""COMPUTED_VALUE"""),"тара та упаковка")</f>
        <v>тара та упаковка</v>
      </c>
      <c r="C3816" s="16" t="str">
        <f>IFERROR(__xludf.DUMMYFUNCTION("""COMPUTED_VALUE"""),"промислова упаковка")</f>
        <v>промислова упаковка</v>
      </c>
      <c r="D3816" s="16" t="str">
        <f>IFERROR(__xludf.DUMMYFUNCTION("""COMPUTED_VALUE"""),"упаковка і флакони для парфумерії та косметики")</f>
        <v>упаковка і флакони для парфумерії та косметики</v>
      </c>
      <c r="E3816" s="16" t="str">
        <f>IFERROR(__xludf.DUMMYFUNCTION("""COMPUTED_VALUE"""),"упаковка і флакони для парфумерії та косметики")</f>
        <v>упаковка і флакони для парфумерії та косметики</v>
      </c>
      <c r="F3816" s="17">
        <f>IFERROR(__xludf.DUMMYFUNCTION("""COMPUTED_VALUE"""),3.0)</f>
        <v>3</v>
      </c>
      <c r="G3816" s="17" t="str">
        <f>IFERROR(__xludf.DUMMYFUNCTION("""COMPUTED_VALUE"""),"231912")</f>
        <v>231912</v>
      </c>
      <c r="H3816" s="17" t="str">
        <f>IFERROR(__xludf.DUMMYFUNCTION("""COMPUTED_VALUE"""),"упаковка і флакони для парфумерії та косметики")</f>
        <v>упаковка і флакони для парфумерії та косметики</v>
      </c>
      <c r="I3816" s="19">
        <f>IFERROR(__xludf.DUMMYFUNCTION("""COMPUTED_VALUE"""),0.0795)</f>
        <v>0.0795</v>
      </c>
      <c r="J3816" s="19">
        <f>IFERROR(__xludf.DUMMYFUNCTION("""COMPUTED_VALUE"""),0.159)</f>
        <v>0.159</v>
      </c>
      <c r="K3816" s="19">
        <f>IFERROR(__xludf.DUMMYFUNCTION("""COMPUTED_VALUE"""),0.1988)</f>
        <v>0.1988</v>
      </c>
      <c r="L3816" s="19">
        <f>IFERROR(__xludf.DUMMYFUNCTION("""COMPUTED_VALUE"""),0.2385)</f>
        <v>0.2385</v>
      </c>
      <c r="M3816" s="18">
        <f>IFERROR(__xludf.DUMMYFUNCTION("""COMPUTED_VALUE"""),3.06)</f>
        <v>3.06</v>
      </c>
    </row>
    <row r="3817">
      <c r="A3817" s="13" t="str">
        <f>IFERROR(__xludf.DUMMYFUNCTION("""COMPUTED_VALUE"""),"товари")</f>
        <v>товари</v>
      </c>
      <c r="B3817" s="16" t="str">
        <f>IFERROR(__xludf.DUMMYFUNCTION("""COMPUTED_VALUE"""),"тара та упаковка")</f>
        <v>тара та упаковка</v>
      </c>
      <c r="C3817" s="16" t="str">
        <f>IFERROR(__xludf.DUMMYFUNCTION("""COMPUTED_VALUE"""),"пакувальні матеріали")</f>
        <v>пакувальні матеріали</v>
      </c>
      <c r="D3817" s="16" t="str">
        <f>IFERROR(__xludf.DUMMYFUNCTION("""COMPUTED_VALUE"""),"металеві пакувальні матеріали")</f>
        <v>металеві пакувальні матеріали</v>
      </c>
      <c r="E3817" s="16" t="str">
        <f>IFERROR(__xludf.DUMMYFUNCTION("""COMPUTED_VALUE"""),"фольга")</f>
        <v>фольга</v>
      </c>
      <c r="F3817" s="17">
        <f>IFERROR(__xludf.DUMMYFUNCTION("""COMPUTED_VALUE"""),4.0)</f>
        <v>4</v>
      </c>
      <c r="G3817" s="17" t="str">
        <f>IFERROR(__xludf.DUMMYFUNCTION("""COMPUTED_VALUE"""),"230606")</f>
        <v>230606</v>
      </c>
      <c r="H3817" s="17" t="str">
        <f>IFERROR(__xludf.DUMMYFUNCTION("""COMPUTED_VALUE"""),"фольга")</f>
        <v>фольга</v>
      </c>
      <c r="I3817" s="19">
        <f>IFERROR(__xludf.DUMMYFUNCTION("""COMPUTED_VALUE"""),0.0403)</f>
        <v>0.0403</v>
      </c>
      <c r="J3817" s="19">
        <f>IFERROR(__xludf.DUMMYFUNCTION("""COMPUTED_VALUE"""),0.0805)</f>
        <v>0.0805</v>
      </c>
      <c r="K3817" s="19">
        <f>IFERROR(__xludf.DUMMYFUNCTION("""COMPUTED_VALUE"""),0.1006)</f>
        <v>0.1006</v>
      </c>
      <c r="L3817" s="19">
        <f>IFERROR(__xludf.DUMMYFUNCTION("""COMPUTED_VALUE"""),0.1208)</f>
        <v>0.1208</v>
      </c>
      <c r="M3817" s="18">
        <f>IFERROR(__xludf.DUMMYFUNCTION("""COMPUTED_VALUE"""),1.71)</f>
        <v>1.71</v>
      </c>
    </row>
    <row r="3818">
      <c r="A3818" s="13" t="str">
        <f>IFERROR(__xludf.DUMMYFUNCTION("""COMPUTED_VALUE"""),"товари")</f>
        <v>товари</v>
      </c>
      <c r="B3818" s="16" t="str">
        <f>IFERROR(__xludf.DUMMYFUNCTION("""COMPUTED_VALUE"""),"тара та упаковка")</f>
        <v>тара та упаковка</v>
      </c>
      <c r="C3818" s="16" t="str">
        <f>IFERROR(__xludf.DUMMYFUNCTION("""COMPUTED_VALUE"""),"пакувальні матеріали")</f>
        <v>пакувальні матеріали</v>
      </c>
      <c r="D3818" s="16" t="str">
        <f>IFERROR(__xludf.DUMMYFUNCTION("""COMPUTED_VALUE"""),"мотузкові вироби")</f>
        <v>мотузкові вироби</v>
      </c>
      <c r="E3818" s="16" t="str">
        <f>IFERROR(__xludf.DUMMYFUNCTION("""COMPUTED_VALUE"""),"шпагати")</f>
        <v>шпагати</v>
      </c>
      <c r="F3818" s="17">
        <f>IFERROR(__xludf.DUMMYFUNCTION("""COMPUTED_VALUE"""),4.0)</f>
        <v>4</v>
      </c>
      <c r="G3818" s="17" t="str">
        <f>IFERROR(__xludf.DUMMYFUNCTION("""COMPUTED_VALUE"""),"230645")</f>
        <v>230645</v>
      </c>
      <c r="H3818" s="17" t="str">
        <f>IFERROR(__xludf.DUMMYFUNCTION("""COMPUTED_VALUE"""),"шпагати")</f>
        <v>шпагати</v>
      </c>
      <c r="I3818" s="19">
        <f>IFERROR(__xludf.DUMMYFUNCTION("""COMPUTED_VALUE"""),0.0727)</f>
        <v>0.0727</v>
      </c>
      <c r="J3818" s="19">
        <f>IFERROR(__xludf.DUMMYFUNCTION("""COMPUTED_VALUE"""),0.1453)</f>
        <v>0.1453</v>
      </c>
      <c r="K3818" s="19">
        <f>IFERROR(__xludf.DUMMYFUNCTION("""COMPUTED_VALUE"""),0.1816)</f>
        <v>0.1816</v>
      </c>
      <c r="L3818" s="19">
        <f>IFERROR(__xludf.DUMMYFUNCTION("""COMPUTED_VALUE"""),0.218)</f>
        <v>0.218</v>
      </c>
      <c r="M3818" s="18">
        <f>IFERROR(__xludf.DUMMYFUNCTION("""COMPUTED_VALUE"""),2.53)</f>
        <v>2.53</v>
      </c>
    </row>
    <row r="3819">
      <c r="A3819" s="13" t="str">
        <f>IFERROR(__xludf.DUMMYFUNCTION("""COMPUTED_VALUE"""),"товари")</f>
        <v>товари</v>
      </c>
      <c r="B3819" s="16" t="str">
        <f>IFERROR(__xludf.DUMMYFUNCTION("""COMPUTED_VALUE"""),"тара та упаковка")</f>
        <v>тара та упаковка</v>
      </c>
      <c r="C3819" s="16" t="str">
        <f>IFERROR(__xludf.DUMMYFUNCTION("""COMPUTED_VALUE"""),"пакувальні матеріали")</f>
        <v>пакувальні матеріали</v>
      </c>
      <c r="D3819" s="16" t="str">
        <f>IFERROR(__xludf.DUMMYFUNCTION("""COMPUTED_VALUE"""),"пластикові ємності")</f>
        <v>пластикові ємності</v>
      </c>
      <c r="E3819" s="16" t="str">
        <f>IFERROR(__xludf.DUMMYFUNCTION("""COMPUTED_VALUE"""),"ящики")</f>
        <v>ящики</v>
      </c>
      <c r="F3819" s="17">
        <f>IFERROR(__xludf.DUMMYFUNCTION("""COMPUTED_VALUE"""),4.0)</f>
        <v>4</v>
      </c>
      <c r="G3819" s="17" t="str">
        <f>IFERROR(__xludf.DUMMYFUNCTION("""COMPUTED_VALUE"""),"230636")</f>
        <v>230636</v>
      </c>
      <c r="H3819" s="17" t="str">
        <f>IFERROR(__xludf.DUMMYFUNCTION("""COMPUTED_VALUE"""),"ящики")</f>
        <v>ящики</v>
      </c>
      <c r="I3819" s="19">
        <f>IFERROR(__xludf.DUMMYFUNCTION("""COMPUTED_VALUE"""),0.0719)</f>
        <v>0.0719</v>
      </c>
      <c r="J3819" s="19">
        <f>IFERROR(__xludf.DUMMYFUNCTION("""COMPUTED_VALUE"""),0.1437)</f>
        <v>0.1437</v>
      </c>
      <c r="K3819" s="19">
        <f>IFERROR(__xludf.DUMMYFUNCTION("""COMPUTED_VALUE"""),0.1796)</f>
        <v>0.1796</v>
      </c>
      <c r="L3819" s="19">
        <f>IFERROR(__xludf.DUMMYFUNCTION("""COMPUTED_VALUE"""),0.2156)</f>
        <v>0.2156</v>
      </c>
      <c r="M3819" s="18">
        <f>IFERROR(__xludf.DUMMYFUNCTION("""COMPUTED_VALUE"""),1.53)</f>
        <v>1.53</v>
      </c>
    </row>
    <row r="3820">
      <c r="A3820" s="13" t="str">
        <f>IFERROR(__xludf.DUMMYFUNCTION("""COMPUTED_VALUE"""),"товари")</f>
        <v>товари</v>
      </c>
      <c r="B3820" s="16" t="str">
        <f>IFERROR(__xludf.DUMMYFUNCTION("""COMPUTED_VALUE"""),"телекомунікації та зв'язок")</f>
        <v>телекомунікації та зв'язок</v>
      </c>
      <c r="C3820" s="16" t="str">
        <f>IFERROR(__xludf.DUMMYFUNCTION("""COMPUTED_VALUE"""),"телефонія")</f>
        <v>телефонія</v>
      </c>
      <c r="D3820" s="16" t="str">
        <f>IFERROR(__xludf.DUMMYFUNCTION("""COMPUTED_VALUE"""),"gsm шлюзи")</f>
        <v>gsm шлюзи</v>
      </c>
      <c r="E3820" s="16" t="str">
        <f>IFERROR(__xludf.DUMMYFUNCTION("""COMPUTED_VALUE"""),"gsm шлюзи")</f>
        <v>gsm шлюзи</v>
      </c>
      <c r="F3820" s="17">
        <f>IFERROR(__xludf.DUMMYFUNCTION("""COMPUTED_VALUE"""),3.0)</f>
        <v>3</v>
      </c>
      <c r="G3820" s="17" t="str">
        <f>IFERROR(__xludf.DUMMYFUNCTION("""COMPUTED_VALUE"""),"5090103")</f>
        <v>5090103</v>
      </c>
      <c r="H3820" s="17" t="str">
        <f>IFERROR(__xludf.DUMMYFUNCTION("""COMPUTED_VALUE"""),"gsm шлюзи")</f>
        <v>gsm шлюзи</v>
      </c>
      <c r="I3820" s="19">
        <f>IFERROR(__xludf.DUMMYFUNCTION("""COMPUTED_VALUE"""),0.0447)</f>
        <v>0.0447</v>
      </c>
      <c r="J3820" s="19">
        <f>IFERROR(__xludf.DUMMYFUNCTION("""COMPUTED_VALUE"""),0.0893)</f>
        <v>0.0893</v>
      </c>
      <c r="K3820" s="19">
        <f>IFERROR(__xludf.DUMMYFUNCTION("""COMPUTED_VALUE"""),0.1116)</f>
        <v>0.1116</v>
      </c>
      <c r="L3820" s="19">
        <f>IFERROR(__xludf.DUMMYFUNCTION("""COMPUTED_VALUE"""),0.134)</f>
        <v>0.134</v>
      </c>
      <c r="M3820" s="18">
        <f>IFERROR(__xludf.DUMMYFUNCTION("""COMPUTED_VALUE"""),4.14)</f>
        <v>4.14</v>
      </c>
    </row>
    <row r="3821">
      <c r="A3821" s="13" t="str">
        <f>IFERROR(__xludf.DUMMYFUNCTION("""COMPUTED_VALUE"""),"товари")</f>
        <v>товари</v>
      </c>
      <c r="B3821" s="16" t="str">
        <f>IFERROR(__xludf.DUMMYFUNCTION("""COMPUTED_VALUE"""),"телекомунікації та зв'язок")</f>
        <v>телекомунікації та зв'язок</v>
      </c>
      <c r="C3821" s="16" t="str">
        <f>IFERROR(__xludf.DUMMYFUNCTION("""COMPUTED_VALUE"""),"пасивне мережеве обладнання")</f>
        <v>пасивне мережеве обладнання</v>
      </c>
      <c r="D3821" s="16" t="str">
        <f>IFERROR(__xludf.DUMMYFUNCTION("""COMPUTED_VALUE"""),"hub'и, мости, репітери")</f>
        <v>hub'и, мости, репітери</v>
      </c>
      <c r="E3821" s="16" t="str">
        <f>IFERROR(__xludf.DUMMYFUNCTION("""COMPUTED_VALUE"""),"hub'и, мости, репітери")</f>
        <v>hub'и, мости, репітери</v>
      </c>
      <c r="F3821" s="17">
        <f>IFERROR(__xludf.DUMMYFUNCTION("""COMPUTED_VALUE"""),3.0)</f>
        <v>3</v>
      </c>
      <c r="G3821" s="17" t="str">
        <f>IFERROR(__xludf.DUMMYFUNCTION("""COMPUTED_VALUE"""),"7190603")</f>
        <v>7190603</v>
      </c>
      <c r="H3821" s="17" t="str">
        <f>IFERROR(__xludf.DUMMYFUNCTION("""COMPUTED_VALUE"""),"hub'и, мости, репітери")</f>
        <v>hub'и, мости, репітери</v>
      </c>
      <c r="I3821" s="19">
        <f>IFERROR(__xludf.DUMMYFUNCTION("""COMPUTED_VALUE"""),0.0581)</f>
        <v>0.0581</v>
      </c>
      <c r="J3821" s="19">
        <f>IFERROR(__xludf.DUMMYFUNCTION("""COMPUTED_VALUE"""),0.1162)</f>
        <v>0.1162</v>
      </c>
      <c r="K3821" s="19">
        <f>IFERROR(__xludf.DUMMYFUNCTION("""COMPUTED_VALUE"""),0.1453)</f>
        <v>0.1453</v>
      </c>
      <c r="L3821" s="19">
        <f>IFERROR(__xludf.DUMMYFUNCTION("""COMPUTED_VALUE"""),0.1743)</f>
        <v>0.1743</v>
      </c>
      <c r="M3821" s="18">
        <f>IFERROR(__xludf.DUMMYFUNCTION("""COMPUTED_VALUE"""),2.7)</f>
        <v>2.7</v>
      </c>
    </row>
    <row r="3822">
      <c r="A3822" s="13" t="str">
        <f>IFERROR(__xludf.DUMMYFUNCTION("""COMPUTED_VALUE"""),"товари")</f>
        <v>товари</v>
      </c>
      <c r="B3822" s="16" t="str">
        <f>IFERROR(__xludf.DUMMYFUNCTION("""COMPUTED_VALUE"""),"телекомунікації та зв'язок")</f>
        <v>телекомунікації та зв'язок</v>
      </c>
      <c r="C3822" s="16" t="str">
        <f>IFERROR(__xludf.DUMMYFUNCTION("""COMPUTED_VALUE"""),"телефонія")</f>
        <v>телефонія</v>
      </c>
      <c r="D3822" s="16" t="str">
        <f>IFERROR(__xludf.DUMMYFUNCTION("""COMPUTED_VALUE"""),"voip шлюзи")</f>
        <v>voip шлюзи</v>
      </c>
      <c r="E3822" s="16" t="str">
        <f>IFERROR(__xludf.DUMMYFUNCTION("""COMPUTED_VALUE"""),"voip шлюзи")</f>
        <v>voip шлюзи</v>
      </c>
      <c r="F3822" s="17">
        <f>IFERROR(__xludf.DUMMYFUNCTION("""COMPUTED_VALUE"""),3.0)</f>
        <v>3</v>
      </c>
      <c r="G3822" s="17" t="str">
        <f>IFERROR(__xludf.DUMMYFUNCTION("""COMPUTED_VALUE"""),"5092502")</f>
        <v>5092502</v>
      </c>
      <c r="H3822" s="17" t="str">
        <f>IFERROR(__xludf.DUMMYFUNCTION("""COMPUTED_VALUE"""),"voip шлюзи")</f>
        <v>voip шлюзи</v>
      </c>
      <c r="I3822" s="19">
        <f>IFERROR(__xludf.DUMMYFUNCTION("""COMPUTED_VALUE"""),0.0528)</f>
        <v>0.0528</v>
      </c>
      <c r="J3822" s="19">
        <f>IFERROR(__xludf.DUMMYFUNCTION("""COMPUTED_VALUE"""),0.1056)</f>
        <v>0.1056</v>
      </c>
      <c r="K3822" s="19">
        <f>IFERROR(__xludf.DUMMYFUNCTION("""COMPUTED_VALUE"""),0.132)</f>
        <v>0.132</v>
      </c>
      <c r="L3822" s="19">
        <f>IFERROR(__xludf.DUMMYFUNCTION("""COMPUTED_VALUE"""),0.1584)</f>
        <v>0.1584</v>
      </c>
      <c r="M3822" s="18">
        <f>IFERROR(__xludf.DUMMYFUNCTION("""COMPUTED_VALUE"""),3.6)</f>
        <v>3.6</v>
      </c>
    </row>
    <row r="3823">
      <c r="A3823" s="13" t="str">
        <f>IFERROR(__xludf.DUMMYFUNCTION("""COMPUTED_VALUE"""),"товари")</f>
        <v>товари</v>
      </c>
      <c r="B3823" s="16" t="str">
        <f>IFERROR(__xludf.DUMMYFUNCTION("""COMPUTED_VALUE"""),"телекомунікації та зв'язок")</f>
        <v>телекомунікації та зв'язок</v>
      </c>
      <c r="C3823" s="16" t="str">
        <f>IFERROR(__xludf.DUMMYFUNCTION("""COMPUTED_VALUE"""),"активне мережеве обладнання")</f>
        <v>активне мережеве обладнання</v>
      </c>
      <c r="D3823" s="16" t="str">
        <f>IFERROR(__xludf.DUMMYFUNCTION("""COMPUTED_VALUE"""),"активне мережеве обладнання, загальне")</f>
        <v>активне мережеве обладнання, загальне</v>
      </c>
      <c r="E3823" s="16" t="str">
        <f>IFERROR(__xludf.DUMMYFUNCTION("""COMPUTED_VALUE"""),"активне мережеве обладнання, загальне")</f>
        <v>активне мережеве обладнання, загальне</v>
      </c>
      <c r="F3823" s="17">
        <f>IFERROR(__xludf.DUMMYFUNCTION("""COMPUTED_VALUE"""),3.0)</f>
        <v>3</v>
      </c>
      <c r="G3823" s="17" t="str">
        <f>IFERROR(__xludf.DUMMYFUNCTION("""COMPUTED_VALUE"""),"71901")</f>
        <v>71901</v>
      </c>
      <c r="H3823" s="17" t="str">
        <f>IFERROR(__xludf.DUMMYFUNCTION("""COMPUTED_VALUE"""),"активне мережеве обладнання, загальне")</f>
        <v>активне мережеве обладнання, загальне</v>
      </c>
      <c r="I3823" s="19">
        <f>IFERROR(__xludf.DUMMYFUNCTION("""COMPUTED_VALUE"""),0.125)</f>
        <v>0.125</v>
      </c>
      <c r="J3823" s="19">
        <f>IFERROR(__xludf.DUMMYFUNCTION("""COMPUTED_VALUE"""),0.25)</f>
        <v>0.25</v>
      </c>
      <c r="K3823" s="19">
        <f>IFERROR(__xludf.DUMMYFUNCTION("""COMPUTED_VALUE"""),0.3125)</f>
        <v>0.3125</v>
      </c>
      <c r="L3823" s="19">
        <f>IFERROR(__xludf.DUMMYFUNCTION("""COMPUTED_VALUE"""),0.375)</f>
        <v>0.375</v>
      </c>
      <c r="M3823" s="18">
        <f>IFERROR(__xludf.DUMMYFUNCTION("""COMPUTED_VALUE"""),4.33)</f>
        <v>4.33</v>
      </c>
    </row>
    <row r="3824">
      <c r="A3824" s="13" t="str">
        <f>IFERROR(__xludf.DUMMYFUNCTION("""COMPUTED_VALUE"""),"товари")</f>
        <v>товари</v>
      </c>
      <c r="B3824" s="16" t="str">
        <f>IFERROR(__xludf.DUMMYFUNCTION("""COMPUTED_VALUE"""),"телекомунікації та зв'язок")</f>
        <v>телекомунікації та зв'язок</v>
      </c>
      <c r="C3824" s="16" t="str">
        <f>IFERROR(__xludf.DUMMYFUNCTION("""COMPUTED_VALUE"""),"інструмент для мережевих робіт")</f>
        <v>інструмент для мережевих робіт</v>
      </c>
      <c r="D3824" s="16" t="str">
        <f>IFERROR(__xludf.DUMMYFUNCTION("""COMPUTED_VALUE"""),"зварювальні апарати і сколювачі для оптоволокна")</f>
        <v>зварювальні апарати і сколювачі для оптоволокна</v>
      </c>
      <c r="E3824" s="16" t="str">
        <f>IFERROR(__xludf.DUMMYFUNCTION("""COMPUTED_VALUE"""),"зварювальні апарати і сколювачі для оптоволокна")</f>
        <v>зварювальні апарати і сколювачі для оптоволокна</v>
      </c>
      <c r="F3824" s="17">
        <f>IFERROR(__xludf.DUMMYFUNCTION("""COMPUTED_VALUE"""),3.0)</f>
        <v>3</v>
      </c>
      <c r="G3824" s="17" t="str">
        <f>IFERROR(__xludf.DUMMYFUNCTION("""COMPUTED_VALUE"""),"50934")</f>
        <v>50934</v>
      </c>
      <c r="H3824" s="17" t="str">
        <f>IFERROR(__xludf.DUMMYFUNCTION("""COMPUTED_VALUE"""),"зварювальні апарати і сколювачі для оптоволокна")</f>
        <v>зварювальні апарати і сколювачі для оптоволокна</v>
      </c>
      <c r="I3824" s="19">
        <f>IFERROR(__xludf.DUMMYFUNCTION("""COMPUTED_VALUE"""),0.0527)</f>
        <v>0.0527</v>
      </c>
      <c r="J3824" s="19">
        <f>IFERROR(__xludf.DUMMYFUNCTION("""COMPUTED_VALUE"""),0.1054)</f>
        <v>0.1054</v>
      </c>
      <c r="K3824" s="19">
        <f>IFERROR(__xludf.DUMMYFUNCTION("""COMPUTED_VALUE"""),0.1318)</f>
        <v>0.1318</v>
      </c>
      <c r="L3824" s="19">
        <f>IFERROR(__xludf.DUMMYFUNCTION("""COMPUTED_VALUE"""),0.1581)</f>
        <v>0.1581</v>
      </c>
      <c r="M3824" s="18">
        <f>IFERROR(__xludf.DUMMYFUNCTION("""COMPUTED_VALUE"""),1.8)</f>
        <v>1.8</v>
      </c>
    </row>
    <row r="3825">
      <c r="A3825" s="13" t="str">
        <f>IFERROR(__xludf.DUMMYFUNCTION("""COMPUTED_VALUE"""),"товари")</f>
        <v>товари</v>
      </c>
      <c r="B3825" s="16" t="str">
        <f>IFERROR(__xludf.DUMMYFUNCTION("""COMPUTED_VALUE"""),"телекомунікації та зв'язок")</f>
        <v>телекомунікації та зв'язок</v>
      </c>
      <c r="C3825" s="16" t="str">
        <f>IFERROR(__xludf.DUMMYFUNCTION("""COMPUTED_VALUE"""),"інструмент для мережевих робіт")</f>
        <v>інструмент для мережевих робіт</v>
      </c>
      <c r="D3825" s="16" t="str">
        <f>IFERROR(__xludf.DUMMYFUNCTION("""COMPUTED_VALUE"""),"інструмент для закладення кабелю")</f>
        <v>інструмент для закладення кабелю</v>
      </c>
      <c r="E3825" s="16" t="str">
        <f>IFERROR(__xludf.DUMMYFUNCTION("""COMPUTED_VALUE"""),"інструмент для закладення кабелю")</f>
        <v>інструмент для закладення кабелю</v>
      </c>
      <c r="F3825" s="17">
        <f>IFERROR(__xludf.DUMMYFUNCTION("""COMPUTED_VALUE"""),3.0)</f>
        <v>3</v>
      </c>
      <c r="G3825" s="17" t="str">
        <f>IFERROR(__xludf.DUMMYFUNCTION("""COMPUTED_VALUE"""),"5093501")</f>
        <v>5093501</v>
      </c>
      <c r="H3825" s="17" t="str">
        <f>IFERROR(__xludf.DUMMYFUNCTION("""COMPUTED_VALUE"""),"інструмент для закладення кабелю")</f>
        <v>інструмент для закладення кабелю</v>
      </c>
      <c r="I3825" s="19">
        <f>IFERROR(__xludf.DUMMYFUNCTION("""COMPUTED_VALUE"""),0.057)</f>
        <v>0.057</v>
      </c>
      <c r="J3825" s="19">
        <f>IFERROR(__xludf.DUMMYFUNCTION("""COMPUTED_VALUE"""),0.114)</f>
        <v>0.114</v>
      </c>
      <c r="K3825" s="19">
        <f>IFERROR(__xludf.DUMMYFUNCTION("""COMPUTED_VALUE"""),0.1425)</f>
        <v>0.1425</v>
      </c>
      <c r="L3825" s="19">
        <f>IFERROR(__xludf.DUMMYFUNCTION("""COMPUTED_VALUE"""),0.171)</f>
        <v>0.171</v>
      </c>
      <c r="M3825" s="18">
        <f>IFERROR(__xludf.DUMMYFUNCTION("""COMPUTED_VALUE"""),1.44)</f>
        <v>1.44</v>
      </c>
    </row>
    <row r="3826">
      <c r="A3826" s="13" t="str">
        <f>IFERROR(__xludf.DUMMYFUNCTION("""COMPUTED_VALUE"""),"товари")</f>
        <v>товари</v>
      </c>
      <c r="B3826" s="16" t="str">
        <f>IFERROR(__xludf.DUMMYFUNCTION("""COMPUTED_VALUE"""),"телекомунікації та зв'язок")</f>
        <v>телекомунікації та зв'язок</v>
      </c>
      <c r="C3826" s="16" t="str">
        <f>IFERROR(__xludf.DUMMYFUNCTION("""COMPUTED_VALUE"""),"інструмент для мережевих робіт")</f>
        <v>інструмент для мережевих робіт</v>
      </c>
      <c r="D3826" s="16" t="str">
        <f>IFERROR(__xludf.DUMMYFUNCTION("""COMPUTED_VALUE"""),"інструмент для мережевих робіт, загальне")</f>
        <v>інструмент для мережевих робіт, загальне</v>
      </c>
      <c r="E3826" s="16" t="str">
        <f>IFERROR(__xludf.DUMMYFUNCTION("""COMPUTED_VALUE"""),"інструмент для мережевих робіт, загальне")</f>
        <v>інструмент для мережевих робіт, загальне</v>
      </c>
      <c r="F3826" s="17">
        <f>IFERROR(__xludf.DUMMYFUNCTION("""COMPUTED_VALUE"""),3.0)</f>
        <v>3</v>
      </c>
      <c r="G3826" s="17" t="str">
        <f>IFERROR(__xludf.DUMMYFUNCTION("""COMPUTED_VALUE"""),"5093502")</f>
        <v>5093502</v>
      </c>
      <c r="H3826" s="17" t="str">
        <f>IFERROR(__xludf.DUMMYFUNCTION("""COMPUTED_VALUE"""),"інструмент для мережевих робіт, загальне")</f>
        <v>інструмент для мережевих робіт, загальне</v>
      </c>
      <c r="I3826" s="19">
        <f>IFERROR(__xludf.DUMMYFUNCTION("""COMPUTED_VALUE"""),0.125)</f>
        <v>0.125</v>
      </c>
      <c r="J3826" s="19">
        <f>IFERROR(__xludf.DUMMYFUNCTION("""COMPUTED_VALUE"""),0.25)</f>
        <v>0.25</v>
      </c>
      <c r="K3826" s="19">
        <f>IFERROR(__xludf.DUMMYFUNCTION("""COMPUTED_VALUE"""),0.3125)</f>
        <v>0.3125</v>
      </c>
      <c r="L3826" s="19">
        <f>IFERROR(__xludf.DUMMYFUNCTION("""COMPUTED_VALUE"""),0.375)</f>
        <v>0.375</v>
      </c>
      <c r="M3826" s="18">
        <f>IFERROR(__xludf.DUMMYFUNCTION("""COMPUTED_VALUE"""),4.33)</f>
        <v>4.33</v>
      </c>
    </row>
    <row r="3827">
      <c r="A3827" s="13" t="str">
        <f>IFERROR(__xludf.DUMMYFUNCTION("""COMPUTED_VALUE"""),"товари")</f>
        <v>товари</v>
      </c>
      <c r="B3827" s="16" t="str">
        <f>IFERROR(__xludf.DUMMYFUNCTION("""COMPUTED_VALUE"""),"телекомунікації та зв'язок")</f>
        <v>телекомунікації та зв'язок</v>
      </c>
      <c r="C3827" s="16" t="str">
        <f>IFERROR(__xludf.DUMMYFUNCTION("""COMPUTED_VALUE"""),"інструмент для мережевих робіт")</f>
        <v>інструмент для мережевих робіт</v>
      </c>
      <c r="D3827" s="16" t="str">
        <f>IFERROR(__xludf.DUMMYFUNCTION("""COMPUTED_VALUE"""),"інструмент для монтажу кабельних стяжок")</f>
        <v>інструмент для монтажу кабельних стяжок</v>
      </c>
      <c r="E3827" s="16" t="str">
        <f>IFERROR(__xludf.DUMMYFUNCTION("""COMPUTED_VALUE"""),"інструмент для монтажу кабельних стяжок")</f>
        <v>інструмент для монтажу кабельних стяжок</v>
      </c>
      <c r="F3827" s="17">
        <f>IFERROR(__xludf.DUMMYFUNCTION("""COMPUTED_VALUE"""),3.0)</f>
        <v>3</v>
      </c>
      <c r="G3827" s="17" t="str">
        <f>IFERROR(__xludf.DUMMYFUNCTION("""COMPUTED_VALUE"""),"5093503")</f>
        <v>5093503</v>
      </c>
      <c r="H3827" s="17" t="str">
        <f>IFERROR(__xludf.DUMMYFUNCTION("""COMPUTED_VALUE"""),"інструмент для монтажу кабельних стяжок")</f>
        <v>інструмент для монтажу кабельних стяжок</v>
      </c>
      <c r="I3827" s="19">
        <f>IFERROR(__xludf.DUMMYFUNCTION("""COMPUTED_VALUE"""),0.0741)</f>
        <v>0.0741</v>
      </c>
      <c r="J3827" s="19">
        <f>IFERROR(__xludf.DUMMYFUNCTION("""COMPUTED_VALUE"""),0.1482)</f>
        <v>0.1482</v>
      </c>
      <c r="K3827" s="19">
        <f>IFERROR(__xludf.DUMMYFUNCTION("""COMPUTED_VALUE"""),0.1853)</f>
        <v>0.1853</v>
      </c>
      <c r="L3827" s="19">
        <f>IFERROR(__xludf.DUMMYFUNCTION("""COMPUTED_VALUE"""),0.2223)</f>
        <v>0.2223</v>
      </c>
      <c r="M3827" s="18">
        <f>IFERROR(__xludf.DUMMYFUNCTION("""COMPUTED_VALUE"""),1.05)</f>
        <v>1.05</v>
      </c>
    </row>
    <row r="3828">
      <c r="A3828" s="13" t="str">
        <f>IFERROR(__xludf.DUMMYFUNCTION("""COMPUTED_VALUE"""),"товари")</f>
        <v>товари</v>
      </c>
      <c r="B3828" s="16" t="str">
        <f>IFERROR(__xludf.DUMMYFUNCTION("""COMPUTED_VALUE"""),"телекомунікації та зв'язок")</f>
        <v>телекомунікації та зв'язок</v>
      </c>
      <c r="C3828" s="16" t="str">
        <f>IFERROR(__xludf.DUMMYFUNCTION("""COMPUTED_VALUE"""),"інструмент для мережевих робіт")</f>
        <v>інструмент для мережевих робіт</v>
      </c>
      <c r="D3828" s="16" t="str">
        <f>IFERROR(__xludf.DUMMYFUNCTION("""COMPUTED_VALUE"""),"кабельні тестери, wi-fi тестери")</f>
        <v>кабельні тестери, wi-fi тестери</v>
      </c>
      <c r="E3828" s="16" t="str">
        <f>IFERROR(__xludf.DUMMYFUNCTION("""COMPUTED_VALUE"""),"кабельні тестери, wi-fi тестери")</f>
        <v>кабельні тестери, wi-fi тестери</v>
      </c>
      <c r="F3828" s="17">
        <f>IFERROR(__xludf.DUMMYFUNCTION("""COMPUTED_VALUE"""),3.0)</f>
        <v>3</v>
      </c>
      <c r="G3828" s="17" t="str">
        <f>IFERROR(__xludf.DUMMYFUNCTION("""COMPUTED_VALUE"""),"50918")</f>
        <v>50918</v>
      </c>
      <c r="H3828" s="17" t="str">
        <f>IFERROR(__xludf.DUMMYFUNCTION("""COMPUTED_VALUE"""),"кабельні тестери, wi-fi тестери")</f>
        <v>кабельні тестери, wi-fi тестери</v>
      </c>
      <c r="I3828" s="19">
        <f>IFERROR(__xludf.DUMMYFUNCTION("""COMPUTED_VALUE"""),0.0691)</f>
        <v>0.0691</v>
      </c>
      <c r="J3828" s="19">
        <f>IFERROR(__xludf.DUMMYFUNCTION("""COMPUTED_VALUE"""),0.1381)</f>
        <v>0.1381</v>
      </c>
      <c r="K3828" s="19">
        <f>IFERROR(__xludf.DUMMYFUNCTION("""COMPUTED_VALUE"""),0.1726)</f>
        <v>0.1726</v>
      </c>
      <c r="L3828" s="19">
        <f>IFERROR(__xludf.DUMMYFUNCTION("""COMPUTED_VALUE"""),0.2072)</f>
        <v>0.2072</v>
      </c>
      <c r="M3828" s="18">
        <f>IFERROR(__xludf.DUMMYFUNCTION("""COMPUTED_VALUE"""),1.63)</f>
        <v>1.63</v>
      </c>
    </row>
    <row r="3829">
      <c r="A3829" s="13" t="str">
        <f>IFERROR(__xludf.DUMMYFUNCTION("""COMPUTED_VALUE"""),"товари")</f>
        <v>товари</v>
      </c>
      <c r="B3829" s="16" t="str">
        <f>IFERROR(__xludf.DUMMYFUNCTION("""COMPUTED_VALUE"""),"телекомунікації та зв'язок")</f>
        <v>телекомунікації та зв'язок</v>
      </c>
      <c r="C3829" s="16" t="str">
        <f>IFERROR(__xludf.DUMMYFUNCTION("""COMPUTED_VALUE"""),"пасивне мережеве обладнання")</f>
        <v>пасивне мережеве обладнання</v>
      </c>
      <c r="D3829" s="16" t="str">
        <f>IFERROR(__xludf.DUMMYFUNCTION("""COMPUTED_VALUE"""),"комунікаційні розетки")</f>
        <v>комунікаційні розетки</v>
      </c>
      <c r="E3829" s="16" t="str">
        <f>IFERROR(__xludf.DUMMYFUNCTION("""COMPUTED_VALUE"""),"комунікаційні розетки")</f>
        <v>комунікаційні розетки</v>
      </c>
      <c r="F3829" s="17">
        <f>IFERROR(__xludf.DUMMYFUNCTION("""COMPUTED_VALUE"""),3.0)</f>
        <v>3</v>
      </c>
      <c r="G3829" s="17" t="str">
        <f>IFERROR(__xludf.DUMMYFUNCTION("""COMPUTED_VALUE"""),"5092904")</f>
        <v>5092904</v>
      </c>
      <c r="H3829" s="17" t="str">
        <f>IFERROR(__xludf.DUMMYFUNCTION("""COMPUTED_VALUE"""),"комунікаційні розетки")</f>
        <v>комунікаційні розетки</v>
      </c>
      <c r="I3829" s="19">
        <f>IFERROR(__xludf.DUMMYFUNCTION("""COMPUTED_VALUE"""),0.0584)</f>
        <v>0.0584</v>
      </c>
      <c r="J3829" s="19">
        <f>IFERROR(__xludf.DUMMYFUNCTION("""COMPUTED_VALUE"""),0.1167)</f>
        <v>0.1167</v>
      </c>
      <c r="K3829" s="19">
        <f>IFERROR(__xludf.DUMMYFUNCTION("""COMPUTED_VALUE"""),0.1459)</f>
        <v>0.1459</v>
      </c>
      <c r="L3829" s="19">
        <f>IFERROR(__xludf.DUMMYFUNCTION("""COMPUTED_VALUE"""),0.1751)</f>
        <v>0.1751</v>
      </c>
      <c r="M3829" s="18">
        <f>IFERROR(__xludf.DUMMYFUNCTION("""COMPUTED_VALUE"""),1.44)</f>
        <v>1.44</v>
      </c>
    </row>
    <row r="3830">
      <c r="A3830" s="13" t="str">
        <f>IFERROR(__xludf.DUMMYFUNCTION("""COMPUTED_VALUE"""),"товари")</f>
        <v>товари</v>
      </c>
      <c r="B3830" s="16" t="str">
        <f>IFERROR(__xludf.DUMMYFUNCTION("""COMPUTED_VALUE"""),"телекомунікації та зв'язок")</f>
        <v>телекомунікації та зв'язок</v>
      </c>
      <c r="C3830" s="16" t="str">
        <f>IFERROR(__xludf.DUMMYFUNCTION("""COMPUTED_VALUE"""),"активне мережеве обладнання")</f>
        <v>активне мережеве обладнання</v>
      </c>
      <c r="D3830" s="16" t="str">
        <f>IFERROR(__xludf.DUMMYFUNCTION("""COMPUTED_VALUE"""),"комутатори")</f>
        <v>комутатори</v>
      </c>
      <c r="E3830" s="16" t="str">
        <f>IFERROR(__xludf.DUMMYFUNCTION("""COMPUTED_VALUE"""),"комутатори")</f>
        <v>комутатори</v>
      </c>
      <c r="F3830" s="17">
        <f>IFERROR(__xludf.DUMMYFUNCTION("""COMPUTED_VALUE"""),3.0)</f>
        <v>3</v>
      </c>
      <c r="G3830" s="17" t="str">
        <f>IFERROR(__xludf.DUMMYFUNCTION("""COMPUTED_VALUE"""),"71903")</f>
        <v>71903</v>
      </c>
      <c r="H3830" s="17" t="str">
        <f>IFERROR(__xludf.DUMMYFUNCTION("""COMPUTED_VALUE"""),"комутатори")</f>
        <v>комутатори</v>
      </c>
      <c r="I3830" s="19">
        <f>IFERROR(__xludf.DUMMYFUNCTION("""COMPUTED_VALUE"""),0.05)</f>
        <v>0.05</v>
      </c>
      <c r="J3830" s="19">
        <f>IFERROR(__xludf.DUMMYFUNCTION("""COMPUTED_VALUE"""),0.0999)</f>
        <v>0.0999</v>
      </c>
      <c r="K3830" s="19">
        <f>IFERROR(__xludf.DUMMYFUNCTION("""COMPUTED_VALUE"""),0.1249)</f>
        <v>0.1249</v>
      </c>
      <c r="L3830" s="19">
        <f>IFERROR(__xludf.DUMMYFUNCTION("""COMPUTED_VALUE"""),0.1499)</f>
        <v>0.1499</v>
      </c>
      <c r="M3830" s="18">
        <f>IFERROR(__xludf.DUMMYFUNCTION("""COMPUTED_VALUE"""),1.26)</f>
        <v>1.26</v>
      </c>
    </row>
    <row r="3831">
      <c r="A3831" s="13" t="str">
        <f>IFERROR(__xludf.DUMMYFUNCTION("""COMPUTED_VALUE"""),"товари")</f>
        <v>товари</v>
      </c>
      <c r="B3831" s="16" t="str">
        <f>IFERROR(__xludf.DUMMYFUNCTION("""COMPUTED_VALUE"""),"телекомунікації та зв'язок")</f>
        <v>телекомунікації та зв'язок</v>
      </c>
      <c r="C3831" s="16" t="str">
        <f>IFERROR(__xludf.DUMMYFUNCTION("""COMPUTED_VALUE"""),"активне мережеве обладнання")</f>
        <v>активне мережеве обладнання</v>
      </c>
      <c r="D3831" s="16" t="str">
        <f>IFERROR(__xludf.DUMMYFUNCTION("""COMPUTED_VALUE"""),"комутатори консолей (kvm)")</f>
        <v>комутатори консолей (kvm)</v>
      </c>
      <c r="E3831" s="16" t="str">
        <f>IFERROR(__xludf.DUMMYFUNCTION("""COMPUTED_VALUE"""),"комутатори консолей (kvm)")</f>
        <v>комутатори консолей (kvm)</v>
      </c>
      <c r="F3831" s="17">
        <f>IFERROR(__xludf.DUMMYFUNCTION("""COMPUTED_VALUE"""),3.0)</f>
        <v>3</v>
      </c>
      <c r="G3831" s="17" t="str">
        <f>IFERROR(__xludf.DUMMYFUNCTION("""COMPUTED_VALUE"""),"50927")</f>
        <v>50927</v>
      </c>
      <c r="H3831" s="17" t="str">
        <f>IFERROR(__xludf.DUMMYFUNCTION("""COMPUTED_VALUE"""),"комутатори консолей (kvm)")</f>
        <v>комутатори консолей (kvm)</v>
      </c>
      <c r="I3831" s="19">
        <f>IFERROR(__xludf.DUMMYFUNCTION("""COMPUTED_VALUE"""),0.0756)</f>
        <v>0.0756</v>
      </c>
      <c r="J3831" s="19">
        <f>IFERROR(__xludf.DUMMYFUNCTION("""COMPUTED_VALUE"""),0.1512)</f>
        <v>0.1512</v>
      </c>
      <c r="K3831" s="19">
        <f>IFERROR(__xludf.DUMMYFUNCTION("""COMPUTED_VALUE"""),0.189)</f>
        <v>0.189</v>
      </c>
      <c r="L3831" s="19">
        <f>IFERROR(__xludf.DUMMYFUNCTION("""COMPUTED_VALUE"""),0.2268)</f>
        <v>0.2268</v>
      </c>
      <c r="M3831" s="18">
        <f>IFERROR(__xludf.DUMMYFUNCTION("""COMPUTED_VALUE"""),1.26)</f>
        <v>1.26</v>
      </c>
    </row>
    <row r="3832">
      <c r="A3832" s="13" t="str">
        <f>IFERROR(__xludf.DUMMYFUNCTION("""COMPUTED_VALUE"""),"товари")</f>
        <v>товари</v>
      </c>
      <c r="B3832" s="16" t="str">
        <f>IFERROR(__xludf.DUMMYFUNCTION("""COMPUTED_VALUE"""),"телекомунікації та зв'язок")</f>
        <v>телекомунікації та зв'язок</v>
      </c>
      <c r="C3832" s="16" t="str">
        <f>IFERROR(__xludf.DUMMYFUNCTION("""COMPUTED_VALUE"""),"серверне обладнання")</f>
        <v>серверне обладнання</v>
      </c>
      <c r="D3832" s="16" t="str">
        <f>IFERROR(__xludf.DUMMYFUNCTION("""COMPUTED_VALUE"""),"контролери та комплектуючі для sata, sas, scsi raid")</f>
        <v>контролери та комплектуючі для sata, sas, scsi raid</v>
      </c>
      <c r="E3832" s="16" t="str">
        <f>IFERROR(__xludf.DUMMYFUNCTION("""COMPUTED_VALUE"""),"контролери та комплектуючі для sata, sas, scsi raid")</f>
        <v>контролери та комплектуючі для sata, sas, scsi raid</v>
      </c>
      <c r="F3832" s="17">
        <f>IFERROR(__xludf.DUMMYFUNCTION("""COMPUTED_VALUE"""),3.0)</f>
        <v>3</v>
      </c>
      <c r="G3832" s="17" t="str">
        <f>IFERROR(__xludf.DUMMYFUNCTION("""COMPUTED_VALUE"""),"70304")</f>
        <v>70304</v>
      </c>
      <c r="H3832" s="17" t="str">
        <f>IFERROR(__xludf.DUMMYFUNCTION("""COMPUTED_VALUE"""),"контролери та комплектуючі для sata, sas, scsi raid")</f>
        <v>контролери та комплектуючі для sata, sas, scsi raid</v>
      </c>
      <c r="I3832" s="19">
        <f>IFERROR(__xludf.DUMMYFUNCTION("""COMPUTED_VALUE"""),0.028)</f>
        <v>0.028</v>
      </c>
      <c r="J3832" s="19">
        <f>IFERROR(__xludf.DUMMYFUNCTION("""COMPUTED_VALUE"""),0.0559)</f>
        <v>0.0559</v>
      </c>
      <c r="K3832" s="19">
        <f>IFERROR(__xludf.DUMMYFUNCTION("""COMPUTED_VALUE"""),0.0699)</f>
        <v>0.0699</v>
      </c>
      <c r="L3832" s="19">
        <f>IFERROR(__xludf.DUMMYFUNCTION("""COMPUTED_VALUE"""),0.0839)</f>
        <v>0.0839</v>
      </c>
      <c r="M3832" s="18">
        <f>IFERROR(__xludf.DUMMYFUNCTION("""COMPUTED_VALUE"""),1.26)</f>
        <v>1.26</v>
      </c>
    </row>
    <row r="3833">
      <c r="A3833" s="13" t="str">
        <f>IFERROR(__xludf.DUMMYFUNCTION("""COMPUTED_VALUE"""),"товари")</f>
        <v>товари</v>
      </c>
      <c r="B3833" s="16" t="str">
        <f>IFERROR(__xludf.DUMMYFUNCTION("""COMPUTED_VALUE"""),"телекомунікації та зв'язок")</f>
        <v>телекомунікації та зв'язок</v>
      </c>
      <c r="C3833" s="16" t="str">
        <f>IFERROR(__xludf.DUMMYFUNCTION("""COMPUTED_VALUE"""),"активне мережеве обладнання")</f>
        <v>активне мережеве обладнання</v>
      </c>
      <c r="D3833" s="16" t="str">
        <f>IFERROR(__xludf.DUMMYFUNCTION("""COMPUTED_VALUE"""),"мережеві карти")</f>
        <v>мережеві карти</v>
      </c>
      <c r="E3833" s="16" t="str">
        <f>IFERROR(__xludf.DUMMYFUNCTION("""COMPUTED_VALUE"""),"мережеві карти")</f>
        <v>мережеві карти</v>
      </c>
      <c r="F3833" s="17">
        <f>IFERROR(__xludf.DUMMYFUNCTION("""COMPUTED_VALUE"""),3.0)</f>
        <v>3</v>
      </c>
      <c r="G3833" s="17" t="str">
        <f>IFERROR(__xludf.DUMMYFUNCTION("""COMPUTED_VALUE"""),"71904")</f>
        <v>71904</v>
      </c>
      <c r="H3833" s="17" t="str">
        <f>IFERROR(__xludf.DUMMYFUNCTION("""COMPUTED_VALUE"""),"мережеві карти")</f>
        <v>мережеві карти</v>
      </c>
      <c r="I3833" s="19">
        <f>IFERROR(__xludf.DUMMYFUNCTION("""COMPUTED_VALUE"""),0.0496)</f>
        <v>0.0496</v>
      </c>
      <c r="J3833" s="19">
        <f>IFERROR(__xludf.DUMMYFUNCTION("""COMPUTED_VALUE"""),0.0992)</f>
        <v>0.0992</v>
      </c>
      <c r="K3833" s="19">
        <f>IFERROR(__xludf.DUMMYFUNCTION("""COMPUTED_VALUE"""),0.124)</f>
        <v>0.124</v>
      </c>
      <c r="L3833" s="19">
        <f>IFERROR(__xludf.DUMMYFUNCTION("""COMPUTED_VALUE"""),0.1488)</f>
        <v>0.1488</v>
      </c>
      <c r="M3833" s="18">
        <f>IFERROR(__xludf.DUMMYFUNCTION("""COMPUTED_VALUE"""),1.05)</f>
        <v>1.05</v>
      </c>
    </row>
    <row r="3834">
      <c r="A3834" s="13" t="str">
        <f>IFERROR(__xludf.DUMMYFUNCTION("""COMPUTED_VALUE"""),"товари")</f>
        <v>товари</v>
      </c>
      <c r="B3834" s="16" t="str">
        <f>IFERROR(__xludf.DUMMYFUNCTION("""COMPUTED_VALUE"""),"телекомунікації та зв'язок")</f>
        <v>телекомунікації та зв'язок</v>
      </c>
      <c r="C3834" s="16" t="str">
        <f>IFERROR(__xludf.DUMMYFUNCTION("""COMPUTED_VALUE"""),"пасивне мережеве обладнання")</f>
        <v>пасивне мережеве обладнання</v>
      </c>
      <c r="D3834" s="16" t="str">
        <f>IFERROR(__xludf.DUMMYFUNCTION("""COMPUTED_VALUE"""),"мережеві конектори, модулі та роз'єми")</f>
        <v>мережеві конектори, модулі та роз'єми</v>
      </c>
      <c r="E3834" s="16" t="str">
        <f>IFERROR(__xludf.DUMMYFUNCTION("""COMPUTED_VALUE"""),"мережеві конектори, модулі та роз'єми")</f>
        <v>мережеві конектори, модулі та роз'єми</v>
      </c>
      <c r="F3834" s="17">
        <f>IFERROR(__xludf.DUMMYFUNCTION("""COMPUTED_VALUE"""),3.0)</f>
        <v>3</v>
      </c>
      <c r="G3834" s="17" t="str">
        <f>IFERROR(__xludf.DUMMYFUNCTION("""COMPUTED_VALUE"""),"7190601")</f>
        <v>7190601</v>
      </c>
      <c r="H3834" s="17" t="str">
        <f>IFERROR(__xludf.DUMMYFUNCTION("""COMPUTED_VALUE"""),"мережеві конектори, модулі та роз'єми")</f>
        <v>мережеві конектори, модулі та роз'єми</v>
      </c>
      <c r="I3834" s="19">
        <f>IFERROR(__xludf.DUMMYFUNCTION("""COMPUTED_VALUE"""),0.0529)</f>
        <v>0.0529</v>
      </c>
      <c r="J3834" s="19">
        <f>IFERROR(__xludf.DUMMYFUNCTION("""COMPUTED_VALUE"""),0.1058)</f>
        <v>0.1058</v>
      </c>
      <c r="K3834" s="19">
        <f>IFERROR(__xludf.DUMMYFUNCTION("""COMPUTED_VALUE"""),0.1323)</f>
        <v>0.1323</v>
      </c>
      <c r="L3834" s="19">
        <f>IFERROR(__xludf.DUMMYFUNCTION("""COMPUTED_VALUE"""),0.1587)</f>
        <v>0.1587</v>
      </c>
      <c r="M3834" s="18">
        <f>IFERROR(__xludf.DUMMYFUNCTION("""COMPUTED_VALUE"""),1.05)</f>
        <v>1.05</v>
      </c>
    </row>
    <row r="3835">
      <c r="A3835" s="13" t="str">
        <f>IFERROR(__xludf.DUMMYFUNCTION("""COMPUTED_VALUE"""),"товари")</f>
        <v>товари</v>
      </c>
      <c r="B3835" s="16" t="str">
        <f>IFERROR(__xludf.DUMMYFUNCTION("""COMPUTED_VALUE"""),"телекомунікації та зв'язок")</f>
        <v>телекомунікації та зв'язок</v>
      </c>
      <c r="C3835" s="16" t="str">
        <f>IFERROR(__xludf.DUMMYFUNCTION("""COMPUTED_VALUE"""),"серверне обладнання")</f>
        <v>серверне обладнання</v>
      </c>
      <c r="D3835" s="16" t="str">
        <f>IFERROR(__xludf.DUMMYFUNCTION("""COMPUTED_VALUE"""),"мережеві накопичувачі")</f>
        <v>мережеві накопичувачі</v>
      </c>
      <c r="E3835" s="16" t="str">
        <f>IFERROR(__xludf.DUMMYFUNCTION("""COMPUTED_VALUE"""),"мережеві накопичувачі")</f>
        <v>мережеві накопичувачі</v>
      </c>
      <c r="F3835" s="17">
        <f>IFERROR(__xludf.DUMMYFUNCTION("""COMPUTED_VALUE"""),3.0)</f>
        <v>3</v>
      </c>
      <c r="G3835" s="17" t="str">
        <f>IFERROR(__xludf.DUMMYFUNCTION("""COMPUTED_VALUE"""),"70807")</f>
        <v>70807</v>
      </c>
      <c r="H3835" s="17" t="str">
        <f>IFERROR(__xludf.DUMMYFUNCTION("""COMPUTED_VALUE"""),"мережеві накопичувачі")</f>
        <v>мережеві накопичувачі</v>
      </c>
      <c r="I3835" s="19">
        <f>IFERROR(__xludf.DUMMYFUNCTION("""COMPUTED_VALUE"""),0.0446)</f>
        <v>0.0446</v>
      </c>
      <c r="J3835" s="19">
        <f>IFERROR(__xludf.DUMMYFUNCTION("""COMPUTED_VALUE"""),0.0891)</f>
        <v>0.0891</v>
      </c>
      <c r="K3835" s="19">
        <f>IFERROR(__xludf.DUMMYFUNCTION("""COMPUTED_VALUE"""),0.1114)</f>
        <v>0.1114</v>
      </c>
      <c r="L3835" s="19">
        <f>IFERROR(__xludf.DUMMYFUNCTION("""COMPUTED_VALUE"""),0.1337)</f>
        <v>0.1337</v>
      </c>
      <c r="M3835" s="18">
        <f>IFERROR(__xludf.DUMMYFUNCTION("""COMPUTED_VALUE"""),1.05)</f>
        <v>1.05</v>
      </c>
    </row>
    <row r="3836">
      <c r="A3836" s="13" t="str">
        <f>IFERROR(__xludf.DUMMYFUNCTION("""COMPUTED_VALUE"""),"товари")</f>
        <v>товари</v>
      </c>
      <c r="B3836" s="16" t="str">
        <f>IFERROR(__xludf.DUMMYFUNCTION("""COMPUTED_VALUE"""),"телекомунікації та зв'язок")</f>
        <v>телекомунікації та зв'язок</v>
      </c>
      <c r="C3836" s="16" t="str">
        <f>IFERROR(__xludf.DUMMYFUNCTION("""COMPUTED_VALUE"""),"активне мережеве обладнання")</f>
        <v>активне мережеве обладнання</v>
      </c>
      <c r="D3836" s="16" t="str">
        <f>IFERROR(__xludf.DUMMYFUNCTION("""COMPUTED_VALUE"""),"модеми 3g, 4g")</f>
        <v>модеми 3g, 4g</v>
      </c>
      <c r="E3836" s="16" t="str">
        <f>IFERROR(__xludf.DUMMYFUNCTION("""COMPUTED_VALUE"""),"модеми 3g, 4g")</f>
        <v>модеми 3g, 4g</v>
      </c>
      <c r="F3836" s="17">
        <f>IFERROR(__xludf.DUMMYFUNCTION("""COMPUTED_VALUE"""),3.0)</f>
        <v>3</v>
      </c>
      <c r="G3836" s="17" t="str">
        <f>IFERROR(__xludf.DUMMYFUNCTION("""COMPUTED_VALUE"""),"50921")</f>
        <v>50921</v>
      </c>
      <c r="H3836" s="17" t="str">
        <f>IFERROR(__xludf.DUMMYFUNCTION("""COMPUTED_VALUE"""),"модеми 3g, 4g")</f>
        <v>модеми 3g, 4g</v>
      </c>
      <c r="I3836" s="19">
        <f>IFERROR(__xludf.DUMMYFUNCTION("""COMPUTED_VALUE"""),0.0949)</f>
        <v>0.0949</v>
      </c>
      <c r="J3836" s="19">
        <f>IFERROR(__xludf.DUMMYFUNCTION("""COMPUTED_VALUE"""),0.1898)</f>
        <v>0.1898</v>
      </c>
      <c r="K3836" s="19">
        <f>IFERROR(__xludf.DUMMYFUNCTION("""COMPUTED_VALUE"""),0.2373)</f>
        <v>0.2373</v>
      </c>
      <c r="L3836" s="19">
        <f>IFERROR(__xludf.DUMMYFUNCTION("""COMPUTED_VALUE"""),0.2847)</f>
        <v>0.2847</v>
      </c>
      <c r="M3836" s="18">
        <f>IFERROR(__xludf.DUMMYFUNCTION("""COMPUTED_VALUE"""),2.7)</f>
        <v>2.7</v>
      </c>
    </row>
    <row r="3837">
      <c r="A3837" s="13" t="str">
        <f>IFERROR(__xludf.DUMMYFUNCTION("""COMPUTED_VALUE"""),"товари")</f>
        <v>товари</v>
      </c>
      <c r="B3837" s="16" t="str">
        <f>IFERROR(__xludf.DUMMYFUNCTION("""COMPUTED_VALUE"""),"телекомунікації та зв'язок")</f>
        <v>телекомунікації та зв'язок</v>
      </c>
      <c r="C3837" s="16" t="str">
        <f>IFERROR(__xludf.DUMMYFUNCTION("""COMPUTED_VALUE"""),"активне мережеве обладнання")</f>
        <v>активне мережеве обладнання</v>
      </c>
      <c r="D3837" s="16" t="str">
        <f>IFERROR(__xludf.DUMMYFUNCTION("""COMPUTED_VALUE"""),"обладнання для живлення по ethernet")</f>
        <v>обладнання для живлення по ethernet</v>
      </c>
      <c r="E3837" s="16" t="str">
        <f>IFERROR(__xludf.DUMMYFUNCTION("""COMPUTED_VALUE"""),"обладнання для живлення по ethernet")</f>
        <v>обладнання для живлення по ethernet</v>
      </c>
      <c r="F3837" s="17">
        <f>IFERROR(__xludf.DUMMYFUNCTION("""COMPUTED_VALUE"""),3.0)</f>
        <v>3</v>
      </c>
      <c r="G3837" s="17" t="str">
        <f>IFERROR(__xludf.DUMMYFUNCTION("""COMPUTED_VALUE"""),"50928")</f>
        <v>50928</v>
      </c>
      <c r="H3837" s="17" t="str">
        <f>IFERROR(__xludf.DUMMYFUNCTION("""COMPUTED_VALUE"""),"обладнання для живлення по ethernet")</f>
        <v>обладнання для живлення по ethernet</v>
      </c>
      <c r="I3837" s="19">
        <f>IFERROR(__xludf.DUMMYFUNCTION("""COMPUTED_VALUE"""),0.0383)</f>
        <v>0.0383</v>
      </c>
      <c r="J3837" s="19">
        <f>IFERROR(__xludf.DUMMYFUNCTION("""COMPUTED_VALUE"""),0.0766)</f>
        <v>0.0766</v>
      </c>
      <c r="K3837" s="19">
        <f>IFERROR(__xludf.DUMMYFUNCTION("""COMPUTED_VALUE"""),0.0958)</f>
        <v>0.0958</v>
      </c>
      <c r="L3837" s="19">
        <f>IFERROR(__xludf.DUMMYFUNCTION("""COMPUTED_VALUE"""),0.1149)</f>
        <v>0.1149</v>
      </c>
      <c r="M3837" s="18">
        <f>IFERROR(__xludf.DUMMYFUNCTION("""COMPUTED_VALUE"""),1.05)</f>
        <v>1.05</v>
      </c>
    </row>
    <row r="3838">
      <c r="A3838" s="13" t="str">
        <f>IFERROR(__xludf.DUMMYFUNCTION("""COMPUTED_VALUE"""),"товари")</f>
        <v>товари</v>
      </c>
      <c r="B3838" s="16" t="str">
        <f>IFERROR(__xludf.DUMMYFUNCTION("""COMPUTED_VALUE"""),"телекомунікації та зв'язок")</f>
        <v>телекомунікації та зв'язок</v>
      </c>
      <c r="C3838" s="16" t="str">
        <f>IFERROR(__xludf.DUMMYFUNCTION("""COMPUTED_VALUE"""),"пасивне мережеве обладнання")</f>
        <v>пасивне мережеве обладнання</v>
      </c>
      <c r="D3838" s="16" t="str">
        <f>IFERROR(__xludf.DUMMYFUNCTION("""COMPUTED_VALUE"""),"оптоволоконне обладнання")</f>
        <v>оптоволоконне обладнання</v>
      </c>
      <c r="E3838" s="16" t="str">
        <f>IFERROR(__xludf.DUMMYFUNCTION("""COMPUTED_VALUE"""),"оптичні конвертери")</f>
        <v>оптичні конвертери</v>
      </c>
      <c r="F3838" s="17">
        <f>IFERROR(__xludf.DUMMYFUNCTION("""COMPUTED_VALUE"""),4.0)</f>
        <v>4</v>
      </c>
      <c r="G3838" s="17" t="str">
        <f>IFERROR(__xludf.DUMMYFUNCTION("""COMPUTED_VALUE"""),"5092006")</f>
        <v>5092006</v>
      </c>
      <c r="H3838" s="17" t="str">
        <f>IFERROR(__xludf.DUMMYFUNCTION("""COMPUTED_VALUE"""),"оптичні конвертери")</f>
        <v>оптичні конвертери</v>
      </c>
      <c r="I3838" s="19">
        <f>IFERROR(__xludf.DUMMYFUNCTION("""COMPUTED_VALUE"""),0.0548)</f>
        <v>0.0548</v>
      </c>
      <c r="J3838" s="19">
        <f>IFERROR(__xludf.DUMMYFUNCTION("""COMPUTED_VALUE"""),0.1096)</f>
        <v>0.1096</v>
      </c>
      <c r="K3838" s="19">
        <f>IFERROR(__xludf.DUMMYFUNCTION("""COMPUTED_VALUE"""),0.137)</f>
        <v>0.137</v>
      </c>
      <c r="L3838" s="19">
        <f>IFERROR(__xludf.DUMMYFUNCTION("""COMPUTED_VALUE"""),0.1644)</f>
        <v>0.1644</v>
      </c>
      <c r="M3838" s="18">
        <f>IFERROR(__xludf.DUMMYFUNCTION("""COMPUTED_VALUE"""),1.71)</f>
        <v>1.71</v>
      </c>
    </row>
    <row r="3839">
      <c r="A3839" s="13" t="str">
        <f>IFERROR(__xludf.DUMMYFUNCTION("""COMPUTED_VALUE"""),"товари")</f>
        <v>товари</v>
      </c>
      <c r="B3839" s="16" t="str">
        <f>IFERROR(__xludf.DUMMYFUNCTION("""COMPUTED_VALUE"""),"телекомунікації та зв'язок")</f>
        <v>телекомунікації та зв'язок</v>
      </c>
      <c r="C3839" s="16" t="str">
        <f>IFERROR(__xludf.DUMMYFUNCTION("""COMPUTED_VALUE"""),"пасивне мережеве обладнання")</f>
        <v>пасивне мережеве обладнання</v>
      </c>
      <c r="D3839" s="16" t="str">
        <f>IFERROR(__xludf.DUMMYFUNCTION("""COMPUTED_VALUE"""),"пасивне мережеве обладнання, загальне")</f>
        <v>пасивне мережеве обладнання, загальне</v>
      </c>
      <c r="E3839" s="16" t="str">
        <f>IFERROR(__xludf.DUMMYFUNCTION("""COMPUTED_VALUE"""),"пасивне мережеве обладнання, загальне")</f>
        <v>пасивне мережеве обладнання, загальне</v>
      </c>
      <c r="F3839" s="17">
        <f>IFERROR(__xludf.DUMMYFUNCTION("""COMPUTED_VALUE"""),3.0)</f>
        <v>3</v>
      </c>
      <c r="G3839" s="17" t="str">
        <f>IFERROR(__xludf.DUMMYFUNCTION("""COMPUTED_VALUE"""),"7190602")</f>
        <v>7190602</v>
      </c>
      <c r="H3839" s="17" t="str">
        <f>IFERROR(__xludf.DUMMYFUNCTION("""COMPUTED_VALUE"""),"пасивне мережеве обладнання, загальне")</f>
        <v>пасивне мережеве обладнання, загальне</v>
      </c>
      <c r="I3839" s="19">
        <f>IFERROR(__xludf.DUMMYFUNCTION("""COMPUTED_VALUE"""),0.125)</f>
        <v>0.125</v>
      </c>
      <c r="J3839" s="19">
        <f>IFERROR(__xludf.DUMMYFUNCTION("""COMPUTED_VALUE"""),0.25)</f>
        <v>0.25</v>
      </c>
      <c r="K3839" s="19">
        <f>IFERROR(__xludf.DUMMYFUNCTION("""COMPUTED_VALUE"""),0.3125)</f>
        <v>0.3125</v>
      </c>
      <c r="L3839" s="19">
        <f>IFERROR(__xludf.DUMMYFUNCTION("""COMPUTED_VALUE"""),0.375)</f>
        <v>0.375</v>
      </c>
      <c r="M3839" s="18">
        <f>IFERROR(__xludf.DUMMYFUNCTION("""COMPUTED_VALUE"""),4.33)</f>
        <v>4.33</v>
      </c>
    </row>
    <row r="3840">
      <c r="A3840" s="13" t="str">
        <f>IFERROR(__xludf.DUMMYFUNCTION("""COMPUTED_VALUE"""),"товари")</f>
        <v>товари</v>
      </c>
      <c r="B3840" s="16" t="str">
        <f>IFERROR(__xludf.DUMMYFUNCTION("""COMPUTED_VALUE"""),"телекомунікації та зв'язок")</f>
        <v>телекомунікації та зв'язок</v>
      </c>
      <c r="C3840" s="16" t="str">
        <f>IFERROR(__xludf.DUMMYFUNCTION("""COMPUTED_VALUE"""),"пасивне мережеве обладнання")</f>
        <v>пасивне мережеве обладнання</v>
      </c>
      <c r="D3840" s="16" t="str">
        <f>IFERROR(__xludf.DUMMYFUNCTION("""COMPUTED_VALUE"""),"патч-корди")</f>
        <v>патч-корди</v>
      </c>
      <c r="E3840" s="16" t="str">
        <f>IFERROR(__xludf.DUMMYFUNCTION("""COMPUTED_VALUE"""),"патч-корди")</f>
        <v>патч-корди</v>
      </c>
      <c r="F3840" s="17">
        <f>IFERROR(__xludf.DUMMYFUNCTION("""COMPUTED_VALUE"""),3.0)</f>
        <v>3</v>
      </c>
      <c r="G3840" s="17" t="str">
        <f>IFERROR(__xludf.DUMMYFUNCTION("""COMPUTED_VALUE"""),"7190604")</f>
        <v>7190604</v>
      </c>
      <c r="H3840" s="17" t="str">
        <f>IFERROR(__xludf.DUMMYFUNCTION("""COMPUTED_VALUE"""),"патч-корди")</f>
        <v>патч-корди</v>
      </c>
      <c r="I3840" s="19">
        <f>IFERROR(__xludf.DUMMYFUNCTION("""COMPUTED_VALUE"""),0.0537)</f>
        <v>0.0537</v>
      </c>
      <c r="J3840" s="19">
        <f>IFERROR(__xludf.DUMMYFUNCTION("""COMPUTED_VALUE"""),0.1073)</f>
        <v>0.1073</v>
      </c>
      <c r="K3840" s="19">
        <f>IFERROR(__xludf.DUMMYFUNCTION("""COMPUTED_VALUE"""),0.1341)</f>
        <v>0.1341</v>
      </c>
      <c r="L3840" s="19">
        <f>IFERROR(__xludf.DUMMYFUNCTION("""COMPUTED_VALUE"""),0.161)</f>
        <v>0.161</v>
      </c>
      <c r="M3840" s="18">
        <f>IFERROR(__xludf.DUMMYFUNCTION("""COMPUTED_VALUE"""),1.05)</f>
        <v>1.05</v>
      </c>
    </row>
    <row r="3841">
      <c r="A3841" s="13" t="str">
        <f>IFERROR(__xludf.DUMMYFUNCTION("""COMPUTED_VALUE"""),"товари")</f>
        <v>товари</v>
      </c>
      <c r="B3841" s="16" t="str">
        <f>IFERROR(__xludf.DUMMYFUNCTION("""COMPUTED_VALUE"""),"телекомунікації та зв'язок")</f>
        <v>телекомунікації та зв'язок</v>
      </c>
      <c r="C3841" s="16" t="str">
        <f>IFERROR(__xludf.DUMMYFUNCTION("""COMPUTED_VALUE"""),"пасивне мережеве обладнання")</f>
        <v>пасивне мережеве обладнання</v>
      </c>
      <c r="D3841" s="16" t="str">
        <f>IFERROR(__xludf.DUMMYFUNCTION("""COMPUTED_VALUE"""),"патч-панелі")</f>
        <v>патч-панелі</v>
      </c>
      <c r="E3841" s="16" t="str">
        <f>IFERROR(__xludf.DUMMYFUNCTION("""COMPUTED_VALUE"""),"патч-панелі")</f>
        <v>патч-панелі</v>
      </c>
      <c r="F3841" s="17">
        <f>IFERROR(__xludf.DUMMYFUNCTION("""COMPUTED_VALUE"""),3.0)</f>
        <v>3</v>
      </c>
      <c r="G3841" s="17" t="str">
        <f>IFERROR(__xludf.DUMMYFUNCTION("""COMPUTED_VALUE"""),"5092902")</f>
        <v>5092902</v>
      </c>
      <c r="H3841" s="17" t="str">
        <f>IFERROR(__xludf.DUMMYFUNCTION("""COMPUTED_VALUE"""),"патч-панелі")</f>
        <v>патч-панелі</v>
      </c>
      <c r="I3841" s="19">
        <f>IFERROR(__xludf.DUMMYFUNCTION("""COMPUTED_VALUE"""),0.0503)</f>
        <v>0.0503</v>
      </c>
      <c r="J3841" s="19">
        <f>IFERROR(__xludf.DUMMYFUNCTION("""COMPUTED_VALUE"""),0.1006)</f>
        <v>0.1006</v>
      </c>
      <c r="K3841" s="19">
        <f>IFERROR(__xludf.DUMMYFUNCTION("""COMPUTED_VALUE"""),0.1258)</f>
        <v>0.1258</v>
      </c>
      <c r="L3841" s="19">
        <f>IFERROR(__xludf.DUMMYFUNCTION("""COMPUTED_VALUE"""),0.1509)</f>
        <v>0.1509</v>
      </c>
      <c r="M3841" s="18">
        <f>IFERROR(__xludf.DUMMYFUNCTION("""COMPUTED_VALUE"""),1.05)</f>
        <v>1.05</v>
      </c>
    </row>
    <row r="3842">
      <c r="A3842" s="13" t="str">
        <f>IFERROR(__xludf.DUMMYFUNCTION("""COMPUTED_VALUE"""),"товари")</f>
        <v>товари</v>
      </c>
      <c r="B3842" s="16" t="str">
        <f>IFERROR(__xludf.DUMMYFUNCTION("""COMPUTED_VALUE"""),"телекомунікації та зв'язок")</f>
        <v>телекомунікації та зв'язок</v>
      </c>
      <c r="C3842" s="16" t="str">
        <f>IFERROR(__xludf.DUMMYFUNCTION("""COMPUTED_VALUE"""),"активне мережеве обладнання")</f>
        <v>активне мережеве обладнання</v>
      </c>
      <c r="D3842" s="16" t="str">
        <f>IFERROR(__xludf.DUMMYFUNCTION("""COMPUTED_VALUE"""),"принт-сервери")</f>
        <v>принт-сервери</v>
      </c>
      <c r="E3842" s="16" t="str">
        <f>IFERROR(__xludf.DUMMYFUNCTION("""COMPUTED_VALUE"""),"принт-сервери")</f>
        <v>принт-сервери</v>
      </c>
      <c r="F3842" s="17">
        <f>IFERROR(__xludf.DUMMYFUNCTION("""COMPUTED_VALUE"""),3.0)</f>
        <v>3</v>
      </c>
      <c r="G3842" s="17" t="str">
        <f>IFERROR(__xludf.DUMMYFUNCTION("""COMPUTED_VALUE"""),"50922")</f>
        <v>50922</v>
      </c>
      <c r="H3842" s="17" t="str">
        <f>IFERROR(__xludf.DUMMYFUNCTION("""COMPUTED_VALUE"""),"принт-сервери")</f>
        <v>принт-сервери</v>
      </c>
      <c r="I3842" s="19">
        <f>IFERROR(__xludf.DUMMYFUNCTION("""COMPUTED_VALUE"""),0.0587)</f>
        <v>0.0587</v>
      </c>
      <c r="J3842" s="19">
        <f>IFERROR(__xludf.DUMMYFUNCTION("""COMPUTED_VALUE"""),0.1173)</f>
        <v>0.1173</v>
      </c>
      <c r="K3842" s="19">
        <f>IFERROR(__xludf.DUMMYFUNCTION("""COMPUTED_VALUE"""),0.1466)</f>
        <v>0.1466</v>
      </c>
      <c r="L3842" s="19">
        <f>IFERROR(__xludf.DUMMYFUNCTION("""COMPUTED_VALUE"""),0.176)</f>
        <v>0.176</v>
      </c>
      <c r="M3842" s="18">
        <f>IFERROR(__xludf.DUMMYFUNCTION("""COMPUTED_VALUE"""),1.05)</f>
        <v>1.05</v>
      </c>
    </row>
    <row r="3843">
      <c r="A3843" s="13" t="str">
        <f>IFERROR(__xludf.DUMMYFUNCTION("""COMPUTED_VALUE"""),"товари")</f>
        <v>товари</v>
      </c>
      <c r="B3843" s="16" t="str">
        <f>IFERROR(__xludf.DUMMYFUNCTION("""COMPUTED_VALUE"""),"телекомунікації та зв'язок")</f>
        <v>телекомунікації та зв'язок</v>
      </c>
      <c r="C3843" s="16" t="str">
        <f>IFERROR(__xludf.DUMMYFUNCTION("""COMPUTED_VALUE"""),"телефонія")</f>
        <v>телефонія</v>
      </c>
      <c r="D3843" s="16" t="str">
        <f>IFERROR(__xludf.DUMMYFUNCTION("""COMPUTED_VALUE"""),"системні телефони та консолі до міні-атс")</f>
        <v>системні телефони та консолі до міні-атс</v>
      </c>
      <c r="E3843" s="16" t="str">
        <f>IFERROR(__xludf.DUMMYFUNCTION("""COMPUTED_VALUE"""),"системні телефони та консолі до міні-атс")</f>
        <v>системні телефони та консолі до міні-атс</v>
      </c>
      <c r="F3843" s="17">
        <f>IFERROR(__xludf.DUMMYFUNCTION("""COMPUTED_VALUE"""),3.0)</f>
        <v>3</v>
      </c>
      <c r="G3843" s="17" t="str">
        <f>IFERROR(__xludf.DUMMYFUNCTION("""COMPUTED_VALUE"""),"5090101")</f>
        <v>5090101</v>
      </c>
      <c r="H3843" s="17" t="str">
        <f>IFERROR(__xludf.DUMMYFUNCTION("""COMPUTED_VALUE"""),"системні телефони та консолі до міні-атс")</f>
        <v>системні телефони та консолі до міні-атс</v>
      </c>
      <c r="I3843" s="19">
        <f>IFERROR(__xludf.DUMMYFUNCTION("""COMPUTED_VALUE"""),0.0385)</f>
        <v>0.0385</v>
      </c>
      <c r="J3843" s="19">
        <f>IFERROR(__xludf.DUMMYFUNCTION("""COMPUTED_VALUE"""),0.077)</f>
        <v>0.077</v>
      </c>
      <c r="K3843" s="19">
        <f>IFERROR(__xludf.DUMMYFUNCTION("""COMPUTED_VALUE"""),0.0963)</f>
        <v>0.0963</v>
      </c>
      <c r="L3843" s="19">
        <f>IFERROR(__xludf.DUMMYFUNCTION("""COMPUTED_VALUE"""),0.1155)</f>
        <v>0.1155</v>
      </c>
      <c r="M3843" s="18">
        <f>IFERROR(__xludf.DUMMYFUNCTION("""COMPUTED_VALUE"""),1.05)</f>
        <v>1.05</v>
      </c>
    </row>
    <row r="3844">
      <c r="A3844" s="13" t="str">
        <f>IFERROR(__xludf.DUMMYFUNCTION("""COMPUTED_VALUE"""),"товари")</f>
        <v>товари</v>
      </c>
      <c r="B3844" s="16" t="str">
        <f>IFERROR(__xludf.DUMMYFUNCTION("""COMPUTED_VALUE"""),"телекомунікації та зв'язок")</f>
        <v>телекомунікації та зв'язок</v>
      </c>
      <c r="C3844" s="16" t="str">
        <f>IFERROR(__xludf.DUMMYFUNCTION("""COMPUTED_VALUE"""),"телекомунікаційне обладнання, загальне")</f>
        <v>телекомунікаційне обладнання, загальне</v>
      </c>
      <c r="D3844" s="16" t="str">
        <f>IFERROR(__xludf.DUMMYFUNCTION("""COMPUTED_VALUE"""),"телекомунікаційне обладнання, загальне")</f>
        <v>телекомунікаційне обладнання, загальне</v>
      </c>
      <c r="E3844" s="16" t="str">
        <f>IFERROR(__xludf.DUMMYFUNCTION("""COMPUTED_VALUE"""),"телекомунікаційне обладнання, загальне")</f>
        <v>телекомунікаційне обладнання, загальне</v>
      </c>
      <c r="F3844" s="17">
        <f>IFERROR(__xludf.DUMMYFUNCTION("""COMPUTED_VALUE"""),2.0)</f>
        <v>2</v>
      </c>
      <c r="G3844" s="17" t="str">
        <f>IFERROR(__xludf.DUMMYFUNCTION("""COMPUTED_VALUE"""),"50914")</f>
        <v>50914</v>
      </c>
      <c r="H3844" s="17" t="str">
        <f>IFERROR(__xludf.DUMMYFUNCTION("""COMPUTED_VALUE"""),"телекомунікаційне обладнання, загальне")</f>
        <v>телекомунікаційне обладнання, загальне</v>
      </c>
      <c r="I3844" s="19">
        <f>IFERROR(__xludf.DUMMYFUNCTION("""COMPUTED_VALUE"""),0.125)</f>
        <v>0.125</v>
      </c>
      <c r="J3844" s="19">
        <f>IFERROR(__xludf.DUMMYFUNCTION("""COMPUTED_VALUE"""),0.25)</f>
        <v>0.25</v>
      </c>
      <c r="K3844" s="19">
        <f>IFERROR(__xludf.DUMMYFUNCTION("""COMPUTED_VALUE"""),0.3125)</f>
        <v>0.3125</v>
      </c>
      <c r="L3844" s="19">
        <f>IFERROR(__xludf.DUMMYFUNCTION("""COMPUTED_VALUE"""),0.375)</f>
        <v>0.375</v>
      </c>
      <c r="M3844" s="18">
        <f>IFERROR(__xludf.DUMMYFUNCTION("""COMPUTED_VALUE"""),4.33)</f>
        <v>4.33</v>
      </c>
    </row>
    <row r="3845">
      <c r="A3845" s="13" t="str">
        <f>IFERROR(__xludf.DUMMYFUNCTION("""COMPUTED_VALUE"""),"товари")</f>
        <v>товари</v>
      </c>
      <c r="B3845" s="16" t="str">
        <f>IFERROR(__xludf.DUMMYFUNCTION("""COMPUTED_VALUE"""),"телекомунікації та зв'язок")</f>
        <v>телекомунікації та зв'язок</v>
      </c>
      <c r="C3845" s="16" t="str">
        <f>IFERROR(__xludf.DUMMYFUNCTION("""COMPUTED_VALUE"""),"телефонія")</f>
        <v>телефонія</v>
      </c>
      <c r="D3845" s="16" t="str">
        <f>IFERROR(__xludf.DUMMYFUNCTION("""COMPUTED_VALUE"""),"телефонія, загальне")</f>
        <v>телефонія, загальне</v>
      </c>
      <c r="E3845" s="16" t="str">
        <f>IFERROR(__xludf.DUMMYFUNCTION("""COMPUTED_VALUE"""),"телефонія, загальне")</f>
        <v>телефонія, загальне</v>
      </c>
      <c r="F3845" s="17">
        <f>IFERROR(__xludf.DUMMYFUNCTION("""COMPUTED_VALUE"""),3.0)</f>
        <v>3</v>
      </c>
      <c r="G3845" s="17" t="str">
        <f>IFERROR(__xludf.DUMMYFUNCTION("""COMPUTED_VALUE"""),"5090105")</f>
        <v>5090105</v>
      </c>
      <c r="H3845" s="17" t="str">
        <f>IFERROR(__xludf.DUMMYFUNCTION("""COMPUTED_VALUE"""),"телефонія, загальне")</f>
        <v>телефонія, загальне</v>
      </c>
      <c r="I3845" s="19">
        <f>IFERROR(__xludf.DUMMYFUNCTION("""COMPUTED_VALUE"""),0.125)</f>
        <v>0.125</v>
      </c>
      <c r="J3845" s="19">
        <f>IFERROR(__xludf.DUMMYFUNCTION("""COMPUTED_VALUE"""),0.25)</f>
        <v>0.25</v>
      </c>
      <c r="K3845" s="19">
        <f>IFERROR(__xludf.DUMMYFUNCTION("""COMPUTED_VALUE"""),0.3125)</f>
        <v>0.3125</v>
      </c>
      <c r="L3845" s="19">
        <f>IFERROR(__xludf.DUMMYFUNCTION("""COMPUTED_VALUE"""),0.375)</f>
        <v>0.375</v>
      </c>
      <c r="M3845" s="18">
        <f>IFERROR(__xludf.DUMMYFUNCTION("""COMPUTED_VALUE"""),4.33)</f>
        <v>4.33</v>
      </c>
    </row>
    <row r="3846">
      <c r="A3846" s="13" t="str">
        <f>IFERROR(__xludf.DUMMYFUNCTION("""COMPUTED_VALUE"""),"товари")</f>
        <v>товари</v>
      </c>
      <c r="B3846" s="16" t="str">
        <f>IFERROR(__xludf.DUMMYFUNCTION("""COMPUTED_VALUE"""),"телекомунікації та зв'язок")</f>
        <v>телекомунікації та зв'язок</v>
      </c>
      <c r="C3846" s="16" t="str">
        <f>IFERROR(__xludf.DUMMYFUNCTION("""COMPUTED_VALUE"""),"активне мережеве обладнання")</f>
        <v>активне мережеве обладнання</v>
      </c>
      <c r="D3846" s="16" t="str">
        <f>IFERROR(__xludf.DUMMYFUNCTION("""COMPUTED_VALUE"""),"трансивери")</f>
        <v>трансивери</v>
      </c>
      <c r="E3846" s="16" t="str">
        <f>IFERROR(__xludf.DUMMYFUNCTION("""COMPUTED_VALUE"""),"трансивери")</f>
        <v>трансивери</v>
      </c>
      <c r="F3846" s="17">
        <f>IFERROR(__xludf.DUMMYFUNCTION("""COMPUTED_VALUE"""),3.0)</f>
        <v>3</v>
      </c>
      <c r="G3846" s="17" t="str">
        <f>IFERROR(__xludf.DUMMYFUNCTION("""COMPUTED_VALUE"""),"71905")</f>
        <v>71905</v>
      </c>
      <c r="H3846" s="17" t="str">
        <f>IFERROR(__xludf.DUMMYFUNCTION("""COMPUTED_VALUE"""),"трансивери")</f>
        <v>трансивери</v>
      </c>
      <c r="I3846" s="19">
        <f>IFERROR(__xludf.DUMMYFUNCTION("""COMPUTED_VALUE"""),0.06)</f>
        <v>0.06</v>
      </c>
      <c r="J3846" s="19">
        <f>IFERROR(__xludf.DUMMYFUNCTION("""COMPUTED_VALUE"""),0.1199)</f>
        <v>0.1199</v>
      </c>
      <c r="K3846" s="19">
        <f>IFERROR(__xludf.DUMMYFUNCTION("""COMPUTED_VALUE"""),0.1499)</f>
        <v>0.1499</v>
      </c>
      <c r="L3846" s="19">
        <f>IFERROR(__xludf.DUMMYFUNCTION("""COMPUTED_VALUE"""),0.1799)</f>
        <v>0.1799</v>
      </c>
      <c r="M3846" s="18">
        <f>IFERROR(__xludf.DUMMYFUNCTION("""COMPUTED_VALUE"""),1.71)</f>
        <v>1.71</v>
      </c>
    </row>
    <row r="3847">
      <c r="A3847" s="13" t="str">
        <f>IFERROR(__xludf.DUMMYFUNCTION("""COMPUTED_VALUE"""),"товари")</f>
        <v>товари</v>
      </c>
      <c r="B3847" s="16" t="str">
        <f>IFERROR(__xludf.DUMMYFUNCTION("""COMPUTED_VALUE"""),"техніка та електроніка")</f>
        <v>техніка та електроніка</v>
      </c>
      <c r="C3847" s="16" t="str">
        <f>IFERROR(__xludf.DUMMYFUNCTION("""COMPUTED_VALUE"""),"3d пристрої та аксесуари")</f>
        <v>3d пристрої та аксесуари</v>
      </c>
      <c r="D3847" s="16" t="str">
        <f>IFERROR(__xludf.DUMMYFUNCTION("""COMPUTED_VALUE"""),"3d принтери та 3d сканери")</f>
        <v>3d принтери та 3d сканери</v>
      </c>
      <c r="E3847" s="16" t="str">
        <f>IFERROR(__xludf.DUMMYFUNCTION("""COMPUTED_VALUE"""),"3d принтери та 3d сканери")</f>
        <v>3d принтери та 3d сканери</v>
      </c>
      <c r="F3847" s="17">
        <f>IFERROR(__xludf.DUMMYFUNCTION("""COMPUTED_VALUE"""),3.0)</f>
        <v>3</v>
      </c>
      <c r="G3847" s="17" t="str">
        <f>IFERROR(__xludf.DUMMYFUNCTION("""COMPUTED_VALUE"""),"230932")</f>
        <v>230932</v>
      </c>
      <c r="H3847" s="17" t="str">
        <f>IFERROR(__xludf.DUMMYFUNCTION("""COMPUTED_VALUE"""),"3d принтери та 3d сканери")</f>
        <v>3d принтери та 3d сканери</v>
      </c>
      <c r="I3847" s="19">
        <f>IFERROR(__xludf.DUMMYFUNCTION("""COMPUTED_VALUE"""),0.0582)</f>
        <v>0.0582</v>
      </c>
      <c r="J3847" s="19">
        <f>IFERROR(__xludf.DUMMYFUNCTION("""COMPUTED_VALUE"""),0.1164)</f>
        <v>0.1164</v>
      </c>
      <c r="K3847" s="19">
        <f>IFERROR(__xludf.DUMMYFUNCTION("""COMPUTED_VALUE"""),0.1455)</f>
        <v>0.1455</v>
      </c>
      <c r="L3847" s="19">
        <f>IFERROR(__xludf.DUMMYFUNCTION("""COMPUTED_VALUE"""),0.1746)</f>
        <v>0.1746</v>
      </c>
      <c r="M3847" s="18">
        <f>IFERROR(__xludf.DUMMYFUNCTION("""COMPUTED_VALUE"""),2.88)</f>
        <v>2.88</v>
      </c>
    </row>
    <row r="3848">
      <c r="A3848" s="13" t="str">
        <f>IFERROR(__xludf.DUMMYFUNCTION("""COMPUTED_VALUE"""),"товари")</f>
        <v>товари</v>
      </c>
      <c r="B3848" s="16" t="str">
        <f>IFERROR(__xludf.DUMMYFUNCTION("""COMPUTED_VALUE"""),"техніка та електроніка")</f>
        <v>техніка та електроніка</v>
      </c>
      <c r="C3848" s="16" t="str">
        <f>IFERROR(__xludf.DUMMYFUNCTION("""COMPUTED_VALUE"""),"3d пристрої та аксесуари")</f>
        <v>3d пристрої та аксесуари</v>
      </c>
      <c r="D3848" s="16" t="str">
        <f>IFERROR(__xludf.DUMMYFUNCTION("""COMPUTED_VALUE"""),"3d пристрої, загальне")</f>
        <v>3d пристрої, загальне</v>
      </c>
      <c r="E3848" s="16" t="str">
        <f>IFERROR(__xludf.DUMMYFUNCTION("""COMPUTED_VALUE"""),"3d пристрої, загальне")</f>
        <v>3d пристрої, загальне</v>
      </c>
      <c r="F3848" s="17">
        <f>IFERROR(__xludf.DUMMYFUNCTION("""COMPUTED_VALUE"""),3.0)</f>
        <v>3</v>
      </c>
      <c r="G3848" s="17" t="str">
        <f>IFERROR(__xludf.DUMMYFUNCTION("""COMPUTED_VALUE"""),"500701")</f>
        <v>500701</v>
      </c>
      <c r="H3848" s="17" t="str">
        <f>IFERROR(__xludf.DUMMYFUNCTION("""COMPUTED_VALUE"""),"3d пристрої, загальне")</f>
        <v>3d пристрої, загальне</v>
      </c>
      <c r="I3848" s="19">
        <f>IFERROR(__xludf.DUMMYFUNCTION("""COMPUTED_VALUE"""),0.125)</f>
        <v>0.125</v>
      </c>
      <c r="J3848" s="19">
        <f>IFERROR(__xludf.DUMMYFUNCTION("""COMPUTED_VALUE"""),0.25)</f>
        <v>0.25</v>
      </c>
      <c r="K3848" s="19">
        <f>IFERROR(__xludf.DUMMYFUNCTION("""COMPUTED_VALUE"""),0.3125)</f>
        <v>0.3125</v>
      </c>
      <c r="L3848" s="19">
        <f>IFERROR(__xludf.DUMMYFUNCTION("""COMPUTED_VALUE"""),0.375)</f>
        <v>0.375</v>
      </c>
      <c r="M3848" s="18">
        <f>IFERROR(__xludf.DUMMYFUNCTION("""COMPUTED_VALUE"""),4.33)</f>
        <v>4.33</v>
      </c>
    </row>
    <row r="3849">
      <c r="A3849" s="13" t="str">
        <f>IFERROR(__xludf.DUMMYFUNCTION("""COMPUTED_VALUE"""),"товари")</f>
        <v>товари</v>
      </c>
      <c r="B3849" s="16" t="str">
        <f>IFERROR(__xludf.DUMMYFUNCTION("""COMPUTED_VALUE"""),"техніка та електроніка")</f>
        <v>техніка та електроніка</v>
      </c>
      <c r="C3849" s="16" t="str">
        <f>IFERROR(__xludf.DUMMYFUNCTION("""COMPUTED_VALUE"""),"аудіотехніка та аксесуари")</f>
        <v>аудіотехніка та аксесуари</v>
      </c>
      <c r="D3849" s="16" t="str">
        <f>IFERROR(__xludf.DUMMYFUNCTION("""COMPUTED_VALUE"""),"av-ресивери")</f>
        <v>av-ресивери</v>
      </c>
      <c r="E3849" s="16" t="str">
        <f>IFERROR(__xludf.DUMMYFUNCTION("""COMPUTED_VALUE"""),"av-ресивери")</f>
        <v>av-ресивери</v>
      </c>
      <c r="F3849" s="17">
        <f>IFERROR(__xludf.DUMMYFUNCTION("""COMPUTED_VALUE"""),3.0)</f>
        <v>3</v>
      </c>
      <c r="G3849" s="17" t="str">
        <f>IFERROR(__xludf.DUMMYFUNCTION("""COMPUTED_VALUE"""),"6371602")</f>
        <v>6371602</v>
      </c>
      <c r="H3849" s="17" t="str">
        <f>IFERROR(__xludf.DUMMYFUNCTION("""COMPUTED_VALUE"""),"av-ресивери")</f>
        <v>av-ресивери</v>
      </c>
      <c r="I3849" s="19">
        <f>IFERROR(__xludf.DUMMYFUNCTION("""COMPUTED_VALUE"""),0.0674)</f>
        <v>0.0674</v>
      </c>
      <c r="J3849" s="19">
        <f>IFERROR(__xludf.DUMMYFUNCTION("""COMPUTED_VALUE"""),0.1347)</f>
        <v>0.1347</v>
      </c>
      <c r="K3849" s="19">
        <f>IFERROR(__xludf.DUMMYFUNCTION("""COMPUTED_VALUE"""),0.1684)</f>
        <v>0.1684</v>
      </c>
      <c r="L3849" s="19">
        <f>IFERROR(__xludf.DUMMYFUNCTION("""COMPUTED_VALUE"""),0.2021)</f>
        <v>0.2021</v>
      </c>
      <c r="M3849" s="18">
        <f>IFERROR(__xludf.DUMMYFUNCTION("""COMPUTED_VALUE"""),1.05)</f>
        <v>1.05</v>
      </c>
    </row>
    <row r="3850">
      <c r="A3850" s="13" t="str">
        <f>IFERROR(__xludf.DUMMYFUNCTION("""COMPUTED_VALUE"""),"товари")</f>
        <v>товари</v>
      </c>
      <c r="B3850" s="16" t="str">
        <f>IFERROR(__xludf.DUMMYFUNCTION("""COMPUTED_VALUE"""),"техніка та електроніка")</f>
        <v>техніка та електроніка</v>
      </c>
      <c r="C3850" s="16" t="str">
        <f>IFERROR(__xludf.DUMMYFUNCTION("""COMPUTED_VALUE"""),"бездротовий зв'язок")</f>
        <v>бездротовий зв'язок</v>
      </c>
      <c r="D3850" s="16" t="str">
        <f>IFERROR(__xludf.DUMMYFUNCTION("""COMPUTED_VALUE"""),"bluetooth адаптери")</f>
        <v>bluetooth адаптери</v>
      </c>
      <c r="E3850" s="16" t="str">
        <f>IFERROR(__xludf.DUMMYFUNCTION("""COMPUTED_VALUE"""),"bluetooth адаптери")</f>
        <v>bluetooth адаптери</v>
      </c>
      <c r="F3850" s="17">
        <f>IFERROR(__xludf.DUMMYFUNCTION("""COMPUTED_VALUE"""),3.0)</f>
        <v>3</v>
      </c>
      <c r="G3850" s="17" t="str">
        <f>IFERROR(__xludf.DUMMYFUNCTION("""COMPUTED_VALUE"""),"70810")</f>
        <v>70810</v>
      </c>
      <c r="H3850" s="17" t="str">
        <f>IFERROR(__xludf.DUMMYFUNCTION("""COMPUTED_VALUE"""),"bluetooth адаптери")</f>
        <v>bluetooth адаптери</v>
      </c>
      <c r="I3850" s="19">
        <f>IFERROR(__xludf.DUMMYFUNCTION("""COMPUTED_VALUE"""),0.0968)</f>
        <v>0.0968</v>
      </c>
      <c r="J3850" s="19">
        <f>IFERROR(__xludf.DUMMYFUNCTION("""COMPUTED_VALUE"""),0.1936)</f>
        <v>0.1936</v>
      </c>
      <c r="K3850" s="19">
        <f>IFERROR(__xludf.DUMMYFUNCTION("""COMPUTED_VALUE"""),0.242)</f>
        <v>0.242</v>
      </c>
      <c r="L3850" s="19">
        <f>IFERROR(__xludf.DUMMYFUNCTION("""COMPUTED_VALUE"""),0.2904)</f>
        <v>0.2904</v>
      </c>
      <c r="M3850" s="18">
        <f>IFERROR(__xludf.DUMMYFUNCTION("""COMPUTED_VALUE"""),1.53)</f>
        <v>1.53</v>
      </c>
    </row>
    <row r="3851">
      <c r="A3851" s="13" t="str">
        <f>IFERROR(__xludf.DUMMYFUNCTION("""COMPUTED_VALUE"""),"товари")</f>
        <v>товари</v>
      </c>
      <c r="B3851" s="16" t="str">
        <f>IFERROR(__xludf.DUMMYFUNCTION("""COMPUTED_VALUE"""),"техніка та електроніка")</f>
        <v>техніка та електроніка</v>
      </c>
      <c r="C3851" s="16" t="str">
        <f>IFERROR(__xludf.DUMMYFUNCTION("""COMPUTED_VALUE"""),"комп'ютерна техніка та пз")</f>
        <v>комп'ютерна техніка та пз</v>
      </c>
      <c r="D3851" s="16" t="str">
        <f>IFERROR(__xludf.DUMMYFUNCTION("""COMPUTED_VALUE"""),"носії інформації")</f>
        <v>носії інформації</v>
      </c>
      <c r="E3851" s="16" t="str">
        <f>IFERROR(__xludf.DUMMYFUNCTION("""COMPUTED_VALUE"""),"dvd, bd та cd диски")</f>
        <v>dvd, bd та cd диски</v>
      </c>
      <c r="F3851" s="17">
        <f>IFERROR(__xludf.DUMMYFUNCTION("""COMPUTED_VALUE"""),4.0)</f>
        <v>4</v>
      </c>
      <c r="G3851" s="17" t="str">
        <f>IFERROR(__xludf.DUMMYFUNCTION("""COMPUTED_VALUE"""),"70502")</f>
        <v>70502</v>
      </c>
      <c r="H3851" s="17" t="str">
        <f>IFERROR(__xludf.DUMMYFUNCTION("""COMPUTED_VALUE"""),"dvd, bd та cd диски")</f>
        <v>dvd, bd та cd диски</v>
      </c>
      <c r="I3851" s="19">
        <f>IFERROR(__xludf.DUMMYFUNCTION("""COMPUTED_VALUE"""),0.0868)</f>
        <v>0.0868</v>
      </c>
      <c r="J3851" s="19">
        <f>IFERROR(__xludf.DUMMYFUNCTION("""COMPUTED_VALUE"""),0.1736)</f>
        <v>0.1736</v>
      </c>
      <c r="K3851" s="19">
        <f>IFERROR(__xludf.DUMMYFUNCTION("""COMPUTED_VALUE"""),0.217)</f>
        <v>0.217</v>
      </c>
      <c r="L3851" s="19">
        <f>IFERROR(__xludf.DUMMYFUNCTION("""COMPUTED_VALUE"""),0.2604)</f>
        <v>0.2604</v>
      </c>
      <c r="M3851" s="18">
        <f>IFERROR(__xludf.DUMMYFUNCTION("""COMPUTED_VALUE"""),1.8)</f>
        <v>1.8</v>
      </c>
    </row>
    <row r="3852">
      <c r="A3852" s="13" t="str">
        <f>IFERROR(__xludf.DUMMYFUNCTION("""COMPUTED_VALUE"""),"товари")</f>
        <v>товари</v>
      </c>
      <c r="B3852" s="16" t="str">
        <f>IFERROR(__xludf.DUMMYFUNCTION("""COMPUTED_VALUE"""),"техніка та електроніка")</f>
        <v>техніка та електроніка</v>
      </c>
      <c r="C3852" s="16" t="str">
        <f>IFERROR(__xludf.DUMMYFUNCTION("""COMPUTED_VALUE"""),"комп'ютерна техніка та пз")</f>
        <v>комп'ютерна техніка та пз</v>
      </c>
      <c r="D3852" s="16" t="str">
        <f>IFERROR(__xludf.DUMMYFUNCTION("""COMPUTED_VALUE"""),"комплектуючі для комп'ютерної техніки")</f>
        <v>комплектуючі для комп'ютерної техніки</v>
      </c>
      <c r="E3852" s="16" t="str">
        <f>IFERROR(__xludf.DUMMYFUNCTION("""COMPUTED_VALUE"""),"post-карти")</f>
        <v>post-карти</v>
      </c>
      <c r="F3852" s="17">
        <f>IFERROR(__xludf.DUMMYFUNCTION("""COMPUTED_VALUE"""),4.0)</f>
        <v>4</v>
      </c>
      <c r="G3852" s="17" t="str">
        <f>IFERROR(__xludf.DUMMYFUNCTION("""COMPUTED_VALUE"""),"70710")</f>
        <v>70710</v>
      </c>
      <c r="H3852" s="17" t="str">
        <f>IFERROR(__xludf.DUMMYFUNCTION("""COMPUTED_VALUE"""),"post-карти")</f>
        <v>post-карти</v>
      </c>
      <c r="I3852" s="19">
        <f>IFERROR(__xludf.DUMMYFUNCTION("""COMPUTED_VALUE"""),0.075)</f>
        <v>0.075</v>
      </c>
      <c r="J3852" s="19">
        <f>IFERROR(__xludf.DUMMYFUNCTION("""COMPUTED_VALUE"""),0.1499)</f>
        <v>0.1499</v>
      </c>
      <c r="K3852" s="19">
        <f>IFERROR(__xludf.DUMMYFUNCTION("""COMPUTED_VALUE"""),0.1874)</f>
        <v>0.1874</v>
      </c>
      <c r="L3852" s="19">
        <f>IFERROR(__xludf.DUMMYFUNCTION("""COMPUTED_VALUE"""),0.2249)</f>
        <v>0.2249</v>
      </c>
      <c r="M3852" s="18">
        <f>IFERROR(__xludf.DUMMYFUNCTION("""COMPUTED_VALUE"""),1.71)</f>
        <v>1.71</v>
      </c>
    </row>
    <row r="3853">
      <c r="A3853" s="13" t="str">
        <f>IFERROR(__xludf.DUMMYFUNCTION("""COMPUTED_VALUE"""),"товари")</f>
        <v>товари</v>
      </c>
      <c r="B3853" s="16" t="str">
        <f>IFERROR(__xludf.DUMMYFUNCTION("""COMPUTED_VALUE"""),"техніка та електроніка")</f>
        <v>техніка та електроніка</v>
      </c>
      <c r="C3853" s="16" t="str">
        <f>IFERROR(__xludf.DUMMYFUNCTION("""COMPUTED_VALUE"""),"комп'ютерна техніка та пз")</f>
        <v>комп'ютерна техніка та пз</v>
      </c>
      <c r="D3853" s="16" t="str">
        <f>IFERROR(__xludf.DUMMYFUNCTION("""COMPUTED_VALUE"""),"комплектуючі для комп'ютерної техніки")</f>
        <v>комплектуючі для комп'ютерної техніки</v>
      </c>
      <c r="E3853" s="16" t="str">
        <f>IFERROR(__xludf.DUMMYFUNCTION("""COMPUTED_VALUE"""),"touchscreen для дисплеїв")</f>
        <v>touchscreen для дисплеїв</v>
      </c>
      <c r="F3853" s="17">
        <f>IFERROR(__xludf.DUMMYFUNCTION("""COMPUTED_VALUE"""),4.0)</f>
        <v>4</v>
      </c>
      <c r="G3853" s="17" t="str">
        <f>IFERROR(__xludf.DUMMYFUNCTION("""COMPUTED_VALUE"""),"7070907")</f>
        <v>7070907</v>
      </c>
      <c r="H3853" s="17" t="str">
        <f>IFERROR(__xludf.DUMMYFUNCTION("""COMPUTED_VALUE"""),"touchscreen для дисплеїв")</f>
        <v>touchscreen для дисплеїв</v>
      </c>
      <c r="I3853" s="19">
        <f>IFERROR(__xludf.DUMMYFUNCTION("""COMPUTED_VALUE"""),0.0876)</f>
        <v>0.0876</v>
      </c>
      <c r="J3853" s="19">
        <f>IFERROR(__xludf.DUMMYFUNCTION("""COMPUTED_VALUE"""),0.1751)</f>
        <v>0.1751</v>
      </c>
      <c r="K3853" s="19">
        <f>IFERROR(__xludf.DUMMYFUNCTION("""COMPUTED_VALUE"""),0.2189)</f>
        <v>0.2189</v>
      </c>
      <c r="L3853" s="19">
        <f>IFERROR(__xludf.DUMMYFUNCTION("""COMPUTED_VALUE"""),0.2627)</f>
        <v>0.2627</v>
      </c>
      <c r="M3853" s="18">
        <f>IFERROR(__xludf.DUMMYFUNCTION("""COMPUTED_VALUE"""),1.71)</f>
        <v>1.71</v>
      </c>
    </row>
    <row r="3854">
      <c r="A3854" s="13" t="str">
        <f>IFERROR(__xludf.DUMMYFUNCTION("""COMPUTED_VALUE"""),"товари")</f>
        <v>товари</v>
      </c>
      <c r="B3854" s="16" t="str">
        <f>IFERROR(__xludf.DUMMYFUNCTION("""COMPUTED_VALUE"""),"техніка та електроніка")</f>
        <v>техніка та електроніка</v>
      </c>
      <c r="C3854" s="16" t="str">
        <f>IFERROR(__xludf.DUMMYFUNCTION("""COMPUTED_VALUE"""),"tv та відеотехніка")</f>
        <v>tv та відеотехніка</v>
      </c>
      <c r="D3854" s="16" t="str">
        <f>IFERROR(__xludf.DUMMYFUNCTION("""COMPUTED_VALUE"""),"tv та відеотехніка, загальне")</f>
        <v>tv та відеотехніка, загальне</v>
      </c>
      <c r="E3854" s="16" t="str">
        <f>IFERROR(__xludf.DUMMYFUNCTION("""COMPUTED_VALUE"""),"tv та відеотехніка, загальне")</f>
        <v>tv та відеотехніка, загальне</v>
      </c>
      <c r="F3854" s="17">
        <f>IFERROR(__xludf.DUMMYFUNCTION("""COMPUTED_VALUE"""),3.0)</f>
        <v>3</v>
      </c>
      <c r="G3854" s="17" t="str">
        <f>IFERROR(__xludf.DUMMYFUNCTION("""COMPUTED_VALUE"""),"63799")</f>
        <v>63799</v>
      </c>
      <c r="H3854" s="17" t="str">
        <f>IFERROR(__xludf.DUMMYFUNCTION("""COMPUTED_VALUE"""),"tv та відеотехніка, загальне")</f>
        <v>tv та відеотехніка, загальне</v>
      </c>
      <c r="I3854" s="19">
        <f>IFERROR(__xludf.DUMMYFUNCTION("""COMPUTED_VALUE"""),0.125)</f>
        <v>0.125</v>
      </c>
      <c r="J3854" s="19">
        <f>IFERROR(__xludf.DUMMYFUNCTION("""COMPUTED_VALUE"""),0.25)</f>
        <v>0.25</v>
      </c>
      <c r="K3854" s="19">
        <f>IFERROR(__xludf.DUMMYFUNCTION("""COMPUTED_VALUE"""),0.3125)</f>
        <v>0.3125</v>
      </c>
      <c r="L3854" s="19">
        <f>IFERROR(__xludf.DUMMYFUNCTION("""COMPUTED_VALUE"""),0.375)</f>
        <v>0.375</v>
      </c>
      <c r="M3854" s="18">
        <f>IFERROR(__xludf.DUMMYFUNCTION("""COMPUTED_VALUE"""),4.33)</f>
        <v>4.33</v>
      </c>
    </row>
    <row r="3855">
      <c r="A3855" s="13" t="str">
        <f>IFERROR(__xludf.DUMMYFUNCTION("""COMPUTED_VALUE"""),"товари")</f>
        <v>товари</v>
      </c>
      <c r="B3855" s="16" t="str">
        <f>IFERROR(__xludf.DUMMYFUNCTION("""COMPUTED_VALUE"""),"техніка та електроніка")</f>
        <v>техніка та електроніка</v>
      </c>
      <c r="C3855" s="16" t="str">
        <f>IFERROR(__xludf.DUMMYFUNCTION("""COMPUTED_VALUE"""),"комп'ютерна техніка та пз")</f>
        <v>комп'ютерна техніка та пз</v>
      </c>
      <c r="D3855" s="16" t="str">
        <f>IFERROR(__xludf.DUMMYFUNCTION("""COMPUTED_VALUE"""),"комплектуючі для комп'ютерної техніки")</f>
        <v>комплектуючі для комп'ютерної техніки</v>
      </c>
      <c r="E3855" s="16" t="str">
        <f>IFERROR(__xludf.DUMMYFUNCTION("""COMPUTED_VALUE"""),"tv-тюнери та fm-тюнери")</f>
        <v>tv-тюнери та fm-тюнери</v>
      </c>
      <c r="F3855" s="17">
        <f>IFERROR(__xludf.DUMMYFUNCTION("""COMPUTED_VALUE"""),4.0)</f>
        <v>4</v>
      </c>
      <c r="G3855" s="17" t="str">
        <f>IFERROR(__xludf.DUMMYFUNCTION("""COMPUTED_VALUE"""),"71402")</f>
        <v>71402</v>
      </c>
      <c r="H3855" s="17" t="str">
        <f>IFERROR(__xludf.DUMMYFUNCTION("""COMPUTED_VALUE"""),"tv-тюнери та fm-тюнери")</f>
        <v>tv-тюнери та fm-тюнери</v>
      </c>
      <c r="I3855" s="19">
        <f>IFERROR(__xludf.DUMMYFUNCTION("""COMPUTED_VALUE"""),0.0876)</f>
        <v>0.0876</v>
      </c>
      <c r="J3855" s="19">
        <f>IFERROR(__xludf.DUMMYFUNCTION("""COMPUTED_VALUE"""),0.1751)</f>
        <v>0.1751</v>
      </c>
      <c r="K3855" s="19">
        <f>IFERROR(__xludf.DUMMYFUNCTION("""COMPUTED_VALUE"""),0.2189)</f>
        <v>0.2189</v>
      </c>
      <c r="L3855" s="19">
        <f>IFERROR(__xludf.DUMMYFUNCTION("""COMPUTED_VALUE"""),0.2627)</f>
        <v>0.2627</v>
      </c>
      <c r="M3855" s="18">
        <f>IFERROR(__xludf.DUMMYFUNCTION("""COMPUTED_VALUE"""),1.71)</f>
        <v>1.71</v>
      </c>
    </row>
    <row r="3856">
      <c r="A3856" s="13" t="str">
        <f>IFERROR(__xludf.DUMMYFUNCTION("""COMPUTED_VALUE"""),"товари")</f>
        <v>товари</v>
      </c>
      <c r="B3856" s="16" t="str">
        <f>IFERROR(__xludf.DUMMYFUNCTION("""COMPUTED_VALUE"""),"техніка та електроніка")</f>
        <v>техніка та електроніка</v>
      </c>
      <c r="C3856" s="16" t="str">
        <f>IFERROR(__xludf.DUMMYFUNCTION("""COMPUTED_VALUE"""),"комп'ютерна техніка та пз")</f>
        <v>комп'ютерна техніка та пз</v>
      </c>
      <c r="D3856" s="16" t="str">
        <f>IFERROR(__xludf.DUMMYFUNCTION("""COMPUTED_VALUE"""),"носії інформації")</f>
        <v>носії інформації</v>
      </c>
      <c r="E3856" s="16" t="str">
        <f>IFERROR(__xludf.DUMMYFUNCTION("""COMPUTED_VALUE"""),"usb накопичувачі")</f>
        <v>usb накопичувачі</v>
      </c>
      <c r="F3856" s="17">
        <f>IFERROR(__xludf.DUMMYFUNCTION("""COMPUTED_VALUE"""),4.0)</f>
        <v>4</v>
      </c>
      <c r="G3856" s="17" t="str">
        <f>IFERROR(__xludf.DUMMYFUNCTION("""COMPUTED_VALUE"""),"70501")</f>
        <v>70501</v>
      </c>
      <c r="H3856" s="17" t="str">
        <f>IFERROR(__xludf.DUMMYFUNCTION("""COMPUTED_VALUE"""),"usb накопичувачі")</f>
        <v>usb накопичувачі</v>
      </c>
      <c r="I3856" s="19">
        <f>IFERROR(__xludf.DUMMYFUNCTION("""COMPUTED_VALUE"""),0.091)</f>
        <v>0.091</v>
      </c>
      <c r="J3856" s="19">
        <f>IFERROR(__xludf.DUMMYFUNCTION("""COMPUTED_VALUE"""),0.182)</f>
        <v>0.182</v>
      </c>
      <c r="K3856" s="19">
        <f>IFERROR(__xludf.DUMMYFUNCTION("""COMPUTED_VALUE"""),0.2275)</f>
        <v>0.2275</v>
      </c>
      <c r="L3856" s="19">
        <f>IFERROR(__xludf.DUMMYFUNCTION("""COMPUTED_VALUE"""),0.273)</f>
        <v>0.273</v>
      </c>
      <c r="M3856" s="18">
        <f>IFERROR(__xludf.DUMMYFUNCTION("""COMPUTED_VALUE"""),1.8)</f>
        <v>1.8</v>
      </c>
    </row>
    <row r="3857">
      <c r="A3857" s="13" t="str">
        <f>IFERROR(__xludf.DUMMYFUNCTION("""COMPUTED_VALUE"""),"товари")</f>
        <v>товари</v>
      </c>
      <c r="B3857" s="16" t="str">
        <f>IFERROR(__xludf.DUMMYFUNCTION("""COMPUTED_VALUE"""),"техніка та електроніка")</f>
        <v>техніка та електроніка</v>
      </c>
      <c r="C3857" s="16" t="str">
        <f>IFERROR(__xludf.DUMMYFUNCTION("""COMPUTED_VALUE"""),"комп'ютерна техніка та пз")</f>
        <v>комп'ютерна техніка та пз</v>
      </c>
      <c r="D3857" s="16" t="str">
        <f>IFERROR(__xludf.DUMMYFUNCTION("""COMPUTED_VALUE"""),"комп'ютерні аксесуари")</f>
        <v>комп'ютерні аксесуари</v>
      </c>
      <c r="E3857" s="16" t="str">
        <f>IFERROR(__xludf.DUMMYFUNCTION("""COMPUTED_VALUE"""),"usb пристрої та гаджети")</f>
        <v>usb пристрої та гаджети</v>
      </c>
      <c r="F3857" s="17">
        <f>IFERROR(__xludf.DUMMYFUNCTION("""COMPUTED_VALUE"""),4.0)</f>
        <v>4</v>
      </c>
      <c r="G3857" s="17" t="str">
        <f>IFERROR(__xludf.DUMMYFUNCTION("""COMPUTED_VALUE"""),"71108")</f>
        <v>71108</v>
      </c>
      <c r="H3857" s="17" t="str">
        <f>IFERROR(__xludf.DUMMYFUNCTION("""COMPUTED_VALUE"""),"usb пристрої та гаджети")</f>
        <v>usb пристрої та гаджети</v>
      </c>
      <c r="I3857" s="19">
        <f>IFERROR(__xludf.DUMMYFUNCTION("""COMPUTED_VALUE"""),0.0805)</f>
        <v>0.0805</v>
      </c>
      <c r="J3857" s="19">
        <f>IFERROR(__xludf.DUMMYFUNCTION("""COMPUTED_VALUE"""),0.1609)</f>
        <v>0.1609</v>
      </c>
      <c r="K3857" s="19">
        <f>IFERROR(__xludf.DUMMYFUNCTION("""COMPUTED_VALUE"""),0.2011)</f>
        <v>0.2011</v>
      </c>
      <c r="L3857" s="19">
        <f>IFERROR(__xludf.DUMMYFUNCTION("""COMPUTED_VALUE"""),0.2414)</f>
        <v>0.2414</v>
      </c>
      <c r="M3857" s="18">
        <f>IFERROR(__xludf.DUMMYFUNCTION("""COMPUTED_VALUE"""),2.53)</f>
        <v>2.53</v>
      </c>
    </row>
    <row r="3858">
      <c r="A3858" s="13" t="str">
        <f>IFERROR(__xludf.DUMMYFUNCTION("""COMPUTED_VALUE"""),"товари")</f>
        <v>товари</v>
      </c>
      <c r="B3858" s="16" t="str">
        <f>IFERROR(__xludf.DUMMYFUNCTION("""COMPUTED_VALUE"""),"техніка та електроніка")</f>
        <v>техніка та електроніка</v>
      </c>
      <c r="C3858" s="16" t="str">
        <f>IFERROR(__xludf.DUMMYFUNCTION("""COMPUTED_VALUE"""),"комп'ютерна техніка та пз")</f>
        <v>комп'ютерна техніка та пз</v>
      </c>
      <c r="D3858" s="16" t="str">
        <f>IFERROR(__xludf.DUMMYFUNCTION("""COMPUTED_VALUE"""),"комп'ютерні аксесуари")</f>
        <v>комп'ютерні аксесуари</v>
      </c>
      <c r="E3858" s="16" t="str">
        <f>IFERROR(__xludf.DUMMYFUNCTION("""COMPUTED_VALUE"""),"usb хаби")</f>
        <v>usb хаби</v>
      </c>
      <c r="F3858" s="17">
        <f>IFERROR(__xludf.DUMMYFUNCTION("""COMPUTED_VALUE"""),4.0)</f>
        <v>4</v>
      </c>
      <c r="G3858" s="17" t="str">
        <f>IFERROR(__xludf.DUMMYFUNCTION("""COMPUTED_VALUE"""),"71106")</f>
        <v>71106</v>
      </c>
      <c r="H3858" s="17" t="str">
        <f>IFERROR(__xludf.DUMMYFUNCTION("""COMPUTED_VALUE"""),"usb хаби")</f>
        <v>usb хаби</v>
      </c>
      <c r="I3858" s="19">
        <f>IFERROR(__xludf.DUMMYFUNCTION("""COMPUTED_VALUE"""),0.0991)</f>
        <v>0.0991</v>
      </c>
      <c r="J3858" s="19">
        <f>IFERROR(__xludf.DUMMYFUNCTION("""COMPUTED_VALUE"""),0.1981)</f>
        <v>0.1981</v>
      </c>
      <c r="K3858" s="19">
        <f>IFERROR(__xludf.DUMMYFUNCTION("""COMPUTED_VALUE"""),0.2476)</f>
        <v>0.2476</v>
      </c>
      <c r="L3858" s="19">
        <f>IFERROR(__xludf.DUMMYFUNCTION("""COMPUTED_VALUE"""),0.2972)</f>
        <v>0.2972</v>
      </c>
      <c r="M3858" s="18">
        <f>IFERROR(__xludf.DUMMYFUNCTION("""COMPUTED_VALUE"""),2.53)</f>
        <v>2.53</v>
      </c>
    </row>
    <row r="3859">
      <c r="A3859" s="13" t="str">
        <f>IFERROR(__xludf.DUMMYFUNCTION("""COMPUTED_VALUE"""),"товари")</f>
        <v>товари</v>
      </c>
      <c r="B3859" s="16" t="str">
        <f>IFERROR(__xludf.DUMMYFUNCTION("""COMPUTED_VALUE"""),"техніка та електроніка")</f>
        <v>техніка та електроніка</v>
      </c>
      <c r="C3859" s="16" t="str">
        <f>IFERROR(__xludf.DUMMYFUNCTION("""COMPUTED_VALUE"""),"бездротовий зв'язок")</f>
        <v>бездротовий зв'язок</v>
      </c>
      <c r="D3859" s="16" t="str">
        <f>IFERROR(__xludf.DUMMYFUNCTION("""COMPUTED_VALUE"""),"wi-fi адаптери")</f>
        <v>wi-fi адаптери</v>
      </c>
      <c r="E3859" s="16" t="str">
        <f>IFERROR(__xludf.DUMMYFUNCTION("""COMPUTED_VALUE"""),"wi-fi адаптери")</f>
        <v>wi-fi адаптери</v>
      </c>
      <c r="F3859" s="17">
        <f>IFERROR(__xludf.DUMMYFUNCTION("""COMPUTED_VALUE"""),3.0)</f>
        <v>3</v>
      </c>
      <c r="G3859" s="17" t="str">
        <f>IFERROR(__xludf.DUMMYFUNCTION("""COMPUTED_VALUE"""),"5090509")</f>
        <v>5090509</v>
      </c>
      <c r="H3859" s="17" t="str">
        <f>IFERROR(__xludf.DUMMYFUNCTION("""COMPUTED_VALUE"""),"wi-fi адаптери")</f>
        <v>wi-fi адаптери</v>
      </c>
      <c r="I3859" s="19">
        <f>IFERROR(__xludf.DUMMYFUNCTION("""COMPUTED_VALUE"""),0.053)</f>
        <v>0.053</v>
      </c>
      <c r="J3859" s="19">
        <f>IFERROR(__xludf.DUMMYFUNCTION("""COMPUTED_VALUE"""),0.106)</f>
        <v>0.106</v>
      </c>
      <c r="K3859" s="19">
        <f>IFERROR(__xludf.DUMMYFUNCTION("""COMPUTED_VALUE"""),0.1325)</f>
        <v>0.1325</v>
      </c>
      <c r="L3859" s="19">
        <f>IFERROR(__xludf.DUMMYFUNCTION("""COMPUTED_VALUE"""),0.159)</f>
        <v>0.159</v>
      </c>
      <c r="M3859" s="18">
        <f>IFERROR(__xludf.DUMMYFUNCTION("""COMPUTED_VALUE"""),1.26)</f>
        <v>1.26</v>
      </c>
    </row>
    <row r="3860">
      <c r="A3860" s="13" t="str">
        <f>IFERROR(__xludf.DUMMYFUNCTION("""COMPUTED_VALUE"""),"товари")</f>
        <v>товари</v>
      </c>
      <c r="B3860" s="16" t="str">
        <f>IFERROR(__xludf.DUMMYFUNCTION("""COMPUTED_VALUE"""),"техніка та електроніка")</f>
        <v>техніка та електроніка</v>
      </c>
      <c r="C3860" s="16" t="str">
        <f>IFERROR(__xludf.DUMMYFUNCTION("""COMPUTED_VALUE"""),"tv та відеотехніка")</f>
        <v>tv та відеотехніка</v>
      </c>
      <c r="D3860" s="16" t="str">
        <f>IFERROR(__xludf.DUMMYFUNCTION("""COMPUTED_VALUE"""),"аксесуари для телевізорів та проекторів")</f>
        <v>аксесуари для телевізорів та проекторів</v>
      </c>
      <c r="E3860" s="16" t="str">
        <f>IFERROR(__xludf.DUMMYFUNCTION("""COMPUTED_VALUE"""),"wi-fi адаптери для тб")</f>
        <v>wi-fi адаптери для тб</v>
      </c>
      <c r="F3860" s="17">
        <f>IFERROR(__xludf.DUMMYFUNCTION("""COMPUTED_VALUE"""),4.0)</f>
        <v>4</v>
      </c>
      <c r="G3860" s="17" t="str">
        <f>IFERROR(__xludf.DUMMYFUNCTION("""COMPUTED_VALUE"""),"6370706")</f>
        <v>6370706</v>
      </c>
      <c r="H3860" s="17" t="str">
        <f>IFERROR(__xludf.DUMMYFUNCTION("""COMPUTED_VALUE"""),"wi-fi адаптери для тб")</f>
        <v>wi-fi адаптери для тб</v>
      </c>
      <c r="I3860" s="19">
        <f>IFERROR(__xludf.DUMMYFUNCTION("""COMPUTED_VALUE"""),0.0787)</f>
        <v>0.0787</v>
      </c>
      <c r="J3860" s="19">
        <f>IFERROR(__xludf.DUMMYFUNCTION("""COMPUTED_VALUE"""),0.1573)</f>
        <v>0.1573</v>
      </c>
      <c r="K3860" s="19">
        <f>IFERROR(__xludf.DUMMYFUNCTION("""COMPUTED_VALUE"""),0.1966)</f>
        <v>0.1966</v>
      </c>
      <c r="L3860" s="19">
        <f>IFERROR(__xludf.DUMMYFUNCTION("""COMPUTED_VALUE"""),0.236)</f>
        <v>0.236</v>
      </c>
      <c r="M3860" s="18">
        <f>IFERROR(__xludf.DUMMYFUNCTION("""COMPUTED_VALUE"""),2.16)</f>
        <v>2.16</v>
      </c>
    </row>
    <row r="3861">
      <c r="A3861" s="13" t="str">
        <f>IFERROR(__xludf.DUMMYFUNCTION("""COMPUTED_VALUE"""),"товари")</f>
        <v>товари</v>
      </c>
      <c r="B3861" s="16" t="str">
        <f>IFERROR(__xludf.DUMMYFUNCTION("""COMPUTED_VALUE"""),"техніка та електроніка")</f>
        <v>техніка та електроніка</v>
      </c>
      <c r="C3861" s="16" t="str">
        <f>IFERROR(__xludf.DUMMYFUNCTION("""COMPUTED_VALUE"""),"телефони та аксесуари")</f>
        <v>телефони та аксесуари</v>
      </c>
      <c r="D3861" s="16" t="str">
        <f>IFERROR(__xludf.DUMMYFUNCTION("""COMPUTED_VALUE"""),"аксесуари для мобільних телефонів")</f>
        <v>аксесуари для мобільних телефонів</v>
      </c>
      <c r="E3861" s="16" t="str">
        <f>IFERROR(__xludf.DUMMYFUNCTION("""COMPUTED_VALUE"""),"адаптери для sim-карток")</f>
        <v>адаптери для sim-карток</v>
      </c>
      <c r="F3861" s="17">
        <f>IFERROR(__xludf.DUMMYFUNCTION("""COMPUTED_VALUE"""),4.0)</f>
        <v>4</v>
      </c>
      <c r="G3861" s="17" t="str">
        <f>IFERROR(__xludf.DUMMYFUNCTION("""COMPUTED_VALUE"""),"5090209")</f>
        <v>5090209</v>
      </c>
      <c r="H3861" s="17" t="str">
        <f>IFERROR(__xludf.DUMMYFUNCTION("""COMPUTED_VALUE"""),"адаптери для sim-карток")</f>
        <v>адаптери для sim-карток</v>
      </c>
      <c r="I3861" s="19">
        <f>IFERROR(__xludf.DUMMYFUNCTION("""COMPUTED_VALUE"""),0.1024)</f>
        <v>0.1024</v>
      </c>
      <c r="J3861" s="19">
        <f>IFERROR(__xludf.DUMMYFUNCTION("""COMPUTED_VALUE"""),0.2048)</f>
        <v>0.2048</v>
      </c>
      <c r="K3861" s="19">
        <f>IFERROR(__xludf.DUMMYFUNCTION("""COMPUTED_VALUE"""),0.256)</f>
        <v>0.256</v>
      </c>
      <c r="L3861" s="19">
        <f>IFERROR(__xludf.DUMMYFUNCTION("""COMPUTED_VALUE"""),0.3072)</f>
        <v>0.3072</v>
      </c>
      <c r="M3861" s="18">
        <f>IFERROR(__xludf.DUMMYFUNCTION("""COMPUTED_VALUE"""),1.05)</f>
        <v>1.05</v>
      </c>
    </row>
    <row r="3862">
      <c r="A3862" s="13" t="str">
        <f>IFERROR(__xludf.DUMMYFUNCTION("""COMPUTED_VALUE"""),"товари")</f>
        <v>товари</v>
      </c>
      <c r="B3862" s="16" t="str">
        <f>IFERROR(__xludf.DUMMYFUNCTION("""COMPUTED_VALUE"""),"техніка та електроніка")</f>
        <v>техніка та електроніка</v>
      </c>
      <c r="C3862" s="16" t="str">
        <f>IFERROR(__xludf.DUMMYFUNCTION("""COMPUTED_VALUE"""),"телефони та аксесуари")</f>
        <v>телефони та аксесуари</v>
      </c>
      <c r="D3862" s="16" t="str">
        <f>IFERROR(__xludf.DUMMYFUNCTION("""COMPUTED_VALUE"""),"аксесуари для мобільних телефонів")</f>
        <v>аксесуари для мобільних телефонів</v>
      </c>
      <c r="E3862" s="16" t="str">
        <f>IFERROR(__xludf.DUMMYFUNCTION("""COMPUTED_VALUE"""),"кулери для телефона")</f>
        <v>кулери для телефона</v>
      </c>
      <c r="F3862" s="17">
        <f>IFERROR(__xludf.DUMMYFUNCTION("""COMPUTED_VALUE"""),4.0)</f>
        <v>4</v>
      </c>
      <c r="G3862" s="17" t="str">
        <f>IFERROR(__xludf.DUMMYFUNCTION("""COMPUTED_VALUE"""),"5090335")</f>
        <v>5090335</v>
      </c>
      <c r="H3862" s="17" t="str">
        <f>IFERROR(__xludf.DUMMYFUNCTION("""COMPUTED_VALUE"""),"кулери для телефона")</f>
        <v>кулери для телефона</v>
      </c>
      <c r="I3862" s="19">
        <f>IFERROR(__xludf.DUMMYFUNCTION("""COMPUTED_VALUE"""),0.1024)</f>
        <v>0.1024</v>
      </c>
      <c r="J3862" s="19">
        <f>IFERROR(__xludf.DUMMYFUNCTION("""COMPUTED_VALUE"""),0.2048)</f>
        <v>0.2048</v>
      </c>
      <c r="K3862" s="19">
        <f>IFERROR(__xludf.DUMMYFUNCTION("""COMPUTED_VALUE"""),0.256)</f>
        <v>0.256</v>
      </c>
      <c r="L3862" s="19">
        <f>IFERROR(__xludf.DUMMYFUNCTION("""COMPUTED_VALUE"""),0.3072)</f>
        <v>0.3072</v>
      </c>
      <c r="M3862" s="18">
        <f>IFERROR(__xludf.DUMMYFUNCTION("""COMPUTED_VALUE"""),1.05)</f>
        <v>1.05</v>
      </c>
    </row>
    <row r="3863">
      <c r="A3863" s="13" t="str">
        <f>IFERROR(__xludf.DUMMYFUNCTION("""COMPUTED_VALUE"""),"товари")</f>
        <v>товари</v>
      </c>
      <c r="B3863" s="16" t="str">
        <f>IFERROR(__xludf.DUMMYFUNCTION("""COMPUTED_VALUE"""),"техніка та електроніка")</f>
        <v>техніка та електроніка</v>
      </c>
      <c r="C3863" s="16" t="str">
        <f>IFERROR(__xludf.DUMMYFUNCTION("""COMPUTED_VALUE"""),"комп'ютерна техніка та пз")</f>
        <v>комп'ютерна техніка та пз</v>
      </c>
      <c r="D3863" s="16" t="str">
        <f>IFERROR(__xludf.DUMMYFUNCTION("""COMPUTED_VALUE"""),"комплектуючі для комп'ютерної техніки")</f>
        <v>комплектуючі для комп'ютерної техніки</v>
      </c>
      <c r="E3863" s="16" t="str">
        <f>IFERROR(__xludf.DUMMYFUNCTION("""COMPUTED_VALUE"""),"адаптери та плати розширення портів")</f>
        <v>адаптери та плати розширення портів</v>
      </c>
      <c r="F3863" s="17">
        <f>IFERROR(__xludf.DUMMYFUNCTION("""COMPUTED_VALUE"""),4.0)</f>
        <v>4</v>
      </c>
      <c r="G3863" s="17" t="str">
        <f>IFERROR(__xludf.DUMMYFUNCTION("""COMPUTED_VALUE"""),"70717")</f>
        <v>70717</v>
      </c>
      <c r="H3863" s="17" t="str">
        <f>IFERROR(__xludf.DUMMYFUNCTION("""COMPUTED_VALUE"""),"адаптери та плати розширення портів")</f>
        <v>адаптери та плати розширення портів</v>
      </c>
      <c r="I3863" s="19">
        <f>IFERROR(__xludf.DUMMYFUNCTION("""COMPUTED_VALUE"""),0.0876)</f>
        <v>0.0876</v>
      </c>
      <c r="J3863" s="19">
        <f>IFERROR(__xludf.DUMMYFUNCTION("""COMPUTED_VALUE"""),0.1751)</f>
        <v>0.1751</v>
      </c>
      <c r="K3863" s="19">
        <f>IFERROR(__xludf.DUMMYFUNCTION("""COMPUTED_VALUE"""),0.2189)</f>
        <v>0.2189</v>
      </c>
      <c r="L3863" s="19">
        <f>IFERROR(__xludf.DUMMYFUNCTION("""COMPUTED_VALUE"""),0.2627)</f>
        <v>0.2627</v>
      </c>
      <c r="M3863" s="18">
        <f>IFERROR(__xludf.DUMMYFUNCTION("""COMPUTED_VALUE"""),1.71)</f>
        <v>1.71</v>
      </c>
    </row>
    <row r="3864">
      <c r="A3864" s="13" t="str">
        <f>IFERROR(__xludf.DUMMYFUNCTION("""COMPUTED_VALUE"""),"товари")</f>
        <v>товари</v>
      </c>
      <c r="B3864" s="16" t="str">
        <f>IFERROR(__xludf.DUMMYFUNCTION("""COMPUTED_VALUE"""),"техніка та електроніка")</f>
        <v>техніка та електроніка</v>
      </c>
      <c r="C3864" s="16" t="str">
        <f>IFERROR(__xludf.DUMMYFUNCTION("""COMPUTED_VALUE"""),"побутова техніка")</f>
        <v>побутова техніка</v>
      </c>
      <c r="D3864" s="16" t="str">
        <f>IFERROR(__xludf.DUMMYFUNCTION("""COMPUTED_VALUE"""),"дрібна побутова техніка для кухні")</f>
        <v>дрібна побутова техніка для кухні</v>
      </c>
      <c r="E3864" s="16" t="str">
        <f>IFERROR(__xludf.DUMMYFUNCTION("""COMPUTED_VALUE"""),"аерогрилі")</f>
        <v>аерогрилі</v>
      </c>
      <c r="F3864" s="17">
        <f>IFERROR(__xludf.DUMMYFUNCTION("""COMPUTED_VALUE"""),4.0)</f>
        <v>4</v>
      </c>
      <c r="G3864" s="17" t="str">
        <f>IFERROR(__xludf.DUMMYFUNCTION("""COMPUTED_VALUE"""),"64310")</f>
        <v>64310</v>
      </c>
      <c r="H3864" s="17" t="str">
        <f>IFERROR(__xludf.DUMMYFUNCTION("""COMPUTED_VALUE"""),"аерогрилі")</f>
        <v>аерогрилі</v>
      </c>
      <c r="I3864" s="19">
        <f>IFERROR(__xludf.DUMMYFUNCTION("""COMPUTED_VALUE"""),0.0753)</f>
        <v>0.0753</v>
      </c>
      <c r="J3864" s="19">
        <f>IFERROR(__xludf.DUMMYFUNCTION("""COMPUTED_VALUE"""),0.1505)</f>
        <v>0.1505</v>
      </c>
      <c r="K3864" s="19">
        <f>IFERROR(__xludf.DUMMYFUNCTION("""COMPUTED_VALUE"""),0.1881)</f>
        <v>0.1881</v>
      </c>
      <c r="L3864" s="19">
        <f>IFERROR(__xludf.DUMMYFUNCTION("""COMPUTED_VALUE"""),0.2258)</f>
        <v>0.2258</v>
      </c>
      <c r="M3864" s="18">
        <f>IFERROR(__xludf.DUMMYFUNCTION("""COMPUTED_VALUE"""),3.06)</f>
        <v>3.06</v>
      </c>
    </row>
    <row r="3865">
      <c r="A3865" s="13" t="str">
        <f>IFERROR(__xludf.DUMMYFUNCTION("""COMPUTED_VALUE"""),"товари")</f>
        <v>товари</v>
      </c>
      <c r="B3865" s="16" t="str">
        <f>IFERROR(__xludf.DUMMYFUNCTION("""COMPUTED_VALUE"""),"техніка та електроніка")</f>
        <v>техніка та електроніка</v>
      </c>
      <c r="C3865" s="16" t="str">
        <f>IFERROR(__xludf.DUMMYFUNCTION("""COMPUTED_VALUE"""),"побутова техніка")</f>
        <v>побутова техніка</v>
      </c>
      <c r="D3865" s="16" t="str">
        <f>IFERROR(__xludf.DUMMYFUNCTION("""COMPUTED_VALUE"""),"кліматична техніка")</f>
        <v>кліматична техніка</v>
      </c>
      <c r="E3865" s="16" t="str">
        <f>IFERROR(__xludf.DUMMYFUNCTION("""COMPUTED_VALUE"""),"аксесуари для зволожувачів та очищувачів повітря")</f>
        <v>аксесуари для зволожувачів та очищувачів повітря</v>
      </c>
      <c r="F3865" s="17">
        <f>IFERROR(__xludf.DUMMYFUNCTION("""COMPUTED_VALUE"""),4.0)</f>
        <v>4</v>
      </c>
      <c r="G3865" s="17" t="str">
        <f>IFERROR(__xludf.DUMMYFUNCTION("""COMPUTED_VALUE"""),"61606")</f>
        <v>61606</v>
      </c>
      <c r="H3865" s="17" t="str">
        <f>IFERROR(__xludf.DUMMYFUNCTION("""COMPUTED_VALUE"""),"аксесуари для зволожувачів та очищувачів повітря")</f>
        <v>аксесуари для зволожувачів та очищувачів повітря</v>
      </c>
      <c r="I3865" s="19">
        <f>IFERROR(__xludf.DUMMYFUNCTION("""COMPUTED_VALUE"""),0.0544)</f>
        <v>0.0544</v>
      </c>
      <c r="J3865" s="19">
        <f>IFERROR(__xludf.DUMMYFUNCTION("""COMPUTED_VALUE"""),0.1087)</f>
        <v>0.1087</v>
      </c>
      <c r="K3865" s="19">
        <f>IFERROR(__xludf.DUMMYFUNCTION("""COMPUTED_VALUE"""),0.1359)</f>
        <v>0.1359</v>
      </c>
      <c r="L3865" s="19">
        <f>IFERROR(__xludf.DUMMYFUNCTION("""COMPUTED_VALUE"""),0.1631)</f>
        <v>0.1631</v>
      </c>
      <c r="M3865" s="18">
        <f>IFERROR(__xludf.DUMMYFUNCTION("""COMPUTED_VALUE"""),3.78)</f>
        <v>3.78</v>
      </c>
    </row>
    <row r="3866">
      <c r="A3866" s="13" t="str">
        <f>IFERROR(__xludf.DUMMYFUNCTION("""COMPUTED_VALUE"""),"товари")</f>
        <v>товари</v>
      </c>
      <c r="B3866" s="16" t="str">
        <f>IFERROR(__xludf.DUMMYFUNCTION("""COMPUTED_VALUE"""),"техніка та електроніка")</f>
        <v>техніка та електроніка</v>
      </c>
      <c r="C3866" s="16" t="str">
        <f>IFERROR(__xludf.DUMMYFUNCTION("""COMPUTED_VALUE"""),"запчастини для техніки та електроніки")</f>
        <v>запчастини для техніки та електроніки</v>
      </c>
      <c r="D3866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866" s="16" t="str">
        <f>IFERROR(__xludf.DUMMYFUNCTION("""COMPUTED_VALUE"""),"аксесуари для зубних електрощіток, іригаторів")</f>
        <v>аксесуари для зубних електрощіток, іригаторів</v>
      </c>
      <c r="F3866" s="17">
        <f>IFERROR(__xludf.DUMMYFUNCTION("""COMPUTED_VALUE"""),4.0)</f>
        <v>4</v>
      </c>
      <c r="G3866" s="17" t="str">
        <f>IFERROR(__xludf.DUMMYFUNCTION("""COMPUTED_VALUE"""),"64432")</f>
        <v>64432</v>
      </c>
      <c r="H3866" s="17" t="str">
        <f>IFERROR(__xludf.DUMMYFUNCTION("""COMPUTED_VALUE"""),"аксесуари для зубних електрощіток, іригаторів")</f>
        <v>аксесуари для зубних електрощіток, іригаторів</v>
      </c>
      <c r="I3866" s="19">
        <f>IFERROR(__xludf.DUMMYFUNCTION("""COMPUTED_VALUE"""),0.0768)</f>
        <v>0.0768</v>
      </c>
      <c r="J3866" s="19">
        <f>IFERROR(__xludf.DUMMYFUNCTION("""COMPUTED_VALUE"""),0.1535)</f>
        <v>0.1535</v>
      </c>
      <c r="K3866" s="19">
        <f>IFERROR(__xludf.DUMMYFUNCTION("""COMPUTED_VALUE"""),0.1919)</f>
        <v>0.1919</v>
      </c>
      <c r="L3866" s="19">
        <f>IFERROR(__xludf.DUMMYFUNCTION("""COMPUTED_VALUE"""),0.2303)</f>
        <v>0.2303</v>
      </c>
      <c r="M3866" s="18">
        <f>IFERROR(__xludf.DUMMYFUNCTION("""COMPUTED_VALUE"""),1.8)</f>
        <v>1.8</v>
      </c>
    </row>
    <row r="3867">
      <c r="A3867" s="13" t="str">
        <f>IFERROR(__xludf.DUMMYFUNCTION("""COMPUTED_VALUE"""),"товари")</f>
        <v>товари</v>
      </c>
      <c r="B3867" s="16" t="str">
        <f>IFERROR(__xludf.DUMMYFUNCTION("""COMPUTED_VALUE"""),"техніка та електроніка")</f>
        <v>техніка та електроніка</v>
      </c>
      <c r="C3867" s="16" t="str">
        <f>IFERROR(__xludf.DUMMYFUNCTION("""COMPUTED_VALUE"""),"телефони та аксесуари")</f>
        <v>телефони та аксесуари</v>
      </c>
      <c r="D3867" s="16" t="str">
        <f>IFERROR(__xludf.DUMMYFUNCTION("""COMPUTED_VALUE"""),"аксесуари для мобільних телефонів")</f>
        <v>аксесуари для мобільних телефонів</v>
      </c>
      <c r="E3867" s="16" t="str">
        <f>IFERROR(__xludf.DUMMYFUNCTION("""COMPUTED_VALUE"""),"аксесуари для мобільних телефонів, загальне")</f>
        <v>аксесуари для мобільних телефонів, загальне</v>
      </c>
      <c r="F3867" s="17">
        <f>IFERROR(__xludf.DUMMYFUNCTION("""COMPUTED_VALUE"""),4.0)</f>
        <v>4</v>
      </c>
      <c r="G3867" s="17" t="str">
        <f>IFERROR(__xludf.DUMMYFUNCTION("""COMPUTED_VALUE"""),"5090315")</f>
        <v>5090315</v>
      </c>
      <c r="H3867" s="17" t="str">
        <f>IFERROR(__xludf.DUMMYFUNCTION("""COMPUTED_VALUE"""),"аксесуари для мобільних телефонів, загальне")</f>
        <v>аксесуари для мобільних телефонів, загальне</v>
      </c>
      <c r="I3867" s="19">
        <f>IFERROR(__xludf.DUMMYFUNCTION("""COMPUTED_VALUE"""),0.125)</f>
        <v>0.125</v>
      </c>
      <c r="J3867" s="19">
        <f>IFERROR(__xludf.DUMMYFUNCTION("""COMPUTED_VALUE"""),0.25)</f>
        <v>0.25</v>
      </c>
      <c r="K3867" s="19">
        <f>IFERROR(__xludf.DUMMYFUNCTION("""COMPUTED_VALUE"""),0.3125)</f>
        <v>0.3125</v>
      </c>
      <c r="L3867" s="19">
        <f>IFERROR(__xludf.DUMMYFUNCTION("""COMPUTED_VALUE"""),0.375)</f>
        <v>0.375</v>
      </c>
      <c r="M3867" s="18">
        <f>IFERROR(__xludf.DUMMYFUNCTION("""COMPUTED_VALUE"""),4.33)</f>
        <v>4.33</v>
      </c>
    </row>
    <row r="3868">
      <c r="A3868" s="13" t="str">
        <f>IFERROR(__xludf.DUMMYFUNCTION("""COMPUTED_VALUE"""),"товари")</f>
        <v>товари</v>
      </c>
      <c r="B3868" s="16" t="str">
        <f>IFERROR(__xludf.DUMMYFUNCTION("""COMPUTED_VALUE"""),"техніка та електроніка")</f>
        <v>техніка та електроніка</v>
      </c>
      <c r="C3868" s="16" t="str">
        <f>IFERROR(__xludf.DUMMYFUNCTION("""COMPUTED_VALUE"""),"tv та відеотехніка")</f>
        <v>tv та відеотехніка</v>
      </c>
      <c r="D3868" s="16" t="str">
        <f>IFERROR(__xludf.DUMMYFUNCTION("""COMPUTED_VALUE"""),"аксесуари для телевізорів та проекторів")</f>
        <v>аксесуари для телевізорів та проекторів</v>
      </c>
      <c r="E3868" s="16" t="str">
        <f>IFERROR(__xludf.DUMMYFUNCTION("""COMPUTED_VALUE"""),"аксесуари для телевізорів та проекторів, загальне")</f>
        <v>аксесуари для телевізорів та проекторів, загальне</v>
      </c>
      <c r="F3868" s="17">
        <f>IFERROR(__xludf.DUMMYFUNCTION("""COMPUTED_VALUE"""),4.0)</f>
        <v>4</v>
      </c>
      <c r="G3868" s="17" t="str">
        <f>IFERROR(__xludf.DUMMYFUNCTION("""COMPUTED_VALUE"""),"6370713")</f>
        <v>6370713</v>
      </c>
      <c r="H3868" s="17" t="str">
        <f>IFERROR(__xludf.DUMMYFUNCTION("""COMPUTED_VALUE"""),"аксесуари для телевізорів та проекторів, загальне")</f>
        <v>аксесуари для телевізорів та проекторів, загальне</v>
      </c>
      <c r="I3868" s="19">
        <f>IFERROR(__xludf.DUMMYFUNCTION("""COMPUTED_VALUE"""),0.125)</f>
        <v>0.125</v>
      </c>
      <c r="J3868" s="19">
        <f>IFERROR(__xludf.DUMMYFUNCTION("""COMPUTED_VALUE"""),0.25)</f>
        <v>0.25</v>
      </c>
      <c r="K3868" s="19">
        <f>IFERROR(__xludf.DUMMYFUNCTION("""COMPUTED_VALUE"""),0.3125)</f>
        <v>0.3125</v>
      </c>
      <c r="L3868" s="19">
        <f>IFERROR(__xludf.DUMMYFUNCTION("""COMPUTED_VALUE"""),0.375)</f>
        <v>0.375</v>
      </c>
      <c r="M3868" s="18">
        <f>IFERROR(__xludf.DUMMYFUNCTION("""COMPUTED_VALUE"""),4.33)</f>
        <v>4.33</v>
      </c>
    </row>
    <row r="3869">
      <c r="A3869" s="13" t="str">
        <f>IFERROR(__xludf.DUMMYFUNCTION("""COMPUTED_VALUE"""),"товари")</f>
        <v>товари</v>
      </c>
      <c r="B3869" s="16" t="str">
        <f>IFERROR(__xludf.DUMMYFUNCTION("""COMPUTED_VALUE"""),"техніка та електроніка")</f>
        <v>техніка та електроніка</v>
      </c>
      <c r="C3869" s="16" t="str">
        <f>IFERROR(__xludf.DUMMYFUNCTION("""COMPUTED_VALUE"""),"фото-, відеокамери та аксесуари")</f>
        <v>фото-, відеокамери та аксесуари</v>
      </c>
      <c r="D3869" s="16" t="str">
        <f>IFERROR(__xludf.DUMMYFUNCTION("""COMPUTED_VALUE"""),"аксесуари для фото-, відеокамер")</f>
        <v>аксесуари для фото-, відеокамер</v>
      </c>
      <c r="E3869" s="16" t="str">
        <f>IFERROR(__xludf.DUMMYFUNCTION("""COMPUTED_VALUE"""),"аксесуари для фото-, відеокамер, загальне")</f>
        <v>аксесуари для фото-, відеокамер, загальне</v>
      </c>
      <c r="F3869" s="17">
        <f>IFERROR(__xludf.DUMMYFUNCTION("""COMPUTED_VALUE"""),4.0)</f>
        <v>4</v>
      </c>
      <c r="G3869" s="17" t="str">
        <f>IFERROR(__xludf.DUMMYFUNCTION("""COMPUTED_VALUE"""),"1916")</f>
        <v>1916</v>
      </c>
      <c r="H3869" s="17" t="str">
        <f>IFERROR(__xludf.DUMMYFUNCTION("""COMPUTED_VALUE"""),"аксесуари для фото-, відеокамер, загальне")</f>
        <v>аксесуари для фото-, відеокамер, загальне</v>
      </c>
      <c r="I3869" s="19">
        <f>IFERROR(__xludf.DUMMYFUNCTION("""COMPUTED_VALUE"""),0.125)</f>
        <v>0.125</v>
      </c>
      <c r="J3869" s="19">
        <f>IFERROR(__xludf.DUMMYFUNCTION("""COMPUTED_VALUE"""),0.25)</f>
        <v>0.25</v>
      </c>
      <c r="K3869" s="19">
        <f>IFERROR(__xludf.DUMMYFUNCTION("""COMPUTED_VALUE"""),0.3125)</f>
        <v>0.3125</v>
      </c>
      <c r="L3869" s="19">
        <f>IFERROR(__xludf.DUMMYFUNCTION("""COMPUTED_VALUE"""),0.375)</f>
        <v>0.375</v>
      </c>
      <c r="M3869" s="18">
        <f>IFERROR(__xludf.DUMMYFUNCTION("""COMPUTED_VALUE"""),4.33)</f>
        <v>4.33</v>
      </c>
    </row>
    <row r="3870">
      <c r="A3870" s="13" t="str">
        <f>IFERROR(__xludf.DUMMYFUNCTION("""COMPUTED_VALUE"""),"товари")</f>
        <v>товари</v>
      </c>
      <c r="B3870" s="16" t="str">
        <f>IFERROR(__xludf.DUMMYFUNCTION("""COMPUTED_VALUE"""),"техніка та електроніка")</f>
        <v>техніка та електроніка</v>
      </c>
      <c r="C3870" s="16" t="str">
        <f>IFERROR(__xludf.DUMMYFUNCTION("""COMPUTED_VALUE"""),"комп'ютерна техніка та пз")</f>
        <v>комп'ютерна техніка та пз</v>
      </c>
      <c r="D3870" s="16" t="str">
        <f>IFERROR(__xludf.DUMMYFUNCTION("""COMPUTED_VALUE"""),"комп'ютерні аксесуари")</f>
        <v>комп'ютерні аксесуари</v>
      </c>
      <c r="E3870" s="16" t="str">
        <f>IFERROR(__xludf.DUMMYFUNCTION("""COMPUTED_VALUE"""),"аксесуари до графічних планшетів")</f>
        <v>аксесуари до графічних планшетів</v>
      </c>
      <c r="F3870" s="17">
        <f>IFERROR(__xludf.DUMMYFUNCTION("""COMPUTED_VALUE"""),4.0)</f>
        <v>4</v>
      </c>
      <c r="G3870" s="17" t="str">
        <f>IFERROR(__xludf.DUMMYFUNCTION("""COMPUTED_VALUE"""),"71114")</f>
        <v>71114</v>
      </c>
      <c r="H3870" s="17" t="str">
        <f>IFERROR(__xludf.DUMMYFUNCTION("""COMPUTED_VALUE"""),"аксесуари до графічних планшетів")</f>
        <v>аксесуари до графічних планшетів</v>
      </c>
      <c r="I3870" s="19">
        <f>IFERROR(__xludf.DUMMYFUNCTION("""COMPUTED_VALUE"""),0.0694)</f>
        <v>0.0694</v>
      </c>
      <c r="J3870" s="19">
        <f>IFERROR(__xludf.DUMMYFUNCTION("""COMPUTED_VALUE"""),0.1388)</f>
        <v>0.1388</v>
      </c>
      <c r="K3870" s="19">
        <f>IFERROR(__xludf.DUMMYFUNCTION("""COMPUTED_VALUE"""),0.1735)</f>
        <v>0.1735</v>
      </c>
      <c r="L3870" s="19">
        <f>IFERROR(__xludf.DUMMYFUNCTION("""COMPUTED_VALUE"""),0.2082)</f>
        <v>0.2082</v>
      </c>
      <c r="M3870" s="18">
        <f>IFERROR(__xludf.DUMMYFUNCTION("""COMPUTED_VALUE"""),2.53)</f>
        <v>2.53</v>
      </c>
    </row>
    <row r="3871">
      <c r="A3871" s="13" t="str">
        <f>IFERROR(__xludf.DUMMYFUNCTION("""COMPUTED_VALUE"""),"товари")</f>
        <v>товари</v>
      </c>
      <c r="B3871" s="16" t="str">
        <f>IFERROR(__xludf.DUMMYFUNCTION("""COMPUTED_VALUE"""),"техніка та електроніка")</f>
        <v>техніка та електроніка</v>
      </c>
      <c r="C3871" s="16" t="str">
        <f>IFERROR(__xludf.DUMMYFUNCTION("""COMPUTED_VALUE"""),"телефони та аксесуари")</f>
        <v>телефони та аксесуари</v>
      </c>
      <c r="D3871" s="16" t="str">
        <f>IFERROR(__xludf.DUMMYFUNCTION("""COMPUTED_VALUE"""),"аксесуари та запчастини для розумних годинників")</f>
        <v>аксесуари та запчастини для розумних годинників</v>
      </c>
      <c r="E3871" s="16" t="str">
        <f>IFERROR(__xludf.DUMMYFUNCTION("""COMPUTED_VALUE"""),"аксесуари та запчастини для розумних годинників")</f>
        <v>аксесуари та запчастини для розумних годинників</v>
      </c>
      <c r="F3871" s="17">
        <f>IFERROR(__xludf.DUMMYFUNCTION("""COMPUTED_VALUE"""),3.0)</f>
        <v>3</v>
      </c>
      <c r="G3871" s="17" t="str">
        <f>IFERROR(__xludf.DUMMYFUNCTION("""COMPUTED_VALUE"""),"5090215")</f>
        <v>5090215</v>
      </c>
      <c r="H3871" s="17" t="str">
        <f>IFERROR(__xludf.DUMMYFUNCTION("""COMPUTED_VALUE"""),"аксесуари та запчастини для розумних годинників")</f>
        <v>аксесуари та запчастини для розумних годинників</v>
      </c>
      <c r="I3871" s="19">
        <f>IFERROR(__xludf.DUMMYFUNCTION("""COMPUTED_VALUE"""),0.1014)</f>
        <v>0.1014</v>
      </c>
      <c r="J3871" s="19">
        <f>IFERROR(__xludf.DUMMYFUNCTION("""COMPUTED_VALUE"""),0.2027)</f>
        <v>0.2027</v>
      </c>
      <c r="K3871" s="19">
        <f>IFERROR(__xludf.DUMMYFUNCTION("""COMPUTED_VALUE"""),0.2534)</f>
        <v>0.2534</v>
      </c>
      <c r="L3871" s="19">
        <f>IFERROR(__xludf.DUMMYFUNCTION("""COMPUTED_VALUE"""),0.3041)</f>
        <v>0.3041</v>
      </c>
      <c r="M3871" s="18">
        <f>IFERROR(__xludf.DUMMYFUNCTION("""COMPUTED_VALUE"""),3.15)</f>
        <v>3.15</v>
      </c>
    </row>
    <row r="3872">
      <c r="A3872" s="13" t="str">
        <f>IFERROR(__xludf.DUMMYFUNCTION("""COMPUTED_VALUE"""),"товари")</f>
        <v>товари</v>
      </c>
      <c r="B3872" s="16" t="str">
        <f>IFERROR(__xludf.DUMMYFUNCTION("""COMPUTED_VALUE"""),"техніка та електроніка")</f>
        <v>техніка та електроніка</v>
      </c>
      <c r="C3872" s="16" t="str">
        <f>IFERROR(__xludf.DUMMYFUNCTION("""COMPUTED_VALUE"""),"запчастини для техніки та електроніки")</f>
        <v>запчастини для техніки та електроніки</v>
      </c>
      <c r="D3872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872" s="16" t="str">
        <f>IFERROR(__xludf.DUMMYFUNCTION("""COMPUTED_VALUE"""),"аксесуари та запчастини до кулерів для води")</f>
        <v>аксесуари та запчастини до кулерів для води</v>
      </c>
      <c r="F3872" s="17">
        <f>IFERROR(__xludf.DUMMYFUNCTION("""COMPUTED_VALUE"""),4.0)</f>
        <v>4</v>
      </c>
      <c r="G3872" s="17" t="str">
        <f>IFERROR(__xludf.DUMMYFUNCTION("""COMPUTED_VALUE"""),"64414")</f>
        <v>64414</v>
      </c>
      <c r="H3872" s="17" t="str">
        <f>IFERROR(__xludf.DUMMYFUNCTION("""COMPUTED_VALUE"""),"аксесуари та запчастини до кулерів для води")</f>
        <v>аксесуари та запчастини до кулерів для води</v>
      </c>
      <c r="I3872" s="19">
        <f>IFERROR(__xludf.DUMMYFUNCTION("""COMPUTED_VALUE"""),0.0763)</f>
        <v>0.0763</v>
      </c>
      <c r="J3872" s="19">
        <f>IFERROR(__xludf.DUMMYFUNCTION("""COMPUTED_VALUE"""),0.1526)</f>
        <v>0.1526</v>
      </c>
      <c r="K3872" s="19">
        <f>IFERROR(__xludf.DUMMYFUNCTION("""COMPUTED_VALUE"""),0.1908)</f>
        <v>0.1908</v>
      </c>
      <c r="L3872" s="19">
        <f>IFERROR(__xludf.DUMMYFUNCTION("""COMPUTED_VALUE"""),0.2289)</f>
        <v>0.2289</v>
      </c>
      <c r="M3872" s="18">
        <f>IFERROR(__xludf.DUMMYFUNCTION("""COMPUTED_VALUE"""),1.8)</f>
        <v>1.8</v>
      </c>
    </row>
    <row r="3873">
      <c r="A3873" s="13" t="str">
        <f>IFERROR(__xludf.DUMMYFUNCTION("""COMPUTED_VALUE"""),"товари")</f>
        <v>товари</v>
      </c>
      <c r="B3873" s="16" t="str">
        <f>IFERROR(__xludf.DUMMYFUNCTION("""COMPUTED_VALUE"""),"техніка та електроніка")</f>
        <v>техніка та електроніка</v>
      </c>
      <c r="C3873" s="16" t="str">
        <f>IFERROR(__xludf.DUMMYFUNCTION("""COMPUTED_VALUE"""),"комп'ютерна техніка та пз")</f>
        <v>комп'ютерна техніка та пз</v>
      </c>
      <c r="D3873" s="16" t="str">
        <f>IFERROR(__xludf.DUMMYFUNCTION("""COMPUTED_VALUE"""),"комплектуючі для комп'ютерної техніки")</f>
        <v>комплектуючі для комп'ютерної техніки</v>
      </c>
      <c r="E3873" s="16" t="str">
        <f>IFERROR(__xludf.DUMMYFUNCTION("""COMPUTED_VALUE"""),"акумулятори для ноутбуків, планшетів, електронних книг, перекладачів")</f>
        <v>акумулятори для ноутбуків, планшетів, електронних книг, перекладачів</v>
      </c>
      <c r="F3873" s="17">
        <f>IFERROR(__xludf.DUMMYFUNCTION("""COMPUTED_VALUE"""),4.0)</f>
        <v>4</v>
      </c>
      <c r="G3873" s="17" t="str">
        <f>IFERROR(__xludf.DUMMYFUNCTION("""COMPUTED_VALUE"""),"52808")</f>
        <v>52808</v>
      </c>
      <c r="H3873" s="17" t="str">
        <f>IFERROR(__xludf.DUMMYFUNCTION("""COMPUTED_VALUE"""),"акумулятори для ноутбуків, планшетів, електронних книг, перекладачів")</f>
        <v>акумулятори для ноутбуків, планшетів, електронних книг, перекладачів</v>
      </c>
      <c r="I3873" s="19">
        <f>IFERROR(__xludf.DUMMYFUNCTION("""COMPUTED_VALUE"""),0.0876)</f>
        <v>0.0876</v>
      </c>
      <c r="J3873" s="19">
        <f>IFERROR(__xludf.DUMMYFUNCTION("""COMPUTED_VALUE"""),0.1751)</f>
        <v>0.1751</v>
      </c>
      <c r="K3873" s="19">
        <f>IFERROR(__xludf.DUMMYFUNCTION("""COMPUTED_VALUE"""),0.2189)</f>
        <v>0.2189</v>
      </c>
      <c r="L3873" s="19">
        <f>IFERROR(__xludf.DUMMYFUNCTION("""COMPUTED_VALUE"""),0.2627)</f>
        <v>0.2627</v>
      </c>
      <c r="M3873" s="18">
        <f>IFERROR(__xludf.DUMMYFUNCTION("""COMPUTED_VALUE"""),1.71)</f>
        <v>1.71</v>
      </c>
    </row>
    <row r="3874">
      <c r="A3874" s="13" t="str">
        <f>IFERROR(__xludf.DUMMYFUNCTION("""COMPUTED_VALUE"""),"товари")</f>
        <v>товари</v>
      </c>
      <c r="B3874" s="16" t="str">
        <f>IFERROR(__xludf.DUMMYFUNCTION("""COMPUTED_VALUE"""),"техніка та електроніка")</f>
        <v>техніка та електроніка</v>
      </c>
      <c r="C3874" s="16" t="str">
        <f>IFERROR(__xludf.DUMMYFUNCTION("""COMPUTED_VALUE"""),"телефони та аксесуари")</f>
        <v>телефони та аксесуари</v>
      </c>
      <c r="D3874" s="16" t="str">
        <f>IFERROR(__xludf.DUMMYFUNCTION("""COMPUTED_VALUE"""),"комплектуючі для мобільних телефонів")</f>
        <v>комплектуючі для мобільних телефонів</v>
      </c>
      <c r="E3874" s="16" t="str">
        <f>IFERROR(__xludf.DUMMYFUNCTION("""COMPUTED_VALUE"""),"акумулятори для телефонів")</f>
        <v>акумулятори для телефонів</v>
      </c>
      <c r="F3874" s="17">
        <f>IFERROR(__xludf.DUMMYFUNCTION("""COMPUTED_VALUE"""),4.0)</f>
        <v>4</v>
      </c>
      <c r="G3874" s="17" t="str">
        <f>IFERROR(__xludf.DUMMYFUNCTION("""COMPUTED_VALUE"""),"52804")</f>
        <v>52804</v>
      </c>
      <c r="H3874" s="17" t="str">
        <f>IFERROR(__xludf.DUMMYFUNCTION("""COMPUTED_VALUE"""),"акумулятори для телефонів")</f>
        <v>акумулятори для телефонів</v>
      </c>
      <c r="I3874" s="19">
        <f>IFERROR(__xludf.DUMMYFUNCTION("""COMPUTED_VALUE"""),0.099)</f>
        <v>0.099</v>
      </c>
      <c r="J3874" s="19">
        <f>IFERROR(__xludf.DUMMYFUNCTION("""COMPUTED_VALUE"""),0.1979)</f>
        <v>0.1979</v>
      </c>
      <c r="K3874" s="19">
        <f>IFERROR(__xludf.DUMMYFUNCTION("""COMPUTED_VALUE"""),0.2474)</f>
        <v>0.2474</v>
      </c>
      <c r="L3874" s="19">
        <f>IFERROR(__xludf.DUMMYFUNCTION("""COMPUTED_VALUE"""),0.2969)</f>
        <v>0.2969</v>
      </c>
      <c r="M3874" s="18">
        <f>IFERROR(__xludf.DUMMYFUNCTION("""COMPUTED_VALUE"""),2.88)</f>
        <v>2.88</v>
      </c>
    </row>
    <row r="3875">
      <c r="A3875" s="13" t="str">
        <f>IFERROR(__xludf.DUMMYFUNCTION("""COMPUTED_VALUE"""),"товари")</f>
        <v>товари</v>
      </c>
      <c r="B3875" s="16" t="str">
        <f>IFERROR(__xludf.DUMMYFUNCTION("""COMPUTED_VALUE"""),"техніка та електроніка")</f>
        <v>техніка та електроніка</v>
      </c>
      <c r="C3875" s="16" t="str">
        <f>IFERROR(__xludf.DUMMYFUNCTION("""COMPUTED_VALUE"""),"фото-, відеокамери та аксесуари")</f>
        <v>фото-, відеокамери та аксесуари</v>
      </c>
      <c r="D3875" s="16" t="str">
        <f>IFERROR(__xludf.DUMMYFUNCTION("""COMPUTED_VALUE"""),"аксесуари для фото-, відеокамер")</f>
        <v>аксесуари для фото-, відеокамер</v>
      </c>
      <c r="E3875" s="16" t="str">
        <f>IFERROR(__xludf.DUMMYFUNCTION("""COMPUTED_VALUE"""),"акумулятори для фото-, відеокамер")</f>
        <v>акумулятори для фото-, відеокамер</v>
      </c>
      <c r="F3875" s="17">
        <f>IFERROR(__xludf.DUMMYFUNCTION("""COMPUTED_VALUE"""),4.0)</f>
        <v>4</v>
      </c>
      <c r="G3875" s="17" t="str">
        <f>IFERROR(__xludf.DUMMYFUNCTION("""COMPUTED_VALUE"""),"1903")</f>
        <v>1903</v>
      </c>
      <c r="H3875" s="17" t="str">
        <f>IFERROR(__xludf.DUMMYFUNCTION("""COMPUTED_VALUE"""),"акумулятори для фото-, відеокамер")</f>
        <v>акумулятори для фото-, відеокамер</v>
      </c>
      <c r="I3875" s="19">
        <f>IFERROR(__xludf.DUMMYFUNCTION("""COMPUTED_VALUE"""),0.0922)</f>
        <v>0.0922</v>
      </c>
      <c r="J3875" s="19">
        <f>IFERROR(__xludf.DUMMYFUNCTION("""COMPUTED_VALUE"""),0.1844)</f>
        <v>0.1844</v>
      </c>
      <c r="K3875" s="19">
        <f>IFERROR(__xludf.DUMMYFUNCTION("""COMPUTED_VALUE"""),0.2305)</f>
        <v>0.2305</v>
      </c>
      <c r="L3875" s="19">
        <f>IFERROR(__xludf.DUMMYFUNCTION("""COMPUTED_VALUE"""),0.2766)</f>
        <v>0.2766</v>
      </c>
      <c r="M3875" s="18">
        <f>IFERROR(__xludf.DUMMYFUNCTION("""COMPUTED_VALUE"""),1.98)</f>
        <v>1.98</v>
      </c>
    </row>
    <row r="3876">
      <c r="A3876" s="13" t="str">
        <f>IFERROR(__xludf.DUMMYFUNCTION("""COMPUTED_VALUE"""),"товари")</f>
        <v>товари</v>
      </c>
      <c r="B3876" s="16" t="str">
        <f>IFERROR(__xludf.DUMMYFUNCTION("""COMPUTED_VALUE"""),"техніка та електроніка")</f>
        <v>техніка та електроніка</v>
      </c>
      <c r="C3876" s="16" t="str">
        <f>IFERROR(__xludf.DUMMYFUNCTION("""COMPUTED_VALUE"""),"аудіотехніка та аксесуари")</f>
        <v>аудіотехніка та аксесуари</v>
      </c>
      <c r="D3876" s="16" t="str">
        <f>IFERROR(__xludf.DUMMYFUNCTION("""COMPUTED_VALUE"""),"акустичні системи")</f>
        <v>акустичні системи</v>
      </c>
      <c r="E3876" s="16" t="str">
        <f>IFERROR(__xludf.DUMMYFUNCTION("""COMPUTED_VALUE"""),"акустичні системи")</f>
        <v>акустичні системи</v>
      </c>
      <c r="F3876" s="17">
        <f>IFERROR(__xludf.DUMMYFUNCTION("""COMPUTED_VALUE"""),3.0)</f>
        <v>3</v>
      </c>
      <c r="G3876" s="17" t="str">
        <f>IFERROR(__xludf.DUMMYFUNCTION("""COMPUTED_VALUE"""),"518")</f>
        <v>518</v>
      </c>
      <c r="H3876" s="17" t="str">
        <f>IFERROR(__xludf.DUMMYFUNCTION("""COMPUTED_VALUE"""),"акустичні системи")</f>
        <v>акустичні системи</v>
      </c>
      <c r="I3876" s="19">
        <f>IFERROR(__xludf.DUMMYFUNCTION("""COMPUTED_VALUE"""),0.0753)</f>
        <v>0.0753</v>
      </c>
      <c r="J3876" s="19">
        <f>IFERROR(__xludf.DUMMYFUNCTION("""COMPUTED_VALUE"""),0.1505)</f>
        <v>0.1505</v>
      </c>
      <c r="K3876" s="19">
        <f>IFERROR(__xludf.DUMMYFUNCTION("""COMPUTED_VALUE"""),0.1881)</f>
        <v>0.1881</v>
      </c>
      <c r="L3876" s="19">
        <f>IFERROR(__xludf.DUMMYFUNCTION("""COMPUTED_VALUE"""),0.2258)</f>
        <v>0.2258</v>
      </c>
      <c r="M3876" s="18">
        <f>IFERROR(__xludf.DUMMYFUNCTION("""COMPUTED_VALUE"""),2.53)</f>
        <v>2.53</v>
      </c>
    </row>
    <row r="3877">
      <c r="A3877" s="13" t="str">
        <f>IFERROR(__xludf.DUMMYFUNCTION("""COMPUTED_VALUE"""),"товари")</f>
        <v>товари</v>
      </c>
      <c r="B3877" s="16" t="str">
        <f>IFERROR(__xludf.DUMMYFUNCTION("""COMPUTED_VALUE"""),"техніка та електроніка")</f>
        <v>техніка та електроніка</v>
      </c>
      <c r="C3877" s="16" t="str">
        <f>IFERROR(__xludf.DUMMYFUNCTION("""COMPUTED_VALUE"""),"бездротовий зв'язок")</f>
        <v>бездротовий зв'язок</v>
      </c>
      <c r="D3877" s="16" t="str">
        <f>IFERROR(__xludf.DUMMYFUNCTION("""COMPUTED_VALUE"""),"антени бездротових мереж")</f>
        <v>антени бездротових мереж</v>
      </c>
      <c r="E3877" s="16" t="str">
        <f>IFERROR(__xludf.DUMMYFUNCTION("""COMPUTED_VALUE"""),"антени бездротових мереж")</f>
        <v>антени бездротових мереж</v>
      </c>
      <c r="F3877" s="17">
        <f>IFERROR(__xludf.DUMMYFUNCTION("""COMPUTED_VALUE"""),3.0)</f>
        <v>3</v>
      </c>
      <c r="G3877" s="17" t="str">
        <f>IFERROR(__xludf.DUMMYFUNCTION("""COMPUTED_VALUE"""),"5090507")</f>
        <v>5090507</v>
      </c>
      <c r="H3877" s="17" t="str">
        <f>IFERROR(__xludf.DUMMYFUNCTION("""COMPUTED_VALUE"""),"антени бездротових мереж")</f>
        <v>антени бездротових мереж</v>
      </c>
      <c r="I3877" s="19">
        <f>IFERROR(__xludf.DUMMYFUNCTION("""COMPUTED_VALUE"""),0.0572)</f>
        <v>0.0572</v>
      </c>
      <c r="J3877" s="19">
        <f>IFERROR(__xludf.DUMMYFUNCTION("""COMPUTED_VALUE"""),0.1143)</f>
        <v>0.1143</v>
      </c>
      <c r="K3877" s="19">
        <f>IFERROR(__xludf.DUMMYFUNCTION("""COMPUTED_VALUE"""),0.1429)</f>
        <v>0.1429</v>
      </c>
      <c r="L3877" s="19">
        <f>IFERROR(__xludf.DUMMYFUNCTION("""COMPUTED_VALUE"""),0.1715)</f>
        <v>0.1715</v>
      </c>
      <c r="M3877" s="18">
        <f>IFERROR(__xludf.DUMMYFUNCTION("""COMPUTED_VALUE"""),1.98)</f>
        <v>1.98</v>
      </c>
    </row>
    <row r="3878">
      <c r="A3878" s="13" t="str">
        <f>IFERROR(__xludf.DUMMYFUNCTION("""COMPUTED_VALUE"""),"товари")</f>
        <v>товари</v>
      </c>
      <c r="B3878" s="16" t="str">
        <f>IFERROR(__xludf.DUMMYFUNCTION("""COMPUTED_VALUE"""),"техніка та електроніка")</f>
        <v>техніка та електроніка</v>
      </c>
      <c r="C3878" s="16" t="str">
        <f>IFERROR(__xludf.DUMMYFUNCTION("""COMPUTED_VALUE"""),"телефони та аксесуари")</f>
        <v>телефони та аксесуари</v>
      </c>
      <c r="D3878" s="16" t="str">
        <f>IFERROR(__xludf.DUMMYFUNCTION("""COMPUTED_VALUE"""),"комплектуючі для мобільних телефонів")</f>
        <v>комплектуючі для мобільних телефонів</v>
      </c>
      <c r="E3878" s="16" t="str">
        <f>IFERROR(__xludf.DUMMYFUNCTION("""COMPUTED_VALUE"""),"антени для мобільних телефонів")</f>
        <v>антени для мобільних телефонів</v>
      </c>
      <c r="F3878" s="17">
        <f>IFERROR(__xludf.DUMMYFUNCTION("""COMPUTED_VALUE"""),4.0)</f>
        <v>4</v>
      </c>
      <c r="G3878" s="17" t="str">
        <f>IFERROR(__xludf.DUMMYFUNCTION("""COMPUTED_VALUE"""),"5090211")</f>
        <v>5090211</v>
      </c>
      <c r="H3878" s="17" t="str">
        <f>IFERROR(__xludf.DUMMYFUNCTION("""COMPUTED_VALUE"""),"антени для мобільних телефонів")</f>
        <v>антени для мобільних телефонів</v>
      </c>
      <c r="I3878" s="19">
        <f>IFERROR(__xludf.DUMMYFUNCTION("""COMPUTED_VALUE"""),0.097)</f>
        <v>0.097</v>
      </c>
      <c r="J3878" s="19">
        <f>IFERROR(__xludf.DUMMYFUNCTION("""COMPUTED_VALUE"""),0.194)</f>
        <v>0.194</v>
      </c>
      <c r="K3878" s="19">
        <f>IFERROR(__xludf.DUMMYFUNCTION("""COMPUTED_VALUE"""),0.2425)</f>
        <v>0.2425</v>
      </c>
      <c r="L3878" s="19">
        <f>IFERROR(__xludf.DUMMYFUNCTION("""COMPUTED_VALUE"""),0.291)</f>
        <v>0.291</v>
      </c>
      <c r="M3878" s="18">
        <f>IFERROR(__xludf.DUMMYFUNCTION("""COMPUTED_VALUE"""),2.88)</f>
        <v>2.88</v>
      </c>
    </row>
    <row r="3879">
      <c r="A3879" s="13" t="str">
        <f>IFERROR(__xludf.DUMMYFUNCTION("""COMPUTED_VALUE"""),"товари")</f>
        <v>товари</v>
      </c>
      <c r="B3879" s="16" t="str">
        <f>IFERROR(__xludf.DUMMYFUNCTION("""COMPUTED_VALUE"""),"техніка та електроніка")</f>
        <v>техніка та електроніка</v>
      </c>
      <c r="C3879" s="16" t="str">
        <f>IFERROR(__xludf.DUMMYFUNCTION("""COMPUTED_VALUE"""),"бездротовий зв'язок")</f>
        <v>бездротовий зв'язок</v>
      </c>
      <c r="D3879" s="16" t="str">
        <f>IFERROR(__xludf.DUMMYFUNCTION("""COMPUTED_VALUE"""),"антенні підсилювачі")</f>
        <v>антенні підсилювачі</v>
      </c>
      <c r="E3879" s="16" t="str">
        <f>IFERROR(__xludf.DUMMYFUNCTION("""COMPUTED_VALUE"""),"антенні підсилювачі")</f>
        <v>антенні підсилювачі</v>
      </c>
      <c r="F3879" s="17">
        <f>IFERROR(__xludf.DUMMYFUNCTION("""COMPUTED_VALUE"""),3.0)</f>
        <v>3</v>
      </c>
      <c r="G3879" s="17" t="str">
        <f>IFERROR(__xludf.DUMMYFUNCTION("""COMPUTED_VALUE"""),"5090503")</f>
        <v>5090503</v>
      </c>
      <c r="H3879" s="17" t="str">
        <f>IFERROR(__xludf.DUMMYFUNCTION("""COMPUTED_VALUE"""),"антенні підсилювачі")</f>
        <v>антенні підсилювачі</v>
      </c>
      <c r="I3879" s="19">
        <f>IFERROR(__xludf.DUMMYFUNCTION("""COMPUTED_VALUE"""),0.0549)</f>
        <v>0.0549</v>
      </c>
      <c r="J3879" s="19">
        <f>IFERROR(__xludf.DUMMYFUNCTION("""COMPUTED_VALUE"""),0.1097)</f>
        <v>0.1097</v>
      </c>
      <c r="K3879" s="19">
        <f>IFERROR(__xludf.DUMMYFUNCTION("""COMPUTED_VALUE"""),0.1371)</f>
        <v>0.1371</v>
      </c>
      <c r="L3879" s="19">
        <f>IFERROR(__xludf.DUMMYFUNCTION("""COMPUTED_VALUE"""),0.1646)</f>
        <v>0.1646</v>
      </c>
      <c r="M3879" s="18">
        <f>IFERROR(__xludf.DUMMYFUNCTION("""COMPUTED_VALUE"""),1.05)</f>
        <v>1.05</v>
      </c>
    </row>
    <row r="3880">
      <c r="A3880" s="13" t="str">
        <f>IFERROR(__xludf.DUMMYFUNCTION("""COMPUTED_VALUE"""),"товари")</f>
        <v>товари</v>
      </c>
      <c r="B3880" s="16" t="str">
        <f>IFERROR(__xludf.DUMMYFUNCTION("""COMPUTED_VALUE"""),"техніка та електроніка")</f>
        <v>техніка та електроніка</v>
      </c>
      <c r="C3880" s="16" t="str">
        <f>IFERROR(__xludf.DUMMYFUNCTION("""COMPUTED_VALUE"""),"аудіотехніка та аксесуари")</f>
        <v>аудіотехніка та аксесуари</v>
      </c>
      <c r="D3880" s="16" t="str">
        <f>IFERROR(__xludf.DUMMYFUNCTION("""COMPUTED_VALUE"""),"аудіо та аксесуари, загальне")</f>
        <v>аудіо та аксесуари, загальне</v>
      </c>
      <c r="E3880" s="16" t="str">
        <f>IFERROR(__xludf.DUMMYFUNCTION("""COMPUTED_VALUE"""),"аудіо та аксесуари, загальне")</f>
        <v>аудіо та аксесуари, загальне</v>
      </c>
      <c r="F3880" s="17">
        <f>IFERROR(__xludf.DUMMYFUNCTION("""COMPUTED_VALUE"""),3.0)</f>
        <v>3</v>
      </c>
      <c r="G3880" s="17" t="str">
        <f>IFERROR(__xludf.DUMMYFUNCTION("""COMPUTED_VALUE"""),"500501")</f>
        <v>500501</v>
      </c>
      <c r="H3880" s="17" t="str">
        <f>IFERROR(__xludf.DUMMYFUNCTION("""COMPUTED_VALUE"""),"аудіо та аксесуари, загальне")</f>
        <v>аудіо та аксесуари, загальне</v>
      </c>
      <c r="I3880" s="19">
        <f>IFERROR(__xludf.DUMMYFUNCTION("""COMPUTED_VALUE"""),0.125)</f>
        <v>0.125</v>
      </c>
      <c r="J3880" s="19">
        <f>IFERROR(__xludf.DUMMYFUNCTION("""COMPUTED_VALUE"""),0.25)</f>
        <v>0.25</v>
      </c>
      <c r="K3880" s="19">
        <f>IFERROR(__xludf.DUMMYFUNCTION("""COMPUTED_VALUE"""),0.3125)</f>
        <v>0.3125</v>
      </c>
      <c r="L3880" s="19">
        <f>IFERROR(__xludf.DUMMYFUNCTION("""COMPUTED_VALUE"""),0.375)</f>
        <v>0.375</v>
      </c>
      <c r="M3880" s="18">
        <f>IFERROR(__xludf.DUMMYFUNCTION("""COMPUTED_VALUE"""),4.33)</f>
        <v>4.33</v>
      </c>
    </row>
    <row r="3881">
      <c r="A3881" s="13" t="str">
        <f>IFERROR(__xludf.DUMMYFUNCTION("""COMPUTED_VALUE"""),"товари")</f>
        <v>товари</v>
      </c>
      <c r="B3881" s="16" t="str">
        <f>IFERROR(__xludf.DUMMYFUNCTION("""COMPUTED_VALUE"""),"техніка та електроніка")</f>
        <v>техніка та електроніка</v>
      </c>
      <c r="C3881" s="16" t="str">
        <f>IFERROR(__xludf.DUMMYFUNCTION("""COMPUTED_VALUE"""),"комп'ютерна техніка та пз")</f>
        <v>комп'ютерна техніка та пз</v>
      </c>
      <c r="D3881" s="16" t="str">
        <f>IFERROR(__xludf.DUMMYFUNCTION("""COMPUTED_VALUE"""),"носії інформації")</f>
        <v>носії інформації</v>
      </c>
      <c r="E3881" s="16" t="str">
        <f>IFERROR(__xludf.DUMMYFUNCTION("""COMPUTED_VALUE"""),"аудіо-, відеокасети для запису")</f>
        <v>аудіо-, відеокасети для запису</v>
      </c>
      <c r="F3881" s="17">
        <f>IFERROR(__xludf.DUMMYFUNCTION("""COMPUTED_VALUE"""),4.0)</f>
        <v>4</v>
      </c>
      <c r="G3881" s="17" t="str">
        <f>IFERROR(__xludf.DUMMYFUNCTION("""COMPUTED_VALUE"""),"70507")</f>
        <v>70507</v>
      </c>
      <c r="H3881" s="17" t="str">
        <f>IFERROR(__xludf.DUMMYFUNCTION("""COMPUTED_VALUE"""),"аудіо-, відеокасети для запису")</f>
        <v>аудіо-, відеокасети для запису</v>
      </c>
      <c r="I3881" s="19">
        <f>IFERROR(__xludf.DUMMYFUNCTION("""COMPUTED_VALUE"""),0.0869)</f>
        <v>0.0869</v>
      </c>
      <c r="J3881" s="19">
        <f>IFERROR(__xludf.DUMMYFUNCTION("""COMPUTED_VALUE"""),0.1738)</f>
        <v>0.1738</v>
      </c>
      <c r="K3881" s="19">
        <f>IFERROR(__xludf.DUMMYFUNCTION("""COMPUTED_VALUE"""),0.2173)</f>
        <v>0.2173</v>
      </c>
      <c r="L3881" s="19">
        <f>IFERROR(__xludf.DUMMYFUNCTION("""COMPUTED_VALUE"""),0.2607)</f>
        <v>0.2607</v>
      </c>
      <c r="M3881" s="18">
        <f>IFERROR(__xludf.DUMMYFUNCTION("""COMPUTED_VALUE"""),1.8)</f>
        <v>1.8</v>
      </c>
    </row>
    <row r="3882">
      <c r="A3882" s="13" t="str">
        <f>IFERROR(__xludf.DUMMYFUNCTION("""COMPUTED_VALUE"""),"товари")</f>
        <v>товари</v>
      </c>
      <c r="B3882" s="16" t="str">
        <f>IFERROR(__xludf.DUMMYFUNCTION("""COMPUTED_VALUE"""),"техніка та електроніка")</f>
        <v>техніка та електроніка</v>
      </c>
      <c r="C3882" s="16" t="str">
        <f>IFERROR(__xludf.DUMMYFUNCTION("""COMPUTED_VALUE"""),"комп'ютерна техніка та пз")</f>
        <v>комп'ютерна техніка та пз</v>
      </c>
      <c r="D3882" s="16" t="str">
        <f>IFERROR(__xludf.DUMMYFUNCTION("""COMPUTED_VALUE"""),"програмне забезпечення (пз)")</f>
        <v>програмне забезпечення (пз)</v>
      </c>
      <c r="E3882" s="16" t="str">
        <f>IFERROR(__xludf.DUMMYFUNCTION("""COMPUTED_VALUE"""),"аудіокниги, e-text книги")</f>
        <v>аудіокниги, e-text книги</v>
      </c>
      <c r="F3882" s="17">
        <f>IFERROR(__xludf.DUMMYFUNCTION("""COMPUTED_VALUE"""),4.0)</f>
        <v>4</v>
      </c>
      <c r="G3882" s="17" t="str">
        <f>IFERROR(__xludf.DUMMYFUNCTION("""COMPUTED_VALUE"""),"284336")</f>
        <v>284336</v>
      </c>
      <c r="H3882" s="17" t="str">
        <f>IFERROR(__xludf.DUMMYFUNCTION("""COMPUTED_VALUE"""),"аудіокниги, e-text книги")</f>
        <v>аудіокниги, e-text книги</v>
      </c>
      <c r="I3882" s="19">
        <f>IFERROR(__xludf.DUMMYFUNCTION("""COMPUTED_VALUE"""),0.0711)</f>
        <v>0.0711</v>
      </c>
      <c r="J3882" s="19">
        <f>IFERROR(__xludf.DUMMYFUNCTION("""COMPUTED_VALUE"""),0.1422)</f>
        <v>0.1422</v>
      </c>
      <c r="K3882" s="19">
        <f>IFERROR(__xludf.DUMMYFUNCTION("""COMPUTED_VALUE"""),0.1778)</f>
        <v>0.1778</v>
      </c>
      <c r="L3882" s="19">
        <f>IFERROR(__xludf.DUMMYFUNCTION("""COMPUTED_VALUE"""),0.2133)</f>
        <v>0.2133</v>
      </c>
      <c r="M3882" s="18">
        <f>IFERROR(__xludf.DUMMYFUNCTION("""COMPUTED_VALUE"""),3.96)</f>
        <v>3.96</v>
      </c>
    </row>
    <row r="3883">
      <c r="A3883" s="13" t="str">
        <f>IFERROR(__xludf.DUMMYFUNCTION("""COMPUTED_VALUE"""),"товари")</f>
        <v>товари</v>
      </c>
      <c r="B3883" s="16" t="str">
        <f>IFERROR(__xludf.DUMMYFUNCTION("""COMPUTED_VALUE"""),"техніка та електроніка")</f>
        <v>техніка та електроніка</v>
      </c>
      <c r="C3883" s="16" t="str">
        <f>IFERROR(__xludf.DUMMYFUNCTION("""COMPUTED_VALUE"""),"аудіотехніка та аксесуари")</f>
        <v>аудіотехніка та аксесуари</v>
      </c>
      <c r="D3883" s="16" t="str">
        <f>IFERROR(__xludf.DUMMYFUNCTION("""COMPUTED_VALUE"""),"батарейки")</f>
        <v>батарейки</v>
      </c>
      <c r="E3883" s="16" t="str">
        <f>IFERROR(__xludf.DUMMYFUNCTION("""COMPUTED_VALUE"""),"батарейки")</f>
        <v>батарейки</v>
      </c>
      <c r="F3883" s="17">
        <f>IFERROR(__xludf.DUMMYFUNCTION("""COMPUTED_VALUE"""),3.0)</f>
        <v>3</v>
      </c>
      <c r="G3883" s="17" t="str">
        <f>IFERROR(__xludf.DUMMYFUNCTION("""COMPUTED_VALUE"""),"1507")</f>
        <v>1507</v>
      </c>
      <c r="H3883" s="17" t="str">
        <f>IFERROR(__xludf.DUMMYFUNCTION("""COMPUTED_VALUE"""),"батарейки")</f>
        <v>батарейки</v>
      </c>
      <c r="I3883" s="19">
        <f>IFERROR(__xludf.DUMMYFUNCTION("""COMPUTED_VALUE"""),0.0977)</f>
        <v>0.0977</v>
      </c>
      <c r="J3883" s="19">
        <f>IFERROR(__xludf.DUMMYFUNCTION("""COMPUTED_VALUE"""),0.1954)</f>
        <v>0.1954</v>
      </c>
      <c r="K3883" s="19">
        <f>IFERROR(__xludf.DUMMYFUNCTION("""COMPUTED_VALUE"""),0.2443)</f>
        <v>0.2443</v>
      </c>
      <c r="L3883" s="19">
        <f>IFERROR(__xludf.DUMMYFUNCTION("""COMPUTED_VALUE"""),0.2931)</f>
        <v>0.2931</v>
      </c>
      <c r="M3883" s="18">
        <f>IFERROR(__xludf.DUMMYFUNCTION("""COMPUTED_VALUE"""),1.98)</f>
        <v>1.98</v>
      </c>
    </row>
    <row r="3884">
      <c r="A3884" s="13" t="str">
        <f>IFERROR(__xludf.DUMMYFUNCTION("""COMPUTED_VALUE"""),"товари")</f>
        <v>товари</v>
      </c>
      <c r="B3884" s="16" t="str">
        <f>IFERROR(__xludf.DUMMYFUNCTION("""COMPUTED_VALUE"""),"техніка та електроніка")</f>
        <v>техніка та електроніка</v>
      </c>
      <c r="C3884" s="16" t="str">
        <f>IFERROR(__xludf.DUMMYFUNCTION("""COMPUTED_VALUE"""),"фото-, відеокамери та аксесуари")</f>
        <v>фото-, відеокамери та аксесуари</v>
      </c>
      <c r="D3884" s="16" t="str">
        <f>IFERROR(__xludf.DUMMYFUNCTION("""COMPUTED_VALUE"""),"аксесуари для фото-, відеокамер")</f>
        <v>аксесуари для фото-, відеокамер</v>
      </c>
      <c r="E3884" s="16" t="str">
        <f>IFERROR(__xludf.DUMMYFUNCTION("""COMPUTED_VALUE"""),"батарейні блоки для фото-, відеокамер")</f>
        <v>батарейні блоки для фото-, відеокамер</v>
      </c>
      <c r="F3884" s="17">
        <f>IFERROR(__xludf.DUMMYFUNCTION("""COMPUTED_VALUE"""),4.0)</f>
        <v>4</v>
      </c>
      <c r="G3884" s="17" t="str">
        <f>IFERROR(__xludf.DUMMYFUNCTION("""COMPUTED_VALUE"""),"6372012")</f>
        <v>6372012</v>
      </c>
      <c r="H3884" s="17" t="str">
        <f>IFERROR(__xludf.DUMMYFUNCTION("""COMPUTED_VALUE"""),"батарейні блоки для фото-, відеокамер")</f>
        <v>батарейні блоки для фото-, відеокамер</v>
      </c>
      <c r="I3884" s="19">
        <f>IFERROR(__xludf.DUMMYFUNCTION("""COMPUTED_VALUE"""),0.0922)</f>
        <v>0.0922</v>
      </c>
      <c r="J3884" s="19">
        <f>IFERROR(__xludf.DUMMYFUNCTION("""COMPUTED_VALUE"""),0.1844)</f>
        <v>0.1844</v>
      </c>
      <c r="K3884" s="19">
        <f>IFERROR(__xludf.DUMMYFUNCTION("""COMPUTED_VALUE"""),0.2305)</f>
        <v>0.2305</v>
      </c>
      <c r="L3884" s="19">
        <f>IFERROR(__xludf.DUMMYFUNCTION("""COMPUTED_VALUE"""),0.2766)</f>
        <v>0.2766</v>
      </c>
      <c r="M3884" s="18">
        <f>IFERROR(__xludf.DUMMYFUNCTION("""COMPUTED_VALUE"""),1.98)</f>
        <v>1.98</v>
      </c>
    </row>
    <row r="3885">
      <c r="A3885" s="13" t="str">
        <f>IFERROR(__xludf.DUMMYFUNCTION("""COMPUTED_VALUE"""),"товари")</f>
        <v>товари</v>
      </c>
      <c r="B3885" s="16" t="str">
        <f>IFERROR(__xludf.DUMMYFUNCTION("""COMPUTED_VALUE"""),"техніка та електроніка")</f>
        <v>техніка та електроніка</v>
      </c>
      <c r="C3885" s="16" t="str">
        <f>IFERROR(__xludf.DUMMYFUNCTION("""COMPUTED_VALUE"""),"бездротовий зв'язок")</f>
        <v>бездротовий зв'язок</v>
      </c>
      <c r="D3885" s="16" t="str">
        <f>IFERROR(__xludf.DUMMYFUNCTION("""COMPUTED_VALUE"""),"бездротовий зв'язок, загальне")</f>
        <v>бездротовий зв'язок, загальне</v>
      </c>
      <c r="E3885" s="16" t="str">
        <f>IFERROR(__xludf.DUMMYFUNCTION("""COMPUTED_VALUE"""),"бездротовий зв'язок, загальне")</f>
        <v>бездротовий зв'язок, загальне</v>
      </c>
      <c r="F3885" s="17">
        <f>IFERROR(__xludf.DUMMYFUNCTION("""COMPUTED_VALUE"""),3.0)</f>
        <v>3</v>
      </c>
      <c r="G3885" s="17" t="str">
        <f>IFERROR(__xludf.DUMMYFUNCTION("""COMPUTED_VALUE"""),"5090599")</f>
        <v>5090599</v>
      </c>
      <c r="H3885" s="17" t="str">
        <f>IFERROR(__xludf.DUMMYFUNCTION("""COMPUTED_VALUE"""),"бездротовий зв'язок, загальне")</f>
        <v>бездротовий зв'язок, загальне</v>
      </c>
      <c r="I3885" s="19">
        <f>IFERROR(__xludf.DUMMYFUNCTION("""COMPUTED_VALUE"""),0.125)</f>
        <v>0.125</v>
      </c>
      <c r="J3885" s="19">
        <f>IFERROR(__xludf.DUMMYFUNCTION("""COMPUTED_VALUE"""),0.25)</f>
        <v>0.25</v>
      </c>
      <c r="K3885" s="19">
        <f>IFERROR(__xludf.DUMMYFUNCTION("""COMPUTED_VALUE"""),0.3125)</f>
        <v>0.3125</v>
      </c>
      <c r="L3885" s="19">
        <f>IFERROR(__xludf.DUMMYFUNCTION("""COMPUTED_VALUE"""),0.375)</f>
        <v>0.375</v>
      </c>
      <c r="M3885" s="18">
        <f>IFERROR(__xludf.DUMMYFUNCTION("""COMPUTED_VALUE"""),4.33)</f>
        <v>4.33</v>
      </c>
    </row>
    <row r="3886">
      <c r="A3886" s="13" t="str">
        <f>IFERROR(__xludf.DUMMYFUNCTION("""COMPUTED_VALUE"""),"товари")</f>
        <v>товари</v>
      </c>
      <c r="B3886" s="16" t="str">
        <f>IFERROR(__xludf.DUMMYFUNCTION("""COMPUTED_VALUE"""),"техніка та електроніка")</f>
        <v>техніка та електроніка</v>
      </c>
      <c r="C3886" s="16" t="str">
        <f>IFERROR(__xludf.DUMMYFUNCTION("""COMPUTED_VALUE"""),"аудіотехніка та аксесуари")</f>
        <v>аудіотехніка та аксесуари</v>
      </c>
      <c r="D3886" s="16" t="str">
        <f>IFERROR(__xludf.DUMMYFUNCTION("""COMPUTED_VALUE"""),"бездротові адаптери для акустичних систем")</f>
        <v>бездротові адаптери для акустичних систем</v>
      </c>
      <c r="E3886" s="16" t="str">
        <f>IFERROR(__xludf.DUMMYFUNCTION("""COMPUTED_VALUE"""),"бездротові адаптери для акустичних систем")</f>
        <v>бездротові адаптери для акустичних систем</v>
      </c>
      <c r="F3886" s="17">
        <f>IFERROR(__xludf.DUMMYFUNCTION("""COMPUTED_VALUE"""),3.0)</f>
        <v>3</v>
      </c>
      <c r="G3886" s="17" t="str">
        <f>IFERROR(__xludf.DUMMYFUNCTION("""COMPUTED_VALUE"""),"6372019")</f>
        <v>6372019</v>
      </c>
      <c r="H3886" s="17" t="str">
        <f>IFERROR(__xludf.DUMMYFUNCTION("""COMPUTED_VALUE"""),"бездротові адаптери для акустичних систем")</f>
        <v>бездротові адаптери для акустичних систем</v>
      </c>
      <c r="I3886" s="19">
        <f>IFERROR(__xludf.DUMMYFUNCTION("""COMPUTED_VALUE"""),0.0694)</f>
        <v>0.0694</v>
      </c>
      <c r="J3886" s="19">
        <f>IFERROR(__xludf.DUMMYFUNCTION("""COMPUTED_VALUE"""),0.1387)</f>
        <v>0.1387</v>
      </c>
      <c r="K3886" s="19">
        <f>IFERROR(__xludf.DUMMYFUNCTION("""COMPUTED_VALUE"""),0.1734)</f>
        <v>0.1734</v>
      </c>
      <c r="L3886" s="19">
        <f>IFERROR(__xludf.DUMMYFUNCTION("""COMPUTED_VALUE"""),0.2081)</f>
        <v>0.2081</v>
      </c>
      <c r="M3886" s="18">
        <f>IFERROR(__xludf.DUMMYFUNCTION("""COMPUTED_VALUE"""),3.15)</f>
        <v>3.15</v>
      </c>
    </row>
    <row r="3887">
      <c r="A3887" s="13" t="str">
        <f>IFERROR(__xludf.DUMMYFUNCTION("""COMPUTED_VALUE"""),"товари")</f>
        <v>товари</v>
      </c>
      <c r="B3887" s="16" t="str">
        <f>IFERROR(__xludf.DUMMYFUNCTION("""COMPUTED_VALUE"""),"техніка та електроніка")</f>
        <v>техніка та електроніка</v>
      </c>
      <c r="C3887" s="16" t="str">
        <f>IFERROR(__xludf.DUMMYFUNCTION("""COMPUTED_VALUE"""),"побутова техніка")</f>
        <v>побутова техніка</v>
      </c>
      <c r="D3887" s="16" t="str">
        <f>IFERROR(__xludf.DUMMYFUNCTION("""COMPUTED_VALUE"""),"дрібна побутова техніка для кухні")</f>
        <v>дрібна побутова техніка для кухні</v>
      </c>
      <c r="E3887" s="16" t="str">
        <f>IFERROR(__xludf.DUMMYFUNCTION("""COMPUTED_VALUE"""),"блендери")</f>
        <v>блендери</v>
      </c>
      <c r="F3887" s="17">
        <f>IFERROR(__xludf.DUMMYFUNCTION("""COMPUTED_VALUE"""),4.0)</f>
        <v>4</v>
      </c>
      <c r="G3887" s="17" t="str">
        <f>IFERROR(__xludf.DUMMYFUNCTION("""COMPUTED_VALUE"""),"64301")</f>
        <v>64301</v>
      </c>
      <c r="H3887" s="17" t="str">
        <f>IFERROR(__xludf.DUMMYFUNCTION("""COMPUTED_VALUE"""),"блендери")</f>
        <v>блендери</v>
      </c>
      <c r="I3887" s="19">
        <f>IFERROR(__xludf.DUMMYFUNCTION("""COMPUTED_VALUE"""),0.0763)</f>
        <v>0.0763</v>
      </c>
      <c r="J3887" s="19">
        <f>IFERROR(__xludf.DUMMYFUNCTION("""COMPUTED_VALUE"""),0.1525)</f>
        <v>0.1525</v>
      </c>
      <c r="K3887" s="19">
        <f>IFERROR(__xludf.DUMMYFUNCTION("""COMPUTED_VALUE"""),0.1906)</f>
        <v>0.1906</v>
      </c>
      <c r="L3887" s="19">
        <f>IFERROR(__xludf.DUMMYFUNCTION("""COMPUTED_VALUE"""),0.2288)</f>
        <v>0.2288</v>
      </c>
      <c r="M3887" s="18">
        <f>IFERROR(__xludf.DUMMYFUNCTION("""COMPUTED_VALUE"""),3.06)</f>
        <v>3.06</v>
      </c>
    </row>
    <row r="3888">
      <c r="A3888" s="13" t="str">
        <f>IFERROR(__xludf.DUMMYFUNCTION("""COMPUTED_VALUE"""),"товари")</f>
        <v>товари</v>
      </c>
      <c r="B3888" s="16" t="str">
        <f>IFERROR(__xludf.DUMMYFUNCTION("""COMPUTED_VALUE"""),"техніка та електроніка")</f>
        <v>техніка та електроніка</v>
      </c>
      <c r="C3888" s="16" t="str">
        <f>IFERROR(__xludf.DUMMYFUNCTION("""COMPUTED_VALUE"""),"фото-, відеокамери та аксесуари")</f>
        <v>фото-, відеокамери та аксесуари</v>
      </c>
      <c r="D3888" s="16" t="str">
        <f>IFERROR(__xludf.DUMMYFUNCTION("""COMPUTED_VALUE"""),"аксесуари для фото-, відеокамер")</f>
        <v>аксесуари для фото-, відеокамер</v>
      </c>
      <c r="E3888" s="16" t="str">
        <f>IFERROR(__xludf.DUMMYFUNCTION("""COMPUTED_VALUE"""),"бленди")</f>
        <v>бленди</v>
      </c>
      <c r="F3888" s="17">
        <f>IFERROR(__xludf.DUMMYFUNCTION("""COMPUTED_VALUE"""),4.0)</f>
        <v>4</v>
      </c>
      <c r="G3888" s="17" t="str">
        <f>IFERROR(__xludf.DUMMYFUNCTION("""COMPUTED_VALUE"""),"6372011")</f>
        <v>6372011</v>
      </c>
      <c r="H3888" s="17" t="str">
        <f>IFERROR(__xludf.DUMMYFUNCTION("""COMPUTED_VALUE"""),"бленди")</f>
        <v>бленди</v>
      </c>
      <c r="I3888" s="19">
        <f>IFERROR(__xludf.DUMMYFUNCTION("""COMPUTED_VALUE"""),0.0968)</f>
        <v>0.0968</v>
      </c>
      <c r="J3888" s="19">
        <f>IFERROR(__xludf.DUMMYFUNCTION("""COMPUTED_VALUE"""),0.1935)</f>
        <v>0.1935</v>
      </c>
      <c r="K3888" s="19">
        <f>IFERROR(__xludf.DUMMYFUNCTION("""COMPUTED_VALUE"""),0.2419)</f>
        <v>0.2419</v>
      </c>
      <c r="L3888" s="19">
        <f>IFERROR(__xludf.DUMMYFUNCTION("""COMPUTED_VALUE"""),0.2903)</f>
        <v>0.2903</v>
      </c>
      <c r="M3888" s="18">
        <f>IFERROR(__xludf.DUMMYFUNCTION("""COMPUTED_VALUE"""),1.98)</f>
        <v>1.98</v>
      </c>
    </row>
    <row r="3889">
      <c r="A3889" s="13" t="str">
        <f>IFERROR(__xludf.DUMMYFUNCTION("""COMPUTED_VALUE"""),"товари")</f>
        <v>товари</v>
      </c>
      <c r="B3889" s="16" t="str">
        <f>IFERROR(__xludf.DUMMYFUNCTION("""COMPUTED_VALUE"""),"техніка та електроніка")</f>
        <v>техніка та електроніка</v>
      </c>
      <c r="C3889" s="16" t="str">
        <f>IFERROR(__xludf.DUMMYFUNCTION("""COMPUTED_VALUE"""),"комп'ютерна техніка та пз")</f>
        <v>комп'ютерна техніка та пз</v>
      </c>
      <c r="D3889" s="16" t="str">
        <f>IFERROR(__xludf.DUMMYFUNCTION("""COMPUTED_VALUE"""),"комплектуючі для комп'ютерної техніки")</f>
        <v>комплектуючі для комп'ютерної техніки</v>
      </c>
      <c r="E3889" s="16" t="str">
        <f>IFERROR(__xludf.DUMMYFUNCTION("""COMPUTED_VALUE"""),"блоки живлення для комп'ютерів")</f>
        <v>блоки живлення для комп'ютерів</v>
      </c>
      <c r="F3889" s="17">
        <f>IFERROR(__xludf.DUMMYFUNCTION("""COMPUTED_VALUE"""),4.0)</f>
        <v>4</v>
      </c>
      <c r="G3889" s="17" t="str">
        <f>IFERROR(__xludf.DUMMYFUNCTION("""COMPUTED_VALUE"""),"70711")</f>
        <v>70711</v>
      </c>
      <c r="H3889" s="17" t="str">
        <f>IFERROR(__xludf.DUMMYFUNCTION("""COMPUTED_VALUE"""),"блоки живлення для комп'ютерів")</f>
        <v>блоки живлення для комп'ютерів</v>
      </c>
      <c r="I3889" s="19">
        <f>IFERROR(__xludf.DUMMYFUNCTION("""COMPUTED_VALUE"""),0.0259)</f>
        <v>0.0259</v>
      </c>
      <c r="J3889" s="19">
        <f>IFERROR(__xludf.DUMMYFUNCTION("""COMPUTED_VALUE"""),0.0517)</f>
        <v>0.0517</v>
      </c>
      <c r="K3889" s="19">
        <f>IFERROR(__xludf.DUMMYFUNCTION("""COMPUTED_VALUE"""),0.0646)</f>
        <v>0.0646</v>
      </c>
      <c r="L3889" s="19">
        <f>IFERROR(__xludf.DUMMYFUNCTION("""COMPUTED_VALUE"""),0.0776)</f>
        <v>0.0776</v>
      </c>
      <c r="M3889" s="18">
        <f>IFERROR(__xludf.DUMMYFUNCTION("""COMPUTED_VALUE"""),1.71)</f>
        <v>1.71</v>
      </c>
    </row>
    <row r="3890">
      <c r="A3890" s="13" t="str">
        <f>IFERROR(__xludf.DUMMYFUNCTION("""COMPUTED_VALUE"""),"товари")</f>
        <v>товари</v>
      </c>
      <c r="B3890" s="16" t="str">
        <f>IFERROR(__xludf.DUMMYFUNCTION("""COMPUTED_VALUE"""),"техніка та електроніка")</f>
        <v>техніка та електроніка</v>
      </c>
      <c r="C3890" s="16" t="str">
        <f>IFERROR(__xludf.DUMMYFUNCTION("""COMPUTED_VALUE"""),"телефони та аксесуари")</f>
        <v>телефони та аксесуари</v>
      </c>
      <c r="D3890" s="16" t="str">
        <f>IFERROR(__xludf.DUMMYFUNCTION("""COMPUTED_VALUE"""),"комплектуючі для мобільних телефонів")</f>
        <v>комплектуючі для мобільних телефонів</v>
      </c>
      <c r="E3890" s="16" t="str">
        <f>IFERROR(__xludf.DUMMYFUNCTION("""COMPUTED_VALUE"""),"болти, шурупи для телефонів")</f>
        <v>болти, шурупи для телефонів</v>
      </c>
      <c r="F3890" s="17">
        <f>IFERROR(__xludf.DUMMYFUNCTION("""COMPUTED_VALUE"""),4.0)</f>
        <v>4</v>
      </c>
      <c r="G3890" s="17" t="str">
        <f>IFERROR(__xludf.DUMMYFUNCTION("""COMPUTED_VALUE"""),"5090332")</f>
        <v>5090332</v>
      </c>
      <c r="H3890" s="17" t="str">
        <f>IFERROR(__xludf.DUMMYFUNCTION("""COMPUTED_VALUE"""),"болти, шурупи для телефонів")</f>
        <v>болти, шурупи для телефонів</v>
      </c>
      <c r="I3890" s="19">
        <f>IFERROR(__xludf.DUMMYFUNCTION("""COMPUTED_VALUE"""),0.0993)</f>
        <v>0.0993</v>
      </c>
      <c r="J3890" s="19">
        <f>IFERROR(__xludf.DUMMYFUNCTION("""COMPUTED_VALUE"""),0.1985)</f>
        <v>0.1985</v>
      </c>
      <c r="K3890" s="19">
        <f>IFERROR(__xludf.DUMMYFUNCTION("""COMPUTED_VALUE"""),0.2481)</f>
        <v>0.2481</v>
      </c>
      <c r="L3890" s="19">
        <f>IFERROR(__xludf.DUMMYFUNCTION("""COMPUTED_VALUE"""),0.2978)</f>
        <v>0.2978</v>
      </c>
      <c r="M3890" s="18">
        <f>IFERROR(__xludf.DUMMYFUNCTION("""COMPUTED_VALUE"""),2.88)</f>
        <v>2.88</v>
      </c>
    </row>
    <row r="3891">
      <c r="A3891" s="13" t="str">
        <f>IFERROR(__xludf.DUMMYFUNCTION("""COMPUTED_VALUE"""),"товари")</f>
        <v>товари</v>
      </c>
      <c r="B3891" s="16" t="str">
        <f>IFERROR(__xludf.DUMMYFUNCTION("""COMPUTED_VALUE"""),"техніка та електроніка")</f>
        <v>техніка та електроніка</v>
      </c>
      <c r="C3891" s="16" t="str">
        <f>IFERROR(__xludf.DUMMYFUNCTION("""COMPUTED_VALUE"""),"комп'ютерна техніка та пз")</f>
        <v>комп'ютерна техніка та пз</v>
      </c>
      <c r="D3891" s="16" t="str">
        <f>IFERROR(__xludf.DUMMYFUNCTION("""COMPUTED_VALUE"""),"програмне забезпечення (пз)")</f>
        <v>програмне забезпечення (пз)</v>
      </c>
      <c r="E3891" s="16" t="str">
        <f>IFERROR(__xludf.DUMMYFUNCTION("""COMPUTED_VALUE"""),"бухгалтерське пз")</f>
        <v>бухгалтерське пз</v>
      </c>
      <c r="F3891" s="17">
        <f>IFERROR(__xludf.DUMMYFUNCTION("""COMPUTED_VALUE"""),4.0)</f>
        <v>4</v>
      </c>
      <c r="G3891" s="17" t="str">
        <f>IFERROR(__xludf.DUMMYFUNCTION("""COMPUTED_VALUE"""),"28420302")</f>
        <v>28420302</v>
      </c>
      <c r="H3891" s="17" t="str">
        <f>IFERROR(__xludf.DUMMYFUNCTION("""COMPUTED_VALUE"""),"бухгалтерське пз")</f>
        <v>бухгалтерське пз</v>
      </c>
      <c r="I3891" s="19">
        <f>IFERROR(__xludf.DUMMYFUNCTION("""COMPUTED_VALUE"""),0.076)</f>
        <v>0.076</v>
      </c>
      <c r="J3891" s="19">
        <f>IFERROR(__xludf.DUMMYFUNCTION("""COMPUTED_VALUE"""),0.152)</f>
        <v>0.152</v>
      </c>
      <c r="K3891" s="19">
        <f>IFERROR(__xludf.DUMMYFUNCTION("""COMPUTED_VALUE"""),0.19)</f>
        <v>0.19</v>
      </c>
      <c r="L3891" s="19">
        <f>IFERROR(__xludf.DUMMYFUNCTION("""COMPUTED_VALUE"""),0.228)</f>
        <v>0.228</v>
      </c>
      <c r="M3891" s="18">
        <f>IFERROR(__xludf.DUMMYFUNCTION("""COMPUTED_VALUE"""),3.96)</f>
        <v>3.96</v>
      </c>
    </row>
    <row r="3892">
      <c r="A3892" s="13" t="str">
        <f>IFERROR(__xludf.DUMMYFUNCTION("""COMPUTED_VALUE"""),"товари")</f>
        <v>товари</v>
      </c>
      <c r="B3892" s="16" t="str">
        <f>IFERROR(__xludf.DUMMYFUNCTION("""COMPUTED_VALUE"""),"техніка та електроніка")</f>
        <v>техніка та електроніка</v>
      </c>
      <c r="C3892" s="16" t="str">
        <f>IFERROR(__xludf.DUMMYFUNCTION("""COMPUTED_VALUE"""),"побутова техніка")</f>
        <v>побутова техніка</v>
      </c>
      <c r="D3892" s="16" t="str">
        <f>IFERROR(__xludf.DUMMYFUNCTION("""COMPUTED_VALUE"""),"дрібна побутова техніка для кухні")</f>
        <v>дрібна побутова техніка для кухні</v>
      </c>
      <c r="E3892" s="16" t="str">
        <f>IFERROR(__xludf.DUMMYFUNCTION("""COMPUTED_VALUE"""),"вакуумні пакувальники")</f>
        <v>вакуумні пакувальники</v>
      </c>
      <c r="F3892" s="17">
        <f>IFERROR(__xludf.DUMMYFUNCTION("""COMPUTED_VALUE"""),4.0)</f>
        <v>4</v>
      </c>
      <c r="G3892" s="17" t="str">
        <f>IFERROR(__xludf.DUMMYFUNCTION("""COMPUTED_VALUE"""),"6300420")</f>
        <v>6300420</v>
      </c>
      <c r="H3892" s="17" t="str">
        <f>IFERROR(__xludf.DUMMYFUNCTION("""COMPUTED_VALUE"""),"вакуумні пакувальники")</f>
        <v>вакуумні пакувальники</v>
      </c>
      <c r="I3892" s="19">
        <f>IFERROR(__xludf.DUMMYFUNCTION("""COMPUTED_VALUE"""),0.0779)</f>
        <v>0.0779</v>
      </c>
      <c r="J3892" s="19">
        <f>IFERROR(__xludf.DUMMYFUNCTION("""COMPUTED_VALUE"""),0.1557)</f>
        <v>0.1557</v>
      </c>
      <c r="K3892" s="19">
        <f>IFERROR(__xludf.DUMMYFUNCTION("""COMPUTED_VALUE"""),0.1946)</f>
        <v>0.1946</v>
      </c>
      <c r="L3892" s="19">
        <f>IFERROR(__xludf.DUMMYFUNCTION("""COMPUTED_VALUE"""),0.2336)</f>
        <v>0.2336</v>
      </c>
      <c r="M3892" s="18">
        <f>IFERROR(__xludf.DUMMYFUNCTION("""COMPUTED_VALUE"""),3.06)</f>
        <v>3.06</v>
      </c>
    </row>
    <row r="3893">
      <c r="A3893" s="13" t="str">
        <f>IFERROR(__xludf.DUMMYFUNCTION("""COMPUTED_VALUE"""),"товари")</f>
        <v>товари</v>
      </c>
      <c r="B3893" s="16" t="str">
        <f>IFERROR(__xludf.DUMMYFUNCTION("""COMPUTED_VALUE"""),"техніка та електроніка")</f>
        <v>техніка та електроніка</v>
      </c>
      <c r="C3893" s="16" t="str">
        <f>IFERROR(__xludf.DUMMYFUNCTION("""COMPUTED_VALUE"""),"побутова техніка")</f>
        <v>побутова техніка</v>
      </c>
      <c r="D3893" s="16" t="str">
        <f>IFERROR(__xludf.DUMMYFUNCTION("""COMPUTED_VALUE"""),"велика побутова техніка для кухні")</f>
        <v>велика побутова техніка для кухні</v>
      </c>
      <c r="E3893" s="16" t="str">
        <f>IFERROR(__xludf.DUMMYFUNCTION("""COMPUTED_VALUE"""),"вбудовані варильні поверхні")</f>
        <v>вбудовані варильні поверхні</v>
      </c>
      <c r="F3893" s="17">
        <f>IFERROR(__xludf.DUMMYFUNCTION("""COMPUTED_VALUE"""),4.0)</f>
        <v>4</v>
      </c>
      <c r="G3893" s="17" t="str">
        <f>IFERROR(__xludf.DUMMYFUNCTION("""COMPUTED_VALUE"""),"61911")</f>
        <v>61911</v>
      </c>
      <c r="H3893" s="17" t="str">
        <f>IFERROR(__xludf.DUMMYFUNCTION("""COMPUTED_VALUE"""),"вбудовані варильні поверхні")</f>
        <v>вбудовані варильні поверхні</v>
      </c>
      <c r="I3893" s="19">
        <f>IFERROR(__xludf.DUMMYFUNCTION("""COMPUTED_VALUE"""),0.0395)</f>
        <v>0.0395</v>
      </c>
      <c r="J3893" s="19">
        <f>IFERROR(__xludf.DUMMYFUNCTION("""COMPUTED_VALUE"""),0.079)</f>
        <v>0.079</v>
      </c>
      <c r="K3893" s="19">
        <f>IFERROR(__xludf.DUMMYFUNCTION("""COMPUTED_VALUE"""),0.0988)</f>
        <v>0.0988</v>
      </c>
      <c r="L3893" s="19">
        <f>IFERROR(__xludf.DUMMYFUNCTION("""COMPUTED_VALUE"""),0.1185)</f>
        <v>0.1185</v>
      </c>
      <c r="M3893" s="18">
        <f>IFERROR(__xludf.DUMMYFUNCTION("""COMPUTED_VALUE"""),1.53)</f>
        <v>1.53</v>
      </c>
    </row>
    <row r="3894">
      <c r="A3894" s="13" t="str">
        <f>IFERROR(__xludf.DUMMYFUNCTION("""COMPUTED_VALUE"""),"товари")</f>
        <v>товари</v>
      </c>
      <c r="B3894" s="16" t="str">
        <f>IFERROR(__xludf.DUMMYFUNCTION("""COMPUTED_VALUE"""),"техніка та електроніка")</f>
        <v>техніка та електроніка</v>
      </c>
      <c r="C3894" s="16" t="str">
        <f>IFERROR(__xludf.DUMMYFUNCTION("""COMPUTED_VALUE"""),"побутова техніка")</f>
        <v>побутова техніка</v>
      </c>
      <c r="D3894" s="16" t="str">
        <f>IFERROR(__xludf.DUMMYFUNCTION("""COMPUTED_VALUE"""),"велика побутова техніка для кухні")</f>
        <v>велика побутова техніка для кухні</v>
      </c>
      <c r="E3894" s="16" t="str">
        <f>IFERROR(__xludf.DUMMYFUNCTION("""COMPUTED_VALUE"""),"вбудовані духові шафи")</f>
        <v>вбудовані духові шафи</v>
      </c>
      <c r="F3894" s="17">
        <f>IFERROR(__xludf.DUMMYFUNCTION("""COMPUTED_VALUE"""),4.0)</f>
        <v>4</v>
      </c>
      <c r="G3894" s="17" t="str">
        <f>IFERROR(__xludf.DUMMYFUNCTION("""COMPUTED_VALUE"""),"61903")</f>
        <v>61903</v>
      </c>
      <c r="H3894" s="17" t="str">
        <f>IFERROR(__xludf.DUMMYFUNCTION("""COMPUTED_VALUE"""),"вбудовані духові шафи")</f>
        <v>вбудовані духові шафи</v>
      </c>
      <c r="I3894" s="19">
        <f>IFERROR(__xludf.DUMMYFUNCTION("""COMPUTED_VALUE"""),0.0405)</f>
        <v>0.0405</v>
      </c>
      <c r="J3894" s="19">
        <f>IFERROR(__xludf.DUMMYFUNCTION("""COMPUTED_VALUE"""),0.081)</f>
        <v>0.081</v>
      </c>
      <c r="K3894" s="19">
        <f>IFERROR(__xludf.DUMMYFUNCTION("""COMPUTED_VALUE"""),0.1013)</f>
        <v>0.1013</v>
      </c>
      <c r="L3894" s="19">
        <f>IFERROR(__xludf.DUMMYFUNCTION("""COMPUTED_VALUE"""),0.1215)</f>
        <v>0.1215</v>
      </c>
      <c r="M3894" s="18">
        <f>IFERROR(__xludf.DUMMYFUNCTION("""COMPUTED_VALUE"""),1.53)</f>
        <v>1.53</v>
      </c>
    </row>
    <row r="3895">
      <c r="A3895" s="13" t="str">
        <f>IFERROR(__xludf.DUMMYFUNCTION("""COMPUTED_VALUE"""),"товари")</f>
        <v>товари</v>
      </c>
      <c r="B3895" s="16" t="str">
        <f>IFERROR(__xludf.DUMMYFUNCTION("""COMPUTED_VALUE"""),"техніка та електроніка")</f>
        <v>техніка та електроніка</v>
      </c>
      <c r="C3895" s="16" t="str">
        <f>IFERROR(__xludf.DUMMYFUNCTION("""COMPUTED_VALUE"""),"комп'ютерна техніка та пз")</f>
        <v>комп'ютерна техніка та пз</v>
      </c>
      <c r="D3895" s="16" t="str">
        <f>IFERROR(__xludf.DUMMYFUNCTION("""COMPUTED_VALUE"""),"комп'ютерні аксесуари")</f>
        <v>комп'ютерні аксесуари</v>
      </c>
      <c r="E3895" s="16" t="str">
        <f>IFERROR(__xludf.DUMMYFUNCTION("""COMPUTED_VALUE"""),"веб камери")</f>
        <v>веб камери</v>
      </c>
      <c r="F3895" s="17">
        <f>IFERROR(__xludf.DUMMYFUNCTION("""COMPUTED_VALUE"""),4.0)</f>
        <v>4</v>
      </c>
      <c r="G3895" s="17" t="str">
        <f>IFERROR(__xludf.DUMMYFUNCTION("""COMPUTED_VALUE"""),"70811")</f>
        <v>70811</v>
      </c>
      <c r="H3895" s="17" t="str">
        <f>IFERROR(__xludf.DUMMYFUNCTION("""COMPUTED_VALUE"""),"веб камери")</f>
        <v>веб камери</v>
      </c>
      <c r="I3895" s="19">
        <f>IFERROR(__xludf.DUMMYFUNCTION("""COMPUTED_VALUE"""),0.0981)</f>
        <v>0.0981</v>
      </c>
      <c r="J3895" s="19">
        <f>IFERROR(__xludf.DUMMYFUNCTION("""COMPUTED_VALUE"""),0.1962)</f>
        <v>0.1962</v>
      </c>
      <c r="K3895" s="19">
        <f>IFERROR(__xludf.DUMMYFUNCTION("""COMPUTED_VALUE"""),0.2453)</f>
        <v>0.2453</v>
      </c>
      <c r="L3895" s="19">
        <f>IFERROR(__xludf.DUMMYFUNCTION("""COMPUTED_VALUE"""),0.2943)</f>
        <v>0.2943</v>
      </c>
      <c r="M3895" s="18">
        <f>IFERROR(__xludf.DUMMYFUNCTION("""COMPUTED_VALUE"""),2.53)</f>
        <v>2.53</v>
      </c>
    </row>
    <row r="3896">
      <c r="A3896" s="13" t="str">
        <f>IFERROR(__xludf.DUMMYFUNCTION("""COMPUTED_VALUE"""),"товари")</f>
        <v>товари</v>
      </c>
      <c r="B3896" s="16" t="str">
        <f>IFERROR(__xludf.DUMMYFUNCTION("""COMPUTED_VALUE"""),"техніка та електроніка")</f>
        <v>техніка та електроніка</v>
      </c>
      <c r="C3896" s="16" t="str">
        <f>IFERROR(__xludf.DUMMYFUNCTION("""COMPUTED_VALUE"""),"побутова техніка")</f>
        <v>побутова техніка</v>
      </c>
      <c r="D3896" s="16" t="str">
        <f>IFERROR(__xludf.DUMMYFUNCTION("""COMPUTED_VALUE"""),"велика побутова техніка для кухні")</f>
        <v>велика побутова техніка для кухні</v>
      </c>
      <c r="E3896" s="16" t="str">
        <f>IFERROR(__xludf.DUMMYFUNCTION("""COMPUTED_VALUE"""),"велика побутова техніка для кухні, загальне")</f>
        <v>велика побутова техніка для кухні, загальне</v>
      </c>
      <c r="F3896" s="17">
        <f>IFERROR(__xludf.DUMMYFUNCTION("""COMPUTED_VALUE"""),4.0)</f>
        <v>4</v>
      </c>
      <c r="G3896" s="17" t="str">
        <f>IFERROR(__xludf.DUMMYFUNCTION("""COMPUTED_VALUE"""),"62704")</f>
        <v>62704</v>
      </c>
      <c r="H3896" s="17" t="str">
        <f>IFERROR(__xludf.DUMMYFUNCTION("""COMPUTED_VALUE"""),"велика побутова техніка для кухні, загальне")</f>
        <v>велика побутова техніка для кухні, загальне</v>
      </c>
      <c r="I3896" s="19">
        <f>IFERROR(__xludf.DUMMYFUNCTION("""COMPUTED_VALUE"""),0.125)</f>
        <v>0.125</v>
      </c>
      <c r="J3896" s="19">
        <f>IFERROR(__xludf.DUMMYFUNCTION("""COMPUTED_VALUE"""),0.25)</f>
        <v>0.25</v>
      </c>
      <c r="K3896" s="19">
        <f>IFERROR(__xludf.DUMMYFUNCTION("""COMPUTED_VALUE"""),0.3125)</f>
        <v>0.3125</v>
      </c>
      <c r="L3896" s="19">
        <f>IFERROR(__xludf.DUMMYFUNCTION("""COMPUTED_VALUE"""),0.375)</f>
        <v>0.375</v>
      </c>
      <c r="M3896" s="18">
        <f>IFERROR(__xludf.DUMMYFUNCTION("""COMPUTED_VALUE"""),4.33)</f>
        <v>4.33</v>
      </c>
    </row>
    <row r="3897">
      <c r="A3897" s="13" t="str">
        <f>IFERROR(__xludf.DUMMYFUNCTION("""COMPUTED_VALUE"""),"товари")</f>
        <v>товари</v>
      </c>
      <c r="B3897" s="16" t="str">
        <f>IFERROR(__xludf.DUMMYFUNCTION("""COMPUTED_VALUE"""),"техніка та електроніка")</f>
        <v>техніка та електроніка</v>
      </c>
      <c r="C3897" s="16" t="str">
        <f>IFERROR(__xludf.DUMMYFUNCTION("""COMPUTED_VALUE"""),"побутова техніка")</f>
        <v>побутова техніка</v>
      </c>
      <c r="D3897" s="16" t="str">
        <f>IFERROR(__xludf.DUMMYFUNCTION("""COMPUTED_VALUE"""),"кліматична техніка")</f>
        <v>кліматична техніка</v>
      </c>
      <c r="E3897" s="16" t="str">
        <f>IFERROR(__xludf.DUMMYFUNCTION("""COMPUTED_VALUE"""),"вентилятори")</f>
        <v>вентилятори</v>
      </c>
      <c r="F3897" s="17">
        <f>IFERROR(__xludf.DUMMYFUNCTION("""COMPUTED_VALUE"""),4.0)</f>
        <v>4</v>
      </c>
      <c r="G3897" s="17" t="str">
        <f>IFERROR(__xludf.DUMMYFUNCTION("""COMPUTED_VALUE"""),"618")</f>
        <v>618</v>
      </c>
      <c r="H3897" s="17" t="str">
        <f>IFERROR(__xludf.DUMMYFUNCTION("""COMPUTED_VALUE"""),"вентилятори")</f>
        <v>вентилятори</v>
      </c>
      <c r="I3897" s="19">
        <f>IFERROR(__xludf.DUMMYFUNCTION("""COMPUTED_VALUE"""),0.0518)</f>
        <v>0.0518</v>
      </c>
      <c r="J3897" s="19">
        <f>IFERROR(__xludf.DUMMYFUNCTION("""COMPUTED_VALUE"""),0.1035)</f>
        <v>0.1035</v>
      </c>
      <c r="K3897" s="19">
        <f>IFERROR(__xludf.DUMMYFUNCTION("""COMPUTED_VALUE"""),0.1294)</f>
        <v>0.1294</v>
      </c>
      <c r="L3897" s="19">
        <f>IFERROR(__xludf.DUMMYFUNCTION("""COMPUTED_VALUE"""),0.1553)</f>
        <v>0.1553</v>
      </c>
      <c r="M3897" s="18">
        <f>IFERROR(__xludf.DUMMYFUNCTION("""COMPUTED_VALUE"""),3.78)</f>
        <v>3.78</v>
      </c>
    </row>
    <row r="3898">
      <c r="A3898" s="13" t="str">
        <f>IFERROR(__xludf.DUMMYFUNCTION("""COMPUTED_VALUE"""),"товари")</f>
        <v>товари</v>
      </c>
      <c r="B3898" s="16" t="str">
        <f>IFERROR(__xludf.DUMMYFUNCTION("""COMPUTED_VALUE"""),"техніка та електроніка")</f>
        <v>техніка та електроніка</v>
      </c>
      <c r="C3898" s="16" t="str">
        <f>IFERROR(__xludf.DUMMYFUNCTION("""COMPUTED_VALUE"""),"побутова техніка")</f>
        <v>побутова техніка</v>
      </c>
      <c r="D3898" s="16" t="str">
        <f>IFERROR(__xludf.DUMMYFUNCTION("""COMPUTED_VALUE"""),"побутова техніка для дому")</f>
        <v>побутова техніка для дому</v>
      </c>
      <c r="E3898" s="16" t="str">
        <f>IFERROR(__xludf.DUMMYFUNCTION("""COMPUTED_VALUE"""),"вертикальні (акумуляторні) пилососи")</f>
        <v>вертикальні (акумуляторні) пилососи</v>
      </c>
      <c r="F3898" s="17">
        <f>IFERROR(__xludf.DUMMYFUNCTION("""COMPUTED_VALUE"""),4.0)</f>
        <v>4</v>
      </c>
      <c r="G3898" s="17" t="str">
        <f>IFERROR(__xludf.DUMMYFUNCTION("""COMPUTED_VALUE"""),"63021")</f>
        <v>63021</v>
      </c>
      <c r="H3898" s="17" t="str">
        <f>IFERROR(__xludf.DUMMYFUNCTION("""COMPUTED_VALUE"""),"вертикальні (акумуляторні) пилососи")</f>
        <v>вертикальні (акумуляторні) пилососи</v>
      </c>
      <c r="I3898" s="19">
        <f>IFERROR(__xludf.DUMMYFUNCTION("""COMPUTED_VALUE"""),0.0635)</f>
        <v>0.0635</v>
      </c>
      <c r="J3898" s="19">
        <f>IFERROR(__xludf.DUMMYFUNCTION("""COMPUTED_VALUE"""),0.127)</f>
        <v>0.127</v>
      </c>
      <c r="K3898" s="19">
        <f>IFERROR(__xludf.DUMMYFUNCTION("""COMPUTED_VALUE"""),0.1588)</f>
        <v>0.1588</v>
      </c>
      <c r="L3898" s="19">
        <f>IFERROR(__xludf.DUMMYFUNCTION("""COMPUTED_VALUE"""),0.1905)</f>
        <v>0.1905</v>
      </c>
      <c r="M3898" s="18">
        <f>IFERROR(__xludf.DUMMYFUNCTION("""COMPUTED_VALUE"""),3.06)</f>
        <v>3.06</v>
      </c>
    </row>
    <row r="3899">
      <c r="A3899" s="13" t="str">
        <f>IFERROR(__xludf.DUMMYFUNCTION("""COMPUTED_VALUE"""),"товари")</f>
        <v>товари</v>
      </c>
      <c r="B3899" s="16" t="str">
        <f>IFERROR(__xludf.DUMMYFUNCTION("""COMPUTED_VALUE"""),"техніка та електроніка")</f>
        <v>техніка та електроніка</v>
      </c>
      <c r="C3899" s="16" t="str">
        <f>IFERROR(__xludf.DUMMYFUNCTION("""COMPUTED_VALUE"""),"фото-, відеокамери та аксесуари")</f>
        <v>фото-, відеокамери та аксесуари</v>
      </c>
      <c r="D3899" s="16" t="str">
        <f>IFERROR(__xludf.DUMMYFUNCTION("""COMPUTED_VALUE"""),"аксесуари для фото-, відеокамер")</f>
        <v>аксесуари для фото-, відеокамер</v>
      </c>
      <c r="E3899" s="16" t="str">
        <f>IFERROR(__xludf.DUMMYFUNCTION("""COMPUTED_VALUE"""),"видошукачі та наочники")</f>
        <v>видошукачі та наочники</v>
      </c>
      <c r="F3899" s="17">
        <f>IFERROR(__xludf.DUMMYFUNCTION("""COMPUTED_VALUE"""),4.0)</f>
        <v>4</v>
      </c>
      <c r="G3899" s="17" t="str">
        <f>IFERROR(__xludf.DUMMYFUNCTION("""COMPUTED_VALUE"""),"6372010")</f>
        <v>6372010</v>
      </c>
      <c r="H3899" s="17" t="str">
        <f>IFERROR(__xludf.DUMMYFUNCTION("""COMPUTED_VALUE"""),"видошукачі та наочники")</f>
        <v>видошукачі та наочники</v>
      </c>
      <c r="I3899" s="19">
        <f>IFERROR(__xludf.DUMMYFUNCTION("""COMPUTED_VALUE"""),0.0968)</f>
        <v>0.0968</v>
      </c>
      <c r="J3899" s="19">
        <f>IFERROR(__xludf.DUMMYFUNCTION("""COMPUTED_VALUE"""),0.1935)</f>
        <v>0.1935</v>
      </c>
      <c r="K3899" s="19">
        <f>IFERROR(__xludf.DUMMYFUNCTION("""COMPUTED_VALUE"""),0.2419)</f>
        <v>0.2419</v>
      </c>
      <c r="L3899" s="19">
        <f>IFERROR(__xludf.DUMMYFUNCTION("""COMPUTED_VALUE"""),0.2903)</f>
        <v>0.2903</v>
      </c>
      <c r="M3899" s="18">
        <f>IFERROR(__xludf.DUMMYFUNCTION("""COMPUTED_VALUE"""),1.98)</f>
        <v>1.98</v>
      </c>
    </row>
    <row r="3900">
      <c r="A3900" s="13" t="str">
        <f>IFERROR(__xludf.DUMMYFUNCTION("""COMPUTED_VALUE"""),"товари")</f>
        <v>товари</v>
      </c>
      <c r="B3900" s="16" t="str">
        <f>IFERROR(__xludf.DUMMYFUNCTION("""COMPUTED_VALUE"""),"техніка та електроніка")</f>
        <v>техніка та електроніка</v>
      </c>
      <c r="C3900" s="16" t="str">
        <f>IFERROR(__xludf.DUMMYFUNCTION("""COMPUTED_VALUE"""),"3d пристрої та аксесуари")</f>
        <v>3d пристрої та аксесуари</v>
      </c>
      <c r="D3900" s="16" t="str">
        <f>IFERROR(__xludf.DUMMYFUNCTION("""COMPUTED_VALUE"""),"витратні матеріали для 3d пристроїв")</f>
        <v>витратні матеріали для 3d пристроїв</v>
      </c>
      <c r="E3900" s="16" t="str">
        <f>IFERROR(__xludf.DUMMYFUNCTION("""COMPUTED_VALUE"""),"витратні матеріали для 3d пристроїв")</f>
        <v>витратні матеріали для 3d пристроїв</v>
      </c>
      <c r="F3900" s="17">
        <f>IFERROR(__xludf.DUMMYFUNCTION("""COMPUTED_VALUE"""),3.0)</f>
        <v>3</v>
      </c>
      <c r="G3900" s="17" t="str">
        <f>IFERROR(__xludf.DUMMYFUNCTION("""COMPUTED_VALUE"""),"500702")</f>
        <v>500702</v>
      </c>
      <c r="H3900" s="17" t="str">
        <f>IFERROR(__xludf.DUMMYFUNCTION("""COMPUTED_VALUE"""),"витратні матеріали для 3d пристроїв")</f>
        <v>витратні матеріали для 3d пристроїв</v>
      </c>
      <c r="I3900" s="19">
        <f>IFERROR(__xludf.DUMMYFUNCTION("""COMPUTED_VALUE"""),0.0833)</f>
        <v>0.0833</v>
      </c>
      <c r="J3900" s="19">
        <f>IFERROR(__xludf.DUMMYFUNCTION("""COMPUTED_VALUE"""),0.1665)</f>
        <v>0.1665</v>
      </c>
      <c r="K3900" s="19">
        <f>IFERROR(__xludf.DUMMYFUNCTION("""COMPUTED_VALUE"""),0.2081)</f>
        <v>0.2081</v>
      </c>
      <c r="L3900" s="19">
        <f>IFERROR(__xludf.DUMMYFUNCTION("""COMPUTED_VALUE"""),0.2498)</f>
        <v>0.2498</v>
      </c>
      <c r="M3900" s="18">
        <f>IFERROR(__xludf.DUMMYFUNCTION("""COMPUTED_VALUE"""),4.14)</f>
        <v>4.14</v>
      </c>
    </row>
    <row r="3901">
      <c r="A3901" s="13" t="str">
        <f>IFERROR(__xludf.DUMMYFUNCTION("""COMPUTED_VALUE"""),"товари")</f>
        <v>товари</v>
      </c>
      <c r="B3901" s="16" t="str">
        <f>IFERROR(__xludf.DUMMYFUNCTION("""COMPUTED_VALUE"""),"техніка та електроніка")</f>
        <v>техніка та електроніка</v>
      </c>
      <c r="C3901" s="16" t="str">
        <f>IFERROR(__xludf.DUMMYFUNCTION("""COMPUTED_VALUE"""),"телефони та аксесуари")</f>
        <v>телефони та аксесуари</v>
      </c>
      <c r="D3901" s="16" t="str">
        <f>IFERROR(__xludf.DUMMYFUNCTION("""COMPUTED_VALUE"""),"комплектуючі для мобільних телефонів")</f>
        <v>комплектуючі для мобільних телефонів</v>
      </c>
      <c r="E3901" s="16" t="str">
        <f>IFERROR(__xludf.DUMMYFUNCTION("""COMPUTED_VALUE"""),"вібромотори для мобільних телефонів")</f>
        <v>вібромотори для мобільних телефонів</v>
      </c>
      <c r="F3901" s="17">
        <f>IFERROR(__xludf.DUMMYFUNCTION("""COMPUTED_VALUE"""),4.0)</f>
        <v>4</v>
      </c>
      <c r="G3901" s="17" t="str">
        <f>IFERROR(__xludf.DUMMYFUNCTION("""COMPUTED_VALUE"""),"5090333")</f>
        <v>5090333</v>
      </c>
      <c r="H3901" s="17" t="str">
        <f>IFERROR(__xludf.DUMMYFUNCTION("""COMPUTED_VALUE"""),"вібромотори для мобільних телефонів")</f>
        <v>вібромотори для мобільних телефонів</v>
      </c>
      <c r="I3901" s="19">
        <f>IFERROR(__xludf.DUMMYFUNCTION("""COMPUTED_VALUE"""),0.0996)</f>
        <v>0.0996</v>
      </c>
      <c r="J3901" s="19">
        <f>IFERROR(__xludf.DUMMYFUNCTION("""COMPUTED_VALUE"""),0.1992)</f>
        <v>0.1992</v>
      </c>
      <c r="K3901" s="19">
        <f>IFERROR(__xludf.DUMMYFUNCTION("""COMPUTED_VALUE"""),0.249)</f>
        <v>0.249</v>
      </c>
      <c r="L3901" s="19">
        <f>IFERROR(__xludf.DUMMYFUNCTION("""COMPUTED_VALUE"""),0.2988)</f>
        <v>0.2988</v>
      </c>
      <c r="M3901" s="18">
        <f>IFERROR(__xludf.DUMMYFUNCTION("""COMPUTED_VALUE"""),2.88)</f>
        <v>2.88</v>
      </c>
    </row>
    <row r="3902">
      <c r="A3902" s="13" t="str">
        <f>IFERROR(__xludf.DUMMYFUNCTION("""COMPUTED_VALUE"""),"товари")</f>
        <v>товари</v>
      </c>
      <c r="B3902" s="16" t="str">
        <f>IFERROR(__xludf.DUMMYFUNCTION("""COMPUTED_VALUE"""),"техніка та електроніка")</f>
        <v>техніка та електроніка</v>
      </c>
      <c r="C3902" s="16" t="str">
        <f>IFERROR(__xludf.DUMMYFUNCTION("""COMPUTED_VALUE"""),"фото-, відеокамери та аксесуари")</f>
        <v>фото-, відеокамери та аксесуари</v>
      </c>
      <c r="D3902" s="16" t="str">
        <f>IFERROR(__xludf.DUMMYFUNCTION("""COMPUTED_VALUE"""),"студійне обладнання")</f>
        <v>студійне обладнання</v>
      </c>
      <c r="E3902" s="16" t="str">
        <f>IFERROR(__xludf.DUMMYFUNCTION("""COMPUTED_VALUE"""),"відбивачі, прапори")</f>
        <v>відбивачі, прапори</v>
      </c>
      <c r="F3902" s="17">
        <f>IFERROR(__xludf.DUMMYFUNCTION("""COMPUTED_VALUE"""),4.0)</f>
        <v>4</v>
      </c>
      <c r="G3902" s="17" t="str">
        <f>IFERROR(__xludf.DUMMYFUNCTION("""COMPUTED_VALUE"""),"500410")</f>
        <v>500410</v>
      </c>
      <c r="H3902" s="17" t="str">
        <f>IFERROR(__xludf.DUMMYFUNCTION("""COMPUTED_VALUE"""),"відбивачі, прапори")</f>
        <v>відбивачі, прапори</v>
      </c>
      <c r="I3902" s="19">
        <f>IFERROR(__xludf.DUMMYFUNCTION("""COMPUTED_VALUE"""),0.0983)</f>
        <v>0.0983</v>
      </c>
      <c r="J3902" s="19">
        <f>IFERROR(__xludf.DUMMYFUNCTION("""COMPUTED_VALUE"""),0.1966)</f>
        <v>0.1966</v>
      </c>
      <c r="K3902" s="19">
        <f>IFERROR(__xludf.DUMMYFUNCTION("""COMPUTED_VALUE"""),0.2458)</f>
        <v>0.2458</v>
      </c>
      <c r="L3902" s="19">
        <f>IFERROR(__xludf.DUMMYFUNCTION("""COMPUTED_VALUE"""),0.2949)</f>
        <v>0.2949</v>
      </c>
      <c r="M3902" s="18">
        <f>IFERROR(__xludf.DUMMYFUNCTION("""COMPUTED_VALUE"""),2.7)</f>
        <v>2.7</v>
      </c>
    </row>
    <row r="3903">
      <c r="A3903" s="13" t="str">
        <f>IFERROR(__xludf.DUMMYFUNCTION("""COMPUTED_VALUE"""),"товари")</f>
        <v>товари</v>
      </c>
      <c r="B3903" s="16" t="str">
        <f>IFERROR(__xludf.DUMMYFUNCTION("""COMPUTED_VALUE"""),"техніка та електроніка")</f>
        <v>техніка та електроніка</v>
      </c>
      <c r="C3903" s="16" t="str">
        <f>IFERROR(__xludf.DUMMYFUNCTION("""COMPUTED_VALUE"""),"комп'ютерна техніка та пз")</f>
        <v>комп'ютерна техніка та пз</v>
      </c>
      <c r="D3903" s="16" t="str">
        <f>IFERROR(__xludf.DUMMYFUNCTION("""COMPUTED_VALUE"""),"ігрові консолі та приставки")</f>
        <v>ігрові консолі та приставки</v>
      </c>
      <c r="E3903" s="16" t="str">
        <f>IFERROR(__xludf.DUMMYFUNCTION("""COMPUTED_VALUE"""),"відео ігри")</f>
        <v>відео ігри</v>
      </c>
      <c r="F3903" s="17">
        <f>IFERROR(__xludf.DUMMYFUNCTION("""COMPUTED_VALUE"""),4.0)</f>
        <v>4</v>
      </c>
      <c r="G3903" s="17" t="str">
        <f>IFERROR(__xludf.DUMMYFUNCTION("""COMPUTED_VALUE"""),"180606")</f>
        <v>180606</v>
      </c>
      <c r="H3903" s="17" t="str">
        <f>IFERROR(__xludf.DUMMYFUNCTION("""COMPUTED_VALUE"""),"відео ігри")</f>
        <v>відео ігри</v>
      </c>
      <c r="I3903" s="19">
        <f>IFERROR(__xludf.DUMMYFUNCTION("""COMPUTED_VALUE"""),0.0759)</f>
        <v>0.0759</v>
      </c>
      <c r="J3903" s="19">
        <f>IFERROR(__xludf.DUMMYFUNCTION("""COMPUTED_VALUE"""),0.1518)</f>
        <v>0.1518</v>
      </c>
      <c r="K3903" s="19">
        <f>IFERROR(__xludf.DUMMYFUNCTION("""COMPUTED_VALUE"""),0.1898)</f>
        <v>0.1898</v>
      </c>
      <c r="L3903" s="19">
        <f>IFERROR(__xludf.DUMMYFUNCTION("""COMPUTED_VALUE"""),0.2277)</f>
        <v>0.2277</v>
      </c>
      <c r="M3903" s="18">
        <f>IFERROR(__xludf.DUMMYFUNCTION("""COMPUTED_VALUE"""),1.98)</f>
        <v>1.98</v>
      </c>
    </row>
    <row r="3904">
      <c r="A3904" s="13" t="str">
        <f>IFERROR(__xludf.DUMMYFUNCTION("""COMPUTED_VALUE"""),"товари")</f>
        <v>товари</v>
      </c>
      <c r="B3904" s="16" t="str">
        <f>IFERROR(__xludf.DUMMYFUNCTION("""COMPUTED_VALUE"""),"техніка та електроніка")</f>
        <v>техніка та електроніка</v>
      </c>
      <c r="C3904" s="16" t="str">
        <f>IFERROR(__xludf.DUMMYFUNCTION("""COMPUTED_VALUE"""),"фото-, відеокамери та аксесуари")</f>
        <v>фото-, відеокамери та аксесуари</v>
      </c>
      <c r="D3904" s="16" t="str">
        <f>IFERROR(__xludf.DUMMYFUNCTION("""COMPUTED_VALUE"""),"відеотехніка")</f>
        <v>відеотехніка</v>
      </c>
      <c r="E3904" s="16" t="str">
        <f>IFERROR(__xludf.DUMMYFUNCTION("""COMPUTED_VALUE"""),"відеокамери, екшн-камери")</f>
        <v>відеокамери, екшн-камери</v>
      </c>
      <c r="F3904" s="17">
        <f>IFERROR(__xludf.DUMMYFUNCTION("""COMPUTED_VALUE"""),4.0)</f>
        <v>4</v>
      </c>
      <c r="G3904" s="17" t="str">
        <f>IFERROR(__xludf.DUMMYFUNCTION("""COMPUTED_VALUE"""),"1902")</f>
        <v>1902</v>
      </c>
      <c r="H3904" s="17" t="str">
        <f>IFERROR(__xludf.DUMMYFUNCTION("""COMPUTED_VALUE"""),"відеокамери, екшн-камери")</f>
        <v>відеокамери, екшн-камери</v>
      </c>
      <c r="I3904" s="19">
        <f>IFERROR(__xludf.DUMMYFUNCTION("""COMPUTED_VALUE"""),0.0685)</f>
        <v>0.0685</v>
      </c>
      <c r="J3904" s="19">
        <f>IFERROR(__xludf.DUMMYFUNCTION("""COMPUTED_VALUE"""),0.137)</f>
        <v>0.137</v>
      </c>
      <c r="K3904" s="19">
        <f>IFERROR(__xludf.DUMMYFUNCTION("""COMPUTED_VALUE"""),0.1713)</f>
        <v>0.1713</v>
      </c>
      <c r="L3904" s="19">
        <f>IFERROR(__xludf.DUMMYFUNCTION("""COMPUTED_VALUE"""),0.2055)</f>
        <v>0.2055</v>
      </c>
      <c r="M3904" s="18">
        <f>IFERROR(__xludf.DUMMYFUNCTION("""COMPUTED_VALUE"""),1.26)</f>
        <v>1.26</v>
      </c>
    </row>
    <row r="3905">
      <c r="A3905" s="13" t="str">
        <f>IFERROR(__xludf.DUMMYFUNCTION("""COMPUTED_VALUE"""),"товари")</f>
        <v>товари</v>
      </c>
      <c r="B3905" s="16" t="str">
        <f>IFERROR(__xludf.DUMMYFUNCTION("""COMPUTED_VALUE"""),"техніка та електроніка")</f>
        <v>техніка та електроніка</v>
      </c>
      <c r="C3905" s="16" t="str">
        <f>IFERROR(__xludf.DUMMYFUNCTION("""COMPUTED_VALUE"""),"комп'ютерна техніка та пз")</f>
        <v>комп'ютерна техніка та пз</v>
      </c>
      <c r="D3905" s="16" t="str">
        <f>IFERROR(__xludf.DUMMYFUNCTION("""COMPUTED_VALUE"""),"комплектуючі для комп'ютерної техніки")</f>
        <v>комплектуючі для комп'ютерної техніки</v>
      </c>
      <c r="E3905" s="16" t="str">
        <f>IFERROR(__xludf.DUMMYFUNCTION("""COMPUTED_VALUE"""),"відеокарти")</f>
        <v>відеокарти</v>
      </c>
      <c r="F3905" s="17">
        <f>IFERROR(__xludf.DUMMYFUNCTION("""COMPUTED_VALUE"""),4.0)</f>
        <v>4</v>
      </c>
      <c r="G3905" s="17" t="str">
        <f>IFERROR(__xludf.DUMMYFUNCTION("""COMPUTED_VALUE"""),"70703")</f>
        <v>70703</v>
      </c>
      <c r="H3905" s="17" t="str">
        <f>IFERROR(__xludf.DUMMYFUNCTION("""COMPUTED_VALUE"""),"відеокарти")</f>
        <v>відеокарти</v>
      </c>
      <c r="I3905" s="19">
        <f>IFERROR(__xludf.DUMMYFUNCTION("""COMPUTED_VALUE"""),0.0252)</f>
        <v>0.0252</v>
      </c>
      <c r="J3905" s="19">
        <f>IFERROR(__xludf.DUMMYFUNCTION("""COMPUTED_VALUE"""),0.0504)</f>
        <v>0.0504</v>
      </c>
      <c r="K3905" s="19">
        <f>IFERROR(__xludf.DUMMYFUNCTION("""COMPUTED_VALUE"""),0.063)</f>
        <v>0.063</v>
      </c>
      <c r="L3905" s="19">
        <f>IFERROR(__xludf.DUMMYFUNCTION("""COMPUTED_VALUE"""),0.0756)</f>
        <v>0.0756</v>
      </c>
      <c r="M3905" s="18">
        <f>IFERROR(__xludf.DUMMYFUNCTION("""COMPUTED_VALUE"""),1.71)</f>
        <v>1.71</v>
      </c>
    </row>
    <row r="3906">
      <c r="A3906" s="13" t="str">
        <f>IFERROR(__xludf.DUMMYFUNCTION("""COMPUTED_VALUE"""),"товари")</f>
        <v>товари</v>
      </c>
      <c r="B3906" s="16" t="str">
        <f>IFERROR(__xludf.DUMMYFUNCTION("""COMPUTED_VALUE"""),"техніка та електроніка")</f>
        <v>техніка та електроніка</v>
      </c>
      <c r="C3906" s="16" t="str">
        <f>IFERROR(__xludf.DUMMYFUNCTION("""COMPUTED_VALUE"""),"фото-, відеокамери та аксесуари")</f>
        <v>фото-, відеокамери та аксесуари</v>
      </c>
      <c r="D3906" s="16" t="str">
        <f>IFERROR(__xludf.DUMMYFUNCTION("""COMPUTED_VALUE"""),"відеотехніка")</f>
        <v>відеотехніка</v>
      </c>
      <c r="E3906" s="16" t="str">
        <f>IFERROR(__xludf.DUMMYFUNCTION("""COMPUTED_VALUE"""),"відеотехніка, загальне")</f>
        <v>відеотехніка, загальне</v>
      </c>
      <c r="F3906" s="17">
        <f>IFERROR(__xludf.DUMMYFUNCTION("""COMPUTED_VALUE"""),4.0)</f>
        <v>4</v>
      </c>
      <c r="G3906" s="17" t="str">
        <f>IFERROR(__xludf.DUMMYFUNCTION("""COMPUTED_VALUE"""),"500405")</f>
        <v>500405</v>
      </c>
      <c r="H3906" s="17" t="str">
        <f>IFERROR(__xludf.DUMMYFUNCTION("""COMPUTED_VALUE"""),"відеотехніка, загальне")</f>
        <v>відеотехніка, загальне</v>
      </c>
      <c r="I3906" s="19">
        <f>IFERROR(__xludf.DUMMYFUNCTION("""COMPUTED_VALUE"""),0.125)</f>
        <v>0.125</v>
      </c>
      <c r="J3906" s="19">
        <f>IFERROR(__xludf.DUMMYFUNCTION("""COMPUTED_VALUE"""),0.25)</f>
        <v>0.25</v>
      </c>
      <c r="K3906" s="19">
        <f>IFERROR(__xludf.DUMMYFUNCTION("""COMPUTED_VALUE"""),0.3125)</f>
        <v>0.3125</v>
      </c>
      <c r="L3906" s="19">
        <f>IFERROR(__xludf.DUMMYFUNCTION("""COMPUTED_VALUE"""),0.375)</f>
        <v>0.375</v>
      </c>
      <c r="M3906" s="18">
        <f>IFERROR(__xludf.DUMMYFUNCTION("""COMPUTED_VALUE"""),4.33)</f>
        <v>4.33</v>
      </c>
    </row>
    <row r="3907">
      <c r="A3907" s="13" t="str">
        <f>IFERROR(__xludf.DUMMYFUNCTION("""COMPUTED_VALUE"""),"товари")</f>
        <v>товари</v>
      </c>
      <c r="B3907" s="16" t="str">
        <f>IFERROR(__xludf.DUMMYFUNCTION("""COMPUTED_VALUE"""),"техніка та електроніка")</f>
        <v>техніка та електроніка</v>
      </c>
      <c r="C3907" s="16" t="str">
        <f>IFERROR(__xludf.DUMMYFUNCTION("""COMPUTED_VALUE"""),"побутова техніка")</f>
        <v>побутова техніка</v>
      </c>
      <c r="D3907" s="16" t="str">
        <f>IFERROR(__xludf.DUMMYFUNCTION("""COMPUTED_VALUE"""),"побутова техніка для дому")</f>
        <v>побутова техніка для дому</v>
      </c>
      <c r="E3907" s="16" t="str">
        <f>IFERROR(__xludf.DUMMYFUNCTION("""COMPUTED_VALUE"""),"відпарювачі для одягу")</f>
        <v>відпарювачі для одягу</v>
      </c>
      <c r="F3907" s="17">
        <f>IFERROR(__xludf.DUMMYFUNCTION("""COMPUTED_VALUE"""),4.0)</f>
        <v>4</v>
      </c>
      <c r="G3907" s="17" t="str">
        <f>IFERROR(__xludf.DUMMYFUNCTION("""COMPUTED_VALUE"""),"63006")</f>
        <v>63006</v>
      </c>
      <c r="H3907" s="17" t="str">
        <f>IFERROR(__xludf.DUMMYFUNCTION("""COMPUTED_VALUE"""),"відпарювачі для одягу")</f>
        <v>відпарювачі для одягу</v>
      </c>
      <c r="I3907" s="19">
        <f>IFERROR(__xludf.DUMMYFUNCTION("""COMPUTED_VALUE"""),0.0759)</f>
        <v>0.0759</v>
      </c>
      <c r="J3907" s="19">
        <f>IFERROR(__xludf.DUMMYFUNCTION("""COMPUTED_VALUE"""),0.1518)</f>
        <v>0.1518</v>
      </c>
      <c r="K3907" s="19">
        <f>IFERROR(__xludf.DUMMYFUNCTION("""COMPUTED_VALUE"""),0.1898)</f>
        <v>0.1898</v>
      </c>
      <c r="L3907" s="19">
        <f>IFERROR(__xludf.DUMMYFUNCTION("""COMPUTED_VALUE"""),0.2277)</f>
        <v>0.2277</v>
      </c>
      <c r="M3907" s="18">
        <f>IFERROR(__xludf.DUMMYFUNCTION("""COMPUTED_VALUE"""),3.06)</f>
        <v>3.06</v>
      </c>
    </row>
    <row r="3908">
      <c r="A3908" s="13" t="str">
        <f>IFERROR(__xludf.DUMMYFUNCTION("""COMPUTED_VALUE"""),"товари")</f>
        <v>товари</v>
      </c>
      <c r="B3908" s="16" t="str">
        <f>IFERROR(__xludf.DUMMYFUNCTION("""COMPUTED_VALUE"""),"техніка та електроніка")</f>
        <v>техніка та електроніка</v>
      </c>
      <c r="C3908" s="16" t="str">
        <f>IFERROR(__xludf.DUMMYFUNCTION("""COMPUTED_VALUE"""),"аудіотехніка та аксесуари")</f>
        <v>аудіотехніка та аксесуари</v>
      </c>
      <c r="D3908" s="16" t="str">
        <f>IFERROR(__xludf.DUMMYFUNCTION("""COMPUTED_VALUE"""),"вінілові програвачі")</f>
        <v>вінілові програвачі</v>
      </c>
      <c r="E3908" s="16" t="str">
        <f>IFERROR(__xludf.DUMMYFUNCTION("""COMPUTED_VALUE"""),"вінілові програвачі")</f>
        <v>вінілові програвачі</v>
      </c>
      <c r="F3908" s="17">
        <f>IFERROR(__xludf.DUMMYFUNCTION("""COMPUTED_VALUE"""),3.0)</f>
        <v>3</v>
      </c>
      <c r="G3908" s="17" t="str">
        <f>IFERROR(__xludf.DUMMYFUNCTION("""COMPUTED_VALUE"""),"6371201")</f>
        <v>6371201</v>
      </c>
      <c r="H3908" s="17" t="str">
        <f>IFERROR(__xludf.DUMMYFUNCTION("""COMPUTED_VALUE"""),"вінілові програвачі")</f>
        <v>вінілові програвачі</v>
      </c>
      <c r="I3908" s="19">
        <f>IFERROR(__xludf.DUMMYFUNCTION("""COMPUTED_VALUE"""),0.0653)</f>
        <v>0.0653</v>
      </c>
      <c r="J3908" s="19">
        <f>IFERROR(__xludf.DUMMYFUNCTION("""COMPUTED_VALUE"""),0.1306)</f>
        <v>0.1306</v>
      </c>
      <c r="K3908" s="19">
        <f>IFERROR(__xludf.DUMMYFUNCTION("""COMPUTED_VALUE"""),0.1633)</f>
        <v>0.1633</v>
      </c>
      <c r="L3908" s="19">
        <f>IFERROR(__xludf.DUMMYFUNCTION("""COMPUTED_VALUE"""),0.1959)</f>
        <v>0.1959</v>
      </c>
      <c r="M3908" s="18">
        <f>IFERROR(__xludf.DUMMYFUNCTION("""COMPUTED_VALUE"""),1.44)</f>
        <v>1.44</v>
      </c>
    </row>
    <row r="3909">
      <c r="A3909" s="13" t="str">
        <f>IFERROR(__xludf.DUMMYFUNCTION("""COMPUTED_VALUE"""),"товари")</f>
        <v>товари</v>
      </c>
      <c r="B3909" s="16" t="str">
        <f>IFERROR(__xludf.DUMMYFUNCTION("""COMPUTED_VALUE"""),"техніка та електроніка")</f>
        <v>техніка та електроніка</v>
      </c>
      <c r="C3909" s="16" t="str">
        <f>IFERROR(__xludf.DUMMYFUNCTION("""COMPUTED_VALUE"""),"комп'ютерна техніка та пз")</f>
        <v>комп'ютерна техніка та пз</v>
      </c>
      <c r="D3909" s="16" t="str">
        <f>IFERROR(__xludf.DUMMYFUNCTION("""COMPUTED_VALUE"""),"комплектуючі для комп'ютерної техніки")</f>
        <v>комплектуючі для комп'ютерної техніки</v>
      </c>
      <c r="E3909" s="16" t="str">
        <f>IFERROR(__xludf.DUMMYFUNCTION("""COMPUTED_VALUE"""),"внутрішні та зовнішні жорсткі диски, hdd, ssd")</f>
        <v>внутрішні та зовнішні жорсткі диски, hdd, ssd</v>
      </c>
      <c r="F3909" s="17">
        <f>IFERROR(__xludf.DUMMYFUNCTION("""COMPUTED_VALUE"""),4.0)</f>
        <v>4</v>
      </c>
      <c r="G3909" s="17" t="str">
        <f>IFERROR(__xludf.DUMMYFUNCTION("""COMPUTED_VALUE"""),"70704")</f>
        <v>70704</v>
      </c>
      <c r="H3909" s="17" t="str">
        <f>IFERROR(__xludf.DUMMYFUNCTION("""COMPUTED_VALUE"""),"внутрішні та зовнішні жорсткі диски, hdd, ssd")</f>
        <v>внутрішні та зовнішні жорсткі диски, hdd, ssd</v>
      </c>
      <c r="I3909" s="19">
        <f>IFERROR(__xludf.DUMMYFUNCTION("""COMPUTED_VALUE"""),0.0249)</f>
        <v>0.0249</v>
      </c>
      <c r="J3909" s="19">
        <f>IFERROR(__xludf.DUMMYFUNCTION("""COMPUTED_VALUE"""),0.0498)</f>
        <v>0.0498</v>
      </c>
      <c r="K3909" s="19">
        <f>IFERROR(__xludf.DUMMYFUNCTION("""COMPUTED_VALUE"""),0.0623)</f>
        <v>0.0623</v>
      </c>
      <c r="L3909" s="19">
        <f>IFERROR(__xludf.DUMMYFUNCTION("""COMPUTED_VALUE"""),0.0747)</f>
        <v>0.0747</v>
      </c>
      <c r="M3909" s="18">
        <f>IFERROR(__xludf.DUMMYFUNCTION("""COMPUTED_VALUE"""),1.71)</f>
        <v>1.71</v>
      </c>
    </row>
    <row r="3910">
      <c r="A3910" s="13" t="str">
        <f>IFERROR(__xludf.DUMMYFUNCTION("""COMPUTED_VALUE"""),"товари")</f>
        <v>товари</v>
      </c>
      <c r="B3910" s="16" t="str">
        <f>IFERROR(__xludf.DUMMYFUNCTION("""COMPUTED_VALUE"""),"техніка та електроніка")</f>
        <v>техніка та електроніка</v>
      </c>
      <c r="C3910" s="16" t="str">
        <f>IFERROR(__xludf.DUMMYFUNCTION("""COMPUTED_VALUE"""),"комп'ютерна техніка та пз")</f>
        <v>комп'ютерна техніка та пз</v>
      </c>
      <c r="D3910" s="16" t="str">
        <f>IFERROR(__xludf.DUMMYFUNCTION("""COMPUTED_VALUE"""),"комп'ютерні аксесуари")</f>
        <v>комп'ютерні аксесуари</v>
      </c>
      <c r="E3910" s="16" t="str">
        <f>IFERROR(__xludf.DUMMYFUNCTION("""COMPUTED_VALUE"""),"графічні планшети")</f>
        <v>графічні планшети</v>
      </c>
      <c r="F3910" s="17">
        <f>IFERROR(__xludf.DUMMYFUNCTION("""COMPUTED_VALUE"""),4.0)</f>
        <v>4</v>
      </c>
      <c r="G3910" s="17" t="str">
        <f>IFERROR(__xludf.DUMMYFUNCTION("""COMPUTED_VALUE"""),"70804")</f>
        <v>70804</v>
      </c>
      <c r="H3910" s="17" t="str">
        <f>IFERROR(__xludf.DUMMYFUNCTION("""COMPUTED_VALUE"""),"графічні планшети")</f>
        <v>графічні планшети</v>
      </c>
      <c r="I3910" s="19">
        <f>IFERROR(__xludf.DUMMYFUNCTION("""COMPUTED_VALUE"""),0.0772)</f>
        <v>0.0772</v>
      </c>
      <c r="J3910" s="19">
        <f>IFERROR(__xludf.DUMMYFUNCTION("""COMPUTED_VALUE"""),0.1544)</f>
        <v>0.1544</v>
      </c>
      <c r="K3910" s="19">
        <f>IFERROR(__xludf.DUMMYFUNCTION("""COMPUTED_VALUE"""),0.193)</f>
        <v>0.193</v>
      </c>
      <c r="L3910" s="19">
        <f>IFERROR(__xludf.DUMMYFUNCTION("""COMPUTED_VALUE"""),0.2316)</f>
        <v>0.2316</v>
      </c>
      <c r="M3910" s="18">
        <f>IFERROR(__xludf.DUMMYFUNCTION("""COMPUTED_VALUE"""),2.53)</f>
        <v>2.53</v>
      </c>
    </row>
    <row r="3911">
      <c r="A3911" s="13" t="str">
        <f>IFERROR(__xludf.DUMMYFUNCTION("""COMPUTED_VALUE"""),"товари")</f>
        <v>товари</v>
      </c>
      <c r="B3911" s="16" t="str">
        <f>IFERROR(__xludf.DUMMYFUNCTION("""COMPUTED_VALUE"""),"техніка та електроніка")</f>
        <v>техніка та електроніка</v>
      </c>
      <c r="C3911" s="16" t="str">
        <f>IFERROR(__xludf.DUMMYFUNCTION("""COMPUTED_VALUE"""),"tv та відеотехніка")</f>
        <v>tv та відеотехніка</v>
      </c>
      <c r="D3911" s="16" t="str">
        <f>IFERROR(__xludf.DUMMYFUNCTION("""COMPUTED_VALUE"""),"супутникове, кабельне телебачення")</f>
        <v>супутникове, кабельне телебачення</v>
      </c>
      <c r="E3911" s="16" t="str">
        <f>IFERROR(__xludf.DUMMYFUNCTION("""COMPUTED_VALUE"""),"дайсеки, підсилювачі, телевізійні розгалужувачі")</f>
        <v>дайсеки, підсилювачі, телевізійні розгалужувачі</v>
      </c>
      <c r="F3911" s="17">
        <f>IFERROR(__xludf.DUMMYFUNCTION("""COMPUTED_VALUE"""),4.0)</f>
        <v>4</v>
      </c>
      <c r="G3911" s="17" t="str">
        <f>IFERROR(__xludf.DUMMYFUNCTION("""COMPUTED_VALUE"""),"6371703")</f>
        <v>6371703</v>
      </c>
      <c r="H3911" s="17" t="str">
        <f>IFERROR(__xludf.DUMMYFUNCTION("""COMPUTED_VALUE"""),"дайсеки, підсилювачі, телевізійні розгалужувачі")</f>
        <v>дайсеки, підсилювачі, телевізійні розгалужувачі</v>
      </c>
      <c r="I3911" s="19">
        <f>IFERROR(__xludf.DUMMYFUNCTION("""COMPUTED_VALUE"""),0.0802)</f>
        <v>0.0802</v>
      </c>
      <c r="J3911" s="19">
        <f>IFERROR(__xludf.DUMMYFUNCTION("""COMPUTED_VALUE"""),0.1604)</f>
        <v>0.1604</v>
      </c>
      <c r="K3911" s="19">
        <f>IFERROR(__xludf.DUMMYFUNCTION("""COMPUTED_VALUE"""),0.2005)</f>
        <v>0.2005</v>
      </c>
      <c r="L3911" s="19">
        <f>IFERROR(__xludf.DUMMYFUNCTION("""COMPUTED_VALUE"""),0.2406)</f>
        <v>0.2406</v>
      </c>
      <c r="M3911" s="18">
        <f>IFERROR(__xludf.DUMMYFUNCTION("""COMPUTED_VALUE"""),1.53)</f>
        <v>1.53</v>
      </c>
    </row>
    <row r="3912">
      <c r="A3912" s="13" t="str">
        <f>IFERROR(__xludf.DUMMYFUNCTION("""COMPUTED_VALUE"""),"товари")</f>
        <v>товари</v>
      </c>
      <c r="B3912" s="16" t="str">
        <f>IFERROR(__xludf.DUMMYFUNCTION("""COMPUTED_VALUE"""),"техніка та електроніка")</f>
        <v>техніка та електроніка</v>
      </c>
      <c r="C3912" s="16" t="str">
        <f>IFERROR(__xludf.DUMMYFUNCTION("""COMPUTED_VALUE"""),"комп'ютерна техніка та пз")</f>
        <v>комп'ютерна техніка та пз</v>
      </c>
      <c r="D3912" s="16" t="str">
        <f>IFERROR(__xludf.DUMMYFUNCTION("""COMPUTED_VALUE"""),"ігрові консолі та приставки")</f>
        <v>ігрові консолі та приставки</v>
      </c>
      <c r="E3912" s="16" t="str">
        <f>IFERROR(__xludf.DUMMYFUNCTION("""COMPUTED_VALUE"""),"джойстики, геймпади та ігрові контролери")</f>
        <v>джойстики, геймпади та ігрові контролери</v>
      </c>
      <c r="F3912" s="17">
        <f>IFERROR(__xludf.DUMMYFUNCTION("""COMPUTED_VALUE"""),4.0)</f>
        <v>4</v>
      </c>
      <c r="G3912" s="17" t="str">
        <f>IFERROR(__xludf.DUMMYFUNCTION("""COMPUTED_VALUE"""),"70801")</f>
        <v>70801</v>
      </c>
      <c r="H3912" s="17" t="str">
        <f>IFERROR(__xludf.DUMMYFUNCTION("""COMPUTED_VALUE"""),"джойстики, геймпади та ігрові контролери")</f>
        <v>джойстики, геймпади та ігрові контролери</v>
      </c>
      <c r="I3912" s="19">
        <f>IFERROR(__xludf.DUMMYFUNCTION("""COMPUTED_VALUE"""),0.074)</f>
        <v>0.074</v>
      </c>
      <c r="J3912" s="19">
        <f>IFERROR(__xludf.DUMMYFUNCTION("""COMPUTED_VALUE"""),0.1479)</f>
        <v>0.1479</v>
      </c>
      <c r="K3912" s="19">
        <f>IFERROR(__xludf.DUMMYFUNCTION("""COMPUTED_VALUE"""),0.1849)</f>
        <v>0.1849</v>
      </c>
      <c r="L3912" s="19">
        <f>IFERROR(__xludf.DUMMYFUNCTION("""COMPUTED_VALUE"""),0.2219)</f>
        <v>0.2219</v>
      </c>
      <c r="M3912" s="18">
        <f>IFERROR(__xludf.DUMMYFUNCTION("""COMPUTED_VALUE"""),1.98)</f>
        <v>1.98</v>
      </c>
    </row>
    <row r="3913">
      <c r="A3913" s="13" t="str">
        <f>IFERROR(__xludf.DUMMYFUNCTION("""COMPUTED_VALUE"""),"товари")</f>
        <v>товари</v>
      </c>
      <c r="B3913" s="16" t="str">
        <f>IFERROR(__xludf.DUMMYFUNCTION("""COMPUTED_VALUE"""),"техніка та електроніка")</f>
        <v>техніка та електроніка</v>
      </c>
      <c r="C3913" s="16" t="str">
        <f>IFERROR(__xludf.DUMMYFUNCTION("""COMPUTED_VALUE"""),"аудіотехніка та аксесуари")</f>
        <v>аудіотехніка та аксесуари</v>
      </c>
      <c r="D3913" s="16" t="str">
        <f>IFERROR(__xludf.DUMMYFUNCTION("""COMPUTED_VALUE"""),"диктофони та аксесуари")</f>
        <v>диктофони та аксесуари</v>
      </c>
      <c r="E3913" s="16" t="str">
        <f>IFERROR(__xludf.DUMMYFUNCTION("""COMPUTED_VALUE"""),"диктофони та аксесуари")</f>
        <v>диктофони та аксесуари</v>
      </c>
      <c r="F3913" s="17">
        <f>IFERROR(__xludf.DUMMYFUNCTION("""COMPUTED_VALUE"""),3.0)</f>
        <v>3</v>
      </c>
      <c r="G3913" s="17" t="str">
        <f>IFERROR(__xludf.DUMMYFUNCTION("""COMPUTED_VALUE"""),"63704")</f>
        <v>63704</v>
      </c>
      <c r="H3913" s="17" t="str">
        <f>IFERROR(__xludf.DUMMYFUNCTION("""COMPUTED_VALUE"""),"диктофони та аксесуари")</f>
        <v>диктофони та аксесуари</v>
      </c>
      <c r="I3913" s="19">
        <f>IFERROR(__xludf.DUMMYFUNCTION("""COMPUTED_VALUE"""),0.0964)</f>
        <v>0.0964</v>
      </c>
      <c r="J3913" s="19">
        <f>IFERROR(__xludf.DUMMYFUNCTION("""COMPUTED_VALUE"""),0.1928)</f>
        <v>0.1928</v>
      </c>
      <c r="K3913" s="19">
        <f>IFERROR(__xludf.DUMMYFUNCTION("""COMPUTED_VALUE"""),0.241)</f>
        <v>0.241</v>
      </c>
      <c r="L3913" s="19">
        <f>IFERROR(__xludf.DUMMYFUNCTION("""COMPUTED_VALUE"""),0.2892)</f>
        <v>0.2892</v>
      </c>
      <c r="M3913" s="18">
        <f>IFERROR(__xludf.DUMMYFUNCTION("""COMPUTED_VALUE"""),3.06)</f>
        <v>3.06</v>
      </c>
    </row>
    <row r="3914">
      <c r="A3914" s="13" t="str">
        <f>IFERROR(__xludf.DUMMYFUNCTION("""COMPUTED_VALUE"""),"товари")</f>
        <v>товари</v>
      </c>
      <c r="B3914" s="16" t="str">
        <f>IFERROR(__xludf.DUMMYFUNCTION("""COMPUTED_VALUE"""),"техніка та електроніка")</f>
        <v>техніка та електроніка</v>
      </c>
      <c r="C3914" s="16" t="str">
        <f>IFERROR(__xludf.DUMMYFUNCTION("""COMPUTED_VALUE"""),"телефони та аксесуари")</f>
        <v>телефони та аксесуари</v>
      </c>
      <c r="D3914" s="16" t="str">
        <f>IFERROR(__xludf.DUMMYFUNCTION("""COMPUTED_VALUE"""),"комплектуючі для мобільних телефонів")</f>
        <v>комплектуючі для мобільних телефонів</v>
      </c>
      <c r="E3914" s="16" t="str">
        <f>IFERROR(__xludf.DUMMYFUNCTION("""COMPUTED_VALUE"""),"дисплей, touchscreen для телефонів")</f>
        <v>дисплей, touchscreen для телефонів</v>
      </c>
      <c r="F3914" s="17">
        <f>IFERROR(__xludf.DUMMYFUNCTION("""COMPUTED_VALUE"""),4.0)</f>
        <v>4</v>
      </c>
      <c r="G3914" s="17" t="str">
        <f>IFERROR(__xludf.DUMMYFUNCTION("""COMPUTED_VALUE"""),"5090313")</f>
        <v>5090313</v>
      </c>
      <c r="H3914" s="17" t="str">
        <f>IFERROR(__xludf.DUMMYFUNCTION("""COMPUTED_VALUE"""),"дисплей, touchscreen для телефонів")</f>
        <v>дисплей, touchscreen для телефонів</v>
      </c>
      <c r="I3914" s="19">
        <f>IFERROR(__xludf.DUMMYFUNCTION("""COMPUTED_VALUE"""),0.098)</f>
        <v>0.098</v>
      </c>
      <c r="J3914" s="19">
        <f>IFERROR(__xludf.DUMMYFUNCTION("""COMPUTED_VALUE"""),0.1959)</f>
        <v>0.1959</v>
      </c>
      <c r="K3914" s="19">
        <f>IFERROR(__xludf.DUMMYFUNCTION("""COMPUTED_VALUE"""),0.2449)</f>
        <v>0.2449</v>
      </c>
      <c r="L3914" s="19">
        <f>IFERROR(__xludf.DUMMYFUNCTION("""COMPUTED_VALUE"""),0.2939)</f>
        <v>0.2939</v>
      </c>
      <c r="M3914" s="18">
        <f>IFERROR(__xludf.DUMMYFUNCTION("""COMPUTED_VALUE"""),2.88)</f>
        <v>2.88</v>
      </c>
    </row>
    <row r="3915">
      <c r="A3915" s="13" t="str">
        <f>IFERROR(__xludf.DUMMYFUNCTION("""COMPUTED_VALUE"""),"товари")</f>
        <v>товари</v>
      </c>
      <c r="B3915" s="16" t="str">
        <f>IFERROR(__xludf.DUMMYFUNCTION("""COMPUTED_VALUE"""),"техніка та електроніка")</f>
        <v>техніка та електроніка</v>
      </c>
      <c r="C3915" s="16" t="str">
        <f>IFERROR(__xludf.DUMMYFUNCTION("""COMPUTED_VALUE"""),"побутова техніка")</f>
        <v>побутова техніка</v>
      </c>
      <c r="D3915" s="16" t="str">
        <f>IFERROR(__xludf.DUMMYFUNCTION("""COMPUTED_VALUE"""),"велика побутова техніка для кухні")</f>
        <v>велика побутова техніка для кухні</v>
      </c>
      <c r="E3915" s="16" t="str">
        <f>IFERROR(__xludf.DUMMYFUNCTION("""COMPUTED_VALUE"""),"диспоузери та утилізатори харчових відходів")</f>
        <v>диспоузери та утилізатори харчових відходів</v>
      </c>
      <c r="F3915" s="17">
        <f>IFERROR(__xludf.DUMMYFUNCTION("""COMPUTED_VALUE"""),4.0)</f>
        <v>4</v>
      </c>
      <c r="G3915" s="17" t="str">
        <f>IFERROR(__xludf.DUMMYFUNCTION("""COMPUTED_VALUE"""),"13240221")</f>
        <v>13240221</v>
      </c>
      <c r="H3915" s="17" t="str">
        <f>IFERROR(__xludf.DUMMYFUNCTION("""COMPUTED_VALUE"""),"диспоузери та утилізатори харчових відходів")</f>
        <v>диспоузери та утилізатори харчових відходів</v>
      </c>
      <c r="I3915" s="19">
        <f>IFERROR(__xludf.DUMMYFUNCTION("""COMPUTED_VALUE"""),0.0646)</f>
        <v>0.0646</v>
      </c>
      <c r="J3915" s="19">
        <f>IFERROR(__xludf.DUMMYFUNCTION("""COMPUTED_VALUE"""),0.1291)</f>
        <v>0.1291</v>
      </c>
      <c r="K3915" s="19">
        <f>IFERROR(__xludf.DUMMYFUNCTION("""COMPUTED_VALUE"""),0.1614)</f>
        <v>0.1614</v>
      </c>
      <c r="L3915" s="19">
        <f>IFERROR(__xludf.DUMMYFUNCTION("""COMPUTED_VALUE"""),0.1937)</f>
        <v>0.1937</v>
      </c>
      <c r="M3915" s="18">
        <f>IFERROR(__xludf.DUMMYFUNCTION("""COMPUTED_VALUE"""),1.53)</f>
        <v>1.53</v>
      </c>
    </row>
    <row r="3916">
      <c r="A3916" s="13" t="str">
        <f>IFERROR(__xludf.DUMMYFUNCTION("""COMPUTED_VALUE"""),"товари")</f>
        <v>товари</v>
      </c>
      <c r="B3916" s="16" t="str">
        <f>IFERROR(__xludf.DUMMYFUNCTION("""COMPUTED_VALUE"""),"техніка та електроніка")</f>
        <v>техніка та електроніка</v>
      </c>
      <c r="C3916" s="16" t="str">
        <f>IFERROR(__xludf.DUMMYFUNCTION("""COMPUTED_VALUE"""),"фото-, відеокамери та аксесуари")</f>
        <v>фото-, відеокамери та аксесуари</v>
      </c>
      <c r="D3916" s="16" t="str">
        <f>IFERROR(__xludf.DUMMYFUNCTION("""COMPUTED_VALUE"""),"фототехніка")</f>
        <v>фототехніка</v>
      </c>
      <c r="E3916" s="16" t="str">
        <f>IFERROR(__xludf.DUMMYFUNCTION("""COMPUTED_VALUE"""),"дитячі цифрові фотоапарати")</f>
        <v>дитячі цифрові фотоапарати</v>
      </c>
      <c r="F3916" s="17">
        <f>IFERROR(__xludf.DUMMYFUNCTION("""COMPUTED_VALUE"""),4.0)</f>
        <v>4</v>
      </c>
      <c r="G3916" s="17" t="str">
        <f>IFERROR(__xludf.DUMMYFUNCTION("""COMPUTED_VALUE"""),"500414")</f>
        <v>500414</v>
      </c>
      <c r="H3916" s="17" t="str">
        <f>IFERROR(__xludf.DUMMYFUNCTION("""COMPUTED_VALUE"""),"дитячі цифрові фотоапарати")</f>
        <v>дитячі цифрові фотоапарати</v>
      </c>
      <c r="I3916" s="19">
        <f>IFERROR(__xludf.DUMMYFUNCTION("""COMPUTED_VALUE"""),0.0978)</f>
        <v>0.0978</v>
      </c>
      <c r="J3916" s="19">
        <f>IFERROR(__xludf.DUMMYFUNCTION("""COMPUTED_VALUE"""),0.1955)</f>
        <v>0.1955</v>
      </c>
      <c r="K3916" s="19">
        <f>IFERROR(__xludf.DUMMYFUNCTION("""COMPUTED_VALUE"""),0.2444)</f>
        <v>0.2444</v>
      </c>
      <c r="L3916" s="19">
        <f>IFERROR(__xludf.DUMMYFUNCTION("""COMPUTED_VALUE"""),0.2933)</f>
        <v>0.2933</v>
      </c>
      <c r="M3916" s="18">
        <f>IFERROR(__xludf.DUMMYFUNCTION("""COMPUTED_VALUE"""),1.53)</f>
        <v>1.53</v>
      </c>
    </row>
    <row r="3917">
      <c r="A3917" s="13" t="str">
        <f>IFERROR(__xludf.DUMMYFUNCTION("""COMPUTED_VALUE"""),"товари")</f>
        <v>товари</v>
      </c>
      <c r="B3917" s="16" t="str">
        <f>IFERROR(__xludf.DUMMYFUNCTION("""COMPUTED_VALUE"""),"техніка та електроніка")</f>
        <v>техніка та електроніка</v>
      </c>
      <c r="C3917" s="16" t="str">
        <f>IFERROR(__xludf.DUMMYFUNCTION("""COMPUTED_VALUE"""),"комп'ютерна техніка та пз")</f>
        <v>комп'ютерна техніка та пз</v>
      </c>
      <c r="D3917" s="16" t="str">
        <f>IFERROR(__xludf.DUMMYFUNCTION("""COMPUTED_VALUE"""),"комп'ютерні аксесуари")</f>
        <v>комп'ютерні аксесуари</v>
      </c>
      <c r="E3917" s="16" t="str">
        <f>IFERROR(__xludf.DUMMYFUNCTION("""COMPUTED_VALUE"""),"док-станції")</f>
        <v>док-станції</v>
      </c>
      <c r="F3917" s="17">
        <f>IFERROR(__xludf.DUMMYFUNCTION("""COMPUTED_VALUE"""),4.0)</f>
        <v>4</v>
      </c>
      <c r="G3917" s="17" t="str">
        <f>IFERROR(__xludf.DUMMYFUNCTION("""COMPUTED_VALUE"""),"6371205")</f>
        <v>6371205</v>
      </c>
      <c r="H3917" s="17" t="str">
        <f>IFERROR(__xludf.DUMMYFUNCTION("""COMPUTED_VALUE"""),"док-станції")</f>
        <v>док-станції</v>
      </c>
      <c r="I3917" s="19">
        <f>IFERROR(__xludf.DUMMYFUNCTION("""COMPUTED_VALUE"""),0.0925)</f>
        <v>0.0925</v>
      </c>
      <c r="J3917" s="19">
        <f>IFERROR(__xludf.DUMMYFUNCTION("""COMPUTED_VALUE"""),0.1849)</f>
        <v>0.1849</v>
      </c>
      <c r="K3917" s="19">
        <f>IFERROR(__xludf.DUMMYFUNCTION("""COMPUTED_VALUE"""),0.2311)</f>
        <v>0.2311</v>
      </c>
      <c r="L3917" s="19">
        <f>IFERROR(__xludf.DUMMYFUNCTION("""COMPUTED_VALUE"""),0.2774)</f>
        <v>0.2774</v>
      </c>
      <c r="M3917" s="18">
        <f>IFERROR(__xludf.DUMMYFUNCTION("""COMPUTED_VALUE"""),1.05)</f>
        <v>1.05</v>
      </c>
    </row>
    <row r="3918">
      <c r="A3918" s="13" t="str">
        <f>IFERROR(__xludf.DUMMYFUNCTION("""COMPUTED_VALUE"""),"товари")</f>
        <v>товари</v>
      </c>
      <c r="B3918" s="16" t="str">
        <f>IFERROR(__xludf.DUMMYFUNCTION("""COMPUTED_VALUE"""),"техніка та електроніка")</f>
        <v>техніка та електроніка</v>
      </c>
      <c r="C3918" s="16" t="str">
        <f>IFERROR(__xludf.DUMMYFUNCTION("""COMPUTED_VALUE"""),"tv та відеотехніка")</f>
        <v>tv та відеотехніка</v>
      </c>
      <c r="D3918" s="16" t="str">
        <f>IFERROR(__xludf.DUMMYFUNCTION("""COMPUTED_VALUE"""),"домашні кінотеатри")</f>
        <v>домашні кінотеатри</v>
      </c>
      <c r="E3918" s="16" t="str">
        <f>IFERROR(__xludf.DUMMYFUNCTION("""COMPUTED_VALUE"""),"домашні кінотеатри")</f>
        <v>домашні кінотеатри</v>
      </c>
      <c r="F3918" s="17">
        <f>IFERROR(__xludf.DUMMYFUNCTION("""COMPUTED_VALUE"""),3.0)</f>
        <v>3</v>
      </c>
      <c r="G3918" s="17" t="str">
        <f>IFERROR(__xludf.DUMMYFUNCTION("""COMPUTED_VALUE"""),"635")</f>
        <v>635</v>
      </c>
      <c r="H3918" s="17" t="str">
        <f>IFERROR(__xludf.DUMMYFUNCTION("""COMPUTED_VALUE"""),"домашні кінотеатри")</f>
        <v>домашні кінотеатри</v>
      </c>
      <c r="I3918" s="19">
        <f>IFERROR(__xludf.DUMMYFUNCTION("""COMPUTED_VALUE"""),0.0477)</f>
        <v>0.0477</v>
      </c>
      <c r="J3918" s="19">
        <f>IFERROR(__xludf.DUMMYFUNCTION("""COMPUTED_VALUE"""),0.0954)</f>
        <v>0.0954</v>
      </c>
      <c r="K3918" s="19">
        <f>IFERROR(__xludf.DUMMYFUNCTION("""COMPUTED_VALUE"""),0.1193)</f>
        <v>0.1193</v>
      </c>
      <c r="L3918" s="19">
        <f>IFERROR(__xludf.DUMMYFUNCTION("""COMPUTED_VALUE"""),0.1431)</f>
        <v>0.1431</v>
      </c>
      <c r="M3918" s="18">
        <f>IFERROR(__xludf.DUMMYFUNCTION("""COMPUTED_VALUE"""),1.05)</f>
        <v>1.05</v>
      </c>
    </row>
    <row r="3919">
      <c r="A3919" s="13" t="str">
        <f>IFERROR(__xludf.DUMMYFUNCTION("""COMPUTED_VALUE"""),"товари")</f>
        <v>товари</v>
      </c>
      <c r="B3919" s="16" t="str">
        <f>IFERROR(__xludf.DUMMYFUNCTION("""COMPUTED_VALUE"""),"техніка та електроніка")</f>
        <v>техніка та електроніка</v>
      </c>
      <c r="C3919" s="16" t="str">
        <f>IFERROR(__xludf.DUMMYFUNCTION("""COMPUTED_VALUE"""),"побутова техніка")</f>
        <v>побутова техніка</v>
      </c>
      <c r="D3919" s="16" t="str">
        <f>IFERROR(__xludf.DUMMYFUNCTION("""COMPUTED_VALUE"""),"побутова техніка для дому")</f>
        <v>побутова техніка для дому</v>
      </c>
      <c r="E3919" s="16" t="str">
        <f>IFERROR(__xludf.DUMMYFUNCTION("""COMPUTED_VALUE"""),"домашні метеостанції та аксесуари")</f>
        <v>домашні метеостанції та аксесуари</v>
      </c>
      <c r="F3919" s="17">
        <f>IFERROR(__xludf.DUMMYFUNCTION("""COMPUTED_VALUE"""),4.0)</f>
        <v>4</v>
      </c>
      <c r="G3919" s="17" t="str">
        <f>IFERROR(__xludf.DUMMYFUNCTION("""COMPUTED_VALUE"""),"63013")</f>
        <v>63013</v>
      </c>
      <c r="H3919" s="17" t="str">
        <f>IFERROR(__xludf.DUMMYFUNCTION("""COMPUTED_VALUE"""),"домашні метеостанції та аксесуари")</f>
        <v>домашні метеостанції та аксесуари</v>
      </c>
      <c r="I3919" s="19">
        <f>IFERROR(__xludf.DUMMYFUNCTION("""COMPUTED_VALUE"""),0.0511)</f>
        <v>0.0511</v>
      </c>
      <c r="J3919" s="19">
        <f>IFERROR(__xludf.DUMMYFUNCTION("""COMPUTED_VALUE"""),0.1022)</f>
        <v>0.1022</v>
      </c>
      <c r="K3919" s="19">
        <f>IFERROR(__xludf.DUMMYFUNCTION("""COMPUTED_VALUE"""),0.1278)</f>
        <v>0.1278</v>
      </c>
      <c r="L3919" s="19">
        <f>IFERROR(__xludf.DUMMYFUNCTION("""COMPUTED_VALUE"""),0.1533)</f>
        <v>0.1533</v>
      </c>
      <c r="M3919" s="18">
        <f>IFERROR(__xludf.DUMMYFUNCTION("""COMPUTED_VALUE"""),3.06)</f>
        <v>3.06</v>
      </c>
    </row>
    <row r="3920">
      <c r="A3920" s="13" t="str">
        <f>IFERROR(__xludf.DUMMYFUNCTION("""COMPUTED_VALUE"""),"товари")</f>
        <v>товари</v>
      </c>
      <c r="B3920" s="16" t="str">
        <f>IFERROR(__xludf.DUMMYFUNCTION("""COMPUTED_VALUE"""),"техніка та електроніка")</f>
        <v>техніка та електроніка</v>
      </c>
      <c r="C3920" s="16" t="str">
        <f>IFERROR(__xludf.DUMMYFUNCTION("""COMPUTED_VALUE"""),"побутова техніка")</f>
        <v>побутова техніка</v>
      </c>
      <c r="D3920" s="16" t="str">
        <f>IFERROR(__xludf.DUMMYFUNCTION("""COMPUTED_VALUE"""),"дрібна побутова техніка для кухні")</f>
        <v>дрібна побутова техніка для кухні</v>
      </c>
      <c r="E3920" s="16" t="str">
        <f>IFERROR(__xludf.DUMMYFUNCTION("""COMPUTED_VALUE"""),"дрібна побутова техніка для кухні, загальне")</f>
        <v>дрібна побутова техніка для кухні, загальне</v>
      </c>
      <c r="F3920" s="17">
        <f>IFERROR(__xludf.DUMMYFUNCTION("""COMPUTED_VALUE"""),4.0)</f>
        <v>4</v>
      </c>
      <c r="G3920" s="17" t="str">
        <f>IFERROR(__xludf.DUMMYFUNCTION("""COMPUTED_VALUE"""),"6300404")</f>
        <v>6300404</v>
      </c>
      <c r="H3920" s="17" t="str">
        <f>IFERROR(__xludf.DUMMYFUNCTION("""COMPUTED_VALUE"""),"дрібна побутова техніка для кухні, загальне")</f>
        <v>дрібна побутова техніка для кухні, загальне</v>
      </c>
      <c r="I3920" s="19">
        <f>IFERROR(__xludf.DUMMYFUNCTION("""COMPUTED_VALUE"""),0.125)</f>
        <v>0.125</v>
      </c>
      <c r="J3920" s="19">
        <f>IFERROR(__xludf.DUMMYFUNCTION("""COMPUTED_VALUE"""),0.25)</f>
        <v>0.25</v>
      </c>
      <c r="K3920" s="19">
        <f>IFERROR(__xludf.DUMMYFUNCTION("""COMPUTED_VALUE"""),0.3125)</f>
        <v>0.3125</v>
      </c>
      <c r="L3920" s="19">
        <f>IFERROR(__xludf.DUMMYFUNCTION("""COMPUTED_VALUE"""),0.375)</f>
        <v>0.375</v>
      </c>
      <c r="M3920" s="18">
        <f>IFERROR(__xludf.DUMMYFUNCTION("""COMPUTED_VALUE"""),4.33)</f>
        <v>4.33</v>
      </c>
    </row>
    <row r="3921">
      <c r="A3921" s="13" t="str">
        <f>IFERROR(__xludf.DUMMYFUNCTION("""COMPUTED_VALUE"""),"товари")</f>
        <v>товари</v>
      </c>
      <c r="B3921" s="16" t="str">
        <f>IFERROR(__xludf.DUMMYFUNCTION("""COMPUTED_VALUE"""),"техніка та електроніка")</f>
        <v>техніка та електроніка</v>
      </c>
      <c r="C3921" s="16" t="str">
        <f>IFERROR(__xludf.DUMMYFUNCTION("""COMPUTED_VALUE"""),"tv та відеотехніка")</f>
        <v>tv та відеотехніка</v>
      </c>
      <c r="D3921" s="16" t="str">
        <f>IFERROR(__xludf.DUMMYFUNCTION("""COMPUTED_VALUE"""),"аксесуари для телевізорів та проекторів")</f>
        <v>аксесуари для телевізорів та проекторів</v>
      </c>
      <c r="E3921" s="16" t="str">
        <f>IFERROR(__xludf.DUMMYFUNCTION("""COMPUTED_VALUE"""),"ду пульти")</f>
        <v>ду пульти</v>
      </c>
      <c r="F3921" s="17">
        <f>IFERROR(__xludf.DUMMYFUNCTION("""COMPUTED_VALUE"""),4.0)</f>
        <v>4</v>
      </c>
      <c r="G3921" s="17" t="str">
        <f>IFERROR(__xludf.DUMMYFUNCTION("""COMPUTED_VALUE"""),"623")</f>
        <v>623</v>
      </c>
      <c r="H3921" s="17" t="str">
        <f>IFERROR(__xludf.DUMMYFUNCTION("""COMPUTED_VALUE"""),"ду пульти")</f>
        <v>ду пульти</v>
      </c>
      <c r="I3921" s="19">
        <f>IFERROR(__xludf.DUMMYFUNCTION("""COMPUTED_VALUE"""),0.1)</f>
        <v>0.1</v>
      </c>
      <c r="J3921" s="19">
        <f>IFERROR(__xludf.DUMMYFUNCTION("""COMPUTED_VALUE"""),0.2)</f>
        <v>0.2</v>
      </c>
      <c r="K3921" s="19">
        <f>IFERROR(__xludf.DUMMYFUNCTION("""COMPUTED_VALUE"""),0.25)</f>
        <v>0.25</v>
      </c>
      <c r="L3921" s="19">
        <f>IFERROR(__xludf.DUMMYFUNCTION("""COMPUTED_VALUE"""),0.3)</f>
        <v>0.3</v>
      </c>
      <c r="M3921" s="18">
        <f>IFERROR(__xludf.DUMMYFUNCTION("""COMPUTED_VALUE"""),2.16)</f>
        <v>2.16</v>
      </c>
    </row>
    <row r="3922">
      <c r="A3922" s="13" t="str">
        <f>IFERROR(__xludf.DUMMYFUNCTION("""COMPUTED_VALUE"""),"товари")</f>
        <v>товари</v>
      </c>
      <c r="B3922" s="16" t="str">
        <f>IFERROR(__xludf.DUMMYFUNCTION("""COMPUTED_VALUE"""),"техніка та електроніка")</f>
        <v>техніка та електроніка</v>
      </c>
      <c r="C3922" s="16" t="str">
        <f>IFERROR(__xludf.DUMMYFUNCTION("""COMPUTED_VALUE"""),"побутова техніка")</f>
        <v>побутова техніка</v>
      </c>
      <c r="D3922" s="16" t="str">
        <f>IFERROR(__xludf.DUMMYFUNCTION("""COMPUTED_VALUE"""),"дрібна побутова техніка для кухні")</f>
        <v>дрібна побутова техніка для кухні</v>
      </c>
      <c r="E3922" s="16" t="str">
        <f>IFERROR(__xludf.DUMMYFUNCTION("""COMPUTED_VALUE"""),"електричні грилі та барбекю")</f>
        <v>електричні грилі та барбекю</v>
      </c>
      <c r="F3922" s="17">
        <f>IFERROR(__xludf.DUMMYFUNCTION("""COMPUTED_VALUE"""),4.0)</f>
        <v>4</v>
      </c>
      <c r="G3922" s="17" t="str">
        <f>IFERROR(__xludf.DUMMYFUNCTION("""COMPUTED_VALUE"""),"63009")</f>
        <v>63009</v>
      </c>
      <c r="H3922" s="17" t="str">
        <f>IFERROR(__xludf.DUMMYFUNCTION("""COMPUTED_VALUE"""),"електричні грилі та барбекю")</f>
        <v>електричні грилі та барбекю</v>
      </c>
      <c r="I3922" s="19">
        <f>IFERROR(__xludf.DUMMYFUNCTION("""COMPUTED_VALUE"""),0.0756)</f>
        <v>0.0756</v>
      </c>
      <c r="J3922" s="19">
        <f>IFERROR(__xludf.DUMMYFUNCTION("""COMPUTED_VALUE"""),0.1512)</f>
        <v>0.1512</v>
      </c>
      <c r="K3922" s="19">
        <f>IFERROR(__xludf.DUMMYFUNCTION("""COMPUTED_VALUE"""),0.189)</f>
        <v>0.189</v>
      </c>
      <c r="L3922" s="19">
        <f>IFERROR(__xludf.DUMMYFUNCTION("""COMPUTED_VALUE"""),0.2268)</f>
        <v>0.2268</v>
      </c>
      <c r="M3922" s="18">
        <f>IFERROR(__xludf.DUMMYFUNCTION("""COMPUTED_VALUE"""),3.06)</f>
        <v>3.06</v>
      </c>
    </row>
    <row r="3923">
      <c r="A3923" s="13" t="str">
        <f>IFERROR(__xludf.DUMMYFUNCTION("""COMPUTED_VALUE"""),"товари")</f>
        <v>товари</v>
      </c>
      <c r="B3923" s="16" t="str">
        <f>IFERROR(__xludf.DUMMYFUNCTION("""COMPUTED_VALUE"""),"техніка та електроніка")</f>
        <v>техніка та електроніка</v>
      </c>
      <c r="C3923" s="16" t="str">
        <f>IFERROR(__xludf.DUMMYFUNCTION("""COMPUTED_VALUE"""),"побутова техніка")</f>
        <v>побутова техніка</v>
      </c>
      <c r="D3923" s="16" t="str">
        <f>IFERROR(__xludf.DUMMYFUNCTION("""COMPUTED_VALUE"""),"дрібна побутова техніка для кухні")</f>
        <v>дрібна побутова техніка для кухні</v>
      </c>
      <c r="E3923" s="16" t="str">
        <f>IFERROR(__xludf.DUMMYFUNCTION("""COMPUTED_VALUE"""),"електричні м'ясорубки")</f>
        <v>електричні м'ясорубки</v>
      </c>
      <c r="F3923" s="17">
        <f>IFERROR(__xludf.DUMMYFUNCTION("""COMPUTED_VALUE"""),4.0)</f>
        <v>4</v>
      </c>
      <c r="G3923" s="17" t="str">
        <f>IFERROR(__xludf.DUMMYFUNCTION("""COMPUTED_VALUE"""),"63005")</f>
        <v>63005</v>
      </c>
      <c r="H3923" s="17" t="str">
        <f>IFERROR(__xludf.DUMMYFUNCTION("""COMPUTED_VALUE"""),"електричні м'ясорубки")</f>
        <v>електричні м'ясорубки</v>
      </c>
      <c r="I3923" s="19">
        <f>IFERROR(__xludf.DUMMYFUNCTION("""COMPUTED_VALUE"""),0.075)</f>
        <v>0.075</v>
      </c>
      <c r="J3923" s="19">
        <f>IFERROR(__xludf.DUMMYFUNCTION("""COMPUTED_VALUE"""),0.1499)</f>
        <v>0.1499</v>
      </c>
      <c r="K3923" s="19">
        <f>IFERROR(__xludf.DUMMYFUNCTION("""COMPUTED_VALUE"""),0.1874)</f>
        <v>0.1874</v>
      </c>
      <c r="L3923" s="19">
        <f>IFERROR(__xludf.DUMMYFUNCTION("""COMPUTED_VALUE"""),0.2249)</f>
        <v>0.2249</v>
      </c>
      <c r="M3923" s="18">
        <f>IFERROR(__xludf.DUMMYFUNCTION("""COMPUTED_VALUE"""),3.06)</f>
        <v>3.06</v>
      </c>
    </row>
    <row r="3924">
      <c r="A3924" s="13" t="str">
        <f>IFERROR(__xludf.DUMMYFUNCTION("""COMPUTED_VALUE"""),"товари")</f>
        <v>товари</v>
      </c>
      <c r="B3924" s="16" t="str">
        <f>IFERROR(__xludf.DUMMYFUNCTION("""COMPUTED_VALUE"""),"техніка та електроніка")</f>
        <v>техніка та електроніка</v>
      </c>
      <c r="C3924" s="16" t="str">
        <f>IFERROR(__xludf.DUMMYFUNCTION("""COMPUTED_VALUE"""),"побутова техніка")</f>
        <v>побутова техніка</v>
      </c>
      <c r="D3924" s="16" t="str">
        <f>IFERROR(__xludf.DUMMYFUNCTION("""COMPUTED_VALUE"""),"кліматична техніка")</f>
        <v>кліматична техніка</v>
      </c>
      <c r="E3924" s="16" t="str">
        <f>IFERROR(__xludf.DUMMYFUNCTION("""COMPUTED_VALUE"""),"електричні побутові та комерційні конвектори")</f>
        <v>електричні побутові та комерційні конвектори</v>
      </c>
      <c r="F3924" s="17">
        <f>IFERROR(__xludf.DUMMYFUNCTION("""COMPUTED_VALUE"""),4.0)</f>
        <v>4</v>
      </c>
      <c r="G3924" s="17" t="str">
        <f>IFERROR(__xludf.DUMMYFUNCTION("""COMPUTED_VALUE"""),"61601")</f>
        <v>61601</v>
      </c>
      <c r="H3924" s="17" t="str">
        <f>IFERROR(__xludf.DUMMYFUNCTION("""COMPUTED_VALUE"""),"електричні побутові та комерційні конвектори")</f>
        <v>електричні побутові та комерційні конвектори</v>
      </c>
      <c r="I3924" s="19">
        <f>IFERROR(__xludf.DUMMYFUNCTION("""COMPUTED_VALUE"""),0.0511)</f>
        <v>0.0511</v>
      </c>
      <c r="J3924" s="19">
        <f>IFERROR(__xludf.DUMMYFUNCTION("""COMPUTED_VALUE"""),0.1022)</f>
        <v>0.1022</v>
      </c>
      <c r="K3924" s="19">
        <f>IFERROR(__xludf.DUMMYFUNCTION("""COMPUTED_VALUE"""),0.1278)</f>
        <v>0.1278</v>
      </c>
      <c r="L3924" s="19">
        <f>IFERROR(__xludf.DUMMYFUNCTION("""COMPUTED_VALUE"""),0.1533)</f>
        <v>0.1533</v>
      </c>
      <c r="M3924" s="18">
        <f>IFERROR(__xludf.DUMMYFUNCTION("""COMPUTED_VALUE"""),3.78)</f>
        <v>3.78</v>
      </c>
    </row>
    <row r="3925">
      <c r="A3925" s="13" t="str">
        <f>IFERROR(__xludf.DUMMYFUNCTION("""COMPUTED_VALUE"""),"товари")</f>
        <v>товари</v>
      </c>
      <c r="B3925" s="16" t="str">
        <f>IFERROR(__xludf.DUMMYFUNCTION("""COMPUTED_VALUE"""),"техніка та електроніка")</f>
        <v>техніка та електроніка</v>
      </c>
      <c r="C3925" s="16" t="str">
        <f>IFERROR(__xludf.DUMMYFUNCTION("""COMPUTED_VALUE"""),"комп'ютерна техніка та пз")</f>
        <v>комп'ютерна техніка та пз</v>
      </c>
      <c r="D3925" s="16" t="str">
        <f>IFERROR(__xludf.DUMMYFUNCTION("""COMPUTED_VALUE"""),"електронні книги (пристрої)")</f>
        <v>електронні книги (пристрої)</v>
      </c>
      <c r="E3925" s="16" t="str">
        <f>IFERROR(__xludf.DUMMYFUNCTION("""COMPUTED_VALUE"""),"електронні книги (пристрої)")</f>
        <v>електронні книги (пристрої)</v>
      </c>
      <c r="F3925" s="17">
        <f>IFERROR(__xludf.DUMMYFUNCTION("""COMPUTED_VALUE"""),3.0)</f>
        <v>3</v>
      </c>
      <c r="G3925" s="17" t="str">
        <f>IFERROR(__xludf.DUMMYFUNCTION("""COMPUTED_VALUE"""),"70402")</f>
        <v>70402</v>
      </c>
      <c r="H3925" s="17" t="str">
        <f>IFERROR(__xludf.DUMMYFUNCTION("""COMPUTED_VALUE"""),"електронні книги (пристрої)")</f>
        <v>електронні книги (пристрої)</v>
      </c>
      <c r="I3925" s="19">
        <f>IFERROR(__xludf.DUMMYFUNCTION("""COMPUTED_VALUE"""),0.0417)</f>
        <v>0.0417</v>
      </c>
      <c r="J3925" s="19">
        <f>IFERROR(__xludf.DUMMYFUNCTION("""COMPUTED_VALUE"""),0.0834)</f>
        <v>0.0834</v>
      </c>
      <c r="K3925" s="19">
        <f>IFERROR(__xludf.DUMMYFUNCTION("""COMPUTED_VALUE"""),0.1043)</f>
        <v>0.1043</v>
      </c>
      <c r="L3925" s="19">
        <f>IFERROR(__xludf.DUMMYFUNCTION("""COMPUTED_VALUE"""),0.1251)</f>
        <v>0.1251</v>
      </c>
      <c r="M3925" s="18">
        <f>IFERROR(__xludf.DUMMYFUNCTION("""COMPUTED_VALUE"""),1.26)</f>
        <v>1.26</v>
      </c>
    </row>
    <row r="3926">
      <c r="A3926" s="13" t="str">
        <f>IFERROR(__xludf.DUMMYFUNCTION("""COMPUTED_VALUE"""),"товари")</f>
        <v>товари</v>
      </c>
      <c r="B3926" s="16" t="str">
        <f>IFERROR(__xludf.DUMMYFUNCTION("""COMPUTED_VALUE"""),"техніка та електроніка")</f>
        <v>техніка та електроніка</v>
      </c>
      <c r="C3926" s="16" t="str">
        <f>IFERROR(__xludf.DUMMYFUNCTION("""COMPUTED_VALUE"""),"комп'ютерна техніка та пз")</f>
        <v>комп'ютерна техніка та пз</v>
      </c>
      <c r="D3926" s="16" t="str">
        <f>IFERROR(__xludf.DUMMYFUNCTION("""COMPUTED_VALUE"""),"електронні перекладачі")</f>
        <v>електронні перекладачі</v>
      </c>
      <c r="E3926" s="16" t="str">
        <f>IFERROR(__xludf.DUMMYFUNCTION("""COMPUTED_VALUE"""),"електронні перекладачі")</f>
        <v>електронні перекладачі</v>
      </c>
      <c r="F3926" s="17">
        <f>IFERROR(__xludf.DUMMYFUNCTION("""COMPUTED_VALUE"""),3.0)</f>
        <v>3</v>
      </c>
      <c r="G3926" s="17" t="str">
        <f>IFERROR(__xludf.DUMMYFUNCTION("""COMPUTED_VALUE"""),"70405")</f>
        <v>70405</v>
      </c>
      <c r="H3926" s="17" t="str">
        <f>IFERROR(__xludf.DUMMYFUNCTION("""COMPUTED_VALUE"""),"електронні перекладачі")</f>
        <v>електронні перекладачі</v>
      </c>
      <c r="I3926" s="19">
        <f>IFERROR(__xludf.DUMMYFUNCTION("""COMPUTED_VALUE"""),0.0778)</f>
        <v>0.0778</v>
      </c>
      <c r="J3926" s="19">
        <f>IFERROR(__xludf.DUMMYFUNCTION("""COMPUTED_VALUE"""),0.1555)</f>
        <v>0.1555</v>
      </c>
      <c r="K3926" s="19">
        <f>IFERROR(__xludf.DUMMYFUNCTION("""COMPUTED_VALUE"""),0.1944)</f>
        <v>0.1944</v>
      </c>
      <c r="L3926" s="19">
        <f>IFERROR(__xludf.DUMMYFUNCTION("""COMPUTED_VALUE"""),0.2333)</f>
        <v>0.2333</v>
      </c>
      <c r="M3926" s="18">
        <f>IFERROR(__xludf.DUMMYFUNCTION("""COMPUTED_VALUE"""),2.7)</f>
        <v>2.7</v>
      </c>
    </row>
    <row r="3927">
      <c r="A3927" s="13" t="str">
        <f>IFERROR(__xludf.DUMMYFUNCTION("""COMPUTED_VALUE"""),"товари")</f>
        <v>товари</v>
      </c>
      <c r="B3927" s="16" t="str">
        <f>IFERROR(__xludf.DUMMYFUNCTION("""COMPUTED_VALUE"""),"техніка та електроніка")</f>
        <v>техніка та електроніка</v>
      </c>
      <c r="C3927" s="16" t="str">
        <f>IFERROR(__xludf.DUMMYFUNCTION("""COMPUTED_VALUE"""),"побутова техніка")</f>
        <v>побутова техніка</v>
      </c>
      <c r="D3927" s="16" t="str">
        <f>IFERROR(__xludf.DUMMYFUNCTION("""COMPUTED_VALUE"""),"дрібна побутова техніка для кухні")</f>
        <v>дрібна побутова техніка для кухні</v>
      </c>
      <c r="E3927" s="16" t="str">
        <f>IFERROR(__xludf.DUMMYFUNCTION("""COMPUTED_VALUE"""),"електросковорідки та електрокаструлі")</f>
        <v>електросковорідки та електрокаструлі</v>
      </c>
      <c r="F3927" s="17">
        <f>IFERROR(__xludf.DUMMYFUNCTION("""COMPUTED_VALUE"""),4.0)</f>
        <v>4</v>
      </c>
      <c r="G3927" s="17" t="str">
        <f>IFERROR(__xludf.DUMMYFUNCTION("""COMPUTED_VALUE"""),"64303")</f>
        <v>64303</v>
      </c>
      <c r="H3927" s="17" t="str">
        <f>IFERROR(__xludf.DUMMYFUNCTION("""COMPUTED_VALUE"""),"електросковорідки та електрокаструлі")</f>
        <v>електросковорідки та електрокаструлі</v>
      </c>
      <c r="I3927" s="19">
        <f>IFERROR(__xludf.DUMMYFUNCTION("""COMPUTED_VALUE"""),0.0759)</f>
        <v>0.0759</v>
      </c>
      <c r="J3927" s="19">
        <f>IFERROR(__xludf.DUMMYFUNCTION("""COMPUTED_VALUE"""),0.1518)</f>
        <v>0.1518</v>
      </c>
      <c r="K3927" s="19">
        <f>IFERROR(__xludf.DUMMYFUNCTION("""COMPUTED_VALUE"""),0.1898)</f>
        <v>0.1898</v>
      </c>
      <c r="L3927" s="19">
        <f>IFERROR(__xludf.DUMMYFUNCTION("""COMPUTED_VALUE"""),0.2277)</f>
        <v>0.2277</v>
      </c>
      <c r="M3927" s="18">
        <f>IFERROR(__xludf.DUMMYFUNCTION("""COMPUTED_VALUE"""),3.06)</f>
        <v>3.06</v>
      </c>
    </row>
    <row r="3928">
      <c r="A3928" s="13" t="str">
        <f>IFERROR(__xludf.DUMMYFUNCTION("""COMPUTED_VALUE"""),"товари")</f>
        <v>товари</v>
      </c>
      <c r="B3928" s="16" t="str">
        <f>IFERROR(__xludf.DUMMYFUNCTION("""COMPUTED_VALUE"""),"техніка та електроніка")</f>
        <v>техніка та електроніка</v>
      </c>
      <c r="C3928" s="16" t="str">
        <f>IFERROR(__xludf.DUMMYFUNCTION("""COMPUTED_VALUE"""),"побутова техніка")</f>
        <v>побутова техніка</v>
      </c>
      <c r="D3928" s="16" t="str">
        <f>IFERROR(__xludf.DUMMYFUNCTION("""COMPUTED_VALUE"""),"дрібна побутова техніка для кухні")</f>
        <v>дрібна побутова техніка для кухні</v>
      </c>
      <c r="E3928" s="16" t="str">
        <f>IFERROR(__xludf.DUMMYFUNCTION("""COMPUTED_VALUE"""),"електрочайники ")</f>
        <v>електрочайники </v>
      </c>
      <c r="F3928" s="17">
        <f>IFERROR(__xludf.DUMMYFUNCTION("""COMPUTED_VALUE"""),4.0)</f>
        <v>4</v>
      </c>
      <c r="G3928" s="17" t="str">
        <f>IFERROR(__xludf.DUMMYFUNCTION("""COMPUTED_VALUE"""),"640")</f>
        <v>640</v>
      </c>
      <c r="H3928" s="17" t="str">
        <f>IFERROR(__xludf.DUMMYFUNCTION("""COMPUTED_VALUE"""),"електрочайники ")</f>
        <v>електрочайники </v>
      </c>
      <c r="I3928" s="19">
        <f>IFERROR(__xludf.DUMMYFUNCTION("""COMPUTED_VALUE"""),0.0756)</f>
        <v>0.0756</v>
      </c>
      <c r="J3928" s="19">
        <f>IFERROR(__xludf.DUMMYFUNCTION("""COMPUTED_VALUE"""),0.1512)</f>
        <v>0.1512</v>
      </c>
      <c r="K3928" s="19">
        <f>IFERROR(__xludf.DUMMYFUNCTION("""COMPUTED_VALUE"""),0.189)</f>
        <v>0.189</v>
      </c>
      <c r="L3928" s="19">
        <f>IFERROR(__xludf.DUMMYFUNCTION("""COMPUTED_VALUE"""),0.2268)</f>
        <v>0.2268</v>
      </c>
      <c r="M3928" s="18">
        <f>IFERROR(__xludf.DUMMYFUNCTION("""COMPUTED_VALUE"""),3.06)</f>
        <v>3.06</v>
      </c>
    </row>
    <row r="3929">
      <c r="A3929" s="13" t="str">
        <f>IFERROR(__xludf.DUMMYFUNCTION("""COMPUTED_VALUE"""),"товари")</f>
        <v>товари</v>
      </c>
      <c r="B3929" s="16" t="str">
        <f>IFERROR(__xludf.DUMMYFUNCTION("""COMPUTED_VALUE"""),"техніка та електроніка")</f>
        <v>техніка та електроніка</v>
      </c>
      <c r="C3929" s="16" t="str">
        <f>IFERROR(__xludf.DUMMYFUNCTION("""COMPUTED_VALUE"""),"побутова техніка")</f>
        <v>побутова техніка</v>
      </c>
      <c r="D3929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3929" s="16" t="str">
        <f>IFERROR(__xludf.DUMMYFUNCTION("""COMPUTED_VALUE"""),"жіночі епілятори та електробритви")</f>
        <v>жіночі епілятори та електробритви</v>
      </c>
      <c r="F3929" s="17">
        <f>IFERROR(__xludf.DUMMYFUNCTION("""COMPUTED_VALUE"""),4.0)</f>
        <v>4</v>
      </c>
      <c r="G3929" s="17" t="str">
        <f>IFERROR(__xludf.DUMMYFUNCTION("""COMPUTED_VALUE"""),"63010")</f>
        <v>63010</v>
      </c>
      <c r="H3929" s="17" t="str">
        <f>IFERROR(__xludf.DUMMYFUNCTION("""COMPUTED_VALUE"""),"жіночі епілятори та електробритви")</f>
        <v>жіночі епілятори та електробритви</v>
      </c>
      <c r="I3929" s="19">
        <f>IFERROR(__xludf.DUMMYFUNCTION("""COMPUTED_VALUE"""),0.0803)</f>
        <v>0.0803</v>
      </c>
      <c r="J3929" s="19">
        <f>IFERROR(__xludf.DUMMYFUNCTION("""COMPUTED_VALUE"""),0.1606)</f>
        <v>0.1606</v>
      </c>
      <c r="K3929" s="19">
        <f>IFERROR(__xludf.DUMMYFUNCTION("""COMPUTED_VALUE"""),0.2008)</f>
        <v>0.2008</v>
      </c>
      <c r="L3929" s="19">
        <f>IFERROR(__xludf.DUMMYFUNCTION("""COMPUTED_VALUE"""),0.2409)</f>
        <v>0.2409</v>
      </c>
      <c r="M3929" s="18">
        <f>IFERROR(__xludf.DUMMYFUNCTION("""COMPUTED_VALUE"""),4.05)</f>
        <v>4.05</v>
      </c>
    </row>
    <row r="3930">
      <c r="A3930" s="13" t="str">
        <f>IFERROR(__xludf.DUMMYFUNCTION("""COMPUTED_VALUE"""),"товари")</f>
        <v>товари</v>
      </c>
      <c r="B3930" s="16" t="str">
        <f>IFERROR(__xludf.DUMMYFUNCTION("""COMPUTED_VALUE"""),"техніка та електроніка")</f>
        <v>техніка та електроніка</v>
      </c>
      <c r="C3930" s="16" t="str">
        <f>IFERROR(__xludf.DUMMYFUNCTION("""COMPUTED_VALUE"""),"комп'ютерна техніка та пз")</f>
        <v>комп'ютерна техніка та пз</v>
      </c>
      <c r="D3930" s="16" t="str">
        <f>IFERROR(__xludf.DUMMYFUNCTION("""COMPUTED_VALUE"""),"комп'ютерні аксесуари")</f>
        <v>комп'ютерні аксесуари</v>
      </c>
      <c r="E3930" s="16" t="str">
        <f>IFERROR(__xludf.DUMMYFUNCTION("""COMPUTED_VALUE"""),"замки для ноутбуків")</f>
        <v>замки для ноутбуків</v>
      </c>
      <c r="F3930" s="17">
        <f>IFERROR(__xludf.DUMMYFUNCTION("""COMPUTED_VALUE"""),4.0)</f>
        <v>4</v>
      </c>
      <c r="G3930" s="17" t="str">
        <f>IFERROR(__xludf.DUMMYFUNCTION("""COMPUTED_VALUE"""),"71102")</f>
        <v>71102</v>
      </c>
      <c r="H3930" s="17" t="str">
        <f>IFERROR(__xludf.DUMMYFUNCTION("""COMPUTED_VALUE"""),"замки для ноутбуків")</f>
        <v>замки для ноутбуків</v>
      </c>
      <c r="I3930" s="19">
        <f>IFERROR(__xludf.DUMMYFUNCTION("""COMPUTED_VALUE"""),0.0987)</f>
        <v>0.0987</v>
      </c>
      <c r="J3930" s="19">
        <f>IFERROR(__xludf.DUMMYFUNCTION("""COMPUTED_VALUE"""),0.1973)</f>
        <v>0.1973</v>
      </c>
      <c r="K3930" s="19">
        <f>IFERROR(__xludf.DUMMYFUNCTION("""COMPUTED_VALUE"""),0.2466)</f>
        <v>0.2466</v>
      </c>
      <c r="L3930" s="19">
        <f>IFERROR(__xludf.DUMMYFUNCTION("""COMPUTED_VALUE"""),0.296)</f>
        <v>0.296</v>
      </c>
      <c r="M3930" s="18">
        <f>IFERROR(__xludf.DUMMYFUNCTION("""COMPUTED_VALUE"""),2.53)</f>
        <v>2.53</v>
      </c>
    </row>
    <row r="3931">
      <c r="A3931" s="13" t="str">
        <f>IFERROR(__xludf.DUMMYFUNCTION("""COMPUTED_VALUE"""),"товари")</f>
        <v>товари</v>
      </c>
      <c r="B3931" s="16" t="str">
        <f>IFERROR(__xludf.DUMMYFUNCTION("""COMPUTED_VALUE"""),"техніка та електроніка")</f>
        <v>техніка та електроніка</v>
      </c>
      <c r="C3931" s="16" t="str">
        <f>IFERROR(__xludf.DUMMYFUNCTION("""COMPUTED_VALUE"""),"запчастини для техніки та електроніки")</f>
        <v>запчастини для техніки та електроніки</v>
      </c>
      <c r="D3931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1" s="16" t="str">
        <f>IFERROR(__xludf.DUMMYFUNCTION("""COMPUTED_VALUE"""),"запчастини для аерогрилів, фритюрниць")</f>
        <v>запчастини для аерогрилів, фритюрниць</v>
      </c>
      <c r="F3931" s="17">
        <f>IFERROR(__xludf.DUMMYFUNCTION("""COMPUTED_VALUE"""),4.0)</f>
        <v>4</v>
      </c>
      <c r="G3931" s="17" t="str">
        <f>IFERROR(__xludf.DUMMYFUNCTION("""COMPUTED_VALUE"""),"64429")</f>
        <v>64429</v>
      </c>
      <c r="H3931" s="17" t="str">
        <f>IFERROR(__xludf.DUMMYFUNCTION("""COMPUTED_VALUE"""),"запчастини для аерогрилів, фритюрниць")</f>
        <v>запчастини для аерогрилів, фритюрниць</v>
      </c>
      <c r="I3931" s="19">
        <f>IFERROR(__xludf.DUMMYFUNCTION("""COMPUTED_VALUE"""),0.0802)</f>
        <v>0.0802</v>
      </c>
      <c r="J3931" s="19">
        <f>IFERROR(__xludf.DUMMYFUNCTION("""COMPUTED_VALUE"""),0.1604)</f>
        <v>0.1604</v>
      </c>
      <c r="K3931" s="19">
        <f>IFERROR(__xludf.DUMMYFUNCTION("""COMPUTED_VALUE"""),0.2005)</f>
        <v>0.2005</v>
      </c>
      <c r="L3931" s="19">
        <f>IFERROR(__xludf.DUMMYFUNCTION("""COMPUTED_VALUE"""),0.2406)</f>
        <v>0.2406</v>
      </c>
      <c r="M3931" s="18">
        <f>IFERROR(__xludf.DUMMYFUNCTION("""COMPUTED_VALUE"""),1.8)</f>
        <v>1.8</v>
      </c>
    </row>
    <row r="3932">
      <c r="A3932" s="13" t="str">
        <f>IFERROR(__xludf.DUMMYFUNCTION("""COMPUTED_VALUE"""),"товари")</f>
        <v>товари</v>
      </c>
      <c r="B3932" s="16" t="str">
        <f>IFERROR(__xludf.DUMMYFUNCTION("""COMPUTED_VALUE"""),"техніка та електроніка")</f>
        <v>техніка та електроніка</v>
      </c>
      <c r="C3932" s="16" t="str">
        <f>IFERROR(__xludf.DUMMYFUNCTION("""COMPUTED_VALUE"""),"запчастини для техніки та електроніки")</f>
        <v>запчастини для техніки та електроніки</v>
      </c>
      <c r="D3932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2" s="16" t="str">
        <f>IFERROR(__xludf.DUMMYFUNCTION("""COMPUTED_VALUE"""),"запчастини для блендерів, міксерів")</f>
        <v>запчастини для блендерів, міксерів</v>
      </c>
      <c r="F3932" s="17">
        <f>IFERROR(__xludf.DUMMYFUNCTION("""COMPUTED_VALUE"""),4.0)</f>
        <v>4</v>
      </c>
      <c r="G3932" s="17" t="str">
        <f>IFERROR(__xludf.DUMMYFUNCTION("""COMPUTED_VALUE"""),"64426")</f>
        <v>64426</v>
      </c>
      <c r="H3932" s="17" t="str">
        <f>IFERROR(__xludf.DUMMYFUNCTION("""COMPUTED_VALUE"""),"запчастини для блендерів, міксерів")</f>
        <v>запчастини для блендерів, міксерів</v>
      </c>
      <c r="I3932" s="19">
        <f>IFERROR(__xludf.DUMMYFUNCTION("""COMPUTED_VALUE"""),0.078)</f>
        <v>0.078</v>
      </c>
      <c r="J3932" s="19">
        <f>IFERROR(__xludf.DUMMYFUNCTION("""COMPUTED_VALUE"""),0.1559)</f>
        <v>0.1559</v>
      </c>
      <c r="K3932" s="19">
        <f>IFERROR(__xludf.DUMMYFUNCTION("""COMPUTED_VALUE"""),0.1949)</f>
        <v>0.1949</v>
      </c>
      <c r="L3932" s="19">
        <f>IFERROR(__xludf.DUMMYFUNCTION("""COMPUTED_VALUE"""),0.2339)</f>
        <v>0.2339</v>
      </c>
      <c r="M3932" s="18">
        <f>IFERROR(__xludf.DUMMYFUNCTION("""COMPUTED_VALUE"""),1.8)</f>
        <v>1.8</v>
      </c>
    </row>
    <row r="3933">
      <c r="A3933" s="13" t="str">
        <f>IFERROR(__xludf.DUMMYFUNCTION("""COMPUTED_VALUE"""),"товари")</f>
        <v>товари</v>
      </c>
      <c r="B3933" s="16" t="str">
        <f>IFERROR(__xludf.DUMMYFUNCTION("""COMPUTED_VALUE"""),"техніка та електроніка")</f>
        <v>техніка та електроніка</v>
      </c>
      <c r="C3933" s="16" t="str">
        <f>IFERROR(__xludf.DUMMYFUNCTION("""COMPUTED_VALUE"""),"запчастини для техніки та електроніки")</f>
        <v>запчастини для техніки та електроніки</v>
      </c>
      <c r="D3933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3" s="16" t="str">
        <f>IFERROR(__xludf.DUMMYFUNCTION("""COMPUTED_VALUE"""),"запчастини для вафельниць та тостерів")</f>
        <v>запчастини для вафельниць та тостерів</v>
      </c>
      <c r="F3933" s="17">
        <f>IFERROR(__xludf.DUMMYFUNCTION("""COMPUTED_VALUE"""),4.0)</f>
        <v>4</v>
      </c>
      <c r="G3933" s="17" t="str">
        <f>IFERROR(__xludf.DUMMYFUNCTION("""COMPUTED_VALUE"""),"64435")</f>
        <v>64435</v>
      </c>
      <c r="H3933" s="17" t="str">
        <f>IFERROR(__xludf.DUMMYFUNCTION("""COMPUTED_VALUE"""),"запчастини для вафельниць та тостерів")</f>
        <v>запчастини для вафельниць та тостерів</v>
      </c>
      <c r="I3933" s="19">
        <f>IFERROR(__xludf.DUMMYFUNCTION("""COMPUTED_VALUE"""),0.0783)</f>
        <v>0.0783</v>
      </c>
      <c r="J3933" s="19">
        <f>IFERROR(__xludf.DUMMYFUNCTION("""COMPUTED_VALUE"""),0.1565)</f>
        <v>0.1565</v>
      </c>
      <c r="K3933" s="19">
        <f>IFERROR(__xludf.DUMMYFUNCTION("""COMPUTED_VALUE"""),0.1956)</f>
        <v>0.1956</v>
      </c>
      <c r="L3933" s="19">
        <f>IFERROR(__xludf.DUMMYFUNCTION("""COMPUTED_VALUE"""),0.2348)</f>
        <v>0.2348</v>
      </c>
      <c r="M3933" s="18">
        <f>IFERROR(__xludf.DUMMYFUNCTION("""COMPUTED_VALUE"""),1.8)</f>
        <v>1.8</v>
      </c>
    </row>
    <row r="3934">
      <c r="A3934" s="13" t="str">
        <f>IFERROR(__xludf.DUMMYFUNCTION("""COMPUTED_VALUE"""),"товари")</f>
        <v>товари</v>
      </c>
      <c r="B3934" s="16" t="str">
        <f>IFERROR(__xludf.DUMMYFUNCTION("""COMPUTED_VALUE"""),"техніка та електроніка")</f>
        <v>техніка та електроніка</v>
      </c>
      <c r="C3934" s="16" t="str">
        <f>IFERROR(__xludf.DUMMYFUNCTION("""COMPUTED_VALUE"""),"запчастини для техніки та електроніки")</f>
        <v>запчастини для техніки та електроніки</v>
      </c>
      <c r="D3934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4" s="16" t="str">
        <f>IFERROR(__xludf.DUMMYFUNCTION("""COMPUTED_VALUE"""),"запчастини для витяжок")</f>
        <v>запчастини для витяжок</v>
      </c>
      <c r="F3934" s="17">
        <f>IFERROR(__xludf.DUMMYFUNCTION("""COMPUTED_VALUE"""),4.0)</f>
        <v>4</v>
      </c>
      <c r="G3934" s="17" t="str">
        <f>IFERROR(__xludf.DUMMYFUNCTION("""COMPUTED_VALUE"""),"64410")</f>
        <v>64410</v>
      </c>
      <c r="H3934" s="17" t="str">
        <f>IFERROR(__xludf.DUMMYFUNCTION("""COMPUTED_VALUE"""),"запчастини для витяжок")</f>
        <v>запчастини для витяжок</v>
      </c>
      <c r="I3934" s="19">
        <f>IFERROR(__xludf.DUMMYFUNCTION("""COMPUTED_VALUE"""),0.0547)</f>
        <v>0.0547</v>
      </c>
      <c r="J3934" s="19">
        <f>IFERROR(__xludf.DUMMYFUNCTION("""COMPUTED_VALUE"""),0.1093)</f>
        <v>0.1093</v>
      </c>
      <c r="K3934" s="19">
        <f>IFERROR(__xludf.DUMMYFUNCTION("""COMPUTED_VALUE"""),0.1366)</f>
        <v>0.1366</v>
      </c>
      <c r="L3934" s="19">
        <f>IFERROR(__xludf.DUMMYFUNCTION("""COMPUTED_VALUE"""),0.164)</f>
        <v>0.164</v>
      </c>
      <c r="M3934" s="18">
        <f>IFERROR(__xludf.DUMMYFUNCTION("""COMPUTED_VALUE"""),1.8)</f>
        <v>1.8</v>
      </c>
    </row>
    <row r="3935">
      <c r="A3935" s="13" t="str">
        <f>IFERROR(__xludf.DUMMYFUNCTION("""COMPUTED_VALUE"""),"товари")</f>
        <v>товари</v>
      </c>
      <c r="B3935" s="16" t="str">
        <f>IFERROR(__xludf.DUMMYFUNCTION("""COMPUTED_VALUE"""),"техніка та електроніка")</f>
        <v>техніка та електроніка</v>
      </c>
      <c r="C3935" s="16" t="str">
        <f>IFERROR(__xludf.DUMMYFUNCTION("""COMPUTED_VALUE"""),"запчастини для техніки та електроніки")</f>
        <v>запчастини для техніки та електроніки</v>
      </c>
      <c r="D3935" s="16" t="str">
        <f>IFERROR(__xludf.DUMMYFUNCTION("""COMPUTED_VALUE"""),"комплектуючі для відеотехніки")</f>
        <v>комплектуючі для відеотехніки</v>
      </c>
      <c r="E3935" s="16" t="str">
        <f>IFERROR(__xludf.DUMMYFUNCTION("""COMPUTED_VALUE"""),"запчастини для відеопрогравачів")</f>
        <v>запчастини для відеопрогравачів</v>
      </c>
      <c r="F3935" s="17">
        <f>IFERROR(__xludf.DUMMYFUNCTION("""COMPUTED_VALUE"""),4.0)</f>
        <v>4</v>
      </c>
      <c r="G3935" s="17" t="str">
        <f>IFERROR(__xludf.DUMMYFUNCTION("""COMPUTED_VALUE"""),"6440605")</f>
        <v>6440605</v>
      </c>
      <c r="H3935" s="17" t="str">
        <f>IFERROR(__xludf.DUMMYFUNCTION("""COMPUTED_VALUE"""),"запчастини для відеопрогравачів")</f>
        <v>запчастини для відеопрогравачів</v>
      </c>
      <c r="I3935" s="19">
        <f>IFERROR(__xludf.DUMMYFUNCTION("""COMPUTED_VALUE"""),0.0954)</f>
        <v>0.0954</v>
      </c>
      <c r="J3935" s="19">
        <f>IFERROR(__xludf.DUMMYFUNCTION("""COMPUTED_VALUE"""),0.1908)</f>
        <v>0.1908</v>
      </c>
      <c r="K3935" s="19">
        <f>IFERROR(__xludf.DUMMYFUNCTION("""COMPUTED_VALUE"""),0.2385)</f>
        <v>0.2385</v>
      </c>
      <c r="L3935" s="19">
        <f>IFERROR(__xludf.DUMMYFUNCTION("""COMPUTED_VALUE"""),0.2862)</f>
        <v>0.2862</v>
      </c>
      <c r="M3935" s="18">
        <f>IFERROR(__xludf.DUMMYFUNCTION("""COMPUTED_VALUE"""),1.05)</f>
        <v>1.05</v>
      </c>
    </row>
    <row r="3936">
      <c r="A3936" s="13" t="str">
        <f>IFERROR(__xludf.DUMMYFUNCTION("""COMPUTED_VALUE"""),"товари")</f>
        <v>товари</v>
      </c>
      <c r="B3936" s="16" t="str">
        <f>IFERROR(__xludf.DUMMYFUNCTION("""COMPUTED_VALUE"""),"техніка та електроніка")</f>
        <v>техніка та електроніка</v>
      </c>
      <c r="C3936" s="16" t="str">
        <f>IFERROR(__xludf.DUMMYFUNCTION("""COMPUTED_VALUE"""),"запчастини для техніки та електроніки")</f>
        <v>запчастини для техніки та електроніки</v>
      </c>
      <c r="D3936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6" s="16" t="str">
        <f>IFERROR(__xludf.DUMMYFUNCTION("""COMPUTED_VALUE"""),"запчастини для електробритв, машинок для стрижки")</f>
        <v>запчастини для електробритв, машинок для стрижки</v>
      </c>
      <c r="F3936" s="17">
        <f>IFERROR(__xludf.DUMMYFUNCTION("""COMPUTED_VALUE"""),4.0)</f>
        <v>4</v>
      </c>
      <c r="G3936" s="17" t="str">
        <f>IFERROR(__xludf.DUMMYFUNCTION("""COMPUTED_VALUE"""),"64418")</f>
        <v>64418</v>
      </c>
      <c r="H3936" s="17" t="str">
        <f>IFERROR(__xludf.DUMMYFUNCTION("""COMPUTED_VALUE"""),"запчастини для електробритв, машинок для стрижки")</f>
        <v>запчастини для електробритв, машинок для стрижки</v>
      </c>
      <c r="I3936" s="19">
        <f>IFERROR(__xludf.DUMMYFUNCTION("""COMPUTED_VALUE"""),0.0783)</f>
        <v>0.0783</v>
      </c>
      <c r="J3936" s="19">
        <f>IFERROR(__xludf.DUMMYFUNCTION("""COMPUTED_VALUE"""),0.1565)</f>
        <v>0.1565</v>
      </c>
      <c r="K3936" s="19">
        <f>IFERROR(__xludf.DUMMYFUNCTION("""COMPUTED_VALUE"""),0.1956)</f>
        <v>0.1956</v>
      </c>
      <c r="L3936" s="19">
        <f>IFERROR(__xludf.DUMMYFUNCTION("""COMPUTED_VALUE"""),0.2348)</f>
        <v>0.2348</v>
      </c>
      <c r="M3936" s="18">
        <f>IFERROR(__xludf.DUMMYFUNCTION("""COMPUTED_VALUE"""),1.8)</f>
        <v>1.8</v>
      </c>
    </row>
    <row r="3937">
      <c r="A3937" s="13" t="str">
        <f>IFERROR(__xludf.DUMMYFUNCTION("""COMPUTED_VALUE"""),"товари")</f>
        <v>товари</v>
      </c>
      <c r="B3937" s="16" t="str">
        <f>IFERROR(__xludf.DUMMYFUNCTION("""COMPUTED_VALUE"""),"техніка та електроніка")</f>
        <v>техніка та електроніка</v>
      </c>
      <c r="C3937" s="16" t="str">
        <f>IFERROR(__xludf.DUMMYFUNCTION("""COMPUTED_VALUE"""),"запчастини для техніки та електроніки")</f>
        <v>запчастини для техніки та електроніки</v>
      </c>
      <c r="D3937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7" s="16" t="str">
        <f>IFERROR(__xludf.DUMMYFUNCTION("""COMPUTED_VALUE"""),"запчастини для зволожувачів, очищувачів повітря")</f>
        <v>запчастини для зволожувачів, очищувачів повітря</v>
      </c>
      <c r="F3937" s="17">
        <f>IFERROR(__xludf.DUMMYFUNCTION("""COMPUTED_VALUE"""),4.0)</f>
        <v>4</v>
      </c>
      <c r="G3937" s="17" t="str">
        <f>IFERROR(__xludf.DUMMYFUNCTION("""COMPUTED_VALUE"""),"64430")</f>
        <v>64430</v>
      </c>
      <c r="H3937" s="17" t="str">
        <f>IFERROR(__xludf.DUMMYFUNCTION("""COMPUTED_VALUE"""),"запчастини для зволожувачів, очищувачів повітря")</f>
        <v>запчастини для зволожувачів, очищувачів повітря</v>
      </c>
      <c r="I3937" s="19">
        <f>IFERROR(__xludf.DUMMYFUNCTION("""COMPUTED_VALUE"""),0.058)</f>
        <v>0.058</v>
      </c>
      <c r="J3937" s="19">
        <f>IFERROR(__xludf.DUMMYFUNCTION("""COMPUTED_VALUE"""),0.116)</f>
        <v>0.116</v>
      </c>
      <c r="K3937" s="19">
        <f>IFERROR(__xludf.DUMMYFUNCTION("""COMPUTED_VALUE"""),0.145)</f>
        <v>0.145</v>
      </c>
      <c r="L3937" s="19">
        <f>IFERROR(__xludf.DUMMYFUNCTION("""COMPUTED_VALUE"""),0.174)</f>
        <v>0.174</v>
      </c>
      <c r="M3937" s="18">
        <f>IFERROR(__xludf.DUMMYFUNCTION("""COMPUTED_VALUE"""),1.8)</f>
        <v>1.8</v>
      </c>
    </row>
    <row r="3938">
      <c r="A3938" s="13" t="str">
        <f>IFERROR(__xludf.DUMMYFUNCTION("""COMPUTED_VALUE"""),"товари")</f>
        <v>товари</v>
      </c>
      <c r="B3938" s="16" t="str">
        <f>IFERROR(__xludf.DUMMYFUNCTION("""COMPUTED_VALUE"""),"техніка та електроніка")</f>
        <v>техніка та електроніка</v>
      </c>
      <c r="C3938" s="16" t="str">
        <f>IFERROR(__xludf.DUMMYFUNCTION("""COMPUTED_VALUE"""),"запчастини для техніки та електроніки")</f>
        <v>запчастини для техніки та електроніки</v>
      </c>
      <c r="D3938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8" s="16" t="str">
        <f>IFERROR(__xludf.DUMMYFUNCTION("""COMPUTED_VALUE"""),"запчастини для йогуртниць, морозивниць")</f>
        <v>запчастини для йогуртниць, морозивниць</v>
      </c>
      <c r="F3938" s="17">
        <f>IFERROR(__xludf.DUMMYFUNCTION("""COMPUTED_VALUE"""),4.0)</f>
        <v>4</v>
      </c>
      <c r="G3938" s="17" t="str">
        <f>IFERROR(__xludf.DUMMYFUNCTION("""COMPUTED_VALUE"""),"64427")</f>
        <v>64427</v>
      </c>
      <c r="H3938" s="17" t="str">
        <f>IFERROR(__xludf.DUMMYFUNCTION("""COMPUTED_VALUE"""),"запчастини для йогуртниць, морозивниць")</f>
        <v>запчастини для йогуртниць, морозивниць</v>
      </c>
      <c r="I3938" s="19">
        <f>IFERROR(__xludf.DUMMYFUNCTION("""COMPUTED_VALUE"""),0.0741)</f>
        <v>0.0741</v>
      </c>
      <c r="J3938" s="19">
        <f>IFERROR(__xludf.DUMMYFUNCTION("""COMPUTED_VALUE"""),0.1481)</f>
        <v>0.1481</v>
      </c>
      <c r="K3938" s="19">
        <f>IFERROR(__xludf.DUMMYFUNCTION("""COMPUTED_VALUE"""),0.1851)</f>
        <v>0.1851</v>
      </c>
      <c r="L3938" s="19">
        <f>IFERROR(__xludf.DUMMYFUNCTION("""COMPUTED_VALUE"""),0.2222)</f>
        <v>0.2222</v>
      </c>
      <c r="M3938" s="18">
        <f>IFERROR(__xludf.DUMMYFUNCTION("""COMPUTED_VALUE"""),1.8)</f>
        <v>1.8</v>
      </c>
    </row>
    <row r="3939">
      <c r="A3939" s="13" t="str">
        <f>IFERROR(__xludf.DUMMYFUNCTION("""COMPUTED_VALUE"""),"товари")</f>
        <v>товари</v>
      </c>
      <c r="B3939" s="16" t="str">
        <f>IFERROR(__xludf.DUMMYFUNCTION("""COMPUTED_VALUE"""),"техніка та електроніка")</f>
        <v>техніка та електроніка</v>
      </c>
      <c r="C3939" s="16" t="str">
        <f>IFERROR(__xludf.DUMMYFUNCTION("""COMPUTED_VALUE"""),"запчастини для техніки та електроніки")</f>
        <v>запчастини для техніки та електроніки</v>
      </c>
      <c r="D3939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9" s="16" t="str">
        <f>IFERROR(__xludf.DUMMYFUNCTION("""COMPUTED_VALUE"""),"запчастини для кавомашин та кавомолок")</f>
        <v>запчастини для кавомашин та кавомолок</v>
      </c>
      <c r="F3939" s="17">
        <f>IFERROR(__xludf.DUMMYFUNCTION("""COMPUTED_VALUE"""),4.0)</f>
        <v>4</v>
      </c>
      <c r="G3939" s="17" t="str">
        <f>IFERROR(__xludf.DUMMYFUNCTION("""COMPUTED_VALUE"""),"64424")</f>
        <v>64424</v>
      </c>
      <c r="H3939" s="17" t="str">
        <f>IFERROR(__xludf.DUMMYFUNCTION("""COMPUTED_VALUE"""),"запчастини для кавомашин та кавомолок")</f>
        <v>запчастини для кавомашин та кавомолок</v>
      </c>
      <c r="I3939" s="19">
        <f>IFERROR(__xludf.DUMMYFUNCTION("""COMPUTED_VALUE"""),0.064)</f>
        <v>0.064</v>
      </c>
      <c r="J3939" s="19">
        <f>IFERROR(__xludf.DUMMYFUNCTION("""COMPUTED_VALUE"""),0.1279)</f>
        <v>0.1279</v>
      </c>
      <c r="K3939" s="19">
        <f>IFERROR(__xludf.DUMMYFUNCTION("""COMPUTED_VALUE"""),0.1599)</f>
        <v>0.1599</v>
      </c>
      <c r="L3939" s="19">
        <f>IFERROR(__xludf.DUMMYFUNCTION("""COMPUTED_VALUE"""),0.1919)</f>
        <v>0.1919</v>
      </c>
      <c r="M3939" s="18">
        <f>IFERROR(__xludf.DUMMYFUNCTION("""COMPUTED_VALUE"""),1.8)</f>
        <v>1.8</v>
      </c>
    </row>
    <row r="3940">
      <c r="A3940" s="13" t="str">
        <f>IFERROR(__xludf.DUMMYFUNCTION("""COMPUTED_VALUE"""),"товари")</f>
        <v>товари</v>
      </c>
      <c r="B3940" s="16" t="str">
        <f>IFERROR(__xludf.DUMMYFUNCTION("""COMPUTED_VALUE"""),"техніка та електроніка")</f>
        <v>техніка та електроніка</v>
      </c>
      <c r="C3940" s="16" t="str">
        <f>IFERROR(__xludf.DUMMYFUNCTION("""COMPUTED_VALUE"""),"запчастини для техніки та електроніки")</f>
        <v>запчастини для техніки та електроніки</v>
      </c>
      <c r="D3940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0" s="16" t="str">
        <f>IFERROR(__xludf.DUMMYFUNCTION("""COMPUTED_VALUE"""),"запчастини для кухонних комбайнів")</f>
        <v>запчастини для кухонних комбайнів</v>
      </c>
      <c r="F3940" s="17">
        <f>IFERROR(__xludf.DUMMYFUNCTION("""COMPUTED_VALUE"""),4.0)</f>
        <v>4</v>
      </c>
      <c r="G3940" s="17" t="str">
        <f>IFERROR(__xludf.DUMMYFUNCTION("""COMPUTED_VALUE"""),"64425")</f>
        <v>64425</v>
      </c>
      <c r="H3940" s="17" t="str">
        <f>IFERROR(__xludf.DUMMYFUNCTION("""COMPUTED_VALUE"""),"запчастини для кухонних комбайнів")</f>
        <v>запчастини для кухонних комбайнів</v>
      </c>
      <c r="I3940" s="19">
        <f>IFERROR(__xludf.DUMMYFUNCTION("""COMPUTED_VALUE"""),0.0737)</f>
        <v>0.0737</v>
      </c>
      <c r="J3940" s="19">
        <f>IFERROR(__xludf.DUMMYFUNCTION("""COMPUTED_VALUE"""),0.1474)</f>
        <v>0.1474</v>
      </c>
      <c r="K3940" s="19">
        <f>IFERROR(__xludf.DUMMYFUNCTION("""COMPUTED_VALUE"""),0.1843)</f>
        <v>0.1843</v>
      </c>
      <c r="L3940" s="19">
        <f>IFERROR(__xludf.DUMMYFUNCTION("""COMPUTED_VALUE"""),0.2211)</f>
        <v>0.2211</v>
      </c>
      <c r="M3940" s="18">
        <f>IFERROR(__xludf.DUMMYFUNCTION("""COMPUTED_VALUE"""),1.8)</f>
        <v>1.8</v>
      </c>
    </row>
    <row r="3941">
      <c r="A3941" s="13" t="str">
        <f>IFERROR(__xludf.DUMMYFUNCTION("""COMPUTED_VALUE"""),"товари")</f>
        <v>товари</v>
      </c>
      <c r="B3941" s="16" t="str">
        <f>IFERROR(__xludf.DUMMYFUNCTION("""COMPUTED_VALUE"""),"техніка та електроніка")</f>
        <v>техніка та електроніка</v>
      </c>
      <c r="C3941" s="16" t="str">
        <f>IFERROR(__xludf.DUMMYFUNCTION("""COMPUTED_VALUE"""),"запчастини для техніки та електроніки")</f>
        <v>запчастини для техніки та електроніки</v>
      </c>
      <c r="D3941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1" s="16" t="str">
        <f>IFERROR(__xludf.DUMMYFUNCTION("""COMPUTED_VALUE"""),"запчастини для кухонних плит")</f>
        <v>запчастини для кухонних плит</v>
      </c>
      <c r="F3941" s="17">
        <f>IFERROR(__xludf.DUMMYFUNCTION("""COMPUTED_VALUE"""),4.0)</f>
        <v>4</v>
      </c>
      <c r="G3941" s="17" t="str">
        <f>IFERROR(__xludf.DUMMYFUNCTION("""COMPUTED_VALUE"""),"64416")</f>
        <v>64416</v>
      </c>
      <c r="H3941" s="17" t="str">
        <f>IFERROR(__xludf.DUMMYFUNCTION("""COMPUTED_VALUE"""),"запчастини для кухонних плит")</f>
        <v>запчастини для кухонних плит</v>
      </c>
      <c r="I3941" s="19">
        <f>IFERROR(__xludf.DUMMYFUNCTION("""COMPUTED_VALUE"""),0.0534)</f>
        <v>0.0534</v>
      </c>
      <c r="J3941" s="19">
        <f>IFERROR(__xludf.DUMMYFUNCTION("""COMPUTED_VALUE"""),0.1067)</f>
        <v>0.1067</v>
      </c>
      <c r="K3941" s="19">
        <f>IFERROR(__xludf.DUMMYFUNCTION("""COMPUTED_VALUE"""),0.1334)</f>
        <v>0.1334</v>
      </c>
      <c r="L3941" s="19">
        <f>IFERROR(__xludf.DUMMYFUNCTION("""COMPUTED_VALUE"""),0.1601)</f>
        <v>0.1601</v>
      </c>
      <c r="M3941" s="18">
        <f>IFERROR(__xludf.DUMMYFUNCTION("""COMPUTED_VALUE"""),1.8)</f>
        <v>1.8</v>
      </c>
    </row>
    <row r="3942">
      <c r="A3942" s="13" t="str">
        <f>IFERROR(__xludf.DUMMYFUNCTION("""COMPUTED_VALUE"""),"товари")</f>
        <v>товари</v>
      </c>
      <c r="B3942" s="16" t="str">
        <f>IFERROR(__xludf.DUMMYFUNCTION("""COMPUTED_VALUE"""),"техніка та електроніка")</f>
        <v>техніка та електроніка</v>
      </c>
      <c r="C3942" s="16" t="str">
        <f>IFERROR(__xludf.DUMMYFUNCTION("""COMPUTED_VALUE"""),"запчастини для техніки та електроніки")</f>
        <v>запчастини для техніки та електроніки</v>
      </c>
      <c r="D3942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2" s="16" t="str">
        <f>IFERROR(__xludf.DUMMYFUNCTION("""COMPUTED_VALUE"""),"запчастини для м'ясорубок")</f>
        <v>запчастини для м'ясорубок</v>
      </c>
      <c r="F3942" s="17">
        <f>IFERROR(__xludf.DUMMYFUNCTION("""COMPUTED_VALUE"""),4.0)</f>
        <v>4</v>
      </c>
      <c r="G3942" s="17" t="str">
        <f>IFERROR(__xludf.DUMMYFUNCTION("""COMPUTED_VALUE"""),"64421")</f>
        <v>64421</v>
      </c>
      <c r="H3942" s="17" t="str">
        <f>IFERROR(__xludf.DUMMYFUNCTION("""COMPUTED_VALUE"""),"запчастини для м'ясорубок")</f>
        <v>запчастини для м'ясорубок</v>
      </c>
      <c r="I3942" s="19">
        <f>IFERROR(__xludf.DUMMYFUNCTION("""COMPUTED_VALUE"""),0.0741)</f>
        <v>0.0741</v>
      </c>
      <c r="J3942" s="19">
        <f>IFERROR(__xludf.DUMMYFUNCTION("""COMPUTED_VALUE"""),0.1481)</f>
        <v>0.1481</v>
      </c>
      <c r="K3942" s="19">
        <f>IFERROR(__xludf.DUMMYFUNCTION("""COMPUTED_VALUE"""),0.1851)</f>
        <v>0.1851</v>
      </c>
      <c r="L3942" s="19">
        <f>IFERROR(__xludf.DUMMYFUNCTION("""COMPUTED_VALUE"""),0.2222)</f>
        <v>0.2222</v>
      </c>
      <c r="M3942" s="18">
        <f>IFERROR(__xludf.DUMMYFUNCTION("""COMPUTED_VALUE"""),1.8)</f>
        <v>1.8</v>
      </c>
    </row>
    <row r="3943">
      <c r="A3943" s="13" t="str">
        <f>IFERROR(__xludf.DUMMYFUNCTION("""COMPUTED_VALUE"""),"товари")</f>
        <v>товари</v>
      </c>
      <c r="B3943" s="16" t="str">
        <f>IFERROR(__xludf.DUMMYFUNCTION("""COMPUTED_VALUE"""),"техніка та електроніка")</f>
        <v>техніка та електроніка</v>
      </c>
      <c r="C3943" s="16" t="str">
        <f>IFERROR(__xludf.DUMMYFUNCTION("""COMPUTED_VALUE"""),"запчастини для техніки та електроніки")</f>
        <v>запчастини для техніки та електроніки</v>
      </c>
      <c r="D3943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3" s="16" t="str">
        <f>IFERROR(__xludf.DUMMYFUNCTION("""COMPUTED_VALUE"""),"запчастини для мікрохвильових печей")</f>
        <v>запчастини для мікрохвильових печей</v>
      </c>
      <c r="F3943" s="17">
        <f>IFERROR(__xludf.DUMMYFUNCTION("""COMPUTED_VALUE"""),4.0)</f>
        <v>4</v>
      </c>
      <c r="G3943" s="17" t="str">
        <f>IFERROR(__xludf.DUMMYFUNCTION("""COMPUTED_VALUE"""),"64415")</f>
        <v>64415</v>
      </c>
      <c r="H3943" s="17" t="str">
        <f>IFERROR(__xludf.DUMMYFUNCTION("""COMPUTED_VALUE"""),"запчастини для мікрохвильових печей")</f>
        <v>запчастини для мікрохвильових печей</v>
      </c>
      <c r="I3943" s="19">
        <f>IFERROR(__xludf.DUMMYFUNCTION("""COMPUTED_VALUE"""),0.0747)</f>
        <v>0.0747</v>
      </c>
      <c r="J3943" s="19">
        <f>IFERROR(__xludf.DUMMYFUNCTION("""COMPUTED_VALUE"""),0.1494)</f>
        <v>0.1494</v>
      </c>
      <c r="K3943" s="19">
        <f>IFERROR(__xludf.DUMMYFUNCTION("""COMPUTED_VALUE"""),0.1868)</f>
        <v>0.1868</v>
      </c>
      <c r="L3943" s="19">
        <f>IFERROR(__xludf.DUMMYFUNCTION("""COMPUTED_VALUE"""),0.2241)</f>
        <v>0.2241</v>
      </c>
      <c r="M3943" s="18">
        <f>IFERROR(__xludf.DUMMYFUNCTION("""COMPUTED_VALUE"""),1.8)</f>
        <v>1.8</v>
      </c>
    </row>
    <row r="3944">
      <c r="A3944" s="13" t="str">
        <f>IFERROR(__xludf.DUMMYFUNCTION("""COMPUTED_VALUE"""),"товари")</f>
        <v>товари</v>
      </c>
      <c r="B3944" s="16" t="str">
        <f>IFERROR(__xludf.DUMMYFUNCTION("""COMPUTED_VALUE"""),"техніка та електроніка")</f>
        <v>техніка та електроніка</v>
      </c>
      <c r="C3944" s="16" t="str">
        <f>IFERROR(__xludf.DUMMYFUNCTION("""COMPUTED_VALUE"""),"запчастини для техніки та електроніки")</f>
        <v>запчастини для техніки та електроніки</v>
      </c>
      <c r="D3944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4" s="16" t="str">
        <f>IFERROR(__xludf.DUMMYFUNCTION("""COMPUTED_VALUE"""),"запчастини для мультиварок і мультипечей")</f>
        <v>запчастини для мультиварок і мультипечей</v>
      </c>
      <c r="F3944" s="17">
        <f>IFERROR(__xludf.DUMMYFUNCTION("""COMPUTED_VALUE"""),4.0)</f>
        <v>4</v>
      </c>
      <c r="G3944" s="17" t="str">
        <f>IFERROR(__xludf.DUMMYFUNCTION("""COMPUTED_VALUE"""),"64422")</f>
        <v>64422</v>
      </c>
      <c r="H3944" s="17" t="str">
        <f>IFERROR(__xludf.DUMMYFUNCTION("""COMPUTED_VALUE"""),"запчастини для мультиварок і мультипечей")</f>
        <v>запчастини для мультиварок і мультипечей</v>
      </c>
      <c r="I3944" s="19">
        <f>IFERROR(__xludf.DUMMYFUNCTION("""COMPUTED_VALUE"""),0.078)</f>
        <v>0.078</v>
      </c>
      <c r="J3944" s="19">
        <f>IFERROR(__xludf.DUMMYFUNCTION("""COMPUTED_VALUE"""),0.1559)</f>
        <v>0.1559</v>
      </c>
      <c r="K3944" s="19">
        <f>IFERROR(__xludf.DUMMYFUNCTION("""COMPUTED_VALUE"""),0.1949)</f>
        <v>0.1949</v>
      </c>
      <c r="L3944" s="19">
        <f>IFERROR(__xludf.DUMMYFUNCTION("""COMPUTED_VALUE"""),0.2339)</f>
        <v>0.2339</v>
      </c>
      <c r="M3944" s="18">
        <f>IFERROR(__xludf.DUMMYFUNCTION("""COMPUTED_VALUE"""),1.8)</f>
        <v>1.8</v>
      </c>
    </row>
    <row r="3945">
      <c r="A3945" s="13" t="str">
        <f>IFERROR(__xludf.DUMMYFUNCTION("""COMPUTED_VALUE"""),"товари")</f>
        <v>товари</v>
      </c>
      <c r="B3945" s="16" t="str">
        <f>IFERROR(__xludf.DUMMYFUNCTION("""COMPUTED_VALUE"""),"техніка та електроніка")</f>
        <v>техніка та електроніка</v>
      </c>
      <c r="C3945" s="16" t="str">
        <f>IFERROR(__xludf.DUMMYFUNCTION("""COMPUTED_VALUE"""),"запчастини для техніки та електроніки")</f>
        <v>запчастини для техніки та електроніки</v>
      </c>
      <c r="D3945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5" s="16" t="str">
        <f>IFERROR(__xludf.DUMMYFUNCTION("""COMPUTED_VALUE"""),"запчастини для обігрівачів та вентиляторів")</f>
        <v>запчастини для обігрівачів та вентиляторів</v>
      </c>
      <c r="F3945" s="17">
        <f>IFERROR(__xludf.DUMMYFUNCTION("""COMPUTED_VALUE"""),4.0)</f>
        <v>4</v>
      </c>
      <c r="G3945" s="17" t="str">
        <f>IFERROR(__xludf.DUMMYFUNCTION("""COMPUTED_VALUE"""),"13240125")</f>
        <v>13240125</v>
      </c>
      <c r="H3945" s="17" t="str">
        <f>IFERROR(__xludf.DUMMYFUNCTION("""COMPUTED_VALUE"""),"запчастини для обігрівачів та вентиляторів")</f>
        <v>запчастини для обігрівачів та вентиляторів</v>
      </c>
      <c r="I3945" s="19">
        <f>IFERROR(__xludf.DUMMYFUNCTION("""COMPUTED_VALUE"""),0.0555)</f>
        <v>0.0555</v>
      </c>
      <c r="J3945" s="19">
        <f>IFERROR(__xludf.DUMMYFUNCTION("""COMPUTED_VALUE"""),0.111)</f>
        <v>0.111</v>
      </c>
      <c r="K3945" s="19">
        <f>IFERROR(__xludf.DUMMYFUNCTION("""COMPUTED_VALUE"""),0.1388)</f>
        <v>0.1388</v>
      </c>
      <c r="L3945" s="19">
        <f>IFERROR(__xludf.DUMMYFUNCTION("""COMPUTED_VALUE"""),0.1665)</f>
        <v>0.1665</v>
      </c>
      <c r="M3945" s="18">
        <f>IFERROR(__xludf.DUMMYFUNCTION("""COMPUTED_VALUE"""),1.8)</f>
        <v>1.8</v>
      </c>
    </row>
    <row r="3946">
      <c r="A3946" s="13" t="str">
        <f>IFERROR(__xludf.DUMMYFUNCTION("""COMPUTED_VALUE"""),"товари")</f>
        <v>товари</v>
      </c>
      <c r="B3946" s="16" t="str">
        <f>IFERROR(__xludf.DUMMYFUNCTION("""COMPUTED_VALUE"""),"техніка та електроніка")</f>
        <v>техніка та електроніка</v>
      </c>
      <c r="C3946" s="16" t="str">
        <f>IFERROR(__xludf.DUMMYFUNCTION("""COMPUTED_VALUE"""),"запчастини для техніки та електроніки")</f>
        <v>запчастини для техніки та електроніки</v>
      </c>
      <c r="D3946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6" s="16" t="str">
        <f>IFERROR(__xludf.DUMMYFUNCTION("""COMPUTED_VALUE"""),"запчастини для пилососів, пароочисників")</f>
        <v>запчастини для пилососів, пароочисників</v>
      </c>
      <c r="F3946" s="17">
        <f>IFERROR(__xludf.DUMMYFUNCTION("""COMPUTED_VALUE"""),4.0)</f>
        <v>4</v>
      </c>
      <c r="G3946" s="17" t="str">
        <f>IFERROR(__xludf.DUMMYFUNCTION("""COMPUTED_VALUE"""),"64404")</f>
        <v>64404</v>
      </c>
      <c r="H3946" s="17" t="str">
        <f>IFERROR(__xludf.DUMMYFUNCTION("""COMPUTED_VALUE"""),"запчастини для пилососів, пароочисників")</f>
        <v>запчастини для пилососів, пароочисників</v>
      </c>
      <c r="I3946" s="19">
        <f>IFERROR(__xludf.DUMMYFUNCTION("""COMPUTED_VALUE"""),0.0754)</f>
        <v>0.0754</v>
      </c>
      <c r="J3946" s="19">
        <f>IFERROR(__xludf.DUMMYFUNCTION("""COMPUTED_VALUE"""),0.1507)</f>
        <v>0.1507</v>
      </c>
      <c r="K3946" s="19">
        <f>IFERROR(__xludf.DUMMYFUNCTION("""COMPUTED_VALUE"""),0.1884)</f>
        <v>0.1884</v>
      </c>
      <c r="L3946" s="19">
        <f>IFERROR(__xludf.DUMMYFUNCTION("""COMPUTED_VALUE"""),0.2261)</f>
        <v>0.2261</v>
      </c>
      <c r="M3946" s="18">
        <f>IFERROR(__xludf.DUMMYFUNCTION("""COMPUTED_VALUE"""),1.8)</f>
        <v>1.8</v>
      </c>
    </row>
    <row r="3947">
      <c r="A3947" s="13" t="str">
        <f>IFERROR(__xludf.DUMMYFUNCTION("""COMPUTED_VALUE"""),"товари")</f>
        <v>товари</v>
      </c>
      <c r="B3947" s="16" t="str">
        <f>IFERROR(__xludf.DUMMYFUNCTION("""COMPUTED_VALUE"""),"техніка та електроніка")</f>
        <v>техніка та електроніка</v>
      </c>
      <c r="C3947" s="16" t="str">
        <f>IFERROR(__xludf.DUMMYFUNCTION("""COMPUTED_VALUE"""),"запчастини для техніки та електроніки")</f>
        <v>запчастини для техніки та електроніки</v>
      </c>
      <c r="D3947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7" s="16" t="str">
        <f>IFERROR(__xludf.DUMMYFUNCTION("""COMPUTED_VALUE"""),"запчастини для побутових скиборізок")</f>
        <v>запчастини для побутових скиборізок</v>
      </c>
      <c r="F3947" s="17">
        <f>IFERROR(__xludf.DUMMYFUNCTION("""COMPUTED_VALUE"""),4.0)</f>
        <v>4</v>
      </c>
      <c r="G3947" s="17" t="str">
        <f>IFERROR(__xludf.DUMMYFUNCTION("""COMPUTED_VALUE"""),"64434")</f>
        <v>64434</v>
      </c>
      <c r="H3947" s="17" t="str">
        <f>IFERROR(__xludf.DUMMYFUNCTION("""COMPUTED_VALUE"""),"запчастини для побутових скиборізок")</f>
        <v>запчастини для побутових скиборізок</v>
      </c>
      <c r="I3947" s="19">
        <f>IFERROR(__xludf.DUMMYFUNCTION("""COMPUTED_VALUE"""),0.0638)</f>
        <v>0.0638</v>
      </c>
      <c r="J3947" s="19">
        <f>IFERROR(__xludf.DUMMYFUNCTION("""COMPUTED_VALUE"""),0.1275)</f>
        <v>0.1275</v>
      </c>
      <c r="K3947" s="19">
        <f>IFERROR(__xludf.DUMMYFUNCTION("""COMPUTED_VALUE"""),0.1594)</f>
        <v>0.1594</v>
      </c>
      <c r="L3947" s="19">
        <f>IFERROR(__xludf.DUMMYFUNCTION("""COMPUTED_VALUE"""),0.1913)</f>
        <v>0.1913</v>
      </c>
      <c r="M3947" s="18">
        <f>IFERROR(__xludf.DUMMYFUNCTION("""COMPUTED_VALUE"""),1.8)</f>
        <v>1.8</v>
      </c>
    </row>
    <row r="3948">
      <c r="A3948" s="13" t="str">
        <f>IFERROR(__xludf.DUMMYFUNCTION("""COMPUTED_VALUE"""),"товари")</f>
        <v>товари</v>
      </c>
      <c r="B3948" s="16" t="str">
        <f>IFERROR(__xludf.DUMMYFUNCTION("""COMPUTED_VALUE"""),"техніка та електроніка")</f>
        <v>техніка та електроніка</v>
      </c>
      <c r="C3948" s="16" t="str">
        <f>IFERROR(__xludf.DUMMYFUNCTION("""COMPUTED_VALUE"""),"запчастини для техніки та електроніки")</f>
        <v>запчастини для техніки та електроніки</v>
      </c>
      <c r="D3948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8" s="16" t="str">
        <f>IFERROR(__xludf.DUMMYFUNCTION("""COMPUTED_VALUE"""),"запчастини для побутових швейних машин")</f>
        <v>запчастини для побутових швейних машин</v>
      </c>
      <c r="F3948" s="17">
        <f>IFERROR(__xludf.DUMMYFUNCTION("""COMPUTED_VALUE"""),4.0)</f>
        <v>4</v>
      </c>
      <c r="G3948" s="17" t="str">
        <f>IFERROR(__xludf.DUMMYFUNCTION("""COMPUTED_VALUE"""),"64417")</f>
        <v>64417</v>
      </c>
      <c r="H3948" s="17" t="str">
        <f>IFERROR(__xludf.DUMMYFUNCTION("""COMPUTED_VALUE"""),"запчастини для побутових швейних машин")</f>
        <v>запчастини для побутових швейних машин</v>
      </c>
      <c r="I3948" s="19">
        <f>IFERROR(__xludf.DUMMYFUNCTION("""COMPUTED_VALUE"""),0.0773)</f>
        <v>0.0773</v>
      </c>
      <c r="J3948" s="19">
        <f>IFERROR(__xludf.DUMMYFUNCTION("""COMPUTED_VALUE"""),0.1546)</f>
        <v>0.1546</v>
      </c>
      <c r="K3948" s="19">
        <f>IFERROR(__xludf.DUMMYFUNCTION("""COMPUTED_VALUE"""),0.1933)</f>
        <v>0.1933</v>
      </c>
      <c r="L3948" s="19">
        <f>IFERROR(__xludf.DUMMYFUNCTION("""COMPUTED_VALUE"""),0.2319)</f>
        <v>0.2319</v>
      </c>
      <c r="M3948" s="18">
        <f>IFERROR(__xludf.DUMMYFUNCTION("""COMPUTED_VALUE"""),1.8)</f>
        <v>1.8</v>
      </c>
    </row>
    <row r="3949">
      <c r="A3949" s="13" t="str">
        <f>IFERROR(__xludf.DUMMYFUNCTION("""COMPUTED_VALUE"""),"товари")</f>
        <v>товари</v>
      </c>
      <c r="B3949" s="16" t="str">
        <f>IFERROR(__xludf.DUMMYFUNCTION("""COMPUTED_VALUE"""),"техніка та електроніка")</f>
        <v>техніка та електроніка</v>
      </c>
      <c r="C3949" s="16" t="str">
        <f>IFERROR(__xludf.DUMMYFUNCTION("""COMPUTED_VALUE"""),"запчастини для техніки та електроніки")</f>
        <v>запчастини для техніки та електроніки</v>
      </c>
      <c r="D3949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9" s="16" t="str">
        <f>IFERROR(__xludf.DUMMYFUNCTION("""COMPUTED_VALUE"""),"запчастини для посудомийних машин")</f>
        <v>запчастини для посудомийних машин</v>
      </c>
      <c r="F3949" s="17">
        <f>IFERROR(__xludf.DUMMYFUNCTION("""COMPUTED_VALUE"""),4.0)</f>
        <v>4</v>
      </c>
      <c r="G3949" s="17" t="str">
        <f>IFERROR(__xludf.DUMMYFUNCTION("""COMPUTED_VALUE"""),"64408")</f>
        <v>64408</v>
      </c>
      <c r="H3949" s="17" t="str">
        <f>IFERROR(__xludf.DUMMYFUNCTION("""COMPUTED_VALUE"""),"запчастини для посудомийних машин")</f>
        <v>запчастини для посудомийних машин</v>
      </c>
      <c r="I3949" s="19">
        <f>IFERROR(__xludf.DUMMYFUNCTION("""COMPUTED_VALUE"""),0.058)</f>
        <v>0.058</v>
      </c>
      <c r="J3949" s="19">
        <f>IFERROR(__xludf.DUMMYFUNCTION("""COMPUTED_VALUE"""),0.116)</f>
        <v>0.116</v>
      </c>
      <c r="K3949" s="19">
        <f>IFERROR(__xludf.DUMMYFUNCTION("""COMPUTED_VALUE"""),0.145)</f>
        <v>0.145</v>
      </c>
      <c r="L3949" s="19">
        <f>IFERROR(__xludf.DUMMYFUNCTION("""COMPUTED_VALUE"""),0.174)</f>
        <v>0.174</v>
      </c>
      <c r="M3949" s="18">
        <f>IFERROR(__xludf.DUMMYFUNCTION("""COMPUTED_VALUE"""),1.8)</f>
        <v>1.8</v>
      </c>
    </row>
    <row r="3950">
      <c r="A3950" s="13" t="str">
        <f>IFERROR(__xludf.DUMMYFUNCTION("""COMPUTED_VALUE"""),"товари")</f>
        <v>товари</v>
      </c>
      <c r="B3950" s="16" t="str">
        <f>IFERROR(__xludf.DUMMYFUNCTION("""COMPUTED_VALUE"""),"техніка та електроніка")</f>
        <v>техніка та електроніка</v>
      </c>
      <c r="C3950" s="16" t="str">
        <f>IFERROR(__xludf.DUMMYFUNCTION("""COMPUTED_VALUE"""),"запчастини для техніки та електроніки")</f>
        <v>запчастини для техніки та електроніки</v>
      </c>
      <c r="D3950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50" s="16" t="str">
        <f>IFERROR(__xludf.DUMMYFUNCTION("""COMPUTED_VALUE"""),"запчастини для пральних та сушильних машин")</f>
        <v>запчастини для пральних та сушильних машин</v>
      </c>
      <c r="F3950" s="17">
        <f>IFERROR(__xludf.DUMMYFUNCTION("""COMPUTED_VALUE"""),4.0)</f>
        <v>4</v>
      </c>
      <c r="G3950" s="17" t="str">
        <f>IFERROR(__xludf.DUMMYFUNCTION("""COMPUTED_VALUE"""),"64403")</f>
        <v>64403</v>
      </c>
      <c r="H3950" s="17" t="str">
        <f>IFERROR(__xludf.DUMMYFUNCTION("""COMPUTED_VALUE"""),"запчастини для пральних та сушильних машин")</f>
        <v>запчастини для пральних та сушильних машин</v>
      </c>
      <c r="I3950" s="19">
        <f>IFERROR(__xludf.DUMMYFUNCTION("""COMPUTED_VALUE"""),0.0544)</f>
        <v>0.0544</v>
      </c>
      <c r="J3950" s="19">
        <f>IFERROR(__xludf.DUMMYFUNCTION("""COMPUTED_VALUE"""),0.1087)</f>
        <v>0.1087</v>
      </c>
      <c r="K3950" s="19">
        <f>IFERROR(__xludf.DUMMYFUNCTION("""COMPUTED_VALUE"""),0.1359)</f>
        <v>0.1359</v>
      </c>
      <c r="L3950" s="19">
        <f>IFERROR(__xludf.DUMMYFUNCTION("""COMPUTED_VALUE"""),0.1631)</f>
        <v>0.1631</v>
      </c>
      <c r="M3950" s="18">
        <f>IFERROR(__xludf.DUMMYFUNCTION("""COMPUTED_VALUE"""),1.8)</f>
        <v>1.8</v>
      </c>
    </row>
    <row r="3951">
      <c r="A3951" s="13" t="str">
        <f>IFERROR(__xludf.DUMMYFUNCTION("""COMPUTED_VALUE"""),"товари")</f>
        <v>товари</v>
      </c>
      <c r="B3951" s="16" t="str">
        <f>IFERROR(__xludf.DUMMYFUNCTION("""COMPUTED_VALUE"""),"техніка та електроніка")</f>
        <v>техніка та електроніка</v>
      </c>
      <c r="C3951" s="16" t="str">
        <f>IFERROR(__xludf.DUMMYFUNCTION("""COMPUTED_VALUE"""),"запчастини для техніки та електроніки")</f>
        <v>запчастини для техніки та електроніки</v>
      </c>
      <c r="D3951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51" s="16" t="str">
        <f>IFERROR(__xludf.DUMMYFUNCTION("""COMPUTED_VALUE"""),"запчастини для прасок")</f>
        <v>запчастини для прасок</v>
      </c>
      <c r="F3951" s="17">
        <f>IFERROR(__xludf.DUMMYFUNCTION("""COMPUTED_VALUE"""),4.0)</f>
        <v>4</v>
      </c>
      <c r="G3951" s="17" t="str">
        <f>IFERROR(__xludf.DUMMYFUNCTION("""COMPUTED_VALUE"""),"64419")</f>
        <v>64419</v>
      </c>
      <c r="H3951" s="17" t="str">
        <f>IFERROR(__xludf.DUMMYFUNCTION("""COMPUTED_VALUE"""),"запчастини для прасок")</f>
        <v>запчастини для прасок</v>
      </c>
      <c r="I3951" s="19">
        <f>IFERROR(__xludf.DUMMYFUNCTION("""COMPUTED_VALUE"""),0.0783)</f>
        <v>0.0783</v>
      </c>
      <c r="J3951" s="19">
        <f>IFERROR(__xludf.DUMMYFUNCTION("""COMPUTED_VALUE"""),0.1565)</f>
        <v>0.1565</v>
      </c>
      <c r="K3951" s="19">
        <f>IFERROR(__xludf.DUMMYFUNCTION("""COMPUTED_VALUE"""),0.1956)</f>
        <v>0.1956</v>
      </c>
      <c r="L3951" s="19">
        <f>IFERROR(__xludf.DUMMYFUNCTION("""COMPUTED_VALUE"""),0.2348)</f>
        <v>0.2348</v>
      </c>
      <c r="M3951" s="18">
        <f>IFERROR(__xludf.DUMMYFUNCTION("""COMPUTED_VALUE"""),1.8)</f>
        <v>1.8</v>
      </c>
    </row>
    <row r="3952">
      <c r="A3952" s="13" t="str">
        <f>IFERROR(__xludf.DUMMYFUNCTION("""COMPUTED_VALUE"""),"товари")</f>
        <v>товари</v>
      </c>
      <c r="B3952" s="16" t="str">
        <f>IFERROR(__xludf.DUMMYFUNCTION("""COMPUTED_VALUE"""),"техніка та електроніка")</f>
        <v>техніка та електроніка</v>
      </c>
      <c r="C3952" s="16" t="str">
        <f>IFERROR(__xludf.DUMMYFUNCTION("""COMPUTED_VALUE"""),"запчастини для техніки та електроніки")</f>
        <v>запчастини для техніки та електроніки</v>
      </c>
      <c r="D3952" s="16" t="str">
        <f>IFERROR(__xludf.DUMMYFUNCTION("""COMPUTED_VALUE"""),"комплектуючі для відеотехніки")</f>
        <v>комплектуючі для відеотехніки</v>
      </c>
      <c r="E3952" s="16" t="str">
        <f>IFERROR(__xludf.DUMMYFUNCTION("""COMPUTED_VALUE"""),"запчастини для проекторів")</f>
        <v>запчастини для проекторів</v>
      </c>
      <c r="F3952" s="17">
        <f>IFERROR(__xludf.DUMMYFUNCTION("""COMPUTED_VALUE"""),4.0)</f>
        <v>4</v>
      </c>
      <c r="G3952" s="17" t="str">
        <f>IFERROR(__xludf.DUMMYFUNCTION("""COMPUTED_VALUE"""),"6440602")</f>
        <v>6440602</v>
      </c>
      <c r="H3952" s="17" t="str">
        <f>IFERROR(__xludf.DUMMYFUNCTION("""COMPUTED_VALUE"""),"запчастини для проекторів")</f>
        <v>запчастини для проекторів</v>
      </c>
      <c r="I3952" s="19">
        <f>IFERROR(__xludf.DUMMYFUNCTION("""COMPUTED_VALUE"""),0.0814)</f>
        <v>0.0814</v>
      </c>
      <c r="J3952" s="19">
        <f>IFERROR(__xludf.DUMMYFUNCTION("""COMPUTED_VALUE"""),0.1628)</f>
        <v>0.1628</v>
      </c>
      <c r="K3952" s="19">
        <f>IFERROR(__xludf.DUMMYFUNCTION("""COMPUTED_VALUE"""),0.2035)</f>
        <v>0.2035</v>
      </c>
      <c r="L3952" s="19">
        <f>IFERROR(__xludf.DUMMYFUNCTION("""COMPUTED_VALUE"""),0.2442)</f>
        <v>0.2442</v>
      </c>
      <c r="M3952" s="18">
        <f>IFERROR(__xludf.DUMMYFUNCTION("""COMPUTED_VALUE"""),1.05)</f>
        <v>1.05</v>
      </c>
    </row>
    <row r="3953">
      <c r="A3953" s="13" t="str">
        <f>IFERROR(__xludf.DUMMYFUNCTION("""COMPUTED_VALUE"""),"товари")</f>
        <v>товари</v>
      </c>
      <c r="B3953" s="16" t="str">
        <f>IFERROR(__xludf.DUMMYFUNCTION("""COMPUTED_VALUE"""),"техніка та електроніка")</f>
        <v>техніка та електроніка</v>
      </c>
      <c r="C3953" s="16" t="str">
        <f>IFERROR(__xludf.DUMMYFUNCTION("""COMPUTED_VALUE"""),"запчастини для техніки та електроніки")</f>
        <v>запчастини для техніки та електроніки</v>
      </c>
      <c r="D3953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53" s="16" t="str">
        <f>IFERROR(__xludf.DUMMYFUNCTION("""COMPUTED_VALUE"""),"запчастини для соковитискачів ")</f>
        <v>запчастини для соковитискачів </v>
      </c>
      <c r="F3953" s="17">
        <f>IFERROR(__xludf.DUMMYFUNCTION("""COMPUTED_VALUE"""),4.0)</f>
        <v>4</v>
      </c>
      <c r="G3953" s="17" t="str">
        <f>IFERROR(__xludf.DUMMYFUNCTION("""COMPUTED_VALUE"""),"64423")</f>
        <v>64423</v>
      </c>
      <c r="H3953" s="17" t="str">
        <f>IFERROR(__xludf.DUMMYFUNCTION("""COMPUTED_VALUE"""),"запчастини для соковитискачів ")</f>
        <v>запчастини для соковитискачів </v>
      </c>
      <c r="I3953" s="19">
        <f>IFERROR(__xludf.DUMMYFUNCTION("""COMPUTED_VALUE"""),0.0754)</f>
        <v>0.0754</v>
      </c>
      <c r="J3953" s="19">
        <f>IFERROR(__xludf.DUMMYFUNCTION("""COMPUTED_VALUE"""),0.1507)</f>
        <v>0.1507</v>
      </c>
      <c r="K3953" s="19">
        <f>IFERROR(__xludf.DUMMYFUNCTION("""COMPUTED_VALUE"""),0.1884)</f>
        <v>0.1884</v>
      </c>
      <c r="L3953" s="19">
        <f>IFERROR(__xludf.DUMMYFUNCTION("""COMPUTED_VALUE"""),0.2261)</f>
        <v>0.2261</v>
      </c>
      <c r="M3953" s="18">
        <f>IFERROR(__xludf.DUMMYFUNCTION("""COMPUTED_VALUE"""),1.8)</f>
        <v>1.8</v>
      </c>
    </row>
    <row r="3954">
      <c r="A3954" s="13" t="str">
        <f>IFERROR(__xludf.DUMMYFUNCTION("""COMPUTED_VALUE"""),"товари")</f>
        <v>товари</v>
      </c>
      <c r="B3954" s="16" t="str">
        <f>IFERROR(__xludf.DUMMYFUNCTION("""COMPUTED_VALUE"""),"техніка та електроніка")</f>
        <v>техніка та електроніка</v>
      </c>
      <c r="C3954" s="16" t="str">
        <f>IFERROR(__xludf.DUMMYFUNCTION("""COMPUTED_VALUE"""),"tv та відеотехніка")</f>
        <v>tv та відеотехніка</v>
      </c>
      <c r="D3954" s="16" t="str">
        <f>IFERROR(__xludf.DUMMYFUNCTION("""COMPUTED_VALUE"""),"супутникове, кабельне телебачення")</f>
        <v>супутникове, кабельне телебачення</v>
      </c>
      <c r="E3954" s="16" t="str">
        <f>IFERROR(__xludf.DUMMYFUNCTION("""COMPUTED_VALUE"""),"запчастини для супутникового обладнання")</f>
        <v>запчастини для супутникового обладнання</v>
      </c>
      <c r="F3954" s="17">
        <f>IFERROR(__xludf.DUMMYFUNCTION("""COMPUTED_VALUE"""),4.0)</f>
        <v>4</v>
      </c>
      <c r="G3954" s="17" t="str">
        <f>IFERROR(__xludf.DUMMYFUNCTION("""COMPUTED_VALUE"""),"6371707")</f>
        <v>6371707</v>
      </c>
      <c r="H3954" s="17" t="str">
        <f>IFERROR(__xludf.DUMMYFUNCTION("""COMPUTED_VALUE"""),"запчастини для супутникового обладнання")</f>
        <v>запчастини для супутникового обладнання</v>
      </c>
      <c r="I3954" s="19">
        <f>IFERROR(__xludf.DUMMYFUNCTION("""COMPUTED_VALUE"""),0.0964)</f>
        <v>0.0964</v>
      </c>
      <c r="J3954" s="19">
        <f>IFERROR(__xludf.DUMMYFUNCTION("""COMPUTED_VALUE"""),0.1928)</f>
        <v>0.1928</v>
      </c>
      <c r="K3954" s="19">
        <f>IFERROR(__xludf.DUMMYFUNCTION("""COMPUTED_VALUE"""),0.241)</f>
        <v>0.241</v>
      </c>
      <c r="L3954" s="19">
        <f>IFERROR(__xludf.DUMMYFUNCTION("""COMPUTED_VALUE"""),0.2892)</f>
        <v>0.2892</v>
      </c>
      <c r="M3954" s="18">
        <f>IFERROR(__xludf.DUMMYFUNCTION("""COMPUTED_VALUE"""),1.53)</f>
        <v>1.53</v>
      </c>
    </row>
    <row r="3955">
      <c r="A3955" s="13" t="str">
        <f>IFERROR(__xludf.DUMMYFUNCTION("""COMPUTED_VALUE"""),"товари")</f>
        <v>товари</v>
      </c>
      <c r="B3955" s="16" t="str">
        <f>IFERROR(__xludf.DUMMYFUNCTION("""COMPUTED_VALUE"""),"техніка та електроніка")</f>
        <v>техніка та електроніка</v>
      </c>
      <c r="C3955" s="16" t="str">
        <f>IFERROR(__xludf.DUMMYFUNCTION("""COMPUTED_VALUE"""),"запчастини для техніки та електроніки")</f>
        <v>запчастини для техніки та електроніки</v>
      </c>
      <c r="D3955" s="16" t="str">
        <f>IFERROR(__xludf.DUMMYFUNCTION("""COMPUTED_VALUE"""),"комплектуючі для відеотехніки")</f>
        <v>комплектуючі для відеотехніки</v>
      </c>
      <c r="E3955" s="16" t="str">
        <f>IFERROR(__xludf.DUMMYFUNCTION("""COMPUTED_VALUE"""),"запчастини для телевізорів та моніторів")</f>
        <v>запчастини для телевізорів та моніторів</v>
      </c>
      <c r="F3955" s="17">
        <f>IFERROR(__xludf.DUMMYFUNCTION("""COMPUTED_VALUE"""),4.0)</f>
        <v>4</v>
      </c>
      <c r="G3955" s="17" t="str">
        <f>IFERROR(__xludf.DUMMYFUNCTION("""COMPUTED_VALUE"""),"6440601")</f>
        <v>6440601</v>
      </c>
      <c r="H3955" s="17" t="str">
        <f>IFERROR(__xludf.DUMMYFUNCTION("""COMPUTED_VALUE"""),"запчастини для телевізорів та моніторів")</f>
        <v>запчастини для телевізорів та моніторів</v>
      </c>
      <c r="I3955" s="19">
        <f>IFERROR(__xludf.DUMMYFUNCTION("""COMPUTED_VALUE"""),0.0954)</f>
        <v>0.0954</v>
      </c>
      <c r="J3955" s="19">
        <f>IFERROR(__xludf.DUMMYFUNCTION("""COMPUTED_VALUE"""),0.1908)</f>
        <v>0.1908</v>
      </c>
      <c r="K3955" s="19">
        <f>IFERROR(__xludf.DUMMYFUNCTION("""COMPUTED_VALUE"""),0.2385)</f>
        <v>0.2385</v>
      </c>
      <c r="L3955" s="19">
        <f>IFERROR(__xludf.DUMMYFUNCTION("""COMPUTED_VALUE"""),0.2862)</f>
        <v>0.2862</v>
      </c>
      <c r="M3955" s="18">
        <f>IFERROR(__xludf.DUMMYFUNCTION("""COMPUTED_VALUE"""),1.05)</f>
        <v>1.05</v>
      </c>
    </row>
    <row r="3956">
      <c r="A3956" s="13" t="str">
        <f>IFERROR(__xludf.DUMMYFUNCTION("""COMPUTED_VALUE"""),"товари")</f>
        <v>товари</v>
      </c>
      <c r="B3956" s="16" t="str">
        <f>IFERROR(__xludf.DUMMYFUNCTION("""COMPUTED_VALUE"""),"техніка та електроніка")</f>
        <v>техніка та електроніка</v>
      </c>
      <c r="C3956" s="16" t="str">
        <f>IFERROR(__xludf.DUMMYFUNCTION("""COMPUTED_VALUE"""),"запчастини для техніки та електроніки")</f>
        <v>запчастини для техніки та електроніки</v>
      </c>
      <c r="D3956" s="16" t="str">
        <f>IFERROR(__xludf.DUMMYFUNCTION("""COMPUTED_VALUE"""),"запчастини для техніки та електроніки, загальне")</f>
        <v>запчастини для техніки та електроніки, загальне</v>
      </c>
      <c r="E3956" s="16" t="str">
        <f>IFERROR(__xludf.DUMMYFUNCTION("""COMPUTED_VALUE"""),"запчастини для техніки та електроніки, загальне")</f>
        <v>запчастини для техніки та електроніки, загальне</v>
      </c>
      <c r="F3956" s="17">
        <f>IFERROR(__xludf.DUMMYFUNCTION("""COMPUTED_VALUE"""),3.0)</f>
        <v>3</v>
      </c>
      <c r="G3956" s="17" t="str">
        <f>IFERROR(__xludf.DUMMYFUNCTION("""COMPUTED_VALUE"""),"500601")</f>
        <v>500601</v>
      </c>
      <c r="H3956" s="17" t="str">
        <f>IFERROR(__xludf.DUMMYFUNCTION("""COMPUTED_VALUE"""),"запчастини для техніки та електроніки, загальне")</f>
        <v>запчастини для техніки та електроніки, загальне</v>
      </c>
      <c r="I3956" s="19">
        <f>IFERROR(__xludf.DUMMYFUNCTION("""COMPUTED_VALUE"""),0.125)</f>
        <v>0.125</v>
      </c>
      <c r="J3956" s="19">
        <f>IFERROR(__xludf.DUMMYFUNCTION("""COMPUTED_VALUE"""),0.25)</f>
        <v>0.25</v>
      </c>
      <c r="K3956" s="19">
        <f>IFERROR(__xludf.DUMMYFUNCTION("""COMPUTED_VALUE"""),0.3125)</f>
        <v>0.3125</v>
      </c>
      <c r="L3956" s="19">
        <f>IFERROR(__xludf.DUMMYFUNCTION("""COMPUTED_VALUE"""),0.375)</f>
        <v>0.375</v>
      </c>
      <c r="M3956" s="18">
        <f>IFERROR(__xludf.DUMMYFUNCTION("""COMPUTED_VALUE"""),4.33)</f>
        <v>4.33</v>
      </c>
    </row>
    <row r="3957">
      <c r="A3957" s="13" t="str">
        <f>IFERROR(__xludf.DUMMYFUNCTION("""COMPUTED_VALUE"""),"товари")</f>
        <v>товари</v>
      </c>
      <c r="B3957" s="16" t="str">
        <f>IFERROR(__xludf.DUMMYFUNCTION("""COMPUTED_VALUE"""),"техніка та електроніка")</f>
        <v>техніка та електроніка</v>
      </c>
      <c r="C3957" s="16" t="str">
        <f>IFERROR(__xludf.DUMMYFUNCTION("""COMPUTED_VALUE"""),"фото-, відеокамери та аксесуари")</f>
        <v>фото-, відеокамери та аксесуари</v>
      </c>
      <c r="D3957" s="16" t="str">
        <f>IFERROR(__xludf.DUMMYFUNCTION("""COMPUTED_VALUE"""),"запчастини для фото-, відеокамер")</f>
        <v>запчастини для фото-, відеокамер</v>
      </c>
      <c r="E3957" s="16" t="str">
        <f>IFERROR(__xludf.DUMMYFUNCTION("""COMPUTED_VALUE"""),"запчастини для фото-, відеокамер")</f>
        <v>запчастини для фото-, відеокамер</v>
      </c>
      <c r="F3957" s="17">
        <f>IFERROR(__xludf.DUMMYFUNCTION("""COMPUTED_VALUE"""),3.0)</f>
        <v>3</v>
      </c>
      <c r="G3957" s="17" t="str">
        <f>IFERROR(__xludf.DUMMYFUNCTION("""COMPUTED_VALUE"""),"1915")</f>
        <v>1915</v>
      </c>
      <c r="H3957" s="17" t="str">
        <f>IFERROR(__xludf.DUMMYFUNCTION("""COMPUTED_VALUE"""),"запчастини для фото-, відеокамер")</f>
        <v>запчастини для фото-, відеокамер</v>
      </c>
      <c r="I3957" s="19">
        <f>IFERROR(__xludf.DUMMYFUNCTION("""COMPUTED_VALUE"""),0.0837)</f>
        <v>0.0837</v>
      </c>
      <c r="J3957" s="19">
        <f>IFERROR(__xludf.DUMMYFUNCTION("""COMPUTED_VALUE"""),0.1673)</f>
        <v>0.1673</v>
      </c>
      <c r="K3957" s="19">
        <f>IFERROR(__xludf.DUMMYFUNCTION("""COMPUTED_VALUE"""),0.2091)</f>
        <v>0.2091</v>
      </c>
      <c r="L3957" s="19">
        <f>IFERROR(__xludf.DUMMYFUNCTION("""COMPUTED_VALUE"""),0.251)</f>
        <v>0.251</v>
      </c>
      <c r="M3957" s="18">
        <f>IFERROR(__xludf.DUMMYFUNCTION("""COMPUTED_VALUE"""),1.05)</f>
        <v>1.05</v>
      </c>
    </row>
    <row r="3958">
      <c r="A3958" s="13" t="str">
        <f>IFERROR(__xludf.DUMMYFUNCTION("""COMPUTED_VALUE"""),"товари")</f>
        <v>товари</v>
      </c>
      <c r="B3958" s="16" t="str">
        <f>IFERROR(__xludf.DUMMYFUNCTION("""COMPUTED_VALUE"""),"техніка та електроніка")</f>
        <v>техніка та електроніка</v>
      </c>
      <c r="C3958" s="16" t="str">
        <f>IFERROR(__xludf.DUMMYFUNCTION("""COMPUTED_VALUE"""),"запчастини для техніки та електроніки")</f>
        <v>запчастини для техніки та електроніки</v>
      </c>
      <c r="D3958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58" s="16" t="str">
        <f>IFERROR(__xludf.DUMMYFUNCTION("""COMPUTED_VALUE"""),"запчастини для хлібопічок")</f>
        <v>запчастини для хлібопічок</v>
      </c>
      <c r="F3958" s="17">
        <f>IFERROR(__xludf.DUMMYFUNCTION("""COMPUTED_VALUE"""),4.0)</f>
        <v>4</v>
      </c>
      <c r="G3958" s="17" t="str">
        <f>IFERROR(__xludf.DUMMYFUNCTION("""COMPUTED_VALUE"""),"64405")</f>
        <v>64405</v>
      </c>
      <c r="H3958" s="17" t="str">
        <f>IFERROR(__xludf.DUMMYFUNCTION("""COMPUTED_VALUE"""),"запчастини для хлібопічок")</f>
        <v>запчастини для хлібопічок</v>
      </c>
      <c r="I3958" s="19">
        <f>IFERROR(__xludf.DUMMYFUNCTION("""COMPUTED_VALUE"""),0.0773)</f>
        <v>0.0773</v>
      </c>
      <c r="J3958" s="19">
        <f>IFERROR(__xludf.DUMMYFUNCTION("""COMPUTED_VALUE"""),0.1546)</f>
        <v>0.1546</v>
      </c>
      <c r="K3958" s="19">
        <f>IFERROR(__xludf.DUMMYFUNCTION("""COMPUTED_VALUE"""),0.1933)</f>
        <v>0.1933</v>
      </c>
      <c r="L3958" s="19">
        <f>IFERROR(__xludf.DUMMYFUNCTION("""COMPUTED_VALUE"""),0.2319)</f>
        <v>0.2319</v>
      </c>
      <c r="M3958" s="18">
        <f>IFERROR(__xludf.DUMMYFUNCTION("""COMPUTED_VALUE"""),1.8)</f>
        <v>1.8</v>
      </c>
    </row>
    <row r="3959">
      <c r="A3959" s="13" t="str">
        <f>IFERROR(__xludf.DUMMYFUNCTION("""COMPUTED_VALUE"""),"товари")</f>
        <v>товари</v>
      </c>
      <c r="B3959" s="16" t="str">
        <f>IFERROR(__xludf.DUMMYFUNCTION("""COMPUTED_VALUE"""),"техніка та електроніка")</f>
        <v>техніка та електроніка</v>
      </c>
      <c r="C3959" s="16" t="str">
        <f>IFERROR(__xludf.DUMMYFUNCTION("""COMPUTED_VALUE"""),"запчастини для техніки та електроніки")</f>
        <v>запчастини для техніки та електроніки</v>
      </c>
      <c r="D3959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59" s="16" t="str">
        <f>IFERROR(__xludf.DUMMYFUNCTION("""COMPUTED_VALUE"""),"запчастини для холодильників")</f>
        <v>запчастини для холодильників</v>
      </c>
      <c r="F3959" s="17">
        <f>IFERROR(__xludf.DUMMYFUNCTION("""COMPUTED_VALUE"""),4.0)</f>
        <v>4</v>
      </c>
      <c r="G3959" s="17" t="str">
        <f>IFERROR(__xludf.DUMMYFUNCTION("""COMPUTED_VALUE"""),"64409")</f>
        <v>64409</v>
      </c>
      <c r="H3959" s="17" t="str">
        <f>IFERROR(__xludf.DUMMYFUNCTION("""COMPUTED_VALUE"""),"запчастини для холодильників")</f>
        <v>запчастини для холодильників</v>
      </c>
      <c r="I3959" s="19">
        <f>IFERROR(__xludf.DUMMYFUNCTION("""COMPUTED_VALUE"""),0.0534)</f>
        <v>0.0534</v>
      </c>
      <c r="J3959" s="19">
        <f>IFERROR(__xludf.DUMMYFUNCTION("""COMPUTED_VALUE"""),0.1067)</f>
        <v>0.1067</v>
      </c>
      <c r="K3959" s="19">
        <f>IFERROR(__xludf.DUMMYFUNCTION("""COMPUTED_VALUE"""),0.1334)</f>
        <v>0.1334</v>
      </c>
      <c r="L3959" s="19">
        <f>IFERROR(__xludf.DUMMYFUNCTION("""COMPUTED_VALUE"""),0.1601)</f>
        <v>0.1601</v>
      </c>
      <c r="M3959" s="18">
        <f>IFERROR(__xludf.DUMMYFUNCTION("""COMPUTED_VALUE"""),1.8)</f>
        <v>1.8</v>
      </c>
    </row>
    <row r="3960">
      <c r="A3960" s="13" t="str">
        <f>IFERROR(__xludf.DUMMYFUNCTION("""COMPUTED_VALUE"""),"товари")</f>
        <v>товари</v>
      </c>
      <c r="B3960" s="16" t="str">
        <f>IFERROR(__xludf.DUMMYFUNCTION("""COMPUTED_VALUE"""),"техніка та електроніка")</f>
        <v>техніка та електроніка</v>
      </c>
      <c r="C3960" s="16" t="str">
        <f>IFERROR(__xludf.DUMMYFUNCTION("""COMPUTED_VALUE"""),"запчастини для техніки та електроніки")</f>
        <v>запчастини для техніки та електроніки</v>
      </c>
      <c r="D3960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60" s="16" t="str">
        <f>IFERROR(__xludf.DUMMYFUNCTION("""COMPUTED_VALUE"""),"запчастини для чайників, термопотів")</f>
        <v>запчастини для чайників, термопотів</v>
      </c>
      <c r="F3960" s="17">
        <f>IFERROR(__xludf.DUMMYFUNCTION("""COMPUTED_VALUE"""),4.0)</f>
        <v>4</v>
      </c>
      <c r="G3960" s="17" t="str">
        <f>IFERROR(__xludf.DUMMYFUNCTION("""COMPUTED_VALUE"""),"64428")</f>
        <v>64428</v>
      </c>
      <c r="H3960" s="17" t="str">
        <f>IFERROR(__xludf.DUMMYFUNCTION("""COMPUTED_VALUE"""),"запчастини для чайників, термопотів")</f>
        <v>запчастини для чайників, термопотів</v>
      </c>
      <c r="I3960" s="19">
        <f>IFERROR(__xludf.DUMMYFUNCTION("""COMPUTED_VALUE"""),0.0776)</f>
        <v>0.0776</v>
      </c>
      <c r="J3960" s="19">
        <f>IFERROR(__xludf.DUMMYFUNCTION("""COMPUTED_VALUE"""),0.1552)</f>
        <v>0.1552</v>
      </c>
      <c r="K3960" s="19">
        <f>IFERROR(__xludf.DUMMYFUNCTION("""COMPUTED_VALUE"""),0.194)</f>
        <v>0.194</v>
      </c>
      <c r="L3960" s="19">
        <f>IFERROR(__xludf.DUMMYFUNCTION("""COMPUTED_VALUE"""),0.2328)</f>
        <v>0.2328</v>
      </c>
      <c r="M3960" s="18">
        <f>IFERROR(__xludf.DUMMYFUNCTION("""COMPUTED_VALUE"""),1.8)</f>
        <v>1.8</v>
      </c>
    </row>
    <row r="3961">
      <c r="A3961" s="13" t="str">
        <f>IFERROR(__xludf.DUMMYFUNCTION("""COMPUTED_VALUE"""),"товари")</f>
        <v>товари</v>
      </c>
      <c r="B3961" s="16" t="str">
        <f>IFERROR(__xludf.DUMMYFUNCTION("""COMPUTED_VALUE"""),"техніка та електроніка")</f>
        <v>техніка та електроніка</v>
      </c>
      <c r="C3961" s="16" t="str">
        <f>IFERROR(__xludf.DUMMYFUNCTION("""COMPUTED_VALUE"""),"запчастини для техніки та електроніки")</f>
        <v>запчастини для техніки та електроніки</v>
      </c>
      <c r="D3961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61" s="16" t="str">
        <f>IFERROR(__xludf.DUMMYFUNCTION("""COMPUTED_VALUE"""),"запчастини до овочесушарок")</f>
        <v>запчастини до овочесушарок</v>
      </c>
      <c r="F3961" s="17">
        <f>IFERROR(__xludf.DUMMYFUNCTION("""COMPUTED_VALUE"""),4.0)</f>
        <v>4</v>
      </c>
      <c r="G3961" s="17" t="str">
        <f>IFERROR(__xludf.DUMMYFUNCTION("""COMPUTED_VALUE"""),"64433")</f>
        <v>64433</v>
      </c>
      <c r="H3961" s="17" t="str">
        <f>IFERROR(__xludf.DUMMYFUNCTION("""COMPUTED_VALUE"""),"запчастини до овочесушарок")</f>
        <v>запчастини до овочесушарок</v>
      </c>
      <c r="I3961" s="19">
        <f>IFERROR(__xludf.DUMMYFUNCTION("""COMPUTED_VALUE"""),0.0747)</f>
        <v>0.0747</v>
      </c>
      <c r="J3961" s="19">
        <f>IFERROR(__xludf.DUMMYFUNCTION("""COMPUTED_VALUE"""),0.1494)</f>
        <v>0.1494</v>
      </c>
      <c r="K3961" s="19">
        <f>IFERROR(__xludf.DUMMYFUNCTION("""COMPUTED_VALUE"""),0.1868)</f>
        <v>0.1868</v>
      </c>
      <c r="L3961" s="19">
        <f>IFERROR(__xludf.DUMMYFUNCTION("""COMPUTED_VALUE"""),0.2241)</f>
        <v>0.2241</v>
      </c>
      <c r="M3961" s="18">
        <f>IFERROR(__xludf.DUMMYFUNCTION("""COMPUTED_VALUE"""),1.8)</f>
        <v>1.8</v>
      </c>
    </row>
    <row r="3962">
      <c r="A3962" s="13" t="str">
        <f>IFERROR(__xludf.DUMMYFUNCTION("""COMPUTED_VALUE"""),"товари")</f>
        <v>товари</v>
      </c>
      <c r="B3962" s="16" t="str">
        <f>IFERROR(__xludf.DUMMYFUNCTION("""COMPUTED_VALUE"""),"техніка та електроніка")</f>
        <v>техніка та електроніка</v>
      </c>
      <c r="C3962" s="16" t="str">
        <f>IFERROR(__xludf.DUMMYFUNCTION("""COMPUTED_VALUE"""),"запчастини для техніки та електроніки")</f>
        <v>запчастини для техніки та електроніки</v>
      </c>
      <c r="D3962" s="16" t="str">
        <f>IFERROR(__xludf.DUMMYFUNCTION("""COMPUTED_VALUE"""),"запчастини та аксесуари для аудіотехніки")</f>
        <v>запчастини та аксесуари для аудіотехніки</v>
      </c>
      <c r="E3962" s="16" t="str">
        <f>IFERROR(__xludf.DUMMYFUNCTION("""COMPUTED_VALUE"""),"запчастини та аксесуари для аудіотехніки")</f>
        <v>запчастини та аксесуари для аудіотехніки</v>
      </c>
      <c r="F3962" s="17">
        <f>IFERROR(__xludf.DUMMYFUNCTION("""COMPUTED_VALUE"""),3.0)</f>
        <v>3</v>
      </c>
      <c r="G3962" s="17" t="str">
        <f>IFERROR(__xludf.DUMMYFUNCTION("""COMPUTED_VALUE"""),"6371203")</f>
        <v>6371203</v>
      </c>
      <c r="H3962" s="17" t="str">
        <f>IFERROR(__xludf.DUMMYFUNCTION("""COMPUTED_VALUE"""),"запчастини та аксесуари для аудіотехніки")</f>
        <v>запчастини та аксесуари для аудіотехніки</v>
      </c>
      <c r="I3962" s="19">
        <f>IFERROR(__xludf.DUMMYFUNCTION("""COMPUTED_VALUE"""),0.0748)</f>
        <v>0.0748</v>
      </c>
      <c r="J3962" s="19">
        <f>IFERROR(__xludf.DUMMYFUNCTION("""COMPUTED_VALUE"""),0.1496)</f>
        <v>0.1496</v>
      </c>
      <c r="K3962" s="19">
        <f>IFERROR(__xludf.DUMMYFUNCTION("""COMPUTED_VALUE"""),0.187)</f>
        <v>0.187</v>
      </c>
      <c r="L3962" s="19">
        <f>IFERROR(__xludf.DUMMYFUNCTION("""COMPUTED_VALUE"""),0.2244)</f>
        <v>0.2244</v>
      </c>
      <c r="M3962" s="18">
        <f>IFERROR(__xludf.DUMMYFUNCTION("""COMPUTED_VALUE"""),1.05)</f>
        <v>1.05</v>
      </c>
    </row>
    <row r="3963">
      <c r="A3963" s="13" t="str">
        <f>IFERROR(__xludf.DUMMYFUNCTION("""COMPUTED_VALUE"""),"товари")</f>
        <v>товари</v>
      </c>
      <c r="B3963" s="16" t="str">
        <f>IFERROR(__xludf.DUMMYFUNCTION("""COMPUTED_VALUE"""),"техніка та електроніка")</f>
        <v>техніка та електроніка</v>
      </c>
      <c r="C3963" s="16" t="str">
        <f>IFERROR(__xludf.DUMMYFUNCTION("""COMPUTED_VALUE"""),"запчастини для техніки та електроніки")</f>
        <v>запчастини для техніки та електроніки</v>
      </c>
      <c r="D3963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63" s="16" t="str">
        <f>IFERROR(__xludf.DUMMYFUNCTION("""COMPUTED_VALUE"""),"запчастини та аксесуари для побутових грилів")</f>
        <v>запчастини та аксесуари для побутових грилів</v>
      </c>
      <c r="F3963" s="17">
        <f>IFERROR(__xludf.DUMMYFUNCTION("""COMPUTED_VALUE"""),4.0)</f>
        <v>4</v>
      </c>
      <c r="G3963" s="17" t="str">
        <f>IFERROR(__xludf.DUMMYFUNCTION("""COMPUTED_VALUE"""),"64436")</f>
        <v>64436</v>
      </c>
      <c r="H3963" s="17" t="str">
        <f>IFERROR(__xludf.DUMMYFUNCTION("""COMPUTED_VALUE"""),"запчастини та аксесуари для побутових грилів")</f>
        <v>запчастини та аксесуари для побутових грилів</v>
      </c>
      <c r="I3963" s="19">
        <f>IFERROR(__xludf.DUMMYFUNCTION("""COMPUTED_VALUE"""),0.0761)</f>
        <v>0.0761</v>
      </c>
      <c r="J3963" s="19">
        <f>IFERROR(__xludf.DUMMYFUNCTION("""COMPUTED_VALUE"""),0.1521)</f>
        <v>0.1521</v>
      </c>
      <c r="K3963" s="19">
        <f>IFERROR(__xludf.DUMMYFUNCTION("""COMPUTED_VALUE"""),0.1901)</f>
        <v>0.1901</v>
      </c>
      <c r="L3963" s="19">
        <f>IFERROR(__xludf.DUMMYFUNCTION("""COMPUTED_VALUE"""),0.2282)</f>
        <v>0.2282</v>
      </c>
      <c r="M3963" s="18">
        <f>IFERROR(__xludf.DUMMYFUNCTION("""COMPUTED_VALUE"""),1.89)</f>
        <v>1.89</v>
      </c>
    </row>
    <row r="3964">
      <c r="A3964" s="13" t="str">
        <f>IFERROR(__xludf.DUMMYFUNCTION("""COMPUTED_VALUE"""),"товари")</f>
        <v>товари</v>
      </c>
      <c r="B3964" s="16" t="str">
        <f>IFERROR(__xludf.DUMMYFUNCTION("""COMPUTED_VALUE"""),"техніка та електроніка")</f>
        <v>техніка та електроніка</v>
      </c>
      <c r="C3964" s="16" t="str">
        <f>IFERROR(__xludf.DUMMYFUNCTION("""COMPUTED_VALUE"""),"запчастини для техніки та електроніки")</f>
        <v>запчастини для техніки та електроніки</v>
      </c>
      <c r="D3964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64" s="16" t="str">
        <f>IFERROR(__xludf.DUMMYFUNCTION("""COMPUTED_VALUE"""),"запчастини та аксесуари для побутових кондиціонерів")</f>
        <v>запчастини та аксесуари для побутових кондиціонерів</v>
      </c>
      <c r="F3964" s="17">
        <f>IFERROR(__xludf.DUMMYFUNCTION("""COMPUTED_VALUE"""),4.0)</f>
        <v>4</v>
      </c>
      <c r="G3964" s="17" t="str">
        <f>IFERROR(__xludf.DUMMYFUNCTION("""COMPUTED_VALUE"""),"60108")</f>
        <v>60108</v>
      </c>
      <c r="H3964" s="17" t="str">
        <f>IFERROR(__xludf.DUMMYFUNCTION("""COMPUTED_VALUE"""),"запчастини та аксесуари для побутових кондиціонерів")</f>
        <v>запчастини та аксесуари для побутових кондиціонерів</v>
      </c>
      <c r="I3964" s="19">
        <f>IFERROR(__xludf.DUMMYFUNCTION("""COMPUTED_VALUE"""),0.058)</f>
        <v>0.058</v>
      </c>
      <c r="J3964" s="19">
        <f>IFERROR(__xludf.DUMMYFUNCTION("""COMPUTED_VALUE"""),0.116)</f>
        <v>0.116</v>
      </c>
      <c r="K3964" s="19">
        <f>IFERROR(__xludf.DUMMYFUNCTION("""COMPUTED_VALUE"""),0.145)</f>
        <v>0.145</v>
      </c>
      <c r="L3964" s="19">
        <f>IFERROR(__xludf.DUMMYFUNCTION("""COMPUTED_VALUE"""),0.174)</f>
        <v>0.174</v>
      </c>
      <c r="M3964" s="18">
        <f>IFERROR(__xludf.DUMMYFUNCTION("""COMPUTED_VALUE"""),1.8)</f>
        <v>1.8</v>
      </c>
    </row>
    <row r="3965">
      <c r="A3965" s="13" t="str">
        <f>IFERROR(__xludf.DUMMYFUNCTION("""COMPUTED_VALUE"""),"товари")</f>
        <v>товари</v>
      </c>
      <c r="B3965" s="16" t="str">
        <f>IFERROR(__xludf.DUMMYFUNCTION("""COMPUTED_VALUE"""),"техніка та електроніка")</f>
        <v>техніка та електроніка</v>
      </c>
      <c r="C3965" s="16" t="str">
        <f>IFERROR(__xludf.DUMMYFUNCTION("""COMPUTED_VALUE"""),"запчастини для техніки та електроніки")</f>
        <v>запчастини для техніки та електроніки</v>
      </c>
      <c r="D3965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65" s="16" t="str">
        <f>IFERROR(__xludf.DUMMYFUNCTION("""COMPUTED_VALUE"""),"запчастини та аксесуари для побутової техніки, загальне")</f>
        <v>запчастини та аксесуари для побутової техніки, загальне</v>
      </c>
      <c r="F3965" s="17">
        <f>IFERROR(__xludf.DUMMYFUNCTION("""COMPUTED_VALUE"""),4.0)</f>
        <v>4</v>
      </c>
      <c r="G3965" s="17" t="str">
        <f>IFERROR(__xludf.DUMMYFUNCTION("""COMPUTED_VALUE"""),"64402")</f>
        <v>64402</v>
      </c>
      <c r="H3965" s="17" t="str">
        <f>IFERROR(__xludf.DUMMYFUNCTION("""COMPUTED_VALUE"""),"запчастини та аксесуари для побутової техніки, загальне")</f>
        <v>запчастини та аксесуари для побутової техніки, загальне</v>
      </c>
      <c r="I3965" s="19">
        <f>IFERROR(__xludf.DUMMYFUNCTION("""COMPUTED_VALUE"""),0.125)</f>
        <v>0.125</v>
      </c>
      <c r="J3965" s="19">
        <f>IFERROR(__xludf.DUMMYFUNCTION("""COMPUTED_VALUE"""),0.25)</f>
        <v>0.25</v>
      </c>
      <c r="K3965" s="19">
        <f>IFERROR(__xludf.DUMMYFUNCTION("""COMPUTED_VALUE"""),0.3125)</f>
        <v>0.3125</v>
      </c>
      <c r="L3965" s="19">
        <f>IFERROR(__xludf.DUMMYFUNCTION("""COMPUTED_VALUE"""),0.375)</f>
        <v>0.375</v>
      </c>
      <c r="M3965" s="18">
        <f>IFERROR(__xludf.DUMMYFUNCTION("""COMPUTED_VALUE"""),4.33)</f>
        <v>4.33</v>
      </c>
    </row>
    <row r="3966">
      <c r="A3966" s="13" t="str">
        <f>IFERROR(__xludf.DUMMYFUNCTION("""COMPUTED_VALUE"""),"товари")</f>
        <v>товари</v>
      </c>
      <c r="B3966" s="16" t="str">
        <f>IFERROR(__xludf.DUMMYFUNCTION("""COMPUTED_VALUE"""),"техніка та електроніка")</f>
        <v>техніка та електроніка</v>
      </c>
      <c r="C3966" s="16" t="str">
        <f>IFERROR(__xludf.DUMMYFUNCTION("""COMPUTED_VALUE"""),"запчастини для техніки та електроніки")</f>
        <v>запчастини для техніки та електроніки</v>
      </c>
      <c r="D3966" s="16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66" s="16" t="str">
        <f>IFERROR(__xludf.DUMMYFUNCTION("""COMPUTED_VALUE"""),"запчастини та аксесуари до приладів для укладання волосся")</f>
        <v>запчастини та аксесуари до приладів для укладання волосся</v>
      </c>
      <c r="F3966" s="17">
        <f>IFERROR(__xludf.DUMMYFUNCTION("""COMPUTED_VALUE"""),4.0)</f>
        <v>4</v>
      </c>
      <c r="G3966" s="17" t="str">
        <f>IFERROR(__xludf.DUMMYFUNCTION("""COMPUTED_VALUE"""),"64431")</f>
        <v>64431</v>
      </c>
      <c r="H3966" s="17" t="str">
        <f>IFERROR(__xludf.DUMMYFUNCTION("""COMPUTED_VALUE"""),"запчастини та аксесуари до приладів для укладання волосся")</f>
        <v>запчастини та аксесуари до приладів для укладання волосся</v>
      </c>
      <c r="I3966" s="19">
        <f>IFERROR(__xludf.DUMMYFUNCTION("""COMPUTED_VALUE"""),0.0773)</f>
        <v>0.0773</v>
      </c>
      <c r="J3966" s="19">
        <f>IFERROR(__xludf.DUMMYFUNCTION("""COMPUTED_VALUE"""),0.1546)</f>
        <v>0.1546</v>
      </c>
      <c r="K3966" s="19">
        <f>IFERROR(__xludf.DUMMYFUNCTION("""COMPUTED_VALUE"""),0.1933)</f>
        <v>0.1933</v>
      </c>
      <c r="L3966" s="19">
        <f>IFERROR(__xludf.DUMMYFUNCTION("""COMPUTED_VALUE"""),0.2319)</f>
        <v>0.2319</v>
      </c>
      <c r="M3966" s="18">
        <f>IFERROR(__xludf.DUMMYFUNCTION("""COMPUTED_VALUE"""),1.8)</f>
        <v>1.8</v>
      </c>
    </row>
    <row r="3967">
      <c r="A3967" s="13" t="str">
        <f>IFERROR(__xludf.DUMMYFUNCTION("""COMPUTED_VALUE"""),"товари")</f>
        <v>товари</v>
      </c>
      <c r="B3967" s="16" t="str">
        <f>IFERROR(__xludf.DUMMYFUNCTION("""COMPUTED_VALUE"""),"техніка та електроніка")</f>
        <v>техніка та електроніка</v>
      </c>
      <c r="C3967" s="16" t="str">
        <f>IFERROR(__xludf.DUMMYFUNCTION("""COMPUTED_VALUE"""),"фото-, відеокамери та аксесуари")</f>
        <v>фото-, відеокамери та аксесуари</v>
      </c>
      <c r="D3967" s="16" t="str">
        <f>IFERROR(__xludf.DUMMYFUNCTION("""COMPUTED_VALUE"""),"запчастини та комплектуючі для квадрокоптерів")</f>
        <v>запчастини та комплектуючі для квадрокоптерів</v>
      </c>
      <c r="E3967" s="16" t="str">
        <f>IFERROR(__xludf.DUMMYFUNCTION("""COMPUTED_VALUE"""),"запчастини та комплектуючі для квадрокоптерів")</f>
        <v>запчастини та комплектуючі для квадрокоптерів</v>
      </c>
      <c r="F3967" s="17">
        <f>IFERROR(__xludf.DUMMYFUNCTION("""COMPUTED_VALUE"""),3.0)</f>
        <v>3</v>
      </c>
      <c r="G3967" s="17" t="str">
        <f>IFERROR(__xludf.DUMMYFUNCTION("""COMPUTED_VALUE"""),"500415")</f>
        <v>500415</v>
      </c>
      <c r="H3967" s="17" t="str">
        <f>IFERROR(__xludf.DUMMYFUNCTION("""COMPUTED_VALUE"""),"запчастини та комплектуючі для квадрокоптерів")</f>
        <v>запчастини та комплектуючі для квадрокоптерів</v>
      </c>
      <c r="I3967" s="19">
        <f>IFERROR(__xludf.DUMMYFUNCTION("""COMPUTED_VALUE"""),0.005)</f>
        <v>0.005</v>
      </c>
      <c r="J3967" s="19">
        <f>IFERROR(__xludf.DUMMYFUNCTION("""COMPUTED_VALUE"""),0.01)</f>
        <v>0.01</v>
      </c>
      <c r="K3967" s="19">
        <f>IFERROR(__xludf.DUMMYFUNCTION("""COMPUTED_VALUE"""),0.0125)</f>
        <v>0.0125</v>
      </c>
      <c r="L3967" s="19">
        <f>IFERROR(__xludf.DUMMYFUNCTION("""COMPUTED_VALUE"""),0.015)</f>
        <v>0.015</v>
      </c>
      <c r="M3967" s="18">
        <f>IFERROR(__xludf.DUMMYFUNCTION("""COMPUTED_VALUE"""),2.43)</f>
        <v>2.43</v>
      </c>
    </row>
    <row r="3968">
      <c r="A3968" s="13" t="str">
        <f>IFERROR(__xludf.DUMMYFUNCTION("""COMPUTED_VALUE"""),"товари")</f>
        <v>товари</v>
      </c>
      <c r="B3968" s="16" t="str">
        <f>IFERROR(__xludf.DUMMYFUNCTION("""COMPUTED_VALUE"""),"техніка та електроніка")</f>
        <v>техніка та електроніка</v>
      </c>
      <c r="C3968" s="16" t="str">
        <f>IFERROR(__xludf.DUMMYFUNCTION("""COMPUTED_VALUE"""),"комп'ютерна техніка та пз")</f>
        <v>комп'ютерна техніка та пз</v>
      </c>
      <c r="D3968" s="16" t="str">
        <f>IFERROR(__xludf.DUMMYFUNCTION("""COMPUTED_VALUE"""),"комплектуючі для комп'ютерної техніки")</f>
        <v>комплектуючі для комп'ютерної техніки</v>
      </c>
      <c r="E3968" s="16" t="str">
        <f>IFERROR(__xludf.DUMMYFUNCTION("""COMPUTED_VALUE"""),"зарядні пристрої для ноутбуків")</f>
        <v>зарядні пристрої для ноутбуків</v>
      </c>
      <c r="F3968" s="17">
        <f>IFERROR(__xludf.DUMMYFUNCTION("""COMPUTED_VALUE"""),4.0)</f>
        <v>4</v>
      </c>
      <c r="G3968" s="17" t="str">
        <f>IFERROR(__xludf.DUMMYFUNCTION("""COMPUTED_VALUE"""),"7070901")</f>
        <v>7070901</v>
      </c>
      <c r="H3968" s="17" t="str">
        <f>IFERROR(__xludf.DUMMYFUNCTION("""COMPUTED_VALUE"""),"зарядні пристрої для ноутбуків")</f>
        <v>зарядні пристрої для ноутбуків</v>
      </c>
      <c r="I3968" s="19">
        <f>IFERROR(__xludf.DUMMYFUNCTION("""COMPUTED_VALUE"""),0.0876)</f>
        <v>0.0876</v>
      </c>
      <c r="J3968" s="19">
        <f>IFERROR(__xludf.DUMMYFUNCTION("""COMPUTED_VALUE"""),0.1751)</f>
        <v>0.1751</v>
      </c>
      <c r="K3968" s="19">
        <f>IFERROR(__xludf.DUMMYFUNCTION("""COMPUTED_VALUE"""),0.2189)</f>
        <v>0.2189</v>
      </c>
      <c r="L3968" s="19">
        <f>IFERROR(__xludf.DUMMYFUNCTION("""COMPUTED_VALUE"""),0.2627)</f>
        <v>0.2627</v>
      </c>
      <c r="M3968" s="18">
        <f>IFERROR(__xludf.DUMMYFUNCTION("""COMPUTED_VALUE"""),1.71)</f>
        <v>1.71</v>
      </c>
    </row>
    <row r="3969">
      <c r="A3969" s="13" t="str">
        <f>IFERROR(__xludf.DUMMYFUNCTION("""COMPUTED_VALUE"""),"товари")</f>
        <v>товари</v>
      </c>
      <c r="B3969" s="16" t="str">
        <f>IFERROR(__xludf.DUMMYFUNCTION("""COMPUTED_VALUE"""),"техніка та електроніка")</f>
        <v>техніка та електроніка</v>
      </c>
      <c r="C3969" s="16" t="str">
        <f>IFERROR(__xludf.DUMMYFUNCTION("""COMPUTED_VALUE"""),"телефони та аксесуари")</f>
        <v>телефони та аксесуари</v>
      </c>
      <c r="D3969" s="16" t="str">
        <f>IFERROR(__xludf.DUMMYFUNCTION("""COMPUTED_VALUE"""),"аксесуари для мобільних телефонів")</f>
        <v>аксесуари для мобільних телефонів</v>
      </c>
      <c r="E3969" s="16" t="str">
        <f>IFERROR(__xludf.DUMMYFUNCTION("""COMPUTED_VALUE"""),"зарядні пристрої для смартфонів та планшетів")</f>
        <v>зарядні пристрої для смартфонів та планшетів</v>
      </c>
      <c r="F3969" s="17">
        <f>IFERROR(__xludf.DUMMYFUNCTION("""COMPUTED_VALUE"""),4.0)</f>
        <v>4</v>
      </c>
      <c r="G3969" s="17" t="str">
        <f>IFERROR(__xludf.DUMMYFUNCTION("""COMPUTED_VALUE"""),"5090319")</f>
        <v>5090319</v>
      </c>
      <c r="H3969" s="17" t="str">
        <f>IFERROR(__xludf.DUMMYFUNCTION("""COMPUTED_VALUE"""),"зарядні пристрої для смартфонів та планшетів")</f>
        <v>зарядні пристрої для смартфонів та планшетів</v>
      </c>
      <c r="I3969" s="19">
        <f>IFERROR(__xludf.DUMMYFUNCTION("""COMPUTED_VALUE"""),0.1011)</f>
        <v>0.1011</v>
      </c>
      <c r="J3969" s="19">
        <f>IFERROR(__xludf.DUMMYFUNCTION("""COMPUTED_VALUE"""),0.2022)</f>
        <v>0.2022</v>
      </c>
      <c r="K3969" s="19">
        <f>IFERROR(__xludf.DUMMYFUNCTION("""COMPUTED_VALUE"""),0.2528)</f>
        <v>0.2528</v>
      </c>
      <c r="L3969" s="19">
        <f>IFERROR(__xludf.DUMMYFUNCTION("""COMPUTED_VALUE"""),0.3033)</f>
        <v>0.3033</v>
      </c>
      <c r="M3969" s="18">
        <f>IFERROR(__xludf.DUMMYFUNCTION("""COMPUTED_VALUE"""),1.05)</f>
        <v>1.05</v>
      </c>
    </row>
    <row r="3970">
      <c r="A3970" s="13" t="str">
        <f>IFERROR(__xludf.DUMMYFUNCTION("""COMPUTED_VALUE"""),"товари")</f>
        <v>товари</v>
      </c>
      <c r="B3970" s="16" t="str">
        <f>IFERROR(__xludf.DUMMYFUNCTION("""COMPUTED_VALUE"""),"техніка та електроніка")</f>
        <v>техніка та електроніка</v>
      </c>
      <c r="C3970" s="16" t="str">
        <f>IFERROR(__xludf.DUMMYFUNCTION("""COMPUTED_VALUE"""),"фото-, відеокамери та аксесуари")</f>
        <v>фото-, відеокамери та аксесуари</v>
      </c>
      <c r="D3970" s="16" t="str">
        <f>IFERROR(__xludf.DUMMYFUNCTION("""COMPUTED_VALUE"""),"аксесуари для фото-, відеокамер")</f>
        <v>аксесуари для фото-, відеокамер</v>
      </c>
      <c r="E3970" s="16" t="str">
        <f>IFERROR(__xludf.DUMMYFUNCTION("""COMPUTED_VALUE"""),"зарядні пристрої для фото-, відеокамер")</f>
        <v>зарядні пристрої для фото-, відеокамер</v>
      </c>
      <c r="F3970" s="17">
        <f>IFERROR(__xludf.DUMMYFUNCTION("""COMPUTED_VALUE"""),4.0)</f>
        <v>4</v>
      </c>
      <c r="G3970" s="17" t="str">
        <f>IFERROR(__xludf.DUMMYFUNCTION("""COMPUTED_VALUE"""),"6372006")</f>
        <v>6372006</v>
      </c>
      <c r="H3970" s="17" t="str">
        <f>IFERROR(__xludf.DUMMYFUNCTION("""COMPUTED_VALUE"""),"зарядні пристрої для фото-, відеокамер")</f>
        <v>зарядні пристрої для фото-, відеокамер</v>
      </c>
      <c r="I3970" s="19">
        <f>IFERROR(__xludf.DUMMYFUNCTION("""COMPUTED_VALUE"""),0.0948)</f>
        <v>0.0948</v>
      </c>
      <c r="J3970" s="19">
        <f>IFERROR(__xludf.DUMMYFUNCTION("""COMPUTED_VALUE"""),0.1896)</f>
        <v>0.1896</v>
      </c>
      <c r="K3970" s="19">
        <f>IFERROR(__xludf.DUMMYFUNCTION("""COMPUTED_VALUE"""),0.237)</f>
        <v>0.237</v>
      </c>
      <c r="L3970" s="19">
        <f>IFERROR(__xludf.DUMMYFUNCTION("""COMPUTED_VALUE"""),0.2844)</f>
        <v>0.2844</v>
      </c>
      <c r="M3970" s="18">
        <f>IFERROR(__xludf.DUMMYFUNCTION("""COMPUTED_VALUE"""),1.98)</f>
        <v>1.98</v>
      </c>
    </row>
    <row r="3971">
      <c r="A3971" s="13" t="str">
        <f>IFERROR(__xludf.DUMMYFUNCTION("""COMPUTED_VALUE"""),"товари")</f>
        <v>товари</v>
      </c>
      <c r="B3971" s="16" t="str">
        <f>IFERROR(__xludf.DUMMYFUNCTION("""COMPUTED_VALUE"""),"техніка та електроніка")</f>
        <v>техніка та електроніка</v>
      </c>
      <c r="C3971" s="16" t="str">
        <f>IFERROR(__xludf.DUMMYFUNCTION("""COMPUTED_VALUE"""),"повербанки та зарядні станції")</f>
        <v>повербанки та зарядні станції</v>
      </c>
      <c r="D3971" s="16" t="str">
        <f>IFERROR(__xludf.DUMMYFUNCTION("""COMPUTED_VALUE"""),"зарядні станції")</f>
        <v>зарядні станції</v>
      </c>
      <c r="E3971" s="16" t="str">
        <f>IFERROR(__xludf.DUMMYFUNCTION("""COMPUTED_VALUE"""),"зарядні станції")</f>
        <v>зарядні станції</v>
      </c>
      <c r="F3971" s="17">
        <f>IFERROR(__xludf.DUMMYFUNCTION("""COMPUTED_VALUE"""),3.0)</f>
        <v>3</v>
      </c>
      <c r="G3971" s="17" t="str">
        <f>IFERROR(__xludf.DUMMYFUNCTION("""COMPUTED_VALUE"""),"500901")</f>
        <v>500901</v>
      </c>
      <c r="H3971" s="17" t="str">
        <f>IFERROR(__xludf.DUMMYFUNCTION("""COMPUTED_VALUE"""),"зарядні станції")</f>
        <v>зарядні станції</v>
      </c>
      <c r="I3971" s="19">
        <f>IFERROR(__xludf.DUMMYFUNCTION("""COMPUTED_VALUE"""),0.065)</f>
        <v>0.065</v>
      </c>
      <c r="J3971" s="19">
        <f>IFERROR(__xludf.DUMMYFUNCTION("""COMPUTED_VALUE"""),0.13)</f>
        <v>0.13</v>
      </c>
      <c r="K3971" s="19">
        <f>IFERROR(__xludf.DUMMYFUNCTION("""COMPUTED_VALUE"""),0.1625)</f>
        <v>0.1625</v>
      </c>
      <c r="L3971" s="19">
        <f>IFERROR(__xludf.DUMMYFUNCTION("""COMPUTED_VALUE"""),0.195)</f>
        <v>0.195</v>
      </c>
      <c r="M3971" s="18">
        <f>IFERROR(__xludf.DUMMYFUNCTION("""COMPUTED_VALUE"""),2.53)</f>
        <v>2.53</v>
      </c>
    </row>
    <row r="3972">
      <c r="A3972" s="13" t="str">
        <f>IFERROR(__xludf.DUMMYFUNCTION("""COMPUTED_VALUE"""),"товари")</f>
        <v>товари</v>
      </c>
      <c r="B3972" s="16" t="str">
        <f>IFERROR(__xludf.DUMMYFUNCTION("""COMPUTED_VALUE"""),"техніка та електроніка")</f>
        <v>техніка та електроніка</v>
      </c>
      <c r="C3972" s="16" t="str">
        <f>IFERROR(__xludf.DUMMYFUNCTION("""COMPUTED_VALUE"""),"фото-, відеокамери та аксесуари")</f>
        <v>фото-, відеокамери та аксесуари</v>
      </c>
      <c r="D3972" s="16" t="str">
        <f>IFERROR(__xludf.DUMMYFUNCTION("""COMPUTED_VALUE"""),"аксесуари для фото-, відеокамер")</f>
        <v>аксесуари для фото-, відеокамер</v>
      </c>
      <c r="E3972" s="16" t="str">
        <f>IFERROR(__xludf.DUMMYFUNCTION("""COMPUTED_VALUE"""),"захисні бокси та пакети")</f>
        <v>захисні бокси та пакети</v>
      </c>
      <c r="F3972" s="17">
        <f>IFERROR(__xludf.DUMMYFUNCTION("""COMPUTED_VALUE"""),4.0)</f>
        <v>4</v>
      </c>
      <c r="G3972" s="17" t="str">
        <f>IFERROR(__xludf.DUMMYFUNCTION("""COMPUTED_VALUE"""),"6372014")</f>
        <v>6372014</v>
      </c>
      <c r="H3972" s="17" t="str">
        <f>IFERROR(__xludf.DUMMYFUNCTION("""COMPUTED_VALUE"""),"захисні бокси та пакети")</f>
        <v>захисні бокси та пакети</v>
      </c>
      <c r="I3972" s="19">
        <f>IFERROR(__xludf.DUMMYFUNCTION("""COMPUTED_VALUE"""),0.0782)</f>
        <v>0.0782</v>
      </c>
      <c r="J3972" s="19">
        <f>IFERROR(__xludf.DUMMYFUNCTION("""COMPUTED_VALUE"""),0.1564)</f>
        <v>0.1564</v>
      </c>
      <c r="K3972" s="19">
        <f>IFERROR(__xludf.DUMMYFUNCTION("""COMPUTED_VALUE"""),0.1955)</f>
        <v>0.1955</v>
      </c>
      <c r="L3972" s="19">
        <f>IFERROR(__xludf.DUMMYFUNCTION("""COMPUTED_VALUE"""),0.2346)</f>
        <v>0.2346</v>
      </c>
      <c r="M3972" s="18">
        <f>IFERROR(__xludf.DUMMYFUNCTION("""COMPUTED_VALUE"""),1.98)</f>
        <v>1.98</v>
      </c>
    </row>
    <row r="3973">
      <c r="A3973" s="13" t="str">
        <f>IFERROR(__xludf.DUMMYFUNCTION("""COMPUTED_VALUE"""),"товари")</f>
        <v>товари</v>
      </c>
      <c r="B3973" s="16" t="str">
        <f>IFERROR(__xludf.DUMMYFUNCTION("""COMPUTED_VALUE"""),"техніка та електроніка")</f>
        <v>техніка та електроніка</v>
      </c>
      <c r="C3973" s="16" t="str">
        <f>IFERROR(__xludf.DUMMYFUNCTION("""COMPUTED_VALUE"""),"телефони та аксесуари")</f>
        <v>телефони та аксесуари</v>
      </c>
      <c r="D3973" s="16" t="str">
        <f>IFERROR(__xludf.DUMMYFUNCTION("""COMPUTED_VALUE"""),"аксесуари для мобільних телефонів")</f>
        <v>аксесуари для мобільних телефонів</v>
      </c>
      <c r="E3973" s="16" t="str">
        <f>IFERROR(__xludf.DUMMYFUNCTION("""COMPUTED_VALUE"""),"захисні плівки та скло для портативних пристроїв")</f>
        <v>захисні плівки та скло для портативних пристроїв</v>
      </c>
      <c r="F3973" s="17">
        <f>IFERROR(__xludf.DUMMYFUNCTION("""COMPUTED_VALUE"""),4.0)</f>
        <v>4</v>
      </c>
      <c r="G3973" s="17" t="str">
        <f>IFERROR(__xludf.DUMMYFUNCTION("""COMPUTED_VALUE"""),"5090318")</f>
        <v>5090318</v>
      </c>
      <c r="H3973" s="17" t="str">
        <f>IFERROR(__xludf.DUMMYFUNCTION("""COMPUTED_VALUE"""),"захисні плівки та скло для портативних пристроїв")</f>
        <v>захисні плівки та скло для портативних пристроїв</v>
      </c>
      <c r="I3973" s="19">
        <f>IFERROR(__xludf.DUMMYFUNCTION("""COMPUTED_VALUE"""),0.1018)</f>
        <v>0.1018</v>
      </c>
      <c r="J3973" s="19">
        <f>IFERROR(__xludf.DUMMYFUNCTION("""COMPUTED_VALUE"""),0.2035)</f>
        <v>0.2035</v>
      </c>
      <c r="K3973" s="19">
        <f>IFERROR(__xludf.DUMMYFUNCTION("""COMPUTED_VALUE"""),0.2544)</f>
        <v>0.2544</v>
      </c>
      <c r="L3973" s="19">
        <f>IFERROR(__xludf.DUMMYFUNCTION("""COMPUTED_VALUE"""),0.3053)</f>
        <v>0.3053</v>
      </c>
      <c r="M3973" s="18">
        <f>IFERROR(__xludf.DUMMYFUNCTION("""COMPUTED_VALUE"""),1.05)</f>
        <v>1.05</v>
      </c>
    </row>
    <row r="3974">
      <c r="A3974" s="13" t="str">
        <f>IFERROR(__xludf.DUMMYFUNCTION("""COMPUTED_VALUE"""),"товари")</f>
        <v>товари</v>
      </c>
      <c r="B3974" s="16" t="str">
        <f>IFERROR(__xludf.DUMMYFUNCTION("""COMPUTED_VALUE"""),"техніка та електроніка")</f>
        <v>техніка та електроніка</v>
      </c>
      <c r="C3974" s="16" t="str">
        <f>IFERROR(__xludf.DUMMYFUNCTION("""COMPUTED_VALUE"""),"побутова техніка")</f>
        <v>побутова техніка</v>
      </c>
      <c r="D3974" s="16" t="str">
        <f>IFERROR(__xludf.DUMMYFUNCTION("""COMPUTED_VALUE"""),"кліматична техніка")</f>
        <v>кліматична техніка</v>
      </c>
      <c r="E3974" s="16" t="str">
        <f>IFERROR(__xludf.DUMMYFUNCTION("""COMPUTED_VALUE"""),"зволожувачі та очищувачі повітря")</f>
        <v>зволожувачі та очищувачі повітря</v>
      </c>
      <c r="F3974" s="17">
        <f>IFERROR(__xludf.DUMMYFUNCTION("""COMPUTED_VALUE"""),4.0)</f>
        <v>4</v>
      </c>
      <c r="G3974" s="17" t="str">
        <f>IFERROR(__xludf.DUMMYFUNCTION("""COMPUTED_VALUE"""),"625")</f>
        <v>625</v>
      </c>
      <c r="H3974" s="17" t="str">
        <f>IFERROR(__xludf.DUMMYFUNCTION("""COMPUTED_VALUE"""),"зволожувачі та очищувачі повітря")</f>
        <v>зволожувачі та очищувачі повітря</v>
      </c>
      <c r="I3974" s="19">
        <f>IFERROR(__xludf.DUMMYFUNCTION("""COMPUTED_VALUE"""),0.0482)</f>
        <v>0.0482</v>
      </c>
      <c r="J3974" s="19">
        <f>IFERROR(__xludf.DUMMYFUNCTION("""COMPUTED_VALUE"""),0.0963)</f>
        <v>0.0963</v>
      </c>
      <c r="K3974" s="19">
        <f>IFERROR(__xludf.DUMMYFUNCTION("""COMPUTED_VALUE"""),0.1204)</f>
        <v>0.1204</v>
      </c>
      <c r="L3974" s="19">
        <f>IFERROR(__xludf.DUMMYFUNCTION("""COMPUTED_VALUE"""),0.1445)</f>
        <v>0.1445</v>
      </c>
      <c r="M3974" s="18">
        <f>IFERROR(__xludf.DUMMYFUNCTION("""COMPUTED_VALUE"""),3.78)</f>
        <v>3.78</v>
      </c>
    </row>
    <row r="3975">
      <c r="A3975" s="13" t="str">
        <f>IFERROR(__xludf.DUMMYFUNCTION("""COMPUTED_VALUE"""),"товари")</f>
        <v>товари</v>
      </c>
      <c r="B3975" s="16" t="str">
        <f>IFERROR(__xludf.DUMMYFUNCTION("""COMPUTED_VALUE"""),"техніка та електроніка")</f>
        <v>техніка та електроніка</v>
      </c>
      <c r="C3975" s="16" t="str">
        <f>IFERROR(__xludf.DUMMYFUNCTION("""COMPUTED_VALUE"""),"телефони та аксесуари")</f>
        <v>телефони та аксесуари</v>
      </c>
      <c r="D3975" s="16" t="str">
        <f>IFERROR(__xludf.DUMMYFUNCTION("""COMPUTED_VALUE"""),"комплектуючі для мобільних телефонів")</f>
        <v>комплектуючі для мобільних телефонів</v>
      </c>
      <c r="E3975" s="16" t="str">
        <f>IFERROR(__xludf.DUMMYFUNCTION("""COMPUTED_VALUE"""),"звукові запчастини для мобільних телефонів")</f>
        <v>звукові запчастини для мобільних телефонів</v>
      </c>
      <c r="F3975" s="17">
        <f>IFERROR(__xludf.DUMMYFUNCTION("""COMPUTED_VALUE"""),4.0)</f>
        <v>4</v>
      </c>
      <c r="G3975" s="17" t="str">
        <f>IFERROR(__xludf.DUMMYFUNCTION("""COMPUTED_VALUE"""),"5090321")</f>
        <v>5090321</v>
      </c>
      <c r="H3975" s="17" t="str">
        <f>IFERROR(__xludf.DUMMYFUNCTION("""COMPUTED_VALUE"""),"звукові запчастини для мобільних телефонів")</f>
        <v>звукові запчастини для мобільних телефонів</v>
      </c>
      <c r="I3975" s="19">
        <f>IFERROR(__xludf.DUMMYFUNCTION("""COMPUTED_VALUE"""),0.0996)</f>
        <v>0.0996</v>
      </c>
      <c r="J3975" s="19">
        <f>IFERROR(__xludf.DUMMYFUNCTION("""COMPUTED_VALUE"""),0.1992)</f>
        <v>0.1992</v>
      </c>
      <c r="K3975" s="19">
        <f>IFERROR(__xludf.DUMMYFUNCTION("""COMPUTED_VALUE"""),0.249)</f>
        <v>0.249</v>
      </c>
      <c r="L3975" s="19">
        <f>IFERROR(__xludf.DUMMYFUNCTION("""COMPUTED_VALUE"""),0.2988)</f>
        <v>0.2988</v>
      </c>
      <c r="M3975" s="18">
        <f>IFERROR(__xludf.DUMMYFUNCTION("""COMPUTED_VALUE"""),2.88)</f>
        <v>2.88</v>
      </c>
    </row>
    <row r="3976">
      <c r="A3976" s="13" t="str">
        <f>IFERROR(__xludf.DUMMYFUNCTION("""COMPUTED_VALUE"""),"товари")</f>
        <v>товари</v>
      </c>
      <c r="B3976" s="16" t="str">
        <f>IFERROR(__xludf.DUMMYFUNCTION("""COMPUTED_VALUE"""),"техніка та електроніка")</f>
        <v>техніка та електроніка</v>
      </c>
      <c r="C3976" s="16" t="str">
        <f>IFERROR(__xludf.DUMMYFUNCTION("""COMPUTED_VALUE"""),"комп'ютерна техніка та пз")</f>
        <v>комп'ютерна техніка та пз</v>
      </c>
      <c r="D3976" s="16" t="str">
        <f>IFERROR(__xludf.DUMMYFUNCTION("""COMPUTED_VALUE"""),"комплектуючі для комп'ютерної техніки")</f>
        <v>комплектуючі для комп'ютерної техніки</v>
      </c>
      <c r="E3976" s="16" t="str">
        <f>IFERROR(__xludf.DUMMYFUNCTION("""COMPUTED_VALUE"""),"звукові запчастини для портативних пк")</f>
        <v>звукові запчастини для портативних пк</v>
      </c>
      <c r="F3976" s="17">
        <f>IFERROR(__xludf.DUMMYFUNCTION("""COMPUTED_VALUE"""),4.0)</f>
        <v>4</v>
      </c>
      <c r="G3976" s="17" t="str">
        <f>IFERROR(__xludf.DUMMYFUNCTION("""COMPUTED_VALUE"""),"70715")</f>
        <v>70715</v>
      </c>
      <c r="H3976" s="17" t="str">
        <f>IFERROR(__xludf.DUMMYFUNCTION("""COMPUTED_VALUE"""),"звукові запчастини для портативних пк")</f>
        <v>звукові запчастини для портативних пк</v>
      </c>
      <c r="I3976" s="19">
        <f>IFERROR(__xludf.DUMMYFUNCTION("""COMPUTED_VALUE"""),0.075)</f>
        <v>0.075</v>
      </c>
      <c r="J3976" s="19">
        <f>IFERROR(__xludf.DUMMYFUNCTION("""COMPUTED_VALUE"""),0.1499)</f>
        <v>0.1499</v>
      </c>
      <c r="K3976" s="19">
        <f>IFERROR(__xludf.DUMMYFUNCTION("""COMPUTED_VALUE"""),0.1874)</f>
        <v>0.1874</v>
      </c>
      <c r="L3976" s="19">
        <f>IFERROR(__xludf.DUMMYFUNCTION("""COMPUTED_VALUE"""),0.2249)</f>
        <v>0.2249</v>
      </c>
      <c r="M3976" s="18">
        <f>IFERROR(__xludf.DUMMYFUNCTION("""COMPUTED_VALUE"""),1.71)</f>
        <v>1.71</v>
      </c>
    </row>
    <row r="3977">
      <c r="A3977" s="13" t="str">
        <f>IFERROR(__xludf.DUMMYFUNCTION("""COMPUTED_VALUE"""),"товари")</f>
        <v>товари</v>
      </c>
      <c r="B3977" s="16" t="str">
        <f>IFERROR(__xludf.DUMMYFUNCTION("""COMPUTED_VALUE"""),"техніка та електроніка")</f>
        <v>техніка та електроніка</v>
      </c>
      <c r="C3977" s="16" t="str">
        <f>IFERROR(__xludf.DUMMYFUNCTION("""COMPUTED_VALUE"""),"комп'ютерна техніка та пз")</f>
        <v>комп'ютерна техніка та пз</v>
      </c>
      <c r="D3977" s="16" t="str">
        <f>IFERROR(__xludf.DUMMYFUNCTION("""COMPUTED_VALUE"""),"комплектуючі для комп'ютерної техніки")</f>
        <v>комплектуючі для комп'ютерної техніки</v>
      </c>
      <c r="E3977" s="16" t="str">
        <f>IFERROR(__xludf.DUMMYFUNCTION("""COMPUTED_VALUE"""),"звукові карти")</f>
        <v>звукові карти</v>
      </c>
      <c r="F3977" s="17">
        <f>IFERROR(__xludf.DUMMYFUNCTION("""COMPUTED_VALUE"""),4.0)</f>
        <v>4</v>
      </c>
      <c r="G3977" s="17" t="str">
        <f>IFERROR(__xludf.DUMMYFUNCTION("""COMPUTED_VALUE"""),"71403")</f>
        <v>71403</v>
      </c>
      <c r="H3977" s="17" t="str">
        <f>IFERROR(__xludf.DUMMYFUNCTION("""COMPUTED_VALUE"""),"звукові карти")</f>
        <v>звукові карти</v>
      </c>
      <c r="I3977" s="19">
        <f>IFERROR(__xludf.DUMMYFUNCTION("""COMPUTED_VALUE"""),0.071)</f>
        <v>0.071</v>
      </c>
      <c r="J3977" s="19">
        <f>IFERROR(__xludf.DUMMYFUNCTION("""COMPUTED_VALUE"""),0.1419)</f>
        <v>0.1419</v>
      </c>
      <c r="K3977" s="19">
        <f>IFERROR(__xludf.DUMMYFUNCTION("""COMPUTED_VALUE"""),0.1774)</f>
        <v>0.1774</v>
      </c>
      <c r="L3977" s="19">
        <f>IFERROR(__xludf.DUMMYFUNCTION("""COMPUTED_VALUE"""),0.2129)</f>
        <v>0.2129</v>
      </c>
      <c r="M3977" s="18">
        <f>IFERROR(__xludf.DUMMYFUNCTION("""COMPUTED_VALUE"""),1.71)</f>
        <v>1.71</v>
      </c>
    </row>
    <row r="3978">
      <c r="A3978" s="13" t="str">
        <f>IFERROR(__xludf.DUMMYFUNCTION("""COMPUTED_VALUE"""),"товари")</f>
        <v>товари</v>
      </c>
      <c r="B3978" s="16" t="str">
        <f>IFERROR(__xludf.DUMMYFUNCTION("""COMPUTED_VALUE"""),"техніка та електроніка")</f>
        <v>техніка та електроніка</v>
      </c>
      <c r="C3978" s="16" t="str">
        <f>IFERROR(__xludf.DUMMYFUNCTION("""COMPUTED_VALUE"""),"фото-, відеокамери та аксесуари")</f>
        <v>фото-, відеокамери та аксесуари</v>
      </c>
      <c r="D3978" s="16" t="str">
        <f>IFERROR(__xludf.DUMMYFUNCTION("""COMPUTED_VALUE"""),"аксесуари для фото-, відеокамер")</f>
        <v>аксесуари для фото-, відеокамер</v>
      </c>
      <c r="E3978" s="16" t="str">
        <f>IFERROR(__xludf.DUMMYFUNCTION("""COMPUTED_VALUE"""),"знімні об'єктиви")</f>
        <v>знімні об'єктиви</v>
      </c>
      <c r="F3978" s="17">
        <f>IFERROR(__xludf.DUMMYFUNCTION("""COMPUTED_VALUE"""),4.0)</f>
        <v>4</v>
      </c>
      <c r="G3978" s="17" t="str">
        <f>IFERROR(__xludf.DUMMYFUNCTION("""COMPUTED_VALUE"""),"1906")</f>
        <v>1906</v>
      </c>
      <c r="H3978" s="17" t="str">
        <f>IFERROR(__xludf.DUMMYFUNCTION("""COMPUTED_VALUE"""),"знімні об'єктиви")</f>
        <v>знімні об'єктиви</v>
      </c>
      <c r="I3978" s="19">
        <f>IFERROR(__xludf.DUMMYFUNCTION("""COMPUTED_VALUE"""),0.0971)</f>
        <v>0.0971</v>
      </c>
      <c r="J3978" s="19">
        <f>IFERROR(__xludf.DUMMYFUNCTION("""COMPUTED_VALUE"""),0.1941)</f>
        <v>0.1941</v>
      </c>
      <c r="K3978" s="19">
        <f>IFERROR(__xludf.DUMMYFUNCTION("""COMPUTED_VALUE"""),0.2426)</f>
        <v>0.2426</v>
      </c>
      <c r="L3978" s="19">
        <f>IFERROR(__xludf.DUMMYFUNCTION("""COMPUTED_VALUE"""),0.2912)</f>
        <v>0.2912</v>
      </c>
      <c r="M3978" s="18">
        <f>IFERROR(__xludf.DUMMYFUNCTION("""COMPUTED_VALUE"""),1.98)</f>
        <v>1.98</v>
      </c>
    </row>
    <row r="3979">
      <c r="A3979" s="13" t="str">
        <f>IFERROR(__xludf.DUMMYFUNCTION("""COMPUTED_VALUE"""),"товари")</f>
        <v>товари</v>
      </c>
      <c r="B3979" s="16" t="str">
        <f>IFERROR(__xludf.DUMMYFUNCTION("""COMPUTED_VALUE"""),"техніка та електроніка")</f>
        <v>техніка та електроніка</v>
      </c>
      <c r="C3979" s="16" t="str">
        <f>IFERROR(__xludf.DUMMYFUNCTION("""COMPUTED_VALUE"""),"побутова техніка")</f>
        <v>побутова техніка</v>
      </c>
      <c r="D3979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3979" s="16" t="str">
        <f>IFERROR(__xludf.DUMMYFUNCTION("""COMPUTED_VALUE"""),"зубні електрощітки, іригатори")</f>
        <v>зубні електрощітки, іригатори</v>
      </c>
      <c r="F3979" s="17">
        <f>IFERROR(__xludf.DUMMYFUNCTION("""COMPUTED_VALUE"""),4.0)</f>
        <v>4</v>
      </c>
      <c r="G3979" s="17" t="str">
        <f>IFERROR(__xludf.DUMMYFUNCTION("""COMPUTED_VALUE"""),"63301")</f>
        <v>63301</v>
      </c>
      <c r="H3979" s="17" t="str">
        <f>IFERROR(__xludf.DUMMYFUNCTION("""COMPUTED_VALUE"""),"зубні електрощітки, іригатори")</f>
        <v>зубні електрощітки, іригатори</v>
      </c>
      <c r="I3979" s="19">
        <f>IFERROR(__xludf.DUMMYFUNCTION("""COMPUTED_VALUE"""),0.0806)</f>
        <v>0.0806</v>
      </c>
      <c r="J3979" s="19">
        <f>IFERROR(__xludf.DUMMYFUNCTION("""COMPUTED_VALUE"""),0.1612)</f>
        <v>0.1612</v>
      </c>
      <c r="K3979" s="19">
        <f>IFERROR(__xludf.DUMMYFUNCTION("""COMPUTED_VALUE"""),0.2015)</f>
        <v>0.2015</v>
      </c>
      <c r="L3979" s="19">
        <f>IFERROR(__xludf.DUMMYFUNCTION("""COMPUTED_VALUE"""),0.2418)</f>
        <v>0.2418</v>
      </c>
      <c r="M3979" s="18">
        <f>IFERROR(__xludf.DUMMYFUNCTION("""COMPUTED_VALUE"""),4.05)</f>
        <v>4.05</v>
      </c>
    </row>
    <row r="3980">
      <c r="A3980" s="13" t="str">
        <f>IFERROR(__xludf.DUMMYFUNCTION("""COMPUTED_VALUE"""),"товари")</f>
        <v>товари</v>
      </c>
      <c r="B3980" s="16" t="str">
        <f>IFERROR(__xludf.DUMMYFUNCTION("""COMPUTED_VALUE"""),"техніка та електроніка")</f>
        <v>техніка та електроніка</v>
      </c>
      <c r="C3980" s="16" t="str">
        <f>IFERROR(__xludf.DUMMYFUNCTION("""COMPUTED_VALUE"""),"комп'ютерна техніка та пз")</f>
        <v>комп'ютерна техніка та пз</v>
      </c>
      <c r="D3980" s="16" t="str">
        <f>IFERROR(__xludf.DUMMYFUNCTION("""COMPUTED_VALUE"""),"ігрові консолі та приставки")</f>
        <v>ігрові консолі та приставки</v>
      </c>
      <c r="E3980" s="16" t="str">
        <f>IFERROR(__xludf.DUMMYFUNCTION("""COMPUTED_VALUE"""),"ігрові приставки")</f>
        <v>ігрові приставки</v>
      </c>
      <c r="F3980" s="17">
        <f>IFERROR(__xludf.DUMMYFUNCTION("""COMPUTED_VALUE"""),4.0)</f>
        <v>4</v>
      </c>
      <c r="G3980" s="17" t="str">
        <f>IFERROR(__xludf.DUMMYFUNCTION("""COMPUTED_VALUE"""),"180603")</f>
        <v>180603</v>
      </c>
      <c r="H3980" s="17" t="str">
        <f>IFERROR(__xludf.DUMMYFUNCTION("""COMPUTED_VALUE"""),"ігрові приставки")</f>
        <v>ігрові приставки</v>
      </c>
      <c r="I3980" s="19">
        <f>IFERROR(__xludf.DUMMYFUNCTION("""COMPUTED_VALUE"""),0.0628)</f>
        <v>0.0628</v>
      </c>
      <c r="J3980" s="19">
        <f>IFERROR(__xludf.DUMMYFUNCTION("""COMPUTED_VALUE"""),0.1255)</f>
        <v>0.1255</v>
      </c>
      <c r="K3980" s="19">
        <f>IFERROR(__xludf.DUMMYFUNCTION("""COMPUTED_VALUE"""),0.1569)</f>
        <v>0.1569</v>
      </c>
      <c r="L3980" s="19">
        <f>IFERROR(__xludf.DUMMYFUNCTION("""COMPUTED_VALUE"""),0.1883)</f>
        <v>0.1883</v>
      </c>
      <c r="M3980" s="18">
        <f>IFERROR(__xludf.DUMMYFUNCTION("""COMPUTED_VALUE"""),1.98)</f>
        <v>1.98</v>
      </c>
    </row>
    <row r="3981">
      <c r="A3981" s="13" t="str">
        <f>IFERROR(__xludf.DUMMYFUNCTION("""COMPUTED_VALUE"""),"товари")</f>
        <v>товари</v>
      </c>
      <c r="B3981" s="16" t="str">
        <f>IFERROR(__xludf.DUMMYFUNCTION("""COMPUTED_VALUE"""),"техніка та електроніка")</f>
        <v>техніка та електроніка</v>
      </c>
      <c r="C3981" s="16" t="str">
        <f>IFERROR(__xludf.DUMMYFUNCTION("""COMPUTED_VALUE"""),"комп'ютерна техніка та пз")</f>
        <v>комп'ютерна техніка та пз</v>
      </c>
      <c r="D3981" s="16" t="str">
        <f>IFERROR(__xludf.DUMMYFUNCTION("""COMPUTED_VALUE"""),"ігрові консолі та приставки")</f>
        <v>ігрові консолі та приставки</v>
      </c>
      <c r="E3981" s="16" t="str">
        <f>IFERROR(__xludf.DUMMYFUNCTION("""COMPUTED_VALUE"""),"ігрові приставки та комплектуючі, загальне")</f>
        <v>ігрові приставки та комплектуючі, загальне</v>
      </c>
      <c r="F3981" s="17">
        <f>IFERROR(__xludf.DUMMYFUNCTION("""COMPUTED_VALUE"""),4.0)</f>
        <v>4</v>
      </c>
      <c r="G3981" s="17" t="str">
        <f>IFERROR(__xludf.DUMMYFUNCTION("""COMPUTED_VALUE"""),"71801")</f>
        <v>71801</v>
      </c>
      <c r="H3981" s="17" t="str">
        <f>IFERROR(__xludf.DUMMYFUNCTION("""COMPUTED_VALUE"""),"ігрові приставки та комплектуючі, загальне")</f>
        <v>ігрові приставки та комплектуючі, загальне</v>
      </c>
      <c r="I3981" s="19">
        <f>IFERROR(__xludf.DUMMYFUNCTION("""COMPUTED_VALUE"""),0.125)</f>
        <v>0.125</v>
      </c>
      <c r="J3981" s="19">
        <f>IFERROR(__xludf.DUMMYFUNCTION("""COMPUTED_VALUE"""),0.25)</f>
        <v>0.25</v>
      </c>
      <c r="K3981" s="19">
        <f>IFERROR(__xludf.DUMMYFUNCTION("""COMPUTED_VALUE"""),0.3125)</f>
        <v>0.3125</v>
      </c>
      <c r="L3981" s="19">
        <f>IFERROR(__xludf.DUMMYFUNCTION("""COMPUTED_VALUE"""),0.375)</f>
        <v>0.375</v>
      </c>
      <c r="M3981" s="18">
        <f>IFERROR(__xludf.DUMMYFUNCTION("""COMPUTED_VALUE"""),4.33)</f>
        <v>4.33</v>
      </c>
    </row>
    <row r="3982">
      <c r="A3982" s="13" t="str">
        <f>IFERROR(__xludf.DUMMYFUNCTION("""COMPUTED_VALUE"""),"товари")</f>
        <v>товари</v>
      </c>
      <c r="B3982" s="16" t="str">
        <f>IFERROR(__xludf.DUMMYFUNCTION("""COMPUTED_VALUE"""),"техніка та електроніка")</f>
        <v>техніка та електроніка</v>
      </c>
      <c r="C3982" s="16" t="str">
        <f>IFERROR(__xludf.DUMMYFUNCTION("""COMPUTED_VALUE"""),"телефони та аксесуари")</f>
        <v>телефони та аксесуари</v>
      </c>
      <c r="D3982" s="16" t="str">
        <f>IFERROR(__xludf.DUMMYFUNCTION("""COMPUTED_VALUE"""),"інструмент для ремонту мобільних пристроїв")</f>
        <v>інструмент для ремонту мобільних пристроїв</v>
      </c>
      <c r="E3982" s="16" t="str">
        <f>IFERROR(__xludf.DUMMYFUNCTION("""COMPUTED_VALUE"""),"інструмент для ремонту мобільних пристроїв")</f>
        <v>інструмент для ремонту мобільних пристроїв</v>
      </c>
      <c r="F3982" s="17">
        <f>IFERROR(__xludf.DUMMYFUNCTION("""COMPUTED_VALUE"""),3.0)</f>
        <v>3</v>
      </c>
      <c r="G3982" s="17" t="str">
        <f>IFERROR(__xludf.DUMMYFUNCTION("""COMPUTED_VALUE"""),"5090216")</f>
        <v>5090216</v>
      </c>
      <c r="H3982" s="17" t="str">
        <f>IFERROR(__xludf.DUMMYFUNCTION("""COMPUTED_VALUE"""),"інструмент для ремонту мобільних пристроїв")</f>
        <v>інструмент для ремонту мобільних пристроїв</v>
      </c>
      <c r="I3982" s="19">
        <f>IFERROR(__xludf.DUMMYFUNCTION("""COMPUTED_VALUE"""),0.0593)</f>
        <v>0.0593</v>
      </c>
      <c r="J3982" s="19">
        <f>IFERROR(__xludf.DUMMYFUNCTION("""COMPUTED_VALUE"""),0.1186)</f>
        <v>0.1186</v>
      </c>
      <c r="K3982" s="19">
        <f>IFERROR(__xludf.DUMMYFUNCTION("""COMPUTED_VALUE"""),0.1483)</f>
        <v>0.1483</v>
      </c>
      <c r="L3982" s="19">
        <f>IFERROR(__xludf.DUMMYFUNCTION("""COMPUTED_VALUE"""),0.1779)</f>
        <v>0.1779</v>
      </c>
      <c r="M3982" s="18">
        <f>IFERROR(__xludf.DUMMYFUNCTION("""COMPUTED_VALUE"""),1.63)</f>
        <v>1.63</v>
      </c>
    </row>
    <row r="3983">
      <c r="A3983" s="13" t="str">
        <f>IFERROR(__xludf.DUMMYFUNCTION("""COMPUTED_VALUE"""),"товари")</f>
        <v>товари</v>
      </c>
      <c r="B3983" s="16" t="str">
        <f>IFERROR(__xludf.DUMMYFUNCTION("""COMPUTED_VALUE"""),"техніка та електроніка")</f>
        <v>техніка та електроніка</v>
      </c>
      <c r="C3983" s="16" t="str">
        <f>IFERROR(__xludf.DUMMYFUNCTION("""COMPUTED_VALUE"""),"побутова техніка")</f>
        <v>побутова техніка</v>
      </c>
      <c r="D3983" s="16" t="str">
        <f>IFERROR(__xludf.DUMMYFUNCTION("""COMPUTED_VALUE"""),"кліматична техніка")</f>
        <v>кліматична техніка</v>
      </c>
      <c r="E3983" s="16" t="str">
        <f>IFERROR(__xludf.DUMMYFUNCTION("""COMPUTED_VALUE"""),"інфрачервоні та каталітичні обігрівачі")</f>
        <v>інфрачервоні та каталітичні обігрівачі</v>
      </c>
      <c r="F3983" s="17">
        <f>IFERROR(__xludf.DUMMYFUNCTION("""COMPUTED_VALUE"""),4.0)</f>
        <v>4</v>
      </c>
      <c r="G3983" s="17" t="str">
        <f>IFERROR(__xludf.DUMMYFUNCTION("""COMPUTED_VALUE"""),"62601")</f>
        <v>62601</v>
      </c>
      <c r="H3983" s="17" t="str">
        <f>IFERROR(__xludf.DUMMYFUNCTION("""COMPUTED_VALUE"""),"інфрачервоні та каталітичні обігрівачі")</f>
        <v>інфрачервоні та каталітичні обігрівачі</v>
      </c>
      <c r="I3983" s="19">
        <f>IFERROR(__xludf.DUMMYFUNCTION("""COMPUTED_VALUE"""),0.0524)</f>
        <v>0.0524</v>
      </c>
      <c r="J3983" s="19">
        <f>IFERROR(__xludf.DUMMYFUNCTION("""COMPUTED_VALUE"""),0.1048)</f>
        <v>0.1048</v>
      </c>
      <c r="K3983" s="19">
        <f>IFERROR(__xludf.DUMMYFUNCTION("""COMPUTED_VALUE"""),0.131)</f>
        <v>0.131</v>
      </c>
      <c r="L3983" s="19">
        <f>IFERROR(__xludf.DUMMYFUNCTION("""COMPUTED_VALUE"""),0.1572)</f>
        <v>0.1572</v>
      </c>
      <c r="M3983" s="18">
        <f>IFERROR(__xludf.DUMMYFUNCTION("""COMPUTED_VALUE"""),3.78)</f>
        <v>3.78</v>
      </c>
    </row>
    <row r="3984">
      <c r="A3984" s="13" t="str">
        <f>IFERROR(__xludf.DUMMYFUNCTION("""COMPUTED_VALUE"""),"товари")</f>
        <v>товари</v>
      </c>
      <c r="B3984" s="16" t="str">
        <f>IFERROR(__xludf.DUMMYFUNCTION("""COMPUTED_VALUE"""),"техніка та електроніка")</f>
        <v>техніка та електроніка</v>
      </c>
      <c r="C3984" s="16" t="str">
        <f>IFERROR(__xludf.DUMMYFUNCTION("""COMPUTED_VALUE"""),"побутова техніка")</f>
        <v>побутова техніка</v>
      </c>
      <c r="D3984" s="16" t="str">
        <f>IFERROR(__xludf.DUMMYFUNCTION("""COMPUTED_VALUE"""),"дрібна побутова техніка для кухні")</f>
        <v>дрібна побутова техніка для кухні</v>
      </c>
      <c r="E3984" s="16" t="str">
        <f>IFERROR(__xludf.DUMMYFUNCTION("""COMPUTED_VALUE"""),"йогуртниці, морозивниці")</f>
        <v>йогуртниці, морозивниці</v>
      </c>
      <c r="F3984" s="17">
        <f>IFERROR(__xludf.DUMMYFUNCTION("""COMPUTED_VALUE"""),4.0)</f>
        <v>4</v>
      </c>
      <c r="G3984" s="17" t="str">
        <f>IFERROR(__xludf.DUMMYFUNCTION("""COMPUTED_VALUE"""),"64311")</f>
        <v>64311</v>
      </c>
      <c r="H3984" s="17" t="str">
        <f>IFERROR(__xludf.DUMMYFUNCTION("""COMPUTED_VALUE"""),"йогуртниці, морозивниці")</f>
        <v>йогуртниці, морозивниці</v>
      </c>
      <c r="I3984" s="19">
        <f>IFERROR(__xludf.DUMMYFUNCTION("""COMPUTED_VALUE"""),0.0628)</f>
        <v>0.0628</v>
      </c>
      <c r="J3984" s="19">
        <f>IFERROR(__xludf.DUMMYFUNCTION("""COMPUTED_VALUE"""),0.1255)</f>
        <v>0.1255</v>
      </c>
      <c r="K3984" s="19">
        <f>IFERROR(__xludf.DUMMYFUNCTION("""COMPUTED_VALUE"""),0.1569)</f>
        <v>0.1569</v>
      </c>
      <c r="L3984" s="19">
        <f>IFERROR(__xludf.DUMMYFUNCTION("""COMPUTED_VALUE"""),0.1883)</f>
        <v>0.1883</v>
      </c>
      <c r="M3984" s="18">
        <f>IFERROR(__xludf.DUMMYFUNCTION("""COMPUTED_VALUE"""),3.06)</f>
        <v>3.06</v>
      </c>
    </row>
    <row r="3985">
      <c r="A3985" s="13" t="str">
        <f>IFERROR(__xludf.DUMMYFUNCTION("""COMPUTED_VALUE"""),"товари")</f>
        <v>товари</v>
      </c>
      <c r="B3985" s="16" t="str">
        <f>IFERROR(__xludf.DUMMYFUNCTION("""COMPUTED_VALUE"""),"техніка та електроніка")</f>
        <v>техніка та електроніка</v>
      </c>
      <c r="C3985" s="16" t="str">
        <f>IFERROR(__xludf.DUMMYFUNCTION("""COMPUTED_VALUE"""),"tv та відеотехніка")</f>
        <v>tv та відеотехніка</v>
      </c>
      <c r="D3985" s="16" t="str">
        <f>IFERROR(__xludf.DUMMYFUNCTION("""COMPUTED_VALUE"""),"аксесуари для телевізорів та проекторів")</f>
        <v>аксесуари для телевізорів та проекторів</v>
      </c>
      <c r="E3985" s="16" t="str">
        <f>IFERROR(__xludf.DUMMYFUNCTION("""COMPUTED_VALUE"""),"кабелі для електроніки")</f>
        <v>кабелі для електроніки</v>
      </c>
      <c r="F3985" s="17">
        <f>IFERROR(__xludf.DUMMYFUNCTION("""COMPUTED_VALUE"""),4.0)</f>
        <v>4</v>
      </c>
      <c r="G3985" s="17" t="str">
        <f>IFERROR(__xludf.DUMMYFUNCTION("""COMPUTED_VALUE"""),"63719")</f>
        <v>63719</v>
      </c>
      <c r="H3985" s="17" t="str">
        <f>IFERROR(__xludf.DUMMYFUNCTION("""COMPUTED_VALUE"""),"кабелі для електроніки")</f>
        <v>кабелі для електроніки</v>
      </c>
      <c r="I3985" s="19">
        <f>IFERROR(__xludf.DUMMYFUNCTION("""COMPUTED_VALUE"""),0.075)</f>
        <v>0.075</v>
      </c>
      <c r="J3985" s="19">
        <f>IFERROR(__xludf.DUMMYFUNCTION("""COMPUTED_VALUE"""),0.15)</f>
        <v>0.15</v>
      </c>
      <c r="K3985" s="19">
        <f>IFERROR(__xludf.DUMMYFUNCTION("""COMPUTED_VALUE"""),0.1875)</f>
        <v>0.1875</v>
      </c>
      <c r="L3985" s="19">
        <f>IFERROR(__xludf.DUMMYFUNCTION("""COMPUTED_VALUE"""),0.225)</f>
        <v>0.225</v>
      </c>
      <c r="M3985" s="18">
        <f>IFERROR(__xludf.DUMMYFUNCTION("""COMPUTED_VALUE"""),2.16)</f>
        <v>2.16</v>
      </c>
    </row>
    <row r="3986">
      <c r="A3986" s="13" t="str">
        <f>IFERROR(__xludf.DUMMYFUNCTION("""COMPUTED_VALUE"""),"товари")</f>
        <v>товари</v>
      </c>
      <c r="B3986" s="16" t="str">
        <f>IFERROR(__xludf.DUMMYFUNCTION("""COMPUTED_VALUE"""),"техніка та електроніка")</f>
        <v>техніка та електроніка</v>
      </c>
      <c r="C3986" s="16" t="str">
        <f>IFERROR(__xludf.DUMMYFUNCTION("""COMPUTED_VALUE"""),"побутова техніка")</f>
        <v>побутова техніка</v>
      </c>
      <c r="D3986" s="16" t="str">
        <f>IFERROR(__xludf.DUMMYFUNCTION("""COMPUTED_VALUE"""),"дрібна побутова техніка для кухні")</f>
        <v>дрібна побутова техніка для кухні</v>
      </c>
      <c r="E3986" s="16" t="str">
        <f>IFERROR(__xludf.DUMMYFUNCTION("""COMPUTED_VALUE"""),"кавоварки та кавомашини")</f>
        <v>кавоварки та кавомашини</v>
      </c>
      <c r="F3986" s="17">
        <f>IFERROR(__xludf.DUMMYFUNCTION("""COMPUTED_VALUE"""),4.0)</f>
        <v>4</v>
      </c>
      <c r="G3986" s="17" t="str">
        <f>IFERROR(__xludf.DUMMYFUNCTION("""COMPUTED_VALUE"""),"638")</f>
        <v>638</v>
      </c>
      <c r="H3986" s="17" t="str">
        <f>IFERROR(__xludf.DUMMYFUNCTION("""COMPUTED_VALUE"""),"кавоварки та кавомашини")</f>
        <v>кавоварки та кавомашини</v>
      </c>
      <c r="I3986" s="19">
        <f>IFERROR(__xludf.DUMMYFUNCTION("""COMPUTED_VALUE"""),0.0668)</f>
        <v>0.0668</v>
      </c>
      <c r="J3986" s="19">
        <f>IFERROR(__xludf.DUMMYFUNCTION("""COMPUTED_VALUE"""),0.1336)</f>
        <v>0.1336</v>
      </c>
      <c r="K3986" s="19">
        <f>IFERROR(__xludf.DUMMYFUNCTION("""COMPUTED_VALUE"""),0.167)</f>
        <v>0.167</v>
      </c>
      <c r="L3986" s="19">
        <f>IFERROR(__xludf.DUMMYFUNCTION("""COMPUTED_VALUE"""),0.2004)</f>
        <v>0.2004</v>
      </c>
      <c r="M3986" s="18">
        <f>IFERROR(__xludf.DUMMYFUNCTION("""COMPUTED_VALUE"""),3.06)</f>
        <v>3.06</v>
      </c>
    </row>
    <row r="3987">
      <c r="A3987" s="13" t="str">
        <f>IFERROR(__xludf.DUMMYFUNCTION("""COMPUTED_VALUE"""),"товари")</f>
        <v>товари</v>
      </c>
      <c r="B3987" s="16" t="str">
        <f>IFERROR(__xludf.DUMMYFUNCTION("""COMPUTED_VALUE"""),"техніка та електроніка")</f>
        <v>техніка та електроніка</v>
      </c>
      <c r="C3987" s="16" t="str">
        <f>IFERROR(__xludf.DUMMYFUNCTION("""COMPUTED_VALUE"""),"побутова техніка")</f>
        <v>побутова техніка</v>
      </c>
      <c r="D3987" s="16" t="str">
        <f>IFERROR(__xludf.DUMMYFUNCTION("""COMPUTED_VALUE"""),"дрібна побутова техніка для кухні")</f>
        <v>дрібна побутова техніка для кухні</v>
      </c>
      <c r="E3987" s="16" t="str">
        <f>IFERROR(__xludf.DUMMYFUNCTION("""COMPUTED_VALUE"""),"кавомолки")</f>
        <v>кавомолки</v>
      </c>
      <c r="F3987" s="17">
        <f>IFERROR(__xludf.DUMMYFUNCTION("""COMPUTED_VALUE"""),4.0)</f>
        <v>4</v>
      </c>
      <c r="G3987" s="17" t="str">
        <f>IFERROR(__xludf.DUMMYFUNCTION("""COMPUTED_VALUE"""),"6300401")</f>
        <v>6300401</v>
      </c>
      <c r="H3987" s="17" t="str">
        <f>IFERROR(__xludf.DUMMYFUNCTION("""COMPUTED_VALUE"""),"кавомолки")</f>
        <v>кавомолки</v>
      </c>
      <c r="I3987" s="19">
        <f>IFERROR(__xludf.DUMMYFUNCTION("""COMPUTED_VALUE"""),0.0753)</f>
        <v>0.0753</v>
      </c>
      <c r="J3987" s="19">
        <f>IFERROR(__xludf.DUMMYFUNCTION("""COMPUTED_VALUE"""),0.1505)</f>
        <v>0.1505</v>
      </c>
      <c r="K3987" s="19">
        <f>IFERROR(__xludf.DUMMYFUNCTION("""COMPUTED_VALUE"""),0.1881)</f>
        <v>0.1881</v>
      </c>
      <c r="L3987" s="19">
        <f>IFERROR(__xludf.DUMMYFUNCTION("""COMPUTED_VALUE"""),0.2258)</f>
        <v>0.2258</v>
      </c>
      <c r="M3987" s="18">
        <f>IFERROR(__xludf.DUMMYFUNCTION("""COMPUTED_VALUE"""),3.06)</f>
        <v>3.06</v>
      </c>
    </row>
    <row r="3988">
      <c r="A3988" s="13" t="str">
        <f>IFERROR(__xludf.DUMMYFUNCTION("""COMPUTED_VALUE"""),"товари")</f>
        <v>товари</v>
      </c>
      <c r="B3988" s="16" t="str">
        <f>IFERROR(__xludf.DUMMYFUNCTION("""COMPUTED_VALUE"""),"техніка та електроніка")</f>
        <v>техніка та електроніка</v>
      </c>
      <c r="C3988" s="16" t="str">
        <f>IFERROR(__xludf.DUMMYFUNCTION("""COMPUTED_VALUE"""),"телефони та аксесуари")</f>
        <v>телефони та аксесуари</v>
      </c>
      <c r="D3988" s="16" t="str">
        <f>IFERROR(__xludf.DUMMYFUNCTION("""COMPUTED_VALUE"""),"комплектуючі для мобільних телефонів")</f>
        <v>комплектуючі для мобільних телефонів</v>
      </c>
      <c r="E3988" s="16" t="str">
        <f>IFERROR(__xludf.DUMMYFUNCTION("""COMPUTED_VALUE"""),"камери для мобільних телефонів")</f>
        <v>камери для мобільних телефонів</v>
      </c>
      <c r="F3988" s="17">
        <f>IFERROR(__xludf.DUMMYFUNCTION("""COMPUTED_VALUE"""),4.0)</f>
        <v>4</v>
      </c>
      <c r="G3988" s="17" t="str">
        <f>IFERROR(__xludf.DUMMYFUNCTION("""COMPUTED_VALUE"""),"5090214")</f>
        <v>5090214</v>
      </c>
      <c r="H3988" s="17" t="str">
        <f>IFERROR(__xludf.DUMMYFUNCTION("""COMPUTED_VALUE"""),"камери для мобільних телефонів")</f>
        <v>камери для мобільних телефонів</v>
      </c>
      <c r="I3988" s="19">
        <f>IFERROR(__xludf.DUMMYFUNCTION("""COMPUTED_VALUE"""),0.099)</f>
        <v>0.099</v>
      </c>
      <c r="J3988" s="19">
        <f>IFERROR(__xludf.DUMMYFUNCTION("""COMPUTED_VALUE"""),0.1979)</f>
        <v>0.1979</v>
      </c>
      <c r="K3988" s="19">
        <f>IFERROR(__xludf.DUMMYFUNCTION("""COMPUTED_VALUE"""),0.2474)</f>
        <v>0.2474</v>
      </c>
      <c r="L3988" s="19">
        <f>IFERROR(__xludf.DUMMYFUNCTION("""COMPUTED_VALUE"""),0.2969)</f>
        <v>0.2969</v>
      </c>
      <c r="M3988" s="18">
        <f>IFERROR(__xludf.DUMMYFUNCTION("""COMPUTED_VALUE"""),2.88)</f>
        <v>2.88</v>
      </c>
    </row>
    <row r="3989">
      <c r="A3989" s="13" t="str">
        <f>IFERROR(__xludf.DUMMYFUNCTION("""COMPUTED_VALUE"""),"товари")</f>
        <v>товари</v>
      </c>
      <c r="B3989" s="16" t="str">
        <f>IFERROR(__xludf.DUMMYFUNCTION("""COMPUTED_VALUE"""),"техніка та електроніка")</f>
        <v>техніка та електроніка</v>
      </c>
      <c r="C3989" s="16" t="str">
        <f>IFERROR(__xludf.DUMMYFUNCTION("""COMPUTED_VALUE"""),"комп'ютерна техніка та пз")</f>
        <v>комп'ютерна техніка та пз</v>
      </c>
      <c r="D3989" s="16" t="str">
        <f>IFERROR(__xludf.DUMMYFUNCTION("""COMPUTED_VALUE"""),"комплектуючі для комп'ютерної техніки")</f>
        <v>комплектуючі для комп'ютерної техніки</v>
      </c>
      <c r="E3989" s="16" t="str">
        <f>IFERROR(__xludf.DUMMYFUNCTION("""COMPUTED_VALUE"""),"камери для портативних пк")</f>
        <v>камери для портативних пк</v>
      </c>
      <c r="F3989" s="17">
        <f>IFERROR(__xludf.DUMMYFUNCTION("""COMPUTED_VALUE"""),4.0)</f>
        <v>4</v>
      </c>
      <c r="G3989" s="17" t="str">
        <f>IFERROR(__xludf.DUMMYFUNCTION("""COMPUTED_VALUE"""),"70714")</f>
        <v>70714</v>
      </c>
      <c r="H3989" s="17" t="str">
        <f>IFERROR(__xludf.DUMMYFUNCTION("""COMPUTED_VALUE"""),"камери для портативних пк")</f>
        <v>камери для портативних пк</v>
      </c>
      <c r="I3989" s="19">
        <f>IFERROR(__xludf.DUMMYFUNCTION("""COMPUTED_VALUE"""),0.075)</f>
        <v>0.075</v>
      </c>
      <c r="J3989" s="19">
        <f>IFERROR(__xludf.DUMMYFUNCTION("""COMPUTED_VALUE"""),0.1499)</f>
        <v>0.1499</v>
      </c>
      <c r="K3989" s="19">
        <f>IFERROR(__xludf.DUMMYFUNCTION("""COMPUTED_VALUE"""),0.1874)</f>
        <v>0.1874</v>
      </c>
      <c r="L3989" s="19">
        <f>IFERROR(__xludf.DUMMYFUNCTION("""COMPUTED_VALUE"""),0.2249)</f>
        <v>0.2249</v>
      </c>
      <c r="M3989" s="18">
        <f>IFERROR(__xludf.DUMMYFUNCTION("""COMPUTED_VALUE"""),1.71)</f>
        <v>1.71</v>
      </c>
    </row>
    <row r="3990">
      <c r="A3990" s="13" t="str">
        <f>IFERROR(__xludf.DUMMYFUNCTION("""COMPUTED_VALUE"""),"товари")</f>
        <v>товари</v>
      </c>
      <c r="B3990" s="16" t="str">
        <f>IFERROR(__xludf.DUMMYFUNCTION("""COMPUTED_VALUE"""),"техніка та електроніка")</f>
        <v>техніка та електроніка</v>
      </c>
      <c r="C3990" s="16" t="str">
        <f>IFERROR(__xludf.DUMMYFUNCTION("""COMPUTED_VALUE"""),"комп'ютерна техніка та пз")</f>
        <v>комп'ютерна техніка та пз</v>
      </c>
      <c r="D3990" s="16" t="str">
        <f>IFERROR(__xludf.DUMMYFUNCTION("""COMPUTED_VALUE"""),"носії інформації")</f>
        <v>носії інформації</v>
      </c>
      <c r="E3990" s="16" t="str">
        <f>IFERROR(__xludf.DUMMYFUNCTION("""COMPUTED_VALUE"""),"карти пам'яті")</f>
        <v>карти пам'яті</v>
      </c>
      <c r="F3990" s="17">
        <f>IFERROR(__xludf.DUMMYFUNCTION("""COMPUTED_VALUE"""),4.0)</f>
        <v>4</v>
      </c>
      <c r="G3990" s="17" t="str">
        <f>IFERROR(__xludf.DUMMYFUNCTION("""COMPUTED_VALUE"""),"63705")</f>
        <v>63705</v>
      </c>
      <c r="H3990" s="17" t="str">
        <f>IFERROR(__xludf.DUMMYFUNCTION("""COMPUTED_VALUE"""),"карти пам'яті")</f>
        <v>карти пам'яті</v>
      </c>
      <c r="I3990" s="19">
        <f>IFERROR(__xludf.DUMMYFUNCTION("""COMPUTED_VALUE"""),0.0891)</f>
        <v>0.0891</v>
      </c>
      <c r="J3990" s="19">
        <f>IFERROR(__xludf.DUMMYFUNCTION("""COMPUTED_VALUE"""),0.1781)</f>
        <v>0.1781</v>
      </c>
      <c r="K3990" s="19">
        <f>IFERROR(__xludf.DUMMYFUNCTION("""COMPUTED_VALUE"""),0.2226)</f>
        <v>0.2226</v>
      </c>
      <c r="L3990" s="19">
        <f>IFERROR(__xludf.DUMMYFUNCTION("""COMPUTED_VALUE"""),0.2672)</f>
        <v>0.2672</v>
      </c>
      <c r="M3990" s="18">
        <f>IFERROR(__xludf.DUMMYFUNCTION("""COMPUTED_VALUE"""),1.8)</f>
        <v>1.8</v>
      </c>
    </row>
    <row r="3991">
      <c r="A3991" s="13" t="str">
        <f>IFERROR(__xludf.DUMMYFUNCTION("""COMPUTED_VALUE"""),"товари")</f>
        <v>товари</v>
      </c>
      <c r="B3991" s="16" t="str">
        <f>IFERROR(__xludf.DUMMYFUNCTION("""COMPUTED_VALUE"""),"техніка та електроніка")</f>
        <v>техніка та електроніка</v>
      </c>
      <c r="C3991" s="16" t="str">
        <f>IFERROR(__xludf.DUMMYFUNCTION("""COMPUTED_VALUE"""),"комп'ютерна техніка та пз")</f>
        <v>комп'ютерна техніка та пз</v>
      </c>
      <c r="D3991" s="16" t="str">
        <f>IFERROR(__xludf.DUMMYFUNCTION("""COMPUTED_VALUE"""),"принтери, сканери, бфп та комплектуючі")</f>
        <v>принтери, сканери, бфп та комплектуючі</v>
      </c>
      <c r="E3991" s="16" t="str">
        <f>IFERROR(__xludf.DUMMYFUNCTION("""COMPUTED_VALUE"""),"картриджі, фотобарабани")</f>
        <v>картриджі, фотобарабани</v>
      </c>
      <c r="F3991" s="17">
        <f>IFERROR(__xludf.DUMMYFUNCTION("""COMPUTED_VALUE"""),4.0)</f>
        <v>4</v>
      </c>
      <c r="G3991" s="17" t="str">
        <f>IFERROR(__xludf.DUMMYFUNCTION("""COMPUTED_VALUE"""),"71001")</f>
        <v>71001</v>
      </c>
      <c r="H3991" s="17" t="str">
        <f>IFERROR(__xludf.DUMMYFUNCTION("""COMPUTED_VALUE"""),"картриджі, фотобарабани")</f>
        <v>картриджі, фотобарабани</v>
      </c>
      <c r="I3991" s="19">
        <f>IFERROR(__xludf.DUMMYFUNCTION("""COMPUTED_VALUE"""),0.0665)</f>
        <v>0.0665</v>
      </c>
      <c r="J3991" s="19">
        <f>IFERROR(__xludf.DUMMYFUNCTION("""COMPUTED_VALUE"""),0.133)</f>
        <v>0.133</v>
      </c>
      <c r="K3991" s="19">
        <f>IFERROR(__xludf.DUMMYFUNCTION("""COMPUTED_VALUE"""),0.1663)</f>
        <v>0.1663</v>
      </c>
      <c r="L3991" s="19">
        <f>IFERROR(__xludf.DUMMYFUNCTION("""COMPUTED_VALUE"""),0.1995)</f>
        <v>0.1995</v>
      </c>
      <c r="M3991" s="18">
        <f>IFERROR(__xludf.DUMMYFUNCTION("""COMPUTED_VALUE"""),4.23)</f>
        <v>4.23</v>
      </c>
    </row>
    <row r="3992">
      <c r="A3992" s="13" t="str">
        <f>IFERROR(__xludf.DUMMYFUNCTION("""COMPUTED_VALUE"""),"товари")</f>
        <v>товари</v>
      </c>
      <c r="B3992" s="16" t="str">
        <f>IFERROR(__xludf.DUMMYFUNCTION("""COMPUTED_VALUE"""),"техніка та електроніка")</f>
        <v>техніка та електроніка</v>
      </c>
      <c r="C3992" s="16" t="str">
        <f>IFERROR(__xludf.DUMMYFUNCTION("""COMPUTED_VALUE"""),"комп'ютерна техніка та пз")</f>
        <v>комп'ютерна техніка та пз</v>
      </c>
      <c r="D3992" s="16" t="str">
        <f>IFERROR(__xludf.DUMMYFUNCTION("""COMPUTED_VALUE"""),"комп'ютерні аксесуари")</f>
        <v>комп'ютерні аксесуари</v>
      </c>
      <c r="E3992" s="16" t="str">
        <f>IFERROR(__xludf.DUMMYFUNCTION("""COMPUTED_VALUE"""),"картридери")</f>
        <v>картридери</v>
      </c>
      <c r="F3992" s="17">
        <f>IFERROR(__xludf.DUMMYFUNCTION("""COMPUTED_VALUE"""),4.0)</f>
        <v>4</v>
      </c>
      <c r="G3992" s="17" t="str">
        <f>IFERROR(__xludf.DUMMYFUNCTION("""COMPUTED_VALUE"""),"70809")</f>
        <v>70809</v>
      </c>
      <c r="H3992" s="17" t="str">
        <f>IFERROR(__xludf.DUMMYFUNCTION("""COMPUTED_VALUE"""),"картридери")</f>
        <v>картридери</v>
      </c>
      <c r="I3992" s="19">
        <f>IFERROR(__xludf.DUMMYFUNCTION("""COMPUTED_VALUE"""),0.098)</f>
        <v>0.098</v>
      </c>
      <c r="J3992" s="19">
        <f>IFERROR(__xludf.DUMMYFUNCTION("""COMPUTED_VALUE"""),0.196)</f>
        <v>0.196</v>
      </c>
      <c r="K3992" s="19">
        <f>IFERROR(__xludf.DUMMYFUNCTION("""COMPUTED_VALUE"""),0.245)</f>
        <v>0.245</v>
      </c>
      <c r="L3992" s="19">
        <f>IFERROR(__xludf.DUMMYFUNCTION("""COMPUTED_VALUE"""),0.294)</f>
        <v>0.294</v>
      </c>
      <c r="M3992" s="18">
        <f>IFERROR(__xludf.DUMMYFUNCTION("""COMPUTED_VALUE"""),2.53)</f>
        <v>2.53</v>
      </c>
    </row>
    <row r="3993">
      <c r="A3993" s="13" t="str">
        <f>IFERROR(__xludf.DUMMYFUNCTION("""COMPUTED_VALUE"""),"товари")</f>
        <v>товари</v>
      </c>
      <c r="B3993" s="16" t="str">
        <f>IFERROR(__xludf.DUMMYFUNCTION("""COMPUTED_VALUE"""),"техніка та електроніка")</f>
        <v>техніка та електроніка</v>
      </c>
      <c r="C3993" s="16" t="str">
        <f>IFERROR(__xludf.DUMMYFUNCTION("""COMPUTED_VALUE"""),"фото-, відеокамери та аксесуари")</f>
        <v>фото-, відеокамери та аксесуари</v>
      </c>
      <c r="D3993" s="16" t="str">
        <f>IFERROR(__xludf.DUMMYFUNCTION("""COMPUTED_VALUE"""),"квадрокоптери")</f>
        <v>квадрокоптери</v>
      </c>
      <c r="E3993" s="16" t="str">
        <f>IFERROR(__xludf.DUMMYFUNCTION("""COMPUTED_VALUE"""),"квадрокоптери")</f>
        <v>квадрокоптери</v>
      </c>
      <c r="F3993" s="17">
        <f>IFERROR(__xludf.DUMMYFUNCTION("""COMPUTED_VALUE"""),3.0)</f>
        <v>3</v>
      </c>
      <c r="G3993" s="17" t="str">
        <f>IFERROR(__xludf.DUMMYFUNCTION("""COMPUTED_VALUE"""),"2657")</f>
        <v>2657</v>
      </c>
      <c r="H3993" s="17" t="str">
        <f>IFERROR(__xludf.DUMMYFUNCTION("""COMPUTED_VALUE"""),"квадрокоптери")</f>
        <v>квадрокоптери</v>
      </c>
      <c r="I3993" s="19">
        <f>IFERROR(__xludf.DUMMYFUNCTION("""COMPUTED_VALUE"""),0.0475)</f>
        <v>0.0475</v>
      </c>
      <c r="J3993" s="19">
        <f>IFERROR(__xludf.DUMMYFUNCTION("""COMPUTED_VALUE"""),0.095)</f>
        <v>0.095</v>
      </c>
      <c r="K3993" s="19">
        <f>IFERROR(__xludf.DUMMYFUNCTION("""COMPUTED_VALUE"""),0.1188)</f>
        <v>0.1188</v>
      </c>
      <c r="L3993" s="19">
        <f>IFERROR(__xludf.DUMMYFUNCTION("""COMPUTED_VALUE"""),0.1425)</f>
        <v>0.1425</v>
      </c>
      <c r="M3993" s="18">
        <f>IFERROR(__xludf.DUMMYFUNCTION("""COMPUTED_VALUE"""),3.78)</f>
        <v>3.78</v>
      </c>
    </row>
    <row r="3994">
      <c r="A3994" s="13" t="str">
        <f>IFERROR(__xludf.DUMMYFUNCTION("""COMPUTED_VALUE"""),"товари")</f>
        <v>товари</v>
      </c>
      <c r="B3994" s="16" t="str">
        <f>IFERROR(__xludf.DUMMYFUNCTION("""COMPUTED_VALUE"""),"техніка та електроніка")</f>
        <v>техніка та електроніка</v>
      </c>
      <c r="C3994" s="16" t="str">
        <f>IFERROR(__xludf.DUMMYFUNCTION("""COMPUTED_VALUE"""),"комп'ютерна техніка та пз")</f>
        <v>комп'ютерна техніка та пз</v>
      </c>
      <c r="D3994" s="16" t="str">
        <f>IFERROR(__xludf.DUMMYFUNCTION("""COMPUTED_VALUE"""),"комп'ютерні аксесуари")</f>
        <v>комп'ютерні аксесуари</v>
      </c>
      <c r="E3994" s="16" t="str">
        <f>IFERROR(__xludf.DUMMYFUNCTION("""COMPUTED_VALUE"""),"килимки для миші")</f>
        <v>килимки для миші</v>
      </c>
      <c r="F3994" s="17">
        <f>IFERROR(__xludf.DUMMYFUNCTION("""COMPUTED_VALUE"""),4.0)</f>
        <v>4</v>
      </c>
      <c r="G3994" s="17" t="str">
        <f>IFERROR(__xludf.DUMMYFUNCTION("""COMPUTED_VALUE"""),"71105")</f>
        <v>71105</v>
      </c>
      <c r="H3994" s="17" t="str">
        <f>IFERROR(__xludf.DUMMYFUNCTION("""COMPUTED_VALUE"""),"килимки для миші")</f>
        <v>килимки для миші</v>
      </c>
      <c r="I3994" s="19">
        <f>IFERROR(__xludf.DUMMYFUNCTION("""COMPUTED_VALUE"""),0.0805)</f>
        <v>0.0805</v>
      </c>
      <c r="J3994" s="19">
        <f>IFERROR(__xludf.DUMMYFUNCTION("""COMPUTED_VALUE"""),0.161)</f>
        <v>0.161</v>
      </c>
      <c r="K3994" s="19">
        <f>IFERROR(__xludf.DUMMYFUNCTION("""COMPUTED_VALUE"""),0.2013)</f>
        <v>0.2013</v>
      </c>
      <c r="L3994" s="19">
        <f>IFERROR(__xludf.DUMMYFUNCTION("""COMPUTED_VALUE"""),0.2415)</f>
        <v>0.2415</v>
      </c>
      <c r="M3994" s="18">
        <f>IFERROR(__xludf.DUMMYFUNCTION("""COMPUTED_VALUE"""),2.53)</f>
        <v>2.53</v>
      </c>
    </row>
    <row r="3995">
      <c r="A3995" s="13" t="str">
        <f>IFERROR(__xludf.DUMMYFUNCTION("""COMPUTED_VALUE"""),"товари")</f>
        <v>товари</v>
      </c>
      <c r="B3995" s="16" t="str">
        <f>IFERROR(__xludf.DUMMYFUNCTION("""COMPUTED_VALUE"""),"техніка та електроніка")</f>
        <v>техніка та електроніка</v>
      </c>
      <c r="C3995" s="16" t="str">
        <f>IFERROR(__xludf.DUMMYFUNCTION("""COMPUTED_VALUE"""),"побутова техніка")</f>
        <v>побутова техніка</v>
      </c>
      <c r="D3995" s="16" t="str">
        <f>IFERROR(__xludf.DUMMYFUNCTION("""COMPUTED_VALUE"""),"побутова техніка для дому")</f>
        <v>побутова техніка для дому</v>
      </c>
      <c r="E3995" s="16" t="str">
        <f>IFERROR(__xludf.DUMMYFUNCTION("""COMPUTED_VALUE"""),"килимки з підігрівом")</f>
        <v>килимки з підігрівом</v>
      </c>
      <c r="F3995" s="17">
        <f>IFERROR(__xludf.DUMMYFUNCTION("""COMPUTED_VALUE"""),4.0)</f>
        <v>4</v>
      </c>
      <c r="G3995" s="17" t="str">
        <f>IFERROR(__xludf.DUMMYFUNCTION("""COMPUTED_VALUE"""),"62612")</f>
        <v>62612</v>
      </c>
      <c r="H3995" s="17" t="str">
        <f>IFERROR(__xludf.DUMMYFUNCTION("""COMPUTED_VALUE"""),"килимки з підігрівом")</f>
        <v>килимки з підігрівом</v>
      </c>
      <c r="I3995" s="19">
        <f>IFERROR(__xludf.DUMMYFUNCTION("""COMPUTED_VALUE"""),0.082)</f>
        <v>0.082</v>
      </c>
      <c r="J3995" s="19">
        <f>IFERROR(__xludf.DUMMYFUNCTION("""COMPUTED_VALUE"""),0.1639)</f>
        <v>0.1639</v>
      </c>
      <c r="K3995" s="19">
        <f>IFERROR(__xludf.DUMMYFUNCTION("""COMPUTED_VALUE"""),0.2049)</f>
        <v>0.2049</v>
      </c>
      <c r="L3995" s="19">
        <f>IFERROR(__xludf.DUMMYFUNCTION("""COMPUTED_VALUE"""),0.2459)</f>
        <v>0.2459</v>
      </c>
      <c r="M3995" s="18">
        <f>IFERROR(__xludf.DUMMYFUNCTION("""COMPUTED_VALUE"""),3.06)</f>
        <v>3.06</v>
      </c>
    </row>
    <row r="3996">
      <c r="A3996" s="13" t="str">
        <f>IFERROR(__xludf.DUMMYFUNCTION("""COMPUTED_VALUE"""),"товари")</f>
        <v>товари</v>
      </c>
      <c r="B3996" s="16" t="str">
        <f>IFERROR(__xludf.DUMMYFUNCTION("""COMPUTED_VALUE"""),"техніка та електроніка")</f>
        <v>техніка та електроніка</v>
      </c>
      <c r="C3996" s="16" t="str">
        <f>IFERROR(__xludf.DUMMYFUNCTION("""COMPUTED_VALUE"""),"комп'ютерна техніка та пз")</f>
        <v>комп'ютерна техніка та пз</v>
      </c>
      <c r="D3996" s="16" t="str">
        <f>IFERROR(__xludf.DUMMYFUNCTION("""COMPUTED_VALUE"""),"комп'ютерні аксесуари")</f>
        <v>комп'ютерні аксесуари</v>
      </c>
      <c r="E3996" s="16" t="str">
        <f>IFERROR(__xludf.DUMMYFUNCTION("""COMPUTED_VALUE"""),"кишені для жорстких дисків")</f>
        <v>кишені для жорстких дисків</v>
      </c>
      <c r="F3996" s="17">
        <f>IFERROR(__xludf.DUMMYFUNCTION("""COMPUTED_VALUE"""),4.0)</f>
        <v>4</v>
      </c>
      <c r="G3996" s="17" t="str">
        <f>IFERROR(__xludf.DUMMYFUNCTION("""COMPUTED_VALUE"""),"71110")</f>
        <v>71110</v>
      </c>
      <c r="H3996" s="17" t="str">
        <f>IFERROR(__xludf.DUMMYFUNCTION("""COMPUTED_VALUE"""),"кишені для жорстких дисків")</f>
        <v>кишені для жорстких дисків</v>
      </c>
      <c r="I3996" s="19">
        <f>IFERROR(__xludf.DUMMYFUNCTION("""COMPUTED_VALUE"""),0.0994)</f>
        <v>0.0994</v>
      </c>
      <c r="J3996" s="19">
        <f>IFERROR(__xludf.DUMMYFUNCTION("""COMPUTED_VALUE"""),0.1988)</f>
        <v>0.1988</v>
      </c>
      <c r="K3996" s="19">
        <f>IFERROR(__xludf.DUMMYFUNCTION("""COMPUTED_VALUE"""),0.2485)</f>
        <v>0.2485</v>
      </c>
      <c r="L3996" s="19">
        <f>IFERROR(__xludf.DUMMYFUNCTION("""COMPUTED_VALUE"""),0.2982)</f>
        <v>0.2982</v>
      </c>
      <c r="M3996" s="18">
        <f>IFERROR(__xludf.DUMMYFUNCTION("""COMPUTED_VALUE"""),2.53)</f>
        <v>2.53</v>
      </c>
    </row>
    <row r="3997">
      <c r="A3997" s="13" t="str">
        <f>IFERROR(__xludf.DUMMYFUNCTION("""COMPUTED_VALUE"""),"товари")</f>
        <v>товари</v>
      </c>
      <c r="B3997" s="16" t="str">
        <f>IFERROR(__xludf.DUMMYFUNCTION("""COMPUTED_VALUE"""),"техніка та електроніка")</f>
        <v>техніка та електроніка</v>
      </c>
      <c r="C3997" s="16" t="str">
        <f>IFERROR(__xludf.DUMMYFUNCTION("""COMPUTED_VALUE"""),"телефони та аксесуари")</f>
        <v>телефони та аксесуари</v>
      </c>
      <c r="D3997" s="16" t="str">
        <f>IFERROR(__xludf.DUMMYFUNCTION("""COMPUTED_VALUE"""),"комплектуючі для мобільних телефонів")</f>
        <v>комплектуючі для мобільних телефонів</v>
      </c>
      <c r="E3997" s="16" t="str">
        <f>IFERROR(__xludf.DUMMYFUNCTION("""COMPUTED_VALUE"""),"клавіатурні блоки для мобільних телефонів")</f>
        <v>клавіатурні блоки для мобільних телефонів</v>
      </c>
      <c r="F3997" s="17">
        <f>IFERROR(__xludf.DUMMYFUNCTION("""COMPUTED_VALUE"""),4.0)</f>
        <v>4</v>
      </c>
      <c r="G3997" s="17" t="str">
        <f>IFERROR(__xludf.DUMMYFUNCTION("""COMPUTED_VALUE"""),"5090310")</f>
        <v>5090310</v>
      </c>
      <c r="H3997" s="17" t="str">
        <f>IFERROR(__xludf.DUMMYFUNCTION("""COMPUTED_VALUE"""),"клавіатурні блоки для мобільних телефонів")</f>
        <v>клавіатурні блоки для мобільних телефонів</v>
      </c>
      <c r="I3997" s="19">
        <f>IFERROR(__xludf.DUMMYFUNCTION("""COMPUTED_VALUE"""),0.0977)</f>
        <v>0.0977</v>
      </c>
      <c r="J3997" s="19">
        <f>IFERROR(__xludf.DUMMYFUNCTION("""COMPUTED_VALUE"""),0.1953)</f>
        <v>0.1953</v>
      </c>
      <c r="K3997" s="19">
        <f>IFERROR(__xludf.DUMMYFUNCTION("""COMPUTED_VALUE"""),0.2441)</f>
        <v>0.2441</v>
      </c>
      <c r="L3997" s="19">
        <f>IFERROR(__xludf.DUMMYFUNCTION("""COMPUTED_VALUE"""),0.293)</f>
        <v>0.293</v>
      </c>
      <c r="M3997" s="18">
        <f>IFERROR(__xludf.DUMMYFUNCTION("""COMPUTED_VALUE"""),2.88)</f>
        <v>2.88</v>
      </c>
    </row>
    <row r="3998">
      <c r="A3998" s="13" t="str">
        <f>IFERROR(__xludf.DUMMYFUNCTION("""COMPUTED_VALUE"""),"товари")</f>
        <v>товари</v>
      </c>
      <c r="B3998" s="16" t="str">
        <f>IFERROR(__xludf.DUMMYFUNCTION("""COMPUTED_VALUE"""),"техніка та електроніка")</f>
        <v>техніка та електроніка</v>
      </c>
      <c r="C3998" s="16" t="str">
        <f>IFERROR(__xludf.DUMMYFUNCTION("""COMPUTED_VALUE"""),"комп'ютерна техніка та пз")</f>
        <v>комп'ютерна техніка та пз</v>
      </c>
      <c r="D3998" s="16" t="str">
        <f>IFERROR(__xludf.DUMMYFUNCTION("""COMPUTED_VALUE"""),"комплектуючі для комп'ютерної техніки")</f>
        <v>комплектуючі для комп'ютерної техніки</v>
      </c>
      <c r="E3998" s="16" t="str">
        <f>IFERROR(__xludf.DUMMYFUNCTION("""COMPUTED_VALUE"""),"клавіатурні блоки для ноутбуків")</f>
        <v>клавіатурні блоки для ноутбуків</v>
      </c>
      <c r="F3998" s="17">
        <f>IFERROR(__xludf.DUMMYFUNCTION("""COMPUTED_VALUE"""),4.0)</f>
        <v>4</v>
      </c>
      <c r="G3998" s="17" t="str">
        <f>IFERROR(__xludf.DUMMYFUNCTION("""COMPUTED_VALUE"""),"7070903")</f>
        <v>7070903</v>
      </c>
      <c r="H3998" s="17" t="str">
        <f>IFERROR(__xludf.DUMMYFUNCTION("""COMPUTED_VALUE"""),"клавіатурні блоки для ноутбуків")</f>
        <v>клавіатурні блоки для ноутбуків</v>
      </c>
      <c r="I3998" s="19">
        <f>IFERROR(__xludf.DUMMYFUNCTION("""COMPUTED_VALUE"""),0.0876)</f>
        <v>0.0876</v>
      </c>
      <c r="J3998" s="19">
        <f>IFERROR(__xludf.DUMMYFUNCTION("""COMPUTED_VALUE"""),0.1751)</f>
        <v>0.1751</v>
      </c>
      <c r="K3998" s="19">
        <f>IFERROR(__xludf.DUMMYFUNCTION("""COMPUTED_VALUE"""),0.2189)</f>
        <v>0.2189</v>
      </c>
      <c r="L3998" s="19">
        <f>IFERROR(__xludf.DUMMYFUNCTION("""COMPUTED_VALUE"""),0.2627)</f>
        <v>0.2627</v>
      </c>
      <c r="M3998" s="18">
        <f>IFERROR(__xludf.DUMMYFUNCTION("""COMPUTED_VALUE"""),1.71)</f>
        <v>1.71</v>
      </c>
    </row>
    <row r="3999">
      <c r="A3999" s="13" t="str">
        <f>IFERROR(__xludf.DUMMYFUNCTION("""COMPUTED_VALUE"""),"товари")</f>
        <v>товари</v>
      </c>
      <c r="B3999" s="16" t="str">
        <f>IFERROR(__xludf.DUMMYFUNCTION("""COMPUTED_VALUE"""),"техніка та електроніка")</f>
        <v>техніка та електроніка</v>
      </c>
      <c r="C3999" s="16" t="str">
        <f>IFERROR(__xludf.DUMMYFUNCTION("""COMPUTED_VALUE"""),"побутова техніка")</f>
        <v>побутова техніка</v>
      </c>
      <c r="D3999" s="16" t="str">
        <f>IFERROR(__xludf.DUMMYFUNCTION("""COMPUTED_VALUE"""),"кліматична техніка")</f>
        <v>кліматична техніка</v>
      </c>
      <c r="E3999" s="16" t="str">
        <f>IFERROR(__xludf.DUMMYFUNCTION("""COMPUTED_VALUE"""),"кліматичне обладнання, загальне")</f>
        <v>кліматичне обладнання, загальне</v>
      </c>
      <c r="F3999" s="17">
        <f>IFERROR(__xludf.DUMMYFUNCTION("""COMPUTED_VALUE"""),4.0)</f>
        <v>4</v>
      </c>
      <c r="G3999" s="17" t="str">
        <f>IFERROR(__xludf.DUMMYFUNCTION("""COMPUTED_VALUE"""),"61603")</f>
        <v>61603</v>
      </c>
      <c r="H3999" s="17" t="str">
        <f>IFERROR(__xludf.DUMMYFUNCTION("""COMPUTED_VALUE"""),"кліматичне обладнання, загальне")</f>
        <v>кліматичне обладнання, загальне</v>
      </c>
      <c r="I3999" s="19">
        <f>IFERROR(__xludf.DUMMYFUNCTION("""COMPUTED_VALUE"""),0.125)</f>
        <v>0.125</v>
      </c>
      <c r="J3999" s="19">
        <f>IFERROR(__xludf.DUMMYFUNCTION("""COMPUTED_VALUE"""),0.25)</f>
        <v>0.25</v>
      </c>
      <c r="K3999" s="19">
        <f>IFERROR(__xludf.DUMMYFUNCTION("""COMPUTED_VALUE"""),0.3125)</f>
        <v>0.3125</v>
      </c>
      <c r="L3999" s="19">
        <f>IFERROR(__xludf.DUMMYFUNCTION("""COMPUTED_VALUE"""),0.375)</f>
        <v>0.375</v>
      </c>
      <c r="M3999" s="18">
        <f>IFERROR(__xludf.DUMMYFUNCTION("""COMPUTED_VALUE"""),4.33)</f>
        <v>4.33</v>
      </c>
    </row>
    <row r="4000">
      <c r="A4000" s="13" t="str">
        <f>IFERROR(__xludf.DUMMYFUNCTION("""COMPUTED_VALUE"""),"товари")</f>
        <v>товари</v>
      </c>
      <c r="B4000" s="16" t="str">
        <f>IFERROR(__xludf.DUMMYFUNCTION("""COMPUTED_VALUE"""),"техніка та електроніка")</f>
        <v>техніка та електроніка</v>
      </c>
      <c r="C4000" s="16" t="str">
        <f>IFERROR(__xludf.DUMMYFUNCTION("""COMPUTED_VALUE"""),"побутова техніка")</f>
        <v>побутова техніка</v>
      </c>
      <c r="D4000" s="16" t="str">
        <f>IFERROR(__xludf.DUMMYFUNCTION("""COMPUTED_VALUE"""),"кліматична техніка")</f>
        <v>кліматична техніка</v>
      </c>
      <c r="E4000" s="16" t="str">
        <f>IFERROR(__xludf.DUMMYFUNCTION("""COMPUTED_VALUE"""),"кліматичні комплекси")</f>
        <v>кліматичні комплекси</v>
      </c>
      <c r="F4000" s="17">
        <f>IFERROR(__xludf.DUMMYFUNCTION("""COMPUTED_VALUE"""),4.0)</f>
        <v>4</v>
      </c>
      <c r="G4000" s="17" t="str">
        <f>IFERROR(__xludf.DUMMYFUNCTION("""COMPUTED_VALUE"""),"61605")</f>
        <v>61605</v>
      </c>
      <c r="H4000" s="17" t="str">
        <f>IFERROR(__xludf.DUMMYFUNCTION("""COMPUTED_VALUE"""),"кліматичні комплекси")</f>
        <v>кліматичні комплекси</v>
      </c>
      <c r="I4000" s="19">
        <f>IFERROR(__xludf.DUMMYFUNCTION("""COMPUTED_VALUE"""),0.0475)</f>
        <v>0.0475</v>
      </c>
      <c r="J4000" s="19">
        <f>IFERROR(__xludf.DUMMYFUNCTION("""COMPUTED_VALUE"""),0.095)</f>
        <v>0.095</v>
      </c>
      <c r="K4000" s="19">
        <f>IFERROR(__xludf.DUMMYFUNCTION("""COMPUTED_VALUE"""),0.1188)</f>
        <v>0.1188</v>
      </c>
      <c r="L4000" s="19">
        <f>IFERROR(__xludf.DUMMYFUNCTION("""COMPUTED_VALUE"""),0.1425)</f>
        <v>0.1425</v>
      </c>
      <c r="M4000" s="18">
        <f>IFERROR(__xludf.DUMMYFUNCTION("""COMPUTED_VALUE"""),3.78)</f>
        <v>3.78</v>
      </c>
    </row>
    <row r="4001">
      <c r="A4001" s="13" t="str">
        <f>IFERROR(__xludf.DUMMYFUNCTION("""COMPUTED_VALUE"""),"товари")</f>
        <v>товари</v>
      </c>
      <c r="B4001" s="16" t="str">
        <f>IFERROR(__xludf.DUMMYFUNCTION("""COMPUTED_VALUE"""),"техніка та електроніка")</f>
        <v>техніка та електроніка</v>
      </c>
      <c r="C4001" s="16" t="str">
        <f>IFERROR(__xludf.DUMMYFUNCTION("""COMPUTED_VALUE"""),"телефони та аксесуари")</f>
        <v>телефони та аксесуари</v>
      </c>
      <c r="D4001" s="16" t="str">
        <f>IFERROR(__xludf.DUMMYFUNCTION("""COMPUTED_VALUE"""),"комплектуючі для мобільних телефонів")</f>
        <v>комплектуючі для мобільних телефонів</v>
      </c>
      <c r="E4001" s="16" t="str">
        <f>IFERROR(__xludf.DUMMYFUNCTION("""COMPUTED_VALUE"""),"кнопки та джойстики для мобільних телефонів")</f>
        <v>кнопки та джойстики для мобільних телефонів</v>
      </c>
      <c r="F4001" s="17">
        <f>IFERROR(__xludf.DUMMYFUNCTION("""COMPUTED_VALUE"""),4.0)</f>
        <v>4</v>
      </c>
      <c r="G4001" s="17" t="str">
        <f>IFERROR(__xludf.DUMMYFUNCTION("""COMPUTED_VALUE"""),"5090210")</f>
        <v>5090210</v>
      </c>
      <c r="H4001" s="17" t="str">
        <f>IFERROR(__xludf.DUMMYFUNCTION("""COMPUTED_VALUE"""),"кнопки та джойстики для мобільних телефонів")</f>
        <v>кнопки та джойстики для мобільних телефонів</v>
      </c>
      <c r="I4001" s="19">
        <f>IFERROR(__xludf.DUMMYFUNCTION("""COMPUTED_VALUE"""),0.0977)</f>
        <v>0.0977</v>
      </c>
      <c r="J4001" s="19">
        <f>IFERROR(__xludf.DUMMYFUNCTION("""COMPUTED_VALUE"""),0.1953)</f>
        <v>0.1953</v>
      </c>
      <c r="K4001" s="19">
        <f>IFERROR(__xludf.DUMMYFUNCTION("""COMPUTED_VALUE"""),0.2441)</f>
        <v>0.2441</v>
      </c>
      <c r="L4001" s="19">
        <f>IFERROR(__xludf.DUMMYFUNCTION("""COMPUTED_VALUE"""),0.293)</f>
        <v>0.293</v>
      </c>
      <c r="M4001" s="18">
        <f>IFERROR(__xludf.DUMMYFUNCTION("""COMPUTED_VALUE"""),2.88)</f>
        <v>2.88</v>
      </c>
    </row>
    <row r="4002">
      <c r="A4002" s="13" t="str">
        <f>IFERROR(__xludf.DUMMYFUNCTION("""COMPUTED_VALUE"""),"товари")</f>
        <v>товари</v>
      </c>
      <c r="B4002" s="16" t="str">
        <f>IFERROR(__xludf.DUMMYFUNCTION("""COMPUTED_VALUE"""),"техніка та електроніка")</f>
        <v>техніка та електроніка</v>
      </c>
      <c r="C4002" s="16" t="str">
        <f>IFERROR(__xludf.DUMMYFUNCTION("""COMPUTED_VALUE"""),"комп'ютерна техніка та пз")</f>
        <v>комп'ютерна техніка та пз</v>
      </c>
      <c r="D4002" s="16" t="str">
        <f>IFERROR(__xludf.DUMMYFUNCTION("""COMPUTED_VALUE"""),"комп'ютерна техніка, загальне")</f>
        <v>комп'ютерна техніка, загальне</v>
      </c>
      <c r="E4002" s="16" t="str">
        <f>IFERROR(__xludf.DUMMYFUNCTION("""COMPUTED_VALUE"""),"комп'ютерна техніка, загальне")</f>
        <v>комп'ютерна техніка, загальне</v>
      </c>
      <c r="F4002" s="17">
        <f>IFERROR(__xludf.DUMMYFUNCTION("""COMPUTED_VALUE"""),3.0)</f>
        <v>3</v>
      </c>
      <c r="G4002" s="17" t="str">
        <f>IFERROR(__xludf.DUMMYFUNCTION("""COMPUTED_VALUE"""),"717")</f>
        <v>717</v>
      </c>
      <c r="H4002" s="17" t="str">
        <f>IFERROR(__xludf.DUMMYFUNCTION("""COMPUTED_VALUE"""),"комп'ютерна техніка, загальне")</f>
        <v>комп'ютерна техніка, загальне</v>
      </c>
      <c r="I4002" s="19">
        <f>IFERROR(__xludf.DUMMYFUNCTION("""COMPUTED_VALUE"""),0.125)</f>
        <v>0.125</v>
      </c>
      <c r="J4002" s="19">
        <f>IFERROR(__xludf.DUMMYFUNCTION("""COMPUTED_VALUE"""),0.25)</f>
        <v>0.25</v>
      </c>
      <c r="K4002" s="19">
        <f>IFERROR(__xludf.DUMMYFUNCTION("""COMPUTED_VALUE"""),0.3125)</f>
        <v>0.3125</v>
      </c>
      <c r="L4002" s="19">
        <f>IFERROR(__xludf.DUMMYFUNCTION("""COMPUTED_VALUE"""),0.375)</f>
        <v>0.375</v>
      </c>
      <c r="M4002" s="18">
        <f>IFERROR(__xludf.DUMMYFUNCTION("""COMPUTED_VALUE"""),4.33)</f>
        <v>4.33</v>
      </c>
    </row>
    <row r="4003">
      <c r="A4003" s="13" t="str">
        <f>IFERROR(__xludf.DUMMYFUNCTION("""COMPUTED_VALUE"""),"товари")</f>
        <v>товари</v>
      </c>
      <c r="B4003" s="16" t="str">
        <f>IFERROR(__xludf.DUMMYFUNCTION("""COMPUTED_VALUE"""),"техніка та електроніка")</f>
        <v>техніка та електроніка</v>
      </c>
      <c r="C4003" s="16" t="str">
        <f>IFERROR(__xludf.DUMMYFUNCTION("""COMPUTED_VALUE"""),"комп'ютерна техніка та пз")</f>
        <v>комп'ютерна техніка та пз</v>
      </c>
      <c r="D4003" s="16" t="str">
        <f>IFERROR(__xludf.DUMMYFUNCTION("""COMPUTED_VALUE"""),"комп'ютерні аксесуари")</f>
        <v>комп'ютерні аксесуари</v>
      </c>
      <c r="E4003" s="16" t="str">
        <f>IFERROR(__xludf.DUMMYFUNCTION("""COMPUTED_VALUE"""),"комп'ютерні аксесуари, загальне")</f>
        <v>комп'ютерні аксесуари, загальне</v>
      </c>
      <c r="F4003" s="17">
        <f>IFERROR(__xludf.DUMMYFUNCTION("""COMPUTED_VALUE"""),4.0)</f>
        <v>4</v>
      </c>
      <c r="G4003" s="17" t="str">
        <f>IFERROR(__xludf.DUMMYFUNCTION("""COMPUTED_VALUE"""),"71103")</f>
        <v>71103</v>
      </c>
      <c r="H4003" s="17" t="str">
        <f>IFERROR(__xludf.DUMMYFUNCTION("""COMPUTED_VALUE"""),"комп'ютерні аксесуари, загальне")</f>
        <v>комп'ютерні аксесуари, загальне</v>
      </c>
      <c r="I4003" s="19">
        <f>IFERROR(__xludf.DUMMYFUNCTION("""COMPUTED_VALUE"""),0.125)</f>
        <v>0.125</v>
      </c>
      <c r="J4003" s="19">
        <f>IFERROR(__xludf.DUMMYFUNCTION("""COMPUTED_VALUE"""),0.25)</f>
        <v>0.25</v>
      </c>
      <c r="K4003" s="19">
        <f>IFERROR(__xludf.DUMMYFUNCTION("""COMPUTED_VALUE"""),0.3125)</f>
        <v>0.3125</v>
      </c>
      <c r="L4003" s="19">
        <f>IFERROR(__xludf.DUMMYFUNCTION("""COMPUTED_VALUE"""),0.375)</f>
        <v>0.375</v>
      </c>
      <c r="M4003" s="18">
        <f>IFERROR(__xludf.DUMMYFUNCTION("""COMPUTED_VALUE"""),4.33)</f>
        <v>4.33</v>
      </c>
    </row>
    <row r="4004">
      <c r="A4004" s="13" t="str">
        <f>IFERROR(__xludf.DUMMYFUNCTION("""COMPUTED_VALUE"""),"товари")</f>
        <v>товари</v>
      </c>
      <c r="B4004" s="16" t="str">
        <f>IFERROR(__xludf.DUMMYFUNCTION("""COMPUTED_VALUE"""),"техніка та електроніка")</f>
        <v>техніка та електроніка</v>
      </c>
      <c r="C4004" s="16" t="str">
        <f>IFERROR(__xludf.DUMMYFUNCTION("""COMPUTED_VALUE"""),"комп'ютерна техніка та пз")</f>
        <v>комп'ютерна техніка та пз</v>
      </c>
      <c r="D4004" s="16" t="str">
        <f>IFERROR(__xludf.DUMMYFUNCTION("""COMPUTED_VALUE"""),"комп'ютерні аксесуари")</f>
        <v>комп'ютерні аксесуари</v>
      </c>
      <c r="E4004" s="16" t="str">
        <f>IFERROR(__xludf.DUMMYFUNCTION("""COMPUTED_VALUE"""),"комп'ютерні клавіатури")</f>
        <v>комп'ютерні клавіатури</v>
      </c>
      <c r="F4004" s="17">
        <f>IFERROR(__xludf.DUMMYFUNCTION("""COMPUTED_VALUE"""),4.0)</f>
        <v>4</v>
      </c>
      <c r="G4004" s="17" t="str">
        <f>IFERROR(__xludf.DUMMYFUNCTION("""COMPUTED_VALUE"""),"71113")</f>
        <v>71113</v>
      </c>
      <c r="H4004" s="17" t="str">
        <f>IFERROR(__xludf.DUMMYFUNCTION("""COMPUTED_VALUE"""),"комп'ютерні клавіатури")</f>
        <v>комп'ютерні клавіатури</v>
      </c>
      <c r="I4004" s="19">
        <f>IFERROR(__xludf.DUMMYFUNCTION("""COMPUTED_VALUE"""),0.0694)</f>
        <v>0.0694</v>
      </c>
      <c r="J4004" s="19">
        <f>IFERROR(__xludf.DUMMYFUNCTION("""COMPUTED_VALUE"""),0.1388)</f>
        <v>0.1388</v>
      </c>
      <c r="K4004" s="19">
        <f>IFERROR(__xludf.DUMMYFUNCTION("""COMPUTED_VALUE"""),0.1735)</f>
        <v>0.1735</v>
      </c>
      <c r="L4004" s="19">
        <f>IFERROR(__xludf.DUMMYFUNCTION("""COMPUTED_VALUE"""),0.2082)</f>
        <v>0.2082</v>
      </c>
      <c r="M4004" s="18">
        <f>IFERROR(__xludf.DUMMYFUNCTION("""COMPUTED_VALUE"""),2.53)</f>
        <v>2.53</v>
      </c>
    </row>
    <row r="4005">
      <c r="A4005" s="13" t="str">
        <f>IFERROR(__xludf.DUMMYFUNCTION("""COMPUTED_VALUE"""),"товари")</f>
        <v>товари</v>
      </c>
      <c r="B4005" s="16" t="str">
        <f>IFERROR(__xludf.DUMMYFUNCTION("""COMPUTED_VALUE"""),"техніка та електроніка")</f>
        <v>техніка та електроніка</v>
      </c>
      <c r="C4005" s="16" t="str">
        <f>IFERROR(__xludf.DUMMYFUNCTION("""COMPUTED_VALUE"""),"комп'ютерна техніка та пз")</f>
        <v>комп'ютерна техніка та пз</v>
      </c>
      <c r="D4005" s="16" t="str">
        <f>IFERROR(__xludf.DUMMYFUNCTION("""COMPUTED_VALUE"""),"комплектуючі для комп'ютерної техніки")</f>
        <v>комплектуючі для комп'ютерної техніки</v>
      </c>
      <c r="E4005" s="16" t="str">
        <f>IFERROR(__xludf.DUMMYFUNCTION("""COMPUTED_VALUE"""),"комп'ютерні комплектуючі, загальне")</f>
        <v>комп'ютерні комплектуючі, загальне</v>
      </c>
      <c r="F4005" s="17">
        <f>IFERROR(__xludf.DUMMYFUNCTION("""COMPUTED_VALUE"""),4.0)</f>
        <v>4</v>
      </c>
      <c r="G4005" s="17" t="str">
        <f>IFERROR(__xludf.DUMMYFUNCTION("""COMPUTED_VALUE"""),"70707")</f>
        <v>70707</v>
      </c>
      <c r="H4005" s="17" t="str">
        <f>IFERROR(__xludf.DUMMYFUNCTION("""COMPUTED_VALUE"""),"комп'ютерні комплектуючі, загальне")</f>
        <v>комп'ютерні комплектуючі, загальне</v>
      </c>
      <c r="I4005" s="19">
        <f>IFERROR(__xludf.DUMMYFUNCTION("""COMPUTED_VALUE"""),0.125)</f>
        <v>0.125</v>
      </c>
      <c r="J4005" s="19">
        <f>IFERROR(__xludf.DUMMYFUNCTION("""COMPUTED_VALUE"""),0.25)</f>
        <v>0.25</v>
      </c>
      <c r="K4005" s="19">
        <f>IFERROR(__xludf.DUMMYFUNCTION("""COMPUTED_VALUE"""),0.3125)</f>
        <v>0.3125</v>
      </c>
      <c r="L4005" s="19">
        <f>IFERROR(__xludf.DUMMYFUNCTION("""COMPUTED_VALUE"""),0.375)</f>
        <v>0.375</v>
      </c>
      <c r="M4005" s="18">
        <f>IFERROR(__xludf.DUMMYFUNCTION("""COMPUTED_VALUE"""),4.33)</f>
        <v>4.33</v>
      </c>
    </row>
    <row r="4006">
      <c r="A4006" s="13" t="str">
        <f>IFERROR(__xludf.DUMMYFUNCTION("""COMPUTED_VALUE"""),"товари")</f>
        <v>товари</v>
      </c>
      <c r="B4006" s="16" t="str">
        <f>IFERROR(__xludf.DUMMYFUNCTION("""COMPUTED_VALUE"""),"техніка та електроніка")</f>
        <v>техніка та електроніка</v>
      </c>
      <c r="C4006" s="16" t="str">
        <f>IFERROR(__xludf.DUMMYFUNCTION("""COMPUTED_VALUE"""),"комп'ютерна техніка та пз")</f>
        <v>комп'ютерна техніка та пз</v>
      </c>
      <c r="D4006" s="16" t="str">
        <f>IFERROR(__xludf.DUMMYFUNCTION("""COMPUTED_VALUE"""),"комп'ютерні аксесуари")</f>
        <v>комп'ютерні аксесуари</v>
      </c>
      <c r="E4006" s="16" t="str">
        <f>IFERROR(__xludf.DUMMYFUNCTION("""COMPUTED_VALUE"""),"комп'ютерні миші ")</f>
        <v>комп'ютерні миші </v>
      </c>
      <c r="F4006" s="17">
        <f>IFERROR(__xludf.DUMMYFUNCTION("""COMPUTED_VALUE"""),4.0)</f>
        <v>4</v>
      </c>
      <c r="G4006" s="17" t="str">
        <f>IFERROR(__xludf.DUMMYFUNCTION("""COMPUTED_VALUE"""),"70805")</f>
        <v>70805</v>
      </c>
      <c r="H4006" s="17" t="str">
        <f>IFERROR(__xludf.DUMMYFUNCTION("""COMPUTED_VALUE"""),"комп'ютерні миші ")</f>
        <v>комп'ютерні миші </v>
      </c>
      <c r="I4006" s="19">
        <f>IFERROR(__xludf.DUMMYFUNCTION("""COMPUTED_VALUE"""),0.0694)</f>
        <v>0.0694</v>
      </c>
      <c r="J4006" s="19">
        <f>IFERROR(__xludf.DUMMYFUNCTION("""COMPUTED_VALUE"""),0.1388)</f>
        <v>0.1388</v>
      </c>
      <c r="K4006" s="19">
        <f>IFERROR(__xludf.DUMMYFUNCTION("""COMPUTED_VALUE"""),0.1735)</f>
        <v>0.1735</v>
      </c>
      <c r="L4006" s="19">
        <f>IFERROR(__xludf.DUMMYFUNCTION("""COMPUTED_VALUE"""),0.2082)</f>
        <v>0.2082</v>
      </c>
      <c r="M4006" s="18">
        <f>IFERROR(__xludf.DUMMYFUNCTION("""COMPUTED_VALUE"""),2.53)</f>
        <v>2.53</v>
      </c>
    </row>
    <row r="4007">
      <c r="A4007" s="13" t="str">
        <f>IFERROR(__xludf.DUMMYFUNCTION("""COMPUTED_VALUE"""),"товари")</f>
        <v>товари</v>
      </c>
      <c r="B4007" s="16" t="str">
        <f>IFERROR(__xludf.DUMMYFUNCTION("""COMPUTED_VALUE"""),"техніка та електроніка")</f>
        <v>техніка та електроніка</v>
      </c>
      <c r="C4007" s="16" t="str">
        <f>IFERROR(__xludf.DUMMYFUNCTION("""COMPUTED_VALUE"""),"комп'ютерна техніка та пз")</f>
        <v>комп'ютерна техніка та пз</v>
      </c>
      <c r="D4007" s="16" t="str">
        <f>IFERROR(__xludf.DUMMYFUNCTION("""COMPUTED_VALUE"""),"комп'ютерні аксесуари")</f>
        <v>комп'ютерні аксесуари</v>
      </c>
      <c r="E4007" s="16" t="str">
        <f>IFERROR(__xludf.DUMMYFUNCTION("""COMPUTED_VALUE"""),"комп'ютерні підставки для рук")</f>
        <v>комп'ютерні підставки для рук</v>
      </c>
      <c r="F4007" s="17">
        <f>IFERROR(__xludf.DUMMYFUNCTION("""COMPUTED_VALUE"""),4.0)</f>
        <v>4</v>
      </c>
      <c r="G4007" s="17" t="str">
        <f>IFERROR(__xludf.DUMMYFUNCTION("""COMPUTED_VALUE"""),"71112")</f>
        <v>71112</v>
      </c>
      <c r="H4007" s="17" t="str">
        <f>IFERROR(__xludf.DUMMYFUNCTION("""COMPUTED_VALUE"""),"комп'ютерні підставки для рук")</f>
        <v>комп'ютерні підставки для рук</v>
      </c>
      <c r="I4007" s="19">
        <f>IFERROR(__xludf.DUMMYFUNCTION("""COMPUTED_VALUE"""),0.0828)</f>
        <v>0.0828</v>
      </c>
      <c r="J4007" s="19">
        <f>IFERROR(__xludf.DUMMYFUNCTION("""COMPUTED_VALUE"""),0.1656)</f>
        <v>0.1656</v>
      </c>
      <c r="K4007" s="19">
        <f>IFERROR(__xludf.DUMMYFUNCTION("""COMPUTED_VALUE"""),0.207)</f>
        <v>0.207</v>
      </c>
      <c r="L4007" s="19">
        <f>IFERROR(__xludf.DUMMYFUNCTION("""COMPUTED_VALUE"""),0.2484)</f>
        <v>0.2484</v>
      </c>
      <c r="M4007" s="18">
        <f>IFERROR(__xludf.DUMMYFUNCTION("""COMPUTED_VALUE"""),2.53)</f>
        <v>2.53</v>
      </c>
    </row>
    <row r="4008">
      <c r="A4008" s="13" t="str">
        <f>IFERROR(__xludf.DUMMYFUNCTION("""COMPUTED_VALUE"""),"товари")</f>
        <v>товари</v>
      </c>
      <c r="B4008" s="16" t="str">
        <f>IFERROR(__xludf.DUMMYFUNCTION("""COMPUTED_VALUE"""),"техніка та електроніка")</f>
        <v>техніка та електроніка</v>
      </c>
      <c r="C4008" s="16" t="str">
        <f>IFERROR(__xludf.DUMMYFUNCTION("""COMPUTED_VALUE"""),"tv та відеотехніка")</f>
        <v>tv та відеотехніка</v>
      </c>
      <c r="D4008" s="16" t="str">
        <f>IFERROR(__xludf.DUMMYFUNCTION("""COMPUTED_VALUE"""),"супутникове, кабельне телебачення")</f>
        <v>супутникове, кабельне телебачення</v>
      </c>
      <c r="E4008" s="16" t="str">
        <f>IFERROR(__xludf.DUMMYFUNCTION("""COMPUTED_VALUE"""),"комплекти для супутникового телебачення")</f>
        <v>комплекти для супутникового телебачення</v>
      </c>
      <c r="F4008" s="17">
        <f>IFERROR(__xludf.DUMMYFUNCTION("""COMPUTED_VALUE"""),4.0)</f>
        <v>4</v>
      </c>
      <c r="G4008" s="17" t="str">
        <f>IFERROR(__xludf.DUMMYFUNCTION("""COMPUTED_VALUE"""),"6371706")</f>
        <v>6371706</v>
      </c>
      <c r="H4008" s="17" t="str">
        <f>IFERROR(__xludf.DUMMYFUNCTION("""COMPUTED_VALUE"""),"комплекти для супутникового телебачення")</f>
        <v>комплекти для супутникового телебачення</v>
      </c>
      <c r="I4008" s="19">
        <f>IFERROR(__xludf.DUMMYFUNCTION("""COMPUTED_VALUE"""),0.0964)</f>
        <v>0.0964</v>
      </c>
      <c r="J4008" s="19">
        <f>IFERROR(__xludf.DUMMYFUNCTION("""COMPUTED_VALUE"""),0.1928)</f>
        <v>0.1928</v>
      </c>
      <c r="K4008" s="19">
        <f>IFERROR(__xludf.DUMMYFUNCTION("""COMPUTED_VALUE"""),0.241)</f>
        <v>0.241</v>
      </c>
      <c r="L4008" s="19">
        <f>IFERROR(__xludf.DUMMYFUNCTION("""COMPUTED_VALUE"""),0.2892)</f>
        <v>0.2892</v>
      </c>
      <c r="M4008" s="18">
        <f>IFERROR(__xludf.DUMMYFUNCTION("""COMPUTED_VALUE"""),1.53)</f>
        <v>1.53</v>
      </c>
    </row>
    <row r="4009">
      <c r="A4009" s="13" t="str">
        <f>IFERROR(__xludf.DUMMYFUNCTION("""COMPUTED_VALUE"""),"товари")</f>
        <v>товари</v>
      </c>
      <c r="B4009" s="16" t="str">
        <f>IFERROR(__xludf.DUMMYFUNCTION("""COMPUTED_VALUE"""),"техніка та електроніка")</f>
        <v>техніка та електроніка</v>
      </c>
      <c r="C4009" s="16" t="str">
        <f>IFERROR(__xludf.DUMMYFUNCTION("""COMPUTED_VALUE"""),"3d пристрої та аксесуари")</f>
        <v>3d пристрої та аксесуари</v>
      </c>
      <c r="D4009" s="16" t="str">
        <f>IFERROR(__xludf.DUMMYFUNCTION("""COMPUTED_VALUE"""),"комплектуючі для 3d пристроїв")</f>
        <v>комплектуючі для 3d пристроїв</v>
      </c>
      <c r="E4009" s="16" t="str">
        <f>IFERROR(__xludf.DUMMYFUNCTION("""COMPUTED_VALUE"""),"комплектуючі для 3d пристроїв")</f>
        <v>комплектуючі для 3d пристроїв</v>
      </c>
      <c r="F4009" s="17">
        <f>IFERROR(__xludf.DUMMYFUNCTION("""COMPUTED_VALUE"""),3.0)</f>
        <v>3</v>
      </c>
      <c r="G4009" s="17" t="str">
        <f>IFERROR(__xludf.DUMMYFUNCTION("""COMPUTED_VALUE"""),"500704")</f>
        <v>500704</v>
      </c>
      <c r="H4009" s="17" t="str">
        <f>IFERROR(__xludf.DUMMYFUNCTION("""COMPUTED_VALUE"""),"комплектуючі для 3d пристроїв")</f>
        <v>комплектуючі для 3d пристроїв</v>
      </c>
      <c r="I4009" s="19">
        <f>IFERROR(__xludf.DUMMYFUNCTION("""COMPUTED_VALUE"""),0.0678)</f>
        <v>0.0678</v>
      </c>
      <c r="J4009" s="19">
        <f>IFERROR(__xludf.DUMMYFUNCTION("""COMPUTED_VALUE"""),0.1355)</f>
        <v>0.1355</v>
      </c>
      <c r="K4009" s="19">
        <f>IFERROR(__xludf.DUMMYFUNCTION("""COMPUTED_VALUE"""),0.1694)</f>
        <v>0.1694</v>
      </c>
      <c r="L4009" s="19">
        <f>IFERROR(__xludf.DUMMYFUNCTION("""COMPUTED_VALUE"""),0.2033)</f>
        <v>0.2033</v>
      </c>
      <c r="M4009" s="18">
        <f>IFERROR(__xludf.DUMMYFUNCTION("""COMPUTED_VALUE"""),1.05)</f>
        <v>1.05</v>
      </c>
    </row>
    <row r="4010">
      <c r="A4010" s="13" t="str">
        <f>IFERROR(__xludf.DUMMYFUNCTION("""COMPUTED_VALUE"""),"товари")</f>
        <v>товари</v>
      </c>
      <c r="B4010" s="16" t="str">
        <f>IFERROR(__xludf.DUMMYFUNCTION("""COMPUTED_VALUE"""),"техніка та електроніка")</f>
        <v>техніка та електроніка</v>
      </c>
      <c r="C4010" s="16" t="str">
        <f>IFERROR(__xludf.DUMMYFUNCTION("""COMPUTED_VALUE"""),"запчастини для техніки та електроніки")</f>
        <v>запчастини для техніки та електроніки</v>
      </c>
      <c r="D4010" s="16" t="str">
        <f>IFERROR(__xludf.DUMMYFUNCTION("""COMPUTED_VALUE"""),"комплектуючі для відеотехніки")</f>
        <v>комплектуючі для відеотехніки</v>
      </c>
      <c r="E4010" s="16" t="str">
        <f>IFERROR(__xludf.DUMMYFUNCTION("""COMPUTED_VALUE"""),"комплектуючі для відеотехніки, загальне")</f>
        <v>комплектуючі для відеотехніки, загальне</v>
      </c>
      <c r="F4010" s="17">
        <f>IFERROR(__xludf.DUMMYFUNCTION("""COMPUTED_VALUE"""),4.0)</f>
        <v>4</v>
      </c>
      <c r="G4010" s="17" t="str">
        <f>IFERROR(__xludf.DUMMYFUNCTION("""COMPUTED_VALUE"""),"6440603")</f>
        <v>6440603</v>
      </c>
      <c r="H4010" s="17" t="str">
        <f>IFERROR(__xludf.DUMMYFUNCTION("""COMPUTED_VALUE"""),"комплектуючі для відеотехніки, загальне")</f>
        <v>комплектуючі для відеотехніки, загальне</v>
      </c>
      <c r="I4010" s="19">
        <f>IFERROR(__xludf.DUMMYFUNCTION("""COMPUTED_VALUE"""),0.125)</f>
        <v>0.125</v>
      </c>
      <c r="J4010" s="19">
        <f>IFERROR(__xludf.DUMMYFUNCTION("""COMPUTED_VALUE"""),0.25)</f>
        <v>0.25</v>
      </c>
      <c r="K4010" s="19">
        <f>IFERROR(__xludf.DUMMYFUNCTION("""COMPUTED_VALUE"""),0.3125)</f>
        <v>0.3125</v>
      </c>
      <c r="L4010" s="19">
        <f>IFERROR(__xludf.DUMMYFUNCTION("""COMPUTED_VALUE"""),0.375)</f>
        <v>0.375</v>
      </c>
      <c r="M4010" s="18">
        <f>IFERROR(__xludf.DUMMYFUNCTION("""COMPUTED_VALUE"""),4.33)</f>
        <v>4.33</v>
      </c>
    </row>
    <row r="4011">
      <c r="A4011" s="13" t="str">
        <f>IFERROR(__xludf.DUMMYFUNCTION("""COMPUTED_VALUE"""),"товари")</f>
        <v>товари</v>
      </c>
      <c r="B4011" s="16" t="str">
        <f>IFERROR(__xludf.DUMMYFUNCTION("""COMPUTED_VALUE"""),"техніка та електроніка")</f>
        <v>техніка та електроніка</v>
      </c>
      <c r="C4011" s="16" t="str">
        <f>IFERROR(__xludf.DUMMYFUNCTION("""COMPUTED_VALUE"""),"комп'ютерна техніка та пз")</f>
        <v>комп'ютерна техніка та пз</v>
      </c>
      <c r="D4011" s="16" t="str">
        <f>IFERROR(__xludf.DUMMYFUNCTION("""COMPUTED_VALUE"""),"комплектуючі для комп'ютерної техніки")</f>
        <v>комплектуючі для комп'ютерної техніки</v>
      </c>
      <c r="E4011" s="16" t="str">
        <f>IFERROR(__xludf.DUMMYFUNCTION("""COMPUTED_VALUE"""),"комплектуючі для маршрутизаторів")</f>
        <v>комплектуючі для маршрутизаторів</v>
      </c>
      <c r="F4011" s="17">
        <f>IFERROR(__xludf.DUMMYFUNCTION("""COMPUTED_VALUE"""),4.0)</f>
        <v>4</v>
      </c>
      <c r="G4011" s="17" t="str">
        <f>IFERROR(__xludf.DUMMYFUNCTION("""COMPUTED_VALUE"""),"71111")</f>
        <v>71111</v>
      </c>
      <c r="H4011" s="17" t="str">
        <f>IFERROR(__xludf.DUMMYFUNCTION("""COMPUTED_VALUE"""),"комплектуючі для маршрутизаторів")</f>
        <v>комплектуючі для маршрутизаторів</v>
      </c>
      <c r="I4011" s="19">
        <f>IFERROR(__xludf.DUMMYFUNCTION("""COMPUTED_VALUE"""),0.0536)</f>
        <v>0.0536</v>
      </c>
      <c r="J4011" s="19">
        <f>IFERROR(__xludf.DUMMYFUNCTION("""COMPUTED_VALUE"""),0.1071)</f>
        <v>0.1071</v>
      </c>
      <c r="K4011" s="19">
        <f>IFERROR(__xludf.DUMMYFUNCTION("""COMPUTED_VALUE"""),0.1339)</f>
        <v>0.1339</v>
      </c>
      <c r="L4011" s="19">
        <f>IFERROR(__xludf.DUMMYFUNCTION("""COMPUTED_VALUE"""),0.1607)</f>
        <v>0.1607</v>
      </c>
      <c r="M4011" s="18">
        <f>IFERROR(__xludf.DUMMYFUNCTION("""COMPUTED_VALUE"""),1.71)</f>
        <v>1.71</v>
      </c>
    </row>
    <row r="4012">
      <c r="A4012" s="13" t="str">
        <f>IFERROR(__xludf.DUMMYFUNCTION("""COMPUTED_VALUE"""),"товари")</f>
        <v>товари</v>
      </c>
      <c r="B4012" s="16" t="str">
        <f>IFERROR(__xludf.DUMMYFUNCTION("""COMPUTED_VALUE"""),"техніка та електроніка")</f>
        <v>техніка та електроніка</v>
      </c>
      <c r="C4012" s="16" t="str">
        <f>IFERROR(__xludf.DUMMYFUNCTION("""COMPUTED_VALUE"""),"комп'ютерна техніка та пз")</f>
        <v>комп'ютерна техніка та пз</v>
      </c>
      <c r="D4012" s="16" t="str">
        <f>IFERROR(__xludf.DUMMYFUNCTION("""COMPUTED_VALUE"""),"комплектуючі для комп'ютерної техніки")</f>
        <v>комплектуючі для комп'ютерної техніки</v>
      </c>
      <c r="E4012" s="16" t="str">
        <f>IFERROR(__xludf.DUMMYFUNCTION("""COMPUTED_VALUE"""),"комплектуючі для матриць та дисплеїв")</f>
        <v>комплектуючі для матриць та дисплеїв</v>
      </c>
      <c r="F4012" s="17">
        <f>IFERROR(__xludf.DUMMYFUNCTION("""COMPUTED_VALUE"""),4.0)</f>
        <v>4</v>
      </c>
      <c r="G4012" s="17" t="str">
        <f>IFERROR(__xludf.DUMMYFUNCTION("""COMPUTED_VALUE"""),"70718")</f>
        <v>70718</v>
      </c>
      <c r="H4012" s="17" t="str">
        <f>IFERROR(__xludf.DUMMYFUNCTION("""COMPUTED_VALUE"""),"комплектуючі для матриць та дисплеїв")</f>
        <v>комплектуючі для матриць та дисплеїв</v>
      </c>
      <c r="I4012" s="19">
        <f>IFERROR(__xludf.DUMMYFUNCTION("""COMPUTED_VALUE"""),0.075)</f>
        <v>0.075</v>
      </c>
      <c r="J4012" s="19">
        <f>IFERROR(__xludf.DUMMYFUNCTION("""COMPUTED_VALUE"""),0.1499)</f>
        <v>0.1499</v>
      </c>
      <c r="K4012" s="19">
        <f>IFERROR(__xludf.DUMMYFUNCTION("""COMPUTED_VALUE"""),0.1874)</f>
        <v>0.1874</v>
      </c>
      <c r="L4012" s="19">
        <f>IFERROR(__xludf.DUMMYFUNCTION("""COMPUTED_VALUE"""),0.2249)</f>
        <v>0.2249</v>
      </c>
      <c r="M4012" s="18">
        <f>IFERROR(__xludf.DUMMYFUNCTION("""COMPUTED_VALUE"""),1.71)</f>
        <v>1.71</v>
      </c>
    </row>
    <row r="4013">
      <c r="A4013" s="13" t="str">
        <f>IFERROR(__xludf.DUMMYFUNCTION("""COMPUTED_VALUE"""),"товари")</f>
        <v>товари</v>
      </c>
      <c r="B4013" s="16" t="str">
        <f>IFERROR(__xludf.DUMMYFUNCTION("""COMPUTED_VALUE"""),"техніка та електроніка")</f>
        <v>техніка та електроніка</v>
      </c>
      <c r="C4013" s="16" t="str">
        <f>IFERROR(__xludf.DUMMYFUNCTION("""COMPUTED_VALUE"""),"телефони та аксесуари")</f>
        <v>телефони та аксесуари</v>
      </c>
      <c r="D4013" s="16" t="str">
        <f>IFERROR(__xludf.DUMMYFUNCTION("""COMPUTED_VALUE"""),"комплектуючі для мобільних телефонів")</f>
        <v>комплектуючі для мобільних телефонів</v>
      </c>
      <c r="E4013" s="16" t="str">
        <f>IFERROR(__xludf.DUMMYFUNCTION("""COMPUTED_VALUE"""),"комплектуючі для мобільних телефонів, загальне")</f>
        <v>комплектуючі для мобільних телефонів, загальне</v>
      </c>
      <c r="F4013" s="17">
        <f>IFERROR(__xludf.DUMMYFUNCTION("""COMPUTED_VALUE"""),4.0)</f>
        <v>4</v>
      </c>
      <c r="G4013" s="17" t="str">
        <f>IFERROR(__xludf.DUMMYFUNCTION("""COMPUTED_VALUE"""),"5090311")</f>
        <v>5090311</v>
      </c>
      <c r="H4013" s="17" t="str">
        <f>IFERROR(__xludf.DUMMYFUNCTION("""COMPUTED_VALUE"""),"комплектуючі для мобільних телефонів, загальне")</f>
        <v>комплектуючі для мобільних телефонів, загальне</v>
      </c>
      <c r="I4013" s="19">
        <f>IFERROR(__xludf.DUMMYFUNCTION("""COMPUTED_VALUE"""),0.125)</f>
        <v>0.125</v>
      </c>
      <c r="J4013" s="19">
        <f>IFERROR(__xludf.DUMMYFUNCTION("""COMPUTED_VALUE"""),0.25)</f>
        <v>0.25</v>
      </c>
      <c r="K4013" s="19">
        <f>IFERROR(__xludf.DUMMYFUNCTION("""COMPUTED_VALUE"""),0.3125)</f>
        <v>0.3125</v>
      </c>
      <c r="L4013" s="19">
        <f>IFERROR(__xludf.DUMMYFUNCTION("""COMPUTED_VALUE"""),0.375)</f>
        <v>0.375</v>
      </c>
      <c r="M4013" s="18">
        <f>IFERROR(__xludf.DUMMYFUNCTION("""COMPUTED_VALUE"""),4.33)</f>
        <v>4.33</v>
      </c>
    </row>
    <row r="4014">
      <c r="A4014" s="13" t="str">
        <f>IFERROR(__xludf.DUMMYFUNCTION("""COMPUTED_VALUE"""),"товари")</f>
        <v>товари</v>
      </c>
      <c r="B4014" s="16" t="str">
        <f>IFERROR(__xludf.DUMMYFUNCTION("""COMPUTED_VALUE"""),"техніка та електроніка")</f>
        <v>техніка та електроніка</v>
      </c>
      <c r="C4014" s="16" t="str">
        <f>IFERROR(__xludf.DUMMYFUNCTION("""COMPUTED_VALUE"""),"комп'ютерна техніка та пз")</f>
        <v>комп'ютерна техніка та пз</v>
      </c>
      <c r="D4014" s="16" t="str">
        <f>IFERROR(__xludf.DUMMYFUNCTION("""COMPUTED_VALUE"""),"ігрові консолі та приставки")</f>
        <v>ігрові консолі та приставки</v>
      </c>
      <c r="E4014" s="16" t="str">
        <f>IFERROR(__xludf.DUMMYFUNCTION("""COMPUTED_VALUE"""),"комплектуючі до ігрових приставок")</f>
        <v>комплектуючі до ігрових приставок</v>
      </c>
      <c r="F4014" s="17">
        <f>IFERROR(__xludf.DUMMYFUNCTION("""COMPUTED_VALUE"""),4.0)</f>
        <v>4</v>
      </c>
      <c r="G4014" s="17" t="str">
        <f>IFERROR(__xludf.DUMMYFUNCTION("""COMPUTED_VALUE"""),"71802")</f>
        <v>71802</v>
      </c>
      <c r="H4014" s="17" t="str">
        <f>IFERROR(__xludf.DUMMYFUNCTION("""COMPUTED_VALUE"""),"комплектуючі до ігрових приставок")</f>
        <v>комплектуючі до ігрових приставок</v>
      </c>
      <c r="I4014" s="19">
        <f>IFERROR(__xludf.DUMMYFUNCTION("""COMPUTED_VALUE"""),0.074)</f>
        <v>0.074</v>
      </c>
      <c r="J4014" s="19">
        <f>IFERROR(__xludf.DUMMYFUNCTION("""COMPUTED_VALUE"""),0.1479)</f>
        <v>0.1479</v>
      </c>
      <c r="K4014" s="19">
        <f>IFERROR(__xludf.DUMMYFUNCTION("""COMPUTED_VALUE"""),0.1849)</f>
        <v>0.1849</v>
      </c>
      <c r="L4014" s="19">
        <f>IFERROR(__xludf.DUMMYFUNCTION("""COMPUTED_VALUE"""),0.2219)</f>
        <v>0.2219</v>
      </c>
      <c r="M4014" s="18">
        <f>IFERROR(__xludf.DUMMYFUNCTION("""COMPUTED_VALUE"""),1.98)</f>
        <v>1.98</v>
      </c>
    </row>
    <row r="4015">
      <c r="A4015" s="13" t="str">
        <f>IFERROR(__xludf.DUMMYFUNCTION("""COMPUTED_VALUE"""),"товари")</f>
        <v>товари</v>
      </c>
      <c r="B4015" s="16" t="str">
        <f>IFERROR(__xludf.DUMMYFUNCTION("""COMPUTED_VALUE"""),"техніка та електроніка")</f>
        <v>техніка та електроніка</v>
      </c>
      <c r="C4015" s="16" t="str">
        <f>IFERROR(__xludf.DUMMYFUNCTION("""COMPUTED_VALUE"""),"фото-, відеокамери та аксесуари")</f>
        <v>фото-, відеокамери та аксесуари</v>
      </c>
      <c r="D4015" s="16" t="str">
        <f>IFERROR(__xludf.DUMMYFUNCTION("""COMPUTED_VALUE"""),"аксесуари для фото-, відеокамер")</f>
        <v>аксесуари для фото-, відеокамер</v>
      </c>
      <c r="E4015" s="16" t="str">
        <f>IFERROR(__xludf.DUMMYFUNCTION("""COMPUTED_VALUE"""),"конвертери, перехідники для об'єктивів")</f>
        <v>конвертери, перехідники для об'єктивів</v>
      </c>
      <c r="F4015" s="17">
        <f>IFERROR(__xludf.DUMMYFUNCTION("""COMPUTED_VALUE"""),4.0)</f>
        <v>4</v>
      </c>
      <c r="G4015" s="17" t="str">
        <f>IFERROR(__xludf.DUMMYFUNCTION("""COMPUTED_VALUE"""),"6372005")</f>
        <v>6372005</v>
      </c>
      <c r="H4015" s="17" t="str">
        <f>IFERROR(__xludf.DUMMYFUNCTION("""COMPUTED_VALUE"""),"конвертери, перехідники для об'єктивів")</f>
        <v>конвертери, перехідники для об'єктивів</v>
      </c>
      <c r="I4015" s="19">
        <f>IFERROR(__xludf.DUMMYFUNCTION("""COMPUTED_VALUE"""),0.0968)</f>
        <v>0.0968</v>
      </c>
      <c r="J4015" s="19">
        <f>IFERROR(__xludf.DUMMYFUNCTION("""COMPUTED_VALUE"""),0.1935)</f>
        <v>0.1935</v>
      </c>
      <c r="K4015" s="19">
        <f>IFERROR(__xludf.DUMMYFUNCTION("""COMPUTED_VALUE"""),0.2419)</f>
        <v>0.2419</v>
      </c>
      <c r="L4015" s="19">
        <f>IFERROR(__xludf.DUMMYFUNCTION("""COMPUTED_VALUE"""),0.2903)</f>
        <v>0.2903</v>
      </c>
      <c r="M4015" s="18">
        <f>IFERROR(__xludf.DUMMYFUNCTION("""COMPUTED_VALUE"""),1.98)</f>
        <v>1.98</v>
      </c>
    </row>
    <row r="4016">
      <c r="A4016" s="13" t="str">
        <f>IFERROR(__xludf.DUMMYFUNCTION("""COMPUTED_VALUE"""),"товари")</f>
        <v>товари</v>
      </c>
      <c r="B4016" s="16" t="str">
        <f>IFERROR(__xludf.DUMMYFUNCTION("""COMPUTED_VALUE"""),"техніка та електроніка")</f>
        <v>техніка та електроніка</v>
      </c>
      <c r="C4016" s="16" t="str">
        <f>IFERROR(__xludf.DUMMYFUNCTION("""COMPUTED_VALUE"""),"побутова техніка")</f>
        <v>побутова техніка</v>
      </c>
      <c r="D4016" s="16" t="str">
        <f>IFERROR(__xludf.DUMMYFUNCTION("""COMPUTED_VALUE"""),"кліматична техніка")</f>
        <v>кліматична техніка</v>
      </c>
      <c r="E4016" s="16" t="str">
        <f>IFERROR(__xludf.DUMMYFUNCTION("""COMPUTED_VALUE"""),"кондиціонери")</f>
        <v>кондиціонери</v>
      </c>
      <c r="F4016" s="17">
        <f>IFERROR(__xludf.DUMMYFUNCTION("""COMPUTED_VALUE"""),4.0)</f>
        <v>4</v>
      </c>
      <c r="G4016" s="17" t="str">
        <f>IFERROR(__xludf.DUMMYFUNCTION("""COMPUTED_VALUE"""),"601")</f>
        <v>601</v>
      </c>
      <c r="H4016" s="17" t="str">
        <f>IFERROR(__xludf.DUMMYFUNCTION("""COMPUTED_VALUE"""),"кондиціонери")</f>
        <v>кондиціонери</v>
      </c>
      <c r="I4016" s="19">
        <f>IFERROR(__xludf.DUMMYFUNCTION("""COMPUTED_VALUE"""),0.0475)</f>
        <v>0.0475</v>
      </c>
      <c r="J4016" s="19">
        <f>IFERROR(__xludf.DUMMYFUNCTION("""COMPUTED_VALUE"""),0.095)</f>
        <v>0.095</v>
      </c>
      <c r="K4016" s="19">
        <f>IFERROR(__xludf.DUMMYFUNCTION("""COMPUTED_VALUE"""),0.1188)</f>
        <v>0.1188</v>
      </c>
      <c r="L4016" s="19">
        <f>IFERROR(__xludf.DUMMYFUNCTION("""COMPUTED_VALUE"""),0.1425)</f>
        <v>0.1425</v>
      </c>
      <c r="M4016" s="18">
        <f>IFERROR(__xludf.DUMMYFUNCTION("""COMPUTED_VALUE"""),3.78)</f>
        <v>3.78</v>
      </c>
    </row>
    <row r="4017">
      <c r="A4017" s="13" t="str">
        <f>IFERROR(__xludf.DUMMYFUNCTION("""COMPUTED_VALUE"""),"товари")</f>
        <v>товари</v>
      </c>
      <c r="B4017" s="16" t="str">
        <f>IFERROR(__xludf.DUMMYFUNCTION("""COMPUTED_VALUE"""),"техніка та електроніка")</f>
        <v>техніка та електроніка</v>
      </c>
      <c r="C4017" s="16" t="str">
        <f>IFERROR(__xludf.DUMMYFUNCTION("""COMPUTED_VALUE"""),"телефони та аксесуари")</f>
        <v>телефони та аксесуари</v>
      </c>
      <c r="D4017" s="16" t="str">
        <f>IFERROR(__xludf.DUMMYFUNCTION("""COMPUTED_VALUE"""),"комплектуючі для мобільних телефонів")</f>
        <v>комплектуючі для мобільних телефонів</v>
      </c>
      <c r="E4017" s="16" t="str">
        <f>IFERROR(__xludf.DUMMYFUNCTION("""COMPUTED_VALUE"""),"конектори для мобільних телефонів")</f>
        <v>конектори для мобільних телефонів</v>
      </c>
      <c r="F4017" s="17">
        <f>IFERROR(__xludf.DUMMYFUNCTION("""COMPUTED_VALUE"""),4.0)</f>
        <v>4</v>
      </c>
      <c r="G4017" s="17" t="str">
        <f>IFERROR(__xludf.DUMMYFUNCTION("""COMPUTED_VALUE"""),"5090212")</f>
        <v>5090212</v>
      </c>
      <c r="H4017" s="17" t="str">
        <f>IFERROR(__xludf.DUMMYFUNCTION("""COMPUTED_VALUE"""),"конектори для мобільних телефонів")</f>
        <v>конектори для мобільних телефонів</v>
      </c>
      <c r="I4017" s="19">
        <f>IFERROR(__xludf.DUMMYFUNCTION("""COMPUTED_VALUE"""),0.0983)</f>
        <v>0.0983</v>
      </c>
      <c r="J4017" s="19">
        <f>IFERROR(__xludf.DUMMYFUNCTION("""COMPUTED_VALUE"""),0.1966)</f>
        <v>0.1966</v>
      </c>
      <c r="K4017" s="19">
        <f>IFERROR(__xludf.DUMMYFUNCTION("""COMPUTED_VALUE"""),0.2458)</f>
        <v>0.2458</v>
      </c>
      <c r="L4017" s="19">
        <f>IFERROR(__xludf.DUMMYFUNCTION("""COMPUTED_VALUE"""),0.2949)</f>
        <v>0.2949</v>
      </c>
      <c r="M4017" s="18">
        <f>IFERROR(__xludf.DUMMYFUNCTION("""COMPUTED_VALUE"""),2.88)</f>
        <v>2.88</v>
      </c>
    </row>
    <row r="4018">
      <c r="A4018" s="13" t="str">
        <f>IFERROR(__xludf.DUMMYFUNCTION("""COMPUTED_VALUE"""),"товари")</f>
        <v>товари</v>
      </c>
      <c r="B4018" s="16" t="str">
        <f>IFERROR(__xludf.DUMMYFUNCTION("""COMPUTED_VALUE"""),"техніка та електроніка")</f>
        <v>техніка та електроніка</v>
      </c>
      <c r="C4018" s="16" t="str">
        <f>IFERROR(__xludf.DUMMYFUNCTION("""COMPUTED_VALUE"""),"комп'ютерна техніка та пз")</f>
        <v>комп'ютерна техніка та пз</v>
      </c>
      <c r="D4018" s="16" t="str">
        <f>IFERROR(__xludf.DUMMYFUNCTION("""COMPUTED_VALUE"""),"комплектуючі для комп'ютерної техніки")</f>
        <v>комплектуючі для комп'ютерної техніки</v>
      </c>
      <c r="E4018" s="16" t="str">
        <f>IFERROR(__xludf.DUMMYFUNCTION("""COMPUTED_VALUE"""),"корпуси для комп'ютерів")</f>
        <v>корпуси для комп'ютерів</v>
      </c>
      <c r="F4018" s="17">
        <f>IFERROR(__xludf.DUMMYFUNCTION("""COMPUTED_VALUE"""),4.0)</f>
        <v>4</v>
      </c>
      <c r="G4018" s="17" t="str">
        <f>IFERROR(__xludf.DUMMYFUNCTION("""COMPUTED_VALUE"""),"720")</f>
        <v>720</v>
      </c>
      <c r="H4018" s="17" t="str">
        <f>IFERROR(__xludf.DUMMYFUNCTION("""COMPUTED_VALUE"""),"корпуси для комп'ютерів")</f>
        <v>корпуси для комп'ютерів</v>
      </c>
      <c r="I4018" s="19">
        <f>IFERROR(__xludf.DUMMYFUNCTION("""COMPUTED_VALUE"""),0.0259)</f>
        <v>0.0259</v>
      </c>
      <c r="J4018" s="19">
        <f>IFERROR(__xludf.DUMMYFUNCTION("""COMPUTED_VALUE"""),0.0517)</f>
        <v>0.0517</v>
      </c>
      <c r="K4018" s="19">
        <f>IFERROR(__xludf.DUMMYFUNCTION("""COMPUTED_VALUE"""),0.0646)</f>
        <v>0.0646</v>
      </c>
      <c r="L4018" s="19">
        <f>IFERROR(__xludf.DUMMYFUNCTION("""COMPUTED_VALUE"""),0.0776)</f>
        <v>0.0776</v>
      </c>
      <c r="M4018" s="18">
        <f>IFERROR(__xludf.DUMMYFUNCTION("""COMPUTED_VALUE"""),1.71)</f>
        <v>1.71</v>
      </c>
    </row>
    <row r="4019">
      <c r="A4019" s="13" t="str">
        <f>IFERROR(__xludf.DUMMYFUNCTION("""COMPUTED_VALUE"""),"товари")</f>
        <v>товари</v>
      </c>
      <c r="B4019" s="16" t="str">
        <f>IFERROR(__xludf.DUMMYFUNCTION("""COMPUTED_VALUE"""),"техніка та електроніка")</f>
        <v>техніка та електроніка</v>
      </c>
      <c r="C4019" s="16" t="str">
        <f>IFERROR(__xludf.DUMMYFUNCTION("""COMPUTED_VALUE"""),"комп'ютерна техніка та пз")</f>
        <v>комп'ютерна техніка та пз</v>
      </c>
      <c r="D4019" s="16" t="str">
        <f>IFERROR(__xludf.DUMMYFUNCTION("""COMPUTED_VALUE"""),"комплектуючі для комп'ютерної техніки")</f>
        <v>комплектуючі для комп'ютерної техніки</v>
      </c>
      <c r="E4019" s="16" t="str">
        <f>IFERROR(__xludf.DUMMYFUNCTION("""COMPUTED_VALUE"""),"корпуси для планшетів")</f>
        <v>корпуси для планшетів</v>
      </c>
      <c r="F4019" s="17">
        <f>IFERROR(__xludf.DUMMYFUNCTION("""COMPUTED_VALUE"""),4.0)</f>
        <v>4</v>
      </c>
      <c r="G4019" s="17" t="str">
        <f>IFERROR(__xludf.DUMMYFUNCTION("""COMPUTED_VALUE"""),"70713")</f>
        <v>70713</v>
      </c>
      <c r="H4019" s="17" t="str">
        <f>IFERROR(__xludf.DUMMYFUNCTION("""COMPUTED_VALUE"""),"корпуси для планшетів")</f>
        <v>корпуси для планшетів</v>
      </c>
      <c r="I4019" s="19">
        <f>IFERROR(__xludf.DUMMYFUNCTION("""COMPUTED_VALUE"""),0.075)</f>
        <v>0.075</v>
      </c>
      <c r="J4019" s="19">
        <f>IFERROR(__xludf.DUMMYFUNCTION("""COMPUTED_VALUE"""),0.1499)</f>
        <v>0.1499</v>
      </c>
      <c r="K4019" s="19">
        <f>IFERROR(__xludf.DUMMYFUNCTION("""COMPUTED_VALUE"""),0.1874)</f>
        <v>0.1874</v>
      </c>
      <c r="L4019" s="19">
        <f>IFERROR(__xludf.DUMMYFUNCTION("""COMPUTED_VALUE"""),0.2249)</f>
        <v>0.2249</v>
      </c>
      <c r="M4019" s="18">
        <f>IFERROR(__xludf.DUMMYFUNCTION("""COMPUTED_VALUE"""),1.71)</f>
        <v>1.71</v>
      </c>
    </row>
    <row r="4020">
      <c r="A4020" s="13" t="str">
        <f>IFERROR(__xludf.DUMMYFUNCTION("""COMPUTED_VALUE"""),"товари")</f>
        <v>товари</v>
      </c>
      <c r="B4020" s="16" t="str">
        <f>IFERROR(__xludf.DUMMYFUNCTION("""COMPUTED_VALUE"""),"техніка та електроніка")</f>
        <v>техніка та електроніка</v>
      </c>
      <c r="C4020" s="16" t="str">
        <f>IFERROR(__xludf.DUMMYFUNCTION("""COMPUTED_VALUE"""),"телефони та аксесуари")</f>
        <v>телефони та аксесуари</v>
      </c>
      <c r="D4020" s="16" t="str">
        <f>IFERROR(__xludf.DUMMYFUNCTION("""COMPUTED_VALUE"""),"комплектуючі для мобільних телефонів")</f>
        <v>комплектуючі для мобільних телефонів</v>
      </c>
      <c r="E4020" s="16" t="str">
        <f>IFERROR(__xludf.DUMMYFUNCTION("""COMPUTED_VALUE"""),"корпуси для телефонів")</f>
        <v>корпуси для телефонів</v>
      </c>
      <c r="F4020" s="17">
        <f>IFERROR(__xludf.DUMMYFUNCTION("""COMPUTED_VALUE"""),4.0)</f>
        <v>4</v>
      </c>
      <c r="G4020" s="17" t="str">
        <f>IFERROR(__xludf.DUMMYFUNCTION("""COMPUTED_VALUE"""),"5090312")</f>
        <v>5090312</v>
      </c>
      <c r="H4020" s="17" t="str">
        <f>IFERROR(__xludf.DUMMYFUNCTION("""COMPUTED_VALUE"""),"корпуси для телефонів")</f>
        <v>корпуси для телефонів</v>
      </c>
      <c r="I4020" s="19">
        <f>IFERROR(__xludf.DUMMYFUNCTION("""COMPUTED_VALUE"""),0.0986)</f>
        <v>0.0986</v>
      </c>
      <c r="J4020" s="19">
        <f>IFERROR(__xludf.DUMMYFUNCTION("""COMPUTED_VALUE"""),0.1972)</f>
        <v>0.1972</v>
      </c>
      <c r="K4020" s="19">
        <f>IFERROR(__xludf.DUMMYFUNCTION("""COMPUTED_VALUE"""),0.2465)</f>
        <v>0.2465</v>
      </c>
      <c r="L4020" s="19">
        <f>IFERROR(__xludf.DUMMYFUNCTION("""COMPUTED_VALUE"""),0.2958)</f>
        <v>0.2958</v>
      </c>
      <c r="M4020" s="18">
        <f>IFERROR(__xludf.DUMMYFUNCTION("""COMPUTED_VALUE"""),2.88)</f>
        <v>2.88</v>
      </c>
    </row>
    <row r="4021">
      <c r="A4021" s="13" t="str">
        <f>IFERROR(__xludf.DUMMYFUNCTION("""COMPUTED_VALUE"""),"товари")</f>
        <v>товари</v>
      </c>
      <c r="B4021" s="16" t="str">
        <f>IFERROR(__xludf.DUMMYFUNCTION("""COMPUTED_VALUE"""),"техніка та електроніка")</f>
        <v>техніка та електроніка</v>
      </c>
      <c r="C4021" s="16" t="str">
        <f>IFERROR(__xludf.DUMMYFUNCTION("""COMPUTED_VALUE"""),"побутова техніка")</f>
        <v>побутова техніка</v>
      </c>
      <c r="D4021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21" s="16" t="str">
        <f>IFERROR(__xludf.DUMMYFUNCTION("""COMPUTED_VALUE"""),"косметичні апарати для домашнього використання")</f>
        <v>косметичні апарати для домашнього використання</v>
      </c>
      <c r="F4021" s="17">
        <f>IFERROR(__xludf.DUMMYFUNCTION("""COMPUTED_VALUE"""),4.0)</f>
        <v>4</v>
      </c>
      <c r="G4021" s="17" t="str">
        <f>IFERROR(__xludf.DUMMYFUNCTION("""COMPUTED_VALUE"""),"282990")</f>
        <v>282990</v>
      </c>
      <c r="H4021" s="17" t="str">
        <f>IFERROR(__xludf.DUMMYFUNCTION("""COMPUTED_VALUE"""),"косметичні апарати для домашнього використання")</f>
        <v>косметичні апарати для домашнього використання</v>
      </c>
      <c r="I4021" s="19">
        <f>IFERROR(__xludf.DUMMYFUNCTION("""COMPUTED_VALUE"""),0.0683)</f>
        <v>0.0683</v>
      </c>
      <c r="J4021" s="19">
        <f>IFERROR(__xludf.DUMMYFUNCTION("""COMPUTED_VALUE"""),0.1365)</f>
        <v>0.1365</v>
      </c>
      <c r="K4021" s="19">
        <f>IFERROR(__xludf.DUMMYFUNCTION("""COMPUTED_VALUE"""),0.1706)</f>
        <v>0.1706</v>
      </c>
      <c r="L4021" s="19">
        <f>IFERROR(__xludf.DUMMYFUNCTION("""COMPUTED_VALUE"""),0.2048)</f>
        <v>0.2048</v>
      </c>
      <c r="M4021" s="18">
        <f>IFERROR(__xludf.DUMMYFUNCTION("""COMPUTED_VALUE"""),1.53)</f>
        <v>1.53</v>
      </c>
    </row>
    <row r="4022">
      <c r="A4022" s="13" t="str">
        <f>IFERROR(__xludf.DUMMYFUNCTION("""COMPUTED_VALUE"""),"товари")</f>
        <v>товари</v>
      </c>
      <c r="B4022" s="16" t="str">
        <f>IFERROR(__xludf.DUMMYFUNCTION("""COMPUTED_VALUE"""),"техніка та електроніка")</f>
        <v>техніка та електроніка</v>
      </c>
      <c r="C4022" s="16" t="str">
        <f>IFERROR(__xludf.DUMMYFUNCTION("""COMPUTED_VALUE"""),"фото-, відеокамери та аксесуари")</f>
        <v>фото-, відеокамери та аксесуари</v>
      </c>
      <c r="D4022" s="16" t="str">
        <f>IFERROR(__xludf.DUMMYFUNCTION("""COMPUTED_VALUE"""),"аксесуари для фото-, відеокамер")</f>
        <v>аксесуари для фото-, відеокамер</v>
      </c>
      <c r="E4022" s="16" t="str">
        <f>IFERROR(__xludf.DUMMYFUNCTION("""COMPUTED_VALUE"""),"кришки для об'єктивів")</f>
        <v>кришки для об'єктивів</v>
      </c>
      <c r="F4022" s="17">
        <f>IFERROR(__xludf.DUMMYFUNCTION("""COMPUTED_VALUE"""),4.0)</f>
        <v>4</v>
      </c>
      <c r="G4022" s="17" t="str">
        <f>IFERROR(__xludf.DUMMYFUNCTION("""COMPUTED_VALUE"""),"6372016")</f>
        <v>6372016</v>
      </c>
      <c r="H4022" s="17" t="str">
        <f>IFERROR(__xludf.DUMMYFUNCTION("""COMPUTED_VALUE"""),"кришки для об'єктивів")</f>
        <v>кришки для об'єктивів</v>
      </c>
      <c r="I4022" s="19">
        <f>IFERROR(__xludf.DUMMYFUNCTION("""COMPUTED_VALUE"""),0.0968)</f>
        <v>0.0968</v>
      </c>
      <c r="J4022" s="19">
        <f>IFERROR(__xludf.DUMMYFUNCTION("""COMPUTED_VALUE"""),0.1935)</f>
        <v>0.1935</v>
      </c>
      <c r="K4022" s="19">
        <f>IFERROR(__xludf.DUMMYFUNCTION("""COMPUTED_VALUE"""),0.2419)</f>
        <v>0.2419</v>
      </c>
      <c r="L4022" s="19">
        <f>IFERROR(__xludf.DUMMYFUNCTION("""COMPUTED_VALUE"""),0.2903)</f>
        <v>0.2903</v>
      </c>
      <c r="M4022" s="18">
        <f>IFERROR(__xludf.DUMMYFUNCTION("""COMPUTED_VALUE"""),1.98)</f>
        <v>1.98</v>
      </c>
    </row>
    <row r="4023">
      <c r="A4023" s="13" t="str">
        <f>IFERROR(__xludf.DUMMYFUNCTION("""COMPUTED_VALUE"""),"товари")</f>
        <v>товари</v>
      </c>
      <c r="B4023" s="16" t="str">
        <f>IFERROR(__xludf.DUMMYFUNCTION("""COMPUTED_VALUE"""),"техніка та електроніка")</f>
        <v>техніка та електроніка</v>
      </c>
      <c r="C4023" s="16" t="str">
        <f>IFERROR(__xludf.DUMMYFUNCTION("""COMPUTED_VALUE"""),"tv та відеотехніка")</f>
        <v>tv та відеотехніка</v>
      </c>
      <c r="D4023" s="16" t="str">
        <f>IFERROR(__xludf.DUMMYFUNCTION("""COMPUTED_VALUE"""),"аксесуари для телевізорів та проекторів")</f>
        <v>аксесуари для телевізорів та проекторів</v>
      </c>
      <c r="E4023" s="16" t="str">
        <f>IFERROR(__xludf.DUMMYFUNCTION("""COMPUTED_VALUE"""),"кріплення та ліфти для побутової, цифрової техніки")</f>
        <v>кріплення та ліфти для побутової, цифрової техніки</v>
      </c>
      <c r="F4023" s="17">
        <f>IFERROR(__xludf.DUMMYFUNCTION("""COMPUTED_VALUE"""),4.0)</f>
        <v>4</v>
      </c>
      <c r="G4023" s="17" t="str">
        <f>IFERROR(__xludf.DUMMYFUNCTION("""COMPUTED_VALUE"""),"63708")</f>
        <v>63708</v>
      </c>
      <c r="H4023" s="17" t="str">
        <f>IFERROR(__xludf.DUMMYFUNCTION("""COMPUTED_VALUE"""),"кріплення та ліфти для побутової, цифрової техніки")</f>
        <v>кріплення та ліфти для побутової, цифрової техніки</v>
      </c>
      <c r="I4023" s="19">
        <f>IFERROR(__xludf.DUMMYFUNCTION("""COMPUTED_VALUE"""),0.0961)</f>
        <v>0.0961</v>
      </c>
      <c r="J4023" s="19">
        <f>IFERROR(__xludf.DUMMYFUNCTION("""COMPUTED_VALUE"""),0.1922)</f>
        <v>0.1922</v>
      </c>
      <c r="K4023" s="19">
        <f>IFERROR(__xludf.DUMMYFUNCTION("""COMPUTED_VALUE"""),0.2403)</f>
        <v>0.2403</v>
      </c>
      <c r="L4023" s="19">
        <f>IFERROR(__xludf.DUMMYFUNCTION("""COMPUTED_VALUE"""),0.2883)</f>
        <v>0.2883</v>
      </c>
      <c r="M4023" s="18">
        <f>IFERROR(__xludf.DUMMYFUNCTION("""COMPUTED_VALUE"""),2.16)</f>
        <v>2.16</v>
      </c>
    </row>
    <row r="4024">
      <c r="A4024" s="13" t="str">
        <f>IFERROR(__xludf.DUMMYFUNCTION("""COMPUTED_VALUE"""),"товари")</f>
        <v>товари</v>
      </c>
      <c r="B4024" s="16" t="str">
        <f>IFERROR(__xludf.DUMMYFUNCTION("""COMPUTED_VALUE"""),"техніка та електроніка")</f>
        <v>техніка та електроніка</v>
      </c>
      <c r="C4024" s="16" t="str">
        <f>IFERROR(__xludf.DUMMYFUNCTION("""COMPUTED_VALUE"""),"побутова техніка")</f>
        <v>побутова техніка</v>
      </c>
      <c r="D4024" s="16" t="str">
        <f>IFERROR(__xludf.DUMMYFUNCTION("""COMPUTED_VALUE"""),"велика побутова техніка для кухні")</f>
        <v>велика побутова техніка для кухні</v>
      </c>
      <c r="E4024" s="16" t="str">
        <f>IFERROR(__xludf.DUMMYFUNCTION("""COMPUTED_VALUE"""),"кулери для води, пурифаєри")</f>
        <v>кулери для води, пурифаєри</v>
      </c>
      <c r="F4024" s="17">
        <f>IFERROR(__xludf.DUMMYFUNCTION("""COMPUTED_VALUE"""),4.0)</f>
        <v>4</v>
      </c>
      <c r="G4024" s="17" t="str">
        <f>IFERROR(__xludf.DUMMYFUNCTION("""COMPUTED_VALUE"""),"610")</f>
        <v>610</v>
      </c>
      <c r="H4024" s="17" t="str">
        <f>IFERROR(__xludf.DUMMYFUNCTION("""COMPUTED_VALUE"""),"кулери для води, пурифаєри")</f>
        <v>кулери для води, пурифаєри</v>
      </c>
      <c r="I4024" s="19">
        <f>IFERROR(__xludf.DUMMYFUNCTION("""COMPUTED_VALUE"""),0.0591)</f>
        <v>0.0591</v>
      </c>
      <c r="J4024" s="19">
        <f>IFERROR(__xludf.DUMMYFUNCTION("""COMPUTED_VALUE"""),0.1181)</f>
        <v>0.1181</v>
      </c>
      <c r="K4024" s="19">
        <f>IFERROR(__xludf.DUMMYFUNCTION("""COMPUTED_VALUE"""),0.1476)</f>
        <v>0.1476</v>
      </c>
      <c r="L4024" s="19">
        <f>IFERROR(__xludf.DUMMYFUNCTION("""COMPUTED_VALUE"""),0.1772)</f>
        <v>0.1772</v>
      </c>
      <c r="M4024" s="18">
        <f>IFERROR(__xludf.DUMMYFUNCTION("""COMPUTED_VALUE"""),1.53)</f>
        <v>1.53</v>
      </c>
    </row>
    <row r="4025">
      <c r="A4025" s="13" t="str">
        <f>IFERROR(__xludf.DUMMYFUNCTION("""COMPUTED_VALUE"""),"товари")</f>
        <v>товари</v>
      </c>
      <c r="B4025" s="16" t="str">
        <f>IFERROR(__xludf.DUMMYFUNCTION("""COMPUTED_VALUE"""),"техніка та електроніка")</f>
        <v>техніка та електроніка</v>
      </c>
      <c r="C4025" s="16" t="str">
        <f>IFERROR(__xludf.DUMMYFUNCTION("""COMPUTED_VALUE"""),"комп'ютерна техніка та пз")</f>
        <v>комп'ютерна техніка та пз</v>
      </c>
      <c r="D4025" s="16" t="str">
        <f>IFERROR(__xludf.DUMMYFUNCTION("""COMPUTED_VALUE"""),"комплектуючі для комп'ютерної техніки")</f>
        <v>комплектуючі для комп'ютерної техніки</v>
      </c>
      <c r="E4025" s="16" t="str">
        <f>IFERROR(__xludf.DUMMYFUNCTION("""COMPUTED_VALUE"""),"кулери та системи охолодження")</f>
        <v>кулери та системи охолодження</v>
      </c>
      <c r="F4025" s="17">
        <f>IFERROR(__xludf.DUMMYFUNCTION("""COMPUTED_VALUE"""),4.0)</f>
        <v>4</v>
      </c>
      <c r="G4025" s="17" t="str">
        <f>IFERROR(__xludf.DUMMYFUNCTION("""COMPUTED_VALUE"""),"70708")</f>
        <v>70708</v>
      </c>
      <c r="H4025" s="17" t="str">
        <f>IFERROR(__xludf.DUMMYFUNCTION("""COMPUTED_VALUE"""),"кулери та системи охолодження")</f>
        <v>кулери та системи охолодження</v>
      </c>
      <c r="I4025" s="19">
        <f>IFERROR(__xludf.DUMMYFUNCTION("""COMPUTED_VALUE"""),0.0259)</f>
        <v>0.0259</v>
      </c>
      <c r="J4025" s="19">
        <f>IFERROR(__xludf.DUMMYFUNCTION("""COMPUTED_VALUE"""),0.0517)</f>
        <v>0.0517</v>
      </c>
      <c r="K4025" s="19">
        <f>IFERROR(__xludf.DUMMYFUNCTION("""COMPUTED_VALUE"""),0.0646)</f>
        <v>0.0646</v>
      </c>
      <c r="L4025" s="19">
        <f>IFERROR(__xludf.DUMMYFUNCTION("""COMPUTED_VALUE"""),0.0776)</f>
        <v>0.0776</v>
      </c>
      <c r="M4025" s="18">
        <f>IFERROR(__xludf.DUMMYFUNCTION("""COMPUTED_VALUE"""),1.71)</f>
        <v>1.71</v>
      </c>
    </row>
    <row r="4026">
      <c r="A4026" s="13" t="str">
        <f>IFERROR(__xludf.DUMMYFUNCTION("""COMPUTED_VALUE"""),"товари")</f>
        <v>товари</v>
      </c>
      <c r="B4026" s="16" t="str">
        <f>IFERROR(__xludf.DUMMYFUNCTION("""COMPUTED_VALUE"""),"техніка та електроніка")</f>
        <v>техніка та електроніка</v>
      </c>
      <c r="C4026" s="16" t="str">
        <f>IFERROR(__xludf.DUMMYFUNCTION("""COMPUTED_VALUE"""),"побутова техніка")</f>
        <v>побутова техніка</v>
      </c>
      <c r="D4026" s="16" t="str">
        <f>IFERROR(__xludf.DUMMYFUNCTION("""COMPUTED_VALUE"""),"дрібна побутова техніка для кухні")</f>
        <v>дрібна побутова техніка для кухні</v>
      </c>
      <c r="E4026" s="16" t="str">
        <f>IFERROR(__xludf.DUMMYFUNCTION("""COMPUTED_VALUE"""),"кухонні ваги")</f>
        <v>кухонні ваги</v>
      </c>
      <c r="F4026" s="17">
        <f>IFERROR(__xludf.DUMMYFUNCTION("""COMPUTED_VALUE"""),4.0)</f>
        <v>4</v>
      </c>
      <c r="G4026" s="17" t="str">
        <f>IFERROR(__xludf.DUMMYFUNCTION("""COMPUTED_VALUE"""),"15230411")</f>
        <v>15230411</v>
      </c>
      <c r="H4026" s="17" t="str">
        <f>IFERROR(__xludf.DUMMYFUNCTION("""COMPUTED_VALUE"""),"кухонні ваги")</f>
        <v>кухонні ваги</v>
      </c>
      <c r="I4026" s="19">
        <f>IFERROR(__xludf.DUMMYFUNCTION("""COMPUTED_VALUE"""),0.0782)</f>
        <v>0.0782</v>
      </c>
      <c r="J4026" s="19">
        <f>IFERROR(__xludf.DUMMYFUNCTION("""COMPUTED_VALUE"""),0.1564)</f>
        <v>0.1564</v>
      </c>
      <c r="K4026" s="19">
        <f>IFERROR(__xludf.DUMMYFUNCTION("""COMPUTED_VALUE"""),0.1955)</f>
        <v>0.1955</v>
      </c>
      <c r="L4026" s="19">
        <f>IFERROR(__xludf.DUMMYFUNCTION("""COMPUTED_VALUE"""),0.2346)</f>
        <v>0.2346</v>
      </c>
      <c r="M4026" s="18">
        <f>IFERROR(__xludf.DUMMYFUNCTION("""COMPUTED_VALUE"""),3.06)</f>
        <v>3.06</v>
      </c>
    </row>
    <row r="4027">
      <c r="A4027" s="13" t="str">
        <f>IFERROR(__xludf.DUMMYFUNCTION("""COMPUTED_VALUE"""),"товари")</f>
        <v>товари</v>
      </c>
      <c r="B4027" s="16" t="str">
        <f>IFERROR(__xludf.DUMMYFUNCTION("""COMPUTED_VALUE"""),"техніка та електроніка")</f>
        <v>техніка та електроніка</v>
      </c>
      <c r="C4027" s="16" t="str">
        <f>IFERROR(__xludf.DUMMYFUNCTION("""COMPUTED_VALUE"""),"побутова техніка")</f>
        <v>побутова техніка</v>
      </c>
      <c r="D4027" s="16" t="str">
        <f>IFERROR(__xludf.DUMMYFUNCTION("""COMPUTED_VALUE"""),"велика побутова техніка для кухні")</f>
        <v>велика побутова техніка для кухні</v>
      </c>
      <c r="E4027" s="16" t="str">
        <f>IFERROR(__xludf.DUMMYFUNCTION("""COMPUTED_VALUE"""),"кухонні витяжки")</f>
        <v>кухонні витяжки</v>
      </c>
      <c r="F4027" s="17">
        <f>IFERROR(__xludf.DUMMYFUNCTION("""COMPUTED_VALUE"""),4.0)</f>
        <v>4</v>
      </c>
      <c r="G4027" s="17" t="str">
        <f>IFERROR(__xludf.DUMMYFUNCTION("""COMPUTED_VALUE"""),"642")</f>
        <v>642</v>
      </c>
      <c r="H4027" s="17" t="str">
        <f>IFERROR(__xludf.DUMMYFUNCTION("""COMPUTED_VALUE"""),"кухонні витяжки")</f>
        <v>кухонні витяжки</v>
      </c>
      <c r="I4027" s="19">
        <f>IFERROR(__xludf.DUMMYFUNCTION("""COMPUTED_VALUE"""),0.0496)</f>
        <v>0.0496</v>
      </c>
      <c r="J4027" s="19">
        <f>IFERROR(__xludf.DUMMYFUNCTION("""COMPUTED_VALUE"""),0.0992)</f>
        <v>0.0992</v>
      </c>
      <c r="K4027" s="19">
        <f>IFERROR(__xludf.DUMMYFUNCTION("""COMPUTED_VALUE"""),0.124)</f>
        <v>0.124</v>
      </c>
      <c r="L4027" s="19">
        <f>IFERROR(__xludf.DUMMYFUNCTION("""COMPUTED_VALUE"""),0.1488)</f>
        <v>0.1488</v>
      </c>
      <c r="M4027" s="18">
        <f>IFERROR(__xludf.DUMMYFUNCTION("""COMPUTED_VALUE"""),1.53)</f>
        <v>1.53</v>
      </c>
    </row>
    <row r="4028">
      <c r="A4028" s="13" t="str">
        <f>IFERROR(__xludf.DUMMYFUNCTION("""COMPUTED_VALUE"""),"товари")</f>
        <v>товари</v>
      </c>
      <c r="B4028" s="16" t="str">
        <f>IFERROR(__xludf.DUMMYFUNCTION("""COMPUTED_VALUE"""),"техніка та електроніка")</f>
        <v>техніка та електроніка</v>
      </c>
      <c r="C4028" s="16" t="str">
        <f>IFERROR(__xludf.DUMMYFUNCTION("""COMPUTED_VALUE"""),"побутова техніка")</f>
        <v>побутова техніка</v>
      </c>
      <c r="D4028" s="16" t="str">
        <f>IFERROR(__xludf.DUMMYFUNCTION("""COMPUTED_VALUE"""),"дрібна побутова техніка для кухні")</f>
        <v>дрібна побутова техніка для кухні</v>
      </c>
      <c r="E4028" s="16" t="str">
        <f>IFERROR(__xludf.DUMMYFUNCTION("""COMPUTED_VALUE"""),"кухонні комбайни та подрібнювачі")</f>
        <v>кухонні комбайни та подрібнювачі</v>
      </c>
      <c r="F4028" s="17">
        <f>IFERROR(__xludf.DUMMYFUNCTION("""COMPUTED_VALUE"""),4.0)</f>
        <v>4</v>
      </c>
      <c r="G4028" s="17" t="str">
        <f>IFERROR(__xludf.DUMMYFUNCTION("""COMPUTED_VALUE"""),"64302")</f>
        <v>64302</v>
      </c>
      <c r="H4028" s="17" t="str">
        <f>IFERROR(__xludf.DUMMYFUNCTION("""COMPUTED_VALUE"""),"кухонні комбайни та подрібнювачі")</f>
        <v>кухонні комбайни та подрібнювачі</v>
      </c>
      <c r="I4028" s="19">
        <f>IFERROR(__xludf.DUMMYFUNCTION("""COMPUTED_VALUE"""),0.0678)</f>
        <v>0.0678</v>
      </c>
      <c r="J4028" s="19">
        <f>IFERROR(__xludf.DUMMYFUNCTION("""COMPUTED_VALUE"""),0.1356)</f>
        <v>0.1356</v>
      </c>
      <c r="K4028" s="19">
        <f>IFERROR(__xludf.DUMMYFUNCTION("""COMPUTED_VALUE"""),0.1695)</f>
        <v>0.1695</v>
      </c>
      <c r="L4028" s="19">
        <f>IFERROR(__xludf.DUMMYFUNCTION("""COMPUTED_VALUE"""),0.2034)</f>
        <v>0.2034</v>
      </c>
      <c r="M4028" s="18">
        <f>IFERROR(__xludf.DUMMYFUNCTION("""COMPUTED_VALUE"""),3.06)</f>
        <v>3.06</v>
      </c>
    </row>
    <row r="4029">
      <c r="A4029" s="13" t="str">
        <f>IFERROR(__xludf.DUMMYFUNCTION("""COMPUTED_VALUE"""),"товари")</f>
        <v>товари</v>
      </c>
      <c r="B4029" s="16" t="str">
        <f>IFERROR(__xludf.DUMMYFUNCTION("""COMPUTED_VALUE"""),"техніка та електроніка")</f>
        <v>техніка та електроніка</v>
      </c>
      <c r="C4029" s="16" t="str">
        <f>IFERROR(__xludf.DUMMYFUNCTION("""COMPUTED_VALUE"""),"побутова техніка")</f>
        <v>побутова техніка</v>
      </c>
      <c r="D4029" s="16" t="str">
        <f>IFERROR(__xludf.DUMMYFUNCTION("""COMPUTED_VALUE"""),"велика побутова техніка для кухні")</f>
        <v>велика побутова техніка для кухні</v>
      </c>
      <c r="E4029" s="16" t="str">
        <f>IFERROR(__xludf.DUMMYFUNCTION("""COMPUTED_VALUE"""),"кухонні плити")</f>
        <v>кухонні плити</v>
      </c>
      <c r="F4029" s="17">
        <f>IFERROR(__xludf.DUMMYFUNCTION("""COMPUTED_VALUE"""),4.0)</f>
        <v>4</v>
      </c>
      <c r="G4029" s="17" t="str">
        <f>IFERROR(__xludf.DUMMYFUNCTION("""COMPUTED_VALUE"""),"641")</f>
        <v>641</v>
      </c>
      <c r="H4029" s="17" t="str">
        <f>IFERROR(__xludf.DUMMYFUNCTION("""COMPUTED_VALUE"""),"кухонні плити")</f>
        <v>кухонні плити</v>
      </c>
      <c r="I4029" s="19">
        <f>IFERROR(__xludf.DUMMYFUNCTION("""COMPUTED_VALUE"""),0.073)</f>
        <v>0.073</v>
      </c>
      <c r="J4029" s="19">
        <f>IFERROR(__xludf.DUMMYFUNCTION("""COMPUTED_VALUE"""),0.1459)</f>
        <v>0.1459</v>
      </c>
      <c r="K4029" s="19">
        <f>IFERROR(__xludf.DUMMYFUNCTION("""COMPUTED_VALUE"""),0.1824)</f>
        <v>0.1824</v>
      </c>
      <c r="L4029" s="19">
        <f>IFERROR(__xludf.DUMMYFUNCTION("""COMPUTED_VALUE"""),0.2189)</f>
        <v>0.2189</v>
      </c>
      <c r="M4029" s="18">
        <f>IFERROR(__xludf.DUMMYFUNCTION("""COMPUTED_VALUE"""),1.53)</f>
        <v>1.53</v>
      </c>
    </row>
    <row r="4030">
      <c r="A4030" s="13" t="str">
        <f>IFERROR(__xludf.DUMMYFUNCTION("""COMPUTED_VALUE"""),"товари")</f>
        <v>товари</v>
      </c>
      <c r="B4030" s="16" t="str">
        <f>IFERROR(__xludf.DUMMYFUNCTION("""COMPUTED_VALUE"""),"техніка та електроніка")</f>
        <v>техніка та електроніка</v>
      </c>
      <c r="C4030" s="16" t="str">
        <f>IFERROR(__xludf.DUMMYFUNCTION("""COMPUTED_VALUE"""),"комп'ютерна техніка та пз")</f>
        <v>комп'ютерна техніка та пз</v>
      </c>
      <c r="D4030" s="16" t="str">
        <f>IFERROR(__xludf.DUMMYFUNCTION("""COMPUTED_VALUE"""),"комплектуючі для комп'ютерної техніки")</f>
        <v>комплектуючі для комп'ютерної техніки</v>
      </c>
      <c r="E4030" s="16" t="str">
        <f>IFERROR(__xludf.DUMMYFUNCTION("""COMPUTED_VALUE"""),"материнські плати")</f>
        <v>материнські плати</v>
      </c>
      <c r="F4030" s="17">
        <f>IFERROR(__xludf.DUMMYFUNCTION("""COMPUTED_VALUE"""),4.0)</f>
        <v>4</v>
      </c>
      <c r="G4030" s="17" t="str">
        <f>IFERROR(__xludf.DUMMYFUNCTION("""COMPUTED_VALUE"""),"70702")</f>
        <v>70702</v>
      </c>
      <c r="H4030" s="17" t="str">
        <f>IFERROR(__xludf.DUMMYFUNCTION("""COMPUTED_VALUE"""),"материнські плати")</f>
        <v>материнські плати</v>
      </c>
      <c r="I4030" s="19">
        <f>IFERROR(__xludf.DUMMYFUNCTION("""COMPUTED_VALUE"""),0.0256)</f>
        <v>0.0256</v>
      </c>
      <c r="J4030" s="19">
        <f>IFERROR(__xludf.DUMMYFUNCTION("""COMPUTED_VALUE"""),0.0511)</f>
        <v>0.0511</v>
      </c>
      <c r="K4030" s="19">
        <f>IFERROR(__xludf.DUMMYFUNCTION("""COMPUTED_VALUE"""),0.0639)</f>
        <v>0.0639</v>
      </c>
      <c r="L4030" s="19">
        <f>IFERROR(__xludf.DUMMYFUNCTION("""COMPUTED_VALUE"""),0.0767)</f>
        <v>0.0767</v>
      </c>
      <c r="M4030" s="18">
        <f>IFERROR(__xludf.DUMMYFUNCTION("""COMPUTED_VALUE"""),1.71)</f>
        <v>1.71</v>
      </c>
    </row>
    <row r="4031">
      <c r="A4031" s="13" t="str">
        <f>IFERROR(__xludf.DUMMYFUNCTION("""COMPUTED_VALUE"""),"товари")</f>
        <v>товари</v>
      </c>
      <c r="B4031" s="16" t="str">
        <f>IFERROR(__xludf.DUMMYFUNCTION("""COMPUTED_VALUE"""),"техніка та електроніка")</f>
        <v>техніка та електроніка</v>
      </c>
      <c r="C4031" s="16" t="str">
        <f>IFERROR(__xludf.DUMMYFUNCTION("""COMPUTED_VALUE"""),"комп'ютерна техніка та пз")</f>
        <v>комп'ютерна техніка та пз</v>
      </c>
      <c r="D4031" s="16" t="str">
        <f>IFERROR(__xludf.DUMMYFUNCTION("""COMPUTED_VALUE"""),"комплектуючі для комп'ютерної техніки")</f>
        <v>комплектуючі для комп'ютерної техніки</v>
      </c>
      <c r="E4031" s="16" t="str">
        <f>IFERROR(__xludf.DUMMYFUNCTION("""COMPUTED_VALUE"""),"матриці для ноутбуків, планшетів та моніторів")</f>
        <v>матриці для ноутбуків, планшетів та моніторів</v>
      </c>
      <c r="F4031" s="17">
        <f>IFERROR(__xludf.DUMMYFUNCTION("""COMPUTED_VALUE"""),4.0)</f>
        <v>4</v>
      </c>
      <c r="G4031" s="17" t="str">
        <f>IFERROR(__xludf.DUMMYFUNCTION("""COMPUTED_VALUE"""),"7070902")</f>
        <v>7070902</v>
      </c>
      <c r="H4031" s="17" t="str">
        <f>IFERROR(__xludf.DUMMYFUNCTION("""COMPUTED_VALUE"""),"матриці для ноутбуків, планшетів та моніторів")</f>
        <v>матриці для ноутбуків, планшетів та моніторів</v>
      </c>
      <c r="I4031" s="19">
        <f>IFERROR(__xludf.DUMMYFUNCTION("""COMPUTED_VALUE"""),0.0876)</f>
        <v>0.0876</v>
      </c>
      <c r="J4031" s="19">
        <f>IFERROR(__xludf.DUMMYFUNCTION("""COMPUTED_VALUE"""),0.1751)</f>
        <v>0.1751</v>
      </c>
      <c r="K4031" s="19">
        <f>IFERROR(__xludf.DUMMYFUNCTION("""COMPUTED_VALUE"""),0.2189)</f>
        <v>0.2189</v>
      </c>
      <c r="L4031" s="19">
        <f>IFERROR(__xludf.DUMMYFUNCTION("""COMPUTED_VALUE"""),0.2627)</f>
        <v>0.2627</v>
      </c>
      <c r="M4031" s="18">
        <f>IFERROR(__xludf.DUMMYFUNCTION("""COMPUTED_VALUE"""),1.71)</f>
        <v>1.71</v>
      </c>
    </row>
    <row r="4032">
      <c r="A4032" s="13" t="str">
        <f>IFERROR(__xludf.DUMMYFUNCTION("""COMPUTED_VALUE"""),"товари")</f>
        <v>товари</v>
      </c>
      <c r="B4032" s="16" t="str">
        <f>IFERROR(__xludf.DUMMYFUNCTION("""COMPUTED_VALUE"""),"техніка та електроніка")</f>
        <v>техніка та електроніка</v>
      </c>
      <c r="C4032" s="16" t="str">
        <f>IFERROR(__xludf.DUMMYFUNCTION("""COMPUTED_VALUE"""),"побутова техніка")</f>
        <v>побутова техніка</v>
      </c>
      <c r="D4032" s="16" t="str">
        <f>IFERROR(__xludf.DUMMYFUNCTION("""COMPUTED_VALUE"""),"побутова техніка для дому")</f>
        <v>побутова техніка для дому</v>
      </c>
      <c r="E4032" s="16" t="str">
        <f>IFERROR(__xludf.DUMMYFUNCTION("""COMPUTED_VALUE"""),"машинки для видалення ковтунців з одягу")</f>
        <v>машинки для видалення ковтунців з одягу</v>
      </c>
      <c r="F4032" s="17">
        <f>IFERROR(__xludf.DUMMYFUNCTION("""COMPUTED_VALUE"""),4.0)</f>
        <v>4</v>
      </c>
      <c r="G4032" s="17" t="str">
        <f>IFERROR(__xludf.DUMMYFUNCTION("""COMPUTED_VALUE"""),"63020")</f>
        <v>63020</v>
      </c>
      <c r="H4032" s="17" t="str">
        <f>IFERROR(__xludf.DUMMYFUNCTION("""COMPUTED_VALUE"""),"машинки для видалення ковтунців з одягу")</f>
        <v>машинки для видалення ковтунців з одягу</v>
      </c>
      <c r="I4032" s="19">
        <f>IFERROR(__xludf.DUMMYFUNCTION("""COMPUTED_VALUE"""),0.0777)</f>
        <v>0.0777</v>
      </c>
      <c r="J4032" s="19">
        <f>IFERROR(__xludf.DUMMYFUNCTION("""COMPUTED_VALUE"""),0.1554)</f>
        <v>0.1554</v>
      </c>
      <c r="K4032" s="19">
        <f>IFERROR(__xludf.DUMMYFUNCTION("""COMPUTED_VALUE"""),0.1943)</f>
        <v>0.1943</v>
      </c>
      <c r="L4032" s="19">
        <f>IFERROR(__xludf.DUMMYFUNCTION("""COMPUTED_VALUE"""),0.2331)</f>
        <v>0.2331</v>
      </c>
      <c r="M4032" s="18">
        <f>IFERROR(__xludf.DUMMYFUNCTION("""COMPUTED_VALUE"""),3.06)</f>
        <v>3.06</v>
      </c>
    </row>
    <row r="4033">
      <c r="A4033" s="13" t="str">
        <f>IFERROR(__xludf.DUMMYFUNCTION("""COMPUTED_VALUE"""),"товари")</f>
        <v>товари</v>
      </c>
      <c r="B4033" s="16" t="str">
        <f>IFERROR(__xludf.DUMMYFUNCTION("""COMPUTED_VALUE"""),"техніка та електроніка")</f>
        <v>техніка та електроніка</v>
      </c>
      <c r="C4033" s="16" t="str">
        <f>IFERROR(__xludf.DUMMYFUNCTION("""COMPUTED_VALUE"""),"побутова техніка")</f>
        <v>побутова техніка</v>
      </c>
      <c r="D4033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33" s="16" t="str">
        <f>IFERROR(__xludf.DUMMYFUNCTION("""COMPUTED_VALUE"""),"машинки для стрижки волосся та тримери")</f>
        <v>машинки для стрижки волосся та тримери</v>
      </c>
      <c r="F4033" s="17">
        <f>IFERROR(__xludf.DUMMYFUNCTION("""COMPUTED_VALUE"""),4.0)</f>
        <v>4</v>
      </c>
      <c r="G4033" s="17" t="str">
        <f>IFERROR(__xludf.DUMMYFUNCTION("""COMPUTED_VALUE"""),"28290204")</f>
        <v>28290204</v>
      </c>
      <c r="H4033" s="17" t="str">
        <f>IFERROR(__xludf.DUMMYFUNCTION("""COMPUTED_VALUE"""),"машинки для стрижки волосся та тримери")</f>
        <v>машинки для стрижки волосся та тримери</v>
      </c>
      <c r="I4033" s="19">
        <f>IFERROR(__xludf.DUMMYFUNCTION("""COMPUTED_VALUE"""),0.0806)</f>
        <v>0.0806</v>
      </c>
      <c r="J4033" s="19">
        <f>IFERROR(__xludf.DUMMYFUNCTION("""COMPUTED_VALUE"""),0.1612)</f>
        <v>0.1612</v>
      </c>
      <c r="K4033" s="19">
        <f>IFERROR(__xludf.DUMMYFUNCTION("""COMPUTED_VALUE"""),0.2015)</f>
        <v>0.2015</v>
      </c>
      <c r="L4033" s="19">
        <f>IFERROR(__xludf.DUMMYFUNCTION("""COMPUTED_VALUE"""),0.2418)</f>
        <v>0.2418</v>
      </c>
      <c r="M4033" s="18">
        <f>IFERROR(__xludf.DUMMYFUNCTION("""COMPUTED_VALUE"""),4.05)</f>
        <v>4.05</v>
      </c>
    </row>
    <row r="4034">
      <c r="A4034" s="13" t="str">
        <f>IFERROR(__xludf.DUMMYFUNCTION("""COMPUTED_VALUE"""),"товари")</f>
        <v>товари</v>
      </c>
      <c r="B4034" s="16" t="str">
        <f>IFERROR(__xludf.DUMMYFUNCTION("""COMPUTED_VALUE"""),"техніка та електроніка")</f>
        <v>техніка та електроніка</v>
      </c>
      <c r="C4034" s="16" t="str">
        <f>IFERROR(__xludf.DUMMYFUNCTION("""COMPUTED_VALUE"""),"tv та відеотехніка")</f>
        <v>tv та відеотехніка</v>
      </c>
      <c r="D4034" s="16" t="str">
        <f>IFERROR(__xludf.DUMMYFUNCTION("""COMPUTED_VALUE"""),"медіаплеєри")</f>
        <v>медіаплеєри</v>
      </c>
      <c r="E4034" s="16" t="str">
        <f>IFERROR(__xludf.DUMMYFUNCTION("""COMPUTED_VALUE"""),"медіаплеєри")</f>
        <v>медіаплеєри</v>
      </c>
      <c r="F4034" s="17">
        <f>IFERROR(__xludf.DUMMYFUNCTION("""COMPUTED_VALUE"""),3.0)</f>
        <v>3</v>
      </c>
      <c r="G4034" s="17" t="str">
        <f>IFERROR(__xludf.DUMMYFUNCTION("""COMPUTED_VALUE"""),"6370902")</f>
        <v>6370902</v>
      </c>
      <c r="H4034" s="17" t="str">
        <f>IFERROR(__xludf.DUMMYFUNCTION("""COMPUTED_VALUE"""),"медіаплеєри")</f>
        <v>медіаплеєри</v>
      </c>
      <c r="I4034" s="19">
        <f>IFERROR(__xludf.DUMMYFUNCTION("""COMPUTED_VALUE"""),0.0757)</f>
        <v>0.0757</v>
      </c>
      <c r="J4034" s="19">
        <f>IFERROR(__xludf.DUMMYFUNCTION("""COMPUTED_VALUE"""),0.1514)</f>
        <v>0.1514</v>
      </c>
      <c r="K4034" s="19">
        <f>IFERROR(__xludf.DUMMYFUNCTION("""COMPUTED_VALUE"""),0.1893)</f>
        <v>0.1893</v>
      </c>
      <c r="L4034" s="19">
        <f>IFERROR(__xludf.DUMMYFUNCTION("""COMPUTED_VALUE"""),0.2271)</f>
        <v>0.2271</v>
      </c>
      <c r="M4034" s="18">
        <f>IFERROR(__xludf.DUMMYFUNCTION("""COMPUTED_VALUE"""),2.61)</f>
        <v>2.61</v>
      </c>
    </row>
    <row r="4035">
      <c r="A4035" s="13" t="str">
        <f>IFERROR(__xludf.DUMMYFUNCTION("""COMPUTED_VALUE"""),"товари")</f>
        <v>товари</v>
      </c>
      <c r="B4035" s="16" t="str">
        <f>IFERROR(__xludf.DUMMYFUNCTION("""COMPUTED_VALUE"""),"техніка та електроніка")</f>
        <v>техніка та електроніка</v>
      </c>
      <c r="C4035" s="16" t="str">
        <f>IFERROR(__xludf.DUMMYFUNCTION("""COMPUTED_VALUE"""),"аудіотехніка та аксесуари")</f>
        <v>аудіотехніка та аксесуари</v>
      </c>
      <c r="D4035" s="16" t="str">
        <f>IFERROR(__xludf.DUMMYFUNCTION("""COMPUTED_VALUE"""),"мережеві аудіо програвачі")</f>
        <v>мережеві аудіо програвачі</v>
      </c>
      <c r="E4035" s="16" t="str">
        <f>IFERROR(__xludf.DUMMYFUNCTION("""COMPUTED_VALUE"""),"мережеві аудіо програвачі")</f>
        <v>мережеві аудіо програвачі</v>
      </c>
      <c r="F4035" s="17">
        <f>IFERROR(__xludf.DUMMYFUNCTION("""COMPUTED_VALUE"""),3.0)</f>
        <v>3</v>
      </c>
      <c r="G4035" s="17" t="str">
        <f>IFERROR(__xludf.DUMMYFUNCTION("""COMPUTED_VALUE"""),"6370602")</f>
        <v>6370602</v>
      </c>
      <c r="H4035" s="17" t="str">
        <f>IFERROR(__xludf.DUMMYFUNCTION("""COMPUTED_VALUE"""),"мережеві аудіо програвачі")</f>
        <v>мережеві аудіо програвачі</v>
      </c>
      <c r="I4035" s="19">
        <f>IFERROR(__xludf.DUMMYFUNCTION("""COMPUTED_VALUE"""),0.0637)</f>
        <v>0.0637</v>
      </c>
      <c r="J4035" s="19">
        <f>IFERROR(__xludf.DUMMYFUNCTION("""COMPUTED_VALUE"""),0.1274)</f>
        <v>0.1274</v>
      </c>
      <c r="K4035" s="19">
        <f>IFERROR(__xludf.DUMMYFUNCTION("""COMPUTED_VALUE"""),0.1593)</f>
        <v>0.1593</v>
      </c>
      <c r="L4035" s="19">
        <f>IFERROR(__xludf.DUMMYFUNCTION("""COMPUTED_VALUE"""),0.1911)</f>
        <v>0.1911</v>
      </c>
      <c r="M4035" s="18">
        <f>IFERROR(__xludf.DUMMYFUNCTION("""COMPUTED_VALUE"""),1.05)</f>
        <v>1.05</v>
      </c>
    </row>
    <row r="4036">
      <c r="A4036" s="13" t="str">
        <f>IFERROR(__xludf.DUMMYFUNCTION("""COMPUTED_VALUE"""),"товари")</f>
        <v>товари</v>
      </c>
      <c r="B4036" s="16" t="str">
        <f>IFERROR(__xludf.DUMMYFUNCTION("""COMPUTED_VALUE"""),"техніка та електроніка")</f>
        <v>техніка та електроніка</v>
      </c>
      <c r="C4036" s="16" t="str">
        <f>IFERROR(__xludf.DUMMYFUNCTION("""COMPUTED_VALUE"""),"комп'ютерна техніка та пз")</f>
        <v>комп'ютерна техніка та пз</v>
      </c>
      <c r="D4036" s="16" t="str">
        <f>IFERROR(__xludf.DUMMYFUNCTION("""COMPUTED_VALUE"""),"комплектуючі для комп'ютерної техніки")</f>
        <v>комплектуючі для комп'ютерної техніки</v>
      </c>
      <c r="E4036" s="16" t="str">
        <f>IFERROR(__xludf.DUMMYFUNCTION("""COMPUTED_VALUE"""),"мікросхеми")</f>
        <v>мікросхеми</v>
      </c>
      <c r="F4036" s="17">
        <f>IFERROR(__xludf.DUMMYFUNCTION("""COMPUTED_VALUE"""),4.0)</f>
        <v>4</v>
      </c>
      <c r="G4036" s="17" t="str">
        <f>IFERROR(__xludf.DUMMYFUNCTION("""COMPUTED_VALUE"""),"70716")</f>
        <v>70716</v>
      </c>
      <c r="H4036" s="17" t="str">
        <f>IFERROR(__xludf.DUMMYFUNCTION("""COMPUTED_VALUE"""),"мікросхеми")</f>
        <v>мікросхеми</v>
      </c>
      <c r="I4036" s="19">
        <f>IFERROR(__xludf.DUMMYFUNCTION("""COMPUTED_VALUE"""),0.0778)</f>
        <v>0.0778</v>
      </c>
      <c r="J4036" s="19">
        <f>IFERROR(__xludf.DUMMYFUNCTION("""COMPUTED_VALUE"""),0.1556)</f>
        <v>0.1556</v>
      </c>
      <c r="K4036" s="19">
        <f>IFERROR(__xludf.DUMMYFUNCTION("""COMPUTED_VALUE"""),0.1945)</f>
        <v>0.1945</v>
      </c>
      <c r="L4036" s="19">
        <f>IFERROR(__xludf.DUMMYFUNCTION("""COMPUTED_VALUE"""),0.2334)</f>
        <v>0.2334</v>
      </c>
      <c r="M4036" s="18">
        <f>IFERROR(__xludf.DUMMYFUNCTION("""COMPUTED_VALUE"""),1.71)</f>
        <v>1.71</v>
      </c>
    </row>
    <row r="4037">
      <c r="A4037" s="13" t="str">
        <f>IFERROR(__xludf.DUMMYFUNCTION("""COMPUTED_VALUE"""),"товари")</f>
        <v>товари</v>
      </c>
      <c r="B4037" s="16" t="str">
        <f>IFERROR(__xludf.DUMMYFUNCTION("""COMPUTED_VALUE"""),"техніка та електроніка")</f>
        <v>техніка та електроніка</v>
      </c>
      <c r="C4037" s="16" t="str">
        <f>IFERROR(__xludf.DUMMYFUNCTION("""COMPUTED_VALUE"""),"телефони та аксесуари")</f>
        <v>телефони та аксесуари</v>
      </c>
      <c r="D4037" s="16" t="str">
        <f>IFERROR(__xludf.DUMMYFUNCTION("""COMPUTED_VALUE"""),"комплектуючі для мобільних телефонів")</f>
        <v>комплектуючі для мобільних телефонів</v>
      </c>
      <c r="E4037" s="16" t="str">
        <f>IFERROR(__xludf.DUMMYFUNCTION("""COMPUTED_VALUE"""),"мікросхеми та плати для мобільних телефонів")</f>
        <v>мікросхеми та плати для мобільних телефонів</v>
      </c>
      <c r="F4037" s="17">
        <f>IFERROR(__xludf.DUMMYFUNCTION("""COMPUTED_VALUE"""),4.0)</f>
        <v>4</v>
      </c>
      <c r="G4037" s="17" t="str">
        <f>IFERROR(__xludf.DUMMYFUNCTION("""COMPUTED_VALUE"""),"5090213")</f>
        <v>5090213</v>
      </c>
      <c r="H4037" s="17" t="str">
        <f>IFERROR(__xludf.DUMMYFUNCTION("""COMPUTED_VALUE"""),"мікросхеми та плати для мобільних телефонів")</f>
        <v>мікросхеми та плати для мобільних телефонів</v>
      </c>
      <c r="I4037" s="19">
        <f>IFERROR(__xludf.DUMMYFUNCTION("""COMPUTED_VALUE"""),0.0977)</f>
        <v>0.0977</v>
      </c>
      <c r="J4037" s="19">
        <f>IFERROR(__xludf.DUMMYFUNCTION("""COMPUTED_VALUE"""),0.1953)</f>
        <v>0.1953</v>
      </c>
      <c r="K4037" s="19">
        <f>IFERROR(__xludf.DUMMYFUNCTION("""COMPUTED_VALUE"""),0.2441)</f>
        <v>0.2441</v>
      </c>
      <c r="L4037" s="19">
        <f>IFERROR(__xludf.DUMMYFUNCTION("""COMPUTED_VALUE"""),0.293)</f>
        <v>0.293</v>
      </c>
      <c r="M4037" s="18">
        <f>IFERROR(__xludf.DUMMYFUNCTION("""COMPUTED_VALUE"""),2.88)</f>
        <v>2.88</v>
      </c>
    </row>
    <row r="4038">
      <c r="A4038" s="13" t="str">
        <f>IFERROR(__xludf.DUMMYFUNCTION("""COMPUTED_VALUE"""),"товари")</f>
        <v>товари</v>
      </c>
      <c r="B4038" s="16" t="str">
        <f>IFERROR(__xludf.DUMMYFUNCTION("""COMPUTED_VALUE"""),"техніка та електроніка")</f>
        <v>техніка та електроніка</v>
      </c>
      <c r="C4038" s="16" t="str">
        <f>IFERROR(__xludf.DUMMYFUNCTION("""COMPUTED_VALUE"""),"аудіотехніка та аксесуари")</f>
        <v>аудіотехніка та аксесуари</v>
      </c>
      <c r="D4038" s="16" t="str">
        <f>IFERROR(__xludf.DUMMYFUNCTION("""COMPUTED_VALUE"""),"мікрофони")</f>
        <v>мікрофони</v>
      </c>
      <c r="E4038" s="16" t="str">
        <f>IFERROR(__xludf.DUMMYFUNCTION("""COMPUTED_VALUE"""),"мікрофони")</f>
        <v>мікрофони</v>
      </c>
      <c r="F4038" s="17">
        <f>IFERROR(__xludf.DUMMYFUNCTION("""COMPUTED_VALUE"""),3.0)</f>
        <v>3</v>
      </c>
      <c r="G4038" s="17" t="str">
        <f>IFERROR(__xludf.DUMMYFUNCTION("""COMPUTED_VALUE"""),"6371204")</f>
        <v>6371204</v>
      </c>
      <c r="H4038" s="17" t="str">
        <f>IFERROR(__xludf.DUMMYFUNCTION("""COMPUTED_VALUE"""),"мікрофони")</f>
        <v>мікрофони</v>
      </c>
      <c r="I4038" s="19">
        <f>IFERROR(__xludf.DUMMYFUNCTION("""COMPUTED_VALUE"""),0.0732)</f>
        <v>0.0732</v>
      </c>
      <c r="J4038" s="19">
        <f>IFERROR(__xludf.DUMMYFUNCTION("""COMPUTED_VALUE"""),0.1464)</f>
        <v>0.1464</v>
      </c>
      <c r="K4038" s="19">
        <f>IFERROR(__xludf.DUMMYFUNCTION("""COMPUTED_VALUE"""),0.183)</f>
        <v>0.183</v>
      </c>
      <c r="L4038" s="19">
        <f>IFERROR(__xludf.DUMMYFUNCTION("""COMPUTED_VALUE"""),0.2196)</f>
        <v>0.2196</v>
      </c>
      <c r="M4038" s="18">
        <f>IFERROR(__xludf.DUMMYFUNCTION("""COMPUTED_VALUE"""),3.69)</f>
        <v>3.69</v>
      </c>
    </row>
    <row r="4039">
      <c r="A4039" s="13" t="str">
        <f>IFERROR(__xludf.DUMMYFUNCTION("""COMPUTED_VALUE"""),"товари")</f>
        <v>товари</v>
      </c>
      <c r="B4039" s="16" t="str">
        <f>IFERROR(__xludf.DUMMYFUNCTION("""COMPUTED_VALUE"""),"техніка та електроніка")</f>
        <v>техніка та електроніка</v>
      </c>
      <c r="C4039" s="16" t="str">
        <f>IFERROR(__xludf.DUMMYFUNCTION("""COMPUTED_VALUE"""),"побутова техніка")</f>
        <v>побутова техніка</v>
      </c>
      <c r="D4039" s="16" t="str">
        <f>IFERROR(__xludf.DUMMYFUNCTION("""COMPUTED_VALUE"""),"велика побутова техніка для кухні")</f>
        <v>велика побутова техніка для кухні</v>
      </c>
      <c r="E4039" s="16" t="str">
        <f>IFERROR(__xludf.DUMMYFUNCTION("""COMPUTED_VALUE"""),"мікрохвильові печі")</f>
        <v>мікрохвильові печі</v>
      </c>
      <c r="F4039" s="17">
        <f>IFERROR(__xludf.DUMMYFUNCTION("""COMPUTED_VALUE"""),4.0)</f>
        <v>4</v>
      </c>
      <c r="G4039" s="17" t="str">
        <f>IFERROR(__xludf.DUMMYFUNCTION("""COMPUTED_VALUE"""),"605")</f>
        <v>605</v>
      </c>
      <c r="H4039" s="17" t="str">
        <f>IFERROR(__xludf.DUMMYFUNCTION("""COMPUTED_VALUE"""),"мікрохвильові печі")</f>
        <v>мікрохвильові печі</v>
      </c>
      <c r="I4039" s="19">
        <f>IFERROR(__xludf.DUMMYFUNCTION("""COMPUTED_VALUE"""),0.0629)</f>
        <v>0.0629</v>
      </c>
      <c r="J4039" s="19">
        <f>IFERROR(__xludf.DUMMYFUNCTION("""COMPUTED_VALUE"""),0.1258)</f>
        <v>0.1258</v>
      </c>
      <c r="K4039" s="19">
        <f>IFERROR(__xludf.DUMMYFUNCTION("""COMPUTED_VALUE"""),0.1573)</f>
        <v>0.1573</v>
      </c>
      <c r="L4039" s="19">
        <f>IFERROR(__xludf.DUMMYFUNCTION("""COMPUTED_VALUE"""),0.1887)</f>
        <v>0.1887</v>
      </c>
      <c r="M4039" s="18">
        <f>IFERROR(__xludf.DUMMYFUNCTION("""COMPUTED_VALUE"""),1.53)</f>
        <v>1.53</v>
      </c>
    </row>
    <row r="4040">
      <c r="A4040" s="13" t="str">
        <f>IFERROR(__xludf.DUMMYFUNCTION("""COMPUTED_VALUE"""),"товари")</f>
        <v>товари</v>
      </c>
      <c r="B4040" s="16" t="str">
        <f>IFERROR(__xludf.DUMMYFUNCTION("""COMPUTED_VALUE"""),"техніка та електроніка")</f>
        <v>техніка та електроніка</v>
      </c>
      <c r="C4040" s="16" t="str">
        <f>IFERROR(__xludf.DUMMYFUNCTION("""COMPUTED_VALUE"""),"побутова техніка")</f>
        <v>побутова техніка</v>
      </c>
      <c r="D4040" s="16" t="str">
        <f>IFERROR(__xludf.DUMMYFUNCTION("""COMPUTED_VALUE"""),"дрібна побутова техніка для кухні")</f>
        <v>дрібна побутова техніка для кухні</v>
      </c>
      <c r="E4040" s="16" t="str">
        <f>IFERROR(__xludf.DUMMYFUNCTION("""COMPUTED_VALUE"""),"міксери")</f>
        <v>міксери</v>
      </c>
      <c r="F4040" s="17">
        <f>IFERROR(__xludf.DUMMYFUNCTION("""COMPUTED_VALUE"""),4.0)</f>
        <v>4</v>
      </c>
      <c r="G4040" s="17" t="str">
        <f>IFERROR(__xludf.DUMMYFUNCTION("""COMPUTED_VALUE"""),"612")</f>
        <v>612</v>
      </c>
      <c r="H4040" s="17" t="str">
        <f>IFERROR(__xludf.DUMMYFUNCTION("""COMPUTED_VALUE"""),"міксери")</f>
        <v>міксери</v>
      </c>
      <c r="I4040" s="19">
        <f>IFERROR(__xludf.DUMMYFUNCTION("""COMPUTED_VALUE"""),0.0763)</f>
        <v>0.0763</v>
      </c>
      <c r="J4040" s="19">
        <f>IFERROR(__xludf.DUMMYFUNCTION("""COMPUTED_VALUE"""),0.1525)</f>
        <v>0.1525</v>
      </c>
      <c r="K4040" s="19">
        <f>IFERROR(__xludf.DUMMYFUNCTION("""COMPUTED_VALUE"""),0.1906)</f>
        <v>0.1906</v>
      </c>
      <c r="L4040" s="19">
        <f>IFERROR(__xludf.DUMMYFUNCTION("""COMPUTED_VALUE"""),0.2288)</f>
        <v>0.2288</v>
      </c>
      <c r="M4040" s="18">
        <f>IFERROR(__xludf.DUMMYFUNCTION("""COMPUTED_VALUE"""),3.06)</f>
        <v>3.06</v>
      </c>
    </row>
    <row r="4041">
      <c r="A4041" s="13" t="str">
        <f>IFERROR(__xludf.DUMMYFUNCTION("""COMPUTED_VALUE"""),"товари")</f>
        <v>товари</v>
      </c>
      <c r="B4041" s="16" t="str">
        <f>IFERROR(__xludf.DUMMYFUNCTION("""COMPUTED_VALUE"""),"техніка та електроніка")</f>
        <v>техніка та електроніка</v>
      </c>
      <c r="C4041" s="16" t="str">
        <f>IFERROR(__xludf.DUMMYFUNCTION("""COMPUTED_VALUE"""),"комп'ютерна техніка та пз")</f>
        <v>комп'ютерна техніка та пз</v>
      </c>
      <c r="D4041" s="16" t="str">
        <f>IFERROR(__xludf.DUMMYFUNCTION("""COMPUTED_VALUE"""),"монітори")</f>
        <v>монітори</v>
      </c>
      <c r="E4041" s="16" t="str">
        <f>IFERROR(__xludf.DUMMYFUNCTION("""COMPUTED_VALUE"""),"монітори")</f>
        <v>монітори</v>
      </c>
      <c r="F4041" s="17">
        <f>IFERROR(__xludf.DUMMYFUNCTION("""COMPUTED_VALUE"""),3.0)</f>
        <v>3</v>
      </c>
      <c r="G4041" s="17" t="str">
        <f>IFERROR(__xludf.DUMMYFUNCTION("""COMPUTED_VALUE"""),"706")</f>
        <v>706</v>
      </c>
      <c r="H4041" s="17" t="str">
        <f>IFERROR(__xludf.DUMMYFUNCTION("""COMPUTED_VALUE"""),"монітори")</f>
        <v>монітори</v>
      </c>
      <c r="I4041" s="19">
        <f>IFERROR(__xludf.DUMMYFUNCTION("""COMPUTED_VALUE"""),0.0594)</f>
        <v>0.0594</v>
      </c>
      <c r="J4041" s="19">
        <f>IFERROR(__xludf.DUMMYFUNCTION("""COMPUTED_VALUE"""),0.1187)</f>
        <v>0.1187</v>
      </c>
      <c r="K4041" s="19">
        <f>IFERROR(__xludf.DUMMYFUNCTION("""COMPUTED_VALUE"""),0.1484)</f>
        <v>0.1484</v>
      </c>
      <c r="L4041" s="19">
        <f>IFERROR(__xludf.DUMMYFUNCTION("""COMPUTED_VALUE"""),0.1781)</f>
        <v>0.1781</v>
      </c>
      <c r="M4041" s="18">
        <f>IFERROR(__xludf.DUMMYFUNCTION("""COMPUTED_VALUE"""),1.71)</f>
        <v>1.71</v>
      </c>
    </row>
    <row r="4042">
      <c r="A4042" s="13" t="str">
        <f>IFERROR(__xludf.DUMMYFUNCTION("""COMPUTED_VALUE"""),"товари")</f>
        <v>товари</v>
      </c>
      <c r="B4042" s="16" t="str">
        <f>IFERROR(__xludf.DUMMYFUNCTION("""COMPUTED_VALUE"""),"техніка та електроніка")</f>
        <v>техніка та електроніка</v>
      </c>
      <c r="C4042" s="16" t="str">
        <f>IFERROR(__xludf.DUMMYFUNCTION("""COMPUTED_VALUE"""),"побутова техніка")</f>
        <v>побутова техніка</v>
      </c>
      <c r="D4042" s="16" t="str">
        <f>IFERROR(__xludf.DUMMYFUNCTION("""COMPUTED_VALUE"""),"велика побутова техніка для кухні")</f>
        <v>велика побутова техніка для кухні</v>
      </c>
      <c r="E4042" s="16" t="str">
        <f>IFERROR(__xludf.DUMMYFUNCTION("""COMPUTED_VALUE"""),"морозильні камери")</f>
        <v>морозильні камери</v>
      </c>
      <c r="F4042" s="17">
        <f>IFERROR(__xludf.DUMMYFUNCTION("""COMPUTED_VALUE"""),4.0)</f>
        <v>4</v>
      </c>
      <c r="G4042" s="17" t="str">
        <f>IFERROR(__xludf.DUMMYFUNCTION("""COMPUTED_VALUE"""),"62701")</f>
        <v>62701</v>
      </c>
      <c r="H4042" s="17" t="str">
        <f>IFERROR(__xludf.DUMMYFUNCTION("""COMPUTED_VALUE"""),"морозильні камери")</f>
        <v>морозильні камери</v>
      </c>
      <c r="I4042" s="19">
        <f>IFERROR(__xludf.DUMMYFUNCTION("""COMPUTED_VALUE"""),0.0479)</f>
        <v>0.0479</v>
      </c>
      <c r="J4042" s="19">
        <f>IFERROR(__xludf.DUMMYFUNCTION("""COMPUTED_VALUE"""),0.0958)</f>
        <v>0.0958</v>
      </c>
      <c r="K4042" s="19">
        <f>IFERROR(__xludf.DUMMYFUNCTION("""COMPUTED_VALUE"""),0.1198)</f>
        <v>0.1198</v>
      </c>
      <c r="L4042" s="19">
        <f>IFERROR(__xludf.DUMMYFUNCTION("""COMPUTED_VALUE"""),0.1437)</f>
        <v>0.1437</v>
      </c>
      <c r="M4042" s="18">
        <f>IFERROR(__xludf.DUMMYFUNCTION("""COMPUTED_VALUE"""),1.53)</f>
        <v>1.53</v>
      </c>
    </row>
    <row r="4043">
      <c r="A4043" s="13" t="str">
        <f>IFERROR(__xludf.DUMMYFUNCTION("""COMPUTED_VALUE"""),"товари")</f>
        <v>товари</v>
      </c>
      <c r="B4043" s="16" t="str">
        <f>IFERROR(__xludf.DUMMYFUNCTION("""COMPUTED_VALUE"""),"техніка та електроніка")</f>
        <v>техніка та електроніка</v>
      </c>
      <c r="C4043" s="16" t="str">
        <f>IFERROR(__xludf.DUMMYFUNCTION("""COMPUTED_VALUE"""),"бездротовий зв'язок")</f>
        <v>бездротовий зв'язок</v>
      </c>
      <c r="D4043" s="16" t="str">
        <f>IFERROR(__xludf.DUMMYFUNCTION("""COMPUTED_VALUE"""),"мости, шлюзи бездротових мереж")</f>
        <v>мости, шлюзи бездротових мереж</v>
      </c>
      <c r="E4043" s="16" t="str">
        <f>IFERROR(__xludf.DUMMYFUNCTION("""COMPUTED_VALUE"""),"мости, шлюзи бездротових мереж")</f>
        <v>мости, шлюзи бездротових мереж</v>
      </c>
      <c r="F4043" s="17">
        <f>IFERROR(__xludf.DUMMYFUNCTION("""COMPUTED_VALUE"""),3.0)</f>
        <v>3</v>
      </c>
      <c r="G4043" s="17" t="str">
        <f>IFERROR(__xludf.DUMMYFUNCTION("""COMPUTED_VALUE"""),"5090506")</f>
        <v>5090506</v>
      </c>
      <c r="H4043" s="17" t="str">
        <f>IFERROR(__xludf.DUMMYFUNCTION("""COMPUTED_VALUE"""),"мости, шлюзи бездротових мереж")</f>
        <v>мости, шлюзи бездротових мереж</v>
      </c>
      <c r="I4043" s="19">
        <f>IFERROR(__xludf.DUMMYFUNCTION("""COMPUTED_VALUE"""),0.0744)</f>
        <v>0.0744</v>
      </c>
      <c r="J4043" s="19">
        <f>IFERROR(__xludf.DUMMYFUNCTION("""COMPUTED_VALUE"""),0.1487)</f>
        <v>0.1487</v>
      </c>
      <c r="K4043" s="19">
        <f>IFERROR(__xludf.DUMMYFUNCTION("""COMPUTED_VALUE"""),0.1859)</f>
        <v>0.1859</v>
      </c>
      <c r="L4043" s="19">
        <f>IFERROR(__xludf.DUMMYFUNCTION("""COMPUTED_VALUE"""),0.2231)</f>
        <v>0.2231</v>
      </c>
      <c r="M4043" s="18">
        <f>IFERROR(__xludf.DUMMYFUNCTION("""COMPUTED_VALUE"""),1.05)</f>
        <v>1.05</v>
      </c>
    </row>
    <row r="4044">
      <c r="A4044" s="13" t="str">
        <f>IFERROR(__xludf.DUMMYFUNCTION("""COMPUTED_VALUE"""),"товари")</f>
        <v>товари</v>
      </c>
      <c r="B4044" s="16" t="str">
        <f>IFERROR(__xludf.DUMMYFUNCTION("""COMPUTED_VALUE"""),"техніка та електроніка")</f>
        <v>техніка та електроніка</v>
      </c>
      <c r="C4044" s="16" t="str">
        <f>IFERROR(__xludf.DUMMYFUNCTION("""COMPUTED_VALUE"""),"аудіотехніка та аксесуари")</f>
        <v>аудіотехніка та аксесуари</v>
      </c>
      <c r="D4044" s="16" t="str">
        <f>IFERROR(__xludf.DUMMYFUNCTION("""COMPUTED_VALUE"""),"музичні центри, магнітоли")</f>
        <v>музичні центри, магнітоли</v>
      </c>
      <c r="E4044" s="16" t="str">
        <f>IFERROR(__xludf.DUMMYFUNCTION("""COMPUTED_VALUE"""),"музичні центри, магнітоли")</f>
        <v>музичні центри, магнітоли</v>
      </c>
      <c r="F4044" s="17">
        <f>IFERROR(__xludf.DUMMYFUNCTION("""COMPUTED_VALUE"""),3.0)</f>
        <v>3</v>
      </c>
      <c r="G4044" s="17" t="str">
        <f>IFERROR(__xludf.DUMMYFUNCTION("""COMPUTED_VALUE"""),"6370605")</f>
        <v>6370605</v>
      </c>
      <c r="H4044" s="17" t="str">
        <f>IFERROR(__xludf.DUMMYFUNCTION("""COMPUTED_VALUE"""),"музичні центри, магнітоли")</f>
        <v>музичні центри, магнітоли</v>
      </c>
      <c r="I4044" s="19">
        <f>IFERROR(__xludf.DUMMYFUNCTION("""COMPUTED_VALUE"""),0.0739)</f>
        <v>0.0739</v>
      </c>
      <c r="J4044" s="19">
        <f>IFERROR(__xludf.DUMMYFUNCTION("""COMPUTED_VALUE"""),0.1478)</f>
        <v>0.1478</v>
      </c>
      <c r="K4044" s="19">
        <f>IFERROR(__xludf.DUMMYFUNCTION("""COMPUTED_VALUE"""),0.1848)</f>
        <v>0.1848</v>
      </c>
      <c r="L4044" s="19">
        <f>IFERROR(__xludf.DUMMYFUNCTION("""COMPUTED_VALUE"""),0.2217)</f>
        <v>0.2217</v>
      </c>
      <c r="M4044" s="18">
        <f>IFERROR(__xludf.DUMMYFUNCTION("""COMPUTED_VALUE"""),1.05)</f>
        <v>1.05</v>
      </c>
    </row>
    <row r="4045">
      <c r="A4045" s="13" t="str">
        <f>IFERROR(__xludf.DUMMYFUNCTION("""COMPUTED_VALUE"""),"товари")</f>
        <v>товари</v>
      </c>
      <c r="B4045" s="16" t="str">
        <f>IFERROR(__xludf.DUMMYFUNCTION("""COMPUTED_VALUE"""),"техніка та електроніка")</f>
        <v>техніка та електроніка</v>
      </c>
      <c r="C4045" s="16" t="str">
        <f>IFERROR(__xludf.DUMMYFUNCTION("""COMPUTED_VALUE"""),"побутова техніка")</f>
        <v>побутова техніка</v>
      </c>
      <c r="D4045" s="16" t="str">
        <f>IFERROR(__xludf.DUMMYFUNCTION("""COMPUTED_VALUE"""),"дрібна побутова техніка для кухні")</f>
        <v>дрібна побутова техніка для кухні</v>
      </c>
      <c r="E4045" s="16" t="str">
        <f>IFERROR(__xludf.DUMMYFUNCTION("""COMPUTED_VALUE"""),"мультиварки, рисоварки")</f>
        <v>мультиварки, рисоварки</v>
      </c>
      <c r="F4045" s="17">
        <f>IFERROR(__xludf.DUMMYFUNCTION("""COMPUTED_VALUE"""),4.0)</f>
        <v>4</v>
      </c>
      <c r="G4045" s="17" t="str">
        <f>IFERROR(__xludf.DUMMYFUNCTION("""COMPUTED_VALUE"""),"606")</f>
        <v>606</v>
      </c>
      <c r="H4045" s="17" t="str">
        <f>IFERROR(__xludf.DUMMYFUNCTION("""COMPUTED_VALUE"""),"мультиварки, рисоварки")</f>
        <v>мультиварки, рисоварки</v>
      </c>
      <c r="I4045" s="19">
        <f>IFERROR(__xludf.DUMMYFUNCTION("""COMPUTED_VALUE"""),0.0759)</f>
        <v>0.0759</v>
      </c>
      <c r="J4045" s="19">
        <f>IFERROR(__xludf.DUMMYFUNCTION("""COMPUTED_VALUE"""),0.1518)</f>
        <v>0.1518</v>
      </c>
      <c r="K4045" s="19">
        <f>IFERROR(__xludf.DUMMYFUNCTION("""COMPUTED_VALUE"""),0.1898)</f>
        <v>0.1898</v>
      </c>
      <c r="L4045" s="19">
        <f>IFERROR(__xludf.DUMMYFUNCTION("""COMPUTED_VALUE"""),0.2277)</f>
        <v>0.2277</v>
      </c>
      <c r="M4045" s="18">
        <f>IFERROR(__xludf.DUMMYFUNCTION("""COMPUTED_VALUE"""),3.06)</f>
        <v>3.06</v>
      </c>
    </row>
    <row r="4046">
      <c r="A4046" s="13" t="str">
        <f>IFERROR(__xludf.DUMMYFUNCTION("""COMPUTED_VALUE"""),"товари")</f>
        <v>товари</v>
      </c>
      <c r="B4046" s="16" t="str">
        <f>IFERROR(__xludf.DUMMYFUNCTION("""COMPUTED_VALUE"""),"техніка та електроніка")</f>
        <v>техніка та електроніка</v>
      </c>
      <c r="C4046" s="16" t="str">
        <f>IFERROR(__xludf.DUMMYFUNCTION("""COMPUTED_VALUE"""),"побутова техніка")</f>
        <v>побутова техніка</v>
      </c>
      <c r="D4046" s="16" t="str">
        <f>IFERROR(__xludf.DUMMYFUNCTION("""COMPUTED_VALUE"""),"дрібна побутова техніка для кухні")</f>
        <v>дрібна побутова техніка для кухні</v>
      </c>
      <c r="E4046" s="16" t="str">
        <f>IFERROR(__xludf.DUMMYFUNCTION("""COMPUTED_VALUE"""),"мультипекарі")</f>
        <v>мультипекарі</v>
      </c>
      <c r="F4046" s="17">
        <f>IFERROR(__xludf.DUMMYFUNCTION("""COMPUTED_VALUE"""),4.0)</f>
        <v>4</v>
      </c>
      <c r="G4046" s="17" t="str">
        <f>IFERROR(__xludf.DUMMYFUNCTION("""COMPUTED_VALUE"""),"6300413")</f>
        <v>6300413</v>
      </c>
      <c r="H4046" s="17" t="str">
        <f>IFERROR(__xludf.DUMMYFUNCTION("""COMPUTED_VALUE"""),"мультипекарі")</f>
        <v>мультипекарі</v>
      </c>
      <c r="I4046" s="19">
        <f>IFERROR(__xludf.DUMMYFUNCTION("""COMPUTED_VALUE"""),0.0769)</f>
        <v>0.0769</v>
      </c>
      <c r="J4046" s="19">
        <f>IFERROR(__xludf.DUMMYFUNCTION("""COMPUTED_VALUE"""),0.1538)</f>
        <v>0.1538</v>
      </c>
      <c r="K4046" s="19">
        <f>IFERROR(__xludf.DUMMYFUNCTION("""COMPUTED_VALUE"""),0.1923)</f>
        <v>0.1923</v>
      </c>
      <c r="L4046" s="19">
        <f>IFERROR(__xludf.DUMMYFUNCTION("""COMPUTED_VALUE"""),0.2307)</f>
        <v>0.2307</v>
      </c>
      <c r="M4046" s="18">
        <f>IFERROR(__xludf.DUMMYFUNCTION("""COMPUTED_VALUE"""),3.06)</f>
        <v>3.06</v>
      </c>
    </row>
    <row r="4047">
      <c r="A4047" s="13" t="str">
        <f>IFERROR(__xludf.DUMMYFUNCTION("""COMPUTED_VALUE"""),"товари")</f>
        <v>товари</v>
      </c>
      <c r="B4047" s="16" t="str">
        <f>IFERROR(__xludf.DUMMYFUNCTION("""COMPUTED_VALUE"""),"техніка та електроніка")</f>
        <v>техніка та електроніка</v>
      </c>
      <c r="C4047" s="16" t="str">
        <f>IFERROR(__xludf.DUMMYFUNCTION("""COMPUTED_VALUE"""),"побутова техніка")</f>
        <v>побутова техніка</v>
      </c>
      <c r="D4047" s="16" t="str">
        <f>IFERROR(__xludf.DUMMYFUNCTION("""COMPUTED_VALUE"""),"дрібна побутова техніка для кухні")</f>
        <v>дрібна побутова техніка для кухні</v>
      </c>
      <c r="E4047" s="16" t="str">
        <f>IFERROR(__xludf.DUMMYFUNCTION("""COMPUTED_VALUE"""),"мультипечі")</f>
        <v>мультипечі</v>
      </c>
      <c r="F4047" s="17">
        <f>IFERROR(__xludf.DUMMYFUNCTION("""COMPUTED_VALUE"""),4.0)</f>
        <v>4</v>
      </c>
      <c r="G4047" s="17" t="str">
        <f>IFERROR(__xludf.DUMMYFUNCTION("""COMPUTED_VALUE"""),"6300424")</f>
        <v>6300424</v>
      </c>
      <c r="H4047" s="17" t="str">
        <f>IFERROR(__xludf.DUMMYFUNCTION("""COMPUTED_VALUE"""),"мультипечі")</f>
        <v>мультипечі</v>
      </c>
      <c r="I4047" s="19">
        <f>IFERROR(__xludf.DUMMYFUNCTION("""COMPUTED_VALUE"""),0.0783)</f>
        <v>0.0783</v>
      </c>
      <c r="J4047" s="19">
        <f>IFERROR(__xludf.DUMMYFUNCTION("""COMPUTED_VALUE"""),0.1565)</f>
        <v>0.1565</v>
      </c>
      <c r="K4047" s="19">
        <f>IFERROR(__xludf.DUMMYFUNCTION("""COMPUTED_VALUE"""),0.1956)</f>
        <v>0.1956</v>
      </c>
      <c r="L4047" s="19">
        <f>IFERROR(__xludf.DUMMYFUNCTION("""COMPUTED_VALUE"""),0.2348)</f>
        <v>0.2348</v>
      </c>
      <c r="M4047" s="18">
        <f>IFERROR(__xludf.DUMMYFUNCTION("""COMPUTED_VALUE"""),3.1)</f>
        <v>3.1</v>
      </c>
    </row>
    <row r="4048">
      <c r="A4048" s="13" t="str">
        <f>IFERROR(__xludf.DUMMYFUNCTION("""COMPUTED_VALUE"""),"товари")</f>
        <v>товари</v>
      </c>
      <c r="B4048" s="16" t="str">
        <f>IFERROR(__xludf.DUMMYFUNCTION("""COMPUTED_VALUE"""),"техніка та електроніка")</f>
        <v>техніка та електроніка</v>
      </c>
      <c r="C4048" s="16" t="str">
        <f>IFERROR(__xludf.DUMMYFUNCTION("""COMPUTED_VALUE"""),"запчастини для техніки та електроніки")</f>
        <v>запчастини для техніки та електроніки</v>
      </c>
      <c r="D4048" s="16" t="str">
        <f>IFERROR(__xludf.DUMMYFUNCTION("""COMPUTED_VALUE"""),"набори та компоненти для самостійного збирання електроніки")</f>
        <v>набори та компоненти для самостійного збирання електроніки</v>
      </c>
      <c r="E4048" s="16" t="str">
        <f>IFERROR(__xludf.DUMMYFUNCTION("""COMPUTED_VALUE"""),"набори та компоненти для самостійного збирання електроніки")</f>
        <v>набори та компоненти для самостійного збирання електроніки</v>
      </c>
      <c r="F4048" s="17">
        <f>IFERROR(__xludf.DUMMYFUNCTION("""COMPUTED_VALUE"""),3.0)</f>
        <v>3</v>
      </c>
      <c r="G4048" s="17" t="str">
        <f>IFERROR(__xludf.DUMMYFUNCTION("""COMPUTED_VALUE"""),"500602")</f>
        <v>500602</v>
      </c>
      <c r="H4048" s="17" t="str">
        <f>IFERROR(__xludf.DUMMYFUNCTION("""COMPUTED_VALUE"""),"набори та компоненти для самостійного збирання електроніки")</f>
        <v>набори та компоненти для самостійного збирання електроніки</v>
      </c>
      <c r="I4048" s="19">
        <f>IFERROR(__xludf.DUMMYFUNCTION("""COMPUTED_VALUE"""),0.0509)</f>
        <v>0.0509</v>
      </c>
      <c r="J4048" s="19">
        <f>IFERROR(__xludf.DUMMYFUNCTION("""COMPUTED_VALUE"""),0.1018)</f>
        <v>0.1018</v>
      </c>
      <c r="K4048" s="19">
        <f>IFERROR(__xludf.DUMMYFUNCTION("""COMPUTED_VALUE"""),0.1273)</f>
        <v>0.1273</v>
      </c>
      <c r="L4048" s="19">
        <f>IFERROR(__xludf.DUMMYFUNCTION("""COMPUTED_VALUE"""),0.1527)</f>
        <v>0.1527</v>
      </c>
      <c r="M4048" s="18">
        <f>IFERROR(__xludf.DUMMYFUNCTION("""COMPUTED_VALUE"""),1.05)</f>
        <v>1.05</v>
      </c>
    </row>
    <row r="4049">
      <c r="A4049" s="13" t="str">
        <f>IFERROR(__xludf.DUMMYFUNCTION("""COMPUTED_VALUE"""),"товари")</f>
        <v>товари</v>
      </c>
      <c r="B4049" s="16" t="str">
        <f>IFERROR(__xludf.DUMMYFUNCTION("""COMPUTED_VALUE"""),"техніка та електроніка")</f>
        <v>техніка та електроніка</v>
      </c>
      <c r="C4049" s="16" t="str">
        <f>IFERROR(__xludf.DUMMYFUNCTION("""COMPUTED_VALUE"""),"комп'ютерна техніка та пз")</f>
        <v>комп'ютерна техніка та пз</v>
      </c>
      <c r="D4049" s="16" t="str">
        <f>IFERROR(__xludf.DUMMYFUNCTION("""COMPUTED_VALUE"""),"програмне забезпечення (пз)")</f>
        <v>програмне забезпечення (пз)</v>
      </c>
      <c r="E4049" s="16" t="str">
        <f>IFERROR(__xludf.DUMMYFUNCTION("""COMPUTED_VALUE"""),"навігаційне пз")</f>
        <v>навігаційне пз</v>
      </c>
      <c r="F4049" s="17">
        <f>IFERROR(__xludf.DUMMYFUNCTION("""COMPUTED_VALUE"""),4.0)</f>
        <v>4</v>
      </c>
      <c r="G4049" s="17" t="str">
        <f>IFERROR(__xludf.DUMMYFUNCTION("""COMPUTED_VALUE"""),"5091002")</f>
        <v>5091002</v>
      </c>
      <c r="H4049" s="17" t="str">
        <f>IFERROR(__xludf.DUMMYFUNCTION("""COMPUTED_VALUE"""),"навігаційне пз")</f>
        <v>навігаційне пз</v>
      </c>
      <c r="I4049" s="19">
        <f>IFERROR(__xludf.DUMMYFUNCTION("""COMPUTED_VALUE"""),0.0734)</f>
        <v>0.0734</v>
      </c>
      <c r="J4049" s="19">
        <f>IFERROR(__xludf.DUMMYFUNCTION("""COMPUTED_VALUE"""),0.1468)</f>
        <v>0.1468</v>
      </c>
      <c r="K4049" s="19">
        <f>IFERROR(__xludf.DUMMYFUNCTION("""COMPUTED_VALUE"""),0.1835)</f>
        <v>0.1835</v>
      </c>
      <c r="L4049" s="19">
        <f>IFERROR(__xludf.DUMMYFUNCTION("""COMPUTED_VALUE"""),0.2202)</f>
        <v>0.2202</v>
      </c>
      <c r="M4049" s="18">
        <f>IFERROR(__xludf.DUMMYFUNCTION("""COMPUTED_VALUE"""),3.96)</f>
        <v>3.96</v>
      </c>
    </row>
    <row r="4050">
      <c r="A4050" s="13" t="str">
        <f>IFERROR(__xludf.DUMMYFUNCTION("""COMPUTED_VALUE"""),"товари")</f>
        <v>товари</v>
      </c>
      <c r="B4050" s="16" t="str">
        <f>IFERROR(__xludf.DUMMYFUNCTION("""COMPUTED_VALUE"""),"техніка та електроніка")</f>
        <v>техніка та електроніка</v>
      </c>
      <c r="C4050" s="16" t="str">
        <f>IFERROR(__xludf.DUMMYFUNCTION("""COMPUTED_VALUE"""),"аудіотехніка та аксесуари")</f>
        <v>аудіотехніка та аксесуари</v>
      </c>
      <c r="D4050" s="16" t="str">
        <f>IFERROR(__xludf.DUMMYFUNCTION("""COMPUTED_VALUE"""),"навушники та гарнітури")</f>
        <v>навушники та гарнітури</v>
      </c>
      <c r="E4050" s="16" t="str">
        <f>IFERROR(__xludf.DUMMYFUNCTION("""COMPUTED_VALUE"""),"навушники та гарнітури")</f>
        <v>навушники та гарнітури</v>
      </c>
      <c r="F4050" s="17">
        <f>IFERROR(__xludf.DUMMYFUNCTION("""COMPUTED_VALUE"""),3.0)</f>
        <v>3</v>
      </c>
      <c r="G4050" s="17" t="str">
        <f>IFERROR(__xludf.DUMMYFUNCTION("""COMPUTED_VALUE"""),"63715")</f>
        <v>63715</v>
      </c>
      <c r="H4050" s="17" t="str">
        <f>IFERROR(__xludf.DUMMYFUNCTION("""COMPUTED_VALUE"""),"навушники та гарнітури")</f>
        <v>навушники та гарнітури</v>
      </c>
      <c r="I4050" s="19">
        <f>IFERROR(__xludf.DUMMYFUNCTION("""COMPUTED_VALUE"""),0.0994)</f>
        <v>0.0994</v>
      </c>
      <c r="J4050" s="19">
        <f>IFERROR(__xludf.DUMMYFUNCTION("""COMPUTED_VALUE"""),0.1988)</f>
        <v>0.1988</v>
      </c>
      <c r="K4050" s="19">
        <f>IFERROR(__xludf.DUMMYFUNCTION("""COMPUTED_VALUE"""),0.2485)</f>
        <v>0.2485</v>
      </c>
      <c r="L4050" s="19">
        <f>IFERROR(__xludf.DUMMYFUNCTION("""COMPUTED_VALUE"""),0.2982)</f>
        <v>0.2982</v>
      </c>
      <c r="M4050" s="18">
        <f>IFERROR(__xludf.DUMMYFUNCTION("""COMPUTED_VALUE"""),3.69)</f>
        <v>3.69</v>
      </c>
    </row>
    <row r="4051">
      <c r="A4051" s="13" t="str">
        <f>IFERROR(__xludf.DUMMYFUNCTION("""COMPUTED_VALUE"""),"товари")</f>
        <v>товари</v>
      </c>
      <c r="B4051" s="16" t="str">
        <f>IFERROR(__xludf.DUMMYFUNCTION("""COMPUTED_VALUE"""),"техніка та електроніка")</f>
        <v>техніка та електроніка</v>
      </c>
      <c r="C4051" s="16" t="str">
        <f>IFERROR(__xludf.DUMMYFUNCTION("""COMPUTED_VALUE"""),"комп'ютерна техніка та пз")</f>
        <v>комп'ютерна техніка та пз</v>
      </c>
      <c r="D4051" s="16" t="str">
        <f>IFERROR(__xludf.DUMMYFUNCTION("""COMPUTED_VALUE"""),"програмне забезпечення (пз)")</f>
        <v>програмне забезпечення (пз)</v>
      </c>
      <c r="E4051" s="16" t="str">
        <f>IFERROR(__xludf.DUMMYFUNCTION("""COMPUTED_VALUE"""),"навчальні програми, словники, перекладачі")</f>
        <v>навчальні програми, словники, перекладачі</v>
      </c>
      <c r="F4051" s="17">
        <f>IFERROR(__xludf.DUMMYFUNCTION("""COMPUTED_VALUE"""),4.0)</f>
        <v>4</v>
      </c>
      <c r="G4051" s="17" t="str">
        <f>IFERROR(__xludf.DUMMYFUNCTION("""COMPUTED_VALUE"""),"28420305")</f>
        <v>28420305</v>
      </c>
      <c r="H4051" s="17" t="str">
        <f>IFERROR(__xludf.DUMMYFUNCTION("""COMPUTED_VALUE"""),"навчальні програми, словники, перекладачі")</f>
        <v>навчальні програми, словники, перекладачі</v>
      </c>
      <c r="I4051" s="19">
        <f>IFERROR(__xludf.DUMMYFUNCTION("""COMPUTED_VALUE"""),0.0754)</f>
        <v>0.0754</v>
      </c>
      <c r="J4051" s="19">
        <f>IFERROR(__xludf.DUMMYFUNCTION("""COMPUTED_VALUE"""),0.1507)</f>
        <v>0.1507</v>
      </c>
      <c r="K4051" s="19">
        <f>IFERROR(__xludf.DUMMYFUNCTION("""COMPUTED_VALUE"""),0.1884)</f>
        <v>0.1884</v>
      </c>
      <c r="L4051" s="19">
        <f>IFERROR(__xludf.DUMMYFUNCTION("""COMPUTED_VALUE"""),0.2261)</f>
        <v>0.2261</v>
      </c>
      <c r="M4051" s="18">
        <f>IFERROR(__xludf.DUMMYFUNCTION("""COMPUTED_VALUE"""),3.96)</f>
        <v>3.96</v>
      </c>
    </row>
    <row r="4052">
      <c r="A4052" s="13" t="str">
        <f>IFERROR(__xludf.DUMMYFUNCTION("""COMPUTED_VALUE"""),"товари")</f>
        <v>товари</v>
      </c>
      <c r="B4052" s="16" t="str">
        <f>IFERROR(__xludf.DUMMYFUNCTION("""COMPUTED_VALUE"""),"техніка та електроніка")</f>
        <v>техніка та електроніка</v>
      </c>
      <c r="C4052" s="16" t="str">
        <f>IFERROR(__xludf.DUMMYFUNCTION("""COMPUTED_VALUE"""),"фото-, відеокамери та аксесуари")</f>
        <v>фото-, відеокамери та аксесуари</v>
      </c>
      <c r="D4052" s="16" t="str">
        <f>IFERROR(__xludf.DUMMYFUNCTION("""COMPUTED_VALUE"""),"відеотехніка")</f>
        <v>відеотехніка</v>
      </c>
      <c r="E4052" s="16" t="str">
        <f>IFERROR(__xludf.DUMMYFUNCTION("""COMPUTED_VALUE"""),"накамерні монітори")</f>
        <v>накамерні монітори</v>
      </c>
      <c r="F4052" s="17">
        <f>IFERROR(__xludf.DUMMYFUNCTION("""COMPUTED_VALUE"""),4.0)</f>
        <v>4</v>
      </c>
      <c r="G4052" s="17" t="str">
        <f>IFERROR(__xludf.DUMMYFUNCTION("""COMPUTED_VALUE"""),"6371821")</f>
        <v>6371821</v>
      </c>
      <c r="H4052" s="17" t="str">
        <f>IFERROR(__xludf.DUMMYFUNCTION("""COMPUTED_VALUE"""),"накамерні монітори")</f>
        <v>накамерні монітори</v>
      </c>
      <c r="I4052" s="19">
        <f>IFERROR(__xludf.DUMMYFUNCTION("""COMPUTED_VALUE"""),0.0926)</f>
        <v>0.0926</v>
      </c>
      <c r="J4052" s="19">
        <f>IFERROR(__xludf.DUMMYFUNCTION("""COMPUTED_VALUE"""),0.1851)</f>
        <v>0.1851</v>
      </c>
      <c r="K4052" s="19">
        <f>IFERROR(__xludf.DUMMYFUNCTION("""COMPUTED_VALUE"""),0.2314)</f>
        <v>0.2314</v>
      </c>
      <c r="L4052" s="19">
        <f>IFERROR(__xludf.DUMMYFUNCTION("""COMPUTED_VALUE"""),0.2777)</f>
        <v>0.2777</v>
      </c>
      <c r="M4052" s="18">
        <f>IFERROR(__xludf.DUMMYFUNCTION("""COMPUTED_VALUE"""),1.26)</f>
        <v>1.26</v>
      </c>
    </row>
    <row r="4053">
      <c r="A4053" s="13" t="str">
        <f>IFERROR(__xludf.DUMMYFUNCTION("""COMPUTED_VALUE"""),"товари")</f>
        <v>товари</v>
      </c>
      <c r="B4053" s="16" t="str">
        <f>IFERROR(__xludf.DUMMYFUNCTION("""COMPUTED_VALUE"""),"техніка та електроніка")</f>
        <v>техніка та електроніка</v>
      </c>
      <c r="C4053" s="16" t="str">
        <f>IFERROR(__xludf.DUMMYFUNCTION("""COMPUTED_VALUE"""),"побутова техніка")</f>
        <v>побутова техніка</v>
      </c>
      <c r="D4053" s="16" t="str">
        <f>IFERROR(__xludf.DUMMYFUNCTION("""COMPUTED_VALUE"""),"велика побутова техніка для кухні")</f>
        <v>велика побутова техніка для кухні</v>
      </c>
      <c r="E4053" s="16" t="str">
        <f>IFERROR(__xludf.DUMMYFUNCTION("""COMPUTED_VALUE"""),"настільні електропечі, електродуховки")</f>
        <v>настільні електропечі, електродуховки</v>
      </c>
      <c r="F4053" s="17">
        <f>IFERROR(__xludf.DUMMYFUNCTION("""COMPUTED_VALUE"""),4.0)</f>
        <v>4</v>
      </c>
      <c r="G4053" s="17" t="str">
        <f>IFERROR(__xludf.DUMMYFUNCTION("""COMPUTED_VALUE"""),"6300407")</f>
        <v>6300407</v>
      </c>
      <c r="H4053" s="17" t="str">
        <f>IFERROR(__xludf.DUMMYFUNCTION("""COMPUTED_VALUE"""),"настільні електропечі, електродуховки")</f>
        <v>настільні електропечі, електродуховки</v>
      </c>
      <c r="I4053" s="19">
        <f>IFERROR(__xludf.DUMMYFUNCTION("""COMPUTED_VALUE"""),0.0672)</f>
        <v>0.0672</v>
      </c>
      <c r="J4053" s="19">
        <f>IFERROR(__xludf.DUMMYFUNCTION("""COMPUTED_VALUE"""),0.1343)</f>
        <v>0.1343</v>
      </c>
      <c r="K4053" s="19">
        <f>IFERROR(__xludf.DUMMYFUNCTION("""COMPUTED_VALUE"""),0.1679)</f>
        <v>0.1679</v>
      </c>
      <c r="L4053" s="19">
        <f>IFERROR(__xludf.DUMMYFUNCTION("""COMPUTED_VALUE"""),0.2015)</f>
        <v>0.2015</v>
      </c>
      <c r="M4053" s="18">
        <f>IFERROR(__xludf.DUMMYFUNCTION("""COMPUTED_VALUE"""),1.53)</f>
        <v>1.53</v>
      </c>
    </row>
    <row r="4054">
      <c r="A4054" s="13" t="str">
        <f>IFERROR(__xludf.DUMMYFUNCTION("""COMPUTED_VALUE"""),"товари")</f>
        <v>товари</v>
      </c>
      <c r="B4054" s="16" t="str">
        <f>IFERROR(__xludf.DUMMYFUNCTION("""COMPUTED_VALUE"""),"техніка та електроніка")</f>
        <v>техніка та електроніка</v>
      </c>
      <c r="C4054" s="16" t="str">
        <f>IFERROR(__xludf.DUMMYFUNCTION("""COMPUTED_VALUE"""),"комп'ютерна техніка та пз")</f>
        <v>комп'ютерна техніка та пз</v>
      </c>
      <c r="D4054" s="16" t="str">
        <f>IFERROR(__xludf.DUMMYFUNCTION("""COMPUTED_VALUE"""),"настільні комп'ютери")</f>
        <v>настільні комп'ютери</v>
      </c>
      <c r="E4054" s="16" t="str">
        <f>IFERROR(__xludf.DUMMYFUNCTION("""COMPUTED_VALUE"""),"настільні комп'ютери")</f>
        <v>настільні комп'ютери</v>
      </c>
      <c r="F4054" s="17">
        <f>IFERROR(__xludf.DUMMYFUNCTION("""COMPUTED_VALUE"""),3.0)</f>
        <v>3</v>
      </c>
      <c r="G4054" s="17" t="str">
        <f>IFERROR(__xludf.DUMMYFUNCTION("""COMPUTED_VALUE"""),"701")</f>
        <v>701</v>
      </c>
      <c r="H4054" s="17" t="str">
        <f>IFERROR(__xludf.DUMMYFUNCTION("""COMPUTED_VALUE"""),"настільні комп'ютери")</f>
        <v>настільні комп'ютери</v>
      </c>
      <c r="I4054" s="19">
        <f>IFERROR(__xludf.DUMMYFUNCTION("""COMPUTED_VALUE"""),0.0465)</f>
        <v>0.0465</v>
      </c>
      <c r="J4054" s="19">
        <f>IFERROR(__xludf.DUMMYFUNCTION("""COMPUTED_VALUE"""),0.093)</f>
        <v>0.093</v>
      </c>
      <c r="K4054" s="19">
        <f>IFERROR(__xludf.DUMMYFUNCTION("""COMPUTED_VALUE"""),0.1163)</f>
        <v>0.1163</v>
      </c>
      <c r="L4054" s="19">
        <f>IFERROR(__xludf.DUMMYFUNCTION("""COMPUTED_VALUE"""),0.1395)</f>
        <v>0.1395</v>
      </c>
      <c r="M4054" s="18">
        <f>IFERROR(__xludf.DUMMYFUNCTION("""COMPUTED_VALUE"""),2.25)</f>
        <v>2.25</v>
      </c>
    </row>
    <row r="4055">
      <c r="A4055" s="13" t="str">
        <f>IFERROR(__xludf.DUMMYFUNCTION("""COMPUTED_VALUE"""),"товари")</f>
        <v>товари</v>
      </c>
      <c r="B4055" s="16" t="str">
        <f>IFERROR(__xludf.DUMMYFUNCTION("""COMPUTED_VALUE"""),"техніка та електроніка")</f>
        <v>техніка та електроніка</v>
      </c>
      <c r="C4055" s="16" t="str">
        <f>IFERROR(__xludf.DUMMYFUNCTION("""COMPUTED_VALUE"""),"комп'ютерна техніка та пз")</f>
        <v>комп'ютерна техніка та пз</v>
      </c>
      <c r="D4055" s="16" t="str">
        <f>IFERROR(__xludf.DUMMYFUNCTION("""COMPUTED_VALUE"""),"носії інформації")</f>
        <v>носії інформації</v>
      </c>
      <c r="E4055" s="16" t="str">
        <f>IFERROR(__xludf.DUMMYFUNCTION("""COMPUTED_VALUE"""),"носії інформації, загальне")</f>
        <v>носії інформації, загальне</v>
      </c>
      <c r="F4055" s="17">
        <f>IFERROR(__xludf.DUMMYFUNCTION("""COMPUTED_VALUE"""),4.0)</f>
        <v>4</v>
      </c>
      <c r="G4055" s="17" t="str">
        <f>IFERROR(__xludf.DUMMYFUNCTION("""COMPUTED_VALUE"""),"70503")</f>
        <v>70503</v>
      </c>
      <c r="H4055" s="17" t="str">
        <f>IFERROR(__xludf.DUMMYFUNCTION("""COMPUTED_VALUE"""),"носії інформації, загальне")</f>
        <v>носії інформації, загальне</v>
      </c>
      <c r="I4055" s="19">
        <f>IFERROR(__xludf.DUMMYFUNCTION("""COMPUTED_VALUE"""),0.125)</f>
        <v>0.125</v>
      </c>
      <c r="J4055" s="19">
        <f>IFERROR(__xludf.DUMMYFUNCTION("""COMPUTED_VALUE"""),0.25)</f>
        <v>0.25</v>
      </c>
      <c r="K4055" s="19">
        <f>IFERROR(__xludf.DUMMYFUNCTION("""COMPUTED_VALUE"""),0.3125)</f>
        <v>0.3125</v>
      </c>
      <c r="L4055" s="19">
        <f>IFERROR(__xludf.DUMMYFUNCTION("""COMPUTED_VALUE"""),0.375)</f>
        <v>0.375</v>
      </c>
      <c r="M4055" s="18">
        <f>IFERROR(__xludf.DUMMYFUNCTION("""COMPUTED_VALUE"""),4.33)</f>
        <v>4.33</v>
      </c>
    </row>
    <row r="4056">
      <c r="A4056" s="13" t="str">
        <f>IFERROR(__xludf.DUMMYFUNCTION("""COMPUTED_VALUE"""),"товари")</f>
        <v>товари</v>
      </c>
      <c r="B4056" s="16" t="str">
        <f>IFERROR(__xludf.DUMMYFUNCTION("""COMPUTED_VALUE"""),"техніка та електроніка")</f>
        <v>техніка та електроніка</v>
      </c>
      <c r="C4056" s="16" t="str">
        <f>IFERROR(__xludf.DUMMYFUNCTION("""COMPUTED_VALUE"""),"комп'ютерна техніка та пз")</f>
        <v>комп'ютерна техніка та пз</v>
      </c>
      <c r="D4056" s="16" t="str">
        <f>IFERROR(__xludf.DUMMYFUNCTION("""COMPUTED_VALUE"""),"ноутбуки")</f>
        <v>ноутбуки</v>
      </c>
      <c r="E4056" s="16" t="str">
        <f>IFERROR(__xludf.DUMMYFUNCTION("""COMPUTED_VALUE"""),"ноутбуки")</f>
        <v>ноутбуки</v>
      </c>
      <c r="F4056" s="17">
        <f>IFERROR(__xludf.DUMMYFUNCTION("""COMPUTED_VALUE"""),3.0)</f>
        <v>3</v>
      </c>
      <c r="G4056" s="17" t="str">
        <f>IFERROR(__xludf.DUMMYFUNCTION("""COMPUTED_VALUE"""),"702")</f>
        <v>702</v>
      </c>
      <c r="H4056" s="17" t="str">
        <f>IFERROR(__xludf.DUMMYFUNCTION("""COMPUTED_VALUE"""),"ноутбуки")</f>
        <v>ноутбуки</v>
      </c>
      <c r="I4056" s="19">
        <f>IFERROR(__xludf.DUMMYFUNCTION("""COMPUTED_VALUE"""),0.025)</f>
        <v>0.025</v>
      </c>
      <c r="J4056" s="19">
        <f>IFERROR(__xludf.DUMMYFUNCTION("""COMPUTED_VALUE"""),0.05)</f>
        <v>0.05</v>
      </c>
      <c r="K4056" s="19">
        <f>IFERROR(__xludf.DUMMYFUNCTION("""COMPUTED_VALUE"""),0.0625)</f>
        <v>0.0625</v>
      </c>
      <c r="L4056" s="19">
        <f>IFERROR(__xludf.DUMMYFUNCTION("""COMPUTED_VALUE"""),0.075)</f>
        <v>0.075</v>
      </c>
      <c r="M4056" s="18">
        <f>IFERROR(__xludf.DUMMYFUNCTION("""COMPUTED_VALUE"""),2.08)</f>
        <v>2.08</v>
      </c>
    </row>
    <row r="4057">
      <c r="A4057" s="13" t="str">
        <f>IFERROR(__xludf.DUMMYFUNCTION("""COMPUTED_VALUE"""),"товари")</f>
        <v>товари</v>
      </c>
      <c r="B4057" s="16" t="str">
        <f>IFERROR(__xludf.DUMMYFUNCTION("""COMPUTED_VALUE"""),"техніка та електроніка")</f>
        <v>техніка та електроніка</v>
      </c>
      <c r="C4057" s="16" t="str">
        <f>IFERROR(__xludf.DUMMYFUNCTION("""COMPUTED_VALUE"""),"телефони та аксесуари")</f>
        <v>телефони та аксесуари</v>
      </c>
      <c r="D4057" s="16" t="str">
        <f>IFERROR(__xludf.DUMMYFUNCTION("""COMPUTED_VALUE"""),"все для selfie")</f>
        <v>все для selfie</v>
      </c>
      <c r="E4057" s="16" t="str">
        <f>IFERROR(__xludf.DUMMYFUNCTION("""COMPUTED_VALUE"""),"об'єктиви для телефонів")</f>
        <v>об'єктиви для телефонів</v>
      </c>
      <c r="F4057" s="17">
        <f>IFERROR(__xludf.DUMMYFUNCTION("""COMPUTED_VALUE"""),4.0)</f>
        <v>4</v>
      </c>
      <c r="G4057" s="17" t="str">
        <f>IFERROR(__xludf.DUMMYFUNCTION("""COMPUTED_VALUE"""),"5090219")</f>
        <v>5090219</v>
      </c>
      <c r="H4057" s="17" t="str">
        <f>IFERROR(__xludf.DUMMYFUNCTION("""COMPUTED_VALUE"""),"об'єктиви для телефонів")</f>
        <v>об'єктиви для телефонів</v>
      </c>
      <c r="I4057" s="19">
        <f>IFERROR(__xludf.DUMMYFUNCTION("""COMPUTED_VALUE"""),0.1004)</f>
        <v>0.1004</v>
      </c>
      <c r="J4057" s="19">
        <f>IFERROR(__xludf.DUMMYFUNCTION("""COMPUTED_VALUE"""),0.2008)</f>
        <v>0.2008</v>
      </c>
      <c r="K4057" s="19">
        <f>IFERROR(__xludf.DUMMYFUNCTION("""COMPUTED_VALUE"""),0.251)</f>
        <v>0.251</v>
      </c>
      <c r="L4057" s="19">
        <f>IFERROR(__xludf.DUMMYFUNCTION("""COMPUTED_VALUE"""),0.3012)</f>
        <v>0.3012</v>
      </c>
      <c r="M4057" s="18">
        <f>IFERROR(__xludf.DUMMYFUNCTION("""COMPUTED_VALUE"""),3.43)</f>
        <v>3.43</v>
      </c>
    </row>
    <row r="4058">
      <c r="A4058" s="13" t="str">
        <f>IFERROR(__xludf.DUMMYFUNCTION("""COMPUTED_VALUE"""),"товари")</f>
        <v>товари</v>
      </c>
      <c r="B4058" s="16" t="str">
        <f>IFERROR(__xludf.DUMMYFUNCTION("""COMPUTED_VALUE"""),"техніка та електроніка")</f>
        <v>техніка та електроніка</v>
      </c>
      <c r="C4058" s="16" t="str">
        <f>IFERROR(__xludf.DUMMYFUNCTION("""COMPUTED_VALUE"""),"бездротовий зв'язок")</f>
        <v>бездротовий зв'язок</v>
      </c>
      <c r="D4058" s="16" t="str">
        <f>IFERROR(__xludf.DUMMYFUNCTION("""COMPUTED_VALUE"""),"обладнання для бездротових мереж")</f>
        <v>обладнання для бездротових мереж</v>
      </c>
      <c r="E4058" s="16" t="str">
        <f>IFERROR(__xludf.DUMMYFUNCTION("""COMPUTED_VALUE"""),"обладнання для бездротових мереж")</f>
        <v>обладнання для бездротових мереж</v>
      </c>
      <c r="F4058" s="17">
        <f>IFERROR(__xludf.DUMMYFUNCTION("""COMPUTED_VALUE"""),3.0)</f>
        <v>3</v>
      </c>
      <c r="G4058" s="17" t="str">
        <f>IFERROR(__xludf.DUMMYFUNCTION("""COMPUTED_VALUE"""),"5090504")</f>
        <v>5090504</v>
      </c>
      <c r="H4058" s="17" t="str">
        <f>IFERROR(__xludf.DUMMYFUNCTION("""COMPUTED_VALUE"""),"обладнання для бездротових мереж")</f>
        <v>обладнання для бездротових мереж</v>
      </c>
      <c r="I4058" s="19">
        <f>IFERROR(__xludf.DUMMYFUNCTION("""COMPUTED_VALUE"""),0.0667)</f>
        <v>0.0667</v>
      </c>
      <c r="J4058" s="19">
        <f>IFERROR(__xludf.DUMMYFUNCTION("""COMPUTED_VALUE"""),0.1333)</f>
        <v>0.1333</v>
      </c>
      <c r="K4058" s="19">
        <f>IFERROR(__xludf.DUMMYFUNCTION("""COMPUTED_VALUE"""),0.1666)</f>
        <v>0.1666</v>
      </c>
      <c r="L4058" s="19">
        <f>IFERROR(__xludf.DUMMYFUNCTION("""COMPUTED_VALUE"""),0.2)</f>
        <v>0.2</v>
      </c>
      <c r="M4058" s="18">
        <f>IFERROR(__xludf.DUMMYFUNCTION("""COMPUTED_VALUE"""),2.16)</f>
        <v>2.16</v>
      </c>
    </row>
    <row r="4059">
      <c r="A4059" s="13" t="str">
        <f>IFERROR(__xludf.DUMMYFUNCTION("""COMPUTED_VALUE"""),"товари")</f>
        <v>товари</v>
      </c>
      <c r="B4059" s="16" t="str">
        <f>IFERROR(__xludf.DUMMYFUNCTION("""COMPUTED_VALUE"""),"техніка та електроніка")</f>
        <v>техніка та електроніка</v>
      </c>
      <c r="C4059" s="16" t="str">
        <f>IFERROR(__xludf.DUMMYFUNCTION("""COMPUTED_VALUE"""),"комп'ютерна техніка та пз")</f>
        <v>комп'ютерна техніка та пз</v>
      </c>
      <c r="D4059" s="16" t="str">
        <f>IFERROR(__xludf.DUMMYFUNCTION("""COMPUTED_VALUE"""),"обладнання для майнінгу")</f>
        <v>обладнання для майнінгу</v>
      </c>
      <c r="E4059" s="16" t="str">
        <f>IFERROR(__xludf.DUMMYFUNCTION("""COMPUTED_VALUE"""),"обладнання для майнінгу")</f>
        <v>обладнання для майнінгу</v>
      </c>
      <c r="F4059" s="17">
        <f>IFERROR(__xludf.DUMMYFUNCTION("""COMPUTED_VALUE"""),3.0)</f>
        <v>3</v>
      </c>
      <c r="G4059" s="17" t="str">
        <f>IFERROR(__xludf.DUMMYFUNCTION("""COMPUTED_VALUE"""),"722")</f>
        <v>722</v>
      </c>
      <c r="H4059" s="17" t="str">
        <f>IFERROR(__xludf.DUMMYFUNCTION("""COMPUTED_VALUE"""),"обладнання для майнінгу")</f>
        <v>обладнання для майнінгу</v>
      </c>
      <c r="I4059" s="19">
        <f>IFERROR(__xludf.DUMMYFUNCTION("""COMPUTED_VALUE"""),0.0263)</f>
        <v>0.0263</v>
      </c>
      <c r="J4059" s="19">
        <f>IFERROR(__xludf.DUMMYFUNCTION("""COMPUTED_VALUE"""),0.0526)</f>
        <v>0.0526</v>
      </c>
      <c r="K4059" s="19">
        <f>IFERROR(__xludf.DUMMYFUNCTION("""COMPUTED_VALUE"""),0.0658)</f>
        <v>0.0658</v>
      </c>
      <c r="L4059" s="19">
        <f>IFERROR(__xludf.DUMMYFUNCTION("""COMPUTED_VALUE"""),0.0789)</f>
        <v>0.0789</v>
      </c>
      <c r="M4059" s="18">
        <f>IFERROR(__xludf.DUMMYFUNCTION("""COMPUTED_VALUE"""),1.63)</f>
        <v>1.63</v>
      </c>
    </row>
    <row r="4060">
      <c r="A4060" s="13" t="str">
        <f>IFERROR(__xludf.DUMMYFUNCTION("""COMPUTED_VALUE"""),"товари")</f>
        <v>товари</v>
      </c>
      <c r="B4060" s="16" t="str">
        <f>IFERROR(__xludf.DUMMYFUNCTION("""COMPUTED_VALUE"""),"техніка та електроніка")</f>
        <v>техніка та електроніка</v>
      </c>
      <c r="C4060" s="16" t="str">
        <f>IFERROR(__xludf.DUMMYFUNCTION("""COMPUTED_VALUE"""),"фото-, відеокамери та аксесуари")</f>
        <v>фото-, відеокамери та аксесуари</v>
      </c>
      <c r="D4060" s="16" t="str">
        <f>IFERROR(__xludf.DUMMYFUNCTION("""COMPUTED_VALUE"""),"студійне обладнання")</f>
        <v>студійне обладнання</v>
      </c>
      <c r="E4060" s="16" t="str">
        <f>IFERROR(__xludf.DUMMYFUNCTION("""COMPUTED_VALUE"""),"обладнання для предметної фотозйомки")</f>
        <v>обладнання для предметної фотозйомки</v>
      </c>
      <c r="F4060" s="17">
        <f>IFERROR(__xludf.DUMMYFUNCTION("""COMPUTED_VALUE"""),4.0)</f>
        <v>4</v>
      </c>
      <c r="G4060" s="17" t="str">
        <f>IFERROR(__xludf.DUMMYFUNCTION("""COMPUTED_VALUE"""),"500412")</f>
        <v>500412</v>
      </c>
      <c r="H4060" s="17" t="str">
        <f>IFERROR(__xludf.DUMMYFUNCTION("""COMPUTED_VALUE"""),"обладнання для предметної фотозйомки")</f>
        <v>обладнання для предметної фотозйомки</v>
      </c>
      <c r="I4060" s="19">
        <f>IFERROR(__xludf.DUMMYFUNCTION("""COMPUTED_VALUE"""),0.0949)</f>
        <v>0.0949</v>
      </c>
      <c r="J4060" s="19">
        <f>IFERROR(__xludf.DUMMYFUNCTION("""COMPUTED_VALUE"""),0.1897)</f>
        <v>0.1897</v>
      </c>
      <c r="K4060" s="19">
        <f>IFERROR(__xludf.DUMMYFUNCTION("""COMPUTED_VALUE"""),0.2371)</f>
        <v>0.2371</v>
      </c>
      <c r="L4060" s="19">
        <f>IFERROR(__xludf.DUMMYFUNCTION("""COMPUTED_VALUE"""),0.2846)</f>
        <v>0.2846</v>
      </c>
      <c r="M4060" s="18">
        <f>IFERROR(__xludf.DUMMYFUNCTION("""COMPUTED_VALUE"""),2.7)</f>
        <v>2.7</v>
      </c>
    </row>
    <row r="4061">
      <c r="A4061" s="13" t="str">
        <f>IFERROR(__xludf.DUMMYFUNCTION("""COMPUTED_VALUE"""),"товари")</f>
        <v>товари</v>
      </c>
      <c r="B4061" s="16" t="str">
        <f>IFERROR(__xludf.DUMMYFUNCTION("""COMPUTED_VALUE"""),"техніка та електроніка")</f>
        <v>техніка та електроніка</v>
      </c>
      <c r="C4061" s="16" t="str">
        <f>IFERROR(__xludf.DUMMYFUNCTION("""COMPUTED_VALUE"""),"обладнання для супутникового інтернету")</f>
        <v>обладнання для супутникового інтернету</v>
      </c>
      <c r="D4061" s="16" t="str">
        <f>IFERROR(__xludf.DUMMYFUNCTION("""COMPUTED_VALUE"""),"обладнання для супутникового інтернету")</f>
        <v>обладнання для супутникового інтернету</v>
      </c>
      <c r="E4061" s="16" t="str">
        <f>IFERROR(__xludf.DUMMYFUNCTION("""COMPUTED_VALUE"""),"обладнання для супутникового інтернету")</f>
        <v>обладнання для супутникового інтернету</v>
      </c>
      <c r="F4061" s="17">
        <f>IFERROR(__xludf.DUMMYFUNCTION("""COMPUTED_VALUE"""),2.0)</f>
        <v>2</v>
      </c>
      <c r="G4061" s="17" t="str">
        <f>IFERROR(__xludf.DUMMYFUNCTION("""COMPUTED_VALUE"""),"5008")</f>
        <v>5008</v>
      </c>
      <c r="H4061" s="17" t="str">
        <f>IFERROR(__xludf.DUMMYFUNCTION("""COMPUTED_VALUE"""),"обладнання для супутникового інтернету")</f>
        <v>обладнання для супутникового інтернету</v>
      </c>
      <c r="I4061" s="19">
        <f>IFERROR(__xludf.DUMMYFUNCTION("""COMPUTED_VALUE"""),0.0523)</f>
        <v>0.0523</v>
      </c>
      <c r="J4061" s="19">
        <f>IFERROR(__xludf.DUMMYFUNCTION("""COMPUTED_VALUE"""),0.1045)</f>
        <v>0.1045</v>
      </c>
      <c r="K4061" s="19">
        <f>IFERROR(__xludf.DUMMYFUNCTION("""COMPUTED_VALUE"""),0.1306)</f>
        <v>0.1306</v>
      </c>
      <c r="L4061" s="19">
        <f>IFERROR(__xludf.DUMMYFUNCTION("""COMPUTED_VALUE"""),0.1568)</f>
        <v>0.1568</v>
      </c>
      <c r="M4061" s="18">
        <f>IFERROR(__xludf.DUMMYFUNCTION("""COMPUTED_VALUE"""),1.53)</f>
        <v>1.53</v>
      </c>
    </row>
    <row r="4062">
      <c r="A4062" s="13" t="str">
        <f>IFERROR(__xludf.DUMMYFUNCTION("""COMPUTED_VALUE"""),"товари")</f>
        <v>товари</v>
      </c>
      <c r="B4062" s="16" t="str">
        <f>IFERROR(__xludf.DUMMYFUNCTION("""COMPUTED_VALUE"""),"техніка та електроніка")</f>
        <v>техніка та електроніка</v>
      </c>
      <c r="C4062" s="16" t="str">
        <f>IFERROR(__xludf.DUMMYFUNCTION("""COMPUTED_VALUE"""),"tv та відеотехніка")</f>
        <v>tv та відеотехніка</v>
      </c>
      <c r="D4062" s="16" t="str">
        <f>IFERROR(__xludf.DUMMYFUNCTION("""COMPUTED_VALUE"""),"супутникове, кабельне телебачення")</f>
        <v>супутникове, кабельне телебачення</v>
      </c>
      <c r="E4062" s="16" t="str">
        <f>IFERROR(__xludf.DUMMYFUNCTION("""COMPUTED_VALUE"""),"обладнання для супутникового телебачення, загальне")</f>
        <v>обладнання для супутникового телебачення, загальне</v>
      </c>
      <c r="F4062" s="17">
        <f>IFERROR(__xludf.DUMMYFUNCTION("""COMPUTED_VALUE"""),4.0)</f>
        <v>4</v>
      </c>
      <c r="G4062" s="17" t="str">
        <f>IFERROR(__xludf.DUMMYFUNCTION("""COMPUTED_VALUE"""),"6371705")</f>
        <v>6371705</v>
      </c>
      <c r="H4062" s="17" t="str">
        <f>IFERROR(__xludf.DUMMYFUNCTION("""COMPUTED_VALUE"""),"обладнання для супутникового телебачення, загальне")</f>
        <v>обладнання для супутникового телебачення, загальне</v>
      </c>
      <c r="I4062" s="19">
        <f>IFERROR(__xludf.DUMMYFUNCTION("""COMPUTED_VALUE"""),0.125)</f>
        <v>0.125</v>
      </c>
      <c r="J4062" s="19">
        <f>IFERROR(__xludf.DUMMYFUNCTION("""COMPUTED_VALUE"""),0.25)</f>
        <v>0.25</v>
      </c>
      <c r="K4062" s="19">
        <f>IFERROR(__xludf.DUMMYFUNCTION("""COMPUTED_VALUE"""),0.3125)</f>
        <v>0.3125</v>
      </c>
      <c r="L4062" s="19">
        <f>IFERROR(__xludf.DUMMYFUNCTION("""COMPUTED_VALUE"""),0.375)</f>
        <v>0.375</v>
      </c>
      <c r="M4062" s="18">
        <f>IFERROR(__xludf.DUMMYFUNCTION("""COMPUTED_VALUE"""),4.33)</f>
        <v>4.33</v>
      </c>
    </row>
    <row r="4063">
      <c r="A4063" s="13" t="str">
        <f>IFERROR(__xludf.DUMMYFUNCTION("""COMPUTED_VALUE"""),"товари")</f>
        <v>товари</v>
      </c>
      <c r="B4063" s="16" t="str">
        <f>IFERROR(__xludf.DUMMYFUNCTION("""COMPUTED_VALUE"""),"техніка та електроніка")</f>
        <v>техніка та електроніка</v>
      </c>
      <c r="C4063" s="16" t="str">
        <f>IFERROR(__xludf.DUMMYFUNCTION("""COMPUTED_VALUE"""),"комп'ютерна техніка та пз")</f>
        <v>комп'ютерна техніка та пз</v>
      </c>
      <c r="D4063" s="16" t="str">
        <f>IFERROR(__xludf.DUMMYFUNCTION("""COMPUTED_VALUE"""),"одноплатні комп'ютери та неттопи")</f>
        <v>одноплатні комп'ютери та неттопи</v>
      </c>
      <c r="E4063" s="16" t="str">
        <f>IFERROR(__xludf.DUMMYFUNCTION("""COMPUTED_VALUE"""),"одноплатні комп'ютери та неттопи")</f>
        <v>одноплатні комп'ютери та неттопи</v>
      </c>
      <c r="F4063" s="17">
        <f>IFERROR(__xludf.DUMMYFUNCTION("""COMPUTED_VALUE"""),3.0)</f>
        <v>3</v>
      </c>
      <c r="G4063" s="17" t="str">
        <f>IFERROR(__xludf.DUMMYFUNCTION("""COMPUTED_VALUE"""),"723")</f>
        <v>723</v>
      </c>
      <c r="H4063" s="17" t="str">
        <f>IFERROR(__xludf.DUMMYFUNCTION("""COMPUTED_VALUE"""),"одноплатні комп'ютери та неттопи")</f>
        <v>одноплатні комп'ютери та неттопи</v>
      </c>
      <c r="I4063" s="19">
        <f>IFERROR(__xludf.DUMMYFUNCTION("""COMPUTED_VALUE"""),0.0688)</f>
        <v>0.0688</v>
      </c>
      <c r="J4063" s="19">
        <f>IFERROR(__xludf.DUMMYFUNCTION("""COMPUTED_VALUE"""),0.1375)</f>
        <v>0.1375</v>
      </c>
      <c r="K4063" s="19">
        <f>IFERROR(__xludf.DUMMYFUNCTION("""COMPUTED_VALUE"""),0.1719)</f>
        <v>0.1719</v>
      </c>
      <c r="L4063" s="19">
        <f>IFERROR(__xludf.DUMMYFUNCTION("""COMPUTED_VALUE"""),0.2063)</f>
        <v>0.2063</v>
      </c>
      <c r="M4063" s="18">
        <f>IFERROR(__xludf.DUMMYFUNCTION("""COMPUTED_VALUE"""),1.05)</f>
        <v>1.05</v>
      </c>
    </row>
    <row r="4064">
      <c r="A4064" s="13" t="str">
        <f>IFERROR(__xludf.DUMMYFUNCTION("""COMPUTED_VALUE"""),"товари")</f>
        <v>товари</v>
      </c>
      <c r="B4064" s="16" t="str">
        <f>IFERROR(__xludf.DUMMYFUNCTION("""COMPUTED_VALUE"""),"техніка та електроніка")</f>
        <v>техніка та електроніка</v>
      </c>
      <c r="C4064" s="16" t="str">
        <f>IFERROR(__xludf.DUMMYFUNCTION("""COMPUTED_VALUE"""),"tv та відеотехніка")</f>
        <v>tv та відеотехніка</v>
      </c>
      <c r="D4064" s="16" t="str">
        <f>IFERROR(__xludf.DUMMYFUNCTION("""COMPUTED_VALUE"""),"аксесуари для телевізорів та проекторів")</f>
        <v>аксесуари для телевізорів та проекторів</v>
      </c>
      <c r="E4064" s="16" t="str">
        <f>IFERROR(__xludf.DUMMYFUNCTION("""COMPUTED_VALUE"""),"окуляри віртуальної реальності (vr окуляри)")</f>
        <v>окуляри віртуальної реальності (vr окуляри)</v>
      </c>
      <c r="F4064" s="17">
        <f>IFERROR(__xludf.DUMMYFUNCTION("""COMPUTED_VALUE"""),4.0)</f>
        <v>4</v>
      </c>
      <c r="G4064" s="17" t="str">
        <f>IFERROR(__xludf.DUMMYFUNCTION("""COMPUTED_VALUE"""),"151201")</f>
        <v>151201</v>
      </c>
      <c r="H4064" s="17" t="str">
        <f>IFERROR(__xludf.DUMMYFUNCTION("""COMPUTED_VALUE"""),"окуляри віртуальної реальності (vr окуляри)")</f>
        <v>окуляри віртуальної реальності (vr окуляри)</v>
      </c>
      <c r="I4064" s="19">
        <f>IFERROR(__xludf.DUMMYFUNCTION("""COMPUTED_VALUE"""),0.0787)</f>
        <v>0.0787</v>
      </c>
      <c r="J4064" s="19">
        <f>IFERROR(__xludf.DUMMYFUNCTION("""COMPUTED_VALUE"""),0.1573)</f>
        <v>0.1573</v>
      </c>
      <c r="K4064" s="19">
        <f>IFERROR(__xludf.DUMMYFUNCTION("""COMPUTED_VALUE"""),0.1966)</f>
        <v>0.1966</v>
      </c>
      <c r="L4064" s="19">
        <f>IFERROR(__xludf.DUMMYFUNCTION("""COMPUTED_VALUE"""),0.236)</f>
        <v>0.236</v>
      </c>
      <c r="M4064" s="18">
        <f>IFERROR(__xludf.DUMMYFUNCTION("""COMPUTED_VALUE"""),2.16)</f>
        <v>2.16</v>
      </c>
    </row>
    <row r="4065">
      <c r="A4065" s="13" t="str">
        <f>IFERROR(__xludf.DUMMYFUNCTION("""COMPUTED_VALUE"""),"товари")</f>
        <v>товари</v>
      </c>
      <c r="B4065" s="16" t="str">
        <f>IFERROR(__xludf.DUMMYFUNCTION("""COMPUTED_VALUE"""),"техніка та електроніка")</f>
        <v>техніка та електроніка</v>
      </c>
      <c r="C4065" s="16" t="str">
        <f>IFERROR(__xludf.DUMMYFUNCTION("""COMPUTED_VALUE"""),"комп'ютерна техніка та пз")</f>
        <v>комп'ютерна техніка та пз</v>
      </c>
      <c r="D4065" s="16" t="str">
        <f>IFERROR(__xludf.DUMMYFUNCTION("""COMPUTED_VALUE"""),"комплектуючі для комп'ютерної техніки")</f>
        <v>комплектуючі для комп'ютерної техніки</v>
      </c>
      <c r="E4065" s="16" t="str">
        <f>IFERROR(__xludf.DUMMYFUNCTION("""COMPUTED_VALUE"""),"оперативна пам'ять")</f>
        <v>оперативна пам'ять</v>
      </c>
      <c r="F4065" s="17">
        <f>IFERROR(__xludf.DUMMYFUNCTION("""COMPUTED_VALUE"""),4.0)</f>
        <v>4</v>
      </c>
      <c r="G4065" s="17" t="str">
        <f>IFERROR(__xludf.DUMMYFUNCTION("""COMPUTED_VALUE"""),"70705")</f>
        <v>70705</v>
      </c>
      <c r="H4065" s="17" t="str">
        <f>IFERROR(__xludf.DUMMYFUNCTION("""COMPUTED_VALUE"""),"оперативна пам'ять")</f>
        <v>оперативна пам'ять</v>
      </c>
      <c r="I4065" s="19">
        <f>IFERROR(__xludf.DUMMYFUNCTION("""COMPUTED_VALUE"""),0.0252)</f>
        <v>0.0252</v>
      </c>
      <c r="J4065" s="19">
        <f>IFERROR(__xludf.DUMMYFUNCTION("""COMPUTED_VALUE"""),0.0504)</f>
        <v>0.0504</v>
      </c>
      <c r="K4065" s="19">
        <f>IFERROR(__xludf.DUMMYFUNCTION("""COMPUTED_VALUE"""),0.063)</f>
        <v>0.063</v>
      </c>
      <c r="L4065" s="19">
        <f>IFERROR(__xludf.DUMMYFUNCTION("""COMPUTED_VALUE"""),0.0756)</f>
        <v>0.0756</v>
      </c>
      <c r="M4065" s="18">
        <f>IFERROR(__xludf.DUMMYFUNCTION("""COMPUTED_VALUE"""),1.71)</f>
        <v>1.71</v>
      </c>
    </row>
    <row r="4066">
      <c r="A4066" s="13" t="str">
        <f>IFERROR(__xludf.DUMMYFUNCTION("""COMPUTED_VALUE"""),"товари")</f>
        <v>товари</v>
      </c>
      <c r="B4066" s="16" t="str">
        <f>IFERROR(__xludf.DUMMYFUNCTION("""COMPUTED_VALUE"""),"техніка та електроніка")</f>
        <v>техніка та електроніка</v>
      </c>
      <c r="C4066" s="16" t="str">
        <f>IFERROR(__xludf.DUMMYFUNCTION("""COMPUTED_VALUE"""),"комп'ютерна техніка та пз")</f>
        <v>комп'ютерна техніка та пз</v>
      </c>
      <c r="D4066" s="16" t="str">
        <f>IFERROR(__xludf.DUMMYFUNCTION("""COMPUTED_VALUE"""),"програмне забезпечення (пз)")</f>
        <v>програмне забезпечення (пз)</v>
      </c>
      <c r="E4066" s="16" t="str">
        <f>IFERROR(__xludf.DUMMYFUNCTION("""COMPUTED_VALUE"""),"операційні системи та утиліти")</f>
        <v>операційні системи та утиліти</v>
      </c>
      <c r="F4066" s="17">
        <f>IFERROR(__xludf.DUMMYFUNCTION("""COMPUTED_VALUE"""),4.0)</f>
        <v>4</v>
      </c>
      <c r="G4066" s="17" t="str">
        <f>IFERROR(__xludf.DUMMYFUNCTION("""COMPUTED_VALUE"""),"28420310")</f>
        <v>28420310</v>
      </c>
      <c r="H4066" s="17" t="str">
        <f>IFERROR(__xludf.DUMMYFUNCTION("""COMPUTED_VALUE"""),"операційні системи та утиліти")</f>
        <v>операційні системи та утиліти</v>
      </c>
      <c r="I4066" s="19">
        <f>IFERROR(__xludf.DUMMYFUNCTION("""COMPUTED_VALUE"""),0.075)</f>
        <v>0.075</v>
      </c>
      <c r="J4066" s="19">
        <f>IFERROR(__xludf.DUMMYFUNCTION("""COMPUTED_VALUE"""),0.15)</f>
        <v>0.15</v>
      </c>
      <c r="K4066" s="19">
        <f>IFERROR(__xludf.DUMMYFUNCTION("""COMPUTED_VALUE"""),0.1875)</f>
        <v>0.1875</v>
      </c>
      <c r="L4066" s="19">
        <f>IFERROR(__xludf.DUMMYFUNCTION("""COMPUTED_VALUE"""),0.225)</f>
        <v>0.225</v>
      </c>
      <c r="M4066" s="18">
        <f>IFERROR(__xludf.DUMMYFUNCTION("""COMPUTED_VALUE"""),3.96)</f>
        <v>3.96</v>
      </c>
    </row>
    <row r="4067">
      <c r="A4067" s="13" t="str">
        <f>IFERROR(__xludf.DUMMYFUNCTION("""COMPUTED_VALUE"""),"товари")</f>
        <v>товари</v>
      </c>
      <c r="B4067" s="16" t="str">
        <f>IFERROR(__xludf.DUMMYFUNCTION("""COMPUTED_VALUE"""),"техніка та електроніка")</f>
        <v>техніка та електроніка</v>
      </c>
      <c r="C4067" s="16" t="str">
        <f>IFERROR(__xludf.DUMMYFUNCTION("""COMPUTED_VALUE"""),"комп'ютерна техніка та пз")</f>
        <v>комп'ютерна техніка та пз</v>
      </c>
      <c r="D4067" s="16" t="str">
        <f>IFERROR(__xludf.DUMMYFUNCTION("""COMPUTED_VALUE"""),"комплектуючі для комп'ютерної техніки")</f>
        <v>комплектуючі для комп'ютерної техніки</v>
      </c>
      <c r="E4067" s="16" t="str">
        <f>IFERROR(__xludf.DUMMYFUNCTION("""COMPUTED_VALUE"""),"оптичні приводи")</f>
        <v>оптичні приводи</v>
      </c>
      <c r="F4067" s="17">
        <f>IFERROR(__xludf.DUMMYFUNCTION("""COMPUTED_VALUE"""),4.0)</f>
        <v>4</v>
      </c>
      <c r="G4067" s="17" t="str">
        <f>IFERROR(__xludf.DUMMYFUNCTION("""COMPUTED_VALUE"""),"70706")</f>
        <v>70706</v>
      </c>
      <c r="H4067" s="17" t="str">
        <f>IFERROR(__xludf.DUMMYFUNCTION("""COMPUTED_VALUE"""),"оптичні приводи")</f>
        <v>оптичні приводи</v>
      </c>
      <c r="I4067" s="19">
        <f>IFERROR(__xludf.DUMMYFUNCTION("""COMPUTED_VALUE"""),0.0259)</f>
        <v>0.0259</v>
      </c>
      <c r="J4067" s="19">
        <f>IFERROR(__xludf.DUMMYFUNCTION("""COMPUTED_VALUE"""),0.0517)</f>
        <v>0.0517</v>
      </c>
      <c r="K4067" s="19">
        <f>IFERROR(__xludf.DUMMYFUNCTION("""COMPUTED_VALUE"""),0.0646)</f>
        <v>0.0646</v>
      </c>
      <c r="L4067" s="19">
        <f>IFERROR(__xludf.DUMMYFUNCTION("""COMPUTED_VALUE"""),0.0776)</f>
        <v>0.0776</v>
      </c>
      <c r="M4067" s="18">
        <f>IFERROR(__xludf.DUMMYFUNCTION("""COMPUTED_VALUE"""),1.71)</f>
        <v>1.71</v>
      </c>
    </row>
    <row r="4068">
      <c r="A4068" s="13" t="str">
        <f>IFERROR(__xludf.DUMMYFUNCTION("""COMPUTED_VALUE"""),"товари")</f>
        <v>товари</v>
      </c>
      <c r="B4068" s="16" t="str">
        <f>IFERROR(__xludf.DUMMYFUNCTION("""COMPUTED_VALUE"""),"техніка та електроніка")</f>
        <v>техніка та електроніка</v>
      </c>
      <c r="C4068" s="16" t="str">
        <f>IFERROR(__xludf.DUMMYFUNCTION("""COMPUTED_VALUE"""),"побутова техніка")</f>
        <v>побутова техніка</v>
      </c>
      <c r="D4068" s="16" t="str">
        <f>IFERROR(__xludf.DUMMYFUNCTION("""COMPUTED_VALUE"""),"кліматична техніка")</f>
        <v>кліматична техніка</v>
      </c>
      <c r="E4068" s="16" t="str">
        <f>IFERROR(__xludf.DUMMYFUNCTION("""COMPUTED_VALUE"""),"осушувачі повітря")</f>
        <v>осушувачі повітря</v>
      </c>
      <c r="F4068" s="17">
        <f>IFERROR(__xludf.DUMMYFUNCTION("""COMPUTED_VALUE"""),4.0)</f>
        <v>4</v>
      </c>
      <c r="G4068" s="17" t="str">
        <f>IFERROR(__xludf.DUMMYFUNCTION("""COMPUTED_VALUE"""),"624")</f>
        <v>624</v>
      </c>
      <c r="H4068" s="17" t="str">
        <f>IFERROR(__xludf.DUMMYFUNCTION("""COMPUTED_VALUE"""),"осушувачі повітря")</f>
        <v>осушувачі повітря</v>
      </c>
      <c r="I4068" s="19">
        <f>IFERROR(__xludf.DUMMYFUNCTION("""COMPUTED_VALUE"""),0.0511)</f>
        <v>0.0511</v>
      </c>
      <c r="J4068" s="19">
        <f>IFERROR(__xludf.DUMMYFUNCTION("""COMPUTED_VALUE"""),0.1022)</f>
        <v>0.1022</v>
      </c>
      <c r="K4068" s="19">
        <f>IFERROR(__xludf.DUMMYFUNCTION("""COMPUTED_VALUE"""),0.1278)</f>
        <v>0.1278</v>
      </c>
      <c r="L4068" s="19">
        <f>IFERROR(__xludf.DUMMYFUNCTION("""COMPUTED_VALUE"""),0.1533)</f>
        <v>0.1533</v>
      </c>
      <c r="M4068" s="18">
        <f>IFERROR(__xludf.DUMMYFUNCTION("""COMPUTED_VALUE"""),3.78)</f>
        <v>3.78</v>
      </c>
    </row>
    <row r="4069">
      <c r="A4069" s="13" t="str">
        <f>IFERROR(__xludf.DUMMYFUNCTION("""COMPUTED_VALUE"""),"товари")</f>
        <v>товари</v>
      </c>
      <c r="B4069" s="16" t="str">
        <f>IFERROR(__xludf.DUMMYFUNCTION("""COMPUTED_VALUE"""),"техніка та електроніка")</f>
        <v>техніка та електроніка</v>
      </c>
      <c r="C4069" s="16" t="str">
        <f>IFERROR(__xludf.DUMMYFUNCTION("""COMPUTED_VALUE"""),"комп'ютерна техніка та пз")</f>
        <v>комп'ютерна техніка та пз</v>
      </c>
      <c r="D4069" s="16" t="str">
        <f>IFERROR(__xludf.DUMMYFUNCTION("""COMPUTED_VALUE"""),"програмне забезпечення (пз)")</f>
        <v>програмне забезпечення (пз)</v>
      </c>
      <c r="E4069" s="16" t="str">
        <f>IFERROR(__xludf.DUMMYFUNCTION("""COMPUTED_VALUE"""),"офісне пз")</f>
        <v>офісне пз</v>
      </c>
      <c r="F4069" s="17">
        <f>IFERROR(__xludf.DUMMYFUNCTION("""COMPUTED_VALUE"""),4.0)</f>
        <v>4</v>
      </c>
      <c r="G4069" s="17" t="str">
        <f>IFERROR(__xludf.DUMMYFUNCTION("""COMPUTED_VALUE"""),"28420308")</f>
        <v>28420308</v>
      </c>
      <c r="H4069" s="17" t="str">
        <f>IFERROR(__xludf.DUMMYFUNCTION("""COMPUTED_VALUE"""),"офісне пз")</f>
        <v>офісне пз</v>
      </c>
      <c r="I4069" s="19">
        <f>IFERROR(__xludf.DUMMYFUNCTION("""COMPUTED_VALUE"""),0.0754)</f>
        <v>0.0754</v>
      </c>
      <c r="J4069" s="19">
        <f>IFERROR(__xludf.DUMMYFUNCTION("""COMPUTED_VALUE"""),0.1507)</f>
        <v>0.1507</v>
      </c>
      <c r="K4069" s="19">
        <f>IFERROR(__xludf.DUMMYFUNCTION("""COMPUTED_VALUE"""),0.1884)</f>
        <v>0.1884</v>
      </c>
      <c r="L4069" s="19">
        <f>IFERROR(__xludf.DUMMYFUNCTION("""COMPUTED_VALUE"""),0.2261)</f>
        <v>0.2261</v>
      </c>
      <c r="M4069" s="18">
        <f>IFERROR(__xludf.DUMMYFUNCTION("""COMPUTED_VALUE"""),3.96)</f>
        <v>3.96</v>
      </c>
    </row>
    <row r="4070">
      <c r="A4070" s="13" t="str">
        <f>IFERROR(__xludf.DUMMYFUNCTION("""COMPUTED_VALUE"""),"товари")</f>
        <v>товари</v>
      </c>
      <c r="B4070" s="16" t="str">
        <f>IFERROR(__xludf.DUMMYFUNCTION("""COMPUTED_VALUE"""),"техніка та електроніка")</f>
        <v>техніка та електроніка</v>
      </c>
      <c r="C4070" s="16" t="str">
        <f>IFERROR(__xludf.DUMMYFUNCTION("""COMPUTED_VALUE"""),"побутова техніка")</f>
        <v>побутова техніка</v>
      </c>
      <c r="D4070" s="16" t="str">
        <f>IFERROR(__xludf.DUMMYFUNCTION("""COMPUTED_VALUE"""),"дрібна побутова техніка для кухні")</f>
        <v>дрібна побутова техніка для кухні</v>
      </c>
      <c r="E4070" s="16" t="str">
        <f>IFERROR(__xludf.DUMMYFUNCTION("""COMPUTED_VALUE"""),"пароварки")</f>
        <v>пароварки</v>
      </c>
      <c r="F4070" s="17">
        <f>IFERROR(__xludf.DUMMYFUNCTION("""COMPUTED_VALUE"""),4.0)</f>
        <v>4</v>
      </c>
      <c r="G4070" s="17" t="str">
        <f>IFERROR(__xludf.DUMMYFUNCTION("""COMPUTED_VALUE"""),"15230308")</f>
        <v>15230308</v>
      </c>
      <c r="H4070" s="17" t="str">
        <f>IFERROR(__xludf.DUMMYFUNCTION("""COMPUTED_VALUE"""),"пароварки")</f>
        <v>пароварки</v>
      </c>
      <c r="I4070" s="19">
        <f>IFERROR(__xludf.DUMMYFUNCTION("""COMPUTED_VALUE"""),0.0742)</f>
        <v>0.0742</v>
      </c>
      <c r="J4070" s="19">
        <f>IFERROR(__xludf.DUMMYFUNCTION("""COMPUTED_VALUE"""),0.1484)</f>
        <v>0.1484</v>
      </c>
      <c r="K4070" s="19">
        <f>IFERROR(__xludf.DUMMYFUNCTION("""COMPUTED_VALUE"""),0.1855)</f>
        <v>0.1855</v>
      </c>
      <c r="L4070" s="19">
        <f>IFERROR(__xludf.DUMMYFUNCTION("""COMPUTED_VALUE"""),0.2226)</f>
        <v>0.2226</v>
      </c>
      <c r="M4070" s="18">
        <f>IFERROR(__xludf.DUMMYFUNCTION("""COMPUTED_VALUE"""),3.06)</f>
        <v>3.06</v>
      </c>
    </row>
    <row r="4071">
      <c r="A4071" s="13" t="str">
        <f>IFERROR(__xludf.DUMMYFUNCTION("""COMPUTED_VALUE"""),"товари")</f>
        <v>товари</v>
      </c>
      <c r="B4071" s="16" t="str">
        <f>IFERROR(__xludf.DUMMYFUNCTION("""COMPUTED_VALUE"""),"техніка та електроніка")</f>
        <v>техніка та електроніка</v>
      </c>
      <c r="C4071" s="16" t="str">
        <f>IFERROR(__xludf.DUMMYFUNCTION("""COMPUTED_VALUE"""),"побутова техніка")</f>
        <v>побутова техніка</v>
      </c>
      <c r="D4071" s="16" t="str">
        <f>IFERROR(__xludf.DUMMYFUNCTION("""COMPUTED_VALUE"""),"побутова техніка для дому")</f>
        <v>побутова техніка для дому</v>
      </c>
      <c r="E4071" s="16" t="str">
        <f>IFERROR(__xludf.DUMMYFUNCTION("""COMPUTED_VALUE"""),"пароочисники")</f>
        <v>пароочисники</v>
      </c>
      <c r="F4071" s="17">
        <f>IFERROR(__xludf.DUMMYFUNCTION("""COMPUTED_VALUE"""),4.0)</f>
        <v>4</v>
      </c>
      <c r="G4071" s="17" t="str">
        <f>IFERROR(__xludf.DUMMYFUNCTION("""COMPUTED_VALUE"""),"63022")</f>
        <v>63022</v>
      </c>
      <c r="H4071" s="17" t="str">
        <f>IFERROR(__xludf.DUMMYFUNCTION("""COMPUTED_VALUE"""),"пароочисники")</f>
        <v>пароочисники</v>
      </c>
      <c r="I4071" s="19">
        <f>IFERROR(__xludf.DUMMYFUNCTION("""COMPUTED_VALUE"""),0.0735)</f>
        <v>0.0735</v>
      </c>
      <c r="J4071" s="19">
        <f>IFERROR(__xludf.DUMMYFUNCTION("""COMPUTED_VALUE"""),0.147)</f>
        <v>0.147</v>
      </c>
      <c r="K4071" s="19">
        <f>IFERROR(__xludf.DUMMYFUNCTION("""COMPUTED_VALUE"""),0.1838)</f>
        <v>0.1838</v>
      </c>
      <c r="L4071" s="19">
        <f>IFERROR(__xludf.DUMMYFUNCTION("""COMPUTED_VALUE"""),0.2205)</f>
        <v>0.2205</v>
      </c>
      <c r="M4071" s="18">
        <f>IFERROR(__xludf.DUMMYFUNCTION("""COMPUTED_VALUE"""),3.06)</f>
        <v>3.06</v>
      </c>
    </row>
    <row r="4072">
      <c r="A4072" s="13" t="str">
        <f>IFERROR(__xludf.DUMMYFUNCTION("""COMPUTED_VALUE"""),"товари")</f>
        <v>товари</v>
      </c>
      <c r="B4072" s="16" t="str">
        <f>IFERROR(__xludf.DUMMYFUNCTION("""COMPUTED_VALUE"""),"техніка та електроніка")</f>
        <v>техніка та електроніка</v>
      </c>
      <c r="C4072" s="16" t="str">
        <f>IFERROR(__xludf.DUMMYFUNCTION("""COMPUTED_VALUE"""),"комп'ютерна техніка та пз")</f>
        <v>комп'ютерна техніка та пз</v>
      </c>
      <c r="D4072" s="16" t="str">
        <f>IFERROR(__xludf.DUMMYFUNCTION("""COMPUTED_VALUE"""),"програмне забезпечення (пз)")</f>
        <v>програмне забезпечення (пз)</v>
      </c>
      <c r="E4072" s="16" t="str">
        <f>IFERROR(__xludf.DUMMYFUNCTION("""COMPUTED_VALUE"""),"пз для мультимедіа")</f>
        <v>пз для мультимедіа</v>
      </c>
      <c r="F4072" s="17">
        <f>IFERROR(__xludf.DUMMYFUNCTION("""COMPUTED_VALUE"""),4.0)</f>
        <v>4</v>
      </c>
      <c r="G4072" s="17" t="str">
        <f>IFERROR(__xludf.DUMMYFUNCTION("""COMPUTED_VALUE"""),"28420303")</f>
        <v>28420303</v>
      </c>
      <c r="H4072" s="17" t="str">
        <f>IFERROR(__xludf.DUMMYFUNCTION("""COMPUTED_VALUE"""),"пз для мультимедіа")</f>
        <v>пз для мультимедіа</v>
      </c>
      <c r="I4072" s="19">
        <f>IFERROR(__xludf.DUMMYFUNCTION("""COMPUTED_VALUE"""),0.075)</f>
        <v>0.075</v>
      </c>
      <c r="J4072" s="19">
        <f>IFERROR(__xludf.DUMMYFUNCTION("""COMPUTED_VALUE"""),0.15)</f>
        <v>0.15</v>
      </c>
      <c r="K4072" s="19">
        <f>IFERROR(__xludf.DUMMYFUNCTION("""COMPUTED_VALUE"""),0.1875)</f>
        <v>0.1875</v>
      </c>
      <c r="L4072" s="19">
        <f>IFERROR(__xludf.DUMMYFUNCTION("""COMPUTED_VALUE"""),0.225)</f>
        <v>0.225</v>
      </c>
      <c r="M4072" s="18">
        <f>IFERROR(__xludf.DUMMYFUNCTION("""COMPUTED_VALUE"""),3.96)</f>
        <v>3.96</v>
      </c>
    </row>
    <row r="4073">
      <c r="A4073" s="13" t="str">
        <f>IFERROR(__xludf.DUMMYFUNCTION("""COMPUTED_VALUE"""),"товари")</f>
        <v>товари</v>
      </c>
      <c r="B4073" s="16" t="str">
        <f>IFERROR(__xludf.DUMMYFUNCTION("""COMPUTED_VALUE"""),"техніка та електроніка")</f>
        <v>техніка та електроніка</v>
      </c>
      <c r="C4073" s="16" t="str">
        <f>IFERROR(__xludf.DUMMYFUNCTION("""COMPUTED_VALUE"""),"комп'ютерна техніка та пз")</f>
        <v>комп'ютерна техніка та пз</v>
      </c>
      <c r="D4073" s="16" t="str">
        <f>IFERROR(__xludf.DUMMYFUNCTION("""COMPUTED_VALUE"""),"програмне забезпечення (пз)")</f>
        <v>програмне забезпечення (пз)</v>
      </c>
      <c r="E4073" s="16" t="str">
        <f>IFERROR(__xludf.DUMMYFUNCTION("""COMPUTED_VALUE"""),"пз для сфери надання послуг")</f>
        <v>пз для сфери надання послуг</v>
      </c>
      <c r="F4073" s="17">
        <f>IFERROR(__xludf.DUMMYFUNCTION("""COMPUTED_VALUE"""),4.0)</f>
        <v>4</v>
      </c>
      <c r="G4073" s="17" t="str">
        <f>IFERROR(__xludf.DUMMYFUNCTION("""COMPUTED_VALUE"""),"712")</f>
        <v>712</v>
      </c>
      <c r="H4073" s="17" t="str">
        <f>IFERROR(__xludf.DUMMYFUNCTION("""COMPUTED_VALUE"""),"пз для сфери надання послуг")</f>
        <v>пз для сфери надання послуг</v>
      </c>
      <c r="I4073" s="19">
        <f>IFERROR(__xludf.DUMMYFUNCTION("""COMPUTED_VALUE"""),0.076)</f>
        <v>0.076</v>
      </c>
      <c r="J4073" s="19">
        <f>IFERROR(__xludf.DUMMYFUNCTION("""COMPUTED_VALUE"""),0.152)</f>
        <v>0.152</v>
      </c>
      <c r="K4073" s="19">
        <f>IFERROR(__xludf.DUMMYFUNCTION("""COMPUTED_VALUE"""),0.19)</f>
        <v>0.19</v>
      </c>
      <c r="L4073" s="19">
        <f>IFERROR(__xludf.DUMMYFUNCTION("""COMPUTED_VALUE"""),0.228)</f>
        <v>0.228</v>
      </c>
      <c r="M4073" s="18">
        <f>IFERROR(__xludf.DUMMYFUNCTION("""COMPUTED_VALUE"""),3.96)</f>
        <v>3.96</v>
      </c>
    </row>
    <row r="4074">
      <c r="A4074" s="13" t="str">
        <f>IFERROR(__xludf.DUMMYFUNCTION("""COMPUTED_VALUE"""),"товари")</f>
        <v>товари</v>
      </c>
      <c r="B4074" s="16" t="str">
        <f>IFERROR(__xludf.DUMMYFUNCTION("""COMPUTED_VALUE"""),"техніка та електроніка")</f>
        <v>техніка та електроніка</v>
      </c>
      <c r="C4074" s="16" t="str">
        <f>IFERROR(__xludf.DUMMYFUNCTION("""COMPUTED_VALUE"""),"побутова техніка")</f>
        <v>побутова техніка</v>
      </c>
      <c r="D4074" s="16" t="str">
        <f>IFERROR(__xludf.DUMMYFUNCTION("""COMPUTED_VALUE"""),"побутова техніка для дому")</f>
        <v>побутова техніка для дому</v>
      </c>
      <c r="E4074" s="16" t="str">
        <f>IFERROR(__xludf.DUMMYFUNCTION("""COMPUTED_VALUE"""),"пилососи")</f>
        <v>пилососи</v>
      </c>
      <c r="F4074" s="17">
        <f>IFERROR(__xludf.DUMMYFUNCTION("""COMPUTED_VALUE"""),4.0)</f>
        <v>4</v>
      </c>
      <c r="G4074" s="17" t="str">
        <f>IFERROR(__xludf.DUMMYFUNCTION("""COMPUTED_VALUE"""),"608")</f>
        <v>608</v>
      </c>
      <c r="H4074" s="17" t="str">
        <f>IFERROR(__xludf.DUMMYFUNCTION("""COMPUTED_VALUE"""),"пилососи")</f>
        <v>пилососи</v>
      </c>
      <c r="I4074" s="19">
        <f>IFERROR(__xludf.DUMMYFUNCTION("""COMPUTED_VALUE"""),0.0699)</f>
        <v>0.0699</v>
      </c>
      <c r="J4074" s="19">
        <f>IFERROR(__xludf.DUMMYFUNCTION("""COMPUTED_VALUE"""),0.1398)</f>
        <v>0.1398</v>
      </c>
      <c r="K4074" s="19">
        <f>IFERROR(__xludf.DUMMYFUNCTION("""COMPUTED_VALUE"""),0.1748)</f>
        <v>0.1748</v>
      </c>
      <c r="L4074" s="19">
        <f>IFERROR(__xludf.DUMMYFUNCTION("""COMPUTED_VALUE"""),0.2097)</f>
        <v>0.2097</v>
      </c>
      <c r="M4074" s="18">
        <f>IFERROR(__xludf.DUMMYFUNCTION("""COMPUTED_VALUE"""),3.06)</f>
        <v>3.06</v>
      </c>
    </row>
    <row r="4075">
      <c r="A4075" s="13" t="str">
        <f>IFERROR(__xludf.DUMMYFUNCTION("""COMPUTED_VALUE"""),"товари")</f>
        <v>товари</v>
      </c>
      <c r="B4075" s="16" t="str">
        <f>IFERROR(__xludf.DUMMYFUNCTION("""COMPUTED_VALUE"""),"техніка та електроніка")</f>
        <v>техніка та електроніка</v>
      </c>
      <c r="C4075" s="16" t="str">
        <f>IFERROR(__xludf.DUMMYFUNCTION("""COMPUTED_VALUE"""),"побутова техніка")</f>
        <v>побутова техніка</v>
      </c>
      <c r="D4075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75" s="16" t="str">
        <f>IFERROR(__xludf.DUMMYFUNCTION("""COMPUTED_VALUE"""),"підлогові ваги")</f>
        <v>підлогові ваги</v>
      </c>
      <c r="F4075" s="17">
        <f>IFERROR(__xludf.DUMMYFUNCTION("""COMPUTED_VALUE"""),4.0)</f>
        <v>4</v>
      </c>
      <c r="G4075" s="17" t="str">
        <f>IFERROR(__xludf.DUMMYFUNCTION("""COMPUTED_VALUE"""),"154004")</f>
        <v>154004</v>
      </c>
      <c r="H4075" s="17" t="str">
        <f>IFERROR(__xludf.DUMMYFUNCTION("""COMPUTED_VALUE"""),"підлогові ваги")</f>
        <v>підлогові ваги</v>
      </c>
      <c r="I4075" s="19">
        <f>IFERROR(__xludf.DUMMYFUNCTION("""COMPUTED_VALUE"""),0.081)</f>
        <v>0.081</v>
      </c>
      <c r="J4075" s="19">
        <f>IFERROR(__xludf.DUMMYFUNCTION("""COMPUTED_VALUE"""),0.1619)</f>
        <v>0.1619</v>
      </c>
      <c r="K4075" s="19">
        <f>IFERROR(__xludf.DUMMYFUNCTION("""COMPUTED_VALUE"""),0.2024)</f>
        <v>0.2024</v>
      </c>
      <c r="L4075" s="19">
        <f>IFERROR(__xludf.DUMMYFUNCTION("""COMPUTED_VALUE"""),0.2429)</f>
        <v>0.2429</v>
      </c>
      <c r="M4075" s="18">
        <f>IFERROR(__xludf.DUMMYFUNCTION("""COMPUTED_VALUE"""),4.05)</f>
        <v>4.05</v>
      </c>
    </row>
    <row r="4076">
      <c r="A4076" s="13" t="str">
        <f>IFERROR(__xludf.DUMMYFUNCTION("""COMPUTED_VALUE"""),"товари")</f>
        <v>товари</v>
      </c>
      <c r="B4076" s="16" t="str">
        <f>IFERROR(__xludf.DUMMYFUNCTION("""COMPUTED_VALUE"""),"техніка та електроніка")</f>
        <v>техніка та електроніка</v>
      </c>
      <c r="C4076" s="16" t="str">
        <f>IFERROR(__xludf.DUMMYFUNCTION("""COMPUTED_VALUE"""),"телефони та аксесуари")</f>
        <v>телефони та аксесуари</v>
      </c>
      <c r="D4076" s="16" t="str">
        <f>IFERROR(__xludf.DUMMYFUNCTION("""COMPUTED_VALUE"""),"все для selfie")</f>
        <v>все для selfie</v>
      </c>
      <c r="E4076" s="16" t="str">
        <f>IFERROR(__xludf.DUMMYFUNCTION("""COMPUTED_VALUE"""),"підсвітка та спалах для селфі")</f>
        <v>підсвітка та спалах для селфі</v>
      </c>
      <c r="F4076" s="17">
        <f>IFERROR(__xludf.DUMMYFUNCTION("""COMPUTED_VALUE"""),4.0)</f>
        <v>4</v>
      </c>
      <c r="G4076" s="17" t="str">
        <f>IFERROR(__xludf.DUMMYFUNCTION("""COMPUTED_VALUE"""),"5090218")</f>
        <v>5090218</v>
      </c>
      <c r="H4076" s="17" t="str">
        <f>IFERROR(__xludf.DUMMYFUNCTION("""COMPUTED_VALUE"""),"підсвітка та спалах для селфі")</f>
        <v>підсвітка та спалах для селфі</v>
      </c>
      <c r="I4076" s="19">
        <f>IFERROR(__xludf.DUMMYFUNCTION("""COMPUTED_VALUE"""),0.0985)</f>
        <v>0.0985</v>
      </c>
      <c r="J4076" s="19">
        <f>IFERROR(__xludf.DUMMYFUNCTION("""COMPUTED_VALUE"""),0.1969)</f>
        <v>0.1969</v>
      </c>
      <c r="K4076" s="19">
        <f>IFERROR(__xludf.DUMMYFUNCTION("""COMPUTED_VALUE"""),0.2461)</f>
        <v>0.2461</v>
      </c>
      <c r="L4076" s="19">
        <f>IFERROR(__xludf.DUMMYFUNCTION("""COMPUTED_VALUE"""),0.2954)</f>
        <v>0.2954</v>
      </c>
      <c r="M4076" s="18">
        <f>IFERROR(__xludf.DUMMYFUNCTION("""COMPUTED_VALUE"""),3.43)</f>
        <v>3.43</v>
      </c>
    </row>
    <row r="4077">
      <c r="A4077" s="13" t="str">
        <f>IFERROR(__xludf.DUMMYFUNCTION("""COMPUTED_VALUE"""),"товари")</f>
        <v>товари</v>
      </c>
      <c r="B4077" s="16" t="str">
        <f>IFERROR(__xludf.DUMMYFUNCTION("""COMPUTED_VALUE"""),"техніка та електроніка")</f>
        <v>техніка та електроніка</v>
      </c>
      <c r="C4077" s="16" t="str">
        <f>IFERROR(__xludf.DUMMYFUNCTION("""COMPUTED_VALUE"""),"аудіотехніка та аксесуари")</f>
        <v>аудіотехніка та аксесуари</v>
      </c>
      <c r="D4077" s="16" t="str">
        <f>IFERROR(__xludf.DUMMYFUNCTION("""COMPUTED_VALUE"""),"підсилювачі звуку")</f>
        <v>підсилювачі звуку</v>
      </c>
      <c r="E4077" s="16" t="str">
        <f>IFERROR(__xludf.DUMMYFUNCTION("""COMPUTED_VALUE"""),"підсилювачі звуку")</f>
        <v>підсилювачі звуку</v>
      </c>
      <c r="F4077" s="17">
        <f>IFERROR(__xludf.DUMMYFUNCTION("""COMPUTED_VALUE"""),3.0)</f>
        <v>3</v>
      </c>
      <c r="G4077" s="17" t="str">
        <f>IFERROR(__xludf.DUMMYFUNCTION("""COMPUTED_VALUE"""),"63701")</f>
        <v>63701</v>
      </c>
      <c r="H4077" s="17" t="str">
        <f>IFERROR(__xludf.DUMMYFUNCTION("""COMPUTED_VALUE"""),"підсилювачі звуку")</f>
        <v>підсилювачі звуку</v>
      </c>
      <c r="I4077" s="19">
        <f>IFERROR(__xludf.DUMMYFUNCTION("""COMPUTED_VALUE"""),0.073)</f>
        <v>0.073</v>
      </c>
      <c r="J4077" s="19">
        <f>IFERROR(__xludf.DUMMYFUNCTION("""COMPUTED_VALUE"""),0.1459)</f>
        <v>0.1459</v>
      </c>
      <c r="K4077" s="19">
        <f>IFERROR(__xludf.DUMMYFUNCTION("""COMPUTED_VALUE"""),0.1824)</f>
        <v>0.1824</v>
      </c>
      <c r="L4077" s="19">
        <f>IFERROR(__xludf.DUMMYFUNCTION("""COMPUTED_VALUE"""),0.2189)</f>
        <v>0.2189</v>
      </c>
      <c r="M4077" s="18">
        <f>IFERROR(__xludf.DUMMYFUNCTION("""COMPUTED_VALUE"""),1.44)</f>
        <v>1.44</v>
      </c>
    </row>
    <row r="4078">
      <c r="A4078" s="13" t="str">
        <f>IFERROR(__xludf.DUMMYFUNCTION("""COMPUTED_VALUE"""),"товари")</f>
        <v>товари</v>
      </c>
      <c r="B4078" s="16" t="str">
        <f>IFERROR(__xludf.DUMMYFUNCTION("""COMPUTED_VALUE"""),"техніка та електроніка")</f>
        <v>техніка та електроніка</v>
      </c>
      <c r="C4078" s="16" t="str">
        <f>IFERROR(__xludf.DUMMYFUNCTION("""COMPUTED_VALUE"""),"комп'ютерна техніка та пз")</f>
        <v>комп'ютерна техніка та пз</v>
      </c>
      <c r="D4078" s="16" t="str">
        <f>IFERROR(__xludf.DUMMYFUNCTION("""COMPUTED_VALUE"""),"комп'ютерні аксесуари")</f>
        <v>комп'ютерні аксесуари</v>
      </c>
      <c r="E4078" s="16" t="str">
        <f>IFERROR(__xludf.DUMMYFUNCTION("""COMPUTED_VALUE"""),"підставки для ноутбуків")</f>
        <v>підставки для ноутбуків</v>
      </c>
      <c r="F4078" s="17">
        <f>IFERROR(__xludf.DUMMYFUNCTION("""COMPUTED_VALUE"""),4.0)</f>
        <v>4</v>
      </c>
      <c r="G4078" s="17" t="str">
        <f>IFERROR(__xludf.DUMMYFUNCTION("""COMPUTED_VALUE"""),"71107")</f>
        <v>71107</v>
      </c>
      <c r="H4078" s="17" t="str">
        <f>IFERROR(__xludf.DUMMYFUNCTION("""COMPUTED_VALUE"""),"підставки для ноутбуків")</f>
        <v>підставки для ноутбуків</v>
      </c>
      <c r="I4078" s="19">
        <f>IFERROR(__xludf.DUMMYFUNCTION("""COMPUTED_VALUE"""),0.0988)</f>
        <v>0.0988</v>
      </c>
      <c r="J4078" s="19">
        <f>IFERROR(__xludf.DUMMYFUNCTION("""COMPUTED_VALUE"""),0.1975)</f>
        <v>0.1975</v>
      </c>
      <c r="K4078" s="19">
        <f>IFERROR(__xludf.DUMMYFUNCTION("""COMPUTED_VALUE"""),0.2469)</f>
        <v>0.2469</v>
      </c>
      <c r="L4078" s="19">
        <f>IFERROR(__xludf.DUMMYFUNCTION("""COMPUTED_VALUE"""),0.2963)</f>
        <v>0.2963</v>
      </c>
      <c r="M4078" s="18">
        <f>IFERROR(__xludf.DUMMYFUNCTION("""COMPUTED_VALUE"""),2.53)</f>
        <v>2.53</v>
      </c>
    </row>
    <row r="4079">
      <c r="A4079" s="13" t="str">
        <f>IFERROR(__xludf.DUMMYFUNCTION("""COMPUTED_VALUE"""),"товари")</f>
        <v>товари</v>
      </c>
      <c r="B4079" s="16" t="str">
        <f>IFERROR(__xludf.DUMMYFUNCTION("""COMPUTED_VALUE"""),"техніка та електроніка")</f>
        <v>техніка та електроніка</v>
      </c>
      <c r="C4079" s="16" t="str">
        <f>IFERROR(__xludf.DUMMYFUNCTION("""COMPUTED_VALUE"""),"аудіотехніка та аксесуари")</f>
        <v>аудіотехніка та аксесуари</v>
      </c>
      <c r="D4079" s="16" t="str">
        <f>IFERROR(__xludf.DUMMYFUNCTION("""COMPUTED_VALUE"""),"підставки-тримачі для портативних пристроїв")</f>
        <v>підставки-тримачі для портативних пристроїв</v>
      </c>
      <c r="E4079" s="16" t="str">
        <f>IFERROR(__xludf.DUMMYFUNCTION("""COMPUTED_VALUE"""),"підставки-тримачі для портативних пристроїв")</f>
        <v>підставки-тримачі для портативних пристроїв</v>
      </c>
      <c r="F4079" s="17">
        <f>IFERROR(__xludf.DUMMYFUNCTION("""COMPUTED_VALUE"""),3.0)</f>
        <v>3</v>
      </c>
      <c r="G4079" s="17" t="str">
        <f>IFERROR(__xludf.DUMMYFUNCTION("""COMPUTED_VALUE"""),"121226")</f>
        <v>121226</v>
      </c>
      <c r="H4079" s="17" t="str">
        <f>IFERROR(__xludf.DUMMYFUNCTION("""COMPUTED_VALUE"""),"підставки-тримачі для портативних пристроїв")</f>
        <v>підставки-тримачі для портативних пристроїв</v>
      </c>
      <c r="I4079" s="19">
        <f>IFERROR(__xludf.DUMMYFUNCTION("""COMPUTED_VALUE"""),0.1011)</f>
        <v>0.1011</v>
      </c>
      <c r="J4079" s="19">
        <f>IFERROR(__xludf.DUMMYFUNCTION("""COMPUTED_VALUE"""),0.2021)</f>
        <v>0.2021</v>
      </c>
      <c r="K4079" s="19">
        <f>IFERROR(__xludf.DUMMYFUNCTION("""COMPUTED_VALUE"""),0.2526)</f>
        <v>0.2526</v>
      </c>
      <c r="L4079" s="19">
        <f>IFERROR(__xludf.DUMMYFUNCTION("""COMPUTED_VALUE"""),0.3032)</f>
        <v>0.3032</v>
      </c>
      <c r="M4079" s="18">
        <f>IFERROR(__xludf.DUMMYFUNCTION("""COMPUTED_VALUE"""),3.96)</f>
        <v>3.96</v>
      </c>
    </row>
    <row r="4080">
      <c r="A4080" s="13" t="str">
        <f>IFERROR(__xludf.DUMMYFUNCTION("""COMPUTED_VALUE"""),"товари")</f>
        <v>товари</v>
      </c>
      <c r="B4080" s="16" t="str">
        <f>IFERROR(__xludf.DUMMYFUNCTION("""COMPUTED_VALUE"""),"техніка та електроніка")</f>
        <v>техніка та електроніка</v>
      </c>
      <c r="C4080" s="16" t="str">
        <f>IFERROR(__xludf.DUMMYFUNCTION("""COMPUTED_VALUE"""),"комп'ютерна техніка та пз")</f>
        <v>комп'ютерна техніка та пз</v>
      </c>
      <c r="D4080" s="16" t="str">
        <f>IFERROR(__xludf.DUMMYFUNCTION("""COMPUTED_VALUE"""),"планшети")</f>
        <v>планшети</v>
      </c>
      <c r="E4080" s="16" t="str">
        <f>IFERROR(__xludf.DUMMYFUNCTION("""COMPUTED_VALUE"""),"планшети")</f>
        <v>планшети</v>
      </c>
      <c r="F4080" s="17">
        <f>IFERROR(__xludf.DUMMYFUNCTION("""COMPUTED_VALUE"""),3.0)</f>
        <v>3</v>
      </c>
      <c r="G4080" s="17" t="str">
        <f>IFERROR(__xludf.DUMMYFUNCTION("""COMPUTED_VALUE"""),"70105")</f>
        <v>70105</v>
      </c>
      <c r="H4080" s="17" t="str">
        <f>IFERROR(__xludf.DUMMYFUNCTION("""COMPUTED_VALUE"""),"планшети")</f>
        <v>планшети</v>
      </c>
      <c r="I4080" s="19">
        <f>IFERROR(__xludf.DUMMYFUNCTION("""COMPUTED_VALUE"""),0.0438)</f>
        <v>0.0438</v>
      </c>
      <c r="J4080" s="19">
        <f>IFERROR(__xludf.DUMMYFUNCTION("""COMPUTED_VALUE"""),0.0875)</f>
        <v>0.0875</v>
      </c>
      <c r="K4080" s="19">
        <f>IFERROR(__xludf.DUMMYFUNCTION("""COMPUTED_VALUE"""),0.1094)</f>
        <v>0.1094</v>
      </c>
      <c r="L4080" s="19">
        <f>IFERROR(__xludf.DUMMYFUNCTION("""COMPUTED_VALUE"""),0.1313)</f>
        <v>0.1313</v>
      </c>
      <c r="M4080" s="18">
        <f>IFERROR(__xludf.DUMMYFUNCTION("""COMPUTED_VALUE"""),2.7)</f>
        <v>2.7</v>
      </c>
    </row>
    <row r="4081">
      <c r="A4081" s="13" t="str">
        <f>IFERROR(__xludf.DUMMYFUNCTION("""COMPUTED_VALUE"""),"товари")</f>
        <v>товари</v>
      </c>
      <c r="B4081" s="16" t="str">
        <f>IFERROR(__xludf.DUMMYFUNCTION("""COMPUTED_VALUE"""),"техніка та електроніка")</f>
        <v>техніка та електроніка</v>
      </c>
      <c r="C4081" s="16" t="str">
        <f>IFERROR(__xludf.DUMMYFUNCTION("""COMPUTED_VALUE"""),"аудіотехніка та аксесуари")</f>
        <v>аудіотехніка та аксесуари</v>
      </c>
      <c r="D4081" s="16" t="str">
        <f>IFERROR(__xludf.DUMMYFUNCTION("""COMPUTED_VALUE"""),"плеєри mp3, mp4")</f>
        <v>плеєри mp3, mp4</v>
      </c>
      <c r="E4081" s="16" t="str">
        <f>IFERROR(__xludf.DUMMYFUNCTION("""COMPUTED_VALUE"""),"плеєри mp3, mp4")</f>
        <v>плеєри mp3, mp4</v>
      </c>
      <c r="F4081" s="17">
        <f>IFERROR(__xludf.DUMMYFUNCTION("""COMPUTED_VALUE"""),3.0)</f>
        <v>3</v>
      </c>
      <c r="G4081" s="17" t="str">
        <f>IFERROR(__xludf.DUMMYFUNCTION("""COMPUTED_VALUE"""),"63710")</f>
        <v>63710</v>
      </c>
      <c r="H4081" s="17" t="str">
        <f>IFERROR(__xludf.DUMMYFUNCTION("""COMPUTED_VALUE"""),"плеєри mp3, mp4")</f>
        <v>плеєри mp3, mp4</v>
      </c>
      <c r="I4081" s="19">
        <f>IFERROR(__xludf.DUMMYFUNCTION("""COMPUTED_VALUE"""),0.0975)</f>
        <v>0.0975</v>
      </c>
      <c r="J4081" s="19">
        <f>IFERROR(__xludf.DUMMYFUNCTION("""COMPUTED_VALUE"""),0.1949)</f>
        <v>0.1949</v>
      </c>
      <c r="K4081" s="19">
        <f>IFERROR(__xludf.DUMMYFUNCTION("""COMPUTED_VALUE"""),0.2436)</f>
        <v>0.2436</v>
      </c>
      <c r="L4081" s="19">
        <f>IFERROR(__xludf.DUMMYFUNCTION("""COMPUTED_VALUE"""),0.2924)</f>
        <v>0.2924</v>
      </c>
      <c r="M4081" s="18">
        <f>IFERROR(__xludf.DUMMYFUNCTION("""COMPUTED_VALUE"""),2.16)</f>
        <v>2.16</v>
      </c>
    </row>
    <row r="4082">
      <c r="A4082" s="13" t="str">
        <f>IFERROR(__xludf.DUMMYFUNCTION("""COMPUTED_VALUE"""),"товари")</f>
        <v>товари</v>
      </c>
      <c r="B4082" s="16" t="str">
        <f>IFERROR(__xludf.DUMMYFUNCTION("""COMPUTED_VALUE"""),"техніка та електроніка")</f>
        <v>техніка та електроніка</v>
      </c>
      <c r="C4082" s="16" t="str">
        <f>IFERROR(__xludf.DUMMYFUNCTION("""COMPUTED_VALUE"""),"побутова техніка")</f>
        <v>побутова техніка</v>
      </c>
      <c r="D4082" s="16" t="str">
        <f>IFERROR(__xludf.DUMMYFUNCTION("""COMPUTED_VALUE"""),"побутова техніка для дому")</f>
        <v>побутова техніка для дому</v>
      </c>
      <c r="E4082" s="16" t="str">
        <f>IFERROR(__xludf.DUMMYFUNCTION("""COMPUTED_VALUE"""),"побутова техніка для дому, загальне")</f>
        <v>побутова техніка для дому, загальне</v>
      </c>
      <c r="F4082" s="17">
        <f>IFERROR(__xludf.DUMMYFUNCTION("""COMPUTED_VALUE"""),4.0)</f>
        <v>4</v>
      </c>
      <c r="G4082" s="17" t="str">
        <f>IFERROR(__xludf.DUMMYFUNCTION("""COMPUTED_VALUE"""),"63011")</f>
        <v>63011</v>
      </c>
      <c r="H4082" s="17" t="str">
        <f>IFERROR(__xludf.DUMMYFUNCTION("""COMPUTED_VALUE"""),"побутова техніка для дому, загальне")</f>
        <v>побутова техніка для дому, загальне</v>
      </c>
      <c r="I4082" s="19">
        <f>IFERROR(__xludf.DUMMYFUNCTION("""COMPUTED_VALUE"""),0.125)</f>
        <v>0.125</v>
      </c>
      <c r="J4082" s="19">
        <f>IFERROR(__xludf.DUMMYFUNCTION("""COMPUTED_VALUE"""),0.25)</f>
        <v>0.25</v>
      </c>
      <c r="K4082" s="19">
        <f>IFERROR(__xludf.DUMMYFUNCTION("""COMPUTED_VALUE"""),0.3125)</f>
        <v>0.3125</v>
      </c>
      <c r="L4082" s="19">
        <f>IFERROR(__xludf.DUMMYFUNCTION("""COMPUTED_VALUE"""),0.375)</f>
        <v>0.375</v>
      </c>
      <c r="M4082" s="18">
        <f>IFERROR(__xludf.DUMMYFUNCTION("""COMPUTED_VALUE"""),4.33)</f>
        <v>4.33</v>
      </c>
    </row>
    <row r="4083">
      <c r="A4083" s="13" t="str">
        <f>IFERROR(__xludf.DUMMYFUNCTION("""COMPUTED_VALUE"""),"товари")</f>
        <v>товари</v>
      </c>
      <c r="B4083" s="16" t="str">
        <f>IFERROR(__xludf.DUMMYFUNCTION("""COMPUTED_VALUE"""),"техніка та електроніка")</f>
        <v>техніка та електроніка</v>
      </c>
      <c r="C4083" s="16" t="str">
        <f>IFERROR(__xludf.DUMMYFUNCTION("""COMPUTED_VALUE"""),"побутова техніка")</f>
        <v>побутова техніка</v>
      </c>
      <c r="D4083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83" s="16" t="str">
        <f>IFERROR(__xludf.DUMMYFUNCTION("""COMPUTED_VALUE"""),"побутова техніка для особистого користування, загальне")</f>
        <v>побутова техніка для особистого користування, загальне</v>
      </c>
      <c r="F4083" s="17">
        <f>IFERROR(__xludf.DUMMYFUNCTION("""COMPUTED_VALUE"""),4.0)</f>
        <v>4</v>
      </c>
      <c r="G4083" s="17" t="str">
        <f>IFERROR(__xludf.DUMMYFUNCTION("""COMPUTED_VALUE"""),"63309")</f>
        <v>63309</v>
      </c>
      <c r="H4083" s="17" t="str">
        <f>IFERROR(__xludf.DUMMYFUNCTION("""COMPUTED_VALUE"""),"побутова техніка для особистого користування, загальне")</f>
        <v>побутова техніка для особистого користування, загальне</v>
      </c>
      <c r="I4083" s="19">
        <f>IFERROR(__xludf.DUMMYFUNCTION("""COMPUTED_VALUE"""),0.125)</f>
        <v>0.125</v>
      </c>
      <c r="J4083" s="19">
        <f>IFERROR(__xludf.DUMMYFUNCTION("""COMPUTED_VALUE"""),0.25)</f>
        <v>0.25</v>
      </c>
      <c r="K4083" s="19">
        <f>IFERROR(__xludf.DUMMYFUNCTION("""COMPUTED_VALUE"""),0.3125)</f>
        <v>0.3125</v>
      </c>
      <c r="L4083" s="19">
        <f>IFERROR(__xludf.DUMMYFUNCTION("""COMPUTED_VALUE"""),0.375)</f>
        <v>0.375</v>
      </c>
      <c r="M4083" s="18">
        <f>IFERROR(__xludf.DUMMYFUNCTION("""COMPUTED_VALUE"""),4.33)</f>
        <v>4.33</v>
      </c>
    </row>
    <row r="4084">
      <c r="A4084" s="13" t="str">
        <f>IFERROR(__xludf.DUMMYFUNCTION("""COMPUTED_VALUE"""),"товари")</f>
        <v>товари</v>
      </c>
      <c r="B4084" s="16" t="str">
        <f>IFERROR(__xludf.DUMMYFUNCTION("""COMPUTED_VALUE"""),"техніка та електроніка")</f>
        <v>техніка та електроніка</v>
      </c>
      <c r="C4084" s="16" t="str">
        <f>IFERROR(__xludf.DUMMYFUNCTION("""COMPUTED_VALUE"""),"побутова техніка")</f>
        <v>побутова техніка</v>
      </c>
      <c r="D4084" s="16" t="str">
        <f>IFERROR(__xludf.DUMMYFUNCTION("""COMPUTED_VALUE"""),"побутова техніка, загальне")</f>
        <v>побутова техніка, загальне</v>
      </c>
      <c r="E4084" s="16" t="str">
        <f>IFERROR(__xludf.DUMMYFUNCTION("""COMPUTED_VALUE"""),"побутова техніка, загальне")</f>
        <v>побутова техніка, загальне</v>
      </c>
      <c r="F4084" s="17">
        <f>IFERROR(__xludf.DUMMYFUNCTION("""COMPUTED_VALUE"""),3.0)</f>
        <v>3</v>
      </c>
      <c r="G4084" s="17" t="str">
        <f>IFERROR(__xludf.DUMMYFUNCTION("""COMPUTED_VALUE"""),"628")</f>
        <v>628</v>
      </c>
      <c r="H4084" s="17" t="str">
        <f>IFERROR(__xludf.DUMMYFUNCTION("""COMPUTED_VALUE"""),"побутова техніка, загальне")</f>
        <v>побутова техніка, загальне</v>
      </c>
      <c r="I4084" s="19">
        <f>IFERROR(__xludf.DUMMYFUNCTION("""COMPUTED_VALUE"""),0.125)</f>
        <v>0.125</v>
      </c>
      <c r="J4084" s="19">
        <f>IFERROR(__xludf.DUMMYFUNCTION("""COMPUTED_VALUE"""),0.25)</f>
        <v>0.25</v>
      </c>
      <c r="K4084" s="19">
        <f>IFERROR(__xludf.DUMMYFUNCTION("""COMPUTED_VALUE"""),0.3125)</f>
        <v>0.3125</v>
      </c>
      <c r="L4084" s="19">
        <f>IFERROR(__xludf.DUMMYFUNCTION("""COMPUTED_VALUE"""),0.375)</f>
        <v>0.375</v>
      </c>
      <c r="M4084" s="18">
        <f>IFERROR(__xludf.DUMMYFUNCTION("""COMPUTED_VALUE"""),4.33)</f>
        <v>4.33</v>
      </c>
    </row>
    <row r="4085">
      <c r="A4085" s="13" t="str">
        <f>IFERROR(__xludf.DUMMYFUNCTION("""COMPUTED_VALUE"""),"товари")</f>
        <v>товари</v>
      </c>
      <c r="B4085" s="16" t="str">
        <f>IFERROR(__xludf.DUMMYFUNCTION("""COMPUTED_VALUE"""),"техніка та електроніка")</f>
        <v>техніка та електроніка</v>
      </c>
      <c r="C4085" s="16" t="str">
        <f>IFERROR(__xludf.DUMMYFUNCTION("""COMPUTED_VALUE"""),"побутова техніка")</f>
        <v>побутова техніка</v>
      </c>
      <c r="D4085" s="16" t="str">
        <f>IFERROR(__xludf.DUMMYFUNCTION("""COMPUTED_VALUE"""),"кліматична техніка")</f>
        <v>кліматична техніка</v>
      </c>
      <c r="E4085" s="16" t="str">
        <f>IFERROR(__xludf.DUMMYFUNCTION("""COMPUTED_VALUE"""),"побутові масляні обігрівачі")</f>
        <v>побутові масляні обігрівачі</v>
      </c>
      <c r="F4085" s="17">
        <f>IFERROR(__xludf.DUMMYFUNCTION("""COMPUTED_VALUE"""),4.0)</f>
        <v>4</v>
      </c>
      <c r="G4085" s="17" t="str">
        <f>IFERROR(__xludf.DUMMYFUNCTION("""COMPUTED_VALUE"""),"13240108")</f>
        <v>13240108</v>
      </c>
      <c r="H4085" s="17" t="str">
        <f>IFERROR(__xludf.DUMMYFUNCTION("""COMPUTED_VALUE"""),"побутові масляні обігрівачі")</f>
        <v>побутові масляні обігрівачі</v>
      </c>
      <c r="I4085" s="19">
        <f>IFERROR(__xludf.DUMMYFUNCTION("""COMPUTED_VALUE"""),0.0505)</f>
        <v>0.0505</v>
      </c>
      <c r="J4085" s="19">
        <f>IFERROR(__xludf.DUMMYFUNCTION("""COMPUTED_VALUE"""),0.1009)</f>
        <v>0.1009</v>
      </c>
      <c r="K4085" s="19">
        <f>IFERROR(__xludf.DUMMYFUNCTION("""COMPUTED_VALUE"""),0.1261)</f>
        <v>0.1261</v>
      </c>
      <c r="L4085" s="19">
        <f>IFERROR(__xludf.DUMMYFUNCTION("""COMPUTED_VALUE"""),0.1514)</f>
        <v>0.1514</v>
      </c>
      <c r="M4085" s="18">
        <f>IFERROR(__xludf.DUMMYFUNCTION("""COMPUTED_VALUE"""),3.78)</f>
        <v>3.78</v>
      </c>
    </row>
    <row r="4086">
      <c r="A4086" s="13" t="str">
        <f>IFERROR(__xludf.DUMMYFUNCTION("""COMPUTED_VALUE"""),"товари")</f>
        <v>товари</v>
      </c>
      <c r="B4086" s="16" t="str">
        <f>IFERROR(__xludf.DUMMYFUNCTION("""COMPUTED_VALUE"""),"техніка та електроніка")</f>
        <v>техніка та електроніка</v>
      </c>
      <c r="C4086" s="16" t="str">
        <f>IFERROR(__xludf.DUMMYFUNCTION("""COMPUTED_VALUE"""),"побутова техніка")</f>
        <v>побутова техніка</v>
      </c>
      <c r="D4086" s="16" t="str">
        <f>IFERROR(__xludf.DUMMYFUNCTION("""COMPUTED_VALUE"""),"дрібна побутова техніка для кухні")</f>
        <v>дрібна побутова техніка для кухні</v>
      </c>
      <c r="E4086" s="16" t="str">
        <f>IFERROR(__xludf.DUMMYFUNCTION("""COMPUTED_VALUE"""),"побутові мініпивоварні")</f>
        <v>побутові мініпивоварні</v>
      </c>
      <c r="F4086" s="17">
        <f>IFERROR(__xludf.DUMMYFUNCTION("""COMPUTED_VALUE"""),4.0)</f>
        <v>4</v>
      </c>
      <c r="G4086" s="17" t="str">
        <f>IFERROR(__xludf.DUMMYFUNCTION("""COMPUTED_VALUE"""),"6300409")</f>
        <v>6300409</v>
      </c>
      <c r="H4086" s="17" t="str">
        <f>IFERROR(__xludf.DUMMYFUNCTION("""COMPUTED_VALUE"""),"побутові мініпивоварні")</f>
        <v>побутові мініпивоварні</v>
      </c>
      <c r="I4086" s="19">
        <f>IFERROR(__xludf.DUMMYFUNCTION("""COMPUTED_VALUE"""),0.0733)</f>
        <v>0.0733</v>
      </c>
      <c r="J4086" s="19">
        <f>IFERROR(__xludf.DUMMYFUNCTION("""COMPUTED_VALUE"""),0.1466)</f>
        <v>0.1466</v>
      </c>
      <c r="K4086" s="19">
        <f>IFERROR(__xludf.DUMMYFUNCTION("""COMPUTED_VALUE"""),0.1833)</f>
        <v>0.1833</v>
      </c>
      <c r="L4086" s="19">
        <f>IFERROR(__xludf.DUMMYFUNCTION("""COMPUTED_VALUE"""),0.2199)</f>
        <v>0.2199</v>
      </c>
      <c r="M4086" s="18">
        <f>IFERROR(__xludf.DUMMYFUNCTION("""COMPUTED_VALUE"""),3.06)</f>
        <v>3.06</v>
      </c>
    </row>
    <row r="4087">
      <c r="A4087" s="13" t="str">
        <f>IFERROR(__xludf.DUMMYFUNCTION("""COMPUTED_VALUE"""),"товари")</f>
        <v>товари</v>
      </c>
      <c r="B4087" s="16" t="str">
        <f>IFERROR(__xludf.DUMMYFUNCTION("""COMPUTED_VALUE"""),"техніка та електроніка")</f>
        <v>техніка та електроніка</v>
      </c>
      <c r="C4087" s="16" t="str">
        <f>IFERROR(__xludf.DUMMYFUNCTION("""COMPUTED_VALUE"""),"побутова техніка")</f>
        <v>побутова техніка</v>
      </c>
      <c r="D4087" s="16" t="str">
        <f>IFERROR(__xludf.DUMMYFUNCTION("""COMPUTED_VALUE"""),"побутова техніка для дому")</f>
        <v>побутова техніка для дому</v>
      </c>
      <c r="E4087" s="16" t="str">
        <f>IFERROR(__xludf.DUMMYFUNCTION("""COMPUTED_VALUE"""),"побутові озонатори")</f>
        <v>побутові озонатори</v>
      </c>
      <c r="F4087" s="17">
        <f>IFERROR(__xludf.DUMMYFUNCTION("""COMPUTED_VALUE"""),4.0)</f>
        <v>4</v>
      </c>
      <c r="G4087" s="17" t="str">
        <f>IFERROR(__xludf.DUMMYFUNCTION("""COMPUTED_VALUE"""),"63019")</f>
        <v>63019</v>
      </c>
      <c r="H4087" s="17" t="str">
        <f>IFERROR(__xludf.DUMMYFUNCTION("""COMPUTED_VALUE"""),"побутові озонатори")</f>
        <v>побутові озонатори</v>
      </c>
      <c r="I4087" s="19">
        <f>IFERROR(__xludf.DUMMYFUNCTION("""COMPUTED_VALUE"""),0.0595)</f>
        <v>0.0595</v>
      </c>
      <c r="J4087" s="19">
        <f>IFERROR(__xludf.DUMMYFUNCTION("""COMPUTED_VALUE"""),0.119)</f>
        <v>0.119</v>
      </c>
      <c r="K4087" s="19">
        <f>IFERROR(__xludf.DUMMYFUNCTION("""COMPUTED_VALUE"""),0.1488)</f>
        <v>0.1488</v>
      </c>
      <c r="L4087" s="19">
        <f>IFERROR(__xludf.DUMMYFUNCTION("""COMPUTED_VALUE"""),0.1785)</f>
        <v>0.1785</v>
      </c>
      <c r="M4087" s="18">
        <f>IFERROR(__xludf.DUMMYFUNCTION("""COMPUTED_VALUE"""),3.06)</f>
        <v>3.06</v>
      </c>
    </row>
    <row r="4088">
      <c r="A4088" s="13" t="str">
        <f>IFERROR(__xludf.DUMMYFUNCTION("""COMPUTED_VALUE"""),"товари")</f>
        <v>товари</v>
      </c>
      <c r="B4088" s="16" t="str">
        <f>IFERROR(__xludf.DUMMYFUNCTION("""COMPUTED_VALUE"""),"техніка та електроніка")</f>
        <v>техніка та електроніка</v>
      </c>
      <c r="C4088" s="16" t="str">
        <f>IFERROR(__xludf.DUMMYFUNCTION("""COMPUTED_VALUE"""),"повербанки та зарядні станції")</f>
        <v>повербанки та зарядні станції</v>
      </c>
      <c r="D4088" s="16" t="str">
        <f>IFERROR(__xludf.DUMMYFUNCTION("""COMPUTED_VALUE"""),"повербанки")</f>
        <v>повербанки</v>
      </c>
      <c r="E4088" s="16" t="str">
        <f>IFERROR(__xludf.DUMMYFUNCTION("""COMPUTED_VALUE"""),"повербанки")</f>
        <v>повербанки</v>
      </c>
      <c r="F4088" s="17">
        <f>IFERROR(__xludf.DUMMYFUNCTION("""COMPUTED_VALUE"""),3.0)</f>
        <v>3</v>
      </c>
      <c r="G4088" s="17" t="str">
        <f>IFERROR(__xludf.DUMMYFUNCTION("""COMPUTED_VALUE"""),"71109")</f>
        <v>71109</v>
      </c>
      <c r="H4088" s="17" t="str">
        <f>IFERROR(__xludf.DUMMYFUNCTION("""COMPUTED_VALUE"""),"повербанки")</f>
        <v>повербанки</v>
      </c>
      <c r="I4088" s="19">
        <f>IFERROR(__xludf.DUMMYFUNCTION("""COMPUTED_VALUE"""),0.0896)</f>
        <v>0.0896</v>
      </c>
      <c r="J4088" s="19">
        <f>IFERROR(__xludf.DUMMYFUNCTION("""COMPUTED_VALUE"""),0.1792)</f>
        <v>0.1792</v>
      </c>
      <c r="K4088" s="19">
        <f>IFERROR(__xludf.DUMMYFUNCTION("""COMPUTED_VALUE"""),0.224)</f>
        <v>0.224</v>
      </c>
      <c r="L4088" s="19">
        <f>IFERROR(__xludf.DUMMYFUNCTION("""COMPUTED_VALUE"""),0.2688)</f>
        <v>0.2688</v>
      </c>
      <c r="M4088" s="18">
        <f>IFERROR(__xludf.DUMMYFUNCTION("""COMPUTED_VALUE"""),2.53)</f>
        <v>2.53</v>
      </c>
    </row>
    <row r="4089">
      <c r="A4089" s="13" t="str">
        <f>IFERROR(__xludf.DUMMYFUNCTION("""COMPUTED_VALUE"""),"товари")</f>
        <v>товари</v>
      </c>
      <c r="B4089" s="16" t="str">
        <f>IFERROR(__xludf.DUMMYFUNCTION("""COMPUTED_VALUE"""),"техніка та електроніка")</f>
        <v>техніка та електроніка</v>
      </c>
      <c r="C4089" s="16" t="str">
        <f>IFERROR(__xludf.DUMMYFUNCTION("""COMPUTED_VALUE"""),"повербанки та зарядні станції")</f>
        <v>повербанки та зарядні станції</v>
      </c>
      <c r="D4089" s="16" t="str">
        <f>IFERROR(__xludf.DUMMYFUNCTION("""COMPUTED_VALUE"""),"повербанки та зарядні станції, загальне")</f>
        <v>повербанки та зарядні станції, загальне</v>
      </c>
      <c r="E4089" s="16" t="str">
        <f>IFERROR(__xludf.DUMMYFUNCTION("""COMPUTED_VALUE"""),"повербанки та зарядні станції, загальне")</f>
        <v>повербанки та зарядні станції, загальне</v>
      </c>
      <c r="F4089" s="17">
        <f>IFERROR(__xludf.DUMMYFUNCTION("""COMPUTED_VALUE"""),3.0)</f>
        <v>3</v>
      </c>
      <c r="G4089" s="17" t="str">
        <f>IFERROR(__xludf.DUMMYFUNCTION("""COMPUTED_VALUE"""),"500902")</f>
        <v>500902</v>
      </c>
      <c r="H4089" s="17" t="str">
        <f>IFERROR(__xludf.DUMMYFUNCTION("""COMPUTED_VALUE"""),"повербанки та зарядні станції, загальне")</f>
        <v>повербанки та зарядні станції, загальне</v>
      </c>
      <c r="I4089" s="19">
        <f>IFERROR(__xludf.DUMMYFUNCTION("""COMPUTED_VALUE"""),0.125)</f>
        <v>0.125</v>
      </c>
      <c r="J4089" s="19">
        <f>IFERROR(__xludf.DUMMYFUNCTION("""COMPUTED_VALUE"""),0.25)</f>
        <v>0.25</v>
      </c>
      <c r="K4089" s="19">
        <f>IFERROR(__xludf.DUMMYFUNCTION("""COMPUTED_VALUE"""),0.3125)</f>
        <v>0.3125</v>
      </c>
      <c r="L4089" s="19">
        <f>IFERROR(__xludf.DUMMYFUNCTION("""COMPUTED_VALUE"""),0.375)</f>
        <v>0.375</v>
      </c>
      <c r="M4089" s="18">
        <f>IFERROR(__xludf.DUMMYFUNCTION("""COMPUTED_VALUE"""),4.33)</f>
        <v>4.33</v>
      </c>
    </row>
    <row r="4090">
      <c r="A4090" s="13" t="str">
        <f>IFERROR(__xludf.DUMMYFUNCTION("""COMPUTED_VALUE"""),"товари")</f>
        <v>товари</v>
      </c>
      <c r="B4090" s="16" t="str">
        <f>IFERROR(__xludf.DUMMYFUNCTION("""COMPUTED_VALUE"""),"техніка та електроніка")</f>
        <v>техніка та електроніка</v>
      </c>
      <c r="C4090" s="16" t="str">
        <f>IFERROR(__xludf.DUMMYFUNCTION("""COMPUTED_VALUE"""),"аудіотехніка та аксесуари")</f>
        <v>аудіотехніка та аксесуари</v>
      </c>
      <c r="D4090" s="16" t="str">
        <f>IFERROR(__xludf.DUMMYFUNCTION("""COMPUTED_VALUE"""),"портативні колонки")</f>
        <v>портативні колонки</v>
      </c>
      <c r="E4090" s="16" t="str">
        <f>IFERROR(__xludf.DUMMYFUNCTION("""COMPUTED_VALUE"""),"портативні колонки")</f>
        <v>портативні колонки</v>
      </c>
      <c r="F4090" s="17">
        <f>IFERROR(__xludf.DUMMYFUNCTION("""COMPUTED_VALUE"""),3.0)</f>
        <v>3</v>
      </c>
      <c r="G4090" s="17" t="str">
        <f>IFERROR(__xludf.DUMMYFUNCTION("""COMPUTED_VALUE"""),"6371101")</f>
        <v>6371101</v>
      </c>
      <c r="H4090" s="17" t="str">
        <f>IFERROR(__xludf.DUMMYFUNCTION("""COMPUTED_VALUE"""),"портативні колонки")</f>
        <v>портативні колонки</v>
      </c>
      <c r="I4090" s="19">
        <f>IFERROR(__xludf.DUMMYFUNCTION("""COMPUTED_VALUE"""),0.0695)</f>
        <v>0.0695</v>
      </c>
      <c r="J4090" s="19">
        <f>IFERROR(__xludf.DUMMYFUNCTION("""COMPUTED_VALUE"""),0.139)</f>
        <v>0.139</v>
      </c>
      <c r="K4090" s="19">
        <f>IFERROR(__xludf.DUMMYFUNCTION("""COMPUTED_VALUE"""),0.1738)</f>
        <v>0.1738</v>
      </c>
      <c r="L4090" s="19">
        <f>IFERROR(__xludf.DUMMYFUNCTION("""COMPUTED_VALUE"""),0.2085)</f>
        <v>0.2085</v>
      </c>
      <c r="M4090" s="18">
        <f>IFERROR(__xludf.DUMMYFUNCTION("""COMPUTED_VALUE"""),3.33)</f>
        <v>3.33</v>
      </c>
    </row>
    <row r="4091">
      <c r="A4091" s="13" t="str">
        <f>IFERROR(__xludf.DUMMYFUNCTION("""COMPUTED_VALUE"""),"товари")</f>
        <v>товари</v>
      </c>
      <c r="B4091" s="16" t="str">
        <f>IFERROR(__xludf.DUMMYFUNCTION("""COMPUTED_VALUE"""),"техніка та електроніка")</f>
        <v>техніка та електроніка</v>
      </c>
      <c r="C4091" s="16" t="str">
        <f>IFERROR(__xludf.DUMMYFUNCTION("""COMPUTED_VALUE"""),"побутова техніка")</f>
        <v>побутова техніка</v>
      </c>
      <c r="D4091" s="16" t="str">
        <f>IFERROR(__xludf.DUMMYFUNCTION("""COMPUTED_VALUE"""),"велика побутова техніка для кухні")</f>
        <v>велика побутова техніка для кухні</v>
      </c>
      <c r="E4091" s="16" t="str">
        <f>IFERROR(__xludf.DUMMYFUNCTION("""COMPUTED_VALUE"""),"посудомийні машини")</f>
        <v>посудомийні машини</v>
      </c>
      <c r="F4091" s="17">
        <f>IFERROR(__xludf.DUMMYFUNCTION("""COMPUTED_VALUE"""),4.0)</f>
        <v>4</v>
      </c>
      <c r="G4091" s="17" t="str">
        <f>IFERROR(__xludf.DUMMYFUNCTION("""COMPUTED_VALUE"""),"615")</f>
        <v>615</v>
      </c>
      <c r="H4091" s="17" t="str">
        <f>IFERROR(__xludf.DUMMYFUNCTION("""COMPUTED_VALUE"""),"посудомийні машини")</f>
        <v>посудомийні машини</v>
      </c>
      <c r="I4091" s="19">
        <f>IFERROR(__xludf.DUMMYFUNCTION("""COMPUTED_VALUE"""),0.0479)</f>
        <v>0.0479</v>
      </c>
      <c r="J4091" s="19">
        <f>IFERROR(__xludf.DUMMYFUNCTION("""COMPUTED_VALUE"""),0.0958)</f>
        <v>0.0958</v>
      </c>
      <c r="K4091" s="19">
        <f>IFERROR(__xludf.DUMMYFUNCTION("""COMPUTED_VALUE"""),0.1198)</f>
        <v>0.1198</v>
      </c>
      <c r="L4091" s="19">
        <f>IFERROR(__xludf.DUMMYFUNCTION("""COMPUTED_VALUE"""),0.1437)</f>
        <v>0.1437</v>
      </c>
      <c r="M4091" s="18">
        <f>IFERROR(__xludf.DUMMYFUNCTION("""COMPUTED_VALUE"""),1.53)</f>
        <v>1.53</v>
      </c>
    </row>
    <row r="4092">
      <c r="A4092" s="13" t="str">
        <f>IFERROR(__xludf.DUMMYFUNCTION("""COMPUTED_VALUE"""),"товари")</f>
        <v>товари</v>
      </c>
      <c r="B4092" s="16" t="str">
        <f>IFERROR(__xludf.DUMMYFUNCTION("""COMPUTED_VALUE"""),"техніка та електроніка")</f>
        <v>техніка та електроніка</v>
      </c>
      <c r="C4092" s="16" t="str">
        <f>IFERROR(__xludf.DUMMYFUNCTION("""COMPUTED_VALUE"""),"побутова техніка")</f>
        <v>побутова техніка</v>
      </c>
      <c r="D4092" s="16" t="str">
        <f>IFERROR(__xludf.DUMMYFUNCTION("""COMPUTED_VALUE"""),"побутова техніка для дому")</f>
        <v>побутова техніка для дому</v>
      </c>
      <c r="E4092" s="16" t="str">
        <f>IFERROR(__xludf.DUMMYFUNCTION("""COMPUTED_VALUE"""),"пральні машини")</f>
        <v>пральні машини</v>
      </c>
      <c r="F4092" s="17">
        <f>IFERROR(__xludf.DUMMYFUNCTION("""COMPUTED_VALUE"""),4.0)</f>
        <v>4</v>
      </c>
      <c r="G4092" s="17" t="str">
        <f>IFERROR(__xludf.DUMMYFUNCTION("""COMPUTED_VALUE"""),"603")</f>
        <v>603</v>
      </c>
      <c r="H4092" s="17" t="str">
        <f>IFERROR(__xludf.DUMMYFUNCTION("""COMPUTED_VALUE"""),"пральні машини")</f>
        <v>пральні машини</v>
      </c>
      <c r="I4092" s="19">
        <f>IFERROR(__xludf.DUMMYFUNCTION("""COMPUTED_VALUE"""),0.039)</f>
        <v>0.039</v>
      </c>
      <c r="J4092" s="19">
        <f>IFERROR(__xludf.DUMMYFUNCTION("""COMPUTED_VALUE"""),0.078)</f>
        <v>0.078</v>
      </c>
      <c r="K4092" s="19">
        <f>IFERROR(__xludf.DUMMYFUNCTION("""COMPUTED_VALUE"""),0.0975)</f>
        <v>0.0975</v>
      </c>
      <c r="L4092" s="19">
        <f>IFERROR(__xludf.DUMMYFUNCTION("""COMPUTED_VALUE"""),0.117)</f>
        <v>0.117</v>
      </c>
      <c r="M4092" s="18">
        <f>IFERROR(__xludf.DUMMYFUNCTION("""COMPUTED_VALUE"""),3.06)</f>
        <v>3.06</v>
      </c>
    </row>
    <row r="4093">
      <c r="A4093" s="13" t="str">
        <f>IFERROR(__xludf.DUMMYFUNCTION("""COMPUTED_VALUE"""),"товари")</f>
        <v>товари</v>
      </c>
      <c r="B4093" s="16" t="str">
        <f>IFERROR(__xludf.DUMMYFUNCTION("""COMPUTED_VALUE"""),"техніка та електроніка")</f>
        <v>техніка та електроніка</v>
      </c>
      <c r="C4093" s="16" t="str">
        <f>IFERROR(__xludf.DUMMYFUNCTION("""COMPUTED_VALUE"""),"побутова техніка")</f>
        <v>побутова техніка</v>
      </c>
      <c r="D4093" s="16" t="str">
        <f>IFERROR(__xludf.DUMMYFUNCTION("""COMPUTED_VALUE"""),"побутова техніка для дому")</f>
        <v>побутова техніка для дому</v>
      </c>
      <c r="E4093" s="16" t="str">
        <f>IFERROR(__xludf.DUMMYFUNCTION("""COMPUTED_VALUE"""),"праски та прасувальні системи")</f>
        <v>праски та прасувальні системи</v>
      </c>
      <c r="F4093" s="17">
        <f>IFERROR(__xludf.DUMMYFUNCTION("""COMPUTED_VALUE"""),4.0)</f>
        <v>4</v>
      </c>
      <c r="G4093" s="17" t="str">
        <f>IFERROR(__xludf.DUMMYFUNCTION("""COMPUTED_VALUE"""),"609")</f>
        <v>609</v>
      </c>
      <c r="H4093" s="17" t="str">
        <f>IFERROR(__xludf.DUMMYFUNCTION("""COMPUTED_VALUE"""),"праски та прасувальні системи")</f>
        <v>праски та прасувальні системи</v>
      </c>
      <c r="I4093" s="19">
        <f>IFERROR(__xludf.DUMMYFUNCTION("""COMPUTED_VALUE"""),0.0764)</f>
        <v>0.0764</v>
      </c>
      <c r="J4093" s="19">
        <f>IFERROR(__xludf.DUMMYFUNCTION("""COMPUTED_VALUE"""),0.1528)</f>
        <v>0.1528</v>
      </c>
      <c r="K4093" s="19">
        <f>IFERROR(__xludf.DUMMYFUNCTION("""COMPUTED_VALUE"""),0.191)</f>
        <v>0.191</v>
      </c>
      <c r="L4093" s="19">
        <f>IFERROR(__xludf.DUMMYFUNCTION("""COMPUTED_VALUE"""),0.2292)</f>
        <v>0.2292</v>
      </c>
      <c r="M4093" s="18">
        <f>IFERROR(__xludf.DUMMYFUNCTION("""COMPUTED_VALUE"""),3.06)</f>
        <v>3.06</v>
      </c>
    </row>
    <row r="4094">
      <c r="A4094" s="13" t="str">
        <f>IFERROR(__xludf.DUMMYFUNCTION("""COMPUTED_VALUE"""),"товари")</f>
        <v>товари</v>
      </c>
      <c r="B4094" s="16" t="str">
        <f>IFERROR(__xludf.DUMMYFUNCTION("""COMPUTED_VALUE"""),"техніка та електроніка")</f>
        <v>техніка та електроніка</v>
      </c>
      <c r="C4094" s="16" t="str">
        <f>IFERROR(__xludf.DUMMYFUNCTION("""COMPUTED_VALUE"""),"телефони та аксесуари")</f>
        <v>телефони та аксесуари</v>
      </c>
      <c r="D4094" s="16" t="str">
        <f>IFERROR(__xludf.DUMMYFUNCTION("""COMPUTED_VALUE"""),"аксесуари для мобільних телефонів")</f>
        <v>аксесуари для мобільних телефонів</v>
      </c>
      <c r="E4094" s="16" t="str">
        <f>IFERROR(__xludf.DUMMYFUNCTION("""COMPUTED_VALUE"""),"прикраси для мобільних телефонів")</f>
        <v>прикраси для мобільних телефонів</v>
      </c>
      <c r="F4094" s="17">
        <f>IFERROR(__xludf.DUMMYFUNCTION("""COMPUTED_VALUE"""),4.0)</f>
        <v>4</v>
      </c>
      <c r="G4094" s="17" t="str">
        <f>IFERROR(__xludf.DUMMYFUNCTION("""COMPUTED_VALUE"""),"5090314")</f>
        <v>5090314</v>
      </c>
      <c r="H4094" s="17" t="str">
        <f>IFERROR(__xludf.DUMMYFUNCTION("""COMPUTED_VALUE"""),"прикраси для мобільних телефонів")</f>
        <v>прикраси для мобільних телефонів</v>
      </c>
      <c r="I4094" s="19">
        <f>IFERROR(__xludf.DUMMYFUNCTION("""COMPUTED_VALUE"""),0.1174)</f>
        <v>0.1174</v>
      </c>
      <c r="J4094" s="19">
        <f>IFERROR(__xludf.DUMMYFUNCTION("""COMPUTED_VALUE"""),0.2347)</f>
        <v>0.2347</v>
      </c>
      <c r="K4094" s="19">
        <f>IFERROR(__xludf.DUMMYFUNCTION("""COMPUTED_VALUE"""),0.2934)</f>
        <v>0.2934</v>
      </c>
      <c r="L4094" s="19">
        <f>IFERROR(__xludf.DUMMYFUNCTION("""COMPUTED_VALUE"""),0.3521)</f>
        <v>0.3521</v>
      </c>
      <c r="M4094" s="18">
        <f>IFERROR(__xludf.DUMMYFUNCTION("""COMPUTED_VALUE"""),1.05)</f>
        <v>1.05</v>
      </c>
    </row>
    <row r="4095">
      <c r="A4095" s="13" t="str">
        <f>IFERROR(__xludf.DUMMYFUNCTION("""COMPUTED_VALUE"""),"товари")</f>
        <v>товари</v>
      </c>
      <c r="B4095" s="16" t="str">
        <f>IFERROR(__xludf.DUMMYFUNCTION("""COMPUTED_VALUE"""),"техніка та електроніка")</f>
        <v>техніка та електроніка</v>
      </c>
      <c r="C4095" s="16" t="str">
        <f>IFERROR(__xludf.DUMMYFUNCTION("""COMPUTED_VALUE"""),"побутова техніка")</f>
        <v>побутова техніка</v>
      </c>
      <c r="D4095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95" s="16" t="str">
        <f>IFERROR(__xludf.DUMMYFUNCTION("""COMPUTED_VALUE"""),"прилади для укладання волосся")</f>
        <v>прилади для укладання волосся</v>
      </c>
      <c r="F4095" s="17">
        <f>IFERROR(__xludf.DUMMYFUNCTION("""COMPUTED_VALUE"""),4.0)</f>
        <v>4</v>
      </c>
      <c r="G4095" s="17" t="str">
        <f>IFERROR(__xludf.DUMMYFUNCTION("""COMPUTED_VALUE"""),"63303")</f>
        <v>63303</v>
      </c>
      <c r="H4095" s="17" t="str">
        <f>IFERROR(__xludf.DUMMYFUNCTION("""COMPUTED_VALUE"""),"прилади для укладання волосся")</f>
        <v>прилади для укладання волосся</v>
      </c>
      <c r="I4095" s="19">
        <f>IFERROR(__xludf.DUMMYFUNCTION("""COMPUTED_VALUE"""),0.0748)</f>
        <v>0.0748</v>
      </c>
      <c r="J4095" s="19">
        <f>IFERROR(__xludf.DUMMYFUNCTION("""COMPUTED_VALUE"""),0.1495)</f>
        <v>0.1495</v>
      </c>
      <c r="K4095" s="19">
        <f>IFERROR(__xludf.DUMMYFUNCTION("""COMPUTED_VALUE"""),0.1869)</f>
        <v>0.1869</v>
      </c>
      <c r="L4095" s="19">
        <f>IFERROR(__xludf.DUMMYFUNCTION("""COMPUTED_VALUE"""),0.2243)</f>
        <v>0.2243</v>
      </c>
      <c r="M4095" s="18">
        <f>IFERROR(__xludf.DUMMYFUNCTION("""COMPUTED_VALUE"""),4.05)</f>
        <v>4.05</v>
      </c>
    </row>
    <row r="4096">
      <c r="A4096" s="13" t="str">
        <f>IFERROR(__xludf.DUMMYFUNCTION("""COMPUTED_VALUE"""),"товари")</f>
        <v>товари</v>
      </c>
      <c r="B4096" s="16" t="str">
        <f>IFERROR(__xludf.DUMMYFUNCTION("""COMPUTED_VALUE"""),"техніка та електроніка")</f>
        <v>техніка та електроніка</v>
      </c>
      <c r="C4096" s="16" t="str">
        <f>IFERROR(__xludf.DUMMYFUNCTION("""COMPUTED_VALUE"""),"комп'ютерна техніка та пз")</f>
        <v>комп'ютерна техніка та пз</v>
      </c>
      <c r="D4096" s="16" t="str">
        <f>IFERROR(__xludf.DUMMYFUNCTION("""COMPUTED_VALUE"""),"принтери, сканери, бфп та комплектуючі")</f>
        <v>принтери, сканери, бфп та комплектуючі</v>
      </c>
      <c r="E4096" s="16" t="str">
        <f>IFERROR(__xludf.DUMMYFUNCTION("""COMPUTED_VALUE"""),"принтери, сканери, бфп")</f>
        <v>принтери, сканери, бфп</v>
      </c>
      <c r="F4096" s="17">
        <f>IFERROR(__xludf.DUMMYFUNCTION("""COMPUTED_VALUE"""),4.0)</f>
        <v>4</v>
      </c>
      <c r="G4096" s="17" t="str">
        <f>IFERROR(__xludf.DUMMYFUNCTION("""COMPUTED_VALUE"""),"70812")</f>
        <v>70812</v>
      </c>
      <c r="H4096" s="17" t="str">
        <f>IFERROR(__xludf.DUMMYFUNCTION("""COMPUTED_VALUE"""),"принтери, сканери, бфп")</f>
        <v>принтери, сканери, бфп</v>
      </c>
      <c r="I4096" s="19">
        <f>IFERROR(__xludf.DUMMYFUNCTION("""COMPUTED_VALUE"""),0.0714)</f>
        <v>0.0714</v>
      </c>
      <c r="J4096" s="19">
        <f>IFERROR(__xludf.DUMMYFUNCTION("""COMPUTED_VALUE"""),0.1427)</f>
        <v>0.1427</v>
      </c>
      <c r="K4096" s="19">
        <f>IFERROR(__xludf.DUMMYFUNCTION("""COMPUTED_VALUE"""),0.1784)</f>
        <v>0.1784</v>
      </c>
      <c r="L4096" s="19">
        <f>IFERROR(__xludf.DUMMYFUNCTION("""COMPUTED_VALUE"""),0.2141)</f>
        <v>0.2141</v>
      </c>
      <c r="M4096" s="18">
        <f>IFERROR(__xludf.DUMMYFUNCTION("""COMPUTED_VALUE"""),4.23)</f>
        <v>4.23</v>
      </c>
    </row>
    <row r="4097">
      <c r="A4097" s="13" t="str">
        <f>IFERROR(__xludf.DUMMYFUNCTION("""COMPUTED_VALUE"""),"товари")</f>
        <v>товари</v>
      </c>
      <c r="B4097" s="16" t="str">
        <f>IFERROR(__xludf.DUMMYFUNCTION("""COMPUTED_VALUE"""),"техніка та електроніка")</f>
        <v>техніка та електроніка</v>
      </c>
      <c r="C4097" s="16" t="str">
        <f>IFERROR(__xludf.DUMMYFUNCTION("""COMPUTED_VALUE"""),"комп'ютерна техніка та пз")</f>
        <v>комп'ютерна техніка та пз</v>
      </c>
      <c r="D4097" s="16" t="str">
        <f>IFERROR(__xludf.DUMMYFUNCTION("""COMPUTED_VALUE"""),"принтери, сканери, бфп та комплектуючі")</f>
        <v>принтери, сканери, бфп та комплектуючі</v>
      </c>
      <c r="E4097" s="16" t="str">
        <f>IFERROR(__xludf.DUMMYFUNCTION("""COMPUTED_VALUE"""),"принтери, сканери, бфп та комплектуючі, загальне")</f>
        <v>принтери, сканери, бфп та комплектуючі, загальне</v>
      </c>
      <c r="F4097" s="17">
        <f>IFERROR(__xludf.DUMMYFUNCTION("""COMPUTED_VALUE"""),4.0)</f>
        <v>4</v>
      </c>
      <c r="G4097" s="17" t="str">
        <f>IFERROR(__xludf.DUMMYFUNCTION("""COMPUTED_VALUE"""),"71002")</f>
        <v>71002</v>
      </c>
      <c r="H4097" s="17" t="str">
        <f>IFERROR(__xludf.DUMMYFUNCTION("""COMPUTED_VALUE"""),"принтери, сканери, бфп та комплектуючі, загальне")</f>
        <v>принтери, сканери, бфп та комплектуючі, загальне</v>
      </c>
      <c r="I4097" s="19">
        <f>IFERROR(__xludf.DUMMYFUNCTION("""COMPUTED_VALUE"""),0.125)</f>
        <v>0.125</v>
      </c>
      <c r="J4097" s="19">
        <f>IFERROR(__xludf.DUMMYFUNCTION("""COMPUTED_VALUE"""),0.25)</f>
        <v>0.25</v>
      </c>
      <c r="K4097" s="19">
        <f>IFERROR(__xludf.DUMMYFUNCTION("""COMPUTED_VALUE"""),0.3125)</f>
        <v>0.3125</v>
      </c>
      <c r="L4097" s="19">
        <f>IFERROR(__xludf.DUMMYFUNCTION("""COMPUTED_VALUE"""),0.375)</f>
        <v>0.375</v>
      </c>
      <c r="M4097" s="18">
        <f>IFERROR(__xludf.DUMMYFUNCTION("""COMPUTED_VALUE"""),4.33)</f>
        <v>4.33</v>
      </c>
    </row>
    <row r="4098">
      <c r="A4098" s="13" t="str">
        <f>IFERROR(__xludf.DUMMYFUNCTION("""COMPUTED_VALUE"""),"товари")</f>
        <v>товари</v>
      </c>
      <c r="B4098" s="16" t="str">
        <f>IFERROR(__xludf.DUMMYFUNCTION("""COMPUTED_VALUE"""),"техніка та електроніка")</f>
        <v>техніка та електроніка</v>
      </c>
      <c r="C4098" s="16" t="str">
        <f>IFERROR(__xludf.DUMMYFUNCTION("""COMPUTED_VALUE"""),"побутова техніка")</f>
        <v>побутова техніка</v>
      </c>
      <c r="D4098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98" s="16" t="str">
        <f>IFERROR(__xludf.DUMMYFUNCTION("""COMPUTED_VALUE"""),"пристрої для чищення вух")</f>
        <v>пристрої для чищення вух</v>
      </c>
      <c r="F4098" s="17">
        <f>IFERROR(__xludf.DUMMYFUNCTION("""COMPUTED_VALUE"""),4.0)</f>
        <v>4</v>
      </c>
      <c r="G4098" s="17" t="str">
        <f>IFERROR(__xludf.DUMMYFUNCTION("""COMPUTED_VALUE"""),"63312")</f>
        <v>63312</v>
      </c>
      <c r="H4098" s="17" t="str">
        <f>IFERROR(__xludf.DUMMYFUNCTION("""COMPUTED_VALUE"""),"пристрої для чищення вух")</f>
        <v>пристрої для чищення вух</v>
      </c>
      <c r="I4098" s="19">
        <f>IFERROR(__xludf.DUMMYFUNCTION("""COMPUTED_VALUE"""),0.0732)</f>
        <v>0.0732</v>
      </c>
      <c r="J4098" s="19">
        <f>IFERROR(__xludf.DUMMYFUNCTION("""COMPUTED_VALUE"""),0.1463)</f>
        <v>0.1463</v>
      </c>
      <c r="K4098" s="19">
        <f>IFERROR(__xludf.DUMMYFUNCTION("""COMPUTED_VALUE"""),0.1829)</f>
        <v>0.1829</v>
      </c>
      <c r="L4098" s="19">
        <f>IFERROR(__xludf.DUMMYFUNCTION("""COMPUTED_VALUE"""),0.2195)</f>
        <v>0.2195</v>
      </c>
      <c r="M4098" s="18">
        <f>IFERROR(__xludf.DUMMYFUNCTION("""COMPUTED_VALUE"""),4.05)</f>
        <v>4.05</v>
      </c>
    </row>
    <row r="4099">
      <c r="A4099" s="13" t="str">
        <f>IFERROR(__xludf.DUMMYFUNCTION("""COMPUTED_VALUE"""),"товари")</f>
        <v>товари</v>
      </c>
      <c r="B4099" s="16" t="str">
        <f>IFERROR(__xludf.DUMMYFUNCTION("""COMPUTED_VALUE"""),"техніка та електроніка")</f>
        <v>техніка та електроніка</v>
      </c>
      <c r="C4099" s="16" t="str">
        <f>IFERROR(__xludf.DUMMYFUNCTION("""COMPUTED_VALUE"""),"комп'ютерна техніка та пз")</f>
        <v>комп'ютерна техніка та пз</v>
      </c>
      <c r="D4099" s="16" t="str">
        <f>IFERROR(__xludf.DUMMYFUNCTION("""COMPUTED_VALUE"""),"програмне забезпечення (пз)")</f>
        <v>програмне забезпечення (пз)</v>
      </c>
      <c r="E4099" s="16" t="str">
        <f>IFERROR(__xludf.DUMMYFUNCTION("""COMPUTED_VALUE"""),"програми антивіруси та захист інформації")</f>
        <v>програми антивіруси та захист інформації</v>
      </c>
      <c r="F4099" s="17">
        <f>IFERROR(__xludf.DUMMYFUNCTION("""COMPUTED_VALUE"""),4.0)</f>
        <v>4</v>
      </c>
      <c r="G4099" s="17" t="str">
        <f>IFERROR(__xludf.DUMMYFUNCTION("""COMPUTED_VALUE"""),"28420313")</f>
        <v>28420313</v>
      </c>
      <c r="H4099" s="17" t="str">
        <f>IFERROR(__xludf.DUMMYFUNCTION("""COMPUTED_VALUE"""),"програми антивіруси та захист інформації")</f>
        <v>програми антивіруси та захист інформації</v>
      </c>
      <c r="I4099" s="19">
        <f>IFERROR(__xludf.DUMMYFUNCTION("""COMPUTED_VALUE"""),0.076)</f>
        <v>0.076</v>
      </c>
      <c r="J4099" s="19">
        <f>IFERROR(__xludf.DUMMYFUNCTION("""COMPUTED_VALUE"""),0.152)</f>
        <v>0.152</v>
      </c>
      <c r="K4099" s="19">
        <f>IFERROR(__xludf.DUMMYFUNCTION("""COMPUTED_VALUE"""),0.19)</f>
        <v>0.19</v>
      </c>
      <c r="L4099" s="19">
        <f>IFERROR(__xludf.DUMMYFUNCTION("""COMPUTED_VALUE"""),0.228)</f>
        <v>0.228</v>
      </c>
      <c r="M4099" s="18">
        <f>IFERROR(__xludf.DUMMYFUNCTION("""COMPUTED_VALUE"""),3.96)</f>
        <v>3.96</v>
      </c>
    </row>
    <row r="4100">
      <c r="A4100" s="13" t="str">
        <f>IFERROR(__xludf.DUMMYFUNCTION("""COMPUTED_VALUE"""),"товари")</f>
        <v>товари</v>
      </c>
      <c r="B4100" s="16" t="str">
        <f>IFERROR(__xludf.DUMMYFUNCTION("""COMPUTED_VALUE"""),"техніка та електроніка")</f>
        <v>техніка та електроніка</v>
      </c>
      <c r="C4100" s="16" t="str">
        <f>IFERROR(__xludf.DUMMYFUNCTION("""COMPUTED_VALUE"""),"комп'ютерна техніка та пз")</f>
        <v>комп'ютерна техніка та пз</v>
      </c>
      <c r="D4100" s="16" t="str">
        <f>IFERROR(__xludf.DUMMYFUNCTION("""COMPUTED_VALUE"""),"програмне забезпечення (пз)")</f>
        <v>програмне забезпечення (пз)</v>
      </c>
      <c r="E4100" s="16" t="str">
        <f>IFERROR(__xludf.DUMMYFUNCTION("""COMPUTED_VALUE"""),"програмне забезпечення (пз), загальне")</f>
        <v>програмне забезпечення (пз), загальне</v>
      </c>
      <c r="F4100" s="17">
        <f>IFERROR(__xludf.DUMMYFUNCTION("""COMPUTED_VALUE"""),4.0)</f>
        <v>4</v>
      </c>
      <c r="G4100" s="17" t="str">
        <f>IFERROR(__xludf.DUMMYFUNCTION("""COMPUTED_VALUE"""),"28420301")</f>
        <v>28420301</v>
      </c>
      <c r="H4100" s="17" t="str">
        <f>IFERROR(__xludf.DUMMYFUNCTION("""COMPUTED_VALUE"""),"програмне забезпечення (пз), загальне")</f>
        <v>програмне забезпечення (пз), загальне</v>
      </c>
      <c r="I4100" s="19">
        <f>IFERROR(__xludf.DUMMYFUNCTION("""COMPUTED_VALUE"""),0.125)</f>
        <v>0.125</v>
      </c>
      <c r="J4100" s="19">
        <f>IFERROR(__xludf.DUMMYFUNCTION("""COMPUTED_VALUE"""),0.25)</f>
        <v>0.25</v>
      </c>
      <c r="K4100" s="19">
        <f>IFERROR(__xludf.DUMMYFUNCTION("""COMPUTED_VALUE"""),0.3125)</f>
        <v>0.3125</v>
      </c>
      <c r="L4100" s="19">
        <f>IFERROR(__xludf.DUMMYFUNCTION("""COMPUTED_VALUE"""),0.375)</f>
        <v>0.375</v>
      </c>
      <c r="M4100" s="18">
        <f>IFERROR(__xludf.DUMMYFUNCTION("""COMPUTED_VALUE"""),4.33)</f>
        <v>4.33</v>
      </c>
    </row>
    <row r="4101">
      <c r="A4101" s="13" t="str">
        <f>IFERROR(__xludf.DUMMYFUNCTION("""COMPUTED_VALUE"""),"товари")</f>
        <v>товари</v>
      </c>
      <c r="B4101" s="16" t="str">
        <f>IFERROR(__xludf.DUMMYFUNCTION("""COMPUTED_VALUE"""),"техніка та електроніка")</f>
        <v>техніка та електроніка</v>
      </c>
      <c r="C4101" s="16" t="str">
        <f>IFERROR(__xludf.DUMMYFUNCTION("""COMPUTED_VALUE"""),"tv та відеотехніка")</f>
        <v>tv та відеотехніка</v>
      </c>
      <c r="D4101" s="16" t="str">
        <f>IFERROR(__xludf.DUMMYFUNCTION("""COMPUTED_VALUE"""),"проектори")</f>
        <v>проектори</v>
      </c>
      <c r="E4101" s="16" t="str">
        <f>IFERROR(__xludf.DUMMYFUNCTION("""COMPUTED_VALUE"""),"проектори")</f>
        <v>проектори</v>
      </c>
      <c r="F4101" s="17">
        <f>IFERROR(__xludf.DUMMYFUNCTION("""COMPUTED_VALUE"""),3.0)</f>
        <v>3</v>
      </c>
      <c r="G4101" s="17" t="str">
        <f>IFERROR(__xludf.DUMMYFUNCTION("""COMPUTED_VALUE"""),"6370701")</f>
        <v>6370701</v>
      </c>
      <c r="H4101" s="17" t="str">
        <f>IFERROR(__xludf.DUMMYFUNCTION("""COMPUTED_VALUE"""),"проектори")</f>
        <v>проектори</v>
      </c>
      <c r="I4101" s="19">
        <f>IFERROR(__xludf.DUMMYFUNCTION("""COMPUTED_VALUE"""),0.0915)</f>
        <v>0.0915</v>
      </c>
      <c r="J4101" s="19">
        <f>IFERROR(__xludf.DUMMYFUNCTION("""COMPUTED_VALUE"""),0.183)</f>
        <v>0.183</v>
      </c>
      <c r="K4101" s="19">
        <f>IFERROR(__xludf.DUMMYFUNCTION("""COMPUTED_VALUE"""),0.2288)</f>
        <v>0.2288</v>
      </c>
      <c r="L4101" s="19">
        <f>IFERROR(__xludf.DUMMYFUNCTION("""COMPUTED_VALUE"""),0.2745)</f>
        <v>0.2745</v>
      </c>
      <c r="M4101" s="18">
        <f>IFERROR(__xludf.DUMMYFUNCTION("""COMPUTED_VALUE"""),3.69)</f>
        <v>3.69</v>
      </c>
    </row>
    <row r="4102">
      <c r="A4102" s="13" t="str">
        <f>IFERROR(__xludf.DUMMYFUNCTION("""COMPUTED_VALUE"""),"товари")</f>
        <v>товари</v>
      </c>
      <c r="B4102" s="16" t="str">
        <f>IFERROR(__xludf.DUMMYFUNCTION("""COMPUTED_VALUE"""),"техніка та електроніка")</f>
        <v>техніка та електроніка</v>
      </c>
      <c r="C4102" s="16" t="str">
        <f>IFERROR(__xludf.DUMMYFUNCTION("""COMPUTED_VALUE"""),"побутова техніка")</f>
        <v>побутова техніка</v>
      </c>
      <c r="D4102" s="16" t="str">
        <f>IFERROR(__xludf.DUMMYFUNCTION("""COMPUTED_VALUE"""),"дрібна побутова техніка для кухні")</f>
        <v>дрібна побутова техніка для кухні</v>
      </c>
      <c r="E4102" s="16" t="str">
        <f>IFERROR(__xludf.DUMMYFUNCTION("""COMPUTED_VALUE"""),"пророщувачі насіння")</f>
        <v>пророщувачі насіння</v>
      </c>
      <c r="F4102" s="17">
        <f>IFERROR(__xludf.DUMMYFUNCTION("""COMPUTED_VALUE"""),4.0)</f>
        <v>4</v>
      </c>
      <c r="G4102" s="17" t="str">
        <f>IFERROR(__xludf.DUMMYFUNCTION("""COMPUTED_VALUE"""),"6300417")</f>
        <v>6300417</v>
      </c>
      <c r="H4102" s="17" t="str">
        <f>IFERROR(__xludf.DUMMYFUNCTION("""COMPUTED_VALUE"""),"пророщувачі насіння")</f>
        <v>пророщувачі насіння</v>
      </c>
      <c r="I4102" s="19">
        <f>IFERROR(__xludf.DUMMYFUNCTION("""COMPUTED_VALUE"""),0.0746)</f>
        <v>0.0746</v>
      </c>
      <c r="J4102" s="19">
        <f>IFERROR(__xludf.DUMMYFUNCTION("""COMPUTED_VALUE"""),0.1492)</f>
        <v>0.1492</v>
      </c>
      <c r="K4102" s="19">
        <f>IFERROR(__xludf.DUMMYFUNCTION("""COMPUTED_VALUE"""),0.1865)</f>
        <v>0.1865</v>
      </c>
      <c r="L4102" s="19">
        <f>IFERROR(__xludf.DUMMYFUNCTION("""COMPUTED_VALUE"""),0.2238)</f>
        <v>0.2238</v>
      </c>
      <c r="M4102" s="18">
        <f>IFERROR(__xludf.DUMMYFUNCTION("""COMPUTED_VALUE"""),3.06)</f>
        <v>3.06</v>
      </c>
    </row>
    <row r="4103">
      <c r="A4103" s="13" t="str">
        <f>IFERROR(__xludf.DUMMYFUNCTION("""COMPUTED_VALUE"""),"товари")</f>
        <v>товари</v>
      </c>
      <c r="B4103" s="16" t="str">
        <f>IFERROR(__xludf.DUMMYFUNCTION("""COMPUTED_VALUE"""),"техніка та електроніка")</f>
        <v>техніка та електроніка</v>
      </c>
      <c r="C4103" s="16" t="str">
        <f>IFERROR(__xludf.DUMMYFUNCTION("""COMPUTED_VALUE"""),"комп'ютерна техніка та пз")</f>
        <v>комп'ютерна техніка та пз</v>
      </c>
      <c r="D4103" s="16" t="str">
        <f>IFERROR(__xludf.DUMMYFUNCTION("""COMPUTED_VALUE"""),"комплектуючі для комп'ютерної техніки")</f>
        <v>комплектуючі для комп'ютерної техніки</v>
      </c>
      <c r="E4103" s="16" t="str">
        <f>IFERROR(__xludf.DUMMYFUNCTION("""COMPUTED_VALUE"""),"процесори")</f>
        <v>процесори</v>
      </c>
      <c r="F4103" s="17">
        <f>IFERROR(__xludf.DUMMYFUNCTION("""COMPUTED_VALUE"""),4.0)</f>
        <v>4</v>
      </c>
      <c r="G4103" s="17" t="str">
        <f>IFERROR(__xludf.DUMMYFUNCTION("""COMPUTED_VALUE"""),"70701")</f>
        <v>70701</v>
      </c>
      <c r="H4103" s="17" t="str">
        <f>IFERROR(__xludf.DUMMYFUNCTION("""COMPUTED_VALUE"""),"процесори")</f>
        <v>процесори</v>
      </c>
      <c r="I4103" s="19">
        <f>IFERROR(__xludf.DUMMYFUNCTION("""COMPUTED_VALUE"""),0.0521)</f>
        <v>0.0521</v>
      </c>
      <c r="J4103" s="19">
        <f>IFERROR(__xludf.DUMMYFUNCTION("""COMPUTED_VALUE"""),0.1041)</f>
        <v>0.1041</v>
      </c>
      <c r="K4103" s="19">
        <f>IFERROR(__xludf.DUMMYFUNCTION("""COMPUTED_VALUE"""),0.1301)</f>
        <v>0.1301</v>
      </c>
      <c r="L4103" s="19">
        <f>IFERROR(__xludf.DUMMYFUNCTION("""COMPUTED_VALUE"""),0.1562)</f>
        <v>0.1562</v>
      </c>
      <c r="M4103" s="18">
        <f>IFERROR(__xludf.DUMMYFUNCTION("""COMPUTED_VALUE"""),1.71)</f>
        <v>1.71</v>
      </c>
    </row>
    <row r="4104">
      <c r="A4104" s="13" t="str">
        <f>IFERROR(__xludf.DUMMYFUNCTION("""COMPUTED_VALUE"""),"товари")</f>
        <v>товари</v>
      </c>
      <c r="B4104" s="16" t="str">
        <f>IFERROR(__xludf.DUMMYFUNCTION("""COMPUTED_VALUE"""),"техніка та електроніка")</f>
        <v>техніка та електроніка</v>
      </c>
      <c r="C4104" s="16" t="str">
        <f>IFERROR(__xludf.DUMMYFUNCTION("""COMPUTED_VALUE"""),"бездротовий зв'язок")</f>
        <v>бездротовий зв'язок</v>
      </c>
      <c r="D4104" s="16" t="str">
        <f>IFERROR(__xludf.DUMMYFUNCTION("""COMPUTED_VALUE"""),"радари та деталі")</f>
        <v>радари та деталі</v>
      </c>
      <c r="E4104" s="16" t="str">
        <f>IFERROR(__xludf.DUMMYFUNCTION("""COMPUTED_VALUE"""),"радари та деталі")</f>
        <v>радари та деталі</v>
      </c>
      <c r="F4104" s="17">
        <f>IFERROR(__xludf.DUMMYFUNCTION("""COMPUTED_VALUE"""),3.0)</f>
        <v>3</v>
      </c>
      <c r="G4104" s="17">
        <f>IFERROR(__xludf.DUMMYFUNCTION("""COMPUTED_VALUE"""),5090501.0)</f>
        <v>5090501</v>
      </c>
      <c r="H4104" s="17" t="str">
        <f>IFERROR(__xludf.DUMMYFUNCTION("""COMPUTED_VALUE"""),"радари та деталі")</f>
        <v>радари та деталі</v>
      </c>
      <c r="I4104" s="19">
        <f>IFERROR(__xludf.DUMMYFUNCTION("""COMPUTED_VALUE"""),0.0737)</f>
        <v>0.0737</v>
      </c>
      <c r="J4104" s="19">
        <f>IFERROR(__xludf.DUMMYFUNCTION("""COMPUTED_VALUE"""),0.1474)</f>
        <v>0.1474</v>
      </c>
      <c r="K4104" s="19">
        <f>IFERROR(__xludf.DUMMYFUNCTION("""COMPUTED_VALUE"""),0.1843)</f>
        <v>0.1843</v>
      </c>
      <c r="L4104" s="19">
        <f>IFERROR(__xludf.DUMMYFUNCTION("""COMPUTED_VALUE"""),0.2211)</f>
        <v>0.2211</v>
      </c>
      <c r="M4104" s="18">
        <f>IFERROR(__xludf.DUMMYFUNCTION("""COMPUTED_VALUE"""),1.05)</f>
        <v>1.05</v>
      </c>
    </row>
    <row r="4105">
      <c r="A4105" s="13" t="str">
        <f>IFERROR(__xludf.DUMMYFUNCTION("""COMPUTED_VALUE"""),"товари")</f>
        <v>товари</v>
      </c>
      <c r="B4105" s="16" t="str">
        <f>IFERROR(__xludf.DUMMYFUNCTION("""COMPUTED_VALUE"""),"техніка та електроніка")</f>
        <v>техніка та електроніка</v>
      </c>
      <c r="C4105" s="16" t="str">
        <f>IFERROR(__xludf.DUMMYFUNCTION("""COMPUTED_VALUE"""),"аудіотехніка та аксесуари")</f>
        <v>аудіотехніка та аксесуари</v>
      </c>
      <c r="D4105" s="16" t="str">
        <f>IFERROR(__xludf.DUMMYFUNCTION("""COMPUTED_VALUE"""),"радіоприймачі")</f>
        <v>радіоприймачі</v>
      </c>
      <c r="E4105" s="16" t="str">
        <f>IFERROR(__xludf.DUMMYFUNCTION("""COMPUTED_VALUE"""),"радіоприймачі")</f>
        <v>радіоприймачі</v>
      </c>
      <c r="F4105" s="17">
        <f>IFERROR(__xludf.DUMMYFUNCTION("""COMPUTED_VALUE"""),3.0)</f>
        <v>3</v>
      </c>
      <c r="G4105" s="17" t="str">
        <f>IFERROR(__xludf.DUMMYFUNCTION("""COMPUTED_VALUE"""),"632")</f>
        <v>632</v>
      </c>
      <c r="H4105" s="17" t="str">
        <f>IFERROR(__xludf.DUMMYFUNCTION("""COMPUTED_VALUE"""),"радіоприймачі")</f>
        <v>радіоприймачі</v>
      </c>
      <c r="I4105" s="19">
        <f>IFERROR(__xludf.DUMMYFUNCTION("""COMPUTED_VALUE"""),0.081)</f>
        <v>0.081</v>
      </c>
      <c r="J4105" s="19">
        <f>IFERROR(__xludf.DUMMYFUNCTION("""COMPUTED_VALUE"""),0.162)</f>
        <v>0.162</v>
      </c>
      <c r="K4105" s="19">
        <f>IFERROR(__xludf.DUMMYFUNCTION("""COMPUTED_VALUE"""),0.2025)</f>
        <v>0.2025</v>
      </c>
      <c r="L4105" s="19">
        <f>IFERROR(__xludf.DUMMYFUNCTION("""COMPUTED_VALUE"""),0.243)</f>
        <v>0.243</v>
      </c>
      <c r="M4105" s="18">
        <f>IFERROR(__xludf.DUMMYFUNCTION("""COMPUTED_VALUE"""),1.63)</f>
        <v>1.63</v>
      </c>
    </row>
    <row r="4106">
      <c r="A4106" s="13" t="str">
        <f>IFERROR(__xludf.DUMMYFUNCTION("""COMPUTED_VALUE"""),"товари")</f>
        <v>товари</v>
      </c>
      <c r="B4106" s="16" t="str">
        <f>IFERROR(__xludf.DUMMYFUNCTION("""COMPUTED_VALUE"""),"техніка та електроніка")</f>
        <v>техніка та електроніка</v>
      </c>
      <c r="C4106" s="16" t="str">
        <f>IFERROR(__xludf.DUMMYFUNCTION("""COMPUTED_VALUE"""),"tv та відеотехніка")</f>
        <v>tv та відеотехніка</v>
      </c>
      <c r="D4106" s="16" t="str">
        <f>IFERROR(__xludf.DUMMYFUNCTION("""COMPUTED_VALUE"""),"супутникове, кабельне телебачення")</f>
        <v>супутникове, кабельне телебачення</v>
      </c>
      <c r="E4106" s="16" t="str">
        <f>IFERROR(__xludf.DUMMYFUNCTION("""COMPUTED_VALUE"""),"ресивери цифрового телебачення")</f>
        <v>ресивери цифрового телебачення</v>
      </c>
      <c r="F4106" s="17">
        <f>IFERROR(__xludf.DUMMYFUNCTION("""COMPUTED_VALUE"""),4.0)</f>
        <v>4</v>
      </c>
      <c r="G4106" s="17" t="str">
        <f>IFERROR(__xludf.DUMMYFUNCTION("""COMPUTED_VALUE"""),"6370603")</f>
        <v>6370603</v>
      </c>
      <c r="H4106" s="17" t="str">
        <f>IFERROR(__xludf.DUMMYFUNCTION("""COMPUTED_VALUE"""),"ресивери цифрового телебачення")</f>
        <v>ресивери цифрового телебачення</v>
      </c>
      <c r="I4106" s="19">
        <f>IFERROR(__xludf.DUMMYFUNCTION("""COMPUTED_VALUE"""),0.0972)</f>
        <v>0.0972</v>
      </c>
      <c r="J4106" s="19">
        <f>IFERROR(__xludf.DUMMYFUNCTION("""COMPUTED_VALUE"""),0.1943)</f>
        <v>0.1943</v>
      </c>
      <c r="K4106" s="19">
        <f>IFERROR(__xludf.DUMMYFUNCTION("""COMPUTED_VALUE"""),0.2429)</f>
        <v>0.2429</v>
      </c>
      <c r="L4106" s="19">
        <f>IFERROR(__xludf.DUMMYFUNCTION("""COMPUTED_VALUE"""),0.2915)</f>
        <v>0.2915</v>
      </c>
      <c r="M4106" s="18">
        <f>IFERROR(__xludf.DUMMYFUNCTION("""COMPUTED_VALUE"""),1.53)</f>
        <v>1.53</v>
      </c>
    </row>
    <row r="4107">
      <c r="A4107" s="13" t="str">
        <f>IFERROR(__xludf.DUMMYFUNCTION("""COMPUTED_VALUE"""),"товари")</f>
        <v>товари</v>
      </c>
      <c r="B4107" s="16" t="str">
        <f>IFERROR(__xludf.DUMMYFUNCTION("""COMPUTED_VALUE"""),"техніка та електроніка")</f>
        <v>техніка та електроніка</v>
      </c>
      <c r="C4107" s="16" t="str">
        <f>IFERROR(__xludf.DUMMYFUNCTION("""COMPUTED_VALUE"""),"фото-, відеокамери та аксесуари")</f>
        <v>фото-, відеокамери та аксесуари</v>
      </c>
      <c r="D4107" s="16" t="str">
        <f>IFERROR(__xludf.DUMMYFUNCTION("""COMPUTED_VALUE"""),"студійне обладнання")</f>
        <v>студійне обладнання</v>
      </c>
      <c r="E4107" s="16" t="str">
        <f>IFERROR(__xludf.DUMMYFUNCTION("""COMPUTED_VALUE"""),"рефлектори та стільники")</f>
        <v>рефлектори та стільники</v>
      </c>
      <c r="F4107" s="17">
        <f>IFERROR(__xludf.DUMMYFUNCTION("""COMPUTED_VALUE"""),4.0)</f>
        <v>4</v>
      </c>
      <c r="G4107" s="17" t="str">
        <f>IFERROR(__xludf.DUMMYFUNCTION("""COMPUTED_VALUE"""),"500413")</f>
        <v>500413</v>
      </c>
      <c r="H4107" s="17" t="str">
        <f>IFERROR(__xludf.DUMMYFUNCTION("""COMPUTED_VALUE"""),"рефлектори та стільники")</f>
        <v>рефлектори та стільники</v>
      </c>
      <c r="I4107" s="19">
        <f>IFERROR(__xludf.DUMMYFUNCTION("""COMPUTED_VALUE"""),0.0985)</f>
        <v>0.0985</v>
      </c>
      <c r="J4107" s="19">
        <f>IFERROR(__xludf.DUMMYFUNCTION("""COMPUTED_VALUE"""),0.1969)</f>
        <v>0.1969</v>
      </c>
      <c r="K4107" s="19">
        <f>IFERROR(__xludf.DUMMYFUNCTION("""COMPUTED_VALUE"""),0.2461)</f>
        <v>0.2461</v>
      </c>
      <c r="L4107" s="19">
        <f>IFERROR(__xludf.DUMMYFUNCTION("""COMPUTED_VALUE"""),0.2954)</f>
        <v>0.2954</v>
      </c>
      <c r="M4107" s="18">
        <f>IFERROR(__xludf.DUMMYFUNCTION("""COMPUTED_VALUE"""),2.7)</f>
        <v>2.7</v>
      </c>
    </row>
    <row r="4108">
      <c r="A4108" s="13" t="str">
        <f>IFERROR(__xludf.DUMMYFUNCTION("""COMPUTED_VALUE"""),"товари")</f>
        <v>товари</v>
      </c>
      <c r="B4108" s="16" t="str">
        <f>IFERROR(__xludf.DUMMYFUNCTION("""COMPUTED_VALUE"""),"техніка та електроніка")</f>
        <v>техніка та електроніка</v>
      </c>
      <c r="C4108" s="16" t="str">
        <f>IFERROR(__xludf.DUMMYFUNCTION("""COMPUTED_VALUE"""),"побутова техніка")</f>
        <v>побутова техніка</v>
      </c>
      <c r="D4108" s="16" t="str">
        <f>IFERROR(__xludf.DUMMYFUNCTION("""COMPUTED_VALUE"""),"побутова техніка для дому")</f>
        <v>побутова техніка для дому</v>
      </c>
      <c r="E4108" s="16" t="str">
        <f>IFERROR(__xludf.DUMMYFUNCTION("""COMPUTED_VALUE"""),"роботи для миття вікон")</f>
        <v>роботи для миття вікон</v>
      </c>
      <c r="F4108" s="17">
        <f>IFERROR(__xludf.DUMMYFUNCTION("""COMPUTED_VALUE"""),4.0)</f>
        <v>4</v>
      </c>
      <c r="G4108" s="17" t="str">
        <f>IFERROR(__xludf.DUMMYFUNCTION("""COMPUTED_VALUE"""),"14200312")</f>
        <v>14200312</v>
      </c>
      <c r="H4108" s="17" t="str">
        <f>IFERROR(__xludf.DUMMYFUNCTION("""COMPUTED_VALUE"""),"роботи для миття вікон")</f>
        <v>роботи для миття вікон</v>
      </c>
      <c r="I4108" s="19">
        <f>IFERROR(__xludf.DUMMYFUNCTION("""COMPUTED_VALUE"""),0.0722)</f>
        <v>0.0722</v>
      </c>
      <c r="J4108" s="19">
        <f>IFERROR(__xludf.DUMMYFUNCTION("""COMPUTED_VALUE"""),0.1444)</f>
        <v>0.1444</v>
      </c>
      <c r="K4108" s="19">
        <f>IFERROR(__xludf.DUMMYFUNCTION("""COMPUTED_VALUE"""),0.1805)</f>
        <v>0.1805</v>
      </c>
      <c r="L4108" s="19">
        <f>IFERROR(__xludf.DUMMYFUNCTION("""COMPUTED_VALUE"""),0.2166)</f>
        <v>0.2166</v>
      </c>
      <c r="M4108" s="18">
        <f>IFERROR(__xludf.DUMMYFUNCTION("""COMPUTED_VALUE"""),3.06)</f>
        <v>3.06</v>
      </c>
    </row>
    <row r="4109">
      <c r="A4109" s="13" t="str">
        <f>IFERROR(__xludf.DUMMYFUNCTION("""COMPUTED_VALUE"""),"товари")</f>
        <v>товари</v>
      </c>
      <c r="B4109" s="16" t="str">
        <f>IFERROR(__xludf.DUMMYFUNCTION("""COMPUTED_VALUE"""),"техніка та електроніка")</f>
        <v>техніка та електроніка</v>
      </c>
      <c r="C4109" s="16" t="str">
        <f>IFERROR(__xludf.DUMMYFUNCTION("""COMPUTED_VALUE"""),"побутова техніка")</f>
        <v>побутова техніка</v>
      </c>
      <c r="D4109" s="16" t="str">
        <f>IFERROR(__xludf.DUMMYFUNCTION("""COMPUTED_VALUE"""),"побутова техніка для дому")</f>
        <v>побутова техніка для дому</v>
      </c>
      <c r="E4109" s="16" t="str">
        <f>IFERROR(__xludf.DUMMYFUNCTION("""COMPUTED_VALUE"""),"роботи-пилососи")</f>
        <v>роботи-пилососи</v>
      </c>
      <c r="F4109" s="17">
        <f>IFERROR(__xludf.DUMMYFUNCTION("""COMPUTED_VALUE"""),4.0)</f>
        <v>4</v>
      </c>
      <c r="G4109" s="17" t="str">
        <f>IFERROR(__xludf.DUMMYFUNCTION("""COMPUTED_VALUE"""),"63023")</f>
        <v>63023</v>
      </c>
      <c r="H4109" s="17" t="str">
        <f>IFERROR(__xludf.DUMMYFUNCTION("""COMPUTED_VALUE"""),"роботи-пилососи")</f>
        <v>роботи-пилососи</v>
      </c>
      <c r="I4109" s="19">
        <f>IFERROR(__xludf.DUMMYFUNCTION("""COMPUTED_VALUE"""),0.0642)</f>
        <v>0.0642</v>
      </c>
      <c r="J4109" s="19">
        <f>IFERROR(__xludf.DUMMYFUNCTION("""COMPUTED_VALUE"""),0.1283)</f>
        <v>0.1283</v>
      </c>
      <c r="K4109" s="19">
        <f>IFERROR(__xludf.DUMMYFUNCTION("""COMPUTED_VALUE"""),0.1604)</f>
        <v>0.1604</v>
      </c>
      <c r="L4109" s="19">
        <f>IFERROR(__xludf.DUMMYFUNCTION("""COMPUTED_VALUE"""),0.1925)</f>
        <v>0.1925</v>
      </c>
      <c r="M4109" s="18">
        <f>IFERROR(__xludf.DUMMYFUNCTION("""COMPUTED_VALUE"""),3.06)</f>
        <v>3.06</v>
      </c>
    </row>
    <row r="4110">
      <c r="A4110" s="13" t="str">
        <f>IFERROR(__xludf.DUMMYFUNCTION("""COMPUTED_VALUE"""),"товари")</f>
        <v>товари</v>
      </c>
      <c r="B4110" s="16" t="str">
        <f>IFERROR(__xludf.DUMMYFUNCTION("""COMPUTED_VALUE"""),"техніка та електроніка")</f>
        <v>техніка та електроніка</v>
      </c>
      <c r="C4110" s="16" t="str">
        <f>IFERROR(__xludf.DUMMYFUNCTION("""COMPUTED_VALUE"""),"бездротовий зв'язок")</f>
        <v>бездротовий зв'язок</v>
      </c>
      <c r="D4110" s="16" t="str">
        <f>IFERROR(__xludf.DUMMYFUNCTION("""COMPUTED_VALUE"""),"роутери")</f>
        <v>роутери</v>
      </c>
      <c r="E4110" s="16" t="str">
        <f>IFERROR(__xludf.DUMMYFUNCTION("""COMPUTED_VALUE"""),"роутери")</f>
        <v>роутери</v>
      </c>
      <c r="F4110" s="17">
        <f>IFERROR(__xludf.DUMMYFUNCTION("""COMPUTED_VALUE"""),3.0)</f>
        <v>3</v>
      </c>
      <c r="G4110" s="17" t="str">
        <f>IFERROR(__xludf.DUMMYFUNCTION("""COMPUTED_VALUE"""),"71902")</f>
        <v>71902</v>
      </c>
      <c r="H4110" s="17" t="str">
        <f>IFERROR(__xludf.DUMMYFUNCTION("""COMPUTED_VALUE"""),"роутери")</f>
        <v>роутери</v>
      </c>
      <c r="I4110" s="19">
        <f>IFERROR(__xludf.DUMMYFUNCTION("""COMPUTED_VALUE"""),0.0475)</f>
        <v>0.0475</v>
      </c>
      <c r="J4110" s="19">
        <f>IFERROR(__xludf.DUMMYFUNCTION("""COMPUTED_VALUE"""),0.095)</f>
        <v>0.095</v>
      </c>
      <c r="K4110" s="19">
        <f>IFERROR(__xludf.DUMMYFUNCTION("""COMPUTED_VALUE"""),0.1188)</f>
        <v>0.1188</v>
      </c>
      <c r="L4110" s="19">
        <f>IFERROR(__xludf.DUMMYFUNCTION("""COMPUTED_VALUE"""),0.1425)</f>
        <v>0.1425</v>
      </c>
      <c r="M4110" s="18">
        <f>IFERROR(__xludf.DUMMYFUNCTION("""COMPUTED_VALUE"""),3.06)</f>
        <v>3.06</v>
      </c>
    </row>
    <row r="4111">
      <c r="A4111" s="13" t="str">
        <f>IFERROR(__xludf.DUMMYFUNCTION("""COMPUTED_VALUE"""),"товари")</f>
        <v>товари</v>
      </c>
      <c r="B4111" s="16" t="str">
        <f>IFERROR(__xludf.DUMMYFUNCTION("""COMPUTED_VALUE"""),"техніка та електроніка")</f>
        <v>техніка та електроніка</v>
      </c>
      <c r="C4111" s="16" t="str">
        <f>IFERROR(__xludf.DUMMYFUNCTION("""COMPUTED_VALUE"""),"побутова техніка")</f>
        <v>побутова техніка</v>
      </c>
      <c r="D4111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111" s="16" t="str">
        <f>IFERROR(__xludf.DUMMYFUNCTION("""COMPUTED_VALUE"""),"сауни для обличчя")</f>
        <v>сауни для обличчя</v>
      </c>
      <c r="F4111" s="17">
        <f>IFERROR(__xludf.DUMMYFUNCTION("""COMPUTED_VALUE"""),4.0)</f>
        <v>4</v>
      </c>
      <c r="G4111" s="17" t="str">
        <f>IFERROR(__xludf.DUMMYFUNCTION("""COMPUTED_VALUE"""),"63307")</f>
        <v>63307</v>
      </c>
      <c r="H4111" s="17" t="str">
        <f>IFERROR(__xludf.DUMMYFUNCTION("""COMPUTED_VALUE"""),"сауни для обличчя")</f>
        <v>сауни для обличчя</v>
      </c>
      <c r="I4111" s="19">
        <f>IFERROR(__xludf.DUMMYFUNCTION("""COMPUTED_VALUE"""),0.0732)</f>
        <v>0.0732</v>
      </c>
      <c r="J4111" s="19">
        <f>IFERROR(__xludf.DUMMYFUNCTION("""COMPUTED_VALUE"""),0.1463)</f>
        <v>0.1463</v>
      </c>
      <c r="K4111" s="19">
        <f>IFERROR(__xludf.DUMMYFUNCTION("""COMPUTED_VALUE"""),0.1829)</f>
        <v>0.1829</v>
      </c>
      <c r="L4111" s="19">
        <f>IFERROR(__xludf.DUMMYFUNCTION("""COMPUTED_VALUE"""),0.2195)</f>
        <v>0.2195</v>
      </c>
      <c r="M4111" s="18">
        <f>IFERROR(__xludf.DUMMYFUNCTION("""COMPUTED_VALUE"""),4.05)</f>
        <v>4.05</v>
      </c>
    </row>
    <row r="4112">
      <c r="A4112" s="13" t="str">
        <f>IFERROR(__xludf.DUMMYFUNCTION("""COMPUTED_VALUE"""),"товари")</f>
        <v>товари</v>
      </c>
      <c r="B4112" s="16" t="str">
        <f>IFERROR(__xludf.DUMMYFUNCTION("""COMPUTED_VALUE"""),"техніка та електроніка")</f>
        <v>техніка та електроніка</v>
      </c>
      <c r="C4112" s="16" t="str">
        <f>IFERROR(__xludf.DUMMYFUNCTION("""COMPUTED_VALUE"""),"фото-, відеокамери та аксесуари")</f>
        <v>фото-, відеокамери та аксесуари</v>
      </c>
      <c r="D4112" s="16" t="str">
        <f>IFERROR(__xludf.DUMMYFUNCTION("""COMPUTED_VALUE"""),"аксесуари для фото-, відеокамер")</f>
        <v>аксесуари для фото-, відеокамер</v>
      </c>
      <c r="E4112" s="16" t="str">
        <f>IFERROR(__xludf.DUMMYFUNCTION("""COMPUTED_VALUE"""),"світлофільтри")</f>
        <v>світлофільтри</v>
      </c>
      <c r="F4112" s="17">
        <f>IFERROR(__xludf.DUMMYFUNCTION("""COMPUTED_VALUE"""),4.0)</f>
        <v>4</v>
      </c>
      <c r="G4112" s="17" t="str">
        <f>IFERROR(__xludf.DUMMYFUNCTION("""COMPUTED_VALUE"""),"6372007")</f>
        <v>6372007</v>
      </c>
      <c r="H4112" s="17" t="str">
        <f>IFERROR(__xludf.DUMMYFUNCTION("""COMPUTED_VALUE"""),"світлофільтри")</f>
        <v>світлофільтри</v>
      </c>
      <c r="I4112" s="19">
        <f>IFERROR(__xludf.DUMMYFUNCTION("""COMPUTED_VALUE"""),0.0968)</f>
        <v>0.0968</v>
      </c>
      <c r="J4112" s="19">
        <f>IFERROR(__xludf.DUMMYFUNCTION("""COMPUTED_VALUE"""),0.1935)</f>
        <v>0.1935</v>
      </c>
      <c r="K4112" s="19">
        <f>IFERROR(__xludf.DUMMYFUNCTION("""COMPUTED_VALUE"""),0.2419)</f>
        <v>0.2419</v>
      </c>
      <c r="L4112" s="19">
        <f>IFERROR(__xludf.DUMMYFUNCTION("""COMPUTED_VALUE"""),0.2903)</f>
        <v>0.2903</v>
      </c>
      <c r="M4112" s="18">
        <f>IFERROR(__xludf.DUMMYFUNCTION("""COMPUTED_VALUE"""),1.98)</f>
        <v>1.98</v>
      </c>
    </row>
    <row r="4113">
      <c r="A4113" s="13" t="str">
        <f>IFERROR(__xludf.DUMMYFUNCTION("""COMPUTED_VALUE"""),"товари")</f>
        <v>товари</v>
      </c>
      <c r="B4113" s="16" t="str">
        <f>IFERROR(__xludf.DUMMYFUNCTION("""COMPUTED_VALUE"""),"техніка та електроніка")</f>
        <v>техніка та електроніка</v>
      </c>
      <c r="C4113" s="16" t="str">
        <f>IFERROR(__xludf.DUMMYFUNCTION("""COMPUTED_VALUE"""),"фото-, відеокамери та аксесуари")</f>
        <v>фото-, відеокамери та аксесуари</v>
      </c>
      <c r="D4113" s="16" t="str">
        <f>IFERROR(__xludf.DUMMYFUNCTION("""COMPUTED_VALUE"""),"аксесуари для фото-, відеокамер")</f>
        <v>аксесуари для фото-, відеокамер</v>
      </c>
      <c r="E4113" s="16" t="str">
        <f>IFERROR(__xludf.DUMMYFUNCTION("""COMPUTED_VALUE"""),"синхронізатори та пульти")</f>
        <v>синхронізатори та пульти</v>
      </c>
      <c r="F4113" s="17">
        <f>IFERROR(__xludf.DUMMYFUNCTION("""COMPUTED_VALUE"""),4.0)</f>
        <v>4</v>
      </c>
      <c r="G4113" s="17" t="str">
        <f>IFERROR(__xludf.DUMMYFUNCTION("""COMPUTED_VALUE"""),"6372022")</f>
        <v>6372022</v>
      </c>
      <c r="H4113" s="17" t="str">
        <f>IFERROR(__xludf.DUMMYFUNCTION("""COMPUTED_VALUE"""),"синхронізатори та пульти")</f>
        <v>синхронізатори та пульти</v>
      </c>
      <c r="I4113" s="19">
        <f>IFERROR(__xludf.DUMMYFUNCTION("""COMPUTED_VALUE"""),0.0984)</f>
        <v>0.0984</v>
      </c>
      <c r="J4113" s="19">
        <f>IFERROR(__xludf.DUMMYFUNCTION("""COMPUTED_VALUE"""),0.1967)</f>
        <v>0.1967</v>
      </c>
      <c r="K4113" s="19">
        <f>IFERROR(__xludf.DUMMYFUNCTION("""COMPUTED_VALUE"""),0.2459)</f>
        <v>0.2459</v>
      </c>
      <c r="L4113" s="19">
        <f>IFERROR(__xludf.DUMMYFUNCTION("""COMPUTED_VALUE"""),0.2951)</f>
        <v>0.2951</v>
      </c>
      <c r="M4113" s="18">
        <f>IFERROR(__xludf.DUMMYFUNCTION("""COMPUTED_VALUE"""),1.98)</f>
        <v>1.98</v>
      </c>
    </row>
    <row r="4114">
      <c r="A4114" s="13" t="str">
        <f>IFERROR(__xludf.DUMMYFUNCTION("""COMPUTED_VALUE"""),"товари")</f>
        <v>товари</v>
      </c>
      <c r="B4114" s="16" t="str">
        <f>IFERROR(__xludf.DUMMYFUNCTION("""COMPUTED_VALUE"""),"техніка та електроніка")</f>
        <v>техніка та електроніка</v>
      </c>
      <c r="C4114" s="16" t="str">
        <f>IFERROR(__xludf.DUMMYFUNCTION("""COMPUTED_VALUE"""),"комп'ютерна техніка та пз")</f>
        <v>комп'ютерна техніка та пз</v>
      </c>
      <c r="D4114" s="16" t="str">
        <f>IFERROR(__xludf.DUMMYFUNCTION("""COMPUTED_VALUE"""),"принтери, сканери, бфп та комплектуючі")</f>
        <v>принтери, сканери, бфп та комплектуючі</v>
      </c>
      <c r="E4114" s="16" t="str">
        <f>IFERROR(__xludf.DUMMYFUNCTION("""COMPUTED_VALUE"""),"система безперервної подачі чорнила")</f>
        <v>система безперервної подачі чорнила</v>
      </c>
      <c r="F4114" s="17">
        <f>IFERROR(__xludf.DUMMYFUNCTION("""COMPUTED_VALUE"""),4.0)</f>
        <v>4</v>
      </c>
      <c r="G4114" s="17" t="str">
        <f>IFERROR(__xludf.DUMMYFUNCTION("""COMPUTED_VALUE"""),"71004")</f>
        <v>71004</v>
      </c>
      <c r="H4114" s="17" t="str">
        <f>IFERROR(__xludf.DUMMYFUNCTION("""COMPUTED_VALUE"""),"система безперервної подачі чорнила")</f>
        <v>система безперервної подачі чорнила</v>
      </c>
      <c r="I4114" s="19">
        <f>IFERROR(__xludf.DUMMYFUNCTION("""COMPUTED_VALUE"""),0.059)</f>
        <v>0.059</v>
      </c>
      <c r="J4114" s="19">
        <f>IFERROR(__xludf.DUMMYFUNCTION("""COMPUTED_VALUE"""),0.118)</f>
        <v>0.118</v>
      </c>
      <c r="K4114" s="19">
        <f>IFERROR(__xludf.DUMMYFUNCTION("""COMPUTED_VALUE"""),0.1475)</f>
        <v>0.1475</v>
      </c>
      <c r="L4114" s="19">
        <f>IFERROR(__xludf.DUMMYFUNCTION("""COMPUTED_VALUE"""),0.177)</f>
        <v>0.177</v>
      </c>
      <c r="M4114" s="18">
        <f>IFERROR(__xludf.DUMMYFUNCTION("""COMPUTED_VALUE"""),4.23)</f>
        <v>4.23</v>
      </c>
    </row>
    <row r="4115">
      <c r="A4115" s="13" t="str">
        <f>IFERROR(__xludf.DUMMYFUNCTION("""COMPUTED_VALUE"""),"товари")</f>
        <v>товари</v>
      </c>
      <c r="B4115" s="16" t="str">
        <f>IFERROR(__xludf.DUMMYFUNCTION("""COMPUTED_VALUE"""),"техніка та електроніка")</f>
        <v>техніка та електроніка</v>
      </c>
      <c r="C4115" s="16" t="str">
        <f>IFERROR(__xludf.DUMMYFUNCTION("""COMPUTED_VALUE"""),"комп'ютерна техніка та пз")</f>
        <v>комп'ютерна техніка та пз</v>
      </c>
      <c r="D4115" s="16" t="str">
        <f>IFERROR(__xludf.DUMMYFUNCTION("""COMPUTED_VALUE"""),"програмне забезпечення (пз)")</f>
        <v>програмне забезпечення (пз)</v>
      </c>
      <c r="E4115" s="16" t="str">
        <f>IFERROR(__xludf.DUMMYFUNCTION("""COMPUTED_VALUE"""),"системи програмування, субд")</f>
        <v>системи програмування, субд</v>
      </c>
      <c r="F4115" s="17">
        <f>IFERROR(__xludf.DUMMYFUNCTION("""COMPUTED_VALUE"""),4.0)</f>
        <v>4</v>
      </c>
      <c r="G4115" s="17" t="str">
        <f>IFERROR(__xludf.DUMMYFUNCTION("""COMPUTED_VALUE"""),"28420314")</f>
        <v>28420314</v>
      </c>
      <c r="H4115" s="17" t="str">
        <f>IFERROR(__xludf.DUMMYFUNCTION("""COMPUTED_VALUE"""),"системи програмування, субд")</f>
        <v>системи програмування, субд</v>
      </c>
      <c r="I4115" s="19">
        <f>IFERROR(__xludf.DUMMYFUNCTION("""COMPUTED_VALUE"""),0.0711)</f>
        <v>0.0711</v>
      </c>
      <c r="J4115" s="19">
        <f>IFERROR(__xludf.DUMMYFUNCTION("""COMPUTED_VALUE"""),0.1422)</f>
        <v>0.1422</v>
      </c>
      <c r="K4115" s="19">
        <f>IFERROR(__xludf.DUMMYFUNCTION("""COMPUTED_VALUE"""),0.1778)</f>
        <v>0.1778</v>
      </c>
      <c r="L4115" s="19">
        <f>IFERROR(__xludf.DUMMYFUNCTION("""COMPUTED_VALUE"""),0.2133)</f>
        <v>0.2133</v>
      </c>
      <c r="M4115" s="18">
        <f>IFERROR(__xludf.DUMMYFUNCTION("""COMPUTED_VALUE"""),3.96)</f>
        <v>3.96</v>
      </c>
    </row>
    <row r="4116">
      <c r="A4116" s="13" t="str">
        <f>IFERROR(__xludf.DUMMYFUNCTION("""COMPUTED_VALUE"""),"товари")</f>
        <v>товари</v>
      </c>
      <c r="B4116" s="16" t="str">
        <f>IFERROR(__xludf.DUMMYFUNCTION("""COMPUTED_VALUE"""),"техніка та електроніка")</f>
        <v>техніка та електроніка</v>
      </c>
      <c r="C4116" s="16" t="str">
        <f>IFERROR(__xludf.DUMMYFUNCTION("""COMPUTED_VALUE"""),"побутова техніка")</f>
        <v>побутова техніка</v>
      </c>
      <c r="D4116" s="16" t="str">
        <f>IFERROR(__xludf.DUMMYFUNCTION("""COMPUTED_VALUE"""),"дрібна побутова техніка для кухні")</f>
        <v>дрібна побутова техніка для кухні</v>
      </c>
      <c r="E4116" s="16" t="str">
        <f>IFERROR(__xludf.DUMMYFUNCTION("""COMPUTED_VALUE"""),"скиборізки")</f>
        <v>скиборізки</v>
      </c>
      <c r="F4116" s="17">
        <f>IFERROR(__xludf.DUMMYFUNCTION("""COMPUTED_VALUE"""),4.0)</f>
        <v>4</v>
      </c>
      <c r="G4116" s="17" t="str">
        <f>IFERROR(__xludf.DUMMYFUNCTION("""COMPUTED_VALUE"""),"63003")</f>
        <v>63003</v>
      </c>
      <c r="H4116" s="17" t="str">
        <f>IFERROR(__xludf.DUMMYFUNCTION("""COMPUTED_VALUE"""),"скиборізки")</f>
        <v>скиборізки</v>
      </c>
      <c r="I4116" s="19">
        <f>IFERROR(__xludf.DUMMYFUNCTION("""COMPUTED_VALUE"""),0.0763)</f>
        <v>0.0763</v>
      </c>
      <c r="J4116" s="19">
        <f>IFERROR(__xludf.DUMMYFUNCTION("""COMPUTED_VALUE"""),0.1525)</f>
        <v>0.1525</v>
      </c>
      <c r="K4116" s="19">
        <f>IFERROR(__xludf.DUMMYFUNCTION("""COMPUTED_VALUE"""),0.1906)</f>
        <v>0.1906</v>
      </c>
      <c r="L4116" s="19">
        <f>IFERROR(__xludf.DUMMYFUNCTION("""COMPUTED_VALUE"""),0.2288)</f>
        <v>0.2288</v>
      </c>
      <c r="M4116" s="18">
        <f>IFERROR(__xludf.DUMMYFUNCTION("""COMPUTED_VALUE"""),3.06)</f>
        <v>3.06</v>
      </c>
    </row>
    <row r="4117">
      <c r="A4117" s="13" t="str">
        <f>IFERROR(__xludf.DUMMYFUNCTION("""COMPUTED_VALUE"""),"товари")</f>
        <v>товари</v>
      </c>
      <c r="B4117" s="16" t="str">
        <f>IFERROR(__xludf.DUMMYFUNCTION("""COMPUTED_VALUE"""),"техніка та електроніка")</f>
        <v>техніка та електроніка</v>
      </c>
      <c r="C4117" s="16" t="str">
        <f>IFERROR(__xludf.DUMMYFUNCTION("""COMPUTED_VALUE"""),"телефони та аксесуари")</f>
        <v>телефони та аксесуари</v>
      </c>
      <c r="D4117" s="16" t="str">
        <f>IFERROR(__xludf.DUMMYFUNCTION("""COMPUTED_VALUE"""),"смарт-годинники ")</f>
        <v>смарт-годинники </v>
      </c>
      <c r="E4117" s="16" t="str">
        <f>IFERROR(__xludf.DUMMYFUNCTION("""COMPUTED_VALUE"""),"смарт-годинники ")</f>
        <v>смарт-годинники </v>
      </c>
      <c r="F4117" s="17">
        <f>IFERROR(__xludf.DUMMYFUNCTION("""COMPUTED_VALUE"""),3.0)</f>
        <v>3</v>
      </c>
      <c r="G4117" s="17" t="str">
        <f>IFERROR(__xludf.DUMMYFUNCTION("""COMPUTED_VALUE"""),"721")</f>
        <v>721</v>
      </c>
      <c r="H4117" s="17" t="str">
        <f>IFERROR(__xludf.DUMMYFUNCTION("""COMPUTED_VALUE"""),"смарт-годинники ")</f>
        <v>смарт-годинники </v>
      </c>
      <c r="I4117" s="19">
        <f>IFERROR(__xludf.DUMMYFUNCTION("""COMPUTED_VALUE"""),0.075)</f>
        <v>0.075</v>
      </c>
      <c r="J4117" s="19">
        <f>IFERROR(__xludf.DUMMYFUNCTION("""COMPUTED_VALUE"""),0.15)</f>
        <v>0.15</v>
      </c>
      <c r="K4117" s="19">
        <f>IFERROR(__xludf.DUMMYFUNCTION("""COMPUTED_VALUE"""),0.1875)</f>
        <v>0.1875</v>
      </c>
      <c r="L4117" s="19">
        <f>IFERROR(__xludf.DUMMYFUNCTION("""COMPUTED_VALUE"""),0.225)</f>
        <v>0.225</v>
      </c>
      <c r="M4117" s="18">
        <f>IFERROR(__xludf.DUMMYFUNCTION("""COMPUTED_VALUE"""),3.15)</f>
        <v>3.15</v>
      </c>
    </row>
    <row r="4118">
      <c r="A4118" s="13" t="str">
        <f>IFERROR(__xludf.DUMMYFUNCTION("""COMPUTED_VALUE"""),"товари")</f>
        <v>товари</v>
      </c>
      <c r="B4118" s="16" t="str">
        <f>IFERROR(__xludf.DUMMYFUNCTION("""COMPUTED_VALUE"""),"техніка та електроніка")</f>
        <v>техніка та електроніка</v>
      </c>
      <c r="C4118" s="16" t="str">
        <f>IFERROR(__xludf.DUMMYFUNCTION("""COMPUTED_VALUE"""),"телефони та аксесуари")</f>
        <v>телефони та аксесуари</v>
      </c>
      <c r="D4118" s="16" t="str">
        <f>IFERROR(__xludf.DUMMYFUNCTION("""COMPUTED_VALUE"""),"смартфони та мобільні телефони")</f>
        <v>смартфони та мобільні телефони</v>
      </c>
      <c r="E4118" s="16" t="str">
        <f>IFERROR(__xludf.DUMMYFUNCTION("""COMPUTED_VALUE"""),"смартфони та мобільні телефони")</f>
        <v>смартфони та мобільні телефони</v>
      </c>
      <c r="F4118" s="17">
        <f>IFERROR(__xludf.DUMMYFUNCTION("""COMPUTED_VALUE"""),3.0)</f>
        <v>3</v>
      </c>
      <c r="G4118" s="17" t="str">
        <f>IFERROR(__xludf.DUMMYFUNCTION("""COMPUTED_VALUE"""),"5090301")</f>
        <v>5090301</v>
      </c>
      <c r="H4118" s="17" t="str">
        <f>IFERROR(__xludf.DUMMYFUNCTION("""COMPUTED_VALUE"""),"смартфони та мобільні телефони")</f>
        <v>смартфони та мобільні телефони</v>
      </c>
      <c r="I4118" s="19">
        <f>IFERROR(__xludf.DUMMYFUNCTION("""COMPUTED_VALUE"""),0.0396)</f>
        <v>0.0396</v>
      </c>
      <c r="J4118" s="19">
        <f>IFERROR(__xludf.DUMMYFUNCTION("""COMPUTED_VALUE"""),0.0791)</f>
        <v>0.0791</v>
      </c>
      <c r="K4118" s="19">
        <f>IFERROR(__xludf.DUMMYFUNCTION("""COMPUTED_VALUE"""),0.0989)</f>
        <v>0.0989</v>
      </c>
      <c r="L4118" s="19">
        <f>IFERROR(__xludf.DUMMYFUNCTION("""COMPUTED_VALUE"""),0.1187)</f>
        <v>0.1187</v>
      </c>
      <c r="M4118" s="18">
        <f>IFERROR(__xludf.DUMMYFUNCTION("""COMPUTED_VALUE"""),2.16)</f>
        <v>2.16</v>
      </c>
    </row>
    <row r="4119">
      <c r="A4119" s="13" t="str">
        <f>IFERROR(__xludf.DUMMYFUNCTION("""COMPUTED_VALUE"""),"товари")</f>
        <v>товари</v>
      </c>
      <c r="B4119" s="16" t="str">
        <f>IFERROR(__xludf.DUMMYFUNCTION("""COMPUTED_VALUE"""),"техніка та електроніка")</f>
        <v>техніка та електроніка</v>
      </c>
      <c r="C4119" s="16" t="str">
        <f>IFERROR(__xludf.DUMMYFUNCTION("""COMPUTED_VALUE"""),"побутова техніка")</f>
        <v>побутова техніка</v>
      </c>
      <c r="D4119" s="16" t="str">
        <f>IFERROR(__xludf.DUMMYFUNCTION("""COMPUTED_VALUE"""),"дрібна побутова техніка для кухні")</f>
        <v>дрібна побутова техніка для кухні</v>
      </c>
      <c r="E4119" s="16" t="str">
        <f>IFERROR(__xludf.DUMMYFUNCTION("""COMPUTED_VALUE"""),"соковижималки")</f>
        <v>соковижималки</v>
      </c>
      <c r="F4119" s="17">
        <f>IFERROR(__xludf.DUMMYFUNCTION("""COMPUTED_VALUE"""),4.0)</f>
        <v>4</v>
      </c>
      <c r="G4119" s="17" t="str">
        <f>IFERROR(__xludf.DUMMYFUNCTION("""COMPUTED_VALUE"""),"611")</f>
        <v>611</v>
      </c>
      <c r="H4119" s="17" t="str">
        <f>IFERROR(__xludf.DUMMYFUNCTION("""COMPUTED_VALUE"""),"соковижималки")</f>
        <v>соковижималки</v>
      </c>
      <c r="I4119" s="19">
        <f>IFERROR(__xludf.DUMMYFUNCTION("""COMPUTED_VALUE"""),0.058)</f>
        <v>0.058</v>
      </c>
      <c r="J4119" s="19">
        <f>IFERROR(__xludf.DUMMYFUNCTION("""COMPUTED_VALUE"""),0.116)</f>
        <v>0.116</v>
      </c>
      <c r="K4119" s="19">
        <f>IFERROR(__xludf.DUMMYFUNCTION("""COMPUTED_VALUE"""),0.145)</f>
        <v>0.145</v>
      </c>
      <c r="L4119" s="19">
        <f>IFERROR(__xludf.DUMMYFUNCTION("""COMPUTED_VALUE"""),0.174)</f>
        <v>0.174</v>
      </c>
      <c r="M4119" s="18">
        <f>IFERROR(__xludf.DUMMYFUNCTION("""COMPUTED_VALUE"""),3.06)</f>
        <v>3.06</v>
      </c>
    </row>
    <row r="4120">
      <c r="A4120" s="13" t="str">
        <f>IFERROR(__xludf.DUMMYFUNCTION("""COMPUTED_VALUE"""),"товари")</f>
        <v>товари</v>
      </c>
      <c r="B4120" s="16" t="str">
        <f>IFERROR(__xludf.DUMMYFUNCTION("""COMPUTED_VALUE"""),"техніка та електроніка")</f>
        <v>техніка та електроніка</v>
      </c>
      <c r="C4120" s="16" t="str">
        <f>IFERROR(__xludf.DUMMYFUNCTION("""COMPUTED_VALUE"""),"фото-, відеокамери та аксесуари")</f>
        <v>фото-, відеокамери та аксесуари</v>
      </c>
      <c r="D4120" s="16" t="str">
        <f>IFERROR(__xludf.DUMMYFUNCTION("""COMPUTED_VALUE"""),"студійне обладнання")</f>
        <v>студійне обладнання</v>
      </c>
      <c r="E4120" s="16" t="str">
        <f>IFERROR(__xludf.DUMMYFUNCTION("""COMPUTED_VALUE"""),"софтбокси та парасолі")</f>
        <v>софтбокси та парасолі</v>
      </c>
      <c r="F4120" s="17">
        <f>IFERROR(__xludf.DUMMYFUNCTION("""COMPUTED_VALUE"""),4.0)</f>
        <v>4</v>
      </c>
      <c r="G4120" s="17" t="str">
        <f>IFERROR(__xludf.DUMMYFUNCTION("""COMPUTED_VALUE"""),"500409")</f>
        <v>500409</v>
      </c>
      <c r="H4120" s="17" t="str">
        <f>IFERROR(__xludf.DUMMYFUNCTION("""COMPUTED_VALUE"""),"софтбокси та парасолі")</f>
        <v>софтбокси та парасолі</v>
      </c>
      <c r="I4120" s="19">
        <f>IFERROR(__xludf.DUMMYFUNCTION("""COMPUTED_VALUE"""),0.0983)</f>
        <v>0.0983</v>
      </c>
      <c r="J4120" s="19">
        <f>IFERROR(__xludf.DUMMYFUNCTION("""COMPUTED_VALUE"""),0.1966)</f>
        <v>0.1966</v>
      </c>
      <c r="K4120" s="19">
        <f>IFERROR(__xludf.DUMMYFUNCTION("""COMPUTED_VALUE"""),0.2458)</f>
        <v>0.2458</v>
      </c>
      <c r="L4120" s="19">
        <f>IFERROR(__xludf.DUMMYFUNCTION("""COMPUTED_VALUE"""),0.2949)</f>
        <v>0.2949</v>
      </c>
      <c r="M4120" s="18">
        <f>IFERROR(__xludf.DUMMYFUNCTION("""COMPUTED_VALUE"""),2.7)</f>
        <v>2.7</v>
      </c>
    </row>
    <row r="4121">
      <c r="A4121" s="13" t="str">
        <f>IFERROR(__xludf.DUMMYFUNCTION("""COMPUTED_VALUE"""),"товари")</f>
        <v>товари</v>
      </c>
      <c r="B4121" s="16" t="str">
        <f>IFERROR(__xludf.DUMMYFUNCTION("""COMPUTED_VALUE"""),"техніка та електроніка")</f>
        <v>техніка та електроніка</v>
      </c>
      <c r="C4121" s="16" t="str">
        <f>IFERROR(__xludf.DUMMYFUNCTION("""COMPUTED_VALUE"""),"фото-, відеокамери та аксесуари")</f>
        <v>фото-, відеокамери та аксесуари</v>
      </c>
      <c r="D4121" s="16" t="str">
        <f>IFERROR(__xludf.DUMMYFUNCTION("""COMPUTED_VALUE"""),"аксесуари для фото-, відеокамер")</f>
        <v>аксесуари для фото-, відеокамер</v>
      </c>
      <c r="E4121" s="16" t="str">
        <f>IFERROR(__xludf.DUMMYFUNCTION("""COMPUTED_VALUE"""),"спалахи та накамерне світло")</f>
        <v>спалахи та накамерне світло</v>
      </c>
      <c r="F4121" s="17">
        <f>IFERROR(__xludf.DUMMYFUNCTION("""COMPUTED_VALUE"""),4.0)</f>
        <v>4</v>
      </c>
      <c r="G4121" s="17" t="str">
        <f>IFERROR(__xludf.DUMMYFUNCTION("""COMPUTED_VALUE"""),"39050101")</f>
        <v>39050101</v>
      </c>
      <c r="H4121" s="17" t="str">
        <f>IFERROR(__xludf.DUMMYFUNCTION("""COMPUTED_VALUE"""),"спалахи та накамерне світло")</f>
        <v>спалахи та накамерне світло</v>
      </c>
      <c r="I4121" s="19">
        <f>IFERROR(__xludf.DUMMYFUNCTION("""COMPUTED_VALUE"""),0.0968)</f>
        <v>0.0968</v>
      </c>
      <c r="J4121" s="19">
        <f>IFERROR(__xludf.DUMMYFUNCTION("""COMPUTED_VALUE"""),0.1935)</f>
        <v>0.1935</v>
      </c>
      <c r="K4121" s="19">
        <f>IFERROR(__xludf.DUMMYFUNCTION("""COMPUTED_VALUE"""),0.2419)</f>
        <v>0.2419</v>
      </c>
      <c r="L4121" s="19">
        <f>IFERROR(__xludf.DUMMYFUNCTION("""COMPUTED_VALUE"""),0.2903)</f>
        <v>0.2903</v>
      </c>
      <c r="M4121" s="18">
        <f>IFERROR(__xludf.DUMMYFUNCTION("""COMPUTED_VALUE"""),1.98)</f>
        <v>1.98</v>
      </c>
    </row>
    <row r="4122">
      <c r="A4122" s="13" t="str">
        <f>IFERROR(__xludf.DUMMYFUNCTION("""COMPUTED_VALUE"""),"товари")</f>
        <v>товари</v>
      </c>
      <c r="B4122" s="16" t="str">
        <f>IFERROR(__xludf.DUMMYFUNCTION("""COMPUTED_VALUE"""),"техніка та електроніка")</f>
        <v>техніка та електроніка</v>
      </c>
      <c r="C4122" s="16" t="str">
        <f>IFERROR(__xludf.DUMMYFUNCTION("""COMPUTED_VALUE"""),"побутова техніка")</f>
        <v>побутова техніка</v>
      </c>
      <c r="D4122" s="16" t="str">
        <f>IFERROR(__xludf.DUMMYFUNCTION("""COMPUTED_VALUE"""),"дрібна побутова техніка для кухні")</f>
        <v>дрібна побутова техніка для кухні</v>
      </c>
      <c r="E4122" s="16" t="str">
        <f>IFERROR(__xludf.DUMMYFUNCTION("""COMPUTED_VALUE"""),"спінювачі")</f>
        <v>спінювачі</v>
      </c>
      <c r="F4122" s="17">
        <f>IFERROR(__xludf.DUMMYFUNCTION("""COMPUTED_VALUE"""),4.0)</f>
        <v>4</v>
      </c>
      <c r="G4122" s="17" t="str">
        <f>IFERROR(__xludf.DUMMYFUNCTION("""COMPUTED_VALUE"""),"6300422")</f>
        <v>6300422</v>
      </c>
      <c r="H4122" s="17" t="str">
        <f>IFERROR(__xludf.DUMMYFUNCTION("""COMPUTED_VALUE"""),"спінювачі")</f>
        <v>спінювачі</v>
      </c>
      <c r="I4122" s="19">
        <f>IFERROR(__xludf.DUMMYFUNCTION("""COMPUTED_VALUE"""),0.0772)</f>
        <v>0.0772</v>
      </c>
      <c r="J4122" s="19">
        <f>IFERROR(__xludf.DUMMYFUNCTION("""COMPUTED_VALUE"""),0.1544)</f>
        <v>0.1544</v>
      </c>
      <c r="K4122" s="19">
        <f>IFERROR(__xludf.DUMMYFUNCTION("""COMPUTED_VALUE"""),0.193)</f>
        <v>0.193</v>
      </c>
      <c r="L4122" s="19">
        <f>IFERROR(__xludf.DUMMYFUNCTION("""COMPUTED_VALUE"""),0.2316)</f>
        <v>0.2316</v>
      </c>
      <c r="M4122" s="18">
        <f>IFERROR(__xludf.DUMMYFUNCTION("""COMPUTED_VALUE"""),3.06)</f>
        <v>3.06</v>
      </c>
    </row>
    <row r="4123">
      <c r="A4123" s="13" t="str">
        <f>IFERROR(__xludf.DUMMYFUNCTION("""COMPUTED_VALUE"""),"товари")</f>
        <v>товари</v>
      </c>
      <c r="B4123" s="16" t="str">
        <f>IFERROR(__xludf.DUMMYFUNCTION("""COMPUTED_VALUE"""),"техніка та електроніка")</f>
        <v>техніка та електроніка</v>
      </c>
      <c r="C4123" s="16" t="str">
        <f>IFERROR(__xludf.DUMMYFUNCTION("""COMPUTED_VALUE"""),"телефони та аксесуари")</f>
        <v>телефони та аксесуари</v>
      </c>
      <c r="D4123" s="16" t="str">
        <f>IFERROR(__xludf.DUMMYFUNCTION("""COMPUTED_VALUE"""),"аксесуари для мобільних телефонів")</f>
        <v>аксесуари для мобільних телефонів</v>
      </c>
      <c r="E4123" s="16" t="str">
        <f>IFERROR(__xludf.DUMMYFUNCTION("""COMPUTED_VALUE"""),"стартові пакети та картки поповнення рахунку")</f>
        <v>стартові пакети та картки поповнення рахунку</v>
      </c>
      <c r="F4123" s="17">
        <f>IFERROR(__xludf.DUMMYFUNCTION("""COMPUTED_VALUE"""),4.0)</f>
        <v>4</v>
      </c>
      <c r="G4123" s="17" t="str">
        <f>IFERROR(__xludf.DUMMYFUNCTION("""COMPUTED_VALUE"""),"5090207")</f>
        <v>5090207</v>
      </c>
      <c r="H4123" s="17" t="str">
        <f>IFERROR(__xludf.DUMMYFUNCTION("""COMPUTED_VALUE"""),"стартові пакети та картки поповнення рахунку")</f>
        <v>стартові пакети та картки поповнення рахунку</v>
      </c>
      <c r="I4123" s="19">
        <f>IFERROR(__xludf.DUMMYFUNCTION("""COMPUTED_VALUE"""),0.0835)</f>
        <v>0.0835</v>
      </c>
      <c r="J4123" s="19">
        <f>IFERROR(__xludf.DUMMYFUNCTION("""COMPUTED_VALUE"""),0.167)</f>
        <v>0.167</v>
      </c>
      <c r="K4123" s="19">
        <f>IFERROR(__xludf.DUMMYFUNCTION("""COMPUTED_VALUE"""),0.2088)</f>
        <v>0.2088</v>
      </c>
      <c r="L4123" s="19">
        <f>IFERROR(__xludf.DUMMYFUNCTION("""COMPUTED_VALUE"""),0.2505)</f>
        <v>0.2505</v>
      </c>
      <c r="M4123" s="18">
        <f>IFERROR(__xludf.DUMMYFUNCTION("""COMPUTED_VALUE"""),1.05)</f>
        <v>1.05</v>
      </c>
    </row>
    <row r="4124">
      <c r="A4124" s="13" t="str">
        <f>IFERROR(__xludf.DUMMYFUNCTION("""COMPUTED_VALUE"""),"товари")</f>
        <v>товари</v>
      </c>
      <c r="B4124" s="16" t="str">
        <f>IFERROR(__xludf.DUMMYFUNCTION("""COMPUTED_VALUE"""),"техніка та електроніка")</f>
        <v>техніка та електроніка</v>
      </c>
      <c r="C4124" s="16" t="str">
        <f>IFERROR(__xludf.DUMMYFUNCTION("""COMPUTED_VALUE"""),"телефони та аксесуари")</f>
        <v>телефони та аксесуари</v>
      </c>
      <c r="D4124" s="16" t="str">
        <f>IFERROR(__xludf.DUMMYFUNCTION("""COMPUTED_VALUE"""),"стаціонарні телефони")</f>
        <v>стаціонарні телефони</v>
      </c>
      <c r="E4124" s="16" t="str">
        <f>IFERROR(__xludf.DUMMYFUNCTION("""COMPUTED_VALUE"""),"стаціонарні телефони")</f>
        <v>стаціонарні телефони</v>
      </c>
      <c r="F4124" s="17">
        <f>IFERROR(__xludf.DUMMYFUNCTION("""COMPUTED_VALUE"""),3.0)</f>
        <v>3</v>
      </c>
      <c r="G4124" s="17" t="str">
        <f>IFERROR(__xludf.DUMMYFUNCTION("""COMPUTED_VALUE"""),"5090201")</f>
        <v>5090201</v>
      </c>
      <c r="H4124" s="17" t="str">
        <f>IFERROR(__xludf.DUMMYFUNCTION("""COMPUTED_VALUE"""),"стаціонарні телефони")</f>
        <v>стаціонарні телефони</v>
      </c>
      <c r="I4124" s="19">
        <f>IFERROR(__xludf.DUMMYFUNCTION("""COMPUTED_VALUE"""),0.0528)</f>
        <v>0.0528</v>
      </c>
      <c r="J4124" s="19">
        <f>IFERROR(__xludf.DUMMYFUNCTION("""COMPUTED_VALUE"""),0.1056)</f>
        <v>0.1056</v>
      </c>
      <c r="K4124" s="19">
        <f>IFERROR(__xludf.DUMMYFUNCTION("""COMPUTED_VALUE"""),0.132)</f>
        <v>0.132</v>
      </c>
      <c r="L4124" s="19">
        <f>IFERROR(__xludf.DUMMYFUNCTION("""COMPUTED_VALUE"""),0.1584)</f>
        <v>0.1584</v>
      </c>
      <c r="M4124" s="18">
        <f>IFERROR(__xludf.DUMMYFUNCTION("""COMPUTED_VALUE"""),1.05)</f>
        <v>1.05</v>
      </c>
    </row>
    <row r="4125">
      <c r="A4125" s="13" t="str">
        <f>IFERROR(__xludf.DUMMYFUNCTION("""COMPUTED_VALUE"""),"товари")</f>
        <v>товари</v>
      </c>
      <c r="B4125" s="16" t="str">
        <f>IFERROR(__xludf.DUMMYFUNCTION("""COMPUTED_VALUE"""),"техніка та електроніка")</f>
        <v>техніка та електроніка</v>
      </c>
      <c r="C4125" s="16" t="str">
        <f>IFERROR(__xludf.DUMMYFUNCTION("""COMPUTED_VALUE"""),"телефони та аксесуари")</f>
        <v>телефони та аксесуари</v>
      </c>
      <c r="D4125" s="16" t="str">
        <f>IFERROR(__xludf.DUMMYFUNCTION("""COMPUTED_VALUE"""),"комплектуючі для мобільних телефонів")</f>
        <v>комплектуючі для мобільних телефонів</v>
      </c>
      <c r="E4125" s="16" t="str">
        <f>IFERROR(__xludf.DUMMYFUNCTION("""COMPUTED_VALUE"""),"стилуси")</f>
        <v>стилуси</v>
      </c>
      <c r="F4125" s="17">
        <f>IFERROR(__xludf.DUMMYFUNCTION("""COMPUTED_VALUE"""),4.0)</f>
        <v>4</v>
      </c>
      <c r="G4125" s="17" t="str">
        <f>IFERROR(__xludf.DUMMYFUNCTION("""COMPUTED_VALUE"""),"5090320")</f>
        <v>5090320</v>
      </c>
      <c r="H4125" s="17" t="str">
        <f>IFERROR(__xludf.DUMMYFUNCTION("""COMPUTED_VALUE"""),"стилуси")</f>
        <v>стилуси</v>
      </c>
      <c r="I4125" s="19">
        <f>IFERROR(__xludf.DUMMYFUNCTION("""COMPUTED_VALUE"""),0.0986)</f>
        <v>0.0986</v>
      </c>
      <c r="J4125" s="19">
        <f>IFERROR(__xludf.DUMMYFUNCTION("""COMPUTED_VALUE"""),0.1972)</f>
        <v>0.1972</v>
      </c>
      <c r="K4125" s="19">
        <f>IFERROR(__xludf.DUMMYFUNCTION("""COMPUTED_VALUE"""),0.2465)</f>
        <v>0.2465</v>
      </c>
      <c r="L4125" s="19">
        <f>IFERROR(__xludf.DUMMYFUNCTION("""COMPUTED_VALUE"""),0.2958)</f>
        <v>0.2958</v>
      </c>
      <c r="M4125" s="18">
        <f>IFERROR(__xludf.DUMMYFUNCTION("""COMPUTED_VALUE"""),2.88)</f>
        <v>2.88</v>
      </c>
    </row>
    <row r="4126">
      <c r="A4126" s="13" t="str">
        <f>IFERROR(__xludf.DUMMYFUNCTION("""COMPUTED_VALUE"""),"товари")</f>
        <v>товари</v>
      </c>
      <c r="B4126" s="16" t="str">
        <f>IFERROR(__xludf.DUMMYFUNCTION("""COMPUTED_VALUE"""),"техніка та електроніка")</f>
        <v>техніка та електроніка</v>
      </c>
      <c r="C4126" s="16" t="str">
        <f>IFERROR(__xludf.DUMMYFUNCTION("""COMPUTED_VALUE"""),"фото-, відеокамери та аксесуари")</f>
        <v>фото-, відеокамери та аксесуари</v>
      </c>
      <c r="D4126" s="16" t="str">
        <f>IFERROR(__xludf.DUMMYFUNCTION("""COMPUTED_VALUE"""),"студійне обладнання")</f>
        <v>студійне обладнання</v>
      </c>
      <c r="E4126" s="16" t="str">
        <f>IFERROR(__xludf.DUMMYFUNCTION("""COMPUTED_VALUE"""),"студійне обладнання, загальне")</f>
        <v>студійне обладнання, загальне</v>
      </c>
      <c r="F4126" s="17">
        <f>IFERROR(__xludf.DUMMYFUNCTION("""COMPUTED_VALUE"""),4.0)</f>
        <v>4</v>
      </c>
      <c r="G4126" s="17" t="str">
        <f>IFERROR(__xludf.DUMMYFUNCTION("""COMPUTED_VALUE"""),"500407")</f>
        <v>500407</v>
      </c>
      <c r="H4126" s="17" t="str">
        <f>IFERROR(__xludf.DUMMYFUNCTION("""COMPUTED_VALUE"""),"студійне обладнання, загальне")</f>
        <v>студійне обладнання, загальне</v>
      </c>
      <c r="I4126" s="19">
        <f>IFERROR(__xludf.DUMMYFUNCTION("""COMPUTED_VALUE"""),0.125)</f>
        <v>0.125</v>
      </c>
      <c r="J4126" s="19">
        <f>IFERROR(__xludf.DUMMYFUNCTION("""COMPUTED_VALUE"""),0.25)</f>
        <v>0.25</v>
      </c>
      <c r="K4126" s="19">
        <f>IFERROR(__xludf.DUMMYFUNCTION("""COMPUTED_VALUE"""),0.3125)</f>
        <v>0.3125</v>
      </c>
      <c r="L4126" s="19">
        <f>IFERROR(__xludf.DUMMYFUNCTION("""COMPUTED_VALUE"""),0.375)</f>
        <v>0.375</v>
      </c>
      <c r="M4126" s="18">
        <f>IFERROR(__xludf.DUMMYFUNCTION("""COMPUTED_VALUE"""),4.33)</f>
        <v>4.33</v>
      </c>
    </row>
    <row r="4127">
      <c r="A4127" s="13" t="str">
        <f>IFERROR(__xludf.DUMMYFUNCTION("""COMPUTED_VALUE"""),"товари")</f>
        <v>товари</v>
      </c>
      <c r="B4127" s="16" t="str">
        <f>IFERROR(__xludf.DUMMYFUNCTION("""COMPUTED_VALUE"""),"техніка та електроніка")</f>
        <v>техніка та електроніка</v>
      </c>
      <c r="C4127" s="16" t="str">
        <f>IFERROR(__xludf.DUMMYFUNCTION("""COMPUTED_VALUE"""),"фото-, відеокамери та аксесуари")</f>
        <v>фото-, відеокамери та аксесуари</v>
      </c>
      <c r="D4127" s="16" t="str">
        <f>IFERROR(__xludf.DUMMYFUNCTION("""COMPUTED_VALUE"""),"студійне обладнання")</f>
        <v>студійне обладнання</v>
      </c>
      <c r="E4127" s="16" t="str">
        <f>IFERROR(__xludf.DUMMYFUNCTION("""COMPUTED_VALUE"""),"студійне світло")</f>
        <v>студійне світло</v>
      </c>
      <c r="F4127" s="17">
        <f>IFERROR(__xludf.DUMMYFUNCTION("""COMPUTED_VALUE"""),4.0)</f>
        <v>4</v>
      </c>
      <c r="G4127" s="17" t="str">
        <f>IFERROR(__xludf.DUMMYFUNCTION("""COMPUTED_VALUE"""),"500408")</f>
        <v>500408</v>
      </c>
      <c r="H4127" s="17" t="str">
        <f>IFERROR(__xludf.DUMMYFUNCTION("""COMPUTED_VALUE"""),"студійне світло")</f>
        <v>студійне світло</v>
      </c>
      <c r="I4127" s="19">
        <f>IFERROR(__xludf.DUMMYFUNCTION("""COMPUTED_VALUE"""),0.0949)</f>
        <v>0.0949</v>
      </c>
      <c r="J4127" s="19">
        <f>IFERROR(__xludf.DUMMYFUNCTION("""COMPUTED_VALUE"""),0.1897)</f>
        <v>0.1897</v>
      </c>
      <c r="K4127" s="19">
        <f>IFERROR(__xludf.DUMMYFUNCTION("""COMPUTED_VALUE"""),0.2371)</f>
        <v>0.2371</v>
      </c>
      <c r="L4127" s="19">
        <f>IFERROR(__xludf.DUMMYFUNCTION("""COMPUTED_VALUE"""),0.2846)</f>
        <v>0.2846</v>
      </c>
      <c r="M4127" s="18">
        <f>IFERROR(__xludf.DUMMYFUNCTION("""COMPUTED_VALUE"""),2.7)</f>
        <v>2.7</v>
      </c>
    </row>
    <row r="4128">
      <c r="A4128" s="13" t="str">
        <f>IFERROR(__xludf.DUMMYFUNCTION("""COMPUTED_VALUE"""),"товари")</f>
        <v>товари</v>
      </c>
      <c r="B4128" s="16" t="str">
        <f>IFERROR(__xludf.DUMMYFUNCTION("""COMPUTED_VALUE"""),"техніка та електроніка")</f>
        <v>техніка та електроніка</v>
      </c>
      <c r="C4128" s="16" t="str">
        <f>IFERROR(__xludf.DUMMYFUNCTION("""COMPUTED_VALUE"""),"комп'ютерна техніка та пз")</f>
        <v>комп'ютерна техніка та пз</v>
      </c>
      <c r="D4128" s="16" t="str">
        <f>IFERROR(__xludf.DUMMYFUNCTION("""COMPUTED_VALUE"""),"комп'ютерні аксесуари")</f>
        <v>комп'ютерні аксесуари</v>
      </c>
      <c r="E4128" s="16" t="str">
        <f>IFERROR(__xludf.DUMMYFUNCTION("""COMPUTED_VALUE"""),"сумки та бокси для cd")</f>
        <v>сумки та бокси для cd</v>
      </c>
      <c r="F4128" s="17">
        <f>IFERROR(__xludf.DUMMYFUNCTION("""COMPUTED_VALUE"""),4.0)</f>
        <v>4</v>
      </c>
      <c r="G4128" s="17" t="str">
        <f>IFERROR(__xludf.DUMMYFUNCTION("""COMPUTED_VALUE"""),"152408")</f>
        <v>152408</v>
      </c>
      <c r="H4128" s="17" t="str">
        <f>IFERROR(__xludf.DUMMYFUNCTION("""COMPUTED_VALUE"""),"сумки та бокси для cd")</f>
        <v>сумки та бокси для cd</v>
      </c>
      <c r="I4128" s="19">
        <f>IFERROR(__xludf.DUMMYFUNCTION("""COMPUTED_VALUE"""),0.0954)</f>
        <v>0.0954</v>
      </c>
      <c r="J4128" s="19">
        <f>IFERROR(__xludf.DUMMYFUNCTION("""COMPUTED_VALUE"""),0.1908)</f>
        <v>0.1908</v>
      </c>
      <c r="K4128" s="19">
        <f>IFERROR(__xludf.DUMMYFUNCTION("""COMPUTED_VALUE"""),0.2385)</f>
        <v>0.2385</v>
      </c>
      <c r="L4128" s="19">
        <f>IFERROR(__xludf.DUMMYFUNCTION("""COMPUTED_VALUE"""),0.2862)</f>
        <v>0.2862</v>
      </c>
      <c r="M4128" s="18">
        <f>IFERROR(__xludf.DUMMYFUNCTION("""COMPUTED_VALUE"""),2.53)</f>
        <v>2.53</v>
      </c>
    </row>
    <row r="4129">
      <c r="A4129" s="13" t="str">
        <f>IFERROR(__xludf.DUMMYFUNCTION("""COMPUTED_VALUE"""),"товари")</f>
        <v>товари</v>
      </c>
      <c r="B4129" s="16" t="str">
        <f>IFERROR(__xludf.DUMMYFUNCTION("""COMPUTED_VALUE"""),"техніка та електроніка")</f>
        <v>техніка та електроніка</v>
      </c>
      <c r="C4129" s="16" t="str">
        <f>IFERROR(__xludf.DUMMYFUNCTION("""COMPUTED_VALUE"""),"комп'ютерна техніка та пз")</f>
        <v>комп'ютерна техніка та пз</v>
      </c>
      <c r="D4129" s="16" t="str">
        <f>IFERROR(__xludf.DUMMYFUNCTION("""COMPUTED_VALUE"""),"комп'ютерні аксесуари")</f>
        <v>комп'ютерні аксесуари</v>
      </c>
      <c r="E4129" s="16" t="str">
        <f>IFERROR(__xludf.DUMMYFUNCTION("""COMPUTED_VALUE"""),"сумки та рюкзаки для ноутбуків")</f>
        <v>сумки та рюкзаки для ноутбуків</v>
      </c>
      <c r="F4129" s="17">
        <f>IFERROR(__xludf.DUMMYFUNCTION("""COMPUTED_VALUE"""),4.0)</f>
        <v>4</v>
      </c>
      <c r="G4129" s="17" t="str">
        <f>IFERROR(__xludf.DUMMYFUNCTION("""COMPUTED_VALUE"""),"380110")</f>
        <v>380110</v>
      </c>
      <c r="H4129" s="17" t="str">
        <f>IFERROR(__xludf.DUMMYFUNCTION("""COMPUTED_VALUE"""),"сумки та рюкзаки для ноутбуків")</f>
        <v>сумки та рюкзаки для ноутбуків</v>
      </c>
      <c r="I4129" s="19">
        <f>IFERROR(__xludf.DUMMYFUNCTION("""COMPUTED_VALUE"""),0.0991)</f>
        <v>0.0991</v>
      </c>
      <c r="J4129" s="19">
        <f>IFERROR(__xludf.DUMMYFUNCTION("""COMPUTED_VALUE"""),0.1981)</f>
        <v>0.1981</v>
      </c>
      <c r="K4129" s="19">
        <f>IFERROR(__xludf.DUMMYFUNCTION("""COMPUTED_VALUE"""),0.2476)</f>
        <v>0.2476</v>
      </c>
      <c r="L4129" s="19">
        <f>IFERROR(__xludf.DUMMYFUNCTION("""COMPUTED_VALUE"""),0.2972)</f>
        <v>0.2972</v>
      </c>
      <c r="M4129" s="18">
        <f>IFERROR(__xludf.DUMMYFUNCTION("""COMPUTED_VALUE"""),2.53)</f>
        <v>2.53</v>
      </c>
    </row>
    <row r="4130">
      <c r="A4130" s="13" t="str">
        <f>IFERROR(__xludf.DUMMYFUNCTION("""COMPUTED_VALUE"""),"товари")</f>
        <v>товари</v>
      </c>
      <c r="B4130" s="16" t="str">
        <f>IFERROR(__xludf.DUMMYFUNCTION("""COMPUTED_VALUE"""),"техніка та електроніка")</f>
        <v>техніка та електроніка</v>
      </c>
      <c r="C4130" s="16" t="str">
        <f>IFERROR(__xludf.DUMMYFUNCTION("""COMPUTED_VALUE"""),"фото-, відеокамери та аксесуари")</f>
        <v>фото-, відеокамери та аксесуари</v>
      </c>
      <c r="D4130" s="16" t="str">
        <f>IFERROR(__xludf.DUMMYFUNCTION("""COMPUTED_VALUE"""),"аксесуари для фото-, відеокамер")</f>
        <v>аксесуари для фото-, відеокамер</v>
      </c>
      <c r="E4130" s="16" t="str">
        <f>IFERROR(__xludf.DUMMYFUNCTION("""COMPUTED_VALUE"""),"сумки, ремені для фото-, відеокамер")</f>
        <v>сумки, ремені для фото-, відеокамер</v>
      </c>
      <c r="F4130" s="17">
        <f>IFERROR(__xludf.DUMMYFUNCTION("""COMPUTED_VALUE"""),4.0)</f>
        <v>4</v>
      </c>
      <c r="G4130" s="17" t="str">
        <f>IFERROR(__xludf.DUMMYFUNCTION("""COMPUTED_VALUE"""),"380210")</f>
        <v>380210</v>
      </c>
      <c r="H4130" s="17" t="str">
        <f>IFERROR(__xludf.DUMMYFUNCTION("""COMPUTED_VALUE"""),"сумки, ремені для фото-, відеокамер")</f>
        <v>сумки, ремені для фото-, відеокамер</v>
      </c>
      <c r="I4130" s="19">
        <f>IFERROR(__xludf.DUMMYFUNCTION("""COMPUTED_VALUE"""),0.0968)</f>
        <v>0.0968</v>
      </c>
      <c r="J4130" s="19">
        <f>IFERROR(__xludf.DUMMYFUNCTION("""COMPUTED_VALUE"""),0.1935)</f>
        <v>0.1935</v>
      </c>
      <c r="K4130" s="19">
        <f>IFERROR(__xludf.DUMMYFUNCTION("""COMPUTED_VALUE"""),0.2419)</f>
        <v>0.2419</v>
      </c>
      <c r="L4130" s="19">
        <f>IFERROR(__xludf.DUMMYFUNCTION("""COMPUTED_VALUE"""),0.2903)</f>
        <v>0.2903</v>
      </c>
      <c r="M4130" s="18">
        <f>IFERROR(__xludf.DUMMYFUNCTION("""COMPUTED_VALUE"""),1.98)</f>
        <v>1.98</v>
      </c>
    </row>
    <row r="4131">
      <c r="A4131" s="13" t="str">
        <f>IFERROR(__xludf.DUMMYFUNCTION("""COMPUTED_VALUE"""),"товари")</f>
        <v>товари</v>
      </c>
      <c r="B4131" s="16" t="str">
        <f>IFERROR(__xludf.DUMMYFUNCTION("""COMPUTED_VALUE"""),"техніка та електроніка")</f>
        <v>техніка та електроніка</v>
      </c>
      <c r="C4131" s="16" t="str">
        <f>IFERROR(__xludf.DUMMYFUNCTION("""COMPUTED_VALUE"""),"tv та відеотехніка")</f>
        <v>tv та відеотехніка</v>
      </c>
      <c r="D4131" s="16" t="str">
        <f>IFERROR(__xludf.DUMMYFUNCTION("""COMPUTED_VALUE"""),"супутникове, кабельне телебачення")</f>
        <v>супутникове, кабельне телебачення</v>
      </c>
      <c r="E4131" s="16" t="str">
        <f>IFERROR(__xludf.DUMMYFUNCTION("""COMPUTED_VALUE"""),"супутникові конвертери")</f>
        <v>супутникові конвертери</v>
      </c>
      <c r="F4131" s="17">
        <f>IFERROR(__xludf.DUMMYFUNCTION("""COMPUTED_VALUE"""),4.0)</f>
        <v>4</v>
      </c>
      <c r="G4131" s="17" t="str">
        <f>IFERROR(__xludf.DUMMYFUNCTION("""COMPUTED_VALUE"""),"6371702")</f>
        <v>6371702</v>
      </c>
      <c r="H4131" s="17" t="str">
        <f>IFERROR(__xludf.DUMMYFUNCTION("""COMPUTED_VALUE"""),"супутникові конвертери")</f>
        <v>супутникові конвертери</v>
      </c>
      <c r="I4131" s="19">
        <f>IFERROR(__xludf.DUMMYFUNCTION("""COMPUTED_VALUE"""),0.0964)</f>
        <v>0.0964</v>
      </c>
      <c r="J4131" s="19">
        <f>IFERROR(__xludf.DUMMYFUNCTION("""COMPUTED_VALUE"""),0.1928)</f>
        <v>0.1928</v>
      </c>
      <c r="K4131" s="19">
        <f>IFERROR(__xludf.DUMMYFUNCTION("""COMPUTED_VALUE"""),0.241)</f>
        <v>0.241</v>
      </c>
      <c r="L4131" s="19">
        <f>IFERROR(__xludf.DUMMYFUNCTION("""COMPUTED_VALUE"""),0.2892)</f>
        <v>0.2892</v>
      </c>
      <c r="M4131" s="18">
        <f>IFERROR(__xludf.DUMMYFUNCTION("""COMPUTED_VALUE"""),1.53)</f>
        <v>1.53</v>
      </c>
    </row>
    <row r="4132">
      <c r="A4132" s="13" t="str">
        <f>IFERROR(__xludf.DUMMYFUNCTION("""COMPUTED_VALUE"""),"товари")</f>
        <v>товари</v>
      </c>
      <c r="B4132" s="16" t="str">
        <f>IFERROR(__xludf.DUMMYFUNCTION("""COMPUTED_VALUE"""),"техніка та електроніка")</f>
        <v>техніка та електроніка</v>
      </c>
      <c r="C4132" s="16" t="str">
        <f>IFERROR(__xludf.DUMMYFUNCTION("""COMPUTED_VALUE"""),"побутова техніка")</f>
        <v>побутова техніка</v>
      </c>
      <c r="D4132" s="16" t="str">
        <f>IFERROR(__xludf.DUMMYFUNCTION("""COMPUTED_VALUE"""),"побутова техніка для дому")</f>
        <v>побутова техніка для дому</v>
      </c>
      <c r="E4132" s="16" t="str">
        <f>IFERROR(__xludf.DUMMYFUNCTION("""COMPUTED_VALUE"""),"сушарки для взуття")</f>
        <v>сушарки для взуття</v>
      </c>
      <c r="F4132" s="17">
        <f>IFERROR(__xludf.DUMMYFUNCTION("""COMPUTED_VALUE"""),4.0)</f>
        <v>4</v>
      </c>
      <c r="G4132" s="17" t="str">
        <f>IFERROR(__xludf.DUMMYFUNCTION("""COMPUTED_VALUE"""),"63018")</f>
        <v>63018</v>
      </c>
      <c r="H4132" s="17" t="str">
        <f>IFERROR(__xludf.DUMMYFUNCTION("""COMPUTED_VALUE"""),"сушарки для взуття")</f>
        <v>сушарки для взуття</v>
      </c>
      <c r="I4132" s="19">
        <f>IFERROR(__xludf.DUMMYFUNCTION("""COMPUTED_VALUE"""),0.0768)</f>
        <v>0.0768</v>
      </c>
      <c r="J4132" s="19">
        <f>IFERROR(__xludf.DUMMYFUNCTION("""COMPUTED_VALUE"""),0.1535)</f>
        <v>0.1535</v>
      </c>
      <c r="K4132" s="19">
        <f>IFERROR(__xludf.DUMMYFUNCTION("""COMPUTED_VALUE"""),0.1919)</f>
        <v>0.1919</v>
      </c>
      <c r="L4132" s="19">
        <f>IFERROR(__xludf.DUMMYFUNCTION("""COMPUTED_VALUE"""),0.2303)</f>
        <v>0.2303</v>
      </c>
      <c r="M4132" s="18">
        <f>IFERROR(__xludf.DUMMYFUNCTION("""COMPUTED_VALUE"""),3.06)</f>
        <v>3.06</v>
      </c>
    </row>
    <row r="4133">
      <c r="A4133" s="13" t="str">
        <f>IFERROR(__xludf.DUMMYFUNCTION("""COMPUTED_VALUE"""),"товари")</f>
        <v>товари</v>
      </c>
      <c r="B4133" s="16" t="str">
        <f>IFERROR(__xludf.DUMMYFUNCTION("""COMPUTED_VALUE"""),"техніка та електроніка")</f>
        <v>техніка та електроніка</v>
      </c>
      <c r="C4133" s="16" t="str">
        <f>IFERROR(__xludf.DUMMYFUNCTION("""COMPUTED_VALUE"""),"побутова техніка")</f>
        <v>побутова техніка</v>
      </c>
      <c r="D4133" s="16" t="str">
        <f>IFERROR(__xludf.DUMMYFUNCTION("""COMPUTED_VALUE"""),"дрібна побутова техніка для кухні")</f>
        <v>дрібна побутова техніка для кухні</v>
      </c>
      <c r="E4133" s="16" t="str">
        <f>IFERROR(__xludf.DUMMYFUNCTION("""COMPUTED_VALUE"""),"сушарки для овочів і фруктів")</f>
        <v>сушарки для овочів і фруктів</v>
      </c>
      <c r="F4133" s="17">
        <f>IFERROR(__xludf.DUMMYFUNCTION("""COMPUTED_VALUE"""),4.0)</f>
        <v>4</v>
      </c>
      <c r="G4133" s="17" t="str">
        <f>IFERROR(__xludf.DUMMYFUNCTION("""COMPUTED_VALUE"""),"6300403")</f>
        <v>6300403</v>
      </c>
      <c r="H4133" s="17" t="str">
        <f>IFERROR(__xludf.DUMMYFUNCTION("""COMPUTED_VALUE"""),"сушарки для овочів і фруктів")</f>
        <v>сушарки для овочів і фруктів</v>
      </c>
      <c r="I4133" s="19">
        <f>IFERROR(__xludf.DUMMYFUNCTION("""COMPUTED_VALUE"""),0.0646)</f>
        <v>0.0646</v>
      </c>
      <c r="J4133" s="19">
        <f>IFERROR(__xludf.DUMMYFUNCTION("""COMPUTED_VALUE"""),0.1291)</f>
        <v>0.1291</v>
      </c>
      <c r="K4133" s="19">
        <f>IFERROR(__xludf.DUMMYFUNCTION("""COMPUTED_VALUE"""),0.1614)</f>
        <v>0.1614</v>
      </c>
      <c r="L4133" s="19">
        <f>IFERROR(__xludf.DUMMYFUNCTION("""COMPUTED_VALUE"""),0.1937)</f>
        <v>0.1937</v>
      </c>
      <c r="M4133" s="18">
        <f>IFERROR(__xludf.DUMMYFUNCTION("""COMPUTED_VALUE"""),3.06)</f>
        <v>3.06</v>
      </c>
    </row>
    <row r="4134">
      <c r="A4134" s="13" t="str">
        <f>IFERROR(__xludf.DUMMYFUNCTION("""COMPUTED_VALUE"""),"товари")</f>
        <v>товари</v>
      </c>
      <c r="B4134" s="16" t="str">
        <f>IFERROR(__xludf.DUMMYFUNCTION("""COMPUTED_VALUE"""),"техніка та електроніка")</f>
        <v>техніка та електроніка</v>
      </c>
      <c r="C4134" s="16" t="str">
        <f>IFERROR(__xludf.DUMMYFUNCTION("""COMPUTED_VALUE"""),"побутова техніка")</f>
        <v>побутова техніка</v>
      </c>
      <c r="D4134" s="16" t="str">
        <f>IFERROR(__xludf.DUMMYFUNCTION("""COMPUTED_VALUE"""),"побутова техніка для дому")</f>
        <v>побутова техніка для дому</v>
      </c>
      <c r="E4134" s="16" t="str">
        <f>IFERROR(__xludf.DUMMYFUNCTION("""COMPUTED_VALUE"""),"сушильні машини для білизни")</f>
        <v>сушильні машини для білизни</v>
      </c>
      <c r="F4134" s="17">
        <f>IFERROR(__xludf.DUMMYFUNCTION("""COMPUTED_VALUE"""),4.0)</f>
        <v>4</v>
      </c>
      <c r="G4134" s="17" t="str">
        <f>IFERROR(__xludf.DUMMYFUNCTION("""COMPUTED_VALUE"""),"62702")</f>
        <v>62702</v>
      </c>
      <c r="H4134" s="17" t="str">
        <f>IFERROR(__xludf.DUMMYFUNCTION("""COMPUTED_VALUE"""),"сушильні машини для білизни")</f>
        <v>сушильні машини для білизни</v>
      </c>
      <c r="I4134" s="19">
        <f>IFERROR(__xludf.DUMMYFUNCTION("""COMPUTED_VALUE"""),0.043)</f>
        <v>0.043</v>
      </c>
      <c r="J4134" s="19">
        <f>IFERROR(__xludf.DUMMYFUNCTION("""COMPUTED_VALUE"""),0.086)</f>
        <v>0.086</v>
      </c>
      <c r="K4134" s="19">
        <f>IFERROR(__xludf.DUMMYFUNCTION("""COMPUTED_VALUE"""),0.1075)</f>
        <v>0.1075</v>
      </c>
      <c r="L4134" s="19">
        <f>IFERROR(__xludf.DUMMYFUNCTION("""COMPUTED_VALUE"""),0.129)</f>
        <v>0.129</v>
      </c>
      <c r="M4134" s="18">
        <f>IFERROR(__xludf.DUMMYFUNCTION("""COMPUTED_VALUE"""),3.06)</f>
        <v>3.06</v>
      </c>
    </row>
    <row r="4135">
      <c r="A4135" s="13" t="str">
        <f>IFERROR(__xludf.DUMMYFUNCTION("""COMPUTED_VALUE"""),"товари")</f>
        <v>товари</v>
      </c>
      <c r="B4135" s="16" t="str">
        <f>IFERROR(__xludf.DUMMYFUNCTION("""COMPUTED_VALUE"""),"техніка та електроніка")</f>
        <v>техніка та електроніка</v>
      </c>
      <c r="C4135" s="16" t="str">
        <f>IFERROR(__xludf.DUMMYFUNCTION("""COMPUTED_VALUE"""),"tv та відеотехніка")</f>
        <v>tv та відеотехніка</v>
      </c>
      <c r="D4135" s="16" t="str">
        <f>IFERROR(__xludf.DUMMYFUNCTION("""COMPUTED_VALUE"""),"аксесуари для телевізорів та проекторів")</f>
        <v>аксесуари для телевізорів та проекторів</v>
      </c>
      <c r="E4135" s="16" t="str">
        <f>IFERROR(__xludf.DUMMYFUNCTION("""COMPUTED_VALUE"""),"телевізійні антени")</f>
        <v>телевізійні антени</v>
      </c>
      <c r="F4135" s="17">
        <f>IFERROR(__xludf.DUMMYFUNCTION("""COMPUTED_VALUE"""),4.0)</f>
        <v>4</v>
      </c>
      <c r="G4135" s="17" t="str">
        <f>IFERROR(__xludf.DUMMYFUNCTION("""COMPUTED_VALUE"""),"5090510")</f>
        <v>5090510</v>
      </c>
      <c r="H4135" s="17" t="str">
        <f>IFERROR(__xludf.DUMMYFUNCTION("""COMPUTED_VALUE"""),"телевізійні антени")</f>
        <v>телевізійні антени</v>
      </c>
      <c r="I4135" s="19">
        <f>IFERROR(__xludf.DUMMYFUNCTION("""COMPUTED_VALUE"""),0.0997)</f>
        <v>0.0997</v>
      </c>
      <c r="J4135" s="19">
        <f>IFERROR(__xludf.DUMMYFUNCTION("""COMPUTED_VALUE"""),0.1994)</f>
        <v>0.1994</v>
      </c>
      <c r="K4135" s="19">
        <f>IFERROR(__xludf.DUMMYFUNCTION("""COMPUTED_VALUE"""),0.2493)</f>
        <v>0.2493</v>
      </c>
      <c r="L4135" s="19">
        <f>IFERROR(__xludf.DUMMYFUNCTION("""COMPUTED_VALUE"""),0.2991)</f>
        <v>0.2991</v>
      </c>
      <c r="M4135" s="18">
        <f>IFERROR(__xludf.DUMMYFUNCTION("""COMPUTED_VALUE"""),2.16)</f>
        <v>2.16</v>
      </c>
    </row>
    <row r="4136">
      <c r="A4136" s="13" t="str">
        <f>IFERROR(__xludf.DUMMYFUNCTION("""COMPUTED_VALUE"""),"товари")</f>
        <v>товари</v>
      </c>
      <c r="B4136" s="16" t="str">
        <f>IFERROR(__xludf.DUMMYFUNCTION("""COMPUTED_VALUE"""),"техніка та електроніка")</f>
        <v>техніка та електроніка</v>
      </c>
      <c r="C4136" s="16" t="str">
        <f>IFERROR(__xludf.DUMMYFUNCTION("""COMPUTED_VALUE"""),"tv та відеотехніка")</f>
        <v>tv та відеотехніка</v>
      </c>
      <c r="D4136" s="16" t="str">
        <f>IFERROR(__xludf.DUMMYFUNCTION("""COMPUTED_VALUE"""),"телевізори")</f>
        <v>телевізори</v>
      </c>
      <c r="E4136" s="16" t="str">
        <f>IFERROR(__xludf.DUMMYFUNCTION("""COMPUTED_VALUE"""),"телевізори")</f>
        <v>телевізори</v>
      </c>
      <c r="F4136" s="17">
        <f>IFERROR(__xludf.DUMMYFUNCTION("""COMPUTED_VALUE"""),3.0)</f>
        <v>3</v>
      </c>
      <c r="G4136" s="17" t="str">
        <f>IFERROR(__xludf.DUMMYFUNCTION("""COMPUTED_VALUE"""),"6370714")</f>
        <v>6370714</v>
      </c>
      <c r="H4136" s="17" t="str">
        <f>IFERROR(__xludf.DUMMYFUNCTION("""COMPUTED_VALUE"""),"телевізори")</f>
        <v>телевізори</v>
      </c>
      <c r="I4136" s="19">
        <f>IFERROR(__xludf.DUMMYFUNCTION("""COMPUTED_VALUE"""),0.0408)</f>
        <v>0.0408</v>
      </c>
      <c r="J4136" s="19">
        <f>IFERROR(__xludf.DUMMYFUNCTION("""COMPUTED_VALUE"""),0.0816)</f>
        <v>0.0816</v>
      </c>
      <c r="K4136" s="19">
        <f>IFERROR(__xludf.DUMMYFUNCTION("""COMPUTED_VALUE"""),0.102)</f>
        <v>0.102</v>
      </c>
      <c r="L4136" s="19">
        <f>IFERROR(__xludf.DUMMYFUNCTION("""COMPUTED_VALUE"""),0.1224)</f>
        <v>0.1224</v>
      </c>
      <c r="M4136" s="18">
        <f>IFERROR(__xludf.DUMMYFUNCTION("""COMPUTED_VALUE"""),4.35)</f>
        <v>4.35</v>
      </c>
    </row>
    <row r="4137">
      <c r="A4137" s="13" t="str">
        <f>IFERROR(__xludf.DUMMYFUNCTION("""COMPUTED_VALUE"""),"товари")</f>
        <v>товари</v>
      </c>
      <c r="B4137" s="16" t="str">
        <f>IFERROR(__xludf.DUMMYFUNCTION("""COMPUTED_VALUE"""),"техніка та електроніка")</f>
        <v>техніка та електроніка</v>
      </c>
      <c r="C4137" s="16" t="str">
        <f>IFERROR(__xludf.DUMMYFUNCTION("""COMPUTED_VALUE"""),"телефони та аксесуари")</f>
        <v>телефони та аксесуари</v>
      </c>
      <c r="D4137" s="16" t="str">
        <f>IFERROR(__xludf.DUMMYFUNCTION("""COMPUTED_VALUE"""),"телефони та аксесуари, загальне")</f>
        <v>телефони та аксесуари, загальне</v>
      </c>
      <c r="E4137" s="16" t="str">
        <f>IFERROR(__xludf.DUMMYFUNCTION("""COMPUTED_VALUE"""),"телефони та аксесуари, загальне")</f>
        <v>телефони та аксесуари, загальне</v>
      </c>
      <c r="F4137" s="17">
        <f>IFERROR(__xludf.DUMMYFUNCTION("""COMPUTED_VALUE"""),3.0)</f>
        <v>3</v>
      </c>
      <c r="G4137" s="17" t="str">
        <f>IFERROR(__xludf.DUMMYFUNCTION("""COMPUTED_VALUE"""),"5090204")</f>
        <v>5090204</v>
      </c>
      <c r="H4137" s="17" t="str">
        <f>IFERROR(__xludf.DUMMYFUNCTION("""COMPUTED_VALUE"""),"телефони та аксесуари, загальне")</f>
        <v>телефони та аксесуари, загальне</v>
      </c>
      <c r="I4137" s="19">
        <f>IFERROR(__xludf.DUMMYFUNCTION("""COMPUTED_VALUE"""),0.125)</f>
        <v>0.125</v>
      </c>
      <c r="J4137" s="19">
        <f>IFERROR(__xludf.DUMMYFUNCTION("""COMPUTED_VALUE"""),0.25)</f>
        <v>0.25</v>
      </c>
      <c r="K4137" s="19">
        <f>IFERROR(__xludf.DUMMYFUNCTION("""COMPUTED_VALUE"""),0.3125)</f>
        <v>0.3125</v>
      </c>
      <c r="L4137" s="19">
        <f>IFERROR(__xludf.DUMMYFUNCTION("""COMPUTED_VALUE"""),0.375)</f>
        <v>0.375</v>
      </c>
      <c r="M4137" s="18">
        <f>IFERROR(__xludf.DUMMYFUNCTION("""COMPUTED_VALUE"""),4.33)</f>
        <v>4.33</v>
      </c>
    </row>
    <row r="4138">
      <c r="A4138" s="13" t="str">
        <f>IFERROR(__xludf.DUMMYFUNCTION("""COMPUTED_VALUE"""),"товари")</f>
        <v>товари</v>
      </c>
      <c r="B4138" s="16" t="str">
        <f>IFERROR(__xludf.DUMMYFUNCTION("""COMPUTED_VALUE"""),"техніка та електроніка")</f>
        <v>техніка та електроніка</v>
      </c>
      <c r="C4138" s="16" t="str">
        <f>IFERROR(__xludf.DUMMYFUNCTION("""COMPUTED_VALUE"""),"побутова техніка")</f>
        <v>побутова техніка</v>
      </c>
      <c r="D4138" s="16" t="str">
        <f>IFERROR(__xludf.DUMMYFUNCTION("""COMPUTED_VALUE"""),"кліматична техніка")</f>
        <v>кліматична техніка</v>
      </c>
      <c r="E4138" s="16" t="str">
        <f>IFERROR(__xludf.DUMMYFUNCTION("""COMPUTED_VALUE"""),"тепловентилятори")</f>
        <v>тепловентилятори</v>
      </c>
      <c r="F4138" s="17">
        <f>IFERROR(__xludf.DUMMYFUNCTION("""COMPUTED_VALUE"""),4.0)</f>
        <v>4</v>
      </c>
      <c r="G4138" s="17" t="str">
        <f>IFERROR(__xludf.DUMMYFUNCTION("""COMPUTED_VALUE"""),"62611")</f>
        <v>62611</v>
      </c>
      <c r="H4138" s="17" t="str">
        <f>IFERROR(__xludf.DUMMYFUNCTION("""COMPUTED_VALUE"""),"тепловентилятори")</f>
        <v>тепловентилятори</v>
      </c>
      <c r="I4138" s="19">
        <f>IFERROR(__xludf.DUMMYFUNCTION("""COMPUTED_VALUE"""),0.0527)</f>
        <v>0.0527</v>
      </c>
      <c r="J4138" s="19">
        <f>IFERROR(__xludf.DUMMYFUNCTION("""COMPUTED_VALUE"""),0.1054)</f>
        <v>0.1054</v>
      </c>
      <c r="K4138" s="19">
        <f>IFERROR(__xludf.DUMMYFUNCTION("""COMPUTED_VALUE"""),0.1318)</f>
        <v>0.1318</v>
      </c>
      <c r="L4138" s="19">
        <f>IFERROR(__xludf.DUMMYFUNCTION("""COMPUTED_VALUE"""),0.1581)</f>
        <v>0.1581</v>
      </c>
      <c r="M4138" s="18">
        <f>IFERROR(__xludf.DUMMYFUNCTION("""COMPUTED_VALUE"""),3.78)</f>
        <v>3.78</v>
      </c>
    </row>
    <row r="4139">
      <c r="A4139" s="13" t="str">
        <f>IFERROR(__xludf.DUMMYFUNCTION("""COMPUTED_VALUE"""),"товари")</f>
        <v>товари</v>
      </c>
      <c r="B4139" s="16" t="str">
        <f>IFERROR(__xludf.DUMMYFUNCTION("""COMPUTED_VALUE"""),"техніка та електроніка")</f>
        <v>техніка та електроніка</v>
      </c>
      <c r="C4139" s="16" t="str">
        <f>IFERROR(__xludf.DUMMYFUNCTION("""COMPUTED_VALUE"""),"побутова техніка")</f>
        <v>побутова техніка</v>
      </c>
      <c r="D4139" s="16" t="str">
        <f>IFERROR(__xludf.DUMMYFUNCTION("""COMPUTED_VALUE"""),"дрібна побутова техніка для кухні")</f>
        <v>дрібна побутова техніка для кухні</v>
      </c>
      <c r="E4139" s="16" t="str">
        <f>IFERROR(__xludf.DUMMYFUNCTION("""COMPUTED_VALUE"""),"термопоти")</f>
        <v>термопоти</v>
      </c>
      <c r="F4139" s="17">
        <f>IFERROR(__xludf.DUMMYFUNCTION("""COMPUTED_VALUE"""),4.0)</f>
        <v>4</v>
      </c>
      <c r="G4139" s="17" t="str">
        <f>IFERROR(__xludf.DUMMYFUNCTION("""COMPUTED_VALUE"""),"6300423")</f>
        <v>6300423</v>
      </c>
      <c r="H4139" s="17" t="str">
        <f>IFERROR(__xludf.DUMMYFUNCTION("""COMPUTED_VALUE"""),"термопоти")</f>
        <v>термопоти</v>
      </c>
      <c r="I4139" s="19">
        <f>IFERROR(__xludf.DUMMYFUNCTION("""COMPUTED_VALUE"""),0.0756)</f>
        <v>0.0756</v>
      </c>
      <c r="J4139" s="19">
        <f>IFERROR(__xludf.DUMMYFUNCTION("""COMPUTED_VALUE"""),0.1512)</f>
        <v>0.1512</v>
      </c>
      <c r="K4139" s="19">
        <f>IFERROR(__xludf.DUMMYFUNCTION("""COMPUTED_VALUE"""),0.189)</f>
        <v>0.189</v>
      </c>
      <c r="L4139" s="19">
        <f>IFERROR(__xludf.DUMMYFUNCTION("""COMPUTED_VALUE"""),0.2268)</f>
        <v>0.2268</v>
      </c>
      <c r="M4139" s="18">
        <f>IFERROR(__xludf.DUMMYFUNCTION("""COMPUTED_VALUE"""),3.06)</f>
        <v>3.06</v>
      </c>
    </row>
    <row r="4140">
      <c r="A4140" s="13" t="str">
        <f>IFERROR(__xludf.DUMMYFUNCTION("""COMPUTED_VALUE"""),"товари")</f>
        <v>товари</v>
      </c>
      <c r="B4140" s="16" t="str">
        <f>IFERROR(__xludf.DUMMYFUNCTION("""COMPUTED_VALUE"""),"техніка та електроніка")</f>
        <v>техніка та електроніка</v>
      </c>
      <c r="C4140" s="16" t="str">
        <f>IFERROR(__xludf.DUMMYFUNCTION("""COMPUTED_VALUE"""),"комп'ютерна техніка та пз")</f>
        <v>комп'ютерна техніка та пз</v>
      </c>
      <c r="D4140" s="16" t="str">
        <f>IFERROR(__xludf.DUMMYFUNCTION("""COMPUTED_VALUE"""),"комплектуючі для комп'ютерної техніки")</f>
        <v>комплектуючі для комп'ютерної техніки</v>
      </c>
      <c r="E4140" s="16" t="str">
        <f>IFERROR(__xludf.DUMMYFUNCTION("""COMPUTED_VALUE"""),"термопрокладки й термопаста")</f>
        <v>термопрокладки й термопаста</v>
      </c>
      <c r="F4140" s="17">
        <f>IFERROR(__xludf.DUMMYFUNCTION("""COMPUTED_VALUE"""),4.0)</f>
        <v>4</v>
      </c>
      <c r="G4140" s="17" t="str">
        <f>IFERROR(__xludf.DUMMYFUNCTION("""COMPUTED_VALUE"""),"71007")</f>
        <v>71007</v>
      </c>
      <c r="H4140" s="17" t="str">
        <f>IFERROR(__xludf.DUMMYFUNCTION("""COMPUTED_VALUE"""),"термопрокладки й термопаста")</f>
        <v>термопрокладки й термопаста</v>
      </c>
      <c r="I4140" s="19">
        <f>IFERROR(__xludf.DUMMYFUNCTION("""COMPUTED_VALUE"""),0.0536)</f>
        <v>0.0536</v>
      </c>
      <c r="J4140" s="19">
        <f>IFERROR(__xludf.DUMMYFUNCTION("""COMPUTED_VALUE"""),0.1071)</f>
        <v>0.1071</v>
      </c>
      <c r="K4140" s="19">
        <f>IFERROR(__xludf.DUMMYFUNCTION("""COMPUTED_VALUE"""),0.1339)</f>
        <v>0.1339</v>
      </c>
      <c r="L4140" s="19">
        <f>IFERROR(__xludf.DUMMYFUNCTION("""COMPUTED_VALUE"""),0.1607)</f>
        <v>0.1607</v>
      </c>
      <c r="M4140" s="18">
        <f>IFERROR(__xludf.DUMMYFUNCTION("""COMPUTED_VALUE"""),1.71)</f>
        <v>1.71</v>
      </c>
    </row>
    <row r="4141">
      <c r="A4141" s="13" t="str">
        <f>IFERROR(__xludf.DUMMYFUNCTION("""COMPUTED_VALUE"""),"товари")</f>
        <v>товари</v>
      </c>
      <c r="B4141" s="16" t="str">
        <f>IFERROR(__xludf.DUMMYFUNCTION("""COMPUTED_VALUE"""),"техніка та електроніка")</f>
        <v>техніка та електроніка</v>
      </c>
      <c r="C4141" s="16" t="str">
        <f>IFERROR(__xludf.DUMMYFUNCTION("""COMPUTED_VALUE"""),"комп'ютерна техніка та пз")</f>
        <v>комп'ютерна техніка та пз</v>
      </c>
      <c r="D4141" s="16" t="str">
        <f>IFERROR(__xludf.DUMMYFUNCTION("""COMPUTED_VALUE"""),"принтери, сканери, бфп та комплектуючі")</f>
        <v>принтери, сканери, бфп та комплектуючі</v>
      </c>
      <c r="E4141" s="16" t="str">
        <f>IFERROR(__xludf.DUMMYFUNCTION("""COMPUTED_VALUE"""),"тонер та чорнила для друку")</f>
        <v>тонер та чорнила для друку</v>
      </c>
      <c r="F4141" s="17">
        <f>IFERROR(__xludf.DUMMYFUNCTION("""COMPUTED_VALUE"""),4.0)</f>
        <v>4</v>
      </c>
      <c r="G4141" s="17" t="str">
        <f>IFERROR(__xludf.DUMMYFUNCTION("""COMPUTED_VALUE"""),"71003")</f>
        <v>71003</v>
      </c>
      <c r="H4141" s="17" t="str">
        <f>IFERROR(__xludf.DUMMYFUNCTION("""COMPUTED_VALUE"""),"тонер та чорнила для друку")</f>
        <v>тонер та чорнила для друку</v>
      </c>
      <c r="I4141" s="19">
        <f>IFERROR(__xludf.DUMMYFUNCTION("""COMPUTED_VALUE"""),0.0769)</f>
        <v>0.0769</v>
      </c>
      <c r="J4141" s="19">
        <f>IFERROR(__xludf.DUMMYFUNCTION("""COMPUTED_VALUE"""),0.1538)</f>
        <v>0.1538</v>
      </c>
      <c r="K4141" s="19">
        <f>IFERROR(__xludf.DUMMYFUNCTION("""COMPUTED_VALUE"""),0.1923)</f>
        <v>0.1923</v>
      </c>
      <c r="L4141" s="19">
        <f>IFERROR(__xludf.DUMMYFUNCTION("""COMPUTED_VALUE"""),0.2307)</f>
        <v>0.2307</v>
      </c>
      <c r="M4141" s="18">
        <f>IFERROR(__xludf.DUMMYFUNCTION("""COMPUTED_VALUE"""),4.23)</f>
        <v>4.23</v>
      </c>
    </row>
    <row r="4142">
      <c r="A4142" s="13" t="str">
        <f>IFERROR(__xludf.DUMMYFUNCTION("""COMPUTED_VALUE"""),"товари")</f>
        <v>товари</v>
      </c>
      <c r="B4142" s="16" t="str">
        <f>IFERROR(__xludf.DUMMYFUNCTION("""COMPUTED_VALUE"""),"техніка та електроніка")</f>
        <v>техніка та електроніка</v>
      </c>
      <c r="C4142" s="16" t="str">
        <f>IFERROR(__xludf.DUMMYFUNCTION("""COMPUTED_VALUE"""),"побутова техніка")</f>
        <v>побутова техніка</v>
      </c>
      <c r="D4142" s="16" t="str">
        <f>IFERROR(__xludf.DUMMYFUNCTION("""COMPUTED_VALUE"""),"дрібна побутова техніка для кухні")</f>
        <v>дрібна побутова техніка для кухні</v>
      </c>
      <c r="E4142" s="16" t="str">
        <f>IFERROR(__xludf.DUMMYFUNCTION("""COMPUTED_VALUE"""),"тостери")</f>
        <v>тостери</v>
      </c>
      <c r="F4142" s="17">
        <f>IFERROR(__xludf.DUMMYFUNCTION("""COMPUTED_VALUE"""),4.0)</f>
        <v>4</v>
      </c>
      <c r="G4142" s="17" t="str">
        <f>IFERROR(__xludf.DUMMYFUNCTION("""COMPUTED_VALUE"""),"639")</f>
        <v>639</v>
      </c>
      <c r="H4142" s="17" t="str">
        <f>IFERROR(__xludf.DUMMYFUNCTION("""COMPUTED_VALUE"""),"тостери")</f>
        <v>тостери</v>
      </c>
      <c r="I4142" s="19">
        <f>IFERROR(__xludf.DUMMYFUNCTION("""COMPUTED_VALUE"""),0.0733)</f>
        <v>0.0733</v>
      </c>
      <c r="J4142" s="19">
        <f>IFERROR(__xludf.DUMMYFUNCTION("""COMPUTED_VALUE"""),0.1466)</f>
        <v>0.1466</v>
      </c>
      <c r="K4142" s="19">
        <f>IFERROR(__xludf.DUMMYFUNCTION("""COMPUTED_VALUE"""),0.1833)</f>
        <v>0.1833</v>
      </c>
      <c r="L4142" s="19">
        <f>IFERROR(__xludf.DUMMYFUNCTION("""COMPUTED_VALUE"""),0.2199)</f>
        <v>0.2199</v>
      </c>
      <c r="M4142" s="18">
        <f>IFERROR(__xludf.DUMMYFUNCTION("""COMPUTED_VALUE"""),3.06)</f>
        <v>3.06</v>
      </c>
    </row>
    <row r="4143">
      <c r="A4143" s="13" t="str">
        <f>IFERROR(__xludf.DUMMYFUNCTION("""COMPUTED_VALUE"""),"товари")</f>
        <v>товари</v>
      </c>
      <c r="B4143" s="16" t="str">
        <f>IFERROR(__xludf.DUMMYFUNCTION("""COMPUTED_VALUE"""),"техніка та електроніка")</f>
        <v>техніка та електроніка</v>
      </c>
      <c r="C4143" s="16" t="str">
        <f>IFERROR(__xludf.DUMMYFUNCTION("""COMPUTED_VALUE"""),"побутова техніка")</f>
        <v>побутова техніка</v>
      </c>
      <c r="D4143" s="16" t="str">
        <f>IFERROR(__xludf.DUMMYFUNCTION("""COMPUTED_VALUE"""),"побутова техніка для дому")</f>
        <v>побутова техніка для дому</v>
      </c>
      <c r="E4143" s="16" t="str">
        <f>IFERROR(__xludf.DUMMYFUNCTION("""COMPUTED_VALUE"""),"ультразвукові пральні машини")</f>
        <v>ультразвукові пральні машини</v>
      </c>
      <c r="F4143" s="17">
        <f>IFERROR(__xludf.DUMMYFUNCTION("""COMPUTED_VALUE"""),4.0)</f>
        <v>4</v>
      </c>
      <c r="G4143" s="17" t="str">
        <f>IFERROR(__xludf.DUMMYFUNCTION("""COMPUTED_VALUE"""),"60304")</f>
        <v>60304</v>
      </c>
      <c r="H4143" s="17" t="str">
        <f>IFERROR(__xludf.DUMMYFUNCTION("""COMPUTED_VALUE"""),"ультразвукові пральні машини")</f>
        <v>ультразвукові пральні машини</v>
      </c>
      <c r="I4143" s="19">
        <f>IFERROR(__xludf.DUMMYFUNCTION("""COMPUTED_VALUE"""),0.0627)</f>
        <v>0.0627</v>
      </c>
      <c r="J4143" s="19">
        <f>IFERROR(__xludf.DUMMYFUNCTION("""COMPUTED_VALUE"""),0.1253)</f>
        <v>0.1253</v>
      </c>
      <c r="K4143" s="19">
        <f>IFERROR(__xludf.DUMMYFUNCTION("""COMPUTED_VALUE"""),0.1566)</f>
        <v>0.1566</v>
      </c>
      <c r="L4143" s="19">
        <f>IFERROR(__xludf.DUMMYFUNCTION("""COMPUTED_VALUE"""),0.188)</f>
        <v>0.188</v>
      </c>
      <c r="M4143" s="18">
        <f>IFERROR(__xludf.DUMMYFUNCTION("""COMPUTED_VALUE"""),3.06)</f>
        <v>3.06</v>
      </c>
    </row>
    <row r="4144">
      <c r="A4144" s="13" t="str">
        <f>IFERROR(__xludf.DUMMYFUNCTION("""COMPUTED_VALUE"""),"товари")</f>
        <v>товари</v>
      </c>
      <c r="B4144" s="16" t="str">
        <f>IFERROR(__xludf.DUMMYFUNCTION("""COMPUTED_VALUE"""),"техніка та електроніка")</f>
        <v>техніка та електроніка</v>
      </c>
      <c r="C4144" s="16" t="str">
        <f>IFERROR(__xludf.DUMMYFUNCTION("""COMPUTED_VALUE"""),"побутова техніка")</f>
        <v>побутова техніка</v>
      </c>
      <c r="D4144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144" s="16" t="str">
        <f>IFERROR(__xludf.DUMMYFUNCTION("""COMPUTED_VALUE"""),"фени для волосся")</f>
        <v>фени для волосся</v>
      </c>
      <c r="F4144" s="17">
        <f>IFERROR(__xludf.DUMMYFUNCTION("""COMPUTED_VALUE"""),4.0)</f>
        <v>4</v>
      </c>
      <c r="G4144" s="17" t="str">
        <f>IFERROR(__xludf.DUMMYFUNCTION("""COMPUTED_VALUE"""),"617")</f>
        <v>617</v>
      </c>
      <c r="H4144" s="17" t="str">
        <f>IFERROR(__xludf.DUMMYFUNCTION("""COMPUTED_VALUE"""),"фени для волосся")</f>
        <v>фени для волосся</v>
      </c>
      <c r="I4144" s="19">
        <f>IFERROR(__xludf.DUMMYFUNCTION("""COMPUTED_VALUE"""),0.0787)</f>
        <v>0.0787</v>
      </c>
      <c r="J4144" s="19">
        <f>IFERROR(__xludf.DUMMYFUNCTION("""COMPUTED_VALUE"""),0.1573)</f>
        <v>0.1573</v>
      </c>
      <c r="K4144" s="19">
        <f>IFERROR(__xludf.DUMMYFUNCTION("""COMPUTED_VALUE"""),0.1966)</f>
        <v>0.1966</v>
      </c>
      <c r="L4144" s="19">
        <f>IFERROR(__xludf.DUMMYFUNCTION("""COMPUTED_VALUE"""),0.236)</f>
        <v>0.236</v>
      </c>
      <c r="M4144" s="18">
        <f>IFERROR(__xludf.DUMMYFUNCTION("""COMPUTED_VALUE"""),4.05)</f>
        <v>4.05</v>
      </c>
    </row>
    <row r="4145">
      <c r="A4145" s="13" t="str">
        <f>IFERROR(__xludf.DUMMYFUNCTION("""COMPUTED_VALUE"""),"товари")</f>
        <v>товари</v>
      </c>
      <c r="B4145" s="16" t="str">
        <f>IFERROR(__xludf.DUMMYFUNCTION("""COMPUTED_VALUE"""),"техніка та електроніка")</f>
        <v>техніка та електроніка</v>
      </c>
      <c r="C4145" s="16" t="str">
        <f>IFERROR(__xludf.DUMMYFUNCTION("""COMPUTED_VALUE"""),"фото-, відеокамери та аксесуари")</f>
        <v>фото-, відеокамери та аксесуари</v>
      </c>
      <c r="D4145" s="16" t="str">
        <f>IFERROR(__xludf.DUMMYFUNCTION("""COMPUTED_VALUE"""),"студійне обладнання")</f>
        <v>студійне обладнання</v>
      </c>
      <c r="E4145" s="16" t="str">
        <f>IFERROR(__xludf.DUMMYFUNCTION("""COMPUTED_VALUE"""),"фони та системи встановлення")</f>
        <v>фони та системи встановлення</v>
      </c>
      <c r="F4145" s="17">
        <f>IFERROR(__xludf.DUMMYFUNCTION("""COMPUTED_VALUE"""),4.0)</f>
        <v>4</v>
      </c>
      <c r="G4145" s="17" t="str">
        <f>IFERROR(__xludf.DUMMYFUNCTION("""COMPUTED_VALUE"""),"500411")</f>
        <v>500411</v>
      </c>
      <c r="H4145" s="17" t="str">
        <f>IFERROR(__xludf.DUMMYFUNCTION("""COMPUTED_VALUE"""),"фони та системи встановлення")</f>
        <v>фони та системи встановлення</v>
      </c>
      <c r="I4145" s="19">
        <f>IFERROR(__xludf.DUMMYFUNCTION("""COMPUTED_VALUE"""),0.1076)</f>
        <v>0.1076</v>
      </c>
      <c r="J4145" s="19">
        <f>IFERROR(__xludf.DUMMYFUNCTION("""COMPUTED_VALUE"""),0.2152)</f>
        <v>0.2152</v>
      </c>
      <c r="K4145" s="19">
        <f>IFERROR(__xludf.DUMMYFUNCTION("""COMPUTED_VALUE"""),0.269)</f>
        <v>0.269</v>
      </c>
      <c r="L4145" s="19">
        <f>IFERROR(__xludf.DUMMYFUNCTION("""COMPUTED_VALUE"""),0.3228)</f>
        <v>0.3228</v>
      </c>
      <c r="M4145" s="18">
        <f>IFERROR(__xludf.DUMMYFUNCTION("""COMPUTED_VALUE"""),2.7)</f>
        <v>2.7</v>
      </c>
    </row>
    <row r="4146">
      <c r="A4146" s="13" t="str">
        <f>IFERROR(__xludf.DUMMYFUNCTION("""COMPUTED_VALUE"""),"товари")</f>
        <v>товари</v>
      </c>
      <c r="B4146" s="16" t="str">
        <f>IFERROR(__xludf.DUMMYFUNCTION("""COMPUTED_VALUE"""),"техніка та електроніка")</f>
        <v>техніка та електроніка</v>
      </c>
      <c r="C4146" s="16" t="str">
        <f>IFERROR(__xludf.DUMMYFUNCTION("""COMPUTED_VALUE"""),"фото-, відеокамери та аксесуари")</f>
        <v>фото-, відеокамери та аксесуари</v>
      </c>
      <c r="D4146" s="16" t="str">
        <f>IFERROR(__xludf.DUMMYFUNCTION("""COMPUTED_VALUE"""),"аксесуари для фото-, відеокамер")</f>
        <v>аксесуари для фото-, відеокамер</v>
      </c>
      <c r="E4146" s="16" t="str">
        <f>IFERROR(__xludf.DUMMYFUNCTION("""COMPUTED_VALUE"""),"фото- та відеоплівка")</f>
        <v>фото- та відеоплівка</v>
      </c>
      <c r="F4146" s="17">
        <f>IFERROR(__xludf.DUMMYFUNCTION("""COMPUTED_VALUE"""),4.0)</f>
        <v>4</v>
      </c>
      <c r="G4146" s="17" t="str">
        <f>IFERROR(__xludf.DUMMYFUNCTION("""COMPUTED_VALUE"""),"1908")</f>
        <v>1908</v>
      </c>
      <c r="H4146" s="17" t="str">
        <f>IFERROR(__xludf.DUMMYFUNCTION("""COMPUTED_VALUE"""),"фото- та відеоплівка")</f>
        <v>фото- та відеоплівка</v>
      </c>
      <c r="I4146" s="19">
        <f>IFERROR(__xludf.DUMMYFUNCTION("""COMPUTED_VALUE"""),0.0968)</f>
        <v>0.0968</v>
      </c>
      <c r="J4146" s="19">
        <f>IFERROR(__xludf.DUMMYFUNCTION("""COMPUTED_VALUE"""),0.1935)</f>
        <v>0.1935</v>
      </c>
      <c r="K4146" s="19">
        <f>IFERROR(__xludf.DUMMYFUNCTION("""COMPUTED_VALUE"""),0.2419)</f>
        <v>0.2419</v>
      </c>
      <c r="L4146" s="19">
        <f>IFERROR(__xludf.DUMMYFUNCTION("""COMPUTED_VALUE"""),0.2903)</f>
        <v>0.2903</v>
      </c>
      <c r="M4146" s="18">
        <f>IFERROR(__xludf.DUMMYFUNCTION("""COMPUTED_VALUE"""),1.98)</f>
        <v>1.98</v>
      </c>
    </row>
    <row r="4147">
      <c r="A4147" s="13" t="str">
        <f>IFERROR(__xludf.DUMMYFUNCTION("""COMPUTED_VALUE"""),"товари")</f>
        <v>товари</v>
      </c>
      <c r="B4147" s="16" t="str">
        <f>IFERROR(__xludf.DUMMYFUNCTION("""COMPUTED_VALUE"""),"техніка та електроніка")</f>
        <v>техніка та електроніка</v>
      </c>
      <c r="C4147" s="16" t="str">
        <f>IFERROR(__xludf.DUMMYFUNCTION("""COMPUTED_VALUE"""),"фото-, відеокамери та аксесуари")</f>
        <v>фото-, відеокамери та аксесуари</v>
      </c>
      <c r="D4147" s="16" t="str">
        <f>IFERROR(__xludf.DUMMYFUNCTION("""COMPUTED_VALUE"""),"фото-, відеокамери та аксесуари, загальне")</f>
        <v>фото-, відеокамери та аксесуари, загальне</v>
      </c>
      <c r="E4147" s="16" t="str">
        <f>IFERROR(__xludf.DUMMYFUNCTION("""COMPUTED_VALUE"""),"фото-, відеокамери та аксесуари, загальне")</f>
        <v>фото-, відеокамери та аксесуари, загальне</v>
      </c>
      <c r="F4147" s="17">
        <f>IFERROR(__xludf.DUMMYFUNCTION("""COMPUTED_VALUE"""),3.0)</f>
        <v>3</v>
      </c>
      <c r="G4147" s="17" t="str">
        <f>IFERROR(__xludf.DUMMYFUNCTION("""COMPUTED_VALUE"""),"500401")</f>
        <v>500401</v>
      </c>
      <c r="H4147" s="17" t="str">
        <f>IFERROR(__xludf.DUMMYFUNCTION("""COMPUTED_VALUE"""),"фото-, відеокамери та аксесуари, загальне")</f>
        <v>фото-, відеокамери та аксесуари, загальне</v>
      </c>
      <c r="I4147" s="19">
        <f>IFERROR(__xludf.DUMMYFUNCTION("""COMPUTED_VALUE"""),0.125)</f>
        <v>0.125</v>
      </c>
      <c r="J4147" s="19">
        <f>IFERROR(__xludf.DUMMYFUNCTION("""COMPUTED_VALUE"""),0.25)</f>
        <v>0.25</v>
      </c>
      <c r="K4147" s="19">
        <f>IFERROR(__xludf.DUMMYFUNCTION("""COMPUTED_VALUE"""),0.3125)</f>
        <v>0.3125</v>
      </c>
      <c r="L4147" s="19">
        <f>IFERROR(__xludf.DUMMYFUNCTION("""COMPUTED_VALUE"""),0.375)</f>
        <v>0.375</v>
      </c>
      <c r="M4147" s="18">
        <f>IFERROR(__xludf.DUMMYFUNCTION("""COMPUTED_VALUE"""),4.33)</f>
        <v>4.33</v>
      </c>
    </row>
    <row r="4148">
      <c r="A4148" s="13" t="str">
        <f>IFERROR(__xludf.DUMMYFUNCTION("""COMPUTED_VALUE"""),"товари")</f>
        <v>товари</v>
      </c>
      <c r="B4148" s="16" t="str">
        <f>IFERROR(__xludf.DUMMYFUNCTION("""COMPUTED_VALUE"""),"товари для дому")</f>
        <v>товари для дому</v>
      </c>
      <c r="C4148" s="16" t="str">
        <f>IFERROR(__xludf.DUMMYFUNCTION("""COMPUTED_VALUE"""),"декор для дому")</f>
        <v>декор для дому</v>
      </c>
      <c r="D4148" s="16" t="str">
        <f>IFERROR(__xludf.DUMMYFUNCTION("""COMPUTED_VALUE"""),"фотоальбоми")</f>
        <v>фотоальбоми</v>
      </c>
      <c r="E4148" s="16" t="str">
        <f>IFERROR(__xludf.DUMMYFUNCTION("""COMPUTED_VALUE"""),"фотоальбоми")</f>
        <v>фотоальбоми</v>
      </c>
      <c r="F4148" s="17">
        <f>IFERROR(__xludf.DUMMYFUNCTION("""COMPUTED_VALUE"""),3.0)</f>
        <v>3</v>
      </c>
      <c r="G4148" s="17" t="str">
        <f>IFERROR(__xludf.DUMMYFUNCTION("""COMPUTED_VALUE"""),"1905")</f>
        <v>1905</v>
      </c>
      <c r="H4148" s="17" t="str">
        <f>IFERROR(__xludf.DUMMYFUNCTION("""COMPUTED_VALUE"""),"фотоальбоми")</f>
        <v>фотоальбоми</v>
      </c>
      <c r="I4148" s="19">
        <f>IFERROR(__xludf.DUMMYFUNCTION("""COMPUTED_VALUE"""),0.0772)</f>
        <v>0.0772</v>
      </c>
      <c r="J4148" s="19">
        <f>IFERROR(__xludf.DUMMYFUNCTION("""COMPUTED_VALUE"""),0.1544)</f>
        <v>0.1544</v>
      </c>
      <c r="K4148" s="19">
        <f>IFERROR(__xludf.DUMMYFUNCTION("""COMPUTED_VALUE"""),0.193)</f>
        <v>0.193</v>
      </c>
      <c r="L4148" s="19">
        <f>IFERROR(__xludf.DUMMYFUNCTION("""COMPUTED_VALUE"""),0.2316)</f>
        <v>0.2316</v>
      </c>
      <c r="M4148" s="18">
        <f>IFERROR(__xludf.DUMMYFUNCTION("""COMPUTED_VALUE"""),2.25)</f>
        <v>2.25</v>
      </c>
    </row>
    <row r="4149">
      <c r="A4149" s="13" t="str">
        <f>IFERROR(__xludf.DUMMYFUNCTION("""COMPUTED_VALUE"""),"товари")</f>
        <v>товари</v>
      </c>
      <c r="B4149" s="16" t="str">
        <f>IFERROR(__xludf.DUMMYFUNCTION("""COMPUTED_VALUE"""),"техніка та електроніка")</f>
        <v>техніка та електроніка</v>
      </c>
      <c r="C4149" s="16" t="str">
        <f>IFERROR(__xludf.DUMMYFUNCTION("""COMPUTED_VALUE"""),"фото-, відеокамери та аксесуари")</f>
        <v>фото-, відеокамери та аксесуари</v>
      </c>
      <c r="D4149" s="16" t="str">
        <f>IFERROR(__xludf.DUMMYFUNCTION("""COMPUTED_VALUE"""),"фототехніка")</f>
        <v>фототехніка</v>
      </c>
      <c r="E4149" s="16" t="str">
        <f>IFERROR(__xludf.DUMMYFUNCTION("""COMPUTED_VALUE"""),"фотоапарати")</f>
        <v>фотоапарати</v>
      </c>
      <c r="F4149" s="17">
        <f>IFERROR(__xludf.DUMMYFUNCTION("""COMPUTED_VALUE"""),4.0)</f>
        <v>4</v>
      </c>
      <c r="G4149" s="17" t="str">
        <f>IFERROR(__xludf.DUMMYFUNCTION("""COMPUTED_VALUE"""),"1909")</f>
        <v>1909</v>
      </c>
      <c r="H4149" s="17" t="str">
        <f>IFERROR(__xludf.DUMMYFUNCTION("""COMPUTED_VALUE"""),"фотоапарати")</f>
        <v>фотоапарати</v>
      </c>
      <c r="I4149" s="19">
        <f>IFERROR(__xludf.DUMMYFUNCTION("""COMPUTED_VALUE"""),0.0786)</f>
        <v>0.0786</v>
      </c>
      <c r="J4149" s="19">
        <f>IFERROR(__xludf.DUMMYFUNCTION("""COMPUTED_VALUE"""),0.1572)</f>
        <v>0.1572</v>
      </c>
      <c r="K4149" s="19">
        <f>IFERROR(__xludf.DUMMYFUNCTION("""COMPUTED_VALUE"""),0.1965)</f>
        <v>0.1965</v>
      </c>
      <c r="L4149" s="19">
        <f>IFERROR(__xludf.DUMMYFUNCTION("""COMPUTED_VALUE"""),0.2358)</f>
        <v>0.2358</v>
      </c>
      <c r="M4149" s="28">
        <f>IFERROR(__xludf.DUMMYFUNCTION("""COMPUTED_VALUE"""),1.53)</f>
        <v>1.53</v>
      </c>
    </row>
    <row r="4150">
      <c r="A4150" s="13" t="str">
        <f>IFERROR(__xludf.DUMMYFUNCTION("""COMPUTED_VALUE"""),"товари")</f>
        <v>товари</v>
      </c>
      <c r="B4150" s="16" t="str">
        <f>IFERROR(__xludf.DUMMYFUNCTION("""COMPUTED_VALUE"""),"техніка та електроніка")</f>
        <v>техніка та електроніка</v>
      </c>
      <c r="C4150" s="16" t="str">
        <f>IFERROR(__xludf.DUMMYFUNCTION("""COMPUTED_VALUE"""),"фото-, відеокамери та аксесуари")</f>
        <v>фото-, відеокамери та аксесуари</v>
      </c>
      <c r="D4150" s="16" t="str">
        <f>IFERROR(__xludf.DUMMYFUNCTION("""COMPUTED_VALUE"""),"фототехніка")</f>
        <v>фототехніка</v>
      </c>
      <c r="E4150" s="16" t="str">
        <f>IFERROR(__xludf.DUMMYFUNCTION("""COMPUTED_VALUE"""),"фототехніка, загальне")</f>
        <v>фототехніка, загальне</v>
      </c>
      <c r="F4150" s="17">
        <f>IFERROR(__xludf.DUMMYFUNCTION("""COMPUTED_VALUE"""),4.0)</f>
        <v>4</v>
      </c>
      <c r="G4150" s="17" t="str">
        <f>IFERROR(__xludf.DUMMYFUNCTION("""COMPUTED_VALUE"""),"500404")</f>
        <v>500404</v>
      </c>
      <c r="H4150" s="17" t="str">
        <f>IFERROR(__xludf.DUMMYFUNCTION("""COMPUTED_VALUE"""),"фототехніка, загальне")</f>
        <v>фототехніка, загальне</v>
      </c>
      <c r="I4150" s="19">
        <f>IFERROR(__xludf.DUMMYFUNCTION("""COMPUTED_VALUE"""),0.125)</f>
        <v>0.125</v>
      </c>
      <c r="J4150" s="19">
        <f>IFERROR(__xludf.DUMMYFUNCTION("""COMPUTED_VALUE"""),0.25)</f>
        <v>0.25</v>
      </c>
      <c r="K4150" s="19">
        <f>IFERROR(__xludf.DUMMYFUNCTION("""COMPUTED_VALUE"""),0.3125)</f>
        <v>0.3125</v>
      </c>
      <c r="L4150" s="19">
        <f>IFERROR(__xludf.DUMMYFUNCTION("""COMPUTED_VALUE"""),0.375)</f>
        <v>0.375</v>
      </c>
      <c r="M4150" s="18">
        <f>IFERROR(__xludf.DUMMYFUNCTION("""COMPUTED_VALUE"""),4.33)</f>
        <v>4.33</v>
      </c>
    </row>
    <row r="4151">
      <c r="A4151" s="13" t="str">
        <f>IFERROR(__xludf.DUMMYFUNCTION("""COMPUTED_VALUE"""),"товари")</f>
        <v>товари</v>
      </c>
      <c r="B4151" s="16" t="str">
        <f>IFERROR(__xludf.DUMMYFUNCTION("""COMPUTED_VALUE"""),"техніка та електроніка")</f>
        <v>техніка та електроніка</v>
      </c>
      <c r="C4151" s="16" t="str">
        <f>IFERROR(__xludf.DUMMYFUNCTION("""COMPUTED_VALUE"""),"побутова техніка")</f>
        <v>побутова техніка</v>
      </c>
      <c r="D4151" s="16" t="str">
        <f>IFERROR(__xludf.DUMMYFUNCTION("""COMPUTED_VALUE"""),"дрібна побутова техніка для кухні")</f>
        <v>дрібна побутова техніка для кухні</v>
      </c>
      <c r="E4151" s="16" t="str">
        <f>IFERROR(__xludf.DUMMYFUNCTION("""COMPUTED_VALUE"""),"фритюрниці")</f>
        <v>фритюрниці</v>
      </c>
      <c r="F4151" s="17">
        <f>IFERROR(__xludf.DUMMYFUNCTION("""COMPUTED_VALUE"""),4.0)</f>
        <v>4</v>
      </c>
      <c r="G4151" s="17" t="str">
        <f>IFERROR(__xludf.DUMMYFUNCTION("""COMPUTED_VALUE"""),"64306")</f>
        <v>64306</v>
      </c>
      <c r="H4151" s="17" t="str">
        <f>IFERROR(__xludf.DUMMYFUNCTION("""COMPUTED_VALUE"""),"фритюрниці")</f>
        <v>фритюрниці</v>
      </c>
      <c r="I4151" s="19">
        <f>IFERROR(__xludf.DUMMYFUNCTION("""COMPUTED_VALUE"""),0.0759)</f>
        <v>0.0759</v>
      </c>
      <c r="J4151" s="19">
        <f>IFERROR(__xludf.DUMMYFUNCTION("""COMPUTED_VALUE"""),0.1518)</f>
        <v>0.1518</v>
      </c>
      <c r="K4151" s="19">
        <f>IFERROR(__xludf.DUMMYFUNCTION("""COMPUTED_VALUE"""),0.1898)</f>
        <v>0.1898</v>
      </c>
      <c r="L4151" s="19">
        <f>IFERROR(__xludf.DUMMYFUNCTION("""COMPUTED_VALUE"""),0.2277)</f>
        <v>0.2277</v>
      </c>
      <c r="M4151" s="18">
        <f>IFERROR(__xludf.DUMMYFUNCTION("""COMPUTED_VALUE"""),3.06)</f>
        <v>3.06</v>
      </c>
    </row>
    <row r="4152">
      <c r="A4152" s="13" t="str">
        <f>IFERROR(__xludf.DUMMYFUNCTION("""COMPUTED_VALUE"""),"товари")</f>
        <v>товари</v>
      </c>
      <c r="B4152" s="16" t="str">
        <f>IFERROR(__xludf.DUMMYFUNCTION("""COMPUTED_VALUE"""),"техніка та електроніка")</f>
        <v>техніка та електроніка</v>
      </c>
      <c r="C4152" s="16" t="str">
        <f>IFERROR(__xludf.DUMMYFUNCTION("""COMPUTED_VALUE"""),"побутова техніка")</f>
        <v>побутова техніка</v>
      </c>
      <c r="D4152" s="16" t="str">
        <f>IFERROR(__xludf.DUMMYFUNCTION("""COMPUTED_VALUE"""),"дрібна побутова техніка для кухні")</f>
        <v>дрібна побутова техніка для кухні</v>
      </c>
      <c r="E4152" s="16" t="str">
        <f>IFERROR(__xludf.DUMMYFUNCTION("""COMPUTED_VALUE"""),"хлібопечі")</f>
        <v>хлібопечі</v>
      </c>
      <c r="F4152" s="17">
        <f>IFERROR(__xludf.DUMMYFUNCTION("""COMPUTED_VALUE"""),4.0)</f>
        <v>4</v>
      </c>
      <c r="G4152" s="17" t="str">
        <f>IFERROR(__xludf.DUMMYFUNCTION("""COMPUTED_VALUE"""),"63007")</f>
        <v>63007</v>
      </c>
      <c r="H4152" s="17" t="str">
        <f>IFERROR(__xludf.DUMMYFUNCTION("""COMPUTED_VALUE"""),"хлібопечі")</f>
        <v>хлібопечі</v>
      </c>
      <c r="I4152" s="19">
        <f>IFERROR(__xludf.DUMMYFUNCTION("""COMPUTED_VALUE"""),0.0662)</f>
        <v>0.0662</v>
      </c>
      <c r="J4152" s="19">
        <f>IFERROR(__xludf.DUMMYFUNCTION("""COMPUTED_VALUE"""),0.1323)</f>
        <v>0.1323</v>
      </c>
      <c r="K4152" s="19">
        <f>IFERROR(__xludf.DUMMYFUNCTION("""COMPUTED_VALUE"""),0.1654)</f>
        <v>0.1654</v>
      </c>
      <c r="L4152" s="19">
        <f>IFERROR(__xludf.DUMMYFUNCTION("""COMPUTED_VALUE"""),0.1985)</f>
        <v>0.1985</v>
      </c>
      <c r="M4152" s="18">
        <f>IFERROR(__xludf.DUMMYFUNCTION("""COMPUTED_VALUE"""),3.06)</f>
        <v>3.06</v>
      </c>
    </row>
    <row r="4153">
      <c r="A4153" s="13" t="str">
        <f>IFERROR(__xludf.DUMMYFUNCTION("""COMPUTED_VALUE"""),"товари")</f>
        <v>товари</v>
      </c>
      <c r="B4153" s="16" t="str">
        <f>IFERROR(__xludf.DUMMYFUNCTION("""COMPUTED_VALUE"""),"техніка та електроніка")</f>
        <v>техніка та електроніка</v>
      </c>
      <c r="C4153" s="16" t="str">
        <f>IFERROR(__xludf.DUMMYFUNCTION("""COMPUTED_VALUE"""),"побутова техніка")</f>
        <v>побутова техніка</v>
      </c>
      <c r="D4153" s="16" t="str">
        <f>IFERROR(__xludf.DUMMYFUNCTION("""COMPUTED_VALUE"""),"велика побутова техніка для кухні")</f>
        <v>велика побутова техніка для кухні</v>
      </c>
      <c r="E4153" s="16" t="str">
        <f>IFERROR(__xludf.DUMMYFUNCTION("""COMPUTED_VALUE"""),"холодильники")</f>
        <v>холодильники</v>
      </c>
      <c r="F4153" s="17">
        <f>IFERROR(__xludf.DUMMYFUNCTION("""COMPUTED_VALUE"""),4.0)</f>
        <v>4</v>
      </c>
      <c r="G4153" s="17" t="str">
        <f>IFERROR(__xludf.DUMMYFUNCTION("""COMPUTED_VALUE"""),"602")</f>
        <v>602</v>
      </c>
      <c r="H4153" s="17" t="str">
        <f>IFERROR(__xludf.DUMMYFUNCTION("""COMPUTED_VALUE"""),"холодильники")</f>
        <v>холодильники</v>
      </c>
      <c r="I4153" s="19">
        <f>IFERROR(__xludf.DUMMYFUNCTION("""COMPUTED_VALUE"""),0.0479)</f>
        <v>0.0479</v>
      </c>
      <c r="J4153" s="19">
        <f>IFERROR(__xludf.DUMMYFUNCTION("""COMPUTED_VALUE"""),0.0958)</f>
        <v>0.0958</v>
      </c>
      <c r="K4153" s="19">
        <f>IFERROR(__xludf.DUMMYFUNCTION("""COMPUTED_VALUE"""),0.1198)</f>
        <v>0.1198</v>
      </c>
      <c r="L4153" s="19">
        <f>IFERROR(__xludf.DUMMYFUNCTION("""COMPUTED_VALUE"""),0.1437)</f>
        <v>0.1437</v>
      </c>
      <c r="M4153" s="18">
        <f>IFERROR(__xludf.DUMMYFUNCTION("""COMPUTED_VALUE"""),1.53)</f>
        <v>1.53</v>
      </c>
    </row>
    <row r="4154">
      <c r="A4154" s="13" t="str">
        <f>IFERROR(__xludf.DUMMYFUNCTION("""COMPUTED_VALUE"""),"товари")</f>
        <v>товари</v>
      </c>
      <c r="B4154" s="16" t="str">
        <f>IFERROR(__xludf.DUMMYFUNCTION("""COMPUTED_VALUE"""),"техніка та електроніка")</f>
        <v>техніка та електроніка</v>
      </c>
      <c r="C4154" s="16" t="str">
        <f>IFERROR(__xludf.DUMMYFUNCTION("""COMPUTED_VALUE"""),"побутова техніка")</f>
        <v>побутова техніка</v>
      </c>
      <c r="D4154" s="16" t="str">
        <f>IFERROR(__xludf.DUMMYFUNCTION("""COMPUTED_VALUE"""),"велика побутова техніка для кухні")</f>
        <v>велика побутова техніка для кухні</v>
      </c>
      <c r="E4154" s="16" t="str">
        <f>IFERROR(__xludf.DUMMYFUNCTION("""COMPUTED_VALUE"""),"холодильники для вина")</f>
        <v>холодильники для вина</v>
      </c>
      <c r="F4154" s="17">
        <f>IFERROR(__xludf.DUMMYFUNCTION("""COMPUTED_VALUE"""),4.0)</f>
        <v>4</v>
      </c>
      <c r="G4154" s="17" t="str">
        <f>IFERROR(__xludf.DUMMYFUNCTION("""COMPUTED_VALUE"""),"60204")</f>
        <v>60204</v>
      </c>
      <c r="H4154" s="17" t="str">
        <f>IFERROR(__xludf.DUMMYFUNCTION("""COMPUTED_VALUE"""),"холодильники для вина")</f>
        <v>холодильники для вина</v>
      </c>
      <c r="I4154" s="19">
        <f>IFERROR(__xludf.DUMMYFUNCTION("""COMPUTED_VALUE"""),0.0551)</f>
        <v>0.0551</v>
      </c>
      <c r="J4154" s="19">
        <f>IFERROR(__xludf.DUMMYFUNCTION("""COMPUTED_VALUE"""),0.1102)</f>
        <v>0.1102</v>
      </c>
      <c r="K4154" s="19">
        <f>IFERROR(__xludf.DUMMYFUNCTION("""COMPUTED_VALUE"""),0.1378)</f>
        <v>0.1378</v>
      </c>
      <c r="L4154" s="19">
        <f>IFERROR(__xludf.DUMMYFUNCTION("""COMPUTED_VALUE"""),0.1653)</f>
        <v>0.1653</v>
      </c>
      <c r="M4154" s="18">
        <f>IFERROR(__xludf.DUMMYFUNCTION("""COMPUTED_VALUE"""),1.53)</f>
        <v>1.53</v>
      </c>
    </row>
    <row r="4155">
      <c r="A4155" s="13" t="str">
        <f>IFERROR(__xludf.DUMMYFUNCTION("""COMPUTED_VALUE"""),"товари")</f>
        <v>товари</v>
      </c>
      <c r="B4155" s="16" t="str">
        <f>IFERROR(__xludf.DUMMYFUNCTION("""COMPUTED_VALUE"""),"техніка та електроніка")</f>
        <v>техніка та електроніка</v>
      </c>
      <c r="C4155" s="16" t="str">
        <f>IFERROR(__xludf.DUMMYFUNCTION("""COMPUTED_VALUE"""),"комп'ютерна техніка та пз")</f>
        <v>комп'ютерна техніка та пз</v>
      </c>
      <c r="D4155" s="16" t="str">
        <f>IFERROR(__xludf.DUMMYFUNCTION("""COMPUTED_VALUE"""),"комплектуючі для комп'ютерної техніки")</f>
        <v>комплектуючі для комп'ютерної техніки</v>
      </c>
      <c r="E4155" s="16" t="str">
        <f>IFERROR(__xludf.DUMMYFUNCTION("""COMPUTED_VALUE"""),"частини корпусу ноутбука")</f>
        <v>частини корпусу ноутбука</v>
      </c>
      <c r="F4155" s="17">
        <f>IFERROR(__xludf.DUMMYFUNCTION("""COMPUTED_VALUE"""),4.0)</f>
        <v>4</v>
      </c>
      <c r="G4155" s="17" t="str">
        <f>IFERROR(__xludf.DUMMYFUNCTION("""COMPUTED_VALUE"""),"7070908")</f>
        <v>7070908</v>
      </c>
      <c r="H4155" s="17" t="str">
        <f>IFERROR(__xludf.DUMMYFUNCTION("""COMPUTED_VALUE"""),"частини корпусу ноутбука")</f>
        <v>частини корпусу ноутбука</v>
      </c>
      <c r="I4155" s="19">
        <f>IFERROR(__xludf.DUMMYFUNCTION("""COMPUTED_VALUE"""),0.0876)</f>
        <v>0.0876</v>
      </c>
      <c r="J4155" s="19">
        <f>IFERROR(__xludf.DUMMYFUNCTION("""COMPUTED_VALUE"""),0.1751)</f>
        <v>0.1751</v>
      </c>
      <c r="K4155" s="19">
        <f>IFERROR(__xludf.DUMMYFUNCTION("""COMPUTED_VALUE"""),0.2189)</f>
        <v>0.2189</v>
      </c>
      <c r="L4155" s="19">
        <f>IFERROR(__xludf.DUMMYFUNCTION("""COMPUTED_VALUE"""),0.2627)</f>
        <v>0.2627</v>
      </c>
      <c r="M4155" s="18">
        <f>IFERROR(__xludf.DUMMYFUNCTION("""COMPUTED_VALUE"""),1.71)</f>
        <v>1.71</v>
      </c>
    </row>
    <row r="4156">
      <c r="A4156" s="13" t="str">
        <f>IFERROR(__xludf.DUMMYFUNCTION("""COMPUTED_VALUE"""),"товари")</f>
        <v>товари</v>
      </c>
      <c r="B4156" s="16" t="str">
        <f>IFERROR(__xludf.DUMMYFUNCTION("""COMPUTED_VALUE"""),"техніка та електроніка")</f>
        <v>техніка та електроніка</v>
      </c>
      <c r="C4156" s="16" t="str">
        <f>IFERROR(__xludf.DUMMYFUNCTION("""COMPUTED_VALUE"""),"tv та відеотехніка")</f>
        <v>tv та відеотехніка</v>
      </c>
      <c r="D4156" s="16" t="str">
        <f>IFERROR(__xludf.DUMMYFUNCTION("""COMPUTED_VALUE"""),"аксесуари для телевізорів та проекторів")</f>
        <v>аксесуари для телевізорів та проекторів</v>
      </c>
      <c r="E4156" s="16" t="str">
        <f>IFERROR(__xludf.DUMMYFUNCTION("""COMPUTED_VALUE"""),"чистячі засоби для цифрової техніки")</f>
        <v>чистячі засоби для цифрової техніки</v>
      </c>
      <c r="F4156" s="17">
        <f>IFERROR(__xludf.DUMMYFUNCTION("""COMPUTED_VALUE"""),4.0)</f>
        <v>4</v>
      </c>
      <c r="G4156" s="17" t="str">
        <f>IFERROR(__xludf.DUMMYFUNCTION("""COMPUTED_VALUE"""),"6370709")</f>
        <v>6370709</v>
      </c>
      <c r="H4156" s="17" t="str">
        <f>IFERROR(__xludf.DUMMYFUNCTION("""COMPUTED_VALUE"""),"чистячі засоби для цифрової техніки")</f>
        <v>чистячі засоби для цифрової техніки</v>
      </c>
      <c r="I4156" s="19">
        <f>IFERROR(__xludf.DUMMYFUNCTION("""COMPUTED_VALUE"""),0.1)</f>
        <v>0.1</v>
      </c>
      <c r="J4156" s="19">
        <f>IFERROR(__xludf.DUMMYFUNCTION("""COMPUTED_VALUE"""),0.2)</f>
        <v>0.2</v>
      </c>
      <c r="K4156" s="19">
        <f>IFERROR(__xludf.DUMMYFUNCTION("""COMPUTED_VALUE"""),0.25)</f>
        <v>0.25</v>
      </c>
      <c r="L4156" s="19">
        <f>IFERROR(__xludf.DUMMYFUNCTION("""COMPUTED_VALUE"""),0.3)</f>
        <v>0.3</v>
      </c>
      <c r="M4156" s="18">
        <f>IFERROR(__xludf.DUMMYFUNCTION("""COMPUTED_VALUE"""),2.16)</f>
        <v>2.16</v>
      </c>
    </row>
    <row r="4157">
      <c r="A4157" s="13" t="str">
        <f>IFERROR(__xludf.DUMMYFUNCTION("""COMPUTED_VALUE"""),"товари")</f>
        <v>товари</v>
      </c>
      <c r="B4157" s="16" t="str">
        <f>IFERROR(__xludf.DUMMYFUNCTION("""COMPUTED_VALUE"""),"техніка та електроніка")</f>
        <v>техніка та електроніка</v>
      </c>
      <c r="C4157" s="16" t="str">
        <f>IFERROR(__xludf.DUMMYFUNCTION("""COMPUTED_VALUE"""),"побутова техніка")</f>
        <v>побутова техніка</v>
      </c>
      <c r="D4157" s="16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157" s="16" t="str">
        <f>IFERROR(__xludf.DUMMYFUNCTION("""COMPUTED_VALUE"""),"чоловічі електробритви ")</f>
        <v>чоловічі електробритви </v>
      </c>
      <c r="F4157" s="17">
        <f>IFERROR(__xludf.DUMMYFUNCTION("""COMPUTED_VALUE"""),4.0)</f>
        <v>4</v>
      </c>
      <c r="G4157" s="17" t="str">
        <f>IFERROR(__xludf.DUMMYFUNCTION("""COMPUTED_VALUE"""),"3314")</f>
        <v>3314</v>
      </c>
      <c r="H4157" s="17" t="str">
        <f>IFERROR(__xludf.DUMMYFUNCTION("""COMPUTED_VALUE"""),"чоловічі електробритви ")</f>
        <v>чоловічі електробритви </v>
      </c>
      <c r="I4157" s="19">
        <f>IFERROR(__xludf.DUMMYFUNCTION("""COMPUTED_VALUE"""),0.0806)</f>
        <v>0.0806</v>
      </c>
      <c r="J4157" s="19">
        <f>IFERROR(__xludf.DUMMYFUNCTION("""COMPUTED_VALUE"""),0.1612)</f>
        <v>0.1612</v>
      </c>
      <c r="K4157" s="19">
        <f>IFERROR(__xludf.DUMMYFUNCTION("""COMPUTED_VALUE"""),0.2015)</f>
        <v>0.2015</v>
      </c>
      <c r="L4157" s="19">
        <f>IFERROR(__xludf.DUMMYFUNCTION("""COMPUTED_VALUE"""),0.2418)</f>
        <v>0.2418</v>
      </c>
      <c r="M4157" s="18">
        <f>IFERROR(__xludf.DUMMYFUNCTION("""COMPUTED_VALUE"""),4.05)</f>
        <v>4.05</v>
      </c>
    </row>
    <row r="4158">
      <c r="A4158" s="13" t="str">
        <f>IFERROR(__xludf.DUMMYFUNCTION("""COMPUTED_VALUE"""),"товари")</f>
        <v>товари</v>
      </c>
      <c r="B4158" s="16" t="str">
        <f>IFERROR(__xludf.DUMMYFUNCTION("""COMPUTED_VALUE"""),"техніка та електроніка")</f>
        <v>техніка та електроніка</v>
      </c>
      <c r="C4158" s="16" t="str">
        <f>IFERROR(__xludf.DUMMYFUNCTION("""COMPUTED_VALUE"""),"комп'ютерна техніка та пз")</f>
        <v>комп'ютерна техніка та пз</v>
      </c>
      <c r="D4158" s="16" t="str">
        <f>IFERROR(__xludf.DUMMYFUNCTION("""COMPUTED_VALUE"""),"комп'ютерні аксесуари")</f>
        <v>комп'ютерні аксесуари</v>
      </c>
      <c r="E4158" s="16" t="str">
        <f>IFERROR(__xludf.DUMMYFUNCTION("""COMPUTED_VALUE"""),"чохли для зовнішніх hdd")</f>
        <v>чохли для зовнішніх hdd</v>
      </c>
      <c r="F4158" s="17">
        <f>IFERROR(__xludf.DUMMYFUNCTION("""COMPUTED_VALUE"""),4.0)</f>
        <v>4</v>
      </c>
      <c r="G4158" s="17" t="str">
        <f>IFERROR(__xludf.DUMMYFUNCTION("""COMPUTED_VALUE"""),"380203")</f>
        <v>380203</v>
      </c>
      <c r="H4158" s="17" t="str">
        <f>IFERROR(__xludf.DUMMYFUNCTION("""COMPUTED_VALUE"""),"чохли для зовнішніх hdd")</f>
        <v>чохли для зовнішніх hdd</v>
      </c>
      <c r="I4158" s="19">
        <f>IFERROR(__xludf.DUMMYFUNCTION("""COMPUTED_VALUE"""),0.0997)</f>
        <v>0.0997</v>
      </c>
      <c r="J4158" s="19">
        <f>IFERROR(__xludf.DUMMYFUNCTION("""COMPUTED_VALUE"""),0.1994)</f>
        <v>0.1994</v>
      </c>
      <c r="K4158" s="19">
        <f>IFERROR(__xludf.DUMMYFUNCTION("""COMPUTED_VALUE"""),0.2493)</f>
        <v>0.2493</v>
      </c>
      <c r="L4158" s="19">
        <f>IFERROR(__xludf.DUMMYFUNCTION("""COMPUTED_VALUE"""),0.2991)</f>
        <v>0.2991</v>
      </c>
      <c r="M4158" s="18">
        <f>IFERROR(__xludf.DUMMYFUNCTION("""COMPUTED_VALUE"""),2.53)</f>
        <v>2.53</v>
      </c>
    </row>
    <row r="4159">
      <c r="A4159" s="13" t="str">
        <f>IFERROR(__xludf.DUMMYFUNCTION("""COMPUTED_VALUE"""),"товари")</f>
        <v>товари</v>
      </c>
      <c r="B4159" s="16" t="str">
        <f>IFERROR(__xludf.DUMMYFUNCTION("""COMPUTED_VALUE"""),"техніка та електроніка")</f>
        <v>техніка та електроніка</v>
      </c>
      <c r="C4159" s="16" t="str">
        <f>IFERROR(__xludf.DUMMYFUNCTION("""COMPUTED_VALUE"""),"комп'ютерна техніка та пз")</f>
        <v>комп'ютерна техніка та пз</v>
      </c>
      <c r="D4159" s="16" t="str">
        <f>IFERROR(__xludf.DUMMYFUNCTION("""COMPUTED_VALUE"""),"ігрові консолі та приставки")</f>
        <v>ігрові консолі та приставки</v>
      </c>
      <c r="E4159" s="16" t="str">
        <f>IFERROR(__xludf.DUMMYFUNCTION("""COMPUTED_VALUE"""),"чохли для ігрових приставок")</f>
        <v>чохли для ігрових приставок</v>
      </c>
      <c r="F4159" s="17">
        <f>IFERROR(__xludf.DUMMYFUNCTION("""COMPUTED_VALUE"""),4.0)</f>
        <v>4</v>
      </c>
      <c r="G4159" s="17" t="str">
        <f>IFERROR(__xludf.DUMMYFUNCTION("""COMPUTED_VALUE"""),"380204")</f>
        <v>380204</v>
      </c>
      <c r="H4159" s="17" t="str">
        <f>IFERROR(__xludf.DUMMYFUNCTION("""COMPUTED_VALUE"""),"чохли для ігрових приставок")</f>
        <v>чохли для ігрових приставок</v>
      </c>
      <c r="I4159" s="19">
        <f>IFERROR(__xludf.DUMMYFUNCTION("""COMPUTED_VALUE"""),0.074)</f>
        <v>0.074</v>
      </c>
      <c r="J4159" s="19">
        <f>IFERROR(__xludf.DUMMYFUNCTION("""COMPUTED_VALUE"""),0.1479)</f>
        <v>0.1479</v>
      </c>
      <c r="K4159" s="19">
        <f>IFERROR(__xludf.DUMMYFUNCTION("""COMPUTED_VALUE"""),0.1849)</f>
        <v>0.1849</v>
      </c>
      <c r="L4159" s="19">
        <f>IFERROR(__xludf.DUMMYFUNCTION("""COMPUTED_VALUE"""),0.2219)</f>
        <v>0.2219</v>
      </c>
      <c r="M4159" s="18">
        <f>IFERROR(__xludf.DUMMYFUNCTION("""COMPUTED_VALUE"""),1.98)</f>
        <v>1.98</v>
      </c>
    </row>
    <row r="4160">
      <c r="A4160" s="13" t="str">
        <f>IFERROR(__xludf.DUMMYFUNCTION("""COMPUTED_VALUE"""),"товари")</f>
        <v>товари</v>
      </c>
      <c r="B4160" s="16" t="str">
        <f>IFERROR(__xludf.DUMMYFUNCTION("""COMPUTED_VALUE"""),"техніка та електроніка")</f>
        <v>техніка та електроніка</v>
      </c>
      <c r="C4160" s="16" t="str">
        <f>IFERROR(__xludf.DUMMYFUNCTION("""COMPUTED_VALUE"""),"комп'ютерна техніка та пз")</f>
        <v>комп'ютерна техніка та пз</v>
      </c>
      <c r="D4160" s="16" t="str">
        <f>IFERROR(__xludf.DUMMYFUNCTION("""COMPUTED_VALUE"""),"комп'ютерні аксесуари")</f>
        <v>комп'ютерні аксесуари</v>
      </c>
      <c r="E4160" s="16" t="str">
        <f>IFERROR(__xludf.DUMMYFUNCTION("""COMPUTED_VALUE"""),"чохли для планшетів, електронних книг")</f>
        <v>чохли для планшетів, електронних книг</v>
      </c>
      <c r="F4160" s="17">
        <f>IFERROR(__xludf.DUMMYFUNCTION("""COMPUTED_VALUE"""),4.0)</f>
        <v>4</v>
      </c>
      <c r="G4160" s="17" t="str">
        <f>IFERROR(__xludf.DUMMYFUNCTION("""COMPUTED_VALUE"""),"380201")</f>
        <v>380201</v>
      </c>
      <c r="H4160" s="17" t="str">
        <f>IFERROR(__xludf.DUMMYFUNCTION("""COMPUTED_VALUE"""),"чохли для планшетів, електронних книг")</f>
        <v>чохли для планшетів, електронних книг</v>
      </c>
      <c r="I4160" s="19">
        <f>IFERROR(__xludf.DUMMYFUNCTION("""COMPUTED_VALUE"""),0.0988)</f>
        <v>0.0988</v>
      </c>
      <c r="J4160" s="19">
        <f>IFERROR(__xludf.DUMMYFUNCTION("""COMPUTED_VALUE"""),0.1975)</f>
        <v>0.1975</v>
      </c>
      <c r="K4160" s="19">
        <f>IFERROR(__xludf.DUMMYFUNCTION("""COMPUTED_VALUE"""),0.2469)</f>
        <v>0.2469</v>
      </c>
      <c r="L4160" s="19">
        <f>IFERROR(__xludf.DUMMYFUNCTION("""COMPUTED_VALUE"""),0.2963)</f>
        <v>0.2963</v>
      </c>
      <c r="M4160" s="18">
        <f>IFERROR(__xludf.DUMMYFUNCTION("""COMPUTED_VALUE"""),2.53)</f>
        <v>2.53</v>
      </c>
    </row>
    <row r="4161">
      <c r="A4161" s="13" t="str">
        <f>IFERROR(__xludf.DUMMYFUNCTION("""COMPUTED_VALUE"""),"товари")</f>
        <v>товари</v>
      </c>
      <c r="B4161" s="16" t="str">
        <f>IFERROR(__xludf.DUMMYFUNCTION("""COMPUTED_VALUE"""),"техніка та електроніка")</f>
        <v>техніка та електроніка</v>
      </c>
      <c r="C4161" s="16" t="str">
        <f>IFERROR(__xludf.DUMMYFUNCTION("""COMPUTED_VALUE"""),"tv та відеотехніка")</f>
        <v>tv та відеотехніка</v>
      </c>
      <c r="D4161" s="16" t="str">
        <f>IFERROR(__xludf.DUMMYFUNCTION("""COMPUTED_VALUE"""),"аксесуари для телевізорів та проекторів")</f>
        <v>аксесуари для телевізорів та проекторів</v>
      </c>
      <c r="E4161" s="16" t="str">
        <f>IFERROR(__xludf.DUMMYFUNCTION("""COMPUTED_VALUE"""),"чохли для пультів")</f>
        <v>чохли для пультів</v>
      </c>
      <c r="F4161" s="17">
        <f>IFERROR(__xludf.DUMMYFUNCTION("""COMPUTED_VALUE"""),4.0)</f>
        <v>4</v>
      </c>
      <c r="G4161" s="17" t="str">
        <f>IFERROR(__xludf.DUMMYFUNCTION("""COMPUTED_VALUE"""),"6370717")</f>
        <v>6370717</v>
      </c>
      <c r="H4161" s="17" t="str">
        <f>IFERROR(__xludf.DUMMYFUNCTION("""COMPUTED_VALUE"""),"чохли для пультів")</f>
        <v>чохли для пультів</v>
      </c>
      <c r="I4161" s="19">
        <f>IFERROR(__xludf.DUMMYFUNCTION("""COMPUTED_VALUE"""),0.1)</f>
        <v>0.1</v>
      </c>
      <c r="J4161" s="19">
        <f>IFERROR(__xludf.DUMMYFUNCTION("""COMPUTED_VALUE"""),0.2)</f>
        <v>0.2</v>
      </c>
      <c r="K4161" s="19">
        <f>IFERROR(__xludf.DUMMYFUNCTION("""COMPUTED_VALUE"""),0.25)</f>
        <v>0.25</v>
      </c>
      <c r="L4161" s="19">
        <f>IFERROR(__xludf.DUMMYFUNCTION("""COMPUTED_VALUE"""),0.3)</f>
        <v>0.3</v>
      </c>
      <c r="M4161" s="18">
        <f>IFERROR(__xludf.DUMMYFUNCTION("""COMPUTED_VALUE"""),2.16)</f>
        <v>2.16</v>
      </c>
    </row>
    <row r="4162">
      <c r="A4162" s="13" t="str">
        <f>IFERROR(__xludf.DUMMYFUNCTION("""COMPUTED_VALUE"""),"товари")</f>
        <v>товари</v>
      </c>
      <c r="B4162" s="16" t="str">
        <f>IFERROR(__xludf.DUMMYFUNCTION("""COMPUTED_VALUE"""),"техніка та електроніка")</f>
        <v>техніка та електроніка</v>
      </c>
      <c r="C4162" s="16" t="str">
        <f>IFERROR(__xludf.DUMMYFUNCTION("""COMPUTED_VALUE"""),"телефони та аксесуари")</f>
        <v>телефони та аксесуари</v>
      </c>
      <c r="D4162" s="16" t="str">
        <f>IFERROR(__xludf.DUMMYFUNCTION("""COMPUTED_VALUE"""),"аксесуари для мобільних телефонів")</f>
        <v>аксесуари для мобільних телефонів</v>
      </c>
      <c r="E4162" s="16" t="str">
        <f>IFERROR(__xludf.DUMMYFUNCTION("""COMPUTED_VALUE"""),"чохли для телефонів")</f>
        <v>чохли для телефонів</v>
      </c>
      <c r="F4162" s="17">
        <f>IFERROR(__xludf.DUMMYFUNCTION("""COMPUTED_VALUE"""),4.0)</f>
        <v>4</v>
      </c>
      <c r="G4162" s="17" t="str">
        <f>IFERROR(__xludf.DUMMYFUNCTION("""COMPUTED_VALUE"""),"380230")</f>
        <v>380230</v>
      </c>
      <c r="H4162" s="17" t="str">
        <f>IFERROR(__xludf.DUMMYFUNCTION("""COMPUTED_VALUE"""),"чохли для телефонів")</f>
        <v>чохли для телефонів</v>
      </c>
      <c r="I4162" s="19">
        <f>IFERROR(__xludf.DUMMYFUNCTION("""COMPUTED_VALUE"""),0.1015)</f>
        <v>0.1015</v>
      </c>
      <c r="J4162" s="19">
        <f>IFERROR(__xludf.DUMMYFUNCTION("""COMPUTED_VALUE"""),0.2029)</f>
        <v>0.2029</v>
      </c>
      <c r="K4162" s="19">
        <f>IFERROR(__xludf.DUMMYFUNCTION("""COMPUTED_VALUE"""),0.2536)</f>
        <v>0.2536</v>
      </c>
      <c r="L4162" s="19">
        <f>IFERROR(__xludf.DUMMYFUNCTION("""COMPUTED_VALUE"""),0.3044)</f>
        <v>0.3044</v>
      </c>
      <c r="M4162" s="18">
        <f>IFERROR(__xludf.DUMMYFUNCTION("""COMPUTED_VALUE"""),1.05)</f>
        <v>1.05</v>
      </c>
    </row>
    <row r="4163">
      <c r="A4163" s="13" t="str">
        <f>IFERROR(__xludf.DUMMYFUNCTION("""COMPUTED_VALUE"""),"товари")</f>
        <v>товари</v>
      </c>
      <c r="B4163" s="16" t="str">
        <f>IFERROR(__xludf.DUMMYFUNCTION("""COMPUTED_VALUE"""),"техніка та електроніка")</f>
        <v>техніка та електроніка</v>
      </c>
      <c r="C4163" s="16" t="str">
        <f>IFERROR(__xludf.DUMMYFUNCTION("""COMPUTED_VALUE"""),"аудіотехніка та аксесуари")</f>
        <v>аудіотехніка та аксесуари</v>
      </c>
      <c r="D4163" s="16" t="str">
        <f>IFERROR(__xludf.DUMMYFUNCTION("""COMPUTED_VALUE""")," чохли та футляри для навушників")</f>
        <v> чохли та футляри для навушників</v>
      </c>
      <c r="E4163" s="16" t="str">
        <f>IFERROR(__xludf.DUMMYFUNCTION("""COMPUTED_VALUE""")," чохли та футляри для навушників")</f>
        <v> чохли та футляри для навушників</v>
      </c>
      <c r="F4163" s="17">
        <f>IFERROR(__xludf.DUMMYFUNCTION("""COMPUTED_VALUE"""),3.0)</f>
        <v>3</v>
      </c>
      <c r="G4163" s="17" t="str">
        <f>IFERROR(__xludf.DUMMYFUNCTION("""COMPUTED_VALUE"""),"500502")</f>
        <v>500502</v>
      </c>
      <c r="H4163" s="17" t="str">
        <f>IFERROR(__xludf.DUMMYFUNCTION("""COMPUTED_VALUE""")," чохли та футляри для навушників")</f>
        <v> чохли та футляри для навушників</v>
      </c>
      <c r="I4163" s="19">
        <f>IFERROR(__xludf.DUMMYFUNCTION("""COMPUTED_VALUE"""),0.1006)</f>
        <v>0.1006</v>
      </c>
      <c r="J4163" s="19">
        <f>IFERROR(__xludf.DUMMYFUNCTION("""COMPUTED_VALUE"""),0.2012)</f>
        <v>0.2012</v>
      </c>
      <c r="K4163" s="19">
        <f>IFERROR(__xludf.DUMMYFUNCTION("""COMPUTED_VALUE"""),0.2515)</f>
        <v>0.2515</v>
      </c>
      <c r="L4163" s="19">
        <f>IFERROR(__xludf.DUMMYFUNCTION("""COMPUTED_VALUE"""),0.3018)</f>
        <v>0.3018</v>
      </c>
      <c r="M4163" s="18">
        <f>IFERROR(__xludf.DUMMYFUNCTION("""COMPUTED_VALUE"""),1.05)</f>
        <v>1.05</v>
      </c>
    </row>
    <row r="4164">
      <c r="A4164" s="13" t="str">
        <f>IFERROR(__xludf.DUMMYFUNCTION("""COMPUTED_VALUE"""),"товари")</f>
        <v>товари</v>
      </c>
      <c r="B4164" s="16" t="str">
        <f>IFERROR(__xludf.DUMMYFUNCTION("""COMPUTED_VALUE"""),"техніка та електроніка")</f>
        <v>техніка та електроніка</v>
      </c>
      <c r="C4164" s="16" t="str">
        <f>IFERROR(__xludf.DUMMYFUNCTION("""COMPUTED_VALUE"""),"побутова техніка")</f>
        <v>побутова техніка</v>
      </c>
      <c r="D4164" s="16" t="str">
        <f>IFERROR(__xludf.DUMMYFUNCTION("""COMPUTED_VALUE"""),"побутова техніка для дому")</f>
        <v>побутова техніка для дому</v>
      </c>
      <c r="E4164" s="16" t="str">
        <f>IFERROR(__xludf.DUMMYFUNCTION("""COMPUTED_VALUE"""),"швейні машини")</f>
        <v>швейні машини</v>
      </c>
      <c r="F4164" s="17">
        <f>IFERROR(__xludf.DUMMYFUNCTION("""COMPUTED_VALUE"""),4.0)</f>
        <v>4</v>
      </c>
      <c r="G4164" s="17" t="str">
        <f>IFERROR(__xludf.DUMMYFUNCTION("""COMPUTED_VALUE"""),"62707")</f>
        <v>62707</v>
      </c>
      <c r="H4164" s="17" t="str">
        <f>IFERROR(__xludf.DUMMYFUNCTION("""COMPUTED_VALUE"""),"швейні машини")</f>
        <v>швейні машини</v>
      </c>
      <c r="I4164" s="19">
        <f>IFERROR(__xludf.DUMMYFUNCTION("""COMPUTED_VALUE"""),0.0677)</f>
        <v>0.0677</v>
      </c>
      <c r="J4164" s="19">
        <f>IFERROR(__xludf.DUMMYFUNCTION("""COMPUTED_VALUE"""),0.1353)</f>
        <v>0.1353</v>
      </c>
      <c r="K4164" s="19">
        <f>IFERROR(__xludf.DUMMYFUNCTION("""COMPUTED_VALUE"""),0.1691)</f>
        <v>0.1691</v>
      </c>
      <c r="L4164" s="19">
        <f>IFERROR(__xludf.DUMMYFUNCTION("""COMPUTED_VALUE"""),0.203)</f>
        <v>0.203</v>
      </c>
      <c r="M4164" s="18">
        <f>IFERROR(__xludf.DUMMYFUNCTION("""COMPUTED_VALUE"""),3.06)</f>
        <v>3.06</v>
      </c>
    </row>
    <row r="4165">
      <c r="A4165" s="13" t="str">
        <f>IFERROR(__xludf.DUMMYFUNCTION("""COMPUTED_VALUE"""),"товари")</f>
        <v>товари</v>
      </c>
      <c r="B4165" s="16" t="str">
        <f>IFERROR(__xludf.DUMMYFUNCTION("""COMPUTED_VALUE"""),"техніка та електроніка")</f>
        <v>техніка та електроніка</v>
      </c>
      <c r="C4165" s="16" t="str">
        <f>IFERROR(__xludf.DUMMYFUNCTION("""COMPUTED_VALUE"""),"телефони та аксесуари")</f>
        <v>телефони та аксесуари</v>
      </c>
      <c r="D4165" s="16" t="str">
        <f>IFERROR(__xludf.DUMMYFUNCTION("""COMPUTED_VALUE"""),"комплектуючі для мобільних телефонів")</f>
        <v>комплектуючі для мобільних телефонів</v>
      </c>
      <c r="E4165" s="16" t="str">
        <f>IFERROR(__xludf.DUMMYFUNCTION("""COMPUTED_VALUE"""),"шлейфи для мобільних телефонів")</f>
        <v>шлейфи для мобільних телефонів</v>
      </c>
      <c r="F4165" s="17">
        <f>IFERROR(__xludf.DUMMYFUNCTION("""COMPUTED_VALUE"""),4.0)</f>
        <v>4</v>
      </c>
      <c r="G4165" s="17" t="str">
        <f>IFERROR(__xludf.DUMMYFUNCTION("""COMPUTED_VALUE"""),"5090309")</f>
        <v>5090309</v>
      </c>
      <c r="H4165" s="17" t="str">
        <f>IFERROR(__xludf.DUMMYFUNCTION("""COMPUTED_VALUE"""),"шлейфи для мобільних телефонів")</f>
        <v>шлейфи для мобільних телефонів</v>
      </c>
      <c r="I4165" s="19">
        <f>IFERROR(__xludf.DUMMYFUNCTION("""COMPUTED_VALUE"""),0.099)</f>
        <v>0.099</v>
      </c>
      <c r="J4165" s="19">
        <f>IFERROR(__xludf.DUMMYFUNCTION("""COMPUTED_VALUE"""),0.1979)</f>
        <v>0.1979</v>
      </c>
      <c r="K4165" s="19">
        <f>IFERROR(__xludf.DUMMYFUNCTION("""COMPUTED_VALUE"""),0.2474)</f>
        <v>0.2474</v>
      </c>
      <c r="L4165" s="19">
        <f>IFERROR(__xludf.DUMMYFUNCTION("""COMPUTED_VALUE"""),0.2969)</f>
        <v>0.2969</v>
      </c>
      <c r="M4165" s="18">
        <f>IFERROR(__xludf.DUMMYFUNCTION("""COMPUTED_VALUE"""),2.88)</f>
        <v>2.88</v>
      </c>
    </row>
    <row r="4166">
      <c r="A4166" s="13" t="str">
        <f>IFERROR(__xludf.DUMMYFUNCTION("""COMPUTED_VALUE"""),"товари")</f>
        <v>товари</v>
      </c>
      <c r="B4166" s="16" t="str">
        <f>IFERROR(__xludf.DUMMYFUNCTION("""COMPUTED_VALUE"""),"техніка та електроніка")</f>
        <v>техніка та електроніка</v>
      </c>
      <c r="C4166" s="16" t="str">
        <f>IFERROR(__xludf.DUMMYFUNCTION("""COMPUTED_VALUE"""),"комп'ютерна техніка та пз")</f>
        <v>комп'ютерна техніка та пз</v>
      </c>
      <c r="D4166" s="16" t="str">
        <f>IFERROR(__xludf.DUMMYFUNCTION("""COMPUTED_VALUE"""),"комплектуючі для комп'ютерної техніки")</f>
        <v>комплектуючі для комп'ютерної техніки</v>
      </c>
      <c r="E4166" s="16" t="str">
        <f>IFERROR(__xludf.DUMMYFUNCTION("""COMPUTED_VALUE"""),"шлейфи та роз'єми для ноутбуків, комп'ютерів, планшетів")</f>
        <v>шлейфи та роз'єми для ноутбуків, комп'ютерів, планшетів</v>
      </c>
      <c r="F4166" s="17">
        <f>IFERROR(__xludf.DUMMYFUNCTION("""COMPUTED_VALUE"""),4.0)</f>
        <v>4</v>
      </c>
      <c r="G4166" s="17" t="str">
        <f>IFERROR(__xludf.DUMMYFUNCTION("""COMPUTED_VALUE"""),"70712")</f>
        <v>70712</v>
      </c>
      <c r="H4166" s="17" t="str">
        <f>IFERROR(__xludf.DUMMYFUNCTION("""COMPUTED_VALUE"""),"шлейфи та роз'єми для ноутбуків, комп'ютерів, планшетів")</f>
        <v>шлейфи та роз'єми для ноутбуків, комп'ютерів, планшетів</v>
      </c>
      <c r="I4166" s="19">
        <f>IFERROR(__xludf.DUMMYFUNCTION("""COMPUTED_VALUE"""),0.0876)</f>
        <v>0.0876</v>
      </c>
      <c r="J4166" s="19">
        <f>IFERROR(__xludf.DUMMYFUNCTION("""COMPUTED_VALUE"""),0.1751)</f>
        <v>0.1751</v>
      </c>
      <c r="K4166" s="19">
        <f>IFERROR(__xludf.DUMMYFUNCTION("""COMPUTED_VALUE"""),0.2189)</f>
        <v>0.2189</v>
      </c>
      <c r="L4166" s="19">
        <f>IFERROR(__xludf.DUMMYFUNCTION("""COMPUTED_VALUE"""),0.2627)</f>
        <v>0.2627</v>
      </c>
      <c r="M4166" s="18">
        <f>IFERROR(__xludf.DUMMYFUNCTION("""COMPUTED_VALUE"""),1.71)</f>
        <v>1.71</v>
      </c>
    </row>
    <row r="4167">
      <c r="A4167" s="13" t="str">
        <f>IFERROR(__xludf.DUMMYFUNCTION("""COMPUTED_VALUE"""),"товари")</f>
        <v>товари</v>
      </c>
      <c r="B4167" s="16" t="str">
        <f>IFERROR(__xludf.DUMMYFUNCTION("""COMPUTED_VALUE"""),"техніка та електроніка")</f>
        <v>техніка та електроніка</v>
      </c>
      <c r="C4167" s="16" t="str">
        <f>IFERROR(__xludf.DUMMYFUNCTION("""COMPUTED_VALUE"""),"фото-, відеокамери та аксесуари")</f>
        <v>фото-, відеокамери та аксесуари</v>
      </c>
      <c r="D4167" s="16" t="str">
        <f>IFERROR(__xludf.DUMMYFUNCTION("""COMPUTED_VALUE"""),"аксесуари для фото-, відеокамер")</f>
        <v>аксесуари для фото-, відеокамер</v>
      </c>
      <c r="E4167" s="16" t="str">
        <f>IFERROR(__xludf.DUMMYFUNCTION("""COMPUTED_VALUE"""),"штативи та кріплення для фото-, відеотехніки")</f>
        <v>штативи та кріплення для фото-, відеотехніки</v>
      </c>
      <c r="F4167" s="17">
        <f>IFERROR(__xludf.DUMMYFUNCTION("""COMPUTED_VALUE"""),4.0)</f>
        <v>4</v>
      </c>
      <c r="G4167" s="17" t="str">
        <f>IFERROR(__xludf.DUMMYFUNCTION("""COMPUTED_VALUE"""),"63714")</f>
        <v>63714</v>
      </c>
      <c r="H4167" s="17" t="str">
        <f>IFERROR(__xludf.DUMMYFUNCTION("""COMPUTED_VALUE"""),"штативи та кріплення для фото-, відеотехніки")</f>
        <v>штативи та кріплення для фото-, відеотехніки</v>
      </c>
      <c r="I4167" s="19">
        <f>IFERROR(__xludf.DUMMYFUNCTION("""COMPUTED_VALUE"""),0.0974)</f>
        <v>0.0974</v>
      </c>
      <c r="J4167" s="19">
        <f>IFERROR(__xludf.DUMMYFUNCTION("""COMPUTED_VALUE"""),0.1948)</f>
        <v>0.1948</v>
      </c>
      <c r="K4167" s="19">
        <f>IFERROR(__xludf.DUMMYFUNCTION("""COMPUTED_VALUE"""),0.2435)</f>
        <v>0.2435</v>
      </c>
      <c r="L4167" s="19">
        <f>IFERROR(__xludf.DUMMYFUNCTION("""COMPUTED_VALUE"""),0.2922)</f>
        <v>0.2922</v>
      </c>
      <c r="M4167" s="18">
        <f>IFERROR(__xludf.DUMMYFUNCTION("""COMPUTED_VALUE"""),1.98)</f>
        <v>1.98</v>
      </c>
    </row>
    <row r="4168">
      <c r="A4168" s="13" t="str">
        <f>IFERROR(__xludf.DUMMYFUNCTION("""COMPUTED_VALUE"""),"товари")</f>
        <v>товари</v>
      </c>
      <c r="B4168" s="16" t="str">
        <f>IFERROR(__xludf.DUMMYFUNCTION("""COMPUTED_VALUE"""),"техніка та електроніка")</f>
        <v>техніка та електроніка</v>
      </c>
      <c r="C4168" s="16" t="str">
        <f>IFERROR(__xludf.DUMMYFUNCTION("""COMPUTED_VALUE"""),"побутова техніка")</f>
        <v>побутова техніка</v>
      </c>
      <c r="D4168" s="16" t="str">
        <f>IFERROR(__xludf.DUMMYFUNCTION("""COMPUTED_VALUE"""),"дрібна побутова техніка для кухні")</f>
        <v>дрібна побутова техніка для кухні</v>
      </c>
      <c r="E4168" s="16" t="str">
        <f>IFERROR(__xludf.DUMMYFUNCTION("""COMPUTED_VALUE"""),"яйцеварки")</f>
        <v>яйцеварки</v>
      </c>
      <c r="F4168" s="17">
        <f>IFERROR(__xludf.DUMMYFUNCTION("""COMPUTED_VALUE"""),4.0)</f>
        <v>4</v>
      </c>
      <c r="G4168" s="17" t="str">
        <f>IFERROR(__xludf.DUMMYFUNCTION("""COMPUTED_VALUE"""),"647")</f>
        <v>647</v>
      </c>
      <c r="H4168" s="17" t="str">
        <f>IFERROR(__xludf.DUMMYFUNCTION("""COMPUTED_VALUE"""),"яйцеварки")</f>
        <v>яйцеварки</v>
      </c>
      <c r="I4168" s="19">
        <f>IFERROR(__xludf.DUMMYFUNCTION("""COMPUTED_VALUE"""),0.0772)</f>
        <v>0.0772</v>
      </c>
      <c r="J4168" s="19">
        <f>IFERROR(__xludf.DUMMYFUNCTION("""COMPUTED_VALUE"""),0.1544)</f>
        <v>0.1544</v>
      </c>
      <c r="K4168" s="19">
        <f>IFERROR(__xludf.DUMMYFUNCTION("""COMPUTED_VALUE"""),0.193)</f>
        <v>0.193</v>
      </c>
      <c r="L4168" s="19">
        <f>IFERROR(__xludf.DUMMYFUNCTION("""COMPUTED_VALUE"""),0.2316)</f>
        <v>0.2316</v>
      </c>
      <c r="M4168" s="18">
        <f>IFERROR(__xludf.DUMMYFUNCTION("""COMPUTED_VALUE"""),3.06)</f>
        <v>3.06</v>
      </c>
    </row>
    <row r="4169">
      <c r="A4169" s="13" t="str">
        <f>IFERROR(__xludf.DUMMYFUNCTION("""COMPUTED_VALUE"""),"товари")</f>
        <v>товари</v>
      </c>
      <c r="B4169" s="16" t="str">
        <f>IFERROR(__xludf.DUMMYFUNCTION("""COMPUTED_VALUE"""),"товари для дітей")</f>
        <v>товари для дітей</v>
      </c>
      <c r="C4169" s="16" t="str">
        <f>IFERROR(__xludf.DUMMYFUNCTION("""COMPUTED_VALUE"""),"канцтовари шкільні та дитячі")</f>
        <v>канцтовари шкільні та дитячі</v>
      </c>
      <c r="D4169" s="16" t="str">
        <f>IFERROR(__xludf.DUMMYFUNCTION("""COMPUTED_VALUE"""),"дитяча творчість та малювання")</f>
        <v>дитяча творчість та малювання</v>
      </c>
      <c r="E4169" s="16" t="str">
        <f>IFERROR(__xludf.DUMMYFUNCTION("""COMPUTED_VALUE"""),"3d ручки")</f>
        <v>3d ручки</v>
      </c>
      <c r="F4169" s="17">
        <f>IFERROR(__xludf.DUMMYFUNCTION("""COMPUTED_VALUE"""),4.0)</f>
        <v>4</v>
      </c>
      <c r="G4169" s="17" t="str">
        <f>IFERROR(__xludf.DUMMYFUNCTION("""COMPUTED_VALUE"""),"15011913")</f>
        <v>15011913</v>
      </c>
      <c r="H4169" s="17" t="str">
        <f>IFERROR(__xludf.DUMMYFUNCTION("""COMPUTED_VALUE"""),"3d ручки")</f>
        <v>3d ручки</v>
      </c>
      <c r="I4169" s="19">
        <f>IFERROR(__xludf.DUMMYFUNCTION("""COMPUTED_VALUE"""),0.0987)</f>
        <v>0.0987</v>
      </c>
      <c r="J4169" s="19">
        <f>IFERROR(__xludf.DUMMYFUNCTION("""COMPUTED_VALUE"""),0.1973)</f>
        <v>0.1973</v>
      </c>
      <c r="K4169" s="19">
        <f>IFERROR(__xludf.DUMMYFUNCTION("""COMPUTED_VALUE"""),0.2466)</f>
        <v>0.2466</v>
      </c>
      <c r="L4169" s="19">
        <f>IFERROR(__xludf.DUMMYFUNCTION("""COMPUTED_VALUE"""),0.296)</f>
        <v>0.296</v>
      </c>
      <c r="M4169" s="18">
        <f>IFERROR(__xludf.DUMMYFUNCTION("""COMPUTED_VALUE"""),3.6)</f>
        <v>3.6</v>
      </c>
    </row>
    <row r="4170">
      <c r="A4170" s="13" t="str">
        <f>IFERROR(__xludf.DUMMYFUNCTION("""COMPUTED_VALUE"""),"товари")</f>
        <v>товари</v>
      </c>
      <c r="B4170" s="16" t="str">
        <f>IFERROR(__xludf.DUMMYFUNCTION("""COMPUTED_VALUE"""),"товари для дітей")</f>
        <v>товари для дітей</v>
      </c>
      <c r="C4170" s="16" t="str">
        <f>IFERROR(__xludf.DUMMYFUNCTION("""COMPUTED_VALUE"""),"гігієна та догляд за дітьми")</f>
        <v>гігієна та догляд за дітьми</v>
      </c>
      <c r="D4170" s="16" t="str">
        <f>IFERROR(__xludf.DUMMYFUNCTION("""COMPUTED_VALUE"""),"аксесуари для безпеки дітей")</f>
        <v>аксесуари для безпеки дітей</v>
      </c>
      <c r="E4170" s="16" t="str">
        <f>IFERROR(__xludf.DUMMYFUNCTION("""COMPUTED_VALUE"""),"аксесуари для безпеки дітей")</f>
        <v>аксесуари для безпеки дітей</v>
      </c>
      <c r="F4170" s="17">
        <f>IFERROR(__xludf.DUMMYFUNCTION("""COMPUTED_VALUE"""),3.0)</f>
        <v>3</v>
      </c>
      <c r="G4170" s="17" t="str">
        <f>IFERROR(__xludf.DUMMYFUNCTION("""COMPUTED_VALUE"""),"150111")</f>
        <v>150111</v>
      </c>
      <c r="H4170" s="17" t="str">
        <f>IFERROR(__xludf.DUMMYFUNCTION("""COMPUTED_VALUE"""),"аксесуари для безпеки дітей")</f>
        <v>аксесуари для безпеки дітей</v>
      </c>
      <c r="I4170" s="19">
        <f>IFERROR(__xludf.DUMMYFUNCTION("""COMPUTED_VALUE"""),0.0791)</f>
        <v>0.0791</v>
      </c>
      <c r="J4170" s="19">
        <f>IFERROR(__xludf.DUMMYFUNCTION("""COMPUTED_VALUE"""),0.1581)</f>
        <v>0.1581</v>
      </c>
      <c r="K4170" s="19">
        <f>IFERROR(__xludf.DUMMYFUNCTION("""COMPUTED_VALUE"""),0.1976)</f>
        <v>0.1976</v>
      </c>
      <c r="L4170" s="19">
        <f>IFERROR(__xludf.DUMMYFUNCTION("""COMPUTED_VALUE"""),0.2372)</f>
        <v>0.2372</v>
      </c>
      <c r="M4170" s="18">
        <f>IFERROR(__xludf.DUMMYFUNCTION("""COMPUTED_VALUE"""),2.16)</f>
        <v>2.16</v>
      </c>
    </row>
    <row r="4171">
      <c r="A4171" s="13" t="str">
        <f>IFERROR(__xludf.DUMMYFUNCTION("""COMPUTED_VALUE"""),"товари")</f>
        <v>товари</v>
      </c>
      <c r="B4171" s="16" t="str">
        <f>IFERROR(__xludf.DUMMYFUNCTION("""COMPUTED_VALUE"""),"товари для дітей")</f>
        <v>товари для дітей</v>
      </c>
      <c r="C4171" s="16" t="str">
        <f>IFERROR(__xludf.DUMMYFUNCTION("""COMPUTED_VALUE"""),"іграшки")</f>
        <v>іграшки</v>
      </c>
      <c r="D4171" s="16" t="str">
        <f>IFERROR(__xludf.DUMMYFUNCTION("""COMPUTED_VALUE"""),"аксесуари для ляльок та пупсів")</f>
        <v>аксесуари для ляльок та пупсів</v>
      </c>
      <c r="E4171" s="16" t="str">
        <f>IFERROR(__xludf.DUMMYFUNCTION("""COMPUTED_VALUE"""),"аксесуари для ляльок та пупсів")</f>
        <v>аксесуари для ляльок та пупсів</v>
      </c>
      <c r="F4171" s="17">
        <f>IFERROR(__xludf.DUMMYFUNCTION("""COMPUTED_VALUE"""),3.0)</f>
        <v>3</v>
      </c>
      <c r="G4171" s="17" t="str">
        <f>IFERROR(__xludf.DUMMYFUNCTION("""COMPUTED_VALUE"""),"2634")</f>
        <v>2634</v>
      </c>
      <c r="H4171" s="17" t="str">
        <f>IFERROR(__xludf.DUMMYFUNCTION("""COMPUTED_VALUE"""),"аксесуари для ляльок та пупсів")</f>
        <v>аксесуари для ляльок та пупсів</v>
      </c>
      <c r="I4171" s="19">
        <f>IFERROR(__xludf.DUMMYFUNCTION("""COMPUTED_VALUE"""),0.097)</f>
        <v>0.097</v>
      </c>
      <c r="J4171" s="19">
        <f>IFERROR(__xludf.DUMMYFUNCTION("""COMPUTED_VALUE"""),0.1939)</f>
        <v>0.1939</v>
      </c>
      <c r="K4171" s="19">
        <f>IFERROR(__xludf.DUMMYFUNCTION("""COMPUTED_VALUE"""),0.2424)</f>
        <v>0.2424</v>
      </c>
      <c r="L4171" s="19">
        <f>IFERROR(__xludf.DUMMYFUNCTION("""COMPUTED_VALUE"""),0.2909)</f>
        <v>0.2909</v>
      </c>
      <c r="M4171" s="18">
        <f>IFERROR(__xludf.DUMMYFUNCTION("""COMPUTED_VALUE"""),1.71)</f>
        <v>1.71</v>
      </c>
    </row>
    <row r="4172">
      <c r="A4172" s="13" t="str">
        <f>IFERROR(__xludf.DUMMYFUNCTION("""COMPUTED_VALUE"""),"товари")</f>
        <v>товари</v>
      </c>
      <c r="B4172" s="16" t="str">
        <f>IFERROR(__xludf.DUMMYFUNCTION("""COMPUTED_VALUE"""),"товари для дітей")</f>
        <v>товари для дітей</v>
      </c>
      <c r="C4172" s="16" t="str">
        <f>IFERROR(__xludf.DUMMYFUNCTION("""COMPUTED_VALUE"""),"дитячий транспорт та автокрісла")</f>
        <v>дитячий транспорт та автокрісла</v>
      </c>
      <c r="D4172" s="16" t="str">
        <f>IFERROR(__xludf.DUMMYFUNCTION("""COMPUTED_VALUE"""),"аксесуари та комплектуючі для дитячого транспорту")</f>
        <v>аксесуари та комплектуючі для дитячого транспорту</v>
      </c>
      <c r="E4172" s="16" t="str">
        <f>IFERROR(__xludf.DUMMYFUNCTION("""COMPUTED_VALUE"""),"аксесуари та комплектуючі для дитячого транспорту")</f>
        <v>аксесуари та комплектуючі для дитячого транспорту</v>
      </c>
      <c r="F4172" s="17">
        <f>IFERROR(__xludf.DUMMYFUNCTION("""COMPUTED_VALUE"""),3.0)</f>
        <v>3</v>
      </c>
      <c r="G4172" s="17" t="str">
        <f>IFERROR(__xludf.DUMMYFUNCTION("""COMPUTED_VALUE"""),"2632")</f>
        <v>2632</v>
      </c>
      <c r="H4172" s="17" t="str">
        <f>IFERROR(__xludf.DUMMYFUNCTION("""COMPUTED_VALUE"""),"аксесуари та комплектуючі для дитячого транспорту")</f>
        <v>аксесуари та комплектуючі для дитячого транспорту</v>
      </c>
      <c r="I4172" s="19">
        <f>IFERROR(__xludf.DUMMYFUNCTION("""COMPUTED_VALUE"""),0.0596)</f>
        <v>0.0596</v>
      </c>
      <c r="J4172" s="19">
        <f>IFERROR(__xludf.DUMMYFUNCTION("""COMPUTED_VALUE"""),0.1192)</f>
        <v>0.1192</v>
      </c>
      <c r="K4172" s="19">
        <f>IFERROR(__xludf.DUMMYFUNCTION("""COMPUTED_VALUE"""),0.149)</f>
        <v>0.149</v>
      </c>
      <c r="L4172" s="19">
        <f>IFERROR(__xludf.DUMMYFUNCTION("""COMPUTED_VALUE"""),0.1788)</f>
        <v>0.1788</v>
      </c>
      <c r="M4172" s="18">
        <f>IFERROR(__xludf.DUMMYFUNCTION("""COMPUTED_VALUE"""),1.26)</f>
        <v>1.26</v>
      </c>
    </row>
    <row r="4173">
      <c r="A4173" s="13" t="str">
        <f>IFERROR(__xludf.DUMMYFUNCTION("""COMPUTED_VALUE"""),"товари")</f>
        <v>товари</v>
      </c>
      <c r="B4173" s="16" t="str">
        <f>IFERROR(__xludf.DUMMYFUNCTION("""COMPUTED_VALUE"""),"товари для дітей")</f>
        <v>товари для дітей</v>
      </c>
      <c r="C4173" s="16" t="str">
        <f>IFERROR(__xludf.DUMMYFUNCTION("""COMPUTED_VALUE"""),"гігієна та догляд за дітьми")</f>
        <v>гігієна та догляд за дітьми</v>
      </c>
      <c r="D4173" s="16" t="str">
        <f>IFERROR(__xludf.DUMMYFUNCTION("""COMPUTED_VALUE"""),"аспіратори")</f>
        <v>аспіратори</v>
      </c>
      <c r="E4173" s="16" t="str">
        <f>IFERROR(__xludf.DUMMYFUNCTION("""COMPUTED_VALUE"""),"аспіратори")</f>
        <v>аспіратори</v>
      </c>
      <c r="F4173" s="17">
        <f>IFERROR(__xludf.DUMMYFUNCTION("""COMPUTED_VALUE"""),3.0)</f>
        <v>3</v>
      </c>
      <c r="G4173" s="17" t="str">
        <f>IFERROR(__xludf.DUMMYFUNCTION("""COMPUTED_VALUE"""),"15012202")</f>
        <v>15012202</v>
      </c>
      <c r="H4173" s="17" t="str">
        <f>IFERROR(__xludf.DUMMYFUNCTION("""COMPUTED_VALUE"""),"аспіратори")</f>
        <v>аспіратори</v>
      </c>
      <c r="I4173" s="19">
        <f>IFERROR(__xludf.DUMMYFUNCTION("""COMPUTED_VALUE"""),0.0502)</f>
        <v>0.0502</v>
      </c>
      <c r="J4173" s="19">
        <f>IFERROR(__xludf.DUMMYFUNCTION("""COMPUTED_VALUE"""),0.1004)</f>
        <v>0.1004</v>
      </c>
      <c r="K4173" s="19">
        <f>IFERROR(__xludf.DUMMYFUNCTION("""COMPUTED_VALUE"""),0.1255)</f>
        <v>0.1255</v>
      </c>
      <c r="L4173" s="19">
        <f>IFERROR(__xludf.DUMMYFUNCTION("""COMPUTED_VALUE"""),0.1506)</f>
        <v>0.1506</v>
      </c>
      <c r="M4173" s="18">
        <f>IFERROR(__xludf.DUMMYFUNCTION("""COMPUTED_VALUE"""),1.26)</f>
        <v>1.26</v>
      </c>
    </row>
    <row r="4174">
      <c r="A4174" s="13" t="str">
        <f>IFERROR(__xludf.DUMMYFUNCTION("""COMPUTED_VALUE"""),"товари")</f>
        <v>товари</v>
      </c>
      <c r="B4174" s="16" t="str">
        <f>IFERROR(__xludf.DUMMYFUNCTION("""COMPUTED_VALUE"""),"товари для дітей")</f>
        <v>товари для дітей</v>
      </c>
      <c r="C4174" s="16" t="str">
        <f>IFERROR(__xludf.DUMMYFUNCTION("""COMPUTED_VALUE"""),"дитячий текстиль")</f>
        <v>дитячий текстиль</v>
      </c>
      <c r="D4174" s="16" t="str">
        <f>IFERROR(__xludf.DUMMYFUNCTION("""COMPUTED_VALUE"""),"балдахіни, опори для балдахінів")</f>
        <v>балдахіни, опори для балдахінів</v>
      </c>
      <c r="E4174" s="16" t="str">
        <f>IFERROR(__xludf.DUMMYFUNCTION("""COMPUTED_VALUE"""),"балдахіни, опори для балдахінів")</f>
        <v>балдахіни, опори для балдахінів</v>
      </c>
      <c r="F4174" s="17">
        <f>IFERROR(__xludf.DUMMYFUNCTION("""COMPUTED_VALUE"""),3.0)</f>
        <v>3</v>
      </c>
      <c r="G4174" s="17" t="str">
        <f>IFERROR(__xludf.DUMMYFUNCTION("""COMPUTED_VALUE"""),"40611")</f>
        <v>40611</v>
      </c>
      <c r="H4174" s="17" t="str">
        <f>IFERROR(__xludf.DUMMYFUNCTION("""COMPUTED_VALUE"""),"балдахіни, опори для балдахінів")</f>
        <v>балдахіни, опори для балдахінів</v>
      </c>
      <c r="I4174" s="19">
        <f>IFERROR(__xludf.DUMMYFUNCTION("""COMPUTED_VALUE"""),0.0751)</f>
        <v>0.0751</v>
      </c>
      <c r="J4174" s="19">
        <f>IFERROR(__xludf.DUMMYFUNCTION("""COMPUTED_VALUE"""),0.1501)</f>
        <v>0.1501</v>
      </c>
      <c r="K4174" s="19">
        <f>IFERROR(__xludf.DUMMYFUNCTION("""COMPUTED_VALUE"""),0.1876)</f>
        <v>0.1876</v>
      </c>
      <c r="L4174" s="19">
        <f>IFERROR(__xludf.DUMMYFUNCTION("""COMPUTED_VALUE"""),0.2252)</f>
        <v>0.2252</v>
      </c>
      <c r="M4174" s="18">
        <f>IFERROR(__xludf.DUMMYFUNCTION("""COMPUTED_VALUE"""),1.44)</f>
        <v>1.44</v>
      </c>
    </row>
    <row r="4175">
      <c r="A4175" s="13" t="str">
        <f>IFERROR(__xludf.DUMMYFUNCTION("""COMPUTED_VALUE"""),"товари")</f>
        <v>товари</v>
      </c>
      <c r="B4175" s="16" t="str">
        <f>IFERROR(__xludf.DUMMYFUNCTION("""COMPUTED_VALUE"""),"товари для дітей")</f>
        <v>товари для дітей</v>
      </c>
      <c r="C4175" s="16" t="str">
        <f>IFERROR(__xludf.DUMMYFUNCTION("""COMPUTED_VALUE"""),"гігієна та догляд за дітьми")</f>
        <v>гігієна та догляд за дітьми</v>
      </c>
      <c r="D4175" s="16" t="str">
        <f>IFERROR(__xludf.DUMMYFUNCTION("""COMPUTED_VALUE"""),"гігієна та догляд за дітьми, загальне")</f>
        <v>гігієна та догляд за дітьми, загальне</v>
      </c>
      <c r="E4175" s="16" t="str">
        <f>IFERROR(__xludf.DUMMYFUNCTION("""COMPUTED_VALUE"""),"гігієна та догляд за дітьми, загальне")</f>
        <v>гігієна та догляд за дітьми, загальне</v>
      </c>
      <c r="F4175" s="17">
        <f>IFERROR(__xludf.DUMMYFUNCTION("""COMPUTED_VALUE"""),3.0)</f>
        <v>3</v>
      </c>
      <c r="G4175" s="17" t="str">
        <f>IFERROR(__xludf.DUMMYFUNCTION("""COMPUTED_VALUE"""),"15012201")</f>
        <v>15012201</v>
      </c>
      <c r="H4175" s="17" t="str">
        <f>IFERROR(__xludf.DUMMYFUNCTION("""COMPUTED_VALUE"""),"гігієна та догляд за дітьми, загальне")</f>
        <v>гігієна та догляд за дітьми, загальне</v>
      </c>
      <c r="I4175" s="19">
        <f>IFERROR(__xludf.DUMMYFUNCTION("""COMPUTED_VALUE"""),0.125)</f>
        <v>0.125</v>
      </c>
      <c r="J4175" s="19">
        <f>IFERROR(__xludf.DUMMYFUNCTION("""COMPUTED_VALUE"""),0.25)</f>
        <v>0.25</v>
      </c>
      <c r="K4175" s="19">
        <f>IFERROR(__xludf.DUMMYFUNCTION("""COMPUTED_VALUE"""),0.3125)</f>
        <v>0.3125</v>
      </c>
      <c r="L4175" s="19">
        <f>IFERROR(__xludf.DUMMYFUNCTION("""COMPUTED_VALUE"""),0.375)</f>
        <v>0.375</v>
      </c>
      <c r="M4175" s="18">
        <f>IFERROR(__xludf.DUMMYFUNCTION("""COMPUTED_VALUE"""),4.33)</f>
        <v>4.33</v>
      </c>
    </row>
    <row r="4176">
      <c r="A4176" s="13" t="str">
        <f>IFERROR(__xludf.DUMMYFUNCTION("""COMPUTED_VALUE"""),"товари")</f>
        <v>товари</v>
      </c>
      <c r="B4176" s="16" t="str">
        <f>IFERROR(__xludf.DUMMYFUNCTION("""COMPUTED_VALUE"""),"товари для дітей")</f>
        <v>товари для дітей</v>
      </c>
      <c r="C4176" s="16" t="str">
        <f>IFERROR(__xludf.DUMMYFUNCTION("""COMPUTED_VALUE"""),"гігієна та догляд за дітьми")</f>
        <v>гігієна та догляд за дітьми</v>
      </c>
      <c r="D4176" s="16" t="str">
        <f>IFERROR(__xludf.DUMMYFUNCTION("""COMPUTED_VALUE"""),"гігієнічні одноразові пелюшки")</f>
        <v>гігієнічні одноразові пелюшки</v>
      </c>
      <c r="E4176" s="16" t="str">
        <f>IFERROR(__xludf.DUMMYFUNCTION("""COMPUTED_VALUE"""),"гігієнічні одноразові пелюшки")</f>
        <v>гігієнічні одноразові пелюшки</v>
      </c>
      <c r="F4176" s="17">
        <f>IFERROR(__xludf.DUMMYFUNCTION("""COMPUTED_VALUE"""),3.0)</f>
        <v>3</v>
      </c>
      <c r="G4176" s="17" t="str">
        <f>IFERROR(__xludf.DUMMYFUNCTION("""COMPUTED_VALUE"""),"151311")</f>
        <v>151311</v>
      </c>
      <c r="H4176" s="17" t="str">
        <f>IFERROR(__xludf.DUMMYFUNCTION("""COMPUTED_VALUE"""),"гігієнічні одноразові пелюшки")</f>
        <v>гігієнічні одноразові пелюшки</v>
      </c>
      <c r="I4176" s="19">
        <f>IFERROR(__xludf.DUMMYFUNCTION("""COMPUTED_VALUE"""),0.054)</f>
        <v>0.054</v>
      </c>
      <c r="J4176" s="19">
        <f>IFERROR(__xludf.DUMMYFUNCTION("""COMPUTED_VALUE"""),0.108)</f>
        <v>0.108</v>
      </c>
      <c r="K4176" s="19">
        <f>IFERROR(__xludf.DUMMYFUNCTION("""COMPUTED_VALUE"""),0.135)</f>
        <v>0.135</v>
      </c>
      <c r="L4176" s="19">
        <f>IFERROR(__xludf.DUMMYFUNCTION("""COMPUTED_VALUE"""),0.162)</f>
        <v>0.162</v>
      </c>
      <c r="M4176" s="18">
        <f>IFERROR(__xludf.DUMMYFUNCTION("""COMPUTED_VALUE"""),3.33)</f>
        <v>3.33</v>
      </c>
    </row>
    <row r="4177">
      <c r="A4177" s="13" t="str">
        <f>IFERROR(__xludf.DUMMYFUNCTION("""COMPUTED_VALUE"""),"товари")</f>
        <v>товари</v>
      </c>
      <c r="B4177" s="16" t="str">
        <f>IFERROR(__xludf.DUMMYFUNCTION("""COMPUTED_VALUE"""),"товари для дітей")</f>
        <v>товари для дітей</v>
      </c>
      <c r="C4177" s="16" t="str">
        <f>IFERROR(__xludf.DUMMYFUNCTION("""COMPUTED_VALUE"""),"канцтовари шкільні та дитячі")</f>
        <v>канцтовари шкільні та дитячі</v>
      </c>
      <c r="D4177" s="16" t="str">
        <f>IFERROR(__xludf.DUMMYFUNCTION("""COMPUTED_VALUE"""),"дитяча творчість та малювання")</f>
        <v>дитяча творчість та малювання</v>
      </c>
      <c r="E4177" s="16" t="str">
        <f>IFERROR(__xludf.DUMMYFUNCTION("""COMPUTED_VALUE"""),"гумки для плетіння")</f>
        <v>гумки для плетіння</v>
      </c>
      <c r="F4177" s="17">
        <f>IFERROR(__xludf.DUMMYFUNCTION("""COMPUTED_VALUE"""),4.0)</f>
        <v>4</v>
      </c>
      <c r="G4177" s="17" t="str">
        <f>IFERROR(__xludf.DUMMYFUNCTION("""COMPUTED_VALUE"""),"15011909")</f>
        <v>15011909</v>
      </c>
      <c r="H4177" s="17" t="str">
        <f>IFERROR(__xludf.DUMMYFUNCTION("""COMPUTED_VALUE"""),"гумки для плетіння")</f>
        <v>гумки для плетіння</v>
      </c>
      <c r="I4177" s="19">
        <f>IFERROR(__xludf.DUMMYFUNCTION("""COMPUTED_VALUE"""),0.0935)</f>
        <v>0.0935</v>
      </c>
      <c r="J4177" s="19">
        <f>IFERROR(__xludf.DUMMYFUNCTION("""COMPUTED_VALUE"""),0.187)</f>
        <v>0.187</v>
      </c>
      <c r="K4177" s="19">
        <f>IFERROR(__xludf.DUMMYFUNCTION("""COMPUTED_VALUE"""),0.2338)</f>
        <v>0.2338</v>
      </c>
      <c r="L4177" s="19">
        <f>IFERROR(__xludf.DUMMYFUNCTION("""COMPUTED_VALUE"""),0.2805)</f>
        <v>0.2805</v>
      </c>
      <c r="M4177" s="18">
        <f>IFERROR(__xludf.DUMMYFUNCTION("""COMPUTED_VALUE"""),2.79)</f>
        <v>2.79</v>
      </c>
    </row>
    <row r="4178">
      <c r="A4178" s="13" t="str">
        <f>IFERROR(__xludf.DUMMYFUNCTION("""COMPUTED_VALUE"""),"товари")</f>
        <v>товари</v>
      </c>
      <c r="B4178" s="16" t="str">
        <f>IFERROR(__xludf.DUMMYFUNCTION("""COMPUTED_VALUE"""),"товари для дітей")</f>
        <v>товари для дітей</v>
      </c>
      <c r="C4178" s="16" t="str">
        <f>IFERROR(__xludf.DUMMYFUNCTION("""COMPUTED_VALUE"""),"іграшки")</f>
        <v>іграшки</v>
      </c>
      <c r="D4178" s="16" t="str">
        <f>IFERROR(__xludf.DUMMYFUNCTION("""COMPUTED_VALUE"""),"дзиги та спінери")</f>
        <v>дзиги та спінери</v>
      </c>
      <c r="E4178" s="16" t="str">
        <f>IFERROR(__xludf.DUMMYFUNCTION("""COMPUTED_VALUE"""),"дзиги та спінери")</f>
        <v>дзиги та спінери</v>
      </c>
      <c r="F4178" s="17">
        <f>IFERROR(__xludf.DUMMYFUNCTION("""COMPUTED_VALUE"""),3.0)</f>
        <v>3</v>
      </c>
      <c r="G4178" s="17" t="str">
        <f>IFERROR(__xludf.DUMMYFUNCTION("""COMPUTED_VALUE"""),"2655")</f>
        <v>2655</v>
      </c>
      <c r="H4178" s="17" t="str">
        <f>IFERROR(__xludf.DUMMYFUNCTION("""COMPUTED_VALUE"""),"дзиги та спінери")</f>
        <v>дзиги та спінери</v>
      </c>
      <c r="I4178" s="19">
        <f>IFERROR(__xludf.DUMMYFUNCTION("""COMPUTED_VALUE"""),0.0973)</f>
        <v>0.0973</v>
      </c>
      <c r="J4178" s="19">
        <f>IFERROR(__xludf.DUMMYFUNCTION("""COMPUTED_VALUE"""),0.1945)</f>
        <v>0.1945</v>
      </c>
      <c r="K4178" s="19">
        <f>IFERROR(__xludf.DUMMYFUNCTION("""COMPUTED_VALUE"""),0.2431)</f>
        <v>0.2431</v>
      </c>
      <c r="L4178" s="19">
        <f>IFERROR(__xludf.DUMMYFUNCTION("""COMPUTED_VALUE"""),0.2918)</f>
        <v>0.2918</v>
      </c>
      <c r="M4178" s="18">
        <f>IFERROR(__xludf.DUMMYFUNCTION("""COMPUTED_VALUE"""),1.53)</f>
        <v>1.53</v>
      </c>
    </row>
    <row r="4179">
      <c r="A4179" s="13" t="str">
        <f>IFERROR(__xludf.DUMMYFUNCTION("""COMPUTED_VALUE"""),"товари")</f>
        <v>товари</v>
      </c>
      <c r="B4179" s="16" t="str">
        <f>IFERROR(__xludf.DUMMYFUNCTION("""COMPUTED_VALUE"""),"товари для дітей")</f>
        <v>товари для дітей</v>
      </c>
      <c r="C4179" s="16" t="str">
        <f>IFERROR(__xludf.DUMMYFUNCTION("""COMPUTED_VALUE"""),"книги для дітей")</f>
        <v>книги для дітей</v>
      </c>
      <c r="D4179" s="16" t="str">
        <f>IFERROR(__xludf.DUMMYFUNCTION("""COMPUTED_VALUE"""),"дитяча література, загальне")</f>
        <v>дитяча література, загальне</v>
      </c>
      <c r="E4179" s="16" t="str">
        <f>IFERROR(__xludf.DUMMYFUNCTION("""COMPUTED_VALUE"""),"дитяча література, загальне")</f>
        <v>дитяча література, загальне</v>
      </c>
      <c r="F4179" s="17">
        <f>IFERROR(__xludf.DUMMYFUNCTION("""COMPUTED_VALUE"""),3.0)</f>
        <v>3</v>
      </c>
      <c r="G4179" s="17" t="str">
        <f>IFERROR(__xludf.DUMMYFUNCTION("""COMPUTED_VALUE"""),"220210")</f>
        <v>220210</v>
      </c>
      <c r="H4179" s="17" t="str">
        <f>IFERROR(__xludf.DUMMYFUNCTION("""COMPUTED_VALUE"""),"дитяча література, загальне")</f>
        <v>дитяча література, загальне</v>
      </c>
      <c r="I4179" s="19">
        <f>IFERROR(__xludf.DUMMYFUNCTION("""COMPUTED_VALUE"""),0.125)</f>
        <v>0.125</v>
      </c>
      <c r="J4179" s="19">
        <f>IFERROR(__xludf.DUMMYFUNCTION("""COMPUTED_VALUE"""),0.25)</f>
        <v>0.25</v>
      </c>
      <c r="K4179" s="19">
        <f>IFERROR(__xludf.DUMMYFUNCTION("""COMPUTED_VALUE"""),0.3125)</f>
        <v>0.3125</v>
      </c>
      <c r="L4179" s="19">
        <f>IFERROR(__xludf.DUMMYFUNCTION("""COMPUTED_VALUE"""),0.375)</f>
        <v>0.375</v>
      </c>
      <c r="M4179" s="18">
        <f>IFERROR(__xludf.DUMMYFUNCTION("""COMPUTED_VALUE"""),4.33)</f>
        <v>4.33</v>
      </c>
    </row>
    <row r="4180">
      <c r="A4180" s="13" t="str">
        <f>IFERROR(__xludf.DUMMYFUNCTION("""COMPUTED_VALUE"""),"товари")</f>
        <v>товари</v>
      </c>
      <c r="B4180" s="16" t="str">
        <f>IFERROR(__xludf.DUMMYFUNCTION("""COMPUTED_VALUE"""),"товари для дітей")</f>
        <v>товари для дітей</v>
      </c>
      <c r="C4180" s="16" t="str">
        <f>IFERROR(__xludf.DUMMYFUNCTION("""COMPUTED_VALUE"""),"іграшки")</f>
        <v>іграшки</v>
      </c>
      <c r="D4180" s="16" t="str">
        <f>IFERROR(__xludf.DUMMYFUNCTION("""COMPUTED_VALUE"""),"дитяча мозаїка")</f>
        <v>дитяча мозаїка</v>
      </c>
      <c r="E4180" s="16" t="str">
        <f>IFERROR(__xludf.DUMMYFUNCTION("""COMPUTED_VALUE"""),"дитяча мозаїка")</f>
        <v>дитяча мозаїка</v>
      </c>
      <c r="F4180" s="17">
        <f>IFERROR(__xludf.DUMMYFUNCTION("""COMPUTED_VALUE"""),3.0)</f>
        <v>3</v>
      </c>
      <c r="G4180" s="17" t="str">
        <f>IFERROR(__xludf.DUMMYFUNCTION("""COMPUTED_VALUE"""),"264702")</f>
        <v>264702</v>
      </c>
      <c r="H4180" s="17" t="str">
        <f>IFERROR(__xludf.DUMMYFUNCTION("""COMPUTED_VALUE"""),"дитяча мозаїка")</f>
        <v>дитяча мозаїка</v>
      </c>
      <c r="I4180" s="19">
        <f>IFERROR(__xludf.DUMMYFUNCTION("""COMPUTED_VALUE"""),0.0965)</f>
        <v>0.0965</v>
      </c>
      <c r="J4180" s="19">
        <f>IFERROR(__xludf.DUMMYFUNCTION("""COMPUTED_VALUE"""),0.1929)</f>
        <v>0.1929</v>
      </c>
      <c r="K4180" s="19">
        <f>IFERROR(__xludf.DUMMYFUNCTION("""COMPUTED_VALUE"""),0.2411)</f>
        <v>0.2411</v>
      </c>
      <c r="L4180" s="19">
        <f>IFERROR(__xludf.DUMMYFUNCTION("""COMPUTED_VALUE"""),0.2894)</f>
        <v>0.2894</v>
      </c>
      <c r="M4180" s="18">
        <f>IFERROR(__xludf.DUMMYFUNCTION("""COMPUTED_VALUE"""),1.53)</f>
        <v>1.53</v>
      </c>
    </row>
    <row r="4181">
      <c r="A4181" s="13" t="str">
        <f>IFERROR(__xludf.DUMMYFUNCTION("""COMPUTED_VALUE"""),"товари")</f>
        <v>товари</v>
      </c>
      <c r="B4181" s="16" t="str">
        <f>IFERROR(__xludf.DUMMYFUNCTION("""COMPUTED_VALUE"""),"товари для дітей")</f>
        <v>товари для дітей</v>
      </c>
      <c r="C4181" s="16" t="str">
        <f>IFERROR(__xludf.DUMMYFUNCTION("""COMPUTED_VALUE"""),"дитячий текстиль")</f>
        <v>дитячий текстиль</v>
      </c>
      <c r="D4181" s="16" t="str">
        <f>IFERROR(__xludf.DUMMYFUNCTION("""COMPUTED_VALUE"""),"дитяча постільна білизна")</f>
        <v>дитяча постільна білизна</v>
      </c>
      <c r="E4181" s="16" t="str">
        <f>IFERROR(__xludf.DUMMYFUNCTION("""COMPUTED_VALUE"""),"дитяча постільна білизна")</f>
        <v>дитяча постільна білизна</v>
      </c>
      <c r="F4181" s="17">
        <f>IFERROR(__xludf.DUMMYFUNCTION("""COMPUTED_VALUE"""),3.0)</f>
        <v>3</v>
      </c>
      <c r="G4181" s="17" t="str">
        <f>IFERROR(__xludf.DUMMYFUNCTION("""COMPUTED_VALUE"""),"40607")</f>
        <v>40607</v>
      </c>
      <c r="H4181" s="17" t="str">
        <f>IFERROR(__xludf.DUMMYFUNCTION("""COMPUTED_VALUE"""),"дитяча постільна білизна")</f>
        <v>дитяча постільна білизна</v>
      </c>
      <c r="I4181" s="19">
        <f>IFERROR(__xludf.DUMMYFUNCTION("""COMPUTED_VALUE"""),0.0762)</f>
        <v>0.0762</v>
      </c>
      <c r="J4181" s="19">
        <f>IFERROR(__xludf.DUMMYFUNCTION("""COMPUTED_VALUE"""),0.1523)</f>
        <v>0.1523</v>
      </c>
      <c r="K4181" s="19">
        <f>IFERROR(__xludf.DUMMYFUNCTION("""COMPUTED_VALUE"""),0.1904)</f>
        <v>0.1904</v>
      </c>
      <c r="L4181" s="19">
        <f>IFERROR(__xludf.DUMMYFUNCTION("""COMPUTED_VALUE"""),0.2285)</f>
        <v>0.2285</v>
      </c>
      <c r="M4181" s="18">
        <f>IFERROR(__xludf.DUMMYFUNCTION("""COMPUTED_VALUE"""),2.08)</f>
        <v>2.08</v>
      </c>
    </row>
    <row r="4182">
      <c r="A4182" s="13" t="str">
        <f>IFERROR(__xludf.DUMMYFUNCTION("""COMPUTED_VALUE"""),"товари")</f>
        <v>товари</v>
      </c>
      <c r="B4182" s="16" t="str">
        <f>IFERROR(__xludf.DUMMYFUNCTION("""COMPUTED_VALUE"""),"товари для дітей")</f>
        <v>товари для дітей</v>
      </c>
      <c r="C4182" s="16" t="str">
        <f>IFERROR(__xludf.DUMMYFUNCTION("""COMPUTED_VALUE"""),"канцтовари шкільні та дитячі")</f>
        <v>канцтовари шкільні та дитячі</v>
      </c>
      <c r="D4182" s="16" t="str">
        <f>IFERROR(__xludf.DUMMYFUNCTION("""COMPUTED_VALUE"""),"дитяча творчість та малювання")</f>
        <v>дитяча творчість та малювання</v>
      </c>
      <c r="E4182" s="16" t="str">
        <f>IFERROR(__xludf.DUMMYFUNCTION("""COMPUTED_VALUE"""),"дитяча творчість та малювання, загальне")</f>
        <v>дитяча творчість та малювання, загальне</v>
      </c>
      <c r="F4182" s="17">
        <f>IFERROR(__xludf.DUMMYFUNCTION("""COMPUTED_VALUE"""),4.0)</f>
        <v>4</v>
      </c>
      <c r="G4182" s="17" t="str">
        <f>IFERROR(__xludf.DUMMYFUNCTION("""COMPUTED_VALUE"""),"15011912")</f>
        <v>15011912</v>
      </c>
      <c r="H4182" s="17" t="str">
        <f>IFERROR(__xludf.DUMMYFUNCTION("""COMPUTED_VALUE"""),"дитяча творчість та малювання, загальне")</f>
        <v>дитяча творчість та малювання, загальне</v>
      </c>
      <c r="I4182" s="19">
        <f>IFERROR(__xludf.DUMMYFUNCTION("""COMPUTED_VALUE"""),0.125)</f>
        <v>0.125</v>
      </c>
      <c r="J4182" s="19">
        <f>IFERROR(__xludf.DUMMYFUNCTION("""COMPUTED_VALUE"""),0.25)</f>
        <v>0.25</v>
      </c>
      <c r="K4182" s="19">
        <f>IFERROR(__xludf.DUMMYFUNCTION("""COMPUTED_VALUE"""),0.3125)</f>
        <v>0.3125</v>
      </c>
      <c r="L4182" s="19">
        <f>IFERROR(__xludf.DUMMYFUNCTION("""COMPUTED_VALUE"""),0.375)</f>
        <v>0.375</v>
      </c>
      <c r="M4182" s="18">
        <f>IFERROR(__xludf.DUMMYFUNCTION("""COMPUTED_VALUE"""),4.33)</f>
        <v>4.33</v>
      </c>
    </row>
    <row r="4183">
      <c r="A4183" s="13" t="str">
        <f>IFERROR(__xludf.DUMMYFUNCTION("""COMPUTED_VALUE"""),"товари")</f>
        <v>товари</v>
      </c>
      <c r="B4183" s="16" t="str">
        <f>IFERROR(__xludf.DUMMYFUNCTION("""COMPUTED_VALUE"""),"товари для дітей")</f>
        <v>товари для дітей</v>
      </c>
      <c r="C4183" s="16" t="str">
        <f>IFERROR(__xludf.DUMMYFUNCTION("""COMPUTED_VALUE"""),"книги для дітей")</f>
        <v>книги для дітей</v>
      </c>
      <c r="D4183" s="16" t="str">
        <f>IFERROR(__xludf.DUMMYFUNCTION("""COMPUTED_VALUE"""),"дитяча художня література")</f>
        <v>дитяча художня література</v>
      </c>
      <c r="E4183" s="16" t="str">
        <f>IFERROR(__xludf.DUMMYFUNCTION("""COMPUTED_VALUE"""),"дитяча художня література")</f>
        <v>дитяча художня література</v>
      </c>
      <c r="F4183" s="17">
        <f>IFERROR(__xludf.DUMMYFUNCTION("""COMPUTED_VALUE"""),3.0)</f>
        <v>3</v>
      </c>
      <c r="G4183" s="17" t="str">
        <f>IFERROR(__xludf.DUMMYFUNCTION("""COMPUTED_VALUE"""),"15011802")</f>
        <v>15011802</v>
      </c>
      <c r="H4183" s="17" t="str">
        <f>IFERROR(__xludf.DUMMYFUNCTION("""COMPUTED_VALUE"""),"дитяча художня література")</f>
        <v>дитяча художня література</v>
      </c>
      <c r="I4183" s="19">
        <f>IFERROR(__xludf.DUMMYFUNCTION("""COMPUTED_VALUE"""),0.0639)</f>
        <v>0.0639</v>
      </c>
      <c r="J4183" s="19">
        <f>IFERROR(__xludf.DUMMYFUNCTION("""COMPUTED_VALUE"""),0.1278)</f>
        <v>0.1278</v>
      </c>
      <c r="K4183" s="19">
        <f>IFERROR(__xludf.DUMMYFUNCTION("""COMPUTED_VALUE"""),0.1598)</f>
        <v>0.1598</v>
      </c>
      <c r="L4183" s="19">
        <f>IFERROR(__xludf.DUMMYFUNCTION("""COMPUTED_VALUE"""),0.1917)</f>
        <v>0.1917</v>
      </c>
      <c r="M4183" s="18">
        <f>IFERROR(__xludf.DUMMYFUNCTION("""COMPUTED_VALUE"""),1.05)</f>
        <v>1.05</v>
      </c>
    </row>
    <row r="4184">
      <c r="A4184" s="13" t="str">
        <f>IFERROR(__xludf.DUMMYFUNCTION("""COMPUTED_VALUE"""),"товари")</f>
        <v>товари</v>
      </c>
      <c r="B4184" s="16" t="str">
        <f>IFERROR(__xludf.DUMMYFUNCTION("""COMPUTED_VALUE"""),"товари для дітей")</f>
        <v>товари для дітей</v>
      </c>
      <c r="C4184" s="16" t="str">
        <f>IFERROR(__xludf.DUMMYFUNCTION("""COMPUTED_VALUE"""),"дитяче харчування")</f>
        <v>дитяче харчування</v>
      </c>
      <c r="D4184" s="16" t="str">
        <f>IFERROR(__xludf.DUMMYFUNCTION("""COMPUTED_VALUE"""),"дитяче печиво та пудинги")</f>
        <v>дитяче печиво та пудинги</v>
      </c>
      <c r="E4184" s="16" t="str">
        <f>IFERROR(__xludf.DUMMYFUNCTION("""COMPUTED_VALUE"""),"дитяче печиво та пудинги")</f>
        <v>дитяче печиво та пудинги</v>
      </c>
      <c r="F4184" s="17">
        <f>IFERROR(__xludf.DUMMYFUNCTION("""COMPUTED_VALUE"""),3.0)</f>
        <v>3</v>
      </c>
      <c r="G4184" s="17" t="str">
        <f>IFERROR(__xludf.DUMMYFUNCTION("""COMPUTED_VALUE"""),"29907")</f>
        <v>29907</v>
      </c>
      <c r="H4184" s="17" t="str">
        <f>IFERROR(__xludf.DUMMYFUNCTION("""COMPUTED_VALUE"""),"дитяче печиво та пудинги")</f>
        <v>дитяче печиво та пудинги</v>
      </c>
      <c r="I4184" s="19">
        <f>IFERROR(__xludf.DUMMYFUNCTION("""COMPUTED_VALUE"""),0.0495)</f>
        <v>0.0495</v>
      </c>
      <c r="J4184" s="19">
        <f>IFERROR(__xludf.DUMMYFUNCTION("""COMPUTED_VALUE"""),0.099)</f>
        <v>0.099</v>
      </c>
      <c r="K4184" s="19">
        <f>IFERROR(__xludf.DUMMYFUNCTION("""COMPUTED_VALUE"""),0.1238)</f>
        <v>0.1238</v>
      </c>
      <c r="L4184" s="19">
        <f>IFERROR(__xludf.DUMMYFUNCTION("""COMPUTED_VALUE"""),0.1485)</f>
        <v>0.1485</v>
      </c>
      <c r="M4184" s="18">
        <f>IFERROR(__xludf.DUMMYFUNCTION("""COMPUTED_VALUE"""),1.05)</f>
        <v>1.05</v>
      </c>
    </row>
    <row r="4185">
      <c r="A4185" s="13" t="str">
        <f>IFERROR(__xludf.DUMMYFUNCTION("""COMPUTED_VALUE"""),"товари")</f>
        <v>товари</v>
      </c>
      <c r="B4185" s="16" t="str">
        <f>IFERROR(__xludf.DUMMYFUNCTION("""COMPUTED_VALUE"""),"товари для дітей")</f>
        <v>товари для дітей</v>
      </c>
      <c r="C4185" s="16" t="str">
        <f>IFERROR(__xludf.DUMMYFUNCTION("""COMPUTED_VALUE"""),"дитяче харчування")</f>
        <v>дитяче харчування</v>
      </c>
      <c r="D4185" s="16" t="str">
        <f>IFERROR(__xludf.DUMMYFUNCTION("""COMPUTED_VALUE"""),"дитяче харчування, загальне")</f>
        <v>дитяче харчування, загальне</v>
      </c>
      <c r="E4185" s="16" t="str">
        <f>IFERROR(__xludf.DUMMYFUNCTION("""COMPUTED_VALUE"""),"дитяче харчування, загальне")</f>
        <v>дитяче харчування, загальне</v>
      </c>
      <c r="F4185" s="17">
        <f>IFERROR(__xludf.DUMMYFUNCTION("""COMPUTED_VALUE"""),3.0)</f>
        <v>3</v>
      </c>
      <c r="G4185" s="17" t="str">
        <f>IFERROR(__xludf.DUMMYFUNCTION("""COMPUTED_VALUE"""),"29909")</f>
        <v>29909</v>
      </c>
      <c r="H4185" s="17" t="str">
        <f>IFERROR(__xludf.DUMMYFUNCTION("""COMPUTED_VALUE"""),"дитяче харчування, загальне")</f>
        <v>дитяче харчування, загальне</v>
      </c>
      <c r="I4185" s="19">
        <f>IFERROR(__xludf.DUMMYFUNCTION("""COMPUTED_VALUE"""),0.125)</f>
        <v>0.125</v>
      </c>
      <c r="J4185" s="19">
        <f>IFERROR(__xludf.DUMMYFUNCTION("""COMPUTED_VALUE"""),0.25)</f>
        <v>0.25</v>
      </c>
      <c r="K4185" s="19">
        <f>IFERROR(__xludf.DUMMYFUNCTION("""COMPUTED_VALUE"""),0.3125)</f>
        <v>0.3125</v>
      </c>
      <c r="L4185" s="19">
        <f>IFERROR(__xludf.DUMMYFUNCTION("""COMPUTED_VALUE"""),0.375)</f>
        <v>0.375</v>
      </c>
      <c r="M4185" s="18">
        <f>IFERROR(__xludf.DUMMYFUNCTION("""COMPUTED_VALUE"""),4.33)</f>
        <v>4.33</v>
      </c>
    </row>
    <row r="4186">
      <c r="A4186" s="13" t="str">
        <f>IFERROR(__xludf.DUMMYFUNCTION("""COMPUTED_VALUE"""),"товари")</f>
        <v>товари</v>
      </c>
      <c r="B4186" s="16" t="str">
        <f>IFERROR(__xludf.DUMMYFUNCTION("""COMPUTED_VALUE"""),"товари для дітей")</f>
        <v>товари для дітей</v>
      </c>
      <c r="C4186" s="16" t="str">
        <f>IFERROR(__xludf.DUMMYFUNCTION("""COMPUTED_VALUE"""),"дитяче харчування")</f>
        <v>дитяче харчування</v>
      </c>
      <c r="D4186" s="16" t="str">
        <f>IFERROR(__xludf.DUMMYFUNCTION("""COMPUTED_VALUE"""),"дитячий посуд для годування")</f>
        <v>дитячий посуд для годування</v>
      </c>
      <c r="E4186" s="16" t="str">
        <f>IFERROR(__xludf.DUMMYFUNCTION("""COMPUTED_VALUE"""),"дитячий посуд для годування")</f>
        <v>дитячий посуд для годування</v>
      </c>
      <c r="F4186" s="17">
        <f>IFERROR(__xludf.DUMMYFUNCTION("""COMPUTED_VALUE"""),3.0)</f>
        <v>3</v>
      </c>
      <c r="G4186" s="17" t="str">
        <f>IFERROR(__xludf.DUMMYFUNCTION("""COMPUTED_VALUE"""),"15010107")</f>
        <v>15010107</v>
      </c>
      <c r="H4186" s="17" t="str">
        <f>IFERROR(__xludf.DUMMYFUNCTION("""COMPUTED_VALUE"""),"дитячий посуд для годування")</f>
        <v>дитячий посуд для годування</v>
      </c>
      <c r="I4186" s="19">
        <f>IFERROR(__xludf.DUMMYFUNCTION("""COMPUTED_VALUE"""),0.0492)</f>
        <v>0.0492</v>
      </c>
      <c r="J4186" s="19">
        <f>IFERROR(__xludf.DUMMYFUNCTION("""COMPUTED_VALUE"""),0.0983)</f>
        <v>0.0983</v>
      </c>
      <c r="K4186" s="19">
        <f>IFERROR(__xludf.DUMMYFUNCTION("""COMPUTED_VALUE"""),0.1229)</f>
        <v>0.1229</v>
      </c>
      <c r="L4186" s="19">
        <f>IFERROR(__xludf.DUMMYFUNCTION("""COMPUTED_VALUE"""),0.1475)</f>
        <v>0.1475</v>
      </c>
      <c r="M4186" s="18">
        <f>IFERROR(__xludf.DUMMYFUNCTION("""COMPUTED_VALUE"""),1.05)</f>
        <v>1.05</v>
      </c>
    </row>
    <row r="4187">
      <c r="A4187" s="13" t="str">
        <f>IFERROR(__xludf.DUMMYFUNCTION("""COMPUTED_VALUE"""),"товари")</f>
        <v>товари</v>
      </c>
      <c r="B4187" s="16" t="str">
        <f>IFERROR(__xludf.DUMMYFUNCTION("""COMPUTED_VALUE"""),"товари для дітей")</f>
        <v>товари для дітей</v>
      </c>
      <c r="C4187" s="16" t="str">
        <f>IFERROR(__xludf.DUMMYFUNCTION("""COMPUTED_VALUE"""),"дитячий текстиль")</f>
        <v>дитячий текстиль</v>
      </c>
      <c r="D4187" s="16" t="str">
        <f>IFERROR(__xludf.DUMMYFUNCTION("""COMPUTED_VALUE"""),"дитячий текстиль, загальне")</f>
        <v>дитячий текстиль, загальне</v>
      </c>
      <c r="E4187" s="16" t="str">
        <f>IFERROR(__xludf.DUMMYFUNCTION("""COMPUTED_VALUE"""),"дитячий текстиль, загальне")</f>
        <v>дитячий текстиль, загальне</v>
      </c>
      <c r="F4187" s="17">
        <f>IFERROR(__xludf.DUMMYFUNCTION("""COMPUTED_VALUE"""),3.0)</f>
        <v>3</v>
      </c>
      <c r="G4187" s="17" t="str">
        <f>IFERROR(__xludf.DUMMYFUNCTION("""COMPUTED_VALUE"""),"15011404")</f>
        <v>15011404</v>
      </c>
      <c r="H4187" s="17" t="str">
        <f>IFERROR(__xludf.DUMMYFUNCTION("""COMPUTED_VALUE"""),"дитячий текстиль, загальне")</f>
        <v>дитячий текстиль, загальне</v>
      </c>
      <c r="I4187" s="19">
        <f>IFERROR(__xludf.DUMMYFUNCTION("""COMPUTED_VALUE"""),0.125)</f>
        <v>0.125</v>
      </c>
      <c r="J4187" s="19">
        <f>IFERROR(__xludf.DUMMYFUNCTION("""COMPUTED_VALUE"""),0.25)</f>
        <v>0.25</v>
      </c>
      <c r="K4187" s="19">
        <f>IFERROR(__xludf.DUMMYFUNCTION("""COMPUTED_VALUE"""),0.3125)</f>
        <v>0.3125</v>
      </c>
      <c r="L4187" s="19">
        <f>IFERROR(__xludf.DUMMYFUNCTION("""COMPUTED_VALUE"""),0.375)</f>
        <v>0.375</v>
      </c>
      <c r="M4187" s="18">
        <f>IFERROR(__xludf.DUMMYFUNCTION("""COMPUTED_VALUE"""),4.33)</f>
        <v>4.33</v>
      </c>
    </row>
    <row r="4188">
      <c r="A4188" s="13" t="str">
        <f>IFERROR(__xludf.DUMMYFUNCTION("""COMPUTED_VALUE"""),"товари")</f>
        <v>товари</v>
      </c>
      <c r="B4188" s="16" t="str">
        <f>IFERROR(__xludf.DUMMYFUNCTION("""COMPUTED_VALUE"""),"товари для дітей")</f>
        <v>товари для дітей</v>
      </c>
      <c r="C4188" s="16" t="str">
        <f>IFERROR(__xludf.DUMMYFUNCTION("""COMPUTED_VALUE"""),"дитячий транспорт та автокрісла")</f>
        <v>дитячий транспорт та автокрісла</v>
      </c>
      <c r="D4188" s="16" t="str">
        <f>IFERROR(__xludf.DUMMYFUNCTION("""COMPUTED_VALUE"""),"дитячий транспорт та автокрісла, загальне")</f>
        <v>дитячий транспорт та автокрісла, загальне</v>
      </c>
      <c r="E4188" s="16" t="str">
        <f>IFERROR(__xludf.DUMMYFUNCTION("""COMPUTED_VALUE"""),"дитячий транспорт та автокрісла, загальне")</f>
        <v>дитячий транспорт та автокрісла, загальне</v>
      </c>
      <c r="F4188" s="17">
        <f>IFERROR(__xludf.DUMMYFUNCTION("""COMPUTED_VALUE"""),3.0)</f>
        <v>3</v>
      </c>
      <c r="G4188" s="17" t="str">
        <f>IFERROR(__xludf.DUMMYFUNCTION("""COMPUTED_VALUE"""),"15011607")</f>
        <v>15011607</v>
      </c>
      <c r="H4188" s="17" t="str">
        <f>IFERROR(__xludf.DUMMYFUNCTION("""COMPUTED_VALUE"""),"дитячий транспорт та автокрісла, загальне")</f>
        <v>дитячий транспорт та автокрісла, загальне</v>
      </c>
      <c r="I4188" s="19">
        <f>IFERROR(__xludf.DUMMYFUNCTION("""COMPUTED_VALUE"""),0.125)</f>
        <v>0.125</v>
      </c>
      <c r="J4188" s="19">
        <f>IFERROR(__xludf.DUMMYFUNCTION("""COMPUTED_VALUE"""),0.25)</f>
        <v>0.25</v>
      </c>
      <c r="K4188" s="19">
        <f>IFERROR(__xludf.DUMMYFUNCTION("""COMPUTED_VALUE"""),0.3125)</f>
        <v>0.3125</v>
      </c>
      <c r="L4188" s="19">
        <f>IFERROR(__xludf.DUMMYFUNCTION("""COMPUTED_VALUE"""),0.375)</f>
        <v>0.375</v>
      </c>
      <c r="M4188" s="18">
        <f>IFERROR(__xludf.DUMMYFUNCTION("""COMPUTED_VALUE"""),4.33)</f>
        <v>4.33</v>
      </c>
    </row>
    <row r="4189">
      <c r="A4189" s="13" t="str">
        <f>IFERROR(__xludf.DUMMYFUNCTION("""COMPUTED_VALUE"""),"товари")</f>
        <v>товари</v>
      </c>
      <c r="B4189" s="16" t="str">
        <f>IFERROR(__xludf.DUMMYFUNCTION("""COMPUTED_VALUE"""),"товари для дітей")</f>
        <v>товари для дітей</v>
      </c>
      <c r="C4189" s="16" t="str">
        <f>IFERROR(__xludf.DUMMYFUNCTION("""COMPUTED_VALUE"""),"дитячий транспорт та автокрісла")</f>
        <v>дитячий транспорт та автокрісла</v>
      </c>
      <c r="D4189" s="16" t="str">
        <f>IFERROR(__xludf.DUMMYFUNCTION("""COMPUTED_VALUE"""),"дитячі автокрісла")</f>
        <v>дитячі автокрісла</v>
      </c>
      <c r="E4189" s="16" t="str">
        <f>IFERROR(__xludf.DUMMYFUNCTION("""COMPUTED_VALUE"""),"дитячі автокрісла")</f>
        <v>дитячі автокрісла</v>
      </c>
      <c r="F4189" s="17">
        <f>IFERROR(__xludf.DUMMYFUNCTION("""COMPUTED_VALUE"""),3.0)</f>
        <v>3</v>
      </c>
      <c r="G4189" s="17" t="str">
        <f>IFERROR(__xludf.DUMMYFUNCTION("""COMPUTED_VALUE"""),"15010502")</f>
        <v>15010502</v>
      </c>
      <c r="H4189" s="17" t="str">
        <f>IFERROR(__xludf.DUMMYFUNCTION("""COMPUTED_VALUE"""),"дитячі автокрісла")</f>
        <v>дитячі автокрісла</v>
      </c>
      <c r="I4189" s="19">
        <f>IFERROR(__xludf.DUMMYFUNCTION("""COMPUTED_VALUE"""),0.0486)</f>
        <v>0.0486</v>
      </c>
      <c r="J4189" s="19">
        <f>IFERROR(__xludf.DUMMYFUNCTION("""COMPUTED_VALUE"""),0.0972)</f>
        <v>0.0972</v>
      </c>
      <c r="K4189" s="19">
        <f>IFERROR(__xludf.DUMMYFUNCTION("""COMPUTED_VALUE"""),0.1215)</f>
        <v>0.1215</v>
      </c>
      <c r="L4189" s="19">
        <f>IFERROR(__xludf.DUMMYFUNCTION("""COMPUTED_VALUE"""),0.1458)</f>
        <v>0.1458</v>
      </c>
      <c r="M4189" s="18">
        <f>IFERROR(__xludf.DUMMYFUNCTION("""COMPUTED_VALUE"""),4.41)</f>
        <v>4.41</v>
      </c>
    </row>
    <row r="4190">
      <c r="A4190" s="13" t="str">
        <f>IFERROR(__xludf.DUMMYFUNCTION("""COMPUTED_VALUE"""),"товари")</f>
        <v>товари</v>
      </c>
      <c r="B4190" s="16" t="str">
        <f>IFERROR(__xludf.DUMMYFUNCTION("""COMPUTED_VALUE"""),"товари для дітей")</f>
        <v>товари для дітей</v>
      </c>
      <c r="C4190" s="16" t="str">
        <f>IFERROR(__xludf.DUMMYFUNCTION("""COMPUTED_VALUE"""),"дитячий транспорт та автокрісла")</f>
        <v>дитячий транспорт та автокрісла</v>
      </c>
      <c r="D4190" s="16" t="str">
        <f>IFERROR(__xludf.DUMMYFUNCTION("""COMPUTED_VALUE"""),"біговели")</f>
        <v>біговели</v>
      </c>
      <c r="E4190" s="16" t="str">
        <f>IFERROR(__xludf.DUMMYFUNCTION("""COMPUTED_VALUE"""),"біговели")</f>
        <v>біговели</v>
      </c>
      <c r="F4190" s="17">
        <f>IFERROR(__xludf.DUMMYFUNCTION("""COMPUTED_VALUE"""),3.0)</f>
        <v>3</v>
      </c>
      <c r="G4190" s="17" t="str">
        <f>IFERROR(__xludf.DUMMYFUNCTION("""COMPUTED_VALUE"""),"15011608")</f>
        <v>15011608</v>
      </c>
      <c r="H4190" s="17" t="str">
        <f>IFERROR(__xludf.DUMMYFUNCTION("""COMPUTED_VALUE"""),"біговели")</f>
        <v>біговели</v>
      </c>
      <c r="I4190" s="19">
        <f>IFERROR(__xludf.DUMMYFUNCTION("""COMPUTED_VALUE"""),0.0561)</f>
        <v>0.0561</v>
      </c>
      <c r="J4190" s="19">
        <f>IFERROR(__xludf.DUMMYFUNCTION("""COMPUTED_VALUE"""),0.1121)</f>
        <v>0.1121</v>
      </c>
      <c r="K4190" s="19">
        <f>IFERROR(__xludf.DUMMYFUNCTION("""COMPUTED_VALUE"""),0.1401)</f>
        <v>0.1401</v>
      </c>
      <c r="L4190" s="19">
        <f>IFERROR(__xludf.DUMMYFUNCTION("""COMPUTED_VALUE"""),0.1682)</f>
        <v>0.1682</v>
      </c>
      <c r="M4190" s="18">
        <f>IFERROR(__xludf.DUMMYFUNCTION("""COMPUTED_VALUE"""),2.34)</f>
        <v>2.34</v>
      </c>
    </row>
    <row r="4191">
      <c r="A4191" s="13" t="str">
        <f>IFERROR(__xludf.DUMMYFUNCTION("""COMPUTED_VALUE"""),"товари")</f>
        <v>товари</v>
      </c>
      <c r="B4191" s="16" t="str">
        <f>IFERROR(__xludf.DUMMYFUNCTION("""COMPUTED_VALUE"""),"товари для дітей")</f>
        <v>товари для дітей</v>
      </c>
      <c r="C4191" s="16" t="str">
        <f>IFERROR(__xludf.DUMMYFUNCTION("""COMPUTED_VALUE"""),"гігієна та догляд за дітьми")</f>
        <v>гігієна та догляд за дітьми</v>
      </c>
      <c r="D4191" s="16" t="str">
        <f>IFERROR(__xludf.DUMMYFUNCTION("""COMPUTED_VALUE"""),"дитячі ваги")</f>
        <v>дитячі ваги</v>
      </c>
      <c r="E4191" s="16" t="str">
        <f>IFERROR(__xludf.DUMMYFUNCTION("""COMPUTED_VALUE"""),"дитячі ваги")</f>
        <v>дитячі ваги</v>
      </c>
      <c r="F4191" s="17">
        <f>IFERROR(__xludf.DUMMYFUNCTION("""COMPUTED_VALUE"""),3.0)</f>
        <v>3</v>
      </c>
      <c r="G4191" s="17" t="str">
        <f>IFERROR(__xludf.DUMMYFUNCTION("""COMPUTED_VALUE"""),"15371108")</f>
        <v>15371108</v>
      </c>
      <c r="H4191" s="17" t="str">
        <f>IFERROR(__xludf.DUMMYFUNCTION("""COMPUTED_VALUE"""),"дитячі ваги")</f>
        <v>дитячі ваги</v>
      </c>
      <c r="I4191" s="19">
        <f>IFERROR(__xludf.DUMMYFUNCTION("""COMPUTED_VALUE"""),0.0503)</f>
        <v>0.0503</v>
      </c>
      <c r="J4191" s="19">
        <f>IFERROR(__xludf.DUMMYFUNCTION("""COMPUTED_VALUE"""),0.1005)</f>
        <v>0.1005</v>
      </c>
      <c r="K4191" s="19">
        <f>IFERROR(__xludf.DUMMYFUNCTION("""COMPUTED_VALUE"""),0.1256)</f>
        <v>0.1256</v>
      </c>
      <c r="L4191" s="19">
        <f>IFERROR(__xludf.DUMMYFUNCTION("""COMPUTED_VALUE"""),0.1508)</f>
        <v>0.1508</v>
      </c>
      <c r="M4191" s="18">
        <f>IFERROR(__xludf.DUMMYFUNCTION("""COMPUTED_VALUE"""),1.63)</f>
        <v>1.63</v>
      </c>
    </row>
    <row r="4192">
      <c r="A4192" s="13" t="str">
        <f>IFERROR(__xludf.DUMMYFUNCTION("""COMPUTED_VALUE"""),"товари")</f>
        <v>товари</v>
      </c>
      <c r="B4192" s="16" t="str">
        <f>IFERROR(__xludf.DUMMYFUNCTION("""COMPUTED_VALUE"""),"товари для дітей")</f>
        <v>товари для дітей</v>
      </c>
      <c r="C4192" s="16" t="str">
        <f>IFERROR(__xludf.DUMMYFUNCTION("""COMPUTED_VALUE"""),"гігієна та догляд за дітьми")</f>
        <v>гігієна та догляд за дітьми</v>
      </c>
      <c r="D4192" s="16" t="str">
        <f>IFERROR(__xludf.DUMMYFUNCTION("""COMPUTED_VALUE"""),"дитячі ванночки")</f>
        <v>дитячі ванночки</v>
      </c>
      <c r="E4192" s="16" t="str">
        <f>IFERROR(__xludf.DUMMYFUNCTION("""COMPUTED_VALUE"""),"дитячі ванночки")</f>
        <v>дитячі ванночки</v>
      </c>
      <c r="F4192" s="17">
        <f>IFERROR(__xludf.DUMMYFUNCTION("""COMPUTED_VALUE"""),3.0)</f>
        <v>3</v>
      </c>
      <c r="G4192" s="17" t="str">
        <f>IFERROR(__xludf.DUMMYFUNCTION("""COMPUTED_VALUE"""),"15010505")</f>
        <v>15010505</v>
      </c>
      <c r="H4192" s="17" t="str">
        <f>IFERROR(__xludf.DUMMYFUNCTION("""COMPUTED_VALUE"""),"дитячі ванночки")</f>
        <v>дитячі ванночки</v>
      </c>
      <c r="I4192" s="19">
        <f>IFERROR(__xludf.DUMMYFUNCTION("""COMPUTED_VALUE"""),0.052)</f>
        <v>0.052</v>
      </c>
      <c r="J4192" s="19">
        <f>IFERROR(__xludf.DUMMYFUNCTION("""COMPUTED_VALUE"""),0.104)</f>
        <v>0.104</v>
      </c>
      <c r="K4192" s="19">
        <f>IFERROR(__xludf.DUMMYFUNCTION("""COMPUTED_VALUE"""),0.13)</f>
        <v>0.13</v>
      </c>
      <c r="L4192" s="19">
        <f>IFERROR(__xludf.DUMMYFUNCTION("""COMPUTED_VALUE"""),0.156)</f>
        <v>0.156</v>
      </c>
      <c r="M4192" s="18">
        <f>IFERROR(__xludf.DUMMYFUNCTION("""COMPUTED_VALUE"""),1.26)</f>
        <v>1.26</v>
      </c>
    </row>
    <row r="4193">
      <c r="A4193" s="13" t="str">
        <f>IFERROR(__xludf.DUMMYFUNCTION("""COMPUTED_VALUE"""),"товари")</f>
        <v>товари</v>
      </c>
      <c r="B4193" s="16" t="str">
        <f>IFERROR(__xludf.DUMMYFUNCTION("""COMPUTED_VALUE"""),"товари для дітей")</f>
        <v>товари для дітей</v>
      </c>
      <c r="C4193" s="16" t="str">
        <f>IFERROR(__xludf.DUMMYFUNCTION("""COMPUTED_VALUE"""),"дитячий транспорт та автокрісла")</f>
        <v>дитячий транспорт та автокрісла</v>
      </c>
      <c r="D4193" s="16" t="str">
        <f>IFERROR(__xludf.DUMMYFUNCTION("""COMPUTED_VALUE"""),"дитячі веломобілі")</f>
        <v>дитячі веломобілі</v>
      </c>
      <c r="E4193" s="16" t="str">
        <f>IFERROR(__xludf.DUMMYFUNCTION("""COMPUTED_VALUE"""),"дитячі веломобілі")</f>
        <v>дитячі веломобілі</v>
      </c>
      <c r="F4193" s="17">
        <f>IFERROR(__xludf.DUMMYFUNCTION("""COMPUTED_VALUE"""),3.0)</f>
        <v>3</v>
      </c>
      <c r="G4193" s="17" t="str">
        <f>IFERROR(__xludf.DUMMYFUNCTION("""COMPUTED_VALUE"""),"15011604")</f>
        <v>15011604</v>
      </c>
      <c r="H4193" s="17" t="str">
        <f>IFERROR(__xludf.DUMMYFUNCTION("""COMPUTED_VALUE"""),"дитячі веломобілі")</f>
        <v>дитячі веломобілі</v>
      </c>
      <c r="I4193" s="19">
        <f>IFERROR(__xludf.DUMMYFUNCTION("""COMPUTED_VALUE"""),0.0434)</f>
        <v>0.0434</v>
      </c>
      <c r="J4193" s="19">
        <f>IFERROR(__xludf.DUMMYFUNCTION("""COMPUTED_VALUE"""),0.0867)</f>
        <v>0.0867</v>
      </c>
      <c r="K4193" s="19">
        <f>IFERROR(__xludf.DUMMYFUNCTION("""COMPUTED_VALUE"""),0.1084)</f>
        <v>0.1084</v>
      </c>
      <c r="L4193" s="19">
        <f>IFERROR(__xludf.DUMMYFUNCTION("""COMPUTED_VALUE"""),0.1301)</f>
        <v>0.1301</v>
      </c>
      <c r="M4193" s="18">
        <f>IFERROR(__xludf.DUMMYFUNCTION("""COMPUTED_VALUE"""),3.88)</f>
        <v>3.88</v>
      </c>
    </row>
    <row r="4194">
      <c r="A4194" s="13" t="str">
        <f>IFERROR(__xludf.DUMMYFUNCTION("""COMPUTED_VALUE"""),"товари")</f>
        <v>товари</v>
      </c>
      <c r="B4194" s="16" t="str">
        <f>IFERROR(__xludf.DUMMYFUNCTION("""COMPUTED_VALUE"""),"товари для дітей")</f>
        <v>товари для дітей</v>
      </c>
      <c r="C4194" s="16" t="str">
        <f>IFERROR(__xludf.DUMMYFUNCTION("""COMPUTED_VALUE"""),"дитячі ігри")</f>
        <v>дитячі ігри</v>
      </c>
      <c r="D4194" s="16" t="str">
        <f>IFERROR(__xludf.DUMMYFUNCTION("""COMPUTED_VALUE"""),"дитячі гойдалки для дому")</f>
        <v>дитячі гойдалки для дому</v>
      </c>
      <c r="E4194" s="16" t="str">
        <f>IFERROR(__xludf.DUMMYFUNCTION("""COMPUTED_VALUE"""),"дитячі гойдалки для дому")</f>
        <v>дитячі гойдалки для дому</v>
      </c>
      <c r="F4194" s="17">
        <f>IFERROR(__xludf.DUMMYFUNCTION("""COMPUTED_VALUE"""),3.0)</f>
        <v>3</v>
      </c>
      <c r="G4194" s="17" t="str">
        <f>IFERROR(__xludf.DUMMYFUNCTION("""COMPUTED_VALUE"""),"150115")</f>
        <v>150115</v>
      </c>
      <c r="H4194" s="17" t="str">
        <f>IFERROR(__xludf.DUMMYFUNCTION("""COMPUTED_VALUE"""),"дитячі гойдалки для дому")</f>
        <v>дитячі гойдалки для дому</v>
      </c>
      <c r="I4194" s="19">
        <f>IFERROR(__xludf.DUMMYFUNCTION("""COMPUTED_VALUE"""),0.0541)</f>
        <v>0.0541</v>
      </c>
      <c r="J4194" s="19">
        <f>IFERROR(__xludf.DUMMYFUNCTION("""COMPUTED_VALUE"""),0.1082)</f>
        <v>0.1082</v>
      </c>
      <c r="K4194" s="19">
        <f>IFERROR(__xludf.DUMMYFUNCTION("""COMPUTED_VALUE"""),0.1353)</f>
        <v>0.1353</v>
      </c>
      <c r="L4194" s="19">
        <f>IFERROR(__xludf.DUMMYFUNCTION("""COMPUTED_VALUE"""),0.1623)</f>
        <v>0.1623</v>
      </c>
      <c r="M4194" s="18">
        <f>IFERROR(__xludf.DUMMYFUNCTION("""COMPUTED_VALUE"""),2.53)</f>
        <v>2.53</v>
      </c>
    </row>
    <row r="4195">
      <c r="A4195" s="13" t="str">
        <f>IFERROR(__xludf.DUMMYFUNCTION("""COMPUTED_VALUE"""),"товари")</f>
        <v>товари</v>
      </c>
      <c r="B4195" s="16" t="str">
        <f>IFERROR(__xludf.DUMMYFUNCTION("""COMPUTED_VALUE"""),"товари для дітей")</f>
        <v>товари для дітей</v>
      </c>
      <c r="C4195" s="16" t="str">
        <f>IFERROR(__xludf.DUMMYFUNCTION("""COMPUTED_VALUE"""),"гігієна та догляд за дітьми")</f>
        <v>гігієна та догляд за дітьми</v>
      </c>
      <c r="D4195" s="16" t="str">
        <f>IFERROR(__xludf.DUMMYFUNCTION("""COMPUTED_VALUE"""),"дитячі горщики та сидіння на унітаз")</f>
        <v>дитячі горщики та сидіння на унітаз</v>
      </c>
      <c r="E4195" s="16" t="str">
        <f>IFERROR(__xludf.DUMMYFUNCTION("""COMPUTED_VALUE"""),"дитячі горщики та сидіння на унітаз")</f>
        <v>дитячі горщики та сидіння на унітаз</v>
      </c>
      <c r="F4195" s="17">
        <f>IFERROR(__xludf.DUMMYFUNCTION("""COMPUTED_VALUE"""),3.0)</f>
        <v>3</v>
      </c>
      <c r="G4195" s="17" t="str">
        <f>IFERROR(__xludf.DUMMYFUNCTION("""COMPUTED_VALUE"""),"150104")</f>
        <v>150104</v>
      </c>
      <c r="H4195" s="17" t="str">
        <f>IFERROR(__xludf.DUMMYFUNCTION("""COMPUTED_VALUE"""),"дитячі горщики та сидіння на унітаз")</f>
        <v>дитячі горщики та сидіння на унітаз</v>
      </c>
      <c r="I4195" s="19">
        <f>IFERROR(__xludf.DUMMYFUNCTION("""COMPUTED_VALUE"""),0.0507)</f>
        <v>0.0507</v>
      </c>
      <c r="J4195" s="19">
        <f>IFERROR(__xludf.DUMMYFUNCTION("""COMPUTED_VALUE"""),0.1013)</f>
        <v>0.1013</v>
      </c>
      <c r="K4195" s="19">
        <f>IFERROR(__xludf.DUMMYFUNCTION("""COMPUTED_VALUE"""),0.1266)</f>
        <v>0.1266</v>
      </c>
      <c r="L4195" s="19">
        <f>IFERROR(__xludf.DUMMYFUNCTION("""COMPUTED_VALUE"""),0.152)</f>
        <v>0.152</v>
      </c>
      <c r="M4195" s="18">
        <f>IFERROR(__xludf.DUMMYFUNCTION("""COMPUTED_VALUE"""),1.63)</f>
        <v>1.63</v>
      </c>
    </row>
    <row r="4196">
      <c r="A4196" s="13" t="str">
        <f>IFERROR(__xludf.DUMMYFUNCTION("""COMPUTED_VALUE"""),"товари")</f>
        <v>товари</v>
      </c>
      <c r="B4196" s="16" t="str">
        <f>IFERROR(__xludf.DUMMYFUNCTION("""COMPUTED_VALUE"""),"товари для дітей")</f>
        <v>товари для дітей</v>
      </c>
      <c r="C4196" s="16" t="str">
        <f>IFERROR(__xludf.DUMMYFUNCTION("""COMPUTED_VALUE"""),"гігієна та догляд за дітьми")</f>
        <v>гігієна та догляд за дітьми</v>
      </c>
      <c r="D4196" s="16" t="str">
        <f>IFERROR(__xludf.DUMMYFUNCTION("""COMPUTED_VALUE"""),"дитячі гребінці")</f>
        <v>дитячі гребінці</v>
      </c>
      <c r="E4196" s="16" t="str">
        <f>IFERROR(__xludf.DUMMYFUNCTION("""COMPUTED_VALUE"""),"дитячі гребінці")</f>
        <v>дитячі гребінці</v>
      </c>
      <c r="F4196" s="17">
        <f>IFERROR(__xludf.DUMMYFUNCTION("""COMPUTED_VALUE"""),3.0)</f>
        <v>3</v>
      </c>
      <c r="G4196" s="17" t="str">
        <f>IFERROR(__xludf.DUMMYFUNCTION("""COMPUTED_VALUE"""),"15010511")</f>
        <v>15010511</v>
      </c>
      <c r="H4196" s="17" t="str">
        <f>IFERROR(__xludf.DUMMYFUNCTION("""COMPUTED_VALUE"""),"дитячі гребінці")</f>
        <v>дитячі гребінці</v>
      </c>
      <c r="I4196" s="19">
        <f>IFERROR(__xludf.DUMMYFUNCTION("""COMPUTED_VALUE"""),0.0486)</f>
        <v>0.0486</v>
      </c>
      <c r="J4196" s="19">
        <f>IFERROR(__xludf.DUMMYFUNCTION("""COMPUTED_VALUE"""),0.0972)</f>
        <v>0.0972</v>
      </c>
      <c r="K4196" s="19">
        <f>IFERROR(__xludf.DUMMYFUNCTION("""COMPUTED_VALUE"""),0.1215)</f>
        <v>0.1215</v>
      </c>
      <c r="L4196" s="19">
        <f>IFERROR(__xludf.DUMMYFUNCTION("""COMPUTED_VALUE"""),0.1458)</f>
        <v>0.1458</v>
      </c>
      <c r="M4196" s="18">
        <f>IFERROR(__xludf.DUMMYFUNCTION("""COMPUTED_VALUE"""),1.53)</f>
        <v>1.53</v>
      </c>
    </row>
    <row r="4197">
      <c r="A4197" s="13" t="str">
        <f>IFERROR(__xludf.DUMMYFUNCTION("""COMPUTED_VALUE"""),"товари")</f>
        <v>товари</v>
      </c>
      <c r="B4197" s="16" t="str">
        <f>IFERROR(__xludf.DUMMYFUNCTION("""COMPUTED_VALUE"""),"товари для дітей")</f>
        <v>товари для дітей</v>
      </c>
      <c r="C4197" s="16" t="str">
        <f>IFERROR(__xludf.DUMMYFUNCTION("""COMPUTED_VALUE"""),"дитячі меблі")</f>
        <v>дитячі меблі</v>
      </c>
      <c r="D4197" s="16" t="str">
        <f>IFERROR(__xludf.DUMMYFUNCTION("""COMPUTED_VALUE"""),"дитячі дивани та м'які крісла")</f>
        <v>дитячі дивани та м'які крісла</v>
      </c>
      <c r="E4197" s="16" t="str">
        <f>IFERROR(__xludf.DUMMYFUNCTION("""COMPUTED_VALUE"""),"дитячі дивани та м'які крісла")</f>
        <v>дитячі дивани та м'які крісла</v>
      </c>
      <c r="F4197" s="17">
        <f>IFERROR(__xludf.DUMMYFUNCTION("""COMPUTED_VALUE"""),3.0)</f>
        <v>3</v>
      </c>
      <c r="G4197" s="17" t="str">
        <f>IFERROR(__xludf.DUMMYFUNCTION("""COMPUTED_VALUE"""),"15030319")</f>
        <v>15030319</v>
      </c>
      <c r="H4197" s="17" t="str">
        <f>IFERROR(__xludf.DUMMYFUNCTION("""COMPUTED_VALUE"""),"дитячі дивани та м'які крісла")</f>
        <v>дитячі дивани та м'які крісла</v>
      </c>
      <c r="I4197" s="19">
        <f>IFERROR(__xludf.DUMMYFUNCTION("""COMPUTED_VALUE"""),0.0532)</f>
        <v>0.0532</v>
      </c>
      <c r="J4197" s="19">
        <f>IFERROR(__xludf.DUMMYFUNCTION("""COMPUTED_VALUE"""),0.1063)</f>
        <v>0.1063</v>
      </c>
      <c r="K4197" s="19">
        <f>IFERROR(__xludf.DUMMYFUNCTION("""COMPUTED_VALUE"""),0.1329)</f>
        <v>0.1329</v>
      </c>
      <c r="L4197" s="19">
        <f>IFERROR(__xludf.DUMMYFUNCTION("""COMPUTED_VALUE"""),0.1595)</f>
        <v>0.1595</v>
      </c>
      <c r="M4197" s="18">
        <f>IFERROR(__xludf.DUMMYFUNCTION("""COMPUTED_VALUE"""),1.8)</f>
        <v>1.8</v>
      </c>
    </row>
    <row r="4198">
      <c r="A4198" s="13" t="str">
        <f>IFERROR(__xludf.DUMMYFUNCTION("""COMPUTED_VALUE"""),"товари")</f>
        <v>товари</v>
      </c>
      <c r="B4198" s="16" t="str">
        <f>IFERROR(__xludf.DUMMYFUNCTION("""COMPUTED_VALUE"""),"товари для дітей")</f>
        <v>товари для дітей</v>
      </c>
      <c r="C4198" s="16" t="str">
        <f>IFERROR(__xludf.DUMMYFUNCTION("""COMPUTED_VALUE"""),"дитячий транспорт та автокрісла")</f>
        <v>дитячий транспорт та автокрісла</v>
      </c>
      <c r="D4198" s="16" t="str">
        <f>IFERROR(__xludf.DUMMYFUNCTION("""COMPUTED_VALUE"""),"дитячі електромобілі, бензомобілі")</f>
        <v>дитячі електромобілі, бензомобілі</v>
      </c>
      <c r="E4198" s="16" t="str">
        <f>IFERROR(__xludf.DUMMYFUNCTION("""COMPUTED_VALUE"""),"дитячі електромобілі, бензомобілі")</f>
        <v>дитячі електромобілі, бензомобілі</v>
      </c>
      <c r="F4198" s="17">
        <f>IFERROR(__xludf.DUMMYFUNCTION("""COMPUTED_VALUE"""),3.0)</f>
        <v>3</v>
      </c>
      <c r="G4198" s="17" t="str">
        <f>IFERROR(__xludf.DUMMYFUNCTION("""COMPUTED_VALUE"""),"150109")</f>
        <v>150109</v>
      </c>
      <c r="H4198" s="17" t="str">
        <f>IFERROR(__xludf.DUMMYFUNCTION("""COMPUTED_VALUE"""),"дитячі електромобілі, бензомобілі")</f>
        <v>дитячі електромобілі, бензомобілі</v>
      </c>
      <c r="I4198" s="19">
        <f>IFERROR(__xludf.DUMMYFUNCTION("""COMPUTED_VALUE"""),0.0477)</f>
        <v>0.0477</v>
      </c>
      <c r="J4198" s="19">
        <f>IFERROR(__xludf.DUMMYFUNCTION("""COMPUTED_VALUE"""),0.0954)</f>
        <v>0.0954</v>
      </c>
      <c r="K4198" s="19">
        <f>IFERROR(__xludf.DUMMYFUNCTION("""COMPUTED_VALUE"""),0.1193)</f>
        <v>0.1193</v>
      </c>
      <c r="L4198" s="19">
        <f>IFERROR(__xludf.DUMMYFUNCTION("""COMPUTED_VALUE"""),0.1431)</f>
        <v>0.1431</v>
      </c>
      <c r="M4198" s="18">
        <f>IFERROR(__xludf.DUMMYFUNCTION("""COMPUTED_VALUE"""),2.88)</f>
        <v>2.88</v>
      </c>
    </row>
    <row r="4199">
      <c r="A4199" s="13" t="str">
        <f>IFERROR(__xludf.DUMMYFUNCTION("""COMPUTED_VALUE"""),"товари")</f>
        <v>товари</v>
      </c>
      <c r="B4199" s="16" t="str">
        <f>IFERROR(__xludf.DUMMYFUNCTION("""COMPUTED_VALUE"""),"товари для дітей")</f>
        <v>товари для дітей</v>
      </c>
      <c r="C4199" s="16" t="str">
        <f>IFERROR(__xludf.DUMMYFUNCTION("""COMPUTED_VALUE"""),"іграшки")</f>
        <v>іграшки</v>
      </c>
      <c r="D4199" s="16" t="str">
        <f>IFERROR(__xludf.DUMMYFUNCTION("""COMPUTED_VALUE"""),"дитячі залізниці, автотреки")</f>
        <v>дитячі залізниці, автотреки</v>
      </c>
      <c r="E4199" s="16" t="str">
        <f>IFERROR(__xludf.DUMMYFUNCTION("""COMPUTED_VALUE"""),"дитячі залізниці, автотреки")</f>
        <v>дитячі залізниці, автотреки</v>
      </c>
      <c r="F4199" s="17">
        <f>IFERROR(__xludf.DUMMYFUNCTION("""COMPUTED_VALUE"""),3.0)</f>
        <v>3</v>
      </c>
      <c r="G4199" s="17" t="str">
        <f>IFERROR(__xludf.DUMMYFUNCTION("""COMPUTED_VALUE"""),"2636")</f>
        <v>2636</v>
      </c>
      <c r="H4199" s="17" t="str">
        <f>IFERROR(__xludf.DUMMYFUNCTION("""COMPUTED_VALUE"""),"дитячі залізниці, автотреки")</f>
        <v>дитячі залізниці, автотреки</v>
      </c>
      <c r="I4199" s="19">
        <f>IFERROR(__xludf.DUMMYFUNCTION("""COMPUTED_VALUE"""),0.0968)</f>
        <v>0.0968</v>
      </c>
      <c r="J4199" s="19">
        <f>IFERROR(__xludf.DUMMYFUNCTION("""COMPUTED_VALUE"""),0.1936)</f>
        <v>0.1936</v>
      </c>
      <c r="K4199" s="19">
        <f>IFERROR(__xludf.DUMMYFUNCTION("""COMPUTED_VALUE"""),0.242)</f>
        <v>0.242</v>
      </c>
      <c r="L4199" s="19">
        <f>IFERROR(__xludf.DUMMYFUNCTION("""COMPUTED_VALUE"""),0.2904)</f>
        <v>0.2904</v>
      </c>
      <c r="M4199" s="18">
        <f>IFERROR(__xludf.DUMMYFUNCTION("""COMPUTED_VALUE"""),2.34)</f>
        <v>2.34</v>
      </c>
    </row>
    <row r="4200">
      <c r="A4200" s="13" t="str">
        <f>IFERROR(__xludf.DUMMYFUNCTION("""COMPUTED_VALUE"""),"товари")</f>
        <v>товари</v>
      </c>
      <c r="B4200" s="16" t="str">
        <f>IFERROR(__xludf.DUMMYFUNCTION("""COMPUTED_VALUE"""),"товари для дітей")</f>
        <v>товари для дітей</v>
      </c>
      <c r="C4200" s="16" t="str">
        <f>IFERROR(__xludf.DUMMYFUNCTION("""COMPUTED_VALUE"""),"іграшки")</f>
        <v>іграшки</v>
      </c>
      <c r="D4200" s="16" t="str">
        <f>IFERROR(__xludf.DUMMYFUNCTION("""COMPUTED_VALUE"""),"дитячі іграшки-каталки")</f>
        <v>дитячі іграшки-каталки</v>
      </c>
      <c r="E4200" s="16" t="str">
        <f>IFERROR(__xludf.DUMMYFUNCTION("""COMPUTED_VALUE"""),"дитячі іграшки-каталки")</f>
        <v>дитячі іграшки-каталки</v>
      </c>
      <c r="F4200" s="17">
        <f>IFERROR(__xludf.DUMMYFUNCTION("""COMPUTED_VALUE"""),3.0)</f>
        <v>3</v>
      </c>
      <c r="G4200" s="17" t="str">
        <f>IFERROR(__xludf.DUMMYFUNCTION("""COMPUTED_VALUE"""),"2627")</f>
        <v>2627</v>
      </c>
      <c r="H4200" s="17" t="str">
        <f>IFERROR(__xludf.DUMMYFUNCTION("""COMPUTED_VALUE"""),"дитячі іграшки-каталки")</f>
        <v>дитячі іграшки-каталки</v>
      </c>
      <c r="I4200" s="19">
        <f>IFERROR(__xludf.DUMMYFUNCTION("""COMPUTED_VALUE"""),0.0793)</f>
        <v>0.0793</v>
      </c>
      <c r="J4200" s="19">
        <f>IFERROR(__xludf.DUMMYFUNCTION("""COMPUTED_VALUE"""),0.1586)</f>
        <v>0.1586</v>
      </c>
      <c r="K4200" s="19">
        <f>IFERROR(__xludf.DUMMYFUNCTION("""COMPUTED_VALUE"""),0.1983)</f>
        <v>0.1983</v>
      </c>
      <c r="L4200" s="19">
        <f>IFERROR(__xludf.DUMMYFUNCTION("""COMPUTED_VALUE"""),0.2379)</f>
        <v>0.2379</v>
      </c>
      <c r="M4200" s="18">
        <f>IFERROR(__xludf.DUMMYFUNCTION("""COMPUTED_VALUE"""),1.8)</f>
        <v>1.8</v>
      </c>
    </row>
    <row r="4201">
      <c r="A4201" s="13" t="str">
        <f>IFERROR(__xludf.DUMMYFUNCTION("""COMPUTED_VALUE"""),"товари")</f>
        <v>товари</v>
      </c>
      <c r="B4201" s="16" t="str">
        <f>IFERROR(__xludf.DUMMYFUNCTION("""COMPUTED_VALUE"""),"товари для дітей")</f>
        <v>товари для дітей</v>
      </c>
      <c r="C4201" s="16" t="str">
        <f>IFERROR(__xludf.DUMMYFUNCTION("""COMPUTED_VALUE"""),"дитячі ігри")</f>
        <v>дитячі ігри</v>
      </c>
      <c r="D4201" s="16" t="str">
        <f>IFERROR(__xludf.DUMMYFUNCTION("""COMPUTED_VALUE"""),"дитячі ігри, загальне")</f>
        <v>дитячі ігри, загальне</v>
      </c>
      <c r="E4201" s="16" t="str">
        <f>IFERROR(__xludf.DUMMYFUNCTION("""COMPUTED_VALUE"""),"дитячі ігри, загальне")</f>
        <v>дитячі ігри, загальне</v>
      </c>
      <c r="F4201" s="17">
        <f>IFERROR(__xludf.DUMMYFUNCTION("""COMPUTED_VALUE"""),3.0)</f>
        <v>3</v>
      </c>
      <c r="G4201" s="17" t="str">
        <f>IFERROR(__xludf.DUMMYFUNCTION("""COMPUTED_VALUE"""),"264801")</f>
        <v>264801</v>
      </c>
      <c r="H4201" s="17" t="str">
        <f>IFERROR(__xludf.DUMMYFUNCTION("""COMPUTED_VALUE"""),"дитячі ігри, загальне")</f>
        <v>дитячі ігри, загальне</v>
      </c>
      <c r="I4201" s="19">
        <f>IFERROR(__xludf.DUMMYFUNCTION("""COMPUTED_VALUE"""),0.125)</f>
        <v>0.125</v>
      </c>
      <c r="J4201" s="19">
        <f>IFERROR(__xludf.DUMMYFUNCTION("""COMPUTED_VALUE"""),0.25)</f>
        <v>0.25</v>
      </c>
      <c r="K4201" s="19">
        <f>IFERROR(__xludf.DUMMYFUNCTION("""COMPUTED_VALUE"""),0.3125)</f>
        <v>0.3125</v>
      </c>
      <c r="L4201" s="19">
        <f>IFERROR(__xludf.DUMMYFUNCTION("""COMPUTED_VALUE"""),0.375)</f>
        <v>0.375</v>
      </c>
      <c r="M4201" s="18">
        <f>IFERROR(__xludf.DUMMYFUNCTION("""COMPUTED_VALUE"""),4.33)</f>
        <v>4.33</v>
      </c>
    </row>
    <row r="4202">
      <c r="A4202" s="13" t="str">
        <f>IFERROR(__xludf.DUMMYFUNCTION("""COMPUTED_VALUE"""),"товари")</f>
        <v>товари</v>
      </c>
      <c r="B4202" s="16" t="str">
        <f>IFERROR(__xludf.DUMMYFUNCTION("""COMPUTED_VALUE"""),"товари для дітей")</f>
        <v>товари для дітей</v>
      </c>
      <c r="C4202" s="16" t="str">
        <f>IFERROR(__xludf.DUMMYFUNCTION("""COMPUTED_VALUE"""),"іграшки")</f>
        <v>іграшки</v>
      </c>
      <c r="D4202" s="16" t="str">
        <f>IFERROR(__xludf.DUMMYFUNCTION("""COMPUTED_VALUE"""),"дитячі ігрові кухні")</f>
        <v>дитячі ігрові кухні</v>
      </c>
      <c r="E4202" s="16" t="str">
        <f>IFERROR(__xludf.DUMMYFUNCTION("""COMPUTED_VALUE"""),"дитячі ігрові кухні")</f>
        <v>дитячі ігрові кухні</v>
      </c>
      <c r="F4202" s="17">
        <f>IFERROR(__xludf.DUMMYFUNCTION("""COMPUTED_VALUE"""),3.0)</f>
        <v>3</v>
      </c>
      <c r="G4202" s="17" t="str">
        <f>IFERROR(__xludf.DUMMYFUNCTION("""COMPUTED_VALUE"""),"2654")</f>
        <v>2654</v>
      </c>
      <c r="H4202" s="17" t="str">
        <f>IFERROR(__xludf.DUMMYFUNCTION("""COMPUTED_VALUE"""),"дитячі ігрові кухні")</f>
        <v>дитячі ігрові кухні</v>
      </c>
      <c r="I4202" s="19">
        <f>IFERROR(__xludf.DUMMYFUNCTION("""COMPUTED_VALUE"""),0.0709)</f>
        <v>0.0709</v>
      </c>
      <c r="J4202" s="19">
        <f>IFERROR(__xludf.DUMMYFUNCTION("""COMPUTED_VALUE"""),0.1417)</f>
        <v>0.1417</v>
      </c>
      <c r="K4202" s="19">
        <f>IFERROR(__xludf.DUMMYFUNCTION("""COMPUTED_VALUE"""),0.1771)</f>
        <v>0.1771</v>
      </c>
      <c r="L4202" s="19">
        <f>IFERROR(__xludf.DUMMYFUNCTION("""COMPUTED_VALUE"""),0.2126)</f>
        <v>0.2126</v>
      </c>
      <c r="M4202" s="18">
        <f>IFERROR(__xludf.DUMMYFUNCTION("""COMPUTED_VALUE"""),2.25)</f>
        <v>2.25</v>
      </c>
    </row>
    <row r="4203">
      <c r="A4203" s="13" t="str">
        <f>IFERROR(__xludf.DUMMYFUNCTION("""COMPUTED_VALUE"""),"товари")</f>
        <v>товари</v>
      </c>
      <c r="B4203" s="16" t="str">
        <f>IFERROR(__xludf.DUMMYFUNCTION("""COMPUTED_VALUE"""),"товари для дітей")</f>
        <v>товари для дітей</v>
      </c>
      <c r="C4203" s="16" t="str">
        <f>IFERROR(__xludf.DUMMYFUNCTION("""COMPUTED_VALUE"""),"дитячі ігри")</f>
        <v>дитячі ігри</v>
      </c>
      <c r="D4203" s="16" t="str">
        <f>IFERROR(__xludf.DUMMYFUNCTION("""COMPUTED_VALUE"""),"дитячі ігрові намети, будиночки")</f>
        <v>дитячі ігрові намети, будиночки</v>
      </c>
      <c r="E4203" s="16" t="str">
        <f>IFERROR(__xludf.DUMMYFUNCTION("""COMPUTED_VALUE"""),"дитячі ігрові намети, будиночки")</f>
        <v>дитячі ігрові намети, будиночки</v>
      </c>
      <c r="F4203" s="17">
        <f>IFERROR(__xludf.DUMMYFUNCTION("""COMPUTED_VALUE"""),3.0)</f>
        <v>3</v>
      </c>
      <c r="G4203" s="17" t="str">
        <f>IFERROR(__xludf.DUMMYFUNCTION("""COMPUTED_VALUE"""),"2637")</f>
        <v>2637</v>
      </c>
      <c r="H4203" s="17" t="str">
        <f>IFERROR(__xludf.DUMMYFUNCTION("""COMPUTED_VALUE"""),"дитячі ігрові намети, будиночки")</f>
        <v>дитячі ігрові намети, будиночки</v>
      </c>
      <c r="I4203" s="19">
        <f>IFERROR(__xludf.DUMMYFUNCTION("""COMPUTED_VALUE"""),0.0547)</f>
        <v>0.0547</v>
      </c>
      <c r="J4203" s="19">
        <f>IFERROR(__xludf.DUMMYFUNCTION("""COMPUTED_VALUE"""),0.1094)</f>
        <v>0.1094</v>
      </c>
      <c r="K4203" s="19">
        <f>IFERROR(__xludf.DUMMYFUNCTION("""COMPUTED_VALUE"""),0.1368)</f>
        <v>0.1368</v>
      </c>
      <c r="L4203" s="19">
        <f>IFERROR(__xludf.DUMMYFUNCTION("""COMPUTED_VALUE"""),0.1641)</f>
        <v>0.1641</v>
      </c>
      <c r="M4203" s="18">
        <f>IFERROR(__xludf.DUMMYFUNCTION("""COMPUTED_VALUE"""),2.79)</f>
        <v>2.79</v>
      </c>
    </row>
    <row r="4204">
      <c r="A4204" s="13" t="str">
        <f>IFERROR(__xludf.DUMMYFUNCTION("""COMPUTED_VALUE"""),"товари")</f>
        <v>товари</v>
      </c>
      <c r="B4204" s="16" t="str">
        <f>IFERROR(__xludf.DUMMYFUNCTION("""COMPUTED_VALUE"""),"товари для дітей")</f>
        <v>товари для дітей</v>
      </c>
      <c r="C4204" s="16" t="str">
        <f>IFERROR(__xludf.DUMMYFUNCTION("""COMPUTED_VALUE"""),"дитяче харчування")</f>
        <v>дитяче харчування</v>
      </c>
      <c r="D4204" s="16" t="str">
        <f>IFERROR(__xludf.DUMMYFUNCTION("""COMPUTED_VALUE"""),"дитячі каші")</f>
        <v>дитячі каші</v>
      </c>
      <c r="E4204" s="16" t="str">
        <f>IFERROR(__xludf.DUMMYFUNCTION("""COMPUTED_VALUE"""),"дитячі каші")</f>
        <v>дитячі каші</v>
      </c>
      <c r="F4204" s="17">
        <f>IFERROR(__xludf.DUMMYFUNCTION("""COMPUTED_VALUE"""),3.0)</f>
        <v>3</v>
      </c>
      <c r="G4204" s="17" t="str">
        <f>IFERROR(__xludf.DUMMYFUNCTION("""COMPUTED_VALUE"""),"29902")</f>
        <v>29902</v>
      </c>
      <c r="H4204" s="17" t="str">
        <f>IFERROR(__xludf.DUMMYFUNCTION("""COMPUTED_VALUE"""),"дитячі каші")</f>
        <v>дитячі каші</v>
      </c>
      <c r="I4204" s="19">
        <f>IFERROR(__xludf.DUMMYFUNCTION("""COMPUTED_VALUE"""),0.0495)</f>
        <v>0.0495</v>
      </c>
      <c r="J4204" s="19">
        <f>IFERROR(__xludf.DUMMYFUNCTION("""COMPUTED_VALUE"""),0.099)</f>
        <v>0.099</v>
      </c>
      <c r="K4204" s="19">
        <f>IFERROR(__xludf.DUMMYFUNCTION("""COMPUTED_VALUE"""),0.1238)</f>
        <v>0.1238</v>
      </c>
      <c r="L4204" s="19">
        <f>IFERROR(__xludf.DUMMYFUNCTION("""COMPUTED_VALUE"""),0.1485)</f>
        <v>0.1485</v>
      </c>
      <c r="M4204" s="18">
        <f>IFERROR(__xludf.DUMMYFUNCTION("""COMPUTED_VALUE"""),1.05)</f>
        <v>1.05</v>
      </c>
    </row>
    <row r="4205">
      <c r="A4205" s="13" t="str">
        <f>IFERROR(__xludf.DUMMYFUNCTION("""COMPUTED_VALUE"""),"товари")</f>
        <v>товари</v>
      </c>
      <c r="B4205" s="16" t="str">
        <f>IFERROR(__xludf.DUMMYFUNCTION("""COMPUTED_VALUE"""),"товари для дітей")</f>
        <v>товари для дітей</v>
      </c>
      <c r="C4205" s="16" t="str">
        <f>IFERROR(__xludf.DUMMYFUNCTION("""COMPUTED_VALUE"""),"дитячий текстиль")</f>
        <v>дитячий текстиль</v>
      </c>
      <c r="D4205" s="16" t="str">
        <f>IFERROR(__xludf.DUMMYFUNCTION("""COMPUTED_VALUE"""),"дитячі килимки")</f>
        <v>дитячі килимки</v>
      </c>
      <c r="E4205" s="16" t="str">
        <f>IFERROR(__xludf.DUMMYFUNCTION("""COMPUTED_VALUE"""),"дитячі килимки")</f>
        <v>дитячі килимки</v>
      </c>
      <c r="F4205" s="17">
        <f>IFERROR(__xludf.DUMMYFUNCTION("""COMPUTED_VALUE"""),3.0)</f>
        <v>3</v>
      </c>
      <c r="G4205" s="17" t="str">
        <f>IFERROR(__xludf.DUMMYFUNCTION("""COMPUTED_VALUE"""),"4050703")</f>
        <v>4050703</v>
      </c>
      <c r="H4205" s="17" t="str">
        <f>IFERROR(__xludf.DUMMYFUNCTION("""COMPUTED_VALUE"""),"дитячі килимки")</f>
        <v>дитячі килимки</v>
      </c>
      <c r="I4205" s="19">
        <f>IFERROR(__xludf.DUMMYFUNCTION("""COMPUTED_VALUE"""),0.0609)</f>
        <v>0.0609</v>
      </c>
      <c r="J4205" s="19">
        <f>IFERROR(__xludf.DUMMYFUNCTION("""COMPUTED_VALUE"""),0.1217)</f>
        <v>0.1217</v>
      </c>
      <c r="K4205" s="19">
        <f>IFERROR(__xludf.DUMMYFUNCTION("""COMPUTED_VALUE"""),0.1521)</f>
        <v>0.1521</v>
      </c>
      <c r="L4205" s="19">
        <f>IFERROR(__xludf.DUMMYFUNCTION("""COMPUTED_VALUE"""),0.1826)</f>
        <v>0.1826</v>
      </c>
      <c r="M4205" s="18">
        <f>IFERROR(__xludf.DUMMYFUNCTION("""COMPUTED_VALUE"""),2.7)</f>
        <v>2.7</v>
      </c>
    </row>
    <row r="4206">
      <c r="A4206" s="13" t="str">
        <f>IFERROR(__xludf.DUMMYFUNCTION("""COMPUTED_VALUE"""),"товари")</f>
        <v>товари</v>
      </c>
      <c r="B4206" s="16" t="str">
        <f>IFERROR(__xludf.DUMMYFUNCTION("""COMPUTED_VALUE"""),"товари для дітей")</f>
        <v>товари для дітей</v>
      </c>
      <c r="C4206" s="16" t="str">
        <f>IFERROR(__xludf.DUMMYFUNCTION("""COMPUTED_VALUE"""),"дитячий текстиль")</f>
        <v>дитячий текстиль</v>
      </c>
      <c r="D4206" s="16" t="str">
        <f>IFERROR(__xludf.DUMMYFUNCTION("""COMPUTED_VALUE"""),"дитячі ковдри")</f>
        <v>дитячі ковдри</v>
      </c>
      <c r="E4206" s="16" t="str">
        <f>IFERROR(__xludf.DUMMYFUNCTION("""COMPUTED_VALUE"""),"дитячі ковдри")</f>
        <v>дитячі ковдри</v>
      </c>
      <c r="F4206" s="17">
        <f>IFERROR(__xludf.DUMMYFUNCTION("""COMPUTED_VALUE"""),3.0)</f>
        <v>3</v>
      </c>
      <c r="G4206" s="17" t="str">
        <f>IFERROR(__xludf.DUMMYFUNCTION("""COMPUTED_VALUE"""),"15011402")</f>
        <v>15011402</v>
      </c>
      <c r="H4206" s="17" t="str">
        <f>IFERROR(__xludf.DUMMYFUNCTION("""COMPUTED_VALUE"""),"дитячі ковдри")</f>
        <v>дитячі ковдри</v>
      </c>
      <c r="I4206" s="19">
        <f>IFERROR(__xludf.DUMMYFUNCTION("""COMPUTED_VALUE"""),0.0756)</f>
        <v>0.0756</v>
      </c>
      <c r="J4206" s="19">
        <f>IFERROR(__xludf.DUMMYFUNCTION("""COMPUTED_VALUE"""),0.1511)</f>
        <v>0.1511</v>
      </c>
      <c r="K4206" s="19">
        <f>IFERROR(__xludf.DUMMYFUNCTION("""COMPUTED_VALUE"""),0.1889)</f>
        <v>0.1889</v>
      </c>
      <c r="L4206" s="19">
        <f>IFERROR(__xludf.DUMMYFUNCTION("""COMPUTED_VALUE"""),0.2267)</f>
        <v>0.2267</v>
      </c>
      <c r="M4206" s="18">
        <f>IFERROR(__xludf.DUMMYFUNCTION("""COMPUTED_VALUE"""),1.26)</f>
        <v>1.26</v>
      </c>
    </row>
    <row r="4207">
      <c r="A4207" s="13" t="str">
        <f>IFERROR(__xludf.DUMMYFUNCTION("""COMPUTED_VALUE"""),"товари")</f>
        <v>товари</v>
      </c>
      <c r="B4207" s="16" t="str">
        <f>IFERROR(__xludf.DUMMYFUNCTION("""COMPUTED_VALUE"""),"товари для дітей")</f>
        <v>товари для дітей</v>
      </c>
      <c r="C4207" s="16" t="str">
        <f>IFERROR(__xludf.DUMMYFUNCTION("""COMPUTED_VALUE"""),"дитячі коляски та аксесуари")</f>
        <v>дитячі коляски та аксесуари</v>
      </c>
      <c r="D4207" s="16" t="str">
        <f>IFERROR(__xludf.DUMMYFUNCTION("""COMPUTED_VALUE"""),"дитячі коляски")</f>
        <v>дитячі коляски</v>
      </c>
      <c r="E4207" s="16" t="str">
        <f>IFERROR(__xludf.DUMMYFUNCTION("""COMPUTED_VALUE"""),"дитячі коляски")</f>
        <v>дитячі коляски</v>
      </c>
      <c r="F4207" s="17">
        <f>IFERROR(__xludf.DUMMYFUNCTION("""COMPUTED_VALUE"""),3.0)</f>
        <v>3</v>
      </c>
      <c r="G4207" s="17" t="str">
        <f>IFERROR(__xludf.DUMMYFUNCTION("""COMPUTED_VALUE"""),"150106")</f>
        <v>150106</v>
      </c>
      <c r="H4207" s="17" t="str">
        <f>IFERROR(__xludf.DUMMYFUNCTION("""COMPUTED_VALUE"""),"дитячі коляски")</f>
        <v>дитячі коляски</v>
      </c>
      <c r="I4207" s="19">
        <f>IFERROR(__xludf.DUMMYFUNCTION("""COMPUTED_VALUE"""),0.0464)</f>
        <v>0.0464</v>
      </c>
      <c r="J4207" s="19">
        <f>IFERROR(__xludf.DUMMYFUNCTION("""COMPUTED_VALUE"""),0.0927)</f>
        <v>0.0927</v>
      </c>
      <c r="K4207" s="19">
        <f>IFERROR(__xludf.DUMMYFUNCTION("""COMPUTED_VALUE"""),0.1159)</f>
        <v>0.1159</v>
      </c>
      <c r="L4207" s="19">
        <f>IFERROR(__xludf.DUMMYFUNCTION("""COMPUTED_VALUE"""),0.1391)</f>
        <v>0.1391</v>
      </c>
      <c r="M4207" s="18">
        <f>IFERROR(__xludf.DUMMYFUNCTION("""COMPUTED_VALUE"""),2.88)</f>
        <v>2.88</v>
      </c>
    </row>
    <row r="4208">
      <c r="A4208" s="13" t="str">
        <f>IFERROR(__xludf.DUMMYFUNCTION("""COMPUTED_VALUE"""),"товари")</f>
        <v>товари</v>
      </c>
      <c r="B4208" s="16" t="str">
        <f>IFERROR(__xludf.DUMMYFUNCTION("""COMPUTED_VALUE"""),"товари для дітей")</f>
        <v>товари для дітей</v>
      </c>
      <c r="C4208" s="16" t="str">
        <f>IFERROR(__xludf.DUMMYFUNCTION("""COMPUTED_VALUE"""),"дитячі коляски та аксесуари")</f>
        <v>дитячі коляски та аксесуари</v>
      </c>
      <c r="D4208" s="16" t="str">
        <f>IFERROR(__xludf.DUMMYFUNCTION("""COMPUTED_VALUE"""),"дитячі коляски та аксесуари, загальне")</f>
        <v>дитячі коляски та аксесуари, загальне</v>
      </c>
      <c r="E4208" s="16" t="str">
        <f>IFERROR(__xludf.DUMMYFUNCTION("""COMPUTED_VALUE"""),"дитячі коляски та аксесуари, загальне")</f>
        <v>дитячі коляски та аксесуари, загальне</v>
      </c>
      <c r="F4208" s="17">
        <f>IFERROR(__xludf.DUMMYFUNCTION("""COMPUTED_VALUE"""),3.0)</f>
        <v>3</v>
      </c>
      <c r="G4208" s="17" t="str">
        <f>IFERROR(__xludf.DUMMYFUNCTION("""COMPUTED_VALUE"""),"15011310")</f>
        <v>15011310</v>
      </c>
      <c r="H4208" s="17" t="str">
        <f>IFERROR(__xludf.DUMMYFUNCTION("""COMPUTED_VALUE"""),"дитячі коляски та аксесуари, загальне")</f>
        <v>дитячі коляски та аксесуари, загальне</v>
      </c>
      <c r="I4208" s="19">
        <f>IFERROR(__xludf.DUMMYFUNCTION("""COMPUTED_VALUE"""),0.125)</f>
        <v>0.125</v>
      </c>
      <c r="J4208" s="19">
        <f>IFERROR(__xludf.DUMMYFUNCTION("""COMPUTED_VALUE"""),0.25)</f>
        <v>0.25</v>
      </c>
      <c r="K4208" s="19">
        <f>IFERROR(__xludf.DUMMYFUNCTION("""COMPUTED_VALUE"""),0.3125)</f>
        <v>0.3125</v>
      </c>
      <c r="L4208" s="19">
        <f>IFERROR(__xludf.DUMMYFUNCTION("""COMPUTED_VALUE"""),0.375)</f>
        <v>0.375</v>
      </c>
      <c r="M4208" s="18">
        <f>IFERROR(__xludf.DUMMYFUNCTION("""COMPUTED_VALUE"""),4.33)</f>
        <v>4.33</v>
      </c>
    </row>
    <row r="4209">
      <c r="A4209" s="13" t="str">
        <f>IFERROR(__xludf.DUMMYFUNCTION("""COMPUTED_VALUE"""),"товари")</f>
        <v>товари</v>
      </c>
      <c r="B4209" s="16" t="str">
        <f>IFERROR(__xludf.DUMMYFUNCTION("""COMPUTED_VALUE"""),"товари для дітей")</f>
        <v>товари для дітей</v>
      </c>
      <c r="C4209" s="16" t="str">
        <f>IFERROR(__xludf.DUMMYFUNCTION("""COMPUTED_VALUE"""),"дитячі меблі")</f>
        <v>дитячі меблі</v>
      </c>
      <c r="D4209" s="16" t="str">
        <f>IFERROR(__xludf.DUMMYFUNCTION("""COMPUTED_VALUE"""),"дитячі комоди")</f>
        <v>дитячі комоди</v>
      </c>
      <c r="E4209" s="16" t="str">
        <f>IFERROR(__xludf.DUMMYFUNCTION("""COMPUTED_VALUE"""),"дитячі комоди")</f>
        <v>дитячі комоди</v>
      </c>
      <c r="F4209" s="17">
        <f>IFERROR(__xludf.DUMMYFUNCTION("""COMPUTED_VALUE"""),3.0)</f>
        <v>3</v>
      </c>
      <c r="G4209" s="17" t="str">
        <f>IFERROR(__xludf.DUMMYFUNCTION("""COMPUTED_VALUE"""),"371306")</f>
        <v>371306</v>
      </c>
      <c r="H4209" s="17" t="str">
        <f>IFERROR(__xludf.DUMMYFUNCTION("""COMPUTED_VALUE"""),"дитячі комоди")</f>
        <v>дитячі комоди</v>
      </c>
      <c r="I4209" s="19">
        <f>IFERROR(__xludf.DUMMYFUNCTION("""COMPUTED_VALUE"""),0.0447)</f>
        <v>0.0447</v>
      </c>
      <c r="J4209" s="19">
        <f>IFERROR(__xludf.DUMMYFUNCTION("""COMPUTED_VALUE"""),0.0893)</f>
        <v>0.0893</v>
      </c>
      <c r="K4209" s="19">
        <f>IFERROR(__xludf.DUMMYFUNCTION("""COMPUTED_VALUE"""),0.1116)</f>
        <v>0.1116</v>
      </c>
      <c r="L4209" s="19">
        <f>IFERROR(__xludf.DUMMYFUNCTION("""COMPUTED_VALUE"""),0.134)</f>
        <v>0.134</v>
      </c>
      <c r="M4209" s="18">
        <f>IFERROR(__xludf.DUMMYFUNCTION("""COMPUTED_VALUE"""),2.16)</f>
        <v>2.16</v>
      </c>
    </row>
    <row r="4210">
      <c r="A4210" s="13" t="str">
        <f>IFERROR(__xludf.DUMMYFUNCTION("""COMPUTED_VALUE"""),"товари")</f>
        <v>товари</v>
      </c>
      <c r="B4210" s="16" t="str">
        <f>IFERROR(__xludf.DUMMYFUNCTION("""COMPUTED_VALUE"""),"товари для дітей")</f>
        <v>товари для дітей</v>
      </c>
      <c r="C4210" s="16" t="str">
        <f>IFERROR(__xludf.DUMMYFUNCTION("""COMPUTED_VALUE"""),"дитячі меблі")</f>
        <v>дитячі меблі</v>
      </c>
      <c r="D4210" s="16" t="str">
        <f>IFERROR(__xludf.DUMMYFUNCTION("""COMPUTED_VALUE"""),"дитячі комп'ютерні крісла")</f>
        <v>дитячі комп'ютерні крісла</v>
      </c>
      <c r="E4210" s="16" t="str">
        <f>IFERROR(__xludf.DUMMYFUNCTION("""COMPUTED_VALUE"""),"дитячі комп'ютерні крісла")</f>
        <v>дитячі комп'ютерні крісла</v>
      </c>
      <c r="F4210" s="17">
        <f>IFERROR(__xludf.DUMMYFUNCTION("""COMPUTED_VALUE"""),3.0)</f>
        <v>3</v>
      </c>
      <c r="G4210" s="17" t="str">
        <f>IFERROR(__xludf.DUMMYFUNCTION("""COMPUTED_VALUE"""),"371302")</f>
        <v>371302</v>
      </c>
      <c r="H4210" s="17" t="str">
        <f>IFERROR(__xludf.DUMMYFUNCTION("""COMPUTED_VALUE"""),"дитячі комп'ютерні крісла")</f>
        <v>дитячі комп'ютерні крісла</v>
      </c>
      <c r="I4210" s="19">
        <f>IFERROR(__xludf.DUMMYFUNCTION("""COMPUTED_VALUE"""),0.0701)</f>
        <v>0.0701</v>
      </c>
      <c r="J4210" s="19">
        <f>IFERROR(__xludf.DUMMYFUNCTION("""COMPUTED_VALUE"""),0.1401)</f>
        <v>0.1401</v>
      </c>
      <c r="K4210" s="19">
        <f>IFERROR(__xludf.DUMMYFUNCTION("""COMPUTED_VALUE"""),0.1751)</f>
        <v>0.1751</v>
      </c>
      <c r="L4210" s="19">
        <f>IFERROR(__xludf.DUMMYFUNCTION("""COMPUTED_VALUE"""),0.2102)</f>
        <v>0.2102</v>
      </c>
      <c r="M4210" s="18">
        <f>IFERROR(__xludf.DUMMYFUNCTION("""COMPUTED_VALUE"""),2.53)</f>
        <v>2.53</v>
      </c>
    </row>
    <row r="4211">
      <c r="A4211" s="13" t="str">
        <f>IFERROR(__xludf.DUMMYFUNCTION("""COMPUTED_VALUE"""),"товари")</f>
        <v>товари</v>
      </c>
      <c r="B4211" s="16" t="str">
        <f>IFERROR(__xludf.DUMMYFUNCTION("""COMPUTED_VALUE"""),"товари для дітей")</f>
        <v>товари для дітей</v>
      </c>
      <c r="C4211" s="16" t="str">
        <f>IFERROR(__xludf.DUMMYFUNCTION("""COMPUTED_VALUE"""),"дитячі меблі")</f>
        <v>дитячі меблі</v>
      </c>
      <c r="D4211" s="16" t="str">
        <f>IFERROR(__xludf.DUMMYFUNCTION("""COMPUTED_VALUE"""),"дитячі крісла-гойдалки та шезлонги")</f>
        <v>дитячі крісла-гойдалки та шезлонги</v>
      </c>
      <c r="E4211" s="16" t="str">
        <f>IFERROR(__xludf.DUMMYFUNCTION("""COMPUTED_VALUE"""),"дитячі крісла-гойдалки та шезлонги")</f>
        <v>дитячі крісла-гойдалки та шезлонги</v>
      </c>
      <c r="F4211" s="17">
        <f>IFERROR(__xludf.DUMMYFUNCTION("""COMPUTED_VALUE"""),3.0)</f>
        <v>3</v>
      </c>
      <c r="G4211" s="17" t="str">
        <f>IFERROR(__xludf.DUMMYFUNCTION("""COMPUTED_VALUE"""),"15010303")</f>
        <v>15010303</v>
      </c>
      <c r="H4211" s="17" t="str">
        <f>IFERROR(__xludf.DUMMYFUNCTION("""COMPUTED_VALUE"""),"дитячі крісла-гойдалки та шезлонги")</f>
        <v>дитячі крісла-гойдалки та шезлонги</v>
      </c>
      <c r="I4211" s="19">
        <f>IFERROR(__xludf.DUMMYFUNCTION("""COMPUTED_VALUE"""),0.0533)</f>
        <v>0.0533</v>
      </c>
      <c r="J4211" s="19">
        <f>IFERROR(__xludf.DUMMYFUNCTION("""COMPUTED_VALUE"""),0.1065)</f>
        <v>0.1065</v>
      </c>
      <c r="K4211" s="19">
        <f>IFERROR(__xludf.DUMMYFUNCTION("""COMPUTED_VALUE"""),0.1331)</f>
        <v>0.1331</v>
      </c>
      <c r="L4211" s="19">
        <f>IFERROR(__xludf.DUMMYFUNCTION("""COMPUTED_VALUE"""),0.1598)</f>
        <v>0.1598</v>
      </c>
      <c r="M4211" s="18">
        <f>IFERROR(__xludf.DUMMYFUNCTION("""COMPUTED_VALUE"""),2.08)</f>
        <v>2.08</v>
      </c>
    </row>
    <row r="4212">
      <c r="A4212" s="13" t="str">
        <f>IFERROR(__xludf.DUMMYFUNCTION("""COMPUTED_VALUE"""),"товари")</f>
        <v>товари</v>
      </c>
      <c r="B4212" s="16" t="str">
        <f>IFERROR(__xludf.DUMMYFUNCTION("""COMPUTED_VALUE"""),"товари для дітей")</f>
        <v>товари для дітей</v>
      </c>
      <c r="C4212" s="16" t="str">
        <f>IFERROR(__xludf.DUMMYFUNCTION("""COMPUTED_VALUE"""),"дитячі ігри")</f>
        <v>дитячі ігри</v>
      </c>
      <c r="D4212" s="16" t="str">
        <f>IFERROR(__xludf.DUMMYFUNCTION("""COMPUTED_VALUE"""),"дитячі м'ячі")</f>
        <v>дитячі м'ячі</v>
      </c>
      <c r="E4212" s="16" t="str">
        <f>IFERROR(__xludf.DUMMYFUNCTION("""COMPUTED_VALUE"""),"дитячі м'ячі")</f>
        <v>дитячі м'ячі</v>
      </c>
      <c r="F4212" s="17">
        <f>IFERROR(__xludf.DUMMYFUNCTION("""COMPUTED_VALUE"""),3.0)</f>
        <v>3</v>
      </c>
      <c r="G4212" s="17" t="str">
        <f>IFERROR(__xludf.DUMMYFUNCTION("""COMPUTED_VALUE"""),"2615")</f>
        <v>2615</v>
      </c>
      <c r="H4212" s="17" t="str">
        <f>IFERROR(__xludf.DUMMYFUNCTION("""COMPUTED_VALUE"""),"дитячі м'ячі")</f>
        <v>дитячі м'ячі</v>
      </c>
      <c r="I4212" s="19">
        <f>IFERROR(__xludf.DUMMYFUNCTION("""COMPUTED_VALUE"""),0.0804)</f>
        <v>0.0804</v>
      </c>
      <c r="J4212" s="19">
        <f>IFERROR(__xludf.DUMMYFUNCTION("""COMPUTED_VALUE"""),0.1608)</f>
        <v>0.1608</v>
      </c>
      <c r="K4212" s="19">
        <f>IFERROR(__xludf.DUMMYFUNCTION("""COMPUTED_VALUE"""),0.201)</f>
        <v>0.201</v>
      </c>
      <c r="L4212" s="19">
        <f>IFERROR(__xludf.DUMMYFUNCTION("""COMPUTED_VALUE"""),0.2412)</f>
        <v>0.2412</v>
      </c>
      <c r="M4212" s="18">
        <f>IFERROR(__xludf.DUMMYFUNCTION("""COMPUTED_VALUE"""),1.05)</f>
        <v>1.05</v>
      </c>
    </row>
    <row r="4213">
      <c r="A4213" s="13" t="str">
        <f>IFERROR(__xludf.DUMMYFUNCTION("""COMPUTED_VALUE"""),"товари")</f>
        <v>товари</v>
      </c>
      <c r="B4213" s="16" t="str">
        <f>IFERROR(__xludf.DUMMYFUNCTION("""COMPUTED_VALUE"""),"товари для дітей")</f>
        <v>товари для дітей</v>
      </c>
      <c r="C4213" s="16" t="str">
        <f>IFERROR(__xludf.DUMMYFUNCTION("""COMPUTED_VALUE"""),"дитячі меблі")</f>
        <v>дитячі меблі</v>
      </c>
      <c r="D4213" s="16" t="str">
        <f>IFERROR(__xludf.DUMMYFUNCTION("""COMPUTED_VALUE"""),"дитячі манежі")</f>
        <v>дитячі манежі</v>
      </c>
      <c r="E4213" s="16" t="str">
        <f>IFERROR(__xludf.DUMMYFUNCTION("""COMPUTED_VALUE"""),"дитячі манежі")</f>
        <v>дитячі манежі</v>
      </c>
      <c r="F4213" s="17">
        <f>IFERROR(__xludf.DUMMYFUNCTION("""COMPUTED_VALUE"""),3.0)</f>
        <v>3</v>
      </c>
      <c r="G4213" s="17" t="str">
        <f>IFERROR(__xludf.DUMMYFUNCTION("""COMPUTED_VALUE"""),"371304")</f>
        <v>371304</v>
      </c>
      <c r="H4213" s="17" t="str">
        <f>IFERROR(__xludf.DUMMYFUNCTION("""COMPUTED_VALUE"""),"дитячі манежі")</f>
        <v>дитячі манежі</v>
      </c>
      <c r="I4213" s="19">
        <f>IFERROR(__xludf.DUMMYFUNCTION("""COMPUTED_VALUE"""),0.0746)</f>
        <v>0.0746</v>
      </c>
      <c r="J4213" s="19">
        <f>IFERROR(__xludf.DUMMYFUNCTION("""COMPUTED_VALUE"""),0.1492)</f>
        <v>0.1492</v>
      </c>
      <c r="K4213" s="19">
        <f>IFERROR(__xludf.DUMMYFUNCTION("""COMPUTED_VALUE"""),0.1865)</f>
        <v>0.1865</v>
      </c>
      <c r="L4213" s="19">
        <f>IFERROR(__xludf.DUMMYFUNCTION("""COMPUTED_VALUE"""),0.2238)</f>
        <v>0.2238</v>
      </c>
      <c r="M4213" s="18">
        <f>IFERROR(__xludf.DUMMYFUNCTION("""COMPUTED_VALUE"""),2.16)</f>
        <v>2.16</v>
      </c>
    </row>
    <row r="4214">
      <c r="A4214" s="13" t="str">
        <f>IFERROR(__xludf.DUMMYFUNCTION("""COMPUTED_VALUE"""),"товари")</f>
        <v>товари</v>
      </c>
      <c r="B4214" s="16" t="str">
        <f>IFERROR(__xludf.DUMMYFUNCTION("""COMPUTED_VALUE"""),"товари для дітей")</f>
        <v>товари для дітей</v>
      </c>
      <c r="C4214" s="16" t="str">
        <f>IFERROR(__xludf.DUMMYFUNCTION("""COMPUTED_VALUE"""),"дитячі меблі")</f>
        <v>дитячі меблі</v>
      </c>
      <c r="D4214" s="16" t="str">
        <f>IFERROR(__xludf.DUMMYFUNCTION("""COMPUTED_VALUE"""),"дитячі матраци")</f>
        <v>дитячі матраци</v>
      </c>
      <c r="E4214" s="16" t="str">
        <f>IFERROR(__xludf.DUMMYFUNCTION("""COMPUTED_VALUE"""),"дитячі матраци")</f>
        <v>дитячі матраци</v>
      </c>
      <c r="F4214" s="17">
        <f>IFERROR(__xludf.DUMMYFUNCTION("""COMPUTED_VALUE"""),3.0)</f>
        <v>3</v>
      </c>
      <c r="G4214" s="17" t="str">
        <f>IFERROR(__xludf.DUMMYFUNCTION("""COMPUTED_VALUE"""),"15011405")</f>
        <v>15011405</v>
      </c>
      <c r="H4214" s="17" t="str">
        <f>IFERROR(__xludf.DUMMYFUNCTION("""COMPUTED_VALUE"""),"дитячі матраци")</f>
        <v>дитячі матраци</v>
      </c>
      <c r="I4214" s="19">
        <f>IFERROR(__xludf.DUMMYFUNCTION("""COMPUTED_VALUE"""),0.0731)</f>
        <v>0.0731</v>
      </c>
      <c r="J4214" s="19">
        <f>IFERROR(__xludf.DUMMYFUNCTION("""COMPUTED_VALUE"""),0.1461)</f>
        <v>0.1461</v>
      </c>
      <c r="K4214" s="19">
        <f>IFERROR(__xludf.DUMMYFUNCTION("""COMPUTED_VALUE"""),0.1826)</f>
        <v>0.1826</v>
      </c>
      <c r="L4214" s="19">
        <f>IFERROR(__xludf.DUMMYFUNCTION("""COMPUTED_VALUE"""),0.2192)</f>
        <v>0.2192</v>
      </c>
      <c r="M4214" s="18">
        <f>IFERROR(__xludf.DUMMYFUNCTION("""COMPUTED_VALUE"""),1.71)</f>
        <v>1.71</v>
      </c>
    </row>
    <row r="4215">
      <c r="A4215" s="13" t="str">
        <f>IFERROR(__xludf.DUMMYFUNCTION("""COMPUTED_VALUE"""),"товари")</f>
        <v>товари</v>
      </c>
      <c r="B4215" s="16" t="str">
        <f>IFERROR(__xludf.DUMMYFUNCTION("""COMPUTED_VALUE"""),"товари для дітей")</f>
        <v>товари для дітей</v>
      </c>
      <c r="C4215" s="16" t="str">
        <f>IFERROR(__xludf.DUMMYFUNCTION("""COMPUTED_VALUE"""),"дитячий транспорт та автокрісла")</f>
        <v>дитячий транспорт та автокрісла</v>
      </c>
      <c r="D4215" s="16" t="str">
        <f>IFERROR(__xludf.DUMMYFUNCTION("""COMPUTED_VALUE"""),"дитячі машинки-каталки")</f>
        <v>дитячі машинки-каталки</v>
      </c>
      <c r="E4215" s="16" t="str">
        <f>IFERROR(__xludf.DUMMYFUNCTION("""COMPUTED_VALUE"""),"дитячі машинки-каталки")</f>
        <v>дитячі машинки-каталки</v>
      </c>
      <c r="F4215" s="17">
        <f>IFERROR(__xludf.DUMMYFUNCTION("""COMPUTED_VALUE"""),3.0)</f>
        <v>3</v>
      </c>
      <c r="G4215" s="17" t="str">
        <f>IFERROR(__xludf.DUMMYFUNCTION("""COMPUTED_VALUE"""),"15011609")</f>
        <v>15011609</v>
      </c>
      <c r="H4215" s="17" t="str">
        <f>IFERROR(__xludf.DUMMYFUNCTION("""COMPUTED_VALUE"""),"дитячі машинки-каталки")</f>
        <v>дитячі машинки-каталки</v>
      </c>
      <c r="I4215" s="19">
        <f>IFERROR(__xludf.DUMMYFUNCTION("""COMPUTED_VALUE"""),0.0537)</f>
        <v>0.0537</v>
      </c>
      <c r="J4215" s="19">
        <f>IFERROR(__xludf.DUMMYFUNCTION("""COMPUTED_VALUE"""),0.1073)</f>
        <v>0.1073</v>
      </c>
      <c r="K4215" s="19">
        <f>IFERROR(__xludf.DUMMYFUNCTION("""COMPUTED_VALUE"""),0.1341)</f>
        <v>0.1341</v>
      </c>
      <c r="L4215" s="19">
        <f>IFERROR(__xludf.DUMMYFUNCTION("""COMPUTED_VALUE"""),0.161)</f>
        <v>0.161</v>
      </c>
      <c r="M4215" s="18">
        <f>IFERROR(__xludf.DUMMYFUNCTION("""COMPUTED_VALUE"""),2.16)</f>
        <v>2.16</v>
      </c>
    </row>
    <row r="4216">
      <c r="A4216" s="13" t="str">
        <f>IFERROR(__xludf.DUMMYFUNCTION("""COMPUTED_VALUE"""),"товари")</f>
        <v>товари</v>
      </c>
      <c r="B4216" s="16" t="str">
        <f>IFERROR(__xludf.DUMMYFUNCTION("""COMPUTED_VALUE"""),"товари для дітей")</f>
        <v>товари для дітей</v>
      </c>
      <c r="C4216" s="16" t="str">
        <f>IFERROR(__xludf.DUMMYFUNCTION("""COMPUTED_VALUE"""),"дитячі меблі")</f>
        <v>дитячі меблі</v>
      </c>
      <c r="D4216" s="16" t="str">
        <f>IFERROR(__xludf.DUMMYFUNCTION("""COMPUTED_VALUE"""),"дитячі меблі, загальне")</f>
        <v>дитячі меблі, загальне</v>
      </c>
      <c r="E4216" s="16" t="str">
        <f>IFERROR(__xludf.DUMMYFUNCTION("""COMPUTED_VALUE"""),"дитячі меблі, загальне")</f>
        <v>дитячі меблі, загальне</v>
      </c>
      <c r="F4216" s="17">
        <f>IFERROR(__xludf.DUMMYFUNCTION("""COMPUTED_VALUE"""),3.0)</f>
        <v>3</v>
      </c>
      <c r="G4216" s="17" t="str">
        <f>IFERROR(__xludf.DUMMYFUNCTION("""COMPUTED_VALUE"""),"371307")</f>
        <v>371307</v>
      </c>
      <c r="H4216" s="17" t="str">
        <f>IFERROR(__xludf.DUMMYFUNCTION("""COMPUTED_VALUE"""),"дитячі меблі, загальне")</f>
        <v>дитячі меблі, загальне</v>
      </c>
      <c r="I4216" s="19">
        <f>IFERROR(__xludf.DUMMYFUNCTION("""COMPUTED_VALUE"""),0.125)</f>
        <v>0.125</v>
      </c>
      <c r="J4216" s="19">
        <f>IFERROR(__xludf.DUMMYFUNCTION("""COMPUTED_VALUE"""),0.25)</f>
        <v>0.25</v>
      </c>
      <c r="K4216" s="19">
        <f>IFERROR(__xludf.DUMMYFUNCTION("""COMPUTED_VALUE"""),0.3125)</f>
        <v>0.3125</v>
      </c>
      <c r="L4216" s="19">
        <f>IFERROR(__xludf.DUMMYFUNCTION("""COMPUTED_VALUE"""),0.375)</f>
        <v>0.375</v>
      </c>
      <c r="M4216" s="18">
        <f>IFERROR(__xludf.DUMMYFUNCTION("""COMPUTED_VALUE"""),4.33)</f>
        <v>4.33</v>
      </c>
    </row>
    <row r="4217">
      <c r="A4217" s="13" t="str">
        <f>IFERROR(__xludf.DUMMYFUNCTION("""COMPUTED_VALUE"""),"товари")</f>
        <v>товари</v>
      </c>
      <c r="B4217" s="16" t="str">
        <f>IFERROR(__xludf.DUMMYFUNCTION("""COMPUTED_VALUE"""),"товари для дітей")</f>
        <v>товари для дітей</v>
      </c>
      <c r="C4217" s="16" t="str">
        <f>IFERROR(__xludf.DUMMYFUNCTION("""COMPUTED_VALUE"""),"іграшки")</f>
        <v>іграшки</v>
      </c>
      <c r="D4217" s="16" t="str">
        <f>IFERROR(__xludf.DUMMYFUNCTION("""COMPUTED_VALUE"""),"дитячі мікроскопи та телескопи")</f>
        <v>дитячі мікроскопи та телескопи</v>
      </c>
      <c r="E4217" s="16" t="str">
        <f>IFERROR(__xludf.DUMMYFUNCTION("""COMPUTED_VALUE"""),"дитячі мікроскопи та телескопи")</f>
        <v>дитячі мікроскопи та телескопи</v>
      </c>
      <c r="F4217" s="17">
        <f>IFERROR(__xludf.DUMMYFUNCTION("""COMPUTED_VALUE"""),3.0)</f>
        <v>3</v>
      </c>
      <c r="G4217" s="17" t="str">
        <f>IFERROR(__xludf.DUMMYFUNCTION("""COMPUTED_VALUE"""),"264703")</f>
        <v>264703</v>
      </c>
      <c r="H4217" s="17" t="str">
        <f>IFERROR(__xludf.DUMMYFUNCTION("""COMPUTED_VALUE"""),"дитячі мікроскопи та телескопи")</f>
        <v>дитячі мікроскопи та телескопи</v>
      </c>
      <c r="I4217" s="19">
        <f>IFERROR(__xludf.DUMMYFUNCTION("""COMPUTED_VALUE"""),0.0748)</f>
        <v>0.0748</v>
      </c>
      <c r="J4217" s="19">
        <f>IFERROR(__xludf.DUMMYFUNCTION("""COMPUTED_VALUE"""),0.1496)</f>
        <v>0.1496</v>
      </c>
      <c r="K4217" s="19">
        <f>IFERROR(__xludf.DUMMYFUNCTION("""COMPUTED_VALUE"""),0.187)</f>
        <v>0.187</v>
      </c>
      <c r="L4217" s="19">
        <f>IFERROR(__xludf.DUMMYFUNCTION("""COMPUTED_VALUE"""),0.2244)</f>
        <v>0.2244</v>
      </c>
      <c r="M4217" s="18">
        <f>IFERROR(__xludf.DUMMYFUNCTION("""COMPUTED_VALUE"""),1.71)</f>
        <v>1.71</v>
      </c>
    </row>
    <row r="4218">
      <c r="A4218" s="13" t="str">
        <f>IFERROR(__xludf.DUMMYFUNCTION("""COMPUTED_VALUE"""),"товари")</f>
        <v>товари</v>
      </c>
      <c r="B4218" s="16" t="str">
        <f>IFERROR(__xludf.DUMMYFUNCTION("""COMPUTED_VALUE"""),"товари для дітей")</f>
        <v>товари для дітей</v>
      </c>
      <c r="C4218" s="16" t="str">
        <f>IFERROR(__xludf.DUMMYFUNCTION("""COMPUTED_VALUE"""),"гігієна та догляд за дітьми")</f>
        <v>гігієна та догляд за дітьми</v>
      </c>
      <c r="D4218" s="16" t="str">
        <f>IFERROR(__xludf.DUMMYFUNCTION("""COMPUTED_VALUE"""),"дитячі підгузки")</f>
        <v>дитячі підгузки</v>
      </c>
      <c r="E4218" s="16" t="str">
        <f>IFERROR(__xludf.DUMMYFUNCTION("""COMPUTED_VALUE"""),"дитячі підгузки")</f>
        <v>дитячі підгузки</v>
      </c>
      <c r="F4218" s="17">
        <f>IFERROR(__xludf.DUMMYFUNCTION("""COMPUTED_VALUE"""),3.0)</f>
        <v>3</v>
      </c>
      <c r="G4218" s="17" t="str">
        <f>IFERROR(__xludf.DUMMYFUNCTION("""COMPUTED_VALUE"""),"15010503")</f>
        <v>15010503</v>
      </c>
      <c r="H4218" s="17" t="str">
        <f>IFERROR(__xludf.DUMMYFUNCTION("""COMPUTED_VALUE"""),"дитячі підгузки")</f>
        <v>дитячі підгузки</v>
      </c>
      <c r="I4218" s="19">
        <f>IFERROR(__xludf.DUMMYFUNCTION("""COMPUTED_VALUE"""),0.0497)</f>
        <v>0.0497</v>
      </c>
      <c r="J4218" s="19">
        <f>IFERROR(__xludf.DUMMYFUNCTION("""COMPUTED_VALUE"""),0.0993)</f>
        <v>0.0993</v>
      </c>
      <c r="K4218" s="19">
        <f>IFERROR(__xludf.DUMMYFUNCTION("""COMPUTED_VALUE"""),0.1241)</f>
        <v>0.1241</v>
      </c>
      <c r="L4218" s="19">
        <f>IFERROR(__xludf.DUMMYFUNCTION("""COMPUTED_VALUE"""),0.149)</f>
        <v>0.149</v>
      </c>
      <c r="M4218" s="18">
        <f>IFERROR(__xludf.DUMMYFUNCTION("""COMPUTED_VALUE"""),1.63)</f>
        <v>1.63</v>
      </c>
    </row>
    <row r="4219">
      <c r="A4219" s="13" t="str">
        <f>IFERROR(__xludf.DUMMYFUNCTION("""COMPUTED_VALUE"""),"товари")</f>
        <v>товари</v>
      </c>
      <c r="B4219" s="16" t="str">
        <f>IFERROR(__xludf.DUMMYFUNCTION("""COMPUTED_VALUE"""),"товари для дітей")</f>
        <v>товари для дітей</v>
      </c>
      <c r="C4219" s="16" t="str">
        <f>IFERROR(__xludf.DUMMYFUNCTION("""COMPUTED_VALUE"""),"гігієна та догляд за дітьми")</f>
        <v>гігієна та догляд за дітьми</v>
      </c>
      <c r="D4219" s="16" t="str">
        <f>IFERROR(__xludf.DUMMYFUNCTION("""COMPUTED_VALUE"""),"дитячі підставки та сидіння для купання")</f>
        <v>дитячі підставки та сидіння для купання</v>
      </c>
      <c r="E4219" s="16" t="str">
        <f>IFERROR(__xludf.DUMMYFUNCTION("""COMPUTED_VALUE"""),"дитячі підставки та сидіння для купання")</f>
        <v>дитячі підставки та сидіння для купання</v>
      </c>
      <c r="F4219" s="17">
        <f>IFERROR(__xludf.DUMMYFUNCTION("""COMPUTED_VALUE"""),3.0)</f>
        <v>3</v>
      </c>
      <c r="G4219" s="17" t="str">
        <f>IFERROR(__xludf.DUMMYFUNCTION("""COMPUTED_VALUE"""),"15010506")</f>
        <v>15010506</v>
      </c>
      <c r="H4219" s="17" t="str">
        <f>IFERROR(__xludf.DUMMYFUNCTION("""COMPUTED_VALUE"""),"дитячі підставки та сидіння для купання")</f>
        <v>дитячі підставки та сидіння для купання</v>
      </c>
      <c r="I4219" s="19">
        <f>IFERROR(__xludf.DUMMYFUNCTION("""COMPUTED_VALUE"""),0.0501)</f>
        <v>0.0501</v>
      </c>
      <c r="J4219" s="19">
        <f>IFERROR(__xludf.DUMMYFUNCTION("""COMPUTED_VALUE"""),0.1002)</f>
        <v>0.1002</v>
      </c>
      <c r="K4219" s="19">
        <f>IFERROR(__xludf.DUMMYFUNCTION("""COMPUTED_VALUE"""),0.1253)</f>
        <v>0.1253</v>
      </c>
      <c r="L4219" s="19">
        <f>IFERROR(__xludf.DUMMYFUNCTION("""COMPUTED_VALUE"""),0.1503)</f>
        <v>0.1503</v>
      </c>
      <c r="M4219" s="18">
        <f>IFERROR(__xludf.DUMMYFUNCTION("""COMPUTED_VALUE"""),1.05)</f>
        <v>1.05</v>
      </c>
    </row>
    <row r="4220">
      <c r="A4220" s="20" t="str">
        <f>IFERROR(__xludf.DUMMYFUNCTION("""COMPUTED_VALUE"""),"товари")</f>
        <v>товари</v>
      </c>
      <c r="B4220" s="21" t="str">
        <f>IFERROR(__xludf.DUMMYFUNCTION("""COMPUTED_VALUE"""),"товари для дітей")</f>
        <v>товари для дітей</v>
      </c>
      <c r="C4220" s="21" t="str">
        <f>IFERROR(__xludf.DUMMYFUNCTION("""COMPUTED_VALUE"""),"дитячий текстиль")</f>
        <v>дитячий текстиль</v>
      </c>
      <c r="D4220" s="21" t="str">
        <f>IFERROR(__xludf.DUMMYFUNCTION("""COMPUTED_VALUE"""),"дитячі подушки")</f>
        <v>дитячі подушки</v>
      </c>
      <c r="E4220" s="21" t="str">
        <f>IFERROR(__xludf.DUMMYFUNCTION("""COMPUTED_VALUE"""),"дитячі подушки")</f>
        <v>дитячі подушки</v>
      </c>
      <c r="F4220" s="22">
        <f>IFERROR(__xludf.DUMMYFUNCTION("""COMPUTED_VALUE"""),3.0)</f>
        <v>3</v>
      </c>
      <c r="G4220" s="22" t="str">
        <f>IFERROR(__xludf.DUMMYFUNCTION("""COMPUTED_VALUE"""),"15011401")</f>
        <v>15011401</v>
      </c>
      <c r="H4220" s="22" t="str">
        <f>IFERROR(__xludf.DUMMYFUNCTION("""COMPUTED_VALUE"""),"дитячі подушки")</f>
        <v>дитячі подушки</v>
      </c>
      <c r="I4220" s="19">
        <f>IFERROR(__xludf.DUMMYFUNCTION("""COMPUTED_VALUE"""),0.0745)</f>
        <v>0.0745</v>
      </c>
      <c r="J4220" s="19">
        <f>IFERROR(__xludf.DUMMYFUNCTION("""COMPUTED_VALUE"""),0.149)</f>
        <v>0.149</v>
      </c>
      <c r="K4220" s="19">
        <f>IFERROR(__xludf.DUMMYFUNCTION("""COMPUTED_VALUE"""),0.1863)</f>
        <v>0.1863</v>
      </c>
      <c r="L4220" s="19">
        <f>IFERROR(__xludf.DUMMYFUNCTION("""COMPUTED_VALUE"""),0.2235)</f>
        <v>0.2235</v>
      </c>
      <c r="M4220" s="18">
        <f>IFERROR(__xludf.DUMMYFUNCTION("""COMPUTED_VALUE"""),1.63)</f>
        <v>1.63</v>
      </c>
    </row>
    <row r="4221">
      <c r="A4221" s="13" t="str">
        <f>IFERROR(__xludf.DUMMYFUNCTION("""COMPUTED_VALUE"""),"товари")</f>
        <v>товари</v>
      </c>
      <c r="B4221" s="16" t="str">
        <f>IFERROR(__xludf.DUMMYFUNCTION("""COMPUTED_VALUE"""),"товари для дітей")</f>
        <v>товари для дітей</v>
      </c>
      <c r="C4221" s="16" t="str">
        <f>IFERROR(__xludf.DUMMYFUNCTION("""COMPUTED_VALUE"""),"дитячий текстиль")</f>
        <v>дитячий текстиль</v>
      </c>
      <c r="D4221" s="16" t="str">
        <f>IFERROR(__xludf.DUMMYFUNCTION("""COMPUTED_VALUE"""),"дитячі покривала та пледи")</f>
        <v>дитячі покривала та пледи</v>
      </c>
      <c r="E4221" s="16" t="str">
        <f>IFERROR(__xludf.DUMMYFUNCTION("""COMPUTED_VALUE"""),"дитячі покривала та пледи")</f>
        <v>дитячі покривала та пледи</v>
      </c>
      <c r="F4221" s="17">
        <f>IFERROR(__xludf.DUMMYFUNCTION("""COMPUTED_VALUE"""),3.0)</f>
        <v>3</v>
      </c>
      <c r="G4221" s="17" t="str">
        <f>IFERROR(__xludf.DUMMYFUNCTION("""COMPUTED_VALUE"""),"15011403")</f>
        <v>15011403</v>
      </c>
      <c r="H4221" s="17" t="str">
        <f>IFERROR(__xludf.DUMMYFUNCTION("""COMPUTED_VALUE"""),"дитячі покривала та пледи")</f>
        <v>дитячі покривала та пледи</v>
      </c>
      <c r="I4221" s="19">
        <f>IFERROR(__xludf.DUMMYFUNCTION("""COMPUTED_VALUE"""),0.0783)</f>
        <v>0.0783</v>
      </c>
      <c r="J4221" s="19">
        <f>IFERROR(__xludf.DUMMYFUNCTION("""COMPUTED_VALUE"""),0.1565)</f>
        <v>0.1565</v>
      </c>
      <c r="K4221" s="19">
        <f>IFERROR(__xludf.DUMMYFUNCTION("""COMPUTED_VALUE"""),0.1956)</f>
        <v>0.1956</v>
      </c>
      <c r="L4221" s="19">
        <f>IFERROR(__xludf.DUMMYFUNCTION("""COMPUTED_VALUE"""),0.2348)</f>
        <v>0.2348</v>
      </c>
      <c r="M4221" s="18">
        <f>IFERROR(__xludf.DUMMYFUNCTION("""COMPUTED_VALUE"""),1.71)</f>
        <v>1.71</v>
      </c>
    </row>
    <row r="4222">
      <c r="A4222" s="13" t="str">
        <f>IFERROR(__xludf.DUMMYFUNCTION("""COMPUTED_VALUE"""),"товари")</f>
        <v>товари</v>
      </c>
      <c r="B4222" s="16" t="str">
        <f>IFERROR(__xludf.DUMMYFUNCTION("""COMPUTED_VALUE"""),"товари для дітей")</f>
        <v>товари для дітей</v>
      </c>
      <c r="C4222" s="16" t="str">
        <f>IFERROR(__xludf.DUMMYFUNCTION("""COMPUTED_VALUE"""),"дитяче харчування")</f>
        <v>дитяче харчування</v>
      </c>
      <c r="D4222" s="16" t="str">
        <f>IFERROR(__xludf.DUMMYFUNCTION("""COMPUTED_VALUE"""),"дитячі пюре")</f>
        <v>дитячі пюре</v>
      </c>
      <c r="E4222" s="16" t="str">
        <f>IFERROR(__xludf.DUMMYFUNCTION("""COMPUTED_VALUE"""),"дитячі пюре")</f>
        <v>дитячі пюре</v>
      </c>
      <c r="F4222" s="17">
        <f>IFERROR(__xludf.DUMMYFUNCTION("""COMPUTED_VALUE"""),3.0)</f>
        <v>3</v>
      </c>
      <c r="G4222" s="17" t="str">
        <f>IFERROR(__xludf.DUMMYFUNCTION("""COMPUTED_VALUE"""),"29905")</f>
        <v>29905</v>
      </c>
      <c r="H4222" s="17" t="str">
        <f>IFERROR(__xludf.DUMMYFUNCTION("""COMPUTED_VALUE"""),"дитячі пюре")</f>
        <v>дитячі пюре</v>
      </c>
      <c r="I4222" s="19">
        <f>IFERROR(__xludf.DUMMYFUNCTION("""COMPUTED_VALUE"""),0.0472)</f>
        <v>0.0472</v>
      </c>
      <c r="J4222" s="19">
        <f>IFERROR(__xludf.DUMMYFUNCTION("""COMPUTED_VALUE"""),0.0943)</f>
        <v>0.0943</v>
      </c>
      <c r="K4222" s="19">
        <f>IFERROR(__xludf.DUMMYFUNCTION("""COMPUTED_VALUE"""),0.1179)</f>
        <v>0.1179</v>
      </c>
      <c r="L4222" s="19">
        <f>IFERROR(__xludf.DUMMYFUNCTION("""COMPUTED_VALUE"""),0.1415)</f>
        <v>0.1415</v>
      </c>
      <c r="M4222" s="18">
        <f>IFERROR(__xludf.DUMMYFUNCTION("""COMPUTED_VALUE"""),1.05)</f>
        <v>1.05</v>
      </c>
    </row>
    <row r="4223">
      <c r="A4223" s="13" t="str">
        <f>IFERROR(__xludf.DUMMYFUNCTION("""COMPUTED_VALUE"""),"товари")</f>
        <v>товари</v>
      </c>
      <c r="B4223" s="16" t="str">
        <f>IFERROR(__xludf.DUMMYFUNCTION("""COMPUTED_VALUE"""),"товари для дітей")</f>
        <v>товари для дітей</v>
      </c>
      <c r="C4223" s="16" t="str">
        <f>IFERROR(__xludf.DUMMYFUNCTION("""COMPUTED_VALUE"""),"гігієна та догляд за дітьми")</f>
        <v>гігієна та догляд за дітьми</v>
      </c>
      <c r="D4223" s="16" t="str">
        <f>IFERROR(__xludf.DUMMYFUNCTION("""COMPUTED_VALUE"""),"дитячі ростоміри")</f>
        <v>дитячі ростоміри</v>
      </c>
      <c r="E4223" s="16" t="str">
        <f>IFERROR(__xludf.DUMMYFUNCTION("""COMPUTED_VALUE"""),"дитячі ростоміри")</f>
        <v>дитячі ростоміри</v>
      </c>
      <c r="F4223" s="17">
        <f>IFERROR(__xludf.DUMMYFUNCTION("""COMPUTED_VALUE"""),3.0)</f>
        <v>3</v>
      </c>
      <c r="G4223" s="17" t="str">
        <f>IFERROR(__xludf.DUMMYFUNCTION("""COMPUTED_VALUE"""),"150120")</f>
        <v>150120</v>
      </c>
      <c r="H4223" s="17" t="str">
        <f>IFERROR(__xludf.DUMMYFUNCTION("""COMPUTED_VALUE"""),"дитячі ростоміри")</f>
        <v>дитячі ростоміри</v>
      </c>
      <c r="I4223" s="19">
        <f>IFERROR(__xludf.DUMMYFUNCTION("""COMPUTED_VALUE"""),0.0672)</f>
        <v>0.0672</v>
      </c>
      <c r="J4223" s="19">
        <f>IFERROR(__xludf.DUMMYFUNCTION("""COMPUTED_VALUE"""),0.1344)</f>
        <v>0.1344</v>
      </c>
      <c r="K4223" s="19">
        <f>IFERROR(__xludf.DUMMYFUNCTION("""COMPUTED_VALUE"""),0.168)</f>
        <v>0.168</v>
      </c>
      <c r="L4223" s="19">
        <f>IFERROR(__xludf.DUMMYFUNCTION("""COMPUTED_VALUE"""),0.2016)</f>
        <v>0.2016</v>
      </c>
      <c r="M4223" s="18">
        <f>IFERROR(__xludf.DUMMYFUNCTION("""COMPUTED_VALUE"""),2.16)</f>
        <v>2.16</v>
      </c>
    </row>
    <row r="4224">
      <c r="A4224" s="13" t="str">
        <f>IFERROR(__xludf.DUMMYFUNCTION("""COMPUTED_VALUE"""),"товари")</f>
        <v>товари</v>
      </c>
      <c r="B4224" s="16" t="str">
        <f>IFERROR(__xludf.DUMMYFUNCTION("""COMPUTED_VALUE"""),"товари для дітей")</f>
        <v>товари для дітей</v>
      </c>
      <c r="C4224" s="16" t="str">
        <f>IFERROR(__xludf.DUMMYFUNCTION("""COMPUTED_VALUE"""),"дитячий текстиль")</f>
        <v>дитячий текстиль</v>
      </c>
      <c r="D4224" s="16" t="str">
        <f>IFERROR(__xludf.DUMMYFUNCTION("""COMPUTED_VALUE"""),"дитячі рушники")</f>
        <v>дитячі рушники</v>
      </c>
      <c r="E4224" s="16" t="str">
        <f>IFERROR(__xludf.DUMMYFUNCTION("""COMPUTED_VALUE"""),"дитячі рушники")</f>
        <v>дитячі рушники</v>
      </c>
      <c r="F4224" s="17">
        <f>IFERROR(__xludf.DUMMYFUNCTION("""COMPUTED_VALUE"""),3.0)</f>
        <v>3</v>
      </c>
      <c r="G4224" s="17" t="str">
        <f>IFERROR(__xludf.DUMMYFUNCTION("""COMPUTED_VALUE"""),"40306")</f>
        <v>40306</v>
      </c>
      <c r="H4224" s="17" t="str">
        <f>IFERROR(__xludf.DUMMYFUNCTION("""COMPUTED_VALUE"""),"дитячі рушники")</f>
        <v>дитячі рушники</v>
      </c>
      <c r="I4224" s="19">
        <f>IFERROR(__xludf.DUMMYFUNCTION("""COMPUTED_VALUE"""),0.0982)</f>
        <v>0.0982</v>
      </c>
      <c r="J4224" s="19">
        <f>IFERROR(__xludf.DUMMYFUNCTION("""COMPUTED_VALUE"""),0.1964)</f>
        <v>0.1964</v>
      </c>
      <c r="K4224" s="19">
        <f>IFERROR(__xludf.DUMMYFUNCTION("""COMPUTED_VALUE"""),0.2455)</f>
        <v>0.2455</v>
      </c>
      <c r="L4224" s="19">
        <f>IFERROR(__xludf.DUMMYFUNCTION("""COMPUTED_VALUE"""),0.2946)</f>
        <v>0.2946</v>
      </c>
      <c r="M4224" s="18">
        <f>IFERROR(__xludf.DUMMYFUNCTION("""COMPUTED_VALUE"""),1.05)</f>
        <v>1.05</v>
      </c>
    </row>
    <row r="4225">
      <c r="A4225" s="13" t="str">
        <f>IFERROR(__xludf.DUMMYFUNCTION("""COMPUTED_VALUE"""),"товари")</f>
        <v>товари</v>
      </c>
      <c r="B4225" s="16" t="str">
        <f>IFERROR(__xludf.DUMMYFUNCTION("""COMPUTED_VALUE"""),"товари для дітей")</f>
        <v>товари для дітей</v>
      </c>
      <c r="C4225" s="16" t="str">
        <f>IFERROR(__xludf.DUMMYFUNCTION("""COMPUTED_VALUE"""),"дитячі меблі")</f>
        <v>дитячі меблі</v>
      </c>
      <c r="D4225" s="16" t="str">
        <f>IFERROR(__xludf.DUMMYFUNCTION("""COMPUTED_VALUE"""),"дитячі стільчики і табуретки")</f>
        <v>дитячі стільчики і табуретки</v>
      </c>
      <c r="E4225" s="16" t="str">
        <f>IFERROR(__xludf.DUMMYFUNCTION("""COMPUTED_VALUE"""),"дитячі стільчики і табуретки")</f>
        <v>дитячі стільчики і табуретки</v>
      </c>
      <c r="F4225" s="17">
        <f>IFERROR(__xludf.DUMMYFUNCTION("""COMPUTED_VALUE"""),3.0)</f>
        <v>3</v>
      </c>
      <c r="G4225" s="17" t="str">
        <f>IFERROR(__xludf.DUMMYFUNCTION("""COMPUTED_VALUE"""),"371305")</f>
        <v>371305</v>
      </c>
      <c r="H4225" s="17" t="str">
        <f>IFERROR(__xludf.DUMMYFUNCTION("""COMPUTED_VALUE"""),"дитячі стільчики і табуретки")</f>
        <v>дитячі стільчики і табуретки</v>
      </c>
      <c r="I4225" s="19">
        <f>IFERROR(__xludf.DUMMYFUNCTION("""COMPUTED_VALUE"""),0.0722)</f>
        <v>0.0722</v>
      </c>
      <c r="J4225" s="19">
        <f>IFERROR(__xludf.DUMMYFUNCTION("""COMPUTED_VALUE"""),0.1443)</f>
        <v>0.1443</v>
      </c>
      <c r="K4225" s="19">
        <f>IFERROR(__xludf.DUMMYFUNCTION("""COMPUTED_VALUE"""),0.1804)</f>
        <v>0.1804</v>
      </c>
      <c r="L4225" s="19">
        <f>IFERROR(__xludf.DUMMYFUNCTION("""COMPUTED_VALUE"""),0.2165)</f>
        <v>0.2165</v>
      </c>
      <c r="M4225" s="18">
        <f>IFERROR(__xludf.DUMMYFUNCTION("""COMPUTED_VALUE"""),2.53)</f>
        <v>2.53</v>
      </c>
    </row>
    <row r="4226">
      <c r="A4226" s="13" t="str">
        <f>IFERROR(__xludf.DUMMYFUNCTION("""COMPUTED_VALUE"""),"товари")</f>
        <v>товари</v>
      </c>
      <c r="B4226" s="16" t="str">
        <f>IFERROR(__xludf.DUMMYFUNCTION("""COMPUTED_VALUE"""),"товари для дітей")</f>
        <v>товари для дітей</v>
      </c>
      <c r="C4226" s="16" t="str">
        <f>IFERROR(__xludf.DUMMYFUNCTION("""COMPUTED_VALUE"""),"дитячі меблі")</f>
        <v>дитячі меблі</v>
      </c>
      <c r="D4226" s="16" t="str">
        <f>IFERROR(__xludf.DUMMYFUNCTION("""COMPUTED_VALUE"""),"дитячі стінки")</f>
        <v>дитячі стінки</v>
      </c>
      <c r="E4226" s="16" t="str">
        <f>IFERROR(__xludf.DUMMYFUNCTION("""COMPUTED_VALUE"""),"дитячі стінки")</f>
        <v>дитячі стінки</v>
      </c>
      <c r="F4226" s="17">
        <f>IFERROR(__xludf.DUMMYFUNCTION("""COMPUTED_VALUE"""),3.0)</f>
        <v>3</v>
      </c>
      <c r="G4226" s="17" t="str">
        <f>IFERROR(__xludf.DUMMYFUNCTION("""COMPUTED_VALUE"""),"371316")</f>
        <v>371316</v>
      </c>
      <c r="H4226" s="17" t="str">
        <f>IFERROR(__xludf.DUMMYFUNCTION("""COMPUTED_VALUE"""),"дитячі стінки")</f>
        <v>дитячі стінки</v>
      </c>
      <c r="I4226" s="19">
        <f>IFERROR(__xludf.DUMMYFUNCTION("""COMPUTED_VALUE"""),0.0734)</f>
        <v>0.0734</v>
      </c>
      <c r="J4226" s="19">
        <f>IFERROR(__xludf.DUMMYFUNCTION("""COMPUTED_VALUE"""),0.1468)</f>
        <v>0.1468</v>
      </c>
      <c r="K4226" s="19">
        <f>IFERROR(__xludf.DUMMYFUNCTION("""COMPUTED_VALUE"""),0.1835)</f>
        <v>0.1835</v>
      </c>
      <c r="L4226" s="19">
        <f>IFERROR(__xludf.DUMMYFUNCTION("""COMPUTED_VALUE"""),0.2202)</f>
        <v>0.2202</v>
      </c>
      <c r="M4226" s="18">
        <f>IFERROR(__xludf.DUMMYFUNCTION("""COMPUTED_VALUE"""),1.8)</f>
        <v>1.8</v>
      </c>
    </row>
    <row r="4227">
      <c r="A4227" s="13" t="str">
        <f>IFERROR(__xludf.DUMMYFUNCTION("""COMPUTED_VALUE"""),"товари")</f>
        <v>товари</v>
      </c>
      <c r="B4227" s="16" t="str">
        <f>IFERROR(__xludf.DUMMYFUNCTION("""COMPUTED_VALUE"""),"товари для дітей")</f>
        <v>товари для дітей</v>
      </c>
      <c r="C4227" s="16" t="str">
        <f>IFERROR(__xludf.DUMMYFUNCTION("""COMPUTED_VALUE"""),"дитячі меблі")</f>
        <v>дитячі меблі</v>
      </c>
      <c r="D4227" s="16" t="str">
        <f>IFERROR(__xludf.DUMMYFUNCTION("""COMPUTED_VALUE"""),"дитячі столи")</f>
        <v>дитячі столи</v>
      </c>
      <c r="E4227" s="16" t="str">
        <f>IFERROR(__xludf.DUMMYFUNCTION("""COMPUTED_VALUE"""),"дитячі столи")</f>
        <v>дитячі столи</v>
      </c>
      <c r="F4227" s="17">
        <f>IFERROR(__xludf.DUMMYFUNCTION("""COMPUTED_VALUE"""),3.0)</f>
        <v>3</v>
      </c>
      <c r="G4227" s="17" t="str">
        <f>IFERROR(__xludf.DUMMYFUNCTION("""COMPUTED_VALUE"""),"371303")</f>
        <v>371303</v>
      </c>
      <c r="H4227" s="17" t="str">
        <f>IFERROR(__xludf.DUMMYFUNCTION("""COMPUTED_VALUE"""),"дитячі столи")</f>
        <v>дитячі столи</v>
      </c>
      <c r="I4227" s="19">
        <f>IFERROR(__xludf.DUMMYFUNCTION("""COMPUTED_VALUE"""),0.0485)</f>
        <v>0.0485</v>
      </c>
      <c r="J4227" s="19">
        <f>IFERROR(__xludf.DUMMYFUNCTION("""COMPUTED_VALUE"""),0.097)</f>
        <v>0.097</v>
      </c>
      <c r="K4227" s="19">
        <f>IFERROR(__xludf.DUMMYFUNCTION("""COMPUTED_VALUE"""),0.1213)</f>
        <v>0.1213</v>
      </c>
      <c r="L4227" s="19">
        <f>IFERROR(__xludf.DUMMYFUNCTION("""COMPUTED_VALUE"""),0.1455)</f>
        <v>0.1455</v>
      </c>
      <c r="M4227" s="18">
        <f>IFERROR(__xludf.DUMMYFUNCTION("""COMPUTED_VALUE"""),1.63)</f>
        <v>1.63</v>
      </c>
    </row>
    <row r="4228">
      <c r="A4228" s="13" t="str">
        <f>IFERROR(__xludf.DUMMYFUNCTION("""COMPUTED_VALUE"""),"товари")</f>
        <v>товари</v>
      </c>
      <c r="B4228" s="16" t="str">
        <f>IFERROR(__xludf.DUMMYFUNCTION("""COMPUTED_VALUE"""),"товари для дітей")</f>
        <v>товари для дітей</v>
      </c>
      <c r="C4228" s="16" t="str">
        <f>IFERROR(__xludf.DUMMYFUNCTION("""COMPUTED_VALUE"""),"дитячий транспорт та автокрісла")</f>
        <v>дитячий транспорт та автокрісла</v>
      </c>
      <c r="D4228" s="16" t="str">
        <f>IFERROR(__xludf.DUMMYFUNCTION("""COMPUTED_VALUE"""),"дитячі стрибунки")</f>
        <v>дитячі стрибунки</v>
      </c>
      <c r="E4228" s="16" t="str">
        <f>IFERROR(__xludf.DUMMYFUNCTION("""COMPUTED_VALUE"""),"дитячі стрибунки")</f>
        <v>дитячі стрибунки</v>
      </c>
      <c r="F4228" s="17">
        <f>IFERROR(__xludf.DUMMYFUNCTION("""COMPUTED_VALUE"""),3.0)</f>
        <v>3</v>
      </c>
      <c r="G4228" s="17" t="str">
        <f>IFERROR(__xludf.DUMMYFUNCTION("""COMPUTED_VALUE"""),"15011606")</f>
        <v>15011606</v>
      </c>
      <c r="H4228" s="17" t="str">
        <f>IFERROR(__xludf.DUMMYFUNCTION("""COMPUTED_VALUE"""),"дитячі стрибунки")</f>
        <v>дитячі стрибунки</v>
      </c>
      <c r="I4228" s="19">
        <f>IFERROR(__xludf.DUMMYFUNCTION("""COMPUTED_VALUE"""),0.0595)</f>
        <v>0.0595</v>
      </c>
      <c r="J4228" s="19">
        <f>IFERROR(__xludf.DUMMYFUNCTION("""COMPUTED_VALUE"""),0.119)</f>
        <v>0.119</v>
      </c>
      <c r="K4228" s="19">
        <f>IFERROR(__xludf.DUMMYFUNCTION("""COMPUTED_VALUE"""),0.1488)</f>
        <v>0.1488</v>
      </c>
      <c r="L4228" s="19">
        <f>IFERROR(__xludf.DUMMYFUNCTION("""COMPUTED_VALUE"""),0.1785)</f>
        <v>0.1785</v>
      </c>
      <c r="M4228" s="18">
        <f>IFERROR(__xludf.DUMMYFUNCTION("""COMPUTED_VALUE"""),1.26)</f>
        <v>1.26</v>
      </c>
    </row>
    <row r="4229">
      <c r="A4229" s="13" t="str">
        <f>IFERROR(__xludf.DUMMYFUNCTION("""COMPUTED_VALUE"""),"товари")</f>
        <v>товари</v>
      </c>
      <c r="B4229" s="16" t="str">
        <f>IFERROR(__xludf.DUMMYFUNCTION("""COMPUTED_VALUE"""),"товари для дітей")</f>
        <v>товари для дітей</v>
      </c>
      <c r="C4229" s="16" t="str">
        <f>IFERROR(__xludf.DUMMYFUNCTION("""COMPUTED_VALUE"""),"дитяче харчування")</f>
        <v>дитяче харчування</v>
      </c>
      <c r="D4229" s="16" t="str">
        <f>IFERROR(__xludf.DUMMYFUNCTION("""COMPUTED_VALUE"""),"дитячі суміші")</f>
        <v>дитячі суміші</v>
      </c>
      <c r="E4229" s="16" t="str">
        <f>IFERROR(__xludf.DUMMYFUNCTION("""COMPUTED_VALUE"""),"дитячі суміші")</f>
        <v>дитячі суміші</v>
      </c>
      <c r="F4229" s="17">
        <f>IFERROR(__xludf.DUMMYFUNCTION("""COMPUTED_VALUE"""),3.0)</f>
        <v>3</v>
      </c>
      <c r="G4229" s="17" t="str">
        <f>IFERROR(__xludf.DUMMYFUNCTION("""COMPUTED_VALUE"""),"29901")</f>
        <v>29901</v>
      </c>
      <c r="H4229" s="17" t="str">
        <f>IFERROR(__xludf.DUMMYFUNCTION("""COMPUTED_VALUE"""),"дитячі суміші")</f>
        <v>дитячі суміші</v>
      </c>
      <c r="I4229" s="19">
        <f>IFERROR(__xludf.DUMMYFUNCTION("""COMPUTED_VALUE"""),0.0455)</f>
        <v>0.0455</v>
      </c>
      <c r="J4229" s="19">
        <f>IFERROR(__xludf.DUMMYFUNCTION("""COMPUTED_VALUE"""),0.091)</f>
        <v>0.091</v>
      </c>
      <c r="K4229" s="19">
        <f>IFERROR(__xludf.DUMMYFUNCTION("""COMPUTED_VALUE"""),0.1138)</f>
        <v>0.1138</v>
      </c>
      <c r="L4229" s="19">
        <f>IFERROR(__xludf.DUMMYFUNCTION("""COMPUTED_VALUE"""),0.1365)</f>
        <v>0.1365</v>
      </c>
      <c r="M4229" s="18">
        <f>IFERROR(__xludf.DUMMYFUNCTION("""COMPUTED_VALUE"""),1.05)</f>
        <v>1.05</v>
      </c>
    </row>
    <row r="4230">
      <c r="A4230" s="13" t="str">
        <f>IFERROR(__xludf.DUMMYFUNCTION("""COMPUTED_VALUE"""),"товари")</f>
        <v>товари</v>
      </c>
      <c r="B4230" s="16" t="str">
        <f>IFERROR(__xludf.DUMMYFUNCTION("""COMPUTED_VALUE"""),"товари для дітей")</f>
        <v>товари для дітей</v>
      </c>
      <c r="C4230" s="16" t="str">
        <f>IFERROR(__xludf.DUMMYFUNCTION("""COMPUTED_VALUE"""),"дитячі меблі")</f>
        <v>дитячі меблі</v>
      </c>
      <c r="D4230" s="16" t="str">
        <f>IFERROR(__xludf.DUMMYFUNCTION("""COMPUTED_VALUE"""),"дитячі тумбочки")</f>
        <v>дитячі тумбочки</v>
      </c>
      <c r="E4230" s="16" t="str">
        <f>IFERROR(__xludf.DUMMYFUNCTION("""COMPUTED_VALUE"""),"дитячі тумбочки")</f>
        <v>дитячі тумбочки</v>
      </c>
      <c r="F4230" s="17">
        <f>IFERROR(__xludf.DUMMYFUNCTION("""COMPUTED_VALUE"""),3.0)</f>
        <v>3</v>
      </c>
      <c r="G4230" s="17" t="str">
        <f>IFERROR(__xludf.DUMMYFUNCTION("""COMPUTED_VALUE"""),"371313")</f>
        <v>371313</v>
      </c>
      <c r="H4230" s="17" t="str">
        <f>IFERROR(__xludf.DUMMYFUNCTION("""COMPUTED_VALUE"""),"дитячі тумбочки")</f>
        <v>дитячі тумбочки</v>
      </c>
      <c r="I4230" s="19">
        <f>IFERROR(__xludf.DUMMYFUNCTION("""COMPUTED_VALUE"""),0.0516)</f>
        <v>0.0516</v>
      </c>
      <c r="J4230" s="19">
        <f>IFERROR(__xludf.DUMMYFUNCTION("""COMPUTED_VALUE"""),0.1032)</f>
        <v>0.1032</v>
      </c>
      <c r="K4230" s="19">
        <f>IFERROR(__xludf.DUMMYFUNCTION("""COMPUTED_VALUE"""),0.129)</f>
        <v>0.129</v>
      </c>
      <c r="L4230" s="19">
        <f>IFERROR(__xludf.DUMMYFUNCTION("""COMPUTED_VALUE"""),0.1548)</f>
        <v>0.1548</v>
      </c>
      <c r="M4230" s="18">
        <f>IFERROR(__xludf.DUMMYFUNCTION("""COMPUTED_VALUE"""),2.08)</f>
        <v>2.08</v>
      </c>
    </row>
    <row r="4231">
      <c r="A4231" s="13" t="str">
        <f>IFERROR(__xludf.DUMMYFUNCTION("""COMPUTED_VALUE"""),"товари")</f>
        <v>товари</v>
      </c>
      <c r="B4231" s="16" t="str">
        <f>IFERROR(__xludf.DUMMYFUNCTION("""COMPUTED_VALUE"""),"товари для дітей")</f>
        <v>товари для дітей</v>
      </c>
      <c r="C4231" s="16" t="str">
        <f>IFERROR(__xludf.DUMMYFUNCTION("""COMPUTED_VALUE"""),"дитячий транспорт та автокрісла")</f>
        <v>дитячий транспорт та автокрісла</v>
      </c>
      <c r="D4231" s="16" t="str">
        <f>IFERROR(__xludf.DUMMYFUNCTION("""COMPUTED_VALUE"""),"дитячі ходунки")</f>
        <v>дитячі ходунки</v>
      </c>
      <c r="E4231" s="16" t="str">
        <f>IFERROR(__xludf.DUMMYFUNCTION("""COMPUTED_VALUE"""),"дитячі ходунки")</f>
        <v>дитячі ходунки</v>
      </c>
      <c r="F4231" s="17">
        <f>IFERROR(__xludf.DUMMYFUNCTION("""COMPUTED_VALUE"""),3.0)</f>
        <v>3</v>
      </c>
      <c r="G4231" s="17" t="str">
        <f>IFERROR(__xludf.DUMMYFUNCTION("""COMPUTED_VALUE"""),"150107")</f>
        <v>150107</v>
      </c>
      <c r="H4231" s="17" t="str">
        <f>IFERROR(__xludf.DUMMYFUNCTION("""COMPUTED_VALUE"""),"дитячі ходунки")</f>
        <v>дитячі ходунки</v>
      </c>
      <c r="I4231" s="19">
        <f>IFERROR(__xludf.DUMMYFUNCTION("""COMPUTED_VALUE"""),0.055)</f>
        <v>0.055</v>
      </c>
      <c r="J4231" s="19">
        <f>IFERROR(__xludf.DUMMYFUNCTION("""COMPUTED_VALUE"""),0.1099)</f>
        <v>0.1099</v>
      </c>
      <c r="K4231" s="19">
        <f>IFERROR(__xludf.DUMMYFUNCTION("""COMPUTED_VALUE"""),0.1374)</f>
        <v>0.1374</v>
      </c>
      <c r="L4231" s="19">
        <f>IFERROR(__xludf.DUMMYFUNCTION("""COMPUTED_VALUE"""),0.1649)</f>
        <v>0.1649</v>
      </c>
      <c r="M4231" s="18">
        <f>IFERROR(__xludf.DUMMYFUNCTION("""COMPUTED_VALUE"""),2.25)</f>
        <v>2.25</v>
      </c>
    </row>
    <row r="4232">
      <c r="A4232" s="13" t="str">
        <f>IFERROR(__xludf.DUMMYFUNCTION("""COMPUTED_VALUE"""),"товари")</f>
        <v>товари</v>
      </c>
      <c r="B4232" s="16" t="str">
        <f>IFERROR(__xludf.DUMMYFUNCTION("""COMPUTED_VALUE"""),"товари для дітей")</f>
        <v>товари для дітей</v>
      </c>
      <c r="C4232" s="16" t="str">
        <f>IFERROR(__xludf.DUMMYFUNCTION("""COMPUTED_VALUE"""),"дитячі меблі")</f>
        <v>дитячі меблі</v>
      </c>
      <c r="D4232" s="16" t="str">
        <f>IFERROR(__xludf.DUMMYFUNCTION("""COMPUTED_VALUE"""),"дитячі шафи та стелажі")</f>
        <v>дитячі шафи та стелажі</v>
      </c>
      <c r="E4232" s="16" t="str">
        <f>IFERROR(__xludf.DUMMYFUNCTION("""COMPUTED_VALUE"""),"дитячі шафи та стелажі")</f>
        <v>дитячі шафи та стелажі</v>
      </c>
      <c r="F4232" s="17">
        <f>IFERROR(__xludf.DUMMYFUNCTION("""COMPUTED_VALUE"""),3.0)</f>
        <v>3</v>
      </c>
      <c r="G4232" s="17" t="str">
        <f>IFERROR(__xludf.DUMMYFUNCTION("""COMPUTED_VALUE"""),"371308")</f>
        <v>371308</v>
      </c>
      <c r="H4232" s="17" t="str">
        <f>IFERROR(__xludf.DUMMYFUNCTION("""COMPUTED_VALUE"""),"дитячі шафи та стелажі")</f>
        <v>дитячі шафи та стелажі</v>
      </c>
      <c r="I4232" s="19">
        <f>IFERROR(__xludf.DUMMYFUNCTION("""COMPUTED_VALUE"""),0.0697)</f>
        <v>0.0697</v>
      </c>
      <c r="J4232" s="19">
        <f>IFERROR(__xludf.DUMMYFUNCTION("""COMPUTED_VALUE"""),0.1394)</f>
        <v>0.1394</v>
      </c>
      <c r="K4232" s="19">
        <f>IFERROR(__xludf.DUMMYFUNCTION("""COMPUTED_VALUE"""),0.1743)</f>
        <v>0.1743</v>
      </c>
      <c r="L4232" s="19">
        <f>IFERROR(__xludf.DUMMYFUNCTION("""COMPUTED_VALUE"""),0.2091)</f>
        <v>0.2091</v>
      </c>
      <c r="M4232" s="18">
        <f>IFERROR(__xludf.DUMMYFUNCTION("""COMPUTED_VALUE"""),1.26)</f>
        <v>1.26</v>
      </c>
    </row>
    <row r="4233">
      <c r="A4233" s="13" t="str">
        <f>IFERROR(__xludf.DUMMYFUNCTION("""COMPUTED_VALUE"""),"товари")</f>
        <v>товари</v>
      </c>
      <c r="B4233" s="16" t="str">
        <f>IFERROR(__xludf.DUMMYFUNCTION("""COMPUTED_VALUE"""),"товари для дітей")</f>
        <v>товари для дітей</v>
      </c>
      <c r="C4233" s="16" t="str">
        <f>IFERROR(__xludf.DUMMYFUNCTION("""COMPUTED_VALUE"""),"дитячі ігри")</f>
        <v>дитячі ігри</v>
      </c>
      <c r="D4233" s="16" t="str">
        <f>IFERROR(__xludf.DUMMYFUNCTION("""COMPUTED_VALUE"""),"домашні надувні батути, ігрові центри")</f>
        <v>домашні надувні батути, ігрові центри</v>
      </c>
      <c r="E4233" s="16" t="str">
        <f>IFERROR(__xludf.DUMMYFUNCTION("""COMPUTED_VALUE"""),"домашні надувні батути, ігрові центри")</f>
        <v>домашні надувні батути, ігрові центри</v>
      </c>
      <c r="F4233" s="17">
        <f>IFERROR(__xludf.DUMMYFUNCTION("""COMPUTED_VALUE"""),3.0)</f>
        <v>3</v>
      </c>
      <c r="G4233" s="17" t="str">
        <f>IFERROR(__xludf.DUMMYFUNCTION("""COMPUTED_VALUE"""),"2621")</f>
        <v>2621</v>
      </c>
      <c r="H4233" s="17" t="str">
        <f>IFERROR(__xludf.DUMMYFUNCTION("""COMPUTED_VALUE"""),"домашні надувні батути, ігрові центри")</f>
        <v>домашні надувні батути, ігрові центри</v>
      </c>
      <c r="I4233" s="19">
        <f>IFERROR(__xludf.DUMMYFUNCTION("""COMPUTED_VALUE"""),0.0438)</f>
        <v>0.0438</v>
      </c>
      <c r="J4233" s="19">
        <f>IFERROR(__xludf.DUMMYFUNCTION("""COMPUTED_VALUE"""),0.0875)</f>
        <v>0.0875</v>
      </c>
      <c r="K4233" s="19">
        <f>IFERROR(__xludf.DUMMYFUNCTION("""COMPUTED_VALUE"""),0.1094)</f>
        <v>0.1094</v>
      </c>
      <c r="L4233" s="19">
        <f>IFERROR(__xludf.DUMMYFUNCTION("""COMPUTED_VALUE"""),0.1313)</f>
        <v>0.1313</v>
      </c>
      <c r="M4233" s="18">
        <f>IFERROR(__xludf.DUMMYFUNCTION("""COMPUTED_VALUE"""),2.08)</f>
        <v>2.08</v>
      </c>
    </row>
    <row r="4234">
      <c r="A4234" s="13" t="str">
        <f>IFERROR(__xludf.DUMMYFUNCTION("""COMPUTED_VALUE"""),"товари")</f>
        <v>товари</v>
      </c>
      <c r="B4234" s="16" t="str">
        <f>IFERROR(__xludf.DUMMYFUNCTION("""COMPUTED_VALUE"""),"товари для дітей")</f>
        <v>товари для дітей</v>
      </c>
      <c r="C4234" s="16" t="str">
        <f>IFERROR(__xludf.DUMMYFUNCTION("""COMPUTED_VALUE"""),"дитячі коляски та аксесуари")</f>
        <v>дитячі коляски та аксесуари</v>
      </c>
      <c r="D4234" s="16" t="str">
        <f>IFERROR(__xludf.DUMMYFUNCTION("""COMPUTED_VALUE"""),"запчастини та аксесуари для дитячих колясок")</f>
        <v>запчастини та аксесуари для дитячих колясок</v>
      </c>
      <c r="E4234" s="16" t="str">
        <f>IFERROR(__xludf.DUMMYFUNCTION("""COMPUTED_VALUE"""),"запчастини та аксесуари для дитячих колясок")</f>
        <v>запчастини та аксесуари для дитячих колясок</v>
      </c>
      <c r="F4234" s="17">
        <f>IFERROR(__xludf.DUMMYFUNCTION("""COMPUTED_VALUE"""),3.0)</f>
        <v>3</v>
      </c>
      <c r="G4234" s="17" t="str">
        <f>IFERROR(__xludf.DUMMYFUNCTION("""COMPUTED_VALUE"""),"15011309")</f>
        <v>15011309</v>
      </c>
      <c r="H4234" s="17" t="str">
        <f>IFERROR(__xludf.DUMMYFUNCTION("""COMPUTED_VALUE"""),"запчастини та аксесуари для дитячих колясок")</f>
        <v>запчастини та аксесуари для дитячих колясок</v>
      </c>
      <c r="I4234" s="19">
        <f>IFERROR(__xludf.DUMMYFUNCTION("""COMPUTED_VALUE"""),0.0569)</f>
        <v>0.0569</v>
      </c>
      <c r="J4234" s="19">
        <f>IFERROR(__xludf.DUMMYFUNCTION("""COMPUTED_VALUE"""),0.1138)</f>
        <v>0.1138</v>
      </c>
      <c r="K4234" s="19">
        <f>IFERROR(__xludf.DUMMYFUNCTION("""COMPUTED_VALUE"""),0.1423)</f>
        <v>0.1423</v>
      </c>
      <c r="L4234" s="19">
        <f>IFERROR(__xludf.DUMMYFUNCTION("""COMPUTED_VALUE"""),0.1707)</f>
        <v>0.1707</v>
      </c>
      <c r="M4234" s="18">
        <f>IFERROR(__xludf.DUMMYFUNCTION("""COMPUTED_VALUE"""),1.05)</f>
        <v>1.05</v>
      </c>
    </row>
    <row r="4235">
      <c r="A4235" s="13" t="str">
        <f>IFERROR(__xludf.DUMMYFUNCTION("""COMPUTED_VALUE"""),"товари")</f>
        <v>товари</v>
      </c>
      <c r="B4235" s="16" t="str">
        <f>IFERROR(__xludf.DUMMYFUNCTION("""COMPUTED_VALUE"""),"товари для дітей")</f>
        <v>товари для дітей</v>
      </c>
      <c r="C4235" s="16" t="str">
        <f>IFERROR(__xludf.DUMMYFUNCTION("""COMPUTED_VALUE"""),"дитячий текстиль")</f>
        <v>дитячий текстиль</v>
      </c>
      <c r="D4235" s="16" t="str">
        <f>IFERROR(__xludf.DUMMYFUNCTION("""COMPUTED_VALUE"""),"захист в дитяче ліжечко")</f>
        <v>захист в дитяче ліжечко</v>
      </c>
      <c r="E4235" s="16" t="str">
        <f>IFERROR(__xludf.DUMMYFUNCTION("""COMPUTED_VALUE"""),"захист в дитяче ліжечко")</f>
        <v>захист в дитяче ліжечко</v>
      </c>
      <c r="F4235" s="17">
        <f>IFERROR(__xludf.DUMMYFUNCTION("""COMPUTED_VALUE"""),3.0)</f>
        <v>3</v>
      </c>
      <c r="G4235" s="17" t="str">
        <f>IFERROR(__xludf.DUMMYFUNCTION("""COMPUTED_VALUE"""),"15011407")</f>
        <v>15011407</v>
      </c>
      <c r="H4235" s="17" t="str">
        <f>IFERROR(__xludf.DUMMYFUNCTION("""COMPUTED_VALUE"""),"захист в дитяче ліжечко")</f>
        <v>захист в дитяче ліжечко</v>
      </c>
      <c r="I4235" s="19">
        <f>IFERROR(__xludf.DUMMYFUNCTION("""COMPUTED_VALUE"""),0.0752)</f>
        <v>0.0752</v>
      </c>
      <c r="J4235" s="19">
        <f>IFERROR(__xludf.DUMMYFUNCTION("""COMPUTED_VALUE"""),0.1504)</f>
        <v>0.1504</v>
      </c>
      <c r="K4235" s="19">
        <f>IFERROR(__xludf.DUMMYFUNCTION("""COMPUTED_VALUE"""),0.188)</f>
        <v>0.188</v>
      </c>
      <c r="L4235" s="19">
        <f>IFERROR(__xludf.DUMMYFUNCTION("""COMPUTED_VALUE"""),0.2256)</f>
        <v>0.2256</v>
      </c>
      <c r="M4235" s="18">
        <f>IFERROR(__xludf.DUMMYFUNCTION("""COMPUTED_VALUE"""),1.71)</f>
        <v>1.71</v>
      </c>
    </row>
    <row r="4236">
      <c r="A4236" s="13" t="str">
        <f>IFERROR(__xludf.DUMMYFUNCTION("""COMPUTED_VALUE"""),"товари")</f>
        <v>товари</v>
      </c>
      <c r="B4236" s="16" t="str">
        <f>IFERROR(__xludf.DUMMYFUNCTION("""COMPUTED_VALUE"""),"товари для дітей")</f>
        <v>товари для дітей</v>
      </c>
      <c r="C4236" s="16" t="str">
        <f>IFERROR(__xludf.DUMMYFUNCTION("""COMPUTED_VALUE"""),"іграшки")</f>
        <v>іграшки</v>
      </c>
      <c r="D4236" s="16" t="str">
        <f>IFERROR(__xludf.DUMMYFUNCTION("""COMPUTED_VALUE"""),"збірні моделі та аксесуари до них")</f>
        <v>збірні моделі та аксесуари до них</v>
      </c>
      <c r="E4236" s="16" t="str">
        <f>IFERROR(__xludf.DUMMYFUNCTION("""COMPUTED_VALUE"""),"збірні моделі та аксесуари до них")</f>
        <v>збірні моделі та аксесуари до них</v>
      </c>
      <c r="F4236" s="17">
        <f>IFERROR(__xludf.DUMMYFUNCTION("""COMPUTED_VALUE"""),3.0)</f>
        <v>3</v>
      </c>
      <c r="G4236" s="17" t="str">
        <f>IFERROR(__xludf.DUMMYFUNCTION("""COMPUTED_VALUE"""),"2630")</f>
        <v>2630</v>
      </c>
      <c r="H4236" s="17" t="str">
        <f>IFERROR(__xludf.DUMMYFUNCTION("""COMPUTED_VALUE"""),"збірні моделі та аксесуари до них")</f>
        <v>збірні моделі та аксесуари до них</v>
      </c>
      <c r="I4236" s="19">
        <f>IFERROR(__xludf.DUMMYFUNCTION("""COMPUTED_VALUE"""),0.0955)</f>
        <v>0.0955</v>
      </c>
      <c r="J4236" s="19">
        <f>IFERROR(__xludf.DUMMYFUNCTION("""COMPUTED_VALUE"""),0.191)</f>
        <v>0.191</v>
      </c>
      <c r="K4236" s="19">
        <f>IFERROR(__xludf.DUMMYFUNCTION("""COMPUTED_VALUE"""),0.2388)</f>
        <v>0.2388</v>
      </c>
      <c r="L4236" s="19">
        <f>IFERROR(__xludf.DUMMYFUNCTION("""COMPUTED_VALUE"""),0.2865)</f>
        <v>0.2865</v>
      </c>
      <c r="M4236" s="18">
        <f>IFERROR(__xludf.DUMMYFUNCTION("""COMPUTED_VALUE"""),1.05)</f>
        <v>1.05</v>
      </c>
    </row>
    <row r="4237">
      <c r="A4237" s="13" t="str">
        <f>IFERROR(__xludf.DUMMYFUNCTION("""COMPUTED_VALUE"""),"товари")</f>
        <v>товари</v>
      </c>
      <c r="B4237" s="16" t="str">
        <f>IFERROR(__xludf.DUMMYFUNCTION("""COMPUTED_VALUE"""),"товари для дітей")</f>
        <v>товари для дітей</v>
      </c>
      <c r="C4237" s="16" t="str">
        <f>IFERROR(__xludf.DUMMYFUNCTION("""COMPUTED_VALUE"""),"іграшки")</f>
        <v>іграшки</v>
      </c>
      <c r="D4237" s="16" t="str">
        <f>IFERROR(__xludf.DUMMYFUNCTION("""COMPUTED_VALUE"""),"іграшки для ванної")</f>
        <v>іграшки для ванної</v>
      </c>
      <c r="E4237" s="16" t="str">
        <f>IFERROR(__xludf.DUMMYFUNCTION("""COMPUTED_VALUE"""),"іграшки для ванної")</f>
        <v>іграшки для ванної</v>
      </c>
      <c r="F4237" s="17">
        <f>IFERROR(__xludf.DUMMYFUNCTION("""COMPUTED_VALUE"""),3.0)</f>
        <v>3</v>
      </c>
      <c r="G4237" s="17" t="str">
        <f>IFERROR(__xludf.DUMMYFUNCTION("""COMPUTED_VALUE"""),"2631")</f>
        <v>2631</v>
      </c>
      <c r="H4237" s="17" t="str">
        <f>IFERROR(__xludf.DUMMYFUNCTION("""COMPUTED_VALUE"""),"іграшки для ванної")</f>
        <v>іграшки для ванної</v>
      </c>
      <c r="I4237" s="19">
        <f>IFERROR(__xludf.DUMMYFUNCTION("""COMPUTED_VALUE"""),0.077)</f>
        <v>0.077</v>
      </c>
      <c r="J4237" s="19">
        <f>IFERROR(__xludf.DUMMYFUNCTION("""COMPUTED_VALUE"""),0.154)</f>
        <v>0.154</v>
      </c>
      <c r="K4237" s="19">
        <f>IFERROR(__xludf.DUMMYFUNCTION("""COMPUTED_VALUE"""),0.1925)</f>
        <v>0.1925</v>
      </c>
      <c r="L4237" s="19">
        <f>IFERROR(__xludf.DUMMYFUNCTION("""COMPUTED_VALUE"""),0.231)</f>
        <v>0.231</v>
      </c>
      <c r="M4237" s="18">
        <f>IFERROR(__xludf.DUMMYFUNCTION("""COMPUTED_VALUE"""),1.05)</f>
        <v>1.05</v>
      </c>
    </row>
    <row r="4238">
      <c r="A4238" s="13" t="str">
        <f>IFERROR(__xludf.DUMMYFUNCTION("""COMPUTED_VALUE"""),"товари")</f>
        <v>товари</v>
      </c>
      <c r="B4238" s="16" t="str">
        <f>IFERROR(__xludf.DUMMYFUNCTION("""COMPUTED_VALUE"""),"товари для дітей")</f>
        <v>товари для дітей</v>
      </c>
      <c r="C4238" s="16" t="str">
        <f>IFERROR(__xludf.DUMMYFUNCTION("""COMPUTED_VALUE"""),"дитячі ігри")</f>
        <v>дитячі ігри</v>
      </c>
      <c r="D4238" s="16" t="str">
        <f>IFERROR(__xludf.DUMMYFUNCTION("""COMPUTED_VALUE"""),"іграшки для ігор з піском, водою та снігом")</f>
        <v>іграшки для ігор з піском, водою та снігом</v>
      </c>
      <c r="E4238" s="16" t="str">
        <f>IFERROR(__xludf.DUMMYFUNCTION("""COMPUTED_VALUE"""),"іграшки для ігор з піском, водою та снігом")</f>
        <v>іграшки для ігор з піском, водою та снігом</v>
      </c>
      <c r="F4238" s="17">
        <f>IFERROR(__xludf.DUMMYFUNCTION("""COMPUTED_VALUE"""),3.0)</f>
        <v>3</v>
      </c>
      <c r="G4238" s="17" t="str">
        <f>IFERROR(__xludf.DUMMYFUNCTION("""COMPUTED_VALUE"""),"2642")</f>
        <v>2642</v>
      </c>
      <c r="H4238" s="17" t="str">
        <f>IFERROR(__xludf.DUMMYFUNCTION("""COMPUTED_VALUE"""),"іграшки для ігор з піском, водою та снігом")</f>
        <v>іграшки для ігор з піском, водою та снігом</v>
      </c>
      <c r="I4238" s="19">
        <f>IFERROR(__xludf.DUMMYFUNCTION("""COMPUTED_VALUE"""),0.0976)</f>
        <v>0.0976</v>
      </c>
      <c r="J4238" s="19">
        <f>IFERROR(__xludf.DUMMYFUNCTION("""COMPUTED_VALUE"""),0.1952)</f>
        <v>0.1952</v>
      </c>
      <c r="K4238" s="19">
        <f>IFERROR(__xludf.DUMMYFUNCTION("""COMPUTED_VALUE"""),0.244)</f>
        <v>0.244</v>
      </c>
      <c r="L4238" s="19">
        <f>IFERROR(__xludf.DUMMYFUNCTION("""COMPUTED_VALUE"""),0.2928)</f>
        <v>0.2928</v>
      </c>
      <c r="M4238" s="18">
        <f>IFERROR(__xludf.DUMMYFUNCTION("""COMPUTED_VALUE"""),1.05)</f>
        <v>1.05</v>
      </c>
    </row>
    <row r="4239">
      <c r="A4239" s="13" t="str">
        <f>IFERROR(__xludf.DUMMYFUNCTION("""COMPUTED_VALUE"""),"товари")</f>
        <v>товари</v>
      </c>
      <c r="B4239" s="16" t="str">
        <f>IFERROR(__xludf.DUMMYFUNCTION("""COMPUTED_VALUE"""),"товари для дітей")</f>
        <v>товари для дітей</v>
      </c>
      <c r="C4239" s="16" t="str">
        <f>IFERROR(__xludf.DUMMYFUNCTION("""COMPUTED_VALUE"""),"іграшки")</f>
        <v>іграшки</v>
      </c>
      <c r="D4239" s="16" t="str">
        <f>IFERROR(__xludf.DUMMYFUNCTION("""COMPUTED_VALUE"""),"іграшки для найменших")</f>
        <v>іграшки для найменших</v>
      </c>
      <c r="E4239" s="16" t="str">
        <f>IFERROR(__xludf.DUMMYFUNCTION("""COMPUTED_VALUE"""),"іграшки для найменших")</f>
        <v>іграшки для найменших</v>
      </c>
      <c r="F4239" s="17">
        <f>IFERROR(__xludf.DUMMYFUNCTION("""COMPUTED_VALUE"""),3.0)</f>
        <v>3</v>
      </c>
      <c r="G4239" s="17" t="str">
        <f>IFERROR(__xludf.DUMMYFUNCTION("""COMPUTED_VALUE"""),"150102")</f>
        <v>150102</v>
      </c>
      <c r="H4239" s="17" t="str">
        <f>IFERROR(__xludf.DUMMYFUNCTION("""COMPUTED_VALUE"""),"іграшки для найменших")</f>
        <v>іграшки для найменших</v>
      </c>
      <c r="I4239" s="19">
        <f>IFERROR(__xludf.DUMMYFUNCTION("""COMPUTED_VALUE"""),0.054)</f>
        <v>0.054</v>
      </c>
      <c r="J4239" s="19">
        <f>IFERROR(__xludf.DUMMYFUNCTION("""COMPUTED_VALUE"""),0.108)</f>
        <v>0.108</v>
      </c>
      <c r="K4239" s="19">
        <f>IFERROR(__xludf.DUMMYFUNCTION("""COMPUTED_VALUE"""),0.135)</f>
        <v>0.135</v>
      </c>
      <c r="L4239" s="19">
        <f>IFERROR(__xludf.DUMMYFUNCTION("""COMPUTED_VALUE"""),0.162)</f>
        <v>0.162</v>
      </c>
      <c r="M4239" s="18">
        <f>IFERROR(__xludf.DUMMYFUNCTION("""COMPUTED_VALUE"""),1.53)</f>
        <v>1.53</v>
      </c>
    </row>
    <row r="4240">
      <c r="A4240" s="13" t="str">
        <f>IFERROR(__xludf.DUMMYFUNCTION("""COMPUTED_VALUE"""),"товари")</f>
        <v>товари</v>
      </c>
      <c r="B4240" s="16" t="str">
        <f>IFERROR(__xludf.DUMMYFUNCTION("""COMPUTED_VALUE"""),"товари для дітей")</f>
        <v>товари для дітей</v>
      </c>
      <c r="C4240" s="16" t="str">
        <f>IFERROR(__xludf.DUMMYFUNCTION("""COMPUTED_VALUE"""),"іграшки")</f>
        <v>іграшки</v>
      </c>
      <c r="D4240" s="16" t="str">
        <f>IFERROR(__xludf.DUMMYFUNCTION("""COMPUTED_VALUE"""),"іграшки-антистрес")</f>
        <v>іграшки-антистрес</v>
      </c>
      <c r="E4240" s="16" t="str">
        <f>IFERROR(__xludf.DUMMYFUNCTION("""COMPUTED_VALUE"""),"іграшки-антистрес")</f>
        <v>іграшки-антистрес</v>
      </c>
      <c r="F4240" s="17">
        <f>IFERROR(__xludf.DUMMYFUNCTION("""COMPUTED_VALUE"""),3.0)</f>
        <v>3</v>
      </c>
      <c r="G4240" s="17" t="str">
        <f>IFERROR(__xludf.DUMMYFUNCTION("""COMPUTED_VALUE"""),"2656")</f>
        <v>2656</v>
      </c>
      <c r="H4240" s="17" t="str">
        <f>IFERROR(__xludf.DUMMYFUNCTION("""COMPUTED_VALUE"""),"іграшки-антистрес")</f>
        <v>іграшки-антистрес</v>
      </c>
      <c r="I4240" s="19">
        <f>IFERROR(__xludf.DUMMYFUNCTION("""COMPUTED_VALUE"""),0.1187)</f>
        <v>0.1187</v>
      </c>
      <c r="J4240" s="19">
        <f>IFERROR(__xludf.DUMMYFUNCTION("""COMPUTED_VALUE"""),0.2373)</f>
        <v>0.2373</v>
      </c>
      <c r="K4240" s="19">
        <f>IFERROR(__xludf.DUMMYFUNCTION("""COMPUTED_VALUE"""),0.2966)</f>
        <v>0.2966</v>
      </c>
      <c r="L4240" s="19">
        <f>IFERROR(__xludf.DUMMYFUNCTION("""COMPUTED_VALUE"""),0.356)</f>
        <v>0.356</v>
      </c>
      <c r="M4240" s="18">
        <f>IFERROR(__xludf.DUMMYFUNCTION("""COMPUTED_VALUE"""),2.08)</f>
        <v>2.08</v>
      </c>
    </row>
    <row r="4241">
      <c r="A4241" s="13" t="str">
        <f>IFERROR(__xludf.DUMMYFUNCTION("""COMPUTED_VALUE"""),"товари")</f>
        <v>товари</v>
      </c>
      <c r="B4241" s="16" t="str">
        <f>IFERROR(__xludf.DUMMYFUNCTION("""COMPUTED_VALUE"""),"товари для дітей")</f>
        <v>товари для дітей</v>
      </c>
      <c r="C4241" s="16" t="str">
        <f>IFERROR(__xludf.DUMMYFUNCTION("""COMPUTED_VALUE"""),"дитячі ігри")</f>
        <v>дитячі ігри</v>
      </c>
      <c r="D4241" s="16" t="str">
        <f>IFERROR(__xludf.DUMMYFUNCTION("""COMPUTED_VALUE"""),"іграшки-гойдалки, іграшки-стрибуни")</f>
        <v>іграшки-гойдалки, іграшки-стрибуни</v>
      </c>
      <c r="E4241" s="16" t="str">
        <f>IFERROR(__xludf.DUMMYFUNCTION("""COMPUTED_VALUE"""),"іграшки-гойдалки, іграшки-стрибуни")</f>
        <v>іграшки-гойдалки, іграшки-стрибуни</v>
      </c>
      <c r="F4241" s="17">
        <f>IFERROR(__xludf.DUMMYFUNCTION("""COMPUTED_VALUE"""),3.0)</f>
        <v>3</v>
      </c>
      <c r="G4241" s="17" t="str">
        <f>IFERROR(__xludf.DUMMYFUNCTION("""COMPUTED_VALUE"""),"2625")</f>
        <v>2625</v>
      </c>
      <c r="H4241" s="17" t="str">
        <f>IFERROR(__xludf.DUMMYFUNCTION("""COMPUTED_VALUE"""),"іграшки-гойдалки, іграшки-стрибуни")</f>
        <v>іграшки-гойдалки, іграшки-стрибуни</v>
      </c>
      <c r="I4241" s="19">
        <f>IFERROR(__xludf.DUMMYFUNCTION("""COMPUTED_VALUE"""),0.0545)</f>
        <v>0.0545</v>
      </c>
      <c r="J4241" s="19">
        <f>IFERROR(__xludf.DUMMYFUNCTION("""COMPUTED_VALUE"""),0.109)</f>
        <v>0.109</v>
      </c>
      <c r="K4241" s="19">
        <f>IFERROR(__xludf.DUMMYFUNCTION("""COMPUTED_VALUE"""),0.1363)</f>
        <v>0.1363</v>
      </c>
      <c r="L4241" s="19">
        <f>IFERROR(__xludf.DUMMYFUNCTION("""COMPUTED_VALUE"""),0.1635)</f>
        <v>0.1635</v>
      </c>
      <c r="M4241" s="18">
        <f>IFERROR(__xludf.DUMMYFUNCTION("""COMPUTED_VALUE"""),1.63)</f>
        <v>1.63</v>
      </c>
    </row>
    <row r="4242">
      <c r="A4242" s="13" t="str">
        <f>IFERROR(__xludf.DUMMYFUNCTION("""COMPUTED_VALUE"""),"товари")</f>
        <v>товари</v>
      </c>
      <c r="B4242" s="16" t="str">
        <f>IFERROR(__xludf.DUMMYFUNCTION("""COMPUTED_VALUE"""),"товари для дітей")</f>
        <v>товари для дітей</v>
      </c>
      <c r="C4242" s="16" t="str">
        <f>IFERROR(__xludf.DUMMYFUNCTION("""COMPUTED_VALUE"""),"іграшки")</f>
        <v>іграшки</v>
      </c>
      <c r="D4242" s="16" t="str">
        <f>IFERROR(__xludf.DUMMYFUNCTION("""COMPUTED_VALUE"""),"іграшки, загальне")</f>
        <v>іграшки, загальне</v>
      </c>
      <c r="E4242" s="16" t="str">
        <f>IFERROR(__xludf.DUMMYFUNCTION("""COMPUTED_VALUE"""),"іграшки, загальне")</f>
        <v>іграшки, загальне</v>
      </c>
      <c r="F4242" s="17">
        <f>IFERROR(__xludf.DUMMYFUNCTION("""COMPUTED_VALUE"""),3.0)</f>
        <v>3</v>
      </c>
      <c r="G4242" s="17" t="str">
        <f>IFERROR(__xludf.DUMMYFUNCTION("""COMPUTED_VALUE"""),"2610")</f>
        <v>2610</v>
      </c>
      <c r="H4242" s="17" t="str">
        <f>IFERROR(__xludf.DUMMYFUNCTION("""COMPUTED_VALUE"""),"іграшки, загальне")</f>
        <v>іграшки, загальне</v>
      </c>
      <c r="I4242" s="19">
        <f>IFERROR(__xludf.DUMMYFUNCTION("""COMPUTED_VALUE"""),0.125)</f>
        <v>0.125</v>
      </c>
      <c r="J4242" s="19">
        <f>IFERROR(__xludf.DUMMYFUNCTION("""COMPUTED_VALUE"""),0.25)</f>
        <v>0.25</v>
      </c>
      <c r="K4242" s="19">
        <f>IFERROR(__xludf.DUMMYFUNCTION("""COMPUTED_VALUE"""),0.3125)</f>
        <v>0.3125</v>
      </c>
      <c r="L4242" s="19">
        <f>IFERROR(__xludf.DUMMYFUNCTION("""COMPUTED_VALUE"""),0.375)</f>
        <v>0.375</v>
      </c>
      <c r="M4242" s="18">
        <f>IFERROR(__xludf.DUMMYFUNCTION("""COMPUTED_VALUE"""),4.33)</f>
        <v>4.33</v>
      </c>
    </row>
    <row r="4243">
      <c r="A4243" s="13" t="str">
        <f>IFERROR(__xludf.DUMMYFUNCTION("""COMPUTED_VALUE"""),"товари")</f>
        <v>товари</v>
      </c>
      <c r="B4243" s="16" t="str">
        <f>IFERROR(__xludf.DUMMYFUNCTION("""COMPUTED_VALUE"""),"товари для дітей")</f>
        <v>товари для дітей</v>
      </c>
      <c r="C4243" s="16" t="str">
        <f>IFERROR(__xludf.DUMMYFUNCTION("""COMPUTED_VALUE"""),"іграшки")</f>
        <v>іграшки</v>
      </c>
      <c r="D4243" s="16" t="str">
        <f>IFERROR(__xludf.DUMMYFUNCTION("""COMPUTED_VALUE"""),"іграшковий посуд")</f>
        <v>іграшковий посуд</v>
      </c>
      <c r="E4243" s="16" t="str">
        <f>IFERROR(__xludf.DUMMYFUNCTION("""COMPUTED_VALUE"""),"іграшковий посуд")</f>
        <v>іграшковий посуд</v>
      </c>
      <c r="F4243" s="17">
        <f>IFERROR(__xludf.DUMMYFUNCTION("""COMPUTED_VALUE"""),3.0)</f>
        <v>3</v>
      </c>
      <c r="G4243" s="17" t="str">
        <f>IFERROR(__xludf.DUMMYFUNCTION("""COMPUTED_VALUE"""),"2653")</f>
        <v>2653</v>
      </c>
      <c r="H4243" s="17" t="str">
        <f>IFERROR(__xludf.DUMMYFUNCTION("""COMPUTED_VALUE"""),"іграшковий посуд")</f>
        <v>іграшковий посуд</v>
      </c>
      <c r="I4243" s="19">
        <f>IFERROR(__xludf.DUMMYFUNCTION("""COMPUTED_VALUE"""),0.0601)</f>
        <v>0.0601</v>
      </c>
      <c r="J4243" s="19">
        <f>IFERROR(__xludf.DUMMYFUNCTION("""COMPUTED_VALUE"""),0.1201)</f>
        <v>0.1201</v>
      </c>
      <c r="K4243" s="19">
        <f>IFERROR(__xludf.DUMMYFUNCTION("""COMPUTED_VALUE"""),0.1501)</f>
        <v>0.1501</v>
      </c>
      <c r="L4243" s="19">
        <f>IFERROR(__xludf.DUMMYFUNCTION("""COMPUTED_VALUE"""),0.1802)</f>
        <v>0.1802</v>
      </c>
      <c r="M4243" s="18">
        <f>IFERROR(__xludf.DUMMYFUNCTION("""COMPUTED_VALUE"""),1.05)</f>
        <v>1.05</v>
      </c>
    </row>
    <row r="4244">
      <c r="A4244" s="13" t="str">
        <f>IFERROR(__xludf.DUMMYFUNCTION("""COMPUTED_VALUE"""),"товари")</f>
        <v>товари</v>
      </c>
      <c r="B4244" s="16" t="str">
        <f>IFERROR(__xludf.DUMMYFUNCTION("""COMPUTED_VALUE"""),"товари для дітей")</f>
        <v>товари для дітей</v>
      </c>
      <c r="C4244" s="16" t="str">
        <f>IFERROR(__xludf.DUMMYFUNCTION("""COMPUTED_VALUE"""),"іграшки")</f>
        <v>іграшки</v>
      </c>
      <c r="D4244" s="16" t="str">
        <f>IFERROR(__xludf.DUMMYFUNCTION("""COMPUTED_VALUE"""),"іграшкові машинки, літачки, техніка")</f>
        <v>іграшкові машинки, літачки, техніка</v>
      </c>
      <c r="E4244" s="16" t="str">
        <f>IFERROR(__xludf.DUMMYFUNCTION("""COMPUTED_VALUE"""),"іграшкові машинки, літачки, техніка")</f>
        <v>іграшкові машинки, літачки, техніка</v>
      </c>
      <c r="F4244" s="17">
        <f>IFERROR(__xludf.DUMMYFUNCTION("""COMPUTED_VALUE"""),3.0)</f>
        <v>3</v>
      </c>
      <c r="G4244" s="17" t="str">
        <f>IFERROR(__xludf.DUMMYFUNCTION("""COMPUTED_VALUE"""),"2606")</f>
        <v>2606</v>
      </c>
      <c r="H4244" s="17" t="str">
        <f>IFERROR(__xludf.DUMMYFUNCTION("""COMPUTED_VALUE"""),"іграшкові машинки, літачки, техніка")</f>
        <v>іграшкові машинки, літачки, техніка</v>
      </c>
      <c r="I4244" s="19">
        <f>IFERROR(__xludf.DUMMYFUNCTION("""COMPUTED_VALUE"""),0.0788)</f>
        <v>0.0788</v>
      </c>
      <c r="J4244" s="19">
        <f>IFERROR(__xludf.DUMMYFUNCTION("""COMPUTED_VALUE"""),0.1575)</f>
        <v>0.1575</v>
      </c>
      <c r="K4244" s="19">
        <f>IFERROR(__xludf.DUMMYFUNCTION("""COMPUTED_VALUE"""),0.1969)</f>
        <v>0.1969</v>
      </c>
      <c r="L4244" s="19">
        <f>IFERROR(__xludf.DUMMYFUNCTION("""COMPUTED_VALUE"""),0.2363)</f>
        <v>0.2363</v>
      </c>
      <c r="M4244" s="18">
        <f>IFERROR(__xludf.DUMMYFUNCTION("""COMPUTED_VALUE"""),1.05)</f>
        <v>1.05</v>
      </c>
    </row>
    <row r="4245">
      <c r="A4245" s="13" t="str">
        <f>IFERROR(__xludf.DUMMYFUNCTION("""COMPUTED_VALUE"""),"товари")</f>
        <v>товари</v>
      </c>
      <c r="B4245" s="16" t="str">
        <f>IFERROR(__xludf.DUMMYFUNCTION("""COMPUTED_VALUE"""),"товари для дітей")</f>
        <v>товари для дітей</v>
      </c>
      <c r="C4245" s="16" t="str">
        <f>IFERROR(__xludf.DUMMYFUNCTION("""COMPUTED_VALUE"""),"іграшки")</f>
        <v>іграшки</v>
      </c>
      <c r="D4245" s="16" t="str">
        <f>IFERROR(__xludf.DUMMYFUNCTION("""COMPUTED_VALUE"""),"іграшкові пістолети, арбалети та шаблі")</f>
        <v>іграшкові пістолети, арбалети та шаблі</v>
      </c>
      <c r="E4245" s="16" t="str">
        <f>IFERROR(__xludf.DUMMYFUNCTION("""COMPUTED_VALUE"""),"іграшкові пістолети, арбалети та шаблі")</f>
        <v>іграшкові пістолети, арбалети та шаблі</v>
      </c>
      <c r="F4245" s="17">
        <f>IFERROR(__xludf.DUMMYFUNCTION("""COMPUTED_VALUE"""),3.0)</f>
        <v>3</v>
      </c>
      <c r="G4245" s="17" t="str">
        <f>IFERROR(__xludf.DUMMYFUNCTION("""COMPUTED_VALUE"""),"2607")</f>
        <v>2607</v>
      </c>
      <c r="H4245" s="17" t="str">
        <f>IFERROR(__xludf.DUMMYFUNCTION("""COMPUTED_VALUE"""),"іграшкові пістолети, арбалети та шаблі")</f>
        <v>іграшкові пістолети, арбалети та шаблі</v>
      </c>
      <c r="I4245" s="19">
        <f>IFERROR(__xludf.DUMMYFUNCTION("""COMPUTED_VALUE"""),0.0998)</f>
        <v>0.0998</v>
      </c>
      <c r="J4245" s="19">
        <f>IFERROR(__xludf.DUMMYFUNCTION("""COMPUTED_VALUE"""),0.1996)</f>
        <v>0.1996</v>
      </c>
      <c r="K4245" s="19">
        <f>IFERROR(__xludf.DUMMYFUNCTION("""COMPUTED_VALUE"""),0.2495)</f>
        <v>0.2495</v>
      </c>
      <c r="L4245" s="19">
        <f>IFERROR(__xludf.DUMMYFUNCTION("""COMPUTED_VALUE"""),0.2994)</f>
        <v>0.2994</v>
      </c>
      <c r="M4245" s="18">
        <f>IFERROR(__xludf.DUMMYFUNCTION("""COMPUTED_VALUE"""),1.53)</f>
        <v>1.53</v>
      </c>
    </row>
    <row r="4246">
      <c r="A4246" s="13" t="str">
        <f>IFERROR(__xludf.DUMMYFUNCTION("""COMPUTED_VALUE"""),"товари")</f>
        <v>товари</v>
      </c>
      <c r="B4246" s="16" t="str">
        <f>IFERROR(__xludf.DUMMYFUNCTION("""COMPUTED_VALUE"""),"товари для дітей")</f>
        <v>товари для дітей</v>
      </c>
      <c r="C4246" s="16" t="str">
        <f>IFERROR(__xludf.DUMMYFUNCTION("""COMPUTED_VALUE"""),"дитячі ігри")</f>
        <v>дитячі ігри</v>
      </c>
      <c r="D4246" s="16" t="str">
        <f>IFERROR(__xludf.DUMMYFUNCTION("""COMPUTED_VALUE"""),"ігрові майданчики та пісочниці")</f>
        <v>ігрові майданчики та пісочниці</v>
      </c>
      <c r="E4246" s="16" t="str">
        <f>IFERROR(__xludf.DUMMYFUNCTION("""COMPUTED_VALUE"""),"ігрові майданчики та пісочниці")</f>
        <v>ігрові майданчики та пісочниці</v>
      </c>
      <c r="F4246" s="17">
        <f>IFERROR(__xludf.DUMMYFUNCTION("""COMPUTED_VALUE"""),3.0)</f>
        <v>3</v>
      </c>
      <c r="G4246" s="17" t="str">
        <f>IFERROR(__xludf.DUMMYFUNCTION("""COMPUTED_VALUE"""),"12510")</f>
        <v>12510</v>
      </c>
      <c r="H4246" s="17" t="str">
        <f>IFERROR(__xludf.DUMMYFUNCTION("""COMPUTED_VALUE"""),"ігрові майданчики та пісочниці")</f>
        <v>ігрові майданчики та пісочниці</v>
      </c>
      <c r="I4246" s="19">
        <f>IFERROR(__xludf.DUMMYFUNCTION("""COMPUTED_VALUE"""),0.04)</f>
        <v>0.04</v>
      </c>
      <c r="J4246" s="19">
        <f>IFERROR(__xludf.DUMMYFUNCTION("""COMPUTED_VALUE"""),0.08)</f>
        <v>0.08</v>
      </c>
      <c r="K4246" s="19">
        <f>IFERROR(__xludf.DUMMYFUNCTION("""COMPUTED_VALUE"""),0.1)</f>
        <v>0.1</v>
      </c>
      <c r="L4246" s="19">
        <f>IFERROR(__xludf.DUMMYFUNCTION("""COMPUTED_VALUE"""),0.12)</f>
        <v>0.12</v>
      </c>
      <c r="M4246" s="18">
        <f>IFERROR(__xludf.DUMMYFUNCTION("""COMPUTED_VALUE"""),1.71)</f>
        <v>1.71</v>
      </c>
    </row>
    <row r="4247">
      <c r="A4247" s="13" t="str">
        <f>IFERROR(__xludf.DUMMYFUNCTION("""COMPUTED_VALUE"""),"товари")</f>
        <v>товари</v>
      </c>
      <c r="B4247" s="16" t="str">
        <f>IFERROR(__xludf.DUMMYFUNCTION("""COMPUTED_VALUE"""),"товари для дітей")</f>
        <v>товари для дітей</v>
      </c>
      <c r="C4247" s="16" t="str">
        <f>IFERROR(__xludf.DUMMYFUNCTION("""COMPUTED_VALUE"""),"іграшки")</f>
        <v>іграшки</v>
      </c>
      <c r="D4247" s="16" t="str">
        <f>IFERROR(__xludf.DUMMYFUNCTION("""COMPUTED_VALUE"""),"ігрові фігурки, роботи трансформери")</f>
        <v>ігрові фігурки, роботи трансформери</v>
      </c>
      <c r="E4247" s="16" t="str">
        <f>IFERROR(__xludf.DUMMYFUNCTION("""COMPUTED_VALUE"""),"ігрові фігурки, роботи трансформери")</f>
        <v>ігрові фігурки, роботи трансформери</v>
      </c>
      <c r="F4247" s="17">
        <f>IFERROR(__xludf.DUMMYFUNCTION("""COMPUTED_VALUE"""),3.0)</f>
        <v>3</v>
      </c>
      <c r="G4247" s="17" t="str">
        <f>IFERROR(__xludf.DUMMYFUNCTION("""COMPUTED_VALUE"""),"2638")</f>
        <v>2638</v>
      </c>
      <c r="H4247" s="17" t="str">
        <f>IFERROR(__xludf.DUMMYFUNCTION("""COMPUTED_VALUE"""),"ігрові фігурки, роботи трансформери")</f>
        <v>ігрові фігурки, роботи трансформери</v>
      </c>
      <c r="I4247" s="19">
        <f>IFERROR(__xludf.DUMMYFUNCTION("""COMPUTED_VALUE"""),0.0996)</f>
        <v>0.0996</v>
      </c>
      <c r="J4247" s="19">
        <f>IFERROR(__xludf.DUMMYFUNCTION("""COMPUTED_VALUE"""),0.1992)</f>
        <v>0.1992</v>
      </c>
      <c r="K4247" s="19">
        <f>IFERROR(__xludf.DUMMYFUNCTION("""COMPUTED_VALUE"""),0.249)</f>
        <v>0.249</v>
      </c>
      <c r="L4247" s="19">
        <f>IFERROR(__xludf.DUMMYFUNCTION("""COMPUTED_VALUE"""),0.2988)</f>
        <v>0.2988</v>
      </c>
      <c r="M4247" s="18">
        <f>IFERROR(__xludf.DUMMYFUNCTION("""COMPUTED_VALUE"""),1.26)</f>
        <v>1.26</v>
      </c>
    </row>
    <row r="4248">
      <c r="A4248" s="13" t="str">
        <f>IFERROR(__xludf.DUMMYFUNCTION("""COMPUTED_VALUE"""),"товари")</f>
        <v>товари</v>
      </c>
      <c r="B4248" s="16" t="str">
        <f>IFERROR(__xludf.DUMMYFUNCTION("""COMPUTED_VALUE"""),"товари для дітей")</f>
        <v>товари для дітей</v>
      </c>
      <c r="C4248" s="16" t="str">
        <f>IFERROR(__xludf.DUMMYFUNCTION("""COMPUTED_VALUE"""),"іграшки")</f>
        <v>іграшки</v>
      </c>
      <c r="D4248" s="16" t="str">
        <f>IFERROR(__xludf.DUMMYFUNCTION("""COMPUTED_VALUE"""),"інтерактивні дитячі іграшки")</f>
        <v>інтерактивні дитячі іграшки</v>
      </c>
      <c r="E4248" s="16" t="str">
        <f>IFERROR(__xludf.DUMMYFUNCTION("""COMPUTED_VALUE"""),"інтерактивні дитячі іграшки")</f>
        <v>інтерактивні дитячі іграшки</v>
      </c>
      <c r="F4248" s="17">
        <f>IFERROR(__xludf.DUMMYFUNCTION("""COMPUTED_VALUE"""),3.0)</f>
        <v>3</v>
      </c>
      <c r="G4248" s="17" t="str">
        <f>IFERROR(__xludf.DUMMYFUNCTION("""COMPUTED_VALUE"""),"2608")</f>
        <v>2608</v>
      </c>
      <c r="H4248" s="17" t="str">
        <f>IFERROR(__xludf.DUMMYFUNCTION("""COMPUTED_VALUE"""),"інтерактивні дитячі іграшки")</f>
        <v>інтерактивні дитячі іграшки</v>
      </c>
      <c r="I4248" s="19">
        <f>IFERROR(__xludf.DUMMYFUNCTION("""COMPUTED_VALUE"""),0.099)</f>
        <v>0.099</v>
      </c>
      <c r="J4248" s="19">
        <f>IFERROR(__xludf.DUMMYFUNCTION("""COMPUTED_VALUE"""),0.198)</f>
        <v>0.198</v>
      </c>
      <c r="K4248" s="19">
        <f>IFERROR(__xludf.DUMMYFUNCTION("""COMPUTED_VALUE"""),0.2475)</f>
        <v>0.2475</v>
      </c>
      <c r="L4248" s="19">
        <f>IFERROR(__xludf.DUMMYFUNCTION("""COMPUTED_VALUE"""),0.297)</f>
        <v>0.297</v>
      </c>
      <c r="M4248" s="18">
        <f>IFERROR(__xludf.DUMMYFUNCTION("""COMPUTED_VALUE"""),1.98)</f>
        <v>1.98</v>
      </c>
    </row>
    <row r="4249">
      <c r="A4249" s="13" t="str">
        <f>IFERROR(__xludf.DUMMYFUNCTION("""COMPUTED_VALUE"""),"товари")</f>
        <v>товари</v>
      </c>
      <c r="B4249" s="16" t="str">
        <f>IFERROR(__xludf.DUMMYFUNCTION("""COMPUTED_VALUE"""),"товари для дітей")</f>
        <v>товари для дітей</v>
      </c>
      <c r="C4249" s="16" t="str">
        <f>IFERROR(__xludf.DUMMYFUNCTION("""COMPUTED_VALUE"""),"канцтовари шкільні та дитячі")</f>
        <v>канцтовари шкільні та дитячі</v>
      </c>
      <c r="D4249" s="16" t="str">
        <f>IFERROR(__xludf.DUMMYFUNCTION("""COMPUTED_VALUE"""),"дитяча творчість та малювання")</f>
        <v>дитяча творчість та малювання</v>
      </c>
      <c r="E4249" s="16" t="str">
        <f>IFERROR(__xludf.DUMMYFUNCTION("""COMPUTED_VALUE"""),"канцелярська крейда ")</f>
        <v>канцелярська крейда </v>
      </c>
      <c r="F4249" s="17">
        <f>IFERROR(__xludf.DUMMYFUNCTION("""COMPUTED_VALUE"""),4.0)</f>
        <v>4</v>
      </c>
      <c r="G4249" s="17" t="str">
        <f>IFERROR(__xludf.DUMMYFUNCTION("""COMPUTED_VALUE"""),"211102")</f>
        <v>211102</v>
      </c>
      <c r="H4249" s="17" t="str">
        <f>IFERROR(__xludf.DUMMYFUNCTION("""COMPUTED_VALUE"""),"канцелярська крейда ")</f>
        <v>канцелярська крейда </v>
      </c>
      <c r="I4249" s="19">
        <f>IFERROR(__xludf.DUMMYFUNCTION("""COMPUTED_VALUE"""),0.0779)</f>
        <v>0.0779</v>
      </c>
      <c r="J4249" s="19">
        <f>IFERROR(__xludf.DUMMYFUNCTION("""COMPUTED_VALUE"""),0.1558)</f>
        <v>0.1558</v>
      </c>
      <c r="K4249" s="19">
        <f>IFERROR(__xludf.DUMMYFUNCTION("""COMPUTED_VALUE"""),0.1948)</f>
        <v>0.1948</v>
      </c>
      <c r="L4249" s="19">
        <f>IFERROR(__xludf.DUMMYFUNCTION("""COMPUTED_VALUE"""),0.2337)</f>
        <v>0.2337</v>
      </c>
      <c r="M4249" s="18">
        <f>IFERROR(__xludf.DUMMYFUNCTION("""COMPUTED_VALUE"""),2.79)</f>
        <v>2.79</v>
      </c>
    </row>
    <row r="4250">
      <c r="A4250" s="13" t="str">
        <f>IFERROR(__xludf.DUMMYFUNCTION("""COMPUTED_VALUE"""),"товари")</f>
        <v>товари</v>
      </c>
      <c r="B4250" s="16" t="str">
        <f>IFERROR(__xludf.DUMMYFUNCTION("""COMPUTED_VALUE"""),"товари для дітей")</f>
        <v>товари для дітей</v>
      </c>
      <c r="C4250" s="16" t="str">
        <f>IFERROR(__xludf.DUMMYFUNCTION("""COMPUTED_VALUE"""),"канцтовари шкільні та дитячі")</f>
        <v>канцтовари шкільні та дитячі</v>
      </c>
      <c r="D4250" s="16" t="str">
        <f>IFERROR(__xludf.DUMMYFUNCTION("""COMPUTED_VALUE"""),"канцтовари шкільні та дитячі, загальне")</f>
        <v>канцтовари шкільні та дитячі, загальне</v>
      </c>
      <c r="E4250" s="16" t="str">
        <f>IFERROR(__xludf.DUMMYFUNCTION("""COMPUTED_VALUE"""),"канцтовари шкільні та дитячі, загальне")</f>
        <v>канцтовари шкільні та дитячі, загальне</v>
      </c>
      <c r="F4250" s="17">
        <f>IFERROR(__xludf.DUMMYFUNCTION("""COMPUTED_VALUE"""),3.0)</f>
        <v>3</v>
      </c>
      <c r="G4250" s="17" t="str">
        <f>IFERROR(__xludf.DUMMYFUNCTION("""COMPUTED_VALUE"""),"15011903")</f>
        <v>15011903</v>
      </c>
      <c r="H4250" s="17" t="str">
        <f>IFERROR(__xludf.DUMMYFUNCTION("""COMPUTED_VALUE"""),"канцтовари шкільні та дитячі, загальне")</f>
        <v>канцтовари шкільні та дитячі, загальне</v>
      </c>
      <c r="I4250" s="19">
        <f>IFERROR(__xludf.DUMMYFUNCTION("""COMPUTED_VALUE"""),0.125)</f>
        <v>0.125</v>
      </c>
      <c r="J4250" s="19">
        <f>IFERROR(__xludf.DUMMYFUNCTION("""COMPUTED_VALUE"""),0.25)</f>
        <v>0.25</v>
      </c>
      <c r="K4250" s="19">
        <f>IFERROR(__xludf.DUMMYFUNCTION("""COMPUTED_VALUE"""),0.3125)</f>
        <v>0.3125</v>
      </c>
      <c r="L4250" s="19">
        <f>IFERROR(__xludf.DUMMYFUNCTION("""COMPUTED_VALUE"""),0.375)</f>
        <v>0.375</v>
      </c>
      <c r="M4250" s="18">
        <f>IFERROR(__xludf.DUMMYFUNCTION("""COMPUTED_VALUE"""),4.33)</f>
        <v>4.33</v>
      </c>
    </row>
    <row r="4251">
      <c r="A4251" s="13" t="str">
        <f>IFERROR(__xludf.DUMMYFUNCTION("""COMPUTED_VALUE"""),"товари")</f>
        <v>товари</v>
      </c>
      <c r="B4251" s="16" t="str">
        <f>IFERROR(__xludf.DUMMYFUNCTION("""COMPUTED_VALUE"""),"товари для дітей")</f>
        <v>товари для дітей</v>
      </c>
      <c r="C4251" s="16" t="str">
        <f>IFERROR(__xludf.DUMMYFUNCTION("""COMPUTED_VALUE"""),"дитячий текстиль")</f>
        <v>дитячий текстиль</v>
      </c>
      <c r="D4251" s="16" t="str">
        <f>IFERROR(__xludf.DUMMYFUNCTION("""COMPUTED_VALUE"""),"кишені на ліжечко")</f>
        <v>кишені на ліжечко</v>
      </c>
      <c r="E4251" s="16" t="str">
        <f>IFERROR(__xludf.DUMMYFUNCTION("""COMPUTED_VALUE"""),"кишені на ліжечко")</f>
        <v>кишені на ліжечко</v>
      </c>
      <c r="F4251" s="17">
        <f>IFERROR(__xludf.DUMMYFUNCTION("""COMPUTED_VALUE"""),3.0)</f>
        <v>3</v>
      </c>
      <c r="G4251" s="17" t="str">
        <f>IFERROR(__xludf.DUMMYFUNCTION("""COMPUTED_VALUE"""),"15011408")</f>
        <v>15011408</v>
      </c>
      <c r="H4251" s="17" t="str">
        <f>IFERROR(__xludf.DUMMYFUNCTION("""COMPUTED_VALUE"""),"кишені на ліжечко")</f>
        <v>кишені на ліжечко</v>
      </c>
      <c r="I4251" s="19">
        <f>IFERROR(__xludf.DUMMYFUNCTION("""COMPUTED_VALUE"""),0.078)</f>
        <v>0.078</v>
      </c>
      <c r="J4251" s="19">
        <f>IFERROR(__xludf.DUMMYFUNCTION("""COMPUTED_VALUE"""),0.1559)</f>
        <v>0.1559</v>
      </c>
      <c r="K4251" s="19">
        <f>IFERROR(__xludf.DUMMYFUNCTION("""COMPUTED_VALUE"""),0.1949)</f>
        <v>0.1949</v>
      </c>
      <c r="L4251" s="19">
        <f>IFERROR(__xludf.DUMMYFUNCTION("""COMPUTED_VALUE"""),0.2339)</f>
        <v>0.2339</v>
      </c>
      <c r="M4251" s="18">
        <f>IFERROR(__xludf.DUMMYFUNCTION("""COMPUTED_VALUE"""),1.05)</f>
        <v>1.05</v>
      </c>
    </row>
    <row r="4252">
      <c r="A4252" s="13" t="str">
        <f>IFERROR(__xludf.DUMMYFUNCTION("""COMPUTED_VALUE"""),"товари")</f>
        <v>товари</v>
      </c>
      <c r="B4252" s="16" t="str">
        <f>IFERROR(__xludf.DUMMYFUNCTION("""COMPUTED_VALUE"""),"товари для дітей")</f>
        <v>товари для дітей</v>
      </c>
      <c r="C4252" s="16" t="str">
        <f>IFERROR(__xludf.DUMMYFUNCTION("""COMPUTED_VALUE"""),"книги для дітей")</f>
        <v>книги для дітей</v>
      </c>
      <c r="D4252" s="16" t="str">
        <f>IFERROR(__xludf.DUMMYFUNCTION("""COMPUTED_VALUE"""),"книги для найменших")</f>
        <v>книги для найменших</v>
      </c>
      <c r="E4252" s="16" t="str">
        <f>IFERROR(__xludf.DUMMYFUNCTION("""COMPUTED_VALUE"""),"книги для найменших")</f>
        <v>книги для найменших</v>
      </c>
      <c r="F4252" s="17">
        <f>IFERROR(__xludf.DUMMYFUNCTION("""COMPUTED_VALUE"""),3.0)</f>
        <v>3</v>
      </c>
      <c r="G4252" s="17" t="str">
        <f>IFERROR(__xludf.DUMMYFUNCTION("""COMPUTED_VALUE"""),"15011803")</f>
        <v>15011803</v>
      </c>
      <c r="H4252" s="17" t="str">
        <f>IFERROR(__xludf.DUMMYFUNCTION("""COMPUTED_VALUE"""),"книги для найменших")</f>
        <v>книги для найменших</v>
      </c>
      <c r="I4252" s="19">
        <f>IFERROR(__xludf.DUMMYFUNCTION("""COMPUTED_VALUE"""),0.0739)</f>
        <v>0.0739</v>
      </c>
      <c r="J4252" s="19">
        <f>IFERROR(__xludf.DUMMYFUNCTION("""COMPUTED_VALUE"""),0.1478)</f>
        <v>0.1478</v>
      </c>
      <c r="K4252" s="19">
        <f>IFERROR(__xludf.DUMMYFUNCTION("""COMPUTED_VALUE"""),0.1848)</f>
        <v>0.1848</v>
      </c>
      <c r="L4252" s="19">
        <f>IFERROR(__xludf.DUMMYFUNCTION("""COMPUTED_VALUE"""),0.2217)</f>
        <v>0.2217</v>
      </c>
      <c r="M4252" s="18">
        <f>IFERROR(__xludf.DUMMYFUNCTION("""COMPUTED_VALUE"""),1.05)</f>
        <v>1.05</v>
      </c>
    </row>
    <row r="4253">
      <c r="A4253" s="13" t="str">
        <f>IFERROR(__xludf.DUMMYFUNCTION("""COMPUTED_VALUE"""),"товари")</f>
        <v>товари</v>
      </c>
      <c r="B4253" s="16" t="str">
        <f>IFERROR(__xludf.DUMMYFUNCTION("""COMPUTED_VALUE"""),"товари для дітей")</f>
        <v>товари для дітей</v>
      </c>
      <c r="C4253" s="16" t="str">
        <f>IFERROR(__xludf.DUMMYFUNCTION("""COMPUTED_VALUE"""),"канцтовари шкільні та дитячі")</f>
        <v>канцтовари шкільні та дитячі</v>
      </c>
      <c r="D4253" s="16" t="str">
        <f>IFERROR(__xludf.DUMMYFUNCTION("""COMPUTED_VALUE"""),"дитяча творчість та малювання")</f>
        <v>дитяча творчість та малювання</v>
      </c>
      <c r="E4253" s="16" t="str">
        <f>IFERROR(__xludf.DUMMYFUNCTION("""COMPUTED_VALUE"""),"кольоровий папір та картон")</f>
        <v>кольоровий папір та картон</v>
      </c>
      <c r="F4253" s="17">
        <f>IFERROR(__xludf.DUMMYFUNCTION("""COMPUTED_VALUE"""),4.0)</f>
        <v>4</v>
      </c>
      <c r="G4253" s="17" t="str">
        <f>IFERROR(__xludf.DUMMYFUNCTION("""COMPUTED_VALUE"""),"15011905")</f>
        <v>15011905</v>
      </c>
      <c r="H4253" s="17" t="str">
        <f>IFERROR(__xludf.DUMMYFUNCTION("""COMPUTED_VALUE"""),"кольоровий папір та картон")</f>
        <v>кольоровий папір та картон</v>
      </c>
      <c r="I4253" s="19">
        <f>IFERROR(__xludf.DUMMYFUNCTION("""COMPUTED_VALUE"""),0.0776)</f>
        <v>0.0776</v>
      </c>
      <c r="J4253" s="19">
        <f>IFERROR(__xludf.DUMMYFUNCTION("""COMPUTED_VALUE"""),0.1552)</f>
        <v>0.1552</v>
      </c>
      <c r="K4253" s="19">
        <f>IFERROR(__xludf.DUMMYFUNCTION("""COMPUTED_VALUE"""),0.194)</f>
        <v>0.194</v>
      </c>
      <c r="L4253" s="19">
        <f>IFERROR(__xludf.DUMMYFUNCTION("""COMPUTED_VALUE"""),0.2328)</f>
        <v>0.2328</v>
      </c>
      <c r="M4253" s="18">
        <f>IFERROR(__xludf.DUMMYFUNCTION("""COMPUTED_VALUE"""),2.79)</f>
        <v>2.79</v>
      </c>
    </row>
    <row r="4254">
      <c r="A4254" s="13" t="str">
        <f>IFERROR(__xludf.DUMMYFUNCTION("""COMPUTED_VALUE"""),"товари")</f>
        <v>товари</v>
      </c>
      <c r="B4254" s="16" t="str">
        <f>IFERROR(__xludf.DUMMYFUNCTION("""COMPUTED_VALUE"""),"товари для дітей")</f>
        <v>товари для дітей</v>
      </c>
      <c r="C4254" s="16" t="str">
        <f>IFERROR(__xludf.DUMMYFUNCTION("""COMPUTED_VALUE"""),"іграшки")</f>
        <v>іграшки</v>
      </c>
      <c r="D4254" s="16" t="str">
        <f>IFERROR(__xludf.DUMMYFUNCTION("""COMPUTED_VALUE"""),"коляски для ляльок та пупсів")</f>
        <v>коляски для ляльок та пупсів</v>
      </c>
      <c r="E4254" s="16" t="str">
        <f>IFERROR(__xludf.DUMMYFUNCTION("""COMPUTED_VALUE"""),"коляски для ляльок та пупсів")</f>
        <v>коляски для ляльок та пупсів</v>
      </c>
      <c r="F4254" s="17">
        <f>IFERROR(__xludf.DUMMYFUNCTION("""COMPUTED_VALUE"""),3.0)</f>
        <v>3</v>
      </c>
      <c r="G4254" s="17" t="str">
        <f>IFERROR(__xludf.DUMMYFUNCTION("""COMPUTED_VALUE"""),"2623")</f>
        <v>2623</v>
      </c>
      <c r="H4254" s="17" t="str">
        <f>IFERROR(__xludf.DUMMYFUNCTION("""COMPUTED_VALUE"""),"коляски для ляльок та пупсів")</f>
        <v>коляски для ляльок та пупсів</v>
      </c>
      <c r="I4254" s="19">
        <f>IFERROR(__xludf.DUMMYFUNCTION("""COMPUTED_VALUE"""),0.0616)</f>
        <v>0.0616</v>
      </c>
      <c r="J4254" s="19">
        <f>IFERROR(__xludf.DUMMYFUNCTION("""COMPUTED_VALUE"""),0.1232)</f>
        <v>0.1232</v>
      </c>
      <c r="K4254" s="19">
        <f>IFERROR(__xludf.DUMMYFUNCTION("""COMPUTED_VALUE"""),0.154)</f>
        <v>0.154</v>
      </c>
      <c r="L4254" s="19">
        <f>IFERROR(__xludf.DUMMYFUNCTION("""COMPUTED_VALUE"""),0.1848)</f>
        <v>0.1848</v>
      </c>
      <c r="M4254" s="18">
        <f>IFERROR(__xludf.DUMMYFUNCTION("""COMPUTED_VALUE"""),2.79)</f>
        <v>2.79</v>
      </c>
    </row>
    <row r="4255">
      <c r="A4255" s="13" t="str">
        <f>IFERROR(__xludf.DUMMYFUNCTION("""COMPUTED_VALUE"""),"товари")</f>
        <v>товари</v>
      </c>
      <c r="B4255" s="16" t="str">
        <f>IFERROR(__xludf.DUMMYFUNCTION("""COMPUTED_VALUE"""),"товари для дітей")</f>
        <v>товари для дітей</v>
      </c>
      <c r="C4255" s="16" t="str">
        <f>IFERROR(__xludf.DUMMYFUNCTION("""COMPUTED_VALUE"""),"дитячий текстиль")</f>
        <v>дитячий текстиль</v>
      </c>
      <c r="D4255" s="16" t="str">
        <f>IFERROR(__xludf.DUMMYFUNCTION("""COMPUTED_VALUE"""),"комплекти в дитяче ліжечко")</f>
        <v>комплекти в дитяче ліжечко</v>
      </c>
      <c r="E4255" s="16" t="str">
        <f>IFERROR(__xludf.DUMMYFUNCTION("""COMPUTED_VALUE"""),"комплекти в дитяче ліжечко")</f>
        <v>комплекти в дитяче ліжечко</v>
      </c>
      <c r="F4255" s="17">
        <f>IFERROR(__xludf.DUMMYFUNCTION("""COMPUTED_VALUE"""),3.0)</f>
        <v>3</v>
      </c>
      <c r="G4255" s="17" t="str">
        <f>IFERROR(__xludf.DUMMYFUNCTION("""COMPUTED_VALUE"""),"15011409")</f>
        <v>15011409</v>
      </c>
      <c r="H4255" s="17" t="str">
        <f>IFERROR(__xludf.DUMMYFUNCTION("""COMPUTED_VALUE"""),"комплекти в дитяче ліжечко")</f>
        <v>комплекти в дитяче ліжечко</v>
      </c>
      <c r="I4255" s="19">
        <f>IFERROR(__xludf.DUMMYFUNCTION("""COMPUTED_VALUE"""),0.0755)</f>
        <v>0.0755</v>
      </c>
      <c r="J4255" s="19">
        <f>IFERROR(__xludf.DUMMYFUNCTION("""COMPUTED_VALUE"""),0.151)</f>
        <v>0.151</v>
      </c>
      <c r="K4255" s="19">
        <f>IFERROR(__xludf.DUMMYFUNCTION("""COMPUTED_VALUE"""),0.1888)</f>
        <v>0.1888</v>
      </c>
      <c r="L4255" s="19">
        <f>IFERROR(__xludf.DUMMYFUNCTION("""COMPUTED_VALUE"""),0.2265)</f>
        <v>0.2265</v>
      </c>
      <c r="M4255" s="18">
        <f>IFERROR(__xludf.DUMMYFUNCTION("""COMPUTED_VALUE"""),1.98)</f>
        <v>1.98</v>
      </c>
    </row>
    <row r="4256">
      <c r="A4256" s="13" t="str">
        <f>IFERROR(__xludf.DUMMYFUNCTION("""COMPUTED_VALUE"""),"товари")</f>
        <v>товари</v>
      </c>
      <c r="B4256" s="16" t="str">
        <f>IFERROR(__xludf.DUMMYFUNCTION("""COMPUTED_VALUE"""),"товари для дітей")</f>
        <v>товари для дітей</v>
      </c>
      <c r="C4256" s="16" t="str">
        <f>IFERROR(__xludf.DUMMYFUNCTION("""COMPUTED_VALUE"""),"дитячі меблі")</f>
        <v>дитячі меблі</v>
      </c>
      <c r="D4256" s="16" t="str">
        <f>IFERROR(__xludf.DUMMYFUNCTION("""COMPUTED_VALUE"""),"комплекти дитячих та підліткових меблів")</f>
        <v>комплекти дитячих та підліткових меблів</v>
      </c>
      <c r="E4256" s="16" t="str">
        <f>IFERROR(__xludf.DUMMYFUNCTION("""COMPUTED_VALUE"""),"комплекти дитячих та підліткових меблів")</f>
        <v>комплекти дитячих та підліткових меблів</v>
      </c>
      <c r="F4256" s="17">
        <f>IFERROR(__xludf.DUMMYFUNCTION("""COMPUTED_VALUE"""),3.0)</f>
        <v>3</v>
      </c>
      <c r="G4256" s="17" t="str">
        <f>IFERROR(__xludf.DUMMYFUNCTION("""COMPUTED_VALUE"""),"371309")</f>
        <v>371309</v>
      </c>
      <c r="H4256" s="17" t="str">
        <f>IFERROR(__xludf.DUMMYFUNCTION("""COMPUTED_VALUE"""),"комплекти дитячих та підліткових меблів")</f>
        <v>комплекти дитячих та підліткових меблів</v>
      </c>
      <c r="I4256" s="19">
        <f>IFERROR(__xludf.DUMMYFUNCTION("""COMPUTED_VALUE"""),0.0678)</f>
        <v>0.0678</v>
      </c>
      <c r="J4256" s="19">
        <f>IFERROR(__xludf.DUMMYFUNCTION("""COMPUTED_VALUE"""),0.1355)</f>
        <v>0.1355</v>
      </c>
      <c r="K4256" s="19">
        <f>IFERROR(__xludf.DUMMYFUNCTION("""COMPUTED_VALUE"""),0.1694)</f>
        <v>0.1694</v>
      </c>
      <c r="L4256" s="19">
        <f>IFERROR(__xludf.DUMMYFUNCTION("""COMPUTED_VALUE"""),0.2033)</f>
        <v>0.2033</v>
      </c>
      <c r="M4256" s="18">
        <f>IFERROR(__xludf.DUMMYFUNCTION("""COMPUTED_VALUE"""),3.06)</f>
        <v>3.06</v>
      </c>
    </row>
    <row r="4257">
      <c r="A4257" s="13" t="str">
        <f>IFERROR(__xludf.DUMMYFUNCTION("""COMPUTED_VALUE"""),"товари")</f>
        <v>товари</v>
      </c>
      <c r="B4257" s="16" t="str">
        <f>IFERROR(__xludf.DUMMYFUNCTION("""COMPUTED_VALUE"""),"товари для дітей")</f>
        <v>товари для дітей</v>
      </c>
      <c r="C4257" s="16" t="str">
        <f>IFERROR(__xludf.DUMMYFUNCTION("""COMPUTED_VALUE"""),"дитячі меблі")</f>
        <v>дитячі меблі</v>
      </c>
      <c r="D4257" s="16" t="str">
        <f>IFERROR(__xludf.DUMMYFUNCTION("""COMPUTED_VALUE"""),"комплектуючі для дитячих меблів")</f>
        <v>комплектуючі для дитячих меблів</v>
      </c>
      <c r="E4257" s="16" t="str">
        <f>IFERROR(__xludf.DUMMYFUNCTION("""COMPUTED_VALUE"""),"комплектуючі для дитячих меблів")</f>
        <v>комплектуючі для дитячих меблів</v>
      </c>
      <c r="F4257" s="17">
        <f>IFERROR(__xludf.DUMMYFUNCTION("""COMPUTED_VALUE"""),3.0)</f>
        <v>3</v>
      </c>
      <c r="G4257" s="17" t="str">
        <f>IFERROR(__xludf.DUMMYFUNCTION("""COMPUTED_VALUE"""),"371321")</f>
        <v>371321</v>
      </c>
      <c r="H4257" s="17" t="str">
        <f>IFERROR(__xludf.DUMMYFUNCTION("""COMPUTED_VALUE"""),"комплектуючі для дитячих меблів")</f>
        <v>комплектуючі для дитячих меблів</v>
      </c>
      <c r="I4257" s="19">
        <f>IFERROR(__xludf.DUMMYFUNCTION("""COMPUTED_VALUE"""),0.067)</f>
        <v>0.067</v>
      </c>
      <c r="J4257" s="19">
        <f>IFERROR(__xludf.DUMMYFUNCTION("""COMPUTED_VALUE"""),0.134)</f>
        <v>0.134</v>
      </c>
      <c r="K4257" s="19">
        <f>IFERROR(__xludf.DUMMYFUNCTION("""COMPUTED_VALUE"""),0.1675)</f>
        <v>0.1675</v>
      </c>
      <c r="L4257" s="19">
        <f>IFERROR(__xludf.DUMMYFUNCTION("""COMPUTED_VALUE"""),0.201)</f>
        <v>0.201</v>
      </c>
      <c r="M4257" s="18">
        <f>IFERROR(__xludf.DUMMYFUNCTION("""COMPUTED_VALUE"""),1.05)</f>
        <v>1.05</v>
      </c>
    </row>
    <row r="4258">
      <c r="A4258" s="13" t="str">
        <f>IFERROR(__xludf.DUMMYFUNCTION("""COMPUTED_VALUE"""),"товари")</f>
        <v>товари</v>
      </c>
      <c r="B4258" s="16" t="str">
        <f>IFERROR(__xludf.DUMMYFUNCTION("""COMPUTED_VALUE"""),"товари для дітей")</f>
        <v>товари для дітей</v>
      </c>
      <c r="C4258" s="16" t="str">
        <f>IFERROR(__xludf.DUMMYFUNCTION("""COMPUTED_VALUE"""),"іграшки")</f>
        <v>іграшки</v>
      </c>
      <c r="D4258" s="16" t="str">
        <f>IFERROR(__xludf.DUMMYFUNCTION("""COMPUTED_VALUE"""),"комплектуючі для радіокерованих іграшок та моделей")</f>
        <v>комплектуючі для радіокерованих іграшок та моделей</v>
      </c>
      <c r="E4258" s="16" t="str">
        <f>IFERROR(__xludf.DUMMYFUNCTION("""COMPUTED_VALUE"""),"комплектуючі для радіокерованих іграшок та моделей")</f>
        <v>комплектуючі для радіокерованих іграшок та моделей</v>
      </c>
      <c r="F4258" s="17">
        <f>IFERROR(__xludf.DUMMYFUNCTION("""COMPUTED_VALUE"""),3.0)</f>
        <v>3</v>
      </c>
      <c r="G4258" s="17" t="str">
        <f>IFERROR(__xludf.DUMMYFUNCTION("""COMPUTED_VALUE"""),"2617")</f>
        <v>2617</v>
      </c>
      <c r="H4258" s="17" t="str">
        <f>IFERROR(__xludf.DUMMYFUNCTION("""COMPUTED_VALUE"""),"комплектуючі для радіокерованих іграшок та моделей")</f>
        <v>комплектуючі для радіокерованих іграшок та моделей</v>
      </c>
      <c r="I4258" s="19">
        <f>IFERROR(__xludf.DUMMYFUNCTION("""COMPUTED_VALUE"""),0.0517)</f>
        <v>0.0517</v>
      </c>
      <c r="J4258" s="19">
        <f>IFERROR(__xludf.DUMMYFUNCTION("""COMPUTED_VALUE"""),0.1033)</f>
        <v>0.1033</v>
      </c>
      <c r="K4258" s="19">
        <f>IFERROR(__xludf.DUMMYFUNCTION("""COMPUTED_VALUE"""),0.1291)</f>
        <v>0.1291</v>
      </c>
      <c r="L4258" s="19">
        <f>IFERROR(__xludf.DUMMYFUNCTION("""COMPUTED_VALUE"""),0.155)</f>
        <v>0.155</v>
      </c>
      <c r="M4258" s="18">
        <f>IFERROR(__xludf.DUMMYFUNCTION("""COMPUTED_VALUE"""),1.05)</f>
        <v>1.05</v>
      </c>
    </row>
    <row r="4259">
      <c r="A4259" s="13" t="str">
        <f>IFERROR(__xludf.DUMMYFUNCTION("""COMPUTED_VALUE"""),"товари")</f>
        <v>товари</v>
      </c>
      <c r="B4259" s="16" t="str">
        <f>IFERROR(__xludf.DUMMYFUNCTION("""COMPUTED_VALUE"""),"товари для дітей")</f>
        <v>товари для дітей</v>
      </c>
      <c r="C4259" s="16" t="str">
        <f>IFERROR(__xludf.DUMMYFUNCTION("""COMPUTED_VALUE"""),"іграшки")</f>
        <v>іграшки</v>
      </c>
      <c r="D4259" s="16" t="str">
        <f>IFERROR(__xludf.DUMMYFUNCTION("""COMPUTED_VALUE"""),"комплектуючі та аксесуари для іграшок")</f>
        <v>комплектуючі та аксесуари для іграшок</v>
      </c>
      <c r="E4259" s="16" t="str">
        <f>IFERROR(__xludf.DUMMYFUNCTION("""COMPUTED_VALUE"""),"комплектуючі та аксесуари для іграшок")</f>
        <v>комплектуючі та аксесуари для іграшок</v>
      </c>
      <c r="F4259" s="17">
        <f>IFERROR(__xludf.DUMMYFUNCTION("""COMPUTED_VALUE"""),3.0)</f>
        <v>3</v>
      </c>
      <c r="G4259" s="17" t="str">
        <f>IFERROR(__xludf.DUMMYFUNCTION("""COMPUTED_VALUE"""),"2641")</f>
        <v>2641</v>
      </c>
      <c r="H4259" s="17" t="str">
        <f>IFERROR(__xludf.DUMMYFUNCTION("""COMPUTED_VALUE"""),"комплектуючі та аксесуари для іграшок")</f>
        <v>комплектуючі та аксесуари для іграшок</v>
      </c>
      <c r="I4259" s="19">
        <f>IFERROR(__xludf.DUMMYFUNCTION("""COMPUTED_VALUE"""),0.0779)</f>
        <v>0.0779</v>
      </c>
      <c r="J4259" s="19">
        <f>IFERROR(__xludf.DUMMYFUNCTION("""COMPUTED_VALUE"""),0.1558)</f>
        <v>0.1558</v>
      </c>
      <c r="K4259" s="19">
        <f>IFERROR(__xludf.DUMMYFUNCTION("""COMPUTED_VALUE"""),0.1948)</f>
        <v>0.1948</v>
      </c>
      <c r="L4259" s="19">
        <f>IFERROR(__xludf.DUMMYFUNCTION("""COMPUTED_VALUE"""),0.2337)</f>
        <v>0.2337</v>
      </c>
      <c r="M4259" s="18">
        <f>IFERROR(__xludf.DUMMYFUNCTION("""COMPUTED_VALUE"""),1.05)</f>
        <v>1.05</v>
      </c>
    </row>
    <row r="4260">
      <c r="A4260" s="13" t="str">
        <f>IFERROR(__xludf.DUMMYFUNCTION("""COMPUTED_VALUE"""),"товари")</f>
        <v>товари</v>
      </c>
      <c r="B4260" s="16" t="str">
        <f>IFERROR(__xludf.DUMMYFUNCTION("""COMPUTED_VALUE"""),"товари для дітей")</f>
        <v>товари для дітей</v>
      </c>
      <c r="C4260" s="16" t="str">
        <f>IFERROR(__xludf.DUMMYFUNCTION("""COMPUTED_VALUE"""),"іграшки")</f>
        <v>іграшки</v>
      </c>
      <c r="D4260" s="16" t="str">
        <f>IFERROR(__xludf.DUMMYFUNCTION("""COMPUTED_VALUE"""),"конструктори")</f>
        <v>конструктори</v>
      </c>
      <c r="E4260" s="16" t="str">
        <f>IFERROR(__xludf.DUMMYFUNCTION("""COMPUTED_VALUE"""),"конструктори")</f>
        <v>конструктори</v>
      </c>
      <c r="F4260" s="17">
        <f>IFERROR(__xludf.DUMMYFUNCTION("""COMPUTED_VALUE"""),3.0)</f>
        <v>3</v>
      </c>
      <c r="G4260" s="17" t="str">
        <f>IFERROR(__xludf.DUMMYFUNCTION("""COMPUTED_VALUE"""),"2614")</f>
        <v>2614</v>
      </c>
      <c r="H4260" s="17" t="str">
        <f>IFERROR(__xludf.DUMMYFUNCTION("""COMPUTED_VALUE"""),"конструктори")</f>
        <v>конструктори</v>
      </c>
      <c r="I4260" s="19">
        <f>IFERROR(__xludf.DUMMYFUNCTION("""COMPUTED_VALUE"""),0.0984)</f>
        <v>0.0984</v>
      </c>
      <c r="J4260" s="19">
        <f>IFERROR(__xludf.DUMMYFUNCTION("""COMPUTED_VALUE"""),0.1967)</f>
        <v>0.1967</v>
      </c>
      <c r="K4260" s="19">
        <f>IFERROR(__xludf.DUMMYFUNCTION("""COMPUTED_VALUE"""),0.2459)</f>
        <v>0.2459</v>
      </c>
      <c r="L4260" s="19">
        <f>IFERROR(__xludf.DUMMYFUNCTION("""COMPUTED_VALUE"""),0.2951)</f>
        <v>0.2951</v>
      </c>
      <c r="M4260" s="18">
        <f>IFERROR(__xludf.DUMMYFUNCTION("""COMPUTED_VALUE"""),2.08)</f>
        <v>2.08</v>
      </c>
    </row>
    <row r="4261">
      <c r="A4261" s="13" t="str">
        <f>IFERROR(__xludf.DUMMYFUNCTION("""COMPUTED_VALUE"""),"товари")</f>
        <v>товари</v>
      </c>
      <c r="B4261" s="16" t="str">
        <f>IFERROR(__xludf.DUMMYFUNCTION("""COMPUTED_VALUE"""),"товари для дітей")</f>
        <v>товари для дітей</v>
      </c>
      <c r="C4261" s="16" t="str">
        <f>IFERROR(__xludf.DUMMYFUNCTION("""COMPUTED_VALUE"""),"дитячий транспорт та автокрісла")</f>
        <v>дитячий транспорт та автокрісла</v>
      </c>
      <c r="D4261" s="16" t="str">
        <f>IFERROR(__xludf.DUMMYFUNCTION("""COMPUTED_VALUE"""),"кріплення та аксесуари для дитячих автокрісел")</f>
        <v>кріплення та аксесуари для дитячих автокрісел</v>
      </c>
      <c r="E4261" s="16" t="str">
        <f>IFERROR(__xludf.DUMMYFUNCTION("""COMPUTED_VALUE"""),"кріплення та аксесуари для дитячих автокрісел")</f>
        <v>кріплення та аксесуари для дитячих автокрісел</v>
      </c>
      <c r="F4261" s="17">
        <f>IFERROR(__xludf.DUMMYFUNCTION("""COMPUTED_VALUE"""),3.0)</f>
        <v>3</v>
      </c>
      <c r="G4261" s="17" t="str">
        <f>IFERROR(__xludf.DUMMYFUNCTION("""COMPUTED_VALUE"""),"150112")</f>
        <v>150112</v>
      </c>
      <c r="H4261" s="17" t="str">
        <f>IFERROR(__xludf.DUMMYFUNCTION("""COMPUTED_VALUE"""),"кріплення та аксесуари для дитячих автокрісел")</f>
        <v>кріплення та аксесуари для дитячих автокрісел</v>
      </c>
      <c r="I4261" s="19">
        <f>IFERROR(__xludf.DUMMYFUNCTION("""COMPUTED_VALUE"""),0.0572)</f>
        <v>0.0572</v>
      </c>
      <c r="J4261" s="19">
        <f>IFERROR(__xludf.DUMMYFUNCTION("""COMPUTED_VALUE"""),0.1144)</f>
        <v>0.1144</v>
      </c>
      <c r="K4261" s="19">
        <f>IFERROR(__xludf.DUMMYFUNCTION("""COMPUTED_VALUE"""),0.143)</f>
        <v>0.143</v>
      </c>
      <c r="L4261" s="19">
        <f>IFERROR(__xludf.DUMMYFUNCTION("""COMPUTED_VALUE"""),0.1716)</f>
        <v>0.1716</v>
      </c>
      <c r="M4261" s="18">
        <f>IFERROR(__xludf.DUMMYFUNCTION("""COMPUTED_VALUE"""),1.26)</f>
        <v>1.26</v>
      </c>
    </row>
    <row r="4262">
      <c r="A4262" s="13" t="str">
        <f>IFERROR(__xludf.DUMMYFUNCTION("""COMPUTED_VALUE"""),"товари")</f>
        <v>товари</v>
      </c>
      <c r="B4262" s="16" t="str">
        <f>IFERROR(__xludf.DUMMYFUNCTION("""COMPUTED_VALUE"""),"товари для дітей")</f>
        <v>товари для дітей</v>
      </c>
      <c r="C4262" s="16" t="str">
        <f>IFERROR(__xludf.DUMMYFUNCTION("""COMPUTED_VALUE"""),"гігієна та догляд за дітьми")</f>
        <v>гігієна та догляд за дітьми</v>
      </c>
      <c r="D4262" s="16" t="str">
        <f>IFERROR(__xludf.DUMMYFUNCTION("""COMPUTED_VALUE"""),"круги для купання немовлят")</f>
        <v>круги для купання немовлят</v>
      </c>
      <c r="E4262" s="16" t="str">
        <f>IFERROR(__xludf.DUMMYFUNCTION("""COMPUTED_VALUE"""),"круги для купання немовлят")</f>
        <v>круги для купання немовлят</v>
      </c>
      <c r="F4262" s="17">
        <f>IFERROR(__xludf.DUMMYFUNCTION("""COMPUTED_VALUE"""),3.0)</f>
        <v>3</v>
      </c>
      <c r="G4262" s="17" t="str">
        <f>IFERROR(__xludf.DUMMYFUNCTION("""COMPUTED_VALUE"""),"15010507")</f>
        <v>15010507</v>
      </c>
      <c r="H4262" s="17" t="str">
        <f>IFERROR(__xludf.DUMMYFUNCTION("""COMPUTED_VALUE"""),"круги для купання немовлят")</f>
        <v>круги для купання немовлят</v>
      </c>
      <c r="I4262" s="19">
        <f>IFERROR(__xludf.DUMMYFUNCTION("""COMPUTED_VALUE"""),0.0639)</f>
        <v>0.0639</v>
      </c>
      <c r="J4262" s="19">
        <f>IFERROR(__xludf.DUMMYFUNCTION("""COMPUTED_VALUE"""),0.1278)</f>
        <v>0.1278</v>
      </c>
      <c r="K4262" s="19">
        <f>IFERROR(__xludf.DUMMYFUNCTION("""COMPUTED_VALUE"""),0.1598)</f>
        <v>0.1598</v>
      </c>
      <c r="L4262" s="19">
        <f>IFERROR(__xludf.DUMMYFUNCTION("""COMPUTED_VALUE"""),0.1917)</f>
        <v>0.1917</v>
      </c>
      <c r="M4262" s="18">
        <f>IFERROR(__xludf.DUMMYFUNCTION("""COMPUTED_VALUE"""),1.05)</f>
        <v>1.05</v>
      </c>
    </row>
    <row r="4263">
      <c r="A4263" s="13" t="str">
        <f>IFERROR(__xludf.DUMMYFUNCTION("""COMPUTED_VALUE"""),"товари")</f>
        <v>товари</v>
      </c>
      <c r="B4263" s="16" t="str">
        <f>IFERROR(__xludf.DUMMYFUNCTION("""COMPUTED_VALUE"""),"товари для дітей")</f>
        <v>товари для дітей</v>
      </c>
      <c r="C4263" s="16" t="str">
        <f>IFERROR(__xludf.DUMMYFUNCTION("""COMPUTED_VALUE"""),"дитячі меблі")</f>
        <v>дитячі меблі</v>
      </c>
      <c r="D4263" s="16" t="str">
        <f>IFERROR(__xludf.DUMMYFUNCTION("""COMPUTED_VALUE"""),"ліжечка для новонароджених")</f>
        <v>ліжечка для новонароджених</v>
      </c>
      <c r="E4263" s="16" t="str">
        <f>IFERROR(__xludf.DUMMYFUNCTION("""COMPUTED_VALUE"""),"ліжечка для новонароджених")</f>
        <v>ліжечка для новонароджених</v>
      </c>
      <c r="F4263" s="17">
        <f>IFERROR(__xludf.DUMMYFUNCTION("""COMPUTED_VALUE"""),3.0)</f>
        <v>3</v>
      </c>
      <c r="G4263" s="17" t="str">
        <f>IFERROR(__xludf.DUMMYFUNCTION("""COMPUTED_VALUE"""),"15010302")</f>
        <v>15010302</v>
      </c>
      <c r="H4263" s="17" t="str">
        <f>IFERROR(__xludf.DUMMYFUNCTION("""COMPUTED_VALUE"""),"ліжечка для новонароджених")</f>
        <v>ліжечка для новонароджених</v>
      </c>
      <c r="I4263" s="19">
        <f>IFERROR(__xludf.DUMMYFUNCTION("""COMPUTED_VALUE"""),0.0688)</f>
        <v>0.0688</v>
      </c>
      <c r="J4263" s="19">
        <f>IFERROR(__xludf.DUMMYFUNCTION("""COMPUTED_VALUE"""),0.1375)</f>
        <v>0.1375</v>
      </c>
      <c r="K4263" s="19">
        <f>IFERROR(__xludf.DUMMYFUNCTION("""COMPUTED_VALUE"""),0.1719)</f>
        <v>0.1719</v>
      </c>
      <c r="L4263" s="19">
        <f>IFERROR(__xludf.DUMMYFUNCTION("""COMPUTED_VALUE"""),0.2063)</f>
        <v>0.2063</v>
      </c>
      <c r="M4263" s="18">
        <f>IFERROR(__xludf.DUMMYFUNCTION("""COMPUTED_VALUE"""),3.98)</f>
        <v>3.98</v>
      </c>
    </row>
    <row r="4264">
      <c r="A4264" s="13" t="str">
        <f>IFERROR(__xludf.DUMMYFUNCTION("""COMPUTED_VALUE"""),"товари")</f>
        <v>товари</v>
      </c>
      <c r="B4264" s="16" t="str">
        <f>IFERROR(__xludf.DUMMYFUNCTION("""COMPUTED_VALUE"""),"товари для дітей")</f>
        <v>товари для дітей</v>
      </c>
      <c r="C4264" s="16" t="str">
        <f>IFERROR(__xludf.DUMMYFUNCTION("""COMPUTED_VALUE"""),"іграшки")</f>
        <v>іграшки</v>
      </c>
      <c r="D4264" s="16" t="str">
        <f>IFERROR(__xludf.DUMMYFUNCTION("""COMPUTED_VALUE"""),"ляльки, пупси")</f>
        <v>ляльки, пупси</v>
      </c>
      <c r="E4264" s="16" t="str">
        <f>IFERROR(__xludf.DUMMYFUNCTION("""COMPUTED_VALUE"""),"ляльки, пупси")</f>
        <v>ляльки, пупси</v>
      </c>
      <c r="F4264" s="17">
        <f>IFERROR(__xludf.DUMMYFUNCTION("""COMPUTED_VALUE"""),3.0)</f>
        <v>3</v>
      </c>
      <c r="G4264" s="17" t="str">
        <f>IFERROR(__xludf.DUMMYFUNCTION("""COMPUTED_VALUE"""),"2605")</f>
        <v>2605</v>
      </c>
      <c r="H4264" s="17" t="str">
        <f>IFERROR(__xludf.DUMMYFUNCTION("""COMPUTED_VALUE"""),"ляльки, пупси")</f>
        <v>ляльки, пупси</v>
      </c>
      <c r="I4264" s="19">
        <f>IFERROR(__xludf.DUMMYFUNCTION("""COMPUTED_VALUE"""),0.0991)</f>
        <v>0.0991</v>
      </c>
      <c r="J4264" s="19">
        <f>IFERROR(__xludf.DUMMYFUNCTION("""COMPUTED_VALUE"""),0.1981)</f>
        <v>0.1981</v>
      </c>
      <c r="K4264" s="19">
        <f>IFERROR(__xludf.DUMMYFUNCTION("""COMPUTED_VALUE"""),0.2476)</f>
        <v>0.2476</v>
      </c>
      <c r="L4264" s="19">
        <f>IFERROR(__xludf.DUMMYFUNCTION("""COMPUTED_VALUE"""),0.2972)</f>
        <v>0.2972</v>
      </c>
      <c r="M4264" s="18">
        <f>IFERROR(__xludf.DUMMYFUNCTION("""COMPUTED_VALUE"""),1.53)</f>
        <v>1.53</v>
      </c>
    </row>
    <row r="4265">
      <c r="A4265" s="13" t="str">
        <f>IFERROR(__xludf.DUMMYFUNCTION("""COMPUTED_VALUE"""),"товари")</f>
        <v>товари</v>
      </c>
      <c r="B4265" s="16" t="str">
        <f>IFERROR(__xludf.DUMMYFUNCTION("""COMPUTED_VALUE"""),"товари для дітей")</f>
        <v>товари для дітей</v>
      </c>
      <c r="C4265" s="16" t="str">
        <f>IFERROR(__xludf.DUMMYFUNCTION("""COMPUTED_VALUE"""),"іграшки")</f>
        <v>іграшки</v>
      </c>
      <c r="D4265" s="16" t="str">
        <f>IFERROR(__xludf.DUMMYFUNCTION("""COMPUTED_VALUE"""),"м'які іграшки")</f>
        <v>м'які іграшки</v>
      </c>
      <c r="E4265" s="16" t="str">
        <f>IFERROR(__xludf.DUMMYFUNCTION("""COMPUTED_VALUE"""),"м'які іграшки")</f>
        <v>м'які іграшки</v>
      </c>
      <c r="F4265" s="17">
        <f>IFERROR(__xludf.DUMMYFUNCTION("""COMPUTED_VALUE"""),3.0)</f>
        <v>3</v>
      </c>
      <c r="G4265" s="17" t="str">
        <f>IFERROR(__xludf.DUMMYFUNCTION("""COMPUTED_VALUE"""),"2604")</f>
        <v>2604</v>
      </c>
      <c r="H4265" s="17" t="str">
        <f>IFERROR(__xludf.DUMMYFUNCTION("""COMPUTED_VALUE"""),"м'які іграшки")</f>
        <v>м'які іграшки</v>
      </c>
      <c r="I4265" s="19">
        <f>IFERROR(__xludf.DUMMYFUNCTION("""COMPUTED_VALUE"""),0.0997)</f>
        <v>0.0997</v>
      </c>
      <c r="J4265" s="19">
        <f>IFERROR(__xludf.DUMMYFUNCTION("""COMPUTED_VALUE"""),0.1993)</f>
        <v>0.1993</v>
      </c>
      <c r="K4265" s="19">
        <f>IFERROR(__xludf.DUMMYFUNCTION("""COMPUTED_VALUE"""),0.2491)</f>
        <v>0.2491</v>
      </c>
      <c r="L4265" s="19">
        <f>IFERROR(__xludf.DUMMYFUNCTION("""COMPUTED_VALUE"""),0.299)</f>
        <v>0.299</v>
      </c>
      <c r="M4265" s="18">
        <f>IFERROR(__xludf.DUMMYFUNCTION("""COMPUTED_VALUE"""),3.06)</f>
        <v>3.06</v>
      </c>
    </row>
    <row r="4266">
      <c r="A4266" s="13" t="str">
        <f>IFERROR(__xludf.DUMMYFUNCTION("""COMPUTED_VALUE"""),"товари")</f>
        <v>товари</v>
      </c>
      <c r="B4266" s="16" t="str">
        <f>IFERROR(__xludf.DUMMYFUNCTION("""COMPUTED_VALUE"""),"товари для дітей")</f>
        <v>товари для дітей</v>
      </c>
      <c r="C4266" s="16" t="str">
        <f>IFERROR(__xludf.DUMMYFUNCTION("""COMPUTED_VALUE"""),"канцтовари шкільні та дитячі")</f>
        <v>канцтовари шкільні та дитячі</v>
      </c>
      <c r="D4266" s="16" t="str">
        <f>IFERROR(__xludf.DUMMYFUNCTION("""COMPUTED_VALUE"""),"дитяча творчість та малювання")</f>
        <v>дитяча творчість та малювання</v>
      </c>
      <c r="E4266" s="16" t="str">
        <f>IFERROR(__xludf.DUMMYFUNCTION("""COMPUTED_VALUE"""),"малювання світлом")</f>
        <v>малювання світлом</v>
      </c>
      <c r="F4266" s="17">
        <f>IFERROR(__xludf.DUMMYFUNCTION("""COMPUTED_VALUE"""),4.0)</f>
        <v>4</v>
      </c>
      <c r="G4266" s="17" t="str">
        <f>IFERROR(__xludf.DUMMYFUNCTION("""COMPUTED_VALUE"""),"15011914")</f>
        <v>15011914</v>
      </c>
      <c r="H4266" s="17" t="str">
        <f>IFERROR(__xludf.DUMMYFUNCTION("""COMPUTED_VALUE"""),"малювання світлом")</f>
        <v>малювання світлом</v>
      </c>
      <c r="I4266" s="19">
        <f>IFERROR(__xludf.DUMMYFUNCTION("""COMPUTED_VALUE"""),0.0935)</f>
        <v>0.0935</v>
      </c>
      <c r="J4266" s="19">
        <f>IFERROR(__xludf.DUMMYFUNCTION("""COMPUTED_VALUE"""),0.187)</f>
        <v>0.187</v>
      </c>
      <c r="K4266" s="19">
        <f>IFERROR(__xludf.DUMMYFUNCTION("""COMPUTED_VALUE"""),0.2338)</f>
        <v>0.2338</v>
      </c>
      <c r="L4266" s="19">
        <f>IFERROR(__xludf.DUMMYFUNCTION("""COMPUTED_VALUE"""),0.2805)</f>
        <v>0.2805</v>
      </c>
      <c r="M4266" s="18">
        <f>IFERROR(__xludf.DUMMYFUNCTION("""COMPUTED_VALUE"""),2.79)</f>
        <v>2.79</v>
      </c>
    </row>
    <row r="4267">
      <c r="A4267" s="13" t="str">
        <f>IFERROR(__xludf.DUMMYFUNCTION("""COMPUTED_VALUE"""),"товари")</f>
        <v>товари</v>
      </c>
      <c r="B4267" s="16" t="str">
        <f>IFERROR(__xludf.DUMMYFUNCTION("""COMPUTED_VALUE"""),"товари для дітей")</f>
        <v>товари для дітей</v>
      </c>
      <c r="C4267" s="16" t="str">
        <f>IFERROR(__xludf.DUMMYFUNCTION("""COMPUTED_VALUE"""),"дитячі ігри")</f>
        <v>дитячі ігри</v>
      </c>
      <c r="D4267" s="16" t="str">
        <f>IFERROR(__xludf.DUMMYFUNCTION("""COMPUTED_VALUE"""),"мильні бульбашки")</f>
        <v>мильні бульбашки</v>
      </c>
      <c r="E4267" s="16" t="str">
        <f>IFERROR(__xludf.DUMMYFUNCTION("""COMPUTED_VALUE"""),"мильні бульбашки")</f>
        <v>мильні бульбашки</v>
      </c>
      <c r="F4267" s="17">
        <f>IFERROR(__xludf.DUMMYFUNCTION("""COMPUTED_VALUE"""),3.0)</f>
        <v>3</v>
      </c>
      <c r="G4267" s="17" t="str">
        <f>IFERROR(__xludf.DUMMYFUNCTION("""COMPUTED_VALUE"""),"2644")</f>
        <v>2644</v>
      </c>
      <c r="H4267" s="17" t="str">
        <f>IFERROR(__xludf.DUMMYFUNCTION("""COMPUTED_VALUE"""),"мильні бульбашки")</f>
        <v>мильні бульбашки</v>
      </c>
      <c r="I4267" s="19">
        <f>IFERROR(__xludf.DUMMYFUNCTION("""COMPUTED_VALUE"""),0.0832)</f>
        <v>0.0832</v>
      </c>
      <c r="J4267" s="19">
        <f>IFERROR(__xludf.DUMMYFUNCTION("""COMPUTED_VALUE"""),0.1663)</f>
        <v>0.1663</v>
      </c>
      <c r="K4267" s="19">
        <f>IFERROR(__xludf.DUMMYFUNCTION("""COMPUTED_VALUE"""),0.2079)</f>
        <v>0.2079</v>
      </c>
      <c r="L4267" s="19">
        <f>IFERROR(__xludf.DUMMYFUNCTION("""COMPUTED_VALUE"""),0.2495)</f>
        <v>0.2495</v>
      </c>
      <c r="M4267" s="18">
        <f>IFERROR(__xludf.DUMMYFUNCTION("""COMPUTED_VALUE"""),3.69)</f>
        <v>3.69</v>
      </c>
    </row>
    <row r="4268">
      <c r="A4268" s="13" t="str">
        <f>IFERROR(__xludf.DUMMYFUNCTION("""COMPUTED_VALUE"""),"товари")</f>
        <v>товари</v>
      </c>
      <c r="B4268" s="16" t="str">
        <f>IFERROR(__xludf.DUMMYFUNCTION("""COMPUTED_VALUE"""),"товари для дітей")</f>
        <v>товари для дітей</v>
      </c>
      <c r="C4268" s="16" t="str">
        <f>IFERROR(__xludf.DUMMYFUNCTION("""COMPUTED_VALUE"""),"дитяче харчування")</f>
        <v>дитяче харчування</v>
      </c>
      <c r="D4268" s="16" t="str">
        <f>IFERROR(__xludf.DUMMYFUNCTION("""COMPUTED_VALUE"""),"молоковідсмоктувачі та аксесуари")</f>
        <v>молоковідсмоктувачі та аксесуари</v>
      </c>
      <c r="E4268" s="16" t="str">
        <f>IFERROR(__xludf.DUMMYFUNCTION("""COMPUTED_VALUE"""),"молоковідсмоктувачі та аксесуари")</f>
        <v>молоковідсмоктувачі та аксесуари</v>
      </c>
      <c r="F4268" s="17">
        <f>IFERROR(__xludf.DUMMYFUNCTION("""COMPUTED_VALUE"""),3.0)</f>
        <v>3</v>
      </c>
      <c r="G4268" s="17" t="str">
        <f>IFERROR(__xludf.DUMMYFUNCTION("""COMPUTED_VALUE"""),"15010101")</f>
        <v>15010101</v>
      </c>
      <c r="H4268" s="17" t="str">
        <f>IFERROR(__xludf.DUMMYFUNCTION("""COMPUTED_VALUE"""),"молоковідсмоктувачі та аксесуари")</f>
        <v>молоковідсмоктувачі та аксесуари</v>
      </c>
      <c r="I4268" s="19">
        <f>IFERROR(__xludf.DUMMYFUNCTION("""COMPUTED_VALUE"""),0.0727)</f>
        <v>0.0727</v>
      </c>
      <c r="J4268" s="19">
        <f>IFERROR(__xludf.DUMMYFUNCTION("""COMPUTED_VALUE"""),0.1453)</f>
        <v>0.1453</v>
      </c>
      <c r="K4268" s="19">
        <f>IFERROR(__xludf.DUMMYFUNCTION("""COMPUTED_VALUE"""),0.1816)</f>
        <v>0.1816</v>
      </c>
      <c r="L4268" s="19">
        <f>IFERROR(__xludf.DUMMYFUNCTION("""COMPUTED_VALUE"""),0.218)</f>
        <v>0.218</v>
      </c>
      <c r="M4268" s="18">
        <f>IFERROR(__xludf.DUMMYFUNCTION("""COMPUTED_VALUE"""),1.05)</f>
        <v>1.05</v>
      </c>
    </row>
    <row r="4269">
      <c r="A4269" s="13" t="str">
        <f>IFERROR(__xludf.DUMMYFUNCTION("""COMPUTED_VALUE"""),"товари")</f>
        <v>товари</v>
      </c>
      <c r="B4269" s="16" t="str">
        <f>IFERROR(__xludf.DUMMYFUNCTION("""COMPUTED_VALUE"""),"товари для дітей")</f>
        <v>товари для дітей</v>
      </c>
      <c r="C4269" s="16" t="str">
        <f>IFERROR(__xludf.DUMMYFUNCTION("""COMPUTED_VALUE"""),"іграшки")</f>
        <v>іграшки</v>
      </c>
      <c r="D4269" s="16" t="str">
        <f>IFERROR(__xludf.DUMMYFUNCTION("""COMPUTED_VALUE"""),"музичні іграшки")</f>
        <v>музичні іграшки</v>
      </c>
      <c r="E4269" s="16" t="str">
        <f>IFERROR(__xludf.DUMMYFUNCTION("""COMPUTED_VALUE"""),"музичні іграшки")</f>
        <v>музичні іграшки</v>
      </c>
      <c r="F4269" s="17">
        <f>IFERROR(__xludf.DUMMYFUNCTION("""COMPUTED_VALUE"""),3.0)</f>
        <v>3</v>
      </c>
      <c r="G4269" s="17" t="str">
        <f>IFERROR(__xludf.DUMMYFUNCTION("""COMPUTED_VALUE"""),"2635")</f>
        <v>2635</v>
      </c>
      <c r="H4269" s="17" t="str">
        <f>IFERROR(__xludf.DUMMYFUNCTION("""COMPUTED_VALUE"""),"музичні іграшки")</f>
        <v>музичні іграшки</v>
      </c>
      <c r="I4269" s="19">
        <f>IFERROR(__xludf.DUMMYFUNCTION("""COMPUTED_VALUE"""),0.0962)</f>
        <v>0.0962</v>
      </c>
      <c r="J4269" s="19">
        <f>IFERROR(__xludf.DUMMYFUNCTION("""COMPUTED_VALUE"""),0.1924)</f>
        <v>0.1924</v>
      </c>
      <c r="K4269" s="19">
        <f>IFERROR(__xludf.DUMMYFUNCTION("""COMPUTED_VALUE"""),0.2405)</f>
        <v>0.2405</v>
      </c>
      <c r="L4269" s="19">
        <f>IFERROR(__xludf.DUMMYFUNCTION("""COMPUTED_VALUE"""),0.2886)</f>
        <v>0.2886</v>
      </c>
      <c r="M4269" s="18">
        <f>IFERROR(__xludf.DUMMYFUNCTION("""COMPUTED_VALUE"""),2.16)</f>
        <v>2.16</v>
      </c>
    </row>
    <row r="4270">
      <c r="A4270" s="13" t="str">
        <f>IFERROR(__xludf.DUMMYFUNCTION("""COMPUTED_VALUE"""),"товари")</f>
        <v>товари</v>
      </c>
      <c r="B4270" s="16" t="str">
        <f>IFERROR(__xludf.DUMMYFUNCTION("""COMPUTED_VALUE"""),"товари для дітей")</f>
        <v>товари для дітей</v>
      </c>
      <c r="C4270" s="16" t="str">
        <f>IFERROR(__xludf.DUMMYFUNCTION("""COMPUTED_VALUE"""),"гігієна та догляд за дітьми")</f>
        <v>гігієна та догляд за дітьми</v>
      </c>
      <c r="D4270" s="16" t="str">
        <f>IFERROR(__xludf.DUMMYFUNCTION("""COMPUTED_VALUE"""),"набори для догляду за новонародженими")</f>
        <v>набори для догляду за новонародженими</v>
      </c>
      <c r="E4270" s="16" t="str">
        <f>IFERROR(__xludf.DUMMYFUNCTION("""COMPUTED_VALUE"""),"набори для догляду за новонародженими")</f>
        <v>набори для догляду за новонародженими</v>
      </c>
      <c r="F4270" s="17">
        <f>IFERROR(__xludf.DUMMYFUNCTION("""COMPUTED_VALUE"""),3.0)</f>
        <v>3</v>
      </c>
      <c r="G4270" s="17" t="str">
        <f>IFERROR(__xludf.DUMMYFUNCTION("""COMPUTED_VALUE"""),"15010512")</f>
        <v>15010512</v>
      </c>
      <c r="H4270" s="17" t="str">
        <f>IFERROR(__xludf.DUMMYFUNCTION("""COMPUTED_VALUE"""),"набори для догляду за новонародженими")</f>
        <v>набори для догляду за новонародженими</v>
      </c>
      <c r="I4270" s="19">
        <f>IFERROR(__xludf.DUMMYFUNCTION("""COMPUTED_VALUE"""),0.0513)</f>
        <v>0.0513</v>
      </c>
      <c r="J4270" s="19">
        <f>IFERROR(__xludf.DUMMYFUNCTION("""COMPUTED_VALUE"""),0.1025)</f>
        <v>0.1025</v>
      </c>
      <c r="K4270" s="19">
        <f>IFERROR(__xludf.DUMMYFUNCTION("""COMPUTED_VALUE"""),0.1281)</f>
        <v>0.1281</v>
      </c>
      <c r="L4270" s="19">
        <f>IFERROR(__xludf.DUMMYFUNCTION("""COMPUTED_VALUE"""),0.1538)</f>
        <v>0.1538</v>
      </c>
      <c r="M4270" s="18">
        <f>IFERROR(__xludf.DUMMYFUNCTION("""COMPUTED_VALUE"""),1.05)</f>
        <v>1.05</v>
      </c>
    </row>
    <row r="4271">
      <c r="A4271" s="13" t="str">
        <f>IFERROR(__xludf.DUMMYFUNCTION("""COMPUTED_VALUE"""),"товари")</f>
        <v>товари</v>
      </c>
      <c r="B4271" s="16" t="str">
        <f>IFERROR(__xludf.DUMMYFUNCTION("""COMPUTED_VALUE"""),"товари для дітей")</f>
        <v>товари для дітей</v>
      </c>
      <c r="C4271" s="16" t="str">
        <f>IFERROR(__xludf.DUMMYFUNCTION("""COMPUTED_VALUE"""),"канцтовари шкільні та дитячі")</f>
        <v>канцтовари шкільні та дитячі</v>
      </c>
      <c r="D4271" s="16" t="str">
        <f>IFERROR(__xludf.DUMMYFUNCTION("""COMPUTED_VALUE"""),"дитяча творчість та малювання")</f>
        <v>дитяча творчість та малювання</v>
      </c>
      <c r="E4271" s="16" t="str">
        <f>IFERROR(__xludf.DUMMYFUNCTION("""COMPUTED_VALUE"""),"набори для зліпків дитячих ручок і ніжок")</f>
        <v>набори для зліпків дитячих ручок і ніжок</v>
      </c>
      <c r="F4271" s="17">
        <f>IFERROR(__xludf.DUMMYFUNCTION("""COMPUTED_VALUE"""),4.0)</f>
        <v>4</v>
      </c>
      <c r="G4271" s="17" t="str">
        <f>IFERROR(__xludf.DUMMYFUNCTION("""COMPUTED_VALUE"""),"1759")</f>
        <v>1759</v>
      </c>
      <c r="H4271" s="17" t="str">
        <f>IFERROR(__xludf.DUMMYFUNCTION("""COMPUTED_VALUE"""),"набори для зліпків дитячих ручок і ніжок")</f>
        <v>набори для зліпків дитячих ручок і ніжок</v>
      </c>
      <c r="I4271" s="19">
        <f>IFERROR(__xludf.DUMMYFUNCTION("""COMPUTED_VALUE"""),0.1118)</f>
        <v>0.1118</v>
      </c>
      <c r="J4271" s="19">
        <f>IFERROR(__xludf.DUMMYFUNCTION("""COMPUTED_VALUE"""),0.2236)</f>
        <v>0.2236</v>
      </c>
      <c r="K4271" s="19">
        <f>IFERROR(__xludf.DUMMYFUNCTION("""COMPUTED_VALUE"""),0.2795)</f>
        <v>0.2795</v>
      </c>
      <c r="L4271" s="19">
        <f>IFERROR(__xludf.DUMMYFUNCTION("""COMPUTED_VALUE"""),0.3354)</f>
        <v>0.3354</v>
      </c>
      <c r="M4271" s="18">
        <f>IFERROR(__xludf.DUMMYFUNCTION("""COMPUTED_VALUE"""),1.05)</f>
        <v>1.05</v>
      </c>
    </row>
    <row r="4272">
      <c r="A4272" s="13" t="str">
        <f>IFERROR(__xludf.DUMMYFUNCTION("""COMPUTED_VALUE"""),"товари")</f>
        <v>товари</v>
      </c>
      <c r="B4272" s="16" t="str">
        <f>IFERROR(__xludf.DUMMYFUNCTION("""COMPUTED_VALUE"""),"товари для дітей")</f>
        <v>товари для дітей</v>
      </c>
      <c r="C4272" s="16" t="str">
        <f>IFERROR(__xludf.DUMMYFUNCTION("""COMPUTED_VALUE"""),"книги для дітей")</f>
        <v>книги для дітей</v>
      </c>
      <c r="D4272" s="16" t="str">
        <f>IFERROR(__xludf.DUMMYFUNCTION("""COMPUTED_VALUE"""),"навчальна та розвиваюча дитяча література")</f>
        <v>навчальна та розвиваюча дитяча література</v>
      </c>
      <c r="E4272" s="16" t="str">
        <f>IFERROR(__xludf.DUMMYFUNCTION("""COMPUTED_VALUE"""),"навчальна та розвиваюча дитяча література")</f>
        <v>навчальна та розвиваюча дитяча література</v>
      </c>
      <c r="F4272" s="17">
        <f>IFERROR(__xludf.DUMMYFUNCTION("""COMPUTED_VALUE"""),3.0)</f>
        <v>3</v>
      </c>
      <c r="G4272" s="17" t="str">
        <f>IFERROR(__xludf.DUMMYFUNCTION("""COMPUTED_VALUE"""),"15011804")</f>
        <v>15011804</v>
      </c>
      <c r="H4272" s="17" t="str">
        <f>IFERROR(__xludf.DUMMYFUNCTION("""COMPUTED_VALUE"""),"навчальна та розвиваюча дитяча література")</f>
        <v>навчальна та розвиваюча дитяча література</v>
      </c>
      <c r="I4272" s="19">
        <f>IFERROR(__xludf.DUMMYFUNCTION("""COMPUTED_VALUE"""),0.0709)</f>
        <v>0.0709</v>
      </c>
      <c r="J4272" s="19">
        <f>IFERROR(__xludf.DUMMYFUNCTION("""COMPUTED_VALUE"""),0.1417)</f>
        <v>0.1417</v>
      </c>
      <c r="K4272" s="19">
        <f>IFERROR(__xludf.DUMMYFUNCTION("""COMPUTED_VALUE"""),0.1771)</f>
        <v>0.1771</v>
      </c>
      <c r="L4272" s="19">
        <f>IFERROR(__xludf.DUMMYFUNCTION("""COMPUTED_VALUE"""),0.2126)</f>
        <v>0.2126</v>
      </c>
      <c r="M4272" s="18">
        <f>IFERROR(__xludf.DUMMYFUNCTION("""COMPUTED_VALUE"""),1.05)</f>
        <v>1.05</v>
      </c>
    </row>
    <row r="4273">
      <c r="A4273" s="13" t="str">
        <f>IFERROR(__xludf.DUMMYFUNCTION("""COMPUTED_VALUE"""),"товари")</f>
        <v>товари</v>
      </c>
      <c r="B4273" s="16" t="str">
        <f>IFERROR(__xludf.DUMMYFUNCTION("""COMPUTED_VALUE"""),"товари для дітей")</f>
        <v>товари для дітей</v>
      </c>
      <c r="C4273" s="16" t="str">
        <f>IFERROR(__xludf.DUMMYFUNCTION("""COMPUTED_VALUE"""),"дитячі ігри")</f>
        <v>дитячі ігри</v>
      </c>
      <c r="D4273" s="16" t="str">
        <f>IFERROR(__xludf.DUMMYFUNCTION("""COMPUTED_VALUE"""),"надувні іграшки")</f>
        <v>надувні іграшки</v>
      </c>
      <c r="E4273" s="16" t="str">
        <f>IFERROR(__xludf.DUMMYFUNCTION("""COMPUTED_VALUE"""),"надувні іграшки")</f>
        <v>надувні іграшки</v>
      </c>
      <c r="F4273" s="17">
        <f>IFERROR(__xludf.DUMMYFUNCTION("""COMPUTED_VALUE"""),3.0)</f>
        <v>3</v>
      </c>
      <c r="G4273" s="17" t="str">
        <f>IFERROR(__xludf.DUMMYFUNCTION("""COMPUTED_VALUE"""),"2620")</f>
        <v>2620</v>
      </c>
      <c r="H4273" s="17" t="str">
        <f>IFERROR(__xludf.DUMMYFUNCTION("""COMPUTED_VALUE"""),"надувні іграшки")</f>
        <v>надувні іграшки</v>
      </c>
      <c r="I4273" s="19">
        <f>IFERROR(__xludf.DUMMYFUNCTION("""COMPUTED_VALUE"""),0.0601)</f>
        <v>0.0601</v>
      </c>
      <c r="J4273" s="19">
        <f>IFERROR(__xludf.DUMMYFUNCTION("""COMPUTED_VALUE"""),0.1201)</f>
        <v>0.1201</v>
      </c>
      <c r="K4273" s="19">
        <f>IFERROR(__xludf.DUMMYFUNCTION("""COMPUTED_VALUE"""),0.1501)</f>
        <v>0.1501</v>
      </c>
      <c r="L4273" s="19">
        <f>IFERROR(__xludf.DUMMYFUNCTION("""COMPUTED_VALUE"""),0.1802)</f>
        <v>0.1802</v>
      </c>
      <c r="M4273" s="18">
        <f>IFERROR(__xludf.DUMMYFUNCTION("""COMPUTED_VALUE"""),1.05)</f>
        <v>1.05</v>
      </c>
    </row>
    <row r="4274">
      <c r="A4274" s="13" t="str">
        <f>IFERROR(__xludf.DUMMYFUNCTION("""COMPUTED_VALUE"""),"товари")</f>
        <v>товари</v>
      </c>
      <c r="B4274" s="16" t="str">
        <f>IFERROR(__xludf.DUMMYFUNCTION("""COMPUTED_VALUE"""),"товари для дітей")</f>
        <v>товари для дітей</v>
      </c>
      <c r="C4274" s="16" t="str">
        <f>IFERROR(__xludf.DUMMYFUNCTION("""COMPUTED_VALUE"""),"дитячі ігри")</f>
        <v>дитячі ігри</v>
      </c>
      <c r="D4274" s="16" t="str">
        <f>IFERROR(__xludf.DUMMYFUNCTION("""COMPUTED_VALUE"""),"надувні круги, платформи")</f>
        <v>надувні круги, платформи</v>
      </c>
      <c r="E4274" s="16" t="str">
        <f>IFERROR(__xludf.DUMMYFUNCTION("""COMPUTED_VALUE"""),"надувні круги, платформи")</f>
        <v>надувні круги, платформи</v>
      </c>
      <c r="F4274" s="17">
        <f>IFERROR(__xludf.DUMMYFUNCTION("""COMPUTED_VALUE"""),3.0)</f>
        <v>3</v>
      </c>
      <c r="G4274" s="17" t="str">
        <f>IFERROR(__xludf.DUMMYFUNCTION("""COMPUTED_VALUE"""),"2012")</f>
        <v>2012</v>
      </c>
      <c r="H4274" s="17" t="str">
        <f>IFERROR(__xludf.DUMMYFUNCTION("""COMPUTED_VALUE"""),"надувні круги, платформи")</f>
        <v>надувні круги, платформи</v>
      </c>
      <c r="I4274" s="19">
        <f>IFERROR(__xludf.DUMMYFUNCTION("""COMPUTED_VALUE"""),0.0747)</f>
        <v>0.0747</v>
      </c>
      <c r="J4274" s="19">
        <f>IFERROR(__xludf.DUMMYFUNCTION("""COMPUTED_VALUE"""),0.1494)</f>
        <v>0.1494</v>
      </c>
      <c r="K4274" s="19">
        <f>IFERROR(__xludf.DUMMYFUNCTION("""COMPUTED_VALUE"""),0.1868)</f>
        <v>0.1868</v>
      </c>
      <c r="L4274" s="19">
        <f>IFERROR(__xludf.DUMMYFUNCTION("""COMPUTED_VALUE"""),0.2241)</f>
        <v>0.2241</v>
      </c>
      <c r="M4274" s="18">
        <f>IFERROR(__xludf.DUMMYFUNCTION("""COMPUTED_VALUE"""),1.71)</f>
        <v>1.71</v>
      </c>
    </row>
    <row r="4275">
      <c r="A4275" s="13" t="str">
        <f>IFERROR(__xludf.DUMMYFUNCTION("""COMPUTED_VALUE"""),"товари")</f>
        <v>товари</v>
      </c>
      <c r="B4275" s="16" t="str">
        <f>IFERROR(__xludf.DUMMYFUNCTION("""COMPUTED_VALUE"""),"товари для дітей")</f>
        <v>товари для дітей</v>
      </c>
      <c r="C4275" s="16" t="str">
        <f>IFERROR(__xludf.DUMMYFUNCTION("""COMPUTED_VALUE"""),"іграшки")</f>
        <v>іграшки</v>
      </c>
      <c r="D4275" s="16" t="str">
        <f>IFERROR(__xludf.DUMMYFUNCTION("""COMPUTED_VALUE"""),"наукові ігри, набори для дослідів")</f>
        <v>наукові ігри, набори для дослідів</v>
      </c>
      <c r="E4275" s="16" t="str">
        <f>IFERROR(__xludf.DUMMYFUNCTION("""COMPUTED_VALUE"""),"наукові ігри, набори для дослідів")</f>
        <v>наукові ігри, набори для дослідів</v>
      </c>
      <c r="F4275" s="17">
        <f>IFERROR(__xludf.DUMMYFUNCTION("""COMPUTED_VALUE"""),3.0)</f>
        <v>3</v>
      </c>
      <c r="G4275" s="17" t="str">
        <f>IFERROR(__xludf.DUMMYFUNCTION("""COMPUTED_VALUE"""),"2622")</f>
        <v>2622</v>
      </c>
      <c r="H4275" s="17" t="str">
        <f>IFERROR(__xludf.DUMMYFUNCTION("""COMPUTED_VALUE"""),"наукові ігри, набори для дослідів")</f>
        <v>наукові ігри, набори для дослідів</v>
      </c>
      <c r="I4275" s="19">
        <f>IFERROR(__xludf.DUMMYFUNCTION("""COMPUTED_VALUE"""),0.0981)</f>
        <v>0.0981</v>
      </c>
      <c r="J4275" s="19">
        <f>IFERROR(__xludf.DUMMYFUNCTION("""COMPUTED_VALUE"""),0.1962)</f>
        <v>0.1962</v>
      </c>
      <c r="K4275" s="19">
        <f>IFERROR(__xludf.DUMMYFUNCTION("""COMPUTED_VALUE"""),0.2453)</f>
        <v>0.2453</v>
      </c>
      <c r="L4275" s="19">
        <f>IFERROR(__xludf.DUMMYFUNCTION("""COMPUTED_VALUE"""),0.2943)</f>
        <v>0.2943</v>
      </c>
      <c r="M4275" s="18">
        <f>IFERROR(__xludf.DUMMYFUNCTION("""COMPUTED_VALUE"""),1.05)</f>
        <v>1.05</v>
      </c>
    </row>
    <row r="4276">
      <c r="A4276" s="13" t="str">
        <f>IFERROR(__xludf.DUMMYFUNCTION("""COMPUTED_VALUE"""),"товари")</f>
        <v>товари</v>
      </c>
      <c r="B4276" s="16" t="str">
        <f>IFERROR(__xludf.DUMMYFUNCTION("""COMPUTED_VALUE"""),"товари для дітей")</f>
        <v>товари для дітей</v>
      </c>
      <c r="C4276" s="16" t="str">
        <f>IFERROR(__xludf.DUMMYFUNCTION("""COMPUTED_VALUE"""),"канцтовари шкільні та дитячі")</f>
        <v>канцтовари шкільні та дитячі</v>
      </c>
      <c r="D4276" s="16" t="str">
        <f>IFERROR(__xludf.DUMMYFUNCTION("""COMPUTED_VALUE"""),"дитяча творчість та малювання")</f>
        <v>дитяча творчість та малювання</v>
      </c>
      <c r="E4276" s="16" t="str">
        <f>IFERROR(__xludf.DUMMYFUNCTION("""COMPUTED_VALUE"""),"папір та альбоми для малювання")</f>
        <v>папір та альбоми для малювання</v>
      </c>
      <c r="F4276" s="17">
        <f>IFERROR(__xludf.DUMMYFUNCTION("""COMPUTED_VALUE"""),4.0)</f>
        <v>4</v>
      </c>
      <c r="G4276" s="17" t="str">
        <f>IFERROR(__xludf.DUMMYFUNCTION("""COMPUTED_VALUE"""),"21111111")</f>
        <v>21111111</v>
      </c>
      <c r="H4276" s="17" t="str">
        <f>IFERROR(__xludf.DUMMYFUNCTION("""COMPUTED_VALUE"""),"папір та альбоми для малювання")</f>
        <v>папір та альбоми для малювання</v>
      </c>
      <c r="I4276" s="19">
        <f>IFERROR(__xludf.DUMMYFUNCTION("""COMPUTED_VALUE"""),0.0776)</f>
        <v>0.0776</v>
      </c>
      <c r="J4276" s="19">
        <f>IFERROR(__xludf.DUMMYFUNCTION("""COMPUTED_VALUE"""),0.1552)</f>
        <v>0.1552</v>
      </c>
      <c r="K4276" s="19">
        <f>IFERROR(__xludf.DUMMYFUNCTION("""COMPUTED_VALUE"""),0.194)</f>
        <v>0.194</v>
      </c>
      <c r="L4276" s="19">
        <f>IFERROR(__xludf.DUMMYFUNCTION("""COMPUTED_VALUE"""),0.2328)</f>
        <v>0.2328</v>
      </c>
      <c r="M4276" s="18">
        <f>IFERROR(__xludf.DUMMYFUNCTION("""COMPUTED_VALUE"""),2.79)</f>
        <v>2.79</v>
      </c>
    </row>
    <row r="4277">
      <c r="A4277" s="13" t="str">
        <f>IFERROR(__xludf.DUMMYFUNCTION("""COMPUTED_VALUE"""),"товари")</f>
        <v>товари</v>
      </c>
      <c r="B4277" s="16" t="str">
        <f>IFERROR(__xludf.DUMMYFUNCTION("""COMPUTED_VALUE"""),"товари для дітей")</f>
        <v>товари для дітей</v>
      </c>
      <c r="C4277" s="16" t="str">
        <f>IFERROR(__xludf.DUMMYFUNCTION("""COMPUTED_VALUE"""),"дитячі меблі")</f>
        <v>дитячі меблі</v>
      </c>
      <c r="D4277" s="16" t="str">
        <f>IFERROR(__xludf.DUMMYFUNCTION("""COMPUTED_VALUE"""),"пеленальні столики та пеленальні дошки")</f>
        <v>пеленальні столики та пеленальні дошки</v>
      </c>
      <c r="E4277" s="16" t="str">
        <f>IFERROR(__xludf.DUMMYFUNCTION("""COMPUTED_VALUE"""),"пеленальні столики та пеленальні дошки")</f>
        <v>пеленальні столики та пеленальні дошки</v>
      </c>
      <c r="F4277" s="17">
        <f>IFERROR(__xludf.DUMMYFUNCTION("""COMPUTED_VALUE"""),3.0)</f>
        <v>3</v>
      </c>
      <c r="G4277" s="17" t="str">
        <f>IFERROR(__xludf.DUMMYFUNCTION("""COMPUTED_VALUE"""),"371315")</f>
        <v>371315</v>
      </c>
      <c r="H4277" s="17" t="str">
        <f>IFERROR(__xludf.DUMMYFUNCTION("""COMPUTED_VALUE"""),"пеленальні столики та пеленальні дошки")</f>
        <v>пеленальні столики та пеленальні дошки</v>
      </c>
      <c r="I4277" s="19">
        <f>IFERROR(__xludf.DUMMYFUNCTION("""COMPUTED_VALUE"""),0.0697)</f>
        <v>0.0697</v>
      </c>
      <c r="J4277" s="19">
        <f>IFERROR(__xludf.DUMMYFUNCTION("""COMPUTED_VALUE"""),0.1394)</f>
        <v>0.1394</v>
      </c>
      <c r="K4277" s="19">
        <f>IFERROR(__xludf.DUMMYFUNCTION("""COMPUTED_VALUE"""),0.1743)</f>
        <v>0.1743</v>
      </c>
      <c r="L4277" s="19">
        <f>IFERROR(__xludf.DUMMYFUNCTION("""COMPUTED_VALUE"""),0.2091)</f>
        <v>0.2091</v>
      </c>
      <c r="M4277" s="18">
        <f>IFERROR(__xludf.DUMMYFUNCTION("""COMPUTED_VALUE"""),1.44)</f>
        <v>1.44</v>
      </c>
    </row>
    <row r="4278">
      <c r="A4278" s="13" t="str">
        <f>IFERROR(__xludf.DUMMYFUNCTION("""COMPUTED_VALUE"""),"товари")</f>
        <v>товари</v>
      </c>
      <c r="B4278" s="16" t="str">
        <f>IFERROR(__xludf.DUMMYFUNCTION("""COMPUTED_VALUE"""),"товари для дітей")</f>
        <v>товари для дітей</v>
      </c>
      <c r="C4278" s="16" t="str">
        <f>IFERROR(__xludf.DUMMYFUNCTION("""COMPUTED_VALUE"""),"дитячі ігри")</f>
        <v>дитячі ігри</v>
      </c>
      <c r="D4278" s="16" t="str">
        <f>IFERROR(__xludf.DUMMYFUNCTION("""COMPUTED_VALUE"""),"піньяти")</f>
        <v>піньяти</v>
      </c>
      <c r="E4278" s="16" t="str">
        <f>IFERROR(__xludf.DUMMYFUNCTION("""COMPUTED_VALUE"""),"піньяти")</f>
        <v>піньяти</v>
      </c>
      <c r="F4278" s="17">
        <f>IFERROR(__xludf.DUMMYFUNCTION("""COMPUTED_VALUE"""),3.0)</f>
        <v>3</v>
      </c>
      <c r="G4278" s="17" t="str">
        <f>IFERROR(__xludf.DUMMYFUNCTION("""COMPUTED_VALUE"""),"2643")</f>
        <v>2643</v>
      </c>
      <c r="H4278" s="17" t="str">
        <f>IFERROR(__xludf.DUMMYFUNCTION("""COMPUTED_VALUE"""),"піньяти")</f>
        <v>піньяти</v>
      </c>
      <c r="I4278" s="19">
        <f>IFERROR(__xludf.DUMMYFUNCTION("""COMPUTED_VALUE"""),0.1193)</f>
        <v>0.1193</v>
      </c>
      <c r="J4278" s="19">
        <f>IFERROR(__xludf.DUMMYFUNCTION("""COMPUTED_VALUE"""),0.2385)</f>
        <v>0.2385</v>
      </c>
      <c r="K4278" s="19">
        <f>IFERROR(__xludf.DUMMYFUNCTION("""COMPUTED_VALUE"""),0.2981)</f>
        <v>0.2981</v>
      </c>
      <c r="L4278" s="19">
        <f>IFERROR(__xludf.DUMMYFUNCTION("""COMPUTED_VALUE"""),0.3578)</f>
        <v>0.3578</v>
      </c>
      <c r="M4278" s="18">
        <f>IFERROR(__xludf.DUMMYFUNCTION("""COMPUTED_VALUE"""),1.26)</f>
        <v>1.26</v>
      </c>
    </row>
    <row r="4279">
      <c r="A4279" s="13" t="str">
        <f>IFERROR(__xludf.DUMMYFUNCTION("""COMPUTED_VALUE"""),"товари")</f>
        <v>товари</v>
      </c>
      <c r="B4279" s="16" t="str">
        <f>IFERROR(__xludf.DUMMYFUNCTION("""COMPUTED_VALUE"""),"товари для дітей")</f>
        <v>товари для дітей</v>
      </c>
      <c r="C4279" s="16" t="str">
        <f>IFERROR(__xludf.DUMMYFUNCTION("""COMPUTED_VALUE"""),"канцтовари шкільні та дитячі")</f>
        <v>канцтовари шкільні та дитячі</v>
      </c>
      <c r="D4279" s="16" t="str">
        <f>IFERROR(__xludf.DUMMYFUNCTION("""COMPUTED_VALUE"""),"дитяча творчість та малювання")</f>
        <v>дитяча творчість та малювання</v>
      </c>
      <c r="E4279" s="16" t="str">
        <f>IFERROR(__xludf.DUMMYFUNCTION("""COMPUTED_VALUE"""),"пластилін та маса для ліплення")</f>
        <v>пластилін та маса для ліплення</v>
      </c>
      <c r="F4279" s="17">
        <f>IFERROR(__xludf.DUMMYFUNCTION("""COMPUTED_VALUE"""),4.0)</f>
        <v>4</v>
      </c>
      <c r="G4279" s="17" t="str">
        <f>IFERROR(__xludf.DUMMYFUNCTION("""COMPUTED_VALUE"""),"211120")</f>
        <v>211120</v>
      </c>
      <c r="H4279" s="17" t="str">
        <f>IFERROR(__xludf.DUMMYFUNCTION("""COMPUTED_VALUE"""),"пластилін та маса для ліплення")</f>
        <v>пластилін та маса для ліплення</v>
      </c>
      <c r="I4279" s="19">
        <f>IFERROR(__xludf.DUMMYFUNCTION("""COMPUTED_VALUE"""),0.0789)</f>
        <v>0.0789</v>
      </c>
      <c r="J4279" s="19">
        <f>IFERROR(__xludf.DUMMYFUNCTION("""COMPUTED_VALUE"""),0.1577)</f>
        <v>0.1577</v>
      </c>
      <c r="K4279" s="19">
        <f>IFERROR(__xludf.DUMMYFUNCTION("""COMPUTED_VALUE"""),0.1971)</f>
        <v>0.1971</v>
      </c>
      <c r="L4279" s="19">
        <f>IFERROR(__xludf.DUMMYFUNCTION("""COMPUTED_VALUE"""),0.2366)</f>
        <v>0.2366</v>
      </c>
      <c r="M4279" s="18">
        <f>IFERROR(__xludf.DUMMYFUNCTION("""COMPUTED_VALUE"""),2.79)</f>
        <v>2.79</v>
      </c>
    </row>
    <row r="4280">
      <c r="A4280" s="13" t="str">
        <f>IFERROR(__xludf.DUMMYFUNCTION("""COMPUTED_VALUE"""),"товари")</f>
        <v>товари</v>
      </c>
      <c r="B4280" s="16" t="str">
        <f>IFERROR(__xludf.DUMMYFUNCTION("""COMPUTED_VALUE"""),"товари для дітей")</f>
        <v>товари для дітей</v>
      </c>
      <c r="C4280" s="16" t="str">
        <f>IFERROR(__xludf.DUMMYFUNCTION("""COMPUTED_VALUE"""),"дитяче харчування")</f>
        <v>дитяче харчування</v>
      </c>
      <c r="D4280" s="16" t="str">
        <f>IFERROR(__xludf.DUMMYFUNCTION("""COMPUTED_VALUE"""),"пляшечки для годування та аксесуари")</f>
        <v>пляшечки для годування та аксесуари</v>
      </c>
      <c r="E4280" s="16" t="str">
        <f>IFERROR(__xludf.DUMMYFUNCTION("""COMPUTED_VALUE"""),"пляшечки для годування та аксесуари")</f>
        <v>пляшечки для годування та аксесуари</v>
      </c>
      <c r="F4280" s="17">
        <f>IFERROR(__xludf.DUMMYFUNCTION("""COMPUTED_VALUE"""),3.0)</f>
        <v>3</v>
      </c>
      <c r="G4280" s="17" t="str">
        <f>IFERROR(__xludf.DUMMYFUNCTION("""COMPUTED_VALUE"""),"15010103")</f>
        <v>15010103</v>
      </c>
      <c r="H4280" s="17" t="str">
        <f>IFERROR(__xludf.DUMMYFUNCTION("""COMPUTED_VALUE"""),"пляшечки для годування та аксесуари")</f>
        <v>пляшечки для годування та аксесуари</v>
      </c>
      <c r="I4280" s="21">
        <f>IFERROR(__xludf.DUMMYFUNCTION("""COMPUTED_VALUE"""),0.0482)</f>
        <v>0.0482</v>
      </c>
      <c r="J4280" s="21">
        <f>IFERROR(__xludf.DUMMYFUNCTION("""COMPUTED_VALUE"""),0.0963)</f>
        <v>0.0963</v>
      </c>
      <c r="K4280" s="21">
        <f>IFERROR(__xludf.DUMMYFUNCTION("""COMPUTED_VALUE"""),0.1204)</f>
        <v>0.1204</v>
      </c>
      <c r="L4280" s="21">
        <f>IFERROR(__xludf.DUMMYFUNCTION("""COMPUTED_VALUE"""),0.1445)</f>
        <v>0.1445</v>
      </c>
      <c r="M4280" s="29">
        <f>IFERROR(__xludf.DUMMYFUNCTION("""COMPUTED_VALUE"""),1.05)</f>
        <v>1.05</v>
      </c>
    </row>
    <row r="4281">
      <c r="A4281" s="13" t="str">
        <f>IFERROR(__xludf.DUMMYFUNCTION("""COMPUTED_VALUE"""),"товари")</f>
        <v>товари</v>
      </c>
      <c r="B4281" s="16" t="str">
        <f>IFERROR(__xludf.DUMMYFUNCTION("""COMPUTED_VALUE"""),"товари для дітей")</f>
        <v>товари для дітей</v>
      </c>
      <c r="C4281" s="16" t="str">
        <f>IFERROR(__xludf.DUMMYFUNCTION("""COMPUTED_VALUE"""),"дитячі ігри")</f>
        <v>дитячі ігри</v>
      </c>
      <c r="D4281" s="16" t="str">
        <f>IFERROR(__xludf.DUMMYFUNCTION("""COMPUTED_VALUE"""),"повітряні змії, вітрячки")</f>
        <v>повітряні змії, вітрячки</v>
      </c>
      <c r="E4281" s="16" t="str">
        <f>IFERROR(__xludf.DUMMYFUNCTION("""COMPUTED_VALUE"""),"повітряні змії, вітрячки")</f>
        <v>повітряні змії, вітрячки</v>
      </c>
      <c r="F4281" s="17">
        <f>IFERROR(__xludf.DUMMYFUNCTION("""COMPUTED_VALUE"""),3.0)</f>
        <v>3</v>
      </c>
      <c r="G4281" s="17" t="str">
        <f>IFERROR(__xludf.DUMMYFUNCTION("""COMPUTED_VALUE"""),"2639")</f>
        <v>2639</v>
      </c>
      <c r="H4281" s="17" t="str">
        <f>IFERROR(__xludf.DUMMYFUNCTION("""COMPUTED_VALUE"""),"повітряні змії, вітрячки")</f>
        <v>повітряні змії, вітрячки</v>
      </c>
      <c r="I4281" s="21">
        <f>IFERROR(__xludf.DUMMYFUNCTION("""COMPUTED_VALUE"""),0.094)</f>
        <v>0.094</v>
      </c>
      <c r="J4281" s="21">
        <f>IFERROR(__xludf.DUMMYFUNCTION("""COMPUTED_VALUE"""),0.1879)</f>
        <v>0.1879</v>
      </c>
      <c r="K4281" s="21">
        <f>IFERROR(__xludf.DUMMYFUNCTION("""COMPUTED_VALUE"""),0.2349)</f>
        <v>0.2349</v>
      </c>
      <c r="L4281" s="21">
        <f>IFERROR(__xludf.DUMMYFUNCTION("""COMPUTED_VALUE"""),0.2819)</f>
        <v>0.2819</v>
      </c>
      <c r="M4281" s="29">
        <f>IFERROR(__xludf.DUMMYFUNCTION("""COMPUTED_VALUE"""),2.7)</f>
        <v>2.7</v>
      </c>
    </row>
    <row r="4282">
      <c r="A4282" s="13" t="str">
        <f>IFERROR(__xludf.DUMMYFUNCTION("""COMPUTED_VALUE"""),"товари")</f>
        <v>товари</v>
      </c>
      <c r="B4282" s="16" t="str">
        <f>IFERROR(__xludf.DUMMYFUNCTION("""COMPUTED_VALUE"""),"товари для дітей")</f>
        <v>товари для дітей</v>
      </c>
      <c r="C4282" s="16" t="str">
        <f>IFERROR(__xludf.DUMMYFUNCTION("""COMPUTED_VALUE"""),"гігієна та догляд за дітьми")</f>
        <v>гігієна та догляд за дітьми</v>
      </c>
      <c r="D4282" s="16" t="str">
        <f>IFERROR(__xludf.DUMMYFUNCTION("""COMPUTED_VALUE"""),"пустушки та прорізувачі для зубів")</f>
        <v>пустушки та прорізувачі для зубів</v>
      </c>
      <c r="E4282" s="16" t="str">
        <f>IFERROR(__xludf.DUMMYFUNCTION("""COMPUTED_VALUE"""),"пустушки та прорізувачі для зубів")</f>
        <v>пустушки та прорізувачі для зубів</v>
      </c>
      <c r="F4282" s="17">
        <f>IFERROR(__xludf.DUMMYFUNCTION("""COMPUTED_VALUE"""),3.0)</f>
        <v>3</v>
      </c>
      <c r="G4282" s="17" t="str">
        <f>IFERROR(__xludf.DUMMYFUNCTION("""COMPUTED_VALUE"""),"15010105")</f>
        <v>15010105</v>
      </c>
      <c r="H4282" s="17" t="str">
        <f>IFERROR(__xludf.DUMMYFUNCTION("""COMPUTED_VALUE"""),"пустушки та прорізувачі для зубів")</f>
        <v>пустушки та прорізувачі для зубів</v>
      </c>
      <c r="I4282" s="21">
        <f>IFERROR(__xludf.DUMMYFUNCTION("""COMPUTED_VALUE"""),0.0488)</f>
        <v>0.0488</v>
      </c>
      <c r="J4282" s="21">
        <f>IFERROR(__xludf.DUMMYFUNCTION("""COMPUTED_VALUE"""),0.0976)</f>
        <v>0.0976</v>
      </c>
      <c r="K4282" s="21">
        <f>IFERROR(__xludf.DUMMYFUNCTION("""COMPUTED_VALUE"""),0.122)</f>
        <v>0.122</v>
      </c>
      <c r="L4282" s="21">
        <f>IFERROR(__xludf.DUMMYFUNCTION("""COMPUTED_VALUE"""),0.1464)</f>
        <v>0.1464</v>
      </c>
      <c r="M4282" s="29">
        <f>IFERROR(__xludf.DUMMYFUNCTION("""COMPUTED_VALUE"""),1.05)</f>
        <v>1.05</v>
      </c>
    </row>
    <row r="4283">
      <c r="A4283" s="13" t="str">
        <f>IFERROR(__xludf.DUMMYFUNCTION("""COMPUTED_VALUE"""),"товари")</f>
        <v>товари</v>
      </c>
      <c r="B4283" s="16" t="str">
        <f>IFERROR(__xludf.DUMMYFUNCTION("""COMPUTED_VALUE"""),"товари для дітей")</f>
        <v>товари для дітей</v>
      </c>
      <c r="C4283" s="16" t="str">
        <f>IFERROR(__xludf.DUMMYFUNCTION("""COMPUTED_VALUE"""),"іграшки")</f>
        <v>іграшки</v>
      </c>
      <c r="D4283" s="16" t="str">
        <f>IFERROR(__xludf.DUMMYFUNCTION("""COMPUTED_VALUE"""),"радіокеровані іграшки")</f>
        <v>радіокеровані іграшки</v>
      </c>
      <c r="E4283" s="16" t="str">
        <f>IFERROR(__xludf.DUMMYFUNCTION("""COMPUTED_VALUE"""),"радіокеровані іграшки")</f>
        <v>радіокеровані іграшки</v>
      </c>
      <c r="F4283" s="17">
        <f>IFERROR(__xludf.DUMMYFUNCTION("""COMPUTED_VALUE"""),3.0)</f>
        <v>3</v>
      </c>
      <c r="G4283" s="17" t="str">
        <f>IFERROR(__xludf.DUMMYFUNCTION("""COMPUTED_VALUE"""),"2613")</f>
        <v>2613</v>
      </c>
      <c r="H4283" s="17" t="str">
        <f>IFERROR(__xludf.DUMMYFUNCTION("""COMPUTED_VALUE"""),"радіокеровані іграшки")</f>
        <v>радіокеровані іграшки</v>
      </c>
      <c r="I4283" s="21">
        <f>IFERROR(__xludf.DUMMYFUNCTION("""COMPUTED_VALUE"""),0.078)</f>
        <v>0.078</v>
      </c>
      <c r="J4283" s="21">
        <f>IFERROR(__xludf.DUMMYFUNCTION("""COMPUTED_VALUE"""),0.1559)</f>
        <v>0.1559</v>
      </c>
      <c r="K4283" s="21">
        <f>IFERROR(__xludf.DUMMYFUNCTION("""COMPUTED_VALUE"""),0.1949)</f>
        <v>0.1949</v>
      </c>
      <c r="L4283" s="21">
        <f>IFERROR(__xludf.DUMMYFUNCTION("""COMPUTED_VALUE"""),0.2339)</f>
        <v>0.2339</v>
      </c>
      <c r="M4283" s="29">
        <f>IFERROR(__xludf.DUMMYFUNCTION("""COMPUTED_VALUE"""),3.15)</f>
        <v>3.15</v>
      </c>
    </row>
    <row r="4284">
      <c r="A4284" s="13" t="str">
        <f>IFERROR(__xludf.DUMMYFUNCTION("""COMPUTED_VALUE"""),"товари")</f>
        <v>товари</v>
      </c>
      <c r="B4284" s="13" t="str">
        <f>IFERROR(__xludf.DUMMYFUNCTION("""COMPUTED_VALUE"""),"товари для дітей")</f>
        <v>товари для дітей</v>
      </c>
      <c r="C4284" s="16" t="str">
        <f>IFERROR(__xludf.DUMMYFUNCTION("""COMPUTED_VALUE"""),"гігієна та догляд за дітьми")</f>
        <v>гігієна та догляд за дітьми</v>
      </c>
      <c r="D4284" s="16" t="str">
        <f>IFERROR(__xludf.DUMMYFUNCTION("""COMPUTED_VALUE"""),"радіоняні, відеоняні")</f>
        <v>радіоняні, відеоняні</v>
      </c>
      <c r="E4284" s="16" t="str">
        <f>IFERROR(__xludf.DUMMYFUNCTION("""COMPUTED_VALUE"""),"радіоняні, відеоняні")</f>
        <v>радіоняні, відеоняні</v>
      </c>
      <c r="F4284" s="17">
        <f>IFERROR(__xludf.DUMMYFUNCTION("""COMPUTED_VALUE"""),3.0)</f>
        <v>3</v>
      </c>
      <c r="G4284" s="17" t="str">
        <f>IFERROR(__xludf.DUMMYFUNCTION("""COMPUTED_VALUE"""),"15010508")</f>
        <v>15010508</v>
      </c>
      <c r="H4284" s="17" t="str">
        <f>IFERROR(__xludf.DUMMYFUNCTION("""COMPUTED_VALUE"""),"радіоняні, відеоняні")</f>
        <v>радіоняні, відеоняні</v>
      </c>
      <c r="I4284" s="21">
        <f>IFERROR(__xludf.DUMMYFUNCTION("""COMPUTED_VALUE"""),0.0779)</f>
        <v>0.0779</v>
      </c>
      <c r="J4284" s="21">
        <f>IFERROR(__xludf.DUMMYFUNCTION("""COMPUTED_VALUE"""),0.1557)</f>
        <v>0.1557</v>
      </c>
      <c r="K4284" s="21">
        <f>IFERROR(__xludf.DUMMYFUNCTION("""COMPUTED_VALUE"""),0.1946)</f>
        <v>0.1946</v>
      </c>
      <c r="L4284" s="21">
        <f>IFERROR(__xludf.DUMMYFUNCTION("""COMPUTED_VALUE"""),0.2336)</f>
        <v>0.2336</v>
      </c>
      <c r="M4284" s="29">
        <f>IFERROR(__xludf.DUMMYFUNCTION("""COMPUTED_VALUE"""),3.78)</f>
        <v>3.78</v>
      </c>
    </row>
    <row r="4285">
      <c r="A4285" s="13" t="str">
        <f>IFERROR(__xludf.DUMMYFUNCTION("""COMPUTED_VALUE"""),"товари")</f>
        <v>товари</v>
      </c>
      <c r="B4285" s="13" t="str">
        <f>IFERROR(__xludf.DUMMYFUNCTION("""COMPUTED_VALUE"""),"товари для дітей")</f>
        <v>товари для дітей</v>
      </c>
      <c r="C4285" s="16" t="str">
        <f>IFERROR(__xludf.DUMMYFUNCTION("""COMPUTED_VALUE"""),"іграшки")</f>
        <v>іграшки</v>
      </c>
      <c r="D4285" s="16" t="str">
        <f>IFERROR(__xludf.DUMMYFUNCTION("""COMPUTED_VALUE"""),"розвиваючі та ігрові килимки")</f>
        <v>розвиваючі та ігрові килимки</v>
      </c>
      <c r="E4285" s="16" t="str">
        <f>IFERROR(__xludf.DUMMYFUNCTION("""COMPUTED_VALUE"""),"розвиваючі та ігрові килимки")</f>
        <v>розвиваючі та ігрові килимки</v>
      </c>
      <c r="F4285" s="17">
        <f>IFERROR(__xludf.DUMMYFUNCTION("""COMPUTED_VALUE"""),3.0)</f>
        <v>3</v>
      </c>
      <c r="G4285" s="17" t="str">
        <f>IFERROR(__xludf.DUMMYFUNCTION("""COMPUTED_VALUE"""),"2652")</f>
        <v>2652</v>
      </c>
      <c r="H4285" s="17" t="str">
        <f>IFERROR(__xludf.DUMMYFUNCTION("""COMPUTED_VALUE"""),"розвиваючі та ігрові килимки")</f>
        <v>розвиваючі та ігрові килимки</v>
      </c>
      <c r="I4285" s="21">
        <f>IFERROR(__xludf.DUMMYFUNCTION("""COMPUTED_VALUE"""),0.0573)</f>
        <v>0.0573</v>
      </c>
      <c r="J4285" s="21">
        <f>IFERROR(__xludf.DUMMYFUNCTION("""COMPUTED_VALUE"""),0.1145)</f>
        <v>0.1145</v>
      </c>
      <c r="K4285" s="21">
        <f>IFERROR(__xludf.DUMMYFUNCTION("""COMPUTED_VALUE"""),0.1431)</f>
        <v>0.1431</v>
      </c>
      <c r="L4285" s="21">
        <f>IFERROR(__xludf.DUMMYFUNCTION("""COMPUTED_VALUE"""),0.1718)</f>
        <v>0.1718</v>
      </c>
      <c r="M4285" s="29">
        <f>IFERROR(__xludf.DUMMYFUNCTION("""COMPUTED_VALUE"""),4.23)</f>
        <v>4.23</v>
      </c>
    </row>
    <row r="4286">
      <c r="A4286" s="13" t="str">
        <f>IFERROR(__xludf.DUMMYFUNCTION("""COMPUTED_VALUE"""),"товари")</f>
        <v>товари</v>
      </c>
      <c r="B4286" s="13" t="str">
        <f>IFERROR(__xludf.DUMMYFUNCTION("""COMPUTED_VALUE"""),"товари для дітей")</f>
        <v>товари для дітей</v>
      </c>
      <c r="C4286" s="16" t="str">
        <f>IFERROR(__xludf.DUMMYFUNCTION("""COMPUTED_VALUE"""),"іграшки")</f>
        <v>іграшки</v>
      </c>
      <c r="D4286" s="16" t="str">
        <f>IFERROR(__xludf.DUMMYFUNCTION("""COMPUTED_VALUE"""),"розвиваючі та навчальні іграшки")</f>
        <v>розвиваючі та навчальні іграшки</v>
      </c>
      <c r="E4286" s="16" t="str">
        <f>IFERROR(__xludf.DUMMYFUNCTION("""COMPUTED_VALUE"""),"розвиваючі та навчальні іграшки")</f>
        <v>розвиваючі та навчальні іграшки</v>
      </c>
      <c r="F4286" s="17">
        <f>IFERROR(__xludf.DUMMYFUNCTION("""COMPUTED_VALUE"""),3.0)</f>
        <v>3</v>
      </c>
      <c r="G4286" s="17" t="str">
        <f>IFERROR(__xludf.DUMMYFUNCTION("""COMPUTED_VALUE"""),"2602")</f>
        <v>2602</v>
      </c>
      <c r="H4286" s="17" t="str">
        <f>IFERROR(__xludf.DUMMYFUNCTION("""COMPUTED_VALUE"""),"розвиваючі та навчальні іграшки")</f>
        <v>розвиваючі та навчальні іграшки</v>
      </c>
      <c r="I4286" s="21">
        <f>IFERROR(__xludf.DUMMYFUNCTION("""COMPUTED_VALUE"""),0.0544)</f>
        <v>0.0544</v>
      </c>
      <c r="J4286" s="21">
        <f>IFERROR(__xludf.DUMMYFUNCTION("""COMPUTED_VALUE"""),0.1087)</f>
        <v>0.1087</v>
      </c>
      <c r="K4286" s="21">
        <f>IFERROR(__xludf.DUMMYFUNCTION("""COMPUTED_VALUE"""),0.1359)</f>
        <v>0.1359</v>
      </c>
      <c r="L4286" s="21">
        <f>IFERROR(__xludf.DUMMYFUNCTION("""COMPUTED_VALUE"""),0.1631)</f>
        <v>0.1631</v>
      </c>
      <c r="M4286" s="29">
        <f>IFERROR(__xludf.DUMMYFUNCTION("""COMPUTED_VALUE"""),2.16)</f>
        <v>2.16</v>
      </c>
    </row>
    <row r="4287">
      <c r="A4287" s="13" t="str">
        <f>IFERROR(__xludf.DUMMYFUNCTION("""COMPUTED_VALUE"""),"товари")</f>
        <v>товари</v>
      </c>
      <c r="B4287" s="13" t="str">
        <f>IFERROR(__xludf.DUMMYFUNCTION("""COMPUTED_VALUE"""),"товари для дітей")</f>
        <v>товари для дітей</v>
      </c>
      <c r="C4287" s="16" t="str">
        <f>IFERROR(__xludf.DUMMYFUNCTION("""COMPUTED_VALUE"""),"книги для дітей")</f>
        <v>книги для дітей</v>
      </c>
      <c r="D4287" s="16" t="str">
        <f>IFERROR(__xludf.DUMMYFUNCTION("""COMPUTED_VALUE"""),"розмальовки")</f>
        <v>розмальовки</v>
      </c>
      <c r="E4287" s="16" t="str">
        <f>IFERROR(__xludf.DUMMYFUNCTION("""COMPUTED_VALUE"""),"розмальовки")</f>
        <v>розмальовки</v>
      </c>
      <c r="F4287" s="17">
        <f>IFERROR(__xludf.DUMMYFUNCTION("""COMPUTED_VALUE"""),3.0)</f>
        <v>3</v>
      </c>
      <c r="G4287" s="17" t="str">
        <f>IFERROR(__xludf.DUMMYFUNCTION("""COMPUTED_VALUE"""),"15011805")</f>
        <v>15011805</v>
      </c>
      <c r="H4287" s="17" t="str">
        <f>IFERROR(__xludf.DUMMYFUNCTION("""COMPUTED_VALUE"""),"розмальовки")</f>
        <v>розмальовки</v>
      </c>
      <c r="I4287" s="21">
        <f>IFERROR(__xludf.DUMMYFUNCTION("""COMPUTED_VALUE"""),0.0593)</f>
        <v>0.0593</v>
      </c>
      <c r="J4287" s="21">
        <f>IFERROR(__xludf.DUMMYFUNCTION("""COMPUTED_VALUE"""),0.1186)</f>
        <v>0.1186</v>
      </c>
      <c r="K4287" s="21">
        <f>IFERROR(__xludf.DUMMYFUNCTION("""COMPUTED_VALUE"""),0.1483)</f>
        <v>0.1483</v>
      </c>
      <c r="L4287" s="21">
        <f>IFERROR(__xludf.DUMMYFUNCTION("""COMPUTED_VALUE"""),0.1779)</f>
        <v>0.1779</v>
      </c>
      <c r="M4287" s="29">
        <f>IFERROR(__xludf.DUMMYFUNCTION("""COMPUTED_VALUE"""),1.05)</f>
        <v>1.05</v>
      </c>
    </row>
    <row r="4288">
      <c r="A4288" s="13" t="str">
        <f>IFERROR(__xludf.DUMMYFUNCTION("""COMPUTED_VALUE"""),"товари")</f>
        <v>товари</v>
      </c>
      <c r="B4288" s="13" t="str">
        <f>IFERROR(__xludf.DUMMYFUNCTION("""COMPUTED_VALUE"""),"товари для дітей")</f>
        <v>товари для дітей</v>
      </c>
      <c r="C4288" s="16" t="str">
        <f>IFERROR(__xludf.DUMMYFUNCTION("""COMPUTED_VALUE"""),"дитячі ігри")</f>
        <v>дитячі ігри</v>
      </c>
      <c r="D4288" s="16" t="str">
        <f>IFERROR(__xludf.DUMMYFUNCTION("""COMPUTED_VALUE"""),"рухливі, змагальні ігри")</f>
        <v>рухливі, змагальні ігри</v>
      </c>
      <c r="E4288" s="16" t="str">
        <f>IFERROR(__xludf.DUMMYFUNCTION("""COMPUTED_VALUE"""),"рухливі, змагальні ігри")</f>
        <v>рухливі, змагальні ігри</v>
      </c>
      <c r="F4288" s="17">
        <f>IFERROR(__xludf.DUMMYFUNCTION("""COMPUTED_VALUE"""),3.0)</f>
        <v>3</v>
      </c>
      <c r="G4288" s="17" t="str">
        <f>IFERROR(__xludf.DUMMYFUNCTION("""COMPUTED_VALUE"""),"264802")</f>
        <v>264802</v>
      </c>
      <c r="H4288" s="17" t="str">
        <f>IFERROR(__xludf.DUMMYFUNCTION("""COMPUTED_VALUE"""),"рухливі, змагальні ігри")</f>
        <v>рухливі, змагальні ігри</v>
      </c>
      <c r="I4288" s="21">
        <f>IFERROR(__xludf.DUMMYFUNCTION("""COMPUTED_VALUE"""),0.0744)</f>
        <v>0.0744</v>
      </c>
      <c r="J4288" s="21">
        <f>IFERROR(__xludf.DUMMYFUNCTION("""COMPUTED_VALUE"""),0.1488)</f>
        <v>0.1488</v>
      </c>
      <c r="K4288" s="21">
        <f>IFERROR(__xludf.DUMMYFUNCTION("""COMPUTED_VALUE"""),0.186)</f>
        <v>0.186</v>
      </c>
      <c r="L4288" s="21">
        <f>IFERROR(__xludf.DUMMYFUNCTION("""COMPUTED_VALUE"""),0.2232)</f>
        <v>0.2232</v>
      </c>
      <c r="M4288" s="29">
        <f>IFERROR(__xludf.DUMMYFUNCTION("""COMPUTED_VALUE"""),1.26)</f>
        <v>1.26</v>
      </c>
    </row>
    <row r="4289">
      <c r="A4289" s="13" t="str">
        <f>IFERROR(__xludf.DUMMYFUNCTION("""COMPUTED_VALUE"""),"товари")</f>
        <v>товари</v>
      </c>
      <c r="B4289" s="13" t="str">
        <f>IFERROR(__xludf.DUMMYFUNCTION("""COMPUTED_VALUE"""),"товари для дітей")</f>
        <v>товари для дітей</v>
      </c>
      <c r="C4289" s="16" t="str">
        <f>IFERROR(__xludf.DUMMYFUNCTION("""COMPUTED_VALUE"""),"гігієна та догляд за дітьми")</f>
        <v>гігієна та догляд за дітьми</v>
      </c>
      <c r="D4289" s="16" t="str">
        <f>IFERROR(__xludf.DUMMYFUNCTION("""COMPUTED_VALUE"""),"рюкзаки для перенесення дітей, слінги")</f>
        <v>рюкзаки для перенесення дітей, слінги</v>
      </c>
      <c r="E4289" s="16" t="str">
        <f>IFERROR(__xludf.DUMMYFUNCTION("""COMPUTED_VALUE"""),"рюкзаки для перенесення дітей, слінги")</f>
        <v>рюкзаки для перенесення дітей, слінги</v>
      </c>
      <c r="F4289" s="17">
        <f>IFERROR(__xludf.DUMMYFUNCTION("""COMPUTED_VALUE"""),3.0)</f>
        <v>3</v>
      </c>
      <c r="G4289" s="17" t="str">
        <f>IFERROR(__xludf.DUMMYFUNCTION("""COMPUTED_VALUE"""),"150108")</f>
        <v>150108</v>
      </c>
      <c r="H4289" s="17" t="str">
        <f>IFERROR(__xludf.DUMMYFUNCTION("""COMPUTED_VALUE"""),"рюкзаки для перенесення дітей, слінги")</f>
        <v>рюкзаки для перенесення дітей, слінги</v>
      </c>
      <c r="I4289" s="21">
        <f>IFERROR(__xludf.DUMMYFUNCTION("""COMPUTED_VALUE"""),0.081)</f>
        <v>0.081</v>
      </c>
      <c r="J4289" s="21">
        <f>IFERROR(__xludf.DUMMYFUNCTION("""COMPUTED_VALUE"""),0.1619)</f>
        <v>0.1619</v>
      </c>
      <c r="K4289" s="21">
        <f>IFERROR(__xludf.DUMMYFUNCTION("""COMPUTED_VALUE"""),0.2024)</f>
        <v>0.2024</v>
      </c>
      <c r="L4289" s="21">
        <f>IFERROR(__xludf.DUMMYFUNCTION("""COMPUTED_VALUE"""),0.2429)</f>
        <v>0.2429</v>
      </c>
      <c r="M4289" s="29">
        <f>IFERROR(__xludf.DUMMYFUNCTION("""COMPUTED_VALUE"""),1.05)</f>
        <v>1.05</v>
      </c>
    </row>
    <row r="4290">
      <c r="A4290" s="13" t="str">
        <f>IFERROR(__xludf.DUMMYFUNCTION("""COMPUTED_VALUE"""),"товари")</f>
        <v>товари</v>
      </c>
      <c r="B4290" s="13" t="str">
        <f>IFERROR(__xludf.DUMMYFUNCTION("""COMPUTED_VALUE"""),"товари для дітей")</f>
        <v>товари для дітей</v>
      </c>
      <c r="C4290" s="16" t="str">
        <f>IFERROR(__xludf.DUMMYFUNCTION("""COMPUTED_VALUE"""),"дитячі коляски та аксесуари")</f>
        <v>дитячі коляски та аксесуари</v>
      </c>
      <c r="D4290" s="16" t="str">
        <f>IFERROR(__xludf.DUMMYFUNCTION("""COMPUTED_VALUE"""),"рюкзаки-органайзери для мам")</f>
        <v>рюкзаки-органайзери для мам</v>
      </c>
      <c r="E4290" s="16" t="str">
        <f>IFERROR(__xludf.DUMMYFUNCTION("""COMPUTED_VALUE"""),"рюкзаки-органайзери для мам")</f>
        <v>рюкзаки-органайзери для мам</v>
      </c>
      <c r="F4290" s="17">
        <f>IFERROR(__xludf.DUMMYFUNCTION("""COMPUTED_VALUE"""),3.0)</f>
        <v>3</v>
      </c>
      <c r="G4290" s="17" t="str">
        <f>IFERROR(__xludf.DUMMYFUNCTION("""COMPUTED_VALUE"""),"15011312")</f>
        <v>15011312</v>
      </c>
      <c r="H4290" s="17" t="str">
        <f>IFERROR(__xludf.DUMMYFUNCTION("""COMPUTED_VALUE"""),"рюкзаки-органайзери для мам")</f>
        <v>рюкзаки-органайзери для мам</v>
      </c>
      <c r="I4290" s="21">
        <f>IFERROR(__xludf.DUMMYFUNCTION("""COMPUTED_VALUE"""),0.0963)</f>
        <v>0.0963</v>
      </c>
      <c r="J4290" s="21">
        <f>IFERROR(__xludf.DUMMYFUNCTION("""COMPUTED_VALUE"""),0.1926)</f>
        <v>0.1926</v>
      </c>
      <c r="K4290" s="21">
        <f>IFERROR(__xludf.DUMMYFUNCTION("""COMPUTED_VALUE"""),0.2408)</f>
        <v>0.2408</v>
      </c>
      <c r="L4290" s="21">
        <f>IFERROR(__xludf.DUMMYFUNCTION("""COMPUTED_VALUE"""),0.2889)</f>
        <v>0.2889</v>
      </c>
      <c r="M4290" s="29">
        <f>IFERROR(__xludf.DUMMYFUNCTION("""COMPUTED_VALUE"""),1.71)</f>
        <v>1.71</v>
      </c>
    </row>
    <row r="4291">
      <c r="A4291" s="13" t="str">
        <f>IFERROR(__xludf.DUMMYFUNCTION("""COMPUTED_VALUE"""),"товари")</f>
        <v>товари</v>
      </c>
      <c r="B4291" s="13" t="str">
        <f>IFERROR(__xludf.DUMMYFUNCTION("""COMPUTED_VALUE"""),"товари для дітей")</f>
        <v>товари для дітей</v>
      </c>
      <c r="C4291" s="16" t="str">
        <f>IFERROR(__xludf.DUMMYFUNCTION("""COMPUTED_VALUE"""),"дитячий транспорт та автокрісла")</f>
        <v>дитячий транспорт та автокрісла</v>
      </c>
      <c r="D4291" s="16" t="str">
        <f>IFERROR(__xludf.DUMMYFUNCTION("""COMPUTED_VALUE"""),"санки та снігокати")</f>
        <v>санки та снігокати</v>
      </c>
      <c r="E4291" s="16" t="str">
        <f>IFERROR(__xludf.DUMMYFUNCTION("""COMPUTED_VALUE"""),"санки та снігокати")</f>
        <v>санки та снігокати</v>
      </c>
      <c r="F4291" s="17">
        <f>IFERROR(__xludf.DUMMYFUNCTION("""COMPUTED_VALUE"""),3.0)</f>
        <v>3</v>
      </c>
      <c r="G4291" s="17" t="str">
        <f>IFERROR(__xludf.DUMMYFUNCTION("""COMPUTED_VALUE"""),"150110")</f>
        <v>150110</v>
      </c>
      <c r="H4291" s="17" t="str">
        <f>IFERROR(__xludf.DUMMYFUNCTION("""COMPUTED_VALUE"""),"санки та снігокати")</f>
        <v>санки та снігокати</v>
      </c>
      <c r="I4291" s="21">
        <f>IFERROR(__xludf.DUMMYFUNCTION("""COMPUTED_VALUE"""),0.0706)</f>
        <v>0.0706</v>
      </c>
      <c r="J4291" s="21">
        <f>IFERROR(__xludf.DUMMYFUNCTION("""COMPUTED_VALUE"""),0.1411)</f>
        <v>0.1411</v>
      </c>
      <c r="K4291" s="21">
        <f>IFERROR(__xludf.DUMMYFUNCTION("""COMPUTED_VALUE"""),0.1764)</f>
        <v>0.1764</v>
      </c>
      <c r="L4291" s="21">
        <f>IFERROR(__xludf.DUMMYFUNCTION("""COMPUTED_VALUE"""),0.2117)</f>
        <v>0.2117</v>
      </c>
      <c r="M4291" s="29">
        <f>IFERROR(__xludf.DUMMYFUNCTION("""COMPUTED_VALUE"""),3.15)</f>
        <v>3.15</v>
      </c>
    </row>
    <row r="4292">
      <c r="A4292" s="13" t="str">
        <f>IFERROR(__xludf.DUMMYFUNCTION("""COMPUTED_VALUE"""),"товари")</f>
        <v>товари</v>
      </c>
      <c r="B4292" s="13" t="str">
        <f>IFERROR(__xludf.DUMMYFUNCTION("""COMPUTED_VALUE"""),"товари для дітей")</f>
        <v>товари для дітей</v>
      </c>
      <c r="C4292" s="16" t="str">
        <f>IFERROR(__xludf.DUMMYFUNCTION("""COMPUTED_VALUE"""),"дитяче харчування")</f>
        <v>дитяче харчування</v>
      </c>
      <c r="D4292" s="16" t="str">
        <f>IFERROR(__xludf.DUMMYFUNCTION("""COMPUTED_VALUE"""),"слинявчики")</f>
        <v>слинявчики</v>
      </c>
      <c r="E4292" s="16" t="str">
        <f>IFERROR(__xludf.DUMMYFUNCTION("""COMPUTED_VALUE"""),"слинявчики")</f>
        <v>слинявчики</v>
      </c>
      <c r="F4292" s="17">
        <f>IFERROR(__xludf.DUMMYFUNCTION("""COMPUTED_VALUE"""),3.0)</f>
        <v>3</v>
      </c>
      <c r="G4292" s="17" t="str">
        <f>IFERROR(__xludf.DUMMYFUNCTION("""COMPUTED_VALUE"""),"15010501")</f>
        <v>15010501</v>
      </c>
      <c r="H4292" s="17" t="str">
        <f>IFERROR(__xludf.DUMMYFUNCTION("""COMPUTED_VALUE"""),"слинявчики")</f>
        <v>слинявчики</v>
      </c>
      <c r="I4292" s="21">
        <f>IFERROR(__xludf.DUMMYFUNCTION("""COMPUTED_VALUE"""),0.0488)</f>
        <v>0.0488</v>
      </c>
      <c r="J4292" s="21">
        <f>IFERROR(__xludf.DUMMYFUNCTION("""COMPUTED_VALUE"""),0.0976)</f>
        <v>0.0976</v>
      </c>
      <c r="K4292" s="21">
        <f>IFERROR(__xludf.DUMMYFUNCTION("""COMPUTED_VALUE"""),0.122)</f>
        <v>0.122</v>
      </c>
      <c r="L4292" s="21">
        <f>IFERROR(__xludf.DUMMYFUNCTION("""COMPUTED_VALUE"""),0.1464)</f>
        <v>0.1464</v>
      </c>
      <c r="M4292" s="29">
        <f>IFERROR(__xludf.DUMMYFUNCTION("""COMPUTED_VALUE"""),1.05)</f>
        <v>1.05</v>
      </c>
    </row>
    <row r="4293">
      <c r="A4293" s="13" t="str">
        <f>IFERROR(__xludf.DUMMYFUNCTION("""COMPUTED_VALUE"""),"товари")</f>
        <v>товари</v>
      </c>
      <c r="B4293" s="13" t="str">
        <f>IFERROR(__xludf.DUMMYFUNCTION("""COMPUTED_VALUE"""),"товари для дітей")</f>
        <v>товари для дітей</v>
      </c>
      <c r="C4293" s="16" t="str">
        <f>IFERROR(__xludf.DUMMYFUNCTION("""COMPUTED_VALUE"""),"дитяче харчування")</f>
        <v>дитяче харчування</v>
      </c>
      <c r="D4293" s="16" t="str">
        <f>IFERROR(__xludf.DUMMYFUNCTION("""COMPUTED_VALUE"""),"стерилізатори та підігрівачі для дитячого харчування")</f>
        <v>стерилізатори та підігрівачі для дитячого харчування</v>
      </c>
      <c r="E4293" s="16" t="str">
        <f>IFERROR(__xludf.DUMMYFUNCTION("""COMPUTED_VALUE"""),"стерилізатори та підігрівачі для дитячого харчування")</f>
        <v>стерилізатори та підігрівачі для дитячого харчування</v>
      </c>
      <c r="F4293" s="17">
        <f>IFERROR(__xludf.DUMMYFUNCTION("""COMPUTED_VALUE"""),3.0)</f>
        <v>3</v>
      </c>
      <c r="G4293" s="17" t="str">
        <f>IFERROR(__xludf.DUMMYFUNCTION("""COMPUTED_VALUE"""),"15010102")</f>
        <v>15010102</v>
      </c>
      <c r="H4293" s="17" t="str">
        <f>IFERROR(__xludf.DUMMYFUNCTION("""COMPUTED_VALUE"""),"стерилізатори та підігрівачі для дитячого харчування")</f>
        <v>стерилізатори та підігрівачі для дитячого харчування</v>
      </c>
      <c r="I4293" s="21">
        <f>IFERROR(__xludf.DUMMYFUNCTION("""COMPUTED_VALUE"""),0.0485)</f>
        <v>0.0485</v>
      </c>
      <c r="J4293" s="21">
        <f>IFERROR(__xludf.DUMMYFUNCTION("""COMPUTED_VALUE"""),0.097)</f>
        <v>0.097</v>
      </c>
      <c r="K4293" s="21">
        <f>IFERROR(__xludf.DUMMYFUNCTION("""COMPUTED_VALUE"""),0.1213)</f>
        <v>0.1213</v>
      </c>
      <c r="L4293" s="21">
        <f>IFERROR(__xludf.DUMMYFUNCTION("""COMPUTED_VALUE"""),0.1455)</f>
        <v>0.1455</v>
      </c>
      <c r="M4293" s="29">
        <f>IFERROR(__xludf.DUMMYFUNCTION("""COMPUTED_VALUE"""),1.05)</f>
        <v>1.05</v>
      </c>
    </row>
    <row r="4294">
      <c r="A4294" s="13" t="str">
        <f>IFERROR(__xludf.DUMMYFUNCTION("""COMPUTED_VALUE"""),"товари")</f>
        <v>товари</v>
      </c>
      <c r="B4294" s="13" t="str">
        <f>IFERROR(__xludf.DUMMYFUNCTION("""COMPUTED_VALUE"""),"товари для дітей")</f>
        <v>товари для дітей</v>
      </c>
      <c r="C4294" s="16" t="str">
        <f>IFERROR(__xludf.DUMMYFUNCTION("""COMPUTED_VALUE"""),"дитячі меблі")</f>
        <v>дитячі меблі</v>
      </c>
      <c r="D4294" s="16" t="str">
        <f>IFERROR(__xludf.DUMMYFUNCTION("""COMPUTED_VALUE"""),"стільчики для годування")</f>
        <v>стільчики для годування</v>
      </c>
      <c r="E4294" s="16" t="str">
        <f>IFERROR(__xludf.DUMMYFUNCTION("""COMPUTED_VALUE"""),"стільчики для годування")</f>
        <v>стільчики для годування</v>
      </c>
      <c r="F4294" s="17">
        <f>IFERROR(__xludf.DUMMYFUNCTION("""COMPUTED_VALUE"""),3.0)</f>
        <v>3</v>
      </c>
      <c r="G4294" s="17" t="str">
        <f>IFERROR(__xludf.DUMMYFUNCTION("""COMPUTED_VALUE"""),"371314")</f>
        <v>371314</v>
      </c>
      <c r="H4294" s="17" t="str">
        <f>IFERROR(__xludf.DUMMYFUNCTION("""COMPUTED_VALUE"""),"стільчики для годування")</f>
        <v>стільчики для годування</v>
      </c>
      <c r="I4294" s="21">
        <f>IFERROR(__xludf.DUMMYFUNCTION("""COMPUTED_VALUE"""),0.0464)</f>
        <v>0.0464</v>
      </c>
      <c r="J4294" s="21">
        <f>IFERROR(__xludf.DUMMYFUNCTION("""COMPUTED_VALUE"""),0.0928)</f>
        <v>0.0928</v>
      </c>
      <c r="K4294" s="21">
        <f>IFERROR(__xludf.DUMMYFUNCTION("""COMPUTED_VALUE"""),0.116)</f>
        <v>0.116</v>
      </c>
      <c r="L4294" s="21">
        <f>IFERROR(__xludf.DUMMYFUNCTION("""COMPUTED_VALUE"""),0.1392)</f>
        <v>0.1392</v>
      </c>
      <c r="M4294" s="29">
        <f>IFERROR(__xludf.DUMMYFUNCTION("""COMPUTED_VALUE"""),2.34)</f>
        <v>2.34</v>
      </c>
    </row>
    <row r="4295">
      <c r="A4295" s="13" t="str">
        <f>IFERROR(__xludf.DUMMYFUNCTION("""COMPUTED_VALUE"""),"товари")</f>
        <v>товари</v>
      </c>
      <c r="B4295" s="13" t="str">
        <f>IFERROR(__xludf.DUMMYFUNCTION("""COMPUTED_VALUE"""),"товари для дітей")</f>
        <v>товари для дітей</v>
      </c>
      <c r="C4295" s="16" t="str">
        <f>IFERROR(__xludf.DUMMYFUNCTION("""COMPUTED_VALUE"""),"іграшки")</f>
        <v>іграшки</v>
      </c>
      <c r="D4295" s="16" t="str">
        <f>IFERROR(__xludf.DUMMYFUNCTION("""COMPUTED_VALUE"""),"тематичні ігрові набори")</f>
        <v>тематичні ігрові набори</v>
      </c>
      <c r="E4295" s="16" t="str">
        <f>IFERROR(__xludf.DUMMYFUNCTION("""COMPUTED_VALUE"""),"тематичні ігрові набори")</f>
        <v>тематичні ігрові набори</v>
      </c>
      <c r="F4295" s="17">
        <f>IFERROR(__xludf.DUMMYFUNCTION("""COMPUTED_VALUE"""),3.0)</f>
        <v>3</v>
      </c>
      <c r="G4295" s="17" t="str">
        <f>IFERROR(__xludf.DUMMYFUNCTION("""COMPUTED_VALUE"""),"2629")</f>
        <v>2629</v>
      </c>
      <c r="H4295" s="17" t="str">
        <f>IFERROR(__xludf.DUMMYFUNCTION("""COMPUTED_VALUE"""),"тематичні ігрові набори")</f>
        <v>тематичні ігрові набори</v>
      </c>
      <c r="I4295" s="21">
        <f>IFERROR(__xludf.DUMMYFUNCTION("""COMPUTED_VALUE"""),0.098)</f>
        <v>0.098</v>
      </c>
      <c r="J4295" s="21">
        <f>IFERROR(__xludf.DUMMYFUNCTION("""COMPUTED_VALUE"""),0.1959)</f>
        <v>0.1959</v>
      </c>
      <c r="K4295" s="21">
        <f>IFERROR(__xludf.DUMMYFUNCTION("""COMPUTED_VALUE"""),0.2449)</f>
        <v>0.2449</v>
      </c>
      <c r="L4295" s="21">
        <f>IFERROR(__xludf.DUMMYFUNCTION("""COMPUTED_VALUE"""),0.2939)</f>
        <v>0.2939</v>
      </c>
      <c r="M4295" s="29">
        <f>IFERROR(__xludf.DUMMYFUNCTION("""COMPUTED_VALUE"""),1.71)</f>
        <v>1.71</v>
      </c>
    </row>
    <row r="4296">
      <c r="A4296" s="13" t="str">
        <f>IFERROR(__xludf.DUMMYFUNCTION("""COMPUTED_VALUE"""),"товари")</f>
        <v>товари</v>
      </c>
      <c r="B4296" s="13" t="str">
        <f>IFERROR(__xludf.DUMMYFUNCTION("""COMPUTED_VALUE"""),"товари для дітей")</f>
        <v>товари для дітей</v>
      </c>
      <c r="C4296" s="16" t="str">
        <f>IFERROR(__xludf.DUMMYFUNCTION("""COMPUTED_VALUE"""),"гігієна та догляд за дітьми")</f>
        <v>гігієна та догляд за дітьми</v>
      </c>
      <c r="D4296" s="16" t="str">
        <f>IFERROR(__xludf.DUMMYFUNCTION("""COMPUTED_VALUE"""),"тканинні пелюшки")</f>
        <v>тканинні пелюшки</v>
      </c>
      <c r="E4296" s="16" t="str">
        <f>IFERROR(__xludf.DUMMYFUNCTION("""COMPUTED_VALUE"""),"тканинні пелюшки")</f>
        <v>тканинні пелюшки</v>
      </c>
      <c r="F4296" s="17">
        <f>IFERROR(__xludf.DUMMYFUNCTION("""COMPUTED_VALUE"""),3.0)</f>
        <v>3</v>
      </c>
      <c r="G4296" s="17" t="str">
        <f>IFERROR(__xludf.DUMMYFUNCTION("""COMPUTED_VALUE"""),"15010510")</f>
        <v>15010510</v>
      </c>
      <c r="H4296" s="17" t="str">
        <f>IFERROR(__xludf.DUMMYFUNCTION("""COMPUTED_VALUE"""),"тканинні пелюшки")</f>
        <v>тканинні пелюшки</v>
      </c>
      <c r="I4296" s="21">
        <f>IFERROR(__xludf.DUMMYFUNCTION("""COMPUTED_VALUE"""),0.0518)</f>
        <v>0.0518</v>
      </c>
      <c r="J4296" s="21">
        <f>IFERROR(__xludf.DUMMYFUNCTION("""COMPUTED_VALUE"""),0.1035)</f>
        <v>0.1035</v>
      </c>
      <c r="K4296" s="21">
        <f>IFERROR(__xludf.DUMMYFUNCTION("""COMPUTED_VALUE"""),0.1294)</f>
        <v>0.1294</v>
      </c>
      <c r="L4296" s="21">
        <f>IFERROR(__xludf.DUMMYFUNCTION("""COMPUTED_VALUE"""),0.1553)</f>
        <v>0.1553</v>
      </c>
      <c r="M4296" s="29">
        <f>IFERROR(__xludf.DUMMYFUNCTION("""COMPUTED_VALUE"""),1.05)</f>
        <v>1.05</v>
      </c>
    </row>
    <row r="4297">
      <c r="A4297" s="13" t="str">
        <f>IFERROR(__xludf.DUMMYFUNCTION("""COMPUTED_VALUE"""),"товари")</f>
        <v>товари</v>
      </c>
      <c r="B4297" s="13" t="str">
        <f>IFERROR(__xludf.DUMMYFUNCTION("""COMPUTED_VALUE"""),"товари для дітей")</f>
        <v>товари для дітей</v>
      </c>
      <c r="C4297" s="16" t="str">
        <f>IFERROR(__xludf.DUMMYFUNCTION("""COMPUTED_VALUE"""),"канцтовари шкільні та дитячі")</f>
        <v>канцтовари шкільні та дитячі</v>
      </c>
      <c r="D4297" s="16" t="str">
        <f>IFERROR(__xludf.DUMMYFUNCTION("""COMPUTED_VALUE"""),"дитяча творчість та малювання")</f>
        <v>дитяча творчість та малювання</v>
      </c>
      <c r="E4297" s="16" t="str">
        <f>IFERROR(__xludf.DUMMYFUNCTION("""COMPUTED_VALUE"""),"товари для дитячої творчості")</f>
        <v>товари для дитячої творчості</v>
      </c>
      <c r="F4297" s="17">
        <f>IFERROR(__xludf.DUMMYFUNCTION("""COMPUTED_VALUE"""),4.0)</f>
        <v>4</v>
      </c>
      <c r="G4297" s="17" t="str">
        <f>IFERROR(__xludf.DUMMYFUNCTION("""COMPUTED_VALUE"""),"15011904")</f>
        <v>15011904</v>
      </c>
      <c r="H4297" s="17" t="str">
        <f>IFERROR(__xludf.DUMMYFUNCTION("""COMPUTED_VALUE"""),"товари для дитячої творчості")</f>
        <v>товари для дитячої творчості</v>
      </c>
      <c r="I4297" s="21">
        <f>IFERROR(__xludf.DUMMYFUNCTION("""COMPUTED_VALUE"""),0.0956)</f>
        <v>0.0956</v>
      </c>
      <c r="J4297" s="21">
        <f>IFERROR(__xludf.DUMMYFUNCTION("""COMPUTED_VALUE"""),0.1912)</f>
        <v>0.1912</v>
      </c>
      <c r="K4297" s="21">
        <f>IFERROR(__xludf.DUMMYFUNCTION("""COMPUTED_VALUE"""),0.239)</f>
        <v>0.239</v>
      </c>
      <c r="L4297" s="21">
        <f>IFERROR(__xludf.DUMMYFUNCTION("""COMPUTED_VALUE"""),0.2868)</f>
        <v>0.2868</v>
      </c>
      <c r="M4297" s="29">
        <f>IFERROR(__xludf.DUMMYFUNCTION("""COMPUTED_VALUE"""),2.79)</f>
        <v>2.79</v>
      </c>
    </row>
    <row r="4298">
      <c r="A4298" s="13" t="str">
        <f>IFERROR(__xludf.DUMMYFUNCTION("""COMPUTED_VALUE"""),"товари")</f>
        <v>товари</v>
      </c>
      <c r="B4298" s="13" t="str">
        <f>IFERROR(__xludf.DUMMYFUNCTION("""COMPUTED_VALUE"""),"товари для дітей")</f>
        <v>товари для дітей</v>
      </c>
      <c r="C4298" s="16" t="str">
        <f>IFERROR(__xludf.DUMMYFUNCTION("""COMPUTED_VALUE"""),"товари для дітей, загальне")</f>
        <v>товари для дітей, загальне</v>
      </c>
      <c r="D4298" s="16" t="str">
        <f>IFERROR(__xludf.DUMMYFUNCTION("""COMPUTED_VALUE"""),"товари для дітей, загальне")</f>
        <v>товари для дітей, загальне</v>
      </c>
      <c r="E4298" s="16" t="str">
        <f>IFERROR(__xludf.DUMMYFUNCTION("""COMPUTED_VALUE"""),"товари для дітей, загальне")</f>
        <v>товари для дітей, загальне</v>
      </c>
      <c r="F4298" s="17">
        <f>IFERROR(__xludf.DUMMYFUNCTION("""COMPUTED_VALUE"""),2.0)</f>
        <v>2</v>
      </c>
      <c r="G4298" s="17" t="str">
        <f>IFERROR(__xludf.DUMMYFUNCTION("""COMPUTED_VALUE"""),"150199")</f>
        <v>150199</v>
      </c>
      <c r="H4298" s="17" t="str">
        <f>IFERROR(__xludf.DUMMYFUNCTION("""COMPUTED_VALUE"""),"товари для дітей, загальне")</f>
        <v>товари для дітей, загальне</v>
      </c>
      <c r="I4298" s="21">
        <f>IFERROR(__xludf.DUMMYFUNCTION("""COMPUTED_VALUE"""),0.125)</f>
        <v>0.125</v>
      </c>
      <c r="J4298" s="21">
        <f>IFERROR(__xludf.DUMMYFUNCTION("""COMPUTED_VALUE"""),0.25)</f>
        <v>0.25</v>
      </c>
      <c r="K4298" s="21">
        <f>IFERROR(__xludf.DUMMYFUNCTION("""COMPUTED_VALUE"""),0.3125)</f>
        <v>0.3125</v>
      </c>
      <c r="L4298" s="21">
        <f>IFERROR(__xludf.DUMMYFUNCTION("""COMPUTED_VALUE"""),0.375)</f>
        <v>0.375</v>
      </c>
      <c r="M4298" s="29">
        <f>IFERROR(__xludf.DUMMYFUNCTION("""COMPUTED_VALUE"""),4.33)</f>
        <v>4.33</v>
      </c>
    </row>
    <row r="4299">
      <c r="A4299" s="13" t="str">
        <f>IFERROR(__xludf.DUMMYFUNCTION("""COMPUTED_VALUE"""),"товари")</f>
        <v>товари</v>
      </c>
      <c r="B4299" s="13" t="str">
        <f>IFERROR(__xludf.DUMMYFUNCTION("""COMPUTED_VALUE"""),"товари для дітей")</f>
        <v>товари для дітей</v>
      </c>
      <c r="C4299" s="16" t="str">
        <f>IFERROR(__xludf.DUMMYFUNCTION("""COMPUTED_VALUE"""),"дитячі ігри")</f>
        <v>дитячі ігри</v>
      </c>
      <c r="D4299" s="16" t="str">
        <f>IFERROR(__xludf.DUMMYFUNCTION("""COMPUTED_VALUE"""),"фінгери та аксесуари")</f>
        <v>фінгери та аксесуари</v>
      </c>
      <c r="E4299" s="16" t="str">
        <f>IFERROR(__xludf.DUMMYFUNCTION("""COMPUTED_VALUE"""),"фінгери та аксесуари")</f>
        <v>фінгери та аксесуари</v>
      </c>
      <c r="F4299" s="17">
        <f>IFERROR(__xludf.DUMMYFUNCTION("""COMPUTED_VALUE"""),3.0)</f>
        <v>3</v>
      </c>
      <c r="G4299" s="17" t="str">
        <f>IFERROR(__xludf.DUMMYFUNCTION("""COMPUTED_VALUE"""),"180612")</f>
        <v>180612</v>
      </c>
      <c r="H4299" s="17" t="str">
        <f>IFERROR(__xludf.DUMMYFUNCTION("""COMPUTED_VALUE"""),"фінгери та аксесуари")</f>
        <v>фінгери та аксесуари</v>
      </c>
      <c r="I4299" s="21">
        <f>IFERROR(__xludf.DUMMYFUNCTION("""COMPUTED_VALUE"""),0.0747)</f>
        <v>0.0747</v>
      </c>
      <c r="J4299" s="21">
        <f>IFERROR(__xludf.DUMMYFUNCTION("""COMPUTED_VALUE"""),0.1494)</f>
        <v>0.1494</v>
      </c>
      <c r="K4299" s="21">
        <f>IFERROR(__xludf.DUMMYFUNCTION("""COMPUTED_VALUE"""),0.1868)</f>
        <v>0.1868</v>
      </c>
      <c r="L4299" s="21">
        <f>IFERROR(__xludf.DUMMYFUNCTION("""COMPUTED_VALUE"""),0.2241)</f>
        <v>0.2241</v>
      </c>
      <c r="M4299" s="29">
        <f>IFERROR(__xludf.DUMMYFUNCTION("""COMPUTED_VALUE"""),1.05)</f>
        <v>1.05</v>
      </c>
    </row>
    <row r="4300">
      <c r="A4300" s="13" t="str">
        <f>IFERROR(__xludf.DUMMYFUNCTION("""COMPUTED_VALUE"""),"товари")</f>
        <v>товари</v>
      </c>
      <c r="B4300" s="13" t="str">
        <f>IFERROR(__xludf.DUMMYFUNCTION("""COMPUTED_VALUE"""),"товари для дітей")</f>
        <v>товари для дітей</v>
      </c>
      <c r="C4300" s="16" t="str">
        <f>IFERROR(__xludf.DUMMYFUNCTION("""COMPUTED_VALUE"""),"дитячі меблі")</f>
        <v>дитячі меблі</v>
      </c>
      <c r="D4300" s="16" t="str">
        <f>IFERROR(__xludf.DUMMYFUNCTION("""COMPUTED_VALUE"""),"ящики та комоди для іграшок")</f>
        <v>ящики та комоди для іграшок</v>
      </c>
      <c r="E4300" s="16" t="str">
        <f>IFERROR(__xludf.DUMMYFUNCTION("""COMPUTED_VALUE"""),"ящики та комоди для іграшок")</f>
        <v>ящики та комоди для іграшок</v>
      </c>
      <c r="F4300" s="17">
        <f>IFERROR(__xludf.DUMMYFUNCTION("""COMPUTED_VALUE"""),3.0)</f>
        <v>3</v>
      </c>
      <c r="G4300" s="17" t="str">
        <f>IFERROR(__xludf.DUMMYFUNCTION("""COMPUTED_VALUE"""),"371311")</f>
        <v>371311</v>
      </c>
      <c r="H4300" s="17" t="str">
        <f>IFERROR(__xludf.DUMMYFUNCTION("""COMPUTED_VALUE"""),"ящики та комоди для іграшок")</f>
        <v>ящики та комоди для іграшок</v>
      </c>
      <c r="I4300" s="21">
        <f>IFERROR(__xludf.DUMMYFUNCTION("""COMPUTED_VALUE"""),0.0741)</f>
        <v>0.0741</v>
      </c>
      <c r="J4300" s="21">
        <f>IFERROR(__xludf.DUMMYFUNCTION("""COMPUTED_VALUE"""),0.1481)</f>
        <v>0.1481</v>
      </c>
      <c r="K4300" s="21">
        <f>IFERROR(__xludf.DUMMYFUNCTION("""COMPUTED_VALUE"""),0.1851)</f>
        <v>0.1851</v>
      </c>
      <c r="L4300" s="21">
        <f>IFERROR(__xludf.DUMMYFUNCTION("""COMPUTED_VALUE"""),0.2222)</f>
        <v>0.2222</v>
      </c>
      <c r="M4300" s="29">
        <f>IFERROR(__xludf.DUMMYFUNCTION("""COMPUTED_VALUE"""),1.71)</f>
        <v>1.71</v>
      </c>
    </row>
    <row r="4301">
      <c r="A4301" s="13" t="str">
        <f>IFERROR(__xludf.DUMMYFUNCTION("""COMPUTED_VALUE"""),"товари")</f>
        <v>товари</v>
      </c>
      <c r="B4301" s="13" t="str">
        <f>IFERROR(__xludf.DUMMYFUNCTION("""COMPUTED_VALUE"""),"товари, загальне")</f>
        <v>товари, загальне</v>
      </c>
      <c r="C4301" s="16" t="str">
        <f>IFERROR(__xludf.DUMMYFUNCTION("""COMPUTED_VALUE"""),"товари, загальне")</f>
        <v>товари, загальне</v>
      </c>
      <c r="D4301" s="16" t="str">
        <f>IFERROR(__xludf.DUMMYFUNCTION("""COMPUTED_VALUE"""),"товари, загальне")</f>
        <v>товари, загальне</v>
      </c>
      <c r="E4301" s="16" t="str">
        <f>IFERROR(__xludf.DUMMYFUNCTION("""COMPUTED_VALUE"""),"товари, загальне")</f>
        <v>товари, загальне</v>
      </c>
      <c r="F4301" s="17">
        <f>IFERROR(__xludf.DUMMYFUNCTION("""COMPUTED_VALUE"""),1.0)</f>
        <v>1</v>
      </c>
      <c r="G4301" s="17" t="str">
        <f>IFERROR(__xludf.DUMMYFUNCTION("""COMPUTED_VALUE"""),"29")</f>
        <v>29</v>
      </c>
      <c r="H4301" s="17" t="str">
        <f>IFERROR(__xludf.DUMMYFUNCTION("""COMPUTED_VALUE"""),"товари, загальне")</f>
        <v>товари, загальне</v>
      </c>
      <c r="I4301" s="21">
        <f>IFERROR(__xludf.DUMMYFUNCTION("""COMPUTED_VALUE"""),0.125)</f>
        <v>0.125</v>
      </c>
      <c r="J4301" s="21">
        <f>IFERROR(__xludf.DUMMYFUNCTION("""COMPUTED_VALUE"""),0.25)</f>
        <v>0.25</v>
      </c>
      <c r="K4301" s="21">
        <f>IFERROR(__xludf.DUMMYFUNCTION("""COMPUTED_VALUE"""),0.3125)</f>
        <v>0.3125</v>
      </c>
      <c r="L4301" s="21">
        <f>IFERROR(__xludf.DUMMYFUNCTION("""COMPUTED_VALUE"""),0.375)</f>
        <v>0.375</v>
      </c>
      <c r="M4301" s="29">
        <f>IFERROR(__xludf.DUMMYFUNCTION("""COMPUTED_VALUE"""),4.33)</f>
        <v>4.33</v>
      </c>
    </row>
    <row r="4302">
      <c r="A4302" s="13"/>
      <c r="B4302" s="13"/>
      <c r="C4302" s="16"/>
      <c r="D4302" s="16"/>
      <c r="E4302" s="16"/>
      <c r="F4302" s="23"/>
      <c r="G4302" s="17"/>
      <c r="H4302" s="17"/>
      <c r="I4302" s="21"/>
      <c r="J4302" s="21"/>
      <c r="K4302" s="21"/>
      <c r="L4302" s="21"/>
      <c r="M4302" s="29"/>
    </row>
    <row r="4303">
      <c r="A4303" s="13"/>
      <c r="B4303" s="13"/>
      <c r="C4303" s="16"/>
      <c r="D4303" s="16"/>
      <c r="E4303" s="16"/>
      <c r="F4303" s="23"/>
      <c r="G4303" s="17"/>
      <c r="H4303" s="17"/>
      <c r="I4303" s="21"/>
      <c r="J4303" s="21"/>
      <c r="K4303" s="21"/>
      <c r="L4303" s="21"/>
      <c r="M4303" s="29"/>
    </row>
    <row r="4304">
      <c r="A4304" s="13"/>
      <c r="B4304" s="13"/>
      <c r="C4304" s="16"/>
      <c r="D4304" s="16"/>
      <c r="E4304" s="16"/>
      <c r="F4304" s="23"/>
      <c r="G4304" s="17"/>
      <c r="H4304" s="17"/>
      <c r="I4304" s="21"/>
      <c r="J4304" s="21"/>
      <c r="K4304" s="21"/>
      <c r="L4304" s="21"/>
      <c r="M4304" s="29"/>
    </row>
    <row r="4305">
      <c r="A4305" s="13"/>
      <c r="B4305" s="13"/>
      <c r="C4305" s="16"/>
      <c r="D4305" s="16"/>
      <c r="E4305" s="16"/>
      <c r="F4305" s="23"/>
      <c r="G4305" s="17"/>
      <c r="H4305" s="17"/>
      <c r="I4305" s="21"/>
      <c r="J4305" s="21"/>
      <c r="K4305" s="21"/>
      <c r="L4305" s="21"/>
      <c r="M4305" s="29"/>
    </row>
    <row r="4306">
      <c r="A4306" s="13"/>
      <c r="B4306" s="13"/>
      <c r="C4306" s="16"/>
      <c r="D4306" s="16"/>
      <c r="E4306" s="16"/>
      <c r="F4306" s="23"/>
      <c r="G4306" s="17"/>
      <c r="H4306" s="17"/>
      <c r="I4306" s="21"/>
      <c r="J4306" s="21"/>
      <c r="K4306" s="21"/>
      <c r="L4306" s="21"/>
      <c r="M4306" s="29"/>
    </row>
    <row r="4307">
      <c r="A4307" s="13"/>
      <c r="B4307" s="13"/>
      <c r="C4307" s="16"/>
      <c r="D4307" s="16"/>
      <c r="E4307" s="16"/>
      <c r="F4307" s="23"/>
      <c r="G4307" s="17"/>
      <c r="H4307" s="17"/>
      <c r="I4307" s="21"/>
      <c r="J4307" s="21"/>
      <c r="K4307" s="21"/>
      <c r="L4307" s="21"/>
      <c r="M4307" s="29"/>
    </row>
    <row r="4308">
      <c r="A4308" s="13"/>
      <c r="B4308" s="13"/>
      <c r="C4308" s="16"/>
      <c r="D4308" s="16"/>
      <c r="E4308" s="16"/>
      <c r="F4308" s="23"/>
      <c r="G4308" s="17"/>
      <c r="H4308" s="17"/>
      <c r="I4308" s="21"/>
      <c r="J4308" s="21"/>
      <c r="K4308" s="21"/>
      <c r="L4308" s="21"/>
      <c r="M4308" s="29"/>
    </row>
    <row r="4309">
      <c r="A4309" s="13"/>
      <c r="B4309" s="13"/>
      <c r="C4309" s="16"/>
      <c r="D4309" s="16"/>
      <c r="E4309" s="16"/>
      <c r="F4309" s="23"/>
      <c r="G4309" s="17"/>
      <c r="H4309" s="17"/>
      <c r="I4309" s="21"/>
      <c r="J4309" s="21"/>
      <c r="K4309" s="21"/>
      <c r="L4309" s="21"/>
      <c r="M4309" s="29"/>
    </row>
    <row r="4310">
      <c r="A4310" s="13"/>
      <c r="B4310" s="13"/>
      <c r="C4310" s="16"/>
      <c r="D4310" s="16"/>
      <c r="E4310" s="16"/>
      <c r="F4310" s="23"/>
      <c r="G4310" s="17"/>
      <c r="H4310" s="17"/>
      <c r="I4310" s="21"/>
      <c r="J4310" s="21"/>
      <c r="K4310" s="21"/>
      <c r="L4310" s="21"/>
      <c r="M4310" s="29"/>
    </row>
    <row r="4311">
      <c r="A4311" s="13"/>
      <c r="B4311" s="13"/>
      <c r="C4311" s="16"/>
      <c r="D4311" s="16"/>
      <c r="E4311" s="16"/>
      <c r="F4311" s="23"/>
      <c r="G4311" s="17"/>
      <c r="H4311" s="17"/>
      <c r="I4311" s="21"/>
      <c r="J4311" s="21"/>
      <c r="K4311" s="21"/>
      <c r="L4311" s="21"/>
      <c r="M4311" s="29"/>
    </row>
    <row r="4312">
      <c r="A4312" s="13"/>
      <c r="B4312" s="13"/>
      <c r="C4312" s="16"/>
      <c r="D4312" s="16"/>
      <c r="E4312" s="16"/>
      <c r="F4312" s="23"/>
      <c r="G4312" s="17"/>
      <c r="H4312" s="17"/>
      <c r="I4312" s="21"/>
      <c r="J4312" s="21"/>
      <c r="K4312" s="21"/>
      <c r="L4312" s="21"/>
      <c r="M4312" s="29"/>
    </row>
    <row r="4313">
      <c r="A4313" s="13"/>
      <c r="B4313" s="13"/>
      <c r="C4313" s="16"/>
      <c r="D4313" s="16"/>
      <c r="E4313" s="16"/>
      <c r="F4313" s="23"/>
      <c r="G4313" s="17"/>
      <c r="H4313" s="17"/>
      <c r="I4313" s="21"/>
      <c r="J4313" s="21"/>
      <c r="K4313" s="21"/>
      <c r="L4313" s="21"/>
      <c r="M4313" s="29"/>
    </row>
    <row r="4314">
      <c r="A4314" s="13"/>
      <c r="B4314" s="13"/>
      <c r="C4314" s="16"/>
      <c r="D4314" s="16"/>
      <c r="E4314" s="16"/>
      <c r="F4314" s="23"/>
      <c r="G4314" s="17"/>
      <c r="H4314" s="17"/>
      <c r="I4314" s="21"/>
      <c r="J4314" s="21"/>
      <c r="K4314" s="21"/>
      <c r="L4314" s="21"/>
      <c r="M4314" s="29"/>
    </row>
    <row r="4315">
      <c r="A4315" s="13"/>
      <c r="B4315" s="13"/>
      <c r="C4315" s="16"/>
      <c r="D4315" s="16"/>
      <c r="E4315" s="16"/>
      <c r="F4315" s="23"/>
      <c r="G4315" s="17"/>
      <c r="H4315" s="17"/>
      <c r="I4315" s="21"/>
      <c r="J4315" s="21"/>
      <c r="K4315" s="21"/>
      <c r="L4315" s="21"/>
      <c r="M4315" s="29"/>
    </row>
    <row r="4316">
      <c r="A4316" s="13"/>
      <c r="B4316" s="13"/>
      <c r="C4316" s="16"/>
      <c r="D4316" s="16"/>
      <c r="E4316" s="16"/>
      <c r="F4316" s="23"/>
      <c r="G4316" s="17"/>
      <c r="H4316" s="17"/>
      <c r="I4316" s="21"/>
      <c r="J4316" s="21"/>
      <c r="K4316" s="21"/>
      <c r="L4316" s="21"/>
      <c r="M4316" s="29"/>
    </row>
    <row r="4317">
      <c r="A4317" s="13"/>
      <c r="B4317" s="13"/>
      <c r="C4317" s="16"/>
      <c r="D4317" s="16"/>
      <c r="E4317" s="16"/>
      <c r="F4317" s="23"/>
      <c r="G4317" s="17"/>
      <c r="H4317" s="17"/>
      <c r="I4317" s="21"/>
      <c r="J4317" s="21"/>
      <c r="K4317" s="21"/>
      <c r="L4317" s="21"/>
      <c r="M4317" s="29"/>
    </row>
    <row r="4318">
      <c r="A4318" s="13"/>
      <c r="B4318" s="13"/>
      <c r="C4318" s="16"/>
      <c r="D4318" s="16"/>
      <c r="E4318" s="16"/>
      <c r="F4318" s="23"/>
      <c r="G4318" s="17"/>
      <c r="H4318" s="17"/>
      <c r="I4318" s="21"/>
      <c r="J4318" s="21"/>
      <c r="K4318" s="21"/>
      <c r="L4318" s="21"/>
      <c r="M4318" s="29"/>
    </row>
    <row r="4319">
      <c r="A4319" s="13"/>
      <c r="B4319" s="13"/>
      <c r="C4319" s="16"/>
      <c r="D4319" s="16"/>
      <c r="E4319" s="16"/>
      <c r="F4319" s="23"/>
      <c r="G4319" s="17"/>
      <c r="H4319" s="17"/>
      <c r="I4319" s="21"/>
      <c r="J4319" s="21"/>
      <c r="K4319" s="21"/>
      <c r="L4319" s="21"/>
      <c r="M4319" s="29"/>
    </row>
    <row r="4320">
      <c r="A4320" s="13"/>
      <c r="B4320" s="13"/>
      <c r="C4320" s="16"/>
      <c r="D4320" s="16"/>
      <c r="E4320" s="16"/>
      <c r="F4320" s="23"/>
      <c r="G4320" s="17"/>
      <c r="H4320" s="17"/>
      <c r="I4320" s="21"/>
      <c r="J4320" s="21"/>
      <c r="K4320" s="21"/>
      <c r="L4320" s="21"/>
      <c r="M4320" s="29"/>
    </row>
    <row r="4321">
      <c r="A4321" s="13"/>
      <c r="B4321" s="13"/>
      <c r="C4321" s="16"/>
      <c r="D4321" s="16"/>
      <c r="E4321" s="16"/>
      <c r="F4321" s="23"/>
      <c r="G4321" s="17"/>
      <c r="H4321" s="17"/>
      <c r="I4321" s="21"/>
      <c r="J4321" s="21"/>
      <c r="K4321" s="21"/>
      <c r="L4321" s="21"/>
      <c r="M4321" s="29"/>
    </row>
    <row r="4322">
      <c r="A4322" s="13"/>
      <c r="B4322" s="13"/>
      <c r="C4322" s="16"/>
      <c r="D4322" s="16"/>
      <c r="E4322" s="16"/>
      <c r="F4322" s="23"/>
      <c r="G4322" s="17"/>
      <c r="H4322" s="17"/>
      <c r="I4322" s="21"/>
      <c r="J4322" s="21"/>
      <c r="K4322" s="21"/>
      <c r="L4322" s="21"/>
      <c r="M4322" s="29"/>
    </row>
    <row r="4323">
      <c r="A4323" s="13"/>
      <c r="B4323" s="13"/>
      <c r="C4323" s="16"/>
      <c r="D4323" s="16"/>
      <c r="E4323" s="16"/>
      <c r="F4323" s="23"/>
      <c r="G4323" s="17"/>
      <c r="H4323" s="17"/>
      <c r="I4323" s="21"/>
      <c r="J4323" s="21"/>
      <c r="K4323" s="21"/>
      <c r="L4323" s="21"/>
      <c r="M4323" s="29"/>
    </row>
    <row r="4324">
      <c r="A4324" s="13"/>
      <c r="B4324" s="13"/>
      <c r="C4324" s="16"/>
      <c r="D4324" s="16"/>
      <c r="E4324" s="16"/>
      <c r="F4324" s="23"/>
      <c r="G4324" s="17"/>
      <c r="H4324" s="17"/>
      <c r="I4324" s="21"/>
      <c r="J4324" s="21"/>
      <c r="K4324" s="21"/>
      <c r="L4324" s="21"/>
      <c r="M4324" s="29"/>
    </row>
    <row r="4325">
      <c r="A4325" s="13"/>
      <c r="B4325" s="13"/>
      <c r="C4325" s="16"/>
      <c r="D4325" s="16"/>
      <c r="E4325" s="16"/>
      <c r="F4325" s="23"/>
      <c r="G4325" s="17"/>
      <c r="H4325" s="17"/>
      <c r="I4325" s="21"/>
      <c r="J4325" s="21"/>
      <c r="K4325" s="21"/>
      <c r="L4325" s="21"/>
      <c r="M4325" s="29"/>
    </row>
    <row r="4326">
      <c r="A4326" s="13"/>
      <c r="B4326" s="13"/>
      <c r="C4326" s="16"/>
      <c r="D4326" s="16"/>
      <c r="E4326" s="16"/>
      <c r="F4326" s="23"/>
      <c r="G4326" s="17"/>
      <c r="H4326" s="17"/>
      <c r="I4326" s="21"/>
      <c r="J4326" s="21"/>
      <c r="K4326" s="21"/>
      <c r="L4326" s="21"/>
      <c r="M4326" s="29"/>
    </row>
    <row r="4327">
      <c r="A4327" s="13"/>
      <c r="B4327" s="13"/>
      <c r="C4327" s="16"/>
      <c r="D4327" s="16"/>
      <c r="E4327" s="16"/>
      <c r="F4327" s="23"/>
      <c r="G4327" s="17"/>
      <c r="H4327" s="17"/>
      <c r="I4327" s="21"/>
      <c r="J4327" s="21"/>
      <c r="K4327" s="21"/>
      <c r="L4327" s="21"/>
      <c r="M4327" s="29"/>
    </row>
    <row r="4328">
      <c r="A4328" s="13"/>
      <c r="B4328" s="13"/>
      <c r="C4328" s="16"/>
      <c r="D4328" s="16"/>
      <c r="E4328" s="16"/>
      <c r="F4328" s="23"/>
      <c r="G4328" s="17"/>
      <c r="H4328" s="17"/>
      <c r="I4328" s="21"/>
      <c r="J4328" s="21"/>
      <c r="K4328" s="21"/>
      <c r="L4328" s="21"/>
      <c r="M4328" s="29"/>
    </row>
    <row r="4329">
      <c r="A4329" s="13"/>
      <c r="B4329" s="13"/>
      <c r="C4329" s="16"/>
      <c r="D4329" s="16"/>
      <c r="E4329" s="16"/>
      <c r="F4329" s="23"/>
      <c r="G4329" s="17"/>
      <c r="H4329" s="17"/>
      <c r="I4329" s="21"/>
      <c r="J4329" s="21"/>
      <c r="K4329" s="21"/>
      <c r="L4329" s="21"/>
      <c r="M4329" s="29"/>
    </row>
    <row r="4330">
      <c r="A4330" s="13"/>
      <c r="B4330" s="13"/>
      <c r="C4330" s="16"/>
      <c r="D4330" s="16"/>
      <c r="E4330" s="16"/>
      <c r="F4330" s="23"/>
      <c r="G4330" s="17"/>
      <c r="H4330" s="17"/>
      <c r="I4330" s="21"/>
      <c r="J4330" s="21"/>
      <c r="K4330" s="21"/>
      <c r="L4330" s="21"/>
      <c r="M4330" s="29"/>
    </row>
    <row r="4331">
      <c r="A4331" s="13"/>
      <c r="B4331" s="13"/>
      <c r="C4331" s="16"/>
      <c r="D4331" s="16"/>
      <c r="E4331" s="16"/>
      <c r="F4331" s="23"/>
      <c r="G4331" s="17"/>
      <c r="H4331" s="17"/>
      <c r="I4331" s="21"/>
      <c r="J4331" s="21"/>
      <c r="K4331" s="21"/>
      <c r="L4331" s="21"/>
      <c r="M4331" s="29"/>
    </row>
    <row r="4332">
      <c r="A4332" s="13"/>
      <c r="B4332" s="13"/>
      <c r="C4332" s="16"/>
      <c r="D4332" s="16"/>
      <c r="E4332" s="16"/>
      <c r="F4332" s="23"/>
      <c r="G4332" s="17"/>
      <c r="H4332" s="17"/>
      <c r="I4332" s="21"/>
      <c r="J4332" s="21"/>
      <c r="K4332" s="21"/>
      <c r="L4332" s="21"/>
      <c r="M4332" s="29"/>
    </row>
    <row r="4333">
      <c r="A4333" s="13"/>
      <c r="B4333" s="13"/>
      <c r="C4333" s="16"/>
      <c r="D4333" s="16"/>
      <c r="E4333" s="16"/>
      <c r="F4333" s="23"/>
      <c r="G4333" s="17"/>
      <c r="H4333" s="17"/>
      <c r="I4333" s="21"/>
      <c r="J4333" s="21"/>
      <c r="K4333" s="21"/>
      <c r="L4333" s="21"/>
      <c r="M4333" s="29"/>
    </row>
    <row r="4334">
      <c r="A4334" s="13"/>
      <c r="B4334" s="13"/>
      <c r="C4334" s="16"/>
      <c r="D4334" s="16"/>
      <c r="E4334" s="16"/>
      <c r="F4334" s="23"/>
      <c r="G4334" s="17"/>
      <c r="H4334" s="17"/>
      <c r="I4334" s="21"/>
      <c r="J4334" s="21"/>
      <c r="K4334" s="21"/>
      <c r="L4334" s="21"/>
      <c r="M4334" s="29"/>
    </row>
    <row r="4335">
      <c r="A4335" s="13"/>
      <c r="B4335" s="13"/>
      <c r="C4335" s="16"/>
      <c r="D4335" s="16"/>
      <c r="E4335" s="16"/>
      <c r="F4335" s="23"/>
      <c r="G4335" s="17"/>
      <c r="H4335" s="17"/>
      <c r="I4335" s="21"/>
      <c r="J4335" s="21"/>
      <c r="K4335" s="21"/>
      <c r="L4335" s="21"/>
      <c r="M4335" s="29"/>
    </row>
    <row r="4336">
      <c r="A4336" s="13"/>
      <c r="B4336" s="13"/>
      <c r="C4336" s="16"/>
      <c r="D4336" s="16"/>
      <c r="E4336" s="16"/>
      <c r="F4336" s="23"/>
      <c r="G4336" s="17"/>
      <c r="H4336" s="17"/>
      <c r="I4336" s="21"/>
      <c r="J4336" s="21"/>
      <c r="K4336" s="21"/>
      <c r="L4336" s="21"/>
      <c r="M4336" s="29"/>
    </row>
    <row r="4337">
      <c r="A4337" s="13"/>
      <c r="B4337" s="13"/>
      <c r="C4337" s="16"/>
      <c r="D4337" s="16"/>
      <c r="E4337" s="16"/>
      <c r="F4337" s="23"/>
      <c r="G4337" s="17"/>
      <c r="H4337" s="17"/>
      <c r="I4337" s="21"/>
      <c r="J4337" s="21"/>
      <c r="K4337" s="21"/>
      <c r="L4337" s="21"/>
      <c r="M4337" s="29"/>
    </row>
    <row r="4338">
      <c r="A4338" s="13"/>
      <c r="B4338" s="13"/>
      <c r="C4338" s="16"/>
      <c r="D4338" s="16"/>
      <c r="E4338" s="16"/>
      <c r="F4338" s="23"/>
      <c r="G4338" s="17"/>
      <c r="H4338" s="17"/>
      <c r="I4338" s="21"/>
      <c r="J4338" s="21"/>
      <c r="K4338" s="21"/>
      <c r="L4338" s="21"/>
      <c r="M4338" s="29"/>
    </row>
    <row r="4339">
      <c r="A4339" s="13"/>
      <c r="B4339" s="13"/>
      <c r="C4339" s="16"/>
      <c r="D4339" s="16"/>
      <c r="E4339" s="16"/>
      <c r="F4339" s="23"/>
      <c r="G4339" s="17"/>
      <c r="H4339" s="17"/>
      <c r="I4339" s="21"/>
      <c r="J4339" s="21"/>
      <c r="K4339" s="21"/>
      <c r="L4339" s="21"/>
      <c r="M4339" s="29"/>
    </row>
    <row r="4340">
      <c r="A4340" s="13"/>
      <c r="B4340" s="13"/>
      <c r="C4340" s="16"/>
      <c r="D4340" s="16"/>
      <c r="E4340" s="16"/>
      <c r="F4340" s="23"/>
      <c r="G4340" s="17"/>
      <c r="H4340" s="17"/>
      <c r="I4340" s="21"/>
      <c r="J4340" s="21"/>
      <c r="K4340" s="21"/>
      <c r="L4340" s="21"/>
      <c r="M4340" s="29"/>
    </row>
    <row r="4341">
      <c r="A4341" s="13"/>
      <c r="B4341" s="13"/>
      <c r="C4341" s="16"/>
      <c r="D4341" s="16"/>
      <c r="E4341" s="16"/>
      <c r="F4341" s="23"/>
      <c r="G4341" s="17"/>
      <c r="H4341" s="17"/>
      <c r="I4341" s="21"/>
      <c r="J4341" s="21"/>
      <c r="K4341" s="21"/>
      <c r="L4341" s="21"/>
      <c r="M4341" s="29"/>
    </row>
    <row r="4342">
      <c r="A4342" s="13"/>
      <c r="B4342" s="13"/>
      <c r="C4342" s="16"/>
      <c r="D4342" s="16"/>
      <c r="E4342" s="16"/>
      <c r="F4342" s="23"/>
      <c r="G4342" s="17"/>
      <c r="H4342" s="17"/>
      <c r="I4342" s="21"/>
      <c r="J4342" s="21"/>
      <c r="K4342" s="21"/>
      <c r="L4342" s="21"/>
      <c r="M4342" s="29"/>
    </row>
    <row r="4343">
      <c r="A4343" s="13"/>
      <c r="B4343" s="13"/>
      <c r="C4343" s="16"/>
      <c r="D4343" s="16"/>
      <c r="E4343" s="16"/>
      <c r="F4343" s="23"/>
      <c r="G4343" s="17"/>
      <c r="H4343" s="17"/>
      <c r="I4343" s="21"/>
      <c r="J4343" s="21"/>
      <c r="K4343" s="21"/>
      <c r="L4343" s="21"/>
      <c r="M4343" s="29"/>
    </row>
    <row r="4344">
      <c r="A4344" s="13"/>
      <c r="B4344" s="13"/>
      <c r="C4344" s="16"/>
      <c r="D4344" s="16"/>
      <c r="E4344" s="16"/>
      <c r="F4344" s="23"/>
      <c r="G4344" s="17"/>
      <c r="H4344" s="17"/>
      <c r="I4344" s="21"/>
      <c r="J4344" s="21"/>
      <c r="K4344" s="21"/>
      <c r="L4344" s="21"/>
      <c r="M4344" s="29"/>
    </row>
    <row r="4345">
      <c r="A4345" s="13"/>
      <c r="B4345" s="13"/>
      <c r="C4345" s="16"/>
      <c r="D4345" s="16"/>
      <c r="E4345" s="16"/>
      <c r="F4345" s="23"/>
      <c r="G4345" s="17"/>
      <c r="H4345" s="17"/>
      <c r="I4345" s="21"/>
      <c r="J4345" s="21"/>
      <c r="K4345" s="21"/>
      <c r="L4345" s="21"/>
      <c r="M4345" s="29"/>
    </row>
    <row r="4346">
      <c r="A4346" s="13"/>
      <c r="B4346" s="13"/>
      <c r="C4346" s="16"/>
      <c r="D4346" s="16"/>
      <c r="E4346" s="16"/>
      <c r="F4346" s="23"/>
      <c r="G4346" s="17"/>
      <c r="H4346" s="17"/>
      <c r="I4346" s="21"/>
      <c r="J4346" s="21"/>
      <c r="K4346" s="21"/>
      <c r="L4346" s="21"/>
      <c r="M4346" s="29"/>
    </row>
    <row r="4347">
      <c r="A4347" s="13"/>
      <c r="B4347" s="13"/>
      <c r="C4347" s="16"/>
      <c r="D4347" s="16"/>
      <c r="E4347" s="16"/>
      <c r="F4347" s="23"/>
      <c r="G4347" s="17"/>
      <c r="H4347" s="17"/>
      <c r="I4347" s="21"/>
      <c r="J4347" s="21"/>
      <c r="K4347" s="21"/>
      <c r="L4347" s="21"/>
      <c r="M4347" s="29"/>
    </row>
    <row r="4348">
      <c r="A4348" s="13"/>
      <c r="B4348" s="13"/>
      <c r="C4348" s="16"/>
      <c r="D4348" s="16"/>
      <c r="E4348" s="16"/>
      <c r="F4348" s="23"/>
      <c r="G4348" s="17"/>
      <c r="H4348" s="17"/>
      <c r="I4348" s="21"/>
      <c r="J4348" s="21"/>
      <c r="K4348" s="21"/>
      <c r="L4348" s="21"/>
      <c r="M4348" s="29"/>
    </row>
    <row r="4349">
      <c r="A4349" s="13"/>
      <c r="B4349" s="13"/>
      <c r="C4349" s="16"/>
      <c r="D4349" s="16"/>
      <c r="E4349" s="16"/>
      <c r="F4349" s="23"/>
      <c r="G4349" s="17"/>
      <c r="H4349" s="17"/>
      <c r="I4349" s="21"/>
      <c r="J4349" s="21"/>
      <c r="K4349" s="21"/>
      <c r="L4349" s="21"/>
      <c r="M4349" s="29"/>
    </row>
    <row r="4350">
      <c r="A4350" s="13"/>
      <c r="B4350" s="13"/>
      <c r="C4350" s="16"/>
      <c r="D4350" s="16"/>
      <c r="E4350" s="16"/>
      <c r="F4350" s="23"/>
      <c r="G4350" s="17"/>
      <c r="H4350" s="17"/>
      <c r="I4350" s="16"/>
      <c r="J4350" s="16"/>
      <c r="K4350" s="16"/>
      <c r="L4350" s="16"/>
      <c r="M4350" s="15"/>
    </row>
    <row r="4351">
      <c r="A4351" s="13"/>
      <c r="B4351" s="13"/>
      <c r="C4351" s="16"/>
      <c r="D4351" s="16"/>
      <c r="E4351" s="16"/>
      <c r="F4351" s="23"/>
      <c r="G4351" s="17"/>
      <c r="H4351" s="17"/>
      <c r="I4351" s="16"/>
      <c r="J4351" s="21"/>
      <c r="K4351" s="21"/>
      <c r="L4351" s="21"/>
      <c r="M4351" s="21"/>
    </row>
    <row r="4352">
      <c r="A4352" s="13"/>
      <c r="B4352" s="13"/>
      <c r="C4352" s="16"/>
      <c r="D4352" s="16"/>
      <c r="E4352" s="16"/>
      <c r="F4352" s="23"/>
      <c r="G4352" s="17"/>
      <c r="H4352" s="17"/>
      <c r="I4352" s="16"/>
      <c r="J4352" s="21"/>
      <c r="K4352" s="21"/>
      <c r="L4352" s="21"/>
      <c r="M4352" s="21"/>
    </row>
    <row r="4353">
      <c r="A4353" s="13"/>
      <c r="B4353" s="13"/>
      <c r="C4353" s="16"/>
      <c r="D4353" s="16"/>
      <c r="E4353" s="16"/>
      <c r="F4353" s="23"/>
      <c r="G4353" s="17"/>
      <c r="H4353" s="17"/>
      <c r="I4353" s="16"/>
      <c r="J4353" s="21"/>
      <c r="K4353" s="21"/>
      <c r="L4353" s="21"/>
      <c r="M4353" s="21"/>
    </row>
    <row r="4354">
      <c r="A4354" s="13"/>
      <c r="B4354" s="13"/>
      <c r="C4354" s="16"/>
      <c r="D4354" s="16"/>
      <c r="E4354" s="16"/>
      <c r="F4354" s="23"/>
      <c r="G4354" s="17"/>
      <c r="H4354" s="17"/>
      <c r="I4354" s="21"/>
      <c r="J4354" s="21"/>
      <c r="K4354" s="21"/>
      <c r="L4354" s="21"/>
      <c r="M4354" s="29"/>
    </row>
    <row r="4355">
      <c r="A4355" s="13"/>
      <c r="B4355" s="13"/>
      <c r="C4355" s="16"/>
      <c r="D4355" s="16"/>
      <c r="E4355" s="16"/>
      <c r="F4355" s="23"/>
      <c r="G4355" s="17"/>
      <c r="H4355" s="17"/>
      <c r="I4355" s="21"/>
      <c r="J4355" s="21"/>
      <c r="K4355" s="21"/>
      <c r="L4355" s="21"/>
      <c r="M4355" s="29"/>
    </row>
    <row r="4356">
      <c r="A4356" s="13"/>
      <c r="B4356" s="13"/>
      <c r="C4356" s="16"/>
      <c r="D4356" s="16"/>
      <c r="E4356" s="16"/>
      <c r="F4356" s="23"/>
      <c r="G4356" s="17"/>
      <c r="H4356" s="17"/>
      <c r="I4356" s="21"/>
      <c r="J4356" s="21"/>
      <c r="K4356" s="21"/>
      <c r="L4356" s="21"/>
      <c r="M4356" s="29"/>
    </row>
    <row r="4357">
      <c r="A4357" s="13"/>
      <c r="B4357" s="13"/>
      <c r="C4357" s="16"/>
      <c r="D4357" s="16"/>
      <c r="E4357" s="16"/>
      <c r="F4357" s="23"/>
      <c r="G4357" s="17"/>
      <c r="H4357" s="17"/>
      <c r="I4357" s="21"/>
      <c r="J4357" s="21"/>
      <c r="K4357" s="21"/>
      <c r="L4357" s="21"/>
      <c r="M4357" s="29"/>
    </row>
    <row r="4358">
      <c r="A4358" s="13"/>
      <c r="B4358" s="13"/>
      <c r="C4358" s="16"/>
      <c r="D4358" s="16"/>
      <c r="E4358" s="16"/>
      <c r="F4358" s="23"/>
      <c r="G4358" s="17"/>
      <c r="H4358" s="17"/>
      <c r="I4358" s="16"/>
      <c r="J4358" s="16"/>
      <c r="K4358" s="16"/>
      <c r="L4358" s="16"/>
      <c r="M4358" s="15"/>
    </row>
    <row r="4359">
      <c r="A4359" s="13"/>
      <c r="B4359" s="13"/>
      <c r="C4359" s="16"/>
      <c r="D4359" s="16"/>
      <c r="E4359" s="16"/>
      <c r="F4359" s="23"/>
      <c r="G4359" s="17"/>
      <c r="H4359" s="17"/>
      <c r="I4359" s="16"/>
      <c r="J4359" s="21"/>
      <c r="K4359" s="21"/>
      <c r="L4359" s="21"/>
      <c r="M4359" s="21"/>
    </row>
    <row r="4360">
      <c r="A4360" s="13"/>
      <c r="B4360" s="13"/>
      <c r="C4360" s="16"/>
      <c r="D4360" s="16"/>
      <c r="E4360" s="16"/>
      <c r="F4360" s="23"/>
      <c r="G4360" s="17"/>
      <c r="H4360" s="17"/>
      <c r="I4360" s="16"/>
      <c r="J4360" s="21"/>
      <c r="K4360" s="21"/>
      <c r="L4360" s="21"/>
      <c r="M4360" s="21"/>
    </row>
    <row r="4361">
      <c r="A4361" s="13"/>
      <c r="B4361" s="13"/>
      <c r="C4361" s="16"/>
      <c r="D4361" s="16"/>
      <c r="E4361" s="16"/>
      <c r="F4361" s="23"/>
      <c r="G4361" s="17"/>
      <c r="H4361" s="17"/>
      <c r="I4361" s="16"/>
      <c r="J4361" s="21"/>
      <c r="K4361" s="21"/>
      <c r="L4361" s="21"/>
      <c r="M4361" s="21"/>
    </row>
    <row r="4362">
      <c r="A4362" s="13"/>
      <c r="B4362" s="13"/>
      <c r="C4362" s="16"/>
      <c r="D4362" s="16"/>
      <c r="E4362" s="16"/>
      <c r="F4362" s="23"/>
      <c r="G4362" s="17"/>
      <c r="H4362" s="17"/>
      <c r="I4362" s="21"/>
      <c r="J4362" s="21"/>
      <c r="K4362" s="21"/>
      <c r="L4362" s="21"/>
      <c r="M4362" s="29"/>
    </row>
    <row r="4363">
      <c r="A4363" s="13"/>
      <c r="B4363" s="13"/>
      <c r="C4363" s="16"/>
      <c r="D4363" s="16"/>
      <c r="E4363" s="16"/>
      <c r="F4363" s="23"/>
      <c r="G4363" s="17"/>
      <c r="H4363" s="17"/>
      <c r="I4363" s="21"/>
      <c r="J4363" s="21"/>
      <c r="K4363" s="21"/>
      <c r="L4363" s="21"/>
      <c r="M4363" s="29"/>
    </row>
    <row r="4364">
      <c r="A4364" s="13"/>
      <c r="B4364" s="13"/>
      <c r="C4364" s="16"/>
      <c r="D4364" s="16"/>
      <c r="E4364" s="16"/>
      <c r="F4364" s="23"/>
      <c r="G4364" s="17"/>
      <c r="H4364" s="17"/>
      <c r="I4364" s="21"/>
      <c r="J4364" s="21"/>
      <c r="K4364" s="21"/>
      <c r="L4364" s="21"/>
      <c r="M4364" s="29"/>
    </row>
    <row r="4365">
      <c r="A4365" s="13"/>
      <c r="B4365" s="13"/>
      <c r="C4365" s="16"/>
      <c r="D4365" s="16"/>
      <c r="E4365" s="16"/>
      <c r="F4365" s="23"/>
      <c r="G4365" s="17"/>
      <c r="H4365" s="17"/>
      <c r="I4365" s="21"/>
      <c r="J4365" s="21"/>
      <c r="K4365" s="21"/>
      <c r="L4365" s="21"/>
      <c r="M4365" s="29"/>
    </row>
    <row r="4366">
      <c r="A4366" s="13"/>
      <c r="B4366" s="13"/>
      <c r="C4366" s="16"/>
      <c r="D4366" s="16"/>
      <c r="E4366" s="16"/>
      <c r="F4366" s="23"/>
      <c r="G4366" s="17"/>
      <c r="H4366" s="17"/>
      <c r="I4366" s="21"/>
      <c r="J4366" s="21"/>
      <c r="K4366" s="21"/>
      <c r="L4366" s="21"/>
      <c r="M4366" s="29"/>
    </row>
    <row r="4367">
      <c r="A4367" s="13"/>
      <c r="B4367" s="13"/>
      <c r="C4367" s="16"/>
      <c r="D4367" s="16"/>
      <c r="E4367" s="16"/>
      <c r="F4367" s="23"/>
      <c r="G4367" s="17"/>
      <c r="H4367" s="17"/>
      <c r="I4367" s="21"/>
      <c r="J4367" s="21"/>
      <c r="K4367" s="21"/>
      <c r="L4367" s="21"/>
      <c r="M4367" s="29"/>
    </row>
    <row r="4368">
      <c r="A4368" s="13"/>
      <c r="B4368" s="13"/>
      <c r="C4368" s="16"/>
      <c r="D4368" s="16"/>
      <c r="E4368" s="16"/>
      <c r="F4368" s="23"/>
      <c r="G4368" s="17"/>
      <c r="H4368" s="17"/>
      <c r="I4368" s="21"/>
      <c r="J4368" s="21"/>
      <c r="K4368" s="21"/>
      <c r="L4368" s="21"/>
      <c r="M4368" s="29"/>
    </row>
    <row r="4369">
      <c r="A4369" s="13"/>
      <c r="B4369" s="13"/>
      <c r="C4369" s="16"/>
      <c r="D4369" s="16"/>
      <c r="E4369" s="16"/>
      <c r="F4369" s="23"/>
      <c r="G4369" s="17"/>
      <c r="H4369" s="17"/>
      <c r="I4369" s="21"/>
      <c r="J4369" s="21"/>
      <c r="K4369" s="21"/>
      <c r="L4369" s="21"/>
      <c r="M4369" s="29"/>
    </row>
    <row r="4370">
      <c r="A4370" s="13"/>
      <c r="B4370" s="13"/>
      <c r="C4370" s="16"/>
      <c r="D4370" s="16"/>
      <c r="E4370" s="16"/>
      <c r="F4370" s="23"/>
      <c r="G4370" s="17"/>
      <c r="H4370" s="17"/>
      <c r="I4370" s="21"/>
      <c r="J4370" s="21"/>
      <c r="K4370" s="21"/>
      <c r="L4370" s="21"/>
      <c r="M4370" s="29"/>
    </row>
    <row r="4371">
      <c r="A4371" s="13"/>
      <c r="B4371" s="13"/>
      <c r="C4371" s="16"/>
      <c r="D4371" s="16"/>
      <c r="E4371" s="16"/>
      <c r="F4371" s="23"/>
      <c r="G4371" s="17"/>
      <c r="H4371" s="17"/>
      <c r="I4371" s="21"/>
      <c r="J4371" s="21"/>
      <c r="K4371" s="21"/>
      <c r="L4371" s="21"/>
      <c r="M4371" s="29"/>
    </row>
    <row r="4372">
      <c r="A4372" s="13"/>
      <c r="B4372" s="13"/>
      <c r="C4372" s="16"/>
      <c r="D4372" s="16"/>
      <c r="E4372" s="16"/>
      <c r="F4372" s="23"/>
      <c r="G4372" s="17"/>
      <c r="H4372" s="17"/>
      <c r="I4372" s="21"/>
      <c r="J4372" s="21"/>
      <c r="K4372" s="21"/>
      <c r="L4372" s="21"/>
      <c r="M4372" s="29"/>
    </row>
    <row r="4373">
      <c r="A4373" s="13"/>
      <c r="B4373" s="13"/>
      <c r="C4373" s="16"/>
      <c r="D4373" s="16"/>
      <c r="E4373" s="16"/>
      <c r="F4373" s="23"/>
      <c r="G4373" s="17"/>
      <c r="H4373" s="17"/>
      <c r="I4373" s="21"/>
      <c r="J4373" s="21"/>
      <c r="K4373" s="21"/>
      <c r="L4373" s="21"/>
      <c r="M4373" s="29"/>
    </row>
    <row r="4374">
      <c r="A4374" s="13"/>
      <c r="B4374" s="13"/>
      <c r="C4374" s="16"/>
      <c r="D4374" s="16"/>
      <c r="E4374" s="16"/>
      <c r="F4374" s="23"/>
      <c r="G4374" s="17"/>
      <c r="H4374" s="17"/>
      <c r="I4374" s="21"/>
      <c r="J4374" s="21"/>
      <c r="K4374" s="21"/>
      <c r="L4374" s="21"/>
      <c r="M4374" s="29"/>
    </row>
    <row r="4375">
      <c r="A4375" s="13"/>
      <c r="B4375" s="13"/>
      <c r="C4375" s="16"/>
      <c r="D4375" s="16"/>
      <c r="E4375" s="16"/>
      <c r="F4375" s="23"/>
      <c r="G4375" s="17"/>
      <c r="H4375" s="17"/>
      <c r="I4375" s="21"/>
      <c r="J4375" s="21"/>
      <c r="K4375" s="21"/>
      <c r="L4375" s="21"/>
      <c r="M4375" s="29"/>
    </row>
    <row r="4376">
      <c r="A4376" s="13"/>
      <c r="B4376" s="13"/>
      <c r="C4376" s="16"/>
      <c r="D4376" s="16"/>
      <c r="E4376" s="16"/>
      <c r="F4376" s="23"/>
      <c r="G4376" s="17"/>
      <c r="H4376" s="17"/>
      <c r="I4376" s="21"/>
      <c r="J4376" s="21"/>
      <c r="K4376" s="21"/>
      <c r="L4376" s="21"/>
      <c r="M4376" s="29"/>
    </row>
    <row r="4377">
      <c r="A4377" s="13"/>
      <c r="B4377" s="13"/>
      <c r="C4377" s="16"/>
      <c r="D4377" s="16"/>
      <c r="E4377" s="16"/>
      <c r="F4377" s="23"/>
      <c r="G4377" s="17"/>
      <c r="H4377" s="17"/>
      <c r="I4377" s="21"/>
      <c r="J4377" s="21"/>
      <c r="K4377" s="21"/>
      <c r="L4377" s="21"/>
      <c r="M4377" s="29"/>
    </row>
    <row r="4378">
      <c r="A4378" s="13"/>
      <c r="B4378" s="13"/>
      <c r="C4378" s="16"/>
      <c r="D4378" s="16"/>
      <c r="E4378" s="16"/>
      <c r="F4378" s="23"/>
      <c r="G4378" s="17"/>
      <c r="H4378" s="17"/>
      <c r="I4378" s="21"/>
      <c r="J4378" s="21"/>
      <c r="K4378" s="21"/>
      <c r="L4378" s="21"/>
      <c r="M4378" s="29"/>
    </row>
    <row r="4379">
      <c r="A4379" s="13"/>
      <c r="B4379" s="13"/>
      <c r="C4379" s="16"/>
      <c r="D4379" s="16"/>
      <c r="E4379" s="16"/>
      <c r="F4379" s="23"/>
      <c r="G4379" s="17"/>
      <c r="H4379" s="17"/>
      <c r="I4379" s="21"/>
      <c r="J4379" s="21"/>
      <c r="K4379" s="21"/>
      <c r="L4379" s="21"/>
      <c r="M4379" s="29"/>
    </row>
    <row r="4380">
      <c r="A4380" s="13"/>
      <c r="B4380" s="13"/>
      <c r="C4380" s="16"/>
      <c r="D4380" s="16"/>
      <c r="E4380" s="16"/>
      <c r="F4380" s="23"/>
      <c r="G4380" s="17"/>
      <c r="H4380" s="17"/>
      <c r="I4380" s="21"/>
      <c r="J4380" s="21"/>
      <c r="K4380" s="21"/>
      <c r="L4380" s="21"/>
      <c r="M4380" s="29"/>
    </row>
    <row r="4381">
      <c r="A4381" s="13"/>
      <c r="B4381" s="13"/>
      <c r="C4381" s="16"/>
      <c r="D4381" s="16"/>
      <c r="E4381" s="16"/>
      <c r="F4381" s="23"/>
      <c r="G4381" s="17"/>
      <c r="H4381" s="17"/>
      <c r="I4381" s="16"/>
      <c r="J4381" s="16"/>
      <c r="K4381" s="16"/>
      <c r="L4381" s="16"/>
      <c r="M4381" s="15"/>
    </row>
    <row r="4382">
      <c r="A4382" s="13"/>
      <c r="B4382" s="13"/>
      <c r="C4382" s="16"/>
      <c r="D4382" s="16"/>
      <c r="E4382" s="16"/>
      <c r="F4382" s="23"/>
      <c r="G4382" s="17"/>
      <c r="H4382" s="17"/>
      <c r="I4382" s="16"/>
      <c r="J4382" s="21"/>
      <c r="K4382" s="21"/>
      <c r="L4382" s="21"/>
      <c r="M4382" s="21"/>
    </row>
    <row r="4383">
      <c r="A4383" s="13"/>
      <c r="B4383" s="13"/>
      <c r="C4383" s="16"/>
      <c r="D4383" s="16"/>
      <c r="E4383" s="16"/>
      <c r="F4383" s="23"/>
      <c r="G4383" s="17"/>
      <c r="H4383" s="17"/>
      <c r="I4383" s="16"/>
      <c r="J4383" s="21"/>
      <c r="K4383" s="21"/>
      <c r="L4383" s="21"/>
      <c r="M4383" s="21"/>
    </row>
    <row r="4384">
      <c r="A4384" s="13"/>
      <c r="B4384" s="13"/>
      <c r="C4384" s="16"/>
      <c r="D4384" s="16"/>
      <c r="E4384" s="16"/>
      <c r="F4384" s="23"/>
      <c r="G4384" s="17"/>
      <c r="H4384" s="17"/>
      <c r="I4384" s="16"/>
      <c r="J4384" s="21"/>
      <c r="K4384" s="21"/>
      <c r="L4384" s="21"/>
      <c r="M4384" s="21"/>
    </row>
    <row r="4385">
      <c r="A4385" s="13"/>
      <c r="B4385" s="13"/>
      <c r="C4385" s="16"/>
      <c r="D4385" s="16"/>
      <c r="E4385" s="16"/>
      <c r="F4385" s="23"/>
      <c r="G4385" s="17"/>
      <c r="H4385" s="17"/>
      <c r="I4385" s="21"/>
      <c r="J4385" s="21"/>
      <c r="K4385" s="21"/>
      <c r="L4385" s="21"/>
      <c r="M4385" s="29"/>
    </row>
    <row r="4386">
      <c r="A4386" s="13"/>
      <c r="B4386" s="13"/>
      <c r="C4386" s="16"/>
      <c r="D4386" s="16"/>
      <c r="E4386" s="16"/>
      <c r="F4386" s="23"/>
      <c r="G4386" s="17"/>
      <c r="H4386" s="17"/>
      <c r="I4386" s="21"/>
      <c r="J4386" s="21"/>
      <c r="K4386" s="21"/>
      <c r="L4386" s="21"/>
      <c r="M4386" s="29"/>
    </row>
    <row r="4387">
      <c r="A4387" s="13"/>
      <c r="B4387" s="13"/>
      <c r="C4387" s="16"/>
      <c r="D4387" s="16"/>
      <c r="E4387" s="16"/>
      <c r="F4387" s="23"/>
      <c r="G4387" s="17"/>
      <c r="H4387" s="17"/>
      <c r="I4387" s="21"/>
      <c r="J4387" s="21"/>
      <c r="K4387" s="21"/>
      <c r="L4387" s="21"/>
      <c r="M4387" s="29"/>
    </row>
    <row r="4388">
      <c r="A4388" s="13"/>
      <c r="B4388" s="13"/>
      <c r="C4388" s="16"/>
      <c r="D4388" s="16"/>
      <c r="E4388" s="16"/>
      <c r="F4388" s="23"/>
      <c r="G4388" s="17"/>
      <c r="H4388" s="17"/>
      <c r="I4388" s="21"/>
      <c r="J4388" s="21"/>
      <c r="K4388" s="21"/>
      <c r="L4388" s="21"/>
      <c r="M4388" s="29"/>
    </row>
    <row r="4389">
      <c r="A4389" s="13"/>
      <c r="B4389" s="13"/>
      <c r="C4389" s="16"/>
      <c r="D4389" s="16"/>
      <c r="E4389" s="16"/>
      <c r="F4389" s="23"/>
      <c r="G4389" s="17"/>
      <c r="H4389" s="17"/>
      <c r="I4389" s="21"/>
      <c r="J4389" s="21"/>
      <c r="K4389" s="21"/>
      <c r="L4389" s="21"/>
      <c r="M4389" s="29"/>
    </row>
    <row r="4390">
      <c r="A4390" s="13"/>
      <c r="B4390" s="13"/>
      <c r="C4390" s="16"/>
      <c r="D4390" s="16"/>
      <c r="E4390" s="16"/>
      <c r="F4390" s="23"/>
      <c r="G4390" s="17"/>
      <c r="H4390" s="17"/>
      <c r="I4390" s="21"/>
      <c r="J4390" s="21"/>
      <c r="K4390" s="21"/>
      <c r="L4390" s="21"/>
      <c r="M4390" s="29"/>
    </row>
    <row r="4391">
      <c r="A4391" s="13"/>
      <c r="B4391" s="13"/>
      <c r="C4391" s="16"/>
      <c r="D4391" s="16"/>
      <c r="E4391" s="16"/>
      <c r="F4391" s="23"/>
      <c r="G4391" s="17"/>
      <c r="H4391" s="17"/>
      <c r="I4391" s="21"/>
      <c r="J4391" s="21"/>
      <c r="K4391" s="21"/>
      <c r="L4391" s="21"/>
      <c r="M4391" s="29"/>
    </row>
    <row r="4392">
      <c r="A4392" s="13"/>
      <c r="B4392" s="13"/>
      <c r="C4392" s="16"/>
      <c r="D4392" s="16"/>
      <c r="E4392" s="16"/>
      <c r="F4392" s="23"/>
      <c r="G4392" s="17"/>
      <c r="H4392" s="17"/>
      <c r="I4392" s="21"/>
      <c r="J4392" s="21"/>
      <c r="K4392" s="21"/>
      <c r="L4392" s="21"/>
      <c r="M4392" s="29"/>
    </row>
    <row r="4393">
      <c r="A4393" s="13"/>
      <c r="B4393" s="13"/>
      <c r="C4393" s="16"/>
      <c r="D4393" s="16"/>
      <c r="E4393" s="16"/>
      <c r="F4393" s="23"/>
      <c r="G4393" s="17"/>
      <c r="H4393" s="17"/>
      <c r="I4393" s="21"/>
      <c r="J4393" s="21"/>
      <c r="K4393" s="21"/>
      <c r="L4393" s="21"/>
      <c r="M4393" s="29"/>
    </row>
    <row r="4394">
      <c r="A4394" s="13"/>
      <c r="B4394" s="13"/>
      <c r="C4394" s="16"/>
      <c r="D4394" s="16"/>
      <c r="E4394" s="16"/>
      <c r="F4394" s="23"/>
      <c r="G4394" s="17"/>
      <c r="H4394" s="17"/>
      <c r="I4394" s="21"/>
      <c r="J4394" s="21"/>
      <c r="K4394" s="21"/>
      <c r="L4394" s="21"/>
      <c r="M4394" s="29"/>
    </row>
    <row r="4395">
      <c r="A4395" s="13"/>
      <c r="B4395" s="13"/>
      <c r="C4395" s="16"/>
      <c r="D4395" s="16"/>
      <c r="E4395" s="16"/>
      <c r="F4395" s="23"/>
      <c r="G4395" s="17"/>
      <c r="H4395" s="17"/>
      <c r="I4395" s="21"/>
      <c r="J4395" s="21"/>
      <c r="K4395" s="21"/>
      <c r="L4395" s="21"/>
      <c r="M4395" s="29"/>
    </row>
    <row r="4396">
      <c r="A4396" s="13"/>
      <c r="B4396" s="13"/>
      <c r="C4396" s="16"/>
      <c r="D4396" s="16"/>
      <c r="E4396" s="16"/>
      <c r="F4396" s="23"/>
      <c r="G4396" s="17"/>
      <c r="H4396" s="17"/>
      <c r="I4396" s="21"/>
      <c r="J4396" s="21"/>
      <c r="K4396" s="21"/>
      <c r="L4396" s="21"/>
      <c r="M4396" s="29"/>
    </row>
    <row r="4397">
      <c r="A4397" s="13"/>
      <c r="B4397" s="13"/>
      <c r="C4397" s="16"/>
      <c r="D4397" s="16"/>
      <c r="E4397" s="16"/>
      <c r="F4397" s="23"/>
      <c r="G4397" s="17"/>
      <c r="H4397" s="17"/>
      <c r="I4397" s="21"/>
      <c r="J4397" s="21"/>
      <c r="K4397" s="21"/>
      <c r="L4397" s="21"/>
      <c r="M4397" s="29"/>
    </row>
    <row r="4398">
      <c r="A4398" s="13"/>
      <c r="B4398" s="13"/>
      <c r="C4398" s="16"/>
      <c r="D4398" s="16"/>
      <c r="E4398" s="16"/>
      <c r="F4398" s="23"/>
      <c r="G4398" s="17"/>
      <c r="H4398" s="17"/>
      <c r="I4398" s="21"/>
      <c r="J4398" s="21"/>
      <c r="K4398" s="21"/>
      <c r="L4398" s="21"/>
      <c r="M4398" s="29"/>
    </row>
    <row r="4399">
      <c r="A4399" s="13"/>
      <c r="B4399" s="13"/>
      <c r="C4399" s="16"/>
      <c r="D4399" s="16"/>
      <c r="E4399" s="16"/>
      <c r="F4399" s="23"/>
      <c r="G4399" s="17"/>
      <c r="H4399" s="17"/>
      <c r="I4399" s="21"/>
      <c r="J4399" s="21"/>
      <c r="K4399" s="21"/>
      <c r="L4399" s="21"/>
      <c r="M4399" s="29"/>
    </row>
    <row r="4400">
      <c r="A4400" s="13"/>
      <c r="B4400" s="13"/>
      <c r="C4400" s="16"/>
      <c r="D4400" s="16"/>
      <c r="E4400" s="16"/>
      <c r="F4400" s="23"/>
      <c r="G4400" s="17"/>
      <c r="H4400" s="17"/>
      <c r="I4400" s="21"/>
      <c r="J4400" s="21"/>
      <c r="K4400" s="21"/>
      <c r="L4400" s="21"/>
      <c r="M4400" s="29"/>
    </row>
    <row r="4401">
      <c r="A4401" s="13"/>
      <c r="B4401" s="13"/>
      <c r="C4401" s="16"/>
      <c r="D4401" s="16"/>
      <c r="E4401" s="16"/>
      <c r="F4401" s="23"/>
      <c r="G4401" s="17"/>
      <c r="H4401" s="17"/>
      <c r="I4401" s="21"/>
      <c r="J4401" s="21"/>
      <c r="K4401" s="21"/>
      <c r="L4401" s="21"/>
      <c r="M4401" s="29"/>
    </row>
    <row r="4402">
      <c r="A4402" s="13"/>
      <c r="B4402" s="13"/>
      <c r="C4402" s="16"/>
      <c r="D4402" s="16"/>
      <c r="E4402" s="16"/>
      <c r="F4402" s="23"/>
      <c r="G4402" s="17"/>
      <c r="H4402" s="17"/>
      <c r="I4402" s="16"/>
      <c r="J4402" s="16"/>
      <c r="K4402" s="16"/>
      <c r="L4402" s="16"/>
      <c r="M4402" s="15"/>
    </row>
    <row r="4403">
      <c r="A4403" s="13"/>
      <c r="B4403" s="13"/>
      <c r="C4403" s="16"/>
      <c r="D4403" s="16"/>
      <c r="E4403" s="16"/>
      <c r="F4403" s="23"/>
      <c r="G4403" s="17"/>
      <c r="H4403" s="17"/>
      <c r="I4403" s="16"/>
      <c r="J4403" s="21"/>
      <c r="K4403" s="21"/>
      <c r="L4403" s="21"/>
      <c r="M4403" s="21"/>
    </row>
    <row r="4404">
      <c r="A4404" s="13"/>
      <c r="B4404" s="13"/>
      <c r="C4404" s="16"/>
      <c r="D4404" s="16"/>
      <c r="E4404" s="16"/>
      <c r="F4404" s="23"/>
      <c r="G4404" s="17"/>
      <c r="H4404" s="17"/>
      <c r="I4404" s="16"/>
      <c r="J4404" s="21"/>
      <c r="K4404" s="21"/>
      <c r="L4404" s="21"/>
      <c r="M4404" s="21"/>
    </row>
    <row r="4405">
      <c r="A4405" s="13"/>
      <c r="B4405" s="13"/>
      <c r="C4405" s="16"/>
      <c r="D4405" s="16"/>
      <c r="E4405" s="16"/>
      <c r="F4405" s="23"/>
      <c r="G4405" s="17"/>
      <c r="H4405" s="17"/>
      <c r="I4405" s="16"/>
      <c r="J4405" s="21"/>
      <c r="K4405" s="21"/>
      <c r="L4405" s="21"/>
      <c r="M4405" s="21"/>
    </row>
    <row r="4406">
      <c r="A4406" s="13"/>
      <c r="B4406" s="13"/>
      <c r="C4406" s="16"/>
      <c r="D4406" s="16"/>
      <c r="E4406" s="16"/>
      <c r="F4406" s="23"/>
      <c r="G4406" s="17"/>
      <c r="H4406" s="17"/>
      <c r="I4406" s="21"/>
      <c r="J4406" s="21"/>
      <c r="K4406" s="21"/>
      <c r="L4406" s="21"/>
      <c r="M4406" s="29"/>
    </row>
    <row r="4407">
      <c r="A4407" s="13"/>
      <c r="B4407" s="13"/>
      <c r="C4407" s="16"/>
      <c r="D4407" s="16"/>
      <c r="E4407" s="16"/>
      <c r="F4407" s="23"/>
      <c r="G4407" s="17"/>
      <c r="H4407" s="17"/>
      <c r="I4407" s="21"/>
      <c r="J4407" s="21"/>
      <c r="K4407" s="21"/>
      <c r="L4407" s="21"/>
      <c r="M4407" s="29"/>
    </row>
    <row r="4408">
      <c r="A4408" s="13"/>
      <c r="B4408" s="13"/>
      <c r="C4408" s="16"/>
      <c r="D4408" s="16"/>
      <c r="E4408" s="16"/>
      <c r="F4408" s="23"/>
      <c r="G4408" s="17"/>
      <c r="H4408" s="17"/>
      <c r="I4408" s="21"/>
      <c r="J4408" s="21"/>
      <c r="K4408" s="21"/>
      <c r="L4408" s="21"/>
      <c r="M4408" s="29"/>
    </row>
    <row r="4409">
      <c r="A4409" s="13"/>
      <c r="B4409" s="13"/>
      <c r="C4409" s="16"/>
      <c r="D4409" s="16"/>
      <c r="E4409" s="16"/>
      <c r="F4409" s="23"/>
      <c r="G4409" s="17"/>
      <c r="H4409" s="17"/>
      <c r="I4409" s="21"/>
      <c r="J4409" s="21"/>
      <c r="K4409" s="21"/>
      <c r="L4409" s="21"/>
      <c r="M4409" s="29"/>
    </row>
    <row r="4410">
      <c r="A4410" s="13"/>
      <c r="B4410" s="13"/>
      <c r="C4410" s="16"/>
      <c r="D4410" s="16"/>
      <c r="E4410" s="16"/>
      <c r="F4410" s="23"/>
      <c r="G4410" s="17"/>
      <c r="H4410" s="17"/>
      <c r="I4410" s="21"/>
      <c r="J4410" s="21"/>
      <c r="K4410" s="21"/>
      <c r="L4410" s="21"/>
      <c r="M4410" s="29"/>
    </row>
    <row r="4411">
      <c r="A4411" s="13"/>
      <c r="B4411" s="13"/>
      <c r="C4411" s="16"/>
      <c r="D4411" s="16"/>
      <c r="E4411" s="16"/>
      <c r="F4411" s="23"/>
      <c r="G4411" s="17"/>
      <c r="H4411" s="17"/>
      <c r="I4411" s="21"/>
      <c r="J4411" s="21"/>
      <c r="K4411" s="21"/>
      <c r="L4411" s="21"/>
      <c r="M4411" s="29"/>
    </row>
    <row r="4412">
      <c r="A4412" s="13"/>
      <c r="B4412" s="13"/>
      <c r="C4412" s="16"/>
      <c r="D4412" s="16"/>
      <c r="E4412" s="16"/>
      <c r="F4412" s="23"/>
      <c r="G4412" s="17"/>
      <c r="H4412" s="17"/>
      <c r="I4412" s="21"/>
      <c r="J4412" s="21"/>
      <c r="K4412" s="21"/>
      <c r="L4412" s="21"/>
      <c r="M4412" s="29"/>
    </row>
    <row r="4413">
      <c r="A4413" s="13"/>
      <c r="B4413" s="13"/>
      <c r="C4413" s="16"/>
      <c r="D4413" s="16"/>
      <c r="E4413" s="16"/>
      <c r="F4413" s="23"/>
      <c r="G4413" s="17"/>
      <c r="H4413" s="17"/>
      <c r="I4413" s="21"/>
      <c r="J4413" s="21"/>
      <c r="K4413" s="21"/>
      <c r="L4413" s="21"/>
      <c r="M4413" s="29"/>
    </row>
    <row r="4414">
      <c r="A4414" s="13"/>
      <c r="B4414" s="13"/>
      <c r="C4414" s="16"/>
      <c r="D4414" s="16"/>
      <c r="E4414" s="16"/>
      <c r="F4414" s="23"/>
      <c r="G4414" s="17"/>
      <c r="H4414" s="17"/>
      <c r="I4414" s="21"/>
      <c r="J4414" s="21"/>
      <c r="K4414" s="21"/>
      <c r="L4414" s="21"/>
      <c r="M4414" s="29"/>
    </row>
    <row r="4415">
      <c r="A4415" s="13"/>
      <c r="B4415" s="13"/>
      <c r="C4415" s="16"/>
      <c r="D4415" s="16"/>
      <c r="E4415" s="16"/>
      <c r="F4415" s="23"/>
      <c r="G4415" s="17"/>
      <c r="H4415" s="17"/>
      <c r="I4415" s="21"/>
      <c r="J4415" s="21"/>
      <c r="K4415" s="21"/>
      <c r="L4415" s="21"/>
      <c r="M4415" s="29"/>
    </row>
    <row r="4416">
      <c r="A4416" s="13"/>
      <c r="B4416" s="13"/>
      <c r="C4416" s="16"/>
      <c r="D4416" s="16"/>
      <c r="E4416" s="16"/>
      <c r="F4416" s="23"/>
      <c r="G4416" s="17"/>
      <c r="H4416" s="17"/>
      <c r="I4416" s="21"/>
      <c r="J4416" s="21"/>
      <c r="K4416" s="21"/>
      <c r="L4416" s="21"/>
      <c r="M4416" s="29"/>
    </row>
    <row r="4417">
      <c r="A4417" s="13"/>
      <c r="B4417" s="13"/>
      <c r="C4417" s="16"/>
      <c r="D4417" s="16"/>
      <c r="E4417" s="16"/>
      <c r="F4417" s="23"/>
      <c r="G4417" s="17"/>
      <c r="H4417" s="17"/>
      <c r="I4417" s="21"/>
      <c r="J4417" s="21"/>
      <c r="K4417" s="21"/>
      <c r="L4417" s="21"/>
      <c r="M4417" s="29"/>
    </row>
    <row r="4418">
      <c r="A4418" s="13"/>
      <c r="B4418" s="13"/>
      <c r="C4418" s="16"/>
      <c r="D4418" s="16"/>
      <c r="E4418" s="16"/>
      <c r="F4418" s="23"/>
      <c r="G4418" s="17"/>
      <c r="H4418" s="17"/>
      <c r="I4418" s="21"/>
      <c r="J4418" s="21"/>
      <c r="K4418" s="21"/>
      <c r="L4418" s="21"/>
      <c r="M4418" s="29"/>
    </row>
    <row r="4419">
      <c r="A4419" s="13"/>
      <c r="B4419" s="13"/>
      <c r="C4419" s="16"/>
      <c r="D4419" s="16"/>
      <c r="E4419" s="16"/>
      <c r="F4419" s="23"/>
      <c r="G4419" s="17"/>
      <c r="H4419" s="17"/>
      <c r="I4419" s="21"/>
      <c r="J4419" s="21"/>
      <c r="K4419" s="21"/>
      <c r="L4419" s="21"/>
      <c r="M4419" s="29"/>
    </row>
    <row r="4420">
      <c r="A4420" s="13"/>
      <c r="B4420" s="13"/>
      <c r="C4420" s="16"/>
      <c r="D4420" s="16"/>
      <c r="E4420" s="16"/>
      <c r="F4420" s="23"/>
      <c r="G4420" s="17"/>
      <c r="H4420" s="17"/>
      <c r="I4420" s="21"/>
      <c r="J4420" s="21"/>
      <c r="K4420" s="21"/>
      <c r="L4420" s="21"/>
      <c r="M4420" s="29"/>
    </row>
    <row r="4421">
      <c r="A4421" s="13"/>
      <c r="B4421" s="13"/>
      <c r="C4421" s="16"/>
      <c r="D4421" s="16"/>
      <c r="E4421" s="16"/>
      <c r="F4421" s="23"/>
      <c r="G4421" s="17"/>
      <c r="H4421" s="17"/>
      <c r="I4421" s="21"/>
      <c r="J4421" s="21"/>
      <c r="K4421" s="21"/>
      <c r="L4421" s="21"/>
      <c r="M4421" s="29"/>
    </row>
    <row r="4422">
      <c r="A4422" s="13"/>
      <c r="B4422" s="13"/>
      <c r="C4422" s="16"/>
      <c r="D4422" s="16"/>
      <c r="E4422" s="16"/>
      <c r="F4422" s="23"/>
      <c r="G4422" s="17"/>
      <c r="H4422" s="17"/>
      <c r="I4422" s="21"/>
      <c r="J4422" s="21"/>
      <c r="K4422" s="21"/>
      <c r="L4422" s="21"/>
      <c r="M4422" s="29"/>
    </row>
    <row r="4423">
      <c r="A4423" s="13"/>
      <c r="B4423" s="13"/>
      <c r="C4423" s="16"/>
      <c r="D4423" s="16"/>
      <c r="E4423" s="16"/>
      <c r="F4423" s="23"/>
      <c r="G4423" s="17"/>
      <c r="H4423" s="17"/>
      <c r="I4423" s="21"/>
      <c r="J4423" s="21"/>
      <c r="K4423" s="21"/>
      <c r="L4423" s="21"/>
      <c r="M4423" s="29"/>
    </row>
    <row r="4424">
      <c r="A4424" s="13"/>
      <c r="B4424" s="13"/>
      <c r="C4424" s="16"/>
      <c r="D4424" s="16"/>
      <c r="E4424" s="16"/>
      <c r="F4424" s="23"/>
      <c r="G4424" s="17"/>
      <c r="H4424" s="17"/>
      <c r="I4424" s="21"/>
      <c r="J4424" s="21"/>
      <c r="K4424" s="21"/>
      <c r="L4424" s="21"/>
      <c r="M4424" s="29"/>
    </row>
    <row r="4425">
      <c r="A4425" s="13"/>
      <c r="B4425" s="13"/>
      <c r="C4425" s="16"/>
      <c r="D4425" s="16"/>
      <c r="E4425" s="16"/>
      <c r="F4425" s="23"/>
      <c r="G4425" s="17"/>
      <c r="H4425" s="17"/>
      <c r="I4425" s="21"/>
      <c r="J4425" s="21"/>
      <c r="K4425" s="21"/>
      <c r="L4425" s="21"/>
      <c r="M4425" s="29"/>
    </row>
    <row r="4426">
      <c r="A4426" s="13"/>
      <c r="B4426" s="13"/>
      <c r="C4426" s="16"/>
      <c r="D4426" s="16"/>
      <c r="E4426" s="16"/>
      <c r="F4426" s="23"/>
      <c r="G4426" s="17"/>
      <c r="H4426" s="17"/>
      <c r="I4426" s="21"/>
      <c r="J4426" s="21"/>
      <c r="K4426" s="21"/>
      <c r="L4426" s="21"/>
      <c r="M4426" s="29"/>
    </row>
    <row r="4427">
      <c r="A4427" s="13"/>
      <c r="B4427" s="13"/>
      <c r="C4427" s="16"/>
      <c r="D4427" s="16"/>
      <c r="E4427" s="16"/>
      <c r="F4427" s="23"/>
      <c r="G4427" s="17"/>
      <c r="H4427" s="17"/>
      <c r="I4427" s="21"/>
      <c r="J4427" s="21"/>
      <c r="K4427" s="21"/>
      <c r="L4427" s="21"/>
      <c r="M4427" s="29"/>
    </row>
    <row r="4428">
      <c r="A4428" s="13"/>
      <c r="B4428" s="13"/>
      <c r="C4428" s="16"/>
      <c r="D4428" s="16"/>
      <c r="E4428" s="16"/>
      <c r="F4428" s="23"/>
      <c r="G4428" s="17"/>
      <c r="H4428" s="17"/>
      <c r="I4428" s="21"/>
      <c r="J4428" s="21"/>
      <c r="K4428" s="21"/>
      <c r="L4428" s="21"/>
      <c r="M4428" s="29"/>
    </row>
    <row r="4429">
      <c r="A4429" s="13"/>
      <c r="B4429" s="13"/>
      <c r="C4429" s="16"/>
      <c r="D4429" s="16"/>
      <c r="E4429" s="16"/>
      <c r="F4429" s="23"/>
      <c r="G4429" s="17"/>
      <c r="H4429" s="17"/>
      <c r="I4429" s="21"/>
      <c r="J4429" s="21"/>
      <c r="K4429" s="21"/>
      <c r="L4429" s="21"/>
      <c r="M4429" s="29"/>
    </row>
    <row r="4430">
      <c r="A4430" s="13"/>
      <c r="B4430" s="13"/>
      <c r="C4430" s="16"/>
      <c r="D4430" s="16"/>
      <c r="E4430" s="16"/>
      <c r="F4430" s="23"/>
      <c r="G4430" s="17"/>
      <c r="H4430" s="17"/>
      <c r="I4430" s="21"/>
      <c r="J4430" s="21"/>
      <c r="K4430" s="21"/>
      <c r="L4430" s="21"/>
      <c r="M4430" s="29"/>
    </row>
    <row r="4431">
      <c r="A4431" s="13"/>
      <c r="B4431" s="13"/>
      <c r="C4431" s="16"/>
      <c r="D4431" s="16"/>
      <c r="E4431" s="16"/>
      <c r="F4431" s="23"/>
      <c r="G4431" s="17"/>
      <c r="H4431" s="17"/>
      <c r="I4431" s="21"/>
      <c r="J4431" s="21"/>
      <c r="K4431" s="21"/>
      <c r="L4431" s="21"/>
      <c r="M4431" s="29"/>
    </row>
    <row r="4432">
      <c r="A4432" s="13"/>
      <c r="B4432" s="13"/>
      <c r="C4432" s="16"/>
      <c r="D4432" s="16"/>
      <c r="E4432" s="16"/>
      <c r="F4432" s="23"/>
      <c r="G4432" s="17"/>
      <c r="H4432" s="17"/>
      <c r="I4432" s="21"/>
      <c r="J4432" s="21"/>
      <c r="K4432" s="21"/>
      <c r="L4432" s="21"/>
      <c r="M4432" s="29"/>
    </row>
    <row r="4433">
      <c r="A4433" s="13"/>
      <c r="B4433" s="13"/>
      <c r="C4433" s="16"/>
      <c r="D4433" s="16"/>
      <c r="E4433" s="16"/>
      <c r="F4433" s="23"/>
      <c r="G4433" s="17"/>
      <c r="H4433" s="17"/>
      <c r="I4433" s="21"/>
      <c r="J4433" s="21"/>
      <c r="K4433" s="21"/>
      <c r="L4433" s="21"/>
      <c r="M4433" s="29"/>
    </row>
    <row r="4434">
      <c r="A4434" s="13"/>
      <c r="B4434" s="13"/>
      <c r="C4434" s="16"/>
      <c r="D4434" s="16"/>
      <c r="E4434" s="16"/>
      <c r="F4434" s="23"/>
      <c r="G4434" s="17"/>
      <c r="H4434" s="17"/>
      <c r="I4434" s="21"/>
      <c r="J4434" s="21"/>
      <c r="K4434" s="21"/>
      <c r="L4434" s="21"/>
      <c r="M4434" s="29"/>
    </row>
    <row r="4435">
      <c r="A4435" s="13"/>
      <c r="B4435" s="13"/>
      <c r="C4435" s="16"/>
      <c r="D4435" s="16"/>
      <c r="E4435" s="16"/>
      <c r="F4435" s="23"/>
      <c r="G4435" s="17"/>
      <c r="H4435" s="17"/>
      <c r="I4435" s="21"/>
      <c r="J4435" s="21"/>
      <c r="K4435" s="21"/>
      <c r="L4435" s="21"/>
      <c r="M4435" s="29"/>
    </row>
    <row r="4436">
      <c r="A4436" s="13"/>
      <c r="B4436" s="13"/>
      <c r="C4436" s="16"/>
      <c r="D4436" s="16"/>
      <c r="E4436" s="16"/>
      <c r="F4436" s="23"/>
      <c r="G4436" s="17"/>
      <c r="H4436" s="17"/>
      <c r="I4436" s="21"/>
      <c r="J4436" s="21"/>
      <c r="K4436" s="21"/>
      <c r="L4436" s="21"/>
      <c r="M4436" s="29"/>
    </row>
    <row r="4437">
      <c r="A4437" s="13"/>
      <c r="B4437" s="13"/>
      <c r="C4437" s="16"/>
      <c r="D4437" s="16"/>
      <c r="E4437" s="16"/>
      <c r="F4437" s="23"/>
      <c r="G4437" s="17"/>
      <c r="H4437" s="17"/>
      <c r="I4437" s="21"/>
      <c r="J4437" s="21"/>
      <c r="K4437" s="21"/>
      <c r="L4437" s="21"/>
      <c r="M4437" s="29"/>
    </row>
    <row r="4438">
      <c r="A4438" s="13"/>
      <c r="B4438" s="13"/>
      <c r="C4438" s="16"/>
      <c r="D4438" s="16"/>
      <c r="E4438" s="16"/>
      <c r="F4438" s="23"/>
      <c r="G4438" s="17"/>
      <c r="H4438" s="17"/>
      <c r="I4438" s="21"/>
      <c r="J4438" s="21"/>
      <c r="K4438" s="21"/>
      <c r="L4438" s="21"/>
      <c r="M4438" s="29"/>
    </row>
    <row r="4439">
      <c r="A4439" s="13"/>
      <c r="B4439" s="13"/>
      <c r="C4439" s="16"/>
      <c r="D4439" s="16"/>
      <c r="E4439" s="16"/>
      <c r="F4439" s="23"/>
      <c r="G4439" s="17"/>
      <c r="H4439" s="17"/>
      <c r="I4439" s="21"/>
      <c r="J4439" s="21"/>
      <c r="K4439" s="21"/>
      <c r="L4439" s="21"/>
      <c r="M4439" s="29"/>
    </row>
    <row r="4440">
      <c r="A4440" s="13"/>
      <c r="B4440" s="13"/>
      <c r="C4440" s="16"/>
      <c r="D4440" s="16"/>
      <c r="E4440" s="16"/>
      <c r="F4440" s="23"/>
      <c r="G4440" s="17"/>
      <c r="H4440" s="17"/>
      <c r="I4440" s="21"/>
      <c r="J4440" s="21"/>
      <c r="K4440" s="21"/>
      <c r="L4440" s="21"/>
      <c r="M4440" s="29"/>
    </row>
    <row r="4441">
      <c r="A4441" s="13"/>
      <c r="B4441" s="13"/>
      <c r="C4441" s="16"/>
      <c r="D4441" s="16"/>
      <c r="E4441" s="16"/>
      <c r="F4441" s="23"/>
      <c r="G4441" s="17"/>
      <c r="H4441" s="17"/>
      <c r="I4441" s="21"/>
      <c r="J4441" s="21"/>
      <c r="K4441" s="21"/>
      <c r="L4441" s="21"/>
      <c r="M4441" s="29"/>
    </row>
    <row r="4442">
      <c r="A4442" s="13"/>
      <c r="B4442" s="13"/>
      <c r="C4442" s="16"/>
      <c r="D4442" s="16"/>
      <c r="E4442" s="16"/>
      <c r="F4442" s="23"/>
      <c r="G4442" s="17"/>
      <c r="H4442" s="17"/>
      <c r="I4442" s="21"/>
      <c r="J4442" s="21"/>
      <c r="K4442" s="21"/>
      <c r="L4442" s="21"/>
      <c r="M4442" s="29"/>
    </row>
    <row r="4443">
      <c r="A4443" s="13"/>
      <c r="B4443" s="13"/>
      <c r="C4443" s="16"/>
      <c r="D4443" s="16"/>
      <c r="E4443" s="16"/>
      <c r="F4443" s="23"/>
      <c r="G4443" s="17"/>
      <c r="H4443" s="17"/>
      <c r="I4443" s="21"/>
      <c r="J4443" s="21"/>
      <c r="K4443" s="21"/>
      <c r="L4443" s="21"/>
      <c r="M4443" s="29"/>
    </row>
    <row r="4444">
      <c r="A4444" s="13"/>
      <c r="B4444" s="13"/>
      <c r="C4444" s="16"/>
      <c r="D4444" s="16"/>
      <c r="E4444" s="16"/>
      <c r="F4444" s="23"/>
      <c r="G4444" s="17"/>
      <c r="H4444" s="17"/>
      <c r="I4444" s="21"/>
      <c r="J4444" s="21"/>
      <c r="K4444" s="21"/>
      <c r="L4444" s="21"/>
      <c r="M4444" s="29"/>
    </row>
    <row r="4445">
      <c r="A4445" s="13"/>
      <c r="B4445" s="13"/>
      <c r="C4445" s="16"/>
      <c r="D4445" s="16"/>
      <c r="E4445" s="16"/>
      <c r="F4445" s="23"/>
      <c r="G4445" s="17"/>
      <c r="H4445" s="17"/>
      <c r="I4445" s="21"/>
      <c r="J4445" s="21"/>
      <c r="K4445" s="21"/>
      <c r="L4445" s="21"/>
      <c r="M4445" s="29"/>
    </row>
    <row r="4446">
      <c r="A4446" s="13"/>
      <c r="B4446" s="13"/>
      <c r="C4446" s="16"/>
      <c r="D4446" s="16"/>
      <c r="E4446" s="16"/>
      <c r="F4446" s="23"/>
      <c r="G4446" s="17"/>
      <c r="H4446" s="17"/>
      <c r="I4446" s="21"/>
      <c r="J4446" s="21"/>
      <c r="K4446" s="21"/>
      <c r="L4446" s="21"/>
      <c r="M4446" s="29"/>
    </row>
    <row r="4447">
      <c r="A4447" s="13"/>
      <c r="B4447" s="13"/>
      <c r="C4447" s="16"/>
      <c r="D4447" s="16"/>
      <c r="E4447" s="16"/>
      <c r="F4447" s="23"/>
      <c r="G4447" s="17"/>
      <c r="H4447" s="17"/>
      <c r="I4447" s="21"/>
      <c r="J4447" s="21"/>
      <c r="K4447" s="21"/>
      <c r="L4447" s="21"/>
      <c r="M4447" s="29"/>
    </row>
    <row r="4448">
      <c r="A4448" s="13"/>
      <c r="B4448" s="13"/>
      <c r="C4448" s="16"/>
      <c r="D4448" s="16"/>
      <c r="E4448" s="16"/>
      <c r="F4448" s="23"/>
      <c r="G4448" s="17"/>
      <c r="H4448" s="17"/>
      <c r="I4448" s="21"/>
      <c r="J4448" s="21"/>
      <c r="K4448" s="21"/>
      <c r="L4448" s="21"/>
      <c r="M4448" s="29"/>
    </row>
    <row r="4449">
      <c r="A4449" s="13"/>
      <c r="B4449" s="13"/>
      <c r="C4449" s="16"/>
      <c r="D4449" s="16"/>
      <c r="E4449" s="16"/>
      <c r="F4449" s="23"/>
      <c r="G4449" s="17"/>
      <c r="H4449" s="17"/>
      <c r="I4449" s="21"/>
      <c r="J4449" s="21"/>
      <c r="K4449" s="21"/>
      <c r="L4449" s="21"/>
      <c r="M4449" s="29"/>
    </row>
    <row r="4450">
      <c r="A4450" s="13"/>
      <c r="B4450" s="13"/>
      <c r="C4450" s="16"/>
      <c r="D4450" s="16"/>
      <c r="E4450" s="16"/>
      <c r="F4450" s="23"/>
      <c r="G4450" s="17"/>
      <c r="H4450" s="17"/>
      <c r="I4450" s="21"/>
      <c r="J4450" s="21"/>
      <c r="K4450" s="21"/>
      <c r="L4450" s="21"/>
      <c r="M4450" s="29"/>
    </row>
    <row r="4451">
      <c r="A4451" s="13"/>
      <c r="B4451" s="13"/>
      <c r="C4451" s="16"/>
      <c r="D4451" s="16"/>
      <c r="E4451" s="16"/>
      <c r="F4451" s="23"/>
      <c r="G4451" s="17"/>
      <c r="H4451" s="17"/>
      <c r="I4451" s="21"/>
      <c r="J4451" s="21"/>
      <c r="K4451" s="21"/>
      <c r="L4451" s="21"/>
      <c r="M4451" s="29"/>
    </row>
    <row r="4452">
      <c r="A4452" s="13"/>
      <c r="B4452" s="13"/>
      <c r="C4452" s="16"/>
      <c r="D4452" s="16"/>
      <c r="E4452" s="16"/>
      <c r="F4452" s="23"/>
      <c r="G4452" s="17"/>
      <c r="H4452" s="17"/>
      <c r="I4452" s="21"/>
      <c r="J4452" s="21"/>
      <c r="K4452" s="21"/>
      <c r="L4452" s="21"/>
      <c r="M4452" s="29"/>
    </row>
    <row r="4453">
      <c r="A4453" s="13"/>
      <c r="B4453" s="13"/>
      <c r="C4453" s="16"/>
      <c r="D4453" s="16"/>
      <c r="E4453" s="16"/>
      <c r="F4453" s="23"/>
      <c r="G4453" s="17"/>
      <c r="H4453" s="17"/>
      <c r="I4453" s="21"/>
      <c r="J4453" s="21"/>
      <c r="K4453" s="21"/>
      <c r="L4453" s="21"/>
      <c r="M4453" s="29"/>
    </row>
    <row r="4454">
      <c r="A4454" s="13"/>
      <c r="B4454" s="13"/>
      <c r="C4454" s="16"/>
      <c r="D4454" s="16"/>
      <c r="E4454" s="16"/>
      <c r="F4454" s="23"/>
      <c r="G4454" s="17"/>
      <c r="H4454" s="17"/>
      <c r="I4454" s="21"/>
      <c r="J4454" s="21"/>
      <c r="K4454" s="21"/>
      <c r="L4454" s="21"/>
      <c r="M4454" s="29"/>
    </row>
    <row r="4455">
      <c r="A4455" s="13"/>
      <c r="B4455" s="13"/>
      <c r="C4455" s="16"/>
      <c r="D4455" s="16"/>
      <c r="E4455" s="16"/>
      <c r="F4455" s="23"/>
      <c r="G4455" s="17"/>
      <c r="H4455" s="17"/>
      <c r="I4455" s="21"/>
      <c r="J4455" s="21"/>
      <c r="K4455" s="21"/>
      <c r="L4455" s="21"/>
      <c r="M4455" s="29"/>
    </row>
    <row r="4456">
      <c r="A4456" s="13"/>
      <c r="B4456" s="13"/>
      <c r="C4456" s="16"/>
      <c r="D4456" s="16"/>
      <c r="E4456" s="16"/>
      <c r="F4456" s="23"/>
      <c r="G4456" s="17"/>
      <c r="H4456" s="17"/>
      <c r="I4456" s="21"/>
      <c r="J4456" s="21"/>
      <c r="K4456" s="21"/>
      <c r="L4456" s="21"/>
      <c r="M4456" s="29"/>
    </row>
    <row r="4457">
      <c r="A4457" s="13"/>
      <c r="B4457" s="13"/>
      <c r="C4457" s="16"/>
      <c r="D4457" s="16"/>
      <c r="E4457" s="16"/>
      <c r="F4457" s="23"/>
      <c r="G4457" s="17"/>
      <c r="H4457" s="17"/>
      <c r="I4457" s="21"/>
      <c r="J4457" s="21"/>
      <c r="K4457" s="21"/>
      <c r="L4457" s="21"/>
      <c r="M4457" s="29"/>
    </row>
    <row r="4458">
      <c r="A4458" s="13"/>
      <c r="B4458" s="13"/>
      <c r="C4458" s="16"/>
      <c r="D4458" s="16"/>
      <c r="E4458" s="16"/>
      <c r="F4458" s="23"/>
      <c r="G4458" s="17"/>
      <c r="H4458" s="17"/>
      <c r="I4458" s="21"/>
      <c r="J4458" s="21"/>
      <c r="K4458" s="21"/>
      <c r="L4458" s="21"/>
      <c r="M4458" s="29"/>
    </row>
    <row r="4459">
      <c r="A4459" s="13"/>
      <c r="B4459" s="13"/>
      <c r="C4459" s="16"/>
      <c r="D4459" s="16"/>
      <c r="E4459" s="16"/>
      <c r="F4459" s="23"/>
      <c r="G4459" s="17"/>
      <c r="H4459" s="17"/>
      <c r="I4459" s="21"/>
      <c r="J4459" s="21"/>
      <c r="K4459" s="21"/>
      <c r="L4459" s="21"/>
      <c r="M4459" s="29"/>
    </row>
    <row r="4460">
      <c r="A4460" s="13"/>
      <c r="B4460" s="13"/>
      <c r="C4460" s="16"/>
      <c r="D4460" s="16"/>
      <c r="E4460" s="16"/>
      <c r="F4460" s="23"/>
      <c r="G4460" s="17"/>
      <c r="H4460" s="17"/>
      <c r="I4460" s="21"/>
      <c r="J4460" s="21"/>
      <c r="K4460" s="21"/>
      <c r="L4460" s="21"/>
      <c r="M4460" s="29"/>
    </row>
    <row r="4461">
      <c r="A4461" s="13"/>
      <c r="B4461" s="13"/>
      <c r="C4461" s="16"/>
      <c r="D4461" s="16"/>
      <c r="E4461" s="16"/>
      <c r="F4461" s="23"/>
      <c r="G4461" s="17"/>
      <c r="H4461" s="17"/>
      <c r="I4461" s="21"/>
      <c r="J4461" s="21"/>
      <c r="K4461" s="21"/>
      <c r="L4461" s="21"/>
      <c r="M4461" s="29"/>
    </row>
    <row r="4462">
      <c r="A4462" s="13"/>
      <c r="B4462" s="13"/>
      <c r="C4462" s="16"/>
      <c r="D4462" s="16"/>
      <c r="E4462" s="16"/>
      <c r="F4462" s="23"/>
      <c r="G4462" s="17"/>
      <c r="H4462" s="17"/>
      <c r="I4462" s="21"/>
      <c r="J4462" s="21"/>
      <c r="K4462" s="21"/>
      <c r="L4462" s="21"/>
      <c r="M4462" s="29"/>
    </row>
    <row r="4463">
      <c r="A4463" s="13"/>
      <c r="B4463" s="13"/>
      <c r="C4463" s="16"/>
      <c r="D4463" s="16"/>
      <c r="E4463" s="16"/>
      <c r="F4463" s="23"/>
      <c r="G4463" s="17"/>
      <c r="H4463" s="17"/>
      <c r="I4463" s="21"/>
      <c r="J4463" s="21"/>
      <c r="K4463" s="21"/>
      <c r="L4463" s="21"/>
      <c r="M4463" s="29"/>
    </row>
    <row r="4464">
      <c r="A4464" s="13"/>
      <c r="B4464" s="13"/>
      <c r="C4464" s="16"/>
      <c r="D4464" s="16"/>
      <c r="E4464" s="16"/>
      <c r="F4464" s="23"/>
      <c r="G4464" s="17"/>
      <c r="H4464" s="17"/>
      <c r="I4464" s="21"/>
      <c r="J4464" s="21"/>
      <c r="K4464" s="21"/>
      <c r="L4464" s="21"/>
      <c r="M4464" s="29"/>
    </row>
    <row r="4465">
      <c r="A4465" s="13"/>
      <c r="B4465" s="13"/>
      <c r="C4465" s="16"/>
      <c r="D4465" s="16"/>
      <c r="E4465" s="16"/>
      <c r="F4465" s="23"/>
      <c r="G4465" s="17"/>
      <c r="H4465" s="17"/>
      <c r="I4465" s="21"/>
      <c r="J4465" s="21"/>
      <c r="K4465" s="21"/>
      <c r="L4465" s="21"/>
      <c r="M4465" s="29"/>
    </row>
    <row r="4466">
      <c r="A4466" s="13"/>
      <c r="B4466" s="13"/>
      <c r="C4466" s="16"/>
      <c r="D4466" s="16"/>
      <c r="E4466" s="16"/>
      <c r="F4466" s="23"/>
      <c r="G4466" s="17"/>
      <c r="H4466" s="17"/>
      <c r="I4466" s="21"/>
      <c r="J4466" s="21"/>
      <c r="K4466" s="21"/>
      <c r="L4466" s="21"/>
      <c r="M4466" s="29"/>
    </row>
    <row r="4467">
      <c r="A4467" s="13"/>
      <c r="B4467" s="13"/>
      <c r="C4467" s="16"/>
      <c r="D4467" s="16"/>
      <c r="E4467" s="16"/>
      <c r="F4467" s="23"/>
      <c r="G4467" s="17"/>
      <c r="H4467" s="17"/>
      <c r="I4467" s="21"/>
      <c r="J4467" s="21"/>
      <c r="K4467" s="21"/>
      <c r="L4467" s="21"/>
      <c r="M4467" s="29"/>
    </row>
    <row r="4468">
      <c r="A4468" s="13"/>
      <c r="B4468" s="13"/>
      <c r="C4468" s="16"/>
      <c r="D4468" s="16"/>
      <c r="E4468" s="16"/>
      <c r="F4468" s="23"/>
      <c r="G4468" s="17"/>
      <c r="H4468" s="17"/>
      <c r="I4468" s="21"/>
      <c r="J4468" s="21"/>
      <c r="K4468" s="21"/>
      <c r="L4468" s="21"/>
      <c r="M4468" s="29"/>
    </row>
    <row r="4469">
      <c r="A4469" s="13"/>
      <c r="B4469" s="13"/>
      <c r="C4469" s="16"/>
      <c r="D4469" s="16"/>
      <c r="E4469" s="16"/>
      <c r="F4469" s="23"/>
      <c r="G4469" s="17"/>
      <c r="H4469" s="17"/>
      <c r="I4469" s="21"/>
      <c r="J4469" s="21"/>
      <c r="K4469" s="21"/>
      <c r="L4469" s="21"/>
      <c r="M4469" s="29"/>
    </row>
    <row r="4470">
      <c r="A4470" s="13"/>
      <c r="B4470" s="13"/>
      <c r="C4470" s="16"/>
      <c r="D4470" s="16"/>
      <c r="E4470" s="16"/>
      <c r="F4470" s="23"/>
      <c r="G4470" s="17"/>
      <c r="H4470" s="17"/>
      <c r="I4470" s="21"/>
      <c r="J4470" s="21"/>
      <c r="K4470" s="21"/>
      <c r="L4470" s="21"/>
      <c r="M4470" s="29"/>
    </row>
    <row r="4471">
      <c r="A4471" s="13"/>
      <c r="B4471" s="13"/>
      <c r="C4471" s="16"/>
      <c r="D4471" s="16"/>
      <c r="E4471" s="16"/>
      <c r="F4471" s="23"/>
      <c r="G4471" s="17"/>
      <c r="H4471" s="17"/>
      <c r="I4471" s="21"/>
      <c r="J4471" s="21"/>
      <c r="K4471" s="21"/>
      <c r="L4471" s="21"/>
      <c r="M4471" s="29"/>
    </row>
    <row r="4472">
      <c r="A4472" s="13"/>
      <c r="B4472" s="13"/>
      <c r="C4472" s="16"/>
      <c r="D4472" s="16"/>
      <c r="E4472" s="16"/>
      <c r="F4472" s="23"/>
      <c r="G4472" s="17"/>
      <c r="H4472" s="17"/>
      <c r="I4472" s="21"/>
      <c r="J4472" s="21"/>
      <c r="K4472" s="21"/>
      <c r="L4472" s="21"/>
      <c r="M4472" s="29"/>
    </row>
    <row r="4473">
      <c r="A4473" s="13"/>
      <c r="B4473" s="13"/>
      <c r="C4473" s="16"/>
      <c r="D4473" s="16"/>
      <c r="E4473" s="16"/>
      <c r="F4473" s="23"/>
      <c r="G4473" s="17"/>
      <c r="H4473" s="17"/>
      <c r="I4473" s="21"/>
      <c r="J4473" s="21"/>
      <c r="K4473" s="21"/>
      <c r="L4473" s="21"/>
      <c r="M4473" s="29"/>
    </row>
    <row r="4474">
      <c r="A4474" s="13"/>
      <c r="B4474" s="13"/>
      <c r="C4474" s="16"/>
      <c r="D4474" s="16"/>
      <c r="E4474" s="16"/>
      <c r="F4474" s="23"/>
      <c r="G4474" s="17"/>
      <c r="H4474" s="17"/>
      <c r="I4474" s="21"/>
      <c r="J4474" s="21"/>
      <c r="K4474" s="21"/>
      <c r="L4474" s="21"/>
      <c r="M4474" s="29"/>
    </row>
    <row r="4475">
      <c r="A4475" s="13"/>
      <c r="B4475" s="13"/>
      <c r="C4475" s="16"/>
      <c r="D4475" s="16"/>
      <c r="E4475" s="16"/>
      <c r="F4475" s="23"/>
      <c r="G4475" s="17"/>
      <c r="H4475" s="17"/>
      <c r="I4475" s="21"/>
      <c r="J4475" s="21"/>
      <c r="K4475" s="21"/>
      <c r="L4475" s="21"/>
      <c r="M4475" s="29"/>
    </row>
    <row r="4476">
      <c r="A4476" s="13"/>
      <c r="B4476" s="13"/>
      <c r="C4476" s="16"/>
      <c r="D4476" s="16"/>
      <c r="E4476" s="16"/>
      <c r="F4476" s="23"/>
      <c r="G4476" s="17"/>
      <c r="H4476" s="17"/>
      <c r="I4476" s="21"/>
      <c r="J4476" s="21"/>
      <c r="K4476" s="21"/>
      <c r="L4476" s="21"/>
      <c r="M4476" s="29"/>
    </row>
    <row r="4477">
      <c r="A4477" s="13"/>
      <c r="B4477" s="13"/>
      <c r="C4477" s="16"/>
      <c r="D4477" s="16"/>
      <c r="E4477" s="16"/>
      <c r="F4477" s="23"/>
      <c r="G4477" s="17"/>
      <c r="H4477" s="17"/>
      <c r="I4477" s="21"/>
      <c r="J4477" s="21"/>
      <c r="K4477" s="21"/>
      <c r="L4477" s="21"/>
      <c r="M4477" s="29"/>
    </row>
    <row r="4478">
      <c r="A4478" s="13"/>
      <c r="B4478" s="13"/>
      <c r="C4478" s="16"/>
      <c r="D4478" s="16"/>
      <c r="E4478" s="16"/>
      <c r="F4478" s="23"/>
      <c r="G4478" s="17"/>
      <c r="H4478" s="17"/>
      <c r="I4478" s="21"/>
      <c r="J4478" s="21"/>
      <c r="K4478" s="21"/>
      <c r="L4478" s="21"/>
      <c r="M4478" s="29"/>
    </row>
    <row r="4479">
      <c r="A4479" s="13"/>
      <c r="B4479" s="13"/>
      <c r="C4479" s="16"/>
      <c r="D4479" s="16"/>
      <c r="E4479" s="16"/>
      <c r="F4479" s="23"/>
      <c r="G4479" s="17"/>
      <c r="H4479" s="17"/>
      <c r="I4479" s="21"/>
      <c r="J4479" s="21"/>
      <c r="K4479" s="21"/>
      <c r="L4479" s="21"/>
      <c r="M4479" s="29"/>
    </row>
    <row r="4480">
      <c r="A4480" s="13"/>
      <c r="B4480" s="13"/>
      <c r="C4480" s="16"/>
      <c r="D4480" s="16"/>
      <c r="E4480" s="16"/>
      <c r="F4480" s="23"/>
      <c r="G4480" s="17"/>
      <c r="H4480" s="17"/>
      <c r="I4480" s="21"/>
      <c r="J4480" s="21"/>
      <c r="K4480" s="21"/>
      <c r="L4480" s="21"/>
      <c r="M4480" s="29"/>
    </row>
    <row r="4481">
      <c r="A4481" s="13"/>
      <c r="B4481" s="13"/>
      <c r="C4481" s="16"/>
      <c r="D4481" s="16"/>
      <c r="E4481" s="16"/>
      <c r="F4481" s="23"/>
      <c r="G4481" s="17"/>
      <c r="H4481" s="17"/>
      <c r="I4481" s="21"/>
      <c r="J4481" s="21"/>
      <c r="K4481" s="21"/>
      <c r="L4481" s="21"/>
      <c r="M4481" s="29"/>
    </row>
    <row r="4482">
      <c r="A4482" s="13"/>
      <c r="B4482" s="13"/>
      <c r="C4482" s="16"/>
      <c r="D4482" s="16"/>
      <c r="E4482" s="16"/>
      <c r="F4482" s="23"/>
      <c r="G4482" s="17"/>
      <c r="H4482" s="17"/>
      <c r="I4482" s="21"/>
      <c r="J4482" s="21"/>
      <c r="K4482" s="21"/>
      <c r="L4482" s="21"/>
      <c r="M4482" s="29"/>
    </row>
    <row r="4483">
      <c r="A4483" s="13"/>
      <c r="B4483" s="13"/>
      <c r="C4483" s="16"/>
      <c r="D4483" s="16"/>
      <c r="E4483" s="16"/>
      <c r="F4483" s="23"/>
      <c r="G4483" s="17"/>
      <c r="H4483" s="17"/>
      <c r="I4483" s="21"/>
      <c r="J4483" s="21"/>
      <c r="K4483" s="21"/>
      <c r="L4483" s="21"/>
      <c r="M4483" s="29"/>
    </row>
    <row r="4484">
      <c r="A4484" s="13"/>
      <c r="B4484" s="13"/>
      <c r="C4484" s="16"/>
      <c r="D4484" s="16"/>
      <c r="E4484" s="16"/>
      <c r="F4484" s="23"/>
      <c r="G4484" s="17"/>
      <c r="H4484" s="17"/>
      <c r="I4484" s="21"/>
      <c r="J4484" s="21"/>
      <c r="K4484" s="21"/>
      <c r="L4484" s="21"/>
      <c r="M4484" s="29"/>
    </row>
    <row r="4485">
      <c r="A4485" s="13"/>
      <c r="B4485" s="13"/>
      <c r="C4485" s="16"/>
      <c r="D4485" s="16"/>
      <c r="E4485" s="16"/>
      <c r="F4485" s="23"/>
      <c r="G4485" s="17"/>
      <c r="H4485" s="17"/>
      <c r="I4485" s="21"/>
      <c r="J4485" s="21"/>
      <c r="K4485" s="21"/>
      <c r="L4485" s="21"/>
      <c r="M4485" s="29"/>
    </row>
    <row r="4486">
      <c r="A4486" s="13"/>
      <c r="B4486" s="13"/>
      <c r="C4486" s="16"/>
      <c r="D4486" s="16"/>
      <c r="E4486" s="16"/>
      <c r="F4486" s="23"/>
      <c r="G4486" s="17"/>
      <c r="H4486" s="17"/>
      <c r="I4486" s="21"/>
      <c r="J4486" s="21"/>
      <c r="K4486" s="21"/>
      <c r="L4486" s="21"/>
      <c r="M4486" s="29"/>
    </row>
    <row r="4487">
      <c r="A4487" s="13"/>
      <c r="B4487" s="13"/>
      <c r="C4487" s="16"/>
      <c r="D4487" s="16"/>
      <c r="E4487" s="16"/>
      <c r="F4487" s="23"/>
      <c r="G4487" s="17"/>
      <c r="H4487" s="17"/>
      <c r="I4487" s="21"/>
      <c r="J4487" s="21"/>
      <c r="K4487" s="21"/>
      <c r="L4487" s="21"/>
      <c r="M4487" s="29"/>
    </row>
    <row r="4488">
      <c r="A4488" s="13"/>
      <c r="B4488" s="13"/>
      <c r="C4488" s="16"/>
      <c r="D4488" s="16"/>
      <c r="E4488" s="16"/>
      <c r="F4488" s="23"/>
      <c r="G4488" s="17"/>
      <c r="H4488" s="17"/>
      <c r="I4488" s="21"/>
      <c r="J4488" s="21"/>
      <c r="K4488" s="21"/>
      <c r="L4488" s="21"/>
      <c r="M4488" s="29"/>
    </row>
    <row r="4489">
      <c r="A4489" s="13"/>
      <c r="B4489" s="13"/>
      <c r="C4489" s="16"/>
      <c r="D4489" s="16"/>
      <c r="E4489" s="16"/>
      <c r="F4489" s="23"/>
      <c r="G4489" s="17"/>
      <c r="H4489" s="17"/>
      <c r="I4489" s="21"/>
      <c r="J4489" s="21"/>
      <c r="K4489" s="21"/>
      <c r="L4489" s="21"/>
      <c r="M4489" s="29"/>
    </row>
    <row r="4490">
      <c r="A4490" s="13"/>
      <c r="B4490" s="13"/>
      <c r="C4490" s="16"/>
      <c r="D4490" s="16"/>
      <c r="E4490" s="16"/>
      <c r="F4490" s="23"/>
      <c r="G4490" s="17"/>
      <c r="H4490" s="17"/>
      <c r="I4490" s="21"/>
      <c r="J4490" s="21"/>
      <c r="K4490" s="21"/>
      <c r="L4490" s="21"/>
      <c r="M4490" s="29"/>
    </row>
    <row r="4491">
      <c r="A4491" s="13"/>
      <c r="B4491" s="13"/>
      <c r="C4491" s="16"/>
      <c r="D4491" s="16"/>
      <c r="E4491" s="16"/>
      <c r="F4491" s="23"/>
      <c r="G4491" s="17"/>
      <c r="H4491" s="17"/>
      <c r="I4491" s="21"/>
      <c r="J4491" s="21"/>
      <c r="K4491" s="21"/>
      <c r="L4491" s="21"/>
      <c r="M4491" s="29"/>
    </row>
    <row r="4492">
      <c r="A4492" s="13"/>
      <c r="B4492" s="13"/>
      <c r="C4492" s="16"/>
      <c r="D4492" s="16"/>
      <c r="E4492" s="16"/>
      <c r="F4492" s="23"/>
      <c r="G4492" s="17"/>
      <c r="H4492" s="17"/>
      <c r="I4492" s="21"/>
      <c r="J4492" s="21"/>
      <c r="K4492" s="21"/>
      <c r="L4492" s="21"/>
      <c r="M4492" s="29"/>
    </row>
    <row r="4493">
      <c r="A4493" s="13"/>
      <c r="B4493" s="13"/>
      <c r="C4493" s="16"/>
      <c r="D4493" s="16"/>
      <c r="E4493" s="16"/>
      <c r="F4493" s="23"/>
      <c r="G4493" s="17"/>
      <c r="H4493" s="17"/>
      <c r="I4493" s="21"/>
      <c r="J4493" s="21"/>
      <c r="K4493" s="21"/>
      <c r="L4493" s="21"/>
      <c r="M4493" s="29"/>
    </row>
    <row r="4494">
      <c r="A4494" s="13"/>
      <c r="B4494" s="13"/>
      <c r="C4494" s="16"/>
      <c r="D4494" s="16"/>
      <c r="E4494" s="16"/>
      <c r="F4494" s="23"/>
      <c r="G4494" s="17"/>
      <c r="H4494" s="17"/>
      <c r="I4494" s="21"/>
      <c r="J4494" s="21"/>
      <c r="K4494" s="21"/>
      <c r="L4494" s="21"/>
      <c r="M4494" s="29"/>
    </row>
    <row r="4495">
      <c r="A4495" s="13"/>
      <c r="B4495" s="13"/>
      <c r="C4495" s="16"/>
      <c r="D4495" s="16"/>
      <c r="E4495" s="16"/>
      <c r="F4495" s="23"/>
      <c r="G4495" s="17"/>
      <c r="H4495" s="17"/>
      <c r="I4495" s="21"/>
      <c r="J4495" s="21"/>
      <c r="K4495" s="21"/>
      <c r="L4495" s="21"/>
      <c r="M4495" s="29"/>
    </row>
    <row r="4496">
      <c r="A4496" s="13"/>
      <c r="B4496" s="13"/>
      <c r="C4496" s="16"/>
      <c r="D4496" s="16"/>
      <c r="E4496" s="16"/>
      <c r="F4496" s="23"/>
      <c r="G4496" s="17"/>
      <c r="H4496" s="17"/>
      <c r="I4496" s="21"/>
      <c r="J4496" s="21"/>
      <c r="K4496" s="21"/>
      <c r="L4496" s="21"/>
      <c r="M4496" s="29"/>
    </row>
    <row r="4497">
      <c r="A4497" s="13"/>
      <c r="B4497" s="13"/>
      <c r="C4497" s="16"/>
      <c r="D4497" s="16"/>
      <c r="E4497" s="16"/>
      <c r="F4497" s="23"/>
      <c r="G4497" s="17"/>
      <c r="H4497" s="17"/>
      <c r="I4497" s="21"/>
      <c r="J4497" s="21"/>
      <c r="K4497" s="21"/>
      <c r="L4497" s="21"/>
      <c r="M4497" s="29"/>
    </row>
    <row r="4498">
      <c r="A4498" s="13"/>
      <c r="B4498" s="13"/>
      <c r="C4498" s="16"/>
      <c r="D4498" s="16"/>
      <c r="E4498" s="16"/>
      <c r="F4498" s="23"/>
      <c r="G4498" s="17"/>
      <c r="H4498" s="17"/>
      <c r="I4498" s="21"/>
      <c r="J4498" s="21"/>
      <c r="K4498" s="21"/>
      <c r="L4498" s="21"/>
      <c r="M4498" s="29"/>
    </row>
    <row r="4499">
      <c r="A4499" s="13"/>
      <c r="B4499" s="13"/>
      <c r="C4499" s="16"/>
      <c r="D4499" s="16"/>
      <c r="E4499" s="16"/>
      <c r="F4499" s="23"/>
      <c r="G4499" s="17"/>
      <c r="H4499" s="17"/>
      <c r="I4499" s="21"/>
      <c r="J4499" s="21"/>
      <c r="K4499" s="21"/>
      <c r="L4499" s="21"/>
      <c r="M4499" s="29"/>
    </row>
    <row r="4500">
      <c r="A4500" s="13"/>
      <c r="B4500" s="13"/>
      <c r="C4500" s="16"/>
      <c r="D4500" s="16"/>
      <c r="E4500" s="16"/>
      <c r="F4500" s="23"/>
      <c r="G4500" s="17"/>
      <c r="H4500" s="17"/>
      <c r="I4500" s="21"/>
      <c r="J4500" s="21"/>
      <c r="K4500" s="21"/>
      <c r="L4500" s="21"/>
      <c r="M4500" s="29"/>
    </row>
    <row r="4501">
      <c r="A4501" s="13"/>
      <c r="B4501" s="13"/>
      <c r="C4501" s="16"/>
      <c r="D4501" s="16"/>
      <c r="E4501" s="16"/>
      <c r="F4501" s="23"/>
      <c r="G4501" s="17"/>
      <c r="H4501" s="17"/>
      <c r="I4501" s="21"/>
      <c r="J4501" s="21"/>
      <c r="K4501" s="21"/>
      <c r="L4501" s="21"/>
      <c r="M4501" s="29"/>
    </row>
    <row r="4502">
      <c r="A4502" s="13"/>
      <c r="B4502" s="13"/>
      <c r="C4502" s="16"/>
      <c r="D4502" s="16"/>
      <c r="E4502" s="16"/>
      <c r="F4502" s="23"/>
      <c r="G4502" s="17"/>
      <c r="H4502" s="17"/>
      <c r="I4502" s="21"/>
      <c r="J4502" s="21"/>
      <c r="K4502" s="21"/>
      <c r="L4502" s="21"/>
      <c r="M4502" s="29"/>
    </row>
    <row r="4503">
      <c r="A4503" s="13"/>
      <c r="B4503" s="13"/>
      <c r="C4503" s="16"/>
      <c r="D4503" s="16"/>
      <c r="E4503" s="16"/>
      <c r="F4503" s="23"/>
      <c r="G4503" s="17"/>
      <c r="H4503" s="17"/>
      <c r="I4503" s="21"/>
      <c r="J4503" s="21"/>
      <c r="K4503" s="21"/>
      <c r="L4503" s="21"/>
      <c r="M4503" s="29"/>
    </row>
    <row r="4504">
      <c r="A4504" s="13"/>
      <c r="B4504" s="13"/>
      <c r="C4504" s="16"/>
      <c r="D4504" s="16"/>
      <c r="E4504" s="16"/>
      <c r="F4504" s="23"/>
      <c r="G4504" s="17"/>
      <c r="H4504" s="17"/>
      <c r="I4504" s="21"/>
      <c r="J4504" s="21"/>
      <c r="K4504" s="21"/>
      <c r="L4504" s="21"/>
      <c r="M4504" s="29"/>
    </row>
    <row r="4505">
      <c r="A4505" s="13"/>
      <c r="B4505" s="13"/>
      <c r="C4505" s="16"/>
      <c r="D4505" s="16"/>
      <c r="E4505" s="16"/>
      <c r="F4505" s="23"/>
      <c r="G4505" s="17"/>
      <c r="H4505" s="17"/>
      <c r="I4505" s="21"/>
      <c r="J4505" s="21"/>
      <c r="K4505" s="21"/>
      <c r="L4505" s="21"/>
      <c r="M4505" s="29"/>
    </row>
    <row r="4506">
      <c r="A4506" s="13"/>
      <c r="B4506" s="13"/>
      <c r="C4506" s="16"/>
      <c r="D4506" s="16"/>
      <c r="E4506" s="16"/>
      <c r="F4506" s="23"/>
      <c r="G4506" s="17"/>
      <c r="H4506" s="17"/>
      <c r="I4506" s="21"/>
      <c r="J4506" s="21"/>
      <c r="K4506" s="21"/>
      <c r="L4506" s="21"/>
      <c r="M4506" s="29"/>
    </row>
    <row r="4507">
      <c r="A4507" s="13"/>
      <c r="B4507" s="13"/>
      <c r="C4507" s="16"/>
      <c r="D4507" s="16"/>
      <c r="E4507" s="16"/>
      <c r="F4507" s="23"/>
      <c r="G4507" s="17"/>
      <c r="H4507" s="17"/>
      <c r="I4507" s="21"/>
      <c r="J4507" s="21"/>
      <c r="K4507" s="21"/>
      <c r="L4507" s="21"/>
      <c r="M4507" s="29"/>
    </row>
    <row r="4508">
      <c r="A4508" s="13"/>
      <c r="B4508" s="13"/>
      <c r="C4508" s="16"/>
      <c r="D4508" s="16"/>
      <c r="E4508" s="16"/>
      <c r="F4508" s="23"/>
      <c r="G4508" s="17"/>
      <c r="H4508" s="17"/>
      <c r="I4508" s="21"/>
      <c r="J4508" s="21"/>
      <c r="K4508" s="21"/>
      <c r="L4508" s="21"/>
      <c r="M4508" s="29"/>
    </row>
    <row r="4509">
      <c r="A4509" s="13"/>
      <c r="B4509" s="13"/>
      <c r="C4509" s="16"/>
      <c r="D4509" s="16"/>
      <c r="E4509" s="16"/>
      <c r="F4509" s="23"/>
      <c r="G4509" s="17"/>
      <c r="H4509" s="17"/>
      <c r="I4509" s="21"/>
      <c r="J4509" s="21"/>
      <c r="K4509" s="21"/>
      <c r="L4509" s="21"/>
      <c r="M4509" s="29"/>
    </row>
    <row r="4510">
      <c r="A4510" s="13"/>
      <c r="B4510" s="13"/>
      <c r="C4510" s="16"/>
      <c r="D4510" s="16"/>
      <c r="E4510" s="16"/>
      <c r="F4510" s="23"/>
      <c r="G4510" s="17"/>
      <c r="H4510" s="17"/>
      <c r="I4510" s="21"/>
      <c r="J4510" s="21"/>
      <c r="K4510" s="21"/>
      <c r="L4510" s="21"/>
      <c r="M4510" s="29"/>
    </row>
    <row r="4511">
      <c r="A4511" s="13"/>
      <c r="B4511" s="13"/>
      <c r="C4511" s="16"/>
      <c r="D4511" s="16"/>
      <c r="E4511" s="16"/>
      <c r="F4511" s="23"/>
      <c r="G4511" s="17"/>
      <c r="H4511" s="17"/>
      <c r="I4511" s="21"/>
      <c r="J4511" s="21"/>
      <c r="K4511" s="21"/>
      <c r="L4511" s="21"/>
      <c r="M4511" s="29"/>
    </row>
    <row r="4512">
      <c r="A4512" s="13"/>
      <c r="B4512" s="13"/>
      <c r="C4512" s="16"/>
      <c r="D4512" s="16"/>
      <c r="E4512" s="16"/>
      <c r="F4512" s="23"/>
      <c r="G4512" s="17"/>
      <c r="H4512" s="17"/>
      <c r="I4512" s="21"/>
      <c r="J4512" s="21"/>
      <c r="K4512" s="21"/>
      <c r="L4512" s="21"/>
      <c r="M4512" s="29"/>
    </row>
    <row r="4513">
      <c r="A4513" s="13"/>
      <c r="B4513" s="13"/>
      <c r="C4513" s="16"/>
      <c r="D4513" s="16"/>
      <c r="E4513" s="16"/>
      <c r="F4513" s="23"/>
      <c r="G4513" s="17"/>
      <c r="H4513" s="17"/>
      <c r="I4513" s="21"/>
      <c r="J4513" s="21"/>
      <c r="K4513" s="21"/>
      <c r="L4513" s="21"/>
      <c r="M4513" s="29"/>
    </row>
    <row r="4514">
      <c r="A4514" s="13"/>
      <c r="B4514" s="13"/>
      <c r="C4514" s="16"/>
      <c r="D4514" s="16"/>
      <c r="E4514" s="16"/>
      <c r="F4514" s="23"/>
      <c r="G4514" s="17"/>
      <c r="H4514" s="17"/>
      <c r="I4514" s="21"/>
      <c r="J4514" s="21"/>
      <c r="K4514" s="21"/>
      <c r="L4514" s="21"/>
      <c r="M4514" s="29"/>
    </row>
    <row r="4515">
      <c r="A4515" s="13"/>
      <c r="B4515" s="13"/>
      <c r="C4515" s="16"/>
      <c r="D4515" s="16"/>
      <c r="E4515" s="16"/>
      <c r="F4515" s="23"/>
      <c r="G4515" s="17"/>
      <c r="H4515" s="17"/>
      <c r="I4515" s="21"/>
      <c r="J4515" s="21"/>
      <c r="K4515" s="21"/>
      <c r="L4515" s="21"/>
      <c r="M4515" s="29"/>
    </row>
    <row r="4516">
      <c r="A4516" s="13"/>
      <c r="B4516" s="13"/>
      <c r="C4516" s="16"/>
      <c r="D4516" s="16"/>
      <c r="E4516" s="16"/>
      <c r="F4516" s="23"/>
      <c r="G4516" s="17"/>
      <c r="H4516" s="17"/>
      <c r="I4516" s="21"/>
      <c r="J4516" s="21"/>
      <c r="K4516" s="21"/>
      <c r="L4516" s="21"/>
      <c r="M4516" s="29"/>
    </row>
    <row r="4517">
      <c r="A4517" s="13"/>
      <c r="B4517" s="13"/>
      <c r="C4517" s="16"/>
      <c r="D4517" s="16"/>
      <c r="E4517" s="16"/>
      <c r="F4517" s="23"/>
      <c r="G4517" s="17"/>
      <c r="H4517" s="17"/>
      <c r="I4517" s="21"/>
      <c r="J4517" s="21"/>
      <c r="K4517" s="21"/>
      <c r="L4517" s="21"/>
      <c r="M4517" s="29"/>
    </row>
    <row r="4518">
      <c r="A4518" s="13"/>
      <c r="B4518" s="13"/>
      <c r="C4518" s="16"/>
      <c r="D4518" s="16"/>
      <c r="E4518" s="16"/>
      <c r="F4518" s="23"/>
      <c r="G4518" s="17"/>
      <c r="H4518" s="17"/>
      <c r="I4518" s="21"/>
      <c r="J4518" s="21"/>
      <c r="K4518" s="21"/>
      <c r="L4518" s="21"/>
      <c r="M4518" s="29"/>
    </row>
    <row r="4519">
      <c r="A4519" s="13"/>
      <c r="B4519" s="13"/>
      <c r="C4519" s="16"/>
      <c r="D4519" s="16"/>
      <c r="E4519" s="16"/>
      <c r="F4519" s="23"/>
      <c r="G4519" s="17"/>
      <c r="H4519" s="17"/>
      <c r="I4519" s="21"/>
      <c r="J4519" s="21"/>
      <c r="K4519" s="21"/>
      <c r="L4519" s="21"/>
      <c r="M4519" s="29"/>
    </row>
    <row r="4520">
      <c r="A4520" s="13"/>
      <c r="B4520" s="13"/>
      <c r="C4520" s="16"/>
      <c r="D4520" s="16"/>
      <c r="E4520" s="16"/>
      <c r="F4520" s="23"/>
      <c r="G4520" s="17"/>
      <c r="H4520" s="17"/>
      <c r="I4520" s="21"/>
      <c r="J4520" s="21"/>
      <c r="K4520" s="21"/>
      <c r="L4520" s="21"/>
      <c r="M4520" s="29"/>
    </row>
    <row r="4521">
      <c r="A4521" s="13"/>
      <c r="B4521" s="13"/>
      <c r="C4521" s="16"/>
      <c r="D4521" s="16"/>
      <c r="E4521" s="16"/>
      <c r="F4521" s="23"/>
      <c r="G4521" s="17"/>
      <c r="H4521" s="17"/>
      <c r="I4521" s="21"/>
      <c r="J4521" s="21"/>
      <c r="K4521" s="21"/>
      <c r="L4521" s="21"/>
      <c r="M4521" s="29"/>
    </row>
    <row r="4522">
      <c r="A4522" s="13"/>
      <c r="B4522" s="13"/>
      <c r="C4522" s="16"/>
      <c r="D4522" s="16"/>
      <c r="E4522" s="16"/>
      <c r="F4522" s="23"/>
      <c r="G4522" s="17"/>
      <c r="H4522" s="17"/>
      <c r="I4522" s="21"/>
      <c r="J4522" s="21"/>
      <c r="K4522" s="21"/>
      <c r="L4522" s="21"/>
      <c r="M4522" s="29"/>
    </row>
    <row r="4523">
      <c r="A4523" s="13"/>
      <c r="B4523" s="13"/>
      <c r="C4523" s="16"/>
      <c r="D4523" s="16"/>
      <c r="E4523" s="16"/>
      <c r="F4523" s="23"/>
      <c r="G4523" s="17"/>
      <c r="H4523" s="17"/>
      <c r="I4523" s="21"/>
      <c r="J4523" s="21"/>
      <c r="K4523" s="21"/>
      <c r="L4523" s="21"/>
      <c r="M4523" s="29"/>
    </row>
    <row r="4524">
      <c r="A4524" s="13"/>
      <c r="B4524" s="13"/>
      <c r="C4524" s="16"/>
      <c r="D4524" s="16"/>
      <c r="E4524" s="16"/>
      <c r="F4524" s="23"/>
      <c r="G4524" s="17"/>
      <c r="H4524" s="17"/>
      <c r="I4524" s="21"/>
      <c r="J4524" s="21"/>
      <c r="K4524" s="21"/>
      <c r="L4524" s="21"/>
      <c r="M4524" s="29"/>
    </row>
    <row r="4525">
      <c r="A4525" s="13"/>
      <c r="B4525" s="13"/>
      <c r="C4525" s="16"/>
      <c r="D4525" s="16"/>
      <c r="E4525" s="16"/>
      <c r="F4525" s="23"/>
      <c r="G4525" s="17"/>
      <c r="H4525" s="17"/>
      <c r="I4525" s="21"/>
      <c r="J4525" s="21"/>
      <c r="K4525" s="21"/>
      <c r="L4525" s="21"/>
      <c r="M4525" s="29"/>
    </row>
    <row r="4526">
      <c r="A4526" s="13"/>
      <c r="B4526" s="13"/>
      <c r="C4526" s="16"/>
      <c r="D4526" s="16"/>
      <c r="E4526" s="16"/>
      <c r="F4526" s="23"/>
      <c r="G4526" s="17"/>
      <c r="H4526" s="17"/>
      <c r="I4526" s="21"/>
      <c r="J4526" s="21"/>
      <c r="K4526" s="21"/>
      <c r="L4526" s="21"/>
      <c r="M4526" s="29"/>
    </row>
    <row r="4527">
      <c r="A4527" s="13"/>
      <c r="B4527" s="13"/>
      <c r="C4527" s="16"/>
      <c r="D4527" s="16"/>
      <c r="E4527" s="16"/>
      <c r="F4527" s="23"/>
      <c r="G4527" s="17"/>
      <c r="H4527" s="17"/>
      <c r="I4527" s="21"/>
      <c r="J4527" s="21"/>
      <c r="K4527" s="21"/>
      <c r="L4527" s="21"/>
      <c r="M4527" s="29"/>
    </row>
    <row r="4528">
      <c r="A4528" s="13"/>
      <c r="B4528" s="13"/>
      <c r="C4528" s="16"/>
      <c r="D4528" s="16"/>
      <c r="E4528" s="16"/>
      <c r="F4528" s="23"/>
      <c r="G4528" s="17"/>
      <c r="H4528" s="17"/>
      <c r="I4528" s="21"/>
      <c r="J4528" s="21"/>
      <c r="K4528" s="21"/>
      <c r="L4528" s="21"/>
      <c r="M4528" s="29"/>
    </row>
    <row r="4529">
      <c r="A4529" s="13"/>
      <c r="B4529" s="13"/>
      <c r="C4529" s="16"/>
      <c r="D4529" s="16"/>
      <c r="E4529" s="16"/>
      <c r="F4529" s="23"/>
      <c r="G4529" s="17"/>
      <c r="H4529" s="17"/>
      <c r="I4529" s="21"/>
      <c r="J4529" s="21"/>
      <c r="K4529" s="21"/>
      <c r="L4529" s="21"/>
      <c r="M4529" s="29"/>
    </row>
    <row r="4530">
      <c r="A4530" s="13"/>
      <c r="B4530" s="13"/>
      <c r="C4530" s="16"/>
      <c r="D4530" s="16"/>
      <c r="E4530" s="16"/>
      <c r="F4530" s="23"/>
      <c r="G4530" s="17"/>
      <c r="H4530" s="17"/>
      <c r="I4530" s="21"/>
      <c r="J4530" s="21"/>
      <c r="K4530" s="21"/>
      <c r="L4530" s="21"/>
      <c r="M4530" s="29"/>
    </row>
    <row r="4531">
      <c r="A4531" s="13"/>
      <c r="B4531" s="13"/>
      <c r="C4531" s="16"/>
      <c r="D4531" s="16"/>
      <c r="E4531" s="16"/>
      <c r="F4531" s="23"/>
      <c r="G4531" s="17"/>
      <c r="H4531" s="17"/>
      <c r="I4531" s="21"/>
      <c r="J4531" s="21"/>
      <c r="K4531" s="21"/>
      <c r="L4531" s="21"/>
      <c r="M4531" s="29"/>
    </row>
    <row r="4532">
      <c r="A4532" s="13"/>
      <c r="B4532" s="13"/>
      <c r="C4532" s="16"/>
      <c r="D4532" s="16"/>
      <c r="E4532" s="16"/>
      <c r="F4532" s="23"/>
      <c r="G4532" s="17"/>
      <c r="H4532" s="17"/>
      <c r="I4532" s="21"/>
      <c r="J4532" s="21"/>
      <c r="K4532" s="21"/>
      <c r="L4532" s="21"/>
      <c r="M4532" s="29"/>
    </row>
    <row r="4533">
      <c r="A4533" s="13"/>
      <c r="B4533" s="13"/>
      <c r="C4533" s="16"/>
      <c r="D4533" s="16"/>
      <c r="E4533" s="16"/>
      <c r="F4533" s="23"/>
      <c r="G4533" s="17"/>
      <c r="H4533" s="17"/>
      <c r="I4533" s="21"/>
      <c r="J4533" s="21"/>
      <c r="K4533" s="21"/>
      <c r="L4533" s="21"/>
      <c r="M4533" s="29"/>
    </row>
    <row r="4534">
      <c r="A4534" s="13"/>
      <c r="B4534" s="13"/>
      <c r="C4534" s="16"/>
      <c r="D4534" s="16"/>
      <c r="E4534" s="16"/>
      <c r="F4534" s="23"/>
      <c r="G4534" s="17"/>
      <c r="H4534" s="17"/>
      <c r="I4534" s="21"/>
      <c r="J4534" s="21"/>
      <c r="K4534" s="21"/>
      <c r="L4534" s="21"/>
      <c r="M4534" s="29"/>
    </row>
    <row r="4535">
      <c r="A4535" s="13"/>
      <c r="B4535" s="13"/>
      <c r="C4535" s="16"/>
      <c r="D4535" s="16"/>
      <c r="E4535" s="16"/>
      <c r="F4535" s="23"/>
      <c r="G4535" s="17"/>
      <c r="H4535" s="17"/>
      <c r="I4535" s="21"/>
      <c r="J4535" s="21"/>
      <c r="K4535" s="21"/>
      <c r="L4535" s="21"/>
      <c r="M4535" s="29"/>
    </row>
    <row r="4536">
      <c r="A4536" s="13"/>
      <c r="B4536" s="13"/>
      <c r="C4536" s="16"/>
      <c r="D4536" s="16"/>
      <c r="E4536" s="16"/>
      <c r="F4536" s="23"/>
      <c r="G4536" s="17"/>
      <c r="H4536" s="17"/>
      <c r="I4536" s="21"/>
      <c r="J4536" s="21"/>
      <c r="K4536" s="21"/>
      <c r="L4536" s="21"/>
      <c r="M4536" s="29"/>
    </row>
    <row r="4537">
      <c r="A4537" s="13"/>
      <c r="B4537" s="13"/>
      <c r="C4537" s="16"/>
      <c r="D4537" s="16"/>
      <c r="E4537" s="16"/>
      <c r="F4537" s="23"/>
      <c r="G4537" s="17"/>
      <c r="H4537" s="17"/>
      <c r="I4537" s="21"/>
      <c r="J4537" s="21"/>
      <c r="K4537" s="21"/>
      <c r="L4537" s="21"/>
      <c r="M4537" s="29"/>
    </row>
    <row r="4538">
      <c r="A4538" s="13"/>
      <c r="B4538" s="13"/>
      <c r="C4538" s="16"/>
      <c r="D4538" s="16"/>
      <c r="E4538" s="16"/>
      <c r="F4538" s="23"/>
      <c r="G4538" s="17"/>
      <c r="H4538" s="17"/>
      <c r="I4538" s="21"/>
      <c r="J4538" s="21"/>
      <c r="K4538" s="21"/>
      <c r="L4538" s="21"/>
      <c r="M4538" s="29"/>
    </row>
    <row r="4539">
      <c r="A4539" s="13"/>
      <c r="B4539" s="13"/>
      <c r="C4539" s="16"/>
      <c r="D4539" s="16"/>
      <c r="E4539" s="16"/>
      <c r="F4539" s="23"/>
      <c r="G4539" s="17"/>
      <c r="H4539" s="17"/>
      <c r="I4539" s="21"/>
      <c r="J4539" s="21"/>
      <c r="K4539" s="21"/>
      <c r="L4539" s="21"/>
      <c r="M4539" s="29"/>
    </row>
    <row r="4540">
      <c r="A4540" s="13"/>
      <c r="B4540" s="13"/>
      <c r="C4540" s="16"/>
      <c r="D4540" s="16"/>
      <c r="E4540" s="16"/>
      <c r="F4540" s="23"/>
      <c r="G4540" s="17"/>
      <c r="H4540" s="17"/>
      <c r="I4540" s="21"/>
      <c r="J4540" s="21"/>
      <c r="K4540" s="21"/>
      <c r="L4540" s="21"/>
      <c r="M4540" s="29"/>
    </row>
    <row r="4541">
      <c r="A4541" s="13"/>
      <c r="B4541" s="13"/>
      <c r="C4541" s="16"/>
      <c r="D4541" s="16"/>
      <c r="E4541" s="16"/>
      <c r="F4541" s="23"/>
      <c r="G4541" s="17"/>
      <c r="H4541" s="17"/>
      <c r="I4541" s="21"/>
      <c r="J4541" s="21"/>
      <c r="K4541" s="21"/>
      <c r="L4541" s="21"/>
      <c r="M4541" s="29"/>
    </row>
    <row r="4542">
      <c r="A4542" s="13"/>
      <c r="B4542" s="13"/>
      <c r="C4542" s="16"/>
      <c r="D4542" s="16"/>
      <c r="E4542" s="16"/>
      <c r="F4542" s="23"/>
      <c r="G4542" s="17"/>
      <c r="H4542" s="17"/>
      <c r="I4542" s="21"/>
      <c r="J4542" s="21"/>
      <c r="K4542" s="21"/>
      <c r="L4542" s="21"/>
      <c r="M4542" s="29"/>
    </row>
    <row r="4543">
      <c r="A4543" s="13"/>
      <c r="B4543" s="13"/>
      <c r="C4543" s="16"/>
      <c r="D4543" s="16"/>
      <c r="E4543" s="16"/>
      <c r="F4543" s="23"/>
      <c r="G4543" s="17"/>
      <c r="H4543" s="17"/>
      <c r="I4543" s="21"/>
      <c r="J4543" s="21"/>
      <c r="K4543" s="21"/>
      <c r="L4543" s="21"/>
      <c r="M4543" s="29"/>
    </row>
    <row r="4544">
      <c r="A4544" s="13"/>
      <c r="B4544" s="13"/>
      <c r="C4544" s="16"/>
      <c r="D4544" s="16"/>
      <c r="E4544" s="16"/>
      <c r="F4544" s="23"/>
      <c r="G4544" s="17"/>
      <c r="H4544" s="17"/>
      <c r="I4544" s="21"/>
      <c r="J4544" s="21"/>
      <c r="K4544" s="21"/>
      <c r="L4544" s="21"/>
      <c r="M4544" s="29"/>
    </row>
    <row r="4545">
      <c r="A4545" s="13"/>
      <c r="B4545" s="13"/>
      <c r="C4545" s="16"/>
      <c r="D4545" s="16"/>
      <c r="E4545" s="16"/>
      <c r="F4545" s="23"/>
      <c r="G4545" s="17"/>
      <c r="H4545" s="17"/>
      <c r="I4545" s="21"/>
      <c r="J4545" s="21"/>
      <c r="K4545" s="21"/>
      <c r="L4545" s="21"/>
      <c r="M4545" s="29"/>
    </row>
    <row r="4546">
      <c r="A4546" s="13"/>
      <c r="B4546" s="13"/>
      <c r="C4546" s="16"/>
      <c r="D4546" s="16"/>
      <c r="E4546" s="16"/>
      <c r="F4546" s="23"/>
      <c r="G4546" s="17"/>
      <c r="H4546" s="17"/>
      <c r="I4546" s="21"/>
      <c r="J4546" s="21"/>
      <c r="K4546" s="21"/>
      <c r="L4546" s="21"/>
      <c r="M4546" s="29"/>
    </row>
    <row r="4547">
      <c r="A4547" s="13"/>
      <c r="B4547" s="13"/>
      <c r="C4547" s="16"/>
      <c r="D4547" s="16"/>
      <c r="E4547" s="16"/>
      <c r="F4547" s="23"/>
      <c r="G4547" s="17"/>
      <c r="H4547" s="17"/>
      <c r="I4547" s="21"/>
      <c r="J4547" s="21"/>
      <c r="K4547" s="21"/>
      <c r="L4547" s="21"/>
      <c r="M4547" s="29"/>
    </row>
    <row r="4548">
      <c r="A4548" s="13"/>
      <c r="B4548" s="13"/>
      <c r="C4548" s="16"/>
      <c r="D4548" s="16"/>
      <c r="E4548" s="16"/>
      <c r="F4548" s="23"/>
      <c r="G4548" s="17"/>
      <c r="H4548" s="17"/>
      <c r="I4548" s="21"/>
      <c r="J4548" s="21"/>
      <c r="K4548" s="21"/>
      <c r="L4548" s="21"/>
      <c r="M4548" s="29"/>
    </row>
    <row r="4549">
      <c r="A4549" s="13"/>
      <c r="B4549" s="13"/>
      <c r="C4549" s="16"/>
      <c r="D4549" s="16"/>
      <c r="E4549" s="16"/>
      <c r="F4549" s="23"/>
      <c r="G4549" s="17"/>
      <c r="H4549" s="17"/>
      <c r="I4549" s="21"/>
      <c r="J4549" s="21"/>
      <c r="K4549" s="21"/>
      <c r="L4549" s="21"/>
      <c r="M4549" s="29"/>
    </row>
    <row r="4550">
      <c r="A4550" s="13"/>
      <c r="B4550" s="13"/>
      <c r="C4550" s="16"/>
      <c r="D4550" s="16"/>
      <c r="E4550" s="16"/>
      <c r="F4550" s="23"/>
      <c r="G4550" s="17"/>
      <c r="H4550" s="17"/>
      <c r="I4550" s="21"/>
      <c r="J4550" s="21"/>
      <c r="K4550" s="21"/>
      <c r="L4550" s="21"/>
      <c r="M4550" s="29"/>
    </row>
    <row r="4551">
      <c r="A4551" s="13"/>
      <c r="B4551" s="13"/>
      <c r="C4551" s="16"/>
      <c r="D4551" s="16"/>
      <c r="E4551" s="16"/>
      <c r="F4551" s="23"/>
      <c r="G4551" s="17"/>
      <c r="H4551" s="17"/>
      <c r="I4551" s="16"/>
      <c r="J4551" s="16"/>
      <c r="K4551" s="16"/>
      <c r="L4551" s="16"/>
      <c r="M4551" s="15"/>
    </row>
    <row r="4552">
      <c r="A4552" s="13"/>
      <c r="B4552" s="13"/>
      <c r="C4552" s="16"/>
      <c r="D4552" s="16"/>
      <c r="E4552" s="16"/>
      <c r="F4552" s="23"/>
      <c r="G4552" s="17"/>
      <c r="H4552" s="17"/>
      <c r="I4552" s="16"/>
      <c r="J4552" s="21"/>
      <c r="K4552" s="21"/>
      <c r="L4552" s="21"/>
      <c r="M4552" s="21"/>
    </row>
    <row r="4553">
      <c r="A4553" s="13"/>
      <c r="B4553" s="13"/>
      <c r="C4553" s="16"/>
      <c r="D4553" s="16"/>
      <c r="E4553" s="16"/>
      <c r="F4553" s="23"/>
      <c r="G4553" s="17"/>
      <c r="H4553" s="17"/>
      <c r="I4553" s="16"/>
      <c r="J4553" s="21"/>
      <c r="K4553" s="21"/>
      <c r="L4553" s="21"/>
      <c r="M4553" s="21"/>
    </row>
    <row r="4554">
      <c r="A4554" s="13"/>
      <c r="B4554" s="13"/>
      <c r="C4554" s="16"/>
      <c r="D4554" s="16"/>
      <c r="E4554" s="16"/>
      <c r="F4554" s="23"/>
      <c r="G4554" s="17"/>
      <c r="H4554" s="17"/>
      <c r="I4554" s="16"/>
      <c r="J4554" s="21"/>
      <c r="K4554" s="21"/>
      <c r="L4554" s="21"/>
      <c r="M4554" s="21"/>
    </row>
  </sheetData>
  <mergeCells count="1">
    <mergeCell ref="A1:M3"/>
  </mergeCells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88"/>
    <col customWidth="1" min="2" max="2" width="17.88"/>
    <col customWidth="1" min="3" max="3" width="15.38"/>
    <col customWidth="1" min="4" max="5" width="17.25"/>
    <col customWidth="1" min="6" max="6" width="9.63"/>
    <col customWidth="1" min="7" max="7" width="12.25"/>
    <col customWidth="1" min="8" max="8" width="24.88"/>
    <col customWidth="1" min="9" max="12" width="18.88"/>
  </cols>
  <sheetData>
    <row r="1">
      <c r="A1" s="1" t="s">
        <v>1</v>
      </c>
    </row>
    <row r="4">
      <c r="A4" s="3" t="str">
        <f>IFERROR(__xludf.DUMMYFUNCTION("IMPORTRANGE(""https://docs.google.com/spreadsheets/d/1v-4uBY0y56FSD4s83yBDt_GT1LlsFgfhxpEbZtgBgb8/edit#gid=1035114521"",""Категорії з комісією за перехід!A:L"")"),"Категорія 0 рівня")</f>
        <v>Категорія 0 рівня</v>
      </c>
      <c r="B4" s="5" t="str">
        <f>IFERROR(__xludf.DUMMYFUNCTION("""COMPUTED_VALUE"""),"Категорія 1 рівня")</f>
        <v>Категорія 1 рівня</v>
      </c>
      <c r="C4" s="5" t="str">
        <f>IFERROR(__xludf.DUMMYFUNCTION("""COMPUTED_VALUE"""),"Категорія 2 рівня")</f>
        <v>Категорія 2 рівня</v>
      </c>
      <c r="D4" s="5" t="str">
        <f>IFERROR(__xludf.DUMMYFUNCTION("""COMPUTED_VALUE"""),"Категорія 3 рівня")</f>
        <v>Категорія 3 рівня</v>
      </c>
      <c r="E4" s="5" t="str">
        <f>IFERROR(__xludf.DUMMYFUNCTION("""COMPUTED_VALUE"""),"Категорія 4 рівня")</f>
        <v>Категорія 4 рівня</v>
      </c>
      <c r="F4" s="7" t="str">
        <f>IFERROR(__xludf.DUMMYFUNCTION("""COMPUTED_VALUE"""),"Рівень категорії")</f>
        <v>Рівень категорії</v>
      </c>
      <c r="G4" s="7" t="str">
        <f>IFERROR(__xludf.DUMMYFUNCTION("""COMPUTED_VALUE"""),"ID категорії")</f>
        <v>ID категорії</v>
      </c>
      <c r="H4" s="7" t="str">
        <f>IFERROR(__xludf.DUMMYFUNCTION("""COMPUTED_VALUE"""),"Категорія")</f>
        <v>Категорія</v>
      </c>
      <c r="I4" s="9" t="str">
        <f>IFERROR(__xludf.DUMMYFUNCTION("""COMPUTED_VALUE"""),"Комісія для режиму «Економ», грн")</f>
        <v>Комісія для режиму «Економ», грн</v>
      </c>
      <c r="J4" s="10" t="str">
        <f>IFERROR(__xludf.DUMMYFUNCTION("""COMPUTED_VALUE"""),"Єдина комісія, грн")</f>
        <v>Єдина комісія, грн</v>
      </c>
      <c r="K4" s="9" t="str">
        <f>IFERROR(__xludf.DUMMYFUNCTION("""COMPUTED_VALUE"""),"Комісія для «Більше продажів», грн")</f>
        <v>Комісія для «Більше продажів», грн</v>
      </c>
      <c r="L4" s="12" t="str">
        <f>IFERROR(__xludf.DUMMYFUNCTION("""COMPUTED_VALUE"""),"Комісія для «Турбо», грн")</f>
        <v>Комісія для «Турбо», грн</v>
      </c>
    </row>
    <row r="5">
      <c r="A5" s="13" t="str">
        <f>IFERROR(__xludf.DUMMYFUNCTION("""COMPUTED_VALUE"""),"товари")</f>
        <v>товари</v>
      </c>
      <c r="B5" s="13" t="str">
        <f>IFERROR(__xludf.DUMMYFUNCTION("""COMPUTED_VALUE"""),"авіа-, ж/д-, водний транспорт")</f>
        <v>авіа-, ж/д-, водний транспорт</v>
      </c>
      <c r="C5" s="15" t="str">
        <f>IFERROR(__xludf.DUMMYFUNCTION("""COMPUTED_VALUE"""),"повітряний транспорт")</f>
        <v>повітряний транспорт</v>
      </c>
      <c r="D5" s="15" t="str">
        <f>IFERROR(__xludf.DUMMYFUNCTION("""COMPUTED_VALUE"""),"авіаційні комплектуючі й авіадвигуни")</f>
        <v>авіаційні комплектуючі й авіадвигуни</v>
      </c>
      <c r="E5" s="15" t="str">
        <f>IFERROR(__xludf.DUMMYFUNCTION("""COMPUTED_VALUE"""),"авіаційні комплектуючі й авіадвигуни")</f>
        <v>авіаційні комплектуючі й авіадвигуни</v>
      </c>
      <c r="F5" s="17">
        <f>IFERROR(__xludf.DUMMYFUNCTION("""COMPUTED_VALUE"""),3.0)</f>
        <v>3</v>
      </c>
      <c r="G5" s="17">
        <f>IFERROR(__xludf.DUMMYFUNCTION("""COMPUTED_VALUE"""),121803.0)</f>
        <v>121803</v>
      </c>
      <c r="H5" s="17" t="str">
        <f>IFERROR(__xludf.DUMMYFUNCTION("""COMPUTED_VALUE"""),"авіаційні комплектуючі й авіадвигуни")</f>
        <v>авіаційні комплектуючі й авіадвигуни</v>
      </c>
      <c r="I5" s="18">
        <f>IFERROR(__xludf.DUMMYFUNCTION("""COMPUTED_VALUE"""),0.53)</f>
        <v>0.53</v>
      </c>
      <c r="J5" s="18">
        <f>IFERROR(__xludf.DUMMYFUNCTION("""COMPUTED_VALUE"""),1.05)</f>
        <v>1.05</v>
      </c>
      <c r="K5" s="18">
        <f>IFERROR(__xludf.DUMMYFUNCTION("""COMPUTED_VALUE"""),1.31)</f>
        <v>1.31</v>
      </c>
      <c r="L5" s="18">
        <f>IFERROR(__xludf.DUMMYFUNCTION("""COMPUTED_VALUE"""),2.1)</f>
        <v>2.1</v>
      </c>
    </row>
    <row r="6">
      <c r="A6" s="13" t="str">
        <f>IFERROR(__xludf.DUMMYFUNCTION("""COMPUTED_VALUE"""),"товари")</f>
        <v>товари</v>
      </c>
      <c r="B6" s="13" t="str">
        <f>IFERROR(__xludf.DUMMYFUNCTION("""COMPUTED_VALUE"""),"авіа-, ж/д-, водний транспорт")</f>
        <v>авіа-, ж/д-, водний транспорт</v>
      </c>
      <c r="C6" s="15" t="str">
        <f>IFERROR(__xludf.DUMMYFUNCTION("""COMPUTED_VALUE"""),"залізничний транспорт і комплектуючі")</f>
        <v>залізничний транспорт і комплектуючі</v>
      </c>
      <c r="D6" s="15" t="str">
        <f>IFERROR(__xludf.DUMMYFUNCTION("""COMPUTED_VALUE"""),"вагони")</f>
        <v>вагони</v>
      </c>
      <c r="E6" s="15" t="str">
        <f>IFERROR(__xludf.DUMMYFUNCTION("""COMPUTED_VALUE"""),"вагони")</f>
        <v>вагони</v>
      </c>
      <c r="F6" s="17">
        <f>IFERROR(__xludf.DUMMYFUNCTION("""COMPUTED_VALUE"""),3.0)</f>
        <v>3</v>
      </c>
      <c r="G6" s="17">
        <f>IFERROR(__xludf.DUMMYFUNCTION("""COMPUTED_VALUE"""),1.2060202E7)</f>
        <v>12060202</v>
      </c>
      <c r="H6" s="17" t="str">
        <f>IFERROR(__xludf.DUMMYFUNCTION("""COMPUTED_VALUE"""),"вагони")</f>
        <v>вагони</v>
      </c>
      <c r="I6" s="18">
        <f>IFERROR(__xludf.DUMMYFUNCTION("""COMPUTED_VALUE"""),0.86)</f>
        <v>0.86</v>
      </c>
      <c r="J6" s="18">
        <f>IFERROR(__xludf.DUMMYFUNCTION("""COMPUTED_VALUE"""),1.71)</f>
        <v>1.71</v>
      </c>
      <c r="K6" s="18">
        <f>IFERROR(__xludf.DUMMYFUNCTION("""COMPUTED_VALUE"""),2.14)</f>
        <v>2.14</v>
      </c>
      <c r="L6" s="18">
        <f>IFERROR(__xludf.DUMMYFUNCTION("""COMPUTED_VALUE"""),3.43)</f>
        <v>3.43</v>
      </c>
    </row>
    <row r="7">
      <c r="A7" s="13" t="str">
        <f>IFERROR(__xludf.DUMMYFUNCTION("""COMPUTED_VALUE"""),"товари")</f>
        <v>товари</v>
      </c>
      <c r="B7" s="13" t="str">
        <f>IFERROR(__xludf.DUMMYFUNCTION("""COMPUTED_VALUE"""),"авіа-, ж/д-, водний транспорт")</f>
        <v>авіа-, ж/д-, водний транспорт</v>
      </c>
      <c r="C7" s="15" t="str">
        <f>IFERROR(__xludf.DUMMYFUNCTION("""COMPUTED_VALUE"""),"водний транспорт")</f>
        <v>водний транспорт</v>
      </c>
      <c r="D7" s="15" t="str">
        <f>IFERROR(__xludf.DUMMYFUNCTION("""COMPUTED_VALUE"""),"системи управління судном")</f>
        <v>системи управління судном</v>
      </c>
      <c r="E7" s="15" t="str">
        <f>IFERROR(__xludf.DUMMYFUNCTION("""COMPUTED_VALUE"""),"дистанційне керування моторами до човнів")</f>
        <v>дистанційне керування моторами до човнів</v>
      </c>
      <c r="F7" s="17">
        <f>IFERROR(__xludf.DUMMYFUNCTION("""COMPUTED_VALUE"""),4.0)</f>
        <v>4</v>
      </c>
      <c r="G7" s="17">
        <f>IFERROR(__xludf.DUMMYFUNCTION("""COMPUTED_VALUE"""),1.2070906E7)</f>
        <v>12070906</v>
      </c>
      <c r="H7" s="17" t="str">
        <f>IFERROR(__xludf.DUMMYFUNCTION("""COMPUTED_VALUE"""),"дистанційне керування моторами до човнів")</f>
        <v>дистанційне керування моторами до човнів</v>
      </c>
      <c r="I7" s="18">
        <f>IFERROR(__xludf.DUMMYFUNCTION("""COMPUTED_VALUE"""),0.86)</f>
        <v>0.86</v>
      </c>
      <c r="J7" s="18">
        <f>IFERROR(__xludf.DUMMYFUNCTION("""COMPUTED_VALUE"""),1.71)</f>
        <v>1.71</v>
      </c>
      <c r="K7" s="18">
        <f>IFERROR(__xludf.DUMMYFUNCTION("""COMPUTED_VALUE"""),2.14)</f>
        <v>2.14</v>
      </c>
      <c r="L7" s="18">
        <f>IFERROR(__xludf.DUMMYFUNCTION("""COMPUTED_VALUE"""),3.43)</f>
        <v>3.43</v>
      </c>
    </row>
    <row r="8">
      <c r="A8" s="13" t="str">
        <f>IFERROR(__xludf.DUMMYFUNCTION("""COMPUTED_VALUE"""),"товари")</f>
        <v>товари</v>
      </c>
      <c r="B8" s="13" t="str">
        <f>IFERROR(__xludf.DUMMYFUNCTION("""COMPUTED_VALUE"""),"авіа-, ж/д-, водний транспорт")</f>
        <v>авіа-, ж/д-, водний транспорт</v>
      </c>
      <c r="C8" s="15" t="str">
        <f>IFERROR(__xludf.DUMMYFUNCTION("""COMPUTED_VALUE"""),"залізничний транспорт і комплектуючі")</f>
        <v>залізничний транспорт і комплектуючі</v>
      </c>
      <c r="D8" s="15" t="str">
        <f>IFERROR(__xludf.DUMMYFUNCTION("""COMPUTED_VALUE"""),"електрообладнання для залізничного транспорту")</f>
        <v>електрообладнання для залізничного транспорту</v>
      </c>
      <c r="E8" s="15" t="str">
        <f>IFERROR(__xludf.DUMMYFUNCTION("""COMPUTED_VALUE"""),"електрообладнання для залізничного транспорту")</f>
        <v>електрообладнання для залізничного транспорту</v>
      </c>
      <c r="F8" s="17">
        <f>IFERROR(__xludf.DUMMYFUNCTION("""COMPUTED_VALUE"""),3.0)</f>
        <v>3</v>
      </c>
      <c r="G8" s="17">
        <f>IFERROR(__xludf.DUMMYFUNCTION("""COMPUTED_VALUE"""),120609.0)</f>
        <v>120609</v>
      </c>
      <c r="H8" s="17" t="str">
        <f>IFERROR(__xludf.DUMMYFUNCTION("""COMPUTED_VALUE"""),"електрообладнання для залізничного транспорту")</f>
        <v>електрообладнання для залізничного транспорту</v>
      </c>
      <c r="I8" s="18">
        <f>IFERROR(__xludf.DUMMYFUNCTION("""COMPUTED_VALUE"""),0.86)</f>
        <v>0.86</v>
      </c>
      <c r="J8" s="18">
        <f>IFERROR(__xludf.DUMMYFUNCTION("""COMPUTED_VALUE"""),1.71)</f>
        <v>1.71</v>
      </c>
      <c r="K8" s="18">
        <f>IFERROR(__xludf.DUMMYFUNCTION("""COMPUTED_VALUE"""),2.14)</f>
        <v>2.14</v>
      </c>
      <c r="L8" s="18">
        <f>IFERROR(__xludf.DUMMYFUNCTION("""COMPUTED_VALUE"""),3.43)</f>
        <v>3.43</v>
      </c>
    </row>
    <row r="9">
      <c r="A9" s="13" t="str">
        <f>IFERROR(__xludf.DUMMYFUNCTION("""COMPUTED_VALUE"""),"товари")</f>
        <v>товари</v>
      </c>
      <c r="B9" s="13" t="str">
        <f>IFERROR(__xludf.DUMMYFUNCTION("""COMPUTED_VALUE"""),"авіа-, ж/д-, водний транспорт")</f>
        <v>авіа-, ж/д-, водний транспорт</v>
      </c>
      <c r="C9" s="15" t="str">
        <f>IFERROR(__xludf.DUMMYFUNCTION("""COMPUTED_VALUE"""),"водний транспорт")</f>
        <v>водний транспорт</v>
      </c>
      <c r="D9" s="15" t="str">
        <f>IFERROR(__xludf.DUMMYFUNCTION("""COMPUTED_VALUE"""),"електрообладнання для суден")</f>
        <v>електрообладнання для суден</v>
      </c>
      <c r="E9" s="15" t="str">
        <f>IFERROR(__xludf.DUMMYFUNCTION("""COMPUTED_VALUE"""),"електрообладнання для суден, загальне")</f>
        <v>електрообладнання для суден, загальне</v>
      </c>
      <c r="F9" s="17">
        <f>IFERROR(__xludf.DUMMYFUNCTION("""COMPUTED_VALUE"""),4.0)</f>
        <v>4</v>
      </c>
      <c r="G9" s="17">
        <f>IFERROR(__xludf.DUMMYFUNCTION("""COMPUTED_VALUE"""),1.2071004E7)</f>
        <v>12071004</v>
      </c>
      <c r="H9" s="17" t="str">
        <f>IFERROR(__xludf.DUMMYFUNCTION("""COMPUTED_VALUE"""),"електрообладнання для суден, загальне")</f>
        <v>електрообладнання для суден, загальне</v>
      </c>
      <c r="I9" s="18">
        <f>IFERROR(__xludf.DUMMYFUNCTION("""COMPUTED_VALUE"""),2.16)</f>
        <v>2.16</v>
      </c>
      <c r="J9" s="18">
        <f>IFERROR(__xludf.DUMMYFUNCTION("""COMPUTED_VALUE"""),4.33)</f>
        <v>4.33</v>
      </c>
      <c r="K9" s="18">
        <f>IFERROR(__xludf.DUMMYFUNCTION("""COMPUTED_VALUE"""),5.41)</f>
        <v>5.41</v>
      </c>
      <c r="L9" s="18">
        <f>IFERROR(__xludf.DUMMYFUNCTION("""COMPUTED_VALUE"""),8.65)</f>
        <v>8.65</v>
      </c>
    </row>
    <row r="10">
      <c r="A10" s="13" t="str">
        <f>IFERROR(__xludf.DUMMYFUNCTION("""COMPUTED_VALUE"""),"товари")</f>
        <v>товари</v>
      </c>
      <c r="B10" s="13" t="str">
        <f>IFERROR(__xludf.DUMMYFUNCTION("""COMPUTED_VALUE"""),"авіа-, ж/д-, водний транспорт")</f>
        <v>авіа-, ж/д-, водний транспорт</v>
      </c>
      <c r="C10" s="15" t="str">
        <f>IFERROR(__xludf.DUMMYFUNCTION("""COMPUTED_VALUE"""),"залізничний транспорт і комплектуючі")</f>
        <v>залізничний транспорт і комплектуючі</v>
      </c>
      <c r="D10" s="15" t="str">
        <f>IFERROR(__xludf.DUMMYFUNCTION("""COMPUTED_VALUE"""),"залізничне випробувальне обладнання")</f>
        <v>залізничне випробувальне обладнання</v>
      </c>
      <c r="E10" s="15" t="str">
        <f>IFERROR(__xludf.DUMMYFUNCTION("""COMPUTED_VALUE"""),"залізничне випробувальне обладнання")</f>
        <v>залізничне випробувальне обладнання</v>
      </c>
      <c r="F10" s="17">
        <f>IFERROR(__xludf.DUMMYFUNCTION("""COMPUTED_VALUE"""),3.0)</f>
        <v>3</v>
      </c>
      <c r="G10" s="17">
        <f>IFERROR(__xludf.DUMMYFUNCTION("""COMPUTED_VALUE"""),1.4201305E7)</f>
        <v>14201305</v>
      </c>
      <c r="H10" s="17" t="str">
        <f>IFERROR(__xludf.DUMMYFUNCTION("""COMPUTED_VALUE"""),"залізничне випробувальне обладнання")</f>
        <v>залізничне випробувальне обладнання</v>
      </c>
      <c r="I10" s="18">
        <f>IFERROR(__xludf.DUMMYFUNCTION("""COMPUTED_VALUE"""),0.81)</f>
        <v>0.81</v>
      </c>
      <c r="J10" s="18">
        <f>IFERROR(__xludf.DUMMYFUNCTION("""COMPUTED_VALUE"""),1.63)</f>
        <v>1.63</v>
      </c>
      <c r="K10" s="18">
        <f>IFERROR(__xludf.DUMMYFUNCTION("""COMPUTED_VALUE"""),2.03)</f>
        <v>2.03</v>
      </c>
      <c r="L10" s="18">
        <f>IFERROR(__xludf.DUMMYFUNCTION("""COMPUTED_VALUE"""),3.25)</f>
        <v>3.25</v>
      </c>
    </row>
    <row r="11">
      <c r="A11" s="13" t="str">
        <f>IFERROR(__xludf.DUMMYFUNCTION("""COMPUTED_VALUE"""),"товари")</f>
        <v>товари</v>
      </c>
      <c r="B11" s="13" t="str">
        <f>IFERROR(__xludf.DUMMYFUNCTION("""COMPUTED_VALUE"""),"авіа-, ж/д-, водний транспорт")</f>
        <v>авіа-, ж/д-, водний транспорт</v>
      </c>
      <c r="C11" s="15" t="str">
        <f>IFERROR(__xludf.DUMMYFUNCTION("""COMPUTED_VALUE"""),"залізничний транспорт і комплектуючі")</f>
        <v>залізничний транспорт і комплектуючі</v>
      </c>
      <c r="D11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11" s="15" t="str">
        <f>IFERROR(__xludf.DUMMYFUNCTION("""COMPUTED_VALUE"""),"залізничне кріплення")</f>
        <v>залізничне кріплення</v>
      </c>
      <c r="F11" s="17">
        <f>IFERROR(__xludf.DUMMYFUNCTION("""COMPUTED_VALUE"""),4.0)</f>
        <v>4</v>
      </c>
      <c r="G11" s="17">
        <f>IFERROR(__xludf.DUMMYFUNCTION("""COMPUTED_VALUE"""),1.2060404E7)</f>
        <v>12060404</v>
      </c>
      <c r="H11" s="17" t="str">
        <f>IFERROR(__xludf.DUMMYFUNCTION("""COMPUTED_VALUE"""),"залізничне кріплення")</f>
        <v>залізничне кріплення</v>
      </c>
      <c r="I11" s="18">
        <f>IFERROR(__xludf.DUMMYFUNCTION("""COMPUTED_VALUE"""),1.13)</f>
        <v>1.13</v>
      </c>
      <c r="J11" s="18">
        <f>IFERROR(__xludf.DUMMYFUNCTION("""COMPUTED_VALUE"""),2.25)</f>
        <v>2.25</v>
      </c>
      <c r="K11" s="18">
        <f>IFERROR(__xludf.DUMMYFUNCTION("""COMPUTED_VALUE"""),2.81)</f>
        <v>2.81</v>
      </c>
      <c r="L11" s="18">
        <f>IFERROR(__xludf.DUMMYFUNCTION("""COMPUTED_VALUE"""),4.5)</f>
        <v>4.5</v>
      </c>
    </row>
    <row r="12">
      <c r="A12" s="13" t="str">
        <f>IFERROR(__xludf.DUMMYFUNCTION("""COMPUTED_VALUE"""),"товари")</f>
        <v>товари</v>
      </c>
      <c r="B12" s="13" t="str">
        <f>IFERROR(__xludf.DUMMYFUNCTION("""COMPUTED_VALUE"""),"авіа-, ж/д-, водний транспорт")</f>
        <v>авіа-, ж/д-, водний транспорт</v>
      </c>
      <c r="C12" s="16" t="str">
        <f>IFERROR(__xludf.DUMMYFUNCTION("""COMPUTED_VALUE"""),"водний транспорт")</f>
        <v>водний транспорт</v>
      </c>
      <c r="D12" s="16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2" s="16" t="str">
        <f>IFERROR(__xludf.DUMMYFUNCTION("""COMPUTED_VALUE"""),"запчастини для човнових моторів")</f>
        <v>запчастини для човнових моторів</v>
      </c>
      <c r="F12" s="17">
        <f>IFERROR(__xludf.DUMMYFUNCTION("""COMPUTED_VALUE"""),4.0)</f>
        <v>4</v>
      </c>
      <c r="G12" s="17">
        <f>IFERROR(__xludf.DUMMYFUNCTION("""COMPUTED_VALUE"""),1.2070616E7)</f>
        <v>12070616</v>
      </c>
      <c r="H12" s="17" t="str">
        <f>IFERROR(__xludf.DUMMYFUNCTION("""COMPUTED_VALUE"""),"запчастини для човнових моторів")</f>
        <v>запчастини для човнових моторів</v>
      </c>
      <c r="I12" s="18">
        <f>IFERROR(__xludf.DUMMYFUNCTION("""COMPUTED_VALUE"""),1.17)</f>
        <v>1.17</v>
      </c>
      <c r="J12" s="18">
        <f>IFERROR(__xludf.DUMMYFUNCTION("""COMPUTED_VALUE"""),2.34)</f>
        <v>2.34</v>
      </c>
      <c r="K12" s="18">
        <f>IFERROR(__xludf.DUMMYFUNCTION("""COMPUTED_VALUE"""),2.92)</f>
        <v>2.92</v>
      </c>
      <c r="L12" s="18">
        <f>IFERROR(__xludf.DUMMYFUNCTION("""COMPUTED_VALUE"""),4.68)</f>
        <v>4.68</v>
      </c>
    </row>
    <row r="13">
      <c r="A13" s="13" t="str">
        <f>IFERROR(__xludf.DUMMYFUNCTION("""COMPUTED_VALUE"""),"товари")</f>
        <v>товари</v>
      </c>
      <c r="B13" s="13" t="str">
        <f>IFERROR(__xludf.DUMMYFUNCTION("""COMPUTED_VALUE"""),"авіа-, ж/д-, водний транспорт")</f>
        <v>авіа-, ж/д-, водний транспорт</v>
      </c>
      <c r="C13" s="15" t="str">
        <f>IFERROR(__xludf.DUMMYFUNCTION("""COMPUTED_VALUE"""),"водний транспорт")</f>
        <v>водний транспорт</v>
      </c>
      <c r="D13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3" s="15" t="str">
        <f>IFERROR(__xludf.DUMMYFUNCTION("""COMPUTED_VALUE"""),"інспекційні люки суден")</f>
        <v>інспекційні люки суден</v>
      </c>
      <c r="F13" s="17">
        <f>IFERROR(__xludf.DUMMYFUNCTION("""COMPUTED_VALUE"""),4.0)</f>
        <v>4</v>
      </c>
      <c r="G13" s="17">
        <f>IFERROR(__xludf.DUMMYFUNCTION("""COMPUTED_VALUE"""),1.2070614E7)</f>
        <v>12070614</v>
      </c>
      <c r="H13" s="17" t="str">
        <f>IFERROR(__xludf.DUMMYFUNCTION("""COMPUTED_VALUE"""),"інспекційні люки суден")</f>
        <v>інспекційні люки суден</v>
      </c>
      <c r="I13" s="18">
        <f>IFERROR(__xludf.DUMMYFUNCTION("""COMPUTED_VALUE"""),1.17)</f>
        <v>1.17</v>
      </c>
      <c r="J13" s="18">
        <f>IFERROR(__xludf.DUMMYFUNCTION("""COMPUTED_VALUE"""),2.34)</f>
        <v>2.34</v>
      </c>
      <c r="K13" s="18">
        <f>IFERROR(__xludf.DUMMYFUNCTION("""COMPUTED_VALUE"""),2.92)</f>
        <v>2.92</v>
      </c>
      <c r="L13" s="18">
        <f>IFERROR(__xludf.DUMMYFUNCTION("""COMPUTED_VALUE"""),4.68)</f>
        <v>4.68</v>
      </c>
    </row>
    <row r="14">
      <c r="A14" s="13" t="str">
        <f>IFERROR(__xludf.DUMMYFUNCTION("""COMPUTED_VALUE"""),"товари")</f>
        <v>товари</v>
      </c>
      <c r="B14" s="13" t="str">
        <f>IFERROR(__xludf.DUMMYFUNCTION("""COMPUTED_VALUE"""),"авіа-, ж/д-, водний транспорт")</f>
        <v>авіа-, ж/д-, водний транспорт</v>
      </c>
      <c r="C14" s="15" t="str">
        <f>IFERROR(__xludf.DUMMYFUNCTION("""COMPUTED_VALUE"""),"водний транспорт")</f>
        <v>водний транспорт</v>
      </c>
      <c r="D14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4" s="15" t="str">
        <f>IFERROR(__xludf.DUMMYFUNCTION("""COMPUTED_VALUE"""),"кабель судновий")</f>
        <v>кабель судновий</v>
      </c>
      <c r="F14" s="17">
        <f>IFERROR(__xludf.DUMMYFUNCTION("""COMPUTED_VALUE"""),4.0)</f>
        <v>4</v>
      </c>
      <c r="G14" s="17">
        <f>IFERROR(__xludf.DUMMYFUNCTION("""COMPUTED_VALUE"""),1.2070602E7)</f>
        <v>12070602</v>
      </c>
      <c r="H14" s="17" t="str">
        <f>IFERROR(__xludf.DUMMYFUNCTION("""COMPUTED_VALUE"""),"кабель судновий")</f>
        <v>кабель судновий</v>
      </c>
      <c r="I14" s="18">
        <f>IFERROR(__xludf.DUMMYFUNCTION("""COMPUTED_VALUE"""),1.17)</f>
        <v>1.17</v>
      </c>
      <c r="J14" s="18">
        <f>IFERROR(__xludf.DUMMYFUNCTION("""COMPUTED_VALUE"""),2.34)</f>
        <v>2.34</v>
      </c>
      <c r="K14" s="18">
        <f>IFERROR(__xludf.DUMMYFUNCTION("""COMPUTED_VALUE"""),2.92)</f>
        <v>2.92</v>
      </c>
      <c r="L14" s="18">
        <f>IFERROR(__xludf.DUMMYFUNCTION("""COMPUTED_VALUE"""),4.68)</f>
        <v>4.68</v>
      </c>
    </row>
    <row r="15">
      <c r="A15" s="13" t="str">
        <f>IFERROR(__xludf.DUMMYFUNCTION("""COMPUTED_VALUE"""),"товари")</f>
        <v>товари</v>
      </c>
      <c r="B15" s="13" t="str">
        <f>IFERROR(__xludf.DUMMYFUNCTION("""COMPUTED_VALUE"""),"авіа-, ж/д-, водний транспорт")</f>
        <v>авіа-, ж/д-, водний транспорт</v>
      </c>
      <c r="C15" s="15" t="str">
        <f>IFERROR(__xludf.DUMMYFUNCTION("""COMPUTED_VALUE"""),"залізничний транспорт і комплектуючі")</f>
        <v>залізничний транспорт і комплектуючі</v>
      </c>
      <c r="D15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15" s="15" t="str">
        <f>IFERROR(__xludf.DUMMYFUNCTION("""COMPUTED_VALUE"""),"клеми рейкові")</f>
        <v>клеми рейкові</v>
      </c>
      <c r="F15" s="17">
        <f>IFERROR(__xludf.DUMMYFUNCTION("""COMPUTED_VALUE"""),4.0)</f>
        <v>4</v>
      </c>
      <c r="G15" s="17">
        <f>IFERROR(__xludf.DUMMYFUNCTION("""COMPUTED_VALUE"""),1.2060402E7)</f>
        <v>12060402</v>
      </c>
      <c r="H15" s="17" t="str">
        <f>IFERROR(__xludf.DUMMYFUNCTION("""COMPUTED_VALUE"""),"клеми рейкові")</f>
        <v>клеми рейкові</v>
      </c>
      <c r="I15" s="18">
        <f>IFERROR(__xludf.DUMMYFUNCTION("""COMPUTED_VALUE"""),1.13)</f>
        <v>1.13</v>
      </c>
      <c r="J15" s="18">
        <f>IFERROR(__xludf.DUMMYFUNCTION("""COMPUTED_VALUE"""),2.25)</f>
        <v>2.25</v>
      </c>
      <c r="K15" s="18">
        <f>IFERROR(__xludf.DUMMYFUNCTION("""COMPUTED_VALUE"""),2.81)</f>
        <v>2.81</v>
      </c>
      <c r="L15" s="18">
        <f>IFERROR(__xludf.DUMMYFUNCTION("""COMPUTED_VALUE"""),4.5)</f>
        <v>4.5</v>
      </c>
    </row>
    <row r="16">
      <c r="A16" s="13" t="str">
        <f>IFERROR(__xludf.DUMMYFUNCTION("""COMPUTED_VALUE"""),"товари")</f>
        <v>товари</v>
      </c>
      <c r="B16" s="13" t="str">
        <f>IFERROR(__xludf.DUMMYFUNCTION("""COMPUTED_VALUE"""),"авіа-, ж/д-, водний транспорт")</f>
        <v>авіа-, ж/д-, водний транспорт</v>
      </c>
      <c r="C16" s="15" t="str">
        <f>IFERROR(__xludf.DUMMYFUNCTION("""COMPUTED_VALUE"""),"залізничний транспорт і комплектуючі")</f>
        <v>залізничний транспорт і комплектуючі</v>
      </c>
      <c r="D16" s="15" t="str">
        <f>IFERROR(__xludf.DUMMYFUNCTION("""COMPUTED_VALUE"""),"залізничний інструмент")</f>
        <v>залізничний інструмент</v>
      </c>
      <c r="E16" s="15" t="str">
        <f>IFERROR(__xludf.DUMMYFUNCTION("""COMPUTED_VALUE"""),"механізований шляховий інструмент")</f>
        <v>механізований шляховий інструмент</v>
      </c>
      <c r="F16" s="17">
        <f>IFERROR(__xludf.DUMMYFUNCTION("""COMPUTED_VALUE"""),4.0)</f>
        <v>4</v>
      </c>
      <c r="G16" s="17">
        <f>IFERROR(__xludf.DUMMYFUNCTION("""COMPUTED_VALUE"""),1.4201303E7)</f>
        <v>14201303</v>
      </c>
      <c r="H16" s="17" t="str">
        <f>IFERROR(__xludf.DUMMYFUNCTION("""COMPUTED_VALUE"""),"механізований шляховий інструмент")</f>
        <v>механізований шляховий інструмент</v>
      </c>
      <c r="I16" s="18">
        <f>IFERROR(__xludf.DUMMYFUNCTION("""COMPUTED_VALUE"""),1.04)</f>
        <v>1.04</v>
      </c>
      <c r="J16" s="18">
        <f>IFERROR(__xludf.DUMMYFUNCTION("""COMPUTED_VALUE"""),2.08)</f>
        <v>2.08</v>
      </c>
      <c r="K16" s="18">
        <f>IFERROR(__xludf.DUMMYFUNCTION("""COMPUTED_VALUE"""),2.59)</f>
        <v>2.59</v>
      </c>
      <c r="L16" s="18">
        <f>IFERROR(__xludf.DUMMYFUNCTION("""COMPUTED_VALUE"""),4.15)</f>
        <v>4.15</v>
      </c>
    </row>
    <row r="17">
      <c r="A17" s="13" t="str">
        <f>IFERROR(__xludf.DUMMYFUNCTION("""COMPUTED_VALUE"""),"товари")</f>
        <v>товари</v>
      </c>
      <c r="B17" s="13" t="str">
        <f>IFERROR(__xludf.DUMMYFUNCTION("""COMPUTED_VALUE"""),"авіа-, ж/д-, водний транспорт")</f>
        <v>авіа-, ж/д-, водний транспорт</v>
      </c>
      <c r="C17" s="15" t="str">
        <f>IFERROR(__xludf.DUMMYFUNCTION("""COMPUTED_VALUE"""),"повітряний транспорт")</f>
        <v>повітряний транспорт</v>
      </c>
      <c r="D17" s="15" t="str">
        <f>IFERROR(__xludf.DUMMYFUNCTION("""COMPUTED_VALUE"""),"обладнання для ремонту авіаційної техніки")</f>
        <v>обладнання для ремонту авіаційної техніки</v>
      </c>
      <c r="E17" s="15" t="str">
        <f>IFERROR(__xludf.DUMMYFUNCTION("""COMPUTED_VALUE"""),"обладнання для ремонту авіаційної техніки")</f>
        <v>обладнання для ремонту авіаційної техніки</v>
      </c>
      <c r="F17" s="17">
        <f>IFERROR(__xludf.DUMMYFUNCTION("""COMPUTED_VALUE"""),3.0)</f>
        <v>3</v>
      </c>
      <c r="G17" s="17">
        <f>IFERROR(__xludf.DUMMYFUNCTION("""COMPUTED_VALUE"""),121805.0)</f>
        <v>121805</v>
      </c>
      <c r="H17" s="17" t="str">
        <f>IFERROR(__xludf.DUMMYFUNCTION("""COMPUTED_VALUE"""),"обладнання для ремонту авіаційної техніки")</f>
        <v>обладнання для ремонту авіаційної техніки</v>
      </c>
      <c r="I17" s="18">
        <f>IFERROR(__xludf.DUMMYFUNCTION("""COMPUTED_VALUE"""),0.76)</f>
        <v>0.76</v>
      </c>
      <c r="J17" s="18">
        <f>IFERROR(__xludf.DUMMYFUNCTION("""COMPUTED_VALUE"""),1.53)</f>
        <v>1.53</v>
      </c>
      <c r="K17" s="18">
        <f>IFERROR(__xludf.DUMMYFUNCTION("""COMPUTED_VALUE"""),1.91)</f>
        <v>1.91</v>
      </c>
      <c r="L17" s="18">
        <f>IFERROR(__xludf.DUMMYFUNCTION("""COMPUTED_VALUE"""),3.05)</f>
        <v>3.05</v>
      </c>
    </row>
    <row r="18">
      <c r="A18" s="13" t="str">
        <f>IFERROR(__xludf.DUMMYFUNCTION("""COMPUTED_VALUE"""),"товари")</f>
        <v>товари</v>
      </c>
      <c r="B18" s="13" t="str">
        <f>IFERROR(__xludf.DUMMYFUNCTION("""COMPUTED_VALUE"""),"авіа-, ж/д-, водний транспорт")</f>
        <v>авіа-, ж/д-, водний транспорт</v>
      </c>
      <c r="C18" s="15" t="str">
        <f>IFERROR(__xludf.DUMMYFUNCTION("""COMPUTED_VALUE"""),"водний транспорт")</f>
        <v>водний транспорт</v>
      </c>
      <c r="D18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8" s="15" t="str">
        <f>IFERROR(__xludf.DUMMYFUNCTION("""COMPUTED_VALUE"""),"обладнання суднове")</f>
        <v>обладнання суднове</v>
      </c>
      <c r="F18" s="17">
        <f>IFERROR(__xludf.DUMMYFUNCTION("""COMPUTED_VALUE"""),4.0)</f>
        <v>4</v>
      </c>
      <c r="G18" s="17">
        <f>IFERROR(__xludf.DUMMYFUNCTION("""COMPUTED_VALUE"""),1.2070603E7)</f>
        <v>12070603</v>
      </c>
      <c r="H18" s="17" t="str">
        <f>IFERROR(__xludf.DUMMYFUNCTION("""COMPUTED_VALUE"""),"обладнання суднове")</f>
        <v>обладнання суднове</v>
      </c>
      <c r="I18" s="18">
        <f>IFERROR(__xludf.DUMMYFUNCTION("""COMPUTED_VALUE"""),1.17)</f>
        <v>1.17</v>
      </c>
      <c r="J18" s="18">
        <f>IFERROR(__xludf.DUMMYFUNCTION("""COMPUTED_VALUE"""),2.34)</f>
        <v>2.34</v>
      </c>
      <c r="K18" s="18">
        <f>IFERROR(__xludf.DUMMYFUNCTION("""COMPUTED_VALUE"""),2.92)</f>
        <v>2.92</v>
      </c>
      <c r="L18" s="18">
        <f>IFERROR(__xludf.DUMMYFUNCTION("""COMPUTED_VALUE"""),4.68)</f>
        <v>4.68</v>
      </c>
    </row>
    <row r="19">
      <c r="A19" s="13" t="str">
        <f>IFERROR(__xludf.DUMMYFUNCTION("""COMPUTED_VALUE"""),"товари")</f>
        <v>товари</v>
      </c>
      <c r="B19" s="13" t="str">
        <f>IFERROR(__xludf.DUMMYFUNCTION("""COMPUTED_VALUE"""),"авіа-, ж/д-, водний транспорт")</f>
        <v>авіа-, ж/д-, водний транспорт</v>
      </c>
      <c r="C19" s="15" t="str">
        <f>IFERROR(__xludf.DUMMYFUNCTION("""COMPUTED_VALUE"""),"водний транспорт")</f>
        <v>водний транспорт</v>
      </c>
      <c r="D19" s="15" t="str">
        <f>IFERROR(__xludf.DUMMYFUNCTION("""COMPUTED_VALUE"""),"електрообладнання для суден")</f>
        <v>електрообладнання для суден</v>
      </c>
      <c r="E19" s="15" t="str">
        <f>IFERROR(__xludf.DUMMYFUNCTION("""COMPUTED_VALUE"""),"освітлення для кают")</f>
        <v>освітлення для кают</v>
      </c>
      <c r="F19" s="17">
        <f>IFERROR(__xludf.DUMMYFUNCTION("""COMPUTED_VALUE"""),4.0)</f>
        <v>4</v>
      </c>
      <c r="G19" s="17">
        <f>IFERROR(__xludf.DUMMYFUNCTION("""COMPUTED_VALUE"""),1.2071002E7)</f>
        <v>12071002</v>
      </c>
      <c r="H19" s="17" t="str">
        <f>IFERROR(__xludf.DUMMYFUNCTION("""COMPUTED_VALUE"""),"освітлення для кают")</f>
        <v>освітлення для кают</v>
      </c>
      <c r="I19" s="18">
        <f>IFERROR(__xludf.DUMMYFUNCTION("""COMPUTED_VALUE"""),1.04)</f>
        <v>1.04</v>
      </c>
      <c r="J19" s="18">
        <f>IFERROR(__xludf.DUMMYFUNCTION("""COMPUTED_VALUE"""),2.08)</f>
        <v>2.08</v>
      </c>
      <c r="K19" s="18">
        <f>IFERROR(__xludf.DUMMYFUNCTION("""COMPUTED_VALUE"""),2.59)</f>
        <v>2.59</v>
      </c>
      <c r="L19" s="18">
        <f>IFERROR(__xludf.DUMMYFUNCTION("""COMPUTED_VALUE"""),4.15)</f>
        <v>4.15</v>
      </c>
    </row>
    <row r="20">
      <c r="A20" s="13" t="str">
        <f>IFERROR(__xludf.DUMMYFUNCTION("""COMPUTED_VALUE"""),"товари")</f>
        <v>товари</v>
      </c>
      <c r="B20" s="13" t="str">
        <f>IFERROR(__xludf.DUMMYFUNCTION("""COMPUTED_VALUE"""),"авіа-, ж/д-, водний транспорт")</f>
        <v>авіа-, ж/д-, водний транспорт</v>
      </c>
      <c r="C20" s="15" t="str">
        <f>IFERROR(__xludf.DUMMYFUNCTION("""COMPUTED_VALUE"""),"водний транспорт")</f>
        <v>водний транспорт</v>
      </c>
      <c r="D20" s="15" t="str">
        <f>IFERROR(__xludf.DUMMYFUNCTION("""COMPUTED_VALUE"""),"причепи для човнів")</f>
        <v>причепи для човнів</v>
      </c>
      <c r="E20" s="15" t="str">
        <f>IFERROR(__xludf.DUMMYFUNCTION("""COMPUTED_VALUE"""),"причепи для човнів")</f>
        <v>причепи для човнів</v>
      </c>
      <c r="F20" s="17">
        <f>IFERROR(__xludf.DUMMYFUNCTION("""COMPUTED_VALUE"""),3.0)</f>
        <v>3</v>
      </c>
      <c r="G20" s="17">
        <f>IFERROR(__xludf.DUMMYFUNCTION("""COMPUTED_VALUE"""),120708.0)</f>
        <v>120708</v>
      </c>
      <c r="H20" s="17" t="str">
        <f>IFERROR(__xludf.DUMMYFUNCTION("""COMPUTED_VALUE"""),"причепи для човнів")</f>
        <v>причепи для човнів</v>
      </c>
      <c r="I20" s="18">
        <f>IFERROR(__xludf.DUMMYFUNCTION("""COMPUTED_VALUE"""),0.76)</f>
        <v>0.76</v>
      </c>
      <c r="J20" s="18">
        <f>IFERROR(__xludf.DUMMYFUNCTION("""COMPUTED_VALUE"""),1.53)</f>
        <v>1.53</v>
      </c>
      <c r="K20" s="18">
        <f>IFERROR(__xludf.DUMMYFUNCTION("""COMPUTED_VALUE"""),1.91)</f>
        <v>1.91</v>
      </c>
      <c r="L20" s="18">
        <f>IFERROR(__xludf.DUMMYFUNCTION("""COMPUTED_VALUE"""),3.05)</f>
        <v>3.05</v>
      </c>
    </row>
    <row r="21">
      <c r="A21" s="13" t="str">
        <f>IFERROR(__xludf.DUMMYFUNCTION("""COMPUTED_VALUE"""),"товари")</f>
        <v>товари</v>
      </c>
      <c r="B21" s="13" t="str">
        <f>IFERROR(__xludf.DUMMYFUNCTION("""COMPUTED_VALUE"""),"авіа-, ж/д-, водний транспорт")</f>
        <v>авіа-, ж/д-, водний транспорт</v>
      </c>
      <c r="C21" s="15" t="str">
        <f>IFERROR(__xludf.DUMMYFUNCTION("""COMPUTED_VALUE"""),"залізничний транспорт і комплектуючі")</f>
        <v>залізничний транспорт і комплектуючі</v>
      </c>
      <c r="D21" s="15" t="str">
        <f>IFERROR(__xludf.DUMMYFUNCTION("""COMPUTED_VALUE"""),"залізничний інструмент")</f>
        <v>залізничний інструмент</v>
      </c>
      <c r="E21" s="15" t="str">
        <f>IFERROR(__xludf.DUMMYFUNCTION("""COMPUTED_VALUE"""),"рейкорізані, рейкосвердлувальні і рейкошліфувальні верстати")</f>
        <v>рейкорізані, рейкосвердлувальні і рейкошліфувальні верстати</v>
      </c>
      <c r="F21" s="17">
        <f>IFERROR(__xludf.DUMMYFUNCTION("""COMPUTED_VALUE"""),4.0)</f>
        <v>4</v>
      </c>
      <c r="G21" s="17">
        <f>IFERROR(__xludf.DUMMYFUNCTION("""COMPUTED_VALUE"""),1.4201304E7)</f>
        <v>14201304</v>
      </c>
      <c r="H21" s="17" t="str">
        <f>IFERROR(__xludf.DUMMYFUNCTION("""COMPUTED_VALUE"""),"рейкорізані, рейкосвердлувальні і рейкошліфувальні верстати")</f>
        <v>рейкорізані, рейкосвердлувальні і рейкошліфувальні верстати</v>
      </c>
      <c r="I21" s="18">
        <f>IFERROR(__xludf.DUMMYFUNCTION("""COMPUTED_VALUE"""),1.04)</f>
        <v>1.04</v>
      </c>
      <c r="J21" s="18">
        <f>IFERROR(__xludf.DUMMYFUNCTION("""COMPUTED_VALUE"""),2.08)</f>
        <v>2.08</v>
      </c>
      <c r="K21" s="18">
        <f>IFERROR(__xludf.DUMMYFUNCTION("""COMPUTED_VALUE"""),2.59)</f>
        <v>2.59</v>
      </c>
      <c r="L21" s="18">
        <f>IFERROR(__xludf.DUMMYFUNCTION("""COMPUTED_VALUE"""),4.15)</f>
        <v>4.15</v>
      </c>
    </row>
    <row r="22">
      <c r="A22" s="13" t="str">
        <f>IFERROR(__xludf.DUMMYFUNCTION("""COMPUTED_VALUE"""),"товари")</f>
        <v>товари</v>
      </c>
      <c r="B22" s="13" t="str">
        <f>IFERROR(__xludf.DUMMYFUNCTION("""COMPUTED_VALUE"""),"авіа-, ж/д-, водний транспорт")</f>
        <v>авіа-, ж/д-, водний транспорт</v>
      </c>
      <c r="C22" s="15" t="str">
        <f>IFERROR(__xludf.DUMMYFUNCTION("""COMPUTED_VALUE"""),"спеціальне обладнання для транспортування")</f>
        <v>спеціальне обладнання для транспортування</v>
      </c>
      <c r="D22" s="15" t="str">
        <f>IFERROR(__xludf.DUMMYFUNCTION("""COMPUTED_VALUE"""),"спеціальне обладнання для транспортування")</f>
        <v>спеціальне обладнання для транспортування</v>
      </c>
      <c r="E22" s="15" t="str">
        <f>IFERROR(__xludf.DUMMYFUNCTION("""COMPUTED_VALUE"""),"спеціальне обладнання для транспортування")</f>
        <v>спеціальне обладнання для транспортування</v>
      </c>
      <c r="F22" s="17">
        <f>IFERROR(__xludf.DUMMYFUNCTION("""COMPUTED_VALUE"""),2.0)</f>
        <v>2</v>
      </c>
      <c r="G22" s="17">
        <f>IFERROR(__xludf.DUMMYFUNCTION("""COMPUTED_VALUE"""),1209.0)</f>
        <v>1209</v>
      </c>
      <c r="H22" s="17" t="str">
        <f>IFERROR(__xludf.DUMMYFUNCTION("""COMPUTED_VALUE"""),"спеціальне обладнання для транспортування")</f>
        <v>спеціальне обладнання для транспортування</v>
      </c>
      <c r="I22" s="18">
        <f>IFERROR(__xludf.DUMMYFUNCTION("""COMPUTED_VALUE"""),1.13)</f>
        <v>1.13</v>
      </c>
      <c r="J22" s="18">
        <f>IFERROR(__xludf.DUMMYFUNCTION("""COMPUTED_VALUE"""),2.25)</f>
        <v>2.25</v>
      </c>
      <c r="K22" s="18">
        <f>IFERROR(__xludf.DUMMYFUNCTION("""COMPUTED_VALUE"""),2.81)</f>
        <v>2.81</v>
      </c>
      <c r="L22" s="18">
        <f>IFERROR(__xludf.DUMMYFUNCTION("""COMPUTED_VALUE"""),4.5)</f>
        <v>4.5</v>
      </c>
    </row>
    <row r="23">
      <c r="A23" s="13" t="str">
        <f>IFERROR(__xludf.DUMMYFUNCTION("""COMPUTED_VALUE"""),"товари")</f>
        <v>товари</v>
      </c>
      <c r="B23" s="13" t="str">
        <f>IFERROR(__xludf.DUMMYFUNCTION("""COMPUTED_VALUE"""),"авіа-, ж/д-, водний транспорт")</f>
        <v>авіа-, ж/д-, водний транспорт</v>
      </c>
      <c r="C23" s="15" t="str">
        <f>IFERROR(__xludf.DUMMYFUNCTION("""COMPUTED_VALUE"""),"водний транспорт")</f>
        <v>водний транспорт</v>
      </c>
      <c r="D23" s="15" t="str">
        <f>IFERROR(__xludf.DUMMYFUNCTION("""COMPUTED_VALUE"""),"суднові системи водопостачання та каналізації")</f>
        <v>суднові системи водопостачання та каналізації</v>
      </c>
      <c r="E23" s="15" t="str">
        <f>IFERROR(__xludf.DUMMYFUNCTION("""COMPUTED_VALUE"""),"суднові горловини, штуцери, душ")</f>
        <v>суднові горловини, штуцери, душ</v>
      </c>
      <c r="F23" s="17">
        <f>IFERROR(__xludf.DUMMYFUNCTION("""COMPUTED_VALUE"""),4.0)</f>
        <v>4</v>
      </c>
      <c r="G23" s="17">
        <f>IFERROR(__xludf.DUMMYFUNCTION("""COMPUTED_VALUE"""),1.2071103E7)</f>
        <v>12071103</v>
      </c>
      <c r="H23" s="17" t="str">
        <f>IFERROR(__xludf.DUMMYFUNCTION("""COMPUTED_VALUE"""),"суднові горловини, штуцери, душ")</f>
        <v>суднові горловини, штуцери, душ</v>
      </c>
      <c r="I23" s="18">
        <f>IFERROR(__xludf.DUMMYFUNCTION("""COMPUTED_VALUE"""),0.63)</f>
        <v>0.63</v>
      </c>
      <c r="J23" s="18">
        <f>IFERROR(__xludf.DUMMYFUNCTION("""COMPUTED_VALUE"""),1.26)</f>
        <v>1.26</v>
      </c>
      <c r="K23" s="18">
        <f>IFERROR(__xludf.DUMMYFUNCTION("""COMPUTED_VALUE"""),1.58)</f>
        <v>1.58</v>
      </c>
      <c r="L23" s="18">
        <f>IFERROR(__xludf.DUMMYFUNCTION("""COMPUTED_VALUE"""),2.53)</f>
        <v>2.53</v>
      </c>
    </row>
    <row r="24">
      <c r="A24" s="13" t="str">
        <f>IFERROR(__xludf.DUMMYFUNCTION("""COMPUTED_VALUE"""),"товари")</f>
        <v>товари</v>
      </c>
      <c r="B24" s="13" t="str">
        <f>IFERROR(__xludf.DUMMYFUNCTION("""COMPUTED_VALUE"""),"авіа-, ж/д-, водний транспорт")</f>
        <v>авіа-, ж/д-, водний транспорт</v>
      </c>
      <c r="C24" s="15" t="str">
        <f>IFERROR(__xludf.DUMMYFUNCTION("""COMPUTED_VALUE"""),"водний транспорт")</f>
        <v>водний транспорт</v>
      </c>
      <c r="D24" s="15" t="str">
        <f>IFERROR(__xludf.DUMMYFUNCTION("""COMPUTED_VALUE"""),"електрообладнання для суден")</f>
        <v>електрообладнання для суден</v>
      </c>
      <c r="E24" s="15" t="str">
        <f>IFERROR(__xludf.DUMMYFUNCTION("""COMPUTED_VALUE"""),"фари-шукачі і прожектори суднові")</f>
        <v>фари-шукачі і прожектори суднові</v>
      </c>
      <c r="F24" s="17">
        <f>IFERROR(__xludf.DUMMYFUNCTION("""COMPUTED_VALUE"""),4.0)</f>
        <v>4</v>
      </c>
      <c r="G24" s="17">
        <f>IFERROR(__xludf.DUMMYFUNCTION("""COMPUTED_VALUE"""),1.2071003E7)</f>
        <v>12071003</v>
      </c>
      <c r="H24" s="17" t="str">
        <f>IFERROR(__xludf.DUMMYFUNCTION("""COMPUTED_VALUE"""),"фари-шукачі і прожектори суднові")</f>
        <v>фари-шукачі і прожектори суднові</v>
      </c>
      <c r="I24" s="18">
        <f>IFERROR(__xludf.DUMMYFUNCTION("""COMPUTED_VALUE"""),1.04)</f>
        <v>1.04</v>
      </c>
      <c r="J24" s="18">
        <f>IFERROR(__xludf.DUMMYFUNCTION("""COMPUTED_VALUE"""),2.08)</f>
        <v>2.08</v>
      </c>
      <c r="K24" s="18">
        <f>IFERROR(__xludf.DUMMYFUNCTION("""COMPUTED_VALUE"""),2.59)</f>
        <v>2.59</v>
      </c>
      <c r="L24" s="18">
        <f>IFERROR(__xludf.DUMMYFUNCTION("""COMPUTED_VALUE"""),4.15)</f>
        <v>4.15</v>
      </c>
    </row>
    <row r="25">
      <c r="A25" s="13" t="str">
        <f>IFERROR(__xludf.DUMMYFUNCTION("""COMPUTED_VALUE"""),"товари")</f>
        <v>товари</v>
      </c>
      <c r="B25" s="13" t="str">
        <f>IFERROR(__xludf.DUMMYFUNCTION("""COMPUTED_VALUE"""),"авіа-, ж/д-, водний транспорт")</f>
        <v>авіа-, ж/д-, водний транспорт</v>
      </c>
      <c r="C25" s="15" t="str">
        <f>IFERROR(__xludf.DUMMYFUNCTION("""COMPUTED_VALUE"""),"залізничний транспорт і комплектуючі")</f>
        <v>залізничний транспорт і комплектуючі</v>
      </c>
      <c r="D25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25" s="15" t="str">
        <f>IFERROR(__xludf.DUMMYFUNCTION("""COMPUTED_VALUE"""),"шпали")</f>
        <v>шпали</v>
      </c>
      <c r="F25" s="17">
        <f>IFERROR(__xludf.DUMMYFUNCTION("""COMPUTED_VALUE"""),4.0)</f>
        <v>4</v>
      </c>
      <c r="G25" s="17">
        <f>IFERROR(__xludf.DUMMYFUNCTION("""COMPUTED_VALUE"""),1.2060401E7)</f>
        <v>12060401</v>
      </c>
      <c r="H25" s="17" t="str">
        <f>IFERROR(__xludf.DUMMYFUNCTION("""COMPUTED_VALUE"""),"шпали")</f>
        <v>шпали</v>
      </c>
      <c r="I25" s="18">
        <f>IFERROR(__xludf.DUMMYFUNCTION("""COMPUTED_VALUE"""),1.13)</f>
        <v>1.13</v>
      </c>
      <c r="J25" s="18">
        <f>IFERROR(__xludf.DUMMYFUNCTION("""COMPUTED_VALUE"""),2.25)</f>
        <v>2.25</v>
      </c>
      <c r="K25" s="18">
        <f>IFERROR(__xludf.DUMMYFUNCTION("""COMPUTED_VALUE"""),2.81)</f>
        <v>2.81</v>
      </c>
      <c r="L25" s="18">
        <f>IFERROR(__xludf.DUMMYFUNCTION("""COMPUTED_VALUE"""),4.5)</f>
        <v>4.5</v>
      </c>
    </row>
    <row r="26">
      <c r="A26" s="13" t="str">
        <f>IFERROR(__xludf.DUMMYFUNCTION("""COMPUTED_VALUE"""),"товари")</f>
        <v>товари</v>
      </c>
      <c r="B26" s="13" t="str">
        <f>IFERROR(__xludf.DUMMYFUNCTION("""COMPUTED_VALUE"""),"авто-, мото")</f>
        <v>авто-, мото</v>
      </c>
      <c r="C26" s="15" t="str">
        <f>IFERROR(__xludf.DUMMYFUNCTION("""COMPUTED_VALUE"""),"автобудинки")</f>
        <v>автобудинки</v>
      </c>
      <c r="D26" s="15" t="str">
        <f>IFERROR(__xludf.DUMMYFUNCTION("""COMPUTED_VALUE"""),"автобудинки")</f>
        <v>автобудинки</v>
      </c>
      <c r="E26" s="15" t="str">
        <f>IFERROR(__xludf.DUMMYFUNCTION("""COMPUTED_VALUE"""),"автобудинки")</f>
        <v>автобудинки</v>
      </c>
      <c r="F26" s="17">
        <f>IFERROR(__xludf.DUMMYFUNCTION("""COMPUTED_VALUE"""),2.0)</f>
        <v>2</v>
      </c>
      <c r="G26" s="17">
        <f>IFERROR(__xludf.DUMMYFUNCTION("""COMPUTED_VALUE"""),5503.0)</f>
        <v>5503</v>
      </c>
      <c r="H26" s="17" t="str">
        <f>IFERROR(__xludf.DUMMYFUNCTION("""COMPUTED_VALUE"""),"автобудинки")</f>
        <v>автобудинки</v>
      </c>
      <c r="I26" s="18">
        <f>IFERROR(__xludf.DUMMYFUNCTION("""COMPUTED_VALUE"""),0.76)</f>
        <v>0.76</v>
      </c>
      <c r="J26" s="18">
        <f>IFERROR(__xludf.DUMMYFUNCTION("""COMPUTED_VALUE"""),1.53)</f>
        <v>1.53</v>
      </c>
      <c r="K26" s="18">
        <f>IFERROR(__xludf.DUMMYFUNCTION("""COMPUTED_VALUE"""),1.91)</f>
        <v>1.91</v>
      </c>
      <c r="L26" s="18">
        <f>IFERROR(__xludf.DUMMYFUNCTION("""COMPUTED_VALUE"""),3.05)</f>
        <v>3.05</v>
      </c>
    </row>
    <row r="27">
      <c r="A27" s="13" t="str">
        <f>IFERROR(__xludf.DUMMYFUNCTION("""COMPUTED_VALUE"""),"товари")</f>
        <v>товари</v>
      </c>
      <c r="B27" s="13" t="str">
        <f>IFERROR(__xludf.DUMMYFUNCTION("""COMPUTED_VALUE"""),"авто-, мото")</f>
        <v>авто-, мото</v>
      </c>
      <c r="C27" s="15" t="str">
        <f>IFERROR(__xludf.DUMMYFUNCTION("""COMPUTED_VALUE"""),"автозапчастини")</f>
        <v>автозапчастини</v>
      </c>
      <c r="D27" s="15" t="str">
        <f>IFERROR(__xludf.DUMMYFUNCTION("""COMPUTED_VALUE"""),"кривошипно-шатунний механізм (кшм)")</f>
        <v>кривошипно-шатунний механізм (кшм)</v>
      </c>
      <c r="E27" s="15" t="str">
        <f>IFERROR(__xludf.DUMMYFUNCTION("""COMPUTED_VALUE"""),"блоки циліндрів")</f>
        <v>блоки циліндрів</v>
      </c>
      <c r="F27" s="17">
        <f>IFERROR(__xludf.DUMMYFUNCTION("""COMPUTED_VALUE"""),4.0)</f>
        <v>4</v>
      </c>
      <c r="G27" s="17">
        <f>IFERROR(__xludf.DUMMYFUNCTION("""COMPUTED_VALUE"""),1.2020411E7)</f>
        <v>12020411</v>
      </c>
      <c r="H27" s="17" t="str">
        <f>IFERROR(__xludf.DUMMYFUNCTION("""COMPUTED_VALUE"""),"блоки циліндрів")</f>
        <v>блоки циліндрів</v>
      </c>
      <c r="I27" s="18">
        <f>IFERROR(__xludf.DUMMYFUNCTION("""COMPUTED_VALUE"""),0.99)</f>
        <v>0.99</v>
      </c>
      <c r="J27" s="18">
        <f>IFERROR(__xludf.DUMMYFUNCTION("""COMPUTED_VALUE"""),1.98)</f>
        <v>1.98</v>
      </c>
      <c r="K27" s="18">
        <f>IFERROR(__xludf.DUMMYFUNCTION("""COMPUTED_VALUE"""),2.47)</f>
        <v>2.47</v>
      </c>
      <c r="L27" s="18">
        <f>IFERROR(__xludf.DUMMYFUNCTION("""COMPUTED_VALUE"""),3.95)</f>
        <v>3.95</v>
      </c>
    </row>
    <row r="28">
      <c r="A28" s="13" t="str">
        <f>IFERROR(__xludf.DUMMYFUNCTION("""COMPUTED_VALUE"""),"товари")</f>
        <v>товари</v>
      </c>
      <c r="B28" s="13" t="str">
        <f>IFERROR(__xludf.DUMMYFUNCTION("""COMPUTED_VALUE"""),"авто-, мото")</f>
        <v>авто-, мото</v>
      </c>
      <c r="C28" s="15" t="str">
        <f>IFERROR(__xludf.DUMMYFUNCTION("""COMPUTED_VALUE"""),"автозапчастини")</f>
        <v>автозапчастини</v>
      </c>
      <c r="D28" s="15" t="str">
        <f>IFERROR(__xludf.DUMMYFUNCTION("""COMPUTED_VALUE"""),"двигуни і деталі двигуна")</f>
        <v>двигуни і деталі двигуна</v>
      </c>
      <c r="E28" s="15" t="str">
        <f>IFERROR(__xludf.DUMMYFUNCTION("""COMPUTED_VALUE"""),"двигуни для техніки")</f>
        <v>двигуни для техніки</v>
      </c>
      <c r="F28" s="17">
        <f>IFERROR(__xludf.DUMMYFUNCTION("""COMPUTED_VALUE"""),4.0)</f>
        <v>4</v>
      </c>
      <c r="G28" s="17">
        <f>IFERROR(__xludf.DUMMYFUNCTION("""COMPUTED_VALUE"""),341527.0)</f>
        <v>341527</v>
      </c>
      <c r="H28" s="17" t="str">
        <f>IFERROR(__xludf.DUMMYFUNCTION("""COMPUTED_VALUE"""),"двигуни для техніки")</f>
        <v>двигуни для техніки</v>
      </c>
      <c r="I28" s="18">
        <f>IFERROR(__xludf.DUMMYFUNCTION("""COMPUTED_VALUE"""),0.76)</f>
        <v>0.76</v>
      </c>
      <c r="J28" s="18">
        <f>IFERROR(__xludf.DUMMYFUNCTION("""COMPUTED_VALUE"""),1.53)</f>
        <v>1.53</v>
      </c>
      <c r="K28" s="18">
        <f>IFERROR(__xludf.DUMMYFUNCTION("""COMPUTED_VALUE"""),1.91)</f>
        <v>1.91</v>
      </c>
      <c r="L28" s="18">
        <f>IFERROR(__xludf.DUMMYFUNCTION("""COMPUTED_VALUE"""),3.05)</f>
        <v>3.05</v>
      </c>
    </row>
    <row r="29">
      <c r="A29" s="13" t="str">
        <f>IFERROR(__xludf.DUMMYFUNCTION("""COMPUTED_VALUE"""),"товари")</f>
        <v>товари</v>
      </c>
      <c r="B29" s="13" t="str">
        <f>IFERROR(__xludf.DUMMYFUNCTION("""COMPUTED_VALUE"""),"авто-, мото")</f>
        <v>авто-, мото</v>
      </c>
      <c r="C29" s="15" t="str">
        <f>IFERROR(__xludf.DUMMYFUNCTION("""COMPUTED_VALUE"""),"автозапчастини")</f>
        <v>автозапчастини</v>
      </c>
      <c r="D29" s="15" t="str">
        <f>IFERROR(__xludf.DUMMYFUNCTION("""COMPUTED_VALUE"""),"газорозподільний механізм (грм)")</f>
        <v>газорозподільний механізм (грм)</v>
      </c>
      <c r="E29" s="15" t="str">
        <f>IFERROR(__xludf.DUMMYFUNCTION("""COMPUTED_VALUE"""),"деталі грм")</f>
        <v>деталі грм</v>
      </c>
      <c r="F29" s="17">
        <f>IFERROR(__xludf.DUMMYFUNCTION("""COMPUTED_VALUE"""),4.0)</f>
        <v>4</v>
      </c>
      <c r="G29" s="17">
        <f>IFERROR(__xludf.DUMMYFUNCTION("""COMPUTED_VALUE"""),550211.0)</f>
        <v>550211</v>
      </c>
      <c r="H29" s="17" t="str">
        <f>IFERROR(__xludf.DUMMYFUNCTION("""COMPUTED_VALUE"""),"деталі грм")</f>
        <v>деталі грм</v>
      </c>
      <c r="I29" s="18">
        <f>IFERROR(__xludf.DUMMYFUNCTION("""COMPUTED_VALUE"""),0.76)</f>
        <v>0.76</v>
      </c>
      <c r="J29" s="18">
        <f>IFERROR(__xludf.DUMMYFUNCTION("""COMPUTED_VALUE"""),1.53)</f>
        <v>1.53</v>
      </c>
      <c r="K29" s="18">
        <f>IFERROR(__xludf.DUMMYFUNCTION("""COMPUTED_VALUE"""),1.91)</f>
        <v>1.91</v>
      </c>
      <c r="L29" s="18">
        <f>IFERROR(__xludf.DUMMYFUNCTION("""COMPUTED_VALUE"""),3.05)</f>
        <v>3.05</v>
      </c>
    </row>
    <row r="30">
      <c r="A30" s="13" t="str">
        <f>IFERROR(__xludf.DUMMYFUNCTION("""COMPUTED_VALUE"""),"товари")</f>
        <v>товари</v>
      </c>
      <c r="B30" s="13" t="str">
        <f>IFERROR(__xludf.DUMMYFUNCTION("""COMPUTED_VALUE"""),"авто-, мото")</f>
        <v>авто-, мото</v>
      </c>
      <c r="C30" s="15" t="str">
        <f>IFERROR(__xludf.DUMMYFUNCTION("""COMPUTED_VALUE"""),"автозапчастини")</f>
        <v>автозапчастини</v>
      </c>
      <c r="D30" s="15" t="str">
        <f>IFERROR(__xludf.DUMMYFUNCTION("""COMPUTED_VALUE"""),"деталі мостів і приводу трансмісії")</f>
        <v>деталі мостів і приводу трансмісії</v>
      </c>
      <c r="E30" s="15" t="str">
        <f>IFERROR(__xludf.DUMMYFUNCTION("""COMPUTED_VALUE"""),"деталі мостів і приводу трансмісії, загальне")</f>
        <v>деталі мостів і приводу трансмісії, загальне</v>
      </c>
      <c r="F30" s="17">
        <f>IFERROR(__xludf.DUMMYFUNCTION("""COMPUTED_VALUE"""),4.0)</f>
        <v>4</v>
      </c>
      <c r="G30" s="17">
        <f>IFERROR(__xludf.DUMMYFUNCTION("""COMPUTED_VALUE"""),1.2023814E7)</f>
        <v>12023814</v>
      </c>
      <c r="H30" s="17" t="str">
        <f>IFERROR(__xludf.DUMMYFUNCTION("""COMPUTED_VALUE"""),"деталі мостів і приводу трансмісії, загальне")</f>
        <v>деталі мостів і приводу трансмісії, загальне</v>
      </c>
      <c r="I30" s="18">
        <f>IFERROR(__xludf.DUMMYFUNCTION("""COMPUTED_VALUE"""),2.16)</f>
        <v>2.16</v>
      </c>
      <c r="J30" s="18">
        <f>IFERROR(__xludf.DUMMYFUNCTION("""COMPUTED_VALUE"""),4.33)</f>
        <v>4.33</v>
      </c>
      <c r="K30" s="18">
        <f>IFERROR(__xludf.DUMMYFUNCTION("""COMPUTED_VALUE"""),5.41)</f>
        <v>5.41</v>
      </c>
      <c r="L30" s="18">
        <f>IFERROR(__xludf.DUMMYFUNCTION("""COMPUTED_VALUE"""),8.65)</f>
        <v>8.65</v>
      </c>
    </row>
    <row r="31">
      <c r="A31" s="13" t="str">
        <f>IFERROR(__xludf.DUMMYFUNCTION("""COMPUTED_VALUE"""),"товари")</f>
        <v>товари</v>
      </c>
      <c r="B31" s="13" t="str">
        <f>IFERROR(__xludf.DUMMYFUNCTION("""COMPUTED_VALUE"""),"авто-, мото")</f>
        <v>авто-, мото</v>
      </c>
      <c r="C31" s="15" t="str">
        <f>IFERROR(__xludf.DUMMYFUNCTION("""COMPUTED_VALUE"""),"автозапчастини")</f>
        <v>автозапчастини</v>
      </c>
      <c r="D31" s="15" t="str">
        <f>IFERROR(__xludf.DUMMYFUNCTION("""COMPUTED_VALUE"""),"деталі мостів і приводу трансмісії")</f>
        <v>деталі мостів і приводу трансмісії</v>
      </c>
      <c r="E31" s="15" t="str">
        <f>IFERROR(__xludf.DUMMYFUNCTION("""COMPUTED_VALUE"""),"карданні вали")</f>
        <v>карданні вали</v>
      </c>
      <c r="F31" s="17">
        <f>IFERROR(__xludf.DUMMYFUNCTION("""COMPUTED_VALUE"""),4.0)</f>
        <v>4</v>
      </c>
      <c r="G31" s="17">
        <f>IFERROR(__xludf.DUMMYFUNCTION("""COMPUTED_VALUE"""),1.2023804E7)</f>
        <v>12023804</v>
      </c>
      <c r="H31" s="17" t="str">
        <f>IFERROR(__xludf.DUMMYFUNCTION("""COMPUTED_VALUE"""),"карданні вали")</f>
        <v>карданні вали</v>
      </c>
      <c r="I31" s="18">
        <f>IFERROR(__xludf.DUMMYFUNCTION("""COMPUTED_VALUE"""),0.86)</f>
        <v>0.86</v>
      </c>
      <c r="J31" s="18">
        <f>IFERROR(__xludf.DUMMYFUNCTION("""COMPUTED_VALUE"""),1.71)</f>
        <v>1.71</v>
      </c>
      <c r="K31" s="18">
        <f>IFERROR(__xludf.DUMMYFUNCTION("""COMPUTED_VALUE"""),2.14)</f>
        <v>2.14</v>
      </c>
      <c r="L31" s="18">
        <f>IFERROR(__xludf.DUMMYFUNCTION("""COMPUTED_VALUE"""),3.43)</f>
        <v>3.43</v>
      </c>
    </row>
    <row r="32">
      <c r="A32" s="13" t="str">
        <f>IFERROR(__xludf.DUMMYFUNCTION("""COMPUTED_VALUE"""),"товари")</f>
        <v>товари</v>
      </c>
      <c r="B32" s="13" t="str">
        <f>IFERROR(__xludf.DUMMYFUNCTION("""COMPUTED_VALUE"""),"авто-, мото")</f>
        <v>авто-, мото</v>
      </c>
      <c r="C32" s="15" t="str">
        <f>IFERROR(__xludf.DUMMYFUNCTION("""COMPUTED_VALUE"""),"автозапчастини")</f>
        <v>автозапчастини</v>
      </c>
      <c r="D32" s="15" t="str">
        <f>IFERROR(__xludf.DUMMYFUNCTION("""COMPUTED_VALUE"""),"система випуску відпрацьованих газів")</f>
        <v>система випуску відпрацьованих газів</v>
      </c>
      <c r="E32" s="15" t="str">
        <f>IFERROR(__xludf.DUMMYFUNCTION("""COMPUTED_VALUE"""),"комплектуючі системи випуску відпрацьованих газів")</f>
        <v>комплектуючі системи випуску відпрацьованих газів</v>
      </c>
      <c r="F32" s="17">
        <f>IFERROR(__xludf.DUMMYFUNCTION("""COMPUTED_VALUE"""),4.0)</f>
        <v>4</v>
      </c>
      <c r="G32" s="17">
        <f>IFERROR(__xludf.DUMMYFUNCTION("""COMPUTED_VALUE"""),1.2021513E7)</f>
        <v>12021513</v>
      </c>
      <c r="H32" s="17" t="str">
        <f>IFERROR(__xludf.DUMMYFUNCTION("""COMPUTED_VALUE"""),"комплектуючі системи випуску відпрацьованих газів")</f>
        <v>комплектуючі системи випуску відпрацьованих газів</v>
      </c>
      <c r="I32" s="18">
        <f>IFERROR(__xludf.DUMMYFUNCTION("""COMPUTED_VALUE"""),0.76)</f>
        <v>0.76</v>
      </c>
      <c r="J32" s="18">
        <f>IFERROR(__xludf.DUMMYFUNCTION("""COMPUTED_VALUE"""),1.53)</f>
        <v>1.53</v>
      </c>
      <c r="K32" s="18">
        <f>IFERROR(__xludf.DUMMYFUNCTION("""COMPUTED_VALUE"""),1.91)</f>
        <v>1.91</v>
      </c>
      <c r="L32" s="18">
        <f>IFERROR(__xludf.DUMMYFUNCTION("""COMPUTED_VALUE"""),3.05)</f>
        <v>3.05</v>
      </c>
    </row>
    <row r="33">
      <c r="A33" s="13" t="str">
        <f>IFERROR(__xludf.DUMMYFUNCTION("""COMPUTED_VALUE"""),"товари")</f>
        <v>товари</v>
      </c>
      <c r="B33" s="13" t="str">
        <f>IFERROR(__xludf.DUMMYFUNCTION("""COMPUTED_VALUE"""),"авто-, мото")</f>
        <v>авто-, мото</v>
      </c>
      <c r="C33" s="15" t="str">
        <f>IFERROR(__xludf.DUMMYFUNCTION("""COMPUTED_VALUE"""),"мототехніка")</f>
        <v>мототехніка</v>
      </c>
      <c r="D33" s="15" t="str">
        <f>IFERROR(__xludf.DUMMYFUNCTION("""COMPUTED_VALUE"""),"мотоцикли, моторолери, скутери, мопеди")</f>
        <v>мотоцикли, моторолери, скутери, мопеди</v>
      </c>
      <c r="E33" s="15" t="str">
        <f>IFERROR(__xludf.DUMMYFUNCTION("""COMPUTED_VALUE"""),"мотоцикли, моторолери, скутери, мопеди")</f>
        <v>мотоцикли, моторолери, скутери, мопеди</v>
      </c>
      <c r="F33" s="17">
        <f>IFERROR(__xludf.DUMMYFUNCTION("""COMPUTED_VALUE"""),3.0)</f>
        <v>3</v>
      </c>
      <c r="G33" s="17">
        <f>IFERROR(__xludf.DUMMYFUNCTION("""COMPUTED_VALUE"""),120309.0)</f>
        <v>120309</v>
      </c>
      <c r="H33" s="17" t="str">
        <f>IFERROR(__xludf.DUMMYFUNCTION("""COMPUTED_VALUE"""),"мотоцикли, моторолери, скутери, мопеди")</f>
        <v>мотоцикли, моторолери, скутери, мопеди</v>
      </c>
      <c r="I33" s="18">
        <f>IFERROR(__xludf.DUMMYFUNCTION("""COMPUTED_VALUE"""),0.63)</f>
        <v>0.63</v>
      </c>
      <c r="J33" s="18">
        <f>IFERROR(__xludf.DUMMYFUNCTION("""COMPUTED_VALUE"""),1.26)</f>
        <v>1.26</v>
      </c>
      <c r="K33" s="18">
        <f>IFERROR(__xludf.DUMMYFUNCTION("""COMPUTED_VALUE"""),1.58)</f>
        <v>1.58</v>
      </c>
      <c r="L33" s="18">
        <f>IFERROR(__xludf.DUMMYFUNCTION("""COMPUTED_VALUE"""),2.53)</f>
        <v>2.53</v>
      </c>
    </row>
    <row r="34">
      <c r="A34" s="13" t="str">
        <f>IFERROR(__xludf.DUMMYFUNCTION("""COMPUTED_VALUE"""),"товари")</f>
        <v>товари</v>
      </c>
      <c r="B34" s="13" t="str">
        <f>IFERROR(__xludf.DUMMYFUNCTION("""COMPUTED_VALUE"""),"авто-, мото")</f>
        <v>авто-, мото</v>
      </c>
      <c r="C34" s="15" t="str">
        <f>IFERROR(__xludf.DUMMYFUNCTION("""COMPUTED_VALUE"""),"автозапчастини")</f>
        <v>автозапчастини</v>
      </c>
      <c r="D34" s="15" t="str">
        <f>IFERROR(__xludf.DUMMYFUNCTION("""COMPUTED_VALUE"""),"підбір запчастин та авторозбірка")</f>
        <v>підбір запчастин та авторозбірка</v>
      </c>
      <c r="E34" s="15" t="str">
        <f>IFERROR(__xludf.DUMMYFUNCTION("""COMPUTED_VALUE"""),"підбір запчастин та авторозбірка")</f>
        <v>підбір запчастин та авторозбірка</v>
      </c>
      <c r="F34" s="17">
        <f>IFERROR(__xludf.DUMMYFUNCTION("""COMPUTED_VALUE"""),3.0)</f>
        <v>3</v>
      </c>
      <c r="G34" s="17">
        <f>IFERROR(__xludf.DUMMYFUNCTION("""COMPUTED_VALUE"""),550212.0)</f>
        <v>550212</v>
      </c>
      <c r="H34" s="17" t="str">
        <f>IFERROR(__xludf.DUMMYFUNCTION("""COMPUTED_VALUE"""),"підбір запчастин та авторозбірка")</f>
        <v>підбір запчастин та авторозбірка</v>
      </c>
      <c r="I34" s="18">
        <f>IFERROR(__xludf.DUMMYFUNCTION("""COMPUTED_VALUE"""),2.63)</f>
        <v>2.63</v>
      </c>
      <c r="J34" s="18">
        <f>IFERROR(__xludf.DUMMYFUNCTION("""COMPUTED_VALUE"""),5.25)</f>
        <v>5.25</v>
      </c>
      <c r="K34" s="18">
        <f>IFERROR(__xludf.DUMMYFUNCTION("""COMPUTED_VALUE"""),6.56)</f>
        <v>6.56</v>
      </c>
      <c r="L34" s="18">
        <f>IFERROR(__xludf.DUMMYFUNCTION("""COMPUTED_VALUE"""),10.5)</f>
        <v>10.5</v>
      </c>
    </row>
    <row r="35">
      <c r="A35" s="13" t="str">
        <f>IFERROR(__xludf.DUMMYFUNCTION("""COMPUTED_VALUE"""),"товари")</f>
        <v>товари</v>
      </c>
      <c r="B35" s="13" t="str">
        <f>IFERROR(__xludf.DUMMYFUNCTION("""COMPUTED_VALUE"""),"авто-, мото")</f>
        <v>авто-, мото</v>
      </c>
      <c r="C35" s="15" t="str">
        <f>IFERROR(__xludf.DUMMYFUNCTION("""COMPUTED_VALUE"""),"автомобільна електроніка")</f>
        <v>автомобільна електроніка</v>
      </c>
      <c r="D35" s="15" t="str">
        <f>IFERROR(__xludf.DUMMYFUNCTION("""COMPUTED_VALUE"""),"системи моніторингу транспорту і контролю палива")</f>
        <v>системи моніторингу транспорту і контролю палива</v>
      </c>
      <c r="E35" s="15" t="str">
        <f>IFERROR(__xludf.DUMMYFUNCTION("""COMPUTED_VALUE"""),"системи моніторингу транспорту і контролю палива")</f>
        <v>системи моніторингу транспорту і контролю палива</v>
      </c>
      <c r="F35" s="17">
        <f>IFERROR(__xludf.DUMMYFUNCTION("""COMPUTED_VALUE"""),3.0)</f>
        <v>3</v>
      </c>
      <c r="G35" s="17">
        <f>IFERROR(__xludf.DUMMYFUNCTION("""COMPUTED_VALUE"""),340412.0)</f>
        <v>340412</v>
      </c>
      <c r="H35" s="17" t="str">
        <f>IFERROR(__xludf.DUMMYFUNCTION("""COMPUTED_VALUE"""),"системи моніторингу транспорту і контролю палива")</f>
        <v>системи моніторингу транспорту і контролю палива</v>
      </c>
      <c r="I35" s="18">
        <f>IFERROR(__xludf.DUMMYFUNCTION("""COMPUTED_VALUE"""),0.76)</f>
        <v>0.76</v>
      </c>
      <c r="J35" s="18">
        <f>IFERROR(__xludf.DUMMYFUNCTION("""COMPUTED_VALUE"""),1.53)</f>
        <v>1.53</v>
      </c>
      <c r="K35" s="18">
        <f>IFERROR(__xludf.DUMMYFUNCTION("""COMPUTED_VALUE"""),1.91)</f>
        <v>1.91</v>
      </c>
      <c r="L35" s="18">
        <f>IFERROR(__xludf.DUMMYFUNCTION("""COMPUTED_VALUE"""),3.05)</f>
        <v>3.05</v>
      </c>
    </row>
    <row r="36">
      <c r="A36" s="13" t="str">
        <f>IFERROR(__xludf.DUMMYFUNCTION("""COMPUTED_VALUE"""),"товари")</f>
        <v>товари</v>
      </c>
      <c r="B36" s="13" t="str">
        <f>IFERROR(__xludf.DUMMYFUNCTION("""COMPUTED_VALUE"""),"безпека та захист")</f>
        <v>безпека та захист</v>
      </c>
      <c r="C36" s="15" t="str">
        <f>IFERROR(__xludf.DUMMYFUNCTION("""COMPUTED_VALUE"""),"системи охорони та оповіщення")</f>
        <v>системи охорони та оповіщення</v>
      </c>
      <c r="D36" s="15" t="str">
        <f>IFERROR(__xludf.DUMMYFUNCTION("""COMPUTED_VALUE"""),"апаратура сигналізації та зв'язку")</f>
        <v>апаратура сигналізації та зв'язку</v>
      </c>
      <c r="E36" s="15" t="str">
        <f>IFERROR(__xludf.DUMMYFUNCTION("""COMPUTED_VALUE"""),"апаратура сигналізації та зв'язку, загальне")</f>
        <v>апаратура сигналізації та зв'язку, загальне</v>
      </c>
      <c r="F36" s="17">
        <f>IFERROR(__xludf.DUMMYFUNCTION("""COMPUTED_VALUE"""),4.0)</f>
        <v>4</v>
      </c>
      <c r="G36" s="17">
        <f>IFERROR(__xludf.DUMMYFUNCTION("""COMPUTED_VALUE"""),300425.0)</f>
        <v>300425</v>
      </c>
      <c r="H36" s="17" t="str">
        <f>IFERROR(__xludf.DUMMYFUNCTION("""COMPUTED_VALUE"""),"апаратура сигналізації та зв'язку, загальне")</f>
        <v>апаратура сигналізації та зв'язку, загальне</v>
      </c>
      <c r="I36" s="18">
        <f>IFERROR(__xludf.DUMMYFUNCTION("""COMPUTED_VALUE"""),2.16)</f>
        <v>2.16</v>
      </c>
      <c r="J36" s="18">
        <f>IFERROR(__xludf.DUMMYFUNCTION("""COMPUTED_VALUE"""),4.33)</f>
        <v>4.33</v>
      </c>
      <c r="K36" s="18">
        <f>IFERROR(__xludf.DUMMYFUNCTION("""COMPUTED_VALUE"""),5.41)</f>
        <v>5.41</v>
      </c>
      <c r="L36" s="18">
        <f>IFERROR(__xludf.DUMMYFUNCTION("""COMPUTED_VALUE"""),8.65)</f>
        <v>8.65</v>
      </c>
    </row>
    <row r="37">
      <c r="A37" s="13" t="str">
        <f>IFERROR(__xludf.DUMMYFUNCTION("""COMPUTED_VALUE"""),"товари")</f>
        <v>товари</v>
      </c>
      <c r="B37" s="13" t="str">
        <f>IFERROR(__xludf.DUMMYFUNCTION("""COMPUTED_VALUE"""),"безпека та захист")</f>
        <v>безпека та захист</v>
      </c>
      <c r="C37" s="15" t="str">
        <f>IFERROR(__xludf.DUMMYFUNCTION("""COMPUTED_VALUE"""),"засоби організації дорожнього руху")</f>
        <v>засоби організації дорожнього руху</v>
      </c>
      <c r="D37" s="15" t="str">
        <f>IFERROR(__xludf.DUMMYFUNCTION("""COMPUTED_VALUE"""),"велопарковки")</f>
        <v>велопарковки</v>
      </c>
      <c r="E37" s="15" t="str">
        <f>IFERROR(__xludf.DUMMYFUNCTION("""COMPUTED_VALUE"""),"велопарковки")</f>
        <v>велопарковки</v>
      </c>
      <c r="F37" s="17">
        <f>IFERROR(__xludf.DUMMYFUNCTION("""COMPUTED_VALUE"""),3.0)</f>
        <v>3</v>
      </c>
      <c r="G37" s="17">
        <f>IFERROR(__xludf.DUMMYFUNCTION("""COMPUTED_VALUE"""),301509.0)</f>
        <v>301509</v>
      </c>
      <c r="H37" s="17" t="str">
        <f>IFERROR(__xludf.DUMMYFUNCTION("""COMPUTED_VALUE"""),"велопарковки")</f>
        <v>велопарковки</v>
      </c>
      <c r="I37" s="18">
        <f>IFERROR(__xludf.DUMMYFUNCTION("""COMPUTED_VALUE"""),1.84)</f>
        <v>1.84</v>
      </c>
      <c r="J37" s="18">
        <f>IFERROR(__xludf.DUMMYFUNCTION("""COMPUTED_VALUE"""),3.69)</f>
        <v>3.69</v>
      </c>
      <c r="K37" s="18">
        <f>IFERROR(__xludf.DUMMYFUNCTION("""COMPUTED_VALUE"""),4.61)</f>
        <v>4.61</v>
      </c>
      <c r="L37" s="18">
        <f>IFERROR(__xludf.DUMMYFUNCTION("""COMPUTED_VALUE"""),7.38)</f>
        <v>7.38</v>
      </c>
    </row>
    <row r="38">
      <c r="A38" s="13" t="str">
        <f>IFERROR(__xludf.DUMMYFUNCTION("""COMPUTED_VALUE"""),"товари")</f>
        <v>товари</v>
      </c>
      <c r="B38" s="13" t="str">
        <f>IFERROR(__xludf.DUMMYFUNCTION("""COMPUTED_VALUE"""),"безпека та захист")</f>
        <v>безпека та захист</v>
      </c>
      <c r="C38" s="15" t="str">
        <f>IFERROR(__xludf.DUMMYFUNCTION("""COMPUTED_VALUE"""),"технічні засоби відеоспостереження")</f>
        <v>технічні засоби відеоспостереження</v>
      </c>
      <c r="D38" s="15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38" s="15" t="str">
        <f>IFERROR(__xludf.DUMMYFUNCTION("""COMPUTED_VALUE"""),"відеотестери")</f>
        <v>відеотестери</v>
      </c>
      <c r="F38" s="17">
        <f>IFERROR(__xludf.DUMMYFUNCTION("""COMPUTED_VALUE"""),4.0)</f>
        <v>4</v>
      </c>
      <c r="G38" s="17">
        <f>IFERROR(__xludf.DUMMYFUNCTION("""COMPUTED_VALUE"""),301113.0)</f>
        <v>301113</v>
      </c>
      <c r="H38" s="17" t="str">
        <f>IFERROR(__xludf.DUMMYFUNCTION("""COMPUTED_VALUE"""),"відеотестери")</f>
        <v>відеотестери</v>
      </c>
      <c r="I38" s="18">
        <f>IFERROR(__xludf.DUMMYFUNCTION("""COMPUTED_VALUE"""),0.53)</f>
        <v>0.53</v>
      </c>
      <c r="J38" s="18">
        <f>IFERROR(__xludf.DUMMYFUNCTION("""COMPUTED_VALUE"""),1.05)</f>
        <v>1.05</v>
      </c>
      <c r="K38" s="18">
        <f>IFERROR(__xludf.DUMMYFUNCTION("""COMPUTED_VALUE"""),1.31)</f>
        <v>1.31</v>
      </c>
      <c r="L38" s="18">
        <f>IFERROR(__xludf.DUMMYFUNCTION("""COMPUTED_VALUE"""),2.1)</f>
        <v>2.1</v>
      </c>
    </row>
    <row r="39">
      <c r="A39" s="13" t="str">
        <f>IFERROR(__xludf.DUMMYFUNCTION("""COMPUTED_VALUE"""),"товари")</f>
        <v>товари</v>
      </c>
      <c r="B39" s="13" t="str">
        <f>IFERROR(__xludf.DUMMYFUNCTION("""COMPUTED_VALUE"""),"безпека та захист")</f>
        <v>безпека та захист</v>
      </c>
      <c r="C39" s="15" t="str">
        <f>IFERROR(__xludf.DUMMYFUNCTION("""COMPUTED_VALUE"""),"системи і засоби пожежної безпеки")</f>
        <v>системи і засоби пожежної безпеки</v>
      </c>
      <c r="D39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39" s="15" t="str">
        <f>IFERROR(__xludf.DUMMYFUNCTION("""COMPUTED_VALUE"""),"гідранти пожежні")</f>
        <v>гідранти пожежні</v>
      </c>
      <c r="F39" s="17">
        <f>IFERROR(__xludf.DUMMYFUNCTION("""COMPUTED_VALUE"""),4.0)</f>
        <v>4</v>
      </c>
      <c r="G39" s="17">
        <f>IFERROR(__xludf.DUMMYFUNCTION("""COMPUTED_VALUE"""),300901.0)</f>
        <v>300901</v>
      </c>
      <c r="H39" s="17" t="str">
        <f>IFERROR(__xludf.DUMMYFUNCTION("""COMPUTED_VALUE"""),"гідранти пожежні")</f>
        <v>гідранти пожежні</v>
      </c>
      <c r="I39" s="18">
        <f>IFERROR(__xludf.DUMMYFUNCTION("""COMPUTED_VALUE"""),1.66)</f>
        <v>1.66</v>
      </c>
      <c r="J39" s="18">
        <f>IFERROR(__xludf.DUMMYFUNCTION("""COMPUTED_VALUE"""),3.33)</f>
        <v>3.33</v>
      </c>
      <c r="K39" s="18">
        <f>IFERROR(__xludf.DUMMYFUNCTION("""COMPUTED_VALUE"""),4.16)</f>
        <v>4.16</v>
      </c>
      <c r="L39" s="18">
        <f>IFERROR(__xludf.DUMMYFUNCTION("""COMPUTED_VALUE"""),6.65)</f>
        <v>6.65</v>
      </c>
    </row>
    <row r="40">
      <c r="A40" s="13" t="str">
        <f>IFERROR(__xludf.DUMMYFUNCTION("""COMPUTED_VALUE"""),"товари")</f>
        <v>товари</v>
      </c>
      <c r="B40" s="13" t="str">
        <f>IFERROR(__xludf.DUMMYFUNCTION("""COMPUTED_VALUE"""),"безпека та захист")</f>
        <v>безпека та захист</v>
      </c>
      <c r="C40" s="15" t="str">
        <f>IFERROR(__xludf.DUMMYFUNCTION("""COMPUTED_VALUE"""),"системи і засоби пожежної безпеки")</f>
        <v>системи і засоби пожежної безпеки</v>
      </c>
      <c r="D40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40" s="15" t="str">
        <f>IFERROR(__xludf.DUMMYFUNCTION("""COMPUTED_VALUE"""),"головки пожежні")</f>
        <v>головки пожежні</v>
      </c>
      <c r="F40" s="17">
        <f>IFERROR(__xludf.DUMMYFUNCTION("""COMPUTED_VALUE"""),4.0)</f>
        <v>4</v>
      </c>
      <c r="G40" s="17">
        <f>IFERROR(__xludf.DUMMYFUNCTION("""COMPUTED_VALUE"""),300925.0)</f>
        <v>300925</v>
      </c>
      <c r="H40" s="17" t="str">
        <f>IFERROR(__xludf.DUMMYFUNCTION("""COMPUTED_VALUE"""),"головки пожежні")</f>
        <v>головки пожежні</v>
      </c>
      <c r="I40" s="18">
        <f>IFERROR(__xludf.DUMMYFUNCTION("""COMPUTED_VALUE"""),1.66)</f>
        <v>1.66</v>
      </c>
      <c r="J40" s="18">
        <f>IFERROR(__xludf.DUMMYFUNCTION("""COMPUTED_VALUE"""),3.33)</f>
        <v>3.33</v>
      </c>
      <c r="K40" s="18">
        <f>IFERROR(__xludf.DUMMYFUNCTION("""COMPUTED_VALUE"""),4.16)</f>
        <v>4.16</v>
      </c>
      <c r="L40" s="18">
        <f>IFERROR(__xludf.DUMMYFUNCTION("""COMPUTED_VALUE"""),6.65)</f>
        <v>6.65</v>
      </c>
    </row>
    <row r="41">
      <c r="A41" s="13" t="str">
        <f>IFERROR(__xludf.DUMMYFUNCTION("""COMPUTED_VALUE"""),"товари")</f>
        <v>товари</v>
      </c>
      <c r="B41" s="13" t="str">
        <f>IFERROR(__xludf.DUMMYFUNCTION("""COMPUTED_VALUE"""),"безпека та захист")</f>
        <v>безпека та захист</v>
      </c>
      <c r="C41" s="15" t="str">
        <f>IFERROR(__xludf.DUMMYFUNCTION("""COMPUTED_VALUE"""),"засоби організації дорожнього руху")</f>
        <v>засоби організації дорожнього руху</v>
      </c>
      <c r="D41" s="15" t="str">
        <f>IFERROR(__xludf.DUMMYFUNCTION("""COMPUTED_VALUE"""),"дорожні огорожі та елементи до них")</f>
        <v>дорожні огорожі та елементи до них</v>
      </c>
      <c r="E41" s="15" t="str">
        <f>IFERROR(__xludf.DUMMYFUNCTION("""COMPUTED_VALUE"""),"дорожні огорожі та елементи до них")</f>
        <v>дорожні огорожі та елементи до них</v>
      </c>
      <c r="F41" s="17">
        <f>IFERROR(__xludf.DUMMYFUNCTION("""COMPUTED_VALUE"""),3.0)</f>
        <v>3</v>
      </c>
      <c r="G41" s="17">
        <f>IFERROR(__xludf.DUMMYFUNCTION("""COMPUTED_VALUE"""),301512.0)</f>
        <v>301512</v>
      </c>
      <c r="H41" s="17" t="str">
        <f>IFERROR(__xludf.DUMMYFUNCTION("""COMPUTED_VALUE"""),"дорожні огорожі та елементи до них")</f>
        <v>дорожні огорожі та елементи до них</v>
      </c>
      <c r="I41" s="18">
        <f>IFERROR(__xludf.DUMMYFUNCTION("""COMPUTED_VALUE"""),2.7)</f>
        <v>2.7</v>
      </c>
      <c r="J41" s="18">
        <f>IFERROR(__xludf.DUMMYFUNCTION("""COMPUTED_VALUE"""),5.4)</f>
        <v>5.4</v>
      </c>
      <c r="K41" s="18">
        <f>IFERROR(__xludf.DUMMYFUNCTION("""COMPUTED_VALUE"""),6.75)</f>
        <v>6.75</v>
      </c>
      <c r="L41" s="18">
        <f>IFERROR(__xludf.DUMMYFUNCTION("""COMPUTED_VALUE"""),10.8)</f>
        <v>10.8</v>
      </c>
    </row>
    <row r="42">
      <c r="A42" s="13" t="str">
        <f>IFERROR(__xludf.DUMMYFUNCTION("""COMPUTED_VALUE"""),"товари")</f>
        <v>товари</v>
      </c>
      <c r="B42" s="13" t="str">
        <f>IFERROR(__xludf.DUMMYFUNCTION("""COMPUTED_VALUE"""),"безпека та захист")</f>
        <v>безпека та захист</v>
      </c>
      <c r="C42" s="15" t="str">
        <f>IFERROR(__xludf.DUMMYFUNCTION("""COMPUTED_VALUE"""),"системи і засоби пожежної безпеки")</f>
        <v>системи і засоби пожежної безпеки</v>
      </c>
      <c r="D42" s="15" t="str">
        <f>IFERROR(__xludf.DUMMYFUNCTION("""COMPUTED_VALUE"""),"блискавкозахист і заземлення")</f>
        <v>блискавкозахист і заземлення</v>
      </c>
      <c r="E42" s="15" t="str">
        <f>IFERROR(__xludf.DUMMYFUNCTION("""COMPUTED_VALUE"""),"електроди заземлення і муфти")</f>
        <v>електроди заземлення і муфти</v>
      </c>
      <c r="F42" s="17">
        <f>IFERROR(__xludf.DUMMYFUNCTION("""COMPUTED_VALUE"""),4.0)</f>
        <v>4</v>
      </c>
      <c r="G42" s="17">
        <f>IFERROR(__xludf.DUMMYFUNCTION("""COMPUTED_VALUE"""),300304.0)</f>
        <v>300304</v>
      </c>
      <c r="H42" s="17" t="str">
        <f>IFERROR(__xludf.DUMMYFUNCTION("""COMPUTED_VALUE"""),"електроди заземлення і муфти")</f>
        <v>електроди заземлення і муфти</v>
      </c>
      <c r="I42" s="18">
        <f>IFERROR(__xludf.DUMMYFUNCTION("""COMPUTED_VALUE"""),1.13)</f>
        <v>1.13</v>
      </c>
      <c r="J42" s="18">
        <f>IFERROR(__xludf.DUMMYFUNCTION("""COMPUTED_VALUE"""),2.25)</f>
        <v>2.25</v>
      </c>
      <c r="K42" s="18">
        <f>IFERROR(__xludf.DUMMYFUNCTION("""COMPUTED_VALUE"""),2.81)</f>
        <v>2.81</v>
      </c>
      <c r="L42" s="18">
        <f>IFERROR(__xludf.DUMMYFUNCTION("""COMPUTED_VALUE"""),4.5)</f>
        <v>4.5</v>
      </c>
    </row>
    <row r="43">
      <c r="A43" s="13" t="str">
        <f>IFERROR(__xludf.DUMMYFUNCTION("""COMPUTED_VALUE"""),"товари")</f>
        <v>товари</v>
      </c>
      <c r="B43" s="13" t="str">
        <f>IFERROR(__xludf.DUMMYFUNCTION("""COMPUTED_VALUE"""),"безпека та захист")</f>
        <v>безпека та захист</v>
      </c>
      <c r="C43" s="15" t="str">
        <f>IFERROR(__xludf.DUMMYFUNCTION("""COMPUTED_VALUE"""),"засоби організації дорожнього руху")</f>
        <v>засоби організації дорожнього руху</v>
      </c>
      <c r="D43" s="15" t="str">
        <f>IFERROR(__xludf.DUMMYFUNCTION("""COMPUTED_VALUE"""),"засоби організації дорожнього руху, загальне")</f>
        <v>засоби організації дорожнього руху, загальне</v>
      </c>
      <c r="E43" s="15" t="str">
        <f>IFERROR(__xludf.DUMMYFUNCTION("""COMPUTED_VALUE"""),"засоби організації дорожнього руху, загальне")</f>
        <v>засоби організації дорожнього руху, загальне</v>
      </c>
      <c r="F43" s="17">
        <f>IFERROR(__xludf.DUMMYFUNCTION("""COMPUTED_VALUE"""),3.0)</f>
        <v>3</v>
      </c>
      <c r="G43" s="17">
        <f>IFERROR(__xludf.DUMMYFUNCTION("""COMPUTED_VALUE"""),301505.0)</f>
        <v>301505</v>
      </c>
      <c r="H43" s="17" t="str">
        <f>IFERROR(__xludf.DUMMYFUNCTION("""COMPUTED_VALUE"""),"засоби організації дорожнього руху, загальне")</f>
        <v>засоби організації дорожнього руху, загальне</v>
      </c>
      <c r="I43" s="18">
        <f>IFERROR(__xludf.DUMMYFUNCTION("""COMPUTED_VALUE"""),2.16)</f>
        <v>2.16</v>
      </c>
      <c r="J43" s="18">
        <f>IFERROR(__xludf.DUMMYFUNCTION("""COMPUTED_VALUE"""),4.33)</f>
        <v>4.33</v>
      </c>
      <c r="K43" s="18">
        <f>IFERROR(__xludf.DUMMYFUNCTION("""COMPUTED_VALUE"""),5.41)</f>
        <v>5.41</v>
      </c>
      <c r="L43" s="18">
        <f>IFERROR(__xludf.DUMMYFUNCTION("""COMPUTED_VALUE"""),8.65)</f>
        <v>8.65</v>
      </c>
    </row>
    <row r="44">
      <c r="A44" s="13" t="str">
        <f>IFERROR(__xludf.DUMMYFUNCTION("""COMPUTED_VALUE"""),"товари")</f>
        <v>товари</v>
      </c>
      <c r="B44" s="13" t="str">
        <f>IFERROR(__xludf.DUMMYFUNCTION("""COMPUTED_VALUE"""),"безпека та захист")</f>
        <v>безпека та захист</v>
      </c>
      <c r="C44" s="15" t="str">
        <f>IFERROR(__xludf.DUMMYFUNCTION("""COMPUTED_VALUE"""),"засоби і системи сккд")</f>
        <v>засоби і системи сккд</v>
      </c>
      <c r="D44" s="15" t="str">
        <f>IFERROR(__xludf.DUMMYFUNCTION("""COMPUTED_VALUE"""),"захисні огородження")</f>
        <v>захисні огородження</v>
      </c>
      <c r="E44" s="15" t="str">
        <f>IFERROR(__xludf.DUMMYFUNCTION("""COMPUTED_VALUE"""),"захисні огородження")</f>
        <v>захисні огородження</v>
      </c>
      <c r="F44" s="17">
        <f>IFERROR(__xludf.DUMMYFUNCTION("""COMPUTED_VALUE"""),3.0)</f>
        <v>3</v>
      </c>
      <c r="G44" s="17">
        <f>IFERROR(__xludf.DUMMYFUNCTION("""COMPUTED_VALUE"""),301309.0)</f>
        <v>301309</v>
      </c>
      <c r="H44" s="17" t="str">
        <f>IFERROR(__xludf.DUMMYFUNCTION("""COMPUTED_VALUE"""),"захисні огородження")</f>
        <v>захисні огородження</v>
      </c>
      <c r="I44" s="18">
        <f>IFERROR(__xludf.DUMMYFUNCTION("""COMPUTED_VALUE"""),1.13)</f>
        <v>1.13</v>
      </c>
      <c r="J44" s="18">
        <f>IFERROR(__xludf.DUMMYFUNCTION("""COMPUTED_VALUE"""),2.25)</f>
        <v>2.25</v>
      </c>
      <c r="K44" s="18">
        <f>IFERROR(__xludf.DUMMYFUNCTION("""COMPUTED_VALUE"""),2.81)</f>
        <v>2.81</v>
      </c>
      <c r="L44" s="18">
        <f>IFERROR(__xludf.DUMMYFUNCTION("""COMPUTED_VALUE"""),4.5)</f>
        <v>4.5</v>
      </c>
    </row>
    <row r="45">
      <c r="A45" s="13" t="str">
        <f>IFERROR(__xludf.DUMMYFUNCTION("""COMPUTED_VALUE"""),"товари")</f>
        <v>товари</v>
      </c>
      <c r="B45" s="13" t="str">
        <f>IFERROR(__xludf.DUMMYFUNCTION("""COMPUTED_VALUE"""),"безпека та захист")</f>
        <v>безпека та захист</v>
      </c>
      <c r="C45" s="15" t="str">
        <f>IFERROR(__xludf.DUMMYFUNCTION("""COMPUTED_VALUE"""),"захисні споруди цивільного захисту")</f>
        <v>захисні споруди цивільного захисту</v>
      </c>
      <c r="D45" s="15" t="str">
        <f>IFERROR(__xludf.DUMMYFUNCTION("""COMPUTED_VALUE"""),"захисні споруди цивільного захисту")</f>
        <v>захисні споруди цивільного захисту</v>
      </c>
      <c r="E45" s="15" t="str">
        <f>IFERROR(__xludf.DUMMYFUNCTION("""COMPUTED_VALUE"""),"захисні споруди цивільного захисту")</f>
        <v>захисні споруди цивільного захисту</v>
      </c>
      <c r="F45" s="17">
        <f>IFERROR(__xludf.DUMMYFUNCTION("""COMPUTED_VALUE"""),2.0)</f>
        <v>2</v>
      </c>
      <c r="G45" s="17">
        <f>IFERROR(__xludf.DUMMYFUNCTION("""COMPUTED_VALUE"""),3028.0)</f>
        <v>3028</v>
      </c>
      <c r="H45" s="17" t="str">
        <f>IFERROR(__xludf.DUMMYFUNCTION("""COMPUTED_VALUE"""),"захисні споруди цивільного захисту")</f>
        <v>захисні споруди цивільного захисту</v>
      </c>
      <c r="I45" s="18">
        <f>IFERROR(__xludf.DUMMYFUNCTION("""COMPUTED_VALUE"""),0.86)</f>
        <v>0.86</v>
      </c>
      <c r="J45" s="18">
        <f>IFERROR(__xludf.DUMMYFUNCTION("""COMPUTED_VALUE"""),1.71)</f>
        <v>1.71</v>
      </c>
      <c r="K45" s="18">
        <f>IFERROR(__xludf.DUMMYFUNCTION("""COMPUTED_VALUE"""),2.14)</f>
        <v>2.14</v>
      </c>
      <c r="L45" s="18">
        <f>IFERROR(__xludf.DUMMYFUNCTION("""COMPUTED_VALUE"""),3.43)</f>
        <v>3.43</v>
      </c>
    </row>
    <row r="46">
      <c r="A46" s="13" t="str">
        <f>IFERROR(__xludf.DUMMYFUNCTION("""COMPUTED_VALUE"""),"товари")</f>
        <v>товари</v>
      </c>
      <c r="B46" s="13" t="str">
        <f>IFERROR(__xludf.DUMMYFUNCTION("""COMPUTED_VALUE"""),"безпека та захист")</f>
        <v>безпека та захист</v>
      </c>
      <c r="C46" s="15" t="str">
        <f>IFERROR(__xludf.DUMMYFUNCTION("""COMPUTED_VALUE"""),"захист промислового обладнання")</f>
        <v>захист промислового обладнання</v>
      </c>
      <c r="D46" s="15" t="str">
        <f>IFERROR(__xludf.DUMMYFUNCTION("""COMPUTED_VALUE"""),"захист промислового обладнання, загальне")</f>
        <v>захист промислового обладнання, загальне</v>
      </c>
      <c r="E46" s="15" t="str">
        <f>IFERROR(__xludf.DUMMYFUNCTION("""COMPUTED_VALUE"""),"захист промислового обладнання, загальне")</f>
        <v>захист промислового обладнання, загальне</v>
      </c>
      <c r="F46" s="17">
        <f>IFERROR(__xludf.DUMMYFUNCTION("""COMPUTED_VALUE"""),3.0)</f>
        <v>3</v>
      </c>
      <c r="G46" s="17">
        <f>IFERROR(__xludf.DUMMYFUNCTION("""COMPUTED_VALUE"""),302701.0)</f>
        <v>302701</v>
      </c>
      <c r="H46" s="17" t="str">
        <f>IFERROR(__xludf.DUMMYFUNCTION("""COMPUTED_VALUE"""),"захист промислового обладнання, загальне")</f>
        <v>захист промислового обладнання, загальне</v>
      </c>
      <c r="I46" s="18">
        <f>IFERROR(__xludf.DUMMYFUNCTION("""COMPUTED_VALUE"""),2.16)</f>
        <v>2.16</v>
      </c>
      <c r="J46" s="18">
        <f>IFERROR(__xludf.DUMMYFUNCTION("""COMPUTED_VALUE"""),4.33)</f>
        <v>4.33</v>
      </c>
      <c r="K46" s="18">
        <f>IFERROR(__xludf.DUMMYFUNCTION("""COMPUTED_VALUE"""),5.41)</f>
        <v>5.41</v>
      </c>
      <c r="L46" s="18">
        <f>IFERROR(__xludf.DUMMYFUNCTION("""COMPUTED_VALUE"""),8.65)</f>
        <v>8.65</v>
      </c>
    </row>
    <row r="47">
      <c r="A47" s="13" t="str">
        <f>IFERROR(__xludf.DUMMYFUNCTION("""COMPUTED_VALUE"""),"товари")</f>
        <v>товари</v>
      </c>
      <c r="B47" s="13" t="str">
        <f>IFERROR(__xludf.DUMMYFUNCTION("""COMPUTED_VALUE"""),"безпека та захист")</f>
        <v>безпека та захист</v>
      </c>
      <c r="C47" s="15" t="str">
        <f>IFERROR(__xludf.DUMMYFUNCTION("""COMPUTED_VALUE"""),"системи охорони та оповіщення")</f>
        <v>системи охорони та оповіщення</v>
      </c>
      <c r="D47" s="15" t="str">
        <f>IFERROR(__xludf.DUMMYFUNCTION("""COMPUTED_VALUE"""),"знімачі та деактиватори")</f>
        <v>знімачі та деактиватори</v>
      </c>
      <c r="E47" s="15" t="str">
        <f>IFERROR(__xludf.DUMMYFUNCTION("""COMPUTED_VALUE"""),"знімачі та деактиватори")</f>
        <v>знімачі та деактиватори</v>
      </c>
      <c r="F47" s="17">
        <f>IFERROR(__xludf.DUMMYFUNCTION("""COMPUTED_VALUE"""),3.0)</f>
        <v>3</v>
      </c>
      <c r="G47" s="17">
        <f>IFERROR(__xludf.DUMMYFUNCTION("""COMPUTED_VALUE"""),300423.0)</f>
        <v>300423</v>
      </c>
      <c r="H47" s="17" t="str">
        <f>IFERROR(__xludf.DUMMYFUNCTION("""COMPUTED_VALUE"""),"знімачі та деактиватори")</f>
        <v>знімачі та деактиватори</v>
      </c>
      <c r="I47" s="18">
        <f>IFERROR(__xludf.DUMMYFUNCTION("""COMPUTED_VALUE"""),1.04)</f>
        <v>1.04</v>
      </c>
      <c r="J47" s="18">
        <f>IFERROR(__xludf.DUMMYFUNCTION("""COMPUTED_VALUE"""),2.08)</f>
        <v>2.08</v>
      </c>
      <c r="K47" s="18">
        <f>IFERROR(__xludf.DUMMYFUNCTION("""COMPUTED_VALUE"""),2.59)</f>
        <v>2.59</v>
      </c>
      <c r="L47" s="18">
        <f>IFERROR(__xludf.DUMMYFUNCTION("""COMPUTED_VALUE"""),4.15)</f>
        <v>4.15</v>
      </c>
    </row>
    <row r="48">
      <c r="A48" s="13" t="str">
        <f>IFERROR(__xludf.DUMMYFUNCTION("""COMPUTED_VALUE"""),"товари")</f>
        <v>товари</v>
      </c>
      <c r="B48" s="13" t="str">
        <f>IFERROR(__xludf.DUMMYFUNCTION("""COMPUTED_VALUE"""),"безпека та захист")</f>
        <v>безпека та захист</v>
      </c>
      <c r="C48" s="15" t="str">
        <f>IFERROR(__xludf.DUMMYFUNCTION("""COMPUTED_VALUE"""),"системи і засоби пожежної безпеки")</f>
        <v>системи і засоби пожежної безпеки</v>
      </c>
      <c r="D48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48" s="15" t="str">
        <f>IFERROR(__xludf.DUMMYFUNCTION("""COMPUTED_VALUE"""),"зрошувачі пожежні")</f>
        <v>зрошувачі пожежні</v>
      </c>
      <c r="F48" s="17">
        <f>IFERROR(__xludf.DUMMYFUNCTION("""COMPUTED_VALUE"""),4.0)</f>
        <v>4</v>
      </c>
      <c r="G48" s="17">
        <f>IFERROR(__xludf.DUMMYFUNCTION("""COMPUTED_VALUE"""),300929.0)</f>
        <v>300929</v>
      </c>
      <c r="H48" s="17" t="str">
        <f>IFERROR(__xludf.DUMMYFUNCTION("""COMPUTED_VALUE"""),"зрошувачі пожежні")</f>
        <v>зрошувачі пожежні</v>
      </c>
      <c r="I48" s="18">
        <f>IFERROR(__xludf.DUMMYFUNCTION("""COMPUTED_VALUE"""),1.66)</f>
        <v>1.66</v>
      </c>
      <c r="J48" s="18">
        <f>IFERROR(__xludf.DUMMYFUNCTION("""COMPUTED_VALUE"""),3.33)</f>
        <v>3.33</v>
      </c>
      <c r="K48" s="18">
        <f>IFERROR(__xludf.DUMMYFUNCTION("""COMPUTED_VALUE"""),4.16)</f>
        <v>4.16</v>
      </c>
      <c r="L48" s="18">
        <f>IFERROR(__xludf.DUMMYFUNCTION("""COMPUTED_VALUE"""),6.65)</f>
        <v>6.65</v>
      </c>
    </row>
    <row r="49">
      <c r="A49" s="13" t="str">
        <f>IFERROR(__xludf.DUMMYFUNCTION("""COMPUTED_VALUE"""),"товари")</f>
        <v>товари</v>
      </c>
      <c r="B49" s="13" t="str">
        <f>IFERROR(__xludf.DUMMYFUNCTION("""COMPUTED_VALUE"""),"безпека та захист")</f>
        <v>безпека та захист</v>
      </c>
      <c r="C49" s="15" t="str">
        <f>IFERROR(__xludf.DUMMYFUNCTION("""COMPUTED_VALUE"""),"засоби і системи сккд")</f>
        <v>засоби і системи сккд</v>
      </c>
      <c r="D49" s="15" t="str">
        <f>IFERROR(__xludf.DUMMYFUNCTION("""COMPUTED_VALUE"""),"зчитувачі")</f>
        <v>зчитувачі</v>
      </c>
      <c r="E49" s="15" t="str">
        <f>IFERROR(__xludf.DUMMYFUNCTION("""COMPUTED_VALUE"""),"зчитувачі")</f>
        <v>зчитувачі</v>
      </c>
      <c r="F49" s="17">
        <f>IFERROR(__xludf.DUMMYFUNCTION("""COMPUTED_VALUE"""),3.0)</f>
        <v>3</v>
      </c>
      <c r="G49" s="17">
        <f>IFERROR(__xludf.DUMMYFUNCTION("""COMPUTED_VALUE"""),301311.0)</f>
        <v>301311</v>
      </c>
      <c r="H49" s="17" t="str">
        <f>IFERROR(__xludf.DUMMYFUNCTION("""COMPUTED_VALUE"""),"зчитувачі")</f>
        <v>зчитувачі</v>
      </c>
      <c r="I49" s="18">
        <f>IFERROR(__xludf.DUMMYFUNCTION("""COMPUTED_VALUE"""),1.08)</f>
        <v>1.08</v>
      </c>
      <c r="J49" s="18">
        <f>IFERROR(__xludf.DUMMYFUNCTION("""COMPUTED_VALUE"""),2.16)</f>
        <v>2.16</v>
      </c>
      <c r="K49" s="18">
        <f>IFERROR(__xludf.DUMMYFUNCTION("""COMPUTED_VALUE"""),2.7)</f>
        <v>2.7</v>
      </c>
      <c r="L49" s="18">
        <f>IFERROR(__xludf.DUMMYFUNCTION("""COMPUTED_VALUE"""),4.33)</f>
        <v>4.33</v>
      </c>
    </row>
    <row r="50">
      <c r="A50" s="13" t="str">
        <f>IFERROR(__xludf.DUMMYFUNCTION("""COMPUTED_VALUE"""),"товари")</f>
        <v>товари</v>
      </c>
      <c r="B50" s="13" t="str">
        <f>IFERROR(__xludf.DUMMYFUNCTION("""COMPUTED_VALUE"""),"безпека та захист")</f>
        <v>безпека та захист</v>
      </c>
      <c r="C50" s="15" t="str">
        <f>IFERROR(__xludf.DUMMYFUNCTION("""COMPUTED_VALUE"""),"засоби і системи сккд")</f>
        <v>засоби і системи сккд</v>
      </c>
      <c r="D50" s="15" t="str">
        <f>IFERROR(__xludf.DUMMYFUNCTION("""COMPUTED_VALUE"""),"ідентифікатори")</f>
        <v>ідентифікатори</v>
      </c>
      <c r="E50" s="15" t="str">
        <f>IFERROR(__xludf.DUMMYFUNCTION("""COMPUTED_VALUE"""),"ідентифікатори")</f>
        <v>ідентифікатори</v>
      </c>
      <c r="F50" s="17">
        <f>IFERROR(__xludf.DUMMYFUNCTION("""COMPUTED_VALUE"""),3.0)</f>
        <v>3</v>
      </c>
      <c r="G50" s="17">
        <f>IFERROR(__xludf.DUMMYFUNCTION("""COMPUTED_VALUE"""),301310.0)</f>
        <v>301310</v>
      </c>
      <c r="H50" s="17" t="str">
        <f>IFERROR(__xludf.DUMMYFUNCTION("""COMPUTED_VALUE"""),"ідентифікатори")</f>
        <v>ідентифікатори</v>
      </c>
      <c r="I50" s="18">
        <f>IFERROR(__xludf.DUMMYFUNCTION("""COMPUTED_VALUE"""),1.99)</f>
        <v>1.99</v>
      </c>
      <c r="J50" s="18">
        <f>IFERROR(__xludf.DUMMYFUNCTION("""COMPUTED_VALUE"""),3.98)</f>
        <v>3.98</v>
      </c>
      <c r="K50" s="18">
        <f>IFERROR(__xludf.DUMMYFUNCTION("""COMPUTED_VALUE"""),4.97)</f>
        <v>4.97</v>
      </c>
      <c r="L50" s="18">
        <f>IFERROR(__xludf.DUMMYFUNCTION("""COMPUTED_VALUE"""),7.95)</f>
        <v>7.95</v>
      </c>
    </row>
    <row r="51">
      <c r="A51" s="13" t="str">
        <f>IFERROR(__xludf.DUMMYFUNCTION("""COMPUTED_VALUE"""),"товари")</f>
        <v>товари</v>
      </c>
      <c r="B51" s="13" t="str">
        <f>IFERROR(__xludf.DUMMYFUNCTION("""COMPUTED_VALUE"""),"безпека та захист")</f>
        <v>безпека та захист</v>
      </c>
      <c r="C51" s="15" t="str">
        <f>IFERROR(__xludf.DUMMYFUNCTION("""COMPUTED_VALUE"""),"системи охорони та оповіщення")</f>
        <v>системи охорони та оповіщення</v>
      </c>
      <c r="D51" s="15" t="str">
        <f>IFERROR(__xludf.DUMMYFUNCTION("""COMPUTED_VALUE"""),"інфрачервоні бар'єри")</f>
        <v>інфрачервоні бар'єри</v>
      </c>
      <c r="E51" s="15" t="str">
        <f>IFERROR(__xludf.DUMMYFUNCTION("""COMPUTED_VALUE"""),"інфрачервоні бар'єри")</f>
        <v>інфрачервоні бар'єри</v>
      </c>
      <c r="F51" s="17">
        <f>IFERROR(__xludf.DUMMYFUNCTION("""COMPUTED_VALUE"""),3.0)</f>
        <v>3</v>
      </c>
      <c r="G51" s="17">
        <f>IFERROR(__xludf.DUMMYFUNCTION("""COMPUTED_VALUE"""),300408.0)</f>
        <v>300408</v>
      </c>
      <c r="H51" s="17" t="str">
        <f>IFERROR(__xludf.DUMMYFUNCTION("""COMPUTED_VALUE"""),"інфрачервоні бар'єри")</f>
        <v>інфрачервоні бар'єри</v>
      </c>
      <c r="I51" s="18">
        <f>IFERROR(__xludf.DUMMYFUNCTION("""COMPUTED_VALUE"""),0.9)</f>
        <v>0.9</v>
      </c>
      <c r="J51" s="18">
        <f>IFERROR(__xludf.DUMMYFUNCTION("""COMPUTED_VALUE"""),1.8)</f>
        <v>1.8</v>
      </c>
      <c r="K51" s="18">
        <f>IFERROR(__xludf.DUMMYFUNCTION("""COMPUTED_VALUE"""),2.25)</f>
        <v>2.25</v>
      </c>
      <c r="L51" s="18">
        <f>IFERROR(__xludf.DUMMYFUNCTION("""COMPUTED_VALUE"""),3.6)</f>
        <v>3.6</v>
      </c>
    </row>
    <row r="52">
      <c r="A52" s="13" t="str">
        <f>IFERROR(__xludf.DUMMYFUNCTION("""COMPUTED_VALUE"""),"товари")</f>
        <v>товари</v>
      </c>
      <c r="B52" s="13" t="str">
        <f>IFERROR(__xludf.DUMMYFUNCTION("""COMPUTED_VALUE"""),"безпека та захист")</f>
        <v>безпека та захист</v>
      </c>
      <c r="C52" s="15" t="str">
        <f>IFERROR(__xludf.DUMMYFUNCTION("""COMPUTED_VALUE"""),"технічні засоби відеоспостереження")</f>
        <v>технічні засоби відеоспостереження</v>
      </c>
      <c r="D52" s="15" t="str">
        <f>IFERROR(__xludf.DUMMYFUNCTION("""COMPUTED_VALUE"""),"пз для відеоспостереження")</f>
        <v>пз для відеоспостереження</v>
      </c>
      <c r="E52" s="15" t="str">
        <f>IFERROR(__xludf.DUMMYFUNCTION("""COMPUTED_VALUE"""),"пз для відеоспостереження")</f>
        <v>пз для відеоспостереження</v>
      </c>
      <c r="F52" s="17">
        <f>IFERROR(__xludf.DUMMYFUNCTION("""COMPUTED_VALUE"""),3.0)</f>
        <v>3</v>
      </c>
      <c r="G52" s="17">
        <f>IFERROR(__xludf.DUMMYFUNCTION("""COMPUTED_VALUE"""),301108.0)</f>
        <v>301108</v>
      </c>
      <c r="H52" s="17" t="str">
        <f>IFERROR(__xludf.DUMMYFUNCTION("""COMPUTED_VALUE"""),"пз для відеоспостереження")</f>
        <v>пз для відеоспостереження</v>
      </c>
      <c r="I52" s="18">
        <f>IFERROR(__xludf.DUMMYFUNCTION("""COMPUTED_VALUE"""),0.76)</f>
        <v>0.76</v>
      </c>
      <c r="J52" s="18">
        <f>IFERROR(__xludf.DUMMYFUNCTION("""COMPUTED_VALUE"""),1.53)</f>
        <v>1.53</v>
      </c>
      <c r="K52" s="18">
        <f>IFERROR(__xludf.DUMMYFUNCTION("""COMPUTED_VALUE"""),1.91)</f>
        <v>1.91</v>
      </c>
      <c r="L52" s="18">
        <f>IFERROR(__xludf.DUMMYFUNCTION("""COMPUTED_VALUE"""),3.05)</f>
        <v>3.05</v>
      </c>
    </row>
    <row r="53">
      <c r="A53" s="13" t="str">
        <f>IFERROR(__xludf.DUMMYFUNCTION("""COMPUTED_VALUE"""),"товари")</f>
        <v>товари</v>
      </c>
      <c r="B53" s="13" t="str">
        <f>IFERROR(__xludf.DUMMYFUNCTION("""COMPUTED_VALUE"""),"безпека та захист")</f>
        <v>безпека та захист</v>
      </c>
      <c r="C53" s="15" t="str">
        <f>IFERROR(__xludf.DUMMYFUNCTION("""COMPUTED_VALUE"""),"системи і засоби пожежної безпеки")</f>
        <v>системи і засоби пожежної безпеки</v>
      </c>
      <c r="D53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3" s="15" t="str">
        <f>IFERROR(__xludf.DUMMYFUNCTION("""COMPUTED_VALUE"""),"підставки, фланці, трійники")</f>
        <v>підставки, фланці, трійники</v>
      </c>
      <c r="F53" s="17">
        <f>IFERROR(__xludf.DUMMYFUNCTION("""COMPUTED_VALUE"""),4.0)</f>
        <v>4</v>
      </c>
      <c r="G53" s="17">
        <f>IFERROR(__xludf.DUMMYFUNCTION("""COMPUTED_VALUE"""),300928.0)</f>
        <v>300928</v>
      </c>
      <c r="H53" s="17" t="str">
        <f>IFERROR(__xludf.DUMMYFUNCTION("""COMPUTED_VALUE"""),"підставки, фланці, трійники")</f>
        <v>підставки, фланці, трійники</v>
      </c>
      <c r="I53" s="18">
        <f>IFERROR(__xludf.DUMMYFUNCTION("""COMPUTED_VALUE"""),1.66)</f>
        <v>1.66</v>
      </c>
      <c r="J53" s="18">
        <f>IFERROR(__xludf.DUMMYFUNCTION("""COMPUTED_VALUE"""),3.33)</f>
        <v>3.33</v>
      </c>
      <c r="K53" s="18">
        <f>IFERROR(__xludf.DUMMYFUNCTION("""COMPUTED_VALUE"""),4.16)</f>
        <v>4.16</v>
      </c>
      <c r="L53" s="18">
        <f>IFERROR(__xludf.DUMMYFUNCTION("""COMPUTED_VALUE"""),6.65)</f>
        <v>6.65</v>
      </c>
    </row>
    <row r="54">
      <c r="A54" s="13" t="str">
        <f>IFERROR(__xludf.DUMMYFUNCTION("""COMPUTED_VALUE"""),"товари")</f>
        <v>товари</v>
      </c>
      <c r="B54" s="13" t="str">
        <f>IFERROR(__xludf.DUMMYFUNCTION("""COMPUTED_VALUE"""),"безпека та захист")</f>
        <v>безпека та захист</v>
      </c>
      <c r="C54" s="15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4" s="15" t="str">
        <f>IFERROR(__xludf.DUMMYFUNCTION("""COMPUTED_VALUE"""),"пломби та пломбіратори")</f>
        <v>пломби та пломбіратори</v>
      </c>
      <c r="E54" s="15" t="str">
        <f>IFERROR(__xludf.DUMMYFUNCTION("""COMPUTED_VALUE"""),"пломби і пломбіратори, загальне")</f>
        <v>пломби і пломбіратори, загальне</v>
      </c>
      <c r="F54" s="17">
        <f>IFERROR(__xludf.DUMMYFUNCTION("""COMPUTED_VALUE"""),4.0)</f>
        <v>4</v>
      </c>
      <c r="G54" s="17">
        <f>IFERROR(__xludf.DUMMYFUNCTION("""COMPUTED_VALUE"""),302005.0)</f>
        <v>302005</v>
      </c>
      <c r="H54" s="17" t="str">
        <f>IFERROR(__xludf.DUMMYFUNCTION("""COMPUTED_VALUE"""),"пломби і пломбіратори, загальне")</f>
        <v>пломби і пломбіратори, загальне</v>
      </c>
      <c r="I54" s="18">
        <f>IFERROR(__xludf.DUMMYFUNCTION("""COMPUTED_VALUE"""),2.16)</f>
        <v>2.16</v>
      </c>
      <c r="J54" s="18">
        <f>IFERROR(__xludf.DUMMYFUNCTION("""COMPUTED_VALUE"""),4.33)</f>
        <v>4.33</v>
      </c>
      <c r="K54" s="18">
        <f>IFERROR(__xludf.DUMMYFUNCTION("""COMPUTED_VALUE"""),5.41)</f>
        <v>5.41</v>
      </c>
      <c r="L54" s="18">
        <f>IFERROR(__xludf.DUMMYFUNCTION("""COMPUTED_VALUE"""),8.65)</f>
        <v>8.65</v>
      </c>
    </row>
    <row r="55">
      <c r="A55" s="13" t="str">
        <f>IFERROR(__xludf.DUMMYFUNCTION("""COMPUTED_VALUE"""),"товари")</f>
        <v>товари</v>
      </c>
      <c r="B55" s="13" t="str">
        <f>IFERROR(__xludf.DUMMYFUNCTION("""COMPUTED_VALUE"""),"безпека та захист")</f>
        <v>безпека та захист</v>
      </c>
      <c r="C55" s="15" t="str">
        <f>IFERROR(__xludf.DUMMYFUNCTION("""COMPUTED_VALUE"""),"системи і засоби пожежної безпеки")</f>
        <v>системи і засоби пожежної безпеки</v>
      </c>
      <c r="D55" s="15" t="str">
        <f>IFERROR(__xludf.DUMMYFUNCTION("""COMPUTED_VALUE"""),"пожежна автоматика")</f>
        <v>пожежна автоматика</v>
      </c>
      <c r="E55" s="15" t="str">
        <f>IFERROR(__xludf.DUMMYFUNCTION("""COMPUTED_VALUE"""),"пожежні сповіщувачі")</f>
        <v>пожежні сповіщувачі</v>
      </c>
      <c r="F55" s="17">
        <f>IFERROR(__xludf.DUMMYFUNCTION("""COMPUTED_VALUE"""),4.0)</f>
        <v>4</v>
      </c>
      <c r="G55" s="17">
        <f>IFERROR(__xludf.DUMMYFUNCTION("""COMPUTED_VALUE"""),300921.0)</f>
        <v>300921</v>
      </c>
      <c r="H55" s="17" t="str">
        <f>IFERROR(__xludf.DUMMYFUNCTION("""COMPUTED_VALUE"""),"пожежні сповіщувачі")</f>
        <v>пожежні сповіщувачі</v>
      </c>
      <c r="I55" s="18">
        <f>IFERROR(__xludf.DUMMYFUNCTION("""COMPUTED_VALUE"""),0.86)</f>
        <v>0.86</v>
      </c>
      <c r="J55" s="18">
        <f>IFERROR(__xludf.DUMMYFUNCTION("""COMPUTED_VALUE"""),1.71)</f>
        <v>1.71</v>
      </c>
      <c r="K55" s="18">
        <f>IFERROR(__xludf.DUMMYFUNCTION("""COMPUTED_VALUE"""),2.14)</f>
        <v>2.14</v>
      </c>
      <c r="L55" s="18">
        <f>IFERROR(__xludf.DUMMYFUNCTION("""COMPUTED_VALUE"""),3.43)</f>
        <v>3.43</v>
      </c>
    </row>
    <row r="56">
      <c r="A56" s="13" t="str">
        <f>IFERROR(__xludf.DUMMYFUNCTION("""COMPUTED_VALUE"""),"товари")</f>
        <v>товари</v>
      </c>
      <c r="B56" s="13" t="str">
        <f>IFERROR(__xludf.DUMMYFUNCTION("""COMPUTED_VALUE"""),"безпека та захист")</f>
        <v>безпека та захист</v>
      </c>
      <c r="C56" s="15" t="str">
        <f>IFERROR(__xludf.DUMMYFUNCTION("""COMPUTED_VALUE"""),"системи охорони та оповіщення")</f>
        <v>системи охорони та оповіщення</v>
      </c>
      <c r="D56" s="15" t="str">
        <f>IFERROR(__xludf.DUMMYFUNCTION("""COMPUTED_VALUE"""),"приймально-контрольні прилади і прилади управління")</f>
        <v>приймально-контрольні прилади і прилади управління</v>
      </c>
      <c r="E56" s="15" t="str">
        <f>IFERROR(__xludf.DUMMYFUNCTION("""COMPUTED_VALUE"""),"приймально-контрольні прилади і прилади управління")</f>
        <v>приймально-контрольні прилади і прилади управління</v>
      </c>
      <c r="F56" s="17">
        <f>IFERROR(__xludf.DUMMYFUNCTION("""COMPUTED_VALUE"""),3.0)</f>
        <v>3</v>
      </c>
      <c r="G56" s="17">
        <f>IFERROR(__xludf.DUMMYFUNCTION("""COMPUTED_VALUE"""),302303.0)</f>
        <v>302303</v>
      </c>
      <c r="H56" s="17" t="str">
        <f>IFERROR(__xludf.DUMMYFUNCTION("""COMPUTED_VALUE"""),"приймально-контрольні прилади і прилади управління")</f>
        <v>приймально-контрольні прилади і прилади управління</v>
      </c>
      <c r="I56" s="18">
        <f>IFERROR(__xludf.DUMMYFUNCTION("""COMPUTED_VALUE"""),1.58)</f>
        <v>1.58</v>
      </c>
      <c r="J56" s="18">
        <f>IFERROR(__xludf.DUMMYFUNCTION("""COMPUTED_VALUE"""),3.15)</f>
        <v>3.15</v>
      </c>
      <c r="K56" s="18">
        <f>IFERROR(__xludf.DUMMYFUNCTION("""COMPUTED_VALUE"""),3.94)</f>
        <v>3.94</v>
      </c>
      <c r="L56" s="18">
        <f>IFERROR(__xludf.DUMMYFUNCTION("""COMPUTED_VALUE"""),6.3)</f>
        <v>6.3</v>
      </c>
    </row>
    <row r="57">
      <c r="A57" s="13" t="str">
        <f>IFERROR(__xludf.DUMMYFUNCTION("""COMPUTED_VALUE"""),"товари")</f>
        <v>товари</v>
      </c>
      <c r="B57" s="13" t="str">
        <f>IFERROR(__xludf.DUMMYFUNCTION("""COMPUTED_VALUE"""),"безпека та захист")</f>
        <v>безпека та захист</v>
      </c>
      <c r="C57" s="15" t="str">
        <f>IFERROR(__xludf.DUMMYFUNCTION("""COMPUTED_VALUE"""),"технічні засоби відеоспостереження")</f>
        <v>технічні засоби відеоспостереження</v>
      </c>
      <c r="D57" s="15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57" s="15" t="str">
        <f>IFERROR(__xludf.DUMMYFUNCTION("""COMPUTED_VALUE"""),"пульти для систем відеоспостереження")</f>
        <v>пульти для систем відеоспостереження</v>
      </c>
      <c r="F57" s="17">
        <f>IFERROR(__xludf.DUMMYFUNCTION("""COMPUTED_VALUE"""),4.0)</f>
        <v>4</v>
      </c>
      <c r="G57" s="17">
        <f>IFERROR(__xludf.DUMMYFUNCTION("""COMPUTED_VALUE"""),301110.0)</f>
        <v>301110</v>
      </c>
      <c r="H57" s="17" t="str">
        <f>IFERROR(__xludf.DUMMYFUNCTION("""COMPUTED_VALUE"""),"пульти для систем відеоспостереження")</f>
        <v>пульти для систем відеоспостереження</v>
      </c>
      <c r="I57" s="18">
        <f>IFERROR(__xludf.DUMMYFUNCTION("""COMPUTED_VALUE"""),0.53)</f>
        <v>0.53</v>
      </c>
      <c r="J57" s="18">
        <f>IFERROR(__xludf.DUMMYFUNCTION("""COMPUTED_VALUE"""),1.05)</f>
        <v>1.05</v>
      </c>
      <c r="K57" s="18">
        <f>IFERROR(__xludf.DUMMYFUNCTION("""COMPUTED_VALUE"""),1.31)</f>
        <v>1.31</v>
      </c>
      <c r="L57" s="18">
        <f>IFERROR(__xludf.DUMMYFUNCTION("""COMPUTED_VALUE"""),2.1)</f>
        <v>2.1</v>
      </c>
    </row>
    <row r="58">
      <c r="A58" s="13" t="str">
        <f>IFERROR(__xludf.DUMMYFUNCTION("""COMPUTED_VALUE"""),"товари")</f>
        <v>товари</v>
      </c>
      <c r="B58" s="13" t="str">
        <f>IFERROR(__xludf.DUMMYFUNCTION("""COMPUTED_VALUE"""),"безпека та захист")</f>
        <v>безпека та захист</v>
      </c>
      <c r="C58" s="15" t="str">
        <f>IFERROR(__xludf.DUMMYFUNCTION("""COMPUTED_VALUE"""),"засоби і системи сккд")</f>
        <v>засоби і системи сккд</v>
      </c>
      <c r="D58" s="15" t="str">
        <f>IFERROR(__xludf.DUMMYFUNCTION("""COMPUTED_VALUE"""),"системи контролю робочого часу")</f>
        <v>системи контролю робочого часу</v>
      </c>
      <c r="E58" s="15" t="str">
        <f>IFERROR(__xludf.DUMMYFUNCTION("""COMPUTED_VALUE"""),"системи контролю робочого часу")</f>
        <v>системи контролю робочого часу</v>
      </c>
      <c r="F58" s="17">
        <f>IFERROR(__xludf.DUMMYFUNCTION("""COMPUTED_VALUE"""),3.0)</f>
        <v>3</v>
      </c>
      <c r="G58" s="17">
        <f>IFERROR(__xludf.DUMMYFUNCTION("""COMPUTED_VALUE"""),2106.0)</f>
        <v>2106</v>
      </c>
      <c r="H58" s="17" t="str">
        <f>IFERROR(__xludf.DUMMYFUNCTION("""COMPUTED_VALUE"""),"системи контролю робочого часу")</f>
        <v>системи контролю робочого часу</v>
      </c>
      <c r="I58" s="18">
        <f>IFERROR(__xludf.DUMMYFUNCTION("""COMPUTED_VALUE"""),1.26)</f>
        <v>1.26</v>
      </c>
      <c r="J58" s="18">
        <f>IFERROR(__xludf.DUMMYFUNCTION("""COMPUTED_VALUE"""),2.53)</f>
        <v>2.53</v>
      </c>
      <c r="K58" s="18">
        <f>IFERROR(__xludf.DUMMYFUNCTION("""COMPUTED_VALUE"""),3.16)</f>
        <v>3.16</v>
      </c>
      <c r="L58" s="18">
        <f>IFERROR(__xludf.DUMMYFUNCTION("""COMPUTED_VALUE"""),5.05)</f>
        <v>5.05</v>
      </c>
    </row>
    <row r="59">
      <c r="A59" s="13" t="str">
        <f>IFERROR(__xludf.DUMMYFUNCTION("""COMPUTED_VALUE"""),"товари")</f>
        <v>товари</v>
      </c>
      <c r="B59" s="13" t="str">
        <f>IFERROR(__xludf.DUMMYFUNCTION("""COMPUTED_VALUE"""),"безпека та захист")</f>
        <v>безпека та захист</v>
      </c>
      <c r="C59" s="15" t="str">
        <f>IFERROR(__xludf.DUMMYFUNCTION("""COMPUTED_VALUE"""),"засоби і системи сккд")</f>
        <v>засоби і системи сккд</v>
      </c>
      <c r="D59" s="15" t="str">
        <f>IFERROR(__xludf.DUMMYFUNCTION("""COMPUTED_VALUE"""),"системи обліку відвідувачів")</f>
        <v>системи обліку відвідувачів</v>
      </c>
      <c r="E59" s="15" t="str">
        <f>IFERROR(__xludf.DUMMYFUNCTION("""COMPUTED_VALUE"""),"системи обліку відвідувачів")</f>
        <v>системи обліку відвідувачів</v>
      </c>
      <c r="F59" s="17">
        <f>IFERROR(__xludf.DUMMYFUNCTION("""COMPUTED_VALUE"""),3.0)</f>
        <v>3</v>
      </c>
      <c r="G59" s="17">
        <f>IFERROR(__xludf.DUMMYFUNCTION("""COMPUTED_VALUE"""),301303.0)</f>
        <v>301303</v>
      </c>
      <c r="H59" s="17" t="str">
        <f>IFERROR(__xludf.DUMMYFUNCTION("""COMPUTED_VALUE"""),"системи обліку відвідувачів")</f>
        <v>системи обліку відвідувачів</v>
      </c>
      <c r="I59" s="18">
        <f>IFERROR(__xludf.DUMMYFUNCTION("""COMPUTED_VALUE"""),2.7)</f>
        <v>2.7</v>
      </c>
      <c r="J59" s="18">
        <f>IFERROR(__xludf.DUMMYFUNCTION("""COMPUTED_VALUE"""),5.4)</f>
        <v>5.4</v>
      </c>
      <c r="K59" s="18">
        <f>IFERROR(__xludf.DUMMYFUNCTION("""COMPUTED_VALUE"""),6.75)</f>
        <v>6.75</v>
      </c>
      <c r="L59" s="18">
        <f>IFERROR(__xludf.DUMMYFUNCTION("""COMPUTED_VALUE"""),10.8)</f>
        <v>10.8</v>
      </c>
    </row>
    <row r="60">
      <c r="A60" s="13" t="str">
        <f>IFERROR(__xludf.DUMMYFUNCTION("""COMPUTED_VALUE"""),"товари")</f>
        <v>товари</v>
      </c>
      <c r="B60" s="13" t="str">
        <f>IFERROR(__xludf.DUMMYFUNCTION("""COMPUTED_VALUE"""),"безпека та захист")</f>
        <v>безпека та захист</v>
      </c>
      <c r="C60" s="15" t="str">
        <f>IFERROR(__xludf.DUMMYFUNCTION("""COMPUTED_VALUE"""),"засоби і системи сккд")</f>
        <v>засоби і системи сккд</v>
      </c>
      <c r="D60" s="15" t="str">
        <f>IFERROR(__xludf.DUMMYFUNCTION("""COMPUTED_VALUE"""),"системи сквд")</f>
        <v>системи сквд</v>
      </c>
      <c r="E60" s="15" t="str">
        <f>IFERROR(__xludf.DUMMYFUNCTION("""COMPUTED_VALUE"""),"системи сквд")</f>
        <v>системи сквд</v>
      </c>
      <c r="F60" s="17">
        <f>IFERROR(__xludf.DUMMYFUNCTION("""COMPUTED_VALUE"""),3.0)</f>
        <v>3</v>
      </c>
      <c r="G60" s="17">
        <f>IFERROR(__xludf.DUMMYFUNCTION("""COMPUTED_VALUE"""),3030.0)</f>
        <v>3030</v>
      </c>
      <c r="H60" s="17" t="str">
        <f>IFERROR(__xludf.DUMMYFUNCTION("""COMPUTED_VALUE"""),"системи сквд")</f>
        <v>системи сквд</v>
      </c>
      <c r="I60" s="18">
        <f>IFERROR(__xludf.DUMMYFUNCTION("""COMPUTED_VALUE"""),2.07)</f>
        <v>2.07</v>
      </c>
      <c r="J60" s="18">
        <f>IFERROR(__xludf.DUMMYFUNCTION("""COMPUTED_VALUE"""),4.14)</f>
        <v>4.14</v>
      </c>
      <c r="K60" s="18">
        <f>IFERROR(__xludf.DUMMYFUNCTION("""COMPUTED_VALUE"""),5.17)</f>
        <v>5.17</v>
      </c>
      <c r="L60" s="18">
        <f>IFERROR(__xludf.DUMMYFUNCTION("""COMPUTED_VALUE"""),8.28)</f>
        <v>8.28</v>
      </c>
    </row>
    <row r="61">
      <c r="A61" s="13" t="str">
        <f>IFERROR(__xludf.DUMMYFUNCTION("""COMPUTED_VALUE"""),"товари")</f>
        <v>товари</v>
      </c>
      <c r="B61" s="13" t="str">
        <f>IFERROR(__xludf.DUMMYFUNCTION("""COMPUTED_VALUE"""),"безпека та захист")</f>
        <v>безпека та захист</v>
      </c>
      <c r="C61" s="15" t="str">
        <f>IFERROR(__xludf.DUMMYFUNCTION("""COMPUTED_VALUE"""),"спеціальні технічні засоби")</f>
        <v>спеціальні технічні засоби</v>
      </c>
      <c r="D61" s="15" t="str">
        <f>IFERROR(__xludf.DUMMYFUNCTION("""COMPUTED_VALUE"""),"спеціальні технічні засоби, загальне")</f>
        <v>спеціальні технічні засоби, загальне</v>
      </c>
      <c r="E61" s="15" t="str">
        <f>IFERROR(__xludf.DUMMYFUNCTION("""COMPUTED_VALUE"""),"спеціальні технічні засоби, загальне")</f>
        <v>спеціальні технічні засоби, загальне</v>
      </c>
      <c r="F61" s="17">
        <f>IFERROR(__xludf.DUMMYFUNCTION("""COMPUTED_VALUE"""),3.0)</f>
        <v>3</v>
      </c>
      <c r="G61" s="17">
        <f>IFERROR(__xludf.DUMMYFUNCTION("""COMPUTED_VALUE"""),302501.0)</f>
        <v>302501</v>
      </c>
      <c r="H61" s="17" t="str">
        <f>IFERROR(__xludf.DUMMYFUNCTION("""COMPUTED_VALUE"""),"спеціальні технічні засоби, загальне")</f>
        <v>спеціальні технічні засоби, загальне</v>
      </c>
      <c r="I61" s="18">
        <f>IFERROR(__xludf.DUMMYFUNCTION("""COMPUTED_VALUE"""),2.16)</f>
        <v>2.16</v>
      </c>
      <c r="J61" s="18">
        <f>IFERROR(__xludf.DUMMYFUNCTION("""COMPUTED_VALUE"""),4.33)</f>
        <v>4.33</v>
      </c>
      <c r="K61" s="18">
        <f>IFERROR(__xludf.DUMMYFUNCTION("""COMPUTED_VALUE"""),5.41)</f>
        <v>5.41</v>
      </c>
      <c r="L61" s="18">
        <f>IFERROR(__xludf.DUMMYFUNCTION("""COMPUTED_VALUE"""),8.65)</f>
        <v>8.65</v>
      </c>
    </row>
    <row r="62">
      <c r="A62" s="13" t="str">
        <f>IFERROR(__xludf.DUMMYFUNCTION("""COMPUTED_VALUE"""),"товари")</f>
        <v>товари</v>
      </c>
      <c r="B62" s="13" t="str">
        <f>IFERROR(__xludf.DUMMYFUNCTION("""COMPUTED_VALUE"""),"безпека та захист")</f>
        <v>безпека та захист</v>
      </c>
      <c r="C62" s="15" t="str">
        <f>IFERROR(__xludf.DUMMYFUNCTION("""COMPUTED_VALUE"""),"системи і засоби пожежної безпеки")</f>
        <v>системи і засоби пожежної безпеки</v>
      </c>
      <c r="D62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62" s="15" t="str">
        <f>IFERROR(__xludf.DUMMYFUNCTION("""COMPUTED_VALUE"""),"стовбури пожежні")</f>
        <v>стовбури пожежні</v>
      </c>
      <c r="F62" s="17">
        <f>IFERROR(__xludf.DUMMYFUNCTION("""COMPUTED_VALUE"""),4.0)</f>
        <v>4</v>
      </c>
      <c r="G62" s="17">
        <f>IFERROR(__xludf.DUMMYFUNCTION("""COMPUTED_VALUE"""),300927.0)</f>
        <v>300927</v>
      </c>
      <c r="H62" s="17" t="str">
        <f>IFERROR(__xludf.DUMMYFUNCTION("""COMPUTED_VALUE"""),"стовбури пожежні")</f>
        <v>стовбури пожежні</v>
      </c>
      <c r="I62" s="18">
        <f>IFERROR(__xludf.DUMMYFUNCTION("""COMPUTED_VALUE"""),1.66)</f>
        <v>1.66</v>
      </c>
      <c r="J62" s="18">
        <f>IFERROR(__xludf.DUMMYFUNCTION("""COMPUTED_VALUE"""),3.33)</f>
        <v>3.33</v>
      </c>
      <c r="K62" s="18">
        <f>IFERROR(__xludf.DUMMYFUNCTION("""COMPUTED_VALUE"""),4.16)</f>
        <v>4.16</v>
      </c>
      <c r="L62" s="18">
        <f>IFERROR(__xludf.DUMMYFUNCTION("""COMPUTED_VALUE"""),6.65)</f>
        <v>6.65</v>
      </c>
    </row>
    <row r="63">
      <c r="A63" s="13" t="str">
        <f>IFERROR(__xludf.DUMMYFUNCTION("""COMPUTED_VALUE"""),"товари")</f>
        <v>товари</v>
      </c>
      <c r="B63" s="13" t="str">
        <f>IFERROR(__xludf.DUMMYFUNCTION("""COMPUTED_VALUE"""),"безпека та захист")</f>
        <v>безпека та захист</v>
      </c>
      <c r="C63" s="15" t="str">
        <f>IFERROR(__xludf.DUMMYFUNCTION("""COMPUTED_VALUE"""),"засоби організації дорожнього руху")</f>
        <v>засоби організації дорожнього руху</v>
      </c>
      <c r="D63" s="15" t="str">
        <f>IFERROR(__xludf.DUMMYFUNCTION("""COMPUTED_VALUE"""),"стовпчики сигнальні")</f>
        <v>стовпчики сигнальні</v>
      </c>
      <c r="E63" s="15" t="str">
        <f>IFERROR(__xludf.DUMMYFUNCTION("""COMPUTED_VALUE"""),"стовпчики сигнальні")</f>
        <v>стовпчики сигнальні</v>
      </c>
      <c r="F63" s="17">
        <f>IFERROR(__xludf.DUMMYFUNCTION("""COMPUTED_VALUE"""),3.0)</f>
        <v>3</v>
      </c>
      <c r="G63" s="17">
        <f>IFERROR(__xludf.DUMMYFUNCTION("""COMPUTED_VALUE"""),301511.0)</f>
        <v>301511</v>
      </c>
      <c r="H63" s="17" t="str">
        <f>IFERROR(__xludf.DUMMYFUNCTION("""COMPUTED_VALUE"""),"стовпчики сигнальні")</f>
        <v>стовпчики сигнальні</v>
      </c>
      <c r="I63" s="18">
        <f>IFERROR(__xludf.DUMMYFUNCTION("""COMPUTED_VALUE"""),1.31)</f>
        <v>1.31</v>
      </c>
      <c r="J63" s="18">
        <f>IFERROR(__xludf.DUMMYFUNCTION("""COMPUTED_VALUE"""),2.61)</f>
        <v>2.61</v>
      </c>
      <c r="K63" s="18">
        <f>IFERROR(__xludf.DUMMYFUNCTION("""COMPUTED_VALUE"""),3.27)</f>
        <v>3.27</v>
      </c>
      <c r="L63" s="18">
        <f>IFERROR(__xludf.DUMMYFUNCTION("""COMPUTED_VALUE"""),5.23)</f>
        <v>5.23</v>
      </c>
    </row>
    <row r="64">
      <c r="A64" s="13" t="str">
        <f>IFERROR(__xludf.DUMMYFUNCTION("""COMPUTED_VALUE"""),"товари")</f>
        <v>товари</v>
      </c>
      <c r="B64" s="13" t="str">
        <f>IFERROR(__xludf.DUMMYFUNCTION("""COMPUTED_VALUE"""),"будівництво")</f>
        <v>будівництво</v>
      </c>
      <c r="C64" s="15" t="str">
        <f>IFERROR(__xludf.DUMMYFUNCTION("""COMPUTED_VALUE"""),"водо-, газо-, теплозабезпечення")</f>
        <v>водо-, газо-, теплозабезпечення</v>
      </c>
      <c r="D64" s="15" t="str">
        <f>IFERROR(__xludf.DUMMYFUNCTION("""COMPUTED_VALUE"""),"автоматичні регулятори")</f>
        <v>автоматичні регулятори</v>
      </c>
      <c r="E64" s="15" t="str">
        <f>IFERROR(__xludf.DUMMYFUNCTION("""COMPUTED_VALUE"""),"автоматичні регулятори, загальне")</f>
        <v>автоматичні регулятори, загальне</v>
      </c>
      <c r="F64" s="17">
        <f>IFERROR(__xludf.DUMMYFUNCTION("""COMPUTED_VALUE"""),4.0)</f>
        <v>4</v>
      </c>
      <c r="G64" s="17">
        <f>IFERROR(__xludf.DUMMYFUNCTION("""COMPUTED_VALUE"""),1.3240903E7)</f>
        <v>13240903</v>
      </c>
      <c r="H64" s="17" t="str">
        <f>IFERROR(__xludf.DUMMYFUNCTION("""COMPUTED_VALUE"""),"автоматичні регулятори, загальне")</f>
        <v>автоматичні регулятори, загальне</v>
      </c>
      <c r="I64" s="18">
        <f>IFERROR(__xludf.DUMMYFUNCTION("""COMPUTED_VALUE"""),2.16)</f>
        <v>2.16</v>
      </c>
      <c r="J64" s="18">
        <f>IFERROR(__xludf.DUMMYFUNCTION("""COMPUTED_VALUE"""),4.33)</f>
        <v>4.33</v>
      </c>
      <c r="K64" s="18">
        <f>IFERROR(__xludf.DUMMYFUNCTION("""COMPUTED_VALUE"""),5.41)</f>
        <v>5.41</v>
      </c>
      <c r="L64" s="18">
        <f>IFERROR(__xludf.DUMMYFUNCTION("""COMPUTED_VALUE"""),8.65)</f>
        <v>8.65</v>
      </c>
    </row>
    <row r="65">
      <c r="A65" s="13" t="str">
        <f>IFERROR(__xludf.DUMMYFUNCTION("""COMPUTED_VALUE"""),"товари")</f>
        <v>товари</v>
      </c>
      <c r="B65" s="13" t="str">
        <f>IFERROR(__xludf.DUMMYFUNCTION("""COMPUTED_VALUE"""),"будівництво")</f>
        <v>будівництво</v>
      </c>
      <c r="C65" s="15" t="str">
        <f>IFERROR(__xludf.DUMMYFUNCTION("""COMPUTED_VALUE"""),"водо-, газо-, теплозабезпечення")</f>
        <v>водо-, газо-, теплозабезпечення</v>
      </c>
      <c r="D65" s="15" t="str">
        <f>IFERROR(__xludf.DUMMYFUNCTION("""COMPUTED_VALUE"""),"каналізаційне обладнання")</f>
        <v>каналізаційне обладнання</v>
      </c>
      <c r="E65" s="15" t="str">
        <f>IFERROR(__xludf.DUMMYFUNCTION("""COMPUTED_VALUE"""),"автономна каналізація, септик")</f>
        <v>автономна каналізація, септик</v>
      </c>
      <c r="F65" s="17">
        <f>IFERROR(__xludf.DUMMYFUNCTION("""COMPUTED_VALUE"""),4.0)</f>
        <v>4</v>
      </c>
      <c r="G65" s="17">
        <f>IFERROR(__xludf.DUMMYFUNCTION("""COMPUTED_VALUE"""),110602.0)</f>
        <v>110602</v>
      </c>
      <c r="H65" s="17" t="str">
        <f>IFERROR(__xludf.DUMMYFUNCTION("""COMPUTED_VALUE"""),"автономна каналізація, септик")</f>
        <v>автономна каналізація, септик</v>
      </c>
      <c r="I65" s="18">
        <f>IFERROR(__xludf.DUMMYFUNCTION("""COMPUTED_VALUE"""),0.76)</f>
        <v>0.76</v>
      </c>
      <c r="J65" s="18">
        <f>IFERROR(__xludf.DUMMYFUNCTION("""COMPUTED_VALUE"""),1.53)</f>
        <v>1.53</v>
      </c>
      <c r="K65" s="18">
        <f>IFERROR(__xludf.DUMMYFUNCTION("""COMPUTED_VALUE"""),1.91)</f>
        <v>1.91</v>
      </c>
      <c r="L65" s="18">
        <f>IFERROR(__xludf.DUMMYFUNCTION("""COMPUTED_VALUE"""),3.05)</f>
        <v>3.05</v>
      </c>
    </row>
    <row r="66">
      <c r="A66" s="13" t="str">
        <f>IFERROR(__xludf.DUMMYFUNCTION("""COMPUTED_VALUE"""),"товари")</f>
        <v>товари</v>
      </c>
      <c r="B66" s="13" t="str">
        <f>IFERROR(__xludf.DUMMYFUNCTION("""COMPUTED_VALUE"""),"будівництво")</f>
        <v>будівництво</v>
      </c>
      <c r="C66" s="15" t="str">
        <f>IFERROR(__xludf.DUMMYFUNCTION("""COMPUTED_VALUE"""),"будівельна техніка та обладнання")</f>
        <v>будівельна техніка та обладнання</v>
      </c>
      <c r="D66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66" s="15" t="str">
        <f>IFERROR(__xludf.DUMMYFUNCTION("""COMPUTED_VALUE"""),"агрегат для розмітки доріг")</f>
        <v>агрегат для розмітки доріг</v>
      </c>
      <c r="F66" s="17">
        <f>IFERROR(__xludf.DUMMYFUNCTION("""COMPUTED_VALUE"""),4.0)</f>
        <v>4</v>
      </c>
      <c r="G66" s="17">
        <f>IFERROR(__xludf.DUMMYFUNCTION("""COMPUTED_VALUE"""),1.3040404E7)</f>
        <v>13040404</v>
      </c>
      <c r="H66" s="17" t="str">
        <f>IFERROR(__xludf.DUMMYFUNCTION("""COMPUTED_VALUE"""),"агрегат для розмітки доріг")</f>
        <v>агрегат для розмітки доріг</v>
      </c>
      <c r="I66" s="18">
        <f>IFERROR(__xludf.DUMMYFUNCTION("""COMPUTED_VALUE"""),1.95)</f>
        <v>1.95</v>
      </c>
      <c r="J66" s="18">
        <f>IFERROR(__xludf.DUMMYFUNCTION("""COMPUTED_VALUE"""),3.9)</f>
        <v>3.9</v>
      </c>
      <c r="K66" s="18">
        <f>IFERROR(__xludf.DUMMYFUNCTION("""COMPUTED_VALUE"""),4.88)</f>
        <v>4.88</v>
      </c>
      <c r="L66" s="18">
        <f>IFERROR(__xludf.DUMMYFUNCTION("""COMPUTED_VALUE"""),7.8)</f>
        <v>7.8</v>
      </c>
    </row>
    <row r="67">
      <c r="A67" s="13" t="str">
        <f>IFERROR(__xludf.DUMMYFUNCTION("""COMPUTED_VALUE"""),"товари")</f>
        <v>товари</v>
      </c>
      <c r="B67" s="13" t="str">
        <f>IFERROR(__xludf.DUMMYFUNCTION("""COMPUTED_VALUE"""),"будівництво")</f>
        <v>будівництво</v>
      </c>
      <c r="C67" s="15" t="str">
        <f>IFERROR(__xludf.DUMMYFUNCTION("""COMPUTED_VALUE"""),"будівельні матеріали")</f>
        <v>будівельні матеріали</v>
      </c>
      <c r="D67" s="15" t="str">
        <f>IFERROR(__xludf.DUMMYFUNCTION("""COMPUTED_VALUE"""),"залізобетонні вироби")</f>
        <v>залізобетонні вироби</v>
      </c>
      <c r="E67" s="15" t="str">
        <f>IFERROR(__xludf.DUMMYFUNCTION("""COMPUTED_VALUE"""),"аеродромні, дорожні, тротуарні плити")</f>
        <v>аеродромні, дорожні, тротуарні плити</v>
      </c>
      <c r="F67" s="17">
        <f>IFERROR(__xludf.DUMMYFUNCTION("""COMPUTED_VALUE"""),4.0)</f>
        <v>4</v>
      </c>
      <c r="G67" s="17">
        <f>IFERROR(__xludf.DUMMYFUNCTION("""COMPUTED_VALUE"""),1.3070409E7)</f>
        <v>13070409</v>
      </c>
      <c r="H67" s="17" t="str">
        <f>IFERROR(__xludf.DUMMYFUNCTION("""COMPUTED_VALUE"""),"аеродромні, дорожні, тротуарні плити")</f>
        <v>аеродромні, дорожні, тротуарні плити</v>
      </c>
      <c r="I67" s="18">
        <f>IFERROR(__xludf.DUMMYFUNCTION("""COMPUTED_VALUE"""),2.7)</f>
        <v>2.7</v>
      </c>
      <c r="J67" s="18">
        <f>IFERROR(__xludf.DUMMYFUNCTION("""COMPUTED_VALUE"""),5.4)</f>
        <v>5.4</v>
      </c>
      <c r="K67" s="18">
        <f>IFERROR(__xludf.DUMMYFUNCTION("""COMPUTED_VALUE"""),6.75)</f>
        <v>6.75</v>
      </c>
      <c r="L67" s="18">
        <f>IFERROR(__xludf.DUMMYFUNCTION("""COMPUTED_VALUE"""),10.8)</f>
        <v>10.8</v>
      </c>
    </row>
    <row r="68">
      <c r="A68" s="13" t="str">
        <f>IFERROR(__xludf.DUMMYFUNCTION("""COMPUTED_VALUE"""),"товари")</f>
        <v>товари</v>
      </c>
      <c r="B68" s="13" t="str">
        <f>IFERROR(__xludf.DUMMYFUNCTION("""COMPUTED_VALUE"""),"будівництво")</f>
        <v>будівництво</v>
      </c>
      <c r="C68" s="15" t="str">
        <f>IFERROR(__xludf.DUMMYFUNCTION("""COMPUTED_VALUE"""),"будівельні матеріали")</f>
        <v>будівельні матеріали</v>
      </c>
      <c r="D68" s="15" t="str">
        <f>IFERROR(__xludf.DUMMYFUNCTION("""COMPUTED_VALUE"""),"сипкі матеріали")</f>
        <v>сипкі матеріали</v>
      </c>
      <c r="E68" s="15" t="str">
        <f>IFERROR(__xludf.DUMMYFUNCTION("""COMPUTED_VALUE"""),"асфальт")</f>
        <v>асфальт</v>
      </c>
      <c r="F68" s="17">
        <f>IFERROR(__xludf.DUMMYFUNCTION("""COMPUTED_VALUE"""),4.0)</f>
        <v>4</v>
      </c>
      <c r="G68" s="17">
        <f>IFERROR(__xludf.DUMMYFUNCTION("""COMPUTED_VALUE"""),1.3070602E7)</f>
        <v>13070602</v>
      </c>
      <c r="H68" s="17" t="str">
        <f>IFERROR(__xludf.DUMMYFUNCTION("""COMPUTED_VALUE"""),"асфальт")</f>
        <v>асфальт</v>
      </c>
      <c r="I68" s="18">
        <f>IFERROR(__xludf.DUMMYFUNCTION("""COMPUTED_VALUE"""),2.7)</f>
        <v>2.7</v>
      </c>
      <c r="J68" s="18">
        <f>IFERROR(__xludf.DUMMYFUNCTION("""COMPUTED_VALUE"""),5.4)</f>
        <v>5.4</v>
      </c>
      <c r="K68" s="18">
        <f>IFERROR(__xludf.DUMMYFUNCTION("""COMPUTED_VALUE"""),6.75)</f>
        <v>6.75</v>
      </c>
      <c r="L68" s="18">
        <f>IFERROR(__xludf.DUMMYFUNCTION("""COMPUTED_VALUE"""),10.8)</f>
        <v>10.8</v>
      </c>
    </row>
    <row r="69">
      <c r="A69" s="13" t="str">
        <f>IFERROR(__xludf.DUMMYFUNCTION("""COMPUTED_VALUE"""),"товари")</f>
        <v>товари</v>
      </c>
      <c r="B69" s="13" t="str">
        <f>IFERROR(__xludf.DUMMYFUNCTION("""COMPUTED_VALUE"""),"будівництво")</f>
        <v>будівництво</v>
      </c>
      <c r="C69" s="15" t="str">
        <f>IFERROR(__xludf.DUMMYFUNCTION("""COMPUTED_VALUE"""),"будівельна техніка та обладнання")</f>
        <v>будівельна техніка та обладнання</v>
      </c>
      <c r="D69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69" s="15" t="str">
        <f>IFERROR(__xludf.DUMMYFUNCTION("""COMPUTED_VALUE"""),"обладнання для ремонту та переробки асфальту")</f>
        <v>обладнання для ремонту та переробки асфальту</v>
      </c>
      <c r="F69" s="17">
        <f>IFERROR(__xludf.DUMMYFUNCTION("""COMPUTED_VALUE"""),4.0)</f>
        <v>4</v>
      </c>
      <c r="G69" s="17">
        <f>IFERROR(__xludf.DUMMYFUNCTION("""COMPUTED_VALUE"""),132601.0)</f>
        <v>132601</v>
      </c>
      <c r="H69" s="17" t="str">
        <f>IFERROR(__xludf.DUMMYFUNCTION("""COMPUTED_VALUE"""),"обладнання для ремонту та переробки асфальту")</f>
        <v>обладнання для ремонту та переробки асфальту</v>
      </c>
      <c r="I69" s="18">
        <f>IFERROR(__xludf.DUMMYFUNCTION("""COMPUTED_VALUE"""),1.95)</f>
        <v>1.95</v>
      </c>
      <c r="J69" s="18">
        <f>IFERROR(__xludf.DUMMYFUNCTION("""COMPUTED_VALUE"""),3.9)</f>
        <v>3.9</v>
      </c>
      <c r="K69" s="18">
        <f>IFERROR(__xludf.DUMMYFUNCTION("""COMPUTED_VALUE"""),4.88)</f>
        <v>4.88</v>
      </c>
      <c r="L69" s="18">
        <f>IFERROR(__xludf.DUMMYFUNCTION("""COMPUTED_VALUE"""),7.8)</f>
        <v>7.8</v>
      </c>
    </row>
    <row r="70">
      <c r="A70" s="13" t="str">
        <f>IFERROR(__xludf.DUMMYFUNCTION("""COMPUTED_VALUE"""),"товари")</f>
        <v>товари</v>
      </c>
      <c r="B70" s="13" t="str">
        <f>IFERROR(__xludf.DUMMYFUNCTION("""COMPUTED_VALUE"""),"будівництво")</f>
        <v>будівництво</v>
      </c>
      <c r="C70" s="15" t="str">
        <f>IFERROR(__xludf.DUMMYFUNCTION("""COMPUTED_VALUE"""),"будівельні матеріали")</f>
        <v>будівельні матеріали</v>
      </c>
      <c r="D70" s="15" t="str">
        <f>IFERROR(__xludf.DUMMYFUNCTION("""COMPUTED_VALUE"""),"залізобетонні вироби")</f>
        <v>залізобетонні вироби</v>
      </c>
      <c r="E70" s="15" t="str">
        <f>IFERROR(__xludf.DUMMYFUNCTION("""COMPUTED_VALUE"""),"балконні плити, козирки входу")</f>
        <v>балконні плити, козирки входу</v>
      </c>
      <c r="F70" s="17">
        <f>IFERROR(__xludf.DUMMYFUNCTION("""COMPUTED_VALUE"""),4.0)</f>
        <v>4</v>
      </c>
      <c r="G70" s="17">
        <f>IFERROR(__xludf.DUMMYFUNCTION("""COMPUTED_VALUE"""),1.3070401E7)</f>
        <v>13070401</v>
      </c>
      <c r="H70" s="17" t="str">
        <f>IFERROR(__xludf.DUMMYFUNCTION("""COMPUTED_VALUE"""),"балконні плити, козирки входу")</f>
        <v>балконні плити, козирки входу</v>
      </c>
      <c r="I70" s="18">
        <f>IFERROR(__xludf.DUMMYFUNCTION("""COMPUTED_VALUE"""),2.7)</f>
        <v>2.7</v>
      </c>
      <c r="J70" s="18">
        <f>IFERROR(__xludf.DUMMYFUNCTION("""COMPUTED_VALUE"""),5.4)</f>
        <v>5.4</v>
      </c>
      <c r="K70" s="18">
        <f>IFERROR(__xludf.DUMMYFUNCTION("""COMPUTED_VALUE"""),6.75)</f>
        <v>6.75</v>
      </c>
      <c r="L70" s="18">
        <f>IFERROR(__xludf.DUMMYFUNCTION("""COMPUTED_VALUE"""),10.8)</f>
        <v>10.8</v>
      </c>
    </row>
    <row r="71">
      <c r="A71" s="13" t="str">
        <f>IFERROR(__xludf.DUMMYFUNCTION("""COMPUTED_VALUE"""),"товари")</f>
        <v>товари</v>
      </c>
      <c r="B71" s="13" t="str">
        <f>IFERROR(__xludf.DUMMYFUNCTION("""COMPUTED_VALUE"""),"будівництво")</f>
        <v>будівництво</v>
      </c>
      <c r="C71" s="15" t="str">
        <f>IFERROR(__xludf.DUMMYFUNCTION("""COMPUTED_VALUE"""),"будівельні матеріали")</f>
        <v>будівельні матеріали</v>
      </c>
      <c r="D71" s="15" t="str">
        <f>IFERROR(__xludf.DUMMYFUNCTION("""COMPUTED_VALUE"""),"сходи та комплектуючі для сходів")</f>
        <v>сходи та комплектуючі для сходів</v>
      </c>
      <c r="E71" s="15" t="str">
        <f>IFERROR(__xludf.DUMMYFUNCTION("""COMPUTED_VALUE"""),"балясини та балюстради")</f>
        <v>балясини та балюстради</v>
      </c>
      <c r="F71" s="17">
        <f>IFERROR(__xludf.DUMMYFUNCTION("""COMPUTED_VALUE"""),4.0)</f>
        <v>4</v>
      </c>
      <c r="G71" s="17">
        <f>IFERROR(__xludf.DUMMYFUNCTION("""COMPUTED_VALUE"""),1.3070405E7)</f>
        <v>13070405</v>
      </c>
      <c r="H71" s="17" t="str">
        <f>IFERROR(__xludf.DUMMYFUNCTION("""COMPUTED_VALUE"""),"балясини та балюстради")</f>
        <v>балясини та балюстради</v>
      </c>
      <c r="I71" s="18">
        <f>IFERROR(__xludf.DUMMYFUNCTION("""COMPUTED_VALUE"""),0.76)</f>
        <v>0.76</v>
      </c>
      <c r="J71" s="18">
        <f>IFERROR(__xludf.DUMMYFUNCTION("""COMPUTED_VALUE"""),1.53)</f>
        <v>1.53</v>
      </c>
      <c r="K71" s="18">
        <f>IFERROR(__xludf.DUMMYFUNCTION("""COMPUTED_VALUE"""),1.91)</f>
        <v>1.91</v>
      </c>
      <c r="L71" s="18">
        <f>IFERROR(__xludf.DUMMYFUNCTION("""COMPUTED_VALUE"""),3.05)</f>
        <v>3.05</v>
      </c>
    </row>
    <row r="72">
      <c r="A72" s="13" t="str">
        <f>IFERROR(__xludf.DUMMYFUNCTION("""COMPUTED_VALUE"""),"товари")</f>
        <v>товари</v>
      </c>
      <c r="B72" s="13" t="str">
        <f>IFERROR(__xludf.DUMMYFUNCTION("""COMPUTED_VALUE"""),"будівництво")</f>
        <v>будівництво</v>
      </c>
      <c r="C72" s="15" t="str">
        <f>IFERROR(__xludf.DUMMYFUNCTION("""COMPUTED_VALUE"""),"будівельні матеріали")</f>
        <v>будівельні матеріали</v>
      </c>
      <c r="D72" s="15" t="str">
        <f>IFERROR(__xludf.DUMMYFUNCTION("""COMPUTED_VALUE"""),"розчини та бетонні суміші")</f>
        <v>розчини та бетонні суміші</v>
      </c>
      <c r="E72" s="15" t="str">
        <f>IFERROR(__xludf.DUMMYFUNCTION("""COMPUTED_VALUE"""),"бетон")</f>
        <v>бетон</v>
      </c>
      <c r="F72" s="17">
        <f>IFERROR(__xludf.DUMMYFUNCTION("""COMPUTED_VALUE"""),4.0)</f>
        <v>4</v>
      </c>
      <c r="G72" s="17">
        <f>IFERROR(__xludf.DUMMYFUNCTION("""COMPUTED_VALUE"""),135201.0)</f>
        <v>135201</v>
      </c>
      <c r="H72" s="17" t="str">
        <f>IFERROR(__xludf.DUMMYFUNCTION("""COMPUTED_VALUE"""),"бетон")</f>
        <v>бетон</v>
      </c>
      <c r="I72" s="18">
        <f>IFERROR(__xludf.DUMMYFUNCTION("""COMPUTED_VALUE"""),0.86)</f>
        <v>0.86</v>
      </c>
      <c r="J72" s="18">
        <f>IFERROR(__xludf.DUMMYFUNCTION("""COMPUTED_VALUE"""),1.71)</f>
        <v>1.71</v>
      </c>
      <c r="K72" s="18">
        <f>IFERROR(__xludf.DUMMYFUNCTION("""COMPUTED_VALUE"""),2.14)</f>
        <v>2.14</v>
      </c>
      <c r="L72" s="18">
        <f>IFERROR(__xludf.DUMMYFUNCTION("""COMPUTED_VALUE"""),3.43)</f>
        <v>3.43</v>
      </c>
    </row>
    <row r="73">
      <c r="A73" s="13" t="str">
        <f>IFERROR(__xludf.DUMMYFUNCTION("""COMPUTED_VALUE"""),"товари")</f>
        <v>товари</v>
      </c>
      <c r="B73" s="13" t="str">
        <f>IFERROR(__xludf.DUMMYFUNCTION("""COMPUTED_VALUE"""),"будівництво")</f>
        <v>будівництво</v>
      </c>
      <c r="C73" s="15" t="str">
        <f>IFERROR(__xludf.DUMMYFUNCTION("""COMPUTED_VALUE"""),"будівельні матеріали")</f>
        <v>будівельні матеріали</v>
      </c>
      <c r="D73" s="15" t="str">
        <f>IFERROR(__xludf.DUMMYFUNCTION("""COMPUTED_VALUE"""),"дорожні матеріали")</f>
        <v>дорожні матеріали</v>
      </c>
      <c r="E73" s="15" t="str">
        <f>IFERROR(__xludf.DUMMYFUNCTION("""COMPUTED_VALUE"""),"бордюрний камінь")</f>
        <v>бордюрний камінь</v>
      </c>
      <c r="F73" s="17">
        <f>IFERROR(__xludf.DUMMYFUNCTION("""COMPUTED_VALUE"""),4.0)</f>
        <v>4</v>
      </c>
      <c r="G73" s="17">
        <f>IFERROR(__xludf.DUMMYFUNCTION("""COMPUTED_VALUE"""),1.3121101E7)</f>
        <v>13121101</v>
      </c>
      <c r="H73" s="17" t="str">
        <f>IFERROR(__xludf.DUMMYFUNCTION("""COMPUTED_VALUE"""),"бордюрний камінь")</f>
        <v>бордюрний камінь</v>
      </c>
      <c r="I73" s="18">
        <f>IFERROR(__xludf.DUMMYFUNCTION("""COMPUTED_VALUE"""),0.86)</f>
        <v>0.86</v>
      </c>
      <c r="J73" s="18">
        <f>IFERROR(__xludf.DUMMYFUNCTION("""COMPUTED_VALUE"""),1.71)</f>
        <v>1.71</v>
      </c>
      <c r="K73" s="18">
        <f>IFERROR(__xludf.DUMMYFUNCTION("""COMPUTED_VALUE"""),2.14)</f>
        <v>2.14</v>
      </c>
      <c r="L73" s="18">
        <f>IFERROR(__xludf.DUMMYFUNCTION("""COMPUTED_VALUE"""),3.43)</f>
        <v>3.43</v>
      </c>
    </row>
    <row r="74">
      <c r="A74" s="13" t="str">
        <f>IFERROR(__xludf.DUMMYFUNCTION("""COMPUTED_VALUE"""),"товари")</f>
        <v>товари</v>
      </c>
      <c r="B74" s="13" t="str">
        <f>IFERROR(__xludf.DUMMYFUNCTION("""COMPUTED_VALUE"""),"будівництво")</f>
        <v>будівництво</v>
      </c>
      <c r="C74" s="15" t="str">
        <f>IFERROR(__xludf.DUMMYFUNCTION("""COMPUTED_VALUE"""),"будівельні матеріали")</f>
        <v>будівельні матеріали</v>
      </c>
      <c r="D74" s="15" t="str">
        <f>IFERROR(__xludf.DUMMYFUNCTION("""COMPUTED_VALUE"""),"пиломатеріали")</f>
        <v>пиломатеріали</v>
      </c>
      <c r="E74" s="15" t="str">
        <f>IFERROR(__xludf.DUMMYFUNCTION("""COMPUTED_VALUE"""),"брус")</f>
        <v>брус</v>
      </c>
      <c r="F74" s="17">
        <f>IFERROR(__xludf.DUMMYFUNCTION("""COMPUTED_VALUE"""),4.0)</f>
        <v>4</v>
      </c>
      <c r="G74" s="17">
        <f>IFERROR(__xludf.DUMMYFUNCTION("""COMPUTED_VALUE"""),131101.0)</f>
        <v>131101</v>
      </c>
      <c r="H74" s="17" t="str">
        <f>IFERROR(__xludf.DUMMYFUNCTION("""COMPUTED_VALUE"""),"брус")</f>
        <v>брус</v>
      </c>
      <c r="I74" s="18">
        <f>IFERROR(__xludf.DUMMYFUNCTION("""COMPUTED_VALUE"""),1.44)</f>
        <v>1.44</v>
      </c>
      <c r="J74" s="18">
        <f>IFERROR(__xludf.DUMMYFUNCTION("""COMPUTED_VALUE"""),2.88)</f>
        <v>2.88</v>
      </c>
      <c r="K74" s="18">
        <f>IFERROR(__xludf.DUMMYFUNCTION("""COMPUTED_VALUE"""),3.59)</f>
        <v>3.59</v>
      </c>
      <c r="L74" s="18">
        <f>IFERROR(__xludf.DUMMYFUNCTION("""COMPUTED_VALUE"""),5.75)</f>
        <v>5.75</v>
      </c>
    </row>
    <row r="75">
      <c r="A75" s="13" t="str">
        <f>IFERROR(__xludf.DUMMYFUNCTION("""COMPUTED_VALUE"""),"товари")</f>
        <v>товари</v>
      </c>
      <c r="B75" s="13" t="str">
        <f>IFERROR(__xludf.DUMMYFUNCTION("""COMPUTED_VALUE"""),"будівництво")</f>
        <v>будівництво</v>
      </c>
      <c r="C75" s="15" t="str">
        <f>IFERROR(__xludf.DUMMYFUNCTION("""COMPUTED_VALUE"""),"будівельна техніка та обладнання")</f>
        <v>будівельна техніка та обладнання</v>
      </c>
      <c r="D75" s="15" t="str">
        <f>IFERROR(__xludf.DUMMYFUNCTION("""COMPUTED_VALUE"""),"будівельний секційний сміттєскид")</f>
        <v>будівельний секційний сміттєскид</v>
      </c>
      <c r="E75" s="15" t="str">
        <f>IFERROR(__xludf.DUMMYFUNCTION("""COMPUTED_VALUE"""),"будівельний секційний сміттєскид")</f>
        <v>будівельний секційний сміттєскид</v>
      </c>
      <c r="F75" s="17">
        <f>IFERROR(__xludf.DUMMYFUNCTION("""COMPUTED_VALUE"""),3.0)</f>
        <v>3</v>
      </c>
      <c r="G75" s="17">
        <f>IFERROR(__xludf.DUMMYFUNCTION("""COMPUTED_VALUE"""),131707.0)</f>
        <v>131707</v>
      </c>
      <c r="H75" s="17" t="str">
        <f>IFERROR(__xludf.DUMMYFUNCTION("""COMPUTED_VALUE"""),"будівельний секційний сміттєскид")</f>
        <v>будівельний секційний сміттєскид</v>
      </c>
      <c r="I75" s="18">
        <f>IFERROR(__xludf.DUMMYFUNCTION("""COMPUTED_VALUE"""),0.76)</f>
        <v>0.76</v>
      </c>
      <c r="J75" s="18">
        <f>IFERROR(__xludf.DUMMYFUNCTION("""COMPUTED_VALUE"""),1.53)</f>
        <v>1.53</v>
      </c>
      <c r="K75" s="18">
        <f>IFERROR(__xludf.DUMMYFUNCTION("""COMPUTED_VALUE"""),1.91)</f>
        <v>1.91</v>
      </c>
      <c r="L75" s="18">
        <f>IFERROR(__xludf.DUMMYFUNCTION("""COMPUTED_VALUE"""),3.05)</f>
        <v>3.05</v>
      </c>
    </row>
    <row r="76">
      <c r="A76" s="13" t="str">
        <f>IFERROR(__xludf.DUMMYFUNCTION("""COMPUTED_VALUE"""),"товари")</f>
        <v>товари</v>
      </c>
      <c r="B76" s="13" t="str">
        <f>IFERROR(__xludf.DUMMYFUNCTION("""COMPUTED_VALUE"""),"будівництво")</f>
        <v>будівництво</v>
      </c>
      <c r="C76" s="15" t="str">
        <f>IFERROR(__xludf.DUMMYFUNCTION("""COMPUTED_VALUE"""),"будівельна техніка та обладнання")</f>
        <v>будівельна техніка та обладнання</v>
      </c>
      <c r="D76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76" s="15" t="str">
        <f>IFERROR(__xludf.DUMMYFUNCTION("""COMPUTED_VALUE"""),"будівельні люльки")</f>
        <v>будівельні люльки</v>
      </c>
      <c r="F76" s="17">
        <f>IFERROR(__xludf.DUMMYFUNCTION("""COMPUTED_VALUE"""),4.0)</f>
        <v>4</v>
      </c>
      <c r="G76" s="17">
        <f>IFERROR(__xludf.DUMMYFUNCTION("""COMPUTED_VALUE"""),1.3070704E7)</f>
        <v>13070704</v>
      </c>
      <c r="H76" s="17" t="str">
        <f>IFERROR(__xludf.DUMMYFUNCTION("""COMPUTED_VALUE"""),"будівельні люльки")</f>
        <v>будівельні люльки</v>
      </c>
      <c r="I76" s="18">
        <f>IFERROR(__xludf.DUMMYFUNCTION("""COMPUTED_VALUE"""),2.7)</f>
        <v>2.7</v>
      </c>
      <c r="J76" s="18">
        <f>IFERROR(__xludf.DUMMYFUNCTION("""COMPUTED_VALUE"""),5.4)</f>
        <v>5.4</v>
      </c>
      <c r="K76" s="18">
        <f>IFERROR(__xludf.DUMMYFUNCTION("""COMPUTED_VALUE"""),6.75)</f>
        <v>6.75</v>
      </c>
      <c r="L76" s="18">
        <f>IFERROR(__xludf.DUMMYFUNCTION("""COMPUTED_VALUE"""),10.8)</f>
        <v>10.8</v>
      </c>
    </row>
    <row r="77">
      <c r="A77" s="13" t="str">
        <f>IFERROR(__xludf.DUMMYFUNCTION("""COMPUTED_VALUE"""),"товари")</f>
        <v>товари</v>
      </c>
      <c r="B77" s="13" t="str">
        <f>IFERROR(__xludf.DUMMYFUNCTION("""COMPUTED_VALUE"""),"будівництво")</f>
        <v>будівництво</v>
      </c>
      <c r="C77" s="15" t="str">
        <f>IFERROR(__xludf.DUMMYFUNCTION("""COMPUTED_VALUE"""),"будівельні матеріали")</f>
        <v>будівельні матеріали</v>
      </c>
      <c r="D77" s="15" t="str">
        <f>IFERROR(__xludf.DUMMYFUNCTION("""COMPUTED_VALUE"""),"стінові та мурувальні матеріали")</f>
        <v>стінові та мурувальні матеріали</v>
      </c>
      <c r="E77" s="15" t="str">
        <f>IFERROR(__xludf.DUMMYFUNCTION("""COMPUTED_VALUE"""),"будівельні стінові панелі та перегородки")</f>
        <v>будівельні стінові панелі та перегородки</v>
      </c>
      <c r="F77" s="17">
        <f>IFERROR(__xludf.DUMMYFUNCTION("""COMPUTED_VALUE"""),4.0)</f>
        <v>4</v>
      </c>
      <c r="G77" s="17">
        <f>IFERROR(__xludf.DUMMYFUNCTION("""COMPUTED_VALUE"""),131405.0)</f>
        <v>131405</v>
      </c>
      <c r="H77" s="17" t="str">
        <f>IFERROR(__xludf.DUMMYFUNCTION("""COMPUTED_VALUE"""),"будівельні стінові панелі та перегородки")</f>
        <v>будівельні стінові панелі та перегородки</v>
      </c>
      <c r="I77" s="18">
        <f>IFERROR(__xludf.DUMMYFUNCTION("""COMPUTED_VALUE"""),1.26)</f>
        <v>1.26</v>
      </c>
      <c r="J77" s="18">
        <f>IFERROR(__xludf.DUMMYFUNCTION("""COMPUTED_VALUE"""),2.53)</f>
        <v>2.53</v>
      </c>
      <c r="K77" s="18">
        <f>IFERROR(__xludf.DUMMYFUNCTION("""COMPUTED_VALUE"""),3.16)</f>
        <v>3.16</v>
      </c>
      <c r="L77" s="18">
        <f>IFERROR(__xludf.DUMMYFUNCTION("""COMPUTED_VALUE"""),5.05)</f>
        <v>5.05</v>
      </c>
    </row>
    <row r="78">
      <c r="A78" s="13" t="str">
        <f>IFERROR(__xludf.DUMMYFUNCTION("""COMPUTED_VALUE"""),"товари")</f>
        <v>товари</v>
      </c>
      <c r="B78" s="13" t="str">
        <f>IFERROR(__xludf.DUMMYFUNCTION("""COMPUTED_VALUE"""),"будівництво")</f>
        <v>будівництво</v>
      </c>
      <c r="C78" s="15" t="str">
        <f>IFERROR(__xludf.DUMMYFUNCTION("""COMPUTED_VALUE"""),"будівельні товари, загальне")</f>
        <v>будівельні товари, загальне</v>
      </c>
      <c r="D78" s="15" t="str">
        <f>IFERROR(__xludf.DUMMYFUNCTION("""COMPUTED_VALUE"""),"будівельні товари, загальне")</f>
        <v>будівельні товари, загальне</v>
      </c>
      <c r="E78" s="15" t="str">
        <f>IFERROR(__xludf.DUMMYFUNCTION("""COMPUTED_VALUE"""),"будівельні товари, загальне")</f>
        <v>будівельні товари, загальне</v>
      </c>
      <c r="F78" s="17">
        <f>IFERROR(__xludf.DUMMYFUNCTION("""COMPUTED_VALUE"""),2.0)</f>
        <v>2</v>
      </c>
      <c r="G78" s="17">
        <f>IFERROR(__xludf.DUMMYFUNCTION("""COMPUTED_VALUE"""),1333.0)</f>
        <v>1333</v>
      </c>
      <c r="H78" s="17" t="str">
        <f>IFERROR(__xludf.DUMMYFUNCTION("""COMPUTED_VALUE"""),"будівельні товари, загальне")</f>
        <v>будівельні товари, загальне</v>
      </c>
      <c r="I78" s="18">
        <f>IFERROR(__xludf.DUMMYFUNCTION("""COMPUTED_VALUE"""),2.16)</f>
        <v>2.16</v>
      </c>
      <c r="J78" s="18">
        <f>IFERROR(__xludf.DUMMYFUNCTION("""COMPUTED_VALUE"""),4.33)</f>
        <v>4.33</v>
      </c>
      <c r="K78" s="18">
        <f>IFERROR(__xludf.DUMMYFUNCTION("""COMPUTED_VALUE"""),5.41)</f>
        <v>5.41</v>
      </c>
      <c r="L78" s="18">
        <f>IFERROR(__xludf.DUMMYFUNCTION("""COMPUTED_VALUE"""),8.65)</f>
        <v>8.65</v>
      </c>
    </row>
    <row r="79">
      <c r="A79" s="13" t="str">
        <f>IFERROR(__xludf.DUMMYFUNCTION("""COMPUTED_VALUE"""),"товари")</f>
        <v>товари</v>
      </c>
      <c r="B79" s="13" t="str">
        <f>IFERROR(__xludf.DUMMYFUNCTION("""COMPUTED_VALUE"""),"будівництво")</f>
        <v>будівництво</v>
      </c>
      <c r="C79" s="15" t="str">
        <f>IFERROR(__xludf.DUMMYFUNCTION("""COMPUTED_VALUE"""),"будівельна техніка та обладнання")</f>
        <v>будівельна техніка та обладнання</v>
      </c>
      <c r="D79" s="15" t="str">
        <f>IFERROR(__xludf.DUMMYFUNCTION("""COMPUTED_VALUE"""),"машини та обладнання для бетонних робіт")</f>
        <v>машини та обладнання для бетонних робіт</v>
      </c>
      <c r="E79" s="15" t="str">
        <f>IFERROR(__xludf.DUMMYFUNCTION("""COMPUTED_VALUE"""),"бункери та силоси для будівельних сумішей")</f>
        <v>бункери та силоси для будівельних сумішей</v>
      </c>
      <c r="F79" s="17">
        <f>IFERROR(__xludf.DUMMYFUNCTION("""COMPUTED_VALUE"""),4.0)</f>
        <v>4</v>
      </c>
      <c r="G79" s="17">
        <f>IFERROR(__xludf.DUMMYFUNCTION("""COMPUTED_VALUE"""),1.3040309E7)</f>
        <v>13040309</v>
      </c>
      <c r="H79" s="17" t="str">
        <f>IFERROR(__xludf.DUMMYFUNCTION("""COMPUTED_VALUE"""),"бункери та силоси для будівельних сумішей")</f>
        <v>бункери та силоси для будівельних сумішей</v>
      </c>
      <c r="I79" s="18">
        <f>IFERROR(__xludf.DUMMYFUNCTION("""COMPUTED_VALUE"""),2.18)</f>
        <v>2.18</v>
      </c>
      <c r="J79" s="18">
        <f>IFERROR(__xludf.DUMMYFUNCTION("""COMPUTED_VALUE"""),4.35)</f>
        <v>4.35</v>
      </c>
      <c r="K79" s="18">
        <f>IFERROR(__xludf.DUMMYFUNCTION("""COMPUTED_VALUE"""),5.44)</f>
        <v>5.44</v>
      </c>
      <c r="L79" s="18">
        <f>IFERROR(__xludf.DUMMYFUNCTION("""COMPUTED_VALUE"""),8.7)</f>
        <v>8.7</v>
      </c>
    </row>
    <row r="80">
      <c r="A80" s="13" t="str">
        <f>IFERROR(__xludf.DUMMYFUNCTION("""COMPUTED_VALUE"""),"товари")</f>
        <v>товари</v>
      </c>
      <c r="B80" s="13" t="str">
        <f>IFERROR(__xludf.DUMMYFUNCTION("""COMPUTED_VALUE"""),"будівництво")</f>
        <v>будівництво</v>
      </c>
      <c r="C80" s="15" t="str">
        <f>IFERROR(__xludf.DUMMYFUNCTION("""COMPUTED_VALUE"""),"будівельна техніка та обладнання")</f>
        <v>будівельна техніка та обладнання</v>
      </c>
      <c r="D80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80" s="15" t="str">
        <f>IFERROR(__xludf.DUMMYFUNCTION("""COMPUTED_VALUE"""),"вантажопідйомні будівельні машини та обладнання, загальне")</f>
        <v>вантажопідйомні будівельні машини та обладнання, загальне</v>
      </c>
      <c r="F80" s="17">
        <f>IFERROR(__xludf.DUMMYFUNCTION("""COMPUTED_VALUE"""),4.0)</f>
        <v>4</v>
      </c>
      <c r="G80" s="17">
        <f>IFERROR(__xludf.DUMMYFUNCTION("""COMPUTED_VALUE"""),1.3040206E7)</f>
        <v>13040206</v>
      </c>
      <c r="H80" s="17" t="str">
        <f>IFERROR(__xludf.DUMMYFUNCTION("""COMPUTED_VALUE"""),"вантажопідйомні будівельні машини та обладнання, загальне")</f>
        <v>вантажопідйомні будівельні машини та обладнання, загальне</v>
      </c>
      <c r="I80" s="18">
        <f>IFERROR(__xludf.DUMMYFUNCTION("""COMPUTED_VALUE"""),2.16)</f>
        <v>2.16</v>
      </c>
      <c r="J80" s="18">
        <f>IFERROR(__xludf.DUMMYFUNCTION("""COMPUTED_VALUE"""),4.33)</f>
        <v>4.33</v>
      </c>
      <c r="K80" s="18">
        <f>IFERROR(__xludf.DUMMYFUNCTION("""COMPUTED_VALUE"""),5.41)</f>
        <v>5.41</v>
      </c>
      <c r="L80" s="18">
        <f>IFERROR(__xludf.DUMMYFUNCTION("""COMPUTED_VALUE"""),8.65)</f>
        <v>8.65</v>
      </c>
    </row>
    <row r="81">
      <c r="A81" s="13" t="str">
        <f>IFERROR(__xludf.DUMMYFUNCTION("""COMPUTED_VALUE"""),"товари")</f>
        <v>товари</v>
      </c>
      <c r="B81" s="13" t="str">
        <f>IFERROR(__xludf.DUMMYFUNCTION("""COMPUTED_VALUE"""),"будівництво")</f>
        <v>будівництво</v>
      </c>
      <c r="C81" s="15" t="str">
        <f>IFERROR(__xludf.DUMMYFUNCTION("""COMPUTED_VALUE"""),"вентиляційні системи")</f>
        <v>вентиляційні системи</v>
      </c>
      <c r="D81" s="15" t="str">
        <f>IFERROR(__xludf.DUMMYFUNCTION("""COMPUTED_VALUE"""),"вентиляційні парасолі")</f>
        <v>вентиляційні парасолі</v>
      </c>
      <c r="E81" s="15" t="str">
        <f>IFERROR(__xludf.DUMMYFUNCTION("""COMPUTED_VALUE"""),"вентиляційні парасолі")</f>
        <v>вентиляційні парасолі</v>
      </c>
      <c r="F81" s="17">
        <f>IFERROR(__xludf.DUMMYFUNCTION("""COMPUTED_VALUE"""),3.0)</f>
        <v>3</v>
      </c>
      <c r="G81" s="17">
        <f>IFERROR(__xludf.DUMMYFUNCTION("""COMPUTED_VALUE"""),142215.0)</f>
        <v>142215</v>
      </c>
      <c r="H81" s="17" t="str">
        <f>IFERROR(__xludf.DUMMYFUNCTION("""COMPUTED_VALUE"""),"вентиляційні парасолі")</f>
        <v>вентиляційні парасолі</v>
      </c>
      <c r="I81" s="18">
        <f>IFERROR(__xludf.DUMMYFUNCTION("""COMPUTED_VALUE"""),2.18)</f>
        <v>2.18</v>
      </c>
      <c r="J81" s="18">
        <f>IFERROR(__xludf.DUMMYFUNCTION("""COMPUTED_VALUE"""),4.35)</f>
        <v>4.35</v>
      </c>
      <c r="K81" s="18">
        <f>IFERROR(__xludf.DUMMYFUNCTION("""COMPUTED_VALUE"""),5.44)</f>
        <v>5.44</v>
      </c>
      <c r="L81" s="18">
        <f>IFERROR(__xludf.DUMMYFUNCTION("""COMPUTED_VALUE"""),8.7)</f>
        <v>8.7</v>
      </c>
    </row>
    <row r="82">
      <c r="A82" s="13" t="str">
        <f>IFERROR(__xludf.DUMMYFUNCTION("""COMPUTED_VALUE"""),"товари")</f>
        <v>товари</v>
      </c>
      <c r="B82" s="13" t="str">
        <f>IFERROR(__xludf.DUMMYFUNCTION("""COMPUTED_VALUE"""),"будівництво")</f>
        <v>будівництво</v>
      </c>
      <c r="C82" s="15" t="str">
        <f>IFERROR(__xludf.DUMMYFUNCTION("""COMPUTED_VALUE"""),"будівельна техніка та обладнання")</f>
        <v>будівельна техніка та обладнання</v>
      </c>
      <c r="D82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82" s="15" t="str">
        <f>IFERROR(__xludf.DUMMYFUNCTION("""COMPUTED_VALUE"""),"вишки тури")</f>
        <v>вишки тури</v>
      </c>
      <c r="F82" s="17">
        <f>IFERROR(__xludf.DUMMYFUNCTION("""COMPUTED_VALUE"""),4.0)</f>
        <v>4</v>
      </c>
      <c r="G82" s="17">
        <f>IFERROR(__xludf.DUMMYFUNCTION("""COMPUTED_VALUE"""),1.3040205E7)</f>
        <v>13040205</v>
      </c>
      <c r="H82" s="17" t="str">
        <f>IFERROR(__xludf.DUMMYFUNCTION("""COMPUTED_VALUE"""),"вишки тури")</f>
        <v>вишки тури</v>
      </c>
      <c r="I82" s="18">
        <f>IFERROR(__xludf.DUMMYFUNCTION("""COMPUTED_VALUE"""),2.7)</f>
        <v>2.7</v>
      </c>
      <c r="J82" s="18">
        <f>IFERROR(__xludf.DUMMYFUNCTION("""COMPUTED_VALUE"""),5.4)</f>
        <v>5.4</v>
      </c>
      <c r="K82" s="18">
        <f>IFERROR(__xludf.DUMMYFUNCTION("""COMPUTED_VALUE"""),6.75)</f>
        <v>6.75</v>
      </c>
      <c r="L82" s="18">
        <f>IFERROR(__xludf.DUMMYFUNCTION("""COMPUTED_VALUE"""),10.8)</f>
        <v>10.8</v>
      </c>
    </row>
    <row r="83">
      <c r="A83" s="13" t="str">
        <f>IFERROR(__xludf.DUMMYFUNCTION("""COMPUTED_VALUE"""),"товари")</f>
        <v>товари</v>
      </c>
      <c r="B83" s="13" t="str">
        <f>IFERROR(__xludf.DUMMYFUNCTION("""COMPUTED_VALUE"""),"будівництво")</f>
        <v>будівництво</v>
      </c>
      <c r="C83" s="15" t="str">
        <f>IFERROR(__xludf.DUMMYFUNCTION("""COMPUTED_VALUE"""),"будівельна техніка та обладнання")</f>
        <v>будівельна техніка та обладнання</v>
      </c>
      <c r="D83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83" s="15" t="str">
        <f>IFERROR(__xludf.DUMMYFUNCTION("""COMPUTED_VALUE"""),"вібромашини")</f>
        <v>вібромашини</v>
      </c>
      <c r="F83" s="17">
        <f>IFERROR(__xludf.DUMMYFUNCTION("""COMPUTED_VALUE"""),4.0)</f>
        <v>4</v>
      </c>
      <c r="G83" s="17">
        <f>IFERROR(__xludf.DUMMYFUNCTION("""COMPUTED_VALUE"""),132611.0)</f>
        <v>132611</v>
      </c>
      <c r="H83" s="17" t="str">
        <f>IFERROR(__xludf.DUMMYFUNCTION("""COMPUTED_VALUE"""),"вібромашини")</f>
        <v>вібромашини</v>
      </c>
      <c r="I83" s="18">
        <f>IFERROR(__xludf.DUMMYFUNCTION("""COMPUTED_VALUE"""),1.95)</f>
        <v>1.95</v>
      </c>
      <c r="J83" s="18">
        <f>IFERROR(__xludf.DUMMYFUNCTION("""COMPUTED_VALUE"""),3.9)</f>
        <v>3.9</v>
      </c>
      <c r="K83" s="18">
        <f>IFERROR(__xludf.DUMMYFUNCTION("""COMPUTED_VALUE"""),4.88)</f>
        <v>4.88</v>
      </c>
      <c r="L83" s="18">
        <f>IFERROR(__xludf.DUMMYFUNCTION("""COMPUTED_VALUE"""),7.8)</f>
        <v>7.8</v>
      </c>
    </row>
    <row r="84">
      <c r="A84" s="13" t="str">
        <f>IFERROR(__xludf.DUMMYFUNCTION("""COMPUTED_VALUE"""),"товари")</f>
        <v>товари</v>
      </c>
      <c r="B84" s="13" t="str">
        <f>IFERROR(__xludf.DUMMYFUNCTION("""COMPUTED_VALUE"""),"будівництво")</f>
        <v>будівництво</v>
      </c>
      <c r="C84" s="15" t="str">
        <f>IFERROR(__xludf.DUMMYFUNCTION("""COMPUTED_VALUE"""),"будівельна техніка та обладнання")</f>
        <v>будівельна техніка та обладнання</v>
      </c>
      <c r="D84" s="15" t="str">
        <f>IFERROR(__xludf.DUMMYFUNCTION("""COMPUTED_VALUE"""),"машини та обладнання для бетонних робіт")</f>
        <v>машини та обладнання для бетонних робіт</v>
      </c>
      <c r="E84" s="15" t="str">
        <f>IFERROR(__xludf.DUMMYFUNCTION("""COMPUTED_VALUE"""),"вібростоли")</f>
        <v>вібростоли</v>
      </c>
      <c r="F84" s="17">
        <f>IFERROR(__xludf.DUMMYFUNCTION("""COMPUTED_VALUE"""),4.0)</f>
        <v>4</v>
      </c>
      <c r="G84" s="17">
        <f>IFERROR(__xludf.DUMMYFUNCTION("""COMPUTED_VALUE"""),1.3040308E7)</f>
        <v>13040308</v>
      </c>
      <c r="H84" s="17" t="str">
        <f>IFERROR(__xludf.DUMMYFUNCTION("""COMPUTED_VALUE"""),"вібростоли")</f>
        <v>вібростоли</v>
      </c>
      <c r="I84" s="18">
        <f>IFERROR(__xludf.DUMMYFUNCTION("""COMPUTED_VALUE"""),2.18)</f>
        <v>2.18</v>
      </c>
      <c r="J84" s="18">
        <f>IFERROR(__xludf.DUMMYFUNCTION("""COMPUTED_VALUE"""),4.35)</f>
        <v>4.35</v>
      </c>
      <c r="K84" s="18">
        <f>IFERROR(__xludf.DUMMYFUNCTION("""COMPUTED_VALUE"""),5.44)</f>
        <v>5.44</v>
      </c>
      <c r="L84" s="18">
        <f>IFERROR(__xludf.DUMMYFUNCTION("""COMPUTED_VALUE"""),8.7)</f>
        <v>8.7</v>
      </c>
    </row>
    <row r="85">
      <c r="A85" s="13" t="str">
        <f>IFERROR(__xludf.DUMMYFUNCTION("""COMPUTED_VALUE"""),"товари")</f>
        <v>товари</v>
      </c>
      <c r="B85" s="13" t="str">
        <f>IFERROR(__xludf.DUMMYFUNCTION("""COMPUTED_VALUE"""),"будівництво")</f>
        <v>будівництво</v>
      </c>
      <c r="C85" s="15" t="str">
        <f>IFERROR(__xludf.DUMMYFUNCTION("""COMPUTED_VALUE"""),"будівельні матеріали")</f>
        <v>будівельні матеріали</v>
      </c>
      <c r="D85" s="15" t="str">
        <f>IFERROR(__xludf.DUMMYFUNCTION("""COMPUTED_VALUE"""),"вогнетривкі та кислототривкі матеріали")</f>
        <v>вогнетривкі та кислототривкі матеріали</v>
      </c>
      <c r="E85" s="15" t="str">
        <f>IFERROR(__xludf.DUMMYFUNCTION("""COMPUTED_VALUE"""),"вогнетривкі та кислототривкі матеріали")</f>
        <v>вогнетривкі та кислототривкі матеріали</v>
      </c>
      <c r="F85" s="17">
        <f>IFERROR(__xludf.DUMMYFUNCTION("""COMPUTED_VALUE"""),3.0)</f>
        <v>3</v>
      </c>
      <c r="G85" s="17">
        <f>IFERROR(__xludf.DUMMYFUNCTION("""COMPUTED_VALUE"""),1321.0)</f>
        <v>1321</v>
      </c>
      <c r="H85" s="17" t="str">
        <f>IFERROR(__xludf.DUMMYFUNCTION("""COMPUTED_VALUE"""),"вогнетривкі та кислототривкі матеріали")</f>
        <v>вогнетривкі та кислототривкі матеріали</v>
      </c>
      <c r="I85" s="18">
        <f>IFERROR(__xludf.DUMMYFUNCTION("""COMPUTED_VALUE"""),0.76)</f>
        <v>0.76</v>
      </c>
      <c r="J85" s="18">
        <f>IFERROR(__xludf.DUMMYFUNCTION("""COMPUTED_VALUE"""),1.53)</f>
        <v>1.53</v>
      </c>
      <c r="K85" s="18">
        <f>IFERROR(__xludf.DUMMYFUNCTION("""COMPUTED_VALUE"""),1.91)</f>
        <v>1.91</v>
      </c>
      <c r="L85" s="18">
        <f>IFERROR(__xludf.DUMMYFUNCTION("""COMPUTED_VALUE"""),3.05)</f>
        <v>3.05</v>
      </c>
    </row>
    <row r="86">
      <c r="A86" s="13" t="str">
        <f>IFERROR(__xludf.DUMMYFUNCTION("""COMPUTED_VALUE"""),"товари")</f>
        <v>товари</v>
      </c>
      <c r="B86" s="13" t="str">
        <f>IFERROR(__xludf.DUMMYFUNCTION("""COMPUTED_VALUE"""),"будівництво")</f>
        <v>будівництво</v>
      </c>
      <c r="C86" s="15" t="str">
        <f>IFERROR(__xludf.DUMMYFUNCTION("""COMPUTED_VALUE"""),"водо-, газо-, теплозабезпечення")</f>
        <v>водо-, газо-, теплозабезпечення</v>
      </c>
      <c r="D86" s="15" t="str">
        <f>IFERROR(__xludf.DUMMYFUNCTION("""COMPUTED_VALUE"""),"опалювальне обладнання")</f>
        <v>опалювальне обладнання</v>
      </c>
      <c r="E86" s="15" t="str">
        <f>IFERROR(__xludf.DUMMYFUNCTION("""COMPUTED_VALUE"""),"гідравлічні стрілки")</f>
        <v>гідравлічні стрілки</v>
      </c>
      <c r="F86" s="17">
        <f>IFERROR(__xludf.DUMMYFUNCTION("""COMPUTED_VALUE"""),4.0)</f>
        <v>4</v>
      </c>
      <c r="G86" s="17">
        <f>IFERROR(__xludf.DUMMYFUNCTION("""COMPUTED_VALUE"""),1.3240129E7)</f>
        <v>13240129</v>
      </c>
      <c r="H86" s="17" t="str">
        <f>IFERROR(__xludf.DUMMYFUNCTION("""COMPUTED_VALUE"""),"гідравлічні стрілки")</f>
        <v>гідравлічні стрілки</v>
      </c>
      <c r="I86" s="18">
        <f>IFERROR(__xludf.DUMMYFUNCTION("""COMPUTED_VALUE"""),2.7)</f>
        <v>2.7</v>
      </c>
      <c r="J86" s="18">
        <f>IFERROR(__xludf.DUMMYFUNCTION("""COMPUTED_VALUE"""),5.4)</f>
        <v>5.4</v>
      </c>
      <c r="K86" s="18">
        <f>IFERROR(__xludf.DUMMYFUNCTION("""COMPUTED_VALUE"""),6.75)</f>
        <v>6.75</v>
      </c>
      <c r="L86" s="18">
        <f>IFERROR(__xludf.DUMMYFUNCTION("""COMPUTED_VALUE"""),10.8)</f>
        <v>10.8</v>
      </c>
    </row>
    <row r="87">
      <c r="A87" s="13" t="str">
        <f>IFERROR(__xludf.DUMMYFUNCTION("""COMPUTED_VALUE"""),"товари")</f>
        <v>товари</v>
      </c>
      <c r="B87" s="13" t="str">
        <f>IFERROR(__xludf.DUMMYFUNCTION("""COMPUTED_VALUE"""),"будівництво")</f>
        <v>будівництво</v>
      </c>
      <c r="C87" s="15" t="str">
        <f>IFERROR(__xludf.DUMMYFUNCTION("""COMPUTED_VALUE"""),"оздоблювальні матеріали")</f>
        <v>оздоблювальні матеріали</v>
      </c>
      <c r="D87" s="15" t="str">
        <f>IFERROR(__xludf.DUMMYFUNCTION("""COMPUTED_VALUE"""),"матеріали для гіпсокартонних робіт")</f>
        <v>матеріали для гіпсокартонних робіт</v>
      </c>
      <c r="E87" s="15" t="str">
        <f>IFERROR(__xludf.DUMMYFUNCTION("""COMPUTED_VALUE"""),"гіпсокартон")</f>
        <v>гіпсокартон</v>
      </c>
      <c r="F87" s="17">
        <f>IFERROR(__xludf.DUMMYFUNCTION("""COMPUTED_VALUE"""),4.0)</f>
        <v>4</v>
      </c>
      <c r="G87" s="17">
        <f>IFERROR(__xludf.DUMMYFUNCTION("""COMPUTED_VALUE"""),131403.0)</f>
        <v>131403</v>
      </c>
      <c r="H87" s="17" t="str">
        <f>IFERROR(__xludf.DUMMYFUNCTION("""COMPUTED_VALUE"""),"гіпсокартон")</f>
        <v>гіпсокартон</v>
      </c>
      <c r="I87" s="18">
        <f>IFERROR(__xludf.DUMMYFUNCTION("""COMPUTED_VALUE"""),0.76)</f>
        <v>0.76</v>
      </c>
      <c r="J87" s="18">
        <f>IFERROR(__xludf.DUMMYFUNCTION("""COMPUTED_VALUE"""),1.53)</f>
        <v>1.53</v>
      </c>
      <c r="K87" s="18">
        <f>IFERROR(__xludf.DUMMYFUNCTION("""COMPUTED_VALUE"""),1.91)</f>
        <v>1.91</v>
      </c>
      <c r="L87" s="18">
        <f>IFERROR(__xludf.DUMMYFUNCTION("""COMPUTED_VALUE"""),3.05)</f>
        <v>3.05</v>
      </c>
    </row>
    <row r="88">
      <c r="A88" s="13" t="str">
        <f>IFERROR(__xludf.DUMMYFUNCTION("""COMPUTED_VALUE"""),"товари")</f>
        <v>товари</v>
      </c>
      <c r="B88" s="13" t="str">
        <f>IFERROR(__xludf.DUMMYFUNCTION("""COMPUTED_VALUE"""),"будівництво")</f>
        <v>будівництво</v>
      </c>
      <c r="C88" s="15" t="str">
        <f>IFERROR(__xludf.DUMMYFUNCTION("""COMPUTED_VALUE"""),"оздоблювальні матеріали")</f>
        <v>оздоблювальні матеріали</v>
      </c>
      <c r="D88" s="15" t="str">
        <f>IFERROR(__xludf.DUMMYFUNCTION("""COMPUTED_VALUE"""),"матеріали для гіпсокартонних робіт")</f>
        <v>матеріали для гіпсокартонних робіт</v>
      </c>
      <c r="E88" s="15" t="str">
        <f>IFERROR(__xludf.DUMMYFUNCTION("""COMPUTED_VALUE"""),"гіпсокартонний профіль")</f>
        <v>гіпсокартонний профіль</v>
      </c>
      <c r="F88" s="17">
        <f>IFERROR(__xludf.DUMMYFUNCTION("""COMPUTED_VALUE"""),4.0)</f>
        <v>4</v>
      </c>
      <c r="G88" s="17">
        <f>IFERROR(__xludf.DUMMYFUNCTION("""COMPUTED_VALUE"""),1.3260702E7)</f>
        <v>13260702</v>
      </c>
      <c r="H88" s="17" t="str">
        <f>IFERROR(__xludf.DUMMYFUNCTION("""COMPUTED_VALUE"""),"гіпсокартонний профіль")</f>
        <v>гіпсокартонний профіль</v>
      </c>
      <c r="I88" s="18">
        <f>IFERROR(__xludf.DUMMYFUNCTION("""COMPUTED_VALUE"""),0.76)</f>
        <v>0.76</v>
      </c>
      <c r="J88" s="18">
        <f>IFERROR(__xludf.DUMMYFUNCTION("""COMPUTED_VALUE"""),1.53)</f>
        <v>1.53</v>
      </c>
      <c r="K88" s="18">
        <f>IFERROR(__xludf.DUMMYFUNCTION("""COMPUTED_VALUE"""),1.91)</f>
        <v>1.91</v>
      </c>
      <c r="L88" s="18">
        <f>IFERROR(__xludf.DUMMYFUNCTION("""COMPUTED_VALUE"""),3.05)</f>
        <v>3.05</v>
      </c>
    </row>
    <row r="89">
      <c r="A89" s="13" t="str">
        <f>IFERROR(__xludf.DUMMYFUNCTION("""COMPUTED_VALUE"""),"товари")</f>
        <v>товари</v>
      </c>
      <c r="B89" s="13" t="str">
        <f>IFERROR(__xludf.DUMMYFUNCTION("""COMPUTED_VALUE"""),"будівництво")</f>
        <v>будівництво</v>
      </c>
      <c r="C89" s="15" t="str">
        <f>IFERROR(__xludf.DUMMYFUNCTION("""COMPUTED_VALUE"""),"будівельні матеріали")</f>
        <v>будівельні матеріали</v>
      </c>
      <c r="D89" s="15" t="str">
        <f>IFERROR(__xludf.DUMMYFUNCTION("""COMPUTED_VALUE"""),"стінові та мурувальні матеріали")</f>
        <v>стінові та мурувальні матеріали</v>
      </c>
      <c r="E89" s="15" t="str">
        <f>IFERROR(__xludf.DUMMYFUNCTION("""COMPUTED_VALUE"""),"гнучкі зв'язки для мурування")</f>
        <v>гнучкі зв'язки для мурування</v>
      </c>
      <c r="F89" s="17">
        <f>IFERROR(__xludf.DUMMYFUNCTION("""COMPUTED_VALUE"""),4.0)</f>
        <v>4</v>
      </c>
      <c r="G89" s="17">
        <f>IFERROR(__xludf.DUMMYFUNCTION("""COMPUTED_VALUE"""),1.3070213E7)</f>
        <v>13070213</v>
      </c>
      <c r="H89" s="17" t="str">
        <f>IFERROR(__xludf.DUMMYFUNCTION("""COMPUTED_VALUE"""),"гнучкі зв'язки для мурування")</f>
        <v>гнучкі зв'язки для мурування</v>
      </c>
      <c r="I89" s="18">
        <f>IFERROR(__xludf.DUMMYFUNCTION("""COMPUTED_VALUE"""),1.26)</f>
        <v>1.26</v>
      </c>
      <c r="J89" s="18">
        <f>IFERROR(__xludf.DUMMYFUNCTION("""COMPUTED_VALUE"""),2.53)</f>
        <v>2.53</v>
      </c>
      <c r="K89" s="18">
        <f>IFERROR(__xludf.DUMMYFUNCTION("""COMPUTED_VALUE"""),3.16)</f>
        <v>3.16</v>
      </c>
      <c r="L89" s="18">
        <f>IFERROR(__xludf.DUMMYFUNCTION("""COMPUTED_VALUE"""),5.05)</f>
        <v>5.05</v>
      </c>
    </row>
    <row r="90">
      <c r="A90" s="13" t="str">
        <f>IFERROR(__xludf.DUMMYFUNCTION("""COMPUTED_VALUE"""),"товари")</f>
        <v>товари</v>
      </c>
      <c r="B90" s="13" t="str">
        <f>IFERROR(__xludf.DUMMYFUNCTION("""COMPUTED_VALUE"""),"будівництво")</f>
        <v>будівництво</v>
      </c>
      <c r="C90" s="15" t="str">
        <f>IFERROR(__xludf.DUMMYFUNCTION("""COMPUTED_VALUE"""),"будівельні матеріали")</f>
        <v>будівельні матеріали</v>
      </c>
      <c r="D90" s="15" t="str">
        <f>IFERROR(__xludf.DUMMYFUNCTION("""COMPUTED_VALUE"""),"пиломатеріали")</f>
        <v>пиломатеріали</v>
      </c>
      <c r="E90" s="15" t="str">
        <f>IFERROR(__xludf.DUMMYFUNCTION("""COMPUTED_VALUE"""),"дерев'яні дошки")</f>
        <v>дерев'яні дошки</v>
      </c>
      <c r="F90" s="17">
        <f>IFERROR(__xludf.DUMMYFUNCTION("""COMPUTED_VALUE"""),4.0)</f>
        <v>4</v>
      </c>
      <c r="G90" s="17">
        <f>IFERROR(__xludf.DUMMYFUNCTION("""COMPUTED_VALUE"""),131122.0)</f>
        <v>131122</v>
      </c>
      <c r="H90" s="17" t="str">
        <f>IFERROR(__xludf.DUMMYFUNCTION("""COMPUTED_VALUE"""),"дерев'яні дошки")</f>
        <v>дерев'яні дошки</v>
      </c>
      <c r="I90" s="18">
        <f>IFERROR(__xludf.DUMMYFUNCTION("""COMPUTED_VALUE"""),1.44)</f>
        <v>1.44</v>
      </c>
      <c r="J90" s="18">
        <f>IFERROR(__xludf.DUMMYFUNCTION("""COMPUTED_VALUE"""),2.88)</f>
        <v>2.88</v>
      </c>
      <c r="K90" s="18">
        <f>IFERROR(__xludf.DUMMYFUNCTION("""COMPUTED_VALUE"""),3.59)</f>
        <v>3.59</v>
      </c>
      <c r="L90" s="18">
        <f>IFERROR(__xludf.DUMMYFUNCTION("""COMPUTED_VALUE"""),5.75)</f>
        <v>5.75</v>
      </c>
    </row>
    <row r="91">
      <c r="A91" s="13" t="str">
        <f>IFERROR(__xludf.DUMMYFUNCTION("""COMPUTED_VALUE"""),"товари")</f>
        <v>товари</v>
      </c>
      <c r="B91" s="13" t="str">
        <f>IFERROR(__xludf.DUMMYFUNCTION("""COMPUTED_VALUE"""),"будівництво")</f>
        <v>будівництво</v>
      </c>
      <c r="C91" s="15" t="str">
        <f>IFERROR(__xludf.DUMMYFUNCTION("""COMPUTED_VALUE"""),"будівельні матеріали")</f>
        <v>будівельні матеріали</v>
      </c>
      <c r="D91" s="15" t="str">
        <f>IFERROR(__xludf.DUMMYFUNCTION("""COMPUTED_VALUE"""),"пиломатеріали")</f>
        <v>пиломатеріали</v>
      </c>
      <c r="E91" s="15" t="str">
        <f>IFERROR(__xludf.DUMMYFUNCTION("""COMPUTED_VALUE"""),"деревно-плитні матеріали")</f>
        <v>деревно-плитні матеріали</v>
      </c>
      <c r="F91" s="17">
        <f>IFERROR(__xludf.DUMMYFUNCTION("""COMPUTED_VALUE"""),4.0)</f>
        <v>4</v>
      </c>
      <c r="G91" s="17">
        <f>IFERROR(__xludf.DUMMYFUNCTION("""COMPUTED_VALUE"""),131116.0)</f>
        <v>131116</v>
      </c>
      <c r="H91" s="17" t="str">
        <f>IFERROR(__xludf.DUMMYFUNCTION("""COMPUTED_VALUE"""),"деревно-плитні матеріали")</f>
        <v>деревно-плитні матеріали</v>
      </c>
      <c r="I91" s="18">
        <f>IFERROR(__xludf.DUMMYFUNCTION("""COMPUTED_VALUE"""),1.44)</f>
        <v>1.44</v>
      </c>
      <c r="J91" s="18">
        <f>IFERROR(__xludf.DUMMYFUNCTION("""COMPUTED_VALUE"""),2.88)</f>
        <v>2.88</v>
      </c>
      <c r="K91" s="18">
        <f>IFERROR(__xludf.DUMMYFUNCTION("""COMPUTED_VALUE"""),3.59)</f>
        <v>3.59</v>
      </c>
      <c r="L91" s="18">
        <f>IFERROR(__xludf.DUMMYFUNCTION("""COMPUTED_VALUE"""),5.75)</f>
        <v>5.75</v>
      </c>
    </row>
    <row r="92">
      <c r="A92" s="13" t="str">
        <f>IFERROR(__xludf.DUMMYFUNCTION("""COMPUTED_VALUE"""),"товари")</f>
        <v>товари</v>
      </c>
      <c r="B92" s="13" t="str">
        <f>IFERROR(__xludf.DUMMYFUNCTION("""COMPUTED_VALUE"""),"будівництво")</f>
        <v>будівництво</v>
      </c>
      <c r="C92" s="15" t="str">
        <f>IFERROR(__xludf.DUMMYFUNCTION("""COMPUTED_VALUE"""),"будівельна техніка та обладнання")</f>
        <v>будівельна техніка та обладнання</v>
      </c>
      <c r="D92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92" s="15" t="str">
        <f>IFERROR(__xludf.DUMMYFUNCTION("""COMPUTED_VALUE"""),"дорожні котки")</f>
        <v>дорожні котки</v>
      </c>
      <c r="F92" s="17">
        <f>IFERROR(__xludf.DUMMYFUNCTION("""COMPUTED_VALUE"""),4.0)</f>
        <v>4</v>
      </c>
      <c r="G92" s="17">
        <f>IFERROR(__xludf.DUMMYFUNCTION("""COMPUTED_VALUE"""),132612.0)</f>
        <v>132612</v>
      </c>
      <c r="H92" s="17" t="str">
        <f>IFERROR(__xludf.DUMMYFUNCTION("""COMPUTED_VALUE"""),"дорожні котки")</f>
        <v>дорожні котки</v>
      </c>
      <c r="I92" s="18">
        <f>IFERROR(__xludf.DUMMYFUNCTION("""COMPUTED_VALUE"""),1.95)</f>
        <v>1.95</v>
      </c>
      <c r="J92" s="18">
        <f>IFERROR(__xludf.DUMMYFUNCTION("""COMPUTED_VALUE"""),3.9)</f>
        <v>3.9</v>
      </c>
      <c r="K92" s="18">
        <f>IFERROR(__xludf.DUMMYFUNCTION("""COMPUTED_VALUE"""),4.88)</f>
        <v>4.88</v>
      </c>
      <c r="L92" s="18">
        <f>IFERROR(__xludf.DUMMYFUNCTION("""COMPUTED_VALUE"""),7.8)</f>
        <v>7.8</v>
      </c>
    </row>
    <row r="93">
      <c r="A93" s="13" t="str">
        <f>IFERROR(__xludf.DUMMYFUNCTION("""COMPUTED_VALUE"""),"товари")</f>
        <v>товари</v>
      </c>
      <c r="B93" s="13" t="str">
        <f>IFERROR(__xludf.DUMMYFUNCTION("""COMPUTED_VALUE"""),"будівництво")</f>
        <v>будівництво</v>
      </c>
      <c r="C93" s="15" t="str">
        <f>IFERROR(__xludf.DUMMYFUNCTION("""COMPUTED_VALUE"""),"будівельні матеріали")</f>
        <v>будівельні матеріали</v>
      </c>
      <c r="D93" s="15" t="str">
        <f>IFERROR(__xludf.DUMMYFUNCTION("""COMPUTED_VALUE"""),"дорожні матеріали")</f>
        <v>дорожні матеріали</v>
      </c>
      <c r="E93" s="15" t="str">
        <f>IFERROR(__xludf.DUMMYFUNCTION("""COMPUTED_VALUE"""),"дорожні матеріали, загальне")</f>
        <v>дорожні матеріали, загальне</v>
      </c>
      <c r="F93" s="17">
        <f>IFERROR(__xludf.DUMMYFUNCTION("""COMPUTED_VALUE"""),4.0)</f>
        <v>4</v>
      </c>
      <c r="G93" s="17">
        <f>IFERROR(__xludf.DUMMYFUNCTION("""COMPUTED_VALUE"""),1.3072901E7)</f>
        <v>13072901</v>
      </c>
      <c r="H93" s="17" t="str">
        <f>IFERROR(__xludf.DUMMYFUNCTION("""COMPUTED_VALUE"""),"дорожні матеріали, загальне")</f>
        <v>дорожні матеріали, загальне</v>
      </c>
      <c r="I93" s="18">
        <f>IFERROR(__xludf.DUMMYFUNCTION("""COMPUTED_VALUE"""),2.16)</f>
        <v>2.16</v>
      </c>
      <c r="J93" s="18">
        <f>IFERROR(__xludf.DUMMYFUNCTION("""COMPUTED_VALUE"""),4.33)</f>
        <v>4.33</v>
      </c>
      <c r="K93" s="18">
        <f>IFERROR(__xludf.DUMMYFUNCTION("""COMPUTED_VALUE"""),5.41)</f>
        <v>5.41</v>
      </c>
      <c r="L93" s="18">
        <f>IFERROR(__xludf.DUMMYFUNCTION("""COMPUTED_VALUE"""),8.65)</f>
        <v>8.65</v>
      </c>
    </row>
    <row r="94">
      <c r="A94" s="13" t="str">
        <f>IFERROR(__xludf.DUMMYFUNCTION("""COMPUTED_VALUE"""),"товари")</f>
        <v>товари</v>
      </c>
      <c r="B94" s="13" t="str">
        <f>IFERROR(__xludf.DUMMYFUNCTION("""COMPUTED_VALUE"""),"будівництво")</f>
        <v>будівництво</v>
      </c>
      <c r="C94" s="15" t="str">
        <f>IFERROR(__xludf.DUMMYFUNCTION("""COMPUTED_VALUE"""),"будівельні матеріали")</f>
        <v>будівельні матеріали</v>
      </c>
      <c r="D94" s="15" t="str">
        <f>IFERROR(__xludf.DUMMYFUNCTION("""COMPUTED_VALUE"""),"залізобетонні вироби")</f>
        <v>залізобетонні вироби</v>
      </c>
      <c r="E94" s="15" t="str">
        <f>IFERROR(__xludf.DUMMYFUNCTION("""COMPUTED_VALUE"""),"залізобетонні балки")</f>
        <v>залізобетонні балки</v>
      </c>
      <c r="F94" s="17">
        <f>IFERROR(__xludf.DUMMYFUNCTION("""COMPUTED_VALUE"""),4.0)</f>
        <v>4</v>
      </c>
      <c r="G94" s="17">
        <f>IFERROR(__xludf.DUMMYFUNCTION("""COMPUTED_VALUE"""),1.3070415E7)</f>
        <v>13070415</v>
      </c>
      <c r="H94" s="17" t="str">
        <f>IFERROR(__xludf.DUMMYFUNCTION("""COMPUTED_VALUE"""),"залізобетонні балки")</f>
        <v>залізобетонні балки</v>
      </c>
      <c r="I94" s="18">
        <f>IFERROR(__xludf.DUMMYFUNCTION("""COMPUTED_VALUE"""),2.7)</f>
        <v>2.7</v>
      </c>
      <c r="J94" s="18">
        <f>IFERROR(__xludf.DUMMYFUNCTION("""COMPUTED_VALUE"""),5.4)</f>
        <v>5.4</v>
      </c>
      <c r="K94" s="18">
        <f>IFERROR(__xludf.DUMMYFUNCTION("""COMPUTED_VALUE"""),6.75)</f>
        <v>6.75</v>
      </c>
      <c r="L94" s="18">
        <f>IFERROR(__xludf.DUMMYFUNCTION("""COMPUTED_VALUE"""),10.8)</f>
        <v>10.8</v>
      </c>
    </row>
    <row r="95">
      <c r="A95" s="13" t="str">
        <f>IFERROR(__xludf.DUMMYFUNCTION("""COMPUTED_VALUE"""),"товари")</f>
        <v>товари</v>
      </c>
      <c r="B95" s="13" t="str">
        <f>IFERROR(__xludf.DUMMYFUNCTION("""COMPUTED_VALUE"""),"будівництво")</f>
        <v>будівництво</v>
      </c>
      <c r="C95" s="15" t="str">
        <f>IFERROR(__xludf.DUMMYFUNCTION("""COMPUTED_VALUE"""),"будівельні матеріали")</f>
        <v>будівельні матеріали</v>
      </c>
      <c r="D95" s="15" t="str">
        <f>IFERROR(__xludf.DUMMYFUNCTION("""COMPUTED_VALUE"""),"залізобетонні вироби")</f>
        <v>залізобетонні вироби</v>
      </c>
      <c r="E95" s="15" t="str">
        <f>IFERROR(__xludf.DUMMYFUNCTION("""COMPUTED_VALUE"""),"залізобетонні колони")</f>
        <v>залізобетонні колони</v>
      </c>
      <c r="F95" s="17">
        <f>IFERROR(__xludf.DUMMYFUNCTION("""COMPUTED_VALUE"""),4.0)</f>
        <v>4</v>
      </c>
      <c r="G95" s="17">
        <f>IFERROR(__xludf.DUMMYFUNCTION("""COMPUTED_VALUE"""),1.3070428E7)</f>
        <v>13070428</v>
      </c>
      <c r="H95" s="17" t="str">
        <f>IFERROR(__xludf.DUMMYFUNCTION("""COMPUTED_VALUE"""),"залізобетонні колони")</f>
        <v>залізобетонні колони</v>
      </c>
      <c r="I95" s="18">
        <f>IFERROR(__xludf.DUMMYFUNCTION("""COMPUTED_VALUE"""),2.7)</f>
        <v>2.7</v>
      </c>
      <c r="J95" s="18">
        <f>IFERROR(__xludf.DUMMYFUNCTION("""COMPUTED_VALUE"""),5.4)</f>
        <v>5.4</v>
      </c>
      <c r="K95" s="18">
        <f>IFERROR(__xludf.DUMMYFUNCTION("""COMPUTED_VALUE"""),6.75)</f>
        <v>6.75</v>
      </c>
      <c r="L95" s="18">
        <f>IFERROR(__xludf.DUMMYFUNCTION("""COMPUTED_VALUE"""),10.8)</f>
        <v>10.8</v>
      </c>
    </row>
    <row r="96">
      <c r="A96" s="13" t="str">
        <f>IFERROR(__xludf.DUMMYFUNCTION("""COMPUTED_VALUE"""),"товари")</f>
        <v>товари</v>
      </c>
      <c r="B96" s="13" t="str">
        <f>IFERROR(__xludf.DUMMYFUNCTION("""COMPUTED_VALUE"""),"будівництво")</f>
        <v>будівництво</v>
      </c>
      <c r="C96" s="15" t="str">
        <f>IFERROR(__xludf.DUMMYFUNCTION("""COMPUTED_VALUE"""),"будівельні матеріали")</f>
        <v>будівельні матеріали</v>
      </c>
      <c r="D96" s="15" t="str">
        <f>IFERROR(__xludf.DUMMYFUNCTION("""COMPUTED_VALUE"""),"залізобетонні вироби")</f>
        <v>залізобетонні вироби</v>
      </c>
      <c r="E96" s="15" t="str">
        <f>IFERROR(__xludf.DUMMYFUNCTION("""COMPUTED_VALUE"""),"залізобетонні кришки і лотки")</f>
        <v>залізобетонні кришки і лотки</v>
      </c>
      <c r="F96" s="17">
        <f>IFERROR(__xludf.DUMMYFUNCTION("""COMPUTED_VALUE"""),4.0)</f>
        <v>4</v>
      </c>
      <c r="G96" s="17">
        <f>IFERROR(__xludf.DUMMYFUNCTION("""COMPUTED_VALUE"""),1.3070413E7)</f>
        <v>13070413</v>
      </c>
      <c r="H96" s="17" t="str">
        <f>IFERROR(__xludf.DUMMYFUNCTION("""COMPUTED_VALUE"""),"залізобетонні кришки і лотки")</f>
        <v>залізобетонні кришки і лотки</v>
      </c>
      <c r="I96" s="18">
        <f>IFERROR(__xludf.DUMMYFUNCTION("""COMPUTED_VALUE"""),2.7)</f>
        <v>2.7</v>
      </c>
      <c r="J96" s="18">
        <f>IFERROR(__xludf.DUMMYFUNCTION("""COMPUTED_VALUE"""),5.4)</f>
        <v>5.4</v>
      </c>
      <c r="K96" s="18">
        <f>IFERROR(__xludf.DUMMYFUNCTION("""COMPUTED_VALUE"""),6.75)</f>
        <v>6.75</v>
      </c>
      <c r="L96" s="18">
        <f>IFERROR(__xludf.DUMMYFUNCTION("""COMPUTED_VALUE"""),10.8)</f>
        <v>10.8</v>
      </c>
    </row>
    <row r="97">
      <c r="A97" s="13" t="str">
        <f>IFERROR(__xludf.DUMMYFUNCTION("""COMPUTED_VALUE"""),"товари")</f>
        <v>товари</v>
      </c>
      <c r="B97" s="13" t="str">
        <f>IFERROR(__xludf.DUMMYFUNCTION("""COMPUTED_VALUE"""),"будівництво")</f>
        <v>будівництво</v>
      </c>
      <c r="C97" s="15" t="str">
        <f>IFERROR(__xludf.DUMMYFUNCTION("""COMPUTED_VALUE"""),"будівельні матеріали")</f>
        <v>будівельні матеріали</v>
      </c>
      <c r="D97" s="15" t="str">
        <f>IFERROR(__xludf.DUMMYFUNCTION("""COMPUTED_VALUE"""),"залізобетонні вироби")</f>
        <v>залізобетонні вироби</v>
      </c>
      <c r="E97" s="15" t="str">
        <f>IFERROR(__xludf.DUMMYFUNCTION("""COMPUTED_VALUE"""),"залізобетонні обтяжувачі")</f>
        <v>залізобетонні обтяжувачі</v>
      </c>
      <c r="F97" s="17">
        <f>IFERROR(__xludf.DUMMYFUNCTION("""COMPUTED_VALUE"""),4.0)</f>
        <v>4</v>
      </c>
      <c r="G97" s="17">
        <f>IFERROR(__xludf.DUMMYFUNCTION("""COMPUTED_VALUE"""),1.3070424E7)</f>
        <v>13070424</v>
      </c>
      <c r="H97" s="17" t="str">
        <f>IFERROR(__xludf.DUMMYFUNCTION("""COMPUTED_VALUE"""),"залізобетонні обтяжувачі")</f>
        <v>залізобетонні обтяжувачі</v>
      </c>
      <c r="I97" s="18">
        <f>IFERROR(__xludf.DUMMYFUNCTION("""COMPUTED_VALUE"""),2.7)</f>
        <v>2.7</v>
      </c>
      <c r="J97" s="18">
        <f>IFERROR(__xludf.DUMMYFUNCTION("""COMPUTED_VALUE"""),5.4)</f>
        <v>5.4</v>
      </c>
      <c r="K97" s="18">
        <f>IFERROR(__xludf.DUMMYFUNCTION("""COMPUTED_VALUE"""),6.75)</f>
        <v>6.75</v>
      </c>
      <c r="L97" s="18">
        <f>IFERROR(__xludf.DUMMYFUNCTION("""COMPUTED_VALUE"""),10.8)</f>
        <v>10.8</v>
      </c>
    </row>
    <row r="98">
      <c r="A98" s="13" t="str">
        <f>IFERROR(__xludf.DUMMYFUNCTION("""COMPUTED_VALUE"""),"товари")</f>
        <v>товари</v>
      </c>
      <c r="B98" s="13" t="str">
        <f>IFERROR(__xludf.DUMMYFUNCTION("""COMPUTED_VALUE"""),"будівництво")</f>
        <v>будівництво</v>
      </c>
      <c r="C98" s="15" t="str">
        <f>IFERROR(__xludf.DUMMYFUNCTION("""COMPUTED_VALUE"""),"будівельні матеріали")</f>
        <v>будівельні матеріали</v>
      </c>
      <c r="D98" s="15" t="str">
        <f>IFERROR(__xludf.DUMMYFUNCTION("""COMPUTED_VALUE"""),"залізобетонні вироби")</f>
        <v>залізобетонні вироби</v>
      </c>
      <c r="E98" s="15" t="str">
        <f>IFERROR(__xludf.DUMMYFUNCTION("""COMPUTED_VALUE"""),"залізобетонні опори леп")</f>
        <v>залізобетонні опори леп</v>
      </c>
      <c r="F98" s="17">
        <f>IFERROR(__xludf.DUMMYFUNCTION("""COMPUTED_VALUE"""),4.0)</f>
        <v>4</v>
      </c>
      <c r="G98" s="17">
        <f>IFERROR(__xludf.DUMMYFUNCTION("""COMPUTED_VALUE"""),1.3070417E7)</f>
        <v>13070417</v>
      </c>
      <c r="H98" s="17" t="str">
        <f>IFERROR(__xludf.DUMMYFUNCTION("""COMPUTED_VALUE"""),"залізобетонні опори леп")</f>
        <v>залізобетонні опори леп</v>
      </c>
      <c r="I98" s="18">
        <f>IFERROR(__xludf.DUMMYFUNCTION("""COMPUTED_VALUE"""),2.7)</f>
        <v>2.7</v>
      </c>
      <c r="J98" s="18">
        <f>IFERROR(__xludf.DUMMYFUNCTION("""COMPUTED_VALUE"""),5.4)</f>
        <v>5.4</v>
      </c>
      <c r="K98" s="18">
        <f>IFERROR(__xludf.DUMMYFUNCTION("""COMPUTED_VALUE"""),6.75)</f>
        <v>6.75</v>
      </c>
      <c r="L98" s="18">
        <f>IFERROR(__xludf.DUMMYFUNCTION("""COMPUTED_VALUE"""),10.8)</f>
        <v>10.8</v>
      </c>
    </row>
    <row r="99">
      <c r="A99" s="13" t="str">
        <f>IFERROR(__xludf.DUMMYFUNCTION("""COMPUTED_VALUE"""),"товари")</f>
        <v>товари</v>
      </c>
      <c r="B99" s="13" t="str">
        <f>IFERROR(__xludf.DUMMYFUNCTION("""COMPUTED_VALUE"""),"будівництво")</f>
        <v>будівництво</v>
      </c>
      <c r="C99" s="15" t="str">
        <f>IFERROR(__xludf.DUMMYFUNCTION("""COMPUTED_VALUE"""),"будівельні матеріали")</f>
        <v>будівельні матеріали</v>
      </c>
      <c r="D99" s="15" t="str">
        <f>IFERROR(__xludf.DUMMYFUNCTION("""COMPUTED_VALUE"""),"залізобетонні вироби")</f>
        <v>залізобетонні вироби</v>
      </c>
      <c r="E99" s="15" t="str">
        <f>IFERROR(__xludf.DUMMYFUNCTION("""COMPUTED_VALUE"""),"залізобетонні ригелі")</f>
        <v>залізобетонні ригелі</v>
      </c>
      <c r="F99" s="17">
        <f>IFERROR(__xludf.DUMMYFUNCTION("""COMPUTED_VALUE"""),4.0)</f>
        <v>4</v>
      </c>
      <c r="G99" s="17">
        <f>IFERROR(__xludf.DUMMYFUNCTION("""COMPUTED_VALUE"""),1.3070419E7)</f>
        <v>13070419</v>
      </c>
      <c r="H99" s="17" t="str">
        <f>IFERROR(__xludf.DUMMYFUNCTION("""COMPUTED_VALUE"""),"залізобетонні ригелі")</f>
        <v>залізобетонні ригелі</v>
      </c>
      <c r="I99" s="18">
        <f>IFERROR(__xludf.DUMMYFUNCTION("""COMPUTED_VALUE"""),2.7)</f>
        <v>2.7</v>
      </c>
      <c r="J99" s="18">
        <f>IFERROR(__xludf.DUMMYFUNCTION("""COMPUTED_VALUE"""),5.4)</f>
        <v>5.4</v>
      </c>
      <c r="K99" s="18">
        <f>IFERROR(__xludf.DUMMYFUNCTION("""COMPUTED_VALUE"""),6.75)</f>
        <v>6.75</v>
      </c>
      <c r="L99" s="18">
        <f>IFERROR(__xludf.DUMMYFUNCTION("""COMPUTED_VALUE"""),10.8)</f>
        <v>10.8</v>
      </c>
    </row>
    <row r="100">
      <c r="A100" s="13" t="str">
        <f>IFERROR(__xludf.DUMMYFUNCTION("""COMPUTED_VALUE"""),"товари")</f>
        <v>товари</v>
      </c>
      <c r="B100" s="13" t="str">
        <f>IFERROR(__xludf.DUMMYFUNCTION("""COMPUTED_VALUE"""),"будівництво")</f>
        <v>будівництво</v>
      </c>
      <c r="C100" s="15" t="str">
        <f>IFERROR(__xludf.DUMMYFUNCTION("""COMPUTED_VALUE"""),"будівельні матеріали")</f>
        <v>будівельні матеріали</v>
      </c>
      <c r="D100" s="15" t="str">
        <f>IFERROR(__xludf.DUMMYFUNCTION("""COMPUTED_VALUE"""),"залізобетонні вироби")</f>
        <v>залізобетонні вироби</v>
      </c>
      <c r="E100" s="15" t="str">
        <f>IFERROR(__xludf.DUMMYFUNCTION("""COMPUTED_VALUE"""),"залізобетонні стовпчики")</f>
        <v>залізобетонні стовпчики</v>
      </c>
      <c r="F100" s="17">
        <f>IFERROR(__xludf.DUMMYFUNCTION("""COMPUTED_VALUE"""),4.0)</f>
        <v>4</v>
      </c>
      <c r="G100" s="17">
        <f>IFERROR(__xludf.DUMMYFUNCTION("""COMPUTED_VALUE"""),1.3070416E7)</f>
        <v>13070416</v>
      </c>
      <c r="H100" s="17" t="str">
        <f>IFERROR(__xludf.DUMMYFUNCTION("""COMPUTED_VALUE"""),"залізобетонні стовпчики")</f>
        <v>залізобетонні стовпчики</v>
      </c>
      <c r="I100" s="18">
        <f>IFERROR(__xludf.DUMMYFUNCTION("""COMPUTED_VALUE"""),2.7)</f>
        <v>2.7</v>
      </c>
      <c r="J100" s="18">
        <f>IFERROR(__xludf.DUMMYFUNCTION("""COMPUTED_VALUE"""),5.4)</f>
        <v>5.4</v>
      </c>
      <c r="K100" s="18">
        <f>IFERROR(__xludf.DUMMYFUNCTION("""COMPUTED_VALUE"""),6.75)</f>
        <v>6.75</v>
      </c>
      <c r="L100" s="18">
        <f>IFERROR(__xludf.DUMMYFUNCTION("""COMPUTED_VALUE"""),10.8)</f>
        <v>10.8</v>
      </c>
    </row>
    <row r="101">
      <c r="A101" s="13" t="str">
        <f>IFERROR(__xludf.DUMMYFUNCTION("""COMPUTED_VALUE"""),"товари")</f>
        <v>товари</v>
      </c>
      <c r="B101" s="13" t="str">
        <f>IFERROR(__xludf.DUMMYFUNCTION("""COMPUTED_VALUE"""),"будівництво")</f>
        <v>будівництво</v>
      </c>
      <c r="C101" s="15" t="str">
        <f>IFERROR(__xludf.DUMMYFUNCTION("""COMPUTED_VALUE"""),"будівельні матеріали")</f>
        <v>будівельні матеріали</v>
      </c>
      <c r="D101" s="15" t="str">
        <f>IFERROR(__xludf.DUMMYFUNCTION("""COMPUTED_VALUE"""),"залізобетонні вироби")</f>
        <v>залізобетонні вироби</v>
      </c>
      <c r="E101" s="15" t="str">
        <f>IFERROR(__xludf.DUMMYFUNCTION("""COMPUTED_VALUE"""),"залізобетонні фундаменти")</f>
        <v>залізобетонні фундаменти</v>
      </c>
      <c r="F101" s="17">
        <f>IFERROR(__xludf.DUMMYFUNCTION("""COMPUTED_VALUE"""),4.0)</f>
        <v>4</v>
      </c>
      <c r="G101" s="17">
        <f>IFERROR(__xludf.DUMMYFUNCTION("""COMPUTED_VALUE"""),1.3070402E7)</f>
        <v>13070402</v>
      </c>
      <c r="H101" s="17" t="str">
        <f>IFERROR(__xludf.DUMMYFUNCTION("""COMPUTED_VALUE"""),"залізобетонні фундаменти")</f>
        <v>залізобетонні фундаменти</v>
      </c>
      <c r="I101" s="18">
        <f>IFERROR(__xludf.DUMMYFUNCTION("""COMPUTED_VALUE"""),2.7)</f>
        <v>2.7</v>
      </c>
      <c r="J101" s="18">
        <f>IFERROR(__xludf.DUMMYFUNCTION("""COMPUTED_VALUE"""),5.4)</f>
        <v>5.4</v>
      </c>
      <c r="K101" s="18">
        <f>IFERROR(__xludf.DUMMYFUNCTION("""COMPUTED_VALUE"""),6.75)</f>
        <v>6.75</v>
      </c>
      <c r="L101" s="18">
        <f>IFERROR(__xludf.DUMMYFUNCTION("""COMPUTED_VALUE"""),10.8)</f>
        <v>10.8</v>
      </c>
    </row>
    <row r="102">
      <c r="A102" s="13" t="str">
        <f>IFERROR(__xludf.DUMMYFUNCTION("""COMPUTED_VALUE"""),"товари")</f>
        <v>товари</v>
      </c>
      <c r="B102" s="13" t="str">
        <f>IFERROR(__xludf.DUMMYFUNCTION("""COMPUTED_VALUE"""),"будівництво")</f>
        <v>будівництво</v>
      </c>
      <c r="C102" s="15" t="str">
        <f>IFERROR(__xludf.DUMMYFUNCTION("""COMPUTED_VALUE"""),"будівельні матеріали")</f>
        <v>будівельні матеріали</v>
      </c>
      <c r="D102" s="15" t="str">
        <f>IFERROR(__xludf.DUMMYFUNCTION("""COMPUTED_VALUE"""),"залізобетонні вироби")</f>
        <v>залізобетонні вироби</v>
      </c>
      <c r="E102" s="15" t="str">
        <f>IFERROR(__xludf.DUMMYFUNCTION("""COMPUTED_VALUE"""),"залізобетонні, азбестоцементні труби")</f>
        <v>залізобетонні, азбестоцементні труби</v>
      </c>
      <c r="F102" s="17">
        <f>IFERROR(__xludf.DUMMYFUNCTION("""COMPUTED_VALUE"""),4.0)</f>
        <v>4</v>
      </c>
      <c r="G102" s="17">
        <f>IFERROR(__xludf.DUMMYFUNCTION("""COMPUTED_VALUE"""),131009.0)</f>
        <v>131009</v>
      </c>
      <c r="H102" s="17" t="str">
        <f>IFERROR(__xludf.DUMMYFUNCTION("""COMPUTED_VALUE"""),"залізобетонні, азбестоцементні труби")</f>
        <v>залізобетонні, азбестоцементні труби</v>
      </c>
      <c r="I102" s="18">
        <f>IFERROR(__xludf.DUMMYFUNCTION("""COMPUTED_VALUE"""),2.7)</f>
        <v>2.7</v>
      </c>
      <c r="J102" s="18">
        <f>IFERROR(__xludf.DUMMYFUNCTION("""COMPUTED_VALUE"""),5.4)</f>
        <v>5.4</v>
      </c>
      <c r="K102" s="18">
        <f>IFERROR(__xludf.DUMMYFUNCTION("""COMPUTED_VALUE"""),6.75)</f>
        <v>6.75</v>
      </c>
      <c r="L102" s="18">
        <f>IFERROR(__xludf.DUMMYFUNCTION("""COMPUTED_VALUE"""),10.8)</f>
        <v>10.8</v>
      </c>
    </row>
    <row r="103">
      <c r="A103" s="13" t="str">
        <f>IFERROR(__xludf.DUMMYFUNCTION("""COMPUTED_VALUE"""),"товари")</f>
        <v>товари</v>
      </c>
      <c r="B103" s="13" t="str">
        <f>IFERROR(__xludf.DUMMYFUNCTION("""COMPUTED_VALUE"""),"будівництво")</f>
        <v>будівництво</v>
      </c>
      <c r="C103" s="15" t="str">
        <f>IFERROR(__xludf.DUMMYFUNCTION("""COMPUTED_VALUE"""),"водо-, газо-, теплозабезпечення")</f>
        <v>водо-, газо-, теплозабезпечення</v>
      </c>
      <c r="D103" s="15" t="str">
        <f>IFERROR(__xludf.DUMMYFUNCTION("""COMPUTED_VALUE"""),"запірна арматура")</f>
        <v>запірна арматура</v>
      </c>
      <c r="E103" s="15" t="str">
        <f>IFERROR(__xludf.DUMMYFUNCTION("""COMPUTED_VALUE"""),"затвори")</f>
        <v>затвори</v>
      </c>
      <c r="F103" s="17">
        <f>IFERROR(__xludf.DUMMYFUNCTION("""COMPUTED_VALUE"""),4.0)</f>
        <v>4</v>
      </c>
      <c r="G103" s="17">
        <f>IFERROR(__xludf.DUMMYFUNCTION("""COMPUTED_VALUE"""),1.3100631E7)</f>
        <v>13100631</v>
      </c>
      <c r="H103" s="17" t="str">
        <f>IFERROR(__xludf.DUMMYFUNCTION("""COMPUTED_VALUE"""),"затвори")</f>
        <v>затвори</v>
      </c>
      <c r="I103" s="18">
        <f>IFERROR(__xludf.DUMMYFUNCTION("""COMPUTED_VALUE"""),0.86)</f>
        <v>0.86</v>
      </c>
      <c r="J103" s="18">
        <f>IFERROR(__xludf.DUMMYFUNCTION("""COMPUTED_VALUE"""),1.71)</f>
        <v>1.71</v>
      </c>
      <c r="K103" s="18">
        <f>IFERROR(__xludf.DUMMYFUNCTION("""COMPUTED_VALUE"""),2.14)</f>
        <v>2.14</v>
      </c>
      <c r="L103" s="18">
        <f>IFERROR(__xludf.DUMMYFUNCTION("""COMPUTED_VALUE"""),3.43)</f>
        <v>3.43</v>
      </c>
    </row>
    <row r="104">
      <c r="A104" s="13" t="str">
        <f>IFERROR(__xludf.DUMMYFUNCTION("""COMPUTED_VALUE"""),"товари")</f>
        <v>товари</v>
      </c>
      <c r="B104" s="13" t="str">
        <f>IFERROR(__xludf.DUMMYFUNCTION("""COMPUTED_VALUE"""),"будівництво")</f>
        <v>будівництво</v>
      </c>
      <c r="C104" s="15" t="str">
        <f>IFERROR(__xludf.DUMMYFUNCTION("""COMPUTED_VALUE"""),"будівельна техніка та обладнання")</f>
        <v>будівельна техніка та обладнання</v>
      </c>
      <c r="D104" s="15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104" s="15" t="str">
        <f>IFERROR(__xludf.DUMMYFUNCTION("""COMPUTED_VALUE"""),"затиральні машини")</f>
        <v>затиральні машини</v>
      </c>
      <c r="F104" s="17">
        <f>IFERROR(__xludf.DUMMYFUNCTION("""COMPUTED_VALUE"""),4.0)</f>
        <v>4</v>
      </c>
      <c r="G104" s="17">
        <f>IFERROR(__xludf.DUMMYFUNCTION("""COMPUTED_VALUE"""),1.3040602E7)</f>
        <v>13040602</v>
      </c>
      <c r="H104" s="17" t="str">
        <f>IFERROR(__xludf.DUMMYFUNCTION("""COMPUTED_VALUE"""),"затиральні машини")</f>
        <v>затиральні машини</v>
      </c>
      <c r="I104" s="18">
        <f>IFERROR(__xludf.DUMMYFUNCTION("""COMPUTED_VALUE"""),1.89)</f>
        <v>1.89</v>
      </c>
      <c r="J104" s="18">
        <f>IFERROR(__xludf.DUMMYFUNCTION("""COMPUTED_VALUE"""),3.78)</f>
        <v>3.78</v>
      </c>
      <c r="K104" s="18">
        <f>IFERROR(__xludf.DUMMYFUNCTION("""COMPUTED_VALUE"""),4.72)</f>
        <v>4.72</v>
      </c>
      <c r="L104" s="18">
        <f>IFERROR(__xludf.DUMMYFUNCTION("""COMPUTED_VALUE"""),7.55)</f>
        <v>7.55</v>
      </c>
    </row>
    <row r="105">
      <c r="A105" s="13" t="str">
        <f>IFERROR(__xludf.DUMMYFUNCTION("""COMPUTED_VALUE"""),"товари")</f>
        <v>товари</v>
      </c>
      <c r="B105" s="13" t="str">
        <f>IFERROR(__xludf.DUMMYFUNCTION("""COMPUTED_VALUE"""),"будівництво")</f>
        <v>будівництво</v>
      </c>
      <c r="C105" s="15" t="str">
        <f>IFERROR(__xludf.DUMMYFUNCTION("""COMPUTED_VALUE"""),"водо-, газо-, теплозабезпечення")</f>
        <v>водо-, газо-, теплозабезпечення</v>
      </c>
      <c r="D105" s="15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105" s="15" t="str">
        <f>IFERROR(__xludf.DUMMYFUNCTION("""COMPUTED_VALUE"""),"комплектуючі для лічильників (побутові)")</f>
        <v>комплектуючі для лічильників (побутові)</v>
      </c>
      <c r="F105" s="17">
        <f>IFERROR(__xludf.DUMMYFUNCTION("""COMPUTED_VALUE"""),4.0)</f>
        <v>4</v>
      </c>
      <c r="G105" s="17">
        <f>IFERROR(__xludf.DUMMYFUNCTION("""COMPUTED_VALUE"""),1.3241502E7)</f>
        <v>13241502</v>
      </c>
      <c r="H105" s="17" t="str">
        <f>IFERROR(__xludf.DUMMYFUNCTION("""COMPUTED_VALUE"""),"комплектуючі для лічильників (побутові)")</f>
        <v>комплектуючі для лічильників (побутові)</v>
      </c>
      <c r="I105" s="18">
        <f>IFERROR(__xludf.DUMMYFUNCTION("""COMPUTED_VALUE"""),2.03)</f>
        <v>2.03</v>
      </c>
      <c r="J105" s="18">
        <f>IFERROR(__xludf.DUMMYFUNCTION("""COMPUTED_VALUE"""),4.05)</f>
        <v>4.05</v>
      </c>
      <c r="K105" s="18">
        <f>IFERROR(__xludf.DUMMYFUNCTION("""COMPUTED_VALUE"""),5.06)</f>
        <v>5.06</v>
      </c>
      <c r="L105" s="18">
        <f>IFERROR(__xludf.DUMMYFUNCTION("""COMPUTED_VALUE"""),8.1)</f>
        <v>8.1</v>
      </c>
    </row>
    <row r="106">
      <c r="A106" s="13" t="str">
        <f>IFERROR(__xludf.DUMMYFUNCTION("""COMPUTED_VALUE"""),"товари")</f>
        <v>товари</v>
      </c>
      <c r="B106" s="13" t="str">
        <f>IFERROR(__xludf.DUMMYFUNCTION("""COMPUTED_VALUE"""),"будівництво")</f>
        <v>будівництво</v>
      </c>
      <c r="C106" s="15" t="str">
        <f>IFERROR(__xludf.DUMMYFUNCTION("""COMPUTED_VALUE"""),"будівельні матеріали")</f>
        <v>будівельні матеріали</v>
      </c>
      <c r="D106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106" s="15" t="str">
        <f>IFERROR(__xludf.DUMMYFUNCTION("""COMPUTED_VALUE"""),"комплектуючі для шлагбаумів")</f>
        <v>комплектуючі для шлагбаумів</v>
      </c>
      <c r="F106" s="17">
        <f>IFERROR(__xludf.DUMMYFUNCTION("""COMPUTED_VALUE"""),4.0)</f>
        <v>4</v>
      </c>
      <c r="G106" s="17">
        <f>IFERROR(__xludf.DUMMYFUNCTION("""COMPUTED_VALUE"""),135601.0)</f>
        <v>135601</v>
      </c>
      <c r="H106" s="17" t="str">
        <f>IFERROR(__xludf.DUMMYFUNCTION("""COMPUTED_VALUE"""),"комплектуючі для шлагбаумів")</f>
        <v>комплектуючі для шлагбаумів</v>
      </c>
      <c r="I106" s="18">
        <f>IFERROR(__xludf.DUMMYFUNCTION("""COMPUTED_VALUE"""),2.7)</f>
        <v>2.7</v>
      </c>
      <c r="J106" s="18">
        <f>IFERROR(__xludf.DUMMYFUNCTION("""COMPUTED_VALUE"""),5.4)</f>
        <v>5.4</v>
      </c>
      <c r="K106" s="18">
        <f>IFERROR(__xludf.DUMMYFUNCTION("""COMPUTED_VALUE"""),6.75)</f>
        <v>6.75</v>
      </c>
      <c r="L106" s="18">
        <f>IFERROR(__xludf.DUMMYFUNCTION("""COMPUTED_VALUE"""),10.8)</f>
        <v>10.8</v>
      </c>
    </row>
    <row r="107">
      <c r="A107" s="13" t="str">
        <f>IFERROR(__xludf.DUMMYFUNCTION("""COMPUTED_VALUE"""),"товари")</f>
        <v>товари</v>
      </c>
      <c r="B107" s="13" t="str">
        <f>IFERROR(__xludf.DUMMYFUNCTION("""COMPUTED_VALUE"""),"будівництво")</f>
        <v>будівництво</v>
      </c>
      <c r="C107" s="15" t="str">
        <f>IFERROR(__xludf.DUMMYFUNCTION("""COMPUTED_VALUE"""),"будівельна техніка та обладнання")</f>
        <v>будівельна техніка та обладнання</v>
      </c>
      <c r="D107" s="15" t="str">
        <f>IFERROR(__xludf.DUMMYFUNCTION("""COMPUTED_VALUE"""),"ліфтове обладнання")</f>
        <v>ліфтове обладнання</v>
      </c>
      <c r="E107" s="15" t="str">
        <f>IFERROR(__xludf.DUMMYFUNCTION("""COMPUTED_VALUE"""),"комплектуючі до вантажопасажирських ліфтів")</f>
        <v>комплектуючі до вантажопасажирських ліфтів</v>
      </c>
      <c r="F107" s="17">
        <f>IFERROR(__xludf.DUMMYFUNCTION("""COMPUTED_VALUE"""),4.0)</f>
        <v>4</v>
      </c>
      <c r="G107" s="17">
        <f>IFERROR(__xludf.DUMMYFUNCTION("""COMPUTED_VALUE"""),1.3041003E7)</f>
        <v>13041003</v>
      </c>
      <c r="H107" s="17" t="str">
        <f>IFERROR(__xludf.DUMMYFUNCTION("""COMPUTED_VALUE"""),"комплектуючі до вантажопасажирських ліфтів")</f>
        <v>комплектуючі до вантажопасажирських ліфтів</v>
      </c>
      <c r="I107" s="18">
        <f>IFERROR(__xludf.DUMMYFUNCTION("""COMPUTED_VALUE"""),2.18)</f>
        <v>2.18</v>
      </c>
      <c r="J107" s="18">
        <f>IFERROR(__xludf.DUMMYFUNCTION("""COMPUTED_VALUE"""),4.35)</f>
        <v>4.35</v>
      </c>
      <c r="K107" s="18">
        <f>IFERROR(__xludf.DUMMYFUNCTION("""COMPUTED_VALUE"""),5.44)</f>
        <v>5.44</v>
      </c>
      <c r="L107" s="18">
        <f>IFERROR(__xludf.DUMMYFUNCTION("""COMPUTED_VALUE"""),8.7)</f>
        <v>8.7</v>
      </c>
    </row>
    <row r="108">
      <c r="A108" s="13" t="str">
        <f>IFERROR(__xludf.DUMMYFUNCTION("""COMPUTED_VALUE"""),"товари")</f>
        <v>товари</v>
      </c>
      <c r="B108" s="13" t="str">
        <f>IFERROR(__xludf.DUMMYFUNCTION("""COMPUTED_VALUE"""),"будівництво")</f>
        <v>будівництво</v>
      </c>
      <c r="C108" s="15" t="str">
        <f>IFERROR(__xludf.DUMMYFUNCTION("""COMPUTED_VALUE"""),"будівельна техніка та обладнання")</f>
        <v>будівельна техніка та обладнання</v>
      </c>
      <c r="D108" s="15" t="str">
        <f>IFERROR(__xludf.DUMMYFUNCTION("""COMPUTED_VALUE"""),"машини та обладнання для бетонних робіт")</f>
        <v>машини та обладнання для бетонних робіт</v>
      </c>
      <c r="E108" s="15" t="str">
        <f>IFERROR(__xludf.DUMMYFUNCTION("""COMPUTED_VALUE"""),"комплектуючі та запчастини для бетононасосів")</f>
        <v>комплектуючі та запчастини для бетононасосів</v>
      </c>
      <c r="F108" s="17">
        <f>IFERROR(__xludf.DUMMYFUNCTION("""COMPUTED_VALUE"""),4.0)</f>
        <v>4</v>
      </c>
      <c r="G108" s="17">
        <f>IFERROR(__xludf.DUMMYFUNCTION("""COMPUTED_VALUE"""),1.3040307E7)</f>
        <v>13040307</v>
      </c>
      <c r="H108" s="17" t="str">
        <f>IFERROR(__xludf.DUMMYFUNCTION("""COMPUTED_VALUE"""),"комплектуючі та запчастини для бетононасосів")</f>
        <v>комплектуючі та запчастини для бетононасосів</v>
      </c>
      <c r="I108" s="18">
        <f>IFERROR(__xludf.DUMMYFUNCTION("""COMPUTED_VALUE"""),2.18)</f>
        <v>2.18</v>
      </c>
      <c r="J108" s="18">
        <f>IFERROR(__xludf.DUMMYFUNCTION("""COMPUTED_VALUE"""),4.35)</f>
        <v>4.35</v>
      </c>
      <c r="K108" s="18">
        <f>IFERROR(__xludf.DUMMYFUNCTION("""COMPUTED_VALUE"""),5.44)</f>
        <v>5.44</v>
      </c>
      <c r="L108" s="18">
        <f>IFERROR(__xludf.DUMMYFUNCTION("""COMPUTED_VALUE"""),8.7)</f>
        <v>8.7</v>
      </c>
    </row>
    <row r="109">
      <c r="A109" s="13" t="str">
        <f>IFERROR(__xludf.DUMMYFUNCTION("""COMPUTED_VALUE"""),"товари")</f>
        <v>товари</v>
      </c>
      <c r="B109" s="13" t="str">
        <f>IFERROR(__xludf.DUMMYFUNCTION("""COMPUTED_VALUE"""),"будівництво")</f>
        <v>будівництво</v>
      </c>
      <c r="C109" s="15" t="str">
        <f>IFERROR(__xludf.DUMMYFUNCTION("""COMPUTED_VALUE"""),"водо-, газо-, теплозабезпечення")</f>
        <v>водо-, газо-, теплозабезпечення</v>
      </c>
      <c r="D109" s="15" t="str">
        <f>IFERROR(__xludf.DUMMYFUNCTION("""COMPUTED_VALUE"""),"запірна арматура")</f>
        <v>запірна арматура</v>
      </c>
      <c r="E109" s="15" t="str">
        <f>IFERROR(__xludf.DUMMYFUNCTION("""COMPUTED_VALUE"""),"конденсатовідвідники")</f>
        <v>конденсатовідвідники</v>
      </c>
      <c r="F109" s="17">
        <f>IFERROR(__xludf.DUMMYFUNCTION("""COMPUTED_VALUE"""),4.0)</f>
        <v>4</v>
      </c>
      <c r="G109" s="17">
        <f>IFERROR(__xludf.DUMMYFUNCTION("""COMPUTED_VALUE"""),1.3100637E7)</f>
        <v>13100637</v>
      </c>
      <c r="H109" s="17" t="str">
        <f>IFERROR(__xludf.DUMMYFUNCTION("""COMPUTED_VALUE"""),"конденсатовідвідники")</f>
        <v>конденсатовідвідники</v>
      </c>
      <c r="I109" s="18">
        <f>IFERROR(__xludf.DUMMYFUNCTION("""COMPUTED_VALUE"""),0.86)</f>
        <v>0.86</v>
      </c>
      <c r="J109" s="18">
        <f>IFERROR(__xludf.DUMMYFUNCTION("""COMPUTED_VALUE"""),1.71)</f>
        <v>1.71</v>
      </c>
      <c r="K109" s="18">
        <f>IFERROR(__xludf.DUMMYFUNCTION("""COMPUTED_VALUE"""),2.14)</f>
        <v>2.14</v>
      </c>
      <c r="L109" s="18">
        <f>IFERROR(__xludf.DUMMYFUNCTION("""COMPUTED_VALUE"""),3.43)</f>
        <v>3.43</v>
      </c>
    </row>
    <row r="110">
      <c r="A110" s="13" t="str">
        <f>IFERROR(__xludf.DUMMYFUNCTION("""COMPUTED_VALUE"""),"товари")</f>
        <v>товари</v>
      </c>
      <c r="B110" s="13" t="str">
        <f>IFERROR(__xludf.DUMMYFUNCTION("""COMPUTED_VALUE"""),"будівництво")</f>
        <v>будівництво</v>
      </c>
      <c r="C110" s="15" t="str">
        <f>IFERROR(__xludf.DUMMYFUNCTION("""COMPUTED_VALUE"""),"водо-, газо-, теплозабезпечення")</f>
        <v>водо-, газо-, теплозабезпечення</v>
      </c>
      <c r="D110" s="15" t="str">
        <f>IFERROR(__xludf.DUMMYFUNCTION("""COMPUTED_VALUE"""),"опалювальне обладнання")</f>
        <v>опалювальне обладнання</v>
      </c>
      <c r="E110" s="15" t="str">
        <f>IFERROR(__xludf.DUMMYFUNCTION("""COMPUTED_VALUE"""),"котельні топки")</f>
        <v>котельні топки</v>
      </c>
      <c r="F110" s="17">
        <f>IFERROR(__xludf.DUMMYFUNCTION("""COMPUTED_VALUE"""),4.0)</f>
        <v>4</v>
      </c>
      <c r="G110" s="17">
        <f>IFERROR(__xludf.DUMMYFUNCTION("""COMPUTED_VALUE"""),1.3240304E7)</f>
        <v>13240304</v>
      </c>
      <c r="H110" s="17" t="str">
        <f>IFERROR(__xludf.DUMMYFUNCTION("""COMPUTED_VALUE"""),"котельні топки")</f>
        <v>котельні топки</v>
      </c>
      <c r="I110" s="18">
        <f>IFERROR(__xludf.DUMMYFUNCTION("""COMPUTED_VALUE"""),2.7)</f>
        <v>2.7</v>
      </c>
      <c r="J110" s="18">
        <f>IFERROR(__xludf.DUMMYFUNCTION("""COMPUTED_VALUE"""),5.4)</f>
        <v>5.4</v>
      </c>
      <c r="K110" s="18">
        <f>IFERROR(__xludf.DUMMYFUNCTION("""COMPUTED_VALUE"""),6.75)</f>
        <v>6.75</v>
      </c>
      <c r="L110" s="18">
        <f>IFERROR(__xludf.DUMMYFUNCTION("""COMPUTED_VALUE"""),10.8)</f>
        <v>10.8</v>
      </c>
    </row>
    <row r="111">
      <c r="A111" s="13" t="str">
        <f>IFERROR(__xludf.DUMMYFUNCTION("""COMPUTED_VALUE"""),"товари")</f>
        <v>товари</v>
      </c>
      <c r="B111" s="13" t="str">
        <f>IFERROR(__xludf.DUMMYFUNCTION("""COMPUTED_VALUE"""),"будівництво")</f>
        <v>будівництво</v>
      </c>
      <c r="C111" s="15" t="str">
        <f>IFERROR(__xludf.DUMMYFUNCTION("""COMPUTED_VALUE"""),"будівельна техніка та обладнання")</f>
        <v>будівельна техніка та обладнання</v>
      </c>
      <c r="D111" s="15" t="str">
        <f>IFERROR(__xludf.DUMMYFUNCTION("""COMPUTED_VALUE"""),"ліфтове обладнання")</f>
        <v>ліфтове обладнання</v>
      </c>
      <c r="E111" s="15" t="str">
        <f>IFERROR(__xludf.DUMMYFUNCTION("""COMPUTED_VALUE"""),"ліфти")</f>
        <v>ліфти</v>
      </c>
      <c r="F111" s="17">
        <f>IFERROR(__xludf.DUMMYFUNCTION("""COMPUTED_VALUE"""),4.0)</f>
        <v>4</v>
      </c>
      <c r="G111" s="17">
        <f>IFERROR(__xludf.DUMMYFUNCTION("""COMPUTED_VALUE"""),1.304021E7)</f>
        <v>13040210</v>
      </c>
      <c r="H111" s="17" t="str">
        <f>IFERROR(__xludf.DUMMYFUNCTION("""COMPUTED_VALUE"""),"ліфти")</f>
        <v>ліфти</v>
      </c>
      <c r="I111" s="18">
        <f>IFERROR(__xludf.DUMMYFUNCTION("""COMPUTED_VALUE"""),2.18)</f>
        <v>2.18</v>
      </c>
      <c r="J111" s="18">
        <f>IFERROR(__xludf.DUMMYFUNCTION("""COMPUTED_VALUE"""),4.35)</f>
        <v>4.35</v>
      </c>
      <c r="K111" s="18">
        <f>IFERROR(__xludf.DUMMYFUNCTION("""COMPUTED_VALUE"""),5.44)</f>
        <v>5.44</v>
      </c>
      <c r="L111" s="18">
        <f>IFERROR(__xludf.DUMMYFUNCTION("""COMPUTED_VALUE"""),8.7)</f>
        <v>8.7</v>
      </c>
    </row>
    <row r="112">
      <c r="A112" s="13" t="str">
        <f>IFERROR(__xludf.DUMMYFUNCTION("""COMPUTED_VALUE"""),"товари")</f>
        <v>товари</v>
      </c>
      <c r="B112" s="13" t="str">
        <f>IFERROR(__xludf.DUMMYFUNCTION("""COMPUTED_VALUE"""),"будівництво")</f>
        <v>будівництво</v>
      </c>
      <c r="C112" s="15" t="str">
        <f>IFERROR(__xludf.DUMMYFUNCTION("""COMPUTED_VALUE"""),"водо-, газо-, теплозабезпечення")</f>
        <v>водо-, газо-, теплозабезпечення</v>
      </c>
      <c r="D112" s="15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112" s="15" t="str">
        <f>IFERROR(__xludf.DUMMYFUNCTION("""COMPUTED_VALUE"""),"лічильники газу")</f>
        <v>лічильники газу</v>
      </c>
      <c r="F112" s="17">
        <f>IFERROR(__xludf.DUMMYFUNCTION("""COMPUTED_VALUE"""),4.0)</f>
        <v>4</v>
      </c>
      <c r="G112" s="17">
        <f>IFERROR(__xludf.DUMMYFUNCTION("""COMPUTED_VALUE"""),1.5370404E7)</f>
        <v>15370404</v>
      </c>
      <c r="H112" s="17" t="str">
        <f>IFERROR(__xludf.DUMMYFUNCTION("""COMPUTED_VALUE"""),"лічильники газу")</f>
        <v>лічильники газу</v>
      </c>
      <c r="I112" s="18">
        <f>IFERROR(__xludf.DUMMYFUNCTION("""COMPUTED_VALUE"""),2.03)</f>
        <v>2.03</v>
      </c>
      <c r="J112" s="18">
        <f>IFERROR(__xludf.DUMMYFUNCTION("""COMPUTED_VALUE"""),4.05)</f>
        <v>4.05</v>
      </c>
      <c r="K112" s="18">
        <f>IFERROR(__xludf.DUMMYFUNCTION("""COMPUTED_VALUE"""),5.06)</f>
        <v>5.06</v>
      </c>
      <c r="L112" s="18">
        <f>IFERROR(__xludf.DUMMYFUNCTION("""COMPUTED_VALUE"""),8.1)</f>
        <v>8.1</v>
      </c>
    </row>
    <row r="113">
      <c r="A113" s="13" t="str">
        <f>IFERROR(__xludf.DUMMYFUNCTION("""COMPUTED_VALUE"""),"товари")</f>
        <v>товари</v>
      </c>
      <c r="B113" s="13" t="str">
        <f>IFERROR(__xludf.DUMMYFUNCTION("""COMPUTED_VALUE"""),"будівництво")</f>
        <v>будівництво</v>
      </c>
      <c r="C113" s="15" t="str">
        <f>IFERROR(__xludf.DUMMYFUNCTION("""COMPUTED_VALUE"""),"водо-, газо-, теплозабезпечення")</f>
        <v>водо-, газо-, теплозабезпечення</v>
      </c>
      <c r="D113" s="15" t="str">
        <f>IFERROR(__xludf.DUMMYFUNCTION("""COMPUTED_VALUE"""),"труби")</f>
        <v>труби</v>
      </c>
      <c r="E113" s="15" t="str">
        <f>IFERROR(__xludf.DUMMYFUNCTION("""COMPUTED_VALUE"""),"металопластикові труби")</f>
        <v>металопластикові труби</v>
      </c>
      <c r="F113" s="17">
        <f>IFERROR(__xludf.DUMMYFUNCTION("""COMPUTED_VALUE"""),4.0)</f>
        <v>4</v>
      </c>
      <c r="G113" s="17">
        <f>IFERROR(__xludf.DUMMYFUNCTION("""COMPUTED_VALUE"""),131012.0)</f>
        <v>131012</v>
      </c>
      <c r="H113" s="17" t="str">
        <f>IFERROR(__xludf.DUMMYFUNCTION("""COMPUTED_VALUE"""),"металопластикові труби")</f>
        <v>металопластикові труби</v>
      </c>
      <c r="I113" s="18">
        <f>IFERROR(__xludf.DUMMYFUNCTION("""COMPUTED_VALUE"""),2.51)</f>
        <v>2.51</v>
      </c>
      <c r="J113" s="18">
        <f>IFERROR(__xludf.DUMMYFUNCTION("""COMPUTED_VALUE"""),5.03)</f>
        <v>5.03</v>
      </c>
      <c r="K113" s="18">
        <f>IFERROR(__xludf.DUMMYFUNCTION("""COMPUTED_VALUE"""),6.28)</f>
        <v>6.28</v>
      </c>
      <c r="L113" s="18">
        <f>IFERROR(__xludf.DUMMYFUNCTION("""COMPUTED_VALUE"""),10.05)</f>
        <v>10.05</v>
      </c>
    </row>
    <row r="114">
      <c r="A114" s="13" t="str">
        <f>IFERROR(__xludf.DUMMYFUNCTION("""COMPUTED_VALUE"""),"товари")</f>
        <v>товари</v>
      </c>
      <c r="B114" s="13" t="str">
        <f>IFERROR(__xludf.DUMMYFUNCTION("""COMPUTED_VALUE"""),"будівництво")</f>
        <v>будівництво</v>
      </c>
      <c r="C114" s="15" t="str">
        <f>IFERROR(__xludf.DUMMYFUNCTION("""COMPUTED_VALUE"""),"будівельні матеріали")</f>
        <v>будівельні матеріали</v>
      </c>
      <c r="D114" s="15" t="str">
        <f>IFERROR(__xludf.DUMMYFUNCTION("""COMPUTED_VALUE"""),"теплоізоляційні матеріали")</f>
        <v>теплоізоляційні матеріали</v>
      </c>
      <c r="E114" s="15" t="str">
        <f>IFERROR(__xludf.DUMMYFUNCTION("""COMPUTED_VALUE"""),"мінеральна вата")</f>
        <v>мінеральна вата</v>
      </c>
      <c r="F114" s="17">
        <f>IFERROR(__xludf.DUMMYFUNCTION("""COMPUTED_VALUE"""),4.0)</f>
        <v>4</v>
      </c>
      <c r="G114" s="17">
        <f>IFERROR(__xludf.DUMMYFUNCTION("""COMPUTED_VALUE"""),133401.0)</f>
        <v>133401</v>
      </c>
      <c r="H114" s="17" t="str">
        <f>IFERROR(__xludf.DUMMYFUNCTION("""COMPUTED_VALUE"""),"мінеральна вата")</f>
        <v>мінеральна вата</v>
      </c>
      <c r="I114" s="18">
        <f>IFERROR(__xludf.DUMMYFUNCTION("""COMPUTED_VALUE"""),1.94)</f>
        <v>1.94</v>
      </c>
      <c r="J114" s="18">
        <f>IFERROR(__xludf.DUMMYFUNCTION("""COMPUTED_VALUE"""),3.88)</f>
        <v>3.88</v>
      </c>
      <c r="K114" s="18">
        <f>IFERROR(__xludf.DUMMYFUNCTION("""COMPUTED_VALUE"""),4.84)</f>
        <v>4.84</v>
      </c>
      <c r="L114" s="18">
        <f>IFERROR(__xludf.DUMMYFUNCTION("""COMPUTED_VALUE"""),7.75)</f>
        <v>7.75</v>
      </c>
    </row>
    <row r="115">
      <c r="A115" s="13" t="str">
        <f>IFERROR(__xludf.DUMMYFUNCTION("""COMPUTED_VALUE"""),"товари")</f>
        <v>товари</v>
      </c>
      <c r="B115" s="13" t="str">
        <f>IFERROR(__xludf.DUMMYFUNCTION("""COMPUTED_VALUE"""),"будівництво")</f>
        <v>будівництво</v>
      </c>
      <c r="C115" s="15" t="str">
        <f>IFERROR(__xludf.DUMMYFUNCTION("""COMPUTED_VALUE"""),"будівельна техніка та обладнання")</f>
        <v>будівельна техніка та обладнання</v>
      </c>
      <c r="D115" s="15" t="str">
        <f>IFERROR(__xludf.DUMMYFUNCTION("""COMPUTED_VALUE"""),"навісне обладнання для будівельної спецтехніки")</f>
        <v>навісне обладнання для будівельної спецтехніки</v>
      </c>
      <c r="E115" s="15" t="str">
        <f>IFERROR(__xludf.DUMMYFUNCTION("""COMPUTED_VALUE"""),"навісне обладнання для будівельної спецтехніки")</f>
        <v>навісне обладнання для будівельної спецтехніки</v>
      </c>
      <c r="F115" s="17">
        <f>IFERROR(__xludf.DUMMYFUNCTION("""COMPUTED_VALUE"""),3.0)</f>
        <v>3</v>
      </c>
      <c r="G115" s="17">
        <f>IFERROR(__xludf.DUMMYFUNCTION("""COMPUTED_VALUE"""),1.3041104E7)</f>
        <v>13041104</v>
      </c>
      <c r="H115" s="17" t="str">
        <f>IFERROR(__xludf.DUMMYFUNCTION("""COMPUTED_VALUE"""),"навісне обладнання для будівельної спецтехніки")</f>
        <v>навісне обладнання для будівельної спецтехніки</v>
      </c>
      <c r="I115" s="18">
        <f>IFERROR(__xludf.DUMMYFUNCTION("""COMPUTED_VALUE"""),2.7)</f>
        <v>2.7</v>
      </c>
      <c r="J115" s="18">
        <f>IFERROR(__xludf.DUMMYFUNCTION("""COMPUTED_VALUE"""),5.4)</f>
        <v>5.4</v>
      </c>
      <c r="K115" s="18">
        <f>IFERROR(__xludf.DUMMYFUNCTION("""COMPUTED_VALUE"""),6.75)</f>
        <v>6.75</v>
      </c>
      <c r="L115" s="18">
        <f>IFERROR(__xludf.DUMMYFUNCTION("""COMPUTED_VALUE"""),10.8)</f>
        <v>10.8</v>
      </c>
    </row>
    <row r="116">
      <c r="A116" s="13" t="str">
        <f>IFERROR(__xludf.DUMMYFUNCTION("""COMPUTED_VALUE"""),"товари")</f>
        <v>товари</v>
      </c>
      <c r="B116" s="13" t="str">
        <f>IFERROR(__xludf.DUMMYFUNCTION("""COMPUTED_VALUE"""),"будівництво")</f>
        <v>будівництво</v>
      </c>
      <c r="C116" s="15" t="str">
        <f>IFERROR(__xludf.DUMMYFUNCTION("""COMPUTED_VALUE"""),"водо-, газо-, теплозабезпечення")</f>
        <v>водо-, газо-, теплозабезпечення</v>
      </c>
      <c r="D116" s="15" t="str">
        <f>IFERROR(__xludf.DUMMYFUNCTION("""COMPUTED_VALUE"""),"обладнання для очисних споруд")</f>
        <v>обладнання для очисних споруд</v>
      </c>
      <c r="E116" s="15" t="str">
        <f>IFERROR(__xludf.DUMMYFUNCTION("""COMPUTED_VALUE"""),"обладнання для очисних споруд")</f>
        <v>обладнання для очисних споруд</v>
      </c>
      <c r="F116" s="17">
        <f>IFERROR(__xludf.DUMMYFUNCTION("""COMPUTED_VALUE"""),3.0)</f>
        <v>3</v>
      </c>
      <c r="G116" s="17">
        <f>IFERROR(__xludf.DUMMYFUNCTION("""COMPUTED_VALUE"""),132407.0)</f>
        <v>132407</v>
      </c>
      <c r="H116" s="17" t="str">
        <f>IFERROR(__xludf.DUMMYFUNCTION("""COMPUTED_VALUE"""),"обладнання для очисних споруд")</f>
        <v>обладнання для очисних споруд</v>
      </c>
      <c r="I116" s="18">
        <f>IFERROR(__xludf.DUMMYFUNCTION("""COMPUTED_VALUE"""),0.76)</f>
        <v>0.76</v>
      </c>
      <c r="J116" s="18">
        <f>IFERROR(__xludf.DUMMYFUNCTION("""COMPUTED_VALUE"""),1.53)</f>
        <v>1.53</v>
      </c>
      <c r="K116" s="18">
        <f>IFERROR(__xludf.DUMMYFUNCTION("""COMPUTED_VALUE"""),1.91)</f>
        <v>1.91</v>
      </c>
      <c r="L116" s="18">
        <f>IFERROR(__xludf.DUMMYFUNCTION("""COMPUTED_VALUE"""),3.05)</f>
        <v>3.05</v>
      </c>
    </row>
    <row r="117">
      <c r="A117" s="13" t="str">
        <f>IFERROR(__xludf.DUMMYFUNCTION("""COMPUTED_VALUE"""),"товари")</f>
        <v>товари</v>
      </c>
      <c r="B117" s="13" t="str">
        <f>IFERROR(__xludf.DUMMYFUNCTION("""COMPUTED_VALUE"""),"будівництво")</f>
        <v>будівництво</v>
      </c>
      <c r="C117" s="15" t="str">
        <f>IFERROR(__xludf.DUMMYFUNCTION("""COMPUTED_VALUE"""),"будівельні матеріали")</f>
        <v>будівельні матеріали</v>
      </c>
      <c r="D117" s="15" t="str">
        <f>IFERROR(__xludf.DUMMYFUNCTION("""COMPUTED_VALUE"""),"фасадні матеріали")</f>
        <v>фасадні матеріали</v>
      </c>
      <c r="E117" s="15" t="str">
        <f>IFERROR(__xludf.DUMMYFUNCTION("""COMPUTED_VALUE"""),"облицювальні панелі та плити")</f>
        <v>облицювальні панелі та плити</v>
      </c>
      <c r="F117" s="17">
        <f>IFERROR(__xludf.DUMMYFUNCTION("""COMPUTED_VALUE"""),4.0)</f>
        <v>4</v>
      </c>
      <c r="G117" s="17">
        <f>IFERROR(__xludf.DUMMYFUNCTION("""COMPUTED_VALUE"""),1.3070304E7)</f>
        <v>13070304</v>
      </c>
      <c r="H117" s="17" t="str">
        <f>IFERROR(__xludf.DUMMYFUNCTION("""COMPUTED_VALUE"""),"облицювальні панелі та плити")</f>
        <v>облицювальні панелі та плити</v>
      </c>
      <c r="I117" s="18">
        <f>IFERROR(__xludf.DUMMYFUNCTION("""COMPUTED_VALUE"""),2.7)</f>
        <v>2.7</v>
      </c>
      <c r="J117" s="18">
        <f>IFERROR(__xludf.DUMMYFUNCTION("""COMPUTED_VALUE"""),5.4)</f>
        <v>5.4</v>
      </c>
      <c r="K117" s="18">
        <f>IFERROR(__xludf.DUMMYFUNCTION("""COMPUTED_VALUE"""),6.75)</f>
        <v>6.75</v>
      </c>
      <c r="L117" s="18">
        <f>IFERROR(__xludf.DUMMYFUNCTION("""COMPUTED_VALUE"""),10.8)</f>
        <v>10.8</v>
      </c>
    </row>
    <row r="118">
      <c r="A118" s="13" t="str">
        <f>IFERROR(__xludf.DUMMYFUNCTION("""COMPUTED_VALUE"""),"товари")</f>
        <v>товари</v>
      </c>
      <c r="B118" s="13" t="str">
        <f>IFERROR(__xludf.DUMMYFUNCTION("""COMPUTED_VALUE"""),"будівництво")</f>
        <v>будівництво</v>
      </c>
      <c r="C118" s="15" t="str">
        <f>IFERROR(__xludf.DUMMYFUNCTION("""COMPUTED_VALUE"""),"будівельна техніка та обладнання")</f>
        <v>будівельна техніка та обладнання</v>
      </c>
      <c r="D118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118" s="15" t="str">
        <f>IFERROR(__xludf.DUMMYFUNCTION("""COMPUTED_VALUE"""),"опалубка та комплектуючі до неї")</f>
        <v>опалубка та комплектуючі до неї</v>
      </c>
      <c r="F118" s="17">
        <f>IFERROR(__xludf.DUMMYFUNCTION("""COMPUTED_VALUE"""),4.0)</f>
        <v>4</v>
      </c>
      <c r="G118" s="17">
        <f>IFERROR(__xludf.DUMMYFUNCTION("""COMPUTED_VALUE"""),1353.0)</f>
        <v>1353</v>
      </c>
      <c r="H118" s="17" t="str">
        <f>IFERROR(__xludf.DUMMYFUNCTION("""COMPUTED_VALUE"""),"опалубка та комплектуючі до неї")</f>
        <v>опалубка та комплектуючі до неї</v>
      </c>
      <c r="I118" s="18">
        <f>IFERROR(__xludf.DUMMYFUNCTION("""COMPUTED_VALUE"""),2.7)</f>
        <v>2.7</v>
      </c>
      <c r="J118" s="18">
        <f>IFERROR(__xludf.DUMMYFUNCTION("""COMPUTED_VALUE"""),5.4)</f>
        <v>5.4</v>
      </c>
      <c r="K118" s="18">
        <f>IFERROR(__xludf.DUMMYFUNCTION("""COMPUTED_VALUE"""),6.75)</f>
        <v>6.75</v>
      </c>
      <c r="L118" s="18">
        <f>IFERROR(__xludf.DUMMYFUNCTION("""COMPUTED_VALUE"""),10.8)</f>
        <v>10.8</v>
      </c>
    </row>
    <row r="119">
      <c r="A119" s="13" t="str">
        <f>IFERROR(__xludf.DUMMYFUNCTION("""COMPUTED_VALUE"""),"товари")</f>
        <v>товари</v>
      </c>
      <c r="B119" s="13" t="str">
        <f>IFERROR(__xludf.DUMMYFUNCTION("""COMPUTED_VALUE"""),"будівництво")</f>
        <v>будівництво</v>
      </c>
      <c r="C119" s="15" t="str">
        <f>IFERROR(__xludf.DUMMYFUNCTION("""COMPUTED_VALUE"""),"водо-, газо-, теплозабезпечення")</f>
        <v>водо-, газо-, теплозабезпечення</v>
      </c>
      <c r="D119" s="15" t="str">
        <f>IFERROR(__xludf.DUMMYFUNCTION("""COMPUTED_VALUE"""),"опалювальне обладнання")</f>
        <v>опалювальне обладнання</v>
      </c>
      <c r="E119" s="15" t="str">
        <f>IFERROR(__xludf.DUMMYFUNCTION("""COMPUTED_VALUE"""),"опалювальне обладнання, загальне")</f>
        <v>опалювальне обладнання, загальне</v>
      </c>
      <c r="F119" s="17">
        <f>IFERROR(__xludf.DUMMYFUNCTION("""COMPUTED_VALUE"""),4.0)</f>
        <v>4</v>
      </c>
      <c r="G119" s="17">
        <f>IFERROR(__xludf.DUMMYFUNCTION("""COMPUTED_VALUE"""),1.324011E7)</f>
        <v>13240110</v>
      </c>
      <c r="H119" s="17" t="str">
        <f>IFERROR(__xludf.DUMMYFUNCTION("""COMPUTED_VALUE"""),"опалювальне обладнання, загальне")</f>
        <v>опалювальне обладнання, загальне</v>
      </c>
      <c r="I119" s="18">
        <f>IFERROR(__xludf.DUMMYFUNCTION("""COMPUTED_VALUE"""),2.16)</f>
        <v>2.16</v>
      </c>
      <c r="J119" s="18">
        <f>IFERROR(__xludf.DUMMYFUNCTION("""COMPUTED_VALUE"""),4.33)</f>
        <v>4.33</v>
      </c>
      <c r="K119" s="18">
        <f>IFERROR(__xludf.DUMMYFUNCTION("""COMPUTED_VALUE"""),5.41)</f>
        <v>5.41</v>
      </c>
      <c r="L119" s="18">
        <f>IFERROR(__xludf.DUMMYFUNCTION("""COMPUTED_VALUE"""),8.65)</f>
        <v>8.65</v>
      </c>
    </row>
    <row r="120">
      <c r="A120" s="13" t="str">
        <f>IFERROR(__xludf.DUMMYFUNCTION("""COMPUTED_VALUE"""),"товари")</f>
        <v>товари</v>
      </c>
      <c r="B120" s="13" t="str">
        <f>IFERROR(__xludf.DUMMYFUNCTION("""COMPUTED_VALUE"""),"будівництво")</f>
        <v>будівництво</v>
      </c>
      <c r="C120" s="15" t="str">
        <f>IFERROR(__xludf.DUMMYFUNCTION("""COMPUTED_VALUE"""),"будівельні матеріали")</f>
        <v>будівельні матеріали</v>
      </c>
      <c r="D120" s="15" t="str">
        <f>IFERROR(__xludf.DUMMYFUNCTION("""COMPUTED_VALUE"""),"залізобетонні вироби")</f>
        <v>залізобетонні вироби</v>
      </c>
      <c r="E120" s="15" t="str">
        <f>IFERROR(__xludf.DUMMYFUNCTION("""COMPUTED_VALUE"""),"опорні плити і подушки")</f>
        <v>опорні плити і подушки</v>
      </c>
      <c r="F120" s="17">
        <f>IFERROR(__xludf.DUMMYFUNCTION("""COMPUTED_VALUE"""),4.0)</f>
        <v>4</v>
      </c>
      <c r="G120" s="17">
        <f>IFERROR(__xludf.DUMMYFUNCTION("""COMPUTED_VALUE"""),1.307042E7)</f>
        <v>13070420</v>
      </c>
      <c r="H120" s="17" t="str">
        <f>IFERROR(__xludf.DUMMYFUNCTION("""COMPUTED_VALUE"""),"опорні плити і подушки")</f>
        <v>опорні плити і подушки</v>
      </c>
      <c r="I120" s="18">
        <f>IFERROR(__xludf.DUMMYFUNCTION("""COMPUTED_VALUE"""),2.7)</f>
        <v>2.7</v>
      </c>
      <c r="J120" s="18">
        <f>IFERROR(__xludf.DUMMYFUNCTION("""COMPUTED_VALUE"""),5.4)</f>
        <v>5.4</v>
      </c>
      <c r="K120" s="18">
        <f>IFERROR(__xludf.DUMMYFUNCTION("""COMPUTED_VALUE"""),6.75)</f>
        <v>6.75</v>
      </c>
      <c r="L120" s="18">
        <f>IFERROR(__xludf.DUMMYFUNCTION("""COMPUTED_VALUE"""),10.8)</f>
        <v>10.8</v>
      </c>
    </row>
    <row r="121">
      <c r="A121" s="13" t="str">
        <f>IFERROR(__xludf.DUMMYFUNCTION("""COMPUTED_VALUE"""),"товари")</f>
        <v>товари</v>
      </c>
      <c r="B121" s="13" t="str">
        <f>IFERROR(__xludf.DUMMYFUNCTION("""COMPUTED_VALUE"""),"будівництво")</f>
        <v>будівництво</v>
      </c>
      <c r="C121" s="15" t="str">
        <f>IFERROR(__xludf.DUMMYFUNCTION("""COMPUTED_VALUE"""),"будівельні матеріали")</f>
        <v>будівельні матеріали</v>
      </c>
      <c r="D121" s="15" t="str">
        <f>IFERROR(__xludf.DUMMYFUNCTION("""COMPUTED_VALUE"""),"скло та кріплення до нього")</f>
        <v>скло та кріплення до нього</v>
      </c>
      <c r="E121" s="15" t="str">
        <f>IFERROR(__xludf.DUMMYFUNCTION("""COMPUTED_VALUE"""),"оргскло")</f>
        <v>оргскло</v>
      </c>
      <c r="F121" s="17">
        <f>IFERROR(__xludf.DUMMYFUNCTION("""COMPUTED_VALUE"""),4.0)</f>
        <v>4</v>
      </c>
      <c r="G121" s="17">
        <f>IFERROR(__xludf.DUMMYFUNCTION("""COMPUTED_VALUE"""),131502.0)</f>
        <v>131502</v>
      </c>
      <c r="H121" s="17" t="str">
        <f>IFERROR(__xludf.DUMMYFUNCTION("""COMPUTED_VALUE"""),"оргскло")</f>
        <v>оргскло</v>
      </c>
      <c r="I121" s="18">
        <f>IFERROR(__xludf.DUMMYFUNCTION("""COMPUTED_VALUE"""),0.86)</f>
        <v>0.86</v>
      </c>
      <c r="J121" s="18">
        <f>IFERROR(__xludf.DUMMYFUNCTION("""COMPUTED_VALUE"""),1.71)</f>
        <v>1.71</v>
      </c>
      <c r="K121" s="18">
        <f>IFERROR(__xludf.DUMMYFUNCTION("""COMPUTED_VALUE"""),2.14)</f>
        <v>2.14</v>
      </c>
      <c r="L121" s="18">
        <f>IFERROR(__xludf.DUMMYFUNCTION("""COMPUTED_VALUE"""),3.43)</f>
        <v>3.43</v>
      </c>
    </row>
    <row r="122">
      <c r="A122" s="13" t="str">
        <f>IFERROR(__xludf.DUMMYFUNCTION("""COMPUTED_VALUE"""),"товари")</f>
        <v>товари</v>
      </c>
      <c r="B122" s="13" t="str">
        <f>IFERROR(__xludf.DUMMYFUNCTION("""COMPUTED_VALUE"""),"будівництво")</f>
        <v>будівництво</v>
      </c>
      <c r="C122" s="15" t="str">
        <f>IFERROR(__xludf.DUMMYFUNCTION("""COMPUTED_VALUE"""),"водо-, газо-, теплозабезпечення")</f>
        <v>водо-, газо-, теплозабезпечення</v>
      </c>
      <c r="D122" s="15" t="str">
        <f>IFERROR(__xludf.DUMMYFUNCTION("""COMPUTED_VALUE"""),"опалювальне обладнання")</f>
        <v>опалювальне обладнання</v>
      </c>
      <c r="E122" s="15" t="str">
        <f>IFERROR(__xludf.DUMMYFUNCTION("""COMPUTED_VALUE"""),"пальники")</f>
        <v>пальники</v>
      </c>
      <c r="F122" s="17">
        <f>IFERROR(__xludf.DUMMYFUNCTION("""COMPUTED_VALUE"""),4.0)</f>
        <v>4</v>
      </c>
      <c r="G122" s="17">
        <f>IFERROR(__xludf.DUMMYFUNCTION("""COMPUTED_VALUE"""),1.3240116E7)</f>
        <v>13240116</v>
      </c>
      <c r="H122" s="17" t="str">
        <f>IFERROR(__xludf.DUMMYFUNCTION("""COMPUTED_VALUE"""),"пальники")</f>
        <v>пальники</v>
      </c>
      <c r="I122" s="18">
        <f>IFERROR(__xludf.DUMMYFUNCTION("""COMPUTED_VALUE"""),2.7)</f>
        <v>2.7</v>
      </c>
      <c r="J122" s="18">
        <f>IFERROR(__xludf.DUMMYFUNCTION("""COMPUTED_VALUE"""),5.4)</f>
        <v>5.4</v>
      </c>
      <c r="K122" s="18">
        <f>IFERROR(__xludf.DUMMYFUNCTION("""COMPUTED_VALUE"""),6.75)</f>
        <v>6.75</v>
      </c>
      <c r="L122" s="18">
        <f>IFERROR(__xludf.DUMMYFUNCTION("""COMPUTED_VALUE"""),10.8)</f>
        <v>10.8</v>
      </c>
    </row>
    <row r="123">
      <c r="A123" s="13" t="str">
        <f>IFERROR(__xludf.DUMMYFUNCTION("""COMPUTED_VALUE"""),"товари")</f>
        <v>товари</v>
      </c>
      <c r="B123" s="13" t="str">
        <f>IFERROR(__xludf.DUMMYFUNCTION("""COMPUTED_VALUE"""),"будівництво")</f>
        <v>будівництво</v>
      </c>
      <c r="C123" s="15" t="str">
        <f>IFERROR(__xludf.DUMMYFUNCTION("""COMPUTED_VALUE"""),"будівельні матеріали")</f>
        <v>будівельні матеріали</v>
      </c>
      <c r="D123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123" s="15" t="str">
        <f>IFERROR(__xludf.DUMMYFUNCTION("""COMPUTED_VALUE"""),"паркани та огорожі")</f>
        <v>паркани та огорожі</v>
      </c>
      <c r="F123" s="17">
        <f>IFERROR(__xludf.DUMMYFUNCTION("""COMPUTED_VALUE"""),4.0)</f>
        <v>4</v>
      </c>
      <c r="G123" s="17">
        <f>IFERROR(__xludf.DUMMYFUNCTION("""COMPUTED_VALUE"""),12505.0)</f>
        <v>12505</v>
      </c>
      <c r="H123" s="17" t="str">
        <f>IFERROR(__xludf.DUMMYFUNCTION("""COMPUTED_VALUE"""),"паркани та огорожі")</f>
        <v>паркани та огорожі</v>
      </c>
      <c r="I123" s="18">
        <f>IFERROR(__xludf.DUMMYFUNCTION("""COMPUTED_VALUE"""),2.7)</f>
        <v>2.7</v>
      </c>
      <c r="J123" s="18">
        <f>IFERROR(__xludf.DUMMYFUNCTION("""COMPUTED_VALUE"""),5.4)</f>
        <v>5.4</v>
      </c>
      <c r="K123" s="18">
        <f>IFERROR(__xludf.DUMMYFUNCTION("""COMPUTED_VALUE"""),6.75)</f>
        <v>6.75</v>
      </c>
      <c r="L123" s="18">
        <f>IFERROR(__xludf.DUMMYFUNCTION("""COMPUTED_VALUE"""),10.8)</f>
        <v>10.8</v>
      </c>
    </row>
    <row r="124">
      <c r="A124" s="13" t="str">
        <f>IFERROR(__xludf.DUMMYFUNCTION("""COMPUTED_VALUE"""),"товари")</f>
        <v>товари</v>
      </c>
      <c r="B124" s="13" t="str">
        <f>IFERROR(__xludf.DUMMYFUNCTION("""COMPUTED_VALUE"""),"будівництво")</f>
        <v>будівництво</v>
      </c>
      <c r="C124" s="15" t="str">
        <f>IFERROR(__xludf.DUMMYFUNCTION("""COMPUTED_VALUE"""),"будівельні матеріали")</f>
        <v>будівельні матеріали</v>
      </c>
      <c r="D124" s="15" t="str">
        <f>IFERROR(__xludf.DUMMYFUNCTION("""COMPUTED_VALUE"""),"теплоізоляційні матеріали")</f>
        <v>теплоізоляційні матеріали</v>
      </c>
      <c r="E124" s="15" t="str">
        <f>IFERROR(__xludf.DUMMYFUNCTION("""COMPUTED_VALUE"""),"пароніт")</f>
        <v>пароніт</v>
      </c>
      <c r="F124" s="17">
        <f>IFERROR(__xludf.DUMMYFUNCTION("""COMPUTED_VALUE"""),4.0)</f>
        <v>4</v>
      </c>
      <c r="G124" s="17">
        <f>IFERROR(__xludf.DUMMYFUNCTION("""COMPUTED_VALUE"""),133404.0)</f>
        <v>133404</v>
      </c>
      <c r="H124" s="17" t="str">
        <f>IFERROR(__xludf.DUMMYFUNCTION("""COMPUTED_VALUE"""),"пароніт")</f>
        <v>пароніт</v>
      </c>
      <c r="I124" s="18">
        <f>IFERROR(__xludf.DUMMYFUNCTION("""COMPUTED_VALUE"""),1.94)</f>
        <v>1.94</v>
      </c>
      <c r="J124" s="18">
        <f>IFERROR(__xludf.DUMMYFUNCTION("""COMPUTED_VALUE"""),3.88)</f>
        <v>3.88</v>
      </c>
      <c r="K124" s="18">
        <f>IFERROR(__xludf.DUMMYFUNCTION("""COMPUTED_VALUE"""),4.84)</f>
        <v>4.84</v>
      </c>
      <c r="L124" s="18">
        <f>IFERROR(__xludf.DUMMYFUNCTION("""COMPUTED_VALUE"""),7.75)</f>
        <v>7.75</v>
      </c>
    </row>
    <row r="125">
      <c r="A125" s="13" t="str">
        <f>IFERROR(__xludf.DUMMYFUNCTION("""COMPUTED_VALUE"""),"товари")</f>
        <v>товари</v>
      </c>
      <c r="B125" s="13" t="str">
        <f>IFERROR(__xludf.DUMMYFUNCTION("""COMPUTED_VALUE"""),"будівництво")</f>
        <v>будівництво</v>
      </c>
      <c r="C125" s="15" t="str">
        <f>IFERROR(__xludf.DUMMYFUNCTION("""COMPUTED_VALUE"""),"будівельні матеріали")</f>
        <v>будівельні матеріали</v>
      </c>
      <c r="D125" s="15" t="str">
        <f>IFERROR(__xludf.DUMMYFUNCTION("""COMPUTED_VALUE"""),"пиломатеріали")</f>
        <v>пиломатеріали</v>
      </c>
      <c r="E125" s="15" t="str">
        <f>IFERROR(__xludf.DUMMYFUNCTION("""COMPUTED_VALUE"""),"пиломатеріали, загальне")</f>
        <v>пиломатеріали, загальне</v>
      </c>
      <c r="F125" s="17">
        <f>IFERROR(__xludf.DUMMYFUNCTION("""COMPUTED_VALUE"""),4.0)</f>
        <v>4</v>
      </c>
      <c r="G125" s="17">
        <f>IFERROR(__xludf.DUMMYFUNCTION("""COMPUTED_VALUE"""),131118.0)</f>
        <v>131118</v>
      </c>
      <c r="H125" s="17" t="str">
        <f>IFERROR(__xludf.DUMMYFUNCTION("""COMPUTED_VALUE"""),"пиломатеріали, загальне")</f>
        <v>пиломатеріали, загальне</v>
      </c>
      <c r="I125" s="18">
        <f>IFERROR(__xludf.DUMMYFUNCTION("""COMPUTED_VALUE"""),2.16)</f>
        <v>2.16</v>
      </c>
      <c r="J125" s="18">
        <f>IFERROR(__xludf.DUMMYFUNCTION("""COMPUTED_VALUE"""),4.33)</f>
        <v>4.33</v>
      </c>
      <c r="K125" s="18">
        <f>IFERROR(__xludf.DUMMYFUNCTION("""COMPUTED_VALUE"""),5.41)</f>
        <v>5.41</v>
      </c>
      <c r="L125" s="18">
        <f>IFERROR(__xludf.DUMMYFUNCTION("""COMPUTED_VALUE"""),8.65)</f>
        <v>8.65</v>
      </c>
    </row>
    <row r="126">
      <c r="A126" s="13" t="str">
        <f>IFERROR(__xludf.DUMMYFUNCTION("""COMPUTED_VALUE"""),"товари")</f>
        <v>товари</v>
      </c>
      <c r="B126" s="13" t="str">
        <f>IFERROR(__xludf.DUMMYFUNCTION("""COMPUTED_VALUE"""),"будівництво")</f>
        <v>будівництво</v>
      </c>
      <c r="C126" s="15" t="str">
        <f>IFERROR(__xludf.DUMMYFUNCTION("""COMPUTED_VALUE"""),"будівельні матеріали")</f>
        <v>будівельні матеріали</v>
      </c>
      <c r="D126" s="15" t="str">
        <f>IFERROR(__xludf.DUMMYFUNCTION("""COMPUTED_VALUE"""),"пиломатеріали")</f>
        <v>пиломатеріали</v>
      </c>
      <c r="E126" s="15" t="str">
        <f>IFERROR(__xludf.DUMMYFUNCTION("""COMPUTED_VALUE"""),"планкен")</f>
        <v>планкен</v>
      </c>
      <c r="F126" s="17">
        <f>IFERROR(__xludf.DUMMYFUNCTION("""COMPUTED_VALUE"""),4.0)</f>
        <v>4</v>
      </c>
      <c r="G126" s="17">
        <f>IFERROR(__xludf.DUMMYFUNCTION("""COMPUTED_VALUE"""),131129.0)</f>
        <v>131129</v>
      </c>
      <c r="H126" s="17" t="str">
        <f>IFERROR(__xludf.DUMMYFUNCTION("""COMPUTED_VALUE"""),"планкен")</f>
        <v>планкен</v>
      </c>
      <c r="I126" s="18">
        <f>IFERROR(__xludf.DUMMYFUNCTION("""COMPUTED_VALUE"""),1.44)</f>
        <v>1.44</v>
      </c>
      <c r="J126" s="18">
        <f>IFERROR(__xludf.DUMMYFUNCTION("""COMPUTED_VALUE"""),2.88)</f>
        <v>2.88</v>
      </c>
      <c r="K126" s="18">
        <f>IFERROR(__xludf.DUMMYFUNCTION("""COMPUTED_VALUE"""),3.59)</f>
        <v>3.59</v>
      </c>
      <c r="L126" s="18">
        <f>IFERROR(__xludf.DUMMYFUNCTION("""COMPUTED_VALUE"""),5.75)</f>
        <v>5.75</v>
      </c>
    </row>
    <row r="127">
      <c r="A127" s="13" t="str">
        <f>IFERROR(__xludf.DUMMYFUNCTION("""COMPUTED_VALUE"""),"товари")</f>
        <v>товари</v>
      </c>
      <c r="B127" s="13" t="str">
        <f>IFERROR(__xludf.DUMMYFUNCTION("""COMPUTED_VALUE"""),"будівництво")</f>
        <v>будівництво</v>
      </c>
      <c r="C127" s="15" t="str">
        <f>IFERROR(__xludf.DUMMYFUNCTION("""COMPUTED_VALUE"""),"вентиляційні системи")</f>
        <v>вентиляційні системи</v>
      </c>
      <c r="D127" s="15" t="str">
        <f>IFERROR(__xludf.DUMMYFUNCTION("""COMPUTED_VALUE"""),"повітроводи та комплектуючі")</f>
        <v>повітроводи та комплектуючі</v>
      </c>
      <c r="E127" s="15" t="str">
        <f>IFERROR(__xludf.DUMMYFUNCTION("""COMPUTED_VALUE"""),"повітроводи та комплектуючі")</f>
        <v>повітроводи та комплектуючі</v>
      </c>
      <c r="F127" s="17">
        <f>IFERROR(__xludf.DUMMYFUNCTION("""COMPUTED_VALUE"""),3.0)</f>
        <v>3</v>
      </c>
      <c r="G127" s="17">
        <f>IFERROR(__xludf.DUMMYFUNCTION("""COMPUTED_VALUE"""),142203.0)</f>
        <v>142203</v>
      </c>
      <c r="H127" s="17" t="str">
        <f>IFERROR(__xludf.DUMMYFUNCTION("""COMPUTED_VALUE"""),"повітроводи та комплектуючі")</f>
        <v>повітроводи та комплектуючі</v>
      </c>
      <c r="I127" s="18">
        <f>IFERROR(__xludf.DUMMYFUNCTION("""COMPUTED_VALUE"""),1.94)</f>
        <v>1.94</v>
      </c>
      <c r="J127" s="18">
        <f>IFERROR(__xludf.DUMMYFUNCTION("""COMPUTED_VALUE"""),3.88)</f>
        <v>3.88</v>
      </c>
      <c r="K127" s="18">
        <f>IFERROR(__xludf.DUMMYFUNCTION("""COMPUTED_VALUE"""),4.84)</f>
        <v>4.84</v>
      </c>
      <c r="L127" s="18">
        <f>IFERROR(__xludf.DUMMYFUNCTION("""COMPUTED_VALUE"""),7.75)</f>
        <v>7.75</v>
      </c>
    </row>
    <row r="128">
      <c r="A128" s="13" t="str">
        <f>IFERROR(__xludf.DUMMYFUNCTION("""COMPUTED_VALUE"""),"товари")</f>
        <v>товари</v>
      </c>
      <c r="B128" s="13" t="str">
        <f>IFERROR(__xludf.DUMMYFUNCTION("""COMPUTED_VALUE"""),"будівництво")</f>
        <v>будівництво</v>
      </c>
      <c r="C128" s="15" t="str">
        <f>IFERROR(__xludf.DUMMYFUNCTION("""COMPUTED_VALUE"""),"будівельні матеріали")</f>
        <v>будівельні матеріали</v>
      </c>
      <c r="D128" s="15" t="str">
        <f>IFERROR(__xludf.DUMMYFUNCTION("""COMPUTED_VALUE"""),"пластикові будівельні матеріали")</f>
        <v>пластикові будівельні матеріали</v>
      </c>
      <c r="E128" s="15" t="str">
        <f>IFERROR(__xludf.DUMMYFUNCTION("""COMPUTED_VALUE"""),"полікарбонати")</f>
        <v>полікарбонати</v>
      </c>
      <c r="F128" s="17">
        <f>IFERROR(__xludf.DUMMYFUNCTION("""COMPUTED_VALUE"""),4.0)</f>
        <v>4</v>
      </c>
      <c r="G128" s="17">
        <f>IFERROR(__xludf.DUMMYFUNCTION("""COMPUTED_VALUE"""),131703.0)</f>
        <v>131703</v>
      </c>
      <c r="H128" s="17" t="str">
        <f>IFERROR(__xludf.DUMMYFUNCTION("""COMPUTED_VALUE"""),"полікарбонати")</f>
        <v>полікарбонати</v>
      </c>
      <c r="I128" s="18">
        <f>IFERROR(__xludf.DUMMYFUNCTION("""COMPUTED_VALUE"""),0.76)</f>
        <v>0.76</v>
      </c>
      <c r="J128" s="18">
        <f>IFERROR(__xludf.DUMMYFUNCTION("""COMPUTED_VALUE"""),1.53)</f>
        <v>1.53</v>
      </c>
      <c r="K128" s="18">
        <f>IFERROR(__xludf.DUMMYFUNCTION("""COMPUTED_VALUE"""),1.91)</f>
        <v>1.91</v>
      </c>
      <c r="L128" s="18">
        <f>IFERROR(__xludf.DUMMYFUNCTION("""COMPUTED_VALUE"""),3.05)</f>
        <v>3.05</v>
      </c>
    </row>
    <row r="129">
      <c r="A129" s="13" t="str">
        <f>IFERROR(__xludf.DUMMYFUNCTION("""COMPUTED_VALUE"""),"товари")</f>
        <v>товари</v>
      </c>
      <c r="B129" s="13" t="str">
        <f>IFERROR(__xludf.DUMMYFUNCTION("""COMPUTED_VALUE"""),"будівництво")</f>
        <v>будівництво</v>
      </c>
      <c r="C129" s="15" t="str">
        <f>IFERROR(__xludf.DUMMYFUNCTION("""COMPUTED_VALUE"""),"водо-, газо-, теплозабезпечення")</f>
        <v>водо-, газо-, теплозабезпечення</v>
      </c>
      <c r="D129" s="15" t="str">
        <f>IFERROR(__xludf.DUMMYFUNCTION("""COMPUTED_VALUE"""),"каналізаційне обладнання")</f>
        <v>каналізаційне обладнання</v>
      </c>
      <c r="E129" s="15" t="str">
        <f>IFERROR(__xludf.DUMMYFUNCTION("""COMPUTED_VALUE"""),"полімерні каналізаційні та телекомунікаційні колодязі")</f>
        <v>полімерні каналізаційні та телекомунікаційні колодязі</v>
      </c>
      <c r="F129" s="17">
        <f>IFERROR(__xludf.DUMMYFUNCTION("""COMPUTED_VALUE"""),4.0)</f>
        <v>4</v>
      </c>
      <c r="G129" s="17">
        <f>IFERROR(__xludf.DUMMYFUNCTION("""COMPUTED_VALUE"""),1.3240511E7)</f>
        <v>13240511</v>
      </c>
      <c r="H129" s="17" t="str">
        <f>IFERROR(__xludf.DUMMYFUNCTION("""COMPUTED_VALUE"""),"полімерні каналізаційні та телекомунікаційні колодязі")</f>
        <v>полімерні каналізаційні та телекомунікаційні колодязі</v>
      </c>
      <c r="I129" s="18">
        <f>IFERROR(__xludf.DUMMYFUNCTION("""COMPUTED_VALUE"""),0.76)</f>
        <v>0.76</v>
      </c>
      <c r="J129" s="18">
        <f>IFERROR(__xludf.DUMMYFUNCTION("""COMPUTED_VALUE"""),1.53)</f>
        <v>1.53</v>
      </c>
      <c r="K129" s="18">
        <f>IFERROR(__xludf.DUMMYFUNCTION("""COMPUTED_VALUE"""),1.91)</f>
        <v>1.91</v>
      </c>
      <c r="L129" s="18">
        <f>IFERROR(__xludf.DUMMYFUNCTION("""COMPUTED_VALUE"""),3.05)</f>
        <v>3.05</v>
      </c>
    </row>
    <row r="130">
      <c r="A130" s="13" t="str">
        <f>IFERROR(__xludf.DUMMYFUNCTION("""COMPUTED_VALUE"""),"товари")</f>
        <v>товари</v>
      </c>
      <c r="B130" s="13" t="str">
        <f>IFERROR(__xludf.DUMMYFUNCTION("""COMPUTED_VALUE"""),"будівництво")</f>
        <v>будівництво</v>
      </c>
      <c r="C130" s="15" t="str">
        <f>IFERROR(__xludf.DUMMYFUNCTION("""COMPUTED_VALUE"""),"водо-, газо-, теплозабезпечення")</f>
        <v>водо-, газо-, теплозабезпечення</v>
      </c>
      <c r="D130" s="15" t="str">
        <f>IFERROR(__xludf.DUMMYFUNCTION("""COMPUTED_VALUE"""),"запірна арматура")</f>
        <v>запірна арматура</v>
      </c>
      <c r="E130" s="15" t="str">
        <f>IFERROR(__xludf.DUMMYFUNCTION("""COMPUTED_VALUE"""),"пристрої покажчика рівня")</f>
        <v>пристрої покажчика рівня</v>
      </c>
      <c r="F130" s="17">
        <f>IFERROR(__xludf.DUMMYFUNCTION("""COMPUTED_VALUE"""),4.0)</f>
        <v>4</v>
      </c>
      <c r="G130" s="17">
        <f>IFERROR(__xludf.DUMMYFUNCTION("""COMPUTED_VALUE"""),1.310064E7)</f>
        <v>13100640</v>
      </c>
      <c r="H130" s="17" t="str">
        <f>IFERROR(__xludf.DUMMYFUNCTION("""COMPUTED_VALUE"""),"пристрої покажчика рівня")</f>
        <v>пристрої покажчика рівня</v>
      </c>
      <c r="I130" s="18">
        <f>IFERROR(__xludf.DUMMYFUNCTION("""COMPUTED_VALUE"""),0.86)</f>
        <v>0.86</v>
      </c>
      <c r="J130" s="18">
        <f>IFERROR(__xludf.DUMMYFUNCTION("""COMPUTED_VALUE"""),1.71)</f>
        <v>1.71</v>
      </c>
      <c r="K130" s="18">
        <f>IFERROR(__xludf.DUMMYFUNCTION("""COMPUTED_VALUE"""),2.14)</f>
        <v>2.14</v>
      </c>
      <c r="L130" s="18">
        <f>IFERROR(__xludf.DUMMYFUNCTION("""COMPUTED_VALUE"""),3.43)</f>
        <v>3.43</v>
      </c>
    </row>
    <row r="131">
      <c r="A131" s="13" t="str">
        <f>IFERROR(__xludf.DUMMYFUNCTION("""COMPUTED_VALUE"""),"товари")</f>
        <v>товари</v>
      </c>
      <c r="B131" s="13" t="str">
        <f>IFERROR(__xludf.DUMMYFUNCTION("""COMPUTED_VALUE"""),"будівництво")</f>
        <v>будівництво</v>
      </c>
      <c r="C131" s="15" t="str">
        <f>IFERROR(__xludf.DUMMYFUNCTION("""COMPUTED_VALUE"""),"вентиляційні системи")</f>
        <v>вентиляційні системи</v>
      </c>
      <c r="D131" s="15" t="str">
        <f>IFERROR(__xludf.DUMMYFUNCTION("""COMPUTED_VALUE"""),"промислові вентилятори")</f>
        <v>промислові вентилятори</v>
      </c>
      <c r="E131" s="15" t="str">
        <f>IFERROR(__xludf.DUMMYFUNCTION("""COMPUTED_VALUE"""),"промислові вентилятори")</f>
        <v>промислові вентилятори</v>
      </c>
      <c r="F131" s="17">
        <f>IFERROR(__xludf.DUMMYFUNCTION("""COMPUTED_VALUE"""),3.0)</f>
        <v>3</v>
      </c>
      <c r="G131" s="17">
        <f>IFERROR(__xludf.DUMMYFUNCTION("""COMPUTED_VALUE"""),142201.0)</f>
        <v>142201</v>
      </c>
      <c r="H131" s="17" t="str">
        <f>IFERROR(__xludf.DUMMYFUNCTION("""COMPUTED_VALUE"""),"промислові вентилятори")</f>
        <v>промислові вентилятори</v>
      </c>
      <c r="I131" s="18">
        <f>IFERROR(__xludf.DUMMYFUNCTION("""COMPUTED_VALUE"""),2.7)</f>
        <v>2.7</v>
      </c>
      <c r="J131" s="18">
        <f>IFERROR(__xludf.DUMMYFUNCTION("""COMPUTED_VALUE"""),5.4)</f>
        <v>5.4</v>
      </c>
      <c r="K131" s="18">
        <f>IFERROR(__xludf.DUMMYFUNCTION("""COMPUTED_VALUE"""),6.75)</f>
        <v>6.75</v>
      </c>
      <c r="L131" s="18">
        <f>IFERROR(__xludf.DUMMYFUNCTION("""COMPUTED_VALUE"""),10.8)</f>
        <v>10.8</v>
      </c>
    </row>
    <row r="132">
      <c r="A132" s="13" t="str">
        <f>IFERROR(__xludf.DUMMYFUNCTION("""COMPUTED_VALUE"""),"товари")</f>
        <v>товари</v>
      </c>
      <c r="B132" s="13" t="str">
        <f>IFERROR(__xludf.DUMMYFUNCTION("""COMPUTED_VALUE"""),"будівництво")</f>
        <v>будівництво</v>
      </c>
      <c r="C132" s="15" t="str">
        <f>IFERROR(__xludf.DUMMYFUNCTION("""COMPUTED_VALUE"""),"вентиляційні системи")</f>
        <v>вентиляційні системи</v>
      </c>
      <c r="D132" s="15" t="str">
        <f>IFERROR(__xludf.DUMMYFUNCTION("""COMPUTED_VALUE"""),"промислові повітродувки")</f>
        <v>промислові повітродувки</v>
      </c>
      <c r="E132" s="15" t="str">
        <f>IFERROR(__xludf.DUMMYFUNCTION("""COMPUTED_VALUE"""),"промислові повітродувки")</f>
        <v>промислові повітродувки</v>
      </c>
      <c r="F132" s="17">
        <f>IFERROR(__xludf.DUMMYFUNCTION("""COMPUTED_VALUE"""),3.0)</f>
        <v>3</v>
      </c>
      <c r="G132" s="17">
        <f>IFERROR(__xludf.DUMMYFUNCTION("""COMPUTED_VALUE"""),142207.0)</f>
        <v>142207</v>
      </c>
      <c r="H132" s="17" t="str">
        <f>IFERROR(__xludf.DUMMYFUNCTION("""COMPUTED_VALUE"""),"промислові повітродувки")</f>
        <v>промислові повітродувки</v>
      </c>
      <c r="I132" s="18">
        <f>IFERROR(__xludf.DUMMYFUNCTION("""COMPUTED_VALUE"""),0.53)</f>
        <v>0.53</v>
      </c>
      <c r="J132" s="18">
        <f>IFERROR(__xludf.DUMMYFUNCTION("""COMPUTED_VALUE"""),1.05)</f>
        <v>1.05</v>
      </c>
      <c r="K132" s="18">
        <f>IFERROR(__xludf.DUMMYFUNCTION("""COMPUTED_VALUE"""),1.31)</f>
        <v>1.31</v>
      </c>
      <c r="L132" s="18">
        <f>IFERROR(__xludf.DUMMYFUNCTION("""COMPUTED_VALUE"""),2.1)</f>
        <v>2.1</v>
      </c>
    </row>
    <row r="133">
      <c r="A133" s="13" t="str">
        <f>IFERROR(__xludf.DUMMYFUNCTION("""COMPUTED_VALUE"""),"товари")</f>
        <v>товари</v>
      </c>
      <c r="B133" s="13" t="str">
        <f>IFERROR(__xludf.DUMMYFUNCTION("""COMPUTED_VALUE"""),"будівництво")</f>
        <v>будівництво</v>
      </c>
      <c r="C133" s="15" t="str">
        <f>IFERROR(__xludf.DUMMYFUNCTION("""COMPUTED_VALUE"""),"будівельні матеріали")</f>
        <v>будівельні матеріали</v>
      </c>
      <c r="D133" s="15" t="str">
        <f>IFERROR(__xludf.DUMMYFUNCTION("""COMPUTED_VALUE"""),"покрівельні матеріали")</f>
        <v>покрівельні матеріали</v>
      </c>
      <c r="E133" s="15" t="str">
        <f>IFERROR(__xludf.DUMMYFUNCTION("""COMPUTED_VALUE"""),"профільований настил")</f>
        <v>профільований настил</v>
      </c>
      <c r="F133" s="17">
        <f>IFERROR(__xludf.DUMMYFUNCTION("""COMPUTED_VALUE"""),4.0)</f>
        <v>4</v>
      </c>
      <c r="G133" s="17">
        <f>IFERROR(__xludf.DUMMYFUNCTION("""COMPUTED_VALUE"""),135003.0)</f>
        <v>135003</v>
      </c>
      <c r="H133" s="17" t="str">
        <f>IFERROR(__xludf.DUMMYFUNCTION("""COMPUTED_VALUE"""),"профільований настил")</f>
        <v>профільований настил</v>
      </c>
      <c r="I133" s="18">
        <f>IFERROR(__xludf.DUMMYFUNCTION("""COMPUTED_VALUE"""),0.76)</f>
        <v>0.76</v>
      </c>
      <c r="J133" s="18">
        <f>IFERROR(__xludf.DUMMYFUNCTION("""COMPUTED_VALUE"""),1.53)</f>
        <v>1.53</v>
      </c>
      <c r="K133" s="18">
        <f>IFERROR(__xludf.DUMMYFUNCTION("""COMPUTED_VALUE"""),1.91)</f>
        <v>1.91</v>
      </c>
      <c r="L133" s="18">
        <f>IFERROR(__xludf.DUMMYFUNCTION("""COMPUTED_VALUE"""),3.05)</f>
        <v>3.05</v>
      </c>
    </row>
    <row r="134">
      <c r="A134" s="13" t="str">
        <f>IFERROR(__xludf.DUMMYFUNCTION("""COMPUTED_VALUE"""),"товари")</f>
        <v>товари</v>
      </c>
      <c r="B134" s="13" t="str">
        <f>IFERROR(__xludf.DUMMYFUNCTION("""COMPUTED_VALUE"""),"будівництво")</f>
        <v>будівництво</v>
      </c>
      <c r="C134" s="15" t="str">
        <f>IFERROR(__xludf.DUMMYFUNCTION("""COMPUTED_VALUE"""),"водо-, газо-, теплозабезпечення")</f>
        <v>водо-, газо-, теплозабезпечення</v>
      </c>
      <c r="D134" s="15" t="str">
        <f>IFERROR(__xludf.DUMMYFUNCTION("""COMPUTED_VALUE"""),"фітинги для труб")</f>
        <v>фітинги для труб</v>
      </c>
      <c r="E134" s="15" t="str">
        <f>IFERROR(__xludf.DUMMYFUNCTION("""COMPUTED_VALUE"""),"ревізії для труб")</f>
        <v>ревізії для труб</v>
      </c>
      <c r="F134" s="17">
        <f>IFERROR(__xludf.DUMMYFUNCTION("""COMPUTED_VALUE"""),4.0)</f>
        <v>4</v>
      </c>
      <c r="G134" s="17">
        <f>IFERROR(__xludf.DUMMYFUNCTION("""COMPUTED_VALUE"""),1.3100651E7)</f>
        <v>13100651</v>
      </c>
      <c r="H134" s="17" t="str">
        <f>IFERROR(__xludf.DUMMYFUNCTION("""COMPUTED_VALUE"""),"ревізії для труб")</f>
        <v>ревізії для труб</v>
      </c>
      <c r="I134" s="18">
        <f>IFERROR(__xludf.DUMMYFUNCTION("""COMPUTED_VALUE"""),0.76)</f>
        <v>0.76</v>
      </c>
      <c r="J134" s="18">
        <f>IFERROR(__xludf.DUMMYFUNCTION("""COMPUTED_VALUE"""),1.53)</f>
        <v>1.53</v>
      </c>
      <c r="K134" s="18">
        <f>IFERROR(__xludf.DUMMYFUNCTION("""COMPUTED_VALUE"""),1.91)</f>
        <v>1.91</v>
      </c>
      <c r="L134" s="18">
        <f>IFERROR(__xludf.DUMMYFUNCTION("""COMPUTED_VALUE"""),3.05)</f>
        <v>3.05</v>
      </c>
    </row>
    <row r="135">
      <c r="A135" s="13" t="str">
        <f>IFERROR(__xludf.DUMMYFUNCTION("""COMPUTED_VALUE"""),"товари")</f>
        <v>товари</v>
      </c>
      <c r="B135" s="13" t="str">
        <f>IFERROR(__xludf.DUMMYFUNCTION("""COMPUTED_VALUE"""),"будівництво")</f>
        <v>будівництво</v>
      </c>
      <c r="C135" s="15" t="str">
        <f>IFERROR(__xludf.DUMMYFUNCTION("""COMPUTED_VALUE"""),"вентиляційні системи")</f>
        <v>вентиляційні системи</v>
      </c>
      <c r="D135" s="15" t="str">
        <f>IFERROR(__xludf.DUMMYFUNCTION("""COMPUTED_VALUE"""),"рекуператори повітря")</f>
        <v>рекуператори повітря</v>
      </c>
      <c r="E135" s="15" t="str">
        <f>IFERROR(__xludf.DUMMYFUNCTION("""COMPUTED_VALUE"""),"рекуператори повітря")</f>
        <v>рекуператори повітря</v>
      </c>
      <c r="F135" s="17">
        <f>IFERROR(__xludf.DUMMYFUNCTION("""COMPUTED_VALUE"""),3.0)</f>
        <v>3</v>
      </c>
      <c r="G135" s="17">
        <f>IFERROR(__xludf.DUMMYFUNCTION("""COMPUTED_VALUE"""),142214.0)</f>
        <v>142214</v>
      </c>
      <c r="H135" s="17" t="str">
        <f>IFERROR(__xludf.DUMMYFUNCTION("""COMPUTED_VALUE"""),"рекуператори повітря")</f>
        <v>рекуператори повітря</v>
      </c>
      <c r="I135" s="18">
        <f>IFERROR(__xludf.DUMMYFUNCTION("""COMPUTED_VALUE"""),2.7)</f>
        <v>2.7</v>
      </c>
      <c r="J135" s="18">
        <f>IFERROR(__xludf.DUMMYFUNCTION("""COMPUTED_VALUE"""),5.4)</f>
        <v>5.4</v>
      </c>
      <c r="K135" s="18">
        <f>IFERROR(__xludf.DUMMYFUNCTION("""COMPUTED_VALUE"""),6.75)</f>
        <v>6.75</v>
      </c>
      <c r="L135" s="18">
        <f>IFERROR(__xludf.DUMMYFUNCTION("""COMPUTED_VALUE"""),10.8)</f>
        <v>10.8</v>
      </c>
    </row>
    <row r="136">
      <c r="A136" s="13" t="str">
        <f>IFERROR(__xludf.DUMMYFUNCTION("""COMPUTED_VALUE"""),"товари")</f>
        <v>товари</v>
      </c>
      <c r="B136" s="13" t="str">
        <f>IFERROR(__xludf.DUMMYFUNCTION("""COMPUTED_VALUE"""),"будівництво")</f>
        <v>будівництво</v>
      </c>
      <c r="C136" s="15" t="str">
        <f>IFERROR(__xludf.DUMMYFUNCTION("""COMPUTED_VALUE"""),"будівельна техніка та обладнання")</f>
        <v>будівельна техніка та обладнання</v>
      </c>
      <c r="D136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136" s="15" t="str">
        <f>IFERROR(__xludf.DUMMYFUNCTION("""COMPUTED_VALUE"""),"риштування")</f>
        <v>риштування</v>
      </c>
      <c r="F136" s="17">
        <f>IFERROR(__xludf.DUMMYFUNCTION("""COMPUTED_VALUE"""),4.0)</f>
        <v>4</v>
      </c>
      <c r="G136" s="17">
        <f>IFERROR(__xludf.DUMMYFUNCTION("""COMPUTED_VALUE"""),133002.0)</f>
        <v>133002</v>
      </c>
      <c r="H136" s="17" t="str">
        <f>IFERROR(__xludf.DUMMYFUNCTION("""COMPUTED_VALUE"""),"риштування")</f>
        <v>риштування</v>
      </c>
      <c r="I136" s="18">
        <f>IFERROR(__xludf.DUMMYFUNCTION("""COMPUTED_VALUE"""),2.7)</f>
        <v>2.7</v>
      </c>
      <c r="J136" s="18">
        <f>IFERROR(__xludf.DUMMYFUNCTION("""COMPUTED_VALUE"""),5.4)</f>
        <v>5.4</v>
      </c>
      <c r="K136" s="18">
        <f>IFERROR(__xludf.DUMMYFUNCTION("""COMPUTED_VALUE"""),6.75)</f>
        <v>6.75</v>
      </c>
      <c r="L136" s="18">
        <f>IFERROR(__xludf.DUMMYFUNCTION("""COMPUTED_VALUE"""),10.8)</f>
        <v>10.8</v>
      </c>
    </row>
    <row r="137">
      <c r="A137" s="13" t="str">
        <f>IFERROR(__xludf.DUMMYFUNCTION("""COMPUTED_VALUE"""),"товари")</f>
        <v>товари</v>
      </c>
      <c r="B137" s="13" t="str">
        <f>IFERROR(__xludf.DUMMYFUNCTION("""COMPUTED_VALUE"""),"будівництво")</f>
        <v>будівництво</v>
      </c>
      <c r="C137" s="15" t="str">
        <f>IFERROR(__xludf.DUMMYFUNCTION("""COMPUTED_VALUE"""),"будівельні матеріали")</f>
        <v>будівельні матеріали</v>
      </c>
      <c r="D137" s="15" t="str">
        <f>IFERROR(__xludf.DUMMYFUNCTION("""COMPUTED_VALUE"""),"розчини та бетонні суміші")</f>
        <v>розчини та бетонні суміші</v>
      </c>
      <c r="E137" s="15" t="str">
        <f>IFERROR(__xludf.DUMMYFUNCTION("""COMPUTED_VALUE"""),"розчини та бетонні суміші, загальне")</f>
        <v>розчини та бетонні суміші, загальне</v>
      </c>
      <c r="F137" s="17">
        <f>IFERROR(__xludf.DUMMYFUNCTION("""COMPUTED_VALUE"""),4.0)</f>
        <v>4</v>
      </c>
      <c r="G137" s="17">
        <f>IFERROR(__xludf.DUMMYFUNCTION("""COMPUTED_VALUE"""),135207.0)</f>
        <v>135207</v>
      </c>
      <c r="H137" s="17" t="str">
        <f>IFERROR(__xludf.DUMMYFUNCTION("""COMPUTED_VALUE"""),"розчини та бетонні суміші, загальне")</f>
        <v>розчини та бетонні суміші, загальне</v>
      </c>
      <c r="I137" s="18">
        <f>IFERROR(__xludf.DUMMYFUNCTION("""COMPUTED_VALUE"""),2.16)</f>
        <v>2.16</v>
      </c>
      <c r="J137" s="18">
        <f>IFERROR(__xludf.DUMMYFUNCTION("""COMPUTED_VALUE"""),4.33)</f>
        <v>4.33</v>
      </c>
      <c r="K137" s="18">
        <f>IFERROR(__xludf.DUMMYFUNCTION("""COMPUTED_VALUE"""),5.41)</f>
        <v>5.41</v>
      </c>
      <c r="L137" s="18">
        <f>IFERROR(__xludf.DUMMYFUNCTION("""COMPUTED_VALUE"""),8.65)</f>
        <v>8.65</v>
      </c>
    </row>
    <row r="138">
      <c r="A138" s="13" t="str">
        <f>IFERROR(__xludf.DUMMYFUNCTION("""COMPUTED_VALUE"""),"товари")</f>
        <v>товари</v>
      </c>
      <c r="B138" s="13" t="str">
        <f>IFERROR(__xludf.DUMMYFUNCTION("""COMPUTED_VALUE"""),"будівництво")</f>
        <v>будівництво</v>
      </c>
      <c r="C138" s="15" t="str">
        <f>IFERROR(__xludf.DUMMYFUNCTION("""COMPUTED_VALUE"""),"будівельні матеріали")</f>
        <v>будівельні матеріали</v>
      </c>
      <c r="D138" s="15" t="str">
        <f>IFERROR(__xludf.DUMMYFUNCTION("""COMPUTED_VALUE"""),"фасадні матеріали")</f>
        <v>фасадні матеріали</v>
      </c>
      <c r="E138" s="15" t="str">
        <f>IFERROR(__xludf.DUMMYFUNCTION("""COMPUTED_VALUE"""),"сайдинг та комплектуючі до нього")</f>
        <v>сайдинг та комплектуючі до нього</v>
      </c>
      <c r="F138" s="17">
        <f>IFERROR(__xludf.DUMMYFUNCTION("""COMPUTED_VALUE"""),4.0)</f>
        <v>4</v>
      </c>
      <c r="G138" s="17">
        <f>IFERROR(__xludf.DUMMYFUNCTION("""COMPUTED_VALUE"""),131705.0)</f>
        <v>131705</v>
      </c>
      <c r="H138" s="17" t="str">
        <f>IFERROR(__xludf.DUMMYFUNCTION("""COMPUTED_VALUE"""),"сайдинг та комплектуючі до нього")</f>
        <v>сайдинг та комплектуючі до нього</v>
      </c>
      <c r="I138" s="18">
        <f>IFERROR(__xludf.DUMMYFUNCTION("""COMPUTED_VALUE"""),2.7)</f>
        <v>2.7</v>
      </c>
      <c r="J138" s="18">
        <f>IFERROR(__xludf.DUMMYFUNCTION("""COMPUTED_VALUE"""),5.4)</f>
        <v>5.4</v>
      </c>
      <c r="K138" s="18">
        <f>IFERROR(__xludf.DUMMYFUNCTION("""COMPUTED_VALUE"""),6.75)</f>
        <v>6.75</v>
      </c>
      <c r="L138" s="18">
        <f>IFERROR(__xludf.DUMMYFUNCTION("""COMPUTED_VALUE"""),10.8)</f>
        <v>10.8</v>
      </c>
    </row>
    <row r="139">
      <c r="A139" s="13" t="str">
        <f>IFERROR(__xludf.DUMMYFUNCTION("""COMPUTED_VALUE"""),"товари")</f>
        <v>товари</v>
      </c>
      <c r="B139" s="13" t="str">
        <f>IFERROR(__xludf.DUMMYFUNCTION("""COMPUTED_VALUE"""),"будівництво")</f>
        <v>будівництво</v>
      </c>
      <c r="C139" s="15" t="str">
        <f>IFERROR(__xludf.DUMMYFUNCTION("""COMPUTED_VALUE"""),"будівельні матеріали")</f>
        <v>будівельні матеріали</v>
      </c>
      <c r="D139" s="15" t="str">
        <f>IFERROR(__xludf.DUMMYFUNCTION("""COMPUTED_VALUE"""),"скло та кріплення до нього")</f>
        <v>скло та кріплення до нього</v>
      </c>
      <c r="E139" s="15" t="str">
        <f>IFERROR(__xludf.DUMMYFUNCTION("""COMPUTED_VALUE"""),"скло та кріплення до нього, загальне")</f>
        <v>скло та кріплення до нього, загальне</v>
      </c>
      <c r="F139" s="17">
        <f>IFERROR(__xludf.DUMMYFUNCTION("""COMPUTED_VALUE"""),4.0)</f>
        <v>4</v>
      </c>
      <c r="G139" s="17">
        <f>IFERROR(__xludf.DUMMYFUNCTION("""COMPUTED_VALUE"""),131506.0)</f>
        <v>131506</v>
      </c>
      <c r="H139" s="17" t="str">
        <f>IFERROR(__xludf.DUMMYFUNCTION("""COMPUTED_VALUE"""),"скло та кріплення до нього, загальне")</f>
        <v>скло та кріплення до нього, загальне</v>
      </c>
      <c r="I139" s="18">
        <f>IFERROR(__xludf.DUMMYFUNCTION("""COMPUTED_VALUE"""),2.16)</f>
        <v>2.16</v>
      </c>
      <c r="J139" s="18">
        <f>IFERROR(__xludf.DUMMYFUNCTION("""COMPUTED_VALUE"""),4.33)</f>
        <v>4.33</v>
      </c>
      <c r="K139" s="18">
        <f>IFERROR(__xludf.DUMMYFUNCTION("""COMPUTED_VALUE"""),5.41)</f>
        <v>5.41</v>
      </c>
      <c r="L139" s="18">
        <f>IFERROR(__xludf.DUMMYFUNCTION("""COMPUTED_VALUE"""),8.65)</f>
        <v>8.65</v>
      </c>
    </row>
    <row r="140">
      <c r="A140" s="13" t="str">
        <f>IFERROR(__xludf.DUMMYFUNCTION("""COMPUTED_VALUE"""),"товари")</f>
        <v>товари</v>
      </c>
      <c r="B140" s="13" t="str">
        <f>IFERROR(__xludf.DUMMYFUNCTION("""COMPUTED_VALUE"""),"будівництво")</f>
        <v>будівництво</v>
      </c>
      <c r="C140" s="15" t="str">
        <f>IFERROR(__xludf.DUMMYFUNCTION("""COMPUTED_VALUE"""),"басейни")</f>
        <v>басейни</v>
      </c>
      <c r="D140" s="15" t="str">
        <f>IFERROR(__xludf.DUMMYFUNCTION("""COMPUTED_VALUE"""),"стаціонарні басейни")</f>
        <v>стаціонарні басейни</v>
      </c>
      <c r="E140" s="15" t="str">
        <f>IFERROR(__xludf.DUMMYFUNCTION("""COMPUTED_VALUE"""),"стаціонарні басейни")</f>
        <v>стаціонарні басейни</v>
      </c>
      <c r="F140" s="17">
        <f>IFERROR(__xludf.DUMMYFUNCTION("""COMPUTED_VALUE"""),3.0)</f>
        <v>3</v>
      </c>
      <c r="G140" s="17">
        <f>IFERROR(__xludf.DUMMYFUNCTION("""COMPUTED_VALUE"""),180801.0)</f>
        <v>180801</v>
      </c>
      <c r="H140" s="17" t="str">
        <f>IFERROR(__xludf.DUMMYFUNCTION("""COMPUTED_VALUE"""),"стаціонарні басейни")</f>
        <v>стаціонарні басейни</v>
      </c>
      <c r="I140" s="18">
        <f>IFERROR(__xludf.DUMMYFUNCTION("""COMPUTED_VALUE"""),2.25)</f>
        <v>2.25</v>
      </c>
      <c r="J140" s="18">
        <f>IFERROR(__xludf.DUMMYFUNCTION("""COMPUTED_VALUE"""),4.5)</f>
        <v>4.5</v>
      </c>
      <c r="K140" s="18">
        <f>IFERROR(__xludf.DUMMYFUNCTION("""COMPUTED_VALUE"""),5.63)</f>
        <v>5.63</v>
      </c>
      <c r="L140" s="18">
        <f>IFERROR(__xludf.DUMMYFUNCTION("""COMPUTED_VALUE"""),9.0)</f>
        <v>9</v>
      </c>
    </row>
    <row r="141">
      <c r="A141" s="13" t="str">
        <f>IFERROR(__xludf.DUMMYFUNCTION("""COMPUTED_VALUE"""),"товари")</f>
        <v>товари</v>
      </c>
      <c r="B141" s="13" t="str">
        <f>IFERROR(__xludf.DUMMYFUNCTION("""COMPUTED_VALUE"""),"будівництво")</f>
        <v>будівництво</v>
      </c>
      <c r="C141" s="16" t="str">
        <f>IFERROR(__xludf.DUMMYFUNCTION("""COMPUTED_VALUE"""),"будівельна техніка та обладнання")</f>
        <v>будівельна техніка та обладнання</v>
      </c>
      <c r="D141" s="16" t="str">
        <f>IFERROR(__xludf.DUMMYFUNCTION("""COMPUTED_VALUE"""),"машини та обладнання для бетонних робіт")</f>
        <v>машини та обладнання для бетонних робіт</v>
      </c>
      <c r="E141" s="16" t="str">
        <f>IFERROR(__xludf.DUMMYFUNCTION("""COMPUTED_VALUE"""),"стаціонарні та мобільні бетонні заводи")</f>
        <v>стаціонарні та мобільні бетонні заводи</v>
      </c>
      <c r="F141" s="17">
        <f>IFERROR(__xludf.DUMMYFUNCTION("""COMPUTED_VALUE"""),4.0)</f>
        <v>4</v>
      </c>
      <c r="G141" s="17">
        <f>IFERROR(__xludf.DUMMYFUNCTION("""COMPUTED_VALUE"""),1.3040303E7)</f>
        <v>13040303</v>
      </c>
      <c r="H141" s="17" t="str">
        <f>IFERROR(__xludf.DUMMYFUNCTION("""COMPUTED_VALUE"""),"стаціонарні та мобільні бетонні заводи")</f>
        <v>стаціонарні та мобільні бетонні заводи</v>
      </c>
      <c r="I141" s="18">
        <f>IFERROR(__xludf.DUMMYFUNCTION("""COMPUTED_VALUE"""),2.18)</f>
        <v>2.18</v>
      </c>
      <c r="J141" s="18">
        <f>IFERROR(__xludf.DUMMYFUNCTION("""COMPUTED_VALUE"""),4.35)</f>
        <v>4.35</v>
      </c>
      <c r="K141" s="18">
        <f>IFERROR(__xludf.DUMMYFUNCTION("""COMPUTED_VALUE"""),5.44)</f>
        <v>5.44</v>
      </c>
      <c r="L141" s="18">
        <f>IFERROR(__xludf.DUMMYFUNCTION("""COMPUTED_VALUE"""),8.7)</f>
        <v>8.7</v>
      </c>
    </row>
    <row r="142">
      <c r="A142" s="13" t="str">
        <f>IFERROR(__xludf.DUMMYFUNCTION("""COMPUTED_VALUE"""),"товари")</f>
        <v>товари</v>
      </c>
      <c r="B142" s="13" t="str">
        <f>IFERROR(__xludf.DUMMYFUNCTION("""COMPUTED_VALUE"""),"будівництво")</f>
        <v>будівництво</v>
      </c>
      <c r="C142" s="16" t="str">
        <f>IFERROR(__xludf.DUMMYFUNCTION("""COMPUTED_VALUE"""),"будівельні матеріали")</f>
        <v>будівельні матеріали</v>
      </c>
      <c r="D142" s="16" t="str">
        <f>IFERROR(__xludf.DUMMYFUNCTION("""COMPUTED_VALUE"""),"стінові та мурувальні матеріали")</f>
        <v>стінові та мурувальні матеріали</v>
      </c>
      <c r="E142" s="16" t="str">
        <f>IFERROR(__xludf.DUMMYFUNCTION("""COMPUTED_VALUE"""),"стінові блоки")</f>
        <v>стінові блоки</v>
      </c>
      <c r="F142" s="17">
        <f>IFERROR(__xludf.DUMMYFUNCTION("""COMPUTED_VALUE"""),4.0)</f>
        <v>4</v>
      </c>
      <c r="G142" s="17">
        <f>IFERROR(__xludf.DUMMYFUNCTION("""COMPUTED_VALUE"""),1.3070202E7)</f>
        <v>13070202</v>
      </c>
      <c r="H142" s="17" t="str">
        <f>IFERROR(__xludf.DUMMYFUNCTION("""COMPUTED_VALUE"""),"стінові блоки")</f>
        <v>стінові блоки</v>
      </c>
      <c r="I142" s="18">
        <f>IFERROR(__xludf.DUMMYFUNCTION("""COMPUTED_VALUE"""),1.26)</f>
        <v>1.26</v>
      </c>
      <c r="J142" s="18">
        <f>IFERROR(__xludf.DUMMYFUNCTION("""COMPUTED_VALUE"""),2.53)</f>
        <v>2.53</v>
      </c>
      <c r="K142" s="18">
        <f>IFERROR(__xludf.DUMMYFUNCTION("""COMPUTED_VALUE"""),3.16)</f>
        <v>3.16</v>
      </c>
      <c r="L142" s="18">
        <f>IFERROR(__xludf.DUMMYFUNCTION("""COMPUTED_VALUE"""),5.05)</f>
        <v>5.05</v>
      </c>
    </row>
    <row r="143">
      <c r="A143" s="13" t="str">
        <f>IFERROR(__xludf.DUMMYFUNCTION("""COMPUTED_VALUE"""),"товари")</f>
        <v>товари</v>
      </c>
      <c r="B143" s="13" t="str">
        <f>IFERROR(__xludf.DUMMYFUNCTION("""COMPUTED_VALUE"""),"будівництво")</f>
        <v>будівництво</v>
      </c>
      <c r="C143" s="15" t="str">
        <f>IFERROR(__xludf.DUMMYFUNCTION("""COMPUTED_VALUE"""),"будівельна техніка та обладнання")</f>
        <v>будівельна техніка та обладнання</v>
      </c>
      <c r="D143" s="15" t="str">
        <f>IFERROR(__xludf.DUMMYFUNCTION("""COMPUTED_VALUE"""),"машини та обладнання для бетонних робіт")</f>
        <v>машини та обладнання для бетонних робіт</v>
      </c>
      <c r="E143" s="15" t="str">
        <f>IFERROR(__xludf.DUMMYFUNCTION("""COMPUTED_VALUE"""),"стінорізальні машини")</f>
        <v>стінорізальні машини</v>
      </c>
      <c r="F143" s="17">
        <f>IFERROR(__xludf.DUMMYFUNCTION("""COMPUTED_VALUE"""),4.0)</f>
        <v>4</v>
      </c>
      <c r="G143" s="17">
        <f>IFERROR(__xludf.DUMMYFUNCTION("""COMPUTED_VALUE"""),1.3040312E7)</f>
        <v>13040312</v>
      </c>
      <c r="H143" s="17" t="str">
        <f>IFERROR(__xludf.DUMMYFUNCTION("""COMPUTED_VALUE"""),"стінорізальні машини")</f>
        <v>стінорізальні машини</v>
      </c>
      <c r="I143" s="18">
        <f>IFERROR(__xludf.DUMMYFUNCTION("""COMPUTED_VALUE"""),2.18)</f>
        <v>2.18</v>
      </c>
      <c r="J143" s="18">
        <f>IFERROR(__xludf.DUMMYFUNCTION("""COMPUTED_VALUE"""),4.35)</f>
        <v>4.35</v>
      </c>
      <c r="K143" s="18">
        <f>IFERROR(__xludf.DUMMYFUNCTION("""COMPUTED_VALUE"""),5.44)</f>
        <v>5.44</v>
      </c>
      <c r="L143" s="18">
        <f>IFERROR(__xludf.DUMMYFUNCTION("""COMPUTED_VALUE"""),8.7)</f>
        <v>8.7</v>
      </c>
    </row>
    <row r="144">
      <c r="A144" s="13" t="str">
        <f>IFERROR(__xludf.DUMMYFUNCTION("""COMPUTED_VALUE"""),"товари")</f>
        <v>товари</v>
      </c>
      <c r="B144" s="13" t="str">
        <f>IFERROR(__xludf.DUMMYFUNCTION("""COMPUTED_VALUE"""),"будівництво")</f>
        <v>будівництво</v>
      </c>
      <c r="C144" s="15" t="str">
        <f>IFERROR(__xludf.DUMMYFUNCTION("""COMPUTED_VALUE"""),"будівельні матеріали")</f>
        <v>будівельні матеріали</v>
      </c>
      <c r="D144" s="15" t="str">
        <f>IFERROR(__xludf.DUMMYFUNCTION("""COMPUTED_VALUE"""),"сходи та комплектуючі для сходів")</f>
        <v>сходи та комплектуючі для сходів</v>
      </c>
      <c r="E144" s="15" t="str">
        <f>IFERROR(__xludf.DUMMYFUNCTION("""COMPUTED_VALUE"""),"сходові марші та майданчики")</f>
        <v>сходові марші та майданчики</v>
      </c>
      <c r="F144" s="17">
        <f>IFERROR(__xludf.DUMMYFUNCTION("""COMPUTED_VALUE"""),4.0)</f>
        <v>4</v>
      </c>
      <c r="G144" s="17">
        <f>IFERROR(__xludf.DUMMYFUNCTION("""COMPUTED_VALUE"""),1.3070404E7)</f>
        <v>13070404</v>
      </c>
      <c r="H144" s="17" t="str">
        <f>IFERROR(__xludf.DUMMYFUNCTION("""COMPUTED_VALUE"""),"сходові марші та майданчики")</f>
        <v>сходові марші та майданчики</v>
      </c>
      <c r="I144" s="18">
        <f>IFERROR(__xludf.DUMMYFUNCTION("""COMPUTED_VALUE"""),0.76)</f>
        <v>0.76</v>
      </c>
      <c r="J144" s="18">
        <f>IFERROR(__xludf.DUMMYFUNCTION("""COMPUTED_VALUE"""),1.53)</f>
        <v>1.53</v>
      </c>
      <c r="K144" s="18">
        <f>IFERROR(__xludf.DUMMYFUNCTION("""COMPUTED_VALUE"""),1.91)</f>
        <v>1.91</v>
      </c>
      <c r="L144" s="18">
        <f>IFERROR(__xludf.DUMMYFUNCTION("""COMPUTED_VALUE"""),3.05)</f>
        <v>3.05</v>
      </c>
    </row>
    <row r="145">
      <c r="A145" s="13" t="str">
        <f>IFERROR(__xludf.DUMMYFUNCTION("""COMPUTED_VALUE"""),"товари")</f>
        <v>товари</v>
      </c>
      <c r="B145" s="13" t="str">
        <f>IFERROR(__xludf.DUMMYFUNCTION("""COMPUTED_VALUE"""),"будівництво")</f>
        <v>будівництво</v>
      </c>
      <c r="C145" s="15" t="str">
        <f>IFERROR(__xludf.DUMMYFUNCTION("""COMPUTED_VALUE"""),"будівельні матеріали")</f>
        <v>будівельні матеріали</v>
      </c>
      <c r="D145" s="15" t="str">
        <f>IFERROR(__xludf.DUMMYFUNCTION("""COMPUTED_VALUE"""),"залізобетонні вироби")</f>
        <v>залізобетонні вироби</v>
      </c>
      <c r="E145" s="15" t="str">
        <f>IFERROR(__xludf.DUMMYFUNCTION("""COMPUTED_VALUE"""),"теплові камери та комплектуючі до них")</f>
        <v>теплові камери та комплектуючі до них</v>
      </c>
      <c r="F145" s="17">
        <f>IFERROR(__xludf.DUMMYFUNCTION("""COMPUTED_VALUE"""),4.0)</f>
        <v>4</v>
      </c>
      <c r="G145" s="17">
        <f>IFERROR(__xludf.DUMMYFUNCTION("""COMPUTED_VALUE"""),1.3070426E7)</f>
        <v>13070426</v>
      </c>
      <c r="H145" s="17" t="str">
        <f>IFERROR(__xludf.DUMMYFUNCTION("""COMPUTED_VALUE"""),"теплові камери та комплектуючі до них")</f>
        <v>теплові камери та комплектуючі до них</v>
      </c>
      <c r="I145" s="18">
        <f>IFERROR(__xludf.DUMMYFUNCTION("""COMPUTED_VALUE"""),2.7)</f>
        <v>2.7</v>
      </c>
      <c r="J145" s="18">
        <f>IFERROR(__xludf.DUMMYFUNCTION("""COMPUTED_VALUE"""),5.4)</f>
        <v>5.4</v>
      </c>
      <c r="K145" s="18">
        <f>IFERROR(__xludf.DUMMYFUNCTION("""COMPUTED_VALUE"""),6.75)</f>
        <v>6.75</v>
      </c>
      <c r="L145" s="18">
        <f>IFERROR(__xludf.DUMMYFUNCTION("""COMPUTED_VALUE"""),10.8)</f>
        <v>10.8</v>
      </c>
    </row>
    <row r="146">
      <c r="A146" s="13" t="str">
        <f>IFERROR(__xludf.DUMMYFUNCTION("""COMPUTED_VALUE"""),"товари")</f>
        <v>товари</v>
      </c>
      <c r="B146" s="13" t="str">
        <f>IFERROR(__xludf.DUMMYFUNCTION("""COMPUTED_VALUE"""),"будівництво")</f>
        <v>будівництво</v>
      </c>
      <c r="C146" s="15" t="str">
        <f>IFERROR(__xludf.DUMMYFUNCTION("""COMPUTED_VALUE"""),"водо-, газо-, теплозабезпечення")</f>
        <v>водо-, газо-, теплозабезпечення</v>
      </c>
      <c r="D146" s="15" t="str">
        <f>IFERROR(__xludf.DUMMYFUNCTION("""COMPUTED_VALUE"""),"труби")</f>
        <v>труби</v>
      </c>
      <c r="E146" s="15" t="str">
        <f>IFERROR(__xludf.DUMMYFUNCTION("""COMPUTED_VALUE"""),"теплогідроізольовані труби")</f>
        <v>теплогідроізольовані труби</v>
      </c>
      <c r="F146" s="17">
        <f>IFERROR(__xludf.DUMMYFUNCTION("""COMPUTED_VALUE"""),4.0)</f>
        <v>4</v>
      </c>
      <c r="G146" s="17">
        <f>IFERROR(__xludf.DUMMYFUNCTION("""COMPUTED_VALUE"""),131013.0)</f>
        <v>131013</v>
      </c>
      <c r="H146" s="17" t="str">
        <f>IFERROR(__xludf.DUMMYFUNCTION("""COMPUTED_VALUE"""),"теплогідроізольовані труби")</f>
        <v>теплогідроізольовані труби</v>
      </c>
      <c r="I146" s="18">
        <f>IFERROR(__xludf.DUMMYFUNCTION("""COMPUTED_VALUE"""),2.51)</f>
        <v>2.51</v>
      </c>
      <c r="J146" s="18">
        <f>IFERROR(__xludf.DUMMYFUNCTION("""COMPUTED_VALUE"""),5.03)</f>
        <v>5.03</v>
      </c>
      <c r="K146" s="18">
        <f>IFERROR(__xludf.DUMMYFUNCTION("""COMPUTED_VALUE"""),6.28)</f>
        <v>6.28</v>
      </c>
      <c r="L146" s="18">
        <f>IFERROR(__xludf.DUMMYFUNCTION("""COMPUTED_VALUE"""),10.05)</f>
        <v>10.05</v>
      </c>
    </row>
    <row r="147">
      <c r="A147" s="13" t="str">
        <f>IFERROR(__xludf.DUMMYFUNCTION("""COMPUTED_VALUE"""),"товари")</f>
        <v>товари</v>
      </c>
      <c r="B147" s="13" t="str">
        <f>IFERROR(__xludf.DUMMYFUNCTION("""COMPUTED_VALUE"""),"будівництво")</f>
        <v>будівництво</v>
      </c>
      <c r="C147" s="15" t="str">
        <f>IFERROR(__xludf.DUMMYFUNCTION("""COMPUTED_VALUE"""),"будівельні матеріали")</f>
        <v>будівельні матеріали</v>
      </c>
      <c r="D147" s="15" t="str">
        <f>IFERROR(__xludf.DUMMYFUNCTION("""COMPUTED_VALUE"""),"теплоізоляційні матеріали")</f>
        <v>теплоізоляційні матеріали</v>
      </c>
      <c r="E147" s="15" t="str">
        <f>IFERROR(__xludf.DUMMYFUNCTION("""COMPUTED_VALUE"""),"теплоізоляційний пінопласт")</f>
        <v>теплоізоляційний пінопласт</v>
      </c>
      <c r="F147" s="17">
        <f>IFERROR(__xludf.DUMMYFUNCTION("""COMPUTED_VALUE"""),4.0)</f>
        <v>4</v>
      </c>
      <c r="G147" s="17">
        <f>IFERROR(__xludf.DUMMYFUNCTION("""COMPUTED_VALUE"""),133405.0)</f>
        <v>133405</v>
      </c>
      <c r="H147" s="17" t="str">
        <f>IFERROR(__xludf.DUMMYFUNCTION("""COMPUTED_VALUE"""),"теплоізоляційний пінопласт")</f>
        <v>теплоізоляційний пінопласт</v>
      </c>
      <c r="I147" s="18">
        <f>IFERROR(__xludf.DUMMYFUNCTION("""COMPUTED_VALUE"""),1.94)</f>
        <v>1.94</v>
      </c>
      <c r="J147" s="18">
        <f>IFERROR(__xludf.DUMMYFUNCTION("""COMPUTED_VALUE"""),3.88)</f>
        <v>3.88</v>
      </c>
      <c r="K147" s="18">
        <f>IFERROR(__xludf.DUMMYFUNCTION("""COMPUTED_VALUE"""),4.84)</f>
        <v>4.84</v>
      </c>
      <c r="L147" s="18">
        <f>IFERROR(__xludf.DUMMYFUNCTION("""COMPUTED_VALUE"""),7.75)</f>
        <v>7.75</v>
      </c>
    </row>
    <row r="148">
      <c r="A148" s="13" t="str">
        <f>IFERROR(__xludf.DUMMYFUNCTION("""COMPUTED_VALUE"""),"товари")</f>
        <v>товари</v>
      </c>
      <c r="B148" s="13" t="str">
        <f>IFERROR(__xludf.DUMMYFUNCTION("""COMPUTED_VALUE"""),"будівництво")</f>
        <v>будівництво</v>
      </c>
      <c r="C148" s="15" t="str">
        <f>IFERROR(__xludf.DUMMYFUNCTION("""COMPUTED_VALUE"""),"будівельна техніка та обладнання")</f>
        <v>будівельна техніка та обладнання</v>
      </c>
      <c r="D148" s="15" t="str">
        <f>IFERROR(__xludf.DUMMYFUNCTION("""COMPUTED_VALUE"""),"машини та обладнання для земляних робіт")</f>
        <v>машини та обладнання для земляних робіт</v>
      </c>
      <c r="E148" s="15" t="str">
        <f>IFERROR(__xludf.DUMMYFUNCTION("""COMPUTED_VALUE"""),"траншеєкопачі")</f>
        <v>траншеєкопачі</v>
      </c>
      <c r="F148" s="17">
        <f>IFERROR(__xludf.DUMMYFUNCTION("""COMPUTED_VALUE"""),4.0)</f>
        <v>4</v>
      </c>
      <c r="G148" s="17">
        <f>IFERROR(__xludf.DUMMYFUNCTION("""COMPUTED_VALUE"""),1.3040501E7)</f>
        <v>13040501</v>
      </c>
      <c r="H148" s="17" t="str">
        <f>IFERROR(__xludf.DUMMYFUNCTION("""COMPUTED_VALUE"""),"траншеєкопачі")</f>
        <v>траншеєкопачі</v>
      </c>
      <c r="I148" s="18">
        <f>IFERROR(__xludf.DUMMYFUNCTION("""COMPUTED_VALUE"""),2.4)</f>
        <v>2.4</v>
      </c>
      <c r="J148" s="18">
        <f>IFERROR(__xludf.DUMMYFUNCTION("""COMPUTED_VALUE"""),4.8)</f>
        <v>4.8</v>
      </c>
      <c r="K148" s="18">
        <f>IFERROR(__xludf.DUMMYFUNCTION("""COMPUTED_VALUE"""),6.0)</f>
        <v>6</v>
      </c>
      <c r="L148" s="18">
        <f>IFERROR(__xludf.DUMMYFUNCTION("""COMPUTED_VALUE"""),9.6)</f>
        <v>9.6</v>
      </c>
    </row>
    <row r="149">
      <c r="A149" s="13" t="str">
        <f>IFERROR(__xludf.DUMMYFUNCTION("""COMPUTED_VALUE"""),"товари")</f>
        <v>товари</v>
      </c>
      <c r="B149" s="13" t="str">
        <f>IFERROR(__xludf.DUMMYFUNCTION("""COMPUTED_VALUE"""),"будівництво")</f>
        <v>будівництво</v>
      </c>
      <c r="C149" s="15" t="str">
        <f>IFERROR(__xludf.DUMMYFUNCTION("""COMPUTED_VALUE"""),"будівельні матеріали")</f>
        <v>будівельні матеріали</v>
      </c>
      <c r="D149" s="15" t="str">
        <f>IFERROR(__xludf.DUMMYFUNCTION("""COMPUTED_VALUE"""),"залізобетонні вироби")</f>
        <v>залізобетонні вироби</v>
      </c>
      <c r="E149" s="15" t="str">
        <f>IFERROR(__xludf.DUMMYFUNCTION("""COMPUTED_VALUE"""),"фіксатори захисного шару арматури")</f>
        <v>фіксатори захисного шару арматури</v>
      </c>
      <c r="F149" s="17">
        <f>IFERROR(__xludf.DUMMYFUNCTION("""COMPUTED_VALUE"""),4.0)</f>
        <v>4</v>
      </c>
      <c r="G149" s="17">
        <f>IFERROR(__xludf.DUMMYFUNCTION("""COMPUTED_VALUE"""),1.3070422E7)</f>
        <v>13070422</v>
      </c>
      <c r="H149" s="17" t="str">
        <f>IFERROR(__xludf.DUMMYFUNCTION("""COMPUTED_VALUE"""),"фіксатори захисного шару арматури")</f>
        <v>фіксатори захисного шару арматури</v>
      </c>
      <c r="I149" s="18">
        <f>IFERROR(__xludf.DUMMYFUNCTION("""COMPUTED_VALUE"""),2.7)</f>
        <v>2.7</v>
      </c>
      <c r="J149" s="18">
        <f>IFERROR(__xludf.DUMMYFUNCTION("""COMPUTED_VALUE"""),5.4)</f>
        <v>5.4</v>
      </c>
      <c r="K149" s="18">
        <f>IFERROR(__xludf.DUMMYFUNCTION("""COMPUTED_VALUE"""),6.75)</f>
        <v>6.75</v>
      </c>
      <c r="L149" s="18">
        <f>IFERROR(__xludf.DUMMYFUNCTION("""COMPUTED_VALUE"""),10.8)</f>
        <v>10.8</v>
      </c>
    </row>
    <row r="150">
      <c r="A150" s="13" t="str">
        <f>IFERROR(__xludf.DUMMYFUNCTION("""COMPUTED_VALUE"""),"товари")</f>
        <v>товари</v>
      </c>
      <c r="B150" s="13" t="str">
        <f>IFERROR(__xludf.DUMMYFUNCTION("""COMPUTED_VALUE"""),"будівництво")</f>
        <v>будівництво</v>
      </c>
      <c r="C150" s="15" t="str">
        <f>IFERROR(__xludf.DUMMYFUNCTION("""COMPUTED_VALUE"""),"будівельна техніка та обладнання")</f>
        <v>будівельна техніка та обладнання</v>
      </c>
      <c r="D150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150" s="15" t="str">
        <f>IFERROR(__xludf.DUMMYFUNCTION("""COMPUTED_VALUE"""),"фронтальні та телескопічні навантажувачі")</f>
        <v>фронтальні та телескопічні навантажувачі</v>
      </c>
      <c r="F150" s="17">
        <f>IFERROR(__xludf.DUMMYFUNCTION("""COMPUTED_VALUE"""),4.0)</f>
        <v>4</v>
      </c>
      <c r="G150" s="17">
        <f>IFERROR(__xludf.DUMMYFUNCTION("""COMPUTED_VALUE"""),132608.0)</f>
        <v>132608</v>
      </c>
      <c r="H150" s="17" t="str">
        <f>IFERROR(__xludf.DUMMYFUNCTION("""COMPUTED_VALUE"""),"фронтальні та телескопічні навантажувачі")</f>
        <v>фронтальні та телескопічні навантажувачі</v>
      </c>
      <c r="I150" s="18">
        <f>IFERROR(__xludf.DUMMYFUNCTION("""COMPUTED_VALUE"""),2.7)</f>
        <v>2.7</v>
      </c>
      <c r="J150" s="18">
        <f>IFERROR(__xludf.DUMMYFUNCTION("""COMPUTED_VALUE"""),5.4)</f>
        <v>5.4</v>
      </c>
      <c r="K150" s="18">
        <f>IFERROR(__xludf.DUMMYFUNCTION("""COMPUTED_VALUE"""),6.75)</f>
        <v>6.75</v>
      </c>
      <c r="L150" s="18">
        <f>IFERROR(__xludf.DUMMYFUNCTION("""COMPUTED_VALUE"""),10.8)</f>
        <v>10.8</v>
      </c>
    </row>
    <row r="151">
      <c r="A151" s="13" t="str">
        <f>IFERROR(__xludf.DUMMYFUNCTION("""COMPUTED_VALUE"""),"товари")</f>
        <v>товари</v>
      </c>
      <c r="B151" s="13" t="str">
        <f>IFERROR(__xludf.DUMMYFUNCTION("""COMPUTED_VALUE"""),"будівництво")</f>
        <v>будівництво</v>
      </c>
      <c r="C151" s="15" t="str">
        <f>IFERROR(__xludf.DUMMYFUNCTION("""COMPUTED_VALUE"""),"будівельні матеріали")</f>
        <v>будівельні матеріали</v>
      </c>
      <c r="D151" s="15" t="str">
        <f>IFERROR(__xludf.DUMMYFUNCTION("""COMPUTED_VALUE"""),"стінові та мурувальні матеріали")</f>
        <v>стінові та мурувальні матеріали</v>
      </c>
      <c r="E151" s="15" t="str">
        <f>IFERROR(__xludf.DUMMYFUNCTION("""COMPUTED_VALUE"""),"цегла")</f>
        <v>цегла</v>
      </c>
      <c r="F151" s="17">
        <f>IFERROR(__xludf.DUMMYFUNCTION("""COMPUTED_VALUE"""),4.0)</f>
        <v>4</v>
      </c>
      <c r="G151" s="17">
        <f>IFERROR(__xludf.DUMMYFUNCTION("""COMPUTED_VALUE"""),1349.0)</f>
        <v>1349</v>
      </c>
      <c r="H151" s="17" t="str">
        <f>IFERROR(__xludf.DUMMYFUNCTION("""COMPUTED_VALUE"""),"цегла")</f>
        <v>цегла</v>
      </c>
      <c r="I151" s="18">
        <f>IFERROR(__xludf.DUMMYFUNCTION("""COMPUTED_VALUE"""),1.26)</f>
        <v>1.26</v>
      </c>
      <c r="J151" s="18">
        <f>IFERROR(__xludf.DUMMYFUNCTION("""COMPUTED_VALUE"""),2.53)</f>
        <v>2.53</v>
      </c>
      <c r="K151" s="18">
        <f>IFERROR(__xludf.DUMMYFUNCTION("""COMPUTED_VALUE"""),3.16)</f>
        <v>3.16</v>
      </c>
      <c r="L151" s="18">
        <f>IFERROR(__xludf.DUMMYFUNCTION("""COMPUTED_VALUE"""),5.05)</f>
        <v>5.05</v>
      </c>
    </row>
    <row r="152">
      <c r="A152" s="13" t="str">
        <f>IFERROR(__xludf.DUMMYFUNCTION("""COMPUTED_VALUE"""),"товари")</f>
        <v>товари</v>
      </c>
      <c r="B152" s="13" t="str">
        <f>IFERROR(__xludf.DUMMYFUNCTION("""COMPUTED_VALUE"""),"будівництво")</f>
        <v>будівництво</v>
      </c>
      <c r="C152" s="15" t="str">
        <f>IFERROR(__xludf.DUMMYFUNCTION("""COMPUTED_VALUE"""),"будівельні матеріали")</f>
        <v>будівельні матеріали</v>
      </c>
      <c r="D152" s="15" t="str">
        <f>IFERROR(__xludf.DUMMYFUNCTION("""COMPUTED_VALUE"""),"в'яжучі матеріали, сухі будівельні суміші")</f>
        <v>в'яжучі матеріали, сухі будівельні суміші</v>
      </c>
      <c r="E152" s="15" t="str">
        <f>IFERROR(__xludf.DUMMYFUNCTION("""COMPUTED_VALUE"""),"цемент")</f>
        <v>цемент</v>
      </c>
      <c r="F152" s="17">
        <f>IFERROR(__xludf.DUMMYFUNCTION("""COMPUTED_VALUE"""),4.0)</f>
        <v>4</v>
      </c>
      <c r="G152" s="17">
        <f>IFERROR(__xludf.DUMMYFUNCTION("""COMPUTED_VALUE"""),1308.0)</f>
        <v>1308</v>
      </c>
      <c r="H152" s="17" t="str">
        <f>IFERROR(__xludf.DUMMYFUNCTION("""COMPUTED_VALUE"""),"цемент")</f>
        <v>цемент</v>
      </c>
      <c r="I152" s="18">
        <f>IFERROR(__xludf.DUMMYFUNCTION("""COMPUTED_VALUE"""),0.86)</f>
        <v>0.86</v>
      </c>
      <c r="J152" s="18">
        <f>IFERROR(__xludf.DUMMYFUNCTION("""COMPUTED_VALUE"""),1.71)</f>
        <v>1.71</v>
      </c>
      <c r="K152" s="18">
        <f>IFERROR(__xludf.DUMMYFUNCTION("""COMPUTED_VALUE"""),2.14)</f>
        <v>2.14</v>
      </c>
      <c r="L152" s="18">
        <f>IFERROR(__xludf.DUMMYFUNCTION("""COMPUTED_VALUE"""),3.43)</f>
        <v>3.43</v>
      </c>
    </row>
    <row r="153">
      <c r="A153" s="13" t="str">
        <f>IFERROR(__xludf.DUMMYFUNCTION("""COMPUTED_VALUE"""),"товари")</f>
        <v>товари</v>
      </c>
      <c r="B153" s="13" t="str">
        <f>IFERROR(__xludf.DUMMYFUNCTION("""COMPUTED_VALUE"""),"будівництво")</f>
        <v>будівництво</v>
      </c>
      <c r="C153" s="15" t="str">
        <f>IFERROR(__xludf.DUMMYFUNCTION("""COMPUTED_VALUE"""),"будівельні матеріали")</f>
        <v>будівельні матеріали</v>
      </c>
      <c r="D153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153" s="15" t="str">
        <f>IFERROR(__xludf.DUMMYFUNCTION("""COMPUTED_VALUE"""),"шлагбауми")</f>
        <v>шлагбауми</v>
      </c>
      <c r="F153" s="17">
        <f>IFERROR(__xludf.DUMMYFUNCTION("""COMPUTED_VALUE"""),4.0)</f>
        <v>4</v>
      </c>
      <c r="G153" s="17">
        <f>IFERROR(__xludf.DUMMYFUNCTION("""COMPUTED_VALUE"""),135605.0)</f>
        <v>135605</v>
      </c>
      <c r="H153" s="17" t="str">
        <f>IFERROR(__xludf.DUMMYFUNCTION("""COMPUTED_VALUE"""),"шлагбауми")</f>
        <v>шлагбауми</v>
      </c>
      <c r="I153" s="18">
        <f>IFERROR(__xludf.DUMMYFUNCTION("""COMPUTED_VALUE"""),2.7)</f>
        <v>2.7</v>
      </c>
      <c r="J153" s="18">
        <f>IFERROR(__xludf.DUMMYFUNCTION("""COMPUTED_VALUE"""),5.4)</f>
        <v>5.4</v>
      </c>
      <c r="K153" s="18">
        <f>IFERROR(__xludf.DUMMYFUNCTION("""COMPUTED_VALUE"""),6.75)</f>
        <v>6.75</v>
      </c>
      <c r="L153" s="18">
        <f>IFERROR(__xludf.DUMMYFUNCTION("""COMPUTED_VALUE"""),10.8)</f>
        <v>10.8</v>
      </c>
    </row>
    <row r="154">
      <c r="A154" s="13" t="str">
        <f>IFERROR(__xludf.DUMMYFUNCTION("""COMPUTED_VALUE"""),"товари")</f>
        <v>товари</v>
      </c>
      <c r="B154" s="13" t="str">
        <f>IFERROR(__xludf.DUMMYFUNCTION("""COMPUTED_VALUE"""),"вантажівки, автобуси, спецтехніка")</f>
        <v>вантажівки, автобуси, спецтехніка</v>
      </c>
      <c r="C154" s="15" t="str">
        <f>IFERROR(__xludf.DUMMYFUNCTION("""COMPUTED_VALUE"""),"вантажні автомобілі")</f>
        <v>вантажні автомобілі</v>
      </c>
      <c r="D154" s="15" t="str">
        <f>IFERROR(__xludf.DUMMYFUNCTION("""COMPUTED_VALUE"""),"спеціальні вантажівки")</f>
        <v>спеціальні вантажівки</v>
      </c>
      <c r="E154" s="15" t="str">
        <f>IFERROR(__xludf.DUMMYFUNCTION("""COMPUTED_VALUE"""),"автокрани")</f>
        <v>автокрани</v>
      </c>
      <c r="F154" s="17">
        <f>IFERROR(__xludf.DUMMYFUNCTION("""COMPUTED_VALUE"""),4.0)</f>
        <v>4</v>
      </c>
      <c r="G154" s="17">
        <f>IFERROR(__xludf.DUMMYFUNCTION("""COMPUTED_VALUE"""),1.3040201E7)</f>
        <v>13040201</v>
      </c>
      <c r="H154" s="17" t="str">
        <f>IFERROR(__xludf.DUMMYFUNCTION("""COMPUTED_VALUE"""),"автокрани")</f>
        <v>автокрани</v>
      </c>
      <c r="I154" s="18">
        <f>IFERROR(__xludf.DUMMYFUNCTION("""COMPUTED_VALUE"""),1.99)</f>
        <v>1.99</v>
      </c>
      <c r="J154" s="18">
        <f>IFERROR(__xludf.DUMMYFUNCTION("""COMPUTED_VALUE"""),3.98)</f>
        <v>3.98</v>
      </c>
      <c r="K154" s="18">
        <f>IFERROR(__xludf.DUMMYFUNCTION("""COMPUTED_VALUE"""),4.97)</f>
        <v>4.97</v>
      </c>
      <c r="L154" s="18">
        <f>IFERROR(__xludf.DUMMYFUNCTION("""COMPUTED_VALUE"""),7.95)</f>
        <v>7.95</v>
      </c>
    </row>
    <row r="155">
      <c r="A155" s="13" t="str">
        <f>IFERROR(__xludf.DUMMYFUNCTION("""COMPUTED_VALUE"""),"товари")</f>
        <v>товари</v>
      </c>
      <c r="B155" s="13" t="str">
        <f>IFERROR(__xludf.DUMMYFUNCTION("""COMPUTED_VALUE"""),"вантажівки, автобуси, спецтехніка")</f>
        <v>вантажівки, автобуси, спецтехніка</v>
      </c>
      <c r="C155" s="15" t="str">
        <f>IFERROR(__xludf.DUMMYFUNCTION("""COMPUTED_VALUE"""),"автозапчастини та комплектуючі")</f>
        <v>автозапчастини та комплектуючі</v>
      </c>
      <c r="D155" s="15" t="str">
        <f>IFERROR(__xludf.DUMMYFUNCTION("""COMPUTED_VALUE"""),"кузова, кабіни, рами")</f>
        <v>кузова, кабіни, рами</v>
      </c>
      <c r="E155" s="15" t="str">
        <f>IFERROR(__xludf.DUMMYFUNCTION("""COMPUTED_VALUE"""),"бампери для вантажних автомобілів")</f>
        <v>бампери для вантажних автомобілів</v>
      </c>
      <c r="F155" s="17">
        <f>IFERROR(__xludf.DUMMYFUNCTION("""COMPUTED_VALUE"""),4.0)</f>
        <v>4</v>
      </c>
      <c r="G155" s="17">
        <f>IFERROR(__xludf.DUMMYFUNCTION("""COMPUTED_VALUE"""),342209.0)</f>
        <v>342209</v>
      </c>
      <c r="H155" s="17" t="str">
        <f>IFERROR(__xludf.DUMMYFUNCTION("""COMPUTED_VALUE"""),"бампери для вантажних автомобілів")</f>
        <v>бампери для вантажних автомобілів</v>
      </c>
      <c r="I155" s="18">
        <f>IFERROR(__xludf.DUMMYFUNCTION("""COMPUTED_VALUE"""),0.86)</f>
        <v>0.86</v>
      </c>
      <c r="J155" s="18">
        <f>IFERROR(__xludf.DUMMYFUNCTION("""COMPUTED_VALUE"""),1.71)</f>
        <v>1.71</v>
      </c>
      <c r="K155" s="18">
        <f>IFERROR(__xludf.DUMMYFUNCTION("""COMPUTED_VALUE"""),2.14)</f>
        <v>2.14</v>
      </c>
      <c r="L155" s="18">
        <f>IFERROR(__xludf.DUMMYFUNCTION("""COMPUTED_VALUE"""),3.43)</f>
        <v>3.43</v>
      </c>
    </row>
    <row r="156">
      <c r="A156" s="13" t="str">
        <f>IFERROR(__xludf.DUMMYFUNCTION("""COMPUTED_VALUE"""),"товари")</f>
        <v>товари</v>
      </c>
      <c r="B156" s="13" t="str">
        <f>IFERROR(__xludf.DUMMYFUNCTION("""COMPUTED_VALUE"""),"вантажівки, автобуси, спецтехніка")</f>
        <v>вантажівки, автобуси, спецтехніка</v>
      </c>
      <c r="C156" s="15" t="str">
        <f>IFERROR(__xludf.DUMMYFUNCTION("""COMPUTED_VALUE"""),"вантажні автомобілі")</f>
        <v>вантажні автомобілі</v>
      </c>
      <c r="D156" s="15" t="str">
        <f>IFERROR(__xludf.DUMMYFUNCTION("""COMPUTED_VALUE"""),"вантажівки з відкритим кузовом")</f>
        <v>вантажівки з відкритим кузовом</v>
      </c>
      <c r="E156" s="15" t="str">
        <f>IFERROR(__xludf.DUMMYFUNCTION("""COMPUTED_VALUE"""),"вантажівки з відкритим кузовом")</f>
        <v>вантажівки з відкритим кузовом</v>
      </c>
      <c r="F156" s="17">
        <f>IFERROR(__xludf.DUMMYFUNCTION("""COMPUTED_VALUE"""),3.0)</f>
        <v>3</v>
      </c>
      <c r="G156" s="17">
        <f>IFERROR(__xludf.DUMMYFUNCTION("""COMPUTED_VALUE"""),3.4010302E7)</f>
        <v>34010302</v>
      </c>
      <c r="H156" s="17" t="str">
        <f>IFERROR(__xludf.DUMMYFUNCTION("""COMPUTED_VALUE"""),"вантажівки з відкритим кузовом")</f>
        <v>вантажівки з відкритим кузовом</v>
      </c>
      <c r="I156" s="18">
        <f>IFERROR(__xludf.DUMMYFUNCTION("""COMPUTED_VALUE"""),0.76)</f>
        <v>0.76</v>
      </c>
      <c r="J156" s="18">
        <f>IFERROR(__xludf.DUMMYFUNCTION("""COMPUTED_VALUE"""),1.53)</f>
        <v>1.53</v>
      </c>
      <c r="K156" s="18">
        <f>IFERROR(__xludf.DUMMYFUNCTION("""COMPUTED_VALUE"""),1.91)</f>
        <v>1.91</v>
      </c>
      <c r="L156" s="18">
        <f>IFERROR(__xludf.DUMMYFUNCTION("""COMPUTED_VALUE"""),3.05)</f>
        <v>3.05</v>
      </c>
    </row>
    <row r="157">
      <c r="A157" s="13" t="str">
        <f>IFERROR(__xludf.DUMMYFUNCTION("""COMPUTED_VALUE"""),"товари")</f>
        <v>товари</v>
      </c>
      <c r="B157" s="13" t="str">
        <f>IFERROR(__xludf.DUMMYFUNCTION("""COMPUTED_VALUE"""),"вантажівки, автобуси, спецтехніка")</f>
        <v>вантажівки, автобуси, спецтехніка</v>
      </c>
      <c r="C157" s="15" t="str">
        <f>IFERROR(__xludf.DUMMYFUNCTION("""COMPUTED_VALUE"""),"вантажні автомобілі")</f>
        <v>вантажні автомобілі</v>
      </c>
      <c r="D157" s="15" t="str">
        <f>IFERROR(__xludf.DUMMYFUNCTION("""COMPUTED_VALUE"""),"вантажівки з закритим кузовом")</f>
        <v>вантажівки з закритим кузовом</v>
      </c>
      <c r="E157" s="15" t="str">
        <f>IFERROR(__xludf.DUMMYFUNCTION("""COMPUTED_VALUE"""),"вантажівки з закритим кузовом")</f>
        <v>вантажівки з закритим кузовом</v>
      </c>
      <c r="F157" s="17">
        <f>IFERROR(__xludf.DUMMYFUNCTION("""COMPUTED_VALUE"""),3.0)</f>
        <v>3</v>
      </c>
      <c r="G157" s="17">
        <f>IFERROR(__xludf.DUMMYFUNCTION("""COMPUTED_VALUE"""),340112.0)</f>
        <v>340112</v>
      </c>
      <c r="H157" s="17" t="str">
        <f>IFERROR(__xludf.DUMMYFUNCTION("""COMPUTED_VALUE"""),"вантажівки з закритим кузовом")</f>
        <v>вантажівки з закритим кузовом</v>
      </c>
      <c r="I157" s="18">
        <f>IFERROR(__xludf.DUMMYFUNCTION("""COMPUTED_VALUE"""),1.62)</f>
        <v>1.62</v>
      </c>
      <c r="J157" s="18">
        <f>IFERROR(__xludf.DUMMYFUNCTION("""COMPUTED_VALUE"""),3.24)</f>
        <v>3.24</v>
      </c>
      <c r="K157" s="18">
        <f>IFERROR(__xludf.DUMMYFUNCTION("""COMPUTED_VALUE"""),4.05)</f>
        <v>4.05</v>
      </c>
      <c r="L157" s="18">
        <f>IFERROR(__xludf.DUMMYFUNCTION("""COMPUTED_VALUE"""),6.48)</f>
        <v>6.48</v>
      </c>
    </row>
    <row r="158">
      <c r="A158" s="13" t="str">
        <f>IFERROR(__xludf.DUMMYFUNCTION("""COMPUTED_VALUE"""),"товари")</f>
        <v>товари</v>
      </c>
      <c r="B158" s="13" t="str">
        <f>IFERROR(__xludf.DUMMYFUNCTION("""COMPUTED_VALUE"""),"вантажівки, автобуси, спецтехніка")</f>
        <v>вантажівки, автобуси, спецтехніка</v>
      </c>
      <c r="C158" s="15" t="str">
        <f>IFERROR(__xludf.DUMMYFUNCTION("""COMPUTED_VALUE"""),"вантажні автомобілі")</f>
        <v>вантажні автомобілі</v>
      </c>
      <c r="D158" s="15" t="str">
        <f>IFERROR(__xludf.DUMMYFUNCTION("""COMPUTED_VALUE"""),"вантажні автомобілі, загальне")</f>
        <v>вантажні автомобілі, загальне</v>
      </c>
      <c r="E158" s="15" t="str">
        <f>IFERROR(__xludf.DUMMYFUNCTION("""COMPUTED_VALUE"""),"вантажні автомобілі, загальне")</f>
        <v>вантажні автомобілі, загальне</v>
      </c>
      <c r="F158" s="17">
        <f>IFERROR(__xludf.DUMMYFUNCTION("""COMPUTED_VALUE"""),3.0)</f>
        <v>3</v>
      </c>
      <c r="G158" s="17">
        <f>IFERROR(__xludf.DUMMYFUNCTION("""COMPUTED_VALUE"""),3.4010306E7)</f>
        <v>34010306</v>
      </c>
      <c r="H158" s="17" t="str">
        <f>IFERROR(__xludf.DUMMYFUNCTION("""COMPUTED_VALUE"""),"вантажні автомобілі, загальне")</f>
        <v>вантажні автомобілі, загальне</v>
      </c>
      <c r="I158" s="18">
        <f>IFERROR(__xludf.DUMMYFUNCTION("""COMPUTED_VALUE"""),2.16)</f>
        <v>2.16</v>
      </c>
      <c r="J158" s="18">
        <f>IFERROR(__xludf.DUMMYFUNCTION("""COMPUTED_VALUE"""),4.33)</f>
        <v>4.33</v>
      </c>
      <c r="K158" s="18">
        <f>IFERROR(__xludf.DUMMYFUNCTION("""COMPUTED_VALUE"""),5.41)</f>
        <v>5.41</v>
      </c>
      <c r="L158" s="18">
        <f>IFERROR(__xludf.DUMMYFUNCTION("""COMPUTED_VALUE"""),8.65)</f>
        <v>8.65</v>
      </c>
    </row>
    <row r="159">
      <c r="A159" s="13" t="str">
        <f>IFERROR(__xludf.DUMMYFUNCTION("""COMPUTED_VALUE"""),"товари")</f>
        <v>товари</v>
      </c>
      <c r="B159" s="13" t="str">
        <f>IFERROR(__xludf.DUMMYFUNCTION("""COMPUTED_VALUE"""),"вантажівки, автобуси, спецтехніка")</f>
        <v>вантажівки, автобуси, спецтехніка</v>
      </c>
      <c r="C159" s="15" t="str">
        <f>IFERROR(__xludf.DUMMYFUNCTION("""COMPUTED_VALUE"""),"гольф кари")</f>
        <v>гольф кари</v>
      </c>
      <c r="D159" s="15" t="str">
        <f>IFERROR(__xludf.DUMMYFUNCTION("""COMPUTED_VALUE"""),"гольф кари")</f>
        <v>гольф кари</v>
      </c>
      <c r="E159" s="15" t="str">
        <f>IFERROR(__xludf.DUMMYFUNCTION("""COMPUTED_VALUE"""),"гольф кари")</f>
        <v>гольф кари</v>
      </c>
      <c r="F159" s="17">
        <f>IFERROR(__xludf.DUMMYFUNCTION("""COMPUTED_VALUE"""),2.0)</f>
        <v>2</v>
      </c>
      <c r="G159" s="17">
        <f>IFERROR(__xludf.DUMMYFUNCTION("""COMPUTED_VALUE"""),3427.0)</f>
        <v>3427</v>
      </c>
      <c r="H159" s="17" t="str">
        <f>IFERROR(__xludf.DUMMYFUNCTION("""COMPUTED_VALUE"""),"гольф кари")</f>
        <v>гольф кари</v>
      </c>
      <c r="I159" s="18">
        <f>IFERROR(__xludf.DUMMYFUNCTION("""COMPUTED_VALUE"""),1.58)</f>
        <v>1.58</v>
      </c>
      <c r="J159" s="18">
        <f>IFERROR(__xludf.DUMMYFUNCTION("""COMPUTED_VALUE"""),3.15)</f>
        <v>3.15</v>
      </c>
      <c r="K159" s="18">
        <f>IFERROR(__xludf.DUMMYFUNCTION("""COMPUTED_VALUE"""),3.94)</f>
        <v>3.94</v>
      </c>
      <c r="L159" s="18">
        <f>IFERROR(__xludf.DUMMYFUNCTION("""COMPUTED_VALUE"""),6.3)</f>
        <v>6.3</v>
      </c>
    </row>
    <row r="160">
      <c r="A160" s="13" t="str">
        <f>IFERROR(__xludf.DUMMYFUNCTION("""COMPUTED_VALUE"""),"товари")</f>
        <v>товари</v>
      </c>
      <c r="B160" s="13" t="str">
        <f>IFERROR(__xludf.DUMMYFUNCTION("""COMPUTED_VALUE"""),"вантажівки, автобуси, спецтехніка")</f>
        <v>вантажівки, автобуси, спецтехніка</v>
      </c>
      <c r="C160" s="15" t="str">
        <f>IFERROR(__xludf.DUMMYFUNCTION("""COMPUTED_VALUE"""),"автозапчастини та комплектуючі")</f>
        <v>автозапчастини та комплектуючі</v>
      </c>
      <c r="D160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0" s="15" t="str">
        <f>IFERROR(__xludf.DUMMYFUNCTION("""COMPUTED_VALUE"""),"гусениці для техніки")</f>
        <v>гусениці для техніки</v>
      </c>
      <c r="F160" s="17">
        <f>IFERROR(__xludf.DUMMYFUNCTION("""COMPUTED_VALUE"""),4.0)</f>
        <v>4</v>
      </c>
      <c r="G160" s="17">
        <f>IFERROR(__xludf.DUMMYFUNCTION("""COMPUTED_VALUE"""),341538.0)</f>
        <v>341538</v>
      </c>
      <c r="H160" s="17" t="str">
        <f>IFERROR(__xludf.DUMMYFUNCTION("""COMPUTED_VALUE"""),"гусениці для техніки")</f>
        <v>гусениці для техніки</v>
      </c>
      <c r="I160" s="18">
        <f>IFERROR(__xludf.DUMMYFUNCTION("""COMPUTED_VALUE"""),2.7)</f>
        <v>2.7</v>
      </c>
      <c r="J160" s="18">
        <f>IFERROR(__xludf.DUMMYFUNCTION("""COMPUTED_VALUE"""),5.4)</f>
        <v>5.4</v>
      </c>
      <c r="K160" s="18">
        <f>IFERROR(__xludf.DUMMYFUNCTION("""COMPUTED_VALUE"""),6.75)</f>
        <v>6.75</v>
      </c>
      <c r="L160" s="18">
        <f>IFERROR(__xludf.DUMMYFUNCTION("""COMPUTED_VALUE"""),10.8)</f>
        <v>10.8</v>
      </c>
    </row>
    <row r="161">
      <c r="A161" s="13" t="str">
        <f>IFERROR(__xludf.DUMMYFUNCTION("""COMPUTED_VALUE"""),"товари")</f>
        <v>товари</v>
      </c>
      <c r="B161" s="13" t="str">
        <f>IFERROR(__xludf.DUMMYFUNCTION("""COMPUTED_VALUE"""),"вантажівки, автобуси, спецтехніка")</f>
        <v>вантажівки, автобуси, спецтехніка</v>
      </c>
      <c r="C161" s="15" t="str">
        <f>IFERROR(__xludf.DUMMYFUNCTION("""COMPUTED_VALUE"""),"автозапчастини та комплектуючі")</f>
        <v>автозапчастини та комплектуючі</v>
      </c>
      <c r="D161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1" s="15" t="str">
        <f>IFERROR(__xludf.DUMMYFUNCTION("""COMPUTED_VALUE"""),"долото до сільгосптехніки")</f>
        <v>долото до сільгосптехніки</v>
      </c>
      <c r="F161" s="17">
        <f>IFERROR(__xludf.DUMMYFUNCTION("""COMPUTED_VALUE"""),4.0)</f>
        <v>4</v>
      </c>
      <c r="G161" s="17">
        <f>IFERROR(__xludf.DUMMYFUNCTION("""COMPUTED_VALUE"""),341560.0)</f>
        <v>341560</v>
      </c>
      <c r="H161" s="17" t="str">
        <f>IFERROR(__xludf.DUMMYFUNCTION("""COMPUTED_VALUE"""),"долото до сільгосптехніки")</f>
        <v>долото до сільгосптехніки</v>
      </c>
      <c r="I161" s="18">
        <f>IFERROR(__xludf.DUMMYFUNCTION("""COMPUTED_VALUE"""),2.7)</f>
        <v>2.7</v>
      </c>
      <c r="J161" s="18">
        <f>IFERROR(__xludf.DUMMYFUNCTION("""COMPUTED_VALUE"""),5.4)</f>
        <v>5.4</v>
      </c>
      <c r="K161" s="18">
        <f>IFERROR(__xludf.DUMMYFUNCTION("""COMPUTED_VALUE"""),6.75)</f>
        <v>6.75</v>
      </c>
      <c r="L161" s="18">
        <f>IFERROR(__xludf.DUMMYFUNCTION("""COMPUTED_VALUE"""),10.8)</f>
        <v>10.8</v>
      </c>
    </row>
    <row r="162">
      <c r="A162" s="13" t="str">
        <f>IFERROR(__xludf.DUMMYFUNCTION("""COMPUTED_VALUE"""),"товари")</f>
        <v>товари</v>
      </c>
      <c r="B162" s="13" t="str">
        <f>IFERROR(__xludf.DUMMYFUNCTION("""COMPUTED_VALUE"""),"вантажівки, автобуси, спецтехніка")</f>
        <v>вантажівки, автобуси, спецтехніка</v>
      </c>
      <c r="C162" s="15" t="str">
        <f>IFERROR(__xludf.DUMMYFUNCTION("""COMPUTED_VALUE"""),"автозапчастини та комплектуючі")</f>
        <v>автозапчастини та комплектуючі</v>
      </c>
      <c r="D162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2" s="15" t="str">
        <f>IFERROR(__xludf.DUMMYFUNCTION("""COMPUTED_VALUE"""),"запасні частини до автотракторної, сільськогосподарської спецтехніки, загальне")</f>
        <v>запасні частини до автотракторної, сільськогосподарської спецтехніки, загальне</v>
      </c>
      <c r="F162" s="17">
        <f>IFERROR(__xludf.DUMMYFUNCTION("""COMPUTED_VALUE"""),4.0)</f>
        <v>4</v>
      </c>
      <c r="G162" s="17">
        <f>IFERROR(__xludf.DUMMYFUNCTION("""COMPUTED_VALUE"""),341506.0)</f>
        <v>341506</v>
      </c>
      <c r="H162" s="17" t="str">
        <f>IFERROR(__xludf.DUMMYFUNCTION("""COMPUTED_VALUE"""),"запасні частини до автотракторної, сільськогосподарської спецтехніки, загальне")</f>
        <v>запасні частини до автотракторної, сільськогосподарської спецтехніки, загальне</v>
      </c>
      <c r="I162" s="18">
        <f>IFERROR(__xludf.DUMMYFUNCTION("""COMPUTED_VALUE"""),2.16)</f>
        <v>2.16</v>
      </c>
      <c r="J162" s="18">
        <f>IFERROR(__xludf.DUMMYFUNCTION("""COMPUTED_VALUE"""),4.33)</f>
        <v>4.33</v>
      </c>
      <c r="K162" s="18">
        <f>IFERROR(__xludf.DUMMYFUNCTION("""COMPUTED_VALUE"""),5.41)</f>
        <v>5.41</v>
      </c>
      <c r="L162" s="18">
        <f>IFERROR(__xludf.DUMMYFUNCTION("""COMPUTED_VALUE"""),8.65)</f>
        <v>8.65</v>
      </c>
    </row>
    <row r="163">
      <c r="A163" s="13" t="str">
        <f>IFERROR(__xludf.DUMMYFUNCTION("""COMPUTED_VALUE"""),"товари")</f>
        <v>товари</v>
      </c>
      <c r="B163" s="13" t="str">
        <f>IFERROR(__xludf.DUMMYFUNCTION("""COMPUTED_VALUE"""),"вантажівки, автобуси, спецтехніка")</f>
        <v>вантажівки, автобуси, спецтехніка</v>
      </c>
      <c r="C163" s="15" t="str">
        <f>IFERROR(__xludf.DUMMYFUNCTION("""COMPUTED_VALUE"""),"автозапчастини та комплектуючі")</f>
        <v>автозапчастини та комплектуючі</v>
      </c>
      <c r="D163" s="15" t="str">
        <f>IFERROR(__xludf.DUMMYFUNCTION("""COMPUTED_VALUE"""),"запчастини до вантажопідйомної спецтехніки")</f>
        <v>запчастини до вантажопідйомної спецтехніки</v>
      </c>
      <c r="E163" s="15" t="str">
        <f>IFERROR(__xludf.DUMMYFUNCTION("""COMPUTED_VALUE"""),"запасні частини до іншої вантажопідйомної спецтехніки")</f>
        <v>запасні частини до іншої вантажопідйомної спецтехніки</v>
      </c>
      <c r="F163" s="17">
        <f>IFERROR(__xludf.DUMMYFUNCTION("""COMPUTED_VALUE"""),4.0)</f>
        <v>4</v>
      </c>
      <c r="G163" s="17">
        <f>IFERROR(__xludf.DUMMYFUNCTION("""COMPUTED_VALUE"""),341519.0)</f>
        <v>341519</v>
      </c>
      <c r="H163" s="17" t="str">
        <f>IFERROR(__xludf.DUMMYFUNCTION("""COMPUTED_VALUE"""),"запасні частини до іншої вантажопідйомної спецтехніки")</f>
        <v>запасні частини до іншої вантажопідйомної спецтехніки</v>
      </c>
      <c r="I163" s="18">
        <f>IFERROR(__xludf.DUMMYFUNCTION("""COMPUTED_VALUE"""),2.16)</f>
        <v>2.16</v>
      </c>
      <c r="J163" s="18">
        <f>IFERROR(__xludf.DUMMYFUNCTION("""COMPUTED_VALUE"""),4.33)</f>
        <v>4.33</v>
      </c>
      <c r="K163" s="18">
        <f>IFERROR(__xludf.DUMMYFUNCTION("""COMPUTED_VALUE"""),5.41)</f>
        <v>5.41</v>
      </c>
      <c r="L163" s="18">
        <f>IFERROR(__xludf.DUMMYFUNCTION("""COMPUTED_VALUE"""),8.65)</f>
        <v>8.65</v>
      </c>
    </row>
    <row r="164">
      <c r="A164" s="13" t="str">
        <f>IFERROR(__xludf.DUMMYFUNCTION("""COMPUTED_VALUE"""),"товари")</f>
        <v>товари</v>
      </c>
      <c r="B164" s="13" t="str">
        <f>IFERROR(__xludf.DUMMYFUNCTION("""COMPUTED_VALUE"""),"вантажівки, автобуси, спецтехніка")</f>
        <v>вантажівки, автобуси, спецтехніка</v>
      </c>
      <c r="C164" s="15" t="str">
        <f>IFERROR(__xludf.DUMMYFUNCTION("""COMPUTED_VALUE"""),"автозапчастини та комплектуючі")</f>
        <v>автозапчастини та комплектуючі</v>
      </c>
      <c r="D164" s="15" t="str">
        <f>IFERROR(__xludf.DUMMYFUNCTION("""COMPUTED_VALUE"""),"запчастини до вантажопідйомної спецтехніки")</f>
        <v>запчастини до вантажопідйомної спецтехніки</v>
      </c>
      <c r="E164" s="15" t="str">
        <f>IFERROR(__xludf.DUMMYFUNCTION("""COMPUTED_VALUE"""),"запасні частини та комплектуючі до навантажувачів")</f>
        <v>запасні частини та комплектуючі до навантажувачів</v>
      </c>
      <c r="F164" s="17">
        <f>IFERROR(__xludf.DUMMYFUNCTION("""COMPUTED_VALUE"""),4.0)</f>
        <v>4</v>
      </c>
      <c r="G164" s="17">
        <f>IFERROR(__xludf.DUMMYFUNCTION("""COMPUTED_VALUE"""),341515.0)</f>
        <v>341515</v>
      </c>
      <c r="H164" s="17" t="str">
        <f>IFERROR(__xludf.DUMMYFUNCTION("""COMPUTED_VALUE"""),"запасні частини та комплектуючі до навантажувачів")</f>
        <v>запасні частини та комплектуючі до навантажувачів</v>
      </c>
      <c r="I164" s="18">
        <f>IFERROR(__xludf.DUMMYFUNCTION("""COMPUTED_VALUE"""),2.16)</f>
        <v>2.16</v>
      </c>
      <c r="J164" s="18">
        <f>IFERROR(__xludf.DUMMYFUNCTION("""COMPUTED_VALUE"""),4.33)</f>
        <v>4.33</v>
      </c>
      <c r="K164" s="18">
        <f>IFERROR(__xludf.DUMMYFUNCTION("""COMPUTED_VALUE"""),5.41)</f>
        <v>5.41</v>
      </c>
      <c r="L164" s="18">
        <f>IFERROR(__xludf.DUMMYFUNCTION("""COMPUTED_VALUE"""),8.65)</f>
        <v>8.65</v>
      </c>
    </row>
    <row r="165">
      <c r="A165" s="13" t="str">
        <f>IFERROR(__xludf.DUMMYFUNCTION("""COMPUTED_VALUE"""),"товари")</f>
        <v>товари</v>
      </c>
      <c r="B165" s="13" t="str">
        <f>IFERROR(__xludf.DUMMYFUNCTION("""COMPUTED_VALUE"""),"вантажівки, автобуси, спецтехніка")</f>
        <v>вантажівки, автобуси, спецтехніка</v>
      </c>
      <c r="C165" s="15" t="str">
        <f>IFERROR(__xludf.DUMMYFUNCTION("""COMPUTED_VALUE"""),"автозапчастини та комплектуючі")</f>
        <v>автозапчастини та комплектуючі</v>
      </c>
      <c r="D165" s="15" t="str">
        <f>IFERROR(__xludf.DUMMYFUNCTION("""COMPUTED_VALUE"""),"запчастини для барових, грунторізних машин")</f>
        <v>запчастини для барових, грунторізних машин</v>
      </c>
      <c r="E165" s="15" t="str">
        <f>IFERROR(__xludf.DUMMYFUNCTION("""COMPUTED_VALUE"""),"запчастини для барових, грунторізних машин")</f>
        <v>запчастини для барових, грунторізних машин</v>
      </c>
      <c r="F165" s="17">
        <f>IFERROR(__xludf.DUMMYFUNCTION("""COMPUTED_VALUE"""),3.0)</f>
        <v>3</v>
      </c>
      <c r="G165" s="17">
        <f>IFERROR(__xludf.DUMMYFUNCTION("""COMPUTED_VALUE"""),341635.0)</f>
        <v>341635</v>
      </c>
      <c r="H165" s="17" t="str">
        <f>IFERROR(__xludf.DUMMYFUNCTION("""COMPUTED_VALUE"""),"запчастини для барових, грунторізних машин")</f>
        <v>запчастини для барових, грунторізних машин</v>
      </c>
      <c r="I165" s="18">
        <f>IFERROR(__xludf.DUMMYFUNCTION("""COMPUTED_VALUE"""),0.76)</f>
        <v>0.76</v>
      </c>
      <c r="J165" s="18">
        <f>IFERROR(__xludf.DUMMYFUNCTION("""COMPUTED_VALUE"""),1.53)</f>
        <v>1.53</v>
      </c>
      <c r="K165" s="18">
        <f>IFERROR(__xludf.DUMMYFUNCTION("""COMPUTED_VALUE"""),1.91)</f>
        <v>1.91</v>
      </c>
      <c r="L165" s="18">
        <f>IFERROR(__xludf.DUMMYFUNCTION("""COMPUTED_VALUE"""),3.05)</f>
        <v>3.05</v>
      </c>
    </row>
    <row r="166">
      <c r="A166" s="13" t="str">
        <f>IFERROR(__xludf.DUMMYFUNCTION("""COMPUTED_VALUE"""),"товари")</f>
        <v>товари</v>
      </c>
      <c r="B166" s="13" t="str">
        <f>IFERROR(__xludf.DUMMYFUNCTION("""COMPUTED_VALUE"""),"вантажівки, автобуси, спецтехніка")</f>
        <v>вантажівки, автобуси, спецтехніка</v>
      </c>
      <c r="C166" s="15" t="str">
        <f>IFERROR(__xludf.DUMMYFUNCTION("""COMPUTED_VALUE"""),"автозапчастини та комплектуючі")</f>
        <v>автозапчастини та комплектуючі</v>
      </c>
      <c r="D166" s="15" t="str">
        <f>IFERROR(__xludf.DUMMYFUNCTION("""COMPUTED_VALUE"""),"запчастини до автобусів, тролейбусів")</f>
        <v>запчастини до автобусів, тролейбусів</v>
      </c>
      <c r="E166" s="15" t="str">
        <f>IFERROR(__xludf.DUMMYFUNCTION("""COMPUTED_VALUE"""),"запчастини до автобусів, тролейбусів")</f>
        <v>запчастини до автобусів, тролейбусів</v>
      </c>
      <c r="F166" s="17">
        <f>IFERROR(__xludf.DUMMYFUNCTION("""COMPUTED_VALUE"""),3.0)</f>
        <v>3</v>
      </c>
      <c r="G166" s="17">
        <f>IFERROR(__xludf.DUMMYFUNCTION("""COMPUTED_VALUE"""),340905.0)</f>
        <v>340905</v>
      </c>
      <c r="H166" s="17" t="str">
        <f>IFERROR(__xludf.DUMMYFUNCTION("""COMPUTED_VALUE"""),"запчастини до автобусів, тролейбусів")</f>
        <v>запчастини до автобусів, тролейбусів</v>
      </c>
      <c r="I166" s="18">
        <f>IFERROR(__xludf.DUMMYFUNCTION("""COMPUTED_VALUE"""),1.08)</f>
        <v>1.08</v>
      </c>
      <c r="J166" s="18">
        <f>IFERROR(__xludf.DUMMYFUNCTION("""COMPUTED_VALUE"""),2.16)</f>
        <v>2.16</v>
      </c>
      <c r="K166" s="18">
        <f>IFERROR(__xludf.DUMMYFUNCTION("""COMPUTED_VALUE"""),2.7)</f>
        <v>2.7</v>
      </c>
      <c r="L166" s="18">
        <f>IFERROR(__xludf.DUMMYFUNCTION("""COMPUTED_VALUE"""),4.33)</f>
        <v>4.33</v>
      </c>
    </row>
    <row r="167">
      <c r="A167" s="13" t="str">
        <f>IFERROR(__xludf.DUMMYFUNCTION("""COMPUTED_VALUE"""),"товари")</f>
        <v>товари</v>
      </c>
      <c r="B167" s="13" t="str">
        <f>IFERROR(__xludf.DUMMYFUNCTION("""COMPUTED_VALUE"""),"вантажівки, автобуси, спецтехніка")</f>
        <v>вантажівки, автобуси, спецтехніка</v>
      </c>
      <c r="C167" s="15" t="str">
        <f>IFERROR(__xludf.DUMMYFUNCTION("""COMPUTED_VALUE"""),"комунально-прибиральна техніка")</f>
        <v>комунально-прибиральна техніка</v>
      </c>
      <c r="D167" s="15" t="str">
        <f>IFERROR(__xludf.DUMMYFUNCTION("""COMPUTED_VALUE"""),"комунально-прибиральна техніка")</f>
        <v>комунально-прибиральна техніка</v>
      </c>
      <c r="E167" s="15" t="str">
        <f>IFERROR(__xludf.DUMMYFUNCTION("""COMPUTED_VALUE"""),"комунально-прибиральна техніка")</f>
        <v>комунально-прибиральна техніка</v>
      </c>
      <c r="F167" s="17">
        <f>IFERROR(__xludf.DUMMYFUNCTION("""COMPUTED_VALUE"""),2.0)</f>
        <v>2</v>
      </c>
      <c r="G167" s="17">
        <f>IFERROR(__xludf.DUMMYFUNCTION("""COMPUTED_VALUE"""),341707.0)</f>
        <v>341707</v>
      </c>
      <c r="H167" s="17" t="str">
        <f>IFERROR(__xludf.DUMMYFUNCTION("""COMPUTED_VALUE"""),"комунально-прибиральна техніка")</f>
        <v>комунально-прибиральна техніка</v>
      </c>
      <c r="I167" s="18">
        <f>IFERROR(__xludf.DUMMYFUNCTION("""COMPUTED_VALUE"""),2.44)</f>
        <v>2.44</v>
      </c>
      <c r="J167" s="18">
        <f>IFERROR(__xludf.DUMMYFUNCTION("""COMPUTED_VALUE"""),4.88)</f>
        <v>4.88</v>
      </c>
      <c r="K167" s="18">
        <f>IFERROR(__xludf.DUMMYFUNCTION("""COMPUTED_VALUE"""),6.09)</f>
        <v>6.09</v>
      </c>
      <c r="L167" s="18">
        <f>IFERROR(__xludf.DUMMYFUNCTION("""COMPUTED_VALUE"""),9.75)</f>
        <v>9.75</v>
      </c>
    </row>
    <row r="168">
      <c r="A168" s="13" t="str">
        <f>IFERROR(__xludf.DUMMYFUNCTION("""COMPUTED_VALUE"""),"товари")</f>
        <v>товари</v>
      </c>
      <c r="B168" s="13" t="str">
        <f>IFERROR(__xludf.DUMMYFUNCTION("""COMPUTED_VALUE"""),"вантажівки, автобуси, спецтехніка")</f>
        <v>вантажівки, автобуси, спецтехніка</v>
      </c>
      <c r="C168" s="15" t="str">
        <f>IFERROR(__xludf.DUMMYFUNCTION("""COMPUTED_VALUE"""),"автозапчастини та комплектуючі")</f>
        <v>автозапчастини та комплектуючі</v>
      </c>
      <c r="D168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8" s="15" t="str">
        <f>IFERROR(__xludf.DUMMYFUNCTION("""COMPUTED_VALUE"""),"культиваторні лапи")</f>
        <v>культиваторні лапи</v>
      </c>
      <c r="F168" s="17">
        <f>IFERROR(__xludf.DUMMYFUNCTION("""COMPUTED_VALUE"""),4.0)</f>
        <v>4</v>
      </c>
      <c r="G168" s="17">
        <f>IFERROR(__xludf.DUMMYFUNCTION("""COMPUTED_VALUE"""),341640.0)</f>
        <v>341640</v>
      </c>
      <c r="H168" s="17" t="str">
        <f>IFERROR(__xludf.DUMMYFUNCTION("""COMPUTED_VALUE"""),"культиваторні лапи")</f>
        <v>культиваторні лапи</v>
      </c>
      <c r="I168" s="18">
        <f>IFERROR(__xludf.DUMMYFUNCTION("""COMPUTED_VALUE"""),2.7)</f>
        <v>2.7</v>
      </c>
      <c r="J168" s="18">
        <f>IFERROR(__xludf.DUMMYFUNCTION("""COMPUTED_VALUE"""),5.4)</f>
        <v>5.4</v>
      </c>
      <c r="K168" s="18">
        <f>IFERROR(__xludf.DUMMYFUNCTION("""COMPUTED_VALUE"""),6.75)</f>
        <v>6.75</v>
      </c>
      <c r="L168" s="18">
        <f>IFERROR(__xludf.DUMMYFUNCTION("""COMPUTED_VALUE"""),10.8)</f>
        <v>10.8</v>
      </c>
    </row>
    <row r="169">
      <c r="A169" s="13" t="str">
        <f>IFERROR(__xludf.DUMMYFUNCTION("""COMPUTED_VALUE"""),"товари")</f>
        <v>товари</v>
      </c>
      <c r="B169" s="13" t="str">
        <f>IFERROR(__xludf.DUMMYFUNCTION("""COMPUTED_VALUE"""),"вантажівки, автобуси, спецтехніка")</f>
        <v>вантажівки, автобуси, спецтехніка</v>
      </c>
      <c r="C169" s="15" t="str">
        <f>IFERROR(__xludf.DUMMYFUNCTION("""COMPUTED_VALUE"""),"автозапчастини та комплектуючі")</f>
        <v>автозапчастини та комплектуючі</v>
      </c>
      <c r="D169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9" s="15" t="str">
        <f>IFERROR(__xludf.DUMMYFUNCTION("""COMPUTED_VALUE"""),"культиваторні стійки")</f>
        <v>культиваторні стійки</v>
      </c>
      <c r="F169" s="17">
        <f>IFERROR(__xludf.DUMMYFUNCTION("""COMPUTED_VALUE"""),4.0)</f>
        <v>4</v>
      </c>
      <c r="G169" s="17">
        <f>IFERROR(__xludf.DUMMYFUNCTION("""COMPUTED_VALUE"""),341639.0)</f>
        <v>341639</v>
      </c>
      <c r="H169" s="17" t="str">
        <f>IFERROR(__xludf.DUMMYFUNCTION("""COMPUTED_VALUE"""),"культиваторні стійки")</f>
        <v>культиваторні стійки</v>
      </c>
      <c r="I169" s="18">
        <f>IFERROR(__xludf.DUMMYFUNCTION("""COMPUTED_VALUE"""),2.7)</f>
        <v>2.7</v>
      </c>
      <c r="J169" s="18">
        <f>IFERROR(__xludf.DUMMYFUNCTION("""COMPUTED_VALUE"""),5.4)</f>
        <v>5.4</v>
      </c>
      <c r="K169" s="18">
        <f>IFERROR(__xludf.DUMMYFUNCTION("""COMPUTED_VALUE"""),6.75)</f>
        <v>6.75</v>
      </c>
      <c r="L169" s="18">
        <f>IFERROR(__xludf.DUMMYFUNCTION("""COMPUTED_VALUE"""),10.8)</f>
        <v>10.8</v>
      </c>
    </row>
    <row r="170">
      <c r="A170" s="13" t="str">
        <f>IFERROR(__xludf.DUMMYFUNCTION("""COMPUTED_VALUE"""),"товари")</f>
        <v>товари</v>
      </c>
      <c r="B170" s="13" t="str">
        <f>IFERROR(__xludf.DUMMYFUNCTION("""COMPUTED_VALUE"""),"вантажівки, автобуси, спецтехніка")</f>
        <v>вантажівки, автобуси, спецтехніка</v>
      </c>
      <c r="C170" s="15" t="str">
        <f>IFERROR(__xludf.DUMMYFUNCTION("""COMPUTED_VALUE"""),"автозапчастини та комплектуючі")</f>
        <v>автозапчастини та комплектуючі</v>
      </c>
      <c r="D170" s="15" t="str">
        <f>IFERROR(__xludf.DUMMYFUNCTION("""COMPUTED_VALUE"""),"кузова, кабіни, рами")</f>
        <v>кузова, кабіни, рами</v>
      </c>
      <c r="E170" s="15" t="str">
        <f>IFERROR(__xludf.DUMMYFUNCTION("""COMPUTED_VALUE"""),"кути бампера для вантажних автомобілів")</f>
        <v>кути бампера для вантажних автомобілів</v>
      </c>
      <c r="F170" s="17">
        <f>IFERROR(__xludf.DUMMYFUNCTION("""COMPUTED_VALUE"""),4.0)</f>
        <v>4</v>
      </c>
      <c r="G170" s="17">
        <f>IFERROR(__xludf.DUMMYFUNCTION("""COMPUTED_VALUE"""),342213.0)</f>
        <v>342213</v>
      </c>
      <c r="H170" s="17" t="str">
        <f>IFERROR(__xludf.DUMMYFUNCTION("""COMPUTED_VALUE"""),"кути бампера для вантажних автомобілів")</f>
        <v>кути бампера для вантажних автомобілів</v>
      </c>
      <c r="I170" s="18">
        <f>IFERROR(__xludf.DUMMYFUNCTION("""COMPUTED_VALUE"""),0.86)</f>
        <v>0.86</v>
      </c>
      <c r="J170" s="18">
        <f>IFERROR(__xludf.DUMMYFUNCTION("""COMPUTED_VALUE"""),1.71)</f>
        <v>1.71</v>
      </c>
      <c r="K170" s="18">
        <f>IFERROR(__xludf.DUMMYFUNCTION("""COMPUTED_VALUE"""),2.14)</f>
        <v>2.14</v>
      </c>
      <c r="L170" s="18">
        <f>IFERROR(__xludf.DUMMYFUNCTION("""COMPUTED_VALUE"""),3.43)</f>
        <v>3.43</v>
      </c>
    </row>
    <row r="171">
      <c r="A171" s="13" t="str">
        <f>IFERROR(__xludf.DUMMYFUNCTION("""COMPUTED_VALUE"""),"товари")</f>
        <v>товари</v>
      </c>
      <c r="B171" s="13" t="str">
        <f>IFERROR(__xludf.DUMMYFUNCTION("""COMPUTED_VALUE"""),"вантажівки, автобуси, спецтехніка")</f>
        <v>вантажівки, автобуси, спецтехніка</v>
      </c>
      <c r="C171" s="15" t="str">
        <f>IFERROR(__xludf.DUMMYFUNCTION("""COMPUTED_VALUE"""),"автозапчастини та комплектуючі")</f>
        <v>автозапчастини та комплектуючі</v>
      </c>
      <c r="D171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71" s="15" t="str">
        <f>IFERROR(__xludf.DUMMYFUNCTION("""COMPUTED_VALUE"""),"ланцюги для сільгосптехніки")</f>
        <v>ланцюги для сільгосптехніки</v>
      </c>
      <c r="F171" s="17">
        <f>IFERROR(__xludf.DUMMYFUNCTION("""COMPUTED_VALUE"""),4.0)</f>
        <v>4</v>
      </c>
      <c r="G171" s="17">
        <f>IFERROR(__xludf.DUMMYFUNCTION("""COMPUTED_VALUE"""),341545.0)</f>
        <v>341545</v>
      </c>
      <c r="H171" s="17" t="str">
        <f>IFERROR(__xludf.DUMMYFUNCTION("""COMPUTED_VALUE"""),"ланцюги для сільгосптехніки")</f>
        <v>ланцюги для сільгосптехніки</v>
      </c>
      <c r="I171" s="18">
        <f>IFERROR(__xludf.DUMMYFUNCTION("""COMPUTED_VALUE"""),2.7)</f>
        <v>2.7</v>
      </c>
      <c r="J171" s="18">
        <f>IFERROR(__xludf.DUMMYFUNCTION("""COMPUTED_VALUE"""),5.4)</f>
        <v>5.4</v>
      </c>
      <c r="K171" s="18">
        <f>IFERROR(__xludf.DUMMYFUNCTION("""COMPUTED_VALUE"""),6.75)</f>
        <v>6.75</v>
      </c>
      <c r="L171" s="18">
        <f>IFERROR(__xludf.DUMMYFUNCTION("""COMPUTED_VALUE"""),10.8)</f>
        <v>10.8</v>
      </c>
    </row>
    <row r="172">
      <c r="A172" s="13" t="str">
        <f>IFERROR(__xludf.DUMMYFUNCTION("""COMPUTED_VALUE"""),"товари")</f>
        <v>товари</v>
      </c>
      <c r="B172" s="13" t="str">
        <f>IFERROR(__xludf.DUMMYFUNCTION("""COMPUTED_VALUE"""),"вантажівки, автобуси, спецтехніка")</f>
        <v>вантажівки, автобуси, спецтехніка</v>
      </c>
      <c r="C172" s="15" t="str">
        <f>IFERROR(__xludf.DUMMYFUNCTION("""COMPUTED_VALUE"""),"автобуси, мікроавтобуси")</f>
        <v>автобуси, мікроавтобуси</v>
      </c>
      <c r="D172" s="15" t="str">
        <f>IFERROR(__xludf.DUMMYFUNCTION("""COMPUTED_VALUE"""),"мініфургони, мінівени")</f>
        <v>мініфургони, мінівени</v>
      </c>
      <c r="E172" s="15" t="str">
        <f>IFERROR(__xludf.DUMMYFUNCTION("""COMPUTED_VALUE"""),"мініфургони, мінівени")</f>
        <v>мініфургони, мінівени</v>
      </c>
      <c r="F172" s="17">
        <f>IFERROR(__xludf.DUMMYFUNCTION("""COMPUTED_VALUE"""),3.0)</f>
        <v>3</v>
      </c>
      <c r="G172" s="17">
        <f>IFERROR(__xludf.DUMMYFUNCTION("""COMPUTED_VALUE"""),340101.0)</f>
        <v>340101</v>
      </c>
      <c r="H172" s="17" t="str">
        <f>IFERROR(__xludf.DUMMYFUNCTION("""COMPUTED_VALUE"""),"мініфургони, мінівени")</f>
        <v>мініфургони, мінівени</v>
      </c>
      <c r="I172" s="18">
        <f>IFERROR(__xludf.DUMMYFUNCTION("""COMPUTED_VALUE"""),0.76)</f>
        <v>0.76</v>
      </c>
      <c r="J172" s="18">
        <f>IFERROR(__xludf.DUMMYFUNCTION("""COMPUTED_VALUE"""),1.53)</f>
        <v>1.53</v>
      </c>
      <c r="K172" s="18">
        <f>IFERROR(__xludf.DUMMYFUNCTION("""COMPUTED_VALUE"""),1.91)</f>
        <v>1.91</v>
      </c>
      <c r="L172" s="18">
        <f>IFERROR(__xludf.DUMMYFUNCTION("""COMPUTED_VALUE"""),3.05)</f>
        <v>3.05</v>
      </c>
    </row>
    <row r="173">
      <c r="A173" s="13" t="str">
        <f>IFERROR(__xludf.DUMMYFUNCTION("""COMPUTED_VALUE"""),"товари")</f>
        <v>товари</v>
      </c>
      <c r="B173" s="13" t="str">
        <f>IFERROR(__xludf.DUMMYFUNCTION("""COMPUTED_VALUE"""),"вантажівки, автобуси, спецтехніка")</f>
        <v>вантажівки, автобуси, спецтехніка</v>
      </c>
      <c r="C173" s="15" t="str">
        <f>IFERROR(__xludf.DUMMYFUNCTION("""COMPUTED_VALUE"""),"автозапчастини та комплектуючі")</f>
        <v>автозапчастини та комплектуючі</v>
      </c>
      <c r="D173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73" s="15" t="str">
        <f>IFERROR(__xludf.DUMMYFUNCTION("""COMPUTED_VALUE"""),"польові дошки до сільгосптехніки")</f>
        <v>польові дошки до сільгосптехніки</v>
      </c>
      <c r="F173" s="17">
        <f>IFERROR(__xludf.DUMMYFUNCTION("""COMPUTED_VALUE"""),4.0)</f>
        <v>4</v>
      </c>
      <c r="G173" s="17">
        <f>IFERROR(__xludf.DUMMYFUNCTION("""COMPUTED_VALUE"""),341558.0)</f>
        <v>341558</v>
      </c>
      <c r="H173" s="17" t="str">
        <f>IFERROR(__xludf.DUMMYFUNCTION("""COMPUTED_VALUE"""),"польові дошки до сільгосптехніки")</f>
        <v>польові дошки до сільгосптехніки</v>
      </c>
      <c r="I173" s="18">
        <f>IFERROR(__xludf.DUMMYFUNCTION("""COMPUTED_VALUE"""),2.7)</f>
        <v>2.7</v>
      </c>
      <c r="J173" s="18">
        <f>IFERROR(__xludf.DUMMYFUNCTION("""COMPUTED_VALUE"""),5.4)</f>
        <v>5.4</v>
      </c>
      <c r="K173" s="18">
        <f>IFERROR(__xludf.DUMMYFUNCTION("""COMPUTED_VALUE"""),6.75)</f>
        <v>6.75</v>
      </c>
      <c r="L173" s="18">
        <f>IFERROR(__xludf.DUMMYFUNCTION("""COMPUTED_VALUE"""),10.8)</f>
        <v>10.8</v>
      </c>
    </row>
    <row r="174">
      <c r="A174" s="13" t="str">
        <f>IFERROR(__xludf.DUMMYFUNCTION("""COMPUTED_VALUE"""),"товари")</f>
        <v>товари</v>
      </c>
      <c r="B174" s="13" t="str">
        <f>IFERROR(__xludf.DUMMYFUNCTION("""COMPUTED_VALUE"""),"вантажівки, автобуси, спецтехніка")</f>
        <v>вантажівки, автобуси, спецтехніка</v>
      </c>
      <c r="C174" s="15" t="str">
        <f>IFERROR(__xludf.DUMMYFUNCTION("""COMPUTED_VALUE"""),"причепи та напівпричепи")</f>
        <v>причепи та напівпричепи</v>
      </c>
      <c r="D174" s="15" t="str">
        <f>IFERROR(__xludf.DUMMYFUNCTION("""COMPUTED_VALUE"""),"причепи та напівпричепи")</f>
        <v>причепи та напівпричепи</v>
      </c>
      <c r="E174" s="15" t="str">
        <f>IFERROR(__xludf.DUMMYFUNCTION("""COMPUTED_VALUE"""),"причепи та напівпричепи")</f>
        <v>причепи та напівпричепи</v>
      </c>
      <c r="F174" s="17">
        <f>IFERROR(__xludf.DUMMYFUNCTION("""COMPUTED_VALUE"""),3.0)</f>
        <v>3</v>
      </c>
      <c r="G174" s="17">
        <f>IFERROR(__xludf.DUMMYFUNCTION("""COMPUTED_VALUE"""),1224.0)</f>
        <v>1224</v>
      </c>
      <c r="H174" s="17" t="str">
        <f>IFERROR(__xludf.DUMMYFUNCTION("""COMPUTED_VALUE"""),"причепи та напівпричепи")</f>
        <v>причепи та напівпричепи</v>
      </c>
      <c r="I174" s="18">
        <f>IFERROR(__xludf.DUMMYFUNCTION("""COMPUTED_VALUE"""),0.76)</f>
        <v>0.76</v>
      </c>
      <c r="J174" s="18">
        <f>IFERROR(__xludf.DUMMYFUNCTION("""COMPUTED_VALUE"""),1.53)</f>
        <v>1.53</v>
      </c>
      <c r="K174" s="18">
        <f>IFERROR(__xludf.DUMMYFUNCTION("""COMPUTED_VALUE"""),1.91)</f>
        <v>1.91</v>
      </c>
      <c r="L174" s="18">
        <f>IFERROR(__xludf.DUMMYFUNCTION("""COMPUTED_VALUE"""),3.05)</f>
        <v>3.05</v>
      </c>
    </row>
    <row r="175">
      <c r="A175" s="13" t="str">
        <f>IFERROR(__xludf.DUMMYFUNCTION("""COMPUTED_VALUE"""),"товари")</f>
        <v>товари</v>
      </c>
      <c r="B175" s="13" t="str">
        <f>IFERROR(__xludf.DUMMYFUNCTION("""COMPUTED_VALUE"""),"вантажівки, автобуси, спецтехніка")</f>
        <v>вантажівки, автобуси, спецтехніка</v>
      </c>
      <c r="C175" s="15" t="str">
        <f>IFERROR(__xludf.DUMMYFUNCTION("""COMPUTED_VALUE"""),"автозапчастини та комплектуючі")</f>
        <v>автозапчастини та комплектуючі</v>
      </c>
      <c r="D175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75" s="15" t="str">
        <f>IFERROR(__xludf.DUMMYFUNCTION("""COMPUTED_VALUE"""),"ремкомплекти гідроциліндрів")</f>
        <v>ремкомплекти гідроциліндрів</v>
      </c>
      <c r="F175" s="17">
        <f>IFERROR(__xludf.DUMMYFUNCTION("""COMPUTED_VALUE"""),4.0)</f>
        <v>4</v>
      </c>
      <c r="G175" s="17">
        <f>IFERROR(__xludf.DUMMYFUNCTION("""COMPUTED_VALUE"""),341543.0)</f>
        <v>341543</v>
      </c>
      <c r="H175" s="17" t="str">
        <f>IFERROR(__xludf.DUMMYFUNCTION("""COMPUTED_VALUE"""),"ремкомплекти гідроциліндрів")</f>
        <v>ремкомплекти гідроциліндрів</v>
      </c>
      <c r="I175" s="18">
        <f>IFERROR(__xludf.DUMMYFUNCTION("""COMPUTED_VALUE"""),2.7)</f>
        <v>2.7</v>
      </c>
      <c r="J175" s="18">
        <f>IFERROR(__xludf.DUMMYFUNCTION("""COMPUTED_VALUE"""),5.4)</f>
        <v>5.4</v>
      </c>
      <c r="K175" s="18">
        <f>IFERROR(__xludf.DUMMYFUNCTION("""COMPUTED_VALUE"""),6.75)</f>
        <v>6.75</v>
      </c>
      <c r="L175" s="18">
        <f>IFERROR(__xludf.DUMMYFUNCTION("""COMPUTED_VALUE"""),10.8)</f>
        <v>10.8</v>
      </c>
    </row>
    <row r="176">
      <c r="A176" s="13" t="str">
        <f>IFERROR(__xludf.DUMMYFUNCTION("""COMPUTED_VALUE"""),"товари")</f>
        <v>товари</v>
      </c>
      <c r="B176" s="13" t="str">
        <f>IFERROR(__xludf.DUMMYFUNCTION("""COMPUTED_VALUE"""),"вантажівки, автобуси, спецтехніка")</f>
        <v>вантажівки, автобуси, спецтехніка</v>
      </c>
      <c r="C176" s="15" t="str">
        <f>IFERROR(__xludf.DUMMYFUNCTION("""COMPUTED_VALUE"""),"вантажні автомобілі")</f>
        <v>вантажні автомобілі</v>
      </c>
      <c r="D176" s="15" t="str">
        <f>IFERROR(__xludf.DUMMYFUNCTION("""COMPUTED_VALUE"""),"спеціальні вантажівки")</f>
        <v>спеціальні вантажівки</v>
      </c>
      <c r="E176" s="15" t="str">
        <f>IFERROR(__xludf.DUMMYFUNCTION("""COMPUTED_VALUE"""),"спеціальні вантажні автомобілі")</f>
        <v>спеціальні вантажні автомобілі</v>
      </c>
      <c r="F176" s="17">
        <f>IFERROR(__xludf.DUMMYFUNCTION("""COMPUTED_VALUE"""),4.0)</f>
        <v>4</v>
      </c>
      <c r="G176" s="17">
        <f>IFERROR(__xludf.DUMMYFUNCTION("""COMPUTED_VALUE"""),3.4010303E7)</f>
        <v>34010303</v>
      </c>
      <c r="H176" s="17" t="str">
        <f>IFERROR(__xludf.DUMMYFUNCTION("""COMPUTED_VALUE"""),"спеціальні вантажні автомобілі")</f>
        <v>спеціальні вантажні автомобілі</v>
      </c>
      <c r="I176" s="18">
        <f>IFERROR(__xludf.DUMMYFUNCTION("""COMPUTED_VALUE"""),1.99)</f>
        <v>1.99</v>
      </c>
      <c r="J176" s="18">
        <f>IFERROR(__xludf.DUMMYFUNCTION("""COMPUTED_VALUE"""),3.98)</f>
        <v>3.98</v>
      </c>
      <c r="K176" s="18">
        <f>IFERROR(__xludf.DUMMYFUNCTION("""COMPUTED_VALUE"""),4.97)</f>
        <v>4.97</v>
      </c>
      <c r="L176" s="18">
        <f>IFERROR(__xludf.DUMMYFUNCTION("""COMPUTED_VALUE"""),7.95)</f>
        <v>7.95</v>
      </c>
    </row>
    <row r="177">
      <c r="A177" s="13" t="str">
        <f>IFERROR(__xludf.DUMMYFUNCTION("""COMPUTED_VALUE"""),"товари")</f>
        <v>товари</v>
      </c>
      <c r="B177" s="13" t="str">
        <f>IFERROR(__xludf.DUMMYFUNCTION("""COMPUTED_VALUE"""),"вироби з металу, пластику, гуми")</f>
        <v>вироби з металу, пластику, гуми</v>
      </c>
      <c r="C177" s="15" t="str">
        <f>IFERROR(__xludf.DUMMYFUNCTION("""COMPUTED_VALUE"""),"металопрокат")</f>
        <v>металопрокат</v>
      </c>
      <c r="D177" s="15" t="str">
        <f>IFERROR(__xludf.DUMMYFUNCTION("""COMPUTED_VALUE"""),"сортовий і фасонний прокат")</f>
        <v>сортовий і фасонний прокат</v>
      </c>
      <c r="E177" s="15" t="str">
        <f>IFERROR(__xludf.DUMMYFUNCTION("""COMPUTED_VALUE"""),"арматура")</f>
        <v>арматура</v>
      </c>
      <c r="F177" s="17">
        <f>IFERROR(__xludf.DUMMYFUNCTION("""COMPUTED_VALUE"""),4.0)</f>
        <v>4</v>
      </c>
      <c r="G177" s="17">
        <f>IFERROR(__xludf.DUMMYFUNCTION("""COMPUTED_VALUE"""),420801.0)</f>
        <v>420801</v>
      </c>
      <c r="H177" s="17" t="str">
        <f>IFERROR(__xludf.DUMMYFUNCTION("""COMPUTED_VALUE"""),"арматура")</f>
        <v>арматура</v>
      </c>
      <c r="I177" s="18">
        <f>IFERROR(__xludf.DUMMYFUNCTION("""COMPUTED_VALUE"""),1.17)</f>
        <v>1.17</v>
      </c>
      <c r="J177" s="18">
        <f>IFERROR(__xludf.DUMMYFUNCTION("""COMPUTED_VALUE"""),2.34)</f>
        <v>2.34</v>
      </c>
      <c r="K177" s="18">
        <f>IFERROR(__xludf.DUMMYFUNCTION("""COMPUTED_VALUE"""),2.92)</f>
        <v>2.92</v>
      </c>
      <c r="L177" s="18">
        <f>IFERROR(__xludf.DUMMYFUNCTION("""COMPUTED_VALUE"""),4.68)</f>
        <v>4.68</v>
      </c>
    </row>
    <row r="178">
      <c r="A178" s="13" t="str">
        <f>IFERROR(__xludf.DUMMYFUNCTION("""COMPUTED_VALUE"""),"товари")</f>
        <v>товари</v>
      </c>
      <c r="B178" s="13" t="str">
        <f>IFERROR(__xludf.DUMMYFUNCTION("""COMPUTED_VALUE"""),"вироби з металу, пластику, гуми")</f>
        <v>вироби з металу, пластику, гуми</v>
      </c>
      <c r="C178" s="15" t="str">
        <f>IFERROR(__xludf.DUMMYFUNCTION("""COMPUTED_VALUE"""),"металовироби промислового призначення")</f>
        <v>металовироби промислового призначення</v>
      </c>
      <c r="D178" s="15" t="str">
        <f>IFERROR(__xludf.DUMMYFUNCTION("""COMPUTED_VALUE"""),"вали металеві, гумові")</f>
        <v>вали металеві, гумові</v>
      </c>
      <c r="E178" s="15" t="str">
        <f>IFERROR(__xludf.DUMMYFUNCTION("""COMPUTED_VALUE"""),"вали металеві, гумові")</f>
        <v>вали металеві, гумові</v>
      </c>
      <c r="F178" s="17">
        <f>IFERROR(__xludf.DUMMYFUNCTION("""COMPUTED_VALUE"""),3.0)</f>
        <v>3</v>
      </c>
      <c r="G178" s="17">
        <f>IFERROR(__xludf.DUMMYFUNCTION("""COMPUTED_VALUE"""),801206.0)</f>
        <v>801206</v>
      </c>
      <c r="H178" s="17" t="str">
        <f>IFERROR(__xludf.DUMMYFUNCTION("""COMPUTED_VALUE"""),"вали металеві, гумові")</f>
        <v>вали металеві, гумові</v>
      </c>
      <c r="I178" s="18">
        <f>IFERROR(__xludf.DUMMYFUNCTION("""COMPUTED_VALUE"""),0.81)</f>
        <v>0.81</v>
      </c>
      <c r="J178" s="18">
        <f>IFERROR(__xludf.DUMMYFUNCTION("""COMPUTED_VALUE"""),1.63)</f>
        <v>1.63</v>
      </c>
      <c r="K178" s="18">
        <f>IFERROR(__xludf.DUMMYFUNCTION("""COMPUTED_VALUE"""),2.03)</f>
        <v>2.03</v>
      </c>
      <c r="L178" s="18">
        <f>IFERROR(__xludf.DUMMYFUNCTION("""COMPUTED_VALUE"""),3.25)</f>
        <v>3.25</v>
      </c>
    </row>
    <row r="179">
      <c r="A179" s="13" t="str">
        <f>IFERROR(__xludf.DUMMYFUNCTION("""COMPUTED_VALUE"""),"товари")</f>
        <v>товари</v>
      </c>
      <c r="B179" s="13" t="str">
        <f>IFERROR(__xludf.DUMMYFUNCTION("""COMPUTED_VALUE"""),"вироби з металу, пластику, гуми")</f>
        <v>вироби з металу, пластику, гуми</v>
      </c>
      <c r="C179" s="15" t="str">
        <f>IFERROR(__xludf.DUMMYFUNCTION("""COMPUTED_VALUE"""),"вироби з пластику")</f>
        <v>вироби з пластику</v>
      </c>
      <c r="D179" s="15" t="str">
        <f>IFERROR(__xludf.DUMMYFUNCTION("""COMPUTED_VALUE"""),"вироби з пластику, загальне")</f>
        <v>вироби з пластику, загальне</v>
      </c>
      <c r="E179" s="15" t="str">
        <f>IFERROR(__xludf.DUMMYFUNCTION("""COMPUTED_VALUE"""),"вироби з пластику, загальне")</f>
        <v>вироби з пластику, загальне</v>
      </c>
      <c r="F179" s="17">
        <f>IFERROR(__xludf.DUMMYFUNCTION("""COMPUTED_VALUE"""),3.0)</f>
        <v>3</v>
      </c>
      <c r="G179" s="17">
        <f>IFERROR(__xludf.DUMMYFUNCTION("""COMPUTED_VALUE"""),800599.0)</f>
        <v>800599</v>
      </c>
      <c r="H179" s="17" t="str">
        <f>IFERROR(__xludf.DUMMYFUNCTION("""COMPUTED_VALUE"""),"вироби з пластику, загальне")</f>
        <v>вироби з пластику, загальне</v>
      </c>
      <c r="I179" s="18">
        <f>IFERROR(__xludf.DUMMYFUNCTION("""COMPUTED_VALUE"""),2.16)</f>
        <v>2.16</v>
      </c>
      <c r="J179" s="18">
        <f>IFERROR(__xludf.DUMMYFUNCTION("""COMPUTED_VALUE"""),4.33)</f>
        <v>4.33</v>
      </c>
      <c r="K179" s="18">
        <f>IFERROR(__xludf.DUMMYFUNCTION("""COMPUTED_VALUE"""),5.41)</f>
        <v>5.41</v>
      </c>
      <c r="L179" s="18">
        <f>IFERROR(__xludf.DUMMYFUNCTION("""COMPUTED_VALUE"""),8.65)</f>
        <v>8.65</v>
      </c>
    </row>
    <row r="180">
      <c r="A180" s="13" t="str">
        <f>IFERROR(__xludf.DUMMYFUNCTION("""COMPUTED_VALUE"""),"товари")</f>
        <v>товари</v>
      </c>
      <c r="B180" s="13" t="str">
        <f>IFERROR(__xludf.DUMMYFUNCTION("""COMPUTED_VALUE"""),"вироби з металу, пластику, гуми")</f>
        <v>вироби з металу, пластику, гуми</v>
      </c>
      <c r="C180" s="15" t="str">
        <f>IFERROR(__xludf.DUMMYFUNCTION("""COMPUTED_VALUE"""),"металовироби промислового призначення")</f>
        <v>металовироби промислового призначення</v>
      </c>
      <c r="D180" s="15" t="str">
        <f>IFERROR(__xludf.DUMMYFUNCTION("""COMPUTED_VALUE"""),"гнуті металовироби")</f>
        <v>гнуті металовироби</v>
      </c>
      <c r="E180" s="15" t="str">
        <f>IFERROR(__xludf.DUMMYFUNCTION("""COMPUTED_VALUE"""),"гнуті металовироби")</f>
        <v>гнуті металовироби</v>
      </c>
      <c r="F180" s="17">
        <f>IFERROR(__xludf.DUMMYFUNCTION("""COMPUTED_VALUE"""),3.0)</f>
        <v>3</v>
      </c>
      <c r="G180" s="17">
        <f>IFERROR(__xludf.DUMMYFUNCTION("""COMPUTED_VALUE"""),421008.0)</f>
        <v>421008</v>
      </c>
      <c r="H180" s="17" t="str">
        <f>IFERROR(__xludf.DUMMYFUNCTION("""COMPUTED_VALUE"""),"гнуті металовироби")</f>
        <v>гнуті металовироби</v>
      </c>
      <c r="I180" s="18">
        <f>IFERROR(__xludf.DUMMYFUNCTION("""COMPUTED_VALUE"""),2.4)</f>
        <v>2.4</v>
      </c>
      <c r="J180" s="18">
        <f>IFERROR(__xludf.DUMMYFUNCTION("""COMPUTED_VALUE"""),4.8)</f>
        <v>4.8</v>
      </c>
      <c r="K180" s="18">
        <f>IFERROR(__xludf.DUMMYFUNCTION("""COMPUTED_VALUE"""),6.0)</f>
        <v>6</v>
      </c>
      <c r="L180" s="18">
        <f>IFERROR(__xludf.DUMMYFUNCTION("""COMPUTED_VALUE"""),9.6)</f>
        <v>9.6</v>
      </c>
    </row>
    <row r="181">
      <c r="A181" s="13" t="str">
        <f>IFERROR(__xludf.DUMMYFUNCTION("""COMPUTED_VALUE"""),"товари")</f>
        <v>товари</v>
      </c>
      <c r="B181" s="13" t="str">
        <f>IFERROR(__xludf.DUMMYFUNCTION("""COMPUTED_VALUE"""),"вироби з металу, пластику, гуми")</f>
        <v>вироби з металу, пластику, гуми</v>
      </c>
      <c r="C181" s="15" t="str">
        <f>IFERROR(__xludf.DUMMYFUNCTION("""COMPUTED_VALUE"""),"гумові вироби")</f>
        <v>гумові вироби</v>
      </c>
      <c r="D181" s="15" t="str">
        <f>IFERROR(__xludf.DUMMYFUNCTION("""COMPUTED_VALUE"""),"гумові вироби, загальне")</f>
        <v>гумові вироби, загальне</v>
      </c>
      <c r="E181" s="15" t="str">
        <f>IFERROR(__xludf.DUMMYFUNCTION("""COMPUTED_VALUE"""),"гумові вироби, загальне")</f>
        <v>гумові вироби, загальне</v>
      </c>
      <c r="F181" s="17">
        <f>IFERROR(__xludf.DUMMYFUNCTION("""COMPUTED_VALUE"""),3.0)</f>
        <v>3</v>
      </c>
      <c r="G181" s="17">
        <f>IFERROR(__xludf.DUMMYFUNCTION("""COMPUTED_VALUE"""),801299.0)</f>
        <v>801299</v>
      </c>
      <c r="H181" s="17" t="str">
        <f>IFERROR(__xludf.DUMMYFUNCTION("""COMPUTED_VALUE"""),"гумові вироби, загальне")</f>
        <v>гумові вироби, загальне</v>
      </c>
      <c r="I181" s="18">
        <f>IFERROR(__xludf.DUMMYFUNCTION("""COMPUTED_VALUE"""),2.16)</f>
        <v>2.16</v>
      </c>
      <c r="J181" s="18">
        <f>IFERROR(__xludf.DUMMYFUNCTION("""COMPUTED_VALUE"""),4.33)</f>
        <v>4.33</v>
      </c>
      <c r="K181" s="18">
        <f>IFERROR(__xludf.DUMMYFUNCTION("""COMPUTED_VALUE"""),5.41)</f>
        <v>5.41</v>
      </c>
      <c r="L181" s="18">
        <f>IFERROR(__xludf.DUMMYFUNCTION("""COMPUTED_VALUE"""),8.65)</f>
        <v>8.65</v>
      </c>
    </row>
    <row r="182">
      <c r="A182" s="13" t="str">
        <f>IFERROR(__xludf.DUMMYFUNCTION("""COMPUTED_VALUE"""),"товари")</f>
        <v>товари</v>
      </c>
      <c r="B182" s="13" t="str">
        <f>IFERROR(__xludf.DUMMYFUNCTION("""COMPUTED_VALUE"""),"вироби з металу, пластику, гуми")</f>
        <v>вироби з металу, пластику, гуми</v>
      </c>
      <c r="C182" s="15" t="str">
        <f>IFERROR(__xludf.DUMMYFUNCTION("""COMPUTED_VALUE"""),"гумотехнічні вироби")</f>
        <v>гумотехнічні вироби</v>
      </c>
      <c r="D182" s="15" t="str">
        <f>IFERROR(__xludf.DUMMYFUNCTION("""COMPUTED_VALUE"""),"гумові втулки")</f>
        <v>гумові втулки</v>
      </c>
      <c r="E182" s="15" t="str">
        <f>IFERROR(__xludf.DUMMYFUNCTION("""COMPUTED_VALUE"""),"гумові втулки")</f>
        <v>гумові втулки</v>
      </c>
      <c r="F182" s="17">
        <f>IFERROR(__xludf.DUMMYFUNCTION("""COMPUTED_VALUE"""),3.0)</f>
        <v>3</v>
      </c>
      <c r="G182" s="17">
        <f>IFERROR(__xludf.DUMMYFUNCTION("""COMPUTED_VALUE"""),801213.0)</f>
        <v>801213</v>
      </c>
      <c r="H182" s="17" t="str">
        <f>IFERROR(__xludf.DUMMYFUNCTION("""COMPUTED_VALUE"""),"гумові втулки")</f>
        <v>гумові втулки</v>
      </c>
      <c r="I182" s="18">
        <f>IFERROR(__xludf.DUMMYFUNCTION("""COMPUTED_VALUE"""),0.76)</f>
        <v>0.76</v>
      </c>
      <c r="J182" s="18">
        <f>IFERROR(__xludf.DUMMYFUNCTION("""COMPUTED_VALUE"""),1.53)</f>
        <v>1.53</v>
      </c>
      <c r="K182" s="18">
        <f>IFERROR(__xludf.DUMMYFUNCTION("""COMPUTED_VALUE"""),1.91)</f>
        <v>1.91</v>
      </c>
      <c r="L182" s="18">
        <f>IFERROR(__xludf.DUMMYFUNCTION("""COMPUTED_VALUE"""),3.05)</f>
        <v>3.05</v>
      </c>
    </row>
    <row r="183">
      <c r="A183" s="13" t="str">
        <f>IFERROR(__xludf.DUMMYFUNCTION("""COMPUTED_VALUE"""),"товари")</f>
        <v>товари</v>
      </c>
      <c r="B183" s="13" t="str">
        <f>IFERROR(__xludf.DUMMYFUNCTION("""COMPUTED_VALUE"""),"вироби з металу, пластику, гуми")</f>
        <v>вироби з металу, пластику, гуми</v>
      </c>
      <c r="C183" s="15" t="str">
        <f>IFERROR(__xludf.DUMMYFUNCTION("""COMPUTED_VALUE"""),"гумотехнічні вироби")</f>
        <v>гумотехнічні вироби</v>
      </c>
      <c r="D183" s="15" t="str">
        <f>IFERROR(__xludf.DUMMYFUNCTION("""COMPUTED_VALUE"""),"гумові технічні пластини")</f>
        <v>гумові технічні пластини</v>
      </c>
      <c r="E183" s="15" t="str">
        <f>IFERROR(__xludf.DUMMYFUNCTION("""COMPUTED_VALUE"""),"гумові технічні пластини")</f>
        <v>гумові технічні пластини</v>
      </c>
      <c r="F183" s="17">
        <f>IFERROR(__xludf.DUMMYFUNCTION("""COMPUTED_VALUE"""),3.0)</f>
        <v>3</v>
      </c>
      <c r="G183" s="17">
        <f>IFERROR(__xludf.DUMMYFUNCTION("""COMPUTED_VALUE"""),80814.0)</f>
        <v>80814</v>
      </c>
      <c r="H183" s="17" t="str">
        <f>IFERROR(__xludf.DUMMYFUNCTION("""COMPUTED_VALUE"""),"гумові технічні пластини")</f>
        <v>гумові технічні пластини</v>
      </c>
      <c r="I183" s="18">
        <f>IFERROR(__xludf.DUMMYFUNCTION("""COMPUTED_VALUE"""),2.7)</f>
        <v>2.7</v>
      </c>
      <c r="J183" s="18">
        <f>IFERROR(__xludf.DUMMYFUNCTION("""COMPUTED_VALUE"""),5.4)</f>
        <v>5.4</v>
      </c>
      <c r="K183" s="18">
        <f>IFERROR(__xludf.DUMMYFUNCTION("""COMPUTED_VALUE"""),6.75)</f>
        <v>6.75</v>
      </c>
      <c r="L183" s="18">
        <f>IFERROR(__xludf.DUMMYFUNCTION("""COMPUTED_VALUE"""),10.8)</f>
        <v>10.8</v>
      </c>
    </row>
    <row r="184">
      <c r="A184" s="13" t="str">
        <f>IFERROR(__xludf.DUMMYFUNCTION("""COMPUTED_VALUE"""),"товари")</f>
        <v>товари</v>
      </c>
      <c r="B184" s="13" t="str">
        <f>IFERROR(__xludf.DUMMYFUNCTION("""COMPUTED_VALUE"""),"вироби з металу, пластику, гуми")</f>
        <v>вироби з металу, пластику, гуми</v>
      </c>
      <c r="C184" s="15" t="str">
        <f>IFERROR(__xludf.DUMMYFUNCTION("""COMPUTED_VALUE"""),"гумотехнічні вироби")</f>
        <v>гумотехнічні вироби</v>
      </c>
      <c r="D184" s="15" t="str">
        <f>IFERROR(__xludf.DUMMYFUNCTION("""COMPUTED_VALUE"""),"гумові шнури")</f>
        <v>гумові шнури</v>
      </c>
      <c r="E184" s="15" t="str">
        <f>IFERROR(__xludf.DUMMYFUNCTION("""COMPUTED_VALUE"""),"гумові шнури")</f>
        <v>гумові шнури</v>
      </c>
      <c r="F184" s="17">
        <f>IFERROR(__xludf.DUMMYFUNCTION("""COMPUTED_VALUE"""),3.0)</f>
        <v>3</v>
      </c>
      <c r="G184" s="17">
        <f>IFERROR(__xludf.DUMMYFUNCTION("""COMPUTED_VALUE"""),801210.0)</f>
        <v>801210</v>
      </c>
      <c r="H184" s="17" t="str">
        <f>IFERROR(__xludf.DUMMYFUNCTION("""COMPUTED_VALUE"""),"гумові шнури")</f>
        <v>гумові шнури</v>
      </c>
      <c r="I184" s="18">
        <f>IFERROR(__xludf.DUMMYFUNCTION("""COMPUTED_VALUE"""),2.7)</f>
        <v>2.7</v>
      </c>
      <c r="J184" s="18">
        <f>IFERROR(__xludf.DUMMYFUNCTION("""COMPUTED_VALUE"""),5.4)</f>
        <v>5.4</v>
      </c>
      <c r="K184" s="18">
        <f>IFERROR(__xludf.DUMMYFUNCTION("""COMPUTED_VALUE"""),6.75)</f>
        <v>6.75</v>
      </c>
      <c r="L184" s="18">
        <f>IFERROR(__xludf.DUMMYFUNCTION("""COMPUTED_VALUE"""),10.8)</f>
        <v>10.8</v>
      </c>
    </row>
    <row r="185">
      <c r="A185" s="13" t="str">
        <f>IFERROR(__xludf.DUMMYFUNCTION("""COMPUTED_VALUE"""),"товари")</f>
        <v>товари</v>
      </c>
      <c r="B185" s="13" t="str">
        <f>IFERROR(__xludf.DUMMYFUNCTION("""COMPUTED_VALUE"""),"вироби з металу, пластику, гуми")</f>
        <v>вироби з металу, пластику, гуми</v>
      </c>
      <c r="C185" s="15" t="str">
        <f>IFERROR(__xludf.DUMMYFUNCTION("""COMPUTED_VALUE"""),"металопрокат")</f>
        <v>металопрокат</v>
      </c>
      <c r="D185" s="15" t="str">
        <f>IFERROR(__xludf.DUMMYFUNCTION("""COMPUTED_VALUE"""),"сортовий і фасонний прокат")</f>
        <v>сортовий і фасонний прокат</v>
      </c>
      <c r="E185" s="15" t="str">
        <f>IFERROR(__xludf.DUMMYFUNCTION("""COMPUTED_VALUE"""),"квадрат")</f>
        <v>квадрат</v>
      </c>
      <c r="F185" s="17">
        <f>IFERROR(__xludf.DUMMYFUNCTION("""COMPUTED_VALUE"""),4.0)</f>
        <v>4</v>
      </c>
      <c r="G185" s="17">
        <f>IFERROR(__xludf.DUMMYFUNCTION("""COMPUTED_VALUE"""),420816.0)</f>
        <v>420816</v>
      </c>
      <c r="H185" s="17" t="str">
        <f>IFERROR(__xludf.DUMMYFUNCTION("""COMPUTED_VALUE"""),"квадрат")</f>
        <v>квадрат</v>
      </c>
      <c r="I185" s="18">
        <f>IFERROR(__xludf.DUMMYFUNCTION("""COMPUTED_VALUE"""),1.17)</f>
        <v>1.17</v>
      </c>
      <c r="J185" s="18">
        <f>IFERROR(__xludf.DUMMYFUNCTION("""COMPUTED_VALUE"""),2.34)</f>
        <v>2.34</v>
      </c>
      <c r="K185" s="18">
        <f>IFERROR(__xludf.DUMMYFUNCTION("""COMPUTED_VALUE"""),2.92)</f>
        <v>2.92</v>
      </c>
      <c r="L185" s="18">
        <f>IFERROR(__xludf.DUMMYFUNCTION("""COMPUTED_VALUE"""),4.68)</f>
        <v>4.68</v>
      </c>
    </row>
    <row r="186">
      <c r="A186" s="13" t="str">
        <f>IFERROR(__xludf.DUMMYFUNCTION("""COMPUTED_VALUE"""),"товари")</f>
        <v>товари</v>
      </c>
      <c r="B186" s="13" t="str">
        <f>IFERROR(__xludf.DUMMYFUNCTION("""COMPUTED_VALUE"""),"вироби з металу, пластику, гуми")</f>
        <v>вироби з металу, пластику, гуми</v>
      </c>
      <c r="C186" s="15" t="str">
        <f>IFERROR(__xludf.DUMMYFUNCTION("""COMPUTED_VALUE"""),"металопрокат")</f>
        <v>металопрокат</v>
      </c>
      <c r="D186" s="15" t="str">
        <f>IFERROR(__xludf.DUMMYFUNCTION("""COMPUTED_VALUE"""),"сортовий і фасонний прокат")</f>
        <v>сортовий і фасонний прокат</v>
      </c>
      <c r="E186" s="15" t="str">
        <f>IFERROR(__xludf.DUMMYFUNCTION("""COMPUTED_VALUE"""),"круглий прокат")</f>
        <v>круглий прокат</v>
      </c>
      <c r="F186" s="17">
        <f>IFERROR(__xludf.DUMMYFUNCTION("""COMPUTED_VALUE"""),4.0)</f>
        <v>4</v>
      </c>
      <c r="G186" s="17">
        <f>IFERROR(__xludf.DUMMYFUNCTION("""COMPUTED_VALUE"""),420810.0)</f>
        <v>420810</v>
      </c>
      <c r="H186" s="17" t="str">
        <f>IFERROR(__xludf.DUMMYFUNCTION("""COMPUTED_VALUE"""),"круглий прокат")</f>
        <v>круглий прокат</v>
      </c>
      <c r="I186" s="18">
        <f>IFERROR(__xludf.DUMMYFUNCTION("""COMPUTED_VALUE"""),1.17)</f>
        <v>1.17</v>
      </c>
      <c r="J186" s="18">
        <f>IFERROR(__xludf.DUMMYFUNCTION("""COMPUTED_VALUE"""),2.34)</f>
        <v>2.34</v>
      </c>
      <c r="K186" s="18">
        <f>IFERROR(__xludf.DUMMYFUNCTION("""COMPUTED_VALUE"""),2.92)</f>
        <v>2.92</v>
      </c>
      <c r="L186" s="18">
        <f>IFERROR(__xludf.DUMMYFUNCTION("""COMPUTED_VALUE"""),4.68)</f>
        <v>4.68</v>
      </c>
    </row>
    <row r="187">
      <c r="A187" s="13" t="str">
        <f>IFERROR(__xludf.DUMMYFUNCTION("""COMPUTED_VALUE"""),"товари")</f>
        <v>товари</v>
      </c>
      <c r="B187" s="13" t="str">
        <f>IFERROR(__xludf.DUMMYFUNCTION("""COMPUTED_VALUE"""),"вироби з металу, пластику, гуми")</f>
        <v>вироби з металу, пластику, гуми</v>
      </c>
      <c r="C187" s="15" t="str">
        <f>IFERROR(__xludf.DUMMYFUNCTION("""COMPUTED_VALUE"""),"металопрокат")</f>
        <v>металопрокат</v>
      </c>
      <c r="D187" s="15" t="str">
        <f>IFERROR(__xludf.DUMMYFUNCTION("""COMPUTED_VALUE"""),"сортовий і фасонний прокат")</f>
        <v>сортовий і фасонний прокат</v>
      </c>
      <c r="E187" s="15" t="str">
        <f>IFERROR(__xludf.DUMMYFUNCTION("""COMPUTED_VALUE"""),"металеві балки, двотаври")</f>
        <v>металеві балки, двотаври</v>
      </c>
      <c r="F187" s="17">
        <f>IFERROR(__xludf.DUMMYFUNCTION("""COMPUTED_VALUE"""),4.0)</f>
        <v>4</v>
      </c>
      <c r="G187" s="17">
        <f>IFERROR(__xludf.DUMMYFUNCTION("""COMPUTED_VALUE"""),420808.0)</f>
        <v>420808</v>
      </c>
      <c r="H187" s="17" t="str">
        <f>IFERROR(__xludf.DUMMYFUNCTION("""COMPUTED_VALUE"""),"металеві балки, двотаври")</f>
        <v>металеві балки, двотаври</v>
      </c>
      <c r="I187" s="18">
        <f>IFERROR(__xludf.DUMMYFUNCTION("""COMPUTED_VALUE"""),1.17)</f>
        <v>1.17</v>
      </c>
      <c r="J187" s="18">
        <f>IFERROR(__xludf.DUMMYFUNCTION("""COMPUTED_VALUE"""),2.34)</f>
        <v>2.34</v>
      </c>
      <c r="K187" s="18">
        <f>IFERROR(__xludf.DUMMYFUNCTION("""COMPUTED_VALUE"""),2.92)</f>
        <v>2.92</v>
      </c>
      <c r="L187" s="18">
        <f>IFERROR(__xludf.DUMMYFUNCTION("""COMPUTED_VALUE"""),4.68)</f>
        <v>4.68</v>
      </c>
    </row>
    <row r="188">
      <c r="A188" s="13" t="str">
        <f>IFERROR(__xludf.DUMMYFUNCTION("""COMPUTED_VALUE"""),"товари")</f>
        <v>товари</v>
      </c>
      <c r="B188" s="13" t="str">
        <f>IFERROR(__xludf.DUMMYFUNCTION("""COMPUTED_VALUE"""),"вироби з металу, пластику, гуми")</f>
        <v>вироби з металу, пластику, гуми</v>
      </c>
      <c r="C188" s="15" t="str">
        <f>IFERROR(__xludf.DUMMYFUNCTION("""COMPUTED_VALUE"""),"металовироби будівельного призначення")</f>
        <v>металовироби будівельного призначення</v>
      </c>
      <c r="D188" s="15" t="str">
        <f>IFERROR(__xludf.DUMMYFUNCTION("""COMPUTED_VALUE"""),"металоконструкції та промислові будівлі з лмк")</f>
        <v>металоконструкції та промислові будівлі з лмк</v>
      </c>
      <c r="E188" s="15" t="str">
        <f>IFERROR(__xludf.DUMMYFUNCTION("""COMPUTED_VALUE"""),"металоконструкції та промислові будівлі, загальне")</f>
        <v>металоконструкції та промислові будівлі, загальне</v>
      </c>
      <c r="F188" s="17">
        <f>IFERROR(__xludf.DUMMYFUNCTION("""COMPUTED_VALUE"""),4.0)</f>
        <v>4</v>
      </c>
      <c r="G188" s="17">
        <f>IFERROR(__xludf.DUMMYFUNCTION("""COMPUTED_VALUE"""),420903.0)</f>
        <v>420903</v>
      </c>
      <c r="H188" s="17" t="str">
        <f>IFERROR(__xludf.DUMMYFUNCTION("""COMPUTED_VALUE"""),"металоконструкції та промислові будівлі, загальне")</f>
        <v>металоконструкції та промислові будівлі, загальне</v>
      </c>
      <c r="I188" s="18">
        <f>IFERROR(__xludf.DUMMYFUNCTION("""COMPUTED_VALUE"""),2.16)</f>
        <v>2.16</v>
      </c>
      <c r="J188" s="18">
        <f>IFERROR(__xludf.DUMMYFUNCTION("""COMPUTED_VALUE"""),4.33)</f>
        <v>4.33</v>
      </c>
      <c r="K188" s="18">
        <f>IFERROR(__xludf.DUMMYFUNCTION("""COMPUTED_VALUE"""),5.41)</f>
        <v>5.41</v>
      </c>
      <c r="L188" s="18">
        <f>IFERROR(__xludf.DUMMYFUNCTION("""COMPUTED_VALUE"""),8.65)</f>
        <v>8.65</v>
      </c>
    </row>
    <row r="189">
      <c r="A189" s="13" t="str">
        <f>IFERROR(__xludf.DUMMYFUNCTION("""COMPUTED_VALUE"""),"товари")</f>
        <v>товари</v>
      </c>
      <c r="B189" s="13" t="str">
        <f>IFERROR(__xludf.DUMMYFUNCTION("""COMPUTED_VALUE"""),"вироби з металу, пластику, гуми")</f>
        <v>вироби з металу, пластику, гуми</v>
      </c>
      <c r="C189" s="15" t="str">
        <f>IFERROR(__xludf.DUMMYFUNCTION("""COMPUTED_VALUE"""),"металопрокат")</f>
        <v>металопрокат</v>
      </c>
      <c r="D189" s="15" t="str">
        <f>IFERROR(__xludf.DUMMYFUNCTION("""COMPUTED_VALUE"""),"металопрокат, загальне")</f>
        <v>металопрокат, загальне</v>
      </c>
      <c r="E189" s="15" t="str">
        <f>IFERROR(__xludf.DUMMYFUNCTION("""COMPUTED_VALUE"""),"металопрокат, загальне")</f>
        <v>металопрокат, загальне</v>
      </c>
      <c r="F189" s="17">
        <f>IFERROR(__xludf.DUMMYFUNCTION("""COMPUTED_VALUE"""),3.0)</f>
        <v>3</v>
      </c>
      <c r="G189" s="17">
        <f>IFERROR(__xludf.DUMMYFUNCTION("""COMPUTED_VALUE"""),420806.0)</f>
        <v>420806</v>
      </c>
      <c r="H189" s="17" t="str">
        <f>IFERROR(__xludf.DUMMYFUNCTION("""COMPUTED_VALUE"""),"металопрокат, загальне")</f>
        <v>металопрокат, загальне</v>
      </c>
      <c r="I189" s="18">
        <f>IFERROR(__xludf.DUMMYFUNCTION("""COMPUTED_VALUE"""),2.16)</f>
        <v>2.16</v>
      </c>
      <c r="J189" s="18">
        <f>IFERROR(__xludf.DUMMYFUNCTION("""COMPUTED_VALUE"""),4.33)</f>
        <v>4.33</v>
      </c>
      <c r="K189" s="18">
        <f>IFERROR(__xludf.DUMMYFUNCTION("""COMPUTED_VALUE"""),5.41)</f>
        <v>5.41</v>
      </c>
      <c r="L189" s="18">
        <f>IFERROR(__xludf.DUMMYFUNCTION("""COMPUTED_VALUE"""),8.65)</f>
        <v>8.65</v>
      </c>
    </row>
    <row r="190">
      <c r="A190" s="13" t="str">
        <f>IFERROR(__xludf.DUMMYFUNCTION("""COMPUTED_VALUE"""),"товари")</f>
        <v>товари</v>
      </c>
      <c r="B190" s="13" t="str">
        <f>IFERROR(__xludf.DUMMYFUNCTION("""COMPUTED_VALUE"""),"вироби з металу, пластику, гуми")</f>
        <v>вироби з металу, пластику, гуми</v>
      </c>
      <c r="C190" s="15" t="str">
        <f>IFERROR(__xludf.DUMMYFUNCTION("""COMPUTED_VALUE"""),"вироби з пластику")</f>
        <v>вироби з пластику</v>
      </c>
      <c r="D190" s="15" t="str">
        <f>IFERROR(__xludf.DUMMYFUNCTION("""COMPUTED_VALUE"""),"пластикові захисні спіралі для рукавів високого тиску")</f>
        <v>пластикові захисні спіралі для рукавів високого тиску</v>
      </c>
      <c r="E190" s="15" t="str">
        <f>IFERROR(__xludf.DUMMYFUNCTION("""COMPUTED_VALUE"""),"пластикові захисні спіралі для рукавів високого тиску")</f>
        <v>пластикові захисні спіралі для рукавів високого тиску</v>
      </c>
      <c r="F190" s="17">
        <f>IFERROR(__xludf.DUMMYFUNCTION("""COMPUTED_VALUE"""),3.0)</f>
        <v>3</v>
      </c>
      <c r="G190" s="17">
        <f>IFERROR(__xludf.DUMMYFUNCTION("""COMPUTED_VALUE"""),800514.0)</f>
        <v>800514</v>
      </c>
      <c r="H190" s="17" t="str">
        <f>IFERROR(__xludf.DUMMYFUNCTION("""COMPUTED_VALUE"""),"пластикові захисні спіралі для рукавів високого тиску")</f>
        <v>пластикові захисні спіралі для рукавів високого тиску</v>
      </c>
      <c r="I190" s="18">
        <f>IFERROR(__xludf.DUMMYFUNCTION("""COMPUTED_VALUE"""),0.76)</f>
        <v>0.76</v>
      </c>
      <c r="J190" s="18">
        <f>IFERROR(__xludf.DUMMYFUNCTION("""COMPUTED_VALUE"""),1.53)</f>
        <v>1.53</v>
      </c>
      <c r="K190" s="18">
        <f>IFERROR(__xludf.DUMMYFUNCTION("""COMPUTED_VALUE"""),1.91)</f>
        <v>1.91</v>
      </c>
      <c r="L190" s="18">
        <f>IFERROR(__xludf.DUMMYFUNCTION("""COMPUTED_VALUE"""),3.05)</f>
        <v>3.05</v>
      </c>
    </row>
    <row r="191">
      <c r="A191" s="13" t="str">
        <f>IFERROR(__xludf.DUMMYFUNCTION("""COMPUTED_VALUE"""),"товари")</f>
        <v>товари</v>
      </c>
      <c r="B191" s="13" t="str">
        <f>IFERROR(__xludf.DUMMYFUNCTION("""COMPUTED_VALUE"""),"вироби з металу, пластику, гуми")</f>
        <v>вироби з металу, пластику, гуми</v>
      </c>
      <c r="C191" s="15" t="str">
        <f>IFERROR(__xludf.DUMMYFUNCTION("""COMPUTED_VALUE"""),"металопрокат")</f>
        <v>металопрокат</v>
      </c>
      <c r="D191" s="15" t="str">
        <f>IFERROR(__xludf.DUMMYFUNCTION("""COMPUTED_VALUE"""),"сортовий і фасонний прокат")</f>
        <v>сортовий і фасонний прокат</v>
      </c>
      <c r="E191" s="15" t="str">
        <f>IFERROR(__xludf.DUMMYFUNCTION("""COMPUTED_VALUE"""),"поковки")</f>
        <v>поковки</v>
      </c>
      <c r="F191" s="17">
        <f>IFERROR(__xludf.DUMMYFUNCTION("""COMPUTED_VALUE"""),4.0)</f>
        <v>4</v>
      </c>
      <c r="G191" s="17">
        <f>IFERROR(__xludf.DUMMYFUNCTION("""COMPUTED_VALUE"""),4.2020202E7)</f>
        <v>42020202</v>
      </c>
      <c r="H191" s="17" t="str">
        <f>IFERROR(__xludf.DUMMYFUNCTION("""COMPUTED_VALUE"""),"поковки")</f>
        <v>поковки</v>
      </c>
      <c r="I191" s="18">
        <f>IFERROR(__xludf.DUMMYFUNCTION("""COMPUTED_VALUE"""),1.17)</f>
        <v>1.17</v>
      </c>
      <c r="J191" s="18">
        <f>IFERROR(__xludf.DUMMYFUNCTION("""COMPUTED_VALUE"""),2.34)</f>
        <v>2.34</v>
      </c>
      <c r="K191" s="18">
        <f>IFERROR(__xludf.DUMMYFUNCTION("""COMPUTED_VALUE"""),2.92)</f>
        <v>2.92</v>
      </c>
      <c r="L191" s="18">
        <f>IFERROR(__xludf.DUMMYFUNCTION("""COMPUTED_VALUE"""),4.68)</f>
        <v>4.68</v>
      </c>
    </row>
    <row r="192">
      <c r="A192" s="13" t="str">
        <f>IFERROR(__xludf.DUMMYFUNCTION("""COMPUTED_VALUE"""),"товари")</f>
        <v>товари</v>
      </c>
      <c r="B192" s="13" t="str">
        <f>IFERROR(__xludf.DUMMYFUNCTION("""COMPUTED_VALUE"""),"вироби з металу, пластику, гуми")</f>
        <v>вироби з металу, пластику, гуми</v>
      </c>
      <c r="C192" s="15" t="str">
        <f>IFERROR(__xludf.DUMMYFUNCTION("""COMPUTED_VALUE"""),"металовироби будівельного призначення")</f>
        <v>металовироби будівельного призначення</v>
      </c>
      <c r="D192" s="15" t="str">
        <f>IFERROR(__xludf.DUMMYFUNCTION("""COMPUTED_VALUE"""),"профілі металеві")</f>
        <v>профілі металеві</v>
      </c>
      <c r="E192" s="15" t="str">
        <f>IFERROR(__xludf.DUMMYFUNCTION("""COMPUTED_VALUE"""),"профілі металеві")</f>
        <v>профілі металеві</v>
      </c>
      <c r="F192" s="17">
        <f>IFERROR(__xludf.DUMMYFUNCTION("""COMPUTED_VALUE"""),3.0)</f>
        <v>3</v>
      </c>
      <c r="G192" s="17">
        <f>IFERROR(__xludf.DUMMYFUNCTION("""COMPUTED_VALUE"""),421412.0)</f>
        <v>421412</v>
      </c>
      <c r="H192" s="17" t="str">
        <f>IFERROR(__xludf.DUMMYFUNCTION("""COMPUTED_VALUE"""),"профілі металеві")</f>
        <v>профілі металеві</v>
      </c>
      <c r="I192" s="18">
        <f>IFERROR(__xludf.DUMMYFUNCTION("""COMPUTED_VALUE"""),0.76)</f>
        <v>0.76</v>
      </c>
      <c r="J192" s="18">
        <f>IFERROR(__xludf.DUMMYFUNCTION("""COMPUTED_VALUE"""),1.53)</f>
        <v>1.53</v>
      </c>
      <c r="K192" s="18">
        <f>IFERROR(__xludf.DUMMYFUNCTION("""COMPUTED_VALUE"""),1.91)</f>
        <v>1.91</v>
      </c>
      <c r="L192" s="18">
        <f>IFERROR(__xludf.DUMMYFUNCTION("""COMPUTED_VALUE"""),3.05)</f>
        <v>3.05</v>
      </c>
    </row>
    <row r="193">
      <c r="A193" s="13" t="str">
        <f>IFERROR(__xludf.DUMMYFUNCTION("""COMPUTED_VALUE"""),"товари")</f>
        <v>товари</v>
      </c>
      <c r="B193" s="13" t="str">
        <f>IFERROR(__xludf.DUMMYFUNCTION("""COMPUTED_VALUE"""),"вироби з металу, пластику, гуми")</f>
        <v>вироби з металу, пластику, гуми</v>
      </c>
      <c r="C193" s="15" t="str">
        <f>IFERROR(__xludf.DUMMYFUNCTION("""COMPUTED_VALUE"""),"металопрокат")</f>
        <v>металопрокат</v>
      </c>
      <c r="D193" s="15" t="str">
        <f>IFERROR(__xludf.DUMMYFUNCTION("""COMPUTED_VALUE"""),"плоский прокат")</f>
        <v>плоский прокат</v>
      </c>
      <c r="E193" s="15" t="str">
        <f>IFERROR(__xludf.DUMMYFUNCTION("""COMPUTED_VALUE"""),"рулонний прокат")</f>
        <v>рулонний прокат</v>
      </c>
      <c r="F193" s="17">
        <f>IFERROR(__xludf.DUMMYFUNCTION("""COMPUTED_VALUE"""),4.0)</f>
        <v>4</v>
      </c>
      <c r="G193" s="17">
        <f>IFERROR(__xludf.DUMMYFUNCTION("""COMPUTED_VALUE"""),420813.0)</f>
        <v>420813</v>
      </c>
      <c r="H193" s="17" t="str">
        <f>IFERROR(__xludf.DUMMYFUNCTION("""COMPUTED_VALUE"""),"рулонний прокат")</f>
        <v>рулонний прокат</v>
      </c>
      <c r="I193" s="18">
        <f>IFERROR(__xludf.DUMMYFUNCTION("""COMPUTED_VALUE"""),2.7)</f>
        <v>2.7</v>
      </c>
      <c r="J193" s="18">
        <f>IFERROR(__xludf.DUMMYFUNCTION("""COMPUTED_VALUE"""),5.4)</f>
        <v>5.4</v>
      </c>
      <c r="K193" s="18">
        <f>IFERROR(__xludf.DUMMYFUNCTION("""COMPUTED_VALUE"""),6.75)</f>
        <v>6.75</v>
      </c>
      <c r="L193" s="18">
        <f>IFERROR(__xludf.DUMMYFUNCTION("""COMPUTED_VALUE"""),10.8)</f>
        <v>10.8</v>
      </c>
    </row>
    <row r="194">
      <c r="A194" s="13" t="str">
        <f>IFERROR(__xludf.DUMMYFUNCTION("""COMPUTED_VALUE"""),"товари")</f>
        <v>товари</v>
      </c>
      <c r="B194" s="13" t="str">
        <f>IFERROR(__xludf.DUMMYFUNCTION("""COMPUTED_VALUE"""),"вироби з металу, пластику, гуми")</f>
        <v>вироби з металу, пластику, гуми</v>
      </c>
      <c r="C194" s="15" t="str">
        <f>IFERROR(__xludf.DUMMYFUNCTION("""COMPUTED_VALUE"""),"металопрокат")</f>
        <v>металопрокат</v>
      </c>
      <c r="D194" s="15" t="str">
        <f>IFERROR(__xludf.DUMMYFUNCTION("""COMPUTED_VALUE"""),"сортовий і фасонний прокат")</f>
        <v>сортовий і фасонний прокат</v>
      </c>
      <c r="E194" s="15" t="str">
        <f>IFERROR(__xludf.DUMMYFUNCTION("""COMPUTED_VALUE"""),"сортовий прокат, загальне")</f>
        <v>сортовий прокат, загальне</v>
      </c>
      <c r="F194" s="17">
        <f>IFERROR(__xludf.DUMMYFUNCTION("""COMPUTED_VALUE"""),4.0)</f>
        <v>4</v>
      </c>
      <c r="G194" s="17">
        <f>IFERROR(__xludf.DUMMYFUNCTION("""COMPUTED_VALUE"""),420817.0)</f>
        <v>420817</v>
      </c>
      <c r="H194" s="17" t="str">
        <f>IFERROR(__xludf.DUMMYFUNCTION("""COMPUTED_VALUE"""),"сортовий прокат, загальне")</f>
        <v>сортовий прокат, загальне</v>
      </c>
      <c r="I194" s="18">
        <f>IFERROR(__xludf.DUMMYFUNCTION("""COMPUTED_VALUE"""),2.16)</f>
        <v>2.16</v>
      </c>
      <c r="J194" s="18">
        <f>IFERROR(__xludf.DUMMYFUNCTION("""COMPUTED_VALUE"""),4.33)</f>
        <v>4.33</v>
      </c>
      <c r="K194" s="18">
        <f>IFERROR(__xludf.DUMMYFUNCTION("""COMPUTED_VALUE"""),5.41)</f>
        <v>5.41</v>
      </c>
      <c r="L194" s="18">
        <f>IFERROR(__xludf.DUMMYFUNCTION("""COMPUTED_VALUE"""),8.65)</f>
        <v>8.65</v>
      </c>
    </row>
    <row r="195">
      <c r="A195" s="13" t="str">
        <f>IFERROR(__xludf.DUMMYFUNCTION("""COMPUTED_VALUE"""),"товари")</f>
        <v>товари</v>
      </c>
      <c r="B195" s="13" t="str">
        <f>IFERROR(__xludf.DUMMYFUNCTION("""COMPUTED_VALUE"""),"вироби з металу, пластику, гуми")</f>
        <v>вироби з металу, пластику, гуми</v>
      </c>
      <c r="C195" s="15" t="str">
        <f>IFERROR(__xludf.DUMMYFUNCTION("""COMPUTED_VALUE"""),"металопрокат")</f>
        <v>металопрокат</v>
      </c>
      <c r="D195" s="15" t="str">
        <f>IFERROR(__xludf.DUMMYFUNCTION("""COMPUTED_VALUE"""),"плоский прокат")</f>
        <v>плоский прокат</v>
      </c>
      <c r="E195" s="15" t="str">
        <f>IFERROR(__xludf.DUMMYFUNCTION("""COMPUTED_VALUE"""),"стрічки металеві")</f>
        <v>стрічки металеві</v>
      </c>
      <c r="F195" s="17">
        <f>IFERROR(__xludf.DUMMYFUNCTION("""COMPUTED_VALUE"""),4.0)</f>
        <v>4</v>
      </c>
      <c r="G195" s="17">
        <f>IFERROR(__xludf.DUMMYFUNCTION("""COMPUTED_VALUE"""),420814.0)</f>
        <v>420814</v>
      </c>
      <c r="H195" s="17" t="str">
        <f>IFERROR(__xludf.DUMMYFUNCTION("""COMPUTED_VALUE"""),"стрічки металеві")</f>
        <v>стрічки металеві</v>
      </c>
      <c r="I195" s="18">
        <f>IFERROR(__xludf.DUMMYFUNCTION("""COMPUTED_VALUE"""),2.7)</f>
        <v>2.7</v>
      </c>
      <c r="J195" s="18">
        <f>IFERROR(__xludf.DUMMYFUNCTION("""COMPUTED_VALUE"""),5.4)</f>
        <v>5.4</v>
      </c>
      <c r="K195" s="18">
        <f>IFERROR(__xludf.DUMMYFUNCTION("""COMPUTED_VALUE"""),6.75)</f>
        <v>6.75</v>
      </c>
      <c r="L195" s="18">
        <f>IFERROR(__xludf.DUMMYFUNCTION("""COMPUTED_VALUE"""),10.8)</f>
        <v>10.8</v>
      </c>
    </row>
    <row r="196">
      <c r="A196" s="13" t="str">
        <f>IFERROR(__xludf.DUMMYFUNCTION("""COMPUTED_VALUE"""),"товари")</f>
        <v>товари</v>
      </c>
      <c r="B196" s="13" t="str">
        <f>IFERROR(__xludf.DUMMYFUNCTION("""COMPUTED_VALUE"""),"вироби з металу, пластику, гуми")</f>
        <v>вироби з металу, пластику, гуми</v>
      </c>
      <c r="C196" s="15" t="str">
        <f>IFERROR(__xludf.DUMMYFUNCTION("""COMPUTED_VALUE"""),"металовироби промислового призначення")</f>
        <v>металовироби промислового призначення</v>
      </c>
      <c r="D196" s="15" t="str">
        <f>IFERROR(__xludf.DUMMYFUNCTION("""COMPUTED_VALUE"""),"тиглі")</f>
        <v>тиглі</v>
      </c>
      <c r="E196" s="15" t="str">
        <f>IFERROR(__xludf.DUMMYFUNCTION("""COMPUTED_VALUE"""),"тиглі")</f>
        <v>тиглі</v>
      </c>
      <c r="F196" s="17">
        <f>IFERROR(__xludf.DUMMYFUNCTION("""COMPUTED_VALUE"""),3.0)</f>
        <v>3</v>
      </c>
      <c r="G196" s="17">
        <f>IFERROR(__xludf.DUMMYFUNCTION("""COMPUTED_VALUE"""),920.0)</f>
        <v>920</v>
      </c>
      <c r="H196" s="17" t="str">
        <f>IFERROR(__xludf.DUMMYFUNCTION("""COMPUTED_VALUE"""),"тиглі")</f>
        <v>тиглі</v>
      </c>
      <c r="I196" s="18">
        <f>IFERROR(__xludf.DUMMYFUNCTION("""COMPUTED_VALUE"""),0.76)</f>
        <v>0.76</v>
      </c>
      <c r="J196" s="18">
        <f>IFERROR(__xludf.DUMMYFUNCTION("""COMPUTED_VALUE"""),1.53)</f>
        <v>1.53</v>
      </c>
      <c r="K196" s="18">
        <f>IFERROR(__xludf.DUMMYFUNCTION("""COMPUTED_VALUE"""),1.91)</f>
        <v>1.91</v>
      </c>
      <c r="L196" s="18">
        <f>IFERROR(__xludf.DUMMYFUNCTION("""COMPUTED_VALUE"""),3.05)</f>
        <v>3.05</v>
      </c>
    </row>
    <row r="197">
      <c r="A197" s="13" t="str">
        <f>IFERROR(__xludf.DUMMYFUNCTION("""COMPUTED_VALUE"""),"товари")</f>
        <v>товари</v>
      </c>
      <c r="B197" s="13" t="str">
        <f>IFERROR(__xludf.DUMMYFUNCTION("""COMPUTED_VALUE"""),"вироби з металу, пластику, гуми")</f>
        <v>вироби з металу, пластику, гуми</v>
      </c>
      <c r="C197" s="15" t="str">
        <f>IFERROR(__xludf.DUMMYFUNCTION("""COMPUTED_VALUE"""),"металовироби будівельного призначення")</f>
        <v>металовироби будівельного призначення</v>
      </c>
      <c r="D197" s="15" t="str">
        <f>IFERROR(__xludf.DUMMYFUNCTION("""COMPUTED_VALUE"""),"фундаментні палі")</f>
        <v>фундаментні палі</v>
      </c>
      <c r="E197" s="15" t="str">
        <f>IFERROR(__xludf.DUMMYFUNCTION("""COMPUTED_VALUE"""),"фундаментні палі")</f>
        <v>фундаментні палі</v>
      </c>
      <c r="F197" s="17">
        <f>IFERROR(__xludf.DUMMYFUNCTION("""COMPUTED_VALUE"""),3.0)</f>
        <v>3</v>
      </c>
      <c r="G197" s="17">
        <f>IFERROR(__xludf.DUMMYFUNCTION("""COMPUTED_VALUE"""),421407.0)</f>
        <v>421407</v>
      </c>
      <c r="H197" s="17" t="str">
        <f>IFERROR(__xludf.DUMMYFUNCTION("""COMPUTED_VALUE"""),"фундаментні палі")</f>
        <v>фундаментні палі</v>
      </c>
      <c r="I197" s="18">
        <f>IFERROR(__xludf.DUMMYFUNCTION("""COMPUTED_VALUE"""),1.88)</f>
        <v>1.88</v>
      </c>
      <c r="J197" s="18">
        <f>IFERROR(__xludf.DUMMYFUNCTION("""COMPUTED_VALUE"""),3.75)</f>
        <v>3.75</v>
      </c>
      <c r="K197" s="18">
        <f>IFERROR(__xludf.DUMMYFUNCTION("""COMPUTED_VALUE"""),4.69)</f>
        <v>4.69</v>
      </c>
      <c r="L197" s="18">
        <f>IFERROR(__xludf.DUMMYFUNCTION("""COMPUTED_VALUE"""),7.5)</f>
        <v>7.5</v>
      </c>
    </row>
    <row r="198">
      <c r="A198" s="13" t="str">
        <f>IFERROR(__xludf.DUMMYFUNCTION("""COMPUTED_VALUE"""),"товари")</f>
        <v>товари</v>
      </c>
      <c r="B198" s="13" t="str">
        <f>IFERROR(__xludf.DUMMYFUNCTION("""COMPUTED_VALUE"""),"вироби з металу, пластику, гуми")</f>
        <v>вироби з металу, пластику, гуми</v>
      </c>
      <c r="C198" s="15" t="str">
        <f>IFERROR(__xludf.DUMMYFUNCTION("""COMPUTED_VALUE"""),"кування, литво, відливка")</f>
        <v>кування, литво, відливка</v>
      </c>
      <c r="D198" s="15" t="str">
        <f>IFERROR(__xludf.DUMMYFUNCTION("""COMPUTED_VALUE"""),"художнє лиття, виливок")</f>
        <v>художнє лиття, виливок</v>
      </c>
      <c r="E198" s="15" t="str">
        <f>IFERROR(__xludf.DUMMYFUNCTION("""COMPUTED_VALUE"""),"художнє лиття, виливок")</f>
        <v>художнє лиття, виливок</v>
      </c>
      <c r="F198" s="17">
        <f>IFERROR(__xludf.DUMMYFUNCTION("""COMPUTED_VALUE"""),3.0)</f>
        <v>3</v>
      </c>
      <c r="G198" s="17">
        <f>IFERROR(__xludf.DUMMYFUNCTION("""COMPUTED_VALUE"""),420203.0)</f>
        <v>420203</v>
      </c>
      <c r="H198" s="17" t="str">
        <f>IFERROR(__xludf.DUMMYFUNCTION("""COMPUTED_VALUE"""),"художнє лиття, виливок")</f>
        <v>художнє лиття, виливок</v>
      </c>
      <c r="I198" s="18">
        <f>IFERROR(__xludf.DUMMYFUNCTION("""COMPUTED_VALUE"""),1.98)</f>
        <v>1.98</v>
      </c>
      <c r="J198" s="18">
        <f>IFERROR(__xludf.DUMMYFUNCTION("""COMPUTED_VALUE"""),3.96)</f>
        <v>3.96</v>
      </c>
      <c r="K198" s="18">
        <f>IFERROR(__xludf.DUMMYFUNCTION("""COMPUTED_VALUE"""),4.95)</f>
        <v>4.95</v>
      </c>
      <c r="L198" s="18">
        <f>IFERROR(__xludf.DUMMYFUNCTION("""COMPUTED_VALUE"""),7.93)</f>
        <v>7.93</v>
      </c>
    </row>
    <row r="199">
      <c r="A199" s="13" t="str">
        <f>IFERROR(__xludf.DUMMYFUNCTION("""COMPUTED_VALUE"""),"товари")</f>
        <v>товари</v>
      </c>
      <c r="B199" s="13" t="str">
        <f>IFERROR(__xludf.DUMMYFUNCTION("""COMPUTED_VALUE"""),"вироби з металу, пластику, гуми")</f>
        <v>вироби з металу, пластику, гуми</v>
      </c>
      <c r="C199" s="15" t="str">
        <f>IFERROR(__xludf.DUMMYFUNCTION("""COMPUTED_VALUE"""),"кування, литво, відливка")</f>
        <v>кування, литво, відливка</v>
      </c>
      <c r="D199" s="15" t="str">
        <f>IFERROR(__xludf.DUMMYFUNCTION("""COMPUTED_VALUE"""),"художня ковка")</f>
        <v>художня ковка</v>
      </c>
      <c r="E199" s="15" t="str">
        <f>IFERROR(__xludf.DUMMYFUNCTION("""COMPUTED_VALUE"""),"художня ковка, загальне")</f>
        <v>художня ковка, загальне</v>
      </c>
      <c r="F199" s="17">
        <f>IFERROR(__xludf.DUMMYFUNCTION("""COMPUTED_VALUE"""),4.0)</f>
        <v>4</v>
      </c>
      <c r="G199" s="17">
        <f>IFERROR(__xludf.DUMMYFUNCTION("""COMPUTED_VALUE"""),4.2020108E7)</f>
        <v>42020108</v>
      </c>
      <c r="H199" s="17" t="str">
        <f>IFERROR(__xludf.DUMMYFUNCTION("""COMPUTED_VALUE"""),"художня ковка, загальне")</f>
        <v>художня ковка, загальне</v>
      </c>
      <c r="I199" s="18">
        <f>IFERROR(__xludf.DUMMYFUNCTION("""COMPUTED_VALUE"""),2.16)</f>
        <v>2.16</v>
      </c>
      <c r="J199" s="18">
        <f>IFERROR(__xludf.DUMMYFUNCTION("""COMPUTED_VALUE"""),4.33)</f>
        <v>4.33</v>
      </c>
      <c r="K199" s="18">
        <f>IFERROR(__xludf.DUMMYFUNCTION("""COMPUTED_VALUE"""),5.41)</f>
        <v>5.41</v>
      </c>
      <c r="L199" s="18">
        <f>IFERROR(__xludf.DUMMYFUNCTION("""COMPUTED_VALUE"""),8.65)</f>
        <v>8.65</v>
      </c>
    </row>
    <row r="200">
      <c r="A200" s="13" t="str">
        <f>IFERROR(__xludf.DUMMYFUNCTION("""COMPUTED_VALUE"""),"товари")</f>
        <v>товари</v>
      </c>
      <c r="B200" s="13" t="str">
        <f>IFERROR(__xludf.DUMMYFUNCTION("""COMPUTED_VALUE"""),"вироби з металу, пластику, гуми")</f>
        <v>вироби з металу, пластику, гуми</v>
      </c>
      <c r="C200" s="15" t="str">
        <f>IFERROR(__xludf.DUMMYFUNCTION("""COMPUTED_VALUE"""),"металопрокат")</f>
        <v>металопрокат</v>
      </c>
      <c r="D200" s="15" t="str">
        <f>IFERROR(__xludf.DUMMYFUNCTION("""COMPUTED_VALUE"""),"сортовий і фасонний прокат")</f>
        <v>сортовий і фасонний прокат</v>
      </c>
      <c r="E200" s="15" t="str">
        <f>IFERROR(__xludf.DUMMYFUNCTION("""COMPUTED_VALUE"""),"швелери")</f>
        <v>швелери</v>
      </c>
      <c r="F200" s="17">
        <f>IFERROR(__xludf.DUMMYFUNCTION("""COMPUTED_VALUE"""),4.0)</f>
        <v>4</v>
      </c>
      <c r="G200" s="17">
        <f>IFERROR(__xludf.DUMMYFUNCTION("""COMPUTED_VALUE"""),420802.0)</f>
        <v>420802</v>
      </c>
      <c r="H200" s="17" t="str">
        <f>IFERROR(__xludf.DUMMYFUNCTION("""COMPUTED_VALUE"""),"швелери")</f>
        <v>швелери</v>
      </c>
      <c r="I200" s="18">
        <f>IFERROR(__xludf.DUMMYFUNCTION("""COMPUTED_VALUE"""),1.17)</f>
        <v>1.17</v>
      </c>
      <c r="J200" s="18">
        <f>IFERROR(__xludf.DUMMYFUNCTION("""COMPUTED_VALUE"""),2.34)</f>
        <v>2.34</v>
      </c>
      <c r="K200" s="18">
        <f>IFERROR(__xludf.DUMMYFUNCTION("""COMPUTED_VALUE"""),2.92)</f>
        <v>2.92</v>
      </c>
      <c r="L200" s="18">
        <f>IFERROR(__xludf.DUMMYFUNCTION("""COMPUTED_VALUE"""),4.68)</f>
        <v>4.68</v>
      </c>
    </row>
    <row r="201">
      <c r="A201" s="13" t="str">
        <f>IFERROR(__xludf.DUMMYFUNCTION("""COMPUTED_VALUE"""),"товари")</f>
        <v>товари</v>
      </c>
      <c r="B201" s="13" t="str">
        <f>IFERROR(__xludf.DUMMYFUNCTION("""COMPUTED_VALUE"""),"вироби з металу, пластику, гуми")</f>
        <v>вироби з металу, пластику, гуми</v>
      </c>
      <c r="C201" s="15" t="str">
        <f>IFERROR(__xludf.DUMMYFUNCTION("""COMPUTED_VALUE"""),"металопрокат")</f>
        <v>металопрокат</v>
      </c>
      <c r="D201" s="15" t="str">
        <f>IFERROR(__xludf.DUMMYFUNCTION("""COMPUTED_VALUE"""),"сортовий і фасонний прокат")</f>
        <v>сортовий і фасонний прокат</v>
      </c>
      <c r="E201" s="15" t="str">
        <f>IFERROR(__xludf.DUMMYFUNCTION("""COMPUTED_VALUE"""),"шестигранники металеві")</f>
        <v>шестигранники металеві</v>
      </c>
      <c r="F201" s="17">
        <f>IFERROR(__xludf.DUMMYFUNCTION("""COMPUTED_VALUE"""),4.0)</f>
        <v>4</v>
      </c>
      <c r="G201" s="17">
        <f>IFERROR(__xludf.DUMMYFUNCTION("""COMPUTED_VALUE"""),420812.0)</f>
        <v>420812</v>
      </c>
      <c r="H201" s="17" t="str">
        <f>IFERROR(__xludf.DUMMYFUNCTION("""COMPUTED_VALUE"""),"шестигранники металеві")</f>
        <v>шестигранники металеві</v>
      </c>
      <c r="I201" s="18">
        <f>IFERROR(__xludf.DUMMYFUNCTION("""COMPUTED_VALUE"""),1.17)</f>
        <v>1.17</v>
      </c>
      <c r="J201" s="18">
        <f>IFERROR(__xludf.DUMMYFUNCTION("""COMPUTED_VALUE"""),2.34)</f>
        <v>2.34</v>
      </c>
      <c r="K201" s="18">
        <f>IFERROR(__xludf.DUMMYFUNCTION("""COMPUTED_VALUE"""),2.92)</f>
        <v>2.92</v>
      </c>
      <c r="L201" s="18">
        <f>IFERROR(__xludf.DUMMYFUNCTION("""COMPUTED_VALUE"""),4.68)</f>
        <v>4.68</v>
      </c>
    </row>
    <row r="202">
      <c r="A202" s="13" t="str">
        <f>IFERROR(__xludf.DUMMYFUNCTION("""COMPUTED_VALUE"""),"товари")</f>
        <v>товари</v>
      </c>
      <c r="B202" s="13" t="str">
        <f>IFERROR(__xludf.DUMMYFUNCTION("""COMPUTED_VALUE"""),"воєнторг")</f>
        <v>воєнторг</v>
      </c>
      <c r="C202" s="15" t="str">
        <f>IFERROR(__xludf.DUMMYFUNCTION("""COMPUTED_VALUE"""),"тактичний захист та екіпірування")</f>
        <v>тактичний захист та екіпірування</v>
      </c>
      <c r="D202" s="15" t="str">
        <f>IFERROR(__xludf.DUMMYFUNCTION("""COMPUTED_VALUE"""),"амуніція військово-промислового комплексу, загальне")</f>
        <v>амуніція військово-промислового комплексу, загальне</v>
      </c>
      <c r="E202" s="15" t="str">
        <f>IFERROR(__xludf.DUMMYFUNCTION("""COMPUTED_VALUE"""),"амуніція військово-промислового комплексу, загальне")</f>
        <v>амуніція військово-промислового комплексу, загальне</v>
      </c>
      <c r="F202" s="17">
        <f>IFERROR(__xludf.DUMMYFUNCTION("""COMPUTED_VALUE"""),3.0)</f>
        <v>3</v>
      </c>
      <c r="G202" s="17">
        <f>IFERROR(__xludf.DUMMYFUNCTION("""COMPUTED_VALUE"""),300502.0)</f>
        <v>300502</v>
      </c>
      <c r="H202" s="17" t="str">
        <f>IFERROR(__xludf.DUMMYFUNCTION("""COMPUTED_VALUE"""),"амуніція військово-промислового комплексу, загальне")</f>
        <v>амуніція військово-промислового комплексу, загальне</v>
      </c>
      <c r="I202" s="18">
        <f>IFERROR(__xludf.DUMMYFUNCTION("""COMPUTED_VALUE"""),2.16)</f>
        <v>2.16</v>
      </c>
      <c r="J202" s="18">
        <f>IFERROR(__xludf.DUMMYFUNCTION("""COMPUTED_VALUE"""),4.33)</f>
        <v>4.33</v>
      </c>
      <c r="K202" s="18">
        <f>IFERROR(__xludf.DUMMYFUNCTION("""COMPUTED_VALUE"""),5.41)</f>
        <v>5.41</v>
      </c>
      <c r="L202" s="18">
        <f>IFERROR(__xludf.DUMMYFUNCTION("""COMPUTED_VALUE"""),8.65)</f>
        <v>8.65</v>
      </c>
    </row>
    <row r="203">
      <c r="A203" s="13" t="str">
        <f>IFERROR(__xludf.DUMMYFUNCTION("""COMPUTED_VALUE"""),"послуги")</f>
        <v>послуги</v>
      </c>
      <c r="B203" s="13" t="str">
        <f>IFERROR(__xludf.DUMMYFUNCTION("""COMPUTED_VALUE"""),"ділові послуги")</f>
        <v>ділові послуги</v>
      </c>
      <c r="C203" s="15" t="str">
        <f>IFERROR(__xludf.DUMMYFUNCTION("""COMPUTED_VALUE"""),"бухгалтерські та аудиторські послуги")</f>
        <v>бухгалтерські та аудиторські послуги</v>
      </c>
      <c r="D203" s="15" t="str">
        <f>IFERROR(__xludf.DUMMYFUNCTION("""COMPUTED_VALUE"""),"аудиторські послуги")</f>
        <v>аудиторські послуги</v>
      </c>
      <c r="E203" s="15" t="str">
        <f>IFERROR(__xludf.DUMMYFUNCTION("""COMPUTED_VALUE"""),"аудиторські послуги")</f>
        <v>аудиторські послуги</v>
      </c>
      <c r="F203" s="17">
        <f>IFERROR(__xludf.DUMMYFUNCTION("""COMPUTED_VALUE"""),3.0)</f>
        <v>3</v>
      </c>
      <c r="G203" s="17">
        <f>IFERROR(__xludf.DUMMYFUNCTION("""COMPUTED_VALUE"""),280412.0)</f>
        <v>280412</v>
      </c>
      <c r="H203" s="17" t="str">
        <f>IFERROR(__xludf.DUMMYFUNCTION("""COMPUTED_VALUE"""),"аудиторські послуги")</f>
        <v>аудиторські послуги</v>
      </c>
      <c r="I203" s="18">
        <f>IFERROR(__xludf.DUMMYFUNCTION("""COMPUTED_VALUE"""),0.9)</f>
        <v>0.9</v>
      </c>
      <c r="J203" s="18">
        <f>IFERROR(__xludf.DUMMYFUNCTION("""COMPUTED_VALUE"""),1.8)</f>
        <v>1.8</v>
      </c>
      <c r="K203" s="18">
        <f>IFERROR(__xludf.DUMMYFUNCTION("""COMPUTED_VALUE"""),2.25)</f>
        <v>2.25</v>
      </c>
      <c r="L203" s="18">
        <f>IFERROR(__xludf.DUMMYFUNCTION("""COMPUTED_VALUE"""),3.6)</f>
        <v>3.6</v>
      </c>
    </row>
    <row r="204">
      <c r="A204" s="13" t="str">
        <f>IFERROR(__xludf.DUMMYFUNCTION("""COMPUTED_VALUE"""),"послуги")</f>
        <v>послуги</v>
      </c>
      <c r="B204" s="13" t="str">
        <f>IFERROR(__xludf.DUMMYFUNCTION("""COMPUTED_VALUE"""),"ділові послуги")</f>
        <v>ділові послуги</v>
      </c>
      <c r="C204" s="15" t="str">
        <f>IFERROR(__xludf.DUMMYFUNCTION("""COMPUTED_VALUE"""),"аутсорсинг і аутстаффінг")</f>
        <v>аутсорсинг і аутстаффінг</v>
      </c>
      <c r="D204" s="15" t="str">
        <f>IFERROR(__xludf.DUMMYFUNCTION("""COMPUTED_VALUE"""),"аутсорсинг і аутстаффінг")</f>
        <v>аутсорсинг і аутстаффінг</v>
      </c>
      <c r="E204" s="15" t="str">
        <f>IFERROR(__xludf.DUMMYFUNCTION("""COMPUTED_VALUE"""),"аутсорсинг і аутстаффінг")</f>
        <v>аутсорсинг і аутстаффінг</v>
      </c>
      <c r="F204" s="17">
        <f>IFERROR(__xludf.DUMMYFUNCTION("""COMPUTED_VALUE"""),2.0)</f>
        <v>2</v>
      </c>
      <c r="G204" s="17">
        <f>IFERROR(__xludf.DUMMYFUNCTION("""COMPUTED_VALUE"""),280555.0)</f>
        <v>280555</v>
      </c>
      <c r="H204" s="17" t="str">
        <f>IFERROR(__xludf.DUMMYFUNCTION("""COMPUTED_VALUE"""),"аутсорсинг і аутстаффінг")</f>
        <v>аутсорсинг і аутстаффінг</v>
      </c>
      <c r="I204" s="18">
        <f>IFERROR(__xludf.DUMMYFUNCTION("""COMPUTED_VALUE"""),1.11)</f>
        <v>1.11</v>
      </c>
      <c r="J204" s="18">
        <f>IFERROR(__xludf.DUMMYFUNCTION("""COMPUTED_VALUE"""),2.21)</f>
        <v>2.21</v>
      </c>
      <c r="K204" s="18">
        <f>IFERROR(__xludf.DUMMYFUNCTION("""COMPUTED_VALUE"""),2.77)</f>
        <v>2.77</v>
      </c>
      <c r="L204" s="18">
        <f>IFERROR(__xludf.DUMMYFUNCTION("""COMPUTED_VALUE"""),4.43)</f>
        <v>4.43</v>
      </c>
    </row>
    <row r="205">
      <c r="A205" s="13" t="str">
        <f>IFERROR(__xludf.DUMMYFUNCTION("""COMPUTED_VALUE"""),"послуги")</f>
        <v>послуги</v>
      </c>
      <c r="B205" s="13" t="str">
        <f>IFERROR(__xludf.DUMMYFUNCTION("""COMPUTED_VALUE"""),"ділові послуги")</f>
        <v>ділові послуги</v>
      </c>
      <c r="C205" s="15" t="str">
        <f>IFERROR(__xludf.DUMMYFUNCTION("""COMPUTED_VALUE"""),"бухгалтерські та аудиторські послуги")</f>
        <v>бухгалтерські та аудиторські послуги</v>
      </c>
      <c r="D205" s="15" t="str">
        <f>IFERROR(__xludf.DUMMYFUNCTION("""COMPUTED_VALUE"""),"бухгалтерські послуги")</f>
        <v>бухгалтерські послуги</v>
      </c>
      <c r="E205" s="15" t="str">
        <f>IFERROR(__xludf.DUMMYFUNCTION("""COMPUTED_VALUE"""),"бухгалтерські послуги")</f>
        <v>бухгалтерські послуги</v>
      </c>
      <c r="F205" s="17">
        <f>IFERROR(__xludf.DUMMYFUNCTION("""COMPUTED_VALUE"""),3.0)</f>
        <v>3</v>
      </c>
      <c r="G205" s="17">
        <f>IFERROR(__xludf.DUMMYFUNCTION("""COMPUTED_VALUE"""),280417.0)</f>
        <v>280417</v>
      </c>
      <c r="H205" s="17" t="str">
        <f>IFERROR(__xludf.DUMMYFUNCTION("""COMPUTED_VALUE"""),"бухгалтерські послуги")</f>
        <v>бухгалтерські послуги</v>
      </c>
      <c r="I205" s="18">
        <f>IFERROR(__xludf.DUMMYFUNCTION("""COMPUTED_VALUE"""),1.26)</f>
        <v>1.26</v>
      </c>
      <c r="J205" s="18">
        <f>IFERROR(__xludf.DUMMYFUNCTION("""COMPUTED_VALUE"""),2.53)</f>
        <v>2.53</v>
      </c>
      <c r="K205" s="18">
        <f>IFERROR(__xludf.DUMMYFUNCTION("""COMPUTED_VALUE"""),3.16)</f>
        <v>3.16</v>
      </c>
      <c r="L205" s="18">
        <f>IFERROR(__xludf.DUMMYFUNCTION("""COMPUTED_VALUE"""),5.05)</f>
        <v>5.05</v>
      </c>
    </row>
    <row r="206">
      <c r="A206" s="13" t="str">
        <f>IFERROR(__xludf.DUMMYFUNCTION("""COMPUTED_VALUE"""),"послуги")</f>
        <v>послуги</v>
      </c>
      <c r="B206" s="13" t="str">
        <f>IFERROR(__xludf.DUMMYFUNCTION("""COMPUTED_VALUE"""),"ділові послуги")</f>
        <v>ділові послуги</v>
      </c>
      <c r="C206" s="15" t="str">
        <f>IFERROR(__xludf.DUMMYFUNCTION("""COMPUTED_VALUE"""),"дропшипінг")</f>
        <v>дропшипінг</v>
      </c>
      <c r="D206" s="15" t="str">
        <f>IFERROR(__xludf.DUMMYFUNCTION("""COMPUTED_VALUE"""),"дропшипінг")</f>
        <v>дропшипінг</v>
      </c>
      <c r="E206" s="15" t="str">
        <f>IFERROR(__xludf.DUMMYFUNCTION("""COMPUTED_VALUE"""),"дропшипінг")</f>
        <v>дропшипінг</v>
      </c>
      <c r="F206" s="17">
        <f>IFERROR(__xludf.DUMMYFUNCTION("""COMPUTED_VALUE"""),2.0)</f>
        <v>2</v>
      </c>
      <c r="G206" s="17">
        <f>IFERROR(__xludf.DUMMYFUNCTION("""COMPUTED_VALUE"""),280308.0)</f>
        <v>280308</v>
      </c>
      <c r="H206" s="17" t="str">
        <f>IFERROR(__xludf.DUMMYFUNCTION("""COMPUTED_VALUE"""),"дропшипінг")</f>
        <v>дропшипінг</v>
      </c>
      <c r="I206" s="18">
        <f>IFERROR(__xludf.DUMMYFUNCTION("""COMPUTED_VALUE"""),0.53)</f>
        <v>0.53</v>
      </c>
      <c r="J206" s="18">
        <f>IFERROR(__xludf.DUMMYFUNCTION("""COMPUTED_VALUE"""),1.05)</f>
        <v>1.05</v>
      </c>
      <c r="K206" s="18">
        <f>IFERROR(__xludf.DUMMYFUNCTION("""COMPUTED_VALUE"""),1.31)</f>
        <v>1.31</v>
      </c>
      <c r="L206" s="18">
        <f>IFERROR(__xludf.DUMMYFUNCTION("""COMPUTED_VALUE"""),2.1)</f>
        <v>2.1</v>
      </c>
    </row>
    <row r="207">
      <c r="A207" s="13" t="str">
        <f>IFERROR(__xludf.DUMMYFUNCTION("""COMPUTED_VALUE"""),"послуги")</f>
        <v>послуги</v>
      </c>
      <c r="B207" s="13" t="str">
        <f>IFERROR(__xludf.DUMMYFUNCTION("""COMPUTED_VALUE"""),"ділові послуги")</f>
        <v>ділові послуги</v>
      </c>
      <c r="C207" s="15" t="str">
        <f>IFERROR(__xludf.DUMMYFUNCTION("""COMPUTED_VALUE"""),"організація та проведення виставок, конференцій та форумів")</f>
        <v>організація та проведення виставок, конференцій та форумів</v>
      </c>
      <c r="D207" s="15" t="str">
        <f>IFERROR(__xludf.DUMMYFUNCTION("""COMPUTED_VALUE"""),"організація та проведення виставок, конференцій та форумів")</f>
        <v>організація та проведення виставок, конференцій та форумів</v>
      </c>
      <c r="E207" s="15" t="str">
        <f>IFERROR(__xludf.DUMMYFUNCTION("""COMPUTED_VALUE"""),"організація та проведення виставок, конференцій та форумів")</f>
        <v>організація та проведення виставок, конференцій та форумів</v>
      </c>
      <c r="F207" s="17">
        <f>IFERROR(__xludf.DUMMYFUNCTION("""COMPUTED_VALUE"""),2.0)</f>
        <v>2</v>
      </c>
      <c r="G207" s="17">
        <f>IFERROR(__xludf.DUMMYFUNCTION("""COMPUTED_VALUE"""),2506.0)</f>
        <v>2506</v>
      </c>
      <c r="H207" s="17" t="str">
        <f>IFERROR(__xludf.DUMMYFUNCTION("""COMPUTED_VALUE"""),"організація та проведення виставок, конференцій та форумів")</f>
        <v>організація та проведення виставок, конференцій та форумів</v>
      </c>
      <c r="I207" s="18">
        <f>IFERROR(__xludf.DUMMYFUNCTION("""COMPUTED_VALUE"""),0.76)</f>
        <v>0.76</v>
      </c>
      <c r="J207" s="18">
        <f>IFERROR(__xludf.DUMMYFUNCTION("""COMPUTED_VALUE"""),1.53)</f>
        <v>1.53</v>
      </c>
      <c r="K207" s="18">
        <f>IFERROR(__xludf.DUMMYFUNCTION("""COMPUTED_VALUE"""),1.91)</f>
        <v>1.91</v>
      </c>
      <c r="L207" s="18">
        <f>IFERROR(__xludf.DUMMYFUNCTION("""COMPUTED_VALUE"""),3.05)</f>
        <v>3.05</v>
      </c>
    </row>
    <row r="208">
      <c r="A208" s="13" t="str">
        <f>IFERROR(__xludf.DUMMYFUNCTION("""COMPUTED_VALUE"""),"послуги")</f>
        <v>послуги</v>
      </c>
      <c r="B208" s="13" t="str">
        <f>IFERROR(__xludf.DUMMYFUNCTION("""COMPUTED_VALUE"""),"ділові послуги")</f>
        <v>ділові послуги</v>
      </c>
      <c r="C208" s="15" t="str">
        <f>IFERROR(__xludf.DUMMYFUNCTION("""COMPUTED_VALUE"""),"послуги з організації бізнесу")</f>
        <v>послуги з організації бізнесу</v>
      </c>
      <c r="D208" s="15" t="str">
        <f>IFERROR(__xludf.DUMMYFUNCTION("""COMPUTED_VALUE"""),"послуги з організації бізнесу")</f>
        <v>послуги з організації бізнесу</v>
      </c>
      <c r="E208" s="15" t="str">
        <f>IFERROR(__xludf.DUMMYFUNCTION("""COMPUTED_VALUE"""),"послуги з організації бізнесу")</f>
        <v>послуги з організації бізнесу</v>
      </c>
      <c r="F208" s="17">
        <f>IFERROR(__xludf.DUMMYFUNCTION("""COMPUTED_VALUE"""),2.0)</f>
        <v>2</v>
      </c>
      <c r="G208" s="17">
        <f>IFERROR(__xludf.DUMMYFUNCTION("""COMPUTED_VALUE"""),284502.0)</f>
        <v>284502</v>
      </c>
      <c r="H208" s="17" t="str">
        <f>IFERROR(__xludf.DUMMYFUNCTION("""COMPUTED_VALUE"""),"послуги з організації бізнесу")</f>
        <v>послуги з організації бізнесу</v>
      </c>
      <c r="I208" s="18">
        <f>IFERROR(__xludf.DUMMYFUNCTION("""COMPUTED_VALUE"""),1.08)</f>
        <v>1.08</v>
      </c>
      <c r="J208" s="18">
        <f>IFERROR(__xludf.DUMMYFUNCTION("""COMPUTED_VALUE"""),2.16)</f>
        <v>2.16</v>
      </c>
      <c r="K208" s="18">
        <f>IFERROR(__xludf.DUMMYFUNCTION("""COMPUTED_VALUE"""),2.7)</f>
        <v>2.7</v>
      </c>
      <c r="L208" s="18">
        <f>IFERROR(__xludf.DUMMYFUNCTION("""COMPUTED_VALUE"""),4.33)</f>
        <v>4.33</v>
      </c>
    </row>
    <row r="209">
      <c r="A209" s="13" t="str">
        <f>IFERROR(__xludf.DUMMYFUNCTION("""COMPUTED_VALUE"""),"послуги")</f>
        <v>послуги</v>
      </c>
      <c r="B209" s="13" t="str">
        <f>IFERROR(__xludf.DUMMYFUNCTION("""COMPUTED_VALUE"""),"ділові послуги")</f>
        <v>ділові послуги</v>
      </c>
      <c r="C209" s="15" t="str">
        <f>IFERROR(__xludf.DUMMYFUNCTION("""COMPUTED_VALUE"""),"послуги оцінки та незалежної експертизи")</f>
        <v>послуги оцінки та незалежної експертизи</v>
      </c>
      <c r="D209" s="15" t="str">
        <f>IFERROR(__xludf.DUMMYFUNCTION("""COMPUTED_VALUE"""),"послуги оцінки та незалежної експертизи")</f>
        <v>послуги оцінки та незалежної експертизи</v>
      </c>
      <c r="E209" s="15" t="str">
        <f>IFERROR(__xludf.DUMMYFUNCTION("""COMPUTED_VALUE"""),"послуги оцінки та незалежної експертизи")</f>
        <v>послуги оцінки та незалежної експертизи</v>
      </c>
      <c r="F209" s="17">
        <f>IFERROR(__xludf.DUMMYFUNCTION("""COMPUTED_VALUE"""),2.0)</f>
        <v>2</v>
      </c>
      <c r="G209" s="17">
        <f>IFERROR(__xludf.DUMMYFUNCTION("""COMPUTED_VALUE"""),280592.0)</f>
        <v>280592</v>
      </c>
      <c r="H209" s="17" t="str">
        <f>IFERROR(__xludf.DUMMYFUNCTION("""COMPUTED_VALUE"""),"послуги оцінки та незалежної експертизи")</f>
        <v>послуги оцінки та незалежної експертизи</v>
      </c>
      <c r="I209" s="18">
        <f>IFERROR(__xludf.DUMMYFUNCTION("""COMPUTED_VALUE"""),0.9)</f>
        <v>0.9</v>
      </c>
      <c r="J209" s="18">
        <f>IFERROR(__xludf.DUMMYFUNCTION("""COMPUTED_VALUE"""),1.8)</f>
        <v>1.8</v>
      </c>
      <c r="K209" s="18">
        <f>IFERROR(__xludf.DUMMYFUNCTION("""COMPUTED_VALUE"""),2.25)</f>
        <v>2.25</v>
      </c>
      <c r="L209" s="18">
        <f>IFERROR(__xludf.DUMMYFUNCTION("""COMPUTED_VALUE"""),3.6)</f>
        <v>3.6</v>
      </c>
    </row>
    <row r="210">
      <c r="A210" s="13" t="str">
        <f>IFERROR(__xludf.DUMMYFUNCTION("""COMPUTED_VALUE"""),"послуги")</f>
        <v>послуги</v>
      </c>
      <c r="B210" s="13" t="str">
        <f>IFERROR(__xludf.DUMMYFUNCTION("""COMPUTED_VALUE"""),"ділові послуги")</f>
        <v>ділові послуги</v>
      </c>
      <c r="C210" s="15" t="str">
        <f>IFERROR(__xludf.DUMMYFUNCTION("""COMPUTED_VALUE"""),"послуги страхування")</f>
        <v>послуги страхування</v>
      </c>
      <c r="D210" s="15" t="str">
        <f>IFERROR(__xludf.DUMMYFUNCTION("""COMPUTED_VALUE"""),"послуги страхування")</f>
        <v>послуги страхування</v>
      </c>
      <c r="E210" s="15" t="str">
        <f>IFERROR(__xludf.DUMMYFUNCTION("""COMPUTED_VALUE"""),"послуги страхування")</f>
        <v>послуги страхування</v>
      </c>
      <c r="F210" s="17">
        <f>IFERROR(__xludf.DUMMYFUNCTION("""COMPUTED_VALUE"""),2.0)</f>
        <v>2</v>
      </c>
      <c r="G210" s="17">
        <f>IFERROR(__xludf.DUMMYFUNCTION("""COMPUTED_VALUE"""),283704.0)</f>
        <v>283704</v>
      </c>
      <c r="H210" s="17" t="str">
        <f>IFERROR(__xludf.DUMMYFUNCTION("""COMPUTED_VALUE"""),"послуги страхування")</f>
        <v>послуги страхування</v>
      </c>
      <c r="I210" s="18">
        <f>IFERROR(__xludf.DUMMYFUNCTION("""COMPUTED_VALUE"""),1.26)</f>
        <v>1.26</v>
      </c>
      <c r="J210" s="18">
        <f>IFERROR(__xludf.DUMMYFUNCTION("""COMPUTED_VALUE"""),2.53)</f>
        <v>2.53</v>
      </c>
      <c r="K210" s="18">
        <f>IFERROR(__xludf.DUMMYFUNCTION("""COMPUTED_VALUE"""),3.16)</f>
        <v>3.16</v>
      </c>
      <c r="L210" s="18">
        <f>IFERROR(__xludf.DUMMYFUNCTION("""COMPUTED_VALUE"""),5.05)</f>
        <v>5.05</v>
      </c>
    </row>
    <row r="211">
      <c r="A211" s="13" t="str">
        <f>IFERROR(__xludf.DUMMYFUNCTION("""COMPUTED_VALUE"""),"послуги")</f>
        <v>послуги</v>
      </c>
      <c r="B211" s="13" t="str">
        <f>IFERROR(__xludf.DUMMYFUNCTION("""COMPUTED_VALUE"""),"ділові послуги")</f>
        <v>ділові послуги</v>
      </c>
      <c r="C211" s="15" t="str">
        <f>IFERROR(__xludf.DUMMYFUNCTION("""COMPUTED_VALUE"""),"розробка технічної документації")</f>
        <v>розробка технічної документації</v>
      </c>
      <c r="D211" s="15" t="str">
        <f>IFERROR(__xludf.DUMMYFUNCTION("""COMPUTED_VALUE"""),"розробка технічної документації")</f>
        <v>розробка технічної документації</v>
      </c>
      <c r="E211" s="15" t="str">
        <f>IFERROR(__xludf.DUMMYFUNCTION("""COMPUTED_VALUE"""),"розробка технічної документації")</f>
        <v>розробка технічної документації</v>
      </c>
      <c r="F211" s="17">
        <f>IFERROR(__xludf.DUMMYFUNCTION("""COMPUTED_VALUE"""),2.0)</f>
        <v>2</v>
      </c>
      <c r="G211" s="17">
        <f>IFERROR(__xludf.DUMMYFUNCTION("""COMPUTED_VALUE"""),280598.0)</f>
        <v>280598</v>
      </c>
      <c r="H211" s="17" t="str">
        <f>IFERROR(__xludf.DUMMYFUNCTION("""COMPUTED_VALUE"""),"розробка технічної документації")</f>
        <v>розробка технічної документації</v>
      </c>
      <c r="I211" s="18">
        <f>IFERROR(__xludf.DUMMYFUNCTION("""COMPUTED_VALUE"""),1.17)</f>
        <v>1.17</v>
      </c>
      <c r="J211" s="18">
        <f>IFERROR(__xludf.DUMMYFUNCTION("""COMPUTED_VALUE"""),2.34)</f>
        <v>2.34</v>
      </c>
      <c r="K211" s="18">
        <f>IFERROR(__xludf.DUMMYFUNCTION("""COMPUTED_VALUE"""),2.92)</f>
        <v>2.92</v>
      </c>
      <c r="L211" s="18">
        <f>IFERROR(__xludf.DUMMYFUNCTION("""COMPUTED_VALUE"""),4.68)</f>
        <v>4.68</v>
      </c>
    </row>
    <row r="212">
      <c r="A212" s="13" t="str">
        <f>IFERROR(__xludf.DUMMYFUNCTION("""COMPUTED_VALUE"""),"товари")</f>
        <v>товари</v>
      </c>
      <c r="B212" s="13" t="str">
        <f>IFERROR(__xludf.DUMMYFUNCTION("""COMPUTED_VALUE"""),"дача, сад і город")</f>
        <v>дача, сад і город</v>
      </c>
      <c r="C212" s="15" t="str">
        <f>IFERROR(__xludf.DUMMYFUNCTION("""COMPUTED_VALUE"""),"інструменти для обробки грунту")</f>
        <v>інструменти для обробки грунту</v>
      </c>
      <c r="D212" s="15" t="str">
        <f>IFERROR(__xludf.DUMMYFUNCTION("""COMPUTED_VALUE"""),"інструменти для обробки грунту, загальне")</f>
        <v>інструменти для обробки грунту, загальне</v>
      </c>
      <c r="E212" s="15" t="str">
        <f>IFERROR(__xludf.DUMMYFUNCTION("""COMPUTED_VALUE"""),"інструменти для обробки грунту, загальне")</f>
        <v>інструменти для обробки грунту, загальне</v>
      </c>
      <c r="F212" s="17">
        <f>IFERROR(__xludf.DUMMYFUNCTION("""COMPUTED_VALUE"""),3.0)</f>
        <v>3</v>
      </c>
      <c r="G212" s="17">
        <f>IFERROR(__xludf.DUMMYFUNCTION("""COMPUTED_VALUE"""),1250326.0)</f>
        <v>1250326</v>
      </c>
      <c r="H212" s="17" t="str">
        <f>IFERROR(__xludf.DUMMYFUNCTION("""COMPUTED_VALUE"""),"інструменти для обробки грунту, загальне")</f>
        <v>інструменти для обробки грунту, загальне</v>
      </c>
      <c r="I212" s="18">
        <f>IFERROR(__xludf.DUMMYFUNCTION("""COMPUTED_VALUE"""),2.16)</f>
        <v>2.16</v>
      </c>
      <c r="J212" s="18">
        <f>IFERROR(__xludf.DUMMYFUNCTION("""COMPUTED_VALUE"""),4.33)</f>
        <v>4.33</v>
      </c>
      <c r="K212" s="18">
        <f>IFERROR(__xludf.DUMMYFUNCTION("""COMPUTED_VALUE"""),5.41)</f>
        <v>5.41</v>
      </c>
      <c r="L212" s="18">
        <f>IFERROR(__xludf.DUMMYFUNCTION("""COMPUTED_VALUE"""),8.65)</f>
        <v>8.65</v>
      </c>
    </row>
    <row r="213">
      <c r="A213" s="13" t="str">
        <f>IFERROR(__xludf.DUMMYFUNCTION("""COMPUTED_VALUE"""),"товари")</f>
        <v>товари</v>
      </c>
      <c r="B213" s="13" t="str">
        <f>IFERROR(__xludf.DUMMYFUNCTION("""COMPUTED_VALUE"""),"дача, сад і город")</f>
        <v>дача, сад і город</v>
      </c>
      <c r="C213" s="15" t="str">
        <f>IFERROR(__xludf.DUMMYFUNCTION("""COMPUTED_VALUE"""),"обладнання для саун і лазень")</f>
        <v>обладнання для саун і лазень</v>
      </c>
      <c r="D213" s="15" t="str">
        <f>IFERROR(__xludf.DUMMYFUNCTION("""COMPUTED_VALUE"""),"комплектуючі для лазневого обладнання")</f>
        <v>комплектуючі для лазневого обладнання</v>
      </c>
      <c r="E213" s="15" t="str">
        <f>IFERROR(__xludf.DUMMYFUNCTION("""COMPUTED_VALUE"""),"комплектуючі для лазневого обладнання")</f>
        <v>комплектуючі для лазневого обладнання</v>
      </c>
      <c r="F213" s="17">
        <f>IFERROR(__xludf.DUMMYFUNCTION("""COMPUTED_VALUE"""),3.0)</f>
        <v>3</v>
      </c>
      <c r="G213" s="17">
        <f>IFERROR(__xludf.DUMMYFUNCTION("""COMPUTED_VALUE"""),150515.0)</f>
        <v>150515</v>
      </c>
      <c r="H213" s="17" t="str">
        <f>IFERROR(__xludf.DUMMYFUNCTION("""COMPUTED_VALUE"""),"комплектуючі для лазневого обладнання")</f>
        <v>комплектуючі для лазневого обладнання</v>
      </c>
      <c r="I213" s="18">
        <f>IFERROR(__xludf.DUMMYFUNCTION("""COMPUTED_VALUE"""),1.53)</f>
        <v>1.53</v>
      </c>
      <c r="J213" s="18">
        <f>IFERROR(__xludf.DUMMYFUNCTION("""COMPUTED_VALUE"""),3.06)</f>
        <v>3.06</v>
      </c>
      <c r="K213" s="18">
        <f>IFERROR(__xludf.DUMMYFUNCTION("""COMPUTED_VALUE"""),3.83)</f>
        <v>3.83</v>
      </c>
      <c r="L213" s="18">
        <f>IFERROR(__xludf.DUMMYFUNCTION("""COMPUTED_VALUE"""),6.13)</f>
        <v>6.13</v>
      </c>
    </row>
    <row r="214">
      <c r="A214" s="13" t="str">
        <f>IFERROR(__xludf.DUMMYFUNCTION("""COMPUTED_VALUE"""),"товари")</f>
        <v>товари</v>
      </c>
      <c r="B214" s="13" t="str">
        <f>IFERROR(__xludf.DUMMYFUNCTION("""COMPUTED_VALUE"""),"дача, сад і город")</f>
        <v>дача, сад і город</v>
      </c>
      <c r="C214" s="15" t="str">
        <f>IFERROR(__xludf.DUMMYFUNCTION("""COMPUTED_VALUE"""),"ландшафтні будови")</f>
        <v>ландшафтні будови</v>
      </c>
      <c r="D214" s="15" t="str">
        <f>IFERROR(__xludf.DUMMYFUNCTION("""COMPUTED_VALUE"""),"малі архітектурні форми")</f>
        <v>малі архітектурні форми</v>
      </c>
      <c r="E214" s="15" t="str">
        <f>IFERROR(__xludf.DUMMYFUNCTION("""COMPUTED_VALUE"""),"малі архітектурні форми")</f>
        <v>малі архітектурні форми</v>
      </c>
      <c r="F214" s="17">
        <f>IFERROR(__xludf.DUMMYFUNCTION("""COMPUTED_VALUE"""),3.0)</f>
        <v>3</v>
      </c>
      <c r="G214" s="17">
        <f>IFERROR(__xludf.DUMMYFUNCTION("""COMPUTED_VALUE"""),130104.0)</f>
        <v>130104</v>
      </c>
      <c r="H214" s="17" t="str">
        <f>IFERROR(__xludf.DUMMYFUNCTION("""COMPUTED_VALUE"""),"малі архітектурні форми")</f>
        <v>малі архітектурні форми</v>
      </c>
      <c r="I214" s="18">
        <f>IFERROR(__xludf.DUMMYFUNCTION("""COMPUTED_VALUE"""),0.86)</f>
        <v>0.86</v>
      </c>
      <c r="J214" s="18">
        <f>IFERROR(__xludf.DUMMYFUNCTION("""COMPUTED_VALUE"""),1.71)</f>
        <v>1.71</v>
      </c>
      <c r="K214" s="18">
        <f>IFERROR(__xludf.DUMMYFUNCTION("""COMPUTED_VALUE"""),2.14)</f>
        <v>2.14</v>
      </c>
      <c r="L214" s="18">
        <f>IFERROR(__xludf.DUMMYFUNCTION("""COMPUTED_VALUE"""),3.43)</f>
        <v>3.43</v>
      </c>
    </row>
    <row r="215">
      <c r="A215" s="13" t="str">
        <f>IFERROR(__xludf.DUMMYFUNCTION("""COMPUTED_VALUE"""),"товари")</f>
        <v>товари</v>
      </c>
      <c r="B215" s="13" t="str">
        <f>IFERROR(__xludf.DUMMYFUNCTION("""COMPUTED_VALUE"""),"товари для дому")</f>
        <v>товари для дому</v>
      </c>
      <c r="C215" s="15" t="str">
        <f>IFERROR(__xludf.DUMMYFUNCTION("""COMPUTED_VALUE"""),"меблі")</f>
        <v>меблі</v>
      </c>
      <c r="D215" s="15" t="str">
        <f>IFERROR(__xludf.DUMMYFUNCTION("""COMPUTED_VALUE"""),"комплектуючі для меблів")</f>
        <v>комплектуючі для меблів</v>
      </c>
      <c r="E215" s="15" t="str">
        <f>IFERROR(__xludf.DUMMYFUNCTION("""COMPUTED_VALUE"""),"меблеві труби і комплектуючі")</f>
        <v>меблеві труби і комплектуючі</v>
      </c>
      <c r="F215" s="17">
        <f>IFERROR(__xludf.DUMMYFUNCTION("""COMPUTED_VALUE"""),4.0)</f>
        <v>4</v>
      </c>
      <c r="G215" s="17">
        <f>IFERROR(__xludf.DUMMYFUNCTION("""COMPUTED_VALUE"""),370813.0)</f>
        <v>370813</v>
      </c>
      <c r="H215" s="17" t="str">
        <f>IFERROR(__xludf.DUMMYFUNCTION("""COMPUTED_VALUE"""),"меблеві труби і комплектуючі")</f>
        <v>меблеві труби і комплектуючі</v>
      </c>
      <c r="I215" s="18">
        <f>IFERROR(__xludf.DUMMYFUNCTION("""COMPUTED_VALUE"""),0.99)</f>
        <v>0.99</v>
      </c>
      <c r="J215" s="18">
        <f>IFERROR(__xludf.DUMMYFUNCTION("""COMPUTED_VALUE"""),1.98)</f>
        <v>1.98</v>
      </c>
      <c r="K215" s="18">
        <f>IFERROR(__xludf.DUMMYFUNCTION("""COMPUTED_VALUE"""),2.47)</f>
        <v>2.47</v>
      </c>
      <c r="L215" s="18">
        <f>IFERROR(__xludf.DUMMYFUNCTION("""COMPUTED_VALUE"""),3.95)</f>
        <v>3.95</v>
      </c>
    </row>
    <row r="216">
      <c r="A216" s="13" t="str">
        <f>IFERROR(__xludf.DUMMYFUNCTION("""COMPUTED_VALUE"""),"товари")</f>
        <v>товари</v>
      </c>
      <c r="B216" s="13" t="str">
        <f>IFERROR(__xludf.DUMMYFUNCTION("""COMPUTED_VALUE"""),"дача, сад і город")</f>
        <v>дача, сад і город</v>
      </c>
      <c r="C216" s="15" t="str">
        <f>IFERROR(__xludf.DUMMYFUNCTION("""COMPUTED_VALUE"""),"мінісільгосптехніка")</f>
        <v>мінісільгосптехніка</v>
      </c>
      <c r="D216" s="15" t="str">
        <f>IFERROR(__xludf.DUMMYFUNCTION("""COMPUTED_VALUE"""),"мінісільгосптехніка, загальне")</f>
        <v>мінісільгосптехніка, загальне</v>
      </c>
      <c r="E216" s="15" t="str">
        <f>IFERROR(__xludf.DUMMYFUNCTION("""COMPUTED_VALUE"""),"мінісільгосптехніка, загальне")</f>
        <v>мінісільгосптехніка, загальне</v>
      </c>
      <c r="F216" s="17">
        <f>IFERROR(__xludf.DUMMYFUNCTION("""COMPUTED_VALUE"""),3.0)</f>
        <v>3</v>
      </c>
      <c r="G216" s="17">
        <f>IFERROR(__xludf.DUMMYFUNCTION("""COMPUTED_VALUE"""),1.25031803E8)</f>
        <v>125031803</v>
      </c>
      <c r="H216" s="17" t="str">
        <f>IFERROR(__xludf.DUMMYFUNCTION("""COMPUTED_VALUE"""),"мінісільгосптехніка, загальне")</f>
        <v>мінісільгосптехніка, загальне</v>
      </c>
      <c r="I216" s="18">
        <f>IFERROR(__xludf.DUMMYFUNCTION("""COMPUTED_VALUE"""),2.16)</f>
        <v>2.16</v>
      </c>
      <c r="J216" s="18">
        <f>IFERROR(__xludf.DUMMYFUNCTION("""COMPUTED_VALUE"""),4.33)</f>
        <v>4.33</v>
      </c>
      <c r="K216" s="18">
        <f>IFERROR(__xludf.DUMMYFUNCTION("""COMPUTED_VALUE"""),5.41)</f>
        <v>5.41</v>
      </c>
      <c r="L216" s="18">
        <f>IFERROR(__xludf.DUMMYFUNCTION("""COMPUTED_VALUE"""),8.65)</f>
        <v>8.65</v>
      </c>
    </row>
    <row r="217">
      <c r="A217" s="13" t="str">
        <f>IFERROR(__xludf.DUMMYFUNCTION("""COMPUTED_VALUE"""),"товари")</f>
        <v>товари</v>
      </c>
      <c r="B217" s="13" t="str">
        <f>IFERROR(__xludf.DUMMYFUNCTION("""COMPUTED_VALUE"""),"товари для дому")</f>
        <v>товари для дому</v>
      </c>
      <c r="C217" s="15" t="str">
        <f>IFERROR(__xludf.DUMMYFUNCTION("""COMPUTED_VALUE"""),"декор для дому")</f>
        <v>декор для дому</v>
      </c>
      <c r="D217" s="15" t="str">
        <f>IFERROR(__xludf.DUMMYFUNCTION("""COMPUTED_VALUE"""),"інтер'єрні аксесуари")</f>
        <v>інтер'єрні аксесуари</v>
      </c>
      <c r="E217" s="15" t="str">
        <f>IFERROR(__xludf.DUMMYFUNCTION("""COMPUTED_VALUE"""),"ентомологічні колекції")</f>
        <v>ентомологічні колекції</v>
      </c>
      <c r="F217" s="17">
        <f>IFERROR(__xludf.DUMMYFUNCTION("""COMPUTED_VALUE"""),4.0)</f>
        <v>4</v>
      </c>
      <c r="G217" s="17">
        <f>IFERROR(__xludf.DUMMYFUNCTION("""COMPUTED_VALUE"""),371015.0)</f>
        <v>371015</v>
      </c>
      <c r="H217" s="17" t="str">
        <f>IFERROR(__xludf.DUMMYFUNCTION("""COMPUTED_VALUE"""),"ентомологічні колекції")</f>
        <v>ентомологічні колекції</v>
      </c>
      <c r="I217" s="18">
        <f>IFERROR(__xludf.DUMMYFUNCTION("""COMPUTED_VALUE"""),0.76)</f>
        <v>0.76</v>
      </c>
      <c r="J217" s="18">
        <f>IFERROR(__xludf.DUMMYFUNCTION("""COMPUTED_VALUE"""),1.53)</f>
        <v>1.53</v>
      </c>
      <c r="K217" s="18">
        <f>IFERROR(__xludf.DUMMYFUNCTION("""COMPUTED_VALUE"""),1.91)</f>
        <v>1.91</v>
      </c>
      <c r="L217" s="18">
        <f>IFERROR(__xludf.DUMMYFUNCTION("""COMPUTED_VALUE"""),3.05)</f>
        <v>3.05</v>
      </c>
    </row>
    <row r="218">
      <c r="A218" s="13" t="str">
        <f>IFERROR(__xludf.DUMMYFUNCTION("""COMPUTED_VALUE"""),"товари")</f>
        <v>товари</v>
      </c>
      <c r="B218" s="13" t="str">
        <f>IFERROR(__xludf.DUMMYFUNCTION("""COMPUTED_VALUE"""),"товари для дому")</f>
        <v>товари для дому</v>
      </c>
      <c r="C218" s="15" t="str">
        <f>IFERROR(__xludf.DUMMYFUNCTION("""COMPUTED_VALUE"""),"меблі")</f>
        <v>меблі</v>
      </c>
      <c r="D218" s="15" t="str">
        <f>IFERROR(__xludf.DUMMYFUNCTION("""COMPUTED_VALUE"""),"комплектуючі для меблів")</f>
        <v>комплектуючі для меблів</v>
      </c>
      <c r="E218" s="15" t="str">
        <f>IFERROR(__xludf.DUMMYFUNCTION("""COMPUTED_VALUE"""),"поролон")</f>
        <v>поролон</v>
      </c>
      <c r="F218" s="17">
        <f>IFERROR(__xludf.DUMMYFUNCTION("""COMPUTED_VALUE"""),4.0)</f>
        <v>4</v>
      </c>
      <c r="G218" s="17">
        <f>IFERROR(__xludf.DUMMYFUNCTION("""COMPUTED_VALUE"""),370810.0)</f>
        <v>370810</v>
      </c>
      <c r="H218" s="17" t="str">
        <f>IFERROR(__xludf.DUMMYFUNCTION("""COMPUTED_VALUE"""),"поролон")</f>
        <v>поролон</v>
      </c>
      <c r="I218" s="18">
        <f>IFERROR(__xludf.DUMMYFUNCTION("""COMPUTED_VALUE"""),0.99)</f>
        <v>0.99</v>
      </c>
      <c r="J218" s="18">
        <f>IFERROR(__xludf.DUMMYFUNCTION("""COMPUTED_VALUE"""),1.98)</f>
        <v>1.98</v>
      </c>
      <c r="K218" s="18">
        <f>IFERROR(__xludf.DUMMYFUNCTION("""COMPUTED_VALUE"""),2.47)</f>
        <v>2.47</v>
      </c>
      <c r="L218" s="18">
        <f>IFERROR(__xludf.DUMMYFUNCTION("""COMPUTED_VALUE"""),3.95)</f>
        <v>3.95</v>
      </c>
    </row>
    <row r="219">
      <c r="A219" s="13" t="str">
        <f>IFERROR(__xludf.DUMMYFUNCTION("""COMPUTED_VALUE"""),"товари")</f>
        <v>товари</v>
      </c>
      <c r="B219" s="13" t="str">
        <f>IFERROR(__xludf.DUMMYFUNCTION("""COMPUTED_VALUE"""),"дача, сад і город")</f>
        <v>дача, сад і город</v>
      </c>
      <c r="C219" s="15" t="str">
        <f>IFERROR(__xludf.DUMMYFUNCTION("""COMPUTED_VALUE"""),"снігоприбиральний інвентар")</f>
        <v>снігоприбиральний інвентар</v>
      </c>
      <c r="D219" s="15" t="str">
        <f>IFERROR(__xludf.DUMMYFUNCTION("""COMPUTED_VALUE"""),"снігоприбиральний інвентар, загальне")</f>
        <v>снігоприбиральний інвентар, загальне</v>
      </c>
      <c r="E219" s="15" t="str">
        <f>IFERROR(__xludf.DUMMYFUNCTION("""COMPUTED_VALUE"""),"снігоприбиральний інвентар, загальне")</f>
        <v>снігоприбиральний інвентар, загальне</v>
      </c>
      <c r="F219" s="17">
        <f>IFERROR(__xludf.DUMMYFUNCTION("""COMPUTED_VALUE"""),3.0)</f>
        <v>3</v>
      </c>
      <c r="G219" s="17">
        <f>IFERROR(__xludf.DUMMYFUNCTION("""COMPUTED_VALUE"""),1250333.0)</f>
        <v>1250333</v>
      </c>
      <c r="H219" s="17" t="str">
        <f>IFERROR(__xludf.DUMMYFUNCTION("""COMPUTED_VALUE"""),"снігоприбиральний інвентар, загальне")</f>
        <v>снігоприбиральний інвентар, загальне</v>
      </c>
      <c r="I219" s="18">
        <f>IFERROR(__xludf.DUMMYFUNCTION("""COMPUTED_VALUE"""),2.16)</f>
        <v>2.16</v>
      </c>
      <c r="J219" s="18">
        <f>IFERROR(__xludf.DUMMYFUNCTION("""COMPUTED_VALUE"""),4.33)</f>
        <v>4.33</v>
      </c>
      <c r="K219" s="18">
        <f>IFERROR(__xludf.DUMMYFUNCTION("""COMPUTED_VALUE"""),5.41)</f>
        <v>5.41</v>
      </c>
      <c r="L219" s="18">
        <f>IFERROR(__xludf.DUMMYFUNCTION("""COMPUTED_VALUE"""),8.65)</f>
        <v>8.65</v>
      </c>
    </row>
    <row r="220">
      <c r="A220" s="13" t="str">
        <f>IFERROR(__xludf.DUMMYFUNCTION("""COMPUTED_VALUE"""),"товари")</f>
        <v>товари</v>
      </c>
      <c r="B220" s="13" t="str">
        <f>IFERROR(__xludf.DUMMYFUNCTION("""COMPUTED_VALUE"""),"товари для дому")</f>
        <v>товари для дому</v>
      </c>
      <c r="C220" s="15" t="str">
        <f>IFERROR(__xludf.DUMMYFUNCTION("""COMPUTED_VALUE"""),"меблі")</f>
        <v>меблі</v>
      </c>
      <c r="D220" s="15" t="str">
        <f>IFERROR(__xludf.DUMMYFUNCTION("""COMPUTED_VALUE"""),"комплектуючі для меблів")</f>
        <v>комплектуючі для меблів</v>
      </c>
      <c r="E220" s="15" t="str">
        <f>IFERROR(__xludf.DUMMYFUNCTION("""COMPUTED_VALUE"""),"стінові панелі для кухні")</f>
        <v>стінові панелі для кухні</v>
      </c>
      <c r="F220" s="17">
        <f>IFERROR(__xludf.DUMMYFUNCTION("""COMPUTED_VALUE"""),4.0)</f>
        <v>4</v>
      </c>
      <c r="G220" s="17">
        <f>IFERROR(__xludf.DUMMYFUNCTION("""COMPUTED_VALUE"""),1.5030303E7)</f>
        <v>15030303</v>
      </c>
      <c r="H220" s="17" t="str">
        <f>IFERROR(__xludf.DUMMYFUNCTION("""COMPUTED_VALUE"""),"стінові панелі для кухні")</f>
        <v>стінові панелі для кухні</v>
      </c>
      <c r="I220" s="18">
        <f>IFERROR(__xludf.DUMMYFUNCTION("""COMPUTED_VALUE"""),0.99)</f>
        <v>0.99</v>
      </c>
      <c r="J220" s="18">
        <f>IFERROR(__xludf.DUMMYFUNCTION("""COMPUTED_VALUE"""),1.98)</f>
        <v>1.98</v>
      </c>
      <c r="K220" s="18">
        <f>IFERROR(__xludf.DUMMYFUNCTION("""COMPUTED_VALUE"""),2.47)</f>
        <v>2.47</v>
      </c>
      <c r="L220" s="18">
        <f>IFERROR(__xludf.DUMMYFUNCTION("""COMPUTED_VALUE"""),3.95)</f>
        <v>3.95</v>
      </c>
    </row>
    <row r="221">
      <c r="A221" s="13" t="str">
        <f>IFERROR(__xludf.DUMMYFUNCTION("""COMPUTED_VALUE"""),"товари")</f>
        <v>товари</v>
      </c>
      <c r="B221" s="13" t="str">
        <f>IFERROR(__xludf.DUMMYFUNCTION("""COMPUTED_VALUE"""),"електрообладнання")</f>
        <v>електрообладнання</v>
      </c>
      <c r="C221" s="15" t="str">
        <f>IFERROR(__xludf.DUMMYFUNCTION("""COMPUTED_VALUE"""),"освітлення, електрика")</f>
        <v>освітлення, електрика</v>
      </c>
      <c r="D221" s="15" t="str">
        <f>IFERROR(__xludf.DUMMYFUNCTION("""COMPUTED_VALUE"""),"аварійне освітлення")</f>
        <v>аварійне освітлення</v>
      </c>
      <c r="E221" s="15" t="str">
        <f>IFERROR(__xludf.DUMMYFUNCTION("""COMPUTED_VALUE"""),"аварійне освітлення")</f>
        <v>аварійне освітлення</v>
      </c>
      <c r="F221" s="17">
        <f>IFERROR(__xludf.DUMMYFUNCTION("""COMPUTED_VALUE"""),3.0)</f>
        <v>3</v>
      </c>
      <c r="G221" s="17">
        <f>IFERROR(__xludf.DUMMYFUNCTION("""COMPUTED_VALUE"""),150411.0)</f>
        <v>150411</v>
      </c>
      <c r="H221" s="17" t="str">
        <f>IFERROR(__xludf.DUMMYFUNCTION("""COMPUTED_VALUE"""),"аварійне освітлення")</f>
        <v>аварійне освітлення</v>
      </c>
      <c r="I221" s="18">
        <f>IFERROR(__xludf.DUMMYFUNCTION("""COMPUTED_VALUE"""),0.72)</f>
        <v>0.72</v>
      </c>
      <c r="J221" s="18">
        <f>IFERROR(__xludf.DUMMYFUNCTION("""COMPUTED_VALUE"""),1.44)</f>
        <v>1.44</v>
      </c>
      <c r="K221" s="18">
        <f>IFERROR(__xludf.DUMMYFUNCTION("""COMPUTED_VALUE"""),1.8)</f>
        <v>1.8</v>
      </c>
      <c r="L221" s="18">
        <f>IFERROR(__xludf.DUMMYFUNCTION("""COMPUTED_VALUE"""),2.88)</f>
        <v>2.88</v>
      </c>
    </row>
    <row r="222">
      <c r="A222" s="13" t="str">
        <f>IFERROR(__xludf.DUMMYFUNCTION("""COMPUTED_VALUE"""),"товари")</f>
        <v>товари</v>
      </c>
      <c r="B222" s="13" t="str">
        <f>IFERROR(__xludf.DUMMYFUNCTION("""COMPUTED_VALUE"""),"електрообладнання")</f>
        <v>електрообладнання</v>
      </c>
      <c r="C222" s="15" t="str">
        <f>IFERROR(__xludf.DUMMYFUNCTION("""COMPUTED_VALUE"""),"обладнання для електропостачання")</f>
        <v>обладнання для електропостачання</v>
      </c>
      <c r="D222" s="15" t="str">
        <f>IFERROR(__xludf.DUMMYFUNCTION("""COMPUTED_VALUE"""),"трансформатори")</f>
        <v>трансформатори</v>
      </c>
      <c r="E222" s="15" t="str">
        <f>IFERROR(__xludf.DUMMYFUNCTION("""COMPUTED_VALUE"""),"автотрансформатори")</f>
        <v>автотрансформатори</v>
      </c>
      <c r="F222" s="17">
        <f>IFERROR(__xludf.DUMMYFUNCTION("""COMPUTED_VALUE"""),4.0)</f>
        <v>4</v>
      </c>
      <c r="G222" s="17">
        <f>IFERROR(__xludf.DUMMYFUNCTION("""COMPUTED_VALUE"""),1.4190701E7)</f>
        <v>14190701</v>
      </c>
      <c r="H222" s="17" t="str">
        <f>IFERROR(__xludf.DUMMYFUNCTION("""COMPUTED_VALUE"""),"автотрансформатори")</f>
        <v>автотрансформатори</v>
      </c>
      <c r="I222" s="18">
        <f>IFERROR(__xludf.DUMMYFUNCTION("""COMPUTED_VALUE"""),1.71)</f>
        <v>1.71</v>
      </c>
      <c r="J222" s="18">
        <f>IFERROR(__xludf.DUMMYFUNCTION("""COMPUTED_VALUE"""),3.43)</f>
        <v>3.43</v>
      </c>
      <c r="K222" s="18">
        <f>IFERROR(__xludf.DUMMYFUNCTION("""COMPUTED_VALUE"""),4.28)</f>
        <v>4.28</v>
      </c>
      <c r="L222" s="18">
        <f>IFERROR(__xludf.DUMMYFUNCTION("""COMPUTED_VALUE"""),6.85)</f>
        <v>6.85</v>
      </c>
    </row>
    <row r="223">
      <c r="A223" s="13" t="str">
        <f>IFERROR(__xludf.DUMMYFUNCTION("""COMPUTED_VALUE"""),"товари")</f>
        <v>товари</v>
      </c>
      <c r="B223" s="13" t="str">
        <f>IFERROR(__xludf.DUMMYFUNCTION("""COMPUTED_VALUE"""),"електрообладнання")</f>
        <v>електрообладнання</v>
      </c>
      <c r="C223" s="15" t="str">
        <f>IFERROR(__xludf.DUMMYFUNCTION("""COMPUTED_VALUE"""),"монтажне обладнання")</f>
        <v>монтажне обладнання</v>
      </c>
      <c r="D223" s="15" t="str">
        <f>IFERROR(__xludf.DUMMYFUNCTION("""COMPUTED_VALUE"""),"арматура для леп")</f>
        <v>арматура для леп</v>
      </c>
      <c r="E223" s="15" t="str">
        <f>IFERROR(__xludf.DUMMYFUNCTION("""COMPUTED_VALUE"""),"арматура для леп")</f>
        <v>арматура для леп</v>
      </c>
      <c r="F223" s="17">
        <f>IFERROR(__xludf.DUMMYFUNCTION("""COMPUTED_VALUE"""),3.0)</f>
        <v>3</v>
      </c>
      <c r="G223" s="17">
        <f>IFERROR(__xludf.DUMMYFUNCTION("""COMPUTED_VALUE"""),1.4190427E7)</f>
        <v>14190427</v>
      </c>
      <c r="H223" s="17" t="str">
        <f>IFERROR(__xludf.DUMMYFUNCTION("""COMPUTED_VALUE"""),"арматура для леп")</f>
        <v>арматура для леп</v>
      </c>
      <c r="I223" s="18">
        <f>IFERROR(__xludf.DUMMYFUNCTION("""COMPUTED_VALUE"""),1.26)</f>
        <v>1.26</v>
      </c>
      <c r="J223" s="18">
        <f>IFERROR(__xludf.DUMMYFUNCTION("""COMPUTED_VALUE"""),2.53)</f>
        <v>2.53</v>
      </c>
      <c r="K223" s="18">
        <f>IFERROR(__xludf.DUMMYFUNCTION("""COMPUTED_VALUE"""),3.16)</f>
        <v>3.16</v>
      </c>
      <c r="L223" s="18">
        <f>IFERROR(__xludf.DUMMYFUNCTION("""COMPUTED_VALUE"""),5.05)</f>
        <v>5.05</v>
      </c>
    </row>
    <row r="224">
      <c r="A224" s="13" t="str">
        <f>IFERROR(__xludf.DUMMYFUNCTION("""COMPUTED_VALUE"""),"товари")</f>
        <v>товари</v>
      </c>
      <c r="B224" s="13" t="str">
        <f>IFERROR(__xludf.DUMMYFUNCTION("""COMPUTED_VALUE"""),"електрообладнання")</f>
        <v>електрообладнання</v>
      </c>
      <c r="C224" s="15" t="str">
        <f>IFERROR(__xludf.DUMMYFUNCTION("""COMPUTED_VALUE"""),"технічні вимикачі")</f>
        <v>технічні вимикачі</v>
      </c>
      <c r="D224" s="15" t="str">
        <f>IFERROR(__xludf.DUMMYFUNCTION("""COMPUTED_VALUE"""),"високовольтні вимикачі")</f>
        <v>високовольтні вимикачі</v>
      </c>
      <c r="E224" s="15" t="str">
        <f>IFERROR(__xludf.DUMMYFUNCTION("""COMPUTED_VALUE"""),"високовольтні вимикачі")</f>
        <v>високовольтні вимикачі</v>
      </c>
      <c r="F224" s="17">
        <f>IFERROR(__xludf.DUMMYFUNCTION("""COMPUTED_VALUE"""),3.0)</f>
        <v>3</v>
      </c>
      <c r="G224" s="17">
        <f>IFERROR(__xludf.DUMMYFUNCTION("""COMPUTED_VALUE"""),1.4190601E7)</f>
        <v>14190601</v>
      </c>
      <c r="H224" s="17" t="str">
        <f>IFERROR(__xludf.DUMMYFUNCTION("""COMPUTED_VALUE"""),"високовольтні вимикачі")</f>
        <v>високовольтні вимикачі</v>
      </c>
      <c r="I224" s="18">
        <f>IFERROR(__xludf.DUMMYFUNCTION("""COMPUTED_VALUE"""),1.17)</f>
        <v>1.17</v>
      </c>
      <c r="J224" s="18">
        <f>IFERROR(__xludf.DUMMYFUNCTION("""COMPUTED_VALUE"""),2.34)</f>
        <v>2.34</v>
      </c>
      <c r="K224" s="18">
        <f>IFERROR(__xludf.DUMMYFUNCTION("""COMPUTED_VALUE"""),2.92)</f>
        <v>2.92</v>
      </c>
      <c r="L224" s="18">
        <f>IFERROR(__xludf.DUMMYFUNCTION("""COMPUTED_VALUE"""),4.68)</f>
        <v>4.68</v>
      </c>
    </row>
    <row r="225">
      <c r="A225" s="13" t="str">
        <f>IFERROR(__xludf.DUMMYFUNCTION("""COMPUTED_VALUE"""),"товари")</f>
        <v>товари</v>
      </c>
      <c r="B225" s="13" t="str">
        <f>IFERROR(__xludf.DUMMYFUNCTION("""COMPUTED_VALUE"""),"електрообладнання")</f>
        <v>електрообладнання</v>
      </c>
      <c r="C225" s="15" t="str">
        <f>IFERROR(__xludf.DUMMYFUNCTION("""COMPUTED_VALUE"""),"електронні компоненти")</f>
        <v>електронні компоненти</v>
      </c>
      <c r="D225" s="15" t="str">
        <f>IFERROR(__xludf.DUMMYFUNCTION("""COMPUTED_VALUE"""),"пасивні компоненти")</f>
        <v>пасивні компоненти</v>
      </c>
      <c r="E225" s="15" t="str">
        <f>IFERROR(__xludf.DUMMYFUNCTION("""COMPUTED_VALUE"""),"друковані плати")</f>
        <v>друковані плати</v>
      </c>
      <c r="F225" s="17">
        <f>IFERROR(__xludf.DUMMYFUNCTION("""COMPUTED_VALUE"""),4.0)</f>
        <v>4</v>
      </c>
      <c r="G225" s="17">
        <f>IFERROR(__xludf.DUMMYFUNCTION("""COMPUTED_VALUE"""),521.0)</f>
        <v>521</v>
      </c>
      <c r="H225" s="17" t="str">
        <f>IFERROR(__xludf.DUMMYFUNCTION("""COMPUTED_VALUE"""),"друковані плати")</f>
        <v>друковані плати</v>
      </c>
      <c r="I225" s="18">
        <f>IFERROR(__xludf.DUMMYFUNCTION("""COMPUTED_VALUE"""),0.53)</f>
        <v>0.53</v>
      </c>
      <c r="J225" s="18">
        <f>IFERROR(__xludf.DUMMYFUNCTION("""COMPUTED_VALUE"""),1.05)</f>
        <v>1.05</v>
      </c>
      <c r="K225" s="18">
        <f>IFERROR(__xludf.DUMMYFUNCTION("""COMPUTED_VALUE"""),1.31)</f>
        <v>1.31</v>
      </c>
      <c r="L225" s="18">
        <f>IFERROR(__xludf.DUMMYFUNCTION("""COMPUTED_VALUE"""),2.1)</f>
        <v>2.1</v>
      </c>
    </row>
    <row r="226">
      <c r="A226" s="13" t="str">
        <f>IFERROR(__xludf.DUMMYFUNCTION("""COMPUTED_VALUE"""),"товари")</f>
        <v>товари</v>
      </c>
      <c r="B226" s="13" t="str">
        <f>IFERROR(__xludf.DUMMYFUNCTION("""COMPUTED_VALUE"""),"електрообладнання")</f>
        <v>електрообладнання</v>
      </c>
      <c r="C226" s="15" t="str">
        <f>IFERROR(__xludf.DUMMYFUNCTION("""COMPUTED_VALUE"""),"компоненти асутп")</f>
        <v>компоненти асутп</v>
      </c>
      <c r="D226" s="15" t="str">
        <f>IFERROR(__xludf.DUMMYFUNCTION("""COMPUTED_VALUE"""),"реле")</f>
        <v>реле</v>
      </c>
      <c r="E226" s="15" t="str">
        <f>IFERROR(__xludf.DUMMYFUNCTION("""COMPUTED_VALUE"""),"імпульсні реле")</f>
        <v>імпульсні реле</v>
      </c>
      <c r="F226" s="17">
        <f>IFERROR(__xludf.DUMMYFUNCTION("""COMPUTED_VALUE"""),4.0)</f>
        <v>4</v>
      </c>
      <c r="G226" s="17">
        <f>IFERROR(__xludf.DUMMYFUNCTION("""COMPUTED_VALUE"""),1.4190908E7)</f>
        <v>14190908</v>
      </c>
      <c r="H226" s="17" t="str">
        <f>IFERROR(__xludf.DUMMYFUNCTION("""COMPUTED_VALUE"""),"імпульсні реле")</f>
        <v>імпульсні реле</v>
      </c>
      <c r="I226" s="18">
        <f>IFERROR(__xludf.DUMMYFUNCTION("""COMPUTED_VALUE"""),0.86)</f>
        <v>0.86</v>
      </c>
      <c r="J226" s="18">
        <f>IFERROR(__xludf.DUMMYFUNCTION("""COMPUTED_VALUE"""),1.71)</f>
        <v>1.71</v>
      </c>
      <c r="K226" s="18">
        <f>IFERROR(__xludf.DUMMYFUNCTION("""COMPUTED_VALUE"""),2.14)</f>
        <v>2.14</v>
      </c>
      <c r="L226" s="18">
        <f>IFERROR(__xludf.DUMMYFUNCTION("""COMPUTED_VALUE"""),3.43)</f>
        <v>3.43</v>
      </c>
    </row>
    <row r="227">
      <c r="A227" s="13" t="str">
        <f>IFERROR(__xludf.DUMMYFUNCTION("""COMPUTED_VALUE"""),"товари")</f>
        <v>товари</v>
      </c>
      <c r="B227" s="13" t="str">
        <f>IFERROR(__xludf.DUMMYFUNCTION("""COMPUTED_VALUE"""),"електрообладнання")</f>
        <v>електрообладнання</v>
      </c>
      <c r="C227" s="15" t="str">
        <f>IFERROR(__xludf.DUMMYFUNCTION("""COMPUTED_VALUE"""),"монтажне обладнання")</f>
        <v>монтажне обладнання</v>
      </c>
      <c r="D227" s="15" t="str">
        <f>IFERROR(__xludf.DUMMYFUNCTION("""COMPUTED_VALUE"""),"мікроклімат для шаф")</f>
        <v>мікроклімат для шаф</v>
      </c>
      <c r="E227" s="15" t="str">
        <f>IFERROR(__xludf.DUMMYFUNCTION("""COMPUTED_VALUE"""),"мікроклімат для шаф")</f>
        <v>мікроклімат для шаф</v>
      </c>
      <c r="F227" s="17">
        <f>IFERROR(__xludf.DUMMYFUNCTION("""COMPUTED_VALUE"""),3.0)</f>
        <v>3</v>
      </c>
      <c r="G227" s="17">
        <f>IFERROR(__xludf.DUMMYFUNCTION("""COMPUTED_VALUE"""),5092915.0)</f>
        <v>5092915</v>
      </c>
      <c r="H227" s="17" t="str">
        <f>IFERROR(__xludf.DUMMYFUNCTION("""COMPUTED_VALUE"""),"мікроклімат для шаф")</f>
        <v>мікроклімат для шаф</v>
      </c>
      <c r="I227" s="18">
        <f>IFERROR(__xludf.DUMMYFUNCTION("""COMPUTED_VALUE"""),0.76)</f>
        <v>0.76</v>
      </c>
      <c r="J227" s="18">
        <f>IFERROR(__xludf.DUMMYFUNCTION("""COMPUTED_VALUE"""),1.53)</f>
        <v>1.53</v>
      </c>
      <c r="K227" s="18">
        <f>IFERROR(__xludf.DUMMYFUNCTION("""COMPUTED_VALUE"""),1.91)</f>
        <v>1.91</v>
      </c>
      <c r="L227" s="18">
        <f>IFERROR(__xludf.DUMMYFUNCTION("""COMPUTED_VALUE"""),3.05)</f>
        <v>3.05</v>
      </c>
    </row>
    <row r="228">
      <c r="A228" s="13" t="str">
        <f>IFERROR(__xludf.DUMMYFUNCTION("""COMPUTED_VALUE"""),"товари")</f>
        <v>товари</v>
      </c>
      <c r="B228" s="13" t="str">
        <f>IFERROR(__xludf.DUMMYFUNCTION("""COMPUTED_VALUE"""),"електрообладнання")</f>
        <v>електрообладнання</v>
      </c>
      <c r="C228" s="15" t="str">
        <f>IFERROR(__xludf.DUMMYFUNCTION("""COMPUTED_VALUE"""),"освітлення, електрика")</f>
        <v>освітлення, електрика</v>
      </c>
      <c r="D228" s="15" t="str">
        <f>IFERROR(__xludf.DUMMYFUNCTION("""COMPUTED_VALUE"""),"офісно-торгове освітлення")</f>
        <v>офісно-торгове освітлення</v>
      </c>
      <c r="E228" s="15" t="str">
        <f>IFERROR(__xludf.DUMMYFUNCTION("""COMPUTED_VALUE"""),"офісно-торгове освітлення")</f>
        <v>офісно-торгове освітлення</v>
      </c>
      <c r="F228" s="17">
        <f>IFERROR(__xludf.DUMMYFUNCTION("""COMPUTED_VALUE"""),3.0)</f>
        <v>3</v>
      </c>
      <c r="G228" s="17">
        <f>IFERROR(__xludf.DUMMYFUNCTION("""COMPUTED_VALUE"""),150417.0)</f>
        <v>150417</v>
      </c>
      <c r="H228" s="17" t="str">
        <f>IFERROR(__xludf.DUMMYFUNCTION("""COMPUTED_VALUE"""),"офісно-торгове освітлення")</f>
        <v>офісно-торгове освітлення</v>
      </c>
      <c r="I228" s="18">
        <f>IFERROR(__xludf.DUMMYFUNCTION("""COMPUTED_VALUE"""),2.21)</f>
        <v>2.21</v>
      </c>
      <c r="J228" s="18">
        <f>IFERROR(__xludf.DUMMYFUNCTION("""COMPUTED_VALUE"""),4.41)</f>
        <v>4.41</v>
      </c>
      <c r="K228" s="18">
        <f>IFERROR(__xludf.DUMMYFUNCTION("""COMPUTED_VALUE"""),5.52)</f>
        <v>5.52</v>
      </c>
      <c r="L228" s="18">
        <f>IFERROR(__xludf.DUMMYFUNCTION("""COMPUTED_VALUE"""),8.83)</f>
        <v>8.83</v>
      </c>
    </row>
    <row r="229">
      <c r="A229" s="13" t="str">
        <f>IFERROR(__xludf.DUMMYFUNCTION("""COMPUTED_VALUE"""),"товари")</f>
        <v>товари</v>
      </c>
      <c r="B229" s="13" t="str">
        <f>IFERROR(__xludf.DUMMYFUNCTION("""COMPUTED_VALUE"""),"електрообладнання")</f>
        <v>електрообладнання</v>
      </c>
      <c r="C229" s="15" t="str">
        <f>IFERROR(__xludf.DUMMYFUNCTION("""COMPUTED_VALUE"""),"компоненти асутп")</f>
        <v>компоненти асутп</v>
      </c>
      <c r="D229" s="15" t="str">
        <f>IFERROR(__xludf.DUMMYFUNCTION("""COMPUTED_VALUE"""),"реле")</f>
        <v>реле</v>
      </c>
      <c r="E229" s="15" t="str">
        <f>IFERROR(__xludf.DUMMYFUNCTION("""COMPUTED_VALUE"""),"перемикачі потоків")</f>
        <v>перемикачі потоків</v>
      </c>
      <c r="F229" s="17">
        <f>IFERROR(__xludf.DUMMYFUNCTION("""COMPUTED_VALUE"""),4.0)</f>
        <v>4</v>
      </c>
      <c r="G229" s="17">
        <f>IFERROR(__xludf.DUMMYFUNCTION("""COMPUTED_VALUE"""),410602.0)</f>
        <v>410602</v>
      </c>
      <c r="H229" s="17" t="str">
        <f>IFERROR(__xludf.DUMMYFUNCTION("""COMPUTED_VALUE"""),"перемикачі потоків")</f>
        <v>перемикачі потоків</v>
      </c>
      <c r="I229" s="18">
        <f>IFERROR(__xludf.DUMMYFUNCTION("""COMPUTED_VALUE"""),0.86)</f>
        <v>0.86</v>
      </c>
      <c r="J229" s="18">
        <f>IFERROR(__xludf.DUMMYFUNCTION("""COMPUTED_VALUE"""),1.71)</f>
        <v>1.71</v>
      </c>
      <c r="K229" s="18">
        <f>IFERROR(__xludf.DUMMYFUNCTION("""COMPUTED_VALUE"""),2.14)</f>
        <v>2.14</v>
      </c>
      <c r="L229" s="18">
        <f>IFERROR(__xludf.DUMMYFUNCTION("""COMPUTED_VALUE"""),3.43)</f>
        <v>3.43</v>
      </c>
    </row>
    <row r="230">
      <c r="A230" s="13" t="str">
        <f>IFERROR(__xludf.DUMMYFUNCTION("""COMPUTED_VALUE"""),"товари")</f>
        <v>товари</v>
      </c>
      <c r="B230" s="13" t="str">
        <f>IFERROR(__xludf.DUMMYFUNCTION("""COMPUTED_VALUE"""),"електрообладнання")</f>
        <v>електрообладнання</v>
      </c>
      <c r="C230" s="15" t="str">
        <f>IFERROR(__xludf.DUMMYFUNCTION("""COMPUTED_VALUE"""),"компоненти асутп")</f>
        <v>компоненти асутп</v>
      </c>
      <c r="D230" s="15" t="str">
        <f>IFERROR(__xludf.DUMMYFUNCTION("""COMPUTED_VALUE"""),"перетворювачі")</f>
        <v>перетворювачі</v>
      </c>
      <c r="E230" s="15" t="str">
        <f>IFERROR(__xludf.DUMMYFUNCTION("""COMPUTED_VALUE"""),"перетворювачі частоти")</f>
        <v>перетворювачі частоти</v>
      </c>
      <c r="F230" s="17">
        <f>IFERROR(__xludf.DUMMYFUNCTION("""COMPUTED_VALUE"""),4.0)</f>
        <v>4</v>
      </c>
      <c r="G230" s="17">
        <f>IFERROR(__xludf.DUMMYFUNCTION("""COMPUTED_VALUE"""),5140404.0)</f>
        <v>5140404</v>
      </c>
      <c r="H230" s="17" t="str">
        <f>IFERROR(__xludf.DUMMYFUNCTION("""COMPUTED_VALUE"""),"перетворювачі частоти")</f>
        <v>перетворювачі частоти</v>
      </c>
      <c r="I230" s="18">
        <f>IFERROR(__xludf.DUMMYFUNCTION("""COMPUTED_VALUE"""),1.94)</f>
        <v>1.94</v>
      </c>
      <c r="J230" s="18">
        <f>IFERROR(__xludf.DUMMYFUNCTION("""COMPUTED_VALUE"""),3.88)</f>
        <v>3.88</v>
      </c>
      <c r="K230" s="18">
        <f>IFERROR(__xludf.DUMMYFUNCTION("""COMPUTED_VALUE"""),4.84)</f>
        <v>4.84</v>
      </c>
      <c r="L230" s="18">
        <f>IFERROR(__xludf.DUMMYFUNCTION("""COMPUTED_VALUE"""),7.75)</f>
        <v>7.75</v>
      </c>
    </row>
    <row r="231">
      <c r="A231" s="13" t="str">
        <f>IFERROR(__xludf.DUMMYFUNCTION("""COMPUTED_VALUE"""),"товари")</f>
        <v>товари</v>
      </c>
      <c r="B231" s="13" t="str">
        <f>IFERROR(__xludf.DUMMYFUNCTION("""COMPUTED_VALUE"""),"електрообладнання")</f>
        <v>електрообладнання</v>
      </c>
      <c r="C231" s="15" t="str">
        <f>IFERROR(__xludf.DUMMYFUNCTION("""COMPUTED_VALUE"""),"технічні вимикачі")</f>
        <v>технічні вимикачі</v>
      </c>
      <c r="D231" s="15" t="str">
        <f>IFERROR(__xludf.DUMMYFUNCTION("""COMPUTED_VALUE"""),"пневматичні вимикачі")</f>
        <v>пневматичні вимикачі</v>
      </c>
      <c r="E231" s="15" t="str">
        <f>IFERROR(__xludf.DUMMYFUNCTION("""COMPUTED_VALUE"""),"пневматичні вимикачі")</f>
        <v>пневматичні вимикачі</v>
      </c>
      <c r="F231" s="17">
        <f>IFERROR(__xludf.DUMMYFUNCTION("""COMPUTED_VALUE"""),3.0)</f>
        <v>3</v>
      </c>
      <c r="G231" s="17">
        <f>IFERROR(__xludf.DUMMYFUNCTION("""COMPUTED_VALUE"""),410604.0)</f>
        <v>410604</v>
      </c>
      <c r="H231" s="17" t="str">
        <f>IFERROR(__xludf.DUMMYFUNCTION("""COMPUTED_VALUE"""),"пневматичні вимикачі")</f>
        <v>пневматичні вимикачі</v>
      </c>
      <c r="I231" s="18">
        <f>IFERROR(__xludf.DUMMYFUNCTION("""COMPUTED_VALUE"""),0.53)</f>
        <v>0.53</v>
      </c>
      <c r="J231" s="18">
        <f>IFERROR(__xludf.DUMMYFUNCTION("""COMPUTED_VALUE"""),1.05)</f>
        <v>1.05</v>
      </c>
      <c r="K231" s="18">
        <f>IFERROR(__xludf.DUMMYFUNCTION("""COMPUTED_VALUE"""),1.31)</f>
        <v>1.31</v>
      </c>
      <c r="L231" s="18">
        <f>IFERROR(__xludf.DUMMYFUNCTION("""COMPUTED_VALUE"""),2.1)</f>
        <v>2.1</v>
      </c>
    </row>
    <row r="232">
      <c r="A232" s="13" t="str">
        <f>IFERROR(__xludf.DUMMYFUNCTION("""COMPUTED_VALUE"""),"товари")</f>
        <v>товари</v>
      </c>
      <c r="B232" s="13" t="str">
        <f>IFERROR(__xludf.DUMMYFUNCTION("""COMPUTED_VALUE"""),"електрообладнання")</f>
        <v>електрообладнання</v>
      </c>
      <c r="C232" s="15" t="str">
        <f>IFERROR(__xludf.DUMMYFUNCTION("""COMPUTED_VALUE"""),"компоненти асутп")</f>
        <v>компоненти асутп</v>
      </c>
      <c r="D232" s="15" t="str">
        <f>IFERROR(__xludf.DUMMYFUNCTION("""COMPUTED_VALUE"""),"пристрої плавного пуску")</f>
        <v>пристрої плавного пуску</v>
      </c>
      <c r="E232" s="15" t="str">
        <f>IFERROR(__xludf.DUMMYFUNCTION("""COMPUTED_VALUE"""),"пристрої плавного пуску")</f>
        <v>пристрої плавного пуску</v>
      </c>
      <c r="F232" s="17">
        <f>IFERROR(__xludf.DUMMYFUNCTION("""COMPUTED_VALUE"""),3.0)</f>
        <v>3</v>
      </c>
      <c r="G232" s="17">
        <f>IFERROR(__xludf.DUMMYFUNCTION("""COMPUTED_VALUE"""),141501.0)</f>
        <v>141501</v>
      </c>
      <c r="H232" s="17" t="str">
        <f>IFERROR(__xludf.DUMMYFUNCTION("""COMPUTED_VALUE"""),"пристрої плавного пуску")</f>
        <v>пристрої плавного пуску</v>
      </c>
      <c r="I232" s="18">
        <f>IFERROR(__xludf.DUMMYFUNCTION("""COMPUTED_VALUE"""),1.44)</f>
        <v>1.44</v>
      </c>
      <c r="J232" s="18">
        <f>IFERROR(__xludf.DUMMYFUNCTION("""COMPUTED_VALUE"""),2.88)</f>
        <v>2.88</v>
      </c>
      <c r="K232" s="18">
        <f>IFERROR(__xludf.DUMMYFUNCTION("""COMPUTED_VALUE"""),3.59)</f>
        <v>3.59</v>
      </c>
      <c r="L232" s="18">
        <f>IFERROR(__xludf.DUMMYFUNCTION("""COMPUTED_VALUE"""),5.75)</f>
        <v>5.75</v>
      </c>
    </row>
    <row r="233">
      <c r="A233" s="13" t="str">
        <f>IFERROR(__xludf.DUMMYFUNCTION("""COMPUTED_VALUE"""),"товари")</f>
        <v>товари</v>
      </c>
      <c r="B233" s="13" t="str">
        <f>IFERROR(__xludf.DUMMYFUNCTION("""COMPUTED_VALUE"""),"електрообладнання")</f>
        <v>електрообладнання</v>
      </c>
      <c r="C233" s="15" t="str">
        <f>IFERROR(__xludf.DUMMYFUNCTION("""COMPUTED_VALUE"""),"компоненти асутп")</f>
        <v>компоненти асутп</v>
      </c>
      <c r="D233" s="15" t="str">
        <f>IFERROR(__xludf.DUMMYFUNCTION("""COMPUTED_VALUE"""),"програмовані контролери")</f>
        <v>програмовані контролери</v>
      </c>
      <c r="E233" s="15" t="str">
        <f>IFERROR(__xludf.DUMMYFUNCTION("""COMPUTED_VALUE"""),"програмовані контролери")</f>
        <v>програмовані контролери</v>
      </c>
      <c r="F233" s="17">
        <f>IFERROR(__xludf.DUMMYFUNCTION("""COMPUTED_VALUE"""),3.0)</f>
        <v>3</v>
      </c>
      <c r="G233" s="17">
        <f>IFERROR(__xludf.DUMMYFUNCTION("""COMPUTED_VALUE"""),504.0)</f>
        <v>504</v>
      </c>
      <c r="H233" s="17" t="str">
        <f>IFERROR(__xludf.DUMMYFUNCTION("""COMPUTED_VALUE"""),"програмовані контролери")</f>
        <v>програмовані контролери</v>
      </c>
      <c r="I233" s="18">
        <f>IFERROR(__xludf.DUMMYFUNCTION("""COMPUTED_VALUE"""),1.39)</f>
        <v>1.39</v>
      </c>
      <c r="J233" s="18">
        <f>IFERROR(__xludf.DUMMYFUNCTION("""COMPUTED_VALUE"""),2.79)</f>
        <v>2.79</v>
      </c>
      <c r="K233" s="18">
        <f>IFERROR(__xludf.DUMMYFUNCTION("""COMPUTED_VALUE"""),3.48)</f>
        <v>3.48</v>
      </c>
      <c r="L233" s="18">
        <f>IFERROR(__xludf.DUMMYFUNCTION("""COMPUTED_VALUE"""),5.58)</f>
        <v>5.58</v>
      </c>
    </row>
    <row r="234">
      <c r="A234" s="13" t="str">
        <f>IFERROR(__xludf.DUMMYFUNCTION("""COMPUTED_VALUE"""),"товари")</f>
        <v>товари</v>
      </c>
      <c r="B234" s="13" t="str">
        <f>IFERROR(__xludf.DUMMYFUNCTION("""COMPUTED_VALUE"""),"електрообладнання")</f>
        <v>електрообладнання</v>
      </c>
      <c r="C234" s="15" t="str">
        <f>IFERROR(__xludf.DUMMYFUNCTION("""COMPUTED_VALUE"""),"компоненти асутп")</f>
        <v>компоненти асутп</v>
      </c>
      <c r="D234" s="15" t="str">
        <f>IFERROR(__xludf.DUMMYFUNCTION("""COMPUTED_VALUE"""),"реле")</f>
        <v>реле</v>
      </c>
      <c r="E234" s="15" t="str">
        <f>IFERROR(__xludf.DUMMYFUNCTION("""COMPUTED_VALUE"""),"проміжні реле")</f>
        <v>проміжні реле</v>
      </c>
      <c r="F234" s="17">
        <f>IFERROR(__xludf.DUMMYFUNCTION("""COMPUTED_VALUE"""),4.0)</f>
        <v>4</v>
      </c>
      <c r="G234" s="17">
        <f>IFERROR(__xludf.DUMMYFUNCTION("""COMPUTED_VALUE"""),1.4190907E7)</f>
        <v>14190907</v>
      </c>
      <c r="H234" s="17" t="str">
        <f>IFERROR(__xludf.DUMMYFUNCTION("""COMPUTED_VALUE"""),"проміжні реле")</f>
        <v>проміжні реле</v>
      </c>
      <c r="I234" s="18">
        <f>IFERROR(__xludf.DUMMYFUNCTION("""COMPUTED_VALUE"""),0.86)</f>
        <v>0.86</v>
      </c>
      <c r="J234" s="18">
        <f>IFERROR(__xludf.DUMMYFUNCTION("""COMPUTED_VALUE"""),1.71)</f>
        <v>1.71</v>
      </c>
      <c r="K234" s="18">
        <f>IFERROR(__xludf.DUMMYFUNCTION("""COMPUTED_VALUE"""),2.14)</f>
        <v>2.14</v>
      </c>
      <c r="L234" s="18">
        <f>IFERROR(__xludf.DUMMYFUNCTION("""COMPUTED_VALUE"""),3.43)</f>
        <v>3.43</v>
      </c>
    </row>
    <row r="235">
      <c r="A235" s="13" t="str">
        <f>IFERROR(__xludf.DUMMYFUNCTION("""COMPUTED_VALUE"""),"товари")</f>
        <v>товари</v>
      </c>
      <c r="B235" s="13" t="str">
        <f>IFERROR(__xludf.DUMMYFUNCTION("""COMPUTED_VALUE"""),"електрообладнання")</f>
        <v>електрообладнання</v>
      </c>
      <c r="C235" s="15" t="str">
        <f>IFERROR(__xludf.DUMMYFUNCTION("""COMPUTED_VALUE"""),"компоненти асутп")</f>
        <v>компоненти асутп</v>
      </c>
      <c r="D235" s="15" t="str">
        <f>IFERROR(__xludf.DUMMYFUNCTION("""COMPUTED_VALUE"""),"реле")</f>
        <v>реле</v>
      </c>
      <c r="E235" s="15" t="str">
        <f>IFERROR(__xludf.DUMMYFUNCTION("""COMPUTED_VALUE"""),"реле частоти")</f>
        <v>реле частоти</v>
      </c>
      <c r="F235" s="17">
        <f>IFERROR(__xludf.DUMMYFUNCTION("""COMPUTED_VALUE"""),4.0)</f>
        <v>4</v>
      </c>
      <c r="G235" s="17">
        <f>IFERROR(__xludf.DUMMYFUNCTION("""COMPUTED_VALUE"""),1.4190911E7)</f>
        <v>14190911</v>
      </c>
      <c r="H235" s="17" t="str">
        <f>IFERROR(__xludf.DUMMYFUNCTION("""COMPUTED_VALUE"""),"реле частоти")</f>
        <v>реле частоти</v>
      </c>
      <c r="I235" s="18">
        <f>IFERROR(__xludf.DUMMYFUNCTION("""COMPUTED_VALUE"""),0.86)</f>
        <v>0.86</v>
      </c>
      <c r="J235" s="18">
        <f>IFERROR(__xludf.DUMMYFUNCTION("""COMPUTED_VALUE"""),1.71)</f>
        <v>1.71</v>
      </c>
      <c r="K235" s="18">
        <f>IFERROR(__xludf.DUMMYFUNCTION("""COMPUTED_VALUE"""),2.14)</f>
        <v>2.14</v>
      </c>
      <c r="L235" s="18">
        <f>IFERROR(__xludf.DUMMYFUNCTION("""COMPUTED_VALUE"""),3.43)</f>
        <v>3.43</v>
      </c>
    </row>
    <row r="236">
      <c r="A236" s="13" t="str">
        <f>IFERROR(__xludf.DUMMYFUNCTION("""COMPUTED_VALUE"""),"товари")</f>
        <v>товари</v>
      </c>
      <c r="B236" s="13" t="str">
        <f>IFERROR(__xludf.DUMMYFUNCTION("""COMPUTED_VALUE"""),"електрообладнання")</f>
        <v>електрообладнання</v>
      </c>
      <c r="C236" s="15" t="str">
        <f>IFERROR(__xludf.DUMMYFUNCTION("""COMPUTED_VALUE"""),"компоненти асутп")</f>
        <v>компоненти асутп</v>
      </c>
      <c r="D236" s="15" t="str">
        <f>IFERROR(__xludf.DUMMYFUNCTION("""COMPUTED_VALUE"""),"системи автоматичного управління")</f>
        <v>системи автоматичного управління</v>
      </c>
      <c r="E236" s="15" t="str">
        <f>IFERROR(__xludf.DUMMYFUNCTION("""COMPUTED_VALUE"""),"системи автоматичного управління")</f>
        <v>системи автоматичного управління</v>
      </c>
      <c r="F236" s="17">
        <f>IFERROR(__xludf.DUMMYFUNCTION("""COMPUTED_VALUE"""),3.0)</f>
        <v>3</v>
      </c>
      <c r="G236" s="17">
        <f>IFERROR(__xludf.DUMMYFUNCTION("""COMPUTED_VALUE"""),51401.0)</f>
        <v>51401</v>
      </c>
      <c r="H236" s="17" t="str">
        <f>IFERROR(__xludf.DUMMYFUNCTION("""COMPUTED_VALUE"""),"системи автоматичного управління")</f>
        <v>системи автоматичного управління</v>
      </c>
      <c r="I236" s="18">
        <f>IFERROR(__xludf.DUMMYFUNCTION("""COMPUTED_VALUE"""),1.31)</f>
        <v>1.31</v>
      </c>
      <c r="J236" s="18">
        <f>IFERROR(__xludf.DUMMYFUNCTION("""COMPUTED_VALUE"""),2.61)</f>
        <v>2.61</v>
      </c>
      <c r="K236" s="18">
        <f>IFERROR(__xludf.DUMMYFUNCTION("""COMPUTED_VALUE"""),3.27)</f>
        <v>3.27</v>
      </c>
      <c r="L236" s="18">
        <f>IFERROR(__xludf.DUMMYFUNCTION("""COMPUTED_VALUE"""),5.23)</f>
        <v>5.23</v>
      </c>
    </row>
    <row r="237">
      <c r="A237" s="13" t="str">
        <f>IFERROR(__xludf.DUMMYFUNCTION("""COMPUTED_VALUE"""),"товари")</f>
        <v>товари</v>
      </c>
      <c r="B237" s="13" t="str">
        <f>IFERROR(__xludf.DUMMYFUNCTION("""COMPUTED_VALUE"""),"електрообладнання")</f>
        <v>електрообладнання</v>
      </c>
      <c r="C237" s="15" t="str">
        <f>IFERROR(__xludf.DUMMYFUNCTION("""COMPUTED_VALUE"""),"електронні компоненти")</f>
        <v>електронні компоненти</v>
      </c>
      <c r="D237" s="15" t="str">
        <f>IFERROR(__xludf.DUMMYFUNCTION("""COMPUTED_VALUE"""),"активні компоненти")</f>
        <v>активні компоненти</v>
      </c>
      <c r="E237" s="15" t="str">
        <f>IFERROR(__xludf.DUMMYFUNCTION("""COMPUTED_VALUE"""),"тиристори та симістори")</f>
        <v>тиристори та симістори</v>
      </c>
      <c r="F237" s="17">
        <f>IFERROR(__xludf.DUMMYFUNCTION("""COMPUTED_VALUE"""),4.0)</f>
        <v>4</v>
      </c>
      <c r="G237" s="17">
        <f>IFERROR(__xludf.DUMMYFUNCTION("""COMPUTED_VALUE"""),400106.0)</f>
        <v>400106</v>
      </c>
      <c r="H237" s="17" t="str">
        <f>IFERROR(__xludf.DUMMYFUNCTION("""COMPUTED_VALUE"""),"тиристори та симістори")</f>
        <v>тиристори та симістори</v>
      </c>
      <c r="I237" s="18">
        <f>IFERROR(__xludf.DUMMYFUNCTION("""COMPUTED_VALUE"""),1.17)</f>
        <v>1.17</v>
      </c>
      <c r="J237" s="18">
        <f>IFERROR(__xludf.DUMMYFUNCTION("""COMPUTED_VALUE"""),2.34)</f>
        <v>2.34</v>
      </c>
      <c r="K237" s="18">
        <f>IFERROR(__xludf.DUMMYFUNCTION("""COMPUTED_VALUE"""),2.92)</f>
        <v>2.92</v>
      </c>
      <c r="L237" s="18">
        <f>IFERROR(__xludf.DUMMYFUNCTION("""COMPUTED_VALUE"""),4.68)</f>
        <v>4.68</v>
      </c>
    </row>
    <row r="238">
      <c r="A238" s="13" t="str">
        <f>IFERROR(__xludf.DUMMYFUNCTION("""COMPUTED_VALUE"""),"товари")</f>
        <v>товари</v>
      </c>
      <c r="B238" s="13" t="str">
        <f>IFERROR(__xludf.DUMMYFUNCTION("""COMPUTED_VALUE"""),"електрообладнання")</f>
        <v>електрообладнання</v>
      </c>
      <c r="C238" s="15" t="str">
        <f>IFERROR(__xludf.DUMMYFUNCTION("""COMPUTED_VALUE"""),"обладнання для електропостачання")</f>
        <v>обладнання для електропостачання</v>
      </c>
      <c r="D238" s="15" t="str">
        <f>IFERROR(__xludf.DUMMYFUNCTION("""COMPUTED_VALUE"""),"трансформатори")</f>
        <v>трансформатори</v>
      </c>
      <c r="E238" s="15" t="str">
        <f>IFERROR(__xludf.DUMMYFUNCTION("""COMPUTED_VALUE"""),"трансформатори напруги")</f>
        <v>трансформатори напруги</v>
      </c>
      <c r="F238" s="17">
        <f>IFERROR(__xludf.DUMMYFUNCTION("""COMPUTED_VALUE"""),4.0)</f>
        <v>4</v>
      </c>
      <c r="G238" s="17">
        <f>IFERROR(__xludf.DUMMYFUNCTION("""COMPUTED_VALUE"""),1.4190703E7)</f>
        <v>14190703</v>
      </c>
      <c r="H238" s="17" t="str">
        <f>IFERROR(__xludf.DUMMYFUNCTION("""COMPUTED_VALUE"""),"трансформатори напруги")</f>
        <v>трансформатори напруги</v>
      </c>
      <c r="I238" s="18">
        <f>IFERROR(__xludf.DUMMYFUNCTION("""COMPUTED_VALUE"""),1.71)</f>
        <v>1.71</v>
      </c>
      <c r="J238" s="18">
        <f>IFERROR(__xludf.DUMMYFUNCTION("""COMPUTED_VALUE"""),3.43)</f>
        <v>3.43</v>
      </c>
      <c r="K238" s="18">
        <f>IFERROR(__xludf.DUMMYFUNCTION("""COMPUTED_VALUE"""),4.28)</f>
        <v>4.28</v>
      </c>
      <c r="L238" s="18">
        <f>IFERROR(__xludf.DUMMYFUNCTION("""COMPUTED_VALUE"""),6.85)</f>
        <v>6.85</v>
      </c>
    </row>
    <row r="239">
      <c r="A239" s="13" t="str">
        <f>IFERROR(__xludf.DUMMYFUNCTION("""COMPUTED_VALUE"""),"товари")</f>
        <v>товари</v>
      </c>
      <c r="B239" s="13" t="str">
        <f>IFERROR(__xludf.DUMMYFUNCTION("""COMPUTED_VALUE"""),"електрообладнання")</f>
        <v>електрообладнання</v>
      </c>
      <c r="C239" s="15" t="str">
        <f>IFERROR(__xludf.DUMMYFUNCTION("""COMPUTED_VALUE"""),"обладнання для електропостачання")</f>
        <v>обладнання для електропостачання</v>
      </c>
      <c r="D239" s="15" t="str">
        <f>IFERROR(__xludf.DUMMYFUNCTION("""COMPUTED_VALUE"""),"трансформатори")</f>
        <v>трансформатори</v>
      </c>
      <c r="E239" s="15" t="str">
        <f>IFERROR(__xludf.DUMMYFUNCTION("""COMPUTED_VALUE"""),"трансформаторні підстанції")</f>
        <v>трансформаторні підстанції</v>
      </c>
      <c r="F239" s="17">
        <f>IFERROR(__xludf.DUMMYFUNCTION("""COMPUTED_VALUE"""),4.0)</f>
        <v>4</v>
      </c>
      <c r="G239" s="17">
        <f>IFERROR(__xludf.DUMMYFUNCTION("""COMPUTED_VALUE"""),410501.0)</f>
        <v>410501</v>
      </c>
      <c r="H239" s="17" t="str">
        <f>IFERROR(__xludf.DUMMYFUNCTION("""COMPUTED_VALUE"""),"трансформаторні підстанції")</f>
        <v>трансформаторні підстанції</v>
      </c>
      <c r="I239" s="18">
        <f>IFERROR(__xludf.DUMMYFUNCTION("""COMPUTED_VALUE"""),1.71)</f>
        <v>1.71</v>
      </c>
      <c r="J239" s="18">
        <f>IFERROR(__xludf.DUMMYFUNCTION("""COMPUTED_VALUE"""),3.43)</f>
        <v>3.43</v>
      </c>
      <c r="K239" s="18">
        <f>IFERROR(__xludf.DUMMYFUNCTION("""COMPUTED_VALUE"""),4.28)</f>
        <v>4.28</v>
      </c>
      <c r="L239" s="18">
        <f>IFERROR(__xludf.DUMMYFUNCTION("""COMPUTED_VALUE"""),6.85)</f>
        <v>6.85</v>
      </c>
    </row>
    <row r="240">
      <c r="A240" s="13" t="str">
        <f>IFERROR(__xludf.DUMMYFUNCTION("""COMPUTED_VALUE"""),"товари")</f>
        <v>товари</v>
      </c>
      <c r="B240" s="13" t="str">
        <f>IFERROR(__xludf.DUMMYFUNCTION("""COMPUTED_VALUE"""),"електрообладнання")</f>
        <v>електрообладнання</v>
      </c>
      <c r="C240" s="15" t="str">
        <f>IFERROR(__xludf.DUMMYFUNCTION("""COMPUTED_VALUE"""),"електронні компоненти")</f>
        <v>електронні компоненти</v>
      </c>
      <c r="D240" s="15" t="str">
        <f>IFERROR(__xludf.DUMMYFUNCTION("""COMPUTED_VALUE"""),"пасивні компоненти")</f>
        <v>пасивні компоненти</v>
      </c>
      <c r="E240" s="15" t="str">
        <f>IFERROR(__xludf.DUMMYFUNCTION("""COMPUTED_VALUE"""),"ферити та феритові вироби")</f>
        <v>ферити та феритові вироби</v>
      </c>
      <c r="F240" s="17">
        <f>IFERROR(__xludf.DUMMYFUNCTION("""COMPUTED_VALUE"""),4.0)</f>
        <v>4</v>
      </c>
      <c r="G240" s="17">
        <f>IFERROR(__xludf.DUMMYFUNCTION("""COMPUTED_VALUE"""),400506.0)</f>
        <v>400506</v>
      </c>
      <c r="H240" s="17" t="str">
        <f>IFERROR(__xludf.DUMMYFUNCTION("""COMPUTED_VALUE"""),"ферити та феритові вироби")</f>
        <v>ферити та феритові вироби</v>
      </c>
      <c r="I240" s="18">
        <f>IFERROR(__xludf.DUMMYFUNCTION("""COMPUTED_VALUE"""),0.53)</f>
        <v>0.53</v>
      </c>
      <c r="J240" s="18">
        <f>IFERROR(__xludf.DUMMYFUNCTION("""COMPUTED_VALUE"""),1.05)</f>
        <v>1.05</v>
      </c>
      <c r="K240" s="18">
        <f>IFERROR(__xludf.DUMMYFUNCTION("""COMPUTED_VALUE"""),1.31)</f>
        <v>1.31</v>
      </c>
      <c r="L240" s="18">
        <f>IFERROR(__xludf.DUMMYFUNCTION("""COMPUTED_VALUE"""),2.1)</f>
        <v>2.1</v>
      </c>
    </row>
    <row r="241">
      <c r="A241" s="13" t="str">
        <f>IFERROR(__xludf.DUMMYFUNCTION("""COMPUTED_VALUE"""),"послуги")</f>
        <v>послуги</v>
      </c>
      <c r="B241" s="13" t="str">
        <f>IFERROR(__xludf.DUMMYFUNCTION("""COMPUTED_VALUE"""),"захист навколишнього середовища")</f>
        <v>захист навколишнього середовища</v>
      </c>
      <c r="C241" s="15" t="str">
        <f>IFERROR(__xludf.DUMMYFUNCTION("""COMPUTED_VALUE"""),"послуги аналізу та очищення води")</f>
        <v>послуги аналізу та очищення води</v>
      </c>
      <c r="D241" s="15" t="str">
        <f>IFERROR(__xludf.DUMMYFUNCTION("""COMPUTED_VALUE"""),"послуги аналізу та очищення води")</f>
        <v>послуги аналізу та очищення води</v>
      </c>
      <c r="E241" s="15" t="str">
        <f>IFERROR(__xludf.DUMMYFUNCTION("""COMPUTED_VALUE"""),"послуги аналізу та очищення води")</f>
        <v>послуги аналізу та очищення води</v>
      </c>
      <c r="F241" s="17">
        <f>IFERROR(__xludf.DUMMYFUNCTION("""COMPUTED_VALUE"""),2.0)</f>
        <v>2</v>
      </c>
      <c r="G241" s="17">
        <f>IFERROR(__xludf.DUMMYFUNCTION("""COMPUTED_VALUE"""),1101.0)</f>
        <v>1101</v>
      </c>
      <c r="H241" s="17" t="str">
        <f>IFERROR(__xludf.DUMMYFUNCTION("""COMPUTED_VALUE"""),"послуги аналізу та очищення води")</f>
        <v>послуги аналізу та очищення води</v>
      </c>
      <c r="I241" s="18">
        <f>IFERROR(__xludf.DUMMYFUNCTION("""COMPUTED_VALUE"""),1.04)</f>
        <v>1.04</v>
      </c>
      <c r="J241" s="18">
        <f>IFERROR(__xludf.DUMMYFUNCTION("""COMPUTED_VALUE"""),2.08)</f>
        <v>2.08</v>
      </c>
      <c r="K241" s="18">
        <f>IFERROR(__xludf.DUMMYFUNCTION("""COMPUTED_VALUE"""),2.59)</f>
        <v>2.59</v>
      </c>
      <c r="L241" s="18">
        <f>IFERROR(__xludf.DUMMYFUNCTION("""COMPUTED_VALUE"""),4.15)</f>
        <v>4.15</v>
      </c>
    </row>
    <row r="242">
      <c r="A242" s="13" t="str">
        <f>IFERROR(__xludf.DUMMYFUNCTION("""COMPUTED_VALUE"""),"товари")</f>
        <v>товари</v>
      </c>
      <c r="B242" s="13" t="str">
        <f>IFERROR(__xludf.DUMMYFUNCTION("""COMPUTED_VALUE"""),"зоотовари")</f>
        <v>зоотовари</v>
      </c>
      <c r="C242" s="15" t="str">
        <f>IFERROR(__xludf.DUMMYFUNCTION("""COMPUTED_VALUE"""),"домашні тварини та комахи")</f>
        <v>домашні тварини та комахи</v>
      </c>
      <c r="D242" s="15" t="str">
        <f>IFERROR(__xludf.DUMMYFUNCTION("""COMPUTED_VALUE"""),"домашні тварини та комахи")</f>
        <v>домашні тварини та комахи</v>
      </c>
      <c r="E242" s="15" t="str">
        <f>IFERROR(__xludf.DUMMYFUNCTION("""COMPUTED_VALUE"""),"домашні тварини та комахи")</f>
        <v>домашні тварини та комахи</v>
      </c>
      <c r="F242" s="17">
        <f>IFERROR(__xludf.DUMMYFUNCTION("""COMPUTED_VALUE"""),2.0)</f>
        <v>2</v>
      </c>
      <c r="G242" s="17">
        <f>IFERROR(__xludf.DUMMYFUNCTION("""COMPUTED_VALUE"""),2709.0)</f>
        <v>2709</v>
      </c>
      <c r="H242" s="17" t="str">
        <f>IFERROR(__xludf.DUMMYFUNCTION("""COMPUTED_VALUE"""),"домашні тварини та комахи")</f>
        <v>домашні тварини та комахи</v>
      </c>
      <c r="I242" s="18">
        <f>IFERROR(__xludf.DUMMYFUNCTION("""COMPUTED_VALUE"""),0.76)</f>
        <v>0.76</v>
      </c>
      <c r="J242" s="18">
        <f>IFERROR(__xludf.DUMMYFUNCTION("""COMPUTED_VALUE"""),1.53)</f>
        <v>1.53</v>
      </c>
      <c r="K242" s="18">
        <f>IFERROR(__xludf.DUMMYFUNCTION("""COMPUTED_VALUE"""),1.91)</f>
        <v>1.91</v>
      </c>
      <c r="L242" s="18">
        <f>IFERROR(__xludf.DUMMYFUNCTION("""COMPUTED_VALUE"""),3.05)</f>
        <v>3.05</v>
      </c>
    </row>
    <row r="243">
      <c r="A243" s="13" t="str">
        <f>IFERROR(__xludf.DUMMYFUNCTION("""COMPUTED_VALUE"""),"послуги")</f>
        <v>послуги</v>
      </c>
      <c r="B243" s="13" t="str">
        <f>IFERROR(__xludf.DUMMYFUNCTION("""COMPUTED_VALUE"""),"інженерно-будівельні послуги")</f>
        <v>інженерно-будівельні послуги</v>
      </c>
      <c r="C243" s="15" t="str">
        <f>IFERROR(__xludf.DUMMYFUNCTION("""COMPUTED_VALUE"""),"будівельно-ремонтні послуги")</f>
        <v>будівельно-ремонтні послуги</v>
      </c>
      <c r="D243" s="15" t="str">
        <f>IFERROR(__xludf.DUMMYFUNCTION("""COMPUTED_VALUE"""),"алмазне свердління і різання бетону")</f>
        <v>алмазне свердління і різання бетону</v>
      </c>
      <c r="E243" s="15" t="str">
        <f>IFERROR(__xludf.DUMMYFUNCTION("""COMPUTED_VALUE"""),"алмазне свердління і різання бетону")</f>
        <v>алмазне свердління і різання бетону</v>
      </c>
      <c r="F243" s="17">
        <f>IFERROR(__xludf.DUMMYFUNCTION("""COMPUTED_VALUE"""),3.0)</f>
        <v>3</v>
      </c>
      <c r="G243" s="17">
        <f>IFERROR(__xludf.DUMMYFUNCTION("""COMPUTED_VALUE"""),284165.0)</f>
        <v>284165</v>
      </c>
      <c r="H243" s="17" t="str">
        <f>IFERROR(__xludf.DUMMYFUNCTION("""COMPUTED_VALUE"""),"алмазне свердління і різання бетону")</f>
        <v>алмазне свердління і різання бетону</v>
      </c>
      <c r="I243" s="18">
        <f>IFERROR(__xludf.DUMMYFUNCTION("""COMPUTED_VALUE"""),2.51)</f>
        <v>2.51</v>
      </c>
      <c r="J243" s="18">
        <f>IFERROR(__xludf.DUMMYFUNCTION("""COMPUTED_VALUE"""),5.03)</f>
        <v>5.03</v>
      </c>
      <c r="K243" s="18">
        <f>IFERROR(__xludf.DUMMYFUNCTION("""COMPUTED_VALUE"""),6.28)</f>
        <v>6.28</v>
      </c>
      <c r="L243" s="18">
        <f>IFERROR(__xludf.DUMMYFUNCTION("""COMPUTED_VALUE"""),10.05)</f>
        <v>10.05</v>
      </c>
    </row>
    <row r="244">
      <c r="A244" s="13" t="str">
        <f>IFERROR(__xludf.DUMMYFUNCTION("""COMPUTED_VALUE"""),"послуги")</f>
        <v>послуги</v>
      </c>
      <c r="B244" s="13" t="str">
        <f>IFERROR(__xludf.DUMMYFUNCTION("""COMPUTED_VALUE"""),"інженерно-будівельні послуги")</f>
        <v>інженерно-будівельні послуги</v>
      </c>
      <c r="C244" s="15" t="str">
        <f>IFERROR(__xludf.DUMMYFUNCTION("""COMPUTED_VALUE"""),"берегоукріплювальні послуги")</f>
        <v>берегоукріплювальні послуги</v>
      </c>
      <c r="D244" s="15" t="str">
        <f>IFERROR(__xludf.DUMMYFUNCTION("""COMPUTED_VALUE"""),"берегоукріплювальні послуги")</f>
        <v>берегоукріплювальні послуги</v>
      </c>
      <c r="E244" s="15" t="str">
        <f>IFERROR(__xludf.DUMMYFUNCTION("""COMPUTED_VALUE"""),"берегоукріплювальні послуги")</f>
        <v>берегоукріплювальні послуги</v>
      </c>
      <c r="F244" s="17">
        <f>IFERROR(__xludf.DUMMYFUNCTION("""COMPUTED_VALUE"""),2.0)</f>
        <v>2</v>
      </c>
      <c r="G244" s="17">
        <f>IFERROR(__xludf.DUMMYFUNCTION("""COMPUTED_VALUE"""),284271.0)</f>
        <v>284271</v>
      </c>
      <c r="H244" s="17" t="str">
        <f>IFERROR(__xludf.DUMMYFUNCTION("""COMPUTED_VALUE"""),"берегоукріплювальні послуги")</f>
        <v>берегоукріплювальні послуги</v>
      </c>
      <c r="I244" s="18">
        <f>IFERROR(__xludf.DUMMYFUNCTION("""COMPUTED_VALUE"""),1.17)</f>
        <v>1.17</v>
      </c>
      <c r="J244" s="18">
        <f>IFERROR(__xludf.DUMMYFUNCTION("""COMPUTED_VALUE"""),2.34)</f>
        <v>2.34</v>
      </c>
      <c r="K244" s="18">
        <f>IFERROR(__xludf.DUMMYFUNCTION("""COMPUTED_VALUE"""),2.92)</f>
        <v>2.92</v>
      </c>
      <c r="L244" s="18">
        <f>IFERROR(__xludf.DUMMYFUNCTION("""COMPUTED_VALUE"""),4.68)</f>
        <v>4.68</v>
      </c>
    </row>
    <row r="245">
      <c r="A245" s="13" t="str">
        <f>IFERROR(__xludf.DUMMYFUNCTION("""COMPUTED_VALUE"""),"послуги")</f>
        <v>послуги</v>
      </c>
      <c r="B245" s="13" t="str">
        <f>IFERROR(__xludf.DUMMYFUNCTION("""COMPUTED_VALUE"""),"інженерно-будівельні послуги")</f>
        <v>інженерно-будівельні послуги</v>
      </c>
      <c r="C245" s="15" t="str">
        <f>IFERROR(__xludf.DUMMYFUNCTION("""COMPUTED_VALUE"""),"будівельно-ремонтні послуги")</f>
        <v>будівельно-ремонтні послуги</v>
      </c>
      <c r="D245" s="15" t="str">
        <f>IFERROR(__xludf.DUMMYFUNCTION("""COMPUTED_VALUE"""),"будівництво басейнів")</f>
        <v>будівництво басейнів</v>
      </c>
      <c r="E245" s="15" t="str">
        <f>IFERROR(__xludf.DUMMYFUNCTION("""COMPUTED_VALUE"""),"будівництво басейнів")</f>
        <v>будівництво басейнів</v>
      </c>
      <c r="F245" s="17">
        <f>IFERROR(__xludf.DUMMYFUNCTION("""COMPUTED_VALUE"""),3.0)</f>
        <v>3</v>
      </c>
      <c r="G245" s="17">
        <f>IFERROR(__xludf.DUMMYFUNCTION("""COMPUTED_VALUE"""),284109.0)</f>
        <v>284109</v>
      </c>
      <c r="H245" s="17" t="str">
        <f>IFERROR(__xludf.DUMMYFUNCTION("""COMPUTED_VALUE"""),"будівництво басейнів")</f>
        <v>будівництво басейнів</v>
      </c>
      <c r="I245" s="18">
        <f>IFERROR(__xludf.DUMMYFUNCTION("""COMPUTED_VALUE"""),2.06)</f>
        <v>2.06</v>
      </c>
      <c r="J245" s="18">
        <f>IFERROR(__xludf.DUMMYFUNCTION("""COMPUTED_VALUE"""),4.13)</f>
        <v>4.13</v>
      </c>
      <c r="K245" s="18">
        <f>IFERROR(__xludf.DUMMYFUNCTION("""COMPUTED_VALUE"""),5.16)</f>
        <v>5.16</v>
      </c>
      <c r="L245" s="18">
        <f>IFERROR(__xludf.DUMMYFUNCTION("""COMPUTED_VALUE"""),8.25)</f>
        <v>8.25</v>
      </c>
    </row>
    <row r="246">
      <c r="A246" s="13" t="str">
        <f>IFERROR(__xludf.DUMMYFUNCTION("""COMPUTED_VALUE"""),"послуги")</f>
        <v>послуги</v>
      </c>
      <c r="B246" s="13" t="str">
        <f>IFERROR(__xludf.DUMMYFUNCTION("""COMPUTED_VALUE"""),"інженерно-будівельні послуги")</f>
        <v>інженерно-будівельні послуги</v>
      </c>
      <c r="C246" s="15" t="str">
        <f>IFERROR(__xludf.DUMMYFUNCTION("""COMPUTED_VALUE"""),"будівельно-ремонтні послуги")</f>
        <v>будівельно-ремонтні послуги</v>
      </c>
      <c r="D246" s="15" t="str">
        <f>IFERROR(__xludf.DUMMYFUNCTION("""COMPUTED_VALUE"""),"будівництво саун, лазень, садових будиночків та альтанок")</f>
        <v>будівництво саун, лазень, садових будиночків та альтанок</v>
      </c>
      <c r="E246" s="15" t="str">
        <f>IFERROR(__xludf.DUMMYFUNCTION("""COMPUTED_VALUE"""),"будівництво саун, лазень, садових будиночків та альтанок")</f>
        <v>будівництво саун, лазень, садових будиночків та альтанок</v>
      </c>
      <c r="F246" s="17">
        <f>IFERROR(__xludf.DUMMYFUNCTION("""COMPUTED_VALUE"""),3.0)</f>
        <v>3</v>
      </c>
      <c r="G246" s="17">
        <f>IFERROR(__xludf.DUMMYFUNCTION("""COMPUTED_VALUE"""),130118.0)</f>
        <v>130118</v>
      </c>
      <c r="H246" s="17" t="str">
        <f>IFERROR(__xludf.DUMMYFUNCTION("""COMPUTED_VALUE"""),"будівництво саун, лазень, садових будиночків та альтанок")</f>
        <v>будівництво саун, лазень, садових будиночків та альтанок</v>
      </c>
      <c r="I246" s="18">
        <f>IFERROR(__xludf.DUMMYFUNCTION("""COMPUTED_VALUE"""),1.31)</f>
        <v>1.31</v>
      </c>
      <c r="J246" s="18">
        <f>IFERROR(__xludf.DUMMYFUNCTION("""COMPUTED_VALUE"""),2.61)</f>
        <v>2.61</v>
      </c>
      <c r="K246" s="18">
        <f>IFERROR(__xludf.DUMMYFUNCTION("""COMPUTED_VALUE"""),3.27)</f>
        <v>3.27</v>
      </c>
      <c r="L246" s="18">
        <f>IFERROR(__xludf.DUMMYFUNCTION("""COMPUTED_VALUE"""),5.23)</f>
        <v>5.23</v>
      </c>
    </row>
    <row r="247">
      <c r="A247" s="13" t="str">
        <f>IFERROR(__xludf.DUMMYFUNCTION("""COMPUTED_VALUE"""),"послуги")</f>
        <v>послуги</v>
      </c>
      <c r="B247" s="13" t="str">
        <f>IFERROR(__xludf.DUMMYFUNCTION("""COMPUTED_VALUE"""),"інженерно-будівельні послуги")</f>
        <v>інженерно-будівельні послуги</v>
      </c>
      <c r="C247" s="15" t="str">
        <f>IFERROR(__xludf.DUMMYFUNCTION("""COMPUTED_VALUE"""),"бурові роботи")</f>
        <v>бурові роботи</v>
      </c>
      <c r="D247" s="15" t="str">
        <f>IFERROR(__xludf.DUMMYFUNCTION("""COMPUTED_VALUE"""),"бурові роботи")</f>
        <v>бурові роботи</v>
      </c>
      <c r="E247" s="15" t="str">
        <f>IFERROR(__xludf.DUMMYFUNCTION("""COMPUTED_VALUE"""),"бурові роботи")</f>
        <v>бурові роботи</v>
      </c>
      <c r="F247" s="17">
        <f>IFERROR(__xludf.DUMMYFUNCTION("""COMPUTED_VALUE"""),2.0)</f>
        <v>2</v>
      </c>
      <c r="G247" s="17">
        <f>IFERROR(__xludf.DUMMYFUNCTION("""COMPUTED_VALUE"""),284275.0)</f>
        <v>284275</v>
      </c>
      <c r="H247" s="17" t="str">
        <f>IFERROR(__xludf.DUMMYFUNCTION("""COMPUTED_VALUE"""),"бурові роботи")</f>
        <v>бурові роботи</v>
      </c>
      <c r="I247" s="18">
        <f>IFERROR(__xludf.DUMMYFUNCTION("""COMPUTED_VALUE"""),1.31)</f>
        <v>1.31</v>
      </c>
      <c r="J247" s="18">
        <f>IFERROR(__xludf.DUMMYFUNCTION("""COMPUTED_VALUE"""),2.61)</f>
        <v>2.61</v>
      </c>
      <c r="K247" s="18">
        <f>IFERROR(__xludf.DUMMYFUNCTION("""COMPUTED_VALUE"""),3.27)</f>
        <v>3.27</v>
      </c>
      <c r="L247" s="18">
        <f>IFERROR(__xludf.DUMMYFUNCTION("""COMPUTED_VALUE"""),5.23)</f>
        <v>5.23</v>
      </c>
    </row>
    <row r="248">
      <c r="A248" s="13" t="str">
        <f>IFERROR(__xludf.DUMMYFUNCTION("""COMPUTED_VALUE"""),"послуги")</f>
        <v>послуги</v>
      </c>
      <c r="B248" s="13" t="str">
        <f>IFERROR(__xludf.DUMMYFUNCTION("""COMPUTED_VALUE"""),"інженерно-будівельні послуги")</f>
        <v>інженерно-будівельні послуги</v>
      </c>
      <c r="C248" s="15" t="str">
        <f>IFERROR(__xludf.DUMMYFUNCTION("""COMPUTED_VALUE"""),"вивіз будівельного сміття")</f>
        <v>вивіз будівельного сміття</v>
      </c>
      <c r="D248" s="15" t="str">
        <f>IFERROR(__xludf.DUMMYFUNCTION("""COMPUTED_VALUE"""),"вивіз будівельного сміття")</f>
        <v>вивіз будівельного сміття</v>
      </c>
      <c r="E248" s="15" t="str">
        <f>IFERROR(__xludf.DUMMYFUNCTION("""COMPUTED_VALUE"""),"вивіз будівельного сміття")</f>
        <v>вивіз будівельного сміття</v>
      </c>
      <c r="F248" s="17">
        <f>IFERROR(__xludf.DUMMYFUNCTION("""COMPUTED_VALUE"""),2.0)</f>
        <v>2</v>
      </c>
      <c r="G248" s="17">
        <f>IFERROR(__xludf.DUMMYFUNCTION("""COMPUTED_VALUE"""),284178.0)</f>
        <v>284178</v>
      </c>
      <c r="H248" s="17" t="str">
        <f>IFERROR(__xludf.DUMMYFUNCTION("""COMPUTED_VALUE"""),"вивіз будівельного сміття")</f>
        <v>вивіз будівельного сміття</v>
      </c>
      <c r="I248" s="18">
        <f>IFERROR(__xludf.DUMMYFUNCTION("""COMPUTED_VALUE"""),2.7)</f>
        <v>2.7</v>
      </c>
      <c r="J248" s="18">
        <f>IFERROR(__xludf.DUMMYFUNCTION("""COMPUTED_VALUE"""),5.4)</f>
        <v>5.4</v>
      </c>
      <c r="K248" s="18">
        <f>IFERROR(__xludf.DUMMYFUNCTION("""COMPUTED_VALUE"""),6.75)</f>
        <v>6.75</v>
      </c>
      <c r="L248" s="18">
        <f>IFERROR(__xludf.DUMMYFUNCTION("""COMPUTED_VALUE"""),10.8)</f>
        <v>10.8</v>
      </c>
    </row>
    <row r="249">
      <c r="A249" s="13" t="str">
        <f>IFERROR(__xludf.DUMMYFUNCTION("""COMPUTED_VALUE"""),"послуги")</f>
        <v>послуги</v>
      </c>
      <c r="B249" s="13" t="str">
        <f>IFERROR(__xludf.DUMMYFUNCTION("""COMPUTED_VALUE"""),"інженерно-будівельні послуги")</f>
        <v>інженерно-будівельні послуги</v>
      </c>
      <c r="C249" s="15" t="str">
        <f>IFERROR(__xludf.DUMMYFUNCTION("""COMPUTED_VALUE"""),"висотні роботи")</f>
        <v>висотні роботи</v>
      </c>
      <c r="D249" s="15" t="str">
        <f>IFERROR(__xludf.DUMMYFUNCTION("""COMPUTED_VALUE"""),"висотні роботи")</f>
        <v>висотні роботи</v>
      </c>
      <c r="E249" s="15" t="str">
        <f>IFERROR(__xludf.DUMMYFUNCTION("""COMPUTED_VALUE"""),"висотні роботи")</f>
        <v>висотні роботи</v>
      </c>
      <c r="F249" s="17">
        <f>IFERROR(__xludf.DUMMYFUNCTION("""COMPUTED_VALUE"""),2.0)</f>
        <v>2</v>
      </c>
      <c r="G249" s="17">
        <f>IFERROR(__xludf.DUMMYFUNCTION("""COMPUTED_VALUE"""),2.8410102E7)</f>
        <v>28410102</v>
      </c>
      <c r="H249" s="17" t="str">
        <f>IFERROR(__xludf.DUMMYFUNCTION("""COMPUTED_VALUE"""),"висотні роботи")</f>
        <v>висотні роботи</v>
      </c>
      <c r="I249" s="18">
        <f>IFERROR(__xludf.DUMMYFUNCTION("""COMPUTED_VALUE"""),2.63)</f>
        <v>2.63</v>
      </c>
      <c r="J249" s="18">
        <f>IFERROR(__xludf.DUMMYFUNCTION("""COMPUTED_VALUE"""),5.25)</f>
        <v>5.25</v>
      </c>
      <c r="K249" s="18">
        <f>IFERROR(__xludf.DUMMYFUNCTION("""COMPUTED_VALUE"""),6.56)</f>
        <v>6.56</v>
      </c>
      <c r="L249" s="18">
        <f>IFERROR(__xludf.DUMMYFUNCTION("""COMPUTED_VALUE"""),10.5)</f>
        <v>10.5</v>
      </c>
    </row>
    <row r="250">
      <c r="A250" s="13" t="str">
        <f>IFERROR(__xludf.DUMMYFUNCTION("""COMPUTED_VALUE"""),"послуги")</f>
        <v>послуги</v>
      </c>
      <c r="B250" s="13" t="str">
        <f>IFERROR(__xludf.DUMMYFUNCTION("""COMPUTED_VALUE"""),"інженерно-будівельні послуги")</f>
        <v>інженерно-будівельні послуги</v>
      </c>
      <c r="C250" s="15" t="str">
        <f>IFERROR(__xludf.DUMMYFUNCTION("""COMPUTED_VALUE"""),"дизайн інтер'єру")</f>
        <v>дизайн інтер'єру</v>
      </c>
      <c r="D250" s="15" t="str">
        <f>IFERROR(__xludf.DUMMYFUNCTION("""COMPUTED_VALUE"""),"дизайн інтер'єру")</f>
        <v>дизайн інтер'єру</v>
      </c>
      <c r="E250" s="15" t="str">
        <f>IFERROR(__xludf.DUMMYFUNCTION("""COMPUTED_VALUE"""),"дизайн інтер'єру")</f>
        <v>дизайн інтер'єру</v>
      </c>
      <c r="F250" s="17">
        <f>IFERROR(__xludf.DUMMYFUNCTION("""COMPUTED_VALUE"""),2.0)</f>
        <v>2</v>
      </c>
      <c r="G250" s="17">
        <f>IFERROR(__xludf.DUMMYFUNCTION("""COMPUTED_VALUE"""),280513.0)</f>
        <v>280513</v>
      </c>
      <c r="H250" s="17" t="str">
        <f>IFERROR(__xludf.DUMMYFUNCTION("""COMPUTED_VALUE"""),"дизайн інтер'єру")</f>
        <v>дизайн інтер'єру</v>
      </c>
      <c r="I250" s="18">
        <f>IFERROR(__xludf.DUMMYFUNCTION("""COMPUTED_VALUE"""),1.13)</f>
        <v>1.13</v>
      </c>
      <c r="J250" s="18">
        <f>IFERROR(__xludf.DUMMYFUNCTION("""COMPUTED_VALUE"""),2.25)</f>
        <v>2.25</v>
      </c>
      <c r="K250" s="18">
        <f>IFERROR(__xludf.DUMMYFUNCTION("""COMPUTED_VALUE"""),2.81)</f>
        <v>2.81</v>
      </c>
      <c r="L250" s="18">
        <f>IFERROR(__xludf.DUMMYFUNCTION("""COMPUTED_VALUE"""),4.5)</f>
        <v>4.5</v>
      </c>
    </row>
    <row r="251">
      <c r="A251" s="13" t="str">
        <f>IFERROR(__xludf.DUMMYFUNCTION("""COMPUTED_VALUE"""),"послуги")</f>
        <v>послуги</v>
      </c>
      <c r="B251" s="13" t="str">
        <f>IFERROR(__xludf.DUMMYFUNCTION("""COMPUTED_VALUE"""),"інженерно-будівельні послуги")</f>
        <v>інженерно-будівельні послуги</v>
      </c>
      <c r="C251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1" s="15" t="str">
        <f>IFERROR(__xludf.DUMMYFUNCTION("""COMPUTED_VALUE"""),"електромонтажні роботи")</f>
        <v>електромонтажні роботи</v>
      </c>
      <c r="E251" s="15" t="str">
        <f>IFERROR(__xludf.DUMMYFUNCTION("""COMPUTED_VALUE"""),"електромонтажні роботи")</f>
        <v>електромонтажні роботи</v>
      </c>
      <c r="F251" s="17">
        <f>IFERROR(__xludf.DUMMYFUNCTION("""COMPUTED_VALUE"""),3.0)</f>
        <v>3</v>
      </c>
      <c r="G251" s="17">
        <f>IFERROR(__xludf.DUMMYFUNCTION("""COMPUTED_VALUE"""),284245.0)</f>
        <v>284245</v>
      </c>
      <c r="H251" s="17" t="str">
        <f>IFERROR(__xludf.DUMMYFUNCTION("""COMPUTED_VALUE"""),"електромонтажні роботи")</f>
        <v>електромонтажні роботи</v>
      </c>
      <c r="I251" s="18">
        <f>IFERROR(__xludf.DUMMYFUNCTION("""COMPUTED_VALUE"""),1.71)</f>
        <v>1.71</v>
      </c>
      <c r="J251" s="18">
        <f>IFERROR(__xludf.DUMMYFUNCTION("""COMPUTED_VALUE"""),3.43)</f>
        <v>3.43</v>
      </c>
      <c r="K251" s="18">
        <f>IFERROR(__xludf.DUMMYFUNCTION("""COMPUTED_VALUE"""),4.28)</f>
        <v>4.28</v>
      </c>
      <c r="L251" s="18">
        <f>IFERROR(__xludf.DUMMYFUNCTION("""COMPUTED_VALUE"""),6.85)</f>
        <v>6.85</v>
      </c>
    </row>
    <row r="252">
      <c r="A252" s="13" t="str">
        <f>IFERROR(__xludf.DUMMYFUNCTION("""COMPUTED_VALUE"""),"послуги")</f>
        <v>послуги</v>
      </c>
      <c r="B252" s="13" t="str">
        <f>IFERROR(__xludf.DUMMYFUNCTION("""COMPUTED_VALUE"""),"інженерно-будівельні послуги")</f>
        <v>інженерно-будівельні послуги</v>
      </c>
      <c r="C252" s="15" t="str">
        <f>IFERROR(__xludf.DUMMYFUNCTION("""COMPUTED_VALUE"""),"земляні роботи")</f>
        <v>земляні роботи</v>
      </c>
      <c r="D252" s="15" t="str">
        <f>IFERROR(__xludf.DUMMYFUNCTION("""COMPUTED_VALUE"""),"земляні роботи")</f>
        <v>земляні роботи</v>
      </c>
      <c r="E252" s="15" t="str">
        <f>IFERROR(__xludf.DUMMYFUNCTION("""COMPUTED_VALUE"""),"земляні роботи")</f>
        <v>земляні роботи</v>
      </c>
      <c r="F252" s="17">
        <f>IFERROR(__xludf.DUMMYFUNCTION("""COMPUTED_VALUE"""),2.0)</f>
        <v>2</v>
      </c>
      <c r="G252" s="17">
        <f>IFERROR(__xludf.DUMMYFUNCTION("""COMPUTED_VALUE"""),284236.0)</f>
        <v>284236</v>
      </c>
      <c r="H252" s="17" t="str">
        <f>IFERROR(__xludf.DUMMYFUNCTION("""COMPUTED_VALUE"""),"земляні роботи")</f>
        <v>земляні роботи</v>
      </c>
      <c r="I252" s="18">
        <f>IFERROR(__xludf.DUMMYFUNCTION("""COMPUTED_VALUE"""),2.48)</f>
        <v>2.48</v>
      </c>
      <c r="J252" s="18">
        <f>IFERROR(__xludf.DUMMYFUNCTION("""COMPUTED_VALUE"""),4.95)</f>
        <v>4.95</v>
      </c>
      <c r="K252" s="18">
        <f>IFERROR(__xludf.DUMMYFUNCTION("""COMPUTED_VALUE"""),6.19)</f>
        <v>6.19</v>
      </c>
      <c r="L252" s="18">
        <f>IFERROR(__xludf.DUMMYFUNCTION("""COMPUTED_VALUE"""),9.9)</f>
        <v>9.9</v>
      </c>
    </row>
    <row r="253">
      <c r="A253" s="13" t="str">
        <f>IFERROR(__xludf.DUMMYFUNCTION("""COMPUTED_VALUE"""),"послуги")</f>
        <v>послуги</v>
      </c>
      <c r="B253" s="13" t="str">
        <f>IFERROR(__xludf.DUMMYFUNCTION("""COMPUTED_VALUE"""),"інженерно-будівельні послуги")</f>
        <v>інженерно-будівельні послуги</v>
      </c>
      <c r="C253" s="15" t="str">
        <f>IFERROR(__xludf.DUMMYFUNCTION("""COMPUTED_VALUE"""),"інженерні дослідження для будівництва")</f>
        <v>інженерні дослідження для будівництва</v>
      </c>
      <c r="D253" s="15" t="str">
        <f>IFERROR(__xludf.DUMMYFUNCTION("""COMPUTED_VALUE"""),"інженерні дослідження для будівництва")</f>
        <v>інженерні дослідження для будівництва</v>
      </c>
      <c r="E253" s="15" t="str">
        <f>IFERROR(__xludf.DUMMYFUNCTION("""COMPUTED_VALUE"""),"інженерні дослідження для будівництва")</f>
        <v>інженерні дослідження для будівництва</v>
      </c>
      <c r="F253" s="17">
        <f>IFERROR(__xludf.DUMMYFUNCTION("""COMPUTED_VALUE"""),2.0)</f>
        <v>2</v>
      </c>
      <c r="G253" s="17">
        <f>IFERROR(__xludf.DUMMYFUNCTION("""COMPUTED_VALUE"""),280583.0)</f>
        <v>280583</v>
      </c>
      <c r="H253" s="17" t="str">
        <f>IFERROR(__xludf.DUMMYFUNCTION("""COMPUTED_VALUE"""),"інженерні дослідження для будівництва")</f>
        <v>інженерні дослідження для будівництва</v>
      </c>
      <c r="I253" s="18">
        <f>IFERROR(__xludf.DUMMYFUNCTION("""COMPUTED_VALUE"""),2.7)</f>
        <v>2.7</v>
      </c>
      <c r="J253" s="18">
        <f>IFERROR(__xludf.DUMMYFUNCTION("""COMPUTED_VALUE"""),5.4)</f>
        <v>5.4</v>
      </c>
      <c r="K253" s="18">
        <f>IFERROR(__xludf.DUMMYFUNCTION("""COMPUTED_VALUE"""),6.75)</f>
        <v>6.75</v>
      </c>
      <c r="L253" s="18">
        <f>IFERROR(__xludf.DUMMYFUNCTION("""COMPUTED_VALUE"""),10.8)</f>
        <v>10.8</v>
      </c>
    </row>
    <row r="254">
      <c r="A254" s="13" t="str">
        <f>IFERROR(__xludf.DUMMYFUNCTION("""COMPUTED_VALUE"""),"послуги")</f>
        <v>послуги</v>
      </c>
      <c r="B254" s="13" t="str">
        <f>IFERROR(__xludf.DUMMYFUNCTION("""COMPUTED_VALUE"""),"інженерно-будівельні послуги")</f>
        <v>інженерно-будівельні послуги</v>
      </c>
      <c r="C254" s="15" t="str">
        <f>IFERROR(__xludf.DUMMYFUNCTION("""COMPUTED_VALUE"""),"інженерно-будівельні послуги, загальне")</f>
        <v>інженерно-будівельні послуги, загальне</v>
      </c>
      <c r="D254" s="15" t="str">
        <f>IFERROR(__xludf.DUMMYFUNCTION("""COMPUTED_VALUE"""),"інженерно-будівельні послуги, загальне")</f>
        <v>інженерно-будівельні послуги, загальне</v>
      </c>
      <c r="E254" s="15" t="str">
        <f>IFERROR(__xludf.DUMMYFUNCTION("""COMPUTED_VALUE"""),"інженерно-будівельні послуги, загальне")</f>
        <v>інженерно-будівельні послуги, загальне</v>
      </c>
      <c r="F254" s="17">
        <f>IFERROR(__xludf.DUMMYFUNCTION("""COMPUTED_VALUE"""),2.0)</f>
        <v>2</v>
      </c>
      <c r="G254" s="17">
        <f>IFERROR(__xludf.DUMMYFUNCTION("""COMPUTED_VALUE"""),284103.0)</f>
        <v>284103</v>
      </c>
      <c r="H254" s="17" t="str">
        <f>IFERROR(__xludf.DUMMYFUNCTION("""COMPUTED_VALUE"""),"інженерно-будівельні послуги, загальне")</f>
        <v>інженерно-будівельні послуги, загальне</v>
      </c>
      <c r="I254" s="18">
        <f>IFERROR(__xludf.DUMMYFUNCTION("""COMPUTED_VALUE"""),2.16)</f>
        <v>2.16</v>
      </c>
      <c r="J254" s="18">
        <f>IFERROR(__xludf.DUMMYFUNCTION("""COMPUTED_VALUE"""),4.33)</f>
        <v>4.33</v>
      </c>
      <c r="K254" s="18">
        <f>IFERROR(__xludf.DUMMYFUNCTION("""COMPUTED_VALUE"""),5.41)</f>
        <v>5.41</v>
      </c>
      <c r="L254" s="18">
        <f>IFERROR(__xludf.DUMMYFUNCTION("""COMPUTED_VALUE"""),8.65)</f>
        <v>8.65</v>
      </c>
    </row>
    <row r="255">
      <c r="A255" s="13" t="str">
        <f>IFERROR(__xludf.DUMMYFUNCTION("""COMPUTED_VALUE"""),"послуги")</f>
        <v>послуги</v>
      </c>
      <c r="B255" s="13" t="str">
        <f>IFERROR(__xludf.DUMMYFUNCTION("""COMPUTED_VALUE"""),"інженерно-будівельні послуги")</f>
        <v>інженерно-будівельні послуги</v>
      </c>
      <c r="C255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255" s="15" t="str">
        <f>IFERROR(__xludf.DUMMYFUNCTION("""COMPUTED_VALUE"""),"ландшафтні послуги, загальне")</f>
        <v>ландшафтні послуги, загальне</v>
      </c>
      <c r="E255" s="15" t="str">
        <f>IFERROR(__xludf.DUMMYFUNCTION("""COMPUTED_VALUE"""),"ландшафтні послуги, загальне")</f>
        <v>ландшафтні послуги, загальне</v>
      </c>
      <c r="F255" s="17">
        <f>IFERROR(__xludf.DUMMYFUNCTION("""COMPUTED_VALUE"""),3.0)</f>
        <v>3</v>
      </c>
      <c r="G255" s="17">
        <f>IFERROR(__xludf.DUMMYFUNCTION("""COMPUTED_VALUE"""),2.8410505E7)</f>
        <v>28410505</v>
      </c>
      <c r="H255" s="17" t="str">
        <f>IFERROR(__xludf.DUMMYFUNCTION("""COMPUTED_VALUE"""),"ландшафтні послуги, загальне")</f>
        <v>ландшафтні послуги, загальне</v>
      </c>
      <c r="I255" s="18">
        <f>IFERROR(__xludf.DUMMYFUNCTION("""COMPUTED_VALUE"""),2.16)</f>
        <v>2.16</v>
      </c>
      <c r="J255" s="18">
        <f>IFERROR(__xludf.DUMMYFUNCTION("""COMPUTED_VALUE"""),4.33)</f>
        <v>4.33</v>
      </c>
      <c r="K255" s="18">
        <f>IFERROR(__xludf.DUMMYFUNCTION("""COMPUTED_VALUE"""),5.41)</f>
        <v>5.41</v>
      </c>
      <c r="L255" s="18">
        <f>IFERROR(__xludf.DUMMYFUNCTION("""COMPUTED_VALUE"""),8.65)</f>
        <v>8.65</v>
      </c>
    </row>
    <row r="256">
      <c r="A256" s="13" t="str">
        <f>IFERROR(__xludf.DUMMYFUNCTION("""COMPUTED_VALUE"""),"послуги")</f>
        <v>послуги</v>
      </c>
      <c r="B256" s="13" t="str">
        <f>IFERROR(__xludf.DUMMYFUNCTION("""COMPUTED_VALUE"""),"інженерно-будівельні послуги")</f>
        <v>інженерно-будівельні послуги</v>
      </c>
      <c r="C256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6" s="15" t="str">
        <f>IFERROR(__xludf.DUMMYFUNCTION("""COMPUTED_VALUE"""),"монтаж і обслуговування систем вентиляції і кондиціонування")</f>
        <v>монтаж і обслуговування систем вентиляції і кондиціонування</v>
      </c>
      <c r="E256" s="15" t="str">
        <f>IFERROR(__xludf.DUMMYFUNCTION("""COMPUTED_VALUE"""),"монтаж і обслуговування систем вентиляції і кондиціонування")</f>
        <v>монтаж і обслуговування систем вентиляції і кондиціонування</v>
      </c>
      <c r="F256" s="17">
        <f>IFERROR(__xludf.DUMMYFUNCTION("""COMPUTED_VALUE"""),3.0)</f>
        <v>3</v>
      </c>
      <c r="G256" s="17">
        <f>IFERROR(__xludf.DUMMYFUNCTION("""COMPUTED_VALUE"""),284233.0)</f>
        <v>284233</v>
      </c>
      <c r="H256" s="17" t="str">
        <f>IFERROR(__xludf.DUMMYFUNCTION("""COMPUTED_VALUE"""),"монтаж і обслуговування систем вентиляції і кондиціонування")</f>
        <v>монтаж і обслуговування систем вентиляції і кондиціонування</v>
      </c>
      <c r="I256" s="18">
        <f>IFERROR(__xludf.DUMMYFUNCTION("""COMPUTED_VALUE"""),2.03)</f>
        <v>2.03</v>
      </c>
      <c r="J256" s="18">
        <f>IFERROR(__xludf.DUMMYFUNCTION("""COMPUTED_VALUE"""),4.05)</f>
        <v>4.05</v>
      </c>
      <c r="K256" s="18">
        <f>IFERROR(__xludf.DUMMYFUNCTION("""COMPUTED_VALUE"""),5.06)</f>
        <v>5.06</v>
      </c>
      <c r="L256" s="18">
        <f>IFERROR(__xludf.DUMMYFUNCTION("""COMPUTED_VALUE"""),8.1)</f>
        <v>8.1</v>
      </c>
    </row>
    <row r="257">
      <c r="A257" s="13" t="str">
        <f>IFERROR(__xludf.DUMMYFUNCTION("""COMPUTED_VALUE"""),"послуги")</f>
        <v>послуги</v>
      </c>
      <c r="B257" s="13" t="str">
        <f>IFERROR(__xludf.DUMMYFUNCTION("""COMPUTED_VALUE"""),"інженерно-будівельні послуги")</f>
        <v>інженерно-будівельні послуги</v>
      </c>
      <c r="C257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7" s="15" t="str">
        <f>IFERROR(__xludf.DUMMYFUNCTION("""COMPUTED_VALUE"""),"монтаж та обслуговування системи водопостачання")</f>
        <v>монтаж та обслуговування системи водопостачання</v>
      </c>
      <c r="E257" s="15" t="str">
        <f>IFERROR(__xludf.DUMMYFUNCTION("""COMPUTED_VALUE"""),"монтаж та обслуговування системи водопостачання")</f>
        <v>монтаж та обслуговування системи водопостачання</v>
      </c>
      <c r="F257" s="17">
        <f>IFERROR(__xludf.DUMMYFUNCTION("""COMPUTED_VALUE"""),3.0)</f>
        <v>3</v>
      </c>
      <c r="G257" s="17">
        <f>IFERROR(__xludf.DUMMYFUNCTION("""COMPUTED_VALUE"""),284240.0)</f>
        <v>284240</v>
      </c>
      <c r="H257" s="17" t="str">
        <f>IFERROR(__xludf.DUMMYFUNCTION("""COMPUTED_VALUE"""),"монтаж та обслуговування системи водопостачання")</f>
        <v>монтаж та обслуговування системи водопостачання</v>
      </c>
      <c r="I257" s="18">
        <f>IFERROR(__xludf.DUMMYFUNCTION("""COMPUTED_VALUE"""),1.35)</f>
        <v>1.35</v>
      </c>
      <c r="J257" s="18">
        <f>IFERROR(__xludf.DUMMYFUNCTION("""COMPUTED_VALUE"""),2.7)</f>
        <v>2.7</v>
      </c>
      <c r="K257" s="18">
        <f>IFERROR(__xludf.DUMMYFUNCTION("""COMPUTED_VALUE"""),3.38)</f>
        <v>3.38</v>
      </c>
      <c r="L257" s="18">
        <f>IFERROR(__xludf.DUMMYFUNCTION("""COMPUTED_VALUE"""),5.4)</f>
        <v>5.4</v>
      </c>
    </row>
    <row r="258">
      <c r="A258" s="13" t="str">
        <f>IFERROR(__xludf.DUMMYFUNCTION("""COMPUTED_VALUE"""),"послуги")</f>
        <v>послуги</v>
      </c>
      <c r="B258" s="13" t="str">
        <f>IFERROR(__xludf.DUMMYFUNCTION("""COMPUTED_VALUE"""),"інженерно-будівельні послуги")</f>
        <v>інженерно-будівельні послуги</v>
      </c>
      <c r="C258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8" s="15" t="str">
        <f>IFERROR(__xludf.DUMMYFUNCTION("""COMPUTED_VALUE"""),"монтаж та обслуговування системи каналізації")</f>
        <v>монтаж та обслуговування системи каналізації</v>
      </c>
      <c r="E258" s="15" t="str">
        <f>IFERROR(__xludf.DUMMYFUNCTION("""COMPUTED_VALUE"""),"монтаж та обслуговування системи каналізації")</f>
        <v>монтаж та обслуговування системи каналізації</v>
      </c>
      <c r="F258" s="17">
        <f>IFERROR(__xludf.DUMMYFUNCTION("""COMPUTED_VALUE"""),3.0)</f>
        <v>3</v>
      </c>
      <c r="G258" s="17">
        <f>IFERROR(__xludf.DUMMYFUNCTION("""COMPUTED_VALUE"""),284241.0)</f>
        <v>284241</v>
      </c>
      <c r="H258" s="17" t="str">
        <f>IFERROR(__xludf.DUMMYFUNCTION("""COMPUTED_VALUE"""),"монтаж та обслуговування системи каналізації")</f>
        <v>монтаж та обслуговування системи каналізації</v>
      </c>
      <c r="I258" s="18">
        <f>IFERROR(__xludf.DUMMYFUNCTION("""COMPUTED_VALUE"""),1.35)</f>
        <v>1.35</v>
      </c>
      <c r="J258" s="18">
        <f>IFERROR(__xludf.DUMMYFUNCTION("""COMPUTED_VALUE"""),2.7)</f>
        <v>2.7</v>
      </c>
      <c r="K258" s="18">
        <f>IFERROR(__xludf.DUMMYFUNCTION("""COMPUTED_VALUE"""),3.38)</f>
        <v>3.38</v>
      </c>
      <c r="L258" s="18">
        <f>IFERROR(__xludf.DUMMYFUNCTION("""COMPUTED_VALUE"""),5.4)</f>
        <v>5.4</v>
      </c>
    </row>
    <row r="259">
      <c r="A259" s="13" t="str">
        <f>IFERROR(__xludf.DUMMYFUNCTION("""COMPUTED_VALUE"""),"послуги")</f>
        <v>послуги</v>
      </c>
      <c r="B259" s="13" t="str">
        <f>IFERROR(__xludf.DUMMYFUNCTION("""COMPUTED_VALUE"""),"інженерно-будівельні послуги")</f>
        <v>інженерно-будівельні послуги</v>
      </c>
      <c r="C259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9" s="15" t="str">
        <f>IFERROR(__xludf.DUMMYFUNCTION("""COMPUTED_VALUE"""),"монтаж та обслуговування системи фільтрування води")</f>
        <v>монтаж та обслуговування системи фільтрування води</v>
      </c>
      <c r="E259" s="15" t="str">
        <f>IFERROR(__xludf.DUMMYFUNCTION("""COMPUTED_VALUE"""),"монтаж та обслуговування системи фільтрування води")</f>
        <v>монтаж та обслуговування системи фільтрування води</v>
      </c>
      <c r="F259" s="17">
        <f>IFERROR(__xludf.DUMMYFUNCTION("""COMPUTED_VALUE"""),3.0)</f>
        <v>3</v>
      </c>
      <c r="G259" s="17">
        <f>IFERROR(__xludf.DUMMYFUNCTION("""COMPUTED_VALUE"""),284318.0)</f>
        <v>284318</v>
      </c>
      <c r="H259" s="17" t="str">
        <f>IFERROR(__xludf.DUMMYFUNCTION("""COMPUTED_VALUE"""),"монтаж та обслуговування системи фільтрування води")</f>
        <v>монтаж та обслуговування системи фільтрування води</v>
      </c>
      <c r="I259" s="18">
        <f>IFERROR(__xludf.DUMMYFUNCTION("""COMPUTED_VALUE"""),1.35)</f>
        <v>1.35</v>
      </c>
      <c r="J259" s="18">
        <f>IFERROR(__xludf.DUMMYFUNCTION("""COMPUTED_VALUE"""),2.7)</f>
        <v>2.7</v>
      </c>
      <c r="K259" s="18">
        <f>IFERROR(__xludf.DUMMYFUNCTION("""COMPUTED_VALUE"""),3.38)</f>
        <v>3.38</v>
      </c>
      <c r="L259" s="18">
        <f>IFERROR(__xludf.DUMMYFUNCTION("""COMPUTED_VALUE"""),5.4)</f>
        <v>5.4</v>
      </c>
    </row>
    <row r="260">
      <c r="A260" s="13" t="str">
        <f>IFERROR(__xludf.DUMMYFUNCTION("""COMPUTED_VALUE"""),"послуги")</f>
        <v>послуги</v>
      </c>
      <c r="B260" s="13" t="str">
        <f>IFERROR(__xludf.DUMMYFUNCTION("""COMPUTED_VALUE"""),"інженерно-будівельні послуги")</f>
        <v>інженерно-будівельні послуги</v>
      </c>
      <c r="C260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60" s="15" t="str">
        <f>IFERROR(__xludf.DUMMYFUNCTION("""COMPUTED_VALUE"""),"монтаж, налагодження та ремонт інженерних систем, загальне")</f>
        <v>монтаж, налагодження та ремонт інженерних систем, загальне</v>
      </c>
      <c r="E260" s="15" t="str">
        <f>IFERROR(__xludf.DUMMYFUNCTION("""COMPUTED_VALUE"""),"монтаж, налагодження та ремонт інженерних систем, загальне")</f>
        <v>монтаж, налагодження та ремонт інженерних систем, загальне</v>
      </c>
      <c r="F260" s="17">
        <f>IFERROR(__xludf.DUMMYFUNCTION("""COMPUTED_VALUE"""),3.0)</f>
        <v>3</v>
      </c>
      <c r="G260" s="17">
        <f>IFERROR(__xludf.DUMMYFUNCTION("""COMPUTED_VALUE"""),284243.0)</f>
        <v>284243</v>
      </c>
      <c r="H260" s="17" t="str">
        <f>IFERROR(__xludf.DUMMYFUNCTION("""COMPUTED_VALUE"""),"монтаж, налагодження та ремонт інженерних систем, загальне")</f>
        <v>монтаж, налагодження та ремонт інженерних систем, загальне</v>
      </c>
      <c r="I260" s="18">
        <f>IFERROR(__xludf.DUMMYFUNCTION("""COMPUTED_VALUE"""),2.16)</f>
        <v>2.16</v>
      </c>
      <c r="J260" s="18">
        <f>IFERROR(__xludf.DUMMYFUNCTION("""COMPUTED_VALUE"""),4.33)</f>
        <v>4.33</v>
      </c>
      <c r="K260" s="18">
        <f>IFERROR(__xludf.DUMMYFUNCTION("""COMPUTED_VALUE"""),5.41)</f>
        <v>5.41</v>
      </c>
      <c r="L260" s="18">
        <f>IFERROR(__xludf.DUMMYFUNCTION("""COMPUTED_VALUE"""),8.65)</f>
        <v>8.65</v>
      </c>
    </row>
    <row r="261">
      <c r="A261" s="13" t="str">
        <f>IFERROR(__xludf.DUMMYFUNCTION("""COMPUTED_VALUE"""),"послуги")</f>
        <v>послуги</v>
      </c>
      <c r="B261" s="13" t="str">
        <f>IFERROR(__xludf.DUMMYFUNCTION("""COMPUTED_VALUE"""),"інженерно-будівельні послуги")</f>
        <v>інженерно-будівельні послуги</v>
      </c>
      <c r="C261" s="15" t="str">
        <f>IFERROR(__xludf.DUMMYFUNCTION("""COMPUTED_VALUE"""),"будівельно-ремонтні послуги")</f>
        <v>будівельно-ремонтні послуги</v>
      </c>
      <c r="D261" s="15" t="str">
        <f>IFERROR(__xludf.DUMMYFUNCTION("""COMPUTED_VALUE"""),"мурування стін")</f>
        <v>мурування стін</v>
      </c>
      <c r="E261" s="15" t="str">
        <f>IFERROR(__xludf.DUMMYFUNCTION("""COMPUTED_VALUE"""),"мурування стін")</f>
        <v>мурування стін</v>
      </c>
      <c r="F261" s="17">
        <f>IFERROR(__xludf.DUMMYFUNCTION("""COMPUTED_VALUE"""),3.0)</f>
        <v>3</v>
      </c>
      <c r="G261" s="17">
        <f>IFERROR(__xludf.DUMMYFUNCTION("""COMPUTED_VALUE"""),284234.0)</f>
        <v>284234</v>
      </c>
      <c r="H261" s="17" t="str">
        <f>IFERROR(__xludf.DUMMYFUNCTION("""COMPUTED_VALUE"""),"мурування стін")</f>
        <v>мурування стін</v>
      </c>
      <c r="I261" s="18">
        <f>IFERROR(__xludf.DUMMYFUNCTION("""COMPUTED_VALUE"""),1.04)</f>
        <v>1.04</v>
      </c>
      <c r="J261" s="18">
        <f>IFERROR(__xludf.DUMMYFUNCTION("""COMPUTED_VALUE"""),2.08)</f>
        <v>2.08</v>
      </c>
      <c r="K261" s="18">
        <f>IFERROR(__xludf.DUMMYFUNCTION("""COMPUTED_VALUE"""),2.59)</f>
        <v>2.59</v>
      </c>
      <c r="L261" s="18">
        <f>IFERROR(__xludf.DUMMYFUNCTION("""COMPUTED_VALUE"""),4.15)</f>
        <v>4.15</v>
      </c>
    </row>
    <row r="262">
      <c r="A262" s="13" t="str">
        <f>IFERROR(__xludf.DUMMYFUNCTION("""COMPUTED_VALUE"""),"послуги")</f>
        <v>послуги</v>
      </c>
      <c r="B262" s="13" t="str">
        <f>IFERROR(__xludf.DUMMYFUNCTION("""COMPUTED_VALUE"""),"інженерно-будівельні послуги")</f>
        <v>інженерно-будівельні послуги</v>
      </c>
      <c r="C262" s="15" t="str">
        <f>IFERROR(__xludf.DUMMYFUNCTION("""COMPUTED_VALUE"""),"будівельно-ремонтні послуги")</f>
        <v>будівельно-ремонтні послуги</v>
      </c>
      <c r="D262" s="15" t="str">
        <f>IFERROR(__xludf.DUMMYFUNCTION("""COMPUTED_VALUE"""),"облаштування підлог та стель")</f>
        <v>облаштування підлог та стель</v>
      </c>
      <c r="E262" s="15" t="str">
        <f>IFERROR(__xludf.DUMMYFUNCTION("""COMPUTED_VALUE"""),"облаштування підлог та стель")</f>
        <v>облаштування підлог та стель</v>
      </c>
      <c r="F262" s="17">
        <f>IFERROR(__xludf.DUMMYFUNCTION("""COMPUTED_VALUE"""),3.0)</f>
        <v>3</v>
      </c>
      <c r="G262" s="17">
        <f>IFERROR(__xludf.DUMMYFUNCTION("""COMPUTED_VALUE"""),284146.0)</f>
        <v>284146</v>
      </c>
      <c r="H262" s="17" t="str">
        <f>IFERROR(__xludf.DUMMYFUNCTION("""COMPUTED_VALUE"""),"облаштування підлог та стель")</f>
        <v>облаштування підлог та стель</v>
      </c>
      <c r="I262" s="18">
        <f>IFERROR(__xludf.DUMMYFUNCTION("""COMPUTED_VALUE"""),1.62)</f>
        <v>1.62</v>
      </c>
      <c r="J262" s="18">
        <f>IFERROR(__xludf.DUMMYFUNCTION("""COMPUTED_VALUE"""),3.24)</f>
        <v>3.24</v>
      </c>
      <c r="K262" s="18">
        <f>IFERROR(__xludf.DUMMYFUNCTION("""COMPUTED_VALUE"""),4.05)</f>
        <v>4.05</v>
      </c>
      <c r="L262" s="18">
        <f>IFERROR(__xludf.DUMMYFUNCTION("""COMPUTED_VALUE"""),6.48)</f>
        <v>6.48</v>
      </c>
    </row>
    <row r="263">
      <c r="A263" s="13" t="str">
        <f>IFERROR(__xludf.DUMMYFUNCTION("""COMPUTED_VALUE"""),"послуги")</f>
        <v>послуги</v>
      </c>
      <c r="B263" s="13" t="str">
        <f>IFERROR(__xludf.DUMMYFUNCTION("""COMPUTED_VALUE"""),"інженерно-будівельні послуги")</f>
        <v>інженерно-будівельні послуги</v>
      </c>
      <c r="C263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263" s="15" t="str">
        <f>IFERROR(__xludf.DUMMYFUNCTION("""COMPUTED_VALUE"""),"облаштування систем дренажу та водовідведення")</f>
        <v>облаштування систем дренажу та водовідведення</v>
      </c>
      <c r="E263" s="15" t="str">
        <f>IFERROR(__xludf.DUMMYFUNCTION("""COMPUTED_VALUE"""),"облаштування систем дренажу та водовідведення")</f>
        <v>облаштування систем дренажу та водовідведення</v>
      </c>
      <c r="F263" s="17">
        <f>IFERROR(__xludf.DUMMYFUNCTION("""COMPUTED_VALUE"""),3.0)</f>
        <v>3</v>
      </c>
      <c r="G263" s="17">
        <f>IFERROR(__xludf.DUMMYFUNCTION("""COMPUTED_VALUE"""),284255.0)</f>
        <v>284255</v>
      </c>
      <c r="H263" s="17" t="str">
        <f>IFERROR(__xludf.DUMMYFUNCTION("""COMPUTED_VALUE"""),"облаштування систем дренажу та водовідведення")</f>
        <v>облаштування систем дренажу та водовідведення</v>
      </c>
      <c r="I263" s="18">
        <f>IFERROR(__xludf.DUMMYFUNCTION("""COMPUTED_VALUE"""),0.9)</f>
        <v>0.9</v>
      </c>
      <c r="J263" s="18">
        <f>IFERROR(__xludf.DUMMYFUNCTION("""COMPUTED_VALUE"""),1.8)</f>
        <v>1.8</v>
      </c>
      <c r="K263" s="18">
        <f>IFERROR(__xludf.DUMMYFUNCTION("""COMPUTED_VALUE"""),2.25)</f>
        <v>2.25</v>
      </c>
      <c r="L263" s="18">
        <f>IFERROR(__xludf.DUMMYFUNCTION("""COMPUTED_VALUE"""),3.6)</f>
        <v>3.6</v>
      </c>
    </row>
    <row r="264">
      <c r="A264" s="13" t="str">
        <f>IFERROR(__xludf.DUMMYFUNCTION("""COMPUTED_VALUE"""),"послуги")</f>
        <v>послуги</v>
      </c>
      <c r="B264" s="13" t="str">
        <f>IFERROR(__xludf.DUMMYFUNCTION("""COMPUTED_VALUE"""),"інженерно-будівельні послуги")</f>
        <v>інженерно-будівельні послуги</v>
      </c>
      <c r="C264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264" s="15" t="str">
        <f>IFERROR(__xludf.DUMMYFUNCTION("""COMPUTED_VALUE"""),"облаштування штучних водойм та фонтанів")</f>
        <v>облаштування штучних водойм та фонтанів</v>
      </c>
      <c r="E264" s="15" t="str">
        <f>IFERROR(__xludf.DUMMYFUNCTION("""COMPUTED_VALUE"""),"облаштування штучних водойм та фонтанів")</f>
        <v>облаштування штучних водойм та фонтанів</v>
      </c>
      <c r="F264" s="17">
        <f>IFERROR(__xludf.DUMMYFUNCTION("""COMPUTED_VALUE"""),3.0)</f>
        <v>3</v>
      </c>
      <c r="G264" s="17">
        <f>IFERROR(__xludf.DUMMYFUNCTION("""COMPUTED_VALUE"""),284199.0)</f>
        <v>284199</v>
      </c>
      <c r="H264" s="17" t="str">
        <f>IFERROR(__xludf.DUMMYFUNCTION("""COMPUTED_VALUE"""),"облаштування штучних водойм та фонтанів")</f>
        <v>облаштування штучних водойм та фонтанів</v>
      </c>
      <c r="I264" s="18">
        <f>IFERROR(__xludf.DUMMYFUNCTION("""COMPUTED_VALUE"""),1.66)</f>
        <v>1.66</v>
      </c>
      <c r="J264" s="18">
        <f>IFERROR(__xludf.DUMMYFUNCTION("""COMPUTED_VALUE"""),3.33)</f>
        <v>3.33</v>
      </c>
      <c r="K264" s="18">
        <f>IFERROR(__xludf.DUMMYFUNCTION("""COMPUTED_VALUE"""),4.16)</f>
        <v>4.16</v>
      </c>
      <c r="L264" s="18">
        <f>IFERROR(__xludf.DUMMYFUNCTION("""COMPUTED_VALUE"""),6.65)</f>
        <v>6.65</v>
      </c>
    </row>
    <row r="265">
      <c r="A265" s="13" t="str">
        <f>IFERROR(__xludf.DUMMYFUNCTION("""COMPUTED_VALUE"""),"послуги")</f>
        <v>послуги</v>
      </c>
      <c r="B265" s="13" t="str">
        <f>IFERROR(__xludf.DUMMYFUNCTION("""COMPUTED_VALUE"""),"інженерно-будівельні послуги")</f>
        <v>інженерно-будівельні послуги</v>
      </c>
      <c r="C265" s="15" t="str">
        <f>IFERROR(__xludf.DUMMYFUNCTION("""COMPUTED_VALUE"""),"будівельно-ремонтні послуги")</f>
        <v>будівельно-ремонтні послуги</v>
      </c>
      <c r="D265" s="15" t="str">
        <f>IFERROR(__xludf.DUMMYFUNCTION("""COMPUTED_VALUE"""),"оздоблювальні роботи")</f>
        <v>оздоблювальні роботи</v>
      </c>
      <c r="E265" s="15" t="str">
        <f>IFERROR(__xludf.DUMMYFUNCTION("""COMPUTED_VALUE"""),"оздоблювальні роботи")</f>
        <v>оздоблювальні роботи</v>
      </c>
      <c r="F265" s="17">
        <f>IFERROR(__xludf.DUMMYFUNCTION("""COMPUTED_VALUE"""),3.0)</f>
        <v>3</v>
      </c>
      <c r="G265" s="17">
        <f>IFERROR(__xludf.DUMMYFUNCTION("""COMPUTED_VALUE"""),284132.0)</f>
        <v>284132</v>
      </c>
      <c r="H265" s="17" t="str">
        <f>IFERROR(__xludf.DUMMYFUNCTION("""COMPUTED_VALUE"""),"оздоблювальні роботи")</f>
        <v>оздоблювальні роботи</v>
      </c>
      <c r="I265" s="18">
        <f>IFERROR(__xludf.DUMMYFUNCTION("""COMPUTED_VALUE"""),1.26)</f>
        <v>1.26</v>
      </c>
      <c r="J265" s="18">
        <f>IFERROR(__xludf.DUMMYFUNCTION("""COMPUTED_VALUE"""),2.53)</f>
        <v>2.53</v>
      </c>
      <c r="K265" s="18">
        <f>IFERROR(__xludf.DUMMYFUNCTION("""COMPUTED_VALUE"""),3.16)</f>
        <v>3.16</v>
      </c>
      <c r="L265" s="18">
        <f>IFERROR(__xludf.DUMMYFUNCTION("""COMPUTED_VALUE"""),5.05)</f>
        <v>5.05</v>
      </c>
    </row>
    <row r="266">
      <c r="A266" s="13" t="str">
        <f>IFERROR(__xludf.DUMMYFUNCTION("""COMPUTED_VALUE"""),"послуги")</f>
        <v>послуги</v>
      </c>
      <c r="B266" s="13" t="str">
        <f>IFERROR(__xludf.DUMMYFUNCTION("""COMPUTED_VALUE"""),"інженерно-будівельні послуги")</f>
        <v>інженерно-будівельні послуги</v>
      </c>
      <c r="C266" s="15" t="str">
        <f>IFERROR(__xludf.DUMMYFUNCTION("""COMPUTED_VALUE"""),"будівельно-ремонтні послуги")</f>
        <v>будівельно-ремонтні послуги</v>
      </c>
      <c r="D266" s="15" t="str">
        <f>IFERROR(__xludf.DUMMYFUNCTION("""COMPUTED_VALUE"""),"послуги скління")</f>
        <v>послуги скління</v>
      </c>
      <c r="E266" s="15" t="str">
        <f>IFERROR(__xludf.DUMMYFUNCTION("""COMPUTED_VALUE"""),"послуги скління")</f>
        <v>послуги скління</v>
      </c>
      <c r="F266" s="17">
        <f>IFERROR(__xludf.DUMMYFUNCTION("""COMPUTED_VALUE"""),3.0)</f>
        <v>3</v>
      </c>
      <c r="G266" s="17">
        <f>IFERROR(__xludf.DUMMYFUNCTION("""COMPUTED_VALUE"""),284284.0)</f>
        <v>284284</v>
      </c>
      <c r="H266" s="17" t="str">
        <f>IFERROR(__xludf.DUMMYFUNCTION("""COMPUTED_VALUE"""),"послуги скління")</f>
        <v>послуги скління</v>
      </c>
      <c r="I266" s="18">
        <f>IFERROR(__xludf.DUMMYFUNCTION("""COMPUTED_VALUE"""),0.72)</f>
        <v>0.72</v>
      </c>
      <c r="J266" s="18">
        <f>IFERROR(__xludf.DUMMYFUNCTION("""COMPUTED_VALUE"""),1.44)</f>
        <v>1.44</v>
      </c>
      <c r="K266" s="18">
        <f>IFERROR(__xludf.DUMMYFUNCTION("""COMPUTED_VALUE"""),1.8)</f>
        <v>1.8</v>
      </c>
      <c r="L266" s="18">
        <f>IFERROR(__xludf.DUMMYFUNCTION("""COMPUTED_VALUE"""),2.88)</f>
        <v>2.88</v>
      </c>
    </row>
    <row r="267">
      <c r="A267" s="13" t="str">
        <f>IFERROR(__xludf.DUMMYFUNCTION("""COMPUTED_VALUE"""),"послуги")</f>
        <v>послуги</v>
      </c>
      <c r="B267" s="13" t="str">
        <f>IFERROR(__xludf.DUMMYFUNCTION("""COMPUTED_VALUE"""),"інженерно-будівельні послуги")</f>
        <v>інженерно-будівельні послуги</v>
      </c>
      <c r="C267" s="15" t="str">
        <f>IFERROR(__xludf.DUMMYFUNCTION("""COMPUTED_VALUE"""),"проектні послуги")</f>
        <v>проектні послуги</v>
      </c>
      <c r="D267" s="15" t="str">
        <f>IFERROR(__xludf.DUMMYFUNCTION("""COMPUTED_VALUE"""),"проектні послуги, загальне")</f>
        <v>проектні послуги, загальне</v>
      </c>
      <c r="E267" s="15" t="str">
        <f>IFERROR(__xludf.DUMMYFUNCTION("""COMPUTED_VALUE"""),"проектні послуги, загальне")</f>
        <v>проектні послуги, загальне</v>
      </c>
      <c r="F267" s="17">
        <f>IFERROR(__xludf.DUMMYFUNCTION("""COMPUTED_VALUE"""),3.0)</f>
        <v>3</v>
      </c>
      <c r="G267" s="17">
        <f>IFERROR(__xludf.DUMMYFUNCTION("""COMPUTED_VALUE"""),2.8410401E7)</f>
        <v>28410401</v>
      </c>
      <c r="H267" s="17" t="str">
        <f>IFERROR(__xludf.DUMMYFUNCTION("""COMPUTED_VALUE"""),"проектні послуги, загальне")</f>
        <v>проектні послуги, загальне</v>
      </c>
      <c r="I267" s="18">
        <f>IFERROR(__xludf.DUMMYFUNCTION("""COMPUTED_VALUE"""),2.16)</f>
        <v>2.16</v>
      </c>
      <c r="J267" s="18">
        <f>IFERROR(__xludf.DUMMYFUNCTION("""COMPUTED_VALUE"""),4.33)</f>
        <v>4.33</v>
      </c>
      <c r="K267" s="18">
        <f>IFERROR(__xludf.DUMMYFUNCTION("""COMPUTED_VALUE"""),5.41)</f>
        <v>5.41</v>
      </c>
      <c r="L267" s="18">
        <f>IFERROR(__xludf.DUMMYFUNCTION("""COMPUTED_VALUE"""),8.65)</f>
        <v>8.65</v>
      </c>
    </row>
    <row r="268">
      <c r="A268" s="13" t="str">
        <f>IFERROR(__xludf.DUMMYFUNCTION("""COMPUTED_VALUE"""),"послуги")</f>
        <v>послуги</v>
      </c>
      <c r="B268" s="13" t="str">
        <f>IFERROR(__xludf.DUMMYFUNCTION("""COMPUTED_VALUE"""),"інженерно-будівельні послуги")</f>
        <v>інженерно-будівельні послуги</v>
      </c>
      <c r="C268" s="15" t="str">
        <f>IFERROR(__xludf.DUMMYFUNCTION("""COMPUTED_VALUE"""),"проектні послуги")</f>
        <v>проектні послуги</v>
      </c>
      <c r="D268" s="15" t="str">
        <f>IFERROR(__xludf.DUMMYFUNCTION("""COMPUTED_VALUE"""),"проектування доріг")</f>
        <v>проектування доріг</v>
      </c>
      <c r="E268" s="15" t="str">
        <f>IFERROR(__xludf.DUMMYFUNCTION("""COMPUTED_VALUE"""),"проектування доріг")</f>
        <v>проектування доріг</v>
      </c>
      <c r="F268" s="17">
        <f>IFERROR(__xludf.DUMMYFUNCTION("""COMPUTED_VALUE"""),3.0)</f>
        <v>3</v>
      </c>
      <c r="G268" s="17">
        <f>IFERROR(__xludf.DUMMYFUNCTION("""COMPUTED_VALUE"""),284305.0)</f>
        <v>284305</v>
      </c>
      <c r="H268" s="17" t="str">
        <f>IFERROR(__xludf.DUMMYFUNCTION("""COMPUTED_VALUE"""),"проектування доріг")</f>
        <v>проектування доріг</v>
      </c>
      <c r="I268" s="18">
        <f>IFERROR(__xludf.DUMMYFUNCTION("""COMPUTED_VALUE"""),0.76)</f>
        <v>0.76</v>
      </c>
      <c r="J268" s="18">
        <f>IFERROR(__xludf.DUMMYFUNCTION("""COMPUTED_VALUE"""),1.53)</f>
        <v>1.53</v>
      </c>
      <c r="K268" s="18">
        <f>IFERROR(__xludf.DUMMYFUNCTION("""COMPUTED_VALUE"""),1.91)</f>
        <v>1.91</v>
      </c>
      <c r="L268" s="18">
        <f>IFERROR(__xludf.DUMMYFUNCTION("""COMPUTED_VALUE"""),3.05)</f>
        <v>3.05</v>
      </c>
    </row>
    <row r="269">
      <c r="A269" s="13" t="str">
        <f>IFERROR(__xludf.DUMMYFUNCTION("""COMPUTED_VALUE"""),"послуги")</f>
        <v>послуги</v>
      </c>
      <c r="B269" s="13" t="str">
        <f>IFERROR(__xludf.DUMMYFUNCTION("""COMPUTED_VALUE"""),"інженерно-будівельні послуги")</f>
        <v>інженерно-будівельні послуги</v>
      </c>
      <c r="C269" s="15" t="str">
        <f>IFERROR(__xludf.DUMMYFUNCTION("""COMPUTED_VALUE"""),"проектні послуги")</f>
        <v>проектні послуги</v>
      </c>
      <c r="D269" s="15" t="str">
        <f>IFERROR(__xludf.DUMMYFUNCTION("""COMPUTED_VALUE"""),"проектування промислових будівель і споруд")</f>
        <v>проектування промислових будівель і споруд</v>
      </c>
      <c r="E269" s="15" t="str">
        <f>IFERROR(__xludf.DUMMYFUNCTION("""COMPUTED_VALUE"""),"проектування промислових будівель і споруд")</f>
        <v>проектування промислових будівель і споруд</v>
      </c>
      <c r="F269" s="17">
        <f>IFERROR(__xludf.DUMMYFUNCTION("""COMPUTED_VALUE"""),3.0)</f>
        <v>3</v>
      </c>
      <c r="G269" s="17">
        <f>IFERROR(__xludf.DUMMYFUNCTION("""COMPUTED_VALUE"""),284251.0)</f>
        <v>284251</v>
      </c>
      <c r="H269" s="17" t="str">
        <f>IFERROR(__xludf.DUMMYFUNCTION("""COMPUTED_VALUE"""),"проектування промислових будівель і споруд")</f>
        <v>проектування промислових будівель і споруд</v>
      </c>
      <c r="I269" s="18">
        <f>IFERROR(__xludf.DUMMYFUNCTION("""COMPUTED_VALUE"""),2.7)</f>
        <v>2.7</v>
      </c>
      <c r="J269" s="18">
        <f>IFERROR(__xludf.DUMMYFUNCTION("""COMPUTED_VALUE"""),5.4)</f>
        <v>5.4</v>
      </c>
      <c r="K269" s="18">
        <f>IFERROR(__xludf.DUMMYFUNCTION("""COMPUTED_VALUE"""),6.75)</f>
        <v>6.75</v>
      </c>
      <c r="L269" s="18">
        <f>IFERROR(__xludf.DUMMYFUNCTION("""COMPUTED_VALUE"""),10.8)</f>
        <v>10.8</v>
      </c>
    </row>
    <row r="270">
      <c r="A270" s="13" t="str">
        <f>IFERROR(__xludf.DUMMYFUNCTION("""COMPUTED_VALUE"""),"послуги")</f>
        <v>послуги</v>
      </c>
      <c r="B270" s="13" t="str">
        <f>IFERROR(__xludf.DUMMYFUNCTION("""COMPUTED_VALUE"""),"інженерно-будівельні послуги")</f>
        <v>інженерно-будівельні послуги</v>
      </c>
      <c r="C270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70" s="15" t="str">
        <f>IFERROR(__xludf.DUMMYFUNCTION("""COMPUTED_VALUE"""),"сантехнічні роботи")</f>
        <v>сантехнічні роботи</v>
      </c>
      <c r="E270" s="15" t="str">
        <f>IFERROR(__xludf.DUMMYFUNCTION("""COMPUTED_VALUE"""),"сантехнічні роботи")</f>
        <v>сантехнічні роботи</v>
      </c>
      <c r="F270" s="17">
        <f>IFERROR(__xludf.DUMMYFUNCTION("""COMPUTED_VALUE"""),3.0)</f>
        <v>3</v>
      </c>
      <c r="G270" s="17">
        <f>IFERROR(__xludf.DUMMYFUNCTION("""COMPUTED_VALUE"""),284173.0)</f>
        <v>284173</v>
      </c>
      <c r="H270" s="17" t="str">
        <f>IFERROR(__xludf.DUMMYFUNCTION("""COMPUTED_VALUE"""),"сантехнічні роботи")</f>
        <v>сантехнічні роботи</v>
      </c>
      <c r="I270" s="18">
        <f>IFERROR(__xludf.DUMMYFUNCTION("""COMPUTED_VALUE"""),1.84)</f>
        <v>1.84</v>
      </c>
      <c r="J270" s="18">
        <f>IFERROR(__xludf.DUMMYFUNCTION("""COMPUTED_VALUE"""),3.69)</f>
        <v>3.69</v>
      </c>
      <c r="K270" s="18">
        <f>IFERROR(__xludf.DUMMYFUNCTION("""COMPUTED_VALUE"""),4.61)</f>
        <v>4.61</v>
      </c>
      <c r="L270" s="18">
        <f>IFERROR(__xludf.DUMMYFUNCTION("""COMPUTED_VALUE"""),7.38)</f>
        <v>7.38</v>
      </c>
    </row>
    <row r="271">
      <c r="A271" s="13" t="str">
        <f>IFERROR(__xludf.DUMMYFUNCTION("""COMPUTED_VALUE"""),"товари")</f>
        <v>товари</v>
      </c>
      <c r="B271" s="13" t="str">
        <f>IFERROR(__xludf.DUMMYFUNCTION("""COMPUTED_VALUE"""),"інструменти")</f>
        <v>інструменти</v>
      </c>
      <c r="C271" s="15" t="str">
        <f>IFERROR(__xludf.DUMMYFUNCTION("""COMPUTED_VALUE"""),"будівельний інструмент")</f>
        <v>будівельний інструмент</v>
      </c>
      <c r="D271" s="15" t="str">
        <f>IFERROR(__xludf.DUMMYFUNCTION("""COMPUTED_VALUE"""),"будівельний вимірювальний інструмент")</f>
        <v>будівельний вимірювальний інструмент</v>
      </c>
      <c r="E271" s="15" t="str">
        <f>IFERROR(__xludf.DUMMYFUNCTION("""COMPUTED_VALUE"""),"будівельний вимірювальний інструмент, загальне")</f>
        <v>будівельний вимірювальний інструмент, загальне</v>
      </c>
      <c r="F271" s="17">
        <f>IFERROR(__xludf.DUMMYFUNCTION("""COMPUTED_VALUE"""),4.0)</f>
        <v>4</v>
      </c>
      <c r="G271" s="17">
        <f>IFERROR(__xludf.DUMMYFUNCTION("""COMPUTED_VALUE"""),1.4201633E7)</f>
        <v>14201633</v>
      </c>
      <c r="H271" s="17" t="str">
        <f>IFERROR(__xludf.DUMMYFUNCTION("""COMPUTED_VALUE"""),"будівельний вимірювальний інструмент, загальне")</f>
        <v>будівельний вимірювальний інструмент, загальне</v>
      </c>
      <c r="I271" s="18">
        <f>IFERROR(__xludf.DUMMYFUNCTION("""COMPUTED_VALUE"""),2.16)</f>
        <v>2.16</v>
      </c>
      <c r="J271" s="18">
        <f>IFERROR(__xludf.DUMMYFUNCTION("""COMPUTED_VALUE"""),4.33)</f>
        <v>4.33</v>
      </c>
      <c r="K271" s="18">
        <f>IFERROR(__xludf.DUMMYFUNCTION("""COMPUTED_VALUE"""),5.41)</f>
        <v>5.41</v>
      </c>
      <c r="L271" s="18">
        <f>IFERROR(__xludf.DUMMYFUNCTION("""COMPUTED_VALUE"""),8.65)</f>
        <v>8.65</v>
      </c>
    </row>
    <row r="272">
      <c r="A272" s="13" t="str">
        <f>IFERROR(__xludf.DUMMYFUNCTION("""COMPUTED_VALUE"""),"товари")</f>
        <v>товари</v>
      </c>
      <c r="B272" s="13" t="str">
        <f>IFERROR(__xludf.DUMMYFUNCTION("""COMPUTED_VALUE"""),"інструменти")</f>
        <v>інструменти</v>
      </c>
      <c r="C272" s="15" t="str">
        <f>IFERROR(__xludf.DUMMYFUNCTION("""COMPUTED_VALUE"""),"гідравлічний інструмент")</f>
        <v>гідравлічний інструмент</v>
      </c>
      <c r="D272" s="15" t="str">
        <f>IFERROR(__xludf.DUMMYFUNCTION("""COMPUTED_VALUE"""),"гідравлічні дироколи")</f>
        <v>гідравлічні дироколи</v>
      </c>
      <c r="E272" s="15" t="str">
        <f>IFERROR(__xludf.DUMMYFUNCTION("""COMPUTED_VALUE"""),"гідравлічні дироколи")</f>
        <v>гідравлічні дироколи</v>
      </c>
      <c r="F272" s="17">
        <f>IFERROR(__xludf.DUMMYFUNCTION("""COMPUTED_VALUE"""),3.0)</f>
        <v>3</v>
      </c>
      <c r="G272" s="17">
        <f>IFERROR(__xludf.DUMMYFUNCTION("""COMPUTED_VALUE"""),1.4200903E7)</f>
        <v>14200903</v>
      </c>
      <c r="H272" s="17" t="str">
        <f>IFERROR(__xludf.DUMMYFUNCTION("""COMPUTED_VALUE"""),"гідравлічні дироколи")</f>
        <v>гідравлічні дироколи</v>
      </c>
      <c r="I272" s="18">
        <f>IFERROR(__xludf.DUMMYFUNCTION("""COMPUTED_VALUE"""),1.26)</f>
        <v>1.26</v>
      </c>
      <c r="J272" s="18">
        <f>IFERROR(__xludf.DUMMYFUNCTION("""COMPUTED_VALUE"""),2.53)</f>
        <v>2.53</v>
      </c>
      <c r="K272" s="18">
        <f>IFERROR(__xludf.DUMMYFUNCTION("""COMPUTED_VALUE"""),3.16)</f>
        <v>3.16</v>
      </c>
      <c r="L272" s="18">
        <f>IFERROR(__xludf.DUMMYFUNCTION("""COMPUTED_VALUE"""),5.05)</f>
        <v>5.05</v>
      </c>
    </row>
    <row r="273">
      <c r="A273" s="13" t="str">
        <f>IFERROR(__xludf.DUMMYFUNCTION("""COMPUTED_VALUE"""),"товари")</f>
        <v>товари</v>
      </c>
      <c r="B273" s="13" t="str">
        <f>IFERROR(__xludf.DUMMYFUNCTION("""COMPUTED_VALUE"""),"інструменти")</f>
        <v>інструменти</v>
      </c>
      <c r="C273" s="15" t="str">
        <f>IFERROR(__xludf.DUMMYFUNCTION("""COMPUTED_VALUE"""),"оснащення для інструменту")</f>
        <v>оснащення для інструменту</v>
      </c>
      <c r="D273" s="15" t="str">
        <f>IFERROR(__xludf.DUMMYFUNCTION("""COMPUTED_VALUE"""),"долбяки")</f>
        <v>долбяки</v>
      </c>
      <c r="E273" s="15" t="str">
        <f>IFERROR(__xludf.DUMMYFUNCTION("""COMPUTED_VALUE"""),"долбяки")</f>
        <v>долбяки</v>
      </c>
      <c r="F273" s="17">
        <f>IFERROR(__xludf.DUMMYFUNCTION("""COMPUTED_VALUE"""),3.0)</f>
        <v>3</v>
      </c>
      <c r="G273" s="17">
        <f>IFERROR(__xludf.DUMMYFUNCTION("""COMPUTED_VALUE"""),1.4201006E7)</f>
        <v>14201006</v>
      </c>
      <c r="H273" s="17" t="str">
        <f>IFERROR(__xludf.DUMMYFUNCTION("""COMPUTED_VALUE"""),"долбяки")</f>
        <v>долбяки</v>
      </c>
      <c r="I273" s="18">
        <f>IFERROR(__xludf.DUMMYFUNCTION("""COMPUTED_VALUE"""),0.63)</f>
        <v>0.63</v>
      </c>
      <c r="J273" s="18">
        <f>IFERROR(__xludf.DUMMYFUNCTION("""COMPUTED_VALUE"""),1.26)</f>
        <v>1.26</v>
      </c>
      <c r="K273" s="18">
        <f>IFERROR(__xludf.DUMMYFUNCTION("""COMPUTED_VALUE"""),1.58)</f>
        <v>1.58</v>
      </c>
      <c r="L273" s="18">
        <f>IFERROR(__xludf.DUMMYFUNCTION("""COMPUTED_VALUE"""),2.53)</f>
        <v>2.53</v>
      </c>
    </row>
    <row r="274">
      <c r="A274" s="13" t="str">
        <f>IFERROR(__xludf.DUMMYFUNCTION("""COMPUTED_VALUE"""),"товари")</f>
        <v>товари</v>
      </c>
      <c r="B274" s="13" t="str">
        <f>IFERROR(__xludf.DUMMYFUNCTION("""COMPUTED_VALUE"""),"інструменти")</f>
        <v>інструменти</v>
      </c>
      <c r="C274" s="15" t="str">
        <f>IFERROR(__xludf.DUMMYFUNCTION("""COMPUTED_VALUE"""),"електроінструмент")</f>
        <v>електроінструмент</v>
      </c>
      <c r="D274" s="15" t="str">
        <f>IFERROR(__xludf.DUMMYFUNCTION("""COMPUTED_VALUE"""),"електричні клупи")</f>
        <v>електричні клупи</v>
      </c>
      <c r="E274" s="15" t="str">
        <f>IFERROR(__xludf.DUMMYFUNCTION("""COMPUTED_VALUE"""),"електричні клупи")</f>
        <v>електричні клупи</v>
      </c>
      <c r="F274" s="17">
        <f>IFERROR(__xludf.DUMMYFUNCTION("""COMPUTED_VALUE"""),3.0)</f>
        <v>3</v>
      </c>
      <c r="G274" s="17">
        <f>IFERROR(__xludf.DUMMYFUNCTION("""COMPUTED_VALUE"""),141733.0)</f>
        <v>141733</v>
      </c>
      <c r="H274" s="17" t="str">
        <f>IFERROR(__xludf.DUMMYFUNCTION("""COMPUTED_VALUE"""),"електричні клупи")</f>
        <v>електричні клупи</v>
      </c>
      <c r="I274" s="18">
        <f>IFERROR(__xludf.DUMMYFUNCTION("""COMPUTED_VALUE"""),0.76)</f>
        <v>0.76</v>
      </c>
      <c r="J274" s="18">
        <f>IFERROR(__xludf.DUMMYFUNCTION("""COMPUTED_VALUE"""),1.53)</f>
        <v>1.53</v>
      </c>
      <c r="K274" s="18">
        <f>IFERROR(__xludf.DUMMYFUNCTION("""COMPUTED_VALUE"""),1.91)</f>
        <v>1.91</v>
      </c>
      <c r="L274" s="18">
        <f>IFERROR(__xludf.DUMMYFUNCTION("""COMPUTED_VALUE"""),3.05)</f>
        <v>3.05</v>
      </c>
    </row>
    <row r="275">
      <c r="A275" s="13" t="str">
        <f>IFERROR(__xludf.DUMMYFUNCTION("""COMPUTED_VALUE"""),"товари")</f>
        <v>товари</v>
      </c>
      <c r="B275" s="13" t="str">
        <f>IFERROR(__xludf.DUMMYFUNCTION("""COMPUTED_VALUE"""),"інструменти")</f>
        <v>інструменти</v>
      </c>
      <c r="C275" s="15" t="str">
        <f>IFERROR(__xludf.DUMMYFUNCTION("""COMPUTED_VALUE"""),"електроінструмент")</f>
        <v>електроінструмент</v>
      </c>
      <c r="D275" s="15" t="str">
        <f>IFERROR(__xludf.DUMMYFUNCTION("""COMPUTED_VALUE"""),"електричні ручні преси")</f>
        <v>електричні ручні преси</v>
      </c>
      <c r="E275" s="15" t="str">
        <f>IFERROR(__xludf.DUMMYFUNCTION("""COMPUTED_VALUE"""),"електричні ручні преси")</f>
        <v>електричні ручні преси</v>
      </c>
      <c r="F275" s="17">
        <f>IFERROR(__xludf.DUMMYFUNCTION("""COMPUTED_VALUE"""),3.0)</f>
        <v>3</v>
      </c>
      <c r="G275" s="17">
        <f>IFERROR(__xludf.DUMMYFUNCTION("""COMPUTED_VALUE"""),141731.0)</f>
        <v>141731</v>
      </c>
      <c r="H275" s="17" t="str">
        <f>IFERROR(__xludf.DUMMYFUNCTION("""COMPUTED_VALUE"""),"електричні ручні преси")</f>
        <v>електричні ручні преси</v>
      </c>
      <c r="I275" s="18">
        <f>IFERROR(__xludf.DUMMYFUNCTION("""COMPUTED_VALUE"""),1.04)</f>
        <v>1.04</v>
      </c>
      <c r="J275" s="18">
        <f>IFERROR(__xludf.DUMMYFUNCTION("""COMPUTED_VALUE"""),2.08)</f>
        <v>2.08</v>
      </c>
      <c r="K275" s="18">
        <f>IFERROR(__xludf.DUMMYFUNCTION("""COMPUTED_VALUE"""),2.59)</f>
        <v>2.59</v>
      </c>
      <c r="L275" s="18">
        <f>IFERROR(__xludf.DUMMYFUNCTION("""COMPUTED_VALUE"""),4.15)</f>
        <v>4.15</v>
      </c>
    </row>
    <row r="276">
      <c r="A276" s="13" t="str">
        <f>IFERROR(__xludf.DUMMYFUNCTION("""COMPUTED_VALUE"""),"товари")</f>
        <v>товари</v>
      </c>
      <c r="B276" s="13" t="str">
        <f>IFERROR(__xludf.DUMMYFUNCTION("""COMPUTED_VALUE"""),"інструменти")</f>
        <v>інструменти</v>
      </c>
      <c r="C276" s="15" t="str">
        <f>IFERROR(__xludf.DUMMYFUNCTION("""COMPUTED_VALUE"""),"ручний інструмент")</f>
        <v>ручний інструмент</v>
      </c>
      <c r="D276" s="15" t="str">
        <f>IFERROR(__xludf.DUMMYFUNCTION("""COMPUTED_VALUE"""),"клейма і щипці для таврування")</f>
        <v>клейма і щипці для таврування</v>
      </c>
      <c r="E276" s="15" t="str">
        <f>IFERROR(__xludf.DUMMYFUNCTION("""COMPUTED_VALUE"""),"клейма і щипці для таврування")</f>
        <v>клейма і щипці для таврування</v>
      </c>
      <c r="F276" s="17">
        <f>IFERROR(__xludf.DUMMYFUNCTION("""COMPUTED_VALUE"""),3.0)</f>
        <v>3</v>
      </c>
      <c r="G276" s="17">
        <f>IFERROR(__xludf.DUMMYFUNCTION("""COMPUTED_VALUE"""),1.4200357E7)</f>
        <v>14200357</v>
      </c>
      <c r="H276" s="17" t="str">
        <f>IFERROR(__xludf.DUMMYFUNCTION("""COMPUTED_VALUE"""),"клейма і щипці для таврування")</f>
        <v>клейма і щипці для таврування</v>
      </c>
      <c r="I276" s="18">
        <f>IFERROR(__xludf.DUMMYFUNCTION("""COMPUTED_VALUE"""),0.76)</f>
        <v>0.76</v>
      </c>
      <c r="J276" s="18">
        <f>IFERROR(__xludf.DUMMYFUNCTION("""COMPUTED_VALUE"""),1.53)</f>
        <v>1.53</v>
      </c>
      <c r="K276" s="18">
        <f>IFERROR(__xludf.DUMMYFUNCTION("""COMPUTED_VALUE"""),1.91)</f>
        <v>1.91</v>
      </c>
      <c r="L276" s="18">
        <f>IFERROR(__xludf.DUMMYFUNCTION("""COMPUTED_VALUE"""),3.05)</f>
        <v>3.05</v>
      </c>
    </row>
    <row r="277">
      <c r="A277" s="13" t="str">
        <f>IFERROR(__xludf.DUMMYFUNCTION("""COMPUTED_VALUE"""),"товари")</f>
        <v>товари</v>
      </c>
      <c r="B277" s="13" t="str">
        <f>IFERROR(__xludf.DUMMYFUNCTION("""COMPUTED_VALUE"""),"інструменти")</f>
        <v>інструменти</v>
      </c>
      <c r="C277" s="15" t="str">
        <f>IFERROR(__xludf.DUMMYFUNCTION("""COMPUTED_VALUE"""),"ручний інструмент")</f>
        <v>ручний інструмент</v>
      </c>
      <c r="D277" s="15" t="str">
        <f>IFERROR(__xludf.DUMMYFUNCTION("""COMPUTED_VALUE"""),"ключі")</f>
        <v>ключі</v>
      </c>
      <c r="E277" s="15" t="str">
        <f>IFERROR(__xludf.DUMMYFUNCTION("""COMPUTED_VALUE"""),"ключі для кутових шліфувальних машин")</f>
        <v>ключі для кутових шліфувальних машин</v>
      </c>
      <c r="F277" s="17">
        <f>IFERROR(__xludf.DUMMYFUNCTION("""COMPUTED_VALUE"""),4.0)</f>
        <v>4</v>
      </c>
      <c r="G277" s="17">
        <f>IFERROR(__xludf.DUMMYFUNCTION("""COMPUTED_VALUE"""),1.4200393E7)</f>
        <v>14200393</v>
      </c>
      <c r="H277" s="17" t="str">
        <f>IFERROR(__xludf.DUMMYFUNCTION("""COMPUTED_VALUE"""),"ключі для кутових шліфувальних машин")</f>
        <v>ключі для кутових шліфувальних машин</v>
      </c>
      <c r="I277" s="18">
        <f>IFERROR(__xludf.DUMMYFUNCTION("""COMPUTED_VALUE"""),0.76)</f>
        <v>0.76</v>
      </c>
      <c r="J277" s="18">
        <f>IFERROR(__xludf.DUMMYFUNCTION("""COMPUTED_VALUE"""),1.53)</f>
        <v>1.53</v>
      </c>
      <c r="K277" s="18">
        <f>IFERROR(__xludf.DUMMYFUNCTION("""COMPUTED_VALUE"""),1.91)</f>
        <v>1.91</v>
      </c>
      <c r="L277" s="18">
        <f>IFERROR(__xludf.DUMMYFUNCTION("""COMPUTED_VALUE"""),3.05)</f>
        <v>3.05</v>
      </c>
    </row>
    <row r="278">
      <c r="A278" s="13" t="str">
        <f>IFERROR(__xludf.DUMMYFUNCTION("""COMPUTED_VALUE"""),"товари")</f>
        <v>товари</v>
      </c>
      <c r="B278" s="13" t="str">
        <f>IFERROR(__xludf.DUMMYFUNCTION("""COMPUTED_VALUE"""),"інструменти")</f>
        <v>інструменти</v>
      </c>
      <c r="C278" s="15" t="str">
        <f>IFERROR(__xludf.DUMMYFUNCTION("""COMPUTED_VALUE"""),"електроінструмент")</f>
        <v>електроінструмент</v>
      </c>
      <c r="D278" s="15" t="str">
        <f>IFERROR(__xludf.DUMMYFUNCTION("""COMPUTED_VALUE"""),"електричні пили")</f>
        <v>електричні пили</v>
      </c>
      <c r="E278" s="15" t="str">
        <f>IFERROR(__xludf.DUMMYFUNCTION("""COMPUTED_VALUE"""),"пили електричні, загальне")</f>
        <v>пили електричні, загальне</v>
      </c>
      <c r="F278" s="17">
        <f>IFERROR(__xludf.DUMMYFUNCTION("""COMPUTED_VALUE"""),4.0)</f>
        <v>4</v>
      </c>
      <c r="G278" s="17">
        <f>IFERROR(__xludf.DUMMYFUNCTION("""COMPUTED_VALUE"""),1.4172704E7)</f>
        <v>14172704</v>
      </c>
      <c r="H278" s="17" t="str">
        <f>IFERROR(__xludf.DUMMYFUNCTION("""COMPUTED_VALUE"""),"пили електричні, загальне")</f>
        <v>пили електричні, загальне</v>
      </c>
      <c r="I278" s="18">
        <f>IFERROR(__xludf.DUMMYFUNCTION("""COMPUTED_VALUE"""),2.16)</f>
        <v>2.16</v>
      </c>
      <c r="J278" s="18">
        <f>IFERROR(__xludf.DUMMYFUNCTION("""COMPUTED_VALUE"""),4.33)</f>
        <v>4.33</v>
      </c>
      <c r="K278" s="18">
        <f>IFERROR(__xludf.DUMMYFUNCTION("""COMPUTED_VALUE"""),5.41)</f>
        <v>5.41</v>
      </c>
      <c r="L278" s="18">
        <f>IFERROR(__xludf.DUMMYFUNCTION("""COMPUTED_VALUE"""),8.65)</f>
        <v>8.65</v>
      </c>
    </row>
    <row r="279">
      <c r="A279" s="13" t="str">
        <f>IFERROR(__xludf.DUMMYFUNCTION("""COMPUTED_VALUE"""),"товари")</f>
        <v>товари</v>
      </c>
      <c r="B279" s="13" t="str">
        <f>IFERROR(__xludf.DUMMYFUNCTION("""COMPUTED_VALUE"""),"інструменти")</f>
        <v>інструменти</v>
      </c>
      <c r="C279" s="15" t="str">
        <f>IFERROR(__xludf.DUMMYFUNCTION("""COMPUTED_VALUE"""),"пневматичний інструмент")</f>
        <v>пневматичний інструмент</v>
      </c>
      <c r="D279" s="15" t="str">
        <f>IFERROR(__xludf.DUMMYFUNCTION("""COMPUTED_VALUE"""),"пневматичні перфоратори")</f>
        <v>пневматичні перфоратори</v>
      </c>
      <c r="E279" s="15" t="str">
        <f>IFERROR(__xludf.DUMMYFUNCTION("""COMPUTED_VALUE"""),"пневматичні перфоратори")</f>
        <v>пневматичні перфоратори</v>
      </c>
      <c r="F279" s="17">
        <f>IFERROR(__xludf.DUMMYFUNCTION("""COMPUTED_VALUE"""),3.0)</f>
        <v>3</v>
      </c>
      <c r="G279" s="17">
        <f>IFERROR(__xludf.DUMMYFUNCTION("""COMPUTED_VALUE"""),1.4200507E7)</f>
        <v>14200507</v>
      </c>
      <c r="H279" s="17" t="str">
        <f>IFERROR(__xludf.DUMMYFUNCTION("""COMPUTED_VALUE"""),"пневматичні перфоратори")</f>
        <v>пневматичні перфоратори</v>
      </c>
      <c r="I279" s="18">
        <f>IFERROR(__xludf.DUMMYFUNCTION("""COMPUTED_VALUE"""),0.76)</f>
        <v>0.76</v>
      </c>
      <c r="J279" s="18">
        <f>IFERROR(__xludf.DUMMYFUNCTION("""COMPUTED_VALUE"""),1.53)</f>
        <v>1.53</v>
      </c>
      <c r="K279" s="18">
        <f>IFERROR(__xludf.DUMMYFUNCTION("""COMPUTED_VALUE"""),1.91)</f>
        <v>1.91</v>
      </c>
      <c r="L279" s="18">
        <f>IFERROR(__xludf.DUMMYFUNCTION("""COMPUTED_VALUE"""),3.05)</f>
        <v>3.05</v>
      </c>
    </row>
    <row r="280">
      <c r="A280" s="13" t="str">
        <f>IFERROR(__xludf.DUMMYFUNCTION("""COMPUTED_VALUE"""),"товари")</f>
        <v>товари</v>
      </c>
      <c r="B280" s="13" t="str">
        <f>IFERROR(__xludf.DUMMYFUNCTION("""COMPUTED_VALUE"""),"інструменти")</f>
        <v>інструменти</v>
      </c>
      <c r="C280" s="15" t="str">
        <f>IFERROR(__xludf.DUMMYFUNCTION("""COMPUTED_VALUE"""),"пневматичний інструмент")</f>
        <v>пневматичний інструмент</v>
      </c>
      <c r="D280" s="15" t="str">
        <f>IFERROR(__xludf.DUMMYFUNCTION("""COMPUTED_VALUE"""),"оснащення для пневматичного інструменту")</f>
        <v>оснащення для пневматичного інструменту</v>
      </c>
      <c r="E280" s="15" t="str">
        <f>IFERROR(__xludf.DUMMYFUNCTION("""COMPUTED_VALUE"""),"пневматичні пістолети, загальне")</f>
        <v>пневматичні пістолети, загальне</v>
      </c>
      <c r="F280" s="17">
        <f>IFERROR(__xludf.DUMMYFUNCTION("""COMPUTED_VALUE"""),4.0)</f>
        <v>4</v>
      </c>
      <c r="G280" s="17">
        <f>IFERROR(__xludf.DUMMYFUNCTION("""COMPUTED_VALUE"""),1.420052E7)</f>
        <v>14200520</v>
      </c>
      <c r="H280" s="17" t="str">
        <f>IFERROR(__xludf.DUMMYFUNCTION("""COMPUTED_VALUE"""),"пневматичні пістолети, загальне")</f>
        <v>пневматичні пістолети, загальне</v>
      </c>
      <c r="I280" s="18">
        <f>IFERROR(__xludf.DUMMYFUNCTION("""COMPUTED_VALUE"""),2.16)</f>
        <v>2.16</v>
      </c>
      <c r="J280" s="18">
        <f>IFERROR(__xludf.DUMMYFUNCTION("""COMPUTED_VALUE"""),4.33)</f>
        <v>4.33</v>
      </c>
      <c r="K280" s="18">
        <f>IFERROR(__xludf.DUMMYFUNCTION("""COMPUTED_VALUE"""),5.41)</f>
        <v>5.41</v>
      </c>
      <c r="L280" s="18">
        <f>IFERROR(__xludf.DUMMYFUNCTION("""COMPUTED_VALUE"""),8.65)</f>
        <v>8.65</v>
      </c>
    </row>
    <row r="281">
      <c r="A281" s="13" t="str">
        <f>IFERROR(__xludf.DUMMYFUNCTION("""COMPUTED_VALUE"""),"товари")</f>
        <v>товари</v>
      </c>
      <c r="B281" s="13" t="str">
        <f>IFERROR(__xludf.DUMMYFUNCTION("""COMPUTED_VALUE"""),"інструменти")</f>
        <v>інструменти</v>
      </c>
      <c r="C281" s="15" t="str">
        <f>IFERROR(__xludf.DUMMYFUNCTION("""COMPUTED_VALUE"""),"будівельний інструмент")</f>
        <v>будівельний інструмент</v>
      </c>
      <c r="D281" s="15" t="str">
        <f>IFERROR(__xludf.DUMMYFUNCTION("""COMPUTED_VALUE"""),"будівельний пневматичний інструмент")</f>
        <v>будівельний пневматичний інструмент</v>
      </c>
      <c r="E281" s="15" t="str">
        <f>IFERROR(__xludf.DUMMYFUNCTION("""COMPUTED_VALUE"""),"пневмодрилі")</f>
        <v>пневмодрилі</v>
      </c>
      <c r="F281" s="17">
        <f>IFERROR(__xludf.DUMMYFUNCTION("""COMPUTED_VALUE"""),4.0)</f>
        <v>4</v>
      </c>
      <c r="G281" s="17">
        <f>IFERROR(__xludf.DUMMYFUNCTION("""COMPUTED_VALUE"""),1.4200501E7)</f>
        <v>14200501</v>
      </c>
      <c r="H281" s="17" t="str">
        <f>IFERROR(__xludf.DUMMYFUNCTION("""COMPUTED_VALUE"""),"пневмодрилі")</f>
        <v>пневмодрилі</v>
      </c>
      <c r="I281" s="18">
        <f>IFERROR(__xludf.DUMMYFUNCTION("""COMPUTED_VALUE"""),0.76)</f>
        <v>0.76</v>
      </c>
      <c r="J281" s="18">
        <f>IFERROR(__xludf.DUMMYFUNCTION("""COMPUTED_VALUE"""),1.53)</f>
        <v>1.53</v>
      </c>
      <c r="K281" s="18">
        <f>IFERROR(__xludf.DUMMYFUNCTION("""COMPUTED_VALUE"""),1.91)</f>
        <v>1.91</v>
      </c>
      <c r="L281" s="18">
        <f>IFERROR(__xludf.DUMMYFUNCTION("""COMPUTED_VALUE"""),3.05)</f>
        <v>3.05</v>
      </c>
    </row>
    <row r="282">
      <c r="A282" s="13" t="str">
        <f>IFERROR(__xludf.DUMMYFUNCTION("""COMPUTED_VALUE"""),"послуги")</f>
        <v>послуги</v>
      </c>
      <c r="B282" s="13" t="str">
        <f>IFERROR(__xludf.DUMMYFUNCTION("""COMPUTED_VALUE"""),"інформаційно-комунікаційні послуги")</f>
        <v>інформаційно-комунікаційні послуги</v>
      </c>
      <c r="C282" s="15" t="str">
        <f>IFERROR(__xludf.DUMMYFUNCTION("""COMPUTED_VALUE"""),"послуги в сфері it")</f>
        <v>послуги в сфері it</v>
      </c>
      <c r="D282" s="15" t="str">
        <f>IFERROR(__xludf.DUMMYFUNCTION("""COMPUTED_VALUE"""),"послуги в сфері it")</f>
        <v>послуги в сфері it</v>
      </c>
      <c r="E282" s="15" t="str">
        <f>IFERROR(__xludf.DUMMYFUNCTION("""COMPUTED_VALUE"""),"послуги в сфері it")</f>
        <v>послуги в сфері it</v>
      </c>
      <c r="F282" s="17">
        <f>IFERROR(__xludf.DUMMYFUNCTION("""COMPUTED_VALUE"""),2.0)</f>
        <v>2</v>
      </c>
      <c r="G282" s="17">
        <f>IFERROR(__xludf.DUMMYFUNCTION("""COMPUTED_VALUE"""),284344.0)</f>
        <v>284344</v>
      </c>
      <c r="H282" s="17" t="str">
        <f>IFERROR(__xludf.DUMMYFUNCTION("""COMPUTED_VALUE"""),"послуги в сфері it")</f>
        <v>послуги в сфері it</v>
      </c>
      <c r="I282" s="18">
        <f>IFERROR(__xludf.DUMMYFUNCTION("""COMPUTED_VALUE"""),1.71)</f>
        <v>1.71</v>
      </c>
      <c r="J282" s="18">
        <f>IFERROR(__xludf.DUMMYFUNCTION("""COMPUTED_VALUE"""),3.43)</f>
        <v>3.43</v>
      </c>
      <c r="K282" s="18">
        <f>IFERROR(__xludf.DUMMYFUNCTION("""COMPUTED_VALUE"""),4.28)</f>
        <v>4.28</v>
      </c>
      <c r="L282" s="18">
        <f>IFERROR(__xludf.DUMMYFUNCTION("""COMPUTED_VALUE"""),6.85)</f>
        <v>6.85</v>
      </c>
    </row>
    <row r="283">
      <c r="A283" s="13" t="str">
        <f>IFERROR(__xludf.DUMMYFUNCTION("""COMPUTED_VALUE"""),"послуги")</f>
        <v>послуги</v>
      </c>
      <c r="B283" s="13" t="str">
        <f>IFERROR(__xludf.DUMMYFUNCTION("""COMPUTED_VALUE"""),"інформаційно-комунікаційні послуги")</f>
        <v>інформаційно-комунікаційні послуги</v>
      </c>
      <c r="C283" s="15" t="str">
        <f>IFERROR(__xludf.DUMMYFUNCTION("""COMPUTED_VALUE"""),"послуги в сфері it, загальне")</f>
        <v>послуги в сфері it, загальне</v>
      </c>
      <c r="D283" s="15" t="str">
        <f>IFERROR(__xludf.DUMMYFUNCTION("""COMPUTED_VALUE"""),"послуги в сфері it, загальне")</f>
        <v>послуги в сфері it, загальне</v>
      </c>
      <c r="E283" s="15" t="str">
        <f>IFERROR(__xludf.DUMMYFUNCTION("""COMPUTED_VALUE"""),"послуги в сфері it, загальне")</f>
        <v>послуги в сфері it, загальне</v>
      </c>
      <c r="F283" s="17">
        <f>IFERROR(__xludf.DUMMYFUNCTION("""COMPUTED_VALUE"""),2.0)</f>
        <v>2</v>
      </c>
      <c r="G283" s="17">
        <f>IFERROR(__xludf.DUMMYFUNCTION("""COMPUTED_VALUE"""),284299.0)</f>
        <v>284299</v>
      </c>
      <c r="H283" s="17" t="str">
        <f>IFERROR(__xludf.DUMMYFUNCTION("""COMPUTED_VALUE"""),"послуги в сфері it, загальне")</f>
        <v>послуги в сфері it, загальне</v>
      </c>
      <c r="I283" s="18">
        <f>IFERROR(__xludf.DUMMYFUNCTION("""COMPUTED_VALUE"""),2.16)</f>
        <v>2.16</v>
      </c>
      <c r="J283" s="18">
        <f>IFERROR(__xludf.DUMMYFUNCTION("""COMPUTED_VALUE"""),4.33)</f>
        <v>4.33</v>
      </c>
      <c r="K283" s="18">
        <f>IFERROR(__xludf.DUMMYFUNCTION("""COMPUTED_VALUE"""),5.41)</f>
        <v>5.41</v>
      </c>
      <c r="L283" s="18">
        <f>IFERROR(__xludf.DUMMYFUNCTION("""COMPUTED_VALUE"""),8.65)</f>
        <v>8.65</v>
      </c>
    </row>
    <row r="284">
      <c r="A284" s="13" t="str">
        <f>IFERROR(__xludf.DUMMYFUNCTION("""COMPUTED_VALUE"""),"товари")</f>
        <v>товари</v>
      </c>
      <c r="B284" s="13" t="str">
        <f>IFERROR(__xludf.DUMMYFUNCTION("""COMPUTED_VALUE"""),"контрольно-вимірювальні прилади")</f>
        <v>контрольно-вимірювальні прилади</v>
      </c>
      <c r="C284" s="15" t="str">
        <f>IFERROR(__xludf.DUMMYFUNCTION("""COMPUTED_VALUE"""),"вимірювачі фізичних параметрів")</f>
        <v>вимірювачі фізичних параметрів</v>
      </c>
      <c r="D284" s="15" t="str">
        <f>IFERROR(__xludf.DUMMYFUNCTION("""COMPUTED_VALUE"""),"адгезіметри")</f>
        <v>адгезіметри</v>
      </c>
      <c r="E284" s="15" t="str">
        <f>IFERROR(__xludf.DUMMYFUNCTION("""COMPUTED_VALUE"""),"адгезіметри")</f>
        <v>адгезіметри</v>
      </c>
      <c r="F284" s="17">
        <f>IFERROR(__xludf.DUMMYFUNCTION("""COMPUTED_VALUE"""),3.0)</f>
        <v>3</v>
      </c>
      <c r="G284" s="17">
        <f>IFERROR(__xludf.DUMMYFUNCTION("""COMPUTED_VALUE"""),1.537061E7)</f>
        <v>15370610</v>
      </c>
      <c r="H284" s="17" t="str">
        <f>IFERROR(__xludf.DUMMYFUNCTION("""COMPUTED_VALUE"""),"адгезіметри")</f>
        <v>адгезіметри</v>
      </c>
      <c r="I284" s="18">
        <f>IFERROR(__xludf.DUMMYFUNCTION("""COMPUTED_VALUE"""),0.53)</f>
        <v>0.53</v>
      </c>
      <c r="J284" s="18">
        <f>IFERROR(__xludf.DUMMYFUNCTION("""COMPUTED_VALUE"""),1.05)</f>
        <v>1.05</v>
      </c>
      <c r="K284" s="18">
        <f>IFERROR(__xludf.DUMMYFUNCTION("""COMPUTED_VALUE"""),1.31)</f>
        <v>1.31</v>
      </c>
      <c r="L284" s="18">
        <f>IFERROR(__xludf.DUMMYFUNCTION("""COMPUTED_VALUE"""),2.1)</f>
        <v>2.1</v>
      </c>
    </row>
    <row r="285">
      <c r="A285" s="13" t="str">
        <f>IFERROR(__xludf.DUMMYFUNCTION("""COMPUTED_VALUE"""),"товари")</f>
        <v>товари</v>
      </c>
      <c r="B285" s="13" t="str">
        <f>IFERROR(__xludf.DUMMYFUNCTION("""COMPUTED_VALUE"""),"контрольно-вимірювальні прилади")</f>
        <v>контрольно-вимірювальні прилади</v>
      </c>
      <c r="C285" s="15" t="str">
        <f>IFERROR(__xludf.DUMMYFUNCTION("""COMPUTED_VALUE"""),"радіовимірювальні прилади")</f>
        <v>радіовимірювальні прилади</v>
      </c>
      <c r="D285" s="15" t="str">
        <f>IFERROR(__xludf.DUMMYFUNCTION("""COMPUTED_VALUE"""),"акселерометри")</f>
        <v>акселерометри</v>
      </c>
      <c r="E285" s="15" t="str">
        <f>IFERROR(__xludf.DUMMYFUNCTION("""COMPUTED_VALUE"""),"акселерометри")</f>
        <v>акселерометри</v>
      </c>
      <c r="F285" s="17">
        <f>IFERROR(__xludf.DUMMYFUNCTION("""COMPUTED_VALUE"""),3.0)</f>
        <v>3</v>
      </c>
      <c r="G285" s="17">
        <f>IFERROR(__xludf.DUMMYFUNCTION("""COMPUTED_VALUE"""),153716.0)</f>
        <v>153716</v>
      </c>
      <c r="H285" s="17" t="str">
        <f>IFERROR(__xludf.DUMMYFUNCTION("""COMPUTED_VALUE"""),"акселерометри")</f>
        <v>акселерометри</v>
      </c>
      <c r="I285" s="18">
        <f>IFERROR(__xludf.DUMMYFUNCTION("""COMPUTED_VALUE"""),0.76)</f>
        <v>0.76</v>
      </c>
      <c r="J285" s="18">
        <f>IFERROR(__xludf.DUMMYFUNCTION("""COMPUTED_VALUE"""),1.53)</f>
        <v>1.53</v>
      </c>
      <c r="K285" s="18">
        <f>IFERROR(__xludf.DUMMYFUNCTION("""COMPUTED_VALUE"""),1.91)</f>
        <v>1.91</v>
      </c>
      <c r="L285" s="18">
        <f>IFERROR(__xludf.DUMMYFUNCTION("""COMPUTED_VALUE"""),3.05)</f>
        <v>3.05</v>
      </c>
    </row>
    <row r="286">
      <c r="A286" s="13" t="str">
        <f>IFERROR(__xludf.DUMMYFUNCTION("""COMPUTED_VALUE"""),"товари")</f>
        <v>товари</v>
      </c>
      <c r="B286" s="13" t="str">
        <f>IFERROR(__xludf.DUMMYFUNCTION("""COMPUTED_VALUE"""),"контрольно-вимірювальні прилади")</f>
        <v>контрольно-вимірювальні прилади</v>
      </c>
      <c r="C286" s="15" t="str">
        <f>IFERROR(__xludf.DUMMYFUNCTION("""COMPUTED_VALUE"""),"лабораторне, випробувальне обладнання")</f>
        <v>лабораторне, випробувальне обладнання</v>
      </c>
      <c r="D286" s="15" t="str">
        <f>IFERROR(__xludf.DUMMYFUNCTION("""COMPUTED_VALUE"""),"аналізатори")</f>
        <v>аналізатори</v>
      </c>
      <c r="E286" s="15" t="str">
        <f>IFERROR(__xludf.DUMMYFUNCTION("""COMPUTED_VALUE"""),"аналізатори вуглецю і сірки")</f>
        <v>аналізатори вуглецю і сірки</v>
      </c>
      <c r="F286" s="17">
        <f>IFERROR(__xludf.DUMMYFUNCTION("""COMPUTED_VALUE"""),4.0)</f>
        <v>4</v>
      </c>
      <c r="G286" s="17">
        <f>IFERROR(__xludf.DUMMYFUNCTION("""COMPUTED_VALUE"""),1.5370101E7)</f>
        <v>15370101</v>
      </c>
      <c r="H286" s="17" t="str">
        <f>IFERROR(__xludf.DUMMYFUNCTION("""COMPUTED_VALUE"""),"аналізатори вуглецю і сірки")</f>
        <v>аналізатори вуглецю і сірки</v>
      </c>
      <c r="I286" s="18">
        <f>IFERROR(__xludf.DUMMYFUNCTION("""COMPUTED_VALUE"""),1.88)</f>
        <v>1.88</v>
      </c>
      <c r="J286" s="18">
        <f>IFERROR(__xludf.DUMMYFUNCTION("""COMPUTED_VALUE"""),3.75)</f>
        <v>3.75</v>
      </c>
      <c r="K286" s="18">
        <f>IFERROR(__xludf.DUMMYFUNCTION("""COMPUTED_VALUE"""),4.69)</f>
        <v>4.69</v>
      </c>
      <c r="L286" s="18">
        <f>IFERROR(__xludf.DUMMYFUNCTION("""COMPUTED_VALUE"""),7.5)</f>
        <v>7.5</v>
      </c>
    </row>
    <row r="287">
      <c r="A287" s="13" t="str">
        <f>IFERROR(__xludf.DUMMYFUNCTION("""COMPUTED_VALUE"""),"товари")</f>
        <v>товари</v>
      </c>
      <c r="B287" s="13" t="str">
        <f>IFERROR(__xludf.DUMMYFUNCTION("""COMPUTED_VALUE"""),"контрольно-вимірювальні прилади")</f>
        <v>контрольно-вимірювальні прилади</v>
      </c>
      <c r="C287" s="15" t="str">
        <f>IFERROR(__xludf.DUMMYFUNCTION("""COMPUTED_VALUE"""),"електровимірювальні прилади")</f>
        <v>електровимірювальні прилади</v>
      </c>
      <c r="D287" s="15" t="str">
        <f>IFERROR(__xludf.DUMMYFUNCTION("""COMPUTED_VALUE"""),"багатофункціональні калібратори")</f>
        <v>багатофункціональні калібратори</v>
      </c>
      <c r="E287" s="15" t="str">
        <f>IFERROR(__xludf.DUMMYFUNCTION("""COMPUTED_VALUE"""),"багатофункціональні калібратори")</f>
        <v>багатофункціональні калібратори</v>
      </c>
      <c r="F287" s="17">
        <f>IFERROR(__xludf.DUMMYFUNCTION("""COMPUTED_VALUE"""),3.0)</f>
        <v>3</v>
      </c>
      <c r="G287" s="17">
        <f>IFERROR(__xludf.DUMMYFUNCTION("""COMPUTED_VALUE"""),1.5370318E7)</f>
        <v>15370318</v>
      </c>
      <c r="H287" s="17" t="str">
        <f>IFERROR(__xludf.DUMMYFUNCTION("""COMPUTED_VALUE"""),"багатофункціональні калібратори")</f>
        <v>багатофункціональні калібратори</v>
      </c>
      <c r="I287" s="18">
        <f>IFERROR(__xludf.DUMMYFUNCTION("""COMPUTED_VALUE"""),0.63)</f>
        <v>0.63</v>
      </c>
      <c r="J287" s="18">
        <f>IFERROR(__xludf.DUMMYFUNCTION("""COMPUTED_VALUE"""),1.26)</f>
        <v>1.26</v>
      </c>
      <c r="K287" s="18">
        <f>IFERROR(__xludf.DUMMYFUNCTION("""COMPUTED_VALUE"""),1.58)</f>
        <v>1.58</v>
      </c>
      <c r="L287" s="18">
        <f>IFERROR(__xludf.DUMMYFUNCTION("""COMPUTED_VALUE"""),2.53)</f>
        <v>2.53</v>
      </c>
    </row>
    <row r="288">
      <c r="A288" s="13" t="str">
        <f>IFERROR(__xludf.DUMMYFUNCTION("""COMPUTED_VALUE"""),"товари")</f>
        <v>товари</v>
      </c>
      <c r="B288" s="13" t="str">
        <f>IFERROR(__xludf.DUMMYFUNCTION("""COMPUTED_VALUE"""),"контрольно-вимірювальні прилади")</f>
        <v>контрольно-вимірювальні прилади</v>
      </c>
      <c r="C288" s="15" t="str">
        <f>IFERROR(__xludf.DUMMYFUNCTION("""COMPUTED_VALUE"""),"вагове обладнання")</f>
        <v>вагове обладнання</v>
      </c>
      <c r="D288" s="15" t="str">
        <f>IFERROR(__xludf.DUMMYFUNCTION("""COMPUTED_VALUE"""),"ваги автомобільні")</f>
        <v>ваги автомобільні</v>
      </c>
      <c r="E288" s="15" t="str">
        <f>IFERROR(__xludf.DUMMYFUNCTION("""COMPUTED_VALUE"""),"ваги автомобільні")</f>
        <v>ваги автомобільні</v>
      </c>
      <c r="F288" s="17">
        <f>IFERROR(__xludf.DUMMYFUNCTION("""COMPUTED_VALUE"""),3.0)</f>
        <v>3</v>
      </c>
      <c r="G288" s="17">
        <f>IFERROR(__xludf.DUMMYFUNCTION("""COMPUTED_VALUE"""),1.5371101E7)</f>
        <v>15371101</v>
      </c>
      <c r="H288" s="17" t="str">
        <f>IFERROR(__xludf.DUMMYFUNCTION("""COMPUTED_VALUE"""),"ваги автомобільні")</f>
        <v>ваги автомобільні</v>
      </c>
      <c r="I288" s="18">
        <f>IFERROR(__xludf.DUMMYFUNCTION("""COMPUTED_VALUE"""),2.7)</f>
        <v>2.7</v>
      </c>
      <c r="J288" s="18">
        <f>IFERROR(__xludf.DUMMYFUNCTION("""COMPUTED_VALUE"""),5.4)</f>
        <v>5.4</v>
      </c>
      <c r="K288" s="18">
        <f>IFERROR(__xludf.DUMMYFUNCTION("""COMPUTED_VALUE"""),6.75)</f>
        <v>6.75</v>
      </c>
      <c r="L288" s="18">
        <f>IFERROR(__xludf.DUMMYFUNCTION("""COMPUTED_VALUE"""),10.8)</f>
        <v>10.8</v>
      </c>
    </row>
    <row r="289">
      <c r="A289" s="13" t="str">
        <f>IFERROR(__xludf.DUMMYFUNCTION("""COMPUTED_VALUE"""),"товари")</f>
        <v>товари</v>
      </c>
      <c r="B289" s="13" t="str">
        <f>IFERROR(__xludf.DUMMYFUNCTION("""COMPUTED_VALUE"""),"контрольно-вимірювальні прилади")</f>
        <v>контрольно-вимірювальні прилади</v>
      </c>
      <c r="C289" s="15" t="str">
        <f>IFERROR(__xludf.DUMMYFUNCTION("""COMPUTED_VALUE"""),"вагове обладнання")</f>
        <v>вагове обладнання</v>
      </c>
      <c r="D289" s="15" t="str">
        <f>IFERROR(__xludf.DUMMYFUNCTION("""COMPUTED_VALUE"""),"комплектуючі для ваг")</f>
        <v>комплектуючі для ваг</v>
      </c>
      <c r="E289" s="15" t="str">
        <f>IFERROR(__xludf.DUMMYFUNCTION("""COMPUTED_VALUE"""),"вагові індикатори")</f>
        <v>вагові індикатори</v>
      </c>
      <c r="F289" s="17">
        <f>IFERROR(__xludf.DUMMYFUNCTION("""COMPUTED_VALUE"""),4.0)</f>
        <v>4</v>
      </c>
      <c r="G289" s="17">
        <f>IFERROR(__xludf.DUMMYFUNCTION("""COMPUTED_VALUE"""),1.5371114E7)</f>
        <v>15371114</v>
      </c>
      <c r="H289" s="17" t="str">
        <f>IFERROR(__xludf.DUMMYFUNCTION("""COMPUTED_VALUE"""),"вагові індикатори")</f>
        <v>вагові індикатори</v>
      </c>
      <c r="I289" s="18">
        <f>IFERROR(__xludf.DUMMYFUNCTION("""COMPUTED_VALUE"""),2.7)</f>
        <v>2.7</v>
      </c>
      <c r="J289" s="18">
        <f>IFERROR(__xludf.DUMMYFUNCTION("""COMPUTED_VALUE"""),5.4)</f>
        <v>5.4</v>
      </c>
      <c r="K289" s="18">
        <f>IFERROR(__xludf.DUMMYFUNCTION("""COMPUTED_VALUE"""),6.75)</f>
        <v>6.75</v>
      </c>
      <c r="L289" s="18">
        <f>IFERROR(__xludf.DUMMYFUNCTION("""COMPUTED_VALUE"""),10.8)</f>
        <v>10.8</v>
      </c>
    </row>
    <row r="290">
      <c r="A290" s="13" t="str">
        <f>IFERROR(__xludf.DUMMYFUNCTION("""COMPUTED_VALUE"""),"товари")</f>
        <v>товари</v>
      </c>
      <c r="B290" s="13" t="str">
        <f>IFERROR(__xludf.DUMMYFUNCTION("""COMPUTED_VALUE"""),"контрольно-вимірювальні прилади")</f>
        <v>контрольно-вимірювальні прилади</v>
      </c>
      <c r="C290" s="15" t="str">
        <f>IFERROR(__xludf.DUMMYFUNCTION("""COMPUTED_VALUE"""),"вагове обладнання")</f>
        <v>вагове обладнання</v>
      </c>
      <c r="D290" s="15" t="str">
        <f>IFERROR(__xludf.DUMMYFUNCTION("""COMPUTED_VALUE"""),"вагонні ваги")</f>
        <v>вагонні ваги</v>
      </c>
      <c r="E290" s="15" t="str">
        <f>IFERROR(__xludf.DUMMYFUNCTION("""COMPUTED_VALUE"""),"вагонні ваги")</f>
        <v>вагонні ваги</v>
      </c>
      <c r="F290" s="17">
        <f>IFERROR(__xludf.DUMMYFUNCTION("""COMPUTED_VALUE"""),3.0)</f>
        <v>3</v>
      </c>
      <c r="G290" s="17">
        <f>IFERROR(__xludf.DUMMYFUNCTION("""COMPUTED_VALUE"""),1.5371105E7)</f>
        <v>15371105</v>
      </c>
      <c r="H290" s="17" t="str">
        <f>IFERROR(__xludf.DUMMYFUNCTION("""COMPUTED_VALUE"""),"вагонні ваги")</f>
        <v>вагонні ваги</v>
      </c>
      <c r="I290" s="18">
        <f>IFERROR(__xludf.DUMMYFUNCTION("""COMPUTED_VALUE"""),0.76)</f>
        <v>0.76</v>
      </c>
      <c r="J290" s="18">
        <f>IFERROR(__xludf.DUMMYFUNCTION("""COMPUTED_VALUE"""),1.53)</f>
        <v>1.53</v>
      </c>
      <c r="K290" s="18">
        <f>IFERROR(__xludf.DUMMYFUNCTION("""COMPUTED_VALUE"""),1.91)</f>
        <v>1.91</v>
      </c>
      <c r="L290" s="18">
        <f>IFERROR(__xludf.DUMMYFUNCTION("""COMPUTED_VALUE"""),3.05)</f>
        <v>3.05</v>
      </c>
    </row>
    <row r="291">
      <c r="A291" s="13" t="str">
        <f>IFERROR(__xludf.DUMMYFUNCTION("""COMPUTED_VALUE"""),"товари")</f>
        <v>товари</v>
      </c>
      <c r="B291" s="13" t="str">
        <f>IFERROR(__xludf.DUMMYFUNCTION("""COMPUTED_VALUE"""),"контрольно-вимірювальні прилади")</f>
        <v>контрольно-вимірювальні прилади</v>
      </c>
      <c r="C291" s="15" t="str">
        <f>IFERROR(__xludf.DUMMYFUNCTION("""COMPUTED_VALUE"""),"радіовимірювальні прилади")</f>
        <v>радіовимірювальні прилади</v>
      </c>
      <c r="D291" s="15" t="str">
        <f>IFERROR(__xludf.DUMMYFUNCTION("""COMPUTED_VALUE"""),"вимірювальні пристрої коаксіальних і хвилеводних трактів")</f>
        <v>вимірювальні пристрої коаксіальних і хвилеводних трактів</v>
      </c>
      <c r="E291" s="15" t="str">
        <f>IFERROR(__xludf.DUMMYFUNCTION("""COMPUTED_VALUE"""),"вимірювальні пристрої коаксіальних і хвилеводних трактів")</f>
        <v>вимірювальні пристрої коаксіальних і хвилеводних трактів</v>
      </c>
      <c r="F291" s="17">
        <f>IFERROR(__xludf.DUMMYFUNCTION("""COMPUTED_VALUE"""),3.0)</f>
        <v>3</v>
      </c>
      <c r="G291" s="17">
        <f>IFERROR(__xludf.DUMMYFUNCTION("""COMPUTED_VALUE"""),1.5370314E7)</f>
        <v>15370314</v>
      </c>
      <c r="H291" s="17" t="str">
        <f>IFERROR(__xludf.DUMMYFUNCTION("""COMPUTED_VALUE"""),"вимірювальні пристрої коаксіальних і хвилеводних трактів")</f>
        <v>вимірювальні пристрої коаксіальних і хвилеводних трактів</v>
      </c>
      <c r="I291" s="18">
        <f>IFERROR(__xludf.DUMMYFUNCTION("""COMPUTED_VALUE"""),0.53)</f>
        <v>0.53</v>
      </c>
      <c r="J291" s="18">
        <f>IFERROR(__xludf.DUMMYFUNCTION("""COMPUTED_VALUE"""),1.05)</f>
        <v>1.05</v>
      </c>
      <c r="K291" s="18">
        <f>IFERROR(__xludf.DUMMYFUNCTION("""COMPUTED_VALUE"""),1.31)</f>
        <v>1.31</v>
      </c>
      <c r="L291" s="18">
        <f>IFERROR(__xludf.DUMMYFUNCTION("""COMPUTED_VALUE"""),2.1)</f>
        <v>2.1</v>
      </c>
    </row>
    <row r="292">
      <c r="A292" s="13" t="str">
        <f>IFERROR(__xludf.DUMMYFUNCTION("""COMPUTED_VALUE"""),"товари")</f>
        <v>товари</v>
      </c>
      <c r="B292" s="13" t="str">
        <f>IFERROR(__xludf.DUMMYFUNCTION("""COMPUTED_VALUE"""),"контрольно-вимірювальні прилади")</f>
        <v>контрольно-вимірювальні прилади</v>
      </c>
      <c r="C292" s="15" t="str">
        <f>IFERROR(__xludf.DUMMYFUNCTION("""COMPUTED_VALUE"""),"радіовимірювальні прилади")</f>
        <v>радіовимірювальні прилади</v>
      </c>
      <c r="D292" s="15" t="str">
        <f>IFERROR(__xludf.DUMMYFUNCTION("""COMPUTED_VALUE"""),"вимірювачі амплітудно-частотних характеристик")</f>
        <v>вимірювачі амплітудно-частотних характеристик</v>
      </c>
      <c r="E292" s="15" t="str">
        <f>IFERROR(__xludf.DUMMYFUNCTION("""COMPUTED_VALUE"""),"вимірювачі амплітудно-частотних характеристик")</f>
        <v>вимірювачі амплітудно-частотних характеристик</v>
      </c>
      <c r="F292" s="17">
        <f>IFERROR(__xludf.DUMMYFUNCTION("""COMPUTED_VALUE"""),3.0)</f>
        <v>3</v>
      </c>
      <c r="G292" s="17">
        <f>IFERROR(__xludf.DUMMYFUNCTION("""COMPUTED_VALUE"""),1.5370316E7)</f>
        <v>15370316</v>
      </c>
      <c r="H292" s="17" t="str">
        <f>IFERROR(__xludf.DUMMYFUNCTION("""COMPUTED_VALUE"""),"вимірювачі амплітудно-частотних характеристик")</f>
        <v>вимірювачі амплітудно-частотних характеристик</v>
      </c>
      <c r="I292" s="18">
        <f>IFERROR(__xludf.DUMMYFUNCTION("""COMPUTED_VALUE"""),0.53)</f>
        <v>0.53</v>
      </c>
      <c r="J292" s="18">
        <f>IFERROR(__xludf.DUMMYFUNCTION("""COMPUTED_VALUE"""),1.05)</f>
        <v>1.05</v>
      </c>
      <c r="K292" s="18">
        <f>IFERROR(__xludf.DUMMYFUNCTION("""COMPUTED_VALUE"""),1.31)</f>
        <v>1.31</v>
      </c>
      <c r="L292" s="18">
        <f>IFERROR(__xludf.DUMMYFUNCTION("""COMPUTED_VALUE"""),2.1)</f>
        <v>2.1</v>
      </c>
    </row>
    <row r="293">
      <c r="A293" s="13" t="str">
        <f>IFERROR(__xludf.DUMMYFUNCTION("""COMPUTED_VALUE"""),"товари")</f>
        <v>товари</v>
      </c>
      <c r="B293" s="13" t="str">
        <f>IFERROR(__xludf.DUMMYFUNCTION("""COMPUTED_VALUE"""),"контрольно-вимірювальні прилади")</f>
        <v>контрольно-вимірювальні прилади</v>
      </c>
      <c r="C293" s="15" t="str">
        <f>IFERROR(__xludf.DUMMYFUNCTION("""COMPUTED_VALUE"""),"радіовимірювальні прилади")</f>
        <v>радіовимірювальні прилади</v>
      </c>
      <c r="D293" s="15" t="str">
        <f>IFERROR(__xludf.DUMMYFUNCTION("""COMPUTED_VALUE"""),"вимірювачі ксхн")</f>
        <v>вимірювачі ксхн</v>
      </c>
      <c r="E293" s="15" t="str">
        <f>IFERROR(__xludf.DUMMYFUNCTION("""COMPUTED_VALUE"""),"вимірювачі ксхн")</f>
        <v>вимірювачі ксхн</v>
      </c>
      <c r="F293" s="17">
        <f>IFERROR(__xludf.DUMMYFUNCTION("""COMPUTED_VALUE"""),3.0)</f>
        <v>3</v>
      </c>
      <c r="G293" s="17">
        <f>IFERROR(__xludf.DUMMYFUNCTION("""COMPUTED_VALUE"""),1.5370317E7)</f>
        <v>15370317</v>
      </c>
      <c r="H293" s="17" t="str">
        <f>IFERROR(__xludf.DUMMYFUNCTION("""COMPUTED_VALUE"""),"вимірювачі ксхн")</f>
        <v>вимірювачі ксхн</v>
      </c>
      <c r="I293" s="18">
        <f>IFERROR(__xludf.DUMMYFUNCTION("""COMPUTED_VALUE"""),0.53)</f>
        <v>0.53</v>
      </c>
      <c r="J293" s="18">
        <f>IFERROR(__xludf.DUMMYFUNCTION("""COMPUTED_VALUE"""),1.05)</f>
        <v>1.05</v>
      </c>
      <c r="K293" s="18">
        <f>IFERROR(__xludf.DUMMYFUNCTION("""COMPUTED_VALUE"""),1.31)</f>
        <v>1.31</v>
      </c>
      <c r="L293" s="18">
        <f>IFERROR(__xludf.DUMMYFUNCTION("""COMPUTED_VALUE"""),2.1)</f>
        <v>2.1</v>
      </c>
    </row>
    <row r="294">
      <c r="A294" s="13" t="str">
        <f>IFERROR(__xludf.DUMMYFUNCTION("""COMPUTED_VALUE"""),"товари")</f>
        <v>товари</v>
      </c>
      <c r="B294" s="13" t="str">
        <f>IFERROR(__xludf.DUMMYFUNCTION("""COMPUTED_VALUE"""),"контрольно-вимірювальні прилади")</f>
        <v>контрольно-вимірювальні прилади</v>
      </c>
      <c r="C294" s="15" t="str">
        <f>IFERROR(__xludf.DUMMYFUNCTION("""COMPUTED_VALUE"""),"вимірювачі фізичних параметрів")</f>
        <v>вимірювачі фізичних параметрів</v>
      </c>
      <c r="D294" s="15" t="str">
        <f>IFERROR(__xludf.DUMMYFUNCTION("""COMPUTED_VALUE"""),"вимірювачі сили натяжіння")</f>
        <v>вимірювачі сили натяжіння</v>
      </c>
      <c r="E294" s="15" t="str">
        <f>IFERROR(__xludf.DUMMYFUNCTION("""COMPUTED_VALUE"""),"вимірювачі сили натяжіння")</f>
        <v>вимірювачі сили натяжіння</v>
      </c>
      <c r="F294" s="17">
        <f>IFERROR(__xludf.DUMMYFUNCTION("""COMPUTED_VALUE"""),3.0)</f>
        <v>3</v>
      </c>
      <c r="G294" s="17">
        <f>IFERROR(__xludf.DUMMYFUNCTION("""COMPUTED_VALUE"""),1.537062E7)</f>
        <v>15370620</v>
      </c>
      <c r="H294" s="17" t="str">
        <f>IFERROR(__xludf.DUMMYFUNCTION("""COMPUTED_VALUE"""),"вимірювачі сили натяжіння")</f>
        <v>вимірювачі сили натяжіння</v>
      </c>
      <c r="I294" s="18">
        <f>IFERROR(__xludf.DUMMYFUNCTION("""COMPUTED_VALUE"""),0.76)</f>
        <v>0.76</v>
      </c>
      <c r="J294" s="18">
        <f>IFERROR(__xludf.DUMMYFUNCTION("""COMPUTED_VALUE"""),1.53)</f>
        <v>1.53</v>
      </c>
      <c r="K294" s="18">
        <f>IFERROR(__xludf.DUMMYFUNCTION("""COMPUTED_VALUE"""),1.91)</f>
        <v>1.91</v>
      </c>
      <c r="L294" s="18">
        <f>IFERROR(__xludf.DUMMYFUNCTION("""COMPUTED_VALUE"""),3.05)</f>
        <v>3.05</v>
      </c>
    </row>
    <row r="295">
      <c r="A295" s="13" t="str">
        <f>IFERROR(__xludf.DUMMYFUNCTION("""COMPUTED_VALUE"""),"товари")</f>
        <v>товари</v>
      </c>
      <c r="B295" s="13" t="str">
        <f>IFERROR(__xludf.DUMMYFUNCTION("""COMPUTED_VALUE"""),"контрольно-вимірювальні прилади")</f>
        <v>контрольно-вимірювальні прилади</v>
      </c>
      <c r="C295" s="15" t="str">
        <f>IFERROR(__xludf.DUMMYFUNCTION("""COMPUTED_VALUE"""),"прилади лінійно-кутових вимірювань")</f>
        <v>прилади лінійно-кутових вимірювань</v>
      </c>
      <c r="D295" s="15" t="str">
        <f>IFERROR(__xludf.DUMMYFUNCTION("""COMPUTED_VALUE"""),"висотоміри")</f>
        <v>висотоміри</v>
      </c>
      <c r="E295" s="15" t="str">
        <f>IFERROR(__xludf.DUMMYFUNCTION("""COMPUTED_VALUE"""),"висотоміри")</f>
        <v>висотоміри</v>
      </c>
      <c r="F295" s="17">
        <f>IFERROR(__xludf.DUMMYFUNCTION("""COMPUTED_VALUE"""),3.0)</f>
        <v>3</v>
      </c>
      <c r="G295" s="17">
        <f>IFERROR(__xludf.DUMMYFUNCTION("""COMPUTED_VALUE"""),1.5370603E7)</f>
        <v>15370603</v>
      </c>
      <c r="H295" s="17" t="str">
        <f>IFERROR(__xludf.DUMMYFUNCTION("""COMPUTED_VALUE"""),"висотоміри")</f>
        <v>висотоміри</v>
      </c>
      <c r="I295" s="18">
        <f>IFERROR(__xludf.DUMMYFUNCTION("""COMPUTED_VALUE"""),1.04)</f>
        <v>1.04</v>
      </c>
      <c r="J295" s="18">
        <f>IFERROR(__xludf.DUMMYFUNCTION("""COMPUTED_VALUE"""),2.08)</f>
        <v>2.08</v>
      </c>
      <c r="K295" s="18">
        <f>IFERROR(__xludf.DUMMYFUNCTION("""COMPUTED_VALUE"""),2.59)</f>
        <v>2.59</v>
      </c>
      <c r="L295" s="18">
        <f>IFERROR(__xludf.DUMMYFUNCTION("""COMPUTED_VALUE"""),4.15)</f>
        <v>4.15</v>
      </c>
    </row>
    <row r="296">
      <c r="A296" s="13" t="str">
        <f>IFERROR(__xludf.DUMMYFUNCTION("""COMPUTED_VALUE"""),"товари")</f>
        <v>товари</v>
      </c>
      <c r="B296" s="13" t="str">
        <f>IFERROR(__xludf.DUMMYFUNCTION("""COMPUTED_VALUE"""),"контрольно-вимірювальні прилади")</f>
        <v>контрольно-вимірювальні прилади</v>
      </c>
      <c r="C296" s="15" t="str">
        <f>IFERROR(__xludf.DUMMYFUNCTION("""COMPUTED_VALUE"""),"оптичні прилади і системи")</f>
        <v>оптичні прилади і системи</v>
      </c>
      <c r="D296" s="15" t="str">
        <f>IFERROR(__xludf.DUMMYFUNCTION("""COMPUTED_VALUE"""),"геодезичні призми і відбивачі")</f>
        <v>геодезичні призми і відбивачі</v>
      </c>
      <c r="E296" s="15" t="str">
        <f>IFERROR(__xludf.DUMMYFUNCTION("""COMPUTED_VALUE"""),"геодезичні призми і відбивачі")</f>
        <v>геодезичні призми і відбивачі</v>
      </c>
      <c r="F296" s="17">
        <f>IFERROR(__xludf.DUMMYFUNCTION("""COMPUTED_VALUE"""),3.0)</f>
        <v>3</v>
      </c>
      <c r="G296" s="17">
        <f>IFERROR(__xludf.DUMMYFUNCTION("""COMPUTED_VALUE"""),1.5370707E7)</f>
        <v>15370707</v>
      </c>
      <c r="H296" s="17" t="str">
        <f>IFERROR(__xludf.DUMMYFUNCTION("""COMPUTED_VALUE"""),"геодезичні призми і відбивачі")</f>
        <v>геодезичні призми і відбивачі</v>
      </c>
      <c r="I296" s="18">
        <f>IFERROR(__xludf.DUMMYFUNCTION("""COMPUTED_VALUE"""),0.81)</f>
        <v>0.81</v>
      </c>
      <c r="J296" s="18">
        <f>IFERROR(__xludf.DUMMYFUNCTION("""COMPUTED_VALUE"""),1.63)</f>
        <v>1.63</v>
      </c>
      <c r="K296" s="18">
        <f>IFERROR(__xludf.DUMMYFUNCTION("""COMPUTED_VALUE"""),2.03)</f>
        <v>2.03</v>
      </c>
      <c r="L296" s="18">
        <f>IFERROR(__xludf.DUMMYFUNCTION("""COMPUTED_VALUE"""),3.25)</f>
        <v>3.25</v>
      </c>
    </row>
    <row r="297">
      <c r="A297" s="13" t="str">
        <f>IFERROR(__xludf.DUMMYFUNCTION("""COMPUTED_VALUE"""),"товари")</f>
        <v>товари</v>
      </c>
      <c r="B297" s="13" t="str">
        <f>IFERROR(__xludf.DUMMYFUNCTION("""COMPUTED_VALUE"""),"контрольно-вимірювальні прилади")</f>
        <v>контрольно-вимірювальні прилади</v>
      </c>
      <c r="C297" s="15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297" s="15" t="str">
        <f>IFERROR(__xludf.DUMMYFUNCTION("""COMPUTED_VALUE"""),"кінцеві міри довжини")</f>
        <v>кінцеві міри довжини</v>
      </c>
      <c r="E297" s="15" t="str">
        <f>IFERROR(__xludf.DUMMYFUNCTION("""COMPUTED_VALUE"""),"кінцеві міри довжини")</f>
        <v>кінцеві міри довжини</v>
      </c>
      <c r="F297" s="17">
        <f>IFERROR(__xludf.DUMMYFUNCTION("""COMPUTED_VALUE"""),3.0)</f>
        <v>3</v>
      </c>
      <c r="G297" s="17">
        <f>IFERROR(__xludf.DUMMYFUNCTION("""COMPUTED_VALUE"""),1.4200611E7)</f>
        <v>14200611</v>
      </c>
      <c r="H297" s="17" t="str">
        <f>IFERROR(__xludf.DUMMYFUNCTION("""COMPUTED_VALUE"""),"кінцеві міри довжини")</f>
        <v>кінцеві міри довжини</v>
      </c>
      <c r="I297" s="18">
        <f>IFERROR(__xludf.DUMMYFUNCTION("""COMPUTED_VALUE"""),0.63)</f>
        <v>0.63</v>
      </c>
      <c r="J297" s="18">
        <f>IFERROR(__xludf.DUMMYFUNCTION("""COMPUTED_VALUE"""),1.26)</f>
        <v>1.26</v>
      </c>
      <c r="K297" s="18">
        <f>IFERROR(__xludf.DUMMYFUNCTION("""COMPUTED_VALUE"""),1.58)</f>
        <v>1.58</v>
      </c>
      <c r="L297" s="18">
        <f>IFERROR(__xludf.DUMMYFUNCTION("""COMPUTED_VALUE"""),2.53)</f>
        <v>2.53</v>
      </c>
    </row>
    <row r="298">
      <c r="A298" s="13" t="str">
        <f>IFERROR(__xludf.DUMMYFUNCTION("""COMPUTED_VALUE"""),"товари")</f>
        <v>товари</v>
      </c>
      <c r="B298" s="13" t="str">
        <f>IFERROR(__xludf.DUMMYFUNCTION("""COMPUTED_VALUE"""),"контрольно-вимірювальні прилади")</f>
        <v>контрольно-вимірювальні прилади</v>
      </c>
      <c r="C298" s="15" t="str">
        <f>IFERROR(__xludf.DUMMYFUNCTION("""COMPUTED_VALUE"""),"лабораторне, випробувальне обладнання")</f>
        <v>лабораторне, випробувальне обладнання</v>
      </c>
      <c r="D298" s="15" t="str">
        <f>IFERROR(__xludf.DUMMYFUNCTION("""COMPUTED_VALUE"""),"кліматичні камери для росту рослин")</f>
        <v>кліматичні камери для росту рослин</v>
      </c>
      <c r="E298" s="15" t="str">
        <f>IFERROR(__xludf.DUMMYFUNCTION("""COMPUTED_VALUE"""),"кліматичні камери для росту рослин")</f>
        <v>кліматичні камери для росту рослин</v>
      </c>
      <c r="F298" s="17">
        <f>IFERROR(__xludf.DUMMYFUNCTION("""COMPUTED_VALUE"""),3.0)</f>
        <v>3</v>
      </c>
      <c r="G298" s="17">
        <f>IFERROR(__xludf.DUMMYFUNCTION("""COMPUTED_VALUE"""),1.5373204E7)</f>
        <v>15373204</v>
      </c>
      <c r="H298" s="17" t="str">
        <f>IFERROR(__xludf.DUMMYFUNCTION("""COMPUTED_VALUE"""),"кліматичні камери для росту рослин")</f>
        <v>кліматичні камери для росту рослин</v>
      </c>
      <c r="I298" s="18">
        <f>IFERROR(__xludf.DUMMYFUNCTION("""COMPUTED_VALUE"""),0.53)</f>
        <v>0.53</v>
      </c>
      <c r="J298" s="18">
        <f>IFERROR(__xludf.DUMMYFUNCTION("""COMPUTED_VALUE"""),1.05)</f>
        <v>1.05</v>
      </c>
      <c r="K298" s="18">
        <f>IFERROR(__xludf.DUMMYFUNCTION("""COMPUTED_VALUE"""),1.31)</f>
        <v>1.31</v>
      </c>
      <c r="L298" s="18">
        <f>IFERROR(__xludf.DUMMYFUNCTION("""COMPUTED_VALUE"""),2.1)</f>
        <v>2.1</v>
      </c>
    </row>
    <row r="299">
      <c r="A299" s="13" t="str">
        <f>IFERROR(__xludf.DUMMYFUNCTION("""COMPUTED_VALUE"""),"товари")</f>
        <v>товари</v>
      </c>
      <c r="B299" s="13" t="str">
        <f>IFERROR(__xludf.DUMMYFUNCTION("""COMPUTED_VALUE"""),"контрольно-вимірювальні прилади")</f>
        <v>контрольно-вимірювальні прилади</v>
      </c>
      <c r="C299" s="15" t="str">
        <f>IFERROR(__xludf.DUMMYFUNCTION("""COMPUTED_VALUE"""),"витратоміри, лічильники")</f>
        <v>витратоміри, лічильники</v>
      </c>
      <c r="D299" s="15" t="str">
        <f>IFERROR(__xludf.DUMMYFUNCTION("""COMPUTED_VALUE"""),"лічильники імпульсів")</f>
        <v>лічильники імпульсів</v>
      </c>
      <c r="E299" s="15" t="str">
        <f>IFERROR(__xludf.DUMMYFUNCTION("""COMPUTED_VALUE"""),"лічильники імпульсів")</f>
        <v>лічильники імпульсів</v>
      </c>
      <c r="F299" s="17">
        <f>IFERROR(__xludf.DUMMYFUNCTION("""COMPUTED_VALUE"""),3.0)</f>
        <v>3</v>
      </c>
      <c r="G299" s="17">
        <f>IFERROR(__xludf.DUMMYFUNCTION("""COMPUTED_VALUE"""),153702.0)</f>
        <v>153702</v>
      </c>
      <c r="H299" s="17" t="str">
        <f>IFERROR(__xludf.DUMMYFUNCTION("""COMPUTED_VALUE"""),"лічильники імпульсів")</f>
        <v>лічильники імпульсів</v>
      </c>
      <c r="I299" s="18">
        <f>IFERROR(__xludf.DUMMYFUNCTION("""COMPUTED_VALUE"""),0.76)</f>
        <v>0.76</v>
      </c>
      <c r="J299" s="18">
        <f>IFERROR(__xludf.DUMMYFUNCTION("""COMPUTED_VALUE"""),1.53)</f>
        <v>1.53</v>
      </c>
      <c r="K299" s="18">
        <f>IFERROR(__xludf.DUMMYFUNCTION("""COMPUTED_VALUE"""),1.91)</f>
        <v>1.91</v>
      </c>
      <c r="L299" s="18">
        <f>IFERROR(__xludf.DUMMYFUNCTION("""COMPUTED_VALUE"""),3.05)</f>
        <v>3.05</v>
      </c>
    </row>
    <row r="300">
      <c r="A300" s="13" t="str">
        <f>IFERROR(__xludf.DUMMYFUNCTION("""COMPUTED_VALUE"""),"товари")</f>
        <v>товари</v>
      </c>
      <c r="B300" s="13" t="str">
        <f>IFERROR(__xludf.DUMMYFUNCTION("""COMPUTED_VALUE"""),"контрольно-вимірювальні прилади")</f>
        <v>контрольно-вимірювальні прилади</v>
      </c>
      <c r="C300" s="15" t="str">
        <f>IFERROR(__xludf.DUMMYFUNCTION("""COMPUTED_VALUE"""),"електровимірювальні прилади")</f>
        <v>електровимірювальні прилади</v>
      </c>
      <c r="D300" s="15" t="str">
        <f>IFERROR(__xludf.DUMMYFUNCTION("""COMPUTED_VALUE"""),"магазини опору, індуктивності і ємностей")</f>
        <v>магазини опору, індуктивності і ємностей</v>
      </c>
      <c r="E300" s="15" t="str">
        <f>IFERROR(__xludf.DUMMYFUNCTION("""COMPUTED_VALUE"""),"магазини опору, індуктивності і ємностей")</f>
        <v>магазини опору, індуктивності і ємностей</v>
      </c>
      <c r="F300" s="17">
        <f>IFERROR(__xludf.DUMMYFUNCTION("""COMPUTED_VALUE"""),3.0)</f>
        <v>3</v>
      </c>
      <c r="G300" s="17">
        <f>IFERROR(__xludf.DUMMYFUNCTION("""COMPUTED_VALUE"""),1.5370303E7)</f>
        <v>15370303</v>
      </c>
      <c r="H300" s="17" t="str">
        <f>IFERROR(__xludf.DUMMYFUNCTION("""COMPUTED_VALUE"""),"магазини опору, індуктивності і ємностей")</f>
        <v>магазини опору, індуктивності і ємностей</v>
      </c>
      <c r="I300" s="18">
        <f>IFERROR(__xludf.DUMMYFUNCTION("""COMPUTED_VALUE"""),0.53)</f>
        <v>0.53</v>
      </c>
      <c r="J300" s="18">
        <f>IFERROR(__xludf.DUMMYFUNCTION("""COMPUTED_VALUE"""),1.05)</f>
        <v>1.05</v>
      </c>
      <c r="K300" s="18">
        <f>IFERROR(__xludf.DUMMYFUNCTION("""COMPUTED_VALUE"""),1.31)</f>
        <v>1.31</v>
      </c>
      <c r="L300" s="18">
        <f>IFERROR(__xludf.DUMMYFUNCTION("""COMPUTED_VALUE"""),2.1)</f>
        <v>2.1</v>
      </c>
    </row>
    <row r="301">
      <c r="A301" s="13" t="str">
        <f>IFERROR(__xludf.DUMMYFUNCTION("""COMPUTED_VALUE"""),"товари")</f>
        <v>товари</v>
      </c>
      <c r="B301" s="13" t="str">
        <f>IFERROR(__xludf.DUMMYFUNCTION("""COMPUTED_VALUE"""),"контрольно-вимірювальні прилади")</f>
        <v>контрольно-вимірювальні прилади</v>
      </c>
      <c r="C301" s="15" t="str">
        <f>IFERROR(__xludf.DUMMYFUNCTION("""COMPUTED_VALUE"""),"вимірювачі фізичних параметрів")</f>
        <v>вимірювачі фізичних параметрів</v>
      </c>
      <c r="D301" s="15" t="str">
        <f>IFERROR(__xludf.DUMMYFUNCTION("""COMPUTED_VALUE"""),"метеорологічне і гідрологічне устаткування")</f>
        <v>метеорологічне і гідрологічне устаткування</v>
      </c>
      <c r="E301" s="15" t="str">
        <f>IFERROR(__xludf.DUMMYFUNCTION("""COMPUTED_VALUE"""),"метеорологічне і гідрологічне устаткування")</f>
        <v>метеорологічне і гідрологічне устаткування</v>
      </c>
      <c r="F301" s="17">
        <f>IFERROR(__xludf.DUMMYFUNCTION("""COMPUTED_VALUE"""),3.0)</f>
        <v>3</v>
      </c>
      <c r="G301" s="17">
        <f>IFERROR(__xludf.DUMMYFUNCTION("""COMPUTED_VALUE"""),1.5370616E7)</f>
        <v>15370616</v>
      </c>
      <c r="H301" s="17" t="str">
        <f>IFERROR(__xludf.DUMMYFUNCTION("""COMPUTED_VALUE"""),"метеорологічне і гідрологічне устаткування")</f>
        <v>метеорологічне і гідрологічне устаткування</v>
      </c>
      <c r="I301" s="18">
        <f>IFERROR(__xludf.DUMMYFUNCTION("""COMPUTED_VALUE"""),0.53)</f>
        <v>0.53</v>
      </c>
      <c r="J301" s="18">
        <f>IFERROR(__xludf.DUMMYFUNCTION("""COMPUTED_VALUE"""),1.05)</f>
        <v>1.05</v>
      </c>
      <c r="K301" s="18">
        <f>IFERROR(__xludf.DUMMYFUNCTION("""COMPUTED_VALUE"""),1.31)</f>
        <v>1.31</v>
      </c>
      <c r="L301" s="18">
        <f>IFERROR(__xludf.DUMMYFUNCTION("""COMPUTED_VALUE"""),2.1)</f>
        <v>2.1</v>
      </c>
    </row>
    <row r="302">
      <c r="A302" s="13" t="str">
        <f>IFERROR(__xludf.DUMMYFUNCTION("""COMPUTED_VALUE"""),"товари")</f>
        <v>товари</v>
      </c>
      <c r="B302" s="13" t="str">
        <f>IFERROR(__xludf.DUMMYFUNCTION("""COMPUTED_VALUE"""),"контрольно-вимірювальні прилади")</f>
        <v>контрольно-вимірювальні прилади</v>
      </c>
      <c r="C302" s="15" t="str">
        <f>IFERROR(__xludf.DUMMYFUNCTION("""COMPUTED_VALUE"""),"геодезичне обладнання")</f>
        <v>геодезичне обладнання</v>
      </c>
      <c r="D302" s="15" t="str">
        <f>IFERROR(__xludf.DUMMYFUNCTION("""COMPUTED_VALUE"""),"нівелірні рейки та віхи")</f>
        <v>нівелірні рейки та віхи</v>
      </c>
      <c r="E302" s="15" t="str">
        <f>IFERROR(__xludf.DUMMYFUNCTION("""COMPUTED_VALUE"""),"нівелірні рейки та віхи")</f>
        <v>нівелірні рейки та віхи</v>
      </c>
      <c r="F302" s="17">
        <f>IFERROR(__xludf.DUMMYFUNCTION("""COMPUTED_VALUE"""),3.0)</f>
        <v>3</v>
      </c>
      <c r="G302" s="17">
        <f>IFERROR(__xludf.DUMMYFUNCTION("""COMPUTED_VALUE"""),1.3040909E7)</f>
        <v>13040909</v>
      </c>
      <c r="H302" s="17" t="str">
        <f>IFERROR(__xludf.DUMMYFUNCTION("""COMPUTED_VALUE"""),"нівелірні рейки та віхи")</f>
        <v>нівелірні рейки та віхи</v>
      </c>
      <c r="I302" s="18">
        <f>IFERROR(__xludf.DUMMYFUNCTION("""COMPUTED_VALUE"""),0.53)</f>
        <v>0.53</v>
      </c>
      <c r="J302" s="18">
        <f>IFERROR(__xludf.DUMMYFUNCTION("""COMPUTED_VALUE"""),1.05)</f>
        <v>1.05</v>
      </c>
      <c r="K302" s="18">
        <f>IFERROR(__xludf.DUMMYFUNCTION("""COMPUTED_VALUE"""),1.31)</f>
        <v>1.31</v>
      </c>
      <c r="L302" s="18">
        <f>IFERROR(__xludf.DUMMYFUNCTION("""COMPUTED_VALUE"""),2.1)</f>
        <v>2.1</v>
      </c>
    </row>
    <row r="303">
      <c r="A303" s="13" t="str">
        <f>IFERROR(__xludf.DUMMYFUNCTION("""COMPUTED_VALUE"""),"товари")</f>
        <v>товари</v>
      </c>
      <c r="B303" s="13" t="str">
        <f>IFERROR(__xludf.DUMMYFUNCTION("""COMPUTED_VALUE"""),"контрольно-вимірювальні прилади")</f>
        <v>контрольно-вимірювальні прилади</v>
      </c>
      <c r="C303" s="15" t="str">
        <f>IFERROR(__xludf.DUMMYFUNCTION("""COMPUTED_VALUE"""),"лабораторне, випробувальне обладнання")</f>
        <v>лабораторне, випробувальне обладнання</v>
      </c>
      <c r="D303" s="15" t="str">
        <f>IFERROR(__xludf.DUMMYFUNCTION("""COMPUTED_VALUE"""),"аналізатори")</f>
        <v>аналізатори</v>
      </c>
      <c r="E303" s="15" t="str">
        <f>IFERROR(__xludf.DUMMYFUNCTION("""COMPUTED_VALUE"""),"оксиметри")</f>
        <v>оксиметри</v>
      </c>
      <c r="F303" s="17">
        <f>IFERROR(__xludf.DUMMYFUNCTION("""COMPUTED_VALUE"""),4.0)</f>
        <v>4</v>
      </c>
      <c r="G303" s="17">
        <f>IFERROR(__xludf.DUMMYFUNCTION("""COMPUTED_VALUE"""),1.5370107E7)</f>
        <v>15370107</v>
      </c>
      <c r="H303" s="17" t="str">
        <f>IFERROR(__xludf.DUMMYFUNCTION("""COMPUTED_VALUE"""),"оксиметри")</f>
        <v>оксиметри</v>
      </c>
      <c r="I303" s="18">
        <f>IFERROR(__xludf.DUMMYFUNCTION("""COMPUTED_VALUE"""),1.88)</f>
        <v>1.88</v>
      </c>
      <c r="J303" s="18">
        <f>IFERROR(__xludf.DUMMYFUNCTION("""COMPUTED_VALUE"""),3.75)</f>
        <v>3.75</v>
      </c>
      <c r="K303" s="18">
        <f>IFERROR(__xludf.DUMMYFUNCTION("""COMPUTED_VALUE"""),4.69)</f>
        <v>4.69</v>
      </c>
      <c r="L303" s="18">
        <f>IFERROR(__xludf.DUMMYFUNCTION("""COMPUTED_VALUE"""),7.5)</f>
        <v>7.5</v>
      </c>
    </row>
    <row r="304">
      <c r="A304" s="13" t="str">
        <f>IFERROR(__xludf.DUMMYFUNCTION("""COMPUTED_VALUE"""),"товари")</f>
        <v>товари</v>
      </c>
      <c r="B304" s="13" t="str">
        <f>IFERROR(__xludf.DUMMYFUNCTION("""COMPUTED_VALUE"""),"контрольно-вимірювальні прилади")</f>
        <v>контрольно-вимірювальні прилади</v>
      </c>
      <c r="C304" s="15" t="str">
        <f>IFERROR(__xludf.DUMMYFUNCTION("""COMPUTED_VALUE"""),"електровимірювальні прилади")</f>
        <v>електровимірювальні прилади</v>
      </c>
      <c r="D304" s="15" t="str">
        <f>IFERROR(__xludf.DUMMYFUNCTION("""COMPUTED_VALUE"""),"потенціометри")</f>
        <v>потенціометри</v>
      </c>
      <c r="E304" s="15" t="str">
        <f>IFERROR(__xludf.DUMMYFUNCTION("""COMPUTED_VALUE"""),"потенціометри")</f>
        <v>потенціометри</v>
      </c>
      <c r="F304" s="17">
        <f>IFERROR(__xludf.DUMMYFUNCTION("""COMPUTED_VALUE"""),3.0)</f>
        <v>3</v>
      </c>
      <c r="G304" s="17">
        <f>IFERROR(__xludf.DUMMYFUNCTION("""COMPUTED_VALUE"""),1.5370307E7)</f>
        <v>15370307</v>
      </c>
      <c r="H304" s="17" t="str">
        <f>IFERROR(__xludf.DUMMYFUNCTION("""COMPUTED_VALUE"""),"потенціометри")</f>
        <v>потенціометри</v>
      </c>
      <c r="I304" s="18">
        <f>IFERROR(__xludf.DUMMYFUNCTION("""COMPUTED_VALUE"""),0.53)</f>
        <v>0.53</v>
      </c>
      <c r="J304" s="18">
        <f>IFERROR(__xludf.DUMMYFUNCTION("""COMPUTED_VALUE"""),1.05)</f>
        <v>1.05</v>
      </c>
      <c r="K304" s="18">
        <f>IFERROR(__xludf.DUMMYFUNCTION("""COMPUTED_VALUE"""),1.31)</f>
        <v>1.31</v>
      </c>
      <c r="L304" s="18">
        <f>IFERROR(__xludf.DUMMYFUNCTION("""COMPUTED_VALUE"""),2.1)</f>
        <v>2.1</v>
      </c>
    </row>
    <row r="305">
      <c r="A305" s="13" t="str">
        <f>IFERROR(__xludf.DUMMYFUNCTION("""COMPUTED_VALUE"""),"товари")</f>
        <v>товари</v>
      </c>
      <c r="B305" s="13" t="str">
        <f>IFERROR(__xludf.DUMMYFUNCTION("""COMPUTED_VALUE"""),"контрольно-вимірювальні прилади")</f>
        <v>контрольно-вимірювальні прилади</v>
      </c>
      <c r="C305" s="15" t="str">
        <f>IFERROR(__xludf.DUMMYFUNCTION("""COMPUTED_VALUE"""),"прилади вимірювання часу")</f>
        <v>прилади вимірювання часу</v>
      </c>
      <c r="D305" s="15" t="str">
        <f>IFERROR(__xludf.DUMMYFUNCTION("""COMPUTED_VALUE"""),"прилади вимірювання часу, загальне")</f>
        <v>прилади вимірювання часу, загальне</v>
      </c>
      <c r="E305" s="15" t="str">
        <f>IFERROR(__xludf.DUMMYFUNCTION("""COMPUTED_VALUE"""),"прилади вимірювання часу, загальне")</f>
        <v>прилади вимірювання часу, загальне</v>
      </c>
      <c r="F305" s="17">
        <f>IFERROR(__xludf.DUMMYFUNCTION("""COMPUTED_VALUE"""),3.0)</f>
        <v>3</v>
      </c>
      <c r="G305" s="17">
        <f>IFERROR(__xludf.DUMMYFUNCTION("""COMPUTED_VALUE"""),1.5373101E7)</f>
        <v>15373101</v>
      </c>
      <c r="H305" s="17" t="str">
        <f>IFERROR(__xludf.DUMMYFUNCTION("""COMPUTED_VALUE"""),"прилади вимірювання часу, загальне")</f>
        <v>прилади вимірювання часу, загальне</v>
      </c>
      <c r="I305" s="18">
        <f>IFERROR(__xludf.DUMMYFUNCTION("""COMPUTED_VALUE"""),2.16)</f>
        <v>2.16</v>
      </c>
      <c r="J305" s="18">
        <f>IFERROR(__xludf.DUMMYFUNCTION("""COMPUTED_VALUE"""),4.33)</f>
        <v>4.33</v>
      </c>
      <c r="K305" s="18">
        <f>IFERROR(__xludf.DUMMYFUNCTION("""COMPUTED_VALUE"""),5.41)</f>
        <v>5.41</v>
      </c>
      <c r="L305" s="18">
        <f>IFERROR(__xludf.DUMMYFUNCTION("""COMPUTED_VALUE"""),8.65)</f>
        <v>8.65</v>
      </c>
    </row>
    <row r="306">
      <c r="A306" s="13" t="str">
        <f>IFERROR(__xludf.DUMMYFUNCTION("""COMPUTED_VALUE"""),"товари")</f>
        <v>товари</v>
      </c>
      <c r="B306" s="13" t="str">
        <f>IFERROR(__xludf.DUMMYFUNCTION("""COMPUTED_VALUE"""),"контрольно-вимірювальні прилади")</f>
        <v>контрольно-вимірювальні прилади</v>
      </c>
      <c r="C306" s="15" t="str">
        <f>IFERROR(__xludf.DUMMYFUNCTION("""COMPUTED_VALUE"""),"прилади лінійно-кутових вимірювань")</f>
        <v>прилади лінійно-кутових вимірювань</v>
      </c>
      <c r="D306" s="15" t="str">
        <f>IFERROR(__xludf.DUMMYFUNCTION("""COMPUTED_VALUE"""),"прилади лінійно-кутових вимірювань, загальне")</f>
        <v>прилади лінійно-кутових вимірювань, загальне</v>
      </c>
      <c r="E306" s="15" t="str">
        <f>IFERROR(__xludf.DUMMYFUNCTION("""COMPUTED_VALUE"""),"прилади лінійно-кутових вимірювань, загальне")</f>
        <v>прилади лінійно-кутових вимірювань, загальне</v>
      </c>
      <c r="F306" s="17">
        <f>IFERROR(__xludf.DUMMYFUNCTION("""COMPUTED_VALUE"""),3.0)</f>
        <v>3</v>
      </c>
      <c r="G306" s="17">
        <f>IFERROR(__xludf.DUMMYFUNCTION("""COMPUTED_VALUE"""),1.5373301E7)</f>
        <v>15373301</v>
      </c>
      <c r="H306" s="17" t="str">
        <f>IFERROR(__xludf.DUMMYFUNCTION("""COMPUTED_VALUE"""),"прилади лінійно-кутових вимірювань, загальне")</f>
        <v>прилади лінійно-кутових вимірювань, загальне</v>
      </c>
      <c r="I306" s="18">
        <f>IFERROR(__xludf.DUMMYFUNCTION("""COMPUTED_VALUE"""),2.16)</f>
        <v>2.16</v>
      </c>
      <c r="J306" s="18">
        <f>IFERROR(__xludf.DUMMYFUNCTION("""COMPUTED_VALUE"""),4.33)</f>
        <v>4.33</v>
      </c>
      <c r="K306" s="18">
        <f>IFERROR(__xludf.DUMMYFUNCTION("""COMPUTED_VALUE"""),5.41)</f>
        <v>5.41</v>
      </c>
      <c r="L306" s="18">
        <f>IFERROR(__xludf.DUMMYFUNCTION("""COMPUTED_VALUE"""),8.65)</f>
        <v>8.65</v>
      </c>
    </row>
    <row r="307">
      <c r="A307" s="13" t="str">
        <f>IFERROR(__xludf.DUMMYFUNCTION("""COMPUTED_VALUE"""),"товари")</f>
        <v>товари</v>
      </c>
      <c r="B307" s="13" t="str">
        <f>IFERROR(__xludf.DUMMYFUNCTION("""COMPUTED_VALUE"""),"контрольно-вимірювальні прилади")</f>
        <v>контрольно-вимірювальні прилади</v>
      </c>
      <c r="C307" s="15" t="str">
        <f>IFERROR(__xludf.DUMMYFUNCTION("""COMPUTED_VALUE"""),"пробовідбірники")</f>
        <v>пробовідбірники</v>
      </c>
      <c r="D307" s="15" t="str">
        <f>IFERROR(__xludf.DUMMYFUNCTION("""COMPUTED_VALUE"""),"пробовідбірники")</f>
        <v>пробовідбірники</v>
      </c>
      <c r="E307" s="15" t="str">
        <f>IFERROR(__xludf.DUMMYFUNCTION("""COMPUTED_VALUE"""),"пробовідбірники")</f>
        <v>пробовідбірники</v>
      </c>
      <c r="F307" s="17">
        <f>IFERROR(__xludf.DUMMYFUNCTION("""COMPUTED_VALUE"""),2.0)</f>
        <v>2</v>
      </c>
      <c r="G307" s="17">
        <f>IFERROR(__xludf.DUMMYFUNCTION("""COMPUTED_VALUE"""),153728.0)</f>
        <v>153728</v>
      </c>
      <c r="H307" s="17" t="str">
        <f>IFERROR(__xludf.DUMMYFUNCTION("""COMPUTED_VALUE"""),"пробовідбірники")</f>
        <v>пробовідбірники</v>
      </c>
      <c r="I307" s="18">
        <f>IFERROR(__xludf.DUMMYFUNCTION("""COMPUTED_VALUE"""),2.7)</f>
        <v>2.7</v>
      </c>
      <c r="J307" s="18">
        <f>IFERROR(__xludf.DUMMYFUNCTION("""COMPUTED_VALUE"""),5.4)</f>
        <v>5.4</v>
      </c>
      <c r="K307" s="18">
        <f>IFERROR(__xludf.DUMMYFUNCTION("""COMPUTED_VALUE"""),6.75)</f>
        <v>6.75</v>
      </c>
      <c r="L307" s="18">
        <f>IFERROR(__xludf.DUMMYFUNCTION("""COMPUTED_VALUE"""),10.8)</f>
        <v>10.8</v>
      </c>
    </row>
    <row r="308">
      <c r="A308" s="13" t="str">
        <f>IFERROR(__xludf.DUMMYFUNCTION("""COMPUTED_VALUE"""),"товари")</f>
        <v>товари</v>
      </c>
      <c r="B308" s="13" t="str">
        <f>IFERROR(__xludf.DUMMYFUNCTION("""COMPUTED_VALUE"""),"контрольно-вимірювальні прилади")</f>
        <v>контрольно-вимірювальні прилади</v>
      </c>
      <c r="C308" s="15" t="str">
        <f>IFERROR(__xludf.DUMMYFUNCTION("""COMPUTED_VALUE"""),"прилади для вимірювання тиску")</f>
        <v>прилади для вимірювання тиску</v>
      </c>
      <c r="D308" s="15" t="str">
        <f>IFERROR(__xludf.DUMMYFUNCTION("""COMPUTED_VALUE"""),"регулятори тиску")</f>
        <v>регулятори тиску</v>
      </c>
      <c r="E308" s="15" t="str">
        <f>IFERROR(__xludf.DUMMYFUNCTION("""COMPUTED_VALUE"""),"регулятори тиску")</f>
        <v>регулятори тиску</v>
      </c>
      <c r="F308" s="17">
        <f>IFERROR(__xludf.DUMMYFUNCTION("""COMPUTED_VALUE"""),3.0)</f>
        <v>3</v>
      </c>
      <c r="G308" s="17">
        <f>IFERROR(__xludf.DUMMYFUNCTION("""COMPUTED_VALUE"""),1.5370803E7)</f>
        <v>15370803</v>
      </c>
      <c r="H308" s="17" t="str">
        <f>IFERROR(__xludf.DUMMYFUNCTION("""COMPUTED_VALUE"""),"регулятори тиску")</f>
        <v>регулятори тиску</v>
      </c>
      <c r="I308" s="18">
        <f>IFERROR(__xludf.DUMMYFUNCTION("""COMPUTED_VALUE"""),1.26)</f>
        <v>1.26</v>
      </c>
      <c r="J308" s="18">
        <f>IFERROR(__xludf.DUMMYFUNCTION("""COMPUTED_VALUE"""),2.53)</f>
        <v>2.53</v>
      </c>
      <c r="K308" s="18">
        <f>IFERROR(__xludf.DUMMYFUNCTION("""COMPUTED_VALUE"""),3.16)</f>
        <v>3.16</v>
      </c>
      <c r="L308" s="18">
        <f>IFERROR(__xludf.DUMMYFUNCTION("""COMPUTED_VALUE"""),5.05)</f>
        <v>5.05</v>
      </c>
    </row>
    <row r="309">
      <c r="A309" s="13" t="str">
        <f>IFERROR(__xludf.DUMMYFUNCTION("""COMPUTED_VALUE"""),"товари")</f>
        <v>товари</v>
      </c>
      <c r="B309" s="13" t="str">
        <f>IFERROR(__xludf.DUMMYFUNCTION("""COMPUTED_VALUE"""),"контрольно-вимірювальні прилади")</f>
        <v>контрольно-вимірювальні прилади</v>
      </c>
      <c r="C309" s="15" t="str">
        <f>IFERROR(__xludf.DUMMYFUNCTION("""COMPUTED_VALUE"""),"електровимірювальні прилади")</f>
        <v>електровимірювальні прилади</v>
      </c>
      <c r="D309" s="15" t="str">
        <f>IFERROR(__xludf.DUMMYFUNCTION("""COMPUTED_VALUE"""),"реєстратори даних")</f>
        <v>реєстратори даних</v>
      </c>
      <c r="E309" s="15" t="str">
        <f>IFERROR(__xludf.DUMMYFUNCTION("""COMPUTED_VALUE"""),"реєстратори даних")</f>
        <v>реєстратори даних</v>
      </c>
      <c r="F309" s="17">
        <f>IFERROR(__xludf.DUMMYFUNCTION("""COMPUTED_VALUE"""),3.0)</f>
        <v>3</v>
      </c>
      <c r="G309" s="17">
        <f>IFERROR(__xludf.DUMMYFUNCTION("""COMPUTED_VALUE"""),153724.0)</f>
        <v>153724</v>
      </c>
      <c r="H309" s="17" t="str">
        <f>IFERROR(__xludf.DUMMYFUNCTION("""COMPUTED_VALUE"""),"реєстратори даних")</f>
        <v>реєстратори даних</v>
      </c>
      <c r="I309" s="18">
        <f>IFERROR(__xludf.DUMMYFUNCTION("""COMPUTED_VALUE"""),1.13)</f>
        <v>1.13</v>
      </c>
      <c r="J309" s="18">
        <f>IFERROR(__xludf.DUMMYFUNCTION("""COMPUTED_VALUE"""),2.25)</f>
        <v>2.25</v>
      </c>
      <c r="K309" s="18">
        <f>IFERROR(__xludf.DUMMYFUNCTION("""COMPUTED_VALUE"""),2.81)</f>
        <v>2.81</v>
      </c>
      <c r="L309" s="18">
        <f>IFERROR(__xludf.DUMMYFUNCTION("""COMPUTED_VALUE"""),4.5)</f>
        <v>4.5</v>
      </c>
    </row>
    <row r="310">
      <c r="A310" s="13" t="str">
        <f>IFERROR(__xludf.DUMMYFUNCTION("""COMPUTED_VALUE"""),"товари")</f>
        <v>товари</v>
      </c>
      <c r="B310" s="13" t="str">
        <f>IFERROR(__xludf.DUMMYFUNCTION("""COMPUTED_VALUE"""),"контрольно-вимірювальні прилади")</f>
        <v>контрольно-вимірювальні прилади</v>
      </c>
      <c r="C310" s="15" t="str">
        <f>IFERROR(__xludf.DUMMYFUNCTION("""COMPUTED_VALUE"""),"датчики")</f>
        <v>датчики</v>
      </c>
      <c r="D310" s="15" t="str">
        <f>IFERROR(__xludf.DUMMYFUNCTION("""COMPUTED_VALUE"""),"рівнеміри й сигналізатори рівня")</f>
        <v>рівнеміри й сигналізатори рівня</v>
      </c>
      <c r="E310" s="15" t="str">
        <f>IFERROR(__xludf.DUMMYFUNCTION("""COMPUTED_VALUE"""),"рівнеміри й сигналізатори рівня")</f>
        <v>рівнеміри й сигналізатори рівня</v>
      </c>
      <c r="F310" s="17">
        <f>IFERROR(__xludf.DUMMYFUNCTION("""COMPUTED_VALUE"""),3.0)</f>
        <v>3</v>
      </c>
      <c r="G310" s="17">
        <f>IFERROR(__xludf.DUMMYFUNCTION("""COMPUTED_VALUE"""),153726.0)</f>
        <v>153726</v>
      </c>
      <c r="H310" s="17" t="str">
        <f>IFERROR(__xludf.DUMMYFUNCTION("""COMPUTED_VALUE"""),"рівнеміри й сигналізатори рівня")</f>
        <v>рівнеміри й сигналізатори рівня</v>
      </c>
      <c r="I310" s="18">
        <f>IFERROR(__xludf.DUMMYFUNCTION("""COMPUTED_VALUE"""),2.16)</f>
        <v>2.16</v>
      </c>
      <c r="J310" s="18">
        <f>IFERROR(__xludf.DUMMYFUNCTION("""COMPUTED_VALUE"""),4.33)</f>
        <v>4.33</v>
      </c>
      <c r="K310" s="18">
        <f>IFERROR(__xludf.DUMMYFUNCTION("""COMPUTED_VALUE"""),5.41)</f>
        <v>5.41</v>
      </c>
      <c r="L310" s="18">
        <f>IFERROR(__xludf.DUMMYFUNCTION("""COMPUTED_VALUE"""),8.65)</f>
        <v>8.65</v>
      </c>
    </row>
    <row r="311">
      <c r="A311" s="13" t="str">
        <f>IFERROR(__xludf.DUMMYFUNCTION("""COMPUTED_VALUE"""),"товари")</f>
        <v>товари</v>
      </c>
      <c r="B311" s="13" t="str">
        <f>IFERROR(__xludf.DUMMYFUNCTION("""COMPUTED_VALUE"""),"контрольно-вимірювальні прилади")</f>
        <v>контрольно-вимірювальні прилади</v>
      </c>
      <c r="C311" s="15" t="str">
        <f>IFERROR(__xludf.DUMMYFUNCTION("""COMPUTED_VALUE"""),"геодезичне обладнання")</f>
        <v>геодезичне обладнання</v>
      </c>
      <c r="D311" s="15" t="str">
        <f>IFERROR(__xludf.DUMMYFUNCTION("""COMPUTED_VALUE"""),"тахеометри")</f>
        <v>тахеометри</v>
      </c>
      <c r="E311" s="15" t="str">
        <f>IFERROR(__xludf.DUMMYFUNCTION("""COMPUTED_VALUE"""),"тахеометри")</f>
        <v>тахеометри</v>
      </c>
      <c r="F311" s="17">
        <f>IFERROR(__xludf.DUMMYFUNCTION("""COMPUTED_VALUE"""),3.0)</f>
        <v>3</v>
      </c>
      <c r="G311" s="17">
        <f>IFERROR(__xludf.DUMMYFUNCTION("""COMPUTED_VALUE"""),1.3040902E7)</f>
        <v>13040902</v>
      </c>
      <c r="H311" s="17" t="str">
        <f>IFERROR(__xludf.DUMMYFUNCTION("""COMPUTED_VALUE"""),"тахеометри")</f>
        <v>тахеометри</v>
      </c>
      <c r="I311" s="18">
        <f>IFERROR(__xludf.DUMMYFUNCTION("""COMPUTED_VALUE"""),0.76)</f>
        <v>0.76</v>
      </c>
      <c r="J311" s="18">
        <f>IFERROR(__xludf.DUMMYFUNCTION("""COMPUTED_VALUE"""),1.53)</f>
        <v>1.53</v>
      </c>
      <c r="K311" s="18">
        <f>IFERROR(__xludf.DUMMYFUNCTION("""COMPUTED_VALUE"""),1.91)</f>
        <v>1.91</v>
      </c>
      <c r="L311" s="18">
        <f>IFERROR(__xludf.DUMMYFUNCTION("""COMPUTED_VALUE"""),3.05)</f>
        <v>3.05</v>
      </c>
    </row>
    <row r="312">
      <c r="A312" s="13" t="str">
        <f>IFERROR(__xludf.DUMMYFUNCTION("""COMPUTED_VALUE"""),"товари")</f>
        <v>товари</v>
      </c>
      <c r="B312" s="13" t="str">
        <f>IFERROR(__xludf.DUMMYFUNCTION("""COMPUTED_VALUE"""),"контрольно-вимірювальні прилади")</f>
        <v>контрольно-вимірювальні прилади</v>
      </c>
      <c r="C312" s="15" t="str">
        <f>IFERROR(__xludf.DUMMYFUNCTION("""COMPUTED_VALUE"""),"вимірювачі фізичних параметрів")</f>
        <v>вимірювачі фізичних параметрів</v>
      </c>
      <c r="D312" s="15" t="str">
        <f>IFERROR(__xludf.DUMMYFUNCTION("""COMPUTED_VALUE"""),"твердоміри")</f>
        <v>твердоміри</v>
      </c>
      <c r="E312" s="15" t="str">
        <f>IFERROR(__xludf.DUMMYFUNCTION("""COMPUTED_VALUE"""),"твердоміри")</f>
        <v>твердоміри</v>
      </c>
      <c r="F312" s="17">
        <f>IFERROR(__xludf.DUMMYFUNCTION("""COMPUTED_VALUE"""),3.0)</f>
        <v>3</v>
      </c>
      <c r="G312" s="17">
        <f>IFERROR(__xludf.DUMMYFUNCTION("""COMPUTED_VALUE"""),1.5370602E7)</f>
        <v>15370602</v>
      </c>
      <c r="H312" s="17" t="str">
        <f>IFERROR(__xludf.DUMMYFUNCTION("""COMPUTED_VALUE"""),"твердоміри")</f>
        <v>твердоміри</v>
      </c>
      <c r="I312" s="18">
        <f>IFERROR(__xludf.DUMMYFUNCTION("""COMPUTED_VALUE"""),1.04)</f>
        <v>1.04</v>
      </c>
      <c r="J312" s="18">
        <f>IFERROR(__xludf.DUMMYFUNCTION("""COMPUTED_VALUE"""),2.08)</f>
        <v>2.08</v>
      </c>
      <c r="K312" s="18">
        <f>IFERROR(__xludf.DUMMYFUNCTION("""COMPUTED_VALUE"""),2.59)</f>
        <v>2.59</v>
      </c>
      <c r="L312" s="18">
        <f>IFERROR(__xludf.DUMMYFUNCTION("""COMPUTED_VALUE"""),4.15)</f>
        <v>4.15</v>
      </c>
    </row>
    <row r="313">
      <c r="A313" s="13" t="str">
        <f>IFERROR(__xludf.DUMMYFUNCTION("""COMPUTED_VALUE"""),"товари")</f>
        <v>товари</v>
      </c>
      <c r="B313" s="13" t="str">
        <f>IFERROR(__xludf.DUMMYFUNCTION("""COMPUTED_VALUE"""),"контрольно-вимірювальні прилади")</f>
        <v>контрольно-вимірювальні прилади</v>
      </c>
      <c r="C313" s="15" t="str">
        <f>IFERROR(__xludf.DUMMYFUNCTION("""COMPUTED_VALUE"""),"геодезичне обладнання")</f>
        <v>геодезичне обладнання</v>
      </c>
      <c r="D313" s="15" t="str">
        <f>IFERROR(__xludf.DUMMYFUNCTION("""COMPUTED_VALUE"""),"трасошукачі")</f>
        <v>трасошукачі</v>
      </c>
      <c r="E313" s="15" t="str">
        <f>IFERROR(__xludf.DUMMYFUNCTION("""COMPUTED_VALUE"""),"трасошукачі")</f>
        <v>трасошукачі</v>
      </c>
      <c r="F313" s="17">
        <f>IFERROR(__xludf.DUMMYFUNCTION("""COMPUTED_VALUE"""),3.0)</f>
        <v>3</v>
      </c>
      <c r="G313" s="17">
        <f>IFERROR(__xludf.DUMMYFUNCTION("""COMPUTED_VALUE"""),1.304091E7)</f>
        <v>13040910</v>
      </c>
      <c r="H313" s="17" t="str">
        <f>IFERROR(__xludf.DUMMYFUNCTION("""COMPUTED_VALUE"""),"трасошукачі")</f>
        <v>трасошукачі</v>
      </c>
      <c r="I313" s="18">
        <f>IFERROR(__xludf.DUMMYFUNCTION("""COMPUTED_VALUE"""),0.72)</f>
        <v>0.72</v>
      </c>
      <c r="J313" s="18">
        <f>IFERROR(__xludf.DUMMYFUNCTION("""COMPUTED_VALUE"""),1.44)</f>
        <v>1.44</v>
      </c>
      <c r="K313" s="18">
        <f>IFERROR(__xludf.DUMMYFUNCTION("""COMPUTED_VALUE"""),1.8)</f>
        <v>1.8</v>
      </c>
      <c r="L313" s="18">
        <f>IFERROR(__xludf.DUMMYFUNCTION("""COMPUTED_VALUE"""),2.88)</f>
        <v>2.88</v>
      </c>
    </row>
    <row r="314">
      <c r="A314" s="13" t="str">
        <f>IFERROR(__xludf.DUMMYFUNCTION("""COMPUTED_VALUE"""),"товари")</f>
        <v>товари</v>
      </c>
      <c r="B314" s="13" t="str">
        <f>IFERROR(__xludf.DUMMYFUNCTION("""COMPUTED_VALUE"""),"контрольно-вимірювальні прилади")</f>
        <v>контрольно-вимірювальні прилади</v>
      </c>
      <c r="C314" s="15" t="str">
        <f>IFERROR(__xludf.DUMMYFUNCTION("""COMPUTED_VALUE"""),"радіовимірювальні прилади")</f>
        <v>радіовимірювальні прилади</v>
      </c>
      <c r="D314" s="15" t="str">
        <f>IFERROR(__xludf.DUMMYFUNCTION("""COMPUTED_VALUE"""),"частотоміри")</f>
        <v>частотоміри</v>
      </c>
      <c r="E314" s="15" t="str">
        <f>IFERROR(__xludf.DUMMYFUNCTION("""COMPUTED_VALUE"""),"частотоміри")</f>
        <v>частотоміри</v>
      </c>
      <c r="F314" s="17">
        <f>IFERROR(__xludf.DUMMYFUNCTION("""COMPUTED_VALUE"""),3.0)</f>
        <v>3</v>
      </c>
      <c r="G314" s="17">
        <f>IFERROR(__xludf.DUMMYFUNCTION("""COMPUTED_VALUE"""),1.5370305E7)</f>
        <v>15370305</v>
      </c>
      <c r="H314" s="17" t="str">
        <f>IFERROR(__xludf.DUMMYFUNCTION("""COMPUTED_VALUE"""),"частотоміри")</f>
        <v>частотоміри</v>
      </c>
      <c r="I314" s="18">
        <f>IFERROR(__xludf.DUMMYFUNCTION("""COMPUTED_VALUE"""),0.53)</f>
        <v>0.53</v>
      </c>
      <c r="J314" s="18">
        <f>IFERROR(__xludf.DUMMYFUNCTION("""COMPUTED_VALUE"""),1.05)</f>
        <v>1.05</v>
      </c>
      <c r="K314" s="18">
        <f>IFERROR(__xludf.DUMMYFUNCTION("""COMPUTED_VALUE"""),1.31)</f>
        <v>1.31</v>
      </c>
      <c r="L314" s="18">
        <f>IFERROR(__xludf.DUMMYFUNCTION("""COMPUTED_VALUE"""),2.1)</f>
        <v>2.1</v>
      </c>
    </row>
    <row r="315">
      <c r="A315" s="13" t="str">
        <f>IFERROR(__xludf.DUMMYFUNCTION("""COMPUTED_VALUE"""),"товари")</f>
        <v>товари</v>
      </c>
      <c r="B315" s="13" t="str">
        <f>IFERROR(__xludf.DUMMYFUNCTION("""COMPUTED_VALUE"""),"контрольно-вимірювальні прилади")</f>
        <v>контрольно-вимірювальні прилади</v>
      </c>
      <c r="C315" s="15" t="str">
        <f>IFERROR(__xludf.DUMMYFUNCTION("""COMPUTED_VALUE"""),"шафи для квп")</f>
        <v>шафи для квп</v>
      </c>
      <c r="D315" s="15" t="str">
        <f>IFERROR(__xludf.DUMMYFUNCTION("""COMPUTED_VALUE"""),"шафи для квп")</f>
        <v>шафи для квп</v>
      </c>
      <c r="E315" s="15" t="str">
        <f>IFERROR(__xludf.DUMMYFUNCTION("""COMPUTED_VALUE"""),"шафи для квп")</f>
        <v>шафи для квп</v>
      </c>
      <c r="F315" s="17">
        <f>IFERROR(__xludf.DUMMYFUNCTION("""COMPUTED_VALUE"""),2.0)</f>
        <v>2</v>
      </c>
      <c r="G315" s="17">
        <f>IFERROR(__xludf.DUMMYFUNCTION("""COMPUTED_VALUE"""),153727.0)</f>
        <v>153727</v>
      </c>
      <c r="H315" s="17" t="str">
        <f>IFERROR(__xludf.DUMMYFUNCTION("""COMPUTED_VALUE"""),"шафи для квп")</f>
        <v>шафи для квп</v>
      </c>
      <c r="I315" s="18">
        <f>IFERROR(__xludf.DUMMYFUNCTION("""COMPUTED_VALUE"""),0.63)</f>
        <v>0.63</v>
      </c>
      <c r="J315" s="18">
        <f>IFERROR(__xludf.DUMMYFUNCTION("""COMPUTED_VALUE"""),1.26)</f>
        <v>1.26</v>
      </c>
      <c r="K315" s="18">
        <f>IFERROR(__xludf.DUMMYFUNCTION("""COMPUTED_VALUE"""),1.58)</f>
        <v>1.58</v>
      </c>
      <c r="L315" s="18">
        <f>IFERROR(__xludf.DUMMYFUNCTION("""COMPUTED_VALUE"""),2.53)</f>
        <v>2.53</v>
      </c>
    </row>
    <row r="316">
      <c r="A316" s="13" t="str">
        <f>IFERROR(__xludf.DUMMYFUNCTION("""COMPUTED_VALUE"""),"послуги")</f>
        <v>послуги</v>
      </c>
      <c r="B316" s="13" t="str">
        <f>IFERROR(__xludf.DUMMYFUNCTION("""COMPUTED_VALUE"""),"логістичні та складські послуги")</f>
        <v>логістичні та складські послуги</v>
      </c>
      <c r="C316" s="15" t="str">
        <f>IFERROR(__xludf.DUMMYFUNCTION("""COMPUTED_VALUE"""),"брокерські послуги")</f>
        <v>брокерські послуги</v>
      </c>
      <c r="D316" s="15" t="str">
        <f>IFERROR(__xludf.DUMMYFUNCTION("""COMPUTED_VALUE"""),"брокерські послуги")</f>
        <v>брокерські послуги</v>
      </c>
      <c r="E316" s="15" t="str">
        <f>IFERROR(__xludf.DUMMYFUNCTION("""COMPUTED_VALUE"""),"брокерські послуги")</f>
        <v>брокерські послуги</v>
      </c>
      <c r="F316" s="17">
        <f>IFERROR(__xludf.DUMMYFUNCTION("""COMPUTED_VALUE"""),2.0)</f>
        <v>2</v>
      </c>
      <c r="G316" s="17">
        <f>IFERROR(__xludf.DUMMYFUNCTION("""COMPUTED_VALUE"""),2.8070906E7)</f>
        <v>28070906</v>
      </c>
      <c r="H316" s="17" t="str">
        <f>IFERROR(__xludf.DUMMYFUNCTION("""COMPUTED_VALUE"""),"брокерські послуги")</f>
        <v>брокерські послуги</v>
      </c>
      <c r="I316" s="18">
        <f>IFERROR(__xludf.DUMMYFUNCTION("""COMPUTED_VALUE"""),1.94)</f>
        <v>1.94</v>
      </c>
      <c r="J316" s="18">
        <f>IFERROR(__xludf.DUMMYFUNCTION("""COMPUTED_VALUE"""),3.88)</f>
        <v>3.88</v>
      </c>
      <c r="K316" s="18">
        <f>IFERROR(__xludf.DUMMYFUNCTION("""COMPUTED_VALUE"""),4.84)</f>
        <v>4.84</v>
      </c>
      <c r="L316" s="18">
        <f>IFERROR(__xludf.DUMMYFUNCTION("""COMPUTED_VALUE"""),7.75)</f>
        <v>7.75</v>
      </c>
    </row>
    <row r="317">
      <c r="A317" s="13" t="str">
        <f>IFERROR(__xludf.DUMMYFUNCTION("""COMPUTED_VALUE"""),"послуги")</f>
        <v>послуги</v>
      </c>
      <c r="B317" s="13" t="str">
        <f>IFERROR(__xludf.DUMMYFUNCTION("""COMPUTED_VALUE"""),"логістичні та складські послуги")</f>
        <v>логістичні та складські послуги</v>
      </c>
      <c r="C317" s="15" t="str">
        <f>IFERROR(__xludf.DUMMYFUNCTION("""COMPUTED_VALUE"""),"транспортні послуги")</f>
        <v>транспортні послуги</v>
      </c>
      <c r="D317" s="15" t="str">
        <f>IFERROR(__xludf.DUMMYFUNCTION("""COMPUTED_VALUE"""),"викуп автомобілів")</f>
        <v>викуп автомобілів</v>
      </c>
      <c r="E317" s="15" t="str">
        <f>IFERROR(__xludf.DUMMYFUNCTION("""COMPUTED_VALUE"""),"викуп автомобілів")</f>
        <v>викуп автомобілів</v>
      </c>
      <c r="F317" s="17">
        <f>IFERROR(__xludf.DUMMYFUNCTION("""COMPUTED_VALUE"""),3.0)</f>
        <v>3</v>
      </c>
      <c r="G317" s="17">
        <f>IFERROR(__xludf.DUMMYFUNCTION("""COMPUTED_VALUE"""),280572.0)</f>
        <v>280572</v>
      </c>
      <c r="H317" s="17" t="str">
        <f>IFERROR(__xludf.DUMMYFUNCTION("""COMPUTED_VALUE"""),"викуп автомобілів")</f>
        <v>викуп автомобілів</v>
      </c>
      <c r="I317" s="18">
        <f>IFERROR(__xludf.DUMMYFUNCTION("""COMPUTED_VALUE"""),0.53)</f>
        <v>0.53</v>
      </c>
      <c r="J317" s="18">
        <f>IFERROR(__xludf.DUMMYFUNCTION("""COMPUTED_VALUE"""),1.05)</f>
        <v>1.05</v>
      </c>
      <c r="K317" s="18">
        <f>IFERROR(__xludf.DUMMYFUNCTION("""COMPUTED_VALUE"""),1.31)</f>
        <v>1.31</v>
      </c>
      <c r="L317" s="18">
        <f>IFERROR(__xludf.DUMMYFUNCTION("""COMPUTED_VALUE"""),2.1)</f>
        <v>2.1</v>
      </c>
    </row>
    <row r="318">
      <c r="A318" s="13" t="str">
        <f>IFERROR(__xludf.DUMMYFUNCTION("""COMPUTED_VALUE"""),"послуги")</f>
        <v>послуги</v>
      </c>
      <c r="B318" s="13" t="str">
        <f>IFERROR(__xludf.DUMMYFUNCTION("""COMPUTED_VALUE"""),"логістичні та складські послуги")</f>
        <v>логістичні та складські послуги</v>
      </c>
      <c r="C318" s="15" t="str">
        <f>IFERROR(__xludf.DUMMYFUNCTION("""COMPUTED_VALUE"""),"кур'єрські послуги")</f>
        <v>кур'єрські послуги</v>
      </c>
      <c r="D318" s="15" t="str">
        <f>IFERROR(__xludf.DUMMYFUNCTION("""COMPUTED_VALUE"""),"кур'єрські послуги")</f>
        <v>кур'єрські послуги</v>
      </c>
      <c r="E318" s="15" t="str">
        <f>IFERROR(__xludf.DUMMYFUNCTION("""COMPUTED_VALUE"""),"кур'єрські послуги")</f>
        <v>кур'єрські послуги</v>
      </c>
      <c r="F318" s="17">
        <f>IFERROR(__xludf.DUMMYFUNCTION("""COMPUTED_VALUE"""),2.0)</f>
        <v>2</v>
      </c>
      <c r="G318" s="17">
        <f>IFERROR(__xludf.DUMMYFUNCTION("""COMPUTED_VALUE"""),280711.0)</f>
        <v>280711</v>
      </c>
      <c r="H318" s="17" t="str">
        <f>IFERROR(__xludf.DUMMYFUNCTION("""COMPUTED_VALUE"""),"кур'єрські послуги")</f>
        <v>кур'єрські послуги</v>
      </c>
      <c r="I318" s="18">
        <f>IFERROR(__xludf.DUMMYFUNCTION("""COMPUTED_VALUE"""),0.81)</f>
        <v>0.81</v>
      </c>
      <c r="J318" s="18">
        <f>IFERROR(__xludf.DUMMYFUNCTION("""COMPUTED_VALUE"""),1.63)</f>
        <v>1.63</v>
      </c>
      <c r="K318" s="18">
        <f>IFERROR(__xludf.DUMMYFUNCTION("""COMPUTED_VALUE"""),2.03)</f>
        <v>2.03</v>
      </c>
      <c r="L318" s="18">
        <f>IFERROR(__xludf.DUMMYFUNCTION("""COMPUTED_VALUE"""),3.25)</f>
        <v>3.25</v>
      </c>
    </row>
    <row r="319">
      <c r="A319" s="13" t="str">
        <f>IFERROR(__xludf.DUMMYFUNCTION("""COMPUTED_VALUE"""),"послуги")</f>
        <v>послуги</v>
      </c>
      <c r="B319" s="13" t="str">
        <f>IFERROR(__xludf.DUMMYFUNCTION("""COMPUTED_VALUE"""),"логістичні та складські послуги")</f>
        <v>логістичні та складські послуги</v>
      </c>
      <c r="C319" s="15" t="str">
        <f>IFERROR(__xludf.DUMMYFUNCTION("""COMPUTED_VALUE"""),"послуги складського зберігання")</f>
        <v>послуги складського зберігання</v>
      </c>
      <c r="D319" s="15" t="str">
        <f>IFERROR(__xludf.DUMMYFUNCTION("""COMPUTED_VALUE"""),"послуги складського зберігання")</f>
        <v>послуги складського зберігання</v>
      </c>
      <c r="E319" s="15" t="str">
        <f>IFERROR(__xludf.DUMMYFUNCTION("""COMPUTED_VALUE"""),"послуги складського зберігання")</f>
        <v>послуги складського зберігання</v>
      </c>
      <c r="F319" s="17">
        <f>IFERROR(__xludf.DUMMYFUNCTION("""COMPUTED_VALUE"""),2.0)</f>
        <v>2</v>
      </c>
      <c r="G319" s="17">
        <f>IFERROR(__xludf.DUMMYFUNCTION("""COMPUTED_VALUE"""),2.8071002E7)</f>
        <v>28071002</v>
      </c>
      <c r="H319" s="17" t="str">
        <f>IFERROR(__xludf.DUMMYFUNCTION("""COMPUTED_VALUE"""),"послуги складського зберігання")</f>
        <v>послуги складського зберігання</v>
      </c>
      <c r="I319" s="18">
        <f>IFERROR(__xludf.DUMMYFUNCTION("""COMPUTED_VALUE"""),1.53)</f>
        <v>1.53</v>
      </c>
      <c r="J319" s="18">
        <f>IFERROR(__xludf.DUMMYFUNCTION("""COMPUTED_VALUE"""),3.06)</f>
        <v>3.06</v>
      </c>
      <c r="K319" s="18">
        <f>IFERROR(__xludf.DUMMYFUNCTION("""COMPUTED_VALUE"""),3.83)</f>
        <v>3.83</v>
      </c>
      <c r="L319" s="18">
        <f>IFERROR(__xludf.DUMMYFUNCTION("""COMPUTED_VALUE"""),6.13)</f>
        <v>6.13</v>
      </c>
    </row>
    <row r="320">
      <c r="A320" s="13" t="str">
        <f>IFERROR(__xludf.DUMMYFUNCTION("""COMPUTED_VALUE"""),"товари")</f>
        <v>товари</v>
      </c>
      <c r="B320" s="13" t="str">
        <f>IFERROR(__xludf.DUMMYFUNCTION("""COMPUTED_VALUE"""),"матеріали для ремонту")</f>
        <v>матеріали для ремонту</v>
      </c>
      <c r="C320" s="15" t="str">
        <f>IFERROR(__xludf.DUMMYFUNCTION("""COMPUTED_VALUE"""),"скріплювальні вироби")</f>
        <v>скріплювальні вироби</v>
      </c>
      <c r="D320" s="15" t="str">
        <f>IFERROR(__xludf.DUMMYFUNCTION("""COMPUTED_VALUE"""),"метричне кріплення")</f>
        <v>метричне кріплення</v>
      </c>
      <c r="E320" s="15" t="str">
        <f>IFERROR(__xludf.DUMMYFUNCTION("""COMPUTED_VALUE"""),"болти")</f>
        <v>болти</v>
      </c>
      <c r="F320" s="17">
        <f>IFERROR(__xludf.DUMMYFUNCTION("""COMPUTED_VALUE"""),4.0)</f>
        <v>4</v>
      </c>
      <c r="G320" s="17">
        <f>IFERROR(__xludf.DUMMYFUNCTION("""COMPUTED_VALUE"""),420502.0)</f>
        <v>420502</v>
      </c>
      <c r="H320" s="17" t="str">
        <f>IFERROR(__xludf.DUMMYFUNCTION("""COMPUTED_VALUE"""),"болти")</f>
        <v>болти</v>
      </c>
      <c r="I320" s="18">
        <f>IFERROR(__xludf.DUMMYFUNCTION("""COMPUTED_VALUE"""),0.76)</f>
        <v>0.76</v>
      </c>
      <c r="J320" s="18">
        <f>IFERROR(__xludf.DUMMYFUNCTION("""COMPUTED_VALUE"""),1.53)</f>
        <v>1.53</v>
      </c>
      <c r="K320" s="18">
        <f>IFERROR(__xludf.DUMMYFUNCTION("""COMPUTED_VALUE"""),1.91)</f>
        <v>1.91</v>
      </c>
      <c r="L320" s="18">
        <f>IFERROR(__xludf.DUMMYFUNCTION("""COMPUTED_VALUE"""),3.05)</f>
        <v>3.05</v>
      </c>
    </row>
    <row r="321">
      <c r="A321" s="13" t="str">
        <f>IFERROR(__xludf.DUMMYFUNCTION("""COMPUTED_VALUE"""),"товари")</f>
        <v>товари</v>
      </c>
      <c r="B321" s="13" t="str">
        <f>IFERROR(__xludf.DUMMYFUNCTION("""COMPUTED_VALUE"""),"матеріали для ремонту")</f>
        <v>матеріали для ремонту</v>
      </c>
      <c r="C321" s="15" t="str">
        <f>IFERROR(__xludf.DUMMYFUNCTION("""COMPUTED_VALUE"""),"підлогові покриття")</f>
        <v>підлогові покриття</v>
      </c>
      <c r="D321" s="15" t="str">
        <f>IFERROR(__xludf.DUMMYFUNCTION("""COMPUTED_VALUE"""),"брудозахисні покриття для підлоги")</f>
        <v>брудозахисні покриття для підлоги</v>
      </c>
      <c r="E321" s="15" t="str">
        <f>IFERROR(__xludf.DUMMYFUNCTION("""COMPUTED_VALUE"""),"брудозахисні покриття для підлоги")</f>
        <v>брудозахисні покриття для підлоги</v>
      </c>
      <c r="F321" s="17">
        <f>IFERROR(__xludf.DUMMYFUNCTION("""COMPUTED_VALUE"""),3.0)</f>
        <v>3</v>
      </c>
      <c r="G321" s="17">
        <f>IFERROR(__xludf.DUMMYFUNCTION("""COMPUTED_VALUE"""),130722.0)</f>
        <v>130722</v>
      </c>
      <c r="H321" s="17" t="str">
        <f>IFERROR(__xludf.DUMMYFUNCTION("""COMPUTED_VALUE"""),"брудозахисні покриття для підлоги")</f>
        <v>брудозахисні покриття для підлоги</v>
      </c>
      <c r="I321" s="18">
        <f>IFERROR(__xludf.DUMMYFUNCTION("""COMPUTED_VALUE"""),0.76)</f>
        <v>0.76</v>
      </c>
      <c r="J321" s="18">
        <f>IFERROR(__xludf.DUMMYFUNCTION("""COMPUTED_VALUE"""),1.53)</f>
        <v>1.53</v>
      </c>
      <c r="K321" s="18">
        <f>IFERROR(__xludf.DUMMYFUNCTION("""COMPUTED_VALUE"""),1.91)</f>
        <v>1.91</v>
      </c>
      <c r="L321" s="18">
        <f>IFERROR(__xludf.DUMMYFUNCTION("""COMPUTED_VALUE"""),3.05)</f>
        <v>3.05</v>
      </c>
    </row>
    <row r="322">
      <c r="A322" s="13" t="str">
        <f>IFERROR(__xludf.DUMMYFUNCTION("""COMPUTED_VALUE"""),"товари")</f>
        <v>товари</v>
      </c>
      <c r="B322" s="13" t="str">
        <f>IFERROR(__xludf.DUMMYFUNCTION("""COMPUTED_VALUE"""),"матеріали для ремонту")</f>
        <v>матеріали для ремонту</v>
      </c>
      <c r="C322" s="15" t="str">
        <f>IFERROR(__xludf.DUMMYFUNCTION("""COMPUTED_VALUE"""),"сантехніка")</f>
        <v>сантехніка</v>
      </c>
      <c r="D322" s="15" t="str">
        <f>IFERROR(__xludf.DUMMYFUNCTION("""COMPUTED_VALUE"""),"ванни")</f>
        <v>ванни</v>
      </c>
      <c r="E322" s="15" t="str">
        <f>IFERROR(__xludf.DUMMYFUNCTION("""COMPUTED_VALUE"""),"ванни")</f>
        <v>ванни</v>
      </c>
      <c r="F322" s="17">
        <f>IFERROR(__xludf.DUMMYFUNCTION("""COMPUTED_VALUE"""),3.0)</f>
        <v>3</v>
      </c>
      <c r="G322" s="17">
        <f>IFERROR(__xludf.DUMMYFUNCTION("""COMPUTED_VALUE"""),130101.0)</f>
        <v>130101</v>
      </c>
      <c r="H322" s="17" t="str">
        <f>IFERROR(__xludf.DUMMYFUNCTION("""COMPUTED_VALUE"""),"ванни")</f>
        <v>ванни</v>
      </c>
      <c r="I322" s="18">
        <f>IFERROR(__xludf.DUMMYFUNCTION("""COMPUTED_VALUE"""),0.76)</f>
        <v>0.76</v>
      </c>
      <c r="J322" s="18">
        <f>IFERROR(__xludf.DUMMYFUNCTION("""COMPUTED_VALUE"""),1.53)</f>
        <v>1.53</v>
      </c>
      <c r="K322" s="18">
        <f>IFERROR(__xludf.DUMMYFUNCTION("""COMPUTED_VALUE"""),1.91)</f>
        <v>1.91</v>
      </c>
      <c r="L322" s="18">
        <f>IFERROR(__xludf.DUMMYFUNCTION("""COMPUTED_VALUE"""),3.05)</f>
        <v>3.05</v>
      </c>
    </row>
    <row r="323">
      <c r="A323" s="13" t="str">
        <f>IFERROR(__xludf.DUMMYFUNCTION("""COMPUTED_VALUE"""),"товари")</f>
        <v>товари</v>
      </c>
      <c r="B323" s="13" t="str">
        <f>IFERROR(__xludf.DUMMYFUNCTION("""COMPUTED_VALUE"""),"матеріали для ремонту")</f>
        <v>матеріали для ремонту</v>
      </c>
      <c r="C323" s="15" t="str">
        <f>IFERROR(__xludf.DUMMYFUNCTION("""COMPUTED_VALUE"""),"аксесуари та фурнітура для вікон і дверей")</f>
        <v>аксесуари та фурнітура для вікон і дверей</v>
      </c>
      <c r="D323" s="15" t="str">
        <f>IFERROR(__xludf.DUMMYFUNCTION("""COMPUTED_VALUE"""),"відкоси")</f>
        <v>відкоси</v>
      </c>
      <c r="E323" s="15" t="str">
        <f>IFERROR(__xludf.DUMMYFUNCTION("""COMPUTED_VALUE"""),"відкоси")</f>
        <v>відкоси</v>
      </c>
      <c r="F323" s="17">
        <f>IFERROR(__xludf.DUMMYFUNCTION("""COMPUTED_VALUE"""),3.0)</f>
        <v>3</v>
      </c>
      <c r="G323" s="17">
        <f>IFERROR(__xludf.DUMMYFUNCTION("""COMPUTED_VALUE"""),135710.0)</f>
        <v>135710</v>
      </c>
      <c r="H323" s="17" t="str">
        <f>IFERROR(__xludf.DUMMYFUNCTION("""COMPUTED_VALUE"""),"відкоси")</f>
        <v>відкоси</v>
      </c>
      <c r="I323" s="18">
        <f>IFERROR(__xludf.DUMMYFUNCTION("""COMPUTED_VALUE"""),0.76)</f>
        <v>0.76</v>
      </c>
      <c r="J323" s="18">
        <f>IFERROR(__xludf.DUMMYFUNCTION("""COMPUTED_VALUE"""),1.53)</f>
        <v>1.53</v>
      </c>
      <c r="K323" s="18">
        <f>IFERROR(__xludf.DUMMYFUNCTION("""COMPUTED_VALUE"""),1.91)</f>
        <v>1.91</v>
      </c>
      <c r="L323" s="18">
        <f>IFERROR(__xludf.DUMMYFUNCTION("""COMPUTED_VALUE"""),3.05)</f>
        <v>3.05</v>
      </c>
    </row>
    <row r="324">
      <c r="A324" s="13" t="str">
        <f>IFERROR(__xludf.DUMMYFUNCTION("""COMPUTED_VALUE"""),"товари")</f>
        <v>товари</v>
      </c>
      <c r="B324" s="13" t="str">
        <f>IFERROR(__xludf.DUMMYFUNCTION("""COMPUTED_VALUE"""),"матеріали для ремонту")</f>
        <v>матеріали для ремонту</v>
      </c>
      <c r="C324" s="15" t="str">
        <f>IFERROR(__xludf.DUMMYFUNCTION("""COMPUTED_VALUE"""),"вікна та двері")</f>
        <v>вікна та двері</v>
      </c>
      <c r="D324" s="15" t="str">
        <f>IFERROR(__xludf.DUMMYFUNCTION("""COMPUTED_VALUE"""),"вхідні групи")</f>
        <v>вхідні групи</v>
      </c>
      <c r="E324" s="15" t="str">
        <f>IFERROR(__xludf.DUMMYFUNCTION("""COMPUTED_VALUE"""),"вхідні групи")</f>
        <v>вхідні групи</v>
      </c>
      <c r="F324" s="17">
        <f>IFERROR(__xludf.DUMMYFUNCTION("""COMPUTED_VALUE"""),3.0)</f>
        <v>3</v>
      </c>
      <c r="G324" s="17">
        <f>IFERROR(__xludf.DUMMYFUNCTION("""COMPUTED_VALUE"""),130506.0)</f>
        <v>130506</v>
      </c>
      <c r="H324" s="17" t="str">
        <f>IFERROR(__xludf.DUMMYFUNCTION("""COMPUTED_VALUE"""),"вхідні групи")</f>
        <v>вхідні групи</v>
      </c>
      <c r="I324" s="18">
        <f>IFERROR(__xludf.DUMMYFUNCTION("""COMPUTED_VALUE"""),2.21)</f>
        <v>2.21</v>
      </c>
      <c r="J324" s="18">
        <f>IFERROR(__xludf.DUMMYFUNCTION("""COMPUTED_VALUE"""),4.41)</f>
        <v>4.41</v>
      </c>
      <c r="K324" s="18">
        <f>IFERROR(__xludf.DUMMYFUNCTION("""COMPUTED_VALUE"""),5.52)</f>
        <v>5.52</v>
      </c>
      <c r="L324" s="18">
        <f>IFERROR(__xludf.DUMMYFUNCTION("""COMPUTED_VALUE"""),8.83)</f>
        <v>8.83</v>
      </c>
    </row>
    <row r="325">
      <c r="A325" s="13" t="str">
        <f>IFERROR(__xludf.DUMMYFUNCTION("""COMPUTED_VALUE"""),"товари")</f>
        <v>товари</v>
      </c>
      <c r="B325" s="13" t="str">
        <f>IFERROR(__xludf.DUMMYFUNCTION("""COMPUTED_VALUE"""),"матеріали для ремонту")</f>
        <v>матеріали для ремонту</v>
      </c>
      <c r="C325" s="15" t="str">
        <f>IFERROR(__xludf.DUMMYFUNCTION("""COMPUTED_VALUE"""),"підлогові покриття")</f>
        <v>підлогові покриття</v>
      </c>
      <c r="D325" s="15" t="str">
        <f>IFERROR(__xludf.DUMMYFUNCTION("""COMPUTED_VALUE"""),"гумове покриття для підлоги")</f>
        <v>гумове покриття для підлоги</v>
      </c>
      <c r="E325" s="15" t="str">
        <f>IFERROR(__xludf.DUMMYFUNCTION("""COMPUTED_VALUE"""),"гумове покриття для підлоги")</f>
        <v>гумове покриття для підлоги</v>
      </c>
      <c r="F325" s="17">
        <f>IFERROR(__xludf.DUMMYFUNCTION("""COMPUTED_VALUE"""),3.0)</f>
        <v>3</v>
      </c>
      <c r="G325" s="17">
        <f>IFERROR(__xludf.DUMMYFUNCTION("""COMPUTED_VALUE"""),130739.0)</f>
        <v>130739</v>
      </c>
      <c r="H325" s="17" t="str">
        <f>IFERROR(__xludf.DUMMYFUNCTION("""COMPUTED_VALUE"""),"гумове покриття для підлоги")</f>
        <v>гумове покриття для підлоги</v>
      </c>
      <c r="I325" s="18">
        <f>IFERROR(__xludf.DUMMYFUNCTION("""COMPUTED_VALUE"""),0.76)</f>
        <v>0.76</v>
      </c>
      <c r="J325" s="18">
        <f>IFERROR(__xludf.DUMMYFUNCTION("""COMPUTED_VALUE"""),1.53)</f>
        <v>1.53</v>
      </c>
      <c r="K325" s="18">
        <f>IFERROR(__xludf.DUMMYFUNCTION("""COMPUTED_VALUE"""),1.91)</f>
        <v>1.91</v>
      </c>
      <c r="L325" s="18">
        <f>IFERROR(__xludf.DUMMYFUNCTION("""COMPUTED_VALUE"""),3.05)</f>
        <v>3.05</v>
      </c>
    </row>
    <row r="326">
      <c r="A326" s="13" t="str">
        <f>IFERROR(__xludf.DUMMYFUNCTION("""COMPUTED_VALUE"""),"товари")</f>
        <v>товари</v>
      </c>
      <c r="B326" s="13" t="str">
        <f>IFERROR(__xludf.DUMMYFUNCTION("""COMPUTED_VALUE"""),"матеріали для ремонту")</f>
        <v>матеріали для ремонту</v>
      </c>
      <c r="C326" s="15" t="str">
        <f>IFERROR(__xludf.DUMMYFUNCTION("""COMPUTED_VALUE"""),"підлогові покриття")</f>
        <v>підлогові покриття</v>
      </c>
      <c r="D326" s="15" t="str">
        <f>IFERROR(__xludf.DUMMYFUNCTION("""COMPUTED_VALUE"""),"ковролін і килимова плитка")</f>
        <v>ковролін і килимова плитка</v>
      </c>
      <c r="E326" s="15" t="str">
        <f>IFERROR(__xludf.DUMMYFUNCTION("""COMPUTED_VALUE"""),"ковролін і килимова плитка")</f>
        <v>ковролін і килимова плитка</v>
      </c>
      <c r="F326" s="17">
        <f>IFERROR(__xludf.DUMMYFUNCTION("""COMPUTED_VALUE"""),3.0)</f>
        <v>3</v>
      </c>
      <c r="G326" s="17">
        <f>IFERROR(__xludf.DUMMYFUNCTION("""COMPUTED_VALUE"""),1.3073202E7)</f>
        <v>13073202</v>
      </c>
      <c r="H326" s="17" t="str">
        <f>IFERROR(__xludf.DUMMYFUNCTION("""COMPUTED_VALUE"""),"ковролін і килимова плитка")</f>
        <v>ковролін і килимова плитка</v>
      </c>
      <c r="I326" s="18">
        <f>IFERROR(__xludf.DUMMYFUNCTION("""COMPUTED_VALUE"""),0.76)</f>
        <v>0.76</v>
      </c>
      <c r="J326" s="18">
        <f>IFERROR(__xludf.DUMMYFUNCTION("""COMPUTED_VALUE"""),1.53)</f>
        <v>1.53</v>
      </c>
      <c r="K326" s="18">
        <f>IFERROR(__xludf.DUMMYFUNCTION("""COMPUTED_VALUE"""),1.91)</f>
        <v>1.91</v>
      </c>
      <c r="L326" s="18">
        <f>IFERROR(__xludf.DUMMYFUNCTION("""COMPUTED_VALUE"""),3.05)</f>
        <v>3.05</v>
      </c>
    </row>
    <row r="327">
      <c r="A327" s="13" t="str">
        <f>IFERROR(__xludf.DUMMYFUNCTION("""COMPUTED_VALUE"""),"товари")</f>
        <v>товари</v>
      </c>
      <c r="B327" s="13" t="str">
        <f>IFERROR(__xludf.DUMMYFUNCTION("""COMPUTED_VALUE"""),"матеріали для ремонту")</f>
        <v>матеріали для ремонту</v>
      </c>
      <c r="C327" s="15" t="str">
        <f>IFERROR(__xludf.DUMMYFUNCTION("""COMPUTED_VALUE"""),"підлогові покриття")</f>
        <v>підлогові покриття</v>
      </c>
      <c r="D327" s="15" t="str">
        <f>IFERROR(__xludf.DUMMYFUNCTION("""COMPUTED_VALUE"""),"комплектуючі для підлогових покриттів")</f>
        <v>комплектуючі для підлогових покриттів</v>
      </c>
      <c r="E327" s="15" t="str">
        <f>IFERROR(__xludf.DUMMYFUNCTION("""COMPUTED_VALUE"""),"комплектуючі для підлогових покриттів")</f>
        <v>комплектуючі для підлогових покриттів</v>
      </c>
      <c r="F327" s="17">
        <f>IFERROR(__xludf.DUMMYFUNCTION("""COMPUTED_VALUE"""),3.0)</f>
        <v>3</v>
      </c>
      <c r="G327" s="17">
        <f>IFERROR(__xludf.DUMMYFUNCTION("""COMPUTED_VALUE"""),1.3070121E7)</f>
        <v>13070121</v>
      </c>
      <c r="H327" s="17" t="str">
        <f>IFERROR(__xludf.DUMMYFUNCTION("""COMPUTED_VALUE"""),"комплектуючі для підлогових покриттів")</f>
        <v>комплектуючі для підлогових покриттів</v>
      </c>
      <c r="I327" s="18">
        <f>IFERROR(__xludf.DUMMYFUNCTION("""COMPUTED_VALUE"""),0.76)</f>
        <v>0.76</v>
      </c>
      <c r="J327" s="18">
        <f>IFERROR(__xludf.DUMMYFUNCTION("""COMPUTED_VALUE"""),1.53)</f>
        <v>1.53</v>
      </c>
      <c r="K327" s="18">
        <f>IFERROR(__xludf.DUMMYFUNCTION("""COMPUTED_VALUE"""),1.91)</f>
        <v>1.91</v>
      </c>
      <c r="L327" s="18">
        <f>IFERROR(__xludf.DUMMYFUNCTION("""COMPUTED_VALUE"""),3.05)</f>
        <v>3.05</v>
      </c>
    </row>
    <row r="328">
      <c r="A328" s="13" t="str">
        <f>IFERROR(__xludf.DUMMYFUNCTION("""COMPUTED_VALUE"""),"товари")</f>
        <v>товари</v>
      </c>
      <c r="B328" s="13" t="str">
        <f>IFERROR(__xludf.DUMMYFUNCTION("""COMPUTED_VALUE"""),"матеріали для ремонту")</f>
        <v>матеріали для ремонту</v>
      </c>
      <c r="C328" s="15" t="str">
        <f>IFERROR(__xludf.DUMMYFUNCTION("""COMPUTED_VALUE"""),"скріплювальні вироби")</f>
        <v>скріплювальні вироби</v>
      </c>
      <c r="D328" s="15" t="str">
        <f>IFERROR(__xludf.DUMMYFUNCTION("""COMPUTED_VALUE"""),"такелаж")</f>
        <v>такелаж</v>
      </c>
      <c r="E328" s="15" t="str">
        <f>IFERROR(__xludf.DUMMYFUNCTION("""COMPUTED_VALUE"""),"коуши")</f>
        <v>коуши</v>
      </c>
      <c r="F328" s="17">
        <f>IFERROR(__xludf.DUMMYFUNCTION("""COMPUTED_VALUE"""),4.0)</f>
        <v>4</v>
      </c>
      <c r="G328" s="17">
        <f>IFERROR(__xludf.DUMMYFUNCTION("""COMPUTED_VALUE"""),4.2020203E7)</f>
        <v>42020203</v>
      </c>
      <c r="H328" s="17" t="str">
        <f>IFERROR(__xludf.DUMMYFUNCTION("""COMPUTED_VALUE"""),"коуши")</f>
        <v>коуши</v>
      </c>
      <c r="I328" s="18">
        <f>IFERROR(__xludf.DUMMYFUNCTION("""COMPUTED_VALUE"""),1.58)</f>
        <v>1.58</v>
      </c>
      <c r="J328" s="18">
        <f>IFERROR(__xludf.DUMMYFUNCTION("""COMPUTED_VALUE"""),3.15)</f>
        <v>3.15</v>
      </c>
      <c r="K328" s="18">
        <f>IFERROR(__xludf.DUMMYFUNCTION("""COMPUTED_VALUE"""),3.94)</f>
        <v>3.94</v>
      </c>
      <c r="L328" s="18">
        <f>IFERROR(__xludf.DUMMYFUNCTION("""COMPUTED_VALUE"""),6.3)</f>
        <v>6.3</v>
      </c>
    </row>
    <row r="329">
      <c r="A329" s="13" t="str">
        <f>IFERROR(__xludf.DUMMYFUNCTION("""COMPUTED_VALUE"""),"товари")</f>
        <v>товари</v>
      </c>
      <c r="B329" s="13" t="str">
        <f>IFERROR(__xludf.DUMMYFUNCTION("""COMPUTED_VALUE"""),"матеріали для ремонту")</f>
        <v>матеріали для ремонту</v>
      </c>
      <c r="C329" s="15" t="str">
        <f>IFERROR(__xludf.DUMMYFUNCTION("""COMPUTED_VALUE"""),"підлогові покриття")</f>
        <v>підлогові покриття</v>
      </c>
      <c r="D329" s="15" t="str">
        <f>IFERROR(__xludf.DUMMYFUNCTION("""COMPUTED_VALUE"""),"ламінат")</f>
        <v>ламінат</v>
      </c>
      <c r="E329" s="15" t="str">
        <f>IFERROR(__xludf.DUMMYFUNCTION("""COMPUTED_VALUE"""),"ламінат")</f>
        <v>ламінат</v>
      </c>
      <c r="F329" s="17">
        <f>IFERROR(__xludf.DUMMYFUNCTION("""COMPUTED_VALUE"""),3.0)</f>
        <v>3</v>
      </c>
      <c r="G329" s="17">
        <f>IFERROR(__xludf.DUMMYFUNCTION("""COMPUTED_VALUE"""),130713.0)</f>
        <v>130713</v>
      </c>
      <c r="H329" s="17" t="str">
        <f>IFERROR(__xludf.DUMMYFUNCTION("""COMPUTED_VALUE"""),"ламінат")</f>
        <v>ламінат</v>
      </c>
      <c r="I329" s="18">
        <f>IFERROR(__xludf.DUMMYFUNCTION("""COMPUTED_VALUE"""),1.98)</f>
        <v>1.98</v>
      </c>
      <c r="J329" s="18">
        <f>IFERROR(__xludf.DUMMYFUNCTION("""COMPUTED_VALUE"""),3.96)</f>
        <v>3.96</v>
      </c>
      <c r="K329" s="18">
        <f>IFERROR(__xludf.DUMMYFUNCTION("""COMPUTED_VALUE"""),4.95)</f>
        <v>4.95</v>
      </c>
      <c r="L329" s="18">
        <f>IFERROR(__xludf.DUMMYFUNCTION("""COMPUTED_VALUE"""),7.93)</f>
        <v>7.93</v>
      </c>
    </row>
    <row r="330">
      <c r="A330" s="13" t="str">
        <f>IFERROR(__xludf.DUMMYFUNCTION("""COMPUTED_VALUE"""),"товари")</f>
        <v>товари</v>
      </c>
      <c r="B330" s="13" t="str">
        <f>IFERROR(__xludf.DUMMYFUNCTION("""COMPUTED_VALUE"""),"матеріали для ремонту")</f>
        <v>матеріали для ремонту</v>
      </c>
      <c r="C330" s="15" t="str">
        <f>IFERROR(__xludf.DUMMYFUNCTION("""COMPUTED_VALUE"""),"скріплювальні вироби")</f>
        <v>скріплювальні вироби</v>
      </c>
      <c r="D330" s="15" t="str">
        <f>IFERROR(__xludf.DUMMYFUNCTION("""COMPUTED_VALUE"""),"такелаж")</f>
        <v>такелаж</v>
      </c>
      <c r="E330" s="15" t="str">
        <f>IFERROR(__xludf.DUMMYFUNCTION("""COMPUTED_VALUE"""),"ланцюги")</f>
        <v>ланцюги</v>
      </c>
      <c r="F330" s="17">
        <f>IFERROR(__xludf.DUMMYFUNCTION("""COMPUTED_VALUE"""),4.0)</f>
        <v>4</v>
      </c>
      <c r="G330" s="17">
        <f>IFERROR(__xludf.DUMMYFUNCTION("""COMPUTED_VALUE"""),421004.0)</f>
        <v>421004</v>
      </c>
      <c r="H330" s="17" t="str">
        <f>IFERROR(__xludf.DUMMYFUNCTION("""COMPUTED_VALUE"""),"ланцюги")</f>
        <v>ланцюги</v>
      </c>
      <c r="I330" s="18">
        <f>IFERROR(__xludf.DUMMYFUNCTION("""COMPUTED_VALUE"""),1.58)</f>
        <v>1.58</v>
      </c>
      <c r="J330" s="18">
        <f>IFERROR(__xludf.DUMMYFUNCTION("""COMPUTED_VALUE"""),3.15)</f>
        <v>3.15</v>
      </c>
      <c r="K330" s="18">
        <f>IFERROR(__xludf.DUMMYFUNCTION("""COMPUTED_VALUE"""),3.94)</f>
        <v>3.94</v>
      </c>
      <c r="L330" s="18">
        <f>IFERROR(__xludf.DUMMYFUNCTION("""COMPUTED_VALUE"""),6.3)</f>
        <v>6.3</v>
      </c>
    </row>
    <row r="331">
      <c r="A331" s="13" t="str">
        <f>IFERROR(__xludf.DUMMYFUNCTION("""COMPUTED_VALUE"""),"товари")</f>
        <v>товари</v>
      </c>
      <c r="B331" s="13" t="str">
        <f>IFERROR(__xludf.DUMMYFUNCTION("""COMPUTED_VALUE"""),"матеріали для ремонту")</f>
        <v>матеріали для ремонту</v>
      </c>
      <c r="C331" s="15" t="str">
        <f>IFERROR(__xludf.DUMMYFUNCTION("""COMPUTED_VALUE"""),"підлогові покриття")</f>
        <v>підлогові покриття</v>
      </c>
      <c r="D331" s="15" t="str">
        <f>IFERROR(__xludf.DUMMYFUNCTION("""COMPUTED_VALUE"""),"лінолеум")</f>
        <v>лінолеум</v>
      </c>
      <c r="E331" s="15" t="str">
        <f>IFERROR(__xludf.DUMMYFUNCTION("""COMPUTED_VALUE"""),"лінолеум")</f>
        <v>лінолеум</v>
      </c>
      <c r="F331" s="17">
        <f>IFERROR(__xludf.DUMMYFUNCTION("""COMPUTED_VALUE"""),3.0)</f>
        <v>3</v>
      </c>
      <c r="G331" s="17">
        <f>IFERROR(__xludf.DUMMYFUNCTION("""COMPUTED_VALUE"""),130714.0)</f>
        <v>130714</v>
      </c>
      <c r="H331" s="17" t="str">
        <f>IFERROR(__xludf.DUMMYFUNCTION("""COMPUTED_VALUE"""),"лінолеум")</f>
        <v>лінолеум</v>
      </c>
      <c r="I331" s="18">
        <f>IFERROR(__xludf.DUMMYFUNCTION("""COMPUTED_VALUE"""),0.76)</f>
        <v>0.76</v>
      </c>
      <c r="J331" s="18">
        <f>IFERROR(__xludf.DUMMYFUNCTION("""COMPUTED_VALUE"""),1.53)</f>
        <v>1.53</v>
      </c>
      <c r="K331" s="18">
        <f>IFERROR(__xludf.DUMMYFUNCTION("""COMPUTED_VALUE"""),1.91)</f>
        <v>1.91</v>
      </c>
      <c r="L331" s="18">
        <f>IFERROR(__xludf.DUMMYFUNCTION("""COMPUTED_VALUE"""),3.05)</f>
        <v>3.05</v>
      </c>
    </row>
    <row r="332">
      <c r="A332" s="13" t="str">
        <f>IFERROR(__xludf.DUMMYFUNCTION("""COMPUTED_VALUE"""),"товари")</f>
        <v>товари</v>
      </c>
      <c r="B332" s="13" t="str">
        <f>IFERROR(__xludf.DUMMYFUNCTION("""COMPUTED_VALUE"""),"матеріали для ремонту")</f>
        <v>матеріали для ремонту</v>
      </c>
      <c r="C332" s="15" t="str">
        <f>IFERROR(__xludf.DUMMYFUNCTION("""COMPUTED_VALUE"""),"сантехніка")</f>
        <v>сантехніка</v>
      </c>
      <c r="D332" s="15" t="str">
        <f>IFERROR(__xludf.DUMMYFUNCTION("""COMPUTED_VALUE"""),"огорожі та перегородки для ванної, душа, туалету")</f>
        <v>огорожі та перегородки для ванної, душа, туалету</v>
      </c>
      <c r="E332" s="15" t="str">
        <f>IFERROR(__xludf.DUMMYFUNCTION("""COMPUTED_VALUE"""),"огорожі та перегородки для ванної, душа, туалету")</f>
        <v>огорожі та перегородки для ванної, душа, туалету</v>
      </c>
      <c r="F332" s="17">
        <f>IFERROR(__xludf.DUMMYFUNCTION("""COMPUTED_VALUE"""),3.0)</f>
        <v>3</v>
      </c>
      <c r="G332" s="17">
        <f>IFERROR(__xludf.DUMMYFUNCTION("""COMPUTED_VALUE"""),1.324022E7)</f>
        <v>13240220</v>
      </c>
      <c r="H332" s="17" t="str">
        <f>IFERROR(__xludf.DUMMYFUNCTION("""COMPUTED_VALUE"""),"огорожі та перегородки для ванної, душа, туалету")</f>
        <v>огорожі та перегородки для ванної, душа, туалету</v>
      </c>
      <c r="I332" s="18">
        <f>IFERROR(__xludf.DUMMYFUNCTION("""COMPUTED_VALUE"""),0.76)</f>
        <v>0.76</v>
      </c>
      <c r="J332" s="18">
        <f>IFERROR(__xludf.DUMMYFUNCTION("""COMPUTED_VALUE"""),1.53)</f>
        <v>1.53</v>
      </c>
      <c r="K332" s="18">
        <f>IFERROR(__xludf.DUMMYFUNCTION("""COMPUTED_VALUE"""),1.91)</f>
        <v>1.91</v>
      </c>
      <c r="L332" s="18">
        <f>IFERROR(__xludf.DUMMYFUNCTION("""COMPUTED_VALUE"""),3.05)</f>
        <v>3.05</v>
      </c>
    </row>
    <row r="333">
      <c r="A333" s="13" t="str">
        <f>IFERROR(__xludf.DUMMYFUNCTION("""COMPUTED_VALUE"""),"товари")</f>
        <v>товари</v>
      </c>
      <c r="B333" s="13" t="str">
        <f>IFERROR(__xludf.DUMMYFUNCTION("""COMPUTED_VALUE"""),"матеріали для ремонту")</f>
        <v>матеріали для ремонту</v>
      </c>
      <c r="C333" s="15" t="str">
        <f>IFERROR(__xludf.DUMMYFUNCTION("""COMPUTED_VALUE"""),"печі та каміни")</f>
        <v>печі та каміни</v>
      </c>
      <c r="D333" s="15" t="str">
        <f>IFERROR(__xludf.DUMMYFUNCTION("""COMPUTED_VALUE"""),"печі, каміни, топки, димоходи, загальне")</f>
        <v>печі, каміни, топки, димоходи, загальне</v>
      </c>
      <c r="E333" s="15" t="str">
        <f>IFERROR(__xludf.DUMMYFUNCTION("""COMPUTED_VALUE"""),"печі, каміни, топки, димоходи, загальне")</f>
        <v>печі, каміни, топки, димоходи, загальне</v>
      </c>
      <c r="F333" s="17">
        <f>IFERROR(__xludf.DUMMYFUNCTION("""COMPUTED_VALUE"""),3.0)</f>
        <v>3</v>
      </c>
      <c r="G333" s="17">
        <f>IFERROR(__xludf.DUMMYFUNCTION("""COMPUTED_VALUE"""),1.3240301E7)</f>
        <v>13240301</v>
      </c>
      <c r="H333" s="17" t="str">
        <f>IFERROR(__xludf.DUMMYFUNCTION("""COMPUTED_VALUE"""),"печі, каміни, топки, димоходи, загальне")</f>
        <v>печі, каміни, топки, димоходи, загальне</v>
      </c>
      <c r="I333" s="18">
        <f>IFERROR(__xludf.DUMMYFUNCTION("""COMPUTED_VALUE"""),2.16)</f>
        <v>2.16</v>
      </c>
      <c r="J333" s="18">
        <f>IFERROR(__xludf.DUMMYFUNCTION("""COMPUTED_VALUE"""),4.33)</f>
        <v>4.33</v>
      </c>
      <c r="K333" s="18">
        <f>IFERROR(__xludf.DUMMYFUNCTION("""COMPUTED_VALUE"""),5.41)</f>
        <v>5.41</v>
      </c>
      <c r="L333" s="18">
        <f>IFERROR(__xludf.DUMMYFUNCTION("""COMPUTED_VALUE"""),8.65)</f>
        <v>8.65</v>
      </c>
    </row>
    <row r="334">
      <c r="A334" s="13" t="str">
        <f>IFERROR(__xludf.DUMMYFUNCTION("""COMPUTED_VALUE"""),"товари")</f>
        <v>товари</v>
      </c>
      <c r="B334" s="13" t="str">
        <f>IFERROR(__xludf.DUMMYFUNCTION("""COMPUTED_VALUE"""),"матеріали для ремонту")</f>
        <v>матеріали для ремонту</v>
      </c>
      <c r="C334" s="15" t="str">
        <f>IFERROR(__xludf.DUMMYFUNCTION("""COMPUTED_VALUE"""),"облицювальна плитка")</f>
        <v>облицювальна плитка</v>
      </c>
      <c r="D334" s="15" t="str">
        <f>IFERROR(__xludf.DUMMYFUNCTION("""COMPUTED_VALUE"""),"плитка для східців")</f>
        <v>плитка для східців</v>
      </c>
      <c r="E334" s="15" t="str">
        <f>IFERROR(__xludf.DUMMYFUNCTION("""COMPUTED_VALUE"""),"плитка для східців")</f>
        <v>плитка для східців</v>
      </c>
      <c r="F334" s="17">
        <f>IFERROR(__xludf.DUMMYFUNCTION("""COMPUTED_VALUE"""),3.0)</f>
        <v>3</v>
      </c>
      <c r="G334" s="17">
        <f>IFERROR(__xludf.DUMMYFUNCTION("""COMPUTED_VALUE"""),1.3073207E7)</f>
        <v>13073207</v>
      </c>
      <c r="H334" s="17" t="str">
        <f>IFERROR(__xludf.DUMMYFUNCTION("""COMPUTED_VALUE"""),"плитка для східців")</f>
        <v>плитка для східців</v>
      </c>
      <c r="I334" s="18">
        <f>IFERROR(__xludf.DUMMYFUNCTION("""COMPUTED_VALUE"""),0.76)</f>
        <v>0.76</v>
      </c>
      <c r="J334" s="18">
        <f>IFERROR(__xludf.DUMMYFUNCTION("""COMPUTED_VALUE"""),1.53)</f>
        <v>1.53</v>
      </c>
      <c r="K334" s="18">
        <f>IFERROR(__xludf.DUMMYFUNCTION("""COMPUTED_VALUE"""),1.91)</f>
        <v>1.91</v>
      </c>
      <c r="L334" s="18">
        <f>IFERROR(__xludf.DUMMYFUNCTION("""COMPUTED_VALUE"""),3.05)</f>
        <v>3.05</v>
      </c>
    </row>
    <row r="335">
      <c r="A335" s="13" t="str">
        <f>IFERROR(__xludf.DUMMYFUNCTION("""COMPUTED_VALUE"""),"товари")</f>
        <v>товари</v>
      </c>
      <c r="B335" s="13" t="str">
        <f>IFERROR(__xludf.DUMMYFUNCTION("""COMPUTED_VALUE"""),"матеріали для ремонту")</f>
        <v>матеріали для ремонту</v>
      </c>
      <c r="C335" s="15" t="str">
        <f>IFERROR(__xludf.DUMMYFUNCTION("""COMPUTED_VALUE"""),"підлогові покриття")</f>
        <v>підлогові покриття</v>
      </c>
      <c r="D335" s="15" t="str">
        <f>IFERROR(__xludf.DUMMYFUNCTION("""COMPUTED_VALUE"""),"покриття для підлоги, загальне")</f>
        <v>покриття для підлоги, загальне</v>
      </c>
      <c r="E335" s="15" t="str">
        <f>IFERROR(__xludf.DUMMYFUNCTION("""COMPUTED_VALUE"""),"покриття для підлоги, загальне")</f>
        <v>покриття для підлоги, загальне</v>
      </c>
      <c r="F335" s="17">
        <f>IFERROR(__xludf.DUMMYFUNCTION("""COMPUTED_VALUE"""),3.0)</f>
        <v>3</v>
      </c>
      <c r="G335" s="17">
        <f>IFERROR(__xludf.DUMMYFUNCTION("""COMPUTED_VALUE"""),130718.0)</f>
        <v>130718</v>
      </c>
      <c r="H335" s="17" t="str">
        <f>IFERROR(__xludf.DUMMYFUNCTION("""COMPUTED_VALUE"""),"покриття для підлоги, загальне")</f>
        <v>покриття для підлоги, загальне</v>
      </c>
      <c r="I335" s="18">
        <f>IFERROR(__xludf.DUMMYFUNCTION("""COMPUTED_VALUE"""),2.16)</f>
        <v>2.16</v>
      </c>
      <c r="J335" s="18">
        <f>IFERROR(__xludf.DUMMYFUNCTION("""COMPUTED_VALUE"""),4.33)</f>
        <v>4.33</v>
      </c>
      <c r="K335" s="18">
        <f>IFERROR(__xludf.DUMMYFUNCTION("""COMPUTED_VALUE"""),5.41)</f>
        <v>5.41</v>
      </c>
      <c r="L335" s="18">
        <f>IFERROR(__xludf.DUMMYFUNCTION("""COMPUTED_VALUE"""),8.65)</f>
        <v>8.65</v>
      </c>
    </row>
    <row r="336">
      <c r="A336" s="13" t="str">
        <f>IFERROR(__xludf.DUMMYFUNCTION("""COMPUTED_VALUE"""),"товари")</f>
        <v>товари</v>
      </c>
      <c r="B336" s="13" t="str">
        <f>IFERROR(__xludf.DUMMYFUNCTION("""COMPUTED_VALUE"""),"матеріали для ремонту")</f>
        <v>матеріали для ремонту</v>
      </c>
      <c r="C336" s="15" t="str">
        <f>IFERROR(__xludf.DUMMYFUNCTION("""COMPUTED_VALUE"""),"декор для стін")</f>
        <v>декор для стін</v>
      </c>
      <c r="D336" s="15" t="str">
        <f>IFERROR(__xludf.DUMMYFUNCTION("""COMPUTED_VALUE"""),"склоблоки")</f>
        <v>склоблоки</v>
      </c>
      <c r="E336" s="15" t="str">
        <f>IFERROR(__xludf.DUMMYFUNCTION("""COMPUTED_VALUE"""),"склоблоки")</f>
        <v>склоблоки</v>
      </c>
      <c r="F336" s="17">
        <f>IFERROR(__xludf.DUMMYFUNCTION("""COMPUTED_VALUE"""),3.0)</f>
        <v>3</v>
      </c>
      <c r="G336" s="17">
        <f>IFERROR(__xludf.DUMMYFUNCTION("""COMPUTED_VALUE"""),131504.0)</f>
        <v>131504</v>
      </c>
      <c r="H336" s="17" t="str">
        <f>IFERROR(__xludf.DUMMYFUNCTION("""COMPUTED_VALUE"""),"склоблоки")</f>
        <v>склоблоки</v>
      </c>
      <c r="I336" s="18">
        <f>IFERROR(__xludf.DUMMYFUNCTION("""COMPUTED_VALUE"""),0.76)</f>
        <v>0.76</v>
      </c>
      <c r="J336" s="18">
        <f>IFERROR(__xludf.DUMMYFUNCTION("""COMPUTED_VALUE"""),1.53)</f>
        <v>1.53</v>
      </c>
      <c r="K336" s="18">
        <f>IFERROR(__xludf.DUMMYFUNCTION("""COMPUTED_VALUE"""),1.91)</f>
        <v>1.91</v>
      </c>
      <c r="L336" s="18">
        <f>IFERROR(__xludf.DUMMYFUNCTION("""COMPUTED_VALUE"""),3.05)</f>
        <v>3.05</v>
      </c>
    </row>
    <row r="337">
      <c r="A337" s="13" t="str">
        <f>IFERROR(__xludf.DUMMYFUNCTION("""COMPUTED_VALUE"""),"товари")</f>
        <v>товари</v>
      </c>
      <c r="B337" s="13" t="str">
        <f>IFERROR(__xludf.DUMMYFUNCTION("""COMPUTED_VALUE"""),"матеріали для ремонту")</f>
        <v>матеріали для ремонту</v>
      </c>
      <c r="C337" s="15" t="str">
        <f>IFERROR(__xludf.DUMMYFUNCTION("""COMPUTED_VALUE"""),"опалення та тепла підлога")</f>
        <v>опалення та тепла підлога</v>
      </c>
      <c r="D337" s="15" t="str">
        <f>IFERROR(__xludf.DUMMYFUNCTION("""COMPUTED_VALUE"""),"опалювальні котли")</f>
        <v>опалювальні котли</v>
      </c>
      <c r="E337" s="15" t="str">
        <f>IFERROR(__xludf.DUMMYFUNCTION("""COMPUTED_VALUE"""),"твердопаливні котли")</f>
        <v>твердопаливні котли</v>
      </c>
      <c r="F337" s="17">
        <f>IFERROR(__xludf.DUMMYFUNCTION("""COMPUTED_VALUE"""),4.0)</f>
        <v>4</v>
      </c>
      <c r="G337" s="17">
        <f>IFERROR(__xludf.DUMMYFUNCTION("""COMPUTED_VALUE"""),1.4210103E7)</f>
        <v>14210103</v>
      </c>
      <c r="H337" s="17" t="str">
        <f>IFERROR(__xludf.DUMMYFUNCTION("""COMPUTED_VALUE"""),"твердопаливні котли")</f>
        <v>твердопаливні котли</v>
      </c>
      <c r="I337" s="18">
        <f>IFERROR(__xludf.DUMMYFUNCTION("""COMPUTED_VALUE"""),0.86)</f>
        <v>0.86</v>
      </c>
      <c r="J337" s="18">
        <f>IFERROR(__xludf.DUMMYFUNCTION("""COMPUTED_VALUE"""),1.71)</f>
        <v>1.71</v>
      </c>
      <c r="K337" s="18">
        <f>IFERROR(__xludf.DUMMYFUNCTION("""COMPUTED_VALUE"""),2.14)</f>
        <v>2.14</v>
      </c>
      <c r="L337" s="18">
        <f>IFERROR(__xludf.DUMMYFUNCTION("""COMPUTED_VALUE"""),3.43)</f>
        <v>3.43</v>
      </c>
    </row>
    <row r="338">
      <c r="A338" s="13" t="str">
        <f>IFERROR(__xludf.DUMMYFUNCTION("""COMPUTED_VALUE"""),"товари")</f>
        <v>товари</v>
      </c>
      <c r="B338" s="13" t="str">
        <f>IFERROR(__xludf.DUMMYFUNCTION("""COMPUTED_VALUE"""),"матеріали для ремонту")</f>
        <v>матеріали для ремонту</v>
      </c>
      <c r="C338" s="15" t="str">
        <f>IFERROR(__xludf.DUMMYFUNCTION("""COMPUTED_VALUE"""),"підлогові покриття")</f>
        <v>підлогові покриття</v>
      </c>
      <c r="D338" s="15" t="str">
        <f>IFERROR(__xludf.DUMMYFUNCTION("""COMPUTED_VALUE"""),"терасове покриття")</f>
        <v>терасове покриття</v>
      </c>
      <c r="E338" s="15" t="str">
        <f>IFERROR(__xludf.DUMMYFUNCTION("""COMPUTED_VALUE"""),"терасове покриття")</f>
        <v>терасове покриття</v>
      </c>
      <c r="F338" s="17">
        <f>IFERROR(__xludf.DUMMYFUNCTION("""COMPUTED_VALUE"""),3.0)</f>
        <v>3</v>
      </c>
      <c r="G338" s="17">
        <f>IFERROR(__xludf.DUMMYFUNCTION("""COMPUTED_VALUE"""),130724.0)</f>
        <v>130724</v>
      </c>
      <c r="H338" s="17" t="str">
        <f>IFERROR(__xludf.DUMMYFUNCTION("""COMPUTED_VALUE"""),"терасове покриття")</f>
        <v>терасове покриття</v>
      </c>
      <c r="I338" s="18">
        <f>IFERROR(__xludf.DUMMYFUNCTION("""COMPUTED_VALUE"""),2.7)</f>
        <v>2.7</v>
      </c>
      <c r="J338" s="18">
        <f>IFERROR(__xludf.DUMMYFUNCTION("""COMPUTED_VALUE"""),5.4)</f>
        <v>5.4</v>
      </c>
      <c r="K338" s="18">
        <f>IFERROR(__xludf.DUMMYFUNCTION("""COMPUTED_VALUE"""),6.75)</f>
        <v>6.75</v>
      </c>
      <c r="L338" s="18">
        <f>IFERROR(__xludf.DUMMYFUNCTION("""COMPUTED_VALUE"""),10.8)</f>
        <v>10.8</v>
      </c>
    </row>
    <row r="339">
      <c r="A339" s="13" t="str">
        <f>IFERROR(__xludf.DUMMYFUNCTION("""COMPUTED_VALUE"""),"товари")</f>
        <v>товари</v>
      </c>
      <c r="B339" s="13" t="str">
        <f>IFERROR(__xludf.DUMMYFUNCTION("""COMPUTED_VALUE"""),"медикаменти та медичні товари")</f>
        <v>медикаменти та медичні товари</v>
      </c>
      <c r="C339" s="15" t="str">
        <f>IFERROR(__xludf.DUMMYFUNCTION("""COMPUTED_VALUE"""),"товари медичного призначення")</f>
        <v>товари медичного призначення</v>
      </c>
      <c r="D339" s="15" t="str">
        <f>IFERROR(__xludf.DUMMYFUNCTION("""COMPUTED_VALUE"""),"контрацептиви")</f>
        <v>контрацептиви</v>
      </c>
      <c r="E339" s="15" t="str">
        <f>IFERROR(__xludf.DUMMYFUNCTION("""COMPUTED_VALUE"""),"контрацептиви, загальне")</f>
        <v>контрацептиви, загальне</v>
      </c>
      <c r="F339" s="17">
        <f>IFERROR(__xludf.DUMMYFUNCTION("""COMPUTED_VALUE"""),4.0)</f>
        <v>4</v>
      </c>
      <c r="G339" s="17">
        <f>IFERROR(__xludf.DUMMYFUNCTION("""COMPUTED_VALUE"""),1.6131203E7)</f>
        <v>16131203</v>
      </c>
      <c r="H339" s="17" t="str">
        <f>IFERROR(__xludf.DUMMYFUNCTION("""COMPUTED_VALUE"""),"контрацептиви, загальне")</f>
        <v>контрацептиви, загальне</v>
      </c>
      <c r="I339" s="18">
        <f>IFERROR(__xludf.DUMMYFUNCTION("""COMPUTED_VALUE"""),2.16)</f>
        <v>2.16</v>
      </c>
      <c r="J339" s="18">
        <f>IFERROR(__xludf.DUMMYFUNCTION("""COMPUTED_VALUE"""),4.33)</f>
        <v>4.33</v>
      </c>
      <c r="K339" s="18">
        <f>IFERROR(__xludf.DUMMYFUNCTION("""COMPUTED_VALUE"""),5.41)</f>
        <v>5.41</v>
      </c>
      <c r="L339" s="18">
        <f>IFERROR(__xludf.DUMMYFUNCTION("""COMPUTED_VALUE"""),8.65)</f>
        <v>8.65</v>
      </c>
    </row>
    <row r="340">
      <c r="A340" s="13" t="str">
        <f>IFERROR(__xludf.DUMMYFUNCTION("""COMPUTED_VALUE"""),"товари")</f>
        <v>товари</v>
      </c>
      <c r="B340" s="13" t="str">
        <f>IFERROR(__xludf.DUMMYFUNCTION("""COMPUTED_VALUE"""),"медикаменти та медичні товари")</f>
        <v>медикаменти та медичні товари</v>
      </c>
      <c r="C340" s="15" t="str">
        <f>IFERROR(__xludf.DUMMYFUNCTION("""COMPUTED_VALUE"""),"товари для людей з інвалідністю")</f>
        <v>товари для людей з інвалідністю</v>
      </c>
      <c r="D340" s="15" t="str">
        <f>IFERROR(__xludf.DUMMYFUNCTION("""COMPUTED_VALUE"""),"пандуси для людей з інвалідністю")</f>
        <v>пандуси для людей з інвалідністю</v>
      </c>
      <c r="E340" s="15" t="str">
        <f>IFERROR(__xludf.DUMMYFUNCTION("""COMPUTED_VALUE"""),"пандуси для людей з інвалідністю")</f>
        <v>пандуси для людей з інвалідністю</v>
      </c>
      <c r="F340" s="17">
        <f>IFERROR(__xludf.DUMMYFUNCTION("""COMPUTED_VALUE"""),3.0)</f>
        <v>3</v>
      </c>
      <c r="G340" s="17">
        <f>IFERROR(__xludf.DUMMYFUNCTION("""COMPUTED_VALUE"""),400910.0)</f>
        <v>400910</v>
      </c>
      <c r="H340" s="17" t="str">
        <f>IFERROR(__xludf.DUMMYFUNCTION("""COMPUTED_VALUE"""),"пандуси для людей з інвалідністю")</f>
        <v>пандуси для людей з інвалідністю</v>
      </c>
      <c r="I340" s="18">
        <f>IFERROR(__xludf.DUMMYFUNCTION("""COMPUTED_VALUE"""),0.76)</f>
        <v>0.76</v>
      </c>
      <c r="J340" s="18">
        <f>IFERROR(__xludf.DUMMYFUNCTION("""COMPUTED_VALUE"""),1.53)</f>
        <v>1.53</v>
      </c>
      <c r="K340" s="18">
        <f>IFERROR(__xludf.DUMMYFUNCTION("""COMPUTED_VALUE"""),1.91)</f>
        <v>1.91</v>
      </c>
      <c r="L340" s="18">
        <f>IFERROR(__xludf.DUMMYFUNCTION("""COMPUTED_VALUE"""),3.05)</f>
        <v>3.05</v>
      </c>
    </row>
    <row r="341">
      <c r="A341" s="13" t="str">
        <f>IFERROR(__xludf.DUMMYFUNCTION("""COMPUTED_VALUE"""),"товари")</f>
        <v>товари</v>
      </c>
      <c r="B341" s="13" t="str">
        <f>IFERROR(__xludf.DUMMYFUNCTION("""COMPUTED_VALUE"""),"медикаменти та медичні товари")</f>
        <v>медикаменти та медичні товари</v>
      </c>
      <c r="C341" s="15" t="str">
        <f>IFERROR(__xludf.DUMMYFUNCTION("""COMPUTED_VALUE"""),"товари для людей з інвалідністю")</f>
        <v>товари для людей з інвалідністю</v>
      </c>
      <c r="D341" s="15" t="str">
        <f>IFERROR(__xludf.DUMMYFUNCTION("""COMPUTED_VALUE"""),"підйомники для людей з інвалідністю")</f>
        <v>підйомники для людей з інвалідністю</v>
      </c>
      <c r="E341" s="15" t="str">
        <f>IFERROR(__xludf.DUMMYFUNCTION("""COMPUTED_VALUE"""),"підйомники для людей з інвалідністю")</f>
        <v>підйомники для людей з інвалідністю</v>
      </c>
      <c r="F341" s="17">
        <f>IFERROR(__xludf.DUMMYFUNCTION("""COMPUTED_VALUE"""),3.0)</f>
        <v>3</v>
      </c>
      <c r="G341" s="17">
        <f>IFERROR(__xludf.DUMMYFUNCTION("""COMPUTED_VALUE"""),400907.0)</f>
        <v>400907</v>
      </c>
      <c r="H341" s="17" t="str">
        <f>IFERROR(__xludf.DUMMYFUNCTION("""COMPUTED_VALUE"""),"підйомники для людей з інвалідністю")</f>
        <v>підйомники для людей з інвалідністю</v>
      </c>
      <c r="I341" s="18">
        <f>IFERROR(__xludf.DUMMYFUNCTION("""COMPUTED_VALUE"""),2.7)</f>
        <v>2.7</v>
      </c>
      <c r="J341" s="18">
        <f>IFERROR(__xludf.DUMMYFUNCTION("""COMPUTED_VALUE"""),5.4)</f>
        <v>5.4</v>
      </c>
      <c r="K341" s="18">
        <f>IFERROR(__xludf.DUMMYFUNCTION("""COMPUTED_VALUE"""),6.75)</f>
        <v>6.75</v>
      </c>
      <c r="L341" s="18">
        <f>IFERROR(__xludf.DUMMYFUNCTION("""COMPUTED_VALUE"""),10.8)</f>
        <v>10.8</v>
      </c>
    </row>
    <row r="342">
      <c r="A342" s="13" t="str">
        <f>IFERROR(__xludf.DUMMYFUNCTION("""COMPUTED_VALUE"""),"товари")</f>
        <v>товари</v>
      </c>
      <c r="B342" s="13" t="str">
        <f>IFERROR(__xludf.DUMMYFUNCTION("""COMPUTED_VALUE"""),"медикаменти та медичні товари")</f>
        <v>медикаменти та медичні товари</v>
      </c>
      <c r="C342" s="15" t="str">
        <f>IFERROR(__xludf.DUMMYFUNCTION("""COMPUTED_VALUE"""),"товари для людей з інвалідністю")</f>
        <v>товари для людей з інвалідністю</v>
      </c>
      <c r="D342" s="15" t="str">
        <f>IFERROR(__xludf.DUMMYFUNCTION("""COMPUTED_VALUE"""),"товари після мастектомії")</f>
        <v>товари після мастектомії</v>
      </c>
      <c r="E342" s="15" t="str">
        <f>IFERROR(__xludf.DUMMYFUNCTION("""COMPUTED_VALUE"""),"товари після мастектомії, загальне")</f>
        <v>товари після мастектомії, загальне</v>
      </c>
      <c r="F342" s="17">
        <f>IFERROR(__xludf.DUMMYFUNCTION("""COMPUTED_VALUE"""),4.0)</f>
        <v>4</v>
      </c>
      <c r="G342" s="17">
        <f>IFERROR(__xludf.DUMMYFUNCTION("""COMPUTED_VALUE"""),400914.0)</f>
        <v>400914</v>
      </c>
      <c r="H342" s="17" t="str">
        <f>IFERROR(__xludf.DUMMYFUNCTION("""COMPUTED_VALUE"""),"товари після мастектомії, загальне")</f>
        <v>товари після мастектомії, загальне</v>
      </c>
      <c r="I342" s="18">
        <f>IFERROR(__xludf.DUMMYFUNCTION("""COMPUTED_VALUE"""),2.16)</f>
        <v>2.16</v>
      </c>
      <c r="J342" s="18">
        <f>IFERROR(__xludf.DUMMYFUNCTION("""COMPUTED_VALUE"""),4.33)</f>
        <v>4.33</v>
      </c>
      <c r="K342" s="18">
        <f>IFERROR(__xludf.DUMMYFUNCTION("""COMPUTED_VALUE"""),5.41)</f>
        <v>5.41</v>
      </c>
      <c r="L342" s="18">
        <f>IFERROR(__xludf.DUMMYFUNCTION("""COMPUTED_VALUE"""),8.65)</f>
        <v>8.65</v>
      </c>
    </row>
    <row r="343">
      <c r="A343" s="13" t="str">
        <f>IFERROR(__xludf.DUMMYFUNCTION("""COMPUTED_VALUE"""),"товари")</f>
        <v>товари</v>
      </c>
      <c r="B34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3" s="15" t="str">
        <f>IFERROR(__xludf.DUMMYFUNCTION("""COMPUTED_VALUE"""),"медичне обладнання")</f>
        <v>медичне обладнання</v>
      </c>
      <c r="D343" s="15" t="str">
        <f>IFERROR(__xludf.DUMMYFUNCTION("""COMPUTED_VALUE"""),"фізіотерапевтичне обладнання")</f>
        <v>фізіотерапевтичне обладнання</v>
      </c>
      <c r="E343" s="15" t="str">
        <f>IFERROR(__xludf.DUMMYFUNCTION("""COMPUTED_VALUE"""),"апарати лазерної терапії")</f>
        <v>апарати лазерної терапії</v>
      </c>
      <c r="F343" s="17">
        <f>IFERROR(__xludf.DUMMYFUNCTION("""COMPUTED_VALUE"""),4.0)</f>
        <v>4</v>
      </c>
      <c r="G343" s="17">
        <f>IFERROR(__xludf.DUMMYFUNCTION("""COMPUTED_VALUE"""),1.6110407E7)</f>
        <v>16110407</v>
      </c>
      <c r="H343" s="17" t="str">
        <f>IFERROR(__xludf.DUMMYFUNCTION("""COMPUTED_VALUE"""),"апарати лазерної терапії")</f>
        <v>апарати лазерної терапії</v>
      </c>
      <c r="I343" s="18">
        <f>IFERROR(__xludf.DUMMYFUNCTION("""COMPUTED_VALUE"""),2.21)</f>
        <v>2.21</v>
      </c>
      <c r="J343" s="18">
        <f>IFERROR(__xludf.DUMMYFUNCTION("""COMPUTED_VALUE"""),4.41)</f>
        <v>4.41</v>
      </c>
      <c r="K343" s="18">
        <f>IFERROR(__xludf.DUMMYFUNCTION("""COMPUTED_VALUE"""),5.52)</f>
        <v>5.52</v>
      </c>
      <c r="L343" s="18">
        <f>IFERROR(__xludf.DUMMYFUNCTION("""COMPUTED_VALUE"""),8.83)</f>
        <v>8.83</v>
      </c>
    </row>
    <row r="344">
      <c r="A344" s="13" t="str">
        <f>IFERROR(__xludf.DUMMYFUNCTION("""COMPUTED_VALUE"""),"товари")</f>
        <v>товари</v>
      </c>
      <c r="B34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4" s="15" t="str">
        <f>IFERROR(__xludf.DUMMYFUNCTION("""COMPUTED_VALUE"""),"медичне обладнання")</f>
        <v>медичне обладнання</v>
      </c>
      <c r="D344" s="15" t="str">
        <f>IFERROR(__xludf.DUMMYFUNCTION("""COMPUTED_VALUE"""),"фізіотерапевтичне обладнання")</f>
        <v>фізіотерапевтичне обладнання</v>
      </c>
      <c r="E344" s="15" t="str">
        <f>IFERROR(__xludf.DUMMYFUNCTION("""COMPUTED_VALUE"""),"апарати увч-терапії")</f>
        <v>апарати увч-терапії</v>
      </c>
      <c r="F344" s="17">
        <f>IFERROR(__xludf.DUMMYFUNCTION("""COMPUTED_VALUE"""),4.0)</f>
        <v>4</v>
      </c>
      <c r="G344" s="17">
        <f>IFERROR(__xludf.DUMMYFUNCTION("""COMPUTED_VALUE"""),1.6110402E7)</f>
        <v>16110402</v>
      </c>
      <c r="H344" s="17" t="str">
        <f>IFERROR(__xludf.DUMMYFUNCTION("""COMPUTED_VALUE"""),"апарати увч-терапії")</f>
        <v>апарати увч-терапії</v>
      </c>
      <c r="I344" s="18">
        <f>IFERROR(__xludf.DUMMYFUNCTION("""COMPUTED_VALUE"""),2.21)</f>
        <v>2.21</v>
      </c>
      <c r="J344" s="18">
        <f>IFERROR(__xludf.DUMMYFUNCTION("""COMPUTED_VALUE"""),4.41)</f>
        <v>4.41</v>
      </c>
      <c r="K344" s="18">
        <f>IFERROR(__xludf.DUMMYFUNCTION("""COMPUTED_VALUE"""),5.52)</f>
        <v>5.52</v>
      </c>
      <c r="L344" s="18">
        <f>IFERROR(__xludf.DUMMYFUNCTION("""COMPUTED_VALUE"""),8.83)</f>
        <v>8.83</v>
      </c>
    </row>
    <row r="345">
      <c r="A345" s="13" t="str">
        <f>IFERROR(__xludf.DUMMYFUNCTION("""COMPUTED_VALUE"""),"товари")</f>
        <v>товари</v>
      </c>
      <c r="B34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5" s="15" t="str">
        <f>IFERROR(__xludf.DUMMYFUNCTION("""COMPUTED_VALUE"""),"медичне обладнання")</f>
        <v>медичне обладнання</v>
      </c>
      <c r="D345" s="15" t="str">
        <f>IFERROR(__xludf.DUMMYFUNCTION("""COMPUTED_VALUE"""),"лабораторне обладнання")</f>
        <v>лабораторне обладнання</v>
      </c>
      <c r="E345" s="15" t="str">
        <f>IFERROR(__xludf.DUMMYFUNCTION("""COMPUTED_VALUE""")," вакуумні насоси та системи лабораторні")</f>
        <v> вакуумні насоси та системи лабораторні</v>
      </c>
      <c r="F345" s="17">
        <f>IFERROR(__xludf.DUMMYFUNCTION("""COMPUTED_VALUE"""),4.0)</f>
        <v>4</v>
      </c>
      <c r="G345" s="17">
        <f>IFERROR(__xludf.DUMMYFUNCTION("""COMPUTED_VALUE"""),82626.0)</f>
        <v>82626</v>
      </c>
      <c r="H345" s="17" t="str">
        <f>IFERROR(__xludf.DUMMYFUNCTION("""COMPUTED_VALUE""")," вакуумні насоси та системи лабораторні")</f>
        <v> вакуумні насоси та системи лабораторні</v>
      </c>
      <c r="I345" s="18">
        <f>IFERROR(__xludf.DUMMYFUNCTION("""COMPUTED_VALUE"""),1.8)</f>
        <v>1.8</v>
      </c>
      <c r="J345" s="18">
        <f>IFERROR(__xludf.DUMMYFUNCTION("""COMPUTED_VALUE"""),3.6)</f>
        <v>3.6</v>
      </c>
      <c r="K345" s="18">
        <f>IFERROR(__xludf.DUMMYFUNCTION("""COMPUTED_VALUE"""),4.5)</f>
        <v>4.5</v>
      </c>
      <c r="L345" s="18">
        <f>IFERROR(__xludf.DUMMYFUNCTION("""COMPUTED_VALUE"""),7.2)</f>
        <v>7.2</v>
      </c>
    </row>
    <row r="346">
      <c r="A346" s="13" t="str">
        <f>IFERROR(__xludf.DUMMYFUNCTION("""COMPUTED_VALUE"""),"товари")</f>
        <v>товари</v>
      </c>
      <c r="B34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6" s="15" t="str">
        <f>IFERROR(__xludf.DUMMYFUNCTION("""COMPUTED_VALUE"""),"медичне обладнання")</f>
        <v>медичне обладнання</v>
      </c>
      <c r="D346" s="15" t="str">
        <f>IFERROR(__xludf.DUMMYFUNCTION("""COMPUTED_VALUE"""),"обладнання для іммобілізації")</f>
        <v>обладнання для іммобілізації</v>
      </c>
      <c r="E346" s="15" t="str">
        <f>IFERROR(__xludf.DUMMYFUNCTION("""COMPUTED_VALUE"""),"каталки для переміщення пацієнтів")</f>
        <v>каталки для переміщення пацієнтів</v>
      </c>
      <c r="F346" s="17">
        <f>IFERROR(__xludf.DUMMYFUNCTION("""COMPUTED_VALUE"""),4.0)</f>
        <v>4</v>
      </c>
      <c r="G346" s="17">
        <f>IFERROR(__xludf.DUMMYFUNCTION("""COMPUTED_VALUE"""),3.7021002E7)</f>
        <v>37021002</v>
      </c>
      <c r="H346" s="17" t="str">
        <f>IFERROR(__xludf.DUMMYFUNCTION("""COMPUTED_VALUE"""),"каталки для переміщення пацієнтів")</f>
        <v>каталки для переміщення пацієнтів</v>
      </c>
      <c r="I346" s="18">
        <f>IFERROR(__xludf.DUMMYFUNCTION("""COMPUTED_VALUE"""),2.7)</f>
        <v>2.7</v>
      </c>
      <c r="J346" s="18">
        <f>IFERROR(__xludf.DUMMYFUNCTION("""COMPUTED_VALUE"""),5.4)</f>
        <v>5.4</v>
      </c>
      <c r="K346" s="18">
        <f>IFERROR(__xludf.DUMMYFUNCTION("""COMPUTED_VALUE"""),6.75)</f>
        <v>6.75</v>
      </c>
      <c r="L346" s="18">
        <f>IFERROR(__xludf.DUMMYFUNCTION("""COMPUTED_VALUE"""),10.8)</f>
        <v>10.8</v>
      </c>
    </row>
    <row r="347">
      <c r="A347" s="13" t="str">
        <f>IFERROR(__xludf.DUMMYFUNCTION("""COMPUTED_VALUE"""),"товари")</f>
        <v>товари</v>
      </c>
      <c r="B34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7" s="15" t="str">
        <f>IFERROR(__xludf.DUMMYFUNCTION("""COMPUTED_VALUE"""),"медичне обладнання")</f>
        <v>медичне обладнання</v>
      </c>
      <c r="D347" s="15" t="str">
        <f>IFERROR(__xludf.DUMMYFUNCTION("""COMPUTED_VALUE"""),"лабораторне обладнання")</f>
        <v>лабораторне обладнання</v>
      </c>
      <c r="E347" s="15" t="str">
        <f>IFERROR(__xludf.DUMMYFUNCTION("""COMPUTED_VALUE"""),"колбонагрівачі")</f>
        <v>колбонагрівачі</v>
      </c>
      <c r="F347" s="17">
        <f>IFERROR(__xludf.DUMMYFUNCTION("""COMPUTED_VALUE"""),4.0)</f>
        <v>4</v>
      </c>
      <c r="G347" s="17">
        <f>IFERROR(__xludf.DUMMYFUNCTION("""COMPUTED_VALUE"""),82625.0)</f>
        <v>82625</v>
      </c>
      <c r="H347" s="17" t="str">
        <f>IFERROR(__xludf.DUMMYFUNCTION("""COMPUTED_VALUE"""),"колбонагрівачі")</f>
        <v>колбонагрівачі</v>
      </c>
      <c r="I347" s="18">
        <f>IFERROR(__xludf.DUMMYFUNCTION("""COMPUTED_VALUE"""),1.8)</f>
        <v>1.8</v>
      </c>
      <c r="J347" s="18">
        <f>IFERROR(__xludf.DUMMYFUNCTION("""COMPUTED_VALUE"""),3.6)</f>
        <v>3.6</v>
      </c>
      <c r="K347" s="18">
        <f>IFERROR(__xludf.DUMMYFUNCTION("""COMPUTED_VALUE"""),4.5)</f>
        <v>4.5</v>
      </c>
      <c r="L347" s="18">
        <f>IFERROR(__xludf.DUMMYFUNCTION("""COMPUTED_VALUE"""),7.2)</f>
        <v>7.2</v>
      </c>
    </row>
    <row r="348">
      <c r="A348" s="13" t="str">
        <f>IFERROR(__xludf.DUMMYFUNCTION("""COMPUTED_VALUE"""),"товари")</f>
        <v>товари</v>
      </c>
      <c r="B34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8" s="15" t="str">
        <f>IFERROR(__xludf.DUMMYFUNCTION("""COMPUTED_VALUE"""),"контрольні матеріали і калібратори")</f>
        <v>контрольні матеріали і калібратори</v>
      </c>
      <c r="D348" s="15" t="str">
        <f>IFERROR(__xludf.DUMMYFUNCTION("""COMPUTED_VALUE"""),"контрольні матеріали і калібратори")</f>
        <v>контрольні матеріали і калібратори</v>
      </c>
      <c r="E348" s="15" t="str">
        <f>IFERROR(__xludf.DUMMYFUNCTION("""COMPUTED_VALUE"""),"контрольні матеріали і калібратори")</f>
        <v>контрольні матеріали і калібратори</v>
      </c>
      <c r="F348" s="17">
        <f>IFERROR(__xludf.DUMMYFUNCTION("""COMPUTED_VALUE"""),2.0)</f>
        <v>2</v>
      </c>
      <c r="G348" s="17">
        <f>IFERROR(__xludf.DUMMYFUNCTION("""COMPUTED_VALUE"""),4011.0)</f>
        <v>4011</v>
      </c>
      <c r="H348" s="17" t="str">
        <f>IFERROR(__xludf.DUMMYFUNCTION("""COMPUTED_VALUE"""),"контрольні матеріали і калібратори")</f>
        <v>контрольні матеріали і калібратори</v>
      </c>
      <c r="I348" s="18">
        <f>IFERROR(__xludf.DUMMYFUNCTION("""COMPUTED_VALUE"""),0.53)</f>
        <v>0.53</v>
      </c>
      <c r="J348" s="18">
        <f>IFERROR(__xludf.DUMMYFUNCTION("""COMPUTED_VALUE"""),1.05)</f>
        <v>1.05</v>
      </c>
      <c r="K348" s="18">
        <f>IFERROR(__xludf.DUMMYFUNCTION("""COMPUTED_VALUE"""),1.31)</f>
        <v>1.31</v>
      </c>
      <c r="L348" s="18">
        <f>IFERROR(__xludf.DUMMYFUNCTION("""COMPUTED_VALUE"""),2.1)</f>
        <v>2.1</v>
      </c>
    </row>
    <row r="349">
      <c r="A349" s="13" t="str">
        <f>IFERROR(__xludf.DUMMYFUNCTION("""COMPUTED_VALUE"""),"товари")</f>
        <v>товари</v>
      </c>
      <c r="B34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9" s="15" t="str">
        <f>IFERROR(__xludf.DUMMYFUNCTION("""COMPUTED_VALUE"""),"медичне обладнання")</f>
        <v>медичне обладнання</v>
      </c>
      <c r="D349" s="15" t="str">
        <f>IFERROR(__xludf.DUMMYFUNCTION("""COMPUTED_VALUE"""),"лабораторне обладнання")</f>
        <v>лабораторне обладнання</v>
      </c>
      <c r="E349" s="15" t="str">
        <f>IFERROR(__xludf.DUMMYFUNCTION("""COMPUTED_VALUE"""),"лабораторний посуд")</f>
        <v>лабораторний посуд</v>
      </c>
      <c r="F349" s="17">
        <f>IFERROR(__xludf.DUMMYFUNCTION("""COMPUTED_VALUE"""),4.0)</f>
        <v>4</v>
      </c>
      <c r="G349" s="17">
        <f>IFERROR(__xludf.DUMMYFUNCTION("""COMPUTED_VALUE"""),82607.0)</f>
        <v>82607</v>
      </c>
      <c r="H349" s="17" t="str">
        <f>IFERROR(__xludf.DUMMYFUNCTION("""COMPUTED_VALUE"""),"лабораторний посуд")</f>
        <v>лабораторний посуд</v>
      </c>
      <c r="I349" s="18">
        <f>IFERROR(__xludf.DUMMYFUNCTION("""COMPUTED_VALUE"""),1.8)</f>
        <v>1.8</v>
      </c>
      <c r="J349" s="18">
        <f>IFERROR(__xludf.DUMMYFUNCTION("""COMPUTED_VALUE"""),3.6)</f>
        <v>3.6</v>
      </c>
      <c r="K349" s="18">
        <f>IFERROR(__xludf.DUMMYFUNCTION("""COMPUTED_VALUE"""),4.5)</f>
        <v>4.5</v>
      </c>
      <c r="L349" s="18">
        <f>IFERROR(__xludf.DUMMYFUNCTION("""COMPUTED_VALUE"""),7.2)</f>
        <v>7.2</v>
      </c>
    </row>
    <row r="350">
      <c r="A350" s="13" t="str">
        <f>IFERROR(__xludf.DUMMYFUNCTION("""COMPUTED_VALUE"""),"товари")</f>
        <v>товари</v>
      </c>
      <c r="B35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0" s="15" t="str">
        <f>IFERROR(__xludf.DUMMYFUNCTION("""COMPUTED_VALUE"""),"медичне обладнання")</f>
        <v>медичне обладнання</v>
      </c>
      <c r="D350" s="15" t="str">
        <f>IFERROR(__xludf.DUMMYFUNCTION("""COMPUTED_VALUE"""),"лабораторне обладнання")</f>
        <v>лабораторне обладнання</v>
      </c>
      <c r="E350" s="15" t="str">
        <f>IFERROR(__xludf.DUMMYFUNCTION("""COMPUTED_VALUE"""),"лабораторні бані")</f>
        <v>лабораторні бані</v>
      </c>
      <c r="F350" s="17">
        <f>IFERROR(__xludf.DUMMYFUNCTION("""COMPUTED_VALUE"""),4.0)</f>
        <v>4</v>
      </c>
      <c r="G350" s="17">
        <f>IFERROR(__xludf.DUMMYFUNCTION("""COMPUTED_VALUE"""),82612.0)</f>
        <v>82612</v>
      </c>
      <c r="H350" s="17" t="str">
        <f>IFERROR(__xludf.DUMMYFUNCTION("""COMPUTED_VALUE"""),"лабораторні бані")</f>
        <v>лабораторні бані</v>
      </c>
      <c r="I350" s="18">
        <f>IFERROR(__xludf.DUMMYFUNCTION("""COMPUTED_VALUE"""),1.8)</f>
        <v>1.8</v>
      </c>
      <c r="J350" s="18">
        <f>IFERROR(__xludf.DUMMYFUNCTION("""COMPUTED_VALUE"""),3.6)</f>
        <v>3.6</v>
      </c>
      <c r="K350" s="18">
        <f>IFERROR(__xludf.DUMMYFUNCTION("""COMPUTED_VALUE"""),4.5)</f>
        <v>4.5</v>
      </c>
      <c r="L350" s="18">
        <f>IFERROR(__xludf.DUMMYFUNCTION("""COMPUTED_VALUE"""),7.2)</f>
        <v>7.2</v>
      </c>
    </row>
    <row r="351">
      <c r="A351" s="13" t="str">
        <f>IFERROR(__xludf.DUMMYFUNCTION("""COMPUTED_VALUE"""),"товари")</f>
        <v>товари</v>
      </c>
      <c r="B35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1" s="15" t="str">
        <f>IFERROR(__xludf.DUMMYFUNCTION("""COMPUTED_VALUE"""),"медичне обладнання")</f>
        <v>медичне обладнання</v>
      </c>
      <c r="D351" s="15" t="str">
        <f>IFERROR(__xludf.DUMMYFUNCTION("""COMPUTED_VALUE"""),"лор-обладнання")</f>
        <v>лор-обладнання</v>
      </c>
      <c r="E351" s="15" t="str">
        <f>IFERROR(__xludf.DUMMYFUNCTION("""COMPUTED_VALUE"""),"лор-обладнання")</f>
        <v>лор-обладнання</v>
      </c>
      <c r="F351" s="17">
        <f>IFERROR(__xludf.DUMMYFUNCTION("""COMPUTED_VALUE"""),3.0)</f>
        <v>3</v>
      </c>
      <c r="G351" s="17">
        <f>IFERROR(__xludf.DUMMYFUNCTION("""COMPUTED_VALUE"""),161127.0)</f>
        <v>161127</v>
      </c>
      <c r="H351" s="17" t="str">
        <f>IFERROR(__xludf.DUMMYFUNCTION("""COMPUTED_VALUE"""),"лор-обладнання")</f>
        <v>лор-обладнання</v>
      </c>
      <c r="I351" s="18">
        <f>IFERROR(__xludf.DUMMYFUNCTION("""COMPUTED_VALUE"""),1.53)</f>
        <v>1.53</v>
      </c>
      <c r="J351" s="18">
        <f>IFERROR(__xludf.DUMMYFUNCTION("""COMPUTED_VALUE"""),3.06)</f>
        <v>3.06</v>
      </c>
      <c r="K351" s="18">
        <f>IFERROR(__xludf.DUMMYFUNCTION("""COMPUTED_VALUE"""),3.83)</f>
        <v>3.83</v>
      </c>
      <c r="L351" s="18">
        <f>IFERROR(__xludf.DUMMYFUNCTION("""COMPUTED_VALUE"""),6.13)</f>
        <v>6.13</v>
      </c>
    </row>
    <row r="352">
      <c r="A352" s="13" t="str">
        <f>IFERROR(__xludf.DUMMYFUNCTION("""COMPUTED_VALUE"""),"товари")</f>
        <v>товари</v>
      </c>
      <c r="B35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2" s="15" t="str">
        <f>IFERROR(__xludf.DUMMYFUNCTION("""COMPUTED_VALUE"""),"медичне обладнання")</f>
        <v>медичне обладнання</v>
      </c>
      <c r="D352" s="15" t="str">
        <f>IFERROR(__xludf.DUMMYFUNCTION("""COMPUTED_VALUE"""),"кардіологічне обладнання")</f>
        <v>кардіологічне обладнання</v>
      </c>
      <c r="E352" s="15" t="str">
        <f>IFERROR(__xludf.DUMMYFUNCTION("""COMPUTED_VALUE"""),"монітори кардіологічні")</f>
        <v>монітори кардіологічні</v>
      </c>
      <c r="F352" s="17">
        <f>IFERROR(__xludf.DUMMYFUNCTION("""COMPUTED_VALUE"""),4.0)</f>
        <v>4</v>
      </c>
      <c r="G352" s="17">
        <f>IFERROR(__xludf.DUMMYFUNCTION("""COMPUTED_VALUE"""),1.6110903E7)</f>
        <v>16110903</v>
      </c>
      <c r="H352" s="17" t="str">
        <f>IFERROR(__xludf.DUMMYFUNCTION("""COMPUTED_VALUE"""),"монітори кардіологічні")</f>
        <v>монітори кардіологічні</v>
      </c>
      <c r="I352" s="18">
        <f>IFERROR(__xludf.DUMMYFUNCTION("""COMPUTED_VALUE"""),2.03)</f>
        <v>2.03</v>
      </c>
      <c r="J352" s="18">
        <f>IFERROR(__xludf.DUMMYFUNCTION("""COMPUTED_VALUE"""),4.05)</f>
        <v>4.05</v>
      </c>
      <c r="K352" s="18">
        <f>IFERROR(__xludf.DUMMYFUNCTION("""COMPUTED_VALUE"""),5.06)</f>
        <v>5.06</v>
      </c>
      <c r="L352" s="18">
        <f>IFERROR(__xludf.DUMMYFUNCTION("""COMPUTED_VALUE"""),8.1)</f>
        <v>8.1</v>
      </c>
    </row>
    <row r="353">
      <c r="A353" s="13" t="str">
        <f>IFERROR(__xludf.DUMMYFUNCTION("""COMPUTED_VALUE"""),"товари")</f>
        <v>товари</v>
      </c>
      <c r="B35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3" s="15" t="str">
        <f>IFERROR(__xludf.DUMMYFUNCTION("""COMPUTED_VALUE"""),"медичне обладнання")</f>
        <v>медичне обладнання</v>
      </c>
      <c r="D353" s="15" t="str">
        <f>IFERROR(__xludf.DUMMYFUNCTION("""COMPUTED_VALUE"""),"неонатологічне обладнання")</f>
        <v>неонатологічне обладнання</v>
      </c>
      <c r="E353" s="15" t="str">
        <f>IFERROR(__xludf.DUMMYFUNCTION("""COMPUTED_VALUE"""),"неонатологічне обладнання")</f>
        <v>неонатологічне обладнання</v>
      </c>
      <c r="F353" s="17">
        <f>IFERROR(__xludf.DUMMYFUNCTION("""COMPUTED_VALUE"""),3.0)</f>
        <v>3</v>
      </c>
      <c r="G353" s="17">
        <f>IFERROR(__xludf.DUMMYFUNCTION("""COMPUTED_VALUE"""),161116.0)</f>
        <v>161116</v>
      </c>
      <c r="H353" s="17" t="str">
        <f>IFERROR(__xludf.DUMMYFUNCTION("""COMPUTED_VALUE"""),"неонатологічне обладнання")</f>
        <v>неонатологічне обладнання</v>
      </c>
      <c r="I353" s="18">
        <f>IFERROR(__xludf.DUMMYFUNCTION("""COMPUTED_VALUE"""),1.58)</f>
        <v>1.58</v>
      </c>
      <c r="J353" s="18">
        <f>IFERROR(__xludf.DUMMYFUNCTION("""COMPUTED_VALUE"""),3.15)</f>
        <v>3.15</v>
      </c>
      <c r="K353" s="18">
        <f>IFERROR(__xludf.DUMMYFUNCTION("""COMPUTED_VALUE"""),3.94)</f>
        <v>3.94</v>
      </c>
      <c r="L353" s="18">
        <f>IFERROR(__xludf.DUMMYFUNCTION("""COMPUTED_VALUE"""),6.3)</f>
        <v>6.3</v>
      </c>
    </row>
    <row r="354">
      <c r="A354" s="13" t="str">
        <f>IFERROR(__xludf.DUMMYFUNCTION("""COMPUTED_VALUE"""),"товари")</f>
        <v>товари</v>
      </c>
      <c r="B35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4" s="15" t="str">
        <f>IFERROR(__xludf.DUMMYFUNCTION("""COMPUTED_VALUE"""),"медичне обладнання")</f>
        <v>медичне обладнання</v>
      </c>
      <c r="D354" s="15" t="str">
        <f>IFERROR(__xludf.DUMMYFUNCTION("""COMPUTED_VALUE"""),"обладнання для іммобілізації")</f>
        <v>обладнання для іммобілізації</v>
      </c>
      <c r="E354" s="15" t="str">
        <f>IFERROR(__xludf.DUMMYFUNCTION("""COMPUTED_VALUE"""),"носилки і щити санітарні")</f>
        <v>носилки і щити санітарні</v>
      </c>
      <c r="F354" s="17">
        <f>IFERROR(__xludf.DUMMYFUNCTION("""COMPUTED_VALUE"""),4.0)</f>
        <v>4</v>
      </c>
      <c r="G354" s="17">
        <f>IFERROR(__xludf.DUMMYFUNCTION("""COMPUTED_VALUE"""),1.6112401E7)</f>
        <v>16112401</v>
      </c>
      <c r="H354" s="17" t="str">
        <f>IFERROR(__xludf.DUMMYFUNCTION("""COMPUTED_VALUE"""),"носилки і щити санітарні")</f>
        <v>носилки і щити санітарні</v>
      </c>
      <c r="I354" s="18">
        <f>IFERROR(__xludf.DUMMYFUNCTION("""COMPUTED_VALUE"""),2.7)</f>
        <v>2.7</v>
      </c>
      <c r="J354" s="18">
        <f>IFERROR(__xludf.DUMMYFUNCTION("""COMPUTED_VALUE"""),5.4)</f>
        <v>5.4</v>
      </c>
      <c r="K354" s="18">
        <f>IFERROR(__xludf.DUMMYFUNCTION("""COMPUTED_VALUE"""),6.75)</f>
        <v>6.75</v>
      </c>
      <c r="L354" s="18">
        <f>IFERROR(__xludf.DUMMYFUNCTION("""COMPUTED_VALUE"""),10.8)</f>
        <v>10.8</v>
      </c>
    </row>
    <row r="355">
      <c r="A355" s="13" t="str">
        <f>IFERROR(__xludf.DUMMYFUNCTION("""COMPUTED_VALUE"""),"товари")</f>
        <v>товари</v>
      </c>
      <c r="B35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5" s="15" t="str">
        <f>IFERROR(__xludf.DUMMYFUNCTION("""COMPUTED_VALUE"""),"медичне обладнання")</f>
        <v>медичне обладнання</v>
      </c>
      <c r="D355" s="15" t="str">
        <f>IFERROR(__xludf.DUMMYFUNCTION("""COMPUTED_VALUE"""),"офтальмологічне обладнання")</f>
        <v>офтальмологічне обладнання</v>
      </c>
      <c r="E355" s="15" t="str">
        <f>IFERROR(__xludf.DUMMYFUNCTION("""COMPUTED_VALUE"""),"офтальмологічне обладнання")</f>
        <v>офтальмологічне обладнання</v>
      </c>
      <c r="F355" s="17">
        <f>IFERROR(__xludf.DUMMYFUNCTION("""COMPUTED_VALUE"""),3.0)</f>
        <v>3</v>
      </c>
      <c r="G355" s="17">
        <f>IFERROR(__xludf.DUMMYFUNCTION("""COMPUTED_VALUE"""),161107.0)</f>
        <v>161107</v>
      </c>
      <c r="H355" s="17" t="str">
        <f>IFERROR(__xludf.DUMMYFUNCTION("""COMPUTED_VALUE"""),"офтальмологічне обладнання")</f>
        <v>офтальмологічне обладнання</v>
      </c>
      <c r="I355" s="18">
        <f>IFERROR(__xludf.DUMMYFUNCTION("""COMPUTED_VALUE"""),1.31)</f>
        <v>1.31</v>
      </c>
      <c r="J355" s="18">
        <f>IFERROR(__xludf.DUMMYFUNCTION("""COMPUTED_VALUE"""),2.61)</f>
        <v>2.61</v>
      </c>
      <c r="K355" s="18">
        <f>IFERROR(__xludf.DUMMYFUNCTION("""COMPUTED_VALUE"""),3.27)</f>
        <v>3.27</v>
      </c>
      <c r="L355" s="18">
        <f>IFERROR(__xludf.DUMMYFUNCTION("""COMPUTED_VALUE"""),5.23)</f>
        <v>5.23</v>
      </c>
    </row>
    <row r="356">
      <c r="A356" s="13" t="str">
        <f>IFERROR(__xludf.DUMMYFUNCTION("""COMPUTED_VALUE"""),"товари")</f>
        <v>товари</v>
      </c>
      <c r="B35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6" s="15" t="str">
        <f>IFERROR(__xludf.DUMMYFUNCTION("""COMPUTED_VALUE"""),"медичне обладнання")</f>
        <v>медичне обладнання</v>
      </c>
      <c r="D356" s="15" t="str">
        <f>IFERROR(__xludf.DUMMYFUNCTION("""COMPUTED_VALUE"""),"патологоанатомічне обладнання")</f>
        <v>патологоанатомічне обладнання</v>
      </c>
      <c r="E356" s="15" t="str">
        <f>IFERROR(__xludf.DUMMYFUNCTION("""COMPUTED_VALUE"""),"патологоанатомічне обладнання")</f>
        <v>патологоанатомічне обладнання</v>
      </c>
      <c r="F356" s="17">
        <f>IFERROR(__xludf.DUMMYFUNCTION("""COMPUTED_VALUE"""),3.0)</f>
        <v>3</v>
      </c>
      <c r="G356" s="17">
        <f>IFERROR(__xludf.DUMMYFUNCTION("""COMPUTED_VALUE"""),161121.0)</f>
        <v>161121</v>
      </c>
      <c r="H356" s="17" t="str">
        <f>IFERROR(__xludf.DUMMYFUNCTION("""COMPUTED_VALUE"""),"патологоанатомічне обладнання")</f>
        <v>патологоанатомічне обладнання</v>
      </c>
      <c r="I356" s="18">
        <f>IFERROR(__xludf.DUMMYFUNCTION("""COMPUTED_VALUE"""),2.29)</f>
        <v>2.29</v>
      </c>
      <c r="J356" s="18">
        <f>IFERROR(__xludf.DUMMYFUNCTION("""COMPUTED_VALUE"""),4.58)</f>
        <v>4.58</v>
      </c>
      <c r="K356" s="18">
        <f>IFERROR(__xludf.DUMMYFUNCTION("""COMPUTED_VALUE"""),5.72)</f>
        <v>5.72</v>
      </c>
      <c r="L356" s="18">
        <f>IFERROR(__xludf.DUMMYFUNCTION("""COMPUTED_VALUE"""),9.15)</f>
        <v>9.15</v>
      </c>
    </row>
    <row r="357">
      <c r="A357" s="13" t="str">
        <f>IFERROR(__xludf.DUMMYFUNCTION("""COMPUTED_VALUE"""),"товари")</f>
        <v>товари</v>
      </c>
      <c r="B35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7" s="15" t="str">
        <f>IFERROR(__xludf.DUMMYFUNCTION("""COMPUTED_VALUE"""),"медичне обладнання")</f>
        <v>медичне обладнання</v>
      </c>
      <c r="D357" s="15" t="str">
        <f>IFERROR(__xludf.DUMMYFUNCTION("""COMPUTED_VALUE"""),"лабораторне обладнання")</f>
        <v>лабораторне обладнання</v>
      </c>
      <c r="E357" s="15" t="str">
        <f>IFERROR(__xludf.DUMMYFUNCTION("""COMPUTED_VALUE"""),"печі лабораторні")</f>
        <v>печі лабораторні</v>
      </c>
      <c r="F357" s="17">
        <f>IFERROR(__xludf.DUMMYFUNCTION("""COMPUTED_VALUE"""),4.0)</f>
        <v>4</v>
      </c>
      <c r="G357" s="17">
        <f>IFERROR(__xludf.DUMMYFUNCTION("""COMPUTED_VALUE"""),82606.0)</f>
        <v>82606</v>
      </c>
      <c r="H357" s="17" t="str">
        <f>IFERROR(__xludf.DUMMYFUNCTION("""COMPUTED_VALUE"""),"печі лабораторні")</f>
        <v>печі лабораторні</v>
      </c>
      <c r="I357" s="18">
        <f>IFERROR(__xludf.DUMMYFUNCTION("""COMPUTED_VALUE"""),1.8)</f>
        <v>1.8</v>
      </c>
      <c r="J357" s="18">
        <f>IFERROR(__xludf.DUMMYFUNCTION("""COMPUTED_VALUE"""),3.6)</f>
        <v>3.6</v>
      </c>
      <c r="K357" s="18">
        <f>IFERROR(__xludf.DUMMYFUNCTION("""COMPUTED_VALUE"""),4.5)</f>
        <v>4.5</v>
      </c>
      <c r="L357" s="18">
        <f>IFERROR(__xludf.DUMMYFUNCTION("""COMPUTED_VALUE"""),7.2)</f>
        <v>7.2</v>
      </c>
    </row>
    <row r="358">
      <c r="A358" s="13" t="str">
        <f>IFERROR(__xludf.DUMMYFUNCTION("""COMPUTED_VALUE"""),"товари")</f>
        <v>товари</v>
      </c>
      <c r="B35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8" s="15" t="str">
        <f>IFERROR(__xludf.DUMMYFUNCTION("""COMPUTED_VALUE"""),"медичне обладнання")</f>
        <v>медичне обладнання</v>
      </c>
      <c r="D358" s="15" t="str">
        <f>IFERROR(__xludf.DUMMYFUNCTION("""COMPUTED_VALUE"""),"реанімаційне обладнання")</f>
        <v>реанімаційне обладнання</v>
      </c>
      <c r="E358" s="15" t="str">
        <f>IFERROR(__xludf.DUMMYFUNCTION("""COMPUTED_VALUE"""),"реанімаційне обладнання")</f>
        <v>реанімаційне обладнання</v>
      </c>
      <c r="F358" s="17">
        <f>IFERROR(__xludf.DUMMYFUNCTION("""COMPUTED_VALUE"""),3.0)</f>
        <v>3</v>
      </c>
      <c r="G358" s="17">
        <f>IFERROR(__xludf.DUMMYFUNCTION("""COMPUTED_VALUE"""),161112.0)</f>
        <v>161112</v>
      </c>
      <c r="H358" s="17" t="str">
        <f>IFERROR(__xludf.DUMMYFUNCTION("""COMPUTED_VALUE"""),"реанімаційне обладнання")</f>
        <v>реанімаційне обладнання</v>
      </c>
      <c r="I358" s="18">
        <f>IFERROR(__xludf.DUMMYFUNCTION("""COMPUTED_VALUE"""),2.7)</f>
        <v>2.7</v>
      </c>
      <c r="J358" s="18">
        <f>IFERROR(__xludf.DUMMYFUNCTION("""COMPUTED_VALUE"""),5.4)</f>
        <v>5.4</v>
      </c>
      <c r="K358" s="18">
        <f>IFERROR(__xludf.DUMMYFUNCTION("""COMPUTED_VALUE"""),6.75)</f>
        <v>6.75</v>
      </c>
      <c r="L358" s="18">
        <f>IFERROR(__xludf.DUMMYFUNCTION("""COMPUTED_VALUE"""),10.8)</f>
        <v>10.8</v>
      </c>
    </row>
    <row r="359">
      <c r="A359" s="13" t="str">
        <f>IFERROR(__xludf.DUMMYFUNCTION("""COMPUTED_VALUE"""),"товари")</f>
        <v>товари</v>
      </c>
      <c r="B35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9" s="15" t="str">
        <f>IFERROR(__xludf.DUMMYFUNCTION("""COMPUTED_VALUE"""),"медичне обладнання")</f>
        <v>медичне обладнання</v>
      </c>
      <c r="D359" s="15" t="str">
        <f>IFERROR(__xludf.DUMMYFUNCTION("""COMPUTED_VALUE"""),"діагностичне обладнання")</f>
        <v>діагностичне обладнання</v>
      </c>
      <c r="E359" s="15" t="str">
        <f>IFERROR(__xludf.DUMMYFUNCTION("""COMPUTED_VALUE"""),"рентгенологічне обладнання")</f>
        <v>рентгенологічне обладнання</v>
      </c>
      <c r="F359" s="17">
        <f>IFERROR(__xludf.DUMMYFUNCTION("""COMPUTED_VALUE"""),4.0)</f>
        <v>4</v>
      </c>
      <c r="G359" s="17">
        <f>IFERROR(__xludf.DUMMYFUNCTION("""COMPUTED_VALUE"""),161111.0)</f>
        <v>161111</v>
      </c>
      <c r="H359" s="17" t="str">
        <f>IFERROR(__xludf.DUMMYFUNCTION("""COMPUTED_VALUE"""),"рентгенологічне обладнання")</f>
        <v>рентгенологічне обладнання</v>
      </c>
      <c r="I359" s="18">
        <f>IFERROR(__xludf.DUMMYFUNCTION("""COMPUTED_VALUE"""),2.29)</f>
        <v>2.29</v>
      </c>
      <c r="J359" s="18">
        <f>IFERROR(__xludf.DUMMYFUNCTION("""COMPUTED_VALUE"""),4.58)</f>
        <v>4.58</v>
      </c>
      <c r="K359" s="18">
        <f>IFERROR(__xludf.DUMMYFUNCTION("""COMPUTED_VALUE"""),5.72)</f>
        <v>5.72</v>
      </c>
      <c r="L359" s="18">
        <f>IFERROR(__xludf.DUMMYFUNCTION("""COMPUTED_VALUE"""),9.15)</f>
        <v>9.15</v>
      </c>
    </row>
    <row r="360">
      <c r="A360" s="13" t="str">
        <f>IFERROR(__xludf.DUMMYFUNCTION("""COMPUTED_VALUE"""),"товари")</f>
        <v>товари</v>
      </c>
      <c r="B36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0" s="15" t="str">
        <f>IFERROR(__xludf.DUMMYFUNCTION("""COMPUTED_VALUE"""),"медичне обладнання")</f>
        <v>медичне обладнання</v>
      </c>
      <c r="D360" s="15" t="str">
        <f>IFERROR(__xludf.DUMMYFUNCTION("""COMPUTED_VALUE"""),"діагностичне обладнання")</f>
        <v>діагностичне обладнання</v>
      </c>
      <c r="E360" s="15" t="str">
        <f>IFERROR(__xludf.DUMMYFUNCTION("""COMPUTED_VALUE"""),"спіроаналізатори")</f>
        <v>спіроаналізатори</v>
      </c>
      <c r="F360" s="17">
        <f>IFERROR(__xludf.DUMMYFUNCTION("""COMPUTED_VALUE"""),4.0)</f>
        <v>4</v>
      </c>
      <c r="G360" s="17">
        <f>IFERROR(__xludf.DUMMYFUNCTION("""COMPUTED_VALUE"""),161125.0)</f>
        <v>161125</v>
      </c>
      <c r="H360" s="17" t="str">
        <f>IFERROR(__xludf.DUMMYFUNCTION("""COMPUTED_VALUE"""),"спіроаналізатори")</f>
        <v>спіроаналізатори</v>
      </c>
      <c r="I360" s="18">
        <f>IFERROR(__xludf.DUMMYFUNCTION("""COMPUTED_VALUE"""),2.29)</f>
        <v>2.29</v>
      </c>
      <c r="J360" s="18">
        <f>IFERROR(__xludf.DUMMYFUNCTION("""COMPUTED_VALUE"""),4.58)</f>
        <v>4.58</v>
      </c>
      <c r="K360" s="18">
        <f>IFERROR(__xludf.DUMMYFUNCTION("""COMPUTED_VALUE"""),5.72)</f>
        <v>5.72</v>
      </c>
      <c r="L360" s="18">
        <f>IFERROR(__xludf.DUMMYFUNCTION("""COMPUTED_VALUE"""),9.15)</f>
        <v>9.15</v>
      </c>
    </row>
    <row r="361">
      <c r="A361" s="13" t="str">
        <f>IFERROR(__xludf.DUMMYFUNCTION("""COMPUTED_VALUE"""),"товари")</f>
        <v>товари</v>
      </c>
      <c r="B36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1" s="15" t="str">
        <f>IFERROR(__xludf.DUMMYFUNCTION("""COMPUTED_VALUE"""),"медичне обладнання")</f>
        <v>медичне обладнання</v>
      </c>
      <c r="D361" s="15" t="str">
        <f>IFERROR(__xludf.DUMMYFUNCTION("""COMPUTED_VALUE"""),"стерилізаційне обладнання")</f>
        <v>стерилізаційне обладнання</v>
      </c>
      <c r="E361" s="15" t="str">
        <f>IFERROR(__xludf.DUMMYFUNCTION("""COMPUTED_VALUE"""),"стерилізаційне обладнання")</f>
        <v>стерилізаційне обладнання</v>
      </c>
      <c r="F361" s="17">
        <f>IFERROR(__xludf.DUMMYFUNCTION("""COMPUTED_VALUE"""),3.0)</f>
        <v>3</v>
      </c>
      <c r="G361" s="17">
        <f>IFERROR(__xludf.DUMMYFUNCTION("""COMPUTED_VALUE"""),161118.0)</f>
        <v>161118</v>
      </c>
      <c r="H361" s="17" t="str">
        <f>IFERROR(__xludf.DUMMYFUNCTION("""COMPUTED_VALUE"""),"стерилізаційне обладнання")</f>
        <v>стерилізаційне обладнання</v>
      </c>
      <c r="I361" s="18">
        <f>IFERROR(__xludf.DUMMYFUNCTION("""COMPUTED_VALUE"""),2.7)</f>
        <v>2.7</v>
      </c>
      <c r="J361" s="18">
        <f>IFERROR(__xludf.DUMMYFUNCTION("""COMPUTED_VALUE"""),5.4)</f>
        <v>5.4</v>
      </c>
      <c r="K361" s="18">
        <f>IFERROR(__xludf.DUMMYFUNCTION("""COMPUTED_VALUE"""),6.75)</f>
        <v>6.75</v>
      </c>
      <c r="L361" s="18">
        <f>IFERROR(__xludf.DUMMYFUNCTION("""COMPUTED_VALUE"""),10.8)</f>
        <v>10.8</v>
      </c>
    </row>
    <row r="362">
      <c r="A362" s="13" t="str">
        <f>IFERROR(__xludf.DUMMYFUNCTION("""COMPUTED_VALUE"""),"товари")</f>
        <v>товари</v>
      </c>
      <c r="B36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2" s="15" t="str">
        <f>IFERROR(__xludf.DUMMYFUNCTION("""COMPUTED_VALUE"""),"медичне обладнання")</f>
        <v>медичне обладнання</v>
      </c>
      <c r="D362" s="15" t="str">
        <f>IFERROR(__xludf.DUMMYFUNCTION("""COMPUTED_VALUE"""),"стоматологічні установки і крісла")</f>
        <v>стоматологічні установки і крісла</v>
      </c>
      <c r="E362" s="15" t="str">
        <f>IFERROR(__xludf.DUMMYFUNCTION("""COMPUTED_VALUE"""),"стоматологічні установки і крісла")</f>
        <v>стоматологічні установки і крісла</v>
      </c>
      <c r="F362" s="17">
        <f>IFERROR(__xludf.DUMMYFUNCTION("""COMPUTED_VALUE"""),3.0)</f>
        <v>3</v>
      </c>
      <c r="G362" s="17">
        <f>IFERROR(__xludf.DUMMYFUNCTION("""COMPUTED_VALUE"""),3.702101E7)</f>
        <v>37021010</v>
      </c>
      <c r="H362" s="17" t="str">
        <f>IFERROR(__xludf.DUMMYFUNCTION("""COMPUTED_VALUE"""),"стоматологічні установки і крісла")</f>
        <v>стоматологічні установки і крісла</v>
      </c>
      <c r="I362" s="18">
        <f>IFERROR(__xludf.DUMMYFUNCTION("""COMPUTED_VALUE"""),2.1)</f>
        <v>2.1</v>
      </c>
      <c r="J362" s="18">
        <f>IFERROR(__xludf.DUMMYFUNCTION("""COMPUTED_VALUE"""),4.2)</f>
        <v>4.2</v>
      </c>
      <c r="K362" s="18">
        <f>IFERROR(__xludf.DUMMYFUNCTION("""COMPUTED_VALUE"""),5.25)</f>
        <v>5.25</v>
      </c>
      <c r="L362" s="18">
        <f>IFERROR(__xludf.DUMMYFUNCTION("""COMPUTED_VALUE"""),8.4)</f>
        <v>8.4</v>
      </c>
    </row>
    <row r="363">
      <c r="A363" s="13" t="str">
        <f>IFERROR(__xludf.DUMMYFUNCTION("""COMPUTED_VALUE"""),"товари")</f>
        <v>товари</v>
      </c>
      <c r="B36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3" s="15" t="str">
        <f>IFERROR(__xludf.DUMMYFUNCTION("""COMPUTED_VALUE"""),"медичне обладнання")</f>
        <v>медичне обладнання</v>
      </c>
      <c r="D363" s="15" t="str">
        <f>IFERROR(__xludf.DUMMYFUNCTION("""COMPUTED_VALUE"""),"урологічне обладнання")</f>
        <v>урологічне обладнання</v>
      </c>
      <c r="E363" s="15" t="str">
        <f>IFERROR(__xludf.DUMMYFUNCTION("""COMPUTED_VALUE"""),"урологічне обладнання")</f>
        <v>урологічне обладнання</v>
      </c>
      <c r="F363" s="17">
        <f>IFERROR(__xludf.DUMMYFUNCTION("""COMPUTED_VALUE"""),3.0)</f>
        <v>3</v>
      </c>
      <c r="G363" s="17">
        <f>IFERROR(__xludf.DUMMYFUNCTION("""COMPUTED_VALUE"""),161115.0)</f>
        <v>161115</v>
      </c>
      <c r="H363" s="17" t="str">
        <f>IFERROR(__xludf.DUMMYFUNCTION("""COMPUTED_VALUE"""),"урологічне обладнання")</f>
        <v>урологічне обладнання</v>
      </c>
      <c r="I363" s="18">
        <f>IFERROR(__xludf.DUMMYFUNCTION("""COMPUTED_VALUE"""),1.26)</f>
        <v>1.26</v>
      </c>
      <c r="J363" s="18">
        <f>IFERROR(__xludf.DUMMYFUNCTION("""COMPUTED_VALUE"""),2.53)</f>
        <v>2.53</v>
      </c>
      <c r="K363" s="18">
        <f>IFERROR(__xludf.DUMMYFUNCTION("""COMPUTED_VALUE"""),3.16)</f>
        <v>3.16</v>
      </c>
      <c r="L363" s="18">
        <f>IFERROR(__xludf.DUMMYFUNCTION("""COMPUTED_VALUE"""),5.05)</f>
        <v>5.05</v>
      </c>
    </row>
    <row r="364">
      <c r="A364" s="13" t="str">
        <f>IFERROR(__xludf.DUMMYFUNCTION("""COMPUTED_VALUE"""),"товари")</f>
        <v>товари</v>
      </c>
      <c r="B36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4" s="15" t="str">
        <f>IFERROR(__xludf.DUMMYFUNCTION("""COMPUTED_VALUE"""),"медичне обладнання")</f>
        <v>медичне обладнання</v>
      </c>
      <c r="D364" s="15" t="str">
        <f>IFERROR(__xludf.DUMMYFUNCTION("""COMPUTED_VALUE"""),"фізіотерапевтичне обладнання")</f>
        <v>фізіотерапевтичне обладнання</v>
      </c>
      <c r="E364" s="15" t="str">
        <f>IFERROR(__xludf.DUMMYFUNCTION("""COMPUTED_VALUE"""),"фізіотерапевтичне устаткування, загальне")</f>
        <v>фізіотерапевтичне устаткування, загальне</v>
      </c>
      <c r="F364" s="17">
        <f>IFERROR(__xludf.DUMMYFUNCTION("""COMPUTED_VALUE"""),4.0)</f>
        <v>4</v>
      </c>
      <c r="G364" s="17">
        <f>IFERROR(__xludf.DUMMYFUNCTION("""COMPUTED_VALUE"""),1.6110401E7)</f>
        <v>16110401</v>
      </c>
      <c r="H364" s="17" t="str">
        <f>IFERROR(__xludf.DUMMYFUNCTION("""COMPUTED_VALUE"""),"фізіотерапевтичне устаткування, загальне")</f>
        <v>фізіотерапевтичне устаткування, загальне</v>
      </c>
      <c r="I364" s="18">
        <f>IFERROR(__xludf.DUMMYFUNCTION("""COMPUTED_VALUE"""),2.16)</f>
        <v>2.16</v>
      </c>
      <c r="J364" s="18">
        <f>IFERROR(__xludf.DUMMYFUNCTION("""COMPUTED_VALUE"""),4.33)</f>
        <v>4.33</v>
      </c>
      <c r="K364" s="18">
        <f>IFERROR(__xludf.DUMMYFUNCTION("""COMPUTED_VALUE"""),5.41)</f>
        <v>5.41</v>
      </c>
      <c r="L364" s="18">
        <f>IFERROR(__xludf.DUMMYFUNCTION("""COMPUTED_VALUE"""),8.65)</f>
        <v>8.65</v>
      </c>
    </row>
    <row r="365">
      <c r="A365" s="13" t="str">
        <f>IFERROR(__xludf.DUMMYFUNCTION("""COMPUTED_VALUE"""),"товари")</f>
        <v>товари</v>
      </c>
      <c r="B36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5" s="15" t="str">
        <f>IFERROR(__xludf.DUMMYFUNCTION("""COMPUTED_VALUE"""),"медичне обладнання")</f>
        <v>медичне обладнання</v>
      </c>
      <c r="D365" s="15" t="str">
        <f>IFERROR(__xludf.DUMMYFUNCTION("""COMPUTED_VALUE"""),"кардіологічне обладнання")</f>
        <v>кардіологічне обладнання</v>
      </c>
      <c r="E365" s="15" t="str">
        <f>IFERROR(__xludf.DUMMYFUNCTION("""COMPUTED_VALUE"""),"холтерівські системи")</f>
        <v>холтерівські системи</v>
      </c>
      <c r="F365" s="17">
        <f>IFERROR(__xludf.DUMMYFUNCTION("""COMPUTED_VALUE"""),4.0)</f>
        <v>4</v>
      </c>
      <c r="G365" s="17">
        <f>IFERROR(__xludf.DUMMYFUNCTION("""COMPUTED_VALUE"""),1.6110907E7)</f>
        <v>16110907</v>
      </c>
      <c r="H365" s="17" t="str">
        <f>IFERROR(__xludf.DUMMYFUNCTION("""COMPUTED_VALUE"""),"холтерівські системи")</f>
        <v>холтерівські системи</v>
      </c>
      <c r="I365" s="18">
        <f>IFERROR(__xludf.DUMMYFUNCTION("""COMPUTED_VALUE"""),2.03)</f>
        <v>2.03</v>
      </c>
      <c r="J365" s="18">
        <f>IFERROR(__xludf.DUMMYFUNCTION("""COMPUTED_VALUE"""),4.05)</f>
        <v>4.05</v>
      </c>
      <c r="K365" s="18">
        <f>IFERROR(__xludf.DUMMYFUNCTION("""COMPUTED_VALUE"""),5.06)</f>
        <v>5.06</v>
      </c>
      <c r="L365" s="18">
        <f>IFERROR(__xludf.DUMMYFUNCTION("""COMPUTED_VALUE"""),8.1)</f>
        <v>8.1</v>
      </c>
    </row>
    <row r="366">
      <c r="A366" s="13" t="str">
        <f>IFERROR(__xludf.DUMMYFUNCTION("""COMPUTED_VALUE"""),"товари")</f>
        <v>товари</v>
      </c>
      <c r="B366" s="13" t="str">
        <f>IFERROR(__xludf.DUMMYFUNCTION("""COMPUTED_VALUE"""),"нерухомість")</f>
        <v>нерухомість</v>
      </c>
      <c r="C366" s="15" t="str">
        <f>IFERROR(__xludf.DUMMYFUNCTION("""COMPUTED_VALUE"""),"виробничі будівлі")</f>
        <v>виробничі будівлі</v>
      </c>
      <c r="D366" s="15" t="str">
        <f>IFERROR(__xludf.DUMMYFUNCTION("""COMPUTED_VALUE"""),"виробничі будівлі")</f>
        <v>виробничі будівлі</v>
      </c>
      <c r="E366" s="15" t="str">
        <f>IFERROR(__xludf.DUMMYFUNCTION("""COMPUTED_VALUE"""),"виробничі будівлі")</f>
        <v>виробничі будівлі</v>
      </c>
      <c r="F366" s="17">
        <f>IFERROR(__xludf.DUMMYFUNCTION("""COMPUTED_VALUE"""),2.0)</f>
        <v>2</v>
      </c>
      <c r="G366" s="17">
        <f>IFERROR(__xludf.DUMMYFUNCTION("""COMPUTED_VALUE"""),3107.0)</f>
        <v>3107</v>
      </c>
      <c r="H366" s="17" t="str">
        <f>IFERROR(__xludf.DUMMYFUNCTION("""COMPUTED_VALUE"""),"виробничі будівлі")</f>
        <v>виробничі будівлі</v>
      </c>
      <c r="I366" s="18">
        <f>IFERROR(__xludf.DUMMYFUNCTION("""COMPUTED_VALUE"""),0.81)</f>
        <v>0.81</v>
      </c>
      <c r="J366" s="18">
        <f>IFERROR(__xludf.DUMMYFUNCTION("""COMPUTED_VALUE"""),1.63)</f>
        <v>1.63</v>
      </c>
      <c r="K366" s="18">
        <f>IFERROR(__xludf.DUMMYFUNCTION("""COMPUTED_VALUE"""),2.03)</f>
        <v>2.03</v>
      </c>
      <c r="L366" s="18">
        <f>IFERROR(__xludf.DUMMYFUNCTION("""COMPUTED_VALUE"""),3.25)</f>
        <v>3.25</v>
      </c>
    </row>
    <row r="367">
      <c r="A367" s="13" t="str">
        <f>IFERROR(__xludf.DUMMYFUNCTION("""COMPUTED_VALUE"""),"товари")</f>
        <v>товари</v>
      </c>
      <c r="B367" s="13" t="str">
        <f>IFERROR(__xludf.DUMMYFUNCTION("""COMPUTED_VALUE"""),"нерухомість")</f>
        <v>нерухомість</v>
      </c>
      <c r="C367" s="15" t="str">
        <f>IFERROR(__xludf.DUMMYFUNCTION("""COMPUTED_VALUE"""),"каплиці")</f>
        <v>каплиці</v>
      </c>
      <c r="D367" s="15" t="str">
        <f>IFERROR(__xludf.DUMMYFUNCTION("""COMPUTED_VALUE"""),"каплиці")</f>
        <v>каплиці</v>
      </c>
      <c r="E367" s="15" t="str">
        <f>IFERROR(__xludf.DUMMYFUNCTION("""COMPUTED_VALUE"""),"каплиці")</f>
        <v>каплиці</v>
      </c>
      <c r="F367" s="17">
        <f>IFERROR(__xludf.DUMMYFUNCTION("""COMPUTED_VALUE"""),2.0)</f>
        <v>2</v>
      </c>
      <c r="G367" s="17">
        <f>IFERROR(__xludf.DUMMYFUNCTION("""COMPUTED_VALUE"""),172409.0)</f>
        <v>172409</v>
      </c>
      <c r="H367" s="17" t="str">
        <f>IFERROR(__xludf.DUMMYFUNCTION("""COMPUTED_VALUE"""),"каплиці")</f>
        <v>каплиці</v>
      </c>
      <c r="I367" s="18">
        <f>IFERROR(__xludf.DUMMYFUNCTION("""COMPUTED_VALUE"""),0.53)</f>
        <v>0.53</v>
      </c>
      <c r="J367" s="18">
        <f>IFERROR(__xludf.DUMMYFUNCTION("""COMPUTED_VALUE"""),1.05)</f>
        <v>1.05</v>
      </c>
      <c r="K367" s="18">
        <f>IFERROR(__xludf.DUMMYFUNCTION("""COMPUTED_VALUE"""),1.31)</f>
        <v>1.31</v>
      </c>
      <c r="L367" s="18">
        <f>IFERROR(__xludf.DUMMYFUNCTION("""COMPUTED_VALUE"""),2.1)</f>
        <v>2.1</v>
      </c>
    </row>
    <row r="368">
      <c r="A368" s="13" t="str">
        <f>IFERROR(__xludf.DUMMYFUNCTION("""COMPUTED_VALUE"""),"товари")</f>
        <v>товари</v>
      </c>
      <c r="B368" s="13" t="str">
        <f>IFERROR(__xludf.DUMMYFUNCTION("""COMPUTED_VALUE"""),"нерухомість")</f>
        <v>нерухомість</v>
      </c>
      <c r="C368" s="15" t="str">
        <f>IFERROR(__xludf.DUMMYFUNCTION("""COMPUTED_VALUE"""),"торгові будівлі та споруди")</f>
        <v>торгові будівлі та споруди</v>
      </c>
      <c r="D368" s="15" t="str">
        <f>IFERROR(__xludf.DUMMYFUNCTION("""COMPUTED_VALUE"""),"торгові будівлі та споруди")</f>
        <v>торгові будівлі та споруди</v>
      </c>
      <c r="E368" s="15" t="str">
        <f>IFERROR(__xludf.DUMMYFUNCTION("""COMPUTED_VALUE"""),"торгові будівлі та споруди")</f>
        <v>торгові будівлі та споруди</v>
      </c>
      <c r="F368" s="17">
        <f>IFERROR(__xludf.DUMMYFUNCTION("""COMPUTED_VALUE"""),2.0)</f>
        <v>2</v>
      </c>
      <c r="G368" s="17">
        <f>IFERROR(__xludf.DUMMYFUNCTION("""COMPUTED_VALUE"""),3106.0)</f>
        <v>3106</v>
      </c>
      <c r="H368" s="17" t="str">
        <f>IFERROR(__xludf.DUMMYFUNCTION("""COMPUTED_VALUE"""),"торгові будівлі та споруди")</f>
        <v>торгові будівлі та споруди</v>
      </c>
      <c r="I368" s="18">
        <f>IFERROR(__xludf.DUMMYFUNCTION("""COMPUTED_VALUE"""),0.53)</f>
        <v>0.53</v>
      </c>
      <c r="J368" s="18">
        <f>IFERROR(__xludf.DUMMYFUNCTION("""COMPUTED_VALUE"""),1.05)</f>
        <v>1.05</v>
      </c>
      <c r="K368" s="18">
        <f>IFERROR(__xludf.DUMMYFUNCTION("""COMPUTED_VALUE"""),1.31)</f>
        <v>1.31</v>
      </c>
      <c r="L368" s="18">
        <f>IFERROR(__xludf.DUMMYFUNCTION("""COMPUTED_VALUE"""),2.1)</f>
        <v>2.1</v>
      </c>
    </row>
    <row r="369">
      <c r="A369" s="13" t="str">
        <f>IFERROR(__xludf.DUMMYFUNCTION("""COMPUTED_VALUE"""),"товари")</f>
        <v>товари</v>
      </c>
      <c r="B369" s="13" t="str">
        <f>IFERROR(__xludf.DUMMYFUNCTION("""COMPUTED_VALUE"""),"обладнання та товари для надання послуг")</f>
        <v>обладнання та товари для надання послуг</v>
      </c>
      <c r="C369" s="15" t="str">
        <f>IFERROR(__xludf.DUMMYFUNCTION("""COMPUTED_VALUE"""),"обладнання для торгівлі")</f>
        <v>обладнання для торгівлі</v>
      </c>
      <c r="D369" s="15" t="str">
        <f>IFERROR(__xludf.DUMMYFUNCTION("""COMPUTED_VALUE"""),"касове/прикасове обладнання")</f>
        <v>касове/прикасове обладнання</v>
      </c>
      <c r="E369" s="15" t="str">
        <f>IFERROR(__xludf.DUMMYFUNCTION("""COMPUTED_VALUE"""),"pos-термінали, pos-системи")</f>
        <v>pos-термінали, pos-системи</v>
      </c>
      <c r="F369" s="17">
        <f>IFERROR(__xludf.DUMMYFUNCTION("""COMPUTED_VALUE"""),4.0)</f>
        <v>4</v>
      </c>
      <c r="G369" s="17">
        <f>IFERROR(__xludf.DUMMYFUNCTION("""COMPUTED_VALUE"""),282960.0)</f>
        <v>282960</v>
      </c>
      <c r="H369" s="17" t="str">
        <f>IFERROR(__xludf.DUMMYFUNCTION("""COMPUTED_VALUE"""),"pos-термінали, pos-системи")</f>
        <v>pos-термінали, pos-системи</v>
      </c>
      <c r="I369" s="18">
        <f>IFERROR(__xludf.DUMMYFUNCTION("""COMPUTED_VALUE"""),2.21)</f>
        <v>2.21</v>
      </c>
      <c r="J369" s="18">
        <f>IFERROR(__xludf.DUMMYFUNCTION("""COMPUTED_VALUE"""),4.43)</f>
        <v>4.43</v>
      </c>
      <c r="K369" s="18">
        <f>IFERROR(__xludf.DUMMYFUNCTION("""COMPUTED_VALUE"""),5.53)</f>
        <v>5.53</v>
      </c>
      <c r="L369" s="18">
        <f>IFERROR(__xludf.DUMMYFUNCTION("""COMPUTED_VALUE"""),8.85)</f>
        <v>8.85</v>
      </c>
    </row>
    <row r="370">
      <c r="A370" s="13" t="str">
        <f>IFERROR(__xludf.DUMMYFUNCTION("""COMPUTED_VALUE"""),"товари")</f>
        <v>товари</v>
      </c>
      <c r="B370" s="13" t="str">
        <f>IFERROR(__xludf.DUMMYFUNCTION("""COMPUTED_VALUE"""),"обладнання та товари для надання послуг")</f>
        <v>обладнання та товари для надання послуг</v>
      </c>
      <c r="C370" s="15" t="str">
        <f>IFERROR(__xludf.DUMMYFUNCTION("""COMPUTED_VALUE"""),"пральне обладнання")</f>
        <v>пральне обладнання</v>
      </c>
      <c r="D370" s="15" t="str">
        <f>IFERROR(__xludf.DUMMYFUNCTION("""COMPUTED_VALUE"""),"аксесуари для пралень")</f>
        <v>аксесуари для пралень</v>
      </c>
      <c r="E370" s="15" t="str">
        <f>IFERROR(__xludf.DUMMYFUNCTION("""COMPUTED_VALUE"""),"аксесуари для пралень")</f>
        <v>аксесуари для пралень</v>
      </c>
      <c r="F370" s="17">
        <f>IFERROR(__xludf.DUMMYFUNCTION("""COMPUTED_VALUE"""),3.0)</f>
        <v>3</v>
      </c>
      <c r="G370" s="17">
        <f>IFERROR(__xludf.DUMMYFUNCTION("""COMPUTED_VALUE"""),282926.0)</f>
        <v>282926</v>
      </c>
      <c r="H370" s="17" t="str">
        <f>IFERROR(__xludf.DUMMYFUNCTION("""COMPUTED_VALUE"""),"аксесуари для пралень")</f>
        <v>аксесуари для пралень</v>
      </c>
      <c r="I370" s="18">
        <f>IFERROR(__xludf.DUMMYFUNCTION("""COMPUTED_VALUE"""),1.04)</f>
        <v>1.04</v>
      </c>
      <c r="J370" s="18">
        <f>IFERROR(__xludf.DUMMYFUNCTION("""COMPUTED_VALUE"""),2.08)</f>
        <v>2.08</v>
      </c>
      <c r="K370" s="18">
        <f>IFERROR(__xludf.DUMMYFUNCTION("""COMPUTED_VALUE"""),2.59)</f>
        <v>2.59</v>
      </c>
      <c r="L370" s="18">
        <f>IFERROR(__xludf.DUMMYFUNCTION("""COMPUTED_VALUE"""),4.15)</f>
        <v>4.15</v>
      </c>
    </row>
    <row r="371">
      <c r="A371" s="13" t="str">
        <f>IFERROR(__xludf.DUMMYFUNCTION("""COMPUTED_VALUE"""),"товари")</f>
        <v>товари</v>
      </c>
      <c r="B371" s="13" t="str">
        <f>IFERROR(__xludf.DUMMYFUNCTION("""COMPUTED_VALUE"""),"обладнання та товари для надання послуг")</f>
        <v>обладнання та товари для надання послуг</v>
      </c>
      <c r="C371" s="15" t="str">
        <f>IFERROR(__xludf.DUMMYFUNCTION("""COMPUTED_VALUE"""),"обладнання для торгівлі")</f>
        <v>обладнання для торгівлі</v>
      </c>
      <c r="D371" s="15" t="str">
        <f>IFERROR(__xludf.DUMMYFUNCTION("""COMPUTED_VALUE"""),"теплове обладнання для вуличної торгівлі")</f>
        <v>теплове обладнання для вуличної торгівлі</v>
      </c>
      <c r="E371" s="15" t="str">
        <f>IFERROR(__xludf.DUMMYFUNCTION("""COMPUTED_VALUE"""),"апарати хот-дог та витратні матеріали")</f>
        <v>апарати хот-дог та витратні матеріали</v>
      </c>
      <c r="F371" s="17">
        <f>IFERROR(__xludf.DUMMYFUNCTION("""COMPUTED_VALUE"""),4.0)</f>
        <v>4</v>
      </c>
      <c r="G371" s="17">
        <f>IFERROR(__xludf.DUMMYFUNCTION("""COMPUTED_VALUE"""),2200914.0)</f>
        <v>2200914</v>
      </c>
      <c r="H371" s="17" t="str">
        <f>IFERROR(__xludf.DUMMYFUNCTION("""COMPUTED_VALUE"""),"апарати хот-дог та витратні матеріали")</f>
        <v>апарати хот-дог та витратні матеріали</v>
      </c>
      <c r="I371" s="18">
        <f>IFERROR(__xludf.DUMMYFUNCTION("""COMPUTED_VALUE"""),0.99)</f>
        <v>0.99</v>
      </c>
      <c r="J371" s="18">
        <f>IFERROR(__xludf.DUMMYFUNCTION("""COMPUTED_VALUE"""),1.98)</f>
        <v>1.98</v>
      </c>
      <c r="K371" s="18">
        <f>IFERROR(__xludf.DUMMYFUNCTION("""COMPUTED_VALUE"""),2.47)</f>
        <v>2.47</v>
      </c>
      <c r="L371" s="18">
        <f>IFERROR(__xludf.DUMMYFUNCTION("""COMPUTED_VALUE"""),3.95)</f>
        <v>3.95</v>
      </c>
    </row>
    <row r="372">
      <c r="A372" s="13" t="str">
        <f>IFERROR(__xludf.DUMMYFUNCTION("""COMPUTED_VALUE"""),"товари")</f>
        <v>товари</v>
      </c>
      <c r="B372" s="13" t="str">
        <f>IFERROR(__xludf.DUMMYFUNCTION("""COMPUTED_VALUE"""),"обладнання та товари для надання послуг")</f>
        <v>обладнання та товари для надання послуг</v>
      </c>
      <c r="C372" s="15" t="str">
        <f>IFERROR(__xludf.DUMMYFUNCTION("""COMPUTED_VALUE"""),"банківське обладнання")</f>
        <v>банківське обладнання</v>
      </c>
      <c r="D372" s="15" t="str">
        <f>IFERROR(__xludf.DUMMYFUNCTION("""COMPUTED_VALUE"""),"банківське обладнання, загальне")</f>
        <v>банківське обладнання, загальне</v>
      </c>
      <c r="E372" s="15" t="str">
        <f>IFERROR(__xludf.DUMMYFUNCTION("""COMPUTED_VALUE"""),"банківське обладнання, загальне")</f>
        <v>банківське обладнання, загальне</v>
      </c>
      <c r="F372" s="17">
        <f>IFERROR(__xludf.DUMMYFUNCTION("""COMPUTED_VALUE"""),3.0)</f>
        <v>3</v>
      </c>
      <c r="G372" s="17">
        <f>IFERROR(__xludf.DUMMYFUNCTION("""COMPUTED_VALUE"""),51099.0)</f>
        <v>51099</v>
      </c>
      <c r="H372" s="17" t="str">
        <f>IFERROR(__xludf.DUMMYFUNCTION("""COMPUTED_VALUE"""),"банківське обладнання, загальне")</f>
        <v>банківське обладнання, загальне</v>
      </c>
      <c r="I372" s="18">
        <f>IFERROR(__xludf.DUMMYFUNCTION("""COMPUTED_VALUE"""),2.16)</f>
        <v>2.16</v>
      </c>
      <c r="J372" s="18">
        <f>IFERROR(__xludf.DUMMYFUNCTION("""COMPUTED_VALUE"""),4.33)</f>
        <v>4.33</v>
      </c>
      <c r="K372" s="18">
        <f>IFERROR(__xludf.DUMMYFUNCTION("""COMPUTED_VALUE"""),5.41)</f>
        <v>5.41</v>
      </c>
      <c r="L372" s="18">
        <f>IFERROR(__xludf.DUMMYFUNCTION("""COMPUTED_VALUE"""),8.65)</f>
        <v>8.65</v>
      </c>
    </row>
    <row r="373">
      <c r="A373" s="13" t="str">
        <f>IFERROR(__xludf.DUMMYFUNCTION("""COMPUTED_VALUE"""),"товари")</f>
        <v>товари</v>
      </c>
      <c r="B373" s="13" t="str">
        <f>IFERROR(__xludf.DUMMYFUNCTION("""COMPUTED_VALUE"""),"обладнання та товари для надання послуг")</f>
        <v>обладнання та товари для надання послуг</v>
      </c>
      <c r="C373" s="15" t="str">
        <f>IFERROR(__xludf.DUMMYFUNCTION("""COMPUTED_VALUE"""),"банківське обладнання")</f>
        <v>банківське обладнання</v>
      </c>
      <c r="D373" s="15" t="str">
        <f>IFERROR(__xludf.DUMMYFUNCTION("""COMPUTED_VALUE"""),"банківські витратні матеріали")</f>
        <v>банківські витратні матеріали</v>
      </c>
      <c r="E373" s="15" t="str">
        <f>IFERROR(__xludf.DUMMYFUNCTION("""COMPUTED_VALUE"""),"банківські витратні матеріали")</f>
        <v>банківські витратні матеріали</v>
      </c>
      <c r="F373" s="17">
        <f>IFERROR(__xludf.DUMMYFUNCTION("""COMPUTED_VALUE"""),3.0)</f>
        <v>3</v>
      </c>
      <c r="G373" s="17">
        <f>IFERROR(__xludf.DUMMYFUNCTION("""COMPUTED_VALUE"""),51009.0)</f>
        <v>51009</v>
      </c>
      <c r="H373" s="17" t="str">
        <f>IFERROR(__xludf.DUMMYFUNCTION("""COMPUTED_VALUE"""),"банківські витратні матеріали")</f>
        <v>банківські витратні матеріали</v>
      </c>
      <c r="I373" s="18">
        <f>IFERROR(__xludf.DUMMYFUNCTION("""COMPUTED_VALUE"""),1.89)</f>
        <v>1.89</v>
      </c>
      <c r="J373" s="18">
        <f>IFERROR(__xludf.DUMMYFUNCTION("""COMPUTED_VALUE"""),3.78)</f>
        <v>3.78</v>
      </c>
      <c r="K373" s="18">
        <f>IFERROR(__xludf.DUMMYFUNCTION("""COMPUTED_VALUE"""),4.72)</f>
        <v>4.72</v>
      </c>
      <c r="L373" s="18">
        <f>IFERROR(__xludf.DUMMYFUNCTION("""COMPUTED_VALUE"""),7.55)</f>
        <v>7.55</v>
      </c>
    </row>
    <row r="374">
      <c r="A374" s="13" t="str">
        <f>IFERROR(__xludf.DUMMYFUNCTION("""COMPUTED_VALUE"""),"товари")</f>
        <v>товари</v>
      </c>
      <c r="B374" s="13" t="str">
        <f>IFERROR(__xludf.DUMMYFUNCTION("""COMPUTED_VALUE"""),"обладнання та товари для надання послуг")</f>
        <v>обладнання та товари для надання послуг</v>
      </c>
      <c r="C374" s="15" t="str">
        <f>IFERROR(__xludf.DUMMYFUNCTION("""COMPUTED_VALUE"""),"обладнання для автосервісу")</f>
        <v>обладнання для автосервісу</v>
      </c>
      <c r="D374" s="15" t="str">
        <f>IFERROR(__xludf.DUMMYFUNCTION("""COMPUTED_VALUE"""),"шиномонтажне обладнання")</f>
        <v>шиномонтажне обладнання</v>
      </c>
      <c r="E374" s="15" t="str">
        <f>IFERROR(__xludf.DUMMYFUNCTION("""COMPUTED_VALUE"""),"борторозширювачі")</f>
        <v>борторозширювачі</v>
      </c>
      <c r="F374" s="17">
        <f>IFERROR(__xludf.DUMMYFUNCTION("""COMPUTED_VALUE"""),4.0)</f>
        <v>4</v>
      </c>
      <c r="G374" s="17">
        <f>IFERROR(__xludf.DUMMYFUNCTION("""COMPUTED_VALUE"""),1.2110105E7)</f>
        <v>12110105</v>
      </c>
      <c r="H374" s="17" t="str">
        <f>IFERROR(__xludf.DUMMYFUNCTION("""COMPUTED_VALUE"""),"борторозширювачі")</f>
        <v>борторозширювачі</v>
      </c>
      <c r="I374" s="18">
        <f>IFERROR(__xludf.DUMMYFUNCTION("""COMPUTED_VALUE"""),1.62)</f>
        <v>1.62</v>
      </c>
      <c r="J374" s="18">
        <f>IFERROR(__xludf.DUMMYFUNCTION("""COMPUTED_VALUE"""),3.24)</f>
        <v>3.24</v>
      </c>
      <c r="K374" s="18">
        <f>IFERROR(__xludf.DUMMYFUNCTION("""COMPUTED_VALUE"""),4.05)</f>
        <v>4.05</v>
      </c>
      <c r="L374" s="18">
        <f>IFERROR(__xludf.DUMMYFUNCTION("""COMPUTED_VALUE"""),6.48)</f>
        <v>6.48</v>
      </c>
    </row>
    <row r="375">
      <c r="A375" s="13" t="str">
        <f>IFERROR(__xludf.DUMMYFUNCTION("""COMPUTED_VALUE"""),"товари")</f>
        <v>товари</v>
      </c>
      <c r="B375" s="13" t="str">
        <f>IFERROR(__xludf.DUMMYFUNCTION("""COMPUTED_VALUE"""),"обладнання та товари для надання послуг")</f>
        <v>обладнання та товари для надання послуг</v>
      </c>
      <c r="C375" s="15" t="str">
        <f>IFERROR(__xludf.DUMMYFUNCTION("""COMPUTED_VALUE"""),"обладнання для автосервісу")</f>
        <v>обладнання для автосервісу</v>
      </c>
      <c r="D375" s="15" t="str">
        <f>IFERROR(__xludf.DUMMYFUNCTION("""COMPUTED_VALUE"""),"шиномонтажне обладнання")</f>
        <v>шиномонтажне обладнання</v>
      </c>
      <c r="E375" s="15" t="str">
        <f>IFERROR(__xludf.DUMMYFUNCTION("""COMPUTED_VALUE"""),"ванни для перевірки коліс")</f>
        <v>ванни для перевірки коліс</v>
      </c>
      <c r="F375" s="17">
        <f>IFERROR(__xludf.DUMMYFUNCTION("""COMPUTED_VALUE"""),4.0)</f>
        <v>4</v>
      </c>
      <c r="G375" s="17">
        <f>IFERROR(__xludf.DUMMYFUNCTION("""COMPUTED_VALUE"""),1.2110106E7)</f>
        <v>12110106</v>
      </c>
      <c r="H375" s="17" t="str">
        <f>IFERROR(__xludf.DUMMYFUNCTION("""COMPUTED_VALUE"""),"ванни для перевірки коліс")</f>
        <v>ванни для перевірки коліс</v>
      </c>
      <c r="I375" s="18">
        <f>IFERROR(__xludf.DUMMYFUNCTION("""COMPUTED_VALUE"""),1.62)</f>
        <v>1.62</v>
      </c>
      <c r="J375" s="18">
        <f>IFERROR(__xludf.DUMMYFUNCTION("""COMPUTED_VALUE"""),3.24)</f>
        <v>3.24</v>
      </c>
      <c r="K375" s="18">
        <f>IFERROR(__xludf.DUMMYFUNCTION("""COMPUTED_VALUE"""),4.05)</f>
        <v>4.05</v>
      </c>
      <c r="L375" s="18">
        <f>IFERROR(__xludf.DUMMYFUNCTION("""COMPUTED_VALUE"""),6.48)</f>
        <v>6.48</v>
      </c>
    </row>
    <row r="376">
      <c r="A376" s="13" t="str">
        <f>IFERROR(__xludf.DUMMYFUNCTION("""COMPUTED_VALUE"""),"товари")</f>
        <v>товари</v>
      </c>
      <c r="B376" s="13" t="str">
        <f>IFERROR(__xludf.DUMMYFUNCTION("""COMPUTED_VALUE"""),"обладнання та товари для надання послуг")</f>
        <v>обладнання та товари для надання послуг</v>
      </c>
      <c r="C376" s="15" t="str">
        <f>IFERROR(__xludf.DUMMYFUNCTION("""COMPUTED_VALUE"""),"horeca&amp;fast-food")</f>
        <v>horeca&amp;fast-food</v>
      </c>
      <c r="D376" s="15" t="str">
        <f>IFERROR(__xludf.DUMMYFUNCTION("""COMPUTED_VALUE"""),"нейтральне обладнання horeca&amp;fast-food")</f>
        <v>нейтральне обладнання horeca&amp;fast-food</v>
      </c>
      <c r="E376" s="15" t="str">
        <f>IFERROR(__xludf.DUMMYFUNCTION("""COMPUTED_VALUE"""),"ванни мийні")</f>
        <v>ванни мийні</v>
      </c>
      <c r="F376" s="17">
        <f>IFERROR(__xludf.DUMMYFUNCTION("""COMPUTED_VALUE"""),4.0)</f>
        <v>4</v>
      </c>
      <c r="G376" s="17">
        <f>IFERROR(__xludf.DUMMYFUNCTION("""COMPUTED_VALUE"""),240617.0)</f>
        <v>240617</v>
      </c>
      <c r="H376" s="17" t="str">
        <f>IFERROR(__xludf.DUMMYFUNCTION("""COMPUTED_VALUE"""),"ванни мийні")</f>
        <v>ванни мийні</v>
      </c>
      <c r="I376" s="18">
        <f>IFERROR(__xludf.DUMMYFUNCTION("""COMPUTED_VALUE"""),2.16)</f>
        <v>2.16</v>
      </c>
      <c r="J376" s="18">
        <f>IFERROR(__xludf.DUMMYFUNCTION("""COMPUTED_VALUE"""),4.33)</f>
        <v>4.33</v>
      </c>
      <c r="K376" s="18">
        <f>IFERROR(__xludf.DUMMYFUNCTION("""COMPUTED_VALUE"""),5.41)</f>
        <v>5.41</v>
      </c>
      <c r="L376" s="18">
        <f>IFERROR(__xludf.DUMMYFUNCTION("""COMPUTED_VALUE"""),8.65)</f>
        <v>8.65</v>
      </c>
    </row>
    <row r="377">
      <c r="A377" s="13" t="str">
        <f>IFERROR(__xludf.DUMMYFUNCTION("""COMPUTED_VALUE"""),"товари")</f>
        <v>товари</v>
      </c>
      <c r="B377" s="13" t="str">
        <f>IFERROR(__xludf.DUMMYFUNCTION("""COMPUTED_VALUE"""),"обладнання та товари для надання послуг")</f>
        <v>обладнання та товари для надання послуг</v>
      </c>
      <c r="C377" s="15" t="str">
        <f>IFERROR(__xludf.DUMMYFUNCTION("""COMPUTED_VALUE"""),"вендінгове і розважальне обладнання")</f>
        <v>вендінгове і розважальне обладнання</v>
      </c>
      <c r="D377" s="15" t="str">
        <f>IFERROR(__xludf.DUMMYFUNCTION("""COMPUTED_VALUE"""),"вендінгове і розважальне обладнання, загальна")</f>
        <v>вендінгове і розважальне обладнання, загальна</v>
      </c>
      <c r="E377" s="15" t="str">
        <f>IFERROR(__xludf.DUMMYFUNCTION("""COMPUTED_VALUE"""),"вендінгове і розважальне обладнання, загальна")</f>
        <v>вендінгове і розважальне обладнання, загальна</v>
      </c>
      <c r="F377" s="17">
        <f>IFERROR(__xludf.DUMMYFUNCTION("""COMPUTED_VALUE"""),3.0)</f>
        <v>3</v>
      </c>
      <c r="G377" s="17">
        <f>IFERROR(__xludf.DUMMYFUNCTION("""COMPUTED_VALUE"""),283054.0)</f>
        <v>283054</v>
      </c>
      <c r="H377" s="17" t="str">
        <f>IFERROR(__xludf.DUMMYFUNCTION("""COMPUTED_VALUE"""),"вендінгове і розважальне обладнання, загальна")</f>
        <v>вендінгове і розважальне обладнання, загальна</v>
      </c>
      <c r="I377" s="18">
        <f>IFERROR(__xludf.DUMMYFUNCTION("""COMPUTED_VALUE"""),2.16)</f>
        <v>2.16</v>
      </c>
      <c r="J377" s="18">
        <f>IFERROR(__xludf.DUMMYFUNCTION("""COMPUTED_VALUE"""),4.33)</f>
        <v>4.33</v>
      </c>
      <c r="K377" s="18">
        <f>IFERROR(__xludf.DUMMYFUNCTION("""COMPUTED_VALUE"""),5.41)</f>
        <v>5.41</v>
      </c>
      <c r="L377" s="18">
        <f>IFERROR(__xludf.DUMMYFUNCTION("""COMPUTED_VALUE"""),8.65)</f>
        <v>8.65</v>
      </c>
    </row>
    <row r="378">
      <c r="A378" s="13" t="str">
        <f>IFERROR(__xludf.DUMMYFUNCTION("""COMPUTED_VALUE"""),"товари")</f>
        <v>товари</v>
      </c>
      <c r="B378" s="13" t="str">
        <f>IFERROR(__xludf.DUMMYFUNCTION("""COMPUTED_VALUE"""),"обладнання та товари для надання послуг")</f>
        <v>обладнання та товари для надання послуг</v>
      </c>
      <c r="C378" s="15" t="str">
        <f>IFERROR(__xludf.DUMMYFUNCTION("""COMPUTED_VALUE"""),"обладнання та матеріали для друкарні")</f>
        <v>обладнання та матеріали для друкарні</v>
      </c>
      <c r="D378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378" s="15" t="str">
        <f>IFERROR(__xludf.DUMMYFUNCTION("""COMPUTED_VALUE"""),"висікальне обладнання")</f>
        <v>висікальне обладнання</v>
      </c>
      <c r="F378" s="17">
        <f>IFERROR(__xludf.DUMMYFUNCTION("""COMPUTED_VALUE"""),4.0)</f>
        <v>4</v>
      </c>
      <c r="G378" s="17">
        <f>IFERROR(__xludf.DUMMYFUNCTION("""COMPUTED_VALUE"""),230919.0)</f>
        <v>230919</v>
      </c>
      <c r="H378" s="17" t="str">
        <f>IFERROR(__xludf.DUMMYFUNCTION("""COMPUTED_VALUE"""),"висікальне обладнання")</f>
        <v>висікальне обладнання</v>
      </c>
      <c r="I378" s="18">
        <f>IFERROR(__xludf.DUMMYFUNCTION("""COMPUTED_VALUE"""),1.62)</f>
        <v>1.62</v>
      </c>
      <c r="J378" s="18">
        <f>IFERROR(__xludf.DUMMYFUNCTION("""COMPUTED_VALUE"""),3.24)</f>
        <v>3.24</v>
      </c>
      <c r="K378" s="18">
        <f>IFERROR(__xludf.DUMMYFUNCTION("""COMPUTED_VALUE"""),4.05)</f>
        <v>4.05</v>
      </c>
      <c r="L378" s="18">
        <f>IFERROR(__xludf.DUMMYFUNCTION("""COMPUTED_VALUE"""),6.48)</f>
        <v>6.48</v>
      </c>
    </row>
    <row r="379">
      <c r="A379" s="13" t="str">
        <f>IFERROR(__xludf.DUMMYFUNCTION("""COMPUTED_VALUE"""),"товари")</f>
        <v>товари</v>
      </c>
      <c r="B379" s="13" t="str">
        <f>IFERROR(__xludf.DUMMYFUNCTION("""COMPUTED_VALUE"""),"обладнання та товари для надання послуг")</f>
        <v>обладнання та товари для надання послуг</v>
      </c>
      <c r="C379" s="15" t="str">
        <f>IFERROR(__xludf.DUMMYFUNCTION("""COMPUTED_VALUE"""),"обладнання та матеріали для друкарні")</f>
        <v>обладнання та матеріали для друкарні</v>
      </c>
      <c r="D379" s="15" t="str">
        <f>IFERROR(__xludf.DUMMYFUNCTION("""COMPUTED_VALUE"""),"витратні матеріали для поліграфії")</f>
        <v>витратні матеріали для поліграфії</v>
      </c>
      <c r="E379" s="15" t="str">
        <f>IFERROR(__xludf.DUMMYFUNCTION("""COMPUTED_VALUE"""),"витратні матеріали для поліграфії, загальне")</f>
        <v>витратні матеріали для поліграфії, загальне</v>
      </c>
      <c r="F379" s="17">
        <f>IFERROR(__xludf.DUMMYFUNCTION("""COMPUTED_VALUE"""),4.0)</f>
        <v>4</v>
      </c>
      <c r="G379" s="17">
        <f>IFERROR(__xludf.DUMMYFUNCTION("""COMPUTED_VALUE"""),230920.0)</f>
        <v>230920</v>
      </c>
      <c r="H379" s="17" t="str">
        <f>IFERROR(__xludf.DUMMYFUNCTION("""COMPUTED_VALUE"""),"витратні матеріали для поліграфії, загальне")</f>
        <v>витратні матеріали для поліграфії, загальне</v>
      </c>
      <c r="I379" s="18">
        <f>IFERROR(__xludf.DUMMYFUNCTION("""COMPUTED_VALUE"""),2.16)</f>
        <v>2.16</v>
      </c>
      <c r="J379" s="18">
        <f>IFERROR(__xludf.DUMMYFUNCTION("""COMPUTED_VALUE"""),4.33)</f>
        <v>4.33</v>
      </c>
      <c r="K379" s="18">
        <f>IFERROR(__xludf.DUMMYFUNCTION("""COMPUTED_VALUE"""),5.41)</f>
        <v>5.41</v>
      </c>
      <c r="L379" s="18">
        <f>IFERROR(__xludf.DUMMYFUNCTION("""COMPUTED_VALUE"""),8.65)</f>
        <v>8.65</v>
      </c>
    </row>
    <row r="380">
      <c r="A380" s="13" t="str">
        <f>IFERROR(__xludf.DUMMYFUNCTION("""COMPUTED_VALUE"""),"товари")</f>
        <v>товари</v>
      </c>
      <c r="B380" s="13" t="str">
        <f>IFERROR(__xludf.DUMMYFUNCTION("""COMPUTED_VALUE"""),"обладнання та товари для надання послуг")</f>
        <v>обладнання та товари для надання послуг</v>
      </c>
      <c r="C380" s="15" t="str">
        <f>IFERROR(__xludf.DUMMYFUNCTION("""COMPUTED_VALUE"""),"horeca&amp;fast-food")</f>
        <v>horeca&amp;fast-food</v>
      </c>
      <c r="D380" s="15" t="str">
        <f>IFERROR(__xludf.DUMMYFUNCTION("""COMPUTED_VALUE"""),"нейтральне обладнання horeca&amp;fast-food")</f>
        <v>нейтральне обладнання horeca&amp;fast-food</v>
      </c>
      <c r="E380" s="15" t="str">
        <f>IFERROR(__xludf.DUMMYFUNCTION("""COMPUTED_VALUE"""),"візки для horeca")</f>
        <v>візки для horeca</v>
      </c>
      <c r="F380" s="17">
        <f>IFERROR(__xludf.DUMMYFUNCTION("""COMPUTED_VALUE"""),4.0)</f>
        <v>4</v>
      </c>
      <c r="G380" s="17">
        <f>IFERROR(__xludf.DUMMYFUNCTION("""COMPUTED_VALUE"""),2200928.0)</f>
        <v>2200928</v>
      </c>
      <c r="H380" s="17" t="str">
        <f>IFERROR(__xludf.DUMMYFUNCTION("""COMPUTED_VALUE"""),"візки для horeca")</f>
        <v>візки для horeca</v>
      </c>
      <c r="I380" s="18">
        <f>IFERROR(__xludf.DUMMYFUNCTION("""COMPUTED_VALUE"""),2.16)</f>
        <v>2.16</v>
      </c>
      <c r="J380" s="18">
        <f>IFERROR(__xludf.DUMMYFUNCTION("""COMPUTED_VALUE"""),4.33)</f>
        <v>4.33</v>
      </c>
      <c r="K380" s="18">
        <f>IFERROR(__xludf.DUMMYFUNCTION("""COMPUTED_VALUE"""),5.41)</f>
        <v>5.41</v>
      </c>
      <c r="L380" s="18">
        <f>IFERROR(__xludf.DUMMYFUNCTION("""COMPUTED_VALUE"""),8.65)</f>
        <v>8.65</v>
      </c>
    </row>
    <row r="381">
      <c r="A381" s="13" t="str">
        <f>IFERROR(__xludf.DUMMYFUNCTION("""COMPUTED_VALUE"""),"товари")</f>
        <v>товари</v>
      </c>
      <c r="B381" s="13" t="str">
        <f>IFERROR(__xludf.DUMMYFUNCTION("""COMPUTED_VALUE"""),"обладнання та товари для надання послуг")</f>
        <v>обладнання та товари для надання послуг</v>
      </c>
      <c r="C381" s="15" t="str">
        <f>IFERROR(__xludf.DUMMYFUNCTION("""COMPUTED_VALUE"""),"обладнання для автосервісу")</f>
        <v>обладнання для автосервісу</v>
      </c>
      <c r="D381" s="15" t="str">
        <f>IFERROR(__xludf.DUMMYFUNCTION("""COMPUTED_VALUE"""),"шиномонтажне обладнання")</f>
        <v>шиномонтажне обладнання</v>
      </c>
      <c r="E381" s="15" t="str">
        <f>IFERROR(__xludf.DUMMYFUNCTION("""COMPUTED_VALUE"""),"візки, підставки для коліс")</f>
        <v>візки, підставки для коліс</v>
      </c>
      <c r="F381" s="17">
        <f>IFERROR(__xludf.DUMMYFUNCTION("""COMPUTED_VALUE"""),4.0)</f>
        <v>4</v>
      </c>
      <c r="G381" s="17">
        <f>IFERROR(__xludf.DUMMYFUNCTION("""COMPUTED_VALUE"""),1.2110113E7)</f>
        <v>12110113</v>
      </c>
      <c r="H381" s="17" t="str">
        <f>IFERROR(__xludf.DUMMYFUNCTION("""COMPUTED_VALUE"""),"візки, підставки для коліс")</f>
        <v>візки, підставки для коліс</v>
      </c>
      <c r="I381" s="18">
        <f>IFERROR(__xludf.DUMMYFUNCTION("""COMPUTED_VALUE"""),1.62)</f>
        <v>1.62</v>
      </c>
      <c r="J381" s="18">
        <f>IFERROR(__xludf.DUMMYFUNCTION("""COMPUTED_VALUE"""),3.24)</f>
        <v>3.24</v>
      </c>
      <c r="K381" s="18">
        <f>IFERROR(__xludf.DUMMYFUNCTION("""COMPUTED_VALUE"""),4.05)</f>
        <v>4.05</v>
      </c>
      <c r="L381" s="18">
        <f>IFERROR(__xludf.DUMMYFUNCTION("""COMPUTED_VALUE"""),6.48)</f>
        <v>6.48</v>
      </c>
    </row>
    <row r="382">
      <c r="A382" s="13" t="str">
        <f>IFERROR(__xludf.DUMMYFUNCTION("""COMPUTED_VALUE"""),"товари")</f>
        <v>товари</v>
      </c>
      <c r="B382" s="13" t="str">
        <f>IFERROR(__xludf.DUMMYFUNCTION("""COMPUTED_VALUE"""),"обладнання та товари для надання послуг")</f>
        <v>обладнання та товари для надання послуг</v>
      </c>
      <c r="C382" s="15" t="str">
        <f>IFERROR(__xludf.DUMMYFUNCTION("""COMPUTED_VALUE"""),"товари для спортивної інфраструктури")</f>
        <v>товари для спортивної інфраструктури</v>
      </c>
      <c r="D382" s="15" t="str">
        <f>IFERROR(__xludf.DUMMYFUNCTION("""COMPUTED_VALUE"""),"професійні тренажери")</f>
        <v>професійні тренажери</v>
      </c>
      <c r="E382" s="15" t="str">
        <f>IFERROR(__xludf.DUMMYFUNCTION("""COMPUTED_VALUE"""),"вуличні тренажери, комплекси")</f>
        <v>вуличні тренажери, комплекси</v>
      </c>
      <c r="F382" s="17">
        <f>IFERROR(__xludf.DUMMYFUNCTION("""COMPUTED_VALUE"""),4.0)</f>
        <v>4</v>
      </c>
      <c r="G382" s="17">
        <f>IFERROR(__xludf.DUMMYFUNCTION("""COMPUTED_VALUE"""),200921.0)</f>
        <v>200921</v>
      </c>
      <c r="H382" s="17" t="str">
        <f>IFERROR(__xludf.DUMMYFUNCTION("""COMPUTED_VALUE"""),"вуличні тренажери, комплекси")</f>
        <v>вуличні тренажери, комплекси</v>
      </c>
      <c r="I382" s="18">
        <f>IFERROR(__xludf.DUMMYFUNCTION("""COMPUTED_VALUE"""),1.62)</f>
        <v>1.62</v>
      </c>
      <c r="J382" s="18">
        <f>IFERROR(__xludf.DUMMYFUNCTION("""COMPUTED_VALUE"""),3.24)</f>
        <v>3.24</v>
      </c>
      <c r="K382" s="18">
        <f>IFERROR(__xludf.DUMMYFUNCTION("""COMPUTED_VALUE"""),4.05)</f>
        <v>4.05</v>
      </c>
      <c r="L382" s="18">
        <f>IFERROR(__xludf.DUMMYFUNCTION("""COMPUTED_VALUE"""),6.48)</f>
        <v>6.48</v>
      </c>
    </row>
    <row r="383">
      <c r="A383" s="13" t="str">
        <f>IFERROR(__xludf.DUMMYFUNCTION("""COMPUTED_VALUE"""),"товари")</f>
        <v>товари</v>
      </c>
      <c r="B383" s="13" t="str">
        <f>IFERROR(__xludf.DUMMYFUNCTION("""COMPUTED_VALUE"""),"обладнання та товари для надання послуг")</f>
        <v>обладнання та товари для надання послуг</v>
      </c>
      <c r="C383" s="15" t="str">
        <f>IFERROR(__xludf.DUMMYFUNCTION("""COMPUTED_VALUE"""),"обладнання для автосервісу")</f>
        <v>обладнання для автосервісу</v>
      </c>
      <c r="D383" s="15" t="str">
        <f>IFERROR(__xludf.DUMMYFUNCTION("""COMPUTED_VALUE"""),"шиномонтажне обладнання")</f>
        <v>шиномонтажне обладнання</v>
      </c>
      <c r="E383" s="15" t="str">
        <f>IFERROR(__xludf.DUMMYFUNCTION("""COMPUTED_VALUE"""),"вулканізатори для автомобільних шин і камер")</f>
        <v>вулканізатори для автомобільних шин і камер</v>
      </c>
      <c r="F383" s="17">
        <f>IFERROR(__xludf.DUMMYFUNCTION("""COMPUTED_VALUE"""),4.0)</f>
        <v>4</v>
      </c>
      <c r="G383" s="17">
        <f>IFERROR(__xludf.DUMMYFUNCTION("""COMPUTED_VALUE"""),1.2110109E7)</f>
        <v>12110109</v>
      </c>
      <c r="H383" s="17" t="str">
        <f>IFERROR(__xludf.DUMMYFUNCTION("""COMPUTED_VALUE"""),"вулканізатори для автомобільних шин і камер")</f>
        <v>вулканізатори для автомобільних шин і камер</v>
      </c>
      <c r="I383" s="18">
        <f>IFERROR(__xludf.DUMMYFUNCTION("""COMPUTED_VALUE"""),1.62)</f>
        <v>1.62</v>
      </c>
      <c r="J383" s="18">
        <f>IFERROR(__xludf.DUMMYFUNCTION("""COMPUTED_VALUE"""),3.24)</f>
        <v>3.24</v>
      </c>
      <c r="K383" s="18">
        <f>IFERROR(__xludf.DUMMYFUNCTION("""COMPUTED_VALUE"""),4.05)</f>
        <v>4.05</v>
      </c>
      <c r="L383" s="18">
        <f>IFERROR(__xludf.DUMMYFUNCTION("""COMPUTED_VALUE"""),6.48)</f>
        <v>6.48</v>
      </c>
    </row>
    <row r="384">
      <c r="A384" s="13" t="str">
        <f>IFERROR(__xludf.DUMMYFUNCTION("""COMPUTED_VALUE"""),"товари")</f>
        <v>товари</v>
      </c>
      <c r="B384" s="13" t="str">
        <f>IFERROR(__xludf.DUMMYFUNCTION("""COMPUTED_VALUE"""),"обладнання та товари для надання послуг")</f>
        <v>обладнання та товари для надання послуг</v>
      </c>
      <c r="C384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384" s="15" t="str">
        <f>IFERROR(__xludf.DUMMYFUNCTION("""COMPUTED_VALUE"""),"готові пневмоконструкції")</f>
        <v>готові пневмоконструкції</v>
      </c>
      <c r="E384" s="15" t="str">
        <f>IFERROR(__xludf.DUMMYFUNCTION("""COMPUTED_VALUE"""),"готові пневмоконструкції")</f>
        <v>готові пневмоконструкції</v>
      </c>
      <c r="F384" s="17">
        <f>IFERROR(__xludf.DUMMYFUNCTION("""COMPUTED_VALUE"""),3.0)</f>
        <v>3</v>
      </c>
      <c r="G384" s="17">
        <f>IFERROR(__xludf.DUMMYFUNCTION("""COMPUTED_VALUE"""),281978.0)</f>
        <v>281978</v>
      </c>
      <c r="H384" s="17" t="str">
        <f>IFERROR(__xludf.DUMMYFUNCTION("""COMPUTED_VALUE"""),"готові пневмоконструкції")</f>
        <v>готові пневмоконструкції</v>
      </c>
      <c r="I384" s="18">
        <f>IFERROR(__xludf.DUMMYFUNCTION("""COMPUTED_VALUE"""),1.08)</f>
        <v>1.08</v>
      </c>
      <c r="J384" s="18">
        <f>IFERROR(__xludf.DUMMYFUNCTION("""COMPUTED_VALUE"""),2.16)</f>
        <v>2.16</v>
      </c>
      <c r="K384" s="18">
        <f>IFERROR(__xludf.DUMMYFUNCTION("""COMPUTED_VALUE"""),2.7)</f>
        <v>2.7</v>
      </c>
      <c r="L384" s="18">
        <f>IFERROR(__xludf.DUMMYFUNCTION("""COMPUTED_VALUE"""),4.33)</f>
        <v>4.33</v>
      </c>
    </row>
    <row r="385">
      <c r="A385" s="13" t="str">
        <f>IFERROR(__xludf.DUMMYFUNCTION("""COMPUTED_VALUE"""),"товари")</f>
        <v>товари</v>
      </c>
      <c r="B385" s="13" t="str">
        <f>IFERROR(__xludf.DUMMYFUNCTION("""COMPUTED_VALUE"""),"обладнання та товари для надання послуг")</f>
        <v>обладнання та товари для надання послуг</v>
      </c>
      <c r="C385" s="15" t="str">
        <f>IFERROR(__xludf.DUMMYFUNCTION("""COMPUTED_VALUE"""),"вендінгове і розважальне обладнання")</f>
        <v>вендінгове і розважальне обладнання</v>
      </c>
      <c r="D385" s="15" t="str">
        <f>IFERROR(__xludf.DUMMYFUNCTION("""COMPUTED_VALUE"""),"гральні автомати")</f>
        <v>гральні автомати</v>
      </c>
      <c r="E385" s="15" t="str">
        <f>IFERROR(__xludf.DUMMYFUNCTION("""COMPUTED_VALUE"""),"гральні автомати")</f>
        <v>гральні автомати</v>
      </c>
      <c r="F385" s="17">
        <f>IFERROR(__xludf.DUMMYFUNCTION("""COMPUTED_VALUE"""),3.0)</f>
        <v>3</v>
      </c>
      <c r="G385" s="17">
        <f>IFERROR(__xludf.DUMMYFUNCTION("""COMPUTED_VALUE"""),282905.0)</f>
        <v>282905</v>
      </c>
      <c r="H385" s="17" t="str">
        <f>IFERROR(__xludf.DUMMYFUNCTION("""COMPUTED_VALUE"""),"гральні автомати")</f>
        <v>гральні автомати</v>
      </c>
      <c r="I385" s="18">
        <f>IFERROR(__xludf.DUMMYFUNCTION("""COMPUTED_VALUE"""),0.53)</f>
        <v>0.53</v>
      </c>
      <c r="J385" s="18">
        <f>IFERROR(__xludf.DUMMYFUNCTION("""COMPUTED_VALUE"""),1.05)</f>
        <v>1.05</v>
      </c>
      <c r="K385" s="18">
        <f>IFERROR(__xludf.DUMMYFUNCTION("""COMPUTED_VALUE"""),1.31)</f>
        <v>1.31</v>
      </c>
      <c r="L385" s="18">
        <f>IFERROR(__xludf.DUMMYFUNCTION("""COMPUTED_VALUE"""),2.1)</f>
        <v>2.1</v>
      </c>
    </row>
    <row r="386">
      <c r="A386" s="13" t="str">
        <f>IFERROR(__xludf.DUMMYFUNCTION("""COMPUTED_VALUE"""),"товари")</f>
        <v>товари</v>
      </c>
      <c r="B386" s="13" t="str">
        <f>IFERROR(__xludf.DUMMYFUNCTION("""COMPUTED_VALUE"""),"обладнання та товари для надання послуг")</f>
        <v>обладнання та товари для надання послуг</v>
      </c>
      <c r="C386" s="15" t="str">
        <f>IFERROR(__xludf.DUMMYFUNCTION("""COMPUTED_VALUE"""),"банківське обладнання")</f>
        <v>банківське обладнання</v>
      </c>
      <c r="D386" s="15" t="str">
        <f>IFERROR(__xludf.DUMMYFUNCTION("""COMPUTED_VALUE"""),"депозитні скриньки")</f>
        <v>депозитні скриньки</v>
      </c>
      <c r="E386" s="15" t="str">
        <f>IFERROR(__xludf.DUMMYFUNCTION("""COMPUTED_VALUE"""),"депозитні скриньки")</f>
        <v>депозитні скриньки</v>
      </c>
      <c r="F386" s="17">
        <f>IFERROR(__xludf.DUMMYFUNCTION("""COMPUTED_VALUE"""),3.0)</f>
        <v>3</v>
      </c>
      <c r="G386" s="17">
        <f>IFERROR(__xludf.DUMMYFUNCTION("""COMPUTED_VALUE"""),51008.0)</f>
        <v>51008</v>
      </c>
      <c r="H386" s="17" t="str">
        <f>IFERROR(__xludf.DUMMYFUNCTION("""COMPUTED_VALUE"""),"депозитні скриньки")</f>
        <v>депозитні скриньки</v>
      </c>
      <c r="I386" s="18">
        <f>IFERROR(__xludf.DUMMYFUNCTION("""COMPUTED_VALUE"""),1.58)</f>
        <v>1.58</v>
      </c>
      <c r="J386" s="18">
        <f>IFERROR(__xludf.DUMMYFUNCTION("""COMPUTED_VALUE"""),3.15)</f>
        <v>3.15</v>
      </c>
      <c r="K386" s="18">
        <f>IFERROR(__xludf.DUMMYFUNCTION("""COMPUTED_VALUE"""),3.94)</f>
        <v>3.94</v>
      </c>
      <c r="L386" s="18">
        <f>IFERROR(__xludf.DUMMYFUNCTION("""COMPUTED_VALUE"""),6.3)</f>
        <v>6.3</v>
      </c>
    </row>
    <row r="387">
      <c r="A387" s="13" t="str">
        <f>IFERROR(__xludf.DUMMYFUNCTION("""COMPUTED_VALUE"""),"товари")</f>
        <v>товари</v>
      </c>
      <c r="B387" s="13" t="str">
        <f>IFERROR(__xludf.DUMMYFUNCTION("""COMPUTED_VALUE"""),"обладнання та товари для надання послуг")</f>
        <v>обладнання та товари для надання послуг</v>
      </c>
      <c r="C387" s="15" t="str">
        <f>IFERROR(__xludf.DUMMYFUNCTION("""COMPUTED_VALUE"""),"вендінгове і розважальне обладнання")</f>
        <v>вендінгове і розважальне обладнання</v>
      </c>
      <c r="D387" s="15" t="str">
        <f>IFERROR(__xludf.DUMMYFUNCTION("""COMPUTED_VALUE"""),"обладнання для заходів і клубів")</f>
        <v>обладнання для заходів і клубів</v>
      </c>
      <c r="E387" s="15" t="str">
        <f>IFERROR(__xludf.DUMMYFUNCTION("""COMPUTED_VALUE"""),"дзеркальні кулі")</f>
        <v>дзеркальні кулі</v>
      </c>
      <c r="F387" s="17">
        <f>IFERROR(__xludf.DUMMYFUNCTION("""COMPUTED_VALUE"""),4.0)</f>
        <v>4</v>
      </c>
      <c r="G387" s="17">
        <f>IFERROR(__xludf.DUMMYFUNCTION("""COMPUTED_VALUE"""),283017.0)</f>
        <v>283017</v>
      </c>
      <c r="H387" s="17" t="str">
        <f>IFERROR(__xludf.DUMMYFUNCTION("""COMPUTED_VALUE"""),"дзеркальні кулі")</f>
        <v>дзеркальні кулі</v>
      </c>
      <c r="I387" s="18">
        <f>IFERROR(__xludf.DUMMYFUNCTION("""COMPUTED_VALUE"""),1.31)</f>
        <v>1.31</v>
      </c>
      <c r="J387" s="18">
        <f>IFERROR(__xludf.DUMMYFUNCTION("""COMPUTED_VALUE"""),2.61)</f>
        <v>2.61</v>
      </c>
      <c r="K387" s="18">
        <f>IFERROR(__xludf.DUMMYFUNCTION("""COMPUTED_VALUE"""),3.27)</f>
        <v>3.27</v>
      </c>
      <c r="L387" s="18">
        <f>IFERROR(__xludf.DUMMYFUNCTION("""COMPUTED_VALUE"""),5.23)</f>
        <v>5.23</v>
      </c>
    </row>
    <row r="388">
      <c r="A388" s="13" t="str">
        <f>IFERROR(__xludf.DUMMYFUNCTION("""COMPUTED_VALUE"""),"товари")</f>
        <v>товари</v>
      </c>
      <c r="B388" s="13" t="str">
        <f>IFERROR(__xludf.DUMMYFUNCTION("""COMPUTED_VALUE"""),"обладнання та товари для надання послуг")</f>
        <v>обладнання та товари для надання послуг</v>
      </c>
      <c r="C388" s="15" t="str">
        <f>IFERROR(__xludf.DUMMYFUNCTION("""COMPUTED_VALUE"""),"обладнання для автосервісу")</f>
        <v>обладнання для автосервісу</v>
      </c>
      <c r="D388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388" s="15" t="str">
        <f>IFERROR(__xludf.DUMMYFUNCTION("""COMPUTED_VALUE"""),"димоміри портативні")</f>
        <v>димоміри портативні</v>
      </c>
      <c r="F388" s="17">
        <f>IFERROR(__xludf.DUMMYFUNCTION("""COMPUTED_VALUE"""),4.0)</f>
        <v>4</v>
      </c>
      <c r="G388" s="17">
        <f>IFERROR(__xludf.DUMMYFUNCTION("""COMPUTED_VALUE"""),1.2110602E7)</f>
        <v>12110602</v>
      </c>
      <c r="H388" s="17" t="str">
        <f>IFERROR(__xludf.DUMMYFUNCTION("""COMPUTED_VALUE"""),"димоміри портативні")</f>
        <v>димоміри портативні</v>
      </c>
      <c r="I388" s="18">
        <f>IFERROR(__xludf.DUMMYFUNCTION("""COMPUTED_VALUE"""),1.95)</f>
        <v>1.95</v>
      </c>
      <c r="J388" s="18">
        <f>IFERROR(__xludf.DUMMYFUNCTION("""COMPUTED_VALUE"""),3.9)</f>
        <v>3.9</v>
      </c>
      <c r="K388" s="18">
        <f>IFERROR(__xludf.DUMMYFUNCTION("""COMPUTED_VALUE"""),4.88)</f>
        <v>4.88</v>
      </c>
      <c r="L388" s="18">
        <f>IFERROR(__xludf.DUMMYFUNCTION("""COMPUTED_VALUE"""),7.8)</f>
        <v>7.8</v>
      </c>
    </row>
    <row r="389">
      <c r="A389" s="13" t="str">
        <f>IFERROR(__xludf.DUMMYFUNCTION("""COMPUTED_VALUE"""),"товари")</f>
        <v>товари</v>
      </c>
      <c r="B389" s="13" t="str">
        <f>IFERROR(__xludf.DUMMYFUNCTION("""COMPUTED_VALUE"""),"обладнання та товари для надання послуг")</f>
        <v>обладнання та товари для надання послуг</v>
      </c>
      <c r="C389" s="15" t="str">
        <f>IFERROR(__xludf.DUMMYFUNCTION("""COMPUTED_VALUE"""),"обладнання для торгівлі")</f>
        <v>обладнання для торгівлі</v>
      </c>
      <c r="D389" s="15" t="str">
        <f>IFERROR(__xludf.DUMMYFUNCTION("""COMPUTED_VALUE"""),"касове/прикасове обладнання")</f>
        <v>касове/прикасове обладнання</v>
      </c>
      <c r="E389" s="15" t="str">
        <f>IFERROR(__xludf.DUMMYFUNCTION("""COMPUTED_VALUE"""),"дисплеї покупця")</f>
        <v>дисплеї покупця</v>
      </c>
      <c r="F389" s="17">
        <f>IFERROR(__xludf.DUMMYFUNCTION("""COMPUTED_VALUE"""),4.0)</f>
        <v>4</v>
      </c>
      <c r="G389" s="17">
        <f>IFERROR(__xludf.DUMMYFUNCTION("""COMPUTED_VALUE"""),283005.0)</f>
        <v>283005</v>
      </c>
      <c r="H389" s="17" t="str">
        <f>IFERROR(__xludf.DUMMYFUNCTION("""COMPUTED_VALUE"""),"дисплеї покупця")</f>
        <v>дисплеї покупця</v>
      </c>
      <c r="I389" s="18">
        <f>IFERROR(__xludf.DUMMYFUNCTION("""COMPUTED_VALUE"""),2.21)</f>
        <v>2.21</v>
      </c>
      <c r="J389" s="18">
        <f>IFERROR(__xludf.DUMMYFUNCTION("""COMPUTED_VALUE"""),4.43)</f>
        <v>4.43</v>
      </c>
      <c r="K389" s="18">
        <f>IFERROR(__xludf.DUMMYFUNCTION("""COMPUTED_VALUE"""),5.53)</f>
        <v>5.53</v>
      </c>
      <c r="L389" s="18">
        <f>IFERROR(__xludf.DUMMYFUNCTION("""COMPUTED_VALUE"""),8.85)</f>
        <v>8.85</v>
      </c>
    </row>
    <row r="390">
      <c r="A390" s="13" t="str">
        <f>IFERROR(__xludf.DUMMYFUNCTION("""COMPUTED_VALUE"""),"товари")</f>
        <v>товари</v>
      </c>
      <c r="B390" s="13" t="str">
        <f>IFERROR(__xludf.DUMMYFUNCTION("""COMPUTED_VALUE"""),"обладнання та товари для надання послуг")</f>
        <v>обладнання та товари для надання послуг</v>
      </c>
      <c r="C390" s="15" t="str">
        <f>IFERROR(__xludf.DUMMYFUNCTION("""COMPUTED_VALUE"""),"обладнання для автосервісу")</f>
        <v>обладнання для автосервісу</v>
      </c>
      <c r="D390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390" s="15" t="str">
        <f>IFERROR(__xludf.DUMMYFUNCTION("""COMPUTED_VALUE"""),"діагностичні лінії")</f>
        <v>діагностичні лінії</v>
      </c>
      <c r="F390" s="17">
        <f>IFERROR(__xludf.DUMMYFUNCTION("""COMPUTED_VALUE"""),4.0)</f>
        <v>4</v>
      </c>
      <c r="G390" s="17">
        <f>IFERROR(__xludf.DUMMYFUNCTION("""COMPUTED_VALUE"""),1.2110607E7)</f>
        <v>12110607</v>
      </c>
      <c r="H390" s="17" t="str">
        <f>IFERROR(__xludf.DUMMYFUNCTION("""COMPUTED_VALUE"""),"діагностичні лінії")</f>
        <v>діагностичні лінії</v>
      </c>
      <c r="I390" s="18">
        <f>IFERROR(__xludf.DUMMYFUNCTION("""COMPUTED_VALUE"""),1.95)</f>
        <v>1.95</v>
      </c>
      <c r="J390" s="18">
        <f>IFERROR(__xludf.DUMMYFUNCTION("""COMPUTED_VALUE"""),3.9)</f>
        <v>3.9</v>
      </c>
      <c r="K390" s="18">
        <f>IFERROR(__xludf.DUMMYFUNCTION("""COMPUTED_VALUE"""),4.88)</f>
        <v>4.88</v>
      </c>
      <c r="L390" s="18">
        <f>IFERROR(__xludf.DUMMYFUNCTION("""COMPUTED_VALUE"""),7.8)</f>
        <v>7.8</v>
      </c>
    </row>
    <row r="391">
      <c r="A391" s="13" t="str">
        <f>IFERROR(__xludf.DUMMYFUNCTION("""COMPUTED_VALUE"""),"товари")</f>
        <v>товари</v>
      </c>
      <c r="B391" s="13" t="str">
        <f>IFERROR(__xludf.DUMMYFUNCTION("""COMPUTED_VALUE"""),"обладнання та товари для надання послуг")</f>
        <v>обладнання та товари для надання послуг</v>
      </c>
      <c r="C391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391" s="15" t="str">
        <f>IFERROR(__xludf.DUMMYFUNCTION("""COMPUTED_VALUE"""),"електронні табло та комплектуючі до них")</f>
        <v>електронні табло та комплектуючі до них</v>
      </c>
      <c r="E391" s="15" t="str">
        <f>IFERROR(__xludf.DUMMYFUNCTION("""COMPUTED_VALUE"""),"електронні табло та комплектуючі до них")</f>
        <v>електронні табло та комплектуючі до них</v>
      </c>
      <c r="F391" s="17">
        <f>IFERROR(__xludf.DUMMYFUNCTION("""COMPUTED_VALUE"""),3.0)</f>
        <v>3</v>
      </c>
      <c r="G391" s="17">
        <f>IFERROR(__xludf.DUMMYFUNCTION("""COMPUTED_VALUE"""),150407.0)</f>
        <v>150407</v>
      </c>
      <c r="H391" s="17" t="str">
        <f>IFERROR(__xludf.DUMMYFUNCTION("""COMPUTED_VALUE"""),"електронні табло та комплектуючі до них")</f>
        <v>електронні табло та комплектуючі до них</v>
      </c>
      <c r="I391" s="18">
        <f>IFERROR(__xludf.DUMMYFUNCTION("""COMPUTED_VALUE"""),2.18)</f>
        <v>2.18</v>
      </c>
      <c r="J391" s="18">
        <f>IFERROR(__xludf.DUMMYFUNCTION("""COMPUTED_VALUE"""),4.35)</f>
        <v>4.35</v>
      </c>
      <c r="K391" s="18">
        <f>IFERROR(__xludf.DUMMYFUNCTION("""COMPUTED_VALUE"""),5.44)</f>
        <v>5.44</v>
      </c>
      <c r="L391" s="18">
        <f>IFERROR(__xludf.DUMMYFUNCTION("""COMPUTED_VALUE"""),8.7)</f>
        <v>8.7</v>
      </c>
    </row>
    <row r="392">
      <c r="A392" s="13" t="str">
        <f>IFERROR(__xludf.DUMMYFUNCTION("""COMPUTED_VALUE"""),"товари")</f>
        <v>товари</v>
      </c>
      <c r="B392" s="13" t="str">
        <f>IFERROR(__xludf.DUMMYFUNCTION("""COMPUTED_VALUE"""),"обладнання та товари для надання послуг")</f>
        <v>обладнання та товари для надання послуг</v>
      </c>
      <c r="C392" s="16" t="str">
        <f>IFERROR(__xludf.DUMMYFUNCTION("""COMPUTED_VALUE"""),"обладнання для автосервісу")</f>
        <v>обладнання для автосервісу</v>
      </c>
      <c r="D392" s="16" t="str">
        <f>IFERROR(__xludf.DUMMYFUNCTION("""COMPUTED_VALUE"""),"підйомне устаткування")</f>
        <v>підйомне устаткування</v>
      </c>
      <c r="E392" s="16" t="str">
        <f>IFERROR(__xludf.DUMMYFUNCTION("""COMPUTED_VALUE"""),"запчастини для підйомного обладнання")</f>
        <v>запчастини для підйомного обладнання</v>
      </c>
      <c r="F392" s="17">
        <f>IFERROR(__xludf.DUMMYFUNCTION("""COMPUTED_VALUE"""),4.0)</f>
        <v>4</v>
      </c>
      <c r="G392" s="17">
        <f>IFERROR(__xludf.DUMMYFUNCTION("""COMPUTED_VALUE"""),1.2110309E7)</f>
        <v>12110309</v>
      </c>
      <c r="H392" s="17" t="str">
        <f>IFERROR(__xludf.DUMMYFUNCTION("""COMPUTED_VALUE"""),"запчастини для підйомного обладнання")</f>
        <v>запчастини для підйомного обладнання</v>
      </c>
      <c r="I392" s="18">
        <f>IFERROR(__xludf.DUMMYFUNCTION("""COMPUTED_VALUE"""),2.25)</f>
        <v>2.25</v>
      </c>
      <c r="J392" s="18">
        <f>IFERROR(__xludf.DUMMYFUNCTION("""COMPUTED_VALUE"""),4.5)</f>
        <v>4.5</v>
      </c>
      <c r="K392" s="18">
        <f>IFERROR(__xludf.DUMMYFUNCTION("""COMPUTED_VALUE"""),5.63)</f>
        <v>5.63</v>
      </c>
      <c r="L392" s="18">
        <f>IFERROR(__xludf.DUMMYFUNCTION("""COMPUTED_VALUE"""),9.0)</f>
        <v>9</v>
      </c>
    </row>
    <row r="393">
      <c r="A393" s="13" t="str">
        <f>IFERROR(__xludf.DUMMYFUNCTION("""COMPUTED_VALUE"""),"товари")</f>
        <v>товари</v>
      </c>
      <c r="B393" s="13" t="str">
        <f>IFERROR(__xludf.DUMMYFUNCTION("""COMPUTED_VALUE"""),"обладнання та товари для надання послуг")</f>
        <v>обладнання та товари для надання послуг</v>
      </c>
      <c r="C393" s="16" t="str">
        <f>IFERROR(__xludf.DUMMYFUNCTION("""COMPUTED_VALUE"""),"обладнання для торгівлі")</f>
        <v>обладнання для торгівлі</v>
      </c>
      <c r="D393" s="16" t="str">
        <f>IFERROR(__xludf.DUMMYFUNCTION("""COMPUTED_VALUE"""),"касове/прикасове обладнання")</f>
        <v>касове/прикасове обладнання</v>
      </c>
      <c r="E393" s="16" t="str">
        <f>IFERROR(__xludf.DUMMYFUNCTION("""COMPUTED_VALUE"""),"зчитувачі магнітних карт")</f>
        <v>зчитувачі магнітних карт</v>
      </c>
      <c r="F393" s="17">
        <f>IFERROR(__xludf.DUMMYFUNCTION("""COMPUTED_VALUE"""),4.0)</f>
        <v>4</v>
      </c>
      <c r="G393" s="17">
        <f>IFERROR(__xludf.DUMMYFUNCTION("""COMPUTED_VALUE"""),283006.0)</f>
        <v>283006</v>
      </c>
      <c r="H393" s="17" t="str">
        <f>IFERROR(__xludf.DUMMYFUNCTION("""COMPUTED_VALUE"""),"зчитувачі магнітних карт")</f>
        <v>зчитувачі магнітних карт</v>
      </c>
      <c r="I393" s="18">
        <f>IFERROR(__xludf.DUMMYFUNCTION("""COMPUTED_VALUE"""),2.21)</f>
        <v>2.21</v>
      </c>
      <c r="J393" s="18">
        <f>IFERROR(__xludf.DUMMYFUNCTION("""COMPUTED_VALUE"""),4.43)</f>
        <v>4.43</v>
      </c>
      <c r="K393" s="18">
        <f>IFERROR(__xludf.DUMMYFUNCTION("""COMPUTED_VALUE"""),5.53)</f>
        <v>5.53</v>
      </c>
      <c r="L393" s="18">
        <f>IFERROR(__xludf.DUMMYFUNCTION("""COMPUTED_VALUE"""),8.85)</f>
        <v>8.85</v>
      </c>
    </row>
    <row r="394">
      <c r="A394" s="13" t="str">
        <f>IFERROR(__xludf.DUMMYFUNCTION("""COMPUTED_VALUE"""),"товари")</f>
        <v>товари</v>
      </c>
      <c r="B394" s="13" t="str">
        <f>IFERROR(__xludf.DUMMYFUNCTION("""COMPUTED_VALUE"""),"обладнання та товари для надання послуг")</f>
        <v>обладнання та товари для надання послуг</v>
      </c>
      <c r="C394" s="15" t="str">
        <f>IFERROR(__xludf.DUMMYFUNCTION("""COMPUTED_VALUE"""),"обладнання для автосервісу")</f>
        <v>обладнання для автосервісу</v>
      </c>
      <c r="D394" s="15" t="str">
        <f>IFERROR(__xludf.DUMMYFUNCTION("""COMPUTED_VALUE"""),"шиномонтажне обладнання")</f>
        <v>шиномонтажне обладнання</v>
      </c>
      <c r="E394" s="15" t="str">
        <f>IFERROR(__xludf.DUMMYFUNCTION("""COMPUTED_VALUE"""),"інфлятори шиномонтажні")</f>
        <v>інфлятори шиномонтажні</v>
      </c>
      <c r="F394" s="17">
        <f>IFERROR(__xludf.DUMMYFUNCTION("""COMPUTED_VALUE"""),4.0)</f>
        <v>4</v>
      </c>
      <c r="G394" s="17">
        <f>IFERROR(__xludf.DUMMYFUNCTION("""COMPUTED_VALUE"""),1.2110112E7)</f>
        <v>12110112</v>
      </c>
      <c r="H394" s="17" t="str">
        <f>IFERROR(__xludf.DUMMYFUNCTION("""COMPUTED_VALUE"""),"інфлятори шиномонтажні")</f>
        <v>інфлятори шиномонтажні</v>
      </c>
      <c r="I394" s="18">
        <f>IFERROR(__xludf.DUMMYFUNCTION("""COMPUTED_VALUE"""),1.62)</f>
        <v>1.62</v>
      </c>
      <c r="J394" s="18">
        <f>IFERROR(__xludf.DUMMYFUNCTION("""COMPUTED_VALUE"""),3.24)</f>
        <v>3.24</v>
      </c>
      <c r="K394" s="18">
        <f>IFERROR(__xludf.DUMMYFUNCTION("""COMPUTED_VALUE"""),4.05)</f>
        <v>4.05</v>
      </c>
      <c r="L394" s="18">
        <f>IFERROR(__xludf.DUMMYFUNCTION("""COMPUTED_VALUE"""),6.48)</f>
        <v>6.48</v>
      </c>
    </row>
    <row r="395">
      <c r="A395" s="13" t="str">
        <f>IFERROR(__xludf.DUMMYFUNCTION("""COMPUTED_VALUE"""),"товари")</f>
        <v>товари</v>
      </c>
      <c r="B395" s="13" t="str">
        <f>IFERROR(__xludf.DUMMYFUNCTION("""COMPUTED_VALUE"""),"обладнання та товари для надання послуг")</f>
        <v>обладнання та товари для надання послуг</v>
      </c>
      <c r="C395" s="15" t="str">
        <f>IFERROR(__xludf.DUMMYFUNCTION("""COMPUTED_VALUE"""),"комерційні меблі")</f>
        <v>комерційні меблі</v>
      </c>
      <c r="D395" s="15" t="str">
        <f>IFERROR(__xludf.DUMMYFUNCTION("""COMPUTED_VALUE"""),"офісні меблі")</f>
        <v>офісні меблі</v>
      </c>
      <c r="E395" s="15" t="str">
        <f>IFERROR(__xludf.DUMMYFUNCTION("""COMPUTED_VALUE"""),"кабінети для керівників")</f>
        <v>кабінети для керівників</v>
      </c>
      <c r="F395" s="17">
        <f>IFERROR(__xludf.DUMMYFUNCTION("""COMPUTED_VALUE"""),4.0)</f>
        <v>4</v>
      </c>
      <c r="G395" s="17">
        <f>IFERROR(__xludf.DUMMYFUNCTION("""COMPUTED_VALUE"""),1.5030407E7)</f>
        <v>15030407</v>
      </c>
      <c r="H395" s="17" t="str">
        <f>IFERROR(__xludf.DUMMYFUNCTION("""COMPUTED_VALUE"""),"кабінети для керівників")</f>
        <v>кабінети для керівників</v>
      </c>
      <c r="I395" s="18">
        <f>IFERROR(__xludf.DUMMYFUNCTION("""COMPUTED_VALUE"""),2.07)</f>
        <v>2.07</v>
      </c>
      <c r="J395" s="18">
        <f>IFERROR(__xludf.DUMMYFUNCTION("""COMPUTED_VALUE"""),4.14)</f>
        <v>4.14</v>
      </c>
      <c r="K395" s="18">
        <f>IFERROR(__xludf.DUMMYFUNCTION("""COMPUTED_VALUE"""),5.17)</f>
        <v>5.17</v>
      </c>
      <c r="L395" s="18">
        <f>IFERROR(__xludf.DUMMYFUNCTION("""COMPUTED_VALUE"""),8.28)</f>
        <v>8.28</v>
      </c>
    </row>
    <row r="396">
      <c r="A396" s="13" t="str">
        <f>IFERROR(__xludf.DUMMYFUNCTION("""COMPUTED_VALUE"""),"товари")</f>
        <v>товари</v>
      </c>
      <c r="B396" s="13" t="str">
        <f>IFERROR(__xludf.DUMMYFUNCTION("""COMPUTED_VALUE"""),"обладнання та товари для надання послуг")</f>
        <v>обладнання та товари для надання послуг</v>
      </c>
      <c r="C396" s="15" t="str">
        <f>IFERROR(__xludf.DUMMYFUNCTION("""COMPUTED_VALUE"""),"комерційні меблі")</f>
        <v>комерційні меблі</v>
      </c>
      <c r="D396" s="15" t="str">
        <f>IFERROR(__xludf.DUMMYFUNCTION("""COMPUTED_VALUE"""),"офісні меблі")</f>
        <v>офісні меблі</v>
      </c>
      <c r="E396" s="15" t="str">
        <f>IFERROR(__xludf.DUMMYFUNCTION("""COMPUTED_VALUE"""),"картотеки і файлові шафи")</f>
        <v>картотеки і файлові шафи</v>
      </c>
      <c r="F396" s="17">
        <f>IFERROR(__xludf.DUMMYFUNCTION("""COMPUTED_VALUE"""),4.0)</f>
        <v>4</v>
      </c>
      <c r="G396" s="17">
        <f>IFERROR(__xludf.DUMMYFUNCTION("""COMPUTED_VALUE"""),1.5030804E7)</f>
        <v>15030804</v>
      </c>
      <c r="H396" s="17" t="str">
        <f>IFERROR(__xludf.DUMMYFUNCTION("""COMPUTED_VALUE"""),"картотеки і файлові шафи")</f>
        <v>картотеки і файлові шафи</v>
      </c>
      <c r="I396" s="18">
        <f>IFERROR(__xludf.DUMMYFUNCTION("""COMPUTED_VALUE"""),2.07)</f>
        <v>2.07</v>
      </c>
      <c r="J396" s="18">
        <f>IFERROR(__xludf.DUMMYFUNCTION("""COMPUTED_VALUE"""),4.14)</f>
        <v>4.14</v>
      </c>
      <c r="K396" s="18">
        <f>IFERROR(__xludf.DUMMYFUNCTION("""COMPUTED_VALUE"""),5.17)</f>
        <v>5.17</v>
      </c>
      <c r="L396" s="18">
        <f>IFERROR(__xludf.DUMMYFUNCTION("""COMPUTED_VALUE"""),8.28)</f>
        <v>8.28</v>
      </c>
    </row>
    <row r="397">
      <c r="A397" s="13" t="str">
        <f>IFERROR(__xludf.DUMMYFUNCTION("""COMPUTED_VALUE"""),"товари")</f>
        <v>товари</v>
      </c>
      <c r="B397" s="13" t="str">
        <f>IFERROR(__xludf.DUMMYFUNCTION("""COMPUTED_VALUE"""),"обладнання та товари для надання послуг")</f>
        <v>обладнання та товари для надання послуг</v>
      </c>
      <c r="C397" s="15" t="str">
        <f>IFERROR(__xludf.DUMMYFUNCTION("""COMPUTED_VALUE"""),"обладнання для торгівлі")</f>
        <v>обладнання для торгівлі</v>
      </c>
      <c r="D397" s="15" t="str">
        <f>IFERROR(__xludf.DUMMYFUNCTION("""COMPUTED_VALUE"""),"касове/прикасове обладнання")</f>
        <v>касове/прикасове обладнання</v>
      </c>
      <c r="E397" s="15" t="str">
        <f>IFERROR(__xludf.DUMMYFUNCTION("""COMPUTED_VALUE"""),"касове устаткування, загальне")</f>
        <v>касове устаткування, загальне</v>
      </c>
      <c r="F397" s="17">
        <f>IFERROR(__xludf.DUMMYFUNCTION("""COMPUTED_VALUE"""),4.0)</f>
        <v>4</v>
      </c>
      <c r="G397" s="17">
        <f>IFERROR(__xludf.DUMMYFUNCTION("""COMPUTED_VALUE"""),282998.0)</f>
        <v>282998</v>
      </c>
      <c r="H397" s="17" t="str">
        <f>IFERROR(__xludf.DUMMYFUNCTION("""COMPUTED_VALUE"""),"касове устаткування, загальне")</f>
        <v>касове устаткування, загальне</v>
      </c>
      <c r="I397" s="18">
        <f>IFERROR(__xludf.DUMMYFUNCTION("""COMPUTED_VALUE"""),2.16)</f>
        <v>2.16</v>
      </c>
      <c r="J397" s="18">
        <f>IFERROR(__xludf.DUMMYFUNCTION("""COMPUTED_VALUE"""),4.33)</f>
        <v>4.33</v>
      </c>
      <c r="K397" s="18">
        <f>IFERROR(__xludf.DUMMYFUNCTION("""COMPUTED_VALUE"""),5.41)</f>
        <v>5.41</v>
      </c>
      <c r="L397" s="18">
        <f>IFERROR(__xludf.DUMMYFUNCTION("""COMPUTED_VALUE"""),8.65)</f>
        <v>8.65</v>
      </c>
    </row>
    <row r="398">
      <c r="A398" s="13" t="str">
        <f>IFERROR(__xludf.DUMMYFUNCTION("""COMPUTED_VALUE"""),"товари")</f>
        <v>товари</v>
      </c>
      <c r="B398" s="13" t="str">
        <f>IFERROR(__xludf.DUMMYFUNCTION("""COMPUTED_VALUE"""),"обладнання та товари для надання послуг")</f>
        <v>обладнання та товари для надання послуг</v>
      </c>
      <c r="C398" s="15" t="str">
        <f>IFERROR(__xludf.DUMMYFUNCTION("""COMPUTED_VALUE"""),"комерційні меблі")</f>
        <v>комерційні меблі</v>
      </c>
      <c r="D398" s="15" t="str">
        <f>IFERROR(__xludf.DUMMYFUNCTION("""COMPUTED_VALUE"""),"офісні меблі")</f>
        <v>офісні меблі</v>
      </c>
      <c r="E398" s="15" t="str">
        <f>IFERROR(__xludf.DUMMYFUNCTION("""COMPUTED_VALUE"""),"комплекти офісних меблів")</f>
        <v>комплекти офісних меблів</v>
      </c>
      <c r="F398" s="17">
        <f>IFERROR(__xludf.DUMMYFUNCTION("""COMPUTED_VALUE"""),4.0)</f>
        <v>4</v>
      </c>
      <c r="G398" s="17">
        <f>IFERROR(__xludf.DUMMYFUNCTION("""COMPUTED_VALUE"""),1.5030404E7)</f>
        <v>15030404</v>
      </c>
      <c r="H398" s="17" t="str">
        <f>IFERROR(__xludf.DUMMYFUNCTION("""COMPUTED_VALUE"""),"комплекти офісних меблів")</f>
        <v>комплекти офісних меблів</v>
      </c>
      <c r="I398" s="18">
        <f>IFERROR(__xludf.DUMMYFUNCTION("""COMPUTED_VALUE"""),2.07)</f>
        <v>2.07</v>
      </c>
      <c r="J398" s="18">
        <f>IFERROR(__xludf.DUMMYFUNCTION("""COMPUTED_VALUE"""),4.14)</f>
        <v>4.14</v>
      </c>
      <c r="K398" s="18">
        <f>IFERROR(__xludf.DUMMYFUNCTION("""COMPUTED_VALUE"""),5.17)</f>
        <v>5.17</v>
      </c>
      <c r="L398" s="18">
        <f>IFERROR(__xludf.DUMMYFUNCTION("""COMPUTED_VALUE"""),8.28)</f>
        <v>8.28</v>
      </c>
    </row>
    <row r="399">
      <c r="A399" s="13" t="str">
        <f>IFERROR(__xludf.DUMMYFUNCTION("""COMPUTED_VALUE"""),"товари")</f>
        <v>товари</v>
      </c>
      <c r="B399" s="13" t="str">
        <f>IFERROR(__xludf.DUMMYFUNCTION("""COMPUTED_VALUE"""),"обладнання та товари для надання послуг")</f>
        <v>обладнання та товари для надання послуг</v>
      </c>
      <c r="C399" s="15" t="str">
        <f>IFERROR(__xludf.DUMMYFUNCTION("""COMPUTED_VALUE"""),"комерційні меблі")</f>
        <v>комерційні меблі</v>
      </c>
      <c r="D399" s="15" t="str">
        <f>IFERROR(__xludf.DUMMYFUNCTION("""COMPUTED_VALUE"""),"меблі для навчальних закладів")</f>
        <v>меблі для навчальних закладів</v>
      </c>
      <c r="E399" s="15" t="str">
        <f>IFERROR(__xludf.DUMMYFUNCTION("""COMPUTED_VALUE"""),"комплекти шкільних меблів")</f>
        <v>комплекти шкільних меблів</v>
      </c>
      <c r="F399" s="17">
        <f>IFERROR(__xludf.DUMMYFUNCTION("""COMPUTED_VALUE"""),4.0)</f>
        <v>4</v>
      </c>
      <c r="G399" s="17">
        <f>IFERROR(__xludf.DUMMYFUNCTION("""COMPUTED_VALUE"""),370243.0)</f>
        <v>370243</v>
      </c>
      <c r="H399" s="17" t="str">
        <f>IFERROR(__xludf.DUMMYFUNCTION("""COMPUTED_VALUE"""),"комплекти шкільних меблів")</f>
        <v>комплекти шкільних меблів</v>
      </c>
      <c r="I399" s="18">
        <f>IFERROR(__xludf.DUMMYFUNCTION("""COMPUTED_VALUE"""),1.08)</f>
        <v>1.08</v>
      </c>
      <c r="J399" s="18">
        <f>IFERROR(__xludf.DUMMYFUNCTION("""COMPUTED_VALUE"""),2.16)</f>
        <v>2.16</v>
      </c>
      <c r="K399" s="18">
        <f>IFERROR(__xludf.DUMMYFUNCTION("""COMPUTED_VALUE"""),2.7)</f>
        <v>2.7</v>
      </c>
      <c r="L399" s="18">
        <f>IFERROR(__xludf.DUMMYFUNCTION("""COMPUTED_VALUE"""),4.33)</f>
        <v>4.33</v>
      </c>
    </row>
    <row r="400">
      <c r="A400" s="13" t="str">
        <f>IFERROR(__xludf.DUMMYFUNCTION("""COMPUTED_VALUE"""),"товари")</f>
        <v>товари</v>
      </c>
      <c r="B400" s="13" t="str">
        <f>IFERROR(__xludf.DUMMYFUNCTION("""COMPUTED_VALUE"""),"обладнання та товари для надання послуг")</f>
        <v>обладнання та товари для надання послуг</v>
      </c>
      <c r="C400" s="15" t="str">
        <f>IFERROR(__xludf.DUMMYFUNCTION("""COMPUTED_VALUE"""),"horeca&amp;fast-food")</f>
        <v>horeca&amp;fast-food</v>
      </c>
      <c r="D400" s="15" t="str">
        <f>IFERROR(__xludf.DUMMYFUNCTION("""COMPUTED_VALUE"""),"теплове обладнання horeca&amp;fast-food")</f>
        <v>теплове обладнання horeca&amp;fast-food</v>
      </c>
      <c r="E400" s="15" t="str">
        <f>IFERROR(__xludf.DUMMYFUNCTION("""COMPUTED_VALUE"""),"конвекційні печі")</f>
        <v>конвекційні печі</v>
      </c>
      <c r="F400" s="17">
        <f>IFERROR(__xludf.DUMMYFUNCTION("""COMPUTED_VALUE"""),4.0)</f>
        <v>4</v>
      </c>
      <c r="G400" s="17">
        <f>IFERROR(__xludf.DUMMYFUNCTION("""COMPUTED_VALUE"""),240616.0)</f>
        <v>240616</v>
      </c>
      <c r="H400" s="17" t="str">
        <f>IFERROR(__xludf.DUMMYFUNCTION("""COMPUTED_VALUE"""),"конвекційні печі")</f>
        <v>конвекційні печі</v>
      </c>
      <c r="I400" s="18">
        <f>IFERROR(__xludf.DUMMYFUNCTION("""COMPUTED_VALUE"""),1.98)</f>
        <v>1.98</v>
      </c>
      <c r="J400" s="18">
        <f>IFERROR(__xludf.DUMMYFUNCTION("""COMPUTED_VALUE"""),3.96)</f>
        <v>3.96</v>
      </c>
      <c r="K400" s="18">
        <f>IFERROR(__xludf.DUMMYFUNCTION("""COMPUTED_VALUE"""),4.95)</f>
        <v>4.95</v>
      </c>
      <c r="L400" s="18">
        <f>IFERROR(__xludf.DUMMYFUNCTION("""COMPUTED_VALUE"""),7.93)</f>
        <v>7.93</v>
      </c>
    </row>
    <row r="401">
      <c r="A401" s="13" t="str">
        <f>IFERROR(__xludf.DUMMYFUNCTION("""COMPUTED_VALUE"""),"товари")</f>
        <v>товари</v>
      </c>
      <c r="B401" s="13" t="str">
        <f>IFERROR(__xludf.DUMMYFUNCTION("""COMPUTED_VALUE"""),"обладнання та товари для надання послуг")</f>
        <v>обладнання та товари для надання послуг</v>
      </c>
      <c r="C401" s="15" t="str">
        <f>IFERROR(__xludf.DUMMYFUNCTION("""COMPUTED_VALUE"""),"horeca&amp;fast-food")</f>
        <v>horeca&amp;fast-food</v>
      </c>
      <c r="D401" s="15" t="str">
        <f>IFERROR(__xludf.DUMMYFUNCTION("""COMPUTED_VALUE"""),"теплове обладнання horeca&amp;fast-food")</f>
        <v>теплове обладнання horeca&amp;fast-food</v>
      </c>
      <c r="E401" s="15" t="str">
        <f>IFERROR(__xludf.DUMMYFUNCTION("""COMPUTED_VALUE"""),"кукурудзоварки професійні")</f>
        <v>кукурудзоварки професійні</v>
      </c>
      <c r="F401" s="17">
        <f>IFERROR(__xludf.DUMMYFUNCTION("""COMPUTED_VALUE"""),4.0)</f>
        <v>4</v>
      </c>
      <c r="G401" s="17">
        <f>IFERROR(__xludf.DUMMYFUNCTION("""COMPUTED_VALUE"""),240664.0)</f>
        <v>240664</v>
      </c>
      <c r="H401" s="17" t="str">
        <f>IFERROR(__xludf.DUMMYFUNCTION("""COMPUTED_VALUE"""),"кукурудзоварки професійні")</f>
        <v>кукурудзоварки професійні</v>
      </c>
      <c r="I401" s="18">
        <f>IFERROR(__xludf.DUMMYFUNCTION("""COMPUTED_VALUE"""),1.98)</f>
        <v>1.98</v>
      </c>
      <c r="J401" s="18">
        <f>IFERROR(__xludf.DUMMYFUNCTION("""COMPUTED_VALUE"""),3.96)</f>
        <v>3.96</v>
      </c>
      <c r="K401" s="18">
        <f>IFERROR(__xludf.DUMMYFUNCTION("""COMPUTED_VALUE"""),4.95)</f>
        <v>4.95</v>
      </c>
      <c r="L401" s="18">
        <f>IFERROR(__xludf.DUMMYFUNCTION("""COMPUTED_VALUE"""),7.93)</f>
        <v>7.93</v>
      </c>
    </row>
    <row r="402">
      <c r="A402" s="13" t="str">
        <f>IFERROR(__xludf.DUMMYFUNCTION("""COMPUTED_VALUE"""),"товари")</f>
        <v>товари</v>
      </c>
      <c r="B402" s="13" t="str">
        <f>IFERROR(__xludf.DUMMYFUNCTION("""COMPUTED_VALUE"""),"обладнання та товари для надання послуг")</f>
        <v>обладнання та товари для надання послуг</v>
      </c>
      <c r="C402" s="15" t="str">
        <f>IFERROR(__xludf.DUMMYFUNCTION("""COMPUTED_VALUE"""),"комерційні меблі")</f>
        <v>комерційні меблі</v>
      </c>
      <c r="D402" s="15" t="str">
        <f>IFERROR(__xludf.DUMMYFUNCTION("""COMPUTED_VALUE"""),"меблі для установ")</f>
        <v>меблі для установ</v>
      </c>
      <c r="E402" s="15" t="str">
        <f>IFERROR(__xludf.DUMMYFUNCTION("""COMPUTED_VALUE"""),"ліжка армійські")</f>
        <v>ліжка армійські</v>
      </c>
      <c r="F402" s="17">
        <f>IFERROR(__xludf.DUMMYFUNCTION("""COMPUTED_VALUE"""),4.0)</f>
        <v>4</v>
      </c>
      <c r="G402" s="17">
        <f>IFERROR(__xludf.DUMMYFUNCTION("""COMPUTED_VALUE"""),1.503081E7)</f>
        <v>15030810</v>
      </c>
      <c r="H402" s="17" t="str">
        <f>IFERROR(__xludf.DUMMYFUNCTION("""COMPUTED_VALUE"""),"ліжка армійські")</f>
        <v>ліжка армійські</v>
      </c>
      <c r="I402" s="18">
        <f>IFERROR(__xludf.DUMMYFUNCTION("""COMPUTED_VALUE"""),0.53)</f>
        <v>0.53</v>
      </c>
      <c r="J402" s="18">
        <f>IFERROR(__xludf.DUMMYFUNCTION("""COMPUTED_VALUE"""),1.05)</f>
        <v>1.05</v>
      </c>
      <c r="K402" s="18">
        <f>IFERROR(__xludf.DUMMYFUNCTION("""COMPUTED_VALUE"""),1.31)</f>
        <v>1.31</v>
      </c>
      <c r="L402" s="18">
        <f>IFERROR(__xludf.DUMMYFUNCTION("""COMPUTED_VALUE"""),2.1)</f>
        <v>2.1</v>
      </c>
    </row>
    <row r="403">
      <c r="A403" s="13" t="str">
        <f>IFERROR(__xludf.DUMMYFUNCTION("""COMPUTED_VALUE"""),"товари")</f>
        <v>товари</v>
      </c>
      <c r="B403" s="13" t="str">
        <f>IFERROR(__xludf.DUMMYFUNCTION("""COMPUTED_VALUE"""),"обладнання та товари для надання послуг")</f>
        <v>обладнання та товари для надання послуг</v>
      </c>
      <c r="C403" s="15" t="str">
        <f>IFERROR(__xludf.DUMMYFUNCTION("""COMPUTED_VALUE"""),"обладнання для автосервісу")</f>
        <v>обладнання для автосервісу</v>
      </c>
      <c r="D403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403" s="15" t="str">
        <f>IFERROR(__xludf.DUMMYFUNCTION("""COMPUTED_VALUE"""),"люфтомери і люфт-детектори")</f>
        <v>люфтомери і люфт-детектори</v>
      </c>
      <c r="F403" s="17">
        <f>IFERROR(__xludf.DUMMYFUNCTION("""COMPUTED_VALUE"""),4.0)</f>
        <v>4</v>
      </c>
      <c r="G403" s="17">
        <f>IFERROR(__xludf.DUMMYFUNCTION("""COMPUTED_VALUE"""),1.2110603E7)</f>
        <v>12110603</v>
      </c>
      <c r="H403" s="17" t="str">
        <f>IFERROR(__xludf.DUMMYFUNCTION("""COMPUTED_VALUE"""),"люфтомери і люфт-детектори")</f>
        <v>люфтомери і люфт-детектори</v>
      </c>
      <c r="I403" s="18">
        <f>IFERROR(__xludf.DUMMYFUNCTION("""COMPUTED_VALUE"""),1.95)</f>
        <v>1.95</v>
      </c>
      <c r="J403" s="18">
        <f>IFERROR(__xludf.DUMMYFUNCTION("""COMPUTED_VALUE"""),3.9)</f>
        <v>3.9</v>
      </c>
      <c r="K403" s="18">
        <f>IFERROR(__xludf.DUMMYFUNCTION("""COMPUTED_VALUE"""),4.88)</f>
        <v>4.88</v>
      </c>
      <c r="L403" s="18">
        <f>IFERROR(__xludf.DUMMYFUNCTION("""COMPUTED_VALUE"""),7.8)</f>
        <v>7.8</v>
      </c>
    </row>
    <row r="404">
      <c r="A404" s="13" t="str">
        <f>IFERROR(__xludf.DUMMYFUNCTION("""COMPUTED_VALUE"""),"товари")</f>
        <v>товари</v>
      </c>
      <c r="B404" s="13" t="str">
        <f>IFERROR(__xludf.DUMMYFUNCTION("""COMPUTED_VALUE"""),"обладнання та товари для надання послуг")</f>
        <v>обладнання та товари для надання послуг</v>
      </c>
      <c r="C404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404" s="15" t="str">
        <f>IFERROR(__xludf.DUMMYFUNCTION("""COMPUTED_VALUE"""),"матеріали для виготовлення реклами")</f>
        <v>матеріали для виготовлення реклами</v>
      </c>
      <c r="E404" s="15" t="str">
        <f>IFERROR(__xludf.DUMMYFUNCTION("""COMPUTED_VALUE"""),"магнітні вініли")</f>
        <v>магнітні вініли</v>
      </c>
      <c r="F404" s="17">
        <f>IFERROR(__xludf.DUMMYFUNCTION("""COMPUTED_VALUE"""),4.0)</f>
        <v>4</v>
      </c>
      <c r="G404" s="17">
        <f>IFERROR(__xludf.DUMMYFUNCTION("""COMPUTED_VALUE"""),91103.0)</f>
        <v>91103</v>
      </c>
      <c r="H404" s="17" t="str">
        <f>IFERROR(__xludf.DUMMYFUNCTION("""COMPUTED_VALUE"""),"магнітні вініли")</f>
        <v>магнітні вініли</v>
      </c>
      <c r="I404" s="18">
        <f>IFERROR(__xludf.DUMMYFUNCTION("""COMPUTED_VALUE"""),1.89)</f>
        <v>1.89</v>
      </c>
      <c r="J404" s="18">
        <f>IFERROR(__xludf.DUMMYFUNCTION("""COMPUTED_VALUE"""),3.78)</f>
        <v>3.78</v>
      </c>
      <c r="K404" s="18">
        <f>IFERROR(__xludf.DUMMYFUNCTION("""COMPUTED_VALUE"""),4.72)</f>
        <v>4.72</v>
      </c>
      <c r="L404" s="18">
        <f>IFERROR(__xludf.DUMMYFUNCTION("""COMPUTED_VALUE"""),7.55)</f>
        <v>7.55</v>
      </c>
    </row>
    <row r="405">
      <c r="A405" s="13" t="str">
        <f>IFERROR(__xludf.DUMMYFUNCTION("""COMPUTED_VALUE"""),"товари")</f>
        <v>товари</v>
      </c>
      <c r="B405" s="13" t="str">
        <f>IFERROR(__xludf.DUMMYFUNCTION("""COMPUTED_VALUE"""),"обладнання та товари для надання послуг")</f>
        <v>обладнання та товари для надання послуг</v>
      </c>
      <c r="C405" s="15" t="str">
        <f>IFERROR(__xludf.DUMMYFUNCTION("""COMPUTED_VALUE"""),"horeca&amp;fast-food")</f>
        <v>horeca&amp;fast-food</v>
      </c>
      <c r="D405" s="15" t="str">
        <f>IFERROR(__xludf.DUMMYFUNCTION("""COMPUTED_VALUE"""),"теплове обладнання horeca&amp;fast-food")</f>
        <v>теплове обладнання horeca&amp;fast-food</v>
      </c>
      <c r="E405" s="15" t="str">
        <f>IFERROR(__xludf.DUMMYFUNCTION("""COMPUTED_VALUE"""),"макароноварки професійні")</f>
        <v>макароноварки професійні</v>
      </c>
      <c r="F405" s="17">
        <f>IFERROR(__xludf.DUMMYFUNCTION("""COMPUTED_VALUE"""),4.0)</f>
        <v>4</v>
      </c>
      <c r="G405" s="17">
        <f>IFERROR(__xludf.DUMMYFUNCTION("""COMPUTED_VALUE"""),2200917.0)</f>
        <v>2200917</v>
      </c>
      <c r="H405" s="17" t="str">
        <f>IFERROR(__xludf.DUMMYFUNCTION("""COMPUTED_VALUE"""),"макароноварки професійні")</f>
        <v>макароноварки професійні</v>
      </c>
      <c r="I405" s="18">
        <f>IFERROR(__xludf.DUMMYFUNCTION("""COMPUTED_VALUE"""),1.98)</f>
        <v>1.98</v>
      </c>
      <c r="J405" s="18">
        <f>IFERROR(__xludf.DUMMYFUNCTION("""COMPUTED_VALUE"""),3.96)</f>
        <v>3.96</v>
      </c>
      <c r="K405" s="18">
        <f>IFERROR(__xludf.DUMMYFUNCTION("""COMPUTED_VALUE"""),4.95)</f>
        <v>4.95</v>
      </c>
      <c r="L405" s="18">
        <f>IFERROR(__xludf.DUMMYFUNCTION("""COMPUTED_VALUE"""),7.93)</f>
        <v>7.93</v>
      </c>
    </row>
    <row r="406">
      <c r="A406" s="13" t="str">
        <f>IFERROR(__xludf.DUMMYFUNCTION("""COMPUTED_VALUE"""),"товари")</f>
        <v>товари</v>
      </c>
      <c r="B406" s="13" t="str">
        <f>IFERROR(__xludf.DUMMYFUNCTION("""COMPUTED_VALUE"""),"обладнання та товари для надання послуг")</f>
        <v>обладнання та товари для надання послуг</v>
      </c>
      <c r="C406" s="15" t="str">
        <f>IFERROR(__xludf.DUMMYFUNCTION("""COMPUTED_VALUE"""),"комерційні меблі")</f>
        <v>комерційні меблі</v>
      </c>
      <c r="D406" s="15" t="str">
        <f>IFERROR(__xludf.DUMMYFUNCTION("""COMPUTED_VALUE"""),"меблі для салонів краси")</f>
        <v>меблі для салонів краси</v>
      </c>
      <c r="E406" s="15" t="str">
        <f>IFERROR(__xludf.DUMMYFUNCTION("""COMPUTED_VALUE"""),"масажні стільці")</f>
        <v>масажні стільці</v>
      </c>
      <c r="F406" s="17">
        <f>IFERROR(__xludf.DUMMYFUNCTION("""COMPUTED_VALUE"""),4.0)</f>
        <v>4</v>
      </c>
      <c r="G406" s="17">
        <f>IFERROR(__xludf.DUMMYFUNCTION("""COMPUTED_VALUE"""),1.5030824E7)</f>
        <v>15030824</v>
      </c>
      <c r="H406" s="17" t="str">
        <f>IFERROR(__xludf.DUMMYFUNCTION("""COMPUTED_VALUE"""),"масажні стільці")</f>
        <v>масажні стільці</v>
      </c>
      <c r="I406" s="18">
        <f>IFERROR(__xludf.DUMMYFUNCTION("""COMPUTED_VALUE"""),1.53)</f>
        <v>1.53</v>
      </c>
      <c r="J406" s="18">
        <f>IFERROR(__xludf.DUMMYFUNCTION("""COMPUTED_VALUE"""),3.06)</f>
        <v>3.06</v>
      </c>
      <c r="K406" s="18">
        <f>IFERROR(__xludf.DUMMYFUNCTION("""COMPUTED_VALUE"""),3.83)</f>
        <v>3.83</v>
      </c>
      <c r="L406" s="18">
        <f>IFERROR(__xludf.DUMMYFUNCTION("""COMPUTED_VALUE"""),6.13)</f>
        <v>6.13</v>
      </c>
    </row>
    <row r="407">
      <c r="A407" s="13" t="str">
        <f>IFERROR(__xludf.DUMMYFUNCTION("""COMPUTED_VALUE"""),"товари")</f>
        <v>товари</v>
      </c>
      <c r="B407" s="13" t="str">
        <f>IFERROR(__xludf.DUMMYFUNCTION("""COMPUTED_VALUE"""),"обладнання та товари для надання послуг")</f>
        <v>обладнання та товари для надання послуг</v>
      </c>
      <c r="C407" s="15" t="str">
        <f>IFERROR(__xludf.DUMMYFUNCTION("""COMPUTED_VALUE"""),"пральне обладнання")</f>
        <v>пральне обладнання</v>
      </c>
      <c r="D407" s="15" t="str">
        <f>IFERROR(__xludf.DUMMYFUNCTION("""COMPUTED_VALUE"""),"машини хімічної чистки одягу")</f>
        <v>машини хімічної чистки одягу</v>
      </c>
      <c r="E407" s="15" t="str">
        <f>IFERROR(__xludf.DUMMYFUNCTION("""COMPUTED_VALUE"""),"машини хімічної чистки одягу")</f>
        <v>машини хімічної чистки одягу</v>
      </c>
      <c r="F407" s="17">
        <f>IFERROR(__xludf.DUMMYFUNCTION("""COMPUTED_VALUE"""),3.0)</f>
        <v>3</v>
      </c>
      <c r="G407" s="17">
        <f>IFERROR(__xludf.DUMMYFUNCTION("""COMPUTED_VALUE"""),282923.0)</f>
        <v>282923</v>
      </c>
      <c r="H407" s="17" t="str">
        <f>IFERROR(__xludf.DUMMYFUNCTION("""COMPUTED_VALUE"""),"машини хімічної чистки одягу")</f>
        <v>машини хімічної чистки одягу</v>
      </c>
      <c r="I407" s="18">
        <f>IFERROR(__xludf.DUMMYFUNCTION("""COMPUTED_VALUE"""),1.26)</f>
        <v>1.26</v>
      </c>
      <c r="J407" s="18">
        <f>IFERROR(__xludf.DUMMYFUNCTION("""COMPUTED_VALUE"""),2.53)</f>
        <v>2.53</v>
      </c>
      <c r="K407" s="18">
        <f>IFERROR(__xludf.DUMMYFUNCTION("""COMPUTED_VALUE"""),3.16)</f>
        <v>3.16</v>
      </c>
      <c r="L407" s="18">
        <f>IFERROR(__xludf.DUMMYFUNCTION("""COMPUTED_VALUE"""),5.05)</f>
        <v>5.05</v>
      </c>
    </row>
    <row r="408">
      <c r="A408" s="13" t="str">
        <f>IFERROR(__xludf.DUMMYFUNCTION("""COMPUTED_VALUE"""),"товари")</f>
        <v>товари</v>
      </c>
      <c r="B408" s="13" t="str">
        <f>IFERROR(__xludf.DUMMYFUNCTION("""COMPUTED_VALUE"""),"обладнання та товари для надання послуг")</f>
        <v>обладнання та товари для надання послуг</v>
      </c>
      <c r="C408" s="15" t="str">
        <f>IFERROR(__xludf.DUMMYFUNCTION("""COMPUTED_VALUE"""),"комерційні меблі")</f>
        <v>комерційні меблі</v>
      </c>
      <c r="D408" s="15" t="str">
        <f>IFERROR(__xludf.DUMMYFUNCTION("""COMPUTED_VALUE"""),"меблі для horeca")</f>
        <v>меблі для horeca</v>
      </c>
      <c r="E408" s="15" t="str">
        <f>IFERROR(__xludf.DUMMYFUNCTION("""COMPUTED_VALUE"""),"меблі для horeca, загальне")</f>
        <v>меблі для horeca, загальне</v>
      </c>
      <c r="F408" s="17">
        <f>IFERROR(__xludf.DUMMYFUNCTION("""COMPUTED_VALUE"""),4.0)</f>
        <v>4</v>
      </c>
      <c r="G408" s="17">
        <f>IFERROR(__xludf.DUMMYFUNCTION("""COMPUTED_VALUE"""),1.5030109E7)</f>
        <v>15030109</v>
      </c>
      <c r="H408" s="17" t="str">
        <f>IFERROR(__xludf.DUMMYFUNCTION("""COMPUTED_VALUE"""),"меблі для horeca, загальне")</f>
        <v>меблі для horeca, загальне</v>
      </c>
      <c r="I408" s="18">
        <f>IFERROR(__xludf.DUMMYFUNCTION("""COMPUTED_VALUE"""),2.16)</f>
        <v>2.16</v>
      </c>
      <c r="J408" s="18">
        <f>IFERROR(__xludf.DUMMYFUNCTION("""COMPUTED_VALUE"""),4.33)</f>
        <v>4.33</v>
      </c>
      <c r="K408" s="18">
        <f>IFERROR(__xludf.DUMMYFUNCTION("""COMPUTED_VALUE"""),5.41)</f>
        <v>5.41</v>
      </c>
      <c r="L408" s="18">
        <f>IFERROR(__xludf.DUMMYFUNCTION("""COMPUTED_VALUE"""),8.65)</f>
        <v>8.65</v>
      </c>
    </row>
    <row r="409">
      <c r="A409" s="13" t="str">
        <f>IFERROR(__xludf.DUMMYFUNCTION("""COMPUTED_VALUE"""),"товари")</f>
        <v>товари</v>
      </c>
      <c r="B409" s="13" t="str">
        <f>IFERROR(__xludf.DUMMYFUNCTION("""COMPUTED_VALUE"""),"обладнання та товари для надання послуг")</f>
        <v>обладнання та товари для надання послуг</v>
      </c>
      <c r="C409" s="15" t="str">
        <f>IFERROR(__xludf.DUMMYFUNCTION("""COMPUTED_VALUE"""),"комерційні меблі")</f>
        <v>комерційні меблі</v>
      </c>
      <c r="D409" s="15" t="str">
        <f>IFERROR(__xludf.DUMMYFUNCTION("""COMPUTED_VALUE"""),"меблі для навчальних закладів")</f>
        <v>меблі для навчальних закладів</v>
      </c>
      <c r="E409" s="15" t="str">
        <f>IFERROR(__xludf.DUMMYFUNCTION("""COMPUTED_VALUE"""),"меблі для навчальних закладів, загальне")</f>
        <v>меблі для навчальних закладів, загальне</v>
      </c>
      <c r="F409" s="17">
        <f>IFERROR(__xludf.DUMMYFUNCTION("""COMPUTED_VALUE"""),4.0)</f>
        <v>4</v>
      </c>
      <c r="G409" s="17">
        <f>IFERROR(__xludf.DUMMYFUNCTION("""COMPUTED_VALUE"""),3.7024003E7)</f>
        <v>37024003</v>
      </c>
      <c r="H409" s="17" t="str">
        <f>IFERROR(__xludf.DUMMYFUNCTION("""COMPUTED_VALUE"""),"меблі для навчальних закладів, загальне")</f>
        <v>меблі для навчальних закладів, загальне</v>
      </c>
      <c r="I409" s="18">
        <f>IFERROR(__xludf.DUMMYFUNCTION("""COMPUTED_VALUE"""),2.16)</f>
        <v>2.16</v>
      </c>
      <c r="J409" s="18">
        <f>IFERROR(__xludf.DUMMYFUNCTION("""COMPUTED_VALUE"""),4.33)</f>
        <v>4.33</v>
      </c>
      <c r="K409" s="18">
        <f>IFERROR(__xludf.DUMMYFUNCTION("""COMPUTED_VALUE"""),5.41)</f>
        <v>5.41</v>
      </c>
      <c r="L409" s="18">
        <f>IFERROR(__xludf.DUMMYFUNCTION("""COMPUTED_VALUE"""),8.65)</f>
        <v>8.65</v>
      </c>
    </row>
    <row r="410">
      <c r="A410" s="13" t="str">
        <f>IFERROR(__xludf.DUMMYFUNCTION("""COMPUTED_VALUE"""),"товари")</f>
        <v>товари</v>
      </c>
      <c r="B410" s="13" t="str">
        <f>IFERROR(__xludf.DUMMYFUNCTION("""COMPUTED_VALUE"""),"обладнання та товари для надання послуг")</f>
        <v>обладнання та товари для надання послуг</v>
      </c>
      <c r="C410" s="15" t="str">
        <f>IFERROR(__xludf.DUMMYFUNCTION("""COMPUTED_VALUE"""),"комерційні меблі")</f>
        <v>комерційні меблі</v>
      </c>
      <c r="D410" s="15" t="str">
        <f>IFERROR(__xludf.DUMMYFUNCTION("""COMPUTED_VALUE"""),"меблі для сфери розваг")</f>
        <v>меблі для сфери розваг</v>
      </c>
      <c r="E410" s="15" t="str">
        <f>IFERROR(__xludf.DUMMYFUNCTION("""COMPUTED_VALUE"""),"меблі для сфери розваг, загальне")</f>
        <v>меблі для сфери розваг, загальне</v>
      </c>
      <c r="F410" s="17">
        <f>IFERROR(__xludf.DUMMYFUNCTION("""COMPUTED_VALUE"""),4.0)</f>
        <v>4</v>
      </c>
      <c r="G410" s="17">
        <f>IFERROR(__xludf.DUMMYFUNCTION("""COMPUTED_VALUE"""),1.5030123E7)</f>
        <v>15030123</v>
      </c>
      <c r="H410" s="17" t="str">
        <f>IFERROR(__xludf.DUMMYFUNCTION("""COMPUTED_VALUE"""),"меблі для сфери розваг, загальне")</f>
        <v>меблі для сфери розваг, загальне</v>
      </c>
      <c r="I410" s="18">
        <f>IFERROR(__xludf.DUMMYFUNCTION("""COMPUTED_VALUE"""),2.16)</f>
        <v>2.16</v>
      </c>
      <c r="J410" s="18">
        <f>IFERROR(__xludf.DUMMYFUNCTION("""COMPUTED_VALUE"""),4.33)</f>
        <v>4.33</v>
      </c>
      <c r="K410" s="18">
        <f>IFERROR(__xludf.DUMMYFUNCTION("""COMPUTED_VALUE"""),5.41)</f>
        <v>5.41</v>
      </c>
      <c r="L410" s="18">
        <f>IFERROR(__xludf.DUMMYFUNCTION("""COMPUTED_VALUE"""),8.65)</f>
        <v>8.65</v>
      </c>
    </row>
    <row r="411">
      <c r="A411" s="13" t="str">
        <f>IFERROR(__xludf.DUMMYFUNCTION("""COMPUTED_VALUE"""),"товари")</f>
        <v>товари</v>
      </c>
      <c r="B411" s="13" t="str">
        <f>IFERROR(__xludf.DUMMYFUNCTION("""COMPUTED_VALUE"""),"обладнання та товари для надання послуг")</f>
        <v>обладнання та товари для надання послуг</v>
      </c>
      <c r="C411" s="15" t="str">
        <f>IFERROR(__xludf.DUMMYFUNCTION("""COMPUTED_VALUE"""),"комерційні меблі")</f>
        <v>комерційні меблі</v>
      </c>
      <c r="D411" s="15" t="str">
        <f>IFERROR(__xludf.DUMMYFUNCTION("""COMPUTED_VALUE"""),"медичні меблі")</f>
        <v>медичні меблі</v>
      </c>
      <c r="E411" s="15" t="str">
        <f>IFERROR(__xludf.DUMMYFUNCTION("""COMPUTED_VALUE"""),"медичні шафи")</f>
        <v>медичні шафи</v>
      </c>
      <c r="F411" s="17">
        <f>IFERROR(__xludf.DUMMYFUNCTION("""COMPUTED_VALUE"""),4.0)</f>
        <v>4</v>
      </c>
      <c r="G411" s="17">
        <f>IFERROR(__xludf.DUMMYFUNCTION("""COMPUTED_VALUE"""),3.7021003E7)</f>
        <v>37021003</v>
      </c>
      <c r="H411" s="17" t="str">
        <f>IFERROR(__xludf.DUMMYFUNCTION("""COMPUTED_VALUE"""),"медичні шафи")</f>
        <v>медичні шафи</v>
      </c>
      <c r="I411" s="18">
        <f>IFERROR(__xludf.DUMMYFUNCTION("""COMPUTED_VALUE"""),2.7)</f>
        <v>2.7</v>
      </c>
      <c r="J411" s="18">
        <f>IFERROR(__xludf.DUMMYFUNCTION("""COMPUTED_VALUE"""),5.4)</f>
        <v>5.4</v>
      </c>
      <c r="K411" s="18">
        <f>IFERROR(__xludf.DUMMYFUNCTION("""COMPUTED_VALUE"""),6.75)</f>
        <v>6.75</v>
      </c>
      <c r="L411" s="18">
        <f>IFERROR(__xludf.DUMMYFUNCTION("""COMPUTED_VALUE"""),10.8)</f>
        <v>10.8</v>
      </c>
    </row>
    <row r="412">
      <c r="A412" s="13" t="str">
        <f>IFERROR(__xludf.DUMMYFUNCTION("""COMPUTED_VALUE"""),"товари")</f>
        <v>товари</v>
      </c>
      <c r="B412" s="13" t="str">
        <f>IFERROR(__xludf.DUMMYFUNCTION("""COMPUTED_VALUE"""),"обладнання та товари для надання послуг")</f>
        <v>обладнання та товари для надання послуг</v>
      </c>
      <c r="C412" s="15" t="str">
        <f>IFERROR(__xludf.DUMMYFUNCTION("""COMPUTED_VALUE"""),"horeca&amp;fast-food")</f>
        <v>horeca&amp;fast-food</v>
      </c>
      <c r="D412" s="15" t="str">
        <f>IFERROR(__xludf.DUMMYFUNCTION("""COMPUTED_VALUE"""),"холодильне обладнання horeca&amp;fast-food")</f>
        <v>холодильне обладнання horeca&amp;fast-food</v>
      </c>
      <c r="E412" s="15" t="str">
        <f>IFERROR(__xludf.DUMMYFUNCTION("""COMPUTED_VALUE"""),"морозильне обладнання для horeca і торгівлі")</f>
        <v>морозильне обладнання для horeca і торгівлі</v>
      </c>
      <c r="F412" s="17">
        <f>IFERROR(__xludf.DUMMYFUNCTION("""COMPUTED_VALUE"""),4.0)</f>
        <v>4</v>
      </c>
      <c r="G412" s="17">
        <f>IFERROR(__xludf.DUMMYFUNCTION("""COMPUTED_VALUE"""),283039.0)</f>
        <v>283039</v>
      </c>
      <c r="H412" s="17" t="str">
        <f>IFERROR(__xludf.DUMMYFUNCTION("""COMPUTED_VALUE"""),"морозильне обладнання для horeca і торгівлі")</f>
        <v>морозильне обладнання для horeca і торгівлі</v>
      </c>
      <c r="I412" s="18">
        <f>IFERROR(__xludf.DUMMYFUNCTION("""COMPUTED_VALUE"""),1.8)</f>
        <v>1.8</v>
      </c>
      <c r="J412" s="18">
        <f>IFERROR(__xludf.DUMMYFUNCTION("""COMPUTED_VALUE"""),3.6)</f>
        <v>3.6</v>
      </c>
      <c r="K412" s="18">
        <f>IFERROR(__xludf.DUMMYFUNCTION("""COMPUTED_VALUE"""),4.5)</f>
        <v>4.5</v>
      </c>
      <c r="L412" s="18">
        <f>IFERROR(__xludf.DUMMYFUNCTION("""COMPUTED_VALUE"""),7.2)</f>
        <v>7.2</v>
      </c>
    </row>
    <row r="413">
      <c r="A413" s="13" t="str">
        <f>IFERROR(__xludf.DUMMYFUNCTION("""COMPUTED_VALUE"""),"товари")</f>
        <v>товари</v>
      </c>
      <c r="B413" s="13" t="str">
        <f>IFERROR(__xludf.DUMMYFUNCTION("""COMPUTED_VALUE"""),"обладнання та товари для надання послуг")</f>
        <v>обладнання та товари для надання послуг</v>
      </c>
      <c r="C413" s="15" t="str">
        <f>IFERROR(__xludf.DUMMYFUNCTION("""COMPUTED_VALUE"""),"релігійні і езотеричні товари")</f>
        <v>релігійні і езотеричні товари</v>
      </c>
      <c r="D413" s="15" t="str">
        <f>IFERROR(__xludf.DUMMYFUNCTION("""COMPUTED_VALUE"""),"ритуальні товари")</f>
        <v>ритуальні товари</v>
      </c>
      <c r="E413" s="15" t="str">
        <f>IFERROR(__xludf.DUMMYFUNCTION("""COMPUTED_VALUE"""),"надгробки та пам'ятники")</f>
        <v>надгробки та пам'ятники</v>
      </c>
      <c r="F413" s="17">
        <f>IFERROR(__xludf.DUMMYFUNCTION("""COMPUTED_VALUE"""),4.0)</f>
        <v>4</v>
      </c>
      <c r="G413" s="17">
        <f>IFERROR(__xludf.DUMMYFUNCTION("""COMPUTED_VALUE"""),131205.0)</f>
        <v>131205</v>
      </c>
      <c r="H413" s="17" t="str">
        <f>IFERROR(__xludf.DUMMYFUNCTION("""COMPUTED_VALUE"""),"надгробки та пам'ятники")</f>
        <v>надгробки та пам'ятники</v>
      </c>
      <c r="I413" s="18">
        <f>IFERROR(__xludf.DUMMYFUNCTION("""COMPUTED_VALUE"""),0.86)</f>
        <v>0.86</v>
      </c>
      <c r="J413" s="18">
        <f>IFERROR(__xludf.DUMMYFUNCTION("""COMPUTED_VALUE"""),1.71)</f>
        <v>1.71</v>
      </c>
      <c r="K413" s="18">
        <f>IFERROR(__xludf.DUMMYFUNCTION("""COMPUTED_VALUE"""),2.14)</f>
        <v>2.14</v>
      </c>
      <c r="L413" s="18">
        <f>IFERROR(__xludf.DUMMYFUNCTION("""COMPUTED_VALUE"""),3.43)</f>
        <v>3.43</v>
      </c>
    </row>
    <row r="414">
      <c r="A414" s="13" t="str">
        <f>IFERROR(__xludf.DUMMYFUNCTION("""COMPUTED_VALUE"""),"товари")</f>
        <v>товари</v>
      </c>
      <c r="B414" s="13" t="str">
        <f>IFERROR(__xludf.DUMMYFUNCTION("""COMPUTED_VALUE"""),"обладнання та товари для надання послуг")</f>
        <v>обладнання та товари для надання послуг</v>
      </c>
      <c r="C414" s="15" t="str">
        <f>IFERROR(__xludf.DUMMYFUNCTION("""COMPUTED_VALUE"""),"вендінгове і розважальне обладнання")</f>
        <v>вендінгове і розважальне обладнання</v>
      </c>
      <c r="D414" s="15" t="str">
        <f>IFERROR(__xludf.DUMMYFUNCTION("""COMPUTED_VALUE"""),"надувні атракціони та аксесуари до них")</f>
        <v>надувні атракціони та аксесуари до них</v>
      </c>
      <c r="E414" s="15" t="str">
        <f>IFERROR(__xludf.DUMMYFUNCTION("""COMPUTED_VALUE"""),"надувні атракціони та аксесуари до них")</f>
        <v>надувні атракціони та аксесуари до них</v>
      </c>
      <c r="F414" s="17">
        <f>IFERROR(__xludf.DUMMYFUNCTION("""COMPUTED_VALUE"""),3.0)</f>
        <v>3</v>
      </c>
      <c r="G414" s="17">
        <f>IFERROR(__xludf.DUMMYFUNCTION("""COMPUTED_VALUE"""),1.2070401E7)</f>
        <v>12070401</v>
      </c>
      <c r="H414" s="17" t="str">
        <f>IFERROR(__xludf.DUMMYFUNCTION("""COMPUTED_VALUE"""),"надувні атракціони та аксесуари до них")</f>
        <v>надувні атракціони та аксесуари до них</v>
      </c>
      <c r="I414" s="18">
        <f>IFERROR(__xludf.DUMMYFUNCTION("""COMPUTED_VALUE"""),0.76)</f>
        <v>0.76</v>
      </c>
      <c r="J414" s="18">
        <f>IFERROR(__xludf.DUMMYFUNCTION("""COMPUTED_VALUE"""),1.53)</f>
        <v>1.53</v>
      </c>
      <c r="K414" s="18">
        <f>IFERROR(__xludf.DUMMYFUNCTION("""COMPUTED_VALUE"""),1.91)</f>
        <v>1.91</v>
      </c>
      <c r="L414" s="18">
        <f>IFERROR(__xludf.DUMMYFUNCTION("""COMPUTED_VALUE"""),3.05)</f>
        <v>3.05</v>
      </c>
    </row>
    <row r="415">
      <c r="A415" s="13" t="str">
        <f>IFERROR(__xludf.DUMMYFUNCTION("""COMPUTED_VALUE"""),"товари")</f>
        <v>товари</v>
      </c>
      <c r="B415" s="13" t="str">
        <f>IFERROR(__xludf.DUMMYFUNCTION("""COMPUTED_VALUE"""),"обладнання та товари для надання послуг")</f>
        <v>обладнання та товари для надання послуг</v>
      </c>
      <c r="C415" s="15" t="str">
        <f>IFERROR(__xludf.DUMMYFUNCTION("""COMPUTED_VALUE"""),"обладнання для автосервісу")</f>
        <v>обладнання для автосервісу</v>
      </c>
      <c r="D415" s="15" t="str">
        <f>IFERROR(__xludf.DUMMYFUNCTION("""COMPUTED_VALUE"""),"обладнання для автосервісу, загальне")</f>
        <v>обладнання для автосервісу, загальне</v>
      </c>
      <c r="E415" s="15" t="str">
        <f>IFERROR(__xludf.DUMMYFUNCTION("""COMPUTED_VALUE"""),"обладнання для автосервісу, загальне")</f>
        <v>обладнання для автосервісу, загальне</v>
      </c>
      <c r="F415" s="17">
        <f>IFERROR(__xludf.DUMMYFUNCTION("""COMPUTED_VALUE"""),3.0)</f>
        <v>3</v>
      </c>
      <c r="G415" s="17">
        <f>IFERROR(__xludf.DUMMYFUNCTION("""COMPUTED_VALUE"""),121110.0)</f>
        <v>121110</v>
      </c>
      <c r="H415" s="17" t="str">
        <f>IFERROR(__xludf.DUMMYFUNCTION("""COMPUTED_VALUE"""),"обладнання для автосервісу, загальне")</f>
        <v>обладнання для автосервісу, загальне</v>
      </c>
      <c r="I415" s="18">
        <f>IFERROR(__xludf.DUMMYFUNCTION("""COMPUTED_VALUE"""),2.16)</f>
        <v>2.16</v>
      </c>
      <c r="J415" s="18">
        <f>IFERROR(__xludf.DUMMYFUNCTION("""COMPUTED_VALUE"""),4.33)</f>
        <v>4.33</v>
      </c>
      <c r="K415" s="18">
        <f>IFERROR(__xludf.DUMMYFUNCTION("""COMPUTED_VALUE"""),5.41)</f>
        <v>5.41</v>
      </c>
      <c r="L415" s="18">
        <f>IFERROR(__xludf.DUMMYFUNCTION("""COMPUTED_VALUE"""),8.65)</f>
        <v>8.65</v>
      </c>
    </row>
    <row r="416">
      <c r="A416" s="13" t="str">
        <f>IFERROR(__xludf.DUMMYFUNCTION("""COMPUTED_VALUE"""),"товари")</f>
        <v>товари</v>
      </c>
      <c r="B416" s="13" t="str">
        <f>IFERROR(__xludf.DUMMYFUNCTION("""COMPUTED_VALUE"""),"обладнання та товари для надання послуг")</f>
        <v>обладнання та товари для надання послуг</v>
      </c>
      <c r="C416" s="15" t="str">
        <f>IFERROR(__xludf.DUMMYFUNCTION("""COMPUTED_VALUE"""),"обладнання для автосервісу")</f>
        <v>обладнання для автосервісу</v>
      </c>
      <c r="D416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416" s="15" t="str">
        <f>IFERROR(__xludf.DUMMYFUNCTION("""COMPUTED_VALUE"""),"обладнання для діагностики і очищення паливних систем")</f>
        <v>обладнання для діагностики і очищення паливних систем</v>
      </c>
      <c r="F416" s="17">
        <f>IFERROR(__xludf.DUMMYFUNCTION("""COMPUTED_VALUE"""),4.0)</f>
        <v>4</v>
      </c>
      <c r="G416" s="17">
        <f>IFERROR(__xludf.DUMMYFUNCTION("""COMPUTED_VALUE"""),1.2110604E7)</f>
        <v>12110604</v>
      </c>
      <c r="H416" s="17" t="str">
        <f>IFERROR(__xludf.DUMMYFUNCTION("""COMPUTED_VALUE"""),"обладнання для діагностики і очищення паливних систем")</f>
        <v>обладнання для діагностики і очищення паливних систем</v>
      </c>
      <c r="I416" s="18">
        <f>IFERROR(__xludf.DUMMYFUNCTION("""COMPUTED_VALUE"""),1.95)</f>
        <v>1.95</v>
      </c>
      <c r="J416" s="18">
        <f>IFERROR(__xludf.DUMMYFUNCTION("""COMPUTED_VALUE"""),3.9)</f>
        <v>3.9</v>
      </c>
      <c r="K416" s="18">
        <f>IFERROR(__xludf.DUMMYFUNCTION("""COMPUTED_VALUE"""),4.88)</f>
        <v>4.88</v>
      </c>
      <c r="L416" s="18">
        <f>IFERROR(__xludf.DUMMYFUNCTION("""COMPUTED_VALUE"""),7.8)</f>
        <v>7.8</v>
      </c>
    </row>
    <row r="417">
      <c r="A417" s="13" t="str">
        <f>IFERROR(__xludf.DUMMYFUNCTION("""COMPUTED_VALUE"""),"товари")</f>
        <v>товари</v>
      </c>
      <c r="B417" s="13" t="str">
        <f>IFERROR(__xludf.DUMMYFUNCTION("""COMPUTED_VALUE"""),"обладнання та товари для надання послуг")</f>
        <v>обладнання та товари для надання послуг</v>
      </c>
      <c r="C417" s="15" t="str">
        <f>IFERROR(__xludf.DUMMYFUNCTION("""COMPUTED_VALUE"""),"обладнання для автосервісу")</f>
        <v>обладнання для автосервісу</v>
      </c>
      <c r="D417" s="15" t="str">
        <f>IFERROR(__xludf.DUMMYFUNCTION("""COMPUTED_VALUE"""),"обладнання для автомийок")</f>
        <v>обладнання для автомийок</v>
      </c>
      <c r="E417" s="15" t="str">
        <f>IFERROR(__xludf.DUMMYFUNCTION("""COMPUTED_VALUE"""),"обладнання для мийок")</f>
        <v>обладнання для мийок</v>
      </c>
      <c r="F417" s="17">
        <f>IFERROR(__xludf.DUMMYFUNCTION("""COMPUTED_VALUE"""),4.0)</f>
        <v>4</v>
      </c>
      <c r="G417" s="17">
        <f>IFERROR(__xludf.DUMMYFUNCTION("""COMPUTED_VALUE"""),1.2111403E7)</f>
        <v>12111403</v>
      </c>
      <c r="H417" s="17" t="str">
        <f>IFERROR(__xludf.DUMMYFUNCTION("""COMPUTED_VALUE"""),"обладнання для мийок")</f>
        <v>обладнання для мийок</v>
      </c>
      <c r="I417" s="18">
        <f>IFERROR(__xludf.DUMMYFUNCTION("""COMPUTED_VALUE"""),1.58)</f>
        <v>1.58</v>
      </c>
      <c r="J417" s="18">
        <f>IFERROR(__xludf.DUMMYFUNCTION("""COMPUTED_VALUE"""),3.15)</f>
        <v>3.15</v>
      </c>
      <c r="K417" s="18">
        <f>IFERROR(__xludf.DUMMYFUNCTION("""COMPUTED_VALUE"""),3.94)</f>
        <v>3.94</v>
      </c>
      <c r="L417" s="18">
        <f>IFERROR(__xludf.DUMMYFUNCTION("""COMPUTED_VALUE"""),6.3)</f>
        <v>6.3</v>
      </c>
    </row>
    <row r="418">
      <c r="A418" s="13" t="str">
        <f>IFERROR(__xludf.DUMMYFUNCTION("""COMPUTED_VALUE"""),"товари")</f>
        <v>товари</v>
      </c>
      <c r="B418" s="13" t="str">
        <f>IFERROR(__xludf.DUMMYFUNCTION("""COMPUTED_VALUE"""),"обладнання та товари для надання послуг")</f>
        <v>обладнання та товари для надання послуг</v>
      </c>
      <c r="C418" s="15" t="str">
        <f>IFERROR(__xludf.DUMMYFUNCTION("""COMPUTED_VALUE"""),"обладнання для автосервісу")</f>
        <v>обладнання для автосервісу</v>
      </c>
      <c r="D418" s="15" t="str">
        <f>IFERROR(__xludf.DUMMYFUNCTION("""COMPUTED_VALUE"""),"обладнання для ремонту двс")</f>
        <v>обладнання для ремонту двс</v>
      </c>
      <c r="E418" s="15" t="str">
        <f>IFERROR(__xludf.DUMMYFUNCTION("""COMPUTED_VALUE"""),"обладнання для ремонту двс")</f>
        <v>обладнання для ремонту двс</v>
      </c>
      <c r="F418" s="17">
        <f>IFERROR(__xludf.DUMMYFUNCTION("""COMPUTED_VALUE"""),3.0)</f>
        <v>3</v>
      </c>
      <c r="G418" s="17">
        <f>IFERROR(__xludf.DUMMYFUNCTION("""COMPUTED_VALUE"""),121115.0)</f>
        <v>121115</v>
      </c>
      <c r="H418" s="17" t="str">
        <f>IFERROR(__xludf.DUMMYFUNCTION("""COMPUTED_VALUE"""),"обладнання для ремонту двс")</f>
        <v>обладнання для ремонту двс</v>
      </c>
      <c r="I418" s="18">
        <f>IFERROR(__xludf.DUMMYFUNCTION("""COMPUTED_VALUE"""),1.39)</f>
        <v>1.39</v>
      </c>
      <c r="J418" s="18">
        <f>IFERROR(__xludf.DUMMYFUNCTION("""COMPUTED_VALUE"""),2.79)</f>
        <v>2.79</v>
      </c>
      <c r="K418" s="18">
        <f>IFERROR(__xludf.DUMMYFUNCTION("""COMPUTED_VALUE"""),3.48)</f>
        <v>3.48</v>
      </c>
      <c r="L418" s="18">
        <f>IFERROR(__xludf.DUMMYFUNCTION("""COMPUTED_VALUE"""),5.58)</f>
        <v>5.58</v>
      </c>
    </row>
    <row r="419">
      <c r="A419" s="13" t="str">
        <f>IFERROR(__xludf.DUMMYFUNCTION("""COMPUTED_VALUE"""),"товари")</f>
        <v>товари</v>
      </c>
      <c r="B419" s="13" t="str">
        <f>IFERROR(__xludf.DUMMYFUNCTION("""COMPUTED_VALUE"""),"обладнання та товари для надання послуг")</f>
        <v>обладнання та товари для надання послуг</v>
      </c>
      <c r="C419" s="15" t="str">
        <f>IFERROR(__xludf.DUMMYFUNCTION("""COMPUTED_VALUE"""),"вендінгове і розважальне обладнання")</f>
        <v>вендінгове і розважальне обладнання</v>
      </c>
      <c r="D419" s="15" t="str">
        <f>IFERROR(__xludf.DUMMYFUNCTION("""COMPUTED_VALUE"""),"обладнання для театрів, кінотеатрів")</f>
        <v>обладнання для театрів, кінотеатрів</v>
      </c>
      <c r="E419" s="15" t="str">
        <f>IFERROR(__xludf.DUMMYFUNCTION("""COMPUTED_VALUE"""),"обладнання для театрів, кінотеатрів")</f>
        <v>обладнання для театрів, кінотеатрів</v>
      </c>
      <c r="F419" s="17">
        <f>IFERROR(__xludf.DUMMYFUNCTION("""COMPUTED_VALUE"""),3.0)</f>
        <v>3</v>
      </c>
      <c r="G419" s="17">
        <f>IFERROR(__xludf.DUMMYFUNCTION("""COMPUTED_VALUE"""),282934.0)</f>
        <v>282934</v>
      </c>
      <c r="H419" s="17" t="str">
        <f>IFERROR(__xludf.DUMMYFUNCTION("""COMPUTED_VALUE"""),"обладнання для театрів, кінотеатрів")</f>
        <v>обладнання для театрів, кінотеатрів</v>
      </c>
      <c r="I419" s="18">
        <f>IFERROR(__xludf.DUMMYFUNCTION("""COMPUTED_VALUE"""),0.63)</f>
        <v>0.63</v>
      </c>
      <c r="J419" s="18">
        <f>IFERROR(__xludf.DUMMYFUNCTION("""COMPUTED_VALUE"""),1.26)</f>
        <v>1.26</v>
      </c>
      <c r="K419" s="18">
        <f>IFERROR(__xludf.DUMMYFUNCTION("""COMPUTED_VALUE"""),1.58)</f>
        <v>1.58</v>
      </c>
      <c r="L419" s="18">
        <f>IFERROR(__xludf.DUMMYFUNCTION("""COMPUTED_VALUE"""),2.53)</f>
        <v>2.53</v>
      </c>
    </row>
    <row r="420">
      <c r="A420" s="13" t="str">
        <f>IFERROR(__xludf.DUMMYFUNCTION("""COMPUTED_VALUE"""),"товари")</f>
        <v>товари</v>
      </c>
      <c r="B420" s="13" t="str">
        <f>IFERROR(__xludf.DUMMYFUNCTION("""COMPUTED_VALUE"""),"обладнання та товари для надання послуг")</f>
        <v>обладнання та товари для надання послуг</v>
      </c>
      <c r="C420" s="15" t="str">
        <f>IFERROR(__xludf.DUMMYFUNCTION("""COMPUTED_VALUE"""),"обладнання та матеріали для друкарні")</f>
        <v>обладнання та матеріали для друкарні</v>
      </c>
      <c r="D420" s="15" t="str">
        <f>IFERROR(__xludf.DUMMYFUNCTION("""COMPUTED_VALUE"""),"друкарське устаткування")</f>
        <v>друкарське устаткування</v>
      </c>
      <c r="E420" s="15" t="str">
        <f>IFERROR(__xludf.DUMMYFUNCTION("""COMPUTED_VALUE"""),"обладнання для трафаретного друку, шовкографії")</f>
        <v>обладнання для трафаретного друку, шовкографії</v>
      </c>
      <c r="F420" s="17">
        <f>IFERROR(__xludf.DUMMYFUNCTION("""COMPUTED_VALUE"""),4.0)</f>
        <v>4</v>
      </c>
      <c r="G420" s="17">
        <f>IFERROR(__xludf.DUMMYFUNCTION("""COMPUTED_VALUE"""),230918.0)</f>
        <v>230918</v>
      </c>
      <c r="H420" s="17" t="str">
        <f>IFERROR(__xludf.DUMMYFUNCTION("""COMPUTED_VALUE"""),"обладнання для трафаретного друку, шовкографії")</f>
        <v>обладнання для трафаретного друку, шовкографії</v>
      </c>
      <c r="I420" s="18">
        <f>IFERROR(__xludf.DUMMYFUNCTION("""COMPUTED_VALUE"""),1.17)</f>
        <v>1.17</v>
      </c>
      <c r="J420" s="18">
        <f>IFERROR(__xludf.DUMMYFUNCTION("""COMPUTED_VALUE"""),2.34)</f>
        <v>2.34</v>
      </c>
      <c r="K420" s="18">
        <f>IFERROR(__xludf.DUMMYFUNCTION("""COMPUTED_VALUE"""),2.92)</f>
        <v>2.92</v>
      </c>
      <c r="L420" s="18">
        <f>IFERROR(__xludf.DUMMYFUNCTION("""COMPUTED_VALUE"""),4.68)</f>
        <v>4.68</v>
      </c>
    </row>
    <row r="421">
      <c r="A421" s="13" t="str">
        <f>IFERROR(__xludf.DUMMYFUNCTION("""COMPUTED_VALUE"""),"товари")</f>
        <v>товари</v>
      </c>
      <c r="B421" s="13" t="str">
        <f>IFERROR(__xludf.DUMMYFUNCTION("""COMPUTED_VALUE"""),"обладнання та товари для надання послуг")</f>
        <v>обладнання та товари для надання послуг</v>
      </c>
      <c r="C421" s="15" t="str">
        <f>IFERROR(__xludf.DUMMYFUNCTION("""COMPUTED_VALUE"""),"обладнання та матеріали для друкарні")</f>
        <v>обладнання та матеріали для друкарні</v>
      </c>
      <c r="D421" s="15" t="str">
        <f>IFERROR(__xludf.DUMMYFUNCTION("""COMPUTED_VALUE"""),"друкарське устаткування")</f>
        <v>друкарське устаткування</v>
      </c>
      <c r="E421" s="15" t="str">
        <f>IFERROR(__xludf.DUMMYFUNCTION("""COMPUTED_VALUE"""),"обладнання для цифрового друку")</f>
        <v>обладнання для цифрового друку</v>
      </c>
      <c r="F421" s="17">
        <f>IFERROR(__xludf.DUMMYFUNCTION("""COMPUTED_VALUE"""),4.0)</f>
        <v>4</v>
      </c>
      <c r="G421" s="17">
        <f>IFERROR(__xludf.DUMMYFUNCTION("""COMPUTED_VALUE"""),2.3090201E7)</f>
        <v>23090201</v>
      </c>
      <c r="H421" s="17" t="str">
        <f>IFERROR(__xludf.DUMMYFUNCTION("""COMPUTED_VALUE"""),"обладнання для цифрового друку")</f>
        <v>обладнання для цифрового друку</v>
      </c>
      <c r="I421" s="18">
        <f>IFERROR(__xludf.DUMMYFUNCTION("""COMPUTED_VALUE"""),1.17)</f>
        <v>1.17</v>
      </c>
      <c r="J421" s="18">
        <f>IFERROR(__xludf.DUMMYFUNCTION("""COMPUTED_VALUE"""),2.34)</f>
        <v>2.34</v>
      </c>
      <c r="K421" s="18">
        <f>IFERROR(__xludf.DUMMYFUNCTION("""COMPUTED_VALUE"""),2.92)</f>
        <v>2.92</v>
      </c>
      <c r="L421" s="18">
        <f>IFERROR(__xludf.DUMMYFUNCTION("""COMPUTED_VALUE"""),4.68)</f>
        <v>4.68</v>
      </c>
    </row>
    <row r="422">
      <c r="A422" s="13" t="str">
        <f>IFERROR(__xludf.DUMMYFUNCTION("""COMPUTED_VALUE"""),"товари")</f>
        <v>товари</v>
      </c>
      <c r="B422" s="13" t="str">
        <f>IFERROR(__xludf.DUMMYFUNCTION("""COMPUTED_VALUE"""),"обладнання та товари для надання послуг")</f>
        <v>обладнання та товари для надання послуг</v>
      </c>
      <c r="C422" s="15" t="str">
        <f>IFERROR(__xludf.DUMMYFUNCTION("""COMPUTED_VALUE"""),"обладнання та засоби для клінінгу")</f>
        <v>обладнання та засоби для клінінгу</v>
      </c>
      <c r="D422" s="15" t="str">
        <f>IFERROR(__xludf.DUMMYFUNCTION("""COMPUTED_VALUE"""),"обладнання для чищення килимів")</f>
        <v>обладнання для чищення килимів</v>
      </c>
      <c r="E422" s="15" t="str">
        <f>IFERROR(__xludf.DUMMYFUNCTION("""COMPUTED_VALUE"""),"обладнання для чищення килимів")</f>
        <v>обладнання для чищення килимів</v>
      </c>
      <c r="F422" s="17">
        <f>IFERROR(__xludf.DUMMYFUNCTION("""COMPUTED_VALUE"""),3.0)</f>
        <v>3</v>
      </c>
      <c r="G422" s="17">
        <f>IFERROR(__xludf.DUMMYFUNCTION("""COMPUTED_VALUE"""),283088.0)</f>
        <v>283088</v>
      </c>
      <c r="H422" s="17" t="str">
        <f>IFERROR(__xludf.DUMMYFUNCTION("""COMPUTED_VALUE"""),"обладнання для чищення килимів")</f>
        <v>обладнання для чищення килимів</v>
      </c>
      <c r="I422" s="18">
        <f>IFERROR(__xludf.DUMMYFUNCTION("""COMPUTED_VALUE"""),0.76)</f>
        <v>0.76</v>
      </c>
      <c r="J422" s="18">
        <f>IFERROR(__xludf.DUMMYFUNCTION("""COMPUTED_VALUE"""),1.53)</f>
        <v>1.53</v>
      </c>
      <c r="K422" s="18">
        <f>IFERROR(__xludf.DUMMYFUNCTION("""COMPUTED_VALUE"""),1.91)</f>
        <v>1.91</v>
      </c>
      <c r="L422" s="18">
        <f>IFERROR(__xludf.DUMMYFUNCTION("""COMPUTED_VALUE"""),3.05)</f>
        <v>3.05</v>
      </c>
    </row>
    <row r="423">
      <c r="A423" s="13" t="str">
        <f>IFERROR(__xludf.DUMMYFUNCTION("""COMPUTED_VALUE"""),"товари")</f>
        <v>товари</v>
      </c>
      <c r="B423" s="13" t="str">
        <f>IFERROR(__xludf.DUMMYFUNCTION("""COMPUTED_VALUE"""),"обладнання та товари для надання послуг")</f>
        <v>обладнання та товари для надання послуг</v>
      </c>
      <c r="C423" s="15" t="str">
        <f>IFERROR(__xludf.DUMMYFUNCTION("""COMPUTED_VALUE"""),"обладнання для автосервісу")</f>
        <v>обладнання для автосервісу</v>
      </c>
      <c r="D423" s="15" t="str">
        <f>IFERROR(__xludf.DUMMYFUNCTION("""COMPUTED_VALUE"""),"обладнання рихтувальне")</f>
        <v>обладнання рихтувальне</v>
      </c>
      <c r="E423" s="15" t="str">
        <f>IFERROR(__xludf.DUMMYFUNCTION("""COMPUTED_VALUE"""),"обладнання рихтувальне")</f>
        <v>обладнання рихтувальне</v>
      </c>
      <c r="F423" s="17">
        <f>IFERROR(__xludf.DUMMYFUNCTION("""COMPUTED_VALUE"""),3.0)</f>
        <v>3</v>
      </c>
      <c r="G423" s="17">
        <f>IFERROR(__xludf.DUMMYFUNCTION("""COMPUTED_VALUE"""),121107.0)</f>
        <v>121107</v>
      </c>
      <c r="H423" s="17" t="str">
        <f>IFERROR(__xludf.DUMMYFUNCTION("""COMPUTED_VALUE"""),"обладнання рихтувальне")</f>
        <v>обладнання рихтувальне</v>
      </c>
      <c r="I423" s="18">
        <f>IFERROR(__xludf.DUMMYFUNCTION("""COMPUTED_VALUE"""),2.16)</f>
        <v>2.16</v>
      </c>
      <c r="J423" s="18">
        <f>IFERROR(__xludf.DUMMYFUNCTION("""COMPUTED_VALUE"""),4.33)</f>
        <v>4.33</v>
      </c>
      <c r="K423" s="18">
        <f>IFERROR(__xludf.DUMMYFUNCTION("""COMPUTED_VALUE"""),5.41)</f>
        <v>5.41</v>
      </c>
      <c r="L423" s="18">
        <f>IFERROR(__xludf.DUMMYFUNCTION("""COMPUTED_VALUE"""),8.65)</f>
        <v>8.65</v>
      </c>
    </row>
    <row r="424">
      <c r="A424" s="13" t="str">
        <f>IFERROR(__xludf.DUMMYFUNCTION("""COMPUTED_VALUE"""),"товари")</f>
        <v>товари</v>
      </c>
      <c r="B424" s="13" t="str">
        <f>IFERROR(__xludf.DUMMYFUNCTION("""COMPUTED_VALUE"""),"обладнання та товари для надання послуг")</f>
        <v>обладнання та товари для надання послуг</v>
      </c>
      <c r="C424" s="15" t="str">
        <f>IFERROR(__xludf.DUMMYFUNCTION("""COMPUTED_VALUE"""),"обладнання для навчальних закладів")</f>
        <v>обладнання для навчальних закладів</v>
      </c>
      <c r="D424" s="15" t="str">
        <f>IFERROR(__xludf.DUMMYFUNCTION("""COMPUTED_VALUE"""),"обладнання та прилади для навчання")</f>
        <v>обладнання та прилади для навчання</v>
      </c>
      <c r="E424" s="15" t="str">
        <f>IFERROR(__xludf.DUMMYFUNCTION("""COMPUTED_VALUE"""),"обладнання та прилади для навчання")</f>
        <v>обладнання та прилади для навчання</v>
      </c>
      <c r="F424" s="17">
        <f>IFERROR(__xludf.DUMMYFUNCTION("""COMPUTED_VALUE"""),3.0)</f>
        <v>3</v>
      </c>
      <c r="G424" s="17">
        <f>IFERROR(__xludf.DUMMYFUNCTION("""COMPUTED_VALUE"""),2116.0)</f>
        <v>2116</v>
      </c>
      <c r="H424" s="17" t="str">
        <f>IFERROR(__xludf.DUMMYFUNCTION("""COMPUTED_VALUE"""),"обладнання та прилади для навчання")</f>
        <v>обладнання та прилади для навчання</v>
      </c>
      <c r="I424" s="18">
        <f>IFERROR(__xludf.DUMMYFUNCTION("""COMPUTED_VALUE"""),0.76)</f>
        <v>0.76</v>
      </c>
      <c r="J424" s="18">
        <f>IFERROR(__xludf.DUMMYFUNCTION("""COMPUTED_VALUE"""),1.53)</f>
        <v>1.53</v>
      </c>
      <c r="K424" s="18">
        <f>IFERROR(__xludf.DUMMYFUNCTION("""COMPUTED_VALUE"""),1.91)</f>
        <v>1.91</v>
      </c>
      <c r="L424" s="18">
        <f>IFERROR(__xludf.DUMMYFUNCTION("""COMPUTED_VALUE"""),3.05)</f>
        <v>3.05</v>
      </c>
    </row>
    <row r="425">
      <c r="A425" s="13" t="str">
        <f>IFERROR(__xludf.DUMMYFUNCTION("""COMPUTED_VALUE"""),"товари")</f>
        <v>товари</v>
      </c>
      <c r="B425" s="13" t="str">
        <f>IFERROR(__xludf.DUMMYFUNCTION("""COMPUTED_VALUE"""),"обладнання та товари для надання послуг")</f>
        <v>обладнання та товари для надання послуг</v>
      </c>
      <c r="C425" s="15" t="str">
        <f>IFERROR(__xludf.DUMMYFUNCTION("""COMPUTED_VALUE"""),"обладнання для автосервісу")</f>
        <v>обладнання для автосервісу</v>
      </c>
      <c r="D425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425" s="15" t="str">
        <f>IFERROR(__xludf.DUMMYFUNCTION("""COMPUTED_VALUE"""),"обладнання та прилади для техогляду, загальне")</f>
        <v>обладнання та прилади для техогляду, загальне</v>
      </c>
      <c r="F425" s="17">
        <f>IFERROR(__xludf.DUMMYFUNCTION("""COMPUTED_VALUE"""),4.0)</f>
        <v>4</v>
      </c>
      <c r="G425" s="17">
        <f>IFERROR(__xludf.DUMMYFUNCTION("""COMPUTED_VALUE"""),1.2110606E7)</f>
        <v>12110606</v>
      </c>
      <c r="H425" s="17" t="str">
        <f>IFERROR(__xludf.DUMMYFUNCTION("""COMPUTED_VALUE"""),"обладнання та прилади для техогляду, загальне")</f>
        <v>обладнання та прилади для техогляду, загальне</v>
      </c>
      <c r="I425" s="18">
        <f>IFERROR(__xludf.DUMMYFUNCTION("""COMPUTED_VALUE"""),2.16)</f>
        <v>2.16</v>
      </c>
      <c r="J425" s="18">
        <f>IFERROR(__xludf.DUMMYFUNCTION("""COMPUTED_VALUE"""),4.33)</f>
        <v>4.33</v>
      </c>
      <c r="K425" s="18">
        <f>IFERROR(__xludf.DUMMYFUNCTION("""COMPUTED_VALUE"""),5.41)</f>
        <v>5.41</v>
      </c>
      <c r="L425" s="18">
        <f>IFERROR(__xludf.DUMMYFUNCTION("""COMPUTED_VALUE"""),8.65)</f>
        <v>8.65</v>
      </c>
    </row>
    <row r="426">
      <c r="A426" s="13" t="str">
        <f>IFERROR(__xludf.DUMMYFUNCTION("""COMPUTED_VALUE"""),"товари")</f>
        <v>товари</v>
      </c>
      <c r="B426" s="13" t="str">
        <f>IFERROR(__xludf.DUMMYFUNCTION("""COMPUTED_VALUE"""),"обладнання та товари для надання послуг")</f>
        <v>обладнання та товари для надання послуг</v>
      </c>
      <c r="C426" s="15" t="str">
        <f>IFERROR(__xludf.DUMMYFUNCTION("""COMPUTED_VALUE"""),"комерційні меблі")</f>
        <v>комерційні меблі</v>
      </c>
      <c r="D426" s="15" t="str">
        <f>IFERROR(__xludf.DUMMYFUNCTION("""COMPUTED_VALUE"""),"офісні меблі")</f>
        <v>офісні меблі</v>
      </c>
      <c r="E426" s="15" t="str">
        <f>IFERROR(__xludf.DUMMYFUNCTION("""COMPUTED_VALUE"""),"офісні меблі, загальне")</f>
        <v>офісні меблі, загальне</v>
      </c>
      <c r="F426" s="17">
        <f>IFERROR(__xludf.DUMMYFUNCTION("""COMPUTED_VALUE"""),4.0)</f>
        <v>4</v>
      </c>
      <c r="G426" s="17">
        <f>IFERROR(__xludf.DUMMYFUNCTION("""COMPUTED_VALUE"""),3.7013099E7)</f>
        <v>37013099</v>
      </c>
      <c r="H426" s="17" t="str">
        <f>IFERROR(__xludf.DUMMYFUNCTION("""COMPUTED_VALUE"""),"офісні меблі, загальне")</f>
        <v>офісні меблі, загальне</v>
      </c>
      <c r="I426" s="18">
        <f>IFERROR(__xludf.DUMMYFUNCTION("""COMPUTED_VALUE"""),2.16)</f>
        <v>2.16</v>
      </c>
      <c r="J426" s="18">
        <f>IFERROR(__xludf.DUMMYFUNCTION("""COMPUTED_VALUE"""),4.33)</f>
        <v>4.33</v>
      </c>
      <c r="K426" s="18">
        <f>IFERROR(__xludf.DUMMYFUNCTION("""COMPUTED_VALUE"""),5.41)</f>
        <v>5.41</v>
      </c>
      <c r="L426" s="18">
        <f>IFERROR(__xludf.DUMMYFUNCTION("""COMPUTED_VALUE"""),8.65)</f>
        <v>8.65</v>
      </c>
    </row>
    <row r="427">
      <c r="A427" s="13" t="str">
        <f>IFERROR(__xludf.DUMMYFUNCTION("""COMPUTED_VALUE"""),"товари")</f>
        <v>товари</v>
      </c>
      <c r="B427" s="13" t="str">
        <f>IFERROR(__xludf.DUMMYFUNCTION("""COMPUTED_VALUE"""),"обладнання та товари для надання послуг")</f>
        <v>обладнання та товари для надання послуг</v>
      </c>
      <c r="C427" s="15" t="str">
        <f>IFERROR(__xludf.DUMMYFUNCTION("""COMPUTED_VALUE"""),"обладнання та матеріали для друкарні")</f>
        <v>обладнання та матеріали для друкарні</v>
      </c>
      <c r="D427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427" s="15" t="str">
        <f>IFERROR(__xludf.DUMMYFUNCTION("""COMPUTED_VALUE"""),"післядрукарське і обробне устаткування, загальне")</f>
        <v>післядрукарське і обробне устаткування, загальне</v>
      </c>
      <c r="F427" s="17">
        <f>IFERROR(__xludf.DUMMYFUNCTION("""COMPUTED_VALUE"""),4.0)</f>
        <v>4</v>
      </c>
      <c r="G427" s="17">
        <f>IFERROR(__xludf.DUMMYFUNCTION("""COMPUTED_VALUE"""),2.3090304E7)</f>
        <v>23090304</v>
      </c>
      <c r="H427" s="17" t="str">
        <f>IFERROR(__xludf.DUMMYFUNCTION("""COMPUTED_VALUE"""),"післядрукарське і обробне устаткування, загальне")</f>
        <v>післядрукарське і обробне устаткування, загальне</v>
      </c>
      <c r="I427" s="18">
        <f>IFERROR(__xludf.DUMMYFUNCTION("""COMPUTED_VALUE"""),2.16)</f>
        <v>2.16</v>
      </c>
      <c r="J427" s="18">
        <f>IFERROR(__xludf.DUMMYFUNCTION("""COMPUTED_VALUE"""),4.33)</f>
        <v>4.33</v>
      </c>
      <c r="K427" s="18">
        <f>IFERROR(__xludf.DUMMYFUNCTION("""COMPUTED_VALUE"""),5.41)</f>
        <v>5.41</v>
      </c>
      <c r="L427" s="18">
        <f>IFERROR(__xludf.DUMMYFUNCTION("""COMPUTED_VALUE"""),8.65)</f>
        <v>8.65</v>
      </c>
    </row>
    <row r="428">
      <c r="A428" s="13" t="str">
        <f>IFERROR(__xludf.DUMMYFUNCTION("""COMPUTED_VALUE"""),"товари")</f>
        <v>товари</v>
      </c>
      <c r="B428" s="13" t="str">
        <f>IFERROR(__xludf.DUMMYFUNCTION("""COMPUTED_VALUE"""),"обладнання та товари для надання послуг")</f>
        <v>обладнання та товари для надання послуг</v>
      </c>
      <c r="C428" s="15" t="str">
        <f>IFERROR(__xludf.DUMMYFUNCTION("""COMPUTED_VALUE"""),"horeca&amp;fast-food")</f>
        <v>horeca&amp;fast-food</v>
      </c>
      <c r="D428" s="15" t="str">
        <f>IFERROR(__xludf.DUMMYFUNCTION("""COMPUTED_VALUE"""),"теплове обладнання horeca&amp;fast-food")</f>
        <v>теплове обладнання horeca&amp;fast-food</v>
      </c>
      <c r="E428" s="15" t="str">
        <f>IFERROR(__xludf.DUMMYFUNCTION("""COMPUTED_VALUE"""),"плити професійні")</f>
        <v>плити професійні</v>
      </c>
      <c r="F428" s="17">
        <f>IFERROR(__xludf.DUMMYFUNCTION("""COMPUTED_VALUE"""),4.0)</f>
        <v>4</v>
      </c>
      <c r="G428" s="17">
        <f>IFERROR(__xludf.DUMMYFUNCTION("""COMPUTED_VALUE"""),240629.0)</f>
        <v>240629</v>
      </c>
      <c r="H428" s="17" t="str">
        <f>IFERROR(__xludf.DUMMYFUNCTION("""COMPUTED_VALUE"""),"плити професійні")</f>
        <v>плити професійні</v>
      </c>
      <c r="I428" s="18">
        <f>IFERROR(__xludf.DUMMYFUNCTION("""COMPUTED_VALUE"""),1.98)</f>
        <v>1.98</v>
      </c>
      <c r="J428" s="18">
        <f>IFERROR(__xludf.DUMMYFUNCTION("""COMPUTED_VALUE"""),3.96)</f>
        <v>3.96</v>
      </c>
      <c r="K428" s="18">
        <f>IFERROR(__xludf.DUMMYFUNCTION("""COMPUTED_VALUE"""),4.95)</f>
        <v>4.95</v>
      </c>
      <c r="L428" s="18">
        <f>IFERROR(__xludf.DUMMYFUNCTION("""COMPUTED_VALUE"""),7.93)</f>
        <v>7.93</v>
      </c>
    </row>
    <row r="429">
      <c r="A429" s="13" t="str">
        <f>IFERROR(__xludf.DUMMYFUNCTION("""COMPUTED_VALUE"""),"товари")</f>
        <v>товари</v>
      </c>
      <c r="B429" s="13" t="str">
        <f>IFERROR(__xludf.DUMMYFUNCTION("""COMPUTED_VALUE"""),"обладнання та товари для надання послуг")</f>
        <v>обладнання та товари для надання послуг</v>
      </c>
      <c r="C429" s="15" t="str">
        <f>IFERROR(__xludf.DUMMYFUNCTION("""COMPUTED_VALUE"""),"пральне обладнання")</f>
        <v>пральне обладнання</v>
      </c>
      <c r="D429" s="15" t="str">
        <f>IFERROR(__xludf.DUMMYFUNCTION("""COMPUTED_VALUE"""),"пральне устаткування, загальне")</f>
        <v>пральне устаткування, загальне</v>
      </c>
      <c r="E429" s="15" t="str">
        <f>IFERROR(__xludf.DUMMYFUNCTION("""COMPUTED_VALUE"""),"пральне устаткування, загальне")</f>
        <v>пральне устаткування, загальне</v>
      </c>
      <c r="F429" s="17">
        <f>IFERROR(__xludf.DUMMYFUNCTION("""COMPUTED_VALUE"""),3.0)</f>
        <v>3</v>
      </c>
      <c r="G429" s="17">
        <f>IFERROR(__xludf.DUMMYFUNCTION("""COMPUTED_VALUE"""),282927.0)</f>
        <v>282927</v>
      </c>
      <c r="H429" s="17" t="str">
        <f>IFERROR(__xludf.DUMMYFUNCTION("""COMPUTED_VALUE"""),"пральне устаткування, загальне")</f>
        <v>пральне устаткування, загальне</v>
      </c>
      <c r="I429" s="18">
        <f>IFERROR(__xludf.DUMMYFUNCTION("""COMPUTED_VALUE"""),2.16)</f>
        <v>2.16</v>
      </c>
      <c r="J429" s="18">
        <f>IFERROR(__xludf.DUMMYFUNCTION("""COMPUTED_VALUE"""),4.33)</f>
        <v>4.33</v>
      </c>
      <c r="K429" s="18">
        <f>IFERROR(__xludf.DUMMYFUNCTION("""COMPUTED_VALUE"""),5.41)</f>
        <v>5.41</v>
      </c>
      <c r="L429" s="18">
        <f>IFERROR(__xludf.DUMMYFUNCTION("""COMPUTED_VALUE"""),8.65)</f>
        <v>8.65</v>
      </c>
    </row>
    <row r="430">
      <c r="A430" s="13" t="str">
        <f>IFERROR(__xludf.DUMMYFUNCTION("""COMPUTED_VALUE"""),"товари")</f>
        <v>товари</v>
      </c>
      <c r="B430" s="13" t="str">
        <f>IFERROR(__xludf.DUMMYFUNCTION("""COMPUTED_VALUE"""),"обладнання та товари для надання послуг")</f>
        <v>обладнання та товари для надання послуг</v>
      </c>
      <c r="C430" s="16" t="str">
        <f>IFERROR(__xludf.DUMMYFUNCTION("""COMPUTED_VALUE"""),"пральне обладнання")</f>
        <v>пральне обладнання</v>
      </c>
      <c r="D430" s="16" t="str">
        <f>IFERROR(__xludf.DUMMYFUNCTION("""COMPUTED_VALUE"""),"промислові пральні машини")</f>
        <v>промислові пральні машини</v>
      </c>
      <c r="E430" s="16" t="str">
        <f>IFERROR(__xludf.DUMMYFUNCTION("""COMPUTED_VALUE"""),"промислові пральні машини")</f>
        <v>промислові пральні машини</v>
      </c>
      <c r="F430" s="17">
        <f>IFERROR(__xludf.DUMMYFUNCTION("""COMPUTED_VALUE"""),3.0)</f>
        <v>3</v>
      </c>
      <c r="G430" s="17">
        <f>IFERROR(__xludf.DUMMYFUNCTION("""COMPUTED_VALUE"""),282919.0)</f>
        <v>282919</v>
      </c>
      <c r="H430" s="17" t="str">
        <f>IFERROR(__xludf.DUMMYFUNCTION("""COMPUTED_VALUE"""),"промислові пральні машини")</f>
        <v>промислові пральні машини</v>
      </c>
      <c r="I430" s="18">
        <f>IFERROR(__xludf.DUMMYFUNCTION("""COMPUTED_VALUE"""),1.98)</f>
        <v>1.98</v>
      </c>
      <c r="J430" s="18">
        <f>IFERROR(__xludf.DUMMYFUNCTION("""COMPUTED_VALUE"""),3.96)</f>
        <v>3.96</v>
      </c>
      <c r="K430" s="18">
        <f>IFERROR(__xludf.DUMMYFUNCTION("""COMPUTED_VALUE"""),4.95)</f>
        <v>4.95</v>
      </c>
      <c r="L430" s="18">
        <f>IFERROR(__xludf.DUMMYFUNCTION("""COMPUTED_VALUE"""),7.93)</f>
        <v>7.93</v>
      </c>
    </row>
    <row r="431">
      <c r="A431" s="13" t="str">
        <f>IFERROR(__xludf.DUMMYFUNCTION("""COMPUTED_VALUE"""),"товари")</f>
        <v>товари</v>
      </c>
      <c r="B431" s="13" t="str">
        <f>IFERROR(__xludf.DUMMYFUNCTION("""COMPUTED_VALUE"""),"обладнання та товари для надання послуг")</f>
        <v>обладнання та товари для надання послуг</v>
      </c>
      <c r="C431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431" s="15" t="str">
        <f>IFERROR(__xludf.DUMMYFUNCTION("""COMPUTED_VALUE"""),"матеріали для виготовлення реклами")</f>
        <v>матеріали для виготовлення реклами</v>
      </c>
      <c r="E431" s="15" t="str">
        <f>IFERROR(__xludf.DUMMYFUNCTION("""COMPUTED_VALUE"""),"промо продукція")</f>
        <v>промо продукція</v>
      </c>
      <c r="F431" s="17">
        <f>IFERROR(__xludf.DUMMYFUNCTION("""COMPUTED_VALUE"""),4.0)</f>
        <v>4</v>
      </c>
      <c r="G431" s="17">
        <f>IFERROR(__xludf.DUMMYFUNCTION("""COMPUTED_VALUE"""),283038.0)</f>
        <v>283038</v>
      </c>
      <c r="H431" s="17" t="str">
        <f>IFERROR(__xludf.DUMMYFUNCTION("""COMPUTED_VALUE"""),"промо продукція")</f>
        <v>промо продукція</v>
      </c>
      <c r="I431" s="18">
        <f>IFERROR(__xludf.DUMMYFUNCTION("""COMPUTED_VALUE"""),1.89)</f>
        <v>1.89</v>
      </c>
      <c r="J431" s="18">
        <f>IFERROR(__xludf.DUMMYFUNCTION("""COMPUTED_VALUE"""),3.78)</f>
        <v>3.78</v>
      </c>
      <c r="K431" s="18">
        <f>IFERROR(__xludf.DUMMYFUNCTION("""COMPUTED_VALUE"""),4.72)</f>
        <v>4.72</v>
      </c>
      <c r="L431" s="18">
        <f>IFERROR(__xludf.DUMMYFUNCTION("""COMPUTED_VALUE"""),7.55)</f>
        <v>7.55</v>
      </c>
    </row>
    <row r="432">
      <c r="A432" s="13" t="str">
        <f>IFERROR(__xludf.DUMMYFUNCTION("""COMPUTED_VALUE"""),"товари")</f>
        <v>товари</v>
      </c>
      <c r="B432" s="13" t="str">
        <f>IFERROR(__xludf.DUMMYFUNCTION("""COMPUTED_VALUE"""),"обладнання та товари для надання послуг")</f>
        <v>обладнання та товари для надання послуг</v>
      </c>
      <c r="C432" s="15" t="str">
        <f>IFERROR(__xludf.DUMMYFUNCTION("""COMPUTED_VALUE"""),"професійне аудіо-, відео-, фото обладнання")</f>
        <v>професійне аудіо-, відео-, фото обладнання</v>
      </c>
      <c r="D432" s="15" t="str">
        <f>IFERROR(__xludf.DUMMYFUNCTION("""COMPUTED_VALUE"""),"професійне аудіо-, відео-, фото обладнання, загальне")</f>
        <v>професійне аудіо-, відео-, фото обладнання, загальне</v>
      </c>
      <c r="E432" s="15" t="str">
        <f>IFERROR(__xludf.DUMMYFUNCTION("""COMPUTED_VALUE"""),"професійне аудіо-, відео-, фото обладнання, загальне")</f>
        <v>професійне аудіо-, відео-, фото обладнання, загальне</v>
      </c>
      <c r="F432" s="17">
        <f>IFERROR(__xludf.DUMMYFUNCTION("""COMPUTED_VALUE"""),3.0)</f>
        <v>3</v>
      </c>
      <c r="G432" s="17">
        <f>IFERROR(__xludf.DUMMYFUNCTION("""COMPUTED_VALUE"""),6371802.0)</f>
        <v>6371802</v>
      </c>
      <c r="H432" s="17" t="str">
        <f>IFERROR(__xludf.DUMMYFUNCTION("""COMPUTED_VALUE"""),"професійне аудіо-, відео-, фото обладнання, загальне")</f>
        <v>професійне аудіо-, відео-, фото обладнання, загальне</v>
      </c>
      <c r="I432" s="18">
        <f>IFERROR(__xludf.DUMMYFUNCTION("""COMPUTED_VALUE"""),2.16)</f>
        <v>2.16</v>
      </c>
      <c r="J432" s="18">
        <f>IFERROR(__xludf.DUMMYFUNCTION("""COMPUTED_VALUE"""),4.33)</f>
        <v>4.33</v>
      </c>
      <c r="K432" s="18">
        <f>IFERROR(__xludf.DUMMYFUNCTION("""COMPUTED_VALUE"""),5.41)</f>
        <v>5.41</v>
      </c>
      <c r="L432" s="18">
        <f>IFERROR(__xludf.DUMMYFUNCTION("""COMPUTED_VALUE"""),8.65)</f>
        <v>8.65</v>
      </c>
    </row>
    <row r="433">
      <c r="A433" s="13" t="str">
        <f>IFERROR(__xludf.DUMMYFUNCTION("""COMPUTED_VALUE"""),"товари")</f>
        <v>товари</v>
      </c>
      <c r="B433" s="13" t="str">
        <f>IFERROR(__xludf.DUMMYFUNCTION("""COMPUTED_VALUE"""),"обладнання та товари для надання послуг")</f>
        <v>обладнання та товари для надання послуг</v>
      </c>
      <c r="C433" s="15" t="str">
        <f>IFERROR(__xludf.DUMMYFUNCTION("""COMPUTED_VALUE"""),"вендінгове і розважальне обладнання")</f>
        <v>вендінгове і розважальне обладнання</v>
      </c>
      <c r="D433" s="15" t="str">
        <f>IFERROR(__xludf.DUMMYFUNCTION("""COMPUTED_VALUE"""),"обладнання для заходів і клубів")</f>
        <v>обладнання для заходів і клубів</v>
      </c>
      <c r="E433" s="15" t="str">
        <f>IFERROR(__xludf.DUMMYFUNCTION("""COMPUTED_VALUE"""),"пульти управління світлом")</f>
        <v>пульти управління світлом</v>
      </c>
      <c r="F433" s="17">
        <f>IFERROR(__xludf.DUMMYFUNCTION("""COMPUTED_VALUE"""),4.0)</f>
        <v>4</v>
      </c>
      <c r="G433" s="17">
        <f>IFERROR(__xludf.DUMMYFUNCTION("""COMPUTED_VALUE"""),283068.0)</f>
        <v>283068</v>
      </c>
      <c r="H433" s="17" t="str">
        <f>IFERROR(__xludf.DUMMYFUNCTION("""COMPUTED_VALUE"""),"пульти управління світлом")</f>
        <v>пульти управління світлом</v>
      </c>
      <c r="I433" s="18">
        <f>IFERROR(__xludf.DUMMYFUNCTION("""COMPUTED_VALUE"""),1.31)</f>
        <v>1.31</v>
      </c>
      <c r="J433" s="18">
        <f>IFERROR(__xludf.DUMMYFUNCTION("""COMPUTED_VALUE"""),2.61)</f>
        <v>2.61</v>
      </c>
      <c r="K433" s="18">
        <f>IFERROR(__xludf.DUMMYFUNCTION("""COMPUTED_VALUE"""),3.27)</f>
        <v>3.27</v>
      </c>
      <c r="L433" s="18">
        <f>IFERROR(__xludf.DUMMYFUNCTION("""COMPUTED_VALUE"""),5.23)</f>
        <v>5.23</v>
      </c>
    </row>
    <row r="434">
      <c r="A434" s="13" t="str">
        <f>IFERROR(__xludf.DUMMYFUNCTION("""COMPUTED_VALUE"""),"товари")</f>
        <v>товари</v>
      </c>
      <c r="B434" s="13" t="str">
        <f>IFERROR(__xludf.DUMMYFUNCTION("""COMPUTED_VALUE"""),"обладнання та товари для надання послуг")</f>
        <v>обладнання та товари для надання послуг</v>
      </c>
      <c r="C434" s="15" t="str">
        <f>IFERROR(__xludf.DUMMYFUNCTION("""COMPUTED_VALUE"""),"комерційні меблі")</f>
        <v>комерційні меблі</v>
      </c>
      <c r="D434" s="15" t="str">
        <f>IFERROR(__xludf.DUMMYFUNCTION("""COMPUTED_VALUE"""),"медичні меблі")</f>
        <v>медичні меблі</v>
      </c>
      <c r="E434" s="15" t="str">
        <f>IFERROR(__xludf.DUMMYFUNCTION("""COMPUTED_VALUE"""),"рентгенозахисні вікна, двері")</f>
        <v>рентгенозахисні вікна, двері</v>
      </c>
      <c r="F434" s="17">
        <f>IFERROR(__xludf.DUMMYFUNCTION("""COMPUTED_VALUE"""),4.0)</f>
        <v>4</v>
      </c>
      <c r="G434" s="17">
        <f>IFERROR(__xludf.DUMMYFUNCTION("""COMPUTED_VALUE"""),370211.0)</f>
        <v>370211</v>
      </c>
      <c r="H434" s="17" t="str">
        <f>IFERROR(__xludf.DUMMYFUNCTION("""COMPUTED_VALUE"""),"рентгенозахисні вікна, двері")</f>
        <v>рентгенозахисні вікна, двері</v>
      </c>
      <c r="I434" s="18">
        <f>IFERROR(__xludf.DUMMYFUNCTION("""COMPUTED_VALUE"""),2.7)</f>
        <v>2.7</v>
      </c>
      <c r="J434" s="18">
        <f>IFERROR(__xludf.DUMMYFUNCTION("""COMPUTED_VALUE"""),5.4)</f>
        <v>5.4</v>
      </c>
      <c r="K434" s="18">
        <f>IFERROR(__xludf.DUMMYFUNCTION("""COMPUTED_VALUE"""),6.75)</f>
        <v>6.75</v>
      </c>
      <c r="L434" s="18">
        <f>IFERROR(__xludf.DUMMYFUNCTION("""COMPUTED_VALUE"""),10.8)</f>
        <v>10.8</v>
      </c>
    </row>
    <row r="435">
      <c r="A435" s="13" t="str">
        <f>IFERROR(__xludf.DUMMYFUNCTION("""COMPUTED_VALUE"""),"товари")</f>
        <v>товари</v>
      </c>
      <c r="B435" s="13" t="str">
        <f>IFERROR(__xludf.DUMMYFUNCTION("""COMPUTED_VALUE"""),"обладнання та товари для надання послуг")</f>
        <v>обладнання та товари для надання послуг</v>
      </c>
      <c r="C435" s="15" t="str">
        <f>IFERROR(__xludf.DUMMYFUNCTION("""COMPUTED_VALUE"""),"релігійні і езотеричні товари")</f>
        <v>релігійні і езотеричні товари</v>
      </c>
      <c r="D435" s="15" t="str">
        <f>IFERROR(__xludf.DUMMYFUNCTION("""COMPUTED_VALUE"""),"ритуальні товари")</f>
        <v>ритуальні товари</v>
      </c>
      <c r="E435" s="15" t="str">
        <f>IFERROR(__xludf.DUMMYFUNCTION("""COMPUTED_VALUE"""),"ритуальні товари, загальне")</f>
        <v>ритуальні товари, загальне</v>
      </c>
      <c r="F435" s="17">
        <f>IFERROR(__xludf.DUMMYFUNCTION("""COMPUTED_VALUE"""),4.0)</f>
        <v>4</v>
      </c>
      <c r="G435" s="17">
        <f>IFERROR(__xludf.DUMMYFUNCTION("""COMPUTED_VALUE"""),282601.0)</f>
        <v>282601</v>
      </c>
      <c r="H435" s="17" t="str">
        <f>IFERROR(__xludf.DUMMYFUNCTION("""COMPUTED_VALUE"""),"ритуальні товари, загальне")</f>
        <v>ритуальні товари, загальне</v>
      </c>
      <c r="I435" s="18">
        <f>IFERROR(__xludf.DUMMYFUNCTION("""COMPUTED_VALUE"""),2.16)</f>
        <v>2.16</v>
      </c>
      <c r="J435" s="18">
        <f>IFERROR(__xludf.DUMMYFUNCTION("""COMPUTED_VALUE"""),4.33)</f>
        <v>4.33</v>
      </c>
      <c r="K435" s="18">
        <f>IFERROR(__xludf.DUMMYFUNCTION("""COMPUTED_VALUE"""),5.41)</f>
        <v>5.41</v>
      </c>
      <c r="L435" s="18">
        <f>IFERROR(__xludf.DUMMYFUNCTION("""COMPUTED_VALUE"""),8.65)</f>
        <v>8.65</v>
      </c>
    </row>
    <row r="436">
      <c r="A436" s="13" t="str">
        <f>IFERROR(__xludf.DUMMYFUNCTION("""COMPUTED_VALUE"""),"товари")</f>
        <v>товари</v>
      </c>
      <c r="B436" s="13" t="str">
        <f>IFERROR(__xludf.DUMMYFUNCTION("""COMPUTED_VALUE"""),"обладнання та товари для надання послуг")</f>
        <v>обладнання та товари для надання послуг</v>
      </c>
      <c r="C436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436" s="15" t="str">
        <f>IFERROR(__xludf.DUMMYFUNCTION("""COMPUTED_VALUE"""),"ростові ляльки")</f>
        <v>ростові ляльки</v>
      </c>
      <c r="E436" s="15" t="str">
        <f>IFERROR(__xludf.DUMMYFUNCTION("""COMPUTED_VALUE"""),"ростові ляльки")</f>
        <v>ростові ляльки</v>
      </c>
      <c r="F436" s="17">
        <f>IFERROR(__xludf.DUMMYFUNCTION("""COMPUTED_VALUE"""),3.0)</f>
        <v>3</v>
      </c>
      <c r="G436" s="17">
        <f>IFERROR(__xludf.DUMMYFUNCTION("""COMPUTED_VALUE"""),30817.0)</f>
        <v>30817</v>
      </c>
      <c r="H436" s="17" t="str">
        <f>IFERROR(__xludf.DUMMYFUNCTION("""COMPUTED_VALUE"""),"ростові ляльки")</f>
        <v>ростові ляльки</v>
      </c>
      <c r="I436" s="18">
        <f>IFERROR(__xludf.DUMMYFUNCTION("""COMPUTED_VALUE"""),1.39)</f>
        <v>1.39</v>
      </c>
      <c r="J436" s="18">
        <f>IFERROR(__xludf.DUMMYFUNCTION("""COMPUTED_VALUE"""),2.79)</f>
        <v>2.79</v>
      </c>
      <c r="K436" s="18">
        <f>IFERROR(__xludf.DUMMYFUNCTION("""COMPUTED_VALUE"""),3.48)</f>
        <v>3.48</v>
      </c>
      <c r="L436" s="18">
        <f>IFERROR(__xludf.DUMMYFUNCTION("""COMPUTED_VALUE"""),5.58)</f>
        <v>5.58</v>
      </c>
    </row>
    <row r="437">
      <c r="A437" s="13" t="str">
        <f>IFERROR(__xludf.DUMMYFUNCTION("""COMPUTED_VALUE"""),"товари")</f>
        <v>товари</v>
      </c>
      <c r="B437" s="13" t="str">
        <f>IFERROR(__xludf.DUMMYFUNCTION("""COMPUTED_VALUE"""),"обладнання та товари для надання послуг")</f>
        <v>обладнання та товари для надання послуг</v>
      </c>
      <c r="C437" s="15" t="str">
        <f>IFERROR(__xludf.DUMMYFUNCTION("""COMPUTED_VALUE"""),"комерційні меблі")</f>
        <v>комерційні меблі</v>
      </c>
      <c r="D437" s="15" t="str">
        <f>IFERROR(__xludf.DUMMYFUNCTION("""COMPUTED_VALUE"""),"меблі для сфери розваг")</f>
        <v>меблі для сфери розваг</v>
      </c>
      <c r="E437" s="15" t="str">
        <f>IFERROR(__xludf.DUMMYFUNCTION("""COMPUTED_VALUE"""),"секційні крісла")</f>
        <v>секційні крісла</v>
      </c>
      <c r="F437" s="17">
        <f>IFERROR(__xludf.DUMMYFUNCTION("""COMPUTED_VALUE"""),4.0)</f>
        <v>4</v>
      </c>
      <c r="G437" s="17">
        <f>IFERROR(__xludf.DUMMYFUNCTION("""COMPUTED_VALUE"""),370250.0)</f>
        <v>370250</v>
      </c>
      <c r="H437" s="17" t="str">
        <f>IFERROR(__xludf.DUMMYFUNCTION("""COMPUTED_VALUE"""),"секційні крісла")</f>
        <v>секційні крісла</v>
      </c>
      <c r="I437" s="18">
        <f>IFERROR(__xludf.DUMMYFUNCTION("""COMPUTED_VALUE"""),0.86)</f>
        <v>0.86</v>
      </c>
      <c r="J437" s="18">
        <f>IFERROR(__xludf.DUMMYFUNCTION("""COMPUTED_VALUE"""),1.71)</f>
        <v>1.71</v>
      </c>
      <c r="K437" s="18">
        <f>IFERROR(__xludf.DUMMYFUNCTION("""COMPUTED_VALUE"""),2.14)</f>
        <v>2.14</v>
      </c>
      <c r="L437" s="18">
        <f>IFERROR(__xludf.DUMMYFUNCTION("""COMPUTED_VALUE"""),3.43)</f>
        <v>3.43</v>
      </c>
    </row>
    <row r="438">
      <c r="A438" s="13" t="str">
        <f>IFERROR(__xludf.DUMMYFUNCTION("""COMPUTED_VALUE"""),"товари")</f>
        <v>товари</v>
      </c>
      <c r="B438" s="13" t="str">
        <f>IFERROR(__xludf.DUMMYFUNCTION("""COMPUTED_VALUE"""),"обладнання та товари для надання послуг")</f>
        <v>обладнання та товари для надання послуг</v>
      </c>
      <c r="C438" s="15" t="str">
        <f>IFERROR(__xludf.DUMMYFUNCTION("""COMPUTED_VALUE"""),"horeca&amp;fast-food")</f>
        <v>horeca&amp;fast-food</v>
      </c>
      <c r="D438" s="15" t="str">
        <f>IFERROR(__xludf.DUMMYFUNCTION("""COMPUTED_VALUE"""),"електромеханічне обладнання horeca&amp;fast-food")</f>
        <v>електромеханічне обладнання horeca&amp;fast-food</v>
      </c>
      <c r="E438" s="15" t="str">
        <f>IFERROR(__xludf.DUMMYFUNCTION("""COMPUTED_VALUE"""),"сиротерки")</f>
        <v>сиротерки</v>
      </c>
      <c r="F438" s="17">
        <f>IFERROR(__xludf.DUMMYFUNCTION("""COMPUTED_VALUE"""),4.0)</f>
        <v>4</v>
      </c>
      <c r="G438" s="17">
        <f>IFERROR(__xludf.DUMMYFUNCTION("""COMPUTED_VALUE"""),240662.0)</f>
        <v>240662</v>
      </c>
      <c r="H438" s="17" t="str">
        <f>IFERROR(__xludf.DUMMYFUNCTION("""COMPUTED_VALUE"""),"сиротерки")</f>
        <v>сиротерки</v>
      </c>
      <c r="I438" s="18">
        <f>IFERROR(__xludf.DUMMYFUNCTION("""COMPUTED_VALUE"""),1.8)</f>
        <v>1.8</v>
      </c>
      <c r="J438" s="18">
        <f>IFERROR(__xludf.DUMMYFUNCTION("""COMPUTED_VALUE"""),3.6)</f>
        <v>3.6</v>
      </c>
      <c r="K438" s="18">
        <f>IFERROR(__xludf.DUMMYFUNCTION("""COMPUTED_VALUE"""),4.5)</f>
        <v>4.5</v>
      </c>
      <c r="L438" s="18">
        <f>IFERROR(__xludf.DUMMYFUNCTION("""COMPUTED_VALUE"""),7.2)</f>
        <v>7.2</v>
      </c>
    </row>
    <row r="439">
      <c r="A439" s="13" t="str">
        <f>IFERROR(__xludf.DUMMYFUNCTION("""COMPUTED_VALUE"""),"товари")</f>
        <v>товари</v>
      </c>
      <c r="B439" s="13" t="str">
        <f>IFERROR(__xludf.DUMMYFUNCTION("""COMPUTED_VALUE"""),"обладнання та товари для надання послуг")</f>
        <v>обладнання та товари для надання послуг</v>
      </c>
      <c r="C439" s="15" t="str">
        <f>IFERROR(__xludf.DUMMYFUNCTION("""COMPUTED_VALUE"""),"horeca&amp;fast-food")</f>
        <v>horeca&amp;fast-food</v>
      </c>
      <c r="D439" s="15" t="str">
        <f>IFERROR(__xludf.DUMMYFUNCTION("""COMPUTED_VALUE"""),"теплове обладнання horeca&amp;fast-food")</f>
        <v>теплове обладнання horeca&amp;fast-food</v>
      </c>
      <c r="E439" s="15" t="str">
        <f>IFERROR(__xludf.DUMMYFUNCTION("""COMPUTED_VALUE"""),"сковороди професійні")</f>
        <v>сковороди професійні</v>
      </c>
      <c r="F439" s="17">
        <f>IFERROR(__xludf.DUMMYFUNCTION("""COMPUTED_VALUE"""),4.0)</f>
        <v>4</v>
      </c>
      <c r="G439" s="17">
        <f>IFERROR(__xludf.DUMMYFUNCTION("""COMPUTED_VALUE"""),2200932.0)</f>
        <v>2200932</v>
      </c>
      <c r="H439" s="17" t="str">
        <f>IFERROR(__xludf.DUMMYFUNCTION("""COMPUTED_VALUE"""),"сковороди професійні")</f>
        <v>сковороди професійні</v>
      </c>
      <c r="I439" s="18">
        <f>IFERROR(__xludf.DUMMYFUNCTION("""COMPUTED_VALUE"""),1.98)</f>
        <v>1.98</v>
      </c>
      <c r="J439" s="18">
        <f>IFERROR(__xludf.DUMMYFUNCTION("""COMPUTED_VALUE"""),3.96)</f>
        <v>3.96</v>
      </c>
      <c r="K439" s="18">
        <f>IFERROR(__xludf.DUMMYFUNCTION("""COMPUTED_VALUE"""),4.95)</f>
        <v>4.95</v>
      </c>
      <c r="L439" s="18">
        <f>IFERROR(__xludf.DUMMYFUNCTION("""COMPUTED_VALUE"""),7.93)</f>
        <v>7.93</v>
      </c>
    </row>
    <row r="440">
      <c r="A440" s="13" t="str">
        <f>IFERROR(__xludf.DUMMYFUNCTION("""COMPUTED_VALUE"""),"товари")</f>
        <v>товари</v>
      </c>
      <c r="B440" s="13" t="str">
        <f>IFERROR(__xludf.DUMMYFUNCTION("""COMPUTED_VALUE"""),"обладнання та товари для надання послуг")</f>
        <v>обладнання та товари для надання послуг</v>
      </c>
      <c r="C440" s="15" t="str">
        <f>IFERROR(__xludf.DUMMYFUNCTION("""COMPUTED_VALUE"""),"товари для спортивної інфраструктури")</f>
        <v>товари для спортивної інфраструктури</v>
      </c>
      <c r="D440" s="15" t="str">
        <f>IFERROR(__xludf.DUMMYFUNCTION("""COMPUTED_VALUE"""),"спортивні покриття")</f>
        <v>спортивні покриття</v>
      </c>
      <c r="E440" s="15" t="str">
        <f>IFERROR(__xludf.DUMMYFUNCTION("""COMPUTED_VALUE"""),"спортивні покриття")</f>
        <v>спортивні покриття</v>
      </c>
      <c r="F440" s="17">
        <f>IFERROR(__xludf.DUMMYFUNCTION("""COMPUTED_VALUE"""),3.0)</f>
        <v>3</v>
      </c>
      <c r="G440" s="17">
        <f>IFERROR(__xludf.DUMMYFUNCTION("""COMPUTED_VALUE"""),130721.0)</f>
        <v>130721</v>
      </c>
      <c r="H440" s="17" t="str">
        <f>IFERROR(__xludf.DUMMYFUNCTION("""COMPUTED_VALUE"""),"спортивні покриття")</f>
        <v>спортивні покриття</v>
      </c>
      <c r="I440" s="18">
        <f>IFERROR(__xludf.DUMMYFUNCTION("""COMPUTED_VALUE"""),0.76)</f>
        <v>0.76</v>
      </c>
      <c r="J440" s="18">
        <f>IFERROR(__xludf.DUMMYFUNCTION("""COMPUTED_VALUE"""),1.53)</f>
        <v>1.53</v>
      </c>
      <c r="K440" s="18">
        <f>IFERROR(__xludf.DUMMYFUNCTION("""COMPUTED_VALUE"""),1.91)</f>
        <v>1.91</v>
      </c>
      <c r="L440" s="18">
        <f>IFERROR(__xludf.DUMMYFUNCTION("""COMPUTED_VALUE"""),3.05)</f>
        <v>3.05</v>
      </c>
    </row>
    <row r="441">
      <c r="A441" s="13" t="str">
        <f>IFERROR(__xludf.DUMMYFUNCTION("""COMPUTED_VALUE"""),"товари")</f>
        <v>товари</v>
      </c>
      <c r="B441" s="13" t="str">
        <f>IFERROR(__xludf.DUMMYFUNCTION("""COMPUTED_VALUE"""),"обладнання та товари для надання послуг")</f>
        <v>обладнання та товари для надання послуг</v>
      </c>
      <c r="C441" s="15" t="str">
        <f>IFERROR(__xludf.DUMMYFUNCTION("""COMPUTED_VALUE"""),"комерційні меблі")</f>
        <v>комерційні меблі</v>
      </c>
      <c r="D441" s="15" t="str">
        <f>IFERROR(__xludf.DUMMYFUNCTION("""COMPUTED_VALUE"""),"меблі для horeca")</f>
        <v>меблі для horeca</v>
      </c>
      <c r="E441" s="15" t="str">
        <f>IFERROR(__xludf.DUMMYFUNCTION("""COMPUTED_VALUE"""),"станції бармена")</f>
        <v>станції бармена</v>
      </c>
      <c r="F441" s="17">
        <f>IFERROR(__xludf.DUMMYFUNCTION("""COMPUTED_VALUE"""),4.0)</f>
        <v>4</v>
      </c>
      <c r="G441" s="17">
        <f>IFERROR(__xludf.DUMMYFUNCTION("""COMPUTED_VALUE"""),3.7011002E7)</f>
        <v>37011002</v>
      </c>
      <c r="H441" s="17" t="str">
        <f>IFERROR(__xludf.DUMMYFUNCTION("""COMPUTED_VALUE"""),"станції бармена")</f>
        <v>станції бармена</v>
      </c>
      <c r="I441" s="18">
        <f>IFERROR(__xludf.DUMMYFUNCTION("""COMPUTED_VALUE"""),2.06)</f>
        <v>2.06</v>
      </c>
      <c r="J441" s="18">
        <f>IFERROR(__xludf.DUMMYFUNCTION("""COMPUTED_VALUE"""),4.13)</f>
        <v>4.13</v>
      </c>
      <c r="K441" s="18">
        <f>IFERROR(__xludf.DUMMYFUNCTION("""COMPUTED_VALUE"""),5.16)</f>
        <v>5.16</v>
      </c>
      <c r="L441" s="18">
        <f>IFERROR(__xludf.DUMMYFUNCTION("""COMPUTED_VALUE"""),8.25)</f>
        <v>8.25</v>
      </c>
    </row>
    <row r="442">
      <c r="A442" s="13" t="str">
        <f>IFERROR(__xludf.DUMMYFUNCTION("""COMPUTED_VALUE"""),"товари")</f>
        <v>товари</v>
      </c>
      <c r="B442" s="13" t="str">
        <f>IFERROR(__xludf.DUMMYFUNCTION("""COMPUTED_VALUE"""),"обладнання та товари для надання послуг")</f>
        <v>обладнання та товари для надання послуг</v>
      </c>
      <c r="C442" s="15" t="str">
        <f>IFERROR(__xludf.DUMMYFUNCTION("""COMPUTED_VALUE"""),"комерційні меблі")</f>
        <v>комерційні меблі</v>
      </c>
      <c r="D442" s="15" t="str">
        <f>IFERROR(__xludf.DUMMYFUNCTION("""COMPUTED_VALUE"""),"торгові меблі")</f>
        <v>торгові меблі</v>
      </c>
      <c r="E442" s="15" t="str">
        <f>IFERROR(__xludf.DUMMYFUNCTION("""COMPUTED_VALUE"""),"стелажі торгові і аксесуари")</f>
        <v>стелажі торгові і аксесуари</v>
      </c>
      <c r="F442" s="17">
        <f>IFERROR(__xludf.DUMMYFUNCTION("""COMPUTED_VALUE"""),4.0)</f>
        <v>4</v>
      </c>
      <c r="G442" s="17">
        <f>IFERROR(__xludf.DUMMYFUNCTION("""COMPUTED_VALUE"""),2.8290301E7)</f>
        <v>28290301</v>
      </c>
      <c r="H442" s="17" t="str">
        <f>IFERROR(__xludf.DUMMYFUNCTION("""COMPUTED_VALUE"""),"стелажі торгові і аксесуари")</f>
        <v>стелажі торгові і аксесуари</v>
      </c>
      <c r="I442" s="18">
        <f>IFERROR(__xludf.DUMMYFUNCTION("""COMPUTED_VALUE"""),1.53)</f>
        <v>1.53</v>
      </c>
      <c r="J442" s="18">
        <f>IFERROR(__xludf.DUMMYFUNCTION("""COMPUTED_VALUE"""),3.06)</f>
        <v>3.06</v>
      </c>
      <c r="K442" s="18">
        <f>IFERROR(__xludf.DUMMYFUNCTION("""COMPUTED_VALUE"""),3.83)</f>
        <v>3.83</v>
      </c>
      <c r="L442" s="18">
        <f>IFERROR(__xludf.DUMMYFUNCTION("""COMPUTED_VALUE"""),6.13)</f>
        <v>6.13</v>
      </c>
    </row>
    <row r="443">
      <c r="A443" s="13" t="str">
        <f>IFERROR(__xludf.DUMMYFUNCTION("""COMPUTED_VALUE"""),"товари")</f>
        <v>товари</v>
      </c>
      <c r="B443" s="13" t="str">
        <f>IFERROR(__xludf.DUMMYFUNCTION("""COMPUTED_VALUE"""),"обладнання та товари для надання послуг")</f>
        <v>обладнання та товари для надання послуг</v>
      </c>
      <c r="C443" s="15" t="str">
        <f>IFERROR(__xludf.DUMMYFUNCTION("""COMPUTED_VALUE"""),"обладнання для автосервісу")</f>
        <v>обладнання для автосервісу</v>
      </c>
      <c r="D443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443" s="15" t="str">
        <f>IFERROR(__xludf.DUMMYFUNCTION("""COMPUTED_VALUE"""),"стенди регулювання розвал-сходження коліс")</f>
        <v>стенди регулювання розвал-сходження коліс</v>
      </c>
      <c r="F443" s="17">
        <f>IFERROR(__xludf.DUMMYFUNCTION("""COMPUTED_VALUE"""),4.0)</f>
        <v>4</v>
      </c>
      <c r="G443" s="17">
        <f>IFERROR(__xludf.DUMMYFUNCTION("""COMPUTED_VALUE"""),1.2110102E7)</f>
        <v>12110102</v>
      </c>
      <c r="H443" s="17" t="str">
        <f>IFERROR(__xludf.DUMMYFUNCTION("""COMPUTED_VALUE"""),"стенди регулювання розвал-сходження коліс")</f>
        <v>стенди регулювання розвал-сходження коліс</v>
      </c>
      <c r="I443" s="18">
        <f>IFERROR(__xludf.DUMMYFUNCTION("""COMPUTED_VALUE"""),1.95)</f>
        <v>1.95</v>
      </c>
      <c r="J443" s="18">
        <f>IFERROR(__xludf.DUMMYFUNCTION("""COMPUTED_VALUE"""),3.9)</f>
        <v>3.9</v>
      </c>
      <c r="K443" s="18">
        <f>IFERROR(__xludf.DUMMYFUNCTION("""COMPUTED_VALUE"""),4.88)</f>
        <v>4.88</v>
      </c>
      <c r="L443" s="18">
        <f>IFERROR(__xludf.DUMMYFUNCTION("""COMPUTED_VALUE"""),7.8)</f>
        <v>7.8</v>
      </c>
    </row>
    <row r="444">
      <c r="A444" s="13" t="str">
        <f>IFERROR(__xludf.DUMMYFUNCTION("""COMPUTED_VALUE"""),"товари")</f>
        <v>товари</v>
      </c>
      <c r="B444" s="13" t="str">
        <f>IFERROR(__xludf.DUMMYFUNCTION("""COMPUTED_VALUE"""),"обладнання та товари для надання послуг")</f>
        <v>обладнання та товари для надання послуг</v>
      </c>
      <c r="C444" s="15" t="str">
        <f>IFERROR(__xludf.DUMMYFUNCTION("""COMPUTED_VALUE"""),"horeca&amp;fast-food")</f>
        <v>horeca&amp;fast-food</v>
      </c>
      <c r="D444" s="15" t="str">
        <f>IFERROR(__xludf.DUMMYFUNCTION("""COMPUTED_VALUE"""),"теплове обладнання horeca&amp;fast-food")</f>
        <v>теплове обладнання horeca&amp;fast-food</v>
      </c>
      <c r="E444" s="15" t="str">
        <f>IFERROR(__xludf.DUMMYFUNCTION("""COMPUTED_VALUE"""),"столи, шафи теплові")</f>
        <v>столи, шафи теплові</v>
      </c>
      <c r="F444" s="17">
        <f>IFERROR(__xludf.DUMMYFUNCTION("""COMPUTED_VALUE"""),4.0)</f>
        <v>4</v>
      </c>
      <c r="G444" s="17">
        <f>IFERROR(__xludf.DUMMYFUNCTION("""COMPUTED_VALUE"""),2200927.0)</f>
        <v>2200927</v>
      </c>
      <c r="H444" s="17" t="str">
        <f>IFERROR(__xludf.DUMMYFUNCTION("""COMPUTED_VALUE"""),"столи, шафи теплові")</f>
        <v>столи, шафи теплові</v>
      </c>
      <c r="I444" s="18">
        <f>IFERROR(__xludf.DUMMYFUNCTION("""COMPUTED_VALUE"""),1.98)</f>
        <v>1.98</v>
      </c>
      <c r="J444" s="18">
        <f>IFERROR(__xludf.DUMMYFUNCTION("""COMPUTED_VALUE"""),3.96)</f>
        <v>3.96</v>
      </c>
      <c r="K444" s="18">
        <f>IFERROR(__xludf.DUMMYFUNCTION("""COMPUTED_VALUE"""),4.95)</f>
        <v>4.95</v>
      </c>
      <c r="L444" s="18">
        <f>IFERROR(__xludf.DUMMYFUNCTION("""COMPUTED_VALUE"""),7.93)</f>
        <v>7.93</v>
      </c>
    </row>
    <row r="445">
      <c r="A445" s="13" t="str">
        <f>IFERROR(__xludf.DUMMYFUNCTION("""COMPUTED_VALUE"""),"товари")</f>
        <v>товари</v>
      </c>
      <c r="B445" s="13" t="str">
        <f>IFERROR(__xludf.DUMMYFUNCTION("""COMPUTED_VALUE"""),"обладнання та товари для надання послуг")</f>
        <v>обладнання та товари для надання послуг</v>
      </c>
      <c r="C445" s="15" t="str">
        <f>IFERROR(__xludf.DUMMYFUNCTION("""COMPUTED_VALUE"""),"вендінгове і розважальне обладнання")</f>
        <v>вендінгове і розважальне обладнання</v>
      </c>
      <c r="D445" s="15" t="str">
        <f>IFERROR(__xludf.DUMMYFUNCTION("""COMPUTED_VALUE"""),"сцени")</f>
        <v>сцени</v>
      </c>
      <c r="E445" s="15" t="str">
        <f>IFERROR(__xludf.DUMMYFUNCTION("""COMPUTED_VALUE"""),"сцени")</f>
        <v>сцени</v>
      </c>
      <c r="F445" s="17">
        <f>IFERROR(__xludf.DUMMYFUNCTION("""COMPUTED_VALUE"""),3.0)</f>
        <v>3</v>
      </c>
      <c r="G445" s="17">
        <f>IFERROR(__xludf.DUMMYFUNCTION("""COMPUTED_VALUE"""),283055.0)</f>
        <v>283055</v>
      </c>
      <c r="H445" s="17" t="str">
        <f>IFERROR(__xludf.DUMMYFUNCTION("""COMPUTED_VALUE"""),"сцени")</f>
        <v>сцени</v>
      </c>
      <c r="I445" s="18">
        <f>IFERROR(__xludf.DUMMYFUNCTION("""COMPUTED_VALUE"""),1.04)</f>
        <v>1.04</v>
      </c>
      <c r="J445" s="18">
        <f>IFERROR(__xludf.DUMMYFUNCTION("""COMPUTED_VALUE"""),2.08)</f>
        <v>2.08</v>
      </c>
      <c r="K445" s="18">
        <f>IFERROR(__xludf.DUMMYFUNCTION("""COMPUTED_VALUE"""),2.59)</f>
        <v>2.59</v>
      </c>
      <c r="L445" s="18">
        <f>IFERROR(__xludf.DUMMYFUNCTION("""COMPUTED_VALUE"""),4.15)</f>
        <v>4.15</v>
      </c>
    </row>
    <row r="446">
      <c r="A446" s="13" t="str">
        <f>IFERROR(__xludf.DUMMYFUNCTION("""COMPUTED_VALUE"""),"товари")</f>
        <v>товари</v>
      </c>
      <c r="B446" s="13" t="str">
        <f>IFERROR(__xludf.DUMMYFUNCTION("""COMPUTED_VALUE"""),"обладнання та товари для надання послуг")</f>
        <v>обладнання та товари для надання послуг</v>
      </c>
      <c r="C446" s="15" t="str">
        <f>IFERROR(__xludf.DUMMYFUNCTION("""COMPUTED_VALUE"""),"horeca&amp;fast-food")</f>
        <v>horeca&amp;fast-food</v>
      </c>
      <c r="D446" s="15" t="str">
        <f>IFERROR(__xludf.DUMMYFUNCTION("""COMPUTED_VALUE"""),"теплове обладнання horeca&amp;fast-food")</f>
        <v>теплове обладнання horeca&amp;fast-food</v>
      </c>
      <c r="E446" s="15" t="str">
        <f>IFERROR(__xludf.DUMMYFUNCTION("""COMPUTED_VALUE"""),"теплові вітрини ")</f>
        <v>теплові вітрини </v>
      </c>
      <c r="F446" s="17">
        <f>IFERROR(__xludf.DUMMYFUNCTION("""COMPUTED_VALUE"""),4.0)</f>
        <v>4</v>
      </c>
      <c r="G446" s="17">
        <f>IFERROR(__xludf.DUMMYFUNCTION("""COMPUTED_VALUE"""),240643.0)</f>
        <v>240643</v>
      </c>
      <c r="H446" s="17" t="str">
        <f>IFERROR(__xludf.DUMMYFUNCTION("""COMPUTED_VALUE"""),"теплові вітрини ")</f>
        <v>теплові вітрини </v>
      </c>
      <c r="I446" s="18">
        <f>IFERROR(__xludf.DUMMYFUNCTION("""COMPUTED_VALUE"""),1.98)</f>
        <v>1.98</v>
      </c>
      <c r="J446" s="18">
        <f>IFERROR(__xludf.DUMMYFUNCTION("""COMPUTED_VALUE"""),3.96)</f>
        <v>3.96</v>
      </c>
      <c r="K446" s="18">
        <f>IFERROR(__xludf.DUMMYFUNCTION("""COMPUTED_VALUE"""),4.95)</f>
        <v>4.95</v>
      </c>
      <c r="L446" s="18">
        <f>IFERROR(__xludf.DUMMYFUNCTION("""COMPUTED_VALUE"""),7.93)</f>
        <v>7.93</v>
      </c>
    </row>
    <row r="447">
      <c r="A447" s="13" t="str">
        <f>IFERROR(__xludf.DUMMYFUNCTION("""COMPUTED_VALUE"""),"товари")</f>
        <v>товари</v>
      </c>
      <c r="B447" s="13" t="str">
        <f>IFERROR(__xludf.DUMMYFUNCTION("""COMPUTED_VALUE"""),"обладнання та товари для надання послуг")</f>
        <v>обладнання та товари для надання послуг</v>
      </c>
      <c r="C447" s="15" t="str">
        <f>IFERROR(__xludf.DUMMYFUNCTION("""COMPUTED_VALUE"""),"обладнання та матеріали для друкарні")</f>
        <v>обладнання та матеріали для друкарні</v>
      </c>
      <c r="D447" s="15" t="str">
        <f>IFERROR(__xludf.DUMMYFUNCTION("""COMPUTED_VALUE"""),"друкарське устаткування")</f>
        <v>друкарське устаткування</v>
      </c>
      <c r="E447" s="15" t="str">
        <f>IFERROR(__xludf.DUMMYFUNCTION("""COMPUTED_VALUE"""),"термопреси")</f>
        <v>термопреси</v>
      </c>
      <c r="F447" s="17">
        <f>IFERROR(__xludf.DUMMYFUNCTION("""COMPUTED_VALUE"""),4.0)</f>
        <v>4</v>
      </c>
      <c r="G447" s="17">
        <f>IFERROR(__xludf.DUMMYFUNCTION("""COMPUTED_VALUE"""),230906.0)</f>
        <v>230906</v>
      </c>
      <c r="H447" s="17" t="str">
        <f>IFERROR(__xludf.DUMMYFUNCTION("""COMPUTED_VALUE"""),"термопреси")</f>
        <v>термопреси</v>
      </c>
      <c r="I447" s="18">
        <f>IFERROR(__xludf.DUMMYFUNCTION("""COMPUTED_VALUE"""),1.17)</f>
        <v>1.17</v>
      </c>
      <c r="J447" s="18">
        <f>IFERROR(__xludf.DUMMYFUNCTION("""COMPUTED_VALUE"""),2.34)</f>
        <v>2.34</v>
      </c>
      <c r="K447" s="18">
        <f>IFERROR(__xludf.DUMMYFUNCTION("""COMPUTED_VALUE"""),2.92)</f>
        <v>2.92</v>
      </c>
      <c r="L447" s="18">
        <f>IFERROR(__xludf.DUMMYFUNCTION("""COMPUTED_VALUE"""),4.68)</f>
        <v>4.68</v>
      </c>
    </row>
    <row r="448">
      <c r="A448" s="13" t="str">
        <f>IFERROR(__xludf.DUMMYFUNCTION("""COMPUTED_VALUE"""),"товари")</f>
        <v>товари</v>
      </c>
      <c r="B448" s="13" t="str">
        <f>IFERROR(__xludf.DUMMYFUNCTION("""COMPUTED_VALUE"""),"обладнання та товари для надання послуг")</f>
        <v>обладнання та товари для надання послуг</v>
      </c>
      <c r="C448" s="15" t="str">
        <f>IFERROR(__xludf.DUMMYFUNCTION("""COMPUTED_VALUE"""),"комерційні меблі")</f>
        <v>комерційні меблі</v>
      </c>
      <c r="D448" s="15" t="str">
        <f>IFERROR(__xludf.DUMMYFUNCTION("""COMPUTED_VALUE"""),"меблі для навчальних закладів")</f>
        <v>меблі для навчальних закладів</v>
      </c>
      <c r="E448" s="15" t="str">
        <f>IFERROR(__xludf.DUMMYFUNCTION("""COMPUTED_VALUE"""),"трибуни для виступів")</f>
        <v>трибуни для виступів</v>
      </c>
      <c r="F448" s="17">
        <f>IFERROR(__xludf.DUMMYFUNCTION("""COMPUTED_VALUE"""),4.0)</f>
        <v>4</v>
      </c>
      <c r="G448" s="17">
        <f>IFERROR(__xludf.DUMMYFUNCTION("""COMPUTED_VALUE"""),370241.0)</f>
        <v>370241</v>
      </c>
      <c r="H448" s="17" t="str">
        <f>IFERROR(__xludf.DUMMYFUNCTION("""COMPUTED_VALUE"""),"трибуни для виступів")</f>
        <v>трибуни для виступів</v>
      </c>
      <c r="I448" s="18">
        <f>IFERROR(__xludf.DUMMYFUNCTION("""COMPUTED_VALUE"""),1.08)</f>
        <v>1.08</v>
      </c>
      <c r="J448" s="18">
        <f>IFERROR(__xludf.DUMMYFUNCTION("""COMPUTED_VALUE"""),2.16)</f>
        <v>2.16</v>
      </c>
      <c r="K448" s="18">
        <f>IFERROR(__xludf.DUMMYFUNCTION("""COMPUTED_VALUE"""),2.7)</f>
        <v>2.7</v>
      </c>
      <c r="L448" s="18">
        <f>IFERROR(__xludf.DUMMYFUNCTION("""COMPUTED_VALUE"""),4.33)</f>
        <v>4.33</v>
      </c>
    </row>
    <row r="449">
      <c r="A449" s="13" t="str">
        <f>IFERROR(__xludf.DUMMYFUNCTION("""COMPUTED_VALUE"""),"товари")</f>
        <v>товари</v>
      </c>
      <c r="B449" s="13" t="str">
        <f>IFERROR(__xludf.DUMMYFUNCTION("""COMPUTED_VALUE"""),"обладнання та товари для надання послуг")</f>
        <v>обладнання та товари для надання послуг</v>
      </c>
      <c r="C449" s="15" t="str">
        <f>IFERROR(__xludf.DUMMYFUNCTION("""COMPUTED_VALUE"""),"обладнання для автосервісу")</f>
        <v>обладнання для автосервісу</v>
      </c>
      <c r="D449" s="15" t="str">
        <f>IFERROR(__xludf.DUMMYFUNCTION("""COMPUTED_VALUE"""),"ультразвукові ванни, мийки, очисники")</f>
        <v>ультразвукові ванни, мийки, очисники</v>
      </c>
      <c r="E449" s="15" t="str">
        <f>IFERROR(__xludf.DUMMYFUNCTION("""COMPUTED_VALUE"""),"ультразвукові ванни, мийки, очисники")</f>
        <v>ультразвукові ванни, мийки, очисники</v>
      </c>
      <c r="F449" s="17">
        <f>IFERROR(__xludf.DUMMYFUNCTION("""COMPUTED_VALUE"""),3.0)</f>
        <v>3</v>
      </c>
      <c r="G449" s="17">
        <f>IFERROR(__xludf.DUMMYFUNCTION("""COMPUTED_VALUE"""),646.0)</f>
        <v>646</v>
      </c>
      <c r="H449" s="17" t="str">
        <f>IFERROR(__xludf.DUMMYFUNCTION("""COMPUTED_VALUE"""),"ультразвукові ванни, мийки, очисники")</f>
        <v>ультразвукові ванни, мийки, очисники</v>
      </c>
      <c r="I449" s="18">
        <f>IFERROR(__xludf.DUMMYFUNCTION("""COMPUTED_VALUE"""),2.29)</f>
        <v>2.29</v>
      </c>
      <c r="J449" s="18">
        <f>IFERROR(__xludf.DUMMYFUNCTION("""COMPUTED_VALUE"""),4.58)</f>
        <v>4.58</v>
      </c>
      <c r="K449" s="18">
        <f>IFERROR(__xludf.DUMMYFUNCTION("""COMPUTED_VALUE"""),5.72)</f>
        <v>5.72</v>
      </c>
      <c r="L449" s="18">
        <f>IFERROR(__xludf.DUMMYFUNCTION("""COMPUTED_VALUE"""),9.15)</f>
        <v>9.15</v>
      </c>
    </row>
    <row r="450">
      <c r="A450" s="13" t="str">
        <f>IFERROR(__xludf.DUMMYFUNCTION("""COMPUTED_VALUE"""),"товари")</f>
        <v>товари</v>
      </c>
      <c r="B450" s="13" t="str">
        <f>IFERROR(__xludf.DUMMYFUNCTION("""COMPUTED_VALUE"""),"обладнання та товари для надання послуг")</f>
        <v>обладнання та товари для надання послуг</v>
      </c>
      <c r="C450" s="15" t="str">
        <f>IFERROR(__xludf.DUMMYFUNCTION("""COMPUTED_VALUE"""),"обладнання та матеріали для друкарні")</f>
        <v>обладнання та матеріали для друкарні</v>
      </c>
      <c r="D450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450" s="15" t="str">
        <f>IFERROR(__xludf.DUMMYFUNCTION("""COMPUTED_VALUE"""),"фальцювальні машини")</f>
        <v>фальцювальні машини</v>
      </c>
      <c r="F450" s="17">
        <f>IFERROR(__xludf.DUMMYFUNCTION("""COMPUTED_VALUE"""),4.0)</f>
        <v>4</v>
      </c>
      <c r="G450" s="17">
        <f>IFERROR(__xludf.DUMMYFUNCTION("""COMPUTED_VALUE"""),230913.0)</f>
        <v>230913</v>
      </c>
      <c r="H450" s="17" t="str">
        <f>IFERROR(__xludf.DUMMYFUNCTION("""COMPUTED_VALUE"""),"фальцювальні машини")</f>
        <v>фальцювальні машини</v>
      </c>
      <c r="I450" s="18">
        <f>IFERROR(__xludf.DUMMYFUNCTION("""COMPUTED_VALUE"""),1.62)</f>
        <v>1.62</v>
      </c>
      <c r="J450" s="18">
        <f>IFERROR(__xludf.DUMMYFUNCTION("""COMPUTED_VALUE"""),3.24)</f>
        <v>3.24</v>
      </c>
      <c r="K450" s="18">
        <f>IFERROR(__xludf.DUMMYFUNCTION("""COMPUTED_VALUE"""),4.05)</f>
        <v>4.05</v>
      </c>
      <c r="L450" s="18">
        <f>IFERROR(__xludf.DUMMYFUNCTION("""COMPUTED_VALUE"""),6.48)</f>
        <v>6.48</v>
      </c>
    </row>
    <row r="451">
      <c r="A451" s="13" t="str">
        <f>IFERROR(__xludf.DUMMYFUNCTION("""COMPUTED_VALUE"""),"товари")</f>
        <v>товари</v>
      </c>
      <c r="B451" s="13" t="str">
        <f>IFERROR(__xludf.DUMMYFUNCTION("""COMPUTED_VALUE"""),"обладнання та товари для надання послуг")</f>
        <v>обладнання та товари для надання послуг</v>
      </c>
      <c r="C451" s="16" t="str">
        <f>IFERROR(__xludf.DUMMYFUNCTION("""COMPUTED_VALUE"""),"професійне аудіо-, відео-, фото обладнання")</f>
        <v>професійне аудіо-, відео-, фото обладнання</v>
      </c>
      <c r="D451" s="16" t="str">
        <f>IFERROR(__xludf.DUMMYFUNCTION("""COMPUTED_VALUE"""),"фотолабораторії")</f>
        <v>фотолабораторії</v>
      </c>
      <c r="E451" s="16" t="str">
        <f>IFERROR(__xludf.DUMMYFUNCTION("""COMPUTED_VALUE"""),"фотолабораторії")</f>
        <v>фотолабораторії</v>
      </c>
      <c r="F451" s="17">
        <f>IFERROR(__xludf.DUMMYFUNCTION("""COMPUTED_VALUE"""),3.0)</f>
        <v>3</v>
      </c>
      <c r="G451" s="17">
        <f>IFERROR(__xludf.DUMMYFUNCTION("""COMPUTED_VALUE"""),1913.0)</f>
        <v>1913</v>
      </c>
      <c r="H451" s="17" t="str">
        <f>IFERROR(__xludf.DUMMYFUNCTION("""COMPUTED_VALUE"""),"фотолабораторії")</f>
        <v>фотолабораторії</v>
      </c>
      <c r="I451" s="18">
        <f>IFERROR(__xludf.DUMMYFUNCTION("""COMPUTED_VALUE"""),0.53)</f>
        <v>0.53</v>
      </c>
      <c r="J451" s="18">
        <f>IFERROR(__xludf.DUMMYFUNCTION("""COMPUTED_VALUE"""),1.05)</f>
        <v>1.05</v>
      </c>
      <c r="K451" s="18">
        <f>IFERROR(__xludf.DUMMYFUNCTION("""COMPUTED_VALUE"""),1.31)</f>
        <v>1.31</v>
      </c>
      <c r="L451" s="18">
        <f>IFERROR(__xludf.DUMMYFUNCTION("""COMPUTED_VALUE"""),2.1)</f>
        <v>2.1</v>
      </c>
    </row>
    <row r="452">
      <c r="A452" s="13" t="str">
        <f>IFERROR(__xludf.DUMMYFUNCTION("""COMPUTED_VALUE"""),"товари")</f>
        <v>товари</v>
      </c>
      <c r="B452" s="13" t="str">
        <f>IFERROR(__xludf.DUMMYFUNCTION("""COMPUTED_VALUE"""),"обладнання та товари для надання послуг")</f>
        <v>обладнання та товари для надання послуг</v>
      </c>
      <c r="C452" s="15" t="str">
        <f>IFERROR(__xludf.DUMMYFUNCTION("""COMPUTED_VALUE"""),"horeca&amp;fast-food")</f>
        <v>horeca&amp;fast-food</v>
      </c>
      <c r="D452" s="15" t="str">
        <f>IFERROR(__xludf.DUMMYFUNCTION("""COMPUTED_VALUE"""),"теплове обладнання horeca&amp;fast-food")</f>
        <v>теплове обладнання horeca&amp;fast-food</v>
      </c>
      <c r="E452" s="15" t="str">
        <f>IFERROR(__xludf.DUMMYFUNCTION("""COMPUTED_VALUE"""),"харчоварильні котли")</f>
        <v>харчоварильні котли</v>
      </c>
      <c r="F452" s="17">
        <f>IFERROR(__xludf.DUMMYFUNCTION("""COMPUTED_VALUE"""),4.0)</f>
        <v>4</v>
      </c>
      <c r="G452" s="17">
        <f>IFERROR(__xludf.DUMMYFUNCTION("""COMPUTED_VALUE"""),240619.0)</f>
        <v>240619</v>
      </c>
      <c r="H452" s="17" t="str">
        <f>IFERROR(__xludf.DUMMYFUNCTION("""COMPUTED_VALUE"""),"харчоварильні котли")</f>
        <v>харчоварильні котли</v>
      </c>
      <c r="I452" s="18">
        <f>IFERROR(__xludf.DUMMYFUNCTION("""COMPUTED_VALUE"""),1.98)</f>
        <v>1.98</v>
      </c>
      <c r="J452" s="18">
        <f>IFERROR(__xludf.DUMMYFUNCTION("""COMPUTED_VALUE"""),3.96)</f>
        <v>3.96</v>
      </c>
      <c r="K452" s="18">
        <f>IFERROR(__xludf.DUMMYFUNCTION("""COMPUTED_VALUE"""),4.95)</f>
        <v>4.95</v>
      </c>
      <c r="L452" s="18">
        <f>IFERROR(__xludf.DUMMYFUNCTION("""COMPUTED_VALUE"""),7.93)</f>
        <v>7.93</v>
      </c>
    </row>
    <row r="453">
      <c r="A453" s="13" t="str">
        <f>IFERROR(__xludf.DUMMYFUNCTION("""COMPUTED_VALUE"""),"товари")</f>
        <v>товари</v>
      </c>
      <c r="B453" s="13" t="str">
        <f>IFERROR(__xludf.DUMMYFUNCTION("""COMPUTED_VALUE"""),"обладнання та товари для надання послуг")</f>
        <v>обладнання та товари для надання послуг</v>
      </c>
      <c r="C453" s="15" t="str">
        <f>IFERROR(__xludf.DUMMYFUNCTION("""COMPUTED_VALUE"""),"обладнання для торгівлі")</f>
        <v>обладнання для торгівлі</v>
      </c>
      <c r="D453" s="15" t="str">
        <f>IFERROR(__xludf.DUMMYFUNCTION("""COMPUTED_VALUE"""),"касове/прикасове обладнання")</f>
        <v>касове/прикасове обладнання</v>
      </c>
      <c r="E453" s="15" t="str">
        <f>IFERROR(__xludf.DUMMYFUNCTION("""COMPUTED_VALUE"""),"цінники")</f>
        <v>цінники</v>
      </c>
      <c r="F453" s="17">
        <f>IFERROR(__xludf.DUMMYFUNCTION("""COMPUTED_VALUE"""),4.0)</f>
        <v>4</v>
      </c>
      <c r="G453" s="17">
        <f>IFERROR(__xludf.DUMMYFUNCTION("""COMPUTED_VALUE"""),211305.0)</f>
        <v>211305</v>
      </c>
      <c r="H453" s="17" t="str">
        <f>IFERROR(__xludf.DUMMYFUNCTION("""COMPUTED_VALUE"""),"цінники")</f>
        <v>цінники</v>
      </c>
      <c r="I453" s="18">
        <f>IFERROR(__xludf.DUMMYFUNCTION("""COMPUTED_VALUE"""),2.21)</f>
        <v>2.21</v>
      </c>
      <c r="J453" s="18">
        <f>IFERROR(__xludf.DUMMYFUNCTION("""COMPUTED_VALUE"""),4.43)</f>
        <v>4.43</v>
      </c>
      <c r="K453" s="18">
        <f>IFERROR(__xludf.DUMMYFUNCTION("""COMPUTED_VALUE"""),5.53)</f>
        <v>5.53</v>
      </c>
      <c r="L453" s="18">
        <f>IFERROR(__xludf.DUMMYFUNCTION("""COMPUTED_VALUE"""),8.85)</f>
        <v>8.85</v>
      </c>
    </row>
    <row r="454">
      <c r="A454" s="13" t="str">
        <f>IFERROR(__xludf.DUMMYFUNCTION("""COMPUTED_VALUE"""),"товари")</f>
        <v>товари</v>
      </c>
      <c r="B454" s="13" t="str">
        <f>IFERROR(__xludf.DUMMYFUNCTION("""COMPUTED_VALUE"""),"обладнання та товари для надання послуг")</f>
        <v>обладнання та товари для надання послуг</v>
      </c>
      <c r="C454" s="15" t="str">
        <f>IFERROR(__xludf.DUMMYFUNCTION("""COMPUTED_VALUE"""),"комерційні меблі")</f>
        <v>комерційні меблі</v>
      </c>
      <c r="D454" s="15" t="str">
        <f>IFERROR(__xludf.DUMMYFUNCTION("""COMPUTED_VALUE"""),"торгові меблі")</f>
        <v>торгові меблі</v>
      </c>
      <c r="E454" s="15" t="str">
        <f>IFERROR(__xludf.DUMMYFUNCTION("""COMPUTED_VALUE"""),"шафи для зберігання особистих речей")</f>
        <v>шафи для зберігання особистих речей</v>
      </c>
      <c r="F454" s="17">
        <f>IFERROR(__xludf.DUMMYFUNCTION("""COMPUTED_VALUE"""),4.0)</f>
        <v>4</v>
      </c>
      <c r="G454" s="17">
        <f>IFERROR(__xludf.DUMMYFUNCTION("""COMPUTED_VALUE"""),2.8290304E7)</f>
        <v>28290304</v>
      </c>
      <c r="H454" s="17" t="str">
        <f>IFERROR(__xludf.DUMMYFUNCTION("""COMPUTED_VALUE"""),"шафи для зберігання особистих речей")</f>
        <v>шафи для зберігання особистих речей</v>
      </c>
      <c r="I454" s="18">
        <f>IFERROR(__xludf.DUMMYFUNCTION("""COMPUTED_VALUE"""),1.53)</f>
        <v>1.53</v>
      </c>
      <c r="J454" s="18">
        <f>IFERROR(__xludf.DUMMYFUNCTION("""COMPUTED_VALUE"""),3.06)</f>
        <v>3.06</v>
      </c>
      <c r="K454" s="18">
        <f>IFERROR(__xludf.DUMMYFUNCTION("""COMPUTED_VALUE"""),3.83)</f>
        <v>3.83</v>
      </c>
      <c r="L454" s="18">
        <f>IFERROR(__xludf.DUMMYFUNCTION("""COMPUTED_VALUE"""),6.13)</f>
        <v>6.13</v>
      </c>
    </row>
    <row r="455">
      <c r="A455" s="13" t="str">
        <f>IFERROR(__xludf.DUMMYFUNCTION("""COMPUTED_VALUE"""),"товари")</f>
        <v>товари</v>
      </c>
      <c r="B455" s="13" t="str">
        <f>IFERROR(__xludf.DUMMYFUNCTION("""COMPUTED_VALUE"""),"обладнання та товари для надання послуг")</f>
        <v>обладнання та товари для надання послуг</v>
      </c>
      <c r="C455" s="15" t="str">
        <f>IFERROR(__xludf.DUMMYFUNCTION("""COMPUTED_VALUE"""),"комерційні меблі")</f>
        <v>комерційні меблі</v>
      </c>
      <c r="D455" s="15" t="str">
        <f>IFERROR(__xludf.DUMMYFUNCTION("""COMPUTED_VALUE"""),"меблі для установ")</f>
        <v>меблі для установ</v>
      </c>
      <c r="E455" s="15" t="str">
        <f>IFERROR(__xludf.DUMMYFUNCTION("""COMPUTED_VALUE"""),"шафи для роздягалень і гардеробів")</f>
        <v>шафи для роздягалень і гардеробів</v>
      </c>
      <c r="F455" s="17">
        <f>IFERROR(__xludf.DUMMYFUNCTION("""COMPUTED_VALUE"""),4.0)</f>
        <v>4</v>
      </c>
      <c r="G455" s="17">
        <f>IFERROR(__xludf.DUMMYFUNCTION("""COMPUTED_VALUE"""),1.5030114E7)</f>
        <v>15030114</v>
      </c>
      <c r="H455" s="17" t="str">
        <f>IFERROR(__xludf.DUMMYFUNCTION("""COMPUTED_VALUE"""),"шафи для роздягалень і гардеробів")</f>
        <v>шафи для роздягалень і гардеробів</v>
      </c>
      <c r="I455" s="18">
        <f>IFERROR(__xludf.DUMMYFUNCTION("""COMPUTED_VALUE"""),2.06)</f>
        <v>2.06</v>
      </c>
      <c r="J455" s="18">
        <f>IFERROR(__xludf.DUMMYFUNCTION("""COMPUTED_VALUE"""),4.13)</f>
        <v>4.13</v>
      </c>
      <c r="K455" s="18">
        <f>IFERROR(__xludf.DUMMYFUNCTION("""COMPUTED_VALUE"""),5.16)</f>
        <v>5.16</v>
      </c>
      <c r="L455" s="18">
        <f>IFERROR(__xludf.DUMMYFUNCTION("""COMPUTED_VALUE"""),8.25)</f>
        <v>8.25</v>
      </c>
    </row>
    <row r="456">
      <c r="A456" s="13" t="str">
        <f>IFERROR(__xludf.DUMMYFUNCTION("""COMPUTED_VALUE"""),"товари")</f>
        <v>товари</v>
      </c>
      <c r="B456" s="13" t="str">
        <f>IFERROR(__xludf.DUMMYFUNCTION("""COMPUTED_VALUE"""),"обладнання та товари для надання послуг")</f>
        <v>обладнання та товари для надання послуг</v>
      </c>
      <c r="C456" s="15" t="str">
        <f>IFERROR(__xludf.DUMMYFUNCTION("""COMPUTED_VALUE"""),"обладнання для автосервісу")</f>
        <v>обладнання для автосервісу</v>
      </c>
      <c r="D456" s="15" t="str">
        <f>IFERROR(__xludf.DUMMYFUNCTION("""COMPUTED_VALUE"""),"шиномонтажне обладнання")</f>
        <v>шиномонтажне обладнання</v>
      </c>
      <c r="E456" s="15" t="str">
        <f>IFERROR(__xludf.DUMMYFUNCTION("""COMPUTED_VALUE"""),"шиномонтажне обладнання, загальне")</f>
        <v>шиномонтажне обладнання, загальне</v>
      </c>
      <c r="F456" s="17">
        <f>IFERROR(__xludf.DUMMYFUNCTION("""COMPUTED_VALUE"""),4.0)</f>
        <v>4</v>
      </c>
      <c r="G456" s="17">
        <f>IFERROR(__xludf.DUMMYFUNCTION("""COMPUTED_VALUE"""),1.2110108E7)</f>
        <v>12110108</v>
      </c>
      <c r="H456" s="17" t="str">
        <f>IFERROR(__xludf.DUMMYFUNCTION("""COMPUTED_VALUE"""),"шиномонтажне обладнання, загальне")</f>
        <v>шиномонтажне обладнання, загальне</v>
      </c>
      <c r="I456" s="18">
        <f>IFERROR(__xludf.DUMMYFUNCTION("""COMPUTED_VALUE"""),2.16)</f>
        <v>2.16</v>
      </c>
      <c r="J456" s="18">
        <f>IFERROR(__xludf.DUMMYFUNCTION("""COMPUTED_VALUE"""),4.33)</f>
        <v>4.33</v>
      </c>
      <c r="K456" s="18">
        <f>IFERROR(__xludf.DUMMYFUNCTION("""COMPUTED_VALUE"""),5.41)</f>
        <v>5.41</v>
      </c>
      <c r="L456" s="18">
        <f>IFERROR(__xludf.DUMMYFUNCTION("""COMPUTED_VALUE"""),8.65)</f>
        <v>8.65</v>
      </c>
    </row>
    <row r="457">
      <c r="A457" s="13" t="str">
        <f>IFERROR(__xludf.DUMMYFUNCTION("""COMPUTED_VALUE"""),"товари")</f>
        <v>товари</v>
      </c>
      <c r="B457" s="13" t="str">
        <f>IFERROR(__xludf.DUMMYFUNCTION("""COMPUTED_VALUE"""),"опалення")</f>
        <v>опалення</v>
      </c>
      <c r="C457" s="15" t="str">
        <f>IFERROR(__xludf.DUMMYFUNCTION("""COMPUTED_VALUE"""),"рідкопаливні котли")</f>
        <v>рідкопаливні котли</v>
      </c>
      <c r="D457" s="15" t="str">
        <f>IFERROR(__xludf.DUMMYFUNCTION("""COMPUTED_VALUE"""),"рідкопаливні котли")</f>
        <v>рідкопаливні котли</v>
      </c>
      <c r="E457" s="15" t="str">
        <f>IFERROR(__xludf.DUMMYFUNCTION("""COMPUTED_VALUE"""),"рідкопаливні котли")</f>
        <v>рідкопаливні котли</v>
      </c>
      <c r="F457" s="17">
        <f>IFERROR(__xludf.DUMMYFUNCTION("""COMPUTED_VALUE"""),2.0)</f>
        <v>2</v>
      </c>
      <c r="G457" s="17">
        <f>IFERROR(__xludf.DUMMYFUNCTION("""COMPUTED_VALUE"""),1.3240117E7)</f>
        <v>13240117</v>
      </c>
      <c r="H457" s="17" t="str">
        <f>IFERROR(__xludf.DUMMYFUNCTION("""COMPUTED_VALUE"""),"рідкопаливні котли")</f>
        <v>рідкопаливні котли</v>
      </c>
      <c r="I457" s="18">
        <f>IFERROR(__xludf.DUMMYFUNCTION("""COMPUTED_VALUE"""),2.7)</f>
        <v>2.7</v>
      </c>
      <c r="J457" s="18">
        <f>IFERROR(__xludf.DUMMYFUNCTION("""COMPUTED_VALUE"""),5.4)</f>
        <v>5.4</v>
      </c>
      <c r="K457" s="18">
        <f>IFERROR(__xludf.DUMMYFUNCTION("""COMPUTED_VALUE"""),6.75)</f>
        <v>6.75</v>
      </c>
      <c r="L457" s="18">
        <f>IFERROR(__xludf.DUMMYFUNCTION("""COMPUTED_VALUE"""),10.8)</f>
        <v>10.8</v>
      </c>
    </row>
    <row r="458">
      <c r="A458" s="13" t="str">
        <f>IFERROR(__xludf.DUMMYFUNCTION("""COMPUTED_VALUE"""),"послуги")</f>
        <v>послуги</v>
      </c>
      <c r="B458" s="13" t="str">
        <f>IFERROR(__xludf.DUMMYFUNCTION("""COMPUTED_VALUE"""),"охоронні, аварійні і екстрені служби")</f>
        <v>охоронні, аварійні і екстрені служби</v>
      </c>
      <c r="C458" s="16" t="str">
        <f>IFERROR(__xludf.DUMMYFUNCTION("""COMPUTED_VALUE"""),"послуги евакуатора")</f>
        <v>послуги евакуатора</v>
      </c>
      <c r="D458" s="16" t="str">
        <f>IFERROR(__xludf.DUMMYFUNCTION("""COMPUTED_VALUE"""),"послуги евакуатора")</f>
        <v>послуги евакуатора</v>
      </c>
      <c r="E458" s="16" t="str">
        <f>IFERROR(__xludf.DUMMYFUNCTION("""COMPUTED_VALUE"""),"послуги евакуатора")</f>
        <v>послуги евакуатора</v>
      </c>
      <c r="F458" s="17">
        <f>IFERROR(__xludf.DUMMYFUNCTION("""COMPUTED_VALUE"""),2.0)</f>
        <v>2</v>
      </c>
      <c r="G458" s="17">
        <f>IFERROR(__xludf.DUMMYFUNCTION("""COMPUTED_VALUE"""),301408.0)</f>
        <v>301408</v>
      </c>
      <c r="H458" s="17" t="str">
        <f>IFERROR(__xludf.DUMMYFUNCTION("""COMPUTED_VALUE"""),"послуги евакуатора")</f>
        <v>послуги евакуатора</v>
      </c>
      <c r="I458" s="18">
        <f>IFERROR(__xludf.DUMMYFUNCTION("""COMPUTED_VALUE"""),1.58)</f>
        <v>1.58</v>
      </c>
      <c r="J458" s="18">
        <f>IFERROR(__xludf.DUMMYFUNCTION("""COMPUTED_VALUE"""),3.15)</f>
        <v>3.15</v>
      </c>
      <c r="K458" s="18">
        <f>IFERROR(__xludf.DUMMYFUNCTION("""COMPUTED_VALUE"""),3.94)</f>
        <v>3.94</v>
      </c>
      <c r="L458" s="18">
        <f>IFERROR(__xludf.DUMMYFUNCTION("""COMPUTED_VALUE"""),6.3)</f>
        <v>6.3</v>
      </c>
    </row>
    <row r="459">
      <c r="A459" s="13" t="str">
        <f>IFERROR(__xludf.DUMMYFUNCTION("""COMPUTED_VALUE"""),"послуги")</f>
        <v>послуги</v>
      </c>
      <c r="B459" s="13" t="str">
        <f>IFERROR(__xludf.DUMMYFUNCTION("""COMPUTED_VALUE"""),"побутові послуги")</f>
        <v>побутові послуги</v>
      </c>
      <c r="C459" s="15" t="str">
        <f>IFERROR(__xludf.DUMMYFUNCTION("""COMPUTED_VALUE"""),"клінінгові послуги")</f>
        <v>клінінгові послуги</v>
      </c>
      <c r="D459" s="15" t="str">
        <f>IFERROR(__xludf.DUMMYFUNCTION("""COMPUTED_VALUE"""),"клінінгові послуги")</f>
        <v>клінінгові послуги</v>
      </c>
      <c r="E459" s="15" t="str">
        <f>IFERROR(__xludf.DUMMYFUNCTION("""COMPUTED_VALUE"""),"клінінгові послуги")</f>
        <v>клінінгові послуги</v>
      </c>
      <c r="F459" s="17">
        <f>IFERROR(__xludf.DUMMYFUNCTION("""COMPUTED_VALUE"""),2.0)</f>
        <v>2</v>
      </c>
      <c r="G459" s="17">
        <f>IFERROR(__xludf.DUMMYFUNCTION("""COMPUTED_VALUE"""),280101.0)</f>
        <v>280101</v>
      </c>
      <c r="H459" s="17" t="str">
        <f>IFERROR(__xludf.DUMMYFUNCTION("""COMPUTED_VALUE"""),"клінінгові послуги")</f>
        <v>клінінгові послуги</v>
      </c>
      <c r="I459" s="18">
        <f>IFERROR(__xludf.DUMMYFUNCTION("""COMPUTED_VALUE"""),2.7)</f>
        <v>2.7</v>
      </c>
      <c r="J459" s="18">
        <f>IFERROR(__xludf.DUMMYFUNCTION("""COMPUTED_VALUE"""),5.4)</f>
        <v>5.4</v>
      </c>
      <c r="K459" s="18">
        <f>IFERROR(__xludf.DUMMYFUNCTION("""COMPUTED_VALUE"""),6.75)</f>
        <v>6.75</v>
      </c>
      <c r="L459" s="18">
        <f>IFERROR(__xludf.DUMMYFUNCTION("""COMPUTED_VALUE"""),10.8)</f>
        <v>10.8</v>
      </c>
    </row>
    <row r="460">
      <c r="A460" s="13" t="str">
        <f>IFERROR(__xludf.DUMMYFUNCTION("""COMPUTED_VALUE"""),"послуги")</f>
        <v>послуги</v>
      </c>
      <c r="B460" s="13" t="str">
        <f>IFERROR(__xludf.DUMMYFUNCTION("""COMPUTED_VALUE"""),"побутові послуги")</f>
        <v>побутові послуги</v>
      </c>
      <c r="C460" s="15" t="str">
        <f>IFERROR(__xludf.DUMMYFUNCTION("""COMPUTED_VALUE"""),"послуги виготовлення та обслуговування побутових товарів")</f>
        <v>послуги виготовлення та обслуговування побутових товарів</v>
      </c>
      <c r="D460" s="15" t="str">
        <f>IFERROR(__xludf.DUMMYFUNCTION("""COMPUTED_VALUE"""),"послуги виготовлення та обслуговування побутових товарів")</f>
        <v>послуги виготовлення та обслуговування побутових товарів</v>
      </c>
      <c r="E460" s="15" t="str">
        <f>IFERROR(__xludf.DUMMYFUNCTION("""COMPUTED_VALUE"""),"послуги виготовлення та обслуговування побутових товарів")</f>
        <v>послуги виготовлення та обслуговування побутових товарів</v>
      </c>
      <c r="F460" s="17">
        <f>IFERROR(__xludf.DUMMYFUNCTION("""COMPUTED_VALUE"""),2.0)</f>
        <v>2</v>
      </c>
      <c r="G460" s="17">
        <f>IFERROR(__xludf.DUMMYFUNCTION("""COMPUTED_VALUE"""),2835.0)</f>
        <v>2835</v>
      </c>
      <c r="H460" s="17" t="str">
        <f>IFERROR(__xludf.DUMMYFUNCTION("""COMPUTED_VALUE"""),"послуги виготовлення та обслуговування побутових товарів")</f>
        <v>послуги виготовлення та обслуговування побутових товарів</v>
      </c>
      <c r="I460" s="18">
        <f>IFERROR(__xludf.DUMMYFUNCTION("""COMPUTED_VALUE"""),1.26)</f>
        <v>1.26</v>
      </c>
      <c r="J460" s="18">
        <f>IFERROR(__xludf.DUMMYFUNCTION("""COMPUTED_VALUE"""),2.53)</f>
        <v>2.53</v>
      </c>
      <c r="K460" s="18">
        <f>IFERROR(__xludf.DUMMYFUNCTION("""COMPUTED_VALUE"""),3.16)</f>
        <v>3.16</v>
      </c>
      <c r="L460" s="18">
        <f>IFERROR(__xludf.DUMMYFUNCTION("""COMPUTED_VALUE"""),5.05)</f>
        <v>5.05</v>
      </c>
    </row>
    <row r="461">
      <c r="A461" s="13" t="str">
        <f>IFERROR(__xludf.DUMMYFUNCTION("""COMPUTED_VALUE"""),"послуги")</f>
        <v>послуги</v>
      </c>
      <c r="B461" s="13" t="str">
        <f>IFERROR(__xludf.DUMMYFUNCTION("""COMPUTED_VALUE"""),"побутові послуги")</f>
        <v>побутові послуги</v>
      </c>
      <c r="C461" s="15" t="str">
        <f>IFERROR(__xludf.DUMMYFUNCTION("""COMPUTED_VALUE"""),"послуги для домашніх тварин")</f>
        <v>послуги для домашніх тварин</v>
      </c>
      <c r="D461" s="15" t="str">
        <f>IFERROR(__xludf.DUMMYFUNCTION("""COMPUTED_VALUE"""),"послуги для домашніх тварин")</f>
        <v>послуги для домашніх тварин</v>
      </c>
      <c r="E461" s="15" t="str">
        <f>IFERROR(__xludf.DUMMYFUNCTION("""COMPUTED_VALUE"""),"послуги для домашніх тварин")</f>
        <v>послуги для домашніх тварин</v>
      </c>
      <c r="F461" s="17">
        <f>IFERROR(__xludf.DUMMYFUNCTION("""COMPUTED_VALUE"""),2.0)</f>
        <v>2</v>
      </c>
      <c r="G461" s="17">
        <f>IFERROR(__xludf.DUMMYFUNCTION("""COMPUTED_VALUE"""),2846.0)</f>
        <v>2846</v>
      </c>
      <c r="H461" s="17" t="str">
        <f>IFERROR(__xludf.DUMMYFUNCTION("""COMPUTED_VALUE"""),"послуги для домашніх тварин")</f>
        <v>послуги для домашніх тварин</v>
      </c>
      <c r="I461" s="18">
        <f>IFERROR(__xludf.DUMMYFUNCTION("""COMPUTED_VALUE"""),0.53)</f>
        <v>0.53</v>
      </c>
      <c r="J461" s="18">
        <f>IFERROR(__xludf.DUMMYFUNCTION("""COMPUTED_VALUE"""),1.05)</f>
        <v>1.05</v>
      </c>
      <c r="K461" s="18">
        <f>IFERROR(__xludf.DUMMYFUNCTION("""COMPUTED_VALUE"""),1.31)</f>
        <v>1.31</v>
      </c>
      <c r="L461" s="18">
        <f>IFERROR(__xludf.DUMMYFUNCTION("""COMPUTED_VALUE"""),2.1)</f>
        <v>2.1</v>
      </c>
    </row>
    <row r="462">
      <c r="A462" s="13" t="str">
        <f>IFERROR(__xludf.DUMMYFUNCTION("""COMPUTED_VALUE"""),"послуги")</f>
        <v>послуги</v>
      </c>
      <c r="B462" s="13" t="str">
        <f>IFERROR(__xludf.DUMMYFUNCTION("""COMPUTED_VALUE"""),"побутові послуги")</f>
        <v>побутові послуги</v>
      </c>
      <c r="C462" s="15" t="str">
        <f>IFERROR(__xludf.DUMMYFUNCTION("""COMPUTED_VALUE"""),"послуги з пошиття та ремонту виробів")</f>
        <v>послуги з пошиття та ремонту виробів</v>
      </c>
      <c r="D462" s="15" t="str">
        <f>IFERROR(__xludf.DUMMYFUNCTION("""COMPUTED_VALUE"""),"послуги з пошиття та ремонту виробів")</f>
        <v>послуги з пошиття та ремонту виробів</v>
      </c>
      <c r="E462" s="15" t="str">
        <f>IFERROR(__xludf.DUMMYFUNCTION("""COMPUTED_VALUE"""),"послуги з пошиття та ремонту виробів")</f>
        <v>послуги з пошиття та ремонту виробів</v>
      </c>
      <c r="F462" s="17">
        <f>IFERROR(__xludf.DUMMYFUNCTION("""COMPUTED_VALUE"""),2.0)</f>
        <v>2</v>
      </c>
      <c r="G462" s="17">
        <f>IFERROR(__xludf.DUMMYFUNCTION("""COMPUTED_VALUE"""),280191.0)</f>
        <v>280191</v>
      </c>
      <c r="H462" s="17" t="str">
        <f>IFERROR(__xludf.DUMMYFUNCTION("""COMPUTED_VALUE"""),"послуги з пошиття та ремонту виробів")</f>
        <v>послуги з пошиття та ремонту виробів</v>
      </c>
      <c r="I462" s="18">
        <f>IFERROR(__xludf.DUMMYFUNCTION("""COMPUTED_VALUE"""),1.95)</f>
        <v>1.95</v>
      </c>
      <c r="J462" s="18">
        <f>IFERROR(__xludf.DUMMYFUNCTION("""COMPUTED_VALUE"""),3.9)</f>
        <v>3.9</v>
      </c>
      <c r="K462" s="18">
        <f>IFERROR(__xludf.DUMMYFUNCTION("""COMPUTED_VALUE"""),4.88)</f>
        <v>4.88</v>
      </c>
      <c r="L462" s="18">
        <f>IFERROR(__xludf.DUMMYFUNCTION("""COMPUTED_VALUE"""),7.8)</f>
        <v>7.8</v>
      </c>
    </row>
    <row r="463">
      <c r="A463" s="13" t="str">
        <f>IFERROR(__xludf.DUMMYFUNCTION("""COMPUTED_VALUE"""),"послуги")</f>
        <v>послуги</v>
      </c>
      <c r="B463" s="13" t="str">
        <f>IFERROR(__xludf.DUMMYFUNCTION("""COMPUTED_VALUE"""),"побутові послуги")</f>
        <v>побутові послуги</v>
      </c>
      <c r="C463" s="15" t="str">
        <f>IFERROR(__xludf.DUMMYFUNCTION("""COMPUTED_VALUE"""),"ритуальні послуги")</f>
        <v>ритуальні послуги</v>
      </c>
      <c r="D463" s="15" t="str">
        <f>IFERROR(__xludf.DUMMYFUNCTION("""COMPUTED_VALUE"""),"ритуальні послуги")</f>
        <v>ритуальні послуги</v>
      </c>
      <c r="E463" s="15" t="str">
        <f>IFERROR(__xludf.DUMMYFUNCTION("""COMPUTED_VALUE"""),"ритуальні послуги")</f>
        <v>ритуальні послуги</v>
      </c>
      <c r="F463" s="17">
        <f>IFERROR(__xludf.DUMMYFUNCTION("""COMPUTED_VALUE"""),2.0)</f>
        <v>2</v>
      </c>
      <c r="G463" s="17">
        <f>IFERROR(__xludf.DUMMYFUNCTION("""COMPUTED_VALUE"""),2847.0)</f>
        <v>2847</v>
      </c>
      <c r="H463" s="17" t="str">
        <f>IFERROR(__xludf.DUMMYFUNCTION("""COMPUTED_VALUE"""),"ритуальні послуги")</f>
        <v>ритуальні послуги</v>
      </c>
      <c r="I463" s="18">
        <f>IFERROR(__xludf.DUMMYFUNCTION("""COMPUTED_VALUE"""),0.63)</f>
        <v>0.63</v>
      </c>
      <c r="J463" s="18">
        <f>IFERROR(__xludf.DUMMYFUNCTION("""COMPUTED_VALUE"""),1.26)</f>
        <v>1.26</v>
      </c>
      <c r="K463" s="18">
        <f>IFERROR(__xludf.DUMMYFUNCTION("""COMPUTED_VALUE"""),1.58)</f>
        <v>1.58</v>
      </c>
      <c r="L463" s="18">
        <f>IFERROR(__xludf.DUMMYFUNCTION("""COMPUTED_VALUE"""),2.53)</f>
        <v>2.53</v>
      </c>
    </row>
    <row r="464">
      <c r="A464" s="13" t="str">
        <f>IFERROR(__xludf.DUMMYFUNCTION("""COMPUTED_VALUE"""),"послуги")</f>
        <v>послуги</v>
      </c>
      <c r="B464" s="13" t="str">
        <f>IFERROR(__xludf.DUMMYFUNCTION("""COMPUTED_VALUE"""),"поліграфічні та дизайнерські послуги")</f>
        <v>поліграфічні та дизайнерські послуги</v>
      </c>
      <c r="C464" s="15" t="str">
        <f>IFERROR(__xludf.DUMMYFUNCTION("""COMPUTED_VALUE"""),"поліграфічні послуги")</f>
        <v>поліграфічні послуги</v>
      </c>
      <c r="D464" s="15" t="str">
        <f>IFERROR(__xludf.DUMMYFUNCTION("""COMPUTED_VALUE"""),"виготовлення інформаційних стендів")</f>
        <v>виготовлення інформаційних стендів</v>
      </c>
      <c r="E464" s="15" t="str">
        <f>IFERROR(__xludf.DUMMYFUNCTION("""COMPUTED_VALUE"""),"виготовлення інформаційних стендів")</f>
        <v>виготовлення інформаційних стендів</v>
      </c>
      <c r="F464" s="17">
        <f>IFERROR(__xludf.DUMMYFUNCTION("""COMPUTED_VALUE"""),3.0)</f>
        <v>3</v>
      </c>
      <c r="G464" s="17">
        <f>IFERROR(__xludf.DUMMYFUNCTION("""COMPUTED_VALUE"""),280829.0)</f>
        <v>280829</v>
      </c>
      <c r="H464" s="17" t="str">
        <f>IFERROR(__xludf.DUMMYFUNCTION("""COMPUTED_VALUE"""),"виготовлення інформаційних стендів")</f>
        <v>виготовлення інформаційних стендів</v>
      </c>
      <c r="I464" s="18">
        <f>IFERROR(__xludf.DUMMYFUNCTION("""COMPUTED_VALUE"""),2.7)</f>
        <v>2.7</v>
      </c>
      <c r="J464" s="18">
        <f>IFERROR(__xludf.DUMMYFUNCTION("""COMPUTED_VALUE"""),5.4)</f>
        <v>5.4</v>
      </c>
      <c r="K464" s="18">
        <f>IFERROR(__xludf.DUMMYFUNCTION("""COMPUTED_VALUE"""),6.75)</f>
        <v>6.75</v>
      </c>
      <c r="L464" s="18">
        <f>IFERROR(__xludf.DUMMYFUNCTION("""COMPUTED_VALUE"""),10.8)</f>
        <v>10.8</v>
      </c>
    </row>
    <row r="465">
      <c r="A465" s="13" t="str">
        <f>IFERROR(__xludf.DUMMYFUNCTION("""COMPUTED_VALUE"""),"послуги")</f>
        <v>послуги</v>
      </c>
      <c r="B465" s="13" t="str">
        <f>IFERROR(__xludf.DUMMYFUNCTION("""COMPUTED_VALUE"""),"поліграфічні та дизайнерські послуги")</f>
        <v>поліграфічні та дизайнерські послуги</v>
      </c>
      <c r="C465" s="15" t="str">
        <f>IFERROR(__xludf.DUMMYFUNCTION("""COMPUTED_VALUE"""),"виготовлення маркувальної продукції, табличок")</f>
        <v>виготовлення маркувальної продукції, табличок</v>
      </c>
      <c r="D465" s="15" t="str">
        <f>IFERROR(__xludf.DUMMYFUNCTION("""COMPUTED_VALUE"""),"виготовлення маркувальної продукції, табличок")</f>
        <v>виготовлення маркувальної продукції, табличок</v>
      </c>
      <c r="E465" s="15" t="str">
        <f>IFERROR(__xludf.DUMMYFUNCTION("""COMPUTED_VALUE"""),"виготовлення маркувальної продукції, табличок")</f>
        <v>виготовлення маркувальної продукції, табличок</v>
      </c>
      <c r="F465" s="17">
        <f>IFERROR(__xludf.DUMMYFUNCTION("""COMPUTED_VALUE"""),2.0)</f>
        <v>2</v>
      </c>
      <c r="G465" s="17">
        <f>IFERROR(__xludf.DUMMYFUNCTION("""COMPUTED_VALUE"""),283103.0)</f>
        <v>283103</v>
      </c>
      <c r="H465" s="17" t="str">
        <f>IFERROR(__xludf.DUMMYFUNCTION("""COMPUTED_VALUE"""),"виготовлення маркувальної продукції, табличок")</f>
        <v>виготовлення маркувальної продукції, табличок</v>
      </c>
      <c r="I465" s="18">
        <f>IFERROR(__xludf.DUMMYFUNCTION("""COMPUTED_VALUE"""),1.66)</f>
        <v>1.66</v>
      </c>
      <c r="J465" s="18">
        <f>IFERROR(__xludf.DUMMYFUNCTION("""COMPUTED_VALUE"""),3.33)</f>
        <v>3.33</v>
      </c>
      <c r="K465" s="18">
        <f>IFERROR(__xludf.DUMMYFUNCTION("""COMPUTED_VALUE"""),4.16)</f>
        <v>4.16</v>
      </c>
      <c r="L465" s="18">
        <f>IFERROR(__xludf.DUMMYFUNCTION("""COMPUTED_VALUE"""),6.65)</f>
        <v>6.65</v>
      </c>
    </row>
    <row r="466">
      <c r="A466" s="13" t="str">
        <f>IFERROR(__xludf.DUMMYFUNCTION("""COMPUTED_VALUE"""),"послуги")</f>
        <v>послуги</v>
      </c>
      <c r="B466" s="13" t="str">
        <f>IFERROR(__xludf.DUMMYFUNCTION("""COMPUTED_VALUE"""),"поліграфічні та дизайнерські послуги")</f>
        <v>поліграфічні та дизайнерські послуги</v>
      </c>
      <c r="C466" s="15" t="str">
        <f>IFERROR(__xludf.DUMMYFUNCTION("""COMPUTED_VALUE"""),"виготовлення нагородної продукції")</f>
        <v>виготовлення нагородної продукції</v>
      </c>
      <c r="D466" s="15" t="str">
        <f>IFERROR(__xludf.DUMMYFUNCTION("""COMPUTED_VALUE"""),"виготовлення нагородної продукції")</f>
        <v>виготовлення нагородної продукції</v>
      </c>
      <c r="E466" s="15" t="str">
        <f>IFERROR(__xludf.DUMMYFUNCTION("""COMPUTED_VALUE"""),"виготовлення нагородної продукції")</f>
        <v>виготовлення нагородної продукції</v>
      </c>
      <c r="F466" s="17">
        <f>IFERROR(__xludf.DUMMYFUNCTION("""COMPUTED_VALUE"""),2.0)</f>
        <v>2</v>
      </c>
      <c r="G466" s="17">
        <f>IFERROR(__xludf.DUMMYFUNCTION("""COMPUTED_VALUE"""),2850.0)</f>
        <v>2850</v>
      </c>
      <c r="H466" s="17" t="str">
        <f>IFERROR(__xludf.DUMMYFUNCTION("""COMPUTED_VALUE"""),"виготовлення нагородної продукції")</f>
        <v>виготовлення нагородної продукції</v>
      </c>
      <c r="I466" s="18">
        <f>IFERROR(__xludf.DUMMYFUNCTION("""COMPUTED_VALUE"""),0.76)</f>
        <v>0.76</v>
      </c>
      <c r="J466" s="18">
        <f>IFERROR(__xludf.DUMMYFUNCTION("""COMPUTED_VALUE"""),1.53)</f>
        <v>1.53</v>
      </c>
      <c r="K466" s="18">
        <f>IFERROR(__xludf.DUMMYFUNCTION("""COMPUTED_VALUE"""),1.91)</f>
        <v>1.91</v>
      </c>
      <c r="L466" s="18">
        <f>IFERROR(__xludf.DUMMYFUNCTION("""COMPUTED_VALUE"""),3.05)</f>
        <v>3.05</v>
      </c>
    </row>
    <row r="467">
      <c r="A467" s="13" t="str">
        <f>IFERROR(__xludf.DUMMYFUNCTION("""COMPUTED_VALUE"""),"послуги")</f>
        <v>послуги</v>
      </c>
      <c r="B467" s="13" t="str">
        <f>IFERROR(__xludf.DUMMYFUNCTION("""COMPUTED_VALUE"""),"поліграфічні та дизайнерські послуги")</f>
        <v>поліграфічні та дизайнерські послуги</v>
      </c>
      <c r="C467" s="15" t="str">
        <f>IFERROR(__xludf.DUMMYFUNCTION("""COMPUTED_VALUE"""),"послуги дизайну та поліграфії, загальне")</f>
        <v>послуги дизайну та поліграфії, загальне</v>
      </c>
      <c r="D467" s="15" t="str">
        <f>IFERROR(__xludf.DUMMYFUNCTION("""COMPUTED_VALUE"""),"послуги дизайну та поліграфії, загальне")</f>
        <v>послуги дизайну та поліграфії, загальне</v>
      </c>
      <c r="E467" s="15" t="str">
        <f>IFERROR(__xludf.DUMMYFUNCTION("""COMPUTED_VALUE"""),"послуги дизайну та поліграфії, загальне")</f>
        <v>послуги дизайну та поліграфії, загальне</v>
      </c>
      <c r="F467" s="17">
        <f>IFERROR(__xludf.DUMMYFUNCTION("""COMPUTED_VALUE"""),2.0)</f>
        <v>2</v>
      </c>
      <c r="G467" s="17">
        <f>IFERROR(__xludf.DUMMYFUNCTION("""COMPUTED_VALUE"""),283199.0)</f>
        <v>283199</v>
      </c>
      <c r="H467" s="17" t="str">
        <f>IFERROR(__xludf.DUMMYFUNCTION("""COMPUTED_VALUE"""),"послуги дизайну та поліграфії, загальне")</f>
        <v>послуги дизайну та поліграфії, загальне</v>
      </c>
      <c r="I467" s="18">
        <f>IFERROR(__xludf.DUMMYFUNCTION("""COMPUTED_VALUE"""),2.16)</f>
        <v>2.16</v>
      </c>
      <c r="J467" s="18">
        <f>IFERROR(__xludf.DUMMYFUNCTION("""COMPUTED_VALUE"""),4.33)</f>
        <v>4.33</v>
      </c>
      <c r="K467" s="18">
        <f>IFERROR(__xludf.DUMMYFUNCTION("""COMPUTED_VALUE"""),5.41)</f>
        <v>5.41</v>
      </c>
      <c r="L467" s="18">
        <f>IFERROR(__xludf.DUMMYFUNCTION("""COMPUTED_VALUE"""),8.65)</f>
        <v>8.65</v>
      </c>
    </row>
    <row r="468">
      <c r="A468" s="13" t="str">
        <f>IFERROR(__xludf.DUMMYFUNCTION("""COMPUTED_VALUE"""),"послуги")</f>
        <v>послуги</v>
      </c>
      <c r="B468" s="13" t="str">
        <f>IFERROR(__xludf.DUMMYFUNCTION("""COMPUTED_VALUE"""),"поліграфічні та дизайнерські послуги")</f>
        <v>поліграфічні та дизайнерські послуги</v>
      </c>
      <c r="C468" s="15" t="str">
        <f>IFERROR(__xludf.DUMMYFUNCTION("""COMPUTED_VALUE"""),"поліграфічні послуги")</f>
        <v>поліграфічні послуги</v>
      </c>
      <c r="D468" s="15" t="str">
        <f>IFERROR(__xludf.DUMMYFUNCTION("""COMPUTED_VALUE"""),"типографічні послуги")</f>
        <v>типографічні послуги</v>
      </c>
      <c r="E468" s="15" t="str">
        <f>IFERROR(__xludf.DUMMYFUNCTION("""COMPUTED_VALUE"""),"типографічні послуги")</f>
        <v>типографічні послуги</v>
      </c>
      <c r="F468" s="17">
        <f>IFERROR(__xludf.DUMMYFUNCTION("""COMPUTED_VALUE"""),3.0)</f>
        <v>3</v>
      </c>
      <c r="G468" s="17">
        <f>IFERROR(__xludf.DUMMYFUNCTION("""COMPUTED_VALUE"""),280808.0)</f>
        <v>280808</v>
      </c>
      <c r="H468" s="17" t="str">
        <f>IFERROR(__xludf.DUMMYFUNCTION("""COMPUTED_VALUE"""),"типографічні послуги")</f>
        <v>типографічні послуги</v>
      </c>
      <c r="I468" s="18">
        <f>IFERROR(__xludf.DUMMYFUNCTION("""COMPUTED_VALUE"""),1.35)</f>
        <v>1.35</v>
      </c>
      <c r="J468" s="18">
        <f>IFERROR(__xludf.DUMMYFUNCTION("""COMPUTED_VALUE"""),2.7)</f>
        <v>2.7</v>
      </c>
      <c r="K468" s="18">
        <f>IFERROR(__xludf.DUMMYFUNCTION("""COMPUTED_VALUE"""),3.38)</f>
        <v>3.38</v>
      </c>
      <c r="L468" s="18">
        <f>IFERROR(__xludf.DUMMYFUNCTION("""COMPUTED_VALUE"""),5.4)</f>
        <v>5.4</v>
      </c>
    </row>
    <row r="469">
      <c r="A469" s="13" t="str">
        <f>IFERROR(__xludf.DUMMYFUNCTION("""COMPUTED_VALUE"""),"послуги")</f>
        <v>послуги</v>
      </c>
      <c r="B469" s="13" t="str">
        <f>IFERROR(__xludf.DUMMYFUNCTION("""COMPUTED_VALUE"""),"послуги дозвілля, відпочинку, культури")</f>
        <v>послуги дозвілля, відпочинку, культури</v>
      </c>
      <c r="C469" s="15" t="str">
        <f>IFERROR(__xludf.DUMMYFUNCTION("""COMPUTED_VALUE"""),"послуги в сфері мистецтва і шоу-бізнесу")</f>
        <v>послуги в сфері мистецтва і шоу-бізнесу</v>
      </c>
      <c r="D469" s="15" t="str">
        <f>IFERROR(__xludf.DUMMYFUNCTION("""COMPUTED_VALUE"""),"послуги в сфері мистецтва і шоу-бізнесу")</f>
        <v>послуги в сфері мистецтва і шоу-бізнесу</v>
      </c>
      <c r="E469" s="15" t="str">
        <f>IFERROR(__xludf.DUMMYFUNCTION("""COMPUTED_VALUE"""),"послуги в сфері мистецтва і шоу-бізнесу")</f>
        <v>послуги в сфері мистецтва і шоу-бізнесу</v>
      </c>
      <c r="F469" s="17">
        <f>IFERROR(__xludf.DUMMYFUNCTION("""COMPUTED_VALUE"""),2.0)</f>
        <v>2</v>
      </c>
      <c r="G469" s="17">
        <f>IFERROR(__xludf.DUMMYFUNCTION("""COMPUTED_VALUE"""),282208.0)</f>
        <v>282208</v>
      </c>
      <c r="H469" s="17" t="str">
        <f>IFERROR(__xludf.DUMMYFUNCTION("""COMPUTED_VALUE"""),"послуги в сфері мистецтва і шоу-бізнесу")</f>
        <v>послуги в сфері мистецтва і шоу-бізнесу</v>
      </c>
      <c r="I469" s="18">
        <f>IFERROR(__xludf.DUMMYFUNCTION("""COMPUTED_VALUE"""),2.16)</f>
        <v>2.16</v>
      </c>
      <c r="J469" s="18">
        <f>IFERROR(__xludf.DUMMYFUNCTION("""COMPUTED_VALUE"""),4.33)</f>
        <v>4.33</v>
      </c>
      <c r="K469" s="18">
        <f>IFERROR(__xludf.DUMMYFUNCTION("""COMPUTED_VALUE"""),5.41)</f>
        <v>5.41</v>
      </c>
      <c r="L469" s="18">
        <f>IFERROR(__xludf.DUMMYFUNCTION("""COMPUTED_VALUE"""),8.65)</f>
        <v>8.65</v>
      </c>
    </row>
    <row r="470">
      <c r="A470" s="13" t="str">
        <f>IFERROR(__xludf.DUMMYFUNCTION("""COMPUTED_VALUE"""),"послуги")</f>
        <v>послуги</v>
      </c>
      <c r="B470" s="13" t="str">
        <f>IFERROR(__xludf.DUMMYFUNCTION("""COMPUTED_VALUE"""),"послуги дозвілля, відпочинку, культури")</f>
        <v>послуги дозвілля, відпочинку, культури</v>
      </c>
      <c r="C470" s="15" t="str">
        <f>IFERROR(__xludf.DUMMYFUNCTION("""COMPUTED_VALUE"""),"послуги з організації дозвілля, загальне")</f>
        <v>послуги з організації дозвілля, загальне</v>
      </c>
      <c r="D470" s="15" t="str">
        <f>IFERROR(__xludf.DUMMYFUNCTION("""COMPUTED_VALUE"""),"послуги з організації дозвілля, загальне")</f>
        <v>послуги з організації дозвілля, загальне</v>
      </c>
      <c r="E470" s="15" t="str">
        <f>IFERROR(__xludf.DUMMYFUNCTION("""COMPUTED_VALUE"""),"послуги з організації дозвілля, загальне")</f>
        <v>послуги з організації дозвілля, загальне</v>
      </c>
      <c r="F470" s="17">
        <f>IFERROR(__xludf.DUMMYFUNCTION("""COMPUTED_VALUE"""),2.0)</f>
        <v>2</v>
      </c>
      <c r="G470" s="17">
        <f>IFERROR(__xludf.DUMMYFUNCTION("""COMPUTED_VALUE"""),280546.0)</f>
        <v>280546</v>
      </c>
      <c r="H470" s="17" t="str">
        <f>IFERROR(__xludf.DUMMYFUNCTION("""COMPUTED_VALUE"""),"послуги з організації дозвілля, загальне")</f>
        <v>послуги з організації дозвілля, загальне</v>
      </c>
      <c r="I470" s="18">
        <f>IFERROR(__xludf.DUMMYFUNCTION("""COMPUTED_VALUE"""),2.16)</f>
        <v>2.16</v>
      </c>
      <c r="J470" s="18">
        <f>IFERROR(__xludf.DUMMYFUNCTION("""COMPUTED_VALUE"""),4.33)</f>
        <v>4.33</v>
      </c>
      <c r="K470" s="18">
        <f>IFERROR(__xludf.DUMMYFUNCTION("""COMPUTED_VALUE"""),5.41)</f>
        <v>5.41</v>
      </c>
      <c r="L470" s="18">
        <f>IFERROR(__xludf.DUMMYFUNCTION("""COMPUTED_VALUE"""),8.65)</f>
        <v>8.65</v>
      </c>
    </row>
    <row r="471">
      <c r="A471" s="13" t="str">
        <f>IFERROR(__xludf.DUMMYFUNCTION("""COMPUTED_VALUE"""),"послуги")</f>
        <v>послуги</v>
      </c>
      <c r="B471" s="13" t="str">
        <f>IFERROR(__xludf.DUMMYFUNCTION("""COMPUTED_VALUE"""),"послуги дозвілля, відпочинку, культури")</f>
        <v>послуги дозвілля, відпочинку, культури</v>
      </c>
      <c r="C471" s="15" t="str">
        <f>IFERROR(__xludf.DUMMYFUNCTION("""COMPUTED_VALUE"""),"послуги з організації свят")</f>
        <v>послуги з організації свят</v>
      </c>
      <c r="D471" s="15" t="str">
        <f>IFERROR(__xludf.DUMMYFUNCTION("""COMPUTED_VALUE"""),"послуги з організації свят")</f>
        <v>послуги з організації свят</v>
      </c>
      <c r="E471" s="15" t="str">
        <f>IFERROR(__xludf.DUMMYFUNCTION("""COMPUTED_VALUE"""),"послуги з організації свят")</f>
        <v>послуги з організації свят</v>
      </c>
      <c r="F471" s="17">
        <f>IFERROR(__xludf.DUMMYFUNCTION("""COMPUTED_VALUE"""),2.0)</f>
        <v>2</v>
      </c>
      <c r="G471" s="17">
        <f>IFERROR(__xludf.DUMMYFUNCTION("""COMPUTED_VALUE"""),280501.0)</f>
        <v>280501</v>
      </c>
      <c r="H471" s="17" t="str">
        <f>IFERROR(__xludf.DUMMYFUNCTION("""COMPUTED_VALUE"""),"послуги з організації свят")</f>
        <v>послуги з організації свят</v>
      </c>
      <c r="I471" s="18">
        <f>IFERROR(__xludf.DUMMYFUNCTION("""COMPUTED_VALUE"""),0.99)</f>
        <v>0.99</v>
      </c>
      <c r="J471" s="18">
        <f>IFERROR(__xludf.DUMMYFUNCTION("""COMPUTED_VALUE"""),1.98)</f>
        <v>1.98</v>
      </c>
      <c r="K471" s="18">
        <f>IFERROR(__xludf.DUMMYFUNCTION("""COMPUTED_VALUE"""),2.47)</f>
        <v>2.47</v>
      </c>
      <c r="L471" s="18">
        <f>IFERROR(__xludf.DUMMYFUNCTION("""COMPUTED_VALUE"""),3.95)</f>
        <v>3.95</v>
      </c>
    </row>
    <row r="472">
      <c r="A472" s="13" t="str">
        <f>IFERROR(__xludf.DUMMYFUNCTION("""COMPUTED_VALUE"""),"послуги")</f>
        <v>послуги</v>
      </c>
      <c r="B472" s="13" t="str">
        <f>IFERROR(__xludf.DUMMYFUNCTION("""COMPUTED_VALUE"""),"послуги дозвілля, відпочинку, культури")</f>
        <v>послуги дозвілля, відпочинку, культури</v>
      </c>
      <c r="C472" s="15" t="str">
        <f>IFERROR(__xludf.DUMMYFUNCTION("""COMPUTED_VALUE"""),"послуги кейтерингу та ресторанів")</f>
        <v>послуги кейтерингу та ресторанів</v>
      </c>
      <c r="D472" s="15" t="str">
        <f>IFERROR(__xludf.DUMMYFUNCTION("""COMPUTED_VALUE"""),"послуги кейтерингу та ресторанів")</f>
        <v>послуги кейтерингу та ресторанів</v>
      </c>
      <c r="E472" s="15" t="str">
        <f>IFERROR(__xludf.DUMMYFUNCTION("""COMPUTED_VALUE"""),"послуги кейтерингу та ресторанів")</f>
        <v>послуги кейтерингу та ресторанів</v>
      </c>
      <c r="F472" s="17">
        <f>IFERROR(__xludf.DUMMYFUNCTION("""COMPUTED_VALUE"""),2.0)</f>
        <v>2</v>
      </c>
      <c r="G472" s="17">
        <f>IFERROR(__xludf.DUMMYFUNCTION("""COMPUTED_VALUE"""),280532.0)</f>
        <v>280532</v>
      </c>
      <c r="H472" s="17" t="str">
        <f>IFERROR(__xludf.DUMMYFUNCTION("""COMPUTED_VALUE"""),"послуги кейтерингу та ресторанів")</f>
        <v>послуги кейтерингу та ресторанів</v>
      </c>
      <c r="I472" s="18">
        <f>IFERROR(__xludf.DUMMYFUNCTION("""COMPUTED_VALUE"""),0.53)</f>
        <v>0.53</v>
      </c>
      <c r="J472" s="18">
        <f>IFERROR(__xludf.DUMMYFUNCTION("""COMPUTED_VALUE"""),1.05)</f>
        <v>1.05</v>
      </c>
      <c r="K472" s="18">
        <f>IFERROR(__xludf.DUMMYFUNCTION("""COMPUTED_VALUE"""),1.31)</f>
        <v>1.31</v>
      </c>
      <c r="L472" s="18">
        <f>IFERROR(__xludf.DUMMYFUNCTION("""COMPUTED_VALUE"""),2.1)</f>
        <v>2.1</v>
      </c>
    </row>
    <row r="473">
      <c r="A473" s="13" t="str">
        <f>IFERROR(__xludf.DUMMYFUNCTION("""COMPUTED_VALUE"""),"послуги")</f>
        <v>послуги</v>
      </c>
      <c r="B473" s="13" t="str">
        <f>IFERROR(__xludf.DUMMYFUNCTION("""COMPUTED_VALUE"""),"послуги прокату і оренди")</f>
        <v>послуги прокату і оренди</v>
      </c>
      <c r="C473" s="15" t="str">
        <f>IFERROR(__xludf.DUMMYFUNCTION("""COMPUTED_VALUE"""),"оренда біотуалетів")</f>
        <v>оренда біотуалетів</v>
      </c>
      <c r="D473" s="15" t="str">
        <f>IFERROR(__xludf.DUMMYFUNCTION("""COMPUTED_VALUE"""),"оренда біотуалетів")</f>
        <v>оренда біотуалетів</v>
      </c>
      <c r="E473" s="15" t="str">
        <f>IFERROR(__xludf.DUMMYFUNCTION("""COMPUTED_VALUE"""),"оренда біотуалетів")</f>
        <v>оренда біотуалетів</v>
      </c>
      <c r="F473" s="17">
        <f>IFERROR(__xludf.DUMMYFUNCTION("""COMPUTED_VALUE"""),2.0)</f>
        <v>2</v>
      </c>
      <c r="G473" s="17">
        <f>IFERROR(__xludf.DUMMYFUNCTION("""COMPUTED_VALUE"""),282503.0)</f>
        <v>282503</v>
      </c>
      <c r="H473" s="17" t="str">
        <f>IFERROR(__xludf.DUMMYFUNCTION("""COMPUTED_VALUE"""),"оренда біотуалетів")</f>
        <v>оренда біотуалетів</v>
      </c>
      <c r="I473" s="18">
        <f>IFERROR(__xludf.DUMMYFUNCTION("""COMPUTED_VALUE"""),0.9)</f>
        <v>0.9</v>
      </c>
      <c r="J473" s="18">
        <f>IFERROR(__xludf.DUMMYFUNCTION("""COMPUTED_VALUE"""),1.8)</f>
        <v>1.8</v>
      </c>
      <c r="K473" s="18">
        <f>IFERROR(__xludf.DUMMYFUNCTION("""COMPUTED_VALUE"""),2.25)</f>
        <v>2.25</v>
      </c>
      <c r="L473" s="18">
        <f>IFERROR(__xludf.DUMMYFUNCTION("""COMPUTED_VALUE"""),3.6)</f>
        <v>3.6</v>
      </c>
    </row>
    <row r="474">
      <c r="A474" s="13" t="str">
        <f>IFERROR(__xludf.DUMMYFUNCTION("""COMPUTED_VALUE"""),"послуги")</f>
        <v>послуги</v>
      </c>
      <c r="B474" s="13" t="str">
        <f>IFERROR(__xludf.DUMMYFUNCTION("""COMPUTED_VALUE"""),"послуги прокату і оренди")</f>
        <v>послуги прокату і оренди</v>
      </c>
      <c r="C474" s="15" t="str">
        <f>IFERROR(__xludf.DUMMYFUNCTION("""COMPUTED_VALUE"""),"оренда дитячих товарів")</f>
        <v>оренда дитячих товарів</v>
      </c>
      <c r="D474" s="15" t="str">
        <f>IFERROR(__xludf.DUMMYFUNCTION("""COMPUTED_VALUE"""),"оренда дитячих товарів")</f>
        <v>оренда дитячих товарів</v>
      </c>
      <c r="E474" s="15" t="str">
        <f>IFERROR(__xludf.DUMMYFUNCTION("""COMPUTED_VALUE"""),"оренда дитячих товарів")</f>
        <v>оренда дитячих товарів</v>
      </c>
      <c r="F474" s="17">
        <f>IFERROR(__xludf.DUMMYFUNCTION("""COMPUTED_VALUE"""),2.0)</f>
        <v>2</v>
      </c>
      <c r="G474" s="17">
        <f>IFERROR(__xludf.DUMMYFUNCTION("""COMPUTED_VALUE"""),282460.0)</f>
        <v>282460</v>
      </c>
      <c r="H474" s="17" t="str">
        <f>IFERROR(__xludf.DUMMYFUNCTION("""COMPUTED_VALUE"""),"оренда дитячих товарів")</f>
        <v>оренда дитячих товарів</v>
      </c>
      <c r="I474" s="18">
        <f>IFERROR(__xludf.DUMMYFUNCTION("""COMPUTED_VALUE"""),0.86)</f>
        <v>0.86</v>
      </c>
      <c r="J474" s="18">
        <f>IFERROR(__xludf.DUMMYFUNCTION("""COMPUTED_VALUE"""),1.71)</f>
        <v>1.71</v>
      </c>
      <c r="K474" s="18">
        <f>IFERROR(__xludf.DUMMYFUNCTION("""COMPUTED_VALUE"""),2.14)</f>
        <v>2.14</v>
      </c>
      <c r="L474" s="18">
        <f>IFERROR(__xludf.DUMMYFUNCTION("""COMPUTED_VALUE"""),3.43)</f>
        <v>3.43</v>
      </c>
    </row>
    <row r="475">
      <c r="A475" s="13" t="str">
        <f>IFERROR(__xludf.DUMMYFUNCTION("""COMPUTED_VALUE"""),"послуги")</f>
        <v>послуги</v>
      </c>
      <c r="B475" s="13" t="str">
        <f>IFERROR(__xludf.DUMMYFUNCTION("""COMPUTED_VALUE"""),"послуги прокату і оренди")</f>
        <v>послуги прокату і оренди</v>
      </c>
      <c r="C475" s="15" t="str">
        <f>IFERROR(__xludf.DUMMYFUNCTION("""COMPUTED_VALUE"""),"оренда інструменту та обладнання")</f>
        <v>оренда інструменту та обладнання</v>
      </c>
      <c r="D475" s="15" t="str">
        <f>IFERROR(__xludf.DUMMYFUNCTION("""COMPUTED_VALUE"""),"оренда інструменту та обладнання")</f>
        <v>оренда інструменту та обладнання</v>
      </c>
      <c r="E475" s="15" t="str">
        <f>IFERROR(__xludf.DUMMYFUNCTION("""COMPUTED_VALUE"""),"оренда інструменту та обладнання")</f>
        <v>оренда інструменту та обладнання</v>
      </c>
      <c r="F475" s="17">
        <f>IFERROR(__xludf.DUMMYFUNCTION("""COMPUTED_VALUE"""),2.0)</f>
        <v>2</v>
      </c>
      <c r="G475" s="17">
        <f>IFERROR(__xludf.DUMMYFUNCTION("""COMPUTED_VALUE"""),282429.0)</f>
        <v>282429</v>
      </c>
      <c r="H475" s="17" t="str">
        <f>IFERROR(__xludf.DUMMYFUNCTION("""COMPUTED_VALUE"""),"оренда інструменту та обладнання")</f>
        <v>оренда інструменту та обладнання</v>
      </c>
      <c r="I475" s="18">
        <f>IFERROR(__xludf.DUMMYFUNCTION("""COMPUTED_VALUE"""),2.03)</f>
        <v>2.03</v>
      </c>
      <c r="J475" s="18">
        <f>IFERROR(__xludf.DUMMYFUNCTION("""COMPUTED_VALUE"""),4.05)</f>
        <v>4.05</v>
      </c>
      <c r="K475" s="18">
        <f>IFERROR(__xludf.DUMMYFUNCTION("""COMPUTED_VALUE"""),5.06)</f>
        <v>5.06</v>
      </c>
      <c r="L475" s="18">
        <f>IFERROR(__xludf.DUMMYFUNCTION("""COMPUTED_VALUE"""),8.1)</f>
        <v>8.1</v>
      </c>
    </row>
    <row r="476">
      <c r="A476" s="13" t="str">
        <f>IFERROR(__xludf.DUMMYFUNCTION("""COMPUTED_VALUE"""),"послуги")</f>
        <v>послуги</v>
      </c>
      <c r="B476" s="13" t="str">
        <f>IFERROR(__xludf.DUMMYFUNCTION("""COMPUTED_VALUE"""),"послуги прокату і оренди")</f>
        <v>послуги прокату і оренди</v>
      </c>
      <c r="C476" s="15" t="str">
        <f>IFERROR(__xludf.DUMMYFUNCTION("""COMPUTED_VALUE"""),"оренда мультимедіа обладнання")</f>
        <v>оренда мультимедіа обладнання</v>
      </c>
      <c r="D476" s="15" t="str">
        <f>IFERROR(__xludf.DUMMYFUNCTION("""COMPUTED_VALUE"""),"оренда мультимедіа обладнання")</f>
        <v>оренда мультимедіа обладнання</v>
      </c>
      <c r="E476" s="15" t="str">
        <f>IFERROR(__xludf.DUMMYFUNCTION("""COMPUTED_VALUE"""),"оренда мультимедіа обладнання")</f>
        <v>оренда мультимедіа обладнання</v>
      </c>
      <c r="F476" s="17">
        <f>IFERROR(__xludf.DUMMYFUNCTION("""COMPUTED_VALUE"""),2.0)</f>
        <v>2</v>
      </c>
      <c r="G476" s="17">
        <f>IFERROR(__xludf.DUMMYFUNCTION("""COMPUTED_VALUE"""),282478.0)</f>
        <v>282478</v>
      </c>
      <c r="H476" s="17" t="str">
        <f>IFERROR(__xludf.DUMMYFUNCTION("""COMPUTED_VALUE"""),"оренда мультимедіа обладнання")</f>
        <v>оренда мультимедіа обладнання</v>
      </c>
      <c r="I476" s="18">
        <f>IFERROR(__xludf.DUMMYFUNCTION("""COMPUTED_VALUE"""),0.99)</f>
        <v>0.99</v>
      </c>
      <c r="J476" s="18">
        <f>IFERROR(__xludf.DUMMYFUNCTION("""COMPUTED_VALUE"""),1.98)</f>
        <v>1.98</v>
      </c>
      <c r="K476" s="18">
        <f>IFERROR(__xludf.DUMMYFUNCTION("""COMPUTED_VALUE"""),2.47)</f>
        <v>2.47</v>
      </c>
      <c r="L476" s="18">
        <f>IFERROR(__xludf.DUMMYFUNCTION("""COMPUTED_VALUE"""),3.95)</f>
        <v>3.95</v>
      </c>
    </row>
    <row r="477">
      <c r="A477" s="13" t="str">
        <f>IFERROR(__xludf.DUMMYFUNCTION("""COMPUTED_VALUE"""),"послуги")</f>
        <v>послуги</v>
      </c>
      <c r="B477" s="13" t="str">
        <f>IFERROR(__xludf.DUMMYFUNCTION("""COMPUTED_VALUE"""),"послуги прокату і оренди")</f>
        <v>послуги прокату і оренди</v>
      </c>
      <c r="C477" s="15" t="str">
        <f>IFERROR(__xludf.DUMMYFUNCTION("""COMPUTED_VALUE"""),"оренда обладнання для виставок і шоу-бізнесу")</f>
        <v>оренда обладнання для виставок і шоу-бізнесу</v>
      </c>
      <c r="D477" s="15" t="str">
        <f>IFERROR(__xludf.DUMMYFUNCTION("""COMPUTED_VALUE"""),"оренда сцен і подіумів")</f>
        <v>оренда сцен і подіумів</v>
      </c>
      <c r="E477" s="15" t="str">
        <f>IFERROR(__xludf.DUMMYFUNCTION("""COMPUTED_VALUE"""),"оренда сцен і подіумів")</f>
        <v>оренда сцен і подіумів</v>
      </c>
      <c r="F477" s="17">
        <f>IFERROR(__xludf.DUMMYFUNCTION("""COMPUTED_VALUE"""),3.0)</f>
        <v>3</v>
      </c>
      <c r="G477" s="17">
        <f>IFERROR(__xludf.DUMMYFUNCTION("""COMPUTED_VALUE"""),282445.0)</f>
        <v>282445</v>
      </c>
      <c r="H477" s="17" t="str">
        <f>IFERROR(__xludf.DUMMYFUNCTION("""COMPUTED_VALUE"""),"оренда сцен і подіумів")</f>
        <v>оренда сцен і подіумів</v>
      </c>
      <c r="I477" s="18">
        <f>IFERROR(__xludf.DUMMYFUNCTION("""COMPUTED_VALUE"""),0.76)</f>
        <v>0.76</v>
      </c>
      <c r="J477" s="18">
        <f>IFERROR(__xludf.DUMMYFUNCTION("""COMPUTED_VALUE"""),1.53)</f>
        <v>1.53</v>
      </c>
      <c r="K477" s="18">
        <f>IFERROR(__xludf.DUMMYFUNCTION("""COMPUTED_VALUE"""),1.91)</f>
        <v>1.91</v>
      </c>
      <c r="L477" s="18">
        <f>IFERROR(__xludf.DUMMYFUNCTION("""COMPUTED_VALUE"""),3.05)</f>
        <v>3.05</v>
      </c>
    </row>
    <row r="478">
      <c r="A478" s="13" t="str">
        <f>IFERROR(__xludf.DUMMYFUNCTION("""COMPUTED_VALUE"""),"послуги")</f>
        <v>послуги</v>
      </c>
      <c r="B478" s="13" t="str">
        <f>IFERROR(__xludf.DUMMYFUNCTION("""COMPUTED_VALUE"""),"послуги прокату і оренди")</f>
        <v>послуги прокату і оренди</v>
      </c>
      <c r="C478" s="15" t="str">
        <f>IFERROR(__xludf.DUMMYFUNCTION("""COMPUTED_VALUE"""),"оренда та продаж нерухомості")</f>
        <v>оренда та продаж нерухомості</v>
      </c>
      <c r="D478" s="15" t="str">
        <f>IFERROR(__xludf.DUMMYFUNCTION("""COMPUTED_VALUE"""),"оренда та продаж нерухомості")</f>
        <v>оренда та продаж нерухомості</v>
      </c>
      <c r="E478" s="15" t="str">
        <f>IFERROR(__xludf.DUMMYFUNCTION("""COMPUTED_VALUE"""),"оренда та продаж нерухомості")</f>
        <v>оренда та продаж нерухомості</v>
      </c>
      <c r="F478" s="17">
        <f>IFERROR(__xludf.DUMMYFUNCTION("""COMPUTED_VALUE"""),2.0)</f>
        <v>2</v>
      </c>
      <c r="G478" s="17">
        <f>IFERROR(__xludf.DUMMYFUNCTION("""COMPUTED_VALUE"""),281602.0)</f>
        <v>281602</v>
      </c>
      <c r="H478" s="17" t="str">
        <f>IFERROR(__xludf.DUMMYFUNCTION("""COMPUTED_VALUE"""),"оренда та продаж нерухомості")</f>
        <v>оренда та продаж нерухомості</v>
      </c>
      <c r="I478" s="18">
        <f>IFERROR(__xludf.DUMMYFUNCTION("""COMPUTED_VALUE"""),0.76)</f>
        <v>0.76</v>
      </c>
      <c r="J478" s="18">
        <f>IFERROR(__xludf.DUMMYFUNCTION("""COMPUTED_VALUE"""),1.53)</f>
        <v>1.53</v>
      </c>
      <c r="K478" s="18">
        <f>IFERROR(__xludf.DUMMYFUNCTION("""COMPUTED_VALUE"""),1.91)</f>
        <v>1.91</v>
      </c>
      <c r="L478" s="18">
        <f>IFERROR(__xludf.DUMMYFUNCTION("""COMPUTED_VALUE"""),3.05)</f>
        <v>3.05</v>
      </c>
    </row>
    <row r="479">
      <c r="A479" s="13" t="str">
        <f>IFERROR(__xludf.DUMMYFUNCTION("""COMPUTED_VALUE"""),"послуги")</f>
        <v>послуги</v>
      </c>
      <c r="B479" s="13" t="str">
        <f>IFERROR(__xludf.DUMMYFUNCTION("""COMPUTED_VALUE"""),"послуги прокату і оренди")</f>
        <v>послуги прокату і оренди</v>
      </c>
      <c r="C479" s="15" t="str">
        <f>IFERROR(__xludf.DUMMYFUNCTION("""COMPUTED_VALUE"""),"оренда товарів для спорту і туризму")</f>
        <v>оренда товарів для спорту і туризму</v>
      </c>
      <c r="D479" s="15" t="str">
        <f>IFERROR(__xludf.DUMMYFUNCTION("""COMPUTED_VALUE"""),"оренда товарів для спорту і туризму")</f>
        <v>оренда товарів для спорту і туризму</v>
      </c>
      <c r="E479" s="15" t="str">
        <f>IFERROR(__xludf.DUMMYFUNCTION("""COMPUTED_VALUE"""),"оренда товарів для спорту і туризму")</f>
        <v>оренда товарів для спорту і туризму</v>
      </c>
      <c r="F479" s="17">
        <f>IFERROR(__xludf.DUMMYFUNCTION("""COMPUTED_VALUE"""),2.0)</f>
        <v>2</v>
      </c>
      <c r="G479" s="17">
        <f>IFERROR(__xludf.DUMMYFUNCTION("""COMPUTED_VALUE"""),282486.0)</f>
        <v>282486</v>
      </c>
      <c r="H479" s="17" t="str">
        <f>IFERROR(__xludf.DUMMYFUNCTION("""COMPUTED_VALUE"""),"оренда товарів для спорту і туризму")</f>
        <v>оренда товарів для спорту і туризму</v>
      </c>
      <c r="I479" s="18">
        <f>IFERROR(__xludf.DUMMYFUNCTION("""COMPUTED_VALUE"""),0.76)</f>
        <v>0.76</v>
      </c>
      <c r="J479" s="18">
        <f>IFERROR(__xludf.DUMMYFUNCTION("""COMPUTED_VALUE"""),1.53)</f>
        <v>1.53</v>
      </c>
      <c r="K479" s="18">
        <f>IFERROR(__xludf.DUMMYFUNCTION("""COMPUTED_VALUE"""),1.91)</f>
        <v>1.91</v>
      </c>
      <c r="L479" s="18">
        <f>IFERROR(__xludf.DUMMYFUNCTION("""COMPUTED_VALUE"""),3.05)</f>
        <v>3.05</v>
      </c>
    </row>
    <row r="480">
      <c r="A480" s="13" t="str">
        <f>IFERROR(__xludf.DUMMYFUNCTION("""COMPUTED_VALUE"""),"послуги")</f>
        <v>послуги</v>
      </c>
      <c r="B480" s="13" t="str">
        <f>IFERROR(__xludf.DUMMYFUNCTION("""COMPUTED_VALUE"""),"послуги прокату і оренди")</f>
        <v>послуги прокату і оренди</v>
      </c>
      <c r="C480" s="15" t="str">
        <f>IFERROR(__xludf.DUMMYFUNCTION("""COMPUTED_VALUE"""),"оренда транспортних засобів")</f>
        <v>оренда транспортних засобів</v>
      </c>
      <c r="D480" s="15" t="str">
        <f>IFERROR(__xludf.DUMMYFUNCTION("""COMPUTED_VALUE"""),"оренда транспортних засобів")</f>
        <v>оренда транспортних засобів</v>
      </c>
      <c r="E480" s="15" t="str">
        <f>IFERROR(__xludf.DUMMYFUNCTION("""COMPUTED_VALUE"""),"оренда транспортних засобів")</f>
        <v>оренда транспортних засобів</v>
      </c>
      <c r="F480" s="17">
        <f>IFERROR(__xludf.DUMMYFUNCTION("""COMPUTED_VALUE"""),2.0)</f>
        <v>2</v>
      </c>
      <c r="G480" s="17">
        <f>IFERROR(__xludf.DUMMYFUNCTION("""COMPUTED_VALUE"""),282404.0)</f>
        <v>282404</v>
      </c>
      <c r="H480" s="17" t="str">
        <f>IFERROR(__xludf.DUMMYFUNCTION("""COMPUTED_VALUE"""),"оренда транспортних засобів")</f>
        <v>оренда транспортних засобів</v>
      </c>
      <c r="I480" s="18">
        <f>IFERROR(__xludf.DUMMYFUNCTION("""COMPUTED_VALUE"""),0.99)</f>
        <v>0.99</v>
      </c>
      <c r="J480" s="18">
        <f>IFERROR(__xludf.DUMMYFUNCTION("""COMPUTED_VALUE"""),1.98)</f>
        <v>1.98</v>
      </c>
      <c r="K480" s="18">
        <f>IFERROR(__xludf.DUMMYFUNCTION("""COMPUTED_VALUE"""),2.47)</f>
        <v>2.47</v>
      </c>
      <c r="L480" s="18">
        <f>IFERROR(__xludf.DUMMYFUNCTION("""COMPUTED_VALUE"""),3.95)</f>
        <v>3.95</v>
      </c>
    </row>
    <row r="481">
      <c r="A481" s="13" t="str">
        <f>IFERROR(__xludf.DUMMYFUNCTION("""COMPUTED_VALUE"""),"послуги")</f>
        <v>послуги</v>
      </c>
      <c r="B481" s="13" t="str">
        <f>IFERROR(__xludf.DUMMYFUNCTION("""COMPUTED_VALUE"""),"послуги прокату і оренди")</f>
        <v>послуги прокату і оренди</v>
      </c>
      <c r="C481" s="15" t="str">
        <f>IFERROR(__xludf.DUMMYFUNCTION("""COMPUTED_VALUE"""),"послуги прокату і оренди, загальне")</f>
        <v>послуги прокату і оренди, загальне</v>
      </c>
      <c r="D481" s="15" t="str">
        <f>IFERROR(__xludf.DUMMYFUNCTION("""COMPUTED_VALUE"""),"послуги прокату і оренди, загальне")</f>
        <v>послуги прокату і оренди, загальне</v>
      </c>
      <c r="E481" s="15" t="str">
        <f>IFERROR(__xludf.DUMMYFUNCTION("""COMPUTED_VALUE"""),"послуги прокату і оренди, загальне")</f>
        <v>послуги прокату і оренди, загальне</v>
      </c>
      <c r="F481" s="17">
        <f>IFERROR(__xludf.DUMMYFUNCTION("""COMPUTED_VALUE"""),2.0)</f>
        <v>2</v>
      </c>
      <c r="G481" s="17">
        <f>IFERROR(__xludf.DUMMYFUNCTION("""COMPUTED_VALUE"""),282403.0)</f>
        <v>282403</v>
      </c>
      <c r="H481" s="17" t="str">
        <f>IFERROR(__xludf.DUMMYFUNCTION("""COMPUTED_VALUE"""),"послуги прокату і оренди, загальне")</f>
        <v>послуги прокату і оренди, загальне</v>
      </c>
      <c r="I481" s="18">
        <f>IFERROR(__xludf.DUMMYFUNCTION("""COMPUTED_VALUE"""),2.16)</f>
        <v>2.16</v>
      </c>
      <c r="J481" s="18">
        <f>IFERROR(__xludf.DUMMYFUNCTION("""COMPUTED_VALUE"""),4.33)</f>
        <v>4.33</v>
      </c>
      <c r="K481" s="18">
        <f>IFERROR(__xludf.DUMMYFUNCTION("""COMPUTED_VALUE"""),5.41)</f>
        <v>5.41</v>
      </c>
      <c r="L481" s="18">
        <f>IFERROR(__xludf.DUMMYFUNCTION("""COMPUTED_VALUE"""),8.65)</f>
        <v>8.65</v>
      </c>
    </row>
    <row r="482">
      <c r="A482" s="13" t="str">
        <f>IFERROR(__xludf.DUMMYFUNCTION("""COMPUTED_VALUE"""),"послуги")</f>
        <v>послуги</v>
      </c>
      <c r="B482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482" s="16" t="str">
        <f>IFERROR(__xludf.DUMMYFUNCTION("""COMPUTED_VALUE"""),"медичні послуги")</f>
        <v>медичні послуги</v>
      </c>
      <c r="D482" s="16" t="str">
        <f>IFERROR(__xludf.DUMMYFUNCTION("""COMPUTED_VALUE"""),"медичні послуги, загальне")</f>
        <v>медичні послуги, загальне</v>
      </c>
      <c r="E482" s="16" t="str">
        <f>IFERROR(__xludf.DUMMYFUNCTION("""COMPUTED_VALUE"""),"медичні послуги, загальне")</f>
        <v>медичні послуги, загальне</v>
      </c>
      <c r="F482" s="17">
        <f>IFERROR(__xludf.DUMMYFUNCTION("""COMPUTED_VALUE"""),3.0)</f>
        <v>3</v>
      </c>
      <c r="G482" s="17">
        <f>IFERROR(__xludf.DUMMYFUNCTION("""COMPUTED_VALUE"""),2.8090104E7)</f>
        <v>28090104</v>
      </c>
      <c r="H482" s="17" t="str">
        <f>IFERROR(__xludf.DUMMYFUNCTION("""COMPUTED_VALUE"""),"медичні послуги, загальне")</f>
        <v>медичні послуги, загальне</v>
      </c>
      <c r="I482" s="18">
        <f>IFERROR(__xludf.DUMMYFUNCTION("""COMPUTED_VALUE"""),2.16)</f>
        <v>2.16</v>
      </c>
      <c r="J482" s="18">
        <f>IFERROR(__xludf.DUMMYFUNCTION("""COMPUTED_VALUE"""),4.33)</f>
        <v>4.33</v>
      </c>
      <c r="K482" s="18">
        <f>IFERROR(__xludf.DUMMYFUNCTION("""COMPUTED_VALUE"""),5.41)</f>
        <v>5.41</v>
      </c>
      <c r="L482" s="18">
        <f>IFERROR(__xludf.DUMMYFUNCTION("""COMPUTED_VALUE"""),8.65)</f>
        <v>8.65</v>
      </c>
    </row>
    <row r="483">
      <c r="A483" s="13" t="str">
        <f>IFERROR(__xludf.DUMMYFUNCTION("""COMPUTED_VALUE"""),"послуги")</f>
        <v>послуги</v>
      </c>
      <c r="B483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483" s="15" t="str">
        <f>IFERROR(__xludf.DUMMYFUNCTION("""COMPUTED_VALUE"""),"послуги в сфері медицини, здоров'я і краси, загальне")</f>
        <v>послуги в сфері медицини, здоров'я і краси, загальне</v>
      </c>
      <c r="D483" s="15" t="str">
        <f>IFERROR(__xludf.DUMMYFUNCTION("""COMPUTED_VALUE"""),"послуги в сфері медицини, здоров'я і краси, загальне")</f>
        <v>послуги в сфері медицини, здоров'я і краси, загальне</v>
      </c>
      <c r="E483" s="15" t="str">
        <f>IFERROR(__xludf.DUMMYFUNCTION("""COMPUTED_VALUE"""),"послуги в сфері медицини, здоров'я і краси, загальне")</f>
        <v>послуги в сфері медицини, здоров'я і краси, загальне</v>
      </c>
      <c r="F483" s="17">
        <f>IFERROR(__xludf.DUMMYFUNCTION("""COMPUTED_VALUE"""),2.0)</f>
        <v>2</v>
      </c>
      <c r="G483" s="17">
        <f>IFERROR(__xludf.DUMMYFUNCTION("""COMPUTED_VALUE"""),280902.0)</f>
        <v>280902</v>
      </c>
      <c r="H483" s="17" t="str">
        <f>IFERROR(__xludf.DUMMYFUNCTION("""COMPUTED_VALUE"""),"послуги в сфері медицини, здоров'я і краси, загальне")</f>
        <v>послуги в сфері медицини, здоров'я і краси, загальне</v>
      </c>
      <c r="I483" s="18">
        <f>IFERROR(__xludf.DUMMYFUNCTION("""COMPUTED_VALUE"""),2.16)</f>
        <v>2.16</v>
      </c>
      <c r="J483" s="18">
        <f>IFERROR(__xludf.DUMMYFUNCTION("""COMPUTED_VALUE"""),4.33)</f>
        <v>4.33</v>
      </c>
      <c r="K483" s="18">
        <f>IFERROR(__xludf.DUMMYFUNCTION("""COMPUTED_VALUE"""),5.41)</f>
        <v>5.41</v>
      </c>
      <c r="L483" s="18">
        <f>IFERROR(__xludf.DUMMYFUNCTION("""COMPUTED_VALUE"""),8.65)</f>
        <v>8.65</v>
      </c>
    </row>
    <row r="484">
      <c r="A484" s="13" t="str">
        <f>IFERROR(__xludf.DUMMYFUNCTION("""COMPUTED_VALUE"""),"послуги")</f>
        <v>послуги</v>
      </c>
      <c r="B484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484" s="15" t="str">
        <f>IFERROR(__xludf.DUMMYFUNCTION("""COMPUTED_VALUE"""),"медичні послуги")</f>
        <v>медичні послуги</v>
      </c>
      <c r="D484" s="15" t="str">
        <f>IFERROR(__xludf.DUMMYFUNCTION("""COMPUTED_VALUE"""),"послуги медичних лабораторій")</f>
        <v>послуги медичних лабораторій</v>
      </c>
      <c r="E484" s="15" t="str">
        <f>IFERROR(__xludf.DUMMYFUNCTION("""COMPUTED_VALUE"""),"послуги медичних лабораторій")</f>
        <v>послуги медичних лабораторій</v>
      </c>
      <c r="F484" s="17">
        <f>IFERROR(__xludf.DUMMYFUNCTION("""COMPUTED_VALUE"""),3.0)</f>
        <v>3</v>
      </c>
      <c r="G484" s="17">
        <f>IFERROR(__xludf.DUMMYFUNCTION("""COMPUTED_VALUE"""),280980.0)</f>
        <v>280980</v>
      </c>
      <c r="H484" s="17" t="str">
        <f>IFERROR(__xludf.DUMMYFUNCTION("""COMPUTED_VALUE"""),"послуги медичних лабораторій")</f>
        <v>послуги медичних лабораторій</v>
      </c>
      <c r="I484" s="18">
        <f>IFERROR(__xludf.DUMMYFUNCTION("""COMPUTED_VALUE"""),0.76)</f>
        <v>0.76</v>
      </c>
      <c r="J484" s="18">
        <f>IFERROR(__xludf.DUMMYFUNCTION("""COMPUTED_VALUE"""),1.53)</f>
        <v>1.53</v>
      </c>
      <c r="K484" s="18">
        <f>IFERROR(__xludf.DUMMYFUNCTION("""COMPUTED_VALUE"""),1.91)</f>
        <v>1.91</v>
      </c>
      <c r="L484" s="18">
        <f>IFERROR(__xludf.DUMMYFUNCTION("""COMPUTED_VALUE"""),3.05)</f>
        <v>3.05</v>
      </c>
    </row>
    <row r="485">
      <c r="A485" s="13" t="str">
        <f>IFERROR(__xludf.DUMMYFUNCTION("""COMPUTED_VALUE"""),"послуги")</f>
        <v>послуги</v>
      </c>
      <c r="B485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485" s="15" t="str">
        <f>IFERROR(__xludf.DUMMYFUNCTION("""COMPUTED_VALUE"""),"послуги салонів краси")</f>
        <v>послуги салонів краси</v>
      </c>
      <c r="D485" s="15" t="str">
        <f>IFERROR(__xludf.DUMMYFUNCTION("""COMPUTED_VALUE"""),"послуги салонів краси")</f>
        <v>послуги салонів краси</v>
      </c>
      <c r="E485" s="15" t="str">
        <f>IFERROR(__xludf.DUMMYFUNCTION("""COMPUTED_VALUE"""),"послуги салонів краси")</f>
        <v>послуги салонів краси</v>
      </c>
      <c r="F485" s="17">
        <f>IFERROR(__xludf.DUMMYFUNCTION("""COMPUTED_VALUE"""),2.0)</f>
        <v>2</v>
      </c>
      <c r="G485" s="17">
        <f>IFERROR(__xludf.DUMMYFUNCTION("""COMPUTED_VALUE"""),280906.0)</f>
        <v>280906</v>
      </c>
      <c r="H485" s="17" t="str">
        <f>IFERROR(__xludf.DUMMYFUNCTION("""COMPUTED_VALUE"""),"послуги салонів краси")</f>
        <v>послуги салонів краси</v>
      </c>
      <c r="I485" s="18">
        <f>IFERROR(__xludf.DUMMYFUNCTION("""COMPUTED_VALUE"""),0.9)</f>
        <v>0.9</v>
      </c>
      <c r="J485" s="18">
        <f>IFERROR(__xludf.DUMMYFUNCTION("""COMPUTED_VALUE"""),1.8)</f>
        <v>1.8</v>
      </c>
      <c r="K485" s="18">
        <f>IFERROR(__xludf.DUMMYFUNCTION("""COMPUTED_VALUE"""),2.25)</f>
        <v>2.25</v>
      </c>
      <c r="L485" s="18">
        <f>IFERROR(__xludf.DUMMYFUNCTION("""COMPUTED_VALUE"""),3.6)</f>
        <v>3.6</v>
      </c>
    </row>
    <row r="486">
      <c r="A486" s="13" t="str">
        <f>IFERROR(__xludf.DUMMYFUNCTION("""COMPUTED_VALUE"""),"послуги")</f>
        <v>послуги</v>
      </c>
      <c r="B486" s="13" t="str">
        <f>IFERROR(__xludf.DUMMYFUNCTION("""COMPUTED_VALUE"""),"послуги у сфері освіти, тренінги")</f>
        <v>послуги у сфері освіти, тренінги</v>
      </c>
      <c r="C486" s="15" t="str">
        <f>IFERROR(__xludf.DUMMYFUNCTION("""COMPUTED_VALUE"""),"курси")</f>
        <v>курси</v>
      </c>
      <c r="D486" s="15" t="str">
        <f>IFERROR(__xludf.DUMMYFUNCTION("""COMPUTED_VALUE"""),"курси у сфері краси та здоров'я")</f>
        <v>курси у сфері краси та здоров'я</v>
      </c>
      <c r="E486" s="15" t="str">
        <f>IFERROR(__xludf.DUMMYFUNCTION("""COMPUTED_VALUE"""),"курси у сфері краси та здоров'я")</f>
        <v>курси у сфері краси та здоров'я</v>
      </c>
      <c r="F486" s="17">
        <f>IFERROR(__xludf.DUMMYFUNCTION("""COMPUTED_VALUE"""),3.0)</f>
        <v>3</v>
      </c>
      <c r="G486" s="17">
        <f>IFERROR(__xludf.DUMMYFUNCTION("""COMPUTED_VALUE"""),281644.0)</f>
        <v>281644</v>
      </c>
      <c r="H486" s="17" t="str">
        <f>IFERROR(__xludf.DUMMYFUNCTION("""COMPUTED_VALUE"""),"курси у сфері краси та здоров'я")</f>
        <v>курси у сфері краси та здоров'я</v>
      </c>
      <c r="I486" s="18">
        <f>IFERROR(__xludf.DUMMYFUNCTION("""COMPUTED_VALUE"""),1.53)</f>
        <v>1.53</v>
      </c>
      <c r="J486" s="18">
        <f>IFERROR(__xludf.DUMMYFUNCTION("""COMPUTED_VALUE"""),3.06)</f>
        <v>3.06</v>
      </c>
      <c r="K486" s="18">
        <f>IFERROR(__xludf.DUMMYFUNCTION("""COMPUTED_VALUE"""),3.83)</f>
        <v>3.83</v>
      </c>
      <c r="L486" s="18">
        <f>IFERROR(__xludf.DUMMYFUNCTION("""COMPUTED_VALUE"""),6.13)</f>
        <v>6.13</v>
      </c>
    </row>
    <row r="487">
      <c r="A487" s="13" t="str">
        <f>IFERROR(__xludf.DUMMYFUNCTION("""COMPUTED_VALUE"""),"товари")</f>
        <v>товари</v>
      </c>
      <c r="B487" s="13" t="str">
        <f>IFERROR(__xludf.DUMMYFUNCTION("""COMPUTED_VALUE"""),"промислова хімія")</f>
        <v>промислова хімія</v>
      </c>
      <c r="C487" s="15" t="str">
        <f>IFERROR(__xludf.DUMMYFUNCTION("""COMPUTED_VALUE"""),"органічні сполуки")</f>
        <v>органічні сполуки</v>
      </c>
      <c r="D487" s="15" t="str">
        <f>IFERROR(__xludf.DUMMYFUNCTION("""COMPUTED_VALUE"""),"аміни")</f>
        <v>аміни</v>
      </c>
      <c r="E487" s="15" t="str">
        <f>IFERROR(__xludf.DUMMYFUNCTION("""COMPUTED_VALUE"""),"аміни")</f>
        <v>аміни</v>
      </c>
      <c r="F487" s="17">
        <f>IFERROR(__xludf.DUMMYFUNCTION("""COMPUTED_VALUE"""),3.0)</f>
        <v>3</v>
      </c>
      <c r="G487" s="17">
        <f>IFERROR(__xludf.DUMMYFUNCTION("""COMPUTED_VALUE"""),80306.0)</f>
        <v>80306</v>
      </c>
      <c r="H487" s="17" t="str">
        <f>IFERROR(__xludf.DUMMYFUNCTION("""COMPUTED_VALUE"""),"аміни")</f>
        <v>аміни</v>
      </c>
      <c r="I487" s="18">
        <f>IFERROR(__xludf.DUMMYFUNCTION("""COMPUTED_VALUE"""),1.95)</f>
        <v>1.95</v>
      </c>
      <c r="J487" s="18">
        <f>IFERROR(__xludf.DUMMYFUNCTION("""COMPUTED_VALUE"""),3.9)</f>
        <v>3.9</v>
      </c>
      <c r="K487" s="18">
        <f>IFERROR(__xludf.DUMMYFUNCTION("""COMPUTED_VALUE"""),4.88)</f>
        <v>4.88</v>
      </c>
      <c r="L487" s="18">
        <f>IFERROR(__xludf.DUMMYFUNCTION("""COMPUTED_VALUE"""),7.8)</f>
        <v>7.8</v>
      </c>
    </row>
    <row r="488">
      <c r="A488" s="13" t="str">
        <f>IFERROR(__xludf.DUMMYFUNCTION("""COMPUTED_VALUE"""),"товари")</f>
        <v>товари</v>
      </c>
      <c r="B488" s="13" t="str">
        <f>IFERROR(__xludf.DUMMYFUNCTION("""COMPUTED_VALUE"""),"промислова хімія")</f>
        <v>промислова хімія</v>
      </c>
      <c r="C488" s="15" t="str">
        <f>IFERROR(__xludf.DUMMYFUNCTION("""COMPUTED_VALUE"""),"колоїдна хімія")</f>
        <v>колоїдна хімія</v>
      </c>
      <c r="D488" s="15" t="str">
        <f>IFERROR(__xludf.DUMMYFUNCTION("""COMPUTED_VALUE"""),"колоїдні речовини, загальне")</f>
        <v>колоїдні речовини, загальне</v>
      </c>
      <c r="E488" s="15" t="str">
        <f>IFERROR(__xludf.DUMMYFUNCTION("""COMPUTED_VALUE"""),"колоїдні речовини, загальне")</f>
        <v>колоїдні речовини, загальне</v>
      </c>
      <c r="F488" s="17">
        <f>IFERROR(__xludf.DUMMYFUNCTION("""COMPUTED_VALUE"""),3.0)</f>
        <v>3</v>
      </c>
      <c r="G488" s="17">
        <f>IFERROR(__xludf.DUMMYFUNCTION("""COMPUTED_VALUE"""),80401.0)</f>
        <v>80401</v>
      </c>
      <c r="H488" s="17" t="str">
        <f>IFERROR(__xludf.DUMMYFUNCTION("""COMPUTED_VALUE"""),"колоїдні речовини, загальне")</f>
        <v>колоїдні речовини, загальне</v>
      </c>
      <c r="I488" s="18">
        <f>IFERROR(__xludf.DUMMYFUNCTION("""COMPUTED_VALUE"""),2.16)</f>
        <v>2.16</v>
      </c>
      <c r="J488" s="18">
        <f>IFERROR(__xludf.DUMMYFUNCTION("""COMPUTED_VALUE"""),4.33)</f>
        <v>4.33</v>
      </c>
      <c r="K488" s="18">
        <f>IFERROR(__xludf.DUMMYFUNCTION("""COMPUTED_VALUE"""),5.41)</f>
        <v>5.41</v>
      </c>
      <c r="L488" s="18">
        <f>IFERROR(__xludf.DUMMYFUNCTION("""COMPUTED_VALUE"""),8.65)</f>
        <v>8.65</v>
      </c>
    </row>
    <row r="489">
      <c r="A489" s="13" t="str">
        <f>IFERROR(__xludf.DUMMYFUNCTION("""COMPUTED_VALUE"""),"товари")</f>
        <v>товари</v>
      </c>
      <c r="B489" s="13" t="str">
        <f>IFERROR(__xludf.DUMMYFUNCTION("""COMPUTED_VALUE"""),"промислова хімія")</f>
        <v>промислова хімія</v>
      </c>
      <c r="C489" s="15" t="str">
        <f>IFERROR(__xludf.DUMMYFUNCTION("""COMPUTED_VALUE"""),"матеріали для неруйнівного контролю")</f>
        <v>матеріали для неруйнівного контролю</v>
      </c>
      <c r="D489" s="15" t="str">
        <f>IFERROR(__xludf.DUMMYFUNCTION("""COMPUTED_VALUE"""),"матеріали для неруйнівного контролю")</f>
        <v>матеріали для неруйнівного контролю</v>
      </c>
      <c r="E489" s="15" t="str">
        <f>IFERROR(__xludf.DUMMYFUNCTION("""COMPUTED_VALUE"""),"матеріали для неруйнівного контролю")</f>
        <v>матеріали для неруйнівного контролю</v>
      </c>
      <c r="F489" s="17">
        <f>IFERROR(__xludf.DUMMYFUNCTION("""COMPUTED_VALUE"""),2.0)</f>
        <v>2</v>
      </c>
      <c r="G489" s="17">
        <f>IFERROR(__xludf.DUMMYFUNCTION("""COMPUTED_VALUE"""),8032402.0)</f>
        <v>8032402</v>
      </c>
      <c r="H489" s="17" t="str">
        <f>IFERROR(__xludf.DUMMYFUNCTION("""COMPUTED_VALUE"""),"матеріали для неруйнівного контролю")</f>
        <v>матеріали для неруйнівного контролю</v>
      </c>
      <c r="I489" s="18">
        <f>IFERROR(__xludf.DUMMYFUNCTION("""COMPUTED_VALUE"""),1.17)</f>
        <v>1.17</v>
      </c>
      <c r="J489" s="18">
        <f>IFERROR(__xludf.DUMMYFUNCTION("""COMPUTED_VALUE"""),2.34)</f>
        <v>2.34</v>
      </c>
      <c r="K489" s="18">
        <f>IFERROR(__xludf.DUMMYFUNCTION("""COMPUTED_VALUE"""),2.92)</f>
        <v>2.92</v>
      </c>
      <c r="L489" s="18">
        <f>IFERROR(__xludf.DUMMYFUNCTION("""COMPUTED_VALUE"""),4.68)</f>
        <v>4.68</v>
      </c>
    </row>
    <row r="490">
      <c r="A490" s="13" t="str">
        <f>IFERROR(__xludf.DUMMYFUNCTION("""COMPUTED_VALUE"""),"товари")</f>
        <v>товари</v>
      </c>
      <c r="B490" s="13" t="str">
        <f>IFERROR(__xludf.DUMMYFUNCTION("""COMPUTED_VALUE"""),"промислова хімія")</f>
        <v>промислова хімія</v>
      </c>
      <c r="C490" s="15" t="str">
        <f>IFERROR(__xludf.DUMMYFUNCTION("""COMPUTED_VALUE"""),"неорганічні сполуки")</f>
        <v>неорганічні сполуки</v>
      </c>
      <c r="D490" s="15" t="str">
        <f>IFERROR(__xludf.DUMMYFUNCTION("""COMPUTED_VALUE"""),"неорганічні хімічні сполуки, загальне")</f>
        <v>неорганічні хімічні сполуки, загальне</v>
      </c>
      <c r="E490" s="15" t="str">
        <f>IFERROR(__xludf.DUMMYFUNCTION("""COMPUTED_VALUE"""),"неорганічні хімічні сполуки, загальне")</f>
        <v>неорганічні хімічні сполуки, загальне</v>
      </c>
      <c r="F490" s="17">
        <f>IFERROR(__xludf.DUMMYFUNCTION("""COMPUTED_VALUE"""),3.0)</f>
        <v>3</v>
      </c>
      <c r="G490" s="17">
        <f>IFERROR(__xludf.DUMMYFUNCTION("""COMPUTED_VALUE"""),80207.0)</f>
        <v>80207</v>
      </c>
      <c r="H490" s="17" t="str">
        <f>IFERROR(__xludf.DUMMYFUNCTION("""COMPUTED_VALUE"""),"неорганічні хімічні сполуки, загальне")</f>
        <v>неорганічні хімічні сполуки, загальне</v>
      </c>
      <c r="I490" s="18">
        <f>IFERROR(__xludf.DUMMYFUNCTION("""COMPUTED_VALUE"""),2.16)</f>
        <v>2.16</v>
      </c>
      <c r="J490" s="18">
        <f>IFERROR(__xludf.DUMMYFUNCTION("""COMPUTED_VALUE"""),4.33)</f>
        <v>4.33</v>
      </c>
      <c r="K490" s="18">
        <f>IFERROR(__xludf.DUMMYFUNCTION("""COMPUTED_VALUE"""),5.41)</f>
        <v>5.41</v>
      </c>
      <c r="L490" s="18">
        <f>IFERROR(__xludf.DUMMYFUNCTION("""COMPUTED_VALUE"""),8.65)</f>
        <v>8.65</v>
      </c>
    </row>
    <row r="491">
      <c r="A491" s="13" t="str">
        <f>IFERROR(__xludf.DUMMYFUNCTION("""COMPUTED_VALUE"""),"товари")</f>
        <v>товари</v>
      </c>
      <c r="B491" s="13" t="str">
        <f>IFERROR(__xludf.DUMMYFUNCTION("""COMPUTED_VALUE"""),"промислова хімія")</f>
        <v>промислова хімія</v>
      </c>
      <c r="C491" s="15" t="str">
        <f>IFERROR(__xludf.DUMMYFUNCTION("""COMPUTED_VALUE"""),"органічні сполуки")</f>
        <v>органічні сполуки</v>
      </c>
      <c r="D491" s="15" t="str">
        <f>IFERROR(__xludf.DUMMYFUNCTION("""COMPUTED_VALUE"""),"органічні кислоти")</f>
        <v>органічні кислоти</v>
      </c>
      <c r="E491" s="15" t="str">
        <f>IFERROR(__xludf.DUMMYFUNCTION("""COMPUTED_VALUE"""),"органічні кислоти")</f>
        <v>органічні кислоти</v>
      </c>
      <c r="F491" s="17">
        <f>IFERROR(__xludf.DUMMYFUNCTION("""COMPUTED_VALUE"""),3.0)</f>
        <v>3</v>
      </c>
      <c r="G491" s="17">
        <f>IFERROR(__xludf.DUMMYFUNCTION("""COMPUTED_VALUE"""),80310.0)</f>
        <v>80310</v>
      </c>
      <c r="H491" s="17" t="str">
        <f>IFERROR(__xludf.DUMMYFUNCTION("""COMPUTED_VALUE"""),"органічні кислоти")</f>
        <v>органічні кислоти</v>
      </c>
      <c r="I491" s="18">
        <f>IFERROR(__xludf.DUMMYFUNCTION("""COMPUTED_VALUE"""),1.89)</f>
        <v>1.89</v>
      </c>
      <c r="J491" s="18">
        <f>IFERROR(__xludf.DUMMYFUNCTION("""COMPUTED_VALUE"""),3.78)</f>
        <v>3.78</v>
      </c>
      <c r="K491" s="18">
        <f>IFERROR(__xludf.DUMMYFUNCTION("""COMPUTED_VALUE"""),4.72)</f>
        <v>4.72</v>
      </c>
      <c r="L491" s="18">
        <f>IFERROR(__xludf.DUMMYFUNCTION("""COMPUTED_VALUE"""),7.55)</f>
        <v>7.55</v>
      </c>
    </row>
    <row r="492">
      <c r="A492" s="13" t="str">
        <f>IFERROR(__xludf.DUMMYFUNCTION("""COMPUTED_VALUE"""),"товари")</f>
        <v>товари</v>
      </c>
      <c r="B492" s="13" t="str">
        <f>IFERROR(__xludf.DUMMYFUNCTION("""COMPUTED_VALUE"""),"промислова хімія")</f>
        <v>промислова хімія</v>
      </c>
      <c r="C492" s="15" t="str">
        <f>IFERROR(__xludf.DUMMYFUNCTION("""COMPUTED_VALUE"""),"пігменти, барвники")</f>
        <v>пігменти, барвники</v>
      </c>
      <c r="D492" s="15" t="str">
        <f>IFERROR(__xludf.DUMMYFUNCTION("""COMPUTED_VALUE"""),"пігменти")</f>
        <v>пігменти</v>
      </c>
      <c r="E492" s="15" t="str">
        <f>IFERROR(__xludf.DUMMYFUNCTION("""COMPUTED_VALUE"""),"пігменти")</f>
        <v>пігменти</v>
      </c>
      <c r="F492" s="17">
        <f>IFERROR(__xludf.DUMMYFUNCTION("""COMPUTED_VALUE"""),3.0)</f>
        <v>3</v>
      </c>
      <c r="G492" s="17">
        <f>IFERROR(__xludf.DUMMYFUNCTION("""COMPUTED_VALUE"""),814.0)</f>
        <v>814</v>
      </c>
      <c r="H492" s="17" t="str">
        <f>IFERROR(__xludf.DUMMYFUNCTION("""COMPUTED_VALUE"""),"пігменти")</f>
        <v>пігменти</v>
      </c>
      <c r="I492" s="18">
        <f>IFERROR(__xludf.DUMMYFUNCTION("""COMPUTED_VALUE"""),1.31)</f>
        <v>1.31</v>
      </c>
      <c r="J492" s="18">
        <f>IFERROR(__xludf.DUMMYFUNCTION("""COMPUTED_VALUE"""),2.61)</f>
        <v>2.61</v>
      </c>
      <c r="K492" s="18">
        <f>IFERROR(__xludf.DUMMYFUNCTION("""COMPUTED_VALUE"""),3.27)</f>
        <v>3.27</v>
      </c>
      <c r="L492" s="18">
        <f>IFERROR(__xludf.DUMMYFUNCTION("""COMPUTED_VALUE"""),5.23)</f>
        <v>5.23</v>
      </c>
    </row>
    <row r="493">
      <c r="A493" s="13" t="str">
        <f>IFERROR(__xludf.DUMMYFUNCTION("""COMPUTED_VALUE"""),"товари")</f>
        <v>товари</v>
      </c>
      <c r="B493" s="13" t="str">
        <f>IFERROR(__xludf.DUMMYFUNCTION("""COMPUTED_VALUE"""),"промислова хімія")</f>
        <v>промислова хімія</v>
      </c>
      <c r="C493" s="15" t="str">
        <f>IFERROR(__xludf.DUMMYFUNCTION("""COMPUTED_VALUE"""),"піногасники")</f>
        <v>піногасники</v>
      </c>
      <c r="D493" s="15" t="str">
        <f>IFERROR(__xludf.DUMMYFUNCTION("""COMPUTED_VALUE"""),"піногасники")</f>
        <v>піногасники</v>
      </c>
      <c r="E493" s="15" t="str">
        <f>IFERROR(__xludf.DUMMYFUNCTION("""COMPUTED_VALUE"""),"піногасники")</f>
        <v>піногасники</v>
      </c>
      <c r="F493" s="17">
        <f>IFERROR(__xludf.DUMMYFUNCTION("""COMPUTED_VALUE"""),2.0)</f>
        <v>2</v>
      </c>
      <c r="G493" s="17">
        <f>IFERROR(__xludf.DUMMYFUNCTION("""COMPUTED_VALUE"""),80327.0)</f>
        <v>80327</v>
      </c>
      <c r="H493" s="17" t="str">
        <f>IFERROR(__xludf.DUMMYFUNCTION("""COMPUTED_VALUE"""),"піногасники")</f>
        <v>піногасники</v>
      </c>
      <c r="I493" s="18">
        <f>IFERROR(__xludf.DUMMYFUNCTION("""COMPUTED_VALUE"""),1.13)</f>
        <v>1.13</v>
      </c>
      <c r="J493" s="18">
        <f>IFERROR(__xludf.DUMMYFUNCTION("""COMPUTED_VALUE"""),2.25)</f>
        <v>2.25</v>
      </c>
      <c r="K493" s="18">
        <f>IFERROR(__xludf.DUMMYFUNCTION("""COMPUTED_VALUE"""),2.81)</f>
        <v>2.81</v>
      </c>
      <c r="L493" s="18">
        <f>IFERROR(__xludf.DUMMYFUNCTION("""COMPUTED_VALUE"""),4.5)</f>
        <v>4.5</v>
      </c>
    </row>
    <row r="494">
      <c r="A494" s="13" t="str">
        <f>IFERROR(__xludf.DUMMYFUNCTION("""COMPUTED_VALUE"""),"товари")</f>
        <v>товари</v>
      </c>
      <c r="B494" s="13" t="str">
        <f>IFERROR(__xludf.DUMMYFUNCTION("""COMPUTED_VALUE"""),"промислова хімія")</f>
        <v>промислова хімія</v>
      </c>
      <c r="C494" s="15" t="str">
        <f>IFERROR(__xludf.DUMMYFUNCTION("""COMPUTED_VALUE"""),"пластикові добавки")</f>
        <v>пластикові добавки</v>
      </c>
      <c r="D494" s="15" t="str">
        <f>IFERROR(__xludf.DUMMYFUNCTION("""COMPUTED_VALUE"""),"пластикові добавки")</f>
        <v>пластикові добавки</v>
      </c>
      <c r="E494" s="15" t="str">
        <f>IFERROR(__xludf.DUMMYFUNCTION("""COMPUTED_VALUE"""),"пластикові добавки")</f>
        <v>пластикові добавки</v>
      </c>
      <c r="F494" s="17">
        <f>IFERROR(__xludf.DUMMYFUNCTION("""COMPUTED_VALUE"""),2.0)</f>
        <v>2</v>
      </c>
      <c r="G494" s="17">
        <f>IFERROR(__xludf.DUMMYFUNCTION("""COMPUTED_VALUE"""),8320605.0)</f>
        <v>8320605</v>
      </c>
      <c r="H494" s="17" t="str">
        <f>IFERROR(__xludf.DUMMYFUNCTION("""COMPUTED_VALUE"""),"пластикові добавки")</f>
        <v>пластикові добавки</v>
      </c>
      <c r="I494" s="18">
        <f>IFERROR(__xludf.DUMMYFUNCTION("""COMPUTED_VALUE"""),0.76)</f>
        <v>0.76</v>
      </c>
      <c r="J494" s="18">
        <f>IFERROR(__xludf.DUMMYFUNCTION("""COMPUTED_VALUE"""),1.53)</f>
        <v>1.53</v>
      </c>
      <c r="K494" s="18">
        <f>IFERROR(__xludf.DUMMYFUNCTION("""COMPUTED_VALUE"""),1.91)</f>
        <v>1.91</v>
      </c>
      <c r="L494" s="18">
        <f>IFERROR(__xludf.DUMMYFUNCTION("""COMPUTED_VALUE"""),3.05)</f>
        <v>3.05</v>
      </c>
    </row>
    <row r="495">
      <c r="A495" s="13" t="str">
        <f>IFERROR(__xludf.DUMMYFUNCTION("""COMPUTED_VALUE"""),"товари")</f>
        <v>товари</v>
      </c>
      <c r="B495" s="13" t="str">
        <f>IFERROR(__xludf.DUMMYFUNCTION("""COMPUTED_VALUE"""),"промислова хімія")</f>
        <v>промислова хімія</v>
      </c>
      <c r="C495" s="15" t="str">
        <f>IFERROR(__xludf.DUMMYFUNCTION("""COMPUTED_VALUE"""),"лакофарбові матеріали та покриття")</f>
        <v>лакофарбові матеріали та покриття</v>
      </c>
      <c r="D495" s="15" t="str">
        <f>IFERROR(__xludf.DUMMYFUNCTION("""COMPUTED_VALUE"""),"покриття для човнів та суден")</f>
        <v>покриття для човнів та суден</v>
      </c>
      <c r="E495" s="15" t="str">
        <f>IFERROR(__xludf.DUMMYFUNCTION("""COMPUTED_VALUE"""),"покриття для човнів та суден")</f>
        <v>покриття для човнів та суден</v>
      </c>
      <c r="F495" s="17">
        <f>IFERROR(__xludf.DUMMYFUNCTION("""COMPUTED_VALUE"""),3.0)</f>
        <v>3</v>
      </c>
      <c r="G495" s="17">
        <f>IFERROR(__xludf.DUMMYFUNCTION("""COMPUTED_VALUE"""),81102.0)</f>
        <v>81102</v>
      </c>
      <c r="H495" s="17" t="str">
        <f>IFERROR(__xludf.DUMMYFUNCTION("""COMPUTED_VALUE"""),"покриття для човнів та суден")</f>
        <v>покриття для човнів та суден</v>
      </c>
      <c r="I495" s="18">
        <f>IFERROR(__xludf.DUMMYFUNCTION("""COMPUTED_VALUE"""),1.13)</f>
        <v>1.13</v>
      </c>
      <c r="J495" s="18">
        <f>IFERROR(__xludf.DUMMYFUNCTION("""COMPUTED_VALUE"""),2.25)</f>
        <v>2.25</v>
      </c>
      <c r="K495" s="18">
        <f>IFERROR(__xludf.DUMMYFUNCTION("""COMPUTED_VALUE"""),2.81)</f>
        <v>2.81</v>
      </c>
      <c r="L495" s="18">
        <f>IFERROR(__xludf.DUMMYFUNCTION("""COMPUTED_VALUE"""),4.5)</f>
        <v>4.5</v>
      </c>
    </row>
    <row r="496">
      <c r="A496" s="13" t="str">
        <f>IFERROR(__xludf.DUMMYFUNCTION("""COMPUTED_VALUE"""),"товари")</f>
        <v>товари</v>
      </c>
      <c r="B496" s="13" t="str">
        <f>IFERROR(__xludf.DUMMYFUNCTION("""COMPUTED_VALUE"""),"промислова хімія")</f>
        <v>промислова хімія</v>
      </c>
      <c r="C496" s="15" t="str">
        <f>IFERROR(__xludf.DUMMYFUNCTION("""COMPUTED_VALUE"""),"промислова хімія, загальне")</f>
        <v>промислова хімія, загальне</v>
      </c>
      <c r="D496" s="15" t="str">
        <f>IFERROR(__xludf.DUMMYFUNCTION("""COMPUTED_VALUE"""),"промислова хімія, загальне")</f>
        <v>промислова хімія, загальне</v>
      </c>
      <c r="E496" s="15" t="str">
        <f>IFERROR(__xludf.DUMMYFUNCTION("""COMPUTED_VALUE"""),"промислова хімія, загальне")</f>
        <v>промислова хімія, загальне</v>
      </c>
      <c r="F496" s="17">
        <f>IFERROR(__xludf.DUMMYFUNCTION("""COMPUTED_VALUE"""),2.0)</f>
        <v>2</v>
      </c>
      <c r="G496" s="17">
        <f>IFERROR(__xludf.DUMMYFUNCTION("""COMPUTED_VALUE"""),80321.0)</f>
        <v>80321</v>
      </c>
      <c r="H496" s="17" t="str">
        <f>IFERROR(__xludf.DUMMYFUNCTION("""COMPUTED_VALUE"""),"промислова хімія, загальне")</f>
        <v>промислова хімія, загальне</v>
      </c>
      <c r="I496" s="18">
        <f>IFERROR(__xludf.DUMMYFUNCTION("""COMPUTED_VALUE"""),2.16)</f>
        <v>2.16</v>
      </c>
      <c r="J496" s="18">
        <f>IFERROR(__xludf.DUMMYFUNCTION("""COMPUTED_VALUE"""),4.33)</f>
        <v>4.33</v>
      </c>
      <c r="K496" s="18">
        <f>IFERROR(__xludf.DUMMYFUNCTION("""COMPUTED_VALUE"""),5.41)</f>
        <v>5.41</v>
      </c>
      <c r="L496" s="18">
        <f>IFERROR(__xludf.DUMMYFUNCTION("""COMPUTED_VALUE"""),8.65)</f>
        <v>8.65</v>
      </c>
    </row>
    <row r="497">
      <c r="A497" s="13" t="str">
        <f>IFERROR(__xludf.DUMMYFUNCTION("""COMPUTED_VALUE"""),"товари")</f>
        <v>товари</v>
      </c>
      <c r="B497" s="13" t="str">
        <f>IFERROR(__xludf.DUMMYFUNCTION("""COMPUTED_VALUE"""),"промислова хімія")</f>
        <v>промислова хімія</v>
      </c>
      <c r="C497" s="15" t="str">
        <f>IFERROR(__xludf.DUMMYFUNCTION("""COMPUTED_VALUE"""),"неорганічні сполуки")</f>
        <v>неорганічні сполуки</v>
      </c>
      <c r="D497" s="15" t="str">
        <f>IFERROR(__xludf.DUMMYFUNCTION("""COMPUTED_VALUE"""),"прості речовини")</f>
        <v>прості речовини</v>
      </c>
      <c r="E497" s="15" t="str">
        <f>IFERROR(__xludf.DUMMYFUNCTION("""COMPUTED_VALUE"""),"прості речовини")</f>
        <v>прості речовини</v>
      </c>
      <c r="F497" s="17">
        <f>IFERROR(__xludf.DUMMYFUNCTION("""COMPUTED_VALUE"""),3.0)</f>
        <v>3</v>
      </c>
      <c r="G497" s="17">
        <f>IFERROR(__xludf.DUMMYFUNCTION("""COMPUTED_VALUE"""),80205.0)</f>
        <v>80205</v>
      </c>
      <c r="H497" s="17" t="str">
        <f>IFERROR(__xludf.DUMMYFUNCTION("""COMPUTED_VALUE"""),"прості речовини")</f>
        <v>прості речовини</v>
      </c>
      <c r="I497" s="18">
        <f>IFERROR(__xludf.DUMMYFUNCTION("""COMPUTED_VALUE"""),1.66)</f>
        <v>1.66</v>
      </c>
      <c r="J497" s="18">
        <f>IFERROR(__xludf.DUMMYFUNCTION("""COMPUTED_VALUE"""),3.33)</f>
        <v>3.33</v>
      </c>
      <c r="K497" s="18">
        <f>IFERROR(__xludf.DUMMYFUNCTION("""COMPUTED_VALUE"""),4.16)</f>
        <v>4.16</v>
      </c>
      <c r="L497" s="18">
        <f>IFERROR(__xludf.DUMMYFUNCTION("""COMPUTED_VALUE"""),6.65)</f>
        <v>6.65</v>
      </c>
    </row>
    <row r="498">
      <c r="A498" s="13" t="str">
        <f>IFERROR(__xludf.DUMMYFUNCTION("""COMPUTED_VALUE"""),"товари")</f>
        <v>товари</v>
      </c>
      <c r="B498" s="13" t="str">
        <f>IFERROR(__xludf.DUMMYFUNCTION("""COMPUTED_VALUE"""),"промислова хімія")</f>
        <v>промислова хімія</v>
      </c>
      <c r="C498" s="15" t="str">
        <f>IFERROR(__xludf.DUMMYFUNCTION("""COMPUTED_VALUE"""),"хімічні реактиви")</f>
        <v>хімічні реактиви</v>
      </c>
      <c r="D498" s="15" t="str">
        <f>IFERROR(__xludf.DUMMYFUNCTION("""COMPUTED_VALUE"""),"рідкі органічні та неорганічні реактиви")</f>
        <v>рідкі органічні та неорганічні реактиви</v>
      </c>
      <c r="E498" s="15" t="str">
        <f>IFERROR(__xludf.DUMMYFUNCTION("""COMPUTED_VALUE"""),"рідкі органічні та неорганічні реактиви")</f>
        <v>рідкі органічні та неорганічні реактиви</v>
      </c>
      <c r="F498" s="17">
        <f>IFERROR(__xludf.DUMMYFUNCTION("""COMPUTED_VALUE"""),3.0)</f>
        <v>3</v>
      </c>
      <c r="G498" s="17">
        <f>IFERROR(__xludf.DUMMYFUNCTION("""COMPUTED_VALUE"""),81703.0)</f>
        <v>81703</v>
      </c>
      <c r="H498" s="17" t="str">
        <f>IFERROR(__xludf.DUMMYFUNCTION("""COMPUTED_VALUE"""),"рідкі органічні та неорганічні реактиви")</f>
        <v>рідкі органічні та неорганічні реактиви</v>
      </c>
      <c r="I498" s="18">
        <f>IFERROR(__xludf.DUMMYFUNCTION("""COMPUTED_VALUE"""),1.44)</f>
        <v>1.44</v>
      </c>
      <c r="J498" s="18">
        <f>IFERROR(__xludf.DUMMYFUNCTION("""COMPUTED_VALUE"""),2.88)</f>
        <v>2.88</v>
      </c>
      <c r="K498" s="18">
        <f>IFERROR(__xludf.DUMMYFUNCTION("""COMPUTED_VALUE"""),3.59)</f>
        <v>3.59</v>
      </c>
      <c r="L498" s="18">
        <f>IFERROR(__xludf.DUMMYFUNCTION("""COMPUTED_VALUE"""),5.75)</f>
        <v>5.75</v>
      </c>
    </row>
    <row r="499">
      <c r="A499" s="13" t="str">
        <f>IFERROR(__xludf.DUMMYFUNCTION("""COMPUTED_VALUE"""),"товари")</f>
        <v>товари</v>
      </c>
      <c r="B499" s="13" t="str">
        <f>IFERROR(__xludf.DUMMYFUNCTION("""COMPUTED_VALUE"""),"промислова хімія")</f>
        <v>промислова хімія</v>
      </c>
      <c r="C499" s="15" t="str">
        <f>IFERROR(__xludf.DUMMYFUNCTION("""COMPUTED_VALUE"""),"сировина для косметики")</f>
        <v>сировина для косметики</v>
      </c>
      <c r="D499" s="15" t="str">
        <f>IFERROR(__xludf.DUMMYFUNCTION("""COMPUTED_VALUE"""),"сировина для косметики")</f>
        <v>сировина для косметики</v>
      </c>
      <c r="E499" s="15" t="str">
        <f>IFERROR(__xludf.DUMMYFUNCTION("""COMPUTED_VALUE"""),"сировина для косметики")</f>
        <v>сировина для косметики</v>
      </c>
      <c r="F499" s="17">
        <f>IFERROR(__xludf.DUMMYFUNCTION("""COMPUTED_VALUE"""),2.0)</f>
        <v>2</v>
      </c>
      <c r="G499" s="17">
        <f>IFERROR(__xludf.DUMMYFUNCTION("""COMPUTED_VALUE"""),82112.0)</f>
        <v>82112</v>
      </c>
      <c r="H499" s="17" t="str">
        <f>IFERROR(__xludf.DUMMYFUNCTION("""COMPUTED_VALUE"""),"сировина для косметики")</f>
        <v>сировина для косметики</v>
      </c>
      <c r="I499" s="18">
        <f>IFERROR(__xludf.DUMMYFUNCTION("""COMPUTED_VALUE"""),2.11)</f>
        <v>2.11</v>
      </c>
      <c r="J499" s="18">
        <f>IFERROR(__xludf.DUMMYFUNCTION("""COMPUTED_VALUE"""),4.23)</f>
        <v>4.23</v>
      </c>
      <c r="K499" s="18">
        <f>IFERROR(__xludf.DUMMYFUNCTION("""COMPUTED_VALUE"""),5.28)</f>
        <v>5.28</v>
      </c>
      <c r="L499" s="18">
        <f>IFERROR(__xludf.DUMMYFUNCTION("""COMPUTED_VALUE"""),8.45)</f>
        <v>8.45</v>
      </c>
    </row>
    <row r="500">
      <c r="A500" s="13" t="str">
        <f>IFERROR(__xludf.DUMMYFUNCTION("""COMPUTED_VALUE"""),"товари")</f>
        <v>товари</v>
      </c>
      <c r="B500" s="13" t="str">
        <f>IFERROR(__xludf.DUMMYFUNCTION("""COMPUTED_VALUE"""),"промислова хімія")</f>
        <v>промислова хімія</v>
      </c>
      <c r="C500" s="15" t="str">
        <f>IFERROR(__xludf.DUMMYFUNCTION("""COMPUTED_VALUE"""),"сировина для миючих засобів")</f>
        <v>сировина для миючих засобів</v>
      </c>
      <c r="D500" s="15" t="str">
        <f>IFERROR(__xludf.DUMMYFUNCTION("""COMPUTED_VALUE"""),"сировина для миючих засобів")</f>
        <v>сировина для миючих засобів</v>
      </c>
      <c r="E500" s="15" t="str">
        <f>IFERROR(__xludf.DUMMYFUNCTION("""COMPUTED_VALUE"""),"сировина для миючих засобів")</f>
        <v>сировина для миючих засобів</v>
      </c>
      <c r="F500" s="17">
        <f>IFERROR(__xludf.DUMMYFUNCTION("""COMPUTED_VALUE"""),2.0)</f>
        <v>2</v>
      </c>
      <c r="G500" s="17">
        <f>IFERROR(__xludf.DUMMYFUNCTION("""COMPUTED_VALUE"""),82108.0)</f>
        <v>82108</v>
      </c>
      <c r="H500" s="17" t="str">
        <f>IFERROR(__xludf.DUMMYFUNCTION("""COMPUTED_VALUE"""),"сировина для миючих засобів")</f>
        <v>сировина для миючих засобів</v>
      </c>
      <c r="I500" s="18">
        <f>IFERROR(__xludf.DUMMYFUNCTION("""COMPUTED_VALUE"""),2.25)</f>
        <v>2.25</v>
      </c>
      <c r="J500" s="18">
        <f>IFERROR(__xludf.DUMMYFUNCTION("""COMPUTED_VALUE"""),4.5)</f>
        <v>4.5</v>
      </c>
      <c r="K500" s="18">
        <f>IFERROR(__xludf.DUMMYFUNCTION("""COMPUTED_VALUE"""),5.63)</f>
        <v>5.63</v>
      </c>
      <c r="L500" s="18">
        <f>IFERROR(__xludf.DUMMYFUNCTION("""COMPUTED_VALUE"""),9.0)</f>
        <v>9</v>
      </c>
    </row>
    <row r="501">
      <c r="A501" s="13" t="str">
        <f>IFERROR(__xludf.DUMMYFUNCTION("""COMPUTED_VALUE"""),"товари")</f>
        <v>товари</v>
      </c>
      <c r="B501" s="13" t="str">
        <f>IFERROR(__xludf.DUMMYFUNCTION("""COMPUTED_VALUE"""),"промислова хімія")</f>
        <v>промислова хімія</v>
      </c>
      <c r="C501" s="15" t="str">
        <f>IFERROR(__xludf.DUMMYFUNCTION("""COMPUTED_VALUE"""),"сировина для пінополіуретанів")</f>
        <v>сировина для пінополіуретанів</v>
      </c>
      <c r="D501" s="15" t="str">
        <f>IFERROR(__xludf.DUMMYFUNCTION("""COMPUTED_VALUE"""),"сировина для пінополіуретанів")</f>
        <v>сировина для пінополіуретанів</v>
      </c>
      <c r="E501" s="15" t="str">
        <f>IFERROR(__xludf.DUMMYFUNCTION("""COMPUTED_VALUE"""),"сировина для пінополіуретанів")</f>
        <v>сировина для пінополіуретанів</v>
      </c>
      <c r="F501" s="17">
        <f>IFERROR(__xludf.DUMMYFUNCTION("""COMPUTED_VALUE"""),2.0)</f>
        <v>2</v>
      </c>
      <c r="G501" s="17">
        <f>IFERROR(__xludf.DUMMYFUNCTION("""COMPUTED_VALUE"""),80328.0)</f>
        <v>80328</v>
      </c>
      <c r="H501" s="17" t="str">
        <f>IFERROR(__xludf.DUMMYFUNCTION("""COMPUTED_VALUE"""),"сировина для пінополіуретанів")</f>
        <v>сировина для пінополіуретанів</v>
      </c>
      <c r="I501" s="18">
        <f>IFERROR(__xludf.DUMMYFUNCTION("""COMPUTED_VALUE"""),0.53)</f>
        <v>0.53</v>
      </c>
      <c r="J501" s="18">
        <f>IFERROR(__xludf.DUMMYFUNCTION("""COMPUTED_VALUE"""),1.05)</f>
        <v>1.05</v>
      </c>
      <c r="K501" s="18">
        <f>IFERROR(__xludf.DUMMYFUNCTION("""COMPUTED_VALUE"""),1.31)</f>
        <v>1.31</v>
      </c>
      <c r="L501" s="18">
        <f>IFERROR(__xludf.DUMMYFUNCTION("""COMPUTED_VALUE"""),2.1)</f>
        <v>2.1</v>
      </c>
    </row>
    <row r="502">
      <c r="A502" s="13" t="str">
        <f>IFERROR(__xludf.DUMMYFUNCTION("""COMPUTED_VALUE"""),"товари")</f>
        <v>товари</v>
      </c>
      <c r="B502" s="13" t="str">
        <f>IFERROR(__xludf.DUMMYFUNCTION("""COMPUTED_VALUE"""),"промислова хімія")</f>
        <v>промислова хімія</v>
      </c>
      <c r="C502" s="15" t="str">
        <f>IFERROR(__xludf.DUMMYFUNCTION("""COMPUTED_VALUE"""),"органічні сполуки")</f>
        <v>органічні сполуки</v>
      </c>
      <c r="D502" s="15" t="str">
        <f>IFERROR(__xludf.DUMMYFUNCTION("""COMPUTED_VALUE"""),"технічний спирт")</f>
        <v>технічний спирт</v>
      </c>
      <c r="E502" s="15" t="str">
        <f>IFERROR(__xludf.DUMMYFUNCTION("""COMPUTED_VALUE"""),"технічний спирт")</f>
        <v>технічний спирт</v>
      </c>
      <c r="F502" s="17">
        <f>IFERROR(__xludf.DUMMYFUNCTION("""COMPUTED_VALUE"""),3.0)</f>
        <v>3</v>
      </c>
      <c r="G502" s="17">
        <f>IFERROR(__xludf.DUMMYFUNCTION("""COMPUTED_VALUE"""),80308.0)</f>
        <v>80308</v>
      </c>
      <c r="H502" s="17" t="str">
        <f>IFERROR(__xludf.DUMMYFUNCTION("""COMPUTED_VALUE"""),"технічний спирт")</f>
        <v>технічний спирт</v>
      </c>
      <c r="I502" s="18">
        <f>IFERROR(__xludf.DUMMYFUNCTION("""COMPUTED_VALUE"""),2.7)</f>
        <v>2.7</v>
      </c>
      <c r="J502" s="18">
        <f>IFERROR(__xludf.DUMMYFUNCTION("""COMPUTED_VALUE"""),5.4)</f>
        <v>5.4</v>
      </c>
      <c r="K502" s="18">
        <f>IFERROR(__xludf.DUMMYFUNCTION("""COMPUTED_VALUE"""),6.75)</f>
        <v>6.75</v>
      </c>
      <c r="L502" s="18">
        <f>IFERROR(__xludf.DUMMYFUNCTION("""COMPUTED_VALUE"""),10.8)</f>
        <v>10.8</v>
      </c>
    </row>
    <row r="503">
      <c r="A503" s="13" t="str">
        <f>IFERROR(__xludf.DUMMYFUNCTION("""COMPUTED_VALUE"""),"товари")</f>
        <v>товари</v>
      </c>
      <c r="B503" s="13" t="str">
        <f>IFERROR(__xludf.DUMMYFUNCTION("""COMPUTED_VALUE"""),"промислова хімія")</f>
        <v>промислова хімія</v>
      </c>
      <c r="C503" s="15" t="str">
        <f>IFERROR(__xludf.DUMMYFUNCTION("""COMPUTED_VALUE"""),"лакофарбові матеріали та покриття")</f>
        <v>лакофарбові матеріали та покриття</v>
      </c>
      <c r="D503" s="15" t="str">
        <f>IFERROR(__xludf.DUMMYFUNCTION("""COMPUTED_VALUE"""),"фарби для нанесення дорожньої розмітки")</f>
        <v>фарби для нанесення дорожньої розмітки</v>
      </c>
      <c r="E503" s="15" t="str">
        <f>IFERROR(__xludf.DUMMYFUNCTION("""COMPUTED_VALUE"""),"фарби для нанесення дорожньої розмітки")</f>
        <v>фарби для нанесення дорожньої розмітки</v>
      </c>
      <c r="F503" s="17">
        <f>IFERROR(__xludf.DUMMYFUNCTION("""COMPUTED_VALUE"""),3.0)</f>
        <v>3</v>
      </c>
      <c r="G503" s="17">
        <f>IFERROR(__xludf.DUMMYFUNCTION("""COMPUTED_VALUE"""),1.3071006E7)</f>
        <v>13071006</v>
      </c>
      <c r="H503" s="17" t="str">
        <f>IFERROR(__xludf.DUMMYFUNCTION("""COMPUTED_VALUE"""),"фарби для нанесення дорожньої розмітки")</f>
        <v>фарби для нанесення дорожньої розмітки</v>
      </c>
      <c r="I503" s="18">
        <f>IFERROR(__xludf.DUMMYFUNCTION("""COMPUTED_VALUE"""),1.98)</f>
        <v>1.98</v>
      </c>
      <c r="J503" s="18">
        <f>IFERROR(__xludf.DUMMYFUNCTION("""COMPUTED_VALUE"""),3.96)</f>
        <v>3.96</v>
      </c>
      <c r="K503" s="18">
        <f>IFERROR(__xludf.DUMMYFUNCTION("""COMPUTED_VALUE"""),4.95)</f>
        <v>4.95</v>
      </c>
      <c r="L503" s="18">
        <f>IFERROR(__xludf.DUMMYFUNCTION("""COMPUTED_VALUE"""),7.93)</f>
        <v>7.93</v>
      </c>
    </row>
    <row r="504">
      <c r="A504" s="13" t="str">
        <f>IFERROR(__xludf.DUMMYFUNCTION("""COMPUTED_VALUE"""),"товари")</f>
        <v>товари</v>
      </c>
      <c r="B504" s="13" t="str">
        <f>IFERROR(__xludf.DUMMYFUNCTION("""COMPUTED_VALUE"""),"промислова хімія")</f>
        <v>промислова хімія</v>
      </c>
      <c r="C504" s="15" t="str">
        <f>IFERROR(__xludf.DUMMYFUNCTION("""COMPUTED_VALUE"""),"хімічні реактиви")</f>
        <v>хімічні реактиви</v>
      </c>
      <c r="D504" s="15" t="str">
        <f>IFERROR(__xludf.DUMMYFUNCTION("""COMPUTED_VALUE"""),"хімічні реактиви, загальне")</f>
        <v>хімічні реактиви, загальне</v>
      </c>
      <c r="E504" s="15" t="str">
        <f>IFERROR(__xludf.DUMMYFUNCTION("""COMPUTED_VALUE"""),"хімічні реактиви, загальне")</f>
        <v>хімічні реактиви, загальне</v>
      </c>
      <c r="F504" s="17">
        <f>IFERROR(__xludf.DUMMYFUNCTION("""COMPUTED_VALUE"""),3.0)</f>
        <v>3</v>
      </c>
      <c r="G504" s="17">
        <f>IFERROR(__xludf.DUMMYFUNCTION("""COMPUTED_VALUE"""),81705.0)</f>
        <v>81705</v>
      </c>
      <c r="H504" s="17" t="str">
        <f>IFERROR(__xludf.DUMMYFUNCTION("""COMPUTED_VALUE"""),"хімічні реактиви, загальне")</f>
        <v>хімічні реактиви, загальне</v>
      </c>
      <c r="I504" s="18">
        <f>IFERROR(__xludf.DUMMYFUNCTION("""COMPUTED_VALUE"""),2.16)</f>
        <v>2.16</v>
      </c>
      <c r="J504" s="18">
        <f>IFERROR(__xludf.DUMMYFUNCTION("""COMPUTED_VALUE"""),4.33)</f>
        <v>4.33</v>
      </c>
      <c r="K504" s="18">
        <f>IFERROR(__xludf.DUMMYFUNCTION("""COMPUTED_VALUE"""),5.41)</f>
        <v>5.41</v>
      </c>
      <c r="L504" s="18">
        <f>IFERROR(__xludf.DUMMYFUNCTION("""COMPUTED_VALUE"""),8.65)</f>
        <v>8.65</v>
      </c>
    </row>
    <row r="505">
      <c r="A505" s="13" t="str">
        <f>IFERROR(__xludf.DUMMYFUNCTION("""COMPUTED_VALUE"""),"товари")</f>
        <v>товари</v>
      </c>
      <c r="B505" s="13" t="str">
        <f>IFERROR(__xludf.DUMMYFUNCTION("""COMPUTED_VALUE"""),"промислове обладнання та верстати")</f>
        <v>промислове обладнання та верстати</v>
      </c>
      <c r="C505" s="15" t="str">
        <f>IFERROR(__xludf.DUMMYFUNCTION("""COMPUTED_VALUE"""),"складське обладнання")</f>
        <v>складське обладнання</v>
      </c>
      <c r="D505" s="15" t="str">
        <f>IFERROR(__xludf.DUMMYFUNCTION("""COMPUTED_VALUE"""),"автомобілерозвантажувальні платформи")</f>
        <v>автомобілерозвантажувальні платформи</v>
      </c>
      <c r="E505" s="15" t="str">
        <f>IFERROR(__xludf.DUMMYFUNCTION("""COMPUTED_VALUE"""),"автомобілерозвантажувальні платформи")</f>
        <v>автомобілерозвантажувальні платформи</v>
      </c>
      <c r="F505" s="17">
        <f>IFERROR(__xludf.DUMMYFUNCTION("""COMPUTED_VALUE"""),3.0)</f>
        <v>3</v>
      </c>
      <c r="G505" s="17">
        <f>IFERROR(__xludf.DUMMYFUNCTION("""COMPUTED_VALUE"""),142919.0)</f>
        <v>142919</v>
      </c>
      <c r="H505" s="17" t="str">
        <f>IFERROR(__xludf.DUMMYFUNCTION("""COMPUTED_VALUE"""),"автомобілерозвантажувальні платформи")</f>
        <v>автомобілерозвантажувальні платформи</v>
      </c>
      <c r="I505" s="18">
        <f>IFERROR(__xludf.DUMMYFUNCTION("""COMPUTED_VALUE"""),1.53)</f>
        <v>1.53</v>
      </c>
      <c r="J505" s="18">
        <f>IFERROR(__xludf.DUMMYFUNCTION("""COMPUTED_VALUE"""),3.06)</f>
        <v>3.06</v>
      </c>
      <c r="K505" s="18">
        <f>IFERROR(__xludf.DUMMYFUNCTION("""COMPUTED_VALUE"""),3.83)</f>
        <v>3.83</v>
      </c>
      <c r="L505" s="18">
        <f>IFERROR(__xludf.DUMMYFUNCTION("""COMPUTED_VALUE"""),6.13)</f>
        <v>6.13</v>
      </c>
    </row>
    <row r="506">
      <c r="A506" s="13" t="str">
        <f>IFERROR(__xludf.DUMMYFUNCTION("""COMPUTED_VALUE"""),"товари")</f>
        <v>товари</v>
      </c>
      <c r="B506" s="13" t="str">
        <f>IFERROR(__xludf.DUMMYFUNCTION("""COMPUTED_VALUE"""),"промислове обладнання та верстати")</f>
        <v>промислове обладнання та верстати</v>
      </c>
      <c r="C506" s="15" t="str">
        <f>IFERROR(__xludf.DUMMYFUNCTION("""COMPUTED_VALUE"""),"альтернативні джерела енергії")</f>
        <v>альтернативні джерела енергії</v>
      </c>
      <c r="D506" s="15" t="str">
        <f>IFERROR(__xludf.DUMMYFUNCTION("""COMPUTED_VALUE"""),"альтернативні джерела енергії, загальне")</f>
        <v>альтернативні джерела енергії, загальне</v>
      </c>
      <c r="E506" s="15" t="str">
        <f>IFERROR(__xludf.DUMMYFUNCTION("""COMPUTED_VALUE"""),"альтернативні джерела енергії, загальне")</f>
        <v>альтернативні джерела енергії, загальне</v>
      </c>
      <c r="F506" s="17">
        <f>IFERROR(__xludf.DUMMYFUNCTION("""COMPUTED_VALUE"""),3.0)</f>
        <v>3</v>
      </c>
      <c r="G506" s="17">
        <f>IFERROR(__xludf.DUMMYFUNCTION("""COMPUTED_VALUE"""),101002.0)</f>
        <v>101002</v>
      </c>
      <c r="H506" s="17" t="str">
        <f>IFERROR(__xludf.DUMMYFUNCTION("""COMPUTED_VALUE"""),"альтернативні джерела енергії, загальне")</f>
        <v>альтернативні джерела енергії, загальне</v>
      </c>
      <c r="I506" s="18">
        <f>IFERROR(__xludf.DUMMYFUNCTION("""COMPUTED_VALUE"""),2.16)</f>
        <v>2.16</v>
      </c>
      <c r="J506" s="18">
        <f>IFERROR(__xludf.DUMMYFUNCTION("""COMPUTED_VALUE"""),4.33)</f>
        <v>4.33</v>
      </c>
      <c r="K506" s="18">
        <f>IFERROR(__xludf.DUMMYFUNCTION("""COMPUTED_VALUE"""),5.41)</f>
        <v>5.41</v>
      </c>
      <c r="L506" s="18">
        <f>IFERROR(__xludf.DUMMYFUNCTION("""COMPUTED_VALUE"""),8.65)</f>
        <v>8.65</v>
      </c>
    </row>
    <row r="507">
      <c r="A507" s="13" t="str">
        <f>IFERROR(__xludf.DUMMYFUNCTION("""COMPUTED_VALUE"""),"товари")</f>
        <v>товари</v>
      </c>
      <c r="B507" s="13" t="str">
        <f>IFERROR(__xludf.DUMMYFUNCTION("""COMPUTED_VALUE"""),"промислове обладнання та верстати")</f>
        <v>промислове обладнання та верстати</v>
      </c>
      <c r="C507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07" s="15" t="str">
        <f>IFERROR(__xludf.DUMMYFUNCTION("""COMPUTED_VALUE"""),"б/в комплектуючі для промислового обладнання та верстатів")</f>
        <v>б/в комплектуючі для промислового обладнання та верстатів</v>
      </c>
      <c r="E507" s="15" t="str">
        <f>IFERROR(__xludf.DUMMYFUNCTION("""COMPUTED_VALUE"""),"б/в комплектуючі для промислового обладнання та верстатів")</f>
        <v>б/в комплектуючі для промислового обладнання та верстатів</v>
      </c>
      <c r="F507" s="17">
        <f>IFERROR(__xludf.DUMMYFUNCTION("""COMPUTED_VALUE"""),3.0)</f>
        <v>3</v>
      </c>
      <c r="G507" s="17">
        <f>IFERROR(__xludf.DUMMYFUNCTION("""COMPUTED_VALUE"""),432441.0)</f>
        <v>432441</v>
      </c>
      <c r="H507" s="17" t="str">
        <f>IFERROR(__xludf.DUMMYFUNCTION("""COMPUTED_VALUE"""),"б/в комплектуючі для промислового обладнання та верстатів")</f>
        <v>б/в комплектуючі для промислового обладнання та верстатів</v>
      </c>
      <c r="I507" s="18">
        <f>IFERROR(__xludf.DUMMYFUNCTION("""COMPUTED_VALUE"""),1.04)</f>
        <v>1.04</v>
      </c>
      <c r="J507" s="18">
        <f>IFERROR(__xludf.DUMMYFUNCTION("""COMPUTED_VALUE"""),2.08)</f>
        <v>2.08</v>
      </c>
      <c r="K507" s="18">
        <f>IFERROR(__xludf.DUMMYFUNCTION("""COMPUTED_VALUE"""),2.59)</f>
        <v>2.59</v>
      </c>
      <c r="L507" s="18">
        <f>IFERROR(__xludf.DUMMYFUNCTION("""COMPUTED_VALUE"""),4.15)</f>
        <v>4.15</v>
      </c>
    </row>
    <row r="508">
      <c r="A508" s="13" t="str">
        <f>IFERROR(__xludf.DUMMYFUNCTION("""COMPUTED_VALUE"""),"товари")</f>
        <v>товари</v>
      </c>
      <c r="B508" s="13" t="str">
        <f>IFERROR(__xludf.DUMMYFUNCTION("""COMPUTED_VALUE"""),"промислове обладнання та верстати")</f>
        <v>промислове обладнання та верстати</v>
      </c>
      <c r="C508" s="15" t="str">
        <f>IFERROR(__xludf.DUMMYFUNCTION("""COMPUTED_VALUE"""),"хімічне обладнання")</f>
        <v>хімічне обладнання</v>
      </c>
      <c r="D508" s="15" t="str">
        <f>IFERROR(__xludf.DUMMYFUNCTION("""COMPUTED_VALUE"""),"газобалонне обладнання")</f>
        <v>газобалонне обладнання</v>
      </c>
      <c r="E508" s="15" t="str">
        <f>IFERROR(__xludf.DUMMYFUNCTION("""COMPUTED_VALUE"""),"балони для зберігання газів")</f>
        <v>балони для зберігання газів</v>
      </c>
      <c r="F508" s="17">
        <f>IFERROR(__xludf.DUMMYFUNCTION("""COMPUTED_VALUE"""),4.0)</f>
        <v>4</v>
      </c>
      <c r="G508" s="17">
        <f>IFERROR(__xludf.DUMMYFUNCTION("""COMPUTED_VALUE"""),1.4160401E7)</f>
        <v>14160401</v>
      </c>
      <c r="H508" s="17" t="str">
        <f>IFERROR(__xludf.DUMMYFUNCTION("""COMPUTED_VALUE"""),"балони для зберігання газів")</f>
        <v>балони для зберігання газів</v>
      </c>
      <c r="I508" s="18">
        <f>IFERROR(__xludf.DUMMYFUNCTION("""COMPUTED_VALUE"""),0.86)</f>
        <v>0.86</v>
      </c>
      <c r="J508" s="18">
        <f>IFERROR(__xludf.DUMMYFUNCTION("""COMPUTED_VALUE"""),1.71)</f>
        <v>1.71</v>
      </c>
      <c r="K508" s="18">
        <f>IFERROR(__xludf.DUMMYFUNCTION("""COMPUTED_VALUE"""),2.14)</f>
        <v>2.14</v>
      </c>
      <c r="L508" s="18">
        <f>IFERROR(__xludf.DUMMYFUNCTION("""COMPUTED_VALUE"""),3.43)</f>
        <v>3.43</v>
      </c>
    </row>
    <row r="509">
      <c r="A509" s="13" t="str">
        <f>IFERROR(__xludf.DUMMYFUNCTION("""COMPUTED_VALUE"""),"товари")</f>
        <v>товари</v>
      </c>
      <c r="B509" s="13" t="str">
        <f>IFERROR(__xludf.DUMMYFUNCTION("""COMPUTED_VALUE"""),"промислове обладнання та верстати")</f>
        <v>промислове обладнання та верстати</v>
      </c>
      <c r="C509" s="15" t="str">
        <f>IFERROR(__xludf.DUMMYFUNCTION("""COMPUTED_VALUE"""),"кранове обладнання")</f>
        <v>кранове обладнання</v>
      </c>
      <c r="D509" s="15" t="str">
        <f>IFERROR(__xludf.DUMMYFUNCTION("""COMPUTED_VALUE"""),"баштові крани")</f>
        <v>баштові крани</v>
      </c>
      <c r="E509" s="15" t="str">
        <f>IFERROR(__xludf.DUMMYFUNCTION("""COMPUTED_VALUE"""),"баштові крани")</f>
        <v>баштові крани</v>
      </c>
      <c r="F509" s="17">
        <f>IFERROR(__xludf.DUMMYFUNCTION("""COMPUTED_VALUE"""),3.0)</f>
        <v>3</v>
      </c>
      <c r="G509" s="17">
        <f>IFERROR(__xludf.DUMMYFUNCTION("""COMPUTED_VALUE"""),1.3040204E7)</f>
        <v>13040204</v>
      </c>
      <c r="H509" s="17" t="str">
        <f>IFERROR(__xludf.DUMMYFUNCTION("""COMPUTED_VALUE"""),"баштові крани")</f>
        <v>баштові крани</v>
      </c>
      <c r="I509" s="18">
        <f>IFERROR(__xludf.DUMMYFUNCTION("""COMPUTED_VALUE"""),1.13)</f>
        <v>1.13</v>
      </c>
      <c r="J509" s="18">
        <f>IFERROR(__xludf.DUMMYFUNCTION("""COMPUTED_VALUE"""),2.25)</f>
        <v>2.25</v>
      </c>
      <c r="K509" s="18">
        <f>IFERROR(__xludf.DUMMYFUNCTION("""COMPUTED_VALUE"""),2.81)</f>
        <v>2.81</v>
      </c>
      <c r="L509" s="18">
        <f>IFERROR(__xludf.DUMMYFUNCTION("""COMPUTED_VALUE"""),4.5)</f>
        <v>4.5</v>
      </c>
    </row>
    <row r="510">
      <c r="A510" s="13" t="str">
        <f>IFERROR(__xludf.DUMMYFUNCTION("""COMPUTED_VALUE"""),"товари")</f>
        <v>товари</v>
      </c>
      <c r="B510" s="13" t="str">
        <f>IFERROR(__xludf.DUMMYFUNCTION("""COMPUTED_VALUE"""),"промислове обладнання та верстати")</f>
        <v>промислове обладнання та верстати</v>
      </c>
      <c r="C510" s="15" t="str">
        <f>IFERROR(__xludf.DUMMYFUNCTION("""COMPUTED_VALUE"""),"альтернативні джерела енергії")</f>
        <v>альтернативні джерела енергії</v>
      </c>
      <c r="D510" s="15" t="str">
        <f>IFERROR(__xludf.DUMMYFUNCTION("""COMPUTED_VALUE"""),"біогазові установки")</f>
        <v>біогазові установки</v>
      </c>
      <c r="E510" s="15" t="str">
        <f>IFERROR(__xludf.DUMMYFUNCTION("""COMPUTED_VALUE"""),"біогазові установки, загальне")</f>
        <v>біогазові установки, загальне</v>
      </c>
      <c r="F510" s="17">
        <f>IFERROR(__xludf.DUMMYFUNCTION("""COMPUTED_VALUE"""),4.0)</f>
        <v>4</v>
      </c>
      <c r="G510" s="17">
        <f>IFERROR(__xludf.DUMMYFUNCTION("""COMPUTED_VALUE"""),1.0100105E7)</f>
        <v>10100105</v>
      </c>
      <c r="H510" s="17" t="str">
        <f>IFERROR(__xludf.DUMMYFUNCTION("""COMPUTED_VALUE"""),"біогазові установки, загальне")</f>
        <v>біогазові установки, загальне</v>
      </c>
      <c r="I510" s="18">
        <f>IFERROR(__xludf.DUMMYFUNCTION("""COMPUTED_VALUE"""),2.16)</f>
        <v>2.16</v>
      </c>
      <c r="J510" s="18">
        <f>IFERROR(__xludf.DUMMYFUNCTION("""COMPUTED_VALUE"""),4.33)</f>
        <v>4.33</v>
      </c>
      <c r="K510" s="18">
        <f>IFERROR(__xludf.DUMMYFUNCTION("""COMPUTED_VALUE"""),5.41)</f>
        <v>5.41</v>
      </c>
      <c r="L510" s="18">
        <f>IFERROR(__xludf.DUMMYFUNCTION("""COMPUTED_VALUE"""),8.65)</f>
        <v>8.65</v>
      </c>
    </row>
    <row r="511">
      <c r="A511" s="13" t="str">
        <f>IFERROR(__xludf.DUMMYFUNCTION("""COMPUTED_VALUE"""),"товари")</f>
        <v>товари</v>
      </c>
      <c r="B511" s="13" t="str">
        <f>IFERROR(__xludf.DUMMYFUNCTION("""COMPUTED_VALUE"""),"промислове обладнання та верстати")</f>
        <v>промислове обладнання та верстати</v>
      </c>
      <c r="C511" s="15" t="str">
        <f>IFERROR(__xludf.DUMMYFUNCTION("""COMPUTED_VALUE"""),"зварювальне та паяльне обладнання")</f>
        <v>зварювальне та паяльне обладнання</v>
      </c>
      <c r="D511" s="15" t="str">
        <f>IFERROR(__xludf.DUMMYFUNCTION("""COMPUTED_VALUE"""),"блоки рідинного охолодження")</f>
        <v>блоки рідинного охолодження</v>
      </c>
      <c r="E511" s="15" t="str">
        <f>IFERROR(__xludf.DUMMYFUNCTION("""COMPUTED_VALUE"""),"блоки рідинного охолодження")</f>
        <v>блоки рідинного охолодження</v>
      </c>
      <c r="F511" s="17">
        <f>IFERROR(__xludf.DUMMYFUNCTION("""COMPUTED_VALUE"""),3.0)</f>
        <v>3</v>
      </c>
      <c r="G511" s="17">
        <f>IFERROR(__xludf.DUMMYFUNCTION("""COMPUTED_VALUE"""),144014.0)</f>
        <v>144014</v>
      </c>
      <c r="H511" s="17" t="str">
        <f>IFERROR(__xludf.DUMMYFUNCTION("""COMPUTED_VALUE"""),"блоки рідинного охолодження")</f>
        <v>блоки рідинного охолодження</v>
      </c>
      <c r="I511" s="18">
        <f>IFERROR(__xludf.DUMMYFUNCTION("""COMPUTED_VALUE"""),0.53)</f>
        <v>0.53</v>
      </c>
      <c r="J511" s="18">
        <f>IFERROR(__xludf.DUMMYFUNCTION("""COMPUTED_VALUE"""),1.05)</f>
        <v>1.05</v>
      </c>
      <c r="K511" s="18">
        <f>IFERROR(__xludf.DUMMYFUNCTION("""COMPUTED_VALUE"""),1.31)</f>
        <v>1.31</v>
      </c>
      <c r="L511" s="18">
        <f>IFERROR(__xludf.DUMMYFUNCTION("""COMPUTED_VALUE"""),2.1)</f>
        <v>2.1</v>
      </c>
    </row>
    <row r="512">
      <c r="A512" s="13" t="str">
        <f>IFERROR(__xludf.DUMMYFUNCTION("""COMPUTED_VALUE"""),"товари")</f>
        <v>товари</v>
      </c>
      <c r="B512" s="13" t="str">
        <f>IFERROR(__xludf.DUMMYFUNCTION("""COMPUTED_VALUE"""),"промислове обладнання та верстати")</f>
        <v>промислове обладнання та верстати</v>
      </c>
      <c r="C512" s="15" t="str">
        <f>IFERROR(__xludf.DUMMYFUNCTION("""COMPUTED_VALUE"""),"енергообладнання")</f>
        <v>енергообладнання</v>
      </c>
      <c r="D512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512" s="15" t="str">
        <f>IFERROR(__xludf.DUMMYFUNCTION("""COMPUTED_VALUE"""),"бункери для подачі твердого палива")</f>
        <v>бункери для подачі твердого палива</v>
      </c>
      <c r="F512" s="17">
        <f>IFERROR(__xludf.DUMMYFUNCTION("""COMPUTED_VALUE"""),4.0)</f>
        <v>4</v>
      </c>
      <c r="G512" s="17">
        <f>IFERROR(__xludf.DUMMYFUNCTION("""COMPUTED_VALUE"""),142109.0)</f>
        <v>142109</v>
      </c>
      <c r="H512" s="17" t="str">
        <f>IFERROR(__xludf.DUMMYFUNCTION("""COMPUTED_VALUE"""),"бункери для подачі твердого палива")</f>
        <v>бункери для подачі твердого палива</v>
      </c>
      <c r="I512" s="18">
        <f>IFERROR(__xludf.DUMMYFUNCTION("""COMPUTED_VALUE"""),2.7)</f>
        <v>2.7</v>
      </c>
      <c r="J512" s="18">
        <f>IFERROR(__xludf.DUMMYFUNCTION("""COMPUTED_VALUE"""),5.4)</f>
        <v>5.4</v>
      </c>
      <c r="K512" s="18">
        <f>IFERROR(__xludf.DUMMYFUNCTION("""COMPUTED_VALUE"""),6.75)</f>
        <v>6.75</v>
      </c>
      <c r="L512" s="18">
        <f>IFERROR(__xludf.DUMMYFUNCTION("""COMPUTED_VALUE"""),10.8)</f>
        <v>10.8</v>
      </c>
    </row>
    <row r="513">
      <c r="A513" s="13" t="str">
        <f>IFERROR(__xludf.DUMMYFUNCTION("""COMPUTED_VALUE"""),"товари")</f>
        <v>товари</v>
      </c>
      <c r="B513" s="13" t="str">
        <f>IFERROR(__xludf.DUMMYFUNCTION("""COMPUTED_VALUE"""),"промислове обладнання та верстати")</f>
        <v>промислове обладнання та верстати</v>
      </c>
      <c r="C513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13" s="15" t="str">
        <f>IFERROR(__xludf.DUMMYFUNCTION("""COMPUTED_VALUE"""),"бурове обладнання")</f>
        <v>бурове обладнання</v>
      </c>
      <c r="E513" s="15" t="str">
        <f>IFERROR(__xludf.DUMMYFUNCTION("""COMPUTED_VALUE"""),"бурове долото")</f>
        <v>бурове долото</v>
      </c>
      <c r="F513" s="17">
        <f>IFERROR(__xludf.DUMMYFUNCTION("""COMPUTED_VALUE"""),4.0)</f>
        <v>4</v>
      </c>
      <c r="G513" s="17">
        <f>IFERROR(__xludf.DUMMYFUNCTION("""COMPUTED_VALUE"""),9150403.0)</f>
        <v>9150403</v>
      </c>
      <c r="H513" s="17" t="str">
        <f>IFERROR(__xludf.DUMMYFUNCTION("""COMPUTED_VALUE"""),"бурове долото")</f>
        <v>бурове долото</v>
      </c>
      <c r="I513" s="18">
        <f>IFERROR(__xludf.DUMMYFUNCTION("""COMPUTED_VALUE"""),0.86)</f>
        <v>0.86</v>
      </c>
      <c r="J513" s="18">
        <f>IFERROR(__xludf.DUMMYFUNCTION("""COMPUTED_VALUE"""),1.71)</f>
        <v>1.71</v>
      </c>
      <c r="K513" s="18">
        <f>IFERROR(__xludf.DUMMYFUNCTION("""COMPUTED_VALUE"""),2.14)</f>
        <v>2.14</v>
      </c>
      <c r="L513" s="18">
        <f>IFERROR(__xludf.DUMMYFUNCTION("""COMPUTED_VALUE"""),3.43)</f>
        <v>3.43</v>
      </c>
    </row>
    <row r="514">
      <c r="A514" s="13" t="str">
        <f>IFERROR(__xludf.DUMMYFUNCTION("""COMPUTED_VALUE"""),"товари")</f>
        <v>товари</v>
      </c>
      <c r="B514" s="13" t="str">
        <f>IFERROR(__xludf.DUMMYFUNCTION("""COMPUTED_VALUE"""),"промислове обладнання та верстати")</f>
        <v>промислове обладнання та верстати</v>
      </c>
      <c r="C514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14" s="15" t="str">
        <f>IFERROR(__xludf.DUMMYFUNCTION("""COMPUTED_VALUE"""),"бурове обладнання")</f>
        <v>бурове обладнання</v>
      </c>
      <c r="E514" s="15" t="str">
        <f>IFERROR(__xludf.DUMMYFUNCTION("""COMPUTED_VALUE"""),"бурове обладнання, загальне")</f>
        <v>бурове обладнання, загальне</v>
      </c>
      <c r="F514" s="17">
        <f>IFERROR(__xludf.DUMMYFUNCTION("""COMPUTED_VALUE"""),4.0)</f>
        <v>4</v>
      </c>
      <c r="G514" s="17">
        <f>IFERROR(__xludf.DUMMYFUNCTION("""COMPUTED_VALUE"""),9150405.0)</f>
        <v>9150405</v>
      </c>
      <c r="H514" s="17" t="str">
        <f>IFERROR(__xludf.DUMMYFUNCTION("""COMPUTED_VALUE"""),"бурове обладнання, загальне")</f>
        <v>бурове обладнання, загальне</v>
      </c>
      <c r="I514" s="18">
        <f>IFERROR(__xludf.DUMMYFUNCTION("""COMPUTED_VALUE"""),2.16)</f>
        <v>2.16</v>
      </c>
      <c r="J514" s="18">
        <f>IFERROR(__xludf.DUMMYFUNCTION("""COMPUTED_VALUE"""),4.33)</f>
        <v>4.33</v>
      </c>
      <c r="K514" s="18">
        <f>IFERROR(__xludf.DUMMYFUNCTION("""COMPUTED_VALUE"""),5.41)</f>
        <v>5.41</v>
      </c>
      <c r="L514" s="18">
        <f>IFERROR(__xludf.DUMMYFUNCTION("""COMPUTED_VALUE"""),8.65)</f>
        <v>8.65</v>
      </c>
    </row>
    <row r="515">
      <c r="A515" s="13" t="str">
        <f>IFERROR(__xludf.DUMMYFUNCTION("""COMPUTED_VALUE"""),"товари")</f>
        <v>товари</v>
      </c>
      <c r="B515" s="13" t="str">
        <f>IFERROR(__xludf.DUMMYFUNCTION("""COMPUTED_VALUE"""),"промислове обладнання та верстати")</f>
        <v>промислове обладнання та верстати</v>
      </c>
      <c r="C515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15" s="15" t="str">
        <f>IFERROR(__xludf.DUMMYFUNCTION("""COMPUTED_VALUE"""),"бурове обладнання")</f>
        <v>бурове обладнання</v>
      </c>
      <c r="E515" s="15" t="str">
        <f>IFERROR(__xludf.DUMMYFUNCTION("""COMPUTED_VALUE"""),"бурові установки")</f>
        <v>бурові установки</v>
      </c>
      <c r="F515" s="17">
        <f>IFERROR(__xludf.DUMMYFUNCTION("""COMPUTED_VALUE"""),4.0)</f>
        <v>4</v>
      </c>
      <c r="G515" s="17">
        <f>IFERROR(__xludf.DUMMYFUNCTION("""COMPUTED_VALUE"""),9150401.0)</f>
        <v>9150401</v>
      </c>
      <c r="H515" s="17" t="str">
        <f>IFERROR(__xludf.DUMMYFUNCTION("""COMPUTED_VALUE"""),"бурові установки")</f>
        <v>бурові установки</v>
      </c>
      <c r="I515" s="18">
        <f>IFERROR(__xludf.DUMMYFUNCTION("""COMPUTED_VALUE"""),0.86)</f>
        <v>0.86</v>
      </c>
      <c r="J515" s="18">
        <f>IFERROR(__xludf.DUMMYFUNCTION("""COMPUTED_VALUE"""),1.71)</f>
        <v>1.71</v>
      </c>
      <c r="K515" s="18">
        <f>IFERROR(__xludf.DUMMYFUNCTION("""COMPUTED_VALUE"""),2.14)</f>
        <v>2.14</v>
      </c>
      <c r="L515" s="18">
        <f>IFERROR(__xludf.DUMMYFUNCTION("""COMPUTED_VALUE"""),3.43)</f>
        <v>3.43</v>
      </c>
    </row>
    <row r="516">
      <c r="A516" s="13" t="str">
        <f>IFERROR(__xludf.DUMMYFUNCTION("""COMPUTED_VALUE"""),"товари")</f>
        <v>товари</v>
      </c>
      <c r="B516" s="13" t="str">
        <f>IFERROR(__xludf.DUMMYFUNCTION("""COMPUTED_VALUE"""),"промислове обладнання та верстати")</f>
        <v>промислове обладнання та верстати</v>
      </c>
      <c r="C516" s="15" t="str">
        <f>IFERROR(__xludf.DUMMYFUNCTION("""COMPUTED_VALUE"""),"технологічне обладнання")</f>
        <v>технологічне обладнання</v>
      </c>
      <c r="D516" s="15" t="str">
        <f>IFERROR(__xludf.DUMMYFUNCTION("""COMPUTED_VALUE"""),"вакуумне обладнання")</f>
        <v>вакуумне обладнання</v>
      </c>
      <c r="E516" s="15" t="str">
        <f>IFERROR(__xludf.DUMMYFUNCTION("""COMPUTED_VALUE"""),"вакуумне обладнання, загальне")</f>
        <v>вакуумне обладнання, загальне</v>
      </c>
      <c r="F516" s="17">
        <f>IFERROR(__xludf.DUMMYFUNCTION("""COMPUTED_VALUE"""),4.0)</f>
        <v>4</v>
      </c>
      <c r="G516" s="17">
        <f>IFERROR(__xludf.DUMMYFUNCTION("""COMPUTED_VALUE"""),1439.0)</f>
        <v>1439</v>
      </c>
      <c r="H516" s="17" t="str">
        <f>IFERROR(__xludf.DUMMYFUNCTION("""COMPUTED_VALUE"""),"вакуумне обладнання, загальне")</f>
        <v>вакуумне обладнання, загальне</v>
      </c>
      <c r="I516" s="18">
        <f>IFERROR(__xludf.DUMMYFUNCTION("""COMPUTED_VALUE"""),2.16)</f>
        <v>2.16</v>
      </c>
      <c r="J516" s="18">
        <f>IFERROR(__xludf.DUMMYFUNCTION("""COMPUTED_VALUE"""),4.33)</f>
        <v>4.33</v>
      </c>
      <c r="K516" s="18">
        <f>IFERROR(__xludf.DUMMYFUNCTION("""COMPUTED_VALUE"""),5.41)</f>
        <v>5.41</v>
      </c>
      <c r="L516" s="18">
        <f>IFERROR(__xludf.DUMMYFUNCTION("""COMPUTED_VALUE"""),8.65)</f>
        <v>8.65</v>
      </c>
    </row>
    <row r="517">
      <c r="A517" s="13" t="str">
        <f>IFERROR(__xludf.DUMMYFUNCTION("""COMPUTED_VALUE"""),"товари")</f>
        <v>товари</v>
      </c>
      <c r="B517" s="13" t="str">
        <f>IFERROR(__xludf.DUMMYFUNCTION("""COMPUTED_VALUE"""),"промислове обладнання та верстати")</f>
        <v>промислове обладнання та верстати</v>
      </c>
      <c r="C517" s="15" t="str">
        <f>IFERROR(__xludf.DUMMYFUNCTION("""COMPUTED_VALUE"""),"верстати")</f>
        <v>верстати</v>
      </c>
      <c r="D517" s="15" t="str">
        <f>IFERROR(__xludf.DUMMYFUNCTION("""COMPUTED_VALUE"""),"деревообробні верстати")</f>
        <v>деревообробні верстати</v>
      </c>
      <c r="E517" s="15" t="str">
        <f>IFERROR(__xludf.DUMMYFUNCTION("""COMPUTED_VALUE"""),"верстати для виготовлення багетних рам")</f>
        <v>верстати для виготовлення багетних рам</v>
      </c>
      <c r="F517" s="17">
        <f>IFERROR(__xludf.DUMMYFUNCTION("""COMPUTED_VALUE"""),4.0)</f>
        <v>4</v>
      </c>
      <c r="G517" s="17">
        <f>IFERROR(__xludf.DUMMYFUNCTION("""COMPUTED_VALUE"""),1.4310313E7)</f>
        <v>14310313</v>
      </c>
      <c r="H517" s="17" t="str">
        <f>IFERROR(__xludf.DUMMYFUNCTION("""COMPUTED_VALUE"""),"верстати для виготовлення багетних рам")</f>
        <v>верстати для виготовлення багетних рам</v>
      </c>
      <c r="I517" s="18">
        <f>IFERROR(__xludf.DUMMYFUNCTION("""COMPUTED_VALUE"""),1.26)</f>
        <v>1.26</v>
      </c>
      <c r="J517" s="18">
        <f>IFERROR(__xludf.DUMMYFUNCTION("""COMPUTED_VALUE"""),2.53)</f>
        <v>2.53</v>
      </c>
      <c r="K517" s="18">
        <f>IFERROR(__xludf.DUMMYFUNCTION("""COMPUTED_VALUE"""),3.16)</f>
        <v>3.16</v>
      </c>
      <c r="L517" s="18">
        <f>IFERROR(__xludf.DUMMYFUNCTION("""COMPUTED_VALUE"""),5.05)</f>
        <v>5.05</v>
      </c>
    </row>
    <row r="518">
      <c r="A518" s="13" t="str">
        <f>IFERROR(__xludf.DUMMYFUNCTION("""COMPUTED_VALUE"""),"товари")</f>
        <v>товари</v>
      </c>
      <c r="B518" s="13" t="str">
        <f>IFERROR(__xludf.DUMMYFUNCTION("""COMPUTED_VALUE"""),"промислове обладнання та верстати")</f>
        <v>промислове обладнання та верстати</v>
      </c>
      <c r="C518" s="15" t="str">
        <f>IFERROR(__xludf.DUMMYFUNCTION("""COMPUTED_VALUE"""),"верстати")</f>
        <v>верстати</v>
      </c>
      <c r="D518" s="15" t="str">
        <f>IFERROR(__xludf.DUMMYFUNCTION("""COMPUTED_VALUE"""),"верстати для виробництва арматурних каркасів")</f>
        <v>верстати для виробництва арматурних каркасів</v>
      </c>
      <c r="E518" s="15" t="str">
        <f>IFERROR(__xludf.DUMMYFUNCTION("""COMPUTED_VALUE"""),"верстати для виробництва арматурних каркасів")</f>
        <v>верстати для виробництва арматурних каркасів</v>
      </c>
      <c r="F518" s="17">
        <f>IFERROR(__xludf.DUMMYFUNCTION("""COMPUTED_VALUE"""),3.0)</f>
        <v>3</v>
      </c>
      <c r="G518" s="17">
        <f>IFERROR(__xludf.DUMMYFUNCTION("""COMPUTED_VALUE"""),1.4209829E7)</f>
        <v>14209829</v>
      </c>
      <c r="H518" s="17" t="str">
        <f>IFERROR(__xludf.DUMMYFUNCTION("""COMPUTED_VALUE"""),"верстати для виробництва арматурних каркасів")</f>
        <v>верстати для виробництва арматурних каркасів</v>
      </c>
      <c r="I518" s="18">
        <f>IFERROR(__xludf.DUMMYFUNCTION("""COMPUTED_VALUE"""),0.53)</f>
        <v>0.53</v>
      </c>
      <c r="J518" s="18">
        <f>IFERROR(__xludf.DUMMYFUNCTION("""COMPUTED_VALUE"""),1.05)</f>
        <v>1.05</v>
      </c>
      <c r="K518" s="18">
        <f>IFERROR(__xludf.DUMMYFUNCTION("""COMPUTED_VALUE"""),1.31)</f>
        <v>1.31</v>
      </c>
      <c r="L518" s="18">
        <f>IFERROR(__xludf.DUMMYFUNCTION("""COMPUTED_VALUE"""),2.1)</f>
        <v>2.1</v>
      </c>
    </row>
    <row r="519">
      <c r="A519" s="13" t="str">
        <f>IFERROR(__xludf.DUMMYFUNCTION("""COMPUTED_VALUE"""),"товари")</f>
        <v>товари</v>
      </c>
      <c r="B519" s="13" t="str">
        <f>IFERROR(__xludf.DUMMYFUNCTION("""COMPUTED_VALUE"""),"промислове обладнання та верстати")</f>
        <v>промислове обладнання та верстати</v>
      </c>
      <c r="C519" s="15" t="str">
        <f>IFERROR(__xludf.DUMMYFUNCTION("""COMPUTED_VALUE"""),"верстати")</f>
        <v>верстати</v>
      </c>
      <c r="D519" s="15" t="str">
        <f>IFERROR(__xludf.DUMMYFUNCTION("""COMPUTED_VALUE"""),"деревообробні верстати")</f>
        <v>деревообробні верстати</v>
      </c>
      <c r="E519" s="15" t="str">
        <f>IFERROR(__xludf.DUMMYFUNCTION("""COMPUTED_VALUE"""),"верстати для обробки заготовок")</f>
        <v>верстати для обробки заготовок</v>
      </c>
      <c r="F519" s="17">
        <f>IFERROR(__xludf.DUMMYFUNCTION("""COMPUTED_VALUE"""),4.0)</f>
        <v>4</v>
      </c>
      <c r="G519" s="17">
        <f>IFERROR(__xludf.DUMMYFUNCTION("""COMPUTED_VALUE"""),1.4310324E7)</f>
        <v>14310324</v>
      </c>
      <c r="H519" s="17" t="str">
        <f>IFERROR(__xludf.DUMMYFUNCTION("""COMPUTED_VALUE"""),"верстати для обробки заготовок")</f>
        <v>верстати для обробки заготовок</v>
      </c>
      <c r="I519" s="18">
        <f>IFERROR(__xludf.DUMMYFUNCTION("""COMPUTED_VALUE"""),1.26)</f>
        <v>1.26</v>
      </c>
      <c r="J519" s="18">
        <f>IFERROR(__xludf.DUMMYFUNCTION("""COMPUTED_VALUE"""),2.53)</f>
        <v>2.53</v>
      </c>
      <c r="K519" s="18">
        <f>IFERROR(__xludf.DUMMYFUNCTION("""COMPUTED_VALUE"""),3.16)</f>
        <v>3.16</v>
      </c>
      <c r="L519" s="18">
        <f>IFERROR(__xludf.DUMMYFUNCTION("""COMPUTED_VALUE"""),5.05)</f>
        <v>5.05</v>
      </c>
    </row>
    <row r="520">
      <c r="A520" s="13" t="str">
        <f>IFERROR(__xludf.DUMMYFUNCTION("""COMPUTED_VALUE"""),"товари")</f>
        <v>товари</v>
      </c>
      <c r="B520" s="13" t="str">
        <f>IFERROR(__xludf.DUMMYFUNCTION("""COMPUTED_VALUE"""),"промислове обладнання та верстати")</f>
        <v>промислове обладнання та верстати</v>
      </c>
      <c r="C520" s="15" t="str">
        <f>IFERROR(__xludf.DUMMYFUNCTION("""COMPUTED_VALUE"""),"верстати")</f>
        <v>верстати</v>
      </c>
      <c r="D520" s="15" t="str">
        <f>IFERROR(__xludf.DUMMYFUNCTION("""COMPUTED_VALUE"""),"верстати, загальне")</f>
        <v>верстати, загальне</v>
      </c>
      <c r="E520" s="15" t="str">
        <f>IFERROR(__xludf.DUMMYFUNCTION("""COMPUTED_VALUE"""),"верстати, загальне")</f>
        <v>верстати, загальне</v>
      </c>
      <c r="F520" s="17">
        <f>IFERROR(__xludf.DUMMYFUNCTION("""COMPUTED_VALUE"""),3.0)</f>
        <v>3</v>
      </c>
      <c r="G520" s="17">
        <f>IFERROR(__xludf.DUMMYFUNCTION("""COMPUTED_VALUE"""),1.4209804E7)</f>
        <v>14209804</v>
      </c>
      <c r="H520" s="17" t="str">
        <f>IFERROR(__xludf.DUMMYFUNCTION("""COMPUTED_VALUE"""),"верстати, загальне")</f>
        <v>верстати, загальне</v>
      </c>
      <c r="I520" s="18">
        <f>IFERROR(__xludf.DUMMYFUNCTION("""COMPUTED_VALUE"""),2.16)</f>
        <v>2.16</v>
      </c>
      <c r="J520" s="18">
        <f>IFERROR(__xludf.DUMMYFUNCTION("""COMPUTED_VALUE"""),4.33)</f>
        <v>4.33</v>
      </c>
      <c r="K520" s="18">
        <f>IFERROR(__xludf.DUMMYFUNCTION("""COMPUTED_VALUE"""),5.41)</f>
        <v>5.41</v>
      </c>
      <c r="L520" s="18">
        <f>IFERROR(__xludf.DUMMYFUNCTION("""COMPUTED_VALUE"""),8.65)</f>
        <v>8.65</v>
      </c>
    </row>
    <row r="521">
      <c r="A521" s="13" t="str">
        <f>IFERROR(__xludf.DUMMYFUNCTION("""COMPUTED_VALUE"""),"товари")</f>
        <v>товари</v>
      </c>
      <c r="B521" s="13" t="str">
        <f>IFERROR(__xludf.DUMMYFUNCTION("""COMPUTED_VALUE"""),"промислове обладнання та верстати")</f>
        <v>промислове обладнання та верстати</v>
      </c>
      <c r="C521" s="15" t="str">
        <f>IFERROR(__xludf.DUMMYFUNCTION("""COMPUTED_VALUE"""),"технологічне обладнання")</f>
        <v>технологічне обладнання</v>
      </c>
      <c r="D521" s="15" t="str">
        <f>IFERROR(__xludf.DUMMYFUNCTION("""COMPUTED_VALUE"""),"виробничі лінії")</f>
        <v>виробничі лінії</v>
      </c>
      <c r="E521" s="15" t="str">
        <f>IFERROR(__xludf.DUMMYFUNCTION("""COMPUTED_VALUE"""),"виробничі лінії")</f>
        <v>виробничі лінії</v>
      </c>
      <c r="F521" s="17">
        <f>IFERROR(__xludf.DUMMYFUNCTION("""COMPUTED_VALUE"""),3.0)</f>
        <v>3</v>
      </c>
      <c r="G521" s="17">
        <f>IFERROR(__xludf.DUMMYFUNCTION("""COMPUTED_VALUE"""),144501.0)</f>
        <v>144501</v>
      </c>
      <c r="H521" s="17" t="str">
        <f>IFERROR(__xludf.DUMMYFUNCTION("""COMPUTED_VALUE"""),"виробничі лінії")</f>
        <v>виробничі лінії</v>
      </c>
      <c r="I521" s="18">
        <f>IFERROR(__xludf.DUMMYFUNCTION("""COMPUTED_VALUE"""),1.88)</f>
        <v>1.88</v>
      </c>
      <c r="J521" s="18">
        <f>IFERROR(__xludf.DUMMYFUNCTION("""COMPUTED_VALUE"""),3.75)</f>
        <v>3.75</v>
      </c>
      <c r="K521" s="18">
        <f>IFERROR(__xludf.DUMMYFUNCTION("""COMPUTED_VALUE"""),4.69)</f>
        <v>4.69</v>
      </c>
      <c r="L521" s="18">
        <f>IFERROR(__xludf.DUMMYFUNCTION("""COMPUTED_VALUE"""),7.5)</f>
        <v>7.5</v>
      </c>
    </row>
    <row r="522">
      <c r="A522" s="13" t="str">
        <f>IFERROR(__xludf.DUMMYFUNCTION("""COMPUTED_VALUE"""),"товари")</f>
        <v>товари</v>
      </c>
      <c r="B522" s="13" t="str">
        <f>IFERROR(__xludf.DUMMYFUNCTION("""COMPUTED_VALUE"""),"промислове обладнання та верстати")</f>
        <v>промислове обладнання та верстати</v>
      </c>
      <c r="C522" s="15" t="str">
        <f>IFERROR(__xludf.DUMMYFUNCTION("""COMPUTED_VALUE"""),"виробниче обладнання")</f>
        <v>виробниче обладнання</v>
      </c>
      <c r="D522" s="15" t="str">
        <f>IFERROR(__xludf.DUMMYFUNCTION("""COMPUTED_VALUE"""),"ковальсько-пресове обладнання")</f>
        <v>ковальсько-пресове обладнання</v>
      </c>
      <c r="E522" s="15" t="str">
        <f>IFERROR(__xludf.DUMMYFUNCTION("""COMPUTED_VALUE"""),"вирубні преси, прес-ножиці, гільйотини")</f>
        <v>вирубні преси, прес-ножиці, гільйотини</v>
      </c>
      <c r="F522" s="17">
        <f>IFERROR(__xludf.DUMMYFUNCTION("""COMPUTED_VALUE"""),4.0)</f>
        <v>4</v>
      </c>
      <c r="G522" s="17">
        <f>IFERROR(__xludf.DUMMYFUNCTION("""COMPUTED_VALUE"""),1.4260603E7)</f>
        <v>14260603</v>
      </c>
      <c r="H522" s="17" t="str">
        <f>IFERROR(__xludf.DUMMYFUNCTION("""COMPUTED_VALUE"""),"вирубні преси, прес-ножиці, гільйотини")</f>
        <v>вирубні преси, прес-ножиці, гільйотини</v>
      </c>
      <c r="I522" s="18">
        <f>IFERROR(__xludf.DUMMYFUNCTION("""COMPUTED_VALUE"""),1.26)</f>
        <v>1.26</v>
      </c>
      <c r="J522" s="18">
        <f>IFERROR(__xludf.DUMMYFUNCTION("""COMPUTED_VALUE"""),2.53)</f>
        <v>2.53</v>
      </c>
      <c r="K522" s="18">
        <f>IFERROR(__xludf.DUMMYFUNCTION("""COMPUTED_VALUE"""),3.16)</f>
        <v>3.16</v>
      </c>
      <c r="L522" s="18">
        <f>IFERROR(__xludf.DUMMYFUNCTION("""COMPUTED_VALUE"""),5.05)</f>
        <v>5.05</v>
      </c>
    </row>
    <row r="523">
      <c r="A523" s="13" t="str">
        <f>IFERROR(__xludf.DUMMYFUNCTION("""COMPUTED_VALUE"""),"товари")</f>
        <v>товари</v>
      </c>
      <c r="B523" s="13" t="str">
        <f>IFERROR(__xludf.DUMMYFUNCTION("""COMPUTED_VALUE"""),"промислове обладнання та верстати")</f>
        <v>промислове обладнання та верстати</v>
      </c>
      <c r="C523" s="15" t="str">
        <f>IFERROR(__xludf.DUMMYFUNCTION("""COMPUTED_VALUE"""),"промислові насоси")</f>
        <v>промислові насоси</v>
      </c>
      <c r="D523" s="15" t="str">
        <f>IFERROR(__xludf.DUMMYFUNCTION("""COMPUTED_VALUE"""),"вихрові промислові насоси")</f>
        <v>вихрові промислові насоси</v>
      </c>
      <c r="E523" s="15" t="str">
        <f>IFERROR(__xludf.DUMMYFUNCTION("""COMPUTED_VALUE"""),"вихрові промислові насоси")</f>
        <v>вихрові промислові насоси</v>
      </c>
      <c r="F523" s="17">
        <f>IFERROR(__xludf.DUMMYFUNCTION("""COMPUTED_VALUE"""),3.0)</f>
        <v>3</v>
      </c>
      <c r="G523" s="17">
        <f>IFERROR(__xludf.DUMMYFUNCTION("""COMPUTED_VALUE"""),1.4030102E7)</f>
        <v>14030102</v>
      </c>
      <c r="H523" s="17" t="str">
        <f>IFERROR(__xludf.DUMMYFUNCTION("""COMPUTED_VALUE"""),"вихрові промислові насоси")</f>
        <v>вихрові промислові насоси</v>
      </c>
      <c r="I523" s="18">
        <f>IFERROR(__xludf.DUMMYFUNCTION("""COMPUTED_VALUE"""),1.39)</f>
        <v>1.39</v>
      </c>
      <c r="J523" s="18">
        <f>IFERROR(__xludf.DUMMYFUNCTION("""COMPUTED_VALUE"""),2.79)</f>
        <v>2.79</v>
      </c>
      <c r="K523" s="18">
        <f>IFERROR(__xludf.DUMMYFUNCTION("""COMPUTED_VALUE"""),3.48)</f>
        <v>3.48</v>
      </c>
      <c r="L523" s="18">
        <f>IFERROR(__xludf.DUMMYFUNCTION("""COMPUTED_VALUE"""),5.58)</f>
        <v>5.58</v>
      </c>
    </row>
    <row r="524">
      <c r="A524" s="13" t="str">
        <f>IFERROR(__xludf.DUMMYFUNCTION("""COMPUTED_VALUE"""),"товари")</f>
        <v>товари</v>
      </c>
      <c r="B524" s="13" t="str">
        <f>IFERROR(__xludf.DUMMYFUNCTION("""COMPUTED_VALUE"""),"промислове обладнання та верстати")</f>
        <v>промислове обладнання та верстати</v>
      </c>
      <c r="C524" s="15" t="str">
        <f>IFERROR(__xludf.DUMMYFUNCTION("""COMPUTED_VALUE"""),"промислові насоси")</f>
        <v>промислові насоси</v>
      </c>
      <c r="D524" s="15" t="str">
        <f>IFERROR(__xludf.DUMMYFUNCTION("""COMPUTED_VALUE"""),"відцентрові промислові насоси")</f>
        <v>відцентрові промислові насоси</v>
      </c>
      <c r="E524" s="15" t="str">
        <f>IFERROR(__xludf.DUMMYFUNCTION("""COMPUTED_VALUE"""),"відцентрові промислові насоси")</f>
        <v>відцентрові промислові насоси</v>
      </c>
      <c r="F524" s="17">
        <f>IFERROR(__xludf.DUMMYFUNCTION("""COMPUTED_VALUE"""),3.0)</f>
        <v>3</v>
      </c>
      <c r="G524" s="17">
        <f>IFERROR(__xludf.DUMMYFUNCTION("""COMPUTED_VALUE"""),1.4030105E7)</f>
        <v>14030105</v>
      </c>
      <c r="H524" s="17" t="str">
        <f>IFERROR(__xludf.DUMMYFUNCTION("""COMPUTED_VALUE"""),"відцентрові промислові насоси")</f>
        <v>відцентрові промислові насоси</v>
      </c>
      <c r="I524" s="18">
        <f>IFERROR(__xludf.DUMMYFUNCTION("""COMPUTED_VALUE"""),1.99)</f>
        <v>1.99</v>
      </c>
      <c r="J524" s="18">
        <f>IFERROR(__xludf.DUMMYFUNCTION("""COMPUTED_VALUE"""),3.98)</f>
        <v>3.98</v>
      </c>
      <c r="K524" s="18">
        <f>IFERROR(__xludf.DUMMYFUNCTION("""COMPUTED_VALUE"""),4.97)</f>
        <v>4.97</v>
      </c>
      <c r="L524" s="18">
        <f>IFERROR(__xludf.DUMMYFUNCTION("""COMPUTED_VALUE"""),7.95)</f>
        <v>7.95</v>
      </c>
    </row>
    <row r="525">
      <c r="A525" s="13" t="str">
        <f>IFERROR(__xludf.DUMMYFUNCTION("""COMPUTED_VALUE"""),"товари")</f>
        <v>товари</v>
      </c>
      <c r="B525" s="13" t="str">
        <f>IFERROR(__xludf.DUMMYFUNCTION("""COMPUTED_VALUE"""),"промислове обладнання та верстати")</f>
        <v>промислове обладнання та верстати</v>
      </c>
      <c r="C525" s="15" t="str">
        <f>IFERROR(__xludf.DUMMYFUNCTION("""COMPUTED_VALUE"""),"гідрообладнання")</f>
        <v>гідрообладнання</v>
      </c>
      <c r="D525" s="15" t="str">
        <f>IFERROR(__xludf.DUMMYFUNCTION("""COMPUTED_VALUE"""),"водонапірні вежі")</f>
        <v>водонапірні вежі</v>
      </c>
      <c r="E525" s="15" t="str">
        <f>IFERROR(__xludf.DUMMYFUNCTION("""COMPUTED_VALUE"""),"водонапірні вежі")</f>
        <v>водонапірні вежі</v>
      </c>
      <c r="F525" s="17">
        <f>IFERROR(__xludf.DUMMYFUNCTION("""COMPUTED_VALUE"""),3.0)</f>
        <v>3</v>
      </c>
      <c r="G525" s="17">
        <f>IFERROR(__xludf.DUMMYFUNCTION("""COMPUTED_VALUE"""),1.3240406E7)</f>
        <v>13240406</v>
      </c>
      <c r="H525" s="17" t="str">
        <f>IFERROR(__xludf.DUMMYFUNCTION("""COMPUTED_VALUE"""),"водонапірні вежі")</f>
        <v>водонапірні вежі</v>
      </c>
      <c r="I525" s="18">
        <f>IFERROR(__xludf.DUMMYFUNCTION("""COMPUTED_VALUE"""),1.08)</f>
        <v>1.08</v>
      </c>
      <c r="J525" s="18">
        <f>IFERROR(__xludf.DUMMYFUNCTION("""COMPUTED_VALUE"""),2.16)</f>
        <v>2.16</v>
      </c>
      <c r="K525" s="18">
        <f>IFERROR(__xludf.DUMMYFUNCTION("""COMPUTED_VALUE"""),2.7)</f>
        <v>2.7</v>
      </c>
      <c r="L525" s="18">
        <f>IFERROR(__xludf.DUMMYFUNCTION("""COMPUTED_VALUE"""),4.33)</f>
        <v>4.33</v>
      </c>
    </row>
    <row r="526">
      <c r="A526" s="13" t="str">
        <f>IFERROR(__xludf.DUMMYFUNCTION("""COMPUTED_VALUE"""),"товари")</f>
        <v>товари</v>
      </c>
      <c r="B526" s="13" t="str">
        <f>IFERROR(__xludf.DUMMYFUNCTION("""COMPUTED_VALUE"""),"промислове обладнання та верстати")</f>
        <v>промислове обладнання та верстати</v>
      </c>
      <c r="C526" s="15" t="str">
        <f>IFERROR(__xludf.DUMMYFUNCTION("""COMPUTED_VALUE"""),"хімічне обладнання")</f>
        <v>хімічне обладнання</v>
      </c>
      <c r="D526" s="15" t="str">
        <f>IFERROR(__xludf.DUMMYFUNCTION("""COMPUTED_VALUE"""),"газобалонне обладнання")</f>
        <v>газобалонне обладнання</v>
      </c>
      <c r="E526" s="15" t="str">
        <f>IFERROR(__xludf.DUMMYFUNCTION("""COMPUTED_VALUE"""),"газобалонне обладнання, загальне")</f>
        <v>газобалонне обладнання, загальне</v>
      </c>
      <c r="F526" s="17">
        <f>IFERROR(__xludf.DUMMYFUNCTION("""COMPUTED_VALUE"""),4.0)</f>
        <v>4</v>
      </c>
      <c r="G526" s="17">
        <f>IFERROR(__xludf.DUMMYFUNCTION("""COMPUTED_VALUE"""),141612.0)</f>
        <v>141612</v>
      </c>
      <c r="H526" s="17" t="str">
        <f>IFERROR(__xludf.DUMMYFUNCTION("""COMPUTED_VALUE"""),"газобалонне обладнання, загальне")</f>
        <v>газобалонне обладнання, загальне</v>
      </c>
      <c r="I526" s="18">
        <f>IFERROR(__xludf.DUMMYFUNCTION("""COMPUTED_VALUE"""),2.16)</f>
        <v>2.16</v>
      </c>
      <c r="J526" s="18">
        <f>IFERROR(__xludf.DUMMYFUNCTION("""COMPUTED_VALUE"""),4.33)</f>
        <v>4.33</v>
      </c>
      <c r="K526" s="18">
        <f>IFERROR(__xludf.DUMMYFUNCTION("""COMPUTED_VALUE"""),5.41)</f>
        <v>5.41</v>
      </c>
      <c r="L526" s="18">
        <f>IFERROR(__xludf.DUMMYFUNCTION("""COMPUTED_VALUE"""),8.65)</f>
        <v>8.65</v>
      </c>
    </row>
    <row r="527">
      <c r="A527" s="13" t="str">
        <f>IFERROR(__xludf.DUMMYFUNCTION("""COMPUTED_VALUE"""),"товари")</f>
        <v>товари</v>
      </c>
      <c r="B527" s="13" t="str">
        <f>IFERROR(__xludf.DUMMYFUNCTION("""COMPUTED_VALUE"""),"промислове обладнання та верстати")</f>
        <v>промислове обладнання та верстати</v>
      </c>
      <c r="C527" s="15" t="str">
        <f>IFERROR(__xludf.DUMMYFUNCTION("""COMPUTED_VALUE"""),"енергообладнання")</f>
        <v>енергообладнання</v>
      </c>
      <c r="D527" s="15" t="str">
        <f>IFERROR(__xludf.DUMMYFUNCTION("""COMPUTED_VALUE"""),"газорозподільні пункти")</f>
        <v>газорозподільні пункти</v>
      </c>
      <c r="E527" s="15" t="str">
        <f>IFERROR(__xludf.DUMMYFUNCTION("""COMPUTED_VALUE"""),"газорозподільні пункти")</f>
        <v>газорозподільні пункти</v>
      </c>
      <c r="F527" s="17">
        <f>IFERROR(__xludf.DUMMYFUNCTION("""COMPUTED_VALUE"""),3.0)</f>
        <v>3</v>
      </c>
      <c r="G527" s="17">
        <f>IFERROR(__xludf.DUMMYFUNCTION("""COMPUTED_VALUE"""),145906.0)</f>
        <v>145906</v>
      </c>
      <c r="H527" s="17" t="str">
        <f>IFERROR(__xludf.DUMMYFUNCTION("""COMPUTED_VALUE"""),"газорозподільні пункти")</f>
        <v>газорозподільні пункти</v>
      </c>
      <c r="I527" s="18">
        <f>IFERROR(__xludf.DUMMYFUNCTION("""COMPUTED_VALUE"""),1.53)</f>
        <v>1.53</v>
      </c>
      <c r="J527" s="18">
        <f>IFERROR(__xludf.DUMMYFUNCTION("""COMPUTED_VALUE"""),3.06)</f>
        <v>3.06</v>
      </c>
      <c r="K527" s="18">
        <f>IFERROR(__xludf.DUMMYFUNCTION("""COMPUTED_VALUE"""),3.83)</f>
        <v>3.83</v>
      </c>
      <c r="L527" s="18">
        <f>IFERROR(__xludf.DUMMYFUNCTION("""COMPUTED_VALUE"""),6.13)</f>
        <v>6.13</v>
      </c>
    </row>
    <row r="528">
      <c r="A528" s="13" t="str">
        <f>IFERROR(__xludf.DUMMYFUNCTION("""COMPUTED_VALUE"""),"товари")</f>
        <v>товари</v>
      </c>
      <c r="B528" s="13" t="str">
        <f>IFERROR(__xludf.DUMMYFUNCTION("""COMPUTED_VALUE"""),"промислове обладнання та верстати")</f>
        <v>промислове обладнання та верстати</v>
      </c>
      <c r="C528" s="15" t="str">
        <f>IFERROR(__xludf.DUMMYFUNCTION("""COMPUTED_VALUE"""),"компресори")</f>
        <v>компресори</v>
      </c>
      <c r="D528" s="15" t="str">
        <f>IFERROR(__xludf.DUMMYFUNCTION("""COMPUTED_VALUE"""),"гвинтові компресори")</f>
        <v>гвинтові компресори</v>
      </c>
      <c r="E528" s="15" t="str">
        <f>IFERROR(__xludf.DUMMYFUNCTION("""COMPUTED_VALUE"""),"гвинтові компресори")</f>
        <v>гвинтові компресори</v>
      </c>
      <c r="F528" s="17">
        <f>IFERROR(__xludf.DUMMYFUNCTION("""COMPUTED_VALUE"""),3.0)</f>
        <v>3</v>
      </c>
      <c r="G528" s="17">
        <f>IFERROR(__xludf.DUMMYFUNCTION("""COMPUTED_VALUE"""),141003.0)</f>
        <v>141003</v>
      </c>
      <c r="H528" s="17" t="str">
        <f>IFERROR(__xludf.DUMMYFUNCTION("""COMPUTED_VALUE"""),"гвинтові компресори")</f>
        <v>гвинтові компресори</v>
      </c>
      <c r="I528" s="18">
        <f>IFERROR(__xludf.DUMMYFUNCTION("""COMPUTED_VALUE"""),2.7)</f>
        <v>2.7</v>
      </c>
      <c r="J528" s="18">
        <f>IFERROR(__xludf.DUMMYFUNCTION("""COMPUTED_VALUE"""),5.4)</f>
        <v>5.4</v>
      </c>
      <c r="K528" s="18">
        <f>IFERROR(__xludf.DUMMYFUNCTION("""COMPUTED_VALUE"""),6.75)</f>
        <v>6.75</v>
      </c>
      <c r="L528" s="18">
        <f>IFERROR(__xludf.DUMMYFUNCTION("""COMPUTED_VALUE"""),10.8)</f>
        <v>10.8</v>
      </c>
    </row>
    <row r="529">
      <c r="A529" s="13" t="str">
        <f>IFERROR(__xludf.DUMMYFUNCTION("""COMPUTED_VALUE"""),"товари")</f>
        <v>товари</v>
      </c>
      <c r="B529" s="13" t="str">
        <f>IFERROR(__xludf.DUMMYFUNCTION("""COMPUTED_VALUE"""),"промислове обладнання та верстати")</f>
        <v>промислове обладнання та верстати</v>
      </c>
      <c r="C529" s="15" t="str">
        <f>IFERROR(__xludf.DUMMYFUNCTION("""COMPUTED_VALUE"""),"промислові насоси")</f>
        <v>промислові насоси</v>
      </c>
      <c r="D529" s="15" t="str">
        <f>IFERROR(__xludf.DUMMYFUNCTION("""COMPUTED_VALUE"""),"гвинтові промислові насоси")</f>
        <v>гвинтові промислові насоси</v>
      </c>
      <c r="E529" s="15" t="str">
        <f>IFERROR(__xludf.DUMMYFUNCTION("""COMPUTED_VALUE"""),"гвинтові промислові насоси")</f>
        <v>гвинтові промислові насоси</v>
      </c>
      <c r="F529" s="17">
        <f>IFERROR(__xludf.DUMMYFUNCTION("""COMPUTED_VALUE"""),3.0)</f>
        <v>3</v>
      </c>
      <c r="G529" s="17">
        <f>IFERROR(__xludf.DUMMYFUNCTION("""COMPUTED_VALUE"""),1.4031501E7)</f>
        <v>14031501</v>
      </c>
      <c r="H529" s="17" t="str">
        <f>IFERROR(__xludf.DUMMYFUNCTION("""COMPUTED_VALUE"""),"гвинтові промислові насоси")</f>
        <v>гвинтові промислові насоси</v>
      </c>
      <c r="I529" s="18">
        <f>IFERROR(__xludf.DUMMYFUNCTION("""COMPUTED_VALUE"""),0.86)</f>
        <v>0.86</v>
      </c>
      <c r="J529" s="18">
        <f>IFERROR(__xludf.DUMMYFUNCTION("""COMPUTED_VALUE"""),1.71)</f>
        <v>1.71</v>
      </c>
      <c r="K529" s="18">
        <f>IFERROR(__xludf.DUMMYFUNCTION("""COMPUTED_VALUE"""),2.14)</f>
        <v>2.14</v>
      </c>
      <c r="L529" s="18">
        <f>IFERROR(__xludf.DUMMYFUNCTION("""COMPUTED_VALUE"""),3.43)</f>
        <v>3.43</v>
      </c>
    </row>
    <row r="530">
      <c r="A530" s="13" t="str">
        <f>IFERROR(__xludf.DUMMYFUNCTION("""COMPUTED_VALUE"""),"товари")</f>
        <v>товари</v>
      </c>
      <c r="B530" s="13" t="str">
        <f>IFERROR(__xludf.DUMMYFUNCTION("""COMPUTED_VALUE"""),"промислове обладнання та верстати")</f>
        <v>промислове обладнання та верстати</v>
      </c>
      <c r="C530" s="15" t="str">
        <f>IFERROR(__xludf.DUMMYFUNCTION("""COMPUTED_VALUE"""),"складське обладнання")</f>
        <v>складське обладнання</v>
      </c>
      <c r="D530" s="15" t="str">
        <f>IFERROR(__xludf.DUMMYFUNCTION("""COMPUTED_VALUE"""),"гідравлічні ручні візки")</f>
        <v>гідравлічні ручні візки</v>
      </c>
      <c r="E530" s="15" t="str">
        <f>IFERROR(__xludf.DUMMYFUNCTION("""COMPUTED_VALUE"""),"гідравлічні ручні візки")</f>
        <v>гідравлічні ручні візки</v>
      </c>
      <c r="F530" s="17">
        <f>IFERROR(__xludf.DUMMYFUNCTION("""COMPUTED_VALUE"""),3.0)</f>
        <v>3</v>
      </c>
      <c r="G530" s="17">
        <f>IFERROR(__xludf.DUMMYFUNCTION("""COMPUTED_VALUE"""),142915.0)</f>
        <v>142915</v>
      </c>
      <c r="H530" s="17" t="str">
        <f>IFERROR(__xludf.DUMMYFUNCTION("""COMPUTED_VALUE"""),"гідравлічні ручні візки")</f>
        <v>гідравлічні ручні візки</v>
      </c>
      <c r="I530" s="18">
        <f>IFERROR(__xludf.DUMMYFUNCTION("""COMPUTED_VALUE"""),2.7)</f>
        <v>2.7</v>
      </c>
      <c r="J530" s="18">
        <f>IFERROR(__xludf.DUMMYFUNCTION("""COMPUTED_VALUE"""),5.4)</f>
        <v>5.4</v>
      </c>
      <c r="K530" s="18">
        <f>IFERROR(__xludf.DUMMYFUNCTION("""COMPUTED_VALUE"""),6.75)</f>
        <v>6.75</v>
      </c>
      <c r="L530" s="18">
        <f>IFERROR(__xludf.DUMMYFUNCTION("""COMPUTED_VALUE"""),10.8)</f>
        <v>10.8</v>
      </c>
    </row>
    <row r="531">
      <c r="A531" s="13" t="str">
        <f>IFERROR(__xludf.DUMMYFUNCTION("""COMPUTED_VALUE"""),"товари")</f>
        <v>товари</v>
      </c>
      <c r="B531" s="13" t="str">
        <f>IFERROR(__xludf.DUMMYFUNCTION("""COMPUTED_VALUE"""),"промислове обладнання та верстати")</f>
        <v>промислове обладнання та верстати</v>
      </c>
      <c r="C531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31" s="15" t="str">
        <f>IFERROR(__xludf.DUMMYFUNCTION("""COMPUTED_VALUE"""),"гірниче обладнання")</f>
        <v>гірниче обладнання</v>
      </c>
      <c r="E531" s="15" t="str">
        <f>IFERROR(__xludf.DUMMYFUNCTION("""COMPUTED_VALUE"""),"гірниче обладнання, загальне")</f>
        <v>гірниче обладнання, загальне</v>
      </c>
      <c r="F531" s="17">
        <f>IFERROR(__xludf.DUMMYFUNCTION("""COMPUTED_VALUE"""),4.0)</f>
        <v>4</v>
      </c>
      <c r="G531" s="17">
        <f>IFERROR(__xludf.DUMMYFUNCTION("""COMPUTED_VALUE"""),91501.0)</f>
        <v>91501</v>
      </c>
      <c r="H531" s="17" t="str">
        <f>IFERROR(__xludf.DUMMYFUNCTION("""COMPUTED_VALUE"""),"гірниче обладнання, загальне")</f>
        <v>гірниче обладнання, загальне</v>
      </c>
      <c r="I531" s="18">
        <f>IFERROR(__xludf.DUMMYFUNCTION("""COMPUTED_VALUE"""),2.16)</f>
        <v>2.16</v>
      </c>
      <c r="J531" s="18">
        <f>IFERROR(__xludf.DUMMYFUNCTION("""COMPUTED_VALUE"""),4.33)</f>
        <v>4.33</v>
      </c>
      <c r="K531" s="18">
        <f>IFERROR(__xludf.DUMMYFUNCTION("""COMPUTED_VALUE"""),5.41)</f>
        <v>5.41</v>
      </c>
      <c r="L531" s="18">
        <f>IFERROR(__xludf.DUMMYFUNCTION("""COMPUTED_VALUE"""),8.65)</f>
        <v>8.65</v>
      </c>
    </row>
    <row r="532">
      <c r="A532" s="13" t="str">
        <f>IFERROR(__xludf.DUMMYFUNCTION("""COMPUTED_VALUE"""),"товари")</f>
        <v>товари</v>
      </c>
      <c r="B532" s="13" t="str">
        <f>IFERROR(__xludf.DUMMYFUNCTION("""COMPUTED_VALUE"""),"промислове обладнання та верстати")</f>
        <v>промислове обладнання та верстати</v>
      </c>
      <c r="C532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32" s="15" t="str">
        <f>IFERROR(__xludf.DUMMYFUNCTION("""COMPUTED_VALUE"""),"гірниче обладнання")</f>
        <v>гірниче обладнання</v>
      </c>
      <c r="E532" s="15" t="str">
        <f>IFERROR(__xludf.DUMMYFUNCTION("""COMPUTED_VALUE"""),"гірничо-шахтне обладнання")</f>
        <v>гірничо-шахтне обладнання</v>
      </c>
      <c r="F532" s="17">
        <f>IFERROR(__xludf.DUMMYFUNCTION("""COMPUTED_VALUE"""),4.0)</f>
        <v>4</v>
      </c>
      <c r="G532" s="17">
        <f>IFERROR(__xludf.DUMMYFUNCTION("""COMPUTED_VALUE"""),91503.0)</f>
        <v>91503</v>
      </c>
      <c r="H532" s="17" t="str">
        <f>IFERROR(__xludf.DUMMYFUNCTION("""COMPUTED_VALUE"""),"гірничо-шахтне обладнання")</f>
        <v>гірничо-шахтне обладнання</v>
      </c>
      <c r="I532" s="18">
        <f>IFERROR(__xludf.DUMMYFUNCTION("""COMPUTED_VALUE"""),1.98)</f>
        <v>1.98</v>
      </c>
      <c r="J532" s="18">
        <f>IFERROR(__xludf.DUMMYFUNCTION("""COMPUTED_VALUE"""),3.96)</f>
        <v>3.96</v>
      </c>
      <c r="K532" s="18">
        <f>IFERROR(__xludf.DUMMYFUNCTION("""COMPUTED_VALUE"""),4.95)</f>
        <v>4.95</v>
      </c>
      <c r="L532" s="18">
        <f>IFERROR(__xludf.DUMMYFUNCTION("""COMPUTED_VALUE"""),7.93)</f>
        <v>7.93</v>
      </c>
    </row>
    <row r="533">
      <c r="A533" s="13" t="str">
        <f>IFERROR(__xludf.DUMMYFUNCTION("""COMPUTED_VALUE"""),"товари")</f>
        <v>товари</v>
      </c>
      <c r="B533" s="13" t="str">
        <f>IFERROR(__xludf.DUMMYFUNCTION("""COMPUTED_VALUE"""),"промислове обладнання та верстати")</f>
        <v>промислове обладнання та верстати</v>
      </c>
      <c r="C533" s="15" t="str">
        <f>IFERROR(__xludf.DUMMYFUNCTION("""COMPUTED_VALUE"""),"верстати")</f>
        <v>верстати</v>
      </c>
      <c r="D533" s="15" t="str">
        <f>IFERROR(__xludf.DUMMYFUNCTION("""COMPUTED_VALUE"""),"деревообробні верстати")</f>
        <v>деревообробні верстати</v>
      </c>
      <c r="E533" s="15" t="str">
        <f>IFERROR(__xludf.DUMMYFUNCTION("""COMPUTED_VALUE"""),"горбильні верстати")</f>
        <v>горбильні верстати</v>
      </c>
      <c r="F533" s="17">
        <f>IFERROR(__xludf.DUMMYFUNCTION("""COMPUTED_VALUE"""),4.0)</f>
        <v>4</v>
      </c>
      <c r="G533" s="17">
        <f>IFERROR(__xludf.DUMMYFUNCTION("""COMPUTED_VALUE"""),1.431031E7)</f>
        <v>14310310</v>
      </c>
      <c r="H533" s="17" t="str">
        <f>IFERROR(__xludf.DUMMYFUNCTION("""COMPUTED_VALUE"""),"горбильні верстати")</f>
        <v>горбильні верстати</v>
      </c>
      <c r="I533" s="18">
        <f>IFERROR(__xludf.DUMMYFUNCTION("""COMPUTED_VALUE"""),1.26)</f>
        <v>1.26</v>
      </c>
      <c r="J533" s="18">
        <f>IFERROR(__xludf.DUMMYFUNCTION("""COMPUTED_VALUE"""),2.53)</f>
        <v>2.53</v>
      </c>
      <c r="K533" s="18">
        <f>IFERROR(__xludf.DUMMYFUNCTION("""COMPUTED_VALUE"""),3.16)</f>
        <v>3.16</v>
      </c>
      <c r="L533" s="18">
        <f>IFERROR(__xludf.DUMMYFUNCTION("""COMPUTED_VALUE"""),5.05)</f>
        <v>5.05</v>
      </c>
    </row>
    <row r="534">
      <c r="A534" s="13" t="str">
        <f>IFERROR(__xludf.DUMMYFUNCTION("""COMPUTED_VALUE"""),"товари")</f>
        <v>товари</v>
      </c>
      <c r="B534" s="13" t="str">
        <f>IFERROR(__xludf.DUMMYFUNCTION("""COMPUTED_VALUE"""),"промислове обладнання та верстати")</f>
        <v>промислове обладнання та верстати</v>
      </c>
      <c r="C534" s="15" t="str">
        <f>IFERROR(__xludf.DUMMYFUNCTION("""COMPUTED_VALUE"""),"енергообладнання")</f>
        <v>енергообладнання</v>
      </c>
      <c r="D534" s="15" t="str">
        <f>IFERROR(__xludf.DUMMYFUNCTION("""COMPUTED_VALUE"""),"градирні")</f>
        <v>градирні</v>
      </c>
      <c r="E534" s="15" t="str">
        <f>IFERROR(__xludf.DUMMYFUNCTION("""COMPUTED_VALUE"""),"градирні")</f>
        <v>градирні</v>
      </c>
      <c r="F534" s="17">
        <f>IFERROR(__xludf.DUMMYFUNCTION("""COMPUTED_VALUE"""),3.0)</f>
        <v>3</v>
      </c>
      <c r="G534" s="17">
        <f>IFERROR(__xludf.DUMMYFUNCTION("""COMPUTED_VALUE"""),1.4240107E7)</f>
        <v>14240107</v>
      </c>
      <c r="H534" s="17" t="str">
        <f>IFERROR(__xludf.DUMMYFUNCTION("""COMPUTED_VALUE"""),"градирні")</f>
        <v>градирні</v>
      </c>
      <c r="I534" s="18">
        <f>IFERROR(__xludf.DUMMYFUNCTION("""COMPUTED_VALUE"""),1.26)</f>
        <v>1.26</v>
      </c>
      <c r="J534" s="18">
        <f>IFERROR(__xludf.DUMMYFUNCTION("""COMPUTED_VALUE"""),2.53)</f>
        <v>2.53</v>
      </c>
      <c r="K534" s="18">
        <f>IFERROR(__xludf.DUMMYFUNCTION("""COMPUTED_VALUE"""),3.16)</f>
        <v>3.16</v>
      </c>
      <c r="L534" s="18">
        <f>IFERROR(__xludf.DUMMYFUNCTION("""COMPUTED_VALUE"""),5.05)</f>
        <v>5.05</v>
      </c>
    </row>
    <row r="535">
      <c r="A535" s="13" t="str">
        <f>IFERROR(__xludf.DUMMYFUNCTION("""COMPUTED_VALUE"""),"товари")</f>
        <v>товари</v>
      </c>
      <c r="B535" s="13" t="str">
        <f>IFERROR(__xludf.DUMMYFUNCTION("""COMPUTED_VALUE"""),"промислове обладнання та верстати")</f>
        <v>промислове обладнання та верстати</v>
      </c>
      <c r="C535" s="15" t="str">
        <f>IFERROR(__xludf.DUMMYFUNCTION("""COMPUTED_VALUE"""),"кранове обладнання")</f>
        <v>кранове обладнання</v>
      </c>
      <c r="D535" s="15" t="str">
        <f>IFERROR(__xludf.DUMMYFUNCTION("""COMPUTED_VALUE"""),"гусеничні крани")</f>
        <v>гусеничні крани</v>
      </c>
      <c r="E535" s="15" t="str">
        <f>IFERROR(__xludf.DUMMYFUNCTION("""COMPUTED_VALUE"""),"гусеничні крани")</f>
        <v>гусеничні крани</v>
      </c>
      <c r="F535" s="17">
        <f>IFERROR(__xludf.DUMMYFUNCTION("""COMPUTED_VALUE"""),3.0)</f>
        <v>3</v>
      </c>
      <c r="G535" s="17">
        <f>IFERROR(__xludf.DUMMYFUNCTION("""COMPUTED_VALUE"""),1.3040202E7)</f>
        <v>13040202</v>
      </c>
      <c r="H535" s="17" t="str">
        <f>IFERROR(__xludf.DUMMYFUNCTION("""COMPUTED_VALUE"""),"гусеничні крани")</f>
        <v>гусеничні крани</v>
      </c>
      <c r="I535" s="18">
        <f>IFERROR(__xludf.DUMMYFUNCTION("""COMPUTED_VALUE"""),1.26)</f>
        <v>1.26</v>
      </c>
      <c r="J535" s="18">
        <f>IFERROR(__xludf.DUMMYFUNCTION("""COMPUTED_VALUE"""),2.53)</f>
        <v>2.53</v>
      </c>
      <c r="K535" s="18">
        <f>IFERROR(__xludf.DUMMYFUNCTION("""COMPUTED_VALUE"""),3.16)</f>
        <v>3.16</v>
      </c>
      <c r="L535" s="18">
        <f>IFERROR(__xludf.DUMMYFUNCTION("""COMPUTED_VALUE"""),5.05)</f>
        <v>5.05</v>
      </c>
    </row>
    <row r="536">
      <c r="A536" s="13" t="str">
        <f>IFERROR(__xludf.DUMMYFUNCTION("""COMPUTED_VALUE"""),"товари")</f>
        <v>товари</v>
      </c>
      <c r="B536" s="13" t="str">
        <f>IFERROR(__xludf.DUMMYFUNCTION("""COMPUTED_VALUE"""),"промислове обладнання та верстати")</f>
        <v>промислове обладнання та верстати</v>
      </c>
      <c r="C536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36" s="15" t="str">
        <f>IFERROR(__xludf.DUMMYFUNCTION("""COMPUTED_VALUE"""),"деталі двигунів")</f>
        <v>деталі двигунів</v>
      </c>
      <c r="E536" s="15" t="str">
        <f>IFERROR(__xludf.DUMMYFUNCTION("""COMPUTED_VALUE"""),"деталі двигунів")</f>
        <v>деталі двигунів</v>
      </c>
      <c r="F536" s="17">
        <f>IFERROR(__xludf.DUMMYFUNCTION("""COMPUTED_VALUE"""),3.0)</f>
        <v>3</v>
      </c>
      <c r="G536" s="17">
        <f>IFERROR(__xludf.DUMMYFUNCTION("""COMPUTED_VALUE"""),140130.0)</f>
        <v>140130</v>
      </c>
      <c r="H536" s="17" t="str">
        <f>IFERROR(__xludf.DUMMYFUNCTION("""COMPUTED_VALUE"""),"деталі двигунів")</f>
        <v>деталі двигунів</v>
      </c>
      <c r="I536" s="18">
        <f>IFERROR(__xludf.DUMMYFUNCTION("""COMPUTED_VALUE"""),0.99)</f>
        <v>0.99</v>
      </c>
      <c r="J536" s="18">
        <f>IFERROR(__xludf.DUMMYFUNCTION("""COMPUTED_VALUE"""),1.98)</f>
        <v>1.98</v>
      </c>
      <c r="K536" s="18">
        <f>IFERROR(__xludf.DUMMYFUNCTION("""COMPUTED_VALUE"""),2.47)</f>
        <v>2.47</v>
      </c>
      <c r="L536" s="18">
        <f>IFERROR(__xludf.DUMMYFUNCTION("""COMPUTED_VALUE"""),3.95)</f>
        <v>3.95</v>
      </c>
    </row>
    <row r="537">
      <c r="A537" s="13" t="str">
        <f>IFERROR(__xludf.DUMMYFUNCTION("""COMPUTED_VALUE"""),"товари")</f>
        <v>товари</v>
      </c>
      <c r="B537" s="13" t="str">
        <f>IFERROR(__xludf.DUMMYFUNCTION("""COMPUTED_VALUE"""),"промислове обладнання та верстати")</f>
        <v>промислове обладнання та верстати</v>
      </c>
      <c r="C537" s="15" t="str">
        <f>IFERROR(__xludf.DUMMYFUNCTION("""COMPUTED_VALUE"""),"промислові насоси")</f>
        <v>промислові насоси</v>
      </c>
      <c r="D537" s="15" t="str">
        <f>IFERROR(__xludf.DUMMYFUNCTION("""COMPUTED_VALUE"""),"деталі промислових насосів, помп")</f>
        <v>деталі промислових насосів, помп</v>
      </c>
      <c r="E537" s="15" t="str">
        <f>IFERROR(__xludf.DUMMYFUNCTION("""COMPUTED_VALUE"""),"деталі промислових насосів, помп")</f>
        <v>деталі промислових насосів, помп</v>
      </c>
      <c r="F537" s="17">
        <f>IFERROR(__xludf.DUMMYFUNCTION("""COMPUTED_VALUE"""),3.0)</f>
        <v>3</v>
      </c>
      <c r="G537" s="17">
        <f>IFERROR(__xludf.DUMMYFUNCTION("""COMPUTED_VALUE"""),4104.0)</f>
        <v>4104</v>
      </c>
      <c r="H537" s="17" t="str">
        <f>IFERROR(__xludf.DUMMYFUNCTION("""COMPUTED_VALUE"""),"деталі промислових насосів, помп")</f>
        <v>деталі промислових насосів, помп</v>
      </c>
      <c r="I537" s="18">
        <f>IFERROR(__xludf.DUMMYFUNCTION("""COMPUTED_VALUE"""),1.17)</f>
        <v>1.17</v>
      </c>
      <c r="J537" s="18">
        <f>IFERROR(__xludf.DUMMYFUNCTION("""COMPUTED_VALUE"""),2.34)</f>
        <v>2.34</v>
      </c>
      <c r="K537" s="18">
        <f>IFERROR(__xludf.DUMMYFUNCTION("""COMPUTED_VALUE"""),2.92)</f>
        <v>2.92</v>
      </c>
      <c r="L537" s="18">
        <f>IFERROR(__xludf.DUMMYFUNCTION("""COMPUTED_VALUE"""),4.68)</f>
        <v>4.68</v>
      </c>
    </row>
    <row r="538">
      <c r="A538" s="13" t="str">
        <f>IFERROR(__xludf.DUMMYFUNCTION("""COMPUTED_VALUE"""),"товари")</f>
        <v>товари</v>
      </c>
      <c r="B538" s="13" t="str">
        <f>IFERROR(__xludf.DUMMYFUNCTION("""COMPUTED_VALUE"""),"промислове обладнання та верстати")</f>
        <v>промислове обладнання та верстати</v>
      </c>
      <c r="C538" s="15" t="str">
        <f>IFERROR(__xludf.DUMMYFUNCTION("""COMPUTED_VALUE"""),"промислові насоси")</f>
        <v>промислові насоси</v>
      </c>
      <c r="D538" s="15" t="str">
        <f>IFERROR(__xludf.DUMMYFUNCTION("""COMPUTED_VALUE"""),"діафрагмові, мембранні промислові насоси")</f>
        <v>діафрагмові, мембранні промислові насоси</v>
      </c>
      <c r="E538" s="15" t="str">
        <f>IFERROR(__xludf.DUMMYFUNCTION("""COMPUTED_VALUE"""),"діафрагмові, мембранні промислові насоси")</f>
        <v>діафрагмові, мембранні промислові насоси</v>
      </c>
      <c r="F538" s="17">
        <f>IFERROR(__xludf.DUMMYFUNCTION("""COMPUTED_VALUE"""),3.0)</f>
        <v>3</v>
      </c>
      <c r="G538" s="17">
        <f>IFERROR(__xludf.DUMMYFUNCTION("""COMPUTED_VALUE"""),140313.0)</f>
        <v>140313</v>
      </c>
      <c r="H538" s="17" t="str">
        <f>IFERROR(__xludf.DUMMYFUNCTION("""COMPUTED_VALUE"""),"діафрагмові, мембранні промислові насоси")</f>
        <v>діафрагмові, мембранні промислові насоси</v>
      </c>
      <c r="I538" s="18">
        <f>IFERROR(__xludf.DUMMYFUNCTION("""COMPUTED_VALUE"""),2.4)</f>
        <v>2.4</v>
      </c>
      <c r="J538" s="18">
        <f>IFERROR(__xludf.DUMMYFUNCTION("""COMPUTED_VALUE"""),4.8)</f>
        <v>4.8</v>
      </c>
      <c r="K538" s="18">
        <f>IFERROR(__xludf.DUMMYFUNCTION("""COMPUTED_VALUE"""),6.0)</f>
        <v>6</v>
      </c>
      <c r="L538" s="18">
        <f>IFERROR(__xludf.DUMMYFUNCTION("""COMPUTED_VALUE"""),9.6)</f>
        <v>9.6</v>
      </c>
    </row>
    <row r="539">
      <c r="A539" s="13" t="str">
        <f>IFERROR(__xludf.DUMMYFUNCTION("""COMPUTED_VALUE"""),"товари")</f>
        <v>товари</v>
      </c>
      <c r="B539" s="13" t="str">
        <f>IFERROR(__xludf.DUMMYFUNCTION("""COMPUTED_VALUE"""),"промислове обладнання та верстати")</f>
        <v>промислове обладнання та верстати</v>
      </c>
      <c r="C539" s="15" t="str">
        <f>IFERROR(__xludf.DUMMYFUNCTION("""COMPUTED_VALUE"""),"виробниче обладнання")</f>
        <v>виробниче обладнання</v>
      </c>
      <c r="D539" s="15" t="str">
        <f>IFERROR(__xludf.DUMMYFUNCTION("""COMPUTED_VALUE"""),"дробометні установки")</f>
        <v>дробометні установки</v>
      </c>
      <c r="E539" s="15" t="str">
        <f>IFERROR(__xludf.DUMMYFUNCTION("""COMPUTED_VALUE"""),"дробометні установки")</f>
        <v>дробометні установки</v>
      </c>
      <c r="F539" s="17">
        <f>IFERROR(__xludf.DUMMYFUNCTION("""COMPUTED_VALUE"""),3.0)</f>
        <v>3</v>
      </c>
      <c r="G539" s="17">
        <f>IFERROR(__xludf.DUMMYFUNCTION("""COMPUTED_VALUE"""),1.4209827E7)</f>
        <v>14209827</v>
      </c>
      <c r="H539" s="17" t="str">
        <f>IFERROR(__xludf.DUMMYFUNCTION("""COMPUTED_VALUE"""),"дробометні установки")</f>
        <v>дробометні установки</v>
      </c>
      <c r="I539" s="18">
        <f>IFERROR(__xludf.DUMMYFUNCTION("""COMPUTED_VALUE"""),1.35)</f>
        <v>1.35</v>
      </c>
      <c r="J539" s="18">
        <f>IFERROR(__xludf.DUMMYFUNCTION("""COMPUTED_VALUE"""),2.7)</f>
        <v>2.7</v>
      </c>
      <c r="K539" s="18">
        <f>IFERROR(__xludf.DUMMYFUNCTION("""COMPUTED_VALUE"""),3.38)</f>
        <v>3.38</v>
      </c>
      <c r="L539" s="18">
        <f>IFERROR(__xludf.DUMMYFUNCTION("""COMPUTED_VALUE"""),5.4)</f>
        <v>5.4</v>
      </c>
    </row>
    <row r="540">
      <c r="A540" s="13" t="str">
        <f>IFERROR(__xludf.DUMMYFUNCTION("""COMPUTED_VALUE"""),"товари")</f>
        <v>товари</v>
      </c>
      <c r="B540" s="13" t="str">
        <f>IFERROR(__xludf.DUMMYFUNCTION("""COMPUTED_VALUE"""),"промислове обладнання та верстати")</f>
        <v>промислове обладнання та верстати</v>
      </c>
      <c r="C540" s="15" t="str">
        <f>IFERROR(__xludf.DUMMYFUNCTION("""COMPUTED_VALUE"""),"верстати")</f>
        <v>верстати</v>
      </c>
      <c r="D540" s="15" t="str">
        <f>IFERROR(__xludf.DUMMYFUNCTION("""COMPUTED_VALUE"""),"електроерозійні верстати")</f>
        <v>електроерозійні верстати</v>
      </c>
      <c r="E540" s="15" t="str">
        <f>IFERROR(__xludf.DUMMYFUNCTION("""COMPUTED_VALUE"""),"електроерозійні верстати")</f>
        <v>електроерозійні верстати</v>
      </c>
      <c r="F540" s="17">
        <f>IFERROR(__xludf.DUMMYFUNCTION("""COMPUTED_VALUE"""),3.0)</f>
        <v>3</v>
      </c>
      <c r="G540" s="17">
        <f>IFERROR(__xludf.DUMMYFUNCTION("""COMPUTED_VALUE"""),1.4209814E7)</f>
        <v>14209814</v>
      </c>
      <c r="H540" s="17" t="str">
        <f>IFERROR(__xludf.DUMMYFUNCTION("""COMPUTED_VALUE"""),"електроерозійні верстати")</f>
        <v>електроерозійні верстати</v>
      </c>
      <c r="I540" s="18">
        <f>IFERROR(__xludf.DUMMYFUNCTION("""COMPUTED_VALUE"""),1.89)</f>
        <v>1.89</v>
      </c>
      <c r="J540" s="18">
        <f>IFERROR(__xludf.DUMMYFUNCTION("""COMPUTED_VALUE"""),3.78)</f>
        <v>3.78</v>
      </c>
      <c r="K540" s="18">
        <f>IFERROR(__xludf.DUMMYFUNCTION("""COMPUTED_VALUE"""),4.72)</f>
        <v>4.72</v>
      </c>
      <c r="L540" s="18">
        <f>IFERROR(__xludf.DUMMYFUNCTION("""COMPUTED_VALUE"""),7.55)</f>
        <v>7.55</v>
      </c>
    </row>
    <row r="541">
      <c r="A541" s="13" t="str">
        <f>IFERROR(__xludf.DUMMYFUNCTION("""COMPUTED_VALUE"""),"товари")</f>
        <v>товари</v>
      </c>
      <c r="B541" s="13" t="str">
        <f>IFERROR(__xludf.DUMMYFUNCTION("""COMPUTED_VALUE"""),"промислове обладнання та верстати")</f>
        <v>промислове обладнання та верстати</v>
      </c>
      <c r="C541" s="15" t="str">
        <f>IFERROR(__xludf.DUMMYFUNCTION("""COMPUTED_VALUE"""),"альтернативні джерела енергії")</f>
        <v>альтернативні джерела енергії</v>
      </c>
      <c r="D541" s="15" t="str">
        <f>IFERROR(__xludf.DUMMYFUNCTION("""COMPUTED_VALUE"""),"електростанції на альтернативних джерелах енергії")</f>
        <v>електростанції на альтернативних джерелах енергії</v>
      </c>
      <c r="E541" s="15" t="str">
        <f>IFERROR(__xludf.DUMMYFUNCTION("""COMPUTED_VALUE"""),"електростанції на альтернативних джерелах енергії")</f>
        <v>електростанції на альтернативних джерелах енергії</v>
      </c>
      <c r="F541" s="17">
        <f>IFERROR(__xludf.DUMMYFUNCTION("""COMPUTED_VALUE"""),3.0)</f>
        <v>3</v>
      </c>
      <c r="G541" s="17">
        <f>IFERROR(__xludf.DUMMYFUNCTION("""COMPUTED_VALUE"""),410401.0)</f>
        <v>410401</v>
      </c>
      <c r="H541" s="17" t="str">
        <f>IFERROR(__xludf.DUMMYFUNCTION("""COMPUTED_VALUE"""),"електростанції на альтернативних джерелах енергії")</f>
        <v>електростанції на альтернативних джерелах енергії</v>
      </c>
      <c r="I541" s="18">
        <f>IFERROR(__xludf.DUMMYFUNCTION("""COMPUTED_VALUE"""),0.81)</f>
        <v>0.81</v>
      </c>
      <c r="J541" s="18">
        <f>IFERROR(__xludf.DUMMYFUNCTION("""COMPUTED_VALUE"""),1.63)</f>
        <v>1.63</v>
      </c>
      <c r="K541" s="18">
        <f>IFERROR(__xludf.DUMMYFUNCTION("""COMPUTED_VALUE"""),2.03)</f>
        <v>2.03</v>
      </c>
      <c r="L541" s="18">
        <f>IFERROR(__xludf.DUMMYFUNCTION("""COMPUTED_VALUE"""),3.25)</f>
        <v>3.25</v>
      </c>
    </row>
    <row r="542">
      <c r="A542" s="13" t="str">
        <f>IFERROR(__xludf.DUMMYFUNCTION("""COMPUTED_VALUE"""),"товари")</f>
        <v>товари</v>
      </c>
      <c r="B542" s="13" t="str">
        <f>IFERROR(__xludf.DUMMYFUNCTION("""COMPUTED_VALUE"""),"промислове обладнання та верстати")</f>
        <v>промислове обладнання та верстати</v>
      </c>
      <c r="C542" s="15" t="str">
        <f>IFERROR(__xludf.DUMMYFUNCTION("""COMPUTED_VALUE"""),"маркувальне обладнання")</f>
        <v>маркувальне обладнання</v>
      </c>
      <c r="D542" s="15" t="str">
        <f>IFERROR(__xludf.DUMMYFUNCTION("""COMPUTED_VALUE"""),"етикетувальне обладнання")</f>
        <v>етикетувальне обладнання</v>
      </c>
      <c r="E542" s="15" t="str">
        <f>IFERROR(__xludf.DUMMYFUNCTION("""COMPUTED_VALUE"""),"етикет-пістолети")</f>
        <v>етикет-пістолети</v>
      </c>
      <c r="F542" s="17">
        <f>IFERROR(__xludf.DUMMYFUNCTION("""COMPUTED_VALUE"""),4.0)</f>
        <v>4</v>
      </c>
      <c r="G542" s="17">
        <f>IFERROR(__xludf.DUMMYFUNCTION("""COMPUTED_VALUE"""),1.4320403E7)</f>
        <v>14320403</v>
      </c>
      <c r="H542" s="17" t="str">
        <f>IFERROR(__xludf.DUMMYFUNCTION("""COMPUTED_VALUE"""),"етикет-пістолети")</f>
        <v>етикет-пістолети</v>
      </c>
      <c r="I542" s="18">
        <f>IFERROR(__xludf.DUMMYFUNCTION("""COMPUTED_VALUE"""),1.66)</f>
        <v>1.66</v>
      </c>
      <c r="J542" s="18">
        <f>IFERROR(__xludf.DUMMYFUNCTION("""COMPUTED_VALUE"""),3.33)</f>
        <v>3.33</v>
      </c>
      <c r="K542" s="18">
        <f>IFERROR(__xludf.DUMMYFUNCTION("""COMPUTED_VALUE"""),4.16)</f>
        <v>4.16</v>
      </c>
      <c r="L542" s="18">
        <f>IFERROR(__xludf.DUMMYFUNCTION("""COMPUTED_VALUE"""),6.65)</f>
        <v>6.65</v>
      </c>
    </row>
    <row r="543">
      <c r="A543" s="13" t="str">
        <f>IFERROR(__xludf.DUMMYFUNCTION("""COMPUTED_VALUE"""),"товари")</f>
        <v>товари</v>
      </c>
      <c r="B543" s="13" t="str">
        <f>IFERROR(__xludf.DUMMYFUNCTION("""COMPUTED_VALUE"""),"промислове обладнання та верстати")</f>
        <v>промислове обладнання та верстати</v>
      </c>
      <c r="C543" s="15" t="str">
        <f>IFERROR(__xludf.DUMMYFUNCTION("""COMPUTED_VALUE"""),"маркувальне обладнання")</f>
        <v>маркувальне обладнання</v>
      </c>
      <c r="D543" s="15" t="str">
        <f>IFERROR(__xludf.DUMMYFUNCTION("""COMPUTED_VALUE"""),"етикетувальне обладнання")</f>
        <v>етикетувальне обладнання</v>
      </c>
      <c r="E543" s="15" t="str">
        <f>IFERROR(__xludf.DUMMYFUNCTION("""COMPUTED_VALUE"""),"етикетувальне обладнання, загальне")</f>
        <v>етикетувальне обладнання, загальне</v>
      </c>
      <c r="F543" s="17">
        <f>IFERROR(__xludf.DUMMYFUNCTION("""COMPUTED_VALUE"""),4.0)</f>
        <v>4</v>
      </c>
      <c r="G543" s="17">
        <f>IFERROR(__xludf.DUMMYFUNCTION("""COMPUTED_VALUE"""),1.4320404E7)</f>
        <v>14320404</v>
      </c>
      <c r="H543" s="17" t="str">
        <f>IFERROR(__xludf.DUMMYFUNCTION("""COMPUTED_VALUE"""),"етикетувальне обладнання, загальне")</f>
        <v>етикетувальне обладнання, загальне</v>
      </c>
      <c r="I543" s="18">
        <f>IFERROR(__xludf.DUMMYFUNCTION("""COMPUTED_VALUE"""),2.16)</f>
        <v>2.16</v>
      </c>
      <c r="J543" s="18">
        <f>IFERROR(__xludf.DUMMYFUNCTION("""COMPUTED_VALUE"""),4.33)</f>
        <v>4.33</v>
      </c>
      <c r="K543" s="18">
        <f>IFERROR(__xludf.DUMMYFUNCTION("""COMPUTED_VALUE"""),5.41)</f>
        <v>5.41</v>
      </c>
      <c r="L543" s="18">
        <f>IFERROR(__xludf.DUMMYFUNCTION("""COMPUTED_VALUE"""),8.65)</f>
        <v>8.65</v>
      </c>
    </row>
    <row r="544">
      <c r="A544" s="13" t="str">
        <f>IFERROR(__xludf.DUMMYFUNCTION("""COMPUTED_VALUE"""),"товари")</f>
        <v>товари</v>
      </c>
      <c r="B544" s="13" t="str">
        <f>IFERROR(__xludf.DUMMYFUNCTION("""COMPUTED_VALUE"""),"промислове обладнання та верстати")</f>
        <v>промислове обладнання та верстати</v>
      </c>
      <c r="C544" s="15" t="str">
        <f>IFERROR(__xludf.DUMMYFUNCTION("""COMPUTED_VALUE"""),"хімічне обладнання")</f>
        <v>хімічне обладнання</v>
      </c>
      <c r="D544" s="15" t="str">
        <f>IFERROR(__xludf.DUMMYFUNCTION("""COMPUTED_VALUE"""),"ємності високого тиску")</f>
        <v>ємності високого тиску</v>
      </c>
      <c r="E544" s="15" t="str">
        <f>IFERROR(__xludf.DUMMYFUNCTION("""COMPUTED_VALUE"""),"ємності високого тиску")</f>
        <v>ємності високого тиску</v>
      </c>
      <c r="F544" s="17">
        <f>IFERROR(__xludf.DUMMYFUNCTION("""COMPUTED_VALUE"""),3.0)</f>
        <v>3</v>
      </c>
      <c r="G544" s="17">
        <f>IFERROR(__xludf.DUMMYFUNCTION("""COMPUTED_VALUE"""),141608.0)</f>
        <v>141608</v>
      </c>
      <c r="H544" s="17" t="str">
        <f>IFERROR(__xludf.DUMMYFUNCTION("""COMPUTED_VALUE"""),"ємності високого тиску")</f>
        <v>ємності високого тиску</v>
      </c>
      <c r="I544" s="18">
        <f>IFERROR(__xludf.DUMMYFUNCTION("""COMPUTED_VALUE"""),1.26)</f>
        <v>1.26</v>
      </c>
      <c r="J544" s="18">
        <f>IFERROR(__xludf.DUMMYFUNCTION("""COMPUTED_VALUE"""),2.53)</f>
        <v>2.53</v>
      </c>
      <c r="K544" s="18">
        <f>IFERROR(__xludf.DUMMYFUNCTION("""COMPUTED_VALUE"""),3.16)</f>
        <v>3.16</v>
      </c>
      <c r="L544" s="18">
        <f>IFERROR(__xludf.DUMMYFUNCTION("""COMPUTED_VALUE"""),5.05)</f>
        <v>5.05</v>
      </c>
    </row>
    <row r="545">
      <c r="A545" s="13" t="str">
        <f>IFERROR(__xludf.DUMMYFUNCTION("""COMPUTED_VALUE"""),"товари")</f>
        <v>товари</v>
      </c>
      <c r="B545" s="13" t="str">
        <f>IFERROR(__xludf.DUMMYFUNCTION("""COMPUTED_VALUE"""),"промислове обладнання та верстати")</f>
        <v>промислове обладнання та верстати</v>
      </c>
      <c r="C545" s="15" t="str">
        <f>IFERROR(__xludf.DUMMYFUNCTION("""COMPUTED_VALUE"""),"складське обладнання")</f>
        <v>складське обладнання</v>
      </c>
      <c r="D545" s="15" t="str">
        <f>IFERROR(__xludf.DUMMYFUNCTION("""COMPUTED_VALUE"""),"завіси пвх")</f>
        <v>завіси пвх</v>
      </c>
      <c r="E545" s="15" t="str">
        <f>IFERROR(__xludf.DUMMYFUNCTION("""COMPUTED_VALUE"""),"завіси пвх")</f>
        <v>завіси пвх</v>
      </c>
      <c r="F545" s="17">
        <f>IFERROR(__xludf.DUMMYFUNCTION("""COMPUTED_VALUE"""),3.0)</f>
        <v>3</v>
      </c>
      <c r="G545" s="17">
        <f>IFERROR(__xludf.DUMMYFUNCTION("""COMPUTED_VALUE"""),142914.0)</f>
        <v>142914</v>
      </c>
      <c r="H545" s="17" t="str">
        <f>IFERROR(__xludf.DUMMYFUNCTION("""COMPUTED_VALUE"""),"завіси пвх")</f>
        <v>завіси пвх</v>
      </c>
      <c r="I545" s="18">
        <f>IFERROR(__xludf.DUMMYFUNCTION("""COMPUTED_VALUE"""),0.76)</f>
        <v>0.76</v>
      </c>
      <c r="J545" s="18">
        <f>IFERROR(__xludf.DUMMYFUNCTION("""COMPUTED_VALUE"""),1.53)</f>
        <v>1.53</v>
      </c>
      <c r="K545" s="18">
        <f>IFERROR(__xludf.DUMMYFUNCTION("""COMPUTED_VALUE"""),1.91)</f>
        <v>1.91</v>
      </c>
      <c r="L545" s="18">
        <f>IFERROR(__xludf.DUMMYFUNCTION("""COMPUTED_VALUE"""),3.05)</f>
        <v>3.05</v>
      </c>
    </row>
    <row r="546">
      <c r="A546" s="13" t="str">
        <f>IFERROR(__xludf.DUMMYFUNCTION("""COMPUTED_VALUE"""),"товари")</f>
        <v>товари</v>
      </c>
      <c r="B546" s="13" t="str">
        <f>IFERROR(__xludf.DUMMYFUNCTION("""COMPUTED_VALUE"""),"промислове обладнання та верстати")</f>
        <v>промислове обладнання та верстати</v>
      </c>
      <c r="C546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546" s="15" t="str">
        <f>IFERROR(__xludf.DUMMYFUNCTION("""COMPUTED_VALUE"""),"загальні деталі та вузли машин та механізмів, загальне")</f>
        <v>загальні деталі та вузли машин та механізмів, загальне</v>
      </c>
      <c r="E546" s="15" t="str">
        <f>IFERROR(__xludf.DUMMYFUNCTION("""COMPUTED_VALUE"""),"загальні деталі та вузли машин та механізмів, загальне")</f>
        <v>загальні деталі та вузли машин та механізмів, загальне</v>
      </c>
      <c r="F546" s="17">
        <f>IFERROR(__xludf.DUMMYFUNCTION("""COMPUTED_VALUE"""),3.0)</f>
        <v>3</v>
      </c>
      <c r="G546" s="17">
        <f>IFERROR(__xludf.DUMMYFUNCTION("""COMPUTED_VALUE"""),4107.0)</f>
        <v>4107</v>
      </c>
      <c r="H546" s="17" t="str">
        <f>IFERROR(__xludf.DUMMYFUNCTION("""COMPUTED_VALUE"""),"загальні деталі та вузли машин та механізмів, загальне")</f>
        <v>загальні деталі та вузли машин та механізмів, загальне</v>
      </c>
      <c r="I546" s="18">
        <f>IFERROR(__xludf.DUMMYFUNCTION("""COMPUTED_VALUE"""),2.16)</f>
        <v>2.16</v>
      </c>
      <c r="J546" s="18">
        <f>IFERROR(__xludf.DUMMYFUNCTION("""COMPUTED_VALUE"""),4.33)</f>
        <v>4.33</v>
      </c>
      <c r="K546" s="18">
        <f>IFERROR(__xludf.DUMMYFUNCTION("""COMPUTED_VALUE"""),5.41)</f>
        <v>5.41</v>
      </c>
      <c r="L546" s="18">
        <f>IFERROR(__xludf.DUMMYFUNCTION("""COMPUTED_VALUE"""),8.65)</f>
        <v>8.65</v>
      </c>
    </row>
    <row r="547">
      <c r="A547" s="13" t="str">
        <f>IFERROR(__xludf.DUMMYFUNCTION("""COMPUTED_VALUE"""),"товари")</f>
        <v>товари</v>
      </c>
      <c r="B547" s="13" t="str">
        <f>IFERROR(__xludf.DUMMYFUNCTION("""COMPUTED_VALUE"""),"промислове обладнання та верстати")</f>
        <v>промислове обладнання та верстати</v>
      </c>
      <c r="C547" s="15" t="str">
        <f>IFERROR(__xludf.DUMMYFUNCTION("""COMPUTED_VALUE"""),"обладнання для харчової промисловості")</f>
        <v>обладнання для харчової промисловості</v>
      </c>
      <c r="D547" s="15" t="str">
        <f>IFERROR(__xludf.DUMMYFUNCTION("""COMPUTED_VALUE"""),"закаточне та консервне обладнання")</f>
        <v>закаточне та консервне обладнання</v>
      </c>
      <c r="E547" s="15" t="str">
        <f>IFERROR(__xludf.DUMMYFUNCTION("""COMPUTED_VALUE"""),"закаточне та консервне обладнання")</f>
        <v>закаточне та консервне обладнання</v>
      </c>
      <c r="F547" s="17">
        <f>IFERROR(__xludf.DUMMYFUNCTION("""COMPUTED_VALUE"""),3.0)</f>
        <v>3</v>
      </c>
      <c r="G547" s="17">
        <f>IFERROR(__xludf.DUMMYFUNCTION("""COMPUTED_VALUE"""),22012.0)</f>
        <v>22012</v>
      </c>
      <c r="H547" s="17" t="str">
        <f>IFERROR(__xludf.DUMMYFUNCTION("""COMPUTED_VALUE"""),"закаточне та консервне обладнання")</f>
        <v>закаточне та консервне обладнання</v>
      </c>
      <c r="I547" s="18">
        <f>IFERROR(__xludf.DUMMYFUNCTION("""COMPUTED_VALUE"""),0.53)</f>
        <v>0.53</v>
      </c>
      <c r="J547" s="18">
        <f>IFERROR(__xludf.DUMMYFUNCTION("""COMPUTED_VALUE"""),1.05)</f>
        <v>1.05</v>
      </c>
      <c r="K547" s="18">
        <f>IFERROR(__xludf.DUMMYFUNCTION("""COMPUTED_VALUE"""),1.31)</f>
        <v>1.31</v>
      </c>
      <c r="L547" s="18">
        <f>IFERROR(__xludf.DUMMYFUNCTION("""COMPUTED_VALUE"""),2.1)</f>
        <v>2.1</v>
      </c>
    </row>
    <row r="548">
      <c r="A548" s="13" t="str">
        <f>IFERROR(__xludf.DUMMYFUNCTION("""COMPUTED_VALUE"""),"товари")</f>
        <v>товари</v>
      </c>
      <c r="B548" s="13" t="str">
        <f>IFERROR(__xludf.DUMMYFUNCTION("""COMPUTED_VALUE"""),"промислове обладнання та верстати")</f>
        <v>промислове обладнання та верстати</v>
      </c>
      <c r="C54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48" s="15" t="str">
        <f>IFERROR(__xludf.DUMMYFUNCTION("""COMPUTED_VALUE"""),"запасні частини для хімічного обладнання")</f>
        <v>запасні частини для хімічного обладнання</v>
      </c>
      <c r="E548" s="15" t="str">
        <f>IFERROR(__xludf.DUMMYFUNCTION("""COMPUTED_VALUE"""),"запасні частини для хімічного обладнання")</f>
        <v>запасні частини для хімічного обладнання</v>
      </c>
      <c r="F548" s="17">
        <f>IFERROR(__xludf.DUMMYFUNCTION("""COMPUTED_VALUE"""),3.0)</f>
        <v>3</v>
      </c>
      <c r="G548" s="17">
        <f>IFERROR(__xludf.DUMMYFUNCTION("""COMPUTED_VALUE"""),1444.0)</f>
        <v>1444</v>
      </c>
      <c r="H548" s="17" t="str">
        <f>IFERROR(__xludf.DUMMYFUNCTION("""COMPUTED_VALUE"""),"запасні частини для хімічного обладнання")</f>
        <v>запасні частини для хімічного обладнання</v>
      </c>
      <c r="I548" s="18">
        <f>IFERROR(__xludf.DUMMYFUNCTION("""COMPUTED_VALUE"""),1.44)</f>
        <v>1.44</v>
      </c>
      <c r="J548" s="18">
        <f>IFERROR(__xludf.DUMMYFUNCTION("""COMPUTED_VALUE"""),2.88)</f>
        <v>2.88</v>
      </c>
      <c r="K548" s="18">
        <f>IFERROR(__xludf.DUMMYFUNCTION("""COMPUTED_VALUE"""),3.59)</f>
        <v>3.59</v>
      </c>
      <c r="L548" s="18">
        <f>IFERROR(__xludf.DUMMYFUNCTION("""COMPUTED_VALUE"""),5.75)</f>
        <v>5.75</v>
      </c>
    </row>
    <row r="549">
      <c r="A549" s="13" t="str">
        <f>IFERROR(__xludf.DUMMYFUNCTION("""COMPUTED_VALUE"""),"товари")</f>
        <v>товари</v>
      </c>
      <c r="B549" s="13" t="str">
        <f>IFERROR(__xludf.DUMMYFUNCTION("""COMPUTED_VALUE"""),"промислове обладнання та верстати")</f>
        <v>промислове обладнання та верстати</v>
      </c>
      <c r="C549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549" s="15" t="str">
        <f>IFERROR(__xludf.DUMMYFUNCTION("""COMPUTED_VALUE"""),"запасні частини та комплектуючі для прибирального обладнання")</f>
        <v>запасні частини та комплектуючі для прибирального обладнання</v>
      </c>
      <c r="E549" s="15" t="str">
        <f>IFERROR(__xludf.DUMMYFUNCTION("""COMPUTED_VALUE"""),"запасні частини та комплектуючі для прибирального обладнання")</f>
        <v>запасні частини та комплектуючі для прибирального обладнання</v>
      </c>
      <c r="F549" s="17">
        <f>IFERROR(__xludf.DUMMYFUNCTION("""COMPUTED_VALUE"""),3.0)</f>
        <v>3</v>
      </c>
      <c r="G549" s="17">
        <f>IFERROR(__xludf.DUMMYFUNCTION("""COMPUTED_VALUE"""),147012.0)</f>
        <v>147012</v>
      </c>
      <c r="H549" s="17" t="str">
        <f>IFERROR(__xludf.DUMMYFUNCTION("""COMPUTED_VALUE"""),"запасні частини та комплектуючі для прибирального обладнання")</f>
        <v>запасні частини та комплектуючі для прибирального обладнання</v>
      </c>
      <c r="I549" s="18">
        <f>IFERROR(__xludf.DUMMYFUNCTION("""COMPUTED_VALUE"""),0.76)</f>
        <v>0.76</v>
      </c>
      <c r="J549" s="18">
        <f>IFERROR(__xludf.DUMMYFUNCTION("""COMPUTED_VALUE"""),1.53)</f>
        <v>1.53</v>
      </c>
      <c r="K549" s="18">
        <f>IFERROR(__xludf.DUMMYFUNCTION("""COMPUTED_VALUE"""),1.91)</f>
        <v>1.91</v>
      </c>
      <c r="L549" s="18">
        <f>IFERROR(__xludf.DUMMYFUNCTION("""COMPUTED_VALUE"""),3.05)</f>
        <v>3.05</v>
      </c>
    </row>
    <row r="550">
      <c r="A550" s="13" t="str">
        <f>IFERROR(__xludf.DUMMYFUNCTION("""COMPUTED_VALUE"""),"товари")</f>
        <v>товари</v>
      </c>
      <c r="B550" s="13" t="str">
        <f>IFERROR(__xludf.DUMMYFUNCTION("""COMPUTED_VALUE"""),"промислове обладнання та верстати")</f>
        <v>промислове обладнання та верстати</v>
      </c>
      <c r="C550" s="15" t="str">
        <f>IFERROR(__xludf.DUMMYFUNCTION("""COMPUTED_VALUE"""),"обладнання для автозаправних станцій, нафтобаз")</f>
        <v>обладнання для автозаправних станцій, нафтобаз</v>
      </c>
      <c r="D550" s="15" t="str">
        <f>IFERROR(__xludf.DUMMYFUNCTION("""COMPUTED_VALUE"""),"заправні станції")</f>
        <v>заправні станції</v>
      </c>
      <c r="E550" s="15" t="str">
        <f>IFERROR(__xludf.DUMMYFUNCTION("""COMPUTED_VALUE"""),"заправні станції")</f>
        <v>заправні станції</v>
      </c>
      <c r="F550" s="17">
        <f>IFERROR(__xludf.DUMMYFUNCTION("""COMPUTED_VALUE"""),3.0)</f>
        <v>3</v>
      </c>
      <c r="G550" s="17">
        <f>IFERROR(__xludf.DUMMYFUNCTION("""COMPUTED_VALUE"""),141204.0)</f>
        <v>141204</v>
      </c>
      <c r="H550" s="17" t="str">
        <f>IFERROR(__xludf.DUMMYFUNCTION("""COMPUTED_VALUE"""),"заправні станції")</f>
        <v>заправні станції</v>
      </c>
      <c r="I550" s="18">
        <f>IFERROR(__xludf.DUMMYFUNCTION("""COMPUTED_VALUE"""),2.7)</f>
        <v>2.7</v>
      </c>
      <c r="J550" s="18">
        <f>IFERROR(__xludf.DUMMYFUNCTION("""COMPUTED_VALUE"""),5.4)</f>
        <v>5.4</v>
      </c>
      <c r="K550" s="18">
        <f>IFERROR(__xludf.DUMMYFUNCTION("""COMPUTED_VALUE"""),6.75)</f>
        <v>6.75</v>
      </c>
      <c r="L550" s="18">
        <f>IFERROR(__xludf.DUMMYFUNCTION("""COMPUTED_VALUE"""),10.8)</f>
        <v>10.8</v>
      </c>
    </row>
    <row r="551">
      <c r="A551" s="13" t="str">
        <f>IFERROR(__xludf.DUMMYFUNCTION("""COMPUTED_VALUE"""),"товари")</f>
        <v>товари</v>
      </c>
      <c r="B551" s="13" t="str">
        <f>IFERROR(__xludf.DUMMYFUNCTION("""COMPUTED_VALUE"""),"промислове обладнання та верстати")</f>
        <v>промислове обладнання та верстати</v>
      </c>
      <c r="C551" s="15" t="str">
        <f>IFERROR(__xludf.DUMMYFUNCTION("""COMPUTED_VALUE"""),"обладнання для харчової промисловості")</f>
        <v>обладнання для харчової промисловості</v>
      </c>
      <c r="D551" s="15" t="str">
        <f>IFERROR(__xludf.DUMMYFUNCTION("""COMPUTED_VALUE"""),"змішувачі для харчової промисловості")</f>
        <v>змішувачі для харчової промисловості</v>
      </c>
      <c r="E551" s="15" t="str">
        <f>IFERROR(__xludf.DUMMYFUNCTION("""COMPUTED_VALUE"""),"змішувачі для харчової промисловості")</f>
        <v>змішувачі для харчової промисловості</v>
      </c>
      <c r="F551" s="17">
        <f>IFERROR(__xludf.DUMMYFUNCTION("""COMPUTED_VALUE"""),3.0)</f>
        <v>3</v>
      </c>
      <c r="G551" s="17">
        <f>IFERROR(__xludf.DUMMYFUNCTION("""COMPUTED_VALUE"""),22019.0)</f>
        <v>22019</v>
      </c>
      <c r="H551" s="17" t="str">
        <f>IFERROR(__xludf.DUMMYFUNCTION("""COMPUTED_VALUE"""),"змішувачі для харчової промисловості")</f>
        <v>змішувачі для харчової промисловості</v>
      </c>
      <c r="I551" s="18">
        <f>IFERROR(__xludf.DUMMYFUNCTION("""COMPUTED_VALUE"""),1.89)</f>
        <v>1.89</v>
      </c>
      <c r="J551" s="18">
        <f>IFERROR(__xludf.DUMMYFUNCTION("""COMPUTED_VALUE"""),3.78)</f>
        <v>3.78</v>
      </c>
      <c r="K551" s="18">
        <f>IFERROR(__xludf.DUMMYFUNCTION("""COMPUTED_VALUE"""),4.72)</f>
        <v>4.72</v>
      </c>
      <c r="L551" s="18">
        <f>IFERROR(__xludf.DUMMYFUNCTION("""COMPUTED_VALUE"""),7.55)</f>
        <v>7.55</v>
      </c>
    </row>
    <row r="552">
      <c r="A552" s="13" t="str">
        <f>IFERROR(__xludf.DUMMYFUNCTION("""COMPUTED_VALUE"""),"товари")</f>
        <v>товари</v>
      </c>
      <c r="B552" s="13" t="str">
        <f>IFERROR(__xludf.DUMMYFUNCTION("""COMPUTED_VALUE"""),"промислове обладнання та верстати")</f>
        <v>промислове обладнання та верстати</v>
      </c>
      <c r="C552" s="15" t="str">
        <f>IFERROR(__xludf.DUMMYFUNCTION("""COMPUTED_VALUE"""),"верстати")</f>
        <v>верстати</v>
      </c>
      <c r="D552" s="15" t="str">
        <f>IFERROR(__xludf.DUMMYFUNCTION("""COMPUTED_VALUE"""),"металообробні верстати")</f>
        <v>металообробні верстати</v>
      </c>
      <c r="E552" s="15" t="str">
        <f>IFERROR(__xludf.DUMMYFUNCTION("""COMPUTED_VALUE"""),"зубообробні верстати")</f>
        <v>зубообробні верстати</v>
      </c>
      <c r="F552" s="17">
        <f>IFERROR(__xludf.DUMMYFUNCTION("""COMPUTED_VALUE"""),4.0)</f>
        <v>4</v>
      </c>
      <c r="G552" s="17">
        <f>IFERROR(__xludf.DUMMYFUNCTION("""COMPUTED_VALUE"""),142608.0)</f>
        <v>142608</v>
      </c>
      <c r="H552" s="17" t="str">
        <f>IFERROR(__xludf.DUMMYFUNCTION("""COMPUTED_VALUE"""),"зубообробні верстати")</f>
        <v>зубообробні верстати</v>
      </c>
      <c r="I552" s="18">
        <f>IFERROR(__xludf.DUMMYFUNCTION("""COMPUTED_VALUE"""),2.07)</f>
        <v>2.07</v>
      </c>
      <c r="J552" s="18">
        <f>IFERROR(__xludf.DUMMYFUNCTION("""COMPUTED_VALUE"""),4.14)</f>
        <v>4.14</v>
      </c>
      <c r="K552" s="18">
        <f>IFERROR(__xludf.DUMMYFUNCTION("""COMPUTED_VALUE"""),5.17)</f>
        <v>5.17</v>
      </c>
      <c r="L552" s="18">
        <f>IFERROR(__xludf.DUMMYFUNCTION("""COMPUTED_VALUE"""),8.28)</f>
        <v>8.28</v>
      </c>
    </row>
    <row r="553">
      <c r="A553" s="13" t="str">
        <f>IFERROR(__xludf.DUMMYFUNCTION("""COMPUTED_VALUE"""),"товари")</f>
        <v>товари</v>
      </c>
      <c r="B553" s="13" t="str">
        <f>IFERROR(__xludf.DUMMYFUNCTION("""COMPUTED_VALUE"""),"промислове обладнання та верстати")</f>
        <v>промислове обладнання та верстати</v>
      </c>
      <c r="C553" s="15" t="str">
        <f>IFERROR(__xludf.DUMMYFUNCTION("""COMPUTED_VALUE"""),"виробниче обладнання")</f>
        <v>виробниче обладнання</v>
      </c>
      <c r="D553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553" s="15" t="str">
        <f>IFERROR(__xludf.DUMMYFUNCTION("""COMPUTED_VALUE"""),"кабельні барабани")</f>
        <v>кабельні барабани</v>
      </c>
      <c r="F553" s="17">
        <f>IFERROR(__xludf.DUMMYFUNCTION("""COMPUTED_VALUE"""),4.0)</f>
        <v>4</v>
      </c>
      <c r="G553" s="17">
        <f>IFERROR(__xludf.DUMMYFUNCTION("""COMPUTED_VALUE"""),1.4190436E7)</f>
        <v>14190436</v>
      </c>
      <c r="H553" s="17" t="str">
        <f>IFERROR(__xludf.DUMMYFUNCTION("""COMPUTED_VALUE"""),"кабельні барабани")</f>
        <v>кабельні барабани</v>
      </c>
      <c r="I553" s="18">
        <f>IFERROR(__xludf.DUMMYFUNCTION("""COMPUTED_VALUE"""),1.04)</f>
        <v>1.04</v>
      </c>
      <c r="J553" s="18">
        <f>IFERROR(__xludf.DUMMYFUNCTION("""COMPUTED_VALUE"""),2.08)</f>
        <v>2.08</v>
      </c>
      <c r="K553" s="18">
        <f>IFERROR(__xludf.DUMMYFUNCTION("""COMPUTED_VALUE"""),2.59)</f>
        <v>2.59</v>
      </c>
      <c r="L553" s="18">
        <f>IFERROR(__xludf.DUMMYFUNCTION("""COMPUTED_VALUE"""),4.15)</f>
        <v>4.15</v>
      </c>
    </row>
    <row r="554">
      <c r="A554" s="13" t="str">
        <f>IFERROR(__xludf.DUMMYFUNCTION("""COMPUTED_VALUE"""),"товари")</f>
        <v>товари</v>
      </c>
      <c r="B554" s="13" t="str">
        <f>IFERROR(__xludf.DUMMYFUNCTION("""COMPUTED_VALUE"""),"промислове обладнання та верстати")</f>
        <v>промислове обладнання та верстати</v>
      </c>
      <c r="C554" s="15" t="str">
        <f>IFERROR(__xludf.DUMMYFUNCTION("""COMPUTED_VALUE"""),"виробниче обладнання")</f>
        <v>виробниче обладнання</v>
      </c>
      <c r="D554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554" s="15" t="str">
        <f>IFERROR(__xludf.DUMMYFUNCTION("""COMPUTED_VALUE"""),"кабельні ролики")</f>
        <v>кабельні ролики</v>
      </c>
      <c r="F554" s="17">
        <f>IFERROR(__xludf.DUMMYFUNCTION("""COMPUTED_VALUE"""),4.0)</f>
        <v>4</v>
      </c>
      <c r="G554" s="17">
        <f>IFERROR(__xludf.DUMMYFUNCTION("""COMPUTED_VALUE"""),1.4190432E7)</f>
        <v>14190432</v>
      </c>
      <c r="H554" s="17" t="str">
        <f>IFERROR(__xludf.DUMMYFUNCTION("""COMPUTED_VALUE"""),"кабельні ролики")</f>
        <v>кабельні ролики</v>
      </c>
      <c r="I554" s="18">
        <f>IFERROR(__xludf.DUMMYFUNCTION("""COMPUTED_VALUE"""),1.04)</f>
        <v>1.04</v>
      </c>
      <c r="J554" s="18">
        <f>IFERROR(__xludf.DUMMYFUNCTION("""COMPUTED_VALUE"""),2.08)</f>
        <v>2.08</v>
      </c>
      <c r="K554" s="18">
        <f>IFERROR(__xludf.DUMMYFUNCTION("""COMPUTED_VALUE"""),2.59)</f>
        <v>2.59</v>
      </c>
      <c r="L554" s="18">
        <f>IFERROR(__xludf.DUMMYFUNCTION("""COMPUTED_VALUE"""),4.15)</f>
        <v>4.15</v>
      </c>
    </row>
    <row r="555">
      <c r="A555" s="13" t="str">
        <f>IFERROR(__xludf.DUMMYFUNCTION("""COMPUTED_VALUE"""),"товари")</f>
        <v>товари</v>
      </c>
      <c r="B555" s="13" t="str">
        <f>IFERROR(__xludf.DUMMYFUNCTION("""COMPUTED_VALUE"""),"промислове обладнання та верстати")</f>
        <v>промислове обладнання та верстати</v>
      </c>
      <c r="C555" s="15" t="str">
        <f>IFERROR(__xludf.DUMMYFUNCTION("""COMPUTED_VALUE"""),"виробниче обладнання")</f>
        <v>виробниче обладнання</v>
      </c>
      <c r="D555" s="15" t="str">
        <f>IFERROR(__xludf.DUMMYFUNCTION("""COMPUTED_VALUE"""),"ковальсько-пресове обладнання")</f>
        <v>ковальсько-пресове обладнання</v>
      </c>
      <c r="E555" s="15" t="str">
        <f>IFERROR(__xludf.DUMMYFUNCTION("""COMPUTED_VALUE"""),"ковальські верстати")</f>
        <v>ковальські верстати</v>
      </c>
      <c r="F555" s="17">
        <f>IFERROR(__xludf.DUMMYFUNCTION("""COMPUTED_VALUE"""),4.0)</f>
        <v>4</v>
      </c>
      <c r="G555" s="17">
        <f>IFERROR(__xludf.DUMMYFUNCTION("""COMPUTED_VALUE"""),1.4260604E7)</f>
        <v>14260604</v>
      </c>
      <c r="H555" s="17" t="str">
        <f>IFERROR(__xludf.DUMMYFUNCTION("""COMPUTED_VALUE"""),"ковальські верстати")</f>
        <v>ковальські верстати</v>
      </c>
      <c r="I555" s="18">
        <f>IFERROR(__xludf.DUMMYFUNCTION("""COMPUTED_VALUE"""),1.26)</f>
        <v>1.26</v>
      </c>
      <c r="J555" s="18">
        <f>IFERROR(__xludf.DUMMYFUNCTION("""COMPUTED_VALUE"""),2.53)</f>
        <v>2.53</v>
      </c>
      <c r="K555" s="18">
        <f>IFERROR(__xludf.DUMMYFUNCTION("""COMPUTED_VALUE"""),3.16)</f>
        <v>3.16</v>
      </c>
      <c r="L555" s="18">
        <f>IFERROR(__xludf.DUMMYFUNCTION("""COMPUTED_VALUE"""),5.05)</f>
        <v>5.05</v>
      </c>
    </row>
    <row r="556">
      <c r="A556" s="13" t="str">
        <f>IFERROR(__xludf.DUMMYFUNCTION("""COMPUTED_VALUE"""),"товари")</f>
        <v>товари</v>
      </c>
      <c r="B556" s="13" t="str">
        <f>IFERROR(__xludf.DUMMYFUNCTION("""COMPUTED_VALUE"""),"промислове обладнання та верстати")</f>
        <v>промислове обладнання та верстати</v>
      </c>
      <c r="C556" s="15" t="str">
        <f>IFERROR(__xludf.DUMMYFUNCTION("""COMPUTED_VALUE"""),"виробниче обладнання")</f>
        <v>виробниче обладнання</v>
      </c>
      <c r="D556" s="15" t="str">
        <f>IFERROR(__xludf.DUMMYFUNCTION("""COMPUTED_VALUE"""),"ковальсько-пресове обладнання")</f>
        <v>ковальсько-пресове обладнання</v>
      </c>
      <c r="E556" s="15" t="str">
        <f>IFERROR(__xludf.DUMMYFUNCTION("""COMPUTED_VALUE"""),"ковальсько-пресове обладнання, загальне")</f>
        <v>ковальсько-пресове обладнання, загальне</v>
      </c>
      <c r="F556" s="17">
        <f>IFERROR(__xludf.DUMMYFUNCTION("""COMPUTED_VALUE"""),4.0)</f>
        <v>4</v>
      </c>
      <c r="G556" s="17">
        <f>IFERROR(__xludf.DUMMYFUNCTION("""COMPUTED_VALUE"""),1.4260605E7)</f>
        <v>14260605</v>
      </c>
      <c r="H556" s="17" t="str">
        <f>IFERROR(__xludf.DUMMYFUNCTION("""COMPUTED_VALUE"""),"ковальсько-пресове обладнання, загальне")</f>
        <v>ковальсько-пресове обладнання, загальне</v>
      </c>
      <c r="I556" s="18">
        <f>IFERROR(__xludf.DUMMYFUNCTION("""COMPUTED_VALUE"""),2.16)</f>
        <v>2.16</v>
      </c>
      <c r="J556" s="18">
        <f>IFERROR(__xludf.DUMMYFUNCTION("""COMPUTED_VALUE"""),4.33)</f>
        <v>4.33</v>
      </c>
      <c r="K556" s="18">
        <f>IFERROR(__xludf.DUMMYFUNCTION("""COMPUTED_VALUE"""),5.41)</f>
        <v>5.41</v>
      </c>
      <c r="L556" s="18">
        <f>IFERROR(__xludf.DUMMYFUNCTION("""COMPUTED_VALUE"""),8.65)</f>
        <v>8.65</v>
      </c>
    </row>
    <row r="557">
      <c r="A557" s="13" t="str">
        <f>IFERROR(__xludf.DUMMYFUNCTION("""COMPUTED_VALUE"""),"товари")</f>
        <v>товари</v>
      </c>
      <c r="B557" s="13" t="str">
        <f>IFERROR(__xludf.DUMMYFUNCTION("""COMPUTED_VALUE"""),"промислове обладнання та верстати")</f>
        <v>промислове обладнання та верстати</v>
      </c>
      <c r="C557" s="15" t="str">
        <f>IFERROR(__xludf.DUMMYFUNCTION("""COMPUTED_VALUE"""),"верстати")</f>
        <v>верстати</v>
      </c>
      <c r="D557" s="15" t="str">
        <f>IFERROR(__xludf.DUMMYFUNCTION("""COMPUTED_VALUE"""),"деревообробні верстати")</f>
        <v>деревообробні верстати</v>
      </c>
      <c r="E557" s="15" t="str">
        <f>IFERROR(__xludf.DUMMYFUNCTION("""COMPUTED_VALUE"""),"комбіновані деревообробні верстати")</f>
        <v>комбіновані деревообробні верстати</v>
      </c>
      <c r="F557" s="17">
        <f>IFERROR(__xludf.DUMMYFUNCTION("""COMPUTED_VALUE"""),4.0)</f>
        <v>4</v>
      </c>
      <c r="G557" s="17">
        <f>IFERROR(__xludf.DUMMYFUNCTION("""COMPUTED_VALUE"""),1.4310306E7)</f>
        <v>14310306</v>
      </c>
      <c r="H557" s="17" t="str">
        <f>IFERROR(__xludf.DUMMYFUNCTION("""COMPUTED_VALUE"""),"комбіновані деревообробні верстати")</f>
        <v>комбіновані деревообробні верстати</v>
      </c>
      <c r="I557" s="18">
        <f>IFERROR(__xludf.DUMMYFUNCTION("""COMPUTED_VALUE"""),1.26)</f>
        <v>1.26</v>
      </c>
      <c r="J557" s="18">
        <f>IFERROR(__xludf.DUMMYFUNCTION("""COMPUTED_VALUE"""),2.53)</f>
        <v>2.53</v>
      </c>
      <c r="K557" s="18">
        <f>IFERROR(__xludf.DUMMYFUNCTION("""COMPUTED_VALUE"""),3.16)</f>
        <v>3.16</v>
      </c>
      <c r="L557" s="18">
        <f>IFERROR(__xludf.DUMMYFUNCTION("""COMPUTED_VALUE"""),5.05)</f>
        <v>5.05</v>
      </c>
    </row>
    <row r="558">
      <c r="A558" s="13" t="str">
        <f>IFERROR(__xludf.DUMMYFUNCTION("""COMPUTED_VALUE"""),"товари")</f>
        <v>товари</v>
      </c>
      <c r="B558" s="13" t="str">
        <f>IFERROR(__xludf.DUMMYFUNCTION("""COMPUTED_VALUE"""),"промислове обладнання та верстати")</f>
        <v>промислове обладнання та верстати</v>
      </c>
      <c r="C55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58" s="15" t="str">
        <f>IFERROR(__xludf.DUMMYFUNCTION("""COMPUTED_VALUE"""),"комплектуючі для бурового обладнання")</f>
        <v>комплектуючі для бурового обладнання</v>
      </c>
      <c r="E558" s="15" t="str">
        <f>IFERROR(__xludf.DUMMYFUNCTION("""COMPUTED_VALUE"""),"комплектуючі для бурового обладнання")</f>
        <v>комплектуючі для бурового обладнання</v>
      </c>
      <c r="F558" s="17">
        <f>IFERROR(__xludf.DUMMYFUNCTION("""COMPUTED_VALUE"""),3.0)</f>
        <v>3</v>
      </c>
      <c r="G558" s="17">
        <f>IFERROR(__xludf.DUMMYFUNCTION("""COMPUTED_VALUE"""),9150404.0)</f>
        <v>9150404</v>
      </c>
      <c r="H558" s="17" t="str">
        <f>IFERROR(__xludf.DUMMYFUNCTION("""COMPUTED_VALUE"""),"комплектуючі для бурового обладнання")</f>
        <v>комплектуючі для бурового обладнання</v>
      </c>
      <c r="I558" s="18">
        <f>IFERROR(__xludf.DUMMYFUNCTION("""COMPUTED_VALUE"""),1.13)</f>
        <v>1.13</v>
      </c>
      <c r="J558" s="18">
        <f>IFERROR(__xludf.DUMMYFUNCTION("""COMPUTED_VALUE"""),2.25)</f>
        <v>2.25</v>
      </c>
      <c r="K558" s="18">
        <f>IFERROR(__xludf.DUMMYFUNCTION("""COMPUTED_VALUE"""),2.81)</f>
        <v>2.81</v>
      </c>
      <c r="L558" s="18">
        <f>IFERROR(__xludf.DUMMYFUNCTION("""COMPUTED_VALUE"""),4.5)</f>
        <v>4.5</v>
      </c>
    </row>
    <row r="559">
      <c r="A559" s="13" t="str">
        <f>IFERROR(__xludf.DUMMYFUNCTION("""COMPUTED_VALUE"""),"товари")</f>
        <v>товари</v>
      </c>
      <c r="B559" s="13" t="str">
        <f>IFERROR(__xludf.DUMMYFUNCTION("""COMPUTED_VALUE"""),"промислове обладнання та верстати")</f>
        <v>промислове обладнання та верстати</v>
      </c>
      <c r="C559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59" s="15" t="str">
        <f>IFERROR(__xludf.DUMMYFUNCTION("""COMPUTED_VALUE"""),"комплектуючі для вакуумного обладнання")</f>
        <v>комплектуючі для вакуумного обладнання</v>
      </c>
      <c r="E559" s="15" t="str">
        <f>IFERROR(__xludf.DUMMYFUNCTION("""COMPUTED_VALUE"""),"комплектуючі для вакуумного обладнання")</f>
        <v>комплектуючі для вакуумного обладнання</v>
      </c>
      <c r="F559" s="17">
        <f>IFERROR(__xludf.DUMMYFUNCTION("""COMPUTED_VALUE"""),3.0)</f>
        <v>3</v>
      </c>
      <c r="G559" s="17">
        <f>IFERROR(__xludf.DUMMYFUNCTION("""COMPUTED_VALUE"""),1438.0)</f>
        <v>1438</v>
      </c>
      <c r="H559" s="17" t="str">
        <f>IFERROR(__xludf.DUMMYFUNCTION("""COMPUTED_VALUE"""),"комплектуючі для вакуумного обладнання")</f>
        <v>комплектуючі для вакуумного обладнання</v>
      </c>
      <c r="I559" s="18">
        <f>IFERROR(__xludf.DUMMYFUNCTION("""COMPUTED_VALUE"""),0.76)</f>
        <v>0.76</v>
      </c>
      <c r="J559" s="18">
        <f>IFERROR(__xludf.DUMMYFUNCTION("""COMPUTED_VALUE"""),1.53)</f>
        <v>1.53</v>
      </c>
      <c r="K559" s="18">
        <f>IFERROR(__xludf.DUMMYFUNCTION("""COMPUTED_VALUE"""),1.91)</f>
        <v>1.91</v>
      </c>
      <c r="L559" s="18">
        <f>IFERROR(__xludf.DUMMYFUNCTION("""COMPUTED_VALUE"""),3.05)</f>
        <v>3.05</v>
      </c>
    </row>
    <row r="560">
      <c r="A560" s="13" t="str">
        <f>IFERROR(__xludf.DUMMYFUNCTION("""COMPUTED_VALUE"""),"товари")</f>
        <v>товари</v>
      </c>
      <c r="B560" s="13" t="str">
        <f>IFERROR(__xludf.DUMMYFUNCTION("""COMPUTED_VALUE"""),"промислове обладнання та верстати")</f>
        <v>промислове обладнання та верстати</v>
      </c>
      <c r="C560" s="15" t="str">
        <f>IFERROR(__xludf.DUMMYFUNCTION("""COMPUTED_VALUE"""),"складське обладнання")</f>
        <v>складське обладнання</v>
      </c>
      <c r="D560" s="15" t="str">
        <f>IFERROR(__xludf.DUMMYFUNCTION("""COMPUTED_VALUE"""),"комплектуючі для візків")</f>
        <v>комплектуючі для візків</v>
      </c>
      <c r="E560" s="15" t="str">
        <f>IFERROR(__xludf.DUMMYFUNCTION("""COMPUTED_VALUE"""),"комплектуючі для візків")</f>
        <v>комплектуючі для візків</v>
      </c>
      <c r="F560" s="17">
        <f>IFERROR(__xludf.DUMMYFUNCTION("""COMPUTED_VALUE"""),3.0)</f>
        <v>3</v>
      </c>
      <c r="G560" s="17">
        <f>IFERROR(__xludf.DUMMYFUNCTION("""COMPUTED_VALUE"""),240659.0)</f>
        <v>240659</v>
      </c>
      <c r="H560" s="17" t="str">
        <f>IFERROR(__xludf.DUMMYFUNCTION("""COMPUTED_VALUE"""),"комплектуючі для візків")</f>
        <v>комплектуючі для візків</v>
      </c>
      <c r="I560" s="18">
        <f>IFERROR(__xludf.DUMMYFUNCTION("""COMPUTED_VALUE"""),2.11)</f>
        <v>2.11</v>
      </c>
      <c r="J560" s="18">
        <f>IFERROR(__xludf.DUMMYFUNCTION("""COMPUTED_VALUE"""),4.23)</f>
        <v>4.23</v>
      </c>
      <c r="K560" s="18">
        <f>IFERROR(__xludf.DUMMYFUNCTION("""COMPUTED_VALUE"""),5.28)</f>
        <v>5.28</v>
      </c>
      <c r="L560" s="18">
        <f>IFERROR(__xludf.DUMMYFUNCTION("""COMPUTED_VALUE"""),8.45)</f>
        <v>8.45</v>
      </c>
    </row>
    <row r="561">
      <c r="A561" s="13" t="str">
        <f>IFERROR(__xludf.DUMMYFUNCTION("""COMPUTED_VALUE"""),"товари")</f>
        <v>товари</v>
      </c>
      <c r="B561" s="13" t="str">
        <f>IFERROR(__xludf.DUMMYFUNCTION("""COMPUTED_VALUE"""),"промислове обладнання та верстати")</f>
        <v>промислове обладнання та верстати</v>
      </c>
      <c r="C561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1" s="15" t="str">
        <f>IFERROR(__xludf.DUMMYFUNCTION("""COMPUTED_VALUE"""),"комплектуючі для кабельного обладнання")</f>
        <v>комплектуючі для кабельного обладнання</v>
      </c>
      <c r="E561" s="15" t="str">
        <f>IFERROR(__xludf.DUMMYFUNCTION("""COMPUTED_VALUE"""),"комплектуючі для кабельного обладнання")</f>
        <v>комплектуючі для кабельного обладнання</v>
      </c>
      <c r="F561" s="17">
        <f>IFERROR(__xludf.DUMMYFUNCTION("""COMPUTED_VALUE"""),3.0)</f>
        <v>3</v>
      </c>
      <c r="G561" s="17">
        <f>IFERROR(__xludf.DUMMYFUNCTION("""COMPUTED_VALUE"""),140115.0)</f>
        <v>140115</v>
      </c>
      <c r="H561" s="17" t="str">
        <f>IFERROR(__xludf.DUMMYFUNCTION("""COMPUTED_VALUE"""),"комплектуючі для кабельного обладнання")</f>
        <v>комплектуючі для кабельного обладнання</v>
      </c>
      <c r="I561" s="18">
        <f>IFERROR(__xludf.DUMMYFUNCTION("""COMPUTED_VALUE"""),0.99)</f>
        <v>0.99</v>
      </c>
      <c r="J561" s="18">
        <f>IFERROR(__xludf.DUMMYFUNCTION("""COMPUTED_VALUE"""),1.98)</f>
        <v>1.98</v>
      </c>
      <c r="K561" s="18">
        <f>IFERROR(__xludf.DUMMYFUNCTION("""COMPUTED_VALUE"""),2.47)</f>
        <v>2.47</v>
      </c>
      <c r="L561" s="18">
        <f>IFERROR(__xludf.DUMMYFUNCTION("""COMPUTED_VALUE"""),3.95)</f>
        <v>3.95</v>
      </c>
    </row>
    <row r="562">
      <c r="A562" s="13" t="str">
        <f>IFERROR(__xludf.DUMMYFUNCTION("""COMPUTED_VALUE"""),"товари")</f>
        <v>товари</v>
      </c>
      <c r="B562" s="13" t="str">
        <f>IFERROR(__xludf.DUMMYFUNCTION("""COMPUTED_VALUE"""),"промислове обладнання та верстати")</f>
        <v>промислове обладнання та верстати</v>
      </c>
      <c r="C562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2" s="15" t="str">
        <f>IFERROR(__xludf.DUMMYFUNCTION("""COMPUTED_VALUE"""),"комплектуючі для лазерного обладнання")</f>
        <v>комплектуючі для лазерного обладнання</v>
      </c>
      <c r="E562" s="15" t="str">
        <f>IFERROR(__xludf.DUMMYFUNCTION("""COMPUTED_VALUE"""),"комплектуючі для лазерного обладнання")</f>
        <v>комплектуючі для лазерного обладнання</v>
      </c>
      <c r="F562" s="17">
        <f>IFERROR(__xludf.DUMMYFUNCTION("""COMPUTED_VALUE"""),3.0)</f>
        <v>3</v>
      </c>
      <c r="G562" s="17">
        <f>IFERROR(__xludf.DUMMYFUNCTION("""COMPUTED_VALUE"""),140134.0)</f>
        <v>140134</v>
      </c>
      <c r="H562" s="17" t="str">
        <f>IFERROR(__xludf.DUMMYFUNCTION("""COMPUTED_VALUE"""),"комплектуючі для лазерного обладнання")</f>
        <v>комплектуючі для лазерного обладнання</v>
      </c>
      <c r="I562" s="18">
        <f>IFERROR(__xludf.DUMMYFUNCTION("""COMPUTED_VALUE"""),1.35)</f>
        <v>1.35</v>
      </c>
      <c r="J562" s="18">
        <f>IFERROR(__xludf.DUMMYFUNCTION("""COMPUTED_VALUE"""),2.7)</f>
        <v>2.7</v>
      </c>
      <c r="K562" s="18">
        <f>IFERROR(__xludf.DUMMYFUNCTION("""COMPUTED_VALUE"""),3.38)</f>
        <v>3.38</v>
      </c>
      <c r="L562" s="18">
        <f>IFERROR(__xludf.DUMMYFUNCTION("""COMPUTED_VALUE"""),5.4)</f>
        <v>5.4</v>
      </c>
    </row>
    <row r="563">
      <c r="A563" s="13" t="str">
        <f>IFERROR(__xludf.DUMMYFUNCTION("""COMPUTED_VALUE"""),"товари")</f>
        <v>товари</v>
      </c>
      <c r="B563" s="13" t="str">
        <f>IFERROR(__xludf.DUMMYFUNCTION("""COMPUTED_VALUE"""),"промислове обладнання та верстати")</f>
        <v>промислове обладнання та верстати</v>
      </c>
      <c r="C563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3" s="15" t="str">
        <f>IFERROR(__xludf.DUMMYFUNCTION("""COMPUTED_VALUE"""),"комплектуючі для металургійного обладнання")</f>
        <v>комплектуючі для металургійного обладнання</v>
      </c>
      <c r="E563" s="15" t="str">
        <f>IFERROR(__xludf.DUMMYFUNCTION("""COMPUTED_VALUE"""),"комплектуючі для металургійного обладнання")</f>
        <v>комплектуючі для металургійного обладнання</v>
      </c>
      <c r="F563" s="17">
        <f>IFERROR(__xludf.DUMMYFUNCTION("""COMPUTED_VALUE"""),3.0)</f>
        <v>3</v>
      </c>
      <c r="G563" s="17">
        <f>IFERROR(__xludf.DUMMYFUNCTION("""COMPUTED_VALUE"""),432419.0)</f>
        <v>432419</v>
      </c>
      <c r="H563" s="17" t="str">
        <f>IFERROR(__xludf.DUMMYFUNCTION("""COMPUTED_VALUE"""),"комплектуючі для металургійного обладнання")</f>
        <v>комплектуючі для металургійного обладнання</v>
      </c>
      <c r="I563" s="18">
        <f>IFERROR(__xludf.DUMMYFUNCTION("""COMPUTED_VALUE"""),1.26)</f>
        <v>1.26</v>
      </c>
      <c r="J563" s="18">
        <f>IFERROR(__xludf.DUMMYFUNCTION("""COMPUTED_VALUE"""),2.53)</f>
        <v>2.53</v>
      </c>
      <c r="K563" s="18">
        <f>IFERROR(__xludf.DUMMYFUNCTION("""COMPUTED_VALUE"""),3.16)</f>
        <v>3.16</v>
      </c>
      <c r="L563" s="18">
        <f>IFERROR(__xludf.DUMMYFUNCTION("""COMPUTED_VALUE"""),5.05)</f>
        <v>5.05</v>
      </c>
    </row>
    <row r="564">
      <c r="A564" s="13" t="str">
        <f>IFERROR(__xludf.DUMMYFUNCTION("""COMPUTED_VALUE"""),"товари")</f>
        <v>товари</v>
      </c>
      <c r="B564" s="13" t="str">
        <f>IFERROR(__xludf.DUMMYFUNCTION("""COMPUTED_VALUE"""),"промислове обладнання та верстати")</f>
        <v>промислове обладнання та верстати</v>
      </c>
      <c r="C564" s="15" t="str">
        <f>IFERROR(__xludf.DUMMYFUNCTION("""COMPUTED_VALUE"""),"обладнання для автозаправних станцій, нафтобаз")</f>
        <v>обладнання для автозаправних станцій, нафтобаз</v>
      </c>
      <c r="D564" s="15" t="str">
        <f>IFERROR(__xludf.DUMMYFUNCTION("""COMPUTED_VALUE"""),"комплектуючі для паливороздавального обладнання")</f>
        <v>комплектуючі для паливороздавального обладнання</v>
      </c>
      <c r="E564" s="15" t="str">
        <f>IFERROR(__xludf.DUMMYFUNCTION("""COMPUTED_VALUE"""),"комплектуючі для паливороздавального обладнання")</f>
        <v>комплектуючі для паливороздавального обладнання</v>
      </c>
      <c r="F564" s="17">
        <f>IFERROR(__xludf.DUMMYFUNCTION("""COMPUTED_VALUE"""),3.0)</f>
        <v>3</v>
      </c>
      <c r="G564" s="17">
        <f>IFERROR(__xludf.DUMMYFUNCTION("""COMPUTED_VALUE"""),141201.0)</f>
        <v>141201</v>
      </c>
      <c r="H564" s="17" t="str">
        <f>IFERROR(__xludf.DUMMYFUNCTION("""COMPUTED_VALUE"""),"комплектуючі для паливороздавального обладнання")</f>
        <v>комплектуючі для паливороздавального обладнання</v>
      </c>
      <c r="I564" s="18">
        <f>IFERROR(__xludf.DUMMYFUNCTION("""COMPUTED_VALUE"""),2.7)</f>
        <v>2.7</v>
      </c>
      <c r="J564" s="18">
        <f>IFERROR(__xludf.DUMMYFUNCTION("""COMPUTED_VALUE"""),5.4)</f>
        <v>5.4</v>
      </c>
      <c r="K564" s="18">
        <f>IFERROR(__xludf.DUMMYFUNCTION("""COMPUTED_VALUE"""),6.75)</f>
        <v>6.75</v>
      </c>
      <c r="L564" s="18">
        <f>IFERROR(__xludf.DUMMYFUNCTION("""COMPUTED_VALUE"""),10.8)</f>
        <v>10.8</v>
      </c>
    </row>
    <row r="565">
      <c r="A565" s="13" t="str">
        <f>IFERROR(__xludf.DUMMYFUNCTION("""COMPUTED_VALUE"""),"товари")</f>
        <v>товари</v>
      </c>
      <c r="B565" s="13" t="str">
        <f>IFERROR(__xludf.DUMMYFUNCTION("""COMPUTED_VALUE"""),"промислове обладнання та верстати")</f>
        <v>промислове обладнання та верстати</v>
      </c>
      <c r="C565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5" s="15" t="str">
        <f>IFERROR(__xludf.DUMMYFUNCTION("""COMPUTED_VALUE"""),"комплектуючі до обладнання для нанесення покриттів")</f>
        <v>комплектуючі до обладнання для нанесення покриттів</v>
      </c>
      <c r="E565" s="15" t="str">
        <f>IFERROR(__xludf.DUMMYFUNCTION("""COMPUTED_VALUE"""),"комплектуючі до обладнання для нанесення покриттів")</f>
        <v>комплектуючі до обладнання для нанесення покриттів</v>
      </c>
      <c r="F565" s="17">
        <f>IFERROR(__xludf.DUMMYFUNCTION("""COMPUTED_VALUE"""),3.0)</f>
        <v>3</v>
      </c>
      <c r="G565" s="17">
        <f>IFERROR(__xludf.DUMMYFUNCTION("""COMPUTED_VALUE"""),140112.0)</f>
        <v>140112</v>
      </c>
      <c r="H565" s="17" t="str">
        <f>IFERROR(__xludf.DUMMYFUNCTION("""COMPUTED_VALUE"""),"комплектуючі до обладнання для нанесення покриттів")</f>
        <v>комплектуючі до обладнання для нанесення покриттів</v>
      </c>
      <c r="I565" s="18">
        <f>IFERROR(__xludf.DUMMYFUNCTION("""COMPUTED_VALUE"""),0.53)</f>
        <v>0.53</v>
      </c>
      <c r="J565" s="18">
        <f>IFERROR(__xludf.DUMMYFUNCTION("""COMPUTED_VALUE"""),1.05)</f>
        <v>1.05</v>
      </c>
      <c r="K565" s="18">
        <f>IFERROR(__xludf.DUMMYFUNCTION("""COMPUTED_VALUE"""),1.31)</f>
        <v>1.31</v>
      </c>
      <c r="L565" s="18">
        <f>IFERROR(__xludf.DUMMYFUNCTION("""COMPUTED_VALUE"""),2.1)</f>
        <v>2.1</v>
      </c>
    </row>
    <row r="566">
      <c r="A566" s="13" t="str">
        <f>IFERROR(__xludf.DUMMYFUNCTION("""COMPUTED_VALUE"""),"товари")</f>
        <v>товари</v>
      </c>
      <c r="B566" s="13" t="str">
        <f>IFERROR(__xludf.DUMMYFUNCTION("""COMPUTED_VALUE"""),"промислове обладнання та верстати")</f>
        <v>промислове обладнання та верстати</v>
      </c>
      <c r="C566" s="15" t="str">
        <f>IFERROR(__xludf.DUMMYFUNCTION("""COMPUTED_VALUE"""),"технологічне обладнання")</f>
        <v>технологічне обладнання</v>
      </c>
      <c r="D566" s="15" t="str">
        <f>IFERROR(__xludf.DUMMYFUNCTION("""COMPUTED_VALUE"""),"піскоструминне обладнання")</f>
        <v>піскоструминне обладнання</v>
      </c>
      <c r="E566" s="15" t="str">
        <f>IFERROR(__xludf.DUMMYFUNCTION("""COMPUTED_VALUE"""),"комплектуючі до піскоструминного обладнання")</f>
        <v>комплектуючі до піскоструминного обладнання</v>
      </c>
      <c r="F566" s="17">
        <f>IFERROR(__xludf.DUMMYFUNCTION("""COMPUTED_VALUE"""),4.0)</f>
        <v>4</v>
      </c>
      <c r="G566" s="17">
        <f>IFERROR(__xludf.DUMMYFUNCTION("""COMPUTED_VALUE"""),1.4171603E7)</f>
        <v>14171603</v>
      </c>
      <c r="H566" s="17" t="str">
        <f>IFERROR(__xludf.DUMMYFUNCTION("""COMPUTED_VALUE"""),"комплектуючі до піскоструминного обладнання")</f>
        <v>комплектуючі до піскоструминного обладнання</v>
      </c>
      <c r="I566" s="18">
        <f>IFERROR(__xludf.DUMMYFUNCTION("""COMPUTED_VALUE"""),1.44)</f>
        <v>1.44</v>
      </c>
      <c r="J566" s="18">
        <f>IFERROR(__xludf.DUMMYFUNCTION("""COMPUTED_VALUE"""),2.88)</f>
        <v>2.88</v>
      </c>
      <c r="K566" s="18">
        <f>IFERROR(__xludf.DUMMYFUNCTION("""COMPUTED_VALUE"""),3.59)</f>
        <v>3.59</v>
      </c>
      <c r="L566" s="18">
        <f>IFERROR(__xludf.DUMMYFUNCTION("""COMPUTED_VALUE"""),5.75)</f>
        <v>5.75</v>
      </c>
    </row>
    <row r="567">
      <c r="A567" s="13" t="str">
        <f>IFERROR(__xludf.DUMMYFUNCTION("""COMPUTED_VALUE"""),"товари")</f>
        <v>товари</v>
      </c>
      <c r="B567" s="13" t="str">
        <f>IFERROR(__xludf.DUMMYFUNCTION("""COMPUTED_VALUE"""),"промислове обладнання та верстати")</f>
        <v>промислове обладнання та верстати</v>
      </c>
      <c r="C567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7" s="15" t="str">
        <f>IFERROR(__xludf.DUMMYFUNCTION("""COMPUTED_VALUE"""),"комплектуючі обладнання для виробництва будівельних матеріалів")</f>
        <v>комплектуючі обладнання для виробництва будівельних матеріалів</v>
      </c>
      <c r="E567" s="15" t="str">
        <f>IFERROR(__xludf.DUMMYFUNCTION("""COMPUTED_VALUE"""),"комплектуючі обладнання для виробництва будівельних матеріалів")</f>
        <v>комплектуючі обладнання для виробництва будівельних матеріалів</v>
      </c>
      <c r="F567" s="17">
        <f>IFERROR(__xludf.DUMMYFUNCTION("""COMPUTED_VALUE"""),3.0)</f>
        <v>3</v>
      </c>
      <c r="G567" s="17">
        <f>IFERROR(__xludf.DUMMYFUNCTION("""COMPUTED_VALUE"""),432415.0)</f>
        <v>432415</v>
      </c>
      <c r="H567" s="17" t="str">
        <f>IFERROR(__xludf.DUMMYFUNCTION("""COMPUTED_VALUE"""),"комплектуючі обладнання для виробництва будівельних матеріалів")</f>
        <v>комплектуючі обладнання для виробництва будівельних матеріалів</v>
      </c>
      <c r="I567" s="18">
        <f>IFERROR(__xludf.DUMMYFUNCTION("""COMPUTED_VALUE"""),1.31)</f>
        <v>1.31</v>
      </c>
      <c r="J567" s="18">
        <f>IFERROR(__xludf.DUMMYFUNCTION("""COMPUTED_VALUE"""),2.61)</f>
        <v>2.61</v>
      </c>
      <c r="K567" s="18">
        <f>IFERROR(__xludf.DUMMYFUNCTION("""COMPUTED_VALUE"""),3.27)</f>
        <v>3.27</v>
      </c>
      <c r="L567" s="18">
        <f>IFERROR(__xludf.DUMMYFUNCTION("""COMPUTED_VALUE"""),5.23)</f>
        <v>5.23</v>
      </c>
    </row>
    <row r="568">
      <c r="A568" s="13" t="str">
        <f>IFERROR(__xludf.DUMMYFUNCTION("""COMPUTED_VALUE"""),"товари")</f>
        <v>товари</v>
      </c>
      <c r="B568" s="13" t="str">
        <f>IFERROR(__xludf.DUMMYFUNCTION("""COMPUTED_VALUE"""),"промислове обладнання та верстати")</f>
        <v>промислове обладнання та верстати</v>
      </c>
      <c r="C56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8" s="15" t="str">
        <f>IFERROR(__xludf.DUMMYFUNCTION("""COMPUTED_VALUE"""),"комплектуючі обладнання для виробництва напоїв")</f>
        <v>комплектуючі обладнання для виробництва напоїв</v>
      </c>
      <c r="E568" s="15" t="str">
        <f>IFERROR(__xludf.DUMMYFUNCTION("""COMPUTED_VALUE"""),"комплектуючі обладнання для виробництва напоїв")</f>
        <v>комплектуючі обладнання для виробництва напоїв</v>
      </c>
      <c r="F568" s="17">
        <f>IFERROR(__xludf.DUMMYFUNCTION("""COMPUTED_VALUE"""),3.0)</f>
        <v>3</v>
      </c>
      <c r="G568" s="17">
        <f>IFERROR(__xludf.DUMMYFUNCTION("""COMPUTED_VALUE"""),432416.0)</f>
        <v>432416</v>
      </c>
      <c r="H568" s="17" t="str">
        <f>IFERROR(__xludf.DUMMYFUNCTION("""COMPUTED_VALUE"""),"комплектуючі обладнання для виробництва напоїв")</f>
        <v>комплектуючі обладнання для виробництва напоїв</v>
      </c>
      <c r="I568" s="18">
        <f>IFERROR(__xludf.DUMMYFUNCTION("""COMPUTED_VALUE"""),0.99)</f>
        <v>0.99</v>
      </c>
      <c r="J568" s="18">
        <f>IFERROR(__xludf.DUMMYFUNCTION("""COMPUTED_VALUE"""),1.98)</f>
        <v>1.98</v>
      </c>
      <c r="K568" s="18">
        <f>IFERROR(__xludf.DUMMYFUNCTION("""COMPUTED_VALUE"""),2.47)</f>
        <v>2.47</v>
      </c>
      <c r="L568" s="18">
        <f>IFERROR(__xludf.DUMMYFUNCTION("""COMPUTED_VALUE"""),3.95)</f>
        <v>3.95</v>
      </c>
    </row>
    <row r="569">
      <c r="A569" s="13" t="str">
        <f>IFERROR(__xludf.DUMMYFUNCTION("""COMPUTED_VALUE"""),"товари")</f>
        <v>товари</v>
      </c>
      <c r="B569" s="13" t="str">
        <f>IFERROR(__xludf.DUMMYFUNCTION("""COMPUTED_VALUE"""),"промислове обладнання та верстати")</f>
        <v>промислове обладнання та верстати</v>
      </c>
      <c r="C569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9" s="15" t="str">
        <f>IFERROR(__xludf.DUMMYFUNCTION("""COMPUTED_VALUE"""),"комплектуючі обладнання для обробки пластику")</f>
        <v>комплектуючі обладнання для обробки пластику</v>
      </c>
      <c r="E569" s="15" t="str">
        <f>IFERROR(__xludf.DUMMYFUNCTION("""COMPUTED_VALUE"""),"комплектуючі обладнання для обробки пластику")</f>
        <v>комплектуючі обладнання для обробки пластику</v>
      </c>
      <c r="F569" s="17">
        <f>IFERROR(__xludf.DUMMYFUNCTION("""COMPUTED_VALUE"""),3.0)</f>
        <v>3</v>
      </c>
      <c r="G569" s="17">
        <f>IFERROR(__xludf.DUMMYFUNCTION("""COMPUTED_VALUE"""),432430.0)</f>
        <v>432430</v>
      </c>
      <c r="H569" s="17" t="str">
        <f>IFERROR(__xludf.DUMMYFUNCTION("""COMPUTED_VALUE"""),"комплектуючі обладнання для обробки пластику")</f>
        <v>комплектуючі обладнання для обробки пластику</v>
      </c>
      <c r="I569" s="18">
        <f>IFERROR(__xludf.DUMMYFUNCTION("""COMPUTED_VALUE"""),1.17)</f>
        <v>1.17</v>
      </c>
      <c r="J569" s="18">
        <f>IFERROR(__xludf.DUMMYFUNCTION("""COMPUTED_VALUE"""),2.34)</f>
        <v>2.34</v>
      </c>
      <c r="K569" s="18">
        <f>IFERROR(__xludf.DUMMYFUNCTION("""COMPUTED_VALUE"""),2.92)</f>
        <v>2.92</v>
      </c>
      <c r="L569" s="18">
        <f>IFERROR(__xludf.DUMMYFUNCTION("""COMPUTED_VALUE"""),4.68)</f>
        <v>4.68</v>
      </c>
    </row>
    <row r="570">
      <c r="A570" s="13" t="str">
        <f>IFERROR(__xludf.DUMMYFUNCTION("""COMPUTED_VALUE"""),"товари")</f>
        <v>товари</v>
      </c>
      <c r="B570" s="13" t="str">
        <f>IFERROR(__xludf.DUMMYFUNCTION("""COMPUTED_VALUE"""),"промислове обладнання та верстати")</f>
        <v>промислове обладнання та верстати</v>
      </c>
      <c r="C570" s="15" t="str">
        <f>IFERROR(__xludf.DUMMYFUNCTION("""COMPUTED_VALUE"""),"маркувальне обладнання")</f>
        <v>маркувальне обладнання</v>
      </c>
      <c r="D570" s="15" t="str">
        <f>IFERROR(__xludf.DUMMYFUNCTION("""COMPUTED_VALUE"""),"комплектуючі та аксесуари до маркувального обладнання")</f>
        <v>комплектуючі та аксесуари до маркувального обладнання</v>
      </c>
      <c r="E570" s="15" t="str">
        <f>IFERROR(__xludf.DUMMYFUNCTION("""COMPUTED_VALUE"""),"комплектуючі та аксесуари до маркувального обладнання")</f>
        <v>комплектуючі та аксесуари до маркувального обладнання</v>
      </c>
      <c r="F570" s="17">
        <f>IFERROR(__xludf.DUMMYFUNCTION("""COMPUTED_VALUE"""),3.0)</f>
        <v>3</v>
      </c>
      <c r="G570" s="17">
        <f>IFERROR(__xludf.DUMMYFUNCTION("""COMPUTED_VALUE"""),143205.0)</f>
        <v>143205</v>
      </c>
      <c r="H570" s="17" t="str">
        <f>IFERROR(__xludf.DUMMYFUNCTION("""COMPUTED_VALUE"""),"комплектуючі та аксесуари до маркувального обладнання")</f>
        <v>комплектуючі та аксесуари до маркувального обладнання</v>
      </c>
      <c r="I570" s="18">
        <f>IFERROR(__xludf.DUMMYFUNCTION("""COMPUTED_VALUE"""),0.9)</f>
        <v>0.9</v>
      </c>
      <c r="J570" s="18">
        <f>IFERROR(__xludf.DUMMYFUNCTION("""COMPUTED_VALUE"""),1.8)</f>
        <v>1.8</v>
      </c>
      <c r="K570" s="18">
        <f>IFERROR(__xludf.DUMMYFUNCTION("""COMPUTED_VALUE"""),2.25)</f>
        <v>2.25</v>
      </c>
      <c r="L570" s="18">
        <f>IFERROR(__xludf.DUMMYFUNCTION("""COMPUTED_VALUE"""),3.6)</f>
        <v>3.6</v>
      </c>
    </row>
    <row r="571">
      <c r="A571" s="13" t="str">
        <f>IFERROR(__xludf.DUMMYFUNCTION("""COMPUTED_VALUE"""),"товари")</f>
        <v>товари</v>
      </c>
      <c r="B571" s="13" t="str">
        <f>IFERROR(__xludf.DUMMYFUNCTION("""COMPUTED_VALUE"""),"промислове обладнання та верстати")</f>
        <v>промислове обладнання та верстати</v>
      </c>
      <c r="C571" s="15" t="str">
        <f>IFERROR(__xludf.DUMMYFUNCTION("""COMPUTED_VALUE"""),"компресори")</f>
        <v>компресори</v>
      </c>
      <c r="D571" s="15" t="str">
        <f>IFERROR(__xludf.DUMMYFUNCTION("""COMPUTED_VALUE"""),"компресори, загальне")</f>
        <v>компресори, загальне</v>
      </c>
      <c r="E571" s="15" t="str">
        <f>IFERROR(__xludf.DUMMYFUNCTION("""COMPUTED_VALUE"""),"компресори, загальне")</f>
        <v>компресори, загальне</v>
      </c>
      <c r="F571" s="17">
        <f>IFERROR(__xludf.DUMMYFUNCTION("""COMPUTED_VALUE"""),3.0)</f>
        <v>3</v>
      </c>
      <c r="G571" s="17">
        <f>IFERROR(__xludf.DUMMYFUNCTION("""COMPUTED_VALUE"""),141005.0)</f>
        <v>141005</v>
      </c>
      <c r="H571" s="17" t="str">
        <f>IFERROR(__xludf.DUMMYFUNCTION("""COMPUTED_VALUE"""),"компресори, загальне")</f>
        <v>компресори, загальне</v>
      </c>
      <c r="I571" s="18">
        <f>IFERROR(__xludf.DUMMYFUNCTION("""COMPUTED_VALUE"""),2.16)</f>
        <v>2.16</v>
      </c>
      <c r="J571" s="18">
        <f>IFERROR(__xludf.DUMMYFUNCTION("""COMPUTED_VALUE"""),4.33)</f>
        <v>4.33</v>
      </c>
      <c r="K571" s="18">
        <f>IFERROR(__xludf.DUMMYFUNCTION("""COMPUTED_VALUE"""),5.41)</f>
        <v>5.41</v>
      </c>
      <c r="L571" s="18">
        <f>IFERROR(__xludf.DUMMYFUNCTION("""COMPUTED_VALUE"""),8.65)</f>
        <v>8.65</v>
      </c>
    </row>
    <row r="572">
      <c r="A572" s="13" t="str">
        <f>IFERROR(__xludf.DUMMYFUNCTION("""COMPUTED_VALUE"""),"товари")</f>
        <v>товари</v>
      </c>
      <c r="B572" s="13" t="str">
        <f>IFERROR(__xludf.DUMMYFUNCTION("""COMPUTED_VALUE"""),"промислове обладнання та верстати")</f>
        <v>промислове обладнання та верстати</v>
      </c>
      <c r="C572" s="15" t="str">
        <f>IFERROR(__xludf.DUMMYFUNCTION("""COMPUTED_VALUE"""),"технологічне обладнання")</f>
        <v>технологічне обладнання</v>
      </c>
      <c r="D572" s="15" t="str">
        <f>IFERROR(__xludf.DUMMYFUNCTION("""COMPUTED_VALUE"""),"конвеєри, транспортери")</f>
        <v>конвеєри, транспортери</v>
      </c>
      <c r="E572" s="15" t="str">
        <f>IFERROR(__xludf.DUMMYFUNCTION("""COMPUTED_VALUE"""),"конвеєри, транспортери")</f>
        <v>конвеєри, транспортери</v>
      </c>
      <c r="F572" s="17">
        <f>IFERROR(__xludf.DUMMYFUNCTION("""COMPUTED_VALUE"""),3.0)</f>
        <v>3</v>
      </c>
      <c r="G572" s="17">
        <f>IFERROR(__xludf.DUMMYFUNCTION("""COMPUTED_VALUE"""),1457.0)</f>
        <v>1457</v>
      </c>
      <c r="H572" s="17" t="str">
        <f>IFERROR(__xludf.DUMMYFUNCTION("""COMPUTED_VALUE"""),"конвеєри, транспортери")</f>
        <v>конвеєри, транспортери</v>
      </c>
      <c r="I572" s="18">
        <f>IFERROR(__xludf.DUMMYFUNCTION("""COMPUTED_VALUE"""),2.7)</f>
        <v>2.7</v>
      </c>
      <c r="J572" s="18">
        <f>IFERROR(__xludf.DUMMYFUNCTION("""COMPUTED_VALUE"""),5.4)</f>
        <v>5.4</v>
      </c>
      <c r="K572" s="18">
        <f>IFERROR(__xludf.DUMMYFUNCTION("""COMPUTED_VALUE"""),6.75)</f>
        <v>6.75</v>
      </c>
      <c r="L572" s="18">
        <f>IFERROR(__xludf.DUMMYFUNCTION("""COMPUTED_VALUE"""),10.8)</f>
        <v>10.8</v>
      </c>
    </row>
    <row r="573">
      <c r="A573" s="13" t="str">
        <f>IFERROR(__xludf.DUMMYFUNCTION("""COMPUTED_VALUE"""),"товари")</f>
        <v>товари</v>
      </c>
      <c r="B573" s="13" t="str">
        <f>IFERROR(__xludf.DUMMYFUNCTION("""COMPUTED_VALUE"""),"промислове обладнання та верстати")</f>
        <v>промислове обладнання та верстати</v>
      </c>
      <c r="C573" s="15" t="str">
        <f>IFERROR(__xludf.DUMMYFUNCTION("""COMPUTED_VALUE"""),"промислове кліматичне обладнання")</f>
        <v>промислове кліматичне обладнання</v>
      </c>
      <c r="D573" s="15" t="str">
        <f>IFERROR(__xludf.DUMMYFUNCTION("""COMPUTED_VALUE"""),"теплові гармати та нагрівачі")</f>
        <v>теплові гармати та нагрівачі</v>
      </c>
      <c r="E573" s="15" t="str">
        <f>IFERROR(__xludf.DUMMYFUNCTION("""COMPUTED_VALUE"""),"корпусні рідкопаливні нагрівачі")</f>
        <v>корпусні рідкопаливні нагрівачі</v>
      </c>
      <c r="F573" s="17">
        <f>IFERROR(__xludf.DUMMYFUNCTION("""COMPUTED_VALUE"""),4.0)</f>
        <v>4</v>
      </c>
      <c r="G573" s="17">
        <f>IFERROR(__xludf.DUMMYFUNCTION("""COMPUTED_VALUE"""),1.4150503E7)</f>
        <v>14150503</v>
      </c>
      <c r="H573" s="17" t="str">
        <f>IFERROR(__xludf.DUMMYFUNCTION("""COMPUTED_VALUE"""),"корпусні рідкопаливні нагрівачі")</f>
        <v>корпусні рідкопаливні нагрівачі</v>
      </c>
      <c r="I573" s="18">
        <f>IFERROR(__xludf.DUMMYFUNCTION("""COMPUTED_VALUE"""),0.86)</f>
        <v>0.86</v>
      </c>
      <c r="J573" s="18">
        <f>IFERROR(__xludf.DUMMYFUNCTION("""COMPUTED_VALUE"""),1.71)</f>
        <v>1.71</v>
      </c>
      <c r="K573" s="18">
        <f>IFERROR(__xludf.DUMMYFUNCTION("""COMPUTED_VALUE"""),2.14)</f>
        <v>2.14</v>
      </c>
      <c r="L573" s="18">
        <f>IFERROR(__xludf.DUMMYFUNCTION("""COMPUTED_VALUE"""),3.43)</f>
        <v>3.43</v>
      </c>
    </row>
    <row r="574">
      <c r="A574" s="13" t="str">
        <f>IFERROR(__xludf.DUMMYFUNCTION("""COMPUTED_VALUE"""),"товари")</f>
        <v>товари</v>
      </c>
      <c r="B574" s="13" t="str">
        <f>IFERROR(__xludf.DUMMYFUNCTION("""COMPUTED_VALUE"""),"промислове обладнання та верстати")</f>
        <v>промислове обладнання та верстати</v>
      </c>
      <c r="C574" s="15" t="str">
        <f>IFERROR(__xludf.DUMMYFUNCTION("""COMPUTED_VALUE"""),"кранове обладнання")</f>
        <v>кранове обладнання</v>
      </c>
      <c r="D574" s="15" t="str">
        <f>IFERROR(__xludf.DUMMYFUNCTION("""COMPUTED_VALUE"""),"кранове обладнання, загальне")</f>
        <v>кранове обладнання, загальне</v>
      </c>
      <c r="E574" s="15" t="str">
        <f>IFERROR(__xludf.DUMMYFUNCTION("""COMPUTED_VALUE"""),"кранове обладнання, загальне")</f>
        <v>кранове обладнання, загальне</v>
      </c>
      <c r="F574" s="17">
        <f>IFERROR(__xludf.DUMMYFUNCTION("""COMPUTED_VALUE"""),3.0)</f>
        <v>3</v>
      </c>
      <c r="G574" s="17">
        <f>IFERROR(__xludf.DUMMYFUNCTION("""COMPUTED_VALUE"""),141102.0)</f>
        <v>141102</v>
      </c>
      <c r="H574" s="17" t="str">
        <f>IFERROR(__xludf.DUMMYFUNCTION("""COMPUTED_VALUE"""),"кранове обладнання, загальне")</f>
        <v>кранове обладнання, загальне</v>
      </c>
      <c r="I574" s="18">
        <f>IFERROR(__xludf.DUMMYFUNCTION("""COMPUTED_VALUE"""),2.16)</f>
        <v>2.16</v>
      </c>
      <c r="J574" s="18">
        <f>IFERROR(__xludf.DUMMYFUNCTION("""COMPUTED_VALUE"""),4.33)</f>
        <v>4.33</v>
      </c>
      <c r="K574" s="18">
        <f>IFERROR(__xludf.DUMMYFUNCTION("""COMPUTED_VALUE"""),5.41)</f>
        <v>5.41</v>
      </c>
      <c r="L574" s="18">
        <f>IFERROR(__xludf.DUMMYFUNCTION("""COMPUTED_VALUE"""),8.65)</f>
        <v>8.65</v>
      </c>
    </row>
    <row r="575">
      <c r="A575" s="13" t="str">
        <f>IFERROR(__xludf.DUMMYFUNCTION("""COMPUTED_VALUE"""),"товари")</f>
        <v>товари</v>
      </c>
      <c r="B575" s="13" t="str">
        <f>IFERROR(__xludf.DUMMYFUNCTION("""COMPUTED_VALUE"""),"промислове обладнання та верстати")</f>
        <v>промислове обладнання та верстати</v>
      </c>
      <c r="C575" s="15" t="str">
        <f>IFERROR(__xludf.DUMMYFUNCTION("""COMPUTED_VALUE"""),"енергообладнання")</f>
        <v>енергообладнання</v>
      </c>
      <c r="D575" s="15" t="str">
        <f>IFERROR(__xludf.DUMMYFUNCTION("""COMPUTED_VALUE"""),"кріогенне обладнання")</f>
        <v>кріогенне обладнання</v>
      </c>
      <c r="E575" s="15" t="str">
        <f>IFERROR(__xludf.DUMMYFUNCTION("""COMPUTED_VALUE"""),"кріогенне обладнання")</f>
        <v>кріогенне обладнання</v>
      </c>
      <c r="F575" s="17">
        <f>IFERROR(__xludf.DUMMYFUNCTION("""COMPUTED_VALUE"""),3.0)</f>
        <v>3</v>
      </c>
      <c r="G575" s="17">
        <f>IFERROR(__xludf.DUMMYFUNCTION("""COMPUTED_VALUE"""),142401.0)</f>
        <v>142401</v>
      </c>
      <c r="H575" s="17" t="str">
        <f>IFERROR(__xludf.DUMMYFUNCTION("""COMPUTED_VALUE"""),"кріогенне обладнання")</f>
        <v>кріогенне обладнання</v>
      </c>
      <c r="I575" s="18">
        <f>IFERROR(__xludf.DUMMYFUNCTION("""COMPUTED_VALUE"""),1.89)</f>
        <v>1.89</v>
      </c>
      <c r="J575" s="18">
        <f>IFERROR(__xludf.DUMMYFUNCTION("""COMPUTED_VALUE"""),3.78)</f>
        <v>3.78</v>
      </c>
      <c r="K575" s="18">
        <f>IFERROR(__xludf.DUMMYFUNCTION("""COMPUTED_VALUE"""),4.72)</f>
        <v>4.72</v>
      </c>
      <c r="L575" s="18">
        <f>IFERROR(__xludf.DUMMYFUNCTION("""COMPUTED_VALUE"""),7.55)</f>
        <v>7.55</v>
      </c>
    </row>
    <row r="576">
      <c r="A576" s="13" t="str">
        <f>IFERROR(__xludf.DUMMYFUNCTION("""COMPUTED_VALUE"""),"товари")</f>
        <v>товари</v>
      </c>
      <c r="B576" s="13" t="str">
        <f>IFERROR(__xludf.DUMMYFUNCTION("""COMPUTED_VALUE"""),"промислове обладнання та верстати")</f>
        <v>промислове обладнання та верстати</v>
      </c>
      <c r="C576" s="15" t="str">
        <f>IFERROR(__xludf.DUMMYFUNCTION("""COMPUTED_VALUE"""),"верстати")</f>
        <v>верстати</v>
      </c>
      <c r="D576" s="15" t="str">
        <f>IFERROR(__xludf.DUMMYFUNCTION("""COMPUTED_VALUE"""),"деревообробні верстати")</f>
        <v>деревообробні верстати</v>
      </c>
      <c r="E576" s="15" t="str">
        <f>IFERROR(__xludf.DUMMYFUNCTION("""COMPUTED_VALUE"""),"кромкообрізні верстати")</f>
        <v>кромкообрізні верстати</v>
      </c>
      <c r="F576" s="17">
        <f>IFERROR(__xludf.DUMMYFUNCTION("""COMPUTED_VALUE"""),4.0)</f>
        <v>4</v>
      </c>
      <c r="G576" s="17">
        <f>IFERROR(__xludf.DUMMYFUNCTION("""COMPUTED_VALUE"""),1.4310316E7)</f>
        <v>14310316</v>
      </c>
      <c r="H576" s="17" t="str">
        <f>IFERROR(__xludf.DUMMYFUNCTION("""COMPUTED_VALUE"""),"кромкообрізні верстати")</f>
        <v>кромкообрізні верстати</v>
      </c>
      <c r="I576" s="18">
        <f>IFERROR(__xludf.DUMMYFUNCTION("""COMPUTED_VALUE"""),1.26)</f>
        <v>1.26</v>
      </c>
      <c r="J576" s="18">
        <f>IFERROR(__xludf.DUMMYFUNCTION("""COMPUTED_VALUE"""),2.53)</f>
        <v>2.53</v>
      </c>
      <c r="K576" s="18">
        <f>IFERROR(__xludf.DUMMYFUNCTION("""COMPUTED_VALUE"""),3.16)</f>
        <v>3.16</v>
      </c>
      <c r="L576" s="18">
        <f>IFERROR(__xludf.DUMMYFUNCTION("""COMPUTED_VALUE"""),5.05)</f>
        <v>5.05</v>
      </c>
    </row>
    <row r="577">
      <c r="A577" s="13" t="str">
        <f>IFERROR(__xludf.DUMMYFUNCTION("""COMPUTED_VALUE"""),"товари")</f>
        <v>товари</v>
      </c>
      <c r="B577" s="13" t="str">
        <f>IFERROR(__xludf.DUMMYFUNCTION("""COMPUTED_VALUE"""),"промислове обладнання та верстати")</f>
        <v>промислове обладнання та верстати</v>
      </c>
      <c r="C577" s="15" t="str">
        <f>IFERROR(__xludf.DUMMYFUNCTION("""COMPUTED_VALUE"""),"виробниче обладнання")</f>
        <v>виробниче обладнання</v>
      </c>
      <c r="D577" s="15" t="str">
        <f>IFERROR(__xludf.DUMMYFUNCTION("""COMPUTED_VALUE"""),"ковальсько-пресове обладнання")</f>
        <v>ковальсько-пресове обладнання</v>
      </c>
      <c r="E577" s="15" t="str">
        <f>IFERROR(__xludf.DUMMYFUNCTION("""COMPUTED_VALUE"""),"кувальні молоти")</f>
        <v>кувальні молоти</v>
      </c>
      <c r="F577" s="17">
        <f>IFERROR(__xludf.DUMMYFUNCTION("""COMPUTED_VALUE"""),4.0)</f>
        <v>4</v>
      </c>
      <c r="G577" s="17">
        <f>IFERROR(__xludf.DUMMYFUNCTION("""COMPUTED_VALUE"""),1.4260601E7)</f>
        <v>14260601</v>
      </c>
      <c r="H577" s="17" t="str">
        <f>IFERROR(__xludf.DUMMYFUNCTION("""COMPUTED_VALUE"""),"кувальні молоти")</f>
        <v>кувальні молоти</v>
      </c>
      <c r="I577" s="18">
        <f>IFERROR(__xludf.DUMMYFUNCTION("""COMPUTED_VALUE"""),1.26)</f>
        <v>1.26</v>
      </c>
      <c r="J577" s="18">
        <f>IFERROR(__xludf.DUMMYFUNCTION("""COMPUTED_VALUE"""),2.53)</f>
        <v>2.53</v>
      </c>
      <c r="K577" s="18">
        <f>IFERROR(__xludf.DUMMYFUNCTION("""COMPUTED_VALUE"""),3.16)</f>
        <v>3.16</v>
      </c>
      <c r="L577" s="18">
        <f>IFERROR(__xludf.DUMMYFUNCTION("""COMPUTED_VALUE"""),5.05)</f>
        <v>5.05</v>
      </c>
    </row>
    <row r="578">
      <c r="A578" s="13" t="str">
        <f>IFERROR(__xludf.DUMMYFUNCTION("""COMPUTED_VALUE"""),"товари")</f>
        <v>товари</v>
      </c>
      <c r="B578" s="13" t="str">
        <f>IFERROR(__xludf.DUMMYFUNCTION("""COMPUTED_VALUE"""),"промислове обладнання та верстати")</f>
        <v>промислове обладнання та верстати</v>
      </c>
      <c r="C578" s="15" t="str">
        <f>IFERROR(__xludf.DUMMYFUNCTION("""COMPUTED_VALUE"""),"промислове термічне обладнання")</f>
        <v>промислове термічне обладнання</v>
      </c>
      <c r="D578" s="15" t="str">
        <f>IFERROR(__xludf.DUMMYFUNCTION("""COMPUTED_VALUE"""),"лабораторне термічне обладнання")</f>
        <v>лабораторне термічне обладнання</v>
      </c>
      <c r="E578" s="15" t="str">
        <f>IFERROR(__xludf.DUMMYFUNCTION("""COMPUTED_VALUE"""),"лабораторне термічне обладнання")</f>
        <v>лабораторне термічне обладнання</v>
      </c>
      <c r="F578" s="17">
        <f>IFERROR(__xludf.DUMMYFUNCTION("""COMPUTED_VALUE"""),3.0)</f>
        <v>3</v>
      </c>
      <c r="G578" s="17">
        <f>IFERROR(__xludf.DUMMYFUNCTION("""COMPUTED_VALUE"""),143703.0)</f>
        <v>143703</v>
      </c>
      <c r="H578" s="17" t="str">
        <f>IFERROR(__xludf.DUMMYFUNCTION("""COMPUTED_VALUE"""),"лабораторне термічне обладнання")</f>
        <v>лабораторне термічне обладнання</v>
      </c>
      <c r="I578" s="18">
        <f>IFERROR(__xludf.DUMMYFUNCTION("""COMPUTED_VALUE"""),1.13)</f>
        <v>1.13</v>
      </c>
      <c r="J578" s="18">
        <f>IFERROR(__xludf.DUMMYFUNCTION("""COMPUTED_VALUE"""),2.25)</f>
        <v>2.25</v>
      </c>
      <c r="K578" s="18">
        <f>IFERROR(__xludf.DUMMYFUNCTION("""COMPUTED_VALUE"""),2.81)</f>
        <v>2.81</v>
      </c>
      <c r="L578" s="18">
        <f>IFERROR(__xludf.DUMMYFUNCTION("""COMPUTED_VALUE"""),4.5)</f>
        <v>4.5</v>
      </c>
    </row>
    <row r="579">
      <c r="A579" s="13" t="str">
        <f>IFERROR(__xludf.DUMMYFUNCTION("""COMPUTED_VALUE"""),"товари")</f>
        <v>товари</v>
      </c>
      <c r="B579" s="13" t="str">
        <f>IFERROR(__xludf.DUMMYFUNCTION("""COMPUTED_VALUE"""),"промислове обладнання та верстати")</f>
        <v>промислове обладнання та верстати</v>
      </c>
      <c r="C579" s="15" t="str">
        <f>IFERROR(__xludf.DUMMYFUNCTION("""COMPUTED_VALUE"""),"лісозаготівельне обладнання ")</f>
        <v>лісозаготівельне обладнання </v>
      </c>
      <c r="D579" s="15" t="str">
        <f>IFERROR(__xludf.DUMMYFUNCTION("""COMPUTED_VALUE"""),"лісозаготівельне обладнання ")</f>
        <v>лісозаготівельне обладнання </v>
      </c>
      <c r="E579" s="15" t="str">
        <f>IFERROR(__xludf.DUMMYFUNCTION("""COMPUTED_VALUE"""),"лісозаготівельне обладнання ")</f>
        <v>лісозаготівельне обладнання </v>
      </c>
      <c r="F579" s="17">
        <f>IFERROR(__xludf.DUMMYFUNCTION("""COMPUTED_VALUE"""),2.0)</f>
        <v>2</v>
      </c>
      <c r="G579" s="17">
        <f>IFERROR(__xludf.DUMMYFUNCTION("""COMPUTED_VALUE"""),12902.0)</f>
        <v>12902</v>
      </c>
      <c r="H579" s="17" t="str">
        <f>IFERROR(__xludf.DUMMYFUNCTION("""COMPUTED_VALUE"""),"лісозаготівельне обладнання ")</f>
        <v>лісозаготівельне обладнання </v>
      </c>
      <c r="I579" s="18">
        <f>IFERROR(__xludf.DUMMYFUNCTION("""COMPUTED_VALUE"""),0.9)</f>
        <v>0.9</v>
      </c>
      <c r="J579" s="18">
        <f>IFERROR(__xludf.DUMMYFUNCTION("""COMPUTED_VALUE"""),1.8)</f>
        <v>1.8</v>
      </c>
      <c r="K579" s="18">
        <f>IFERROR(__xludf.DUMMYFUNCTION("""COMPUTED_VALUE"""),2.25)</f>
        <v>2.25</v>
      </c>
      <c r="L579" s="18">
        <f>IFERROR(__xludf.DUMMYFUNCTION("""COMPUTED_VALUE"""),3.6)</f>
        <v>3.6</v>
      </c>
    </row>
    <row r="580">
      <c r="A580" s="13" t="str">
        <f>IFERROR(__xludf.DUMMYFUNCTION("""COMPUTED_VALUE"""),"товари")</f>
        <v>товари</v>
      </c>
      <c r="B580" s="13" t="str">
        <f>IFERROR(__xludf.DUMMYFUNCTION("""COMPUTED_VALUE"""),"промислове обладнання та верстати")</f>
        <v>промислове обладнання та верстати</v>
      </c>
      <c r="C580" s="15" t="str">
        <f>IFERROR(__xludf.DUMMYFUNCTION("""COMPUTED_VALUE"""),"обладнання для харчової промисловості")</f>
        <v>обладнання для харчової промисловості</v>
      </c>
      <c r="D580" s="15" t="str">
        <f>IFERROR(__xludf.DUMMYFUNCTION("""COMPUTED_VALUE"""),"обладнання для виробництва борошномельно-круп'яної продукції")</f>
        <v>обладнання для виробництва борошномельно-круп'яної продукції</v>
      </c>
      <c r="E580" s="15" t="str">
        <f>IFERROR(__xludf.DUMMYFUNCTION("""COMPUTED_VALUE"""),"макаронні преси")</f>
        <v>макаронні преси</v>
      </c>
      <c r="F580" s="17">
        <f>IFERROR(__xludf.DUMMYFUNCTION("""COMPUTED_VALUE"""),4.0)</f>
        <v>4</v>
      </c>
      <c r="G580" s="17">
        <f>IFERROR(__xludf.DUMMYFUNCTION("""COMPUTED_VALUE"""),2200704.0)</f>
        <v>2200704</v>
      </c>
      <c r="H580" s="17" t="str">
        <f>IFERROR(__xludf.DUMMYFUNCTION("""COMPUTED_VALUE"""),"макаронні преси")</f>
        <v>макаронні преси</v>
      </c>
      <c r="I580" s="18">
        <f>IFERROR(__xludf.DUMMYFUNCTION("""COMPUTED_VALUE"""),0.86)</f>
        <v>0.86</v>
      </c>
      <c r="J580" s="18">
        <f>IFERROR(__xludf.DUMMYFUNCTION("""COMPUTED_VALUE"""),1.71)</f>
        <v>1.71</v>
      </c>
      <c r="K580" s="18">
        <f>IFERROR(__xludf.DUMMYFUNCTION("""COMPUTED_VALUE"""),2.14)</f>
        <v>2.14</v>
      </c>
      <c r="L580" s="18">
        <f>IFERROR(__xludf.DUMMYFUNCTION("""COMPUTED_VALUE"""),3.43)</f>
        <v>3.43</v>
      </c>
    </row>
    <row r="581">
      <c r="A581" s="13" t="str">
        <f>IFERROR(__xludf.DUMMYFUNCTION("""COMPUTED_VALUE"""),"товари")</f>
        <v>товари</v>
      </c>
      <c r="B581" s="13" t="str">
        <f>IFERROR(__xludf.DUMMYFUNCTION("""COMPUTED_VALUE"""),"промислове обладнання та верстати")</f>
        <v>промислове обладнання та верстати</v>
      </c>
      <c r="C581" s="15" t="str">
        <f>IFERROR(__xludf.DUMMYFUNCTION("""COMPUTED_VALUE"""),"маркувальне обладнання")</f>
        <v>маркувальне обладнання</v>
      </c>
      <c r="D581" s="15" t="str">
        <f>IFERROR(__xludf.DUMMYFUNCTION("""COMPUTED_VALUE"""),"маркіратори")</f>
        <v>маркіратори</v>
      </c>
      <c r="E581" s="15" t="str">
        <f>IFERROR(__xludf.DUMMYFUNCTION("""COMPUTED_VALUE"""),"маркіратори")</f>
        <v>маркіратори</v>
      </c>
      <c r="F581" s="17">
        <f>IFERROR(__xludf.DUMMYFUNCTION("""COMPUTED_VALUE"""),3.0)</f>
        <v>3</v>
      </c>
      <c r="G581" s="17">
        <f>IFERROR(__xludf.DUMMYFUNCTION("""COMPUTED_VALUE"""),1.4320207E7)</f>
        <v>14320207</v>
      </c>
      <c r="H581" s="17" t="str">
        <f>IFERROR(__xludf.DUMMYFUNCTION("""COMPUTED_VALUE"""),"маркіратори")</f>
        <v>маркіратори</v>
      </c>
      <c r="I581" s="18">
        <f>IFERROR(__xludf.DUMMYFUNCTION("""COMPUTED_VALUE"""),2.7)</f>
        <v>2.7</v>
      </c>
      <c r="J581" s="18">
        <f>IFERROR(__xludf.DUMMYFUNCTION("""COMPUTED_VALUE"""),5.4)</f>
        <v>5.4</v>
      </c>
      <c r="K581" s="18">
        <f>IFERROR(__xludf.DUMMYFUNCTION("""COMPUTED_VALUE"""),6.75)</f>
        <v>6.75</v>
      </c>
      <c r="L581" s="18">
        <f>IFERROR(__xludf.DUMMYFUNCTION("""COMPUTED_VALUE"""),10.8)</f>
        <v>10.8</v>
      </c>
    </row>
    <row r="582">
      <c r="A582" s="13" t="str">
        <f>IFERROR(__xludf.DUMMYFUNCTION("""COMPUTED_VALUE"""),"товари")</f>
        <v>товари</v>
      </c>
      <c r="B582" s="13" t="str">
        <f>IFERROR(__xludf.DUMMYFUNCTION("""COMPUTED_VALUE"""),"промислове обладнання та верстати")</f>
        <v>промислове обладнання та верстати</v>
      </c>
      <c r="C582" s="15" t="str">
        <f>IFERROR(__xludf.DUMMYFUNCTION("""COMPUTED_VALUE"""),"маркувальне обладнання")</f>
        <v>маркувальне обладнання</v>
      </c>
      <c r="D582" s="15" t="str">
        <f>IFERROR(__xludf.DUMMYFUNCTION("""COMPUTED_VALUE"""),"маркувальне обладнання, загальне")</f>
        <v>маркувальне обладнання, загальне</v>
      </c>
      <c r="E582" s="15" t="str">
        <f>IFERROR(__xludf.DUMMYFUNCTION("""COMPUTED_VALUE"""),"маркувальне обладнання, загальне")</f>
        <v>маркувальне обладнання, загальне</v>
      </c>
      <c r="F582" s="17">
        <f>IFERROR(__xludf.DUMMYFUNCTION("""COMPUTED_VALUE"""),3.0)</f>
        <v>3</v>
      </c>
      <c r="G582" s="17">
        <f>IFERROR(__xludf.DUMMYFUNCTION("""COMPUTED_VALUE"""),143203.0)</f>
        <v>143203</v>
      </c>
      <c r="H582" s="17" t="str">
        <f>IFERROR(__xludf.DUMMYFUNCTION("""COMPUTED_VALUE"""),"маркувальне обладнання, загальне")</f>
        <v>маркувальне обладнання, загальне</v>
      </c>
      <c r="I582" s="18">
        <f>IFERROR(__xludf.DUMMYFUNCTION("""COMPUTED_VALUE"""),2.16)</f>
        <v>2.16</v>
      </c>
      <c r="J582" s="18">
        <f>IFERROR(__xludf.DUMMYFUNCTION("""COMPUTED_VALUE"""),4.33)</f>
        <v>4.33</v>
      </c>
      <c r="K582" s="18">
        <f>IFERROR(__xludf.DUMMYFUNCTION("""COMPUTED_VALUE"""),5.41)</f>
        <v>5.41</v>
      </c>
      <c r="L582" s="18">
        <f>IFERROR(__xludf.DUMMYFUNCTION("""COMPUTED_VALUE"""),8.65)</f>
        <v>8.65</v>
      </c>
    </row>
    <row r="583">
      <c r="A583" s="13" t="str">
        <f>IFERROR(__xludf.DUMMYFUNCTION("""COMPUTED_VALUE"""),"товари")</f>
        <v>товари</v>
      </c>
      <c r="B583" s="13" t="str">
        <f>IFERROR(__xludf.DUMMYFUNCTION("""COMPUTED_VALUE"""),"промислове обладнання та верстати")</f>
        <v>промислове обладнання та верстати</v>
      </c>
      <c r="C583" s="15" t="str">
        <f>IFERROR(__xludf.DUMMYFUNCTION("""COMPUTED_VALUE"""),"енергообладнання")</f>
        <v>енергообладнання</v>
      </c>
      <c r="D583" s="15" t="str">
        <f>IFERROR(__xludf.DUMMYFUNCTION("""COMPUTED_VALUE"""),"охолоджувачі")</f>
        <v>охолоджувачі</v>
      </c>
      <c r="E583" s="15" t="str">
        <f>IFERROR(__xludf.DUMMYFUNCTION("""COMPUTED_VALUE"""),"маслоохолоджувачі")</f>
        <v>маслоохолоджувачі</v>
      </c>
      <c r="F583" s="17">
        <f>IFERROR(__xludf.DUMMYFUNCTION("""COMPUTED_VALUE"""),4.0)</f>
        <v>4</v>
      </c>
      <c r="G583" s="17">
        <f>IFERROR(__xludf.DUMMYFUNCTION("""COMPUTED_VALUE"""),1.4240106E7)</f>
        <v>14240106</v>
      </c>
      <c r="H583" s="17" t="str">
        <f>IFERROR(__xludf.DUMMYFUNCTION("""COMPUTED_VALUE"""),"маслоохолоджувачі")</f>
        <v>маслоохолоджувачі</v>
      </c>
      <c r="I583" s="18">
        <f>IFERROR(__xludf.DUMMYFUNCTION("""COMPUTED_VALUE"""),1.58)</f>
        <v>1.58</v>
      </c>
      <c r="J583" s="18">
        <f>IFERROR(__xludf.DUMMYFUNCTION("""COMPUTED_VALUE"""),3.15)</f>
        <v>3.15</v>
      </c>
      <c r="K583" s="18">
        <f>IFERROR(__xludf.DUMMYFUNCTION("""COMPUTED_VALUE"""),3.94)</f>
        <v>3.94</v>
      </c>
      <c r="L583" s="18">
        <f>IFERROR(__xludf.DUMMYFUNCTION("""COMPUTED_VALUE"""),6.3)</f>
        <v>6.3</v>
      </c>
    </row>
    <row r="584">
      <c r="A584" s="13" t="str">
        <f>IFERROR(__xludf.DUMMYFUNCTION("""COMPUTED_VALUE"""),"товари")</f>
        <v>товари</v>
      </c>
      <c r="B584" s="13" t="str">
        <f>IFERROR(__xludf.DUMMYFUNCTION("""COMPUTED_VALUE"""),"промислове обладнання та верстати")</f>
        <v>промислове обладнання та верстати</v>
      </c>
      <c r="C584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584" s="15" t="str">
        <f>IFERROR(__xludf.DUMMYFUNCTION("""COMPUTED_VALUE"""),"металеві втулки")</f>
        <v>металеві втулки</v>
      </c>
      <c r="E584" s="15" t="str">
        <f>IFERROR(__xludf.DUMMYFUNCTION("""COMPUTED_VALUE"""),"металеві втулки")</f>
        <v>металеві втулки</v>
      </c>
      <c r="F584" s="17">
        <f>IFERROR(__xludf.DUMMYFUNCTION("""COMPUTED_VALUE"""),3.0)</f>
        <v>3</v>
      </c>
      <c r="G584" s="17">
        <f>IFERROR(__xludf.DUMMYFUNCTION("""COMPUTED_VALUE"""),4114.0)</f>
        <v>4114</v>
      </c>
      <c r="H584" s="17" t="str">
        <f>IFERROR(__xludf.DUMMYFUNCTION("""COMPUTED_VALUE"""),"металеві втулки")</f>
        <v>металеві втулки</v>
      </c>
      <c r="I584" s="18">
        <f>IFERROR(__xludf.DUMMYFUNCTION("""COMPUTED_VALUE"""),2.33)</f>
        <v>2.33</v>
      </c>
      <c r="J584" s="18">
        <f>IFERROR(__xludf.DUMMYFUNCTION("""COMPUTED_VALUE"""),4.65)</f>
        <v>4.65</v>
      </c>
      <c r="K584" s="18">
        <f>IFERROR(__xludf.DUMMYFUNCTION("""COMPUTED_VALUE"""),5.81)</f>
        <v>5.81</v>
      </c>
      <c r="L584" s="18">
        <f>IFERROR(__xludf.DUMMYFUNCTION("""COMPUTED_VALUE"""),9.3)</f>
        <v>9.3</v>
      </c>
    </row>
    <row r="585">
      <c r="A585" s="13" t="str">
        <f>IFERROR(__xludf.DUMMYFUNCTION("""COMPUTED_VALUE"""),"товари")</f>
        <v>товари</v>
      </c>
      <c r="B585" s="13" t="str">
        <f>IFERROR(__xludf.DUMMYFUNCTION("""COMPUTED_VALUE"""),"промислове обладнання та верстати")</f>
        <v>промислове обладнання та верстати</v>
      </c>
      <c r="C585" s="15" t="str">
        <f>IFERROR(__xludf.DUMMYFUNCTION("""COMPUTED_VALUE"""),"обладнання для харчової промисловості")</f>
        <v>обладнання для харчової промисловості</v>
      </c>
      <c r="D585" s="15" t="str">
        <f>IFERROR(__xludf.DUMMYFUNCTION("""COMPUTED_VALUE"""),"обладнання для виробництва борошномельно-круп'яної продукції")</f>
        <v>обладнання для виробництва борошномельно-круп'яної продукції</v>
      </c>
      <c r="E585" s="15" t="str">
        <f>IFERROR(__xludf.DUMMYFUNCTION("""COMPUTED_VALUE"""),"млини для борошна")</f>
        <v>млини для борошна</v>
      </c>
      <c r="F585" s="17">
        <f>IFERROR(__xludf.DUMMYFUNCTION("""COMPUTED_VALUE"""),4.0)</f>
        <v>4</v>
      </c>
      <c r="G585" s="17">
        <f>IFERROR(__xludf.DUMMYFUNCTION("""COMPUTED_VALUE"""),2200705.0)</f>
        <v>2200705</v>
      </c>
      <c r="H585" s="17" t="str">
        <f>IFERROR(__xludf.DUMMYFUNCTION("""COMPUTED_VALUE"""),"млини для борошна")</f>
        <v>млини для борошна</v>
      </c>
      <c r="I585" s="18">
        <f>IFERROR(__xludf.DUMMYFUNCTION("""COMPUTED_VALUE"""),0.86)</f>
        <v>0.86</v>
      </c>
      <c r="J585" s="18">
        <f>IFERROR(__xludf.DUMMYFUNCTION("""COMPUTED_VALUE"""),1.71)</f>
        <v>1.71</v>
      </c>
      <c r="K585" s="18">
        <f>IFERROR(__xludf.DUMMYFUNCTION("""COMPUTED_VALUE"""),2.14)</f>
        <v>2.14</v>
      </c>
      <c r="L585" s="18">
        <f>IFERROR(__xludf.DUMMYFUNCTION("""COMPUTED_VALUE"""),3.43)</f>
        <v>3.43</v>
      </c>
    </row>
    <row r="586">
      <c r="A586" s="13" t="str">
        <f>IFERROR(__xludf.DUMMYFUNCTION("""COMPUTED_VALUE"""),"товари")</f>
        <v>товари</v>
      </c>
      <c r="B586" s="13" t="str">
        <f>IFERROR(__xludf.DUMMYFUNCTION("""COMPUTED_VALUE"""),"промислове обладнання та верстати")</f>
        <v>промислове обладнання та верстати</v>
      </c>
      <c r="C586" s="15" t="str">
        <f>IFERROR(__xludf.DUMMYFUNCTION("""COMPUTED_VALUE"""),"обладнання для харчової промисловості")</f>
        <v>обладнання для харчової промисловості</v>
      </c>
      <c r="D586" s="15" t="str">
        <f>IFERROR(__xludf.DUMMYFUNCTION("""COMPUTED_VALUE"""),"ножі, пилки, гаки для харчової промисловості")</f>
        <v>ножі, пилки, гаки для харчової промисловості</v>
      </c>
      <c r="E586" s="15" t="str">
        <f>IFERROR(__xludf.DUMMYFUNCTION("""COMPUTED_VALUE"""),"ножі, пилки, гаки для харчової промисловості")</f>
        <v>ножі, пилки, гаки для харчової промисловості</v>
      </c>
      <c r="F586" s="17">
        <f>IFERROR(__xludf.DUMMYFUNCTION("""COMPUTED_VALUE"""),3.0)</f>
        <v>3</v>
      </c>
      <c r="G586" s="17">
        <f>IFERROR(__xludf.DUMMYFUNCTION("""COMPUTED_VALUE"""),22026.0)</f>
        <v>22026</v>
      </c>
      <c r="H586" s="17" t="str">
        <f>IFERROR(__xludf.DUMMYFUNCTION("""COMPUTED_VALUE"""),"ножі, пилки, гаки для харчової промисловості")</f>
        <v>ножі, пилки, гаки для харчової промисловості</v>
      </c>
      <c r="I586" s="18">
        <f>IFERROR(__xludf.DUMMYFUNCTION("""COMPUTED_VALUE"""),0.76)</f>
        <v>0.76</v>
      </c>
      <c r="J586" s="18">
        <f>IFERROR(__xludf.DUMMYFUNCTION("""COMPUTED_VALUE"""),1.53)</f>
        <v>1.53</v>
      </c>
      <c r="K586" s="18">
        <f>IFERROR(__xludf.DUMMYFUNCTION("""COMPUTED_VALUE"""),1.91)</f>
        <v>1.91</v>
      </c>
      <c r="L586" s="18">
        <f>IFERROR(__xludf.DUMMYFUNCTION("""COMPUTED_VALUE"""),3.05)</f>
        <v>3.05</v>
      </c>
    </row>
    <row r="587">
      <c r="A587" s="13" t="str">
        <f>IFERROR(__xludf.DUMMYFUNCTION("""COMPUTED_VALUE"""),"товари")</f>
        <v>товари</v>
      </c>
      <c r="B587" s="13" t="str">
        <f>IFERROR(__xludf.DUMMYFUNCTION("""COMPUTED_VALUE"""),"промислове обладнання та верстати")</f>
        <v>промислове обладнання та верстати</v>
      </c>
      <c r="C587" s="15" t="str">
        <f>IFERROR(__xludf.DUMMYFUNCTION("""COMPUTED_VALUE"""),"зварювальне та паяльне обладнання")</f>
        <v>зварювальне та паяльне обладнання</v>
      </c>
      <c r="D587" s="15" t="str">
        <f>IFERROR(__xludf.DUMMYFUNCTION("""COMPUTED_VALUE"""),"обладнання для автоматизації зварювання")</f>
        <v>обладнання для автоматизації зварювання</v>
      </c>
      <c r="E587" s="15" t="str">
        <f>IFERROR(__xludf.DUMMYFUNCTION("""COMPUTED_VALUE"""),"обладнання для автоматизації зварювання")</f>
        <v>обладнання для автоматизації зварювання</v>
      </c>
      <c r="F587" s="17">
        <f>IFERROR(__xludf.DUMMYFUNCTION("""COMPUTED_VALUE"""),3.0)</f>
        <v>3</v>
      </c>
      <c r="G587" s="17">
        <f>IFERROR(__xludf.DUMMYFUNCTION("""COMPUTED_VALUE"""),144016.0)</f>
        <v>144016</v>
      </c>
      <c r="H587" s="17" t="str">
        <f>IFERROR(__xludf.DUMMYFUNCTION("""COMPUTED_VALUE"""),"обладнання для автоматизації зварювання")</f>
        <v>обладнання для автоматизації зварювання</v>
      </c>
      <c r="I587" s="18">
        <f>IFERROR(__xludf.DUMMYFUNCTION("""COMPUTED_VALUE"""),0.76)</f>
        <v>0.76</v>
      </c>
      <c r="J587" s="18">
        <f>IFERROR(__xludf.DUMMYFUNCTION("""COMPUTED_VALUE"""),1.53)</f>
        <v>1.53</v>
      </c>
      <c r="K587" s="18">
        <f>IFERROR(__xludf.DUMMYFUNCTION("""COMPUTED_VALUE"""),1.91)</f>
        <v>1.91</v>
      </c>
      <c r="L587" s="18">
        <f>IFERROR(__xludf.DUMMYFUNCTION("""COMPUTED_VALUE"""),3.05)</f>
        <v>3.05</v>
      </c>
    </row>
    <row r="588">
      <c r="A588" s="13" t="str">
        <f>IFERROR(__xludf.DUMMYFUNCTION("""COMPUTED_VALUE"""),"товари")</f>
        <v>товари</v>
      </c>
      <c r="B588" s="13" t="str">
        <f>IFERROR(__xludf.DUMMYFUNCTION("""COMPUTED_VALUE"""),"промислове обладнання та верстати")</f>
        <v>промислове обладнання та верстати</v>
      </c>
      <c r="C588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88" s="15" t="str">
        <f>IFERROR(__xludf.DUMMYFUNCTION("""COMPUTED_VALUE"""),"гірниче обладнання")</f>
        <v>гірниче обладнання</v>
      </c>
      <c r="E588" s="15" t="str">
        <f>IFERROR(__xludf.DUMMYFUNCTION("""COMPUTED_VALUE"""),"обладнання для брикетування")</f>
        <v>обладнання для брикетування</v>
      </c>
      <c r="F588" s="17">
        <f>IFERROR(__xludf.DUMMYFUNCTION("""COMPUTED_VALUE"""),4.0)</f>
        <v>4</v>
      </c>
      <c r="G588" s="17">
        <f>IFERROR(__xludf.DUMMYFUNCTION("""COMPUTED_VALUE"""),91507.0)</f>
        <v>91507</v>
      </c>
      <c r="H588" s="17" t="str">
        <f>IFERROR(__xludf.DUMMYFUNCTION("""COMPUTED_VALUE"""),"обладнання для брикетування")</f>
        <v>обладнання для брикетування</v>
      </c>
      <c r="I588" s="18">
        <f>IFERROR(__xludf.DUMMYFUNCTION("""COMPUTED_VALUE"""),1.98)</f>
        <v>1.98</v>
      </c>
      <c r="J588" s="18">
        <f>IFERROR(__xludf.DUMMYFUNCTION("""COMPUTED_VALUE"""),3.96)</f>
        <v>3.96</v>
      </c>
      <c r="K588" s="18">
        <f>IFERROR(__xludf.DUMMYFUNCTION("""COMPUTED_VALUE"""),4.95)</f>
        <v>4.95</v>
      </c>
      <c r="L588" s="18">
        <f>IFERROR(__xludf.DUMMYFUNCTION("""COMPUTED_VALUE"""),7.93)</f>
        <v>7.93</v>
      </c>
    </row>
    <row r="589">
      <c r="A589" s="13" t="str">
        <f>IFERROR(__xludf.DUMMYFUNCTION("""COMPUTED_VALUE"""),"товари")</f>
        <v>товари</v>
      </c>
      <c r="B589" s="13" t="str">
        <f>IFERROR(__xludf.DUMMYFUNCTION("""COMPUTED_VALUE"""),"промислове обладнання та верстати")</f>
        <v>промислове обладнання та верстати</v>
      </c>
      <c r="C589" s="15" t="str">
        <f>IFERROR(__xludf.DUMMYFUNCTION("""COMPUTED_VALUE"""),"технологічне обладнання")</f>
        <v>технологічне обладнання</v>
      </c>
      <c r="D589" s="15" t="str">
        <f>IFERROR(__xludf.DUMMYFUNCTION("""COMPUTED_VALUE"""),"промислове обладнання для спеціального ремонту")</f>
        <v>промислове обладнання для спеціального ремонту</v>
      </c>
      <c r="E589" s="15" t="str">
        <f>IFERROR(__xludf.DUMMYFUNCTION("""COMPUTED_VALUE"""),"обладнання для будівництва та ремонту трубопроводів")</f>
        <v>обладнання для будівництва та ремонту трубопроводів</v>
      </c>
      <c r="F589" s="17">
        <f>IFERROR(__xludf.DUMMYFUNCTION("""COMPUTED_VALUE"""),4.0)</f>
        <v>4</v>
      </c>
      <c r="G589" s="17">
        <f>IFERROR(__xludf.DUMMYFUNCTION("""COMPUTED_VALUE"""),1435.0)</f>
        <v>1435</v>
      </c>
      <c r="H589" s="17" t="str">
        <f>IFERROR(__xludf.DUMMYFUNCTION("""COMPUTED_VALUE"""),"обладнання для будівництва та ремонту трубопроводів")</f>
        <v>обладнання для будівництва та ремонту трубопроводів</v>
      </c>
      <c r="I589" s="18">
        <f>IFERROR(__xludf.DUMMYFUNCTION("""COMPUTED_VALUE"""),1.04)</f>
        <v>1.04</v>
      </c>
      <c r="J589" s="18">
        <f>IFERROR(__xludf.DUMMYFUNCTION("""COMPUTED_VALUE"""),2.08)</f>
        <v>2.08</v>
      </c>
      <c r="K589" s="18">
        <f>IFERROR(__xludf.DUMMYFUNCTION("""COMPUTED_VALUE"""),2.59)</f>
        <v>2.59</v>
      </c>
      <c r="L589" s="18">
        <f>IFERROR(__xludf.DUMMYFUNCTION("""COMPUTED_VALUE"""),4.15)</f>
        <v>4.15</v>
      </c>
    </row>
    <row r="590">
      <c r="A590" s="13" t="str">
        <f>IFERROR(__xludf.DUMMYFUNCTION("""COMPUTED_VALUE"""),"товари")</f>
        <v>товари</v>
      </c>
      <c r="B590" s="13" t="str">
        <f>IFERROR(__xludf.DUMMYFUNCTION("""COMPUTED_VALUE"""),"промислове обладнання та верстати")</f>
        <v>промислове обладнання та верстати</v>
      </c>
      <c r="C590" s="15" t="str">
        <f>IFERROR(__xludf.DUMMYFUNCTION("""COMPUTED_VALUE"""),"виробниче обладнання")</f>
        <v>виробниче обладнання</v>
      </c>
      <c r="D590" s="15" t="str">
        <f>IFERROR(__xludf.DUMMYFUNCTION("""COMPUTED_VALUE"""),"обладнання для обробки пластику та гуми")</f>
        <v>обладнання для обробки пластику та гуми</v>
      </c>
      <c r="E590" s="15" t="str">
        <f>IFERROR(__xludf.DUMMYFUNCTION("""COMPUTED_VALUE"""),"обладнання для вакуумного формування")</f>
        <v>обладнання для вакуумного формування</v>
      </c>
      <c r="F590" s="17">
        <f>IFERROR(__xludf.DUMMYFUNCTION("""COMPUTED_VALUE"""),4.0)</f>
        <v>4</v>
      </c>
      <c r="G590" s="17">
        <f>IFERROR(__xludf.DUMMYFUNCTION("""COMPUTED_VALUE"""),147111.0)</f>
        <v>147111</v>
      </c>
      <c r="H590" s="17" t="str">
        <f>IFERROR(__xludf.DUMMYFUNCTION("""COMPUTED_VALUE"""),"обладнання для вакуумного формування")</f>
        <v>обладнання для вакуумного формування</v>
      </c>
      <c r="I590" s="18">
        <f>IFERROR(__xludf.DUMMYFUNCTION("""COMPUTED_VALUE"""),1.53)</f>
        <v>1.53</v>
      </c>
      <c r="J590" s="18">
        <f>IFERROR(__xludf.DUMMYFUNCTION("""COMPUTED_VALUE"""),3.06)</f>
        <v>3.06</v>
      </c>
      <c r="K590" s="18">
        <f>IFERROR(__xludf.DUMMYFUNCTION("""COMPUTED_VALUE"""),3.83)</f>
        <v>3.83</v>
      </c>
      <c r="L590" s="18">
        <f>IFERROR(__xludf.DUMMYFUNCTION("""COMPUTED_VALUE"""),6.13)</f>
        <v>6.13</v>
      </c>
    </row>
    <row r="591">
      <c r="A591" s="13" t="str">
        <f>IFERROR(__xludf.DUMMYFUNCTION("""COMPUTED_VALUE"""),"товари")</f>
        <v>товари</v>
      </c>
      <c r="B591" s="13" t="str">
        <f>IFERROR(__xludf.DUMMYFUNCTION("""COMPUTED_VALUE"""),"промислове обладнання та верстати")</f>
        <v>промислове обладнання та верстати</v>
      </c>
      <c r="C591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91" s="15" t="str">
        <f>IFERROR(__xludf.DUMMYFUNCTION("""COMPUTED_VALUE"""),"обладнання для видобувної промисловості, загальне")</f>
        <v>обладнання для видобувної промисловості, загальне</v>
      </c>
      <c r="E591" s="15" t="str">
        <f>IFERROR(__xludf.DUMMYFUNCTION("""COMPUTED_VALUE"""),"обладнання для видобувної промисловості, загальне")</f>
        <v>обладнання для видобувної промисловості, загальне</v>
      </c>
      <c r="F591" s="17">
        <f>IFERROR(__xludf.DUMMYFUNCTION("""COMPUTED_VALUE"""),3.0)</f>
        <v>3</v>
      </c>
      <c r="G591" s="17">
        <f>IFERROR(__xludf.DUMMYFUNCTION("""COMPUTED_VALUE"""),146201.0)</f>
        <v>146201</v>
      </c>
      <c r="H591" s="17" t="str">
        <f>IFERROR(__xludf.DUMMYFUNCTION("""COMPUTED_VALUE"""),"обладнання для видобувної промисловості, загальне")</f>
        <v>обладнання для видобувної промисловості, загальне</v>
      </c>
      <c r="I591" s="18">
        <f>IFERROR(__xludf.DUMMYFUNCTION("""COMPUTED_VALUE"""),2.16)</f>
        <v>2.16</v>
      </c>
      <c r="J591" s="18">
        <f>IFERROR(__xludf.DUMMYFUNCTION("""COMPUTED_VALUE"""),4.33)</f>
        <v>4.33</v>
      </c>
      <c r="K591" s="18">
        <f>IFERROR(__xludf.DUMMYFUNCTION("""COMPUTED_VALUE"""),5.41)</f>
        <v>5.41</v>
      </c>
      <c r="L591" s="18">
        <f>IFERROR(__xludf.DUMMYFUNCTION("""COMPUTED_VALUE"""),8.65)</f>
        <v>8.65</v>
      </c>
    </row>
    <row r="592">
      <c r="A592" s="13" t="str">
        <f>IFERROR(__xludf.DUMMYFUNCTION("""COMPUTED_VALUE"""),"товари")</f>
        <v>товари</v>
      </c>
      <c r="B592" s="13" t="str">
        <f>IFERROR(__xludf.DUMMYFUNCTION("""COMPUTED_VALUE"""),"промислове обладнання та верстати")</f>
        <v>промислове обладнання та верстати</v>
      </c>
      <c r="C592" s="15" t="str">
        <f>IFERROR(__xludf.DUMMYFUNCTION("""COMPUTED_VALUE"""),"обладнання для харчової промисловості")</f>
        <v>обладнання для харчової промисловості</v>
      </c>
      <c r="D592" s="15" t="str">
        <f>IFERROR(__xludf.DUMMYFUNCTION("""COMPUTED_VALUE"""),"обладнання для виробництва борошномельно-круп'яної продукції")</f>
        <v>обладнання для виробництва борошномельно-круп'яної продукції</v>
      </c>
      <c r="E592" s="15" t="str">
        <f>IFERROR(__xludf.DUMMYFUNCTION("""COMPUTED_VALUE"""),"обладнання для виробництва борошномельно-круп'яної продукції, загальне")</f>
        <v>обладнання для виробництва борошномельно-круп'яної продукції, загальне</v>
      </c>
      <c r="F592" s="17">
        <f>IFERROR(__xludf.DUMMYFUNCTION("""COMPUTED_VALUE"""),4.0)</f>
        <v>4</v>
      </c>
      <c r="G592" s="17">
        <f>IFERROR(__xludf.DUMMYFUNCTION("""COMPUTED_VALUE"""),2200701.0)</f>
        <v>2200701</v>
      </c>
      <c r="H592" s="17" t="str">
        <f>IFERROR(__xludf.DUMMYFUNCTION("""COMPUTED_VALUE"""),"обладнання для виробництва борошномельно-круп'яної продукції, загальне")</f>
        <v>обладнання для виробництва борошномельно-круп'яної продукції, загальне</v>
      </c>
      <c r="I592" s="18">
        <f>IFERROR(__xludf.DUMMYFUNCTION("""COMPUTED_VALUE"""),2.16)</f>
        <v>2.16</v>
      </c>
      <c r="J592" s="18">
        <f>IFERROR(__xludf.DUMMYFUNCTION("""COMPUTED_VALUE"""),4.33)</f>
        <v>4.33</v>
      </c>
      <c r="K592" s="18">
        <f>IFERROR(__xludf.DUMMYFUNCTION("""COMPUTED_VALUE"""),5.41)</f>
        <v>5.41</v>
      </c>
      <c r="L592" s="18">
        <f>IFERROR(__xludf.DUMMYFUNCTION("""COMPUTED_VALUE"""),8.65)</f>
        <v>8.65</v>
      </c>
    </row>
    <row r="593">
      <c r="A593" s="13" t="str">
        <f>IFERROR(__xludf.DUMMYFUNCTION("""COMPUTED_VALUE"""),"товари")</f>
        <v>товари</v>
      </c>
      <c r="B593" s="13" t="str">
        <f>IFERROR(__xludf.DUMMYFUNCTION("""COMPUTED_VALUE"""),"промислове обладнання та верстати")</f>
        <v>промислове обладнання та верстати</v>
      </c>
      <c r="C593" s="15" t="str">
        <f>IFERROR(__xludf.DUMMYFUNCTION("""COMPUTED_VALUE"""),"виробниче обладнання")</f>
        <v>виробниче обладнання</v>
      </c>
      <c r="D593" s="15" t="str">
        <f>IFERROR(__xludf.DUMMYFUNCTION("""COMPUTED_VALUE"""),"обладнання для виробництва виробів з бетону, глини")</f>
        <v>обладнання для виробництва виробів з бетону, глини</v>
      </c>
      <c r="E593" s="15" t="str">
        <f>IFERROR(__xludf.DUMMYFUNCTION("""COMPUTED_VALUE"""),"обладнання для виробництва виробів з бетону, глини")</f>
        <v>обладнання для виробництва виробів з бетону, глини</v>
      </c>
      <c r="F593" s="17">
        <f>IFERROR(__xludf.DUMMYFUNCTION("""COMPUTED_VALUE"""),3.0)</f>
        <v>3</v>
      </c>
      <c r="G593" s="17">
        <f>IFERROR(__xludf.DUMMYFUNCTION("""COMPUTED_VALUE"""),431401.0)</f>
        <v>431401</v>
      </c>
      <c r="H593" s="17" t="str">
        <f>IFERROR(__xludf.DUMMYFUNCTION("""COMPUTED_VALUE"""),"обладнання для виробництва виробів з бетону, глини")</f>
        <v>обладнання для виробництва виробів з бетону, глини</v>
      </c>
      <c r="I593" s="18">
        <f>IFERROR(__xludf.DUMMYFUNCTION("""COMPUTED_VALUE"""),1.04)</f>
        <v>1.04</v>
      </c>
      <c r="J593" s="18">
        <f>IFERROR(__xludf.DUMMYFUNCTION("""COMPUTED_VALUE"""),2.08)</f>
        <v>2.08</v>
      </c>
      <c r="K593" s="18">
        <f>IFERROR(__xludf.DUMMYFUNCTION("""COMPUTED_VALUE"""),2.59)</f>
        <v>2.59</v>
      </c>
      <c r="L593" s="18">
        <f>IFERROR(__xludf.DUMMYFUNCTION("""COMPUTED_VALUE"""),4.15)</f>
        <v>4.15</v>
      </c>
    </row>
    <row r="594">
      <c r="A594" s="13" t="str">
        <f>IFERROR(__xludf.DUMMYFUNCTION("""COMPUTED_VALUE"""),"товари")</f>
        <v>товари</v>
      </c>
      <c r="B594" s="13" t="str">
        <f>IFERROR(__xludf.DUMMYFUNCTION("""COMPUTED_VALUE"""),"промислове обладнання та верстати")</f>
        <v>промислове обладнання та верстати</v>
      </c>
      <c r="C594" s="15" t="str">
        <f>IFERROR(__xludf.DUMMYFUNCTION("""COMPUTED_VALUE"""),"обладнання для харчової промисловості")</f>
        <v>обладнання для харчової промисловості</v>
      </c>
      <c r="D594" s="15" t="str">
        <f>IFERROR(__xludf.DUMMYFUNCTION("""COMPUTED_VALUE"""),"обладнання для хлібобулочних та кондитерських виробів")</f>
        <v>обладнання для хлібобулочних та кондитерських виробів</v>
      </c>
      <c r="E594" s="15" t="str">
        <f>IFERROR(__xludf.DUMMYFUNCTION("""COMPUTED_VALUE"""),"обладнання для виробництва кондитерських виробів")</f>
        <v>обладнання для виробництва кондитерських виробів</v>
      </c>
      <c r="F594" s="17">
        <f>IFERROR(__xludf.DUMMYFUNCTION("""COMPUTED_VALUE"""),4.0)</f>
        <v>4</v>
      </c>
      <c r="G594" s="17">
        <f>IFERROR(__xludf.DUMMYFUNCTION("""COMPUTED_VALUE"""),6430503.0)</f>
        <v>6430503</v>
      </c>
      <c r="H594" s="17" t="str">
        <f>IFERROR(__xludf.DUMMYFUNCTION("""COMPUTED_VALUE"""),"обладнання для виробництва кондитерських виробів")</f>
        <v>обладнання для виробництва кондитерських виробів</v>
      </c>
      <c r="I594" s="18">
        <f>IFERROR(__xludf.DUMMYFUNCTION("""COMPUTED_VALUE"""),0.9)</f>
        <v>0.9</v>
      </c>
      <c r="J594" s="18">
        <f>IFERROR(__xludf.DUMMYFUNCTION("""COMPUTED_VALUE"""),1.8)</f>
        <v>1.8</v>
      </c>
      <c r="K594" s="18">
        <f>IFERROR(__xludf.DUMMYFUNCTION("""COMPUTED_VALUE"""),2.25)</f>
        <v>2.25</v>
      </c>
      <c r="L594" s="18">
        <f>IFERROR(__xludf.DUMMYFUNCTION("""COMPUTED_VALUE"""),3.6)</f>
        <v>3.6</v>
      </c>
    </row>
    <row r="595">
      <c r="A595" s="13" t="str">
        <f>IFERROR(__xludf.DUMMYFUNCTION("""COMPUTED_VALUE"""),"товари")</f>
        <v>товари</v>
      </c>
      <c r="B595" s="13" t="str">
        <f>IFERROR(__xludf.DUMMYFUNCTION("""COMPUTED_VALUE"""),"промислове обладнання та верстати")</f>
        <v>промислове обладнання та верстати</v>
      </c>
      <c r="C595" s="15" t="str">
        <f>IFERROR(__xludf.DUMMYFUNCTION("""COMPUTED_VALUE"""),"виробниче обладнання")</f>
        <v>виробниче обладнання</v>
      </c>
      <c r="D595" s="15" t="str">
        <f>IFERROR(__xludf.DUMMYFUNCTION("""COMPUTED_VALUE"""),"обладнання для виробництва меблів")</f>
        <v>обладнання для виробництва меблів</v>
      </c>
      <c r="E595" s="15" t="str">
        <f>IFERROR(__xludf.DUMMYFUNCTION("""COMPUTED_VALUE"""),"обладнання для виробництва меблів, загальне")</f>
        <v>обладнання для виробництва меблів, загальне</v>
      </c>
      <c r="F595" s="17">
        <f>IFERROR(__xludf.DUMMYFUNCTION("""COMPUTED_VALUE"""),4.0)</f>
        <v>4</v>
      </c>
      <c r="G595" s="17">
        <f>IFERROR(__xludf.DUMMYFUNCTION("""COMPUTED_VALUE"""),370910.0)</f>
        <v>370910</v>
      </c>
      <c r="H595" s="17" t="str">
        <f>IFERROR(__xludf.DUMMYFUNCTION("""COMPUTED_VALUE"""),"обладнання для виробництва меблів, загальне")</f>
        <v>обладнання для виробництва меблів, загальне</v>
      </c>
      <c r="I595" s="18">
        <f>IFERROR(__xludf.DUMMYFUNCTION("""COMPUTED_VALUE"""),2.16)</f>
        <v>2.16</v>
      </c>
      <c r="J595" s="18">
        <f>IFERROR(__xludf.DUMMYFUNCTION("""COMPUTED_VALUE"""),4.33)</f>
        <v>4.33</v>
      </c>
      <c r="K595" s="18">
        <f>IFERROR(__xludf.DUMMYFUNCTION("""COMPUTED_VALUE"""),5.41)</f>
        <v>5.41</v>
      </c>
      <c r="L595" s="18">
        <f>IFERROR(__xludf.DUMMYFUNCTION("""COMPUTED_VALUE"""),8.65)</f>
        <v>8.65</v>
      </c>
    </row>
    <row r="596">
      <c r="A596" s="13" t="str">
        <f>IFERROR(__xludf.DUMMYFUNCTION("""COMPUTED_VALUE"""),"товари")</f>
        <v>товари</v>
      </c>
      <c r="B596" s="13" t="str">
        <f>IFERROR(__xludf.DUMMYFUNCTION("""COMPUTED_VALUE"""),"промислове обладнання та верстати")</f>
        <v>промислове обладнання та верстати</v>
      </c>
      <c r="C596" s="15" t="str">
        <f>IFERROR(__xludf.DUMMYFUNCTION("""COMPUTED_VALUE"""),"пакувальне та фасувальне обладнання")</f>
        <v>пакувальне та фасувальне обладнання</v>
      </c>
      <c r="D596" s="15" t="str">
        <f>IFERROR(__xludf.DUMMYFUNCTION("""COMPUTED_VALUE"""),"обладнання для виробництва пакетів")</f>
        <v>обладнання для виробництва пакетів</v>
      </c>
      <c r="E596" s="15" t="str">
        <f>IFERROR(__xludf.DUMMYFUNCTION("""COMPUTED_VALUE"""),"обладнання для виробництва пакетів")</f>
        <v>обладнання для виробництва пакетів</v>
      </c>
      <c r="F596" s="17">
        <f>IFERROR(__xludf.DUMMYFUNCTION("""COMPUTED_VALUE"""),3.0)</f>
        <v>3</v>
      </c>
      <c r="G596" s="17">
        <f>IFERROR(__xludf.DUMMYFUNCTION("""COMPUTED_VALUE"""),3808.0)</f>
        <v>3808</v>
      </c>
      <c r="H596" s="17" t="str">
        <f>IFERROR(__xludf.DUMMYFUNCTION("""COMPUTED_VALUE"""),"обладнання для виробництва пакетів")</f>
        <v>обладнання для виробництва пакетів</v>
      </c>
      <c r="I596" s="18">
        <f>IFERROR(__xludf.DUMMYFUNCTION("""COMPUTED_VALUE"""),2.21)</f>
        <v>2.21</v>
      </c>
      <c r="J596" s="18">
        <f>IFERROR(__xludf.DUMMYFUNCTION("""COMPUTED_VALUE"""),4.41)</f>
        <v>4.41</v>
      </c>
      <c r="K596" s="18">
        <f>IFERROR(__xludf.DUMMYFUNCTION("""COMPUTED_VALUE"""),5.52)</f>
        <v>5.52</v>
      </c>
      <c r="L596" s="18">
        <f>IFERROR(__xludf.DUMMYFUNCTION("""COMPUTED_VALUE"""),8.83)</f>
        <v>8.83</v>
      </c>
    </row>
    <row r="597">
      <c r="A597" s="13" t="str">
        <f>IFERROR(__xludf.DUMMYFUNCTION("""COMPUTED_VALUE"""),"товари")</f>
        <v>товари</v>
      </c>
      <c r="B597" s="13" t="str">
        <f>IFERROR(__xludf.DUMMYFUNCTION("""COMPUTED_VALUE"""),"промислове обладнання та верстати")</f>
        <v>промислове обладнання та верстати</v>
      </c>
      <c r="C597" s="15" t="str">
        <f>IFERROR(__xludf.DUMMYFUNCTION("""COMPUTED_VALUE"""),"виробниче обладнання")</f>
        <v>виробниче обладнання</v>
      </c>
      <c r="D597" s="15" t="str">
        <f>IFERROR(__xludf.DUMMYFUNCTION("""COMPUTED_VALUE"""),"обладнання для обробки пластику та гуми")</f>
        <v>обладнання для обробки пластику та гуми</v>
      </c>
      <c r="E597" s="15" t="str">
        <f>IFERROR(__xludf.DUMMYFUNCTION("""COMPUTED_VALUE"""),"обладнання для виробництва пластикових виробів")</f>
        <v>обладнання для виробництва пластикових виробів</v>
      </c>
      <c r="F597" s="17">
        <f>IFERROR(__xludf.DUMMYFUNCTION("""COMPUTED_VALUE"""),4.0)</f>
        <v>4</v>
      </c>
      <c r="G597" s="17">
        <f>IFERROR(__xludf.DUMMYFUNCTION("""COMPUTED_VALUE"""),147106.0)</f>
        <v>147106</v>
      </c>
      <c r="H597" s="17" t="str">
        <f>IFERROR(__xludf.DUMMYFUNCTION("""COMPUTED_VALUE"""),"обладнання для виробництва пластикових виробів")</f>
        <v>обладнання для виробництва пластикових виробів</v>
      </c>
      <c r="I597" s="18">
        <f>IFERROR(__xludf.DUMMYFUNCTION("""COMPUTED_VALUE"""),1.53)</f>
        <v>1.53</v>
      </c>
      <c r="J597" s="18">
        <f>IFERROR(__xludf.DUMMYFUNCTION("""COMPUTED_VALUE"""),3.06)</f>
        <v>3.06</v>
      </c>
      <c r="K597" s="18">
        <f>IFERROR(__xludf.DUMMYFUNCTION("""COMPUTED_VALUE"""),3.83)</f>
        <v>3.83</v>
      </c>
      <c r="L597" s="18">
        <f>IFERROR(__xludf.DUMMYFUNCTION("""COMPUTED_VALUE"""),6.13)</f>
        <v>6.13</v>
      </c>
    </row>
    <row r="598">
      <c r="A598" s="13" t="str">
        <f>IFERROR(__xludf.DUMMYFUNCTION("""COMPUTED_VALUE"""),"товари")</f>
        <v>товари</v>
      </c>
      <c r="B598" s="13" t="str">
        <f>IFERROR(__xludf.DUMMYFUNCTION("""COMPUTED_VALUE"""),"промислове обладнання та верстати")</f>
        <v>промислове обладнання та верстати</v>
      </c>
      <c r="C598" s="15" t="str">
        <f>IFERROR(__xludf.DUMMYFUNCTION("""COMPUTED_VALUE"""),"виробниче обладнання")</f>
        <v>виробниче обладнання</v>
      </c>
      <c r="D598" s="15" t="str">
        <f>IFERROR(__xludf.DUMMYFUNCTION("""COMPUTED_VALUE"""),"обладнання для виробництва покрівельних матеріалів")</f>
        <v>обладнання для виробництва покрівельних матеріалів</v>
      </c>
      <c r="E598" s="15" t="str">
        <f>IFERROR(__xludf.DUMMYFUNCTION("""COMPUTED_VALUE"""),"обладнання для виробництва покрівельних матеріалів")</f>
        <v>обладнання для виробництва покрівельних матеріалів</v>
      </c>
      <c r="F598" s="17">
        <f>IFERROR(__xludf.DUMMYFUNCTION("""COMPUTED_VALUE"""),3.0)</f>
        <v>3</v>
      </c>
      <c r="G598" s="17">
        <f>IFERROR(__xludf.DUMMYFUNCTION("""COMPUTED_VALUE"""),431413.0)</f>
        <v>431413</v>
      </c>
      <c r="H598" s="17" t="str">
        <f>IFERROR(__xludf.DUMMYFUNCTION("""COMPUTED_VALUE"""),"обладнання для виробництва покрівельних матеріалів")</f>
        <v>обладнання для виробництва покрівельних матеріалів</v>
      </c>
      <c r="I598" s="18">
        <f>IFERROR(__xludf.DUMMYFUNCTION("""COMPUTED_VALUE"""),0.53)</f>
        <v>0.53</v>
      </c>
      <c r="J598" s="18">
        <f>IFERROR(__xludf.DUMMYFUNCTION("""COMPUTED_VALUE"""),1.05)</f>
        <v>1.05</v>
      </c>
      <c r="K598" s="18">
        <f>IFERROR(__xludf.DUMMYFUNCTION("""COMPUTED_VALUE"""),1.31)</f>
        <v>1.31</v>
      </c>
      <c r="L598" s="18">
        <f>IFERROR(__xludf.DUMMYFUNCTION("""COMPUTED_VALUE"""),2.1)</f>
        <v>2.1</v>
      </c>
    </row>
    <row r="599">
      <c r="A599" s="13" t="str">
        <f>IFERROR(__xludf.DUMMYFUNCTION("""COMPUTED_VALUE"""),"товари")</f>
        <v>товари</v>
      </c>
      <c r="B599" s="13" t="str">
        <f>IFERROR(__xludf.DUMMYFUNCTION("""COMPUTED_VALUE"""),"промислове обладнання та верстати")</f>
        <v>промислове обладнання та верстати</v>
      </c>
      <c r="C599" s="15" t="str">
        <f>IFERROR(__xludf.DUMMYFUNCTION("""COMPUTED_VALUE"""),"виробниче обладнання")</f>
        <v>виробниче обладнання</v>
      </c>
      <c r="D599" s="15" t="str">
        <f>IFERROR(__xludf.DUMMYFUNCTION("""COMPUTED_VALUE"""),"обладнання для виробництва та обробки паперових виробів, серветок")</f>
        <v>обладнання для виробництва та обробки паперових виробів, серветок</v>
      </c>
      <c r="E599" s="15" t="str">
        <f>IFERROR(__xludf.DUMMYFUNCTION("""COMPUTED_VALUE"""),"обладнання для виробництва та обробки паперових виробів, серветок")</f>
        <v>обладнання для виробництва та обробки паперових виробів, серветок</v>
      </c>
      <c r="F599" s="17">
        <f>IFERROR(__xludf.DUMMYFUNCTION("""COMPUTED_VALUE"""),3.0)</f>
        <v>3</v>
      </c>
      <c r="G599" s="17">
        <f>IFERROR(__xludf.DUMMYFUNCTION("""COMPUTED_VALUE"""),2308.0)</f>
        <v>2308</v>
      </c>
      <c r="H599" s="17" t="str">
        <f>IFERROR(__xludf.DUMMYFUNCTION("""COMPUTED_VALUE"""),"обладнання для виробництва та обробки паперових виробів, серветок")</f>
        <v>обладнання для виробництва та обробки паперових виробів, серветок</v>
      </c>
      <c r="I599" s="18">
        <f>IFERROR(__xludf.DUMMYFUNCTION("""COMPUTED_VALUE"""),0.53)</f>
        <v>0.53</v>
      </c>
      <c r="J599" s="18">
        <f>IFERROR(__xludf.DUMMYFUNCTION("""COMPUTED_VALUE"""),1.05)</f>
        <v>1.05</v>
      </c>
      <c r="K599" s="18">
        <f>IFERROR(__xludf.DUMMYFUNCTION("""COMPUTED_VALUE"""),1.31)</f>
        <v>1.31</v>
      </c>
      <c r="L599" s="18">
        <f>IFERROR(__xludf.DUMMYFUNCTION("""COMPUTED_VALUE"""),2.1)</f>
        <v>2.1</v>
      </c>
    </row>
    <row r="600">
      <c r="A600" s="13" t="str">
        <f>IFERROR(__xludf.DUMMYFUNCTION("""COMPUTED_VALUE"""),"товари")</f>
        <v>товари</v>
      </c>
      <c r="B600" s="13" t="str">
        <f>IFERROR(__xludf.DUMMYFUNCTION("""COMPUTED_VALUE"""),"промислове обладнання та верстати")</f>
        <v>промислове обладнання та верстати</v>
      </c>
      <c r="C600" s="15" t="str">
        <f>IFERROR(__xludf.DUMMYFUNCTION("""COMPUTED_VALUE"""),"виробниче обладнання")</f>
        <v>виробниче обладнання</v>
      </c>
      <c r="D600" s="15" t="str">
        <f>IFERROR(__xludf.DUMMYFUNCTION("""COMPUTED_VALUE"""),"обладнання для виробництва та прокладання труб")</f>
        <v>обладнання для виробництва та прокладання труб</v>
      </c>
      <c r="E600" s="15" t="str">
        <f>IFERROR(__xludf.DUMMYFUNCTION("""COMPUTED_VALUE"""),"обладнання для виробництва та прокладання труб")</f>
        <v>обладнання для виробництва та прокладання труб</v>
      </c>
      <c r="F600" s="17">
        <f>IFERROR(__xludf.DUMMYFUNCTION("""COMPUTED_VALUE"""),3.0)</f>
        <v>3</v>
      </c>
      <c r="G600" s="17">
        <f>IFERROR(__xludf.DUMMYFUNCTION("""COMPUTED_VALUE"""),431405.0)</f>
        <v>431405</v>
      </c>
      <c r="H600" s="17" t="str">
        <f>IFERROR(__xludf.DUMMYFUNCTION("""COMPUTED_VALUE"""),"обладнання для виробництва та прокладання труб")</f>
        <v>обладнання для виробництва та прокладання труб</v>
      </c>
      <c r="I600" s="18">
        <f>IFERROR(__xludf.DUMMYFUNCTION("""COMPUTED_VALUE"""),0.53)</f>
        <v>0.53</v>
      </c>
      <c r="J600" s="18">
        <f>IFERROR(__xludf.DUMMYFUNCTION("""COMPUTED_VALUE"""),1.05)</f>
        <v>1.05</v>
      </c>
      <c r="K600" s="18">
        <f>IFERROR(__xludf.DUMMYFUNCTION("""COMPUTED_VALUE"""),1.31)</f>
        <v>1.31</v>
      </c>
      <c r="L600" s="18">
        <f>IFERROR(__xludf.DUMMYFUNCTION("""COMPUTED_VALUE"""),2.1)</f>
        <v>2.1</v>
      </c>
    </row>
    <row r="601">
      <c r="A601" s="13" t="str">
        <f>IFERROR(__xludf.DUMMYFUNCTION("""COMPUTED_VALUE"""),"товари")</f>
        <v>товари</v>
      </c>
      <c r="B601" s="13" t="str">
        <f>IFERROR(__xludf.DUMMYFUNCTION("""COMPUTED_VALUE"""),"промислове обладнання та верстати")</f>
        <v>промислове обладнання та верстати</v>
      </c>
      <c r="C601" s="15" t="str">
        <f>IFERROR(__xludf.DUMMYFUNCTION("""COMPUTED_VALUE"""),"обладнання для автозаправних станцій, нафтобаз")</f>
        <v>обладнання для автозаправних станцій, нафтобаз</v>
      </c>
      <c r="D601" s="15" t="str">
        <f>IFERROR(__xludf.DUMMYFUNCTION("""COMPUTED_VALUE"""),"обладнання для зливу/наливу нафтопродуктів")</f>
        <v>обладнання для зливу/наливу нафтопродуктів</v>
      </c>
      <c r="E601" s="15" t="str">
        <f>IFERROR(__xludf.DUMMYFUNCTION("""COMPUTED_VALUE"""),"обладнання для зливу/наливу нафтопродуктів")</f>
        <v>обладнання для зливу/наливу нафтопродуктів</v>
      </c>
      <c r="F601" s="17">
        <f>IFERROR(__xludf.DUMMYFUNCTION("""COMPUTED_VALUE"""),3.0)</f>
        <v>3</v>
      </c>
      <c r="G601" s="17">
        <f>IFERROR(__xludf.DUMMYFUNCTION("""COMPUTED_VALUE"""),141203.0)</f>
        <v>141203</v>
      </c>
      <c r="H601" s="17" t="str">
        <f>IFERROR(__xludf.DUMMYFUNCTION("""COMPUTED_VALUE"""),"обладнання для зливу/наливу нафтопродуктів")</f>
        <v>обладнання для зливу/наливу нафтопродуктів</v>
      </c>
      <c r="I601" s="18">
        <f>IFERROR(__xludf.DUMMYFUNCTION("""COMPUTED_VALUE"""),1.58)</f>
        <v>1.58</v>
      </c>
      <c r="J601" s="18">
        <f>IFERROR(__xludf.DUMMYFUNCTION("""COMPUTED_VALUE"""),3.15)</f>
        <v>3.15</v>
      </c>
      <c r="K601" s="18">
        <f>IFERROR(__xludf.DUMMYFUNCTION("""COMPUTED_VALUE"""),3.94)</f>
        <v>3.94</v>
      </c>
      <c r="L601" s="18">
        <f>IFERROR(__xludf.DUMMYFUNCTION("""COMPUTED_VALUE"""),6.3)</f>
        <v>6.3</v>
      </c>
    </row>
    <row r="602">
      <c r="A602" s="13" t="str">
        <f>IFERROR(__xludf.DUMMYFUNCTION("""COMPUTED_VALUE"""),"товари")</f>
        <v>товари</v>
      </c>
      <c r="B602" s="13" t="str">
        <f>IFERROR(__xludf.DUMMYFUNCTION("""COMPUTED_VALUE"""),"промислове обладнання та верстати")</f>
        <v>промислове обладнання та верстати</v>
      </c>
      <c r="C602" s="15" t="str">
        <f>IFERROR(__xludf.DUMMYFUNCTION("""COMPUTED_VALUE"""),"технологічне обладнання")</f>
        <v>технологічне обладнання</v>
      </c>
      <c r="D602" s="15" t="str">
        <f>IFERROR(__xludf.DUMMYFUNCTION("""COMPUTED_VALUE"""),"лазерне обладнання")</f>
        <v>лазерне обладнання</v>
      </c>
      <c r="E602" s="15" t="str">
        <f>IFERROR(__xludf.DUMMYFUNCTION("""COMPUTED_VALUE"""),"обладнання для лазерного гравіювання")</f>
        <v>обладнання для лазерного гравіювання</v>
      </c>
      <c r="F602" s="17">
        <f>IFERROR(__xludf.DUMMYFUNCTION("""COMPUTED_VALUE"""),4.0)</f>
        <v>4</v>
      </c>
      <c r="G602" s="17">
        <f>IFERROR(__xludf.DUMMYFUNCTION("""COMPUTED_VALUE"""),52002.0)</f>
        <v>52002</v>
      </c>
      <c r="H602" s="17" t="str">
        <f>IFERROR(__xludf.DUMMYFUNCTION("""COMPUTED_VALUE"""),"обладнання для лазерного гравіювання")</f>
        <v>обладнання для лазерного гравіювання</v>
      </c>
      <c r="I602" s="18">
        <f>IFERROR(__xludf.DUMMYFUNCTION("""COMPUTED_VALUE"""),2.21)</f>
        <v>2.21</v>
      </c>
      <c r="J602" s="18">
        <f>IFERROR(__xludf.DUMMYFUNCTION("""COMPUTED_VALUE"""),4.41)</f>
        <v>4.41</v>
      </c>
      <c r="K602" s="18">
        <f>IFERROR(__xludf.DUMMYFUNCTION("""COMPUTED_VALUE"""),5.52)</f>
        <v>5.52</v>
      </c>
      <c r="L602" s="18">
        <f>IFERROR(__xludf.DUMMYFUNCTION("""COMPUTED_VALUE"""),8.83)</f>
        <v>8.83</v>
      </c>
    </row>
    <row r="603">
      <c r="A603" s="13" t="str">
        <f>IFERROR(__xludf.DUMMYFUNCTION("""COMPUTED_VALUE"""),"товари")</f>
        <v>товари</v>
      </c>
      <c r="B603" s="13" t="str">
        <f>IFERROR(__xludf.DUMMYFUNCTION("""COMPUTED_VALUE"""),"промислове обладнання та верстати")</f>
        <v>промислове обладнання та верстати</v>
      </c>
      <c r="C603" s="15" t="str">
        <f>IFERROR(__xludf.DUMMYFUNCTION("""COMPUTED_VALUE"""),"обладнання для харчової промисловості")</f>
        <v>обладнання для харчової промисловості</v>
      </c>
      <c r="D603" s="15" t="str">
        <f>IFERROR(__xludf.DUMMYFUNCTION("""COMPUTED_VALUE"""),"обладнання для миття, розливу, фасувально-пакувальних і складських операцій")</f>
        <v>обладнання для миття, розливу, фасувально-пакувальних і складських операцій</v>
      </c>
      <c r="E603" s="15" t="str">
        <f>IFERROR(__xludf.DUMMYFUNCTION("""COMPUTED_VALUE"""),"обладнання для миття харчових продуктів")</f>
        <v>обладнання для миття харчових продуктів</v>
      </c>
      <c r="F603" s="17">
        <f>IFERROR(__xludf.DUMMYFUNCTION("""COMPUTED_VALUE"""),4.0)</f>
        <v>4</v>
      </c>
      <c r="G603" s="17">
        <f>IFERROR(__xludf.DUMMYFUNCTION("""COMPUTED_VALUE"""),2201804.0)</f>
        <v>2201804</v>
      </c>
      <c r="H603" s="17" t="str">
        <f>IFERROR(__xludf.DUMMYFUNCTION("""COMPUTED_VALUE"""),"обладнання для миття харчових продуктів")</f>
        <v>обладнання для миття харчових продуктів</v>
      </c>
      <c r="I603" s="18">
        <f>IFERROR(__xludf.DUMMYFUNCTION("""COMPUTED_VALUE"""),1.08)</f>
        <v>1.08</v>
      </c>
      <c r="J603" s="18">
        <f>IFERROR(__xludf.DUMMYFUNCTION("""COMPUTED_VALUE"""),2.16)</f>
        <v>2.16</v>
      </c>
      <c r="K603" s="18">
        <f>IFERROR(__xludf.DUMMYFUNCTION("""COMPUTED_VALUE"""),2.7)</f>
        <v>2.7</v>
      </c>
      <c r="L603" s="18">
        <f>IFERROR(__xludf.DUMMYFUNCTION("""COMPUTED_VALUE"""),4.33)</f>
        <v>4.33</v>
      </c>
    </row>
    <row r="604">
      <c r="A604" s="13" t="str">
        <f>IFERROR(__xludf.DUMMYFUNCTION("""COMPUTED_VALUE"""),"товари")</f>
        <v>товари</v>
      </c>
      <c r="B604" s="13" t="str">
        <f>IFERROR(__xludf.DUMMYFUNCTION("""COMPUTED_VALUE"""),"промислове обладнання та верстати")</f>
        <v>промислове обладнання та верстати</v>
      </c>
      <c r="C604" s="15" t="str">
        <f>IFERROR(__xludf.DUMMYFUNCTION("""COMPUTED_VALUE"""),"верстати")</f>
        <v>верстати</v>
      </c>
      <c r="D604" s="15" t="str">
        <f>IFERROR(__xludf.DUMMYFUNCTION("""COMPUTED_VALUE"""),"обладнання для нанесення клею")</f>
        <v>обладнання для нанесення клею</v>
      </c>
      <c r="E604" s="15" t="str">
        <f>IFERROR(__xludf.DUMMYFUNCTION("""COMPUTED_VALUE"""),"обладнання для нанесення клею")</f>
        <v>обладнання для нанесення клею</v>
      </c>
      <c r="F604" s="17">
        <f>IFERROR(__xludf.DUMMYFUNCTION("""COMPUTED_VALUE"""),3.0)</f>
        <v>3</v>
      </c>
      <c r="G604" s="17">
        <f>IFERROR(__xludf.DUMMYFUNCTION("""COMPUTED_VALUE"""),143119.0)</f>
        <v>143119</v>
      </c>
      <c r="H604" s="17" t="str">
        <f>IFERROR(__xludf.DUMMYFUNCTION("""COMPUTED_VALUE"""),"обладнання для нанесення клею")</f>
        <v>обладнання для нанесення клею</v>
      </c>
      <c r="I604" s="18">
        <f>IFERROR(__xludf.DUMMYFUNCTION("""COMPUTED_VALUE"""),0.53)</f>
        <v>0.53</v>
      </c>
      <c r="J604" s="18">
        <f>IFERROR(__xludf.DUMMYFUNCTION("""COMPUTED_VALUE"""),1.05)</f>
        <v>1.05</v>
      </c>
      <c r="K604" s="18">
        <f>IFERROR(__xludf.DUMMYFUNCTION("""COMPUTED_VALUE"""),1.31)</f>
        <v>1.31</v>
      </c>
      <c r="L604" s="18">
        <f>IFERROR(__xludf.DUMMYFUNCTION("""COMPUTED_VALUE"""),2.1)</f>
        <v>2.1</v>
      </c>
    </row>
    <row r="605">
      <c r="A605" s="13" t="str">
        <f>IFERROR(__xludf.DUMMYFUNCTION("""COMPUTED_VALUE"""),"товари")</f>
        <v>товари</v>
      </c>
      <c r="B605" s="13" t="str">
        <f>IFERROR(__xludf.DUMMYFUNCTION("""COMPUTED_VALUE"""),"промислове обладнання та верстати")</f>
        <v>промислове обладнання та верстати</v>
      </c>
      <c r="C605" s="15" t="str">
        <f>IFERROR(__xludf.DUMMYFUNCTION("""COMPUTED_VALUE"""),"обладнання для видобувної промисловості")</f>
        <v>обладнання для видобувної промисловості</v>
      </c>
      <c r="D605" s="15" t="str">
        <f>IFERROR(__xludf.DUMMYFUNCTION("""COMPUTED_VALUE"""),"обладнання для нафтовидобутку")</f>
        <v>обладнання для нафтовидобутку</v>
      </c>
      <c r="E605" s="15" t="str">
        <f>IFERROR(__xludf.DUMMYFUNCTION("""COMPUTED_VALUE"""),"обладнання для нафтовидобутку")</f>
        <v>обладнання для нафтовидобутку</v>
      </c>
      <c r="F605" s="17">
        <f>IFERROR(__xludf.DUMMYFUNCTION("""COMPUTED_VALUE"""),3.0)</f>
        <v>3</v>
      </c>
      <c r="G605" s="17">
        <f>IFERROR(__xludf.DUMMYFUNCTION("""COMPUTED_VALUE"""),430103.0)</f>
        <v>430103</v>
      </c>
      <c r="H605" s="17" t="str">
        <f>IFERROR(__xludf.DUMMYFUNCTION("""COMPUTED_VALUE"""),"обладнання для нафтовидобутку")</f>
        <v>обладнання для нафтовидобутку</v>
      </c>
      <c r="I605" s="18">
        <f>IFERROR(__xludf.DUMMYFUNCTION("""COMPUTED_VALUE"""),1.08)</f>
        <v>1.08</v>
      </c>
      <c r="J605" s="18">
        <f>IFERROR(__xludf.DUMMYFUNCTION("""COMPUTED_VALUE"""),2.16)</f>
        <v>2.16</v>
      </c>
      <c r="K605" s="18">
        <f>IFERROR(__xludf.DUMMYFUNCTION("""COMPUTED_VALUE"""),2.7)</f>
        <v>2.7</v>
      </c>
      <c r="L605" s="18">
        <f>IFERROR(__xludf.DUMMYFUNCTION("""COMPUTED_VALUE"""),4.33)</f>
        <v>4.33</v>
      </c>
    </row>
    <row r="606">
      <c r="A606" s="13" t="str">
        <f>IFERROR(__xludf.DUMMYFUNCTION("""COMPUTED_VALUE"""),"товари")</f>
        <v>товари</v>
      </c>
      <c r="B606" s="13" t="str">
        <f>IFERROR(__xludf.DUMMYFUNCTION("""COMPUTED_VALUE"""),"промислове обладнання та верстати")</f>
        <v>промислове обладнання та верстати</v>
      </c>
      <c r="C606" s="15" t="str">
        <f>IFERROR(__xludf.DUMMYFUNCTION("""COMPUTED_VALUE"""),"виробниче обладнання")</f>
        <v>виробниче обладнання</v>
      </c>
      <c r="D606" s="15" t="str">
        <f>IFERROR(__xludf.DUMMYFUNCTION("""COMPUTED_VALUE"""),"обладнання для обробки пластику та гуми")</f>
        <v>обладнання для обробки пластику та гуми</v>
      </c>
      <c r="E606" s="15" t="str">
        <f>IFERROR(__xludf.DUMMYFUNCTION("""COMPUTED_VALUE"""),"обладнання для обробки пластику, загальне")</f>
        <v>обладнання для обробки пластику, загальне</v>
      </c>
      <c r="F606" s="17">
        <f>IFERROR(__xludf.DUMMYFUNCTION("""COMPUTED_VALUE"""),4.0)</f>
        <v>4</v>
      </c>
      <c r="G606" s="17">
        <f>IFERROR(__xludf.DUMMYFUNCTION("""COMPUTED_VALUE"""),147199.0)</f>
        <v>147199</v>
      </c>
      <c r="H606" s="17" t="str">
        <f>IFERROR(__xludf.DUMMYFUNCTION("""COMPUTED_VALUE"""),"обладнання для обробки пластику, загальне")</f>
        <v>обладнання для обробки пластику, загальне</v>
      </c>
      <c r="I606" s="18">
        <f>IFERROR(__xludf.DUMMYFUNCTION("""COMPUTED_VALUE"""),2.16)</f>
        <v>2.16</v>
      </c>
      <c r="J606" s="18">
        <f>IFERROR(__xludf.DUMMYFUNCTION("""COMPUTED_VALUE"""),4.33)</f>
        <v>4.33</v>
      </c>
      <c r="K606" s="18">
        <f>IFERROR(__xludf.DUMMYFUNCTION("""COMPUTED_VALUE"""),5.41)</f>
        <v>5.41</v>
      </c>
      <c r="L606" s="18">
        <f>IFERROR(__xludf.DUMMYFUNCTION("""COMPUTED_VALUE"""),8.65)</f>
        <v>8.65</v>
      </c>
    </row>
    <row r="607">
      <c r="A607" s="13" t="str">
        <f>IFERROR(__xludf.DUMMYFUNCTION("""COMPUTED_VALUE"""),"товари")</f>
        <v>товари</v>
      </c>
      <c r="B607" s="13" t="str">
        <f>IFERROR(__xludf.DUMMYFUNCTION("""COMPUTED_VALUE"""),"промислове обладнання та верстати")</f>
        <v>промислове обладнання та верстати</v>
      </c>
      <c r="C607" s="15" t="str">
        <f>IFERROR(__xludf.DUMMYFUNCTION("""COMPUTED_VALUE"""),"виробниче обладнання")</f>
        <v>виробниче обладнання</v>
      </c>
      <c r="D607" s="15" t="str">
        <f>IFERROR(__xludf.DUMMYFUNCTION("""COMPUTED_VALUE"""),"обладнання для обробки та виробництва виробів зі скла")</f>
        <v>обладнання для обробки та виробництва виробів зі скла</v>
      </c>
      <c r="E607" s="15" t="str">
        <f>IFERROR(__xludf.DUMMYFUNCTION("""COMPUTED_VALUE"""),"обладнання для обробки та виробництва виробів зі скла")</f>
        <v>обладнання для обробки та виробництва виробів зі скла</v>
      </c>
      <c r="F607" s="17">
        <f>IFERROR(__xludf.DUMMYFUNCTION("""COMPUTED_VALUE"""),3.0)</f>
        <v>3</v>
      </c>
      <c r="G607" s="17">
        <f>IFERROR(__xludf.DUMMYFUNCTION("""COMPUTED_VALUE"""),4323.0)</f>
        <v>4323</v>
      </c>
      <c r="H607" s="17" t="str">
        <f>IFERROR(__xludf.DUMMYFUNCTION("""COMPUTED_VALUE"""),"обладнання для обробки та виробництва виробів зі скла")</f>
        <v>обладнання для обробки та виробництва виробів зі скла</v>
      </c>
      <c r="I607" s="18">
        <f>IFERROR(__xludf.DUMMYFUNCTION("""COMPUTED_VALUE"""),1.39)</f>
        <v>1.39</v>
      </c>
      <c r="J607" s="18">
        <f>IFERROR(__xludf.DUMMYFUNCTION("""COMPUTED_VALUE"""),2.79)</f>
        <v>2.79</v>
      </c>
      <c r="K607" s="18">
        <f>IFERROR(__xludf.DUMMYFUNCTION("""COMPUTED_VALUE"""),3.48)</f>
        <v>3.48</v>
      </c>
      <c r="L607" s="18">
        <f>IFERROR(__xludf.DUMMYFUNCTION("""COMPUTED_VALUE"""),5.58)</f>
        <v>5.58</v>
      </c>
    </row>
    <row r="608">
      <c r="A608" s="13" t="str">
        <f>IFERROR(__xludf.DUMMYFUNCTION("""COMPUTED_VALUE"""),"товари")</f>
        <v>товари</v>
      </c>
      <c r="B608" s="13" t="str">
        <f>IFERROR(__xludf.DUMMYFUNCTION("""COMPUTED_VALUE"""),"промислове обладнання та верстати")</f>
        <v>промислове обладнання та верстати</v>
      </c>
      <c r="C608" s="15" t="str">
        <f>IFERROR(__xludf.DUMMYFUNCTION("""COMPUTED_VALUE"""),"гідрообладнання")</f>
        <v>гідрообладнання</v>
      </c>
      <c r="D608" s="15" t="str">
        <f>IFERROR(__xludf.DUMMYFUNCTION("""COMPUTED_VALUE"""),"обладнання для очищення стічних вод")</f>
        <v>обладнання для очищення стічних вод</v>
      </c>
      <c r="E608" s="15" t="str">
        <f>IFERROR(__xludf.DUMMYFUNCTION("""COMPUTED_VALUE"""),"обладнання для очищення стічних вод")</f>
        <v>обладнання для очищення стічних вод</v>
      </c>
      <c r="F608" s="17">
        <f>IFERROR(__xludf.DUMMYFUNCTION("""COMPUTED_VALUE"""),3.0)</f>
        <v>3</v>
      </c>
      <c r="G608" s="17">
        <f>IFERROR(__xludf.DUMMYFUNCTION("""COMPUTED_VALUE"""),140317.0)</f>
        <v>140317</v>
      </c>
      <c r="H608" s="17" t="str">
        <f>IFERROR(__xludf.DUMMYFUNCTION("""COMPUTED_VALUE"""),"обладнання для очищення стічних вод")</f>
        <v>обладнання для очищення стічних вод</v>
      </c>
      <c r="I608" s="18">
        <f>IFERROR(__xludf.DUMMYFUNCTION("""COMPUTED_VALUE"""),2.1)</f>
        <v>2.1</v>
      </c>
      <c r="J608" s="18">
        <f>IFERROR(__xludf.DUMMYFUNCTION("""COMPUTED_VALUE"""),4.2)</f>
        <v>4.2</v>
      </c>
      <c r="K608" s="18">
        <f>IFERROR(__xludf.DUMMYFUNCTION("""COMPUTED_VALUE"""),5.25)</f>
        <v>5.25</v>
      </c>
      <c r="L608" s="18">
        <f>IFERROR(__xludf.DUMMYFUNCTION("""COMPUTED_VALUE"""),8.4)</f>
        <v>8.4</v>
      </c>
    </row>
    <row r="609">
      <c r="A609" s="13" t="str">
        <f>IFERROR(__xludf.DUMMYFUNCTION("""COMPUTED_VALUE"""),"товари")</f>
        <v>товари</v>
      </c>
      <c r="B609" s="13" t="str">
        <f>IFERROR(__xludf.DUMMYFUNCTION("""COMPUTED_VALUE"""),"промислове обладнання та верстати")</f>
        <v>промислове обладнання та верстати</v>
      </c>
      <c r="C609" s="15" t="str">
        <f>IFERROR(__xludf.DUMMYFUNCTION("""COMPUTED_VALUE"""),"обладнання для харчової промисловості")</f>
        <v>обладнання для харчової промисловості</v>
      </c>
      <c r="D609" s="15" t="str">
        <f>IFERROR(__xludf.DUMMYFUNCTION("""COMPUTED_VALUE"""),"обладнання для переробки овочів та фруктів")</f>
        <v>обладнання для переробки овочів та фруктів</v>
      </c>
      <c r="E609" s="15" t="str">
        <f>IFERROR(__xludf.DUMMYFUNCTION("""COMPUTED_VALUE"""),"обладнання для переробки овочів та фруктів, загальне")</f>
        <v>обладнання для переробки овочів та фруктів, загальне</v>
      </c>
      <c r="F609" s="17">
        <f>IFERROR(__xludf.DUMMYFUNCTION("""COMPUTED_VALUE"""),4.0)</f>
        <v>4</v>
      </c>
      <c r="G609" s="17">
        <f>IFERROR(__xludf.DUMMYFUNCTION("""COMPUTED_VALUE"""),2200101.0)</f>
        <v>2200101</v>
      </c>
      <c r="H609" s="17" t="str">
        <f>IFERROR(__xludf.DUMMYFUNCTION("""COMPUTED_VALUE"""),"обладнання для переробки овочів та фруктів, загальне")</f>
        <v>обладнання для переробки овочів та фруктів, загальне</v>
      </c>
      <c r="I609" s="18">
        <f>IFERROR(__xludf.DUMMYFUNCTION("""COMPUTED_VALUE"""),2.16)</f>
        <v>2.16</v>
      </c>
      <c r="J609" s="18">
        <f>IFERROR(__xludf.DUMMYFUNCTION("""COMPUTED_VALUE"""),4.33)</f>
        <v>4.33</v>
      </c>
      <c r="K609" s="18">
        <f>IFERROR(__xludf.DUMMYFUNCTION("""COMPUTED_VALUE"""),5.41)</f>
        <v>5.41</v>
      </c>
      <c r="L609" s="18">
        <f>IFERROR(__xludf.DUMMYFUNCTION("""COMPUTED_VALUE"""),8.65)</f>
        <v>8.65</v>
      </c>
    </row>
    <row r="610">
      <c r="A610" s="13" t="str">
        <f>IFERROR(__xludf.DUMMYFUNCTION("""COMPUTED_VALUE"""),"товари")</f>
        <v>товари</v>
      </c>
      <c r="B610" s="13" t="str">
        <f>IFERROR(__xludf.DUMMYFUNCTION("""COMPUTED_VALUE"""),"промислове обладнання та верстати")</f>
        <v>промислове обладнання та верстати</v>
      </c>
      <c r="C610" s="15" t="str">
        <f>IFERROR(__xludf.DUMMYFUNCTION("""COMPUTED_VALUE"""),"обладнання для харчової промисловості")</f>
        <v>обладнання для харчової промисловості</v>
      </c>
      <c r="D610" s="15" t="str">
        <f>IFERROR(__xludf.DUMMYFUNCTION("""COMPUTED_VALUE"""),"обладнання для переробки яєць")</f>
        <v>обладнання для переробки яєць</v>
      </c>
      <c r="E610" s="15" t="str">
        <f>IFERROR(__xludf.DUMMYFUNCTION("""COMPUTED_VALUE"""),"обладнання для переробки яєць")</f>
        <v>обладнання для переробки яєць</v>
      </c>
      <c r="F610" s="17">
        <f>IFERROR(__xludf.DUMMYFUNCTION("""COMPUTED_VALUE"""),3.0)</f>
        <v>3</v>
      </c>
      <c r="G610" s="17">
        <f>IFERROR(__xludf.DUMMYFUNCTION("""COMPUTED_VALUE"""),22027.0)</f>
        <v>22027</v>
      </c>
      <c r="H610" s="17" t="str">
        <f>IFERROR(__xludf.DUMMYFUNCTION("""COMPUTED_VALUE"""),"обладнання для переробки яєць")</f>
        <v>обладнання для переробки яєць</v>
      </c>
      <c r="I610" s="18">
        <f>IFERROR(__xludf.DUMMYFUNCTION("""COMPUTED_VALUE"""),1.31)</f>
        <v>1.31</v>
      </c>
      <c r="J610" s="18">
        <f>IFERROR(__xludf.DUMMYFUNCTION("""COMPUTED_VALUE"""),2.61)</f>
        <v>2.61</v>
      </c>
      <c r="K610" s="18">
        <f>IFERROR(__xludf.DUMMYFUNCTION("""COMPUTED_VALUE"""),3.27)</f>
        <v>3.27</v>
      </c>
      <c r="L610" s="18">
        <f>IFERROR(__xludf.DUMMYFUNCTION("""COMPUTED_VALUE"""),5.23)</f>
        <v>5.23</v>
      </c>
    </row>
    <row r="611">
      <c r="A611" s="13" t="str">
        <f>IFERROR(__xludf.DUMMYFUNCTION("""COMPUTED_VALUE"""),"товари")</f>
        <v>товари</v>
      </c>
      <c r="B611" s="13" t="str">
        <f>IFERROR(__xludf.DUMMYFUNCTION("""COMPUTED_VALUE"""),"промислове обладнання та верстати")</f>
        <v>промислове обладнання та верстати</v>
      </c>
      <c r="C611" s="15" t="str">
        <f>IFERROR(__xludf.DUMMYFUNCTION("""COMPUTED_VALUE"""),"обладнання для харчової промисловості")</f>
        <v>обладнання для харчової промисловості</v>
      </c>
      <c r="D611" s="15" t="str">
        <f>IFERROR(__xludf.DUMMYFUNCTION("""COMPUTED_VALUE"""),"обладнання для переробки риби та інших морепродуктів")</f>
        <v>обладнання для переробки риби та інших морепродуктів</v>
      </c>
      <c r="E611" s="15" t="str">
        <f>IFERROR(__xludf.DUMMYFUNCTION("""COMPUTED_VALUE"""),"обладнання для переробки риби та інших морепродуктів")</f>
        <v>обладнання для переробки риби та інших морепродуктів</v>
      </c>
      <c r="F611" s="17">
        <f>IFERROR(__xludf.DUMMYFUNCTION("""COMPUTED_VALUE"""),3.0)</f>
        <v>3</v>
      </c>
      <c r="G611" s="17">
        <f>IFERROR(__xludf.DUMMYFUNCTION("""COMPUTED_VALUE"""),2200201.0)</f>
        <v>2200201</v>
      </c>
      <c r="H611" s="17" t="str">
        <f>IFERROR(__xludf.DUMMYFUNCTION("""COMPUTED_VALUE"""),"обладнання для переробки риби та інших морепродуктів")</f>
        <v>обладнання для переробки риби та інших морепродуктів</v>
      </c>
      <c r="I611" s="18">
        <f>IFERROR(__xludf.DUMMYFUNCTION("""COMPUTED_VALUE"""),0.86)</f>
        <v>0.86</v>
      </c>
      <c r="J611" s="18">
        <f>IFERROR(__xludf.DUMMYFUNCTION("""COMPUTED_VALUE"""),1.71)</f>
        <v>1.71</v>
      </c>
      <c r="K611" s="18">
        <f>IFERROR(__xludf.DUMMYFUNCTION("""COMPUTED_VALUE"""),2.14)</f>
        <v>2.14</v>
      </c>
      <c r="L611" s="18">
        <f>IFERROR(__xludf.DUMMYFUNCTION("""COMPUTED_VALUE"""),3.43)</f>
        <v>3.43</v>
      </c>
    </row>
    <row r="612">
      <c r="A612" s="13" t="str">
        <f>IFERROR(__xludf.DUMMYFUNCTION("""COMPUTED_VALUE"""),"товари")</f>
        <v>товари</v>
      </c>
      <c r="B612" s="13" t="str">
        <f>IFERROR(__xludf.DUMMYFUNCTION("""COMPUTED_VALUE"""),"промислове обладнання та верстати")</f>
        <v>промислове обладнання та верстати</v>
      </c>
      <c r="C612" s="15" t="str">
        <f>IFERROR(__xludf.DUMMYFUNCTION("""COMPUTED_VALUE"""),"виробниче обладнання")</f>
        <v>виробниче обладнання</v>
      </c>
      <c r="D612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612" s="15" t="str">
        <f>IFERROR(__xludf.DUMMYFUNCTION("""COMPUTED_VALUE"""),"обладнання для прокладання кабелю, загальне")</f>
        <v>обладнання для прокладання кабелю, загальне</v>
      </c>
      <c r="F612" s="17">
        <f>IFERROR(__xludf.DUMMYFUNCTION("""COMPUTED_VALUE"""),4.0)</f>
        <v>4</v>
      </c>
      <c r="G612" s="17">
        <f>IFERROR(__xludf.DUMMYFUNCTION("""COMPUTED_VALUE"""),1.4190439E7)</f>
        <v>14190439</v>
      </c>
      <c r="H612" s="17" t="str">
        <f>IFERROR(__xludf.DUMMYFUNCTION("""COMPUTED_VALUE"""),"обладнання для прокладання кабелю, загальне")</f>
        <v>обладнання для прокладання кабелю, загальне</v>
      </c>
      <c r="I612" s="18">
        <f>IFERROR(__xludf.DUMMYFUNCTION("""COMPUTED_VALUE"""),2.16)</f>
        <v>2.16</v>
      </c>
      <c r="J612" s="18">
        <f>IFERROR(__xludf.DUMMYFUNCTION("""COMPUTED_VALUE"""),4.33)</f>
        <v>4.33</v>
      </c>
      <c r="K612" s="18">
        <f>IFERROR(__xludf.DUMMYFUNCTION("""COMPUTED_VALUE"""),5.41)</f>
        <v>5.41</v>
      </c>
      <c r="L612" s="18">
        <f>IFERROR(__xludf.DUMMYFUNCTION("""COMPUTED_VALUE"""),8.65)</f>
        <v>8.65</v>
      </c>
    </row>
    <row r="613">
      <c r="A613" s="13" t="str">
        <f>IFERROR(__xludf.DUMMYFUNCTION("""COMPUTED_VALUE"""),"товари")</f>
        <v>товари</v>
      </c>
      <c r="B613" s="13" t="str">
        <f>IFERROR(__xludf.DUMMYFUNCTION("""COMPUTED_VALUE"""),"промислове обладнання та верстати")</f>
        <v>промислове обладнання та верстати</v>
      </c>
      <c r="C613" s="15" t="str">
        <f>IFERROR(__xludf.DUMMYFUNCTION("""COMPUTED_VALUE"""),"технологічне обладнання")</f>
        <v>технологічне обладнання</v>
      </c>
      <c r="D613" s="15" t="str">
        <f>IFERROR(__xludf.DUMMYFUNCTION("""COMPUTED_VALUE"""),"обладнання для різання та перемотування рулонних матеріалів")</f>
        <v>обладнання для різання та перемотування рулонних матеріалів</v>
      </c>
      <c r="E613" s="15" t="str">
        <f>IFERROR(__xludf.DUMMYFUNCTION("""COMPUTED_VALUE"""),"обладнання для різання та перемотування рулонних матеріалів")</f>
        <v>обладнання для різання та перемотування рулонних матеріалів</v>
      </c>
      <c r="F613" s="17">
        <f>IFERROR(__xludf.DUMMYFUNCTION("""COMPUTED_VALUE"""),3.0)</f>
        <v>3</v>
      </c>
      <c r="G613" s="17">
        <f>IFERROR(__xludf.DUMMYFUNCTION("""COMPUTED_VALUE"""),1436.0)</f>
        <v>1436</v>
      </c>
      <c r="H613" s="17" t="str">
        <f>IFERROR(__xludf.DUMMYFUNCTION("""COMPUTED_VALUE"""),"обладнання для різання та перемотування рулонних матеріалів")</f>
        <v>обладнання для різання та перемотування рулонних матеріалів</v>
      </c>
      <c r="I613" s="18">
        <f>IFERROR(__xludf.DUMMYFUNCTION("""COMPUTED_VALUE"""),0.76)</f>
        <v>0.76</v>
      </c>
      <c r="J613" s="18">
        <f>IFERROR(__xludf.DUMMYFUNCTION("""COMPUTED_VALUE"""),1.53)</f>
        <v>1.53</v>
      </c>
      <c r="K613" s="18">
        <f>IFERROR(__xludf.DUMMYFUNCTION("""COMPUTED_VALUE"""),1.91)</f>
        <v>1.91</v>
      </c>
      <c r="L613" s="18">
        <f>IFERROR(__xludf.DUMMYFUNCTION("""COMPUTED_VALUE"""),3.05)</f>
        <v>3.05</v>
      </c>
    </row>
    <row r="614">
      <c r="A614" s="13" t="str">
        <f>IFERROR(__xludf.DUMMYFUNCTION("""COMPUTED_VALUE"""),"товари")</f>
        <v>товари</v>
      </c>
      <c r="B614" s="13" t="str">
        <f>IFERROR(__xludf.DUMMYFUNCTION("""COMPUTED_VALUE"""),"промислове обладнання та верстати")</f>
        <v>промислове обладнання та верстати</v>
      </c>
      <c r="C614" s="15" t="str">
        <f>IFERROR(__xludf.DUMMYFUNCTION("""COMPUTED_VALUE"""),"виробниче обладнання")</f>
        <v>виробниче обладнання</v>
      </c>
      <c r="D614" s="15" t="str">
        <f>IFERROR(__xludf.DUMMYFUNCTION("""COMPUTED_VALUE"""),"обладнання для обробки пластику та гуми")</f>
        <v>обладнання для обробки пластику та гуми</v>
      </c>
      <c r="E614" s="15" t="str">
        <f>IFERROR(__xludf.DUMMYFUNCTION("""COMPUTED_VALUE"""),"обладнання для роботи з гумою")</f>
        <v>обладнання для роботи з гумою</v>
      </c>
      <c r="F614" s="17">
        <f>IFERROR(__xludf.DUMMYFUNCTION("""COMPUTED_VALUE"""),4.0)</f>
        <v>4</v>
      </c>
      <c r="G614" s="17">
        <f>IFERROR(__xludf.DUMMYFUNCTION("""COMPUTED_VALUE"""),1480.0)</f>
        <v>1480</v>
      </c>
      <c r="H614" s="17" t="str">
        <f>IFERROR(__xludf.DUMMYFUNCTION("""COMPUTED_VALUE"""),"обладнання для роботи з гумою")</f>
        <v>обладнання для роботи з гумою</v>
      </c>
      <c r="I614" s="18">
        <f>IFERROR(__xludf.DUMMYFUNCTION("""COMPUTED_VALUE"""),1.53)</f>
        <v>1.53</v>
      </c>
      <c r="J614" s="18">
        <f>IFERROR(__xludf.DUMMYFUNCTION("""COMPUTED_VALUE"""),3.06)</f>
        <v>3.06</v>
      </c>
      <c r="K614" s="18">
        <f>IFERROR(__xludf.DUMMYFUNCTION("""COMPUTED_VALUE"""),3.83)</f>
        <v>3.83</v>
      </c>
      <c r="L614" s="18">
        <f>IFERROR(__xludf.DUMMYFUNCTION("""COMPUTED_VALUE"""),6.13)</f>
        <v>6.13</v>
      </c>
    </row>
    <row r="615">
      <c r="A615" s="13" t="str">
        <f>IFERROR(__xludf.DUMMYFUNCTION("""COMPUTED_VALUE"""),"товари")</f>
        <v>товари</v>
      </c>
      <c r="B615" s="13" t="str">
        <f>IFERROR(__xludf.DUMMYFUNCTION("""COMPUTED_VALUE"""),"промислове обладнання та верстати")</f>
        <v>промислове обладнання та верстати</v>
      </c>
      <c r="C615" s="15" t="str">
        <f>IFERROR(__xludf.DUMMYFUNCTION("""COMPUTED_VALUE"""),"обладнання для харчової промисловості")</f>
        <v>обладнання для харчової промисловості</v>
      </c>
      <c r="D615" s="15" t="str">
        <f>IFERROR(__xludf.DUMMYFUNCTION("""COMPUTED_VALUE"""),"обладнання для переробки м'яса, виробництва м'ясопродуктів")</f>
        <v>обладнання для переробки м'яса, виробництва м'ясопродуктів</v>
      </c>
      <c r="E615" s="15" t="str">
        <f>IFERROR(__xludf.DUMMYFUNCTION("""COMPUTED_VALUE"""),"обладнання для розморожування")</f>
        <v>обладнання для розморожування</v>
      </c>
      <c r="F615" s="17">
        <f>IFERROR(__xludf.DUMMYFUNCTION("""COMPUTED_VALUE"""),4.0)</f>
        <v>4</v>
      </c>
      <c r="G615" s="17">
        <f>IFERROR(__xludf.DUMMYFUNCTION("""COMPUTED_VALUE"""),2200604.0)</f>
        <v>2200604</v>
      </c>
      <c r="H615" s="17" t="str">
        <f>IFERROR(__xludf.DUMMYFUNCTION("""COMPUTED_VALUE"""),"обладнання для розморожування")</f>
        <v>обладнання для розморожування</v>
      </c>
      <c r="I615" s="18">
        <f>IFERROR(__xludf.DUMMYFUNCTION("""COMPUTED_VALUE"""),1.31)</f>
        <v>1.31</v>
      </c>
      <c r="J615" s="18">
        <f>IFERROR(__xludf.DUMMYFUNCTION("""COMPUTED_VALUE"""),2.61)</f>
        <v>2.61</v>
      </c>
      <c r="K615" s="18">
        <f>IFERROR(__xludf.DUMMYFUNCTION("""COMPUTED_VALUE"""),3.27)</f>
        <v>3.27</v>
      </c>
      <c r="L615" s="18">
        <f>IFERROR(__xludf.DUMMYFUNCTION("""COMPUTED_VALUE"""),5.23)</f>
        <v>5.23</v>
      </c>
    </row>
    <row r="616">
      <c r="A616" s="13" t="str">
        <f>IFERROR(__xludf.DUMMYFUNCTION("""COMPUTED_VALUE"""),"товари")</f>
        <v>товари</v>
      </c>
      <c r="B616" s="13" t="str">
        <f>IFERROR(__xludf.DUMMYFUNCTION("""COMPUTED_VALUE"""),"промислове обладнання та верстати")</f>
        <v>промислове обладнання та верстати</v>
      </c>
      <c r="C616" s="15" t="str">
        <f>IFERROR(__xludf.DUMMYFUNCTION("""COMPUTED_VALUE"""),"обладнання для харчової промисловості")</f>
        <v>обладнання для харчової промисловості</v>
      </c>
      <c r="D616" s="15" t="str">
        <f>IFERROR(__xludf.DUMMYFUNCTION("""COMPUTED_VALUE"""),"обладнання для хлібобулочних та кондитерських виробів")</f>
        <v>обладнання для хлібобулочних та кондитерських виробів</v>
      </c>
      <c r="E616" s="15" t="str">
        <f>IFERROR(__xludf.DUMMYFUNCTION("""COMPUTED_VALUE"""),"обладнання для хлібобулочних та кондитерських виробів, загальне")</f>
        <v>обладнання для хлібобулочних та кондитерських виробів, загальне</v>
      </c>
      <c r="F616" s="17">
        <f>IFERROR(__xludf.DUMMYFUNCTION("""COMPUTED_VALUE"""),4.0)</f>
        <v>4</v>
      </c>
      <c r="G616" s="17">
        <f>IFERROR(__xludf.DUMMYFUNCTION("""COMPUTED_VALUE"""),6430501.0)</f>
        <v>6430501</v>
      </c>
      <c r="H616" s="17" t="str">
        <f>IFERROR(__xludf.DUMMYFUNCTION("""COMPUTED_VALUE"""),"обладнання для хлібобулочних та кондитерських виробів, загальне")</f>
        <v>обладнання для хлібобулочних та кондитерських виробів, загальне</v>
      </c>
      <c r="I616" s="18">
        <f>IFERROR(__xludf.DUMMYFUNCTION("""COMPUTED_VALUE"""),2.16)</f>
        <v>2.16</v>
      </c>
      <c r="J616" s="18">
        <f>IFERROR(__xludf.DUMMYFUNCTION("""COMPUTED_VALUE"""),4.33)</f>
        <v>4.33</v>
      </c>
      <c r="K616" s="18">
        <f>IFERROR(__xludf.DUMMYFUNCTION("""COMPUTED_VALUE"""),5.41)</f>
        <v>5.41</v>
      </c>
      <c r="L616" s="18">
        <f>IFERROR(__xludf.DUMMYFUNCTION("""COMPUTED_VALUE"""),8.65)</f>
        <v>8.65</v>
      </c>
    </row>
    <row r="617">
      <c r="A617" s="13" t="str">
        <f>IFERROR(__xludf.DUMMYFUNCTION("""COMPUTED_VALUE"""),"товари")</f>
        <v>товари</v>
      </c>
      <c r="B617" s="13" t="str">
        <f>IFERROR(__xludf.DUMMYFUNCTION("""COMPUTED_VALUE"""),"промислове обладнання та верстати")</f>
        <v>промислове обладнання та верстати</v>
      </c>
      <c r="C617" s="15" t="str">
        <f>IFERROR(__xludf.DUMMYFUNCTION("""COMPUTED_VALUE"""),"виробниче обладнання")</f>
        <v>виробниче обладнання</v>
      </c>
      <c r="D617" s="15" t="str">
        <f>IFERROR(__xludf.DUMMYFUNCTION("""COMPUTED_VALUE"""),"обладнання та матеріали для виробництва ключів")</f>
        <v>обладнання та матеріали для виробництва ключів</v>
      </c>
      <c r="E617" s="15" t="str">
        <f>IFERROR(__xludf.DUMMYFUNCTION("""COMPUTED_VALUE"""),"обладнання та матеріали для виробництва ключів")</f>
        <v>обладнання та матеріали для виробництва ключів</v>
      </c>
      <c r="F617" s="17">
        <f>IFERROR(__xludf.DUMMYFUNCTION("""COMPUTED_VALUE"""),3.0)</f>
        <v>3</v>
      </c>
      <c r="G617" s="17">
        <f>IFERROR(__xludf.DUMMYFUNCTION("""COMPUTED_VALUE"""),282931.0)</f>
        <v>282931</v>
      </c>
      <c r="H617" s="17" t="str">
        <f>IFERROR(__xludf.DUMMYFUNCTION("""COMPUTED_VALUE"""),"обладнання та матеріали для виробництва ключів")</f>
        <v>обладнання та матеріали для виробництва ключів</v>
      </c>
      <c r="I617" s="18">
        <f>IFERROR(__xludf.DUMMYFUNCTION("""COMPUTED_VALUE"""),0.63)</f>
        <v>0.63</v>
      </c>
      <c r="J617" s="18">
        <f>IFERROR(__xludf.DUMMYFUNCTION("""COMPUTED_VALUE"""),1.26)</f>
        <v>1.26</v>
      </c>
      <c r="K617" s="18">
        <f>IFERROR(__xludf.DUMMYFUNCTION("""COMPUTED_VALUE"""),1.58)</f>
        <v>1.58</v>
      </c>
      <c r="L617" s="18">
        <f>IFERROR(__xludf.DUMMYFUNCTION("""COMPUTED_VALUE"""),2.53)</f>
        <v>2.53</v>
      </c>
    </row>
    <row r="618">
      <c r="A618" s="13" t="str">
        <f>IFERROR(__xludf.DUMMYFUNCTION("""COMPUTED_VALUE"""),"товари")</f>
        <v>товари</v>
      </c>
      <c r="B618" s="13" t="str">
        <f>IFERROR(__xludf.DUMMYFUNCTION("""COMPUTED_VALUE"""),"промислове обладнання та верстати")</f>
        <v>промислове обладнання та верстати</v>
      </c>
      <c r="C618" s="15" t="str">
        <f>IFERROR(__xludf.DUMMYFUNCTION("""COMPUTED_VALUE"""),"енергообладнання")</f>
        <v>енергообладнання</v>
      </c>
      <c r="D618" s="15" t="str">
        <f>IFERROR(__xludf.DUMMYFUNCTION("""COMPUTED_VALUE"""),"охолоджувачі")</f>
        <v>охолоджувачі</v>
      </c>
      <c r="E618" s="15" t="str">
        <f>IFERROR(__xludf.DUMMYFUNCTION("""COMPUTED_VALUE"""),"охолоджувачі, загальне")</f>
        <v>охолоджувачі, загальне</v>
      </c>
      <c r="F618" s="17">
        <f>IFERROR(__xludf.DUMMYFUNCTION("""COMPUTED_VALUE"""),4.0)</f>
        <v>4</v>
      </c>
      <c r="G618" s="17">
        <f>IFERROR(__xludf.DUMMYFUNCTION("""COMPUTED_VALUE"""),1.4590201E7)</f>
        <v>14590201</v>
      </c>
      <c r="H618" s="17" t="str">
        <f>IFERROR(__xludf.DUMMYFUNCTION("""COMPUTED_VALUE"""),"охолоджувачі, загальне")</f>
        <v>охолоджувачі, загальне</v>
      </c>
      <c r="I618" s="18">
        <f>IFERROR(__xludf.DUMMYFUNCTION("""COMPUTED_VALUE"""),2.16)</f>
        <v>2.16</v>
      </c>
      <c r="J618" s="18">
        <f>IFERROR(__xludf.DUMMYFUNCTION("""COMPUTED_VALUE"""),4.33)</f>
        <v>4.33</v>
      </c>
      <c r="K618" s="18">
        <f>IFERROR(__xludf.DUMMYFUNCTION("""COMPUTED_VALUE"""),5.41)</f>
        <v>5.41</v>
      </c>
      <c r="L618" s="18">
        <f>IFERROR(__xludf.DUMMYFUNCTION("""COMPUTED_VALUE"""),8.65)</f>
        <v>8.65</v>
      </c>
    </row>
    <row r="619">
      <c r="A619" s="13" t="str">
        <f>IFERROR(__xludf.DUMMYFUNCTION("""COMPUTED_VALUE"""),"товари")</f>
        <v>товари</v>
      </c>
      <c r="B619" s="13" t="str">
        <f>IFERROR(__xludf.DUMMYFUNCTION("""COMPUTED_VALUE"""),"промислове обладнання та верстати")</f>
        <v>промислове обладнання та верстати</v>
      </c>
      <c r="C619" s="15" t="str">
        <f>IFERROR(__xludf.DUMMYFUNCTION("""COMPUTED_VALUE"""),"пакувальне та фасувальне обладнання")</f>
        <v>пакувальне та фасувальне обладнання</v>
      </c>
      <c r="D619" s="15" t="str">
        <f>IFERROR(__xludf.DUMMYFUNCTION("""COMPUTED_VALUE"""),"пакувальне обладнання")</f>
        <v>пакувальне обладнання</v>
      </c>
      <c r="E619" s="15" t="str">
        <f>IFERROR(__xludf.DUMMYFUNCTION("""COMPUTED_VALUE"""),"пакувальне обладнання")</f>
        <v>пакувальне обладнання</v>
      </c>
      <c r="F619" s="17">
        <f>IFERROR(__xludf.DUMMYFUNCTION("""COMPUTED_VALUE"""),3.0)</f>
        <v>3</v>
      </c>
      <c r="G619" s="17">
        <f>IFERROR(__xludf.DUMMYFUNCTION("""COMPUTED_VALUE"""),230710.0)</f>
        <v>230710</v>
      </c>
      <c r="H619" s="17" t="str">
        <f>IFERROR(__xludf.DUMMYFUNCTION("""COMPUTED_VALUE"""),"пакувальне обладнання")</f>
        <v>пакувальне обладнання</v>
      </c>
      <c r="I619" s="18">
        <f>IFERROR(__xludf.DUMMYFUNCTION("""COMPUTED_VALUE"""),1.66)</f>
        <v>1.66</v>
      </c>
      <c r="J619" s="18">
        <f>IFERROR(__xludf.DUMMYFUNCTION("""COMPUTED_VALUE"""),3.33)</f>
        <v>3.33</v>
      </c>
      <c r="K619" s="18">
        <f>IFERROR(__xludf.DUMMYFUNCTION("""COMPUTED_VALUE"""),4.16)</f>
        <v>4.16</v>
      </c>
      <c r="L619" s="18">
        <f>IFERROR(__xludf.DUMMYFUNCTION("""COMPUTED_VALUE"""),6.65)</f>
        <v>6.65</v>
      </c>
    </row>
    <row r="620">
      <c r="A620" s="13" t="str">
        <f>IFERROR(__xludf.DUMMYFUNCTION("""COMPUTED_VALUE"""),"товари")</f>
        <v>товари</v>
      </c>
      <c r="B620" s="13" t="str">
        <f>IFERROR(__xludf.DUMMYFUNCTION("""COMPUTED_VALUE"""),"промислове обладнання та верстати")</f>
        <v>промислове обладнання та верстати</v>
      </c>
      <c r="C620" s="15" t="str">
        <f>IFERROR(__xludf.DUMMYFUNCTION("""COMPUTED_VALUE"""),"складське обладнання")</f>
        <v>складське обладнання</v>
      </c>
      <c r="D620" s="15" t="str">
        <f>IFERROR(__xludf.DUMMYFUNCTION("""COMPUTED_VALUE"""),"промислово-складські ваги")</f>
        <v>промислово-складські ваги</v>
      </c>
      <c r="E620" s="15" t="str">
        <f>IFERROR(__xludf.DUMMYFUNCTION("""COMPUTED_VALUE"""),"палетні ваги")</f>
        <v>палетні ваги</v>
      </c>
      <c r="F620" s="17">
        <f>IFERROR(__xludf.DUMMYFUNCTION("""COMPUTED_VALUE"""),4.0)</f>
        <v>4</v>
      </c>
      <c r="G620" s="17">
        <f>IFERROR(__xludf.DUMMYFUNCTION("""COMPUTED_VALUE"""),1.5371118E7)</f>
        <v>15371118</v>
      </c>
      <c r="H620" s="17" t="str">
        <f>IFERROR(__xludf.DUMMYFUNCTION("""COMPUTED_VALUE"""),"палетні ваги")</f>
        <v>палетні ваги</v>
      </c>
      <c r="I620" s="18">
        <f>IFERROR(__xludf.DUMMYFUNCTION("""COMPUTED_VALUE"""),2.51)</f>
        <v>2.51</v>
      </c>
      <c r="J620" s="18">
        <f>IFERROR(__xludf.DUMMYFUNCTION("""COMPUTED_VALUE"""),5.03)</f>
        <v>5.03</v>
      </c>
      <c r="K620" s="18">
        <f>IFERROR(__xludf.DUMMYFUNCTION("""COMPUTED_VALUE"""),6.28)</f>
        <v>6.28</v>
      </c>
      <c r="L620" s="18">
        <f>IFERROR(__xludf.DUMMYFUNCTION("""COMPUTED_VALUE"""),10.05)</f>
        <v>10.05</v>
      </c>
    </row>
    <row r="621">
      <c r="A621" s="13" t="str">
        <f>IFERROR(__xludf.DUMMYFUNCTION("""COMPUTED_VALUE"""),"товари")</f>
        <v>товари</v>
      </c>
      <c r="B621" s="13" t="str">
        <f>IFERROR(__xludf.DUMMYFUNCTION("""COMPUTED_VALUE"""),"промислове обладнання та верстати")</f>
        <v>промислове обладнання та верстати</v>
      </c>
      <c r="C621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21" s="15" t="str">
        <f>IFERROR(__xludf.DUMMYFUNCTION("""COMPUTED_VALUE"""),"парогенератори професійні")</f>
        <v>парогенератори професійні</v>
      </c>
      <c r="E621" s="15" t="str">
        <f>IFERROR(__xludf.DUMMYFUNCTION("""COMPUTED_VALUE"""),"парогенератори професійні")</f>
        <v>парогенератори професійні</v>
      </c>
      <c r="F621" s="17">
        <f>IFERROR(__xludf.DUMMYFUNCTION("""COMPUTED_VALUE"""),3.0)</f>
        <v>3</v>
      </c>
      <c r="G621" s="17">
        <f>IFERROR(__xludf.DUMMYFUNCTION("""COMPUTED_VALUE"""),147008.0)</f>
        <v>147008</v>
      </c>
      <c r="H621" s="17" t="str">
        <f>IFERROR(__xludf.DUMMYFUNCTION("""COMPUTED_VALUE"""),"парогенератори професійні")</f>
        <v>парогенератори професійні</v>
      </c>
      <c r="I621" s="18">
        <f>IFERROR(__xludf.DUMMYFUNCTION("""COMPUTED_VALUE"""),0.86)</f>
        <v>0.86</v>
      </c>
      <c r="J621" s="18">
        <f>IFERROR(__xludf.DUMMYFUNCTION("""COMPUTED_VALUE"""),1.71)</f>
        <v>1.71</v>
      </c>
      <c r="K621" s="18">
        <f>IFERROR(__xludf.DUMMYFUNCTION("""COMPUTED_VALUE"""),2.14)</f>
        <v>2.14</v>
      </c>
      <c r="L621" s="18">
        <f>IFERROR(__xludf.DUMMYFUNCTION("""COMPUTED_VALUE"""),3.43)</f>
        <v>3.43</v>
      </c>
    </row>
    <row r="622">
      <c r="A622" s="13" t="str">
        <f>IFERROR(__xludf.DUMMYFUNCTION("""COMPUTED_VALUE"""),"товари")</f>
        <v>товари</v>
      </c>
      <c r="B622" s="13" t="str">
        <f>IFERROR(__xludf.DUMMYFUNCTION("""COMPUTED_VALUE"""),"промислове обладнання та верстати")</f>
        <v>промислове обладнання та верстати</v>
      </c>
      <c r="C622" s="15" t="str">
        <f>IFERROR(__xludf.DUMMYFUNCTION("""COMPUTED_VALUE"""),"верстати")</f>
        <v>верстати</v>
      </c>
      <c r="D622" s="15" t="str">
        <f>IFERROR(__xludf.DUMMYFUNCTION("""COMPUTED_VALUE"""),"деревообробні верстати")</f>
        <v>деревообробні верстати</v>
      </c>
      <c r="E622" s="15" t="str">
        <f>IFERROR(__xludf.DUMMYFUNCTION("""COMPUTED_VALUE"""),"пилорами")</f>
        <v>пилорами</v>
      </c>
      <c r="F622" s="17">
        <f>IFERROR(__xludf.DUMMYFUNCTION("""COMPUTED_VALUE"""),4.0)</f>
        <v>4</v>
      </c>
      <c r="G622" s="17">
        <f>IFERROR(__xludf.DUMMYFUNCTION("""COMPUTED_VALUE"""),143101.0)</f>
        <v>143101</v>
      </c>
      <c r="H622" s="17" t="str">
        <f>IFERROR(__xludf.DUMMYFUNCTION("""COMPUTED_VALUE"""),"пилорами")</f>
        <v>пилорами</v>
      </c>
      <c r="I622" s="18">
        <f>IFERROR(__xludf.DUMMYFUNCTION("""COMPUTED_VALUE"""),1.26)</f>
        <v>1.26</v>
      </c>
      <c r="J622" s="18">
        <f>IFERROR(__xludf.DUMMYFUNCTION("""COMPUTED_VALUE"""),2.53)</f>
        <v>2.53</v>
      </c>
      <c r="K622" s="18">
        <f>IFERROR(__xludf.DUMMYFUNCTION("""COMPUTED_VALUE"""),3.16)</f>
        <v>3.16</v>
      </c>
      <c r="L622" s="18">
        <f>IFERROR(__xludf.DUMMYFUNCTION("""COMPUTED_VALUE"""),5.05)</f>
        <v>5.05</v>
      </c>
    </row>
    <row r="623">
      <c r="A623" s="13" t="str">
        <f>IFERROR(__xludf.DUMMYFUNCTION("""COMPUTED_VALUE"""),"товари")</f>
        <v>товари</v>
      </c>
      <c r="B623" s="13" t="str">
        <f>IFERROR(__xludf.DUMMYFUNCTION("""COMPUTED_VALUE"""),"промислове обладнання та верстати")</f>
        <v>промислове обладнання та верстати</v>
      </c>
      <c r="C623" s="15" t="str">
        <f>IFERROR(__xludf.DUMMYFUNCTION("""COMPUTED_VALUE"""),"технологічне обладнання")</f>
        <v>технологічне обладнання</v>
      </c>
      <c r="D623" s="15" t="str">
        <f>IFERROR(__xludf.DUMMYFUNCTION("""COMPUTED_VALUE"""),"піскоструминне обладнання")</f>
        <v>піскоструминне обладнання</v>
      </c>
      <c r="E623" s="15" t="str">
        <f>IFERROR(__xludf.DUMMYFUNCTION("""COMPUTED_VALUE"""),"піскоструминне обладнання, загальне")</f>
        <v>піскоструминне обладнання, загальне</v>
      </c>
      <c r="F623" s="17">
        <f>IFERROR(__xludf.DUMMYFUNCTION("""COMPUTED_VALUE"""),4.0)</f>
        <v>4</v>
      </c>
      <c r="G623" s="17">
        <f>IFERROR(__xludf.DUMMYFUNCTION("""COMPUTED_VALUE"""),1442.0)</f>
        <v>1442</v>
      </c>
      <c r="H623" s="17" t="str">
        <f>IFERROR(__xludf.DUMMYFUNCTION("""COMPUTED_VALUE"""),"піскоструминне обладнання, загальне")</f>
        <v>піскоструминне обладнання, загальне</v>
      </c>
      <c r="I623" s="18">
        <f>IFERROR(__xludf.DUMMYFUNCTION("""COMPUTED_VALUE"""),2.16)</f>
        <v>2.16</v>
      </c>
      <c r="J623" s="18">
        <f>IFERROR(__xludf.DUMMYFUNCTION("""COMPUTED_VALUE"""),4.33)</f>
        <v>4.33</v>
      </c>
      <c r="K623" s="18">
        <f>IFERROR(__xludf.DUMMYFUNCTION("""COMPUTED_VALUE"""),5.41)</f>
        <v>5.41</v>
      </c>
      <c r="L623" s="18">
        <f>IFERROR(__xludf.DUMMYFUNCTION("""COMPUTED_VALUE"""),8.65)</f>
        <v>8.65</v>
      </c>
    </row>
    <row r="624">
      <c r="A624" s="13" t="str">
        <f>IFERROR(__xludf.DUMMYFUNCTION("""COMPUTED_VALUE"""),"товари")</f>
        <v>товари</v>
      </c>
      <c r="B624" s="13" t="str">
        <f>IFERROR(__xludf.DUMMYFUNCTION("""COMPUTED_VALUE"""),"промислове обладнання та верстати")</f>
        <v>промислове обладнання та верстати</v>
      </c>
      <c r="C624" s="15" t="str">
        <f>IFERROR(__xludf.DUMMYFUNCTION("""COMPUTED_VALUE"""),"обладнання для видобувної промисловості")</f>
        <v>обладнання для видобувної промисловості</v>
      </c>
      <c r="D624" s="15" t="str">
        <f>IFERROR(__xludf.DUMMYFUNCTION("""COMPUTED_VALUE"""),"бурове обладнання")</f>
        <v>бурове обладнання</v>
      </c>
      <c r="E624" s="15" t="str">
        <f>IFERROR(__xludf.DUMMYFUNCTION("""COMPUTED_VALUE"""),"пневмоударники")</f>
        <v>пневмоударники</v>
      </c>
      <c r="F624" s="17">
        <f>IFERROR(__xludf.DUMMYFUNCTION("""COMPUTED_VALUE"""),4.0)</f>
        <v>4</v>
      </c>
      <c r="G624" s="17">
        <f>IFERROR(__xludf.DUMMYFUNCTION("""COMPUTED_VALUE"""),9150408.0)</f>
        <v>9150408</v>
      </c>
      <c r="H624" s="17" t="str">
        <f>IFERROR(__xludf.DUMMYFUNCTION("""COMPUTED_VALUE"""),"пневмоударники")</f>
        <v>пневмоударники</v>
      </c>
      <c r="I624" s="18">
        <f>IFERROR(__xludf.DUMMYFUNCTION("""COMPUTED_VALUE"""),0.86)</f>
        <v>0.86</v>
      </c>
      <c r="J624" s="18">
        <f>IFERROR(__xludf.DUMMYFUNCTION("""COMPUTED_VALUE"""),1.71)</f>
        <v>1.71</v>
      </c>
      <c r="K624" s="18">
        <f>IFERROR(__xludf.DUMMYFUNCTION("""COMPUTED_VALUE"""),2.14)</f>
        <v>2.14</v>
      </c>
      <c r="L624" s="18">
        <f>IFERROR(__xludf.DUMMYFUNCTION("""COMPUTED_VALUE"""),3.43)</f>
        <v>3.43</v>
      </c>
    </row>
    <row r="625">
      <c r="A625" s="13" t="str">
        <f>IFERROR(__xludf.DUMMYFUNCTION("""COMPUTED_VALUE"""),"товари")</f>
        <v>товари</v>
      </c>
      <c r="B62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625" s="15" t="str">
        <f>IFERROR(__xludf.DUMMYFUNCTION("""COMPUTED_VALUE"""),"медичне обладнання")</f>
        <v>медичне обладнання</v>
      </c>
      <c r="D625" s="15" t="str">
        <f>IFERROR(__xludf.DUMMYFUNCTION("""COMPUTED_VALUE"""),"лабораторне обладнання")</f>
        <v>лабораторне обладнання</v>
      </c>
      <c r="E625" s="15" t="str">
        <f>IFERROR(__xludf.DUMMYFUNCTION("""COMPUTED_VALUE"""),"помольне обладнання")</f>
        <v>помольне обладнання</v>
      </c>
      <c r="F625" s="17">
        <f>IFERROR(__xludf.DUMMYFUNCTION("""COMPUTED_VALUE"""),4.0)</f>
        <v>4</v>
      </c>
      <c r="G625" s="17">
        <f>IFERROR(__xludf.DUMMYFUNCTION("""COMPUTED_VALUE"""),141605.0)</f>
        <v>141605</v>
      </c>
      <c r="H625" s="17" t="str">
        <f>IFERROR(__xludf.DUMMYFUNCTION("""COMPUTED_VALUE"""),"помольне обладнання")</f>
        <v>помольне обладнання</v>
      </c>
      <c r="I625" s="18">
        <f>IFERROR(__xludf.DUMMYFUNCTION("""COMPUTED_VALUE"""),0.53)</f>
        <v>0.53</v>
      </c>
      <c r="J625" s="18">
        <f>IFERROR(__xludf.DUMMYFUNCTION("""COMPUTED_VALUE"""),1.05)</f>
        <v>1.05</v>
      </c>
      <c r="K625" s="18">
        <f>IFERROR(__xludf.DUMMYFUNCTION("""COMPUTED_VALUE"""),1.31)</f>
        <v>1.31</v>
      </c>
      <c r="L625" s="18">
        <f>IFERROR(__xludf.DUMMYFUNCTION("""COMPUTED_VALUE"""),2.1)</f>
        <v>2.1</v>
      </c>
    </row>
    <row r="626">
      <c r="A626" s="13" t="str">
        <f>IFERROR(__xludf.DUMMYFUNCTION("""COMPUTED_VALUE"""),"товари")</f>
        <v>товари</v>
      </c>
      <c r="B626" s="13" t="str">
        <f>IFERROR(__xludf.DUMMYFUNCTION("""COMPUTED_VALUE"""),"промислове обладнання та верстати")</f>
        <v>промислове обладнання та верстати</v>
      </c>
      <c r="C626" s="15" t="str">
        <f>IFERROR(__xludf.DUMMYFUNCTION("""COMPUTED_VALUE"""),"обладнання для видобувної промисловості")</f>
        <v>обладнання для видобувної промисловості</v>
      </c>
      <c r="D626" s="15" t="str">
        <f>IFERROR(__xludf.DUMMYFUNCTION("""COMPUTED_VALUE"""),"гірниче обладнання")</f>
        <v>гірниче обладнання</v>
      </c>
      <c r="E626" s="15" t="str">
        <f>IFERROR(__xludf.DUMMYFUNCTION("""COMPUTED_VALUE"""),"породонавантажувальне обладнання")</f>
        <v>породонавантажувальне обладнання</v>
      </c>
      <c r="F626" s="17">
        <f>IFERROR(__xludf.DUMMYFUNCTION("""COMPUTED_VALUE"""),4.0)</f>
        <v>4</v>
      </c>
      <c r="G626" s="17">
        <f>IFERROR(__xludf.DUMMYFUNCTION("""COMPUTED_VALUE"""),91508.0)</f>
        <v>91508</v>
      </c>
      <c r="H626" s="17" t="str">
        <f>IFERROR(__xludf.DUMMYFUNCTION("""COMPUTED_VALUE"""),"породонавантажувальне обладнання")</f>
        <v>породонавантажувальне обладнання</v>
      </c>
      <c r="I626" s="18">
        <f>IFERROR(__xludf.DUMMYFUNCTION("""COMPUTED_VALUE"""),1.98)</f>
        <v>1.98</v>
      </c>
      <c r="J626" s="18">
        <f>IFERROR(__xludf.DUMMYFUNCTION("""COMPUTED_VALUE"""),3.96)</f>
        <v>3.96</v>
      </c>
      <c r="K626" s="18">
        <f>IFERROR(__xludf.DUMMYFUNCTION("""COMPUTED_VALUE"""),4.95)</f>
        <v>4.95</v>
      </c>
      <c r="L626" s="18">
        <f>IFERROR(__xludf.DUMMYFUNCTION("""COMPUTED_VALUE"""),7.93)</f>
        <v>7.93</v>
      </c>
    </row>
    <row r="627">
      <c r="A627" s="13" t="str">
        <f>IFERROR(__xludf.DUMMYFUNCTION("""COMPUTED_VALUE"""),"товари")</f>
        <v>товари</v>
      </c>
      <c r="B627" s="13" t="str">
        <f>IFERROR(__xludf.DUMMYFUNCTION("""COMPUTED_VALUE"""),"промислове обладнання та верстати")</f>
        <v>промислове обладнання та верстати</v>
      </c>
      <c r="C627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627" s="15" t="str">
        <f>IFERROR(__xludf.DUMMYFUNCTION("""COMPUTED_VALUE"""),"прецизійні деталі")</f>
        <v>прецизійні деталі</v>
      </c>
      <c r="E627" s="15" t="str">
        <f>IFERROR(__xludf.DUMMYFUNCTION("""COMPUTED_VALUE"""),"прецизійні деталі")</f>
        <v>прецизійні деталі</v>
      </c>
      <c r="F627" s="17">
        <f>IFERROR(__xludf.DUMMYFUNCTION("""COMPUTED_VALUE"""),3.0)</f>
        <v>3</v>
      </c>
      <c r="G627" s="17">
        <f>IFERROR(__xludf.DUMMYFUNCTION("""COMPUTED_VALUE"""),1472.0)</f>
        <v>1472</v>
      </c>
      <c r="H627" s="17" t="str">
        <f>IFERROR(__xludf.DUMMYFUNCTION("""COMPUTED_VALUE"""),"прецизійні деталі")</f>
        <v>прецизійні деталі</v>
      </c>
      <c r="I627" s="18">
        <f>IFERROR(__xludf.DUMMYFUNCTION("""COMPUTED_VALUE"""),1.17)</f>
        <v>1.17</v>
      </c>
      <c r="J627" s="18">
        <f>IFERROR(__xludf.DUMMYFUNCTION("""COMPUTED_VALUE"""),2.34)</f>
        <v>2.34</v>
      </c>
      <c r="K627" s="18">
        <f>IFERROR(__xludf.DUMMYFUNCTION("""COMPUTED_VALUE"""),2.92)</f>
        <v>2.92</v>
      </c>
      <c r="L627" s="18">
        <f>IFERROR(__xludf.DUMMYFUNCTION("""COMPUTED_VALUE"""),4.68)</f>
        <v>4.68</v>
      </c>
    </row>
    <row r="628">
      <c r="A628" s="13" t="str">
        <f>IFERROR(__xludf.DUMMYFUNCTION("""COMPUTED_VALUE"""),"товари")</f>
        <v>товари</v>
      </c>
      <c r="B628" s="13" t="str">
        <f>IFERROR(__xludf.DUMMYFUNCTION("""COMPUTED_VALUE"""),"промислове обладнання та верстати")</f>
        <v>промислове обладнання та верстати</v>
      </c>
      <c r="C628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628" s="15" t="str">
        <f>IFERROR(__xludf.DUMMYFUNCTION("""COMPUTED_VALUE"""),"пристрої цифрової індикації")</f>
        <v>пристрої цифрової індикації</v>
      </c>
      <c r="E628" s="15" t="str">
        <f>IFERROR(__xludf.DUMMYFUNCTION("""COMPUTED_VALUE"""),"пристрої цифрової індикації")</f>
        <v>пристрої цифрової індикації</v>
      </c>
      <c r="F628" s="17">
        <f>IFERROR(__xludf.DUMMYFUNCTION("""COMPUTED_VALUE"""),3.0)</f>
        <v>3</v>
      </c>
      <c r="G628" s="17">
        <f>IFERROR(__xludf.DUMMYFUNCTION("""COMPUTED_VALUE"""),4115.0)</f>
        <v>4115</v>
      </c>
      <c r="H628" s="17" t="str">
        <f>IFERROR(__xludf.DUMMYFUNCTION("""COMPUTED_VALUE"""),"пристрої цифрової індикації")</f>
        <v>пристрої цифрової індикації</v>
      </c>
      <c r="I628" s="18">
        <f>IFERROR(__xludf.DUMMYFUNCTION("""COMPUTED_VALUE"""),0.72)</f>
        <v>0.72</v>
      </c>
      <c r="J628" s="18">
        <f>IFERROR(__xludf.DUMMYFUNCTION("""COMPUTED_VALUE"""),1.44)</f>
        <v>1.44</v>
      </c>
      <c r="K628" s="18">
        <f>IFERROR(__xludf.DUMMYFUNCTION("""COMPUTED_VALUE"""),1.8)</f>
        <v>1.8</v>
      </c>
      <c r="L628" s="18">
        <f>IFERROR(__xludf.DUMMYFUNCTION("""COMPUTED_VALUE"""),2.88)</f>
        <v>2.88</v>
      </c>
    </row>
    <row r="629">
      <c r="A629" s="13" t="str">
        <f>IFERROR(__xludf.DUMMYFUNCTION("""COMPUTED_VALUE"""),"товари")</f>
        <v>товари</v>
      </c>
      <c r="B629" s="13" t="str">
        <f>IFERROR(__xludf.DUMMYFUNCTION("""COMPUTED_VALUE"""),"промислове обладнання та верстати")</f>
        <v>промислове обладнання та верстати</v>
      </c>
      <c r="C629" s="15" t="str">
        <f>IFERROR(__xludf.DUMMYFUNCTION("""COMPUTED_VALUE"""),"промислове термічне обладнання")</f>
        <v>промислове термічне обладнання</v>
      </c>
      <c r="D629" s="15" t="str">
        <f>IFERROR(__xludf.DUMMYFUNCTION("""COMPUTED_VALUE"""),"промислове термічне обладнання, загальне")</f>
        <v>промислове термічне обладнання, загальне</v>
      </c>
      <c r="E629" s="15" t="str">
        <f>IFERROR(__xludf.DUMMYFUNCTION("""COMPUTED_VALUE"""),"промислове термічне обладнання, загальне")</f>
        <v>промислове термічне обладнання, загальне</v>
      </c>
      <c r="F629" s="17">
        <f>IFERROR(__xludf.DUMMYFUNCTION("""COMPUTED_VALUE"""),3.0)</f>
        <v>3</v>
      </c>
      <c r="G629" s="17">
        <f>IFERROR(__xludf.DUMMYFUNCTION("""COMPUTED_VALUE"""),143708.0)</f>
        <v>143708</v>
      </c>
      <c r="H629" s="17" t="str">
        <f>IFERROR(__xludf.DUMMYFUNCTION("""COMPUTED_VALUE"""),"промислове термічне обладнання, загальне")</f>
        <v>промислове термічне обладнання, загальне</v>
      </c>
      <c r="I629" s="18">
        <f>IFERROR(__xludf.DUMMYFUNCTION("""COMPUTED_VALUE"""),2.16)</f>
        <v>2.16</v>
      </c>
      <c r="J629" s="18">
        <f>IFERROR(__xludf.DUMMYFUNCTION("""COMPUTED_VALUE"""),4.33)</f>
        <v>4.33</v>
      </c>
      <c r="K629" s="18">
        <f>IFERROR(__xludf.DUMMYFUNCTION("""COMPUTED_VALUE"""),5.41)</f>
        <v>5.41</v>
      </c>
      <c r="L629" s="18">
        <f>IFERROR(__xludf.DUMMYFUNCTION("""COMPUTED_VALUE"""),8.65)</f>
        <v>8.65</v>
      </c>
    </row>
    <row r="630">
      <c r="A630" s="13" t="str">
        <f>IFERROR(__xludf.DUMMYFUNCTION("""COMPUTED_VALUE"""),"товари")</f>
        <v>товари</v>
      </c>
      <c r="B630" s="13" t="str">
        <f>IFERROR(__xludf.DUMMYFUNCTION("""COMPUTED_VALUE"""),"промислове обладнання та верстати")</f>
        <v>промислове обладнання та верстати</v>
      </c>
      <c r="C630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30" s="15" t="str">
        <f>IFERROR(__xludf.DUMMYFUNCTION("""COMPUTED_VALUE"""),"промислові очищувачі повітря")</f>
        <v>промислові очищувачі повітря</v>
      </c>
      <c r="E630" s="15" t="str">
        <f>IFERROR(__xludf.DUMMYFUNCTION("""COMPUTED_VALUE"""),"промислові осушувачі повітря")</f>
        <v>промислові осушувачі повітря</v>
      </c>
      <c r="F630" s="17">
        <f>IFERROR(__xludf.DUMMYFUNCTION("""COMPUTED_VALUE"""),4.0)</f>
        <v>4</v>
      </c>
      <c r="G630" s="17">
        <f>IFERROR(__xludf.DUMMYFUNCTION("""COMPUTED_VALUE"""),140203.0)</f>
        <v>140203</v>
      </c>
      <c r="H630" s="17" t="str">
        <f>IFERROR(__xludf.DUMMYFUNCTION("""COMPUTED_VALUE"""),"промислові осушувачі повітря")</f>
        <v>промислові осушувачі повітря</v>
      </c>
      <c r="I630" s="18">
        <f>IFERROR(__xludf.DUMMYFUNCTION("""COMPUTED_VALUE"""),2.11)</f>
        <v>2.11</v>
      </c>
      <c r="J630" s="18">
        <f>IFERROR(__xludf.DUMMYFUNCTION("""COMPUTED_VALUE"""),4.23)</f>
        <v>4.23</v>
      </c>
      <c r="K630" s="18">
        <f>IFERROR(__xludf.DUMMYFUNCTION("""COMPUTED_VALUE"""),5.28)</f>
        <v>5.28</v>
      </c>
      <c r="L630" s="18">
        <f>IFERROR(__xludf.DUMMYFUNCTION("""COMPUTED_VALUE"""),8.45)</f>
        <v>8.45</v>
      </c>
    </row>
    <row r="631">
      <c r="A631" s="13" t="str">
        <f>IFERROR(__xludf.DUMMYFUNCTION("""COMPUTED_VALUE"""),"товари")</f>
        <v>товари</v>
      </c>
      <c r="B631" s="13" t="str">
        <f>IFERROR(__xludf.DUMMYFUNCTION("""COMPUTED_VALUE"""),"промислове обладнання та верстати")</f>
        <v>промислове обладнання та верстати</v>
      </c>
      <c r="C631" s="15" t="str">
        <f>IFERROR(__xludf.DUMMYFUNCTION("""COMPUTED_VALUE"""),"промислове термічне обладнання")</f>
        <v>промислове термічне обладнання</v>
      </c>
      <c r="D631" s="15" t="str">
        <f>IFERROR(__xludf.DUMMYFUNCTION("""COMPUTED_VALUE"""),"промислові печі для випалу кераміки та порцеляни")</f>
        <v>промислові печі для випалу кераміки та порцеляни</v>
      </c>
      <c r="E631" s="15" t="str">
        <f>IFERROR(__xludf.DUMMYFUNCTION("""COMPUTED_VALUE"""),"промислові печі для випалу кераміки та порцеляни")</f>
        <v>промислові печі для випалу кераміки та порцеляни</v>
      </c>
      <c r="F631" s="17">
        <f>IFERROR(__xludf.DUMMYFUNCTION("""COMPUTED_VALUE"""),3.0)</f>
        <v>3</v>
      </c>
      <c r="G631" s="17">
        <f>IFERROR(__xludf.DUMMYFUNCTION("""COMPUTED_VALUE"""),143704.0)</f>
        <v>143704</v>
      </c>
      <c r="H631" s="17" t="str">
        <f>IFERROR(__xludf.DUMMYFUNCTION("""COMPUTED_VALUE"""),"промислові печі для випалу кераміки та порцеляни")</f>
        <v>промислові печі для випалу кераміки та порцеляни</v>
      </c>
      <c r="I631" s="18">
        <f>IFERROR(__xludf.DUMMYFUNCTION("""COMPUTED_VALUE"""),1.04)</f>
        <v>1.04</v>
      </c>
      <c r="J631" s="18">
        <f>IFERROR(__xludf.DUMMYFUNCTION("""COMPUTED_VALUE"""),2.08)</f>
        <v>2.08</v>
      </c>
      <c r="K631" s="18">
        <f>IFERROR(__xludf.DUMMYFUNCTION("""COMPUTED_VALUE"""),2.59)</f>
        <v>2.59</v>
      </c>
      <c r="L631" s="18">
        <f>IFERROR(__xludf.DUMMYFUNCTION("""COMPUTED_VALUE"""),4.15)</f>
        <v>4.15</v>
      </c>
    </row>
    <row r="632">
      <c r="A632" s="13" t="str">
        <f>IFERROR(__xludf.DUMMYFUNCTION("""COMPUTED_VALUE"""),"товари")</f>
        <v>товари</v>
      </c>
      <c r="B632" s="13" t="str">
        <f>IFERROR(__xludf.DUMMYFUNCTION("""COMPUTED_VALUE"""),"промислове обладнання та верстати")</f>
        <v>промислове обладнання та верстати</v>
      </c>
      <c r="C632" s="15" t="str">
        <f>IFERROR(__xludf.DUMMYFUNCTION("""COMPUTED_VALUE"""),"промислове термічне обладнання")</f>
        <v>промислове термічне обладнання</v>
      </c>
      <c r="D632" s="15" t="str">
        <f>IFERROR(__xludf.DUMMYFUNCTION("""COMPUTED_VALUE"""),"промислові печі для плавлення")</f>
        <v>промислові печі для плавлення</v>
      </c>
      <c r="E632" s="15" t="str">
        <f>IFERROR(__xludf.DUMMYFUNCTION("""COMPUTED_VALUE"""),"промислові печі для плавлення")</f>
        <v>промислові печі для плавлення</v>
      </c>
      <c r="F632" s="17">
        <f>IFERROR(__xludf.DUMMYFUNCTION("""COMPUTED_VALUE"""),3.0)</f>
        <v>3</v>
      </c>
      <c r="G632" s="17">
        <f>IFERROR(__xludf.DUMMYFUNCTION("""COMPUTED_VALUE"""),143706.0)</f>
        <v>143706</v>
      </c>
      <c r="H632" s="17" t="str">
        <f>IFERROR(__xludf.DUMMYFUNCTION("""COMPUTED_VALUE"""),"промислові печі для плавлення")</f>
        <v>промислові печі для плавлення</v>
      </c>
      <c r="I632" s="18">
        <f>IFERROR(__xludf.DUMMYFUNCTION("""COMPUTED_VALUE"""),1.08)</f>
        <v>1.08</v>
      </c>
      <c r="J632" s="18">
        <f>IFERROR(__xludf.DUMMYFUNCTION("""COMPUTED_VALUE"""),2.16)</f>
        <v>2.16</v>
      </c>
      <c r="K632" s="18">
        <f>IFERROR(__xludf.DUMMYFUNCTION("""COMPUTED_VALUE"""),2.7)</f>
        <v>2.7</v>
      </c>
      <c r="L632" s="18">
        <f>IFERROR(__xludf.DUMMYFUNCTION("""COMPUTED_VALUE"""),4.33)</f>
        <v>4.33</v>
      </c>
    </row>
    <row r="633">
      <c r="A633" s="13" t="str">
        <f>IFERROR(__xludf.DUMMYFUNCTION("""COMPUTED_VALUE"""),"товари")</f>
        <v>товари</v>
      </c>
      <c r="B633" s="13" t="str">
        <f>IFERROR(__xludf.DUMMYFUNCTION("""COMPUTED_VALUE"""),"промислове обладнання та верстати")</f>
        <v>промислове обладнання та верстати</v>
      </c>
      <c r="C633" s="15" t="str">
        <f>IFERROR(__xludf.DUMMYFUNCTION("""COMPUTED_VALUE"""),"промислове термічне обладнання")</f>
        <v>промислове термічне обладнання</v>
      </c>
      <c r="D633" s="15" t="str">
        <f>IFERROR(__xludf.DUMMYFUNCTION("""COMPUTED_VALUE"""),"промислові печі для сушіння")</f>
        <v>промислові печі для сушіння</v>
      </c>
      <c r="E633" s="15" t="str">
        <f>IFERROR(__xludf.DUMMYFUNCTION("""COMPUTED_VALUE"""),"промислові печі для сушіння")</f>
        <v>промислові печі для сушіння</v>
      </c>
      <c r="F633" s="17">
        <f>IFERROR(__xludf.DUMMYFUNCTION("""COMPUTED_VALUE"""),3.0)</f>
        <v>3</v>
      </c>
      <c r="G633" s="17">
        <f>IFERROR(__xludf.DUMMYFUNCTION("""COMPUTED_VALUE"""),143705.0)</f>
        <v>143705</v>
      </c>
      <c r="H633" s="17" t="str">
        <f>IFERROR(__xludf.DUMMYFUNCTION("""COMPUTED_VALUE"""),"промислові печі для сушіння")</f>
        <v>промислові печі для сушіння</v>
      </c>
      <c r="I633" s="18">
        <f>IFERROR(__xludf.DUMMYFUNCTION("""COMPUTED_VALUE"""),1.8)</f>
        <v>1.8</v>
      </c>
      <c r="J633" s="18">
        <f>IFERROR(__xludf.DUMMYFUNCTION("""COMPUTED_VALUE"""),3.6)</f>
        <v>3.6</v>
      </c>
      <c r="K633" s="18">
        <f>IFERROR(__xludf.DUMMYFUNCTION("""COMPUTED_VALUE"""),4.5)</f>
        <v>4.5</v>
      </c>
      <c r="L633" s="18">
        <f>IFERROR(__xludf.DUMMYFUNCTION("""COMPUTED_VALUE"""),7.2)</f>
        <v>7.2</v>
      </c>
    </row>
    <row r="634">
      <c r="A634" s="13" t="str">
        <f>IFERROR(__xludf.DUMMYFUNCTION("""COMPUTED_VALUE"""),"товари")</f>
        <v>товари</v>
      </c>
      <c r="B634" s="13" t="str">
        <f>IFERROR(__xludf.DUMMYFUNCTION("""COMPUTED_VALUE"""),"промислове обладнання та верстати")</f>
        <v>промислове обладнання та верстати</v>
      </c>
      <c r="C634" s="15" t="str">
        <f>IFERROR(__xludf.DUMMYFUNCTION("""COMPUTED_VALUE"""),"промислове термічне обладнання")</f>
        <v>промислове термічне обладнання</v>
      </c>
      <c r="D634" s="15" t="str">
        <f>IFERROR(__xludf.DUMMYFUNCTION("""COMPUTED_VALUE"""),"промислові печі для термообробки металів та сплавів")</f>
        <v>промислові печі для термообробки металів та сплавів</v>
      </c>
      <c r="E634" s="15" t="str">
        <f>IFERROR(__xludf.DUMMYFUNCTION("""COMPUTED_VALUE"""),"промислові печі для термообробки металів та сплавів")</f>
        <v>промислові печі для термообробки металів та сплавів</v>
      </c>
      <c r="F634" s="17">
        <f>IFERROR(__xludf.DUMMYFUNCTION("""COMPUTED_VALUE"""),3.0)</f>
        <v>3</v>
      </c>
      <c r="G634" s="17">
        <f>IFERROR(__xludf.DUMMYFUNCTION("""COMPUTED_VALUE"""),143701.0)</f>
        <v>143701</v>
      </c>
      <c r="H634" s="17" t="str">
        <f>IFERROR(__xludf.DUMMYFUNCTION("""COMPUTED_VALUE"""),"промислові печі для термообробки металів та сплавів")</f>
        <v>промислові печі для термообробки металів та сплавів</v>
      </c>
      <c r="I634" s="18">
        <f>IFERROR(__xludf.DUMMYFUNCTION("""COMPUTED_VALUE"""),1.13)</f>
        <v>1.13</v>
      </c>
      <c r="J634" s="18">
        <f>IFERROR(__xludf.DUMMYFUNCTION("""COMPUTED_VALUE"""),2.25)</f>
        <v>2.25</v>
      </c>
      <c r="K634" s="18">
        <f>IFERROR(__xludf.DUMMYFUNCTION("""COMPUTED_VALUE"""),2.81)</f>
        <v>2.81</v>
      </c>
      <c r="L634" s="18">
        <f>IFERROR(__xludf.DUMMYFUNCTION("""COMPUTED_VALUE"""),4.5)</f>
        <v>4.5</v>
      </c>
    </row>
    <row r="635">
      <c r="A635" s="13" t="str">
        <f>IFERROR(__xludf.DUMMYFUNCTION("""COMPUTED_VALUE"""),"товари")</f>
        <v>товари</v>
      </c>
      <c r="B635" s="13" t="str">
        <f>IFERROR(__xludf.DUMMYFUNCTION("""COMPUTED_VALUE"""),"промислове обладнання та верстати")</f>
        <v>промислове обладнання та верстати</v>
      </c>
      <c r="C635" s="15" t="str">
        <f>IFERROR(__xludf.DUMMYFUNCTION("""COMPUTED_VALUE"""),"енергообладнання")</f>
        <v>енергообладнання</v>
      </c>
      <c r="D635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635" s="15" t="str">
        <f>IFERROR(__xludf.DUMMYFUNCTION("""COMPUTED_VALUE"""),"промислові регістри опалення")</f>
        <v>промислові регістри опалення</v>
      </c>
      <c r="F635" s="17">
        <f>IFERROR(__xludf.DUMMYFUNCTION("""COMPUTED_VALUE"""),4.0)</f>
        <v>4</v>
      </c>
      <c r="G635" s="17">
        <f>IFERROR(__xludf.DUMMYFUNCTION("""COMPUTED_VALUE"""),142110.0)</f>
        <v>142110</v>
      </c>
      <c r="H635" s="17" t="str">
        <f>IFERROR(__xludf.DUMMYFUNCTION("""COMPUTED_VALUE"""),"промислові регістри опалення")</f>
        <v>промислові регістри опалення</v>
      </c>
      <c r="I635" s="18">
        <f>IFERROR(__xludf.DUMMYFUNCTION("""COMPUTED_VALUE"""),2.7)</f>
        <v>2.7</v>
      </c>
      <c r="J635" s="18">
        <f>IFERROR(__xludf.DUMMYFUNCTION("""COMPUTED_VALUE"""),5.4)</f>
        <v>5.4</v>
      </c>
      <c r="K635" s="18">
        <f>IFERROR(__xludf.DUMMYFUNCTION("""COMPUTED_VALUE"""),6.75)</f>
        <v>6.75</v>
      </c>
      <c r="L635" s="18">
        <f>IFERROR(__xludf.DUMMYFUNCTION("""COMPUTED_VALUE"""),10.8)</f>
        <v>10.8</v>
      </c>
    </row>
    <row r="636">
      <c r="A636" s="13" t="str">
        <f>IFERROR(__xludf.DUMMYFUNCTION("""COMPUTED_VALUE"""),"товари")</f>
        <v>товари</v>
      </c>
      <c r="B636" s="13" t="str">
        <f>IFERROR(__xludf.DUMMYFUNCTION("""COMPUTED_VALUE"""),"промислове обладнання та верстати")</f>
        <v>промислове обладнання та верстати</v>
      </c>
      <c r="C636" s="15" t="str">
        <f>IFERROR(__xludf.DUMMYFUNCTION("""COMPUTED_VALUE"""),"промислові роботи")</f>
        <v>промислові роботи</v>
      </c>
      <c r="D636" s="15" t="str">
        <f>IFERROR(__xludf.DUMMYFUNCTION("""COMPUTED_VALUE"""),"промислові роботи")</f>
        <v>промислові роботи</v>
      </c>
      <c r="E636" s="15" t="str">
        <f>IFERROR(__xludf.DUMMYFUNCTION("""COMPUTED_VALUE"""),"промислові роботи")</f>
        <v>промислові роботи</v>
      </c>
      <c r="F636" s="17">
        <f>IFERROR(__xludf.DUMMYFUNCTION("""COMPUTED_VALUE"""),2.0)</f>
        <v>2</v>
      </c>
      <c r="G636" s="17">
        <f>IFERROR(__xludf.DUMMYFUNCTION("""COMPUTED_VALUE"""),1474.0)</f>
        <v>1474</v>
      </c>
      <c r="H636" s="17" t="str">
        <f>IFERROR(__xludf.DUMMYFUNCTION("""COMPUTED_VALUE"""),"промислові роботи")</f>
        <v>промислові роботи</v>
      </c>
      <c r="I636" s="18">
        <f>IFERROR(__xludf.DUMMYFUNCTION("""COMPUTED_VALUE"""),1.44)</f>
        <v>1.44</v>
      </c>
      <c r="J636" s="18">
        <f>IFERROR(__xludf.DUMMYFUNCTION("""COMPUTED_VALUE"""),2.88)</f>
        <v>2.88</v>
      </c>
      <c r="K636" s="18">
        <f>IFERROR(__xludf.DUMMYFUNCTION("""COMPUTED_VALUE"""),3.59)</f>
        <v>3.59</v>
      </c>
      <c r="L636" s="18">
        <f>IFERROR(__xludf.DUMMYFUNCTION("""COMPUTED_VALUE"""),5.75)</f>
        <v>5.75</v>
      </c>
    </row>
    <row r="637">
      <c r="A637" s="13" t="str">
        <f>IFERROR(__xludf.DUMMYFUNCTION("""COMPUTED_VALUE"""),"товари")</f>
        <v>товари</v>
      </c>
      <c r="B637" s="13" t="str">
        <f>IFERROR(__xludf.DUMMYFUNCTION("""COMPUTED_VALUE"""),"промислове обладнання та верстати")</f>
        <v>промислове обладнання та верстати</v>
      </c>
      <c r="C637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37" s="15" t="str">
        <f>IFERROR(__xludf.DUMMYFUNCTION("""COMPUTED_VALUE"""),"промислові очищувачі повітря")</f>
        <v>промислові очищувачі повітря</v>
      </c>
      <c r="E637" s="15" t="str">
        <f>IFERROR(__xludf.DUMMYFUNCTION("""COMPUTED_VALUE"""),"промислові системи очищення та іонізації повітря")</f>
        <v>промислові системи очищення та іонізації повітря</v>
      </c>
      <c r="F637" s="17">
        <f>IFERROR(__xludf.DUMMYFUNCTION("""COMPUTED_VALUE"""),4.0)</f>
        <v>4</v>
      </c>
      <c r="G637" s="17">
        <f>IFERROR(__xludf.DUMMYFUNCTION("""COMPUTED_VALUE"""),1.4020101E7)</f>
        <v>14020101</v>
      </c>
      <c r="H637" s="17" t="str">
        <f>IFERROR(__xludf.DUMMYFUNCTION("""COMPUTED_VALUE"""),"промислові системи очищення та іонізації повітря")</f>
        <v>промислові системи очищення та іонізації повітря</v>
      </c>
      <c r="I637" s="18">
        <f>IFERROR(__xludf.DUMMYFUNCTION("""COMPUTED_VALUE"""),2.11)</f>
        <v>2.11</v>
      </c>
      <c r="J637" s="18">
        <f>IFERROR(__xludf.DUMMYFUNCTION("""COMPUTED_VALUE"""),4.23)</f>
        <v>4.23</v>
      </c>
      <c r="K637" s="18">
        <f>IFERROR(__xludf.DUMMYFUNCTION("""COMPUTED_VALUE"""),5.28)</f>
        <v>5.28</v>
      </c>
      <c r="L637" s="18">
        <f>IFERROR(__xludf.DUMMYFUNCTION("""COMPUTED_VALUE"""),8.45)</f>
        <v>8.45</v>
      </c>
    </row>
    <row r="638">
      <c r="A638" s="13" t="str">
        <f>IFERROR(__xludf.DUMMYFUNCTION("""COMPUTED_VALUE"""),"товари")</f>
        <v>товари</v>
      </c>
      <c r="B638" s="13" t="str">
        <f>IFERROR(__xludf.DUMMYFUNCTION("""COMPUTED_VALUE"""),"промислове обладнання та верстати")</f>
        <v>промислове обладнання та верстати</v>
      </c>
      <c r="C638" s="15" t="str">
        <f>IFERROR(__xludf.DUMMYFUNCTION("""COMPUTED_VALUE"""),"промислові фільтри")</f>
        <v>промислові фільтри</v>
      </c>
      <c r="D638" s="15" t="str">
        <f>IFERROR(__xludf.DUMMYFUNCTION("""COMPUTED_VALUE"""),"промислові фільтри")</f>
        <v>промислові фільтри</v>
      </c>
      <c r="E638" s="15" t="str">
        <f>IFERROR(__xludf.DUMMYFUNCTION("""COMPUTED_VALUE"""),"промислові фільтри")</f>
        <v>промислові фільтри</v>
      </c>
      <c r="F638" s="17">
        <f>IFERROR(__xludf.DUMMYFUNCTION("""COMPUTED_VALUE"""),2.0)</f>
        <v>2</v>
      </c>
      <c r="G638" s="17">
        <f>IFERROR(__xludf.DUMMYFUNCTION("""COMPUTED_VALUE"""),1405.0)</f>
        <v>1405</v>
      </c>
      <c r="H638" s="17" t="str">
        <f>IFERROR(__xludf.DUMMYFUNCTION("""COMPUTED_VALUE"""),"промислові фільтри")</f>
        <v>промислові фільтри</v>
      </c>
      <c r="I638" s="18">
        <f>IFERROR(__xludf.DUMMYFUNCTION("""COMPUTED_VALUE"""),1.35)</f>
        <v>1.35</v>
      </c>
      <c r="J638" s="18">
        <f>IFERROR(__xludf.DUMMYFUNCTION("""COMPUTED_VALUE"""),2.7)</f>
        <v>2.7</v>
      </c>
      <c r="K638" s="18">
        <f>IFERROR(__xludf.DUMMYFUNCTION("""COMPUTED_VALUE"""),3.38)</f>
        <v>3.38</v>
      </c>
      <c r="L638" s="18">
        <f>IFERROR(__xludf.DUMMYFUNCTION("""COMPUTED_VALUE"""),5.4)</f>
        <v>5.4</v>
      </c>
    </row>
    <row r="639">
      <c r="A639" s="13" t="str">
        <f>IFERROR(__xludf.DUMMYFUNCTION("""COMPUTED_VALUE"""),"товари")</f>
        <v>товари</v>
      </c>
      <c r="B639" s="13" t="str">
        <f>IFERROR(__xludf.DUMMYFUNCTION("""COMPUTED_VALUE"""),"промислове обладнання та верстати")</f>
        <v>промислове обладнання та верстати</v>
      </c>
      <c r="C639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639" s="15" t="str">
        <f>IFERROR(__xludf.DUMMYFUNCTION("""COMPUTED_VALUE"""),"підшипники")</f>
        <v>підшипники</v>
      </c>
      <c r="E639" s="15" t="str">
        <f>IFERROR(__xludf.DUMMYFUNCTION("""COMPUTED_VALUE"""),"радіальні підшипники")</f>
        <v>радіальні підшипники</v>
      </c>
      <c r="F639" s="17">
        <f>IFERROR(__xludf.DUMMYFUNCTION("""COMPUTED_VALUE"""),4.0)</f>
        <v>4</v>
      </c>
      <c r="G639" s="17">
        <f>IFERROR(__xludf.DUMMYFUNCTION("""COMPUTED_VALUE"""),145613.0)</f>
        <v>145613</v>
      </c>
      <c r="H639" s="17" t="str">
        <f>IFERROR(__xludf.DUMMYFUNCTION("""COMPUTED_VALUE"""),"радіальні підшипники")</f>
        <v>радіальні підшипники</v>
      </c>
      <c r="I639" s="18">
        <f>IFERROR(__xludf.DUMMYFUNCTION("""COMPUTED_VALUE"""),0.53)</f>
        <v>0.53</v>
      </c>
      <c r="J639" s="18">
        <f>IFERROR(__xludf.DUMMYFUNCTION("""COMPUTED_VALUE"""),1.05)</f>
        <v>1.05</v>
      </c>
      <c r="K639" s="18">
        <f>IFERROR(__xludf.DUMMYFUNCTION("""COMPUTED_VALUE"""),1.31)</f>
        <v>1.31</v>
      </c>
      <c r="L639" s="18">
        <f>IFERROR(__xludf.DUMMYFUNCTION("""COMPUTED_VALUE"""),2.1)</f>
        <v>2.1</v>
      </c>
    </row>
    <row r="640">
      <c r="A640" s="13" t="str">
        <f>IFERROR(__xludf.DUMMYFUNCTION("""COMPUTED_VALUE"""),"товари")</f>
        <v>товари</v>
      </c>
      <c r="B640" s="13" t="str">
        <f>IFERROR(__xludf.DUMMYFUNCTION("""COMPUTED_VALUE"""),"промислове обладнання та верстати")</f>
        <v>промислове обладнання та верстати</v>
      </c>
      <c r="C640" s="15" t="str">
        <f>IFERROR(__xludf.DUMMYFUNCTION("""COMPUTED_VALUE"""),"резервуари та баки")</f>
        <v>резервуари та баки</v>
      </c>
      <c r="D640" s="15" t="str">
        <f>IFERROR(__xludf.DUMMYFUNCTION("""COMPUTED_VALUE"""),"резервуари та баки для зберігання токсичних речовин")</f>
        <v>резервуари та баки для зберігання токсичних речовин</v>
      </c>
      <c r="E640" s="15" t="str">
        <f>IFERROR(__xludf.DUMMYFUNCTION("""COMPUTED_VALUE"""),"резервуари та баки для зберігання токсичних речовин")</f>
        <v>резервуари та баки для зберігання токсичних речовин</v>
      </c>
      <c r="F640" s="17">
        <f>IFERROR(__xludf.DUMMYFUNCTION("""COMPUTED_VALUE"""),3.0)</f>
        <v>3</v>
      </c>
      <c r="G640" s="17">
        <f>IFERROR(__xludf.DUMMYFUNCTION("""COMPUTED_VALUE"""),145003.0)</f>
        <v>145003</v>
      </c>
      <c r="H640" s="17" t="str">
        <f>IFERROR(__xludf.DUMMYFUNCTION("""COMPUTED_VALUE"""),"резервуари та баки для зберігання токсичних речовин")</f>
        <v>резервуари та баки для зберігання токсичних речовин</v>
      </c>
      <c r="I640" s="18">
        <f>IFERROR(__xludf.DUMMYFUNCTION("""COMPUTED_VALUE"""),1.26)</f>
        <v>1.26</v>
      </c>
      <c r="J640" s="18">
        <f>IFERROR(__xludf.DUMMYFUNCTION("""COMPUTED_VALUE"""),2.53)</f>
        <v>2.53</v>
      </c>
      <c r="K640" s="18">
        <f>IFERROR(__xludf.DUMMYFUNCTION("""COMPUTED_VALUE"""),3.16)</f>
        <v>3.16</v>
      </c>
      <c r="L640" s="18">
        <f>IFERROR(__xludf.DUMMYFUNCTION("""COMPUTED_VALUE"""),5.05)</f>
        <v>5.05</v>
      </c>
    </row>
    <row r="641">
      <c r="A641" s="13" t="str">
        <f>IFERROR(__xludf.DUMMYFUNCTION("""COMPUTED_VALUE"""),"товари")</f>
        <v>товари</v>
      </c>
      <c r="B641" s="13" t="str">
        <f>IFERROR(__xludf.DUMMYFUNCTION("""COMPUTED_VALUE"""),"промислове обладнання та верстати")</f>
        <v>промислове обладнання та верстати</v>
      </c>
      <c r="C641" s="15" t="str">
        <f>IFERROR(__xludf.DUMMYFUNCTION("""COMPUTED_VALUE"""),"енергообладнання")</f>
        <v>енергообладнання</v>
      </c>
      <c r="D641" s="15" t="str">
        <f>IFERROR(__xludf.DUMMYFUNCTION("""COMPUTED_VALUE"""),"рефрижераторне обладнання")</f>
        <v>рефрижераторне обладнання</v>
      </c>
      <c r="E641" s="15" t="str">
        <f>IFERROR(__xludf.DUMMYFUNCTION("""COMPUTED_VALUE"""),"рефрижераторні контейнери")</f>
        <v>рефрижераторні контейнери</v>
      </c>
      <c r="F641" s="17">
        <f>IFERROR(__xludf.DUMMYFUNCTION("""COMPUTED_VALUE"""),4.0)</f>
        <v>4</v>
      </c>
      <c r="G641" s="17">
        <f>IFERROR(__xludf.DUMMYFUNCTION("""COMPUTED_VALUE"""),1.424011E7)</f>
        <v>14240110</v>
      </c>
      <c r="H641" s="17" t="str">
        <f>IFERROR(__xludf.DUMMYFUNCTION("""COMPUTED_VALUE"""),"рефрижераторні контейнери")</f>
        <v>рефрижераторні контейнери</v>
      </c>
      <c r="I641" s="18">
        <f>IFERROR(__xludf.DUMMYFUNCTION("""COMPUTED_VALUE"""),1.04)</f>
        <v>1.04</v>
      </c>
      <c r="J641" s="18">
        <f>IFERROR(__xludf.DUMMYFUNCTION("""COMPUTED_VALUE"""),2.08)</f>
        <v>2.08</v>
      </c>
      <c r="K641" s="18">
        <f>IFERROR(__xludf.DUMMYFUNCTION("""COMPUTED_VALUE"""),2.59)</f>
        <v>2.59</v>
      </c>
      <c r="L641" s="18">
        <f>IFERROR(__xludf.DUMMYFUNCTION("""COMPUTED_VALUE"""),4.15)</f>
        <v>4.15</v>
      </c>
    </row>
    <row r="642">
      <c r="A642" s="13" t="str">
        <f>IFERROR(__xludf.DUMMYFUNCTION("""COMPUTED_VALUE"""),"товари")</f>
        <v>товари</v>
      </c>
      <c r="B642" s="13" t="str">
        <f>IFERROR(__xludf.DUMMYFUNCTION("""COMPUTED_VALUE"""),"промислове обладнання та верстати")</f>
        <v>промислове обладнання та верстати</v>
      </c>
      <c r="C642" s="15" t="str">
        <f>IFERROR(__xludf.DUMMYFUNCTION("""COMPUTED_VALUE"""),"верстати")</f>
        <v>верстати</v>
      </c>
      <c r="D642" s="15" t="str">
        <f>IFERROR(__xludf.DUMMYFUNCTION("""COMPUTED_VALUE"""),"металообробні верстати")</f>
        <v>металообробні верстати</v>
      </c>
      <c r="E642" s="15" t="str">
        <f>IFERROR(__xludf.DUMMYFUNCTION("""COMPUTED_VALUE"""),"різьбонарізні верстати")</f>
        <v>різьбонарізні верстати</v>
      </c>
      <c r="F642" s="17">
        <f>IFERROR(__xludf.DUMMYFUNCTION("""COMPUTED_VALUE"""),4.0)</f>
        <v>4</v>
      </c>
      <c r="G642" s="17">
        <f>IFERROR(__xludf.DUMMYFUNCTION("""COMPUTED_VALUE"""),1.4209821E7)</f>
        <v>14209821</v>
      </c>
      <c r="H642" s="17" t="str">
        <f>IFERROR(__xludf.DUMMYFUNCTION("""COMPUTED_VALUE"""),"різьбонарізні верстати")</f>
        <v>різьбонарізні верстати</v>
      </c>
      <c r="I642" s="18">
        <f>IFERROR(__xludf.DUMMYFUNCTION("""COMPUTED_VALUE"""),2.07)</f>
        <v>2.07</v>
      </c>
      <c r="J642" s="18">
        <f>IFERROR(__xludf.DUMMYFUNCTION("""COMPUTED_VALUE"""),4.14)</f>
        <v>4.14</v>
      </c>
      <c r="K642" s="18">
        <f>IFERROR(__xludf.DUMMYFUNCTION("""COMPUTED_VALUE"""),5.17)</f>
        <v>5.17</v>
      </c>
      <c r="L642" s="18">
        <f>IFERROR(__xludf.DUMMYFUNCTION("""COMPUTED_VALUE"""),8.28)</f>
        <v>8.28</v>
      </c>
    </row>
    <row r="643">
      <c r="A643" s="13" t="str">
        <f>IFERROR(__xludf.DUMMYFUNCTION("""COMPUTED_VALUE"""),"товари")</f>
        <v>товари</v>
      </c>
      <c r="B643" s="13" t="str">
        <f>IFERROR(__xludf.DUMMYFUNCTION("""COMPUTED_VALUE"""),"промислове обладнання та верстати")</f>
        <v>промислове обладнання та верстати</v>
      </c>
      <c r="C643" s="15" t="str">
        <f>IFERROR(__xludf.DUMMYFUNCTION("""COMPUTED_VALUE"""),"виробниче обладнання")</f>
        <v>виробниче обладнання</v>
      </c>
      <c r="D643" s="15" t="str">
        <f>IFERROR(__xludf.DUMMYFUNCTION("""COMPUTED_VALUE"""),"допоміжне обладнання")</f>
        <v>допоміжне обладнання</v>
      </c>
      <c r="E643" s="15" t="str">
        <f>IFERROR(__xludf.DUMMYFUNCTION("""COMPUTED_VALUE"""),"розвідні верстати")</f>
        <v>розвідні верстати</v>
      </c>
      <c r="F643" s="17">
        <f>IFERROR(__xludf.DUMMYFUNCTION("""COMPUTED_VALUE"""),4.0)</f>
        <v>4</v>
      </c>
      <c r="G643" s="17">
        <f>IFERROR(__xludf.DUMMYFUNCTION("""COMPUTED_VALUE"""),1.4312404E7)</f>
        <v>14312404</v>
      </c>
      <c r="H643" s="17" t="str">
        <f>IFERROR(__xludf.DUMMYFUNCTION("""COMPUTED_VALUE"""),"розвідні верстати")</f>
        <v>розвідні верстати</v>
      </c>
      <c r="I643" s="18">
        <f>IFERROR(__xludf.DUMMYFUNCTION("""COMPUTED_VALUE"""),1.26)</f>
        <v>1.26</v>
      </c>
      <c r="J643" s="18">
        <f>IFERROR(__xludf.DUMMYFUNCTION("""COMPUTED_VALUE"""),2.53)</f>
        <v>2.53</v>
      </c>
      <c r="K643" s="18">
        <f>IFERROR(__xludf.DUMMYFUNCTION("""COMPUTED_VALUE"""),3.16)</f>
        <v>3.16</v>
      </c>
      <c r="L643" s="18">
        <f>IFERROR(__xludf.DUMMYFUNCTION("""COMPUTED_VALUE"""),5.05)</f>
        <v>5.05</v>
      </c>
    </row>
    <row r="644">
      <c r="A644" s="13" t="str">
        <f>IFERROR(__xludf.DUMMYFUNCTION("""COMPUTED_VALUE"""),"товари")</f>
        <v>товари</v>
      </c>
      <c r="B644" s="13" t="str">
        <f>IFERROR(__xludf.DUMMYFUNCTION("""COMPUTED_VALUE"""),"промислове обладнання та верстати")</f>
        <v>промислове обладнання та верстати</v>
      </c>
      <c r="C644" s="15" t="str">
        <f>IFERROR(__xludf.DUMMYFUNCTION("""COMPUTED_VALUE"""),"верстати")</f>
        <v>верстати</v>
      </c>
      <c r="D644" s="15" t="str">
        <f>IFERROR(__xludf.DUMMYFUNCTION("""COMPUTED_VALUE"""),"металообробні верстати")</f>
        <v>металообробні верстати</v>
      </c>
      <c r="E644" s="15" t="str">
        <f>IFERROR(__xludf.DUMMYFUNCTION("""COMPUTED_VALUE"""),"розточувальні верстати")</f>
        <v>розточувальні верстати</v>
      </c>
      <c r="F644" s="17">
        <f>IFERROR(__xludf.DUMMYFUNCTION("""COMPUTED_VALUE"""),4.0)</f>
        <v>4</v>
      </c>
      <c r="G644" s="17">
        <f>IFERROR(__xludf.DUMMYFUNCTION("""COMPUTED_VALUE"""),1.4209826E7)</f>
        <v>14209826</v>
      </c>
      <c r="H644" s="17" t="str">
        <f>IFERROR(__xludf.DUMMYFUNCTION("""COMPUTED_VALUE"""),"розточувальні верстати")</f>
        <v>розточувальні верстати</v>
      </c>
      <c r="I644" s="18">
        <f>IFERROR(__xludf.DUMMYFUNCTION("""COMPUTED_VALUE"""),2.07)</f>
        <v>2.07</v>
      </c>
      <c r="J644" s="18">
        <f>IFERROR(__xludf.DUMMYFUNCTION("""COMPUTED_VALUE"""),4.14)</f>
        <v>4.14</v>
      </c>
      <c r="K644" s="18">
        <f>IFERROR(__xludf.DUMMYFUNCTION("""COMPUTED_VALUE"""),5.17)</f>
        <v>5.17</v>
      </c>
      <c r="L644" s="18">
        <f>IFERROR(__xludf.DUMMYFUNCTION("""COMPUTED_VALUE"""),8.28)</f>
        <v>8.28</v>
      </c>
    </row>
    <row r="645">
      <c r="A645" s="13" t="str">
        <f>IFERROR(__xludf.DUMMYFUNCTION("""COMPUTED_VALUE"""),"товари")</f>
        <v>товари</v>
      </c>
      <c r="B645" s="13" t="str">
        <f>IFERROR(__xludf.DUMMYFUNCTION("""COMPUTED_VALUE"""),"промислове обладнання та верстати")</f>
        <v>промислове обладнання та верстати</v>
      </c>
      <c r="C645" s="15" t="str">
        <f>IFERROR(__xludf.DUMMYFUNCTION("""COMPUTED_VALUE"""),"виробниче обладнання")</f>
        <v>виробниче обладнання</v>
      </c>
      <c r="D645" s="15" t="str">
        <f>IFERROR(__xludf.DUMMYFUNCTION("""COMPUTED_VALUE"""),"обладнання для виробництва меблів")</f>
        <v>обладнання для виробництва меблів</v>
      </c>
      <c r="E645" s="15" t="str">
        <f>IFERROR(__xludf.DUMMYFUNCTION("""COMPUTED_VALUE"""),"свердлильно-присадні верстати")</f>
        <v>свердлильно-присадні верстати</v>
      </c>
      <c r="F645" s="17">
        <f>IFERROR(__xludf.DUMMYFUNCTION("""COMPUTED_VALUE"""),4.0)</f>
        <v>4</v>
      </c>
      <c r="G645" s="17">
        <f>IFERROR(__xludf.DUMMYFUNCTION("""COMPUTED_VALUE"""),370905.0)</f>
        <v>370905</v>
      </c>
      <c r="H645" s="17" t="str">
        <f>IFERROR(__xludf.DUMMYFUNCTION("""COMPUTED_VALUE"""),"свердлильно-присадні верстати")</f>
        <v>свердлильно-присадні верстати</v>
      </c>
      <c r="I645" s="18">
        <f>IFERROR(__xludf.DUMMYFUNCTION("""COMPUTED_VALUE"""),1.53)</f>
        <v>1.53</v>
      </c>
      <c r="J645" s="18">
        <f>IFERROR(__xludf.DUMMYFUNCTION("""COMPUTED_VALUE"""),3.06)</f>
        <v>3.06</v>
      </c>
      <c r="K645" s="18">
        <f>IFERROR(__xludf.DUMMYFUNCTION("""COMPUTED_VALUE"""),3.83)</f>
        <v>3.83</v>
      </c>
      <c r="L645" s="18">
        <f>IFERROR(__xludf.DUMMYFUNCTION("""COMPUTED_VALUE"""),6.13)</f>
        <v>6.13</v>
      </c>
    </row>
    <row r="646">
      <c r="A646" s="13" t="str">
        <f>IFERROR(__xludf.DUMMYFUNCTION("""COMPUTED_VALUE"""),"товари")</f>
        <v>товари</v>
      </c>
      <c r="B646" s="13" t="str">
        <f>IFERROR(__xludf.DUMMYFUNCTION("""COMPUTED_VALUE"""),"промислове обладнання та верстати")</f>
        <v>промислове обладнання та верстати</v>
      </c>
      <c r="C646" s="15" t="str">
        <f>IFERROR(__xludf.DUMMYFUNCTION("""COMPUTED_VALUE"""),"промислові насоси")</f>
        <v>промислові насоси</v>
      </c>
      <c r="D646" s="15" t="str">
        <f>IFERROR(__xludf.DUMMYFUNCTION("""COMPUTED_VALUE"""),"свердловинні насоси")</f>
        <v>свердловинні насоси</v>
      </c>
      <c r="E646" s="15" t="str">
        <f>IFERROR(__xludf.DUMMYFUNCTION("""COMPUTED_VALUE"""),"свердловинні насоси")</f>
        <v>свердловинні насоси</v>
      </c>
      <c r="F646" s="17">
        <f>IFERROR(__xludf.DUMMYFUNCTION("""COMPUTED_VALUE"""),3.0)</f>
        <v>3</v>
      </c>
      <c r="G646" s="17">
        <f>IFERROR(__xludf.DUMMYFUNCTION("""COMPUTED_VALUE"""),140309.0)</f>
        <v>140309</v>
      </c>
      <c r="H646" s="17" t="str">
        <f>IFERROR(__xludf.DUMMYFUNCTION("""COMPUTED_VALUE"""),"свердловинні насоси")</f>
        <v>свердловинні насоси</v>
      </c>
      <c r="I646" s="18">
        <f>IFERROR(__xludf.DUMMYFUNCTION("""COMPUTED_VALUE"""),1.89)</f>
        <v>1.89</v>
      </c>
      <c r="J646" s="18">
        <f>IFERROR(__xludf.DUMMYFUNCTION("""COMPUTED_VALUE"""),3.78)</f>
        <v>3.78</v>
      </c>
      <c r="K646" s="18">
        <f>IFERROR(__xludf.DUMMYFUNCTION("""COMPUTED_VALUE"""),4.72)</f>
        <v>4.72</v>
      </c>
      <c r="L646" s="18">
        <f>IFERROR(__xludf.DUMMYFUNCTION("""COMPUTED_VALUE"""),7.55)</f>
        <v>7.55</v>
      </c>
    </row>
    <row r="647">
      <c r="A647" s="13" t="str">
        <f>IFERROR(__xludf.DUMMYFUNCTION("""COMPUTED_VALUE"""),"товари")</f>
        <v>товари</v>
      </c>
      <c r="B647" s="13" t="str">
        <f>IFERROR(__xludf.DUMMYFUNCTION("""COMPUTED_VALUE"""),"промислове обладнання та верстати")</f>
        <v>промислове обладнання та верстати</v>
      </c>
      <c r="C647" s="15" t="str">
        <f>IFERROR(__xludf.DUMMYFUNCTION("""COMPUTED_VALUE"""),"технологічне обладнання")</f>
        <v>технологічне обладнання</v>
      </c>
      <c r="D647" s="15" t="str">
        <f>IFERROR(__xludf.DUMMYFUNCTION("""COMPUTED_VALUE"""),"сепаратори")</f>
        <v>сепаратори</v>
      </c>
      <c r="E647" s="15" t="str">
        <f>IFERROR(__xludf.DUMMYFUNCTION("""COMPUTED_VALUE"""),"сепаратори зважених речовин")</f>
        <v>сепаратори зважених речовин</v>
      </c>
      <c r="F647" s="17">
        <f>IFERROR(__xludf.DUMMYFUNCTION("""COMPUTED_VALUE"""),4.0)</f>
        <v>4</v>
      </c>
      <c r="G647" s="17">
        <f>IFERROR(__xludf.DUMMYFUNCTION("""COMPUTED_VALUE"""),142308.0)</f>
        <v>142308</v>
      </c>
      <c r="H647" s="17" t="str">
        <f>IFERROR(__xludf.DUMMYFUNCTION("""COMPUTED_VALUE"""),"сепаратори зважених речовин")</f>
        <v>сепаратори зважених речовин</v>
      </c>
      <c r="I647" s="18">
        <f>IFERROR(__xludf.DUMMYFUNCTION("""COMPUTED_VALUE"""),2.7)</f>
        <v>2.7</v>
      </c>
      <c r="J647" s="18">
        <f>IFERROR(__xludf.DUMMYFUNCTION("""COMPUTED_VALUE"""),5.4)</f>
        <v>5.4</v>
      </c>
      <c r="K647" s="18">
        <f>IFERROR(__xludf.DUMMYFUNCTION("""COMPUTED_VALUE"""),6.75)</f>
        <v>6.75</v>
      </c>
      <c r="L647" s="18">
        <f>IFERROR(__xludf.DUMMYFUNCTION("""COMPUTED_VALUE"""),10.8)</f>
        <v>10.8</v>
      </c>
    </row>
    <row r="648">
      <c r="A648" s="13" t="str">
        <f>IFERROR(__xludf.DUMMYFUNCTION("""COMPUTED_VALUE"""),"товари")</f>
        <v>товари</v>
      </c>
      <c r="B648" s="13" t="str">
        <f>IFERROR(__xludf.DUMMYFUNCTION("""COMPUTED_VALUE"""),"промислове обладнання та верстати")</f>
        <v>промислове обладнання та верстати</v>
      </c>
      <c r="C648" s="15" t="str">
        <f>IFERROR(__xludf.DUMMYFUNCTION("""COMPUTED_VALUE"""),"технологічне обладнання")</f>
        <v>технологічне обладнання</v>
      </c>
      <c r="D648" s="15" t="str">
        <f>IFERROR(__xludf.DUMMYFUNCTION("""COMPUTED_VALUE"""),"сепаратори")</f>
        <v>сепаратори</v>
      </c>
      <c r="E648" s="15" t="str">
        <f>IFERROR(__xludf.DUMMYFUNCTION("""COMPUTED_VALUE"""),"сепаратори нафтопродуктів")</f>
        <v>сепаратори нафтопродуктів</v>
      </c>
      <c r="F648" s="17">
        <f>IFERROR(__xludf.DUMMYFUNCTION("""COMPUTED_VALUE"""),4.0)</f>
        <v>4</v>
      </c>
      <c r="G648" s="17">
        <f>IFERROR(__xludf.DUMMYFUNCTION("""COMPUTED_VALUE"""),142304.0)</f>
        <v>142304</v>
      </c>
      <c r="H648" s="17" t="str">
        <f>IFERROR(__xludf.DUMMYFUNCTION("""COMPUTED_VALUE"""),"сепаратори нафтопродуктів")</f>
        <v>сепаратори нафтопродуктів</v>
      </c>
      <c r="I648" s="18">
        <f>IFERROR(__xludf.DUMMYFUNCTION("""COMPUTED_VALUE"""),2.7)</f>
        <v>2.7</v>
      </c>
      <c r="J648" s="18">
        <f>IFERROR(__xludf.DUMMYFUNCTION("""COMPUTED_VALUE"""),5.4)</f>
        <v>5.4</v>
      </c>
      <c r="K648" s="18">
        <f>IFERROR(__xludf.DUMMYFUNCTION("""COMPUTED_VALUE"""),6.75)</f>
        <v>6.75</v>
      </c>
      <c r="L648" s="18">
        <f>IFERROR(__xludf.DUMMYFUNCTION("""COMPUTED_VALUE"""),10.8)</f>
        <v>10.8</v>
      </c>
    </row>
    <row r="649">
      <c r="A649" s="13" t="str">
        <f>IFERROR(__xludf.DUMMYFUNCTION("""COMPUTED_VALUE"""),"товари")</f>
        <v>товари</v>
      </c>
      <c r="B649" s="13" t="str">
        <f>IFERROR(__xludf.DUMMYFUNCTION("""COMPUTED_VALUE"""),"промислове обладнання та верстати")</f>
        <v>промислове обладнання та верстати</v>
      </c>
      <c r="C649" s="15" t="str">
        <f>IFERROR(__xludf.DUMMYFUNCTION("""COMPUTED_VALUE"""),"технологічне обладнання")</f>
        <v>технологічне обладнання</v>
      </c>
      <c r="D649" s="15" t="str">
        <f>IFERROR(__xludf.DUMMYFUNCTION("""COMPUTED_VALUE"""),"сепаратори")</f>
        <v>сепаратори</v>
      </c>
      <c r="E649" s="15" t="str">
        <f>IFERROR(__xludf.DUMMYFUNCTION("""COMPUTED_VALUE"""),"сепаратори повітря")</f>
        <v>сепаратори повітря</v>
      </c>
      <c r="F649" s="17">
        <f>IFERROR(__xludf.DUMMYFUNCTION("""COMPUTED_VALUE"""),4.0)</f>
        <v>4</v>
      </c>
      <c r="G649" s="17">
        <f>IFERROR(__xludf.DUMMYFUNCTION("""COMPUTED_VALUE"""),142301.0)</f>
        <v>142301</v>
      </c>
      <c r="H649" s="17" t="str">
        <f>IFERROR(__xludf.DUMMYFUNCTION("""COMPUTED_VALUE"""),"сепаратори повітря")</f>
        <v>сепаратори повітря</v>
      </c>
      <c r="I649" s="18">
        <f>IFERROR(__xludf.DUMMYFUNCTION("""COMPUTED_VALUE"""),2.7)</f>
        <v>2.7</v>
      </c>
      <c r="J649" s="18">
        <f>IFERROR(__xludf.DUMMYFUNCTION("""COMPUTED_VALUE"""),5.4)</f>
        <v>5.4</v>
      </c>
      <c r="K649" s="18">
        <f>IFERROR(__xludf.DUMMYFUNCTION("""COMPUTED_VALUE"""),6.75)</f>
        <v>6.75</v>
      </c>
      <c r="L649" s="18">
        <f>IFERROR(__xludf.DUMMYFUNCTION("""COMPUTED_VALUE"""),10.8)</f>
        <v>10.8</v>
      </c>
    </row>
    <row r="650">
      <c r="A650" s="13" t="str">
        <f>IFERROR(__xludf.DUMMYFUNCTION("""COMPUTED_VALUE"""),"товари")</f>
        <v>товари</v>
      </c>
      <c r="B650" s="13" t="str">
        <f>IFERROR(__xludf.DUMMYFUNCTION("""COMPUTED_VALUE"""),"промислове обладнання та верстати")</f>
        <v>промислове обладнання та верстати</v>
      </c>
      <c r="C650" s="15" t="str">
        <f>IFERROR(__xludf.DUMMYFUNCTION("""COMPUTED_VALUE"""),"технологічне обладнання")</f>
        <v>технологічне обладнання</v>
      </c>
      <c r="D650" s="15" t="str">
        <f>IFERROR(__xludf.DUMMYFUNCTION("""COMPUTED_VALUE"""),"сепаратори")</f>
        <v>сепаратори</v>
      </c>
      <c r="E650" s="15" t="str">
        <f>IFERROR(__xludf.DUMMYFUNCTION("""COMPUTED_VALUE"""),"сепаратори, загальне")</f>
        <v>сепаратори, загальне</v>
      </c>
      <c r="F650" s="17">
        <f>IFERROR(__xludf.DUMMYFUNCTION("""COMPUTED_VALUE"""),4.0)</f>
        <v>4</v>
      </c>
      <c r="G650" s="17">
        <f>IFERROR(__xludf.DUMMYFUNCTION("""COMPUTED_VALUE"""),142305.0)</f>
        <v>142305</v>
      </c>
      <c r="H650" s="17" t="str">
        <f>IFERROR(__xludf.DUMMYFUNCTION("""COMPUTED_VALUE"""),"сепаратори, загальне")</f>
        <v>сепаратори, загальне</v>
      </c>
      <c r="I650" s="18">
        <f>IFERROR(__xludf.DUMMYFUNCTION("""COMPUTED_VALUE"""),2.16)</f>
        <v>2.16</v>
      </c>
      <c r="J650" s="18">
        <f>IFERROR(__xludf.DUMMYFUNCTION("""COMPUTED_VALUE"""),4.33)</f>
        <v>4.33</v>
      </c>
      <c r="K650" s="18">
        <f>IFERROR(__xludf.DUMMYFUNCTION("""COMPUTED_VALUE"""),5.41)</f>
        <v>5.41</v>
      </c>
      <c r="L650" s="18">
        <f>IFERROR(__xludf.DUMMYFUNCTION("""COMPUTED_VALUE"""),8.65)</f>
        <v>8.65</v>
      </c>
    </row>
    <row r="651">
      <c r="A651" s="13" t="str">
        <f>IFERROR(__xludf.DUMMYFUNCTION("""COMPUTED_VALUE"""),"товари")</f>
        <v>товари</v>
      </c>
      <c r="B651" s="13" t="str">
        <f>IFERROR(__xludf.DUMMYFUNCTION("""COMPUTED_VALUE"""),"промислове обладнання та верстати")</f>
        <v>промислове обладнання та верстати</v>
      </c>
      <c r="C651" s="15" t="str">
        <f>IFERROR(__xludf.DUMMYFUNCTION("""COMPUTED_VALUE"""),"складське обладнання")</f>
        <v>складське обладнання</v>
      </c>
      <c r="D651" s="15" t="str">
        <f>IFERROR(__xludf.DUMMYFUNCTION("""COMPUTED_VALUE"""),"складські ножичні підйомники")</f>
        <v>складські ножичні підйомники</v>
      </c>
      <c r="E651" s="15" t="str">
        <f>IFERROR(__xludf.DUMMYFUNCTION("""COMPUTED_VALUE"""),"складські ножичні підйомники")</f>
        <v>складські ножичні підйомники</v>
      </c>
      <c r="F651" s="17">
        <f>IFERROR(__xludf.DUMMYFUNCTION("""COMPUTED_VALUE"""),3.0)</f>
        <v>3</v>
      </c>
      <c r="G651" s="17">
        <f>IFERROR(__xludf.DUMMYFUNCTION("""COMPUTED_VALUE"""),142908.0)</f>
        <v>142908</v>
      </c>
      <c r="H651" s="17" t="str">
        <f>IFERROR(__xludf.DUMMYFUNCTION("""COMPUTED_VALUE"""),"складські ножичні підйомники")</f>
        <v>складські ножичні підйомники</v>
      </c>
      <c r="I651" s="18">
        <f>IFERROR(__xludf.DUMMYFUNCTION("""COMPUTED_VALUE"""),2.1)</f>
        <v>2.1</v>
      </c>
      <c r="J651" s="18">
        <f>IFERROR(__xludf.DUMMYFUNCTION("""COMPUTED_VALUE"""),4.2)</f>
        <v>4.2</v>
      </c>
      <c r="K651" s="18">
        <f>IFERROR(__xludf.DUMMYFUNCTION("""COMPUTED_VALUE"""),5.25)</f>
        <v>5.25</v>
      </c>
      <c r="L651" s="18">
        <f>IFERROR(__xludf.DUMMYFUNCTION("""COMPUTED_VALUE"""),8.4)</f>
        <v>8.4</v>
      </c>
    </row>
    <row r="652">
      <c r="A652" s="13" t="str">
        <f>IFERROR(__xludf.DUMMYFUNCTION("""COMPUTED_VALUE"""),"товари")</f>
        <v>товари</v>
      </c>
      <c r="B652" s="13" t="str">
        <f>IFERROR(__xludf.DUMMYFUNCTION("""COMPUTED_VALUE"""),"промислове обладнання та верстати")</f>
        <v>промислове обладнання та верстати</v>
      </c>
      <c r="C652" s="15" t="str">
        <f>IFERROR(__xludf.DUMMYFUNCTION("""COMPUTED_VALUE"""),"обладнання для харчової промисловості")</f>
        <v>обладнання для харчової промисловості</v>
      </c>
      <c r="D652" s="15" t="str">
        <f>IFERROR(__xludf.DUMMYFUNCTION("""COMPUTED_VALUE"""),"сортувальне обладнання для продуктів харчування")</f>
        <v>сортувальне обладнання для продуктів харчування</v>
      </c>
      <c r="E652" s="15" t="str">
        <f>IFERROR(__xludf.DUMMYFUNCTION("""COMPUTED_VALUE"""),"сортувальне обладнання для продуктів харчування")</f>
        <v>сортувальне обладнання для продуктів харчування</v>
      </c>
      <c r="F652" s="17">
        <f>IFERROR(__xludf.DUMMYFUNCTION("""COMPUTED_VALUE"""),3.0)</f>
        <v>3</v>
      </c>
      <c r="G652" s="17">
        <f>IFERROR(__xludf.DUMMYFUNCTION("""COMPUTED_VALUE"""),22021.0)</f>
        <v>22021</v>
      </c>
      <c r="H652" s="17" t="str">
        <f>IFERROR(__xludf.DUMMYFUNCTION("""COMPUTED_VALUE"""),"сортувальне обладнання для продуктів харчування")</f>
        <v>сортувальне обладнання для продуктів харчування</v>
      </c>
      <c r="I652" s="18">
        <f>IFERROR(__xludf.DUMMYFUNCTION("""COMPUTED_VALUE"""),0.53)</f>
        <v>0.53</v>
      </c>
      <c r="J652" s="18">
        <f>IFERROR(__xludf.DUMMYFUNCTION("""COMPUTED_VALUE"""),1.05)</f>
        <v>1.05</v>
      </c>
      <c r="K652" s="18">
        <f>IFERROR(__xludf.DUMMYFUNCTION("""COMPUTED_VALUE"""),1.31)</f>
        <v>1.31</v>
      </c>
      <c r="L652" s="18">
        <f>IFERROR(__xludf.DUMMYFUNCTION("""COMPUTED_VALUE"""),2.1)</f>
        <v>2.1</v>
      </c>
    </row>
    <row r="653">
      <c r="A653" s="13" t="str">
        <f>IFERROR(__xludf.DUMMYFUNCTION("""COMPUTED_VALUE"""),"товари")</f>
        <v>товари</v>
      </c>
      <c r="B653" s="13" t="str">
        <f>IFERROR(__xludf.DUMMYFUNCTION("""COMPUTED_VALUE"""),"промислове обладнання та верстати")</f>
        <v>промислове обладнання та верстати</v>
      </c>
      <c r="C653" s="15" t="str">
        <f>IFERROR(__xludf.DUMMYFUNCTION("""COMPUTED_VALUE"""),"складське обладнання")</f>
        <v>складське обладнання</v>
      </c>
      <c r="D653" s="15" t="str">
        <f>IFERROR(__xludf.DUMMYFUNCTION("""COMPUTED_VALUE"""),"промислово-складські ваги")</f>
        <v>промислово-складські ваги</v>
      </c>
      <c r="E653" s="15" t="str">
        <f>IFERROR(__xludf.DUMMYFUNCTION("""COMPUTED_VALUE"""),"стрижневі ваги")</f>
        <v>стрижневі ваги</v>
      </c>
      <c r="F653" s="17">
        <f>IFERROR(__xludf.DUMMYFUNCTION("""COMPUTED_VALUE"""),4.0)</f>
        <v>4</v>
      </c>
      <c r="G653" s="17">
        <f>IFERROR(__xludf.DUMMYFUNCTION("""COMPUTED_VALUE"""),1.4292002E7)</f>
        <v>14292002</v>
      </c>
      <c r="H653" s="17" t="str">
        <f>IFERROR(__xludf.DUMMYFUNCTION("""COMPUTED_VALUE"""),"стрижневі ваги")</f>
        <v>стрижневі ваги</v>
      </c>
      <c r="I653" s="18">
        <f>IFERROR(__xludf.DUMMYFUNCTION("""COMPUTED_VALUE"""),2.51)</f>
        <v>2.51</v>
      </c>
      <c r="J653" s="18">
        <f>IFERROR(__xludf.DUMMYFUNCTION("""COMPUTED_VALUE"""),5.03)</f>
        <v>5.03</v>
      </c>
      <c r="K653" s="18">
        <f>IFERROR(__xludf.DUMMYFUNCTION("""COMPUTED_VALUE"""),6.28)</f>
        <v>6.28</v>
      </c>
      <c r="L653" s="18">
        <f>IFERROR(__xludf.DUMMYFUNCTION("""COMPUTED_VALUE"""),10.05)</f>
        <v>10.05</v>
      </c>
    </row>
    <row r="654">
      <c r="A654" s="13" t="str">
        <f>IFERROR(__xludf.DUMMYFUNCTION("""COMPUTED_VALUE"""),"товари")</f>
        <v>товари</v>
      </c>
      <c r="B654" s="13" t="str">
        <f>IFERROR(__xludf.DUMMYFUNCTION("""COMPUTED_VALUE"""),"промислове обладнання та верстати")</f>
        <v>промислове обладнання та верстати</v>
      </c>
      <c r="C654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654" s="15" t="str">
        <f>IFERROR(__xludf.DUMMYFUNCTION("""COMPUTED_VALUE"""),"стрижні, вали")</f>
        <v>стрижні, вали</v>
      </c>
      <c r="E654" s="15" t="str">
        <f>IFERROR(__xludf.DUMMYFUNCTION("""COMPUTED_VALUE"""),"стрижні, вали")</f>
        <v>стрижні, вали</v>
      </c>
      <c r="F654" s="17">
        <f>IFERROR(__xludf.DUMMYFUNCTION("""COMPUTED_VALUE"""),3.0)</f>
        <v>3</v>
      </c>
      <c r="G654" s="17">
        <f>IFERROR(__xludf.DUMMYFUNCTION("""COMPUTED_VALUE"""),4106.0)</f>
        <v>4106</v>
      </c>
      <c r="H654" s="17" t="str">
        <f>IFERROR(__xludf.DUMMYFUNCTION("""COMPUTED_VALUE"""),"стрижні, вали")</f>
        <v>стрижні, вали</v>
      </c>
      <c r="I654" s="18">
        <f>IFERROR(__xludf.DUMMYFUNCTION("""COMPUTED_VALUE"""),0.53)</f>
        <v>0.53</v>
      </c>
      <c r="J654" s="18">
        <f>IFERROR(__xludf.DUMMYFUNCTION("""COMPUTED_VALUE"""),1.05)</f>
        <v>1.05</v>
      </c>
      <c r="K654" s="18">
        <f>IFERROR(__xludf.DUMMYFUNCTION("""COMPUTED_VALUE"""),1.31)</f>
        <v>1.31</v>
      </c>
      <c r="L654" s="18">
        <f>IFERROR(__xludf.DUMMYFUNCTION("""COMPUTED_VALUE"""),2.1)</f>
        <v>2.1</v>
      </c>
    </row>
    <row r="655">
      <c r="A655" s="13" t="str">
        <f>IFERROR(__xludf.DUMMYFUNCTION("""COMPUTED_VALUE"""),"товари")</f>
        <v>товари</v>
      </c>
      <c r="B655" s="13" t="str">
        <f>IFERROR(__xludf.DUMMYFUNCTION("""COMPUTED_VALUE"""),"промислове обладнання та верстати")</f>
        <v>промислове обладнання та верстати</v>
      </c>
      <c r="C655" s="15" t="str">
        <f>IFERROR(__xludf.DUMMYFUNCTION("""COMPUTED_VALUE"""),"верстати")</f>
        <v>верстати</v>
      </c>
      <c r="D655" s="15" t="str">
        <f>IFERROR(__xludf.DUMMYFUNCTION("""COMPUTED_VALUE"""),"деревообробні верстати")</f>
        <v>деревообробні верстати</v>
      </c>
      <c r="E655" s="15" t="str">
        <f>IFERROR(__xludf.DUMMYFUNCTION("""COMPUTED_VALUE"""),"стрічкові та лобзикові верстати")</f>
        <v>стрічкові та лобзикові верстати</v>
      </c>
      <c r="F655" s="17">
        <f>IFERROR(__xludf.DUMMYFUNCTION("""COMPUTED_VALUE"""),4.0)</f>
        <v>4</v>
      </c>
      <c r="G655" s="17">
        <f>IFERROR(__xludf.DUMMYFUNCTION("""COMPUTED_VALUE"""),1.4310311E7)</f>
        <v>14310311</v>
      </c>
      <c r="H655" s="17" t="str">
        <f>IFERROR(__xludf.DUMMYFUNCTION("""COMPUTED_VALUE"""),"стрічкові та лобзикові верстати")</f>
        <v>стрічкові та лобзикові верстати</v>
      </c>
      <c r="I655" s="18">
        <f>IFERROR(__xludf.DUMMYFUNCTION("""COMPUTED_VALUE"""),1.26)</f>
        <v>1.26</v>
      </c>
      <c r="J655" s="18">
        <f>IFERROR(__xludf.DUMMYFUNCTION("""COMPUTED_VALUE"""),2.53)</f>
        <v>2.53</v>
      </c>
      <c r="K655" s="18">
        <f>IFERROR(__xludf.DUMMYFUNCTION("""COMPUTED_VALUE"""),3.16)</f>
        <v>3.16</v>
      </c>
      <c r="L655" s="18">
        <f>IFERROR(__xludf.DUMMYFUNCTION("""COMPUTED_VALUE"""),5.05)</f>
        <v>5.05</v>
      </c>
    </row>
    <row r="656">
      <c r="A656" s="13" t="str">
        <f>IFERROR(__xludf.DUMMYFUNCTION("""COMPUTED_VALUE"""),"товари")</f>
        <v>товари</v>
      </c>
      <c r="B656" s="13" t="str">
        <f>IFERROR(__xludf.DUMMYFUNCTION("""COMPUTED_VALUE"""),"промислове обладнання та верстати")</f>
        <v>промислове обладнання та верстати</v>
      </c>
      <c r="C656" s="15" t="str">
        <f>IFERROR(__xludf.DUMMYFUNCTION("""COMPUTED_VALUE"""),"верстати")</f>
        <v>верстати</v>
      </c>
      <c r="D656" s="15" t="str">
        <f>IFERROR(__xludf.DUMMYFUNCTION("""COMPUTED_VALUE"""),"металообробні верстати")</f>
        <v>металообробні верстати</v>
      </c>
      <c r="E656" s="15" t="str">
        <f>IFERROR(__xludf.DUMMYFUNCTION("""COMPUTED_VALUE"""),"стругальні верстати по металу")</f>
        <v>стругальні верстати по металу</v>
      </c>
      <c r="F656" s="17">
        <f>IFERROR(__xludf.DUMMYFUNCTION("""COMPUTED_VALUE"""),4.0)</f>
        <v>4</v>
      </c>
      <c r="G656" s="17">
        <f>IFERROR(__xludf.DUMMYFUNCTION("""COMPUTED_VALUE"""),1.4209825E7)</f>
        <v>14209825</v>
      </c>
      <c r="H656" s="17" t="str">
        <f>IFERROR(__xludf.DUMMYFUNCTION("""COMPUTED_VALUE"""),"стругальні верстати по металу")</f>
        <v>стругальні верстати по металу</v>
      </c>
      <c r="I656" s="18">
        <f>IFERROR(__xludf.DUMMYFUNCTION("""COMPUTED_VALUE"""),2.07)</f>
        <v>2.07</v>
      </c>
      <c r="J656" s="18">
        <f>IFERROR(__xludf.DUMMYFUNCTION("""COMPUTED_VALUE"""),4.14)</f>
        <v>4.14</v>
      </c>
      <c r="K656" s="18">
        <f>IFERROR(__xludf.DUMMYFUNCTION("""COMPUTED_VALUE"""),5.17)</f>
        <v>5.17</v>
      </c>
      <c r="L656" s="18">
        <f>IFERROR(__xludf.DUMMYFUNCTION("""COMPUTED_VALUE"""),8.28)</f>
        <v>8.28</v>
      </c>
    </row>
    <row r="657">
      <c r="A657" s="13" t="str">
        <f>IFERROR(__xludf.DUMMYFUNCTION("""COMPUTED_VALUE"""),"товари")</f>
        <v>товари</v>
      </c>
      <c r="B657" s="13" t="str">
        <f>IFERROR(__xludf.DUMMYFUNCTION("""COMPUTED_VALUE"""),"промислове обладнання та верстати")</f>
        <v>промислове обладнання та верстати</v>
      </c>
      <c r="C657" s="15" t="str">
        <f>IFERROR(__xludf.DUMMYFUNCTION("""COMPUTED_VALUE"""),"обладнання для видобувної промисловості")</f>
        <v>обладнання для видобувної промисловості</v>
      </c>
      <c r="D657" s="15" t="str">
        <f>IFERROR(__xludf.DUMMYFUNCTION("""COMPUTED_VALUE"""),"гірниче обладнання")</f>
        <v>гірниче обладнання</v>
      </c>
      <c r="E657" s="15" t="str">
        <f>IFERROR(__xludf.DUMMYFUNCTION("""COMPUTED_VALUE"""),"сушильне обладнання для гірських порід")</f>
        <v>сушильне обладнання для гірських порід</v>
      </c>
      <c r="F657" s="17">
        <f>IFERROR(__xludf.DUMMYFUNCTION("""COMPUTED_VALUE"""),4.0)</f>
        <v>4</v>
      </c>
      <c r="G657" s="17">
        <f>IFERROR(__xludf.DUMMYFUNCTION("""COMPUTED_VALUE"""),91510.0)</f>
        <v>91510</v>
      </c>
      <c r="H657" s="17" t="str">
        <f>IFERROR(__xludf.DUMMYFUNCTION("""COMPUTED_VALUE"""),"сушильне обладнання для гірських порід")</f>
        <v>сушильне обладнання для гірських порід</v>
      </c>
      <c r="I657" s="18">
        <f>IFERROR(__xludf.DUMMYFUNCTION("""COMPUTED_VALUE"""),1.98)</f>
        <v>1.98</v>
      </c>
      <c r="J657" s="18">
        <f>IFERROR(__xludf.DUMMYFUNCTION("""COMPUTED_VALUE"""),3.96)</f>
        <v>3.96</v>
      </c>
      <c r="K657" s="18">
        <f>IFERROR(__xludf.DUMMYFUNCTION("""COMPUTED_VALUE"""),4.95)</f>
        <v>4.95</v>
      </c>
      <c r="L657" s="18">
        <f>IFERROR(__xludf.DUMMYFUNCTION("""COMPUTED_VALUE"""),7.93)</f>
        <v>7.93</v>
      </c>
    </row>
    <row r="658">
      <c r="A658" s="13" t="str">
        <f>IFERROR(__xludf.DUMMYFUNCTION("""COMPUTED_VALUE"""),"товари")</f>
        <v>товари</v>
      </c>
      <c r="B658" s="13" t="str">
        <f>IFERROR(__xludf.DUMMYFUNCTION("""COMPUTED_VALUE"""),"промислове обладнання та верстати")</f>
        <v>промислове обладнання та верстати</v>
      </c>
      <c r="C658" s="15" t="str">
        <f>IFERROR(__xludf.DUMMYFUNCTION("""COMPUTED_VALUE"""),"промислове кліматичне обладнання")</f>
        <v>промислове кліматичне обладнання</v>
      </c>
      <c r="D658" s="15" t="str">
        <f>IFERROR(__xludf.DUMMYFUNCTION("""COMPUTED_VALUE"""),"теплові гармати та нагрівачі")</f>
        <v>теплові гармати та нагрівачі</v>
      </c>
      <c r="E658" s="15" t="str">
        <f>IFERROR(__xludf.DUMMYFUNCTION("""COMPUTED_VALUE"""),"тепловентилятори з водяним нагрівом")</f>
        <v>тепловентилятори з водяним нагрівом</v>
      </c>
      <c r="F658" s="17">
        <f>IFERROR(__xludf.DUMMYFUNCTION("""COMPUTED_VALUE"""),4.0)</f>
        <v>4</v>
      </c>
      <c r="G658" s="17">
        <f>IFERROR(__xludf.DUMMYFUNCTION("""COMPUTED_VALUE"""),142106.0)</f>
        <v>142106</v>
      </c>
      <c r="H658" s="17" t="str">
        <f>IFERROR(__xludf.DUMMYFUNCTION("""COMPUTED_VALUE"""),"тепловентилятори з водяним нагрівом")</f>
        <v>тепловентилятори з водяним нагрівом</v>
      </c>
      <c r="I658" s="18">
        <f>IFERROR(__xludf.DUMMYFUNCTION("""COMPUTED_VALUE"""),0.86)</f>
        <v>0.86</v>
      </c>
      <c r="J658" s="18">
        <f>IFERROR(__xludf.DUMMYFUNCTION("""COMPUTED_VALUE"""),1.71)</f>
        <v>1.71</v>
      </c>
      <c r="K658" s="18">
        <f>IFERROR(__xludf.DUMMYFUNCTION("""COMPUTED_VALUE"""),2.14)</f>
        <v>2.14</v>
      </c>
      <c r="L658" s="18">
        <f>IFERROR(__xludf.DUMMYFUNCTION("""COMPUTED_VALUE"""),3.43)</f>
        <v>3.43</v>
      </c>
    </row>
    <row r="659">
      <c r="A659" s="13" t="str">
        <f>IFERROR(__xludf.DUMMYFUNCTION("""COMPUTED_VALUE"""),"товари")</f>
        <v>товари</v>
      </c>
      <c r="B659" s="13" t="str">
        <f>IFERROR(__xludf.DUMMYFUNCTION("""COMPUTED_VALUE"""),"промислове обладнання та верстати")</f>
        <v>промислове обладнання та верстати</v>
      </c>
      <c r="C659" s="15" t="str">
        <f>IFERROR(__xludf.DUMMYFUNCTION("""COMPUTED_VALUE"""),"промислове кліматичне обладнання")</f>
        <v>промислове кліматичне обладнання</v>
      </c>
      <c r="D659" s="15" t="str">
        <f>IFERROR(__xludf.DUMMYFUNCTION("""COMPUTED_VALUE"""),"теплові гармати та нагрівачі")</f>
        <v>теплові гармати та нагрівачі</v>
      </c>
      <c r="E659" s="15" t="str">
        <f>IFERROR(__xludf.DUMMYFUNCTION("""COMPUTED_VALUE"""),"теплові гармати та нагрівачі, загальне")</f>
        <v>теплові гармати та нагрівачі, загальне</v>
      </c>
      <c r="F659" s="17">
        <f>IFERROR(__xludf.DUMMYFUNCTION("""COMPUTED_VALUE"""),4.0)</f>
        <v>4</v>
      </c>
      <c r="G659" s="17">
        <f>IFERROR(__xludf.DUMMYFUNCTION("""COMPUTED_VALUE"""),1.4150506E7)</f>
        <v>14150506</v>
      </c>
      <c r="H659" s="17" t="str">
        <f>IFERROR(__xludf.DUMMYFUNCTION("""COMPUTED_VALUE"""),"теплові гармати та нагрівачі, загальне")</f>
        <v>теплові гармати та нагрівачі, загальне</v>
      </c>
      <c r="I659" s="18">
        <f>IFERROR(__xludf.DUMMYFUNCTION("""COMPUTED_VALUE"""),2.16)</f>
        <v>2.16</v>
      </c>
      <c r="J659" s="18">
        <f>IFERROR(__xludf.DUMMYFUNCTION("""COMPUTED_VALUE"""),4.33)</f>
        <v>4.33</v>
      </c>
      <c r="K659" s="18">
        <f>IFERROR(__xludf.DUMMYFUNCTION("""COMPUTED_VALUE"""),5.41)</f>
        <v>5.41</v>
      </c>
      <c r="L659" s="18">
        <f>IFERROR(__xludf.DUMMYFUNCTION("""COMPUTED_VALUE"""),8.65)</f>
        <v>8.65</v>
      </c>
    </row>
    <row r="660">
      <c r="A660" s="13" t="str">
        <f>IFERROR(__xludf.DUMMYFUNCTION("""COMPUTED_VALUE"""),"товари")</f>
        <v>товари</v>
      </c>
      <c r="B660" s="13" t="str">
        <f>IFERROR(__xludf.DUMMYFUNCTION("""COMPUTED_VALUE"""),"промислове обладнання та верстати")</f>
        <v>промислове обладнання та верстати</v>
      </c>
      <c r="C660" s="15" t="str">
        <f>IFERROR(__xludf.DUMMYFUNCTION("""COMPUTED_VALUE"""),"енергообладнання")</f>
        <v>енергообладнання</v>
      </c>
      <c r="D660" s="15" t="str">
        <f>IFERROR(__xludf.DUMMYFUNCTION("""COMPUTED_VALUE"""),"теплогенератори")</f>
        <v>теплогенератори</v>
      </c>
      <c r="E660" s="15" t="str">
        <f>IFERROR(__xludf.DUMMYFUNCTION("""COMPUTED_VALUE"""),"теплогенератори")</f>
        <v>теплогенератори</v>
      </c>
      <c r="F660" s="17">
        <f>IFERROR(__xludf.DUMMYFUNCTION("""COMPUTED_VALUE"""),3.0)</f>
        <v>3</v>
      </c>
      <c r="G660" s="17">
        <f>IFERROR(__xludf.DUMMYFUNCTION("""COMPUTED_VALUE"""),1.4240204E7)</f>
        <v>14240204</v>
      </c>
      <c r="H660" s="17" t="str">
        <f>IFERROR(__xludf.DUMMYFUNCTION("""COMPUTED_VALUE"""),"теплогенератори")</f>
        <v>теплогенератори</v>
      </c>
      <c r="I660" s="18">
        <f>IFERROR(__xludf.DUMMYFUNCTION("""COMPUTED_VALUE"""),1.53)</f>
        <v>1.53</v>
      </c>
      <c r="J660" s="18">
        <f>IFERROR(__xludf.DUMMYFUNCTION("""COMPUTED_VALUE"""),3.06)</f>
        <v>3.06</v>
      </c>
      <c r="K660" s="18">
        <f>IFERROR(__xludf.DUMMYFUNCTION("""COMPUTED_VALUE"""),3.83)</f>
        <v>3.83</v>
      </c>
      <c r="L660" s="18">
        <f>IFERROR(__xludf.DUMMYFUNCTION("""COMPUTED_VALUE"""),6.13)</f>
        <v>6.13</v>
      </c>
    </row>
    <row r="661">
      <c r="A661" s="13" t="str">
        <f>IFERROR(__xludf.DUMMYFUNCTION("""COMPUTED_VALUE"""),"товари")</f>
        <v>товари</v>
      </c>
      <c r="B661" s="13" t="str">
        <f>IFERROR(__xludf.DUMMYFUNCTION("""COMPUTED_VALUE"""),"промислове обладнання та верстати")</f>
        <v>промислове обладнання та верстати</v>
      </c>
      <c r="C661" s="15" t="str">
        <f>IFERROR(__xludf.DUMMYFUNCTION("""COMPUTED_VALUE"""),"енергообладнання")</f>
        <v>енергообладнання</v>
      </c>
      <c r="D661" s="15" t="str">
        <f>IFERROR(__xludf.DUMMYFUNCTION("""COMPUTED_VALUE"""),"теплообмінне обладнання")</f>
        <v>теплообмінне обладнання</v>
      </c>
      <c r="E661" s="15" t="str">
        <f>IFERROR(__xludf.DUMMYFUNCTION("""COMPUTED_VALUE"""),"теплообмінне обладнання, загальне")</f>
        <v>теплообмінне обладнання, загальне</v>
      </c>
      <c r="F661" s="17">
        <f>IFERROR(__xludf.DUMMYFUNCTION("""COMPUTED_VALUE"""),4.0)</f>
        <v>4</v>
      </c>
      <c r="G661" s="17">
        <f>IFERROR(__xludf.DUMMYFUNCTION("""COMPUTED_VALUE"""),145904.0)</f>
        <v>145904</v>
      </c>
      <c r="H661" s="17" t="str">
        <f>IFERROR(__xludf.DUMMYFUNCTION("""COMPUTED_VALUE"""),"теплообмінне обладнання, загальне")</f>
        <v>теплообмінне обладнання, загальне</v>
      </c>
      <c r="I661" s="18">
        <f>IFERROR(__xludf.DUMMYFUNCTION("""COMPUTED_VALUE"""),2.16)</f>
        <v>2.16</v>
      </c>
      <c r="J661" s="18">
        <f>IFERROR(__xludf.DUMMYFUNCTION("""COMPUTED_VALUE"""),4.33)</f>
        <v>4.33</v>
      </c>
      <c r="K661" s="18">
        <f>IFERROR(__xludf.DUMMYFUNCTION("""COMPUTED_VALUE"""),5.41)</f>
        <v>5.41</v>
      </c>
      <c r="L661" s="18">
        <f>IFERROR(__xludf.DUMMYFUNCTION("""COMPUTED_VALUE"""),8.65)</f>
        <v>8.65</v>
      </c>
    </row>
    <row r="662">
      <c r="A662" s="13" t="str">
        <f>IFERROR(__xludf.DUMMYFUNCTION("""COMPUTED_VALUE"""),"товари")</f>
        <v>товари</v>
      </c>
      <c r="B662" s="13" t="str">
        <f>IFERROR(__xludf.DUMMYFUNCTION("""COMPUTED_VALUE"""),"промислове обладнання та верстати")</f>
        <v>промислове обладнання та верстати</v>
      </c>
      <c r="C662" s="15" t="str">
        <f>IFERROR(__xludf.DUMMYFUNCTION("""COMPUTED_VALUE"""),"пакувальне та фасувальне обладнання")</f>
        <v>пакувальне та фасувальне обладнання</v>
      </c>
      <c r="D662" s="15" t="str">
        <f>IFERROR(__xludf.DUMMYFUNCTION("""COMPUTED_VALUE"""),"термопакувальне обладнання")</f>
        <v>термопакувальне обладнання</v>
      </c>
      <c r="E662" s="15" t="str">
        <f>IFERROR(__xludf.DUMMYFUNCTION("""COMPUTED_VALUE"""),"термопакувальне обладнання")</f>
        <v>термопакувальне обладнання</v>
      </c>
      <c r="F662" s="17">
        <f>IFERROR(__xludf.DUMMYFUNCTION("""COMPUTED_VALUE"""),3.0)</f>
        <v>3</v>
      </c>
      <c r="G662" s="17">
        <f>IFERROR(__xludf.DUMMYFUNCTION("""COMPUTED_VALUE"""),230723.0)</f>
        <v>230723</v>
      </c>
      <c r="H662" s="17" t="str">
        <f>IFERROR(__xludf.DUMMYFUNCTION("""COMPUTED_VALUE"""),"термопакувальне обладнання")</f>
        <v>термопакувальне обладнання</v>
      </c>
      <c r="I662" s="18">
        <f>IFERROR(__xludf.DUMMYFUNCTION("""COMPUTED_VALUE"""),2.29)</f>
        <v>2.29</v>
      </c>
      <c r="J662" s="18">
        <f>IFERROR(__xludf.DUMMYFUNCTION("""COMPUTED_VALUE"""),4.58)</f>
        <v>4.58</v>
      </c>
      <c r="K662" s="18">
        <f>IFERROR(__xludf.DUMMYFUNCTION("""COMPUTED_VALUE"""),5.72)</f>
        <v>5.72</v>
      </c>
      <c r="L662" s="18">
        <f>IFERROR(__xludf.DUMMYFUNCTION("""COMPUTED_VALUE"""),9.15)</f>
        <v>9.15</v>
      </c>
    </row>
    <row r="663">
      <c r="A663" s="13" t="str">
        <f>IFERROR(__xludf.DUMMYFUNCTION("""COMPUTED_VALUE"""),"товари")</f>
        <v>товари</v>
      </c>
      <c r="B663" s="13" t="str">
        <f>IFERROR(__xludf.DUMMYFUNCTION("""COMPUTED_VALUE"""),"промислове обладнання та верстати")</f>
        <v>промислове обладнання та верстати</v>
      </c>
      <c r="C663" s="15" t="str">
        <f>IFERROR(__xludf.DUMMYFUNCTION("""COMPUTED_VALUE"""),"верстати")</f>
        <v>верстати</v>
      </c>
      <c r="D663" s="15" t="str">
        <f>IFERROR(__xludf.DUMMYFUNCTION("""COMPUTED_VALUE"""),"деревообробні верстати")</f>
        <v>деревообробні верстати</v>
      </c>
      <c r="E663" s="15" t="str">
        <f>IFERROR(__xludf.DUMMYFUNCTION("""COMPUTED_VALUE"""),"токарні верстати по дереву")</f>
        <v>токарні верстати по дереву</v>
      </c>
      <c r="F663" s="17">
        <f>IFERROR(__xludf.DUMMYFUNCTION("""COMPUTED_VALUE"""),4.0)</f>
        <v>4</v>
      </c>
      <c r="G663" s="17">
        <f>IFERROR(__xludf.DUMMYFUNCTION("""COMPUTED_VALUE"""),1.4310305E7)</f>
        <v>14310305</v>
      </c>
      <c r="H663" s="17" t="str">
        <f>IFERROR(__xludf.DUMMYFUNCTION("""COMPUTED_VALUE"""),"токарні верстати по дереву")</f>
        <v>токарні верстати по дереву</v>
      </c>
      <c r="I663" s="18">
        <f>IFERROR(__xludf.DUMMYFUNCTION("""COMPUTED_VALUE"""),1.26)</f>
        <v>1.26</v>
      </c>
      <c r="J663" s="18">
        <f>IFERROR(__xludf.DUMMYFUNCTION("""COMPUTED_VALUE"""),2.53)</f>
        <v>2.53</v>
      </c>
      <c r="K663" s="18">
        <f>IFERROR(__xludf.DUMMYFUNCTION("""COMPUTED_VALUE"""),3.16)</f>
        <v>3.16</v>
      </c>
      <c r="L663" s="18">
        <f>IFERROR(__xludf.DUMMYFUNCTION("""COMPUTED_VALUE"""),5.05)</f>
        <v>5.05</v>
      </c>
    </row>
    <row r="664">
      <c r="A664" s="13" t="str">
        <f>IFERROR(__xludf.DUMMYFUNCTION("""COMPUTED_VALUE"""),"товари")</f>
        <v>товари</v>
      </c>
      <c r="B664" s="13" t="str">
        <f>IFERROR(__xludf.DUMMYFUNCTION("""COMPUTED_VALUE"""),"промислове обладнання та верстати")</f>
        <v>промислове обладнання та верстати</v>
      </c>
      <c r="C664" s="15" t="str">
        <f>IFERROR(__xludf.DUMMYFUNCTION("""COMPUTED_VALUE"""),"зварювальне та паяльне обладнання")</f>
        <v>зварювальне та паяльне обладнання</v>
      </c>
      <c r="D664" s="15" t="str">
        <f>IFERROR(__xludf.DUMMYFUNCTION("""COMPUTED_VALUE"""),"установки для аргонодугового зварювання")</f>
        <v>установки для аргонодугового зварювання</v>
      </c>
      <c r="E664" s="15" t="str">
        <f>IFERROR(__xludf.DUMMYFUNCTION("""COMPUTED_VALUE"""),"установки для аргонодугового зварювання")</f>
        <v>установки для аргонодугового зварювання</v>
      </c>
      <c r="F664" s="17">
        <f>IFERROR(__xludf.DUMMYFUNCTION("""COMPUTED_VALUE"""),3.0)</f>
        <v>3</v>
      </c>
      <c r="G664" s="17">
        <f>IFERROR(__xludf.DUMMYFUNCTION("""COMPUTED_VALUE"""),1.4400502E7)</f>
        <v>14400502</v>
      </c>
      <c r="H664" s="17" t="str">
        <f>IFERROR(__xludf.DUMMYFUNCTION("""COMPUTED_VALUE"""),"установки для аргонодугового зварювання")</f>
        <v>установки для аргонодугового зварювання</v>
      </c>
      <c r="I664" s="18">
        <f>IFERROR(__xludf.DUMMYFUNCTION("""COMPUTED_VALUE"""),0.76)</f>
        <v>0.76</v>
      </c>
      <c r="J664" s="18">
        <f>IFERROR(__xludf.DUMMYFUNCTION("""COMPUTED_VALUE"""),1.53)</f>
        <v>1.53</v>
      </c>
      <c r="K664" s="18">
        <f>IFERROR(__xludf.DUMMYFUNCTION("""COMPUTED_VALUE"""),1.91)</f>
        <v>1.91</v>
      </c>
      <c r="L664" s="18">
        <f>IFERROR(__xludf.DUMMYFUNCTION("""COMPUTED_VALUE"""),3.05)</f>
        <v>3.05</v>
      </c>
    </row>
    <row r="665">
      <c r="A665" s="13" t="str">
        <f>IFERROR(__xludf.DUMMYFUNCTION("""COMPUTED_VALUE"""),"товари")</f>
        <v>товари</v>
      </c>
      <c r="B665" s="13" t="str">
        <f>IFERROR(__xludf.DUMMYFUNCTION("""COMPUTED_VALUE"""),"промислове обладнання та верстати")</f>
        <v>промислове обладнання та верстати</v>
      </c>
      <c r="C665" s="15" t="str">
        <f>IFERROR(__xludf.DUMMYFUNCTION("""COMPUTED_VALUE"""),"промислове кліматичне обладнання")</f>
        <v>промислове кліматичне обладнання</v>
      </c>
      <c r="D665" s="15" t="str">
        <f>IFERROR(__xludf.DUMMYFUNCTION("""COMPUTED_VALUE"""),"промислові кондиціонери")</f>
        <v>промислові кондиціонери</v>
      </c>
      <c r="E665" s="15" t="str">
        <f>IFERROR(__xludf.DUMMYFUNCTION("""COMPUTED_VALUE"""),"фанкойли")</f>
        <v>фанкойли</v>
      </c>
      <c r="F665" s="17">
        <f>IFERROR(__xludf.DUMMYFUNCTION("""COMPUTED_VALUE"""),4.0)</f>
        <v>4</v>
      </c>
      <c r="G665" s="17">
        <f>IFERROR(__xludf.DUMMYFUNCTION("""COMPUTED_VALUE"""),1.4650206E7)</f>
        <v>14650206</v>
      </c>
      <c r="H665" s="17" t="str">
        <f>IFERROR(__xludf.DUMMYFUNCTION("""COMPUTED_VALUE"""),"фанкойли")</f>
        <v>фанкойли</v>
      </c>
      <c r="I665" s="18">
        <f>IFERROR(__xludf.DUMMYFUNCTION("""COMPUTED_VALUE"""),2.7)</f>
        <v>2.7</v>
      </c>
      <c r="J665" s="18">
        <f>IFERROR(__xludf.DUMMYFUNCTION("""COMPUTED_VALUE"""),5.4)</f>
        <v>5.4</v>
      </c>
      <c r="K665" s="18">
        <f>IFERROR(__xludf.DUMMYFUNCTION("""COMPUTED_VALUE"""),6.75)</f>
        <v>6.75</v>
      </c>
      <c r="L665" s="18">
        <f>IFERROR(__xludf.DUMMYFUNCTION("""COMPUTED_VALUE"""),10.8)</f>
        <v>10.8</v>
      </c>
    </row>
    <row r="666">
      <c r="A666" s="13" t="str">
        <f>IFERROR(__xludf.DUMMYFUNCTION("""COMPUTED_VALUE"""),"товари")</f>
        <v>товари</v>
      </c>
      <c r="B666" s="13" t="str">
        <f>IFERROR(__xludf.DUMMYFUNCTION("""COMPUTED_VALUE"""),"промислове обладнання та верстати")</f>
        <v>промислове обладнання та верстати</v>
      </c>
      <c r="C666" s="15" t="str">
        <f>IFERROR(__xludf.DUMMYFUNCTION("""COMPUTED_VALUE"""),"виробниче обладнання")</f>
        <v>виробниче обладнання</v>
      </c>
      <c r="D666" s="15" t="str">
        <f>IFERROR(__xludf.DUMMYFUNCTION("""COMPUTED_VALUE"""),"допоміжне обладнання")</f>
        <v>допоміжне обладнання</v>
      </c>
      <c r="E666" s="15" t="str">
        <f>IFERROR(__xludf.DUMMYFUNCTION("""COMPUTED_VALUE"""),"фарбувальні та сушильні камери для дерева")</f>
        <v>фарбувальні та сушильні камери для дерева</v>
      </c>
      <c r="F666" s="17">
        <f>IFERROR(__xludf.DUMMYFUNCTION("""COMPUTED_VALUE"""),4.0)</f>
        <v>4</v>
      </c>
      <c r="G666" s="17">
        <f>IFERROR(__xludf.DUMMYFUNCTION("""COMPUTED_VALUE"""),143117.0)</f>
        <v>143117</v>
      </c>
      <c r="H666" s="17" t="str">
        <f>IFERROR(__xludf.DUMMYFUNCTION("""COMPUTED_VALUE"""),"фарбувальні та сушильні камери для дерева")</f>
        <v>фарбувальні та сушильні камери для дерева</v>
      </c>
      <c r="I666" s="18">
        <f>IFERROR(__xludf.DUMMYFUNCTION("""COMPUTED_VALUE"""),1.26)</f>
        <v>1.26</v>
      </c>
      <c r="J666" s="18">
        <f>IFERROR(__xludf.DUMMYFUNCTION("""COMPUTED_VALUE"""),2.53)</f>
        <v>2.53</v>
      </c>
      <c r="K666" s="18">
        <f>IFERROR(__xludf.DUMMYFUNCTION("""COMPUTED_VALUE"""),3.16)</f>
        <v>3.16</v>
      </c>
      <c r="L666" s="18">
        <f>IFERROR(__xludf.DUMMYFUNCTION("""COMPUTED_VALUE"""),5.05)</f>
        <v>5.05</v>
      </c>
    </row>
    <row r="667">
      <c r="A667" s="13" t="str">
        <f>IFERROR(__xludf.DUMMYFUNCTION("""COMPUTED_VALUE"""),"товари")</f>
        <v>товари</v>
      </c>
      <c r="B667" s="13" t="str">
        <f>IFERROR(__xludf.DUMMYFUNCTION("""COMPUTED_VALUE"""),"промислове обладнання та верстати")</f>
        <v>промислове обладнання та верстати</v>
      </c>
      <c r="C667" s="15" t="str">
        <f>IFERROR(__xludf.DUMMYFUNCTION("""COMPUTED_VALUE"""),"фармацевтичне обладнання")</f>
        <v>фармацевтичне обладнання</v>
      </c>
      <c r="D667" s="15" t="str">
        <f>IFERROR(__xludf.DUMMYFUNCTION("""COMPUTED_VALUE"""),"фармацевтичне обладнання")</f>
        <v>фармацевтичне обладнання</v>
      </c>
      <c r="E667" s="15" t="str">
        <f>IFERROR(__xludf.DUMMYFUNCTION("""COMPUTED_VALUE"""),"фармацевтичне обладнання")</f>
        <v>фармацевтичне обладнання</v>
      </c>
      <c r="F667" s="17">
        <f>IFERROR(__xludf.DUMMYFUNCTION("""COMPUTED_VALUE"""),2.0)</f>
        <v>2</v>
      </c>
      <c r="G667" s="17">
        <f>IFERROR(__xludf.DUMMYFUNCTION("""COMPUTED_VALUE"""),161508.0)</f>
        <v>161508</v>
      </c>
      <c r="H667" s="17" t="str">
        <f>IFERROR(__xludf.DUMMYFUNCTION("""COMPUTED_VALUE"""),"фармацевтичне обладнання")</f>
        <v>фармацевтичне обладнання</v>
      </c>
      <c r="I667" s="18">
        <f>IFERROR(__xludf.DUMMYFUNCTION("""COMPUTED_VALUE"""),0.76)</f>
        <v>0.76</v>
      </c>
      <c r="J667" s="18">
        <f>IFERROR(__xludf.DUMMYFUNCTION("""COMPUTED_VALUE"""),1.53)</f>
        <v>1.53</v>
      </c>
      <c r="K667" s="18">
        <f>IFERROR(__xludf.DUMMYFUNCTION("""COMPUTED_VALUE"""),1.91)</f>
        <v>1.91</v>
      </c>
      <c r="L667" s="18">
        <f>IFERROR(__xludf.DUMMYFUNCTION("""COMPUTED_VALUE"""),3.05)</f>
        <v>3.05</v>
      </c>
    </row>
    <row r="668">
      <c r="A668" s="13" t="str">
        <f>IFERROR(__xludf.DUMMYFUNCTION("""COMPUTED_VALUE"""),"товари")</f>
        <v>товари</v>
      </c>
      <c r="B668" s="13" t="str">
        <f>IFERROR(__xludf.DUMMYFUNCTION("""COMPUTED_VALUE"""),"промислове обладнання та верстати")</f>
        <v>промислове обладнання та верстати</v>
      </c>
      <c r="C668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68" s="15" t="str">
        <f>IFERROR(__xludf.DUMMYFUNCTION("""COMPUTED_VALUE"""),"фільтрувальні матеріали")</f>
        <v>фільтрувальні матеріали</v>
      </c>
      <c r="E668" s="15" t="str">
        <f>IFERROR(__xludf.DUMMYFUNCTION("""COMPUTED_VALUE"""),"фільтрувальні мембрани")</f>
        <v>фільтрувальні мембрани</v>
      </c>
      <c r="F668" s="17">
        <f>IFERROR(__xludf.DUMMYFUNCTION("""COMPUTED_VALUE"""),4.0)</f>
        <v>4</v>
      </c>
      <c r="G668" s="17">
        <f>IFERROR(__xludf.DUMMYFUNCTION("""COMPUTED_VALUE"""),143304.0)</f>
        <v>143304</v>
      </c>
      <c r="H668" s="17" t="str">
        <f>IFERROR(__xludf.DUMMYFUNCTION("""COMPUTED_VALUE"""),"фільтрувальні мембрани")</f>
        <v>фільтрувальні мембрани</v>
      </c>
      <c r="I668" s="18">
        <f>IFERROR(__xludf.DUMMYFUNCTION("""COMPUTED_VALUE"""),1.62)</f>
        <v>1.62</v>
      </c>
      <c r="J668" s="18">
        <f>IFERROR(__xludf.DUMMYFUNCTION("""COMPUTED_VALUE"""),3.24)</f>
        <v>3.24</v>
      </c>
      <c r="K668" s="18">
        <f>IFERROR(__xludf.DUMMYFUNCTION("""COMPUTED_VALUE"""),4.05)</f>
        <v>4.05</v>
      </c>
      <c r="L668" s="18">
        <f>IFERROR(__xludf.DUMMYFUNCTION("""COMPUTED_VALUE"""),6.48)</f>
        <v>6.48</v>
      </c>
    </row>
    <row r="669">
      <c r="A669" s="13" t="str">
        <f>IFERROR(__xludf.DUMMYFUNCTION("""COMPUTED_VALUE"""),"товари")</f>
        <v>товари</v>
      </c>
      <c r="B669" s="13" t="str">
        <f>IFERROR(__xludf.DUMMYFUNCTION("""COMPUTED_VALUE"""),"промислове обладнання та верстати")</f>
        <v>промислове обладнання та верстати</v>
      </c>
      <c r="C669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69" s="15" t="str">
        <f>IFERROR(__xludf.DUMMYFUNCTION("""COMPUTED_VALUE"""),"фільтрувальні матеріали")</f>
        <v>фільтрувальні матеріали</v>
      </c>
      <c r="E669" s="15" t="str">
        <f>IFERROR(__xludf.DUMMYFUNCTION("""COMPUTED_VALUE"""),"фільтрувальні мішки")</f>
        <v>фільтрувальні мішки</v>
      </c>
      <c r="F669" s="17">
        <f>IFERROR(__xludf.DUMMYFUNCTION("""COMPUTED_VALUE"""),4.0)</f>
        <v>4</v>
      </c>
      <c r="G669" s="17">
        <f>IFERROR(__xludf.DUMMYFUNCTION("""COMPUTED_VALUE"""),143302.0)</f>
        <v>143302</v>
      </c>
      <c r="H669" s="17" t="str">
        <f>IFERROR(__xludf.DUMMYFUNCTION("""COMPUTED_VALUE"""),"фільтрувальні мішки")</f>
        <v>фільтрувальні мішки</v>
      </c>
      <c r="I669" s="18">
        <f>IFERROR(__xludf.DUMMYFUNCTION("""COMPUTED_VALUE"""),1.62)</f>
        <v>1.62</v>
      </c>
      <c r="J669" s="18">
        <f>IFERROR(__xludf.DUMMYFUNCTION("""COMPUTED_VALUE"""),3.24)</f>
        <v>3.24</v>
      </c>
      <c r="K669" s="18">
        <f>IFERROR(__xludf.DUMMYFUNCTION("""COMPUTED_VALUE"""),4.05)</f>
        <v>4.05</v>
      </c>
      <c r="L669" s="18">
        <f>IFERROR(__xludf.DUMMYFUNCTION("""COMPUTED_VALUE"""),6.48)</f>
        <v>6.48</v>
      </c>
    </row>
    <row r="670">
      <c r="A670" s="13" t="str">
        <f>IFERROR(__xludf.DUMMYFUNCTION("""COMPUTED_VALUE"""),"товари")</f>
        <v>товари</v>
      </c>
      <c r="B670" s="13" t="str">
        <f>IFERROR(__xludf.DUMMYFUNCTION("""COMPUTED_VALUE"""),"промислове обладнання та верстати")</f>
        <v>промислове обладнання та верстати</v>
      </c>
      <c r="C670" s="15" t="str">
        <f>IFERROR(__xludf.DUMMYFUNCTION("""COMPUTED_VALUE"""),"хімічне обладнання")</f>
        <v>хімічне обладнання</v>
      </c>
      <c r="D670" s="15" t="str">
        <f>IFERROR(__xludf.DUMMYFUNCTION("""COMPUTED_VALUE"""),"хімічне аналітичне обладнання")</f>
        <v>хімічне аналітичне обладнання</v>
      </c>
      <c r="E670" s="15" t="str">
        <f>IFERROR(__xludf.DUMMYFUNCTION("""COMPUTED_VALUE"""),"хімічне аналітичне обладнання")</f>
        <v>хімічне аналітичне обладнання</v>
      </c>
      <c r="F670" s="17">
        <f>IFERROR(__xludf.DUMMYFUNCTION("""COMPUTED_VALUE"""),3.0)</f>
        <v>3</v>
      </c>
      <c r="G670" s="17">
        <f>IFERROR(__xludf.DUMMYFUNCTION("""COMPUTED_VALUE"""),141613.0)</f>
        <v>141613</v>
      </c>
      <c r="H670" s="17" t="str">
        <f>IFERROR(__xludf.DUMMYFUNCTION("""COMPUTED_VALUE"""),"хімічне аналітичне обладнання")</f>
        <v>хімічне аналітичне обладнання</v>
      </c>
      <c r="I670" s="18">
        <f>IFERROR(__xludf.DUMMYFUNCTION("""COMPUTED_VALUE"""),0.53)</f>
        <v>0.53</v>
      </c>
      <c r="J670" s="18">
        <f>IFERROR(__xludf.DUMMYFUNCTION("""COMPUTED_VALUE"""),1.05)</f>
        <v>1.05</v>
      </c>
      <c r="K670" s="18">
        <f>IFERROR(__xludf.DUMMYFUNCTION("""COMPUTED_VALUE"""),1.31)</f>
        <v>1.31</v>
      </c>
      <c r="L670" s="18">
        <f>IFERROR(__xludf.DUMMYFUNCTION("""COMPUTED_VALUE"""),2.1)</f>
        <v>2.1</v>
      </c>
    </row>
    <row r="671">
      <c r="A671" s="13" t="str">
        <f>IFERROR(__xludf.DUMMYFUNCTION("""COMPUTED_VALUE"""),"товари")</f>
        <v>товари</v>
      </c>
      <c r="B671" s="13" t="str">
        <f>IFERROR(__xludf.DUMMYFUNCTION("""COMPUTED_VALUE"""),"промислове обладнання та верстати")</f>
        <v>промислове обладнання та верстати</v>
      </c>
      <c r="C671" s="15" t="str">
        <f>IFERROR(__xludf.DUMMYFUNCTION("""COMPUTED_VALUE"""),"хімічне обладнання")</f>
        <v>хімічне обладнання</v>
      </c>
      <c r="D671" s="15" t="str">
        <f>IFERROR(__xludf.DUMMYFUNCTION("""COMPUTED_VALUE"""),"хімічне обладнання, загальне")</f>
        <v>хімічне обладнання, загальне</v>
      </c>
      <c r="E671" s="15" t="str">
        <f>IFERROR(__xludf.DUMMYFUNCTION("""COMPUTED_VALUE"""),"хімічне обладнання, загальне")</f>
        <v>хімічне обладнання, загальне</v>
      </c>
      <c r="F671" s="17">
        <f>IFERROR(__xludf.DUMMYFUNCTION("""COMPUTED_VALUE"""),3.0)</f>
        <v>3</v>
      </c>
      <c r="G671" s="17">
        <f>IFERROR(__xludf.DUMMYFUNCTION("""COMPUTED_VALUE"""),141699.0)</f>
        <v>141699</v>
      </c>
      <c r="H671" s="17" t="str">
        <f>IFERROR(__xludf.DUMMYFUNCTION("""COMPUTED_VALUE"""),"хімічне обладнання, загальне")</f>
        <v>хімічне обладнання, загальне</v>
      </c>
      <c r="I671" s="18">
        <f>IFERROR(__xludf.DUMMYFUNCTION("""COMPUTED_VALUE"""),2.16)</f>
        <v>2.16</v>
      </c>
      <c r="J671" s="18">
        <f>IFERROR(__xludf.DUMMYFUNCTION("""COMPUTED_VALUE"""),4.33)</f>
        <v>4.33</v>
      </c>
      <c r="K671" s="18">
        <f>IFERROR(__xludf.DUMMYFUNCTION("""COMPUTED_VALUE"""),5.41)</f>
        <v>5.41</v>
      </c>
      <c r="L671" s="18">
        <f>IFERROR(__xludf.DUMMYFUNCTION("""COMPUTED_VALUE"""),8.65)</f>
        <v>8.65</v>
      </c>
    </row>
    <row r="672">
      <c r="A672" s="13" t="str">
        <f>IFERROR(__xludf.DUMMYFUNCTION("""COMPUTED_VALUE"""),"товари")</f>
        <v>товари</v>
      </c>
      <c r="B672" s="13" t="str">
        <f>IFERROR(__xludf.DUMMYFUNCTION("""COMPUTED_VALUE"""),"промислове обладнання та верстати")</f>
        <v>промислове обладнання та верстати</v>
      </c>
      <c r="C672" s="15" t="str">
        <f>IFERROR(__xludf.DUMMYFUNCTION("""COMPUTED_VALUE"""),"енергообладнання")</f>
        <v>енергообладнання</v>
      </c>
      <c r="D672" s="15" t="str">
        <f>IFERROR(__xludf.DUMMYFUNCTION("""COMPUTED_VALUE"""),"холодильне промислове обладнання")</f>
        <v>холодильне промислове обладнання</v>
      </c>
      <c r="E672" s="15" t="str">
        <f>IFERROR(__xludf.DUMMYFUNCTION("""COMPUTED_VALUE"""),"холодильні конденсатори")</f>
        <v>холодильні конденсатори</v>
      </c>
      <c r="F672" s="17">
        <f>IFERROR(__xludf.DUMMYFUNCTION("""COMPUTED_VALUE"""),4.0)</f>
        <v>4</v>
      </c>
      <c r="G672" s="17">
        <f>IFERROR(__xludf.DUMMYFUNCTION("""COMPUTED_VALUE"""),1.4240103E7)</f>
        <v>14240103</v>
      </c>
      <c r="H672" s="17" t="str">
        <f>IFERROR(__xludf.DUMMYFUNCTION("""COMPUTED_VALUE"""),"холодильні конденсатори")</f>
        <v>холодильні конденсатори</v>
      </c>
      <c r="I672" s="18">
        <f>IFERROR(__xludf.DUMMYFUNCTION("""COMPUTED_VALUE"""),1.39)</f>
        <v>1.39</v>
      </c>
      <c r="J672" s="18">
        <f>IFERROR(__xludf.DUMMYFUNCTION("""COMPUTED_VALUE"""),2.79)</f>
        <v>2.79</v>
      </c>
      <c r="K672" s="18">
        <f>IFERROR(__xludf.DUMMYFUNCTION("""COMPUTED_VALUE"""),3.48)</f>
        <v>3.48</v>
      </c>
      <c r="L672" s="18">
        <f>IFERROR(__xludf.DUMMYFUNCTION("""COMPUTED_VALUE"""),5.58)</f>
        <v>5.58</v>
      </c>
    </row>
    <row r="673">
      <c r="A673" s="13" t="str">
        <f>IFERROR(__xludf.DUMMYFUNCTION("""COMPUTED_VALUE"""),"товари")</f>
        <v>товари</v>
      </c>
      <c r="B673" s="13" t="str">
        <f>IFERROR(__xludf.DUMMYFUNCTION("""COMPUTED_VALUE"""),"промислове обладнання та верстати")</f>
        <v>промислове обладнання та верстати</v>
      </c>
      <c r="C673" s="15" t="str">
        <f>IFERROR(__xludf.DUMMYFUNCTION("""COMPUTED_VALUE"""),"промислове кліматичне обладнання")</f>
        <v>промислове кліматичне обладнання</v>
      </c>
      <c r="D673" s="15" t="str">
        <f>IFERROR(__xludf.DUMMYFUNCTION("""COMPUTED_VALUE"""),"промислові кондиціонери")</f>
        <v>промислові кондиціонери</v>
      </c>
      <c r="E673" s="15" t="str">
        <f>IFERROR(__xludf.DUMMYFUNCTION("""COMPUTED_VALUE"""),"центральні кондиціонери")</f>
        <v>центральні кондиціонери</v>
      </c>
      <c r="F673" s="17">
        <f>IFERROR(__xludf.DUMMYFUNCTION("""COMPUTED_VALUE"""),4.0)</f>
        <v>4</v>
      </c>
      <c r="G673" s="17">
        <f>IFERROR(__xludf.DUMMYFUNCTION("""COMPUTED_VALUE"""),1.4650204E7)</f>
        <v>14650204</v>
      </c>
      <c r="H673" s="17" t="str">
        <f>IFERROR(__xludf.DUMMYFUNCTION("""COMPUTED_VALUE"""),"центральні кондиціонери")</f>
        <v>центральні кондиціонери</v>
      </c>
      <c r="I673" s="18">
        <f>IFERROR(__xludf.DUMMYFUNCTION("""COMPUTED_VALUE"""),2.7)</f>
        <v>2.7</v>
      </c>
      <c r="J673" s="18">
        <f>IFERROR(__xludf.DUMMYFUNCTION("""COMPUTED_VALUE"""),5.4)</f>
        <v>5.4</v>
      </c>
      <c r="K673" s="18">
        <f>IFERROR(__xludf.DUMMYFUNCTION("""COMPUTED_VALUE"""),6.75)</f>
        <v>6.75</v>
      </c>
      <c r="L673" s="18">
        <f>IFERROR(__xludf.DUMMYFUNCTION("""COMPUTED_VALUE"""),10.8)</f>
        <v>10.8</v>
      </c>
    </row>
    <row r="674">
      <c r="A674" s="13" t="str">
        <f>IFERROR(__xludf.DUMMYFUNCTION("""COMPUTED_VALUE"""),"товари")</f>
        <v>товари</v>
      </c>
      <c r="B674" s="13" t="str">
        <f>IFERROR(__xludf.DUMMYFUNCTION("""COMPUTED_VALUE"""),"промислове обладнання та верстати")</f>
        <v>промислове обладнання та верстати</v>
      </c>
      <c r="C674" s="15" t="str">
        <f>IFERROR(__xludf.DUMMYFUNCTION("""COMPUTED_VALUE"""),"промислові насоси")</f>
        <v>промислові насоси</v>
      </c>
      <c r="D674" s="15" t="str">
        <f>IFERROR(__xludf.DUMMYFUNCTION("""COMPUTED_VALUE"""),"шестеренні промислові насоси")</f>
        <v>шестеренні промислові насоси</v>
      </c>
      <c r="E674" s="15" t="str">
        <f>IFERROR(__xludf.DUMMYFUNCTION("""COMPUTED_VALUE"""),"шестеренні промислові насоси")</f>
        <v>шестеренні промислові насоси</v>
      </c>
      <c r="F674" s="17">
        <f>IFERROR(__xludf.DUMMYFUNCTION("""COMPUTED_VALUE"""),3.0)</f>
        <v>3</v>
      </c>
      <c r="G674" s="17">
        <f>IFERROR(__xludf.DUMMYFUNCTION("""COMPUTED_VALUE"""),1.4030101E7)</f>
        <v>14030101</v>
      </c>
      <c r="H674" s="17" t="str">
        <f>IFERROR(__xludf.DUMMYFUNCTION("""COMPUTED_VALUE"""),"шестеренні промислові насоси")</f>
        <v>шестеренні промислові насоси</v>
      </c>
      <c r="I674" s="18">
        <f>IFERROR(__xludf.DUMMYFUNCTION("""COMPUTED_VALUE"""),2.7)</f>
        <v>2.7</v>
      </c>
      <c r="J674" s="18">
        <f>IFERROR(__xludf.DUMMYFUNCTION("""COMPUTED_VALUE"""),5.4)</f>
        <v>5.4</v>
      </c>
      <c r="K674" s="18">
        <f>IFERROR(__xludf.DUMMYFUNCTION("""COMPUTED_VALUE"""),6.75)</f>
        <v>6.75</v>
      </c>
      <c r="L674" s="18">
        <f>IFERROR(__xludf.DUMMYFUNCTION("""COMPUTED_VALUE"""),10.8)</f>
        <v>10.8</v>
      </c>
    </row>
    <row r="675">
      <c r="A675" s="13" t="str">
        <f>IFERROR(__xludf.DUMMYFUNCTION("""COMPUTED_VALUE"""),"товари")</f>
        <v>товари</v>
      </c>
      <c r="B675" s="13" t="str">
        <f>IFERROR(__xludf.DUMMYFUNCTION("""COMPUTED_VALUE"""),"промислове обладнання та верстати")</f>
        <v>промислове обладнання та верстати</v>
      </c>
      <c r="C675" s="15" t="str">
        <f>IFERROR(__xludf.DUMMYFUNCTION("""COMPUTED_VALUE"""),"обладнання для легкої промисловості")</f>
        <v>обладнання для легкої промисловості</v>
      </c>
      <c r="D675" s="15" t="str">
        <f>IFERROR(__xludf.DUMMYFUNCTION("""COMPUTED_VALUE"""),"шкіряно-галантерейне обладнання")</f>
        <v>шкіряно-галантерейне обладнання</v>
      </c>
      <c r="E675" s="15" t="str">
        <f>IFERROR(__xludf.DUMMYFUNCTION("""COMPUTED_VALUE"""),"шкіряно-галантерейне обладнання")</f>
        <v>шкіряно-галантерейне обладнання</v>
      </c>
      <c r="F675" s="17">
        <f>IFERROR(__xludf.DUMMYFUNCTION("""COMPUTED_VALUE"""),3.0)</f>
        <v>3</v>
      </c>
      <c r="G675" s="17">
        <f>IFERROR(__xludf.DUMMYFUNCTION("""COMPUTED_VALUE"""),4306.0)</f>
        <v>4306</v>
      </c>
      <c r="H675" s="17" t="str">
        <f>IFERROR(__xludf.DUMMYFUNCTION("""COMPUTED_VALUE"""),"шкіряно-галантерейне обладнання")</f>
        <v>шкіряно-галантерейне обладнання</v>
      </c>
      <c r="I675" s="18">
        <f>IFERROR(__xludf.DUMMYFUNCTION("""COMPUTED_VALUE"""),0.53)</f>
        <v>0.53</v>
      </c>
      <c r="J675" s="18">
        <f>IFERROR(__xludf.DUMMYFUNCTION("""COMPUTED_VALUE"""),1.05)</f>
        <v>1.05</v>
      </c>
      <c r="K675" s="18">
        <f>IFERROR(__xludf.DUMMYFUNCTION("""COMPUTED_VALUE"""),1.31)</f>
        <v>1.31</v>
      </c>
      <c r="L675" s="18">
        <f>IFERROR(__xludf.DUMMYFUNCTION("""COMPUTED_VALUE"""),2.1)</f>
        <v>2.1</v>
      </c>
    </row>
    <row r="676">
      <c r="A676" s="13" t="str">
        <f>IFERROR(__xludf.DUMMYFUNCTION("""COMPUTED_VALUE"""),"товари")</f>
        <v>товари</v>
      </c>
      <c r="B676" s="13" t="str">
        <f>IFERROR(__xludf.DUMMYFUNCTION("""COMPUTED_VALUE"""),"промислове обладнання та верстати")</f>
        <v>промислове обладнання та верстати</v>
      </c>
      <c r="C676" s="15" t="str">
        <f>IFERROR(__xludf.DUMMYFUNCTION("""COMPUTED_VALUE"""),"складське обладнання")</f>
        <v>складське обладнання</v>
      </c>
      <c r="D676" s="15" t="str">
        <f>IFERROR(__xludf.DUMMYFUNCTION("""COMPUTED_VALUE"""),"штабелери, електровізки для палет")</f>
        <v>штабелери, електровізки для палет</v>
      </c>
      <c r="E676" s="15" t="str">
        <f>IFERROR(__xludf.DUMMYFUNCTION("""COMPUTED_VALUE"""),"штабелери, електровізки для палет")</f>
        <v>штабелери, електровізки для палет</v>
      </c>
      <c r="F676" s="17">
        <f>IFERROR(__xludf.DUMMYFUNCTION("""COMPUTED_VALUE"""),3.0)</f>
        <v>3</v>
      </c>
      <c r="G676" s="17">
        <f>IFERROR(__xludf.DUMMYFUNCTION("""COMPUTED_VALUE"""),142906.0)</f>
        <v>142906</v>
      </c>
      <c r="H676" s="17" t="str">
        <f>IFERROR(__xludf.DUMMYFUNCTION("""COMPUTED_VALUE"""),"штабелери, електровізки для палет")</f>
        <v>штабелери, електровізки для палет</v>
      </c>
      <c r="I676" s="18">
        <f>IFERROR(__xludf.DUMMYFUNCTION("""COMPUTED_VALUE"""),2.7)</f>
        <v>2.7</v>
      </c>
      <c r="J676" s="18">
        <f>IFERROR(__xludf.DUMMYFUNCTION("""COMPUTED_VALUE"""),5.4)</f>
        <v>5.4</v>
      </c>
      <c r="K676" s="18">
        <f>IFERROR(__xludf.DUMMYFUNCTION("""COMPUTED_VALUE"""),6.75)</f>
        <v>6.75</v>
      </c>
      <c r="L676" s="18">
        <f>IFERROR(__xludf.DUMMYFUNCTION("""COMPUTED_VALUE"""),10.8)</f>
        <v>10.8</v>
      </c>
    </row>
    <row r="677">
      <c r="A677" s="13" t="str">
        <f>IFERROR(__xludf.DUMMYFUNCTION("""COMPUTED_VALUE"""),"послуги")</f>
        <v>послуги</v>
      </c>
      <c r="B677" s="13" t="str">
        <f>IFERROR(__xludf.DUMMYFUNCTION("""COMPUTED_VALUE"""),"промислові послуги")</f>
        <v>промислові послуги</v>
      </c>
      <c r="C677" s="15" t="str">
        <f>IFERROR(__xludf.DUMMYFUNCTION("""COMPUTED_VALUE"""),"послуги із забезпечення охорони праці")</f>
        <v>послуги із забезпечення охорони праці</v>
      </c>
      <c r="D677" s="15" t="str">
        <f>IFERROR(__xludf.DUMMYFUNCTION("""COMPUTED_VALUE"""),"послуги із забезпечення охорони праці")</f>
        <v>послуги із забезпечення охорони праці</v>
      </c>
      <c r="E677" s="15" t="str">
        <f>IFERROR(__xludf.DUMMYFUNCTION("""COMPUTED_VALUE"""),"послуги із забезпечення охорони праці")</f>
        <v>послуги із забезпечення охорони праці</v>
      </c>
      <c r="F677" s="17">
        <f>IFERROR(__xludf.DUMMYFUNCTION("""COMPUTED_VALUE"""),2.0)</f>
        <v>2</v>
      </c>
      <c r="G677" s="17">
        <f>IFERROR(__xludf.DUMMYFUNCTION("""COMPUTED_VALUE"""),282094.0)</f>
        <v>282094</v>
      </c>
      <c r="H677" s="17" t="str">
        <f>IFERROR(__xludf.DUMMYFUNCTION("""COMPUTED_VALUE"""),"послуги із забезпечення охорони праці")</f>
        <v>послуги із забезпечення охорони праці</v>
      </c>
      <c r="I677" s="18">
        <f>IFERROR(__xludf.DUMMYFUNCTION("""COMPUTED_VALUE"""),2.7)</f>
        <v>2.7</v>
      </c>
      <c r="J677" s="18">
        <f>IFERROR(__xludf.DUMMYFUNCTION("""COMPUTED_VALUE"""),5.4)</f>
        <v>5.4</v>
      </c>
      <c r="K677" s="18">
        <f>IFERROR(__xludf.DUMMYFUNCTION("""COMPUTED_VALUE"""),6.75)</f>
        <v>6.75</v>
      </c>
      <c r="L677" s="18">
        <f>IFERROR(__xludf.DUMMYFUNCTION("""COMPUTED_VALUE"""),10.8)</f>
        <v>10.8</v>
      </c>
    </row>
    <row r="678">
      <c r="A678" s="13" t="str">
        <f>IFERROR(__xludf.DUMMYFUNCTION("""COMPUTED_VALUE"""),"послуги")</f>
        <v>послуги</v>
      </c>
      <c r="B678" s="13" t="str">
        <f>IFERROR(__xludf.DUMMYFUNCTION("""COMPUTED_VALUE"""),"промислові послуги")</f>
        <v>промислові послуги</v>
      </c>
      <c r="C678" s="15" t="str">
        <f>IFERROR(__xludf.DUMMYFUNCTION("""COMPUTED_VALUE"""),"послуги підприємств легкої промисловості")</f>
        <v>послуги підприємств легкої промисловості</v>
      </c>
      <c r="D678" s="15" t="str">
        <f>IFERROR(__xludf.DUMMYFUNCTION("""COMPUTED_VALUE"""),"послуги підприємств легкої промисловості")</f>
        <v>послуги підприємств легкої промисловості</v>
      </c>
      <c r="E678" s="15" t="str">
        <f>IFERROR(__xludf.DUMMYFUNCTION("""COMPUTED_VALUE"""),"послуги підприємств легкої промисловості")</f>
        <v>послуги підприємств легкої промисловості</v>
      </c>
      <c r="F678" s="17">
        <f>IFERROR(__xludf.DUMMYFUNCTION("""COMPUTED_VALUE"""),3.0)</f>
        <v>3</v>
      </c>
      <c r="G678" s="17">
        <f>IFERROR(__xludf.DUMMYFUNCTION("""COMPUTED_VALUE"""),282076.0)</f>
        <v>282076</v>
      </c>
      <c r="H678" s="17" t="str">
        <f>IFERROR(__xludf.DUMMYFUNCTION("""COMPUTED_VALUE"""),"послуги підприємств легкої промисловості")</f>
        <v>послуги підприємств легкої промисловості</v>
      </c>
      <c r="I678" s="18">
        <f>IFERROR(__xludf.DUMMYFUNCTION("""COMPUTED_VALUE"""),0.86)</f>
        <v>0.86</v>
      </c>
      <c r="J678" s="18">
        <f>IFERROR(__xludf.DUMMYFUNCTION("""COMPUTED_VALUE"""),1.71)</f>
        <v>1.71</v>
      </c>
      <c r="K678" s="18">
        <f>IFERROR(__xludf.DUMMYFUNCTION("""COMPUTED_VALUE"""),2.14)</f>
        <v>2.14</v>
      </c>
      <c r="L678" s="18">
        <f>IFERROR(__xludf.DUMMYFUNCTION("""COMPUTED_VALUE"""),3.43)</f>
        <v>3.43</v>
      </c>
    </row>
    <row r="679">
      <c r="A679" s="13" t="str">
        <f>IFERROR(__xludf.DUMMYFUNCTION("""COMPUTED_VALUE"""),"послуги")</f>
        <v>послуги</v>
      </c>
      <c r="B679" s="13" t="str">
        <f>IFERROR(__xludf.DUMMYFUNCTION("""COMPUTED_VALUE"""),"промислові послуги")</f>
        <v>промислові послуги</v>
      </c>
      <c r="C679" s="15" t="str">
        <f>IFERROR(__xludf.DUMMYFUNCTION("""COMPUTED_VALUE"""),"послуги фарбування та нанесення покриттів")</f>
        <v>послуги фарбування та нанесення покриттів</v>
      </c>
      <c r="D679" s="15" t="str">
        <f>IFERROR(__xludf.DUMMYFUNCTION("""COMPUTED_VALUE"""),"послуги фарбування та нанесення покриттів")</f>
        <v>послуги фарбування та нанесення покриттів</v>
      </c>
      <c r="E679" s="15" t="str">
        <f>IFERROR(__xludf.DUMMYFUNCTION("""COMPUTED_VALUE"""),"послуги фарбування та нанесення покриттів")</f>
        <v>послуги фарбування та нанесення покриттів</v>
      </c>
      <c r="F679" s="17">
        <f>IFERROR(__xludf.DUMMYFUNCTION("""COMPUTED_VALUE"""),2.0)</f>
        <v>2</v>
      </c>
      <c r="G679" s="17">
        <f>IFERROR(__xludf.DUMMYFUNCTION("""COMPUTED_VALUE"""),282021.0)</f>
        <v>282021</v>
      </c>
      <c r="H679" s="17" t="str">
        <f>IFERROR(__xludf.DUMMYFUNCTION("""COMPUTED_VALUE"""),"послуги фарбування та нанесення покриттів")</f>
        <v>послуги фарбування та нанесення покриттів</v>
      </c>
      <c r="I679" s="18">
        <f>IFERROR(__xludf.DUMMYFUNCTION("""COMPUTED_VALUE"""),1.8)</f>
        <v>1.8</v>
      </c>
      <c r="J679" s="18">
        <f>IFERROR(__xludf.DUMMYFUNCTION("""COMPUTED_VALUE"""),3.6)</f>
        <v>3.6</v>
      </c>
      <c r="K679" s="18">
        <f>IFERROR(__xludf.DUMMYFUNCTION("""COMPUTED_VALUE"""),4.5)</f>
        <v>4.5</v>
      </c>
      <c r="L679" s="18">
        <f>IFERROR(__xludf.DUMMYFUNCTION("""COMPUTED_VALUE"""),7.2)</f>
        <v>7.2</v>
      </c>
    </row>
    <row r="680">
      <c r="A680" s="13" t="str">
        <f>IFERROR(__xludf.DUMMYFUNCTION("""COMPUTED_VALUE"""),"послуги")</f>
        <v>послуги</v>
      </c>
      <c r="B680" s="13" t="str">
        <f>IFERROR(__xludf.DUMMYFUNCTION("""COMPUTED_VALUE"""),"промислові послуги")</f>
        <v>промислові послуги</v>
      </c>
      <c r="C680" s="15" t="str">
        <f>IFERROR(__xludf.DUMMYFUNCTION("""COMPUTED_VALUE"""),"проектно-конструкторські та технологічні роботи")</f>
        <v>проектно-конструкторські та технологічні роботи</v>
      </c>
      <c r="D680" s="15" t="str">
        <f>IFERROR(__xludf.DUMMYFUNCTION("""COMPUTED_VALUE"""),"проектно-конструкторські та технологічні роботи")</f>
        <v>проектно-конструкторські та технологічні роботи</v>
      </c>
      <c r="E680" s="15" t="str">
        <f>IFERROR(__xludf.DUMMYFUNCTION("""COMPUTED_VALUE"""),"проектно-конструкторські та технологічні роботи")</f>
        <v>проектно-конструкторські та технологічні роботи</v>
      </c>
      <c r="F680" s="17">
        <f>IFERROR(__xludf.DUMMYFUNCTION("""COMPUTED_VALUE"""),2.0)</f>
        <v>2</v>
      </c>
      <c r="G680" s="17">
        <f>IFERROR(__xludf.DUMMYFUNCTION("""COMPUTED_VALUE"""),282003.0)</f>
        <v>282003</v>
      </c>
      <c r="H680" s="17" t="str">
        <f>IFERROR(__xludf.DUMMYFUNCTION("""COMPUTED_VALUE"""),"проектно-конструкторські та технологічні роботи")</f>
        <v>проектно-конструкторські та технологічні роботи</v>
      </c>
      <c r="I680" s="18">
        <f>IFERROR(__xludf.DUMMYFUNCTION("""COMPUTED_VALUE"""),1.58)</f>
        <v>1.58</v>
      </c>
      <c r="J680" s="18">
        <f>IFERROR(__xludf.DUMMYFUNCTION("""COMPUTED_VALUE"""),3.15)</f>
        <v>3.15</v>
      </c>
      <c r="K680" s="18">
        <f>IFERROR(__xludf.DUMMYFUNCTION("""COMPUTED_VALUE"""),3.94)</f>
        <v>3.94</v>
      </c>
      <c r="L680" s="18">
        <f>IFERROR(__xludf.DUMMYFUNCTION("""COMPUTED_VALUE"""),6.3)</f>
        <v>6.3</v>
      </c>
    </row>
    <row r="681">
      <c r="A681" s="13" t="str">
        <f>IFERROR(__xludf.DUMMYFUNCTION("""COMPUTED_VALUE"""),"послуги")</f>
        <v>послуги</v>
      </c>
      <c r="B681" s="13" t="str">
        <f>IFERROR(__xludf.DUMMYFUNCTION("""COMPUTED_VALUE"""),"промислові послуги")</f>
        <v>промислові послуги</v>
      </c>
      <c r="C681" s="15" t="str">
        <f>IFERROR(__xludf.DUMMYFUNCTION("""COMPUTED_VALUE"""),"промислові послуги, загальне")</f>
        <v>промислові послуги, загальне</v>
      </c>
      <c r="D681" s="15" t="str">
        <f>IFERROR(__xludf.DUMMYFUNCTION("""COMPUTED_VALUE"""),"промислові послуги, загальне")</f>
        <v>промислові послуги, загальне</v>
      </c>
      <c r="E681" s="15" t="str">
        <f>IFERROR(__xludf.DUMMYFUNCTION("""COMPUTED_VALUE"""),"промислові послуги, загальне")</f>
        <v>промислові послуги, загальне</v>
      </c>
      <c r="F681" s="17">
        <f>IFERROR(__xludf.DUMMYFUNCTION("""COMPUTED_VALUE"""),2.0)</f>
        <v>2</v>
      </c>
      <c r="G681" s="17">
        <f>IFERROR(__xludf.DUMMYFUNCTION("""COMPUTED_VALUE"""),282027.0)</f>
        <v>282027</v>
      </c>
      <c r="H681" s="17" t="str">
        <f>IFERROR(__xludf.DUMMYFUNCTION("""COMPUTED_VALUE"""),"промислові послуги, загальне")</f>
        <v>промислові послуги, загальне</v>
      </c>
      <c r="I681" s="18">
        <f>IFERROR(__xludf.DUMMYFUNCTION("""COMPUTED_VALUE"""),2.16)</f>
        <v>2.16</v>
      </c>
      <c r="J681" s="18">
        <f>IFERROR(__xludf.DUMMYFUNCTION("""COMPUTED_VALUE"""),4.33)</f>
        <v>4.33</v>
      </c>
      <c r="K681" s="18">
        <f>IFERROR(__xludf.DUMMYFUNCTION("""COMPUTED_VALUE"""),5.41)</f>
        <v>5.41</v>
      </c>
      <c r="L681" s="18">
        <f>IFERROR(__xludf.DUMMYFUNCTION("""COMPUTED_VALUE"""),8.65)</f>
        <v>8.65</v>
      </c>
    </row>
    <row r="682">
      <c r="A682" s="13" t="str">
        <f>IFERROR(__xludf.DUMMYFUNCTION("""COMPUTED_VALUE"""),"послуги")</f>
        <v>послуги</v>
      </c>
      <c r="B682" s="13" t="str">
        <f>IFERROR(__xludf.DUMMYFUNCTION("""COMPUTED_VALUE"""),"промислові послуги")</f>
        <v>промислові послуги</v>
      </c>
      <c r="C682" s="15" t="str">
        <f>IFERROR(__xludf.DUMMYFUNCTION("""COMPUTED_VALUE"""),"розробка і виготовлення електроніки")</f>
        <v>розробка і виготовлення електроніки</v>
      </c>
      <c r="D682" s="15" t="str">
        <f>IFERROR(__xludf.DUMMYFUNCTION("""COMPUTED_VALUE"""),"розробка і виготовлення електроніки")</f>
        <v>розробка і виготовлення електроніки</v>
      </c>
      <c r="E682" s="15" t="str">
        <f>IFERROR(__xludf.DUMMYFUNCTION("""COMPUTED_VALUE"""),"розробка і виготовлення електроніки")</f>
        <v>розробка і виготовлення електроніки</v>
      </c>
      <c r="F682" s="17">
        <f>IFERROR(__xludf.DUMMYFUNCTION("""COMPUTED_VALUE"""),2.0)</f>
        <v>2</v>
      </c>
      <c r="G682" s="17">
        <f>IFERROR(__xludf.DUMMYFUNCTION("""COMPUTED_VALUE"""),282047.0)</f>
        <v>282047</v>
      </c>
      <c r="H682" s="17" t="str">
        <f>IFERROR(__xludf.DUMMYFUNCTION("""COMPUTED_VALUE"""),"розробка і виготовлення електроніки")</f>
        <v>розробка і виготовлення електроніки</v>
      </c>
      <c r="I682" s="18">
        <f>IFERROR(__xludf.DUMMYFUNCTION("""COMPUTED_VALUE"""),1.04)</f>
        <v>1.04</v>
      </c>
      <c r="J682" s="18">
        <f>IFERROR(__xludf.DUMMYFUNCTION("""COMPUTED_VALUE"""),2.08)</f>
        <v>2.08</v>
      </c>
      <c r="K682" s="18">
        <f>IFERROR(__xludf.DUMMYFUNCTION("""COMPUTED_VALUE"""),2.59)</f>
        <v>2.59</v>
      </c>
      <c r="L682" s="18">
        <f>IFERROR(__xludf.DUMMYFUNCTION("""COMPUTED_VALUE"""),4.15)</f>
        <v>4.15</v>
      </c>
    </row>
    <row r="683">
      <c r="A683" s="13" t="str">
        <f>IFERROR(__xludf.DUMMYFUNCTION("""COMPUTED_VALUE"""),"послуги")</f>
        <v>послуги</v>
      </c>
      <c r="B683" s="13" t="str">
        <f>IFERROR(__xludf.DUMMYFUNCTION("""COMPUTED_VALUE"""),"реклама, маркетинг, pr")</f>
        <v>реклама, маркетинг, pr</v>
      </c>
      <c r="C683" s="15" t="str">
        <f>IFERROR(__xludf.DUMMYFUNCTION("""COMPUTED_VALUE"""),"pr послуги")</f>
        <v>pr послуги</v>
      </c>
      <c r="D683" s="15" t="str">
        <f>IFERROR(__xludf.DUMMYFUNCTION("""COMPUTED_VALUE"""),"pr послуги")</f>
        <v>pr послуги</v>
      </c>
      <c r="E683" s="15" t="str">
        <f>IFERROR(__xludf.DUMMYFUNCTION("""COMPUTED_VALUE"""),"pr послуги")</f>
        <v>pr послуги</v>
      </c>
      <c r="F683" s="17">
        <f>IFERROR(__xludf.DUMMYFUNCTION("""COMPUTED_VALUE"""),2.0)</f>
        <v>2</v>
      </c>
      <c r="G683" s="17">
        <f>IFERROR(__xludf.DUMMYFUNCTION("""COMPUTED_VALUE"""),2838.0)</f>
        <v>2838</v>
      </c>
      <c r="H683" s="17" t="str">
        <f>IFERROR(__xludf.DUMMYFUNCTION("""COMPUTED_VALUE"""),"pr послуги")</f>
        <v>pr послуги</v>
      </c>
      <c r="I683" s="18">
        <f>IFERROR(__xludf.DUMMYFUNCTION("""COMPUTED_VALUE"""),0.9)</f>
        <v>0.9</v>
      </c>
      <c r="J683" s="18">
        <f>IFERROR(__xludf.DUMMYFUNCTION("""COMPUTED_VALUE"""),1.8)</f>
        <v>1.8</v>
      </c>
      <c r="K683" s="18">
        <f>IFERROR(__xludf.DUMMYFUNCTION("""COMPUTED_VALUE"""),2.25)</f>
        <v>2.25</v>
      </c>
      <c r="L683" s="18">
        <f>IFERROR(__xludf.DUMMYFUNCTION("""COMPUTED_VALUE"""),3.6)</f>
        <v>3.6</v>
      </c>
    </row>
    <row r="684">
      <c r="A684" s="13" t="str">
        <f>IFERROR(__xludf.DUMMYFUNCTION("""COMPUTED_VALUE"""),"послуги")</f>
        <v>послуги</v>
      </c>
      <c r="B684" s="13" t="str">
        <f>IFERROR(__xludf.DUMMYFUNCTION("""COMPUTED_VALUE"""),"реклама, маркетинг, pr")</f>
        <v>реклама, маркетинг, pr</v>
      </c>
      <c r="C684" s="15" t="str">
        <f>IFERROR(__xludf.DUMMYFUNCTION("""COMPUTED_VALUE"""),"маркетингові послуги")</f>
        <v>маркетингові послуги</v>
      </c>
      <c r="D684" s="15" t="str">
        <f>IFERROR(__xludf.DUMMYFUNCTION("""COMPUTED_VALUE"""),"маркетингові послуги")</f>
        <v>маркетингові послуги</v>
      </c>
      <c r="E684" s="15" t="str">
        <f>IFERROR(__xludf.DUMMYFUNCTION("""COMPUTED_VALUE"""),"маркетингові послуги")</f>
        <v>маркетингові послуги</v>
      </c>
      <c r="F684" s="17">
        <f>IFERROR(__xludf.DUMMYFUNCTION("""COMPUTED_VALUE"""),2.0)</f>
        <v>2</v>
      </c>
      <c r="G684" s="17">
        <f>IFERROR(__xludf.DUMMYFUNCTION("""COMPUTED_VALUE"""),280610.0)</f>
        <v>280610</v>
      </c>
      <c r="H684" s="17" t="str">
        <f>IFERROR(__xludf.DUMMYFUNCTION("""COMPUTED_VALUE"""),"маркетингові послуги")</f>
        <v>маркетингові послуги</v>
      </c>
      <c r="I684" s="18">
        <f>IFERROR(__xludf.DUMMYFUNCTION("""COMPUTED_VALUE"""),1.58)</f>
        <v>1.58</v>
      </c>
      <c r="J684" s="18">
        <f>IFERROR(__xludf.DUMMYFUNCTION("""COMPUTED_VALUE"""),3.15)</f>
        <v>3.15</v>
      </c>
      <c r="K684" s="18">
        <f>IFERROR(__xludf.DUMMYFUNCTION("""COMPUTED_VALUE"""),3.94)</f>
        <v>3.94</v>
      </c>
      <c r="L684" s="18">
        <f>IFERROR(__xludf.DUMMYFUNCTION("""COMPUTED_VALUE"""),6.3)</f>
        <v>6.3</v>
      </c>
    </row>
    <row r="685">
      <c r="A685" s="13" t="str">
        <f>IFERROR(__xludf.DUMMYFUNCTION("""COMPUTED_VALUE"""),"послуги")</f>
        <v>послуги</v>
      </c>
      <c r="B685" s="13" t="str">
        <f>IFERROR(__xludf.DUMMYFUNCTION("""COMPUTED_VALUE"""),"реклама, маркетинг, pr")</f>
        <v>реклама, маркетинг, pr</v>
      </c>
      <c r="C685" s="15" t="str">
        <f>IFERROR(__xludf.DUMMYFUNCTION("""COMPUTED_VALUE"""),"послуги рекламних агентств")</f>
        <v>послуги рекламних агентств</v>
      </c>
      <c r="D685" s="15" t="str">
        <f>IFERROR(__xludf.DUMMYFUNCTION("""COMPUTED_VALUE"""),"послуги рекламних агентств")</f>
        <v>послуги рекламних агентств</v>
      </c>
      <c r="E685" s="15" t="str">
        <f>IFERROR(__xludf.DUMMYFUNCTION("""COMPUTED_VALUE"""),"послуги рекламних агентств")</f>
        <v>послуги рекламних агентств</v>
      </c>
      <c r="F685" s="17">
        <f>IFERROR(__xludf.DUMMYFUNCTION("""COMPUTED_VALUE"""),2.0)</f>
        <v>2</v>
      </c>
      <c r="G685" s="17">
        <f>IFERROR(__xludf.DUMMYFUNCTION("""COMPUTED_VALUE"""),281917.0)</f>
        <v>281917</v>
      </c>
      <c r="H685" s="17" t="str">
        <f>IFERROR(__xludf.DUMMYFUNCTION("""COMPUTED_VALUE"""),"послуги рекламних агентств")</f>
        <v>послуги рекламних агентств</v>
      </c>
      <c r="I685" s="18">
        <f>IFERROR(__xludf.DUMMYFUNCTION("""COMPUTED_VALUE"""),1.35)</f>
        <v>1.35</v>
      </c>
      <c r="J685" s="18">
        <f>IFERROR(__xludf.DUMMYFUNCTION("""COMPUTED_VALUE"""),2.7)</f>
        <v>2.7</v>
      </c>
      <c r="K685" s="18">
        <f>IFERROR(__xludf.DUMMYFUNCTION("""COMPUTED_VALUE"""),3.38)</f>
        <v>3.38</v>
      </c>
      <c r="L685" s="18">
        <f>IFERROR(__xludf.DUMMYFUNCTION("""COMPUTED_VALUE"""),5.4)</f>
        <v>5.4</v>
      </c>
    </row>
    <row r="686">
      <c r="A686" s="13" t="str">
        <f>IFERROR(__xludf.DUMMYFUNCTION("""COMPUTED_VALUE"""),"послуги")</f>
        <v>послуги</v>
      </c>
      <c r="B686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86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86" s="15" t="str">
        <f>IFERROR(__xludf.DUMMYFUNCTION("""COMPUTED_VALUE"""),"переобладнання автотранспорту")</f>
        <v>переобладнання автотранспорту</v>
      </c>
      <c r="E686" s="15" t="str">
        <f>IFERROR(__xludf.DUMMYFUNCTION("""COMPUTED_VALUE"""),"переобладнання автотранспорту")</f>
        <v>переобладнання автотранспорту</v>
      </c>
      <c r="F686" s="17">
        <f>IFERROR(__xludf.DUMMYFUNCTION("""COMPUTED_VALUE"""),3.0)</f>
        <v>3</v>
      </c>
      <c r="G686" s="17">
        <f>IFERROR(__xludf.DUMMYFUNCTION("""COMPUTED_VALUE"""),282368.0)</f>
        <v>282368</v>
      </c>
      <c r="H686" s="17" t="str">
        <f>IFERROR(__xludf.DUMMYFUNCTION("""COMPUTED_VALUE"""),"переобладнання автотранспорту")</f>
        <v>переобладнання автотранспорту</v>
      </c>
      <c r="I686" s="18">
        <f>IFERROR(__xludf.DUMMYFUNCTION("""COMPUTED_VALUE"""),1.08)</f>
        <v>1.08</v>
      </c>
      <c r="J686" s="18">
        <f>IFERROR(__xludf.DUMMYFUNCTION("""COMPUTED_VALUE"""),2.16)</f>
        <v>2.16</v>
      </c>
      <c r="K686" s="18">
        <f>IFERROR(__xludf.DUMMYFUNCTION("""COMPUTED_VALUE"""),2.7)</f>
        <v>2.7</v>
      </c>
      <c r="L686" s="18">
        <f>IFERROR(__xludf.DUMMYFUNCTION("""COMPUTED_VALUE"""),4.33)</f>
        <v>4.33</v>
      </c>
    </row>
    <row r="687">
      <c r="A687" s="13" t="str">
        <f>IFERROR(__xludf.DUMMYFUNCTION("""COMPUTED_VALUE"""),"послуги")</f>
        <v>послуги</v>
      </c>
      <c r="B687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87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87" s="15" t="str">
        <f>IFERROR(__xludf.DUMMYFUNCTION("""COMPUTED_VALUE"""),"послуги з обслуговування автотранспорту, загальне")</f>
        <v>послуги з обслуговування автотранспорту, загальне</v>
      </c>
      <c r="E687" s="15" t="str">
        <f>IFERROR(__xludf.DUMMYFUNCTION("""COMPUTED_VALUE"""),"послуги з обслуговування автотранспорту, загальне")</f>
        <v>послуги з обслуговування автотранспорту, загальне</v>
      </c>
      <c r="F687" s="17">
        <f>IFERROR(__xludf.DUMMYFUNCTION("""COMPUTED_VALUE"""),3.0)</f>
        <v>3</v>
      </c>
      <c r="G687" s="17">
        <f>IFERROR(__xludf.DUMMYFUNCTION("""COMPUTED_VALUE"""),282325.0)</f>
        <v>282325</v>
      </c>
      <c r="H687" s="17" t="str">
        <f>IFERROR(__xludf.DUMMYFUNCTION("""COMPUTED_VALUE"""),"послуги з обслуговування автотранспорту, загальне")</f>
        <v>послуги з обслуговування автотранспорту, загальне</v>
      </c>
      <c r="I687" s="18">
        <f>IFERROR(__xludf.DUMMYFUNCTION("""COMPUTED_VALUE"""),2.16)</f>
        <v>2.16</v>
      </c>
      <c r="J687" s="18">
        <f>IFERROR(__xludf.DUMMYFUNCTION("""COMPUTED_VALUE"""),4.33)</f>
        <v>4.33</v>
      </c>
      <c r="K687" s="18">
        <f>IFERROR(__xludf.DUMMYFUNCTION("""COMPUTED_VALUE"""),5.41)</f>
        <v>5.41</v>
      </c>
      <c r="L687" s="18">
        <f>IFERROR(__xludf.DUMMYFUNCTION("""COMPUTED_VALUE"""),8.65)</f>
        <v>8.65</v>
      </c>
    </row>
    <row r="688">
      <c r="A688" s="13" t="str">
        <f>IFERROR(__xludf.DUMMYFUNCTION("""COMPUTED_VALUE"""),"послуги")</f>
        <v>послуги</v>
      </c>
      <c r="B688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88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88" s="15" t="str">
        <f>IFERROR(__xludf.DUMMYFUNCTION("""COMPUTED_VALUE"""),"ремонт і заміна автоскла")</f>
        <v>ремонт і заміна автоскла</v>
      </c>
      <c r="E688" s="15" t="str">
        <f>IFERROR(__xludf.DUMMYFUNCTION("""COMPUTED_VALUE"""),"ремонт і заміна автоскла")</f>
        <v>ремонт і заміна автоскла</v>
      </c>
      <c r="F688" s="17">
        <f>IFERROR(__xludf.DUMMYFUNCTION("""COMPUTED_VALUE"""),3.0)</f>
        <v>3</v>
      </c>
      <c r="G688" s="17">
        <f>IFERROR(__xludf.DUMMYFUNCTION("""COMPUTED_VALUE"""),282346.0)</f>
        <v>282346</v>
      </c>
      <c r="H688" s="17" t="str">
        <f>IFERROR(__xludf.DUMMYFUNCTION("""COMPUTED_VALUE"""),"ремонт і заміна автоскла")</f>
        <v>ремонт і заміна автоскла</v>
      </c>
      <c r="I688" s="18">
        <f>IFERROR(__xludf.DUMMYFUNCTION("""COMPUTED_VALUE"""),1.35)</f>
        <v>1.35</v>
      </c>
      <c r="J688" s="18">
        <f>IFERROR(__xludf.DUMMYFUNCTION("""COMPUTED_VALUE"""),2.7)</f>
        <v>2.7</v>
      </c>
      <c r="K688" s="18">
        <f>IFERROR(__xludf.DUMMYFUNCTION("""COMPUTED_VALUE"""),3.38)</f>
        <v>3.38</v>
      </c>
      <c r="L688" s="18">
        <f>IFERROR(__xludf.DUMMYFUNCTION("""COMPUTED_VALUE"""),5.4)</f>
        <v>5.4</v>
      </c>
    </row>
    <row r="689">
      <c r="A689" s="13" t="str">
        <f>IFERROR(__xludf.DUMMYFUNCTION("""COMPUTED_VALUE"""),"послуги")</f>
        <v>послуги</v>
      </c>
      <c r="B689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89" s="15" t="str">
        <f>IFERROR(__xludf.DUMMYFUNCTION("""COMPUTED_VALUE"""),"ремонт обладнання для сфери обслуговування")</f>
        <v>ремонт обладнання для сфери обслуговування</v>
      </c>
      <c r="D689" s="15" t="str">
        <f>IFERROR(__xludf.DUMMYFUNCTION("""COMPUTED_VALUE"""),"ремонт обладнання для сфери обслуговування")</f>
        <v>ремонт обладнання для сфери обслуговування</v>
      </c>
      <c r="E689" s="15" t="str">
        <f>IFERROR(__xludf.DUMMYFUNCTION("""COMPUTED_VALUE"""),"ремонт обладнання для сфери обслуговування")</f>
        <v>ремонт обладнання для сфери обслуговування</v>
      </c>
      <c r="F689" s="17">
        <f>IFERROR(__xludf.DUMMYFUNCTION("""COMPUTED_VALUE"""),2.0)</f>
        <v>2</v>
      </c>
      <c r="G689" s="17">
        <f>IFERROR(__xludf.DUMMYFUNCTION("""COMPUTED_VALUE"""),282309.0)</f>
        <v>282309</v>
      </c>
      <c r="H689" s="17" t="str">
        <f>IFERROR(__xludf.DUMMYFUNCTION("""COMPUTED_VALUE"""),"ремонт обладнання для сфери обслуговування")</f>
        <v>ремонт обладнання для сфери обслуговування</v>
      </c>
      <c r="I689" s="18">
        <f>IFERROR(__xludf.DUMMYFUNCTION("""COMPUTED_VALUE"""),1.35)</f>
        <v>1.35</v>
      </c>
      <c r="J689" s="18">
        <f>IFERROR(__xludf.DUMMYFUNCTION("""COMPUTED_VALUE"""),2.7)</f>
        <v>2.7</v>
      </c>
      <c r="K689" s="18">
        <f>IFERROR(__xludf.DUMMYFUNCTION("""COMPUTED_VALUE"""),3.38)</f>
        <v>3.38</v>
      </c>
      <c r="L689" s="18">
        <f>IFERROR(__xludf.DUMMYFUNCTION("""COMPUTED_VALUE"""),5.4)</f>
        <v>5.4</v>
      </c>
    </row>
    <row r="690">
      <c r="A690" s="13" t="str">
        <f>IFERROR(__xludf.DUMMYFUNCTION("""COMPUTED_VALUE"""),"послуги")</f>
        <v>послуги</v>
      </c>
      <c r="B690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0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90" s="15" t="str">
        <f>IFERROR(__xludf.DUMMYFUNCTION("""COMPUTED_VALUE"""),"ремонт та діагностика рульового управління")</f>
        <v>ремонт та діагностика рульового управління</v>
      </c>
      <c r="E690" s="15" t="str">
        <f>IFERROR(__xludf.DUMMYFUNCTION("""COMPUTED_VALUE"""),"ремонт та діагностика рульового управління")</f>
        <v>ремонт та діагностика рульового управління</v>
      </c>
      <c r="F690" s="17">
        <f>IFERROR(__xludf.DUMMYFUNCTION("""COMPUTED_VALUE"""),3.0)</f>
        <v>3</v>
      </c>
      <c r="G690" s="17">
        <f>IFERROR(__xludf.DUMMYFUNCTION("""COMPUTED_VALUE"""),282512.0)</f>
        <v>282512</v>
      </c>
      <c r="H690" s="17" t="str">
        <f>IFERROR(__xludf.DUMMYFUNCTION("""COMPUTED_VALUE"""),"ремонт та діагностика рульового управління")</f>
        <v>ремонт та діагностика рульового управління</v>
      </c>
      <c r="I690" s="18">
        <f>IFERROR(__xludf.DUMMYFUNCTION("""COMPUTED_VALUE"""),1.84)</f>
        <v>1.84</v>
      </c>
      <c r="J690" s="18">
        <f>IFERROR(__xludf.DUMMYFUNCTION("""COMPUTED_VALUE"""),3.69)</f>
        <v>3.69</v>
      </c>
      <c r="K690" s="18">
        <f>IFERROR(__xludf.DUMMYFUNCTION("""COMPUTED_VALUE"""),4.61)</f>
        <v>4.61</v>
      </c>
      <c r="L690" s="18">
        <f>IFERROR(__xludf.DUMMYFUNCTION("""COMPUTED_VALUE"""),7.38)</f>
        <v>7.38</v>
      </c>
    </row>
    <row r="691">
      <c r="A691" s="13" t="str">
        <f>IFERROR(__xludf.DUMMYFUNCTION("""COMPUTED_VALUE"""),"послуги")</f>
        <v>послуги</v>
      </c>
      <c r="B691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1" s="15" t="str">
        <f>IFERROR(__xludf.DUMMYFUNCTION("""COMPUTED_VALUE"""),"ремонт та обслуговування офісної техніки")</f>
        <v>ремонт та обслуговування офісної техніки</v>
      </c>
      <c r="D691" s="15" t="str">
        <f>IFERROR(__xludf.DUMMYFUNCTION("""COMPUTED_VALUE"""),"ремонт та обслуговування офісної техніки")</f>
        <v>ремонт та обслуговування офісної техніки</v>
      </c>
      <c r="E691" s="15" t="str">
        <f>IFERROR(__xludf.DUMMYFUNCTION("""COMPUTED_VALUE"""),"ремонт та обслуговування офісної техніки")</f>
        <v>ремонт та обслуговування офісної техніки</v>
      </c>
      <c r="F691" s="17">
        <f>IFERROR(__xludf.DUMMYFUNCTION("""COMPUTED_VALUE"""),2.0)</f>
        <v>2</v>
      </c>
      <c r="G691" s="17">
        <f>IFERROR(__xludf.DUMMYFUNCTION("""COMPUTED_VALUE"""),282335.0)</f>
        <v>282335</v>
      </c>
      <c r="H691" s="17" t="str">
        <f>IFERROR(__xludf.DUMMYFUNCTION("""COMPUTED_VALUE"""),"ремонт та обслуговування офісної техніки")</f>
        <v>ремонт та обслуговування офісної техніки</v>
      </c>
      <c r="I691" s="18">
        <f>IFERROR(__xludf.DUMMYFUNCTION("""COMPUTED_VALUE"""),1.95)</f>
        <v>1.95</v>
      </c>
      <c r="J691" s="18">
        <f>IFERROR(__xludf.DUMMYFUNCTION("""COMPUTED_VALUE"""),3.9)</f>
        <v>3.9</v>
      </c>
      <c r="K691" s="18">
        <f>IFERROR(__xludf.DUMMYFUNCTION("""COMPUTED_VALUE"""),4.88)</f>
        <v>4.88</v>
      </c>
      <c r="L691" s="18">
        <f>IFERROR(__xludf.DUMMYFUNCTION("""COMPUTED_VALUE"""),7.8)</f>
        <v>7.8</v>
      </c>
    </row>
    <row r="692">
      <c r="A692" s="13" t="str">
        <f>IFERROR(__xludf.DUMMYFUNCTION("""COMPUTED_VALUE"""),"послуги")</f>
        <v>послуги</v>
      </c>
      <c r="B692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2" s="15" t="str">
        <f>IFERROR(__xludf.DUMMYFUNCTION("""COMPUTED_VALUE"""),"ремонт та обслуговування промислового обладнання")</f>
        <v>ремонт та обслуговування промислового обладнання</v>
      </c>
      <c r="D692" s="15" t="str">
        <f>IFERROR(__xludf.DUMMYFUNCTION("""COMPUTED_VALUE"""),"ремонт та обслуговування промислового обладнання")</f>
        <v>ремонт та обслуговування промислового обладнання</v>
      </c>
      <c r="E692" s="15" t="str">
        <f>IFERROR(__xludf.DUMMYFUNCTION("""COMPUTED_VALUE"""),"ремонт та обслуговування промислового обладнання")</f>
        <v>ремонт та обслуговування промислового обладнання</v>
      </c>
      <c r="F692" s="17">
        <f>IFERROR(__xludf.DUMMYFUNCTION("""COMPUTED_VALUE"""),2.0)</f>
        <v>2</v>
      </c>
      <c r="G692" s="17">
        <f>IFERROR(__xludf.DUMMYFUNCTION("""COMPUTED_VALUE"""),2.8200105E7)</f>
        <v>28200105</v>
      </c>
      <c r="H692" s="17" t="str">
        <f>IFERROR(__xludf.DUMMYFUNCTION("""COMPUTED_VALUE"""),"ремонт та обслуговування промислового обладнання")</f>
        <v>ремонт та обслуговування промислового обладнання</v>
      </c>
      <c r="I692" s="18">
        <f>IFERROR(__xludf.DUMMYFUNCTION("""COMPUTED_VALUE"""),1.44)</f>
        <v>1.44</v>
      </c>
      <c r="J692" s="18">
        <f>IFERROR(__xludf.DUMMYFUNCTION("""COMPUTED_VALUE"""),2.88)</f>
        <v>2.88</v>
      </c>
      <c r="K692" s="18">
        <f>IFERROR(__xludf.DUMMYFUNCTION("""COMPUTED_VALUE"""),3.59)</f>
        <v>3.59</v>
      </c>
      <c r="L692" s="18">
        <f>IFERROR(__xludf.DUMMYFUNCTION("""COMPUTED_VALUE"""),5.75)</f>
        <v>5.75</v>
      </c>
    </row>
    <row r="693">
      <c r="A693" s="13" t="str">
        <f>IFERROR(__xludf.DUMMYFUNCTION("""COMPUTED_VALUE"""),"послуги")</f>
        <v>послуги</v>
      </c>
      <c r="B693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3" s="15" t="str">
        <f>IFERROR(__xludf.DUMMYFUNCTION("""COMPUTED_VALUE"""),"ремонт та технічне обслуговування вантажівок")</f>
        <v>ремонт та технічне обслуговування вантажівок</v>
      </c>
      <c r="D693" s="15" t="str">
        <f>IFERROR(__xludf.DUMMYFUNCTION("""COMPUTED_VALUE"""),"ремонт та технічне обслуговування вантажівок")</f>
        <v>ремонт та технічне обслуговування вантажівок</v>
      </c>
      <c r="E693" s="15" t="str">
        <f>IFERROR(__xludf.DUMMYFUNCTION("""COMPUTED_VALUE"""),"ремонт та технічне обслуговування вантажівок")</f>
        <v>ремонт та технічне обслуговування вантажівок</v>
      </c>
      <c r="F693" s="17">
        <f>IFERROR(__xludf.DUMMYFUNCTION("""COMPUTED_VALUE"""),2.0)</f>
        <v>2</v>
      </c>
      <c r="G693" s="17">
        <f>IFERROR(__xludf.DUMMYFUNCTION("""COMPUTED_VALUE"""),282305.0)</f>
        <v>282305</v>
      </c>
      <c r="H693" s="17" t="str">
        <f>IFERROR(__xludf.DUMMYFUNCTION("""COMPUTED_VALUE"""),"ремонт та технічне обслуговування вантажівок")</f>
        <v>ремонт та технічне обслуговування вантажівок</v>
      </c>
      <c r="I693" s="18">
        <f>IFERROR(__xludf.DUMMYFUNCTION("""COMPUTED_VALUE"""),2.03)</f>
        <v>2.03</v>
      </c>
      <c r="J693" s="18">
        <f>IFERROR(__xludf.DUMMYFUNCTION("""COMPUTED_VALUE"""),4.05)</f>
        <v>4.05</v>
      </c>
      <c r="K693" s="18">
        <f>IFERROR(__xludf.DUMMYFUNCTION("""COMPUTED_VALUE"""),5.06)</f>
        <v>5.06</v>
      </c>
      <c r="L693" s="18">
        <f>IFERROR(__xludf.DUMMYFUNCTION("""COMPUTED_VALUE"""),8.1)</f>
        <v>8.1</v>
      </c>
    </row>
    <row r="694">
      <c r="A694" s="13" t="str">
        <f>IFERROR(__xludf.DUMMYFUNCTION("""COMPUTED_VALUE"""),"послуги")</f>
        <v>послуги</v>
      </c>
      <c r="B694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4" s="15" t="str">
        <f>IFERROR(__xludf.DUMMYFUNCTION("""COMPUTED_VALUE"""),"ремонт та технічне обслуговування спецтехніки")</f>
        <v>ремонт та технічне обслуговування спецтехніки</v>
      </c>
      <c r="D694" s="15" t="str">
        <f>IFERROR(__xludf.DUMMYFUNCTION("""COMPUTED_VALUE"""),"ремонт та технічне обслуговування спецтехніки")</f>
        <v>ремонт та технічне обслуговування спецтехніки</v>
      </c>
      <c r="E694" s="15" t="str">
        <f>IFERROR(__xludf.DUMMYFUNCTION("""COMPUTED_VALUE"""),"ремонт та технічне обслуговування спецтехніки")</f>
        <v>ремонт та технічне обслуговування спецтехніки</v>
      </c>
      <c r="F694" s="17">
        <f>IFERROR(__xludf.DUMMYFUNCTION("""COMPUTED_VALUE"""),2.0)</f>
        <v>2</v>
      </c>
      <c r="G694" s="17">
        <f>IFERROR(__xludf.DUMMYFUNCTION("""COMPUTED_VALUE"""),282303.0)</f>
        <v>282303</v>
      </c>
      <c r="H694" s="17" t="str">
        <f>IFERROR(__xludf.DUMMYFUNCTION("""COMPUTED_VALUE"""),"ремонт та технічне обслуговування спецтехніки")</f>
        <v>ремонт та технічне обслуговування спецтехніки</v>
      </c>
      <c r="I694" s="18">
        <f>IFERROR(__xludf.DUMMYFUNCTION("""COMPUTED_VALUE"""),2.7)</f>
        <v>2.7</v>
      </c>
      <c r="J694" s="18">
        <f>IFERROR(__xludf.DUMMYFUNCTION("""COMPUTED_VALUE"""),5.4)</f>
        <v>5.4</v>
      </c>
      <c r="K694" s="18">
        <f>IFERROR(__xludf.DUMMYFUNCTION("""COMPUTED_VALUE"""),6.75)</f>
        <v>6.75</v>
      </c>
      <c r="L694" s="18">
        <f>IFERROR(__xludf.DUMMYFUNCTION("""COMPUTED_VALUE"""),10.8)</f>
        <v>10.8</v>
      </c>
    </row>
    <row r="695">
      <c r="A695" s="13" t="str">
        <f>IFERROR(__xludf.DUMMYFUNCTION("""COMPUTED_VALUE"""),"послуги")</f>
        <v>послуги</v>
      </c>
      <c r="B695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5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95" s="15" t="str">
        <f>IFERROR(__xludf.DUMMYFUNCTION("""COMPUTED_VALUE"""),"технічне обслуговування (то) автомобілів")</f>
        <v>технічне обслуговування (то) автомобілів</v>
      </c>
      <c r="E695" s="15" t="str">
        <f>IFERROR(__xludf.DUMMYFUNCTION("""COMPUTED_VALUE"""),"технічне обслуговування (то) автомобілів")</f>
        <v>технічне обслуговування (то) автомобілів</v>
      </c>
      <c r="F695" s="17">
        <f>IFERROR(__xludf.DUMMYFUNCTION("""COMPUTED_VALUE"""),3.0)</f>
        <v>3</v>
      </c>
      <c r="G695" s="17">
        <f>IFERROR(__xludf.DUMMYFUNCTION("""COMPUTED_VALUE"""),282380.0)</f>
        <v>282380</v>
      </c>
      <c r="H695" s="17" t="str">
        <f>IFERROR(__xludf.DUMMYFUNCTION("""COMPUTED_VALUE"""),"технічне обслуговування (то) автомобілів")</f>
        <v>технічне обслуговування (то) автомобілів</v>
      </c>
      <c r="I695" s="18">
        <f>IFERROR(__xludf.DUMMYFUNCTION("""COMPUTED_VALUE"""),0.76)</f>
        <v>0.76</v>
      </c>
      <c r="J695" s="18">
        <f>IFERROR(__xludf.DUMMYFUNCTION("""COMPUTED_VALUE"""),1.53)</f>
        <v>1.53</v>
      </c>
      <c r="K695" s="18">
        <f>IFERROR(__xludf.DUMMYFUNCTION("""COMPUTED_VALUE"""),1.91)</f>
        <v>1.91</v>
      </c>
      <c r="L695" s="18">
        <f>IFERROR(__xludf.DUMMYFUNCTION("""COMPUTED_VALUE"""),3.05)</f>
        <v>3.05</v>
      </c>
    </row>
    <row r="696">
      <c r="A696" s="13" t="str">
        <f>IFERROR(__xludf.DUMMYFUNCTION("""COMPUTED_VALUE"""),"послуги")</f>
        <v>послуги</v>
      </c>
      <c r="B696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6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96" s="15" t="str">
        <f>IFERROR(__xludf.DUMMYFUNCTION("""COMPUTED_VALUE"""),"тюнінг та стайлінг автотранспорту")</f>
        <v>тюнінг та стайлінг автотранспорту</v>
      </c>
      <c r="E696" s="15" t="str">
        <f>IFERROR(__xludf.DUMMYFUNCTION("""COMPUTED_VALUE"""),"тюнінг та стайлінг автотранспорту")</f>
        <v>тюнінг та стайлінг автотранспорту</v>
      </c>
      <c r="F696" s="17">
        <f>IFERROR(__xludf.DUMMYFUNCTION("""COMPUTED_VALUE"""),3.0)</f>
        <v>3</v>
      </c>
      <c r="G696" s="17">
        <f>IFERROR(__xludf.DUMMYFUNCTION("""COMPUTED_VALUE"""),282391.0)</f>
        <v>282391</v>
      </c>
      <c r="H696" s="17" t="str">
        <f>IFERROR(__xludf.DUMMYFUNCTION("""COMPUTED_VALUE"""),"тюнінг та стайлінг автотранспорту")</f>
        <v>тюнінг та стайлінг автотранспорту</v>
      </c>
      <c r="I696" s="18">
        <f>IFERROR(__xludf.DUMMYFUNCTION("""COMPUTED_VALUE"""),0.9)</f>
        <v>0.9</v>
      </c>
      <c r="J696" s="18">
        <f>IFERROR(__xludf.DUMMYFUNCTION("""COMPUTED_VALUE"""),1.8)</f>
        <v>1.8</v>
      </c>
      <c r="K696" s="18">
        <f>IFERROR(__xludf.DUMMYFUNCTION("""COMPUTED_VALUE"""),2.25)</f>
        <v>2.25</v>
      </c>
      <c r="L696" s="18">
        <f>IFERROR(__xludf.DUMMYFUNCTION("""COMPUTED_VALUE"""),3.6)</f>
        <v>3.6</v>
      </c>
    </row>
    <row r="697">
      <c r="A697" s="13" t="str">
        <f>IFERROR(__xludf.DUMMYFUNCTION("""COMPUTED_VALUE"""),"послуги")</f>
        <v>послуги</v>
      </c>
      <c r="B697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7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97" s="15" t="str">
        <f>IFERROR(__xludf.DUMMYFUNCTION("""COMPUTED_VALUE"""),"шиномонтаж та балансування")</f>
        <v>шиномонтаж та балансування</v>
      </c>
      <c r="E697" s="15" t="str">
        <f>IFERROR(__xludf.DUMMYFUNCTION("""COMPUTED_VALUE"""),"шиномонтаж та балансування")</f>
        <v>шиномонтаж та балансування</v>
      </c>
      <c r="F697" s="17">
        <f>IFERROR(__xludf.DUMMYFUNCTION("""COMPUTED_VALUE"""),3.0)</f>
        <v>3</v>
      </c>
      <c r="G697" s="17">
        <f>IFERROR(__xludf.DUMMYFUNCTION("""COMPUTED_VALUE"""),282316.0)</f>
        <v>282316</v>
      </c>
      <c r="H697" s="17" t="str">
        <f>IFERROR(__xludf.DUMMYFUNCTION("""COMPUTED_VALUE"""),"шиномонтаж та балансування")</f>
        <v>шиномонтаж та балансування</v>
      </c>
      <c r="I697" s="18">
        <f>IFERROR(__xludf.DUMMYFUNCTION("""COMPUTED_VALUE"""),1.04)</f>
        <v>1.04</v>
      </c>
      <c r="J697" s="18">
        <f>IFERROR(__xludf.DUMMYFUNCTION("""COMPUTED_VALUE"""),2.08)</f>
        <v>2.08</v>
      </c>
      <c r="K697" s="18">
        <f>IFERROR(__xludf.DUMMYFUNCTION("""COMPUTED_VALUE"""),2.59)</f>
        <v>2.59</v>
      </c>
      <c r="L697" s="18">
        <f>IFERROR(__xludf.DUMMYFUNCTION("""COMPUTED_VALUE"""),4.15)</f>
        <v>4.15</v>
      </c>
    </row>
    <row r="698">
      <c r="A698" s="13" t="str">
        <f>IFERROR(__xludf.DUMMYFUNCTION("""COMPUTED_VALUE"""),"товари")</f>
        <v>товари</v>
      </c>
      <c r="B698" s="13" t="str">
        <f>IFERROR(__xludf.DUMMYFUNCTION("""COMPUTED_VALUE"""),"сировина та матеріали")</f>
        <v>сировина та матеріали</v>
      </c>
      <c r="C698" s="15" t="str">
        <f>IFERROR(__xludf.DUMMYFUNCTION("""COMPUTED_VALUE"""),"паливно-енергетична сировина")</f>
        <v>паливно-енергетична сировина</v>
      </c>
      <c r="D698" s="15" t="str">
        <f>IFERROR(__xludf.DUMMYFUNCTION("""COMPUTED_VALUE"""),"тверде паливо")</f>
        <v>тверде паливо</v>
      </c>
      <c r="E698" s="15" t="str">
        <f>IFERROR(__xludf.DUMMYFUNCTION("""COMPUTED_VALUE"""),"вугілля")</f>
        <v>вугілля</v>
      </c>
      <c r="F698" s="17">
        <f>IFERROR(__xludf.DUMMYFUNCTION("""COMPUTED_VALUE"""),4.0)</f>
        <v>4</v>
      </c>
      <c r="G698" s="17">
        <f>IFERROR(__xludf.DUMMYFUNCTION("""COMPUTED_VALUE"""),1002.0)</f>
        <v>1002</v>
      </c>
      <c r="H698" s="17" t="str">
        <f>IFERROR(__xludf.DUMMYFUNCTION("""COMPUTED_VALUE"""),"вугілля")</f>
        <v>вугілля</v>
      </c>
      <c r="I698" s="18">
        <f>IFERROR(__xludf.DUMMYFUNCTION("""COMPUTED_VALUE"""),2.7)</f>
        <v>2.7</v>
      </c>
      <c r="J698" s="18">
        <f>IFERROR(__xludf.DUMMYFUNCTION("""COMPUTED_VALUE"""),5.4)</f>
        <v>5.4</v>
      </c>
      <c r="K698" s="18">
        <f>IFERROR(__xludf.DUMMYFUNCTION("""COMPUTED_VALUE"""),6.75)</f>
        <v>6.75</v>
      </c>
      <c r="L698" s="18">
        <f>IFERROR(__xludf.DUMMYFUNCTION("""COMPUTED_VALUE"""),10.8)</f>
        <v>10.8</v>
      </c>
    </row>
    <row r="699">
      <c r="A699" s="13" t="str">
        <f>IFERROR(__xludf.DUMMYFUNCTION("""COMPUTED_VALUE"""),"товари")</f>
        <v>товари</v>
      </c>
      <c r="B699" s="13" t="str">
        <f>IFERROR(__xludf.DUMMYFUNCTION("""COMPUTED_VALUE"""),"сировина та матеріали")</f>
        <v>сировина та матеріали</v>
      </c>
      <c r="C699" s="15" t="str">
        <f>IFERROR(__xludf.DUMMYFUNCTION("""COMPUTED_VALUE"""),"паливно-енергетична сировина")</f>
        <v>паливно-енергетична сировина</v>
      </c>
      <c r="D699" s="15" t="str">
        <f>IFERROR(__xludf.DUMMYFUNCTION("""COMPUTED_VALUE"""),"рідке паливо")</f>
        <v>рідке паливо</v>
      </c>
      <c r="E699" s="15" t="str">
        <f>IFERROR(__xludf.DUMMYFUNCTION("""COMPUTED_VALUE"""),"дизельне паливо")</f>
        <v>дизельне паливо</v>
      </c>
      <c r="F699" s="17">
        <f>IFERROR(__xludf.DUMMYFUNCTION("""COMPUTED_VALUE"""),4.0)</f>
        <v>4</v>
      </c>
      <c r="G699" s="17">
        <f>IFERROR(__xludf.DUMMYFUNCTION("""COMPUTED_VALUE"""),1.0010301E7)</f>
        <v>10010301</v>
      </c>
      <c r="H699" s="17" t="str">
        <f>IFERROR(__xludf.DUMMYFUNCTION("""COMPUTED_VALUE"""),"дизельне паливо")</f>
        <v>дизельне паливо</v>
      </c>
      <c r="I699" s="18">
        <f>IFERROR(__xludf.DUMMYFUNCTION("""COMPUTED_VALUE"""),0.86)</f>
        <v>0.86</v>
      </c>
      <c r="J699" s="18">
        <f>IFERROR(__xludf.DUMMYFUNCTION("""COMPUTED_VALUE"""),1.71)</f>
        <v>1.71</v>
      </c>
      <c r="K699" s="18">
        <f>IFERROR(__xludf.DUMMYFUNCTION("""COMPUTED_VALUE"""),2.14)</f>
        <v>2.14</v>
      </c>
      <c r="L699" s="18">
        <f>IFERROR(__xludf.DUMMYFUNCTION("""COMPUTED_VALUE"""),3.43)</f>
        <v>3.43</v>
      </c>
    </row>
    <row r="700">
      <c r="A700" s="13" t="str">
        <f>IFERROR(__xludf.DUMMYFUNCTION("""COMPUTED_VALUE"""),"товари")</f>
        <v>товари</v>
      </c>
      <c r="B700" s="13" t="str">
        <f>IFERROR(__xludf.DUMMYFUNCTION("""COMPUTED_VALUE"""),"сировина та матеріали")</f>
        <v>сировина та матеріали</v>
      </c>
      <c r="C700" s="15" t="str">
        <f>IFERROR(__xludf.DUMMYFUNCTION("""COMPUTED_VALUE"""),"паливно-енергетична сировина")</f>
        <v>паливно-енергетична сировина</v>
      </c>
      <c r="D700" s="15" t="str">
        <f>IFERROR(__xludf.DUMMYFUNCTION("""COMPUTED_VALUE"""),"нафта та нафтопродукти")</f>
        <v>нафта та нафтопродукти</v>
      </c>
      <c r="E700" s="15" t="str">
        <f>IFERROR(__xludf.DUMMYFUNCTION("""COMPUTED_VALUE"""),"кокс")</f>
        <v>кокс</v>
      </c>
      <c r="F700" s="17">
        <f>IFERROR(__xludf.DUMMYFUNCTION("""COMPUTED_VALUE"""),4.0)</f>
        <v>4</v>
      </c>
      <c r="G700" s="17">
        <f>IFERROR(__xludf.DUMMYFUNCTION("""COMPUTED_VALUE"""),100107.0)</f>
        <v>100107</v>
      </c>
      <c r="H700" s="17" t="str">
        <f>IFERROR(__xludf.DUMMYFUNCTION("""COMPUTED_VALUE"""),"кокс")</f>
        <v>кокс</v>
      </c>
      <c r="I700" s="18">
        <f>IFERROR(__xludf.DUMMYFUNCTION("""COMPUTED_VALUE"""),0.99)</f>
        <v>0.99</v>
      </c>
      <c r="J700" s="18">
        <f>IFERROR(__xludf.DUMMYFUNCTION("""COMPUTED_VALUE"""),1.98)</f>
        <v>1.98</v>
      </c>
      <c r="K700" s="18">
        <f>IFERROR(__xludf.DUMMYFUNCTION("""COMPUTED_VALUE"""),2.47)</f>
        <v>2.47</v>
      </c>
      <c r="L700" s="18">
        <f>IFERROR(__xludf.DUMMYFUNCTION("""COMPUTED_VALUE"""),3.95)</f>
        <v>3.95</v>
      </c>
    </row>
    <row r="701">
      <c r="A701" s="13" t="str">
        <f>IFERROR(__xludf.DUMMYFUNCTION("""COMPUTED_VALUE"""),"товари")</f>
        <v>товари</v>
      </c>
      <c r="B701" s="13" t="str">
        <f>IFERROR(__xludf.DUMMYFUNCTION("""COMPUTED_VALUE"""),"сировина та матеріали")</f>
        <v>сировина та матеріали</v>
      </c>
      <c r="C701" s="15" t="str">
        <f>IFERROR(__xludf.DUMMYFUNCTION("""COMPUTED_VALUE"""),"паливно-енергетична сировина")</f>
        <v>паливно-енергетична сировина</v>
      </c>
      <c r="D701" s="15" t="str">
        <f>IFERROR(__xludf.DUMMYFUNCTION("""COMPUTED_VALUE"""),"нафта та нафтопродукти")</f>
        <v>нафта та нафтопродукти</v>
      </c>
      <c r="E701" s="15" t="str">
        <f>IFERROR(__xludf.DUMMYFUNCTION("""COMPUTED_VALUE"""),"нафта")</f>
        <v>нафта</v>
      </c>
      <c r="F701" s="17">
        <f>IFERROR(__xludf.DUMMYFUNCTION("""COMPUTED_VALUE"""),4.0)</f>
        <v>4</v>
      </c>
      <c r="G701" s="17">
        <f>IFERROR(__xludf.DUMMYFUNCTION("""COMPUTED_VALUE"""),100101.0)</f>
        <v>100101</v>
      </c>
      <c r="H701" s="17" t="str">
        <f>IFERROR(__xludf.DUMMYFUNCTION("""COMPUTED_VALUE"""),"нафта")</f>
        <v>нафта</v>
      </c>
      <c r="I701" s="18">
        <f>IFERROR(__xludf.DUMMYFUNCTION("""COMPUTED_VALUE"""),0.99)</f>
        <v>0.99</v>
      </c>
      <c r="J701" s="18">
        <f>IFERROR(__xludf.DUMMYFUNCTION("""COMPUTED_VALUE"""),1.98)</f>
        <v>1.98</v>
      </c>
      <c r="K701" s="18">
        <f>IFERROR(__xludf.DUMMYFUNCTION("""COMPUTED_VALUE"""),2.47)</f>
        <v>2.47</v>
      </c>
      <c r="L701" s="18">
        <f>IFERROR(__xludf.DUMMYFUNCTION("""COMPUTED_VALUE"""),3.95)</f>
        <v>3.95</v>
      </c>
    </row>
    <row r="702">
      <c r="A702" s="13" t="str">
        <f>IFERROR(__xludf.DUMMYFUNCTION("""COMPUTED_VALUE"""),"товари")</f>
        <v>товари</v>
      </c>
      <c r="B702" s="13" t="str">
        <f>IFERROR(__xludf.DUMMYFUNCTION("""COMPUTED_VALUE"""),"сировина та матеріали")</f>
        <v>сировина та матеріали</v>
      </c>
      <c r="C702" s="15" t="str">
        <f>IFERROR(__xludf.DUMMYFUNCTION("""COMPUTED_VALUE"""),"паливно-енергетична сировина")</f>
        <v>паливно-енергетична сировина</v>
      </c>
      <c r="D702" s="15" t="str">
        <f>IFERROR(__xludf.DUMMYFUNCTION("""COMPUTED_VALUE"""),"нафта та нафтопродукти")</f>
        <v>нафта та нафтопродукти</v>
      </c>
      <c r="E702" s="15" t="str">
        <f>IFERROR(__xludf.DUMMYFUNCTION("""COMPUTED_VALUE"""),"нафтопродукти, загальне")</f>
        <v>нафтопродукти, загальне</v>
      </c>
      <c r="F702" s="17">
        <f>IFERROR(__xludf.DUMMYFUNCTION("""COMPUTED_VALUE"""),4.0)</f>
        <v>4</v>
      </c>
      <c r="G702" s="17">
        <f>IFERROR(__xludf.DUMMYFUNCTION("""COMPUTED_VALUE"""),100111.0)</f>
        <v>100111</v>
      </c>
      <c r="H702" s="17" t="str">
        <f>IFERROR(__xludf.DUMMYFUNCTION("""COMPUTED_VALUE"""),"нафтопродукти, загальне")</f>
        <v>нафтопродукти, загальне</v>
      </c>
      <c r="I702" s="18">
        <f>IFERROR(__xludf.DUMMYFUNCTION("""COMPUTED_VALUE"""),2.16)</f>
        <v>2.16</v>
      </c>
      <c r="J702" s="18">
        <f>IFERROR(__xludf.DUMMYFUNCTION("""COMPUTED_VALUE"""),4.33)</f>
        <v>4.33</v>
      </c>
      <c r="K702" s="18">
        <f>IFERROR(__xludf.DUMMYFUNCTION("""COMPUTED_VALUE"""),5.41)</f>
        <v>5.41</v>
      </c>
      <c r="L702" s="18">
        <f>IFERROR(__xludf.DUMMYFUNCTION("""COMPUTED_VALUE"""),8.65)</f>
        <v>8.65</v>
      </c>
    </row>
    <row r="703">
      <c r="A703" s="13" t="str">
        <f>IFERROR(__xludf.DUMMYFUNCTION("""COMPUTED_VALUE"""),"товари")</f>
        <v>товари</v>
      </c>
      <c r="B703" s="13" t="str">
        <f>IFERROR(__xludf.DUMMYFUNCTION("""COMPUTED_VALUE"""),"сировина та матеріали")</f>
        <v>сировина та матеріали</v>
      </c>
      <c r="C703" s="15" t="str">
        <f>IFERROR(__xludf.DUMMYFUNCTION("""COMPUTED_VALUE"""),"паливно-енергетична сировина")</f>
        <v>паливно-енергетична сировина</v>
      </c>
      <c r="D703" s="15" t="str">
        <f>IFERROR(__xludf.DUMMYFUNCTION("""COMPUTED_VALUE"""),"рідке паливо")</f>
        <v>рідке паливо</v>
      </c>
      <c r="E703" s="15" t="str">
        <f>IFERROR(__xludf.DUMMYFUNCTION("""COMPUTED_VALUE"""),"паливо, загальне")</f>
        <v>паливо, загальне</v>
      </c>
      <c r="F703" s="17">
        <f>IFERROR(__xludf.DUMMYFUNCTION("""COMPUTED_VALUE"""),4.0)</f>
        <v>4</v>
      </c>
      <c r="G703" s="17">
        <f>IFERROR(__xludf.DUMMYFUNCTION("""COMPUTED_VALUE"""),1.0010306E7)</f>
        <v>10010306</v>
      </c>
      <c r="H703" s="17" t="str">
        <f>IFERROR(__xludf.DUMMYFUNCTION("""COMPUTED_VALUE"""),"паливо, загальне")</f>
        <v>паливо, загальне</v>
      </c>
      <c r="I703" s="18">
        <f>IFERROR(__xludf.DUMMYFUNCTION("""COMPUTED_VALUE"""),2.16)</f>
        <v>2.16</v>
      </c>
      <c r="J703" s="18">
        <f>IFERROR(__xludf.DUMMYFUNCTION("""COMPUTED_VALUE"""),4.33)</f>
        <v>4.33</v>
      </c>
      <c r="K703" s="18">
        <f>IFERROR(__xludf.DUMMYFUNCTION("""COMPUTED_VALUE"""),5.41)</f>
        <v>5.41</v>
      </c>
      <c r="L703" s="18">
        <f>IFERROR(__xludf.DUMMYFUNCTION("""COMPUTED_VALUE"""),8.65)</f>
        <v>8.65</v>
      </c>
    </row>
    <row r="704">
      <c r="A704" s="13" t="str">
        <f>IFERROR(__xludf.DUMMYFUNCTION("""COMPUTED_VALUE"""),"товари")</f>
        <v>товари</v>
      </c>
      <c r="B704" s="13" t="str">
        <f>IFERROR(__xludf.DUMMYFUNCTION("""COMPUTED_VALUE"""),"сировина та матеріали")</f>
        <v>сировина та матеріали</v>
      </c>
      <c r="C704" s="15" t="str">
        <f>IFERROR(__xludf.DUMMYFUNCTION("""COMPUTED_VALUE"""),"сировина для важкої промисловості")</f>
        <v>сировина для важкої промисловості</v>
      </c>
      <c r="D704" s="15" t="str">
        <f>IFERROR(__xludf.DUMMYFUNCTION("""COMPUTED_VALUE"""),"полімерна сировина")</f>
        <v>полімерна сировина</v>
      </c>
      <c r="E704" s="15" t="str">
        <f>IFERROR(__xludf.DUMMYFUNCTION("""COMPUTED_VALUE"""),"поліетилен")</f>
        <v>поліетилен</v>
      </c>
      <c r="F704" s="17">
        <f>IFERROR(__xludf.DUMMYFUNCTION("""COMPUTED_VALUE"""),4.0)</f>
        <v>4</v>
      </c>
      <c r="G704" s="17">
        <f>IFERROR(__xludf.DUMMYFUNCTION("""COMPUTED_VALUE"""),807007.0)</f>
        <v>807007</v>
      </c>
      <c r="H704" s="17" t="str">
        <f>IFERROR(__xludf.DUMMYFUNCTION("""COMPUTED_VALUE"""),"поліетилен")</f>
        <v>поліетилен</v>
      </c>
      <c r="I704" s="18">
        <f>IFERROR(__xludf.DUMMYFUNCTION("""COMPUTED_VALUE"""),2.11)</f>
        <v>2.11</v>
      </c>
      <c r="J704" s="18">
        <f>IFERROR(__xludf.DUMMYFUNCTION("""COMPUTED_VALUE"""),4.23)</f>
        <v>4.23</v>
      </c>
      <c r="K704" s="18">
        <f>IFERROR(__xludf.DUMMYFUNCTION("""COMPUTED_VALUE"""),5.28)</f>
        <v>5.28</v>
      </c>
      <c r="L704" s="18">
        <f>IFERROR(__xludf.DUMMYFUNCTION("""COMPUTED_VALUE"""),8.45)</f>
        <v>8.45</v>
      </c>
    </row>
    <row r="705">
      <c r="A705" s="13" t="str">
        <f>IFERROR(__xludf.DUMMYFUNCTION("""COMPUTED_VALUE"""),"товари")</f>
        <v>товари</v>
      </c>
      <c r="B705" s="13" t="str">
        <f>IFERROR(__xludf.DUMMYFUNCTION("""COMPUTED_VALUE"""),"сировина та матеріали")</f>
        <v>сировина та матеріали</v>
      </c>
      <c r="C705" s="15" t="str">
        <f>IFERROR(__xludf.DUMMYFUNCTION("""COMPUTED_VALUE"""),"сировина для важкої промисловості")</f>
        <v>сировина для важкої промисловості</v>
      </c>
      <c r="D705" s="15" t="str">
        <f>IFERROR(__xludf.DUMMYFUNCTION("""COMPUTED_VALUE"""),"полімерна сировина")</f>
        <v>полімерна сировина</v>
      </c>
      <c r="E705" s="15" t="str">
        <f>IFERROR(__xludf.DUMMYFUNCTION("""COMPUTED_VALUE"""),"полімери")</f>
        <v>полімери</v>
      </c>
      <c r="F705" s="17">
        <f>IFERROR(__xludf.DUMMYFUNCTION("""COMPUTED_VALUE"""),4.0)</f>
        <v>4</v>
      </c>
      <c r="G705" s="17">
        <f>IFERROR(__xludf.DUMMYFUNCTION("""COMPUTED_VALUE"""),800201.0)</f>
        <v>800201</v>
      </c>
      <c r="H705" s="17" t="str">
        <f>IFERROR(__xludf.DUMMYFUNCTION("""COMPUTED_VALUE"""),"полімери")</f>
        <v>полімери</v>
      </c>
      <c r="I705" s="18">
        <f>IFERROR(__xludf.DUMMYFUNCTION("""COMPUTED_VALUE"""),2.11)</f>
        <v>2.11</v>
      </c>
      <c r="J705" s="18">
        <f>IFERROR(__xludf.DUMMYFUNCTION("""COMPUTED_VALUE"""),4.23)</f>
        <v>4.23</v>
      </c>
      <c r="K705" s="18">
        <f>IFERROR(__xludf.DUMMYFUNCTION("""COMPUTED_VALUE"""),5.28)</f>
        <v>5.28</v>
      </c>
      <c r="L705" s="18">
        <f>IFERROR(__xludf.DUMMYFUNCTION("""COMPUTED_VALUE"""),8.45)</f>
        <v>8.45</v>
      </c>
    </row>
    <row r="706">
      <c r="A706" s="13" t="str">
        <f>IFERROR(__xludf.DUMMYFUNCTION("""COMPUTED_VALUE"""),"товари")</f>
        <v>товари</v>
      </c>
      <c r="B706" s="13" t="str">
        <f>IFERROR(__xludf.DUMMYFUNCTION("""COMPUTED_VALUE"""),"сировина та матеріали")</f>
        <v>сировина та матеріали</v>
      </c>
      <c r="C706" s="15" t="str">
        <f>IFERROR(__xludf.DUMMYFUNCTION("""COMPUTED_VALUE"""),"сировина для важкої промисловості")</f>
        <v>сировина для важкої промисловості</v>
      </c>
      <c r="D706" s="15" t="str">
        <f>IFERROR(__xludf.DUMMYFUNCTION("""COMPUTED_VALUE"""),"полімерна сировина")</f>
        <v>полімерна сировина</v>
      </c>
      <c r="E706" s="15" t="str">
        <f>IFERROR(__xludf.DUMMYFUNCTION("""COMPUTED_VALUE"""),"полістирол")</f>
        <v>полістирол</v>
      </c>
      <c r="F706" s="17">
        <f>IFERROR(__xludf.DUMMYFUNCTION("""COMPUTED_VALUE"""),4.0)</f>
        <v>4</v>
      </c>
      <c r="G706" s="17">
        <f>IFERROR(__xludf.DUMMYFUNCTION("""COMPUTED_VALUE"""),807006.0)</f>
        <v>807006</v>
      </c>
      <c r="H706" s="17" t="str">
        <f>IFERROR(__xludf.DUMMYFUNCTION("""COMPUTED_VALUE"""),"полістирол")</f>
        <v>полістирол</v>
      </c>
      <c r="I706" s="18">
        <f>IFERROR(__xludf.DUMMYFUNCTION("""COMPUTED_VALUE"""),2.11)</f>
        <v>2.11</v>
      </c>
      <c r="J706" s="18">
        <f>IFERROR(__xludf.DUMMYFUNCTION("""COMPUTED_VALUE"""),4.23)</f>
        <v>4.23</v>
      </c>
      <c r="K706" s="18">
        <f>IFERROR(__xludf.DUMMYFUNCTION("""COMPUTED_VALUE"""),5.28)</f>
        <v>5.28</v>
      </c>
      <c r="L706" s="18">
        <f>IFERROR(__xludf.DUMMYFUNCTION("""COMPUTED_VALUE"""),8.45)</f>
        <v>8.45</v>
      </c>
    </row>
    <row r="707">
      <c r="A707" s="13" t="str">
        <f>IFERROR(__xludf.DUMMYFUNCTION("""COMPUTED_VALUE"""),"товари")</f>
        <v>товари</v>
      </c>
      <c r="B707" s="13" t="str">
        <f>IFERROR(__xludf.DUMMYFUNCTION("""COMPUTED_VALUE"""),"сировина та матеріали")</f>
        <v>сировина та матеріали</v>
      </c>
      <c r="C707" s="15" t="str">
        <f>IFERROR(__xludf.DUMMYFUNCTION("""COMPUTED_VALUE"""),"сировина для важкої промисловості")</f>
        <v>сировина для важкої промисловості</v>
      </c>
      <c r="D707" s="15" t="str">
        <f>IFERROR(__xludf.DUMMYFUNCTION("""COMPUTED_VALUE"""),"сировина для металургії")</f>
        <v>сировина для металургії</v>
      </c>
      <c r="E707" s="15" t="str">
        <f>IFERROR(__xludf.DUMMYFUNCTION("""COMPUTED_VALUE"""),"сировина для металургії")</f>
        <v>сировина для металургії</v>
      </c>
      <c r="F707" s="17">
        <f>IFERROR(__xludf.DUMMYFUNCTION("""COMPUTED_VALUE"""),3.0)</f>
        <v>3</v>
      </c>
      <c r="G707" s="17">
        <f>IFERROR(__xludf.DUMMYFUNCTION("""COMPUTED_VALUE"""),905.0)</f>
        <v>905</v>
      </c>
      <c r="H707" s="17" t="str">
        <f>IFERROR(__xludf.DUMMYFUNCTION("""COMPUTED_VALUE"""),"сировина для металургії")</f>
        <v>сировина для металургії</v>
      </c>
      <c r="I707" s="18">
        <f>IFERROR(__xludf.DUMMYFUNCTION("""COMPUTED_VALUE"""),1.62)</f>
        <v>1.62</v>
      </c>
      <c r="J707" s="18">
        <f>IFERROR(__xludf.DUMMYFUNCTION("""COMPUTED_VALUE"""),3.24)</f>
        <v>3.24</v>
      </c>
      <c r="K707" s="18">
        <f>IFERROR(__xludf.DUMMYFUNCTION("""COMPUTED_VALUE"""),4.05)</f>
        <v>4.05</v>
      </c>
      <c r="L707" s="18">
        <f>IFERROR(__xludf.DUMMYFUNCTION("""COMPUTED_VALUE"""),6.48)</f>
        <v>6.48</v>
      </c>
    </row>
    <row r="708">
      <c r="A708" s="13" t="str">
        <f>IFERROR(__xludf.DUMMYFUNCTION("""COMPUTED_VALUE"""),"товари")</f>
        <v>товари</v>
      </c>
      <c r="B708" s="13" t="str">
        <f>IFERROR(__xludf.DUMMYFUNCTION("""COMPUTED_VALUE"""),"сировина та матеріали")</f>
        <v>сировина та матеріали</v>
      </c>
      <c r="C708" s="15" t="str">
        <f>IFERROR(__xludf.DUMMYFUNCTION("""COMPUTED_VALUE"""),"сировина та матеріали, загальне")</f>
        <v>сировина та матеріали, загальне</v>
      </c>
      <c r="D708" s="15" t="str">
        <f>IFERROR(__xludf.DUMMYFUNCTION("""COMPUTED_VALUE"""),"сировина та матеріали, загальне")</f>
        <v>сировина та матеріали, загальне</v>
      </c>
      <c r="E708" s="15" t="str">
        <f>IFERROR(__xludf.DUMMYFUNCTION("""COMPUTED_VALUE"""),"сировина та матеріали, загальне")</f>
        <v>сировина та матеріали, загальне</v>
      </c>
      <c r="F708" s="17">
        <f>IFERROR(__xludf.DUMMYFUNCTION("""COMPUTED_VALUE"""),2.0)</f>
        <v>2</v>
      </c>
      <c r="G708" s="17">
        <f>IFERROR(__xludf.DUMMYFUNCTION("""COMPUTED_VALUE"""),918.0)</f>
        <v>918</v>
      </c>
      <c r="H708" s="17" t="str">
        <f>IFERROR(__xludf.DUMMYFUNCTION("""COMPUTED_VALUE"""),"сировина та матеріали, загальне")</f>
        <v>сировина та матеріали, загальне</v>
      </c>
      <c r="I708" s="18">
        <f>IFERROR(__xludf.DUMMYFUNCTION("""COMPUTED_VALUE"""),2.16)</f>
        <v>2.16</v>
      </c>
      <c r="J708" s="18">
        <f>IFERROR(__xludf.DUMMYFUNCTION("""COMPUTED_VALUE"""),4.33)</f>
        <v>4.33</v>
      </c>
      <c r="K708" s="18">
        <f>IFERROR(__xludf.DUMMYFUNCTION("""COMPUTED_VALUE"""),5.41)</f>
        <v>5.41</v>
      </c>
      <c r="L708" s="18">
        <f>IFERROR(__xludf.DUMMYFUNCTION("""COMPUTED_VALUE"""),8.65)</f>
        <v>8.65</v>
      </c>
    </row>
    <row r="709">
      <c r="A709" s="13" t="str">
        <f>IFERROR(__xludf.DUMMYFUNCTION("""COMPUTED_VALUE"""),"товари")</f>
        <v>товари</v>
      </c>
      <c r="B709" s="13" t="str">
        <f>IFERROR(__xludf.DUMMYFUNCTION("""COMPUTED_VALUE"""),"сировина та матеріали")</f>
        <v>сировина та матеріали</v>
      </c>
      <c r="C709" s="15" t="str">
        <f>IFERROR(__xludf.DUMMYFUNCTION("""COMPUTED_VALUE"""),"сировина для легкої промисловості")</f>
        <v>сировина для легкої промисловості</v>
      </c>
      <c r="D709" s="15" t="str">
        <f>IFERROR(__xludf.DUMMYFUNCTION("""COMPUTED_VALUE"""),"тканини")</f>
        <v>тканини</v>
      </c>
      <c r="E709" s="15" t="str">
        <f>IFERROR(__xludf.DUMMYFUNCTION("""COMPUTED_VALUE"""),"спеціальні тканини")</f>
        <v>спеціальні тканини</v>
      </c>
      <c r="F709" s="17">
        <f>IFERROR(__xludf.DUMMYFUNCTION("""COMPUTED_VALUE"""),4.0)</f>
        <v>4</v>
      </c>
      <c r="G709" s="17">
        <f>IFERROR(__xludf.DUMMYFUNCTION("""COMPUTED_VALUE"""),431.0)</f>
        <v>431</v>
      </c>
      <c r="H709" s="17" t="str">
        <f>IFERROR(__xludf.DUMMYFUNCTION("""COMPUTED_VALUE"""),"спеціальні тканини")</f>
        <v>спеціальні тканини</v>
      </c>
      <c r="I709" s="18">
        <f>IFERROR(__xludf.DUMMYFUNCTION("""COMPUTED_VALUE"""),0.76)</f>
        <v>0.76</v>
      </c>
      <c r="J709" s="18">
        <f>IFERROR(__xludf.DUMMYFUNCTION("""COMPUTED_VALUE"""),1.53)</f>
        <v>1.53</v>
      </c>
      <c r="K709" s="18">
        <f>IFERROR(__xludf.DUMMYFUNCTION("""COMPUTED_VALUE"""),1.91)</f>
        <v>1.91</v>
      </c>
      <c r="L709" s="18">
        <f>IFERROR(__xludf.DUMMYFUNCTION("""COMPUTED_VALUE"""),3.05)</f>
        <v>3.05</v>
      </c>
    </row>
    <row r="710">
      <c r="A710" s="13" t="str">
        <f>IFERROR(__xludf.DUMMYFUNCTION("""COMPUTED_VALUE"""),"товари")</f>
        <v>товари</v>
      </c>
      <c r="B710" s="13" t="str">
        <f>IFERROR(__xludf.DUMMYFUNCTION("""COMPUTED_VALUE"""),"сировина та матеріали")</f>
        <v>сировина та матеріали</v>
      </c>
      <c r="C710" s="15" t="str">
        <f>IFERROR(__xludf.DUMMYFUNCTION("""COMPUTED_VALUE"""),"сировина для важкої промисловості")</f>
        <v>сировина для важкої промисловості</v>
      </c>
      <c r="D710" s="15" t="str">
        <f>IFERROR(__xludf.DUMMYFUNCTION("""COMPUTED_VALUE"""),"полімерна сировина")</f>
        <v>полімерна сировина</v>
      </c>
      <c r="E710" s="15" t="str">
        <f>IFERROR(__xludf.DUMMYFUNCTION("""COMPUTED_VALUE"""),"фторопласти")</f>
        <v>фторопласти</v>
      </c>
      <c r="F710" s="17">
        <f>IFERROR(__xludf.DUMMYFUNCTION("""COMPUTED_VALUE"""),4.0)</f>
        <v>4</v>
      </c>
      <c r="G710" s="17">
        <f>IFERROR(__xludf.DUMMYFUNCTION("""COMPUTED_VALUE"""),80804.0)</f>
        <v>80804</v>
      </c>
      <c r="H710" s="17" t="str">
        <f>IFERROR(__xludf.DUMMYFUNCTION("""COMPUTED_VALUE"""),"фторопласти")</f>
        <v>фторопласти</v>
      </c>
      <c r="I710" s="18">
        <f>IFERROR(__xludf.DUMMYFUNCTION("""COMPUTED_VALUE"""),2.11)</f>
        <v>2.11</v>
      </c>
      <c r="J710" s="18">
        <f>IFERROR(__xludf.DUMMYFUNCTION("""COMPUTED_VALUE"""),4.23)</f>
        <v>4.23</v>
      </c>
      <c r="K710" s="18">
        <f>IFERROR(__xludf.DUMMYFUNCTION("""COMPUTED_VALUE"""),5.28)</f>
        <v>5.28</v>
      </c>
      <c r="L710" s="18">
        <f>IFERROR(__xludf.DUMMYFUNCTION("""COMPUTED_VALUE"""),8.45)</f>
        <v>8.45</v>
      </c>
    </row>
    <row r="711">
      <c r="A711" s="13" t="str">
        <f>IFERROR(__xludf.DUMMYFUNCTION("""COMPUTED_VALUE"""),"товари")</f>
        <v>товари</v>
      </c>
      <c r="B71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1" s="15" t="str">
        <f>IFERROR(__xludf.DUMMYFUNCTION("""COMPUTED_VALUE"""),"сільськогосподарська техніка")</f>
        <v>сільськогосподарська техніка</v>
      </c>
      <c r="D711" s="15" t="str">
        <f>IFERROR(__xludf.DUMMYFUNCTION("""COMPUTED_VALUE"""),"навісне та причіпне сільгоспобладнання")</f>
        <v>навісне та причіпне сільгоспобладнання</v>
      </c>
      <c r="E711" s="15" t="str">
        <f>IFERROR(__xludf.DUMMYFUNCTION("""COMPUTED_VALUE"""),"борони")</f>
        <v>борони</v>
      </c>
      <c r="F711" s="17">
        <f>IFERROR(__xludf.DUMMYFUNCTION("""COMPUTED_VALUE"""),4.0)</f>
        <v>4</v>
      </c>
      <c r="G711" s="17">
        <f>IFERROR(__xludf.DUMMYFUNCTION("""COMPUTED_VALUE"""),1280801.0)</f>
        <v>1280801</v>
      </c>
      <c r="H711" s="17" t="str">
        <f>IFERROR(__xludf.DUMMYFUNCTION("""COMPUTED_VALUE"""),"борони")</f>
        <v>борони</v>
      </c>
      <c r="I711" s="18">
        <f>IFERROR(__xludf.DUMMYFUNCTION("""COMPUTED_VALUE"""),1.88)</f>
        <v>1.88</v>
      </c>
      <c r="J711" s="18">
        <f>IFERROR(__xludf.DUMMYFUNCTION("""COMPUTED_VALUE"""),3.75)</f>
        <v>3.75</v>
      </c>
      <c r="K711" s="18">
        <f>IFERROR(__xludf.DUMMYFUNCTION("""COMPUTED_VALUE"""),4.69)</f>
        <v>4.69</v>
      </c>
      <c r="L711" s="18">
        <f>IFERROR(__xludf.DUMMYFUNCTION("""COMPUTED_VALUE"""),7.5)</f>
        <v>7.5</v>
      </c>
    </row>
    <row r="712">
      <c r="A712" s="13" t="str">
        <f>IFERROR(__xludf.DUMMYFUNCTION("""COMPUTED_VALUE"""),"товари")</f>
        <v>товари</v>
      </c>
      <c r="B71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2" s="15" t="str">
        <f>IFERROR(__xludf.DUMMYFUNCTION("""COMPUTED_VALUE"""),"сільськогосподарське обладнання")</f>
        <v>сільськогосподарське обладнання</v>
      </c>
      <c r="D712" s="15" t="str">
        <f>IFERROR(__xludf.DUMMYFUNCTION("""COMPUTED_VALUE"""),"обладнання для тваринництва")</f>
        <v>обладнання для тваринництва</v>
      </c>
      <c r="E712" s="15" t="str">
        <f>IFERROR(__xludf.DUMMYFUNCTION("""COMPUTED_VALUE"""),"годівниці для сільськогосподарських тварин")</f>
        <v>годівниці для сільськогосподарських тварин</v>
      </c>
      <c r="F712" s="17">
        <f>IFERROR(__xludf.DUMMYFUNCTION("""COMPUTED_VALUE"""),4.0)</f>
        <v>4</v>
      </c>
      <c r="G712" s="17">
        <f>IFERROR(__xludf.DUMMYFUNCTION("""COMPUTED_VALUE"""),13104.0)</f>
        <v>13104</v>
      </c>
      <c r="H712" s="17" t="str">
        <f>IFERROR(__xludf.DUMMYFUNCTION("""COMPUTED_VALUE"""),"годівниці для сільськогосподарських тварин")</f>
        <v>годівниці для сільськогосподарських тварин</v>
      </c>
      <c r="I712" s="18">
        <f>IFERROR(__xludf.DUMMYFUNCTION("""COMPUTED_VALUE"""),1.94)</f>
        <v>1.94</v>
      </c>
      <c r="J712" s="18">
        <f>IFERROR(__xludf.DUMMYFUNCTION("""COMPUTED_VALUE"""),3.88)</f>
        <v>3.88</v>
      </c>
      <c r="K712" s="18">
        <f>IFERROR(__xludf.DUMMYFUNCTION("""COMPUTED_VALUE"""),4.84)</f>
        <v>4.84</v>
      </c>
      <c r="L712" s="18">
        <f>IFERROR(__xludf.DUMMYFUNCTION("""COMPUTED_VALUE"""),7.75)</f>
        <v>7.75</v>
      </c>
    </row>
    <row r="713">
      <c r="A713" s="13" t="str">
        <f>IFERROR(__xludf.DUMMYFUNCTION("""COMPUTED_VALUE"""),"товари")</f>
        <v>товари</v>
      </c>
      <c r="B71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3" s="15" t="str">
        <f>IFERROR(__xludf.DUMMYFUNCTION("""COMPUTED_VALUE"""),"сільськогосподарська техніка")</f>
        <v>сільськогосподарська техніка</v>
      </c>
      <c r="D713" s="15" t="str">
        <f>IFERROR(__xludf.DUMMYFUNCTION("""COMPUTED_VALUE"""),"навісне та причіпне сільгоспобладнання")</f>
        <v>навісне та причіпне сільгоспобладнання</v>
      </c>
      <c r="E713" s="15" t="str">
        <f>IFERROR(__xludf.DUMMYFUNCTION("""COMPUTED_VALUE"""),"грунтообробні агрегати")</f>
        <v>грунтообробні агрегати</v>
      </c>
      <c r="F713" s="17">
        <f>IFERROR(__xludf.DUMMYFUNCTION("""COMPUTED_VALUE"""),4.0)</f>
        <v>4</v>
      </c>
      <c r="G713" s="17">
        <f>IFERROR(__xludf.DUMMYFUNCTION("""COMPUTED_VALUE"""),1280807.0)</f>
        <v>1280807</v>
      </c>
      <c r="H713" s="17" t="str">
        <f>IFERROR(__xludf.DUMMYFUNCTION("""COMPUTED_VALUE"""),"грунтообробні агрегати")</f>
        <v>грунтообробні агрегати</v>
      </c>
      <c r="I713" s="18">
        <f>IFERROR(__xludf.DUMMYFUNCTION("""COMPUTED_VALUE"""),1.88)</f>
        <v>1.88</v>
      </c>
      <c r="J713" s="18">
        <f>IFERROR(__xludf.DUMMYFUNCTION("""COMPUTED_VALUE"""),3.75)</f>
        <v>3.75</v>
      </c>
      <c r="K713" s="18">
        <f>IFERROR(__xludf.DUMMYFUNCTION("""COMPUTED_VALUE"""),4.69)</f>
        <v>4.69</v>
      </c>
      <c r="L713" s="18">
        <f>IFERROR(__xludf.DUMMYFUNCTION("""COMPUTED_VALUE"""),7.5)</f>
        <v>7.5</v>
      </c>
    </row>
    <row r="714">
      <c r="A714" s="13" t="str">
        <f>IFERROR(__xludf.DUMMYFUNCTION("""COMPUTED_VALUE"""),"товари")</f>
        <v>товари</v>
      </c>
      <c r="B71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4" s="15" t="str">
        <f>IFERROR(__xludf.DUMMYFUNCTION("""COMPUTED_VALUE"""),"сільськогосподарське обладнання")</f>
        <v>сільськогосподарське обладнання</v>
      </c>
      <c r="D714" s="15" t="str">
        <f>IFERROR(__xludf.DUMMYFUNCTION("""COMPUTED_VALUE"""),"обладнання для тваринництва")</f>
        <v>обладнання для тваринництва</v>
      </c>
      <c r="E714" s="15" t="str">
        <f>IFERROR(__xludf.DUMMYFUNCTION("""COMPUTED_VALUE"""),"доїльні апарати")</f>
        <v>доїльні апарати</v>
      </c>
      <c r="F714" s="17">
        <f>IFERROR(__xludf.DUMMYFUNCTION("""COMPUTED_VALUE"""),4.0)</f>
        <v>4</v>
      </c>
      <c r="G714" s="17">
        <f>IFERROR(__xludf.DUMMYFUNCTION("""COMPUTED_VALUE"""),13107.0)</f>
        <v>13107</v>
      </c>
      <c r="H714" s="17" t="str">
        <f>IFERROR(__xludf.DUMMYFUNCTION("""COMPUTED_VALUE"""),"доїльні апарати")</f>
        <v>доїльні апарати</v>
      </c>
      <c r="I714" s="18">
        <f>IFERROR(__xludf.DUMMYFUNCTION("""COMPUTED_VALUE"""),1.94)</f>
        <v>1.94</v>
      </c>
      <c r="J714" s="18">
        <f>IFERROR(__xludf.DUMMYFUNCTION("""COMPUTED_VALUE"""),3.88)</f>
        <v>3.88</v>
      </c>
      <c r="K714" s="18">
        <f>IFERROR(__xludf.DUMMYFUNCTION("""COMPUTED_VALUE"""),4.84)</f>
        <v>4.84</v>
      </c>
      <c r="L714" s="18">
        <f>IFERROR(__xludf.DUMMYFUNCTION("""COMPUTED_VALUE"""),7.75)</f>
        <v>7.75</v>
      </c>
    </row>
    <row r="715">
      <c r="A715" s="13" t="str">
        <f>IFERROR(__xludf.DUMMYFUNCTION("""COMPUTED_VALUE"""),"товари")</f>
        <v>товари</v>
      </c>
      <c r="B71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5" s="15" t="str">
        <f>IFERROR(__xludf.DUMMYFUNCTION("""COMPUTED_VALUE"""),"сільськогосподарська техніка")</f>
        <v>сільськогосподарська техніка</v>
      </c>
      <c r="D715" s="15" t="str">
        <f>IFERROR(__xludf.DUMMYFUNCTION("""COMPUTED_VALUE"""),"навісне та причіпне сільгоспобладнання")</f>
        <v>навісне та причіпне сільгоспобладнання</v>
      </c>
      <c r="E715" s="15" t="str">
        <f>IFERROR(__xludf.DUMMYFUNCTION("""COMPUTED_VALUE"""),"жниварки")</f>
        <v>жниварки</v>
      </c>
      <c r="F715" s="17">
        <f>IFERROR(__xludf.DUMMYFUNCTION("""COMPUTED_VALUE"""),4.0)</f>
        <v>4</v>
      </c>
      <c r="G715" s="17">
        <f>IFERROR(__xludf.DUMMYFUNCTION("""COMPUTED_VALUE"""),1280501.0)</f>
        <v>1280501</v>
      </c>
      <c r="H715" s="17" t="str">
        <f>IFERROR(__xludf.DUMMYFUNCTION("""COMPUTED_VALUE"""),"жниварки")</f>
        <v>жниварки</v>
      </c>
      <c r="I715" s="18">
        <f>IFERROR(__xludf.DUMMYFUNCTION("""COMPUTED_VALUE"""),1.88)</f>
        <v>1.88</v>
      </c>
      <c r="J715" s="18">
        <f>IFERROR(__xludf.DUMMYFUNCTION("""COMPUTED_VALUE"""),3.75)</f>
        <v>3.75</v>
      </c>
      <c r="K715" s="18">
        <f>IFERROR(__xludf.DUMMYFUNCTION("""COMPUTED_VALUE"""),4.69)</f>
        <v>4.69</v>
      </c>
      <c r="L715" s="18">
        <f>IFERROR(__xludf.DUMMYFUNCTION("""COMPUTED_VALUE"""),7.5)</f>
        <v>7.5</v>
      </c>
    </row>
    <row r="716">
      <c r="A716" s="13" t="str">
        <f>IFERROR(__xludf.DUMMYFUNCTION("""COMPUTED_VALUE"""),"товари")</f>
        <v>товари</v>
      </c>
      <c r="B71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6" s="15" t="str">
        <f>IFERROR(__xludf.DUMMYFUNCTION("""COMPUTED_VALUE"""),"сільськогосподарське обладнання")</f>
        <v>сільськогосподарське обладнання</v>
      </c>
      <c r="D716" s="15" t="str">
        <f>IFERROR(__xludf.DUMMYFUNCTION("""COMPUTED_VALUE"""),"елеватори та зерносховища")</f>
        <v>елеватори та зерносховища</v>
      </c>
      <c r="E716" s="15" t="str">
        <f>IFERROR(__xludf.DUMMYFUNCTION("""COMPUTED_VALUE"""),"завантажувачі зерна")</f>
        <v>завантажувачі зерна</v>
      </c>
      <c r="F716" s="17">
        <f>IFERROR(__xludf.DUMMYFUNCTION("""COMPUTED_VALUE"""),4.0)</f>
        <v>4</v>
      </c>
      <c r="G716" s="17">
        <f>IFERROR(__xludf.DUMMYFUNCTION("""COMPUTED_VALUE"""),120807.0)</f>
        <v>120807</v>
      </c>
      <c r="H716" s="17" t="str">
        <f>IFERROR(__xludf.DUMMYFUNCTION("""COMPUTED_VALUE"""),"завантажувачі зерна")</f>
        <v>завантажувачі зерна</v>
      </c>
      <c r="I716" s="18">
        <f>IFERROR(__xludf.DUMMYFUNCTION("""COMPUTED_VALUE"""),2.7)</f>
        <v>2.7</v>
      </c>
      <c r="J716" s="18">
        <f>IFERROR(__xludf.DUMMYFUNCTION("""COMPUTED_VALUE"""),5.4)</f>
        <v>5.4</v>
      </c>
      <c r="K716" s="18">
        <f>IFERROR(__xludf.DUMMYFUNCTION("""COMPUTED_VALUE"""),6.75)</f>
        <v>6.75</v>
      </c>
      <c r="L716" s="18">
        <f>IFERROR(__xludf.DUMMYFUNCTION("""COMPUTED_VALUE"""),10.8)</f>
        <v>10.8</v>
      </c>
    </row>
    <row r="717">
      <c r="A717" s="13" t="str">
        <f>IFERROR(__xludf.DUMMYFUNCTION("""COMPUTED_VALUE"""),"товари")</f>
        <v>товари</v>
      </c>
      <c r="B71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7" s="15" t="str">
        <f>IFERROR(__xludf.DUMMYFUNCTION("""COMPUTED_VALUE"""),"сільськогосподарське обладнання")</f>
        <v>сільськогосподарське обладнання</v>
      </c>
      <c r="D717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717" s="15" t="str">
        <f>IFERROR(__xludf.DUMMYFUNCTION("""COMPUTED_VALUE"""),"зерномети")</f>
        <v>зерномети</v>
      </c>
      <c r="F717" s="17">
        <f>IFERROR(__xludf.DUMMYFUNCTION("""COMPUTED_VALUE"""),4.0)</f>
        <v>4</v>
      </c>
      <c r="G717" s="17">
        <f>IFERROR(__xludf.DUMMYFUNCTION("""COMPUTED_VALUE"""),1281003.0)</f>
        <v>1281003</v>
      </c>
      <c r="H717" s="17" t="str">
        <f>IFERROR(__xludf.DUMMYFUNCTION("""COMPUTED_VALUE"""),"зерномети")</f>
        <v>зерномети</v>
      </c>
      <c r="I717" s="18">
        <f>IFERROR(__xludf.DUMMYFUNCTION("""COMPUTED_VALUE"""),2.48)</f>
        <v>2.48</v>
      </c>
      <c r="J717" s="18">
        <f>IFERROR(__xludf.DUMMYFUNCTION("""COMPUTED_VALUE"""),4.95)</f>
        <v>4.95</v>
      </c>
      <c r="K717" s="18">
        <f>IFERROR(__xludf.DUMMYFUNCTION("""COMPUTED_VALUE"""),6.19)</f>
        <v>6.19</v>
      </c>
      <c r="L717" s="18">
        <f>IFERROR(__xludf.DUMMYFUNCTION("""COMPUTED_VALUE"""),9.9)</f>
        <v>9.9</v>
      </c>
    </row>
    <row r="718">
      <c r="A718" s="13" t="str">
        <f>IFERROR(__xludf.DUMMYFUNCTION("""COMPUTED_VALUE"""),"товари")</f>
        <v>товари</v>
      </c>
      <c r="B71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8" s="15" t="str">
        <f>IFERROR(__xludf.DUMMYFUNCTION("""COMPUTED_VALUE"""),"сільськогосподарське обладнання")</f>
        <v>сільськогосподарське обладнання</v>
      </c>
      <c r="D718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718" s="15" t="str">
        <f>IFERROR(__xludf.DUMMYFUNCTION("""COMPUTED_VALUE"""),"зерноочисні машини")</f>
        <v>зерноочисні машини</v>
      </c>
      <c r="F718" s="17">
        <f>IFERROR(__xludf.DUMMYFUNCTION("""COMPUTED_VALUE"""),4.0)</f>
        <v>4</v>
      </c>
      <c r="G718" s="17">
        <f>IFERROR(__xludf.DUMMYFUNCTION("""COMPUTED_VALUE"""),1281001.0)</f>
        <v>1281001</v>
      </c>
      <c r="H718" s="17" t="str">
        <f>IFERROR(__xludf.DUMMYFUNCTION("""COMPUTED_VALUE"""),"зерноочисні машини")</f>
        <v>зерноочисні машини</v>
      </c>
      <c r="I718" s="18">
        <f>IFERROR(__xludf.DUMMYFUNCTION("""COMPUTED_VALUE"""),2.48)</f>
        <v>2.48</v>
      </c>
      <c r="J718" s="18">
        <f>IFERROR(__xludf.DUMMYFUNCTION("""COMPUTED_VALUE"""),4.95)</f>
        <v>4.95</v>
      </c>
      <c r="K718" s="18">
        <f>IFERROR(__xludf.DUMMYFUNCTION("""COMPUTED_VALUE"""),6.19)</f>
        <v>6.19</v>
      </c>
      <c r="L718" s="18">
        <f>IFERROR(__xludf.DUMMYFUNCTION("""COMPUTED_VALUE"""),9.9)</f>
        <v>9.9</v>
      </c>
    </row>
    <row r="719">
      <c r="A719" s="13" t="str">
        <f>IFERROR(__xludf.DUMMYFUNCTION("""COMPUTED_VALUE"""),"товари")</f>
        <v>товари</v>
      </c>
      <c r="B71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9" s="15" t="str">
        <f>IFERROR(__xludf.DUMMYFUNCTION("""COMPUTED_VALUE"""),"сільськогосподарська техніка")</f>
        <v>сільськогосподарська техніка</v>
      </c>
      <c r="D719" s="15" t="str">
        <f>IFERROR(__xludf.DUMMYFUNCTION("""COMPUTED_VALUE"""),"комбайни")</f>
        <v>комбайни</v>
      </c>
      <c r="E719" s="15" t="str">
        <f>IFERROR(__xludf.DUMMYFUNCTION("""COMPUTED_VALUE"""),"комбайни")</f>
        <v>комбайни</v>
      </c>
      <c r="F719" s="17">
        <f>IFERROR(__xludf.DUMMYFUNCTION("""COMPUTED_VALUE"""),3.0)</f>
        <v>3</v>
      </c>
      <c r="G719" s="17">
        <f>IFERROR(__xludf.DUMMYFUNCTION("""COMPUTED_VALUE"""),1280201.0)</f>
        <v>1280201</v>
      </c>
      <c r="H719" s="17" t="str">
        <f>IFERROR(__xludf.DUMMYFUNCTION("""COMPUTED_VALUE"""),"комбайни")</f>
        <v>комбайни</v>
      </c>
      <c r="I719" s="18">
        <f>IFERROR(__xludf.DUMMYFUNCTION("""COMPUTED_VALUE"""),1.31)</f>
        <v>1.31</v>
      </c>
      <c r="J719" s="18">
        <f>IFERROR(__xludf.DUMMYFUNCTION("""COMPUTED_VALUE"""),2.61)</f>
        <v>2.61</v>
      </c>
      <c r="K719" s="18">
        <f>IFERROR(__xludf.DUMMYFUNCTION("""COMPUTED_VALUE"""),3.27)</f>
        <v>3.27</v>
      </c>
      <c r="L719" s="18">
        <f>IFERROR(__xludf.DUMMYFUNCTION("""COMPUTED_VALUE"""),5.23)</f>
        <v>5.23</v>
      </c>
    </row>
    <row r="720">
      <c r="A720" s="13" t="str">
        <f>IFERROR(__xludf.DUMMYFUNCTION("""COMPUTED_VALUE"""),"товари")</f>
        <v>товари</v>
      </c>
      <c r="B72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0" s="15" t="str">
        <f>IFERROR(__xludf.DUMMYFUNCTION("""COMPUTED_VALUE"""),"сільськогосподарське обладнання")</f>
        <v>сільськогосподарське обладнання</v>
      </c>
      <c r="D720" s="15" t="str">
        <f>IFERROR(__xludf.DUMMYFUNCTION("""COMPUTED_VALUE"""),"обладнання для тваринництва")</f>
        <v>обладнання для тваринництва</v>
      </c>
      <c r="E720" s="15" t="str">
        <f>IFERROR(__xludf.DUMMYFUNCTION("""COMPUTED_VALUE"""),"комплектуючі для тваринницького обладнання")</f>
        <v>комплектуючі для тваринницького обладнання</v>
      </c>
      <c r="F720" s="17">
        <f>IFERROR(__xludf.DUMMYFUNCTION("""COMPUTED_VALUE"""),4.0)</f>
        <v>4</v>
      </c>
      <c r="G720" s="17">
        <f>IFERROR(__xludf.DUMMYFUNCTION("""COMPUTED_VALUE"""),13122.0)</f>
        <v>13122</v>
      </c>
      <c r="H720" s="17" t="str">
        <f>IFERROR(__xludf.DUMMYFUNCTION("""COMPUTED_VALUE"""),"комплектуючі для тваринницького обладнання")</f>
        <v>комплектуючі для тваринницького обладнання</v>
      </c>
      <c r="I720" s="18">
        <f>IFERROR(__xludf.DUMMYFUNCTION("""COMPUTED_VALUE"""),1.94)</f>
        <v>1.94</v>
      </c>
      <c r="J720" s="18">
        <f>IFERROR(__xludf.DUMMYFUNCTION("""COMPUTED_VALUE"""),3.88)</f>
        <v>3.88</v>
      </c>
      <c r="K720" s="18">
        <f>IFERROR(__xludf.DUMMYFUNCTION("""COMPUTED_VALUE"""),4.84)</f>
        <v>4.84</v>
      </c>
      <c r="L720" s="18">
        <f>IFERROR(__xludf.DUMMYFUNCTION("""COMPUTED_VALUE"""),7.75)</f>
        <v>7.75</v>
      </c>
    </row>
    <row r="721">
      <c r="A721" s="13" t="str">
        <f>IFERROR(__xludf.DUMMYFUNCTION("""COMPUTED_VALUE"""),"товари")</f>
        <v>товари</v>
      </c>
      <c r="B72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1" s="15" t="str">
        <f>IFERROR(__xludf.DUMMYFUNCTION("""COMPUTED_VALUE"""),"сільськогосподарська техніка")</f>
        <v>сільськогосподарська техніка</v>
      </c>
      <c r="D721" s="15" t="str">
        <f>IFERROR(__xludf.DUMMYFUNCTION("""COMPUTED_VALUE"""),"навісне та причіпне сільгоспобладнання")</f>
        <v>навісне та причіпне сільгоспобладнання</v>
      </c>
      <c r="E721" s="15" t="str">
        <f>IFERROR(__xludf.DUMMYFUNCTION("""COMPUTED_VALUE"""),"косарки")</f>
        <v>косарки</v>
      </c>
      <c r="F721" s="17">
        <f>IFERROR(__xludf.DUMMYFUNCTION("""COMPUTED_VALUE"""),4.0)</f>
        <v>4</v>
      </c>
      <c r="G721" s="17">
        <f>IFERROR(__xludf.DUMMYFUNCTION("""COMPUTED_VALUE"""),1281102.0)</f>
        <v>1281102</v>
      </c>
      <c r="H721" s="17" t="str">
        <f>IFERROR(__xludf.DUMMYFUNCTION("""COMPUTED_VALUE"""),"косарки")</f>
        <v>косарки</v>
      </c>
      <c r="I721" s="18">
        <f>IFERROR(__xludf.DUMMYFUNCTION("""COMPUTED_VALUE"""),1.88)</f>
        <v>1.88</v>
      </c>
      <c r="J721" s="18">
        <f>IFERROR(__xludf.DUMMYFUNCTION("""COMPUTED_VALUE"""),3.75)</f>
        <v>3.75</v>
      </c>
      <c r="K721" s="18">
        <f>IFERROR(__xludf.DUMMYFUNCTION("""COMPUTED_VALUE"""),4.69)</f>
        <v>4.69</v>
      </c>
      <c r="L721" s="18">
        <f>IFERROR(__xludf.DUMMYFUNCTION("""COMPUTED_VALUE"""),7.5)</f>
        <v>7.5</v>
      </c>
    </row>
    <row r="722">
      <c r="A722" s="13" t="str">
        <f>IFERROR(__xludf.DUMMYFUNCTION("""COMPUTED_VALUE"""),"товари")</f>
        <v>товари</v>
      </c>
      <c r="B72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2" s="15" t="str">
        <f>IFERROR(__xludf.DUMMYFUNCTION("""COMPUTED_VALUE"""),"сільськогосподарська техніка")</f>
        <v>сільськогосподарська техніка</v>
      </c>
      <c r="D722" s="15" t="str">
        <f>IFERROR(__xludf.DUMMYFUNCTION("""COMPUTED_VALUE"""),"навісне та причіпне сільгоспобладнання")</f>
        <v>навісне та причіпне сільгоспобладнання</v>
      </c>
      <c r="E722" s="15" t="str">
        <f>IFERROR(__xludf.DUMMYFUNCTION("""COMPUTED_VALUE"""),"навісне та причіпне сільгоспобладнання, загальне")</f>
        <v>навісне та причіпне сільгоспобладнання, загальне</v>
      </c>
      <c r="F722" s="17">
        <f>IFERROR(__xludf.DUMMYFUNCTION("""COMPUTED_VALUE"""),4.0)</f>
        <v>4</v>
      </c>
      <c r="G722" s="17">
        <f>IFERROR(__xludf.DUMMYFUNCTION("""COMPUTED_VALUE"""),12805.0)</f>
        <v>12805</v>
      </c>
      <c r="H722" s="17" t="str">
        <f>IFERROR(__xludf.DUMMYFUNCTION("""COMPUTED_VALUE"""),"навісне та причіпне сільгоспобладнання, загальне")</f>
        <v>навісне та причіпне сільгоспобладнання, загальне</v>
      </c>
      <c r="I722" s="18">
        <f>IFERROR(__xludf.DUMMYFUNCTION("""COMPUTED_VALUE"""),2.16)</f>
        <v>2.16</v>
      </c>
      <c r="J722" s="18">
        <f>IFERROR(__xludf.DUMMYFUNCTION("""COMPUTED_VALUE"""),4.33)</f>
        <v>4.33</v>
      </c>
      <c r="K722" s="18">
        <f>IFERROR(__xludf.DUMMYFUNCTION("""COMPUTED_VALUE"""),5.41)</f>
        <v>5.41</v>
      </c>
      <c r="L722" s="18">
        <f>IFERROR(__xludf.DUMMYFUNCTION("""COMPUTED_VALUE"""),8.65)</f>
        <v>8.65</v>
      </c>
    </row>
    <row r="723">
      <c r="A723" s="13" t="str">
        <f>IFERROR(__xludf.DUMMYFUNCTION("""COMPUTED_VALUE"""),"товари")</f>
        <v>товари</v>
      </c>
      <c r="B72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3" s="15" t="str">
        <f>IFERROR(__xludf.DUMMYFUNCTION("""COMPUTED_VALUE"""),"сільськогосподарське обладнання")</f>
        <v>сільськогосподарське обладнання</v>
      </c>
      <c r="D723" s="15" t="str">
        <f>IFERROR(__xludf.DUMMYFUNCTION("""COMPUTED_VALUE"""),"обладнання для тваринництва")</f>
        <v>обладнання для тваринництва</v>
      </c>
      <c r="E723" s="15" t="str">
        <f>IFERROR(__xludf.DUMMYFUNCTION("""COMPUTED_VALUE"""),"обладнання для забою худоби")</f>
        <v>обладнання для забою худоби</v>
      </c>
      <c r="F723" s="17">
        <f>IFERROR(__xludf.DUMMYFUNCTION("""COMPUTED_VALUE"""),4.0)</f>
        <v>4</v>
      </c>
      <c r="G723" s="17">
        <f>IFERROR(__xludf.DUMMYFUNCTION("""COMPUTED_VALUE"""),13120.0)</f>
        <v>13120</v>
      </c>
      <c r="H723" s="17" t="str">
        <f>IFERROR(__xludf.DUMMYFUNCTION("""COMPUTED_VALUE"""),"обладнання для забою худоби")</f>
        <v>обладнання для забою худоби</v>
      </c>
      <c r="I723" s="18">
        <f>IFERROR(__xludf.DUMMYFUNCTION("""COMPUTED_VALUE"""),1.94)</f>
        <v>1.94</v>
      </c>
      <c r="J723" s="18">
        <f>IFERROR(__xludf.DUMMYFUNCTION("""COMPUTED_VALUE"""),3.88)</f>
        <v>3.88</v>
      </c>
      <c r="K723" s="18">
        <f>IFERROR(__xludf.DUMMYFUNCTION("""COMPUTED_VALUE"""),4.84)</f>
        <v>4.84</v>
      </c>
      <c r="L723" s="18">
        <f>IFERROR(__xludf.DUMMYFUNCTION("""COMPUTED_VALUE"""),7.75)</f>
        <v>7.75</v>
      </c>
    </row>
    <row r="724">
      <c r="A724" s="13" t="str">
        <f>IFERROR(__xludf.DUMMYFUNCTION("""COMPUTED_VALUE"""),"товари")</f>
        <v>товари</v>
      </c>
      <c r="B72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4" s="15" t="str">
        <f>IFERROR(__xludf.DUMMYFUNCTION("""COMPUTED_VALUE"""),"сільськогосподарське обладнання")</f>
        <v>сільськогосподарське обладнання</v>
      </c>
      <c r="D724" s="15" t="str">
        <f>IFERROR(__xludf.DUMMYFUNCTION("""COMPUTED_VALUE"""),"обладнання для рослинництва")</f>
        <v>обладнання для рослинництва</v>
      </c>
      <c r="E724" s="15" t="str">
        <f>IFERROR(__xludf.DUMMYFUNCTION("""COMPUTED_VALUE"""),"обладнання для обробки біомаси")</f>
        <v>обладнання для обробки біомаси</v>
      </c>
      <c r="F724" s="17">
        <f>IFERROR(__xludf.DUMMYFUNCTION("""COMPUTED_VALUE"""),4.0)</f>
        <v>4</v>
      </c>
      <c r="G724" s="17">
        <f>IFERROR(__xludf.DUMMYFUNCTION("""COMPUTED_VALUE"""),12816.0)</f>
        <v>12816</v>
      </c>
      <c r="H724" s="17" t="str">
        <f>IFERROR(__xludf.DUMMYFUNCTION("""COMPUTED_VALUE"""),"обладнання для обробки біомаси")</f>
        <v>обладнання для обробки біомаси</v>
      </c>
      <c r="I724" s="18">
        <f>IFERROR(__xludf.DUMMYFUNCTION("""COMPUTED_VALUE"""),1.71)</f>
        <v>1.71</v>
      </c>
      <c r="J724" s="18">
        <f>IFERROR(__xludf.DUMMYFUNCTION("""COMPUTED_VALUE"""),3.43)</f>
        <v>3.43</v>
      </c>
      <c r="K724" s="18">
        <f>IFERROR(__xludf.DUMMYFUNCTION("""COMPUTED_VALUE"""),4.28)</f>
        <v>4.28</v>
      </c>
      <c r="L724" s="18">
        <f>IFERROR(__xludf.DUMMYFUNCTION("""COMPUTED_VALUE"""),6.85)</f>
        <v>6.85</v>
      </c>
    </row>
    <row r="725">
      <c r="A725" s="13" t="str">
        <f>IFERROR(__xludf.DUMMYFUNCTION("""COMPUTED_VALUE"""),"товари")</f>
        <v>товари</v>
      </c>
      <c r="B72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5" s="15" t="str">
        <f>IFERROR(__xludf.DUMMYFUNCTION("""COMPUTED_VALUE"""),"сільськогосподарське обладнання")</f>
        <v>сільськогосподарське обладнання</v>
      </c>
      <c r="D725" s="15" t="str">
        <f>IFERROR(__xludf.DUMMYFUNCTION("""COMPUTED_VALUE"""),"обладнання для тваринництва")</f>
        <v>обладнання для тваринництва</v>
      </c>
      <c r="E725" s="15" t="str">
        <f>IFERROR(__xludf.DUMMYFUNCTION("""COMPUTED_VALUE"""),"обладнання для розведення великої рогатої худоби")</f>
        <v>обладнання для розведення великої рогатої худоби</v>
      </c>
      <c r="F725" s="17">
        <f>IFERROR(__xludf.DUMMYFUNCTION("""COMPUTED_VALUE"""),4.0)</f>
        <v>4</v>
      </c>
      <c r="G725" s="17">
        <f>IFERROR(__xludf.DUMMYFUNCTION("""COMPUTED_VALUE"""),13111.0)</f>
        <v>13111</v>
      </c>
      <c r="H725" s="17" t="str">
        <f>IFERROR(__xludf.DUMMYFUNCTION("""COMPUTED_VALUE"""),"обладнання для розведення великої рогатої худоби")</f>
        <v>обладнання для розведення великої рогатої худоби</v>
      </c>
      <c r="I725" s="18">
        <f>IFERROR(__xludf.DUMMYFUNCTION("""COMPUTED_VALUE"""),1.94)</f>
        <v>1.94</v>
      </c>
      <c r="J725" s="18">
        <f>IFERROR(__xludf.DUMMYFUNCTION("""COMPUTED_VALUE"""),3.88)</f>
        <v>3.88</v>
      </c>
      <c r="K725" s="18">
        <f>IFERROR(__xludf.DUMMYFUNCTION("""COMPUTED_VALUE"""),4.84)</f>
        <v>4.84</v>
      </c>
      <c r="L725" s="18">
        <f>IFERROR(__xludf.DUMMYFUNCTION("""COMPUTED_VALUE"""),7.75)</f>
        <v>7.75</v>
      </c>
    </row>
    <row r="726">
      <c r="A726" s="13" t="str">
        <f>IFERROR(__xludf.DUMMYFUNCTION("""COMPUTED_VALUE"""),"товари")</f>
        <v>товари</v>
      </c>
      <c r="B72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6" s="15" t="str">
        <f>IFERROR(__xludf.DUMMYFUNCTION("""COMPUTED_VALUE"""),"сільськогосподарське обладнання")</f>
        <v>сільськогосподарське обладнання</v>
      </c>
      <c r="D726" s="15" t="str">
        <f>IFERROR(__xludf.DUMMYFUNCTION("""COMPUTED_VALUE"""),"обладнання для тваринництва")</f>
        <v>обладнання для тваринництва</v>
      </c>
      <c r="E726" s="15" t="str">
        <f>IFERROR(__xludf.DUMMYFUNCTION("""COMPUTED_VALUE"""),"обладнання для тваринництва, загальне")</f>
        <v>обладнання для тваринництва, загальне</v>
      </c>
      <c r="F726" s="17">
        <f>IFERROR(__xludf.DUMMYFUNCTION("""COMPUTED_VALUE"""),4.0)</f>
        <v>4</v>
      </c>
      <c r="G726" s="17">
        <f>IFERROR(__xludf.DUMMYFUNCTION("""COMPUTED_VALUE"""),13102.0)</f>
        <v>13102</v>
      </c>
      <c r="H726" s="17" t="str">
        <f>IFERROR(__xludf.DUMMYFUNCTION("""COMPUTED_VALUE"""),"обладнання для тваринництва, загальне")</f>
        <v>обладнання для тваринництва, загальне</v>
      </c>
      <c r="I726" s="18">
        <f>IFERROR(__xludf.DUMMYFUNCTION("""COMPUTED_VALUE"""),2.16)</f>
        <v>2.16</v>
      </c>
      <c r="J726" s="18">
        <f>IFERROR(__xludf.DUMMYFUNCTION("""COMPUTED_VALUE"""),4.33)</f>
        <v>4.33</v>
      </c>
      <c r="K726" s="18">
        <f>IFERROR(__xludf.DUMMYFUNCTION("""COMPUTED_VALUE"""),5.41)</f>
        <v>5.41</v>
      </c>
      <c r="L726" s="18">
        <f>IFERROR(__xludf.DUMMYFUNCTION("""COMPUTED_VALUE"""),8.65)</f>
        <v>8.65</v>
      </c>
    </row>
    <row r="727">
      <c r="A727" s="13" t="str">
        <f>IFERROR(__xludf.DUMMYFUNCTION("""COMPUTED_VALUE"""),"товари")</f>
        <v>товари</v>
      </c>
      <c r="B72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7" s="15" t="str">
        <f>IFERROR(__xludf.DUMMYFUNCTION("""COMPUTED_VALUE"""),"сільськогосподарське обладнання")</f>
        <v>сільськогосподарське обладнання</v>
      </c>
      <c r="D727" s="15" t="str">
        <f>IFERROR(__xludf.DUMMYFUNCTION("""COMPUTED_VALUE"""),"обладнання для рослинництва")</f>
        <v>обладнання для рослинництва</v>
      </c>
      <c r="E727" s="15" t="str">
        <f>IFERROR(__xludf.DUMMYFUNCTION("""COMPUTED_VALUE"""),"обладнання для хімзахисту та внесення добрив")</f>
        <v>обладнання для хімзахисту та внесення добрив</v>
      </c>
      <c r="F727" s="17">
        <f>IFERROR(__xludf.DUMMYFUNCTION("""COMPUTED_VALUE"""),4.0)</f>
        <v>4</v>
      </c>
      <c r="G727" s="17">
        <f>IFERROR(__xludf.DUMMYFUNCTION("""COMPUTED_VALUE"""),12812.0)</f>
        <v>12812</v>
      </c>
      <c r="H727" s="17" t="str">
        <f>IFERROR(__xludf.DUMMYFUNCTION("""COMPUTED_VALUE"""),"обладнання для хімзахисту та внесення добрив")</f>
        <v>обладнання для хімзахисту та внесення добрив</v>
      </c>
      <c r="I727" s="18">
        <f>IFERROR(__xludf.DUMMYFUNCTION("""COMPUTED_VALUE"""),1.71)</f>
        <v>1.71</v>
      </c>
      <c r="J727" s="18">
        <f>IFERROR(__xludf.DUMMYFUNCTION("""COMPUTED_VALUE"""),3.43)</f>
        <v>3.43</v>
      </c>
      <c r="K727" s="18">
        <f>IFERROR(__xludf.DUMMYFUNCTION("""COMPUTED_VALUE"""),4.28)</f>
        <v>4.28</v>
      </c>
      <c r="L727" s="18">
        <f>IFERROR(__xludf.DUMMYFUNCTION("""COMPUTED_VALUE"""),6.85)</f>
        <v>6.85</v>
      </c>
    </row>
    <row r="728">
      <c r="A728" s="13" t="str">
        <f>IFERROR(__xludf.DUMMYFUNCTION("""COMPUTED_VALUE"""),"товари")</f>
        <v>товари</v>
      </c>
      <c r="B72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8" s="15" t="str">
        <f>IFERROR(__xludf.DUMMYFUNCTION("""COMPUTED_VALUE"""),"сільськогосподарське обладнання")</f>
        <v>сільськогосподарське обладнання</v>
      </c>
      <c r="D728" s="15" t="str">
        <f>IFERROR(__xludf.DUMMYFUNCTION("""COMPUTED_VALUE"""),"обладнання для рослинництва")</f>
        <v>обладнання для рослинництва</v>
      </c>
      <c r="E728" s="15" t="str">
        <f>IFERROR(__xludf.DUMMYFUNCTION("""COMPUTED_VALUE"""),"обладнання та машини для сільськогосподарської іригації")</f>
        <v>обладнання та машини для сільськогосподарської іригації</v>
      </c>
      <c r="F728" s="17">
        <f>IFERROR(__xludf.DUMMYFUNCTION("""COMPUTED_VALUE"""),4.0)</f>
        <v>4</v>
      </c>
      <c r="G728" s="17">
        <f>IFERROR(__xludf.DUMMYFUNCTION("""COMPUTED_VALUE"""),12813.0)</f>
        <v>12813</v>
      </c>
      <c r="H728" s="17" t="str">
        <f>IFERROR(__xludf.DUMMYFUNCTION("""COMPUTED_VALUE"""),"обладнання та машини для сільськогосподарської іригації")</f>
        <v>обладнання та машини для сільськогосподарської іригації</v>
      </c>
      <c r="I728" s="18">
        <f>IFERROR(__xludf.DUMMYFUNCTION("""COMPUTED_VALUE"""),1.71)</f>
        <v>1.71</v>
      </c>
      <c r="J728" s="18">
        <f>IFERROR(__xludf.DUMMYFUNCTION("""COMPUTED_VALUE"""),3.43)</f>
        <v>3.43</v>
      </c>
      <c r="K728" s="18">
        <f>IFERROR(__xludf.DUMMYFUNCTION("""COMPUTED_VALUE"""),4.28)</f>
        <v>4.28</v>
      </c>
      <c r="L728" s="18">
        <f>IFERROR(__xludf.DUMMYFUNCTION("""COMPUTED_VALUE"""),6.85)</f>
        <v>6.85</v>
      </c>
    </row>
    <row r="729">
      <c r="A729" s="13" t="str">
        <f>IFERROR(__xludf.DUMMYFUNCTION("""COMPUTED_VALUE"""),"товари")</f>
        <v>товари</v>
      </c>
      <c r="B72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9" s="15" t="str">
        <f>IFERROR(__xludf.DUMMYFUNCTION("""COMPUTED_VALUE"""),"сільськогосподарське обладнання")</f>
        <v>сільськогосподарське обладнання</v>
      </c>
      <c r="D729" s="15" t="str">
        <f>IFERROR(__xludf.DUMMYFUNCTION("""COMPUTED_VALUE"""),"обладнання для тваринництва")</f>
        <v>обладнання для тваринництва</v>
      </c>
      <c r="E729" s="15" t="str">
        <f>IFERROR(__xludf.DUMMYFUNCTION("""COMPUTED_VALUE"""),"охолоджувачі молока")</f>
        <v>охолоджувачі молока</v>
      </c>
      <c r="F729" s="17">
        <f>IFERROR(__xludf.DUMMYFUNCTION("""COMPUTED_VALUE"""),4.0)</f>
        <v>4</v>
      </c>
      <c r="G729" s="17">
        <f>IFERROR(__xludf.DUMMYFUNCTION("""COMPUTED_VALUE"""),13119.0)</f>
        <v>13119</v>
      </c>
      <c r="H729" s="17" t="str">
        <f>IFERROR(__xludf.DUMMYFUNCTION("""COMPUTED_VALUE"""),"охолоджувачі молока")</f>
        <v>охолоджувачі молока</v>
      </c>
      <c r="I729" s="18">
        <f>IFERROR(__xludf.DUMMYFUNCTION("""COMPUTED_VALUE"""),1.94)</f>
        <v>1.94</v>
      </c>
      <c r="J729" s="18">
        <f>IFERROR(__xludf.DUMMYFUNCTION("""COMPUTED_VALUE"""),3.88)</f>
        <v>3.88</v>
      </c>
      <c r="K729" s="18">
        <f>IFERROR(__xludf.DUMMYFUNCTION("""COMPUTED_VALUE"""),4.84)</f>
        <v>4.84</v>
      </c>
      <c r="L729" s="18">
        <f>IFERROR(__xludf.DUMMYFUNCTION("""COMPUTED_VALUE"""),7.75)</f>
        <v>7.75</v>
      </c>
    </row>
    <row r="730">
      <c r="A730" s="13" t="str">
        <f>IFERROR(__xludf.DUMMYFUNCTION("""COMPUTED_VALUE"""),"товари")</f>
        <v>товари</v>
      </c>
      <c r="B73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0" s="15" t="str">
        <f>IFERROR(__xludf.DUMMYFUNCTION("""COMPUTED_VALUE"""),"рослинництво")</f>
        <v>рослинництво</v>
      </c>
      <c r="D730" s="15" t="str">
        <f>IFERROR(__xludf.DUMMYFUNCTION("""COMPUTED_VALUE"""),"плодоовочеві культури")</f>
        <v>плодоовочеві культури</v>
      </c>
      <c r="E730" s="15" t="str">
        <f>IFERROR(__xludf.DUMMYFUNCTION("""COMPUTED_VALUE"""),"плодоовочеві культури, загальне")</f>
        <v>плодоовочеві культури, загальне</v>
      </c>
      <c r="F730" s="17">
        <f>IFERROR(__xludf.DUMMYFUNCTION("""COMPUTED_VALUE"""),4.0)</f>
        <v>4</v>
      </c>
      <c r="G730" s="17">
        <f>IFERROR(__xludf.DUMMYFUNCTION("""COMPUTED_VALUE"""),12104.0)</f>
        <v>12104</v>
      </c>
      <c r="H730" s="17" t="str">
        <f>IFERROR(__xludf.DUMMYFUNCTION("""COMPUTED_VALUE"""),"плодоовочеві культури, загальне")</f>
        <v>плодоовочеві культури, загальне</v>
      </c>
      <c r="I730" s="18">
        <f>IFERROR(__xludf.DUMMYFUNCTION("""COMPUTED_VALUE"""),2.16)</f>
        <v>2.16</v>
      </c>
      <c r="J730" s="18">
        <f>IFERROR(__xludf.DUMMYFUNCTION("""COMPUTED_VALUE"""),4.33)</f>
        <v>4.33</v>
      </c>
      <c r="K730" s="18">
        <f>IFERROR(__xludf.DUMMYFUNCTION("""COMPUTED_VALUE"""),5.41)</f>
        <v>5.41</v>
      </c>
      <c r="L730" s="18">
        <f>IFERROR(__xludf.DUMMYFUNCTION("""COMPUTED_VALUE"""),8.65)</f>
        <v>8.65</v>
      </c>
    </row>
    <row r="731">
      <c r="A731" s="13" t="str">
        <f>IFERROR(__xludf.DUMMYFUNCTION("""COMPUTED_VALUE"""),"товари")</f>
        <v>товари</v>
      </c>
      <c r="B73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1" s="15" t="str">
        <f>IFERROR(__xludf.DUMMYFUNCTION("""COMPUTED_VALUE"""),"сільськогосподарська техніка")</f>
        <v>сільськогосподарська техніка</v>
      </c>
      <c r="D731" s="15" t="str">
        <f>IFERROR(__xludf.DUMMYFUNCTION("""COMPUTED_VALUE"""),"навісне та причіпне сільгоспобладнання")</f>
        <v>навісне та причіпне сільгоспобладнання</v>
      </c>
      <c r="E731" s="15" t="str">
        <f>IFERROR(__xludf.DUMMYFUNCTION("""COMPUTED_VALUE"""),"плуги")</f>
        <v>плуги</v>
      </c>
      <c r="F731" s="17">
        <f>IFERROR(__xludf.DUMMYFUNCTION("""COMPUTED_VALUE"""),4.0)</f>
        <v>4</v>
      </c>
      <c r="G731" s="17">
        <f>IFERROR(__xludf.DUMMYFUNCTION("""COMPUTED_VALUE"""),1280805.0)</f>
        <v>1280805</v>
      </c>
      <c r="H731" s="17" t="str">
        <f>IFERROR(__xludf.DUMMYFUNCTION("""COMPUTED_VALUE"""),"плуги")</f>
        <v>плуги</v>
      </c>
      <c r="I731" s="18">
        <f>IFERROR(__xludf.DUMMYFUNCTION("""COMPUTED_VALUE"""),1.88)</f>
        <v>1.88</v>
      </c>
      <c r="J731" s="18">
        <f>IFERROR(__xludf.DUMMYFUNCTION("""COMPUTED_VALUE"""),3.75)</f>
        <v>3.75</v>
      </c>
      <c r="K731" s="18">
        <f>IFERROR(__xludf.DUMMYFUNCTION("""COMPUTED_VALUE"""),4.69)</f>
        <v>4.69</v>
      </c>
      <c r="L731" s="18">
        <f>IFERROR(__xludf.DUMMYFUNCTION("""COMPUTED_VALUE"""),7.5)</f>
        <v>7.5</v>
      </c>
    </row>
    <row r="732">
      <c r="A732" s="13" t="str">
        <f>IFERROR(__xludf.DUMMYFUNCTION("""COMPUTED_VALUE"""),"товари")</f>
        <v>товари</v>
      </c>
      <c r="B73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2" s="15" t="str">
        <f>IFERROR(__xludf.DUMMYFUNCTION("""COMPUTED_VALUE"""),"сільськогосподарська техніка")</f>
        <v>сільськогосподарська техніка</v>
      </c>
      <c r="D732" s="15" t="str">
        <f>IFERROR(__xludf.DUMMYFUNCTION("""COMPUTED_VALUE"""),"навісне та причіпне сільгоспобладнання")</f>
        <v>навісне та причіпне сільгоспобладнання</v>
      </c>
      <c r="E732" s="15" t="str">
        <f>IFERROR(__xludf.DUMMYFUNCTION("""COMPUTED_VALUE"""),"польові подрібнювачі рослинних залишків")</f>
        <v>польові подрібнювачі рослинних залишків</v>
      </c>
      <c r="F732" s="17">
        <f>IFERROR(__xludf.DUMMYFUNCTION("""COMPUTED_VALUE"""),4.0)</f>
        <v>4</v>
      </c>
      <c r="G732" s="17">
        <f>IFERROR(__xludf.DUMMYFUNCTION("""COMPUTED_VALUE"""),1281105.0)</f>
        <v>1281105</v>
      </c>
      <c r="H732" s="17" t="str">
        <f>IFERROR(__xludf.DUMMYFUNCTION("""COMPUTED_VALUE"""),"польові подрібнювачі рослинних залишків")</f>
        <v>польові подрібнювачі рослинних залишків</v>
      </c>
      <c r="I732" s="18">
        <f>IFERROR(__xludf.DUMMYFUNCTION("""COMPUTED_VALUE"""),1.88)</f>
        <v>1.88</v>
      </c>
      <c r="J732" s="18">
        <f>IFERROR(__xludf.DUMMYFUNCTION("""COMPUTED_VALUE"""),3.75)</f>
        <v>3.75</v>
      </c>
      <c r="K732" s="18">
        <f>IFERROR(__xludf.DUMMYFUNCTION("""COMPUTED_VALUE"""),4.69)</f>
        <v>4.69</v>
      </c>
      <c r="L732" s="18">
        <f>IFERROR(__xludf.DUMMYFUNCTION("""COMPUTED_VALUE"""),7.5)</f>
        <v>7.5</v>
      </c>
    </row>
    <row r="733">
      <c r="A733" s="13" t="str">
        <f>IFERROR(__xludf.DUMMYFUNCTION("""COMPUTED_VALUE"""),"товари")</f>
        <v>товари</v>
      </c>
      <c r="B73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3" s="15" t="str">
        <f>IFERROR(__xludf.DUMMYFUNCTION("""COMPUTED_VALUE"""),"сільськогосподарська техніка")</f>
        <v>сільськогосподарська техніка</v>
      </c>
      <c r="D733" s="15" t="str">
        <f>IFERROR(__xludf.DUMMYFUNCTION("""COMPUTED_VALUE"""),"навісне та причіпне сільгоспобладнання")</f>
        <v>навісне та причіпне сільгоспобладнання</v>
      </c>
      <c r="E733" s="15" t="str">
        <f>IFERROR(__xludf.DUMMYFUNCTION("""COMPUTED_VALUE"""),"прес-підбирач")</f>
        <v>прес-підбирач</v>
      </c>
      <c r="F733" s="17">
        <f>IFERROR(__xludf.DUMMYFUNCTION("""COMPUTED_VALUE"""),4.0)</f>
        <v>4</v>
      </c>
      <c r="G733" s="17">
        <f>IFERROR(__xludf.DUMMYFUNCTION("""COMPUTED_VALUE"""),1280603.0)</f>
        <v>1280603</v>
      </c>
      <c r="H733" s="17" t="str">
        <f>IFERROR(__xludf.DUMMYFUNCTION("""COMPUTED_VALUE"""),"прес-підбирач")</f>
        <v>прес-підбирач</v>
      </c>
      <c r="I733" s="18">
        <f>IFERROR(__xludf.DUMMYFUNCTION("""COMPUTED_VALUE"""),1.88)</f>
        <v>1.88</v>
      </c>
      <c r="J733" s="18">
        <f>IFERROR(__xludf.DUMMYFUNCTION("""COMPUTED_VALUE"""),3.75)</f>
        <v>3.75</v>
      </c>
      <c r="K733" s="18">
        <f>IFERROR(__xludf.DUMMYFUNCTION("""COMPUTED_VALUE"""),4.69)</f>
        <v>4.69</v>
      </c>
      <c r="L733" s="18">
        <f>IFERROR(__xludf.DUMMYFUNCTION("""COMPUTED_VALUE"""),7.5)</f>
        <v>7.5</v>
      </c>
    </row>
    <row r="734">
      <c r="A734" s="13" t="str">
        <f>IFERROR(__xludf.DUMMYFUNCTION("""COMPUTED_VALUE"""),"товари")</f>
        <v>товари</v>
      </c>
      <c r="B73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4" s="15" t="str">
        <f>IFERROR(__xludf.DUMMYFUNCTION("""COMPUTED_VALUE"""),"сільськогосподарська техніка")</f>
        <v>сільськогосподарська техніка</v>
      </c>
      <c r="D734" s="15" t="str">
        <f>IFERROR(__xludf.DUMMYFUNCTION("""COMPUTED_VALUE"""),"навісне та причіпне сільгоспобладнання")</f>
        <v>навісне та причіпне сільгоспобладнання</v>
      </c>
      <c r="E734" s="15" t="str">
        <f>IFERROR(__xludf.DUMMYFUNCTION("""COMPUTED_VALUE"""),"пристосування для збирання соняшника, ріпаку, сої")</f>
        <v>пристосування для збирання соняшника, ріпаку, сої</v>
      </c>
      <c r="F734" s="17">
        <f>IFERROR(__xludf.DUMMYFUNCTION("""COMPUTED_VALUE"""),4.0)</f>
        <v>4</v>
      </c>
      <c r="G734" s="17">
        <f>IFERROR(__xludf.DUMMYFUNCTION("""COMPUTED_VALUE"""),1280503.0)</f>
        <v>1280503</v>
      </c>
      <c r="H734" s="17" t="str">
        <f>IFERROR(__xludf.DUMMYFUNCTION("""COMPUTED_VALUE"""),"пристосування для збирання соняшника, ріпаку, сої")</f>
        <v>пристосування для збирання соняшника, ріпаку, сої</v>
      </c>
      <c r="I734" s="18">
        <f>IFERROR(__xludf.DUMMYFUNCTION("""COMPUTED_VALUE"""),1.88)</f>
        <v>1.88</v>
      </c>
      <c r="J734" s="18">
        <f>IFERROR(__xludf.DUMMYFUNCTION("""COMPUTED_VALUE"""),3.75)</f>
        <v>3.75</v>
      </c>
      <c r="K734" s="18">
        <f>IFERROR(__xludf.DUMMYFUNCTION("""COMPUTED_VALUE"""),4.69)</f>
        <v>4.69</v>
      </c>
      <c r="L734" s="18">
        <f>IFERROR(__xludf.DUMMYFUNCTION("""COMPUTED_VALUE"""),7.5)</f>
        <v>7.5</v>
      </c>
    </row>
    <row r="735">
      <c r="A735" s="13" t="str">
        <f>IFERROR(__xludf.DUMMYFUNCTION("""COMPUTED_VALUE"""),"товари")</f>
        <v>товари</v>
      </c>
      <c r="B73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5" s="15" t="str">
        <f>IFERROR(__xludf.DUMMYFUNCTION("""COMPUTED_VALUE"""),"рибництво")</f>
        <v>рибництво</v>
      </c>
      <c r="D735" s="15" t="str">
        <f>IFERROR(__xludf.DUMMYFUNCTION("""COMPUTED_VALUE"""),"рибопосадковий матеріал")</f>
        <v>рибопосадковий матеріал</v>
      </c>
      <c r="E735" s="15" t="str">
        <f>IFERROR(__xludf.DUMMYFUNCTION("""COMPUTED_VALUE"""),"рибопосадковий матеріал")</f>
        <v>рибопосадковий матеріал</v>
      </c>
      <c r="F735" s="17">
        <f>IFERROR(__xludf.DUMMYFUNCTION("""COMPUTED_VALUE"""),3.0)</f>
        <v>3</v>
      </c>
      <c r="G735" s="17">
        <f>IFERROR(__xludf.DUMMYFUNCTION("""COMPUTED_VALUE"""),12602.0)</f>
        <v>12602</v>
      </c>
      <c r="H735" s="17" t="str">
        <f>IFERROR(__xludf.DUMMYFUNCTION("""COMPUTED_VALUE"""),"рибопосадковий матеріал")</f>
        <v>рибопосадковий матеріал</v>
      </c>
      <c r="I735" s="18">
        <f>IFERROR(__xludf.DUMMYFUNCTION("""COMPUTED_VALUE"""),1.08)</f>
        <v>1.08</v>
      </c>
      <c r="J735" s="18">
        <f>IFERROR(__xludf.DUMMYFUNCTION("""COMPUTED_VALUE"""),2.16)</f>
        <v>2.16</v>
      </c>
      <c r="K735" s="18">
        <f>IFERROR(__xludf.DUMMYFUNCTION("""COMPUTED_VALUE"""),2.7)</f>
        <v>2.7</v>
      </c>
      <c r="L735" s="18">
        <f>IFERROR(__xludf.DUMMYFUNCTION("""COMPUTED_VALUE"""),4.33)</f>
        <v>4.33</v>
      </c>
    </row>
    <row r="736">
      <c r="A736" s="13" t="str">
        <f>IFERROR(__xludf.DUMMYFUNCTION("""COMPUTED_VALUE"""),"товари")</f>
        <v>товари</v>
      </c>
      <c r="B73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6" s="15" t="str">
        <f>IFERROR(__xludf.DUMMYFUNCTION("""COMPUTED_VALUE"""),"сільськогосподарська техніка")</f>
        <v>сільськогосподарська техніка</v>
      </c>
      <c r="D736" s="15" t="str">
        <f>IFERROR(__xludf.DUMMYFUNCTION("""COMPUTED_VALUE"""),"навісне та причіпне сільгоспобладнання")</f>
        <v>навісне та причіпне сільгоспобладнання</v>
      </c>
      <c r="E736" s="15" t="str">
        <f>IFERROR(__xludf.DUMMYFUNCTION("""COMPUTED_VALUE"""),"садилки навісні та причіпні")</f>
        <v>садилки навісні та причіпні</v>
      </c>
      <c r="F736" s="17">
        <f>IFERROR(__xludf.DUMMYFUNCTION("""COMPUTED_VALUE"""),4.0)</f>
        <v>4</v>
      </c>
      <c r="G736" s="17">
        <f>IFERROR(__xludf.DUMMYFUNCTION("""COMPUTED_VALUE"""),1280904.0)</f>
        <v>1280904</v>
      </c>
      <c r="H736" s="17" t="str">
        <f>IFERROR(__xludf.DUMMYFUNCTION("""COMPUTED_VALUE"""),"садилки навісні та причіпні")</f>
        <v>садилки навісні та причіпні</v>
      </c>
      <c r="I736" s="18">
        <f>IFERROR(__xludf.DUMMYFUNCTION("""COMPUTED_VALUE"""),1.88)</f>
        <v>1.88</v>
      </c>
      <c r="J736" s="18">
        <f>IFERROR(__xludf.DUMMYFUNCTION("""COMPUTED_VALUE"""),3.75)</f>
        <v>3.75</v>
      </c>
      <c r="K736" s="18">
        <f>IFERROR(__xludf.DUMMYFUNCTION("""COMPUTED_VALUE"""),4.69)</f>
        <v>4.69</v>
      </c>
      <c r="L736" s="18">
        <f>IFERROR(__xludf.DUMMYFUNCTION("""COMPUTED_VALUE"""),7.5)</f>
        <v>7.5</v>
      </c>
    </row>
    <row r="737">
      <c r="A737" s="13" t="str">
        <f>IFERROR(__xludf.DUMMYFUNCTION("""COMPUTED_VALUE"""),"товари")</f>
        <v>товари</v>
      </c>
      <c r="B73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7" s="15" t="str">
        <f>IFERROR(__xludf.DUMMYFUNCTION("""COMPUTED_VALUE"""),"сільськогосподарське обладнання")</f>
        <v>сільськогосподарське обладнання</v>
      </c>
      <c r="D737" s="15" t="str">
        <f>IFERROR(__xludf.DUMMYFUNCTION("""COMPUTED_VALUE"""),"елеватори та зерносховища")</f>
        <v>елеватори та зерносховища</v>
      </c>
      <c r="E737" s="15" t="str">
        <f>IFERROR(__xludf.DUMMYFUNCTION("""COMPUTED_VALUE"""),"силоси для зерна")</f>
        <v>силоси для зерна</v>
      </c>
      <c r="F737" s="17">
        <f>IFERROR(__xludf.DUMMYFUNCTION("""COMPUTED_VALUE"""),4.0)</f>
        <v>4</v>
      </c>
      <c r="G737" s="17">
        <f>IFERROR(__xludf.DUMMYFUNCTION("""COMPUTED_VALUE"""),120803.0)</f>
        <v>120803</v>
      </c>
      <c r="H737" s="17" t="str">
        <f>IFERROR(__xludf.DUMMYFUNCTION("""COMPUTED_VALUE"""),"силоси для зерна")</f>
        <v>силоси для зерна</v>
      </c>
      <c r="I737" s="18">
        <f>IFERROR(__xludf.DUMMYFUNCTION("""COMPUTED_VALUE"""),2.7)</f>
        <v>2.7</v>
      </c>
      <c r="J737" s="18">
        <f>IFERROR(__xludf.DUMMYFUNCTION("""COMPUTED_VALUE"""),5.4)</f>
        <v>5.4</v>
      </c>
      <c r="K737" s="18">
        <f>IFERROR(__xludf.DUMMYFUNCTION("""COMPUTED_VALUE"""),6.75)</f>
        <v>6.75</v>
      </c>
      <c r="L737" s="18">
        <f>IFERROR(__xludf.DUMMYFUNCTION("""COMPUTED_VALUE"""),10.8)</f>
        <v>10.8</v>
      </c>
    </row>
    <row r="738">
      <c r="A738" s="13" t="str">
        <f>IFERROR(__xludf.DUMMYFUNCTION("""COMPUTED_VALUE"""),"товари")</f>
        <v>товари</v>
      </c>
      <c r="B73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8" s="15" t="str">
        <f>IFERROR(__xludf.DUMMYFUNCTION("""COMPUTED_VALUE"""),"сільськогосподарська техніка")</f>
        <v>сільськогосподарська техніка</v>
      </c>
      <c r="D738" s="15" t="str">
        <f>IFERROR(__xludf.DUMMYFUNCTION("""COMPUTED_VALUE"""),"навісне та причіпне сільгоспобладнання")</f>
        <v>навісне та причіпне сільгоспобладнання</v>
      </c>
      <c r="E738" s="15" t="str">
        <f>IFERROR(__xludf.DUMMYFUNCTION("""COMPUTED_VALUE"""),"силосні машини")</f>
        <v>силосні машини</v>
      </c>
      <c r="F738" s="17">
        <f>IFERROR(__xludf.DUMMYFUNCTION("""COMPUTED_VALUE"""),4.0)</f>
        <v>4</v>
      </c>
      <c r="G738" s="17">
        <f>IFERROR(__xludf.DUMMYFUNCTION("""COMPUTED_VALUE"""),1280606.0)</f>
        <v>1280606</v>
      </c>
      <c r="H738" s="17" t="str">
        <f>IFERROR(__xludf.DUMMYFUNCTION("""COMPUTED_VALUE"""),"силосні машини")</f>
        <v>силосні машини</v>
      </c>
      <c r="I738" s="18">
        <f>IFERROR(__xludf.DUMMYFUNCTION("""COMPUTED_VALUE"""),1.88)</f>
        <v>1.88</v>
      </c>
      <c r="J738" s="18">
        <f>IFERROR(__xludf.DUMMYFUNCTION("""COMPUTED_VALUE"""),3.75)</f>
        <v>3.75</v>
      </c>
      <c r="K738" s="18">
        <f>IFERROR(__xludf.DUMMYFUNCTION("""COMPUTED_VALUE"""),4.69)</f>
        <v>4.69</v>
      </c>
      <c r="L738" s="18">
        <f>IFERROR(__xludf.DUMMYFUNCTION("""COMPUTED_VALUE"""),7.5)</f>
        <v>7.5</v>
      </c>
    </row>
    <row r="739">
      <c r="A739" s="13" t="str">
        <f>IFERROR(__xludf.DUMMYFUNCTION("""COMPUTED_VALUE"""),"товари")</f>
        <v>товари</v>
      </c>
      <c r="B73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9" s="15" t="str">
        <f>IFERROR(__xludf.DUMMYFUNCTION("""COMPUTED_VALUE"""),"сільськогосподарська техніка")</f>
        <v>сільськогосподарська техніка</v>
      </c>
      <c r="D739" s="15" t="str">
        <f>IFERROR(__xludf.DUMMYFUNCTION("""COMPUTED_VALUE"""),"сільгосптехніка, загальне")</f>
        <v>сільгосптехніка, загальне</v>
      </c>
      <c r="E739" s="15" t="str">
        <f>IFERROR(__xludf.DUMMYFUNCTION("""COMPUTED_VALUE"""),"сільгосптехніка, загальне")</f>
        <v>сільгосптехніка, загальне</v>
      </c>
      <c r="F739" s="17">
        <f>IFERROR(__xludf.DUMMYFUNCTION("""COMPUTED_VALUE"""),3.0)</f>
        <v>3</v>
      </c>
      <c r="G739" s="17">
        <f>IFERROR(__xludf.DUMMYFUNCTION("""COMPUTED_VALUE"""),1.4090201E7)</f>
        <v>14090201</v>
      </c>
      <c r="H739" s="17" t="str">
        <f>IFERROR(__xludf.DUMMYFUNCTION("""COMPUTED_VALUE"""),"сільгосптехніка, загальне")</f>
        <v>сільгосптехніка, загальне</v>
      </c>
      <c r="I739" s="18">
        <f>IFERROR(__xludf.DUMMYFUNCTION("""COMPUTED_VALUE"""),2.16)</f>
        <v>2.16</v>
      </c>
      <c r="J739" s="18">
        <f>IFERROR(__xludf.DUMMYFUNCTION("""COMPUTED_VALUE"""),4.33)</f>
        <v>4.33</v>
      </c>
      <c r="K739" s="18">
        <f>IFERROR(__xludf.DUMMYFUNCTION("""COMPUTED_VALUE"""),5.41)</f>
        <v>5.41</v>
      </c>
      <c r="L739" s="18">
        <f>IFERROR(__xludf.DUMMYFUNCTION("""COMPUTED_VALUE"""),8.65)</f>
        <v>8.65</v>
      </c>
    </row>
    <row r="740">
      <c r="A740" s="13" t="str">
        <f>IFERROR(__xludf.DUMMYFUNCTION("""COMPUTED_VALUE"""),"товари")</f>
        <v>товари</v>
      </c>
      <c r="B74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40" s="15" t="str">
        <f>IFERROR(__xludf.DUMMYFUNCTION("""COMPUTED_VALUE"""),"сільськогосподарське обладнання")</f>
        <v>сільськогосподарське обладнання</v>
      </c>
      <c r="D740" s="15" t="str">
        <f>IFERROR(__xludf.DUMMYFUNCTION("""COMPUTED_VALUE"""),"обладнання для рослинництва")</f>
        <v>обладнання для рослинництва</v>
      </c>
      <c r="E740" s="15" t="str">
        <f>IFERROR(__xludf.DUMMYFUNCTION("""COMPUTED_VALUE"""),"сітки для сінажу")</f>
        <v>сітки для сінажу</v>
      </c>
      <c r="F740" s="17">
        <f>IFERROR(__xludf.DUMMYFUNCTION("""COMPUTED_VALUE"""),4.0)</f>
        <v>4</v>
      </c>
      <c r="G740" s="17">
        <f>IFERROR(__xludf.DUMMYFUNCTION("""COMPUTED_VALUE"""),1280604.0)</f>
        <v>1280604</v>
      </c>
      <c r="H740" s="17" t="str">
        <f>IFERROR(__xludf.DUMMYFUNCTION("""COMPUTED_VALUE"""),"сітки для сінажу")</f>
        <v>сітки для сінажу</v>
      </c>
      <c r="I740" s="18">
        <f>IFERROR(__xludf.DUMMYFUNCTION("""COMPUTED_VALUE"""),1.71)</f>
        <v>1.71</v>
      </c>
      <c r="J740" s="18">
        <f>IFERROR(__xludf.DUMMYFUNCTION("""COMPUTED_VALUE"""),3.43)</f>
        <v>3.43</v>
      </c>
      <c r="K740" s="18">
        <f>IFERROR(__xludf.DUMMYFUNCTION("""COMPUTED_VALUE"""),4.28)</f>
        <v>4.28</v>
      </c>
      <c r="L740" s="18">
        <f>IFERROR(__xludf.DUMMYFUNCTION("""COMPUTED_VALUE"""),6.85)</f>
        <v>6.85</v>
      </c>
    </row>
    <row r="741">
      <c r="A741" s="13" t="str">
        <f>IFERROR(__xludf.DUMMYFUNCTION("""COMPUTED_VALUE"""),"товари")</f>
        <v>товари</v>
      </c>
      <c r="B74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41" s="15" t="str">
        <f>IFERROR(__xludf.DUMMYFUNCTION("""COMPUTED_VALUE"""),"сільськогосподарська техніка")</f>
        <v>сільськогосподарська техніка</v>
      </c>
      <c r="D741" s="15" t="str">
        <f>IFERROR(__xludf.DUMMYFUNCTION("""COMPUTED_VALUE"""),"трактори")</f>
        <v>трактори</v>
      </c>
      <c r="E741" s="15" t="str">
        <f>IFERROR(__xludf.DUMMYFUNCTION("""COMPUTED_VALUE"""),"трактори")</f>
        <v>трактори</v>
      </c>
      <c r="F741" s="17">
        <f>IFERROR(__xludf.DUMMYFUNCTION("""COMPUTED_VALUE"""),3.0)</f>
        <v>3</v>
      </c>
      <c r="G741" s="17">
        <f>IFERROR(__xludf.DUMMYFUNCTION("""COMPUTED_VALUE"""),12801.0)</f>
        <v>12801</v>
      </c>
      <c r="H741" s="17" t="str">
        <f>IFERROR(__xludf.DUMMYFUNCTION("""COMPUTED_VALUE"""),"трактори")</f>
        <v>трактори</v>
      </c>
      <c r="I741" s="18">
        <f>IFERROR(__xludf.DUMMYFUNCTION("""COMPUTED_VALUE"""),0.76)</f>
        <v>0.76</v>
      </c>
      <c r="J741" s="18">
        <f>IFERROR(__xludf.DUMMYFUNCTION("""COMPUTED_VALUE"""),1.53)</f>
        <v>1.53</v>
      </c>
      <c r="K741" s="18">
        <f>IFERROR(__xludf.DUMMYFUNCTION("""COMPUTED_VALUE"""),1.91)</f>
        <v>1.91</v>
      </c>
      <c r="L741" s="18">
        <f>IFERROR(__xludf.DUMMYFUNCTION("""COMPUTED_VALUE"""),3.05)</f>
        <v>3.05</v>
      </c>
    </row>
    <row r="742">
      <c r="A742" s="13" t="str">
        <f>IFERROR(__xludf.DUMMYFUNCTION("""COMPUTED_VALUE"""),"товари")</f>
        <v>товари</v>
      </c>
      <c r="B742" s="13" t="str">
        <f>IFERROR(__xludf.DUMMYFUNCTION("""COMPUTED_VALUE"""),"спорт і відпочинок")</f>
        <v>спорт і відпочинок</v>
      </c>
      <c r="C742" s="15" t="str">
        <f>IFERROR(__xludf.DUMMYFUNCTION("""COMPUTED_VALUE"""),"зимові види спорту")</f>
        <v>зимові види спорту</v>
      </c>
      <c r="D742" s="15" t="str">
        <f>IFERROR(__xludf.DUMMYFUNCTION("""COMPUTED_VALUE"""),"зимові види спорту, загальне")</f>
        <v>зимові види спорту, загальне</v>
      </c>
      <c r="E742" s="15" t="str">
        <f>IFERROR(__xludf.DUMMYFUNCTION("""COMPUTED_VALUE"""),"зимові види спорту, загальне")</f>
        <v>зимові види спорту, загальне</v>
      </c>
      <c r="F742" s="17">
        <f>IFERROR(__xludf.DUMMYFUNCTION("""COMPUTED_VALUE"""),3.0)</f>
        <v>3</v>
      </c>
      <c r="G742" s="17">
        <f>IFERROR(__xludf.DUMMYFUNCTION("""COMPUTED_VALUE"""),202415.0)</f>
        <v>202415</v>
      </c>
      <c r="H742" s="17" t="str">
        <f>IFERROR(__xludf.DUMMYFUNCTION("""COMPUTED_VALUE"""),"зимові види спорту, загальне")</f>
        <v>зимові види спорту, загальне</v>
      </c>
      <c r="I742" s="18">
        <f>IFERROR(__xludf.DUMMYFUNCTION("""COMPUTED_VALUE"""),2.16)</f>
        <v>2.16</v>
      </c>
      <c r="J742" s="18">
        <f>IFERROR(__xludf.DUMMYFUNCTION("""COMPUTED_VALUE"""),4.33)</f>
        <v>4.33</v>
      </c>
      <c r="K742" s="18">
        <f>IFERROR(__xludf.DUMMYFUNCTION("""COMPUTED_VALUE"""),5.41)</f>
        <v>5.41</v>
      </c>
      <c r="L742" s="18">
        <f>IFERROR(__xludf.DUMMYFUNCTION("""COMPUTED_VALUE"""),8.65)</f>
        <v>8.65</v>
      </c>
    </row>
    <row r="743">
      <c r="A743" s="13" t="str">
        <f>IFERROR(__xludf.DUMMYFUNCTION("""COMPUTED_VALUE"""),"товари")</f>
        <v>товари</v>
      </c>
      <c r="B743" s="13" t="str">
        <f>IFERROR(__xludf.DUMMYFUNCTION("""COMPUTED_VALUE"""),"спорт і відпочинок")</f>
        <v>спорт і відпочинок</v>
      </c>
      <c r="C743" s="15" t="str">
        <f>IFERROR(__xludf.DUMMYFUNCTION("""COMPUTED_VALUE"""),"товари для туризму та подорожей")</f>
        <v>товари для туризму та подорожей</v>
      </c>
      <c r="D743" s="15" t="str">
        <f>IFERROR(__xludf.DUMMYFUNCTION("""COMPUTED_VALUE"""),"польові кухні")</f>
        <v>польові кухні</v>
      </c>
      <c r="E743" s="15" t="str">
        <f>IFERROR(__xludf.DUMMYFUNCTION("""COMPUTED_VALUE"""),"польові кухні")</f>
        <v>польові кухні</v>
      </c>
      <c r="F743" s="17">
        <f>IFERROR(__xludf.DUMMYFUNCTION("""COMPUTED_VALUE"""),3.0)</f>
        <v>3</v>
      </c>
      <c r="G743" s="17">
        <f>IFERROR(__xludf.DUMMYFUNCTION("""COMPUTED_VALUE"""),341804.0)</f>
        <v>341804</v>
      </c>
      <c r="H743" s="17" t="str">
        <f>IFERROR(__xludf.DUMMYFUNCTION("""COMPUTED_VALUE"""),"польові кухні")</f>
        <v>польові кухні</v>
      </c>
      <c r="I743" s="18">
        <f>IFERROR(__xludf.DUMMYFUNCTION("""COMPUTED_VALUE"""),1.04)</f>
        <v>1.04</v>
      </c>
      <c r="J743" s="18">
        <f>IFERROR(__xludf.DUMMYFUNCTION("""COMPUTED_VALUE"""),2.08)</f>
        <v>2.08</v>
      </c>
      <c r="K743" s="18">
        <f>IFERROR(__xludf.DUMMYFUNCTION("""COMPUTED_VALUE"""),2.59)</f>
        <v>2.59</v>
      </c>
      <c r="L743" s="18">
        <f>IFERROR(__xludf.DUMMYFUNCTION("""COMPUTED_VALUE"""),4.15)</f>
        <v>4.15</v>
      </c>
    </row>
    <row r="744">
      <c r="A744" s="13" t="str">
        <f>IFERROR(__xludf.DUMMYFUNCTION("""COMPUTED_VALUE"""),"товари")</f>
        <v>товари</v>
      </c>
      <c r="B744" s="13" t="str">
        <f>IFERROR(__xludf.DUMMYFUNCTION("""COMPUTED_VALUE"""),"тара та упаковка")</f>
        <v>тара та упаковка</v>
      </c>
      <c r="C744" s="15" t="str">
        <f>IFERROR(__xludf.DUMMYFUNCTION("""COMPUTED_VALUE"""),"пакувальні матеріали")</f>
        <v>пакувальні матеріали</v>
      </c>
      <c r="D744" s="15" t="str">
        <f>IFERROR(__xludf.DUMMYFUNCTION("""COMPUTED_VALUE"""),"дерев'яні пакувальні матеріали")</f>
        <v>дерев'яні пакувальні матеріали</v>
      </c>
      <c r="E744" s="15" t="str">
        <f>IFERROR(__xludf.DUMMYFUNCTION("""COMPUTED_VALUE"""),"дерев'яні пакувальні матеріали, загальне")</f>
        <v>дерев'яні пакувальні матеріали, загальне</v>
      </c>
      <c r="F744" s="17">
        <f>IFERROR(__xludf.DUMMYFUNCTION("""COMPUTED_VALUE"""),4.0)</f>
        <v>4</v>
      </c>
      <c r="G744" s="17">
        <f>IFERROR(__xludf.DUMMYFUNCTION("""COMPUTED_VALUE"""),230628.0)</f>
        <v>230628</v>
      </c>
      <c r="H744" s="17" t="str">
        <f>IFERROR(__xludf.DUMMYFUNCTION("""COMPUTED_VALUE"""),"дерев'яні пакувальні матеріали, загальне")</f>
        <v>дерев'яні пакувальні матеріали, загальне</v>
      </c>
      <c r="I744" s="18">
        <f>IFERROR(__xludf.DUMMYFUNCTION("""COMPUTED_VALUE"""),2.16)</f>
        <v>2.16</v>
      </c>
      <c r="J744" s="18">
        <f>IFERROR(__xludf.DUMMYFUNCTION("""COMPUTED_VALUE"""),4.33)</f>
        <v>4.33</v>
      </c>
      <c r="K744" s="18">
        <f>IFERROR(__xludf.DUMMYFUNCTION("""COMPUTED_VALUE"""),5.41)</f>
        <v>5.41</v>
      </c>
      <c r="L744" s="18">
        <f>IFERROR(__xludf.DUMMYFUNCTION("""COMPUTED_VALUE"""),8.65)</f>
        <v>8.65</v>
      </c>
    </row>
    <row r="745">
      <c r="A745" s="13" t="str">
        <f>IFERROR(__xludf.DUMMYFUNCTION("""COMPUTED_VALUE"""),"товари")</f>
        <v>товари</v>
      </c>
      <c r="B745" s="13" t="str">
        <f>IFERROR(__xludf.DUMMYFUNCTION("""COMPUTED_VALUE"""),"тара та упаковка")</f>
        <v>тара та упаковка</v>
      </c>
      <c r="C745" s="15" t="str">
        <f>IFERROR(__xludf.DUMMYFUNCTION("""COMPUTED_VALUE"""),"пакувальні матеріали")</f>
        <v>пакувальні матеріали</v>
      </c>
      <c r="D745" s="15" t="str">
        <f>IFERROR(__xludf.DUMMYFUNCTION("""COMPUTED_VALUE"""),"пакувальні плівки")</f>
        <v>пакувальні плівки</v>
      </c>
      <c r="E745" s="15" t="str">
        <f>IFERROR(__xludf.DUMMYFUNCTION("""COMPUTED_VALUE"""),"металізована плівка")</f>
        <v>металізована плівка</v>
      </c>
      <c r="F745" s="17">
        <f>IFERROR(__xludf.DUMMYFUNCTION("""COMPUTED_VALUE"""),4.0)</f>
        <v>4</v>
      </c>
      <c r="G745" s="17">
        <f>IFERROR(__xludf.DUMMYFUNCTION("""COMPUTED_VALUE"""),230650.0)</f>
        <v>230650</v>
      </c>
      <c r="H745" s="17" t="str">
        <f>IFERROR(__xludf.DUMMYFUNCTION("""COMPUTED_VALUE"""),"металізована плівка")</f>
        <v>металізована плівка</v>
      </c>
      <c r="I745" s="18">
        <f>IFERROR(__xludf.DUMMYFUNCTION("""COMPUTED_VALUE"""),1.35)</f>
        <v>1.35</v>
      </c>
      <c r="J745" s="18">
        <f>IFERROR(__xludf.DUMMYFUNCTION("""COMPUTED_VALUE"""),2.7)</f>
        <v>2.7</v>
      </c>
      <c r="K745" s="18">
        <f>IFERROR(__xludf.DUMMYFUNCTION("""COMPUTED_VALUE"""),3.38)</f>
        <v>3.38</v>
      </c>
      <c r="L745" s="18">
        <f>IFERROR(__xludf.DUMMYFUNCTION("""COMPUTED_VALUE"""),5.4)</f>
        <v>5.4</v>
      </c>
    </row>
    <row r="746">
      <c r="A746" s="13" t="str">
        <f>IFERROR(__xludf.DUMMYFUNCTION("""COMPUTED_VALUE"""),"товари")</f>
        <v>товари</v>
      </c>
      <c r="B746" s="13" t="str">
        <f>IFERROR(__xludf.DUMMYFUNCTION("""COMPUTED_VALUE"""),"тара та упаковка")</f>
        <v>тара та упаковка</v>
      </c>
      <c r="C746" s="15" t="str">
        <f>IFERROR(__xludf.DUMMYFUNCTION("""COMPUTED_VALUE"""),"пакувальні матеріали")</f>
        <v>пакувальні матеріали</v>
      </c>
      <c r="D746" s="15" t="str">
        <f>IFERROR(__xludf.DUMMYFUNCTION("""COMPUTED_VALUE"""),"пакувальні плівки")</f>
        <v>пакувальні плівки</v>
      </c>
      <c r="E746" s="15" t="str">
        <f>IFERROR(__xludf.DUMMYFUNCTION("""COMPUTED_VALUE"""),"пакувальні плівки, загальне")</f>
        <v>пакувальні плівки, загальне</v>
      </c>
      <c r="F746" s="17">
        <f>IFERROR(__xludf.DUMMYFUNCTION("""COMPUTED_VALUE"""),4.0)</f>
        <v>4</v>
      </c>
      <c r="G746" s="17">
        <f>IFERROR(__xludf.DUMMYFUNCTION("""COMPUTED_VALUE"""),230629.0)</f>
        <v>230629</v>
      </c>
      <c r="H746" s="17" t="str">
        <f>IFERROR(__xludf.DUMMYFUNCTION("""COMPUTED_VALUE"""),"пакувальні плівки, загальне")</f>
        <v>пакувальні плівки, загальне</v>
      </c>
      <c r="I746" s="18">
        <f>IFERROR(__xludf.DUMMYFUNCTION("""COMPUTED_VALUE"""),2.16)</f>
        <v>2.16</v>
      </c>
      <c r="J746" s="18">
        <f>IFERROR(__xludf.DUMMYFUNCTION("""COMPUTED_VALUE"""),4.33)</f>
        <v>4.33</v>
      </c>
      <c r="K746" s="18">
        <f>IFERROR(__xludf.DUMMYFUNCTION("""COMPUTED_VALUE"""),5.41)</f>
        <v>5.41</v>
      </c>
      <c r="L746" s="18">
        <f>IFERROR(__xludf.DUMMYFUNCTION("""COMPUTED_VALUE"""),8.65)</f>
        <v>8.65</v>
      </c>
    </row>
    <row r="747">
      <c r="A747" s="13" t="str">
        <f>IFERROR(__xludf.DUMMYFUNCTION("""COMPUTED_VALUE"""),"товари")</f>
        <v>товари</v>
      </c>
      <c r="B747" s="13" t="str">
        <f>IFERROR(__xludf.DUMMYFUNCTION("""COMPUTED_VALUE"""),"тара та упаковка")</f>
        <v>тара та упаковка</v>
      </c>
      <c r="C747" s="15" t="str">
        <f>IFERROR(__xludf.DUMMYFUNCTION("""COMPUTED_VALUE"""),"паперова продукція та упаковка")</f>
        <v>паперова продукція та упаковка</v>
      </c>
      <c r="D747" s="15" t="str">
        <f>IFERROR(__xludf.DUMMYFUNCTION("""COMPUTED_VALUE"""),"промисловий папір")</f>
        <v>промисловий папір</v>
      </c>
      <c r="E747" s="15" t="str">
        <f>IFERROR(__xludf.DUMMYFUNCTION("""COMPUTED_VALUE"""),"промисловий папір")</f>
        <v>промисловий папір</v>
      </c>
      <c r="F747" s="17">
        <f>IFERROR(__xludf.DUMMYFUNCTION("""COMPUTED_VALUE"""),3.0)</f>
        <v>3</v>
      </c>
      <c r="G747" s="17">
        <f>IFERROR(__xludf.DUMMYFUNCTION("""COMPUTED_VALUE"""),230112.0)</f>
        <v>230112</v>
      </c>
      <c r="H747" s="17" t="str">
        <f>IFERROR(__xludf.DUMMYFUNCTION("""COMPUTED_VALUE"""),"промисловий папір")</f>
        <v>промисловий папір</v>
      </c>
      <c r="I747" s="18">
        <f>IFERROR(__xludf.DUMMYFUNCTION("""COMPUTED_VALUE"""),0.63)</f>
        <v>0.63</v>
      </c>
      <c r="J747" s="18">
        <f>IFERROR(__xludf.DUMMYFUNCTION("""COMPUTED_VALUE"""),1.26)</f>
        <v>1.26</v>
      </c>
      <c r="K747" s="18">
        <f>IFERROR(__xludf.DUMMYFUNCTION("""COMPUTED_VALUE"""),1.58)</f>
        <v>1.58</v>
      </c>
      <c r="L747" s="18">
        <f>IFERROR(__xludf.DUMMYFUNCTION("""COMPUTED_VALUE"""),2.53)</f>
        <v>2.53</v>
      </c>
    </row>
    <row r="748">
      <c r="A748" s="13" t="str">
        <f>IFERROR(__xludf.DUMMYFUNCTION("""COMPUTED_VALUE"""),"товари")</f>
        <v>товари</v>
      </c>
      <c r="B748" s="13" t="str">
        <f>IFERROR(__xludf.DUMMYFUNCTION("""COMPUTED_VALUE"""),"тара та упаковка")</f>
        <v>тара та упаковка</v>
      </c>
      <c r="C748" s="15" t="str">
        <f>IFERROR(__xludf.DUMMYFUNCTION("""COMPUTED_VALUE"""),"пакувальні матеріали")</f>
        <v>пакувальні матеріали</v>
      </c>
      <c r="D748" s="15" t="str">
        <f>IFERROR(__xludf.DUMMYFUNCTION("""COMPUTED_VALUE"""),"тефлонові сітки, стрічки")</f>
        <v>тефлонові сітки, стрічки</v>
      </c>
      <c r="E748" s="15" t="str">
        <f>IFERROR(__xludf.DUMMYFUNCTION("""COMPUTED_VALUE"""),"тефлонові сітки, стрічки")</f>
        <v>тефлонові сітки, стрічки</v>
      </c>
      <c r="F748" s="17">
        <f>IFERROR(__xludf.DUMMYFUNCTION("""COMPUTED_VALUE"""),3.0)</f>
        <v>3</v>
      </c>
      <c r="G748" s="17">
        <f>IFERROR(__xludf.DUMMYFUNCTION("""COMPUTED_VALUE"""),230655.0)</f>
        <v>230655</v>
      </c>
      <c r="H748" s="17" t="str">
        <f>IFERROR(__xludf.DUMMYFUNCTION("""COMPUTED_VALUE"""),"тефлонові сітки, стрічки")</f>
        <v>тефлонові сітки, стрічки</v>
      </c>
      <c r="I748" s="18">
        <f>IFERROR(__xludf.DUMMYFUNCTION("""COMPUTED_VALUE"""),0.99)</f>
        <v>0.99</v>
      </c>
      <c r="J748" s="18">
        <f>IFERROR(__xludf.DUMMYFUNCTION("""COMPUTED_VALUE"""),1.98)</f>
        <v>1.98</v>
      </c>
      <c r="K748" s="18">
        <f>IFERROR(__xludf.DUMMYFUNCTION("""COMPUTED_VALUE"""),2.47)</f>
        <v>2.47</v>
      </c>
      <c r="L748" s="18">
        <f>IFERROR(__xludf.DUMMYFUNCTION("""COMPUTED_VALUE"""),3.95)</f>
        <v>3.95</v>
      </c>
    </row>
    <row r="749">
      <c r="A749" s="13" t="str">
        <f>IFERROR(__xludf.DUMMYFUNCTION("""COMPUTED_VALUE"""),"товари")</f>
        <v>товари</v>
      </c>
      <c r="B749" s="13" t="str">
        <f>IFERROR(__xludf.DUMMYFUNCTION("""COMPUTED_VALUE"""),"тара та упаковка")</f>
        <v>тара та упаковка</v>
      </c>
      <c r="C749" s="15" t="str">
        <f>IFERROR(__xludf.DUMMYFUNCTION("""COMPUTED_VALUE"""),"транспортні ємності")</f>
        <v>транспортні ємності</v>
      </c>
      <c r="D749" s="15" t="str">
        <f>IFERROR(__xludf.DUMMYFUNCTION("""COMPUTED_VALUE"""),"транспортні ємності")</f>
        <v>транспортні ємності</v>
      </c>
      <c r="E749" s="15" t="str">
        <f>IFERROR(__xludf.DUMMYFUNCTION("""COMPUTED_VALUE"""),"транспортні ємності")</f>
        <v>транспортні ємності</v>
      </c>
      <c r="F749" s="17">
        <f>IFERROR(__xludf.DUMMYFUNCTION("""COMPUTED_VALUE"""),2.0)</f>
        <v>2</v>
      </c>
      <c r="G749" s="17">
        <f>IFERROR(__xludf.DUMMYFUNCTION("""COMPUTED_VALUE"""),2304.0)</f>
        <v>2304</v>
      </c>
      <c r="H749" s="17" t="str">
        <f>IFERROR(__xludf.DUMMYFUNCTION("""COMPUTED_VALUE"""),"транспортні ємності")</f>
        <v>транспортні ємності</v>
      </c>
      <c r="I749" s="18">
        <f>IFERROR(__xludf.DUMMYFUNCTION("""COMPUTED_VALUE"""),0.76)</f>
        <v>0.76</v>
      </c>
      <c r="J749" s="18">
        <f>IFERROR(__xludf.DUMMYFUNCTION("""COMPUTED_VALUE"""),1.53)</f>
        <v>1.53</v>
      </c>
      <c r="K749" s="18">
        <f>IFERROR(__xludf.DUMMYFUNCTION("""COMPUTED_VALUE"""),1.91)</f>
        <v>1.91</v>
      </c>
      <c r="L749" s="18">
        <f>IFERROR(__xludf.DUMMYFUNCTION("""COMPUTED_VALUE"""),3.05)</f>
        <v>3.05</v>
      </c>
    </row>
    <row r="750">
      <c r="A750" s="13" t="str">
        <f>IFERROR(__xludf.DUMMYFUNCTION("""COMPUTED_VALUE"""),"товари")</f>
        <v>товари</v>
      </c>
      <c r="B750" s="13" t="str">
        <f>IFERROR(__xludf.DUMMYFUNCTION("""COMPUTED_VALUE"""),"телекомунікації та зв'язок")</f>
        <v>телекомунікації та зв'язок</v>
      </c>
      <c r="C750" s="15" t="str">
        <f>IFERROR(__xludf.DUMMYFUNCTION("""COMPUTED_VALUE"""),"антенно-щоглові споруди")</f>
        <v>антенно-щоглові споруди</v>
      </c>
      <c r="D750" s="15" t="str">
        <f>IFERROR(__xludf.DUMMYFUNCTION("""COMPUTED_VALUE"""),"антенно-щоглові споруди")</f>
        <v>антенно-щоглові споруди</v>
      </c>
      <c r="E750" s="15" t="str">
        <f>IFERROR(__xludf.DUMMYFUNCTION("""COMPUTED_VALUE"""),"антенно-щоглові споруди")</f>
        <v>антенно-щоглові споруди</v>
      </c>
      <c r="F750" s="17">
        <f>IFERROR(__xludf.DUMMYFUNCTION("""COMPUTED_VALUE"""),2.0)</f>
        <v>2</v>
      </c>
      <c r="G750" s="17">
        <f>IFERROR(__xludf.DUMMYFUNCTION("""COMPUTED_VALUE"""),50933.0)</f>
        <v>50933</v>
      </c>
      <c r="H750" s="17" t="str">
        <f>IFERROR(__xludf.DUMMYFUNCTION("""COMPUTED_VALUE"""),"антенно-щоглові споруди")</f>
        <v>антенно-щоглові споруди</v>
      </c>
      <c r="I750" s="18">
        <f>IFERROR(__xludf.DUMMYFUNCTION("""COMPUTED_VALUE"""),1.08)</f>
        <v>1.08</v>
      </c>
      <c r="J750" s="18">
        <f>IFERROR(__xludf.DUMMYFUNCTION("""COMPUTED_VALUE"""),2.16)</f>
        <v>2.16</v>
      </c>
      <c r="K750" s="18">
        <f>IFERROR(__xludf.DUMMYFUNCTION("""COMPUTED_VALUE"""),2.7)</f>
        <v>2.7</v>
      </c>
      <c r="L750" s="18">
        <f>IFERROR(__xludf.DUMMYFUNCTION("""COMPUTED_VALUE"""),4.33)</f>
        <v>4.33</v>
      </c>
    </row>
    <row r="751">
      <c r="A751" s="13" t="str">
        <f>IFERROR(__xludf.DUMMYFUNCTION("""COMPUTED_VALUE"""),"товари")</f>
        <v>товари</v>
      </c>
      <c r="B751" s="13" t="str">
        <f>IFERROR(__xludf.DUMMYFUNCTION("""COMPUTED_VALUE"""),"телекомунікації та зв'язок")</f>
        <v>телекомунікації та зв'язок</v>
      </c>
      <c r="C751" s="15" t="str">
        <f>IFERROR(__xludf.DUMMYFUNCTION("""COMPUTED_VALUE"""),"серверне обладнання")</f>
        <v>серверне обладнання</v>
      </c>
      <c r="D751" s="15" t="str">
        <f>IFERROR(__xludf.DUMMYFUNCTION("""COMPUTED_VALUE"""),"засоби управління серверами")</f>
        <v>засоби управління серверами</v>
      </c>
      <c r="E751" s="15" t="str">
        <f>IFERROR(__xludf.DUMMYFUNCTION("""COMPUTED_VALUE"""),"засоби управління серверами")</f>
        <v>засоби управління серверами</v>
      </c>
      <c r="F751" s="17">
        <f>IFERROR(__xludf.DUMMYFUNCTION("""COMPUTED_VALUE"""),3.0)</f>
        <v>3</v>
      </c>
      <c r="G751" s="17">
        <f>IFERROR(__xludf.DUMMYFUNCTION("""COMPUTED_VALUE"""),70305.0)</f>
        <v>70305</v>
      </c>
      <c r="H751" s="17" t="str">
        <f>IFERROR(__xludf.DUMMYFUNCTION("""COMPUTED_VALUE"""),"засоби управління серверами")</f>
        <v>засоби управління серверами</v>
      </c>
      <c r="I751" s="18">
        <f>IFERROR(__xludf.DUMMYFUNCTION("""COMPUTED_VALUE"""),0.53)</f>
        <v>0.53</v>
      </c>
      <c r="J751" s="18">
        <f>IFERROR(__xludf.DUMMYFUNCTION("""COMPUTED_VALUE"""),1.05)</f>
        <v>1.05</v>
      </c>
      <c r="K751" s="18">
        <f>IFERROR(__xludf.DUMMYFUNCTION("""COMPUTED_VALUE"""),1.31)</f>
        <v>1.31</v>
      </c>
      <c r="L751" s="18">
        <f>IFERROR(__xludf.DUMMYFUNCTION("""COMPUTED_VALUE"""),2.1)</f>
        <v>2.1</v>
      </c>
    </row>
    <row r="752">
      <c r="A752" s="13" t="str">
        <f>IFERROR(__xludf.DUMMYFUNCTION("""COMPUTED_VALUE"""),"товари")</f>
        <v>товари</v>
      </c>
      <c r="B752" s="13" t="str">
        <f>IFERROR(__xludf.DUMMYFUNCTION("""COMPUTED_VALUE"""),"телекомунікації та зв'язок")</f>
        <v>телекомунікації та зв'язок</v>
      </c>
      <c r="C752" s="15" t="str">
        <f>IFERROR(__xludf.DUMMYFUNCTION("""COMPUTED_VALUE"""),"пасивне мережеве обладнання")</f>
        <v>пасивне мережеве обладнання</v>
      </c>
      <c r="D752" s="15" t="str">
        <f>IFERROR(__xludf.DUMMYFUNCTION("""COMPUTED_VALUE"""),"кросове обладнання")</f>
        <v>кросове обладнання</v>
      </c>
      <c r="E752" s="15" t="str">
        <f>IFERROR(__xludf.DUMMYFUNCTION("""COMPUTED_VALUE"""),"кросове обладнання")</f>
        <v>кросове обладнання</v>
      </c>
      <c r="F752" s="17">
        <f>IFERROR(__xludf.DUMMYFUNCTION("""COMPUTED_VALUE"""),3.0)</f>
        <v>3</v>
      </c>
      <c r="G752" s="17">
        <f>IFERROR(__xludf.DUMMYFUNCTION("""COMPUTED_VALUE"""),50931.0)</f>
        <v>50931</v>
      </c>
      <c r="H752" s="17" t="str">
        <f>IFERROR(__xludf.DUMMYFUNCTION("""COMPUTED_VALUE"""),"кросове обладнання")</f>
        <v>кросове обладнання</v>
      </c>
      <c r="I752" s="18">
        <f>IFERROR(__xludf.DUMMYFUNCTION("""COMPUTED_VALUE"""),0.99)</f>
        <v>0.99</v>
      </c>
      <c r="J752" s="18">
        <f>IFERROR(__xludf.DUMMYFUNCTION("""COMPUTED_VALUE"""),1.98)</f>
        <v>1.98</v>
      </c>
      <c r="K752" s="18">
        <f>IFERROR(__xludf.DUMMYFUNCTION("""COMPUTED_VALUE"""),2.47)</f>
        <v>2.47</v>
      </c>
      <c r="L752" s="18">
        <f>IFERROR(__xludf.DUMMYFUNCTION("""COMPUTED_VALUE"""),3.95)</f>
        <v>3.95</v>
      </c>
    </row>
    <row r="753">
      <c r="A753" s="13" t="str">
        <f>IFERROR(__xludf.DUMMYFUNCTION("""COMPUTED_VALUE"""),"товари")</f>
        <v>товари</v>
      </c>
      <c r="B753" s="13" t="str">
        <f>IFERROR(__xludf.DUMMYFUNCTION("""COMPUTED_VALUE"""),"телекомунікації та зв'язок")</f>
        <v>телекомунікації та зв'язок</v>
      </c>
      <c r="C753" s="15" t="str">
        <f>IFERROR(__xludf.DUMMYFUNCTION("""COMPUTED_VALUE"""),"активне мережеве обладнання")</f>
        <v>активне мережеве обладнання</v>
      </c>
      <c r="D753" s="15" t="str">
        <f>IFERROR(__xludf.DUMMYFUNCTION("""COMPUTED_VALUE"""),"міжмережеві екрани")</f>
        <v>міжмережеві екрани</v>
      </c>
      <c r="E753" s="15" t="str">
        <f>IFERROR(__xludf.DUMMYFUNCTION("""COMPUTED_VALUE"""),"міжмережеві екрани")</f>
        <v>міжмережеві екрани</v>
      </c>
      <c r="F753" s="17">
        <f>IFERROR(__xludf.DUMMYFUNCTION("""COMPUTED_VALUE"""),3.0)</f>
        <v>3</v>
      </c>
      <c r="G753" s="17">
        <f>IFERROR(__xludf.DUMMYFUNCTION("""COMPUTED_VALUE"""),50924.0)</f>
        <v>50924</v>
      </c>
      <c r="H753" s="17" t="str">
        <f>IFERROR(__xludf.DUMMYFUNCTION("""COMPUTED_VALUE"""),"міжмережеві екрани")</f>
        <v>міжмережеві екрани</v>
      </c>
      <c r="I753" s="18">
        <f>IFERROR(__xludf.DUMMYFUNCTION("""COMPUTED_VALUE"""),0.76)</f>
        <v>0.76</v>
      </c>
      <c r="J753" s="18">
        <f>IFERROR(__xludf.DUMMYFUNCTION("""COMPUTED_VALUE"""),1.53)</f>
        <v>1.53</v>
      </c>
      <c r="K753" s="18">
        <f>IFERROR(__xludf.DUMMYFUNCTION("""COMPUTED_VALUE"""),1.91)</f>
        <v>1.91</v>
      </c>
      <c r="L753" s="18">
        <f>IFERROR(__xludf.DUMMYFUNCTION("""COMPUTED_VALUE"""),3.05)</f>
        <v>3.05</v>
      </c>
    </row>
    <row r="754">
      <c r="A754" s="13" t="str">
        <f>IFERROR(__xludf.DUMMYFUNCTION("""COMPUTED_VALUE"""),"товари")</f>
        <v>товари</v>
      </c>
      <c r="B754" s="13" t="str">
        <f>IFERROR(__xludf.DUMMYFUNCTION("""COMPUTED_VALUE"""),"телекомунікації та зв'язок")</f>
        <v>телекомунікації та зв'язок</v>
      </c>
      <c r="C754" s="15" t="str">
        <f>IFERROR(__xludf.DUMMYFUNCTION("""COMPUTED_VALUE"""),"активне мережеве обладнання")</f>
        <v>активне мережеве обладнання</v>
      </c>
      <c r="D754" s="15" t="str">
        <f>IFERROR(__xludf.DUMMYFUNCTION("""COMPUTED_VALUE"""),"обладнання pon")</f>
        <v>обладнання pon</v>
      </c>
      <c r="E754" s="15" t="str">
        <f>IFERROR(__xludf.DUMMYFUNCTION("""COMPUTED_VALUE"""),"обладнання pon")</f>
        <v>обладнання pon</v>
      </c>
      <c r="F754" s="17">
        <f>IFERROR(__xludf.DUMMYFUNCTION("""COMPUTED_VALUE"""),3.0)</f>
        <v>3</v>
      </c>
      <c r="G754" s="17">
        <f>IFERROR(__xludf.DUMMYFUNCTION("""COMPUTED_VALUE"""),71907.0)</f>
        <v>71907</v>
      </c>
      <c r="H754" s="17" t="str">
        <f>IFERROR(__xludf.DUMMYFUNCTION("""COMPUTED_VALUE"""),"обладнання pon")</f>
        <v>обладнання pon</v>
      </c>
      <c r="I754" s="18">
        <f>IFERROR(__xludf.DUMMYFUNCTION("""COMPUTED_VALUE"""),0.76)</f>
        <v>0.76</v>
      </c>
      <c r="J754" s="18">
        <f>IFERROR(__xludf.DUMMYFUNCTION("""COMPUTED_VALUE"""),1.53)</f>
        <v>1.53</v>
      </c>
      <c r="K754" s="18">
        <f>IFERROR(__xludf.DUMMYFUNCTION("""COMPUTED_VALUE"""),1.91)</f>
        <v>1.91</v>
      </c>
      <c r="L754" s="18">
        <f>IFERROR(__xludf.DUMMYFUNCTION("""COMPUTED_VALUE"""),3.05)</f>
        <v>3.05</v>
      </c>
    </row>
    <row r="755">
      <c r="A755" s="13" t="str">
        <f>IFERROR(__xludf.DUMMYFUNCTION("""COMPUTED_VALUE"""),"товари")</f>
        <v>товари</v>
      </c>
      <c r="B755" s="13" t="str">
        <f>IFERROR(__xludf.DUMMYFUNCTION("""COMPUTED_VALUE"""),"телекомунікації та зв'язок")</f>
        <v>телекомунікації та зв'язок</v>
      </c>
      <c r="C755" s="15" t="str">
        <f>IFERROR(__xludf.DUMMYFUNCTION("""COMPUTED_VALUE"""),"активне мережеве обладнання")</f>
        <v>активне мережеве обладнання</v>
      </c>
      <c r="D755" s="15" t="str">
        <f>IFERROR(__xludf.DUMMYFUNCTION("""COMPUTED_VALUE"""),"обладнання xdsl")</f>
        <v>обладнання xdsl</v>
      </c>
      <c r="E755" s="15" t="str">
        <f>IFERROR(__xludf.DUMMYFUNCTION("""COMPUTED_VALUE"""),"обладнання xdsl")</f>
        <v>обладнання xdsl</v>
      </c>
      <c r="F755" s="17">
        <f>IFERROR(__xludf.DUMMYFUNCTION("""COMPUTED_VALUE"""),3.0)</f>
        <v>3</v>
      </c>
      <c r="G755" s="17">
        <f>IFERROR(__xludf.DUMMYFUNCTION("""COMPUTED_VALUE"""),70803.0)</f>
        <v>70803</v>
      </c>
      <c r="H755" s="17" t="str">
        <f>IFERROR(__xludf.DUMMYFUNCTION("""COMPUTED_VALUE"""),"обладнання xdsl")</f>
        <v>обладнання xdsl</v>
      </c>
      <c r="I755" s="18">
        <f>IFERROR(__xludf.DUMMYFUNCTION("""COMPUTED_VALUE"""),0.76)</f>
        <v>0.76</v>
      </c>
      <c r="J755" s="18">
        <f>IFERROR(__xludf.DUMMYFUNCTION("""COMPUTED_VALUE"""),1.53)</f>
        <v>1.53</v>
      </c>
      <c r="K755" s="18">
        <f>IFERROR(__xludf.DUMMYFUNCTION("""COMPUTED_VALUE"""),1.91)</f>
        <v>1.91</v>
      </c>
      <c r="L755" s="18">
        <f>IFERROR(__xludf.DUMMYFUNCTION("""COMPUTED_VALUE"""),3.05)</f>
        <v>3.05</v>
      </c>
    </row>
    <row r="756">
      <c r="A756" s="13" t="str">
        <f>IFERROR(__xludf.DUMMYFUNCTION("""COMPUTED_VALUE"""),"товари")</f>
        <v>товари</v>
      </c>
      <c r="B756" s="13" t="str">
        <f>IFERROR(__xludf.DUMMYFUNCTION("""COMPUTED_VALUE"""),"телекомунікації та зв'язок")</f>
        <v>телекомунікації та зв'язок</v>
      </c>
      <c r="C756" s="15" t="str">
        <f>IFERROR(__xludf.DUMMYFUNCTION("""COMPUTED_VALUE"""),"пасивне мережеве обладнання")</f>
        <v>пасивне мережеве обладнання</v>
      </c>
      <c r="D756" s="15" t="str">
        <f>IFERROR(__xludf.DUMMYFUNCTION("""COMPUTED_VALUE"""),"оптоволоконне обладнання")</f>
        <v>оптоволоконне обладнання</v>
      </c>
      <c r="E756" s="15" t="str">
        <f>IFERROR(__xludf.DUMMYFUNCTION("""COMPUTED_VALUE"""),"оптичні дільники")</f>
        <v>оптичні дільники</v>
      </c>
      <c r="F756" s="17">
        <f>IFERROR(__xludf.DUMMYFUNCTION("""COMPUTED_VALUE"""),4.0)</f>
        <v>4</v>
      </c>
      <c r="G756" s="17">
        <f>IFERROR(__xludf.DUMMYFUNCTION("""COMPUTED_VALUE"""),5092008.0)</f>
        <v>5092008</v>
      </c>
      <c r="H756" s="17" t="str">
        <f>IFERROR(__xludf.DUMMYFUNCTION("""COMPUTED_VALUE"""),"оптичні дільники")</f>
        <v>оптичні дільники</v>
      </c>
      <c r="I756" s="18">
        <f>IFERROR(__xludf.DUMMYFUNCTION("""COMPUTED_VALUE"""),0.86)</f>
        <v>0.86</v>
      </c>
      <c r="J756" s="18">
        <f>IFERROR(__xludf.DUMMYFUNCTION("""COMPUTED_VALUE"""),1.71)</f>
        <v>1.71</v>
      </c>
      <c r="K756" s="18">
        <f>IFERROR(__xludf.DUMMYFUNCTION("""COMPUTED_VALUE"""),2.14)</f>
        <v>2.14</v>
      </c>
      <c r="L756" s="18">
        <f>IFERROR(__xludf.DUMMYFUNCTION("""COMPUTED_VALUE"""),3.43)</f>
        <v>3.43</v>
      </c>
    </row>
    <row r="757">
      <c r="A757" s="13" t="str">
        <f>IFERROR(__xludf.DUMMYFUNCTION("""COMPUTED_VALUE"""),"товари")</f>
        <v>товари</v>
      </c>
      <c r="B757" s="13" t="str">
        <f>IFERROR(__xludf.DUMMYFUNCTION("""COMPUTED_VALUE"""),"телекомунікації та зв'язок")</f>
        <v>телекомунікації та зв'язок</v>
      </c>
      <c r="C757" s="15" t="str">
        <f>IFERROR(__xludf.DUMMYFUNCTION("""COMPUTED_VALUE"""),"серверне обладнання")</f>
        <v>серверне обладнання</v>
      </c>
      <c r="D757" s="15" t="str">
        <f>IFERROR(__xludf.DUMMYFUNCTION("""COMPUTED_VALUE"""),"серверне обладнання, загальне")</f>
        <v>серверне обладнання, загальне</v>
      </c>
      <c r="E757" s="15" t="str">
        <f>IFERROR(__xludf.DUMMYFUNCTION("""COMPUTED_VALUE"""),"серверне обладнання, загальне")</f>
        <v>серверне обладнання, загальне</v>
      </c>
      <c r="F757" s="17">
        <f>IFERROR(__xludf.DUMMYFUNCTION("""COMPUTED_VALUE"""),3.0)</f>
        <v>3</v>
      </c>
      <c r="G757" s="17">
        <f>IFERROR(__xludf.DUMMYFUNCTION("""COMPUTED_VALUE"""),70301.0)</f>
        <v>70301</v>
      </c>
      <c r="H757" s="17" t="str">
        <f>IFERROR(__xludf.DUMMYFUNCTION("""COMPUTED_VALUE"""),"серверне обладнання, загальне")</f>
        <v>серверне обладнання, загальне</v>
      </c>
      <c r="I757" s="18">
        <f>IFERROR(__xludf.DUMMYFUNCTION("""COMPUTED_VALUE"""),2.16)</f>
        <v>2.16</v>
      </c>
      <c r="J757" s="18">
        <f>IFERROR(__xludf.DUMMYFUNCTION("""COMPUTED_VALUE"""),4.33)</f>
        <v>4.33</v>
      </c>
      <c r="K757" s="18">
        <f>IFERROR(__xludf.DUMMYFUNCTION("""COMPUTED_VALUE"""),5.41)</f>
        <v>5.41</v>
      </c>
      <c r="L757" s="18">
        <f>IFERROR(__xludf.DUMMYFUNCTION("""COMPUTED_VALUE"""),8.65)</f>
        <v>8.65</v>
      </c>
    </row>
    <row r="758">
      <c r="A758" s="13" t="str">
        <f>IFERROR(__xludf.DUMMYFUNCTION("""COMPUTED_VALUE"""),"товари")</f>
        <v>товари</v>
      </c>
      <c r="B758" s="13" t="str">
        <f>IFERROR(__xludf.DUMMYFUNCTION("""COMPUTED_VALUE"""),"техніка та електроніка")</f>
        <v>техніка та електроніка</v>
      </c>
      <c r="C758" s="15" t="str">
        <f>IFERROR(__xludf.DUMMYFUNCTION("""COMPUTED_VALUE"""),"комп'ютерна техніка та пз")</f>
        <v>комп'ютерна техніка та пз</v>
      </c>
      <c r="D758" s="15" t="str">
        <f>IFERROR(__xludf.DUMMYFUNCTION("""COMPUTED_VALUE"""),"програмне забезпечення (пз)")</f>
        <v>програмне забезпечення (пз)</v>
      </c>
      <c r="E758" s="15" t="str">
        <f>IFERROR(__xludf.DUMMYFUNCTION("""COMPUTED_VALUE"""),"пз для інтернету, локальних мереж")</f>
        <v>пз для інтернету, локальних мереж</v>
      </c>
      <c r="F758" s="17">
        <f>IFERROR(__xludf.DUMMYFUNCTION("""COMPUTED_VALUE"""),4.0)</f>
        <v>4</v>
      </c>
      <c r="G758" s="17">
        <f>IFERROR(__xludf.DUMMYFUNCTION("""COMPUTED_VALUE"""),2.8420312E7)</f>
        <v>28420312</v>
      </c>
      <c r="H758" s="17" t="str">
        <f>IFERROR(__xludf.DUMMYFUNCTION("""COMPUTED_VALUE"""),"пз для інтернету, локальних мереж")</f>
        <v>пз для інтернету, локальних мереж</v>
      </c>
      <c r="I758" s="18">
        <f>IFERROR(__xludf.DUMMYFUNCTION("""COMPUTED_VALUE"""),1.98)</f>
        <v>1.98</v>
      </c>
      <c r="J758" s="18">
        <f>IFERROR(__xludf.DUMMYFUNCTION("""COMPUTED_VALUE"""),3.96)</f>
        <v>3.96</v>
      </c>
      <c r="K758" s="18">
        <f>IFERROR(__xludf.DUMMYFUNCTION("""COMPUTED_VALUE"""),4.95)</f>
        <v>4.95</v>
      </c>
      <c r="L758" s="18">
        <f>IFERROR(__xludf.DUMMYFUNCTION("""COMPUTED_VALUE"""),7.93)</f>
        <v>7.93</v>
      </c>
    </row>
    <row r="759">
      <c r="A759" s="13" t="str">
        <f>IFERROR(__xludf.DUMMYFUNCTION("""COMPUTED_VALUE"""),"товари")</f>
        <v>товари</v>
      </c>
      <c r="B759" s="13" t="str">
        <f>IFERROR(__xludf.DUMMYFUNCTION("""COMPUTED_VALUE"""),"техніка та електроніка")</f>
        <v>техніка та електроніка</v>
      </c>
      <c r="C759" s="15" t="str">
        <f>IFERROR(__xludf.DUMMYFUNCTION("""COMPUTED_VALUE"""),"комп'ютерна техніка та пз")</f>
        <v>комп'ютерна техніка та пз</v>
      </c>
      <c r="D759" s="15" t="str">
        <f>IFERROR(__xludf.DUMMYFUNCTION("""COMPUTED_VALUE"""),"програмне забезпечення (пз)")</f>
        <v>програмне забезпечення (пз)</v>
      </c>
      <c r="E759" s="15" t="str">
        <f>IFERROR(__xludf.DUMMYFUNCTION("""COMPUTED_VALUE"""),"пз для торгівлі")</f>
        <v>пз для торгівлі</v>
      </c>
      <c r="F759" s="17">
        <f>IFERROR(__xludf.DUMMYFUNCTION("""COMPUTED_VALUE"""),4.0)</f>
        <v>4</v>
      </c>
      <c r="G759" s="17">
        <f>IFERROR(__xludf.DUMMYFUNCTION("""COMPUTED_VALUE"""),284346.0)</f>
        <v>284346</v>
      </c>
      <c r="H759" s="17" t="str">
        <f>IFERROR(__xludf.DUMMYFUNCTION("""COMPUTED_VALUE"""),"пз для торгівлі")</f>
        <v>пз для торгівлі</v>
      </c>
      <c r="I759" s="18">
        <f>IFERROR(__xludf.DUMMYFUNCTION("""COMPUTED_VALUE"""),1.98)</f>
        <v>1.98</v>
      </c>
      <c r="J759" s="18">
        <f>IFERROR(__xludf.DUMMYFUNCTION("""COMPUTED_VALUE"""),3.96)</f>
        <v>3.96</v>
      </c>
      <c r="K759" s="18">
        <f>IFERROR(__xludf.DUMMYFUNCTION("""COMPUTED_VALUE"""),4.95)</f>
        <v>4.95</v>
      </c>
      <c r="L759" s="18">
        <f>IFERROR(__xludf.DUMMYFUNCTION("""COMPUTED_VALUE"""),7.93)</f>
        <v>7.93</v>
      </c>
    </row>
    <row r="760">
      <c r="A760" s="13" t="str">
        <f>IFERROR(__xludf.DUMMYFUNCTION("""COMPUTED_VALUE"""),"товари")</f>
        <v>товари</v>
      </c>
      <c r="B760" s="13" t="str">
        <f>IFERROR(__xludf.DUMMYFUNCTION("""COMPUTED_VALUE"""),"авіа-, ж/д-, водний транспорт")</f>
        <v>авіа-, ж/д-, водний транспорт</v>
      </c>
      <c r="C760" s="15" t="str">
        <f>IFERROR(__xludf.DUMMYFUNCTION("""COMPUTED_VALUE"""),"водний транспорт")</f>
        <v>водний транспорт</v>
      </c>
      <c r="D760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60" s="15" t="str">
        <f>IFERROR(__xludf.DUMMYFUNCTION("""COMPUTED_VALUE"""),"вентиляційні та опалювальні системи суден")</f>
        <v>вентиляційні та опалювальні системи суден</v>
      </c>
      <c r="F760" s="17">
        <f>IFERROR(__xludf.DUMMYFUNCTION("""COMPUTED_VALUE"""),4.0)</f>
        <v>4</v>
      </c>
      <c r="G760" s="17">
        <f>IFERROR(__xludf.DUMMYFUNCTION("""COMPUTED_VALUE"""),1.2070613E7)</f>
        <v>12070613</v>
      </c>
      <c r="H760" s="17" t="str">
        <f>IFERROR(__xludf.DUMMYFUNCTION("""COMPUTED_VALUE"""),"вентиляційні та опалювальні системи суден")</f>
        <v>вентиляційні та опалювальні системи суден</v>
      </c>
      <c r="I760" s="18">
        <f>IFERROR(__xludf.DUMMYFUNCTION("""COMPUTED_VALUE"""),1.17)</f>
        <v>1.17</v>
      </c>
      <c r="J760" s="18">
        <f>IFERROR(__xludf.DUMMYFUNCTION("""COMPUTED_VALUE"""),2.34)</f>
        <v>2.34</v>
      </c>
      <c r="K760" s="18">
        <f>IFERROR(__xludf.DUMMYFUNCTION("""COMPUTED_VALUE"""),2.92)</f>
        <v>2.92</v>
      </c>
      <c r="L760" s="18">
        <f>IFERROR(__xludf.DUMMYFUNCTION("""COMPUTED_VALUE"""),4.68)</f>
        <v>4.68</v>
      </c>
    </row>
    <row r="761">
      <c r="A761" s="13" t="str">
        <f>IFERROR(__xludf.DUMMYFUNCTION("""COMPUTED_VALUE"""),"товари")</f>
        <v>товари</v>
      </c>
      <c r="B761" s="13" t="str">
        <f>IFERROR(__xludf.DUMMYFUNCTION("""COMPUTED_VALUE"""),"авіа-, ж/д-, водний транспорт")</f>
        <v>авіа-, ж/д-, водний транспорт</v>
      </c>
      <c r="C761" s="15" t="str">
        <f>IFERROR(__xludf.DUMMYFUNCTION("""COMPUTED_VALUE"""),"водний транспорт")</f>
        <v>водний транспорт</v>
      </c>
      <c r="D761" s="15" t="str">
        <f>IFERROR(__xludf.DUMMYFUNCTION("""COMPUTED_VALUE"""),"водні скутери")</f>
        <v>водні скутери</v>
      </c>
      <c r="E761" s="15" t="str">
        <f>IFERROR(__xludf.DUMMYFUNCTION("""COMPUTED_VALUE"""),"водні скутери")</f>
        <v>водні скутери</v>
      </c>
      <c r="F761" s="17">
        <f>IFERROR(__xludf.DUMMYFUNCTION("""COMPUTED_VALUE"""),3.0)</f>
        <v>3</v>
      </c>
      <c r="G761" s="17">
        <f>IFERROR(__xludf.DUMMYFUNCTION("""COMPUTED_VALUE"""),120705.0)</f>
        <v>120705</v>
      </c>
      <c r="H761" s="17" t="str">
        <f>IFERROR(__xludf.DUMMYFUNCTION("""COMPUTED_VALUE"""),"водні скутери")</f>
        <v>водні скутери</v>
      </c>
      <c r="I761" s="18">
        <f>IFERROR(__xludf.DUMMYFUNCTION("""COMPUTED_VALUE"""),0.76)</f>
        <v>0.76</v>
      </c>
      <c r="J761" s="18">
        <f>IFERROR(__xludf.DUMMYFUNCTION("""COMPUTED_VALUE"""),1.53)</f>
        <v>1.53</v>
      </c>
      <c r="K761" s="18">
        <f>IFERROR(__xludf.DUMMYFUNCTION("""COMPUTED_VALUE"""),1.91)</f>
        <v>1.91</v>
      </c>
      <c r="L761" s="18">
        <f>IFERROR(__xludf.DUMMYFUNCTION("""COMPUTED_VALUE"""),3.05)</f>
        <v>3.05</v>
      </c>
    </row>
    <row r="762">
      <c r="A762" s="13" t="str">
        <f>IFERROR(__xludf.DUMMYFUNCTION("""COMPUTED_VALUE"""),"товари")</f>
        <v>товари</v>
      </c>
      <c r="B762" s="13" t="str">
        <f>IFERROR(__xludf.DUMMYFUNCTION("""COMPUTED_VALUE"""),"авіа-, ж/д-, водний транспорт")</f>
        <v>авіа-, ж/д-, водний транспорт</v>
      </c>
      <c r="C762" s="15" t="str">
        <f>IFERROR(__xludf.DUMMYFUNCTION("""COMPUTED_VALUE"""),"водний транспорт")</f>
        <v>водний транспорт</v>
      </c>
      <c r="D762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62" s="15" t="str">
        <f>IFERROR(__xludf.DUMMYFUNCTION("""COMPUTED_VALUE"""),"гвинти гребні")</f>
        <v>гвинти гребні</v>
      </c>
      <c r="F762" s="17">
        <f>IFERROR(__xludf.DUMMYFUNCTION("""COMPUTED_VALUE"""),4.0)</f>
        <v>4</v>
      </c>
      <c r="G762" s="17">
        <f>IFERROR(__xludf.DUMMYFUNCTION("""COMPUTED_VALUE"""),1.2070604E7)</f>
        <v>12070604</v>
      </c>
      <c r="H762" s="17" t="str">
        <f>IFERROR(__xludf.DUMMYFUNCTION("""COMPUTED_VALUE"""),"гвинти гребні")</f>
        <v>гвинти гребні</v>
      </c>
      <c r="I762" s="18">
        <f>IFERROR(__xludf.DUMMYFUNCTION("""COMPUTED_VALUE"""),1.17)</f>
        <v>1.17</v>
      </c>
      <c r="J762" s="18">
        <f>IFERROR(__xludf.DUMMYFUNCTION("""COMPUTED_VALUE"""),2.34)</f>
        <v>2.34</v>
      </c>
      <c r="K762" s="18">
        <f>IFERROR(__xludf.DUMMYFUNCTION("""COMPUTED_VALUE"""),2.92)</f>
        <v>2.92</v>
      </c>
      <c r="L762" s="18">
        <f>IFERROR(__xludf.DUMMYFUNCTION("""COMPUTED_VALUE"""),4.68)</f>
        <v>4.68</v>
      </c>
    </row>
    <row r="763">
      <c r="A763" s="13" t="str">
        <f>IFERROR(__xludf.DUMMYFUNCTION("""COMPUTED_VALUE"""),"товари")</f>
        <v>товари</v>
      </c>
      <c r="B763" s="13" t="str">
        <f>IFERROR(__xludf.DUMMYFUNCTION("""COMPUTED_VALUE"""),"авіа-, ж/д-, водний транспорт")</f>
        <v>авіа-, ж/д-, водний транспорт</v>
      </c>
      <c r="C763" s="15" t="str">
        <f>IFERROR(__xludf.DUMMYFUNCTION("""COMPUTED_VALUE"""),"водний транспорт")</f>
        <v>водний транспорт</v>
      </c>
      <c r="D763" s="15" t="str">
        <f>IFERROR(__xludf.DUMMYFUNCTION("""COMPUTED_VALUE"""),"системи управління судном")</f>
        <v>системи управління судном</v>
      </c>
      <c r="E763" s="15" t="str">
        <f>IFERROR(__xludf.DUMMYFUNCTION("""COMPUTED_VALUE"""),"гідравлічні кермові системи управління судном")</f>
        <v>гідравлічні кермові системи управління судном</v>
      </c>
      <c r="F763" s="17">
        <f>IFERROR(__xludf.DUMMYFUNCTION("""COMPUTED_VALUE"""),4.0)</f>
        <v>4</v>
      </c>
      <c r="G763" s="17">
        <f>IFERROR(__xludf.DUMMYFUNCTION("""COMPUTED_VALUE"""),1.2070902E7)</f>
        <v>12070902</v>
      </c>
      <c r="H763" s="17" t="str">
        <f>IFERROR(__xludf.DUMMYFUNCTION("""COMPUTED_VALUE"""),"гідравлічні кермові системи управління судном")</f>
        <v>гідравлічні кермові системи управління судном</v>
      </c>
      <c r="I763" s="18">
        <f>IFERROR(__xludf.DUMMYFUNCTION("""COMPUTED_VALUE"""),0.86)</f>
        <v>0.86</v>
      </c>
      <c r="J763" s="18">
        <f>IFERROR(__xludf.DUMMYFUNCTION("""COMPUTED_VALUE"""),1.71)</f>
        <v>1.71</v>
      </c>
      <c r="K763" s="18">
        <f>IFERROR(__xludf.DUMMYFUNCTION("""COMPUTED_VALUE"""),2.14)</f>
        <v>2.14</v>
      </c>
      <c r="L763" s="18">
        <f>IFERROR(__xludf.DUMMYFUNCTION("""COMPUTED_VALUE"""),3.43)</f>
        <v>3.43</v>
      </c>
    </row>
    <row r="764">
      <c r="A764" s="13" t="str">
        <f>IFERROR(__xludf.DUMMYFUNCTION("""COMPUTED_VALUE"""),"товари")</f>
        <v>товари</v>
      </c>
      <c r="B764" s="13" t="str">
        <f>IFERROR(__xludf.DUMMYFUNCTION("""COMPUTED_VALUE"""),"авіа-, ж/д-, водний транспорт")</f>
        <v>авіа-, ж/д-, водний транспорт</v>
      </c>
      <c r="C764" s="15" t="str">
        <f>IFERROR(__xludf.DUMMYFUNCTION("""COMPUTED_VALUE"""),"водний транспорт")</f>
        <v>водний транспорт</v>
      </c>
      <c r="D764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64" s="15" t="str">
        <f>IFERROR(__xludf.DUMMYFUNCTION("""COMPUTED_VALUE"""),"гідрофойли")</f>
        <v>гідрофойли</v>
      </c>
      <c r="F764" s="17">
        <f>IFERROR(__xludf.DUMMYFUNCTION("""COMPUTED_VALUE"""),4.0)</f>
        <v>4</v>
      </c>
      <c r="G764" s="17">
        <f>IFERROR(__xludf.DUMMYFUNCTION("""COMPUTED_VALUE"""),1.2070612E7)</f>
        <v>12070612</v>
      </c>
      <c r="H764" s="17" t="str">
        <f>IFERROR(__xludf.DUMMYFUNCTION("""COMPUTED_VALUE"""),"гідрофойли")</f>
        <v>гідрофойли</v>
      </c>
      <c r="I764" s="18">
        <f>IFERROR(__xludf.DUMMYFUNCTION("""COMPUTED_VALUE"""),1.17)</f>
        <v>1.17</v>
      </c>
      <c r="J764" s="18">
        <f>IFERROR(__xludf.DUMMYFUNCTION("""COMPUTED_VALUE"""),2.34)</f>
        <v>2.34</v>
      </c>
      <c r="K764" s="18">
        <f>IFERROR(__xludf.DUMMYFUNCTION("""COMPUTED_VALUE"""),2.92)</f>
        <v>2.92</v>
      </c>
      <c r="L764" s="18">
        <f>IFERROR(__xludf.DUMMYFUNCTION("""COMPUTED_VALUE"""),4.68)</f>
        <v>4.68</v>
      </c>
    </row>
    <row r="765">
      <c r="A765" s="13" t="str">
        <f>IFERROR(__xludf.DUMMYFUNCTION("""COMPUTED_VALUE"""),"товари")</f>
        <v>товари</v>
      </c>
      <c r="B765" s="13" t="str">
        <f>IFERROR(__xludf.DUMMYFUNCTION("""COMPUTED_VALUE"""),"авіа-, ж/д-, водний транспорт")</f>
        <v>авіа-, ж/д-, водний транспорт</v>
      </c>
      <c r="C765" s="15" t="str">
        <f>IFERROR(__xludf.DUMMYFUNCTION("""COMPUTED_VALUE"""),"залізничний транспорт і комплектуючі")</f>
        <v>залізничний транспорт і комплектуючі</v>
      </c>
      <c r="D765" s="15" t="str">
        <f>IFERROR(__xludf.DUMMYFUNCTION("""COMPUTED_VALUE"""),"залізничний інструмент")</f>
        <v>залізничний інструмент</v>
      </c>
      <c r="E765" s="15" t="str">
        <f>IFERROR(__xludf.DUMMYFUNCTION("""COMPUTED_VALUE"""),"залізничний інструмент, загальне")</f>
        <v>залізничний інструмент, загальне</v>
      </c>
      <c r="F765" s="17">
        <f>IFERROR(__xludf.DUMMYFUNCTION("""COMPUTED_VALUE"""),4.0)</f>
        <v>4</v>
      </c>
      <c r="G765" s="17">
        <f>IFERROR(__xludf.DUMMYFUNCTION("""COMPUTED_VALUE"""),1.4201302E7)</f>
        <v>14201302</v>
      </c>
      <c r="H765" s="17" t="str">
        <f>IFERROR(__xludf.DUMMYFUNCTION("""COMPUTED_VALUE"""),"залізничний інструмент, загальне")</f>
        <v>залізничний інструмент, загальне</v>
      </c>
      <c r="I765" s="18">
        <f>IFERROR(__xludf.DUMMYFUNCTION("""COMPUTED_VALUE"""),2.16)</f>
        <v>2.16</v>
      </c>
      <c r="J765" s="18">
        <f>IFERROR(__xludf.DUMMYFUNCTION("""COMPUTED_VALUE"""),4.33)</f>
        <v>4.33</v>
      </c>
      <c r="K765" s="18">
        <f>IFERROR(__xludf.DUMMYFUNCTION("""COMPUTED_VALUE"""),5.41)</f>
        <v>5.41</v>
      </c>
      <c r="L765" s="18">
        <f>IFERROR(__xludf.DUMMYFUNCTION("""COMPUTED_VALUE"""),8.65)</f>
        <v>8.65</v>
      </c>
    </row>
    <row r="766">
      <c r="A766" s="13" t="str">
        <f>IFERROR(__xludf.DUMMYFUNCTION("""COMPUTED_VALUE"""),"товари")</f>
        <v>товари</v>
      </c>
      <c r="B766" s="13" t="str">
        <f>IFERROR(__xludf.DUMMYFUNCTION("""COMPUTED_VALUE"""),"авіа-, ж/д-, водний транспорт")</f>
        <v>авіа-, ж/д-, водний транспорт</v>
      </c>
      <c r="C766" s="15" t="str">
        <f>IFERROR(__xludf.DUMMYFUNCTION("""COMPUTED_VALUE"""),"залізничний транспорт і комплектуючі")</f>
        <v>залізничний транспорт і комплектуючі</v>
      </c>
      <c r="D766" s="15" t="str">
        <f>IFERROR(__xludf.DUMMYFUNCTION("""COMPUTED_VALUE"""),"залізничний транспорт і комплектуючі, загальне")</f>
        <v>залізничний транспорт і комплектуючі, загальне</v>
      </c>
      <c r="E766" s="15" t="str">
        <f>IFERROR(__xludf.DUMMYFUNCTION("""COMPUTED_VALUE"""),"залізничний транспорт і комплектуючі, загальне")</f>
        <v>залізничний транспорт і комплектуючі, загальне</v>
      </c>
      <c r="F766" s="17">
        <f>IFERROR(__xludf.DUMMYFUNCTION("""COMPUTED_VALUE"""),3.0)</f>
        <v>3</v>
      </c>
      <c r="G766" s="17">
        <f>IFERROR(__xludf.DUMMYFUNCTION("""COMPUTED_VALUE"""),120608.0)</f>
        <v>120608</v>
      </c>
      <c r="H766" s="17" t="str">
        <f>IFERROR(__xludf.DUMMYFUNCTION("""COMPUTED_VALUE"""),"залізничний транспорт і комплектуючі, загальне")</f>
        <v>залізничний транспорт і комплектуючі, загальне</v>
      </c>
      <c r="I766" s="18">
        <f>IFERROR(__xludf.DUMMYFUNCTION("""COMPUTED_VALUE"""),2.16)</f>
        <v>2.16</v>
      </c>
      <c r="J766" s="18">
        <f>IFERROR(__xludf.DUMMYFUNCTION("""COMPUTED_VALUE"""),4.33)</f>
        <v>4.33</v>
      </c>
      <c r="K766" s="18">
        <f>IFERROR(__xludf.DUMMYFUNCTION("""COMPUTED_VALUE"""),5.41)</f>
        <v>5.41</v>
      </c>
      <c r="L766" s="18">
        <f>IFERROR(__xludf.DUMMYFUNCTION("""COMPUTED_VALUE"""),8.65)</f>
        <v>8.65</v>
      </c>
    </row>
    <row r="767">
      <c r="A767" s="13" t="str">
        <f>IFERROR(__xludf.DUMMYFUNCTION("""COMPUTED_VALUE"""),"товари")</f>
        <v>товари</v>
      </c>
      <c r="B767" s="13" t="str">
        <f>IFERROR(__xludf.DUMMYFUNCTION("""COMPUTED_VALUE"""),"авіа-, ж/д-, водний транспорт")</f>
        <v>авіа-, ж/д-, водний транспорт</v>
      </c>
      <c r="C767" s="15" t="str">
        <f>IFERROR(__xludf.DUMMYFUNCTION("""COMPUTED_VALUE"""),"водний транспорт")</f>
        <v>водний транспорт</v>
      </c>
      <c r="D767" s="15" t="str">
        <f>IFERROR(__xludf.DUMMYFUNCTION("""COMPUTED_VALUE"""),"системи управління судном")</f>
        <v>системи управління судном</v>
      </c>
      <c r="E767" s="15" t="str">
        <f>IFERROR(__xludf.DUMMYFUNCTION("""COMPUTED_VALUE"""),"кермові колеса човнові")</f>
        <v>кермові колеса човнові</v>
      </c>
      <c r="F767" s="17">
        <f>IFERROR(__xludf.DUMMYFUNCTION("""COMPUTED_VALUE"""),4.0)</f>
        <v>4</v>
      </c>
      <c r="G767" s="17">
        <f>IFERROR(__xludf.DUMMYFUNCTION("""COMPUTED_VALUE"""),1.2070907E7)</f>
        <v>12070907</v>
      </c>
      <c r="H767" s="17" t="str">
        <f>IFERROR(__xludf.DUMMYFUNCTION("""COMPUTED_VALUE"""),"кермові колеса човнові")</f>
        <v>кермові колеса човнові</v>
      </c>
      <c r="I767" s="18">
        <f>IFERROR(__xludf.DUMMYFUNCTION("""COMPUTED_VALUE"""),0.86)</f>
        <v>0.86</v>
      </c>
      <c r="J767" s="18">
        <f>IFERROR(__xludf.DUMMYFUNCTION("""COMPUTED_VALUE"""),1.71)</f>
        <v>1.71</v>
      </c>
      <c r="K767" s="18">
        <f>IFERROR(__xludf.DUMMYFUNCTION("""COMPUTED_VALUE"""),2.14)</f>
        <v>2.14</v>
      </c>
      <c r="L767" s="18">
        <f>IFERROR(__xludf.DUMMYFUNCTION("""COMPUTED_VALUE"""),3.43)</f>
        <v>3.43</v>
      </c>
    </row>
    <row r="768">
      <c r="A768" s="13" t="str">
        <f>IFERROR(__xludf.DUMMYFUNCTION("""COMPUTED_VALUE"""),"товари")</f>
        <v>товари</v>
      </c>
      <c r="B768" s="13" t="str">
        <f>IFERROR(__xludf.DUMMYFUNCTION("""COMPUTED_VALUE"""),"авіа-, ж/д-, водний транспорт")</f>
        <v>авіа-, ж/д-, водний транспорт</v>
      </c>
      <c r="C768" s="15" t="str">
        <f>IFERROR(__xludf.DUMMYFUNCTION("""COMPUTED_VALUE"""),"водний транспорт")</f>
        <v>водний транспорт</v>
      </c>
      <c r="D768" s="15" t="str">
        <f>IFERROR(__xludf.DUMMYFUNCTION("""COMPUTED_VALUE"""),"системи управління судном")</f>
        <v>системи управління судном</v>
      </c>
      <c r="E768" s="15" t="str">
        <f>IFERROR(__xludf.DUMMYFUNCTION("""COMPUTED_VALUE"""),"кермові троси для човнів")</f>
        <v>кермові троси для човнів</v>
      </c>
      <c r="F768" s="17">
        <f>IFERROR(__xludf.DUMMYFUNCTION("""COMPUTED_VALUE"""),4.0)</f>
        <v>4</v>
      </c>
      <c r="G768" s="17">
        <f>IFERROR(__xludf.DUMMYFUNCTION("""COMPUTED_VALUE"""),1.2070903E7)</f>
        <v>12070903</v>
      </c>
      <c r="H768" s="17" t="str">
        <f>IFERROR(__xludf.DUMMYFUNCTION("""COMPUTED_VALUE"""),"кермові троси для човнів")</f>
        <v>кермові троси для човнів</v>
      </c>
      <c r="I768" s="18">
        <f>IFERROR(__xludf.DUMMYFUNCTION("""COMPUTED_VALUE"""),0.86)</f>
        <v>0.86</v>
      </c>
      <c r="J768" s="18">
        <f>IFERROR(__xludf.DUMMYFUNCTION("""COMPUTED_VALUE"""),1.71)</f>
        <v>1.71</v>
      </c>
      <c r="K768" s="18">
        <f>IFERROR(__xludf.DUMMYFUNCTION("""COMPUTED_VALUE"""),2.14)</f>
        <v>2.14</v>
      </c>
      <c r="L768" s="18">
        <f>IFERROR(__xludf.DUMMYFUNCTION("""COMPUTED_VALUE"""),3.43)</f>
        <v>3.43</v>
      </c>
    </row>
    <row r="769">
      <c r="A769" s="13" t="str">
        <f>IFERROR(__xludf.DUMMYFUNCTION("""COMPUTED_VALUE"""),"товари")</f>
        <v>товари</v>
      </c>
      <c r="B769" s="13" t="str">
        <f>IFERROR(__xludf.DUMMYFUNCTION("""COMPUTED_VALUE"""),"авіа-, ж/д-, водний транспорт")</f>
        <v>авіа-, ж/д-, водний транспорт</v>
      </c>
      <c r="C769" s="15" t="str">
        <f>IFERROR(__xludf.DUMMYFUNCTION("""COMPUTED_VALUE"""),"залізничний транспорт і комплектуючі")</f>
        <v>залізничний транспорт і комплектуючі</v>
      </c>
      <c r="D769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769" s="15" t="str">
        <f>IFERROR(__xludf.DUMMYFUNCTION("""COMPUTED_VALUE"""),"комплектуючі верхньої будови колії, загальне")</f>
        <v>комплектуючі верхньої будови колії, загальне</v>
      </c>
      <c r="F769" s="17">
        <f>IFERROR(__xludf.DUMMYFUNCTION("""COMPUTED_VALUE"""),4.0)</f>
        <v>4</v>
      </c>
      <c r="G769" s="17">
        <f>IFERROR(__xludf.DUMMYFUNCTION("""COMPUTED_VALUE"""),1.2060403E7)</f>
        <v>12060403</v>
      </c>
      <c r="H769" s="17" t="str">
        <f>IFERROR(__xludf.DUMMYFUNCTION("""COMPUTED_VALUE"""),"комплектуючі верхньої будови колії, загальне")</f>
        <v>комплектуючі верхньої будови колії, загальне</v>
      </c>
      <c r="I769" s="18">
        <f>IFERROR(__xludf.DUMMYFUNCTION("""COMPUTED_VALUE"""),2.16)</f>
        <v>2.16</v>
      </c>
      <c r="J769" s="18">
        <f>IFERROR(__xludf.DUMMYFUNCTION("""COMPUTED_VALUE"""),4.33)</f>
        <v>4.33</v>
      </c>
      <c r="K769" s="18">
        <f>IFERROR(__xludf.DUMMYFUNCTION("""COMPUTED_VALUE"""),5.41)</f>
        <v>5.41</v>
      </c>
      <c r="L769" s="18">
        <f>IFERROR(__xludf.DUMMYFUNCTION("""COMPUTED_VALUE"""),8.65)</f>
        <v>8.65</v>
      </c>
    </row>
    <row r="770">
      <c r="A770" s="13" t="str">
        <f>IFERROR(__xludf.DUMMYFUNCTION("""COMPUTED_VALUE"""),"товари")</f>
        <v>товари</v>
      </c>
      <c r="B770" s="13" t="str">
        <f>IFERROR(__xludf.DUMMYFUNCTION("""COMPUTED_VALUE"""),"авіа-, ж/д-, водний транспорт")</f>
        <v>авіа-, ж/д-, водний транспорт</v>
      </c>
      <c r="C770" s="15" t="str">
        <f>IFERROR(__xludf.DUMMYFUNCTION("""COMPUTED_VALUE"""),"залізничний транспорт і комплектуючі")</f>
        <v>залізничний транспорт і комплектуючі</v>
      </c>
      <c r="D770" s="15" t="str">
        <f>IFERROR(__xludf.DUMMYFUNCTION("""COMPUTED_VALUE"""),"комплектуючі та запчастини для залізничного транспорту")</f>
        <v>комплектуючі та запчастини для залізничного транспорту</v>
      </c>
      <c r="E770" s="15" t="str">
        <f>IFERROR(__xludf.DUMMYFUNCTION("""COMPUTED_VALUE"""),"комплектуючі та запчастини для залізничного транспорту")</f>
        <v>комплектуючі та запчастини для залізничного транспорту</v>
      </c>
      <c r="F770" s="17">
        <f>IFERROR(__xludf.DUMMYFUNCTION("""COMPUTED_VALUE"""),3.0)</f>
        <v>3</v>
      </c>
      <c r="G770" s="17">
        <f>IFERROR(__xludf.DUMMYFUNCTION("""COMPUTED_VALUE"""),120603.0)</f>
        <v>120603</v>
      </c>
      <c r="H770" s="17" t="str">
        <f>IFERROR(__xludf.DUMMYFUNCTION("""COMPUTED_VALUE"""),"комплектуючі та запчастини для залізничного транспорту")</f>
        <v>комплектуючі та запчастини для залізничного транспорту</v>
      </c>
      <c r="I770" s="18">
        <f>IFERROR(__xludf.DUMMYFUNCTION("""COMPUTED_VALUE"""),1.04)</f>
        <v>1.04</v>
      </c>
      <c r="J770" s="18">
        <f>IFERROR(__xludf.DUMMYFUNCTION("""COMPUTED_VALUE"""),2.08)</f>
        <v>2.08</v>
      </c>
      <c r="K770" s="18">
        <f>IFERROR(__xludf.DUMMYFUNCTION("""COMPUTED_VALUE"""),2.59)</f>
        <v>2.59</v>
      </c>
      <c r="L770" s="18">
        <f>IFERROR(__xludf.DUMMYFUNCTION("""COMPUTED_VALUE"""),4.15)</f>
        <v>4.15</v>
      </c>
    </row>
    <row r="771">
      <c r="A771" s="13" t="str">
        <f>IFERROR(__xludf.DUMMYFUNCTION("""COMPUTED_VALUE"""),"товари")</f>
        <v>товари</v>
      </c>
      <c r="B771" s="13" t="str">
        <f>IFERROR(__xludf.DUMMYFUNCTION("""COMPUTED_VALUE"""),"авіа-, ж/д-, водний транспорт")</f>
        <v>авіа-, ж/д-, водний транспорт</v>
      </c>
      <c r="C771" s="15" t="str">
        <f>IFERROR(__xludf.DUMMYFUNCTION("""COMPUTED_VALUE"""),"повітряний транспорт")</f>
        <v>повітряний транспорт</v>
      </c>
      <c r="D771" s="15" t="str">
        <f>IFERROR(__xludf.DUMMYFUNCTION("""COMPUTED_VALUE"""),"літаки та вертольоти")</f>
        <v>літаки та вертольоти</v>
      </c>
      <c r="E771" s="15" t="str">
        <f>IFERROR(__xludf.DUMMYFUNCTION("""COMPUTED_VALUE"""),"літаки та вертольоти")</f>
        <v>літаки та вертольоти</v>
      </c>
      <c r="F771" s="17">
        <f>IFERROR(__xludf.DUMMYFUNCTION("""COMPUTED_VALUE"""),3.0)</f>
        <v>3</v>
      </c>
      <c r="G771" s="17">
        <f>IFERROR(__xludf.DUMMYFUNCTION("""COMPUTED_VALUE"""),121802.0)</f>
        <v>121802</v>
      </c>
      <c r="H771" s="17" t="str">
        <f>IFERROR(__xludf.DUMMYFUNCTION("""COMPUTED_VALUE"""),"літаки та вертольоти")</f>
        <v>літаки та вертольоти</v>
      </c>
      <c r="I771" s="18">
        <f>IFERROR(__xludf.DUMMYFUNCTION("""COMPUTED_VALUE"""),0.76)</f>
        <v>0.76</v>
      </c>
      <c r="J771" s="18">
        <f>IFERROR(__xludf.DUMMYFUNCTION("""COMPUTED_VALUE"""),1.53)</f>
        <v>1.53</v>
      </c>
      <c r="K771" s="18">
        <f>IFERROR(__xludf.DUMMYFUNCTION("""COMPUTED_VALUE"""),1.91)</f>
        <v>1.91</v>
      </c>
      <c r="L771" s="18">
        <f>IFERROR(__xludf.DUMMYFUNCTION("""COMPUTED_VALUE"""),3.05)</f>
        <v>3.05</v>
      </c>
    </row>
    <row r="772">
      <c r="A772" s="13" t="str">
        <f>IFERROR(__xludf.DUMMYFUNCTION("""COMPUTED_VALUE"""),"товари")</f>
        <v>товари</v>
      </c>
      <c r="B772" s="13" t="str">
        <f>IFERROR(__xludf.DUMMYFUNCTION("""COMPUTED_VALUE"""),"авіа-, ж/д-, водний транспорт")</f>
        <v>авіа-, ж/д-, водний транспорт</v>
      </c>
      <c r="C772" s="15" t="str">
        <f>IFERROR(__xludf.DUMMYFUNCTION("""COMPUTED_VALUE"""),"водний транспорт")</f>
        <v>водний транспорт</v>
      </c>
      <c r="D772" s="15" t="str">
        <f>IFERROR(__xludf.DUMMYFUNCTION("""COMPUTED_VALUE"""),"системи управління судном")</f>
        <v>системи управління судном</v>
      </c>
      <c r="E772" s="15" t="str">
        <f>IFERROR(__xludf.DUMMYFUNCTION("""COMPUTED_VALUE"""),"механічні кермові системи управління судном")</f>
        <v>механічні кермові системи управління судном</v>
      </c>
      <c r="F772" s="17">
        <f>IFERROR(__xludf.DUMMYFUNCTION("""COMPUTED_VALUE"""),4.0)</f>
        <v>4</v>
      </c>
      <c r="G772" s="17">
        <f>IFERROR(__xludf.DUMMYFUNCTION("""COMPUTED_VALUE"""),1.2070901E7)</f>
        <v>12070901</v>
      </c>
      <c r="H772" s="17" t="str">
        <f>IFERROR(__xludf.DUMMYFUNCTION("""COMPUTED_VALUE"""),"механічні кермові системи управління судном")</f>
        <v>механічні кермові системи управління судном</v>
      </c>
      <c r="I772" s="18">
        <f>IFERROR(__xludf.DUMMYFUNCTION("""COMPUTED_VALUE"""),0.86)</f>
        <v>0.86</v>
      </c>
      <c r="J772" s="18">
        <f>IFERROR(__xludf.DUMMYFUNCTION("""COMPUTED_VALUE"""),1.71)</f>
        <v>1.71</v>
      </c>
      <c r="K772" s="18">
        <f>IFERROR(__xludf.DUMMYFUNCTION("""COMPUTED_VALUE"""),2.14)</f>
        <v>2.14</v>
      </c>
      <c r="L772" s="18">
        <f>IFERROR(__xludf.DUMMYFUNCTION("""COMPUTED_VALUE"""),3.43)</f>
        <v>3.43</v>
      </c>
    </row>
    <row r="773">
      <c r="A773" s="13" t="str">
        <f>IFERROR(__xludf.DUMMYFUNCTION("""COMPUTED_VALUE"""),"товари")</f>
        <v>товари</v>
      </c>
      <c r="B773" s="13" t="str">
        <f>IFERROR(__xludf.DUMMYFUNCTION("""COMPUTED_VALUE"""),"авіа-, ж/д-, водний транспорт")</f>
        <v>авіа-, ж/д-, водний транспорт</v>
      </c>
      <c r="C773" s="15" t="str">
        <f>IFERROR(__xludf.DUMMYFUNCTION("""COMPUTED_VALUE"""),"водний транспорт")</f>
        <v>водний транспорт</v>
      </c>
      <c r="D773" s="15" t="str">
        <f>IFERROR(__xludf.DUMMYFUNCTION("""COMPUTED_VALUE"""),"електрообладнання для суден")</f>
        <v>електрообладнання для суден</v>
      </c>
      <c r="E773" s="15" t="str">
        <f>IFERROR(__xludf.DUMMYFUNCTION("""COMPUTED_VALUE"""),"навігаційні вогні судна")</f>
        <v>навігаційні вогні судна</v>
      </c>
      <c r="F773" s="17">
        <f>IFERROR(__xludf.DUMMYFUNCTION("""COMPUTED_VALUE"""),4.0)</f>
        <v>4</v>
      </c>
      <c r="G773" s="17">
        <f>IFERROR(__xludf.DUMMYFUNCTION("""COMPUTED_VALUE"""),1.2071001E7)</f>
        <v>12071001</v>
      </c>
      <c r="H773" s="17" t="str">
        <f>IFERROR(__xludf.DUMMYFUNCTION("""COMPUTED_VALUE"""),"навігаційні вогні судна")</f>
        <v>навігаційні вогні судна</v>
      </c>
      <c r="I773" s="18">
        <f>IFERROR(__xludf.DUMMYFUNCTION("""COMPUTED_VALUE"""),1.04)</f>
        <v>1.04</v>
      </c>
      <c r="J773" s="18">
        <f>IFERROR(__xludf.DUMMYFUNCTION("""COMPUTED_VALUE"""),2.08)</f>
        <v>2.08</v>
      </c>
      <c r="K773" s="18">
        <f>IFERROR(__xludf.DUMMYFUNCTION("""COMPUTED_VALUE"""),2.59)</f>
        <v>2.59</v>
      </c>
      <c r="L773" s="18">
        <f>IFERROR(__xludf.DUMMYFUNCTION("""COMPUTED_VALUE"""),4.15)</f>
        <v>4.15</v>
      </c>
    </row>
    <row r="774">
      <c r="A774" s="13" t="str">
        <f>IFERROR(__xludf.DUMMYFUNCTION("""COMPUTED_VALUE"""),"товари")</f>
        <v>товари</v>
      </c>
      <c r="B774" s="13" t="str">
        <f>IFERROR(__xludf.DUMMYFUNCTION("""COMPUTED_VALUE"""),"авіа-, ж/д-, водний транспорт")</f>
        <v>авіа-, ж/д-, водний транспорт</v>
      </c>
      <c r="C774" s="15" t="str">
        <f>IFERROR(__xludf.DUMMYFUNCTION("""COMPUTED_VALUE"""),"водний транспорт")</f>
        <v>водний транспорт</v>
      </c>
      <c r="D774" s="15" t="str">
        <f>IFERROR(__xludf.DUMMYFUNCTION("""COMPUTED_VALUE"""),"суднові системи водопостачання та каналізації")</f>
        <v>суднові системи водопостачання та каналізації</v>
      </c>
      <c r="E774" s="15" t="str">
        <f>IFERROR(__xludf.DUMMYFUNCTION("""COMPUTED_VALUE"""),"насоси суднові")</f>
        <v>насоси суднові</v>
      </c>
      <c r="F774" s="17">
        <f>IFERROR(__xludf.DUMMYFUNCTION("""COMPUTED_VALUE"""),4.0)</f>
        <v>4</v>
      </c>
      <c r="G774" s="17">
        <f>IFERROR(__xludf.DUMMYFUNCTION("""COMPUTED_VALUE"""),1.2071104E7)</f>
        <v>12071104</v>
      </c>
      <c r="H774" s="17" t="str">
        <f>IFERROR(__xludf.DUMMYFUNCTION("""COMPUTED_VALUE"""),"насоси суднові")</f>
        <v>насоси суднові</v>
      </c>
      <c r="I774" s="18">
        <f>IFERROR(__xludf.DUMMYFUNCTION("""COMPUTED_VALUE"""),0.63)</f>
        <v>0.63</v>
      </c>
      <c r="J774" s="18">
        <f>IFERROR(__xludf.DUMMYFUNCTION("""COMPUTED_VALUE"""),1.26)</f>
        <v>1.26</v>
      </c>
      <c r="K774" s="18">
        <f>IFERROR(__xludf.DUMMYFUNCTION("""COMPUTED_VALUE"""),1.58)</f>
        <v>1.58</v>
      </c>
      <c r="L774" s="18">
        <f>IFERROR(__xludf.DUMMYFUNCTION("""COMPUTED_VALUE"""),2.53)</f>
        <v>2.53</v>
      </c>
    </row>
    <row r="775">
      <c r="A775" s="13" t="str">
        <f>IFERROR(__xludf.DUMMYFUNCTION("""COMPUTED_VALUE"""),"товари")</f>
        <v>товари</v>
      </c>
      <c r="B775" s="13" t="str">
        <f>IFERROR(__xludf.DUMMYFUNCTION("""COMPUTED_VALUE"""),"авіа-, ж/д-, водний транспорт")</f>
        <v>авіа-, ж/д-, водний транспорт</v>
      </c>
      <c r="C775" s="15" t="str">
        <f>IFERROR(__xludf.DUMMYFUNCTION("""COMPUTED_VALUE"""),"водний транспорт")</f>
        <v>водний транспорт</v>
      </c>
      <c r="D775" s="15" t="str">
        <f>IFERROR(__xludf.DUMMYFUNCTION("""COMPUTED_VALUE"""),"електрообладнання для суден")</f>
        <v>електрообладнання для суден</v>
      </c>
      <c r="E775" s="15" t="str">
        <f>IFERROR(__xludf.DUMMYFUNCTION("""COMPUTED_VALUE"""),"панелі перемикачів,  розетки і кнопки для суден")</f>
        <v>панелі перемикачів,  розетки і кнопки для суден</v>
      </c>
      <c r="F775" s="17">
        <f>IFERROR(__xludf.DUMMYFUNCTION("""COMPUTED_VALUE"""),4.0)</f>
        <v>4</v>
      </c>
      <c r="G775" s="17">
        <f>IFERROR(__xludf.DUMMYFUNCTION("""COMPUTED_VALUE"""),1.2071006E7)</f>
        <v>12071006</v>
      </c>
      <c r="H775" s="17" t="str">
        <f>IFERROR(__xludf.DUMMYFUNCTION("""COMPUTED_VALUE"""),"панелі перемикачів,  розетки і кнопки для суден")</f>
        <v>панелі перемикачів,  розетки і кнопки для суден</v>
      </c>
      <c r="I775" s="18">
        <f>IFERROR(__xludf.DUMMYFUNCTION("""COMPUTED_VALUE"""),1.04)</f>
        <v>1.04</v>
      </c>
      <c r="J775" s="18">
        <f>IFERROR(__xludf.DUMMYFUNCTION("""COMPUTED_VALUE"""),2.08)</f>
        <v>2.08</v>
      </c>
      <c r="K775" s="18">
        <f>IFERROR(__xludf.DUMMYFUNCTION("""COMPUTED_VALUE"""),2.59)</f>
        <v>2.59</v>
      </c>
      <c r="L775" s="18">
        <f>IFERROR(__xludf.DUMMYFUNCTION("""COMPUTED_VALUE"""),4.15)</f>
        <v>4.15</v>
      </c>
    </row>
    <row r="776">
      <c r="A776" s="13" t="str">
        <f>IFERROR(__xludf.DUMMYFUNCTION("""COMPUTED_VALUE"""),"товари")</f>
        <v>товари</v>
      </c>
      <c r="B776" s="13" t="str">
        <f>IFERROR(__xludf.DUMMYFUNCTION("""COMPUTED_VALUE"""),"авіа-, ж/д-, водний транспорт")</f>
        <v>авіа-, ж/д-, водний транспорт</v>
      </c>
      <c r="C776" s="15" t="str">
        <f>IFERROR(__xludf.DUMMYFUNCTION("""COMPUTED_VALUE"""),"залізничний транспорт і комплектуючі")</f>
        <v>залізничний транспорт і комплектуючі</v>
      </c>
      <c r="D776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776" s="15" t="str">
        <f>IFERROR(__xludf.DUMMYFUNCTION("""COMPUTED_VALUE"""),"підкладки залізничні")</f>
        <v>підкладки залізничні</v>
      </c>
      <c r="F776" s="17">
        <f>IFERROR(__xludf.DUMMYFUNCTION("""COMPUTED_VALUE"""),4.0)</f>
        <v>4</v>
      </c>
      <c r="G776" s="17">
        <f>IFERROR(__xludf.DUMMYFUNCTION("""COMPUTED_VALUE"""),1.2060405E7)</f>
        <v>12060405</v>
      </c>
      <c r="H776" s="17" t="str">
        <f>IFERROR(__xludf.DUMMYFUNCTION("""COMPUTED_VALUE"""),"підкладки залізничні")</f>
        <v>підкладки залізничні</v>
      </c>
      <c r="I776" s="18">
        <f>IFERROR(__xludf.DUMMYFUNCTION("""COMPUTED_VALUE"""),1.13)</f>
        <v>1.13</v>
      </c>
      <c r="J776" s="18">
        <f>IFERROR(__xludf.DUMMYFUNCTION("""COMPUTED_VALUE"""),2.25)</f>
        <v>2.25</v>
      </c>
      <c r="K776" s="18">
        <f>IFERROR(__xludf.DUMMYFUNCTION("""COMPUTED_VALUE"""),2.81)</f>
        <v>2.81</v>
      </c>
      <c r="L776" s="18">
        <f>IFERROR(__xludf.DUMMYFUNCTION("""COMPUTED_VALUE"""),4.5)</f>
        <v>4.5</v>
      </c>
    </row>
    <row r="777">
      <c r="A777" s="13" t="str">
        <f>IFERROR(__xludf.DUMMYFUNCTION("""COMPUTED_VALUE"""),"товари")</f>
        <v>товари</v>
      </c>
      <c r="B777" s="13" t="str">
        <f>IFERROR(__xludf.DUMMYFUNCTION("""COMPUTED_VALUE"""),"авіа-, ж/д-, водний транспорт")</f>
        <v>авіа-, ж/д-, водний транспорт</v>
      </c>
      <c r="C777" s="15" t="str">
        <f>IFERROR(__xludf.DUMMYFUNCTION("""COMPUTED_VALUE"""),"повітряний транспорт")</f>
        <v>повітряний транспорт</v>
      </c>
      <c r="D777" s="15" t="str">
        <f>IFERROR(__xludf.DUMMYFUNCTION("""COMPUTED_VALUE"""),"повітряний транспорт, загальне")</f>
        <v>повітряний транспорт, загальне</v>
      </c>
      <c r="E777" s="15" t="str">
        <f>IFERROR(__xludf.DUMMYFUNCTION("""COMPUTED_VALUE"""),"повітряний транспорт, загальне")</f>
        <v>повітряний транспорт, загальне</v>
      </c>
      <c r="F777" s="17">
        <f>IFERROR(__xludf.DUMMYFUNCTION("""COMPUTED_VALUE"""),3.0)</f>
        <v>3</v>
      </c>
      <c r="G777" s="17">
        <f>IFERROR(__xludf.DUMMYFUNCTION("""COMPUTED_VALUE"""),121804.0)</f>
        <v>121804</v>
      </c>
      <c r="H777" s="17" t="str">
        <f>IFERROR(__xludf.DUMMYFUNCTION("""COMPUTED_VALUE"""),"повітряний транспорт, загальне")</f>
        <v>повітряний транспорт, загальне</v>
      </c>
      <c r="I777" s="18">
        <f>IFERROR(__xludf.DUMMYFUNCTION("""COMPUTED_VALUE"""),2.16)</f>
        <v>2.16</v>
      </c>
      <c r="J777" s="18">
        <f>IFERROR(__xludf.DUMMYFUNCTION("""COMPUTED_VALUE"""),4.33)</f>
        <v>4.33</v>
      </c>
      <c r="K777" s="18">
        <f>IFERROR(__xludf.DUMMYFUNCTION("""COMPUTED_VALUE"""),5.41)</f>
        <v>5.41</v>
      </c>
      <c r="L777" s="18">
        <f>IFERROR(__xludf.DUMMYFUNCTION("""COMPUTED_VALUE"""),8.65)</f>
        <v>8.65</v>
      </c>
    </row>
    <row r="778">
      <c r="A778" s="13" t="str">
        <f>IFERROR(__xludf.DUMMYFUNCTION("""COMPUTED_VALUE"""),"товари")</f>
        <v>товари</v>
      </c>
      <c r="B778" s="13" t="str">
        <f>IFERROR(__xludf.DUMMYFUNCTION("""COMPUTED_VALUE"""),"авіа-, ж/д-, водний транспорт")</f>
        <v>авіа-, ж/д-, водний транспорт</v>
      </c>
      <c r="C778" s="15" t="str">
        <f>IFERROR(__xludf.DUMMYFUNCTION("""COMPUTED_VALUE"""),"водний транспорт")</f>
        <v>водний транспорт</v>
      </c>
      <c r="D778" s="15" t="str">
        <f>IFERROR(__xludf.DUMMYFUNCTION("""COMPUTED_VALUE"""),"понтони і причали")</f>
        <v>понтони і причали</v>
      </c>
      <c r="E778" s="15" t="str">
        <f>IFERROR(__xludf.DUMMYFUNCTION("""COMPUTED_VALUE"""),"понтони і причали")</f>
        <v>понтони і причали</v>
      </c>
      <c r="F778" s="17">
        <f>IFERROR(__xludf.DUMMYFUNCTION("""COMPUTED_VALUE"""),3.0)</f>
        <v>3</v>
      </c>
      <c r="G778" s="17">
        <f>IFERROR(__xludf.DUMMYFUNCTION("""COMPUTED_VALUE"""),120707.0)</f>
        <v>120707</v>
      </c>
      <c r="H778" s="17" t="str">
        <f>IFERROR(__xludf.DUMMYFUNCTION("""COMPUTED_VALUE"""),"понтони і причали")</f>
        <v>понтони і причали</v>
      </c>
      <c r="I778" s="18">
        <f>IFERROR(__xludf.DUMMYFUNCTION("""COMPUTED_VALUE"""),0.53)</f>
        <v>0.53</v>
      </c>
      <c r="J778" s="18">
        <f>IFERROR(__xludf.DUMMYFUNCTION("""COMPUTED_VALUE"""),1.05)</f>
        <v>1.05</v>
      </c>
      <c r="K778" s="18">
        <f>IFERROR(__xludf.DUMMYFUNCTION("""COMPUTED_VALUE"""),1.31)</f>
        <v>1.31</v>
      </c>
      <c r="L778" s="18">
        <f>IFERROR(__xludf.DUMMYFUNCTION("""COMPUTED_VALUE"""),2.1)</f>
        <v>2.1</v>
      </c>
    </row>
    <row r="779">
      <c r="A779" s="13" t="str">
        <f>IFERROR(__xludf.DUMMYFUNCTION("""COMPUTED_VALUE"""),"товари")</f>
        <v>товари</v>
      </c>
      <c r="B779" s="13" t="str">
        <f>IFERROR(__xludf.DUMMYFUNCTION("""COMPUTED_VALUE"""),"авіа-, ж/д-, водний транспорт")</f>
        <v>авіа-, ж/д-, водний транспорт</v>
      </c>
      <c r="C779" s="15" t="str">
        <f>IFERROR(__xludf.DUMMYFUNCTION("""COMPUTED_VALUE"""),"залізничний транспорт і комплектуючі")</f>
        <v>залізничний транспорт і комплектуючі</v>
      </c>
      <c r="D779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779" s="15" t="str">
        <f>IFERROR(__xludf.DUMMYFUNCTION("""COMPUTED_VALUE"""),"рейки")</f>
        <v>рейки</v>
      </c>
      <c r="F779" s="17">
        <f>IFERROR(__xludf.DUMMYFUNCTION("""COMPUTED_VALUE"""),4.0)</f>
        <v>4</v>
      </c>
      <c r="G779" s="17">
        <f>IFERROR(__xludf.DUMMYFUNCTION("""COMPUTED_VALUE"""),120607.0)</f>
        <v>120607</v>
      </c>
      <c r="H779" s="17" t="str">
        <f>IFERROR(__xludf.DUMMYFUNCTION("""COMPUTED_VALUE"""),"рейки")</f>
        <v>рейки</v>
      </c>
      <c r="I779" s="18">
        <f>IFERROR(__xludf.DUMMYFUNCTION("""COMPUTED_VALUE"""),1.17)</f>
        <v>1.17</v>
      </c>
      <c r="J779" s="18">
        <f>IFERROR(__xludf.DUMMYFUNCTION("""COMPUTED_VALUE"""),2.34)</f>
        <v>2.34</v>
      </c>
      <c r="K779" s="18">
        <f>IFERROR(__xludf.DUMMYFUNCTION("""COMPUTED_VALUE"""),2.92)</f>
        <v>2.92</v>
      </c>
      <c r="L779" s="18">
        <f>IFERROR(__xludf.DUMMYFUNCTION("""COMPUTED_VALUE"""),4.68)</f>
        <v>4.68</v>
      </c>
    </row>
    <row r="780">
      <c r="A780" s="13" t="str">
        <f>IFERROR(__xludf.DUMMYFUNCTION("""COMPUTED_VALUE"""),"товари")</f>
        <v>товари</v>
      </c>
      <c r="B780" s="13" t="str">
        <f>IFERROR(__xludf.DUMMYFUNCTION("""COMPUTED_VALUE"""),"авіа-, ж/д-, водний транспорт")</f>
        <v>авіа-, ж/д-, водний транспорт</v>
      </c>
      <c r="C780" s="15" t="str">
        <f>IFERROR(__xludf.DUMMYFUNCTION("""COMPUTED_VALUE"""),"водний транспорт")</f>
        <v>водний транспорт</v>
      </c>
      <c r="D780" s="15" t="str">
        <f>IFERROR(__xludf.DUMMYFUNCTION("""COMPUTED_VALUE"""),"системи управління судном")</f>
        <v>системи управління судном</v>
      </c>
      <c r="E780" s="15" t="str">
        <f>IFERROR(__xludf.DUMMYFUNCTION("""COMPUTED_VALUE"""),"системи управління судном, загальне")</f>
        <v>системи управління судном, загальне</v>
      </c>
      <c r="F780" s="17">
        <f>IFERROR(__xludf.DUMMYFUNCTION("""COMPUTED_VALUE"""),4.0)</f>
        <v>4</v>
      </c>
      <c r="G780" s="17">
        <f>IFERROR(__xludf.DUMMYFUNCTION("""COMPUTED_VALUE"""),1.2070908E7)</f>
        <v>12070908</v>
      </c>
      <c r="H780" s="17" t="str">
        <f>IFERROR(__xludf.DUMMYFUNCTION("""COMPUTED_VALUE"""),"системи управління судном, загальне")</f>
        <v>системи управління судном, загальне</v>
      </c>
      <c r="I780" s="18">
        <f>IFERROR(__xludf.DUMMYFUNCTION("""COMPUTED_VALUE"""),2.16)</f>
        <v>2.16</v>
      </c>
      <c r="J780" s="18">
        <f>IFERROR(__xludf.DUMMYFUNCTION("""COMPUTED_VALUE"""),4.33)</f>
        <v>4.33</v>
      </c>
      <c r="K780" s="18">
        <f>IFERROR(__xludf.DUMMYFUNCTION("""COMPUTED_VALUE"""),5.41)</f>
        <v>5.41</v>
      </c>
      <c r="L780" s="18">
        <f>IFERROR(__xludf.DUMMYFUNCTION("""COMPUTED_VALUE"""),8.65)</f>
        <v>8.65</v>
      </c>
    </row>
    <row r="781">
      <c r="A781" s="13" t="str">
        <f>IFERROR(__xludf.DUMMYFUNCTION("""COMPUTED_VALUE"""),"товари")</f>
        <v>товари</v>
      </c>
      <c r="B781" s="13" t="str">
        <f>IFERROR(__xludf.DUMMYFUNCTION("""COMPUTED_VALUE"""),"авіа-, ж/д-, водний транспорт")</f>
        <v>авіа-, ж/д-, водний транспорт</v>
      </c>
      <c r="C781" s="15" t="str">
        <f>IFERROR(__xludf.DUMMYFUNCTION("""COMPUTED_VALUE"""),"залізничний транспорт і комплектуючі")</f>
        <v>залізничний транспорт і комплектуючі</v>
      </c>
      <c r="D781" s="15" t="str">
        <f>IFERROR(__xludf.DUMMYFUNCTION("""COMPUTED_VALUE"""),"стрілочні переводи")</f>
        <v>стрілочні переводи</v>
      </c>
      <c r="E781" s="15" t="str">
        <f>IFERROR(__xludf.DUMMYFUNCTION("""COMPUTED_VALUE"""),"стрілочні переводи")</f>
        <v>стрілочні переводи</v>
      </c>
      <c r="F781" s="17">
        <f>IFERROR(__xludf.DUMMYFUNCTION("""COMPUTED_VALUE"""),3.0)</f>
        <v>3</v>
      </c>
      <c r="G781" s="17">
        <f>IFERROR(__xludf.DUMMYFUNCTION("""COMPUTED_VALUE"""),120606.0)</f>
        <v>120606</v>
      </c>
      <c r="H781" s="17" t="str">
        <f>IFERROR(__xludf.DUMMYFUNCTION("""COMPUTED_VALUE"""),"стрілочні переводи")</f>
        <v>стрілочні переводи</v>
      </c>
      <c r="I781" s="18">
        <f>IFERROR(__xludf.DUMMYFUNCTION("""COMPUTED_VALUE"""),1.26)</f>
        <v>1.26</v>
      </c>
      <c r="J781" s="18">
        <f>IFERROR(__xludf.DUMMYFUNCTION("""COMPUTED_VALUE"""),2.51)</f>
        <v>2.51</v>
      </c>
      <c r="K781" s="18">
        <f>IFERROR(__xludf.DUMMYFUNCTION("""COMPUTED_VALUE"""),3.14)</f>
        <v>3.14</v>
      </c>
      <c r="L781" s="18">
        <f>IFERROR(__xludf.DUMMYFUNCTION("""COMPUTED_VALUE"""),5.03)</f>
        <v>5.03</v>
      </c>
    </row>
    <row r="782">
      <c r="A782" s="13" t="str">
        <f>IFERROR(__xludf.DUMMYFUNCTION("""COMPUTED_VALUE"""),"товари")</f>
        <v>товари</v>
      </c>
      <c r="B782" s="13" t="str">
        <f>IFERROR(__xludf.DUMMYFUNCTION("""COMPUTED_VALUE"""),"авіа-, ж/д-, водний транспорт")</f>
        <v>авіа-, ж/д-, водний транспорт</v>
      </c>
      <c r="C782" s="15" t="str">
        <f>IFERROR(__xludf.DUMMYFUNCTION("""COMPUTED_VALUE"""),"водний транспорт")</f>
        <v>водний транспорт</v>
      </c>
      <c r="D782" s="15" t="str">
        <f>IFERROR(__xludf.DUMMYFUNCTION("""COMPUTED_VALUE"""),"електрообладнання для суден")</f>
        <v>електрообладнання для суден</v>
      </c>
      <c r="E782" s="15" t="str">
        <f>IFERROR(__xludf.DUMMYFUNCTION("""COMPUTED_VALUE"""),"суднові пульти управління")</f>
        <v>суднові пульти управління</v>
      </c>
      <c r="F782" s="17">
        <f>IFERROR(__xludf.DUMMYFUNCTION("""COMPUTED_VALUE"""),4.0)</f>
        <v>4</v>
      </c>
      <c r="G782" s="17">
        <f>IFERROR(__xludf.DUMMYFUNCTION("""COMPUTED_VALUE"""),1.2071005E7)</f>
        <v>12071005</v>
      </c>
      <c r="H782" s="17" t="str">
        <f>IFERROR(__xludf.DUMMYFUNCTION("""COMPUTED_VALUE"""),"суднові пульти управління")</f>
        <v>суднові пульти управління</v>
      </c>
      <c r="I782" s="18">
        <f>IFERROR(__xludf.DUMMYFUNCTION("""COMPUTED_VALUE"""),1.04)</f>
        <v>1.04</v>
      </c>
      <c r="J782" s="18">
        <f>IFERROR(__xludf.DUMMYFUNCTION("""COMPUTED_VALUE"""),2.08)</f>
        <v>2.08</v>
      </c>
      <c r="K782" s="18">
        <f>IFERROR(__xludf.DUMMYFUNCTION("""COMPUTED_VALUE"""),2.59)</f>
        <v>2.59</v>
      </c>
      <c r="L782" s="18">
        <f>IFERROR(__xludf.DUMMYFUNCTION("""COMPUTED_VALUE"""),4.15)</f>
        <v>4.15</v>
      </c>
    </row>
    <row r="783">
      <c r="A783" s="13" t="str">
        <f>IFERROR(__xludf.DUMMYFUNCTION("""COMPUTED_VALUE"""),"товари")</f>
        <v>товари</v>
      </c>
      <c r="B783" s="13" t="str">
        <f>IFERROR(__xludf.DUMMYFUNCTION("""COMPUTED_VALUE"""),"авіа-, ж/д-, водний транспорт")</f>
        <v>авіа-, ж/д-, водний транспорт</v>
      </c>
      <c r="C783" s="15" t="str">
        <f>IFERROR(__xludf.DUMMYFUNCTION("""COMPUTED_VALUE"""),"водний транспорт")</f>
        <v>водний транспорт</v>
      </c>
      <c r="D783" s="15" t="str">
        <f>IFERROR(__xludf.DUMMYFUNCTION("""COMPUTED_VALUE"""),"електрообладнання для суден")</f>
        <v>електрообладнання для суден</v>
      </c>
      <c r="E783" s="15" t="str">
        <f>IFERROR(__xludf.DUMMYFUNCTION("""COMPUTED_VALUE"""),"суднові сирени й склоочисники")</f>
        <v>суднові сирени й склоочисники</v>
      </c>
      <c r="F783" s="17">
        <f>IFERROR(__xludf.DUMMYFUNCTION("""COMPUTED_VALUE"""),4.0)</f>
        <v>4</v>
      </c>
      <c r="G783" s="17">
        <f>IFERROR(__xludf.DUMMYFUNCTION("""COMPUTED_VALUE"""),1.2071007E7)</f>
        <v>12071007</v>
      </c>
      <c r="H783" s="17" t="str">
        <f>IFERROR(__xludf.DUMMYFUNCTION("""COMPUTED_VALUE"""),"суднові сирени й склоочисники")</f>
        <v>суднові сирени й склоочисники</v>
      </c>
      <c r="I783" s="18">
        <f>IFERROR(__xludf.DUMMYFUNCTION("""COMPUTED_VALUE"""),1.04)</f>
        <v>1.04</v>
      </c>
      <c r="J783" s="18">
        <f>IFERROR(__xludf.DUMMYFUNCTION("""COMPUTED_VALUE"""),2.08)</f>
        <v>2.08</v>
      </c>
      <c r="K783" s="18">
        <f>IFERROR(__xludf.DUMMYFUNCTION("""COMPUTED_VALUE"""),2.59)</f>
        <v>2.59</v>
      </c>
      <c r="L783" s="18">
        <f>IFERROR(__xludf.DUMMYFUNCTION("""COMPUTED_VALUE"""),4.15)</f>
        <v>4.15</v>
      </c>
    </row>
    <row r="784">
      <c r="A784" s="13" t="str">
        <f>IFERROR(__xludf.DUMMYFUNCTION("""COMPUTED_VALUE"""),"товари")</f>
        <v>товари</v>
      </c>
      <c r="B784" s="13" t="str">
        <f>IFERROR(__xludf.DUMMYFUNCTION("""COMPUTED_VALUE"""),"авіа-, ж/д-, водний транспорт")</f>
        <v>авіа-, ж/д-, водний транспорт</v>
      </c>
      <c r="C784" s="15" t="str">
        <f>IFERROR(__xludf.DUMMYFUNCTION("""COMPUTED_VALUE"""),"водний транспорт")</f>
        <v>водний транспорт</v>
      </c>
      <c r="D784" s="15" t="str">
        <f>IFERROR(__xludf.DUMMYFUNCTION("""COMPUTED_VALUE"""),"системи управління судном")</f>
        <v>системи управління судном</v>
      </c>
      <c r="E784" s="15" t="str">
        <f>IFERROR(__xludf.DUMMYFUNCTION("""COMPUTED_VALUE"""),"суднові троси управління газом/реверсом")</f>
        <v>суднові троси управління газом/реверсом</v>
      </c>
      <c r="F784" s="17">
        <f>IFERROR(__xludf.DUMMYFUNCTION("""COMPUTED_VALUE"""),4.0)</f>
        <v>4</v>
      </c>
      <c r="G784" s="17">
        <f>IFERROR(__xludf.DUMMYFUNCTION("""COMPUTED_VALUE"""),1.2070904E7)</f>
        <v>12070904</v>
      </c>
      <c r="H784" s="17" t="str">
        <f>IFERROR(__xludf.DUMMYFUNCTION("""COMPUTED_VALUE"""),"суднові троси управління газом/реверсом")</f>
        <v>суднові троси управління газом/реверсом</v>
      </c>
      <c r="I784" s="18">
        <f>IFERROR(__xludf.DUMMYFUNCTION("""COMPUTED_VALUE"""),0.86)</f>
        <v>0.86</v>
      </c>
      <c r="J784" s="18">
        <f>IFERROR(__xludf.DUMMYFUNCTION("""COMPUTED_VALUE"""),1.71)</f>
        <v>1.71</v>
      </c>
      <c r="K784" s="18">
        <f>IFERROR(__xludf.DUMMYFUNCTION("""COMPUTED_VALUE"""),2.14)</f>
        <v>2.14</v>
      </c>
      <c r="L784" s="18">
        <f>IFERROR(__xludf.DUMMYFUNCTION("""COMPUTED_VALUE"""),3.43)</f>
        <v>3.43</v>
      </c>
    </row>
    <row r="785">
      <c r="A785" s="13" t="str">
        <f>IFERROR(__xludf.DUMMYFUNCTION("""COMPUTED_VALUE"""),"товари")</f>
        <v>товари</v>
      </c>
      <c r="B785" s="13" t="str">
        <f>IFERROR(__xludf.DUMMYFUNCTION("""COMPUTED_VALUE"""),"авіа-, ж/д-, водний транспорт")</f>
        <v>авіа-, ж/д-, водний транспорт</v>
      </c>
      <c r="C785" s="15" t="str">
        <f>IFERROR(__xludf.DUMMYFUNCTION("""COMPUTED_VALUE"""),"водний транспорт")</f>
        <v>водний транспорт</v>
      </c>
      <c r="D785" s="15" t="str">
        <f>IFERROR(__xludf.DUMMYFUNCTION("""COMPUTED_VALUE"""),"суднові системи водопостачання та каналізації")</f>
        <v>суднові системи водопостачання та каналізації</v>
      </c>
      <c r="E785" s="15" t="str">
        <f>IFERROR(__xludf.DUMMYFUNCTION("""COMPUTED_VALUE"""),"суднові туалети")</f>
        <v>суднові туалети</v>
      </c>
      <c r="F785" s="17">
        <f>IFERROR(__xludf.DUMMYFUNCTION("""COMPUTED_VALUE"""),4.0)</f>
        <v>4</v>
      </c>
      <c r="G785" s="17">
        <f>IFERROR(__xludf.DUMMYFUNCTION("""COMPUTED_VALUE"""),1.2071102E7)</f>
        <v>12071102</v>
      </c>
      <c r="H785" s="17" t="str">
        <f>IFERROR(__xludf.DUMMYFUNCTION("""COMPUTED_VALUE"""),"суднові туалети")</f>
        <v>суднові туалети</v>
      </c>
      <c r="I785" s="18">
        <f>IFERROR(__xludf.DUMMYFUNCTION("""COMPUTED_VALUE"""),0.63)</f>
        <v>0.63</v>
      </c>
      <c r="J785" s="18">
        <f>IFERROR(__xludf.DUMMYFUNCTION("""COMPUTED_VALUE"""),1.26)</f>
        <v>1.26</v>
      </c>
      <c r="K785" s="18">
        <f>IFERROR(__xludf.DUMMYFUNCTION("""COMPUTED_VALUE"""),1.58)</f>
        <v>1.58</v>
      </c>
      <c r="L785" s="18">
        <f>IFERROR(__xludf.DUMMYFUNCTION("""COMPUTED_VALUE"""),2.53)</f>
        <v>2.53</v>
      </c>
    </row>
    <row r="786">
      <c r="A786" s="13" t="str">
        <f>IFERROR(__xludf.DUMMYFUNCTION("""COMPUTED_VALUE"""),"товари")</f>
        <v>товари</v>
      </c>
      <c r="B786" s="13" t="str">
        <f>IFERROR(__xludf.DUMMYFUNCTION("""COMPUTED_VALUE"""),"авіа-, ж/д-, водний транспорт")</f>
        <v>авіа-, ж/д-, водний транспорт</v>
      </c>
      <c r="C786" s="15" t="str">
        <f>IFERROR(__xludf.DUMMYFUNCTION("""COMPUTED_VALUE"""),"водний транспорт")</f>
        <v>водний транспорт</v>
      </c>
      <c r="D786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86" s="15" t="str">
        <f>IFERROR(__xludf.DUMMYFUNCTION("""COMPUTED_VALUE"""),"суднові швартові кнехти")</f>
        <v>суднові швартові кнехти</v>
      </c>
      <c r="F786" s="17">
        <f>IFERROR(__xludf.DUMMYFUNCTION("""COMPUTED_VALUE"""),4.0)</f>
        <v>4</v>
      </c>
      <c r="G786" s="17">
        <f>IFERROR(__xludf.DUMMYFUNCTION("""COMPUTED_VALUE"""),1.2070611E7)</f>
        <v>12070611</v>
      </c>
      <c r="H786" s="17" t="str">
        <f>IFERROR(__xludf.DUMMYFUNCTION("""COMPUTED_VALUE"""),"суднові швартові кнехти")</f>
        <v>суднові швартові кнехти</v>
      </c>
      <c r="I786" s="18">
        <f>IFERROR(__xludf.DUMMYFUNCTION("""COMPUTED_VALUE"""),1.17)</f>
        <v>1.17</v>
      </c>
      <c r="J786" s="18">
        <f>IFERROR(__xludf.DUMMYFUNCTION("""COMPUTED_VALUE"""),2.34)</f>
        <v>2.34</v>
      </c>
      <c r="K786" s="18">
        <f>IFERROR(__xludf.DUMMYFUNCTION("""COMPUTED_VALUE"""),2.92)</f>
        <v>2.92</v>
      </c>
      <c r="L786" s="18">
        <f>IFERROR(__xludf.DUMMYFUNCTION("""COMPUTED_VALUE"""),4.68)</f>
        <v>4.68</v>
      </c>
    </row>
    <row r="787">
      <c r="A787" s="13" t="str">
        <f>IFERROR(__xludf.DUMMYFUNCTION("""COMPUTED_VALUE"""),"товари")</f>
        <v>товари</v>
      </c>
      <c r="B787" s="13" t="str">
        <f>IFERROR(__xludf.DUMMYFUNCTION("""COMPUTED_VALUE"""),"авіа-, ж/д-, водний транспорт")</f>
        <v>авіа-, ж/д-, водний транспорт</v>
      </c>
      <c r="C787" s="15" t="str">
        <f>IFERROR(__xludf.DUMMYFUNCTION("""COMPUTED_VALUE"""),"транспортні засоби, загальне")</f>
        <v>транспортні засоби, загальне</v>
      </c>
      <c r="D787" s="15" t="str">
        <f>IFERROR(__xludf.DUMMYFUNCTION("""COMPUTED_VALUE"""),"транспортні засоби, загальне")</f>
        <v>транспортні засоби, загальне</v>
      </c>
      <c r="E787" s="15" t="str">
        <f>IFERROR(__xludf.DUMMYFUNCTION("""COMPUTED_VALUE"""),"транспортні засоби, загальне")</f>
        <v>транспортні засоби, загальне</v>
      </c>
      <c r="F787" s="17">
        <f>IFERROR(__xludf.DUMMYFUNCTION("""COMPUTED_VALUE"""),2.0)</f>
        <v>2</v>
      </c>
      <c r="G787" s="17">
        <f>IFERROR(__xludf.DUMMYFUNCTION("""COMPUTED_VALUE"""),1220.0)</f>
        <v>1220</v>
      </c>
      <c r="H787" s="17" t="str">
        <f>IFERROR(__xludf.DUMMYFUNCTION("""COMPUTED_VALUE"""),"транспортні засоби, загальне")</f>
        <v>транспортні засоби, загальне</v>
      </c>
      <c r="I787" s="18">
        <f>IFERROR(__xludf.DUMMYFUNCTION("""COMPUTED_VALUE"""),2.16)</f>
        <v>2.16</v>
      </c>
      <c r="J787" s="18">
        <f>IFERROR(__xludf.DUMMYFUNCTION("""COMPUTED_VALUE"""),4.33)</f>
        <v>4.33</v>
      </c>
      <c r="K787" s="18">
        <f>IFERROR(__xludf.DUMMYFUNCTION("""COMPUTED_VALUE"""),5.41)</f>
        <v>5.41</v>
      </c>
      <c r="L787" s="18">
        <f>IFERROR(__xludf.DUMMYFUNCTION("""COMPUTED_VALUE"""),8.65)</f>
        <v>8.65</v>
      </c>
    </row>
    <row r="788">
      <c r="A788" s="13" t="str">
        <f>IFERROR(__xludf.DUMMYFUNCTION("""COMPUTED_VALUE"""),"товари")</f>
        <v>товари</v>
      </c>
      <c r="B788" s="13" t="str">
        <f>IFERROR(__xludf.DUMMYFUNCTION("""COMPUTED_VALUE"""),"авіа-, ж/д-, водний транспорт")</f>
        <v>авіа-, ж/д-, водний транспорт</v>
      </c>
      <c r="C788" s="15" t="str">
        <f>IFERROR(__xludf.DUMMYFUNCTION("""COMPUTED_VALUE"""),"водний транспорт")</f>
        <v>водний транспорт</v>
      </c>
      <c r="D788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88" s="15" t="str">
        <f>IFERROR(__xludf.DUMMYFUNCTION("""COMPUTED_VALUE"""),"чохли на водний транспорт")</f>
        <v>чохли на водний транспорт</v>
      </c>
      <c r="F788" s="17">
        <f>IFERROR(__xludf.DUMMYFUNCTION("""COMPUTED_VALUE"""),4.0)</f>
        <v>4</v>
      </c>
      <c r="G788" s="17">
        <f>IFERROR(__xludf.DUMMYFUNCTION("""COMPUTED_VALUE"""),1.2070606E7)</f>
        <v>12070606</v>
      </c>
      <c r="H788" s="17" t="str">
        <f>IFERROR(__xludf.DUMMYFUNCTION("""COMPUTED_VALUE"""),"чохли на водний транспорт")</f>
        <v>чохли на водний транспорт</v>
      </c>
      <c r="I788" s="18">
        <f>IFERROR(__xludf.DUMMYFUNCTION("""COMPUTED_VALUE"""),1.17)</f>
        <v>1.17</v>
      </c>
      <c r="J788" s="18">
        <f>IFERROR(__xludf.DUMMYFUNCTION("""COMPUTED_VALUE"""),2.34)</f>
        <v>2.34</v>
      </c>
      <c r="K788" s="18">
        <f>IFERROR(__xludf.DUMMYFUNCTION("""COMPUTED_VALUE"""),2.92)</f>
        <v>2.92</v>
      </c>
      <c r="L788" s="18">
        <f>IFERROR(__xludf.DUMMYFUNCTION("""COMPUTED_VALUE"""),4.68)</f>
        <v>4.68</v>
      </c>
    </row>
    <row r="789">
      <c r="A789" s="13" t="str">
        <f>IFERROR(__xludf.DUMMYFUNCTION("""COMPUTED_VALUE"""),"товари")</f>
        <v>товари</v>
      </c>
      <c r="B789" s="13" t="str">
        <f>IFERROR(__xludf.DUMMYFUNCTION("""COMPUTED_VALUE"""),"авіа-, ж/д-, водний транспорт")</f>
        <v>авіа-, ж/д-, водний транспорт</v>
      </c>
      <c r="C789" s="15" t="str">
        <f>IFERROR(__xludf.DUMMYFUNCTION("""COMPUTED_VALUE"""),"водний транспорт")</f>
        <v>водний транспорт</v>
      </c>
      <c r="D789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89" s="15" t="str">
        <f>IFERROR(__xludf.DUMMYFUNCTION("""COMPUTED_VALUE"""),"якірне обладнання суден")</f>
        <v>якірне обладнання суден</v>
      </c>
      <c r="F789" s="17">
        <f>IFERROR(__xludf.DUMMYFUNCTION("""COMPUTED_VALUE"""),4.0)</f>
        <v>4</v>
      </c>
      <c r="G789" s="17">
        <f>IFERROR(__xludf.DUMMYFUNCTION("""COMPUTED_VALUE"""),1.2070608E7)</f>
        <v>12070608</v>
      </c>
      <c r="H789" s="17" t="str">
        <f>IFERROR(__xludf.DUMMYFUNCTION("""COMPUTED_VALUE"""),"якірне обладнання суден")</f>
        <v>якірне обладнання суден</v>
      </c>
      <c r="I789" s="18">
        <f>IFERROR(__xludf.DUMMYFUNCTION("""COMPUTED_VALUE"""),1.17)</f>
        <v>1.17</v>
      </c>
      <c r="J789" s="18">
        <f>IFERROR(__xludf.DUMMYFUNCTION("""COMPUTED_VALUE"""),2.34)</f>
        <v>2.34</v>
      </c>
      <c r="K789" s="18">
        <f>IFERROR(__xludf.DUMMYFUNCTION("""COMPUTED_VALUE"""),2.92)</f>
        <v>2.92</v>
      </c>
      <c r="L789" s="18">
        <f>IFERROR(__xludf.DUMMYFUNCTION("""COMPUTED_VALUE"""),4.68)</f>
        <v>4.68</v>
      </c>
    </row>
    <row r="790">
      <c r="A790" s="13" t="str">
        <f>IFERROR(__xludf.DUMMYFUNCTION("""COMPUTED_VALUE"""),"товари")</f>
        <v>товари</v>
      </c>
      <c r="B790" s="13" t="str">
        <f>IFERROR(__xludf.DUMMYFUNCTION("""COMPUTED_VALUE"""),"авто-, мото")</f>
        <v>авто-, мото</v>
      </c>
      <c r="C790" s="15" t="str">
        <f>IFERROR(__xludf.DUMMYFUNCTION("""COMPUTED_VALUE"""),"мототехніка")</f>
        <v>мототехніка</v>
      </c>
      <c r="D790" s="15" t="str">
        <f>IFERROR(__xludf.DUMMYFUNCTION("""COMPUTED_VALUE"""),"квадроцикли та баггі")</f>
        <v>квадроцикли та баггі</v>
      </c>
      <c r="E790" s="15" t="str">
        <f>IFERROR(__xludf.DUMMYFUNCTION("""COMPUTED_VALUE"""),"квадроцикли та баггі")</f>
        <v>квадроцикли та баггі</v>
      </c>
      <c r="F790" s="17">
        <f>IFERROR(__xludf.DUMMYFUNCTION("""COMPUTED_VALUE"""),3.0)</f>
        <v>3</v>
      </c>
      <c r="G790" s="17">
        <f>IFERROR(__xludf.DUMMYFUNCTION("""COMPUTED_VALUE"""),3411.0)</f>
        <v>3411</v>
      </c>
      <c r="H790" s="17" t="str">
        <f>IFERROR(__xludf.DUMMYFUNCTION("""COMPUTED_VALUE"""),"квадроцикли та баггі")</f>
        <v>квадроцикли та баггі</v>
      </c>
      <c r="I790" s="18">
        <f>IFERROR(__xludf.DUMMYFUNCTION("""COMPUTED_VALUE"""),0.86)</f>
        <v>0.86</v>
      </c>
      <c r="J790" s="18">
        <f>IFERROR(__xludf.DUMMYFUNCTION("""COMPUTED_VALUE"""),1.71)</f>
        <v>1.71</v>
      </c>
      <c r="K790" s="18">
        <f>IFERROR(__xludf.DUMMYFUNCTION("""COMPUTED_VALUE"""),2.14)</f>
        <v>2.14</v>
      </c>
      <c r="L790" s="18">
        <f>IFERROR(__xludf.DUMMYFUNCTION("""COMPUTED_VALUE"""),3.43)</f>
        <v>3.43</v>
      </c>
    </row>
    <row r="791">
      <c r="A791" s="13" t="str">
        <f>IFERROR(__xludf.DUMMYFUNCTION("""COMPUTED_VALUE"""),"товари")</f>
        <v>товари</v>
      </c>
      <c r="B791" s="13" t="str">
        <f>IFERROR(__xludf.DUMMYFUNCTION("""COMPUTED_VALUE"""),"авто-, мото")</f>
        <v>авто-, мото</v>
      </c>
      <c r="C791" s="15" t="str">
        <f>IFERROR(__xludf.DUMMYFUNCTION("""COMPUTED_VALUE"""),"автозапчастини")</f>
        <v>автозапчастини</v>
      </c>
      <c r="D791" s="15" t="str">
        <f>IFERROR(__xludf.DUMMYFUNCTION("""COMPUTED_VALUE"""),"кривошипно-шатунний механізм (кшм)")</f>
        <v>кривошипно-шатунний механізм (кшм)</v>
      </c>
      <c r="E791" s="15" t="str">
        <f>IFERROR(__xludf.DUMMYFUNCTION("""COMPUTED_VALUE"""),"колінчастий вал, шестерні колінчастого вала")</f>
        <v>колінчастий вал, шестерні колінчастого вала</v>
      </c>
      <c r="F791" s="17">
        <f>IFERROR(__xludf.DUMMYFUNCTION("""COMPUTED_VALUE"""),4.0)</f>
        <v>4</v>
      </c>
      <c r="G791" s="17">
        <f>IFERROR(__xludf.DUMMYFUNCTION("""COMPUTED_VALUE"""),1.2020423E7)</f>
        <v>12020423</v>
      </c>
      <c r="H791" s="17" t="str">
        <f>IFERROR(__xludf.DUMMYFUNCTION("""COMPUTED_VALUE"""),"колінчастий вал, шестерні колінчастого вала")</f>
        <v>колінчастий вал, шестерні колінчастого вала</v>
      </c>
      <c r="I791" s="18">
        <f>IFERROR(__xludf.DUMMYFUNCTION("""COMPUTED_VALUE"""),0.99)</f>
        <v>0.99</v>
      </c>
      <c r="J791" s="18">
        <f>IFERROR(__xludf.DUMMYFUNCTION("""COMPUTED_VALUE"""),1.98)</f>
        <v>1.98</v>
      </c>
      <c r="K791" s="18">
        <f>IFERROR(__xludf.DUMMYFUNCTION("""COMPUTED_VALUE"""),2.47)</f>
        <v>2.47</v>
      </c>
      <c r="L791" s="18">
        <f>IFERROR(__xludf.DUMMYFUNCTION("""COMPUTED_VALUE"""),3.95)</f>
        <v>3.95</v>
      </c>
    </row>
    <row r="792">
      <c r="A792" s="13" t="str">
        <f>IFERROR(__xludf.DUMMYFUNCTION("""COMPUTED_VALUE"""),"товари")</f>
        <v>товари</v>
      </c>
      <c r="B792" s="13" t="str">
        <f>IFERROR(__xludf.DUMMYFUNCTION("""COMPUTED_VALUE"""),"авто-, мото")</f>
        <v>авто-, мото</v>
      </c>
      <c r="C792" s="15" t="str">
        <f>IFERROR(__xludf.DUMMYFUNCTION("""COMPUTED_VALUE"""),"автозапчастини")</f>
        <v>автозапчастини</v>
      </c>
      <c r="D792" s="15" t="str">
        <f>IFERROR(__xludf.DUMMYFUNCTION("""COMPUTED_VALUE"""),"система охолодження двигуна")</f>
        <v>система охолодження двигуна</v>
      </c>
      <c r="E792" s="15" t="str">
        <f>IFERROR(__xludf.DUMMYFUNCTION("""COMPUTED_VALUE"""),"компресора системи охолодження")</f>
        <v>компресора системи охолодження</v>
      </c>
      <c r="F792" s="17">
        <f>IFERROR(__xludf.DUMMYFUNCTION("""COMPUTED_VALUE"""),4.0)</f>
        <v>4</v>
      </c>
      <c r="G792" s="17">
        <f>IFERROR(__xludf.DUMMYFUNCTION("""COMPUTED_VALUE"""),120244.0)</f>
        <v>120244</v>
      </c>
      <c r="H792" s="17" t="str">
        <f>IFERROR(__xludf.DUMMYFUNCTION("""COMPUTED_VALUE"""),"компресора системи охолодження")</f>
        <v>компресора системи охолодження</v>
      </c>
      <c r="I792" s="18">
        <f>IFERROR(__xludf.DUMMYFUNCTION("""COMPUTED_VALUE"""),1.04)</f>
        <v>1.04</v>
      </c>
      <c r="J792" s="18">
        <f>IFERROR(__xludf.DUMMYFUNCTION("""COMPUTED_VALUE"""),2.08)</f>
        <v>2.08</v>
      </c>
      <c r="K792" s="18">
        <f>IFERROR(__xludf.DUMMYFUNCTION("""COMPUTED_VALUE"""),2.59)</f>
        <v>2.59</v>
      </c>
      <c r="L792" s="18">
        <f>IFERROR(__xludf.DUMMYFUNCTION("""COMPUTED_VALUE"""),4.15)</f>
        <v>4.15</v>
      </c>
    </row>
    <row r="793">
      <c r="A793" s="13" t="str">
        <f>IFERROR(__xludf.DUMMYFUNCTION("""COMPUTED_VALUE"""),"товари")</f>
        <v>товари</v>
      </c>
      <c r="B793" s="13" t="str">
        <f>IFERROR(__xludf.DUMMYFUNCTION("""COMPUTED_VALUE"""),"авто-, мото")</f>
        <v>авто-, мото</v>
      </c>
      <c r="C793" s="15" t="str">
        <f>IFERROR(__xludf.DUMMYFUNCTION("""COMPUTED_VALUE"""),"автозапчастини")</f>
        <v>автозапчастини</v>
      </c>
      <c r="D793" s="15" t="str">
        <f>IFERROR(__xludf.DUMMYFUNCTION("""COMPUTED_VALUE"""),"деталі трансмісії транспорту")</f>
        <v>деталі трансмісії транспорту</v>
      </c>
      <c r="E793" s="15" t="str">
        <f>IFERROR(__xludf.DUMMYFUNCTION("""COMPUTED_VALUE"""),"коробки перемикання передач (кпп)")</f>
        <v>коробки перемикання передач (кпп)</v>
      </c>
      <c r="F793" s="17">
        <f>IFERROR(__xludf.DUMMYFUNCTION("""COMPUTED_VALUE"""),4.0)</f>
        <v>4</v>
      </c>
      <c r="G793" s="17">
        <f>IFERROR(__xludf.DUMMYFUNCTION("""COMPUTED_VALUE"""),1.2023816E7)</f>
        <v>12023816</v>
      </c>
      <c r="H793" s="17" t="str">
        <f>IFERROR(__xludf.DUMMYFUNCTION("""COMPUTED_VALUE"""),"коробки перемикання передач (кпп)")</f>
        <v>коробки перемикання передач (кпп)</v>
      </c>
      <c r="I793" s="18">
        <f>IFERROR(__xludf.DUMMYFUNCTION("""COMPUTED_VALUE"""),0.76)</f>
        <v>0.76</v>
      </c>
      <c r="J793" s="18">
        <f>IFERROR(__xludf.DUMMYFUNCTION("""COMPUTED_VALUE"""),1.53)</f>
        <v>1.53</v>
      </c>
      <c r="K793" s="18">
        <f>IFERROR(__xludf.DUMMYFUNCTION("""COMPUTED_VALUE"""),1.91)</f>
        <v>1.91</v>
      </c>
      <c r="L793" s="18">
        <f>IFERROR(__xludf.DUMMYFUNCTION("""COMPUTED_VALUE"""),3.05)</f>
        <v>3.05</v>
      </c>
    </row>
    <row r="794">
      <c r="A794" s="13" t="str">
        <f>IFERROR(__xludf.DUMMYFUNCTION("""COMPUTED_VALUE"""),"товари")</f>
        <v>товари</v>
      </c>
      <c r="B794" s="13" t="str">
        <f>IFERROR(__xludf.DUMMYFUNCTION("""COMPUTED_VALUE"""),"авто-, мото")</f>
        <v>авто-, мото</v>
      </c>
      <c r="C794" s="15" t="str">
        <f>IFERROR(__xludf.DUMMYFUNCTION("""COMPUTED_VALUE"""),"автозапчастини")</f>
        <v>автозапчастини</v>
      </c>
      <c r="D794" s="15" t="str">
        <f>IFERROR(__xludf.DUMMYFUNCTION("""COMPUTED_VALUE"""),"кривошипно-шатунний механізм (кшм)")</f>
        <v>кривошипно-шатунний механізм (кшм)</v>
      </c>
      <c r="E794" s="15" t="str">
        <f>IFERROR(__xludf.DUMMYFUNCTION("""COMPUTED_VALUE"""),"кривошипно-шатунний механізм, загальне")</f>
        <v>кривошипно-шатунний механізм, загальне</v>
      </c>
      <c r="F794" s="17">
        <f>IFERROR(__xludf.DUMMYFUNCTION("""COMPUTED_VALUE"""),4.0)</f>
        <v>4</v>
      </c>
      <c r="G794" s="17">
        <f>IFERROR(__xludf.DUMMYFUNCTION("""COMPUTED_VALUE"""),550207.0)</f>
        <v>550207</v>
      </c>
      <c r="H794" s="17" t="str">
        <f>IFERROR(__xludf.DUMMYFUNCTION("""COMPUTED_VALUE"""),"кривошипно-шатунний механізм, загальне")</f>
        <v>кривошипно-шатунний механізм, загальне</v>
      </c>
      <c r="I794" s="18">
        <f>IFERROR(__xludf.DUMMYFUNCTION("""COMPUTED_VALUE"""),2.16)</f>
        <v>2.16</v>
      </c>
      <c r="J794" s="18">
        <f>IFERROR(__xludf.DUMMYFUNCTION("""COMPUTED_VALUE"""),4.33)</f>
        <v>4.33</v>
      </c>
      <c r="K794" s="18">
        <f>IFERROR(__xludf.DUMMYFUNCTION("""COMPUTED_VALUE"""),5.41)</f>
        <v>5.41</v>
      </c>
      <c r="L794" s="18">
        <f>IFERROR(__xludf.DUMMYFUNCTION("""COMPUTED_VALUE"""),8.65)</f>
        <v>8.65</v>
      </c>
    </row>
    <row r="795">
      <c r="A795" s="13" t="str">
        <f>IFERROR(__xludf.DUMMYFUNCTION("""COMPUTED_VALUE"""),"товари")</f>
        <v>товари</v>
      </c>
      <c r="B795" s="13" t="str">
        <f>IFERROR(__xludf.DUMMYFUNCTION("""COMPUTED_VALUE"""),"авто-, мото")</f>
        <v>авто-, мото</v>
      </c>
      <c r="C795" s="15" t="str">
        <f>IFERROR(__xludf.DUMMYFUNCTION("""COMPUTED_VALUE"""),"легкові автомобілі")</f>
        <v>легкові автомобілі</v>
      </c>
      <c r="D795" s="15" t="str">
        <f>IFERROR(__xludf.DUMMYFUNCTION("""COMPUTED_VALUE"""),"легкові автомобілі")</f>
        <v>легкові автомобілі</v>
      </c>
      <c r="E795" s="15" t="str">
        <f>IFERROR(__xludf.DUMMYFUNCTION("""COMPUTED_VALUE"""),"легкові автомобілі")</f>
        <v>легкові автомобілі</v>
      </c>
      <c r="F795" s="17">
        <f>IFERROR(__xludf.DUMMYFUNCTION("""COMPUTED_VALUE"""),2.0)</f>
        <v>2</v>
      </c>
      <c r="G795" s="17">
        <f>IFERROR(__xludf.DUMMYFUNCTION("""COMPUTED_VALUE"""),1201.0)</f>
        <v>1201</v>
      </c>
      <c r="H795" s="17" t="str">
        <f>IFERROR(__xludf.DUMMYFUNCTION("""COMPUTED_VALUE"""),"легкові автомобілі")</f>
        <v>легкові автомобілі</v>
      </c>
      <c r="I795" s="18">
        <f>IFERROR(__xludf.DUMMYFUNCTION("""COMPUTED_VALUE"""),2.7)</f>
        <v>2.7</v>
      </c>
      <c r="J795" s="18">
        <f>IFERROR(__xludf.DUMMYFUNCTION("""COMPUTED_VALUE"""),5.4)</f>
        <v>5.4</v>
      </c>
      <c r="K795" s="18">
        <f>IFERROR(__xludf.DUMMYFUNCTION("""COMPUTED_VALUE"""),6.75)</f>
        <v>6.75</v>
      </c>
      <c r="L795" s="18">
        <f>IFERROR(__xludf.DUMMYFUNCTION("""COMPUTED_VALUE"""),10.8)</f>
        <v>10.8</v>
      </c>
    </row>
    <row r="796">
      <c r="A796" s="13" t="str">
        <f>IFERROR(__xludf.DUMMYFUNCTION("""COMPUTED_VALUE"""),"товари")</f>
        <v>товари</v>
      </c>
      <c r="B796" s="13" t="str">
        <f>IFERROR(__xludf.DUMMYFUNCTION("""COMPUTED_VALUE"""),"авто-, мото")</f>
        <v>авто-, мото</v>
      </c>
      <c r="C796" s="15" t="str">
        <f>IFERROR(__xludf.DUMMYFUNCTION("""COMPUTED_VALUE"""),"легкові електромобілі")</f>
        <v>легкові електромобілі</v>
      </c>
      <c r="D796" s="15" t="str">
        <f>IFERROR(__xludf.DUMMYFUNCTION("""COMPUTED_VALUE"""),"легкові електромобілі")</f>
        <v>легкові електромобілі</v>
      </c>
      <c r="E796" s="15" t="str">
        <f>IFERROR(__xludf.DUMMYFUNCTION("""COMPUTED_VALUE"""),"легкові електромобілі")</f>
        <v>легкові електромобілі</v>
      </c>
      <c r="F796" s="17">
        <f>IFERROR(__xludf.DUMMYFUNCTION("""COMPUTED_VALUE"""),2.0)</f>
        <v>2</v>
      </c>
      <c r="G796" s="17">
        <f>IFERROR(__xludf.DUMMYFUNCTION("""COMPUTED_VALUE"""),5504.0)</f>
        <v>5504</v>
      </c>
      <c r="H796" s="17" t="str">
        <f>IFERROR(__xludf.DUMMYFUNCTION("""COMPUTED_VALUE"""),"легкові електромобілі")</f>
        <v>легкові електромобілі</v>
      </c>
      <c r="I796" s="18">
        <f>IFERROR(__xludf.DUMMYFUNCTION("""COMPUTED_VALUE"""),0.76)</f>
        <v>0.76</v>
      </c>
      <c r="J796" s="18">
        <f>IFERROR(__xludf.DUMMYFUNCTION("""COMPUTED_VALUE"""),1.53)</f>
        <v>1.53</v>
      </c>
      <c r="K796" s="18">
        <f>IFERROR(__xludf.DUMMYFUNCTION("""COMPUTED_VALUE"""),1.91)</f>
        <v>1.91</v>
      </c>
      <c r="L796" s="18">
        <f>IFERROR(__xludf.DUMMYFUNCTION("""COMPUTED_VALUE"""),3.05)</f>
        <v>3.05</v>
      </c>
    </row>
    <row r="797">
      <c r="A797" s="13" t="str">
        <f>IFERROR(__xludf.DUMMYFUNCTION("""COMPUTED_VALUE"""),"товари")</f>
        <v>товари</v>
      </c>
      <c r="B797" s="13" t="str">
        <f>IFERROR(__xludf.DUMMYFUNCTION("""COMPUTED_VALUE"""),"авто-, мото")</f>
        <v>авто-, мото</v>
      </c>
      <c r="C797" s="15" t="str">
        <f>IFERROR(__xludf.DUMMYFUNCTION("""COMPUTED_VALUE"""),"автозапчастини")</f>
        <v>автозапчастини</v>
      </c>
      <c r="D797" s="15" t="str">
        <f>IFERROR(__xludf.DUMMYFUNCTION("""COMPUTED_VALUE"""),"органи керування")</f>
        <v>органи керування</v>
      </c>
      <c r="E797" s="15" t="str">
        <f>IFERROR(__xludf.DUMMYFUNCTION("""COMPUTED_VALUE"""),"органи управління, загальне")</f>
        <v>органи управління, загальне</v>
      </c>
      <c r="F797" s="17">
        <f>IFERROR(__xludf.DUMMYFUNCTION("""COMPUTED_VALUE"""),4.0)</f>
        <v>4</v>
      </c>
      <c r="G797" s="17">
        <f>IFERROR(__xludf.DUMMYFUNCTION("""COMPUTED_VALUE"""),120207.0)</f>
        <v>120207</v>
      </c>
      <c r="H797" s="17" t="str">
        <f>IFERROR(__xludf.DUMMYFUNCTION("""COMPUTED_VALUE"""),"органи управління, загальне")</f>
        <v>органи управління, загальне</v>
      </c>
      <c r="I797" s="18">
        <f>IFERROR(__xludf.DUMMYFUNCTION("""COMPUTED_VALUE"""),2.16)</f>
        <v>2.16</v>
      </c>
      <c r="J797" s="18">
        <f>IFERROR(__xludf.DUMMYFUNCTION("""COMPUTED_VALUE"""),4.33)</f>
        <v>4.33</v>
      </c>
      <c r="K797" s="18">
        <f>IFERROR(__xludf.DUMMYFUNCTION("""COMPUTED_VALUE"""),5.41)</f>
        <v>5.41</v>
      </c>
      <c r="L797" s="18">
        <f>IFERROR(__xludf.DUMMYFUNCTION("""COMPUTED_VALUE"""),8.65)</f>
        <v>8.65</v>
      </c>
    </row>
    <row r="798">
      <c r="A798" s="13" t="str">
        <f>IFERROR(__xludf.DUMMYFUNCTION("""COMPUTED_VALUE"""),"товари")</f>
        <v>товари</v>
      </c>
      <c r="B798" s="13" t="str">
        <f>IFERROR(__xludf.DUMMYFUNCTION("""COMPUTED_VALUE"""),"авто-, мото")</f>
        <v>авто-, мото</v>
      </c>
      <c r="C798" s="15" t="str">
        <f>IFERROR(__xludf.DUMMYFUNCTION("""COMPUTED_VALUE"""),"електрообладнання автомобілів")</f>
        <v>електрообладнання автомобілів</v>
      </c>
      <c r="D798" s="15" t="str">
        <f>IFERROR(__xludf.DUMMYFUNCTION("""COMPUTED_VALUE"""),"піддони для акумуляторів")</f>
        <v>піддони для акумуляторів</v>
      </c>
      <c r="E798" s="15" t="str">
        <f>IFERROR(__xludf.DUMMYFUNCTION("""COMPUTED_VALUE"""),"піддони для акумуляторів")</f>
        <v>піддони для акумуляторів</v>
      </c>
      <c r="F798" s="17">
        <f>IFERROR(__xludf.DUMMYFUNCTION("""COMPUTED_VALUE"""),3.0)</f>
        <v>3</v>
      </c>
      <c r="G798" s="17">
        <f>IFERROR(__xludf.DUMMYFUNCTION("""COMPUTED_VALUE"""),1.2020309E7)</f>
        <v>12020309</v>
      </c>
      <c r="H798" s="17" t="str">
        <f>IFERROR(__xludf.DUMMYFUNCTION("""COMPUTED_VALUE"""),"піддони для акумуляторів")</f>
        <v>піддони для акумуляторів</v>
      </c>
      <c r="I798" s="18">
        <f>IFERROR(__xludf.DUMMYFUNCTION("""COMPUTED_VALUE"""),0.76)</f>
        <v>0.76</v>
      </c>
      <c r="J798" s="18">
        <f>IFERROR(__xludf.DUMMYFUNCTION("""COMPUTED_VALUE"""),1.53)</f>
        <v>1.53</v>
      </c>
      <c r="K798" s="18">
        <f>IFERROR(__xludf.DUMMYFUNCTION("""COMPUTED_VALUE"""),1.91)</f>
        <v>1.91</v>
      </c>
      <c r="L798" s="18">
        <f>IFERROR(__xludf.DUMMYFUNCTION("""COMPUTED_VALUE"""),3.05)</f>
        <v>3.05</v>
      </c>
    </row>
    <row r="799">
      <c r="A799" s="13" t="str">
        <f>IFERROR(__xludf.DUMMYFUNCTION("""COMPUTED_VALUE"""),"товари")</f>
        <v>товари</v>
      </c>
      <c r="B799" s="13" t="str">
        <f>IFERROR(__xludf.DUMMYFUNCTION("""COMPUTED_VALUE"""),"авто-, мото")</f>
        <v>авто-, мото</v>
      </c>
      <c r="C799" s="15" t="str">
        <f>IFERROR(__xludf.DUMMYFUNCTION("""COMPUTED_VALUE"""),"автозапчастини")</f>
        <v>автозапчастини</v>
      </c>
      <c r="D799" s="15" t="str">
        <f>IFERROR(__xludf.DUMMYFUNCTION("""COMPUTED_VALUE"""),"система запалювання двигуна")</f>
        <v>система запалювання двигуна</v>
      </c>
      <c r="E799" s="15" t="str">
        <f>IFERROR(__xludf.DUMMYFUNCTION("""COMPUTED_VALUE"""),"системи запалювання, загальне")</f>
        <v>системи запалювання, загальне</v>
      </c>
      <c r="F799" s="17">
        <f>IFERROR(__xludf.DUMMYFUNCTION("""COMPUTED_VALUE"""),4.0)</f>
        <v>4</v>
      </c>
      <c r="G799" s="17">
        <f>IFERROR(__xludf.DUMMYFUNCTION("""COMPUTED_VALUE"""),1.2020503E7)</f>
        <v>12020503</v>
      </c>
      <c r="H799" s="17" t="str">
        <f>IFERROR(__xludf.DUMMYFUNCTION("""COMPUTED_VALUE"""),"системи запалювання, загальне")</f>
        <v>системи запалювання, загальне</v>
      </c>
      <c r="I799" s="18">
        <f>IFERROR(__xludf.DUMMYFUNCTION("""COMPUTED_VALUE"""),2.16)</f>
        <v>2.16</v>
      </c>
      <c r="J799" s="18">
        <f>IFERROR(__xludf.DUMMYFUNCTION("""COMPUTED_VALUE"""),4.33)</f>
        <v>4.33</v>
      </c>
      <c r="K799" s="18">
        <f>IFERROR(__xludf.DUMMYFUNCTION("""COMPUTED_VALUE"""),5.41)</f>
        <v>5.41</v>
      </c>
      <c r="L799" s="18">
        <f>IFERROR(__xludf.DUMMYFUNCTION("""COMPUTED_VALUE"""),8.65)</f>
        <v>8.65</v>
      </c>
    </row>
    <row r="800">
      <c r="A800" s="13" t="str">
        <f>IFERROR(__xludf.DUMMYFUNCTION("""COMPUTED_VALUE"""),"товари")</f>
        <v>товари</v>
      </c>
      <c r="B800" s="13" t="str">
        <f>IFERROR(__xludf.DUMMYFUNCTION("""COMPUTED_VALUE"""),"авто-, мото")</f>
        <v>авто-, мото</v>
      </c>
      <c r="C800" s="15" t="str">
        <f>IFERROR(__xludf.DUMMYFUNCTION("""COMPUTED_VALUE"""),"автозапчастини")</f>
        <v>автозапчастини</v>
      </c>
      <c r="D800" s="15" t="str">
        <f>IFERROR(__xludf.DUMMYFUNCTION("""COMPUTED_VALUE"""),"система змащування двигуна")</f>
        <v>система змащування двигуна</v>
      </c>
      <c r="E800" s="15" t="str">
        <f>IFERROR(__xludf.DUMMYFUNCTION("""COMPUTED_VALUE"""),"гідравлічні фільтри ")</f>
        <v>гідравлічні фільтри </v>
      </c>
      <c r="F800" s="17">
        <f>IFERROR(__xludf.DUMMYFUNCTION("""COMPUTED_VALUE"""),4.0)</f>
        <v>4</v>
      </c>
      <c r="G800" s="17">
        <f>IFERROR(__xludf.DUMMYFUNCTION("""COMPUTED_VALUE"""),140311.0)</f>
        <v>140311</v>
      </c>
      <c r="H800" s="17" t="str">
        <f>IFERROR(__xludf.DUMMYFUNCTION("""COMPUTED_VALUE"""),"гідравлічні фільтри ")</f>
        <v>гідравлічні фільтри </v>
      </c>
      <c r="I800" s="18">
        <f>IFERROR(__xludf.DUMMYFUNCTION("""COMPUTED_VALUE"""),0.9)</f>
        <v>0.9</v>
      </c>
      <c r="J800" s="18">
        <f>IFERROR(__xludf.DUMMYFUNCTION("""COMPUTED_VALUE"""),1.8)</f>
        <v>1.8</v>
      </c>
      <c r="K800" s="18">
        <f>IFERROR(__xludf.DUMMYFUNCTION("""COMPUTED_VALUE"""),2.25)</f>
        <v>2.25</v>
      </c>
      <c r="L800" s="18">
        <f>IFERROR(__xludf.DUMMYFUNCTION("""COMPUTED_VALUE"""),3.6)</f>
        <v>3.6</v>
      </c>
    </row>
    <row r="801">
      <c r="A801" s="13" t="str">
        <f>IFERROR(__xludf.DUMMYFUNCTION("""COMPUTED_VALUE"""),"товари")</f>
        <v>товари</v>
      </c>
      <c r="B801" s="13" t="str">
        <f>IFERROR(__xludf.DUMMYFUNCTION("""COMPUTED_VALUE"""),"антикваріат і колекціонування")</f>
        <v>антикваріат і колекціонування</v>
      </c>
      <c r="C801" s="15" t="str">
        <f>IFERROR(__xludf.DUMMYFUNCTION("""COMPUTED_VALUE"""),"антикваріат, загальне")</f>
        <v>антикваріат, загальне</v>
      </c>
      <c r="D801" s="15" t="str">
        <f>IFERROR(__xludf.DUMMYFUNCTION("""COMPUTED_VALUE"""),"антикваріат, загальне")</f>
        <v>антикваріат, загальне</v>
      </c>
      <c r="E801" s="15" t="str">
        <f>IFERROR(__xludf.DUMMYFUNCTION("""COMPUTED_VALUE"""),"антикваріат, загальне")</f>
        <v>антикваріат, загальне</v>
      </c>
      <c r="F801" s="17">
        <f>IFERROR(__xludf.DUMMYFUNCTION("""COMPUTED_VALUE"""),2.0)</f>
        <v>2</v>
      </c>
      <c r="G801" s="17">
        <f>IFERROR(__xludf.DUMMYFUNCTION("""COMPUTED_VALUE"""),170304.0)</f>
        <v>170304</v>
      </c>
      <c r="H801" s="17" t="str">
        <f>IFERROR(__xludf.DUMMYFUNCTION("""COMPUTED_VALUE"""),"антикваріат, загальне")</f>
        <v>антикваріат, загальне</v>
      </c>
      <c r="I801" s="18">
        <f>IFERROR(__xludf.DUMMYFUNCTION("""COMPUTED_VALUE"""),2.16)</f>
        <v>2.16</v>
      </c>
      <c r="J801" s="18">
        <f>IFERROR(__xludf.DUMMYFUNCTION("""COMPUTED_VALUE"""),4.33)</f>
        <v>4.33</v>
      </c>
      <c r="K801" s="18">
        <f>IFERROR(__xludf.DUMMYFUNCTION("""COMPUTED_VALUE"""),5.41)</f>
        <v>5.41</v>
      </c>
      <c r="L801" s="18">
        <f>IFERROR(__xludf.DUMMYFUNCTION("""COMPUTED_VALUE"""),8.65)</f>
        <v>8.65</v>
      </c>
    </row>
    <row r="802">
      <c r="A802" s="13" t="str">
        <f>IFERROR(__xludf.DUMMYFUNCTION("""COMPUTED_VALUE"""),"товари")</f>
        <v>товари</v>
      </c>
      <c r="B802" s="13" t="str">
        <f>IFERROR(__xludf.DUMMYFUNCTION("""COMPUTED_VALUE"""),"безпека та захист")</f>
        <v>безпека та захист</v>
      </c>
      <c r="C802" s="15" t="str">
        <f>IFERROR(__xludf.DUMMYFUNCTION("""COMPUTED_VALUE"""),"системи і засоби пожежної безпеки")</f>
        <v>системи і засоби пожежної безпеки</v>
      </c>
      <c r="D802" s="15" t="str">
        <f>IFERROR(__xludf.DUMMYFUNCTION("""COMPUTED_VALUE"""),"блискавкозахист і заземлення")</f>
        <v>блискавкозахист і заземлення</v>
      </c>
      <c r="E802" s="15" t="str">
        <f>IFERROR(__xludf.DUMMYFUNCTION("""COMPUTED_VALUE"""),"блискавкозахист і заземлення, загальне")</f>
        <v>блискавкозахист і заземлення, загальне</v>
      </c>
      <c r="F802" s="17">
        <f>IFERROR(__xludf.DUMMYFUNCTION("""COMPUTED_VALUE"""),4.0)</f>
        <v>4</v>
      </c>
      <c r="G802" s="17">
        <f>IFERROR(__xludf.DUMMYFUNCTION("""COMPUTED_VALUE"""),300310.0)</f>
        <v>300310</v>
      </c>
      <c r="H802" s="17" t="str">
        <f>IFERROR(__xludf.DUMMYFUNCTION("""COMPUTED_VALUE"""),"блискавкозахист і заземлення, загальне")</f>
        <v>блискавкозахист і заземлення, загальне</v>
      </c>
      <c r="I802" s="18">
        <f>IFERROR(__xludf.DUMMYFUNCTION("""COMPUTED_VALUE"""),2.16)</f>
        <v>2.16</v>
      </c>
      <c r="J802" s="18">
        <f>IFERROR(__xludf.DUMMYFUNCTION("""COMPUTED_VALUE"""),4.33)</f>
        <v>4.33</v>
      </c>
      <c r="K802" s="18">
        <f>IFERROR(__xludf.DUMMYFUNCTION("""COMPUTED_VALUE"""),5.41)</f>
        <v>5.41</v>
      </c>
      <c r="L802" s="18">
        <f>IFERROR(__xludf.DUMMYFUNCTION("""COMPUTED_VALUE"""),8.65)</f>
        <v>8.65</v>
      </c>
    </row>
    <row r="803">
      <c r="A803" s="13" t="str">
        <f>IFERROR(__xludf.DUMMYFUNCTION("""COMPUTED_VALUE"""),"товари")</f>
        <v>товари</v>
      </c>
      <c r="B803" s="13" t="str">
        <f>IFERROR(__xludf.DUMMYFUNCTION("""COMPUTED_VALUE"""),"безпека та захист")</f>
        <v>безпека та захист</v>
      </c>
      <c r="C803" s="15" t="str">
        <f>IFERROR(__xludf.DUMMYFUNCTION("""COMPUTED_VALUE"""),"системи і засоби пожежної безпеки")</f>
        <v>системи і засоби пожежної безпеки</v>
      </c>
      <c r="D803" s="15" t="str">
        <f>IFERROR(__xludf.DUMMYFUNCTION("""COMPUTED_VALUE"""),"блискавкозахист і заземлення")</f>
        <v>блискавкозахист і заземлення</v>
      </c>
      <c r="E803" s="15" t="str">
        <f>IFERROR(__xludf.DUMMYFUNCTION("""COMPUTED_VALUE"""),"блискавкоприймачі")</f>
        <v>блискавкоприймачі</v>
      </c>
      <c r="F803" s="17">
        <f>IFERROR(__xludf.DUMMYFUNCTION("""COMPUTED_VALUE"""),4.0)</f>
        <v>4</v>
      </c>
      <c r="G803" s="17">
        <f>IFERROR(__xludf.DUMMYFUNCTION("""COMPUTED_VALUE"""),300301.0)</f>
        <v>300301</v>
      </c>
      <c r="H803" s="17" t="str">
        <f>IFERROR(__xludf.DUMMYFUNCTION("""COMPUTED_VALUE"""),"блискавкоприймачі")</f>
        <v>блискавкоприймачі</v>
      </c>
      <c r="I803" s="18">
        <f>IFERROR(__xludf.DUMMYFUNCTION("""COMPUTED_VALUE"""),1.13)</f>
        <v>1.13</v>
      </c>
      <c r="J803" s="18">
        <f>IFERROR(__xludf.DUMMYFUNCTION("""COMPUTED_VALUE"""),2.25)</f>
        <v>2.25</v>
      </c>
      <c r="K803" s="18">
        <f>IFERROR(__xludf.DUMMYFUNCTION("""COMPUTED_VALUE"""),2.81)</f>
        <v>2.81</v>
      </c>
      <c r="L803" s="18">
        <f>IFERROR(__xludf.DUMMYFUNCTION("""COMPUTED_VALUE"""),4.5)</f>
        <v>4.5</v>
      </c>
    </row>
    <row r="804">
      <c r="A804" s="13" t="str">
        <f>IFERROR(__xludf.DUMMYFUNCTION("""COMPUTED_VALUE"""),"товари")</f>
        <v>товари</v>
      </c>
      <c r="B804" s="13" t="str">
        <f>IFERROR(__xludf.DUMMYFUNCTION("""COMPUTED_VALUE"""),"безпека та захист")</f>
        <v>безпека та захист</v>
      </c>
      <c r="C804" s="15" t="str">
        <f>IFERROR(__xludf.DUMMYFUNCTION("""COMPUTED_VALUE"""),"системи і засоби пожежної безпеки")</f>
        <v>системи і засоби пожежної безпеки</v>
      </c>
      <c r="D804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04" s="15" t="str">
        <f>IFERROR(__xludf.DUMMYFUNCTION("""COMPUTED_VALUE"""),"вентилі, клапани та муфти")</f>
        <v>вентилі, клапани та муфти</v>
      </c>
      <c r="F804" s="17">
        <f>IFERROR(__xludf.DUMMYFUNCTION("""COMPUTED_VALUE"""),4.0)</f>
        <v>4</v>
      </c>
      <c r="G804" s="17">
        <f>IFERROR(__xludf.DUMMYFUNCTION("""COMPUTED_VALUE"""),300926.0)</f>
        <v>300926</v>
      </c>
      <c r="H804" s="17" t="str">
        <f>IFERROR(__xludf.DUMMYFUNCTION("""COMPUTED_VALUE"""),"вентилі, клапани та муфти")</f>
        <v>вентилі, клапани та муфти</v>
      </c>
      <c r="I804" s="18">
        <f>IFERROR(__xludf.DUMMYFUNCTION("""COMPUTED_VALUE"""),1.66)</f>
        <v>1.66</v>
      </c>
      <c r="J804" s="18">
        <f>IFERROR(__xludf.DUMMYFUNCTION("""COMPUTED_VALUE"""),3.33)</f>
        <v>3.33</v>
      </c>
      <c r="K804" s="18">
        <f>IFERROR(__xludf.DUMMYFUNCTION("""COMPUTED_VALUE"""),4.16)</f>
        <v>4.16</v>
      </c>
      <c r="L804" s="18">
        <f>IFERROR(__xludf.DUMMYFUNCTION("""COMPUTED_VALUE"""),6.65)</f>
        <v>6.65</v>
      </c>
    </row>
    <row r="805">
      <c r="A805" s="13" t="str">
        <f>IFERROR(__xludf.DUMMYFUNCTION("""COMPUTED_VALUE"""),"товари")</f>
        <v>товари</v>
      </c>
      <c r="B805" s="13" t="str">
        <f>IFERROR(__xludf.DUMMYFUNCTION("""COMPUTED_VALUE"""),"безпека та захист")</f>
        <v>безпека та захист</v>
      </c>
      <c r="C805" s="15" t="str">
        <f>IFERROR(__xludf.DUMMYFUNCTION("""COMPUTED_VALUE"""),"системи і засоби пожежної безпеки")</f>
        <v>системи і засоби пожежної безпеки</v>
      </c>
      <c r="D805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05" s="15" t="str">
        <f>IFERROR(__xludf.DUMMYFUNCTION("""COMPUTED_VALUE"""),"водопінне обладнання")</f>
        <v>водопінне обладнання</v>
      </c>
      <c r="F805" s="17">
        <f>IFERROR(__xludf.DUMMYFUNCTION("""COMPUTED_VALUE"""),4.0)</f>
        <v>4</v>
      </c>
      <c r="G805" s="17">
        <f>IFERROR(__xludf.DUMMYFUNCTION("""COMPUTED_VALUE"""),300938.0)</f>
        <v>300938</v>
      </c>
      <c r="H805" s="17" t="str">
        <f>IFERROR(__xludf.DUMMYFUNCTION("""COMPUTED_VALUE"""),"водопінне обладнання")</f>
        <v>водопінне обладнання</v>
      </c>
      <c r="I805" s="18">
        <f>IFERROR(__xludf.DUMMYFUNCTION("""COMPUTED_VALUE"""),1.66)</f>
        <v>1.66</v>
      </c>
      <c r="J805" s="18">
        <f>IFERROR(__xludf.DUMMYFUNCTION("""COMPUTED_VALUE"""),3.33)</f>
        <v>3.33</v>
      </c>
      <c r="K805" s="18">
        <f>IFERROR(__xludf.DUMMYFUNCTION("""COMPUTED_VALUE"""),4.16)</f>
        <v>4.16</v>
      </c>
      <c r="L805" s="18">
        <f>IFERROR(__xludf.DUMMYFUNCTION("""COMPUTED_VALUE"""),6.65)</f>
        <v>6.65</v>
      </c>
    </row>
    <row r="806">
      <c r="A806" s="13" t="str">
        <f>IFERROR(__xludf.DUMMYFUNCTION("""COMPUTED_VALUE"""),"товари")</f>
        <v>товари</v>
      </c>
      <c r="B806" s="13" t="str">
        <f>IFERROR(__xludf.DUMMYFUNCTION("""COMPUTED_VALUE"""),"безпека та захист")</f>
        <v>безпека та захист</v>
      </c>
      <c r="C806" s="15" t="str">
        <f>IFERROR(__xludf.DUMMYFUNCTION("""COMPUTED_VALUE"""),"системи і засоби пожежної безпеки")</f>
        <v>системи і засоби пожежної безпеки</v>
      </c>
      <c r="D806" s="15" t="str">
        <f>IFERROR(__xludf.DUMMYFUNCTION("""COMPUTED_VALUE"""),"елементи систем, що перешкоджають поширенню вогню")</f>
        <v>елементи систем, що перешкоджають поширенню вогню</v>
      </c>
      <c r="E806" s="15" t="str">
        <f>IFERROR(__xludf.DUMMYFUNCTION("""COMPUTED_VALUE"""),"елементи систем, що перешкоджають поширенню вогню")</f>
        <v>елементи систем, що перешкоджають поширенню вогню</v>
      </c>
      <c r="F806" s="17">
        <f>IFERROR(__xludf.DUMMYFUNCTION("""COMPUTED_VALUE"""),3.0)</f>
        <v>3</v>
      </c>
      <c r="G806" s="17">
        <f>IFERROR(__xludf.DUMMYFUNCTION("""COMPUTED_VALUE"""),300918.0)</f>
        <v>300918</v>
      </c>
      <c r="H806" s="17" t="str">
        <f>IFERROR(__xludf.DUMMYFUNCTION("""COMPUTED_VALUE"""),"елементи систем, що перешкоджають поширенню вогню")</f>
        <v>елементи систем, що перешкоджають поширенню вогню</v>
      </c>
      <c r="I806" s="18">
        <f>IFERROR(__xludf.DUMMYFUNCTION("""COMPUTED_VALUE"""),0.53)</f>
        <v>0.53</v>
      </c>
      <c r="J806" s="18">
        <f>IFERROR(__xludf.DUMMYFUNCTION("""COMPUTED_VALUE"""),1.05)</f>
        <v>1.05</v>
      </c>
      <c r="K806" s="18">
        <f>IFERROR(__xludf.DUMMYFUNCTION("""COMPUTED_VALUE"""),1.31)</f>
        <v>1.31</v>
      </c>
      <c r="L806" s="18">
        <f>IFERROR(__xludf.DUMMYFUNCTION("""COMPUTED_VALUE"""),2.1)</f>
        <v>2.1</v>
      </c>
    </row>
    <row r="807">
      <c r="A807" s="13" t="str">
        <f>IFERROR(__xludf.DUMMYFUNCTION("""COMPUTED_VALUE"""),"товари")</f>
        <v>товари</v>
      </c>
      <c r="B807" s="13" t="str">
        <f>IFERROR(__xludf.DUMMYFUNCTION("""COMPUTED_VALUE"""),"безпека та захист")</f>
        <v>безпека та захист</v>
      </c>
      <c r="C807" s="15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807" s="15" t="str">
        <f>IFERROR(__xludf.DUMMYFUNCTION("""COMPUTED_VALUE"""),"засоби зберігання і транспортування цінностей, загальне")</f>
        <v>засоби зберігання і транспортування цінностей, загальне</v>
      </c>
      <c r="E807" s="15" t="str">
        <f>IFERROR(__xludf.DUMMYFUNCTION("""COMPUTED_VALUE"""),"засоби зберігання і транспортування цінностей, загальне")</f>
        <v>засоби зберігання і транспортування цінностей, загальне</v>
      </c>
      <c r="F807" s="17">
        <f>IFERROR(__xludf.DUMMYFUNCTION("""COMPUTED_VALUE"""),3.0)</f>
        <v>3</v>
      </c>
      <c r="G807" s="17">
        <f>IFERROR(__xludf.DUMMYFUNCTION("""COMPUTED_VALUE"""),302401.0)</f>
        <v>302401</v>
      </c>
      <c r="H807" s="17" t="str">
        <f>IFERROR(__xludf.DUMMYFUNCTION("""COMPUTED_VALUE"""),"засоби зберігання і транспортування цінностей, загальне")</f>
        <v>засоби зберігання і транспортування цінностей, загальне</v>
      </c>
      <c r="I807" s="18">
        <f>IFERROR(__xludf.DUMMYFUNCTION("""COMPUTED_VALUE"""),2.16)</f>
        <v>2.16</v>
      </c>
      <c r="J807" s="18">
        <f>IFERROR(__xludf.DUMMYFUNCTION("""COMPUTED_VALUE"""),4.33)</f>
        <v>4.33</v>
      </c>
      <c r="K807" s="18">
        <f>IFERROR(__xludf.DUMMYFUNCTION("""COMPUTED_VALUE"""),5.41)</f>
        <v>5.41</v>
      </c>
      <c r="L807" s="18">
        <f>IFERROR(__xludf.DUMMYFUNCTION("""COMPUTED_VALUE"""),8.65)</f>
        <v>8.65</v>
      </c>
    </row>
    <row r="808">
      <c r="A808" s="13" t="str">
        <f>IFERROR(__xludf.DUMMYFUNCTION("""COMPUTED_VALUE"""),"товари")</f>
        <v>товари</v>
      </c>
      <c r="B808" s="13" t="str">
        <f>IFERROR(__xludf.DUMMYFUNCTION("""COMPUTED_VALUE"""),"безпека та захист")</f>
        <v>безпека та захист</v>
      </c>
      <c r="C808" s="15" t="str">
        <f>IFERROR(__xludf.DUMMYFUNCTION("""COMPUTED_VALUE"""),"засоби і системи сккд")</f>
        <v>засоби і системи сккд</v>
      </c>
      <c r="D808" s="15" t="str">
        <f>IFERROR(__xludf.DUMMYFUNCTION("""COMPUTED_VALUE"""),"засоби і системи сккд, загальне")</f>
        <v>засоби і системи сккд, загальне</v>
      </c>
      <c r="E808" s="15" t="str">
        <f>IFERROR(__xludf.DUMMYFUNCTION("""COMPUTED_VALUE"""),"засоби і системи сккд, загальне")</f>
        <v>засоби і системи сккд, загальне</v>
      </c>
      <c r="F808" s="17">
        <f>IFERROR(__xludf.DUMMYFUNCTION("""COMPUTED_VALUE"""),3.0)</f>
        <v>3</v>
      </c>
      <c r="G808" s="17">
        <f>IFERROR(__xludf.DUMMYFUNCTION("""COMPUTED_VALUE"""),301304.0)</f>
        <v>301304</v>
      </c>
      <c r="H808" s="17" t="str">
        <f>IFERROR(__xludf.DUMMYFUNCTION("""COMPUTED_VALUE"""),"засоби і системи сккд, загальне")</f>
        <v>засоби і системи сккд, загальне</v>
      </c>
      <c r="I808" s="18">
        <f>IFERROR(__xludf.DUMMYFUNCTION("""COMPUTED_VALUE"""),2.16)</f>
        <v>2.16</v>
      </c>
      <c r="J808" s="18">
        <f>IFERROR(__xludf.DUMMYFUNCTION("""COMPUTED_VALUE"""),4.33)</f>
        <v>4.33</v>
      </c>
      <c r="K808" s="18">
        <f>IFERROR(__xludf.DUMMYFUNCTION("""COMPUTED_VALUE"""),5.41)</f>
        <v>5.41</v>
      </c>
      <c r="L808" s="18">
        <f>IFERROR(__xludf.DUMMYFUNCTION("""COMPUTED_VALUE"""),8.65)</f>
        <v>8.65</v>
      </c>
    </row>
    <row r="809">
      <c r="A809" s="13" t="str">
        <f>IFERROR(__xludf.DUMMYFUNCTION("""COMPUTED_VALUE"""),"товари")</f>
        <v>товари</v>
      </c>
      <c r="B809" s="13" t="str">
        <f>IFERROR(__xludf.DUMMYFUNCTION("""COMPUTED_VALUE"""),"безпека та захист")</f>
        <v>безпека та захист</v>
      </c>
      <c r="C809" s="15" t="str">
        <f>IFERROR(__xludf.DUMMYFUNCTION("""COMPUTED_VALUE"""),"засоби організації дорожнього руху")</f>
        <v>засоби організації дорожнього руху</v>
      </c>
      <c r="D809" s="15" t="str">
        <f>IFERROR(__xludf.DUMMYFUNCTION("""COMPUTED_VALUE"""),"колесовідбійники")</f>
        <v>колесовідбійники</v>
      </c>
      <c r="E809" s="15" t="str">
        <f>IFERROR(__xludf.DUMMYFUNCTION("""COMPUTED_VALUE"""),"колесовідбійники")</f>
        <v>колесовідбійники</v>
      </c>
      <c r="F809" s="17">
        <f>IFERROR(__xludf.DUMMYFUNCTION("""COMPUTED_VALUE"""),3.0)</f>
        <v>3</v>
      </c>
      <c r="G809" s="17">
        <f>IFERROR(__xludf.DUMMYFUNCTION("""COMPUTED_VALUE"""),301513.0)</f>
        <v>301513</v>
      </c>
      <c r="H809" s="17" t="str">
        <f>IFERROR(__xludf.DUMMYFUNCTION("""COMPUTED_VALUE"""),"колесовідбійники")</f>
        <v>колесовідбійники</v>
      </c>
      <c r="I809" s="18">
        <f>IFERROR(__xludf.DUMMYFUNCTION("""COMPUTED_VALUE"""),0.53)</f>
        <v>0.53</v>
      </c>
      <c r="J809" s="18">
        <f>IFERROR(__xludf.DUMMYFUNCTION("""COMPUTED_VALUE"""),1.05)</f>
        <v>1.05</v>
      </c>
      <c r="K809" s="18">
        <f>IFERROR(__xludf.DUMMYFUNCTION("""COMPUTED_VALUE"""),1.31)</f>
        <v>1.31</v>
      </c>
      <c r="L809" s="18">
        <f>IFERROR(__xludf.DUMMYFUNCTION("""COMPUTED_VALUE"""),2.1)</f>
        <v>2.1</v>
      </c>
    </row>
    <row r="810">
      <c r="A810" s="13" t="str">
        <f>IFERROR(__xludf.DUMMYFUNCTION("""COMPUTED_VALUE"""),"товари")</f>
        <v>товари</v>
      </c>
      <c r="B810" s="13" t="str">
        <f>IFERROR(__xludf.DUMMYFUNCTION("""COMPUTED_VALUE"""),"безпека та захист")</f>
        <v>безпека та захист</v>
      </c>
      <c r="C810" s="15" t="str">
        <f>IFERROR(__xludf.DUMMYFUNCTION("""COMPUTED_VALUE"""),"системи і засоби пожежної безпеки")</f>
        <v>системи і засоби пожежної безпеки</v>
      </c>
      <c r="D810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0" s="15" t="str">
        <f>IFERROR(__xludf.DUMMYFUNCTION("""COMPUTED_VALUE"""),"комплектуючі для протипожежного обладнання")</f>
        <v>комплектуючі для протипожежного обладнання</v>
      </c>
      <c r="F810" s="17">
        <f>IFERROR(__xludf.DUMMYFUNCTION("""COMPUTED_VALUE"""),4.0)</f>
        <v>4</v>
      </c>
      <c r="G810" s="17">
        <f>IFERROR(__xludf.DUMMYFUNCTION("""COMPUTED_VALUE"""),300919.0)</f>
        <v>300919</v>
      </c>
      <c r="H810" s="17" t="str">
        <f>IFERROR(__xludf.DUMMYFUNCTION("""COMPUTED_VALUE"""),"комплектуючі для протипожежного обладнання")</f>
        <v>комплектуючі для протипожежного обладнання</v>
      </c>
      <c r="I810" s="18">
        <f>IFERROR(__xludf.DUMMYFUNCTION("""COMPUTED_VALUE"""),1.66)</f>
        <v>1.66</v>
      </c>
      <c r="J810" s="18">
        <f>IFERROR(__xludf.DUMMYFUNCTION("""COMPUTED_VALUE"""),3.33)</f>
        <v>3.33</v>
      </c>
      <c r="K810" s="18">
        <f>IFERROR(__xludf.DUMMYFUNCTION("""COMPUTED_VALUE"""),4.16)</f>
        <v>4.16</v>
      </c>
      <c r="L810" s="18">
        <f>IFERROR(__xludf.DUMMYFUNCTION("""COMPUTED_VALUE"""),6.65)</f>
        <v>6.65</v>
      </c>
    </row>
    <row r="811">
      <c r="A811" s="13" t="str">
        <f>IFERROR(__xludf.DUMMYFUNCTION("""COMPUTED_VALUE"""),"товари")</f>
        <v>товари</v>
      </c>
      <c r="B811" s="13" t="str">
        <f>IFERROR(__xludf.DUMMYFUNCTION("""COMPUTED_VALUE"""),"безпека та захист")</f>
        <v>безпека та захист</v>
      </c>
      <c r="C811" s="15" t="str">
        <f>IFERROR(__xludf.DUMMYFUNCTION("""COMPUTED_VALUE"""),"засоби і системи сккд")</f>
        <v>засоби і системи сккд</v>
      </c>
      <c r="D811" s="15" t="str">
        <f>IFERROR(__xludf.DUMMYFUNCTION("""COMPUTED_VALUE"""),"контролери сккд")</f>
        <v>контролери сккд</v>
      </c>
      <c r="E811" s="15" t="str">
        <f>IFERROR(__xludf.DUMMYFUNCTION("""COMPUTED_VALUE"""),"контролери сккд")</f>
        <v>контролери сккд</v>
      </c>
      <c r="F811" s="17">
        <f>IFERROR(__xludf.DUMMYFUNCTION("""COMPUTED_VALUE"""),3.0)</f>
        <v>3</v>
      </c>
      <c r="G811" s="17">
        <f>IFERROR(__xludf.DUMMYFUNCTION("""COMPUTED_VALUE"""),301312.0)</f>
        <v>301312</v>
      </c>
      <c r="H811" s="17" t="str">
        <f>IFERROR(__xludf.DUMMYFUNCTION("""COMPUTED_VALUE"""),"контролери сккд")</f>
        <v>контролери сккд</v>
      </c>
      <c r="I811" s="18">
        <f>IFERROR(__xludf.DUMMYFUNCTION("""COMPUTED_VALUE"""),1.31)</f>
        <v>1.31</v>
      </c>
      <c r="J811" s="18">
        <f>IFERROR(__xludf.DUMMYFUNCTION("""COMPUTED_VALUE"""),2.61)</f>
        <v>2.61</v>
      </c>
      <c r="K811" s="18">
        <f>IFERROR(__xludf.DUMMYFUNCTION("""COMPUTED_VALUE"""),3.27)</f>
        <v>3.27</v>
      </c>
      <c r="L811" s="18">
        <f>IFERROR(__xludf.DUMMYFUNCTION("""COMPUTED_VALUE"""),5.23)</f>
        <v>5.23</v>
      </c>
    </row>
    <row r="812">
      <c r="A812" s="13" t="str">
        <f>IFERROR(__xludf.DUMMYFUNCTION("""COMPUTED_VALUE"""),"товари")</f>
        <v>товари</v>
      </c>
      <c r="B812" s="13" t="str">
        <f>IFERROR(__xludf.DUMMYFUNCTION("""COMPUTED_VALUE"""),"безпека та захист")</f>
        <v>безпека та захист</v>
      </c>
      <c r="C812" s="15" t="str">
        <f>IFERROR(__xludf.DUMMYFUNCTION("""COMPUTED_VALUE"""),"системи і засоби пожежної безпеки")</f>
        <v>системи і засоби пожежної безпеки</v>
      </c>
      <c r="D812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2" s="15" t="str">
        <f>IFERROR(__xludf.DUMMYFUNCTION("""COMPUTED_VALUE"""),"модулі пожежогасіння")</f>
        <v>модулі пожежогасіння</v>
      </c>
      <c r="F812" s="17">
        <f>IFERROR(__xludf.DUMMYFUNCTION("""COMPUTED_VALUE"""),4.0)</f>
        <v>4</v>
      </c>
      <c r="G812" s="17">
        <f>IFERROR(__xludf.DUMMYFUNCTION("""COMPUTED_VALUE"""),300903.0)</f>
        <v>300903</v>
      </c>
      <c r="H812" s="17" t="str">
        <f>IFERROR(__xludf.DUMMYFUNCTION("""COMPUTED_VALUE"""),"модулі пожежогасіння")</f>
        <v>модулі пожежогасіння</v>
      </c>
      <c r="I812" s="18">
        <f>IFERROR(__xludf.DUMMYFUNCTION("""COMPUTED_VALUE"""),1.66)</f>
        <v>1.66</v>
      </c>
      <c r="J812" s="18">
        <f>IFERROR(__xludf.DUMMYFUNCTION("""COMPUTED_VALUE"""),3.33)</f>
        <v>3.33</v>
      </c>
      <c r="K812" s="18">
        <f>IFERROR(__xludf.DUMMYFUNCTION("""COMPUTED_VALUE"""),4.16)</f>
        <v>4.16</v>
      </c>
      <c r="L812" s="18">
        <f>IFERROR(__xludf.DUMMYFUNCTION("""COMPUTED_VALUE"""),6.65)</f>
        <v>6.65</v>
      </c>
    </row>
    <row r="813">
      <c r="A813" s="13" t="str">
        <f>IFERROR(__xludf.DUMMYFUNCTION("""COMPUTED_VALUE"""),"товари")</f>
        <v>товари</v>
      </c>
      <c r="B813" s="13" t="str">
        <f>IFERROR(__xludf.DUMMYFUNCTION("""COMPUTED_VALUE"""),"безпека та захист")</f>
        <v>безпека та захист</v>
      </c>
      <c r="C813" s="15" t="str">
        <f>IFERROR(__xludf.DUMMYFUNCTION("""COMPUTED_VALUE"""),"технічні засоби відеоспостереження")</f>
        <v>технічні засоби відеоспостереження</v>
      </c>
      <c r="D813" s="15" t="str">
        <f>IFERROR(__xludf.DUMMYFUNCTION("""COMPUTED_VALUE"""),"об'єктиви для камер відеоспостереження")</f>
        <v>об'єктиви для камер відеоспостереження</v>
      </c>
      <c r="E813" s="15" t="str">
        <f>IFERROR(__xludf.DUMMYFUNCTION("""COMPUTED_VALUE"""),"об'єктиви для камер відеоспостереження")</f>
        <v>об'єктиви для камер відеоспостереження</v>
      </c>
      <c r="F813" s="17">
        <f>IFERROR(__xludf.DUMMYFUNCTION("""COMPUTED_VALUE"""),3.0)</f>
        <v>3</v>
      </c>
      <c r="G813" s="17">
        <f>IFERROR(__xludf.DUMMYFUNCTION("""COMPUTED_VALUE"""),301106.0)</f>
        <v>301106</v>
      </c>
      <c r="H813" s="17" t="str">
        <f>IFERROR(__xludf.DUMMYFUNCTION("""COMPUTED_VALUE"""),"об'єктиви для камер відеоспостереження")</f>
        <v>об'єктиви для камер відеоспостереження</v>
      </c>
      <c r="I813" s="18">
        <f>IFERROR(__xludf.DUMMYFUNCTION("""COMPUTED_VALUE"""),0.53)</f>
        <v>0.53</v>
      </c>
      <c r="J813" s="18">
        <f>IFERROR(__xludf.DUMMYFUNCTION("""COMPUTED_VALUE"""),1.05)</f>
        <v>1.05</v>
      </c>
      <c r="K813" s="18">
        <f>IFERROR(__xludf.DUMMYFUNCTION("""COMPUTED_VALUE"""),1.31)</f>
        <v>1.31</v>
      </c>
      <c r="L813" s="18">
        <f>IFERROR(__xludf.DUMMYFUNCTION("""COMPUTED_VALUE"""),2.1)</f>
        <v>2.1</v>
      </c>
    </row>
    <row r="814">
      <c r="A814" s="13" t="str">
        <f>IFERROR(__xludf.DUMMYFUNCTION("""COMPUTED_VALUE"""),"товари")</f>
        <v>товари</v>
      </c>
      <c r="B814" s="13" t="str">
        <f>IFERROR(__xludf.DUMMYFUNCTION("""COMPUTED_VALUE"""),"безпека та захист")</f>
        <v>безпека та захист</v>
      </c>
      <c r="C814" s="15" t="str">
        <f>IFERROR(__xludf.DUMMYFUNCTION("""COMPUTED_VALUE"""),"пістолети, гвинтівки і револьвери")</f>
        <v>пістолети, гвинтівки і револьвери</v>
      </c>
      <c r="D814" s="15" t="str">
        <f>IFERROR(__xludf.DUMMYFUNCTION("""COMPUTED_VALUE"""),"пістолети, гвинтівки і револьвери, загальне")</f>
        <v>пістолети, гвинтівки і револьвери, загальне</v>
      </c>
      <c r="E814" s="15" t="str">
        <f>IFERROR(__xludf.DUMMYFUNCTION("""COMPUTED_VALUE"""),"пістолети, гвинтівки і револьвери, загальне")</f>
        <v>пістолети, гвинтівки і револьвери, загальне</v>
      </c>
      <c r="F814" s="17">
        <f>IFERROR(__xludf.DUMMYFUNCTION("""COMPUTED_VALUE"""),3.0)</f>
        <v>3</v>
      </c>
      <c r="G814" s="17">
        <f>IFERROR(__xludf.DUMMYFUNCTION("""COMPUTED_VALUE"""),302112.0)</f>
        <v>302112</v>
      </c>
      <c r="H814" s="17" t="str">
        <f>IFERROR(__xludf.DUMMYFUNCTION("""COMPUTED_VALUE"""),"пістолети, гвинтівки і револьвери, загальне")</f>
        <v>пістолети, гвинтівки і револьвери, загальне</v>
      </c>
      <c r="I814" s="18">
        <f>IFERROR(__xludf.DUMMYFUNCTION("""COMPUTED_VALUE"""),2.16)</f>
        <v>2.16</v>
      </c>
      <c r="J814" s="18">
        <f>IFERROR(__xludf.DUMMYFUNCTION("""COMPUTED_VALUE"""),4.33)</f>
        <v>4.33</v>
      </c>
      <c r="K814" s="18">
        <f>IFERROR(__xludf.DUMMYFUNCTION("""COMPUTED_VALUE"""),5.41)</f>
        <v>5.41</v>
      </c>
      <c r="L814" s="18">
        <f>IFERROR(__xludf.DUMMYFUNCTION("""COMPUTED_VALUE"""),8.65)</f>
        <v>8.65</v>
      </c>
    </row>
    <row r="815">
      <c r="A815" s="13" t="str">
        <f>IFERROR(__xludf.DUMMYFUNCTION("""COMPUTED_VALUE"""),"товари")</f>
        <v>товари</v>
      </c>
      <c r="B815" s="13" t="str">
        <f>IFERROR(__xludf.DUMMYFUNCTION("""COMPUTED_VALUE"""),"безпека та захист")</f>
        <v>безпека та захист</v>
      </c>
      <c r="C815" s="15" t="str">
        <f>IFERROR(__xludf.DUMMYFUNCTION("""COMPUTED_VALUE"""),"системи і засоби пожежної безпеки")</f>
        <v>системи і засоби пожежної безпеки</v>
      </c>
      <c r="D815" s="15" t="str">
        <f>IFERROR(__xludf.DUMMYFUNCTION("""COMPUTED_VALUE"""),"пожежна автоматика")</f>
        <v>пожежна автоматика</v>
      </c>
      <c r="E815" s="15" t="str">
        <f>IFERROR(__xludf.DUMMYFUNCTION("""COMPUTED_VALUE"""),"пожежна автоматика, загальне")</f>
        <v>пожежна автоматика, загальне</v>
      </c>
      <c r="F815" s="17">
        <f>IFERROR(__xludf.DUMMYFUNCTION("""COMPUTED_VALUE"""),4.0)</f>
        <v>4</v>
      </c>
      <c r="G815" s="17">
        <f>IFERROR(__xludf.DUMMYFUNCTION("""COMPUTED_VALUE"""),300931.0)</f>
        <v>300931</v>
      </c>
      <c r="H815" s="17" t="str">
        <f>IFERROR(__xludf.DUMMYFUNCTION("""COMPUTED_VALUE"""),"пожежна автоматика, загальне")</f>
        <v>пожежна автоматика, загальне</v>
      </c>
      <c r="I815" s="18">
        <f>IFERROR(__xludf.DUMMYFUNCTION("""COMPUTED_VALUE"""),2.16)</f>
        <v>2.16</v>
      </c>
      <c r="J815" s="18">
        <f>IFERROR(__xludf.DUMMYFUNCTION("""COMPUTED_VALUE"""),4.33)</f>
        <v>4.33</v>
      </c>
      <c r="K815" s="18">
        <f>IFERROR(__xludf.DUMMYFUNCTION("""COMPUTED_VALUE"""),5.41)</f>
        <v>5.41</v>
      </c>
      <c r="L815" s="18">
        <f>IFERROR(__xludf.DUMMYFUNCTION("""COMPUTED_VALUE"""),8.65)</f>
        <v>8.65</v>
      </c>
    </row>
    <row r="816">
      <c r="A816" s="13" t="str">
        <f>IFERROR(__xludf.DUMMYFUNCTION("""COMPUTED_VALUE"""),"товари")</f>
        <v>товари</v>
      </c>
      <c r="B816" s="13" t="str">
        <f>IFERROR(__xludf.DUMMYFUNCTION("""COMPUTED_VALUE"""),"безпека та захист")</f>
        <v>безпека та захист</v>
      </c>
      <c r="C816" s="15" t="str">
        <f>IFERROR(__xludf.DUMMYFUNCTION("""COMPUTED_VALUE"""),"системи і засоби пожежної безпеки")</f>
        <v>системи і засоби пожежної безпеки</v>
      </c>
      <c r="D816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6" s="15" t="str">
        <f>IFERROR(__xludf.DUMMYFUNCTION("""COMPUTED_VALUE"""),"пожежне обладнання, інвентар та комплектуючі, загальне")</f>
        <v>пожежне обладнання, інвентар та комплектуючі, загальне</v>
      </c>
      <c r="F816" s="17">
        <f>IFERROR(__xludf.DUMMYFUNCTION("""COMPUTED_VALUE"""),4.0)</f>
        <v>4</v>
      </c>
      <c r="G816" s="17">
        <f>IFERROR(__xludf.DUMMYFUNCTION("""COMPUTED_VALUE"""),300924.0)</f>
        <v>300924</v>
      </c>
      <c r="H816" s="17" t="str">
        <f>IFERROR(__xludf.DUMMYFUNCTION("""COMPUTED_VALUE"""),"пожежне обладнання, інвентар та комплектуючі, загальне")</f>
        <v>пожежне обладнання, інвентар та комплектуючі, загальне</v>
      </c>
      <c r="I816" s="18">
        <f>IFERROR(__xludf.DUMMYFUNCTION("""COMPUTED_VALUE"""),2.16)</f>
        <v>2.16</v>
      </c>
      <c r="J816" s="18">
        <f>IFERROR(__xludf.DUMMYFUNCTION("""COMPUTED_VALUE"""),4.33)</f>
        <v>4.33</v>
      </c>
      <c r="K816" s="18">
        <f>IFERROR(__xludf.DUMMYFUNCTION("""COMPUTED_VALUE"""),5.41)</f>
        <v>5.41</v>
      </c>
      <c r="L816" s="18">
        <f>IFERROR(__xludf.DUMMYFUNCTION("""COMPUTED_VALUE"""),8.65)</f>
        <v>8.65</v>
      </c>
    </row>
    <row r="817">
      <c r="A817" s="13" t="str">
        <f>IFERROR(__xludf.DUMMYFUNCTION("""COMPUTED_VALUE"""),"товари")</f>
        <v>товари</v>
      </c>
      <c r="B817" s="13" t="str">
        <f>IFERROR(__xludf.DUMMYFUNCTION("""COMPUTED_VALUE"""),"безпека та захист")</f>
        <v>безпека та захист</v>
      </c>
      <c r="C817" s="15" t="str">
        <f>IFERROR(__xludf.DUMMYFUNCTION("""COMPUTED_VALUE"""),"системи і засоби пожежної безпеки")</f>
        <v>системи і засоби пожежної безпеки</v>
      </c>
      <c r="D817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7" s="15" t="str">
        <f>IFERROR(__xludf.DUMMYFUNCTION("""COMPUTED_VALUE"""),"пожежні мотопомпи, насоси та насосні станції")</f>
        <v>пожежні мотопомпи, насоси та насосні станції</v>
      </c>
      <c r="F817" s="17">
        <f>IFERROR(__xludf.DUMMYFUNCTION("""COMPUTED_VALUE"""),4.0)</f>
        <v>4</v>
      </c>
      <c r="G817" s="17">
        <f>IFERROR(__xludf.DUMMYFUNCTION("""COMPUTED_VALUE"""),300939.0)</f>
        <v>300939</v>
      </c>
      <c r="H817" s="17" t="str">
        <f>IFERROR(__xludf.DUMMYFUNCTION("""COMPUTED_VALUE"""),"пожежні мотопомпи, насоси та насосні станції")</f>
        <v>пожежні мотопомпи, насоси та насосні станції</v>
      </c>
      <c r="I817" s="18">
        <f>IFERROR(__xludf.DUMMYFUNCTION("""COMPUTED_VALUE"""),1.66)</f>
        <v>1.66</v>
      </c>
      <c r="J817" s="18">
        <f>IFERROR(__xludf.DUMMYFUNCTION("""COMPUTED_VALUE"""),3.33)</f>
        <v>3.33</v>
      </c>
      <c r="K817" s="18">
        <f>IFERROR(__xludf.DUMMYFUNCTION("""COMPUTED_VALUE"""),4.16)</f>
        <v>4.16</v>
      </c>
      <c r="L817" s="18">
        <f>IFERROR(__xludf.DUMMYFUNCTION("""COMPUTED_VALUE"""),6.65)</f>
        <v>6.65</v>
      </c>
    </row>
    <row r="818">
      <c r="A818" s="13" t="str">
        <f>IFERROR(__xludf.DUMMYFUNCTION("""COMPUTED_VALUE"""),"товари")</f>
        <v>товари</v>
      </c>
      <c r="B818" s="13" t="str">
        <f>IFERROR(__xludf.DUMMYFUNCTION("""COMPUTED_VALUE"""),"безпека та захист")</f>
        <v>безпека та захист</v>
      </c>
      <c r="C818" s="15" t="str">
        <f>IFERROR(__xludf.DUMMYFUNCTION("""COMPUTED_VALUE"""),"системи і засоби пожежної безпеки")</f>
        <v>системи і засоби пожежної безпеки</v>
      </c>
      <c r="D818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8" s="15" t="str">
        <f>IFERROR(__xludf.DUMMYFUNCTION("""COMPUTED_VALUE"""),"пожежно-рятувальні комплекси")</f>
        <v>пожежно-рятувальні комплекси</v>
      </c>
      <c r="F818" s="17">
        <f>IFERROR(__xludf.DUMMYFUNCTION("""COMPUTED_VALUE"""),4.0)</f>
        <v>4</v>
      </c>
      <c r="G818" s="17">
        <f>IFERROR(__xludf.DUMMYFUNCTION("""COMPUTED_VALUE"""),300948.0)</f>
        <v>300948</v>
      </c>
      <c r="H818" s="17" t="str">
        <f>IFERROR(__xludf.DUMMYFUNCTION("""COMPUTED_VALUE"""),"пожежно-рятувальні комплекси")</f>
        <v>пожежно-рятувальні комплекси</v>
      </c>
      <c r="I818" s="18">
        <f>IFERROR(__xludf.DUMMYFUNCTION("""COMPUTED_VALUE"""),1.66)</f>
        <v>1.66</v>
      </c>
      <c r="J818" s="18">
        <f>IFERROR(__xludf.DUMMYFUNCTION("""COMPUTED_VALUE"""),3.33)</f>
        <v>3.33</v>
      </c>
      <c r="K818" s="18">
        <f>IFERROR(__xludf.DUMMYFUNCTION("""COMPUTED_VALUE"""),4.16)</f>
        <v>4.16</v>
      </c>
      <c r="L818" s="18">
        <f>IFERROR(__xludf.DUMMYFUNCTION("""COMPUTED_VALUE"""),6.65)</f>
        <v>6.65</v>
      </c>
    </row>
    <row r="819">
      <c r="A819" s="13" t="str">
        <f>IFERROR(__xludf.DUMMYFUNCTION("""COMPUTED_VALUE"""),"товари")</f>
        <v>товари</v>
      </c>
      <c r="B819" s="13" t="str">
        <f>IFERROR(__xludf.DUMMYFUNCTION("""COMPUTED_VALUE"""),"безпека та захист")</f>
        <v>безпека та захист</v>
      </c>
      <c r="C819" s="15" t="str">
        <f>IFERROR(__xludf.DUMMYFUNCTION("""COMPUTED_VALUE"""),"засоби організації дорожнього руху")</f>
        <v>засоби організації дорожнього руху</v>
      </c>
      <c r="D819" s="15" t="str">
        <f>IFERROR(__xludf.DUMMYFUNCTION("""COMPUTED_VALUE"""),"поліцейські лежачі")</f>
        <v>поліцейські лежачі</v>
      </c>
      <c r="E819" s="15" t="str">
        <f>IFERROR(__xludf.DUMMYFUNCTION("""COMPUTED_VALUE"""),"поліцейські лежачі")</f>
        <v>поліцейські лежачі</v>
      </c>
      <c r="F819" s="17">
        <f>IFERROR(__xludf.DUMMYFUNCTION("""COMPUTED_VALUE"""),3.0)</f>
        <v>3</v>
      </c>
      <c r="G819" s="17">
        <f>IFERROR(__xludf.DUMMYFUNCTION("""COMPUTED_VALUE"""),301506.0)</f>
        <v>301506</v>
      </c>
      <c r="H819" s="17" t="str">
        <f>IFERROR(__xludf.DUMMYFUNCTION("""COMPUTED_VALUE"""),"поліцейські лежачі")</f>
        <v>поліцейські лежачі</v>
      </c>
      <c r="I819" s="18">
        <f>IFERROR(__xludf.DUMMYFUNCTION("""COMPUTED_VALUE"""),1.84)</f>
        <v>1.84</v>
      </c>
      <c r="J819" s="18">
        <f>IFERROR(__xludf.DUMMYFUNCTION("""COMPUTED_VALUE"""),3.69)</f>
        <v>3.69</v>
      </c>
      <c r="K819" s="18">
        <f>IFERROR(__xludf.DUMMYFUNCTION("""COMPUTED_VALUE"""),4.61)</f>
        <v>4.61</v>
      </c>
      <c r="L819" s="18">
        <f>IFERROR(__xludf.DUMMYFUNCTION("""COMPUTED_VALUE"""),7.38)</f>
        <v>7.38</v>
      </c>
    </row>
    <row r="820">
      <c r="A820" s="13" t="str">
        <f>IFERROR(__xludf.DUMMYFUNCTION("""COMPUTED_VALUE"""),"товари")</f>
        <v>товари</v>
      </c>
      <c r="B820" s="13" t="str">
        <f>IFERROR(__xludf.DUMMYFUNCTION("""COMPUTED_VALUE"""),"безпека та захист")</f>
        <v>безпека та захист</v>
      </c>
      <c r="C820" s="15" t="str">
        <f>IFERROR(__xludf.DUMMYFUNCTION("""COMPUTED_VALUE"""),"спеціальні технічні засоби")</f>
        <v>спеціальні технічні засоби</v>
      </c>
      <c r="D820" s="15" t="str">
        <f>IFERROR(__xludf.DUMMYFUNCTION("""COMPUTED_VALUE"""),"пригнічувач диктофонов")</f>
        <v>пригнічувач диктофонов</v>
      </c>
      <c r="E820" s="15" t="str">
        <f>IFERROR(__xludf.DUMMYFUNCTION("""COMPUTED_VALUE"""),"пригнічувач диктофонов")</f>
        <v>пригнічувач диктофонов</v>
      </c>
      <c r="F820" s="17">
        <f>IFERROR(__xludf.DUMMYFUNCTION("""COMPUTED_VALUE"""),3.0)</f>
        <v>3</v>
      </c>
      <c r="G820" s="17">
        <f>IFERROR(__xludf.DUMMYFUNCTION("""COMPUTED_VALUE"""),300411.0)</f>
        <v>300411</v>
      </c>
      <c r="H820" s="17" t="str">
        <f>IFERROR(__xludf.DUMMYFUNCTION("""COMPUTED_VALUE"""),"пригнічувач диктофонов")</f>
        <v>пригнічувач диктофонов</v>
      </c>
      <c r="I820" s="18">
        <f>IFERROR(__xludf.DUMMYFUNCTION("""COMPUTED_VALUE"""),0.63)</f>
        <v>0.63</v>
      </c>
      <c r="J820" s="18">
        <f>IFERROR(__xludf.DUMMYFUNCTION("""COMPUTED_VALUE"""),1.26)</f>
        <v>1.26</v>
      </c>
      <c r="K820" s="18">
        <f>IFERROR(__xludf.DUMMYFUNCTION("""COMPUTED_VALUE"""),1.58)</f>
        <v>1.58</v>
      </c>
      <c r="L820" s="18">
        <f>IFERROR(__xludf.DUMMYFUNCTION("""COMPUTED_VALUE"""),2.53)</f>
        <v>2.53</v>
      </c>
    </row>
    <row r="821">
      <c r="A821" s="13" t="str">
        <f>IFERROR(__xludf.DUMMYFUNCTION("""COMPUTED_VALUE"""),"товари")</f>
        <v>товари</v>
      </c>
      <c r="B821" s="13" t="str">
        <f>IFERROR(__xludf.DUMMYFUNCTION("""COMPUTED_VALUE"""),"безпека та захист")</f>
        <v>безпека та захист</v>
      </c>
      <c r="C821" s="15" t="str">
        <f>IFERROR(__xludf.DUMMYFUNCTION("""COMPUTED_VALUE"""),"системи охорони та оповіщення")</f>
        <v>системи охорони та оповіщення</v>
      </c>
      <c r="D821" s="15" t="str">
        <f>IFERROR(__xludf.DUMMYFUNCTION("""COMPUTED_VALUE"""),"пристрою прийому-передачі сигналів")</f>
        <v>пристрою прийому-передачі сигналів</v>
      </c>
      <c r="E821" s="15" t="str">
        <f>IFERROR(__xludf.DUMMYFUNCTION("""COMPUTED_VALUE"""),"пристрою прийому-передачі сигналів")</f>
        <v>пристрою прийому-передачі сигналів</v>
      </c>
      <c r="F821" s="17">
        <f>IFERROR(__xludf.DUMMYFUNCTION("""COMPUTED_VALUE"""),3.0)</f>
        <v>3</v>
      </c>
      <c r="G821" s="17">
        <f>IFERROR(__xludf.DUMMYFUNCTION("""COMPUTED_VALUE"""),302311.0)</f>
        <v>302311</v>
      </c>
      <c r="H821" s="17" t="str">
        <f>IFERROR(__xludf.DUMMYFUNCTION("""COMPUTED_VALUE"""),"пристрою прийому-передачі сигналів")</f>
        <v>пристрою прийому-передачі сигналів</v>
      </c>
      <c r="I821" s="18">
        <f>IFERROR(__xludf.DUMMYFUNCTION("""COMPUTED_VALUE"""),1.04)</f>
        <v>1.04</v>
      </c>
      <c r="J821" s="18">
        <f>IFERROR(__xludf.DUMMYFUNCTION("""COMPUTED_VALUE"""),2.08)</f>
        <v>2.08</v>
      </c>
      <c r="K821" s="18">
        <f>IFERROR(__xludf.DUMMYFUNCTION("""COMPUTED_VALUE"""),2.59)</f>
        <v>2.59</v>
      </c>
      <c r="L821" s="18">
        <f>IFERROR(__xludf.DUMMYFUNCTION("""COMPUTED_VALUE"""),4.15)</f>
        <v>4.15</v>
      </c>
    </row>
    <row r="822">
      <c r="A822" s="13" t="str">
        <f>IFERROR(__xludf.DUMMYFUNCTION("""COMPUTED_VALUE"""),"товари")</f>
        <v>товари</v>
      </c>
      <c r="B822" s="13" t="str">
        <f>IFERROR(__xludf.DUMMYFUNCTION("""COMPUTED_VALUE"""),"безпека та захист")</f>
        <v>безпека та захист</v>
      </c>
      <c r="C822" s="15" t="str">
        <f>IFERROR(__xludf.DUMMYFUNCTION("""COMPUTED_VALUE"""),"системи і засоби пожежної безпеки")</f>
        <v>системи і засоби пожежної безпеки</v>
      </c>
      <c r="D822" s="15" t="str">
        <f>IFERROR(__xludf.DUMMYFUNCTION("""COMPUTED_VALUE"""),"протипожежні конструкції")</f>
        <v>протипожежні конструкції</v>
      </c>
      <c r="E822" s="15" t="str">
        <f>IFERROR(__xludf.DUMMYFUNCTION("""COMPUTED_VALUE"""),"протипожежні конструкції")</f>
        <v>протипожежні конструкції</v>
      </c>
      <c r="F822" s="17">
        <f>IFERROR(__xludf.DUMMYFUNCTION("""COMPUTED_VALUE"""),3.0)</f>
        <v>3</v>
      </c>
      <c r="G822" s="17">
        <f>IFERROR(__xludf.DUMMYFUNCTION("""COMPUTED_VALUE"""),300908.0)</f>
        <v>300908</v>
      </c>
      <c r="H822" s="17" t="str">
        <f>IFERROR(__xludf.DUMMYFUNCTION("""COMPUTED_VALUE"""),"протипожежні конструкції")</f>
        <v>протипожежні конструкції</v>
      </c>
      <c r="I822" s="18">
        <f>IFERROR(__xludf.DUMMYFUNCTION("""COMPUTED_VALUE"""),0.86)</f>
        <v>0.86</v>
      </c>
      <c r="J822" s="18">
        <f>IFERROR(__xludf.DUMMYFUNCTION("""COMPUTED_VALUE"""),1.71)</f>
        <v>1.71</v>
      </c>
      <c r="K822" s="18">
        <f>IFERROR(__xludf.DUMMYFUNCTION("""COMPUTED_VALUE"""),2.14)</f>
        <v>2.14</v>
      </c>
      <c r="L822" s="18">
        <f>IFERROR(__xludf.DUMMYFUNCTION("""COMPUTED_VALUE"""),3.43)</f>
        <v>3.43</v>
      </c>
    </row>
    <row r="823">
      <c r="A823" s="13" t="str">
        <f>IFERROR(__xludf.DUMMYFUNCTION("""COMPUTED_VALUE"""),"товари")</f>
        <v>товари</v>
      </c>
      <c r="B823" s="13" t="str">
        <f>IFERROR(__xludf.DUMMYFUNCTION("""COMPUTED_VALUE"""),"безпека та захист")</f>
        <v>безпека та захист</v>
      </c>
      <c r="C823" s="15" t="str">
        <f>IFERROR(__xludf.DUMMYFUNCTION("""COMPUTED_VALUE"""),"системи і засоби пожежної безпеки")</f>
        <v>системи і засоби пожежної безпеки</v>
      </c>
      <c r="D823" s="15" t="str">
        <f>IFERROR(__xludf.DUMMYFUNCTION("""COMPUTED_VALUE"""),"блискавкозахист і заземлення")</f>
        <v>блискавкозахист і заземлення</v>
      </c>
      <c r="E823" s="15" t="str">
        <f>IFERROR(__xludf.DUMMYFUNCTION("""COMPUTED_VALUE"""),"розрядники для захисту від блискавок/заземлення")</f>
        <v>розрядники для захисту від блискавок/заземлення</v>
      </c>
      <c r="F823" s="17">
        <f>IFERROR(__xludf.DUMMYFUNCTION("""COMPUTED_VALUE"""),4.0)</f>
        <v>4</v>
      </c>
      <c r="G823" s="17">
        <f>IFERROR(__xludf.DUMMYFUNCTION("""COMPUTED_VALUE"""),300309.0)</f>
        <v>300309</v>
      </c>
      <c r="H823" s="17" t="str">
        <f>IFERROR(__xludf.DUMMYFUNCTION("""COMPUTED_VALUE"""),"розрядники для захисту від блискавок/заземлення")</f>
        <v>розрядники для захисту від блискавок/заземлення</v>
      </c>
      <c r="I823" s="18">
        <f>IFERROR(__xludf.DUMMYFUNCTION("""COMPUTED_VALUE"""),1.13)</f>
        <v>1.13</v>
      </c>
      <c r="J823" s="18">
        <f>IFERROR(__xludf.DUMMYFUNCTION("""COMPUTED_VALUE"""),2.25)</f>
        <v>2.25</v>
      </c>
      <c r="K823" s="18">
        <f>IFERROR(__xludf.DUMMYFUNCTION("""COMPUTED_VALUE"""),2.81)</f>
        <v>2.81</v>
      </c>
      <c r="L823" s="18">
        <f>IFERROR(__xludf.DUMMYFUNCTION("""COMPUTED_VALUE"""),4.5)</f>
        <v>4.5</v>
      </c>
    </row>
    <row r="824">
      <c r="A824" s="13" t="str">
        <f>IFERROR(__xludf.DUMMYFUNCTION("""COMPUTED_VALUE"""),"товари")</f>
        <v>товари</v>
      </c>
      <c r="B824" s="13" t="str">
        <f>IFERROR(__xludf.DUMMYFUNCTION("""COMPUTED_VALUE"""),"безпека та захист")</f>
        <v>безпека та захист</v>
      </c>
      <c r="C824" s="15" t="str">
        <f>IFERROR(__xludf.DUMMYFUNCTION("""COMPUTED_VALUE"""),"системи і засоби пожежної безпеки")</f>
        <v>системи і засоби пожежної безпеки</v>
      </c>
      <c r="D824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24" s="15" t="str">
        <f>IFERROR(__xludf.DUMMYFUNCTION("""COMPUTED_VALUE"""),"рукави пожежні")</f>
        <v>рукави пожежні</v>
      </c>
      <c r="F824" s="17">
        <f>IFERROR(__xludf.DUMMYFUNCTION("""COMPUTED_VALUE"""),4.0)</f>
        <v>4</v>
      </c>
      <c r="G824" s="17">
        <f>IFERROR(__xludf.DUMMYFUNCTION("""COMPUTED_VALUE"""),300904.0)</f>
        <v>300904</v>
      </c>
      <c r="H824" s="17" t="str">
        <f>IFERROR(__xludf.DUMMYFUNCTION("""COMPUTED_VALUE"""),"рукави пожежні")</f>
        <v>рукави пожежні</v>
      </c>
      <c r="I824" s="18">
        <f>IFERROR(__xludf.DUMMYFUNCTION("""COMPUTED_VALUE"""),1.66)</f>
        <v>1.66</v>
      </c>
      <c r="J824" s="18">
        <f>IFERROR(__xludf.DUMMYFUNCTION("""COMPUTED_VALUE"""),3.33)</f>
        <v>3.33</v>
      </c>
      <c r="K824" s="18">
        <f>IFERROR(__xludf.DUMMYFUNCTION("""COMPUTED_VALUE"""),4.16)</f>
        <v>4.16</v>
      </c>
      <c r="L824" s="18">
        <f>IFERROR(__xludf.DUMMYFUNCTION("""COMPUTED_VALUE"""),6.65)</f>
        <v>6.65</v>
      </c>
    </row>
    <row r="825">
      <c r="A825" s="13" t="str">
        <f>IFERROR(__xludf.DUMMYFUNCTION("""COMPUTED_VALUE"""),"товари")</f>
        <v>товари</v>
      </c>
      <c r="B825" s="13" t="str">
        <f>IFERROR(__xludf.DUMMYFUNCTION("""COMPUTED_VALUE"""),"безпека та захист")</f>
        <v>безпека та захист</v>
      </c>
      <c r="C825" s="15" t="str">
        <f>IFERROR(__xludf.DUMMYFUNCTION("""COMPUTED_VALUE"""),"засоби організації дорожнього руху")</f>
        <v>засоби організації дорожнього руху</v>
      </c>
      <c r="D825" s="15" t="str">
        <f>IFERROR(__xludf.DUMMYFUNCTION("""COMPUTED_VALUE"""),"світлофори")</f>
        <v>світлофори</v>
      </c>
      <c r="E825" s="15" t="str">
        <f>IFERROR(__xludf.DUMMYFUNCTION("""COMPUTED_VALUE"""),"світлофори")</f>
        <v>світлофори</v>
      </c>
      <c r="F825" s="17">
        <f>IFERROR(__xludf.DUMMYFUNCTION("""COMPUTED_VALUE"""),3.0)</f>
        <v>3</v>
      </c>
      <c r="G825" s="17">
        <f>IFERROR(__xludf.DUMMYFUNCTION("""COMPUTED_VALUE"""),301503.0)</f>
        <v>301503</v>
      </c>
      <c r="H825" s="17" t="str">
        <f>IFERROR(__xludf.DUMMYFUNCTION("""COMPUTED_VALUE"""),"світлофори")</f>
        <v>світлофори</v>
      </c>
      <c r="I825" s="18">
        <f>IFERROR(__xludf.DUMMYFUNCTION("""COMPUTED_VALUE"""),1.31)</f>
        <v>1.31</v>
      </c>
      <c r="J825" s="18">
        <f>IFERROR(__xludf.DUMMYFUNCTION("""COMPUTED_VALUE"""),2.61)</f>
        <v>2.61</v>
      </c>
      <c r="K825" s="18">
        <f>IFERROR(__xludf.DUMMYFUNCTION("""COMPUTED_VALUE"""),3.27)</f>
        <v>3.27</v>
      </c>
      <c r="L825" s="18">
        <f>IFERROR(__xludf.DUMMYFUNCTION("""COMPUTED_VALUE"""),5.23)</f>
        <v>5.23</v>
      </c>
    </row>
    <row r="826">
      <c r="A826" s="13" t="str">
        <f>IFERROR(__xludf.DUMMYFUNCTION("""COMPUTED_VALUE"""),"товари")</f>
        <v>товари</v>
      </c>
      <c r="B826" s="13" t="str">
        <f>IFERROR(__xludf.DUMMYFUNCTION("""COMPUTED_VALUE"""),"безпека та захист")</f>
        <v>безпека та захист</v>
      </c>
      <c r="C826" s="15" t="str">
        <f>IFERROR(__xludf.DUMMYFUNCTION("""COMPUTED_VALUE"""),"системи і засоби пожежної безпеки")</f>
        <v>системи і засоби пожежної безпеки</v>
      </c>
      <c r="D826" s="15" t="str">
        <f>IFERROR(__xludf.DUMMYFUNCTION("""COMPUTED_VALUE"""),"системи і засоби пожежної безпеки, загальне")</f>
        <v>системи і засоби пожежної безпеки, загальне</v>
      </c>
      <c r="E826" s="15" t="str">
        <f>IFERROR(__xludf.DUMMYFUNCTION("""COMPUTED_VALUE"""),"системи і засоби пожежної безпеки, загальне")</f>
        <v>системи і засоби пожежної безпеки, загальне</v>
      </c>
      <c r="F826" s="17">
        <f>IFERROR(__xludf.DUMMYFUNCTION("""COMPUTED_VALUE"""),3.0)</f>
        <v>3</v>
      </c>
      <c r="G826" s="17">
        <f>IFERROR(__xludf.DUMMYFUNCTION("""COMPUTED_VALUE"""),300907.0)</f>
        <v>300907</v>
      </c>
      <c r="H826" s="17" t="str">
        <f>IFERROR(__xludf.DUMMYFUNCTION("""COMPUTED_VALUE"""),"системи і засоби пожежної безпеки, загальне")</f>
        <v>системи і засоби пожежної безпеки, загальне</v>
      </c>
      <c r="I826" s="18">
        <f>IFERROR(__xludf.DUMMYFUNCTION("""COMPUTED_VALUE"""),2.16)</f>
        <v>2.16</v>
      </c>
      <c r="J826" s="18">
        <f>IFERROR(__xludf.DUMMYFUNCTION("""COMPUTED_VALUE"""),4.33)</f>
        <v>4.33</v>
      </c>
      <c r="K826" s="18">
        <f>IFERROR(__xludf.DUMMYFUNCTION("""COMPUTED_VALUE"""),5.41)</f>
        <v>5.41</v>
      </c>
      <c r="L826" s="18">
        <f>IFERROR(__xludf.DUMMYFUNCTION("""COMPUTED_VALUE"""),8.65)</f>
        <v>8.65</v>
      </c>
    </row>
    <row r="827">
      <c r="A827" s="13" t="str">
        <f>IFERROR(__xludf.DUMMYFUNCTION("""COMPUTED_VALUE"""),"товари")</f>
        <v>товари</v>
      </c>
      <c r="B827" s="13" t="str">
        <f>IFERROR(__xludf.DUMMYFUNCTION("""COMPUTED_VALUE"""),"безпека та захист")</f>
        <v>безпека та захист</v>
      </c>
      <c r="C827" s="15" t="str">
        <f>IFERROR(__xludf.DUMMYFUNCTION("""COMPUTED_VALUE"""),"засоби організації дорожнього руху")</f>
        <v>засоби організації дорожнього руху</v>
      </c>
      <c r="D827" s="15" t="str">
        <f>IFERROR(__xludf.DUMMYFUNCTION("""COMPUTED_VALUE"""),"системи управління дорожнім рухом")</f>
        <v>системи управління дорожнім рухом</v>
      </c>
      <c r="E827" s="15" t="str">
        <f>IFERROR(__xludf.DUMMYFUNCTION("""COMPUTED_VALUE"""),"системи управління дорожнім рухом")</f>
        <v>системи управління дорожнім рухом</v>
      </c>
      <c r="F827" s="17">
        <f>IFERROR(__xludf.DUMMYFUNCTION("""COMPUTED_VALUE"""),3.0)</f>
        <v>3</v>
      </c>
      <c r="G827" s="17">
        <f>IFERROR(__xludf.DUMMYFUNCTION("""COMPUTED_VALUE"""),301504.0)</f>
        <v>301504</v>
      </c>
      <c r="H827" s="17" t="str">
        <f>IFERROR(__xludf.DUMMYFUNCTION("""COMPUTED_VALUE"""),"системи управління дорожнім рухом")</f>
        <v>системи управління дорожнім рухом</v>
      </c>
      <c r="I827" s="18">
        <f>IFERROR(__xludf.DUMMYFUNCTION("""COMPUTED_VALUE"""),1.8)</f>
        <v>1.8</v>
      </c>
      <c r="J827" s="18">
        <f>IFERROR(__xludf.DUMMYFUNCTION("""COMPUTED_VALUE"""),3.6)</f>
        <v>3.6</v>
      </c>
      <c r="K827" s="18">
        <f>IFERROR(__xludf.DUMMYFUNCTION("""COMPUTED_VALUE"""),4.5)</f>
        <v>4.5</v>
      </c>
      <c r="L827" s="18">
        <f>IFERROR(__xludf.DUMMYFUNCTION("""COMPUTED_VALUE"""),7.2)</f>
        <v>7.2</v>
      </c>
    </row>
    <row r="828">
      <c r="A828" s="13" t="str">
        <f>IFERROR(__xludf.DUMMYFUNCTION("""COMPUTED_VALUE"""),"товари")</f>
        <v>товари</v>
      </c>
      <c r="B828" s="13" t="str">
        <f>IFERROR(__xludf.DUMMYFUNCTION("""COMPUTED_VALUE"""),"безпека та захист")</f>
        <v>безпека та захист</v>
      </c>
      <c r="C828" s="15" t="str">
        <f>IFERROR(__xludf.DUMMYFUNCTION("""COMPUTED_VALUE"""),"системи і засоби пожежної безпеки")</f>
        <v>системи і засоби пожежної безпеки</v>
      </c>
      <c r="D828" s="15" t="str">
        <f>IFERROR(__xludf.DUMMYFUNCTION("""COMPUTED_VALUE"""),"блискавкозахист і заземлення")</f>
        <v>блискавкозахист і заземлення</v>
      </c>
      <c r="E828" s="15" t="str">
        <f>IFERROR(__xludf.DUMMYFUNCTION("""COMPUTED_VALUE"""),"струмовідводи")</f>
        <v>струмовідводи</v>
      </c>
      <c r="F828" s="17">
        <f>IFERROR(__xludf.DUMMYFUNCTION("""COMPUTED_VALUE"""),4.0)</f>
        <v>4</v>
      </c>
      <c r="G828" s="17">
        <f>IFERROR(__xludf.DUMMYFUNCTION("""COMPUTED_VALUE"""),300302.0)</f>
        <v>300302</v>
      </c>
      <c r="H828" s="17" t="str">
        <f>IFERROR(__xludf.DUMMYFUNCTION("""COMPUTED_VALUE"""),"струмовідводи")</f>
        <v>струмовідводи</v>
      </c>
      <c r="I828" s="18">
        <f>IFERROR(__xludf.DUMMYFUNCTION("""COMPUTED_VALUE"""),1.13)</f>
        <v>1.13</v>
      </c>
      <c r="J828" s="18">
        <f>IFERROR(__xludf.DUMMYFUNCTION("""COMPUTED_VALUE"""),2.25)</f>
        <v>2.25</v>
      </c>
      <c r="K828" s="18">
        <f>IFERROR(__xludf.DUMMYFUNCTION("""COMPUTED_VALUE"""),2.81)</f>
        <v>2.81</v>
      </c>
      <c r="L828" s="18">
        <f>IFERROR(__xludf.DUMMYFUNCTION("""COMPUTED_VALUE"""),4.5)</f>
        <v>4.5</v>
      </c>
    </row>
    <row r="829">
      <c r="A829" s="13" t="str">
        <f>IFERROR(__xludf.DUMMYFUNCTION("""COMPUTED_VALUE"""),"товари")</f>
        <v>товари</v>
      </c>
      <c r="B829" s="13" t="str">
        <f>IFERROR(__xludf.DUMMYFUNCTION("""COMPUTED_VALUE"""),"безпека та захист")</f>
        <v>безпека та захист</v>
      </c>
      <c r="C829" s="15" t="str">
        <f>IFERROR(__xludf.DUMMYFUNCTION("""COMPUTED_VALUE"""),"системи охорони та оповіщення")</f>
        <v>системи охорони та оповіщення</v>
      </c>
      <c r="D829" s="15" t="str">
        <f>IFERROR(__xludf.DUMMYFUNCTION("""COMPUTED_VALUE"""),"тривожні кнопки і кнопки виходу")</f>
        <v>тривожні кнопки і кнопки виходу</v>
      </c>
      <c r="E829" s="15" t="str">
        <f>IFERROR(__xludf.DUMMYFUNCTION("""COMPUTED_VALUE"""),"тривожні кнопки і кнопки виходу")</f>
        <v>тривожні кнопки і кнопки виходу</v>
      </c>
      <c r="F829" s="17">
        <f>IFERROR(__xludf.DUMMYFUNCTION("""COMPUTED_VALUE"""),3.0)</f>
        <v>3</v>
      </c>
      <c r="G829" s="17">
        <f>IFERROR(__xludf.DUMMYFUNCTION("""COMPUTED_VALUE"""),302308.0)</f>
        <v>302308</v>
      </c>
      <c r="H829" s="17" t="str">
        <f>IFERROR(__xludf.DUMMYFUNCTION("""COMPUTED_VALUE"""),"тривожні кнопки і кнопки виходу")</f>
        <v>тривожні кнопки і кнопки виходу</v>
      </c>
      <c r="I829" s="18">
        <f>IFERROR(__xludf.DUMMYFUNCTION("""COMPUTED_VALUE"""),1.26)</f>
        <v>1.26</v>
      </c>
      <c r="J829" s="18">
        <f>IFERROR(__xludf.DUMMYFUNCTION("""COMPUTED_VALUE"""),2.53)</f>
        <v>2.53</v>
      </c>
      <c r="K829" s="18">
        <f>IFERROR(__xludf.DUMMYFUNCTION("""COMPUTED_VALUE"""),3.16)</f>
        <v>3.16</v>
      </c>
      <c r="L829" s="18">
        <f>IFERROR(__xludf.DUMMYFUNCTION("""COMPUTED_VALUE"""),5.05)</f>
        <v>5.05</v>
      </c>
    </row>
    <row r="830">
      <c r="A830" s="13" t="str">
        <f>IFERROR(__xludf.DUMMYFUNCTION("""COMPUTED_VALUE"""),"товари")</f>
        <v>товари</v>
      </c>
      <c r="B830" s="13" t="str">
        <f>IFERROR(__xludf.DUMMYFUNCTION("""COMPUTED_VALUE"""),"безпека та захист")</f>
        <v>безпека та захист</v>
      </c>
      <c r="C830" s="15" t="str">
        <f>IFERROR(__xludf.DUMMYFUNCTION("""COMPUTED_VALUE"""),"засоби і системи сккд")</f>
        <v>засоби і системи сккд</v>
      </c>
      <c r="D830" s="15" t="str">
        <f>IFERROR(__xludf.DUMMYFUNCTION("""COMPUTED_VALUE"""),"турнікети")</f>
        <v>турнікети</v>
      </c>
      <c r="E830" s="15" t="str">
        <f>IFERROR(__xludf.DUMMYFUNCTION("""COMPUTED_VALUE"""),"турнікети")</f>
        <v>турнікети</v>
      </c>
      <c r="F830" s="17">
        <f>IFERROR(__xludf.DUMMYFUNCTION("""COMPUTED_VALUE"""),3.0)</f>
        <v>3</v>
      </c>
      <c r="G830" s="17">
        <f>IFERROR(__xludf.DUMMYFUNCTION("""COMPUTED_VALUE"""),301301.0)</f>
        <v>301301</v>
      </c>
      <c r="H830" s="17" t="str">
        <f>IFERROR(__xludf.DUMMYFUNCTION("""COMPUTED_VALUE"""),"турнікети")</f>
        <v>турнікети</v>
      </c>
      <c r="I830" s="18">
        <f>IFERROR(__xludf.DUMMYFUNCTION("""COMPUTED_VALUE"""),2.21)</f>
        <v>2.21</v>
      </c>
      <c r="J830" s="18">
        <f>IFERROR(__xludf.DUMMYFUNCTION("""COMPUTED_VALUE"""),4.43)</f>
        <v>4.43</v>
      </c>
      <c r="K830" s="18">
        <f>IFERROR(__xludf.DUMMYFUNCTION("""COMPUTED_VALUE"""),5.53)</f>
        <v>5.53</v>
      </c>
      <c r="L830" s="18">
        <f>IFERROR(__xludf.DUMMYFUNCTION("""COMPUTED_VALUE"""),8.85)</f>
        <v>8.85</v>
      </c>
    </row>
    <row r="831">
      <c r="A831" s="13" t="str">
        <f>IFERROR(__xludf.DUMMYFUNCTION("""COMPUTED_VALUE"""),"товари")</f>
        <v>товари</v>
      </c>
      <c r="B831" s="13" t="str">
        <f>IFERROR(__xludf.DUMMYFUNCTION("""COMPUTED_VALUE"""),"безпека та захист")</f>
        <v>безпека та захист</v>
      </c>
      <c r="C831" s="15" t="str">
        <f>IFERROR(__xludf.DUMMYFUNCTION("""COMPUTED_VALUE"""),"засоби і системи сккд")</f>
        <v>засоби і системи сккд</v>
      </c>
      <c r="D831" s="15" t="str">
        <f>IFERROR(__xludf.DUMMYFUNCTION("""COMPUTED_VALUE"""),"шлюзові кабіни")</f>
        <v>шлюзові кабіни</v>
      </c>
      <c r="E831" s="15" t="str">
        <f>IFERROR(__xludf.DUMMYFUNCTION("""COMPUTED_VALUE"""),"шлюзові кабіни")</f>
        <v>шлюзові кабіни</v>
      </c>
      <c r="F831" s="17">
        <f>IFERROR(__xludf.DUMMYFUNCTION("""COMPUTED_VALUE"""),3.0)</f>
        <v>3</v>
      </c>
      <c r="G831" s="17">
        <f>IFERROR(__xludf.DUMMYFUNCTION("""COMPUTED_VALUE"""),301308.0)</f>
        <v>301308</v>
      </c>
      <c r="H831" s="17" t="str">
        <f>IFERROR(__xludf.DUMMYFUNCTION("""COMPUTED_VALUE"""),"шлюзові кабіни")</f>
        <v>шлюзові кабіни</v>
      </c>
      <c r="I831" s="18">
        <f>IFERROR(__xludf.DUMMYFUNCTION("""COMPUTED_VALUE"""),0.76)</f>
        <v>0.76</v>
      </c>
      <c r="J831" s="18">
        <f>IFERROR(__xludf.DUMMYFUNCTION("""COMPUTED_VALUE"""),1.53)</f>
        <v>1.53</v>
      </c>
      <c r="K831" s="18">
        <f>IFERROR(__xludf.DUMMYFUNCTION("""COMPUTED_VALUE"""),1.91)</f>
        <v>1.91</v>
      </c>
      <c r="L831" s="18">
        <f>IFERROR(__xludf.DUMMYFUNCTION("""COMPUTED_VALUE"""),3.05)</f>
        <v>3.05</v>
      </c>
    </row>
    <row r="832">
      <c r="A832" s="13" t="str">
        <f>IFERROR(__xludf.DUMMYFUNCTION("""COMPUTED_VALUE"""),"товари")</f>
        <v>товари</v>
      </c>
      <c r="B832" s="13" t="str">
        <f>IFERROR(__xludf.DUMMYFUNCTION("""COMPUTED_VALUE"""),"безпека та захист")</f>
        <v>безпека та захист</v>
      </c>
      <c r="C832" s="15" t="str">
        <f>IFERROR(__xludf.DUMMYFUNCTION("""COMPUTED_VALUE"""),"технічні засоби відеоспостереження")</f>
        <v>технічні засоби відеоспостереження</v>
      </c>
      <c r="D832" s="15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832" s="15" t="str">
        <f>IFERROR(__xludf.DUMMYFUNCTION("""COMPUTED_VALUE"""),"ящики акб")</f>
        <v>ящики акб</v>
      </c>
      <c r="F832" s="17">
        <f>IFERROR(__xludf.DUMMYFUNCTION("""COMPUTED_VALUE"""),4.0)</f>
        <v>4</v>
      </c>
      <c r="G832" s="17">
        <f>IFERROR(__xludf.DUMMYFUNCTION("""COMPUTED_VALUE"""),301114.0)</f>
        <v>301114</v>
      </c>
      <c r="H832" s="17" t="str">
        <f>IFERROR(__xludf.DUMMYFUNCTION("""COMPUTED_VALUE"""),"ящики акб")</f>
        <v>ящики акб</v>
      </c>
      <c r="I832" s="18">
        <f>IFERROR(__xludf.DUMMYFUNCTION("""COMPUTED_VALUE"""),0.53)</f>
        <v>0.53</v>
      </c>
      <c r="J832" s="18">
        <f>IFERROR(__xludf.DUMMYFUNCTION("""COMPUTED_VALUE"""),1.05)</f>
        <v>1.05</v>
      </c>
      <c r="K832" s="18">
        <f>IFERROR(__xludf.DUMMYFUNCTION("""COMPUTED_VALUE"""),1.31)</f>
        <v>1.31</v>
      </c>
      <c r="L832" s="18">
        <f>IFERROR(__xludf.DUMMYFUNCTION("""COMPUTED_VALUE"""),2.1)</f>
        <v>2.1</v>
      </c>
    </row>
    <row r="833">
      <c r="A833" s="13" t="str">
        <f>IFERROR(__xludf.DUMMYFUNCTION("""COMPUTED_VALUE"""),"товари")</f>
        <v>товари</v>
      </c>
      <c r="B833" s="13" t="str">
        <f>IFERROR(__xludf.DUMMYFUNCTION("""COMPUTED_VALUE"""),"будівництво")</f>
        <v>будівництво</v>
      </c>
      <c r="C833" s="15" t="str">
        <f>IFERROR(__xludf.DUMMYFUNCTION("""COMPUTED_VALUE"""),"будівельна техніка та обладнання")</f>
        <v>будівельна техніка та обладнання</v>
      </c>
      <c r="D833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833" s="15" t="str">
        <f>IFERROR(__xludf.DUMMYFUNCTION("""COMPUTED_VALUE"""),"автовишки")</f>
        <v>автовишки</v>
      </c>
      <c r="F833" s="17">
        <f>IFERROR(__xludf.DUMMYFUNCTION("""COMPUTED_VALUE"""),4.0)</f>
        <v>4</v>
      </c>
      <c r="G833" s="17">
        <f>IFERROR(__xludf.DUMMYFUNCTION("""COMPUTED_VALUE"""),1.3040213E7)</f>
        <v>13040213</v>
      </c>
      <c r="H833" s="17" t="str">
        <f>IFERROR(__xludf.DUMMYFUNCTION("""COMPUTED_VALUE"""),"автовишки")</f>
        <v>автовишки</v>
      </c>
      <c r="I833" s="18">
        <f>IFERROR(__xludf.DUMMYFUNCTION("""COMPUTED_VALUE"""),2.7)</f>
        <v>2.7</v>
      </c>
      <c r="J833" s="18">
        <f>IFERROR(__xludf.DUMMYFUNCTION("""COMPUTED_VALUE"""),5.4)</f>
        <v>5.4</v>
      </c>
      <c r="K833" s="18">
        <f>IFERROR(__xludf.DUMMYFUNCTION("""COMPUTED_VALUE"""),6.75)</f>
        <v>6.75</v>
      </c>
      <c r="L833" s="18">
        <f>IFERROR(__xludf.DUMMYFUNCTION("""COMPUTED_VALUE"""),10.8)</f>
        <v>10.8</v>
      </c>
    </row>
    <row r="834">
      <c r="A834" s="13" t="str">
        <f>IFERROR(__xludf.DUMMYFUNCTION("""COMPUTED_VALUE"""),"товари")</f>
        <v>товари</v>
      </c>
      <c r="B834" s="13" t="str">
        <f>IFERROR(__xludf.DUMMYFUNCTION("""COMPUTED_VALUE"""),"будівництво")</f>
        <v>будівництво</v>
      </c>
      <c r="C834" s="15" t="str">
        <f>IFERROR(__xludf.DUMMYFUNCTION("""COMPUTED_VALUE"""),"будівельна техніка та обладнання")</f>
        <v>будівельна техніка та обладнання</v>
      </c>
      <c r="D834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834" s="15" t="str">
        <f>IFERROR(__xludf.DUMMYFUNCTION("""COMPUTED_VALUE"""),"автогрейдери, скрепери")</f>
        <v>автогрейдери, скрепери</v>
      </c>
      <c r="F834" s="17">
        <f>IFERROR(__xludf.DUMMYFUNCTION("""COMPUTED_VALUE"""),4.0)</f>
        <v>4</v>
      </c>
      <c r="G834" s="17">
        <f>IFERROR(__xludf.DUMMYFUNCTION("""COMPUTED_VALUE"""),132609.0)</f>
        <v>132609</v>
      </c>
      <c r="H834" s="17" t="str">
        <f>IFERROR(__xludf.DUMMYFUNCTION("""COMPUTED_VALUE"""),"автогрейдери, скрепери")</f>
        <v>автогрейдери, скрепери</v>
      </c>
      <c r="I834" s="18">
        <f>IFERROR(__xludf.DUMMYFUNCTION("""COMPUTED_VALUE"""),1.95)</f>
        <v>1.95</v>
      </c>
      <c r="J834" s="18">
        <f>IFERROR(__xludf.DUMMYFUNCTION("""COMPUTED_VALUE"""),3.9)</f>
        <v>3.9</v>
      </c>
      <c r="K834" s="18">
        <f>IFERROR(__xludf.DUMMYFUNCTION("""COMPUTED_VALUE"""),4.88)</f>
        <v>4.88</v>
      </c>
      <c r="L834" s="18">
        <f>IFERROR(__xludf.DUMMYFUNCTION("""COMPUTED_VALUE"""),7.8)</f>
        <v>7.8</v>
      </c>
    </row>
    <row r="835">
      <c r="A835" s="13" t="str">
        <f>IFERROR(__xludf.DUMMYFUNCTION("""COMPUTED_VALUE"""),"товари")</f>
        <v>товари</v>
      </c>
      <c r="B835" s="13" t="str">
        <f>IFERROR(__xludf.DUMMYFUNCTION("""COMPUTED_VALUE"""),"будівництво")</f>
        <v>будівництво</v>
      </c>
      <c r="C835" s="15" t="str">
        <f>IFERROR(__xludf.DUMMYFUNCTION("""COMPUTED_VALUE"""),"будівельна техніка та обладнання")</f>
        <v>будівельна техніка та обладнання</v>
      </c>
      <c r="D835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835" s="15" t="str">
        <f>IFERROR(__xludf.DUMMYFUNCTION("""COMPUTED_VALUE"""),"асфальтоукладальники")</f>
        <v>асфальтоукладальники</v>
      </c>
      <c r="F835" s="17">
        <f>IFERROR(__xludf.DUMMYFUNCTION("""COMPUTED_VALUE"""),4.0)</f>
        <v>4</v>
      </c>
      <c r="G835" s="17">
        <f>IFERROR(__xludf.DUMMYFUNCTION("""COMPUTED_VALUE"""),1.3040402E7)</f>
        <v>13040402</v>
      </c>
      <c r="H835" s="17" t="str">
        <f>IFERROR(__xludf.DUMMYFUNCTION("""COMPUTED_VALUE"""),"асфальтоукладальники")</f>
        <v>асфальтоукладальники</v>
      </c>
      <c r="I835" s="18">
        <f>IFERROR(__xludf.DUMMYFUNCTION("""COMPUTED_VALUE"""),1.95)</f>
        <v>1.95</v>
      </c>
      <c r="J835" s="18">
        <f>IFERROR(__xludf.DUMMYFUNCTION("""COMPUTED_VALUE"""),3.9)</f>
        <v>3.9</v>
      </c>
      <c r="K835" s="18">
        <f>IFERROR(__xludf.DUMMYFUNCTION("""COMPUTED_VALUE"""),4.88)</f>
        <v>4.88</v>
      </c>
      <c r="L835" s="18">
        <f>IFERROR(__xludf.DUMMYFUNCTION("""COMPUTED_VALUE"""),7.8)</f>
        <v>7.8</v>
      </c>
    </row>
    <row r="836">
      <c r="A836" s="13" t="str">
        <f>IFERROR(__xludf.DUMMYFUNCTION("""COMPUTED_VALUE"""),"товари")</f>
        <v>товари</v>
      </c>
      <c r="B836" s="13" t="str">
        <f>IFERROR(__xludf.DUMMYFUNCTION("""COMPUTED_VALUE"""),"будівництво")</f>
        <v>будівництво</v>
      </c>
      <c r="C836" s="15" t="str">
        <f>IFERROR(__xludf.DUMMYFUNCTION("""COMPUTED_VALUE"""),"будівельна техніка та обладнання")</f>
        <v>будівельна техніка та обладнання</v>
      </c>
      <c r="D836" s="15" t="str">
        <f>IFERROR(__xludf.DUMMYFUNCTION("""COMPUTED_VALUE"""),"машини та обладнання для бетонних робіт")</f>
        <v>машини та обладнання для бетонних робіт</v>
      </c>
      <c r="E836" s="15" t="str">
        <f>IFERROR(__xludf.DUMMYFUNCTION("""COMPUTED_VALUE"""),"бетононасоси, розчинонасоси")</f>
        <v>бетононасоси, розчинонасоси</v>
      </c>
      <c r="F836" s="17">
        <f>IFERROR(__xludf.DUMMYFUNCTION("""COMPUTED_VALUE"""),4.0)</f>
        <v>4</v>
      </c>
      <c r="G836" s="17">
        <f>IFERROR(__xludf.DUMMYFUNCTION("""COMPUTED_VALUE"""),132605.0)</f>
        <v>132605</v>
      </c>
      <c r="H836" s="17" t="str">
        <f>IFERROR(__xludf.DUMMYFUNCTION("""COMPUTED_VALUE"""),"бетононасоси, розчинонасоси")</f>
        <v>бетононасоси, розчинонасоси</v>
      </c>
      <c r="I836" s="18">
        <f>IFERROR(__xludf.DUMMYFUNCTION("""COMPUTED_VALUE"""),2.18)</f>
        <v>2.18</v>
      </c>
      <c r="J836" s="18">
        <f>IFERROR(__xludf.DUMMYFUNCTION("""COMPUTED_VALUE"""),4.35)</f>
        <v>4.35</v>
      </c>
      <c r="K836" s="18">
        <f>IFERROR(__xludf.DUMMYFUNCTION("""COMPUTED_VALUE"""),5.44)</f>
        <v>5.44</v>
      </c>
      <c r="L836" s="18">
        <f>IFERROR(__xludf.DUMMYFUNCTION("""COMPUTED_VALUE"""),8.7)</f>
        <v>8.7</v>
      </c>
    </row>
    <row r="837">
      <c r="A837" s="13" t="str">
        <f>IFERROR(__xludf.DUMMYFUNCTION("""COMPUTED_VALUE"""),"товари")</f>
        <v>товари</v>
      </c>
      <c r="B837" s="13" t="str">
        <f>IFERROR(__xludf.DUMMYFUNCTION("""COMPUTED_VALUE"""),"будівництво")</f>
        <v>будівництво</v>
      </c>
      <c r="C837" s="15" t="str">
        <f>IFERROR(__xludf.DUMMYFUNCTION("""COMPUTED_VALUE"""),"будівельні матеріали")</f>
        <v>будівельні матеріали</v>
      </c>
      <c r="D837" s="15" t="str">
        <f>IFERROR(__xludf.DUMMYFUNCTION("""COMPUTED_VALUE"""),"дорожні матеріали")</f>
        <v>дорожні матеріали</v>
      </c>
      <c r="E837" s="15" t="str">
        <f>IFERROR(__xludf.DUMMYFUNCTION("""COMPUTED_VALUE"""),"бруківка і тротуарна плитка")</f>
        <v>бруківка і тротуарна плитка</v>
      </c>
      <c r="F837" s="17">
        <f>IFERROR(__xludf.DUMMYFUNCTION("""COMPUTED_VALUE"""),4.0)</f>
        <v>4</v>
      </c>
      <c r="G837" s="17">
        <f>IFERROR(__xludf.DUMMYFUNCTION("""COMPUTED_VALUE"""),1313.0)</f>
        <v>1313</v>
      </c>
      <c r="H837" s="17" t="str">
        <f>IFERROR(__xludf.DUMMYFUNCTION("""COMPUTED_VALUE"""),"бруківка і тротуарна плитка")</f>
        <v>бруківка і тротуарна плитка</v>
      </c>
      <c r="I837" s="18">
        <f>IFERROR(__xludf.DUMMYFUNCTION("""COMPUTED_VALUE"""),0.86)</f>
        <v>0.86</v>
      </c>
      <c r="J837" s="18">
        <f>IFERROR(__xludf.DUMMYFUNCTION("""COMPUTED_VALUE"""),1.71)</f>
        <v>1.71</v>
      </c>
      <c r="K837" s="18">
        <f>IFERROR(__xludf.DUMMYFUNCTION("""COMPUTED_VALUE"""),2.14)</f>
        <v>2.14</v>
      </c>
      <c r="L837" s="18">
        <f>IFERROR(__xludf.DUMMYFUNCTION("""COMPUTED_VALUE"""),3.43)</f>
        <v>3.43</v>
      </c>
    </row>
    <row r="838">
      <c r="A838" s="13" t="str">
        <f>IFERROR(__xludf.DUMMYFUNCTION("""COMPUTED_VALUE"""),"товари")</f>
        <v>товари</v>
      </c>
      <c r="B838" s="13" t="str">
        <f>IFERROR(__xludf.DUMMYFUNCTION("""COMPUTED_VALUE"""),"будівництво")</f>
        <v>будівництво</v>
      </c>
      <c r="C838" s="15" t="str">
        <f>IFERROR(__xludf.DUMMYFUNCTION("""COMPUTED_VALUE"""),"будівельні матеріали")</f>
        <v>будівельні матеріали</v>
      </c>
      <c r="D838" s="15" t="str">
        <f>IFERROR(__xludf.DUMMYFUNCTION("""COMPUTED_VALUE"""),"сипкі матеріали")</f>
        <v>сипкі матеріали</v>
      </c>
      <c r="E838" s="15" t="str">
        <f>IFERROR(__xludf.DUMMYFUNCTION("""COMPUTED_VALUE"""),"будівельна глина")</f>
        <v>будівельна глина</v>
      </c>
      <c r="F838" s="17">
        <f>IFERROR(__xludf.DUMMYFUNCTION("""COMPUTED_VALUE"""),4.0)</f>
        <v>4</v>
      </c>
      <c r="G838" s="17">
        <f>IFERROR(__xludf.DUMMYFUNCTION("""COMPUTED_VALUE"""),1.3070605E7)</f>
        <v>13070605</v>
      </c>
      <c r="H838" s="17" t="str">
        <f>IFERROR(__xludf.DUMMYFUNCTION("""COMPUTED_VALUE"""),"будівельна глина")</f>
        <v>будівельна глина</v>
      </c>
      <c r="I838" s="18">
        <f>IFERROR(__xludf.DUMMYFUNCTION("""COMPUTED_VALUE"""),2.7)</f>
        <v>2.7</v>
      </c>
      <c r="J838" s="18">
        <f>IFERROR(__xludf.DUMMYFUNCTION("""COMPUTED_VALUE"""),5.4)</f>
        <v>5.4</v>
      </c>
      <c r="K838" s="18">
        <f>IFERROR(__xludf.DUMMYFUNCTION("""COMPUTED_VALUE"""),6.75)</f>
        <v>6.75</v>
      </c>
      <c r="L838" s="18">
        <f>IFERROR(__xludf.DUMMYFUNCTION("""COMPUTED_VALUE"""),10.8)</f>
        <v>10.8</v>
      </c>
    </row>
    <row r="839">
      <c r="A839" s="13" t="str">
        <f>IFERROR(__xludf.DUMMYFUNCTION("""COMPUTED_VALUE"""),"товари")</f>
        <v>товари</v>
      </c>
      <c r="B839" s="13" t="str">
        <f>IFERROR(__xludf.DUMMYFUNCTION("""COMPUTED_VALUE"""),"будівництво")</f>
        <v>будівництво</v>
      </c>
      <c r="C839" s="15" t="str">
        <f>IFERROR(__xludf.DUMMYFUNCTION("""COMPUTED_VALUE"""),"будівельна техніка та обладнання")</f>
        <v>будівельна техніка та обладнання</v>
      </c>
      <c r="D839" s="15" t="str">
        <f>IFERROR(__xludf.DUMMYFUNCTION("""COMPUTED_VALUE"""),"будівельна техніка та обладнання, загальне")</f>
        <v>будівельна техніка та обладнання, загальне</v>
      </c>
      <c r="E839" s="15" t="str">
        <f>IFERROR(__xludf.DUMMYFUNCTION("""COMPUTED_VALUE"""),"будівельна техніка та обладнання, загальне")</f>
        <v>будівельна техніка та обладнання, загальне</v>
      </c>
      <c r="F839" s="17">
        <f>IFERROR(__xludf.DUMMYFUNCTION("""COMPUTED_VALUE"""),3.0)</f>
        <v>3</v>
      </c>
      <c r="G839" s="17">
        <f>IFERROR(__xludf.DUMMYFUNCTION("""COMPUTED_VALUE"""),130408.0)</f>
        <v>130408</v>
      </c>
      <c r="H839" s="17" t="str">
        <f>IFERROR(__xludf.DUMMYFUNCTION("""COMPUTED_VALUE"""),"будівельна техніка та обладнання, загальне")</f>
        <v>будівельна техніка та обладнання, загальне</v>
      </c>
      <c r="I839" s="18">
        <f>IFERROR(__xludf.DUMMYFUNCTION("""COMPUTED_VALUE"""),2.16)</f>
        <v>2.16</v>
      </c>
      <c r="J839" s="18">
        <f>IFERROR(__xludf.DUMMYFUNCTION("""COMPUTED_VALUE"""),4.33)</f>
        <v>4.33</v>
      </c>
      <c r="K839" s="18">
        <f>IFERROR(__xludf.DUMMYFUNCTION("""COMPUTED_VALUE"""),5.41)</f>
        <v>5.41</v>
      </c>
      <c r="L839" s="18">
        <f>IFERROR(__xludf.DUMMYFUNCTION("""COMPUTED_VALUE"""),8.65)</f>
        <v>8.65</v>
      </c>
    </row>
    <row r="840">
      <c r="A840" s="13" t="str">
        <f>IFERROR(__xludf.DUMMYFUNCTION("""COMPUTED_VALUE"""),"товари")</f>
        <v>товари</v>
      </c>
      <c r="B840" s="13" t="str">
        <f>IFERROR(__xludf.DUMMYFUNCTION("""COMPUTED_VALUE"""),"будівництво")</f>
        <v>будівництво</v>
      </c>
      <c r="C840" s="15" t="str">
        <f>IFERROR(__xludf.DUMMYFUNCTION("""COMPUTED_VALUE"""),"будівельна техніка та обладнання")</f>
        <v>будівельна техніка та обладнання</v>
      </c>
      <c r="D840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840" s="15" t="str">
        <f>IFERROR(__xludf.DUMMYFUNCTION("""COMPUTED_VALUE"""),"будівельні риштування, загальне")</f>
        <v>будівельні риштування, загальне</v>
      </c>
      <c r="F840" s="17">
        <f>IFERROR(__xludf.DUMMYFUNCTION("""COMPUTED_VALUE"""),4.0)</f>
        <v>4</v>
      </c>
      <c r="G840" s="17">
        <f>IFERROR(__xludf.DUMMYFUNCTION("""COMPUTED_VALUE"""),1.3070705E7)</f>
        <v>13070705</v>
      </c>
      <c r="H840" s="17" t="str">
        <f>IFERROR(__xludf.DUMMYFUNCTION("""COMPUTED_VALUE"""),"будівельні риштування, загальне")</f>
        <v>будівельні риштування, загальне</v>
      </c>
      <c r="I840" s="18">
        <f>IFERROR(__xludf.DUMMYFUNCTION("""COMPUTED_VALUE"""),2.16)</f>
        <v>2.16</v>
      </c>
      <c r="J840" s="18">
        <f>IFERROR(__xludf.DUMMYFUNCTION("""COMPUTED_VALUE"""),4.33)</f>
        <v>4.33</v>
      </c>
      <c r="K840" s="18">
        <f>IFERROR(__xludf.DUMMYFUNCTION("""COMPUTED_VALUE"""),5.41)</f>
        <v>5.41</v>
      </c>
      <c r="L840" s="18">
        <f>IFERROR(__xludf.DUMMYFUNCTION("""COMPUTED_VALUE"""),8.65)</f>
        <v>8.65</v>
      </c>
    </row>
    <row r="841">
      <c r="A841" s="13" t="str">
        <f>IFERROR(__xludf.DUMMYFUNCTION("""COMPUTED_VALUE"""),"товари")</f>
        <v>товари</v>
      </c>
      <c r="B841" s="13" t="str">
        <f>IFERROR(__xludf.DUMMYFUNCTION("""COMPUTED_VALUE"""),"будівництво")</f>
        <v>будівництво</v>
      </c>
      <c r="C841" s="15" t="str">
        <f>IFERROR(__xludf.DUMMYFUNCTION("""COMPUTED_VALUE"""),"будівельні матеріали")</f>
        <v>будівельні матеріали</v>
      </c>
      <c r="D841" s="15" t="str">
        <f>IFERROR(__xludf.DUMMYFUNCTION("""COMPUTED_VALUE"""),"будівельні сітки")</f>
        <v>будівельні сітки</v>
      </c>
      <c r="E841" s="15" t="str">
        <f>IFERROR(__xludf.DUMMYFUNCTION("""COMPUTED_VALUE"""),"будівельні сітки")</f>
        <v>будівельні сітки</v>
      </c>
      <c r="F841" s="17">
        <f>IFERROR(__xludf.DUMMYFUNCTION("""COMPUTED_VALUE"""),3.0)</f>
        <v>3</v>
      </c>
      <c r="G841" s="17">
        <f>IFERROR(__xludf.DUMMYFUNCTION("""COMPUTED_VALUE"""),130727.0)</f>
        <v>130727</v>
      </c>
      <c r="H841" s="17" t="str">
        <f>IFERROR(__xludf.DUMMYFUNCTION("""COMPUTED_VALUE"""),"будівельні сітки")</f>
        <v>будівельні сітки</v>
      </c>
      <c r="I841" s="18">
        <f>IFERROR(__xludf.DUMMYFUNCTION("""COMPUTED_VALUE"""),0.76)</f>
        <v>0.76</v>
      </c>
      <c r="J841" s="18">
        <f>IFERROR(__xludf.DUMMYFUNCTION("""COMPUTED_VALUE"""),1.53)</f>
        <v>1.53</v>
      </c>
      <c r="K841" s="18">
        <f>IFERROR(__xludf.DUMMYFUNCTION("""COMPUTED_VALUE"""),1.91)</f>
        <v>1.91</v>
      </c>
      <c r="L841" s="18">
        <f>IFERROR(__xludf.DUMMYFUNCTION("""COMPUTED_VALUE"""),3.05)</f>
        <v>3.05</v>
      </c>
    </row>
    <row r="842">
      <c r="A842" s="13" t="str">
        <f>IFERROR(__xludf.DUMMYFUNCTION("""COMPUTED_VALUE"""),"товари")</f>
        <v>товари</v>
      </c>
      <c r="B842" s="13" t="str">
        <f>IFERROR(__xludf.DUMMYFUNCTION("""COMPUTED_VALUE"""),"будівництво")</f>
        <v>будівництво</v>
      </c>
      <c r="C842" s="15" t="str">
        <f>IFERROR(__xludf.DUMMYFUNCTION("""COMPUTED_VALUE"""),"будівельна техніка та обладнання")</f>
        <v>будівельна техніка та обладнання</v>
      </c>
      <c r="D842" s="15" t="str">
        <f>IFERROR(__xludf.DUMMYFUNCTION("""COMPUTED_VALUE"""),"машини та обладнання для земляних робіт")</f>
        <v>машини та обладнання для земляних робіт</v>
      </c>
      <c r="E842" s="15" t="str">
        <f>IFERROR(__xludf.DUMMYFUNCTION("""COMPUTED_VALUE"""),"бульдозери")</f>
        <v>бульдозери</v>
      </c>
      <c r="F842" s="17">
        <f>IFERROR(__xludf.DUMMYFUNCTION("""COMPUTED_VALUE"""),4.0)</f>
        <v>4</v>
      </c>
      <c r="G842" s="17">
        <f>IFERROR(__xludf.DUMMYFUNCTION("""COMPUTED_VALUE"""),132602.0)</f>
        <v>132602</v>
      </c>
      <c r="H842" s="17" t="str">
        <f>IFERROR(__xludf.DUMMYFUNCTION("""COMPUTED_VALUE"""),"бульдозери")</f>
        <v>бульдозери</v>
      </c>
      <c r="I842" s="18">
        <f>IFERROR(__xludf.DUMMYFUNCTION("""COMPUTED_VALUE"""),2.4)</f>
        <v>2.4</v>
      </c>
      <c r="J842" s="18">
        <f>IFERROR(__xludf.DUMMYFUNCTION("""COMPUTED_VALUE"""),4.8)</f>
        <v>4.8</v>
      </c>
      <c r="K842" s="18">
        <f>IFERROR(__xludf.DUMMYFUNCTION("""COMPUTED_VALUE"""),6.0)</f>
        <v>6</v>
      </c>
      <c r="L842" s="18">
        <f>IFERROR(__xludf.DUMMYFUNCTION("""COMPUTED_VALUE"""),9.6)</f>
        <v>9.6</v>
      </c>
    </row>
    <row r="843">
      <c r="A843" s="13" t="str">
        <f>IFERROR(__xludf.DUMMYFUNCTION("""COMPUTED_VALUE"""),"товари")</f>
        <v>товари</v>
      </c>
      <c r="B843" s="13" t="str">
        <f>IFERROR(__xludf.DUMMYFUNCTION("""COMPUTED_VALUE"""),"будівництво")</f>
        <v>будівництво</v>
      </c>
      <c r="C843" s="15" t="str">
        <f>IFERROR(__xludf.DUMMYFUNCTION("""COMPUTED_VALUE"""),"будівельні матеріали")</f>
        <v>будівельні матеріали</v>
      </c>
      <c r="D843" s="15" t="str">
        <f>IFERROR(__xludf.DUMMYFUNCTION("""COMPUTED_VALUE"""),"в'яжучі матеріали, сухі будівельні суміші")</f>
        <v>в'яжучі матеріали, сухі будівельні суміші</v>
      </c>
      <c r="E843" s="15" t="str">
        <f>IFERROR(__xludf.DUMMYFUNCTION("""COMPUTED_VALUE"""),"в'яжучі матеріали, загальне")</f>
        <v>в'яжучі матеріали, загальне</v>
      </c>
      <c r="F843" s="17">
        <f>IFERROR(__xludf.DUMMYFUNCTION("""COMPUTED_VALUE"""),4.0)</f>
        <v>4</v>
      </c>
      <c r="G843" s="17">
        <f>IFERROR(__xludf.DUMMYFUNCTION("""COMPUTED_VALUE"""),1.3070505E7)</f>
        <v>13070505</v>
      </c>
      <c r="H843" s="17" t="str">
        <f>IFERROR(__xludf.DUMMYFUNCTION("""COMPUTED_VALUE"""),"в'яжучі матеріали, загальне")</f>
        <v>в'яжучі матеріали, загальне</v>
      </c>
      <c r="I843" s="18">
        <f>IFERROR(__xludf.DUMMYFUNCTION("""COMPUTED_VALUE"""),2.16)</f>
        <v>2.16</v>
      </c>
      <c r="J843" s="18">
        <f>IFERROR(__xludf.DUMMYFUNCTION("""COMPUTED_VALUE"""),4.33)</f>
        <v>4.33</v>
      </c>
      <c r="K843" s="18">
        <f>IFERROR(__xludf.DUMMYFUNCTION("""COMPUTED_VALUE"""),5.41)</f>
        <v>5.41</v>
      </c>
      <c r="L843" s="18">
        <f>IFERROR(__xludf.DUMMYFUNCTION("""COMPUTED_VALUE"""),8.65)</f>
        <v>8.65</v>
      </c>
    </row>
    <row r="844">
      <c r="A844" s="13" t="str">
        <f>IFERROR(__xludf.DUMMYFUNCTION("""COMPUTED_VALUE"""),"товари")</f>
        <v>товари</v>
      </c>
      <c r="B844" s="13" t="str">
        <f>IFERROR(__xludf.DUMMYFUNCTION("""COMPUTED_VALUE"""),"будівництво")</f>
        <v>будівництво</v>
      </c>
      <c r="C844" s="15" t="str">
        <f>IFERROR(__xludf.DUMMYFUNCTION("""COMPUTED_VALUE"""),"будівельні матеріали")</f>
        <v>будівельні матеріали</v>
      </c>
      <c r="D844" s="15" t="str">
        <f>IFERROR(__xludf.DUMMYFUNCTION("""COMPUTED_VALUE"""),"пиломатеріали")</f>
        <v>пиломатеріали</v>
      </c>
      <c r="E844" s="15" t="str">
        <f>IFERROR(__xludf.DUMMYFUNCTION("""COMPUTED_VALUE"""),"вагонка")</f>
        <v>вагонка</v>
      </c>
      <c r="F844" s="17">
        <f>IFERROR(__xludf.DUMMYFUNCTION("""COMPUTED_VALUE"""),4.0)</f>
        <v>4</v>
      </c>
      <c r="G844" s="17">
        <f>IFERROR(__xludf.DUMMYFUNCTION("""COMPUTED_VALUE"""),131102.0)</f>
        <v>131102</v>
      </c>
      <c r="H844" s="17" t="str">
        <f>IFERROR(__xludf.DUMMYFUNCTION("""COMPUTED_VALUE"""),"вагонка")</f>
        <v>вагонка</v>
      </c>
      <c r="I844" s="18">
        <f>IFERROR(__xludf.DUMMYFUNCTION("""COMPUTED_VALUE"""),1.44)</f>
        <v>1.44</v>
      </c>
      <c r="J844" s="18">
        <f>IFERROR(__xludf.DUMMYFUNCTION("""COMPUTED_VALUE"""),2.88)</f>
        <v>2.88</v>
      </c>
      <c r="K844" s="18">
        <f>IFERROR(__xludf.DUMMYFUNCTION("""COMPUTED_VALUE"""),3.59)</f>
        <v>3.59</v>
      </c>
      <c r="L844" s="18">
        <f>IFERROR(__xludf.DUMMYFUNCTION("""COMPUTED_VALUE"""),5.75)</f>
        <v>5.75</v>
      </c>
    </row>
    <row r="845">
      <c r="A845" s="13" t="str">
        <f>IFERROR(__xludf.DUMMYFUNCTION("""COMPUTED_VALUE"""),"товари")</f>
        <v>товари</v>
      </c>
      <c r="B845" s="13" t="str">
        <f>IFERROR(__xludf.DUMMYFUNCTION("""COMPUTED_VALUE"""),"будівництво")</f>
        <v>будівництво</v>
      </c>
      <c r="C845" s="15" t="str">
        <f>IFERROR(__xludf.DUMMYFUNCTION("""COMPUTED_VALUE"""),"будівельні матеріали")</f>
        <v>будівельні матеріали</v>
      </c>
      <c r="D845" s="15" t="str">
        <f>IFERROR(__xludf.DUMMYFUNCTION("""COMPUTED_VALUE"""),"в'яжучі матеріали, сухі будівельні суміші")</f>
        <v>в'яжучі матеріали, сухі будівельні суміші</v>
      </c>
      <c r="E845" s="15" t="str">
        <f>IFERROR(__xludf.DUMMYFUNCTION("""COMPUTED_VALUE"""),"вапно")</f>
        <v>вапно</v>
      </c>
      <c r="F845" s="17">
        <f>IFERROR(__xludf.DUMMYFUNCTION("""COMPUTED_VALUE"""),4.0)</f>
        <v>4</v>
      </c>
      <c r="G845" s="17">
        <f>IFERROR(__xludf.DUMMYFUNCTION("""COMPUTED_VALUE"""),90905.0)</f>
        <v>90905</v>
      </c>
      <c r="H845" s="17" t="str">
        <f>IFERROR(__xludf.DUMMYFUNCTION("""COMPUTED_VALUE"""),"вапно")</f>
        <v>вапно</v>
      </c>
      <c r="I845" s="18">
        <f>IFERROR(__xludf.DUMMYFUNCTION("""COMPUTED_VALUE"""),0.86)</f>
        <v>0.86</v>
      </c>
      <c r="J845" s="18">
        <f>IFERROR(__xludf.DUMMYFUNCTION("""COMPUTED_VALUE"""),1.71)</f>
        <v>1.71</v>
      </c>
      <c r="K845" s="18">
        <f>IFERROR(__xludf.DUMMYFUNCTION("""COMPUTED_VALUE"""),2.14)</f>
        <v>2.14</v>
      </c>
      <c r="L845" s="18">
        <f>IFERROR(__xludf.DUMMYFUNCTION("""COMPUTED_VALUE"""),3.43)</f>
        <v>3.43</v>
      </c>
    </row>
    <row r="846">
      <c r="A846" s="13" t="str">
        <f>IFERROR(__xludf.DUMMYFUNCTION("""COMPUTED_VALUE"""),"товари")</f>
        <v>товари</v>
      </c>
      <c r="B846" s="13" t="str">
        <f>IFERROR(__xludf.DUMMYFUNCTION("""COMPUTED_VALUE"""),"будівництво")</f>
        <v>будівництво</v>
      </c>
      <c r="C846" s="15" t="str">
        <f>IFERROR(__xludf.DUMMYFUNCTION("""COMPUTED_VALUE"""),"будівельні матеріали")</f>
        <v>будівельні матеріали</v>
      </c>
      <c r="D846" s="15" t="str">
        <f>IFERROR(__xludf.DUMMYFUNCTION("""COMPUTED_VALUE"""),"залізобетонні вироби")</f>
        <v>залізобетонні вироби</v>
      </c>
      <c r="E846" s="15" t="str">
        <f>IFERROR(__xludf.DUMMYFUNCTION("""COMPUTED_VALUE"""),"вентиляційні залізобетонні блоки")</f>
        <v>вентиляційні залізобетонні блоки</v>
      </c>
      <c r="F846" s="17">
        <f>IFERROR(__xludf.DUMMYFUNCTION("""COMPUTED_VALUE"""),4.0)</f>
        <v>4</v>
      </c>
      <c r="G846" s="17">
        <f>IFERROR(__xludf.DUMMYFUNCTION("""COMPUTED_VALUE"""),1.3070421E7)</f>
        <v>13070421</v>
      </c>
      <c r="H846" s="17" t="str">
        <f>IFERROR(__xludf.DUMMYFUNCTION("""COMPUTED_VALUE"""),"вентиляційні залізобетонні блоки")</f>
        <v>вентиляційні залізобетонні блоки</v>
      </c>
      <c r="I846" s="18">
        <f>IFERROR(__xludf.DUMMYFUNCTION("""COMPUTED_VALUE"""),2.7)</f>
        <v>2.7</v>
      </c>
      <c r="J846" s="18">
        <f>IFERROR(__xludf.DUMMYFUNCTION("""COMPUTED_VALUE"""),5.4)</f>
        <v>5.4</v>
      </c>
      <c r="K846" s="18">
        <f>IFERROR(__xludf.DUMMYFUNCTION("""COMPUTED_VALUE"""),6.75)</f>
        <v>6.75</v>
      </c>
      <c r="L846" s="18">
        <f>IFERROR(__xludf.DUMMYFUNCTION("""COMPUTED_VALUE"""),10.8)</f>
        <v>10.8</v>
      </c>
    </row>
    <row r="847">
      <c r="A847" s="13" t="str">
        <f>IFERROR(__xludf.DUMMYFUNCTION("""COMPUTED_VALUE"""),"товари")</f>
        <v>товари</v>
      </c>
      <c r="B847" s="13" t="str">
        <f>IFERROR(__xludf.DUMMYFUNCTION("""COMPUTED_VALUE"""),"будівництво")</f>
        <v>будівництво</v>
      </c>
      <c r="C847" s="15" t="str">
        <f>IFERROR(__xludf.DUMMYFUNCTION("""COMPUTED_VALUE"""),"будівельна техніка та обладнання")</f>
        <v>будівельна техніка та обладнання</v>
      </c>
      <c r="D847" s="15" t="str">
        <f>IFERROR(__xludf.DUMMYFUNCTION("""COMPUTED_VALUE"""),"машини та обладнання для бетонних робіт")</f>
        <v>машини та обладнання для бетонних робіт</v>
      </c>
      <c r="E847" s="15" t="str">
        <f>IFERROR(__xludf.DUMMYFUNCTION("""COMPUTED_VALUE"""),"віброрейки")</f>
        <v>віброрейки</v>
      </c>
      <c r="F847" s="17">
        <f>IFERROR(__xludf.DUMMYFUNCTION("""COMPUTED_VALUE"""),4.0)</f>
        <v>4</v>
      </c>
      <c r="G847" s="17">
        <f>IFERROR(__xludf.DUMMYFUNCTION("""COMPUTED_VALUE"""),1.3040504E7)</f>
        <v>13040504</v>
      </c>
      <c r="H847" s="17" t="str">
        <f>IFERROR(__xludf.DUMMYFUNCTION("""COMPUTED_VALUE"""),"віброрейки")</f>
        <v>віброрейки</v>
      </c>
      <c r="I847" s="18">
        <f>IFERROR(__xludf.DUMMYFUNCTION("""COMPUTED_VALUE"""),2.18)</f>
        <v>2.18</v>
      </c>
      <c r="J847" s="18">
        <f>IFERROR(__xludf.DUMMYFUNCTION("""COMPUTED_VALUE"""),4.35)</f>
        <v>4.35</v>
      </c>
      <c r="K847" s="18">
        <f>IFERROR(__xludf.DUMMYFUNCTION("""COMPUTED_VALUE"""),5.44)</f>
        <v>5.44</v>
      </c>
      <c r="L847" s="18">
        <f>IFERROR(__xludf.DUMMYFUNCTION("""COMPUTED_VALUE"""),8.7)</f>
        <v>8.7</v>
      </c>
    </row>
    <row r="848">
      <c r="A848" s="13" t="str">
        <f>IFERROR(__xludf.DUMMYFUNCTION("""COMPUTED_VALUE"""),"товари")</f>
        <v>товари</v>
      </c>
      <c r="B848" s="13" t="str">
        <f>IFERROR(__xludf.DUMMYFUNCTION("""COMPUTED_VALUE"""),"будівництво")</f>
        <v>будівництво</v>
      </c>
      <c r="C848" s="15" t="str">
        <f>IFERROR(__xludf.DUMMYFUNCTION("""COMPUTED_VALUE"""),"будівельні матеріали")</f>
        <v>будівельні матеріали</v>
      </c>
      <c r="D848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848" s="15" t="str">
        <f>IFERROR(__xludf.DUMMYFUNCTION("""COMPUTED_VALUE"""),"ворота")</f>
        <v>ворота</v>
      </c>
      <c r="F848" s="17">
        <f>IFERROR(__xludf.DUMMYFUNCTION("""COMPUTED_VALUE"""),4.0)</f>
        <v>4</v>
      </c>
      <c r="G848" s="17">
        <f>IFERROR(__xludf.DUMMYFUNCTION("""COMPUTED_VALUE"""),135602.0)</f>
        <v>135602</v>
      </c>
      <c r="H848" s="17" t="str">
        <f>IFERROR(__xludf.DUMMYFUNCTION("""COMPUTED_VALUE"""),"ворота")</f>
        <v>ворота</v>
      </c>
      <c r="I848" s="18">
        <f>IFERROR(__xludf.DUMMYFUNCTION("""COMPUTED_VALUE"""),2.7)</f>
        <v>2.7</v>
      </c>
      <c r="J848" s="18">
        <f>IFERROR(__xludf.DUMMYFUNCTION("""COMPUTED_VALUE"""),5.4)</f>
        <v>5.4</v>
      </c>
      <c r="K848" s="18">
        <f>IFERROR(__xludf.DUMMYFUNCTION("""COMPUTED_VALUE"""),6.75)</f>
        <v>6.75</v>
      </c>
      <c r="L848" s="18">
        <f>IFERROR(__xludf.DUMMYFUNCTION("""COMPUTED_VALUE"""),10.8)</f>
        <v>10.8</v>
      </c>
    </row>
    <row r="849">
      <c r="A849" s="13" t="str">
        <f>IFERROR(__xludf.DUMMYFUNCTION("""COMPUTED_VALUE"""),"товари")</f>
        <v>товари</v>
      </c>
      <c r="B849" s="13" t="str">
        <f>IFERROR(__xludf.DUMMYFUNCTION("""COMPUTED_VALUE"""),"будівництво")</f>
        <v>будівництво</v>
      </c>
      <c r="C849" s="15" t="str">
        <f>IFERROR(__xludf.DUMMYFUNCTION("""COMPUTED_VALUE"""),"будівельні матеріали")</f>
        <v>будівельні матеріали</v>
      </c>
      <c r="D849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849" s="15" t="str">
        <f>IFERROR(__xludf.DUMMYFUNCTION("""COMPUTED_VALUE"""),"ворота, огорожі, шлагбауми та комплектуючі, загальне")</f>
        <v>ворота, огорожі, шлагбауми та комплектуючі, загальне</v>
      </c>
      <c r="F849" s="17">
        <f>IFERROR(__xludf.DUMMYFUNCTION("""COMPUTED_VALUE"""),4.0)</f>
        <v>4</v>
      </c>
      <c r="G849" s="17">
        <f>IFERROR(__xludf.DUMMYFUNCTION("""COMPUTED_VALUE"""),1.3560904E7)</f>
        <v>13560904</v>
      </c>
      <c r="H849" s="17" t="str">
        <f>IFERROR(__xludf.DUMMYFUNCTION("""COMPUTED_VALUE"""),"ворота, огорожі, шлагбауми та комплектуючі, загальне")</f>
        <v>ворота, огорожі, шлагбауми та комплектуючі, загальне</v>
      </c>
      <c r="I849" s="18">
        <f>IFERROR(__xludf.DUMMYFUNCTION("""COMPUTED_VALUE"""),2.16)</f>
        <v>2.16</v>
      </c>
      <c r="J849" s="18">
        <f>IFERROR(__xludf.DUMMYFUNCTION("""COMPUTED_VALUE"""),4.33)</f>
        <v>4.33</v>
      </c>
      <c r="K849" s="18">
        <f>IFERROR(__xludf.DUMMYFUNCTION("""COMPUTED_VALUE"""),5.41)</f>
        <v>5.41</v>
      </c>
      <c r="L849" s="18">
        <f>IFERROR(__xludf.DUMMYFUNCTION("""COMPUTED_VALUE"""),8.65)</f>
        <v>8.65</v>
      </c>
    </row>
    <row r="850">
      <c r="A850" s="13" t="str">
        <f>IFERROR(__xludf.DUMMYFUNCTION("""COMPUTED_VALUE"""),"товари")</f>
        <v>товари</v>
      </c>
      <c r="B850" s="13" t="str">
        <f>IFERROR(__xludf.DUMMYFUNCTION("""COMPUTED_VALUE"""),"будівництво")</f>
        <v>будівництво</v>
      </c>
      <c r="C850" s="15" t="str">
        <f>IFERROR(__xludf.DUMMYFUNCTION("""COMPUTED_VALUE"""),"будівельні матеріали")</f>
        <v>будівельні матеріали</v>
      </c>
      <c r="D850" s="15" t="str">
        <f>IFERROR(__xludf.DUMMYFUNCTION("""COMPUTED_VALUE"""),"сипкі матеріали")</f>
        <v>сипкі матеріали</v>
      </c>
      <c r="E850" s="15" t="str">
        <f>IFERROR(__xludf.DUMMYFUNCTION("""COMPUTED_VALUE"""),"галька, щебінь, гравій")</f>
        <v>галька, щебінь, гравій</v>
      </c>
      <c r="F850" s="17">
        <f>IFERROR(__xludf.DUMMYFUNCTION("""COMPUTED_VALUE"""),4.0)</f>
        <v>4</v>
      </c>
      <c r="G850" s="17">
        <f>IFERROR(__xludf.DUMMYFUNCTION("""COMPUTED_VALUE"""),131209.0)</f>
        <v>131209</v>
      </c>
      <c r="H850" s="17" t="str">
        <f>IFERROR(__xludf.DUMMYFUNCTION("""COMPUTED_VALUE"""),"галька, щебінь, гравій")</f>
        <v>галька, щебінь, гравій</v>
      </c>
      <c r="I850" s="18">
        <f>IFERROR(__xludf.DUMMYFUNCTION("""COMPUTED_VALUE"""),2.7)</f>
        <v>2.7</v>
      </c>
      <c r="J850" s="18">
        <f>IFERROR(__xludf.DUMMYFUNCTION("""COMPUTED_VALUE"""),5.4)</f>
        <v>5.4</v>
      </c>
      <c r="K850" s="18">
        <f>IFERROR(__xludf.DUMMYFUNCTION("""COMPUTED_VALUE"""),6.75)</f>
        <v>6.75</v>
      </c>
      <c r="L850" s="18">
        <f>IFERROR(__xludf.DUMMYFUNCTION("""COMPUTED_VALUE"""),10.8)</f>
        <v>10.8</v>
      </c>
    </row>
    <row r="851">
      <c r="A851" s="13" t="str">
        <f>IFERROR(__xludf.DUMMYFUNCTION("""COMPUTED_VALUE"""),"товари")</f>
        <v>товари</v>
      </c>
      <c r="B851" s="13" t="str">
        <f>IFERROR(__xludf.DUMMYFUNCTION("""COMPUTED_VALUE"""),"будівництво")</f>
        <v>будівництво</v>
      </c>
      <c r="C851" s="15" t="str">
        <f>IFERROR(__xludf.DUMMYFUNCTION("""COMPUTED_VALUE"""),"будівельні матеріали")</f>
        <v>будівельні матеріали</v>
      </c>
      <c r="D851" s="15" t="str">
        <f>IFERROR(__xludf.DUMMYFUNCTION("""COMPUTED_VALUE"""),"дорожні матеріали")</f>
        <v>дорожні матеріали</v>
      </c>
      <c r="E851" s="15" t="str">
        <f>IFERROR(__xludf.DUMMYFUNCTION("""COMPUTED_VALUE"""),"георешітки і габіони")</f>
        <v>георешітки і габіони</v>
      </c>
      <c r="F851" s="17">
        <f>IFERROR(__xludf.DUMMYFUNCTION("""COMPUTED_VALUE"""),4.0)</f>
        <v>4</v>
      </c>
      <c r="G851" s="17">
        <f>IFERROR(__xludf.DUMMYFUNCTION("""COMPUTED_VALUE"""),1.3072902E7)</f>
        <v>13072902</v>
      </c>
      <c r="H851" s="17" t="str">
        <f>IFERROR(__xludf.DUMMYFUNCTION("""COMPUTED_VALUE"""),"георешітки і габіони")</f>
        <v>георешітки і габіони</v>
      </c>
      <c r="I851" s="18">
        <f>IFERROR(__xludf.DUMMYFUNCTION("""COMPUTED_VALUE"""),0.86)</f>
        <v>0.86</v>
      </c>
      <c r="J851" s="18">
        <f>IFERROR(__xludf.DUMMYFUNCTION("""COMPUTED_VALUE"""),1.71)</f>
        <v>1.71</v>
      </c>
      <c r="K851" s="18">
        <f>IFERROR(__xludf.DUMMYFUNCTION("""COMPUTED_VALUE"""),2.14)</f>
        <v>2.14</v>
      </c>
      <c r="L851" s="18">
        <f>IFERROR(__xludf.DUMMYFUNCTION("""COMPUTED_VALUE"""),3.43)</f>
        <v>3.43</v>
      </c>
    </row>
    <row r="852">
      <c r="A852" s="13" t="str">
        <f>IFERROR(__xludf.DUMMYFUNCTION("""COMPUTED_VALUE"""),"товари")</f>
        <v>товари</v>
      </c>
      <c r="B852" s="13" t="str">
        <f>IFERROR(__xludf.DUMMYFUNCTION("""COMPUTED_VALUE"""),"будівництво")</f>
        <v>будівництво</v>
      </c>
      <c r="C852" s="15" t="str">
        <f>IFERROR(__xludf.DUMMYFUNCTION("""COMPUTED_VALUE"""),"будівельна техніка та обладнання")</f>
        <v>будівельна техніка та обладнання</v>
      </c>
      <c r="D852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852" s="15" t="str">
        <f>IFERROR(__xludf.DUMMYFUNCTION("""COMPUTED_VALUE"""),"гідроманіпулятори")</f>
        <v>гідроманіпулятори</v>
      </c>
      <c r="F852" s="17">
        <f>IFERROR(__xludf.DUMMYFUNCTION("""COMPUTED_VALUE"""),4.0)</f>
        <v>4</v>
      </c>
      <c r="G852" s="17">
        <f>IFERROR(__xludf.DUMMYFUNCTION("""COMPUTED_VALUE"""),1.3040211E7)</f>
        <v>13040211</v>
      </c>
      <c r="H852" s="17" t="str">
        <f>IFERROR(__xludf.DUMMYFUNCTION("""COMPUTED_VALUE"""),"гідроманіпулятори")</f>
        <v>гідроманіпулятори</v>
      </c>
      <c r="I852" s="18">
        <f>IFERROR(__xludf.DUMMYFUNCTION("""COMPUTED_VALUE"""),2.7)</f>
        <v>2.7</v>
      </c>
      <c r="J852" s="18">
        <f>IFERROR(__xludf.DUMMYFUNCTION("""COMPUTED_VALUE"""),5.4)</f>
        <v>5.4</v>
      </c>
      <c r="K852" s="18">
        <f>IFERROR(__xludf.DUMMYFUNCTION("""COMPUTED_VALUE"""),6.75)</f>
        <v>6.75</v>
      </c>
      <c r="L852" s="18">
        <f>IFERROR(__xludf.DUMMYFUNCTION("""COMPUTED_VALUE"""),10.8)</f>
        <v>10.8</v>
      </c>
    </row>
    <row r="853">
      <c r="A853" s="13" t="str">
        <f>IFERROR(__xludf.DUMMYFUNCTION("""COMPUTED_VALUE"""),"товари")</f>
        <v>товари</v>
      </c>
      <c r="B853" s="13" t="str">
        <f>IFERROR(__xludf.DUMMYFUNCTION("""COMPUTED_VALUE"""),"будівництво")</f>
        <v>будівництво</v>
      </c>
      <c r="C853" s="15" t="str">
        <f>IFERROR(__xludf.DUMMYFUNCTION("""COMPUTED_VALUE"""),"будівельні матеріали")</f>
        <v>будівельні матеріали</v>
      </c>
      <c r="D853" s="15" t="str">
        <f>IFERROR(__xludf.DUMMYFUNCTION("""COMPUTED_VALUE"""),"сипкі матеріали")</f>
        <v>сипкі матеріали</v>
      </c>
      <c r="E853" s="15" t="str">
        <f>IFERROR(__xludf.DUMMYFUNCTION("""COMPUTED_VALUE"""),"ґрунт, земля")</f>
        <v>ґрунт, земля</v>
      </c>
      <c r="F853" s="17">
        <f>IFERROR(__xludf.DUMMYFUNCTION("""COMPUTED_VALUE"""),4.0)</f>
        <v>4</v>
      </c>
      <c r="G853" s="17">
        <f>IFERROR(__xludf.DUMMYFUNCTION("""COMPUTED_VALUE"""),1.3070601E7)</f>
        <v>13070601</v>
      </c>
      <c r="H853" s="17" t="str">
        <f>IFERROR(__xludf.DUMMYFUNCTION("""COMPUTED_VALUE"""),"ґрунт, земля")</f>
        <v>ґрунт, земля</v>
      </c>
      <c r="I853" s="18">
        <f>IFERROR(__xludf.DUMMYFUNCTION("""COMPUTED_VALUE"""),2.7)</f>
        <v>2.7</v>
      </c>
      <c r="J853" s="18">
        <f>IFERROR(__xludf.DUMMYFUNCTION("""COMPUTED_VALUE"""),5.4)</f>
        <v>5.4</v>
      </c>
      <c r="K853" s="18">
        <f>IFERROR(__xludf.DUMMYFUNCTION("""COMPUTED_VALUE"""),6.75)</f>
        <v>6.75</v>
      </c>
      <c r="L853" s="18">
        <f>IFERROR(__xludf.DUMMYFUNCTION("""COMPUTED_VALUE"""),10.8)</f>
        <v>10.8</v>
      </c>
    </row>
    <row r="854">
      <c r="A854" s="13" t="str">
        <f>IFERROR(__xludf.DUMMYFUNCTION("""COMPUTED_VALUE"""),"товари")</f>
        <v>товари</v>
      </c>
      <c r="B854" s="13" t="str">
        <f>IFERROR(__xludf.DUMMYFUNCTION("""COMPUTED_VALUE"""),"будівництво")</f>
        <v>будівництво</v>
      </c>
      <c r="C854" s="15" t="str">
        <f>IFERROR(__xludf.DUMMYFUNCTION("""COMPUTED_VALUE"""),"будівельні матеріали")</f>
        <v>будівельні матеріали</v>
      </c>
      <c r="D854" s="15" t="str">
        <f>IFERROR(__xludf.DUMMYFUNCTION("""COMPUTED_VALUE"""),"пиломатеріали")</f>
        <v>пиломатеріали</v>
      </c>
      <c r="E854" s="15" t="str">
        <f>IFERROR(__xludf.DUMMYFUNCTION("""COMPUTED_VALUE"""),"дерев'яні крокви")</f>
        <v>дерев'яні крокви</v>
      </c>
      <c r="F854" s="17">
        <f>IFERROR(__xludf.DUMMYFUNCTION("""COMPUTED_VALUE"""),4.0)</f>
        <v>4</v>
      </c>
      <c r="G854" s="17">
        <f>IFERROR(__xludf.DUMMYFUNCTION("""COMPUTED_VALUE"""),131126.0)</f>
        <v>131126</v>
      </c>
      <c r="H854" s="17" t="str">
        <f>IFERROR(__xludf.DUMMYFUNCTION("""COMPUTED_VALUE"""),"дерев'яні крокви")</f>
        <v>дерев'яні крокви</v>
      </c>
      <c r="I854" s="18">
        <f>IFERROR(__xludf.DUMMYFUNCTION("""COMPUTED_VALUE"""),1.44)</f>
        <v>1.44</v>
      </c>
      <c r="J854" s="18">
        <f>IFERROR(__xludf.DUMMYFUNCTION("""COMPUTED_VALUE"""),2.88)</f>
        <v>2.88</v>
      </c>
      <c r="K854" s="18">
        <f>IFERROR(__xludf.DUMMYFUNCTION("""COMPUTED_VALUE"""),3.59)</f>
        <v>3.59</v>
      </c>
      <c r="L854" s="18">
        <f>IFERROR(__xludf.DUMMYFUNCTION("""COMPUTED_VALUE"""),5.75)</f>
        <v>5.75</v>
      </c>
    </row>
    <row r="855">
      <c r="A855" s="13" t="str">
        <f>IFERROR(__xludf.DUMMYFUNCTION("""COMPUTED_VALUE"""),"товари")</f>
        <v>товари</v>
      </c>
      <c r="B855" s="13" t="str">
        <f>IFERROR(__xludf.DUMMYFUNCTION("""COMPUTED_VALUE"""),"будівництво")</f>
        <v>будівництво</v>
      </c>
      <c r="C855" s="15" t="str">
        <f>IFERROR(__xludf.DUMMYFUNCTION("""COMPUTED_VALUE"""),"будівельні матеріали")</f>
        <v>будівельні матеріали</v>
      </c>
      <c r="D855" s="15" t="str">
        <f>IFERROR(__xludf.DUMMYFUNCTION("""COMPUTED_VALUE"""),"пиломатеріали")</f>
        <v>пиломатеріали</v>
      </c>
      <c r="E855" s="15" t="str">
        <f>IFERROR(__xludf.DUMMYFUNCTION("""COMPUTED_VALUE"""),"дерев'яні таври, двотаври")</f>
        <v>дерев'яні таври, двотаври</v>
      </c>
      <c r="F855" s="17">
        <f>IFERROR(__xludf.DUMMYFUNCTION("""COMPUTED_VALUE"""),4.0)</f>
        <v>4</v>
      </c>
      <c r="G855" s="17">
        <f>IFERROR(__xludf.DUMMYFUNCTION("""COMPUTED_VALUE"""),131119.0)</f>
        <v>131119</v>
      </c>
      <c r="H855" s="17" t="str">
        <f>IFERROR(__xludf.DUMMYFUNCTION("""COMPUTED_VALUE"""),"дерев'яні таври, двотаври")</f>
        <v>дерев'яні таври, двотаври</v>
      </c>
      <c r="I855" s="18">
        <f>IFERROR(__xludf.DUMMYFUNCTION("""COMPUTED_VALUE"""),1.44)</f>
        <v>1.44</v>
      </c>
      <c r="J855" s="18">
        <f>IFERROR(__xludf.DUMMYFUNCTION("""COMPUTED_VALUE"""),2.88)</f>
        <v>2.88</v>
      </c>
      <c r="K855" s="18">
        <f>IFERROR(__xludf.DUMMYFUNCTION("""COMPUTED_VALUE"""),3.59)</f>
        <v>3.59</v>
      </c>
      <c r="L855" s="18">
        <f>IFERROR(__xludf.DUMMYFUNCTION("""COMPUTED_VALUE"""),5.75)</f>
        <v>5.75</v>
      </c>
    </row>
    <row r="856">
      <c r="A856" s="13" t="str">
        <f>IFERROR(__xludf.DUMMYFUNCTION("""COMPUTED_VALUE"""),"товари")</f>
        <v>товари</v>
      </c>
      <c r="B856" s="13" t="str">
        <f>IFERROR(__xludf.DUMMYFUNCTION("""COMPUTED_VALUE"""),"будівництво")</f>
        <v>будівництво</v>
      </c>
      <c r="C856" s="15" t="str">
        <f>IFERROR(__xludf.DUMMYFUNCTION("""COMPUTED_VALUE"""),"будівельні матеріали")</f>
        <v>будівельні матеріали</v>
      </c>
      <c r="D856" s="15" t="str">
        <f>IFERROR(__xludf.DUMMYFUNCTION("""COMPUTED_VALUE"""),"теплоізоляційні матеріали")</f>
        <v>теплоізоляційні матеріали</v>
      </c>
      <c r="E856" s="15" t="str">
        <f>IFERROR(__xludf.DUMMYFUNCTION("""COMPUTED_VALUE"""),"деревний утеплювач, ековата та камка")</f>
        <v>деревний утеплювач, ековата та камка</v>
      </c>
      <c r="F856" s="17">
        <f>IFERROR(__xludf.DUMMYFUNCTION("""COMPUTED_VALUE"""),4.0)</f>
        <v>4</v>
      </c>
      <c r="G856" s="17">
        <f>IFERROR(__xludf.DUMMYFUNCTION("""COMPUTED_VALUE"""),133417.0)</f>
        <v>133417</v>
      </c>
      <c r="H856" s="17" t="str">
        <f>IFERROR(__xludf.DUMMYFUNCTION("""COMPUTED_VALUE"""),"деревний утеплювач, ековата та камка")</f>
        <v>деревний утеплювач, ековата та камка</v>
      </c>
      <c r="I856" s="18">
        <f>IFERROR(__xludf.DUMMYFUNCTION("""COMPUTED_VALUE"""),1.94)</f>
        <v>1.94</v>
      </c>
      <c r="J856" s="18">
        <f>IFERROR(__xludf.DUMMYFUNCTION("""COMPUTED_VALUE"""),3.88)</f>
        <v>3.88</v>
      </c>
      <c r="K856" s="18">
        <f>IFERROR(__xludf.DUMMYFUNCTION("""COMPUTED_VALUE"""),4.84)</f>
        <v>4.84</v>
      </c>
      <c r="L856" s="18">
        <f>IFERROR(__xludf.DUMMYFUNCTION("""COMPUTED_VALUE"""),7.75)</f>
        <v>7.75</v>
      </c>
    </row>
    <row r="857">
      <c r="A857" s="13" t="str">
        <f>IFERROR(__xludf.DUMMYFUNCTION("""COMPUTED_VALUE"""),"товари")</f>
        <v>товари</v>
      </c>
      <c r="B857" s="13" t="str">
        <f>IFERROR(__xludf.DUMMYFUNCTION("""COMPUTED_VALUE"""),"будівництво")</f>
        <v>будівництво</v>
      </c>
      <c r="C857" s="15" t="str">
        <f>IFERROR(__xludf.DUMMYFUNCTION("""COMPUTED_VALUE"""),"вентиляційні системи")</f>
        <v>вентиляційні системи</v>
      </c>
      <c r="D857" s="15" t="str">
        <f>IFERROR(__xludf.DUMMYFUNCTION("""COMPUTED_VALUE"""),"обладнання для димовидалення")</f>
        <v>обладнання для димовидалення</v>
      </c>
      <c r="E857" s="15" t="str">
        <f>IFERROR(__xludf.DUMMYFUNCTION("""COMPUTED_VALUE"""),"димососи")</f>
        <v>димососи</v>
      </c>
      <c r="F857" s="17">
        <f>IFERROR(__xludf.DUMMYFUNCTION("""COMPUTED_VALUE"""),4.0)</f>
        <v>4</v>
      </c>
      <c r="G857" s="17">
        <f>IFERROR(__xludf.DUMMYFUNCTION("""COMPUTED_VALUE"""),142208.0)</f>
        <v>142208</v>
      </c>
      <c r="H857" s="17" t="str">
        <f>IFERROR(__xludf.DUMMYFUNCTION("""COMPUTED_VALUE"""),"димососи")</f>
        <v>димососи</v>
      </c>
      <c r="I857" s="18">
        <f>IFERROR(__xludf.DUMMYFUNCTION("""COMPUTED_VALUE"""),2.44)</f>
        <v>2.44</v>
      </c>
      <c r="J857" s="18">
        <f>IFERROR(__xludf.DUMMYFUNCTION("""COMPUTED_VALUE"""),4.88)</f>
        <v>4.88</v>
      </c>
      <c r="K857" s="18">
        <f>IFERROR(__xludf.DUMMYFUNCTION("""COMPUTED_VALUE"""),6.09)</f>
        <v>6.09</v>
      </c>
      <c r="L857" s="18">
        <f>IFERROR(__xludf.DUMMYFUNCTION("""COMPUTED_VALUE"""),9.75)</f>
        <v>9.75</v>
      </c>
    </row>
    <row r="858">
      <c r="A858" s="13" t="str">
        <f>IFERROR(__xludf.DUMMYFUNCTION("""COMPUTED_VALUE"""),"товари")</f>
        <v>товари</v>
      </c>
      <c r="B858" s="13" t="str">
        <f>IFERROR(__xludf.DUMMYFUNCTION("""COMPUTED_VALUE"""),"будівництво")</f>
        <v>будівництво</v>
      </c>
      <c r="C858" s="15" t="str">
        <f>IFERROR(__xludf.DUMMYFUNCTION("""COMPUTED_VALUE"""),"будівельна техніка та обладнання")</f>
        <v>будівельна техніка та обладнання</v>
      </c>
      <c r="D858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858" s="15" t="str">
        <f>IFERROR(__xludf.DUMMYFUNCTION("""COMPUTED_VALUE"""),"дорожньо-будівельні машини та обладнання, загальне")</f>
        <v>дорожньо-будівельні машини та обладнання, загальне</v>
      </c>
      <c r="F858" s="17">
        <f>IFERROR(__xludf.DUMMYFUNCTION("""COMPUTED_VALUE"""),4.0)</f>
        <v>4</v>
      </c>
      <c r="G858" s="17">
        <f>IFERROR(__xludf.DUMMYFUNCTION("""COMPUTED_VALUE"""),1.3040403E7)</f>
        <v>13040403</v>
      </c>
      <c r="H858" s="17" t="str">
        <f>IFERROR(__xludf.DUMMYFUNCTION("""COMPUTED_VALUE"""),"дорожньо-будівельні машини та обладнання, загальне")</f>
        <v>дорожньо-будівельні машини та обладнання, загальне</v>
      </c>
      <c r="I858" s="18">
        <f>IFERROR(__xludf.DUMMYFUNCTION("""COMPUTED_VALUE"""),2.16)</f>
        <v>2.16</v>
      </c>
      <c r="J858" s="18">
        <f>IFERROR(__xludf.DUMMYFUNCTION("""COMPUTED_VALUE"""),4.33)</f>
        <v>4.33</v>
      </c>
      <c r="K858" s="18">
        <f>IFERROR(__xludf.DUMMYFUNCTION("""COMPUTED_VALUE"""),5.41)</f>
        <v>5.41</v>
      </c>
      <c r="L858" s="18">
        <f>IFERROR(__xludf.DUMMYFUNCTION("""COMPUTED_VALUE"""),8.65)</f>
        <v>8.65</v>
      </c>
    </row>
    <row r="859">
      <c r="A859" s="13" t="str">
        <f>IFERROR(__xludf.DUMMYFUNCTION("""COMPUTED_VALUE"""),"товари")</f>
        <v>товари</v>
      </c>
      <c r="B859" s="13" t="str">
        <f>IFERROR(__xludf.DUMMYFUNCTION("""COMPUTED_VALUE"""),"будівництво")</f>
        <v>будівництво</v>
      </c>
      <c r="C859" s="15" t="str">
        <f>IFERROR(__xludf.DUMMYFUNCTION("""COMPUTED_VALUE"""),"будівельні матеріали")</f>
        <v>будівельні матеріали</v>
      </c>
      <c r="D859" s="15" t="str">
        <f>IFERROR(__xludf.DUMMYFUNCTION("""COMPUTED_VALUE"""),"пиломатеріали")</f>
        <v>пиломатеріали</v>
      </c>
      <c r="E859" s="15" t="str">
        <f>IFERROR(__xludf.DUMMYFUNCTION("""COMPUTED_VALUE"""),"дрова")</f>
        <v>дрова</v>
      </c>
      <c r="F859" s="17">
        <f>IFERROR(__xludf.DUMMYFUNCTION("""COMPUTED_VALUE"""),4.0)</f>
        <v>4</v>
      </c>
      <c r="G859" s="17">
        <f>IFERROR(__xludf.DUMMYFUNCTION("""COMPUTED_VALUE"""),131124.0)</f>
        <v>131124</v>
      </c>
      <c r="H859" s="17" t="str">
        <f>IFERROR(__xludf.DUMMYFUNCTION("""COMPUTED_VALUE"""),"дрова")</f>
        <v>дрова</v>
      </c>
      <c r="I859" s="18">
        <f>IFERROR(__xludf.DUMMYFUNCTION("""COMPUTED_VALUE"""),1.44)</f>
        <v>1.44</v>
      </c>
      <c r="J859" s="18">
        <f>IFERROR(__xludf.DUMMYFUNCTION("""COMPUTED_VALUE"""),2.88)</f>
        <v>2.88</v>
      </c>
      <c r="K859" s="18">
        <f>IFERROR(__xludf.DUMMYFUNCTION("""COMPUTED_VALUE"""),3.59)</f>
        <v>3.59</v>
      </c>
      <c r="L859" s="18">
        <f>IFERROR(__xludf.DUMMYFUNCTION("""COMPUTED_VALUE"""),5.75)</f>
        <v>5.75</v>
      </c>
    </row>
    <row r="860">
      <c r="A860" s="13" t="str">
        <f>IFERROR(__xludf.DUMMYFUNCTION("""COMPUTED_VALUE"""),"товари")</f>
        <v>товари</v>
      </c>
      <c r="B860" s="13" t="str">
        <f>IFERROR(__xludf.DUMMYFUNCTION("""COMPUTED_VALUE"""),"будівництво")</f>
        <v>будівництво</v>
      </c>
      <c r="C860" s="15" t="str">
        <f>IFERROR(__xludf.DUMMYFUNCTION("""COMPUTED_VALUE"""),"будівельна техніка та обладнання")</f>
        <v>будівельна техніка та обладнання</v>
      </c>
      <c r="D860" s="15" t="str">
        <f>IFERROR(__xludf.DUMMYFUNCTION("""COMPUTED_VALUE"""),"машини та обладнання для земляних робіт")</f>
        <v>машини та обладнання для земляних робіт</v>
      </c>
      <c r="E860" s="15" t="str">
        <f>IFERROR(__xludf.DUMMYFUNCTION("""COMPUTED_VALUE"""),"екскаватори")</f>
        <v>екскаватори</v>
      </c>
      <c r="F860" s="17">
        <f>IFERROR(__xludf.DUMMYFUNCTION("""COMPUTED_VALUE"""),4.0)</f>
        <v>4</v>
      </c>
      <c r="G860" s="17">
        <f>IFERROR(__xludf.DUMMYFUNCTION("""COMPUTED_VALUE"""),132606.0)</f>
        <v>132606</v>
      </c>
      <c r="H860" s="17" t="str">
        <f>IFERROR(__xludf.DUMMYFUNCTION("""COMPUTED_VALUE"""),"екскаватори")</f>
        <v>екскаватори</v>
      </c>
      <c r="I860" s="18">
        <f>IFERROR(__xludf.DUMMYFUNCTION("""COMPUTED_VALUE"""),2.4)</f>
        <v>2.4</v>
      </c>
      <c r="J860" s="18">
        <f>IFERROR(__xludf.DUMMYFUNCTION("""COMPUTED_VALUE"""),4.8)</f>
        <v>4.8</v>
      </c>
      <c r="K860" s="18">
        <f>IFERROR(__xludf.DUMMYFUNCTION("""COMPUTED_VALUE"""),6.0)</f>
        <v>6</v>
      </c>
      <c r="L860" s="18">
        <f>IFERROR(__xludf.DUMMYFUNCTION("""COMPUTED_VALUE"""),9.6)</f>
        <v>9.6</v>
      </c>
    </row>
    <row r="861">
      <c r="A861" s="13" t="str">
        <f>IFERROR(__xludf.DUMMYFUNCTION("""COMPUTED_VALUE"""),"товари")</f>
        <v>товари</v>
      </c>
      <c r="B861" s="13" t="str">
        <f>IFERROR(__xludf.DUMMYFUNCTION("""COMPUTED_VALUE"""),"будівництво")</f>
        <v>будівництво</v>
      </c>
      <c r="C861" s="15" t="str">
        <f>IFERROR(__xludf.DUMMYFUNCTION("""COMPUTED_VALUE"""),"будівельна техніка та обладнання")</f>
        <v>будівельна техніка та обладнання</v>
      </c>
      <c r="D861" s="15" t="str">
        <f>IFERROR(__xludf.DUMMYFUNCTION("""COMPUTED_VALUE"""),"ліфтове обладнання")</f>
        <v>ліфтове обладнання</v>
      </c>
      <c r="E861" s="15" t="str">
        <f>IFERROR(__xludf.DUMMYFUNCTION("""COMPUTED_VALUE"""),"ескалатори, траволатори")</f>
        <v>ескалатори, траволатори</v>
      </c>
      <c r="F861" s="17">
        <f>IFERROR(__xludf.DUMMYFUNCTION("""COMPUTED_VALUE"""),4.0)</f>
        <v>4</v>
      </c>
      <c r="G861" s="17">
        <f>IFERROR(__xludf.DUMMYFUNCTION("""COMPUTED_VALUE"""),1.3041001E7)</f>
        <v>13041001</v>
      </c>
      <c r="H861" s="17" t="str">
        <f>IFERROR(__xludf.DUMMYFUNCTION("""COMPUTED_VALUE"""),"ескалатори, траволатори")</f>
        <v>ескалатори, траволатори</v>
      </c>
      <c r="I861" s="18">
        <f>IFERROR(__xludf.DUMMYFUNCTION("""COMPUTED_VALUE"""),2.18)</f>
        <v>2.18</v>
      </c>
      <c r="J861" s="18">
        <f>IFERROR(__xludf.DUMMYFUNCTION("""COMPUTED_VALUE"""),4.35)</f>
        <v>4.35</v>
      </c>
      <c r="K861" s="18">
        <f>IFERROR(__xludf.DUMMYFUNCTION("""COMPUTED_VALUE"""),5.44)</f>
        <v>5.44</v>
      </c>
      <c r="L861" s="18">
        <f>IFERROR(__xludf.DUMMYFUNCTION("""COMPUTED_VALUE"""),8.7)</f>
        <v>8.7</v>
      </c>
    </row>
    <row r="862">
      <c r="A862" s="13" t="str">
        <f>IFERROR(__xludf.DUMMYFUNCTION("""COMPUTED_VALUE"""),"товари")</f>
        <v>товари</v>
      </c>
      <c r="B862" s="13" t="str">
        <f>IFERROR(__xludf.DUMMYFUNCTION("""COMPUTED_VALUE"""),"будівництво")</f>
        <v>будівництво</v>
      </c>
      <c r="C862" s="15" t="str">
        <f>IFERROR(__xludf.DUMMYFUNCTION("""COMPUTED_VALUE"""),"будівельні матеріали")</f>
        <v>будівельні матеріали</v>
      </c>
      <c r="D862" s="15" t="str">
        <f>IFERROR(__xludf.DUMMYFUNCTION("""COMPUTED_VALUE"""),"залізобетонні вироби")</f>
        <v>залізобетонні вироби</v>
      </c>
      <c r="E862" s="15" t="str">
        <f>IFERROR(__xludf.DUMMYFUNCTION("""COMPUTED_VALUE"""),"залізобетонні вироби, загальне")</f>
        <v>залізобетонні вироби, загальне</v>
      </c>
      <c r="F862" s="17">
        <f>IFERROR(__xludf.DUMMYFUNCTION("""COMPUTED_VALUE"""),4.0)</f>
        <v>4</v>
      </c>
      <c r="G862" s="17">
        <f>IFERROR(__xludf.DUMMYFUNCTION("""COMPUTED_VALUE"""),1.3070406E7)</f>
        <v>13070406</v>
      </c>
      <c r="H862" s="17" t="str">
        <f>IFERROR(__xludf.DUMMYFUNCTION("""COMPUTED_VALUE"""),"залізобетонні вироби, загальне")</f>
        <v>залізобетонні вироби, загальне</v>
      </c>
      <c r="I862" s="18">
        <f>IFERROR(__xludf.DUMMYFUNCTION("""COMPUTED_VALUE"""),2.16)</f>
        <v>2.16</v>
      </c>
      <c r="J862" s="18">
        <f>IFERROR(__xludf.DUMMYFUNCTION("""COMPUTED_VALUE"""),4.33)</f>
        <v>4.33</v>
      </c>
      <c r="K862" s="18">
        <f>IFERROR(__xludf.DUMMYFUNCTION("""COMPUTED_VALUE"""),5.41)</f>
        <v>5.41</v>
      </c>
      <c r="L862" s="18">
        <f>IFERROR(__xludf.DUMMYFUNCTION("""COMPUTED_VALUE"""),8.65)</f>
        <v>8.65</v>
      </c>
    </row>
    <row r="863">
      <c r="A863" s="13" t="str">
        <f>IFERROR(__xludf.DUMMYFUNCTION("""COMPUTED_VALUE"""),"товари")</f>
        <v>товари</v>
      </c>
      <c r="B863" s="13" t="str">
        <f>IFERROR(__xludf.DUMMYFUNCTION("""COMPUTED_VALUE"""),"будівництво")</f>
        <v>будівництво</v>
      </c>
      <c r="C863" s="15" t="str">
        <f>IFERROR(__xludf.DUMMYFUNCTION("""COMPUTED_VALUE"""),"будівельні матеріали")</f>
        <v>будівельні матеріали</v>
      </c>
      <c r="D863" s="15" t="str">
        <f>IFERROR(__xludf.DUMMYFUNCTION("""COMPUTED_VALUE"""),"залізобетонні вироби")</f>
        <v>залізобетонні вироби</v>
      </c>
      <c r="E863" s="15" t="str">
        <f>IFERROR(__xludf.DUMMYFUNCTION("""COMPUTED_VALUE"""),"залізобетонні кабельні, телефонні колодязі")</f>
        <v>залізобетонні кабельні, телефонні колодязі</v>
      </c>
      <c r="F863" s="17">
        <f>IFERROR(__xludf.DUMMYFUNCTION("""COMPUTED_VALUE"""),4.0)</f>
        <v>4</v>
      </c>
      <c r="G863" s="17">
        <f>IFERROR(__xludf.DUMMYFUNCTION("""COMPUTED_VALUE"""),1.3070414E7)</f>
        <v>13070414</v>
      </c>
      <c r="H863" s="17" t="str">
        <f>IFERROR(__xludf.DUMMYFUNCTION("""COMPUTED_VALUE"""),"залізобетонні кабельні, телефонні колодязі")</f>
        <v>залізобетонні кабельні, телефонні колодязі</v>
      </c>
      <c r="I863" s="18">
        <f>IFERROR(__xludf.DUMMYFUNCTION("""COMPUTED_VALUE"""),2.7)</f>
        <v>2.7</v>
      </c>
      <c r="J863" s="18">
        <f>IFERROR(__xludf.DUMMYFUNCTION("""COMPUTED_VALUE"""),5.4)</f>
        <v>5.4</v>
      </c>
      <c r="K863" s="18">
        <f>IFERROR(__xludf.DUMMYFUNCTION("""COMPUTED_VALUE"""),6.75)</f>
        <v>6.75</v>
      </c>
      <c r="L863" s="18">
        <f>IFERROR(__xludf.DUMMYFUNCTION("""COMPUTED_VALUE"""),10.8)</f>
        <v>10.8</v>
      </c>
    </row>
    <row r="864">
      <c r="A864" s="13" t="str">
        <f>IFERROR(__xludf.DUMMYFUNCTION("""COMPUTED_VALUE"""),"товари")</f>
        <v>товари</v>
      </c>
      <c r="B864" s="13" t="str">
        <f>IFERROR(__xludf.DUMMYFUNCTION("""COMPUTED_VALUE"""),"будівництво")</f>
        <v>будівництво</v>
      </c>
      <c r="C864" s="15" t="str">
        <f>IFERROR(__xludf.DUMMYFUNCTION("""COMPUTED_VALUE"""),"будівельні матеріали")</f>
        <v>будівельні матеріали</v>
      </c>
      <c r="D864" s="15" t="str">
        <f>IFERROR(__xludf.DUMMYFUNCTION("""COMPUTED_VALUE"""),"залізобетонні вироби")</f>
        <v>залізобетонні вироби</v>
      </c>
      <c r="E864" s="15" t="str">
        <f>IFERROR(__xludf.DUMMYFUNCTION("""COMPUTED_VALUE"""),"залізобетонні кільця, кришки і днища")</f>
        <v>залізобетонні кільця, кришки і днища</v>
      </c>
      <c r="F864" s="17">
        <f>IFERROR(__xludf.DUMMYFUNCTION("""COMPUTED_VALUE"""),4.0)</f>
        <v>4</v>
      </c>
      <c r="G864" s="17">
        <f>IFERROR(__xludf.DUMMYFUNCTION("""COMPUTED_VALUE"""),1.3240505E7)</f>
        <v>13240505</v>
      </c>
      <c r="H864" s="17" t="str">
        <f>IFERROR(__xludf.DUMMYFUNCTION("""COMPUTED_VALUE"""),"залізобетонні кільця, кришки і днища")</f>
        <v>залізобетонні кільця, кришки і днища</v>
      </c>
      <c r="I864" s="18">
        <f>IFERROR(__xludf.DUMMYFUNCTION("""COMPUTED_VALUE"""),2.7)</f>
        <v>2.7</v>
      </c>
      <c r="J864" s="18">
        <f>IFERROR(__xludf.DUMMYFUNCTION("""COMPUTED_VALUE"""),5.4)</f>
        <v>5.4</v>
      </c>
      <c r="K864" s="18">
        <f>IFERROR(__xludf.DUMMYFUNCTION("""COMPUTED_VALUE"""),6.75)</f>
        <v>6.75</v>
      </c>
      <c r="L864" s="18">
        <f>IFERROR(__xludf.DUMMYFUNCTION("""COMPUTED_VALUE"""),10.8)</f>
        <v>10.8</v>
      </c>
    </row>
    <row r="865">
      <c r="A865" s="13" t="str">
        <f>IFERROR(__xludf.DUMMYFUNCTION("""COMPUTED_VALUE"""),"товари")</f>
        <v>товари</v>
      </c>
      <c r="B865" s="13" t="str">
        <f>IFERROR(__xludf.DUMMYFUNCTION("""COMPUTED_VALUE"""),"будівництво")</f>
        <v>будівництво</v>
      </c>
      <c r="C865" s="15" t="str">
        <f>IFERROR(__xludf.DUMMYFUNCTION("""COMPUTED_VALUE"""),"будівельні матеріали")</f>
        <v>будівельні матеріали</v>
      </c>
      <c r="D865" s="15" t="str">
        <f>IFERROR(__xludf.DUMMYFUNCTION("""COMPUTED_VALUE"""),"залізобетонні вироби")</f>
        <v>залізобетонні вироби</v>
      </c>
      <c r="E865" s="15" t="str">
        <f>IFERROR(__xludf.DUMMYFUNCTION("""COMPUTED_VALUE"""),"залізобетонні палі")</f>
        <v>залізобетонні палі</v>
      </c>
      <c r="F865" s="17">
        <f>IFERROR(__xludf.DUMMYFUNCTION("""COMPUTED_VALUE"""),4.0)</f>
        <v>4</v>
      </c>
      <c r="G865" s="17">
        <f>IFERROR(__xludf.DUMMYFUNCTION("""COMPUTED_VALUE"""),1.3070408E7)</f>
        <v>13070408</v>
      </c>
      <c r="H865" s="17" t="str">
        <f>IFERROR(__xludf.DUMMYFUNCTION("""COMPUTED_VALUE"""),"залізобетонні палі")</f>
        <v>залізобетонні палі</v>
      </c>
      <c r="I865" s="18">
        <f>IFERROR(__xludf.DUMMYFUNCTION("""COMPUTED_VALUE"""),2.7)</f>
        <v>2.7</v>
      </c>
      <c r="J865" s="18">
        <f>IFERROR(__xludf.DUMMYFUNCTION("""COMPUTED_VALUE"""),5.4)</f>
        <v>5.4</v>
      </c>
      <c r="K865" s="18">
        <f>IFERROR(__xludf.DUMMYFUNCTION("""COMPUTED_VALUE"""),6.75)</f>
        <v>6.75</v>
      </c>
      <c r="L865" s="18">
        <f>IFERROR(__xludf.DUMMYFUNCTION("""COMPUTED_VALUE"""),10.8)</f>
        <v>10.8</v>
      </c>
    </row>
    <row r="866">
      <c r="A866" s="13" t="str">
        <f>IFERROR(__xludf.DUMMYFUNCTION("""COMPUTED_VALUE"""),"товари")</f>
        <v>товари</v>
      </c>
      <c r="B866" s="13" t="str">
        <f>IFERROR(__xludf.DUMMYFUNCTION("""COMPUTED_VALUE"""),"будівництво")</f>
        <v>будівництво</v>
      </c>
      <c r="C866" s="15" t="str">
        <f>IFERROR(__xludf.DUMMYFUNCTION("""COMPUTED_VALUE"""),"будівельні матеріали")</f>
        <v>будівельні матеріали</v>
      </c>
      <c r="D866" s="15" t="str">
        <f>IFERROR(__xludf.DUMMYFUNCTION("""COMPUTED_VALUE"""),"залізобетонні вироби")</f>
        <v>залізобетонні вироби</v>
      </c>
      <c r="E866" s="15" t="str">
        <f>IFERROR(__xludf.DUMMYFUNCTION("""COMPUTED_VALUE"""),"залізобетонні перемички")</f>
        <v>залізобетонні перемички</v>
      </c>
      <c r="F866" s="17">
        <f>IFERROR(__xludf.DUMMYFUNCTION("""COMPUTED_VALUE"""),4.0)</f>
        <v>4</v>
      </c>
      <c r="G866" s="17">
        <f>IFERROR(__xludf.DUMMYFUNCTION("""COMPUTED_VALUE"""),1.3070412E7)</f>
        <v>13070412</v>
      </c>
      <c r="H866" s="17" t="str">
        <f>IFERROR(__xludf.DUMMYFUNCTION("""COMPUTED_VALUE"""),"залізобетонні перемички")</f>
        <v>залізобетонні перемички</v>
      </c>
      <c r="I866" s="18">
        <f>IFERROR(__xludf.DUMMYFUNCTION("""COMPUTED_VALUE"""),2.7)</f>
        <v>2.7</v>
      </c>
      <c r="J866" s="18">
        <f>IFERROR(__xludf.DUMMYFUNCTION("""COMPUTED_VALUE"""),5.4)</f>
        <v>5.4</v>
      </c>
      <c r="K866" s="18">
        <f>IFERROR(__xludf.DUMMYFUNCTION("""COMPUTED_VALUE"""),6.75)</f>
        <v>6.75</v>
      </c>
      <c r="L866" s="18">
        <f>IFERROR(__xludf.DUMMYFUNCTION("""COMPUTED_VALUE"""),10.8)</f>
        <v>10.8</v>
      </c>
    </row>
    <row r="867">
      <c r="A867" s="13" t="str">
        <f>IFERROR(__xludf.DUMMYFUNCTION("""COMPUTED_VALUE"""),"товари")</f>
        <v>товари</v>
      </c>
      <c r="B867" s="13" t="str">
        <f>IFERROR(__xludf.DUMMYFUNCTION("""COMPUTED_VALUE"""),"будівництво")</f>
        <v>будівництво</v>
      </c>
      <c r="C867" s="15" t="str">
        <f>IFERROR(__xludf.DUMMYFUNCTION("""COMPUTED_VALUE"""),"будівельні матеріали")</f>
        <v>будівельні матеріали</v>
      </c>
      <c r="D867" s="15" t="str">
        <f>IFERROR(__xludf.DUMMYFUNCTION("""COMPUTED_VALUE"""),"залізобетонні вироби")</f>
        <v>залізобетонні вироби</v>
      </c>
      <c r="E867" s="15" t="str">
        <f>IFERROR(__xludf.DUMMYFUNCTION("""COMPUTED_VALUE"""),"залізобетонні прогони")</f>
        <v>залізобетонні прогони</v>
      </c>
      <c r="F867" s="17">
        <f>IFERROR(__xludf.DUMMYFUNCTION("""COMPUTED_VALUE"""),4.0)</f>
        <v>4</v>
      </c>
      <c r="G867" s="17">
        <f>IFERROR(__xludf.DUMMYFUNCTION("""COMPUTED_VALUE"""),1.3070418E7)</f>
        <v>13070418</v>
      </c>
      <c r="H867" s="17" t="str">
        <f>IFERROR(__xludf.DUMMYFUNCTION("""COMPUTED_VALUE"""),"залізобетонні прогони")</f>
        <v>залізобетонні прогони</v>
      </c>
      <c r="I867" s="18">
        <f>IFERROR(__xludf.DUMMYFUNCTION("""COMPUTED_VALUE"""),2.7)</f>
        <v>2.7</v>
      </c>
      <c r="J867" s="18">
        <f>IFERROR(__xludf.DUMMYFUNCTION("""COMPUTED_VALUE"""),5.4)</f>
        <v>5.4</v>
      </c>
      <c r="K867" s="18">
        <f>IFERROR(__xludf.DUMMYFUNCTION("""COMPUTED_VALUE"""),6.75)</f>
        <v>6.75</v>
      </c>
      <c r="L867" s="18">
        <f>IFERROR(__xludf.DUMMYFUNCTION("""COMPUTED_VALUE"""),10.8)</f>
        <v>10.8</v>
      </c>
    </row>
    <row r="868">
      <c r="A868" s="13" t="str">
        <f>IFERROR(__xludf.DUMMYFUNCTION("""COMPUTED_VALUE"""),"товари")</f>
        <v>товари</v>
      </c>
      <c r="B868" s="13" t="str">
        <f>IFERROR(__xludf.DUMMYFUNCTION("""COMPUTED_VALUE"""),"будівництво")</f>
        <v>будівництво</v>
      </c>
      <c r="C868" s="15" t="str">
        <f>IFERROR(__xludf.DUMMYFUNCTION("""COMPUTED_VALUE"""),"водо-, газо-, теплозабезпечення")</f>
        <v>водо-, газо-, теплозабезпечення</v>
      </c>
      <c r="D868" s="15" t="str">
        <f>IFERROR(__xludf.DUMMYFUNCTION("""COMPUTED_VALUE"""),"запірна арматура")</f>
        <v>запірна арматура</v>
      </c>
      <c r="E868" s="15" t="str">
        <f>IFERROR(__xludf.DUMMYFUNCTION("""COMPUTED_VALUE"""),"запірна арматура, загальне")</f>
        <v>запірна арматура, загальне</v>
      </c>
      <c r="F868" s="17">
        <f>IFERROR(__xludf.DUMMYFUNCTION("""COMPUTED_VALUE"""),4.0)</f>
        <v>4</v>
      </c>
      <c r="G868" s="17">
        <f>IFERROR(__xludf.DUMMYFUNCTION("""COMPUTED_VALUE"""),1.3100604E7)</f>
        <v>13100604</v>
      </c>
      <c r="H868" s="17" t="str">
        <f>IFERROR(__xludf.DUMMYFUNCTION("""COMPUTED_VALUE"""),"запірна арматура, загальне")</f>
        <v>запірна арматура, загальне</v>
      </c>
      <c r="I868" s="18">
        <f>IFERROR(__xludf.DUMMYFUNCTION("""COMPUTED_VALUE"""),2.16)</f>
        <v>2.16</v>
      </c>
      <c r="J868" s="18">
        <f>IFERROR(__xludf.DUMMYFUNCTION("""COMPUTED_VALUE"""),4.33)</f>
        <v>4.33</v>
      </c>
      <c r="K868" s="18">
        <f>IFERROR(__xludf.DUMMYFUNCTION("""COMPUTED_VALUE"""),5.41)</f>
        <v>5.41</v>
      </c>
      <c r="L868" s="18">
        <f>IFERROR(__xludf.DUMMYFUNCTION("""COMPUTED_VALUE"""),8.65)</f>
        <v>8.65</v>
      </c>
    </row>
    <row r="869">
      <c r="A869" s="13" t="str">
        <f>IFERROR(__xludf.DUMMYFUNCTION("""COMPUTED_VALUE"""),"товари")</f>
        <v>товари</v>
      </c>
      <c r="B869" s="13" t="str">
        <f>IFERROR(__xludf.DUMMYFUNCTION("""COMPUTED_VALUE"""),"будівництво")</f>
        <v>будівництво</v>
      </c>
      <c r="C869" s="15" t="str">
        <f>IFERROR(__xludf.DUMMYFUNCTION("""COMPUTED_VALUE"""),"водо-, газо-, теплозабезпечення")</f>
        <v>водо-, газо-, теплозабезпечення</v>
      </c>
      <c r="D869" s="15" t="str">
        <f>IFERROR(__xludf.DUMMYFUNCTION("""COMPUTED_VALUE"""),"запірна арматура")</f>
        <v>запірна арматура</v>
      </c>
      <c r="E869" s="15" t="str">
        <f>IFERROR(__xludf.DUMMYFUNCTION("""COMPUTED_VALUE"""),"запірні вантузи")</f>
        <v>запірні вантузи</v>
      </c>
      <c r="F869" s="17">
        <f>IFERROR(__xludf.DUMMYFUNCTION("""COMPUTED_VALUE"""),4.0)</f>
        <v>4</v>
      </c>
      <c r="G869" s="17">
        <f>IFERROR(__xludf.DUMMYFUNCTION("""COMPUTED_VALUE"""),1.310063E7)</f>
        <v>13100630</v>
      </c>
      <c r="H869" s="17" t="str">
        <f>IFERROR(__xludf.DUMMYFUNCTION("""COMPUTED_VALUE"""),"запірні вантузи")</f>
        <v>запірні вантузи</v>
      </c>
      <c r="I869" s="18">
        <f>IFERROR(__xludf.DUMMYFUNCTION("""COMPUTED_VALUE"""),0.86)</f>
        <v>0.86</v>
      </c>
      <c r="J869" s="18">
        <f>IFERROR(__xludf.DUMMYFUNCTION("""COMPUTED_VALUE"""),1.71)</f>
        <v>1.71</v>
      </c>
      <c r="K869" s="18">
        <f>IFERROR(__xludf.DUMMYFUNCTION("""COMPUTED_VALUE"""),2.14)</f>
        <v>2.14</v>
      </c>
      <c r="L869" s="18">
        <f>IFERROR(__xludf.DUMMYFUNCTION("""COMPUTED_VALUE"""),3.43)</f>
        <v>3.43</v>
      </c>
    </row>
    <row r="870">
      <c r="A870" s="13" t="str">
        <f>IFERROR(__xludf.DUMMYFUNCTION("""COMPUTED_VALUE"""),"товари")</f>
        <v>товари</v>
      </c>
      <c r="B870" s="13" t="str">
        <f>IFERROR(__xludf.DUMMYFUNCTION("""COMPUTED_VALUE"""),"будівництво")</f>
        <v>будівництво</v>
      </c>
      <c r="C870" s="15" t="str">
        <f>IFERROR(__xludf.DUMMYFUNCTION("""COMPUTED_VALUE"""),"вентиляційні системи")</f>
        <v>вентиляційні системи</v>
      </c>
      <c r="D870" s="15" t="str">
        <f>IFERROR(__xludf.DUMMYFUNCTION("""COMPUTED_VALUE"""),"збірники повітря")</f>
        <v>збірники повітря</v>
      </c>
      <c r="E870" s="15" t="str">
        <f>IFERROR(__xludf.DUMMYFUNCTION("""COMPUTED_VALUE"""),"збірники повітря")</f>
        <v>збірники повітря</v>
      </c>
      <c r="F870" s="17">
        <f>IFERROR(__xludf.DUMMYFUNCTION("""COMPUTED_VALUE"""),3.0)</f>
        <v>3</v>
      </c>
      <c r="G870" s="17">
        <f>IFERROR(__xludf.DUMMYFUNCTION("""COMPUTED_VALUE"""),142206.0)</f>
        <v>142206</v>
      </c>
      <c r="H870" s="17" t="str">
        <f>IFERROR(__xludf.DUMMYFUNCTION("""COMPUTED_VALUE"""),"збірники повітря")</f>
        <v>збірники повітря</v>
      </c>
      <c r="I870" s="18">
        <f>IFERROR(__xludf.DUMMYFUNCTION("""COMPUTED_VALUE"""),1.94)</f>
        <v>1.94</v>
      </c>
      <c r="J870" s="18">
        <f>IFERROR(__xludf.DUMMYFUNCTION("""COMPUTED_VALUE"""),3.88)</f>
        <v>3.88</v>
      </c>
      <c r="K870" s="18">
        <f>IFERROR(__xludf.DUMMYFUNCTION("""COMPUTED_VALUE"""),4.84)</f>
        <v>4.84</v>
      </c>
      <c r="L870" s="18">
        <f>IFERROR(__xludf.DUMMYFUNCTION("""COMPUTED_VALUE"""),7.75)</f>
        <v>7.75</v>
      </c>
    </row>
    <row r="871">
      <c r="A871" s="13" t="str">
        <f>IFERROR(__xludf.DUMMYFUNCTION("""COMPUTED_VALUE"""),"товари")</f>
        <v>товари</v>
      </c>
      <c r="B871" s="13" t="str">
        <f>IFERROR(__xludf.DUMMYFUNCTION("""COMPUTED_VALUE"""),"будівництво")</f>
        <v>будівництво</v>
      </c>
      <c r="C871" s="15" t="str">
        <f>IFERROR(__xludf.DUMMYFUNCTION("""COMPUTED_VALUE"""),"будівельна техніка та обладнання")</f>
        <v>будівельна техніка та обладнання</v>
      </c>
      <c r="D871" s="15" t="str">
        <f>IFERROR(__xludf.DUMMYFUNCTION("""COMPUTED_VALUE"""),"машини та обладнання для земляних робіт")</f>
        <v>машини та обладнання для земляних робіт</v>
      </c>
      <c r="E871" s="15" t="str">
        <f>IFERROR(__xludf.DUMMYFUNCTION("""COMPUTED_VALUE"""),"земснаряди, драги, землесоси")</f>
        <v>земснаряди, драги, землесоси</v>
      </c>
      <c r="F871" s="17">
        <f>IFERROR(__xludf.DUMMYFUNCTION("""COMPUTED_VALUE"""),4.0)</f>
        <v>4</v>
      </c>
      <c r="G871" s="17">
        <f>IFERROR(__xludf.DUMMYFUNCTION("""COMPUTED_VALUE"""),1.3040509E7)</f>
        <v>13040509</v>
      </c>
      <c r="H871" s="17" t="str">
        <f>IFERROR(__xludf.DUMMYFUNCTION("""COMPUTED_VALUE"""),"земснаряди, драги, землесоси")</f>
        <v>земснаряди, драги, землесоси</v>
      </c>
      <c r="I871" s="18">
        <f>IFERROR(__xludf.DUMMYFUNCTION("""COMPUTED_VALUE"""),2.4)</f>
        <v>2.4</v>
      </c>
      <c r="J871" s="18">
        <f>IFERROR(__xludf.DUMMYFUNCTION("""COMPUTED_VALUE"""),4.8)</f>
        <v>4.8</v>
      </c>
      <c r="K871" s="18">
        <f>IFERROR(__xludf.DUMMYFUNCTION("""COMPUTED_VALUE"""),6.0)</f>
        <v>6</v>
      </c>
      <c r="L871" s="18">
        <f>IFERROR(__xludf.DUMMYFUNCTION("""COMPUTED_VALUE"""),9.6)</f>
        <v>9.6</v>
      </c>
    </row>
    <row r="872">
      <c r="A872" s="13" t="str">
        <f>IFERROR(__xludf.DUMMYFUNCTION("""COMPUTED_VALUE"""),"товари")</f>
        <v>товари</v>
      </c>
      <c r="B872" s="13" t="str">
        <f>IFERROR(__xludf.DUMMYFUNCTION("""COMPUTED_VALUE"""),"будівництво")</f>
        <v>будівництво</v>
      </c>
      <c r="C872" s="15" t="str">
        <f>IFERROR(__xludf.DUMMYFUNCTION("""COMPUTED_VALUE"""),"водо-, газо-, теплозабезпечення")</f>
        <v>водо-, газо-, теплозабезпечення</v>
      </c>
      <c r="D872" s="15" t="str">
        <f>IFERROR(__xludf.DUMMYFUNCTION("""COMPUTED_VALUE"""),"опалювальне обладнання")</f>
        <v>опалювальне обладнання</v>
      </c>
      <c r="E872" s="15" t="str">
        <f>IFERROR(__xludf.DUMMYFUNCTION("""COMPUTED_VALUE"""),"калорифери")</f>
        <v>калорифери</v>
      </c>
      <c r="F872" s="17">
        <f>IFERROR(__xludf.DUMMYFUNCTION("""COMPUTED_VALUE"""),4.0)</f>
        <v>4</v>
      </c>
      <c r="G872" s="17">
        <f>IFERROR(__xludf.DUMMYFUNCTION("""COMPUTED_VALUE"""),142204.0)</f>
        <v>142204</v>
      </c>
      <c r="H872" s="17" t="str">
        <f>IFERROR(__xludf.DUMMYFUNCTION("""COMPUTED_VALUE"""),"калорифери")</f>
        <v>калорифери</v>
      </c>
      <c r="I872" s="18">
        <f>IFERROR(__xludf.DUMMYFUNCTION("""COMPUTED_VALUE"""),2.7)</f>
        <v>2.7</v>
      </c>
      <c r="J872" s="18">
        <f>IFERROR(__xludf.DUMMYFUNCTION("""COMPUTED_VALUE"""),5.4)</f>
        <v>5.4</v>
      </c>
      <c r="K872" s="18">
        <f>IFERROR(__xludf.DUMMYFUNCTION("""COMPUTED_VALUE"""),6.75)</f>
        <v>6.75</v>
      </c>
      <c r="L872" s="18">
        <f>IFERROR(__xludf.DUMMYFUNCTION("""COMPUTED_VALUE"""),10.8)</f>
        <v>10.8</v>
      </c>
    </row>
    <row r="873">
      <c r="A873" s="13" t="str">
        <f>IFERROR(__xludf.DUMMYFUNCTION("""COMPUTED_VALUE"""),"товари")</f>
        <v>товари</v>
      </c>
      <c r="B873" s="13" t="str">
        <f>IFERROR(__xludf.DUMMYFUNCTION("""COMPUTED_VALUE"""),"будівництво")</f>
        <v>будівництво</v>
      </c>
      <c r="C873" s="15" t="str">
        <f>IFERROR(__xludf.DUMMYFUNCTION("""COMPUTED_VALUE"""),"вентиляційні системи")</f>
        <v>вентиляційні системи</v>
      </c>
      <c r="D873" s="15" t="str">
        <f>IFERROR(__xludf.DUMMYFUNCTION("""COMPUTED_VALUE"""),"обладнання для димовидалення")</f>
        <v>обладнання для димовидалення</v>
      </c>
      <c r="E873" s="15" t="str">
        <f>IFERROR(__xludf.DUMMYFUNCTION("""COMPUTED_VALUE"""),"клапани димовидалення")</f>
        <v>клапани димовидалення</v>
      </c>
      <c r="F873" s="17">
        <f>IFERROR(__xludf.DUMMYFUNCTION("""COMPUTED_VALUE"""),4.0)</f>
        <v>4</v>
      </c>
      <c r="G873" s="17">
        <f>IFERROR(__xludf.DUMMYFUNCTION("""COMPUTED_VALUE"""),133503.0)</f>
        <v>133503</v>
      </c>
      <c r="H873" s="17" t="str">
        <f>IFERROR(__xludf.DUMMYFUNCTION("""COMPUTED_VALUE"""),"клапани димовидалення")</f>
        <v>клапани димовидалення</v>
      </c>
      <c r="I873" s="18">
        <f>IFERROR(__xludf.DUMMYFUNCTION("""COMPUTED_VALUE"""),2.44)</f>
        <v>2.44</v>
      </c>
      <c r="J873" s="18">
        <f>IFERROR(__xludf.DUMMYFUNCTION("""COMPUTED_VALUE"""),4.88)</f>
        <v>4.88</v>
      </c>
      <c r="K873" s="18">
        <f>IFERROR(__xludf.DUMMYFUNCTION("""COMPUTED_VALUE"""),6.09)</f>
        <v>6.09</v>
      </c>
      <c r="L873" s="18">
        <f>IFERROR(__xludf.DUMMYFUNCTION("""COMPUTED_VALUE"""),9.75)</f>
        <v>9.75</v>
      </c>
    </row>
    <row r="874">
      <c r="A874" s="13" t="str">
        <f>IFERROR(__xludf.DUMMYFUNCTION("""COMPUTED_VALUE"""),"товари")</f>
        <v>товари</v>
      </c>
      <c r="B874" s="13" t="str">
        <f>IFERROR(__xludf.DUMMYFUNCTION("""COMPUTED_VALUE"""),"будівництво")</f>
        <v>будівництво</v>
      </c>
      <c r="C874" s="15" t="str">
        <f>IFERROR(__xludf.DUMMYFUNCTION("""COMPUTED_VALUE"""),"будівельні матеріали")</f>
        <v>будівельні матеріали</v>
      </c>
      <c r="D874" s="15" t="str">
        <f>IFERROR(__xludf.DUMMYFUNCTION("""COMPUTED_VALUE"""),"покрівельні матеріали")</f>
        <v>покрівельні матеріали</v>
      </c>
      <c r="E874" s="15" t="str">
        <f>IFERROR(__xludf.DUMMYFUNCTION("""COMPUTED_VALUE"""),"козирки та навіси")</f>
        <v>козирки та навіси</v>
      </c>
      <c r="F874" s="17">
        <f>IFERROR(__xludf.DUMMYFUNCTION("""COMPUTED_VALUE"""),4.0)</f>
        <v>4</v>
      </c>
      <c r="G874" s="17">
        <f>IFERROR(__xludf.DUMMYFUNCTION("""COMPUTED_VALUE"""),135004.0)</f>
        <v>135004</v>
      </c>
      <c r="H874" s="17" t="str">
        <f>IFERROR(__xludf.DUMMYFUNCTION("""COMPUTED_VALUE"""),"козирки та навіси")</f>
        <v>козирки та навіси</v>
      </c>
      <c r="I874" s="18">
        <f>IFERROR(__xludf.DUMMYFUNCTION("""COMPUTED_VALUE"""),0.76)</f>
        <v>0.76</v>
      </c>
      <c r="J874" s="18">
        <f>IFERROR(__xludf.DUMMYFUNCTION("""COMPUTED_VALUE"""),1.53)</f>
        <v>1.53</v>
      </c>
      <c r="K874" s="18">
        <f>IFERROR(__xludf.DUMMYFUNCTION("""COMPUTED_VALUE"""),1.91)</f>
        <v>1.91</v>
      </c>
      <c r="L874" s="18">
        <f>IFERROR(__xludf.DUMMYFUNCTION("""COMPUTED_VALUE"""),3.05)</f>
        <v>3.05</v>
      </c>
    </row>
    <row r="875">
      <c r="A875" s="13" t="str">
        <f>IFERROR(__xludf.DUMMYFUNCTION("""COMPUTED_VALUE"""),"товари")</f>
        <v>товари</v>
      </c>
      <c r="B875" s="13" t="str">
        <f>IFERROR(__xludf.DUMMYFUNCTION("""COMPUTED_VALUE"""),"будівництво")</f>
        <v>будівництво</v>
      </c>
      <c r="C875" s="15" t="str">
        <f>IFERROR(__xludf.DUMMYFUNCTION("""COMPUTED_VALUE"""),"водо-, газо-, теплозабезпечення")</f>
        <v>водо-, газо-, теплозабезпечення</v>
      </c>
      <c r="D875" s="15" t="str">
        <f>IFERROR(__xludf.DUMMYFUNCTION("""COMPUTED_VALUE"""),"запірна арматура")</f>
        <v>запірна арматура</v>
      </c>
      <c r="E875" s="15" t="str">
        <f>IFERROR(__xludf.DUMMYFUNCTION("""COMPUTED_VALUE"""),"компенсатори")</f>
        <v>компенсатори</v>
      </c>
      <c r="F875" s="17">
        <f>IFERROR(__xludf.DUMMYFUNCTION("""COMPUTED_VALUE"""),4.0)</f>
        <v>4</v>
      </c>
      <c r="G875" s="17">
        <f>IFERROR(__xludf.DUMMYFUNCTION("""COMPUTED_VALUE"""),1.3100628E7)</f>
        <v>13100628</v>
      </c>
      <c r="H875" s="17" t="str">
        <f>IFERROR(__xludf.DUMMYFUNCTION("""COMPUTED_VALUE"""),"компенсатори")</f>
        <v>компенсатори</v>
      </c>
      <c r="I875" s="18">
        <f>IFERROR(__xludf.DUMMYFUNCTION("""COMPUTED_VALUE"""),0.86)</f>
        <v>0.86</v>
      </c>
      <c r="J875" s="18">
        <f>IFERROR(__xludf.DUMMYFUNCTION("""COMPUTED_VALUE"""),1.71)</f>
        <v>1.71</v>
      </c>
      <c r="K875" s="18">
        <f>IFERROR(__xludf.DUMMYFUNCTION("""COMPUTED_VALUE"""),2.14)</f>
        <v>2.14</v>
      </c>
      <c r="L875" s="18">
        <f>IFERROR(__xludf.DUMMYFUNCTION("""COMPUTED_VALUE"""),3.43)</f>
        <v>3.43</v>
      </c>
    </row>
    <row r="876">
      <c r="A876" s="13" t="str">
        <f>IFERROR(__xludf.DUMMYFUNCTION("""COMPUTED_VALUE"""),"товари")</f>
        <v>товари</v>
      </c>
      <c r="B876" s="13" t="str">
        <f>IFERROR(__xludf.DUMMYFUNCTION("""COMPUTED_VALUE"""),"будівництво")</f>
        <v>будівництво</v>
      </c>
      <c r="C876" s="15" t="str">
        <f>IFERROR(__xludf.DUMMYFUNCTION("""COMPUTED_VALUE"""),"будівельна техніка та обладнання")</f>
        <v>будівельна техніка та обладнання</v>
      </c>
      <c r="D876" s="15" t="str">
        <f>IFERROR(__xludf.DUMMYFUNCTION("""COMPUTED_VALUE"""),"комплектуючі для будівельного обладнання")</f>
        <v>комплектуючі для будівельного обладнання</v>
      </c>
      <c r="E876" s="15" t="str">
        <f>IFERROR(__xludf.DUMMYFUNCTION("""COMPUTED_VALUE"""),"комплектуючі для будівельного обладнання, загальне")</f>
        <v>комплектуючі для будівельного обладнання, загальне</v>
      </c>
      <c r="F876" s="17">
        <f>IFERROR(__xludf.DUMMYFUNCTION("""COMPUTED_VALUE"""),4.0)</f>
        <v>4</v>
      </c>
      <c r="G876" s="17">
        <f>IFERROR(__xludf.DUMMYFUNCTION("""COMPUTED_VALUE"""),1.3040701E7)</f>
        <v>13040701</v>
      </c>
      <c r="H876" s="17" t="str">
        <f>IFERROR(__xludf.DUMMYFUNCTION("""COMPUTED_VALUE"""),"комплектуючі для будівельного обладнання, загальне")</f>
        <v>комплектуючі для будівельного обладнання, загальне</v>
      </c>
      <c r="I876" s="18">
        <f>IFERROR(__xludf.DUMMYFUNCTION("""COMPUTED_VALUE"""),2.16)</f>
        <v>2.16</v>
      </c>
      <c r="J876" s="18">
        <f>IFERROR(__xludf.DUMMYFUNCTION("""COMPUTED_VALUE"""),4.33)</f>
        <v>4.33</v>
      </c>
      <c r="K876" s="18">
        <f>IFERROR(__xludf.DUMMYFUNCTION("""COMPUTED_VALUE"""),5.41)</f>
        <v>5.41</v>
      </c>
      <c r="L876" s="18">
        <f>IFERROR(__xludf.DUMMYFUNCTION("""COMPUTED_VALUE"""),8.65)</f>
        <v>8.65</v>
      </c>
    </row>
    <row r="877">
      <c r="A877" s="13" t="str">
        <f>IFERROR(__xludf.DUMMYFUNCTION("""COMPUTED_VALUE"""),"товари")</f>
        <v>товари</v>
      </c>
      <c r="B877" s="13" t="str">
        <f>IFERROR(__xludf.DUMMYFUNCTION("""COMPUTED_VALUE"""),"будівництво")</f>
        <v>будівництво</v>
      </c>
      <c r="C877" s="15" t="str">
        <f>IFERROR(__xludf.DUMMYFUNCTION("""COMPUTED_VALUE"""),"будівельна техніка та обладнання")</f>
        <v>будівельна техніка та обладнання</v>
      </c>
      <c r="D877" s="15" t="str">
        <f>IFERROR(__xludf.DUMMYFUNCTION("""COMPUTED_VALUE"""),"комплектуючі для будівельного обладнання")</f>
        <v>комплектуючі для будівельного обладнання</v>
      </c>
      <c r="E877" s="15" t="str">
        <f>IFERROR(__xludf.DUMMYFUNCTION("""COMPUTED_VALUE"""),"комплектуючі для вантажопідйомної техніки")</f>
        <v>комплектуючі для вантажопідйомної техніки</v>
      </c>
      <c r="F877" s="17">
        <f>IFERROR(__xludf.DUMMYFUNCTION("""COMPUTED_VALUE"""),4.0)</f>
        <v>4</v>
      </c>
      <c r="G877" s="17">
        <f>IFERROR(__xludf.DUMMYFUNCTION("""COMPUTED_VALUE"""),1.3040702E7)</f>
        <v>13040702</v>
      </c>
      <c r="H877" s="17" t="str">
        <f>IFERROR(__xludf.DUMMYFUNCTION("""COMPUTED_VALUE"""),"комплектуючі для вантажопідйомної техніки")</f>
        <v>комплектуючі для вантажопідйомної техніки</v>
      </c>
      <c r="I877" s="18">
        <f>IFERROR(__xludf.DUMMYFUNCTION("""COMPUTED_VALUE"""),2.07)</f>
        <v>2.07</v>
      </c>
      <c r="J877" s="18">
        <f>IFERROR(__xludf.DUMMYFUNCTION("""COMPUTED_VALUE"""),4.14)</f>
        <v>4.14</v>
      </c>
      <c r="K877" s="18">
        <f>IFERROR(__xludf.DUMMYFUNCTION("""COMPUTED_VALUE"""),5.17)</f>
        <v>5.17</v>
      </c>
      <c r="L877" s="18">
        <f>IFERROR(__xludf.DUMMYFUNCTION("""COMPUTED_VALUE"""),8.28)</f>
        <v>8.28</v>
      </c>
    </row>
    <row r="878">
      <c r="A878" s="13" t="str">
        <f>IFERROR(__xludf.DUMMYFUNCTION("""COMPUTED_VALUE"""),"товари")</f>
        <v>товари</v>
      </c>
      <c r="B878" s="13" t="str">
        <f>IFERROR(__xludf.DUMMYFUNCTION("""COMPUTED_VALUE"""),"будівництво")</f>
        <v>будівництво</v>
      </c>
      <c r="C878" s="15" t="str">
        <f>IFERROR(__xludf.DUMMYFUNCTION("""COMPUTED_VALUE"""),"будівельні матеріали")</f>
        <v>будівельні матеріали</v>
      </c>
      <c r="D878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878" s="15" t="str">
        <f>IFERROR(__xludf.DUMMYFUNCTION("""COMPUTED_VALUE"""),"комплектуючі для воріт")</f>
        <v>комплектуючі для воріт</v>
      </c>
      <c r="F878" s="17">
        <f>IFERROR(__xludf.DUMMYFUNCTION("""COMPUTED_VALUE"""),4.0)</f>
        <v>4</v>
      </c>
      <c r="G878" s="17">
        <f>IFERROR(__xludf.DUMMYFUNCTION("""COMPUTED_VALUE"""),135611.0)</f>
        <v>135611</v>
      </c>
      <c r="H878" s="17" t="str">
        <f>IFERROR(__xludf.DUMMYFUNCTION("""COMPUTED_VALUE"""),"комплектуючі для воріт")</f>
        <v>комплектуючі для воріт</v>
      </c>
      <c r="I878" s="18">
        <f>IFERROR(__xludf.DUMMYFUNCTION("""COMPUTED_VALUE"""),2.7)</f>
        <v>2.7</v>
      </c>
      <c r="J878" s="18">
        <f>IFERROR(__xludf.DUMMYFUNCTION("""COMPUTED_VALUE"""),5.4)</f>
        <v>5.4</v>
      </c>
      <c r="K878" s="18">
        <f>IFERROR(__xludf.DUMMYFUNCTION("""COMPUTED_VALUE"""),6.75)</f>
        <v>6.75</v>
      </c>
      <c r="L878" s="18">
        <f>IFERROR(__xludf.DUMMYFUNCTION("""COMPUTED_VALUE"""),10.8)</f>
        <v>10.8</v>
      </c>
    </row>
    <row r="879">
      <c r="A879" s="13" t="str">
        <f>IFERROR(__xludf.DUMMYFUNCTION("""COMPUTED_VALUE"""),"товари")</f>
        <v>товари</v>
      </c>
      <c r="B879" s="13" t="str">
        <f>IFERROR(__xludf.DUMMYFUNCTION("""COMPUTED_VALUE"""),"будівництво")</f>
        <v>будівництво</v>
      </c>
      <c r="C879" s="15" t="str">
        <f>IFERROR(__xludf.DUMMYFUNCTION("""COMPUTED_VALUE"""),"будівельна техніка та обладнання")</f>
        <v>будівельна техніка та обладнання</v>
      </c>
      <c r="D879" s="15" t="str">
        <f>IFERROR(__xludf.DUMMYFUNCTION("""COMPUTED_VALUE"""),"комплектуючі для будівельного обладнання")</f>
        <v>комплектуючі для будівельного обладнання</v>
      </c>
      <c r="E879" s="15" t="str">
        <f>IFERROR(__xludf.DUMMYFUNCTION("""COMPUTED_VALUE"""),"комплектуючі для ескалаторів")</f>
        <v>комплектуючі для ескалаторів</v>
      </c>
      <c r="F879" s="17">
        <f>IFERROR(__xludf.DUMMYFUNCTION("""COMPUTED_VALUE"""),4.0)</f>
        <v>4</v>
      </c>
      <c r="G879" s="17">
        <f>IFERROR(__xludf.DUMMYFUNCTION("""COMPUTED_VALUE"""),1361.0)</f>
        <v>1361</v>
      </c>
      <c r="H879" s="17" t="str">
        <f>IFERROR(__xludf.DUMMYFUNCTION("""COMPUTED_VALUE"""),"комплектуючі для ескалаторів")</f>
        <v>комплектуючі для ескалаторів</v>
      </c>
      <c r="I879" s="18">
        <f>IFERROR(__xludf.DUMMYFUNCTION("""COMPUTED_VALUE"""),2.07)</f>
        <v>2.07</v>
      </c>
      <c r="J879" s="18">
        <f>IFERROR(__xludf.DUMMYFUNCTION("""COMPUTED_VALUE"""),4.14)</f>
        <v>4.14</v>
      </c>
      <c r="K879" s="18">
        <f>IFERROR(__xludf.DUMMYFUNCTION("""COMPUTED_VALUE"""),5.17)</f>
        <v>5.17</v>
      </c>
      <c r="L879" s="18">
        <f>IFERROR(__xludf.DUMMYFUNCTION("""COMPUTED_VALUE"""),8.28)</f>
        <v>8.28</v>
      </c>
    </row>
    <row r="880">
      <c r="A880" s="13" t="str">
        <f>IFERROR(__xludf.DUMMYFUNCTION("""COMPUTED_VALUE"""),"товари")</f>
        <v>товари</v>
      </c>
      <c r="B880" s="13" t="str">
        <f>IFERROR(__xludf.DUMMYFUNCTION("""COMPUTED_VALUE"""),"будівництво")</f>
        <v>будівництво</v>
      </c>
      <c r="C880" s="15" t="str">
        <f>IFERROR(__xludf.DUMMYFUNCTION("""COMPUTED_VALUE"""),"водо-, газо-, теплозабезпечення")</f>
        <v>водо-, газо-, теплозабезпечення</v>
      </c>
      <c r="D880" s="15" t="str">
        <f>IFERROR(__xludf.DUMMYFUNCTION("""COMPUTED_VALUE"""),"опалювальне обладнання")</f>
        <v>опалювальне обладнання</v>
      </c>
      <c r="E880" s="15" t="str">
        <f>IFERROR(__xludf.DUMMYFUNCTION("""COMPUTED_VALUE"""),"комплектуючі для опалювального обладнання")</f>
        <v>комплектуючі для опалювального обладнання</v>
      </c>
      <c r="F880" s="17">
        <f>IFERROR(__xludf.DUMMYFUNCTION("""COMPUTED_VALUE"""),4.0)</f>
        <v>4</v>
      </c>
      <c r="G880" s="17">
        <f>IFERROR(__xludf.DUMMYFUNCTION("""COMPUTED_VALUE"""),1.3240122E7)</f>
        <v>13240122</v>
      </c>
      <c r="H880" s="17" t="str">
        <f>IFERROR(__xludf.DUMMYFUNCTION("""COMPUTED_VALUE"""),"комплектуючі для опалювального обладнання")</f>
        <v>комплектуючі для опалювального обладнання</v>
      </c>
      <c r="I880" s="18">
        <f>IFERROR(__xludf.DUMMYFUNCTION("""COMPUTED_VALUE"""),2.7)</f>
        <v>2.7</v>
      </c>
      <c r="J880" s="18">
        <f>IFERROR(__xludf.DUMMYFUNCTION("""COMPUTED_VALUE"""),5.4)</f>
        <v>5.4</v>
      </c>
      <c r="K880" s="18">
        <f>IFERROR(__xludf.DUMMYFUNCTION("""COMPUTED_VALUE"""),6.75)</f>
        <v>6.75</v>
      </c>
      <c r="L880" s="18">
        <f>IFERROR(__xludf.DUMMYFUNCTION("""COMPUTED_VALUE"""),10.8)</f>
        <v>10.8</v>
      </c>
    </row>
    <row r="881">
      <c r="A881" s="13" t="str">
        <f>IFERROR(__xludf.DUMMYFUNCTION("""COMPUTED_VALUE"""),"товари")</f>
        <v>товари</v>
      </c>
      <c r="B881" s="13" t="str">
        <f>IFERROR(__xludf.DUMMYFUNCTION("""COMPUTED_VALUE"""),"будівництво")</f>
        <v>будівництво</v>
      </c>
      <c r="C881" s="15" t="str">
        <f>IFERROR(__xludf.DUMMYFUNCTION("""COMPUTED_VALUE"""),"будівельні матеріали")</f>
        <v>будівельні матеріали</v>
      </c>
      <c r="D881" s="15" t="str">
        <f>IFERROR(__xludf.DUMMYFUNCTION("""COMPUTED_VALUE"""),"пластикові будівельні матеріали")</f>
        <v>пластикові будівельні матеріали</v>
      </c>
      <c r="E881" s="15" t="str">
        <f>IFERROR(__xludf.DUMMYFUNCTION("""COMPUTED_VALUE"""),"листові пластикові матеріали")</f>
        <v>листові пластикові матеріали</v>
      </c>
      <c r="F881" s="17">
        <f>IFERROR(__xludf.DUMMYFUNCTION("""COMPUTED_VALUE"""),4.0)</f>
        <v>4</v>
      </c>
      <c r="G881" s="17">
        <f>IFERROR(__xludf.DUMMYFUNCTION("""COMPUTED_VALUE"""),131701.0)</f>
        <v>131701</v>
      </c>
      <c r="H881" s="17" t="str">
        <f>IFERROR(__xludf.DUMMYFUNCTION("""COMPUTED_VALUE"""),"листові пластикові матеріали")</f>
        <v>листові пластикові матеріали</v>
      </c>
      <c r="I881" s="18">
        <f>IFERROR(__xludf.DUMMYFUNCTION("""COMPUTED_VALUE"""),0.76)</f>
        <v>0.76</v>
      </c>
      <c r="J881" s="18">
        <f>IFERROR(__xludf.DUMMYFUNCTION("""COMPUTED_VALUE"""),1.53)</f>
        <v>1.53</v>
      </c>
      <c r="K881" s="18">
        <f>IFERROR(__xludf.DUMMYFUNCTION("""COMPUTED_VALUE"""),1.91)</f>
        <v>1.91</v>
      </c>
      <c r="L881" s="18">
        <f>IFERROR(__xludf.DUMMYFUNCTION("""COMPUTED_VALUE"""),3.05)</f>
        <v>3.05</v>
      </c>
    </row>
    <row r="882">
      <c r="A882" s="13" t="str">
        <f>IFERROR(__xludf.DUMMYFUNCTION("""COMPUTED_VALUE"""),"товари")</f>
        <v>товари</v>
      </c>
      <c r="B882" s="13" t="str">
        <f>IFERROR(__xludf.DUMMYFUNCTION("""COMPUTED_VALUE"""),"будівництво")</f>
        <v>будівництво</v>
      </c>
      <c r="C882" s="15" t="str">
        <f>IFERROR(__xludf.DUMMYFUNCTION("""COMPUTED_VALUE"""),"будівельна техніка та обладнання")</f>
        <v>будівельна техніка та обладнання</v>
      </c>
      <c r="D882" s="15" t="str">
        <f>IFERROR(__xludf.DUMMYFUNCTION("""COMPUTED_VALUE"""),"ліфтове обладнання")</f>
        <v>ліфтове обладнання</v>
      </c>
      <c r="E882" s="15" t="str">
        <f>IFERROR(__xludf.DUMMYFUNCTION("""COMPUTED_VALUE"""),"ліфтове обладнання, загальне")</f>
        <v>ліфтове обладнання, загальне</v>
      </c>
      <c r="F882" s="17">
        <f>IFERROR(__xludf.DUMMYFUNCTION("""COMPUTED_VALUE"""),4.0)</f>
        <v>4</v>
      </c>
      <c r="G882" s="17">
        <f>IFERROR(__xludf.DUMMYFUNCTION("""COMPUTED_VALUE"""),1.3041004E7)</f>
        <v>13041004</v>
      </c>
      <c r="H882" s="17" t="str">
        <f>IFERROR(__xludf.DUMMYFUNCTION("""COMPUTED_VALUE"""),"ліфтове обладнання, загальне")</f>
        <v>ліфтове обладнання, загальне</v>
      </c>
      <c r="I882" s="18">
        <f>IFERROR(__xludf.DUMMYFUNCTION("""COMPUTED_VALUE"""),2.16)</f>
        <v>2.16</v>
      </c>
      <c r="J882" s="18">
        <f>IFERROR(__xludf.DUMMYFUNCTION("""COMPUTED_VALUE"""),4.33)</f>
        <v>4.33</v>
      </c>
      <c r="K882" s="18">
        <f>IFERROR(__xludf.DUMMYFUNCTION("""COMPUTED_VALUE"""),5.41)</f>
        <v>5.41</v>
      </c>
      <c r="L882" s="18">
        <f>IFERROR(__xludf.DUMMYFUNCTION("""COMPUTED_VALUE"""),8.65)</f>
        <v>8.65</v>
      </c>
    </row>
    <row r="883">
      <c r="A883" s="13" t="str">
        <f>IFERROR(__xludf.DUMMYFUNCTION("""COMPUTED_VALUE"""),"товари")</f>
        <v>товари</v>
      </c>
      <c r="B883" s="13" t="str">
        <f>IFERROR(__xludf.DUMMYFUNCTION("""COMPUTED_VALUE"""),"будівництво")</f>
        <v>будівництво</v>
      </c>
      <c r="C883" s="15" t="str">
        <f>IFERROR(__xludf.DUMMYFUNCTION("""COMPUTED_VALUE"""),"водо-, газо-, теплозабезпечення")</f>
        <v>водо-, газо-, теплозабезпечення</v>
      </c>
      <c r="D883" s="15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883" s="15" t="str">
        <f>IFERROR(__xludf.DUMMYFUNCTION("""COMPUTED_VALUE"""),"лічильники для водо-, газо-, теплозабезпечення (побутові), загальне")</f>
        <v>лічильники для водо-, газо-, теплозабезпечення (побутові), загальне</v>
      </c>
      <c r="F883" s="17">
        <f>IFERROR(__xludf.DUMMYFUNCTION("""COMPUTED_VALUE"""),4.0)</f>
        <v>4</v>
      </c>
      <c r="G883" s="17">
        <f>IFERROR(__xludf.DUMMYFUNCTION("""COMPUTED_VALUE"""),1.3241501E7)</f>
        <v>13241501</v>
      </c>
      <c r="H883" s="17" t="str">
        <f>IFERROR(__xludf.DUMMYFUNCTION("""COMPUTED_VALUE"""),"лічильники для водо-, газо-, теплозабезпечення (побутові), загальне")</f>
        <v>лічильники для водо-, газо-, теплозабезпечення (побутові), загальне</v>
      </c>
      <c r="I883" s="18">
        <f>IFERROR(__xludf.DUMMYFUNCTION("""COMPUTED_VALUE"""),2.16)</f>
        <v>2.16</v>
      </c>
      <c r="J883" s="18">
        <f>IFERROR(__xludf.DUMMYFUNCTION("""COMPUTED_VALUE"""),4.33)</f>
        <v>4.33</v>
      </c>
      <c r="K883" s="18">
        <f>IFERROR(__xludf.DUMMYFUNCTION("""COMPUTED_VALUE"""),5.41)</f>
        <v>5.41</v>
      </c>
      <c r="L883" s="18">
        <f>IFERROR(__xludf.DUMMYFUNCTION("""COMPUTED_VALUE"""),8.65)</f>
        <v>8.65</v>
      </c>
    </row>
    <row r="884">
      <c r="A884" s="13" t="str">
        <f>IFERROR(__xludf.DUMMYFUNCTION("""COMPUTED_VALUE"""),"товари")</f>
        <v>товари</v>
      </c>
      <c r="B884" s="13" t="str">
        <f>IFERROR(__xludf.DUMMYFUNCTION("""COMPUTED_VALUE"""),"будівництво")</f>
        <v>будівництво</v>
      </c>
      <c r="C884" s="15" t="str">
        <f>IFERROR(__xludf.DUMMYFUNCTION("""COMPUTED_VALUE"""),"будівельні матеріали")</f>
        <v>будівельні матеріали</v>
      </c>
      <c r="D884" s="15" t="str">
        <f>IFERROR(__xludf.DUMMYFUNCTION("""COMPUTED_VALUE"""),"стінові та мурувальні матеріали")</f>
        <v>стінові та мурувальні матеріали</v>
      </c>
      <c r="E884" s="15" t="str">
        <f>IFERROR(__xludf.DUMMYFUNCTION("""COMPUTED_VALUE"""),"магнезитові плити")</f>
        <v>магнезитові плити</v>
      </c>
      <c r="F884" s="17">
        <f>IFERROR(__xludf.DUMMYFUNCTION("""COMPUTED_VALUE"""),4.0)</f>
        <v>4</v>
      </c>
      <c r="G884" s="17">
        <f>IFERROR(__xludf.DUMMYFUNCTION("""COMPUTED_VALUE"""),1.3070209E7)</f>
        <v>13070209</v>
      </c>
      <c r="H884" s="17" t="str">
        <f>IFERROR(__xludf.DUMMYFUNCTION("""COMPUTED_VALUE"""),"магнезитові плити")</f>
        <v>магнезитові плити</v>
      </c>
      <c r="I884" s="18">
        <f>IFERROR(__xludf.DUMMYFUNCTION("""COMPUTED_VALUE"""),1.26)</f>
        <v>1.26</v>
      </c>
      <c r="J884" s="18">
        <f>IFERROR(__xludf.DUMMYFUNCTION("""COMPUTED_VALUE"""),2.53)</f>
        <v>2.53</v>
      </c>
      <c r="K884" s="18">
        <f>IFERROR(__xludf.DUMMYFUNCTION("""COMPUTED_VALUE"""),3.16)</f>
        <v>3.16</v>
      </c>
      <c r="L884" s="18">
        <f>IFERROR(__xludf.DUMMYFUNCTION("""COMPUTED_VALUE"""),5.05)</f>
        <v>5.05</v>
      </c>
    </row>
    <row r="885">
      <c r="A885" s="13" t="str">
        <f>IFERROR(__xludf.DUMMYFUNCTION("""COMPUTED_VALUE"""),"товари")</f>
        <v>товари</v>
      </c>
      <c r="B885" s="13" t="str">
        <f>IFERROR(__xludf.DUMMYFUNCTION("""COMPUTED_VALUE"""),"будівництво")</f>
        <v>будівництво</v>
      </c>
      <c r="C885" s="15" t="str">
        <f>IFERROR(__xludf.DUMMYFUNCTION("""COMPUTED_VALUE"""),"будівельна техніка та обладнання")</f>
        <v>будівельна техніка та обладнання</v>
      </c>
      <c r="D885" s="15" t="str">
        <f>IFERROR(__xludf.DUMMYFUNCTION("""COMPUTED_VALUE"""),"машини та обладнання для бетонних робіт")</f>
        <v>машини та обладнання для бетонних робіт</v>
      </c>
      <c r="E885" s="15" t="str">
        <f>IFERROR(__xludf.DUMMYFUNCTION("""COMPUTED_VALUE"""),"майданчикові вібратори")</f>
        <v>майданчикові вібратори</v>
      </c>
      <c r="F885" s="17">
        <f>IFERROR(__xludf.DUMMYFUNCTION("""COMPUTED_VALUE"""),4.0)</f>
        <v>4</v>
      </c>
      <c r="G885" s="17">
        <f>IFERROR(__xludf.DUMMYFUNCTION("""COMPUTED_VALUE"""),1.3040302E7)</f>
        <v>13040302</v>
      </c>
      <c r="H885" s="17" t="str">
        <f>IFERROR(__xludf.DUMMYFUNCTION("""COMPUTED_VALUE"""),"майданчикові вібратори")</f>
        <v>майданчикові вібратори</v>
      </c>
      <c r="I885" s="18">
        <f>IFERROR(__xludf.DUMMYFUNCTION("""COMPUTED_VALUE"""),2.18)</f>
        <v>2.18</v>
      </c>
      <c r="J885" s="18">
        <f>IFERROR(__xludf.DUMMYFUNCTION("""COMPUTED_VALUE"""),4.35)</f>
        <v>4.35</v>
      </c>
      <c r="K885" s="18">
        <f>IFERROR(__xludf.DUMMYFUNCTION("""COMPUTED_VALUE"""),5.44)</f>
        <v>5.44</v>
      </c>
      <c r="L885" s="18">
        <f>IFERROR(__xludf.DUMMYFUNCTION("""COMPUTED_VALUE"""),8.7)</f>
        <v>8.7</v>
      </c>
    </row>
    <row r="886">
      <c r="A886" s="13" t="str">
        <f>IFERROR(__xludf.DUMMYFUNCTION("""COMPUTED_VALUE"""),"товари")</f>
        <v>товари</v>
      </c>
      <c r="B886" s="13" t="str">
        <f>IFERROR(__xludf.DUMMYFUNCTION("""COMPUTED_VALUE"""),"будівництво")</f>
        <v>будівництво</v>
      </c>
      <c r="C886" s="15" t="str">
        <f>IFERROR(__xludf.DUMMYFUNCTION("""COMPUTED_VALUE"""),"будівельна техніка та обладнання")</f>
        <v>будівельна техніка та обладнання</v>
      </c>
      <c r="D886" s="15" t="str">
        <f>IFERROR(__xludf.DUMMYFUNCTION("""COMPUTED_VALUE"""),"машини та обладнання для бетонних робіт")</f>
        <v>машини та обладнання для бетонних робіт</v>
      </c>
      <c r="E886" s="15" t="str">
        <f>IFERROR(__xludf.DUMMYFUNCTION("""COMPUTED_VALUE"""),"машини для бетонних робіт")</f>
        <v>машини для бетонних робіт</v>
      </c>
      <c r="F886" s="17">
        <f>IFERROR(__xludf.DUMMYFUNCTION("""COMPUTED_VALUE"""),4.0)</f>
        <v>4</v>
      </c>
      <c r="G886" s="17">
        <f>IFERROR(__xludf.DUMMYFUNCTION("""COMPUTED_VALUE"""),1.3040301E7)</f>
        <v>13040301</v>
      </c>
      <c r="H886" s="17" t="str">
        <f>IFERROR(__xludf.DUMMYFUNCTION("""COMPUTED_VALUE"""),"машини для бетонних робіт")</f>
        <v>машини для бетонних робіт</v>
      </c>
      <c r="I886" s="18">
        <f>IFERROR(__xludf.DUMMYFUNCTION("""COMPUTED_VALUE"""),2.18)</f>
        <v>2.18</v>
      </c>
      <c r="J886" s="18">
        <f>IFERROR(__xludf.DUMMYFUNCTION("""COMPUTED_VALUE"""),4.35)</f>
        <v>4.35</v>
      </c>
      <c r="K886" s="18">
        <f>IFERROR(__xludf.DUMMYFUNCTION("""COMPUTED_VALUE"""),5.44)</f>
        <v>5.44</v>
      </c>
      <c r="L886" s="18">
        <f>IFERROR(__xludf.DUMMYFUNCTION("""COMPUTED_VALUE"""),8.7)</f>
        <v>8.7</v>
      </c>
    </row>
    <row r="887">
      <c r="A887" s="13" t="str">
        <f>IFERROR(__xludf.DUMMYFUNCTION("""COMPUTED_VALUE"""),"товари")</f>
        <v>товари</v>
      </c>
      <c r="B887" s="13" t="str">
        <f>IFERROR(__xludf.DUMMYFUNCTION("""COMPUTED_VALUE"""),"будівництво")</f>
        <v>будівництво</v>
      </c>
      <c r="C887" s="15" t="str">
        <f>IFERROR(__xludf.DUMMYFUNCTION("""COMPUTED_VALUE"""),"будівельна техніка та обладнання")</f>
        <v>будівельна техніка та обладнання</v>
      </c>
      <c r="D887" s="15" t="str">
        <f>IFERROR(__xludf.DUMMYFUNCTION("""COMPUTED_VALUE"""),"машини та обладнання для бетонних робіт")</f>
        <v>машини та обладнання для бетонних робіт</v>
      </c>
      <c r="E887" s="15" t="str">
        <f>IFERROR(__xludf.DUMMYFUNCTION("""COMPUTED_VALUE"""),"машини та обладнання для бетонних робіт, загальне")</f>
        <v>машини та обладнання для бетонних робіт, загальне</v>
      </c>
      <c r="F887" s="17">
        <f>IFERROR(__xludf.DUMMYFUNCTION("""COMPUTED_VALUE"""),4.0)</f>
        <v>4</v>
      </c>
      <c r="G887" s="17">
        <f>IFERROR(__xludf.DUMMYFUNCTION("""COMPUTED_VALUE"""),1.3040306E7)</f>
        <v>13040306</v>
      </c>
      <c r="H887" s="17" t="str">
        <f>IFERROR(__xludf.DUMMYFUNCTION("""COMPUTED_VALUE"""),"машини та обладнання для бетонних робіт, загальне")</f>
        <v>машини та обладнання для бетонних робіт, загальне</v>
      </c>
      <c r="I887" s="18">
        <f>IFERROR(__xludf.DUMMYFUNCTION("""COMPUTED_VALUE"""),2.16)</f>
        <v>2.16</v>
      </c>
      <c r="J887" s="18">
        <f>IFERROR(__xludf.DUMMYFUNCTION("""COMPUTED_VALUE"""),4.33)</f>
        <v>4.33</v>
      </c>
      <c r="K887" s="18">
        <f>IFERROR(__xludf.DUMMYFUNCTION("""COMPUTED_VALUE"""),5.41)</f>
        <v>5.41</v>
      </c>
      <c r="L887" s="18">
        <f>IFERROR(__xludf.DUMMYFUNCTION("""COMPUTED_VALUE"""),8.65)</f>
        <v>8.65</v>
      </c>
    </row>
    <row r="888">
      <c r="A888" s="13" t="str">
        <f>IFERROR(__xludf.DUMMYFUNCTION("""COMPUTED_VALUE"""),"товари")</f>
        <v>товари</v>
      </c>
      <c r="B888" s="13" t="str">
        <f>IFERROR(__xludf.DUMMYFUNCTION("""COMPUTED_VALUE"""),"будівництво")</f>
        <v>будівництво</v>
      </c>
      <c r="C888" s="15" t="str">
        <f>IFERROR(__xludf.DUMMYFUNCTION("""COMPUTED_VALUE"""),"будівельна техніка та обладнання")</f>
        <v>будівельна техніка та обладнання</v>
      </c>
      <c r="D888" s="15" t="str">
        <f>IFERROR(__xludf.DUMMYFUNCTION("""COMPUTED_VALUE"""),"машини та обладнання для земляних робіт")</f>
        <v>машини та обладнання для земляних робіт</v>
      </c>
      <c r="E888" s="15" t="str">
        <f>IFERROR(__xludf.DUMMYFUNCTION("""COMPUTED_VALUE"""),"машини та обладнання для земляних робіт, загальне")</f>
        <v>машини та обладнання для земляних робіт, загальне</v>
      </c>
      <c r="F888" s="17">
        <f>IFERROR(__xludf.DUMMYFUNCTION("""COMPUTED_VALUE"""),4.0)</f>
        <v>4</v>
      </c>
      <c r="G888" s="17">
        <f>IFERROR(__xludf.DUMMYFUNCTION("""COMPUTED_VALUE"""),1.3040507E7)</f>
        <v>13040507</v>
      </c>
      <c r="H888" s="17" t="str">
        <f>IFERROR(__xludf.DUMMYFUNCTION("""COMPUTED_VALUE"""),"машини та обладнання для земляних робіт, загальне")</f>
        <v>машини та обладнання для земляних робіт, загальне</v>
      </c>
      <c r="I888" s="18">
        <f>IFERROR(__xludf.DUMMYFUNCTION("""COMPUTED_VALUE"""),2.16)</f>
        <v>2.16</v>
      </c>
      <c r="J888" s="18">
        <f>IFERROR(__xludf.DUMMYFUNCTION("""COMPUTED_VALUE"""),4.33)</f>
        <v>4.33</v>
      </c>
      <c r="K888" s="18">
        <f>IFERROR(__xludf.DUMMYFUNCTION("""COMPUTED_VALUE"""),5.41)</f>
        <v>5.41</v>
      </c>
      <c r="L888" s="18">
        <f>IFERROR(__xludf.DUMMYFUNCTION("""COMPUTED_VALUE"""),8.65)</f>
        <v>8.65</v>
      </c>
    </row>
    <row r="889">
      <c r="A889" s="13" t="str">
        <f>IFERROR(__xludf.DUMMYFUNCTION("""COMPUTED_VALUE"""),"товари")</f>
        <v>товари</v>
      </c>
      <c r="B889" s="13" t="str">
        <f>IFERROR(__xludf.DUMMYFUNCTION("""COMPUTED_VALUE"""),"будівництво")</f>
        <v>будівництво</v>
      </c>
      <c r="C889" s="15" t="str">
        <f>IFERROR(__xludf.DUMMYFUNCTION("""COMPUTED_VALUE"""),"будівельна техніка та обладнання")</f>
        <v>будівельна техніка та обладнання</v>
      </c>
      <c r="D889" s="15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889" s="15" t="str">
        <f>IFERROR(__xludf.DUMMYFUNCTION("""COMPUTED_VALUE"""),"машини та обладнання для оздоблювальних і покрівельних робіт, загальне")</f>
        <v>машини та обладнання для оздоблювальних і покрівельних робіт, загальне</v>
      </c>
      <c r="F889" s="17">
        <f>IFERROR(__xludf.DUMMYFUNCTION("""COMPUTED_VALUE"""),4.0)</f>
        <v>4</v>
      </c>
      <c r="G889" s="17">
        <f>IFERROR(__xludf.DUMMYFUNCTION("""COMPUTED_VALUE"""),1.3040604E7)</f>
        <v>13040604</v>
      </c>
      <c r="H889" s="17" t="str">
        <f>IFERROR(__xludf.DUMMYFUNCTION("""COMPUTED_VALUE"""),"машини та обладнання для оздоблювальних і покрівельних робіт, загальне")</f>
        <v>машини та обладнання для оздоблювальних і покрівельних робіт, загальне</v>
      </c>
      <c r="I889" s="18">
        <f>IFERROR(__xludf.DUMMYFUNCTION("""COMPUTED_VALUE"""),2.16)</f>
        <v>2.16</v>
      </c>
      <c r="J889" s="18">
        <f>IFERROR(__xludf.DUMMYFUNCTION("""COMPUTED_VALUE"""),4.33)</f>
        <v>4.33</v>
      </c>
      <c r="K889" s="18">
        <f>IFERROR(__xludf.DUMMYFUNCTION("""COMPUTED_VALUE"""),5.41)</f>
        <v>5.41</v>
      </c>
      <c r="L889" s="18">
        <f>IFERROR(__xludf.DUMMYFUNCTION("""COMPUTED_VALUE"""),8.65)</f>
        <v>8.65</v>
      </c>
    </row>
    <row r="890">
      <c r="A890" s="13" t="str">
        <f>IFERROR(__xludf.DUMMYFUNCTION("""COMPUTED_VALUE"""),"товари")</f>
        <v>товари</v>
      </c>
      <c r="B890" s="13" t="str">
        <f>IFERROR(__xludf.DUMMYFUNCTION("""COMPUTED_VALUE"""),"будівництво")</f>
        <v>будівництво</v>
      </c>
      <c r="C890" s="15" t="str">
        <f>IFERROR(__xludf.DUMMYFUNCTION("""COMPUTED_VALUE"""),"будівельні матеріали")</f>
        <v>будівельні матеріали</v>
      </c>
      <c r="D890" s="15" t="str">
        <f>IFERROR(__xludf.DUMMYFUNCTION("""COMPUTED_VALUE"""),"будівельний металопрокат")</f>
        <v>будівельний металопрокат</v>
      </c>
      <c r="E890" s="15" t="str">
        <f>IFERROR(__xludf.DUMMYFUNCTION("""COMPUTED_VALUE"""),"металеві листи")</f>
        <v>металеві листи</v>
      </c>
      <c r="F890" s="17">
        <f>IFERROR(__xludf.DUMMYFUNCTION("""COMPUTED_VALUE"""),4.0)</f>
        <v>4</v>
      </c>
      <c r="G890" s="17">
        <f>IFERROR(__xludf.DUMMYFUNCTION("""COMPUTED_VALUE"""),420818.0)</f>
        <v>420818</v>
      </c>
      <c r="H890" s="17" t="str">
        <f>IFERROR(__xludf.DUMMYFUNCTION("""COMPUTED_VALUE"""),"металеві листи")</f>
        <v>металеві листи</v>
      </c>
      <c r="I890" s="18">
        <f>IFERROR(__xludf.DUMMYFUNCTION("""COMPUTED_VALUE"""),0.76)</f>
        <v>0.76</v>
      </c>
      <c r="J890" s="18">
        <f>IFERROR(__xludf.DUMMYFUNCTION("""COMPUTED_VALUE"""),1.53)</f>
        <v>1.53</v>
      </c>
      <c r="K890" s="18">
        <f>IFERROR(__xludf.DUMMYFUNCTION("""COMPUTED_VALUE"""),1.91)</f>
        <v>1.91</v>
      </c>
      <c r="L890" s="18">
        <f>IFERROR(__xludf.DUMMYFUNCTION("""COMPUTED_VALUE"""),3.05)</f>
        <v>3.05</v>
      </c>
    </row>
    <row r="891">
      <c r="A891" s="13" t="str">
        <f>IFERROR(__xludf.DUMMYFUNCTION("""COMPUTED_VALUE"""),"товари")</f>
        <v>товари</v>
      </c>
      <c r="B891" s="13" t="str">
        <f>IFERROR(__xludf.DUMMYFUNCTION("""COMPUTED_VALUE"""),"будівництво")</f>
        <v>будівництво</v>
      </c>
      <c r="C891" s="15" t="str">
        <f>IFERROR(__xludf.DUMMYFUNCTION("""COMPUTED_VALUE"""),"будівельні матеріали")</f>
        <v>будівельні матеріали</v>
      </c>
      <c r="D891" s="15" t="str">
        <f>IFERROR(__xludf.DUMMYFUNCTION("""COMPUTED_VALUE"""),"будівельний металопрокат")</f>
        <v>будівельний металопрокат</v>
      </c>
      <c r="E891" s="15" t="str">
        <f>IFERROR(__xludf.DUMMYFUNCTION("""COMPUTED_VALUE"""),"металеві смуги")</f>
        <v>металеві смуги</v>
      </c>
      <c r="F891" s="17">
        <f>IFERROR(__xludf.DUMMYFUNCTION("""COMPUTED_VALUE"""),4.0)</f>
        <v>4</v>
      </c>
      <c r="G891" s="17">
        <f>IFERROR(__xludf.DUMMYFUNCTION("""COMPUTED_VALUE"""),420811.0)</f>
        <v>420811</v>
      </c>
      <c r="H891" s="17" t="str">
        <f>IFERROR(__xludf.DUMMYFUNCTION("""COMPUTED_VALUE"""),"металеві смуги")</f>
        <v>металеві смуги</v>
      </c>
      <c r="I891" s="18">
        <f>IFERROR(__xludf.DUMMYFUNCTION("""COMPUTED_VALUE"""),0.76)</f>
        <v>0.76</v>
      </c>
      <c r="J891" s="18">
        <f>IFERROR(__xludf.DUMMYFUNCTION("""COMPUTED_VALUE"""),1.53)</f>
        <v>1.53</v>
      </c>
      <c r="K891" s="18">
        <f>IFERROR(__xludf.DUMMYFUNCTION("""COMPUTED_VALUE"""),1.91)</f>
        <v>1.91</v>
      </c>
      <c r="L891" s="18">
        <f>IFERROR(__xludf.DUMMYFUNCTION("""COMPUTED_VALUE"""),3.05)</f>
        <v>3.05</v>
      </c>
    </row>
    <row r="892">
      <c r="A892" s="13" t="str">
        <f>IFERROR(__xludf.DUMMYFUNCTION("""COMPUTED_VALUE"""),"товари")</f>
        <v>товари</v>
      </c>
      <c r="B892" s="13" t="str">
        <f>IFERROR(__xludf.DUMMYFUNCTION("""COMPUTED_VALUE"""),"будівництво")</f>
        <v>будівництво</v>
      </c>
      <c r="C892" s="15" t="str">
        <f>IFERROR(__xludf.DUMMYFUNCTION("""COMPUTED_VALUE"""),"водо-, газо-, теплозабезпечення")</f>
        <v>водо-, газо-, теплозабезпечення</v>
      </c>
      <c r="D892" s="15" t="str">
        <f>IFERROR(__xludf.DUMMYFUNCTION("""COMPUTED_VALUE"""),"опалювальне обладнання")</f>
        <v>опалювальне обладнання</v>
      </c>
      <c r="E892" s="15" t="str">
        <f>IFERROR(__xludf.DUMMYFUNCTION("""COMPUTED_VALUE"""),"нагрівальні кабелі та мати")</f>
        <v>нагрівальні кабелі та мати</v>
      </c>
      <c r="F892" s="17">
        <f>IFERROR(__xludf.DUMMYFUNCTION("""COMPUTED_VALUE"""),4.0)</f>
        <v>4</v>
      </c>
      <c r="G892" s="17">
        <f>IFERROR(__xludf.DUMMYFUNCTION("""COMPUTED_VALUE"""),132410.0)</f>
        <v>132410</v>
      </c>
      <c r="H892" s="17" t="str">
        <f>IFERROR(__xludf.DUMMYFUNCTION("""COMPUTED_VALUE"""),"нагрівальні кабелі та мати")</f>
        <v>нагрівальні кабелі та мати</v>
      </c>
      <c r="I892" s="18">
        <f>IFERROR(__xludf.DUMMYFUNCTION("""COMPUTED_VALUE"""),2.7)</f>
        <v>2.7</v>
      </c>
      <c r="J892" s="18">
        <f>IFERROR(__xludf.DUMMYFUNCTION("""COMPUTED_VALUE"""),5.4)</f>
        <v>5.4</v>
      </c>
      <c r="K892" s="18">
        <f>IFERROR(__xludf.DUMMYFUNCTION("""COMPUTED_VALUE"""),6.75)</f>
        <v>6.75</v>
      </c>
      <c r="L892" s="18">
        <f>IFERROR(__xludf.DUMMYFUNCTION("""COMPUTED_VALUE"""),10.8)</f>
        <v>10.8</v>
      </c>
    </row>
    <row r="893">
      <c r="A893" s="13" t="str">
        <f>IFERROR(__xludf.DUMMYFUNCTION("""COMPUTED_VALUE"""),"товари")</f>
        <v>товари</v>
      </c>
      <c r="B893" s="13" t="str">
        <f>IFERROR(__xludf.DUMMYFUNCTION("""COMPUTED_VALUE"""),"будівництво")</f>
        <v>будівництво</v>
      </c>
      <c r="C893" s="15" t="str">
        <f>IFERROR(__xludf.DUMMYFUNCTION("""COMPUTED_VALUE"""),"водо-, газо-, теплозабезпечення")</f>
        <v>водо-, газо-, теплозабезпечення</v>
      </c>
      <c r="D893" s="15" t="str">
        <f>IFERROR(__xludf.DUMMYFUNCTION("""COMPUTED_VALUE"""),"опалювальне обладнання")</f>
        <v>опалювальне обладнання</v>
      </c>
      <c r="E893" s="15" t="str">
        <f>IFERROR(__xludf.DUMMYFUNCTION("""COMPUTED_VALUE"""),"насосні групи")</f>
        <v>насосні групи</v>
      </c>
      <c r="F893" s="17">
        <f>IFERROR(__xludf.DUMMYFUNCTION("""COMPUTED_VALUE"""),4.0)</f>
        <v>4</v>
      </c>
      <c r="G893" s="17">
        <f>IFERROR(__xludf.DUMMYFUNCTION("""COMPUTED_VALUE"""),1.3240131E7)</f>
        <v>13240131</v>
      </c>
      <c r="H893" s="17" t="str">
        <f>IFERROR(__xludf.DUMMYFUNCTION("""COMPUTED_VALUE"""),"насосні групи")</f>
        <v>насосні групи</v>
      </c>
      <c r="I893" s="18">
        <f>IFERROR(__xludf.DUMMYFUNCTION("""COMPUTED_VALUE"""),2.7)</f>
        <v>2.7</v>
      </c>
      <c r="J893" s="18">
        <f>IFERROR(__xludf.DUMMYFUNCTION("""COMPUTED_VALUE"""),5.4)</f>
        <v>5.4</v>
      </c>
      <c r="K893" s="18">
        <f>IFERROR(__xludf.DUMMYFUNCTION("""COMPUTED_VALUE"""),6.75)</f>
        <v>6.75</v>
      </c>
      <c r="L893" s="18">
        <f>IFERROR(__xludf.DUMMYFUNCTION("""COMPUTED_VALUE"""),10.8)</f>
        <v>10.8</v>
      </c>
    </row>
    <row r="894">
      <c r="A894" s="13" t="str">
        <f>IFERROR(__xludf.DUMMYFUNCTION("""COMPUTED_VALUE"""),"товари")</f>
        <v>товари</v>
      </c>
      <c r="B894" s="13" t="str">
        <f>IFERROR(__xludf.DUMMYFUNCTION("""COMPUTED_VALUE"""),"будівництво")</f>
        <v>будівництво</v>
      </c>
      <c r="C894" s="15" t="str">
        <f>IFERROR(__xludf.DUMMYFUNCTION("""COMPUTED_VALUE"""),"будівельні матеріали")</f>
        <v>будівельні матеріали</v>
      </c>
      <c r="D894" s="15" t="str">
        <f>IFERROR(__xludf.DUMMYFUNCTION("""COMPUTED_VALUE"""),"натуральний камінь")</f>
        <v>натуральний камінь</v>
      </c>
      <c r="E894" s="15" t="str">
        <f>IFERROR(__xludf.DUMMYFUNCTION("""COMPUTED_VALUE"""),"натуральний камінь")</f>
        <v>натуральний камінь</v>
      </c>
      <c r="F894" s="17">
        <f>IFERROR(__xludf.DUMMYFUNCTION("""COMPUTED_VALUE"""),3.0)</f>
        <v>3</v>
      </c>
      <c r="G894" s="17">
        <f>IFERROR(__xludf.DUMMYFUNCTION("""COMPUTED_VALUE"""),131202.0)</f>
        <v>131202</v>
      </c>
      <c r="H894" s="17" t="str">
        <f>IFERROR(__xludf.DUMMYFUNCTION("""COMPUTED_VALUE"""),"натуральний камінь")</f>
        <v>натуральний камінь</v>
      </c>
      <c r="I894" s="18">
        <f>IFERROR(__xludf.DUMMYFUNCTION("""COMPUTED_VALUE"""),2.7)</f>
        <v>2.7</v>
      </c>
      <c r="J894" s="18">
        <f>IFERROR(__xludf.DUMMYFUNCTION("""COMPUTED_VALUE"""),5.4)</f>
        <v>5.4</v>
      </c>
      <c r="K894" s="18">
        <f>IFERROR(__xludf.DUMMYFUNCTION("""COMPUTED_VALUE"""),6.75)</f>
        <v>6.75</v>
      </c>
      <c r="L894" s="18">
        <f>IFERROR(__xludf.DUMMYFUNCTION("""COMPUTED_VALUE"""),10.8)</f>
        <v>10.8</v>
      </c>
    </row>
    <row r="895">
      <c r="A895" s="13" t="str">
        <f>IFERROR(__xludf.DUMMYFUNCTION("""COMPUTED_VALUE"""),"товари")</f>
        <v>товари</v>
      </c>
      <c r="B895" s="13" t="str">
        <f>IFERROR(__xludf.DUMMYFUNCTION("""COMPUTED_VALUE"""),"будівництво")</f>
        <v>будівництво</v>
      </c>
      <c r="C895" s="15" t="str">
        <f>IFERROR(__xludf.DUMMYFUNCTION("""COMPUTED_VALUE"""),"водо-, газо-, теплозабезпечення")</f>
        <v>водо-, газо-, теплозабезпечення</v>
      </c>
      <c r="D895" s="15" t="str">
        <f>IFERROR(__xludf.DUMMYFUNCTION("""COMPUTED_VALUE"""),"обладнання для газопостачання")</f>
        <v>обладнання для газопостачання</v>
      </c>
      <c r="E895" s="15" t="str">
        <f>IFERROR(__xludf.DUMMYFUNCTION("""COMPUTED_VALUE"""),"обладнання для газопостачання, загальне")</f>
        <v>обладнання для газопостачання, загальне</v>
      </c>
      <c r="F895" s="17">
        <f>IFERROR(__xludf.DUMMYFUNCTION("""COMPUTED_VALUE"""),4.0)</f>
        <v>4</v>
      </c>
      <c r="G895" s="17">
        <f>IFERROR(__xludf.DUMMYFUNCTION("""COMPUTED_VALUE"""),1.3240605E7)</f>
        <v>13240605</v>
      </c>
      <c r="H895" s="17" t="str">
        <f>IFERROR(__xludf.DUMMYFUNCTION("""COMPUTED_VALUE"""),"обладнання для газопостачання, загальне")</f>
        <v>обладнання для газопостачання, загальне</v>
      </c>
      <c r="I895" s="18">
        <f>IFERROR(__xludf.DUMMYFUNCTION("""COMPUTED_VALUE"""),2.16)</f>
        <v>2.16</v>
      </c>
      <c r="J895" s="18">
        <f>IFERROR(__xludf.DUMMYFUNCTION("""COMPUTED_VALUE"""),4.33)</f>
        <v>4.33</v>
      </c>
      <c r="K895" s="18">
        <f>IFERROR(__xludf.DUMMYFUNCTION("""COMPUTED_VALUE"""),5.41)</f>
        <v>5.41</v>
      </c>
      <c r="L895" s="18">
        <f>IFERROR(__xludf.DUMMYFUNCTION("""COMPUTED_VALUE"""),8.65)</f>
        <v>8.65</v>
      </c>
    </row>
    <row r="896">
      <c r="A896" s="13" t="str">
        <f>IFERROR(__xludf.DUMMYFUNCTION("""COMPUTED_VALUE"""),"товари")</f>
        <v>товари</v>
      </c>
      <c r="B896" s="13" t="str">
        <f>IFERROR(__xludf.DUMMYFUNCTION("""COMPUTED_VALUE"""),"будівництво")</f>
        <v>будівництво</v>
      </c>
      <c r="C896" s="15" t="str">
        <f>IFERROR(__xludf.DUMMYFUNCTION("""COMPUTED_VALUE"""),"вентиляційні системи")</f>
        <v>вентиляційні системи</v>
      </c>
      <c r="D896" s="15" t="str">
        <f>IFERROR(__xludf.DUMMYFUNCTION("""COMPUTED_VALUE"""),"обладнання для димовидалення")</f>
        <v>обладнання для димовидалення</v>
      </c>
      <c r="E896" s="15" t="str">
        <f>IFERROR(__xludf.DUMMYFUNCTION("""COMPUTED_VALUE"""),"обладнання для димовидалення, загальне")</f>
        <v>обладнання для димовидалення, загальне</v>
      </c>
      <c r="F896" s="17">
        <f>IFERROR(__xludf.DUMMYFUNCTION("""COMPUTED_VALUE"""),4.0)</f>
        <v>4</v>
      </c>
      <c r="G896" s="17">
        <f>IFERROR(__xludf.DUMMYFUNCTION("""COMPUTED_VALUE"""),1.4221601E7)</f>
        <v>14221601</v>
      </c>
      <c r="H896" s="17" t="str">
        <f>IFERROR(__xludf.DUMMYFUNCTION("""COMPUTED_VALUE"""),"обладнання для димовидалення, загальне")</f>
        <v>обладнання для димовидалення, загальне</v>
      </c>
      <c r="I896" s="18">
        <f>IFERROR(__xludf.DUMMYFUNCTION("""COMPUTED_VALUE"""),2.16)</f>
        <v>2.16</v>
      </c>
      <c r="J896" s="18">
        <f>IFERROR(__xludf.DUMMYFUNCTION("""COMPUTED_VALUE"""),4.33)</f>
        <v>4.33</v>
      </c>
      <c r="K896" s="18">
        <f>IFERROR(__xludf.DUMMYFUNCTION("""COMPUTED_VALUE"""),5.41)</f>
        <v>5.41</v>
      </c>
      <c r="L896" s="18">
        <f>IFERROR(__xludf.DUMMYFUNCTION("""COMPUTED_VALUE"""),8.65)</f>
        <v>8.65</v>
      </c>
    </row>
    <row r="897">
      <c r="A897" s="13" t="str">
        <f>IFERROR(__xludf.DUMMYFUNCTION("""COMPUTED_VALUE"""),"товари")</f>
        <v>товари</v>
      </c>
      <c r="B897" s="13" t="str">
        <f>IFERROR(__xludf.DUMMYFUNCTION("""COMPUTED_VALUE"""),"будівництво")</f>
        <v>будівництво</v>
      </c>
      <c r="C897" s="16" t="str">
        <f>IFERROR(__xludf.DUMMYFUNCTION("""COMPUTED_VALUE"""),"будівельні матеріали")</f>
        <v>будівельні матеріали</v>
      </c>
      <c r="D897" s="16" t="str">
        <f>IFERROR(__xludf.DUMMYFUNCTION("""COMPUTED_VALUE"""),"фасадні матеріали")</f>
        <v>фасадні матеріали</v>
      </c>
      <c r="E897" s="16" t="str">
        <f>IFERROR(__xludf.DUMMYFUNCTION("""COMPUTED_VALUE"""),"облицювальне каміння")</f>
        <v>облицювальне каміння</v>
      </c>
      <c r="F897" s="17">
        <f>IFERROR(__xludf.DUMMYFUNCTION("""COMPUTED_VALUE"""),4.0)</f>
        <v>4</v>
      </c>
      <c r="G897" s="17">
        <f>IFERROR(__xludf.DUMMYFUNCTION("""COMPUTED_VALUE"""),1.3121102E7)</f>
        <v>13121102</v>
      </c>
      <c r="H897" s="17" t="str">
        <f>IFERROR(__xludf.DUMMYFUNCTION("""COMPUTED_VALUE"""),"облицювальне каміння")</f>
        <v>облицювальне каміння</v>
      </c>
      <c r="I897" s="18">
        <f>IFERROR(__xludf.DUMMYFUNCTION("""COMPUTED_VALUE"""),2.7)</f>
        <v>2.7</v>
      </c>
      <c r="J897" s="18">
        <f>IFERROR(__xludf.DUMMYFUNCTION("""COMPUTED_VALUE"""),5.4)</f>
        <v>5.4</v>
      </c>
      <c r="K897" s="18">
        <f>IFERROR(__xludf.DUMMYFUNCTION("""COMPUTED_VALUE"""),6.75)</f>
        <v>6.75</v>
      </c>
      <c r="L897" s="18">
        <f>IFERROR(__xludf.DUMMYFUNCTION("""COMPUTED_VALUE"""),10.8)</f>
        <v>10.8</v>
      </c>
    </row>
    <row r="898">
      <c r="A898" s="13" t="str">
        <f>IFERROR(__xludf.DUMMYFUNCTION("""COMPUTED_VALUE"""),"товари")</f>
        <v>товари</v>
      </c>
      <c r="B898" s="13" t="str">
        <f>IFERROR(__xludf.DUMMYFUNCTION("""COMPUTED_VALUE"""),"будівництво")</f>
        <v>будівництво</v>
      </c>
      <c r="C898" s="16" t="str">
        <f>IFERROR(__xludf.DUMMYFUNCTION("""COMPUTED_VALUE"""),"оздоблювальні матеріали")</f>
        <v>оздоблювальні матеріали</v>
      </c>
      <c r="D898" s="16" t="str">
        <f>IFERROR(__xludf.DUMMYFUNCTION("""COMPUTED_VALUE"""),"оздоблювальні матеріали, загальне")</f>
        <v>оздоблювальні матеріали, загальне</v>
      </c>
      <c r="E898" s="16" t="str">
        <f>IFERROR(__xludf.DUMMYFUNCTION("""COMPUTED_VALUE"""),"оздоблювальні матеріали, загальне")</f>
        <v>оздоблювальні матеріали, загальне</v>
      </c>
      <c r="F898" s="17">
        <f>IFERROR(__xludf.DUMMYFUNCTION("""COMPUTED_VALUE"""),3.0)</f>
        <v>3</v>
      </c>
      <c r="G898" s="17">
        <f>IFERROR(__xludf.DUMMYFUNCTION("""COMPUTED_VALUE"""),1.3070104E7)</f>
        <v>13070104</v>
      </c>
      <c r="H898" s="17" t="str">
        <f>IFERROR(__xludf.DUMMYFUNCTION("""COMPUTED_VALUE"""),"оздоблювальні матеріали, загальне")</f>
        <v>оздоблювальні матеріали, загальне</v>
      </c>
      <c r="I898" s="18">
        <f>IFERROR(__xludf.DUMMYFUNCTION("""COMPUTED_VALUE"""),2.16)</f>
        <v>2.16</v>
      </c>
      <c r="J898" s="18">
        <f>IFERROR(__xludf.DUMMYFUNCTION("""COMPUTED_VALUE"""),4.33)</f>
        <v>4.33</v>
      </c>
      <c r="K898" s="18">
        <f>IFERROR(__xludf.DUMMYFUNCTION("""COMPUTED_VALUE"""),5.41)</f>
        <v>5.41</v>
      </c>
      <c r="L898" s="18">
        <f>IFERROR(__xludf.DUMMYFUNCTION("""COMPUTED_VALUE"""),8.65)</f>
        <v>8.65</v>
      </c>
    </row>
    <row r="899">
      <c r="A899" s="13" t="str">
        <f>IFERROR(__xludf.DUMMYFUNCTION("""COMPUTED_VALUE"""),"товари")</f>
        <v>товари</v>
      </c>
      <c r="B899" s="13" t="str">
        <f>IFERROR(__xludf.DUMMYFUNCTION("""COMPUTED_VALUE"""),"будівництво")</f>
        <v>будівництво</v>
      </c>
      <c r="C899" s="15" t="str">
        <f>IFERROR(__xludf.DUMMYFUNCTION("""COMPUTED_VALUE"""),"будівельна техніка та обладнання")</f>
        <v>будівельна техніка та обладнання</v>
      </c>
      <c r="D899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899" s="15" t="str">
        <f>IFERROR(__xludf.DUMMYFUNCTION("""COMPUTED_VALUE"""),"перевантажувачі")</f>
        <v>перевантажувачі</v>
      </c>
      <c r="F899" s="17">
        <f>IFERROR(__xludf.DUMMYFUNCTION("""COMPUTED_VALUE"""),4.0)</f>
        <v>4</v>
      </c>
      <c r="G899" s="17">
        <f>IFERROR(__xludf.DUMMYFUNCTION("""COMPUTED_VALUE"""),1.3040212E7)</f>
        <v>13040212</v>
      </c>
      <c r="H899" s="17" t="str">
        <f>IFERROR(__xludf.DUMMYFUNCTION("""COMPUTED_VALUE"""),"перевантажувачі")</f>
        <v>перевантажувачі</v>
      </c>
      <c r="I899" s="18">
        <f>IFERROR(__xludf.DUMMYFUNCTION("""COMPUTED_VALUE"""),2.7)</f>
        <v>2.7</v>
      </c>
      <c r="J899" s="18">
        <f>IFERROR(__xludf.DUMMYFUNCTION("""COMPUTED_VALUE"""),5.4)</f>
        <v>5.4</v>
      </c>
      <c r="K899" s="18">
        <f>IFERROR(__xludf.DUMMYFUNCTION("""COMPUTED_VALUE"""),6.75)</f>
        <v>6.75</v>
      </c>
      <c r="L899" s="18">
        <f>IFERROR(__xludf.DUMMYFUNCTION("""COMPUTED_VALUE"""),10.8)</f>
        <v>10.8</v>
      </c>
    </row>
    <row r="900">
      <c r="A900" s="13" t="str">
        <f>IFERROR(__xludf.DUMMYFUNCTION("""COMPUTED_VALUE"""),"товари")</f>
        <v>товари</v>
      </c>
      <c r="B900" s="13" t="str">
        <f>IFERROR(__xludf.DUMMYFUNCTION("""COMPUTED_VALUE"""),"будівництво")</f>
        <v>будівництво</v>
      </c>
      <c r="C900" s="15" t="str">
        <f>IFERROR(__xludf.DUMMYFUNCTION("""COMPUTED_VALUE"""),"будівельні матеріали")</f>
        <v>будівельні матеріали</v>
      </c>
      <c r="D900" s="15" t="str">
        <f>IFERROR(__xludf.DUMMYFUNCTION("""COMPUTED_VALUE"""),"сходи та комплектуючі для сходів")</f>
        <v>сходи та комплектуючі для сходів</v>
      </c>
      <c r="E900" s="15" t="str">
        <f>IFERROR(__xludf.DUMMYFUNCTION("""COMPUTED_VALUE"""),"перила та поручні")</f>
        <v>перила та поручні</v>
      </c>
      <c r="F900" s="17">
        <f>IFERROR(__xludf.DUMMYFUNCTION("""COMPUTED_VALUE"""),4.0)</f>
        <v>4</v>
      </c>
      <c r="G900" s="17">
        <f>IFERROR(__xludf.DUMMYFUNCTION("""COMPUTED_VALUE"""),1348.0)</f>
        <v>1348</v>
      </c>
      <c r="H900" s="17" t="str">
        <f>IFERROR(__xludf.DUMMYFUNCTION("""COMPUTED_VALUE"""),"перила та поручні")</f>
        <v>перила та поручні</v>
      </c>
      <c r="I900" s="18">
        <f>IFERROR(__xludf.DUMMYFUNCTION("""COMPUTED_VALUE"""),0.76)</f>
        <v>0.76</v>
      </c>
      <c r="J900" s="18">
        <f>IFERROR(__xludf.DUMMYFUNCTION("""COMPUTED_VALUE"""),1.53)</f>
        <v>1.53</v>
      </c>
      <c r="K900" s="18">
        <f>IFERROR(__xludf.DUMMYFUNCTION("""COMPUTED_VALUE"""),1.91)</f>
        <v>1.91</v>
      </c>
      <c r="L900" s="18">
        <f>IFERROR(__xludf.DUMMYFUNCTION("""COMPUTED_VALUE"""),3.05)</f>
        <v>3.05</v>
      </c>
    </row>
    <row r="901">
      <c r="A901" s="13" t="str">
        <f>IFERROR(__xludf.DUMMYFUNCTION("""COMPUTED_VALUE"""),"товари")</f>
        <v>товари</v>
      </c>
      <c r="B901" s="13" t="str">
        <f>IFERROR(__xludf.DUMMYFUNCTION("""COMPUTED_VALUE"""),"будівництво")</f>
        <v>будівництво</v>
      </c>
      <c r="C901" s="15" t="str">
        <f>IFERROR(__xludf.DUMMYFUNCTION("""COMPUTED_VALUE"""),"будівельні матеріали")</f>
        <v>будівельні матеріали</v>
      </c>
      <c r="D901" s="15" t="str">
        <f>IFERROR(__xludf.DUMMYFUNCTION("""COMPUTED_VALUE"""),"сипкі матеріали")</f>
        <v>сипкі матеріали</v>
      </c>
      <c r="E901" s="15" t="str">
        <f>IFERROR(__xludf.DUMMYFUNCTION("""COMPUTED_VALUE"""),"пісок")</f>
        <v>пісок</v>
      </c>
      <c r="F901" s="17">
        <f>IFERROR(__xludf.DUMMYFUNCTION("""COMPUTED_VALUE"""),4.0)</f>
        <v>4</v>
      </c>
      <c r="G901" s="17">
        <f>IFERROR(__xludf.DUMMYFUNCTION("""COMPUTED_VALUE"""),1351.0)</f>
        <v>1351</v>
      </c>
      <c r="H901" s="17" t="str">
        <f>IFERROR(__xludf.DUMMYFUNCTION("""COMPUTED_VALUE"""),"пісок")</f>
        <v>пісок</v>
      </c>
      <c r="I901" s="18">
        <f>IFERROR(__xludf.DUMMYFUNCTION("""COMPUTED_VALUE"""),2.7)</f>
        <v>2.7</v>
      </c>
      <c r="J901" s="18">
        <f>IFERROR(__xludf.DUMMYFUNCTION("""COMPUTED_VALUE"""),5.4)</f>
        <v>5.4</v>
      </c>
      <c r="K901" s="18">
        <f>IFERROR(__xludf.DUMMYFUNCTION("""COMPUTED_VALUE"""),6.75)</f>
        <v>6.75</v>
      </c>
      <c r="L901" s="18">
        <f>IFERROR(__xludf.DUMMYFUNCTION("""COMPUTED_VALUE"""),10.8)</f>
        <v>10.8</v>
      </c>
    </row>
    <row r="902">
      <c r="A902" s="13" t="str">
        <f>IFERROR(__xludf.DUMMYFUNCTION("""COMPUTED_VALUE"""),"товари")</f>
        <v>товари</v>
      </c>
      <c r="B902" s="13" t="str">
        <f>IFERROR(__xludf.DUMMYFUNCTION("""COMPUTED_VALUE"""),"будівництво")</f>
        <v>будівництво</v>
      </c>
      <c r="C902" s="15" t="str">
        <f>IFERROR(__xludf.DUMMYFUNCTION("""COMPUTED_VALUE"""),"будівельні матеріали")</f>
        <v>будівельні матеріали</v>
      </c>
      <c r="D902" s="15" t="str">
        <f>IFERROR(__xludf.DUMMYFUNCTION("""COMPUTED_VALUE"""),"залізобетонні вироби")</f>
        <v>залізобетонні вироби</v>
      </c>
      <c r="E902" s="15" t="str">
        <f>IFERROR(__xludf.DUMMYFUNCTION("""COMPUTED_VALUE"""),"плити перекриття")</f>
        <v>плити перекриття</v>
      </c>
      <c r="F902" s="17">
        <f>IFERROR(__xludf.DUMMYFUNCTION("""COMPUTED_VALUE"""),4.0)</f>
        <v>4</v>
      </c>
      <c r="G902" s="17">
        <f>IFERROR(__xludf.DUMMYFUNCTION("""COMPUTED_VALUE"""),1.3070403E7)</f>
        <v>13070403</v>
      </c>
      <c r="H902" s="17" t="str">
        <f>IFERROR(__xludf.DUMMYFUNCTION("""COMPUTED_VALUE"""),"плити перекриття")</f>
        <v>плити перекриття</v>
      </c>
      <c r="I902" s="18">
        <f>IFERROR(__xludf.DUMMYFUNCTION("""COMPUTED_VALUE"""),2.7)</f>
        <v>2.7</v>
      </c>
      <c r="J902" s="18">
        <f>IFERROR(__xludf.DUMMYFUNCTION("""COMPUTED_VALUE"""),5.4)</f>
        <v>5.4</v>
      </c>
      <c r="K902" s="18">
        <f>IFERROR(__xludf.DUMMYFUNCTION("""COMPUTED_VALUE"""),6.75)</f>
        <v>6.75</v>
      </c>
      <c r="L902" s="18">
        <f>IFERROR(__xludf.DUMMYFUNCTION("""COMPUTED_VALUE"""),10.8)</f>
        <v>10.8</v>
      </c>
    </row>
    <row r="903">
      <c r="A903" s="13" t="str">
        <f>IFERROR(__xludf.DUMMYFUNCTION("""COMPUTED_VALUE"""),"товари")</f>
        <v>товари</v>
      </c>
      <c r="B903" s="13" t="str">
        <f>IFERROR(__xludf.DUMMYFUNCTION("""COMPUTED_VALUE"""),"будівництво")</f>
        <v>будівництво</v>
      </c>
      <c r="C903" s="15" t="str">
        <f>IFERROR(__xludf.DUMMYFUNCTION("""COMPUTED_VALUE"""),"будівельні матеріали")</f>
        <v>будівельні матеріали</v>
      </c>
      <c r="D903" s="15" t="str">
        <f>IFERROR(__xludf.DUMMYFUNCTION("""COMPUTED_VALUE"""),"покрівельні матеріали")</f>
        <v>покрівельні матеріали</v>
      </c>
      <c r="E903" s="15" t="str">
        <f>IFERROR(__xludf.DUMMYFUNCTION("""COMPUTED_VALUE"""),"покрівля даху")</f>
        <v>покрівля даху</v>
      </c>
      <c r="F903" s="17">
        <f>IFERROR(__xludf.DUMMYFUNCTION("""COMPUTED_VALUE"""),4.0)</f>
        <v>4</v>
      </c>
      <c r="G903" s="17">
        <f>IFERROR(__xludf.DUMMYFUNCTION("""COMPUTED_VALUE"""),135001.0)</f>
        <v>135001</v>
      </c>
      <c r="H903" s="17" t="str">
        <f>IFERROR(__xludf.DUMMYFUNCTION("""COMPUTED_VALUE"""),"покрівля даху")</f>
        <v>покрівля даху</v>
      </c>
      <c r="I903" s="18">
        <f>IFERROR(__xludf.DUMMYFUNCTION("""COMPUTED_VALUE"""),0.76)</f>
        <v>0.76</v>
      </c>
      <c r="J903" s="18">
        <f>IFERROR(__xludf.DUMMYFUNCTION("""COMPUTED_VALUE"""),1.53)</f>
        <v>1.53</v>
      </c>
      <c r="K903" s="18">
        <f>IFERROR(__xludf.DUMMYFUNCTION("""COMPUTED_VALUE"""),1.91)</f>
        <v>1.91</v>
      </c>
      <c r="L903" s="18">
        <f>IFERROR(__xludf.DUMMYFUNCTION("""COMPUTED_VALUE"""),3.05)</f>
        <v>3.05</v>
      </c>
    </row>
    <row r="904">
      <c r="A904" s="13" t="str">
        <f>IFERROR(__xludf.DUMMYFUNCTION("""COMPUTED_VALUE"""),"товари")</f>
        <v>товари</v>
      </c>
      <c r="B904" s="13" t="str">
        <f>IFERROR(__xludf.DUMMYFUNCTION("""COMPUTED_VALUE"""),"будівництво")</f>
        <v>будівництво</v>
      </c>
      <c r="C904" s="15" t="str">
        <f>IFERROR(__xludf.DUMMYFUNCTION("""COMPUTED_VALUE"""),"будівельні матеріали")</f>
        <v>будівельні матеріали</v>
      </c>
      <c r="D904" s="15" t="str">
        <f>IFERROR(__xludf.DUMMYFUNCTION("""COMPUTED_VALUE"""),"залізобетонні вироби")</f>
        <v>залізобетонні вироби</v>
      </c>
      <c r="E904" s="15" t="str">
        <f>IFERROR(__xludf.DUMMYFUNCTION("""COMPUTED_VALUE"""),"портальні стінки")</f>
        <v>портальні стінки</v>
      </c>
      <c r="F904" s="17">
        <f>IFERROR(__xludf.DUMMYFUNCTION("""COMPUTED_VALUE"""),4.0)</f>
        <v>4</v>
      </c>
      <c r="G904" s="17">
        <f>IFERROR(__xludf.DUMMYFUNCTION("""COMPUTED_VALUE"""),1.3070429E7)</f>
        <v>13070429</v>
      </c>
      <c r="H904" s="17" t="str">
        <f>IFERROR(__xludf.DUMMYFUNCTION("""COMPUTED_VALUE"""),"портальні стінки")</f>
        <v>портальні стінки</v>
      </c>
      <c r="I904" s="18">
        <f>IFERROR(__xludf.DUMMYFUNCTION("""COMPUTED_VALUE"""),2.7)</f>
        <v>2.7</v>
      </c>
      <c r="J904" s="18">
        <f>IFERROR(__xludf.DUMMYFUNCTION("""COMPUTED_VALUE"""),5.4)</f>
        <v>5.4</v>
      </c>
      <c r="K904" s="18">
        <f>IFERROR(__xludf.DUMMYFUNCTION("""COMPUTED_VALUE"""),6.75)</f>
        <v>6.75</v>
      </c>
      <c r="L904" s="18">
        <f>IFERROR(__xludf.DUMMYFUNCTION("""COMPUTED_VALUE"""),10.8)</f>
        <v>10.8</v>
      </c>
    </row>
    <row r="905">
      <c r="A905" s="13" t="str">
        <f>IFERROR(__xludf.DUMMYFUNCTION("""COMPUTED_VALUE"""),"товари")</f>
        <v>товари</v>
      </c>
      <c r="B905" s="13" t="str">
        <f>IFERROR(__xludf.DUMMYFUNCTION("""COMPUTED_VALUE"""),"будівництво")</f>
        <v>будівництво</v>
      </c>
      <c r="C905" s="15" t="str">
        <f>IFERROR(__xludf.DUMMYFUNCTION("""COMPUTED_VALUE"""),"вентиляційні системи")</f>
        <v>вентиляційні системи</v>
      </c>
      <c r="D905" s="15" t="str">
        <f>IFERROR(__xludf.DUMMYFUNCTION("""COMPUTED_VALUE"""),"припливно-витяжні установки")</f>
        <v>припливно-витяжні установки</v>
      </c>
      <c r="E905" s="15" t="str">
        <f>IFERROR(__xludf.DUMMYFUNCTION("""COMPUTED_VALUE"""),"припливно-витяжні установки")</f>
        <v>припливно-витяжні установки</v>
      </c>
      <c r="F905" s="17">
        <f>IFERROR(__xludf.DUMMYFUNCTION("""COMPUTED_VALUE"""),3.0)</f>
        <v>3</v>
      </c>
      <c r="G905" s="17">
        <f>IFERROR(__xludf.DUMMYFUNCTION("""COMPUTED_VALUE"""),142209.0)</f>
        <v>142209</v>
      </c>
      <c r="H905" s="17" t="str">
        <f>IFERROR(__xludf.DUMMYFUNCTION("""COMPUTED_VALUE"""),"припливно-витяжні установки")</f>
        <v>припливно-витяжні установки</v>
      </c>
      <c r="I905" s="18">
        <f>IFERROR(__xludf.DUMMYFUNCTION("""COMPUTED_VALUE"""),2.7)</f>
        <v>2.7</v>
      </c>
      <c r="J905" s="18">
        <f>IFERROR(__xludf.DUMMYFUNCTION("""COMPUTED_VALUE"""),5.4)</f>
        <v>5.4</v>
      </c>
      <c r="K905" s="18">
        <f>IFERROR(__xludf.DUMMYFUNCTION("""COMPUTED_VALUE"""),6.75)</f>
        <v>6.75</v>
      </c>
      <c r="L905" s="18">
        <f>IFERROR(__xludf.DUMMYFUNCTION("""COMPUTED_VALUE"""),10.8)</f>
        <v>10.8</v>
      </c>
    </row>
    <row r="906">
      <c r="A906" s="13" t="str">
        <f>IFERROR(__xludf.DUMMYFUNCTION("""COMPUTED_VALUE"""),"товари")</f>
        <v>товари</v>
      </c>
      <c r="B906" s="13" t="str">
        <f>IFERROR(__xludf.DUMMYFUNCTION("""COMPUTED_VALUE"""),"будівництво")</f>
        <v>будівництво</v>
      </c>
      <c r="C906" s="15" t="str">
        <f>IFERROR(__xludf.DUMMYFUNCTION("""COMPUTED_VALUE"""),"будівельні матеріали")</f>
        <v>будівельні матеріали</v>
      </c>
      <c r="D906" s="15" t="str">
        <f>IFERROR(__xludf.DUMMYFUNCTION("""COMPUTED_VALUE"""),"сипкі матеріали")</f>
        <v>сипкі матеріали</v>
      </c>
      <c r="E906" s="15" t="str">
        <f>IFERROR(__xludf.DUMMYFUNCTION("""COMPUTED_VALUE"""),"сипкі матеріали, загальне")</f>
        <v>сипкі матеріали, загальне</v>
      </c>
      <c r="F906" s="17">
        <f>IFERROR(__xludf.DUMMYFUNCTION("""COMPUTED_VALUE"""),4.0)</f>
        <v>4</v>
      </c>
      <c r="G906" s="17">
        <f>IFERROR(__xludf.DUMMYFUNCTION("""COMPUTED_VALUE"""),1.3070604E7)</f>
        <v>13070604</v>
      </c>
      <c r="H906" s="17" t="str">
        <f>IFERROR(__xludf.DUMMYFUNCTION("""COMPUTED_VALUE"""),"сипкі матеріали, загальне")</f>
        <v>сипкі матеріали, загальне</v>
      </c>
      <c r="I906" s="18">
        <f>IFERROR(__xludf.DUMMYFUNCTION("""COMPUTED_VALUE"""),2.16)</f>
        <v>2.16</v>
      </c>
      <c r="J906" s="18">
        <f>IFERROR(__xludf.DUMMYFUNCTION("""COMPUTED_VALUE"""),4.33)</f>
        <v>4.33</v>
      </c>
      <c r="K906" s="18">
        <f>IFERROR(__xludf.DUMMYFUNCTION("""COMPUTED_VALUE"""),5.41)</f>
        <v>5.41</v>
      </c>
      <c r="L906" s="18">
        <f>IFERROR(__xludf.DUMMYFUNCTION("""COMPUTED_VALUE"""),8.65)</f>
        <v>8.65</v>
      </c>
    </row>
    <row r="907">
      <c r="A907" s="13" t="str">
        <f>IFERROR(__xludf.DUMMYFUNCTION("""COMPUTED_VALUE"""),"товари")</f>
        <v>товари</v>
      </c>
      <c r="B907" s="13" t="str">
        <f>IFERROR(__xludf.DUMMYFUNCTION("""COMPUTED_VALUE"""),"будівництво")</f>
        <v>будівництво</v>
      </c>
      <c r="C907" s="15" t="str">
        <f>IFERROR(__xludf.DUMMYFUNCTION("""COMPUTED_VALUE"""),"вентиляційні системи")</f>
        <v>вентиляційні системи</v>
      </c>
      <c r="D907" s="15" t="str">
        <f>IFERROR(__xludf.DUMMYFUNCTION("""COMPUTED_VALUE"""),"системи автоматизованого керування вентиляцією")</f>
        <v>системи автоматизованого керування вентиляцією</v>
      </c>
      <c r="E907" s="15" t="str">
        <f>IFERROR(__xludf.DUMMYFUNCTION("""COMPUTED_VALUE"""),"системи автоматизованого керування вентиляцією")</f>
        <v>системи автоматизованого керування вентиляцією</v>
      </c>
      <c r="F907" s="17">
        <f>IFERROR(__xludf.DUMMYFUNCTION("""COMPUTED_VALUE"""),3.0)</f>
        <v>3</v>
      </c>
      <c r="G907" s="17">
        <f>IFERROR(__xludf.DUMMYFUNCTION("""COMPUTED_VALUE"""),142213.0)</f>
        <v>142213</v>
      </c>
      <c r="H907" s="17" t="str">
        <f>IFERROR(__xludf.DUMMYFUNCTION("""COMPUTED_VALUE"""),"системи автоматизованого керування вентиляцією")</f>
        <v>системи автоматизованого керування вентиляцією</v>
      </c>
      <c r="I907" s="18">
        <f>IFERROR(__xludf.DUMMYFUNCTION("""COMPUTED_VALUE"""),1.04)</f>
        <v>1.04</v>
      </c>
      <c r="J907" s="18">
        <f>IFERROR(__xludf.DUMMYFUNCTION("""COMPUTED_VALUE"""),2.08)</f>
        <v>2.08</v>
      </c>
      <c r="K907" s="18">
        <f>IFERROR(__xludf.DUMMYFUNCTION("""COMPUTED_VALUE"""),2.59)</f>
        <v>2.59</v>
      </c>
      <c r="L907" s="18">
        <f>IFERROR(__xludf.DUMMYFUNCTION("""COMPUTED_VALUE"""),4.15)</f>
        <v>4.15</v>
      </c>
    </row>
    <row r="908">
      <c r="A908" s="13" t="str">
        <f>IFERROR(__xludf.DUMMYFUNCTION("""COMPUTED_VALUE"""),"товари")</f>
        <v>товари</v>
      </c>
      <c r="B908" s="13" t="str">
        <f>IFERROR(__xludf.DUMMYFUNCTION("""COMPUTED_VALUE"""),"будівництво")</f>
        <v>будівництво</v>
      </c>
      <c r="C908" s="15" t="str">
        <f>IFERROR(__xludf.DUMMYFUNCTION("""COMPUTED_VALUE"""),"будівельні матеріали")</f>
        <v>будівельні матеріали</v>
      </c>
      <c r="D908" s="15" t="str">
        <f>IFERROR(__xludf.DUMMYFUNCTION("""COMPUTED_VALUE"""),"фасадні матеріали")</f>
        <v>фасадні матеріали</v>
      </c>
      <c r="E908" s="15" t="str">
        <f>IFERROR(__xludf.DUMMYFUNCTION("""COMPUTED_VALUE"""),"системи вентильованих фасадів")</f>
        <v>системи вентильованих фасадів</v>
      </c>
      <c r="F908" s="17">
        <f>IFERROR(__xludf.DUMMYFUNCTION("""COMPUTED_VALUE"""),4.0)</f>
        <v>4</v>
      </c>
      <c r="G908" s="17">
        <f>IFERROR(__xludf.DUMMYFUNCTION("""COMPUTED_VALUE"""),1.3070306E7)</f>
        <v>13070306</v>
      </c>
      <c r="H908" s="17" t="str">
        <f>IFERROR(__xludf.DUMMYFUNCTION("""COMPUTED_VALUE"""),"системи вентильованих фасадів")</f>
        <v>системи вентильованих фасадів</v>
      </c>
      <c r="I908" s="18">
        <f>IFERROR(__xludf.DUMMYFUNCTION("""COMPUTED_VALUE"""),2.7)</f>
        <v>2.7</v>
      </c>
      <c r="J908" s="18">
        <f>IFERROR(__xludf.DUMMYFUNCTION("""COMPUTED_VALUE"""),5.4)</f>
        <v>5.4</v>
      </c>
      <c r="K908" s="18">
        <f>IFERROR(__xludf.DUMMYFUNCTION("""COMPUTED_VALUE"""),6.75)</f>
        <v>6.75</v>
      </c>
      <c r="L908" s="18">
        <f>IFERROR(__xludf.DUMMYFUNCTION("""COMPUTED_VALUE"""),10.8)</f>
        <v>10.8</v>
      </c>
    </row>
    <row r="909">
      <c r="A909" s="13" t="str">
        <f>IFERROR(__xludf.DUMMYFUNCTION("""COMPUTED_VALUE"""),"товари")</f>
        <v>товари</v>
      </c>
      <c r="B909" s="13" t="str">
        <f>IFERROR(__xludf.DUMMYFUNCTION("""COMPUTED_VALUE"""),"будівництво")</f>
        <v>будівництво</v>
      </c>
      <c r="C909" s="15" t="str">
        <f>IFERROR(__xludf.DUMMYFUNCTION("""COMPUTED_VALUE"""),"будівельні матеріали")</f>
        <v>будівельні матеріали</v>
      </c>
      <c r="D909" s="15" t="str">
        <f>IFERROR(__xludf.DUMMYFUNCTION("""COMPUTED_VALUE"""),"теплоізоляційні матеріали")</f>
        <v>теплоізоляційні матеріали</v>
      </c>
      <c r="E909" s="15" t="str">
        <f>IFERROR(__xludf.DUMMYFUNCTION("""COMPUTED_VALUE"""),"склотканина")</f>
        <v>склотканина</v>
      </c>
      <c r="F909" s="17">
        <f>IFERROR(__xludf.DUMMYFUNCTION("""COMPUTED_VALUE"""),4.0)</f>
        <v>4</v>
      </c>
      <c r="G909" s="17">
        <f>IFERROR(__xludf.DUMMYFUNCTION("""COMPUTED_VALUE"""),133407.0)</f>
        <v>133407</v>
      </c>
      <c r="H909" s="17" t="str">
        <f>IFERROR(__xludf.DUMMYFUNCTION("""COMPUTED_VALUE"""),"склотканина")</f>
        <v>склотканина</v>
      </c>
      <c r="I909" s="18">
        <f>IFERROR(__xludf.DUMMYFUNCTION("""COMPUTED_VALUE"""),1.94)</f>
        <v>1.94</v>
      </c>
      <c r="J909" s="18">
        <f>IFERROR(__xludf.DUMMYFUNCTION("""COMPUTED_VALUE"""),3.88)</f>
        <v>3.88</v>
      </c>
      <c r="K909" s="18">
        <f>IFERROR(__xludf.DUMMYFUNCTION("""COMPUTED_VALUE"""),4.84)</f>
        <v>4.84</v>
      </c>
      <c r="L909" s="18">
        <f>IFERROR(__xludf.DUMMYFUNCTION("""COMPUTED_VALUE"""),7.75)</f>
        <v>7.75</v>
      </c>
    </row>
    <row r="910">
      <c r="A910" s="13" t="str">
        <f>IFERROR(__xludf.DUMMYFUNCTION("""COMPUTED_VALUE"""),"товари")</f>
        <v>товари</v>
      </c>
      <c r="B910" s="13" t="str">
        <f>IFERROR(__xludf.DUMMYFUNCTION("""COMPUTED_VALUE"""),"будівництво")</f>
        <v>будівництво</v>
      </c>
      <c r="C910" s="15" t="str">
        <f>IFERROR(__xludf.DUMMYFUNCTION("""COMPUTED_VALUE"""),"будівельні матеріали")</f>
        <v>будівельні матеріали</v>
      </c>
      <c r="D910" s="15" t="str">
        <f>IFERROR(__xludf.DUMMYFUNCTION("""COMPUTED_VALUE"""),"стінові та мурувальні матеріали")</f>
        <v>стінові та мурувальні матеріали</v>
      </c>
      <c r="E910" s="15" t="str">
        <f>IFERROR(__xludf.DUMMYFUNCTION("""COMPUTED_VALUE"""),"стінові та мурувальні матеріали, загальне")</f>
        <v>стінові та мурувальні матеріали, загальне</v>
      </c>
      <c r="F910" s="17">
        <f>IFERROR(__xludf.DUMMYFUNCTION("""COMPUTED_VALUE"""),4.0)</f>
        <v>4</v>
      </c>
      <c r="G910" s="17">
        <f>IFERROR(__xludf.DUMMYFUNCTION("""COMPUTED_VALUE"""),131499.0)</f>
        <v>131499</v>
      </c>
      <c r="H910" s="17" t="str">
        <f>IFERROR(__xludf.DUMMYFUNCTION("""COMPUTED_VALUE"""),"стінові та мурувальні матеріали, загальне")</f>
        <v>стінові та мурувальні матеріали, загальне</v>
      </c>
      <c r="I910" s="18">
        <f>IFERROR(__xludf.DUMMYFUNCTION("""COMPUTED_VALUE"""),2.16)</f>
        <v>2.16</v>
      </c>
      <c r="J910" s="18">
        <f>IFERROR(__xludf.DUMMYFUNCTION("""COMPUTED_VALUE"""),4.33)</f>
        <v>4.33</v>
      </c>
      <c r="K910" s="18">
        <f>IFERROR(__xludf.DUMMYFUNCTION("""COMPUTED_VALUE"""),5.41)</f>
        <v>5.41</v>
      </c>
      <c r="L910" s="18">
        <f>IFERROR(__xludf.DUMMYFUNCTION("""COMPUTED_VALUE"""),8.65)</f>
        <v>8.65</v>
      </c>
    </row>
    <row r="911">
      <c r="A911" s="13" t="str">
        <f>IFERROR(__xludf.DUMMYFUNCTION("""COMPUTED_VALUE"""),"товари")</f>
        <v>товари</v>
      </c>
      <c r="B911" s="13" t="str">
        <f>IFERROR(__xludf.DUMMYFUNCTION("""COMPUTED_VALUE"""),"будівництво")</f>
        <v>будівництво</v>
      </c>
      <c r="C911" s="15" t="str">
        <f>IFERROR(__xludf.DUMMYFUNCTION("""COMPUTED_VALUE"""),"будівельна техніка та обладнання")</f>
        <v>будівельна техніка та обладнання</v>
      </c>
      <c r="D911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911" s="15" t="str">
        <f>IFERROR(__xludf.DUMMYFUNCTION("""COMPUTED_VALUE"""),"стропи")</f>
        <v>стропи</v>
      </c>
      <c r="F911" s="17">
        <f>IFERROR(__xludf.DUMMYFUNCTION("""COMPUTED_VALUE"""),4.0)</f>
        <v>4</v>
      </c>
      <c r="G911" s="17">
        <f>IFERROR(__xludf.DUMMYFUNCTION("""COMPUTED_VALUE"""),1.3070702E7)</f>
        <v>13070702</v>
      </c>
      <c r="H911" s="17" t="str">
        <f>IFERROR(__xludf.DUMMYFUNCTION("""COMPUTED_VALUE"""),"стропи")</f>
        <v>стропи</v>
      </c>
      <c r="I911" s="18">
        <f>IFERROR(__xludf.DUMMYFUNCTION("""COMPUTED_VALUE"""),2.7)</f>
        <v>2.7</v>
      </c>
      <c r="J911" s="18">
        <f>IFERROR(__xludf.DUMMYFUNCTION("""COMPUTED_VALUE"""),5.4)</f>
        <v>5.4</v>
      </c>
      <c r="K911" s="18">
        <f>IFERROR(__xludf.DUMMYFUNCTION("""COMPUTED_VALUE"""),6.75)</f>
        <v>6.75</v>
      </c>
      <c r="L911" s="18">
        <f>IFERROR(__xludf.DUMMYFUNCTION("""COMPUTED_VALUE"""),10.8)</f>
        <v>10.8</v>
      </c>
    </row>
    <row r="912">
      <c r="A912" s="13" t="str">
        <f>IFERROR(__xludf.DUMMYFUNCTION("""COMPUTED_VALUE"""),"товари")</f>
        <v>товари</v>
      </c>
      <c r="B912" s="13" t="str">
        <f>IFERROR(__xludf.DUMMYFUNCTION("""COMPUTED_VALUE"""),"будівництво")</f>
        <v>будівництво</v>
      </c>
      <c r="C912" s="15" t="str">
        <f>IFERROR(__xludf.DUMMYFUNCTION("""COMPUTED_VALUE"""),"будівельні матеріали")</f>
        <v>будівельні матеріали</v>
      </c>
      <c r="D912" s="15" t="str">
        <f>IFERROR(__xludf.DUMMYFUNCTION("""COMPUTED_VALUE"""),"сходи та комплектуючі для сходів")</f>
        <v>сходи та комплектуючі для сходів</v>
      </c>
      <c r="E912" s="15" t="str">
        <f>IFERROR(__xludf.DUMMYFUNCTION("""COMPUTED_VALUE"""),"сходи")</f>
        <v>сходи</v>
      </c>
      <c r="F912" s="17">
        <f>IFERROR(__xludf.DUMMYFUNCTION("""COMPUTED_VALUE"""),4.0)</f>
        <v>4</v>
      </c>
      <c r="G912" s="17">
        <f>IFERROR(__xludf.DUMMYFUNCTION("""COMPUTED_VALUE"""),133001.0)</f>
        <v>133001</v>
      </c>
      <c r="H912" s="17" t="str">
        <f>IFERROR(__xludf.DUMMYFUNCTION("""COMPUTED_VALUE"""),"сходи")</f>
        <v>сходи</v>
      </c>
      <c r="I912" s="18">
        <f>IFERROR(__xludf.DUMMYFUNCTION("""COMPUTED_VALUE"""),0.76)</f>
        <v>0.76</v>
      </c>
      <c r="J912" s="18">
        <f>IFERROR(__xludf.DUMMYFUNCTION("""COMPUTED_VALUE"""),1.53)</f>
        <v>1.53</v>
      </c>
      <c r="K912" s="18">
        <f>IFERROR(__xludf.DUMMYFUNCTION("""COMPUTED_VALUE"""),1.91)</f>
        <v>1.91</v>
      </c>
      <c r="L912" s="18">
        <f>IFERROR(__xludf.DUMMYFUNCTION("""COMPUTED_VALUE"""),3.05)</f>
        <v>3.05</v>
      </c>
    </row>
    <row r="913">
      <c r="A913" s="13" t="str">
        <f>IFERROR(__xludf.DUMMYFUNCTION("""COMPUTED_VALUE"""),"товари")</f>
        <v>товари</v>
      </c>
      <c r="B913" s="13" t="str">
        <f>IFERROR(__xludf.DUMMYFUNCTION("""COMPUTED_VALUE"""),"будівництво")</f>
        <v>будівництво</v>
      </c>
      <c r="C913" s="15" t="str">
        <f>IFERROR(__xludf.DUMMYFUNCTION("""COMPUTED_VALUE"""),"будівельні матеріали")</f>
        <v>будівельні матеріали</v>
      </c>
      <c r="D913" s="15" t="str">
        <f>IFERROR(__xludf.DUMMYFUNCTION("""COMPUTED_VALUE"""),"сходи та комплектуючі для сходів")</f>
        <v>сходи та комплектуючі для сходів</v>
      </c>
      <c r="E913" s="15" t="str">
        <f>IFERROR(__xludf.DUMMYFUNCTION("""COMPUTED_VALUE"""),"сходинки для сходів")</f>
        <v>сходинки для сходів</v>
      </c>
      <c r="F913" s="17">
        <f>IFERROR(__xludf.DUMMYFUNCTION("""COMPUTED_VALUE"""),4.0)</f>
        <v>4</v>
      </c>
      <c r="G913" s="17">
        <f>IFERROR(__xludf.DUMMYFUNCTION("""COMPUTED_VALUE"""),1359.0)</f>
        <v>1359</v>
      </c>
      <c r="H913" s="17" t="str">
        <f>IFERROR(__xludf.DUMMYFUNCTION("""COMPUTED_VALUE"""),"сходинки для сходів")</f>
        <v>сходинки для сходів</v>
      </c>
      <c r="I913" s="18">
        <f>IFERROR(__xludf.DUMMYFUNCTION("""COMPUTED_VALUE"""),0.76)</f>
        <v>0.76</v>
      </c>
      <c r="J913" s="18">
        <f>IFERROR(__xludf.DUMMYFUNCTION("""COMPUTED_VALUE"""),1.53)</f>
        <v>1.53</v>
      </c>
      <c r="K913" s="18">
        <f>IFERROR(__xludf.DUMMYFUNCTION("""COMPUTED_VALUE"""),1.91)</f>
        <v>1.91</v>
      </c>
      <c r="L913" s="18">
        <f>IFERROR(__xludf.DUMMYFUNCTION("""COMPUTED_VALUE"""),3.05)</f>
        <v>3.05</v>
      </c>
    </row>
    <row r="914">
      <c r="A914" s="13" t="str">
        <f>IFERROR(__xludf.DUMMYFUNCTION("""COMPUTED_VALUE"""),"товари")</f>
        <v>товари</v>
      </c>
      <c r="B914" s="13" t="str">
        <f>IFERROR(__xludf.DUMMYFUNCTION("""COMPUTED_VALUE"""),"будівництво")</f>
        <v>будівництво</v>
      </c>
      <c r="C914" s="15" t="str">
        <f>IFERROR(__xludf.DUMMYFUNCTION("""COMPUTED_VALUE"""),"будівельні матеріали")</f>
        <v>будівельні матеріали</v>
      </c>
      <c r="D914" s="15" t="str">
        <f>IFERROR(__xludf.DUMMYFUNCTION("""COMPUTED_VALUE"""),"теплоізоляційні матеріали")</f>
        <v>теплоізоляційні матеріали</v>
      </c>
      <c r="E914" s="15" t="str">
        <f>IFERROR(__xludf.DUMMYFUNCTION("""COMPUTED_VALUE"""),"теплоізоляційна фольга")</f>
        <v>теплоізоляційна фольга</v>
      </c>
      <c r="F914" s="17">
        <f>IFERROR(__xludf.DUMMYFUNCTION("""COMPUTED_VALUE"""),4.0)</f>
        <v>4</v>
      </c>
      <c r="G914" s="17">
        <f>IFERROR(__xludf.DUMMYFUNCTION("""COMPUTED_VALUE"""),133410.0)</f>
        <v>133410</v>
      </c>
      <c r="H914" s="17" t="str">
        <f>IFERROR(__xludf.DUMMYFUNCTION("""COMPUTED_VALUE"""),"теплоізоляційна фольга")</f>
        <v>теплоізоляційна фольга</v>
      </c>
      <c r="I914" s="18">
        <f>IFERROR(__xludf.DUMMYFUNCTION("""COMPUTED_VALUE"""),1.94)</f>
        <v>1.94</v>
      </c>
      <c r="J914" s="18">
        <f>IFERROR(__xludf.DUMMYFUNCTION("""COMPUTED_VALUE"""),3.88)</f>
        <v>3.88</v>
      </c>
      <c r="K914" s="18">
        <f>IFERROR(__xludf.DUMMYFUNCTION("""COMPUTED_VALUE"""),4.84)</f>
        <v>4.84</v>
      </c>
      <c r="L914" s="18">
        <f>IFERROR(__xludf.DUMMYFUNCTION("""COMPUTED_VALUE"""),7.75)</f>
        <v>7.75</v>
      </c>
    </row>
    <row r="915">
      <c r="A915" s="13" t="str">
        <f>IFERROR(__xludf.DUMMYFUNCTION("""COMPUTED_VALUE"""),"товари")</f>
        <v>товари</v>
      </c>
      <c r="B915" s="13" t="str">
        <f>IFERROR(__xludf.DUMMYFUNCTION("""COMPUTED_VALUE"""),"будівництво")</f>
        <v>будівництво</v>
      </c>
      <c r="C915" s="15" t="str">
        <f>IFERROR(__xludf.DUMMYFUNCTION("""COMPUTED_VALUE"""),"будівельні матеріали")</f>
        <v>будівельні матеріали</v>
      </c>
      <c r="D915" s="15" t="str">
        <f>IFERROR(__xludf.DUMMYFUNCTION("""COMPUTED_VALUE"""),"теплоізоляційні матеріали")</f>
        <v>теплоізоляційні матеріали</v>
      </c>
      <c r="E915" s="15" t="str">
        <f>IFERROR(__xludf.DUMMYFUNCTION("""COMPUTED_VALUE"""),"теплоізоляційне піноскло, пінобетон")</f>
        <v>теплоізоляційне піноскло, пінобетон</v>
      </c>
      <c r="F915" s="17">
        <f>IFERROR(__xludf.DUMMYFUNCTION("""COMPUTED_VALUE"""),4.0)</f>
        <v>4</v>
      </c>
      <c r="G915" s="17">
        <f>IFERROR(__xludf.DUMMYFUNCTION("""COMPUTED_VALUE"""),133414.0)</f>
        <v>133414</v>
      </c>
      <c r="H915" s="17" t="str">
        <f>IFERROR(__xludf.DUMMYFUNCTION("""COMPUTED_VALUE"""),"теплоізоляційне піноскло, пінобетон")</f>
        <v>теплоізоляційне піноскло, пінобетон</v>
      </c>
      <c r="I915" s="18">
        <f>IFERROR(__xludf.DUMMYFUNCTION("""COMPUTED_VALUE"""),1.94)</f>
        <v>1.94</v>
      </c>
      <c r="J915" s="18">
        <f>IFERROR(__xludf.DUMMYFUNCTION("""COMPUTED_VALUE"""),3.88)</f>
        <v>3.88</v>
      </c>
      <c r="K915" s="18">
        <f>IFERROR(__xludf.DUMMYFUNCTION("""COMPUTED_VALUE"""),4.84)</f>
        <v>4.84</v>
      </c>
      <c r="L915" s="18">
        <f>IFERROR(__xludf.DUMMYFUNCTION("""COMPUTED_VALUE"""),7.75)</f>
        <v>7.75</v>
      </c>
    </row>
    <row r="916">
      <c r="A916" s="13" t="str">
        <f>IFERROR(__xludf.DUMMYFUNCTION("""COMPUTED_VALUE"""),"товари")</f>
        <v>товари</v>
      </c>
      <c r="B916" s="13" t="str">
        <f>IFERROR(__xludf.DUMMYFUNCTION("""COMPUTED_VALUE"""),"будівництво")</f>
        <v>будівництво</v>
      </c>
      <c r="C916" s="15" t="str">
        <f>IFERROR(__xludf.DUMMYFUNCTION("""COMPUTED_VALUE"""),"будівельні матеріали")</f>
        <v>будівельні матеріали</v>
      </c>
      <c r="D916" s="15" t="str">
        <f>IFERROR(__xludf.DUMMYFUNCTION("""COMPUTED_VALUE"""),"теплоізоляційні матеріали")</f>
        <v>теплоізоляційні матеріали</v>
      </c>
      <c r="E916" s="15" t="str">
        <f>IFERROR(__xludf.DUMMYFUNCTION("""COMPUTED_VALUE"""),"технічний войлок")</f>
        <v>технічний войлок</v>
      </c>
      <c r="F916" s="17">
        <f>IFERROR(__xludf.DUMMYFUNCTION("""COMPUTED_VALUE"""),4.0)</f>
        <v>4</v>
      </c>
      <c r="G916" s="17">
        <f>IFERROR(__xludf.DUMMYFUNCTION("""COMPUTED_VALUE"""),133402.0)</f>
        <v>133402</v>
      </c>
      <c r="H916" s="17" t="str">
        <f>IFERROR(__xludf.DUMMYFUNCTION("""COMPUTED_VALUE"""),"технічний войлок")</f>
        <v>технічний войлок</v>
      </c>
      <c r="I916" s="18">
        <f>IFERROR(__xludf.DUMMYFUNCTION("""COMPUTED_VALUE"""),1.94)</f>
        <v>1.94</v>
      </c>
      <c r="J916" s="18">
        <f>IFERROR(__xludf.DUMMYFUNCTION("""COMPUTED_VALUE"""),3.88)</f>
        <v>3.88</v>
      </c>
      <c r="K916" s="18">
        <f>IFERROR(__xludf.DUMMYFUNCTION("""COMPUTED_VALUE"""),4.84)</f>
        <v>4.84</v>
      </c>
      <c r="L916" s="18">
        <f>IFERROR(__xludf.DUMMYFUNCTION("""COMPUTED_VALUE"""),7.75)</f>
        <v>7.75</v>
      </c>
    </row>
    <row r="917">
      <c r="A917" s="13" t="str">
        <f>IFERROR(__xludf.DUMMYFUNCTION("""COMPUTED_VALUE"""),"товари")</f>
        <v>товари</v>
      </c>
      <c r="B917" s="13" t="str">
        <f>IFERROR(__xludf.DUMMYFUNCTION("""COMPUTED_VALUE"""),"будівництво")</f>
        <v>будівництво</v>
      </c>
      <c r="C917" s="16" t="str">
        <f>IFERROR(__xludf.DUMMYFUNCTION("""COMPUTED_VALUE"""),"водо-, газо-, теплозабезпечення")</f>
        <v>водо-, газо-, теплозабезпечення</v>
      </c>
      <c r="D917" s="16" t="str">
        <f>IFERROR(__xludf.DUMMYFUNCTION("""COMPUTED_VALUE"""),"опалювальне обладнання")</f>
        <v>опалювальне обладнання</v>
      </c>
      <c r="E917" s="16" t="str">
        <f>IFERROR(__xludf.DUMMYFUNCTION("""COMPUTED_VALUE"""),"транспортабельні (блочно-модульні) котельні установки")</f>
        <v>транспортабельні (блочно-модульні) котельні установки</v>
      </c>
      <c r="F917" s="17">
        <f>IFERROR(__xludf.DUMMYFUNCTION("""COMPUTED_VALUE"""),4.0)</f>
        <v>4</v>
      </c>
      <c r="G917" s="17">
        <f>IFERROR(__xludf.DUMMYFUNCTION("""COMPUTED_VALUE"""),1.3240103E7)</f>
        <v>13240103</v>
      </c>
      <c r="H917" s="17" t="str">
        <f>IFERROR(__xludf.DUMMYFUNCTION("""COMPUTED_VALUE"""),"транспортабельні (блочно-модульні) котельні установки")</f>
        <v>транспортабельні (блочно-модульні) котельні установки</v>
      </c>
      <c r="I917" s="18">
        <f>IFERROR(__xludf.DUMMYFUNCTION("""COMPUTED_VALUE"""),2.7)</f>
        <v>2.7</v>
      </c>
      <c r="J917" s="18">
        <f>IFERROR(__xludf.DUMMYFUNCTION("""COMPUTED_VALUE"""),5.4)</f>
        <v>5.4</v>
      </c>
      <c r="K917" s="18">
        <f>IFERROR(__xludf.DUMMYFUNCTION("""COMPUTED_VALUE"""),6.75)</f>
        <v>6.75</v>
      </c>
      <c r="L917" s="18">
        <f>IFERROR(__xludf.DUMMYFUNCTION("""COMPUTED_VALUE"""),10.8)</f>
        <v>10.8</v>
      </c>
    </row>
    <row r="918">
      <c r="A918" s="13" t="str">
        <f>IFERROR(__xludf.DUMMYFUNCTION("""COMPUTED_VALUE"""),"товари")</f>
        <v>товари</v>
      </c>
      <c r="B918" s="13" t="str">
        <f>IFERROR(__xludf.DUMMYFUNCTION("""COMPUTED_VALUE"""),"будівництво")</f>
        <v>будівництво</v>
      </c>
      <c r="C918" s="16" t="str">
        <f>IFERROR(__xludf.DUMMYFUNCTION("""COMPUTED_VALUE"""),"водо-, газо-, теплозабезпечення")</f>
        <v>водо-, газо-, теплозабезпечення</v>
      </c>
      <c r="D918" s="16" t="str">
        <f>IFERROR(__xludf.DUMMYFUNCTION("""COMPUTED_VALUE"""),"труби")</f>
        <v>труби</v>
      </c>
      <c r="E918" s="16" t="str">
        <f>IFERROR(__xludf.DUMMYFUNCTION("""COMPUTED_VALUE"""),"труби з полівінілхлориду")</f>
        <v>труби з полівінілхлориду</v>
      </c>
      <c r="F918" s="17">
        <f>IFERROR(__xludf.DUMMYFUNCTION("""COMPUTED_VALUE"""),4.0)</f>
        <v>4</v>
      </c>
      <c r="G918" s="17">
        <f>IFERROR(__xludf.DUMMYFUNCTION("""COMPUTED_VALUE"""),131018.0)</f>
        <v>131018</v>
      </c>
      <c r="H918" s="17" t="str">
        <f>IFERROR(__xludf.DUMMYFUNCTION("""COMPUTED_VALUE"""),"труби з полівінілхлориду")</f>
        <v>труби з полівінілхлориду</v>
      </c>
      <c r="I918" s="18">
        <f>IFERROR(__xludf.DUMMYFUNCTION("""COMPUTED_VALUE"""),2.51)</f>
        <v>2.51</v>
      </c>
      <c r="J918" s="18">
        <f>IFERROR(__xludf.DUMMYFUNCTION("""COMPUTED_VALUE"""),5.03)</f>
        <v>5.03</v>
      </c>
      <c r="K918" s="18">
        <f>IFERROR(__xludf.DUMMYFUNCTION("""COMPUTED_VALUE"""),6.28)</f>
        <v>6.28</v>
      </c>
      <c r="L918" s="18">
        <f>IFERROR(__xludf.DUMMYFUNCTION("""COMPUTED_VALUE"""),10.05)</f>
        <v>10.05</v>
      </c>
    </row>
    <row r="919">
      <c r="A919" s="13" t="str">
        <f>IFERROR(__xludf.DUMMYFUNCTION("""COMPUTED_VALUE"""),"товари")</f>
        <v>товари</v>
      </c>
      <c r="B919" s="13" t="str">
        <f>IFERROR(__xludf.DUMMYFUNCTION("""COMPUTED_VALUE"""),"будівництво")</f>
        <v>будівництво</v>
      </c>
      <c r="C919" s="15" t="str">
        <f>IFERROR(__xludf.DUMMYFUNCTION("""COMPUTED_VALUE"""),"водо-, газо-, теплозабезпечення")</f>
        <v>водо-, газо-, теплозабезпечення</v>
      </c>
      <c r="D919" s="15" t="str">
        <f>IFERROR(__xludf.DUMMYFUNCTION("""COMPUTED_VALUE"""),"труби")</f>
        <v>труби</v>
      </c>
      <c r="E919" s="15" t="str">
        <f>IFERROR(__xludf.DUMMYFUNCTION("""COMPUTED_VALUE"""),"труби з поліетилену")</f>
        <v>труби з поліетилену</v>
      </c>
      <c r="F919" s="17">
        <f>IFERROR(__xludf.DUMMYFUNCTION("""COMPUTED_VALUE"""),4.0)</f>
        <v>4</v>
      </c>
      <c r="G919" s="17">
        <f>IFERROR(__xludf.DUMMYFUNCTION("""COMPUTED_VALUE"""),131020.0)</f>
        <v>131020</v>
      </c>
      <c r="H919" s="17" t="str">
        <f>IFERROR(__xludf.DUMMYFUNCTION("""COMPUTED_VALUE"""),"труби з поліетилену")</f>
        <v>труби з поліетилену</v>
      </c>
      <c r="I919" s="18">
        <f>IFERROR(__xludf.DUMMYFUNCTION("""COMPUTED_VALUE"""),2.51)</f>
        <v>2.51</v>
      </c>
      <c r="J919" s="18">
        <f>IFERROR(__xludf.DUMMYFUNCTION("""COMPUTED_VALUE"""),5.03)</f>
        <v>5.03</v>
      </c>
      <c r="K919" s="18">
        <f>IFERROR(__xludf.DUMMYFUNCTION("""COMPUTED_VALUE"""),6.28)</f>
        <v>6.28</v>
      </c>
      <c r="L919" s="18">
        <f>IFERROR(__xludf.DUMMYFUNCTION("""COMPUTED_VALUE"""),10.05)</f>
        <v>10.05</v>
      </c>
    </row>
    <row r="920">
      <c r="A920" s="13" t="str">
        <f>IFERROR(__xludf.DUMMYFUNCTION("""COMPUTED_VALUE"""),"товари")</f>
        <v>товари</v>
      </c>
      <c r="B920" s="13" t="str">
        <f>IFERROR(__xludf.DUMMYFUNCTION("""COMPUTED_VALUE"""),"будівництво")</f>
        <v>будівництво</v>
      </c>
      <c r="C920" s="15" t="str">
        <f>IFERROR(__xludf.DUMMYFUNCTION("""COMPUTED_VALUE"""),"водо-, газо-, теплозабезпечення")</f>
        <v>водо-, газо-, теплозабезпечення</v>
      </c>
      <c r="D920" s="15" t="str">
        <f>IFERROR(__xludf.DUMMYFUNCTION("""COMPUTED_VALUE"""),"труби")</f>
        <v>труби</v>
      </c>
      <c r="E920" s="15" t="str">
        <f>IFERROR(__xludf.DUMMYFUNCTION("""COMPUTED_VALUE"""),"труби з поліпропілену")</f>
        <v>труби з поліпропілену</v>
      </c>
      <c r="F920" s="17">
        <f>IFERROR(__xludf.DUMMYFUNCTION("""COMPUTED_VALUE"""),4.0)</f>
        <v>4</v>
      </c>
      <c r="G920" s="17">
        <f>IFERROR(__xludf.DUMMYFUNCTION("""COMPUTED_VALUE"""),131019.0)</f>
        <v>131019</v>
      </c>
      <c r="H920" s="17" t="str">
        <f>IFERROR(__xludf.DUMMYFUNCTION("""COMPUTED_VALUE"""),"труби з поліпропілену")</f>
        <v>труби з поліпропілену</v>
      </c>
      <c r="I920" s="18">
        <f>IFERROR(__xludf.DUMMYFUNCTION("""COMPUTED_VALUE"""),2.51)</f>
        <v>2.51</v>
      </c>
      <c r="J920" s="18">
        <f>IFERROR(__xludf.DUMMYFUNCTION("""COMPUTED_VALUE"""),5.03)</f>
        <v>5.03</v>
      </c>
      <c r="K920" s="18">
        <f>IFERROR(__xludf.DUMMYFUNCTION("""COMPUTED_VALUE"""),6.28)</f>
        <v>6.28</v>
      </c>
      <c r="L920" s="18">
        <f>IFERROR(__xludf.DUMMYFUNCTION("""COMPUTED_VALUE"""),10.05)</f>
        <v>10.05</v>
      </c>
    </row>
    <row r="921">
      <c r="A921" s="13" t="str">
        <f>IFERROR(__xludf.DUMMYFUNCTION("""COMPUTED_VALUE"""),"товари")</f>
        <v>товари</v>
      </c>
      <c r="B921" s="13" t="str">
        <f>IFERROR(__xludf.DUMMYFUNCTION("""COMPUTED_VALUE"""),"будівництво")</f>
        <v>будівництво</v>
      </c>
      <c r="C921" s="15" t="str">
        <f>IFERROR(__xludf.DUMMYFUNCTION("""COMPUTED_VALUE"""),"будівельна техніка та обладнання")</f>
        <v>будівельна техніка та обладнання</v>
      </c>
      <c r="D921" s="15" t="str">
        <f>IFERROR(__xludf.DUMMYFUNCTION("""COMPUTED_VALUE"""),"машини та обладнання для земляних робіт")</f>
        <v>машини та обладнання для земляних робіт</v>
      </c>
      <c r="E921" s="15" t="str">
        <f>IFERROR(__xludf.DUMMYFUNCTION("""COMPUTED_VALUE"""),"установки для роботи з ґрунтом")</f>
        <v>установки для роботи з ґрунтом</v>
      </c>
      <c r="F921" s="17">
        <f>IFERROR(__xludf.DUMMYFUNCTION("""COMPUTED_VALUE"""),4.0)</f>
        <v>4</v>
      </c>
      <c r="G921" s="17">
        <f>IFERROR(__xludf.DUMMYFUNCTION("""COMPUTED_VALUE"""),1337.0)</f>
        <v>1337</v>
      </c>
      <c r="H921" s="17" t="str">
        <f>IFERROR(__xludf.DUMMYFUNCTION("""COMPUTED_VALUE"""),"установки для роботи з ґрунтом")</f>
        <v>установки для роботи з ґрунтом</v>
      </c>
      <c r="I921" s="18">
        <f>IFERROR(__xludf.DUMMYFUNCTION("""COMPUTED_VALUE"""),2.4)</f>
        <v>2.4</v>
      </c>
      <c r="J921" s="18">
        <f>IFERROR(__xludf.DUMMYFUNCTION("""COMPUTED_VALUE"""),4.8)</f>
        <v>4.8</v>
      </c>
      <c r="K921" s="18">
        <f>IFERROR(__xludf.DUMMYFUNCTION("""COMPUTED_VALUE"""),6.0)</f>
        <v>6</v>
      </c>
      <c r="L921" s="18">
        <f>IFERROR(__xludf.DUMMYFUNCTION("""COMPUTED_VALUE"""),9.6)</f>
        <v>9.6</v>
      </c>
    </row>
    <row r="922">
      <c r="A922" s="13" t="str">
        <f>IFERROR(__xludf.DUMMYFUNCTION("""COMPUTED_VALUE"""),"товари")</f>
        <v>товари</v>
      </c>
      <c r="B922" s="13" t="str">
        <f>IFERROR(__xludf.DUMMYFUNCTION("""COMPUTED_VALUE"""),"будівництво")</f>
        <v>будівництво</v>
      </c>
      <c r="C922" s="16" t="str">
        <f>IFERROR(__xludf.DUMMYFUNCTION("""COMPUTED_VALUE"""),"будівельна техніка та обладнання")</f>
        <v>будівельна техніка та обладнання</v>
      </c>
      <c r="D922" s="16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922" s="16" t="str">
        <f>IFERROR(__xludf.DUMMYFUNCTION("""COMPUTED_VALUE"""),"фарбувальний агрегат")</f>
        <v>фарбувальний агрегат</v>
      </c>
      <c r="F922" s="17">
        <f>IFERROR(__xludf.DUMMYFUNCTION("""COMPUTED_VALUE"""),4.0)</f>
        <v>4</v>
      </c>
      <c r="G922" s="17">
        <f>IFERROR(__xludf.DUMMYFUNCTION("""COMPUTED_VALUE"""),1.3040605E7)</f>
        <v>13040605</v>
      </c>
      <c r="H922" s="17" t="str">
        <f>IFERROR(__xludf.DUMMYFUNCTION("""COMPUTED_VALUE"""),"фарбувальний агрегат")</f>
        <v>фарбувальний агрегат</v>
      </c>
      <c r="I922" s="18">
        <f>IFERROR(__xludf.DUMMYFUNCTION("""COMPUTED_VALUE"""),1.89)</f>
        <v>1.89</v>
      </c>
      <c r="J922" s="18">
        <f>IFERROR(__xludf.DUMMYFUNCTION("""COMPUTED_VALUE"""),3.78)</f>
        <v>3.78</v>
      </c>
      <c r="K922" s="18">
        <f>IFERROR(__xludf.DUMMYFUNCTION("""COMPUTED_VALUE"""),4.72)</f>
        <v>4.72</v>
      </c>
      <c r="L922" s="18">
        <f>IFERROR(__xludf.DUMMYFUNCTION("""COMPUTED_VALUE"""),7.55)</f>
        <v>7.55</v>
      </c>
    </row>
    <row r="923">
      <c r="A923" s="13" t="str">
        <f>IFERROR(__xludf.DUMMYFUNCTION("""COMPUTED_VALUE"""),"товари")</f>
        <v>товари</v>
      </c>
      <c r="B923" s="13" t="str">
        <f>IFERROR(__xludf.DUMMYFUNCTION("""COMPUTED_VALUE"""),"будівництво")</f>
        <v>будівництво</v>
      </c>
      <c r="C923" s="15" t="str">
        <f>IFERROR(__xludf.DUMMYFUNCTION("""COMPUTED_VALUE"""),"водо-, газо-, теплозабезпечення")</f>
        <v>водо-, газо-, теплозабезпечення</v>
      </c>
      <c r="D923" s="15" t="str">
        <f>IFERROR(__xludf.DUMMYFUNCTION("""COMPUTED_VALUE"""),"фітинги для труб")</f>
        <v>фітинги для труб</v>
      </c>
      <c r="E923" s="15" t="str">
        <f>IFERROR(__xludf.DUMMYFUNCTION("""COMPUTED_VALUE"""),"фланці")</f>
        <v>фланці</v>
      </c>
      <c r="F923" s="17">
        <f>IFERROR(__xludf.DUMMYFUNCTION("""COMPUTED_VALUE"""),4.0)</f>
        <v>4</v>
      </c>
      <c r="G923" s="17">
        <f>IFERROR(__xludf.DUMMYFUNCTION("""COMPUTED_VALUE"""),1.3100608E7)</f>
        <v>13100608</v>
      </c>
      <c r="H923" s="17" t="str">
        <f>IFERROR(__xludf.DUMMYFUNCTION("""COMPUTED_VALUE"""),"фланці")</f>
        <v>фланці</v>
      </c>
      <c r="I923" s="18">
        <f>IFERROR(__xludf.DUMMYFUNCTION("""COMPUTED_VALUE"""),0.76)</f>
        <v>0.76</v>
      </c>
      <c r="J923" s="18">
        <f>IFERROR(__xludf.DUMMYFUNCTION("""COMPUTED_VALUE"""),1.53)</f>
        <v>1.53</v>
      </c>
      <c r="K923" s="18">
        <f>IFERROR(__xludf.DUMMYFUNCTION("""COMPUTED_VALUE"""),1.91)</f>
        <v>1.91</v>
      </c>
      <c r="L923" s="18">
        <f>IFERROR(__xludf.DUMMYFUNCTION("""COMPUTED_VALUE"""),3.05)</f>
        <v>3.05</v>
      </c>
    </row>
    <row r="924">
      <c r="A924" s="13" t="str">
        <f>IFERROR(__xludf.DUMMYFUNCTION("""COMPUTED_VALUE"""),"товари")</f>
        <v>товари</v>
      </c>
      <c r="B924" s="13" t="str">
        <f>IFERROR(__xludf.DUMMYFUNCTION("""COMPUTED_VALUE"""),"будівництво")</f>
        <v>будівництво</v>
      </c>
      <c r="C924" s="15" t="str">
        <f>IFERROR(__xludf.DUMMYFUNCTION("""COMPUTED_VALUE"""),"будівельна техніка та обладнання")</f>
        <v>будівельна техніка та обладнання</v>
      </c>
      <c r="D924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924" s="15" t="str">
        <f>IFERROR(__xludf.DUMMYFUNCTION("""COMPUTED_VALUE"""),"фрезерні дорожні установки")</f>
        <v>фрезерні дорожні установки</v>
      </c>
      <c r="F924" s="17">
        <f>IFERROR(__xludf.DUMMYFUNCTION("""COMPUTED_VALUE"""),4.0)</f>
        <v>4</v>
      </c>
      <c r="G924" s="17">
        <f>IFERROR(__xludf.DUMMYFUNCTION("""COMPUTED_VALUE"""),1362.0)</f>
        <v>1362</v>
      </c>
      <c r="H924" s="17" t="str">
        <f>IFERROR(__xludf.DUMMYFUNCTION("""COMPUTED_VALUE"""),"фрезерні дорожні установки")</f>
        <v>фрезерні дорожні установки</v>
      </c>
      <c r="I924" s="18">
        <f>IFERROR(__xludf.DUMMYFUNCTION("""COMPUTED_VALUE"""),1.95)</f>
        <v>1.95</v>
      </c>
      <c r="J924" s="18">
        <f>IFERROR(__xludf.DUMMYFUNCTION("""COMPUTED_VALUE"""),3.9)</f>
        <v>3.9</v>
      </c>
      <c r="K924" s="18">
        <f>IFERROR(__xludf.DUMMYFUNCTION("""COMPUTED_VALUE"""),4.88)</f>
        <v>4.88</v>
      </c>
      <c r="L924" s="18">
        <f>IFERROR(__xludf.DUMMYFUNCTION("""COMPUTED_VALUE"""),7.8)</f>
        <v>7.8</v>
      </c>
    </row>
    <row r="925">
      <c r="A925" s="13" t="str">
        <f>IFERROR(__xludf.DUMMYFUNCTION("""COMPUTED_VALUE"""),"товари")</f>
        <v>товари</v>
      </c>
      <c r="B925" s="13" t="str">
        <f>IFERROR(__xludf.DUMMYFUNCTION("""COMPUTED_VALUE"""),"будівництво")</f>
        <v>будівництво</v>
      </c>
      <c r="C925" s="15" t="str">
        <f>IFERROR(__xludf.DUMMYFUNCTION("""COMPUTED_VALUE"""),"будівельна техніка та обладнання")</f>
        <v>будівельна техніка та обладнання</v>
      </c>
      <c r="D925" s="15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925" s="15" t="str">
        <f>IFERROR(__xludf.DUMMYFUNCTION("""COMPUTED_VALUE"""),"штукатурні станції та агрегати")</f>
        <v>штукатурні станції та агрегати</v>
      </c>
      <c r="F925" s="17">
        <f>IFERROR(__xludf.DUMMYFUNCTION("""COMPUTED_VALUE"""),4.0)</f>
        <v>4</v>
      </c>
      <c r="G925" s="17">
        <f>IFERROR(__xludf.DUMMYFUNCTION("""COMPUTED_VALUE"""),1.3040601E7)</f>
        <v>13040601</v>
      </c>
      <c r="H925" s="17" t="str">
        <f>IFERROR(__xludf.DUMMYFUNCTION("""COMPUTED_VALUE"""),"штукатурні станції та агрегати")</f>
        <v>штукатурні станції та агрегати</v>
      </c>
      <c r="I925" s="18">
        <f>IFERROR(__xludf.DUMMYFUNCTION("""COMPUTED_VALUE"""),1.89)</f>
        <v>1.89</v>
      </c>
      <c r="J925" s="18">
        <f>IFERROR(__xludf.DUMMYFUNCTION("""COMPUTED_VALUE"""),3.78)</f>
        <v>3.78</v>
      </c>
      <c r="K925" s="18">
        <f>IFERROR(__xludf.DUMMYFUNCTION("""COMPUTED_VALUE"""),4.72)</f>
        <v>4.72</v>
      </c>
      <c r="L925" s="18">
        <f>IFERROR(__xludf.DUMMYFUNCTION("""COMPUTED_VALUE"""),7.55)</f>
        <v>7.55</v>
      </c>
    </row>
    <row r="926">
      <c r="A926" s="13" t="str">
        <f>IFERROR(__xludf.DUMMYFUNCTION("""COMPUTED_VALUE"""),"товари")</f>
        <v>товари</v>
      </c>
      <c r="B926" s="13" t="str">
        <f>IFERROR(__xludf.DUMMYFUNCTION("""COMPUTED_VALUE"""),"будівництво")</f>
        <v>будівництво</v>
      </c>
      <c r="C926" s="15" t="str">
        <f>IFERROR(__xludf.DUMMYFUNCTION("""COMPUTED_VALUE"""),"будівельні матеріали")</f>
        <v>будівельні матеріали</v>
      </c>
      <c r="D926" s="15" t="str">
        <f>IFERROR(__xludf.DUMMYFUNCTION("""COMPUTED_VALUE"""),"штучний камінь")</f>
        <v>штучний камінь</v>
      </c>
      <c r="E926" s="15" t="str">
        <f>IFERROR(__xludf.DUMMYFUNCTION("""COMPUTED_VALUE"""),"штучний камінь")</f>
        <v>штучний камінь</v>
      </c>
      <c r="F926" s="17">
        <f>IFERROR(__xludf.DUMMYFUNCTION("""COMPUTED_VALUE"""),3.0)</f>
        <v>3</v>
      </c>
      <c r="G926" s="17">
        <f>IFERROR(__xludf.DUMMYFUNCTION("""COMPUTED_VALUE"""),130711.0)</f>
        <v>130711</v>
      </c>
      <c r="H926" s="17" t="str">
        <f>IFERROR(__xludf.DUMMYFUNCTION("""COMPUTED_VALUE"""),"штучний камінь")</f>
        <v>штучний камінь</v>
      </c>
      <c r="I926" s="18">
        <f>IFERROR(__xludf.DUMMYFUNCTION("""COMPUTED_VALUE"""),0.76)</f>
        <v>0.76</v>
      </c>
      <c r="J926" s="18">
        <f>IFERROR(__xludf.DUMMYFUNCTION("""COMPUTED_VALUE"""),1.53)</f>
        <v>1.53</v>
      </c>
      <c r="K926" s="18">
        <f>IFERROR(__xludf.DUMMYFUNCTION("""COMPUTED_VALUE"""),1.91)</f>
        <v>1.91</v>
      </c>
      <c r="L926" s="18">
        <f>IFERROR(__xludf.DUMMYFUNCTION("""COMPUTED_VALUE"""),3.05)</f>
        <v>3.05</v>
      </c>
    </row>
    <row r="927">
      <c r="A927" s="13" t="str">
        <f>IFERROR(__xludf.DUMMYFUNCTION("""COMPUTED_VALUE"""),"товари")</f>
        <v>товари</v>
      </c>
      <c r="B927" s="13" t="str">
        <f>IFERROR(__xludf.DUMMYFUNCTION("""COMPUTED_VALUE"""),"будівництво")</f>
        <v>будівництво</v>
      </c>
      <c r="C927" s="15" t="str">
        <f>IFERROR(__xludf.DUMMYFUNCTION("""COMPUTED_VALUE"""),"вентиляційні системи")</f>
        <v>вентиляційні системи</v>
      </c>
      <c r="D927" s="15" t="str">
        <f>IFERROR(__xludf.DUMMYFUNCTION("""COMPUTED_VALUE"""),"шумоглушники")</f>
        <v>шумоглушники</v>
      </c>
      <c r="E927" s="15" t="str">
        <f>IFERROR(__xludf.DUMMYFUNCTION("""COMPUTED_VALUE"""),"шумоглушники")</f>
        <v>шумоглушники</v>
      </c>
      <c r="F927" s="17">
        <f>IFERROR(__xludf.DUMMYFUNCTION("""COMPUTED_VALUE"""),3.0)</f>
        <v>3</v>
      </c>
      <c r="G927" s="17">
        <f>IFERROR(__xludf.DUMMYFUNCTION("""COMPUTED_VALUE"""),142205.0)</f>
        <v>142205</v>
      </c>
      <c r="H927" s="17" t="str">
        <f>IFERROR(__xludf.DUMMYFUNCTION("""COMPUTED_VALUE"""),"шумоглушники")</f>
        <v>шумоглушники</v>
      </c>
      <c r="I927" s="18">
        <f>IFERROR(__xludf.DUMMYFUNCTION("""COMPUTED_VALUE"""),1.13)</f>
        <v>1.13</v>
      </c>
      <c r="J927" s="18">
        <f>IFERROR(__xludf.DUMMYFUNCTION("""COMPUTED_VALUE"""),2.25)</f>
        <v>2.25</v>
      </c>
      <c r="K927" s="18">
        <f>IFERROR(__xludf.DUMMYFUNCTION("""COMPUTED_VALUE"""),2.81)</f>
        <v>2.81</v>
      </c>
      <c r="L927" s="18">
        <f>IFERROR(__xludf.DUMMYFUNCTION("""COMPUTED_VALUE"""),4.5)</f>
        <v>4.5</v>
      </c>
    </row>
    <row r="928">
      <c r="A928" s="13" t="str">
        <f>IFERROR(__xludf.DUMMYFUNCTION("""COMPUTED_VALUE"""),"товари")</f>
        <v>товари</v>
      </c>
      <c r="B928" s="13" t="str">
        <f>IFERROR(__xludf.DUMMYFUNCTION("""COMPUTED_VALUE"""),"вантажівки, автобуси, спецтехніка")</f>
        <v>вантажівки, автобуси, спецтехніка</v>
      </c>
      <c r="C928" s="15" t="str">
        <f>IFERROR(__xludf.DUMMYFUNCTION("""COMPUTED_VALUE"""),"автобуси, мікроавтобуси")</f>
        <v>автобуси, мікроавтобуси</v>
      </c>
      <c r="D928" s="15" t="str">
        <f>IFERROR(__xludf.DUMMYFUNCTION("""COMPUTED_VALUE"""),"автобуси")</f>
        <v>автобуси</v>
      </c>
      <c r="E928" s="15" t="str">
        <f>IFERROR(__xludf.DUMMYFUNCTION("""COMPUTED_VALUE"""),"автобуси")</f>
        <v>автобуси</v>
      </c>
      <c r="F928" s="17">
        <f>IFERROR(__xludf.DUMMYFUNCTION("""COMPUTED_VALUE"""),3.0)</f>
        <v>3</v>
      </c>
      <c r="G928" s="17">
        <f>IFERROR(__xludf.DUMMYFUNCTION("""COMPUTED_VALUE"""),3409.0)</f>
        <v>3409</v>
      </c>
      <c r="H928" s="17" t="str">
        <f>IFERROR(__xludf.DUMMYFUNCTION("""COMPUTED_VALUE"""),"автобуси")</f>
        <v>автобуси</v>
      </c>
      <c r="I928" s="18">
        <f>IFERROR(__xludf.DUMMYFUNCTION("""COMPUTED_VALUE"""),0.53)</f>
        <v>0.53</v>
      </c>
      <c r="J928" s="18">
        <f>IFERROR(__xludf.DUMMYFUNCTION("""COMPUTED_VALUE"""),1.05)</f>
        <v>1.05</v>
      </c>
      <c r="K928" s="18">
        <f>IFERROR(__xludf.DUMMYFUNCTION("""COMPUTED_VALUE"""),1.31)</f>
        <v>1.31</v>
      </c>
      <c r="L928" s="18">
        <f>IFERROR(__xludf.DUMMYFUNCTION("""COMPUTED_VALUE"""),2.1)</f>
        <v>2.1</v>
      </c>
    </row>
    <row r="929">
      <c r="A929" s="13" t="str">
        <f>IFERROR(__xludf.DUMMYFUNCTION("""COMPUTED_VALUE"""),"товари")</f>
        <v>товари</v>
      </c>
      <c r="B929" s="13" t="str">
        <f>IFERROR(__xludf.DUMMYFUNCTION("""COMPUTED_VALUE"""),"вантажівки, автобуси, спецтехніка")</f>
        <v>вантажівки, автобуси, спецтехніка</v>
      </c>
      <c r="C929" s="15" t="str">
        <f>IFERROR(__xludf.DUMMYFUNCTION("""COMPUTED_VALUE"""),"автозапчастини та комплектуючі")</f>
        <v>автозапчастини та комплектуючі</v>
      </c>
      <c r="D929" s="15" t="str">
        <f>IFERROR(__xludf.DUMMYFUNCTION("""COMPUTED_VALUE"""),"запчастини до вантажопідйомної спецтехніки")</f>
        <v>запчастини до вантажопідйомної спецтехніки</v>
      </c>
      <c r="E929" s="15" t="str">
        <f>IFERROR(__xludf.DUMMYFUNCTION("""COMPUTED_VALUE"""),"бортові ваги")</f>
        <v>бортові ваги</v>
      </c>
      <c r="F929" s="17">
        <f>IFERROR(__xludf.DUMMYFUNCTION("""COMPUTED_VALUE"""),4.0)</f>
        <v>4</v>
      </c>
      <c r="G929" s="17">
        <f>IFERROR(__xludf.DUMMYFUNCTION("""COMPUTED_VALUE"""),341582.0)</f>
        <v>341582</v>
      </c>
      <c r="H929" s="17" t="str">
        <f>IFERROR(__xludf.DUMMYFUNCTION("""COMPUTED_VALUE"""),"бортові ваги")</f>
        <v>бортові ваги</v>
      </c>
      <c r="I929" s="18">
        <f>IFERROR(__xludf.DUMMYFUNCTION("""COMPUTED_VALUE"""),2.16)</f>
        <v>2.16</v>
      </c>
      <c r="J929" s="18">
        <f>IFERROR(__xludf.DUMMYFUNCTION("""COMPUTED_VALUE"""),4.33)</f>
        <v>4.33</v>
      </c>
      <c r="K929" s="18">
        <f>IFERROR(__xludf.DUMMYFUNCTION("""COMPUTED_VALUE"""),5.41)</f>
        <v>5.41</v>
      </c>
      <c r="L929" s="18">
        <f>IFERROR(__xludf.DUMMYFUNCTION("""COMPUTED_VALUE"""),8.65)</f>
        <v>8.65</v>
      </c>
    </row>
    <row r="930">
      <c r="A930" s="13" t="str">
        <f>IFERROR(__xludf.DUMMYFUNCTION("""COMPUTED_VALUE"""),"товари")</f>
        <v>товари</v>
      </c>
      <c r="B930" s="13" t="str">
        <f>IFERROR(__xludf.DUMMYFUNCTION("""COMPUTED_VALUE"""),"вантажівки, автобуси, спецтехніка")</f>
        <v>вантажівки, автобуси, спецтехніка</v>
      </c>
      <c r="C930" s="15" t="str">
        <f>IFERROR(__xludf.DUMMYFUNCTION("""COMPUTED_VALUE"""),"вантажні автомобілі")</f>
        <v>вантажні автомобілі</v>
      </c>
      <c r="D930" s="15" t="str">
        <f>IFERROR(__xludf.DUMMYFUNCTION("""COMPUTED_VALUE"""),"вантажівки-цистерни")</f>
        <v>вантажівки-цистерни</v>
      </c>
      <c r="E930" s="15" t="str">
        <f>IFERROR(__xludf.DUMMYFUNCTION("""COMPUTED_VALUE"""),"вантажівки-цистерни")</f>
        <v>вантажівки-цистерни</v>
      </c>
      <c r="F930" s="17">
        <f>IFERROR(__xludf.DUMMYFUNCTION("""COMPUTED_VALUE"""),3.0)</f>
        <v>3</v>
      </c>
      <c r="G930" s="17">
        <f>IFERROR(__xludf.DUMMYFUNCTION("""COMPUTED_VALUE"""),3.4010304E7)</f>
        <v>34010304</v>
      </c>
      <c r="H930" s="17" t="str">
        <f>IFERROR(__xludf.DUMMYFUNCTION("""COMPUTED_VALUE"""),"вантажівки-цистерни")</f>
        <v>вантажівки-цистерни</v>
      </c>
      <c r="I930" s="18">
        <f>IFERROR(__xludf.DUMMYFUNCTION("""COMPUTED_VALUE"""),1.26)</f>
        <v>1.26</v>
      </c>
      <c r="J930" s="18">
        <f>IFERROR(__xludf.DUMMYFUNCTION("""COMPUTED_VALUE"""),2.53)</f>
        <v>2.53</v>
      </c>
      <c r="K930" s="18">
        <f>IFERROR(__xludf.DUMMYFUNCTION("""COMPUTED_VALUE"""),3.16)</f>
        <v>3.16</v>
      </c>
      <c r="L930" s="18">
        <f>IFERROR(__xludf.DUMMYFUNCTION("""COMPUTED_VALUE"""),5.05)</f>
        <v>5.05</v>
      </c>
    </row>
    <row r="931">
      <c r="A931" s="13" t="str">
        <f>IFERROR(__xludf.DUMMYFUNCTION("""COMPUTED_VALUE"""),"товари")</f>
        <v>товари</v>
      </c>
      <c r="B931" s="13" t="str">
        <f>IFERROR(__xludf.DUMMYFUNCTION("""COMPUTED_VALUE"""),"вантажівки, автобуси, спецтехніка")</f>
        <v>вантажівки, автобуси, спецтехніка</v>
      </c>
      <c r="C931" s="15" t="str">
        <f>IFERROR(__xludf.DUMMYFUNCTION("""COMPUTED_VALUE"""),"автозапчастини та комплектуючі")</f>
        <v>автозапчастини та комплектуючі</v>
      </c>
      <c r="D931" s="15" t="str">
        <f>IFERROR(__xludf.DUMMYFUNCTION("""COMPUTED_VALUE"""),"кузова, кабіни, рами")</f>
        <v>кузова, кабіни, рами</v>
      </c>
      <c r="E931" s="15" t="str">
        <f>IFERROR(__xludf.DUMMYFUNCTION("""COMPUTED_VALUE"""),"вантажні решітки на бампери і радіатори")</f>
        <v>вантажні решітки на бампери і радіатори</v>
      </c>
      <c r="F931" s="17">
        <f>IFERROR(__xludf.DUMMYFUNCTION("""COMPUTED_VALUE"""),4.0)</f>
        <v>4</v>
      </c>
      <c r="G931" s="17">
        <f>IFERROR(__xludf.DUMMYFUNCTION("""COMPUTED_VALUE"""),342212.0)</f>
        <v>342212</v>
      </c>
      <c r="H931" s="17" t="str">
        <f>IFERROR(__xludf.DUMMYFUNCTION("""COMPUTED_VALUE"""),"вантажні решітки на бампери і радіатори")</f>
        <v>вантажні решітки на бампери і радіатори</v>
      </c>
      <c r="I931" s="18">
        <f>IFERROR(__xludf.DUMMYFUNCTION("""COMPUTED_VALUE"""),0.86)</f>
        <v>0.86</v>
      </c>
      <c r="J931" s="18">
        <f>IFERROR(__xludf.DUMMYFUNCTION("""COMPUTED_VALUE"""),1.71)</f>
        <v>1.71</v>
      </c>
      <c r="K931" s="18">
        <f>IFERROR(__xludf.DUMMYFUNCTION("""COMPUTED_VALUE"""),2.14)</f>
        <v>2.14</v>
      </c>
      <c r="L931" s="18">
        <f>IFERROR(__xludf.DUMMYFUNCTION("""COMPUTED_VALUE"""),3.43)</f>
        <v>3.43</v>
      </c>
    </row>
    <row r="932">
      <c r="A932" s="13" t="str">
        <f>IFERROR(__xludf.DUMMYFUNCTION("""COMPUTED_VALUE"""),"товари")</f>
        <v>товари</v>
      </c>
      <c r="B932" s="13" t="str">
        <f>IFERROR(__xludf.DUMMYFUNCTION("""COMPUTED_VALUE"""),"вантажівки, автобуси, спецтехніка")</f>
        <v>вантажівки, автобуси, спецтехніка</v>
      </c>
      <c r="C932" s="15" t="str">
        <f>IFERROR(__xludf.DUMMYFUNCTION("""COMPUTED_VALUE"""),"автозапчастини та комплектуючі")</f>
        <v>автозапчастини та комплектуючі</v>
      </c>
      <c r="D932" s="15" t="str">
        <f>IFERROR(__xludf.DUMMYFUNCTION("""COMPUTED_VALUE"""),"деталі пневмосистеми вантажних автомобілів")</f>
        <v>деталі пневмосистеми вантажних автомобілів</v>
      </c>
      <c r="E932" s="15" t="str">
        <f>IFERROR(__xludf.DUMMYFUNCTION("""COMPUTED_VALUE"""),"деталі пневмосистеми вантажних автомобілів")</f>
        <v>деталі пневмосистеми вантажних автомобілів</v>
      </c>
      <c r="F932" s="17">
        <f>IFERROR(__xludf.DUMMYFUNCTION("""COMPUTED_VALUE"""),3.0)</f>
        <v>3</v>
      </c>
      <c r="G932" s="17">
        <f>IFERROR(__xludf.DUMMYFUNCTION("""COMPUTED_VALUE"""),341634.0)</f>
        <v>341634</v>
      </c>
      <c r="H932" s="17" t="str">
        <f>IFERROR(__xludf.DUMMYFUNCTION("""COMPUTED_VALUE"""),"деталі пневмосистеми вантажних автомобілів")</f>
        <v>деталі пневмосистеми вантажних автомобілів</v>
      </c>
      <c r="I932" s="18">
        <f>IFERROR(__xludf.DUMMYFUNCTION("""COMPUTED_VALUE"""),0.76)</f>
        <v>0.76</v>
      </c>
      <c r="J932" s="18">
        <f>IFERROR(__xludf.DUMMYFUNCTION("""COMPUTED_VALUE"""),1.53)</f>
        <v>1.53</v>
      </c>
      <c r="K932" s="18">
        <f>IFERROR(__xludf.DUMMYFUNCTION("""COMPUTED_VALUE"""),1.91)</f>
        <v>1.91</v>
      </c>
      <c r="L932" s="18">
        <f>IFERROR(__xludf.DUMMYFUNCTION("""COMPUTED_VALUE"""),3.05)</f>
        <v>3.05</v>
      </c>
    </row>
    <row r="933">
      <c r="A933" s="13" t="str">
        <f>IFERROR(__xludf.DUMMYFUNCTION("""COMPUTED_VALUE"""),"товари")</f>
        <v>товари</v>
      </c>
      <c r="B933" s="13" t="str">
        <f>IFERROR(__xludf.DUMMYFUNCTION("""COMPUTED_VALUE"""),"вантажівки, автобуси, спецтехніка")</f>
        <v>вантажівки, автобуси, спецтехніка</v>
      </c>
      <c r="C933" s="15" t="str">
        <f>IFERROR(__xludf.DUMMYFUNCTION("""COMPUTED_VALUE"""),"автозапчастини та комплектуючі")</f>
        <v>автозапчастини та комплектуючі</v>
      </c>
      <c r="D933" s="15" t="str">
        <f>IFERROR(__xludf.DUMMYFUNCTION("""COMPUTED_VALUE"""),"запчастини до вантажопідйомної спецтехніки")</f>
        <v>запчастини до вантажопідйомної спецтехніки</v>
      </c>
      <c r="E933" s="15" t="str">
        <f>IFERROR(__xludf.DUMMYFUNCTION("""COMPUTED_VALUE"""),"електромагніти")</f>
        <v>електромагніти</v>
      </c>
      <c r="F933" s="17">
        <f>IFERROR(__xludf.DUMMYFUNCTION("""COMPUTED_VALUE"""),4.0)</f>
        <v>4</v>
      </c>
      <c r="G933" s="17">
        <f>IFERROR(__xludf.DUMMYFUNCTION("""COMPUTED_VALUE"""),508.0)</f>
        <v>508</v>
      </c>
      <c r="H933" s="17" t="str">
        <f>IFERROR(__xludf.DUMMYFUNCTION("""COMPUTED_VALUE"""),"електромагніти")</f>
        <v>електромагніти</v>
      </c>
      <c r="I933" s="18">
        <f>IFERROR(__xludf.DUMMYFUNCTION("""COMPUTED_VALUE"""),2.16)</f>
        <v>2.16</v>
      </c>
      <c r="J933" s="18">
        <f>IFERROR(__xludf.DUMMYFUNCTION("""COMPUTED_VALUE"""),4.33)</f>
        <v>4.33</v>
      </c>
      <c r="K933" s="18">
        <f>IFERROR(__xludf.DUMMYFUNCTION("""COMPUTED_VALUE"""),5.41)</f>
        <v>5.41</v>
      </c>
      <c r="L933" s="18">
        <f>IFERROR(__xludf.DUMMYFUNCTION("""COMPUTED_VALUE"""),8.65)</f>
        <v>8.65</v>
      </c>
    </row>
    <row r="934">
      <c r="A934" s="13" t="str">
        <f>IFERROR(__xludf.DUMMYFUNCTION("""COMPUTED_VALUE"""),"товари")</f>
        <v>товари</v>
      </c>
      <c r="B934" s="13" t="str">
        <f>IFERROR(__xludf.DUMMYFUNCTION("""COMPUTED_VALUE"""),"вантажівки, автобуси, спецтехніка")</f>
        <v>вантажівки, автобуси, спецтехніка</v>
      </c>
      <c r="C934" s="15" t="str">
        <f>IFERROR(__xludf.DUMMYFUNCTION("""COMPUTED_VALUE"""),"автозапчастини та комплектуючі")</f>
        <v>автозапчастини та комплектуючі</v>
      </c>
      <c r="D934" s="15" t="str">
        <f>IFERROR(__xludf.DUMMYFUNCTION("""COMPUTED_VALUE"""),"запчастини для землерийної спецтехніки")</f>
        <v>запчастини для землерийної спецтехніки</v>
      </c>
      <c r="E934" s="15" t="str">
        <f>IFERROR(__xludf.DUMMYFUNCTION("""COMPUTED_VALUE"""),"запасні частини до бульдозерів")</f>
        <v>запасні частини до бульдозерів</v>
      </c>
      <c r="F934" s="17">
        <f>IFERROR(__xludf.DUMMYFUNCTION("""COMPUTED_VALUE"""),4.0)</f>
        <v>4</v>
      </c>
      <c r="G934" s="17">
        <f>IFERROR(__xludf.DUMMYFUNCTION("""COMPUTED_VALUE"""),341512.0)</f>
        <v>341512</v>
      </c>
      <c r="H934" s="17" t="str">
        <f>IFERROR(__xludf.DUMMYFUNCTION("""COMPUTED_VALUE"""),"запасні частини до бульдозерів")</f>
        <v>запасні частини до бульдозерів</v>
      </c>
      <c r="I934" s="18">
        <f>IFERROR(__xludf.DUMMYFUNCTION("""COMPUTED_VALUE"""),0.86)</f>
        <v>0.86</v>
      </c>
      <c r="J934" s="18">
        <f>IFERROR(__xludf.DUMMYFUNCTION("""COMPUTED_VALUE"""),1.71)</f>
        <v>1.71</v>
      </c>
      <c r="K934" s="18">
        <f>IFERROR(__xludf.DUMMYFUNCTION("""COMPUTED_VALUE"""),2.14)</f>
        <v>2.14</v>
      </c>
      <c r="L934" s="18">
        <f>IFERROR(__xludf.DUMMYFUNCTION("""COMPUTED_VALUE"""),3.43)</f>
        <v>3.43</v>
      </c>
    </row>
    <row r="935">
      <c r="A935" s="13" t="str">
        <f>IFERROR(__xludf.DUMMYFUNCTION("""COMPUTED_VALUE"""),"товари")</f>
        <v>товари</v>
      </c>
      <c r="B935" s="13" t="str">
        <f>IFERROR(__xludf.DUMMYFUNCTION("""COMPUTED_VALUE"""),"вантажівки, автобуси, спецтехніка")</f>
        <v>вантажівки, автобуси, спецтехніка</v>
      </c>
      <c r="C935" s="15" t="str">
        <f>IFERROR(__xludf.DUMMYFUNCTION("""COMPUTED_VALUE"""),"автозапчастини та комплектуючі")</f>
        <v>автозапчастини та комплектуючі</v>
      </c>
      <c r="D935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935" s="15" t="str">
        <f>IFERROR(__xludf.DUMMYFUNCTION("""COMPUTED_VALUE"""),"запасні частини до комбайнів")</f>
        <v>запасні частини до комбайнів</v>
      </c>
      <c r="F935" s="17">
        <f>IFERROR(__xludf.DUMMYFUNCTION("""COMPUTED_VALUE"""),4.0)</f>
        <v>4</v>
      </c>
      <c r="G935" s="17">
        <f>IFERROR(__xludf.DUMMYFUNCTION("""COMPUTED_VALUE"""),341510.0)</f>
        <v>341510</v>
      </c>
      <c r="H935" s="17" t="str">
        <f>IFERROR(__xludf.DUMMYFUNCTION("""COMPUTED_VALUE"""),"запасні частини до комбайнів")</f>
        <v>запасні частини до комбайнів</v>
      </c>
      <c r="I935" s="18">
        <f>IFERROR(__xludf.DUMMYFUNCTION("""COMPUTED_VALUE"""),2.7)</f>
        <v>2.7</v>
      </c>
      <c r="J935" s="18">
        <f>IFERROR(__xludf.DUMMYFUNCTION("""COMPUTED_VALUE"""),5.4)</f>
        <v>5.4</v>
      </c>
      <c r="K935" s="18">
        <f>IFERROR(__xludf.DUMMYFUNCTION("""COMPUTED_VALUE"""),6.75)</f>
        <v>6.75</v>
      </c>
      <c r="L935" s="18">
        <f>IFERROR(__xludf.DUMMYFUNCTION("""COMPUTED_VALUE"""),10.8)</f>
        <v>10.8</v>
      </c>
    </row>
    <row r="936">
      <c r="A936" s="13" t="str">
        <f>IFERROR(__xludf.DUMMYFUNCTION("""COMPUTED_VALUE"""),"товари")</f>
        <v>товари</v>
      </c>
      <c r="B936" s="13" t="str">
        <f>IFERROR(__xludf.DUMMYFUNCTION("""COMPUTED_VALUE"""),"вантажівки, автобуси, спецтехніка")</f>
        <v>вантажівки, автобуси, спецтехніка</v>
      </c>
      <c r="C936" s="15" t="str">
        <f>IFERROR(__xludf.DUMMYFUNCTION("""COMPUTED_VALUE"""),"автозапчастини та комплектуючі")</f>
        <v>автозапчастини та комплектуючі</v>
      </c>
      <c r="D936" s="15" t="str">
        <f>IFERROR(__xludf.DUMMYFUNCTION("""COMPUTED_VALUE"""),"запчастини для землерийної спецтехніки")</f>
        <v>запчастини для землерийної спецтехніки</v>
      </c>
      <c r="E936" s="15" t="str">
        <f>IFERROR(__xludf.DUMMYFUNCTION("""COMPUTED_VALUE"""),"запчастини для землерийної спецтехніки, загальне")</f>
        <v>запчастини для землерийної спецтехніки, загальне</v>
      </c>
      <c r="F936" s="17">
        <f>IFERROR(__xludf.DUMMYFUNCTION("""COMPUTED_VALUE"""),4.0)</f>
        <v>4</v>
      </c>
      <c r="G936" s="17">
        <f>IFERROR(__xludf.DUMMYFUNCTION("""COMPUTED_VALUE"""),341514.0)</f>
        <v>341514</v>
      </c>
      <c r="H936" s="17" t="str">
        <f>IFERROR(__xludf.DUMMYFUNCTION("""COMPUTED_VALUE"""),"запчастини для землерийної спецтехніки, загальне")</f>
        <v>запчастини для землерийної спецтехніки, загальне</v>
      </c>
      <c r="I936" s="18">
        <f>IFERROR(__xludf.DUMMYFUNCTION("""COMPUTED_VALUE"""),2.16)</f>
        <v>2.16</v>
      </c>
      <c r="J936" s="18">
        <f>IFERROR(__xludf.DUMMYFUNCTION("""COMPUTED_VALUE"""),4.33)</f>
        <v>4.33</v>
      </c>
      <c r="K936" s="18">
        <f>IFERROR(__xludf.DUMMYFUNCTION("""COMPUTED_VALUE"""),5.41)</f>
        <v>5.41</v>
      </c>
      <c r="L936" s="18">
        <f>IFERROR(__xludf.DUMMYFUNCTION("""COMPUTED_VALUE"""),8.65)</f>
        <v>8.65</v>
      </c>
    </row>
    <row r="937">
      <c r="A937" s="13" t="str">
        <f>IFERROR(__xludf.DUMMYFUNCTION("""COMPUTED_VALUE"""),"товари")</f>
        <v>товари</v>
      </c>
      <c r="B937" s="13" t="str">
        <f>IFERROR(__xludf.DUMMYFUNCTION("""COMPUTED_VALUE"""),"вантажівки, автобуси, спецтехніка")</f>
        <v>вантажівки, автобуси, спецтехніка</v>
      </c>
      <c r="C937" s="15" t="str">
        <f>IFERROR(__xludf.DUMMYFUNCTION("""COMPUTED_VALUE"""),"автозапчастини та комплектуючі")</f>
        <v>автозапчастини та комплектуючі</v>
      </c>
      <c r="D937" s="15" t="str">
        <f>IFERROR(__xludf.DUMMYFUNCTION("""COMPUTED_VALUE"""),"запчастини до комунально-прибиральної техніки")</f>
        <v>запчастини до комунально-прибиральної техніки</v>
      </c>
      <c r="E937" s="15" t="str">
        <f>IFERROR(__xludf.DUMMYFUNCTION("""COMPUTED_VALUE"""),"запчастини до комунально-прибиральної техніки")</f>
        <v>запчастини до комунально-прибиральної техніки</v>
      </c>
      <c r="F937" s="17">
        <f>IFERROR(__xludf.DUMMYFUNCTION("""COMPUTED_VALUE"""),3.0)</f>
        <v>3</v>
      </c>
      <c r="G937" s="17">
        <f>IFERROR(__xludf.DUMMYFUNCTION("""COMPUTED_VALUE"""),341620.0)</f>
        <v>341620</v>
      </c>
      <c r="H937" s="17" t="str">
        <f>IFERROR(__xludf.DUMMYFUNCTION("""COMPUTED_VALUE"""),"запчастини до комунально-прибиральної техніки")</f>
        <v>запчастини до комунально-прибиральної техніки</v>
      </c>
      <c r="I937" s="18">
        <f>IFERROR(__xludf.DUMMYFUNCTION("""COMPUTED_VALUE"""),2.7)</f>
        <v>2.7</v>
      </c>
      <c r="J937" s="18">
        <f>IFERROR(__xludf.DUMMYFUNCTION("""COMPUTED_VALUE"""),5.4)</f>
        <v>5.4</v>
      </c>
      <c r="K937" s="18">
        <f>IFERROR(__xludf.DUMMYFUNCTION("""COMPUTED_VALUE"""),6.75)</f>
        <v>6.75</v>
      </c>
      <c r="L937" s="18">
        <f>IFERROR(__xludf.DUMMYFUNCTION("""COMPUTED_VALUE"""),10.8)</f>
        <v>10.8</v>
      </c>
    </row>
    <row r="938">
      <c r="A938" s="13" t="str">
        <f>IFERROR(__xludf.DUMMYFUNCTION("""COMPUTED_VALUE"""),"товари")</f>
        <v>товари</v>
      </c>
      <c r="B938" s="13" t="str">
        <f>IFERROR(__xludf.DUMMYFUNCTION("""COMPUTED_VALUE"""),"вантажівки, автобуси, спецтехніка")</f>
        <v>вантажівки, автобуси, спецтехніка</v>
      </c>
      <c r="C938" s="15" t="str">
        <f>IFERROR(__xludf.DUMMYFUNCTION("""COMPUTED_VALUE"""),"автозапчастини та комплектуючі")</f>
        <v>автозапчастини та комплектуючі</v>
      </c>
      <c r="D938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938" s="15" t="str">
        <f>IFERROR(__xludf.DUMMYFUNCTION("""COMPUTED_VALUE"""),"комплектуючі для сільськогосподарської техніки")</f>
        <v>комплектуючі для сільськогосподарської техніки</v>
      </c>
      <c r="F938" s="17">
        <f>IFERROR(__xludf.DUMMYFUNCTION("""COMPUTED_VALUE"""),4.0)</f>
        <v>4</v>
      </c>
      <c r="G938" s="17">
        <f>IFERROR(__xludf.DUMMYFUNCTION("""COMPUTED_VALUE"""),12803.0)</f>
        <v>12803</v>
      </c>
      <c r="H938" s="17" t="str">
        <f>IFERROR(__xludf.DUMMYFUNCTION("""COMPUTED_VALUE"""),"комплектуючі для сільськогосподарської техніки")</f>
        <v>комплектуючі для сільськогосподарської техніки</v>
      </c>
      <c r="I938" s="18">
        <f>IFERROR(__xludf.DUMMYFUNCTION("""COMPUTED_VALUE"""),2.7)</f>
        <v>2.7</v>
      </c>
      <c r="J938" s="18">
        <f>IFERROR(__xludf.DUMMYFUNCTION("""COMPUTED_VALUE"""),5.4)</f>
        <v>5.4</v>
      </c>
      <c r="K938" s="18">
        <f>IFERROR(__xludf.DUMMYFUNCTION("""COMPUTED_VALUE"""),6.75)</f>
        <v>6.75</v>
      </c>
      <c r="L938" s="18">
        <f>IFERROR(__xludf.DUMMYFUNCTION("""COMPUTED_VALUE"""),10.8)</f>
        <v>10.8</v>
      </c>
    </row>
    <row r="939">
      <c r="A939" s="13" t="str">
        <f>IFERROR(__xludf.DUMMYFUNCTION("""COMPUTED_VALUE"""),"товари")</f>
        <v>товари</v>
      </c>
      <c r="B939" s="13" t="str">
        <f>IFERROR(__xludf.DUMMYFUNCTION("""COMPUTED_VALUE"""),"вантажівки, автобуси, спецтехніка")</f>
        <v>вантажівки, автобуси, спецтехніка</v>
      </c>
      <c r="C939" s="15" t="str">
        <f>IFERROR(__xludf.DUMMYFUNCTION("""COMPUTED_VALUE"""),"автозапчастини та комплектуючі")</f>
        <v>автозапчастини та комплектуючі</v>
      </c>
      <c r="D939" s="15" t="str">
        <f>IFERROR(__xludf.DUMMYFUNCTION("""COMPUTED_VALUE"""),"комплектуючі для спецтехніки")</f>
        <v>комплектуючі для спецтехніки</v>
      </c>
      <c r="E939" s="15" t="str">
        <f>IFERROR(__xludf.DUMMYFUNCTION("""COMPUTED_VALUE"""),"комплектуючі для спецтехніки")</f>
        <v>комплектуючі для спецтехніки</v>
      </c>
      <c r="F939" s="17">
        <f>IFERROR(__xludf.DUMMYFUNCTION("""COMPUTED_VALUE"""),3.0)</f>
        <v>3</v>
      </c>
      <c r="G939" s="17">
        <f>IFERROR(__xludf.DUMMYFUNCTION("""COMPUTED_VALUE"""),341637.0)</f>
        <v>341637</v>
      </c>
      <c r="H939" s="17" t="str">
        <f>IFERROR(__xludf.DUMMYFUNCTION("""COMPUTED_VALUE"""),"комплектуючі для спецтехніки")</f>
        <v>комплектуючі для спецтехніки</v>
      </c>
      <c r="I939" s="18">
        <f>IFERROR(__xludf.DUMMYFUNCTION("""COMPUTED_VALUE"""),0.76)</f>
        <v>0.76</v>
      </c>
      <c r="J939" s="18">
        <f>IFERROR(__xludf.DUMMYFUNCTION("""COMPUTED_VALUE"""),1.53)</f>
        <v>1.53</v>
      </c>
      <c r="K939" s="18">
        <f>IFERROR(__xludf.DUMMYFUNCTION("""COMPUTED_VALUE"""),1.91)</f>
        <v>1.91</v>
      </c>
      <c r="L939" s="18">
        <f>IFERROR(__xludf.DUMMYFUNCTION("""COMPUTED_VALUE"""),3.05)</f>
        <v>3.05</v>
      </c>
    </row>
    <row r="940">
      <c r="A940" s="13" t="str">
        <f>IFERROR(__xludf.DUMMYFUNCTION("""COMPUTED_VALUE"""),"товари")</f>
        <v>товари</v>
      </c>
      <c r="B940" s="13" t="str">
        <f>IFERROR(__xludf.DUMMYFUNCTION("""COMPUTED_VALUE"""),"вантажівки, автобуси, спецтехніка")</f>
        <v>вантажівки, автобуси, спецтехніка</v>
      </c>
      <c r="C940" s="15" t="str">
        <f>IFERROR(__xludf.DUMMYFUNCTION("""COMPUTED_VALUE"""),"автозапчастини та комплектуючі")</f>
        <v>автозапчастини та комплектуючі</v>
      </c>
      <c r="D940" s="15" t="str">
        <f>IFERROR(__xludf.DUMMYFUNCTION("""COMPUTED_VALUE"""),"кузова, кабіни, рами")</f>
        <v>кузова, кабіни, рами</v>
      </c>
      <c r="E940" s="15" t="str">
        <f>IFERROR(__xludf.DUMMYFUNCTION("""COMPUTED_VALUE"""),"кузова вантажних автомобілів")</f>
        <v>кузова вантажних автомобілів</v>
      </c>
      <c r="F940" s="17">
        <f>IFERROR(__xludf.DUMMYFUNCTION("""COMPUTED_VALUE"""),4.0)</f>
        <v>4</v>
      </c>
      <c r="G940" s="17">
        <f>IFERROR(__xludf.DUMMYFUNCTION("""COMPUTED_VALUE"""),341628.0)</f>
        <v>341628</v>
      </c>
      <c r="H940" s="17" t="str">
        <f>IFERROR(__xludf.DUMMYFUNCTION("""COMPUTED_VALUE"""),"кузова вантажних автомобілів")</f>
        <v>кузова вантажних автомобілів</v>
      </c>
      <c r="I940" s="18">
        <f>IFERROR(__xludf.DUMMYFUNCTION("""COMPUTED_VALUE"""),0.86)</f>
        <v>0.86</v>
      </c>
      <c r="J940" s="18">
        <f>IFERROR(__xludf.DUMMYFUNCTION("""COMPUTED_VALUE"""),1.71)</f>
        <v>1.71</v>
      </c>
      <c r="K940" s="18">
        <f>IFERROR(__xludf.DUMMYFUNCTION("""COMPUTED_VALUE"""),2.14)</f>
        <v>2.14</v>
      </c>
      <c r="L940" s="18">
        <f>IFERROR(__xludf.DUMMYFUNCTION("""COMPUTED_VALUE"""),3.43)</f>
        <v>3.43</v>
      </c>
    </row>
    <row r="941">
      <c r="A941" s="13" t="str">
        <f>IFERROR(__xludf.DUMMYFUNCTION("""COMPUTED_VALUE"""),"товари")</f>
        <v>товари</v>
      </c>
      <c r="B941" s="13" t="str">
        <f>IFERROR(__xludf.DUMMYFUNCTION("""COMPUTED_VALUE"""),"вантажівки, автобуси, спецтехніка")</f>
        <v>вантажівки, автобуси, спецтехніка</v>
      </c>
      <c r="C941" s="15" t="str">
        <f>IFERROR(__xludf.DUMMYFUNCTION("""COMPUTED_VALUE"""),"автозапчастини та комплектуючі")</f>
        <v>автозапчастини та комплектуючі</v>
      </c>
      <c r="D941" s="15" t="str">
        <f>IFERROR(__xludf.DUMMYFUNCTION("""COMPUTED_VALUE"""),"кузова, кабіни, рами")</f>
        <v>кузова, кабіни, рами</v>
      </c>
      <c r="E941" s="15" t="str">
        <f>IFERROR(__xludf.DUMMYFUNCTION("""COMPUTED_VALUE"""),"кузова, кабіни, рами, загальне")</f>
        <v>кузова, кабіни, рами, загальне</v>
      </c>
      <c r="F941" s="17">
        <f>IFERROR(__xludf.DUMMYFUNCTION("""COMPUTED_VALUE"""),4.0)</f>
        <v>4</v>
      </c>
      <c r="G941" s="17">
        <f>IFERROR(__xludf.DUMMYFUNCTION("""COMPUTED_VALUE"""),341615.0)</f>
        <v>341615</v>
      </c>
      <c r="H941" s="17" t="str">
        <f>IFERROR(__xludf.DUMMYFUNCTION("""COMPUTED_VALUE"""),"кузова, кабіни, рами, загальне")</f>
        <v>кузова, кабіни, рами, загальне</v>
      </c>
      <c r="I941" s="18">
        <f>IFERROR(__xludf.DUMMYFUNCTION("""COMPUTED_VALUE"""),2.16)</f>
        <v>2.16</v>
      </c>
      <c r="J941" s="18">
        <f>IFERROR(__xludf.DUMMYFUNCTION("""COMPUTED_VALUE"""),4.33)</f>
        <v>4.33</v>
      </c>
      <c r="K941" s="18">
        <f>IFERROR(__xludf.DUMMYFUNCTION("""COMPUTED_VALUE"""),5.41)</f>
        <v>5.41</v>
      </c>
      <c r="L941" s="18">
        <f>IFERROR(__xludf.DUMMYFUNCTION("""COMPUTED_VALUE"""),8.65)</f>
        <v>8.65</v>
      </c>
    </row>
    <row r="942">
      <c r="A942" s="13" t="str">
        <f>IFERROR(__xludf.DUMMYFUNCTION("""COMPUTED_VALUE"""),"товари")</f>
        <v>товари</v>
      </c>
      <c r="B942" s="13" t="str">
        <f>IFERROR(__xludf.DUMMYFUNCTION("""COMPUTED_VALUE"""),"вантажівки, автобуси, спецтехніка")</f>
        <v>вантажівки, автобуси, спецтехніка</v>
      </c>
      <c r="C942" s="15" t="str">
        <f>IFERROR(__xludf.DUMMYFUNCTION("""COMPUTED_VALUE"""),"автозапчастини та комплектуючі")</f>
        <v>автозапчастини та комплектуючі</v>
      </c>
      <c r="D942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942" s="15" t="str">
        <f>IFERROR(__xludf.DUMMYFUNCTION("""COMPUTED_VALUE"""),"лемехи плуга")</f>
        <v>лемехи плуга</v>
      </c>
      <c r="F942" s="17">
        <f>IFERROR(__xludf.DUMMYFUNCTION("""COMPUTED_VALUE"""),4.0)</f>
        <v>4</v>
      </c>
      <c r="G942" s="17">
        <f>IFERROR(__xludf.DUMMYFUNCTION("""COMPUTED_VALUE"""),341544.0)</f>
        <v>341544</v>
      </c>
      <c r="H942" s="17" t="str">
        <f>IFERROR(__xludf.DUMMYFUNCTION("""COMPUTED_VALUE"""),"лемехи плуга")</f>
        <v>лемехи плуга</v>
      </c>
      <c r="I942" s="18">
        <f>IFERROR(__xludf.DUMMYFUNCTION("""COMPUTED_VALUE"""),2.7)</f>
        <v>2.7</v>
      </c>
      <c r="J942" s="18">
        <f>IFERROR(__xludf.DUMMYFUNCTION("""COMPUTED_VALUE"""),5.4)</f>
        <v>5.4</v>
      </c>
      <c r="K942" s="18">
        <f>IFERROR(__xludf.DUMMYFUNCTION("""COMPUTED_VALUE"""),6.75)</f>
        <v>6.75</v>
      </c>
      <c r="L942" s="18">
        <f>IFERROR(__xludf.DUMMYFUNCTION("""COMPUTED_VALUE"""),10.8)</f>
        <v>10.8</v>
      </c>
    </row>
    <row r="943">
      <c r="A943" s="13" t="str">
        <f>IFERROR(__xludf.DUMMYFUNCTION("""COMPUTED_VALUE"""),"товари")</f>
        <v>товари</v>
      </c>
      <c r="B943" s="13" t="str">
        <f>IFERROR(__xludf.DUMMYFUNCTION("""COMPUTED_VALUE"""),"вантажівки, автобуси, спецтехніка")</f>
        <v>вантажівки, автобуси, спецтехніка</v>
      </c>
      <c r="C943" s="15" t="str">
        <f>IFERROR(__xludf.DUMMYFUNCTION("""COMPUTED_VALUE"""),"автобуси, мікроавтобуси")</f>
        <v>автобуси, мікроавтобуси</v>
      </c>
      <c r="D943" s="15" t="str">
        <f>IFERROR(__xludf.DUMMYFUNCTION("""COMPUTED_VALUE"""),"мікроавтобуси")</f>
        <v>мікроавтобуси</v>
      </c>
      <c r="E943" s="15" t="str">
        <f>IFERROR(__xludf.DUMMYFUNCTION("""COMPUTED_VALUE"""),"мікроавтобуси")</f>
        <v>мікроавтобуси</v>
      </c>
      <c r="F943" s="17">
        <f>IFERROR(__xludf.DUMMYFUNCTION("""COMPUTED_VALUE"""),3.0)</f>
        <v>3</v>
      </c>
      <c r="G943" s="17">
        <f>IFERROR(__xludf.DUMMYFUNCTION("""COMPUTED_VALUE"""),340102.0)</f>
        <v>340102</v>
      </c>
      <c r="H943" s="17" t="str">
        <f>IFERROR(__xludf.DUMMYFUNCTION("""COMPUTED_VALUE"""),"мікроавтобуси")</f>
        <v>мікроавтобуси</v>
      </c>
      <c r="I943" s="18">
        <f>IFERROR(__xludf.DUMMYFUNCTION("""COMPUTED_VALUE"""),0.76)</f>
        <v>0.76</v>
      </c>
      <c r="J943" s="18">
        <f>IFERROR(__xludf.DUMMYFUNCTION("""COMPUTED_VALUE"""),1.53)</f>
        <v>1.53</v>
      </c>
      <c r="K943" s="18">
        <f>IFERROR(__xludf.DUMMYFUNCTION("""COMPUTED_VALUE"""),1.91)</f>
        <v>1.91</v>
      </c>
      <c r="L943" s="18">
        <f>IFERROR(__xludf.DUMMYFUNCTION("""COMPUTED_VALUE"""),3.05)</f>
        <v>3.05</v>
      </c>
    </row>
    <row r="944">
      <c r="A944" s="13" t="str">
        <f>IFERROR(__xludf.DUMMYFUNCTION("""COMPUTED_VALUE"""),"товари")</f>
        <v>товари</v>
      </c>
      <c r="B944" s="13" t="str">
        <f>IFERROR(__xludf.DUMMYFUNCTION("""COMPUTED_VALUE"""),"вантажівки, автобуси, спецтехніка")</f>
        <v>вантажівки, автобуси, спецтехніка</v>
      </c>
      <c r="C944" s="15" t="str">
        <f>IFERROR(__xludf.DUMMYFUNCTION("""COMPUTED_VALUE"""),"причепи та напівпричепи")</f>
        <v>причепи та напівпричепи</v>
      </c>
      <c r="D944" s="15" t="str">
        <f>IFERROR(__xludf.DUMMYFUNCTION("""COMPUTED_VALUE"""),"причепи та напівпричепи, загальне")</f>
        <v>причепи та напівпричепи, загальне</v>
      </c>
      <c r="E944" s="15" t="str">
        <f>IFERROR(__xludf.DUMMYFUNCTION("""COMPUTED_VALUE"""),"причепи та напівпричепи, загальне")</f>
        <v>причепи та напівпричепи, загальне</v>
      </c>
      <c r="F944" s="17">
        <f>IFERROR(__xludf.DUMMYFUNCTION("""COMPUTED_VALUE"""),3.0)</f>
        <v>3</v>
      </c>
      <c r="G944" s="17">
        <f>IFERROR(__xludf.DUMMYFUNCTION("""COMPUTED_VALUE"""),341301.0)</f>
        <v>341301</v>
      </c>
      <c r="H944" s="17" t="str">
        <f>IFERROR(__xludf.DUMMYFUNCTION("""COMPUTED_VALUE"""),"причепи та напівпричепи, загальне")</f>
        <v>причепи та напівпричепи, загальне</v>
      </c>
      <c r="I944" s="18">
        <f>IFERROR(__xludf.DUMMYFUNCTION("""COMPUTED_VALUE"""),2.16)</f>
        <v>2.16</v>
      </c>
      <c r="J944" s="18">
        <f>IFERROR(__xludf.DUMMYFUNCTION("""COMPUTED_VALUE"""),4.33)</f>
        <v>4.33</v>
      </c>
      <c r="K944" s="18">
        <f>IFERROR(__xludf.DUMMYFUNCTION("""COMPUTED_VALUE"""),5.41)</f>
        <v>5.41</v>
      </c>
      <c r="L944" s="18">
        <f>IFERROR(__xludf.DUMMYFUNCTION("""COMPUTED_VALUE"""),8.65)</f>
        <v>8.65</v>
      </c>
    </row>
    <row r="945">
      <c r="A945" s="13" t="str">
        <f>IFERROR(__xludf.DUMMYFUNCTION("""COMPUTED_VALUE"""),"товари")</f>
        <v>товари</v>
      </c>
      <c r="B945" s="13" t="str">
        <f>IFERROR(__xludf.DUMMYFUNCTION("""COMPUTED_VALUE"""),"вантажівки, автобуси, спецтехніка")</f>
        <v>вантажівки, автобуси, спецтехніка</v>
      </c>
      <c r="C945" s="15" t="str">
        <f>IFERROR(__xludf.DUMMYFUNCTION("""COMPUTED_VALUE"""),"вантажні автомобілі")</f>
        <v>вантажні автомобілі</v>
      </c>
      <c r="D945" s="15" t="str">
        <f>IFERROR(__xludf.DUMMYFUNCTION("""COMPUTED_VALUE"""),"спеціальні вантажівки")</f>
        <v>спеціальні вантажівки</v>
      </c>
      <c r="E945" s="15" t="str">
        <f>IFERROR(__xludf.DUMMYFUNCTION("""COMPUTED_VALUE"""),"спеціальні вантажівки, загальне")</f>
        <v>спеціальні вантажівки, загальне</v>
      </c>
      <c r="F945" s="17">
        <f>IFERROR(__xludf.DUMMYFUNCTION("""COMPUTED_VALUE"""),4.0)</f>
        <v>4</v>
      </c>
      <c r="G945" s="17">
        <f>IFERROR(__xludf.DUMMYFUNCTION("""COMPUTED_VALUE"""),340111.0)</f>
        <v>340111</v>
      </c>
      <c r="H945" s="17" t="str">
        <f>IFERROR(__xludf.DUMMYFUNCTION("""COMPUTED_VALUE"""),"спеціальні вантажівки, загальне")</f>
        <v>спеціальні вантажівки, загальне</v>
      </c>
      <c r="I945" s="18">
        <f>IFERROR(__xludf.DUMMYFUNCTION("""COMPUTED_VALUE"""),2.16)</f>
        <v>2.16</v>
      </c>
      <c r="J945" s="18">
        <f>IFERROR(__xludf.DUMMYFUNCTION("""COMPUTED_VALUE"""),4.33)</f>
        <v>4.33</v>
      </c>
      <c r="K945" s="18">
        <f>IFERROR(__xludf.DUMMYFUNCTION("""COMPUTED_VALUE"""),5.41)</f>
        <v>5.41</v>
      </c>
      <c r="L945" s="18">
        <f>IFERROR(__xludf.DUMMYFUNCTION("""COMPUTED_VALUE"""),8.65)</f>
        <v>8.65</v>
      </c>
    </row>
    <row r="946">
      <c r="A946" s="13" t="str">
        <f>IFERROR(__xludf.DUMMYFUNCTION("""COMPUTED_VALUE"""),"товари")</f>
        <v>товари</v>
      </c>
      <c r="B946" s="13" t="str">
        <f>IFERROR(__xludf.DUMMYFUNCTION("""COMPUTED_VALUE"""),"вантажівки, автобуси, спецтехніка")</f>
        <v>вантажівки, автобуси, спецтехніка</v>
      </c>
      <c r="C946" s="15" t="str">
        <f>IFERROR(__xludf.DUMMYFUNCTION("""COMPUTED_VALUE"""),"спецтехніка")</f>
        <v>спецтехніка</v>
      </c>
      <c r="D946" s="15" t="str">
        <f>IFERROR(__xludf.DUMMYFUNCTION("""COMPUTED_VALUE"""),"спецтехніка, загальне")</f>
        <v>спецтехніка, загальне</v>
      </c>
      <c r="E946" s="15" t="str">
        <f>IFERROR(__xludf.DUMMYFUNCTION("""COMPUTED_VALUE"""),"спецтехніка, загальне")</f>
        <v>спецтехніка, загальне</v>
      </c>
      <c r="F946" s="17">
        <f>IFERROR(__xludf.DUMMYFUNCTION("""COMPUTED_VALUE"""),3.0)</f>
        <v>3</v>
      </c>
      <c r="G946" s="17">
        <f>IFERROR(__xludf.DUMMYFUNCTION("""COMPUTED_VALUE"""),342801.0)</f>
        <v>342801</v>
      </c>
      <c r="H946" s="17" t="str">
        <f>IFERROR(__xludf.DUMMYFUNCTION("""COMPUTED_VALUE"""),"спецтехніка, загальне")</f>
        <v>спецтехніка, загальне</v>
      </c>
      <c r="I946" s="18">
        <f>IFERROR(__xludf.DUMMYFUNCTION("""COMPUTED_VALUE"""),2.16)</f>
        <v>2.16</v>
      </c>
      <c r="J946" s="18">
        <f>IFERROR(__xludf.DUMMYFUNCTION("""COMPUTED_VALUE"""),4.33)</f>
        <v>4.33</v>
      </c>
      <c r="K946" s="18">
        <f>IFERROR(__xludf.DUMMYFUNCTION("""COMPUTED_VALUE"""),5.41)</f>
        <v>5.41</v>
      </c>
      <c r="L946" s="18">
        <f>IFERROR(__xludf.DUMMYFUNCTION("""COMPUTED_VALUE"""),8.65)</f>
        <v>8.65</v>
      </c>
    </row>
    <row r="947">
      <c r="A947" s="13" t="str">
        <f>IFERROR(__xludf.DUMMYFUNCTION("""COMPUTED_VALUE"""),"товари")</f>
        <v>товари</v>
      </c>
      <c r="B947" s="13" t="str">
        <f>IFERROR(__xludf.DUMMYFUNCTION("""COMPUTED_VALUE"""),"вантажівки, автобуси, спецтехніка")</f>
        <v>вантажівки, автобуси, спецтехніка</v>
      </c>
      <c r="C947" s="15" t="str">
        <f>IFERROR(__xludf.DUMMYFUNCTION("""COMPUTED_VALUE"""),"вантажні автомобілі")</f>
        <v>вантажні автомобілі</v>
      </c>
      <c r="D947" s="15" t="str">
        <f>IFERROR(__xludf.DUMMYFUNCTION("""COMPUTED_VALUE"""),"тягачі")</f>
        <v>тягачі</v>
      </c>
      <c r="E947" s="15" t="str">
        <f>IFERROR(__xludf.DUMMYFUNCTION("""COMPUTED_VALUE"""),"тягачі")</f>
        <v>тягачі</v>
      </c>
      <c r="F947" s="17">
        <f>IFERROR(__xludf.DUMMYFUNCTION("""COMPUTED_VALUE"""),3.0)</f>
        <v>3</v>
      </c>
      <c r="G947" s="17">
        <f>IFERROR(__xludf.DUMMYFUNCTION("""COMPUTED_VALUE"""),3.4010301E7)</f>
        <v>34010301</v>
      </c>
      <c r="H947" s="17" t="str">
        <f>IFERROR(__xludf.DUMMYFUNCTION("""COMPUTED_VALUE"""),"тягачі")</f>
        <v>тягачі</v>
      </c>
      <c r="I947" s="18">
        <f>IFERROR(__xludf.DUMMYFUNCTION("""COMPUTED_VALUE"""),2.7)</f>
        <v>2.7</v>
      </c>
      <c r="J947" s="18">
        <f>IFERROR(__xludf.DUMMYFUNCTION("""COMPUTED_VALUE"""),5.4)</f>
        <v>5.4</v>
      </c>
      <c r="K947" s="18">
        <f>IFERROR(__xludf.DUMMYFUNCTION("""COMPUTED_VALUE"""),6.75)</f>
        <v>6.75</v>
      </c>
      <c r="L947" s="18">
        <f>IFERROR(__xludf.DUMMYFUNCTION("""COMPUTED_VALUE"""),10.8)</f>
        <v>10.8</v>
      </c>
    </row>
    <row r="948">
      <c r="A948" s="13" t="str">
        <f>IFERROR(__xludf.DUMMYFUNCTION("""COMPUTED_VALUE"""),"товари")</f>
        <v>товари</v>
      </c>
      <c r="B948" s="13" t="str">
        <f>IFERROR(__xludf.DUMMYFUNCTION("""COMPUTED_VALUE"""),"вантажівки, автобуси, спецтехніка")</f>
        <v>вантажівки, автобуси, спецтехніка</v>
      </c>
      <c r="C948" s="15" t="str">
        <f>IFERROR(__xludf.DUMMYFUNCTION("""COMPUTED_VALUE"""),"автозапчастини та комплектуючі")</f>
        <v>автозапчастини та комплектуючі</v>
      </c>
      <c r="D948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948" s="15" t="str">
        <f>IFERROR(__xludf.DUMMYFUNCTION("""COMPUTED_VALUE"""),"шестерні та зірочки для сільгосптехніки")</f>
        <v>шестерні та зірочки для сільгосптехніки</v>
      </c>
      <c r="F948" s="17">
        <f>IFERROR(__xludf.DUMMYFUNCTION("""COMPUTED_VALUE"""),4.0)</f>
        <v>4</v>
      </c>
      <c r="G948" s="17">
        <f>IFERROR(__xludf.DUMMYFUNCTION("""COMPUTED_VALUE"""),341555.0)</f>
        <v>341555</v>
      </c>
      <c r="H948" s="17" t="str">
        <f>IFERROR(__xludf.DUMMYFUNCTION("""COMPUTED_VALUE"""),"шестерні та зірочки для сільгосптехніки")</f>
        <v>шестерні та зірочки для сільгосптехніки</v>
      </c>
      <c r="I948" s="18">
        <f>IFERROR(__xludf.DUMMYFUNCTION("""COMPUTED_VALUE"""),2.7)</f>
        <v>2.7</v>
      </c>
      <c r="J948" s="18">
        <f>IFERROR(__xludf.DUMMYFUNCTION("""COMPUTED_VALUE"""),5.4)</f>
        <v>5.4</v>
      </c>
      <c r="K948" s="18">
        <f>IFERROR(__xludf.DUMMYFUNCTION("""COMPUTED_VALUE"""),6.75)</f>
        <v>6.75</v>
      </c>
      <c r="L948" s="18">
        <f>IFERROR(__xludf.DUMMYFUNCTION("""COMPUTED_VALUE"""),10.8)</f>
        <v>10.8</v>
      </c>
    </row>
    <row r="949">
      <c r="A949" s="13" t="str">
        <f>IFERROR(__xludf.DUMMYFUNCTION("""COMPUTED_VALUE"""),"товари")</f>
        <v>товари</v>
      </c>
      <c r="B949" s="13" t="str">
        <f>IFERROR(__xludf.DUMMYFUNCTION("""COMPUTED_VALUE"""),"вироби з металу, пластику, гуми")</f>
        <v>вироби з металу, пластику, гуми</v>
      </c>
      <c r="C949" s="15" t="str">
        <f>IFERROR(__xludf.DUMMYFUNCTION("""COMPUTED_VALUE"""),"металовироби будівельного призначення")</f>
        <v>металовироби будівельного призначення</v>
      </c>
      <c r="D949" s="15" t="str">
        <f>IFERROR(__xludf.DUMMYFUNCTION("""COMPUTED_VALUE"""),"металоконструкції та промислові будівлі з лмк")</f>
        <v>металоконструкції та промислові будівлі з лмк</v>
      </c>
      <c r="E949" s="15" t="str">
        <f>IFERROR(__xludf.DUMMYFUNCTION("""COMPUTED_VALUE"""),"битовки")</f>
        <v>битовки</v>
      </c>
      <c r="F949" s="17">
        <f>IFERROR(__xludf.DUMMYFUNCTION("""COMPUTED_VALUE"""),4.0)</f>
        <v>4</v>
      </c>
      <c r="G949" s="17">
        <f>IFERROR(__xludf.DUMMYFUNCTION("""COMPUTED_VALUE"""),420901.0)</f>
        <v>420901</v>
      </c>
      <c r="H949" s="17" t="str">
        <f>IFERROR(__xludf.DUMMYFUNCTION("""COMPUTED_VALUE"""),"битовки")</f>
        <v>битовки</v>
      </c>
      <c r="I949" s="18">
        <f>IFERROR(__xludf.DUMMYFUNCTION("""COMPUTED_VALUE"""),1.62)</f>
        <v>1.62</v>
      </c>
      <c r="J949" s="18">
        <f>IFERROR(__xludf.DUMMYFUNCTION("""COMPUTED_VALUE"""),3.24)</f>
        <v>3.24</v>
      </c>
      <c r="K949" s="18">
        <f>IFERROR(__xludf.DUMMYFUNCTION("""COMPUTED_VALUE"""),4.05)</f>
        <v>4.05</v>
      </c>
      <c r="L949" s="18">
        <f>IFERROR(__xludf.DUMMYFUNCTION("""COMPUTED_VALUE"""),6.48)</f>
        <v>6.48</v>
      </c>
    </row>
    <row r="950">
      <c r="A950" s="13" t="str">
        <f>IFERROR(__xludf.DUMMYFUNCTION("""COMPUTED_VALUE"""),"товари")</f>
        <v>товари</v>
      </c>
      <c r="B950" s="13" t="str">
        <f>IFERROR(__xludf.DUMMYFUNCTION("""COMPUTED_VALUE"""),"вироби з металу, пластику, гуми")</f>
        <v>вироби з металу, пластику, гуми</v>
      </c>
      <c r="C950" s="15" t="str">
        <f>IFERROR(__xludf.DUMMYFUNCTION("""COMPUTED_VALUE"""),"металопрокат")</f>
        <v>металопрокат</v>
      </c>
      <c r="D950" s="15" t="str">
        <f>IFERROR(__xludf.DUMMYFUNCTION("""COMPUTED_VALUE"""),"плоский прокат")</f>
        <v>плоский прокат</v>
      </c>
      <c r="E950" s="15" t="str">
        <f>IFERROR(__xludf.DUMMYFUNCTION("""COMPUTED_VALUE"""),"жерсть")</f>
        <v>жерсть</v>
      </c>
      <c r="F950" s="17">
        <f>IFERROR(__xludf.DUMMYFUNCTION("""COMPUTED_VALUE"""),4.0)</f>
        <v>4</v>
      </c>
      <c r="G950" s="17">
        <f>IFERROR(__xludf.DUMMYFUNCTION("""COMPUTED_VALUE"""),420822.0)</f>
        <v>420822</v>
      </c>
      <c r="H950" s="17" t="str">
        <f>IFERROR(__xludf.DUMMYFUNCTION("""COMPUTED_VALUE"""),"жерсть")</f>
        <v>жерсть</v>
      </c>
      <c r="I950" s="18">
        <f>IFERROR(__xludf.DUMMYFUNCTION("""COMPUTED_VALUE"""),2.7)</f>
        <v>2.7</v>
      </c>
      <c r="J950" s="18">
        <f>IFERROR(__xludf.DUMMYFUNCTION("""COMPUTED_VALUE"""),5.4)</f>
        <v>5.4</v>
      </c>
      <c r="K950" s="18">
        <f>IFERROR(__xludf.DUMMYFUNCTION("""COMPUTED_VALUE"""),6.75)</f>
        <v>6.75</v>
      </c>
      <c r="L950" s="18">
        <f>IFERROR(__xludf.DUMMYFUNCTION("""COMPUTED_VALUE"""),10.8)</f>
        <v>10.8</v>
      </c>
    </row>
    <row r="951">
      <c r="A951" s="13" t="str">
        <f>IFERROR(__xludf.DUMMYFUNCTION("""COMPUTED_VALUE"""),"товари")</f>
        <v>товари</v>
      </c>
      <c r="B951" s="13" t="str">
        <f>IFERROR(__xludf.DUMMYFUNCTION("""COMPUTED_VALUE"""),"вироби з металу, пластику, гуми")</f>
        <v>вироби з металу, пластику, гуми</v>
      </c>
      <c r="C951" s="15" t="str">
        <f>IFERROR(__xludf.DUMMYFUNCTION("""COMPUTED_VALUE"""),"металовироби промислового призначення")</f>
        <v>металовироби промислового призначення</v>
      </c>
      <c r="D951" s="15" t="str">
        <f>IFERROR(__xludf.DUMMYFUNCTION("""COMPUTED_VALUE"""),"закладні деталі")</f>
        <v>закладні деталі</v>
      </c>
      <c r="E951" s="15" t="str">
        <f>IFERROR(__xludf.DUMMYFUNCTION("""COMPUTED_VALUE"""),"закладні деталі")</f>
        <v>закладні деталі</v>
      </c>
      <c r="F951" s="17">
        <f>IFERROR(__xludf.DUMMYFUNCTION("""COMPUTED_VALUE"""),3.0)</f>
        <v>3</v>
      </c>
      <c r="G951" s="17">
        <f>IFERROR(__xludf.DUMMYFUNCTION("""COMPUTED_VALUE"""),421009.0)</f>
        <v>421009</v>
      </c>
      <c r="H951" s="17" t="str">
        <f>IFERROR(__xludf.DUMMYFUNCTION("""COMPUTED_VALUE"""),"закладні деталі")</f>
        <v>закладні деталі</v>
      </c>
      <c r="I951" s="18">
        <f>IFERROR(__xludf.DUMMYFUNCTION("""COMPUTED_VALUE"""),2.21)</f>
        <v>2.21</v>
      </c>
      <c r="J951" s="18">
        <f>IFERROR(__xludf.DUMMYFUNCTION("""COMPUTED_VALUE"""),4.41)</f>
        <v>4.41</v>
      </c>
      <c r="K951" s="18">
        <f>IFERROR(__xludf.DUMMYFUNCTION("""COMPUTED_VALUE"""),5.52)</f>
        <v>5.52</v>
      </c>
      <c r="L951" s="18">
        <f>IFERROR(__xludf.DUMMYFUNCTION("""COMPUTED_VALUE"""),8.83)</f>
        <v>8.83</v>
      </c>
    </row>
    <row r="952">
      <c r="A952" s="13" t="str">
        <f>IFERROR(__xludf.DUMMYFUNCTION("""COMPUTED_VALUE"""),"товари")</f>
        <v>товари</v>
      </c>
      <c r="B952" s="13" t="str">
        <f>IFERROR(__xludf.DUMMYFUNCTION("""COMPUTED_VALUE"""),"вироби з металу, пластику, гуми")</f>
        <v>вироби з металу, пластику, гуми</v>
      </c>
      <c r="C952" s="15" t="str">
        <f>IFERROR(__xludf.DUMMYFUNCTION("""COMPUTED_VALUE"""),"металопрокат")</f>
        <v>металопрокат</v>
      </c>
      <c r="D952" s="15" t="str">
        <f>IFERROR(__xludf.DUMMYFUNCTION("""COMPUTED_VALUE"""),"сортовий і фасонний прокат")</f>
        <v>сортовий і фасонний прокат</v>
      </c>
      <c r="E952" s="15" t="str">
        <f>IFERROR(__xludf.DUMMYFUNCTION("""COMPUTED_VALUE"""),"катанка")</f>
        <v>катанка</v>
      </c>
      <c r="F952" s="17">
        <f>IFERROR(__xludf.DUMMYFUNCTION("""COMPUTED_VALUE"""),4.0)</f>
        <v>4</v>
      </c>
      <c r="G952" s="17">
        <f>IFERROR(__xludf.DUMMYFUNCTION("""COMPUTED_VALUE"""),421005.0)</f>
        <v>421005</v>
      </c>
      <c r="H952" s="17" t="str">
        <f>IFERROR(__xludf.DUMMYFUNCTION("""COMPUTED_VALUE"""),"катанка")</f>
        <v>катанка</v>
      </c>
      <c r="I952" s="18">
        <f>IFERROR(__xludf.DUMMYFUNCTION("""COMPUTED_VALUE"""),1.17)</f>
        <v>1.17</v>
      </c>
      <c r="J952" s="18">
        <f>IFERROR(__xludf.DUMMYFUNCTION("""COMPUTED_VALUE"""),2.34)</f>
        <v>2.34</v>
      </c>
      <c r="K952" s="18">
        <f>IFERROR(__xludf.DUMMYFUNCTION("""COMPUTED_VALUE"""),2.92)</f>
        <v>2.92</v>
      </c>
      <c r="L952" s="18">
        <f>IFERROR(__xludf.DUMMYFUNCTION("""COMPUTED_VALUE"""),4.68)</f>
        <v>4.68</v>
      </c>
    </row>
    <row r="953">
      <c r="A953" s="13" t="str">
        <f>IFERROR(__xludf.DUMMYFUNCTION("""COMPUTED_VALUE"""),"товари")</f>
        <v>товари</v>
      </c>
      <c r="B953" s="13" t="str">
        <f>IFERROR(__xludf.DUMMYFUNCTION("""COMPUTED_VALUE"""),"вироби з металу, пластику, гуми")</f>
        <v>вироби з металу, пластику, гуми</v>
      </c>
      <c r="C953" s="15" t="str">
        <f>IFERROR(__xludf.DUMMYFUNCTION("""COMPUTED_VALUE"""),"металовироби будівельного призначення")</f>
        <v>металовироби будівельного призначення</v>
      </c>
      <c r="D953" s="15" t="str">
        <f>IFERROR(__xludf.DUMMYFUNCTION("""COMPUTED_VALUE"""),"металоконструкції та промислові будівлі з лмк")</f>
        <v>металоконструкції та промислові будівлі з лмк</v>
      </c>
      <c r="E953" s="15" t="str">
        <f>IFERROR(__xludf.DUMMYFUNCTION("""COMPUTED_VALUE"""),"комплектуючі для металоконструкцій з лмк")</f>
        <v>комплектуючі для металоконструкцій з лмк</v>
      </c>
      <c r="F953" s="17">
        <f>IFERROR(__xludf.DUMMYFUNCTION("""COMPUTED_VALUE"""),4.0)</f>
        <v>4</v>
      </c>
      <c r="G953" s="17">
        <f>IFERROR(__xludf.DUMMYFUNCTION("""COMPUTED_VALUE"""),420905.0)</f>
        <v>420905</v>
      </c>
      <c r="H953" s="17" t="str">
        <f>IFERROR(__xludf.DUMMYFUNCTION("""COMPUTED_VALUE"""),"комплектуючі для металоконструкцій з лмк")</f>
        <v>комплектуючі для металоконструкцій з лмк</v>
      </c>
      <c r="I953" s="18">
        <f>IFERROR(__xludf.DUMMYFUNCTION("""COMPUTED_VALUE"""),1.62)</f>
        <v>1.62</v>
      </c>
      <c r="J953" s="18">
        <f>IFERROR(__xludf.DUMMYFUNCTION("""COMPUTED_VALUE"""),3.24)</f>
        <v>3.24</v>
      </c>
      <c r="K953" s="18">
        <f>IFERROR(__xludf.DUMMYFUNCTION("""COMPUTED_VALUE"""),4.05)</f>
        <v>4.05</v>
      </c>
      <c r="L953" s="18">
        <f>IFERROR(__xludf.DUMMYFUNCTION("""COMPUTED_VALUE"""),6.48)</f>
        <v>6.48</v>
      </c>
    </row>
    <row r="954">
      <c r="A954" s="13" t="str">
        <f>IFERROR(__xludf.DUMMYFUNCTION("""COMPUTED_VALUE"""),"товари")</f>
        <v>товари</v>
      </c>
      <c r="B954" s="13" t="str">
        <f>IFERROR(__xludf.DUMMYFUNCTION("""COMPUTED_VALUE"""),"вироби з металу, пластику, гуми")</f>
        <v>вироби з металу, пластику, гуми</v>
      </c>
      <c r="C954" s="15" t="str">
        <f>IFERROR(__xludf.DUMMYFUNCTION("""COMPUTED_VALUE"""),"гумотехнічні вироби")</f>
        <v>гумотехнічні вироби</v>
      </c>
      <c r="D954" s="15" t="str">
        <f>IFERROR(__xludf.DUMMYFUNCTION("""COMPUTED_VALUE"""),"манжети гумові")</f>
        <v>манжети гумові</v>
      </c>
      <c r="E954" s="15" t="str">
        <f>IFERROR(__xludf.DUMMYFUNCTION("""COMPUTED_VALUE"""),"манжети гумові")</f>
        <v>манжети гумові</v>
      </c>
      <c r="F954" s="17">
        <f>IFERROR(__xludf.DUMMYFUNCTION("""COMPUTED_VALUE"""),3.0)</f>
        <v>3</v>
      </c>
      <c r="G954" s="17">
        <f>IFERROR(__xludf.DUMMYFUNCTION("""COMPUTED_VALUE"""),801211.0)</f>
        <v>801211</v>
      </c>
      <c r="H954" s="17" t="str">
        <f>IFERROR(__xludf.DUMMYFUNCTION("""COMPUTED_VALUE"""),"манжети гумові")</f>
        <v>манжети гумові</v>
      </c>
      <c r="I954" s="18">
        <f>IFERROR(__xludf.DUMMYFUNCTION("""COMPUTED_VALUE"""),0.76)</f>
        <v>0.76</v>
      </c>
      <c r="J954" s="18">
        <f>IFERROR(__xludf.DUMMYFUNCTION("""COMPUTED_VALUE"""),1.53)</f>
        <v>1.53</v>
      </c>
      <c r="K954" s="18">
        <f>IFERROR(__xludf.DUMMYFUNCTION("""COMPUTED_VALUE"""),1.91)</f>
        <v>1.91</v>
      </c>
      <c r="L954" s="18">
        <f>IFERROR(__xludf.DUMMYFUNCTION("""COMPUTED_VALUE"""),3.05)</f>
        <v>3.05</v>
      </c>
    </row>
    <row r="955">
      <c r="A955" s="13" t="str">
        <f>IFERROR(__xludf.DUMMYFUNCTION("""COMPUTED_VALUE"""),"товари")</f>
        <v>товари</v>
      </c>
      <c r="B955" s="13" t="str">
        <f>IFERROR(__xludf.DUMMYFUNCTION("""COMPUTED_VALUE"""),"вироби з металу, пластику, гуми")</f>
        <v>вироби з металу, пластику, гуми</v>
      </c>
      <c r="C955" s="15" t="str">
        <f>IFERROR(__xludf.DUMMYFUNCTION("""COMPUTED_VALUE"""),"металовироби промислового призначення")</f>
        <v>металовироби промислового призначення</v>
      </c>
      <c r="D955" s="15" t="str">
        <f>IFERROR(__xludf.DUMMYFUNCTION("""COMPUTED_VALUE"""),"металевий шріт")</f>
        <v>металевий шріт</v>
      </c>
      <c r="E955" s="15" t="str">
        <f>IFERROR(__xludf.DUMMYFUNCTION("""COMPUTED_VALUE"""),"металевий шріт")</f>
        <v>металевий шріт</v>
      </c>
      <c r="F955" s="17">
        <f>IFERROR(__xludf.DUMMYFUNCTION("""COMPUTED_VALUE"""),3.0)</f>
        <v>3</v>
      </c>
      <c r="G955" s="17">
        <f>IFERROR(__xludf.DUMMYFUNCTION("""COMPUTED_VALUE"""),421003.0)</f>
        <v>421003</v>
      </c>
      <c r="H955" s="17" t="str">
        <f>IFERROR(__xludf.DUMMYFUNCTION("""COMPUTED_VALUE"""),"металевий шріт")</f>
        <v>металевий шріт</v>
      </c>
      <c r="I955" s="18">
        <f>IFERROR(__xludf.DUMMYFUNCTION("""COMPUTED_VALUE"""),2.03)</f>
        <v>2.03</v>
      </c>
      <c r="J955" s="18">
        <f>IFERROR(__xludf.DUMMYFUNCTION("""COMPUTED_VALUE"""),4.05)</f>
        <v>4.05</v>
      </c>
      <c r="K955" s="18">
        <f>IFERROR(__xludf.DUMMYFUNCTION("""COMPUTED_VALUE"""),5.06)</f>
        <v>5.06</v>
      </c>
      <c r="L955" s="18">
        <f>IFERROR(__xludf.DUMMYFUNCTION("""COMPUTED_VALUE"""),8.1)</f>
        <v>8.1</v>
      </c>
    </row>
    <row r="956">
      <c r="A956" s="13" t="str">
        <f>IFERROR(__xludf.DUMMYFUNCTION("""COMPUTED_VALUE"""),"товари")</f>
        <v>товари</v>
      </c>
      <c r="B956" s="13" t="str">
        <f>IFERROR(__xludf.DUMMYFUNCTION("""COMPUTED_VALUE"""),"вироби з металу, пластику, гуми")</f>
        <v>вироби з металу, пластику, гуми</v>
      </c>
      <c r="C956" s="15" t="str">
        <f>IFERROR(__xludf.DUMMYFUNCTION("""COMPUTED_VALUE"""),"металопрокат")</f>
        <v>металопрокат</v>
      </c>
      <c r="D956" s="15" t="str">
        <f>IFERROR(__xludf.DUMMYFUNCTION("""COMPUTED_VALUE"""),"сортовий і фасонний прокат")</f>
        <v>сортовий і фасонний прокат</v>
      </c>
      <c r="E956" s="15" t="str">
        <f>IFERROR(__xludf.DUMMYFUNCTION("""COMPUTED_VALUE"""),"металеві кутники")</f>
        <v>металеві кутники</v>
      </c>
      <c r="F956" s="17">
        <f>IFERROR(__xludf.DUMMYFUNCTION("""COMPUTED_VALUE"""),4.0)</f>
        <v>4</v>
      </c>
      <c r="G956" s="17">
        <f>IFERROR(__xludf.DUMMYFUNCTION("""COMPUTED_VALUE"""),420804.0)</f>
        <v>420804</v>
      </c>
      <c r="H956" s="17" t="str">
        <f>IFERROR(__xludf.DUMMYFUNCTION("""COMPUTED_VALUE"""),"металеві кутники")</f>
        <v>металеві кутники</v>
      </c>
      <c r="I956" s="18">
        <f>IFERROR(__xludf.DUMMYFUNCTION("""COMPUTED_VALUE"""),1.17)</f>
        <v>1.17</v>
      </c>
      <c r="J956" s="18">
        <f>IFERROR(__xludf.DUMMYFUNCTION("""COMPUTED_VALUE"""),2.34)</f>
        <v>2.34</v>
      </c>
      <c r="K956" s="18">
        <f>IFERROR(__xludf.DUMMYFUNCTION("""COMPUTED_VALUE"""),2.92)</f>
        <v>2.92</v>
      </c>
      <c r="L956" s="18">
        <f>IFERROR(__xludf.DUMMYFUNCTION("""COMPUTED_VALUE"""),4.68)</f>
        <v>4.68</v>
      </c>
    </row>
    <row r="957">
      <c r="A957" s="13" t="str">
        <f>IFERROR(__xludf.DUMMYFUNCTION("""COMPUTED_VALUE"""),"товари")</f>
        <v>товари</v>
      </c>
      <c r="B957" s="13" t="str">
        <f>IFERROR(__xludf.DUMMYFUNCTION("""COMPUTED_VALUE"""),"вироби з металу, пластику, гуми")</f>
        <v>вироби з металу, пластику, гуми</v>
      </c>
      <c r="C957" s="15" t="str">
        <f>IFERROR(__xludf.DUMMYFUNCTION("""COMPUTED_VALUE"""),"металовироби будівельного призначення")</f>
        <v>металовироби будівельного призначення</v>
      </c>
      <c r="D957" s="15" t="str">
        <f>IFERROR(__xludf.DUMMYFUNCTION("""COMPUTED_VALUE"""),"металоконструкції та промислові будівлі з лмк")</f>
        <v>металоконструкції та промислові будівлі з лмк</v>
      </c>
      <c r="E957" s="15" t="str">
        <f>IFERROR(__xludf.DUMMYFUNCTION("""COMPUTED_VALUE"""),"металеві опори леп")</f>
        <v>металеві опори леп</v>
      </c>
      <c r="F957" s="17">
        <f>IFERROR(__xludf.DUMMYFUNCTION("""COMPUTED_VALUE"""),4.0)</f>
        <v>4</v>
      </c>
      <c r="G957" s="17">
        <f>IFERROR(__xludf.DUMMYFUNCTION("""COMPUTED_VALUE"""),420906.0)</f>
        <v>420906</v>
      </c>
      <c r="H957" s="17" t="str">
        <f>IFERROR(__xludf.DUMMYFUNCTION("""COMPUTED_VALUE"""),"металеві опори леп")</f>
        <v>металеві опори леп</v>
      </c>
      <c r="I957" s="18">
        <f>IFERROR(__xludf.DUMMYFUNCTION("""COMPUTED_VALUE"""),1.62)</f>
        <v>1.62</v>
      </c>
      <c r="J957" s="18">
        <f>IFERROR(__xludf.DUMMYFUNCTION("""COMPUTED_VALUE"""),3.24)</f>
        <v>3.24</v>
      </c>
      <c r="K957" s="18">
        <f>IFERROR(__xludf.DUMMYFUNCTION("""COMPUTED_VALUE"""),4.05)</f>
        <v>4.05</v>
      </c>
      <c r="L957" s="18">
        <f>IFERROR(__xludf.DUMMYFUNCTION("""COMPUTED_VALUE"""),6.48)</f>
        <v>6.48</v>
      </c>
    </row>
    <row r="958">
      <c r="A958" s="13" t="str">
        <f>IFERROR(__xludf.DUMMYFUNCTION("""COMPUTED_VALUE"""),"товари")</f>
        <v>товари</v>
      </c>
      <c r="B958" s="13" t="str">
        <f>IFERROR(__xludf.DUMMYFUNCTION("""COMPUTED_VALUE"""),"вироби з металу, пластику, гуми")</f>
        <v>вироби з металу, пластику, гуми</v>
      </c>
      <c r="C958" s="15" t="str">
        <f>IFERROR(__xludf.DUMMYFUNCTION("""COMPUTED_VALUE"""),"металовироби будівельного призначення")</f>
        <v>металовироби будівельного призначення</v>
      </c>
      <c r="D958" s="15" t="str">
        <f>IFERROR(__xludf.DUMMYFUNCTION("""COMPUTED_VALUE"""),"металовироби будівельного призначення, загальне")</f>
        <v>металовироби будівельного призначення, загальне</v>
      </c>
      <c r="E958" s="15" t="str">
        <f>IFERROR(__xludf.DUMMYFUNCTION("""COMPUTED_VALUE"""),"металовироби будівельного призначення, загальне")</f>
        <v>металовироби будівельного призначення, загальне</v>
      </c>
      <c r="F958" s="17">
        <f>IFERROR(__xludf.DUMMYFUNCTION("""COMPUTED_VALUE"""),3.0)</f>
        <v>3</v>
      </c>
      <c r="G958" s="17">
        <f>IFERROR(__xludf.DUMMYFUNCTION("""COMPUTED_VALUE"""),421410.0)</f>
        <v>421410</v>
      </c>
      <c r="H958" s="17" t="str">
        <f>IFERROR(__xludf.DUMMYFUNCTION("""COMPUTED_VALUE"""),"металовироби будівельного призначення, загальне")</f>
        <v>металовироби будівельного призначення, загальне</v>
      </c>
      <c r="I958" s="18">
        <f>IFERROR(__xludf.DUMMYFUNCTION("""COMPUTED_VALUE"""),2.16)</f>
        <v>2.16</v>
      </c>
      <c r="J958" s="18">
        <f>IFERROR(__xludf.DUMMYFUNCTION("""COMPUTED_VALUE"""),4.33)</f>
        <v>4.33</v>
      </c>
      <c r="K958" s="18">
        <f>IFERROR(__xludf.DUMMYFUNCTION("""COMPUTED_VALUE"""),5.41)</f>
        <v>5.41</v>
      </c>
      <c r="L958" s="18">
        <f>IFERROR(__xludf.DUMMYFUNCTION("""COMPUTED_VALUE"""),8.65)</f>
        <v>8.65</v>
      </c>
    </row>
    <row r="959">
      <c r="A959" s="13" t="str">
        <f>IFERROR(__xludf.DUMMYFUNCTION("""COMPUTED_VALUE"""),"товари")</f>
        <v>товари</v>
      </c>
      <c r="B959" s="13" t="str">
        <f>IFERROR(__xludf.DUMMYFUNCTION("""COMPUTED_VALUE"""),"вироби з металу, пластику, гуми")</f>
        <v>вироби з металу, пластику, гуми</v>
      </c>
      <c r="C959" s="15" t="str">
        <f>IFERROR(__xludf.DUMMYFUNCTION("""COMPUTED_VALUE"""),"металовироби промислового призначення")</f>
        <v>металовироби промислового призначення</v>
      </c>
      <c r="D959" s="15" t="str">
        <f>IFERROR(__xludf.DUMMYFUNCTION("""COMPUTED_VALUE"""),"металовироби промислового призначення, загальне")</f>
        <v>металовироби промислового призначення, загальне</v>
      </c>
      <c r="E959" s="15" t="str">
        <f>IFERROR(__xludf.DUMMYFUNCTION("""COMPUTED_VALUE"""),"металовироби промислового призначення, загальне")</f>
        <v>металовироби промислового призначення, загальне</v>
      </c>
      <c r="F959" s="17">
        <f>IFERROR(__xludf.DUMMYFUNCTION("""COMPUTED_VALUE"""),3.0)</f>
        <v>3</v>
      </c>
      <c r="G959" s="17">
        <f>IFERROR(__xludf.DUMMYFUNCTION("""COMPUTED_VALUE"""),421006.0)</f>
        <v>421006</v>
      </c>
      <c r="H959" s="17" t="str">
        <f>IFERROR(__xludf.DUMMYFUNCTION("""COMPUTED_VALUE"""),"металовироби промислового призначення, загальне")</f>
        <v>металовироби промислового призначення, загальне</v>
      </c>
      <c r="I959" s="18">
        <f>IFERROR(__xludf.DUMMYFUNCTION("""COMPUTED_VALUE"""),2.16)</f>
        <v>2.16</v>
      </c>
      <c r="J959" s="18">
        <f>IFERROR(__xludf.DUMMYFUNCTION("""COMPUTED_VALUE"""),4.33)</f>
        <v>4.33</v>
      </c>
      <c r="K959" s="18">
        <f>IFERROR(__xludf.DUMMYFUNCTION("""COMPUTED_VALUE"""),5.41)</f>
        <v>5.41</v>
      </c>
      <c r="L959" s="18">
        <f>IFERROR(__xludf.DUMMYFUNCTION("""COMPUTED_VALUE"""),8.65)</f>
        <v>8.65</v>
      </c>
    </row>
    <row r="960">
      <c r="A960" s="13" t="str">
        <f>IFERROR(__xludf.DUMMYFUNCTION("""COMPUTED_VALUE"""),"товари")</f>
        <v>товари</v>
      </c>
      <c r="B960" s="13" t="str">
        <f>IFERROR(__xludf.DUMMYFUNCTION("""COMPUTED_VALUE"""),"вироби з металу, пластику, гуми")</f>
        <v>вироби з металу, пластику, гуми</v>
      </c>
      <c r="C960" s="16" t="str">
        <f>IFERROR(__xludf.DUMMYFUNCTION("""COMPUTED_VALUE"""),"вироби з пластику")</f>
        <v>вироби з пластику</v>
      </c>
      <c r="D960" s="16" t="str">
        <f>IFERROR(__xludf.DUMMYFUNCTION("""COMPUTED_VALUE"""),"пластикові покриття")</f>
        <v>пластикові покриття</v>
      </c>
      <c r="E960" s="16" t="str">
        <f>IFERROR(__xludf.DUMMYFUNCTION("""COMPUTED_VALUE"""),"пластикові покриття")</f>
        <v>пластикові покриття</v>
      </c>
      <c r="F960" s="17">
        <f>IFERROR(__xludf.DUMMYFUNCTION("""COMPUTED_VALUE"""),3.0)</f>
        <v>3</v>
      </c>
      <c r="G960" s="17">
        <f>IFERROR(__xludf.DUMMYFUNCTION("""COMPUTED_VALUE"""),800508.0)</f>
        <v>800508</v>
      </c>
      <c r="H960" s="17" t="str">
        <f>IFERROR(__xludf.DUMMYFUNCTION("""COMPUTED_VALUE"""),"пластикові покриття")</f>
        <v>пластикові покриття</v>
      </c>
      <c r="I960" s="18">
        <f>IFERROR(__xludf.DUMMYFUNCTION("""COMPUTED_VALUE"""),0.76)</f>
        <v>0.76</v>
      </c>
      <c r="J960" s="18">
        <f>IFERROR(__xludf.DUMMYFUNCTION("""COMPUTED_VALUE"""),1.53)</f>
        <v>1.53</v>
      </c>
      <c r="K960" s="18">
        <f>IFERROR(__xludf.DUMMYFUNCTION("""COMPUTED_VALUE"""),1.91)</f>
        <v>1.91</v>
      </c>
      <c r="L960" s="18">
        <f>IFERROR(__xludf.DUMMYFUNCTION("""COMPUTED_VALUE"""),3.05)</f>
        <v>3.05</v>
      </c>
    </row>
    <row r="961">
      <c r="A961" s="13" t="str">
        <f>IFERROR(__xludf.DUMMYFUNCTION("""COMPUTED_VALUE"""),"товари")</f>
        <v>товари</v>
      </c>
      <c r="B961" s="13" t="str">
        <f>IFERROR(__xludf.DUMMYFUNCTION("""COMPUTED_VALUE"""),"вироби з металу, пластику, гуми")</f>
        <v>вироби з металу, пластику, гуми</v>
      </c>
      <c r="C961" s="15" t="str">
        <f>IFERROR(__xludf.DUMMYFUNCTION("""COMPUTED_VALUE"""),"металопрокат")</f>
        <v>металопрокат</v>
      </c>
      <c r="D961" s="15" t="str">
        <f>IFERROR(__xludf.DUMMYFUNCTION("""COMPUTED_VALUE"""),"плоский прокат")</f>
        <v>плоский прокат</v>
      </c>
      <c r="E961" s="15" t="str">
        <f>IFERROR(__xludf.DUMMYFUNCTION("""COMPUTED_VALUE"""),"плоский прокат, загальне")</f>
        <v>плоский прокат, загальне</v>
      </c>
      <c r="F961" s="17">
        <f>IFERROR(__xludf.DUMMYFUNCTION("""COMPUTED_VALUE"""),4.0)</f>
        <v>4</v>
      </c>
      <c r="G961" s="17">
        <f>IFERROR(__xludf.DUMMYFUNCTION("""COMPUTED_VALUE"""),420833.0)</f>
        <v>420833</v>
      </c>
      <c r="H961" s="17" t="str">
        <f>IFERROR(__xludf.DUMMYFUNCTION("""COMPUTED_VALUE"""),"плоский прокат, загальне")</f>
        <v>плоский прокат, загальне</v>
      </c>
      <c r="I961" s="18">
        <f>IFERROR(__xludf.DUMMYFUNCTION("""COMPUTED_VALUE"""),2.16)</f>
        <v>2.16</v>
      </c>
      <c r="J961" s="18">
        <f>IFERROR(__xludf.DUMMYFUNCTION("""COMPUTED_VALUE"""),4.33)</f>
        <v>4.33</v>
      </c>
      <c r="K961" s="18">
        <f>IFERROR(__xludf.DUMMYFUNCTION("""COMPUTED_VALUE"""),5.41)</f>
        <v>5.41</v>
      </c>
      <c r="L961" s="18">
        <f>IFERROR(__xludf.DUMMYFUNCTION("""COMPUTED_VALUE"""),8.65)</f>
        <v>8.65</v>
      </c>
    </row>
    <row r="962">
      <c r="A962" s="13" t="str">
        <f>IFERROR(__xludf.DUMMYFUNCTION("""COMPUTED_VALUE"""),"товари")</f>
        <v>товари</v>
      </c>
      <c r="B962" s="13" t="str">
        <f>IFERROR(__xludf.DUMMYFUNCTION("""COMPUTED_VALUE"""),"вироби з металу, пластику, гуми")</f>
        <v>вироби з металу, пластику, гуми</v>
      </c>
      <c r="C962" s="15" t="str">
        <f>IFERROR(__xludf.DUMMYFUNCTION("""COMPUTED_VALUE"""),"металовироби промислового призначення")</f>
        <v>металовироби промислового призначення</v>
      </c>
      <c r="D962" s="15" t="str">
        <f>IFERROR(__xludf.DUMMYFUNCTION("""COMPUTED_VALUE"""),"траверси")</f>
        <v>траверси</v>
      </c>
      <c r="E962" s="15" t="str">
        <f>IFERROR(__xludf.DUMMYFUNCTION("""COMPUTED_VALUE"""),"траверси")</f>
        <v>траверси</v>
      </c>
      <c r="F962" s="17">
        <f>IFERROR(__xludf.DUMMYFUNCTION("""COMPUTED_VALUE"""),3.0)</f>
        <v>3</v>
      </c>
      <c r="G962" s="17">
        <f>IFERROR(__xludf.DUMMYFUNCTION("""COMPUTED_VALUE"""),4.2020201E7)</f>
        <v>42020201</v>
      </c>
      <c r="H962" s="17" t="str">
        <f>IFERROR(__xludf.DUMMYFUNCTION("""COMPUTED_VALUE"""),"траверси")</f>
        <v>траверси</v>
      </c>
      <c r="I962" s="18">
        <f>IFERROR(__xludf.DUMMYFUNCTION("""COMPUTED_VALUE"""),1.35)</f>
        <v>1.35</v>
      </c>
      <c r="J962" s="18">
        <f>IFERROR(__xludf.DUMMYFUNCTION("""COMPUTED_VALUE"""),2.7)</f>
        <v>2.7</v>
      </c>
      <c r="K962" s="18">
        <f>IFERROR(__xludf.DUMMYFUNCTION("""COMPUTED_VALUE"""),3.38)</f>
        <v>3.38</v>
      </c>
      <c r="L962" s="18">
        <f>IFERROR(__xludf.DUMMYFUNCTION("""COMPUTED_VALUE"""),5.4)</f>
        <v>5.4</v>
      </c>
    </row>
    <row r="963">
      <c r="A963" s="13" t="str">
        <f>IFERROR(__xludf.DUMMYFUNCTION("""COMPUTED_VALUE"""),"товари")</f>
        <v>товари</v>
      </c>
      <c r="B963" s="13" t="str">
        <f>IFERROR(__xludf.DUMMYFUNCTION("""COMPUTED_VALUE"""),"вироби з металу, пластику, гуми")</f>
        <v>вироби з металу, пластику, гуми</v>
      </c>
      <c r="C963" s="15" t="str">
        <f>IFERROR(__xludf.DUMMYFUNCTION("""COMPUTED_VALUE"""),"металопрокат")</f>
        <v>металопрокат</v>
      </c>
      <c r="D963" s="15" t="str">
        <f>IFERROR(__xludf.DUMMYFUNCTION("""COMPUTED_VALUE"""),"трубний прокат")</f>
        <v>трубний прокат</v>
      </c>
      <c r="E963" s="15" t="str">
        <f>IFERROR(__xludf.DUMMYFUNCTION("""COMPUTED_VALUE"""),"трубний прокат")</f>
        <v>трубний прокат</v>
      </c>
      <c r="F963" s="17">
        <f>IFERROR(__xludf.DUMMYFUNCTION("""COMPUTED_VALUE"""),3.0)</f>
        <v>3</v>
      </c>
      <c r="G963" s="17">
        <f>IFERROR(__xludf.DUMMYFUNCTION("""COMPUTED_VALUE"""),131008.0)</f>
        <v>131008</v>
      </c>
      <c r="H963" s="17" t="str">
        <f>IFERROR(__xludf.DUMMYFUNCTION("""COMPUTED_VALUE"""),"трубний прокат")</f>
        <v>трубний прокат</v>
      </c>
      <c r="I963" s="18">
        <f>IFERROR(__xludf.DUMMYFUNCTION("""COMPUTED_VALUE"""),1.98)</f>
        <v>1.98</v>
      </c>
      <c r="J963" s="18">
        <f>IFERROR(__xludf.DUMMYFUNCTION("""COMPUTED_VALUE"""),3.96)</f>
        <v>3.96</v>
      </c>
      <c r="K963" s="18">
        <f>IFERROR(__xludf.DUMMYFUNCTION("""COMPUTED_VALUE"""),4.95)</f>
        <v>4.95</v>
      </c>
      <c r="L963" s="18">
        <f>IFERROR(__xludf.DUMMYFUNCTION("""COMPUTED_VALUE"""),7.93)</f>
        <v>7.93</v>
      </c>
    </row>
    <row r="964">
      <c r="A964" s="13" t="str">
        <f>IFERROR(__xludf.DUMMYFUNCTION("""COMPUTED_VALUE"""),"послуги")</f>
        <v>послуги</v>
      </c>
      <c r="B964" s="13" t="str">
        <f>IFERROR(__xludf.DUMMYFUNCTION("""COMPUTED_VALUE"""),"ділові послуги")</f>
        <v>ділові послуги</v>
      </c>
      <c r="C964" s="15" t="str">
        <f>IFERROR(__xludf.DUMMYFUNCTION("""COMPUTED_VALUE"""),"бухгалтерські та аудиторські послуги")</f>
        <v>бухгалтерські та аудиторські послуги</v>
      </c>
      <c r="D964" s="15" t="str">
        <f>IFERROR(__xludf.DUMMYFUNCTION("""COMPUTED_VALUE"""),"бухгалтерські та аудиторські послуги, загальне")</f>
        <v>бухгалтерські та аудиторські послуги, загальне</v>
      </c>
      <c r="E964" s="15" t="str">
        <f>IFERROR(__xludf.DUMMYFUNCTION("""COMPUTED_VALUE"""),"бухгалтерські та аудиторські послуги, загальне")</f>
        <v>бухгалтерські та аудиторські послуги, загальне</v>
      </c>
      <c r="F964" s="17">
        <f>IFERROR(__xludf.DUMMYFUNCTION("""COMPUTED_VALUE"""),3.0)</f>
        <v>3</v>
      </c>
      <c r="G964" s="17">
        <f>IFERROR(__xludf.DUMMYFUNCTION("""COMPUTED_VALUE"""),280403.0)</f>
        <v>280403</v>
      </c>
      <c r="H964" s="17" t="str">
        <f>IFERROR(__xludf.DUMMYFUNCTION("""COMPUTED_VALUE"""),"бухгалтерські та аудиторські послуги, загальне")</f>
        <v>бухгалтерські та аудиторські послуги, загальне</v>
      </c>
      <c r="I964" s="18">
        <f>IFERROR(__xludf.DUMMYFUNCTION("""COMPUTED_VALUE"""),2.16)</f>
        <v>2.16</v>
      </c>
      <c r="J964" s="18">
        <f>IFERROR(__xludf.DUMMYFUNCTION("""COMPUTED_VALUE"""),4.33)</f>
        <v>4.33</v>
      </c>
      <c r="K964" s="18">
        <f>IFERROR(__xludf.DUMMYFUNCTION("""COMPUTED_VALUE"""),5.41)</f>
        <v>5.41</v>
      </c>
      <c r="L964" s="18">
        <f>IFERROR(__xludf.DUMMYFUNCTION("""COMPUTED_VALUE"""),8.65)</f>
        <v>8.65</v>
      </c>
    </row>
    <row r="965">
      <c r="A965" s="13" t="str">
        <f>IFERROR(__xludf.DUMMYFUNCTION("""COMPUTED_VALUE"""),"послуги")</f>
        <v>послуги</v>
      </c>
      <c r="B965" s="13" t="str">
        <f>IFERROR(__xludf.DUMMYFUNCTION("""COMPUTED_VALUE"""),"ділові послуги")</f>
        <v>ділові послуги</v>
      </c>
      <c r="C965" s="15" t="str">
        <f>IFERROR(__xludf.DUMMYFUNCTION("""COMPUTED_VALUE"""),"виготовлення печаток та штампів")</f>
        <v>виготовлення печаток та штампів</v>
      </c>
      <c r="D965" s="15" t="str">
        <f>IFERROR(__xludf.DUMMYFUNCTION("""COMPUTED_VALUE"""),"виготовлення печаток та штампів")</f>
        <v>виготовлення печаток та штампів</v>
      </c>
      <c r="E965" s="15" t="str">
        <f>IFERROR(__xludf.DUMMYFUNCTION("""COMPUTED_VALUE"""),"виготовлення печаток та штампів")</f>
        <v>виготовлення печаток та штампів</v>
      </c>
      <c r="F965" s="17">
        <f>IFERROR(__xludf.DUMMYFUNCTION("""COMPUTED_VALUE"""),2.0)</f>
        <v>2</v>
      </c>
      <c r="G965" s="17">
        <f>IFERROR(__xludf.DUMMYFUNCTION("""COMPUTED_VALUE"""),280574.0)</f>
        <v>280574</v>
      </c>
      <c r="H965" s="17" t="str">
        <f>IFERROR(__xludf.DUMMYFUNCTION("""COMPUTED_VALUE"""),"виготовлення печаток та штампів")</f>
        <v>виготовлення печаток та штампів</v>
      </c>
      <c r="I965" s="18">
        <f>IFERROR(__xludf.DUMMYFUNCTION("""COMPUTED_VALUE"""),1.8)</f>
        <v>1.8</v>
      </c>
      <c r="J965" s="18">
        <f>IFERROR(__xludf.DUMMYFUNCTION("""COMPUTED_VALUE"""),3.6)</f>
        <v>3.6</v>
      </c>
      <c r="K965" s="18">
        <f>IFERROR(__xludf.DUMMYFUNCTION("""COMPUTED_VALUE"""),4.5)</f>
        <v>4.5</v>
      </c>
      <c r="L965" s="18">
        <f>IFERROR(__xludf.DUMMYFUNCTION("""COMPUTED_VALUE"""),7.2)</f>
        <v>7.2</v>
      </c>
    </row>
    <row r="966">
      <c r="A966" s="13" t="str">
        <f>IFERROR(__xludf.DUMMYFUNCTION("""COMPUTED_VALUE"""),"послуги")</f>
        <v>послуги</v>
      </c>
      <c r="B966" s="13" t="str">
        <f>IFERROR(__xludf.DUMMYFUNCTION("""COMPUTED_VALUE"""),"ділові послуги")</f>
        <v>ділові послуги</v>
      </c>
      <c r="C966" s="15" t="str">
        <f>IFERROR(__xludf.DUMMYFUNCTION("""COMPUTED_VALUE"""),"консалтингові послуги")</f>
        <v>консалтингові послуги</v>
      </c>
      <c r="D966" s="15" t="str">
        <f>IFERROR(__xludf.DUMMYFUNCTION("""COMPUTED_VALUE"""),"консалтингові послуги")</f>
        <v>консалтингові послуги</v>
      </c>
      <c r="E966" s="15" t="str">
        <f>IFERROR(__xludf.DUMMYFUNCTION("""COMPUTED_VALUE"""),"консалтингові послуги")</f>
        <v>консалтингові послуги</v>
      </c>
      <c r="F966" s="17">
        <f>IFERROR(__xludf.DUMMYFUNCTION("""COMPUTED_VALUE"""),2.0)</f>
        <v>2</v>
      </c>
      <c r="G966" s="17">
        <f>IFERROR(__xludf.DUMMYFUNCTION("""COMPUTED_VALUE"""),280601.0)</f>
        <v>280601</v>
      </c>
      <c r="H966" s="17" t="str">
        <f>IFERROR(__xludf.DUMMYFUNCTION("""COMPUTED_VALUE"""),"консалтингові послуги")</f>
        <v>консалтингові послуги</v>
      </c>
      <c r="I966" s="18">
        <f>IFERROR(__xludf.DUMMYFUNCTION("""COMPUTED_VALUE"""),0.76)</f>
        <v>0.76</v>
      </c>
      <c r="J966" s="18">
        <f>IFERROR(__xludf.DUMMYFUNCTION("""COMPUTED_VALUE"""),1.53)</f>
        <v>1.53</v>
      </c>
      <c r="K966" s="18">
        <f>IFERROR(__xludf.DUMMYFUNCTION("""COMPUTED_VALUE"""),1.91)</f>
        <v>1.91</v>
      </c>
      <c r="L966" s="18">
        <f>IFERROR(__xludf.DUMMYFUNCTION("""COMPUTED_VALUE"""),3.05)</f>
        <v>3.05</v>
      </c>
    </row>
    <row r="967">
      <c r="A967" s="13" t="str">
        <f>IFERROR(__xludf.DUMMYFUNCTION("""COMPUTED_VALUE"""),"послуги")</f>
        <v>послуги</v>
      </c>
      <c r="B967" s="13" t="str">
        <f>IFERROR(__xludf.DUMMYFUNCTION("""COMPUTED_VALUE"""),"ділові послуги")</f>
        <v>ділові послуги</v>
      </c>
      <c r="C967" s="15" t="str">
        <f>IFERROR(__xludf.DUMMYFUNCTION("""COMPUTED_VALUE"""),"організація аукціонів та тендерів")</f>
        <v>організація аукціонів та тендерів</v>
      </c>
      <c r="D967" s="15" t="str">
        <f>IFERROR(__xludf.DUMMYFUNCTION("""COMPUTED_VALUE"""),"організація аукціонів та тендерів")</f>
        <v>організація аукціонів та тендерів</v>
      </c>
      <c r="E967" s="15" t="str">
        <f>IFERROR(__xludf.DUMMYFUNCTION("""COMPUTED_VALUE"""),"організація аукціонів та тендерів")</f>
        <v>організація аукціонів та тендерів</v>
      </c>
      <c r="F967" s="17">
        <f>IFERROR(__xludf.DUMMYFUNCTION("""COMPUTED_VALUE"""),2.0)</f>
        <v>2</v>
      </c>
      <c r="G967" s="17">
        <f>IFERROR(__xludf.DUMMYFUNCTION("""COMPUTED_VALUE"""),282804.0)</f>
        <v>282804</v>
      </c>
      <c r="H967" s="17" t="str">
        <f>IFERROR(__xludf.DUMMYFUNCTION("""COMPUTED_VALUE"""),"організація аукціонів та тендерів")</f>
        <v>організація аукціонів та тендерів</v>
      </c>
      <c r="I967" s="18">
        <f>IFERROR(__xludf.DUMMYFUNCTION("""COMPUTED_VALUE"""),0.76)</f>
        <v>0.76</v>
      </c>
      <c r="J967" s="18">
        <f>IFERROR(__xludf.DUMMYFUNCTION("""COMPUTED_VALUE"""),1.53)</f>
        <v>1.53</v>
      </c>
      <c r="K967" s="18">
        <f>IFERROR(__xludf.DUMMYFUNCTION("""COMPUTED_VALUE"""),1.91)</f>
        <v>1.91</v>
      </c>
      <c r="L967" s="18">
        <f>IFERROR(__xludf.DUMMYFUNCTION("""COMPUTED_VALUE"""),3.05)</f>
        <v>3.05</v>
      </c>
    </row>
    <row r="968">
      <c r="A968" s="13" t="str">
        <f>IFERROR(__xludf.DUMMYFUNCTION("""COMPUTED_VALUE"""),"послуги")</f>
        <v>послуги</v>
      </c>
      <c r="B968" s="13" t="str">
        <f>IFERROR(__xludf.DUMMYFUNCTION("""COMPUTED_VALUE"""),"ділові послуги")</f>
        <v>ділові послуги</v>
      </c>
      <c r="C968" s="15" t="str">
        <f>IFERROR(__xludf.DUMMYFUNCTION("""COMPUTED_VALUE"""),"перекладацькі послуги")</f>
        <v>перекладацькі послуги</v>
      </c>
      <c r="D968" s="15" t="str">
        <f>IFERROR(__xludf.DUMMYFUNCTION("""COMPUTED_VALUE"""),"перекладацькі послуги")</f>
        <v>перекладацькі послуги</v>
      </c>
      <c r="E968" s="15" t="str">
        <f>IFERROR(__xludf.DUMMYFUNCTION("""COMPUTED_VALUE"""),"перекладацькі послуги")</f>
        <v>перекладацькі послуги</v>
      </c>
      <c r="F968" s="17">
        <f>IFERROR(__xludf.DUMMYFUNCTION("""COMPUTED_VALUE"""),2.0)</f>
        <v>2</v>
      </c>
      <c r="G968" s="17">
        <f>IFERROR(__xludf.DUMMYFUNCTION("""COMPUTED_VALUE"""),281102.0)</f>
        <v>281102</v>
      </c>
      <c r="H968" s="17" t="str">
        <f>IFERROR(__xludf.DUMMYFUNCTION("""COMPUTED_VALUE"""),"перекладацькі послуги")</f>
        <v>перекладацькі послуги</v>
      </c>
      <c r="I968" s="18">
        <f>IFERROR(__xludf.DUMMYFUNCTION("""COMPUTED_VALUE"""),0.63)</f>
        <v>0.63</v>
      </c>
      <c r="J968" s="18">
        <f>IFERROR(__xludf.DUMMYFUNCTION("""COMPUTED_VALUE"""),1.26)</f>
        <v>1.26</v>
      </c>
      <c r="K968" s="18">
        <f>IFERROR(__xludf.DUMMYFUNCTION("""COMPUTED_VALUE"""),1.58)</f>
        <v>1.58</v>
      </c>
      <c r="L968" s="18">
        <f>IFERROR(__xludf.DUMMYFUNCTION("""COMPUTED_VALUE"""),2.53)</f>
        <v>2.53</v>
      </c>
    </row>
    <row r="969">
      <c r="A969" s="13" t="str">
        <f>IFERROR(__xludf.DUMMYFUNCTION("""COMPUTED_VALUE"""),"послуги")</f>
        <v>послуги</v>
      </c>
      <c r="B969" s="13" t="str">
        <f>IFERROR(__xludf.DUMMYFUNCTION("""COMPUTED_VALUE"""),"ділові послуги")</f>
        <v>ділові послуги</v>
      </c>
      <c r="C969" s="15" t="str">
        <f>IFERROR(__xludf.DUMMYFUNCTION("""COMPUTED_VALUE"""),"послуги лабораторій та сертифікація товарів")</f>
        <v>послуги лабораторій та сертифікація товарів</v>
      </c>
      <c r="D969" s="15" t="str">
        <f>IFERROR(__xludf.DUMMYFUNCTION("""COMPUTED_VALUE"""),"послуги лабораторій та сертифікація товарів")</f>
        <v>послуги лабораторій та сертифікація товарів</v>
      </c>
      <c r="E969" s="15" t="str">
        <f>IFERROR(__xludf.DUMMYFUNCTION("""COMPUTED_VALUE"""),"послуги лабораторій та сертифікація товарів")</f>
        <v>послуги лабораторій та сертифікація товарів</v>
      </c>
      <c r="F969" s="17">
        <f>IFERROR(__xludf.DUMMYFUNCTION("""COMPUTED_VALUE"""),2.0)</f>
        <v>2</v>
      </c>
      <c r="G969" s="17">
        <f>IFERROR(__xludf.DUMMYFUNCTION("""COMPUTED_VALUE"""),283401.0)</f>
        <v>283401</v>
      </c>
      <c r="H969" s="17" t="str">
        <f>IFERROR(__xludf.DUMMYFUNCTION("""COMPUTED_VALUE"""),"послуги лабораторій та сертифікація товарів")</f>
        <v>послуги лабораторій та сертифікація товарів</v>
      </c>
      <c r="I969" s="18">
        <f>IFERROR(__xludf.DUMMYFUNCTION("""COMPUTED_VALUE"""),1.26)</f>
        <v>1.26</v>
      </c>
      <c r="J969" s="18">
        <f>IFERROR(__xludf.DUMMYFUNCTION("""COMPUTED_VALUE"""),2.53)</f>
        <v>2.53</v>
      </c>
      <c r="K969" s="18">
        <f>IFERROR(__xludf.DUMMYFUNCTION("""COMPUTED_VALUE"""),3.16)</f>
        <v>3.16</v>
      </c>
      <c r="L969" s="18">
        <f>IFERROR(__xludf.DUMMYFUNCTION("""COMPUTED_VALUE"""),5.05)</f>
        <v>5.05</v>
      </c>
    </row>
    <row r="970">
      <c r="A970" s="13" t="str">
        <f>IFERROR(__xludf.DUMMYFUNCTION("""COMPUTED_VALUE"""),"послуги")</f>
        <v>послуги</v>
      </c>
      <c r="B970" s="13" t="str">
        <f>IFERROR(__xludf.DUMMYFUNCTION("""COMPUTED_VALUE"""),"ділові послуги")</f>
        <v>ділові послуги</v>
      </c>
      <c r="C970" s="15" t="str">
        <f>IFERROR(__xludf.DUMMYFUNCTION("""COMPUTED_VALUE"""),"послуги у сфері екології")</f>
        <v>послуги у сфері екології</v>
      </c>
      <c r="D970" s="15" t="str">
        <f>IFERROR(__xludf.DUMMYFUNCTION("""COMPUTED_VALUE"""),"послуги у сфері екології")</f>
        <v>послуги у сфері екології</v>
      </c>
      <c r="E970" s="15" t="str">
        <f>IFERROR(__xludf.DUMMYFUNCTION("""COMPUTED_VALUE"""),"послуги у сфері екології")</f>
        <v>послуги у сфері екології</v>
      </c>
      <c r="F970" s="17">
        <f>IFERROR(__xludf.DUMMYFUNCTION("""COMPUTED_VALUE"""),2.0)</f>
        <v>2</v>
      </c>
      <c r="G970" s="17">
        <f>IFERROR(__xludf.DUMMYFUNCTION("""COMPUTED_VALUE"""),280582.0)</f>
        <v>280582</v>
      </c>
      <c r="H970" s="17" t="str">
        <f>IFERROR(__xludf.DUMMYFUNCTION("""COMPUTED_VALUE"""),"послуги у сфері екології")</f>
        <v>послуги у сфері екології</v>
      </c>
      <c r="I970" s="18">
        <f>IFERROR(__xludf.DUMMYFUNCTION("""COMPUTED_VALUE"""),2.16)</f>
        <v>2.16</v>
      </c>
      <c r="J970" s="18">
        <f>IFERROR(__xludf.DUMMYFUNCTION("""COMPUTED_VALUE"""),4.33)</f>
        <v>4.33</v>
      </c>
      <c r="K970" s="18">
        <f>IFERROR(__xludf.DUMMYFUNCTION("""COMPUTED_VALUE"""),5.41)</f>
        <v>5.41</v>
      </c>
      <c r="L970" s="18">
        <f>IFERROR(__xludf.DUMMYFUNCTION("""COMPUTED_VALUE"""),8.65)</f>
        <v>8.65</v>
      </c>
    </row>
    <row r="971">
      <c r="A971" s="13" t="str">
        <f>IFERROR(__xludf.DUMMYFUNCTION("""COMPUTED_VALUE"""),"послуги")</f>
        <v>послуги</v>
      </c>
      <c r="B971" s="13" t="str">
        <f>IFERROR(__xludf.DUMMYFUNCTION("""COMPUTED_VALUE"""),"ділові послуги")</f>
        <v>ділові послуги</v>
      </c>
      <c r="C971" s="15" t="str">
        <f>IFERROR(__xludf.DUMMYFUNCTION("""COMPUTED_VALUE"""),"послуги фінансових установ")</f>
        <v>послуги фінансових установ</v>
      </c>
      <c r="D971" s="15" t="str">
        <f>IFERROR(__xludf.DUMMYFUNCTION("""COMPUTED_VALUE"""),"послуги фінансових установ")</f>
        <v>послуги фінансових установ</v>
      </c>
      <c r="E971" s="15" t="str">
        <f>IFERROR(__xludf.DUMMYFUNCTION("""COMPUTED_VALUE"""),"послуги фінансових установ")</f>
        <v>послуги фінансових установ</v>
      </c>
      <c r="F971" s="17">
        <f>IFERROR(__xludf.DUMMYFUNCTION("""COMPUTED_VALUE"""),2.0)</f>
        <v>2</v>
      </c>
      <c r="G971" s="17">
        <f>IFERROR(__xludf.DUMMYFUNCTION("""COMPUTED_VALUE"""),280506.0)</f>
        <v>280506</v>
      </c>
      <c r="H971" s="17" t="str">
        <f>IFERROR(__xludf.DUMMYFUNCTION("""COMPUTED_VALUE"""),"послуги фінансових установ")</f>
        <v>послуги фінансових установ</v>
      </c>
      <c r="I971" s="18">
        <f>IFERROR(__xludf.DUMMYFUNCTION("""COMPUTED_VALUE"""),0.86)</f>
        <v>0.86</v>
      </c>
      <c r="J971" s="18">
        <f>IFERROR(__xludf.DUMMYFUNCTION("""COMPUTED_VALUE"""),1.71)</f>
        <v>1.71</v>
      </c>
      <c r="K971" s="18">
        <f>IFERROR(__xludf.DUMMYFUNCTION("""COMPUTED_VALUE"""),2.14)</f>
        <v>2.14</v>
      </c>
      <c r="L971" s="18">
        <f>IFERROR(__xludf.DUMMYFUNCTION("""COMPUTED_VALUE"""),3.43)</f>
        <v>3.43</v>
      </c>
    </row>
    <row r="972">
      <c r="A972" s="13" t="str">
        <f>IFERROR(__xludf.DUMMYFUNCTION("""COMPUTED_VALUE"""),"послуги")</f>
        <v>послуги</v>
      </c>
      <c r="B972" s="13" t="str">
        <f>IFERROR(__xludf.DUMMYFUNCTION("""COMPUTED_VALUE"""),"ділові послуги")</f>
        <v>ділові послуги</v>
      </c>
      <c r="C972" s="15" t="str">
        <f>IFERROR(__xludf.DUMMYFUNCTION("""COMPUTED_VALUE"""),"правові та юридичні послуги")</f>
        <v>правові та юридичні послуги</v>
      </c>
      <c r="D972" s="15" t="str">
        <f>IFERROR(__xludf.DUMMYFUNCTION("""COMPUTED_VALUE"""),"правові та юридичні послуги")</f>
        <v>правові та юридичні послуги</v>
      </c>
      <c r="E972" s="15" t="str">
        <f>IFERROR(__xludf.DUMMYFUNCTION("""COMPUTED_VALUE"""),"правові та юридичні послуги")</f>
        <v>правові та юридичні послуги</v>
      </c>
      <c r="F972" s="17">
        <f>IFERROR(__xludf.DUMMYFUNCTION("""COMPUTED_VALUE"""),2.0)</f>
        <v>2</v>
      </c>
      <c r="G972" s="17">
        <f>IFERROR(__xludf.DUMMYFUNCTION("""COMPUTED_VALUE"""),284006.0)</f>
        <v>284006</v>
      </c>
      <c r="H972" s="17" t="str">
        <f>IFERROR(__xludf.DUMMYFUNCTION("""COMPUTED_VALUE"""),"правові та юридичні послуги")</f>
        <v>правові та юридичні послуги</v>
      </c>
      <c r="I972" s="18">
        <f>IFERROR(__xludf.DUMMYFUNCTION("""COMPUTED_VALUE"""),1.13)</f>
        <v>1.13</v>
      </c>
      <c r="J972" s="18">
        <f>IFERROR(__xludf.DUMMYFUNCTION("""COMPUTED_VALUE"""),2.25)</f>
        <v>2.25</v>
      </c>
      <c r="K972" s="18">
        <f>IFERROR(__xludf.DUMMYFUNCTION("""COMPUTED_VALUE"""),2.81)</f>
        <v>2.81</v>
      </c>
      <c r="L972" s="18">
        <f>IFERROR(__xludf.DUMMYFUNCTION("""COMPUTED_VALUE"""),4.5)</f>
        <v>4.5</v>
      </c>
    </row>
    <row r="973">
      <c r="A973" s="13" t="str">
        <f>IFERROR(__xludf.DUMMYFUNCTION("""COMPUTED_VALUE"""),"товари")</f>
        <v>товари</v>
      </c>
      <c r="B973" s="13" t="str">
        <f>IFERROR(__xludf.DUMMYFUNCTION("""COMPUTED_VALUE"""),"товари для дому")</f>
        <v>товари для дому</v>
      </c>
      <c r="C973" s="15" t="str">
        <f>IFERROR(__xludf.DUMMYFUNCTION("""COMPUTED_VALUE"""),"меблі")</f>
        <v>меблі</v>
      </c>
      <c r="D973" s="15" t="str">
        <f>IFERROR(__xludf.DUMMYFUNCTION("""COMPUTED_VALUE"""),"кухонні меблі")</f>
        <v>кухонні меблі</v>
      </c>
      <c r="E973" s="15" t="str">
        <f>IFERROR(__xludf.DUMMYFUNCTION("""COMPUTED_VALUE"""),"готові кухні")</f>
        <v>готові кухні</v>
      </c>
      <c r="F973" s="17">
        <f>IFERROR(__xludf.DUMMYFUNCTION("""COMPUTED_VALUE"""),4.0)</f>
        <v>4</v>
      </c>
      <c r="G973" s="17">
        <f>IFERROR(__xludf.DUMMYFUNCTION("""COMPUTED_VALUE"""),3.7035003E7)</f>
        <v>37035003</v>
      </c>
      <c r="H973" s="17" t="str">
        <f>IFERROR(__xludf.DUMMYFUNCTION("""COMPUTED_VALUE"""),"готові кухні")</f>
        <v>готові кухні</v>
      </c>
      <c r="I973" s="18">
        <f>IFERROR(__xludf.DUMMYFUNCTION("""COMPUTED_VALUE"""),0.76)</f>
        <v>0.76</v>
      </c>
      <c r="J973" s="18">
        <f>IFERROR(__xludf.DUMMYFUNCTION("""COMPUTED_VALUE"""),1.53)</f>
        <v>1.53</v>
      </c>
      <c r="K973" s="18">
        <f>IFERROR(__xludf.DUMMYFUNCTION("""COMPUTED_VALUE"""),1.91)</f>
        <v>1.91</v>
      </c>
      <c r="L973" s="18">
        <f>IFERROR(__xludf.DUMMYFUNCTION("""COMPUTED_VALUE"""),3.05)</f>
        <v>3.05</v>
      </c>
    </row>
    <row r="974">
      <c r="A974" s="13" t="str">
        <f>IFERROR(__xludf.DUMMYFUNCTION("""COMPUTED_VALUE"""),"товари")</f>
        <v>товари</v>
      </c>
      <c r="B974" s="13" t="str">
        <f>IFERROR(__xludf.DUMMYFUNCTION("""COMPUTED_VALUE"""),"товари для дому")</f>
        <v>товари для дому</v>
      </c>
      <c r="C974" s="15" t="str">
        <f>IFERROR(__xludf.DUMMYFUNCTION("""COMPUTED_VALUE"""),"меблі")</f>
        <v>меблі</v>
      </c>
      <c r="D974" s="15" t="str">
        <f>IFERROR(__xludf.DUMMYFUNCTION("""COMPUTED_VALUE"""),"м'які меблі")</f>
        <v>м'які меблі</v>
      </c>
      <c r="E974" s="15" t="str">
        <f>IFERROR(__xludf.DUMMYFUNCTION("""COMPUTED_VALUE"""),"дивани")</f>
        <v>дивани</v>
      </c>
      <c r="F974" s="17">
        <f>IFERROR(__xludf.DUMMYFUNCTION("""COMPUTED_VALUE"""),4.0)</f>
        <v>4</v>
      </c>
      <c r="G974" s="17">
        <f>IFERROR(__xludf.DUMMYFUNCTION("""COMPUTED_VALUE"""),3.7034013E7)</f>
        <v>37034013</v>
      </c>
      <c r="H974" s="17" t="str">
        <f>IFERROR(__xludf.DUMMYFUNCTION("""COMPUTED_VALUE"""),"дивани")</f>
        <v>дивани</v>
      </c>
      <c r="I974" s="18">
        <f>IFERROR(__xludf.DUMMYFUNCTION("""COMPUTED_VALUE"""),1.08)</f>
        <v>1.08</v>
      </c>
      <c r="J974" s="18">
        <f>IFERROR(__xludf.DUMMYFUNCTION("""COMPUTED_VALUE"""),2.16)</f>
        <v>2.16</v>
      </c>
      <c r="K974" s="18">
        <f>IFERROR(__xludf.DUMMYFUNCTION("""COMPUTED_VALUE"""),2.7)</f>
        <v>2.7</v>
      </c>
      <c r="L974" s="18">
        <f>IFERROR(__xludf.DUMMYFUNCTION("""COMPUTED_VALUE"""),4.33)</f>
        <v>4.33</v>
      </c>
    </row>
    <row r="975">
      <c r="A975" s="13" t="str">
        <f>IFERROR(__xludf.DUMMYFUNCTION("""COMPUTED_VALUE"""),"товари")</f>
        <v>товари</v>
      </c>
      <c r="B975" s="13" t="str">
        <f>IFERROR(__xludf.DUMMYFUNCTION("""COMPUTED_VALUE"""),"товари для дому")</f>
        <v>товари для дому</v>
      </c>
      <c r="C975" s="15" t="str">
        <f>IFERROR(__xludf.DUMMYFUNCTION("""COMPUTED_VALUE"""),"сучасний будинок")</f>
        <v>сучасний будинок</v>
      </c>
      <c r="D975" s="15" t="str">
        <f>IFERROR(__xludf.DUMMYFUNCTION("""COMPUTED_VALUE"""),"кодонабірні клавіатури")</f>
        <v>кодонабірні клавіатури</v>
      </c>
      <c r="E975" s="15" t="str">
        <f>IFERROR(__xludf.DUMMYFUNCTION("""COMPUTED_VALUE"""),"кодонабірні клавіатури")</f>
        <v>кодонабірні клавіатури</v>
      </c>
      <c r="F975" s="17">
        <f>IFERROR(__xludf.DUMMYFUNCTION("""COMPUTED_VALUE"""),3.0)</f>
        <v>3</v>
      </c>
      <c r="G975" s="17">
        <f>IFERROR(__xludf.DUMMYFUNCTION("""COMPUTED_VALUE"""),301305.0)</f>
        <v>301305</v>
      </c>
      <c r="H975" s="17" t="str">
        <f>IFERROR(__xludf.DUMMYFUNCTION("""COMPUTED_VALUE"""),"кодонабірні клавіатури")</f>
        <v>кодонабірні клавіатури</v>
      </c>
      <c r="I975" s="18">
        <f>IFERROR(__xludf.DUMMYFUNCTION("""COMPUTED_VALUE"""),0.76)</f>
        <v>0.76</v>
      </c>
      <c r="J975" s="18">
        <f>IFERROR(__xludf.DUMMYFUNCTION("""COMPUTED_VALUE"""),1.53)</f>
        <v>1.53</v>
      </c>
      <c r="K975" s="18">
        <f>IFERROR(__xludf.DUMMYFUNCTION("""COMPUTED_VALUE"""),1.91)</f>
        <v>1.91</v>
      </c>
      <c r="L975" s="18">
        <f>IFERROR(__xludf.DUMMYFUNCTION("""COMPUTED_VALUE"""),3.05)</f>
        <v>3.05</v>
      </c>
    </row>
    <row r="976">
      <c r="A976" s="13" t="str">
        <f>IFERROR(__xludf.DUMMYFUNCTION("""COMPUTED_VALUE"""),"товари")</f>
        <v>товари</v>
      </c>
      <c r="B976" s="13" t="str">
        <f>IFERROR(__xludf.DUMMYFUNCTION("""COMPUTED_VALUE"""),"товари для дому")</f>
        <v>товари для дому</v>
      </c>
      <c r="C976" s="15" t="str">
        <f>IFERROR(__xludf.DUMMYFUNCTION("""COMPUTED_VALUE"""),"меблі")</f>
        <v>меблі</v>
      </c>
      <c r="D976" s="15" t="str">
        <f>IFERROR(__xludf.DUMMYFUNCTION("""COMPUTED_VALUE"""),"м'які меблі")</f>
        <v>м'які меблі</v>
      </c>
      <c r="E976" s="15" t="str">
        <f>IFERROR(__xludf.DUMMYFUNCTION("""COMPUTED_VALUE"""),"комплекти м'яких меблів")</f>
        <v>комплекти м'яких меблів</v>
      </c>
      <c r="F976" s="17">
        <f>IFERROR(__xludf.DUMMYFUNCTION("""COMPUTED_VALUE"""),4.0)</f>
        <v>4</v>
      </c>
      <c r="G976" s="17">
        <f>IFERROR(__xludf.DUMMYFUNCTION("""COMPUTED_VALUE"""),1.5030316E7)</f>
        <v>15030316</v>
      </c>
      <c r="H976" s="17" t="str">
        <f>IFERROR(__xludf.DUMMYFUNCTION("""COMPUTED_VALUE"""),"комплекти м'яких меблів")</f>
        <v>комплекти м'яких меблів</v>
      </c>
      <c r="I976" s="18">
        <f>IFERROR(__xludf.DUMMYFUNCTION("""COMPUTED_VALUE"""),1.08)</f>
        <v>1.08</v>
      </c>
      <c r="J976" s="18">
        <f>IFERROR(__xludf.DUMMYFUNCTION("""COMPUTED_VALUE"""),2.16)</f>
        <v>2.16</v>
      </c>
      <c r="K976" s="18">
        <f>IFERROR(__xludf.DUMMYFUNCTION("""COMPUTED_VALUE"""),2.7)</f>
        <v>2.7</v>
      </c>
      <c r="L976" s="18">
        <f>IFERROR(__xludf.DUMMYFUNCTION("""COMPUTED_VALUE"""),4.33)</f>
        <v>4.33</v>
      </c>
    </row>
    <row r="977">
      <c r="A977" s="13" t="str">
        <f>IFERROR(__xludf.DUMMYFUNCTION("""COMPUTED_VALUE"""),"товари")</f>
        <v>товари</v>
      </c>
      <c r="B977" s="13" t="str">
        <f>IFERROR(__xludf.DUMMYFUNCTION("""COMPUTED_VALUE"""),"дача, сад і город")</f>
        <v>дача, сад і город</v>
      </c>
      <c r="C977" s="15" t="str">
        <f>IFERROR(__xludf.DUMMYFUNCTION("""COMPUTED_VALUE"""),"обладнання для саун і лазень")</f>
        <v>обладнання для саун і лазень</v>
      </c>
      <c r="D977" s="15" t="str">
        <f>IFERROR(__xludf.DUMMYFUNCTION("""COMPUTED_VALUE"""),"купелі для саун і лазень")</f>
        <v>купелі для саун і лазень</v>
      </c>
      <c r="E977" s="15" t="str">
        <f>IFERROR(__xludf.DUMMYFUNCTION("""COMPUTED_VALUE"""),"купелі для саун і лазень")</f>
        <v>купелі для саун і лазень</v>
      </c>
      <c r="F977" s="17">
        <f>IFERROR(__xludf.DUMMYFUNCTION("""COMPUTED_VALUE"""),3.0)</f>
        <v>3</v>
      </c>
      <c r="G977" s="17">
        <f>IFERROR(__xludf.DUMMYFUNCTION("""COMPUTED_VALUE"""),150509.0)</f>
        <v>150509</v>
      </c>
      <c r="H977" s="17" t="str">
        <f>IFERROR(__xludf.DUMMYFUNCTION("""COMPUTED_VALUE"""),"купелі для саун і лазень")</f>
        <v>купелі для саун і лазень</v>
      </c>
      <c r="I977" s="18">
        <f>IFERROR(__xludf.DUMMYFUNCTION("""COMPUTED_VALUE"""),1.53)</f>
        <v>1.53</v>
      </c>
      <c r="J977" s="18">
        <f>IFERROR(__xludf.DUMMYFUNCTION("""COMPUTED_VALUE"""),3.06)</f>
        <v>3.06</v>
      </c>
      <c r="K977" s="18">
        <f>IFERROR(__xludf.DUMMYFUNCTION("""COMPUTED_VALUE"""),3.83)</f>
        <v>3.83</v>
      </c>
      <c r="L977" s="18">
        <f>IFERROR(__xludf.DUMMYFUNCTION("""COMPUTED_VALUE"""),6.13)</f>
        <v>6.13</v>
      </c>
    </row>
    <row r="978">
      <c r="A978" s="13" t="str">
        <f>IFERROR(__xludf.DUMMYFUNCTION("""COMPUTED_VALUE"""),"товари")</f>
        <v>товари</v>
      </c>
      <c r="B978" s="13" t="str">
        <f>IFERROR(__xludf.DUMMYFUNCTION("""COMPUTED_VALUE"""),"товари для дому")</f>
        <v>товари для дому</v>
      </c>
      <c r="C978" s="15" t="str">
        <f>IFERROR(__xludf.DUMMYFUNCTION("""COMPUTED_VALUE"""),"меблі")</f>
        <v>меблі</v>
      </c>
      <c r="D978" s="15" t="str">
        <f>IFERROR(__xludf.DUMMYFUNCTION("""COMPUTED_VALUE"""),"ліжка та спальні гарнітури")</f>
        <v>ліжка та спальні гарнітури</v>
      </c>
      <c r="E978" s="15" t="str">
        <f>IFERROR(__xludf.DUMMYFUNCTION("""COMPUTED_VALUE"""),"ліжка")</f>
        <v>ліжка</v>
      </c>
      <c r="F978" s="17">
        <f>IFERROR(__xludf.DUMMYFUNCTION("""COMPUTED_VALUE"""),4.0)</f>
        <v>4</v>
      </c>
      <c r="G978" s="17">
        <f>IFERROR(__xludf.DUMMYFUNCTION("""COMPUTED_VALUE"""),3.7032004E7)</f>
        <v>37032004</v>
      </c>
      <c r="H978" s="17" t="str">
        <f>IFERROR(__xludf.DUMMYFUNCTION("""COMPUTED_VALUE"""),"ліжка")</f>
        <v>ліжка</v>
      </c>
      <c r="I978" s="18">
        <f>IFERROR(__xludf.DUMMYFUNCTION("""COMPUTED_VALUE"""),1.26)</f>
        <v>1.26</v>
      </c>
      <c r="J978" s="18">
        <f>IFERROR(__xludf.DUMMYFUNCTION("""COMPUTED_VALUE"""),2.53)</f>
        <v>2.53</v>
      </c>
      <c r="K978" s="18">
        <f>IFERROR(__xludf.DUMMYFUNCTION("""COMPUTED_VALUE"""),3.16)</f>
        <v>3.16</v>
      </c>
      <c r="L978" s="18">
        <f>IFERROR(__xludf.DUMMYFUNCTION("""COMPUTED_VALUE"""),5.05)</f>
        <v>5.05</v>
      </c>
    </row>
    <row r="979">
      <c r="A979" s="13" t="str">
        <f>IFERROR(__xludf.DUMMYFUNCTION("""COMPUTED_VALUE"""),"товари")</f>
        <v>товари</v>
      </c>
      <c r="B979" s="13" t="str">
        <f>IFERROR(__xludf.DUMMYFUNCTION("""COMPUTED_VALUE"""),"товари для дому")</f>
        <v>товари для дому</v>
      </c>
      <c r="C979" s="15" t="str">
        <f>IFERROR(__xludf.DUMMYFUNCTION("""COMPUTED_VALUE"""),"меблі")</f>
        <v>меблі</v>
      </c>
      <c r="D979" s="15" t="str">
        <f>IFERROR(__xludf.DUMMYFUNCTION("""COMPUTED_VALUE"""),"м'які меблі")</f>
        <v>м'які меблі</v>
      </c>
      <c r="E979" s="15" t="str">
        <f>IFERROR(__xludf.DUMMYFUNCTION("""COMPUTED_VALUE"""),"м'які меблі, загальне")</f>
        <v>м'які меблі, загальне</v>
      </c>
      <c r="F979" s="17">
        <f>IFERROR(__xludf.DUMMYFUNCTION("""COMPUTED_VALUE"""),4.0)</f>
        <v>4</v>
      </c>
      <c r="G979" s="17">
        <f>IFERROR(__xludf.DUMMYFUNCTION("""COMPUTED_VALUE"""),1.503032E7)</f>
        <v>15030320</v>
      </c>
      <c r="H979" s="17" t="str">
        <f>IFERROR(__xludf.DUMMYFUNCTION("""COMPUTED_VALUE"""),"м'які меблі, загальне")</f>
        <v>м'які меблі, загальне</v>
      </c>
      <c r="I979" s="18">
        <f>IFERROR(__xludf.DUMMYFUNCTION("""COMPUTED_VALUE"""),2.16)</f>
        <v>2.16</v>
      </c>
      <c r="J979" s="18">
        <f>IFERROR(__xludf.DUMMYFUNCTION("""COMPUTED_VALUE"""),4.33)</f>
        <v>4.33</v>
      </c>
      <c r="K979" s="18">
        <f>IFERROR(__xludf.DUMMYFUNCTION("""COMPUTED_VALUE"""),5.41)</f>
        <v>5.41</v>
      </c>
      <c r="L979" s="18">
        <f>IFERROR(__xludf.DUMMYFUNCTION("""COMPUTED_VALUE"""),8.65)</f>
        <v>8.65</v>
      </c>
    </row>
    <row r="980">
      <c r="A980" s="13" t="str">
        <f>IFERROR(__xludf.DUMMYFUNCTION("""COMPUTED_VALUE"""),"товари")</f>
        <v>товари</v>
      </c>
      <c r="B980" s="13" t="str">
        <f>IFERROR(__xludf.DUMMYFUNCTION("""COMPUTED_VALUE"""),"дача, сад і город")</f>
        <v>дача, сад і город</v>
      </c>
      <c r="C980" s="15" t="str">
        <f>IFERROR(__xludf.DUMMYFUNCTION("""COMPUTED_VALUE"""),"мінісільгосптехніка")</f>
        <v>мінісільгосптехніка</v>
      </c>
      <c r="D980" s="15" t="str">
        <f>IFERROR(__xludf.DUMMYFUNCTION("""COMPUTED_VALUE"""),"мінітрактори")</f>
        <v>мінітрактори</v>
      </c>
      <c r="E980" s="15" t="str">
        <f>IFERROR(__xludf.DUMMYFUNCTION("""COMPUTED_VALUE"""),"мінітрактори")</f>
        <v>мінітрактори</v>
      </c>
      <c r="F980" s="17">
        <f>IFERROR(__xludf.DUMMYFUNCTION("""COMPUTED_VALUE"""),3.0)</f>
        <v>3</v>
      </c>
      <c r="G980" s="17">
        <f>IFERROR(__xludf.DUMMYFUNCTION("""COMPUTED_VALUE"""),1.25031806E8)</f>
        <v>125031806</v>
      </c>
      <c r="H980" s="17" t="str">
        <f>IFERROR(__xludf.DUMMYFUNCTION("""COMPUTED_VALUE"""),"мінітрактори")</f>
        <v>мінітрактори</v>
      </c>
      <c r="I980" s="18">
        <f>IFERROR(__xludf.DUMMYFUNCTION("""COMPUTED_VALUE"""),1.04)</f>
        <v>1.04</v>
      </c>
      <c r="J980" s="18">
        <f>IFERROR(__xludf.DUMMYFUNCTION("""COMPUTED_VALUE"""),2.08)</f>
        <v>2.08</v>
      </c>
      <c r="K980" s="18">
        <f>IFERROR(__xludf.DUMMYFUNCTION("""COMPUTED_VALUE"""),2.59)</f>
        <v>2.59</v>
      </c>
      <c r="L980" s="18">
        <f>IFERROR(__xludf.DUMMYFUNCTION("""COMPUTED_VALUE"""),4.15)</f>
        <v>4.15</v>
      </c>
    </row>
    <row r="981">
      <c r="A981" s="13" t="str">
        <f>IFERROR(__xludf.DUMMYFUNCTION("""COMPUTED_VALUE"""),"товари")</f>
        <v>товари</v>
      </c>
      <c r="B981" s="13" t="str">
        <f>IFERROR(__xludf.DUMMYFUNCTION("""COMPUTED_VALUE"""),"дача, сад і город")</f>
        <v>дача, сад і город</v>
      </c>
      <c r="C981" s="15" t="str">
        <f>IFERROR(__xludf.DUMMYFUNCTION("""COMPUTED_VALUE"""),"обладнання для саун і лазень")</f>
        <v>обладнання для саун і лазень</v>
      </c>
      <c r="D981" s="15" t="str">
        <f>IFERROR(__xludf.DUMMYFUNCTION("""COMPUTED_VALUE"""),"мобільні лазні")</f>
        <v>мобільні лазні</v>
      </c>
      <c r="E981" s="15" t="str">
        <f>IFERROR(__xludf.DUMMYFUNCTION("""COMPUTED_VALUE"""),"мобільні лазні")</f>
        <v>мобільні лазні</v>
      </c>
      <c r="F981" s="17">
        <f>IFERROR(__xludf.DUMMYFUNCTION("""COMPUTED_VALUE"""),3.0)</f>
        <v>3</v>
      </c>
      <c r="G981" s="17">
        <f>IFERROR(__xludf.DUMMYFUNCTION("""COMPUTED_VALUE"""),150506.0)</f>
        <v>150506</v>
      </c>
      <c r="H981" s="17" t="str">
        <f>IFERROR(__xludf.DUMMYFUNCTION("""COMPUTED_VALUE"""),"мобільні лазні")</f>
        <v>мобільні лазні</v>
      </c>
      <c r="I981" s="18">
        <f>IFERROR(__xludf.DUMMYFUNCTION("""COMPUTED_VALUE"""),1.53)</f>
        <v>1.53</v>
      </c>
      <c r="J981" s="18">
        <f>IFERROR(__xludf.DUMMYFUNCTION("""COMPUTED_VALUE"""),3.06)</f>
        <v>3.06</v>
      </c>
      <c r="K981" s="18">
        <f>IFERROR(__xludf.DUMMYFUNCTION("""COMPUTED_VALUE"""),3.83)</f>
        <v>3.83</v>
      </c>
      <c r="L981" s="18">
        <f>IFERROR(__xludf.DUMMYFUNCTION("""COMPUTED_VALUE"""),6.13)</f>
        <v>6.13</v>
      </c>
    </row>
    <row r="982">
      <c r="A982" s="13" t="str">
        <f>IFERROR(__xludf.DUMMYFUNCTION("""COMPUTED_VALUE"""),"товари")</f>
        <v>товари</v>
      </c>
      <c r="B982" s="13" t="str">
        <f>IFERROR(__xludf.DUMMYFUNCTION("""COMPUTED_VALUE"""),"товари для дому")</f>
        <v>товари для дому</v>
      </c>
      <c r="C982" s="15" t="str">
        <f>IFERROR(__xludf.DUMMYFUNCTION("""COMPUTED_VALUE"""),"текстиль")</f>
        <v>текстиль</v>
      </c>
      <c r="D982" s="15" t="str">
        <f>IFERROR(__xludf.DUMMYFUNCTION("""COMPUTED_VALUE"""),"декорація вікон")</f>
        <v>декорація вікон</v>
      </c>
      <c r="E982" s="15" t="str">
        <f>IFERROR(__xludf.DUMMYFUNCTION("""COMPUTED_VALUE"""),"римські штори")</f>
        <v>римські штори</v>
      </c>
      <c r="F982" s="17">
        <f>IFERROR(__xludf.DUMMYFUNCTION("""COMPUTED_VALUE"""),4.0)</f>
        <v>4</v>
      </c>
      <c r="G982" s="17">
        <f>IFERROR(__xludf.DUMMYFUNCTION("""COMPUTED_VALUE"""),153807.0)</f>
        <v>153807</v>
      </c>
      <c r="H982" s="17" t="str">
        <f>IFERROR(__xludf.DUMMYFUNCTION("""COMPUTED_VALUE"""),"римські штори")</f>
        <v>римські штори</v>
      </c>
      <c r="I982" s="18">
        <f>IFERROR(__xludf.DUMMYFUNCTION("""COMPUTED_VALUE"""),0.76)</f>
        <v>0.76</v>
      </c>
      <c r="J982" s="18">
        <f>IFERROR(__xludf.DUMMYFUNCTION("""COMPUTED_VALUE"""),1.53)</f>
        <v>1.53</v>
      </c>
      <c r="K982" s="18">
        <f>IFERROR(__xludf.DUMMYFUNCTION("""COMPUTED_VALUE"""),1.91)</f>
        <v>1.91</v>
      </c>
      <c r="L982" s="18">
        <f>IFERROR(__xludf.DUMMYFUNCTION("""COMPUTED_VALUE"""),3.05)</f>
        <v>3.05</v>
      </c>
    </row>
    <row r="983">
      <c r="A983" s="13" t="str">
        <f>IFERROR(__xludf.DUMMYFUNCTION("""COMPUTED_VALUE"""),"товари")</f>
        <v>товари</v>
      </c>
      <c r="B983" s="13" t="str">
        <f>IFERROR(__xludf.DUMMYFUNCTION("""COMPUTED_VALUE"""),"товари для дому")</f>
        <v>товари для дому</v>
      </c>
      <c r="C983" s="15" t="str">
        <f>IFERROR(__xludf.DUMMYFUNCTION("""COMPUTED_VALUE"""),"меблі")</f>
        <v>меблі</v>
      </c>
      <c r="D983" s="15" t="str">
        <f>IFERROR(__xludf.DUMMYFUNCTION("""COMPUTED_VALUE"""),"ліжка та спальні гарнітури")</f>
        <v>ліжка та спальні гарнітури</v>
      </c>
      <c r="E983" s="15" t="str">
        <f>IFERROR(__xludf.DUMMYFUNCTION("""COMPUTED_VALUE"""),"спальні гарнітури")</f>
        <v>спальні гарнітури</v>
      </c>
      <c r="F983" s="17">
        <f>IFERROR(__xludf.DUMMYFUNCTION("""COMPUTED_VALUE"""),4.0)</f>
        <v>4</v>
      </c>
      <c r="G983" s="17">
        <f>IFERROR(__xludf.DUMMYFUNCTION("""COMPUTED_VALUE"""),3.7032003E7)</f>
        <v>37032003</v>
      </c>
      <c r="H983" s="17" t="str">
        <f>IFERROR(__xludf.DUMMYFUNCTION("""COMPUTED_VALUE"""),"спальні гарнітури")</f>
        <v>спальні гарнітури</v>
      </c>
      <c r="I983" s="18">
        <f>IFERROR(__xludf.DUMMYFUNCTION("""COMPUTED_VALUE"""),1.26)</f>
        <v>1.26</v>
      </c>
      <c r="J983" s="18">
        <f>IFERROR(__xludf.DUMMYFUNCTION("""COMPUTED_VALUE"""),2.53)</f>
        <v>2.53</v>
      </c>
      <c r="K983" s="18">
        <f>IFERROR(__xludf.DUMMYFUNCTION("""COMPUTED_VALUE"""),3.16)</f>
        <v>3.16</v>
      </c>
      <c r="L983" s="18">
        <f>IFERROR(__xludf.DUMMYFUNCTION("""COMPUTED_VALUE"""),5.05)</f>
        <v>5.05</v>
      </c>
    </row>
    <row r="984">
      <c r="A984" s="13" t="str">
        <f>IFERROR(__xludf.DUMMYFUNCTION("""COMPUTED_VALUE"""),"товари")</f>
        <v>товари</v>
      </c>
      <c r="B984" s="13" t="str">
        <f>IFERROR(__xludf.DUMMYFUNCTION("""COMPUTED_VALUE"""),"товари для дому")</f>
        <v>товари для дому</v>
      </c>
      <c r="C984" s="15" t="str">
        <f>IFERROR(__xludf.DUMMYFUNCTION("""COMPUTED_VALUE"""),"меблі")</f>
        <v>меблі</v>
      </c>
      <c r="D984" s="15" t="str">
        <f>IFERROR(__xludf.DUMMYFUNCTION("""COMPUTED_VALUE"""),"комплектуючі для меблів")</f>
        <v>комплектуючі для меблів</v>
      </c>
      <c r="E984" s="15" t="str">
        <f>IFERROR(__xludf.DUMMYFUNCTION("""COMPUTED_VALUE"""),"стільниці та комплектуючі")</f>
        <v>стільниці та комплектуючі</v>
      </c>
      <c r="F984" s="17">
        <f>IFERROR(__xludf.DUMMYFUNCTION("""COMPUTED_VALUE"""),4.0)</f>
        <v>4</v>
      </c>
      <c r="G984" s="17">
        <f>IFERROR(__xludf.DUMMYFUNCTION("""COMPUTED_VALUE"""),3.7035002E7)</f>
        <v>37035002</v>
      </c>
      <c r="H984" s="17" t="str">
        <f>IFERROR(__xludf.DUMMYFUNCTION("""COMPUTED_VALUE"""),"стільниці та комплектуючі")</f>
        <v>стільниці та комплектуючі</v>
      </c>
      <c r="I984" s="18">
        <f>IFERROR(__xludf.DUMMYFUNCTION("""COMPUTED_VALUE"""),0.99)</f>
        <v>0.99</v>
      </c>
      <c r="J984" s="18">
        <f>IFERROR(__xludf.DUMMYFUNCTION("""COMPUTED_VALUE"""),1.98)</f>
        <v>1.98</v>
      </c>
      <c r="K984" s="18">
        <f>IFERROR(__xludf.DUMMYFUNCTION("""COMPUTED_VALUE"""),2.47)</f>
        <v>2.47</v>
      </c>
      <c r="L984" s="18">
        <f>IFERROR(__xludf.DUMMYFUNCTION("""COMPUTED_VALUE"""),3.95)</f>
        <v>3.95</v>
      </c>
    </row>
    <row r="985">
      <c r="A985" s="13" t="str">
        <f>IFERROR(__xludf.DUMMYFUNCTION("""COMPUTED_VALUE"""),"товари")</f>
        <v>товари</v>
      </c>
      <c r="B985" s="13" t="str">
        <f>IFERROR(__xludf.DUMMYFUNCTION("""COMPUTED_VALUE"""),"електрообладнання")</f>
        <v>електрообладнання</v>
      </c>
      <c r="C985" s="15" t="str">
        <f>IFERROR(__xludf.DUMMYFUNCTION("""COMPUTED_VALUE"""),"електронні компоненти")</f>
        <v>електронні компоненти</v>
      </c>
      <c r="D985" s="15" t="str">
        <f>IFERROR(__xludf.DUMMYFUNCTION("""COMPUTED_VALUE"""),"активні компоненти")</f>
        <v>активні компоненти</v>
      </c>
      <c r="E985" s="15" t="str">
        <f>IFERROR(__xludf.DUMMYFUNCTION("""COMPUTED_VALUE"""),"діоди")</f>
        <v>діоди</v>
      </c>
      <c r="F985" s="17">
        <f>IFERROR(__xludf.DUMMYFUNCTION("""COMPUTED_VALUE"""),4.0)</f>
        <v>4</v>
      </c>
      <c r="G985" s="17">
        <f>IFERROR(__xludf.DUMMYFUNCTION("""COMPUTED_VALUE"""),400101.0)</f>
        <v>400101</v>
      </c>
      <c r="H985" s="17" t="str">
        <f>IFERROR(__xludf.DUMMYFUNCTION("""COMPUTED_VALUE"""),"діоди")</f>
        <v>діоди</v>
      </c>
      <c r="I985" s="18">
        <f>IFERROR(__xludf.DUMMYFUNCTION("""COMPUTED_VALUE"""),1.17)</f>
        <v>1.17</v>
      </c>
      <c r="J985" s="18">
        <f>IFERROR(__xludf.DUMMYFUNCTION("""COMPUTED_VALUE"""),2.34)</f>
        <v>2.34</v>
      </c>
      <c r="K985" s="18">
        <f>IFERROR(__xludf.DUMMYFUNCTION("""COMPUTED_VALUE"""),2.92)</f>
        <v>2.92</v>
      </c>
      <c r="L985" s="18">
        <f>IFERROR(__xludf.DUMMYFUNCTION("""COMPUTED_VALUE"""),4.68)</f>
        <v>4.68</v>
      </c>
    </row>
    <row r="986">
      <c r="A986" s="13" t="str">
        <f>IFERROR(__xludf.DUMMYFUNCTION("""COMPUTED_VALUE"""),"товари")</f>
        <v>товари</v>
      </c>
      <c r="B986" s="13" t="str">
        <f>IFERROR(__xludf.DUMMYFUNCTION("""COMPUTED_VALUE"""),"електрообладнання")</f>
        <v>електрообладнання</v>
      </c>
      <c r="C986" s="15" t="str">
        <f>IFERROR(__xludf.DUMMYFUNCTION("""COMPUTED_VALUE"""),"монтажне обладнання")</f>
        <v>монтажне обладнання</v>
      </c>
      <c r="D986" s="15" t="str">
        <f>IFERROR(__xludf.DUMMYFUNCTION("""COMPUTED_VALUE"""),"дріт, кабель, системи з'єднання")</f>
        <v>дріт, кабель, системи з'єднання</v>
      </c>
      <c r="E986" s="15" t="str">
        <f>IFERROR(__xludf.DUMMYFUNCTION("""COMPUTED_VALUE"""),"дріт, кабель, системи з'єднання, загальне")</f>
        <v>дріт, кабель, системи з'єднання, загальне</v>
      </c>
      <c r="F986" s="17">
        <f>IFERROR(__xludf.DUMMYFUNCTION("""COMPUTED_VALUE"""),4.0)</f>
        <v>4</v>
      </c>
      <c r="G986" s="17">
        <f>IFERROR(__xludf.DUMMYFUNCTION("""COMPUTED_VALUE"""),1.4190499E7)</f>
        <v>14190499</v>
      </c>
      <c r="H986" s="17" t="str">
        <f>IFERROR(__xludf.DUMMYFUNCTION("""COMPUTED_VALUE"""),"дріт, кабель, системи з'єднання, загальне")</f>
        <v>дріт, кабель, системи з'єднання, загальне</v>
      </c>
      <c r="I986" s="18">
        <f>IFERROR(__xludf.DUMMYFUNCTION("""COMPUTED_VALUE"""),2.16)</f>
        <v>2.16</v>
      </c>
      <c r="J986" s="18">
        <f>IFERROR(__xludf.DUMMYFUNCTION("""COMPUTED_VALUE"""),4.33)</f>
        <v>4.33</v>
      </c>
      <c r="K986" s="18">
        <f>IFERROR(__xludf.DUMMYFUNCTION("""COMPUTED_VALUE"""),5.41)</f>
        <v>5.41</v>
      </c>
      <c r="L986" s="18">
        <f>IFERROR(__xludf.DUMMYFUNCTION("""COMPUTED_VALUE"""),8.65)</f>
        <v>8.65</v>
      </c>
    </row>
    <row r="987">
      <c r="A987" s="13" t="str">
        <f>IFERROR(__xludf.DUMMYFUNCTION("""COMPUTED_VALUE"""),"товари")</f>
        <v>товари</v>
      </c>
      <c r="B987" s="13" t="str">
        <f>IFERROR(__xludf.DUMMYFUNCTION("""COMPUTED_VALUE"""),"електрообладнання")</f>
        <v>електрообладнання</v>
      </c>
      <c r="C987" s="15" t="str">
        <f>IFERROR(__xludf.DUMMYFUNCTION("""COMPUTED_VALUE"""),"обладнання для електропостачання")</f>
        <v>обладнання для електропостачання</v>
      </c>
      <c r="D987" s="15" t="str">
        <f>IFERROR(__xludf.DUMMYFUNCTION("""COMPUTED_VALUE"""),"ізолятори, розрядники")</f>
        <v>ізолятори, розрядники</v>
      </c>
      <c r="E987" s="15" t="str">
        <f>IFERROR(__xludf.DUMMYFUNCTION("""COMPUTED_VALUE"""),"ізолятори, розрядники")</f>
        <v>ізолятори, розрядники</v>
      </c>
      <c r="F987" s="17">
        <f>IFERROR(__xludf.DUMMYFUNCTION("""COMPUTED_VALUE"""),3.0)</f>
        <v>3</v>
      </c>
      <c r="G987" s="17">
        <f>IFERROR(__xludf.DUMMYFUNCTION("""COMPUTED_VALUE"""),410515.0)</f>
        <v>410515</v>
      </c>
      <c r="H987" s="17" t="str">
        <f>IFERROR(__xludf.DUMMYFUNCTION("""COMPUTED_VALUE"""),"ізолятори, розрядники")</f>
        <v>ізолятори, розрядники</v>
      </c>
      <c r="I987" s="18">
        <f>IFERROR(__xludf.DUMMYFUNCTION("""COMPUTED_VALUE"""),1.17)</f>
        <v>1.17</v>
      </c>
      <c r="J987" s="18">
        <f>IFERROR(__xludf.DUMMYFUNCTION("""COMPUTED_VALUE"""),2.34)</f>
        <v>2.34</v>
      </c>
      <c r="K987" s="18">
        <f>IFERROR(__xludf.DUMMYFUNCTION("""COMPUTED_VALUE"""),2.92)</f>
        <v>2.92</v>
      </c>
      <c r="L987" s="18">
        <f>IFERROR(__xludf.DUMMYFUNCTION("""COMPUTED_VALUE"""),4.68)</f>
        <v>4.68</v>
      </c>
    </row>
    <row r="988">
      <c r="A988" s="13" t="str">
        <f>IFERROR(__xludf.DUMMYFUNCTION("""COMPUTED_VALUE"""),"товари")</f>
        <v>товари</v>
      </c>
      <c r="B988" s="13" t="str">
        <f>IFERROR(__xludf.DUMMYFUNCTION("""COMPUTED_VALUE"""),"електрообладнання")</f>
        <v>електрообладнання</v>
      </c>
      <c r="C988" s="15" t="str">
        <f>IFERROR(__xludf.DUMMYFUNCTION("""COMPUTED_VALUE"""),"монтажне обладнання")</f>
        <v>монтажне обладнання</v>
      </c>
      <c r="D988" s="15" t="str">
        <f>IFERROR(__xludf.DUMMYFUNCTION("""COMPUTED_VALUE"""),"клавішні панелі")</f>
        <v>клавішні панелі</v>
      </c>
      <c r="E988" s="15" t="str">
        <f>IFERROR(__xludf.DUMMYFUNCTION("""COMPUTED_VALUE"""),"клавішні панелі")</f>
        <v>клавішні панелі</v>
      </c>
      <c r="F988" s="17">
        <f>IFERROR(__xludf.DUMMYFUNCTION("""COMPUTED_VALUE"""),3.0)</f>
        <v>3</v>
      </c>
      <c r="G988" s="17">
        <f>IFERROR(__xludf.DUMMYFUNCTION("""COMPUTED_VALUE"""),525.0)</f>
        <v>525</v>
      </c>
      <c r="H988" s="17" t="str">
        <f>IFERROR(__xludf.DUMMYFUNCTION("""COMPUTED_VALUE"""),"клавішні панелі")</f>
        <v>клавішні панелі</v>
      </c>
      <c r="I988" s="18">
        <f>IFERROR(__xludf.DUMMYFUNCTION("""COMPUTED_VALUE"""),0.76)</f>
        <v>0.76</v>
      </c>
      <c r="J988" s="18">
        <f>IFERROR(__xludf.DUMMYFUNCTION("""COMPUTED_VALUE"""),1.53)</f>
        <v>1.53</v>
      </c>
      <c r="K988" s="18">
        <f>IFERROR(__xludf.DUMMYFUNCTION("""COMPUTED_VALUE"""),1.91)</f>
        <v>1.91</v>
      </c>
      <c r="L988" s="18">
        <f>IFERROR(__xludf.DUMMYFUNCTION("""COMPUTED_VALUE"""),3.05)</f>
        <v>3.05</v>
      </c>
    </row>
    <row r="989">
      <c r="A989" s="13" t="str">
        <f>IFERROR(__xludf.DUMMYFUNCTION("""COMPUTED_VALUE"""),"товари")</f>
        <v>товари</v>
      </c>
      <c r="B989" s="13" t="str">
        <f>IFERROR(__xludf.DUMMYFUNCTION("""COMPUTED_VALUE"""),"електрообладнання")</f>
        <v>електрообладнання</v>
      </c>
      <c r="C989" s="15" t="str">
        <f>IFERROR(__xludf.DUMMYFUNCTION("""COMPUTED_VALUE"""),"компоненти асутп")</f>
        <v>компоненти асутп</v>
      </c>
      <c r="D989" s="15" t="str">
        <f>IFERROR(__xludf.DUMMYFUNCTION("""COMPUTED_VALUE"""),"комплектуючі для контакторів, пускачів")</f>
        <v>комплектуючі для контакторів, пускачів</v>
      </c>
      <c r="E989" s="15" t="str">
        <f>IFERROR(__xludf.DUMMYFUNCTION("""COMPUTED_VALUE"""),"комплектуючі для контакторів, пускачів")</f>
        <v>комплектуючі для контакторів, пускачів</v>
      </c>
      <c r="F989" s="17">
        <f>IFERROR(__xludf.DUMMYFUNCTION("""COMPUTED_VALUE"""),3.0)</f>
        <v>3</v>
      </c>
      <c r="G989" s="17">
        <f>IFERROR(__xludf.DUMMYFUNCTION("""COMPUTED_VALUE"""),51406.0)</f>
        <v>51406</v>
      </c>
      <c r="H989" s="17" t="str">
        <f>IFERROR(__xludf.DUMMYFUNCTION("""COMPUTED_VALUE"""),"комплектуючі для контакторів, пускачів")</f>
        <v>комплектуючі для контакторів, пускачів</v>
      </c>
      <c r="I989" s="18">
        <f>IFERROR(__xludf.DUMMYFUNCTION("""COMPUTED_VALUE"""),0.76)</f>
        <v>0.76</v>
      </c>
      <c r="J989" s="18">
        <f>IFERROR(__xludf.DUMMYFUNCTION("""COMPUTED_VALUE"""),1.53)</f>
        <v>1.53</v>
      </c>
      <c r="K989" s="18">
        <f>IFERROR(__xludf.DUMMYFUNCTION("""COMPUTED_VALUE"""),1.91)</f>
        <v>1.91</v>
      </c>
      <c r="L989" s="18">
        <f>IFERROR(__xludf.DUMMYFUNCTION("""COMPUTED_VALUE"""),3.05)</f>
        <v>3.05</v>
      </c>
    </row>
    <row r="990">
      <c r="A990" s="13" t="str">
        <f>IFERROR(__xludf.DUMMYFUNCTION("""COMPUTED_VALUE"""),"товари")</f>
        <v>товари</v>
      </c>
      <c r="B990" s="13" t="str">
        <f>IFERROR(__xludf.DUMMYFUNCTION("""COMPUTED_VALUE"""),"електрообладнання")</f>
        <v>електрообладнання</v>
      </c>
      <c r="C990" s="15" t="str">
        <f>IFERROR(__xludf.DUMMYFUNCTION("""COMPUTED_VALUE"""),"обладнання для електропостачання")</f>
        <v>обладнання для електропостачання</v>
      </c>
      <c r="D990" s="15" t="str">
        <f>IFERROR(__xludf.DUMMYFUNCTION("""COMPUTED_VALUE"""),"трансформатори")</f>
        <v>трансформатори</v>
      </c>
      <c r="E990" s="15" t="str">
        <f>IFERROR(__xludf.DUMMYFUNCTION("""COMPUTED_VALUE"""),"комплектуючі для трансформаторів")</f>
        <v>комплектуючі для трансформаторів</v>
      </c>
      <c r="F990" s="17">
        <f>IFERROR(__xludf.DUMMYFUNCTION("""COMPUTED_VALUE"""),4.0)</f>
        <v>4</v>
      </c>
      <c r="G990" s="17">
        <f>IFERROR(__xludf.DUMMYFUNCTION("""COMPUTED_VALUE"""),1.419071E7)</f>
        <v>14190710</v>
      </c>
      <c r="H990" s="17" t="str">
        <f>IFERROR(__xludf.DUMMYFUNCTION("""COMPUTED_VALUE"""),"комплектуючі для трансформаторів")</f>
        <v>комплектуючі для трансформаторів</v>
      </c>
      <c r="I990" s="18">
        <f>IFERROR(__xludf.DUMMYFUNCTION("""COMPUTED_VALUE"""),1.71)</f>
        <v>1.71</v>
      </c>
      <c r="J990" s="18">
        <f>IFERROR(__xludf.DUMMYFUNCTION("""COMPUTED_VALUE"""),3.43)</f>
        <v>3.43</v>
      </c>
      <c r="K990" s="18">
        <f>IFERROR(__xludf.DUMMYFUNCTION("""COMPUTED_VALUE"""),4.28)</f>
        <v>4.28</v>
      </c>
      <c r="L990" s="18">
        <f>IFERROR(__xludf.DUMMYFUNCTION("""COMPUTED_VALUE"""),6.85)</f>
        <v>6.85</v>
      </c>
    </row>
    <row r="991">
      <c r="A991" s="13" t="str">
        <f>IFERROR(__xludf.DUMMYFUNCTION("""COMPUTED_VALUE"""),"товари")</f>
        <v>товари</v>
      </c>
      <c r="B991" s="13" t="str">
        <f>IFERROR(__xludf.DUMMYFUNCTION("""COMPUTED_VALUE"""),"електрообладнання")</f>
        <v>електрообладнання</v>
      </c>
      <c r="C991" s="15" t="str">
        <f>IFERROR(__xludf.DUMMYFUNCTION("""COMPUTED_VALUE"""),"монтажне обладнання")</f>
        <v>монтажне обладнання</v>
      </c>
      <c r="D991" s="15" t="str">
        <f>IFERROR(__xludf.DUMMYFUNCTION("""COMPUTED_VALUE"""),"магістральні шинопроводи")</f>
        <v>магістральні шинопроводи</v>
      </c>
      <c r="E991" s="15" t="str">
        <f>IFERROR(__xludf.DUMMYFUNCTION("""COMPUTED_VALUE"""),"магістральні шинопроводи")</f>
        <v>магістральні шинопроводи</v>
      </c>
      <c r="F991" s="17">
        <f>IFERROR(__xludf.DUMMYFUNCTION("""COMPUTED_VALUE"""),3.0)</f>
        <v>3</v>
      </c>
      <c r="G991" s="17">
        <f>IFERROR(__xludf.DUMMYFUNCTION("""COMPUTED_VALUE"""),5092914.0)</f>
        <v>5092914</v>
      </c>
      <c r="H991" s="17" t="str">
        <f>IFERROR(__xludf.DUMMYFUNCTION("""COMPUTED_VALUE"""),"магістральні шинопроводи")</f>
        <v>магістральні шинопроводи</v>
      </c>
      <c r="I991" s="18">
        <f>IFERROR(__xludf.DUMMYFUNCTION("""COMPUTED_VALUE"""),0.63)</f>
        <v>0.63</v>
      </c>
      <c r="J991" s="18">
        <f>IFERROR(__xludf.DUMMYFUNCTION("""COMPUTED_VALUE"""),1.26)</f>
        <v>1.26</v>
      </c>
      <c r="K991" s="18">
        <f>IFERROR(__xludf.DUMMYFUNCTION("""COMPUTED_VALUE"""),1.58)</f>
        <v>1.58</v>
      </c>
      <c r="L991" s="18">
        <f>IFERROR(__xludf.DUMMYFUNCTION("""COMPUTED_VALUE"""),2.53)</f>
        <v>2.53</v>
      </c>
    </row>
    <row r="992">
      <c r="A992" s="13" t="str">
        <f>IFERROR(__xludf.DUMMYFUNCTION("""COMPUTED_VALUE"""),"товари")</f>
        <v>товари</v>
      </c>
      <c r="B992" s="13" t="str">
        <f>IFERROR(__xludf.DUMMYFUNCTION("""COMPUTED_VALUE"""),"електрообладнання")</f>
        <v>електрообладнання</v>
      </c>
      <c r="C992" s="15" t="str">
        <f>IFERROR(__xludf.DUMMYFUNCTION("""COMPUTED_VALUE"""),"освітлення, електрика")</f>
        <v>освітлення, електрика</v>
      </c>
      <c r="D992" s="15" t="str">
        <f>IFERROR(__xludf.DUMMYFUNCTION("""COMPUTED_VALUE"""),"опори зовнішнього освітлення")</f>
        <v>опори зовнішнього освітлення</v>
      </c>
      <c r="E992" s="15" t="str">
        <f>IFERROR(__xludf.DUMMYFUNCTION("""COMPUTED_VALUE"""),"опори зовнішнього освітлення")</f>
        <v>опори зовнішнього освітлення</v>
      </c>
      <c r="F992" s="17">
        <f>IFERROR(__xludf.DUMMYFUNCTION("""COMPUTED_VALUE"""),3.0)</f>
        <v>3</v>
      </c>
      <c r="G992" s="17">
        <f>IFERROR(__xludf.DUMMYFUNCTION("""COMPUTED_VALUE"""),150425.0)</f>
        <v>150425</v>
      </c>
      <c r="H992" s="17" t="str">
        <f>IFERROR(__xludf.DUMMYFUNCTION("""COMPUTED_VALUE"""),"опори зовнішнього освітлення")</f>
        <v>опори зовнішнього освітлення</v>
      </c>
      <c r="I992" s="18">
        <f>IFERROR(__xludf.DUMMYFUNCTION("""COMPUTED_VALUE"""),2.7)</f>
        <v>2.7</v>
      </c>
      <c r="J992" s="18">
        <f>IFERROR(__xludf.DUMMYFUNCTION("""COMPUTED_VALUE"""),5.4)</f>
        <v>5.4</v>
      </c>
      <c r="K992" s="18">
        <f>IFERROR(__xludf.DUMMYFUNCTION("""COMPUTED_VALUE"""),6.75)</f>
        <v>6.75</v>
      </c>
      <c r="L992" s="18">
        <f>IFERROR(__xludf.DUMMYFUNCTION("""COMPUTED_VALUE"""),10.8)</f>
        <v>10.8</v>
      </c>
    </row>
    <row r="993">
      <c r="A993" s="13" t="str">
        <f>IFERROR(__xludf.DUMMYFUNCTION("""COMPUTED_VALUE"""),"товари")</f>
        <v>товари</v>
      </c>
      <c r="B993" s="13" t="str">
        <f>IFERROR(__xludf.DUMMYFUNCTION("""COMPUTED_VALUE"""),"електрообладнання")</f>
        <v>електрообладнання</v>
      </c>
      <c r="C993" s="15" t="str">
        <f>IFERROR(__xludf.DUMMYFUNCTION("""COMPUTED_VALUE"""),"освітлення, електрика")</f>
        <v>освітлення, електрика</v>
      </c>
      <c r="D993" s="15" t="str">
        <f>IFERROR(__xludf.DUMMYFUNCTION("""COMPUTED_VALUE"""),"промислове освітлення")</f>
        <v>промислове освітлення</v>
      </c>
      <c r="E993" s="15" t="str">
        <f>IFERROR(__xludf.DUMMYFUNCTION("""COMPUTED_VALUE"""),"промислове освітлення")</f>
        <v>промислове освітлення</v>
      </c>
      <c r="F993" s="17">
        <f>IFERROR(__xludf.DUMMYFUNCTION("""COMPUTED_VALUE"""),3.0)</f>
        <v>3</v>
      </c>
      <c r="G993" s="17">
        <f>IFERROR(__xludf.DUMMYFUNCTION("""COMPUTED_VALUE"""),150405.0)</f>
        <v>150405</v>
      </c>
      <c r="H993" s="17" t="str">
        <f>IFERROR(__xludf.DUMMYFUNCTION("""COMPUTED_VALUE"""),"промислове освітлення")</f>
        <v>промислове освітлення</v>
      </c>
      <c r="I993" s="18">
        <f>IFERROR(__xludf.DUMMYFUNCTION("""COMPUTED_VALUE"""),1.8)</f>
        <v>1.8</v>
      </c>
      <c r="J993" s="18">
        <f>IFERROR(__xludf.DUMMYFUNCTION("""COMPUTED_VALUE"""),3.6)</f>
        <v>3.6</v>
      </c>
      <c r="K993" s="18">
        <f>IFERROR(__xludf.DUMMYFUNCTION("""COMPUTED_VALUE"""),4.5)</f>
        <v>4.5</v>
      </c>
      <c r="L993" s="18">
        <f>IFERROR(__xludf.DUMMYFUNCTION("""COMPUTED_VALUE"""),7.2)</f>
        <v>7.2</v>
      </c>
    </row>
    <row r="994">
      <c r="A994" s="13" t="str">
        <f>IFERROR(__xludf.DUMMYFUNCTION("""COMPUTED_VALUE"""),"товари")</f>
        <v>товари</v>
      </c>
      <c r="B994" s="13" t="str">
        <f>IFERROR(__xludf.DUMMYFUNCTION("""COMPUTED_VALUE"""),"електрообладнання")</f>
        <v>електрообладнання</v>
      </c>
      <c r="C994" s="15" t="str">
        <f>IFERROR(__xludf.DUMMYFUNCTION("""COMPUTED_VALUE"""),"компоненти асутп")</f>
        <v>компоненти асутп</v>
      </c>
      <c r="D994" s="15" t="str">
        <f>IFERROR(__xludf.DUMMYFUNCTION("""COMPUTED_VALUE"""),"реле")</f>
        <v>реле</v>
      </c>
      <c r="E994" s="15" t="str">
        <f>IFERROR(__xludf.DUMMYFUNCTION("""COMPUTED_VALUE"""),"радіатори для твердотільних реле")</f>
        <v>радіатори для твердотільних реле</v>
      </c>
      <c r="F994" s="17">
        <f>IFERROR(__xludf.DUMMYFUNCTION("""COMPUTED_VALUE"""),4.0)</f>
        <v>4</v>
      </c>
      <c r="G994" s="17">
        <f>IFERROR(__xludf.DUMMYFUNCTION("""COMPUTED_VALUE"""),1.4190913E7)</f>
        <v>14190913</v>
      </c>
      <c r="H994" s="17" t="str">
        <f>IFERROR(__xludf.DUMMYFUNCTION("""COMPUTED_VALUE"""),"радіатори для твердотільних реле")</f>
        <v>радіатори для твердотільних реле</v>
      </c>
      <c r="I994" s="18">
        <f>IFERROR(__xludf.DUMMYFUNCTION("""COMPUTED_VALUE"""),0.86)</f>
        <v>0.86</v>
      </c>
      <c r="J994" s="18">
        <f>IFERROR(__xludf.DUMMYFUNCTION("""COMPUTED_VALUE"""),1.71)</f>
        <v>1.71</v>
      </c>
      <c r="K994" s="18">
        <f>IFERROR(__xludf.DUMMYFUNCTION("""COMPUTED_VALUE"""),2.14)</f>
        <v>2.14</v>
      </c>
      <c r="L994" s="18">
        <f>IFERROR(__xludf.DUMMYFUNCTION("""COMPUTED_VALUE"""),3.43)</f>
        <v>3.43</v>
      </c>
    </row>
    <row r="995">
      <c r="A995" s="13" t="str">
        <f>IFERROR(__xludf.DUMMYFUNCTION("""COMPUTED_VALUE"""),"товари")</f>
        <v>товари</v>
      </c>
      <c r="B995" s="13" t="str">
        <f>IFERROR(__xludf.DUMMYFUNCTION("""COMPUTED_VALUE"""),"електрообладнання")</f>
        <v>електрообладнання</v>
      </c>
      <c r="C995" s="15" t="str">
        <f>IFERROR(__xludf.DUMMYFUNCTION("""COMPUTED_VALUE"""),"компоненти асутп")</f>
        <v>компоненти асутп</v>
      </c>
      <c r="D995" s="15" t="str">
        <f>IFERROR(__xludf.DUMMYFUNCTION("""COMPUTED_VALUE"""),"регулятори співвідношення")</f>
        <v>регулятори співвідношення</v>
      </c>
      <c r="E995" s="15" t="str">
        <f>IFERROR(__xludf.DUMMYFUNCTION("""COMPUTED_VALUE"""),"регулятори співвідношення")</f>
        <v>регулятори співвідношення</v>
      </c>
      <c r="F995" s="17">
        <f>IFERROR(__xludf.DUMMYFUNCTION("""COMPUTED_VALUE"""),3.0)</f>
        <v>3</v>
      </c>
      <c r="G995" s="17">
        <f>IFERROR(__xludf.DUMMYFUNCTION("""COMPUTED_VALUE"""),51402.0)</f>
        <v>51402</v>
      </c>
      <c r="H995" s="17" t="str">
        <f>IFERROR(__xludf.DUMMYFUNCTION("""COMPUTED_VALUE"""),"регулятори співвідношення")</f>
        <v>регулятори співвідношення</v>
      </c>
      <c r="I995" s="18">
        <f>IFERROR(__xludf.DUMMYFUNCTION("""COMPUTED_VALUE"""),0.72)</f>
        <v>0.72</v>
      </c>
      <c r="J995" s="18">
        <f>IFERROR(__xludf.DUMMYFUNCTION("""COMPUTED_VALUE"""),1.44)</f>
        <v>1.44</v>
      </c>
      <c r="K995" s="18">
        <f>IFERROR(__xludf.DUMMYFUNCTION("""COMPUTED_VALUE"""),1.8)</f>
        <v>1.8</v>
      </c>
      <c r="L995" s="18">
        <f>IFERROR(__xludf.DUMMYFUNCTION("""COMPUTED_VALUE"""),2.88)</f>
        <v>2.88</v>
      </c>
    </row>
    <row r="996">
      <c r="A996" s="13" t="str">
        <f>IFERROR(__xludf.DUMMYFUNCTION("""COMPUTED_VALUE"""),"товари")</f>
        <v>товари</v>
      </c>
      <c r="B996" s="13" t="str">
        <f>IFERROR(__xludf.DUMMYFUNCTION("""COMPUTED_VALUE"""),"електрообладнання")</f>
        <v>електрообладнання</v>
      </c>
      <c r="C996" s="15" t="str">
        <f>IFERROR(__xludf.DUMMYFUNCTION("""COMPUTED_VALUE"""),"компоненти асутп")</f>
        <v>компоненти асутп</v>
      </c>
      <c r="D996" s="15" t="str">
        <f>IFERROR(__xludf.DUMMYFUNCTION("""COMPUTED_VALUE"""),"реле")</f>
        <v>реле</v>
      </c>
      <c r="E996" s="15" t="str">
        <f>IFERROR(__xludf.DUMMYFUNCTION("""COMPUTED_VALUE"""),"реле швидкості")</f>
        <v>реле швидкості</v>
      </c>
      <c r="F996" s="17">
        <f>IFERROR(__xludf.DUMMYFUNCTION("""COMPUTED_VALUE"""),4.0)</f>
        <v>4</v>
      </c>
      <c r="G996" s="17">
        <f>IFERROR(__xludf.DUMMYFUNCTION("""COMPUTED_VALUE"""),1.4190909E7)</f>
        <v>14190909</v>
      </c>
      <c r="H996" s="17" t="str">
        <f>IFERROR(__xludf.DUMMYFUNCTION("""COMPUTED_VALUE"""),"реле швидкості")</f>
        <v>реле швидкості</v>
      </c>
      <c r="I996" s="18">
        <f>IFERROR(__xludf.DUMMYFUNCTION("""COMPUTED_VALUE"""),0.86)</f>
        <v>0.86</v>
      </c>
      <c r="J996" s="18">
        <f>IFERROR(__xludf.DUMMYFUNCTION("""COMPUTED_VALUE"""),1.71)</f>
        <v>1.71</v>
      </c>
      <c r="K996" s="18">
        <f>IFERROR(__xludf.DUMMYFUNCTION("""COMPUTED_VALUE"""),2.14)</f>
        <v>2.14</v>
      </c>
      <c r="L996" s="18">
        <f>IFERROR(__xludf.DUMMYFUNCTION("""COMPUTED_VALUE"""),3.43)</f>
        <v>3.43</v>
      </c>
    </row>
    <row r="997">
      <c r="A997" s="13" t="str">
        <f>IFERROR(__xludf.DUMMYFUNCTION("""COMPUTED_VALUE"""),"товари")</f>
        <v>товари</v>
      </c>
      <c r="B997" s="13" t="str">
        <f>IFERROR(__xludf.DUMMYFUNCTION("""COMPUTED_VALUE"""),"електрообладнання")</f>
        <v>електрообладнання</v>
      </c>
      <c r="C997" s="15" t="str">
        <f>IFERROR(__xludf.DUMMYFUNCTION("""COMPUTED_VALUE"""),"компоненти асутп")</f>
        <v>компоненти асутп</v>
      </c>
      <c r="D997" s="15" t="str">
        <f>IFERROR(__xludf.DUMMYFUNCTION("""COMPUTED_VALUE"""),"реле")</f>
        <v>реле</v>
      </c>
      <c r="E997" s="15" t="str">
        <f>IFERROR(__xludf.DUMMYFUNCTION("""COMPUTED_VALUE"""),"реле, загальне")</f>
        <v>реле, загальне</v>
      </c>
      <c r="F997" s="17">
        <f>IFERROR(__xludf.DUMMYFUNCTION("""COMPUTED_VALUE"""),4.0)</f>
        <v>4</v>
      </c>
      <c r="G997" s="17">
        <f>IFERROR(__xludf.DUMMYFUNCTION("""COMPUTED_VALUE"""),1.4190904E7)</f>
        <v>14190904</v>
      </c>
      <c r="H997" s="17" t="str">
        <f>IFERROR(__xludf.DUMMYFUNCTION("""COMPUTED_VALUE"""),"реле, загальне")</f>
        <v>реле, загальне</v>
      </c>
      <c r="I997" s="18">
        <f>IFERROR(__xludf.DUMMYFUNCTION("""COMPUTED_VALUE"""),2.16)</f>
        <v>2.16</v>
      </c>
      <c r="J997" s="18">
        <f>IFERROR(__xludf.DUMMYFUNCTION("""COMPUTED_VALUE"""),4.33)</f>
        <v>4.33</v>
      </c>
      <c r="K997" s="18">
        <f>IFERROR(__xludf.DUMMYFUNCTION("""COMPUTED_VALUE"""),5.41)</f>
        <v>5.41</v>
      </c>
      <c r="L997" s="18">
        <f>IFERROR(__xludf.DUMMYFUNCTION("""COMPUTED_VALUE"""),8.65)</f>
        <v>8.65</v>
      </c>
    </row>
    <row r="998">
      <c r="A998" s="13" t="str">
        <f>IFERROR(__xludf.DUMMYFUNCTION("""COMPUTED_VALUE"""),"товари")</f>
        <v>товари</v>
      </c>
      <c r="B998" s="13" t="str">
        <f>IFERROR(__xludf.DUMMYFUNCTION("""COMPUTED_VALUE"""),"електрообладнання")</f>
        <v>електрообладнання</v>
      </c>
      <c r="C998" s="15" t="str">
        <f>IFERROR(__xludf.DUMMYFUNCTION("""COMPUTED_VALUE"""),"технічні вимикачі")</f>
        <v>технічні вимикачі</v>
      </c>
      <c r="D998" s="15" t="str">
        <f>IFERROR(__xludf.DUMMYFUNCTION("""COMPUTED_VALUE"""),"роз'єднувачі")</f>
        <v>роз'єднувачі</v>
      </c>
      <c r="E998" s="15" t="str">
        <f>IFERROR(__xludf.DUMMYFUNCTION("""COMPUTED_VALUE"""),"роз'єднувачі")</f>
        <v>роз'єднувачі</v>
      </c>
      <c r="F998" s="17">
        <f>IFERROR(__xludf.DUMMYFUNCTION("""COMPUTED_VALUE"""),3.0)</f>
        <v>3</v>
      </c>
      <c r="G998" s="17">
        <f>IFERROR(__xludf.DUMMYFUNCTION("""COMPUTED_VALUE"""),410516.0)</f>
        <v>410516</v>
      </c>
      <c r="H998" s="17" t="str">
        <f>IFERROR(__xludf.DUMMYFUNCTION("""COMPUTED_VALUE"""),"роз'єднувачі")</f>
        <v>роз'єднувачі</v>
      </c>
      <c r="I998" s="18">
        <f>IFERROR(__xludf.DUMMYFUNCTION("""COMPUTED_VALUE"""),1.84)</f>
        <v>1.84</v>
      </c>
      <c r="J998" s="18">
        <f>IFERROR(__xludf.DUMMYFUNCTION("""COMPUTED_VALUE"""),3.69)</f>
        <v>3.69</v>
      </c>
      <c r="K998" s="18">
        <f>IFERROR(__xludf.DUMMYFUNCTION("""COMPUTED_VALUE"""),4.61)</f>
        <v>4.61</v>
      </c>
      <c r="L998" s="18">
        <f>IFERROR(__xludf.DUMMYFUNCTION("""COMPUTED_VALUE"""),7.38)</f>
        <v>7.38</v>
      </c>
    </row>
    <row r="999">
      <c r="A999" s="13" t="str">
        <f>IFERROR(__xludf.DUMMYFUNCTION("""COMPUTED_VALUE"""),"товари")</f>
        <v>товари</v>
      </c>
      <c r="B999" s="13" t="str">
        <f>IFERROR(__xludf.DUMMYFUNCTION("""COMPUTED_VALUE"""),"електрообладнання")</f>
        <v>електрообладнання</v>
      </c>
      <c r="C999" s="15" t="str">
        <f>IFERROR(__xludf.DUMMYFUNCTION("""COMPUTED_VALUE"""),"технічні вимикачі")</f>
        <v>технічні вимикачі</v>
      </c>
      <c r="D999" s="15" t="str">
        <f>IFERROR(__xludf.DUMMYFUNCTION("""COMPUTED_VALUE"""),"рубильники")</f>
        <v>рубильники</v>
      </c>
      <c r="E999" s="15" t="str">
        <f>IFERROR(__xludf.DUMMYFUNCTION("""COMPUTED_VALUE"""),"рубильники")</f>
        <v>рубильники</v>
      </c>
      <c r="F999" s="17">
        <f>IFERROR(__xludf.DUMMYFUNCTION("""COMPUTED_VALUE"""),3.0)</f>
        <v>3</v>
      </c>
      <c r="G999" s="17">
        <f>IFERROR(__xludf.DUMMYFUNCTION("""COMPUTED_VALUE"""),1.4190603E7)</f>
        <v>14190603</v>
      </c>
      <c r="H999" s="17" t="str">
        <f>IFERROR(__xludf.DUMMYFUNCTION("""COMPUTED_VALUE"""),"рубильники")</f>
        <v>рубильники</v>
      </c>
      <c r="I999" s="18">
        <f>IFERROR(__xludf.DUMMYFUNCTION("""COMPUTED_VALUE"""),0.76)</f>
        <v>0.76</v>
      </c>
      <c r="J999" s="18">
        <f>IFERROR(__xludf.DUMMYFUNCTION("""COMPUTED_VALUE"""),1.53)</f>
        <v>1.53</v>
      </c>
      <c r="K999" s="18">
        <f>IFERROR(__xludf.DUMMYFUNCTION("""COMPUTED_VALUE"""),1.91)</f>
        <v>1.91</v>
      </c>
      <c r="L999" s="18">
        <f>IFERROR(__xludf.DUMMYFUNCTION("""COMPUTED_VALUE"""),3.05)</f>
        <v>3.05</v>
      </c>
    </row>
    <row r="1000">
      <c r="A1000" s="13" t="str">
        <f>IFERROR(__xludf.DUMMYFUNCTION("""COMPUTED_VALUE"""),"товари")</f>
        <v>товари</v>
      </c>
      <c r="B1000" s="13" t="str">
        <f>IFERROR(__xludf.DUMMYFUNCTION("""COMPUTED_VALUE"""),"електрообладнання")</f>
        <v>електрообладнання</v>
      </c>
      <c r="C1000" s="15" t="str">
        <f>IFERROR(__xludf.DUMMYFUNCTION("""COMPUTED_VALUE"""),"технічні вимикачі")</f>
        <v>технічні вимикачі</v>
      </c>
      <c r="D1000" s="15" t="str">
        <f>IFERROR(__xludf.DUMMYFUNCTION("""COMPUTED_VALUE"""),"технічні вимикачі, загальне")</f>
        <v>технічні вимикачі, загальне</v>
      </c>
      <c r="E1000" s="15" t="str">
        <f>IFERROR(__xludf.DUMMYFUNCTION("""COMPUTED_VALUE"""),"технічні вимикачі, загальне")</f>
        <v>технічні вимикачі, загальне</v>
      </c>
      <c r="F1000" s="17">
        <f>IFERROR(__xludf.DUMMYFUNCTION("""COMPUTED_VALUE"""),3.0)</f>
        <v>3</v>
      </c>
      <c r="G1000" s="17">
        <f>IFERROR(__xludf.DUMMYFUNCTION("""COMPUTED_VALUE"""),410699.0)</f>
        <v>410699</v>
      </c>
      <c r="H1000" s="17" t="str">
        <f>IFERROR(__xludf.DUMMYFUNCTION("""COMPUTED_VALUE"""),"технічні вимикачі, загальне")</f>
        <v>технічні вимикачі, загальне</v>
      </c>
      <c r="I1000" s="18">
        <f>IFERROR(__xludf.DUMMYFUNCTION("""COMPUTED_VALUE"""),2.16)</f>
        <v>2.16</v>
      </c>
      <c r="J1000" s="18">
        <f>IFERROR(__xludf.DUMMYFUNCTION("""COMPUTED_VALUE"""),4.33)</f>
        <v>4.33</v>
      </c>
      <c r="K1000" s="18">
        <f>IFERROR(__xludf.DUMMYFUNCTION("""COMPUTED_VALUE"""),5.41)</f>
        <v>5.41</v>
      </c>
      <c r="L1000" s="18">
        <f>IFERROR(__xludf.DUMMYFUNCTION("""COMPUTED_VALUE"""),8.65)</f>
        <v>8.65</v>
      </c>
    </row>
    <row r="1001">
      <c r="A1001" s="13" t="str">
        <f>IFERROR(__xludf.DUMMYFUNCTION("""COMPUTED_VALUE"""),"товари")</f>
        <v>товари</v>
      </c>
      <c r="B1001" s="13" t="str">
        <f>IFERROR(__xludf.DUMMYFUNCTION("""COMPUTED_VALUE"""),"електрообладнання")</f>
        <v>електрообладнання</v>
      </c>
      <c r="C1001" s="15" t="str">
        <f>IFERROR(__xludf.DUMMYFUNCTION("""COMPUTED_VALUE"""),"обладнання для електропостачання")</f>
        <v>обладнання для електропостачання</v>
      </c>
      <c r="D1001" s="15" t="str">
        <f>IFERROR(__xludf.DUMMYFUNCTION("""COMPUTED_VALUE"""),"трансформатори")</f>
        <v>трансформатори</v>
      </c>
      <c r="E1001" s="15" t="str">
        <f>IFERROR(__xludf.DUMMYFUNCTION("""COMPUTED_VALUE"""),"трансформатори силові")</f>
        <v>трансформатори силові</v>
      </c>
      <c r="F1001" s="17">
        <f>IFERROR(__xludf.DUMMYFUNCTION("""COMPUTED_VALUE"""),4.0)</f>
        <v>4</v>
      </c>
      <c r="G1001" s="17">
        <f>IFERROR(__xludf.DUMMYFUNCTION("""COMPUTED_VALUE"""),1.4190706E7)</f>
        <v>14190706</v>
      </c>
      <c r="H1001" s="17" t="str">
        <f>IFERROR(__xludf.DUMMYFUNCTION("""COMPUTED_VALUE"""),"трансформатори силові")</f>
        <v>трансформатори силові</v>
      </c>
      <c r="I1001" s="18">
        <f>IFERROR(__xludf.DUMMYFUNCTION("""COMPUTED_VALUE"""),1.71)</f>
        <v>1.71</v>
      </c>
      <c r="J1001" s="18">
        <f>IFERROR(__xludf.DUMMYFUNCTION("""COMPUTED_VALUE"""),3.43)</f>
        <v>3.43</v>
      </c>
      <c r="K1001" s="18">
        <f>IFERROR(__xludf.DUMMYFUNCTION("""COMPUTED_VALUE"""),4.28)</f>
        <v>4.28</v>
      </c>
      <c r="L1001" s="18">
        <f>IFERROR(__xludf.DUMMYFUNCTION("""COMPUTED_VALUE"""),6.85)</f>
        <v>6.85</v>
      </c>
    </row>
    <row r="1002">
      <c r="A1002" s="13" t="str">
        <f>IFERROR(__xludf.DUMMYFUNCTION("""COMPUTED_VALUE"""),"товари")</f>
        <v>товари</v>
      </c>
      <c r="B1002" s="13" t="str">
        <f>IFERROR(__xludf.DUMMYFUNCTION("""COMPUTED_VALUE"""),"електрообладнання")</f>
        <v>електрообладнання</v>
      </c>
      <c r="C1002" s="15" t="str">
        <f>IFERROR(__xludf.DUMMYFUNCTION("""COMPUTED_VALUE"""),"обладнання для електропостачання")</f>
        <v>обладнання для електропостачання</v>
      </c>
      <c r="D1002" s="15" t="str">
        <f>IFERROR(__xludf.DUMMYFUNCTION("""COMPUTED_VALUE"""),"трансформатори")</f>
        <v>трансформатори</v>
      </c>
      <c r="E1002" s="15" t="str">
        <f>IFERROR(__xludf.DUMMYFUNCTION("""COMPUTED_VALUE"""),"трансформатори струму")</f>
        <v>трансформатори струму</v>
      </c>
      <c r="F1002" s="17">
        <f>IFERROR(__xludf.DUMMYFUNCTION("""COMPUTED_VALUE"""),4.0)</f>
        <v>4</v>
      </c>
      <c r="G1002" s="17">
        <f>IFERROR(__xludf.DUMMYFUNCTION("""COMPUTED_VALUE"""),1.4190702E7)</f>
        <v>14190702</v>
      </c>
      <c r="H1002" s="17" t="str">
        <f>IFERROR(__xludf.DUMMYFUNCTION("""COMPUTED_VALUE"""),"трансформатори струму")</f>
        <v>трансформатори струму</v>
      </c>
      <c r="I1002" s="18">
        <f>IFERROR(__xludf.DUMMYFUNCTION("""COMPUTED_VALUE"""),1.71)</f>
        <v>1.71</v>
      </c>
      <c r="J1002" s="18">
        <f>IFERROR(__xludf.DUMMYFUNCTION("""COMPUTED_VALUE"""),3.43)</f>
        <v>3.43</v>
      </c>
      <c r="K1002" s="18">
        <f>IFERROR(__xludf.DUMMYFUNCTION("""COMPUTED_VALUE"""),4.28)</f>
        <v>4.28</v>
      </c>
      <c r="L1002" s="18">
        <f>IFERROR(__xludf.DUMMYFUNCTION("""COMPUTED_VALUE"""),6.85)</f>
        <v>6.85</v>
      </c>
    </row>
    <row r="1003">
      <c r="A1003" s="13" t="str">
        <f>IFERROR(__xludf.DUMMYFUNCTION("""COMPUTED_VALUE"""),"товари")</f>
        <v>товари</v>
      </c>
      <c r="B1003" s="13" t="str">
        <f>IFERROR(__xludf.DUMMYFUNCTION("""COMPUTED_VALUE"""),"електрообладнання")</f>
        <v>електрообладнання</v>
      </c>
      <c r="C1003" s="15" t="str">
        <f>IFERROR(__xludf.DUMMYFUNCTION("""COMPUTED_VALUE"""),"обладнання для електропостачання")</f>
        <v>обладнання для електропостачання</v>
      </c>
      <c r="D1003" s="15" t="str">
        <f>IFERROR(__xludf.DUMMYFUNCTION("""COMPUTED_VALUE"""),"трансформатори")</f>
        <v>трансформатори</v>
      </c>
      <c r="E1003" s="15" t="str">
        <f>IFERROR(__xludf.DUMMYFUNCTION("""COMPUTED_VALUE"""),"трансформатори, загальне")</f>
        <v>трансформатори, загальне</v>
      </c>
      <c r="F1003" s="17">
        <f>IFERROR(__xludf.DUMMYFUNCTION("""COMPUTED_VALUE"""),4.0)</f>
        <v>4</v>
      </c>
      <c r="G1003" s="17">
        <f>IFERROR(__xludf.DUMMYFUNCTION("""COMPUTED_VALUE"""),1.4190704E7)</f>
        <v>14190704</v>
      </c>
      <c r="H1003" s="17" t="str">
        <f>IFERROR(__xludf.DUMMYFUNCTION("""COMPUTED_VALUE"""),"трансформатори, загальне")</f>
        <v>трансформатори, загальне</v>
      </c>
      <c r="I1003" s="18">
        <f>IFERROR(__xludf.DUMMYFUNCTION("""COMPUTED_VALUE"""),2.16)</f>
        <v>2.16</v>
      </c>
      <c r="J1003" s="18">
        <f>IFERROR(__xludf.DUMMYFUNCTION("""COMPUTED_VALUE"""),4.33)</f>
        <v>4.33</v>
      </c>
      <c r="K1003" s="18">
        <f>IFERROR(__xludf.DUMMYFUNCTION("""COMPUTED_VALUE"""),5.41)</f>
        <v>5.41</v>
      </c>
      <c r="L1003" s="18">
        <f>IFERROR(__xludf.DUMMYFUNCTION("""COMPUTED_VALUE"""),8.65)</f>
        <v>8.65</v>
      </c>
    </row>
    <row r="1004">
      <c r="A1004" s="13" t="str">
        <f>IFERROR(__xludf.DUMMYFUNCTION("""COMPUTED_VALUE"""),"послуги")</f>
        <v>послуги</v>
      </c>
      <c r="B1004" s="13" t="str">
        <f>IFERROR(__xludf.DUMMYFUNCTION("""COMPUTED_VALUE"""),"захист навколишнього середовища")</f>
        <v>захист навколишнього середовища</v>
      </c>
      <c r="C1004" s="15" t="str">
        <f>IFERROR(__xludf.DUMMYFUNCTION("""COMPUTED_VALUE"""),"захист навколишнього середовища, загальне")</f>
        <v>захист навколишнього середовища, загальне</v>
      </c>
      <c r="D1004" s="15" t="str">
        <f>IFERROR(__xludf.DUMMYFUNCTION("""COMPUTED_VALUE"""),"захист навколишнього середовища, загальне")</f>
        <v>захист навколишнього середовища, загальне</v>
      </c>
      <c r="E1004" s="15" t="str">
        <f>IFERROR(__xludf.DUMMYFUNCTION("""COMPUTED_VALUE"""),"захист навколишнього середовища, загальне")</f>
        <v>захист навколишнього середовища, загальне</v>
      </c>
      <c r="F1004" s="17">
        <f>IFERROR(__xludf.DUMMYFUNCTION("""COMPUTED_VALUE"""),2.0)</f>
        <v>2</v>
      </c>
      <c r="G1004" s="17">
        <f>IFERROR(__xludf.DUMMYFUNCTION("""COMPUTED_VALUE"""),1107.0)</f>
        <v>1107</v>
      </c>
      <c r="H1004" s="17" t="str">
        <f>IFERROR(__xludf.DUMMYFUNCTION("""COMPUTED_VALUE"""),"захист навколишнього середовища, загальне")</f>
        <v>захист навколишнього середовища, загальне</v>
      </c>
      <c r="I1004" s="18">
        <f>IFERROR(__xludf.DUMMYFUNCTION("""COMPUTED_VALUE"""),2.16)</f>
        <v>2.16</v>
      </c>
      <c r="J1004" s="18">
        <f>IFERROR(__xludf.DUMMYFUNCTION("""COMPUTED_VALUE"""),4.33)</f>
        <v>4.33</v>
      </c>
      <c r="K1004" s="18">
        <f>IFERROR(__xludf.DUMMYFUNCTION("""COMPUTED_VALUE"""),5.41)</f>
        <v>5.41</v>
      </c>
      <c r="L1004" s="18">
        <f>IFERROR(__xludf.DUMMYFUNCTION("""COMPUTED_VALUE"""),8.65)</f>
        <v>8.65</v>
      </c>
    </row>
    <row r="1005">
      <c r="A1005" s="13" t="str">
        <f>IFERROR(__xludf.DUMMYFUNCTION("""COMPUTED_VALUE"""),"послуги")</f>
        <v>послуги</v>
      </c>
      <c r="B1005" s="13" t="str">
        <f>IFERROR(__xludf.DUMMYFUNCTION("""COMPUTED_VALUE"""),"захист навколишнього середовища")</f>
        <v>захист навколишнього середовища</v>
      </c>
      <c r="C1005" s="15" t="str">
        <f>IFERROR(__xludf.DUMMYFUNCTION("""COMPUTED_VALUE"""),"прийом та переробка вторсировини")</f>
        <v>прийом та переробка вторсировини</v>
      </c>
      <c r="D1005" s="15" t="str">
        <f>IFERROR(__xludf.DUMMYFUNCTION("""COMPUTED_VALUE"""),"прийом та переробка вторсировини")</f>
        <v>прийом та переробка вторсировини</v>
      </c>
      <c r="E1005" s="15" t="str">
        <f>IFERROR(__xludf.DUMMYFUNCTION("""COMPUTED_VALUE"""),"прийом та переробка вторсировини")</f>
        <v>прийом та переробка вторсировини</v>
      </c>
      <c r="F1005" s="17">
        <f>IFERROR(__xludf.DUMMYFUNCTION("""COMPUTED_VALUE"""),2.0)</f>
        <v>2</v>
      </c>
      <c r="G1005" s="17">
        <f>IFERROR(__xludf.DUMMYFUNCTION("""COMPUTED_VALUE"""),110502.0)</f>
        <v>110502</v>
      </c>
      <c r="H1005" s="17" t="str">
        <f>IFERROR(__xludf.DUMMYFUNCTION("""COMPUTED_VALUE"""),"прийом та переробка вторсировини")</f>
        <v>прийом та переробка вторсировини</v>
      </c>
      <c r="I1005" s="18">
        <f>IFERROR(__xludf.DUMMYFUNCTION("""COMPUTED_VALUE"""),0.63)</f>
        <v>0.63</v>
      </c>
      <c r="J1005" s="18">
        <f>IFERROR(__xludf.DUMMYFUNCTION("""COMPUTED_VALUE"""),1.26)</f>
        <v>1.26</v>
      </c>
      <c r="K1005" s="18">
        <f>IFERROR(__xludf.DUMMYFUNCTION("""COMPUTED_VALUE"""),1.58)</f>
        <v>1.58</v>
      </c>
      <c r="L1005" s="18">
        <f>IFERROR(__xludf.DUMMYFUNCTION("""COMPUTED_VALUE"""),2.53)</f>
        <v>2.53</v>
      </c>
    </row>
    <row r="1006">
      <c r="A1006" s="13" t="str">
        <f>IFERROR(__xludf.DUMMYFUNCTION("""COMPUTED_VALUE"""),"послуги")</f>
        <v>послуги</v>
      </c>
      <c r="B1006" s="13" t="str">
        <f>IFERROR(__xludf.DUMMYFUNCTION("""COMPUTED_VALUE"""),"захист навколишнього середовища")</f>
        <v>захист навколишнього середовища</v>
      </c>
      <c r="C1006" s="15" t="str">
        <f>IFERROR(__xludf.DUMMYFUNCTION("""COMPUTED_VALUE"""),"утилізація відходів")</f>
        <v>утилізація відходів</v>
      </c>
      <c r="D1006" s="15" t="str">
        <f>IFERROR(__xludf.DUMMYFUNCTION("""COMPUTED_VALUE"""),"утилізація відходів")</f>
        <v>утилізація відходів</v>
      </c>
      <c r="E1006" s="15" t="str">
        <f>IFERROR(__xludf.DUMMYFUNCTION("""COMPUTED_VALUE"""),"утилізація відходів")</f>
        <v>утилізація відходів</v>
      </c>
      <c r="F1006" s="17">
        <f>IFERROR(__xludf.DUMMYFUNCTION("""COMPUTED_VALUE"""),2.0)</f>
        <v>2</v>
      </c>
      <c r="G1006" s="17">
        <f>IFERROR(__xludf.DUMMYFUNCTION("""COMPUTED_VALUE"""),1104.0)</f>
        <v>1104</v>
      </c>
      <c r="H1006" s="17" t="str">
        <f>IFERROR(__xludf.DUMMYFUNCTION("""COMPUTED_VALUE"""),"утилізація відходів")</f>
        <v>утилізація відходів</v>
      </c>
      <c r="I1006" s="18">
        <f>IFERROR(__xludf.DUMMYFUNCTION("""COMPUTED_VALUE"""),1.66)</f>
        <v>1.66</v>
      </c>
      <c r="J1006" s="18">
        <f>IFERROR(__xludf.DUMMYFUNCTION("""COMPUTED_VALUE"""),3.33)</f>
        <v>3.33</v>
      </c>
      <c r="K1006" s="18">
        <f>IFERROR(__xludf.DUMMYFUNCTION("""COMPUTED_VALUE"""),4.16)</f>
        <v>4.16</v>
      </c>
      <c r="L1006" s="18">
        <f>IFERROR(__xludf.DUMMYFUNCTION("""COMPUTED_VALUE"""),6.65)</f>
        <v>6.65</v>
      </c>
    </row>
    <row r="1007">
      <c r="A1007" s="13" t="str">
        <f>IFERROR(__xludf.DUMMYFUNCTION("""COMPUTED_VALUE"""),"послуги")</f>
        <v>послуги</v>
      </c>
      <c r="B1007" s="13" t="str">
        <f>IFERROR(__xludf.DUMMYFUNCTION("""COMPUTED_VALUE"""),"інженерно-будівельні послуги")</f>
        <v>інженерно-будівельні послуги</v>
      </c>
      <c r="C1007" s="15" t="str">
        <f>IFERROR(__xludf.DUMMYFUNCTION("""COMPUTED_VALUE"""),"будівельно-ремонтні послуги")</f>
        <v>будівельно-ремонтні послуги</v>
      </c>
      <c r="D1007" s="15" t="str">
        <f>IFERROR(__xludf.DUMMYFUNCTION("""COMPUTED_VALUE"""),"бетонні роботи")</f>
        <v>бетонні роботи</v>
      </c>
      <c r="E1007" s="15" t="str">
        <f>IFERROR(__xludf.DUMMYFUNCTION("""COMPUTED_VALUE"""),"бетонні роботи")</f>
        <v>бетонні роботи</v>
      </c>
      <c r="F1007" s="17">
        <f>IFERROR(__xludf.DUMMYFUNCTION("""COMPUTED_VALUE"""),3.0)</f>
        <v>3</v>
      </c>
      <c r="G1007" s="17">
        <f>IFERROR(__xludf.DUMMYFUNCTION("""COMPUTED_VALUE"""),284164.0)</f>
        <v>284164</v>
      </c>
      <c r="H1007" s="17" t="str">
        <f>IFERROR(__xludf.DUMMYFUNCTION("""COMPUTED_VALUE"""),"бетонні роботи")</f>
        <v>бетонні роботи</v>
      </c>
      <c r="I1007" s="18">
        <f>IFERROR(__xludf.DUMMYFUNCTION("""COMPUTED_VALUE"""),1.39)</f>
        <v>1.39</v>
      </c>
      <c r="J1007" s="18">
        <f>IFERROR(__xludf.DUMMYFUNCTION("""COMPUTED_VALUE"""),2.79)</f>
        <v>2.79</v>
      </c>
      <c r="K1007" s="18">
        <f>IFERROR(__xludf.DUMMYFUNCTION("""COMPUTED_VALUE"""),3.48)</f>
        <v>3.48</v>
      </c>
      <c r="L1007" s="18">
        <f>IFERROR(__xludf.DUMMYFUNCTION("""COMPUTED_VALUE"""),5.58)</f>
        <v>5.58</v>
      </c>
    </row>
    <row r="1008">
      <c r="A1008" s="13" t="str">
        <f>IFERROR(__xludf.DUMMYFUNCTION("""COMPUTED_VALUE"""),"послуги")</f>
        <v>послуги</v>
      </c>
      <c r="B1008" s="13" t="str">
        <f>IFERROR(__xludf.DUMMYFUNCTION("""COMPUTED_VALUE"""),"інженерно-будівельні послуги")</f>
        <v>інженерно-будівельні послуги</v>
      </c>
      <c r="C1008" s="15" t="str">
        <f>IFERROR(__xludf.DUMMYFUNCTION("""COMPUTED_VALUE"""),"будівельно-ремонтні послуги")</f>
        <v>будівельно-ремонтні послуги</v>
      </c>
      <c r="D1008" s="15" t="str">
        <f>IFERROR(__xludf.DUMMYFUNCTION("""COMPUTED_VALUE"""),"будівельно ремонтні послуги, загальне")</f>
        <v>будівельно ремонтні послуги, загальне</v>
      </c>
      <c r="E1008" s="15" t="str">
        <f>IFERROR(__xludf.DUMMYFUNCTION("""COMPUTED_VALUE"""),"будівельно ремонтні послуги, загальне")</f>
        <v>будівельно ремонтні послуги, загальне</v>
      </c>
      <c r="F1008" s="17">
        <f>IFERROR(__xludf.DUMMYFUNCTION("""COMPUTED_VALUE"""),3.0)</f>
        <v>3</v>
      </c>
      <c r="G1008" s="17">
        <f>IFERROR(__xludf.DUMMYFUNCTION("""COMPUTED_VALUE"""),2.8410107E7)</f>
        <v>28410107</v>
      </c>
      <c r="H1008" s="17" t="str">
        <f>IFERROR(__xludf.DUMMYFUNCTION("""COMPUTED_VALUE"""),"будівельно ремонтні послуги, загальне")</f>
        <v>будівельно ремонтні послуги, загальне</v>
      </c>
      <c r="I1008" s="18">
        <f>IFERROR(__xludf.DUMMYFUNCTION("""COMPUTED_VALUE"""),2.16)</f>
        <v>2.16</v>
      </c>
      <c r="J1008" s="18">
        <f>IFERROR(__xludf.DUMMYFUNCTION("""COMPUTED_VALUE"""),4.33)</f>
        <v>4.33</v>
      </c>
      <c r="K1008" s="18">
        <f>IFERROR(__xludf.DUMMYFUNCTION("""COMPUTED_VALUE"""),5.41)</f>
        <v>5.41</v>
      </c>
      <c r="L1008" s="18">
        <f>IFERROR(__xludf.DUMMYFUNCTION("""COMPUTED_VALUE"""),8.65)</f>
        <v>8.65</v>
      </c>
    </row>
    <row r="1009">
      <c r="A1009" s="13" t="str">
        <f>IFERROR(__xludf.DUMMYFUNCTION("""COMPUTED_VALUE"""),"послуги")</f>
        <v>послуги</v>
      </c>
      <c r="B1009" s="13" t="str">
        <f>IFERROR(__xludf.DUMMYFUNCTION("""COMPUTED_VALUE"""),"інженерно-будівельні послуги")</f>
        <v>інженерно-будівельні послуги</v>
      </c>
      <c r="C1009" s="15" t="str">
        <f>IFERROR(__xludf.DUMMYFUNCTION("""COMPUTED_VALUE"""),"будівельно-ремонтні послуги")</f>
        <v>будівельно-ремонтні послуги</v>
      </c>
      <c r="D1009" s="15" t="str">
        <f>IFERROR(__xludf.DUMMYFUNCTION("""COMPUTED_VALUE"""),"будівництво будинків")</f>
        <v>будівництво будинків</v>
      </c>
      <c r="E1009" s="15" t="str">
        <f>IFERROR(__xludf.DUMMYFUNCTION("""COMPUTED_VALUE"""),"будівництво будинків")</f>
        <v>будівництво будинків</v>
      </c>
      <c r="F1009" s="17">
        <f>IFERROR(__xludf.DUMMYFUNCTION("""COMPUTED_VALUE"""),3.0)</f>
        <v>3</v>
      </c>
      <c r="G1009" s="17">
        <f>IFERROR(__xludf.DUMMYFUNCTION("""COMPUTED_VALUE"""),2.8410105E7)</f>
        <v>28410105</v>
      </c>
      <c r="H1009" s="17" t="str">
        <f>IFERROR(__xludf.DUMMYFUNCTION("""COMPUTED_VALUE"""),"будівництво будинків")</f>
        <v>будівництво будинків</v>
      </c>
      <c r="I1009" s="18">
        <f>IFERROR(__xludf.DUMMYFUNCTION("""COMPUTED_VALUE"""),1.98)</f>
        <v>1.98</v>
      </c>
      <c r="J1009" s="18">
        <f>IFERROR(__xludf.DUMMYFUNCTION("""COMPUTED_VALUE"""),3.96)</f>
        <v>3.96</v>
      </c>
      <c r="K1009" s="18">
        <f>IFERROR(__xludf.DUMMYFUNCTION("""COMPUTED_VALUE"""),4.95)</f>
        <v>4.95</v>
      </c>
      <c r="L1009" s="18">
        <f>IFERROR(__xludf.DUMMYFUNCTION("""COMPUTED_VALUE"""),7.93)</f>
        <v>7.93</v>
      </c>
    </row>
    <row r="1010">
      <c r="A1010" s="13" t="str">
        <f>IFERROR(__xludf.DUMMYFUNCTION("""COMPUTED_VALUE"""),"послуги")</f>
        <v>послуги</v>
      </c>
      <c r="B1010" s="13" t="str">
        <f>IFERROR(__xludf.DUMMYFUNCTION("""COMPUTED_VALUE"""),"інженерно-будівельні послуги")</f>
        <v>інженерно-будівельні послуги</v>
      </c>
      <c r="C1010" s="15" t="str">
        <f>IFERROR(__xludf.DUMMYFUNCTION("""COMPUTED_VALUE"""),"будівельно-ремонтні послуги")</f>
        <v>будівельно-ремонтні послуги</v>
      </c>
      <c r="D1010" s="15" t="str">
        <f>IFERROR(__xludf.DUMMYFUNCTION("""COMPUTED_VALUE"""),"будівництво парканів, воріт і огорож")</f>
        <v>будівництво парканів, воріт і огорож</v>
      </c>
      <c r="E1010" s="15" t="str">
        <f>IFERROR(__xludf.DUMMYFUNCTION("""COMPUTED_VALUE"""),"будівництво парканів, воріт і огорож")</f>
        <v>будівництво парканів, воріт і огорож</v>
      </c>
      <c r="F1010" s="17">
        <f>IFERROR(__xludf.DUMMYFUNCTION("""COMPUTED_VALUE"""),3.0)</f>
        <v>3</v>
      </c>
      <c r="G1010" s="17">
        <f>IFERROR(__xludf.DUMMYFUNCTION("""COMPUTED_VALUE"""),284153.0)</f>
        <v>284153</v>
      </c>
      <c r="H1010" s="17" t="str">
        <f>IFERROR(__xludf.DUMMYFUNCTION("""COMPUTED_VALUE"""),"будівництво парканів, воріт і огорож")</f>
        <v>будівництво парканів, воріт і огорож</v>
      </c>
      <c r="I1010" s="18">
        <f>IFERROR(__xludf.DUMMYFUNCTION("""COMPUTED_VALUE"""),1.17)</f>
        <v>1.17</v>
      </c>
      <c r="J1010" s="18">
        <f>IFERROR(__xludf.DUMMYFUNCTION("""COMPUTED_VALUE"""),2.34)</f>
        <v>2.34</v>
      </c>
      <c r="K1010" s="18">
        <f>IFERROR(__xludf.DUMMYFUNCTION("""COMPUTED_VALUE"""),2.92)</f>
        <v>2.92</v>
      </c>
      <c r="L1010" s="18">
        <f>IFERROR(__xludf.DUMMYFUNCTION("""COMPUTED_VALUE"""),4.68)</f>
        <v>4.68</v>
      </c>
    </row>
    <row r="1011">
      <c r="A1011" s="13" t="str">
        <f>IFERROR(__xludf.DUMMYFUNCTION("""COMPUTED_VALUE"""),"послуги")</f>
        <v>послуги</v>
      </c>
      <c r="B1011" s="13" t="str">
        <f>IFERROR(__xludf.DUMMYFUNCTION("""COMPUTED_VALUE"""),"інженерно-будівельні послуги")</f>
        <v>інженерно-будівельні послуги</v>
      </c>
      <c r="C1011" s="15" t="str">
        <f>IFERROR(__xludf.DUMMYFUNCTION("""COMPUTED_VALUE"""),"будівельно-ремонтні послуги")</f>
        <v>будівельно-ремонтні послуги</v>
      </c>
      <c r="D1011" s="15" t="str">
        <f>IFERROR(__xludf.DUMMYFUNCTION("""COMPUTED_VALUE"""),"будівництво та реконструкція промислових будівель і споруд")</f>
        <v>будівництво та реконструкція промислових будівель і споруд</v>
      </c>
      <c r="E1011" s="15" t="str">
        <f>IFERROR(__xludf.DUMMYFUNCTION("""COMPUTED_VALUE"""),"будівництво та реконструкція промислових будівель і споруд")</f>
        <v>будівництво та реконструкція промислових будівель і споруд</v>
      </c>
      <c r="F1011" s="17">
        <f>IFERROR(__xludf.DUMMYFUNCTION("""COMPUTED_VALUE"""),3.0)</f>
        <v>3</v>
      </c>
      <c r="G1011" s="17">
        <f>IFERROR(__xludf.DUMMYFUNCTION("""COMPUTED_VALUE"""),284160.0)</f>
        <v>284160</v>
      </c>
      <c r="H1011" s="17" t="str">
        <f>IFERROR(__xludf.DUMMYFUNCTION("""COMPUTED_VALUE"""),"будівництво та реконструкція промислових будівель і споруд")</f>
        <v>будівництво та реконструкція промислових будівель і споруд</v>
      </c>
      <c r="I1011" s="18">
        <f>IFERROR(__xludf.DUMMYFUNCTION("""COMPUTED_VALUE"""),2.16)</f>
        <v>2.16</v>
      </c>
      <c r="J1011" s="18">
        <f>IFERROR(__xludf.DUMMYFUNCTION("""COMPUTED_VALUE"""),4.33)</f>
        <v>4.33</v>
      </c>
      <c r="K1011" s="18">
        <f>IFERROR(__xludf.DUMMYFUNCTION("""COMPUTED_VALUE"""),5.41)</f>
        <v>5.41</v>
      </c>
      <c r="L1011" s="18">
        <f>IFERROR(__xludf.DUMMYFUNCTION("""COMPUTED_VALUE"""),8.65)</f>
        <v>8.65</v>
      </c>
    </row>
    <row r="1012">
      <c r="A1012" s="13" t="str">
        <f>IFERROR(__xludf.DUMMYFUNCTION("""COMPUTED_VALUE"""),"послуги")</f>
        <v>послуги</v>
      </c>
      <c r="B1012" s="13" t="str">
        <f>IFERROR(__xludf.DUMMYFUNCTION("""COMPUTED_VALUE"""),"інженерно-будівельні послуги")</f>
        <v>інженерно-будівельні послуги</v>
      </c>
      <c r="C1012" s="15" t="str">
        <f>IFERROR(__xludf.DUMMYFUNCTION("""COMPUTED_VALUE"""),"будівельно-ремонтні послуги")</f>
        <v>будівельно-ремонтні послуги</v>
      </c>
      <c r="D1012" s="15" t="str">
        <f>IFERROR(__xludf.DUMMYFUNCTION("""COMPUTED_VALUE"""),"будівництво та ремонт доріг, мостів тунелів")</f>
        <v>будівництво та ремонт доріг, мостів тунелів</v>
      </c>
      <c r="E1012" s="15" t="str">
        <f>IFERROR(__xludf.DUMMYFUNCTION("""COMPUTED_VALUE"""),"будівництво та ремонт доріг, мостів тунелів")</f>
        <v>будівництво та ремонт доріг, мостів тунелів</v>
      </c>
      <c r="F1012" s="17">
        <f>IFERROR(__xludf.DUMMYFUNCTION("""COMPUTED_VALUE"""),3.0)</f>
        <v>3</v>
      </c>
      <c r="G1012" s="17">
        <f>IFERROR(__xludf.DUMMYFUNCTION("""COMPUTED_VALUE"""),284279.0)</f>
        <v>284279</v>
      </c>
      <c r="H1012" s="17" t="str">
        <f>IFERROR(__xludf.DUMMYFUNCTION("""COMPUTED_VALUE"""),"будівництво та ремонт доріг, мостів тунелів")</f>
        <v>будівництво та ремонт доріг, мостів тунелів</v>
      </c>
      <c r="I1012" s="18">
        <f>IFERROR(__xludf.DUMMYFUNCTION("""COMPUTED_VALUE"""),2.7)</f>
        <v>2.7</v>
      </c>
      <c r="J1012" s="18">
        <f>IFERROR(__xludf.DUMMYFUNCTION("""COMPUTED_VALUE"""),5.4)</f>
        <v>5.4</v>
      </c>
      <c r="K1012" s="18">
        <f>IFERROR(__xludf.DUMMYFUNCTION("""COMPUTED_VALUE"""),6.75)</f>
        <v>6.75</v>
      </c>
      <c r="L1012" s="18">
        <f>IFERROR(__xludf.DUMMYFUNCTION("""COMPUTED_VALUE"""),10.8)</f>
        <v>10.8</v>
      </c>
    </row>
    <row r="1013">
      <c r="A1013" s="13" t="str">
        <f>IFERROR(__xludf.DUMMYFUNCTION("""COMPUTED_VALUE"""),"послуги")</f>
        <v>послуги</v>
      </c>
      <c r="B1013" s="13" t="str">
        <f>IFERROR(__xludf.DUMMYFUNCTION("""COMPUTED_VALUE"""),"інженерно-будівельні послуги")</f>
        <v>інженерно-будівельні послуги</v>
      </c>
      <c r="C1013" s="15" t="str">
        <f>IFERROR(__xludf.DUMMYFUNCTION("""COMPUTED_VALUE"""),"будівельно-ремонтні послуги")</f>
        <v>будівельно-ремонтні послуги</v>
      </c>
      <c r="D1013" s="15" t="str">
        <f>IFERROR(__xludf.DUMMYFUNCTION("""COMPUTED_VALUE"""),"виготовлення і обслуговування камінів, печей, барбекю")</f>
        <v>виготовлення і обслуговування камінів, печей, барбекю</v>
      </c>
      <c r="E1013" s="15" t="str">
        <f>IFERROR(__xludf.DUMMYFUNCTION("""COMPUTED_VALUE"""),"виготовлення і обслуговування камінів, печей, барбекю")</f>
        <v>виготовлення і обслуговування камінів, печей, барбекю</v>
      </c>
      <c r="F1013" s="17">
        <f>IFERROR(__xludf.DUMMYFUNCTION("""COMPUTED_VALUE"""),3.0)</f>
        <v>3</v>
      </c>
      <c r="G1013" s="17">
        <f>IFERROR(__xludf.DUMMYFUNCTION("""COMPUTED_VALUE"""),284115.0)</f>
        <v>284115</v>
      </c>
      <c r="H1013" s="17" t="str">
        <f>IFERROR(__xludf.DUMMYFUNCTION("""COMPUTED_VALUE"""),"виготовлення і обслуговування камінів, печей, барбекю")</f>
        <v>виготовлення і обслуговування камінів, печей, барбекю</v>
      </c>
      <c r="I1013" s="18">
        <f>IFERROR(__xludf.DUMMYFUNCTION("""COMPUTED_VALUE"""),0.86)</f>
        <v>0.86</v>
      </c>
      <c r="J1013" s="18">
        <f>IFERROR(__xludf.DUMMYFUNCTION("""COMPUTED_VALUE"""),1.71)</f>
        <v>1.71</v>
      </c>
      <c r="K1013" s="18">
        <f>IFERROR(__xludf.DUMMYFUNCTION("""COMPUTED_VALUE"""),2.14)</f>
        <v>2.14</v>
      </c>
      <c r="L1013" s="18">
        <f>IFERROR(__xludf.DUMMYFUNCTION("""COMPUTED_VALUE"""),3.43)</f>
        <v>3.43</v>
      </c>
    </row>
    <row r="1014">
      <c r="A1014" s="13" t="str">
        <f>IFERROR(__xludf.DUMMYFUNCTION("""COMPUTED_VALUE"""),"послуги")</f>
        <v>послуги</v>
      </c>
      <c r="B1014" s="13" t="str">
        <f>IFERROR(__xludf.DUMMYFUNCTION("""COMPUTED_VALUE"""),"інженерно-будівельні послуги")</f>
        <v>інженерно-будівельні послуги</v>
      </c>
      <c r="C1014" s="15" t="str">
        <f>IFERROR(__xludf.DUMMYFUNCTION("""COMPUTED_VALUE"""),"будівельно-ремонтні послуги")</f>
        <v>будівельно-ремонтні послуги</v>
      </c>
      <c r="D1014" s="15" t="str">
        <f>IFERROR(__xludf.DUMMYFUNCTION("""COMPUTED_VALUE"""),"виготовлення сходів")</f>
        <v>виготовлення сходів</v>
      </c>
      <c r="E1014" s="15" t="str">
        <f>IFERROR(__xludf.DUMMYFUNCTION("""COMPUTED_VALUE"""),"виготовлення сходів")</f>
        <v>виготовлення сходів</v>
      </c>
      <c r="F1014" s="17">
        <f>IFERROR(__xludf.DUMMYFUNCTION("""COMPUTED_VALUE"""),3.0)</f>
        <v>3</v>
      </c>
      <c r="G1014" s="17">
        <f>IFERROR(__xludf.DUMMYFUNCTION("""COMPUTED_VALUE"""),284117.0)</f>
        <v>284117</v>
      </c>
      <c r="H1014" s="17" t="str">
        <f>IFERROR(__xludf.DUMMYFUNCTION("""COMPUTED_VALUE"""),"виготовлення сходів")</f>
        <v>виготовлення сходів</v>
      </c>
      <c r="I1014" s="18">
        <f>IFERROR(__xludf.DUMMYFUNCTION("""COMPUTED_VALUE"""),0.72)</f>
        <v>0.72</v>
      </c>
      <c r="J1014" s="18">
        <f>IFERROR(__xludf.DUMMYFUNCTION("""COMPUTED_VALUE"""),1.44)</f>
        <v>1.44</v>
      </c>
      <c r="K1014" s="18">
        <f>IFERROR(__xludf.DUMMYFUNCTION("""COMPUTED_VALUE"""),1.8)</f>
        <v>1.8</v>
      </c>
      <c r="L1014" s="18">
        <f>IFERROR(__xludf.DUMMYFUNCTION("""COMPUTED_VALUE"""),2.88)</f>
        <v>2.88</v>
      </c>
    </row>
    <row r="1015">
      <c r="A1015" s="13" t="str">
        <f>IFERROR(__xludf.DUMMYFUNCTION("""COMPUTED_VALUE"""),"послуги")</f>
        <v>послуги</v>
      </c>
      <c r="B1015" s="13" t="str">
        <f>IFERROR(__xludf.DUMMYFUNCTION("""COMPUTED_VALUE"""),"інженерно-будівельні послуги")</f>
        <v>інженерно-будівельні послуги</v>
      </c>
      <c r="C1015" s="15" t="str">
        <f>IFERROR(__xludf.DUMMYFUNCTION("""COMPUTED_VALUE"""),"будівельно-ремонтні послуги")</f>
        <v>будівельно-ремонтні послуги</v>
      </c>
      <c r="D1015" s="15" t="str">
        <f>IFERROR(__xludf.DUMMYFUNCTION("""COMPUTED_VALUE"""),"виготовлення, монтаж та ремонт вікон і дверей")</f>
        <v>виготовлення, монтаж та ремонт вікон і дверей</v>
      </c>
      <c r="E1015" s="15" t="str">
        <f>IFERROR(__xludf.DUMMYFUNCTION("""COMPUTED_VALUE"""),"виготовлення, монтаж та ремонт вікон і дверей")</f>
        <v>виготовлення, монтаж та ремонт вікон і дверей</v>
      </c>
      <c r="F1015" s="17">
        <f>IFERROR(__xludf.DUMMYFUNCTION("""COMPUTED_VALUE"""),3.0)</f>
        <v>3</v>
      </c>
      <c r="G1015" s="17">
        <f>IFERROR(__xludf.DUMMYFUNCTION("""COMPUTED_VALUE"""),284300.0)</f>
        <v>284300</v>
      </c>
      <c r="H1015" s="17" t="str">
        <f>IFERROR(__xludf.DUMMYFUNCTION("""COMPUTED_VALUE"""),"виготовлення, монтаж та ремонт вікон і дверей")</f>
        <v>виготовлення, монтаж та ремонт вікон і дверей</v>
      </c>
      <c r="I1015" s="18">
        <f>IFERROR(__xludf.DUMMYFUNCTION("""COMPUTED_VALUE"""),2.16)</f>
        <v>2.16</v>
      </c>
      <c r="J1015" s="18">
        <f>IFERROR(__xludf.DUMMYFUNCTION("""COMPUTED_VALUE"""),4.33)</f>
        <v>4.33</v>
      </c>
      <c r="K1015" s="18">
        <f>IFERROR(__xludf.DUMMYFUNCTION("""COMPUTED_VALUE"""),5.41)</f>
        <v>5.41</v>
      </c>
      <c r="L1015" s="18">
        <f>IFERROR(__xludf.DUMMYFUNCTION("""COMPUTED_VALUE"""),8.65)</f>
        <v>8.65</v>
      </c>
    </row>
    <row r="1016">
      <c r="A1016" s="13" t="str">
        <f>IFERROR(__xludf.DUMMYFUNCTION("""COMPUTED_VALUE"""),"послуги")</f>
        <v>послуги</v>
      </c>
      <c r="B1016" s="13" t="str">
        <f>IFERROR(__xludf.DUMMYFUNCTION("""COMPUTED_VALUE"""),"інженерно-будівельні послуги")</f>
        <v>інженерно-будівельні послуги</v>
      </c>
      <c r="C1016" s="15" t="str">
        <f>IFERROR(__xludf.DUMMYFUNCTION("""COMPUTED_VALUE"""),"демонтажні роботи")</f>
        <v>демонтажні роботи</v>
      </c>
      <c r="D1016" s="15" t="str">
        <f>IFERROR(__xludf.DUMMYFUNCTION("""COMPUTED_VALUE"""),"демонтажні роботи")</f>
        <v>демонтажні роботи</v>
      </c>
      <c r="E1016" s="15" t="str">
        <f>IFERROR(__xludf.DUMMYFUNCTION("""COMPUTED_VALUE"""),"демонтажні роботи")</f>
        <v>демонтажні роботи</v>
      </c>
      <c r="F1016" s="17">
        <f>IFERROR(__xludf.DUMMYFUNCTION("""COMPUTED_VALUE"""),2.0)</f>
        <v>2</v>
      </c>
      <c r="G1016" s="17">
        <f>IFERROR(__xludf.DUMMYFUNCTION("""COMPUTED_VALUE"""),2.8410108E7)</f>
        <v>28410108</v>
      </c>
      <c r="H1016" s="17" t="str">
        <f>IFERROR(__xludf.DUMMYFUNCTION("""COMPUTED_VALUE"""),"демонтажні роботи")</f>
        <v>демонтажні роботи</v>
      </c>
      <c r="I1016" s="18">
        <f>IFERROR(__xludf.DUMMYFUNCTION("""COMPUTED_VALUE"""),2.25)</f>
        <v>2.25</v>
      </c>
      <c r="J1016" s="18">
        <f>IFERROR(__xludf.DUMMYFUNCTION("""COMPUTED_VALUE"""),4.5)</f>
        <v>4.5</v>
      </c>
      <c r="K1016" s="18">
        <f>IFERROR(__xludf.DUMMYFUNCTION("""COMPUTED_VALUE"""),5.63)</f>
        <v>5.63</v>
      </c>
      <c r="L1016" s="18">
        <f>IFERROR(__xludf.DUMMYFUNCTION("""COMPUTED_VALUE"""),9.0)</f>
        <v>9</v>
      </c>
    </row>
    <row r="1017">
      <c r="A1017" s="13" t="str">
        <f>IFERROR(__xludf.DUMMYFUNCTION("""COMPUTED_VALUE"""),"послуги")</f>
        <v>послуги</v>
      </c>
      <c r="B1017" s="13" t="str">
        <f>IFERROR(__xludf.DUMMYFUNCTION("""COMPUTED_VALUE"""),"інженерно-будівельні послуги")</f>
        <v>інженерно-будівельні послуги</v>
      </c>
      <c r="C1017" s="15" t="str">
        <f>IFERROR(__xludf.DUMMYFUNCTION("""COMPUTED_VALUE"""),"зварювальні роботи, контроль і діагностика")</f>
        <v>зварювальні роботи, контроль і діагностика</v>
      </c>
      <c r="D1017" s="15" t="str">
        <f>IFERROR(__xludf.DUMMYFUNCTION("""COMPUTED_VALUE"""),"зварювальні роботи, контроль і діагностика")</f>
        <v>зварювальні роботи, контроль і діагностика</v>
      </c>
      <c r="E1017" s="15" t="str">
        <f>IFERROR(__xludf.DUMMYFUNCTION("""COMPUTED_VALUE"""),"зварювальні роботи, контроль і діагностика")</f>
        <v>зварювальні роботи, контроль і діагностика</v>
      </c>
      <c r="F1017" s="17">
        <f>IFERROR(__xludf.DUMMYFUNCTION("""COMPUTED_VALUE"""),2.0)</f>
        <v>2</v>
      </c>
      <c r="G1017" s="17">
        <f>IFERROR(__xludf.DUMMYFUNCTION("""COMPUTED_VALUE"""),284110.0)</f>
        <v>284110</v>
      </c>
      <c r="H1017" s="17" t="str">
        <f>IFERROR(__xludf.DUMMYFUNCTION("""COMPUTED_VALUE"""),"зварювальні роботи, контроль і діагностика")</f>
        <v>зварювальні роботи, контроль і діагностика</v>
      </c>
      <c r="I1017" s="18">
        <f>IFERROR(__xludf.DUMMYFUNCTION("""COMPUTED_VALUE"""),2.11)</f>
        <v>2.11</v>
      </c>
      <c r="J1017" s="18">
        <f>IFERROR(__xludf.DUMMYFUNCTION("""COMPUTED_VALUE"""),4.23)</f>
        <v>4.23</v>
      </c>
      <c r="K1017" s="18">
        <f>IFERROR(__xludf.DUMMYFUNCTION("""COMPUTED_VALUE"""),5.28)</f>
        <v>5.28</v>
      </c>
      <c r="L1017" s="18">
        <f>IFERROR(__xludf.DUMMYFUNCTION("""COMPUTED_VALUE"""),8.45)</f>
        <v>8.45</v>
      </c>
    </row>
    <row r="1018">
      <c r="A1018" s="13" t="str">
        <f>IFERROR(__xludf.DUMMYFUNCTION("""COMPUTED_VALUE"""),"послуги")</f>
        <v>послуги</v>
      </c>
      <c r="B1018" s="13" t="str">
        <f>IFERROR(__xludf.DUMMYFUNCTION("""COMPUTED_VALUE"""),"інженерно-будівельні послуги")</f>
        <v>інженерно-будівельні послуги</v>
      </c>
      <c r="C1018" s="15" t="str">
        <f>IFERROR(__xludf.DUMMYFUNCTION("""COMPUTED_VALUE"""),"будівельно-ремонтні послуги")</f>
        <v>будівельно-ремонтні послуги</v>
      </c>
      <c r="D1018" s="15" t="str">
        <f>IFERROR(__xludf.DUMMYFUNCTION("""COMPUTED_VALUE"""),"комплексний ремонт приміщень")</f>
        <v>комплексний ремонт приміщень</v>
      </c>
      <c r="E1018" s="15" t="str">
        <f>IFERROR(__xludf.DUMMYFUNCTION("""COMPUTED_VALUE"""),"комплексний ремонт приміщень")</f>
        <v>комплексний ремонт приміщень</v>
      </c>
      <c r="F1018" s="17">
        <f>IFERROR(__xludf.DUMMYFUNCTION("""COMPUTED_VALUE"""),3.0)</f>
        <v>3</v>
      </c>
      <c r="G1018" s="17">
        <f>IFERROR(__xludf.DUMMYFUNCTION("""COMPUTED_VALUE"""),284138.0)</f>
        <v>284138</v>
      </c>
      <c r="H1018" s="17" t="str">
        <f>IFERROR(__xludf.DUMMYFUNCTION("""COMPUTED_VALUE"""),"комплексний ремонт приміщень")</f>
        <v>комплексний ремонт приміщень</v>
      </c>
      <c r="I1018" s="18">
        <f>IFERROR(__xludf.DUMMYFUNCTION("""COMPUTED_VALUE"""),2.7)</f>
        <v>2.7</v>
      </c>
      <c r="J1018" s="18">
        <f>IFERROR(__xludf.DUMMYFUNCTION("""COMPUTED_VALUE"""),5.4)</f>
        <v>5.4</v>
      </c>
      <c r="K1018" s="18">
        <f>IFERROR(__xludf.DUMMYFUNCTION("""COMPUTED_VALUE"""),6.75)</f>
        <v>6.75</v>
      </c>
      <c r="L1018" s="18">
        <f>IFERROR(__xludf.DUMMYFUNCTION("""COMPUTED_VALUE"""),10.8)</f>
        <v>10.8</v>
      </c>
    </row>
    <row r="1019">
      <c r="A1019" s="13" t="str">
        <f>IFERROR(__xludf.DUMMYFUNCTION("""COMPUTED_VALUE"""),"послуги")</f>
        <v>послуги</v>
      </c>
      <c r="B1019" s="13" t="str">
        <f>IFERROR(__xludf.DUMMYFUNCTION("""COMPUTED_VALUE"""),"інженерно-будівельні послуги")</f>
        <v>інженерно-будівельні послуги</v>
      </c>
      <c r="C1019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19" s="15" t="str">
        <f>IFERROR(__xludf.DUMMYFUNCTION("""COMPUTED_VALUE"""),"монтаж систем блискавкозахисту та заземлення")</f>
        <v>монтаж систем блискавкозахисту та заземлення</v>
      </c>
      <c r="E1019" s="15" t="str">
        <f>IFERROR(__xludf.DUMMYFUNCTION("""COMPUTED_VALUE"""),"монтаж систем блискавкозахисту та заземлення")</f>
        <v>монтаж систем блискавкозахисту та заземлення</v>
      </c>
      <c r="F1019" s="17">
        <f>IFERROR(__xludf.DUMMYFUNCTION("""COMPUTED_VALUE"""),3.0)</f>
        <v>3</v>
      </c>
      <c r="G1019" s="17">
        <f>IFERROR(__xludf.DUMMYFUNCTION("""COMPUTED_VALUE"""),284184.0)</f>
        <v>284184</v>
      </c>
      <c r="H1019" s="17" t="str">
        <f>IFERROR(__xludf.DUMMYFUNCTION("""COMPUTED_VALUE"""),"монтаж систем блискавкозахисту та заземлення")</f>
        <v>монтаж систем блискавкозахисту та заземлення</v>
      </c>
      <c r="I1019" s="18">
        <f>IFERROR(__xludf.DUMMYFUNCTION("""COMPUTED_VALUE"""),2.7)</f>
        <v>2.7</v>
      </c>
      <c r="J1019" s="18">
        <f>IFERROR(__xludf.DUMMYFUNCTION("""COMPUTED_VALUE"""),5.4)</f>
        <v>5.4</v>
      </c>
      <c r="K1019" s="18">
        <f>IFERROR(__xludf.DUMMYFUNCTION("""COMPUTED_VALUE"""),6.75)</f>
        <v>6.75</v>
      </c>
      <c r="L1019" s="18">
        <f>IFERROR(__xludf.DUMMYFUNCTION("""COMPUTED_VALUE"""),10.8)</f>
        <v>10.8</v>
      </c>
    </row>
    <row r="1020">
      <c r="A1020" s="13" t="str">
        <f>IFERROR(__xludf.DUMMYFUNCTION("""COMPUTED_VALUE"""),"послуги")</f>
        <v>послуги</v>
      </c>
      <c r="B1020" s="13" t="str">
        <f>IFERROR(__xludf.DUMMYFUNCTION("""COMPUTED_VALUE"""),"інженерно-будівельні послуги")</f>
        <v>інженерно-будівельні послуги</v>
      </c>
      <c r="C1020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20" s="15" t="str">
        <f>IFERROR(__xludf.DUMMYFUNCTION("""COMPUTED_VALUE"""),"монтаж та обслуговування систем альтернативної енергетики")</f>
        <v>монтаж та обслуговування систем альтернативної енергетики</v>
      </c>
      <c r="E1020" s="15" t="str">
        <f>IFERROR(__xludf.DUMMYFUNCTION("""COMPUTED_VALUE"""),"монтаж та обслуговування систем альтернативної енергетики")</f>
        <v>монтаж та обслуговування систем альтернативної енергетики</v>
      </c>
      <c r="F1020" s="17">
        <f>IFERROR(__xludf.DUMMYFUNCTION("""COMPUTED_VALUE"""),3.0)</f>
        <v>3</v>
      </c>
      <c r="G1020" s="17">
        <f>IFERROR(__xludf.DUMMYFUNCTION("""COMPUTED_VALUE"""),284283.0)</f>
        <v>284283</v>
      </c>
      <c r="H1020" s="17" t="str">
        <f>IFERROR(__xludf.DUMMYFUNCTION("""COMPUTED_VALUE"""),"монтаж та обслуговування систем альтернативної енергетики")</f>
        <v>монтаж та обслуговування систем альтернативної енергетики</v>
      </c>
      <c r="I1020" s="18">
        <f>IFERROR(__xludf.DUMMYFUNCTION("""COMPUTED_VALUE"""),1.35)</f>
        <v>1.35</v>
      </c>
      <c r="J1020" s="18">
        <f>IFERROR(__xludf.DUMMYFUNCTION("""COMPUTED_VALUE"""),2.7)</f>
        <v>2.7</v>
      </c>
      <c r="K1020" s="18">
        <f>IFERROR(__xludf.DUMMYFUNCTION("""COMPUTED_VALUE"""),3.38)</f>
        <v>3.38</v>
      </c>
      <c r="L1020" s="18">
        <f>IFERROR(__xludf.DUMMYFUNCTION("""COMPUTED_VALUE"""),5.4)</f>
        <v>5.4</v>
      </c>
    </row>
    <row r="1021">
      <c r="A1021" s="13" t="str">
        <f>IFERROR(__xludf.DUMMYFUNCTION("""COMPUTED_VALUE"""),"послуги")</f>
        <v>послуги</v>
      </c>
      <c r="B1021" s="13" t="str">
        <f>IFERROR(__xludf.DUMMYFUNCTION("""COMPUTED_VALUE"""),"інженерно-будівельні послуги")</f>
        <v>інженерно-будівельні послуги</v>
      </c>
      <c r="C1021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21" s="15" t="str">
        <f>IFERROR(__xludf.DUMMYFUNCTION("""COMPUTED_VALUE"""),"монтаж та обслуговування системи газопостачання")</f>
        <v>монтаж та обслуговування системи газопостачання</v>
      </c>
      <c r="E1021" s="15" t="str">
        <f>IFERROR(__xludf.DUMMYFUNCTION("""COMPUTED_VALUE"""),"монтаж та обслуговування системи газопостачання")</f>
        <v>монтаж та обслуговування системи газопостачання</v>
      </c>
      <c r="F1021" s="17">
        <f>IFERROR(__xludf.DUMMYFUNCTION("""COMPUTED_VALUE"""),3.0)</f>
        <v>3</v>
      </c>
      <c r="G1021" s="17">
        <f>IFERROR(__xludf.DUMMYFUNCTION("""COMPUTED_VALUE"""),284242.0)</f>
        <v>284242</v>
      </c>
      <c r="H1021" s="17" t="str">
        <f>IFERROR(__xludf.DUMMYFUNCTION("""COMPUTED_VALUE"""),"монтаж та обслуговування системи газопостачання")</f>
        <v>монтаж та обслуговування системи газопостачання</v>
      </c>
      <c r="I1021" s="18">
        <f>IFERROR(__xludf.DUMMYFUNCTION("""COMPUTED_VALUE"""),1.35)</f>
        <v>1.35</v>
      </c>
      <c r="J1021" s="18">
        <f>IFERROR(__xludf.DUMMYFUNCTION("""COMPUTED_VALUE"""),2.7)</f>
        <v>2.7</v>
      </c>
      <c r="K1021" s="18">
        <f>IFERROR(__xludf.DUMMYFUNCTION("""COMPUTED_VALUE"""),3.38)</f>
        <v>3.38</v>
      </c>
      <c r="L1021" s="18">
        <f>IFERROR(__xludf.DUMMYFUNCTION("""COMPUTED_VALUE"""),5.4)</f>
        <v>5.4</v>
      </c>
    </row>
    <row r="1022">
      <c r="A1022" s="13" t="str">
        <f>IFERROR(__xludf.DUMMYFUNCTION("""COMPUTED_VALUE"""),"послуги")</f>
        <v>послуги</v>
      </c>
      <c r="B1022" s="13" t="str">
        <f>IFERROR(__xludf.DUMMYFUNCTION("""COMPUTED_VALUE"""),"інженерно-будівельні послуги")</f>
        <v>інженерно-будівельні послуги</v>
      </c>
      <c r="C1022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22" s="15" t="str">
        <f>IFERROR(__xludf.DUMMYFUNCTION("""COMPUTED_VALUE"""),"монтаж та обслуговування системи теплопостачання")</f>
        <v>монтаж та обслуговування системи теплопостачання</v>
      </c>
      <c r="E1022" s="15" t="str">
        <f>IFERROR(__xludf.DUMMYFUNCTION("""COMPUTED_VALUE"""),"монтаж та обслуговування системи теплопостачання")</f>
        <v>монтаж та обслуговування системи теплопостачання</v>
      </c>
      <c r="F1022" s="17">
        <f>IFERROR(__xludf.DUMMYFUNCTION("""COMPUTED_VALUE"""),3.0)</f>
        <v>3</v>
      </c>
      <c r="G1022" s="17">
        <f>IFERROR(__xludf.DUMMYFUNCTION("""COMPUTED_VALUE"""),284239.0)</f>
        <v>284239</v>
      </c>
      <c r="H1022" s="17" t="str">
        <f>IFERROR(__xludf.DUMMYFUNCTION("""COMPUTED_VALUE"""),"монтаж та обслуговування системи теплопостачання")</f>
        <v>монтаж та обслуговування системи теплопостачання</v>
      </c>
      <c r="I1022" s="18">
        <f>IFERROR(__xludf.DUMMYFUNCTION("""COMPUTED_VALUE"""),1.35)</f>
        <v>1.35</v>
      </c>
      <c r="J1022" s="18">
        <f>IFERROR(__xludf.DUMMYFUNCTION("""COMPUTED_VALUE"""),2.7)</f>
        <v>2.7</v>
      </c>
      <c r="K1022" s="18">
        <f>IFERROR(__xludf.DUMMYFUNCTION("""COMPUTED_VALUE"""),3.38)</f>
        <v>3.38</v>
      </c>
      <c r="L1022" s="18">
        <f>IFERROR(__xludf.DUMMYFUNCTION("""COMPUTED_VALUE"""),5.4)</f>
        <v>5.4</v>
      </c>
    </row>
    <row r="1023">
      <c r="A1023" s="13" t="str">
        <f>IFERROR(__xludf.DUMMYFUNCTION("""COMPUTED_VALUE"""),"послуги")</f>
        <v>послуги</v>
      </c>
      <c r="B1023" s="13" t="str">
        <f>IFERROR(__xludf.DUMMYFUNCTION("""COMPUTED_VALUE"""),"інженерно-будівельні послуги")</f>
        <v>інженерно-будівельні послуги</v>
      </c>
      <c r="C1023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23" s="15" t="str">
        <f>IFERROR(__xludf.DUMMYFUNCTION("""COMPUTED_VALUE"""),"монтаж та обслуговування структурних кабельних мереж (скм)")</f>
        <v>монтаж та обслуговування структурних кабельних мереж (скм)</v>
      </c>
      <c r="E1023" s="15" t="str">
        <f>IFERROR(__xludf.DUMMYFUNCTION("""COMPUTED_VALUE"""),"монтаж та обслуговування структурних кабельних мереж (скм)")</f>
        <v>монтаж та обслуговування структурних кабельних мереж (скм)</v>
      </c>
      <c r="F1023" s="17">
        <f>IFERROR(__xludf.DUMMYFUNCTION("""COMPUTED_VALUE"""),3.0)</f>
        <v>3</v>
      </c>
      <c r="G1023" s="17">
        <f>IFERROR(__xludf.DUMMYFUNCTION("""COMPUTED_VALUE"""),281410.0)</f>
        <v>281410</v>
      </c>
      <c r="H1023" s="17" t="str">
        <f>IFERROR(__xludf.DUMMYFUNCTION("""COMPUTED_VALUE"""),"монтаж та обслуговування структурних кабельних мереж (скм)")</f>
        <v>монтаж та обслуговування структурних кабельних мереж (скм)</v>
      </c>
      <c r="I1023" s="18">
        <f>IFERROR(__xludf.DUMMYFUNCTION("""COMPUTED_VALUE"""),0.9)</f>
        <v>0.9</v>
      </c>
      <c r="J1023" s="18">
        <f>IFERROR(__xludf.DUMMYFUNCTION("""COMPUTED_VALUE"""),1.8)</f>
        <v>1.8</v>
      </c>
      <c r="K1023" s="18">
        <f>IFERROR(__xludf.DUMMYFUNCTION("""COMPUTED_VALUE"""),2.25)</f>
        <v>2.25</v>
      </c>
      <c r="L1023" s="18">
        <f>IFERROR(__xludf.DUMMYFUNCTION("""COMPUTED_VALUE"""),3.6)</f>
        <v>3.6</v>
      </c>
    </row>
    <row r="1024">
      <c r="A1024" s="13" t="str">
        <f>IFERROR(__xludf.DUMMYFUNCTION("""COMPUTED_VALUE"""),"послуги")</f>
        <v>послуги</v>
      </c>
      <c r="B1024" s="13" t="str">
        <f>IFERROR(__xludf.DUMMYFUNCTION("""COMPUTED_VALUE"""),"інженерно-будівельні послуги")</f>
        <v>інженерно-будівельні послуги</v>
      </c>
      <c r="C1024" s="15" t="str">
        <f>IFERROR(__xludf.DUMMYFUNCTION("""COMPUTED_VALUE"""),"будівельно-ремонтні послуги")</f>
        <v>будівельно-ремонтні послуги</v>
      </c>
      <c r="D1024" s="15" t="str">
        <f>IFERROR(__xludf.DUMMYFUNCTION("""COMPUTED_VALUE"""),"облаштування балконів та лоджій")</f>
        <v>облаштування балконів та лоджій</v>
      </c>
      <c r="E1024" s="15" t="str">
        <f>IFERROR(__xludf.DUMMYFUNCTION("""COMPUTED_VALUE"""),"облаштування балконів та лоджій")</f>
        <v>облаштування балконів та лоджій</v>
      </c>
      <c r="F1024" s="17">
        <f>IFERROR(__xludf.DUMMYFUNCTION("""COMPUTED_VALUE"""),3.0)</f>
        <v>3</v>
      </c>
      <c r="G1024" s="17">
        <f>IFERROR(__xludf.DUMMYFUNCTION("""COMPUTED_VALUE"""),284155.0)</f>
        <v>284155</v>
      </c>
      <c r="H1024" s="17" t="str">
        <f>IFERROR(__xludf.DUMMYFUNCTION("""COMPUTED_VALUE"""),"облаштування балконів та лоджій")</f>
        <v>облаштування балконів та лоджій</v>
      </c>
      <c r="I1024" s="18">
        <f>IFERROR(__xludf.DUMMYFUNCTION("""COMPUTED_VALUE"""),1.08)</f>
        <v>1.08</v>
      </c>
      <c r="J1024" s="18">
        <f>IFERROR(__xludf.DUMMYFUNCTION("""COMPUTED_VALUE"""),2.16)</f>
        <v>2.16</v>
      </c>
      <c r="K1024" s="18">
        <f>IFERROR(__xludf.DUMMYFUNCTION("""COMPUTED_VALUE"""),2.7)</f>
        <v>2.7</v>
      </c>
      <c r="L1024" s="18">
        <f>IFERROR(__xludf.DUMMYFUNCTION("""COMPUTED_VALUE"""),4.33)</f>
        <v>4.33</v>
      </c>
    </row>
    <row r="1025">
      <c r="A1025" s="13" t="str">
        <f>IFERROR(__xludf.DUMMYFUNCTION("""COMPUTED_VALUE"""),"послуги")</f>
        <v>послуги</v>
      </c>
      <c r="B1025" s="13" t="str">
        <f>IFERROR(__xludf.DUMMYFUNCTION("""COMPUTED_VALUE"""),"інженерно-будівельні послуги")</f>
        <v>інженерно-будівельні послуги</v>
      </c>
      <c r="C1025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1025" s="15" t="str">
        <f>IFERROR(__xludf.DUMMYFUNCTION("""COMPUTED_VALUE"""),"облаштування доріжок")</f>
        <v>облаштування доріжок</v>
      </c>
      <c r="E1025" s="15" t="str">
        <f>IFERROR(__xludf.DUMMYFUNCTION("""COMPUTED_VALUE"""),"облаштування доріжок")</f>
        <v>облаштування доріжок</v>
      </c>
      <c r="F1025" s="17">
        <f>IFERROR(__xludf.DUMMYFUNCTION("""COMPUTED_VALUE"""),3.0)</f>
        <v>3</v>
      </c>
      <c r="G1025" s="17">
        <f>IFERROR(__xludf.DUMMYFUNCTION("""COMPUTED_VALUE"""),284152.0)</f>
        <v>284152</v>
      </c>
      <c r="H1025" s="17" t="str">
        <f>IFERROR(__xludf.DUMMYFUNCTION("""COMPUTED_VALUE"""),"облаштування доріжок")</f>
        <v>облаштування доріжок</v>
      </c>
      <c r="I1025" s="18">
        <f>IFERROR(__xludf.DUMMYFUNCTION("""COMPUTED_VALUE"""),2.29)</f>
        <v>2.29</v>
      </c>
      <c r="J1025" s="18">
        <f>IFERROR(__xludf.DUMMYFUNCTION("""COMPUTED_VALUE"""),4.58)</f>
        <v>4.58</v>
      </c>
      <c r="K1025" s="18">
        <f>IFERROR(__xludf.DUMMYFUNCTION("""COMPUTED_VALUE"""),5.72)</f>
        <v>5.72</v>
      </c>
      <c r="L1025" s="18">
        <f>IFERROR(__xludf.DUMMYFUNCTION("""COMPUTED_VALUE"""),9.15)</f>
        <v>9.15</v>
      </c>
    </row>
    <row r="1026">
      <c r="A1026" s="13" t="str">
        <f>IFERROR(__xludf.DUMMYFUNCTION("""COMPUTED_VALUE"""),"послуги")</f>
        <v>послуги</v>
      </c>
      <c r="B1026" s="13" t="str">
        <f>IFERROR(__xludf.DUMMYFUNCTION("""COMPUTED_VALUE"""),"інженерно-будівельні послуги")</f>
        <v>інженерно-будівельні послуги</v>
      </c>
      <c r="C1026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1026" s="15" t="str">
        <f>IFERROR(__xludf.DUMMYFUNCTION("""COMPUTED_VALUE"""),"озеленення територій")</f>
        <v>озеленення територій</v>
      </c>
      <c r="E1026" s="15" t="str">
        <f>IFERROR(__xludf.DUMMYFUNCTION("""COMPUTED_VALUE"""),"озеленення територій")</f>
        <v>озеленення територій</v>
      </c>
      <c r="F1026" s="17">
        <f>IFERROR(__xludf.DUMMYFUNCTION("""COMPUTED_VALUE"""),3.0)</f>
        <v>3</v>
      </c>
      <c r="G1026" s="17">
        <f>IFERROR(__xludf.DUMMYFUNCTION("""COMPUTED_VALUE"""),2.8410502E7)</f>
        <v>28410502</v>
      </c>
      <c r="H1026" s="17" t="str">
        <f>IFERROR(__xludf.DUMMYFUNCTION("""COMPUTED_VALUE"""),"озеленення територій")</f>
        <v>озеленення територій</v>
      </c>
      <c r="I1026" s="18">
        <f>IFERROR(__xludf.DUMMYFUNCTION("""COMPUTED_VALUE"""),1.8)</f>
        <v>1.8</v>
      </c>
      <c r="J1026" s="18">
        <f>IFERROR(__xludf.DUMMYFUNCTION("""COMPUTED_VALUE"""),3.6)</f>
        <v>3.6</v>
      </c>
      <c r="K1026" s="18">
        <f>IFERROR(__xludf.DUMMYFUNCTION("""COMPUTED_VALUE"""),4.5)</f>
        <v>4.5</v>
      </c>
      <c r="L1026" s="18">
        <f>IFERROR(__xludf.DUMMYFUNCTION("""COMPUTED_VALUE"""),7.2)</f>
        <v>7.2</v>
      </c>
    </row>
    <row r="1027">
      <c r="A1027" s="13" t="str">
        <f>IFERROR(__xludf.DUMMYFUNCTION("""COMPUTED_VALUE"""),"послуги")</f>
        <v>послуги</v>
      </c>
      <c r="B1027" s="13" t="str">
        <f>IFERROR(__xludf.DUMMYFUNCTION("""COMPUTED_VALUE"""),"інженерно-будівельні послуги")</f>
        <v>інженерно-будівельні послуги</v>
      </c>
      <c r="C1027" s="15" t="str">
        <f>IFERROR(__xludf.DUMMYFUNCTION("""COMPUTED_VALUE"""),"будівельно-ремонтні послуги")</f>
        <v>будівельно-ремонтні послуги</v>
      </c>
      <c r="D1027" s="15" t="str">
        <f>IFERROR(__xludf.DUMMYFUNCTION("""COMPUTED_VALUE"""),"покрівельні роботи")</f>
        <v>покрівельні роботи</v>
      </c>
      <c r="E1027" s="15" t="str">
        <f>IFERROR(__xludf.DUMMYFUNCTION("""COMPUTED_VALUE"""),"покрівельні роботи")</f>
        <v>покрівельні роботи</v>
      </c>
      <c r="F1027" s="17">
        <f>IFERROR(__xludf.DUMMYFUNCTION("""COMPUTED_VALUE"""),3.0)</f>
        <v>3</v>
      </c>
      <c r="G1027" s="17">
        <f>IFERROR(__xludf.DUMMYFUNCTION("""COMPUTED_VALUE"""),2.8410101E7)</f>
        <v>28410101</v>
      </c>
      <c r="H1027" s="17" t="str">
        <f>IFERROR(__xludf.DUMMYFUNCTION("""COMPUTED_VALUE"""),"покрівельні роботи")</f>
        <v>покрівельні роботи</v>
      </c>
      <c r="I1027" s="18">
        <f>IFERROR(__xludf.DUMMYFUNCTION("""COMPUTED_VALUE"""),2.7)</f>
        <v>2.7</v>
      </c>
      <c r="J1027" s="18">
        <f>IFERROR(__xludf.DUMMYFUNCTION("""COMPUTED_VALUE"""),5.4)</f>
        <v>5.4</v>
      </c>
      <c r="K1027" s="18">
        <f>IFERROR(__xludf.DUMMYFUNCTION("""COMPUTED_VALUE"""),6.75)</f>
        <v>6.75</v>
      </c>
      <c r="L1027" s="18">
        <f>IFERROR(__xludf.DUMMYFUNCTION("""COMPUTED_VALUE"""),10.8)</f>
        <v>10.8</v>
      </c>
    </row>
    <row r="1028">
      <c r="A1028" s="13" t="str">
        <f>IFERROR(__xludf.DUMMYFUNCTION("""COMPUTED_VALUE"""),"послуги")</f>
        <v>послуги</v>
      </c>
      <c r="B1028" s="13" t="str">
        <f>IFERROR(__xludf.DUMMYFUNCTION("""COMPUTED_VALUE"""),"інженерно-будівельні послуги")</f>
        <v>інженерно-будівельні послуги</v>
      </c>
      <c r="C1028" s="15" t="str">
        <f>IFERROR(__xludf.DUMMYFUNCTION("""COMPUTED_VALUE"""),"послуги теплоізоляції, звукоізоляції, гідроізоляції")</f>
        <v>послуги теплоізоляції, звукоізоляції, гідроізоляції</v>
      </c>
      <c r="D1028" s="15" t="str">
        <f>IFERROR(__xludf.DUMMYFUNCTION("""COMPUTED_VALUE"""),"послуги теплоізоляції, звукоізоляції, гідроізоляції")</f>
        <v>послуги теплоізоляції, звукоізоляції, гідроізоляції</v>
      </c>
      <c r="E1028" s="15" t="str">
        <f>IFERROR(__xludf.DUMMYFUNCTION("""COMPUTED_VALUE"""),"послуги теплоізоляції, звукоізоляції, гідроізоляції")</f>
        <v>послуги теплоізоляції, звукоізоляції, гідроізоляції</v>
      </c>
      <c r="F1028" s="17">
        <f>IFERROR(__xludf.DUMMYFUNCTION("""COMPUTED_VALUE"""),2.0)</f>
        <v>2</v>
      </c>
      <c r="G1028" s="17">
        <f>IFERROR(__xludf.DUMMYFUNCTION("""COMPUTED_VALUE"""),284266.0)</f>
        <v>284266</v>
      </c>
      <c r="H1028" s="17" t="str">
        <f>IFERROR(__xludf.DUMMYFUNCTION("""COMPUTED_VALUE"""),"послуги теплоізоляції, звукоізоляції, гідроізоляції")</f>
        <v>послуги теплоізоляції, звукоізоляції, гідроізоляції</v>
      </c>
      <c r="I1028" s="18">
        <f>IFERROR(__xludf.DUMMYFUNCTION("""COMPUTED_VALUE"""),2.7)</f>
        <v>2.7</v>
      </c>
      <c r="J1028" s="18">
        <f>IFERROR(__xludf.DUMMYFUNCTION("""COMPUTED_VALUE"""),5.4)</f>
        <v>5.4</v>
      </c>
      <c r="K1028" s="18">
        <f>IFERROR(__xludf.DUMMYFUNCTION("""COMPUTED_VALUE"""),6.75)</f>
        <v>6.75</v>
      </c>
      <c r="L1028" s="18">
        <f>IFERROR(__xludf.DUMMYFUNCTION("""COMPUTED_VALUE"""),10.8)</f>
        <v>10.8</v>
      </c>
    </row>
    <row r="1029">
      <c r="A1029" s="13" t="str">
        <f>IFERROR(__xludf.DUMMYFUNCTION("""COMPUTED_VALUE"""),"послуги")</f>
        <v>послуги</v>
      </c>
      <c r="B1029" s="13" t="str">
        <f>IFERROR(__xludf.DUMMYFUNCTION("""COMPUTED_VALUE"""),"інженерно-будівельні послуги")</f>
        <v>інженерно-будівельні послуги</v>
      </c>
      <c r="C1029" s="15" t="str">
        <f>IFERROR(__xludf.DUMMYFUNCTION("""COMPUTED_VALUE"""),"проектні послуги")</f>
        <v>проектні послуги</v>
      </c>
      <c r="D1029" s="15" t="str">
        <f>IFERROR(__xludf.DUMMYFUNCTION("""COMPUTED_VALUE"""),"проектування будинків, житлових та громадських будівель")</f>
        <v>проектування будинків, житлових та громадських будівель</v>
      </c>
      <c r="E1029" s="15" t="str">
        <f>IFERROR(__xludf.DUMMYFUNCTION("""COMPUTED_VALUE"""),"проектування будинків, житлових та громадських будівель")</f>
        <v>проектування будинків, житлових та громадських будівель</v>
      </c>
      <c r="F1029" s="17">
        <f>IFERROR(__xludf.DUMMYFUNCTION("""COMPUTED_VALUE"""),3.0)</f>
        <v>3</v>
      </c>
      <c r="G1029" s="17">
        <f>IFERROR(__xludf.DUMMYFUNCTION("""COMPUTED_VALUE"""),2.8410404E7)</f>
        <v>28410404</v>
      </c>
      <c r="H1029" s="17" t="str">
        <f>IFERROR(__xludf.DUMMYFUNCTION("""COMPUTED_VALUE"""),"проектування будинків, житлових та громадських будівель")</f>
        <v>проектування будинків, житлових та громадських будівель</v>
      </c>
      <c r="I1029" s="18">
        <f>IFERROR(__xludf.DUMMYFUNCTION("""COMPUTED_VALUE"""),1.17)</f>
        <v>1.17</v>
      </c>
      <c r="J1029" s="18">
        <f>IFERROR(__xludf.DUMMYFUNCTION("""COMPUTED_VALUE"""),2.34)</f>
        <v>2.34</v>
      </c>
      <c r="K1029" s="18">
        <f>IFERROR(__xludf.DUMMYFUNCTION("""COMPUTED_VALUE"""),2.92)</f>
        <v>2.92</v>
      </c>
      <c r="L1029" s="18">
        <f>IFERROR(__xludf.DUMMYFUNCTION("""COMPUTED_VALUE"""),4.68)</f>
        <v>4.68</v>
      </c>
    </row>
    <row r="1030">
      <c r="A1030" s="13" t="str">
        <f>IFERROR(__xludf.DUMMYFUNCTION("""COMPUTED_VALUE"""),"послуги")</f>
        <v>послуги</v>
      </c>
      <c r="B1030" s="13" t="str">
        <f>IFERROR(__xludf.DUMMYFUNCTION("""COMPUTED_VALUE"""),"інженерно-будівельні послуги")</f>
        <v>інженерно-будівельні послуги</v>
      </c>
      <c r="C1030" s="15" t="str">
        <f>IFERROR(__xludf.DUMMYFUNCTION("""COMPUTED_VALUE"""),"проектні послуги")</f>
        <v>проектні послуги</v>
      </c>
      <c r="D1030" s="15" t="str">
        <f>IFERROR(__xludf.DUMMYFUNCTION("""COMPUTED_VALUE"""),"проектування об'єктів електроенергетики, ліній електропередач та електромереж")</f>
        <v>проектування об'єктів електроенергетики, ліній електропередач та електромереж</v>
      </c>
      <c r="E1030" s="15" t="str">
        <f>IFERROR(__xludf.DUMMYFUNCTION("""COMPUTED_VALUE"""),"проектування об'єктів електроенергетики, ліній електропередач та електромереж")</f>
        <v>проектування об'єктів електроенергетики, ліній електропередач та електромереж</v>
      </c>
      <c r="F1030" s="17">
        <f>IFERROR(__xludf.DUMMYFUNCTION("""COMPUTED_VALUE"""),3.0)</f>
        <v>3</v>
      </c>
      <c r="G1030" s="17">
        <f>IFERROR(__xludf.DUMMYFUNCTION("""COMPUTED_VALUE"""),284194.0)</f>
        <v>284194</v>
      </c>
      <c r="H1030" s="17" t="str">
        <f>IFERROR(__xludf.DUMMYFUNCTION("""COMPUTED_VALUE"""),"проектування об'єктів електроенергетики, ліній електропередач та електромереж")</f>
        <v>проектування об'єктів електроенергетики, ліній електропередач та електромереж</v>
      </c>
      <c r="I1030" s="18">
        <f>IFERROR(__xludf.DUMMYFUNCTION("""COMPUTED_VALUE"""),2.21)</f>
        <v>2.21</v>
      </c>
      <c r="J1030" s="18">
        <f>IFERROR(__xludf.DUMMYFUNCTION("""COMPUTED_VALUE"""),4.41)</f>
        <v>4.41</v>
      </c>
      <c r="K1030" s="18">
        <f>IFERROR(__xludf.DUMMYFUNCTION("""COMPUTED_VALUE"""),5.52)</f>
        <v>5.52</v>
      </c>
      <c r="L1030" s="18">
        <f>IFERROR(__xludf.DUMMYFUNCTION("""COMPUTED_VALUE"""),8.83)</f>
        <v>8.83</v>
      </c>
    </row>
    <row r="1031">
      <c r="A1031" s="13" t="str">
        <f>IFERROR(__xludf.DUMMYFUNCTION("""COMPUTED_VALUE"""),"послуги")</f>
        <v>послуги</v>
      </c>
      <c r="B1031" s="13" t="str">
        <f>IFERROR(__xludf.DUMMYFUNCTION("""COMPUTED_VALUE"""),"інженерно-будівельні послуги")</f>
        <v>інженерно-будівельні послуги</v>
      </c>
      <c r="C1031" s="15" t="str">
        <f>IFERROR(__xludf.DUMMYFUNCTION("""COMPUTED_VALUE"""),"проектні послуги")</f>
        <v>проектні послуги</v>
      </c>
      <c r="D1031" s="15" t="str">
        <f>IFERROR(__xludf.DUMMYFUNCTION("""COMPUTED_VALUE"""),"проектування об'єктів і обладнання альтернативної енергетики")</f>
        <v>проектування об'єктів і обладнання альтернативної енергетики</v>
      </c>
      <c r="E1031" s="15" t="str">
        <f>IFERROR(__xludf.DUMMYFUNCTION("""COMPUTED_VALUE"""),"проектування об'єктів і обладнання альтернативної енергетики")</f>
        <v>проектування об'єктів і обладнання альтернативної енергетики</v>
      </c>
      <c r="F1031" s="17">
        <f>IFERROR(__xludf.DUMMYFUNCTION("""COMPUTED_VALUE"""),3.0)</f>
        <v>3</v>
      </c>
      <c r="G1031" s="17">
        <f>IFERROR(__xludf.DUMMYFUNCTION("""COMPUTED_VALUE"""),284289.0)</f>
        <v>284289</v>
      </c>
      <c r="H1031" s="17" t="str">
        <f>IFERROR(__xludf.DUMMYFUNCTION("""COMPUTED_VALUE"""),"проектування об'єктів і обладнання альтернативної енергетики")</f>
        <v>проектування об'єктів і обладнання альтернативної енергетики</v>
      </c>
      <c r="I1031" s="18">
        <f>IFERROR(__xludf.DUMMYFUNCTION("""COMPUTED_VALUE"""),0.9)</f>
        <v>0.9</v>
      </c>
      <c r="J1031" s="18">
        <f>IFERROR(__xludf.DUMMYFUNCTION("""COMPUTED_VALUE"""),1.8)</f>
        <v>1.8</v>
      </c>
      <c r="K1031" s="18">
        <f>IFERROR(__xludf.DUMMYFUNCTION("""COMPUTED_VALUE"""),2.25)</f>
        <v>2.25</v>
      </c>
      <c r="L1031" s="18">
        <f>IFERROR(__xludf.DUMMYFUNCTION("""COMPUTED_VALUE"""),3.6)</f>
        <v>3.6</v>
      </c>
    </row>
    <row r="1032">
      <c r="A1032" s="13" t="str">
        <f>IFERROR(__xludf.DUMMYFUNCTION("""COMPUTED_VALUE"""),"послуги")</f>
        <v>послуги</v>
      </c>
      <c r="B1032" s="13" t="str">
        <f>IFERROR(__xludf.DUMMYFUNCTION("""COMPUTED_VALUE"""),"інженерно-будівельні послуги")</f>
        <v>інженерно-будівельні послуги</v>
      </c>
      <c r="C1032" s="15" t="str">
        <f>IFERROR(__xludf.DUMMYFUNCTION("""COMPUTED_VALUE"""),"будівельно-ремонтні послуги")</f>
        <v>будівельно-ремонтні послуги</v>
      </c>
      <c r="D1032" s="15" t="str">
        <f>IFERROR(__xludf.DUMMYFUNCTION("""COMPUTED_VALUE"""),"фундаментні роботи")</f>
        <v>фундаментні роботи</v>
      </c>
      <c r="E1032" s="15" t="str">
        <f>IFERROR(__xludf.DUMMYFUNCTION("""COMPUTED_VALUE"""),"фундаментні роботи")</f>
        <v>фундаментні роботи</v>
      </c>
      <c r="F1032" s="17">
        <f>IFERROR(__xludf.DUMMYFUNCTION("""COMPUTED_VALUE"""),3.0)</f>
        <v>3</v>
      </c>
      <c r="G1032" s="17">
        <f>IFERROR(__xludf.DUMMYFUNCTION("""COMPUTED_VALUE"""),284235.0)</f>
        <v>284235</v>
      </c>
      <c r="H1032" s="17" t="str">
        <f>IFERROR(__xludf.DUMMYFUNCTION("""COMPUTED_VALUE"""),"фундаментні роботи")</f>
        <v>фундаментні роботи</v>
      </c>
      <c r="I1032" s="18">
        <f>IFERROR(__xludf.DUMMYFUNCTION("""COMPUTED_VALUE"""),1.89)</f>
        <v>1.89</v>
      </c>
      <c r="J1032" s="18">
        <f>IFERROR(__xludf.DUMMYFUNCTION("""COMPUTED_VALUE"""),3.78)</f>
        <v>3.78</v>
      </c>
      <c r="K1032" s="18">
        <f>IFERROR(__xludf.DUMMYFUNCTION("""COMPUTED_VALUE"""),4.72)</f>
        <v>4.72</v>
      </c>
      <c r="L1032" s="18">
        <f>IFERROR(__xludf.DUMMYFUNCTION("""COMPUTED_VALUE"""),7.55)</f>
        <v>7.55</v>
      </c>
    </row>
    <row r="1033">
      <c r="A1033" s="13" t="str">
        <f>IFERROR(__xludf.DUMMYFUNCTION("""COMPUTED_VALUE"""),"товари")</f>
        <v>товари</v>
      </c>
      <c r="B1033" s="13" t="str">
        <f>IFERROR(__xludf.DUMMYFUNCTION("""COMPUTED_VALUE"""),"інструменти")</f>
        <v>інструменти</v>
      </c>
      <c r="C1033" s="15" t="str">
        <f>IFERROR(__xludf.DUMMYFUNCTION("""COMPUTED_VALUE"""),"будівельний інструмент")</f>
        <v>будівельний інструмент</v>
      </c>
      <c r="D1033" s="15" t="str">
        <f>IFERROR(__xludf.DUMMYFUNCTION("""COMPUTED_VALUE"""),"будівельний бензоінструмент")</f>
        <v>будівельний бензоінструмент</v>
      </c>
      <c r="E1033" s="15" t="str">
        <f>IFERROR(__xludf.DUMMYFUNCTION("""COMPUTED_VALUE"""),"бензинові відбійні молотки")</f>
        <v>бензинові відбійні молотки</v>
      </c>
      <c r="F1033" s="17">
        <f>IFERROR(__xludf.DUMMYFUNCTION("""COMPUTED_VALUE"""),4.0)</f>
        <v>4</v>
      </c>
      <c r="G1033" s="17">
        <f>IFERROR(__xludf.DUMMYFUNCTION("""COMPUTED_VALUE"""),1.4200801E7)</f>
        <v>14200801</v>
      </c>
      <c r="H1033" s="17" t="str">
        <f>IFERROR(__xludf.DUMMYFUNCTION("""COMPUTED_VALUE"""),"бензинові відбійні молотки")</f>
        <v>бензинові відбійні молотки</v>
      </c>
      <c r="I1033" s="18">
        <f>IFERROR(__xludf.DUMMYFUNCTION("""COMPUTED_VALUE"""),2.18)</f>
        <v>2.18</v>
      </c>
      <c r="J1033" s="18">
        <f>IFERROR(__xludf.DUMMYFUNCTION("""COMPUTED_VALUE"""),4.35)</f>
        <v>4.35</v>
      </c>
      <c r="K1033" s="18">
        <f>IFERROR(__xludf.DUMMYFUNCTION("""COMPUTED_VALUE"""),5.44)</f>
        <v>5.44</v>
      </c>
      <c r="L1033" s="18">
        <f>IFERROR(__xludf.DUMMYFUNCTION("""COMPUTED_VALUE"""),8.7)</f>
        <v>8.7</v>
      </c>
    </row>
    <row r="1034">
      <c r="A1034" s="13" t="str">
        <f>IFERROR(__xludf.DUMMYFUNCTION("""COMPUTED_VALUE"""),"товари")</f>
        <v>товари</v>
      </c>
      <c r="B1034" s="13" t="str">
        <f>IFERROR(__xludf.DUMMYFUNCTION("""COMPUTED_VALUE"""),"інструменти")</f>
        <v>інструменти</v>
      </c>
      <c r="C1034" s="15" t="str">
        <f>IFERROR(__xludf.DUMMYFUNCTION("""COMPUTED_VALUE"""),"будівельний інструмент")</f>
        <v>будівельний інструмент</v>
      </c>
      <c r="D1034" s="15" t="str">
        <f>IFERROR(__xludf.DUMMYFUNCTION("""COMPUTED_VALUE"""),"будівельний бензоінструмент")</f>
        <v>будівельний бензоінструмент</v>
      </c>
      <c r="E1034" s="15" t="str">
        <f>IFERROR(__xludf.DUMMYFUNCTION("""COMPUTED_VALUE"""),"бензобури")</f>
        <v>бензобури</v>
      </c>
      <c r="F1034" s="17">
        <f>IFERROR(__xludf.DUMMYFUNCTION("""COMPUTED_VALUE"""),4.0)</f>
        <v>4</v>
      </c>
      <c r="G1034" s="17">
        <f>IFERROR(__xludf.DUMMYFUNCTION("""COMPUTED_VALUE"""),1.4201624E7)</f>
        <v>14201624</v>
      </c>
      <c r="H1034" s="17" t="str">
        <f>IFERROR(__xludf.DUMMYFUNCTION("""COMPUTED_VALUE"""),"бензобури")</f>
        <v>бензобури</v>
      </c>
      <c r="I1034" s="18">
        <f>IFERROR(__xludf.DUMMYFUNCTION("""COMPUTED_VALUE"""),2.18)</f>
        <v>2.18</v>
      </c>
      <c r="J1034" s="18">
        <f>IFERROR(__xludf.DUMMYFUNCTION("""COMPUTED_VALUE"""),4.35)</f>
        <v>4.35</v>
      </c>
      <c r="K1034" s="18">
        <f>IFERROR(__xludf.DUMMYFUNCTION("""COMPUTED_VALUE"""),5.44)</f>
        <v>5.44</v>
      </c>
      <c r="L1034" s="18">
        <f>IFERROR(__xludf.DUMMYFUNCTION("""COMPUTED_VALUE"""),8.7)</f>
        <v>8.7</v>
      </c>
    </row>
    <row r="1035">
      <c r="A1035" s="13" t="str">
        <f>IFERROR(__xludf.DUMMYFUNCTION("""COMPUTED_VALUE"""),"товари")</f>
        <v>товари</v>
      </c>
      <c r="B1035" s="13" t="str">
        <f>IFERROR(__xludf.DUMMYFUNCTION("""COMPUTED_VALUE"""),"інструменти")</f>
        <v>інструменти</v>
      </c>
      <c r="C1035" s="15" t="str">
        <f>IFERROR(__xludf.DUMMYFUNCTION("""COMPUTED_VALUE"""),"будівельний інструмент")</f>
        <v>будівельний інструмент</v>
      </c>
      <c r="D1035" s="15" t="str">
        <f>IFERROR(__xludf.DUMMYFUNCTION("""COMPUTED_VALUE"""),"будівельний бензоінструмент")</f>
        <v>будівельний бензоінструмент</v>
      </c>
      <c r="E1035" s="15" t="str">
        <f>IFERROR(__xludf.DUMMYFUNCTION("""COMPUTED_VALUE"""),"бензоінструмент будівельний, загальне")</f>
        <v>бензоінструмент будівельний, загальне</v>
      </c>
      <c r="F1035" s="17">
        <f>IFERROR(__xludf.DUMMYFUNCTION("""COMPUTED_VALUE"""),4.0)</f>
        <v>4</v>
      </c>
      <c r="G1035" s="17">
        <f>IFERROR(__xludf.DUMMYFUNCTION("""COMPUTED_VALUE"""),1.4200802E7)</f>
        <v>14200802</v>
      </c>
      <c r="H1035" s="17" t="str">
        <f>IFERROR(__xludf.DUMMYFUNCTION("""COMPUTED_VALUE"""),"бензоінструмент будівельний, загальне")</f>
        <v>бензоінструмент будівельний, загальне</v>
      </c>
      <c r="I1035" s="18">
        <f>IFERROR(__xludf.DUMMYFUNCTION("""COMPUTED_VALUE"""),2.16)</f>
        <v>2.16</v>
      </c>
      <c r="J1035" s="18">
        <f>IFERROR(__xludf.DUMMYFUNCTION("""COMPUTED_VALUE"""),4.33)</f>
        <v>4.33</v>
      </c>
      <c r="K1035" s="18">
        <f>IFERROR(__xludf.DUMMYFUNCTION("""COMPUTED_VALUE"""),5.41)</f>
        <v>5.41</v>
      </c>
      <c r="L1035" s="18">
        <f>IFERROR(__xludf.DUMMYFUNCTION("""COMPUTED_VALUE"""),8.65)</f>
        <v>8.65</v>
      </c>
    </row>
    <row r="1036">
      <c r="A1036" s="13" t="str">
        <f>IFERROR(__xludf.DUMMYFUNCTION("""COMPUTED_VALUE"""),"товари")</f>
        <v>товари</v>
      </c>
      <c r="B1036" s="13" t="str">
        <f>IFERROR(__xludf.DUMMYFUNCTION("""COMPUTED_VALUE"""),"інструменти")</f>
        <v>інструменти</v>
      </c>
      <c r="C1036" s="15" t="str">
        <f>IFERROR(__xludf.DUMMYFUNCTION("""COMPUTED_VALUE"""),"гідравлічний інструмент")</f>
        <v>гідравлічний інструмент</v>
      </c>
      <c r="D1036" s="15" t="str">
        <f>IFERROR(__xludf.DUMMYFUNCTION("""COMPUTED_VALUE"""),"гідравлічний трубогнучкий інструмент")</f>
        <v>гідравлічний трубогнучкий інструмент</v>
      </c>
      <c r="E1036" s="15" t="str">
        <f>IFERROR(__xludf.DUMMYFUNCTION("""COMPUTED_VALUE"""),"гідравлічний трубогнучкий інструмент")</f>
        <v>гідравлічний трубогнучкий інструмент</v>
      </c>
      <c r="F1036" s="17">
        <f>IFERROR(__xludf.DUMMYFUNCTION("""COMPUTED_VALUE"""),3.0)</f>
        <v>3</v>
      </c>
      <c r="G1036" s="17">
        <f>IFERROR(__xludf.DUMMYFUNCTION("""COMPUTED_VALUE"""),1.4200905E7)</f>
        <v>14200905</v>
      </c>
      <c r="H1036" s="17" t="str">
        <f>IFERROR(__xludf.DUMMYFUNCTION("""COMPUTED_VALUE"""),"гідравлічний трубогнучкий інструмент")</f>
        <v>гідравлічний трубогнучкий інструмент</v>
      </c>
      <c r="I1036" s="18">
        <f>IFERROR(__xludf.DUMMYFUNCTION("""COMPUTED_VALUE"""),2.7)</f>
        <v>2.7</v>
      </c>
      <c r="J1036" s="18">
        <f>IFERROR(__xludf.DUMMYFUNCTION("""COMPUTED_VALUE"""),5.4)</f>
        <v>5.4</v>
      </c>
      <c r="K1036" s="18">
        <f>IFERROR(__xludf.DUMMYFUNCTION("""COMPUTED_VALUE"""),6.75)</f>
        <v>6.75</v>
      </c>
      <c r="L1036" s="18">
        <f>IFERROR(__xludf.DUMMYFUNCTION("""COMPUTED_VALUE"""),10.8)</f>
        <v>10.8</v>
      </c>
    </row>
    <row r="1037">
      <c r="A1037" s="13" t="str">
        <f>IFERROR(__xludf.DUMMYFUNCTION("""COMPUTED_VALUE"""),"товари")</f>
        <v>товари</v>
      </c>
      <c r="B1037" s="13" t="str">
        <f>IFERROR(__xludf.DUMMYFUNCTION("""COMPUTED_VALUE"""),"інструменти")</f>
        <v>інструменти</v>
      </c>
      <c r="C1037" s="15" t="str">
        <f>IFERROR(__xludf.DUMMYFUNCTION("""COMPUTED_VALUE"""),"гідравлічний інструмент")</f>
        <v>гідравлічний інструмент</v>
      </c>
      <c r="D1037" s="15" t="str">
        <f>IFERROR(__xludf.DUMMYFUNCTION("""COMPUTED_VALUE"""),"гідравлічні відбійні молотки")</f>
        <v>гідравлічні відбійні молотки</v>
      </c>
      <c r="E1037" s="15" t="str">
        <f>IFERROR(__xludf.DUMMYFUNCTION("""COMPUTED_VALUE"""),"гідравлічні відбійні молотки")</f>
        <v>гідравлічні відбійні молотки</v>
      </c>
      <c r="F1037" s="17">
        <f>IFERROR(__xludf.DUMMYFUNCTION("""COMPUTED_VALUE"""),3.0)</f>
        <v>3</v>
      </c>
      <c r="G1037" s="17">
        <f>IFERROR(__xludf.DUMMYFUNCTION("""COMPUTED_VALUE"""),1.4200901E7)</f>
        <v>14200901</v>
      </c>
      <c r="H1037" s="17" t="str">
        <f>IFERROR(__xludf.DUMMYFUNCTION("""COMPUTED_VALUE"""),"гідравлічні відбійні молотки")</f>
        <v>гідравлічні відбійні молотки</v>
      </c>
      <c r="I1037" s="18">
        <f>IFERROR(__xludf.DUMMYFUNCTION("""COMPUTED_VALUE"""),0.81)</f>
        <v>0.81</v>
      </c>
      <c r="J1037" s="18">
        <f>IFERROR(__xludf.DUMMYFUNCTION("""COMPUTED_VALUE"""),1.63)</f>
        <v>1.63</v>
      </c>
      <c r="K1037" s="18">
        <f>IFERROR(__xludf.DUMMYFUNCTION("""COMPUTED_VALUE"""),2.03)</f>
        <v>2.03</v>
      </c>
      <c r="L1037" s="18">
        <f>IFERROR(__xludf.DUMMYFUNCTION("""COMPUTED_VALUE"""),3.25)</f>
        <v>3.25</v>
      </c>
    </row>
    <row r="1038">
      <c r="A1038" s="13" t="str">
        <f>IFERROR(__xludf.DUMMYFUNCTION("""COMPUTED_VALUE"""),"товари")</f>
        <v>товари</v>
      </c>
      <c r="B1038" s="13" t="str">
        <f>IFERROR(__xludf.DUMMYFUNCTION("""COMPUTED_VALUE"""),"інструменти")</f>
        <v>інструменти</v>
      </c>
      <c r="C1038" s="15" t="str">
        <f>IFERROR(__xludf.DUMMYFUNCTION("""COMPUTED_VALUE"""),"гідравлічний інструмент")</f>
        <v>гідравлічний інструмент</v>
      </c>
      <c r="D1038" s="15" t="str">
        <f>IFERROR(__xludf.DUMMYFUNCTION("""COMPUTED_VALUE"""),"гідравлічні гайкокрути")</f>
        <v>гідравлічні гайкокрути</v>
      </c>
      <c r="E1038" s="15" t="str">
        <f>IFERROR(__xludf.DUMMYFUNCTION("""COMPUTED_VALUE"""),"гідравлічні гайкокрути")</f>
        <v>гідравлічні гайкокрути</v>
      </c>
      <c r="F1038" s="17">
        <f>IFERROR(__xludf.DUMMYFUNCTION("""COMPUTED_VALUE"""),3.0)</f>
        <v>3</v>
      </c>
      <c r="G1038" s="17">
        <f>IFERROR(__xludf.DUMMYFUNCTION("""COMPUTED_VALUE"""),1.420091E7)</f>
        <v>14200910</v>
      </c>
      <c r="H1038" s="17" t="str">
        <f>IFERROR(__xludf.DUMMYFUNCTION("""COMPUTED_VALUE"""),"гідравлічні гайкокрути")</f>
        <v>гідравлічні гайкокрути</v>
      </c>
      <c r="I1038" s="18">
        <f>IFERROR(__xludf.DUMMYFUNCTION("""COMPUTED_VALUE"""),0.53)</f>
        <v>0.53</v>
      </c>
      <c r="J1038" s="18">
        <f>IFERROR(__xludf.DUMMYFUNCTION("""COMPUTED_VALUE"""),1.05)</f>
        <v>1.05</v>
      </c>
      <c r="K1038" s="18">
        <f>IFERROR(__xludf.DUMMYFUNCTION("""COMPUTED_VALUE"""),1.31)</f>
        <v>1.31</v>
      </c>
      <c r="L1038" s="18">
        <f>IFERROR(__xludf.DUMMYFUNCTION("""COMPUTED_VALUE"""),2.1)</f>
        <v>2.1</v>
      </c>
    </row>
    <row r="1039">
      <c r="A1039" s="13" t="str">
        <f>IFERROR(__xludf.DUMMYFUNCTION("""COMPUTED_VALUE"""),"товари")</f>
        <v>товари</v>
      </c>
      <c r="B1039" s="13" t="str">
        <f>IFERROR(__xludf.DUMMYFUNCTION("""COMPUTED_VALUE"""),"інструменти")</f>
        <v>інструменти</v>
      </c>
      <c r="C1039" s="15" t="str">
        <f>IFERROR(__xludf.DUMMYFUNCTION("""COMPUTED_VALUE"""),"гідравлічний інструмент")</f>
        <v>гідравлічний інструмент</v>
      </c>
      <c r="D1039" s="15" t="str">
        <f>IFERROR(__xludf.DUMMYFUNCTION("""COMPUTED_VALUE"""),"гідравлічні ланцюгові пили")</f>
        <v>гідравлічні ланцюгові пили</v>
      </c>
      <c r="E1039" s="15" t="str">
        <f>IFERROR(__xludf.DUMMYFUNCTION("""COMPUTED_VALUE"""),"гідравлічні ланцюгові пили")</f>
        <v>гідравлічні ланцюгові пили</v>
      </c>
      <c r="F1039" s="17">
        <f>IFERROR(__xludf.DUMMYFUNCTION("""COMPUTED_VALUE"""),3.0)</f>
        <v>3</v>
      </c>
      <c r="G1039" s="17">
        <f>IFERROR(__xludf.DUMMYFUNCTION("""COMPUTED_VALUE"""),1.4200914E7)</f>
        <v>14200914</v>
      </c>
      <c r="H1039" s="17" t="str">
        <f>IFERROR(__xludf.DUMMYFUNCTION("""COMPUTED_VALUE"""),"гідравлічні ланцюгові пили")</f>
        <v>гідравлічні ланцюгові пили</v>
      </c>
      <c r="I1039" s="18">
        <f>IFERROR(__xludf.DUMMYFUNCTION("""COMPUTED_VALUE"""),1.04)</f>
        <v>1.04</v>
      </c>
      <c r="J1039" s="18">
        <f>IFERROR(__xludf.DUMMYFUNCTION("""COMPUTED_VALUE"""),2.08)</f>
        <v>2.08</v>
      </c>
      <c r="K1039" s="18">
        <f>IFERROR(__xludf.DUMMYFUNCTION("""COMPUTED_VALUE"""),2.59)</f>
        <v>2.59</v>
      </c>
      <c r="L1039" s="18">
        <f>IFERROR(__xludf.DUMMYFUNCTION("""COMPUTED_VALUE"""),4.15)</f>
        <v>4.15</v>
      </c>
    </row>
    <row r="1040">
      <c r="A1040" s="13" t="str">
        <f>IFERROR(__xludf.DUMMYFUNCTION("""COMPUTED_VALUE"""),"товари")</f>
        <v>товари</v>
      </c>
      <c r="B1040" s="13" t="str">
        <f>IFERROR(__xludf.DUMMYFUNCTION("""COMPUTED_VALUE"""),"інструменти")</f>
        <v>інструменти</v>
      </c>
      <c r="C1040" s="15" t="str">
        <f>IFERROR(__xludf.DUMMYFUNCTION("""COMPUTED_VALUE"""),"гідравлічний інструмент")</f>
        <v>гідравлічний інструмент</v>
      </c>
      <c r="D1040" s="15" t="str">
        <f>IFERROR(__xludf.DUMMYFUNCTION("""COMPUTED_VALUE"""),"гідравлічні маслостанції")</f>
        <v>гідравлічні маслостанції</v>
      </c>
      <c r="E1040" s="15" t="str">
        <f>IFERROR(__xludf.DUMMYFUNCTION("""COMPUTED_VALUE"""),"гідравлічні маслостанції")</f>
        <v>гідравлічні маслостанції</v>
      </c>
      <c r="F1040" s="17">
        <f>IFERROR(__xludf.DUMMYFUNCTION("""COMPUTED_VALUE"""),3.0)</f>
        <v>3</v>
      </c>
      <c r="G1040" s="17">
        <f>IFERROR(__xludf.DUMMYFUNCTION("""COMPUTED_VALUE"""),1.4200913E7)</f>
        <v>14200913</v>
      </c>
      <c r="H1040" s="17" t="str">
        <f>IFERROR(__xludf.DUMMYFUNCTION("""COMPUTED_VALUE"""),"гідравлічні маслостанції")</f>
        <v>гідравлічні маслостанції</v>
      </c>
      <c r="I1040" s="18">
        <f>IFERROR(__xludf.DUMMYFUNCTION("""COMPUTED_VALUE"""),2.03)</f>
        <v>2.03</v>
      </c>
      <c r="J1040" s="18">
        <f>IFERROR(__xludf.DUMMYFUNCTION("""COMPUTED_VALUE"""),4.05)</f>
        <v>4.05</v>
      </c>
      <c r="K1040" s="18">
        <f>IFERROR(__xludf.DUMMYFUNCTION("""COMPUTED_VALUE"""),5.06)</f>
        <v>5.06</v>
      </c>
      <c r="L1040" s="18">
        <f>IFERROR(__xludf.DUMMYFUNCTION("""COMPUTED_VALUE"""),8.1)</f>
        <v>8.1</v>
      </c>
    </row>
    <row r="1041">
      <c r="A1041" s="13" t="str">
        <f>IFERROR(__xludf.DUMMYFUNCTION("""COMPUTED_VALUE"""),"товари")</f>
        <v>товари</v>
      </c>
      <c r="B1041" s="13" t="str">
        <f>IFERROR(__xludf.DUMMYFUNCTION("""COMPUTED_VALUE"""),"інструменти")</f>
        <v>інструменти</v>
      </c>
      <c r="C1041" s="15" t="str">
        <f>IFERROR(__xludf.DUMMYFUNCTION("""COMPUTED_VALUE"""),"гідравлічний інструмент")</f>
        <v>гідравлічний інструмент</v>
      </c>
      <c r="D1041" s="15" t="str">
        <f>IFERROR(__xludf.DUMMYFUNCTION("""COMPUTED_VALUE"""),"гідравлічні ножиці, кусачки, арматурорез")</f>
        <v>гідравлічні ножиці, кусачки, арматурорез</v>
      </c>
      <c r="E1041" s="15" t="str">
        <f>IFERROR(__xludf.DUMMYFUNCTION("""COMPUTED_VALUE"""),"гідравлічні ножиці, кусачки, арматурорез")</f>
        <v>гідравлічні ножиці, кусачки, арматурорез</v>
      </c>
      <c r="F1041" s="17">
        <f>IFERROR(__xludf.DUMMYFUNCTION("""COMPUTED_VALUE"""),3.0)</f>
        <v>3</v>
      </c>
      <c r="G1041" s="17">
        <f>IFERROR(__xludf.DUMMYFUNCTION("""COMPUTED_VALUE"""),1.4200911E7)</f>
        <v>14200911</v>
      </c>
      <c r="H1041" s="17" t="str">
        <f>IFERROR(__xludf.DUMMYFUNCTION("""COMPUTED_VALUE"""),"гідравлічні ножиці, кусачки, арматурорез")</f>
        <v>гідравлічні ножиці, кусачки, арматурорез</v>
      </c>
      <c r="I1041" s="18">
        <f>IFERROR(__xludf.DUMMYFUNCTION("""COMPUTED_VALUE"""),2.7)</f>
        <v>2.7</v>
      </c>
      <c r="J1041" s="18">
        <f>IFERROR(__xludf.DUMMYFUNCTION("""COMPUTED_VALUE"""),5.4)</f>
        <v>5.4</v>
      </c>
      <c r="K1041" s="18">
        <f>IFERROR(__xludf.DUMMYFUNCTION("""COMPUTED_VALUE"""),6.75)</f>
        <v>6.75</v>
      </c>
      <c r="L1041" s="18">
        <f>IFERROR(__xludf.DUMMYFUNCTION("""COMPUTED_VALUE"""),10.8)</f>
        <v>10.8</v>
      </c>
    </row>
    <row r="1042">
      <c r="A1042" s="13" t="str">
        <f>IFERROR(__xludf.DUMMYFUNCTION("""COMPUTED_VALUE"""),"товари")</f>
        <v>товари</v>
      </c>
      <c r="B1042" s="13" t="str">
        <f>IFERROR(__xludf.DUMMYFUNCTION("""COMPUTED_VALUE"""),"інструменти")</f>
        <v>інструменти</v>
      </c>
      <c r="C1042" s="15" t="str">
        <f>IFERROR(__xludf.DUMMYFUNCTION("""COMPUTED_VALUE"""),"електроінструмент")</f>
        <v>електроінструмент</v>
      </c>
      <c r="D1042" s="15" t="str">
        <f>IFERROR(__xludf.DUMMYFUNCTION("""COMPUTED_VALUE"""),"електричні ручні трубогиби")</f>
        <v>електричні ручні трубогиби</v>
      </c>
      <c r="E1042" s="15" t="str">
        <f>IFERROR(__xludf.DUMMYFUNCTION("""COMPUTED_VALUE"""),"електричні ручні трубогиби")</f>
        <v>електричні ручні трубогиби</v>
      </c>
      <c r="F1042" s="17">
        <f>IFERROR(__xludf.DUMMYFUNCTION("""COMPUTED_VALUE"""),3.0)</f>
        <v>3</v>
      </c>
      <c r="G1042" s="17">
        <f>IFERROR(__xludf.DUMMYFUNCTION("""COMPUTED_VALUE"""),141732.0)</f>
        <v>141732</v>
      </c>
      <c r="H1042" s="17" t="str">
        <f>IFERROR(__xludf.DUMMYFUNCTION("""COMPUTED_VALUE"""),"електричні ручні трубогиби")</f>
        <v>електричні ручні трубогиби</v>
      </c>
      <c r="I1042" s="18">
        <f>IFERROR(__xludf.DUMMYFUNCTION("""COMPUTED_VALUE"""),2.16)</f>
        <v>2.16</v>
      </c>
      <c r="J1042" s="18">
        <f>IFERROR(__xludf.DUMMYFUNCTION("""COMPUTED_VALUE"""),4.33)</f>
        <v>4.33</v>
      </c>
      <c r="K1042" s="18">
        <f>IFERROR(__xludf.DUMMYFUNCTION("""COMPUTED_VALUE"""),5.41)</f>
        <v>5.41</v>
      </c>
      <c r="L1042" s="18">
        <f>IFERROR(__xludf.DUMMYFUNCTION("""COMPUTED_VALUE"""),8.65)</f>
        <v>8.65</v>
      </c>
    </row>
    <row r="1043">
      <c r="A1043" s="13" t="str">
        <f>IFERROR(__xludf.DUMMYFUNCTION("""COMPUTED_VALUE"""),"товари")</f>
        <v>товари</v>
      </c>
      <c r="B1043" s="13" t="str">
        <f>IFERROR(__xludf.DUMMYFUNCTION("""COMPUTED_VALUE"""),"інструменти")</f>
        <v>інструменти</v>
      </c>
      <c r="C1043" s="15" t="str">
        <f>IFERROR(__xludf.DUMMYFUNCTION("""COMPUTED_VALUE"""),"пневматичний інструмент")</f>
        <v>пневматичний інструмент</v>
      </c>
      <c r="D1043" s="15" t="str">
        <f>IFERROR(__xludf.DUMMYFUNCTION("""COMPUTED_VALUE"""),"пневматичні відбійні молотки")</f>
        <v>пневматичні відбійні молотки</v>
      </c>
      <c r="E1043" s="15" t="str">
        <f>IFERROR(__xludf.DUMMYFUNCTION("""COMPUTED_VALUE"""),"пневматичні відбійні молотки")</f>
        <v>пневматичні відбійні молотки</v>
      </c>
      <c r="F1043" s="17">
        <f>IFERROR(__xludf.DUMMYFUNCTION("""COMPUTED_VALUE"""),3.0)</f>
        <v>3</v>
      </c>
      <c r="G1043" s="17">
        <f>IFERROR(__xludf.DUMMYFUNCTION("""COMPUTED_VALUE"""),1.4200513E7)</f>
        <v>14200513</v>
      </c>
      <c r="H1043" s="17" t="str">
        <f>IFERROR(__xludf.DUMMYFUNCTION("""COMPUTED_VALUE"""),"пневматичні відбійні молотки")</f>
        <v>пневматичні відбійні молотки</v>
      </c>
      <c r="I1043" s="18">
        <f>IFERROR(__xludf.DUMMYFUNCTION("""COMPUTED_VALUE"""),0.76)</f>
        <v>0.76</v>
      </c>
      <c r="J1043" s="18">
        <f>IFERROR(__xludf.DUMMYFUNCTION("""COMPUTED_VALUE"""),1.53)</f>
        <v>1.53</v>
      </c>
      <c r="K1043" s="18">
        <f>IFERROR(__xludf.DUMMYFUNCTION("""COMPUTED_VALUE"""),1.91)</f>
        <v>1.91</v>
      </c>
      <c r="L1043" s="18">
        <f>IFERROR(__xludf.DUMMYFUNCTION("""COMPUTED_VALUE"""),3.05)</f>
        <v>3.05</v>
      </c>
    </row>
    <row r="1044">
      <c r="A1044" s="13" t="str">
        <f>IFERROR(__xludf.DUMMYFUNCTION("""COMPUTED_VALUE"""),"товари")</f>
        <v>товари</v>
      </c>
      <c r="B1044" s="13" t="str">
        <f>IFERROR(__xludf.DUMMYFUNCTION("""COMPUTED_VALUE"""),"інструменти")</f>
        <v>інструменти</v>
      </c>
      <c r="C1044" s="15" t="str">
        <f>IFERROR(__xludf.DUMMYFUNCTION("""COMPUTED_VALUE"""),"пневматичний інструмент")</f>
        <v>пневматичний інструмент</v>
      </c>
      <c r="D1044" s="15" t="str">
        <f>IFERROR(__xludf.DUMMYFUNCTION("""COMPUTED_VALUE"""),"пневматичні трамбувачі")</f>
        <v>пневматичні трамбувачі</v>
      </c>
      <c r="E1044" s="15" t="str">
        <f>IFERROR(__xludf.DUMMYFUNCTION("""COMPUTED_VALUE"""),"пневматичні трамбувачі")</f>
        <v>пневматичні трамбувачі</v>
      </c>
      <c r="F1044" s="17">
        <f>IFERROR(__xludf.DUMMYFUNCTION("""COMPUTED_VALUE"""),3.0)</f>
        <v>3</v>
      </c>
      <c r="G1044" s="17">
        <f>IFERROR(__xludf.DUMMYFUNCTION("""COMPUTED_VALUE"""),1.4200509E7)</f>
        <v>14200509</v>
      </c>
      <c r="H1044" s="17" t="str">
        <f>IFERROR(__xludf.DUMMYFUNCTION("""COMPUTED_VALUE"""),"пневматичні трамбувачі")</f>
        <v>пневматичні трамбувачі</v>
      </c>
      <c r="I1044" s="18">
        <f>IFERROR(__xludf.DUMMYFUNCTION("""COMPUTED_VALUE"""),0.76)</f>
        <v>0.76</v>
      </c>
      <c r="J1044" s="18">
        <f>IFERROR(__xludf.DUMMYFUNCTION("""COMPUTED_VALUE"""),1.53)</f>
        <v>1.53</v>
      </c>
      <c r="K1044" s="18">
        <f>IFERROR(__xludf.DUMMYFUNCTION("""COMPUTED_VALUE"""),1.91)</f>
        <v>1.91</v>
      </c>
      <c r="L1044" s="18">
        <f>IFERROR(__xludf.DUMMYFUNCTION("""COMPUTED_VALUE"""),3.05)</f>
        <v>3.05</v>
      </c>
    </row>
    <row r="1045">
      <c r="A1045" s="13" t="str">
        <f>IFERROR(__xludf.DUMMYFUNCTION("""COMPUTED_VALUE"""),"товари")</f>
        <v>товари</v>
      </c>
      <c r="B1045" s="13" t="str">
        <f>IFERROR(__xludf.DUMMYFUNCTION("""COMPUTED_VALUE"""),"інструменти")</f>
        <v>інструменти</v>
      </c>
      <c r="C1045" s="15" t="str">
        <f>IFERROR(__xludf.DUMMYFUNCTION("""COMPUTED_VALUE"""),"електроінструмент")</f>
        <v>електроінструмент</v>
      </c>
      <c r="D1045" s="15" t="str">
        <f>IFERROR(__xludf.DUMMYFUNCTION("""COMPUTED_VALUE"""),"електричні пили")</f>
        <v>електричні пили</v>
      </c>
      <c r="E1045" s="15" t="str">
        <f>IFERROR(__xludf.DUMMYFUNCTION("""COMPUTED_VALUE"""),"ручні електротруборези")</f>
        <v>ручні електротруборези</v>
      </c>
      <c r="F1045" s="17">
        <f>IFERROR(__xludf.DUMMYFUNCTION("""COMPUTED_VALUE"""),4.0)</f>
        <v>4</v>
      </c>
      <c r="G1045" s="17">
        <f>IFERROR(__xludf.DUMMYFUNCTION("""COMPUTED_VALUE"""),1.4172705E7)</f>
        <v>14172705</v>
      </c>
      <c r="H1045" s="17" t="str">
        <f>IFERROR(__xludf.DUMMYFUNCTION("""COMPUTED_VALUE"""),"ручні електротруборези")</f>
        <v>ручні електротруборези</v>
      </c>
      <c r="I1045" s="18">
        <f>IFERROR(__xludf.DUMMYFUNCTION("""COMPUTED_VALUE"""),2.51)</f>
        <v>2.51</v>
      </c>
      <c r="J1045" s="18">
        <f>IFERROR(__xludf.DUMMYFUNCTION("""COMPUTED_VALUE"""),5.03)</f>
        <v>5.03</v>
      </c>
      <c r="K1045" s="18">
        <f>IFERROR(__xludf.DUMMYFUNCTION("""COMPUTED_VALUE"""),6.28)</f>
        <v>6.28</v>
      </c>
      <c r="L1045" s="18">
        <f>IFERROR(__xludf.DUMMYFUNCTION("""COMPUTED_VALUE"""),10.05)</f>
        <v>10.05</v>
      </c>
    </row>
    <row r="1046">
      <c r="A1046" s="13" t="str">
        <f>IFERROR(__xludf.DUMMYFUNCTION("""COMPUTED_VALUE"""),"товари")</f>
        <v>товари</v>
      </c>
      <c r="B1046" s="13" t="str">
        <f>IFERROR(__xludf.DUMMYFUNCTION("""COMPUTED_VALUE"""),"інструменти")</f>
        <v>інструменти</v>
      </c>
      <c r="C1046" s="15" t="str">
        <f>IFERROR(__xludf.DUMMYFUNCTION("""COMPUTED_VALUE"""),"оснащення для інструменту")</f>
        <v>оснащення для інструменту</v>
      </c>
      <c r="D1046" s="15" t="str">
        <f>IFERROR(__xludf.DUMMYFUNCTION("""COMPUTED_VALUE"""),"хонінгувальні головки")</f>
        <v>хонінгувальні головки</v>
      </c>
      <c r="E1046" s="15" t="str">
        <f>IFERROR(__xludf.DUMMYFUNCTION("""COMPUTED_VALUE"""),"хонінгувальні головки")</f>
        <v>хонінгувальні головки</v>
      </c>
      <c r="F1046" s="17">
        <f>IFERROR(__xludf.DUMMYFUNCTION("""COMPUTED_VALUE"""),3.0)</f>
        <v>3</v>
      </c>
      <c r="G1046" s="17">
        <f>IFERROR(__xludf.DUMMYFUNCTION("""COMPUTED_VALUE"""),1.4201524E7)</f>
        <v>14201524</v>
      </c>
      <c r="H1046" s="17" t="str">
        <f>IFERROR(__xludf.DUMMYFUNCTION("""COMPUTED_VALUE"""),"хонінгувальні головки")</f>
        <v>хонінгувальні головки</v>
      </c>
      <c r="I1046" s="18">
        <f>IFERROR(__xludf.DUMMYFUNCTION("""COMPUTED_VALUE"""),1.04)</f>
        <v>1.04</v>
      </c>
      <c r="J1046" s="18">
        <f>IFERROR(__xludf.DUMMYFUNCTION("""COMPUTED_VALUE"""),2.08)</f>
        <v>2.08</v>
      </c>
      <c r="K1046" s="18">
        <f>IFERROR(__xludf.DUMMYFUNCTION("""COMPUTED_VALUE"""),2.59)</f>
        <v>2.59</v>
      </c>
      <c r="L1046" s="18">
        <f>IFERROR(__xludf.DUMMYFUNCTION("""COMPUTED_VALUE"""),4.15)</f>
        <v>4.15</v>
      </c>
    </row>
    <row r="1047">
      <c r="A1047" s="13" t="str">
        <f>IFERROR(__xludf.DUMMYFUNCTION("""COMPUTED_VALUE"""),"товари")</f>
        <v>товари</v>
      </c>
      <c r="B1047" s="13" t="str">
        <f>IFERROR(__xludf.DUMMYFUNCTION("""COMPUTED_VALUE"""),"інструменти")</f>
        <v>інструменти</v>
      </c>
      <c r="C1047" s="15" t="str">
        <f>IFERROR(__xludf.DUMMYFUNCTION("""COMPUTED_VALUE"""),"будівельний інструмент")</f>
        <v>будівельний інструмент</v>
      </c>
      <c r="D1047" s="15" t="str">
        <f>IFERROR(__xludf.DUMMYFUNCTION("""COMPUTED_VALUE"""),"будівельний бензоінструмент")</f>
        <v>будівельний бензоінструмент</v>
      </c>
      <c r="E1047" s="15" t="str">
        <f>IFERROR(__xludf.DUMMYFUNCTION("""COMPUTED_VALUE"""),"швонарізчики, бензорізи, електроріз")</f>
        <v>швонарізчики, бензорізи, електроріз</v>
      </c>
      <c r="F1047" s="17">
        <f>IFERROR(__xludf.DUMMYFUNCTION("""COMPUTED_VALUE"""),4.0)</f>
        <v>4</v>
      </c>
      <c r="G1047" s="17">
        <f>IFERROR(__xludf.DUMMYFUNCTION("""COMPUTED_VALUE"""),1.4201608E7)</f>
        <v>14201608</v>
      </c>
      <c r="H1047" s="17" t="str">
        <f>IFERROR(__xludf.DUMMYFUNCTION("""COMPUTED_VALUE"""),"швонарізчики, бензорізи, електроріз")</f>
        <v>швонарізчики, бензорізи, електроріз</v>
      </c>
      <c r="I1047" s="18">
        <f>IFERROR(__xludf.DUMMYFUNCTION("""COMPUTED_VALUE"""),2.18)</f>
        <v>2.18</v>
      </c>
      <c r="J1047" s="18">
        <f>IFERROR(__xludf.DUMMYFUNCTION("""COMPUTED_VALUE"""),4.35)</f>
        <v>4.35</v>
      </c>
      <c r="K1047" s="18">
        <f>IFERROR(__xludf.DUMMYFUNCTION("""COMPUTED_VALUE"""),5.44)</f>
        <v>5.44</v>
      </c>
      <c r="L1047" s="18">
        <f>IFERROR(__xludf.DUMMYFUNCTION("""COMPUTED_VALUE"""),8.7)</f>
        <v>8.7</v>
      </c>
    </row>
    <row r="1048">
      <c r="A1048" s="13" t="str">
        <f>IFERROR(__xludf.DUMMYFUNCTION("""COMPUTED_VALUE"""),"товари")</f>
        <v>товари</v>
      </c>
      <c r="B1048" s="13" t="str">
        <f>IFERROR(__xludf.DUMMYFUNCTION("""COMPUTED_VALUE"""),"контрольно-вимірювальні прилади")</f>
        <v>контрольно-вимірювальні прилади</v>
      </c>
      <c r="C1048" s="15" t="str">
        <f>IFERROR(__xludf.DUMMYFUNCTION("""COMPUTED_VALUE"""),"лабораторне, випробувальне обладнання")</f>
        <v>лабораторне, випробувальне обладнання</v>
      </c>
      <c r="D1048" s="15" t="str">
        <f>IFERROR(__xludf.DUMMYFUNCTION("""COMPUTED_VALUE"""),"аналізатори")</f>
        <v>аналізатори</v>
      </c>
      <c r="E1048" s="15" t="str">
        <f>IFERROR(__xludf.DUMMYFUNCTION("""COMPUTED_VALUE"""),"аналізатори води")</f>
        <v>аналізатори води</v>
      </c>
      <c r="F1048" s="17">
        <f>IFERROR(__xludf.DUMMYFUNCTION("""COMPUTED_VALUE"""),4.0)</f>
        <v>4</v>
      </c>
      <c r="G1048" s="17">
        <f>IFERROR(__xludf.DUMMYFUNCTION("""COMPUTED_VALUE"""),1.5370117E7)</f>
        <v>15370117</v>
      </c>
      <c r="H1048" s="17" t="str">
        <f>IFERROR(__xludf.DUMMYFUNCTION("""COMPUTED_VALUE"""),"аналізатори води")</f>
        <v>аналізатори води</v>
      </c>
      <c r="I1048" s="18">
        <f>IFERROR(__xludf.DUMMYFUNCTION("""COMPUTED_VALUE"""),1.88)</f>
        <v>1.88</v>
      </c>
      <c r="J1048" s="18">
        <f>IFERROR(__xludf.DUMMYFUNCTION("""COMPUTED_VALUE"""),3.75)</f>
        <v>3.75</v>
      </c>
      <c r="K1048" s="18">
        <f>IFERROR(__xludf.DUMMYFUNCTION("""COMPUTED_VALUE"""),4.69)</f>
        <v>4.69</v>
      </c>
      <c r="L1048" s="18">
        <f>IFERROR(__xludf.DUMMYFUNCTION("""COMPUTED_VALUE"""),7.5)</f>
        <v>7.5</v>
      </c>
    </row>
    <row r="1049">
      <c r="A1049" s="13" t="str">
        <f>IFERROR(__xludf.DUMMYFUNCTION("""COMPUTED_VALUE"""),"товари")</f>
        <v>товари</v>
      </c>
      <c r="B1049" s="13" t="str">
        <f>IFERROR(__xludf.DUMMYFUNCTION("""COMPUTED_VALUE"""),"контрольно-вимірювальні прилади")</f>
        <v>контрольно-вимірювальні прилади</v>
      </c>
      <c r="C1049" s="15" t="str">
        <f>IFERROR(__xludf.DUMMYFUNCTION("""COMPUTED_VALUE"""),"лабораторне, випробувальне обладнання")</f>
        <v>лабораторне, випробувальне обладнання</v>
      </c>
      <c r="D1049" s="15" t="str">
        <f>IFERROR(__xludf.DUMMYFUNCTION("""COMPUTED_VALUE"""),"аналізатори")</f>
        <v>аналізатори</v>
      </c>
      <c r="E1049" s="15" t="str">
        <f>IFERROR(__xludf.DUMMYFUNCTION("""COMPUTED_VALUE"""),"аналізатори, загальне")</f>
        <v>аналізатори, загальне</v>
      </c>
      <c r="F1049" s="17">
        <f>IFERROR(__xludf.DUMMYFUNCTION("""COMPUTED_VALUE"""),4.0)</f>
        <v>4</v>
      </c>
      <c r="G1049" s="17">
        <f>IFERROR(__xludf.DUMMYFUNCTION("""COMPUTED_VALUE"""),1.5370199E7)</f>
        <v>15370199</v>
      </c>
      <c r="H1049" s="17" t="str">
        <f>IFERROR(__xludf.DUMMYFUNCTION("""COMPUTED_VALUE"""),"аналізатори, загальне")</f>
        <v>аналізатори, загальне</v>
      </c>
      <c r="I1049" s="18">
        <f>IFERROR(__xludf.DUMMYFUNCTION("""COMPUTED_VALUE"""),2.16)</f>
        <v>2.16</v>
      </c>
      <c r="J1049" s="18">
        <f>IFERROR(__xludf.DUMMYFUNCTION("""COMPUTED_VALUE"""),4.33)</f>
        <v>4.33</v>
      </c>
      <c r="K1049" s="18">
        <f>IFERROR(__xludf.DUMMYFUNCTION("""COMPUTED_VALUE"""),5.41)</f>
        <v>5.41</v>
      </c>
      <c r="L1049" s="18">
        <f>IFERROR(__xludf.DUMMYFUNCTION("""COMPUTED_VALUE"""),8.65)</f>
        <v>8.65</v>
      </c>
    </row>
    <row r="1050">
      <c r="A1050" s="13" t="str">
        <f>IFERROR(__xludf.DUMMYFUNCTION("""COMPUTED_VALUE"""),"товари")</f>
        <v>товари</v>
      </c>
      <c r="B1050" s="13" t="str">
        <f>IFERROR(__xludf.DUMMYFUNCTION("""COMPUTED_VALUE"""),"контрольно-вимірювальні прилади")</f>
        <v>контрольно-вимірювальні прилади</v>
      </c>
      <c r="C1050" s="15" t="str">
        <f>IFERROR(__xludf.DUMMYFUNCTION("""COMPUTED_VALUE"""),"лабораторне, випробувальне обладнання")</f>
        <v>лабораторне, випробувальне обладнання</v>
      </c>
      <c r="D1050" s="15" t="str">
        <f>IFERROR(__xludf.DUMMYFUNCTION("""COMPUTED_VALUE"""),"аналізатори")</f>
        <v>аналізатори</v>
      </c>
      <c r="E1050" s="15" t="str">
        <f>IFERROR(__xludf.DUMMYFUNCTION("""COMPUTED_VALUE"""),"апарати для розгону нафтопродуктів")</f>
        <v>апарати для розгону нафтопродуктів</v>
      </c>
      <c r="F1050" s="17">
        <f>IFERROR(__xludf.DUMMYFUNCTION("""COMPUTED_VALUE"""),4.0)</f>
        <v>4</v>
      </c>
      <c r="G1050" s="17">
        <f>IFERROR(__xludf.DUMMYFUNCTION("""COMPUTED_VALUE"""),1.5370112E7)</f>
        <v>15370112</v>
      </c>
      <c r="H1050" s="17" t="str">
        <f>IFERROR(__xludf.DUMMYFUNCTION("""COMPUTED_VALUE"""),"апарати для розгону нафтопродуктів")</f>
        <v>апарати для розгону нафтопродуктів</v>
      </c>
      <c r="I1050" s="18">
        <f>IFERROR(__xludf.DUMMYFUNCTION("""COMPUTED_VALUE"""),1.88)</f>
        <v>1.88</v>
      </c>
      <c r="J1050" s="18">
        <f>IFERROR(__xludf.DUMMYFUNCTION("""COMPUTED_VALUE"""),3.75)</f>
        <v>3.75</v>
      </c>
      <c r="K1050" s="18">
        <f>IFERROR(__xludf.DUMMYFUNCTION("""COMPUTED_VALUE"""),4.69)</f>
        <v>4.69</v>
      </c>
      <c r="L1050" s="18">
        <f>IFERROR(__xludf.DUMMYFUNCTION("""COMPUTED_VALUE"""),7.5)</f>
        <v>7.5</v>
      </c>
    </row>
    <row r="1051">
      <c r="A1051" s="13" t="str">
        <f>IFERROR(__xludf.DUMMYFUNCTION("""COMPUTED_VALUE"""),"товари")</f>
        <v>товари</v>
      </c>
      <c r="B1051" s="13" t="str">
        <f>IFERROR(__xludf.DUMMYFUNCTION("""COMPUTED_VALUE"""),"контрольно-вимірювальні прилади")</f>
        <v>контрольно-вимірювальні прилади</v>
      </c>
      <c r="C1051" s="15" t="str">
        <f>IFERROR(__xludf.DUMMYFUNCTION("""COMPUTED_VALUE"""),"лабораторне, випробувальне обладнання")</f>
        <v>лабораторне, випробувальне обладнання</v>
      </c>
      <c r="D1051" s="15" t="str">
        <f>IFERROR(__xludf.DUMMYFUNCTION("""COMPUTED_VALUE"""),"аналізатори")</f>
        <v>аналізатори</v>
      </c>
      <c r="E1051" s="15" t="str">
        <f>IFERROR(__xludf.DUMMYFUNCTION("""COMPUTED_VALUE"""),"білизномір")</f>
        <v>білизномір</v>
      </c>
      <c r="F1051" s="17">
        <f>IFERROR(__xludf.DUMMYFUNCTION("""COMPUTED_VALUE"""),4.0)</f>
        <v>4</v>
      </c>
      <c r="G1051" s="17">
        <f>IFERROR(__xludf.DUMMYFUNCTION("""COMPUTED_VALUE"""),1.5370114E7)</f>
        <v>15370114</v>
      </c>
      <c r="H1051" s="17" t="str">
        <f>IFERROR(__xludf.DUMMYFUNCTION("""COMPUTED_VALUE"""),"білизномір")</f>
        <v>білизномір</v>
      </c>
      <c r="I1051" s="18">
        <f>IFERROR(__xludf.DUMMYFUNCTION("""COMPUTED_VALUE"""),1.88)</f>
        <v>1.88</v>
      </c>
      <c r="J1051" s="18">
        <f>IFERROR(__xludf.DUMMYFUNCTION("""COMPUTED_VALUE"""),3.75)</f>
        <v>3.75</v>
      </c>
      <c r="K1051" s="18">
        <f>IFERROR(__xludf.DUMMYFUNCTION("""COMPUTED_VALUE"""),4.69)</f>
        <v>4.69</v>
      </c>
      <c r="L1051" s="18">
        <f>IFERROR(__xludf.DUMMYFUNCTION("""COMPUTED_VALUE"""),7.5)</f>
        <v>7.5</v>
      </c>
    </row>
    <row r="1052">
      <c r="A1052" s="13" t="str">
        <f>IFERROR(__xludf.DUMMYFUNCTION("""COMPUTED_VALUE"""),"товари")</f>
        <v>товари</v>
      </c>
      <c r="B1052" s="13" t="str">
        <f>IFERROR(__xludf.DUMMYFUNCTION("""COMPUTED_VALUE"""),"контрольно-вимірювальні прилади")</f>
        <v>контрольно-вимірювальні прилади</v>
      </c>
      <c r="C1052" s="15" t="str">
        <f>IFERROR(__xludf.DUMMYFUNCTION("""COMPUTED_VALUE"""),"вагове обладнання")</f>
        <v>вагове обладнання</v>
      </c>
      <c r="D1052" s="15" t="str">
        <f>IFERROR(__xludf.DUMMYFUNCTION("""COMPUTED_VALUE"""),"ваги бункерні")</f>
        <v>ваги бункерні</v>
      </c>
      <c r="E1052" s="15" t="str">
        <f>IFERROR(__xludf.DUMMYFUNCTION("""COMPUTED_VALUE"""),"ваги бункерні")</f>
        <v>ваги бункерні</v>
      </c>
      <c r="F1052" s="17">
        <f>IFERROR(__xludf.DUMMYFUNCTION("""COMPUTED_VALUE"""),3.0)</f>
        <v>3</v>
      </c>
      <c r="G1052" s="17">
        <f>IFERROR(__xludf.DUMMYFUNCTION("""COMPUTED_VALUE"""),1.537111E7)</f>
        <v>15371110</v>
      </c>
      <c r="H1052" s="17" t="str">
        <f>IFERROR(__xludf.DUMMYFUNCTION("""COMPUTED_VALUE"""),"ваги бункерні")</f>
        <v>ваги бункерні</v>
      </c>
      <c r="I1052" s="18">
        <f>IFERROR(__xludf.DUMMYFUNCTION("""COMPUTED_VALUE"""),2.29)</f>
        <v>2.29</v>
      </c>
      <c r="J1052" s="18">
        <f>IFERROR(__xludf.DUMMYFUNCTION("""COMPUTED_VALUE"""),4.58)</f>
        <v>4.58</v>
      </c>
      <c r="K1052" s="18">
        <f>IFERROR(__xludf.DUMMYFUNCTION("""COMPUTED_VALUE"""),5.72)</f>
        <v>5.72</v>
      </c>
      <c r="L1052" s="18">
        <f>IFERROR(__xludf.DUMMYFUNCTION("""COMPUTED_VALUE"""),9.15)</f>
        <v>9.15</v>
      </c>
    </row>
    <row r="1053">
      <c r="A1053" s="13" t="str">
        <f>IFERROR(__xludf.DUMMYFUNCTION("""COMPUTED_VALUE"""),"товари")</f>
        <v>товари</v>
      </c>
      <c r="B1053" s="13" t="str">
        <f>IFERROR(__xludf.DUMMYFUNCTION("""COMPUTED_VALUE"""),"контрольно-вимірювальні прилади")</f>
        <v>контрольно-вимірювальні прилади</v>
      </c>
      <c r="C1053" s="15" t="str">
        <f>IFERROR(__xludf.DUMMYFUNCTION("""COMPUTED_VALUE"""),"вагове обладнання")</f>
        <v>вагове обладнання</v>
      </c>
      <c r="D1053" s="15" t="str">
        <f>IFERROR(__xludf.DUMMYFUNCTION("""COMPUTED_VALUE"""),"ваги для зважування тварин")</f>
        <v>ваги для зважування тварин</v>
      </c>
      <c r="E1053" s="15" t="str">
        <f>IFERROR(__xludf.DUMMYFUNCTION("""COMPUTED_VALUE"""),"ваги для зважування тварин")</f>
        <v>ваги для зважування тварин</v>
      </c>
      <c r="F1053" s="17">
        <f>IFERROR(__xludf.DUMMYFUNCTION("""COMPUTED_VALUE"""),3.0)</f>
        <v>3</v>
      </c>
      <c r="G1053" s="17">
        <f>IFERROR(__xludf.DUMMYFUNCTION("""COMPUTED_VALUE"""),1.5371106E7)</f>
        <v>15371106</v>
      </c>
      <c r="H1053" s="17" t="str">
        <f>IFERROR(__xludf.DUMMYFUNCTION("""COMPUTED_VALUE"""),"ваги для зважування тварин")</f>
        <v>ваги для зважування тварин</v>
      </c>
      <c r="I1053" s="18">
        <f>IFERROR(__xludf.DUMMYFUNCTION("""COMPUTED_VALUE"""),1.84)</f>
        <v>1.84</v>
      </c>
      <c r="J1053" s="18">
        <f>IFERROR(__xludf.DUMMYFUNCTION("""COMPUTED_VALUE"""),3.69)</f>
        <v>3.69</v>
      </c>
      <c r="K1053" s="18">
        <f>IFERROR(__xludf.DUMMYFUNCTION("""COMPUTED_VALUE"""),4.61)</f>
        <v>4.61</v>
      </c>
      <c r="L1053" s="18">
        <f>IFERROR(__xludf.DUMMYFUNCTION("""COMPUTED_VALUE"""),7.38)</f>
        <v>7.38</v>
      </c>
    </row>
    <row r="1054">
      <c r="A1054" s="13" t="str">
        <f>IFERROR(__xludf.DUMMYFUNCTION("""COMPUTED_VALUE"""),"товари")</f>
        <v>товари</v>
      </c>
      <c r="B1054" s="13" t="str">
        <f>IFERROR(__xludf.DUMMYFUNCTION("""COMPUTED_VALUE"""),"контрольно-вимірювальні прилади")</f>
        <v>контрольно-вимірювальні прилади</v>
      </c>
      <c r="C1054" s="15" t="str">
        <f>IFERROR(__xludf.DUMMYFUNCTION("""COMPUTED_VALUE"""),"вагове обладнання")</f>
        <v>вагове обладнання</v>
      </c>
      <c r="D1054" s="15" t="str">
        <f>IFERROR(__xludf.DUMMYFUNCTION("""COMPUTED_VALUE"""),"ваги чекодрукуючі")</f>
        <v>ваги чекодрукуючі</v>
      </c>
      <c r="E1054" s="15" t="str">
        <f>IFERROR(__xludf.DUMMYFUNCTION("""COMPUTED_VALUE"""),"ваги чекодрукуючі")</f>
        <v>ваги чекодрукуючі</v>
      </c>
      <c r="F1054" s="17">
        <f>IFERROR(__xludf.DUMMYFUNCTION("""COMPUTED_VALUE"""),3.0)</f>
        <v>3</v>
      </c>
      <c r="G1054" s="17">
        <f>IFERROR(__xludf.DUMMYFUNCTION("""COMPUTED_VALUE"""),1.537112E7)</f>
        <v>15371120</v>
      </c>
      <c r="H1054" s="17" t="str">
        <f>IFERROR(__xludf.DUMMYFUNCTION("""COMPUTED_VALUE"""),"ваги чекодрукуючі")</f>
        <v>ваги чекодрукуючі</v>
      </c>
      <c r="I1054" s="18">
        <f>IFERROR(__xludf.DUMMYFUNCTION("""COMPUTED_VALUE"""),2.7)</f>
        <v>2.7</v>
      </c>
      <c r="J1054" s="18">
        <f>IFERROR(__xludf.DUMMYFUNCTION("""COMPUTED_VALUE"""),5.4)</f>
        <v>5.4</v>
      </c>
      <c r="K1054" s="18">
        <f>IFERROR(__xludf.DUMMYFUNCTION("""COMPUTED_VALUE"""),6.75)</f>
        <v>6.75</v>
      </c>
      <c r="L1054" s="18">
        <f>IFERROR(__xludf.DUMMYFUNCTION("""COMPUTED_VALUE"""),10.8)</f>
        <v>10.8</v>
      </c>
    </row>
    <row r="1055">
      <c r="A1055" s="13" t="str">
        <f>IFERROR(__xludf.DUMMYFUNCTION("""COMPUTED_VALUE"""),"товари")</f>
        <v>товари</v>
      </c>
      <c r="B1055" s="13" t="str">
        <f>IFERROR(__xludf.DUMMYFUNCTION("""COMPUTED_VALUE"""),"контрольно-вимірювальні прилади")</f>
        <v>контрольно-вимірювальні прилади</v>
      </c>
      <c r="C1055" s="15" t="str">
        <f>IFERROR(__xludf.DUMMYFUNCTION("""COMPUTED_VALUE"""),"вагове обладнання")</f>
        <v>вагове обладнання</v>
      </c>
      <c r="D1055" s="15" t="str">
        <f>IFERROR(__xludf.DUMMYFUNCTION("""COMPUTED_VALUE"""),"комплектуючі для ваг")</f>
        <v>комплектуючі для ваг</v>
      </c>
      <c r="E1055" s="15" t="str">
        <f>IFERROR(__xludf.DUMMYFUNCTION("""COMPUTED_VALUE"""),"ваговимірювальні датчики")</f>
        <v>ваговимірювальні датчики</v>
      </c>
      <c r="F1055" s="17">
        <f>IFERROR(__xludf.DUMMYFUNCTION("""COMPUTED_VALUE"""),4.0)</f>
        <v>4</v>
      </c>
      <c r="G1055" s="17">
        <f>IFERROR(__xludf.DUMMYFUNCTION("""COMPUTED_VALUE"""),1.5371115E7)</f>
        <v>15371115</v>
      </c>
      <c r="H1055" s="17" t="str">
        <f>IFERROR(__xludf.DUMMYFUNCTION("""COMPUTED_VALUE"""),"ваговимірювальні датчики")</f>
        <v>ваговимірювальні датчики</v>
      </c>
      <c r="I1055" s="18">
        <f>IFERROR(__xludf.DUMMYFUNCTION("""COMPUTED_VALUE"""),2.7)</f>
        <v>2.7</v>
      </c>
      <c r="J1055" s="18">
        <f>IFERROR(__xludf.DUMMYFUNCTION("""COMPUTED_VALUE"""),5.4)</f>
        <v>5.4</v>
      </c>
      <c r="K1055" s="18">
        <f>IFERROR(__xludf.DUMMYFUNCTION("""COMPUTED_VALUE"""),6.75)</f>
        <v>6.75</v>
      </c>
      <c r="L1055" s="18">
        <f>IFERROR(__xludf.DUMMYFUNCTION("""COMPUTED_VALUE"""),10.8)</f>
        <v>10.8</v>
      </c>
    </row>
    <row r="1056">
      <c r="A1056" s="13" t="str">
        <f>IFERROR(__xludf.DUMMYFUNCTION("""COMPUTED_VALUE"""),"товари")</f>
        <v>товари</v>
      </c>
      <c r="B1056" s="13" t="str">
        <f>IFERROR(__xludf.DUMMYFUNCTION("""COMPUTED_VALUE"""),"контрольно-вимірювальні прилади")</f>
        <v>контрольно-вимірювальні прилади</v>
      </c>
      <c r="C1056" s="15" t="str">
        <f>IFERROR(__xludf.DUMMYFUNCTION("""COMPUTED_VALUE"""),"прилади неруйнівного контролю")</f>
        <v>прилади неруйнівного контролю</v>
      </c>
      <c r="D1056" s="15" t="str">
        <f>IFERROR(__xludf.DUMMYFUNCTION("""COMPUTED_VALUE"""),"вимірювачі теплопровідності і теплового потоку")</f>
        <v>вимірювачі теплопровідності і теплового потоку</v>
      </c>
      <c r="E1056" s="15" t="str">
        <f>IFERROR(__xludf.DUMMYFUNCTION("""COMPUTED_VALUE"""),"вимірювачі теплопровідності і теплового потоку")</f>
        <v>вимірювачі теплопровідності і теплового потоку</v>
      </c>
      <c r="F1056" s="17">
        <f>IFERROR(__xludf.DUMMYFUNCTION("""COMPUTED_VALUE"""),3.0)</f>
        <v>3</v>
      </c>
      <c r="G1056" s="17">
        <f>IFERROR(__xludf.DUMMYFUNCTION("""COMPUTED_VALUE"""),1.5370619E7)</f>
        <v>15370619</v>
      </c>
      <c r="H1056" s="17" t="str">
        <f>IFERROR(__xludf.DUMMYFUNCTION("""COMPUTED_VALUE"""),"вимірювачі теплопровідності і теплового потоку")</f>
        <v>вимірювачі теплопровідності і теплового потоку</v>
      </c>
      <c r="I1056" s="18">
        <f>IFERROR(__xludf.DUMMYFUNCTION("""COMPUTED_VALUE"""),0.76)</f>
        <v>0.76</v>
      </c>
      <c r="J1056" s="18">
        <f>IFERROR(__xludf.DUMMYFUNCTION("""COMPUTED_VALUE"""),1.53)</f>
        <v>1.53</v>
      </c>
      <c r="K1056" s="18">
        <f>IFERROR(__xludf.DUMMYFUNCTION("""COMPUTED_VALUE"""),1.91)</f>
        <v>1.91</v>
      </c>
      <c r="L1056" s="18">
        <f>IFERROR(__xludf.DUMMYFUNCTION("""COMPUTED_VALUE"""),3.05)</f>
        <v>3.05</v>
      </c>
    </row>
    <row r="1057">
      <c r="A1057" s="13" t="str">
        <f>IFERROR(__xludf.DUMMYFUNCTION("""COMPUTED_VALUE"""),"товари")</f>
        <v>товари</v>
      </c>
      <c r="B1057" s="13" t="str">
        <f>IFERROR(__xludf.DUMMYFUNCTION("""COMPUTED_VALUE"""),"контрольно-вимірювальні прилади")</f>
        <v>контрольно-вимірювальні прилади</v>
      </c>
      <c r="C1057" s="15" t="str">
        <f>IFERROR(__xludf.DUMMYFUNCTION("""COMPUTED_VALUE"""),"лабораторне, випробувальне обладнання")</f>
        <v>лабораторне, випробувальне обладнання</v>
      </c>
      <c r="D1057" s="15" t="str">
        <f>IFERROR(__xludf.DUMMYFUNCTION("""COMPUTED_VALUE"""),"випробувальне обладнання")</f>
        <v>випробувальне обладнання</v>
      </c>
      <c r="E1057" s="15" t="str">
        <f>IFERROR(__xludf.DUMMYFUNCTION("""COMPUTED_VALUE"""),"випробувальне обладнання")</f>
        <v>випробувальне обладнання</v>
      </c>
      <c r="F1057" s="17">
        <f>IFERROR(__xludf.DUMMYFUNCTION("""COMPUTED_VALUE"""),3.0)</f>
        <v>3</v>
      </c>
      <c r="G1057" s="17">
        <f>IFERROR(__xludf.DUMMYFUNCTION("""COMPUTED_VALUE"""),153710.0)</f>
        <v>153710</v>
      </c>
      <c r="H1057" s="17" t="str">
        <f>IFERROR(__xludf.DUMMYFUNCTION("""COMPUTED_VALUE"""),"випробувальне обладнання")</f>
        <v>випробувальне обладнання</v>
      </c>
      <c r="I1057" s="18">
        <f>IFERROR(__xludf.DUMMYFUNCTION("""COMPUTED_VALUE"""),1.04)</f>
        <v>1.04</v>
      </c>
      <c r="J1057" s="18">
        <f>IFERROR(__xludf.DUMMYFUNCTION("""COMPUTED_VALUE"""),2.08)</f>
        <v>2.08</v>
      </c>
      <c r="K1057" s="18">
        <f>IFERROR(__xludf.DUMMYFUNCTION("""COMPUTED_VALUE"""),2.59)</f>
        <v>2.59</v>
      </c>
      <c r="L1057" s="18">
        <f>IFERROR(__xludf.DUMMYFUNCTION("""COMPUTED_VALUE"""),4.15)</f>
        <v>4.15</v>
      </c>
    </row>
    <row r="1058">
      <c r="A1058" s="13" t="str">
        <f>IFERROR(__xludf.DUMMYFUNCTION("""COMPUTED_VALUE"""),"товари")</f>
        <v>товари</v>
      </c>
      <c r="B1058" s="13" t="str">
        <f>IFERROR(__xludf.DUMMYFUNCTION("""COMPUTED_VALUE"""),"контрольно-вимірювальні прилади")</f>
        <v>контрольно-вимірювальні прилади</v>
      </c>
      <c r="C1058" s="15" t="str">
        <f>IFERROR(__xludf.DUMMYFUNCTION("""COMPUTED_VALUE"""),"вимірювачі фізичних параметрів")</f>
        <v>вимірювачі фізичних параметрів</v>
      </c>
      <c r="D1058" s="15" t="str">
        <f>IFERROR(__xludf.DUMMYFUNCTION("""COMPUTED_VALUE"""),"віскозиметри і пікнометри")</f>
        <v>віскозиметри і пікнометри</v>
      </c>
      <c r="E1058" s="15" t="str">
        <f>IFERROR(__xludf.DUMMYFUNCTION("""COMPUTED_VALUE"""),"віскозиметри і пікнометри")</f>
        <v>віскозиметри і пікнометри</v>
      </c>
      <c r="F1058" s="17">
        <f>IFERROR(__xludf.DUMMYFUNCTION("""COMPUTED_VALUE"""),3.0)</f>
        <v>3</v>
      </c>
      <c r="G1058" s="17">
        <f>IFERROR(__xludf.DUMMYFUNCTION("""COMPUTED_VALUE"""),1.5370621E7)</f>
        <v>15370621</v>
      </c>
      <c r="H1058" s="17" t="str">
        <f>IFERROR(__xludf.DUMMYFUNCTION("""COMPUTED_VALUE"""),"віскозиметри і пікнометри")</f>
        <v>віскозиметри і пікнометри</v>
      </c>
      <c r="I1058" s="18">
        <f>IFERROR(__xludf.DUMMYFUNCTION("""COMPUTED_VALUE"""),1.53)</f>
        <v>1.53</v>
      </c>
      <c r="J1058" s="18">
        <f>IFERROR(__xludf.DUMMYFUNCTION("""COMPUTED_VALUE"""),3.06)</f>
        <v>3.06</v>
      </c>
      <c r="K1058" s="18">
        <f>IFERROR(__xludf.DUMMYFUNCTION("""COMPUTED_VALUE"""),3.83)</f>
        <v>3.83</v>
      </c>
      <c r="L1058" s="18">
        <f>IFERROR(__xludf.DUMMYFUNCTION("""COMPUTED_VALUE"""),6.13)</f>
        <v>6.13</v>
      </c>
    </row>
    <row r="1059">
      <c r="A1059" s="13" t="str">
        <f>IFERROR(__xludf.DUMMYFUNCTION("""COMPUTED_VALUE"""),"товари")</f>
        <v>товари</v>
      </c>
      <c r="B1059" s="13" t="str">
        <f>IFERROR(__xludf.DUMMYFUNCTION("""COMPUTED_VALUE"""),"контрольно-вимірювальні прилади")</f>
        <v>контрольно-вимірювальні прилади</v>
      </c>
      <c r="C1059" s="15" t="str">
        <f>IFERROR(__xludf.DUMMYFUNCTION("""COMPUTED_VALUE"""),"геодезичне обладнання")</f>
        <v>геодезичне обладнання</v>
      </c>
      <c r="D1059" s="15" t="str">
        <f>IFERROR(__xludf.DUMMYFUNCTION("""COMPUTED_VALUE"""),"геодезичне обладнання, загальне")</f>
        <v>геодезичне обладнання, загальне</v>
      </c>
      <c r="E1059" s="15" t="str">
        <f>IFERROR(__xludf.DUMMYFUNCTION("""COMPUTED_VALUE"""),"геодезичне обладнання, загальне")</f>
        <v>геодезичне обладнання, загальне</v>
      </c>
      <c r="F1059" s="17">
        <f>IFERROR(__xludf.DUMMYFUNCTION("""COMPUTED_VALUE"""),3.0)</f>
        <v>3</v>
      </c>
      <c r="G1059" s="17">
        <f>IFERROR(__xludf.DUMMYFUNCTION("""COMPUTED_VALUE"""),153725.0)</f>
        <v>153725</v>
      </c>
      <c r="H1059" s="17" t="str">
        <f>IFERROR(__xludf.DUMMYFUNCTION("""COMPUTED_VALUE"""),"геодезичне обладнання, загальне")</f>
        <v>геодезичне обладнання, загальне</v>
      </c>
      <c r="I1059" s="18">
        <f>IFERROR(__xludf.DUMMYFUNCTION("""COMPUTED_VALUE"""),2.16)</f>
        <v>2.16</v>
      </c>
      <c r="J1059" s="18">
        <f>IFERROR(__xludf.DUMMYFUNCTION("""COMPUTED_VALUE"""),4.33)</f>
        <v>4.33</v>
      </c>
      <c r="K1059" s="18">
        <f>IFERROR(__xludf.DUMMYFUNCTION("""COMPUTED_VALUE"""),5.41)</f>
        <v>5.41</v>
      </c>
      <c r="L1059" s="18">
        <f>IFERROR(__xludf.DUMMYFUNCTION("""COMPUTED_VALUE"""),8.65)</f>
        <v>8.65</v>
      </c>
    </row>
    <row r="1060">
      <c r="A1060" s="13" t="str">
        <f>IFERROR(__xludf.DUMMYFUNCTION("""COMPUTED_VALUE"""),"товари")</f>
        <v>товари</v>
      </c>
      <c r="B1060" s="13" t="str">
        <f>IFERROR(__xludf.DUMMYFUNCTION("""COMPUTED_VALUE"""),"контрольно-вимірювальні прилади")</f>
        <v>контрольно-вимірювальні прилади</v>
      </c>
      <c r="C1060" s="15" t="str">
        <f>IFERROR(__xludf.DUMMYFUNCTION("""COMPUTED_VALUE"""),"вимірювачі фізичних параметрів")</f>
        <v>вимірювачі фізичних параметрів</v>
      </c>
      <c r="D1060" s="15" t="str">
        <f>IFERROR(__xludf.DUMMYFUNCTION("""COMPUTED_VALUE"""),"гігрометри, психрометри")</f>
        <v>гігрометри, психрометри</v>
      </c>
      <c r="E1060" s="15" t="str">
        <f>IFERROR(__xludf.DUMMYFUNCTION("""COMPUTED_VALUE"""),"гігрометри, психрометри")</f>
        <v>гігрометри, психрометри</v>
      </c>
      <c r="F1060" s="17">
        <f>IFERROR(__xludf.DUMMYFUNCTION("""COMPUTED_VALUE"""),3.0)</f>
        <v>3</v>
      </c>
      <c r="G1060" s="17">
        <f>IFERROR(__xludf.DUMMYFUNCTION("""COMPUTED_VALUE"""),1.5370606E7)</f>
        <v>15370606</v>
      </c>
      <c r="H1060" s="17" t="str">
        <f>IFERROR(__xludf.DUMMYFUNCTION("""COMPUTED_VALUE"""),"гігрометри, психрометри")</f>
        <v>гігрометри, психрометри</v>
      </c>
      <c r="I1060" s="18">
        <f>IFERROR(__xludf.DUMMYFUNCTION("""COMPUTED_VALUE"""),1.04)</f>
        <v>1.04</v>
      </c>
      <c r="J1060" s="18">
        <f>IFERROR(__xludf.DUMMYFUNCTION("""COMPUTED_VALUE"""),2.08)</f>
        <v>2.08</v>
      </c>
      <c r="K1060" s="18">
        <f>IFERROR(__xludf.DUMMYFUNCTION("""COMPUTED_VALUE"""),2.59)</f>
        <v>2.59</v>
      </c>
      <c r="L1060" s="18">
        <f>IFERROR(__xludf.DUMMYFUNCTION("""COMPUTED_VALUE"""),4.15)</f>
        <v>4.15</v>
      </c>
    </row>
    <row r="1061">
      <c r="A1061" s="13" t="str">
        <f>IFERROR(__xludf.DUMMYFUNCTION("""COMPUTED_VALUE"""),"товари")</f>
        <v>товари</v>
      </c>
      <c r="B1061" s="13" t="str">
        <f>IFERROR(__xludf.DUMMYFUNCTION("""COMPUTED_VALUE"""),"контрольно-вимірювальні прилади")</f>
        <v>контрольно-вимірювальні прилади</v>
      </c>
      <c r="C1061" s="15" t="str">
        <f>IFERROR(__xludf.DUMMYFUNCTION("""COMPUTED_VALUE"""),"прилади лінійно-кутових вимірювань")</f>
        <v>прилади лінійно-кутових вимірювань</v>
      </c>
      <c r="D1061" s="15" t="str">
        <f>IFERROR(__xludf.DUMMYFUNCTION("""COMPUTED_VALUE"""),"індикатори годинного типу")</f>
        <v>індикатори годинного типу</v>
      </c>
      <c r="E1061" s="15" t="str">
        <f>IFERROR(__xludf.DUMMYFUNCTION("""COMPUTED_VALUE"""),"індикатори годинного типу")</f>
        <v>індикатори годинного типу</v>
      </c>
      <c r="F1061" s="17">
        <f>IFERROR(__xludf.DUMMYFUNCTION("""COMPUTED_VALUE"""),3.0)</f>
        <v>3</v>
      </c>
      <c r="G1061" s="17">
        <f>IFERROR(__xludf.DUMMYFUNCTION("""COMPUTED_VALUE"""),1.5373302E7)</f>
        <v>15373302</v>
      </c>
      <c r="H1061" s="17" t="str">
        <f>IFERROR(__xludf.DUMMYFUNCTION("""COMPUTED_VALUE"""),"індикатори годинного типу")</f>
        <v>індикатори годинного типу</v>
      </c>
      <c r="I1061" s="18">
        <f>IFERROR(__xludf.DUMMYFUNCTION("""COMPUTED_VALUE"""),0.76)</f>
        <v>0.76</v>
      </c>
      <c r="J1061" s="18">
        <f>IFERROR(__xludf.DUMMYFUNCTION("""COMPUTED_VALUE"""),1.53)</f>
        <v>1.53</v>
      </c>
      <c r="K1061" s="18">
        <f>IFERROR(__xludf.DUMMYFUNCTION("""COMPUTED_VALUE"""),1.91)</f>
        <v>1.91</v>
      </c>
      <c r="L1061" s="18">
        <f>IFERROR(__xludf.DUMMYFUNCTION("""COMPUTED_VALUE"""),3.05)</f>
        <v>3.05</v>
      </c>
    </row>
    <row r="1062">
      <c r="A1062" s="13" t="str">
        <f>IFERROR(__xludf.DUMMYFUNCTION("""COMPUTED_VALUE"""),"товари")</f>
        <v>товари</v>
      </c>
      <c r="B1062" s="13" t="str">
        <f>IFERROR(__xludf.DUMMYFUNCTION("""COMPUTED_VALUE"""),"контрольно-вимірювальні прилади")</f>
        <v>контрольно-вимірювальні прилади</v>
      </c>
      <c r="C1062" s="15" t="str">
        <f>IFERROR(__xludf.DUMMYFUNCTION("""COMPUTED_VALUE"""),"прилади для вимірювання тиску")</f>
        <v>прилади для вимірювання тиску</v>
      </c>
      <c r="D1062" s="15" t="str">
        <f>IFERROR(__xludf.DUMMYFUNCTION("""COMPUTED_VALUE"""),"комплектуючі для пристроїв вимірювання тиску")</f>
        <v>комплектуючі для пристроїв вимірювання тиску</v>
      </c>
      <c r="E1062" s="15" t="str">
        <f>IFERROR(__xludf.DUMMYFUNCTION("""COMPUTED_VALUE"""),"комплектуючі для пристроїв вимірювання тиску")</f>
        <v>комплектуючі для пристроїв вимірювання тиску</v>
      </c>
      <c r="F1062" s="17">
        <f>IFERROR(__xludf.DUMMYFUNCTION("""COMPUTED_VALUE"""),3.0)</f>
        <v>3</v>
      </c>
      <c r="G1062" s="17">
        <f>IFERROR(__xludf.DUMMYFUNCTION("""COMPUTED_VALUE"""),1.5370807E7)</f>
        <v>15370807</v>
      </c>
      <c r="H1062" s="17" t="str">
        <f>IFERROR(__xludf.DUMMYFUNCTION("""COMPUTED_VALUE"""),"комплектуючі для пристроїв вимірювання тиску")</f>
        <v>комплектуючі для пристроїв вимірювання тиску</v>
      </c>
      <c r="I1062" s="18">
        <f>IFERROR(__xludf.DUMMYFUNCTION("""COMPUTED_VALUE"""),0.53)</f>
        <v>0.53</v>
      </c>
      <c r="J1062" s="18">
        <f>IFERROR(__xludf.DUMMYFUNCTION("""COMPUTED_VALUE"""),1.05)</f>
        <v>1.05</v>
      </c>
      <c r="K1062" s="18">
        <f>IFERROR(__xludf.DUMMYFUNCTION("""COMPUTED_VALUE"""),1.31)</f>
        <v>1.31</v>
      </c>
      <c r="L1062" s="18">
        <f>IFERROR(__xludf.DUMMYFUNCTION("""COMPUTED_VALUE"""),2.1)</f>
        <v>2.1</v>
      </c>
    </row>
    <row r="1063">
      <c r="A1063" s="13" t="str">
        <f>IFERROR(__xludf.DUMMYFUNCTION("""COMPUTED_VALUE"""),"товари")</f>
        <v>товари</v>
      </c>
      <c r="B1063" s="13" t="str">
        <f>IFERROR(__xludf.DUMMYFUNCTION("""COMPUTED_VALUE"""),"контрольно-вимірювальні прилади")</f>
        <v>контрольно-вимірювальні прилади</v>
      </c>
      <c r="C1063" s="15" t="str">
        <f>IFERROR(__xludf.DUMMYFUNCTION("""COMPUTED_VALUE"""),"вагове обладнання")</f>
        <v>вагове обладнання</v>
      </c>
      <c r="D1063" s="15" t="str">
        <f>IFERROR(__xludf.DUMMYFUNCTION("""COMPUTED_VALUE"""),"конвеєрні ваги та комплектуючі до них")</f>
        <v>конвеєрні ваги та комплектуючі до них</v>
      </c>
      <c r="E1063" s="15" t="str">
        <f>IFERROR(__xludf.DUMMYFUNCTION("""COMPUTED_VALUE"""),"конвеєрні ваги та комплектуючі до них")</f>
        <v>конвеєрні ваги та комплектуючі до них</v>
      </c>
      <c r="F1063" s="17">
        <f>IFERROR(__xludf.DUMMYFUNCTION("""COMPUTED_VALUE"""),3.0)</f>
        <v>3</v>
      </c>
      <c r="G1063" s="17">
        <f>IFERROR(__xludf.DUMMYFUNCTION("""COMPUTED_VALUE"""),1.5371121E7)</f>
        <v>15371121</v>
      </c>
      <c r="H1063" s="17" t="str">
        <f>IFERROR(__xludf.DUMMYFUNCTION("""COMPUTED_VALUE"""),"конвеєрні ваги та комплектуючі до них")</f>
        <v>конвеєрні ваги та комплектуючі до них</v>
      </c>
      <c r="I1063" s="18">
        <f>IFERROR(__xludf.DUMMYFUNCTION("""COMPUTED_VALUE"""),0.76)</f>
        <v>0.76</v>
      </c>
      <c r="J1063" s="18">
        <f>IFERROR(__xludf.DUMMYFUNCTION("""COMPUTED_VALUE"""),1.53)</f>
        <v>1.53</v>
      </c>
      <c r="K1063" s="18">
        <f>IFERROR(__xludf.DUMMYFUNCTION("""COMPUTED_VALUE"""),1.91)</f>
        <v>1.91</v>
      </c>
      <c r="L1063" s="18">
        <f>IFERROR(__xludf.DUMMYFUNCTION("""COMPUTED_VALUE"""),3.05)</f>
        <v>3.05</v>
      </c>
    </row>
    <row r="1064">
      <c r="A1064" s="13" t="str">
        <f>IFERROR(__xludf.DUMMYFUNCTION("""COMPUTED_VALUE"""),"товари")</f>
        <v>товари</v>
      </c>
      <c r="B1064" s="13" t="str">
        <f>IFERROR(__xludf.DUMMYFUNCTION("""COMPUTED_VALUE"""),"контрольно-вимірювальні прилади")</f>
        <v>контрольно-вимірювальні прилади</v>
      </c>
      <c r="C1064" s="15" t="str">
        <f>IFERROR(__xludf.DUMMYFUNCTION("""COMPUTED_VALUE"""),"лабораторне, випробувальне обладнання")</f>
        <v>лабораторне, випробувальне обладнання</v>
      </c>
      <c r="D1064" s="15" t="str">
        <f>IFERROR(__xludf.DUMMYFUNCTION("""COMPUTED_VALUE"""),"аналізатори")</f>
        <v>аналізатори</v>
      </c>
      <c r="E1064" s="15" t="str">
        <f>IFERROR(__xludf.DUMMYFUNCTION("""COMPUTED_VALUE"""),"кондуктометри")</f>
        <v>кондуктометри</v>
      </c>
      <c r="F1064" s="17">
        <f>IFERROR(__xludf.DUMMYFUNCTION("""COMPUTED_VALUE"""),4.0)</f>
        <v>4</v>
      </c>
      <c r="G1064" s="17">
        <f>IFERROR(__xludf.DUMMYFUNCTION("""COMPUTED_VALUE"""),1.5370113E7)</f>
        <v>15370113</v>
      </c>
      <c r="H1064" s="17" t="str">
        <f>IFERROR(__xludf.DUMMYFUNCTION("""COMPUTED_VALUE"""),"кондуктометри")</f>
        <v>кондуктометри</v>
      </c>
      <c r="I1064" s="18">
        <f>IFERROR(__xludf.DUMMYFUNCTION("""COMPUTED_VALUE"""),1.88)</f>
        <v>1.88</v>
      </c>
      <c r="J1064" s="18">
        <f>IFERROR(__xludf.DUMMYFUNCTION("""COMPUTED_VALUE"""),3.75)</f>
        <v>3.75</v>
      </c>
      <c r="K1064" s="18">
        <f>IFERROR(__xludf.DUMMYFUNCTION("""COMPUTED_VALUE"""),4.69)</f>
        <v>4.69</v>
      </c>
      <c r="L1064" s="18">
        <f>IFERROR(__xludf.DUMMYFUNCTION("""COMPUTED_VALUE"""),7.5)</f>
        <v>7.5</v>
      </c>
    </row>
    <row r="1065">
      <c r="A1065" s="13" t="str">
        <f>IFERROR(__xludf.DUMMYFUNCTION("""COMPUTED_VALUE"""),"товари")</f>
        <v>товари</v>
      </c>
      <c r="B1065" s="13" t="str">
        <f>IFERROR(__xludf.DUMMYFUNCTION("""COMPUTED_VALUE"""),"контрольно-вимірювальні прилади")</f>
        <v>контрольно-вимірювальні прилади</v>
      </c>
      <c r="C1065" s="15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1065" s="15" t="str">
        <f>IFERROR(__xludf.DUMMYFUNCTION("""COMPUTED_VALUE"""),"координатно-вимірювальні машини")</f>
        <v>координатно-вимірювальні машини</v>
      </c>
      <c r="E1065" s="15" t="str">
        <f>IFERROR(__xludf.DUMMYFUNCTION("""COMPUTED_VALUE"""),"координатно-вимірювальні машини")</f>
        <v>координатно-вимірювальні машини</v>
      </c>
      <c r="F1065" s="17">
        <f>IFERROR(__xludf.DUMMYFUNCTION("""COMPUTED_VALUE"""),3.0)</f>
        <v>3</v>
      </c>
      <c r="G1065" s="17">
        <f>IFERROR(__xludf.DUMMYFUNCTION("""COMPUTED_VALUE"""),1.4200606E7)</f>
        <v>14200606</v>
      </c>
      <c r="H1065" s="17" t="str">
        <f>IFERROR(__xludf.DUMMYFUNCTION("""COMPUTED_VALUE"""),"координатно-вимірювальні машини")</f>
        <v>координатно-вимірювальні машини</v>
      </c>
      <c r="I1065" s="18">
        <f>IFERROR(__xludf.DUMMYFUNCTION("""COMPUTED_VALUE"""),0.76)</f>
        <v>0.76</v>
      </c>
      <c r="J1065" s="18">
        <f>IFERROR(__xludf.DUMMYFUNCTION("""COMPUTED_VALUE"""),1.53)</f>
        <v>1.53</v>
      </c>
      <c r="K1065" s="18">
        <f>IFERROR(__xludf.DUMMYFUNCTION("""COMPUTED_VALUE"""),1.91)</f>
        <v>1.91</v>
      </c>
      <c r="L1065" s="18">
        <f>IFERROR(__xludf.DUMMYFUNCTION("""COMPUTED_VALUE"""),3.05)</f>
        <v>3.05</v>
      </c>
    </row>
    <row r="1066">
      <c r="A1066" s="13" t="str">
        <f>IFERROR(__xludf.DUMMYFUNCTION("""COMPUTED_VALUE"""),"товари")</f>
        <v>товари</v>
      </c>
      <c r="B1066" s="13" t="str">
        <f>IFERROR(__xludf.DUMMYFUNCTION("""COMPUTED_VALUE"""),"контрольно-вимірювальні прилади")</f>
        <v>контрольно-вимірювальні прилади</v>
      </c>
      <c r="C1066" s="15" t="str">
        <f>IFERROR(__xludf.DUMMYFUNCTION("""COMPUTED_VALUE"""),"вагове обладнання")</f>
        <v>вагове обладнання</v>
      </c>
      <c r="D1066" s="15" t="str">
        <f>IFERROR(__xludf.DUMMYFUNCTION("""COMPUTED_VALUE"""),"кранові ваги")</f>
        <v>кранові ваги</v>
      </c>
      <c r="E1066" s="15" t="str">
        <f>IFERROR(__xludf.DUMMYFUNCTION("""COMPUTED_VALUE"""),"кранові ваги")</f>
        <v>кранові ваги</v>
      </c>
      <c r="F1066" s="17">
        <f>IFERROR(__xludf.DUMMYFUNCTION("""COMPUTED_VALUE"""),3.0)</f>
        <v>3</v>
      </c>
      <c r="G1066" s="17">
        <f>IFERROR(__xludf.DUMMYFUNCTION("""COMPUTED_VALUE"""),1.5371119E7)</f>
        <v>15371119</v>
      </c>
      <c r="H1066" s="17" t="str">
        <f>IFERROR(__xludf.DUMMYFUNCTION("""COMPUTED_VALUE"""),"кранові ваги")</f>
        <v>кранові ваги</v>
      </c>
      <c r="I1066" s="18">
        <f>IFERROR(__xludf.DUMMYFUNCTION("""COMPUTED_VALUE"""),2.7)</f>
        <v>2.7</v>
      </c>
      <c r="J1066" s="18">
        <f>IFERROR(__xludf.DUMMYFUNCTION("""COMPUTED_VALUE"""),5.4)</f>
        <v>5.4</v>
      </c>
      <c r="K1066" s="18">
        <f>IFERROR(__xludf.DUMMYFUNCTION("""COMPUTED_VALUE"""),6.75)</f>
        <v>6.75</v>
      </c>
      <c r="L1066" s="18">
        <f>IFERROR(__xludf.DUMMYFUNCTION("""COMPUTED_VALUE"""),10.8)</f>
        <v>10.8</v>
      </c>
    </row>
    <row r="1067">
      <c r="A1067" s="13" t="str">
        <f>IFERROR(__xludf.DUMMYFUNCTION("""COMPUTED_VALUE"""),"товари")</f>
        <v>товари</v>
      </c>
      <c r="B1067" s="13" t="str">
        <f>IFERROR(__xludf.DUMMYFUNCTION("""COMPUTED_VALUE"""),"контрольно-вимірювальні прилади")</f>
        <v>контрольно-вимірювальні прилади</v>
      </c>
      <c r="C1067" s="15" t="str">
        <f>IFERROR(__xludf.DUMMYFUNCTION("""COMPUTED_VALUE"""),"лабораторне, випробувальне обладнання")</f>
        <v>лабораторне, випробувальне обладнання</v>
      </c>
      <c r="D1067" s="15" t="str">
        <f>IFERROR(__xludf.DUMMYFUNCTION("""COMPUTED_VALUE"""),"лабораторне, випробувальне обладнання, загальне")</f>
        <v>лабораторне, випробувальне обладнання, загальне</v>
      </c>
      <c r="E1067" s="15" t="str">
        <f>IFERROR(__xludf.DUMMYFUNCTION("""COMPUTED_VALUE"""),"лабораторне, випробувальне обладнання, загальне")</f>
        <v>лабораторне, випробувальне обладнання, загальне</v>
      </c>
      <c r="F1067" s="17">
        <f>IFERROR(__xludf.DUMMYFUNCTION("""COMPUTED_VALUE"""),3.0)</f>
        <v>3</v>
      </c>
      <c r="G1067" s="17">
        <f>IFERROR(__xludf.DUMMYFUNCTION("""COMPUTED_VALUE"""),1.5373201E7)</f>
        <v>15373201</v>
      </c>
      <c r="H1067" s="17" t="str">
        <f>IFERROR(__xludf.DUMMYFUNCTION("""COMPUTED_VALUE"""),"лабораторне, випробувальне обладнання, загальне")</f>
        <v>лабораторне, випробувальне обладнання, загальне</v>
      </c>
      <c r="I1067" s="18">
        <f>IFERROR(__xludf.DUMMYFUNCTION("""COMPUTED_VALUE"""),2.16)</f>
        <v>2.16</v>
      </c>
      <c r="J1067" s="18">
        <f>IFERROR(__xludf.DUMMYFUNCTION("""COMPUTED_VALUE"""),4.33)</f>
        <v>4.33</v>
      </c>
      <c r="K1067" s="18">
        <f>IFERROR(__xludf.DUMMYFUNCTION("""COMPUTED_VALUE"""),5.41)</f>
        <v>5.41</v>
      </c>
      <c r="L1067" s="18">
        <f>IFERROR(__xludf.DUMMYFUNCTION("""COMPUTED_VALUE"""),8.65)</f>
        <v>8.65</v>
      </c>
    </row>
    <row r="1068">
      <c r="A1068" s="13" t="str">
        <f>IFERROR(__xludf.DUMMYFUNCTION("""COMPUTED_VALUE"""),"товари")</f>
        <v>товари</v>
      </c>
      <c r="B1068" s="13" t="str">
        <f>IFERROR(__xludf.DUMMYFUNCTION("""COMPUTED_VALUE"""),"контрольно-вимірювальні прилади")</f>
        <v>контрольно-вимірювальні прилади</v>
      </c>
      <c r="C1068" s="15" t="str">
        <f>IFERROR(__xludf.DUMMYFUNCTION("""COMPUTED_VALUE"""),"вимірювачі фізичних параметрів")</f>
        <v>вимірювачі фізичних параметрів</v>
      </c>
      <c r="D1068" s="15" t="str">
        <f>IFERROR(__xludf.DUMMYFUNCTION("""COMPUTED_VALUE"""),"метроштоки")</f>
        <v>метроштоки</v>
      </c>
      <c r="E1068" s="15" t="str">
        <f>IFERROR(__xludf.DUMMYFUNCTION("""COMPUTED_VALUE"""),"метроштоки")</f>
        <v>метроштоки</v>
      </c>
      <c r="F1068" s="17">
        <f>IFERROR(__xludf.DUMMYFUNCTION("""COMPUTED_VALUE"""),3.0)</f>
        <v>3</v>
      </c>
      <c r="G1068" s="17">
        <f>IFERROR(__xludf.DUMMYFUNCTION("""COMPUTED_VALUE"""),1.5370622E7)</f>
        <v>15370622</v>
      </c>
      <c r="H1068" s="17" t="str">
        <f>IFERROR(__xludf.DUMMYFUNCTION("""COMPUTED_VALUE"""),"метроштоки")</f>
        <v>метроштоки</v>
      </c>
      <c r="I1068" s="18">
        <f>IFERROR(__xludf.DUMMYFUNCTION("""COMPUTED_VALUE"""),0.99)</f>
        <v>0.99</v>
      </c>
      <c r="J1068" s="18">
        <f>IFERROR(__xludf.DUMMYFUNCTION("""COMPUTED_VALUE"""),1.98)</f>
        <v>1.98</v>
      </c>
      <c r="K1068" s="18">
        <f>IFERROR(__xludf.DUMMYFUNCTION("""COMPUTED_VALUE"""),2.47)</f>
        <v>2.47</v>
      </c>
      <c r="L1068" s="18">
        <f>IFERROR(__xludf.DUMMYFUNCTION("""COMPUTED_VALUE"""),3.95)</f>
        <v>3.95</v>
      </c>
    </row>
    <row r="1069">
      <c r="A1069" s="13" t="str">
        <f>IFERROR(__xludf.DUMMYFUNCTION("""COMPUTED_VALUE"""),"товари")</f>
        <v>товари</v>
      </c>
      <c r="B1069" s="13" t="str">
        <f>IFERROR(__xludf.DUMMYFUNCTION("""COMPUTED_VALUE"""),"контрольно-вимірювальні прилади")</f>
        <v>контрольно-вимірювальні прилади</v>
      </c>
      <c r="C1069" s="15" t="str">
        <f>IFERROR(__xludf.DUMMYFUNCTION("""COMPUTED_VALUE"""),"прилади для вимірювання тиску")</f>
        <v>прилади для вимірювання тиску</v>
      </c>
      <c r="D1069" s="15" t="str">
        <f>IFERROR(__xludf.DUMMYFUNCTION("""COMPUTED_VALUE"""),"монітори тиску")</f>
        <v>монітори тиску</v>
      </c>
      <c r="E1069" s="15" t="str">
        <f>IFERROR(__xludf.DUMMYFUNCTION("""COMPUTED_VALUE"""),"монітори тиску")</f>
        <v>монітори тиску</v>
      </c>
      <c r="F1069" s="17">
        <f>IFERROR(__xludf.DUMMYFUNCTION("""COMPUTED_VALUE"""),3.0)</f>
        <v>3</v>
      </c>
      <c r="G1069" s="17">
        <f>IFERROR(__xludf.DUMMYFUNCTION("""COMPUTED_VALUE"""),1.5370802E7)</f>
        <v>15370802</v>
      </c>
      <c r="H1069" s="17" t="str">
        <f>IFERROR(__xludf.DUMMYFUNCTION("""COMPUTED_VALUE"""),"монітори тиску")</f>
        <v>монітори тиску</v>
      </c>
      <c r="I1069" s="18">
        <f>IFERROR(__xludf.DUMMYFUNCTION("""COMPUTED_VALUE"""),0.76)</f>
        <v>0.76</v>
      </c>
      <c r="J1069" s="18">
        <f>IFERROR(__xludf.DUMMYFUNCTION("""COMPUTED_VALUE"""),1.53)</f>
        <v>1.53</v>
      </c>
      <c r="K1069" s="18">
        <f>IFERROR(__xludf.DUMMYFUNCTION("""COMPUTED_VALUE"""),1.91)</f>
        <v>1.91</v>
      </c>
      <c r="L1069" s="18">
        <f>IFERROR(__xludf.DUMMYFUNCTION("""COMPUTED_VALUE"""),3.05)</f>
        <v>3.05</v>
      </c>
    </row>
    <row r="1070">
      <c r="A1070" s="13" t="str">
        <f>IFERROR(__xludf.DUMMYFUNCTION("""COMPUTED_VALUE"""),"товари")</f>
        <v>товари</v>
      </c>
      <c r="B1070" s="13" t="str">
        <f>IFERROR(__xludf.DUMMYFUNCTION("""COMPUTED_VALUE"""),"контрольно-вимірювальні прилади")</f>
        <v>контрольно-вимірювальні прилади</v>
      </c>
      <c r="C1070" s="16" t="str">
        <f>IFERROR(__xludf.DUMMYFUNCTION("""COMPUTED_VALUE"""),"прилади неруйнівного контролю")</f>
        <v>прилади неруйнівного контролю</v>
      </c>
      <c r="D1070" s="16" t="str">
        <f>IFERROR(__xludf.DUMMYFUNCTION("""COMPUTED_VALUE"""),"обладнання для неруйнівного контролю, загальне")</f>
        <v>обладнання для неруйнівного контролю, загальне</v>
      </c>
      <c r="E1070" s="16" t="str">
        <f>IFERROR(__xludf.DUMMYFUNCTION("""COMPUTED_VALUE"""),"обладнання для неруйнівного контролю, загальне")</f>
        <v>обладнання для неруйнівного контролю, загальне</v>
      </c>
      <c r="F1070" s="17">
        <f>IFERROR(__xludf.DUMMYFUNCTION("""COMPUTED_VALUE"""),3.0)</f>
        <v>3</v>
      </c>
      <c r="G1070" s="17">
        <f>IFERROR(__xludf.DUMMYFUNCTION("""COMPUTED_VALUE"""),1.5370611E7)</f>
        <v>15370611</v>
      </c>
      <c r="H1070" s="17" t="str">
        <f>IFERROR(__xludf.DUMMYFUNCTION("""COMPUTED_VALUE"""),"обладнання для неруйнівного контролю, загальне")</f>
        <v>обладнання для неруйнівного контролю, загальне</v>
      </c>
      <c r="I1070" s="18">
        <f>IFERROR(__xludf.DUMMYFUNCTION("""COMPUTED_VALUE"""),2.16)</f>
        <v>2.16</v>
      </c>
      <c r="J1070" s="18">
        <f>IFERROR(__xludf.DUMMYFUNCTION("""COMPUTED_VALUE"""),4.33)</f>
        <v>4.33</v>
      </c>
      <c r="K1070" s="18">
        <f>IFERROR(__xludf.DUMMYFUNCTION("""COMPUTED_VALUE"""),5.41)</f>
        <v>5.41</v>
      </c>
      <c r="L1070" s="18">
        <f>IFERROR(__xludf.DUMMYFUNCTION("""COMPUTED_VALUE"""),8.65)</f>
        <v>8.65</v>
      </c>
    </row>
    <row r="1071">
      <c r="A1071" s="13" t="str">
        <f>IFERROR(__xludf.DUMMYFUNCTION("""COMPUTED_VALUE"""),"товари")</f>
        <v>товари</v>
      </c>
      <c r="B1071" s="13" t="str">
        <f>IFERROR(__xludf.DUMMYFUNCTION("""COMPUTED_VALUE"""),"контрольно-вимірювальні прилади")</f>
        <v>контрольно-вимірювальні прилади</v>
      </c>
      <c r="C1071" s="15" t="str">
        <f>IFERROR(__xludf.DUMMYFUNCTION("""COMPUTED_VALUE"""),"лабораторне, випробувальне обладнання")</f>
        <v>лабораторне, випробувальне обладнання</v>
      </c>
      <c r="D1071" s="15" t="str">
        <f>IFERROR(__xludf.DUMMYFUNCTION("""COMPUTED_VALUE"""),"обладнання для пробопідготовки ")</f>
        <v>обладнання для пробопідготовки </v>
      </c>
      <c r="E1071" s="15" t="str">
        <f>IFERROR(__xludf.DUMMYFUNCTION("""COMPUTED_VALUE"""),"обладнання для пробопідготовки ")</f>
        <v>обладнання для пробопідготовки </v>
      </c>
      <c r="F1071" s="17">
        <f>IFERROR(__xludf.DUMMYFUNCTION("""COMPUTED_VALUE"""),3.0)</f>
        <v>3</v>
      </c>
      <c r="G1071" s="17">
        <f>IFERROR(__xludf.DUMMYFUNCTION("""COMPUTED_VALUE"""),1.5373203E7)</f>
        <v>15373203</v>
      </c>
      <c r="H1071" s="17" t="str">
        <f>IFERROR(__xludf.DUMMYFUNCTION("""COMPUTED_VALUE"""),"обладнання для пробопідготовки ")</f>
        <v>обладнання для пробопідготовки </v>
      </c>
      <c r="I1071" s="18">
        <f>IFERROR(__xludf.DUMMYFUNCTION("""COMPUTED_VALUE"""),0.76)</f>
        <v>0.76</v>
      </c>
      <c r="J1071" s="18">
        <f>IFERROR(__xludf.DUMMYFUNCTION("""COMPUTED_VALUE"""),1.53)</f>
        <v>1.53</v>
      </c>
      <c r="K1071" s="18">
        <f>IFERROR(__xludf.DUMMYFUNCTION("""COMPUTED_VALUE"""),1.91)</f>
        <v>1.91</v>
      </c>
      <c r="L1071" s="18">
        <f>IFERROR(__xludf.DUMMYFUNCTION("""COMPUTED_VALUE"""),3.05)</f>
        <v>3.05</v>
      </c>
    </row>
    <row r="1072">
      <c r="A1072" s="13" t="str">
        <f>IFERROR(__xludf.DUMMYFUNCTION("""COMPUTED_VALUE"""),"товари")</f>
        <v>товари</v>
      </c>
      <c r="B1072" s="13" t="str">
        <f>IFERROR(__xludf.DUMMYFUNCTION("""COMPUTED_VALUE"""),"контрольно-вимірювальні прилади")</f>
        <v>контрольно-вимірювальні прилади</v>
      </c>
      <c r="C1072" s="15" t="str">
        <f>IFERROR(__xludf.DUMMYFUNCTION("""COMPUTED_VALUE"""),"лабораторне, випробувальне обладнання")</f>
        <v>лабораторне, випробувальне обладнання</v>
      </c>
      <c r="D1072" s="15" t="str">
        <f>IFERROR(__xludf.DUMMYFUNCTION("""COMPUTED_VALUE"""),"аналізатори")</f>
        <v>аналізатори</v>
      </c>
      <c r="E1072" s="15" t="str">
        <f>IFERROR(__xludf.DUMMYFUNCTION("""COMPUTED_VALUE"""),"овп-метри")</f>
        <v>овп-метри</v>
      </c>
      <c r="F1072" s="17">
        <f>IFERROR(__xludf.DUMMYFUNCTION("""COMPUTED_VALUE"""),4.0)</f>
        <v>4</v>
      </c>
      <c r="G1072" s="17">
        <f>IFERROR(__xludf.DUMMYFUNCTION("""COMPUTED_VALUE"""),1.5370115E7)</f>
        <v>15370115</v>
      </c>
      <c r="H1072" s="17" t="str">
        <f>IFERROR(__xludf.DUMMYFUNCTION("""COMPUTED_VALUE"""),"овп-метри")</f>
        <v>овп-метри</v>
      </c>
      <c r="I1072" s="18">
        <f>IFERROR(__xludf.DUMMYFUNCTION("""COMPUTED_VALUE"""),1.88)</f>
        <v>1.88</v>
      </c>
      <c r="J1072" s="18">
        <f>IFERROR(__xludf.DUMMYFUNCTION("""COMPUTED_VALUE"""),3.75)</f>
        <v>3.75</v>
      </c>
      <c r="K1072" s="18">
        <f>IFERROR(__xludf.DUMMYFUNCTION("""COMPUTED_VALUE"""),4.69)</f>
        <v>4.69</v>
      </c>
      <c r="L1072" s="18">
        <f>IFERROR(__xludf.DUMMYFUNCTION("""COMPUTED_VALUE"""),7.5)</f>
        <v>7.5</v>
      </c>
    </row>
    <row r="1073">
      <c r="A1073" s="13" t="str">
        <f>IFERROR(__xludf.DUMMYFUNCTION("""COMPUTED_VALUE"""),"товари")</f>
        <v>товари</v>
      </c>
      <c r="B1073" s="13" t="str">
        <f>IFERROR(__xludf.DUMMYFUNCTION("""COMPUTED_VALUE"""),"контрольно-вимірювальні прилади")</f>
        <v>контрольно-вимірювальні прилади</v>
      </c>
      <c r="C1073" s="15" t="str">
        <f>IFERROR(__xludf.DUMMYFUNCTION("""COMPUTED_VALUE"""),"електровимірювальні прилади")</f>
        <v>електровимірювальні прилади</v>
      </c>
      <c r="D1073" s="15" t="str">
        <f>IFERROR(__xludf.DUMMYFUNCTION("""COMPUTED_VALUE"""),"омметри")</f>
        <v>омметри</v>
      </c>
      <c r="E1073" s="15" t="str">
        <f>IFERROR(__xludf.DUMMYFUNCTION("""COMPUTED_VALUE"""),"омметри")</f>
        <v>омметри</v>
      </c>
      <c r="F1073" s="17">
        <f>IFERROR(__xludf.DUMMYFUNCTION("""COMPUTED_VALUE"""),3.0)</f>
        <v>3</v>
      </c>
      <c r="G1073" s="17">
        <f>IFERROR(__xludf.DUMMYFUNCTION("""COMPUTED_VALUE"""),1.5370309E7)</f>
        <v>15370309</v>
      </c>
      <c r="H1073" s="17" t="str">
        <f>IFERROR(__xludf.DUMMYFUNCTION("""COMPUTED_VALUE"""),"омметри")</f>
        <v>омметри</v>
      </c>
      <c r="I1073" s="18">
        <f>IFERROR(__xludf.DUMMYFUNCTION("""COMPUTED_VALUE"""),0.76)</f>
        <v>0.76</v>
      </c>
      <c r="J1073" s="18">
        <f>IFERROR(__xludf.DUMMYFUNCTION("""COMPUTED_VALUE"""),1.53)</f>
        <v>1.53</v>
      </c>
      <c r="K1073" s="18">
        <f>IFERROR(__xludf.DUMMYFUNCTION("""COMPUTED_VALUE"""),1.91)</f>
        <v>1.91</v>
      </c>
      <c r="L1073" s="18">
        <f>IFERROR(__xludf.DUMMYFUNCTION("""COMPUTED_VALUE"""),3.05)</f>
        <v>3.05</v>
      </c>
    </row>
    <row r="1074">
      <c r="A1074" s="13" t="str">
        <f>IFERROR(__xludf.DUMMYFUNCTION("""COMPUTED_VALUE"""),"товари")</f>
        <v>товари</v>
      </c>
      <c r="B1074" s="13" t="str">
        <f>IFERROR(__xludf.DUMMYFUNCTION("""COMPUTED_VALUE"""),"контрольно-вимірювальні прилади")</f>
        <v>контрольно-вимірювальні прилади</v>
      </c>
      <c r="C1074" s="15" t="str">
        <f>IFERROR(__xludf.DUMMYFUNCTION("""COMPUTED_VALUE"""),"геодезичне обладнання")</f>
        <v>геодезичне обладнання</v>
      </c>
      <c r="D1074" s="15" t="str">
        <f>IFERROR(__xludf.DUMMYFUNCTION("""COMPUTED_VALUE"""),"польові контролери")</f>
        <v>польові контролери</v>
      </c>
      <c r="E1074" s="15" t="str">
        <f>IFERROR(__xludf.DUMMYFUNCTION("""COMPUTED_VALUE"""),"польові контролери")</f>
        <v>польові контролери</v>
      </c>
      <c r="F1074" s="17">
        <f>IFERROR(__xludf.DUMMYFUNCTION("""COMPUTED_VALUE"""),3.0)</f>
        <v>3</v>
      </c>
      <c r="G1074" s="17">
        <f>IFERROR(__xludf.DUMMYFUNCTION("""COMPUTED_VALUE"""),1.3040904E7)</f>
        <v>13040904</v>
      </c>
      <c r="H1074" s="17" t="str">
        <f>IFERROR(__xludf.DUMMYFUNCTION("""COMPUTED_VALUE"""),"польові контролери")</f>
        <v>польові контролери</v>
      </c>
      <c r="I1074" s="18">
        <f>IFERROR(__xludf.DUMMYFUNCTION("""COMPUTED_VALUE"""),0.9)</f>
        <v>0.9</v>
      </c>
      <c r="J1074" s="18">
        <f>IFERROR(__xludf.DUMMYFUNCTION("""COMPUTED_VALUE"""),1.8)</f>
        <v>1.8</v>
      </c>
      <c r="K1074" s="18">
        <f>IFERROR(__xludf.DUMMYFUNCTION("""COMPUTED_VALUE"""),2.25)</f>
        <v>2.25</v>
      </c>
      <c r="L1074" s="18">
        <f>IFERROR(__xludf.DUMMYFUNCTION("""COMPUTED_VALUE"""),3.6)</f>
        <v>3.6</v>
      </c>
    </row>
    <row r="1075">
      <c r="A1075" s="13" t="str">
        <f>IFERROR(__xludf.DUMMYFUNCTION("""COMPUTED_VALUE"""),"товари")</f>
        <v>товари</v>
      </c>
      <c r="B1075" s="13" t="str">
        <f>IFERROR(__xludf.DUMMYFUNCTION("""COMPUTED_VALUE"""),"контрольно-вимірювальні прилади")</f>
        <v>контрольно-вимірювальні прилади</v>
      </c>
      <c r="C1075" s="15" t="str">
        <f>IFERROR(__xludf.DUMMYFUNCTION("""COMPUTED_VALUE"""),"прилади для вимірювання тиску")</f>
        <v>прилади для вимірювання тиску</v>
      </c>
      <c r="D1075" s="15" t="str">
        <f>IFERROR(__xludf.DUMMYFUNCTION("""COMPUTED_VALUE"""),"прилади для вимірювання тиску, загальне")</f>
        <v>прилади для вимірювання тиску, загальне</v>
      </c>
      <c r="E1075" s="15" t="str">
        <f>IFERROR(__xludf.DUMMYFUNCTION("""COMPUTED_VALUE"""),"прилади для вимірювання тиску, загальне")</f>
        <v>прилади для вимірювання тиску, загальне</v>
      </c>
      <c r="F1075" s="17">
        <f>IFERROR(__xludf.DUMMYFUNCTION("""COMPUTED_VALUE"""),3.0)</f>
        <v>3</v>
      </c>
      <c r="G1075" s="17">
        <f>IFERROR(__xludf.DUMMYFUNCTION("""COMPUTED_VALUE"""),1.5370899E7)</f>
        <v>15370899</v>
      </c>
      <c r="H1075" s="17" t="str">
        <f>IFERROR(__xludf.DUMMYFUNCTION("""COMPUTED_VALUE"""),"прилади для вимірювання тиску, загальне")</f>
        <v>прилади для вимірювання тиску, загальне</v>
      </c>
      <c r="I1075" s="18">
        <f>IFERROR(__xludf.DUMMYFUNCTION("""COMPUTED_VALUE"""),2.16)</f>
        <v>2.16</v>
      </c>
      <c r="J1075" s="18">
        <f>IFERROR(__xludf.DUMMYFUNCTION("""COMPUTED_VALUE"""),4.33)</f>
        <v>4.33</v>
      </c>
      <c r="K1075" s="18">
        <f>IFERROR(__xludf.DUMMYFUNCTION("""COMPUTED_VALUE"""),5.41)</f>
        <v>5.41</v>
      </c>
      <c r="L1075" s="18">
        <f>IFERROR(__xludf.DUMMYFUNCTION("""COMPUTED_VALUE"""),8.65)</f>
        <v>8.65</v>
      </c>
    </row>
    <row r="1076">
      <c r="A1076" s="13" t="str">
        <f>IFERROR(__xludf.DUMMYFUNCTION("""COMPUTED_VALUE"""),"товари")</f>
        <v>товари</v>
      </c>
      <c r="B1076" s="13" t="str">
        <f>IFERROR(__xludf.DUMMYFUNCTION("""COMPUTED_VALUE"""),"контрольно-вимірювальні прилади")</f>
        <v>контрольно-вимірювальні прилади</v>
      </c>
      <c r="C1076" s="15" t="str">
        <f>IFERROR(__xludf.DUMMYFUNCTION("""COMPUTED_VALUE"""),"оптичні прилади і системи")</f>
        <v>оптичні прилади і системи</v>
      </c>
      <c r="D1076" s="15" t="str">
        <f>IFERROR(__xludf.DUMMYFUNCTION("""COMPUTED_VALUE"""),"рефрактометри")</f>
        <v>рефрактометри</v>
      </c>
      <c r="E1076" s="15" t="str">
        <f>IFERROR(__xludf.DUMMYFUNCTION("""COMPUTED_VALUE"""),"рефрактометри")</f>
        <v>рефрактометри</v>
      </c>
      <c r="F1076" s="17">
        <f>IFERROR(__xludf.DUMMYFUNCTION("""COMPUTED_VALUE"""),3.0)</f>
        <v>3</v>
      </c>
      <c r="G1076" s="17">
        <f>IFERROR(__xludf.DUMMYFUNCTION("""COMPUTED_VALUE"""),1.5370708E7)</f>
        <v>15370708</v>
      </c>
      <c r="H1076" s="17" t="str">
        <f>IFERROR(__xludf.DUMMYFUNCTION("""COMPUTED_VALUE"""),"рефрактометри")</f>
        <v>рефрактометри</v>
      </c>
      <c r="I1076" s="18">
        <f>IFERROR(__xludf.DUMMYFUNCTION("""COMPUTED_VALUE"""),1.58)</f>
        <v>1.58</v>
      </c>
      <c r="J1076" s="18">
        <f>IFERROR(__xludf.DUMMYFUNCTION("""COMPUTED_VALUE"""),3.15)</f>
        <v>3.15</v>
      </c>
      <c r="K1076" s="18">
        <f>IFERROR(__xludf.DUMMYFUNCTION("""COMPUTED_VALUE"""),3.94)</f>
        <v>3.94</v>
      </c>
      <c r="L1076" s="18">
        <f>IFERROR(__xludf.DUMMYFUNCTION("""COMPUTED_VALUE"""),6.3)</f>
        <v>6.3</v>
      </c>
    </row>
    <row r="1077">
      <c r="A1077" s="13" t="str">
        <f>IFERROR(__xludf.DUMMYFUNCTION("""COMPUTED_VALUE"""),"товари")</f>
        <v>товари</v>
      </c>
      <c r="B1077" s="13" t="str">
        <f>IFERROR(__xludf.DUMMYFUNCTION("""COMPUTED_VALUE"""),"контрольно-вимірювальні прилади")</f>
        <v>контрольно-вимірювальні прилади</v>
      </c>
      <c r="C1077" s="15" t="str">
        <f>IFERROR(__xludf.DUMMYFUNCTION("""COMPUTED_VALUE"""),"оптичні прилади і системи")</f>
        <v>оптичні прилади і системи</v>
      </c>
      <c r="D1077" s="15" t="str">
        <f>IFERROR(__xludf.DUMMYFUNCTION("""COMPUTED_VALUE"""),"спектрометри")</f>
        <v>спектрометри</v>
      </c>
      <c r="E1077" s="15" t="str">
        <f>IFERROR(__xludf.DUMMYFUNCTION("""COMPUTED_VALUE"""),"спектрометри")</f>
        <v>спектрометри</v>
      </c>
      <c r="F1077" s="17">
        <f>IFERROR(__xludf.DUMMYFUNCTION("""COMPUTED_VALUE"""),3.0)</f>
        <v>3</v>
      </c>
      <c r="G1077" s="17">
        <f>IFERROR(__xludf.DUMMYFUNCTION("""COMPUTED_VALUE"""),1.5370709E7)</f>
        <v>15370709</v>
      </c>
      <c r="H1077" s="17" t="str">
        <f>IFERROR(__xludf.DUMMYFUNCTION("""COMPUTED_VALUE"""),"спектрометри")</f>
        <v>спектрометри</v>
      </c>
      <c r="I1077" s="18">
        <f>IFERROR(__xludf.DUMMYFUNCTION("""COMPUTED_VALUE"""),1.44)</f>
        <v>1.44</v>
      </c>
      <c r="J1077" s="18">
        <f>IFERROR(__xludf.DUMMYFUNCTION("""COMPUTED_VALUE"""),2.88)</f>
        <v>2.88</v>
      </c>
      <c r="K1077" s="18">
        <f>IFERROR(__xludf.DUMMYFUNCTION("""COMPUTED_VALUE"""),3.59)</f>
        <v>3.59</v>
      </c>
      <c r="L1077" s="18">
        <f>IFERROR(__xludf.DUMMYFUNCTION("""COMPUTED_VALUE"""),5.75)</f>
        <v>5.75</v>
      </c>
    </row>
    <row r="1078">
      <c r="A1078" s="13" t="str">
        <f>IFERROR(__xludf.DUMMYFUNCTION("""COMPUTED_VALUE"""),"товари")</f>
        <v>товари</v>
      </c>
      <c r="B1078" s="13" t="str">
        <f>IFERROR(__xludf.DUMMYFUNCTION("""COMPUTED_VALUE"""),"контрольно-вимірювальні прилади")</f>
        <v>контрольно-вимірювальні прилади</v>
      </c>
      <c r="C1078" s="15" t="str">
        <f>IFERROR(__xludf.DUMMYFUNCTION("""COMPUTED_VALUE"""),"вимірювачі фізичних параметрів")</f>
        <v>вимірювачі фізичних параметрів</v>
      </c>
      <c r="D1078" s="15" t="str">
        <f>IFERROR(__xludf.DUMMYFUNCTION("""COMPUTED_VALUE"""),"тахографи")</f>
        <v>тахографи</v>
      </c>
      <c r="E1078" s="15" t="str">
        <f>IFERROR(__xludf.DUMMYFUNCTION("""COMPUTED_VALUE"""),"тахографи")</f>
        <v>тахографи</v>
      </c>
      <c r="F1078" s="17">
        <f>IFERROR(__xludf.DUMMYFUNCTION("""COMPUTED_VALUE"""),3.0)</f>
        <v>3</v>
      </c>
      <c r="G1078" s="17">
        <f>IFERROR(__xludf.DUMMYFUNCTION("""COMPUTED_VALUE"""),1.5370625E7)</f>
        <v>15370625</v>
      </c>
      <c r="H1078" s="17" t="str">
        <f>IFERROR(__xludf.DUMMYFUNCTION("""COMPUTED_VALUE"""),"тахографи")</f>
        <v>тахографи</v>
      </c>
      <c r="I1078" s="18">
        <f>IFERROR(__xludf.DUMMYFUNCTION("""COMPUTED_VALUE"""),0.53)</f>
        <v>0.53</v>
      </c>
      <c r="J1078" s="18">
        <f>IFERROR(__xludf.DUMMYFUNCTION("""COMPUTED_VALUE"""),1.05)</f>
        <v>1.05</v>
      </c>
      <c r="K1078" s="18">
        <f>IFERROR(__xludf.DUMMYFUNCTION("""COMPUTED_VALUE"""),1.31)</f>
        <v>1.31</v>
      </c>
      <c r="L1078" s="18">
        <f>IFERROR(__xludf.DUMMYFUNCTION("""COMPUTED_VALUE"""),2.1)</f>
        <v>2.1</v>
      </c>
    </row>
    <row r="1079">
      <c r="A1079" s="13" t="str">
        <f>IFERROR(__xludf.DUMMYFUNCTION("""COMPUTED_VALUE"""),"товари")</f>
        <v>товари</v>
      </c>
      <c r="B1079" s="13" t="str">
        <f>IFERROR(__xludf.DUMMYFUNCTION("""COMPUTED_VALUE"""),"контрольно-вимірювальні прилади")</f>
        <v>контрольно-вимірювальні прилади</v>
      </c>
      <c r="C1079" s="15" t="str">
        <f>IFERROR(__xludf.DUMMYFUNCTION("""COMPUTED_VALUE"""),"геодезичне обладнання")</f>
        <v>геодезичне обладнання</v>
      </c>
      <c r="D1079" s="15" t="str">
        <f>IFERROR(__xludf.DUMMYFUNCTION("""COMPUTED_VALUE"""),"теодоліти")</f>
        <v>теодоліти</v>
      </c>
      <c r="E1079" s="15" t="str">
        <f>IFERROR(__xludf.DUMMYFUNCTION("""COMPUTED_VALUE"""),"теодоліти")</f>
        <v>теодоліти</v>
      </c>
      <c r="F1079" s="17">
        <f>IFERROR(__xludf.DUMMYFUNCTION("""COMPUTED_VALUE"""),3.0)</f>
        <v>3</v>
      </c>
      <c r="G1079" s="17">
        <f>IFERROR(__xludf.DUMMYFUNCTION("""COMPUTED_VALUE"""),1.3040901E7)</f>
        <v>13040901</v>
      </c>
      <c r="H1079" s="17" t="str">
        <f>IFERROR(__xludf.DUMMYFUNCTION("""COMPUTED_VALUE"""),"теодоліти")</f>
        <v>теодоліти</v>
      </c>
      <c r="I1079" s="18">
        <f>IFERROR(__xludf.DUMMYFUNCTION("""COMPUTED_VALUE"""),0.76)</f>
        <v>0.76</v>
      </c>
      <c r="J1079" s="18">
        <f>IFERROR(__xludf.DUMMYFUNCTION("""COMPUTED_VALUE"""),1.53)</f>
        <v>1.53</v>
      </c>
      <c r="K1079" s="18">
        <f>IFERROR(__xludf.DUMMYFUNCTION("""COMPUTED_VALUE"""),1.91)</f>
        <v>1.91</v>
      </c>
      <c r="L1079" s="18">
        <f>IFERROR(__xludf.DUMMYFUNCTION("""COMPUTED_VALUE"""),3.05)</f>
        <v>3.05</v>
      </c>
    </row>
    <row r="1080">
      <c r="A1080" s="13" t="str">
        <f>IFERROR(__xludf.DUMMYFUNCTION("""COMPUTED_VALUE"""),"товари")</f>
        <v>товари</v>
      </c>
      <c r="B1080" s="13" t="str">
        <f>IFERROR(__xludf.DUMMYFUNCTION("""COMPUTED_VALUE"""),"контрольно-вимірювальні прилади")</f>
        <v>контрольно-вимірювальні прилади</v>
      </c>
      <c r="C1080" s="15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080" s="15" t="str">
        <f>IFERROR(__xludf.DUMMYFUNCTION("""COMPUTED_VALUE"""),"термометри опору")</f>
        <v>термометри опору</v>
      </c>
      <c r="E1080" s="15" t="str">
        <f>IFERROR(__xludf.DUMMYFUNCTION("""COMPUTED_VALUE"""),"термометри опору")</f>
        <v>термометри опору</v>
      </c>
      <c r="F1080" s="17">
        <f>IFERROR(__xludf.DUMMYFUNCTION("""COMPUTED_VALUE"""),3.0)</f>
        <v>3</v>
      </c>
      <c r="G1080" s="17">
        <f>IFERROR(__xludf.DUMMYFUNCTION("""COMPUTED_VALUE"""),1.5373003E7)</f>
        <v>15373003</v>
      </c>
      <c r="H1080" s="17" t="str">
        <f>IFERROR(__xludf.DUMMYFUNCTION("""COMPUTED_VALUE"""),"термометри опору")</f>
        <v>термометри опору</v>
      </c>
      <c r="I1080" s="18">
        <f>IFERROR(__xludf.DUMMYFUNCTION("""COMPUTED_VALUE"""),0.53)</f>
        <v>0.53</v>
      </c>
      <c r="J1080" s="18">
        <f>IFERROR(__xludf.DUMMYFUNCTION("""COMPUTED_VALUE"""),1.05)</f>
        <v>1.05</v>
      </c>
      <c r="K1080" s="18">
        <f>IFERROR(__xludf.DUMMYFUNCTION("""COMPUTED_VALUE"""),1.31)</f>
        <v>1.31</v>
      </c>
      <c r="L1080" s="18">
        <f>IFERROR(__xludf.DUMMYFUNCTION("""COMPUTED_VALUE"""),2.1)</f>
        <v>2.1</v>
      </c>
    </row>
    <row r="1081">
      <c r="A1081" s="13" t="str">
        <f>IFERROR(__xludf.DUMMYFUNCTION("""COMPUTED_VALUE"""),"товари")</f>
        <v>товари</v>
      </c>
      <c r="B1081" s="13" t="str">
        <f>IFERROR(__xludf.DUMMYFUNCTION("""COMPUTED_VALUE"""),"контрольно-вимірювальні прилади")</f>
        <v>контрольно-вимірювальні прилади</v>
      </c>
      <c r="C1081" s="15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081" s="15" t="str">
        <f>IFERROR(__xludf.DUMMYFUNCTION("""COMPUTED_VALUE"""),"терморегулятори промислові")</f>
        <v>терморегулятори промислові</v>
      </c>
      <c r="E1081" s="15" t="str">
        <f>IFERROR(__xludf.DUMMYFUNCTION("""COMPUTED_VALUE"""),"терморегулятори промислові")</f>
        <v>терморегулятори промислові</v>
      </c>
      <c r="F1081" s="17">
        <f>IFERROR(__xludf.DUMMYFUNCTION("""COMPUTED_VALUE"""),3.0)</f>
        <v>3</v>
      </c>
      <c r="G1081" s="17">
        <f>IFERROR(__xludf.DUMMYFUNCTION("""COMPUTED_VALUE"""),1.5373002E7)</f>
        <v>15373002</v>
      </c>
      <c r="H1081" s="17" t="str">
        <f>IFERROR(__xludf.DUMMYFUNCTION("""COMPUTED_VALUE"""),"терморегулятори промислові")</f>
        <v>терморегулятори промислові</v>
      </c>
      <c r="I1081" s="18">
        <f>IFERROR(__xludf.DUMMYFUNCTION("""COMPUTED_VALUE"""),0.72)</f>
        <v>0.72</v>
      </c>
      <c r="J1081" s="18">
        <f>IFERROR(__xludf.DUMMYFUNCTION("""COMPUTED_VALUE"""),1.44)</f>
        <v>1.44</v>
      </c>
      <c r="K1081" s="18">
        <f>IFERROR(__xludf.DUMMYFUNCTION("""COMPUTED_VALUE"""),1.8)</f>
        <v>1.8</v>
      </c>
      <c r="L1081" s="18">
        <f>IFERROR(__xludf.DUMMYFUNCTION("""COMPUTED_VALUE"""),2.88)</f>
        <v>2.88</v>
      </c>
    </row>
    <row r="1082">
      <c r="A1082" s="13" t="str">
        <f>IFERROR(__xludf.DUMMYFUNCTION("""COMPUTED_VALUE"""),"послуги")</f>
        <v>послуги</v>
      </c>
      <c r="B1082" s="13" t="str">
        <f>IFERROR(__xludf.DUMMYFUNCTION("""COMPUTED_VALUE"""),"логістичні та складські послуги")</f>
        <v>логістичні та складські послуги</v>
      </c>
      <c r="C1082" s="15" t="str">
        <f>IFERROR(__xludf.DUMMYFUNCTION("""COMPUTED_VALUE"""),"транспортні послуги")</f>
        <v>транспортні послуги</v>
      </c>
      <c r="D1082" s="15" t="str">
        <f>IFERROR(__xludf.DUMMYFUNCTION("""COMPUTED_VALUE"""),"вантажні перевезення")</f>
        <v>вантажні перевезення</v>
      </c>
      <c r="E1082" s="15" t="str">
        <f>IFERROR(__xludf.DUMMYFUNCTION("""COMPUTED_VALUE"""),"вантажні перевезення")</f>
        <v>вантажні перевезення</v>
      </c>
      <c r="F1082" s="17">
        <f>IFERROR(__xludf.DUMMYFUNCTION("""COMPUTED_VALUE"""),3.0)</f>
        <v>3</v>
      </c>
      <c r="G1082" s="17">
        <f>IFERROR(__xludf.DUMMYFUNCTION("""COMPUTED_VALUE"""),282405.0)</f>
        <v>282405</v>
      </c>
      <c r="H1082" s="17" t="str">
        <f>IFERROR(__xludf.DUMMYFUNCTION("""COMPUTED_VALUE"""),"вантажні перевезення")</f>
        <v>вантажні перевезення</v>
      </c>
      <c r="I1082" s="18">
        <f>IFERROR(__xludf.DUMMYFUNCTION("""COMPUTED_VALUE"""),2.03)</f>
        <v>2.03</v>
      </c>
      <c r="J1082" s="18">
        <f>IFERROR(__xludf.DUMMYFUNCTION("""COMPUTED_VALUE"""),4.05)</f>
        <v>4.05</v>
      </c>
      <c r="K1082" s="18">
        <f>IFERROR(__xludf.DUMMYFUNCTION("""COMPUTED_VALUE"""),5.06)</f>
        <v>5.06</v>
      </c>
      <c r="L1082" s="18">
        <f>IFERROR(__xludf.DUMMYFUNCTION("""COMPUTED_VALUE"""),8.1)</f>
        <v>8.1</v>
      </c>
    </row>
    <row r="1083">
      <c r="A1083" s="13" t="str">
        <f>IFERROR(__xludf.DUMMYFUNCTION("""COMPUTED_VALUE"""),"послуги")</f>
        <v>послуги</v>
      </c>
      <c r="B1083" s="13" t="str">
        <f>IFERROR(__xludf.DUMMYFUNCTION("""COMPUTED_VALUE"""),"логістичні та складські послуги")</f>
        <v>логістичні та складські послуги</v>
      </c>
      <c r="C1083" s="15" t="str">
        <f>IFERROR(__xludf.DUMMYFUNCTION("""COMPUTED_VALUE"""),"логістичні та складські послуги, загальне")</f>
        <v>логістичні та складські послуги, загальне</v>
      </c>
      <c r="D1083" s="15" t="str">
        <f>IFERROR(__xludf.DUMMYFUNCTION("""COMPUTED_VALUE"""),"логістичні та складські послуги, загальне")</f>
        <v>логістичні та складські послуги, загальне</v>
      </c>
      <c r="E1083" s="15" t="str">
        <f>IFERROR(__xludf.DUMMYFUNCTION("""COMPUTED_VALUE"""),"логістичні та складські послуги, загальне")</f>
        <v>логістичні та складські послуги, загальне</v>
      </c>
      <c r="F1083" s="17">
        <f>IFERROR(__xludf.DUMMYFUNCTION("""COMPUTED_VALUE"""),2.0)</f>
        <v>2</v>
      </c>
      <c r="G1083" s="17">
        <f>IFERROR(__xludf.DUMMYFUNCTION("""COMPUTED_VALUE"""),280799.0)</f>
        <v>280799</v>
      </c>
      <c r="H1083" s="17" t="str">
        <f>IFERROR(__xludf.DUMMYFUNCTION("""COMPUTED_VALUE"""),"логістичні та складські послуги, загальне")</f>
        <v>логістичні та складські послуги, загальне</v>
      </c>
      <c r="I1083" s="18">
        <f>IFERROR(__xludf.DUMMYFUNCTION("""COMPUTED_VALUE"""),2.16)</f>
        <v>2.16</v>
      </c>
      <c r="J1083" s="18">
        <f>IFERROR(__xludf.DUMMYFUNCTION("""COMPUTED_VALUE"""),4.33)</f>
        <v>4.33</v>
      </c>
      <c r="K1083" s="18">
        <f>IFERROR(__xludf.DUMMYFUNCTION("""COMPUTED_VALUE"""),5.41)</f>
        <v>5.41</v>
      </c>
      <c r="L1083" s="18">
        <f>IFERROR(__xludf.DUMMYFUNCTION("""COMPUTED_VALUE"""),8.65)</f>
        <v>8.65</v>
      </c>
    </row>
    <row r="1084">
      <c r="A1084" s="13" t="str">
        <f>IFERROR(__xludf.DUMMYFUNCTION("""COMPUTED_VALUE"""),"послуги")</f>
        <v>послуги</v>
      </c>
      <c r="B1084" s="13" t="str">
        <f>IFERROR(__xludf.DUMMYFUNCTION("""COMPUTED_VALUE"""),"логістичні та складські послуги")</f>
        <v>логістичні та складські послуги</v>
      </c>
      <c r="C1084" s="15" t="str">
        <f>IFERROR(__xludf.DUMMYFUNCTION("""COMPUTED_VALUE"""),"транспортні послуги")</f>
        <v>транспортні послуги</v>
      </c>
      <c r="D1084" s="15" t="str">
        <f>IFERROR(__xludf.DUMMYFUNCTION("""COMPUTED_VALUE"""),"пасажирські перевезення")</f>
        <v>пасажирські перевезення</v>
      </c>
      <c r="E1084" s="15" t="str">
        <f>IFERROR(__xludf.DUMMYFUNCTION("""COMPUTED_VALUE"""),"пасажирські перевезення")</f>
        <v>пасажирські перевезення</v>
      </c>
      <c r="F1084" s="17">
        <f>IFERROR(__xludf.DUMMYFUNCTION("""COMPUTED_VALUE"""),3.0)</f>
        <v>3</v>
      </c>
      <c r="G1084" s="17">
        <f>IFERROR(__xludf.DUMMYFUNCTION("""COMPUTED_VALUE"""),282409.0)</f>
        <v>282409</v>
      </c>
      <c r="H1084" s="17" t="str">
        <f>IFERROR(__xludf.DUMMYFUNCTION("""COMPUTED_VALUE"""),"пасажирські перевезення")</f>
        <v>пасажирські перевезення</v>
      </c>
      <c r="I1084" s="18">
        <f>IFERROR(__xludf.DUMMYFUNCTION("""COMPUTED_VALUE"""),1.31)</f>
        <v>1.31</v>
      </c>
      <c r="J1084" s="18">
        <f>IFERROR(__xludf.DUMMYFUNCTION("""COMPUTED_VALUE"""),2.61)</f>
        <v>2.61</v>
      </c>
      <c r="K1084" s="18">
        <f>IFERROR(__xludf.DUMMYFUNCTION("""COMPUTED_VALUE"""),3.27)</f>
        <v>3.27</v>
      </c>
      <c r="L1084" s="18">
        <f>IFERROR(__xludf.DUMMYFUNCTION("""COMPUTED_VALUE"""),5.23)</f>
        <v>5.23</v>
      </c>
    </row>
    <row r="1085">
      <c r="A1085" s="13" t="str">
        <f>IFERROR(__xludf.DUMMYFUNCTION("""COMPUTED_VALUE"""),"послуги")</f>
        <v>послуги</v>
      </c>
      <c r="B1085" s="13" t="str">
        <f>IFERROR(__xludf.DUMMYFUNCTION("""COMPUTED_VALUE"""),"логістичні та складські послуги")</f>
        <v>логістичні та складські послуги</v>
      </c>
      <c r="C1085" s="15" t="str">
        <f>IFERROR(__xludf.DUMMYFUNCTION("""COMPUTED_VALUE"""),"транспортні послуги")</f>
        <v>транспортні послуги</v>
      </c>
      <c r="D1085" s="15" t="str">
        <f>IFERROR(__xludf.DUMMYFUNCTION("""COMPUTED_VALUE"""),"послуги перегону транспортних засобів")</f>
        <v>послуги перегону транспортних засобів</v>
      </c>
      <c r="E1085" s="15" t="str">
        <f>IFERROR(__xludf.DUMMYFUNCTION("""COMPUTED_VALUE"""),"послуги перегону транспортних засобів")</f>
        <v>послуги перегону транспортних засобів</v>
      </c>
      <c r="F1085" s="17">
        <f>IFERROR(__xludf.DUMMYFUNCTION("""COMPUTED_VALUE"""),3.0)</f>
        <v>3</v>
      </c>
      <c r="G1085" s="17">
        <f>IFERROR(__xludf.DUMMYFUNCTION("""COMPUTED_VALUE"""),282709.0)</f>
        <v>282709</v>
      </c>
      <c r="H1085" s="17" t="str">
        <f>IFERROR(__xludf.DUMMYFUNCTION("""COMPUTED_VALUE"""),"послуги перегону транспортних засобів")</f>
        <v>послуги перегону транспортних засобів</v>
      </c>
      <c r="I1085" s="18">
        <f>IFERROR(__xludf.DUMMYFUNCTION("""COMPUTED_VALUE"""),0.76)</f>
        <v>0.76</v>
      </c>
      <c r="J1085" s="18">
        <f>IFERROR(__xludf.DUMMYFUNCTION("""COMPUTED_VALUE"""),1.53)</f>
        <v>1.53</v>
      </c>
      <c r="K1085" s="18">
        <f>IFERROR(__xludf.DUMMYFUNCTION("""COMPUTED_VALUE"""),1.91)</f>
        <v>1.91</v>
      </c>
      <c r="L1085" s="18">
        <f>IFERROR(__xludf.DUMMYFUNCTION("""COMPUTED_VALUE"""),3.05)</f>
        <v>3.05</v>
      </c>
    </row>
    <row r="1086">
      <c r="A1086" s="13" t="str">
        <f>IFERROR(__xludf.DUMMYFUNCTION("""COMPUTED_VALUE"""),"послуги")</f>
        <v>послуги</v>
      </c>
      <c r="B1086" s="13" t="str">
        <f>IFERROR(__xludf.DUMMYFUNCTION("""COMPUTED_VALUE"""),"логістичні та складські послуги")</f>
        <v>логістичні та складські послуги</v>
      </c>
      <c r="C1086" s="15" t="str">
        <f>IFERROR(__xludf.DUMMYFUNCTION("""COMPUTED_VALUE"""),"транспортні послуги")</f>
        <v>транспортні послуги</v>
      </c>
      <c r="D1086" s="15" t="str">
        <f>IFERROR(__xludf.DUMMYFUNCTION("""COMPUTED_VALUE"""),"транспортні послуги, загальне")</f>
        <v>транспортні послуги, загальне</v>
      </c>
      <c r="E1086" s="15" t="str">
        <f>IFERROR(__xludf.DUMMYFUNCTION("""COMPUTED_VALUE"""),"транспортні послуги, загальне")</f>
        <v>транспортні послуги, загальне</v>
      </c>
      <c r="F1086" s="17">
        <f>IFERROR(__xludf.DUMMYFUNCTION("""COMPUTED_VALUE"""),3.0)</f>
        <v>3</v>
      </c>
      <c r="G1086" s="17">
        <f>IFERROR(__xludf.DUMMYFUNCTION("""COMPUTED_VALUE"""),282708.0)</f>
        <v>282708</v>
      </c>
      <c r="H1086" s="17" t="str">
        <f>IFERROR(__xludf.DUMMYFUNCTION("""COMPUTED_VALUE"""),"транспортні послуги, загальне")</f>
        <v>транспортні послуги, загальне</v>
      </c>
      <c r="I1086" s="18">
        <f>IFERROR(__xludf.DUMMYFUNCTION("""COMPUTED_VALUE"""),2.16)</f>
        <v>2.16</v>
      </c>
      <c r="J1086" s="18">
        <f>IFERROR(__xludf.DUMMYFUNCTION("""COMPUTED_VALUE"""),4.33)</f>
        <v>4.33</v>
      </c>
      <c r="K1086" s="18">
        <f>IFERROR(__xludf.DUMMYFUNCTION("""COMPUTED_VALUE"""),5.41)</f>
        <v>5.41</v>
      </c>
      <c r="L1086" s="18">
        <f>IFERROR(__xludf.DUMMYFUNCTION("""COMPUTED_VALUE"""),8.65)</f>
        <v>8.65</v>
      </c>
    </row>
    <row r="1087">
      <c r="A1087" s="13" t="str">
        <f>IFERROR(__xludf.DUMMYFUNCTION("""COMPUTED_VALUE"""),"товари")</f>
        <v>товари</v>
      </c>
      <c r="B1087" s="13" t="str">
        <f>IFERROR(__xludf.DUMMYFUNCTION("""COMPUTED_VALUE"""),"матеріали для ремонту")</f>
        <v>матеріали для ремонту</v>
      </c>
      <c r="C1087" s="15" t="str">
        <f>IFERROR(__xludf.DUMMYFUNCTION("""COMPUTED_VALUE"""),"скріплювальні вироби")</f>
        <v>скріплювальні вироби</v>
      </c>
      <c r="D1087" s="15" t="str">
        <f>IFERROR(__xludf.DUMMYFUNCTION("""COMPUTED_VALUE"""),"такелаж")</f>
        <v>такелаж</v>
      </c>
      <c r="E1087" s="15" t="str">
        <f>IFERROR(__xludf.DUMMYFUNCTION("""COMPUTED_VALUE"""),"вантажопідйомні гаки")</f>
        <v>вантажопідйомні гаки</v>
      </c>
      <c r="F1087" s="17">
        <f>IFERROR(__xludf.DUMMYFUNCTION("""COMPUTED_VALUE"""),4.0)</f>
        <v>4</v>
      </c>
      <c r="G1087" s="17">
        <f>IFERROR(__xludf.DUMMYFUNCTION("""COMPUTED_VALUE"""),4203.0)</f>
        <v>4203</v>
      </c>
      <c r="H1087" s="17" t="str">
        <f>IFERROR(__xludf.DUMMYFUNCTION("""COMPUTED_VALUE"""),"вантажопідйомні гаки")</f>
        <v>вантажопідйомні гаки</v>
      </c>
      <c r="I1087" s="18">
        <f>IFERROR(__xludf.DUMMYFUNCTION("""COMPUTED_VALUE"""),1.58)</f>
        <v>1.58</v>
      </c>
      <c r="J1087" s="18">
        <f>IFERROR(__xludf.DUMMYFUNCTION("""COMPUTED_VALUE"""),3.15)</f>
        <v>3.15</v>
      </c>
      <c r="K1087" s="18">
        <f>IFERROR(__xludf.DUMMYFUNCTION("""COMPUTED_VALUE"""),3.94)</f>
        <v>3.94</v>
      </c>
      <c r="L1087" s="18">
        <f>IFERROR(__xludf.DUMMYFUNCTION("""COMPUTED_VALUE"""),6.3)</f>
        <v>6.3</v>
      </c>
    </row>
    <row r="1088">
      <c r="A1088" s="13" t="str">
        <f>IFERROR(__xludf.DUMMYFUNCTION("""COMPUTED_VALUE"""),"товари")</f>
        <v>товари</v>
      </c>
      <c r="B1088" s="13" t="str">
        <f>IFERROR(__xludf.DUMMYFUNCTION("""COMPUTED_VALUE"""),"матеріали для ремонту")</f>
        <v>матеріали для ремонту</v>
      </c>
      <c r="C1088" s="15" t="str">
        <f>IFERROR(__xludf.DUMMYFUNCTION("""COMPUTED_VALUE"""),"вікна та двері")</f>
        <v>вікна та двері</v>
      </c>
      <c r="D1088" s="15" t="str">
        <f>IFERROR(__xludf.DUMMYFUNCTION("""COMPUTED_VALUE"""),"вікна")</f>
        <v>вікна</v>
      </c>
      <c r="E1088" s="15" t="str">
        <f>IFERROR(__xludf.DUMMYFUNCTION("""COMPUTED_VALUE"""),"вікна")</f>
        <v>вікна</v>
      </c>
      <c r="F1088" s="17">
        <f>IFERROR(__xludf.DUMMYFUNCTION("""COMPUTED_VALUE"""),3.0)</f>
        <v>3</v>
      </c>
      <c r="G1088" s="17">
        <f>IFERROR(__xludf.DUMMYFUNCTION("""COMPUTED_VALUE"""),135701.0)</f>
        <v>135701</v>
      </c>
      <c r="H1088" s="17" t="str">
        <f>IFERROR(__xludf.DUMMYFUNCTION("""COMPUTED_VALUE"""),"вікна")</f>
        <v>вікна</v>
      </c>
      <c r="I1088" s="18">
        <f>IFERROR(__xludf.DUMMYFUNCTION("""COMPUTED_VALUE"""),0.76)</f>
        <v>0.76</v>
      </c>
      <c r="J1088" s="18">
        <f>IFERROR(__xludf.DUMMYFUNCTION("""COMPUTED_VALUE"""),1.53)</f>
        <v>1.53</v>
      </c>
      <c r="K1088" s="18">
        <f>IFERROR(__xludf.DUMMYFUNCTION("""COMPUTED_VALUE"""),1.91)</f>
        <v>1.91</v>
      </c>
      <c r="L1088" s="18">
        <f>IFERROR(__xludf.DUMMYFUNCTION("""COMPUTED_VALUE"""),3.05)</f>
        <v>3.05</v>
      </c>
    </row>
    <row r="1089">
      <c r="A1089" s="13" t="str">
        <f>IFERROR(__xludf.DUMMYFUNCTION("""COMPUTED_VALUE"""),"товари")</f>
        <v>товари</v>
      </c>
      <c r="B1089" s="13" t="str">
        <f>IFERROR(__xludf.DUMMYFUNCTION("""COMPUTED_VALUE"""),"матеріали для ремонту")</f>
        <v>матеріали для ремонту</v>
      </c>
      <c r="C1089" s="15" t="str">
        <f>IFERROR(__xludf.DUMMYFUNCTION("""COMPUTED_VALUE"""),"підлогові покриття")</f>
        <v>підлогові покриття</v>
      </c>
      <c r="D1089" s="15" t="str">
        <f>IFERROR(__xludf.DUMMYFUNCTION("""COMPUTED_VALUE"""),"вінілове і пвх покриття для підлоги")</f>
        <v>вінілове і пвх покриття для підлоги</v>
      </c>
      <c r="E1089" s="15" t="str">
        <f>IFERROR(__xludf.DUMMYFUNCTION("""COMPUTED_VALUE"""),"вінілове і пвх покриття для підлоги")</f>
        <v>вінілове і пвх покриття для підлоги</v>
      </c>
      <c r="F1089" s="17">
        <f>IFERROR(__xludf.DUMMYFUNCTION("""COMPUTED_VALUE"""),3.0)</f>
        <v>3</v>
      </c>
      <c r="G1089" s="17">
        <f>IFERROR(__xludf.DUMMYFUNCTION("""COMPUTED_VALUE"""),130719.0)</f>
        <v>130719</v>
      </c>
      <c r="H1089" s="17" t="str">
        <f>IFERROR(__xludf.DUMMYFUNCTION("""COMPUTED_VALUE"""),"вінілове і пвх покриття для підлоги")</f>
        <v>вінілове і пвх покриття для підлоги</v>
      </c>
      <c r="I1089" s="18">
        <f>IFERROR(__xludf.DUMMYFUNCTION("""COMPUTED_VALUE"""),0.76)</f>
        <v>0.76</v>
      </c>
      <c r="J1089" s="18">
        <f>IFERROR(__xludf.DUMMYFUNCTION("""COMPUTED_VALUE"""),1.53)</f>
        <v>1.53</v>
      </c>
      <c r="K1089" s="18">
        <f>IFERROR(__xludf.DUMMYFUNCTION("""COMPUTED_VALUE"""),1.91)</f>
        <v>1.91</v>
      </c>
      <c r="L1089" s="18">
        <f>IFERROR(__xludf.DUMMYFUNCTION("""COMPUTED_VALUE"""),3.05)</f>
        <v>3.05</v>
      </c>
    </row>
    <row r="1090">
      <c r="A1090" s="13" t="str">
        <f>IFERROR(__xludf.DUMMYFUNCTION("""COMPUTED_VALUE"""),"товари")</f>
        <v>товари</v>
      </c>
      <c r="B1090" s="13" t="str">
        <f>IFERROR(__xludf.DUMMYFUNCTION("""COMPUTED_VALUE"""),"матеріали для ремонту")</f>
        <v>матеріали для ремонту</v>
      </c>
      <c r="C1090" s="15" t="str">
        <f>IFERROR(__xludf.DUMMYFUNCTION("""COMPUTED_VALUE"""),"радіатори та обігрівачі")</f>
        <v>радіатори та обігрівачі</v>
      </c>
      <c r="D1090" s="15" t="str">
        <f>IFERROR(__xludf.DUMMYFUNCTION("""COMPUTED_VALUE"""),"водяні конвектори")</f>
        <v>водяні конвектори</v>
      </c>
      <c r="E1090" s="15" t="str">
        <f>IFERROR(__xludf.DUMMYFUNCTION("""COMPUTED_VALUE"""),"водяні конвектори")</f>
        <v>водяні конвектори</v>
      </c>
      <c r="F1090" s="17">
        <f>IFERROR(__xludf.DUMMYFUNCTION("""COMPUTED_VALUE"""),3.0)</f>
        <v>3</v>
      </c>
      <c r="G1090" s="17">
        <f>IFERROR(__xludf.DUMMYFUNCTION("""COMPUTED_VALUE"""),62610.0)</f>
        <v>62610</v>
      </c>
      <c r="H1090" s="17" t="str">
        <f>IFERROR(__xludf.DUMMYFUNCTION("""COMPUTED_VALUE"""),"водяні конвектори")</f>
        <v>водяні конвектори</v>
      </c>
      <c r="I1090" s="18">
        <f>IFERROR(__xludf.DUMMYFUNCTION("""COMPUTED_VALUE"""),0.76)</f>
        <v>0.76</v>
      </c>
      <c r="J1090" s="18">
        <f>IFERROR(__xludf.DUMMYFUNCTION("""COMPUTED_VALUE"""),1.53)</f>
        <v>1.53</v>
      </c>
      <c r="K1090" s="18">
        <f>IFERROR(__xludf.DUMMYFUNCTION("""COMPUTED_VALUE"""),1.91)</f>
        <v>1.91</v>
      </c>
      <c r="L1090" s="18">
        <f>IFERROR(__xludf.DUMMYFUNCTION("""COMPUTED_VALUE"""),3.05)</f>
        <v>3.05</v>
      </c>
    </row>
    <row r="1091">
      <c r="A1091" s="13" t="str">
        <f>IFERROR(__xludf.DUMMYFUNCTION("""COMPUTED_VALUE"""),"товари")</f>
        <v>товари</v>
      </c>
      <c r="B1091" s="13" t="str">
        <f>IFERROR(__xludf.DUMMYFUNCTION("""COMPUTED_VALUE"""),"матеріали для ремонту")</f>
        <v>матеріали для ремонту</v>
      </c>
      <c r="C1091" s="15" t="str">
        <f>IFERROR(__xludf.DUMMYFUNCTION("""COMPUTED_VALUE"""),"вікна та двері")</f>
        <v>вікна та двері</v>
      </c>
      <c r="D1091" s="15" t="str">
        <f>IFERROR(__xludf.DUMMYFUNCTION("""COMPUTED_VALUE"""),"вхідні двері")</f>
        <v>вхідні двері</v>
      </c>
      <c r="E1091" s="15" t="str">
        <f>IFERROR(__xludf.DUMMYFUNCTION("""COMPUTED_VALUE"""),"вхідні двері")</f>
        <v>вхідні двері</v>
      </c>
      <c r="F1091" s="17">
        <f>IFERROR(__xludf.DUMMYFUNCTION("""COMPUTED_VALUE"""),3.0)</f>
        <v>3</v>
      </c>
      <c r="G1091" s="17">
        <f>IFERROR(__xludf.DUMMYFUNCTION("""COMPUTED_VALUE"""),130507.0)</f>
        <v>130507</v>
      </c>
      <c r="H1091" s="17" t="str">
        <f>IFERROR(__xludf.DUMMYFUNCTION("""COMPUTED_VALUE"""),"вхідні двері")</f>
        <v>вхідні двері</v>
      </c>
      <c r="I1091" s="18">
        <f>IFERROR(__xludf.DUMMYFUNCTION("""COMPUTED_VALUE"""),0.76)</f>
        <v>0.76</v>
      </c>
      <c r="J1091" s="18">
        <f>IFERROR(__xludf.DUMMYFUNCTION("""COMPUTED_VALUE"""),1.53)</f>
        <v>1.53</v>
      </c>
      <c r="K1091" s="18">
        <f>IFERROR(__xludf.DUMMYFUNCTION("""COMPUTED_VALUE"""),1.91)</f>
        <v>1.91</v>
      </c>
      <c r="L1091" s="18">
        <f>IFERROR(__xludf.DUMMYFUNCTION("""COMPUTED_VALUE"""),3.05)</f>
        <v>3.05</v>
      </c>
    </row>
    <row r="1092">
      <c r="A1092" s="13" t="str">
        <f>IFERROR(__xludf.DUMMYFUNCTION("""COMPUTED_VALUE"""),"товари")</f>
        <v>товари</v>
      </c>
      <c r="B1092" s="13" t="str">
        <f>IFERROR(__xludf.DUMMYFUNCTION("""COMPUTED_VALUE"""),"матеріали для ремонту")</f>
        <v>матеріали для ремонту</v>
      </c>
      <c r="C1092" s="15" t="str">
        <f>IFERROR(__xludf.DUMMYFUNCTION("""COMPUTED_VALUE"""),"аксесуари та фурнітура для вікон і дверей")</f>
        <v>аксесуари та фурнітура для вікон і дверей</v>
      </c>
      <c r="D1092" s="15" t="str">
        <f>IFERROR(__xludf.DUMMYFUNCTION("""COMPUTED_VALUE"""),"дверні накладки")</f>
        <v>дверні накладки</v>
      </c>
      <c r="E1092" s="15" t="str">
        <f>IFERROR(__xludf.DUMMYFUNCTION("""COMPUTED_VALUE"""),"дверні накладки")</f>
        <v>дверні накладки</v>
      </c>
      <c r="F1092" s="17">
        <f>IFERROR(__xludf.DUMMYFUNCTION("""COMPUTED_VALUE"""),3.0)</f>
        <v>3</v>
      </c>
      <c r="G1092" s="17">
        <f>IFERROR(__xludf.DUMMYFUNCTION("""COMPUTED_VALUE"""),1.5380305E7)</f>
        <v>15380305</v>
      </c>
      <c r="H1092" s="17" t="str">
        <f>IFERROR(__xludf.DUMMYFUNCTION("""COMPUTED_VALUE"""),"дверні накладки")</f>
        <v>дверні накладки</v>
      </c>
      <c r="I1092" s="18">
        <f>IFERROR(__xludf.DUMMYFUNCTION("""COMPUTED_VALUE"""),0.76)</f>
        <v>0.76</v>
      </c>
      <c r="J1092" s="18">
        <f>IFERROR(__xludf.DUMMYFUNCTION("""COMPUTED_VALUE"""),1.53)</f>
        <v>1.53</v>
      </c>
      <c r="K1092" s="18">
        <f>IFERROR(__xludf.DUMMYFUNCTION("""COMPUTED_VALUE"""),1.91)</f>
        <v>1.91</v>
      </c>
      <c r="L1092" s="18">
        <f>IFERROR(__xludf.DUMMYFUNCTION("""COMPUTED_VALUE"""),3.05)</f>
        <v>3.05</v>
      </c>
    </row>
    <row r="1093">
      <c r="A1093" s="13" t="str">
        <f>IFERROR(__xludf.DUMMYFUNCTION("""COMPUTED_VALUE"""),"товари")</f>
        <v>товари</v>
      </c>
      <c r="B1093" s="13" t="str">
        <f>IFERROR(__xludf.DUMMYFUNCTION("""COMPUTED_VALUE"""),"матеріали для ремонту")</f>
        <v>матеріали для ремонту</v>
      </c>
      <c r="C1093" s="15" t="str">
        <f>IFERROR(__xludf.DUMMYFUNCTION("""COMPUTED_VALUE"""),"печі та каміни")</f>
        <v>печі та каміни</v>
      </c>
      <c r="D1093" s="15" t="str">
        <f>IFERROR(__xludf.DUMMYFUNCTION("""COMPUTED_VALUE"""),"камінні портали")</f>
        <v>камінні портали</v>
      </c>
      <c r="E1093" s="15" t="str">
        <f>IFERROR(__xludf.DUMMYFUNCTION("""COMPUTED_VALUE"""),"камінні портали")</f>
        <v>камінні портали</v>
      </c>
      <c r="F1093" s="17">
        <f>IFERROR(__xludf.DUMMYFUNCTION("""COMPUTED_VALUE"""),3.0)</f>
        <v>3</v>
      </c>
      <c r="G1093" s="17">
        <f>IFERROR(__xludf.DUMMYFUNCTION("""COMPUTED_VALUE"""),1.3120707E7)</f>
        <v>13120707</v>
      </c>
      <c r="H1093" s="17" t="str">
        <f>IFERROR(__xludf.DUMMYFUNCTION("""COMPUTED_VALUE"""),"камінні портали")</f>
        <v>камінні портали</v>
      </c>
      <c r="I1093" s="18">
        <f>IFERROR(__xludf.DUMMYFUNCTION("""COMPUTED_VALUE"""),0.76)</f>
        <v>0.76</v>
      </c>
      <c r="J1093" s="18">
        <f>IFERROR(__xludf.DUMMYFUNCTION("""COMPUTED_VALUE"""),1.53)</f>
        <v>1.53</v>
      </c>
      <c r="K1093" s="18">
        <f>IFERROR(__xludf.DUMMYFUNCTION("""COMPUTED_VALUE"""),1.91)</f>
        <v>1.91</v>
      </c>
      <c r="L1093" s="18">
        <f>IFERROR(__xludf.DUMMYFUNCTION("""COMPUTED_VALUE"""),3.05)</f>
        <v>3.05</v>
      </c>
    </row>
    <row r="1094">
      <c r="A1094" s="13" t="str">
        <f>IFERROR(__xludf.DUMMYFUNCTION("""COMPUTED_VALUE"""),"товари")</f>
        <v>товари</v>
      </c>
      <c r="B1094" s="13" t="str">
        <f>IFERROR(__xludf.DUMMYFUNCTION("""COMPUTED_VALUE"""),"матеріали для ремонту")</f>
        <v>матеріали для ремонту</v>
      </c>
      <c r="C1094" s="15" t="str">
        <f>IFERROR(__xludf.DUMMYFUNCTION("""COMPUTED_VALUE"""),"опалення та тепла підлога")</f>
        <v>опалення та тепла підлога</v>
      </c>
      <c r="D1094" s="15" t="str">
        <f>IFERROR(__xludf.DUMMYFUNCTION("""COMPUTED_VALUE"""),"опалювальні котли")</f>
        <v>опалювальні котли</v>
      </c>
      <c r="E1094" s="15" t="str">
        <f>IFERROR(__xludf.DUMMYFUNCTION("""COMPUTED_VALUE"""),"комбіновані котли")</f>
        <v>комбіновані котли</v>
      </c>
      <c r="F1094" s="17">
        <f>IFERROR(__xludf.DUMMYFUNCTION("""COMPUTED_VALUE"""),4.0)</f>
        <v>4</v>
      </c>
      <c r="G1094" s="17">
        <f>IFERROR(__xludf.DUMMYFUNCTION("""COMPUTED_VALUE"""),1.324012E7)</f>
        <v>13240120</v>
      </c>
      <c r="H1094" s="17" t="str">
        <f>IFERROR(__xludf.DUMMYFUNCTION("""COMPUTED_VALUE"""),"комбіновані котли")</f>
        <v>комбіновані котли</v>
      </c>
      <c r="I1094" s="18">
        <f>IFERROR(__xludf.DUMMYFUNCTION("""COMPUTED_VALUE"""),0.86)</f>
        <v>0.86</v>
      </c>
      <c r="J1094" s="18">
        <f>IFERROR(__xludf.DUMMYFUNCTION("""COMPUTED_VALUE"""),1.71)</f>
        <v>1.71</v>
      </c>
      <c r="K1094" s="18">
        <f>IFERROR(__xludf.DUMMYFUNCTION("""COMPUTED_VALUE"""),2.14)</f>
        <v>2.14</v>
      </c>
      <c r="L1094" s="18">
        <f>IFERROR(__xludf.DUMMYFUNCTION("""COMPUTED_VALUE"""),3.43)</f>
        <v>3.43</v>
      </c>
    </row>
    <row r="1095">
      <c r="A1095" s="13" t="str">
        <f>IFERROR(__xludf.DUMMYFUNCTION("""COMPUTED_VALUE"""),"товари")</f>
        <v>товари</v>
      </c>
      <c r="B1095" s="13" t="str">
        <f>IFERROR(__xludf.DUMMYFUNCTION("""COMPUTED_VALUE"""),"матеріали для ремонту")</f>
        <v>матеріали для ремонту</v>
      </c>
      <c r="C1095" s="15" t="str">
        <f>IFERROR(__xludf.DUMMYFUNCTION("""COMPUTED_VALUE"""),"декор для стін")</f>
        <v>декор для стін</v>
      </c>
      <c r="D1095" s="15" t="str">
        <f>IFERROR(__xludf.DUMMYFUNCTION("""COMPUTED_VALUE"""),"коркові покриття для стін")</f>
        <v>коркові покриття для стін</v>
      </c>
      <c r="E1095" s="15" t="str">
        <f>IFERROR(__xludf.DUMMYFUNCTION("""COMPUTED_VALUE"""),"коркові покриття для стін")</f>
        <v>коркові покриття для стін</v>
      </c>
      <c r="F1095" s="17">
        <f>IFERROR(__xludf.DUMMYFUNCTION("""COMPUTED_VALUE"""),3.0)</f>
        <v>3</v>
      </c>
      <c r="G1095" s="17">
        <f>IFERROR(__xludf.DUMMYFUNCTION("""COMPUTED_VALUE"""),1.3261402E7)</f>
        <v>13261402</v>
      </c>
      <c r="H1095" s="17" t="str">
        <f>IFERROR(__xludf.DUMMYFUNCTION("""COMPUTED_VALUE"""),"коркові покриття для стін")</f>
        <v>коркові покриття для стін</v>
      </c>
      <c r="I1095" s="18">
        <f>IFERROR(__xludf.DUMMYFUNCTION("""COMPUTED_VALUE"""),0.76)</f>
        <v>0.76</v>
      </c>
      <c r="J1095" s="18">
        <f>IFERROR(__xludf.DUMMYFUNCTION("""COMPUTED_VALUE"""),1.53)</f>
        <v>1.53</v>
      </c>
      <c r="K1095" s="18">
        <f>IFERROR(__xludf.DUMMYFUNCTION("""COMPUTED_VALUE"""),1.91)</f>
        <v>1.91</v>
      </c>
      <c r="L1095" s="18">
        <f>IFERROR(__xludf.DUMMYFUNCTION("""COMPUTED_VALUE"""),3.05)</f>
        <v>3.05</v>
      </c>
    </row>
    <row r="1096">
      <c r="A1096" s="13" t="str">
        <f>IFERROR(__xludf.DUMMYFUNCTION("""COMPUTED_VALUE"""),"товари")</f>
        <v>товари</v>
      </c>
      <c r="B1096" s="13" t="str">
        <f>IFERROR(__xludf.DUMMYFUNCTION("""COMPUTED_VALUE"""),"матеріали для ремонту")</f>
        <v>матеріали для ремонту</v>
      </c>
      <c r="C1096" s="15" t="str">
        <f>IFERROR(__xludf.DUMMYFUNCTION("""COMPUTED_VALUE"""),"опалення та тепла підлога")</f>
        <v>опалення та тепла підлога</v>
      </c>
      <c r="D1096" s="15" t="str">
        <f>IFERROR(__xludf.DUMMYFUNCTION("""COMPUTED_VALUE"""),"опалювальні котли")</f>
        <v>опалювальні котли</v>
      </c>
      <c r="E1096" s="15" t="str">
        <f>IFERROR(__xludf.DUMMYFUNCTION("""COMPUTED_VALUE"""),"котли опалення, загальне")</f>
        <v>котли опалення, загальне</v>
      </c>
      <c r="F1096" s="17">
        <f>IFERROR(__xludf.DUMMYFUNCTION("""COMPUTED_VALUE"""),4.0)</f>
        <v>4</v>
      </c>
      <c r="G1096" s="17">
        <f>IFERROR(__xludf.DUMMYFUNCTION("""COMPUTED_VALUE"""),810302.0)</f>
        <v>810302</v>
      </c>
      <c r="H1096" s="17" t="str">
        <f>IFERROR(__xludf.DUMMYFUNCTION("""COMPUTED_VALUE"""),"котли опалення, загальне")</f>
        <v>котли опалення, загальне</v>
      </c>
      <c r="I1096" s="18">
        <f>IFERROR(__xludf.DUMMYFUNCTION("""COMPUTED_VALUE"""),2.16)</f>
        <v>2.16</v>
      </c>
      <c r="J1096" s="18">
        <f>IFERROR(__xludf.DUMMYFUNCTION("""COMPUTED_VALUE"""),4.33)</f>
        <v>4.33</v>
      </c>
      <c r="K1096" s="18">
        <f>IFERROR(__xludf.DUMMYFUNCTION("""COMPUTED_VALUE"""),5.41)</f>
        <v>5.41</v>
      </c>
      <c r="L1096" s="18">
        <f>IFERROR(__xludf.DUMMYFUNCTION("""COMPUTED_VALUE"""),8.65)</f>
        <v>8.65</v>
      </c>
    </row>
    <row r="1097">
      <c r="A1097" s="13" t="str">
        <f>IFERROR(__xludf.DUMMYFUNCTION("""COMPUTED_VALUE"""),"товари")</f>
        <v>товари</v>
      </c>
      <c r="B1097" s="13" t="str">
        <f>IFERROR(__xludf.DUMMYFUNCTION("""COMPUTED_VALUE"""),"матеріали для ремонту")</f>
        <v>матеріали для ремонту</v>
      </c>
      <c r="C1097" s="15" t="str">
        <f>IFERROR(__xludf.DUMMYFUNCTION("""COMPUTED_VALUE"""),"матеріали та комплектуючі для улаштування стель")</f>
        <v>матеріали та комплектуючі для улаштування стель</v>
      </c>
      <c r="D1097" s="15" t="str">
        <f>IFERROR(__xludf.DUMMYFUNCTION("""COMPUTED_VALUE"""),"матеріали для влаштування стель")</f>
        <v>матеріали для влаштування стель</v>
      </c>
      <c r="E1097" s="15" t="str">
        <f>IFERROR(__xludf.DUMMYFUNCTION("""COMPUTED_VALUE"""),"матеріали для влаштування стель")</f>
        <v>матеріали для влаштування стель</v>
      </c>
      <c r="F1097" s="17">
        <f>IFERROR(__xludf.DUMMYFUNCTION("""COMPUTED_VALUE"""),3.0)</f>
        <v>3</v>
      </c>
      <c r="G1097" s="17">
        <f>IFERROR(__xludf.DUMMYFUNCTION("""COMPUTED_VALUE"""),134208.0)</f>
        <v>134208</v>
      </c>
      <c r="H1097" s="17" t="str">
        <f>IFERROR(__xludf.DUMMYFUNCTION("""COMPUTED_VALUE"""),"матеріали для влаштування стель")</f>
        <v>матеріали для влаштування стель</v>
      </c>
      <c r="I1097" s="18">
        <f>IFERROR(__xludf.DUMMYFUNCTION("""COMPUTED_VALUE"""),0.76)</f>
        <v>0.76</v>
      </c>
      <c r="J1097" s="18">
        <f>IFERROR(__xludf.DUMMYFUNCTION("""COMPUTED_VALUE"""),1.53)</f>
        <v>1.53</v>
      </c>
      <c r="K1097" s="18">
        <f>IFERROR(__xludf.DUMMYFUNCTION("""COMPUTED_VALUE"""),1.91)</f>
        <v>1.91</v>
      </c>
      <c r="L1097" s="18">
        <f>IFERROR(__xludf.DUMMYFUNCTION("""COMPUTED_VALUE"""),3.05)</f>
        <v>3.05</v>
      </c>
    </row>
    <row r="1098">
      <c r="A1098" s="13" t="str">
        <f>IFERROR(__xludf.DUMMYFUNCTION("""COMPUTED_VALUE"""),"товари")</f>
        <v>товари</v>
      </c>
      <c r="B1098" s="13" t="str">
        <f>IFERROR(__xludf.DUMMYFUNCTION("""COMPUTED_VALUE"""),"матеріали для ремонту")</f>
        <v>матеріали для ремонту</v>
      </c>
      <c r="C1098" s="15" t="str">
        <f>IFERROR(__xludf.DUMMYFUNCTION("""COMPUTED_VALUE"""),"підлогові покриття")</f>
        <v>підлогові покриття</v>
      </c>
      <c r="D1098" s="15" t="str">
        <f>IFERROR(__xludf.DUMMYFUNCTION("""COMPUTED_VALUE"""),"матеріали для облаштування промислових підлог")</f>
        <v>матеріали для облаштування промислових підлог</v>
      </c>
      <c r="E1098" s="15" t="str">
        <f>IFERROR(__xludf.DUMMYFUNCTION("""COMPUTED_VALUE"""),"матеріали для облаштування промислових підлог")</f>
        <v>матеріали для облаштування промислових підлог</v>
      </c>
      <c r="F1098" s="17">
        <f>IFERROR(__xludf.DUMMYFUNCTION("""COMPUTED_VALUE"""),3.0)</f>
        <v>3</v>
      </c>
      <c r="G1098" s="17">
        <f>IFERROR(__xludf.DUMMYFUNCTION("""COMPUTED_VALUE"""),1.3070506E7)</f>
        <v>13070506</v>
      </c>
      <c r="H1098" s="17" t="str">
        <f>IFERROR(__xludf.DUMMYFUNCTION("""COMPUTED_VALUE"""),"матеріали для облаштування промислових підлог")</f>
        <v>матеріали для облаштування промислових підлог</v>
      </c>
      <c r="I1098" s="18">
        <f>IFERROR(__xludf.DUMMYFUNCTION("""COMPUTED_VALUE"""),0.76)</f>
        <v>0.76</v>
      </c>
      <c r="J1098" s="18">
        <f>IFERROR(__xludf.DUMMYFUNCTION("""COMPUTED_VALUE"""),1.53)</f>
        <v>1.53</v>
      </c>
      <c r="K1098" s="18">
        <f>IFERROR(__xludf.DUMMYFUNCTION("""COMPUTED_VALUE"""),1.91)</f>
        <v>1.91</v>
      </c>
      <c r="L1098" s="18">
        <f>IFERROR(__xludf.DUMMYFUNCTION("""COMPUTED_VALUE"""),3.05)</f>
        <v>3.05</v>
      </c>
    </row>
    <row r="1099">
      <c r="A1099" s="13" t="str">
        <f>IFERROR(__xludf.DUMMYFUNCTION("""COMPUTED_VALUE"""),"товари")</f>
        <v>товари</v>
      </c>
      <c r="B1099" s="13" t="str">
        <f>IFERROR(__xludf.DUMMYFUNCTION("""COMPUTED_VALUE"""),"матеріали для ремонту")</f>
        <v>матеріали для ремонту</v>
      </c>
      <c r="C1099" s="15" t="str">
        <f>IFERROR(__xludf.DUMMYFUNCTION("""COMPUTED_VALUE"""),"підлогові покриття")</f>
        <v>підлогові покриття</v>
      </c>
      <c r="D1099" s="15" t="str">
        <f>IFERROR(__xludf.DUMMYFUNCTION("""COMPUTED_VALUE"""),"матеріали для пристрою фальшполов")</f>
        <v>матеріали для пристрою фальшполов</v>
      </c>
      <c r="E1099" s="15" t="str">
        <f>IFERROR(__xludf.DUMMYFUNCTION("""COMPUTED_VALUE"""),"матеріали для пристрою фальшполов")</f>
        <v>матеріали для пристрою фальшполов</v>
      </c>
      <c r="F1099" s="17">
        <f>IFERROR(__xludf.DUMMYFUNCTION("""COMPUTED_VALUE"""),3.0)</f>
        <v>3</v>
      </c>
      <c r="G1099" s="17">
        <f>IFERROR(__xludf.DUMMYFUNCTION("""COMPUTED_VALUE"""),1.3073501E7)</f>
        <v>13073501</v>
      </c>
      <c r="H1099" s="17" t="str">
        <f>IFERROR(__xludf.DUMMYFUNCTION("""COMPUTED_VALUE"""),"матеріали для пристрою фальшполов")</f>
        <v>матеріали для пристрою фальшполов</v>
      </c>
      <c r="I1099" s="18">
        <f>IFERROR(__xludf.DUMMYFUNCTION("""COMPUTED_VALUE"""),0.76)</f>
        <v>0.76</v>
      </c>
      <c r="J1099" s="18">
        <f>IFERROR(__xludf.DUMMYFUNCTION("""COMPUTED_VALUE"""),1.53)</f>
        <v>1.53</v>
      </c>
      <c r="K1099" s="18">
        <f>IFERROR(__xludf.DUMMYFUNCTION("""COMPUTED_VALUE"""),1.91)</f>
        <v>1.91</v>
      </c>
      <c r="L1099" s="18">
        <f>IFERROR(__xludf.DUMMYFUNCTION("""COMPUTED_VALUE"""),3.05)</f>
        <v>3.05</v>
      </c>
    </row>
    <row r="1100">
      <c r="A1100" s="13" t="str">
        <f>IFERROR(__xludf.DUMMYFUNCTION("""COMPUTED_VALUE"""),"товари")</f>
        <v>товари</v>
      </c>
      <c r="B1100" s="13" t="str">
        <f>IFERROR(__xludf.DUMMYFUNCTION("""COMPUTED_VALUE"""),"матеріали для ремонту")</f>
        <v>матеріали для ремонту</v>
      </c>
      <c r="C1100" s="15" t="str">
        <f>IFERROR(__xludf.DUMMYFUNCTION("""COMPUTED_VALUE"""),"побутове водопостачання")</f>
        <v>побутове водопостачання</v>
      </c>
      <c r="D1100" s="15" t="str">
        <f>IFERROR(__xludf.DUMMYFUNCTION("""COMPUTED_VALUE"""),"побутове очищення води")</f>
        <v>побутове очищення води</v>
      </c>
      <c r="E1100" s="15" t="str">
        <f>IFERROR(__xludf.DUMMYFUNCTION("""COMPUTED_VALUE"""),"обладнання для водопостачання, загальне")</f>
        <v>обладнання для водопостачання, загальне</v>
      </c>
      <c r="F1100" s="17">
        <f>IFERROR(__xludf.DUMMYFUNCTION("""COMPUTED_VALUE"""),4.0)</f>
        <v>4</v>
      </c>
      <c r="G1100" s="17">
        <f>IFERROR(__xludf.DUMMYFUNCTION("""COMPUTED_VALUE"""),1.3240407E7)</f>
        <v>13240407</v>
      </c>
      <c r="H1100" s="17" t="str">
        <f>IFERROR(__xludf.DUMMYFUNCTION("""COMPUTED_VALUE"""),"обладнання для водопостачання, загальне")</f>
        <v>обладнання для водопостачання, загальне</v>
      </c>
      <c r="I1100" s="18">
        <f>IFERROR(__xludf.DUMMYFUNCTION("""COMPUTED_VALUE"""),2.16)</f>
        <v>2.16</v>
      </c>
      <c r="J1100" s="18">
        <f>IFERROR(__xludf.DUMMYFUNCTION("""COMPUTED_VALUE"""),4.33)</f>
        <v>4.33</v>
      </c>
      <c r="K1100" s="18">
        <f>IFERROR(__xludf.DUMMYFUNCTION("""COMPUTED_VALUE"""),5.41)</f>
        <v>5.41</v>
      </c>
      <c r="L1100" s="18">
        <f>IFERROR(__xludf.DUMMYFUNCTION("""COMPUTED_VALUE"""),8.65)</f>
        <v>8.65</v>
      </c>
    </row>
    <row r="1101">
      <c r="A1101" s="13" t="str">
        <f>IFERROR(__xludf.DUMMYFUNCTION("""COMPUTED_VALUE"""),"товари")</f>
        <v>товари</v>
      </c>
      <c r="B1101" s="13" t="str">
        <f>IFERROR(__xludf.DUMMYFUNCTION("""COMPUTED_VALUE"""),"матеріали для ремонту")</f>
        <v>матеріали для ремонту</v>
      </c>
      <c r="C1101" s="15" t="str">
        <f>IFERROR(__xludf.DUMMYFUNCTION("""COMPUTED_VALUE"""),"підлогові покриття")</f>
        <v>підлогові покриття</v>
      </c>
      <c r="D1101" s="15" t="str">
        <f>IFERROR(__xludf.DUMMYFUNCTION("""COMPUTED_VALUE"""),"паркет та підлогова дошка")</f>
        <v>паркет та підлогова дошка</v>
      </c>
      <c r="E1101" s="15" t="str">
        <f>IFERROR(__xludf.DUMMYFUNCTION("""COMPUTED_VALUE"""),"паркет та підлогова дошка")</f>
        <v>паркет та підлогова дошка</v>
      </c>
      <c r="F1101" s="17">
        <f>IFERROR(__xludf.DUMMYFUNCTION("""COMPUTED_VALUE"""),3.0)</f>
        <v>3</v>
      </c>
      <c r="G1101" s="17">
        <f>IFERROR(__xludf.DUMMYFUNCTION("""COMPUTED_VALUE"""),130712.0)</f>
        <v>130712</v>
      </c>
      <c r="H1101" s="17" t="str">
        <f>IFERROR(__xludf.DUMMYFUNCTION("""COMPUTED_VALUE"""),"паркет та підлогова дошка")</f>
        <v>паркет та підлогова дошка</v>
      </c>
      <c r="I1101" s="18">
        <f>IFERROR(__xludf.DUMMYFUNCTION("""COMPUTED_VALUE"""),0.76)</f>
        <v>0.76</v>
      </c>
      <c r="J1101" s="18">
        <f>IFERROR(__xludf.DUMMYFUNCTION("""COMPUTED_VALUE"""),1.53)</f>
        <v>1.53</v>
      </c>
      <c r="K1101" s="18">
        <f>IFERROR(__xludf.DUMMYFUNCTION("""COMPUTED_VALUE"""),1.91)</f>
        <v>1.91</v>
      </c>
      <c r="L1101" s="18">
        <f>IFERROR(__xludf.DUMMYFUNCTION("""COMPUTED_VALUE"""),3.05)</f>
        <v>3.05</v>
      </c>
    </row>
    <row r="1102">
      <c r="A1102" s="13" t="str">
        <f>IFERROR(__xludf.DUMMYFUNCTION("""COMPUTED_VALUE"""),"товари")</f>
        <v>товари</v>
      </c>
      <c r="B1102" s="13" t="str">
        <f>IFERROR(__xludf.DUMMYFUNCTION("""COMPUTED_VALUE"""),"матеріали для ремонту")</f>
        <v>матеріали для ремонту</v>
      </c>
      <c r="C1102" s="15" t="str">
        <f>IFERROR(__xludf.DUMMYFUNCTION("""COMPUTED_VALUE"""),"облицювальна плитка")</f>
        <v>облицювальна плитка</v>
      </c>
      <c r="D1102" s="15" t="str">
        <f>IFERROR(__xludf.DUMMYFUNCTION("""COMPUTED_VALUE"""),"плитка для підлоги і стін")</f>
        <v>плитка для підлоги і стін</v>
      </c>
      <c r="E1102" s="15" t="str">
        <f>IFERROR(__xludf.DUMMYFUNCTION("""COMPUTED_VALUE"""),"плитка для підлоги і стін")</f>
        <v>плитка для підлоги і стін</v>
      </c>
      <c r="F1102" s="17">
        <f>IFERROR(__xludf.DUMMYFUNCTION("""COMPUTED_VALUE"""),3.0)</f>
        <v>3</v>
      </c>
      <c r="G1102" s="17">
        <f>IFERROR(__xludf.DUMMYFUNCTION("""COMPUTED_VALUE"""),1.307011E7)</f>
        <v>13070110</v>
      </c>
      <c r="H1102" s="17" t="str">
        <f>IFERROR(__xludf.DUMMYFUNCTION("""COMPUTED_VALUE"""),"плитка для підлоги і стін")</f>
        <v>плитка для підлоги і стін</v>
      </c>
      <c r="I1102" s="18">
        <f>IFERROR(__xludf.DUMMYFUNCTION("""COMPUTED_VALUE"""),0.76)</f>
        <v>0.76</v>
      </c>
      <c r="J1102" s="18">
        <f>IFERROR(__xludf.DUMMYFUNCTION("""COMPUTED_VALUE"""),1.53)</f>
        <v>1.53</v>
      </c>
      <c r="K1102" s="18">
        <f>IFERROR(__xludf.DUMMYFUNCTION("""COMPUTED_VALUE"""),1.91)</f>
        <v>1.91</v>
      </c>
      <c r="L1102" s="18">
        <f>IFERROR(__xludf.DUMMYFUNCTION("""COMPUTED_VALUE"""),3.05)</f>
        <v>3.05</v>
      </c>
    </row>
    <row r="1103">
      <c r="A1103" s="13" t="str">
        <f>IFERROR(__xludf.DUMMYFUNCTION("""COMPUTED_VALUE"""),"товари")</f>
        <v>товари</v>
      </c>
      <c r="B1103" s="13" t="str">
        <f>IFERROR(__xludf.DUMMYFUNCTION("""COMPUTED_VALUE"""),"матеріали для ремонту")</f>
        <v>матеріали для ремонту</v>
      </c>
      <c r="C1103" s="15" t="str">
        <f>IFERROR(__xludf.DUMMYFUNCTION("""COMPUTED_VALUE"""),"облицювальна плитка")</f>
        <v>облицювальна плитка</v>
      </c>
      <c r="D1103" s="15" t="str">
        <f>IFERROR(__xludf.DUMMYFUNCTION("""COMPUTED_VALUE"""),"плитка, загальне")</f>
        <v>плитка, загальне</v>
      </c>
      <c r="E1103" s="15" t="str">
        <f>IFERROR(__xludf.DUMMYFUNCTION("""COMPUTED_VALUE"""),"плитка, загальне")</f>
        <v>плитка, загальне</v>
      </c>
      <c r="F1103" s="17">
        <f>IFERROR(__xludf.DUMMYFUNCTION("""COMPUTED_VALUE"""),3.0)</f>
        <v>3</v>
      </c>
      <c r="G1103" s="17">
        <f>IFERROR(__xludf.DUMMYFUNCTION("""COMPUTED_VALUE"""),1346.0)</f>
        <v>1346</v>
      </c>
      <c r="H1103" s="17" t="str">
        <f>IFERROR(__xludf.DUMMYFUNCTION("""COMPUTED_VALUE"""),"плитка, загальне")</f>
        <v>плитка, загальне</v>
      </c>
      <c r="I1103" s="18">
        <f>IFERROR(__xludf.DUMMYFUNCTION("""COMPUTED_VALUE"""),2.16)</f>
        <v>2.16</v>
      </c>
      <c r="J1103" s="18">
        <f>IFERROR(__xludf.DUMMYFUNCTION("""COMPUTED_VALUE"""),4.33)</f>
        <v>4.33</v>
      </c>
      <c r="K1103" s="18">
        <f>IFERROR(__xludf.DUMMYFUNCTION("""COMPUTED_VALUE"""),5.41)</f>
        <v>5.41</v>
      </c>
      <c r="L1103" s="18">
        <f>IFERROR(__xludf.DUMMYFUNCTION("""COMPUTED_VALUE"""),8.65)</f>
        <v>8.65</v>
      </c>
    </row>
    <row r="1104">
      <c r="A1104" s="13" t="str">
        <f>IFERROR(__xludf.DUMMYFUNCTION("""COMPUTED_VALUE"""),"товари")</f>
        <v>товари</v>
      </c>
      <c r="B1104" s="13" t="str">
        <f>IFERROR(__xludf.DUMMYFUNCTION("""COMPUTED_VALUE"""),"матеріали для ремонту")</f>
        <v>матеріали для ремонту</v>
      </c>
      <c r="C1104" s="15" t="str">
        <f>IFERROR(__xludf.DUMMYFUNCTION("""COMPUTED_VALUE"""),"підлогові покриття")</f>
        <v>підлогові покриття</v>
      </c>
      <c r="D1104" s="15" t="str">
        <f>IFERROR(__xludf.DUMMYFUNCTION("""COMPUTED_VALUE"""),"пробкові підлоги")</f>
        <v>пробкові підлоги</v>
      </c>
      <c r="E1104" s="15" t="str">
        <f>IFERROR(__xludf.DUMMYFUNCTION("""COMPUTED_VALUE"""),"пробкові підлоги")</f>
        <v>пробкові підлоги</v>
      </c>
      <c r="F1104" s="17">
        <f>IFERROR(__xludf.DUMMYFUNCTION("""COMPUTED_VALUE"""),3.0)</f>
        <v>3</v>
      </c>
      <c r="G1104" s="17">
        <f>IFERROR(__xludf.DUMMYFUNCTION("""COMPUTED_VALUE"""),130716.0)</f>
        <v>130716</v>
      </c>
      <c r="H1104" s="17" t="str">
        <f>IFERROR(__xludf.DUMMYFUNCTION("""COMPUTED_VALUE"""),"пробкові підлоги")</f>
        <v>пробкові підлоги</v>
      </c>
      <c r="I1104" s="18">
        <f>IFERROR(__xludf.DUMMYFUNCTION("""COMPUTED_VALUE"""),0.76)</f>
        <v>0.76</v>
      </c>
      <c r="J1104" s="18">
        <f>IFERROR(__xludf.DUMMYFUNCTION("""COMPUTED_VALUE"""),1.53)</f>
        <v>1.53</v>
      </c>
      <c r="K1104" s="18">
        <f>IFERROR(__xludf.DUMMYFUNCTION("""COMPUTED_VALUE"""),1.91)</f>
        <v>1.91</v>
      </c>
      <c r="L1104" s="18">
        <f>IFERROR(__xludf.DUMMYFUNCTION("""COMPUTED_VALUE"""),3.05)</f>
        <v>3.05</v>
      </c>
    </row>
    <row r="1105">
      <c r="A1105" s="13" t="str">
        <f>IFERROR(__xludf.DUMMYFUNCTION("""COMPUTED_VALUE"""),"товари")</f>
        <v>товари</v>
      </c>
      <c r="B1105" s="13" t="str">
        <f>IFERROR(__xludf.DUMMYFUNCTION("""COMPUTED_VALUE"""),"матеріали для ремонту")</f>
        <v>матеріали для ремонту</v>
      </c>
      <c r="C1105" s="15" t="str">
        <f>IFERROR(__xludf.DUMMYFUNCTION("""COMPUTED_VALUE"""),"аксесуари та фурнітура для вікон і дверей")</f>
        <v>аксесуари та фурнітура для вікон і дверей</v>
      </c>
      <c r="D1105" s="15" t="str">
        <f>IFERROR(__xludf.DUMMYFUNCTION("""COMPUTED_VALUE"""),"решітки на вікна та двері")</f>
        <v>решітки на вікна та двері</v>
      </c>
      <c r="E1105" s="15" t="str">
        <f>IFERROR(__xludf.DUMMYFUNCTION("""COMPUTED_VALUE"""),"решітки на вікна та двері")</f>
        <v>решітки на вікна та двері</v>
      </c>
      <c r="F1105" s="17">
        <f>IFERROR(__xludf.DUMMYFUNCTION("""COMPUTED_VALUE"""),3.0)</f>
        <v>3</v>
      </c>
      <c r="G1105" s="17">
        <f>IFERROR(__xludf.DUMMYFUNCTION("""COMPUTED_VALUE"""),130733.0)</f>
        <v>130733</v>
      </c>
      <c r="H1105" s="17" t="str">
        <f>IFERROR(__xludf.DUMMYFUNCTION("""COMPUTED_VALUE"""),"решітки на вікна та двері")</f>
        <v>решітки на вікна та двері</v>
      </c>
      <c r="I1105" s="18">
        <f>IFERROR(__xludf.DUMMYFUNCTION("""COMPUTED_VALUE"""),0.76)</f>
        <v>0.76</v>
      </c>
      <c r="J1105" s="18">
        <f>IFERROR(__xludf.DUMMYFUNCTION("""COMPUTED_VALUE"""),1.53)</f>
        <v>1.53</v>
      </c>
      <c r="K1105" s="18">
        <f>IFERROR(__xludf.DUMMYFUNCTION("""COMPUTED_VALUE"""),1.91)</f>
        <v>1.91</v>
      </c>
      <c r="L1105" s="18">
        <f>IFERROR(__xludf.DUMMYFUNCTION("""COMPUTED_VALUE"""),3.05)</f>
        <v>3.05</v>
      </c>
    </row>
    <row r="1106">
      <c r="A1106" s="13" t="str">
        <f>IFERROR(__xludf.DUMMYFUNCTION("""COMPUTED_VALUE"""),"товари")</f>
        <v>товари</v>
      </c>
      <c r="B1106" s="13" t="str">
        <f>IFERROR(__xludf.DUMMYFUNCTION("""COMPUTED_VALUE"""),"матеріали для ремонту")</f>
        <v>матеріали для ремонту</v>
      </c>
      <c r="C1106" s="15" t="str">
        <f>IFERROR(__xludf.DUMMYFUNCTION("""COMPUTED_VALUE"""),"матеріали та комплектуючі для улаштування стель")</f>
        <v>матеріали та комплектуючі для улаштування стель</v>
      </c>
      <c r="D1106" s="15" t="str">
        <f>IFERROR(__xludf.DUMMYFUNCTION("""COMPUTED_VALUE"""),"стелі, загальне")</f>
        <v>стелі, загальне</v>
      </c>
      <c r="E1106" s="15" t="str">
        <f>IFERROR(__xludf.DUMMYFUNCTION("""COMPUTED_VALUE"""),"стелі, загальне")</f>
        <v>стелі, загальне</v>
      </c>
      <c r="F1106" s="17">
        <f>IFERROR(__xludf.DUMMYFUNCTION("""COMPUTED_VALUE"""),3.0)</f>
        <v>3</v>
      </c>
      <c r="G1106" s="17">
        <f>IFERROR(__xludf.DUMMYFUNCTION("""COMPUTED_VALUE"""),134206.0)</f>
        <v>134206</v>
      </c>
      <c r="H1106" s="17" t="str">
        <f>IFERROR(__xludf.DUMMYFUNCTION("""COMPUTED_VALUE"""),"стелі, загальне")</f>
        <v>стелі, загальне</v>
      </c>
      <c r="I1106" s="18">
        <f>IFERROR(__xludf.DUMMYFUNCTION("""COMPUTED_VALUE"""),2.16)</f>
        <v>2.16</v>
      </c>
      <c r="J1106" s="18">
        <f>IFERROR(__xludf.DUMMYFUNCTION("""COMPUTED_VALUE"""),4.33)</f>
        <v>4.33</v>
      </c>
      <c r="K1106" s="18">
        <f>IFERROR(__xludf.DUMMYFUNCTION("""COMPUTED_VALUE"""),5.41)</f>
        <v>5.41</v>
      </c>
      <c r="L1106" s="18">
        <f>IFERROR(__xludf.DUMMYFUNCTION("""COMPUTED_VALUE"""),8.65)</f>
        <v>8.65</v>
      </c>
    </row>
    <row r="1107">
      <c r="A1107" s="13" t="str">
        <f>IFERROR(__xludf.DUMMYFUNCTION("""COMPUTED_VALUE"""),"товари")</f>
        <v>товари</v>
      </c>
      <c r="B1107" s="13" t="str">
        <f>IFERROR(__xludf.DUMMYFUNCTION("""COMPUTED_VALUE"""),"матеріали для ремонту")</f>
        <v>матеріали для ремонту</v>
      </c>
      <c r="C1107" s="15" t="str">
        <f>IFERROR(__xludf.DUMMYFUNCTION("""COMPUTED_VALUE"""),"підлогові покриття")</f>
        <v>підлогові покриття</v>
      </c>
      <c r="D1107" s="15" t="str">
        <f>IFERROR(__xludf.DUMMYFUNCTION("""COMPUTED_VALUE"""),"сухі суміші для стяжки підлоги")</f>
        <v>сухі суміші для стяжки підлоги</v>
      </c>
      <c r="E1107" s="15" t="str">
        <f>IFERROR(__xludf.DUMMYFUNCTION("""COMPUTED_VALUE"""),"сухі суміші для стяжки підлоги")</f>
        <v>сухі суміші для стяжки підлоги</v>
      </c>
      <c r="F1107" s="17">
        <f>IFERROR(__xludf.DUMMYFUNCTION("""COMPUTED_VALUE"""),3.0)</f>
        <v>3</v>
      </c>
      <c r="G1107" s="17">
        <f>IFERROR(__xludf.DUMMYFUNCTION("""COMPUTED_VALUE"""),1.3070507E7)</f>
        <v>13070507</v>
      </c>
      <c r="H1107" s="17" t="str">
        <f>IFERROR(__xludf.DUMMYFUNCTION("""COMPUTED_VALUE"""),"сухі суміші для стяжки підлоги")</f>
        <v>сухі суміші для стяжки підлоги</v>
      </c>
      <c r="I1107" s="18">
        <f>IFERROR(__xludf.DUMMYFUNCTION("""COMPUTED_VALUE"""),0.76)</f>
        <v>0.76</v>
      </c>
      <c r="J1107" s="18">
        <f>IFERROR(__xludf.DUMMYFUNCTION("""COMPUTED_VALUE"""),1.53)</f>
        <v>1.53</v>
      </c>
      <c r="K1107" s="18">
        <f>IFERROR(__xludf.DUMMYFUNCTION("""COMPUTED_VALUE"""),1.91)</f>
        <v>1.91</v>
      </c>
      <c r="L1107" s="18">
        <f>IFERROR(__xludf.DUMMYFUNCTION("""COMPUTED_VALUE"""),3.05)</f>
        <v>3.05</v>
      </c>
    </row>
    <row r="1108">
      <c r="A1108" s="13" t="str">
        <f>IFERROR(__xludf.DUMMYFUNCTION("""COMPUTED_VALUE"""),"товари")</f>
        <v>товари</v>
      </c>
      <c r="B1108" s="13" t="str">
        <f>IFERROR(__xludf.DUMMYFUNCTION("""COMPUTED_VALUE"""),"матеріали для ремонту")</f>
        <v>матеріали для ремонту</v>
      </c>
      <c r="C1108" s="15" t="str">
        <f>IFERROR(__xludf.DUMMYFUNCTION("""COMPUTED_VALUE"""),"побутове водопостачання")</f>
        <v>побутове водопостачання</v>
      </c>
      <c r="D1108" s="15" t="str">
        <f>IFERROR(__xludf.DUMMYFUNCTION("""COMPUTED_VALUE"""),"водонагрівачі та комплектуючі")</f>
        <v>водонагрівачі та комплектуючі</v>
      </c>
      <c r="E1108" s="15" t="str">
        <f>IFERROR(__xludf.DUMMYFUNCTION("""COMPUTED_VALUE"""),"теплові акумулятори")</f>
        <v>теплові акумулятори</v>
      </c>
      <c r="F1108" s="17">
        <f>IFERROR(__xludf.DUMMYFUNCTION("""COMPUTED_VALUE"""),4.0)</f>
        <v>4</v>
      </c>
      <c r="G1108" s="17">
        <f>IFERROR(__xludf.DUMMYFUNCTION("""COMPUTED_VALUE"""),1.3241103E7)</f>
        <v>13241103</v>
      </c>
      <c r="H1108" s="17" t="str">
        <f>IFERROR(__xludf.DUMMYFUNCTION("""COMPUTED_VALUE"""),"теплові акумулятори")</f>
        <v>теплові акумулятори</v>
      </c>
      <c r="I1108" s="18">
        <f>IFERROR(__xludf.DUMMYFUNCTION("""COMPUTED_VALUE"""),2.7)</f>
        <v>2.7</v>
      </c>
      <c r="J1108" s="18">
        <f>IFERROR(__xludf.DUMMYFUNCTION("""COMPUTED_VALUE"""),5.4)</f>
        <v>5.4</v>
      </c>
      <c r="K1108" s="18">
        <f>IFERROR(__xludf.DUMMYFUNCTION("""COMPUTED_VALUE"""),6.75)</f>
        <v>6.75</v>
      </c>
      <c r="L1108" s="18">
        <f>IFERROR(__xludf.DUMMYFUNCTION("""COMPUTED_VALUE"""),10.8)</f>
        <v>10.8</v>
      </c>
    </row>
    <row r="1109">
      <c r="A1109" s="13" t="str">
        <f>IFERROR(__xludf.DUMMYFUNCTION("""COMPUTED_VALUE"""),"товари")</f>
        <v>товари</v>
      </c>
      <c r="B1109" s="13" t="str">
        <f>IFERROR(__xludf.DUMMYFUNCTION("""COMPUTED_VALUE"""),"матеріали для ремонту")</f>
        <v>матеріали для ремонту</v>
      </c>
      <c r="C1109" s="15" t="str">
        <f>IFERROR(__xludf.DUMMYFUNCTION("""COMPUTED_VALUE"""),"облицювальна плитка")</f>
        <v>облицювальна плитка</v>
      </c>
      <c r="D1109" s="15" t="str">
        <f>IFERROR(__xludf.DUMMYFUNCTION("""COMPUTED_VALUE"""),"фасадна плитка")</f>
        <v>фасадна плитка</v>
      </c>
      <c r="E1109" s="15" t="str">
        <f>IFERROR(__xludf.DUMMYFUNCTION("""COMPUTED_VALUE"""),"фасадна плитка")</f>
        <v>фасадна плитка</v>
      </c>
      <c r="F1109" s="17">
        <f>IFERROR(__xludf.DUMMYFUNCTION("""COMPUTED_VALUE"""),3.0)</f>
        <v>3</v>
      </c>
      <c r="G1109" s="17">
        <f>IFERROR(__xludf.DUMMYFUNCTION("""COMPUTED_VALUE"""),1.3073201E7)</f>
        <v>13073201</v>
      </c>
      <c r="H1109" s="17" t="str">
        <f>IFERROR(__xludf.DUMMYFUNCTION("""COMPUTED_VALUE"""),"фасадна плитка")</f>
        <v>фасадна плитка</v>
      </c>
      <c r="I1109" s="18">
        <f>IFERROR(__xludf.DUMMYFUNCTION("""COMPUTED_VALUE"""),0.76)</f>
        <v>0.76</v>
      </c>
      <c r="J1109" s="18">
        <f>IFERROR(__xludf.DUMMYFUNCTION("""COMPUTED_VALUE"""),1.53)</f>
        <v>1.53</v>
      </c>
      <c r="K1109" s="18">
        <f>IFERROR(__xludf.DUMMYFUNCTION("""COMPUTED_VALUE"""),1.91)</f>
        <v>1.91</v>
      </c>
      <c r="L1109" s="18">
        <f>IFERROR(__xludf.DUMMYFUNCTION("""COMPUTED_VALUE"""),3.05)</f>
        <v>3.05</v>
      </c>
    </row>
    <row r="1110">
      <c r="A1110" s="13" t="str">
        <f>IFERROR(__xludf.DUMMYFUNCTION("""COMPUTED_VALUE"""),"товари")</f>
        <v>товари</v>
      </c>
      <c r="B1110" s="13" t="str">
        <f>IFERROR(__xludf.DUMMYFUNCTION("""COMPUTED_VALUE"""),"медикаменти та медичні товари")</f>
        <v>медикаменти та медичні товари</v>
      </c>
      <c r="C1110" s="15" t="str">
        <f>IFERROR(__xludf.DUMMYFUNCTION("""COMPUTED_VALUE"""),"товари для людей з інвалідністю")</f>
        <v>товари для людей з інвалідністю</v>
      </c>
      <c r="D1110" s="15" t="str">
        <f>IFERROR(__xludf.DUMMYFUNCTION("""COMPUTED_VALUE"""),"вертикалізатори")</f>
        <v>вертикалізатори</v>
      </c>
      <c r="E1110" s="15" t="str">
        <f>IFERROR(__xludf.DUMMYFUNCTION("""COMPUTED_VALUE"""),"вертикалізатори")</f>
        <v>вертикалізатори</v>
      </c>
      <c r="F1110" s="17">
        <f>IFERROR(__xludf.DUMMYFUNCTION("""COMPUTED_VALUE"""),3.0)</f>
        <v>3</v>
      </c>
      <c r="G1110" s="17">
        <f>IFERROR(__xludf.DUMMYFUNCTION("""COMPUTED_VALUE"""),400911.0)</f>
        <v>400911</v>
      </c>
      <c r="H1110" s="17" t="str">
        <f>IFERROR(__xludf.DUMMYFUNCTION("""COMPUTED_VALUE"""),"вертикалізатори")</f>
        <v>вертикалізатори</v>
      </c>
      <c r="I1110" s="18">
        <f>IFERROR(__xludf.DUMMYFUNCTION("""COMPUTED_VALUE"""),0.76)</f>
        <v>0.76</v>
      </c>
      <c r="J1110" s="18">
        <f>IFERROR(__xludf.DUMMYFUNCTION("""COMPUTED_VALUE"""),1.53)</f>
        <v>1.53</v>
      </c>
      <c r="K1110" s="18">
        <f>IFERROR(__xludf.DUMMYFUNCTION("""COMPUTED_VALUE"""),1.91)</f>
        <v>1.91</v>
      </c>
      <c r="L1110" s="18">
        <f>IFERROR(__xludf.DUMMYFUNCTION("""COMPUTED_VALUE"""),3.05)</f>
        <v>3.05</v>
      </c>
    </row>
    <row r="1111">
      <c r="A1111" s="13" t="str">
        <f>IFERROR(__xludf.DUMMYFUNCTION("""COMPUTED_VALUE"""),"товари")</f>
        <v>товари</v>
      </c>
      <c r="B1111" s="13" t="str">
        <f>IFERROR(__xludf.DUMMYFUNCTION("""COMPUTED_VALUE"""),"медикаменти та медичні товари")</f>
        <v>медикаменти та медичні товари</v>
      </c>
      <c r="C1111" s="15" t="str">
        <f>IFERROR(__xludf.DUMMYFUNCTION("""COMPUTED_VALUE"""),"товари для людей з інвалідністю")</f>
        <v>товари для людей з інвалідністю</v>
      </c>
      <c r="D1111" s="15" t="str">
        <f>IFERROR(__xludf.DUMMYFUNCTION("""COMPUTED_VALUE"""),"товари для людей з обмеженими можливостями, загальне")</f>
        <v>товари для людей з обмеженими можливостями, загальне</v>
      </c>
      <c r="E1111" s="15" t="str">
        <f>IFERROR(__xludf.DUMMYFUNCTION("""COMPUTED_VALUE"""),"товари для людей з обмеженими можливостями, загальне")</f>
        <v>товари для людей з обмеженими можливостями, загальне</v>
      </c>
      <c r="F1111" s="17">
        <f>IFERROR(__xludf.DUMMYFUNCTION("""COMPUTED_VALUE"""),3.0)</f>
        <v>3</v>
      </c>
      <c r="G1111" s="17">
        <f>IFERROR(__xludf.DUMMYFUNCTION("""COMPUTED_VALUE"""),1607.0)</f>
        <v>1607</v>
      </c>
      <c r="H1111" s="17" t="str">
        <f>IFERROR(__xludf.DUMMYFUNCTION("""COMPUTED_VALUE"""),"товари для людей з обмеженими можливостями, загальне")</f>
        <v>товари для людей з обмеженими можливостями, загальне</v>
      </c>
      <c r="I1111" s="18">
        <f>IFERROR(__xludf.DUMMYFUNCTION("""COMPUTED_VALUE"""),2.16)</f>
        <v>2.16</v>
      </c>
      <c r="J1111" s="18">
        <f>IFERROR(__xludf.DUMMYFUNCTION("""COMPUTED_VALUE"""),4.33)</f>
        <v>4.33</v>
      </c>
      <c r="K1111" s="18">
        <f>IFERROR(__xludf.DUMMYFUNCTION("""COMPUTED_VALUE"""),5.41)</f>
        <v>5.41</v>
      </c>
      <c r="L1111" s="18">
        <f>IFERROR(__xludf.DUMMYFUNCTION("""COMPUTED_VALUE"""),8.65)</f>
        <v>8.65</v>
      </c>
    </row>
    <row r="1112">
      <c r="A1112" s="13" t="str">
        <f>IFERROR(__xludf.DUMMYFUNCTION("""COMPUTED_VALUE"""),"товари")</f>
        <v>товари</v>
      </c>
      <c r="B111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2" s="15" t="str">
        <f>IFERROR(__xludf.DUMMYFUNCTION("""COMPUTED_VALUE"""),"медичне обладнання")</f>
        <v>медичне обладнання</v>
      </c>
      <c r="D1112" s="15" t="str">
        <f>IFERROR(__xludf.DUMMYFUNCTION("""COMPUTED_VALUE"""),"акушерське та гінекологічне обладнання")</f>
        <v>акушерське та гінекологічне обладнання</v>
      </c>
      <c r="E1112" s="15" t="str">
        <f>IFERROR(__xludf.DUMMYFUNCTION("""COMPUTED_VALUE"""),"акушерське та гінекологічне обладнання")</f>
        <v>акушерське та гінекологічне обладнання</v>
      </c>
      <c r="F1112" s="17">
        <f>IFERROR(__xludf.DUMMYFUNCTION("""COMPUTED_VALUE"""),3.0)</f>
        <v>3</v>
      </c>
      <c r="G1112" s="17">
        <f>IFERROR(__xludf.DUMMYFUNCTION("""COMPUTED_VALUE"""),161108.0)</f>
        <v>161108</v>
      </c>
      <c r="H1112" s="17" t="str">
        <f>IFERROR(__xludf.DUMMYFUNCTION("""COMPUTED_VALUE"""),"акушерське та гінекологічне обладнання")</f>
        <v>акушерське та гінекологічне обладнання</v>
      </c>
      <c r="I1112" s="18">
        <f>IFERROR(__xludf.DUMMYFUNCTION("""COMPUTED_VALUE"""),2.03)</f>
        <v>2.03</v>
      </c>
      <c r="J1112" s="18">
        <f>IFERROR(__xludf.DUMMYFUNCTION("""COMPUTED_VALUE"""),4.05)</f>
        <v>4.05</v>
      </c>
      <c r="K1112" s="18">
        <f>IFERROR(__xludf.DUMMYFUNCTION("""COMPUTED_VALUE"""),5.06)</f>
        <v>5.06</v>
      </c>
      <c r="L1112" s="18">
        <f>IFERROR(__xludf.DUMMYFUNCTION("""COMPUTED_VALUE"""),8.1)</f>
        <v>8.1</v>
      </c>
    </row>
    <row r="1113">
      <c r="A1113" s="13" t="str">
        <f>IFERROR(__xludf.DUMMYFUNCTION("""COMPUTED_VALUE"""),"товари")</f>
        <v>товари</v>
      </c>
      <c r="B111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3" s="15" t="str">
        <f>IFERROR(__xludf.DUMMYFUNCTION("""COMPUTED_VALUE"""),"медичне обладнання")</f>
        <v>медичне обладнання</v>
      </c>
      <c r="D1113" s="15" t="str">
        <f>IFERROR(__xludf.DUMMYFUNCTION("""COMPUTED_VALUE"""),"фізіотерапевтичне обладнання")</f>
        <v>фізіотерапевтичне обладнання</v>
      </c>
      <c r="E1113" s="15" t="str">
        <f>IFERROR(__xludf.DUMMYFUNCTION("""COMPUTED_VALUE"""),"апарати магнітотерапії")</f>
        <v>апарати магнітотерапії</v>
      </c>
      <c r="F1113" s="17">
        <f>IFERROR(__xludf.DUMMYFUNCTION("""COMPUTED_VALUE"""),4.0)</f>
        <v>4</v>
      </c>
      <c r="G1113" s="17">
        <f>IFERROR(__xludf.DUMMYFUNCTION("""COMPUTED_VALUE"""),1.6110403E7)</f>
        <v>16110403</v>
      </c>
      <c r="H1113" s="17" t="str">
        <f>IFERROR(__xludf.DUMMYFUNCTION("""COMPUTED_VALUE"""),"апарати магнітотерапії")</f>
        <v>апарати магнітотерапії</v>
      </c>
      <c r="I1113" s="18">
        <f>IFERROR(__xludf.DUMMYFUNCTION("""COMPUTED_VALUE"""),2.21)</f>
        <v>2.21</v>
      </c>
      <c r="J1113" s="18">
        <f>IFERROR(__xludf.DUMMYFUNCTION("""COMPUTED_VALUE"""),4.41)</f>
        <v>4.41</v>
      </c>
      <c r="K1113" s="18">
        <f>IFERROR(__xludf.DUMMYFUNCTION("""COMPUTED_VALUE"""),5.52)</f>
        <v>5.52</v>
      </c>
      <c r="L1113" s="18">
        <f>IFERROR(__xludf.DUMMYFUNCTION("""COMPUTED_VALUE"""),8.83)</f>
        <v>8.83</v>
      </c>
    </row>
    <row r="1114">
      <c r="A1114" s="13" t="str">
        <f>IFERROR(__xludf.DUMMYFUNCTION("""COMPUTED_VALUE"""),"товари")</f>
        <v>товари</v>
      </c>
      <c r="B111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4" s="16" t="str">
        <f>IFERROR(__xludf.DUMMYFUNCTION("""COMPUTED_VALUE"""),"медичне обладнання")</f>
        <v>медичне обладнання</v>
      </c>
      <c r="D1114" s="16" t="str">
        <f>IFERROR(__xludf.DUMMYFUNCTION("""COMPUTED_VALUE"""),"лабораторне обладнання")</f>
        <v>лабораторне обладнання</v>
      </c>
      <c r="E1114" s="16" t="str">
        <f>IFERROR(__xludf.DUMMYFUNCTION("""COMPUTED_VALUE"""),"ваги лабораторні")</f>
        <v>ваги лабораторні</v>
      </c>
      <c r="F1114" s="17">
        <f>IFERROR(__xludf.DUMMYFUNCTION("""COMPUTED_VALUE"""),4.0)</f>
        <v>4</v>
      </c>
      <c r="G1114" s="17">
        <f>IFERROR(__xludf.DUMMYFUNCTION("""COMPUTED_VALUE"""),1.5371104E7)</f>
        <v>15371104</v>
      </c>
      <c r="H1114" s="17" t="str">
        <f>IFERROR(__xludf.DUMMYFUNCTION("""COMPUTED_VALUE"""),"ваги лабораторні")</f>
        <v>ваги лабораторні</v>
      </c>
      <c r="I1114" s="18">
        <f>IFERROR(__xludf.DUMMYFUNCTION("""COMPUTED_VALUE"""),1.8)</f>
        <v>1.8</v>
      </c>
      <c r="J1114" s="18">
        <f>IFERROR(__xludf.DUMMYFUNCTION("""COMPUTED_VALUE"""),3.6)</f>
        <v>3.6</v>
      </c>
      <c r="K1114" s="18">
        <f>IFERROR(__xludf.DUMMYFUNCTION("""COMPUTED_VALUE"""),4.5)</f>
        <v>4.5</v>
      </c>
      <c r="L1114" s="18">
        <f>IFERROR(__xludf.DUMMYFUNCTION("""COMPUTED_VALUE"""),7.2)</f>
        <v>7.2</v>
      </c>
    </row>
    <row r="1115">
      <c r="A1115" s="13" t="str">
        <f>IFERROR(__xludf.DUMMYFUNCTION("""COMPUTED_VALUE"""),"товари")</f>
        <v>товари</v>
      </c>
      <c r="B111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5" s="15" t="str">
        <f>IFERROR(__xludf.DUMMYFUNCTION("""COMPUTED_VALUE"""),"медичне обладнання")</f>
        <v>медичне обладнання</v>
      </c>
      <c r="D1115" s="15" t="str">
        <f>IFERROR(__xludf.DUMMYFUNCTION("""COMPUTED_VALUE"""),"витратні матеріали для медичного обладнання")</f>
        <v>витратні матеріали для медичного обладнання</v>
      </c>
      <c r="E1115" s="15" t="str">
        <f>IFERROR(__xludf.DUMMYFUNCTION("""COMPUTED_VALUE"""),"витратні матеріали для фізіотерапевтичного обладнання")</f>
        <v>витратні матеріали для фізіотерапевтичного обладнання</v>
      </c>
      <c r="F1115" s="17">
        <f>IFERROR(__xludf.DUMMYFUNCTION("""COMPUTED_VALUE"""),4.0)</f>
        <v>4</v>
      </c>
      <c r="G1115" s="17">
        <f>IFERROR(__xludf.DUMMYFUNCTION("""COMPUTED_VALUE"""),1.611041E7)</f>
        <v>16110410</v>
      </c>
      <c r="H1115" s="17" t="str">
        <f>IFERROR(__xludf.DUMMYFUNCTION("""COMPUTED_VALUE"""),"витратні матеріали для фізіотерапевтичного обладнання")</f>
        <v>витратні матеріали для фізіотерапевтичного обладнання</v>
      </c>
      <c r="I1115" s="18">
        <f>IFERROR(__xludf.DUMMYFUNCTION("""COMPUTED_VALUE"""),1.17)</f>
        <v>1.17</v>
      </c>
      <c r="J1115" s="18">
        <f>IFERROR(__xludf.DUMMYFUNCTION("""COMPUTED_VALUE"""),2.34)</f>
        <v>2.34</v>
      </c>
      <c r="K1115" s="18">
        <f>IFERROR(__xludf.DUMMYFUNCTION("""COMPUTED_VALUE"""),2.92)</f>
        <v>2.92</v>
      </c>
      <c r="L1115" s="18">
        <f>IFERROR(__xludf.DUMMYFUNCTION("""COMPUTED_VALUE"""),4.68)</f>
        <v>4.68</v>
      </c>
    </row>
    <row r="1116">
      <c r="A1116" s="13" t="str">
        <f>IFERROR(__xludf.DUMMYFUNCTION("""COMPUTED_VALUE"""),"товари")</f>
        <v>товари</v>
      </c>
      <c r="B111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6" s="15" t="str">
        <f>IFERROR(__xludf.DUMMYFUNCTION("""COMPUTED_VALUE"""),"медичне обладнання")</f>
        <v>медичне обладнання</v>
      </c>
      <c r="D1116" s="15" t="str">
        <f>IFERROR(__xludf.DUMMYFUNCTION("""COMPUTED_VALUE"""),"кисневе медичне обладнання")</f>
        <v>кисневе медичне обладнання</v>
      </c>
      <c r="E1116" s="15" t="str">
        <f>IFERROR(__xludf.DUMMYFUNCTION("""COMPUTED_VALUE"""),"генератори кисню")</f>
        <v>генератори кисню</v>
      </c>
      <c r="F1116" s="17">
        <f>IFERROR(__xludf.DUMMYFUNCTION("""COMPUTED_VALUE"""),4.0)</f>
        <v>4</v>
      </c>
      <c r="G1116" s="17">
        <f>IFERROR(__xludf.DUMMYFUNCTION("""COMPUTED_VALUE"""),1.6112304E7)</f>
        <v>16112304</v>
      </c>
      <c r="H1116" s="17" t="str">
        <f>IFERROR(__xludf.DUMMYFUNCTION("""COMPUTED_VALUE"""),"генератори кисню")</f>
        <v>генератори кисню</v>
      </c>
      <c r="I1116" s="18">
        <f>IFERROR(__xludf.DUMMYFUNCTION("""COMPUTED_VALUE"""),2.7)</f>
        <v>2.7</v>
      </c>
      <c r="J1116" s="18">
        <f>IFERROR(__xludf.DUMMYFUNCTION("""COMPUTED_VALUE"""),5.4)</f>
        <v>5.4</v>
      </c>
      <c r="K1116" s="18">
        <f>IFERROR(__xludf.DUMMYFUNCTION("""COMPUTED_VALUE"""),6.75)</f>
        <v>6.75</v>
      </c>
      <c r="L1116" s="18">
        <f>IFERROR(__xludf.DUMMYFUNCTION("""COMPUTED_VALUE"""),10.8)</f>
        <v>10.8</v>
      </c>
    </row>
    <row r="1117">
      <c r="A1117" s="13" t="str">
        <f>IFERROR(__xludf.DUMMYFUNCTION("""COMPUTED_VALUE"""),"товари")</f>
        <v>товари</v>
      </c>
      <c r="B111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7" s="15" t="str">
        <f>IFERROR(__xludf.DUMMYFUNCTION("""COMPUTED_VALUE"""),"медичне обладнання")</f>
        <v>медичне обладнання</v>
      </c>
      <c r="D1117" s="15" t="str">
        <f>IFERROR(__xludf.DUMMYFUNCTION("""COMPUTED_VALUE"""),"діагностичне обладнання")</f>
        <v>діагностичне обладнання</v>
      </c>
      <c r="E1117" s="15" t="str">
        <f>IFERROR(__xludf.DUMMYFUNCTION("""COMPUTED_VALUE"""),"діагностичне обладнання, загальне")</f>
        <v>діагностичне обладнання, загальне</v>
      </c>
      <c r="F1117" s="17">
        <f>IFERROR(__xludf.DUMMYFUNCTION("""COMPUTED_VALUE"""),4.0)</f>
        <v>4</v>
      </c>
      <c r="G1117" s="17">
        <f>IFERROR(__xludf.DUMMYFUNCTION("""COMPUTED_VALUE"""),1.6111402E7)</f>
        <v>16111402</v>
      </c>
      <c r="H1117" s="17" t="str">
        <f>IFERROR(__xludf.DUMMYFUNCTION("""COMPUTED_VALUE"""),"діагностичне обладнання, загальне")</f>
        <v>діагностичне обладнання, загальне</v>
      </c>
      <c r="I1117" s="18">
        <f>IFERROR(__xludf.DUMMYFUNCTION("""COMPUTED_VALUE"""),2.16)</f>
        <v>2.16</v>
      </c>
      <c r="J1117" s="18">
        <f>IFERROR(__xludf.DUMMYFUNCTION("""COMPUTED_VALUE"""),4.33)</f>
        <v>4.33</v>
      </c>
      <c r="K1117" s="18">
        <f>IFERROR(__xludf.DUMMYFUNCTION("""COMPUTED_VALUE"""),5.41)</f>
        <v>5.41</v>
      </c>
      <c r="L1117" s="18">
        <f>IFERROR(__xludf.DUMMYFUNCTION("""COMPUTED_VALUE"""),8.65)</f>
        <v>8.65</v>
      </c>
    </row>
    <row r="1118">
      <c r="A1118" s="13" t="str">
        <f>IFERROR(__xludf.DUMMYFUNCTION("""COMPUTED_VALUE"""),"товари")</f>
        <v>товари</v>
      </c>
      <c r="B111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8" s="15" t="str">
        <f>IFERROR(__xludf.DUMMYFUNCTION("""COMPUTED_VALUE"""),"медичне обладнання")</f>
        <v>медичне обладнання</v>
      </c>
      <c r="D1118" s="15" t="str">
        <f>IFERROR(__xludf.DUMMYFUNCTION("""COMPUTED_VALUE"""),"кардіологічне обладнання")</f>
        <v>кардіологічне обладнання</v>
      </c>
      <c r="E1118" s="15" t="str">
        <f>IFERROR(__xludf.DUMMYFUNCTION("""COMPUTED_VALUE"""),"електрокардіографи")</f>
        <v>електрокардіографи</v>
      </c>
      <c r="F1118" s="17">
        <f>IFERROR(__xludf.DUMMYFUNCTION("""COMPUTED_VALUE"""),4.0)</f>
        <v>4</v>
      </c>
      <c r="G1118" s="17">
        <f>IFERROR(__xludf.DUMMYFUNCTION("""COMPUTED_VALUE"""),1.6110901E7)</f>
        <v>16110901</v>
      </c>
      <c r="H1118" s="17" t="str">
        <f>IFERROR(__xludf.DUMMYFUNCTION("""COMPUTED_VALUE"""),"електрокардіографи")</f>
        <v>електрокардіографи</v>
      </c>
      <c r="I1118" s="18">
        <f>IFERROR(__xludf.DUMMYFUNCTION("""COMPUTED_VALUE"""),2.03)</f>
        <v>2.03</v>
      </c>
      <c r="J1118" s="18">
        <f>IFERROR(__xludf.DUMMYFUNCTION("""COMPUTED_VALUE"""),4.05)</f>
        <v>4.05</v>
      </c>
      <c r="K1118" s="18">
        <f>IFERROR(__xludf.DUMMYFUNCTION("""COMPUTED_VALUE"""),5.06)</f>
        <v>5.06</v>
      </c>
      <c r="L1118" s="18">
        <f>IFERROR(__xludf.DUMMYFUNCTION("""COMPUTED_VALUE"""),8.1)</f>
        <v>8.1</v>
      </c>
    </row>
    <row r="1119">
      <c r="A1119" s="13" t="str">
        <f>IFERROR(__xludf.DUMMYFUNCTION("""COMPUTED_VALUE"""),"товари")</f>
        <v>товари</v>
      </c>
      <c r="B111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9" s="15" t="str">
        <f>IFERROR(__xludf.DUMMYFUNCTION("""COMPUTED_VALUE"""),"медичне обладнання")</f>
        <v>медичне обладнання</v>
      </c>
      <c r="D1119" s="15" t="str">
        <f>IFERROR(__xludf.DUMMYFUNCTION("""COMPUTED_VALUE"""),"діагностичне обладнання")</f>
        <v>діагностичне обладнання</v>
      </c>
      <c r="E1119" s="15" t="str">
        <f>IFERROR(__xludf.DUMMYFUNCTION("""COMPUTED_VALUE"""),"ендоскопічне обладнання")</f>
        <v>ендоскопічне обладнання</v>
      </c>
      <c r="F1119" s="17">
        <f>IFERROR(__xludf.DUMMYFUNCTION("""COMPUTED_VALUE"""),4.0)</f>
        <v>4</v>
      </c>
      <c r="G1119" s="17">
        <f>IFERROR(__xludf.DUMMYFUNCTION("""COMPUTED_VALUE"""),1.6111403E7)</f>
        <v>16111403</v>
      </c>
      <c r="H1119" s="17" t="str">
        <f>IFERROR(__xludf.DUMMYFUNCTION("""COMPUTED_VALUE"""),"ендоскопічне обладнання")</f>
        <v>ендоскопічне обладнання</v>
      </c>
      <c r="I1119" s="18">
        <f>IFERROR(__xludf.DUMMYFUNCTION("""COMPUTED_VALUE"""),2.29)</f>
        <v>2.29</v>
      </c>
      <c r="J1119" s="18">
        <f>IFERROR(__xludf.DUMMYFUNCTION("""COMPUTED_VALUE"""),4.58)</f>
        <v>4.58</v>
      </c>
      <c r="K1119" s="18">
        <f>IFERROR(__xludf.DUMMYFUNCTION("""COMPUTED_VALUE"""),5.72)</f>
        <v>5.72</v>
      </c>
      <c r="L1119" s="18">
        <f>IFERROR(__xludf.DUMMYFUNCTION("""COMPUTED_VALUE"""),9.15)</f>
        <v>9.15</v>
      </c>
    </row>
    <row r="1120">
      <c r="A1120" s="13" t="str">
        <f>IFERROR(__xludf.DUMMYFUNCTION("""COMPUTED_VALUE"""),"товари")</f>
        <v>товари</v>
      </c>
      <c r="B112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0" s="15" t="str">
        <f>IFERROR(__xludf.DUMMYFUNCTION("""COMPUTED_VALUE"""),"медичне обладнання")</f>
        <v>медичне обладнання</v>
      </c>
      <c r="D1120" s="15" t="str">
        <f>IFERROR(__xludf.DUMMYFUNCTION("""COMPUTED_VALUE"""),"кардіологічне обладнання")</f>
        <v>кардіологічне обладнання</v>
      </c>
      <c r="E1120" s="15" t="str">
        <f>IFERROR(__xludf.DUMMYFUNCTION("""COMPUTED_VALUE"""),"кардіологічне обладнання, загальна")</f>
        <v>кардіологічне обладнання, загальна</v>
      </c>
      <c r="F1120" s="17">
        <f>IFERROR(__xludf.DUMMYFUNCTION("""COMPUTED_VALUE"""),4.0)</f>
        <v>4</v>
      </c>
      <c r="G1120" s="17">
        <f>IFERROR(__xludf.DUMMYFUNCTION("""COMPUTED_VALUE"""),1.6110905E7)</f>
        <v>16110905</v>
      </c>
      <c r="H1120" s="17" t="str">
        <f>IFERROR(__xludf.DUMMYFUNCTION("""COMPUTED_VALUE"""),"кардіологічне обладнання, загальна")</f>
        <v>кардіологічне обладнання, загальна</v>
      </c>
      <c r="I1120" s="18">
        <f>IFERROR(__xludf.DUMMYFUNCTION("""COMPUTED_VALUE"""),2.16)</f>
        <v>2.16</v>
      </c>
      <c r="J1120" s="18">
        <f>IFERROR(__xludf.DUMMYFUNCTION("""COMPUTED_VALUE"""),4.33)</f>
        <v>4.33</v>
      </c>
      <c r="K1120" s="18">
        <f>IFERROR(__xludf.DUMMYFUNCTION("""COMPUTED_VALUE"""),5.41)</f>
        <v>5.41</v>
      </c>
      <c r="L1120" s="18">
        <f>IFERROR(__xludf.DUMMYFUNCTION("""COMPUTED_VALUE"""),8.65)</f>
        <v>8.65</v>
      </c>
    </row>
    <row r="1121">
      <c r="A1121" s="13" t="str">
        <f>IFERROR(__xludf.DUMMYFUNCTION("""COMPUTED_VALUE"""),"товари")</f>
        <v>товари</v>
      </c>
      <c r="B112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1" s="15" t="str">
        <f>IFERROR(__xludf.DUMMYFUNCTION("""COMPUTED_VALUE"""),"медичне обладнання")</f>
        <v>медичне обладнання</v>
      </c>
      <c r="D1121" s="15" t="str">
        <f>IFERROR(__xludf.DUMMYFUNCTION("""COMPUTED_VALUE"""),"кисневе медичне обладнання")</f>
        <v>кисневе медичне обладнання</v>
      </c>
      <c r="E1121" s="15" t="str">
        <f>IFERROR(__xludf.DUMMYFUNCTION("""COMPUTED_VALUE"""),"кисневе медичне обладнання, загальне")</f>
        <v>кисневе медичне обладнання, загальне</v>
      </c>
      <c r="F1121" s="17">
        <f>IFERROR(__xludf.DUMMYFUNCTION("""COMPUTED_VALUE"""),4.0)</f>
        <v>4</v>
      </c>
      <c r="G1121" s="17">
        <f>IFERROR(__xludf.DUMMYFUNCTION("""COMPUTED_VALUE"""),161113.0)</f>
        <v>161113</v>
      </c>
      <c r="H1121" s="17" t="str">
        <f>IFERROR(__xludf.DUMMYFUNCTION("""COMPUTED_VALUE"""),"кисневе медичне обладнання, загальне")</f>
        <v>кисневе медичне обладнання, загальне</v>
      </c>
      <c r="I1121" s="18">
        <f>IFERROR(__xludf.DUMMYFUNCTION("""COMPUTED_VALUE"""),2.16)</f>
        <v>2.16</v>
      </c>
      <c r="J1121" s="18">
        <f>IFERROR(__xludf.DUMMYFUNCTION("""COMPUTED_VALUE"""),4.33)</f>
        <v>4.33</v>
      </c>
      <c r="K1121" s="18">
        <f>IFERROR(__xludf.DUMMYFUNCTION("""COMPUTED_VALUE"""),5.41)</f>
        <v>5.41</v>
      </c>
      <c r="L1121" s="18">
        <f>IFERROR(__xludf.DUMMYFUNCTION("""COMPUTED_VALUE"""),8.65)</f>
        <v>8.65</v>
      </c>
    </row>
    <row r="1122">
      <c r="A1122" s="13" t="str">
        <f>IFERROR(__xludf.DUMMYFUNCTION("""COMPUTED_VALUE"""),"товари")</f>
        <v>товари</v>
      </c>
      <c r="B112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2" s="15" t="str">
        <f>IFERROR(__xludf.DUMMYFUNCTION("""COMPUTED_VALUE"""),"медичне обладнання")</f>
        <v>медичне обладнання</v>
      </c>
      <c r="D1122" s="15" t="str">
        <f>IFERROR(__xludf.DUMMYFUNCTION("""COMPUTED_VALUE"""),"кисневе медичне обладнання")</f>
        <v>кисневе медичне обладнання</v>
      </c>
      <c r="E1122" s="15" t="str">
        <f>IFERROR(__xludf.DUMMYFUNCTION("""COMPUTED_VALUE"""),"комплектуючі для кисневого медичного обладнання")</f>
        <v>комплектуючі для кисневого медичного обладнання</v>
      </c>
      <c r="F1122" s="17">
        <f>IFERROR(__xludf.DUMMYFUNCTION("""COMPUTED_VALUE"""),4.0)</f>
        <v>4</v>
      </c>
      <c r="G1122" s="17">
        <f>IFERROR(__xludf.DUMMYFUNCTION("""COMPUTED_VALUE"""),1.6112305E7)</f>
        <v>16112305</v>
      </c>
      <c r="H1122" s="17" t="str">
        <f>IFERROR(__xludf.DUMMYFUNCTION("""COMPUTED_VALUE"""),"комплектуючі для кисневого медичного обладнання")</f>
        <v>комплектуючі для кисневого медичного обладнання</v>
      </c>
      <c r="I1122" s="18">
        <f>IFERROR(__xludf.DUMMYFUNCTION("""COMPUTED_VALUE"""),2.7)</f>
        <v>2.7</v>
      </c>
      <c r="J1122" s="18">
        <f>IFERROR(__xludf.DUMMYFUNCTION("""COMPUTED_VALUE"""),5.4)</f>
        <v>5.4</v>
      </c>
      <c r="K1122" s="18">
        <f>IFERROR(__xludf.DUMMYFUNCTION("""COMPUTED_VALUE"""),6.75)</f>
        <v>6.75</v>
      </c>
      <c r="L1122" s="18">
        <f>IFERROR(__xludf.DUMMYFUNCTION("""COMPUTED_VALUE"""),10.8)</f>
        <v>10.8</v>
      </c>
    </row>
    <row r="1123">
      <c r="A1123" s="13" t="str">
        <f>IFERROR(__xludf.DUMMYFUNCTION("""COMPUTED_VALUE"""),"товари")</f>
        <v>товари</v>
      </c>
      <c r="B112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3" s="15" t="str">
        <f>IFERROR(__xludf.DUMMYFUNCTION("""COMPUTED_VALUE"""),"медичне обладнання")</f>
        <v>медичне обладнання</v>
      </c>
      <c r="D1123" s="15" t="str">
        <f>IFERROR(__xludf.DUMMYFUNCTION("""COMPUTED_VALUE"""),"комплектуючі та запчастини для медичного обладнання")</f>
        <v>комплектуючі та запчастини для медичного обладнання</v>
      </c>
      <c r="E1123" s="15" t="str">
        <f>IFERROR(__xludf.DUMMYFUNCTION("""COMPUTED_VALUE"""),"комплектуючі та запчастини для медичного обладнання")</f>
        <v>комплектуючі та запчастини для медичного обладнання</v>
      </c>
      <c r="F1123" s="17">
        <f>IFERROR(__xludf.DUMMYFUNCTION("""COMPUTED_VALUE"""),3.0)</f>
        <v>3</v>
      </c>
      <c r="G1123" s="17">
        <f>IFERROR(__xludf.DUMMYFUNCTION("""COMPUTED_VALUE"""),161131.0)</f>
        <v>161131</v>
      </c>
      <c r="H1123" s="17" t="str">
        <f>IFERROR(__xludf.DUMMYFUNCTION("""COMPUTED_VALUE"""),"комплектуючі та запчастини для медичного обладнання")</f>
        <v>комплектуючі та запчастини для медичного обладнання</v>
      </c>
      <c r="I1123" s="18">
        <f>IFERROR(__xludf.DUMMYFUNCTION("""COMPUTED_VALUE"""),0.76)</f>
        <v>0.76</v>
      </c>
      <c r="J1123" s="18">
        <f>IFERROR(__xludf.DUMMYFUNCTION("""COMPUTED_VALUE"""),1.53)</f>
        <v>1.53</v>
      </c>
      <c r="K1123" s="18">
        <f>IFERROR(__xludf.DUMMYFUNCTION("""COMPUTED_VALUE"""),1.91)</f>
        <v>1.91</v>
      </c>
      <c r="L1123" s="18">
        <f>IFERROR(__xludf.DUMMYFUNCTION("""COMPUTED_VALUE"""),3.05)</f>
        <v>3.05</v>
      </c>
    </row>
    <row r="1124">
      <c r="A1124" s="13" t="str">
        <f>IFERROR(__xludf.DUMMYFUNCTION("""COMPUTED_VALUE"""),"товари")</f>
        <v>товари</v>
      </c>
      <c r="B112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4" s="15" t="str">
        <f>IFERROR(__xludf.DUMMYFUNCTION("""COMPUTED_VALUE"""),"медичне обладнання")</f>
        <v>медичне обладнання</v>
      </c>
      <c r="D1124" s="15" t="str">
        <f>IFERROR(__xludf.DUMMYFUNCTION("""COMPUTED_VALUE"""),"кисневе медичне обладнання")</f>
        <v>кисневе медичне обладнання</v>
      </c>
      <c r="E1124" s="15" t="str">
        <f>IFERROR(__xludf.DUMMYFUNCTION("""COMPUTED_VALUE"""),"концентратори кисню")</f>
        <v>концентратори кисню</v>
      </c>
      <c r="F1124" s="17">
        <f>IFERROR(__xludf.DUMMYFUNCTION("""COMPUTED_VALUE"""),4.0)</f>
        <v>4</v>
      </c>
      <c r="G1124" s="17">
        <f>IFERROR(__xludf.DUMMYFUNCTION("""COMPUTED_VALUE"""),622.0)</f>
        <v>622</v>
      </c>
      <c r="H1124" s="17" t="str">
        <f>IFERROR(__xludf.DUMMYFUNCTION("""COMPUTED_VALUE"""),"концентратори кисню")</f>
        <v>концентратори кисню</v>
      </c>
      <c r="I1124" s="18">
        <f>IFERROR(__xludf.DUMMYFUNCTION("""COMPUTED_VALUE"""),2.7)</f>
        <v>2.7</v>
      </c>
      <c r="J1124" s="18">
        <f>IFERROR(__xludf.DUMMYFUNCTION("""COMPUTED_VALUE"""),5.4)</f>
        <v>5.4</v>
      </c>
      <c r="K1124" s="18">
        <f>IFERROR(__xludf.DUMMYFUNCTION("""COMPUTED_VALUE"""),6.75)</f>
        <v>6.75</v>
      </c>
      <c r="L1124" s="18">
        <f>IFERROR(__xludf.DUMMYFUNCTION("""COMPUTED_VALUE"""),10.8)</f>
        <v>10.8</v>
      </c>
    </row>
    <row r="1125">
      <c r="A1125" s="13" t="str">
        <f>IFERROR(__xludf.DUMMYFUNCTION("""COMPUTED_VALUE"""),"товари")</f>
        <v>товари</v>
      </c>
      <c r="B112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5" s="15" t="str">
        <f>IFERROR(__xludf.DUMMYFUNCTION("""COMPUTED_VALUE"""),"медичне обладнання")</f>
        <v>медичне обладнання</v>
      </c>
      <c r="D1125" s="15" t="str">
        <f>IFERROR(__xludf.DUMMYFUNCTION("""COMPUTED_VALUE"""),"кріохірургічне обладнання")</f>
        <v>кріохірургічне обладнання</v>
      </c>
      <c r="E1125" s="15" t="str">
        <f>IFERROR(__xludf.DUMMYFUNCTION("""COMPUTED_VALUE"""),"кріохірургічне обладнання")</f>
        <v>кріохірургічне обладнання</v>
      </c>
      <c r="F1125" s="17">
        <f>IFERROR(__xludf.DUMMYFUNCTION("""COMPUTED_VALUE"""),3.0)</f>
        <v>3</v>
      </c>
      <c r="G1125" s="17">
        <f>IFERROR(__xludf.DUMMYFUNCTION("""COMPUTED_VALUE"""),161120.0)</f>
        <v>161120</v>
      </c>
      <c r="H1125" s="17" t="str">
        <f>IFERROR(__xludf.DUMMYFUNCTION("""COMPUTED_VALUE"""),"кріохірургічне обладнання")</f>
        <v>кріохірургічне обладнання</v>
      </c>
      <c r="I1125" s="18">
        <f>IFERROR(__xludf.DUMMYFUNCTION("""COMPUTED_VALUE"""),0.9)</f>
        <v>0.9</v>
      </c>
      <c r="J1125" s="18">
        <f>IFERROR(__xludf.DUMMYFUNCTION("""COMPUTED_VALUE"""),1.8)</f>
        <v>1.8</v>
      </c>
      <c r="K1125" s="18">
        <f>IFERROR(__xludf.DUMMYFUNCTION("""COMPUTED_VALUE"""),2.25)</f>
        <v>2.25</v>
      </c>
      <c r="L1125" s="18">
        <f>IFERROR(__xludf.DUMMYFUNCTION("""COMPUTED_VALUE"""),3.6)</f>
        <v>3.6</v>
      </c>
    </row>
    <row r="1126">
      <c r="A1126" s="13" t="str">
        <f>IFERROR(__xludf.DUMMYFUNCTION("""COMPUTED_VALUE"""),"товари")</f>
        <v>товари</v>
      </c>
      <c r="B112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6" s="15" t="str">
        <f>IFERROR(__xludf.DUMMYFUNCTION("""COMPUTED_VALUE"""),"медичне обладнання")</f>
        <v>медичне обладнання</v>
      </c>
      <c r="D1126" s="15" t="str">
        <f>IFERROR(__xludf.DUMMYFUNCTION("""COMPUTED_VALUE"""),"лабораторне обладнання")</f>
        <v>лабораторне обладнання</v>
      </c>
      <c r="E1126" s="15" t="str">
        <f>IFERROR(__xludf.DUMMYFUNCTION("""COMPUTED_VALUE"""),"лабораторне обладнання, загальне")</f>
        <v>лабораторне обладнання, загальне</v>
      </c>
      <c r="F1126" s="17">
        <f>IFERROR(__xludf.DUMMYFUNCTION("""COMPUTED_VALUE"""),4.0)</f>
        <v>4</v>
      </c>
      <c r="G1126" s="17">
        <f>IFERROR(__xludf.DUMMYFUNCTION("""COMPUTED_VALUE"""),82699.0)</f>
        <v>82699</v>
      </c>
      <c r="H1126" s="17" t="str">
        <f>IFERROR(__xludf.DUMMYFUNCTION("""COMPUTED_VALUE"""),"лабораторне обладнання, загальне")</f>
        <v>лабораторне обладнання, загальне</v>
      </c>
      <c r="I1126" s="18">
        <f>IFERROR(__xludf.DUMMYFUNCTION("""COMPUTED_VALUE"""),2.16)</f>
        <v>2.16</v>
      </c>
      <c r="J1126" s="18">
        <f>IFERROR(__xludf.DUMMYFUNCTION("""COMPUTED_VALUE"""),4.33)</f>
        <v>4.33</v>
      </c>
      <c r="K1126" s="18">
        <f>IFERROR(__xludf.DUMMYFUNCTION("""COMPUTED_VALUE"""),5.41)</f>
        <v>5.41</v>
      </c>
      <c r="L1126" s="18">
        <f>IFERROR(__xludf.DUMMYFUNCTION("""COMPUTED_VALUE"""),8.65)</f>
        <v>8.65</v>
      </c>
    </row>
    <row r="1127">
      <c r="A1127" s="13" t="str">
        <f>IFERROR(__xludf.DUMMYFUNCTION("""COMPUTED_VALUE"""),"товари")</f>
        <v>товари</v>
      </c>
      <c r="B112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7" s="15" t="str">
        <f>IFERROR(__xludf.DUMMYFUNCTION("""COMPUTED_VALUE"""),"медичне обладнання")</f>
        <v>медичне обладнання</v>
      </c>
      <c r="D1127" s="15" t="str">
        <f>IFERROR(__xludf.DUMMYFUNCTION("""COMPUTED_VALUE"""),"лабораторне обладнання")</f>
        <v>лабораторне обладнання</v>
      </c>
      <c r="E1127" s="15" t="str">
        <f>IFERROR(__xludf.DUMMYFUNCTION("""COMPUTED_VALUE"""),"лабораторні плити")</f>
        <v>лабораторні плити</v>
      </c>
      <c r="F1127" s="17">
        <f>IFERROR(__xludf.DUMMYFUNCTION("""COMPUTED_VALUE"""),4.0)</f>
        <v>4</v>
      </c>
      <c r="G1127" s="17">
        <f>IFERROR(__xludf.DUMMYFUNCTION("""COMPUTED_VALUE"""),82613.0)</f>
        <v>82613</v>
      </c>
      <c r="H1127" s="17" t="str">
        <f>IFERROR(__xludf.DUMMYFUNCTION("""COMPUTED_VALUE"""),"лабораторні плити")</f>
        <v>лабораторні плити</v>
      </c>
      <c r="I1127" s="18">
        <f>IFERROR(__xludf.DUMMYFUNCTION("""COMPUTED_VALUE"""),1.8)</f>
        <v>1.8</v>
      </c>
      <c r="J1127" s="18">
        <f>IFERROR(__xludf.DUMMYFUNCTION("""COMPUTED_VALUE"""),3.6)</f>
        <v>3.6</v>
      </c>
      <c r="K1127" s="18">
        <f>IFERROR(__xludf.DUMMYFUNCTION("""COMPUTED_VALUE"""),4.5)</f>
        <v>4.5</v>
      </c>
      <c r="L1127" s="18">
        <f>IFERROR(__xludf.DUMMYFUNCTION("""COMPUTED_VALUE"""),7.2)</f>
        <v>7.2</v>
      </c>
    </row>
    <row r="1128">
      <c r="A1128" s="13" t="str">
        <f>IFERROR(__xludf.DUMMYFUNCTION("""COMPUTED_VALUE"""),"товари")</f>
        <v>товари</v>
      </c>
      <c r="B112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8" s="15" t="str">
        <f>IFERROR(__xludf.DUMMYFUNCTION("""COMPUTED_VALUE"""),"медичне обладнання")</f>
        <v>медичне обладнання</v>
      </c>
      <c r="D1128" s="15" t="str">
        <f>IFERROR(__xludf.DUMMYFUNCTION("""COMPUTED_VALUE"""),"лабораторне обладнання")</f>
        <v>лабораторне обладнання</v>
      </c>
      <c r="E1128" s="15" t="str">
        <f>IFERROR(__xludf.DUMMYFUNCTION("""COMPUTED_VALUE"""),"лабораторні штативи, затискачі")</f>
        <v>лабораторні штативи, затискачі</v>
      </c>
      <c r="F1128" s="17">
        <f>IFERROR(__xludf.DUMMYFUNCTION("""COMPUTED_VALUE"""),4.0)</f>
        <v>4</v>
      </c>
      <c r="G1128" s="17">
        <f>IFERROR(__xludf.DUMMYFUNCTION("""COMPUTED_VALUE"""),82611.0)</f>
        <v>82611</v>
      </c>
      <c r="H1128" s="17" t="str">
        <f>IFERROR(__xludf.DUMMYFUNCTION("""COMPUTED_VALUE"""),"лабораторні штативи, затискачі")</f>
        <v>лабораторні штативи, затискачі</v>
      </c>
      <c r="I1128" s="18">
        <f>IFERROR(__xludf.DUMMYFUNCTION("""COMPUTED_VALUE"""),1.8)</f>
        <v>1.8</v>
      </c>
      <c r="J1128" s="18">
        <f>IFERROR(__xludf.DUMMYFUNCTION("""COMPUTED_VALUE"""),3.6)</f>
        <v>3.6</v>
      </c>
      <c r="K1128" s="18">
        <f>IFERROR(__xludf.DUMMYFUNCTION("""COMPUTED_VALUE"""),4.5)</f>
        <v>4.5</v>
      </c>
      <c r="L1128" s="18">
        <f>IFERROR(__xludf.DUMMYFUNCTION("""COMPUTED_VALUE"""),7.2)</f>
        <v>7.2</v>
      </c>
    </row>
    <row r="1129">
      <c r="A1129" s="13" t="str">
        <f>IFERROR(__xludf.DUMMYFUNCTION("""COMPUTED_VALUE"""),"товари")</f>
        <v>товари</v>
      </c>
      <c r="B112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9" s="15" t="str">
        <f>IFERROR(__xludf.DUMMYFUNCTION("""COMPUTED_VALUE"""),"медичне обладнання")</f>
        <v>медичне обладнання</v>
      </c>
      <c r="D1129" s="15" t="str">
        <f>IFERROR(__xludf.DUMMYFUNCTION("""COMPUTED_VALUE"""),"лабораторне обладнання")</f>
        <v>лабораторне обладнання</v>
      </c>
      <c r="E1129" s="15" t="str">
        <f>IFERROR(__xludf.DUMMYFUNCTION("""COMPUTED_VALUE"""),"ламінарні бокси")</f>
        <v>ламінарні бокси</v>
      </c>
      <c r="F1129" s="17">
        <f>IFERROR(__xludf.DUMMYFUNCTION("""COMPUTED_VALUE"""),4.0)</f>
        <v>4</v>
      </c>
      <c r="G1129" s="17">
        <f>IFERROR(__xludf.DUMMYFUNCTION("""COMPUTED_VALUE"""),82616.0)</f>
        <v>82616</v>
      </c>
      <c r="H1129" s="17" t="str">
        <f>IFERROR(__xludf.DUMMYFUNCTION("""COMPUTED_VALUE"""),"ламінарні бокси")</f>
        <v>ламінарні бокси</v>
      </c>
      <c r="I1129" s="18">
        <f>IFERROR(__xludf.DUMMYFUNCTION("""COMPUTED_VALUE"""),1.8)</f>
        <v>1.8</v>
      </c>
      <c r="J1129" s="18">
        <f>IFERROR(__xludf.DUMMYFUNCTION("""COMPUTED_VALUE"""),3.6)</f>
        <v>3.6</v>
      </c>
      <c r="K1129" s="18">
        <f>IFERROR(__xludf.DUMMYFUNCTION("""COMPUTED_VALUE"""),4.5)</f>
        <v>4.5</v>
      </c>
      <c r="L1129" s="18">
        <f>IFERROR(__xludf.DUMMYFUNCTION("""COMPUTED_VALUE"""),7.2)</f>
        <v>7.2</v>
      </c>
    </row>
    <row r="1130">
      <c r="A1130" s="13" t="str">
        <f>IFERROR(__xludf.DUMMYFUNCTION("""COMPUTED_VALUE"""),"товари")</f>
        <v>товари</v>
      </c>
      <c r="B113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0" s="15" t="str">
        <f>IFERROR(__xludf.DUMMYFUNCTION("""COMPUTED_VALUE"""),"медичне обладнання")</f>
        <v>медичне обладнання</v>
      </c>
      <c r="D1130" s="15" t="str">
        <f>IFERROR(__xludf.DUMMYFUNCTION("""COMPUTED_VALUE"""),"масажне обладнання")</f>
        <v>масажне обладнання</v>
      </c>
      <c r="E1130" s="15" t="str">
        <f>IFERROR(__xludf.DUMMYFUNCTION("""COMPUTED_VALUE"""),"масажне обладнання, загальне")</f>
        <v>масажне обладнання, загальне</v>
      </c>
      <c r="F1130" s="17">
        <f>IFERROR(__xludf.DUMMYFUNCTION("""COMPUTED_VALUE"""),4.0)</f>
        <v>4</v>
      </c>
      <c r="G1130" s="17">
        <f>IFERROR(__xludf.DUMMYFUNCTION("""COMPUTED_VALUE"""),1.6111701E7)</f>
        <v>16111701</v>
      </c>
      <c r="H1130" s="17" t="str">
        <f>IFERROR(__xludf.DUMMYFUNCTION("""COMPUTED_VALUE"""),"масажне обладнання, загальне")</f>
        <v>масажне обладнання, загальне</v>
      </c>
      <c r="I1130" s="18">
        <f>IFERROR(__xludf.DUMMYFUNCTION("""COMPUTED_VALUE"""),2.16)</f>
        <v>2.16</v>
      </c>
      <c r="J1130" s="18">
        <f>IFERROR(__xludf.DUMMYFUNCTION("""COMPUTED_VALUE"""),4.33)</f>
        <v>4.33</v>
      </c>
      <c r="K1130" s="18">
        <f>IFERROR(__xludf.DUMMYFUNCTION("""COMPUTED_VALUE"""),5.41)</f>
        <v>5.41</v>
      </c>
      <c r="L1130" s="18">
        <f>IFERROR(__xludf.DUMMYFUNCTION("""COMPUTED_VALUE"""),8.65)</f>
        <v>8.65</v>
      </c>
    </row>
    <row r="1131">
      <c r="A1131" s="13" t="str">
        <f>IFERROR(__xludf.DUMMYFUNCTION("""COMPUTED_VALUE"""),"товари")</f>
        <v>товари</v>
      </c>
      <c r="B113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1" s="15" t="str">
        <f>IFERROR(__xludf.DUMMYFUNCTION("""COMPUTED_VALUE"""),"медичне обладнання")</f>
        <v>медичне обладнання</v>
      </c>
      <c r="D1131" s="15" t="str">
        <f>IFERROR(__xludf.DUMMYFUNCTION("""COMPUTED_VALUE"""),"медичні ванни")</f>
        <v>медичні ванни</v>
      </c>
      <c r="E1131" s="15" t="str">
        <f>IFERROR(__xludf.DUMMYFUNCTION("""COMPUTED_VALUE"""),"медичні ванни")</f>
        <v>медичні ванни</v>
      </c>
      <c r="F1131" s="17">
        <f>IFERROR(__xludf.DUMMYFUNCTION("""COMPUTED_VALUE"""),3.0)</f>
        <v>3</v>
      </c>
      <c r="G1131" s="17">
        <f>IFERROR(__xludf.DUMMYFUNCTION("""COMPUTED_VALUE"""),161128.0)</f>
        <v>161128</v>
      </c>
      <c r="H1131" s="17" t="str">
        <f>IFERROR(__xludf.DUMMYFUNCTION("""COMPUTED_VALUE"""),"медичні ванни")</f>
        <v>медичні ванни</v>
      </c>
      <c r="I1131" s="18">
        <f>IFERROR(__xludf.DUMMYFUNCTION("""COMPUTED_VALUE"""),0.63)</f>
        <v>0.63</v>
      </c>
      <c r="J1131" s="18">
        <f>IFERROR(__xludf.DUMMYFUNCTION("""COMPUTED_VALUE"""),1.26)</f>
        <v>1.26</v>
      </c>
      <c r="K1131" s="18">
        <f>IFERROR(__xludf.DUMMYFUNCTION("""COMPUTED_VALUE"""),1.58)</f>
        <v>1.58</v>
      </c>
      <c r="L1131" s="18">
        <f>IFERROR(__xludf.DUMMYFUNCTION("""COMPUTED_VALUE"""),2.53)</f>
        <v>2.53</v>
      </c>
    </row>
    <row r="1132">
      <c r="A1132" s="13" t="str">
        <f>IFERROR(__xludf.DUMMYFUNCTION("""COMPUTED_VALUE"""),"товари")</f>
        <v>товари</v>
      </c>
      <c r="B113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2" s="15" t="str">
        <f>IFERROR(__xludf.DUMMYFUNCTION("""COMPUTED_VALUE"""),"медичне обладнання")</f>
        <v>медичне обладнання</v>
      </c>
      <c r="D1132" s="15" t="str">
        <f>IFERROR(__xludf.DUMMYFUNCTION("""COMPUTED_VALUE"""),"медичні та лабораторні аналізатори")</f>
        <v>медичні та лабораторні аналізатори</v>
      </c>
      <c r="E1132" s="15" t="str">
        <f>IFERROR(__xludf.DUMMYFUNCTION("""COMPUTED_VALUE"""),"медичні та лабораторні аналізатори")</f>
        <v>медичні та лабораторні аналізатори</v>
      </c>
      <c r="F1132" s="17">
        <f>IFERROR(__xludf.DUMMYFUNCTION("""COMPUTED_VALUE"""),3.0)</f>
        <v>3</v>
      </c>
      <c r="G1132" s="17">
        <f>IFERROR(__xludf.DUMMYFUNCTION("""COMPUTED_VALUE"""),161101.0)</f>
        <v>161101</v>
      </c>
      <c r="H1132" s="17" t="str">
        <f>IFERROR(__xludf.DUMMYFUNCTION("""COMPUTED_VALUE"""),"медичні та лабораторні аналізатори")</f>
        <v>медичні та лабораторні аналізатори</v>
      </c>
      <c r="I1132" s="18">
        <f>IFERROR(__xludf.DUMMYFUNCTION("""COMPUTED_VALUE"""),2.48)</f>
        <v>2.48</v>
      </c>
      <c r="J1132" s="18">
        <f>IFERROR(__xludf.DUMMYFUNCTION("""COMPUTED_VALUE"""),4.95)</f>
        <v>4.95</v>
      </c>
      <c r="K1132" s="18">
        <f>IFERROR(__xludf.DUMMYFUNCTION("""COMPUTED_VALUE"""),6.19)</f>
        <v>6.19</v>
      </c>
      <c r="L1132" s="18">
        <f>IFERROR(__xludf.DUMMYFUNCTION("""COMPUTED_VALUE"""),9.9)</f>
        <v>9.9</v>
      </c>
    </row>
    <row r="1133">
      <c r="A1133" s="13" t="str">
        <f>IFERROR(__xludf.DUMMYFUNCTION("""COMPUTED_VALUE"""),"товари")</f>
        <v>товари</v>
      </c>
      <c r="B113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3" s="15" t="str">
        <f>IFERROR(__xludf.DUMMYFUNCTION("""COMPUTED_VALUE"""),"медичне обладнання")</f>
        <v>медичне обладнання</v>
      </c>
      <c r="D1133" s="15" t="str">
        <f>IFERROR(__xludf.DUMMYFUNCTION("""COMPUTED_VALUE"""),"обладнання для утилізації медичних відходів")</f>
        <v>обладнання для утилізації медичних відходів</v>
      </c>
      <c r="E1133" s="15" t="str">
        <f>IFERROR(__xludf.DUMMYFUNCTION("""COMPUTED_VALUE"""),"обладнання для утилізації медичних відходів")</f>
        <v>обладнання для утилізації медичних відходів</v>
      </c>
      <c r="F1133" s="17">
        <f>IFERROR(__xludf.DUMMYFUNCTION("""COMPUTED_VALUE"""),3.0)</f>
        <v>3</v>
      </c>
      <c r="G1133" s="17">
        <f>IFERROR(__xludf.DUMMYFUNCTION("""COMPUTED_VALUE"""),161126.0)</f>
        <v>161126</v>
      </c>
      <c r="H1133" s="17" t="str">
        <f>IFERROR(__xludf.DUMMYFUNCTION("""COMPUTED_VALUE"""),"обладнання для утилізації медичних відходів")</f>
        <v>обладнання для утилізації медичних відходів</v>
      </c>
      <c r="I1133" s="18">
        <f>IFERROR(__xludf.DUMMYFUNCTION("""COMPUTED_VALUE"""),2.7)</f>
        <v>2.7</v>
      </c>
      <c r="J1133" s="18">
        <f>IFERROR(__xludf.DUMMYFUNCTION("""COMPUTED_VALUE"""),5.4)</f>
        <v>5.4</v>
      </c>
      <c r="K1133" s="18">
        <f>IFERROR(__xludf.DUMMYFUNCTION("""COMPUTED_VALUE"""),6.75)</f>
        <v>6.75</v>
      </c>
      <c r="L1133" s="18">
        <f>IFERROR(__xludf.DUMMYFUNCTION("""COMPUTED_VALUE"""),10.8)</f>
        <v>10.8</v>
      </c>
    </row>
    <row r="1134">
      <c r="A1134" s="13" t="str">
        <f>IFERROR(__xludf.DUMMYFUNCTION("""COMPUTED_VALUE"""),"товари")</f>
        <v>товари</v>
      </c>
      <c r="B113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4" s="15" t="str">
        <f>IFERROR(__xludf.DUMMYFUNCTION("""COMPUTED_VALUE"""),"медичне обладнання")</f>
        <v>медичне обладнання</v>
      </c>
      <c r="D1134" s="15" t="str">
        <f>IFERROR(__xludf.DUMMYFUNCTION("""COMPUTED_VALUE"""),"діагностичне обладнання")</f>
        <v>діагностичне обладнання</v>
      </c>
      <c r="E1134" s="15" t="str">
        <f>IFERROR(__xludf.DUMMYFUNCTION("""COMPUTED_VALUE"""),"обладнання ультразвукової діагностики")</f>
        <v>обладнання ультразвукової діагностики</v>
      </c>
      <c r="F1134" s="17">
        <f>IFERROR(__xludf.DUMMYFUNCTION("""COMPUTED_VALUE"""),4.0)</f>
        <v>4</v>
      </c>
      <c r="G1134" s="17">
        <f>IFERROR(__xludf.DUMMYFUNCTION("""COMPUTED_VALUE"""),1.6111401E7)</f>
        <v>16111401</v>
      </c>
      <c r="H1134" s="17" t="str">
        <f>IFERROR(__xludf.DUMMYFUNCTION("""COMPUTED_VALUE"""),"обладнання ультразвукової діагностики")</f>
        <v>обладнання ультразвукової діагностики</v>
      </c>
      <c r="I1134" s="18">
        <f>IFERROR(__xludf.DUMMYFUNCTION("""COMPUTED_VALUE"""),2.29)</f>
        <v>2.29</v>
      </c>
      <c r="J1134" s="18">
        <f>IFERROR(__xludf.DUMMYFUNCTION("""COMPUTED_VALUE"""),4.58)</f>
        <v>4.58</v>
      </c>
      <c r="K1134" s="18">
        <f>IFERROR(__xludf.DUMMYFUNCTION("""COMPUTED_VALUE"""),5.72)</f>
        <v>5.72</v>
      </c>
      <c r="L1134" s="18">
        <f>IFERROR(__xludf.DUMMYFUNCTION("""COMPUTED_VALUE"""),9.15)</f>
        <v>9.15</v>
      </c>
    </row>
    <row r="1135">
      <c r="A1135" s="13" t="str">
        <f>IFERROR(__xludf.DUMMYFUNCTION("""COMPUTED_VALUE"""),"товари")</f>
        <v>товари</v>
      </c>
      <c r="B113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5" s="15" t="str">
        <f>IFERROR(__xludf.DUMMYFUNCTION("""COMPUTED_VALUE"""),"медичне обладнання")</f>
        <v>медичне обладнання</v>
      </c>
      <c r="D1135" s="15" t="str">
        <f>IFERROR(__xludf.DUMMYFUNCTION("""COMPUTED_VALUE"""),"операційне обладнання та інструмент")</f>
        <v>операційне обладнання та інструмент</v>
      </c>
      <c r="E1135" s="15" t="str">
        <f>IFERROR(__xludf.DUMMYFUNCTION("""COMPUTED_VALUE"""),"операційне обладнання та інструмент, загальне")</f>
        <v>операційне обладнання та інструмент, загальне</v>
      </c>
      <c r="F1135" s="17">
        <f>IFERROR(__xludf.DUMMYFUNCTION("""COMPUTED_VALUE"""),4.0)</f>
        <v>4</v>
      </c>
      <c r="G1135" s="17">
        <f>IFERROR(__xludf.DUMMYFUNCTION("""COMPUTED_VALUE"""),1.6111002E7)</f>
        <v>16111002</v>
      </c>
      <c r="H1135" s="17" t="str">
        <f>IFERROR(__xludf.DUMMYFUNCTION("""COMPUTED_VALUE"""),"операційне обладнання та інструмент, загальне")</f>
        <v>операційне обладнання та інструмент, загальне</v>
      </c>
      <c r="I1135" s="18">
        <f>IFERROR(__xludf.DUMMYFUNCTION("""COMPUTED_VALUE"""),2.16)</f>
        <v>2.16</v>
      </c>
      <c r="J1135" s="18">
        <f>IFERROR(__xludf.DUMMYFUNCTION("""COMPUTED_VALUE"""),4.33)</f>
        <v>4.33</v>
      </c>
      <c r="K1135" s="18">
        <f>IFERROR(__xludf.DUMMYFUNCTION("""COMPUTED_VALUE"""),5.41)</f>
        <v>5.41</v>
      </c>
      <c r="L1135" s="18">
        <f>IFERROR(__xludf.DUMMYFUNCTION("""COMPUTED_VALUE"""),8.65)</f>
        <v>8.65</v>
      </c>
    </row>
    <row r="1136">
      <c r="A1136" s="13" t="str">
        <f>IFERROR(__xludf.DUMMYFUNCTION("""COMPUTED_VALUE"""),"товари")</f>
        <v>товари</v>
      </c>
      <c r="B113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6" s="15" t="str">
        <f>IFERROR(__xludf.DUMMYFUNCTION("""COMPUTED_VALUE"""),"медичне обладнання")</f>
        <v>медичне обладнання</v>
      </c>
      <c r="D1136" s="15" t="str">
        <f>IFERROR(__xludf.DUMMYFUNCTION("""COMPUTED_VALUE"""),"фізіотерапевтичне обладнання")</f>
        <v>фізіотерапевтичне обладнання</v>
      </c>
      <c r="E1136" s="15" t="str">
        <f>IFERROR(__xludf.DUMMYFUNCTION("""COMPUTED_VALUE"""),"опромінювачі фізіотерапевтичні")</f>
        <v>опромінювачі фізіотерапевтичні</v>
      </c>
      <c r="F1136" s="17">
        <f>IFERROR(__xludf.DUMMYFUNCTION("""COMPUTED_VALUE"""),4.0)</f>
        <v>4</v>
      </c>
      <c r="G1136" s="17">
        <f>IFERROR(__xludf.DUMMYFUNCTION("""COMPUTED_VALUE"""),1.6110408E7)</f>
        <v>16110408</v>
      </c>
      <c r="H1136" s="17" t="str">
        <f>IFERROR(__xludf.DUMMYFUNCTION("""COMPUTED_VALUE"""),"опромінювачі фізіотерапевтичні")</f>
        <v>опромінювачі фізіотерапевтичні</v>
      </c>
      <c r="I1136" s="18">
        <f>IFERROR(__xludf.DUMMYFUNCTION("""COMPUTED_VALUE"""),2.21)</f>
        <v>2.21</v>
      </c>
      <c r="J1136" s="18">
        <f>IFERROR(__xludf.DUMMYFUNCTION("""COMPUTED_VALUE"""),4.41)</f>
        <v>4.41</v>
      </c>
      <c r="K1136" s="18">
        <f>IFERROR(__xludf.DUMMYFUNCTION("""COMPUTED_VALUE"""),5.52)</f>
        <v>5.52</v>
      </c>
      <c r="L1136" s="18">
        <f>IFERROR(__xludf.DUMMYFUNCTION("""COMPUTED_VALUE"""),8.83)</f>
        <v>8.83</v>
      </c>
    </row>
    <row r="1137">
      <c r="A1137" s="13" t="str">
        <f>IFERROR(__xludf.DUMMYFUNCTION("""COMPUTED_VALUE"""),"товари")</f>
        <v>товари</v>
      </c>
      <c r="B113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7" s="15" t="str">
        <f>IFERROR(__xludf.DUMMYFUNCTION("""COMPUTED_VALUE"""),"медичне обладнання")</f>
        <v>медичне обладнання</v>
      </c>
      <c r="D1137" s="15" t="str">
        <f>IFERROR(__xludf.DUMMYFUNCTION("""COMPUTED_VALUE"""),"лабораторне обладнання")</f>
        <v>лабораторне обладнання</v>
      </c>
      <c r="E1137" s="15" t="str">
        <f>IFERROR(__xludf.DUMMYFUNCTION("""COMPUTED_VALUE"""),"перистальтичні насоси")</f>
        <v>перистальтичні насоси</v>
      </c>
      <c r="F1137" s="17">
        <f>IFERROR(__xludf.DUMMYFUNCTION("""COMPUTED_VALUE"""),4.0)</f>
        <v>4</v>
      </c>
      <c r="G1137" s="17">
        <f>IFERROR(__xludf.DUMMYFUNCTION("""COMPUTED_VALUE"""),82622.0)</f>
        <v>82622</v>
      </c>
      <c r="H1137" s="17" t="str">
        <f>IFERROR(__xludf.DUMMYFUNCTION("""COMPUTED_VALUE"""),"перистальтичні насоси")</f>
        <v>перистальтичні насоси</v>
      </c>
      <c r="I1137" s="18">
        <f>IFERROR(__xludf.DUMMYFUNCTION("""COMPUTED_VALUE"""),1.8)</f>
        <v>1.8</v>
      </c>
      <c r="J1137" s="18">
        <f>IFERROR(__xludf.DUMMYFUNCTION("""COMPUTED_VALUE"""),3.6)</f>
        <v>3.6</v>
      </c>
      <c r="K1137" s="18">
        <f>IFERROR(__xludf.DUMMYFUNCTION("""COMPUTED_VALUE"""),4.5)</f>
        <v>4.5</v>
      </c>
      <c r="L1137" s="18">
        <f>IFERROR(__xludf.DUMMYFUNCTION("""COMPUTED_VALUE"""),7.2)</f>
        <v>7.2</v>
      </c>
    </row>
    <row r="1138">
      <c r="A1138" s="13" t="str">
        <f>IFERROR(__xludf.DUMMYFUNCTION("""COMPUTED_VALUE"""),"товари")</f>
        <v>товари</v>
      </c>
      <c r="B113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8" s="15" t="str">
        <f>IFERROR(__xludf.DUMMYFUNCTION("""COMPUTED_VALUE"""),"медичне обладнання")</f>
        <v>медичне обладнання</v>
      </c>
      <c r="D1138" s="15" t="str">
        <f>IFERROR(__xludf.DUMMYFUNCTION("""COMPUTED_VALUE"""),"діагностичне обладнання")</f>
        <v>діагностичне обладнання</v>
      </c>
      <c r="E1138" s="15" t="str">
        <f>IFERROR(__xludf.DUMMYFUNCTION("""COMPUTED_VALUE"""),"прилади для комп'ютерної діагностики організму")</f>
        <v>прилади для комп'ютерної діагностики організму</v>
      </c>
      <c r="F1138" s="17">
        <f>IFERROR(__xludf.DUMMYFUNCTION("""COMPUTED_VALUE"""),4.0)</f>
        <v>4</v>
      </c>
      <c r="G1138" s="17">
        <f>IFERROR(__xludf.DUMMYFUNCTION("""COMPUTED_VALUE"""),1.6111406E7)</f>
        <v>16111406</v>
      </c>
      <c r="H1138" s="17" t="str">
        <f>IFERROR(__xludf.DUMMYFUNCTION("""COMPUTED_VALUE"""),"прилади для комп'ютерної діагностики організму")</f>
        <v>прилади для комп'ютерної діагностики організму</v>
      </c>
      <c r="I1138" s="18">
        <f>IFERROR(__xludf.DUMMYFUNCTION("""COMPUTED_VALUE"""),2.29)</f>
        <v>2.29</v>
      </c>
      <c r="J1138" s="18">
        <f>IFERROR(__xludf.DUMMYFUNCTION("""COMPUTED_VALUE"""),4.58)</f>
        <v>4.58</v>
      </c>
      <c r="K1138" s="18">
        <f>IFERROR(__xludf.DUMMYFUNCTION("""COMPUTED_VALUE"""),5.72)</f>
        <v>5.72</v>
      </c>
      <c r="L1138" s="18">
        <f>IFERROR(__xludf.DUMMYFUNCTION("""COMPUTED_VALUE"""),9.15)</f>
        <v>9.15</v>
      </c>
    </row>
    <row r="1139">
      <c r="A1139" s="13" t="str">
        <f>IFERROR(__xludf.DUMMYFUNCTION("""COMPUTED_VALUE"""),"товари")</f>
        <v>товари</v>
      </c>
      <c r="B113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9" s="15" t="str">
        <f>IFERROR(__xludf.DUMMYFUNCTION("""COMPUTED_VALUE"""),"медичне обладнання")</f>
        <v>медичне обладнання</v>
      </c>
      <c r="D1139" s="15" t="str">
        <f>IFERROR(__xludf.DUMMYFUNCTION("""COMPUTED_VALUE"""),"прилади для самодіагностики")</f>
        <v>прилади для самодіагностики</v>
      </c>
      <c r="E1139" s="15" t="str">
        <f>IFERROR(__xludf.DUMMYFUNCTION("""COMPUTED_VALUE"""),"прилади для самодіагностики")</f>
        <v>прилади для самодіагностики</v>
      </c>
      <c r="F1139" s="17">
        <f>IFERROR(__xludf.DUMMYFUNCTION("""COMPUTED_VALUE"""),3.0)</f>
        <v>3</v>
      </c>
      <c r="G1139" s="17">
        <f>IFERROR(__xludf.DUMMYFUNCTION("""COMPUTED_VALUE"""),161102.0)</f>
        <v>161102</v>
      </c>
      <c r="H1139" s="17" t="str">
        <f>IFERROR(__xludf.DUMMYFUNCTION("""COMPUTED_VALUE"""),"прилади для самодіагностики")</f>
        <v>прилади для самодіагностики</v>
      </c>
      <c r="I1139" s="18">
        <f>IFERROR(__xludf.DUMMYFUNCTION("""COMPUTED_VALUE"""),0.53)</f>
        <v>0.53</v>
      </c>
      <c r="J1139" s="18">
        <f>IFERROR(__xludf.DUMMYFUNCTION("""COMPUTED_VALUE"""),1.05)</f>
        <v>1.05</v>
      </c>
      <c r="K1139" s="18">
        <f>IFERROR(__xludf.DUMMYFUNCTION("""COMPUTED_VALUE"""),1.31)</f>
        <v>1.31</v>
      </c>
      <c r="L1139" s="18">
        <f>IFERROR(__xludf.DUMMYFUNCTION("""COMPUTED_VALUE"""),2.1)</f>
        <v>2.1</v>
      </c>
    </row>
    <row r="1140">
      <c r="A1140" s="13" t="str">
        <f>IFERROR(__xludf.DUMMYFUNCTION("""COMPUTED_VALUE"""),"товари")</f>
        <v>товари</v>
      </c>
      <c r="B114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0" s="15" t="str">
        <f>IFERROR(__xludf.DUMMYFUNCTION("""COMPUTED_VALUE"""),"медичне обладнання")</f>
        <v>медичне обладнання</v>
      </c>
      <c r="D1140" s="15" t="str">
        <f>IFERROR(__xludf.DUMMYFUNCTION("""COMPUTED_VALUE"""),"фізіотерапевтичне обладнання")</f>
        <v>фізіотерапевтичне обладнання</v>
      </c>
      <c r="E1140" s="15" t="str">
        <f>IFERROR(__xludf.DUMMYFUNCTION("""COMPUTED_VALUE"""),"сипап апарати")</f>
        <v>сипап апарати</v>
      </c>
      <c r="F1140" s="17">
        <f>IFERROR(__xludf.DUMMYFUNCTION("""COMPUTED_VALUE"""),4.0)</f>
        <v>4</v>
      </c>
      <c r="G1140" s="17">
        <f>IFERROR(__xludf.DUMMYFUNCTION("""COMPUTED_VALUE"""),1.6110411E7)</f>
        <v>16110411</v>
      </c>
      <c r="H1140" s="17" t="str">
        <f>IFERROR(__xludf.DUMMYFUNCTION("""COMPUTED_VALUE"""),"сипап апарати")</f>
        <v>сипап апарати</v>
      </c>
      <c r="I1140" s="18">
        <f>IFERROR(__xludf.DUMMYFUNCTION("""COMPUTED_VALUE"""),2.21)</f>
        <v>2.21</v>
      </c>
      <c r="J1140" s="18">
        <f>IFERROR(__xludf.DUMMYFUNCTION("""COMPUTED_VALUE"""),4.41)</f>
        <v>4.41</v>
      </c>
      <c r="K1140" s="18">
        <f>IFERROR(__xludf.DUMMYFUNCTION("""COMPUTED_VALUE"""),5.52)</f>
        <v>5.52</v>
      </c>
      <c r="L1140" s="18">
        <f>IFERROR(__xludf.DUMMYFUNCTION("""COMPUTED_VALUE"""),8.83)</f>
        <v>8.83</v>
      </c>
    </row>
    <row r="1141">
      <c r="A1141" s="13" t="str">
        <f>IFERROR(__xludf.DUMMYFUNCTION("""COMPUTED_VALUE"""),"товари")</f>
        <v>товари</v>
      </c>
      <c r="B114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1" s="15" t="str">
        <f>IFERROR(__xludf.DUMMYFUNCTION("""COMPUTED_VALUE"""),"стерилізаційне та мийне обладнання")</f>
        <v>стерилізаційне та мийне обладнання</v>
      </c>
      <c r="D1141" s="15" t="str">
        <f>IFERROR(__xludf.DUMMYFUNCTION("""COMPUTED_VALUE"""),"стерилізаційне та мийне обладнання")</f>
        <v>стерилізаційне та мийне обладнання</v>
      </c>
      <c r="E1141" s="15" t="str">
        <f>IFERROR(__xludf.DUMMYFUNCTION("""COMPUTED_VALUE"""),"стерилізаційне та мийне обладнання")</f>
        <v>стерилізаційне та мийне обладнання</v>
      </c>
      <c r="F1141" s="17">
        <f>IFERROR(__xludf.DUMMYFUNCTION("""COMPUTED_VALUE"""),2.0)</f>
        <v>2</v>
      </c>
      <c r="G1141" s="17">
        <f>IFERROR(__xludf.DUMMYFUNCTION("""COMPUTED_VALUE"""),1.6151702E7)</f>
        <v>16151702</v>
      </c>
      <c r="H1141" s="17" t="str">
        <f>IFERROR(__xludf.DUMMYFUNCTION("""COMPUTED_VALUE"""),"стерилізаційне та мийне обладнання")</f>
        <v>стерилізаційне та мийне обладнання</v>
      </c>
      <c r="I1141" s="18">
        <f>IFERROR(__xludf.DUMMYFUNCTION("""COMPUTED_VALUE"""),1.84)</f>
        <v>1.84</v>
      </c>
      <c r="J1141" s="18">
        <f>IFERROR(__xludf.DUMMYFUNCTION("""COMPUTED_VALUE"""),3.69)</f>
        <v>3.69</v>
      </c>
      <c r="K1141" s="18">
        <f>IFERROR(__xludf.DUMMYFUNCTION("""COMPUTED_VALUE"""),4.61)</f>
        <v>4.61</v>
      </c>
      <c r="L1141" s="18">
        <f>IFERROR(__xludf.DUMMYFUNCTION("""COMPUTED_VALUE"""),7.38)</f>
        <v>7.38</v>
      </c>
    </row>
    <row r="1142">
      <c r="A1142" s="13" t="str">
        <f>IFERROR(__xludf.DUMMYFUNCTION("""COMPUTED_VALUE"""),"товари")</f>
        <v>товари</v>
      </c>
      <c r="B114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2" s="15" t="str">
        <f>IFERROR(__xludf.DUMMYFUNCTION("""COMPUTED_VALUE"""),"медичне обладнання")</f>
        <v>медичне обладнання</v>
      </c>
      <c r="D1142" s="15" t="str">
        <f>IFERROR(__xludf.DUMMYFUNCTION("""COMPUTED_VALUE"""),"кардіологічне обладнання")</f>
        <v>кардіологічне обладнання</v>
      </c>
      <c r="E1142" s="15" t="str">
        <f>IFERROR(__xludf.DUMMYFUNCTION("""COMPUTED_VALUE"""),"стрес-тест системи")</f>
        <v>стрес-тест системи</v>
      </c>
      <c r="F1142" s="17">
        <f>IFERROR(__xludf.DUMMYFUNCTION("""COMPUTED_VALUE"""),4.0)</f>
        <v>4</v>
      </c>
      <c r="G1142" s="17">
        <f>IFERROR(__xludf.DUMMYFUNCTION("""COMPUTED_VALUE"""),1.6110908E7)</f>
        <v>16110908</v>
      </c>
      <c r="H1142" s="17" t="str">
        <f>IFERROR(__xludf.DUMMYFUNCTION("""COMPUTED_VALUE"""),"стрес-тест системи")</f>
        <v>стрес-тест системи</v>
      </c>
      <c r="I1142" s="18">
        <f>IFERROR(__xludf.DUMMYFUNCTION("""COMPUTED_VALUE"""),2.03)</f>
        <v>2.03</v>
      </c>
      <c r="J1142" s="18">
        <f>IFERROR(__xludf.DUMMYFUNCTION("""COMPUTED_VALUE"""),4.05)</f>
        <v>4.05</v>
      </c>
      <c r="K1142" s="18">
        <f>IFERROR(__xludf.DUMMYFUNCTION("""COMPUTED_VALUE"""),5.06)</f>
        <v>5.06</v>
      </c>
      <c r="L1142" s="18">
        <f>IFERROR(__xludf.DUMMYFUNCTION("""COMPUTED_VALUE"""),8.1)</f>
        <v>8.1</v>
      </c>
    </row>
    <row r="1143">
      <c r="A1143" s="13" t="str">
        <f>IFERROR(__xludf.DUMMYFUNCTION("""COMPUTED_VALUE"""),"товари")</f>
        <v>товари</v>
      </c>
      <c r="B114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3" s="15" t="str">
        <f>IFERROR(__xludf.DUMMYFUNCTION("""COMPUTED_VALUE"""),"медичне обладнання")</f>
        <v>медичне обладнання</v>
      </c>
      <c r="D1143" s="15" t="str">
        <f>IFERROR(__xludf.DUMMYFUNCTION("""COMPUTED_VALUE"""),"лабораторне обладнання")</f>
        <v>лабораторне обладнання</v>
      </c>
      <c r="E1143" s="15" t="str">
        <f>IFERROR(__xludf.DUMMYFUNCTION("""COMPUTED_VALUE"""),"термостати лабораторні")</f>
        <v>термостати лабораторні</v>
      </c>
      <c r="F1143" s="17">
        <f>IFERROR(__xludf.DUMMYFUNCTION("""COMPUTED_VALUE"""),4.0)</f>
        <v>4</v>
      </c>
      <c r="G1143" s="17">
        <f>IFERROR(__xludf.DUMMYFUNCTION("""COMPUTED_VALUE"""),82605.0)</f>
        <v>82605</v>
      </c>
      <c r="H1143" s="17" t="str">
        <f>IFERROR(__xludf.DUMMYFUNCTION("""COMPUTED_VALUE"""),"термостати лабораторні")</f>
        <v>термостати лабораторні</v>
      </c>
      <c r="I1143" s="18">
        <f>IFERROR(__xludf.DUMMYFUNCTION("""COMPUTED_VALUE"""),1.8)</f>
        <v>1.8</v>
      </c>
      <c r="J1143" s="18">
        <f>IFERROR(__xludf.DUMMYFUNCTION("""COMPUTED_VALUE"""),3.6)</f>
        <v>3.6</v>
      </c>
      <c r="K1143" s="18">
        <f>IFERROR(__xludf.DUMMYFUNCTION("""COMPUTED_VALUE"""),4.5)</f>
        <v>4.5</v>
      </c>
      <c r="L1143" s="18">
        <f>IFERROR(__xludf.DUMMYFUNCTION("""COMPUTED_VALUE"""),7.2)</f>
        <v>7.2</v>
      </c>
    </row>
    <row r="1144">
      <c r="A1144" s="13" t="str">
        <f>IFERROR(__xludf.DUMMYFUNCTION("""COMPUTED_VALUE"""),"товари")</f>
        <v>товари</v>
      </c>
      <c r="B114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4" s="15" t="str">
        <f>IFERROR(__xludf.DUMMYFUNCTION("""COMPUTED_VALUE"""),"медичне обладнання")</f>
        <v>медичне обладнання</v>
      </c>
      <c r="D1144" s="15" t="str">
        <f>IFERROR(__xludf.DUMMYFUNCTION("""COMPUTED_VALUE"""),"діагностичне обладнання")</f>
        <v>діагностичне обладнання</v>
      </c>
      <c r="E1144" s="15" t="str">
        <f>IFERROR(__xludf.DUMMYFUNCTION("""COMPUTED_VALUE"""),"томографічне обладнання")</f>
        <v>томографічне обладнання</v>
      </c>
      <c r="F1144" s="17">
        <f>IFERROR(__xludf.DUMMYFUNCTION("""COMPUTED_VALUE"""),4.0)</f>
        <v>4</v>
      </c>
      <c r="G1144" s="17">
        <f>IFERROR(__xludf.DUMMYFUNCTION("""COMPUTED_VALUE"""),1.6111404E7)</f>
        <v>16111404</v>
      </c>
      <c r="H1144" s="17" t="str">
        <f>IFERROR(__xludf.DUMMYFUNCTION("""COMPUTED_VALUE"""),"томографічне обладнання")</f>
        <v>томографічне обладнання</v>
      </c>
      <c r="I1144" s="18">
        <f>IFERROR(__xludf.DUMMYFUNCTION("""COMPUTED_VALUE"""),2.29)</f>
        <v>2.29</v>
      </c>
      <c r="J1144" s="18">
        <f>IFERROR(__xludf.DUMMYFUNCTION("""COMPUTED_VALUE"""),4.58)</f>
        <v>4.58</v>
      </c>
      <c r="K1144" s="18">
        <f>IFERROR(__xludf.DUMMYFUNCTION("""COMPUTED_VALUE"""),5.72)</f>
        <v>5.72</v>
      </c>
      <c r="L1144" s="18">
        <f>IFERROR(__xludf.DUMMYFUNCTION("""COMPUTED_VALUE"""),9.15)</f>
        <v>9.15</v>
      </c>
    </row>
    <row r="1145">
      <c r="A1145" s="13" t="str">
        <f>IFERROR(__xludf.DUMMYFUNCTION("""COMPUTED_VALUE"""),"товари")</f>
        <v>товари</v>
      </c>
      <c r="B114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5" s="15" t="str">
        <f>IFERROR(__xludf.DUMMYFUNCTION("""COMPUTED_VALUE"""),"медичні інструменти та витратні матеріали")</f>
        <v>медичні інструменти та витратні матеріали</v>
      </c>
      <c r="D1145" s="15" t="str">
        <f>IFERROR(__xludf.DUMMYFUNCTION("""COMPUTED_VALUE"""),"хірургічні інструменти")</f>
        <v>хірургічні інструменти</v>
      </c>
      <c r="E1145" s="15" t="str">
        <f>IFERROR(__xludf.DUMMYFUNCTION("""COMPUTED_VALUE"""),"хірургічні інструменти")</f>
        <v>хірургічні інструменти</v>
      </c>
      <c r="F1145" s="17">
        <f>IFERROR(__xludf.DUMMYFUNCTION("""COMPUTED_VALUE"""),3.0)</f>
        <v>3</v>
      </c>
      <c r="G1145" s="17">
        <f>IFERROR(__xludf.DUMMYFUNCTION("""COMPUTED_VALUE"""),161103.0)</f>
        <v>161103</v>
      </c>
      <c r="H1145" s="17" t="str">
        <f>IFERROR(__xludf.DUMMYFUNCTION("""COMPUTED_VALUE"""),"хірургічні інструменти")</f>
        <v>хірургічні інструменти</v>
      </c>
      <c r="I1145" s="18">
        <f>IFERROR(__xludf.DUMMYFUNCTION("""COMPUTED_VALUE"""),1.8)</f>
        <v>1.8</v>
      </c>
      <c r="J1145" s="18">
        <f>IFERROR(__xludf.DUMMYFUNCTION("""COMPUTED_VALUE"""),3.6)</f>
        <v>3.6</v>
      </c>
      <c r="K1145" s="18">
        <f>IFERROR(__xludf.DUMMYFUNCTION("""COMPUTED_VALUE"""),4.5)</f>
        <v>4.5</v>
      </c>
      <c r="L1145" s="18">
        <f>IFERROR(__xludf.DUMMYFUNCTION("""COMPUTED_VALUE"""),7.2)</f>
        <v>7.2</v>
      </c>
    </row>
    <row r="1146">
      <c r="A1146" s="13" t="str">
        <f>IFERROR(__xludf.DUMMYFUNCTION("""COMPUTED_VALUE"""),"товари")</f>
        <v>товари</v>
      </c>
      <c r="B114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6" s="15" t="str">
        <f>IFERROR(__xludf.DUMMYFUNCTION("""COMPUTED_VALUE"""),"медичне обладнання")</f>
        <v>медичне обладнання</v>
      </c>
      <c r="D1146" s="15" t="str">
        <f>IFERROR(__xludf.DUMMYFUNCTION("""COMPUTED_VALUE"""),"холодильники медичні")</f>
        <v>холодильники медичні</v>
      </c>
      <c r="E1146" s="15" t="str">
        <f>IFERROR(__xludf.DUMMYFUNCTION("""COMPUTED_VALUE"""),"холодильники медичні")</f>
        <v>холодильники медичні</v>
      </c>
      <c r="F1146" s="17">
        <f>IFERROR(__xludf.DUMMYFUNCTION("""COMPUTED_VALUE"""),3.0)</f>
        <v>3</v>
      </c>
      <c r="G1146" s="17">
        <f>IFERROR(__xludf.DUMMYFUNCTION("""COMPUTED_VALUE"""),400703.0)</f>
        <v>400703</v>
      </c>
      <c r="H1146" s="17" t="str">
        <f>IFERROR(__xludf.DUMMYFUNCTION("""COMPUTED_VALUE"""),"холодильники медичні")</f>
        <v>холодильники медичні</v>
      </c>
      <c r="I1146" s="18">
        <f>IFERROR(__xludf.DUMMYFUNCTION("""COMPUTED_VALUE"""),0.76)</f>
        <v>0.76</v>
      </c>
      <c r="J1146" s="18">
        <f>IFERROR(__xludf.DUMMYFUNCTION("""COMPUTED_VALUE"""),1.53)</f>
        <v>1.53</v>
      </c>
      <c r="K1146" s="18">
        <f>IFERROR(__xludf.DUMMYFUNCTION("""COMPUTED_VALUE"""),1.91)</f>
        <v>1.91</v>
      </c>
      <c r="L1146" s="18">
        <f>IFERROR(__xludf.DUMMYFUNCTION("""COMPUTED_VALUE"""),3.05)</f>
        <v>3.05</v>
      </c>
    </row>
    <row r="1147">
      <c r="A1147" s="13" t="str">
        <f>IFERROR(__xludf.DUMMYFUNCTION("""COMPUTED_VALUE"""),"товари")</f>
        <v>товари</v>
      </c>
      <c r="B114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7" s="15" t="str">
        <f>IFERROR(__xludf.DUMMYFUNCTION("""COMPUTED_VALUE"""),"медичне обладнання")</f>
        <v>медичне обладнання</v>
      </c>
      <c r="D1147" s="15" t="str">
        <f>IFERROR(__xludf.DUMMYFUNCTION("""COMPUTED_VALUE"""),"лабораторне обладнання")</f>
        <v>лабораторне обладнання</v>
      </c>
      <c r="E1147" s="15" t="str">
        <f>IFERROR(__xludf.DUMMYFUNCTION("""COMPUTED_VALUE"""),"хроматографічне обладнання")</f>
        <v>хроматографічне обладнання</v>
      </c>
      <c r="F1147" s="17">
        <f>IFERROR(__xludf.DUMMYFUNCTION("""COMPUTED_VALUE"""),4.0)</f>
        <v>4</v>
      </c>
      <c r="G1147" s="17">
        <f>IFERROR(__xludf.DUMMYFUNCTION("""COMPUTED_VALUE"""),82601.0)</f>
        <v>82601</v>
      </c>
      <c r="H1147" s="17" t="str">
        <f>IFERROR(__xludf.DUMMYFUNCTION("""COMPUTED_VALUE"""),"хроматографічне обладнання")</f>
        <v>хроматографічне обладнання</v>
      </c>
      <c r="I1147" s="18">
        <f>IFERROR(__xludf.DUMMYFUNCTION("""COMPUTED_VALUE"""),1.8)</f>
        <v>1.8</v>
      </c>
      <c r="J1147" s="18">
        <f>IFERROR(__xludf.DUMMYFUNCTION("""COMPUTED_VALUE"""),3.6)</f>
        <v>3.6</v>
      </c>
      <c r="K1147" s="18">
        <f>IFERROR(__xludf.DUMMYFUNCTION("""COMPUTED_VALUE"""),4.5)</f>
        <v>4.5</v>
      </c>
      <c r="L1147" s="18">
        <f>IFERROR(__xludf.DUMMYFUNCTION("""COMPUTED_VALUE"""),7.2)</f>
        <v>7.2</v>
      </c>
    </row>
    <row r="1148">
      <c r="A1148" s="13" t="str">
        <f>IFERROR(__xludf.DUMMYFUNCTION("""COMPUTED_VALUE"""),"товари")</f>
        <v>товари</v>
      </c>
      <c r="B1148" s="13" t="str">
        <f>IFERROR(__xludf.DUMMYFUNCTION("""COMPUTED_VALUE"""),"нерухомість")</f>
        <v>нерухомість</v>
      </c>
      <c r="C1148" s="15" t="str">
        <f>IFERROR(__xludf.DUMMYFUNCTION("""COMPUTED_VALUE"""),"житлові будівлі")</f>
        <v>житлові будівлі</v>
      </c>
      <c r="D1148" s="15" t="str">
        <f>IFERROR(__xludf.DUMMYFUNCTION("""COMPUTED_VALUE"""),"житлові будівлі")</f>
        <v>житлові будівлі</v>
      </c>
      <c r="E1148" s="15" t="str">
        <f>IFERROR(__xludf.DUMMYFUNCTION("""COMPUTED_VALUE"""),"житлові будівлі")</f>
        <v>житлові будівлі</v>
      </c>
      <c r="F1148" s="17">
        <f>IFERROR(__xludf.DUMMYFUNCTION("""COMPUTED_VALUE"""),2.0)</f>
        <v>2</v>
      </c>
      <c r="G1148" s="17">
        <f>IFERROR(__xludf.DUMMYFUNCTION("""COMPUTED_VALUE"""),3111.0)</f>
        <v>3111</v>
      </c>
      <c r="H1148" s="17" t="str">
        <f>IFERROR(__xludf.DUMMYFUNCTION("""COMPUTED_VALUE"""),"житлові будівлі")</f>
        <v>житлові будівлі</v>
      </c>
      <c r="I1148" s="18">
        <f>IFERROR(__xludf.DUMMYFUNCTION("""COMPUTED_VALUE"""),0.76)</f>
        <v>0.76</v>
      </c>
      <c r="J1148" s="18">
        <f>IFERROR(__xludf.DUMMYFUNCTION("""COMPUTED_VALUE"""),1.53)</f>
        <v>1.53</v>
      </c>
      <c r="K1148" s="18">
        <f>IFERROR(__xludf.DUMMYFUNCTION("""COMPUTED_VALUE"""),1.91)</f>
        <v>1.91</v>
      </c>
      <c r="L1148" s="18">
        <f>IFERROR(__xludf.DUMMYFUNCTION("""COMPUTED_VALUE"""),3.05)</f>
        <v>3.05</v>
      </c>
    </row>
    <row r="1149">
      <c r="A1149" s="13" t="str">
        <f>IFERROR(__xludf.DUMMYFUNCTION("""COMPUTED_VALUE"""),"товари")</f>
        <v>товари</v>
      </c>
      <c r="B1149" s="13" t="str">
        <f>IFERROR(__xludf.DUMMYFUNCTION("""COMPUTED_VALUE"""),"нерухомість")</f>
        <v>нерухомість</v>
      </c>
      <c r="C1149" s="15" t="str">
        <f>IFERROR(__xludf.DUMMYFUNCTION("""COMPUTED_VALUE"""),"нерухомість, загальне")</f>
        <v>нерухомість, загальне</v>
      </c>
      <c r="D1149" s="15" t="str">
        <f>IFERROR(__xludf.DUMMYFUNCTION("""COMPUTED_VALUE"""),"нерухомість, загальне")</f>
        <v>нерухомість, загальне</v>
      </c>
      <c r="E1149" s="15" t="str">
        <f>IFERROR(__xludf.DUMMYFUNCTION("""COMPUTED_VALUE"""),"нерухомість, загальне")</f>
        <v>нерухомість, загальне</v>
      </c>
      <c r="F1149" s="17">
        <f>IFERROR(__xludf.DUMMYFUNCTION("""COMPUTED_VALUE"""),2.0)</f>
        <v>2</v>
      </c>
      <c r="G1149" s="17">
        <f>IFERROR(__xludf.DUMMYFUNCTION("""COMPUTED_VALUE"""),3109.0)</f>
        <v>3109</v>
      </c>
      <c r="H1149" s="17" t="str">
        <f>IFERROR(__xludf.DUMMYFUNCTION("""COMPUTED_VALUE"""),"нерухомість, загальне")</f>
        <v>нерухомість, загальне</v>
      </c>
      <c r="I1149" s="18">
        <f>IFERROR(__xludf.DUMMYFUNCTION("""COMPUTED_VALUE"""),2.16)</f>
        <v>2.16</v>
      </c>
      <c r="J1149" s="18">
        <f>IFERROR(__xludf.DUMMYFUNCTION("""COMPUTED_VALUE"""),4.33)</f>
        <v>4.33</v>
      </c>
      <c r="K1149" s="18">
        <f>IFERROR(__xludf.DUMMYFUNCTION("""COMPUTED_VALUE"""),5.41)</f>
        <v>5.41</v>
      </c>
      <c r="L1149" s="18">
        <f>IFERROR(__xludf.DUMMYFUNCTION("""COMPUTED_VALUE"""),8.65)</f>
        <v>8.65</v>
      </c>
    </row>
    <row r="1150">
      <c r="A1150" s="13" t="str">
        <f>IFERROR(__xludf.DUMMYFUNCTION("""COMPUTED_VALUE"""),"товари")</f>
        <v>товари</v>
      </c>
      <c r="B1150" s="13" t="str">
        <f>IFERROR(__xludf.DUMMYFUNCTION("""COMPUTED_VALUE"""),"обладнання та товари для надання послуг")</f>
        <v>обладнання та товари для надання послуг</v>
      </c>
      <c r="C1150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150" s="15" t="str">
        <f>IFERROR(__xludf.DUMMYFUNCTION("""COMPUTED_VALUE"""),"pos-матеріали")</f>
        <v>pos-матеріали</v>
      </c>
      <c r="E1150" s="15" t="str">
        <f>IFERROR(__xludf.DUMMYFUNCTION("""COMPUTED_VALUE"""),"pos-матеріали, загальне")</f>
        <v>pos-матеріали, загальне</v>
      </c>
      <c r="F1150" s="17">
        <f>IFERROR(__xludf.DUMMYFUNCTION("""COMPUTED_VALUE"""),4.0)</f>
        <v>4</v>
      </c>
      <c r="G1150" s="17">
        <f>IFERROR(__xludf.DUMMYFUNCTION("""COMPUTED_VALUE"""),281977.0)</f>
        <v>281977</v>
      </c>
      <c r="H1150" s="17" t="str">
        <f>IFERROR(__xludf.DUMMYFUNCTION("""COMPUTED_VALUE"""),"pos-матеріали, загальне")</f>
        <v>pos-матеріали, загальне</v>
      </c>
      <c r="I1150" s="18">
        <f>IFERROR(__xludf.DUMMYFUNCTION("""COMPUTED_VALUE"""),2.16)</f>
        <v>2.16</v>
      </c>
      <c r="J1150" s="18">
        <f>IFERROR(__xludf.DUMMYFUNCTION("""COMPUTED_VALUE"""),4.33)</f>
        <v>4.33</v>
      </c>
      <c r="K1150" s="18">
        <f>IFERROR(__xludf.DUMMYFUNCTION("""COMPUTED_VALUE"""),5.41)</f>
        <v>5.41</v>
      </c>
      <c r="L1150" s="18">
        <f>IFERROR(__xludf.DUMMYFUNCTION("""COMPUTED_VALUE"""),8.65)</f>
        <v>8.65</v>
      </c>
    </row>
    <row r="1151">
      <c r="A1151" s="13" t="str">
        <f>IFERROR(__xludf.DUMMYFUNCTION("""COMPUTED_VALUE"""),"товари")</f>
        <v>товари</v>
      </c>
      <c r="B1151" s="13" t="str">
        <f>IFERROR(__xludf.DUMMYFUNCTION("""COMPUTED_VALUE"""),"обладнання та товари для надання послуг")</f>
        <v>обладнання та товари для надання послуг</v>
      </c>
      <c r="C1151" s="15" t="str">
        <f>IFERROR(__xludf.DUMMYFUNCTION("""COMPUTED_VALUE"""),"обладнання для автосервісу")</f>
        <v>обладнання для автосервісу</v>
      </c>
      <c r="D1151" s="15" t="str">
        <f>IFERROR(__xludf.DUMMYFUNCTION("""COMPUTED_VALUE"""),"обладнання для автомийок")</f>
        <v>обладнання для автомийок</v>
      </c>
      <c r="E1151" s="15" t="str">
        <f>IFERROR(__xludf.DUMMYFUNCTION("""COMPUTED_VALUE"""),"автомийні комплекси")</f>
        <v>автомийні комплекси</v>
      </c>
      <c r="F1151" s="17">
        <f>IFERROR(__xludf.DUMMYFUNCTION("""COMPUTED_VALUE"""),4.0)</f>
        <v>4</v>
      </c>
      <c r="G1151" s="17">
        <f>IFERROR(__xludf.DUMMYFUNCTION("""COMPUTED_VALUE"""),1.2111402E7)</f>
        <v>12111402</v>
      </c>
      <c r="H1151" s="17" t="str">
        <f>IFERROR(__xludf.DUMMYFUNCTION("""COMPUTED_VALUE"""),"автомийні комплекси")</f>
        <v>автомийні комплекси</v>
      </c>
      <c r="I1151" s="18">
        <f>IFERROR(__xludf.DUMMYFUNCTION("""COMPUTED_VALUE"""),1.58)</f>
        <v>1.58</v>
      </c>
      <c r="J1151" s="18">
        <f>IFERROR(__xludf.DUMMYFUNCTION("""COMPUTED_VALUE"""),3.15)</f>
        <v>3.15</v>
      </c>
      <c r="K1151" s="18">
        <f>IFERROR(__xludf.DUMMYFUNCTION("""COMPUTED_VALUE"""),3.94)</f>
        <v>3.94</v>
      </c>
      <c r="L1151" s="18">
        <f>IFERROR(__xludf.DUMMYFUNCTION("""COMPUTED_VALUE"""),6.3)</f>
        <v>6.3</v>
      </c>
    </row>
    <row r="1152">
      <c r="A1152" s="13" t="str">
        <f>IFERROR(__xludf.DUMMYFUNCTION("""COMPUTED_VALUE"""),"товари")</f>
        <v>товари</v>
      </c>
      <c r="B1152" s="13" t="str">
        <f>IFERROR(__xludf.DUMMYFUNCTION("""COMPUTED_VALUE"""),"обладнання та товари для надання послуг")</f>
        <v>обладнання та товари для надання послуг</v>
      </c>
      <c r="C1152" s="15" t="str">
        <f>IFERROR(__xludf.DUMMYFUNCTION("""COMPUTED_VALUE"""),"обладнання для автосервісу")</f>
        <v>обладнання для автосервісу</v>
      </c>
      <c r="D1152" s="15" t="str">
        <f>IFERROR(__xludf.DUMMYFUNCTION("""COMPUTED_VALUE"""),"шиномонтажне обладнання")</f>
        <v>шиномонтажне обладнання</v>
      </c>
      <c r="E1152" s="15" t="str">
        <f>IFERROR(__xludf.DUMMYFUNCTION("""COMPUTED_VALUE"""),"балансувальні верстати")</f>
        <v>балансувальні верстати</v>
      </c>
      <c r="F1152" s="17">
        <f>IFERROR(__xludf.DUMMYFUNCTION("""COMPUTED_VALUE"""),4.0)</f>
        <v>4</v>
      </c>
      <c r="G1152" s="17">
        <f>IFERROR(__xludf.DUMMYFUNCTION("""COMPUTED_VALUE"""),121104.0)</f>
        <v>121104</v>
      </c>
      <c r="H1152" s="17" t="str">
        <f>IFERROR(__xludf.DUMMYFUNCTION("""COMPUTED_VALUE"""),"балансувальні верстати")</f>
        <v>балансувальні верстати</v>
      </c>
      <c r="I1152" s="18">
        <f>IFERROR(__xludf.DUMMYFUNCTION("""COMPUTED_VALUE"""),1.62)</f>
        <v>1.62</v>
      </c>
      <c r="J1152" s="18">
        <f>IFERROR(__xludf.DUMMYFUNCTION("""COMPUTED_VALUE"""),3.24)</f>
        <v>3.24</v>
      </c>
      <c r="K1152" s="18">
        <f>IFERROR(__xludf.DUMMYFUNCTION("""COMPUTED_VALUE"""),4.05)</f>
        <v>4.05</v>
      </c>
      <c r="L1152" s="18">
        <f>IFERROR(__xludf.DUMMYFUNCTION("""COMPUTED_VALUE"""),6.48)</f>
        <v>6.48</v>
      </c>
    </row>
    <row r="1153">
      <c r="A1153" s="13" t="str">
        <f>IFERROR(__xludf.DUMMYFUNCTION("""COMPUTED_VALUE"""),"товари")</f>
        <v>товари</v>
      </c>
      <c r="B1153" s="13" t="str">
        <f>IFERROR(__xludf.DUMMYFUNCTION("""COMPUTED_VALUE"""),"обладнання та товари для надання послуг")</f>
        <v>обладнання та товари для надання послуг</v>
      </c>
      <c r="C1153" s="15" t="str">
        <f>IFERROR(__xludf.DUMMYFUNCTION("""COMPUTED_VALUE"""),"вендінгове і розважальне обладнання")</f>
        <v>вендінгове і розважальне обладнання</v>
      </c>
      <c r="D1153" s="15" t="str">
        <f>IFERROR(__xludf.DUMMYFUNCTION("""COMPUTED_VALUE"""),"інвентар для більярду")</f>
        <v>інвентар для більярду</v>
      </c>
      <c r="E1153" s="15" t="str">
        <f>IFERROR(__xludf.DUMMYFUNCTION("""COMPUTED_VALUE"""),"більярдні столи і стільці")</f>
        <v>більярдні столи і стільці</v>
      </c>
      <c r="F1153" s="17">
        <f>IFERROR(__xludf.DUMMYFUNCTION("""COMPUTED_VALUE"""),4.0)</f>
        <v>4</v>
      </c>
      <c r="G1153" s="17">
        <f>IFERROR(__xludf.DUMMYFUNCTION("""COMPUTED_VALUE"""),203201.0)</f>
        <v>203201</v>
      </c>
      <c r="H1153" s="17" t="str">
        <f>IFERROR(__xludf.DUMMYFUNCTION("""COMPUTED_VALUE"""),"більярдні столи і стільці")</f>
        <v>більярдні столи і стільці</v>
      </c>
      <c r="I1153" s="18">
        <f>IFERROR(__xludf.DUMMYFUNCTION("""COMPUTED_VALUE"""),1.17)</f>
        <v>1.17</v>
      </c>
      <c r="J1153" s="18">
        <f>IFERROR(__xludf.DUMMYFUNCTION("""COMPUTED_VALUE"""),2.34)</f>
        <v>2.34</v>
      </c>
      <c r="K1153" s="18">
        <f>IFERROR(__xludf.DUMMYFUNCTION("""COMPUTED_VALUE"""),2.92)</f>
        <v>2.92</v>
      </c>
      <c r="L1153" s="18">
        <f>IFERROR(__xludf.DUMMYFUNCTION("""COMPUTED_VALUE"""),4.68)</f>
        <v>4.68</v>
      </c>
    </row>
    <row r="1154">
      <c r="A1154" s="13" t="str">
        <f>IFERROR(__xludf.DUMMYFUNCTION("""COMPUTED_VALUE"""),"товари")</f>
        <v>товари</v>
      </c>
      <c r="B1154" s="13" t="str">
        <f>IFERROR(__xludf.DUMMYFUNCTION("""COMPUTED_VALUE"""),"обладнання та товари для надання послуг")</f>
        <v>обладнання та товари для надання послуг</v>
      </c>
      <c r="C1154" s="15" t="str">
        <f>IFERROR(__xludf.DUMMYFUNCTION("""COMPUTED_VALUE"""),"обладнання та матеріали для друкарні")</f>
        <v>обладнання та матеріали для друкарні</v>
      </c>
      <c r="D1154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1154" s="15" t="str">
        <f>IFERROR(__xludf.DUMMYFUNCTION("""COMPUTED_VALUE"""),"брошурувально-палітурне обладнання")</f>
        <v>брошурувально-палітурне обладнання</v>
      </c>
      <c r="F1154" s="17">
        <f>IFERROR(__xludf.DUMMYFUNCTION("""COMPUTED_VALUE"""),4.0)</f>
        <v>4</v>
      </c>
      <c r="G1154" s="17">
        <f>IFERROR(__xludf.DUMMYFUNCTION("""COMPUTED_VALUE"""),2.3090303E7)</f>
        <v>23090303</v>
      </c>
      <c r="H1154" s="17" t="str">
        <f>IFERROR(__xludf.DUMMYFUNCTION("""COMPUTED_VALUE"""),"брошурувально-палітурне обладнання")</f>
        <v>брошурувально-палітурне обладнання</v>
      </c>
      <c r="I1154" s="18">
        <f>IFERROR(__xludf.DUMMYFUNCTION("""COMPUTED_VALUE"""),1.62)</f>
        <v>1.62</v>
      </c>
      <c r="J1154" s="18">
        <f>IFERROR(__xludf.DUMMYFUNCTION("""COMPUTED_VALUE"""),3.24)</f>
        <v>3.24</v>
      </c>
      <c r="K1154" s="18">
        <f>IFERROR(__xludf.DUMMYFUNCTION("""COMPUTED_VALUE"""),4.05)</f>
        <v>4.05</v>
      </c>
      <c r="L1154" s="18">
        <f>IFERROR(__xludf.DUMMYFUNCTION("""COMPUTED_VALUE"""),6.48)</f>
        <v>6.48</v>
      </c>
    </row>
    <row r="1155">
      <c r="A1155" s="13" t="str">
        <f>IFERROR(__xludf.DUMMYFUNCTION("""COMPUTED_VALUE"""),"товари")</f>
        <v>товари</v>
      </c>
      <c r="B1155" s="13" t="str">
        <f>IFERROR(__xludf.DUMMYFUNCTION("""COMPUTED_VALUE"""),"обладнання та товари для надання послуг")</f>
        <v>обладнання та товари для надання послуг</v>
      </c>
      <c r="C1155" s="15" t="str">
        <f>IFERROR(__xludf.DUMMYFUNCTION("""COMPUTED_VALUE"""),"комерційні меблі")</f>
        <v>комерційні меблі</v>
      </c>
      <c r="D1155" s="15" t="str">
        <f>IFERROR(__xludf.DUMMYFUNCTION("""COMPUTED_VALUE"""),"офісні меблі")</f>
        <v>офісні меблі</v>
      </c>
      <c r="E1155" s="15" t="str">
        <f>IFERROR(__xludf.DUMMYFUNCTION("""COMPUTED_VALUE"""),"бухгалтерські та архівні шафи")</f>
        <v>бухгалтерські та архівні шафи</v>
      </c>
      <c r="F1155" s="17">
        <f>IFERROR(__xludf.DUMMYFUNCTION("""COMPUTED_VALUE"""),4.0)</f>
        <v>4</v>
      </c>
      <c r="G1155" s="17">
        <f>IFERROR(__xludf.DUMMYFUNCTION("""COMPUTED_VALUE"""),1.5030415E7)</f>
        <v>15030415</v>
      </c>
      <c r="H1155" s="17" t="str">
        <f>IFERROR(__xludf.DUMMYFUNCTION("""COMPUTED_VALUE"""),"бухгалтерські та архівні шафи")</f>
        <v>бухгалтерські та архівні шафи</v>
      </c>
      <c r="I1155" s="18">
        <f>IFERROR(__xludf.DUMMYFUNCTION("""COMPUTED_VALUE"""),2.07)</f>
        <v>2.07</v>
      </c>
      <c r="J1155" s="18">
        <f>IFERROR(__xludf.DUMMYFUNCTION("""COMPUTED_VALUE"""),4.14)</f>
        <v>4.14</v>
      </c>
      <c r="K1155" s="18">
        <f>IFERROR(__xludf.DUMMYFUNCTION("""COMPUTED_VALUE"""),5.17)</f>
        <v>5.17</v>
      </c>
      <c r="L1155" s="18">
        <f>IFERROR(__xludf.DUMMYFUNCTION("""COMPUTED_VALUE"""),8.28)</f>
        <v>8.28</v>
      </c>
    </row>
    <row r="1156">
      <c r="A1156" s="13" t="str">
        <f>IFERROR(__xludf.DUMMYFUNCTION("""COMPUTED_VALUE"""),"товари")</f>
        <v>товари</v>
      </c>
      <c r="B1156" s="13" t="str">
        <f>IFERROR(__xludf.DUMMYFUNCTION("""COMPUTED_VALUE"""),"обладнання та товари для надання послуг")</f>
        <v>обладнання та товари для надання послуг</v>
      </c>
      <c r="C1156" s="15" t="str">
        <f>IFERROR(__xludf.DUMMYFUNCTION("""COMPUTED_VALUE"""),"обладнання для автосервісу")</f>
        <v>обладнання для автосервісу</v>
      </c>
      <c r="D1156" s="15" t="str">
        <f>IFERROR(__xludf.DUMMYFUNCTION("""COMPUTED_VALUE"""),"верстати для проточки дисків і барабанів")</f>
        <v>верстати для проточки дисків і барабанів</v>
      </c>
      <c r="E1156" s="15" t="str">
        <f>IFERROR(__xludf.DUMMYFUNCTION("""COMPUTED_VALUE"""),"верстати для проточки дисків і барабанів")</f>
        <v>верстати для проточки дисків і барабанів</v>
      </c>
      <c r="F1156" s="17">
        <f>IFERROR(__xludf.DUMMYFUNCTION("""COMPUTED_VALUE"""),3.0)</f>
        <v>3</v>
      </c>
      <c r="G1156" s="17">
        <f>IFERROR(__xludf.DUMMYFUNCTION("""COMPUTED_VALUE"""),121116.0)</f>
        <v>121116</v>
      </c>
      <c r="H1156" s="17" t="str">
        <f>IFERROR(__xludf.DUMMYFUNCTION("""COMPUTED_VALUE"""),"верстати для проточки дисків і барабанів")</f>
        <v>верстати для проточки дисків і барабанів</v>
      </c>
      <c r="I1156" s="18">
        <f>IFERROR(__xludf.DUMMYFUNCTION("""COMPUTED_VALUE"""),0.53)</f>
        <v>0.53</v>
      </c>
      <c r="J1156" s="18">
        <f>IFERROR(__xludf.DUMMYFUNCTION("""COMPUTED_VALUE"""),1.05)</f>
        <v>1.05</v>
      </c>
      <c r="K1156" s="18">
        <f>IFERROR(__xludf.DUMMYFUNCTION("""COMPUTED_VALUE"""),1.31)</f>
        <v>1.31</v>
      </c>
      <c r="L1156" s="18">
        <f>IFERROR(__xludf.DUMMYFUNCTION("""COMPUTED_VALUE"""),2.1)</f>
        <v>2.1</v>
      </c>
    </row>
    <row r="1157">
      <c r="A1157" s="13" t="str">
        <f>IFERROR(__xludf.DUMMYFUNCTION("""COMPUTED_VALUE"""),"товари")</f>
        <v>товари</v>
      </c>
      <c r="B1157" s="13" t="str">
        <f>IFERROR(__xludf.DUMMYFUNCTION("""COMPUTED_VALUE"""),"обладнання та товари для надання послуг")</f>
        <v>обладнання та товари для надання послуг</v>
      </c>
      <c r="C1157" s="15" t="str">
        <f>IFERROR(__xludf.DUMMYFUNCTION("""COMPUTED_VALUE"""),"обладнання для автосервісу")</f>
        <v>обладнання для автосервісу</v>
      </c>
      <c r="D1157" s="15" t="str">
        <f>IFERROR(__xludf.DUMMYFUNCTION("""COMPUTED_VALUE"""),"шиномонтажне обладнання")</f>
        <v>шиномонтажне обладнання</v>
      </c>
      <c r="E1157" s="15" t="str">
        <f>IFERROR(__xludf.DUMMYFUNCTION("""COMPUTED_VALUE"""),"верстати для рихтування дисків")</f>
        <v>верстати для рихтування дисків</v>
      </c>
      <c r="F1157" s="17">
        <f>IFERROR(__xludf.DUMMYFUNCTION("""COMPUTED_VALUE"""),4.0)</f>
        <v>4</v>
      </c>
      <c r="G1157" s="17">
        <f>IFERROR(__xludf.DUMMYFUNCTION("""COMPUTED_VALUE"""),1.2110103E7)</f>
        <v>12110103</v>
      </c>
      <c r="H1157" s="17" t="str">
        <f>IFERROR(__xludf.DUMMYFUNCTION("""COMPUTED_VALUE"""),"верстати для рихтування дисків")</f>
        <v>верстати для рихтування дисків</v>
      </c>
      <c r="I1157" s="18">
        <f>IFERROR(__xludf.DUMMYFUNCTION("""COMPUTED_VALUE"""),1.62)</f>
        <v>1.62</v>
      </c>
      <c r="J1157" s="18">
        <f>IFERROR(__xludf.DUMMYFUNCTION("""COMPUTED_VALUE"""),3.24)</f>
        <v>3.24</v>
      </c>
      <c r="K1157" s="18">
        <f>IFERROR(__xludf.DUMMYFUNCTION("""COMPUTED_VALUE"""),4.05)</f>
        <v>4.05</v>
      </c>
      <c r="L1157" s="18">
        <f>IFERROR(__xludf.DUMMYFUNCTION("""COMPUTED_VALUE"""),6.48)</f>
        <v>6.48</v>
      </c>
    </row>
    <row r="1158">
      <c r="A1158" s="13" t="str">
        <f>IFERROR(__xludf.DUMMYFUNCTION("""COMPUTED_VALUE"""),"товари")</f>
        <v>товари</v>
      </c>
      <c r="B1158" s="13" t="str">
        <f>IFERROR(__xludf.DUMMYFUNCTION("""COMPUTED_VALUE"""),"обладнання та товари для надання послуг")</f>
        <v>обладнання та товари для надання послуг</v>
      </c>
      <c r="C1158" s="15" t="str">
        <f>IFERROR(__xludf.DUMMYFUNCTION("""COMPUTED_VALUE"""),"обладнання для автосервісу")</f>
        <v>обладнання для автосервісу</v>
      </c>
      <c r="D1158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1158" s="15" t="str">
        <f>IFERROR(__xludf.DUMMYFUNCTION("""COMPUTED_VALUE"""),"гальмівні стенди")</f>
        <v>гальмівні стенди</v>
      </c>
      <c r="F1158" s="17">
        <f>IFERROR(__xludf.DUMMYFUNCTION("""COMPUTED_VALUE"""),4.0)</f>
        <v>4</v>
      </c>
      <c r="G1158" s="17">
        <f>IFERROR(__xludf.DUMMYFUNCTION("""COMPUTED_VALUE"""),1.2110605E7)</f>
        <v>12110605</v>
      </c>
      <c r="H1158" s="17" t="str">
        <f>IFERROR(__xludf.DUMMYFUNCTION("""COMPUTED_VALUE"""),"гальмівні стенди")</f>
        <v>гальмівні стенди</v>
      </c>
      <c r="I1158" s="18">
        <f>IFERROR(__xludf.DUMMYFUNCTION("""COMPUTED_VALUE"""),1.95)</f>
        <v>1.95</v>
      </c>
      <c r="J1158" s="18">
        <f>IFERROR(__xludf.DUMMYFUNCTION("""COMPUTED_VALUE"""),3.9)</f>
        <v>3.9</v>
      </c>
      <c r="K1158" s="18">
        <f>IFERROR(__xludf.DUMMYFUNCTION("""COMPUTED_VALUE"""),4.88)</f>
        <v>4.88</v>
      </c>
      <c r="L1158" s="18">
        <f>IFERROR(__xludf.DUMMYFUNCTION("""COMPUTED_VALUE"""),7.8)</f>
        <v>7.8</v>
      </c>
    </row>
    <row r="1159">
      <c r="A1159" s="13" t="str">
        <f>IFERROR(__xludf.DUMMYFUNCTION("""COMPUTED_VALUE"""),"товари")</f>
        <v>товари</v>
      </c>
      <c r="B1159" s="13" t="str">
        <f>IFERROR(__xludf.DUMMYFUNCTION("""COMPUTED_VALUE"""),"обладнання та товари для надання послуг")</f>
        <v>обладнання та товари для надання послуг</v>
      </c>
      <c r="C1159" s="15" t="str">
        <f>IFERROR(__xludf.DUMMYFUNCTION("""COMPUTED_VALUE"""),"обладнання для автосервісу")</f>
        <v>обладнання для автосервісу</v>
      </c>
      <c r="D1159" s="15" t="str">
        <f>IFERROR(__xludf.DUMMYFUNCTION("""COMPUTED_VALUE"""),"гідравлічні підлогові преси")</f>
        <v>гідравлічні підлогові преси</v>
      </c>
      <c r="E1159" s="15" t="str">
        <f>IFERROR(__xludf.DUMMYFUNCTION("""COMPUTED_VALUE"""),"гідравлічні підлогові преси")</f>
        <v>гідравлічні підлогові преси</v>
      </c>
      <c r="F1159" s="17">
        <f>IFERROR(__xludf.DUMMYFUNCTION("""COMPUTED_VALUE"""),3.0)</f>
        <v>3</v>
      </c>
      <c r="G1159" s="17">
        <f>IFERROR(__xludf.DUMMYFUNCTION("""COMPUTED_VALUE"""),1.4200912E7)</f>
        <v>14200912</v>
      </c>
      <c r="H1159" s="17" t="str">
        <f>IFERROR(__xludf.DUMMYFUNCTION("""COMPUTED_VALUE"""),"гідравлічні підлогові преси")</f>
        <v>гідравлічні підлогові преси</v>
      </c>
      <c r="I1159" s="18">
        <f>IFERROR(__xludf.DUMMYFUNCTION("""COMPUTED_VALUE"""),2.18)</f>
        <v>2.18</v>
      </c>
      <c r="J1159" s="18">
        <f>IFERROR(__xludf.DUMMYFUNCTION("""COMPUTED_VALUE"""),4.35)</f>
        <v>4.35</v>
      </c>
      <c r="K1159" s="18">
        <f>IFERROR(__xludf.DUMMYFUNCTION("""COMPUTED_VALUE"""),5.44)</f>
        <v>5.44</v>
      </c>
      <c r="L1159" s="18">
        <f>IFERROR(__xludf.DUMMYFUNCTION("""COMPUTED_VALUE"""),8.7)</f>
        <v>8.7</v>
      </c>
    </row>
    <row r="1160">
      <c r="A1160" s="13" t="str">
        <f>IFERROR(__xludf.DUMMYFUNCTION("""COMPUTED_VALUE"""),"товари")</f>
        <v>товари</v>
      </c>
      <c r="B1160" s="13" t="str">
        <f>IFERROR(__xludf.DUMMYFUNCTION("""COMPUTED_VALUE"""),"обладнання та товари для надання послуг")</f>
        <v>обладнання та товари для надання послуг</v>
      </c>
      <c r="C1160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160" s="15" t="str">
        <f>IFERROR(__xludf.DUMMYFUNCTION("""COMPUTED_VALUE"""),"готові штендери")</f>
        <v>готові штендери</v>
      </c>
      <c r="E1160" s="15" t="str">
        <f>IFERROR(__xludf.DUMMYFUNCTION("""COMPUTED_VALUE"""),"готові штендери")</f>
        <v>готові штендери</v>
      </c>
      <c r="F1160" s="17">
        <f>IFERROR(__xludf.DUMMYFUNCTION("""COMPUTED_VALUE"""),3.0)</f>
        <v>3</v>
      </c>
      <c r="G1160" s="17">
        <f>IFERROR(__xludf.DUMMYFUNCTION("""COMPUTED_VALUE"""),283036.0)</f>
        <v>283036</v>
      </c>
      <c r="H1160" s="17" t="str">
        <f>IFERROR(__xludf.DUMMYFUNCTION("""COMPUTED_VALUE"""),"готові штендери")</f>
        <v>готові штендери</v>
      </c>
      <c r="I1160" s="18">
        <f>IFERROR(__xludf.DUMMYFUNCTION("""COMPUTED_VALUE"""),2.29)</f>
        <v>2.29</v>
      </c>
      <c r="J1160" s="18">
        <f>IFERROR(__xludf.DUMMYFUNCTION("""COMPUTED_VALUE"""),4.58)</f>
        <v>4.58</v>
      </c>
      <c r="K1160" s="18">
        <f>IFERROR(__xludf.DUMMYFUNCTION("""COMPUTED_VALUE"""),5.72)</f>
        <v>5.72</v>
      </c>
      <c r="L1160" s="18">
        <f>IFERROR(__xludf.DUMMYFUNCTION("""COMPUTED_VALUE"""),9.15)</f>
        <v>9.15</v>
      </c>
    </row>
    <row r="1161">
      <c r="A1161" s="13" t="str">
        <f>IFERROR(__xludf.DUMMYFUNCTION("""COMPUTED_VALUE"""),"товари")</f>
        <v>товари</v>
      </c>
      <c r="B1161" s="13" t="str">
        <f>IFERROR(__xludf.DUMMYFUNCTION("""COMPUTED_VALUE"""),"обладнання та товари для надання послуг")</f>
        <v>обладнання та товари для надання послуг</v>
      </c>
      <c r="C1161" s="15" t="str">
        <f>IFERROR(__xludf.DUMMYFUNCTION("""COMPUTED_VALUE"""),"детектори брехні та поліграфи")</f>
        <v>детектори брехні та поліграфи</v>
      </c>
      <c r="D1161" s="15" t="str">
        <f>IFERROR(__xludf.DUMMYFUNCTION("""COMPUTED_VALUE"""),"детектори брехні та поліграфи")</f>
        <v>детектори брехні та поліграфи</v>
      </c>
      <c r="E1161" s="15" t="str">
        <f>IFERROR(__xludf.DUMMYFUNCTION("""COMPUTED_VALUE"""),"детектори брехні та поліграфи")</f>
        <v>детектори брехні та поліграфи</v>
      </c>
      <c r="F1161" s="17">
        <f>IFERROR(__xludf.DUMMYFUNCTION("""COMPUTED_VALUE"""),2.0)</f>
        <v>2</v>
      </c>
      <c r="G1161" s="17">
        <f>IFERROR(__xludf.DUMMYFUNCTION("""COMPUTED_VALUE"""),3001.0)</f>
        <v>3001</v>
      </c>
      <c r="H1161" s="17" t="str">
        <f>IFERROR(__xludf.DUMMYFUNCTION("""COMPUTED_VALUE"""),"детектори брехні та поліграфи")</f>
        <v>детектори брехні та поліграфи</v>
      </c>
      <c r="I1161" s="18">
        <f>IFERROR(__xludf.DUMMYFUNCTION("""COMPUTED_VALUE"""),0.99)</f>
        <v>0.99</v>
      </c>
      <c r="J1161" s="18">
        <f>IFERROR(__xludf.DUMMYFUNCTION("""COMPUTED_VALUE"""),1.98)</f>
        <v>1.98</v>
      </c>
      <c r="K1161" s="18">
        <f>IFERROR(__xludf.DUMMYFUNCTION("""COMPUTED_VALUE"""),2.47)</f>
        <v>2.47</v>
      </c>
      <c r="L1161" s="18">
        <f>IFERROR(__xludf.DUMMYFUNCTION("""COMPUTED_VALUE"""),3.95)</f>
        <v>3.95</v>
      </c>
    </row>
    <row r="1162">
      <c r="A1162" s="13" t="str">
        <f>IFERROR(__xludf.DUMMYFUNCTION("""COMPUTED_VALUE"""),"товари")</f>
        <v>товари</v>
      </c>
      <c r="B1162" s="13" t="str">
        <f>IFERROR(__xludf.DUMMYFUNCTION("""COMPUTED_VALUE"""),"обладнання та товари для надання послуг")</f>
        <v>обладнання та товари для надання послуг</v>
      </c>
      <c r="C1162" s="15" t="str">
        <f>IFERROR(__xludf.DUMMYFUNCTION("""COMPUTED_VALUE"""),"комерційні меблі")</f>
        <v>комерційні меблі</v>
      </c>
      <c r="D1162" s="15" t="str">
        <f>IFERROR(__xludf.DUMMYFUNCTION("""COMPUTED_VALUE"""),"меблі для дошкільних установ")</f>
        <v>меблі для дошкільних установ</v>
      </c>
      <c r="E1162" s="15" t="str">
        <f>IFERROR(__xludf.DUMMYFUNCTION("""COMPUTED_VALUE"""),"дитячі вішалки для рушників")</f>
        <v>дитячі вішалки для рушників</v>
      </c>
      <c r="F1162" s="17">
        <f>IFERROR(__xludf.DUMMYFUNCTION("""COMPUTED_VALUE"""),4.0)</f>
        <v>4</v>
      </c>
      <c r="G1162" s="17">
        <f>IFERROR(__xludf.DUMMYFUNCTION("""COMPUTED_VALUE"""),1.5030815E7)</f>
        <v>15030815</v>
      </c>
      <c r="H1162" s="17" t="str">
        <f>IFERROR(__xludf.DUMMYFUNCTION("""COMPUTED_VALUE"""),"дитячі вішалки для рушників")</f>
        <v>дитячі вішалки для рушників</v>
      </c>
      <c r="I1162" s="18">
        <f>IFERROR(__xludf.DUMMYFUNCTION("""COMPUTED_VALUE"""),1.35)</f>
        <v>1.35</v>
      </c>
      <c r="J1162" s="18">
        <f>IFERROR(__xludf.DUMMYFUNCTION("""COMPUTED_VALUE"""),2.7)</f>
        <v>2.7</v>
      </c>
      <c r="K1162" s="18">
        <f>IFERROR(__xludf.DUMMYFUNCTION("""COMPUTED_VALUE"""),3.38)</f>
        <v>3.38</v>
      </c>
      <c r="L1162" s="18">
        <f>IFERROR(__xludf.DUMMYFUNCTION("""COMPUTED_VALUE"""),5.4)</f>
        <v>5.4</v>
      </c>
    </row>
    <row r="1163">
      <c r="A1163" s="13" t="str">
        <f>IFERROR(__xludf.DUMMYFUNCTION("""COMPUTED_VALUE"""),"товари")</f>
        <v>товари</v>
      </c>
      <c r="B1163" s="13" t="str">
        <f>IFERROR(__xludf.DUMMYFUNCTION("""COMPUTED_VALUE"""),"обладнання та товари для надання послуг")</f>
        <v>обладнання та товари для надання послуг</v>
      </c>
      <c r="C1163" s="15" t="str">
        <f>IFERROR(__xludf.DUMMYFUNCTION("""COMPUTED_VALUE"""),"обладнання для торгівлі")</f>
        <v>обладнання для торгівлі</v>
      </c>
      <c r="D1163" s="15" t="str">
        <f>IFERROR(__xludf.DUMMYFUNCTION("""COMPUTED_VALUE"""),"допоміжне обладнання та аксесуари для торгівлі")</f>
        <v>допоміжне обладнання та аксесуари для торгівлі</v>
      </c>
      <c r="E1163" s="15" t="str">
        <f>IFERROR(__xludf.DUMMYFUNCTION("""COMPUTED_VALUE"""),"допоміжне обладнання для торгівлі, загальне")</f>
        <v>допоміжне обладнання для торгівлі, загальне</v>
      </c>
      <c r="F1163" s="17">
        <f>IFERROR(__xludf.DUMMYFUNCTION("""COMPUTED_VALUE"""),4.0)</f>
        <v>4</v>
      </c>
      <c r="G1163" s="17">
        <f>IFERROR(__xludf.DUMMYFUNCTION("""COMPUTED_VALUE"""),283048.0)</f>
        <v>283048</v>
      </c>
      <c r="H1163" s="17" t="str">
        <f>IFERROR(__xludf.DUMMYFUNCTION("""COMPUTED_VALUE"""),"допоміжне обладнання для торгівлі, загальне")</f>
        <v>допоміжне обладнання для торгівлі, загальне</v>
      </c>
      <c r="I1163" s="18">
        <f>IFERROR(__xludf.DUMMYFUNCTION("""COMPUTED_VALUE"""),2.16)</f>
        <v>2.16</v>
      </c>
      <c r="J1163" s="18">
        <f>IFERROR(__xludf.DUMMYFUNCTION("""COMPUTED_VALUE"""),4.33)</f>
        <v>4.33</v>
      </c>
      <c r="K1163" s="18">
        <f>IFERROR(__xludf.DUMMYFUNCTION("""COMPUTED_VALUE"""),5.41)</f>
        <v>5.41</v>
      </c>
      <c r="L1163" s="18">
        <f>IFERROR(__xludf.DUMMYFUNCTION("""COMPUTED_VALUE"""),8.65)</f>
        <v>8.65</v>
      </c>
    </row>
    <row r="1164">
      <c r="A1164" s="13" t="str">
        <f>IFERROR(__xludf.DUMMYFUNCTION("""COMPUTED_VALUE"""),"товари")</f>
        <v>товари</v>
      </c>
      <c r="B1164" s="13" t="str">
        <f>IFERROR(__xludf.DUMMYFUNCTION("""COMPUTED_VALUE"""),"обладнання та товари для надання послуг")</f>
        <v>обладнання та товари для надання послуг</v>
      </c>
      <c r="C1164" s="15" t="str">
        <f>IFERROR(__xludf.DUMMYFUNCTION("""COMPUTED_VALUE"""),"обладнання та матеріали для друкарні")</f>
        <v>обладнання та матеріали для друкарні</v>
      </c>
      <c r="D1164" s="15" t="str">
        <f>IFERROR(__xludf.DUMMYFUNCTION("""COMPUTED_VALUE"""),"друкарське устаткування")</f>
        <v>друкарське устаткування</v>
      </c>
      <c r="E1164" s="15" t="str">
        <f>IFERROR(__xludf.DUMMYFUNCTION("""COMPUTED_VALUE"""),"друкарське устаткування, загальне")</f>
        <v>друкарське устаткування, загальне</v>
      </c>
      <c r="F1164" s="17">
        <f>IFERROR(__xludf.DUMMYFUNCTION("""COMPUTED_VALUE"""),4.0)</f>
        <v>4</v>
      </c>
      <c r="G1164" s="17">
        <f>IFERROR(__xludf.DUMMYFUNCTION("""COMPUTED_VALUE"""),2.3090203E7)</f>
        <v>23090203</v>
      </c>
      <c r="H1164" s="17" t="str">
        <f>IFERROR(__xludf.DUMMYFUNCTION("""COMPUTED_VALUE"""),"друкарське устаткування, загальне")</f>
        <v>друкарське устаткування, загальне</v>
      </c>
      <c r="I1164" s="18">
        <f>IFERROR(__xludf.DUMMYFUNCTION("""COMPUTED_VALUE"""),2.16)</f>
        <v>2.16</v>
      </c>
      <c r="J1164" s="18">
        <f>IFERROR(__xludf.DUMMYFUNCTION("""COMPUTED_VALUE"""),4.33)</f>
        <v>4.33</v>
      </c>
      <c r="K1164" s="18">
        <f>IFERROR(__xludf.DUMMYFUNCTION("""COMPUTED_VALUE"""),5.41)</f>
        <v>5.41</v>
      </c>
      <c r="L1164" s="18">
        <f>IFERROR(__xludf.DUMMYFUNCTION("""COMPUTED_VALUE"""),8.65)</f>
        <v>8.65</v>
      </c>
    </row>
    <row r="1165">
      <c r="A1165" s="13" t="str">
        <f>IFERROR(__xludf.DUMMYFUNCTION("""COMPUTED_VALUE"""),"товари")</f>
        <v>товари</v>
      </c>
      <c r="B1165" s="13" t="str">
        <f>IFERROR(__xludf.DUMMYFUNCTION("""COMPUTED_VALUE"""),"обладнання та товари для надання послуг")</f>
        <v>обладнання та товари для надання послуг</v>
      </c>
      <c r="C1165" s="15" t="str">
        <f>IFERROR(__xludf.DUMMYFUNCTION("""COMPUTED_VALUE"""),"банківське обладнання")</f>
        <v>банківське обладнання</v>
      </c>
      <c r="D1165" s="15" t="str">
        <f>IFERROR(__xludf.DUMMYFUNCTION("""COMPUTED_VALUE"""),"запчастини і комплектуючі для банківського обладнання")</f>
        <v>запчастини і комплектуючі для банківського обладнання</v>
      </c>
      <c r="E1165" s="15" t="str">
        <f>IFERROR(__xludf.DUMMYFUNCTION("""COMPUTED_VALUE"""),"запчастини і комплектуючі для банківського обладнання")</f>
        <v>запчастини і комплектуючі для банківського обладнання</v>
      </c>
      <c r="F1165" s="17">
        <f>IFERROR(__xludf.DUMMYFUNCTION("""COMPUTED_VALUE"""),3.0)</f>
        <v>3</v>
      </c>
      <c r="G1165" s="17">
        <f>IFERROR(__xludf.DUMMYFUNCTION("""COMPUTED_VALUE"""),51010.0)</f>
        <v>51010</v>
      </c>
      <c r="H1165" s="17" t="str">
        <f>IFERROR(__xludf.DUMMYFUNCTION("""COMPUTED_VALUE"""),"запчастини і комплектуючі для банківського обладнання")</f>
        <v>запчастини і комплектуючі для банківського обладнання</v>
      </c>
      <c r="I1165" s="18">
        <f>IFERROR(__xludf.DUMMYFUNCTION("""COMPUTED_VALUE"""),1.39)</f>
        <v>1.39</v>
      </c>
      <c r="J1165" s="18">
        <f>IFERROR(__xludf.DUMMYFUNCTION("""COMPUTED_VALUE"""),2.79)</f>
        <v>2.79</v>
      </c>
      <c r="K1165" s="18">
        <f>IFERROR(__xludf.DUMMYFUNCTION("""COMPUTED_VALUE"""),3.48)</f>
        <v>3.48</v>
      </c>
      <c r="L1165" s="18">
        <f>IFERROR(__xludf.DUMMYFUNCTION("""COMPUTED_VALUE"""),5.58)</f>
        <v>5.58</v>
      </c>
    </row>
    <row r="1166">
      <c r="A1166" s="13" t="str">
        <f>IFERROR(__xludf.DUMMYFUNCTION("""COMPUTED_VALUE"""),"товари")</f>
        <v>товари</v>
      </c>
      <c r="B1166" s="13" t="str">
        <f>IFERROR(__xludf.DUMMYFUNCTION("""COMPUTED_VALUE"""),"обладнання та товари для надання послуг")</f>
        <v>обладнання та товари для надання послуг</v>
      </c>
      <c r="C1166" s="15" t="str">
        <f>IFERROR(__xludf.DUMMYFUNCTION("""COMPUTED_VALUE"""),"релігійні і езотеричні товари")</f>
        <v>релігійні і езотеричні товари</v>
      </c>
      <c r="D1166" s="15" t="str">
        <f>IFERROR(__xludf.DUMMYFUNCTION("""COMPUTED_VALUE"""),"іконостаси")</f>
        <v>іконостаси</v>
      </c>
      <c r="E1166" s="15" t="str">
        <f>IFERROR(__xludf.DUMMYFUNCTION("""COMPUTED_VALUE"""),"іконостаси")</f>
        <v>іконостаси</v>
      </c>
      <c r="F1166" s="17">
        <f>IFERROR(__xludf.DUMMYFUNCTION("""COMPUTED_VALUE"""),3.0)</f>
        <v>3</v>
      </c>
      <c r="G1166" s="17">
        <f>IFERROR(__xludf.DUMMYFUNCTION("""COMPUTED_VALUE"""),172403.0)</f>
        <v>172403</v>
      </c>
      <c r="H1166" s="17" t="str">
        <f>IFERROR(__xludf.DUMMYFUNCTION("""COMPUTED_VALUE"""),"іконостаси")</f>
        <v>іконостаси</v>
      </c>
      <c r="I1166" s="18">
        <f>IFERROR(__xludf.DUMMYFUNCTION("""COMPUTED_VALUE"""),1.17)</f>
        <v>1.17</v>
      </c>
      <c r="J1166" s="18">
        <f>IFERROR(__xludf.DUMMYFUNCTION("""COMPUTED_VALUE"""),2.34)</f>
        <v>2.34</v>
      </c>
      <c r="K1166" s="18">
        <f>IFERROR(__xludf.DUMMYFUNCTION("""COMPUTED_VALUE"""),2.92)</f>
        <v>2.92</v>
      </c>
      <c r="L1166" s="18">
        <f>IFERROR(__xludf.DUMMYFUNCTION("""COMPUTED_VALUE"""),4.68)</f>
        <v>4.68</v>
      </c>
    </row>
    <row r="1167">
      <c r="A1167" s="13" t="str">
        <f>IFERROR(__xludf.DUMMYFUNCTION("""COMPUTED_VALUE"""),"товари")</f>
        <v>товари</v>
      </c>
      <c r="B1167" s="13" t="str">
        <f>IFERROR(__xludf.DUMMYFUNCTION("""COMPUTED_VALUE"""),"обладнання та товари для надання послуг")</f>
        <v>обладнання та товари для надання послуг</v>
      </c>
      <c r="C1167" s="15" t="str">
        <f>IFERROR(__xludf.DUMMYFUNCTION("""COMPUTED_VALUE"""),"вендінгове і розважальне обладнання")</f>
        <v>вендінгове і розважальне обладнання</v>
      </c>
      <c r="D1167" s="15" t="str">
        <f>IFERROR(__xludf.DUMMYFUNCTION("""COMPUTED_VALUE"""),"інвентар для більярду")</f>
        <v>інвентар для більярду</v>
      </c>
      <c r="E1167" s="15" t="str">
        <f>IFERROR(__xludf.DUMMYFUNCTION("""COMPUTED_VALUE"""),"інвентар для більярду, загальне")</f>
        <v>інвентар для більярду, загальне</v>
      </c>
      <c r="F1167" s="17">
        <f>IFERROR(__xludf.DUMMYFUNCTION("""COMPUTED_VALUE"""),4.0)</f>
        <v>4</v>
      </c>
      <c r="G1167" s="17">
        <f>IFERROR(__xludf.DUMMYFUNCTION("""COMPUTED_VALUE"""),203213.0)</f>
        <v>203213</v>
      </c>
      <c r="H1167" s="17" t="str">
        <f>IFERROR(__xludf.DUMMYFUNCTION("""COMPUTED_VALUE"""),"інвентар для більярду, загальне")</f>
        <v>інвентар для більярду, загальне</v>
      </c>
      <c r="I1167" s="18">
        <f>IFERROR(__xludf.DUMMYFUNCTION("""COMPUTED_VALUE"""),2.16)</f>
        <v>2.16</v>
      </c>
      <c r="J1167" s="18">
        <f>IFERROR(__xludf.DUMMYFUNCTION("""COMPUTED_VALUE"""),4.33)</f>
        <v>4.33</v>
      </c>
      <c r="K1167" s="18">
        <f>IFERROR(__xludf.DUMMYFUNCTION("""COMPUTED_VALUE"""),5.41)</f>
        <v>5.41</v>
      </c>
      <c r="L1167" s="18">
        <f>IFERROR(__xludf.DUMMYFUNCTION("""COMPUTED_VALUE"""),8.65)</f>
        <v>8.65</v>
      </c>
    </row>
    <row r="1168">
      <c r="A1168" s="13" t="str">
        <f>IFERROR(__xludf.DUMMYFUNCTION("""COMPUTED_VALUE"""),"товари")</f>
        <v>товари</v>
      </c>
      <c r="B1168" s="13" t="str">
        <f>IFERROR(__xludf.DUMMYFUNCTION("""COMPUTED_VALUE"""),"обладнання та товари для надання послуг")</f>
        <v>обладнання та товари для надання послуг</v>
      </c>
      <c r="C1168" s="15" t="str">
        <f>IFERROR(__xludf.DUMMYFUNCTION("""COMPUTED_VALUE"""),"обладнання для автосервісу")</f>
        <v>обладнання для автосервісу</v>
      </c>
      <c r="D1168" s="15" t="str">
        <f>IFERROR(__xludf.DUMMYFUNCTION("""COMPUTED_VALUE"""),"шиномонтажне обладнання")</f>
        <v>шиномонтажне обладнання</v>
      </c>
      <c r="E1168" s="15" t="str">
        <f>IFERROR(__xludf.DUMMYFUNCTION("""COMPUTED_VALUE"""),"інструменти для нарізки протектора")</f>
        <v>інструменти для нарізки протектора</v>
      </c>
      <c r="F1168" s="17">
        <f>IFERROR(__xludf.DUMMYFUNCTION("""COMPUTED_VALUE"""),4.0)</f>
        <v>4</v>
      </c>
      <c r="G1168" s="17">
        <f>IFERROR(__xludf.DUMMYFUNCTION("""COMPUTED_VALUE"""),1.211011E7)</f>
        <v>12110110</v>
      </c>
      <c r="H1168" s="17" t="str">
        <f>IFERROR(__xludf.DUMMYFUNCTION("""COMPUTED_VALUE"""),"інструменти для нарізки протектора")</f>
        <v>інструменти для нарізки протектора</v>
      </c>
      <c r="I1168" s="18">
        <f>IFERROR(__xludf.DUMMYFUNCTION("""COMPUTED_VALUE"""),1.62)</f>
        <v>1.62</v>
      </c>
      <c r="J1168" s="18">
        <f>IFERROR(__xludf.DUMMYFUNCTION("""COMPUTED_VALUE"""),3.24)</f>
        <v>3.24</v>
      </c>
      <c r="K1168" s="18">
        <f>IFERROR(__xludf.DUMMYFUNCTION("""COMPUTED_VALUE"""),4.05)</f>
        <v>4.05</v>
      </c>
      <c r="L1168" s="18">
        <f>IFERROR(__xludf.DUMMYFUNCTION("""COMPUTED_VALUE"""),6.48)</f>
        <v>6.48</v>
      </c>
    </row>
    <row r="1169">
      <c r="A1169" s="13" t="str">
        <f>IFERROR(__xludf.DUMMYFUNCTION("""COMPUTED_VALUE"""),"товари")</f>
        <v>товари</v>
      </c>
      <c r="B1169" s="13" t="str">
        <f>IFERROR(__xludf.DUMMYFUNCTION("""COMPUTED_VALUE"""),"обладнання та товари для надання послуг")</f>
        <v>обладнання та товари для надання послуг</v>
      </c>
      <c r="C1169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169" s="15" t="str">
        <f>IFERROR(__xludf.DUMMYFUNCTION("""COMPUTED_VALUE"""),"інтерактивне обладнання")</f>
        <v>інтерактивне обладнання</v>
      </c>
      <c r="E1169" s="15" t="str">
        <f>IFERROR(__xludf.DUMMYFUNCTION("""COMPUTED_VALUE"""),"інтерактивне обладнання")</f>
        <v>інтерактивне обладнання</v>
      </c>
      <c r="F1169" s="17">
        <f>IFERROR(__xludf.DUMMYFUNCTION("""COMPUTED_VALUE"""),3.0)</f>
        <v>3</v>
      </c>
      <c r="G1169" s="17">
        <f>IFERROR(__xludf.DUMMYFUNCTION("""COMPUTED_VALUE"""),282970.0)</f>
        <v>282970</v>
      </c>
      <c r="H1169" s="17" t="str">
        <f>IFERROR(__xludf.DUMMYFUNCTION("""COMPUTED_VALUE"""),"інтерактивне обладнання")</f>
        <v>інтерактивне обладнання</v>
      </c>
      <c r="I1169" s="18">
        <f>IFERROR(__xludf.DUMMYFUNCTION("""COMPUTED_VALUE"""),2.07)</f>
        <v>2.07</v>
      </c>
      <c r="J1169" s="18">
        <f>IFERROR(__xludf.DUMMYFUNCTION("""COMPUTED_VALUE"""),4.14)</f>
        <v>4.14</v>
      </c>
      <c r="K1169" s="18">
        <f>IFERROR(__xludf.DUMMYFUNCTION("""COMPUTED_VALUE"""),5.17)</f>
        <v>5.17</v>
      </c>
      <c r="L1169" s="18">
        <f>IFERROR(__xludf.DUMMYFUNCTION("""COMPUTED_VALUE"""),8.28)</f>
        <v>8.28</v>
      </c>
    </row>
    <row r="1170">
      <c r="A1170" s="13" t="str">
        <f>IFERROR(__xludf.DUMMYFUNCTION("""COMPUTED_VALUE"""),"товари")</f>
        <v>товари</v>
      </c>
      <c r="B1170" s="13" t="str">
        <f>IFERROR(__xludf.DUMMYFUNCTION("""COMPUTED_VALUE"""),"обладнання та товари для надання послуг")</f>
        <v>обладнання та товари для надання послуг</v>
      </c>
      <c r="C1170" s="15" t="str">
        <f>IFERROR(__xludf.DUMMYFUNCTION("""COMPUTED_VALUE"""),"обладнання для навчальних закладів")</f>
        <v>обладнання для навчальних закладів</v>
      </c>
      <c r="D1170" s="15" t="str">
        <f>IFERROR(__xludf.DUMMYFUNCTION("""COMPUTED_VALUE"""),"інформаційні стенди")</f>
        <v>інформаційні стенди</v>
      </c>
      <c r="E1170" s="15" t="str">
        <f>IFERROR(__xludf.DUMMYFUNCTION("""COMPUTED_VALUE"""),"інформаційні стенди")</f>
        <v>інформаційні стенди</v>
      </c>
      <c r="F1170" s="17">
        <f>IFERROR(__xludf.DUMMYFUNCTION("""COMPUTED_VALUE"""),3.0)</f>
        <v>3</v>
      </c>
      <c r="G1170" s="17">
        <f>IFERROR(__xludf.DUMMYFUNCTION("""COMPUTED_VALUE"""),282917.0)</f>
        <v>282917</v>
      </c>
      <c r="H1170" s="17" t="str">
        <f>IFERROR(__xludf.DUMMYFUNCTION("""COMPUTED_VALUE"""),"інформаційні стенди")</f>
        <v>інформаційні стенди</v>
      </c>
      <c r="I1170" s="18">
        <f>IFERROR(__xludf.DUMMYFUNCTION("""COMPUTED_VALUE"""),1.35)</f>
        <v>1.35</v>
      </c>
      <c r="J1170" s="18">
        <f>IFERROR(__xludf.DUMMYFUNCTION("""COMPUTED_VALUE"""),2.7)</f>
        <v>2.7</v>
      </c>
      <c r="K1170" s="18">
        <f>IFERROR(__xludf.DUMMYFUNCTION("""COMPUTED_VALUE"""),3.38)</f>
        <v>3.38</v>
      </c>
      <c r="L1170" s="18">
        <f>IFERROR(__xludf.DUMMYFUNCTION("""COMPUTED_VALUE"""),5.4)</f>
        <v>5.4</v>
      </c>
    </row>
    <row r="1171">
      <c r="A1171" s="13" t="str">
        <f>IFERROR(__xludf.DUMMYFUNCTION("""COMPUTED_VALUE"""),"товари")</f>
        <v>товари</v>
      </c>
      <c r="B1171" s="13" t="str">
        <f>IFERROR(__xludf.DUMMYFUNCTION("""COMPUTED_VALUE"""),"обладнання та товари для надання послуг")</f>
        <v>обладнання та товари для надання послуг</v>
      </c>
      <c r="C1171" s="15" t="str">
        <f>IFERROR(__xludf.DUMMYFUNCTION("""COMPUTED_VALUE"""),"вендінгове і розважальне обладнання")</f>
        <v>вендінгове і розважальне обладнання</v>
      </c>
      <c r="D1171" s="15" t="str">
        <f>IFERROR(__xludf.DUMMYFUNCTION("""COMPUTED_VALUE"""),"обладнання для заходів і клубів")</f>
        <v>обладнання для заходів і клубів</v>
      </c>
      <c r="E1171" s="15" t="str">
        <f>IFERROR(__xludf.DUMMYFUNCTION("""COMPUTED_VALUE"""),"караоке системи")</f>
        <v>караоке системи</v>
      </c>
      <c r="F1171" s="17">
        <f>IFERROR(__xludf.DUMMYFUNCTION("""COMPUTED_VALUE"""),4.0)</f>
        <v>4</v>
      </c>
      <c r="G1171" s="17">
        <f>IFERROR(__xludf.DUMMYFUNCTION("""COMPUTED_VALUE"""),283056.0)</f>
        <v>283056</v>
      </c>
      <c r="H1171" s="17" t="str">
        <f>IFERROR(__xludf.DUMMYFUNCTION("""COMPUTED_VALUE"""),"караоке системи")</f>
        <v>караоке системи</v>
      </c>
      <c r="I1171" s="18">
        <f>IFERROR(__xludf.DUMMYFUNCTION("""COMPUTED_VALUE"""),1.31)</f>
        <v>1.31</v>
      </c>
      <c r="J1171" s="18">
        <f>IFERROR(__xludf.DUMMYFUNCTION("""COMPUTED_VALUE"""),2.61)</f>
        <v>2.61</v>
      </c>
      <c r="K1171" s="18">
        <f>IFERROR(__xludf.DUMMYFUNCTION("""COMPUTED_VALUE"""),3.27)</f>
        <v>3.27</v>
      </c>
      <c r="L1171" s="18">
        <f>IFERROR(__xludf.DUMMYFUNCTION("""COMPUTED_VALUE"""),5.23)</f>
        <v>5.23</v>
      </c>
    </row>
    <row r="1172">
      <c r="A1172" s="13" t="str">
        <f>IFERROR(__xludf.DUMMYFUNCTION("""COMPUTED_VALUE"""),"товари")</f>
        <v>товари</v>
      </c>
      <c r="B1172" s="13" t="str">
        <f>IFERROR(__xludf.DUMMYFUNCTION("""COMPUTED_VALUE"""),"обладнання та товари для надання послуг")</f>
        <v>обладнання та товари для надання послуг</v>
      </c>
      <c r="C1172" s="15" t="str">
        <f>IFERROR(__xludf.DUMMYFUNCTION("""COMPUTED_VALUE"""),"обладнання для торгівлі")</f>
        <v>обладнання для торгівлі</v>
      </c>
      <c r="D1172" s="15" t="str">
        <f>IFERROR(__xludf.DUMMYFUNCTION("""COMPUTED_VALUE"""),"касове/прикасове обладнання")</f>
        <v>касове/прикасове обладнання</v>
      </c>
      <c r="E1172" s="15" t="str">
        <f>IFERROR(__xludf.DUMMYFUNCTION("""COMPUTED_VALUE"""),"касові бокси")</f>
        <v>касові бокси</v>
      </c>
      <c r="F1172" s="17">
        <f>IFERROR(__xludf.DUMMYFUNCTION("""COMPUTED_VALUE"""),4.0)</f>
        <v>4</v>
      </c>
      <c r="G1172" s="17">
        <f>IFERROR(__xludf.DUMMYFUNCTION("""COMPUTED_VALUE"""),1.5031604E7)</f>
        <v>15031604</v>
      </c>
      <c r="H1172" s="17" t="str">
        <f>IFERROR(__xludf.DUMMYFUNCTION("""COMPUTED_VALUE"""),"касові бокси")</f>
        <v>касові бокси</v>
      </c>
      <c r="I1172" s="18">
        <f>IFERROR(__xludf.DUMMYFUNCTION("""COMPUTED_VALUE"""),2.21)</f>
        <v>2.21</v>
      </c>
      <c r="J1172" s="18">
        <f>IFERROR(__xludf.DUMMYFUNCTION("""COMPUTED_VALUE"""),4.43)</f>
        <v>4.43</v>
      </c>
      <c r="K1172" s="18">
        <f>IFERROR(__xludf.DUMMYFUNCTION("""COMPUTED_VALUE"""),5.53)</f>
        <v>5.53</v>
      </c>
      <c r="L1172" s="18">
        <f>IFERROR(__xludf.DUMMYFUNCTION("""COMPUTED_VALUE"""),8.85)</f>
        <v>8.85</v>
      </c>
    </row>
    <row r="1173">
      <c r="A1173" s="13" t="str">
        <f>IFERROR(__xludf.DUMMYFUNCTION("""COMPUTED_VALUE"""),"товари")</f>
        <v>товари</v>
      </c>
      <c r="B1173" s="13" t="str">
        <f>IFERROR(__xludf.DUMMYFUNCTION("""COMPUTED_VALUE"""),"обладнання та товари для надання послуг")</f>
        <v>обладнання та товари для надання послуг</v>
      </c>
      <c r="C1173" s="15" t="str">
        <f>IFERROR(__xludf.DUMMYFUNCTION("""COMPUTED_VALUE"""),"обладнання та матеріали для друкарні")</f>
        <v>обладнання та матеріали для друкарні</v>
      </c>
      <c r="D1173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1173" s="15" t="str">
        <f>IFERROR(__xludf.DUMMYFUNCTION("""COMPUTED_VALUE"""),"клейові машини")</f>
        <v>клейові машини</v>
      </c>
      <c r="F1173" s="17">
        <f>IFERROR(__xludf.DUMMYFUNCTION("""COMPUTED_VALUE"""),4.0)</f>
        <v>4</v>
      </c>
      <c r="G1173" s="17">
        <f>IFERROR(__xludf.DUMMYFUNCTION("""COMPUTED_VALUE"""),230916.0)</f>
        <v>230916</v>
      </c>
      <c r="H1173" s="17" t="str">
        <f>IFERROR(__xludf.DUMMYFUNCTION("""COMPUTED_VALUE"""),"клейові машини")</f>
        <v>клейові машини</v>
      </c>
      <c r="I1173" s="18">
        <f>IFERROR(__xludf.DUMMYFUNCTION("""COMPUTED_VALUE"""),1.62)</f>
        <v>1.62</v>
      </c>
      <c r="J1173" s="18">
        <f>IFERROR(__xludf.DUMMYFUNCTION("""COMPUTED_VALUE"""),3.24)</f>
        <v>3.24</v>
      </c>
      <c r="K1173" s="18">
        <f>IFERROR(__xludf.DUMMYFUNCTION("""COMPUTED_VALUE"""),4.05)</f>
        <v>4.05</v>
      </c>
      <c r="L1173" s="18">
        <f>IFERROR(__xludf.DUMMYFUNCTION("""COMPUTED_VALUE"""),6.48)</f>
        <v>6.48</v>
      </c>
    </row>
    <row r="1174">
      <c r="A1174" s="13" t="str">
        <f>IFERROR(__xludf.DUMMYFUNCTION("""COMPUTED_VALUE"""),"товари")</f>
        <v>товари</v>
      </c>
      <c r="B1174" s="13" t="str">
        <f>IFERROR(__xludf.DUMMYFUNCTION("""COMPUTED_VALUE"""),"обладнання та товари для надання послуг")</f>
        <v>обладнання та товари для надання послуг</v>
      </c>
      <c r="C1174" s="15" t="str">
        <f>IFERROR(__xludf.DUMMYFUNCTION("""COMPUTED_VALUE"""),"обладнання та матеріали для друкарні")</f>
        <v>обладнання та матеріали для друкарні</v>
      </c>
      <c r="D1174" s="15" t="str">
        <f>IFERROR(__xludf.DUMMYFUNCTION("""COMPUTED_VALUE"""),"технічні засоби управління кольором")</f>
        <v>технічні засоби управління кольором</v>
      </c>
      <c r="E1174" s="15" t="str">
        <f>IFERROR(__xludf.DUMMYFUNCTION("""COMPUTED_VALUE"""),"кольорокалібрувальне обладнання")</f>
        <v>кольорокалібрувальне обладнання</v>
      </c>
      <c r="F1174" s="17">
        <f>IFERROR(__xludf.DUMMYFUNCTION("""COMPUTED_VALUE"""),4.0)</f>
        <v>4</v>
      </c>
      <c r="G1174" s="17">
        <f>IFERROR(__xludf.DUMMYFUNCTION("""COMPUTED_VALUE"""),6370606.0)</f>
        <v>6370606</v>
      </c>
      <c r="H1174" s="17" t="str">
        <f>IFERROR(__xludf.DUMMYFUNCTION("""COMPUTED_VALUE"""),"кольорокалібрувальне обладнання")</f>
        <v>кольорокалібрувальне обладнання</v>
      </c>
      <c r="I1174" s="18">
        <f>IFERROR(__xludf.DUMMYFUNCTION("""COMPUTED_VALUE"""),0.86)</f>
        <v>0.86</v>
      </c>
      <c r="J1174" s="18">
        <f>IFERROR(__xludf.DUMMYFUNCTION("""COMPUTED_VALUE"""),1.71)</f>
        <v>1.71</v>
      </c>
      <c r="K1174" s="18">
        <f>IFERROR(__xludf.DUMMYFUNCTION("""COMPUTED_VALUE"""),2.14)</f>
        <v>2.14</v>
      </c>
      <c r="L1174" s="18">
        <f>IFERROR(__xludf.DUMMYFUNCTION("""COMPUTED_VALUE"""),3.43)</f>
        <v>3.43</v>
      </c>
    </row>
    <row r="1175">
      <c r="A1175" s="13" t="str">
        <f>IFERROR(__xludf.DUMMYFUNCTION("""COMPUTED_VALUE"""),"товари")</f>
        <v>товари</v>
      </c>
      <c r="B1175" s="13" t="str">
        <f>IFERROR(__xludf.DUMMYFUNCTION("""COMPUTED_VALUE"""),"обладнання та товари для надання послуг")</f>
        <v>обладнання та товари для надання послуг</v>
      </c>
      <c r="C1175" s="15" t="str">
        <f>IFERROR(__xludf.DUMMYFUNCTION("""COMPUTED_VALUE"""),"обладнання та матеріали для друкарні")</f>
        <v>обладнання та матеріали для друкарні</v>
      </c>
      <c r="D1175" s="15" t="str">
        <f>IFERROR(__xludf.DUMMYFUNCTION("""COMPUTED_VALUE"""),"комплектуючі для друкарського обладнання")</f>
        <v>комплектуючі для друкарського обладнання</v>
      </c>
      <c r="E1175" s="15" t="str">
        <f>IFERROR(__xludf.DUMMYFUNCTION("""COMPUTED_VALUE"""),"комплектуючі для друкарського обладнання")</f>
        <v>комплектуючі для друкарського обладнання</v>
      </c>
      <c r="F1175" s="17">
        <f>IFERROR(__xludf.DUMMYFUNCTION("""COMPUTED_VALUE"""),3.0)</f>
        <v>3</v>
      </c>
      <c r="G1175" s="17">
        <f>IFERROR(__xludf.DUMMYFUNCTION("""COMPUTED_VALUE"""),432422.0)</f>
        <v>432422</v>
      </c>
      <c r="H1175" s="17" t="str">
        <f>IFERROR(__xludf.DUMMYFUNCTION("""COMPUTED_VALUE"""),"комплектуючі для друкарського обладнання")</f>
        <v>комплектуючі для друкарського обладнання</v>
      </c>
      <c r="I1175" s="18">
        <f>IFERROR(__xludf.DUMMYFUNCTION("""COMPUTED_VALUE"""),1.84)</f>
        <v>1.84</v>
      </c>
      <c r="J1175" s="18">
        <f>IFERROR(__xludf.DUMMYFUNCTION("""COMPUTED_VALUE"""),3.69)</f>
        <v>3.69</v>
      </c>
      <c r="K1175" s="18">
        <f>IFERROR(__xludf.DUMMYFUNCTION("""COMPUTED_VALUE"""),4.61)</f>
        <v>4.61</v>
      </c>
      <c r="L1175" s="18">
        <f>IFERROR(__xludf.DUMMYFUNCTION("""COMPUTED_VALUE"""),7.38)</f>
        <v>7.38</v>
      </c>
    </row>
    <row r="1176">
      <c r="A1176" s="13" t="str">
        <f>IFERROR(__xludf.DUMMYFUNCTION("""COMPUTED_VALUE"""),"товари")</f>
        <v>товари</v>
      </c>
      <c r="B1176" s="13" t="str">
        <f>IFERROR(__xludf.DUMMYFUNCTION("""COMPUTED_VALUE"""),"обладнання та товари для надання послуг")</f>
        <v>обладнання та товари для надання послуг</v>
      </c>
      <c r="C1176" s="15" t="str">
        <f>IFERROR(__xludf.DUMMYFUNCTION("""COMPUTED_VALUE"""),"обладнання для торгівлі")</f>
        <v>обладнання для торгівлі</v>
      </c>
      <c r="D1176" s="15" t="str">
        <f>IFERROR(__xludf.DUMMYFUNCTION("""COMPUTED_VALUE"""),"касове/прикасове обладнання")</f>
        <v>касове/прикасове обладнання</v>
      </c>
      <c r="E1176" s="15" t="str">
        <f>IFERROR(__xludf.DUMMYFUNCTION("""COMPUTED_VALUE"""),"комплектуючі для касового обладнання")</f>
        <v>комплектуючі для касового обладнання</v>
      </c>
      <c r="F1176" s="17">
        <f>IFERROR(__xludf.DUMMYFUNCTION("""COMPUTED_VALUE"""),4.0)</f>
        <v>4</v>
      </c>
      <c r="G1176" s="17">
        <f>IFERROR(__xludf.DUMMYFUNCTION("""COMPUTED_VALUE"""),283041.0)</f>
        <v>283041</v>
      </c>
      <c r="H1176" s="17" t="str">
        <f>IFERROR(__xludf.DUMMYFUNCTION("""COMPUTED_VALUE"""),"комплектуючі для касового обладнання")</f>
        <v>комплектуючі для касового обладнання</v>
      </c>
      <c r="I1176" s="18">
        <f>IFERROR(__xludf.DUMMYFUNCTION("""COMPUTED_VALUE"""),2.21)</f>
        <v>2.21</v>
      </c>
      <c r="J1176" s="18">
        <f>IFERROR(__xludf.DUMMYFUNCTION("""COMPUTED_VALUE"""),4.43)</f>
        <v>4.43</v>
      </c>
      <c r="K1176" s="18">
        <f>IFERROR(__xludf.DUMMYFUNCTION("""COMPUTED_VALUE"""),5.53)</f>
        <v>5.53</v>
      </c>
      <c r="L1176" s="18">
        <f>IFERROR(__xludf.DUMMYFUNCTION("""COMPUTED_VALUE"""),8.85)</f>
        <v>8.85</v>
      </c>
    </row>
    <row r="1177">
      <c r="A1177" s="13" t="str">
        <f>IFERROR(__xludf.DUMMYFUNCTION("""COMPUTED_VALUE"""),"товари")</f>
        <v>товари</v>
      </c>
      <c r="B1177" s="13" t="str">
        <f>IFERROR(__xludf.DUMMYFUNCTION("""COMPUTED_VALUE"""),"обладнання та товари для надання послуг")</f>
        <v>обладнання та товари для надання послуг</v>
      </c>
      <c r="C1177" s="15" t="str">
        <f>IFERROR(__xludf.DUMMYFUNCTION("""COMPUTED_VALUE"""),"вендінгове і розважальне обладнання")</f>
        <v>вендінгове і розважальне обладнання</v>
      </c>
      <c r="D1177" s="15" t="str">
        <f>IFERROR(__xludf.DUMMYFUNCTION("""COMPUTED_VALUE"""),"комплектуючі до вендингові обладнання та гральних автоматів")</f>
        <v>комплектуючі до вендингові обладнання та гральних автоматів</v>
      </c>
      <c r="E1177" s="15" t="str">
        <f>IFERROR(__xludf.DUMMYFUNCTION("""COMPUTED_VALUE"""),"комплектуючі до вендингові обладнання та гральних автоматів")</f>
        <v>комплектуючі до вендингові обладнання та гральних автоматів</v>
      </c>
      <c r="F1177" s="17">
        <f>IFERROR(__xludf.DUMMYFUNCTION("""COMPUTED_VALUE"""),3.0)</f>
        <v>3</v>
      </c>
      <c r="G1177" s="17">
        <f>IFERROR(__xludf.DUMMYFUNCTION("""COMPUTED_VALUE"""),283029.0)</f>
        <v>283029</v>
      </c>
      <c r="H1177" s="17" t="str">
        <f>IFERROR(__xludf.DUMMYFUNCTION("""COMPUTED_VALUE"""),"комплектуючі до вендингові обладнання та гральних автоматів")</f>
        <v>комплектуючі до вендингові обладнання та гральних автоматів</v>
      </c>
      <c r="I1177" s="18">
        <f>IFERROR(__xludf.DUMMYFUNCTION("""COMPUTED_VALUE"""),0.72)</f>
        <v>0.72</v>
      </c>
      <c r="J1177" s="18">
        <f>IFERROR(__xludf.DUMMYFUNCTION("""COMPUTED_VALUE"""),1.44)</f>
        <v>1.44</v>
      </c>
      <c r="K1177" s="18">
        <f>IFERROR(__xludf.DUMMYFUNCTION("""COMPUTED_VALUE"""),1.8)</f>
        <v>1.8</v>
      </c>
      <c r="L1177" s="18">
        <f>IFERROR(__xludf.DUMMYFUNCTION("""COMPUTED_VALUE"""),2.88)</f>
        <v>2.88</v>
      </c>
    </row>
    <row r="1178">
      <c r="A1178" s="13" t="str">
        <f>IFERROR(__xludf.DUMMYFUNCTION("""COMPUTED_VALUE"""),"товари")</f>
        <v>товари</v>
      </c>
      <c r="B1178" s="13" t="str">
        <f>IFERROR(__xludf.DUMMYFUNCTION("""COMPUTED_VALUE"""),"обладнання та товари для надання послуг")</f>
        <v>обладнання та товари для надання послуг</v>
      </c>
      <c r="C1178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178" s="15" t="str">
        <f>IFERROR(__xludf.DUMMYFUNCTION("""COMPUTED_VALUE"""),"кріплення і аксесуари для рекламних конструкцій")</f>
        <v>кріплення і аксесуари для рекламних конструкцій</v>
      </c>
      <c r="E1178" s="15" t="str">
        <f>IFERROR(__xludf.DUMMYFUNCTION("""COMPUTED_VALUE"""),"кріплення і аксесуари для рекламних конструкцій")</f>
        <v>кріплення і аксесуари для рекламних конструкцій</v>
      </c>
      <c r="F1178" s="17">
        <f>IFERROR(__xludf.DUMMYFUNCTION("""COMPUTED_VALUE"""),3.0)</f>
        <v>3</v>
      </c>
      <c r="G1178" s="17">
        <f>IFERROR(__xludf.DUMMYFUNCTION("""COMPUTED_VALUE"""),2501.0)</f>
        <v>2501</v>
      </c>
      <c r="H1178" s="17" t="str">
        <f>IFERROR(__xludf.DUMMYFUNCTION("""COMPUTED_VALUE"""),"кріплення і аксесуари для рекламних конструкцій")</f>
        <v>кріплення і аксесуари для рекламних конструкцій</v>
      </c>
      <c r="I1178" s="18">
        <f>IFERROR(__xludf.DUMMYFUNCTION("""COMPUTED_VALUE"""),1.08)</f>
        <v>1.08</v>
      </c>
      <c r="J1178" s="18">
        <f>IFERROR(__xludf.DUMMYFUNCTION("""COMPUTED_VALUE"""),2.16)</f>
        <v>2.16</v>
      </c>
      <c r="K1178" s="18">
        <f>IFERROR(__xludf.DUMMYFUNCTION("""COMPUTED_VALUE"""),2.7)</f>
        <v>2.7</v>
      </c>
      <c r="L1178" s="18">
        <f>IFERROR(__xludf.DUMMYFUNCTION("""COMPUTED_VALUE"""),4.33)</f>
        <v>4.33</v>
      </c>
    </row>
    <row r="1179">
      <c r="A1179" s="13" t="str">
        <f>IFERROR(__xludf.DUMMYFUNCTION("""COMPUTED_VALUE"""),"товари")</f>
        <v>товари</v>
      </c>
      <c r="B1179" s="13" t="str">
        <f>IFERROR(__xludf.DUMMYFUNCTION("""COMPUTED_VALUE"""),"обладнання та товари для надання послуг")</f>
        <v>обладнання та товари для надання послуг</v>
      </c>
      <c r="C1179" s="15" t="str">
        <f>IFERROR(__xludf.DUMMYFUNCTION("""COMPUTED_VALUE"""),"комерційні меблі")</f>
        <v>комерційні меблі</v>
      </c>
      <c r="D1179" s="15" t="str">
        <f>IFERROR(__xludf.DUMMYFUNCTION("""COMPUTED_VALUE"""),"меблі для салонів краси")</f>
        <v>меблі для салонів краси</v>
      </c>
      <c r="E1179" s="15" t="str">
        <f>IFERROR(__xludf.DUMMYFUNCTION("""COMPUTED_VALUE"""),"лабораторії для салонів краси")</f>
        <v>лабораторії для салонів краси</v>
      </c>
      <c r="F1179" s="17">
        <f>IFERROR(__xludf.DUMMYFUNCTION("""COMPUTED_VALUE"""),4.0)</f>
        <v>4</v>
      </c>
      <c r="G1179" s="17">
        <f>IFERROR(__xludf.DUMMYFUNCTION("""COMPUTED_VALUE"""),1.5030826E7)</f>
        <v>15030826</v>
      </c>
      <c r="H1179" s="17" t="str">
        <f>IFERROR(__xludf.DUMMYFUNCTION("""COMPUTED_VALUE"""),"лабораторії для салонів краси")</f>
        <v>лабораторії для салонів краси</v>
      </c>
      <c r="I1179" s="18">
        <f>IFERROR(__xludf.DUMMYFUNCTION("""COMPUTED_VALUE"""),1.53)</f>
        <v>1.53</v>
      </c>
      <c r="J1179" s="18">
        <f>IFERROR(__xludf.DUMMYFUNCTION("""COMPUTED_VALUE"""),3.06)</f>
        <v>3.06</v>
      </c>
      <c r="K1179" s="18">
        <f>IFERROR(__xludf.DUMMYFUNCTION("""COMPUTED_VALUE"""),3.83)</f>
        <v>3.83</v>
      </c>
      <c r="L1179" s="18">
        <f>IFERROR(__xludf.DUMMYFUNCTION("""COMPUTED_VALUE"""),6.13)</f>
        <v>6.13</v>
      </c>
    </row>
    <row r="1180">
      <c r="A1180" s="13" t="str">
        <f>IFERROR(__xludf.DUMMYFUNCTION("""COMPUTED_VALUE"""),"товари")</f>
        <v>товари</v>
      </c>
      <c r="B1180" s="13" t="str">
        <f>IFERROR(__xludf.DUMMYFUNCTION("""COMPUTED_VALUE"""),"обладнання та товари для надання послуг")</f>
        <v>обладнання та товари для надання послуг</v>
      </c>
      <c r="C1180" s="15" t="str">
        <f>IFERROR(__xludf.DUMMYFUNCTION("""COMPUTED_VALUE"""),"комерційні меблі")</f>
        <v>комерційні меблі</v>
      </c>
      <c r="D1180" s="15" t="str">
        <f>IFERROR(__xludf.DUMMYFUNCTION("""COMPUTED_VALUE"""),"медичні меблі")</f>
        <v>медичні меблі</v>
      </c>
      <c r="E1180" s="15" t="str">
        <f>IFERROR(__xludf.DUMMYFUNCTION("""COMPUTED_VALUE"""),"лабораторні меблі")</f>
        <v>лабораторні меблі</v>
      </c>
      <c r="F1180" s="17">
        <f>IFERROR(__xludf.DUMMYFUNCTION("""COMPUTED_VALUE"""),4.0)</f>
        <v>4</v>
      </c>
      <c r="G1180" s="17">
        <f>IFERROR(__xludf.DUMMYFUNCTION("""COMPUTED_VALUE"""),370220.0)</f>
        <v>370220</v>
      </c>
      <c r="H1180" s="17" t="str">
        <f>IFERROR(__xludf.DUMMYFUNCTION("""COMPUTED_VALUE"""),"лабораторні меблі")</f>
        <v>лабораторні меблі</v>
      </c>
      <c r="I1180" s="18">
        <f>IFERROR(__xludf.DUMMYFUNCTION("""COMPUTED_VALUE"""),2.7)</f>
        <v>2.7</v>
      </c>
      <c r="J1180" s="18">
        <f>IFERROR(__xludf.DUMMYFUNCTION("""COMPUTED_VALUE"""),5.4)</f>
        <v>5.4</v>
      </c>
      <c r="K1180" s="18">
        <f>IFERROR(__xludf.DUMMYFUNCTION("""COMPUTED_VALUE"""),6.75)</f>
        <v>6.75</v>
      </c>
      <c r="L1180" s="18">
        <f>IFERROR(__xludf.DUMMYFUNCTION("""COMPUTED_VALUE"""),10.8)</f>
        <v>10.8</v>
      </c>
    </row>
    <row r="1181">
      <c r="A1181" s="13" t="str">
        <f>IFERROR(__xludf.DUMMYFUNCTION("""COMPUTED_VALUE"""),"товари")</f>
        <v>товари</v>
      </c>
      <c r="B1181" s="13" t="str">
        <f>IFERROR(__xludf.DUMMYFUNCTION("""COMPUTED_VALUE"""),"обладнання та товари для надання послуг")</f>
        <v>обладнання та товари для надання послуг</v>
      </c>
      <c r="C1181" s="15" t="str">
        <f>IFERROR(__xludf.DUMMYFUNCTION("""COMPUTED_VALUE"""),"комерційні меблі")</f>
        <v>комерційні меблі</v>
      </c>
      <c r="D1181" s="15" t="str">
        <f>IFERROR(__xludf.DUMMYFUNCTION("""COMPUTED_VALUE"""),"меблі для установ")</f>
        <v>меблі для установ</v>
      </c>
      <c r="E1181" s="15" t="str">
        <f>IFERROR(__xludf.DUMMYFUNCTION("""COMPUTED_VALUE"""),"лавки для установ")</f>
        <v>лавки для установ</v>
      </c>
      <c r="F1181" s="17">
        <f>IFERROR(__xludf.DUMMYFUNCTION("""COMPUTED_VALUE"""),4.0)</f>
        <v>4</v>
      </c>
      <c r="G1181" s="17">
        <f>IFERROR(__xludf.DUMMYFUNCTION("""COMPUTED_VALUE"""),1.5030118E7)</f>
        <v>15030118</v>
      </c>
      <c r="H1181" s="17" t="str">
        <f>IFERROR(__xludf.DUMMYFUNCTION("""COMPUTED_VALUE"""),"лавки для установ")</f>
        <v>лавки для установ</v>
      </c>
      <c r="I1181" s="18">
        <f>IFERROR(__xludf.DUMMYFUNCTION("""COMPUTED_VALUE"""),2.06)</f>
        <v>2.06</v>
      </c>
      <c r="J1181" s="18">
        <f>IFERROR(__xludf.DUMMYFUNCTION("""COMPUTED_VALUE"""),4.13)</f>
        <v>4.13</v>
      </c>
      <c r="K1181" s="18">
        <f>IFERROR(__xludf.DUMMYFUNCTION("""COMPUTED_VALUE"""),5.16)</f>
        <v>5.16</v>
      </c>
      <c r="L1181" s="18">
        <f>IFERROR(__xludf.DUMMYFUNCTION("""COMPUTED_VALUE"""),8.25)</f>
        <v>8.25</v>
      </c>
    </row>
    <row r="1182">
      <c r="A1182" s="13" t="str">
        <f>IFERROR(__xludf.DUMMYFUNCTION("""COMPUTED_VALUE"""),"товари")</f>
        <v>товари</v>
      </c>
      <c r="B1182" s="13" t="str">
        <f>IFERROR(__xludf.DUMMYFUNCTION("""COMPUTED_VALUE"""),"обладнання та товари для надання послуг")</f>
        <v>обладнання та товари для надання послуг</v>
      </c>
      <c r="C1182" s="15" t="str">
        <f>IFERROR(__xludf.DUMMYFUNCTION("""COMPUTED_VALUE"""),"комерційні меблі")</f>
        <v>комерційні меблі</v>
      </c>
      <c r="D1182" s="15" t="str">
        <f>IFERROR(__xludf.DUMMYFUNCTION("""COMPUTED_VALUE"""),"медичні меблі")</f>
        <v>медичні меблі</v>
      </c>
      <c r="E1182" s="15" t="str">
        <f>IFERROR(__xludf.DUMMYFUNCTION("""COMPUTED_VALUE"""),"ліжка медичні для пацієнтів")</f>
        <v>ліжка медичні для пацієнтів</v>
      </c>
      <c r="F1182" s="17">
        <f>IFERROR(__xludf.DUMMYFUNCTION("""COMPUTED_VALUE"""),4.0)</f>
        <v>4</v>
      </c>
      <c r="G1182" s="17">
        <f>IFERROR(__xludf.DUMMYFUNCTION("""COMPUTED_VALUE"""),3.7021001E7)</f>
        <v>37021001</v>
      </c>
      <c r="H1182" s="17" t="str">
        <f>IFERROR(__xludf.DUMMYFUNCTION("""COMPUTED_VALUE"""),"ліжка медичні для пацієнтів")</f>
        <v>ліжка медичні для пацієнтів</v>
      </c>
      <c r="I1182" s="18">
        <f>IFERROR(__xludf.DUMMYFUNCTION("""COMPUTED_VALUE"""),2.7)</f>
        <v>2.7</v>
      </c>
      <c r="J1182" s="18">
        <f>IFERROR(__xludf.DUMMYFUNCTION("""COMPUTED_VALUE"""),5.4)</f>
        <v>5.4</v>
      </c>
      <c r="K1182" s="18">
        <f>IFERROR(__xludf.DUMMYFUNCTION("""COMPUTED_VALUE"""),6.75)</f>
        <v>6.75</v>
      </c>
      <c r="L1182" s="18">
        <f>IFERROR(__xludf.DUMMYFUNCTION("""COMPUTED_VALUE"""),10.8)</f>
        <v>10.8</v>
      </c>
    </row>
    <row r="1183">
      <c r="A1183" s="13" t="str">
        <f>IFERROR(__xludf.DUMMYFUNCTION("""COMPUTED_VALUE"""),"товари")</f>
        <v>товари</v>
      </c>
      <c r="B1183" s="13" t="str">
        <f>IFERROR(__xludf.DUMMYFUNCTION("""COMPUTED_VALUE"""),"обладнання та товари для надання послуг")</f>
        <v>обладнання та товари для надання послуг</v>
      </c>
      <c r="C1183" s="15" t="str">
        <f>IFERROR(__xludf.DUMMYFUNCTION("""COMPUTED_VALUE"""),"horeca&amp;fast-food")</f>
        <v>horeca&amp;fast-food</v>
      </c>
      <c r="D1183" s="15" t="str">
        <f>IFERROR(__xludf.DUMMYFUNCTION("""COMPUTED_VALUE"""),"лінії роздачі")</f>
        <v>лінії роздачі</v>
      </c>
      <c r="E1183" s="15" t="str">
        <f>IFERROR(__xludf.DUMMYFUNCTION("""COMPUTED_VALUE"""),"лінії роздачі")</f>
        <v>лінії роздачі</v>
      </c>
      <c r="F1183" s="17">
        <f>IFERROR(__xludf.DUMMYFUNCTION("""COMPUTED_VALUE"""),3.0)</f>
        <v>3</v>
      </c>
      <c r="G1183" s="17">
        <f>IFERROR(__xludf.DUMMYFUNCTION("""COMPUTED_VALUE"""),240624.0)</f>
        <v>240624</v>
      </c>
      <c r="H1183" s="17" t="str">
        <f>IFERROR(__xludf.DUMMYFUNCTION("""COMPUTED_VALUE"""),"лінії роздачі")</f>
        <v>лінії роздачі</v>
      </c>
      <c r="I1183" s="18">
        <f>IFERROR(__xludf.DUMMYFUNCTION("""COMPUTED_VALUE"""),0.9)</f>
        <v>0.9</v>
      </c>
      <c r="J1183" s="18">
        <f>IFERROR(__xludf.DUMMYFUNCTION("""COMPUTED_VALUE"""),1.8)</f>
        <v>1.8</v>
      </c>
      <c r="K1183" s="18">
        <f>IFERROR(__xludf.DUMMYFUNCTION("""COMPUTED_VALUE"""),2.25)</f>
        <v>2.25</v>
      </c>
      <c r="L1183" s="18">
        <f>IFERROR(__xludf.DUMMYFUNCTION("""COMPUTED_VALUE"""),3.6)</f>
        <v>3.6</v>
      </c>
    </row>
    <row r="1184">
      <c r="A1184" s="13" t="str">
        <f>IFERROR(__xludf.DUMMYFUNCTION("""COMPUTED_VALUE"""),"товари")</f>
        <v>товари</v>
      </c>
      <c r="B1184" s="13" t="str">
        <f>IFERROR(__xludf.DUMMYFUNCTION("""COMPUTED_VALUE"""),"обладнання та товари для надання послуг")</f>
        <v>обладнання та товари для надання послуг</v>
      </c>
      <c r="C1184" s="15" t="str">
        <f>IFERROR(__xludf.DUMMYFUNCTION("""COMPUTED_VALUE"""),"професійне аудіо-, відео-, фото обладнання")</f>
        <v>професійне аудіо-, відео-, фото обладнання</v>
      </c>
      <c r="D1184" s="15" t="str">
        <f>IFERROR(__xludf.DUMMYFUNCTION("""COMPUTED_VALUE"""),"масштабатори відеосигналу")</f>
        <v>масштабатори відеосигналу</v>
      </c>
      <c r="E1184" s="15" t="str">
        <f>IFERROR(__xludf.DUMMYFUNCTION("""COMPUTED_VALUE"""),"масштабатори відеосигналу")</f>
        <v>масштабатори відеосигналу</v>
      </c>
      <c r="F1184" s="17">
        <f>IFERROR(__xludf.DUMMYFUNCTION("""COMPUTED_VALUE"""),3.0)</f>
        <v>3</v>
      </c>
      <c r="G1184" s="17">
        <f>IFERROR(__xludf.DUMMYFUNCTION("""COMPUTED_VALUE"""),6371803.0)</f>
        <v>6371803</v>
      </c>
      <c r="H1184" s="17" t="str">
        <f>IFERROR(__xludf.DUMMYFUNCTION("""COMPUTED_VALUE"""),"масштабатори відеосигналу")</f>
        <v>масштабатори відеосигналу</v>
      </c>
      <c r="I1184" s="18">
        <f>IFERROR(__xludf.DUMMYFUNCTION("""COMPUTED_VALUE"""),0.76)</f>
        <v>0.76</v>
      </c>
      <c r="J1184" s="18">
        <f>IFERROR(__xludf.DUMMYFUNCTION("""COMPUTED_VALUE"""),1.53)</f>
        <v>1.53</v>
      </c>
      <c r="K1184" s="18">
        <f>IFERROR(__xludf.DUMMYFUNCTION("""COMPUTED_VALUE"""),1.91)</f>
        <v>1.91</v>
      </c>
      <c r="L1184" s="18">
        <f>IFERROR(__xludf.DUMMYFUNCTION("""COMPUTED_VALUE"""),3.05)</f>
        <v>3.05</v>
      </c>
    </row>
    <row r="1185">
      <c r="A1185" s="13" t="str">
        <f>IFERROR(__xludf.DUMMYFUNCTION("""COMPUTED_VALUE"""),"товари")</f>
        <v>товари</v>
      </c>
      <c r="B1185" s="13" t="str">
        <f>IFERROR(__xludf.DUMMYFUNCTION("""COMPUTED_VALUE"""),"обладнання та товари для надання послуг")</f>
        <v>обладнання та товари для надання послуг</v>
      </c>
      <c r="C1185" s="15" t="str">
        <f>IFERROR(__xludf.DUMMYFUNCTION("""COMPUTED_VALUE"""),"комерційні меблі")</f>
        <v>комерційні меблі</v>
      </c>
      <c r="D1185" s="15" t="str">
        <f>IFERROR(__xludf.DUMMYFUNCTION("""COMPUTED_VALUE"""),"меблі для fast-food")</f>
        <v>меблі для fast-food</v>
      </c>
      <c r="E1185" s="15" t="str">
        <f>IFERROR(__xludf.DUMMYFUNCTION("""COMPUTED_VALUE"""),"меблі для fast-food, загальне")</f>
        <v>меблі для fast-food, загальне</v>
      </c>
      <c r="F1185" s="17">
        <f>IFERROR(__xludf.DUMMYFUNCTION("""COMPUTED_VALUE"""),4.0)</f>
        <v>4</v>
      </c>
      <c r="G1185" s="17">
        <f>IFERROR(__xludf.DUMMYFUNCTION("""COMPUTED_VALUE"""),1.5030126E7)</f>
        <v>15030126</v>
      </c>
      <c r="H1185" s="17" t="str">
        <f>IFERROR(__xludf.DUMMYFUNCTION("""COMPUTED_VALUE"""),"меблі для fast-food, загальне")</f>
        <v>меблі для fast-food, загальне</v>
      </c>
      <c r="I1185" s="18">
        <f>IFERROR(__xludf.DUMMYFUNCTION("""COMPUTED_VALUE"""),2.16)</f>
        <v>2.16</v>
      </c>
      <c r="J1185" s="18">
        <f>IFERROR(__xludf.DUMMYFUNCTION("""COMPUTED_VALUE"""),4.33)</f>
        <v>4.33</v>
      </c>
      <c r="K1185" s="18">
        <f>IFERROR(__xludf.DUMMYFUNCTION("""COMPUTED_VALUE"""),5.41)</f>
        <v>5.41</v>
      </c>
      <c r="L1185" s="18">
        <f>IFERROR(__xludf.DUMMYFUNCTION("""COMPUTED_VALUE"""),8.65)</f>
        <v>8.65</v>
      </c>
    </row>
    <row r="1186">
      <c r="A1186" s="13" t="str">
        <f>IFERROR(__xludf.DUMMYFUNCTION("""COMPUTED_VALUE"""),"товари")</f>
        <v>товари</v>
      </c>
      <c r="B1186" s="13" t="str">
        <f>IFERROR(__xludf.DUMMYFUNCTION("""COMPUTED_VALUE"""),"обладнання та товари для надання послуг")</f>
        <v>обладнання та товари для надання послуг</v>
      </c>
      <c r="C1186" s="15" t="str">
        <f>IFERROR(__xludf.DUMMYFUNCTION("""COMPUTED_VALUE"""),"комерційні меблі")</f>
        <v>комерційні меблі</v>
      </c>
      <c r="D1186" s="15" t="str">
        <f>IFERROR(__xludf.DUMMYFUNCTION("""COMPUTED_VALUE"""),"меблі для horeca")</f>
        <v>меблі для horeca</v>
      </c>
      <c r="E1186" s="15" t="str">
        <f>IFERROR(__xludf.DUMMYFUNCTION("""COMPUTED_VALUE"""),"меблі для готелів")</f>
        <v>меблі для готелів</v>
      </c>
      <c r="F1186" s="17">
        <f>IFERROR(__xludf.DUMMYFUNCTION("""COMPUTED_VALUE"""),4.0)</f>
        <v>4</v>
      </c>
      <c r="G1186" s="17">
        <f>IFERROR(__xludf.DUMMYFUNCTION("""COMPUTED_VALUE"""),150390.0)</f>
        <v>150390</v>
      </c>
      <c r="H1186" s="17" t="str">
        <f>IFERROR(__xludf.DUMMYFUNCTION("""COMPUTED_VALUE"""),"меблі для готелів")</f>
        <v>меблі для готелів</v>
      </c>
      <c r="I1186" s="18">
        <f>IFERROR(__xludf.DUMMYFUNCTION("""COMPUTED_VALUE"""),2.06)</f>
        <v>2.06</v>
      </c>
      <c r="J1186" s="18">
        <f>IFERROR(__xludf.DUMMYFUNCTION("""COMPUTED_VALUE"""),4.13)</f>
        <v>4.13</v>
      </c>
      <c r="K1186" s="18">
        <f>IFERROR(__xludf.DUMMYFUNCTION("""COMPUTED_VALUE"""),5.16)</f>
        <v>5.16</v>
      </c>
      <c r="L1186" s="18">
        <f>IFERROR(__xludf.DUMMYFUNCTION("""COMPUTED_VALUE"""),8.25)</f>
        <v>8.25</v>
      </c>
    </row>
    <row r="1187">
      <c r="A1187" s="13" t="str">
        <f>IFERROR(__xludf.DUMMYFUNCTION("""COMPUTED_VALUE"""),"товари")</f>
        <v>товари</v>
      </c>
      <c r="B1187" s="13" t="str">
        <f>IFERROR(__xludf.DUMMYFUNCTION("""COMPUTED_VALUE"""),"обладнання та товари для надання послуг")</f>
        <v>обладнання та товари для надання послуг</v>
      </c>
      <c r="C1187" s="15" t="str">
        <f>IFERROR(__xludf.DUMMYFUNCTION("""COMPUTED_VALUE"""),"комерційні меблі")</f>
        <v>комерційні меблі</v>
      </c>
      <c r="D1187" s="15" t="str">
        <f>IFERROR(__xludf.DUMMYFUNCTION("""COMPUTED_VALUE"""),"медичні меблі")</f>
        <v>медичні меблі</v>
      </c>
      <c r="E1187" s="15" t="str">
        <f>IFERROR(__xludf.DUMMYFUNCTION("""COMPUTED_VALUE"""),"мийки хірургічні")</f>
        <v>мийки хірургічні</v>
      </c>
      <c r="F1187" s="17">
        <f>IFERROR(__xludf.DUMMYFUNCTION("""COMPUTED_VALUE"""),4.0)</f>
        <v>4</v>
      </c>
      <c r="G1187" s="17">
        <f>IFERROR(__xludf.DUMMYFUNCTION("""COMPUTED_VALUE"""),370212.0)</f>
        <v>370212</v>
      </c>
      <c r="H1187" s="17" t="str">
        <f>IFERROR(__xludf.DUMMYFUNCTION("""COMPUTED_VALUE"""),"мийки хірургічні")</f>
        <v>мийки хірургічні</v>
      </c>
      <c r="I1187" s="18">
        <f>IFERROR(__xludf.DUMMYFUNCTION("""COMPUTED_VALUE"""),2.7)</f>
        <v>2.7</v>
      </c>
      <c r="J1187" s="18">
        <f>IFERROR(__xludf.DUMMYFUNCTION("""COMPUTED_VALUE"""),5.4)</f>
        <v>5.4</v>
      </c>
      <c r="K1187" s="18">
        <f>IFERROR(__xludf.DUMMYFUNCTION("""COMPUTED_VALUE"""),6.75)</f>
        <v>6.75</v>
      </c>
      <c r="L1187" s="18">
        <f>IFERROR(__xludf.DUMMYFUNCTION("""COMPUTED_VALUE"""),10.8)</f>
        <v>10.8</v>
      </c>
    </row>
    <row r="1188">
      <c r="A1188" s="13" t="str">
        <f>IFERROR(__xludf.DUMMYFUNCTION("""COMPUTED_VALUE"""),"товари")</f>
        <v>товари</v>
      </c>
      <c r="B1188" s="13" t="str">
        <f>IFERROR(__xludf.DUMMYFUNCTION("""COMPUTED_VALUE"""),"обладнання та товари для надання послуг")</f>
        <v>обладнання та товари для надання послуг</v>
      </c>
      <c r="C1188" s="15" t="str">
        <f>IFERROR(__xludf.DUMMYFUNCTION("""COMPUTED_VALUE"""),"обладнання для автосервісу")</f>
        <v>обладнання для автосервісу</v>
      </c>
      <c r="D1188" s="15" t="str">
        <f>IFERROR(__xludf.DUMMYFUNCTION("""COMPUTED_VALUE"""),"обладнання для заміни мастил та змащувачів")</f>
        <v>обладнання для заміни мастил та змащувачів</v>
      </c>
      <c r="E1188" s="15" t="str">
        <f>IFERROR(__xludf.DUMMYFUNCTION("""COMPUTED_VALUE"""),"обладнання для заміни мастил та змащувачів")</f>
        <v>обладнання для заміни мастил та змащувачів</v>
      </c>
      <c r="F1188" s="17">
        <f>IFERROR(__xludf.DUMMYFUNCTION("""COMPUTED_VALUE"""),3.0)</f>
        <v>3</v>
      </c>
      <c r="G1188" s="17">
        <f>IFERROR(__xludf.DUMMYFUNCTION("""COMPUTED_VALUE"""),121108.0)</f>
        <v>121108</v>
      </c>
      <c r="H1188" s="17" t="str">
        <f>IFERROR(__xludf.DUMMYFUNCTION("""COMPUTED_VALUE"""),"обладнання для заміни мастил та змащувачів")</f>
        <v>обладнання для заміни мастил та змащувачів</v>
      </c>
      <c r="I1188" s="18">
        <f>IFERROR(__xludf.DUMMYFUNCTION("""COMPUTED_VALUE"""),1.84)</f>
        <v>1.84</v>
      </c>
      <c r="J1188" s="18">
        <f>IFERROR(__xludf.DUMMYFUNCTION("""COMPUTED_VALUE"""),3.69)</f>
        <v>3.69</v>
      </c>
      <c r="K1188" s="18">
        <f>IFERROR(__xludf.DUMMYFUNCTION("""COMPUTED_VALUE"""),4.61)</f>
        <v>4.61</v>
      </c>
      <c r="L1188" s="18">
        <f>IFERROR(__xludf.DUMMYFUNCTION("""COMPUTED_VALUE"""),7.38)</f>
        <v>7.38</v>
      </c>
    </row>
    <row r="1189">
      <c r="A1189" s="13" t="str">
        <f>IFERROR(__xludf.DUMMYFUNCTION("""COMPUTED_VALUE"""),"товари")</f>
        <v>товари</v>
      </c>
      <c r="B1189" s="13" t="str">
        <f>IFERROR(__xludf.DUMMYFUNCTION("""COMPUTED_VALUE"""),"обладнання та товари для надання послуг")</f>
        <v>обладнання та товари для надання послуг</v>
      </c>
      <c r="C1189" s="15" t="str">
        <f>IFERROR(__xludf.DUMMYFUNCTION("""COMPUTED_VALUE"""),"вендінгове і розважальне обладнання")</f>
        <v>вендінгове і розважальне обладнання</v>
      </c>
      <c r="D1189" s="15" t="str">
        <f>IFERROR(__xludf.DUMMYFUNCTION("""COMPUTED_VALUE"""),"обладнання для заходів і клубів")</f>
        <v>обладнання для заходів і клубів</v>
      </c>
      <c r="E1189" s="15" t="str">
        <f>IFERROR(__xludf.DUMMYFUNCTION("""COMPUTED_VALUE"""),"обладнання для концертів та клубів, загальне")</f>
        <v>обладнання для концертів та клубів, загальне</v>
      </c>
      <c r="F1189" s="17">
        <f>IFERROR(__xludf.DUMMYFUNCTION("""COMPUTED_VALUE"""),4.0)</f>
        <v>4</v>
      </c>
      <c r="G1189" s="17">
        <f>IFERROR(__xludf.DUMMYFUNCTION("""COMPUTED_VALUE"""),282916.0)</f>
        <v>282916</v>
      </c>
      <c r="H1189" s="17" t="str">
        <f>IFERROR(__xludf.DUMMYFUNCTION("""COMPUTED_VALUE"""),"обладнання для концертів та клубів, загальне")</f>
        <v>обладнання для концертів та клубів, загальне</v>
      </c>
      <c r="I1189" s="18">
        <f>IFERROR(__xludf.DUMMYFUNCTION("""COMPUTED_VALUE"""),2.16)</f>
        <v>2.16</v>
      </c>
      <c r="J1189" s="18">
        <f>IFERROR(__xludf.DUMMYFUNCTION("""COMPUTED_VALUE"""),4.33)</f>
        <v>4.33</v>
      </c>
      <c r="K1189" s="18">
        <f>IFERROR(__xludf.DUMMYFUNCTION("""COMPUTED_VALUE"""),5.41)</f>
        <v>5.41</v>
      </c>
      <c r="L1189" s="18">
        <f>IFERROR(__xludf.DUMMYFUNCTION("""COMPUTED_VALUE"""),8.65)</f>
        <v>8.65</v>
      </c>
    </row>
    <row r="1190">
      <c r="A1190" s="13" t="str">
        <f>IFERROR(__xludf.DUMMYFUNCTION("""COMPUTED_VALUE"""),"товари")</f>
        <v>товари</v>
      </c>
      <c r="B1190" s="13" t="str">
        <f>IFERROR(__xludf.DUMMYFUNCTION("""COMPUTED_VALUE"""),"обладнання та товари для надання послуг")</f>
        <v>обладнання та товари для надання послуг</v>
      </c>
      <c r="C1190" s="15" t="str">
        <f>IFERROR(__xludf.DUMMYFUNCTION("""COMPUTED_VALUE"""),"обладнання для автосервісу")</f>
        <v>обладнання для автосервісу</v>
      </c>
      <c r="D1190" s="15" t="str">
        <f>IFERROR(__xludf.DUMMYFUNCTION("""COMPUTED_VALUE"""),"обладнання для малярних цехів")</f>
        <v>обладнання для малярних цехів</v>
      </c>
      <c r="E1190" s="15" t="str">
        <f>IFERROR(__xludf.DUMMYFUNCTION("""COMPUTED_VALUE"""),"обладнання для малярних цехів")</f>
        <v>обладнання для малярних цехів</v>
      </c>
      <c r="F1190" s="17">
        <f>IFERROR(__xludf.DUMMYFUNCTION("""COMPUTED_VALUE"""),3.0)</f>
        <v>3</v>
      </c>
      <c r="G1190" s="17">
        <f>IFERROR(__xludf.DUMMYFUNCTION("""COMPUTED_VALUE"""),121117.0)</f>
        <v>121117</v>
      </c>
      <c r="H1190" s="17" t="str">
        <f>IFERROR(__xludf.DUMMYFUNCTION("""COMPUTED_VALUE"""),"обладнання для малярних цехів")</f>
        <v>обладнання для малярних цехів</v>
      </c>
      <c r="I1190" s="18">
        <f>IFERROR(__xludf.DUMMYFUNCTION("""COMPUTED_VALUE"""),0.76)</f>
        <v>0.76</v>
      </c>
      <c r="J1190" s="18">
        <f>IFERROR(__xludf.DUMMYFUNCTION("""COMPUTED_VALUE"""),1.53)</f>
        <v>1.53</v>
      </c>
      <c r="K1190" s="18">
        <f>IFERROR(__xludf.DUMMYFUNCTION("""COMPUTED_VALUE"""),1.91)</f>
        <v>1.91</v>
      </c>
      <c r="L1190" s="18">
        <f>IFERROR(__xludf.DUMMYFUNCTION("""COMPUTED_VALUE"""),3.05)</f>
        <v>3.05</v>
      </c>
    </row>
    <row r="1191">
      <c r="A1191" s="13" t="str">
        <f>IFERROR(__xludf.DUMMYFUNCTION("""COMPUTED_VALUE"""),"товари")</f>
        <v>товари</v>
      </c>
      <c r="B1191" s="13" t="str">
        <f>IFERROR(__xludf.DUMMYFUNCTION("""COMPUTED_VALUE"""),"обладнання та товари для надання послуг")</f>
        <v>обладнання та товари для надання послуг</v>
      </c>
      <c r="C1191" s="15" t="str">
        <f>IFERROR(__xludf.DUMMYFUNCTION("""COMPUTED_VALUE"""),"обладнання для навчальних закладів")</f>
        <v>обладнання для навчальних закладів</v>
      </c>
      <c r="D1191" s="15" t="str">
        <f>IFERROR(__xludf.DUMMYFUNCTION("""COMPUTED_VALUE"""),"обладнання для навчальних закладів, загальне")</f>
        <v>обладнання для навчальних закладів, загальне</v>
      </c>
      <c r="E1191" s="15" t="str">
        <f>IFERROR(__xludf.DUMMYFUNCTION("""COMPUTED_VALUE"""),"обладнання для навчальних закладів, загальне")</f>
        <v>обладнання для навчальних закладів, загальне</v>
      </c>
      <c r="F1191" s="17">
        <f>IFERROR(__xludf.DUMMYFUNCTION("""COMPUTED_VALUE"""),3.0)</f>
        <v>3</v>
      </c>
      <c r="G1191" s="17">
        <f>IFERROR(__xludf.DUMMYFUNCTION("""COMPUTED_VALUE"""),282963.0)</f>
        <v>282963</v>
      </c>
      <c r="H1191" s="17" t="str">
        <f>IFERROR(__xludf.DUMMYFUNCTION("""COMPUTED_VALUE"""),"обладнання для навчальних закладів, загальне")</f>
        <v>обладнання для навчальних закладів, загальне</v>
      </c>
      <c r="I1191" s="18">
        <f>IFERROR(__xludf.DUMMYFUNCTION("""COMPUTED_VALUE"""),2.16)</f>
        <v>2.16</v>
      </c>
      <c r="J1191" s="18">
        <f>IFERROR(__xludf.DUMMYFUNCTION("""COMPUTED_VALUE"""),4.33)</f>
        <v>4.33</v>
      </c>
      <c r="K1191" s="18">
        <f>IFERROR(__xludf.DUMMYFUNCTION("""COMPUTED_VALUE"""),5.41)</f>
        <v>5.41</v>
      </c>
      <c r="L1191" s="18">
        <f>IFERROR(__xludf.DUMMYFUNCTION("""COMPUTED_VALUE"""),8.65)</f>
        <v>8.65</v>
      </c>
    </row>
    <row r="1192">
      <c r="A1192" s="13" t="str">
        <f>IFERROR(__xludf.DUMMYFUNCTION("""COMPUTED_VALUE"""),"товари")</f>
        <v>товари</v>
      </c>
      <c r="B1192" s="13" t="str">
        <f>IFERROR(__xludf.DUMMYFUNCTION("""COMPUTED_VALUE"""),"обладнання та товари для надання послуг")</f>
        <v>обладнання та товари для надання послуг</v>
      </c>
      <c r="C1192" s="15" t="str">
        <f>IFERROR(__xludf.DUMMYFUNCTION("""COMPUTED_VALUE"""),"обладнання для автосервісу")</f>
        <v>обладнання для автосервісу</v>
      </c>
      <c r="D1192" s="15" t="str">
        <f>IFERROR(__xludf.DUMMYFUNCTION("""COMPUTED_VALUE"""),"обладнання для ремонту ходової")</f>
        <v>обладнання для ремонту ходової</v>
      </c>
      <c r="E1192" s="15" t="str">
        <f>IFERROR(__xludf.DUMMYFUNCTION("""COMPUTED_VALUE"""),"обладнання для ремонту ходової")</f>
        <v>обладнання для ремонту ходової</v>
      </c>
      <c r="F1192" s="17">
        <f>IFERROR(__xludf.DUMMYFUNCTION("""COMPUTED_VALUE"""),3.0)</f>
        <v>3</v>
      </c>
      <c r="G1192" s="17">
        <f>IFERROR(__xludf.DUMMYFUNCTION("""COMPUTED_VALUE"""),121119.0)</f>
        <v>121119</v>
      </c>
      <c r="H1192" s="17" t="str">
        <f>IFERROR(__xludf.DUMMYFUNCTION("""COMPUTED_VALUE"""),"обладнання для ремонту ходової")</f>
        <v>обладнання для ремонту ходової</v>
      </c>
      <c r="I1192" s="18">
        <f>IFERROR(__xludf.DUMMYFUNCTION("""COMPUTED_VALUE"""),0.99)</f>
        <v>0.99</v>
      </c>
      <c r="J1192" s="18">
        <f>IFERROR(__xludf.DUMMYFUNCTION("""COMPUTED_VALUE"""),1.98)</f>
        <v>1.98</v>
      </c>
      <c r="K1192" s="18">
        <f>IFERROR(__xludf.DUMMYFUNCTION("""COMPUTED_VALUE"""),2.47)</f>
        <v>2.47</v>
      </c>
      <c r="L1192" s="18">
        <f>IFERROR(__xludf.DUMMYFUNCTION("""COMPUTED_VALUE"""),3.95)</f>
        <v>3.95</v>
      </c>
    </row>
    <row r="1193">
      <c r="A1193" s="13" t="str">
        <f>IFERROR(__xludf.DUMMYFUNCTION("""COMPUTED_VALUE"""),"товари")</f>
        <v>товари</v>
      </c>
      <c r="B1193" s="13" t="str">
        <f>IFERROR(__xludf.DUMMYFUNCTION("""COMPUTED_VALUE"""),"обладнання та товари для надання послуг")</f>
        <v>обладнання та товари для надання послуг</v>
      </c>
      <c r="C1193" s="15" t="str">
        <f>IFERROR(__xludf.DUMMYFUNCTION("""COMPUTED_VALUE"""),"вендінгове і розважальне обладнання")</f>
        <v>вендінгове і розважальне обладнання</v>
      </c>
      <c r="D1193" s="15" t="str">
        <f>IFERROR(__xludf.DUMMYFUNCTION("""COMPUTED_VALUE"""),"обладнання для сенсорних кімнат")</f>
        <v>обладнання для сенсорних кімнат</v>
      </c>
      <c r="E1193" s="15" t="str">
        <f>IFERROR(__xludf.DUMMYFUNCTION("""COMPUTED_VALUE"""),"обладнання для сенсорних кімнат, загальне")</f>
        <v>обладнання для сенсорних кімнат, загальне</v>
      </c>
      <c r="F1193" s="17">
        <f>IFERROR(__xludf.DUMMYFUNCTION("""COMPUTED_VALUE"""),4.0)</f>
        <v>4</v>
      </c>
      <c r="G1193" s="17">
        <f>IFERROR(__xludf.DUMMYFUNCTION("""COMPUTED_VALUE"""),283078.0)</f>
        <v>283078</v>
      </c>
      <c r="H1193" s="17" t="str">
        <f>IFERROR(__xludf.DUMMYFUNCTION("""COMPUTED_VALUE"""),"обладнання для сенсорних кімнат, загальне")</f>
        <v>обладнання для сенсорних кімнат, загальне</v>
      </c>
      <c r="I1193" s="18">
        <f>IFERROR(__xludf.DUMMYFUNCTION("""COMPUTED_VALUE"""),2.16)</f>
        <v>2.16</v>
      </c>
      <c r="J1193" s="18">
        <f>IFERROR(__xludf.DUMMYFUNCTION("""COMPUTED_VALUE"""),4.33)</f>
        <v>4.33</v>
      </c>
      <c r="K1193" s="18">
        <f>IFERROR(__xludf.DUMMYFUNCTION("""COMPUTED_VALUE"""),5.41)</f>
        <v>5.41</v>
      </c>
      <c r="L1193" s="18">
        <f>IFERROR(__xludf.DUMMYFUNCTION("""COMPUTED_VALUE"""),8.65)</f>
        <v>8.65</v>
      </c>
    </row>
    <row r="1194">
      <c r="A1194" s="13" t="str">
        <f>IFERROR(__xludf.DUMMYFUNCTION("""COMPUTED_VALUE"""),"товари")</f>
        <v>товари</v>
      </c>
      <c r="B1194" s="13" t="str">
        <f>IFERROR(__xludf.DUMMYFUNCTION("""COMPUTED_VALUE"""),"обладнання та товари для надання послуг")</f>
        <v>обладнання та товари для надання послуг</v>
      </c>
      <c r="C1194" s="15" t="str">
        <f>IFERROR(__xludf.DUMMYFUNCTION("""COMPUTED_VALUE"""),"обладнання для автосервісу")</f>
        <v>обладнання для автосервісу</v>
      </c>
      <c r="D1194" s="15" t="str">
        <f>IFERROR(__xludf.DUMMYFUNCTION("""COMPUTED_VALUE"""),"обладнання ремонту акпп")</f>
        <v>обладнання ремонту акпп</v>
      </c>
      <c r="E1194" s="15" t="str">
        <f>IFERROR(__xludf.DUMMYFUNCTION("""COMPUTED_VALUE"""),"обладнання ремонту акпп")</f>
        <v>обладнання ремонту акпп</v>
      </c>
      <c r="F1194" s="17">
        <f>IFERROR(__xludf.DUMMYFUNCTION("""COMPUTED_VALUE"""),3.0)</f>
        <v>3</v>
      </c>
      <c r="G1194" s="17">
        <f>IFERROR(__xludf.DUMMYFUNCTION("""COMPUTED_VALUE"""),121120.0)</f>
        <v>121120</v>
      </c>
      <c r="H1194" s="17" t="str">
        <f>IFERROR(__xludf.DUMMYFUNCTION("""COMPUTED_VALUE"""),"обладнання ремонту акпп")</f>
        <v>обладнання ремонту акпп</v>
      </c>
      <c r="I1194" s="18">
        <f>IFERROR(__xludf.DUMMYFUNCTION("""COMPUTED_VALUE"""),0.76)</f>
        <v>0.76</v>
      </c>
      <c r="J1194" s="18">
        <f>IFERROR(__xludf.DUMMYFUNCTION("""COMPUTED_VALUE"""),1.53)</f>
        <v>1.53</v>
      </c>
      <c r="K1194" s="18">
        <f>IFERROR(__xludf.DUMMYFUNCTION("""COMPUTED_VALUE"""),1.91)</f>
        <v>1.91</v>
      </c>
      <c r="L1194" s="18">
        <f>IFERROR(__xludf.DUMMYFUNCTION("""COMPUTED_VALUE"""),3.05)</f>
        <v>3.05</v>
      </c>
    </row>
    <row r="1195">
      <c r="A1195" s="13" t="str">
        <f>IFERROR(__xludf.DUMMYFUNCTION("""COMPUTED_VALUE"""),"товари")</f>
        <v>товари</v>
      </c>
      <c r="B1195" s="13" t="str">
        <f>IFERROR(__xludf.DUMMYFUNCTION("""COMPUTED_VALUE"""),"обладнання та товари для надання послуг")</f>
        <v>обладнання та товари для надання послуг</v>
      </c>
      <c r="C1195" s="15" t="str">
        <f>IFERROR(__xludf.DUMMYFUNCTION("""COMPUTED_VALUE"""),"обладнання та засоби для клінінгу")</f>
        <v>обладнання та засоби для клінінгу</v>
      </c>
      <c r="D1195" s="15" t="str">
        <f>IFERROR(__xludf.DUMMYFUNCTION("""COMPUTED_VALUE"""),"обладнання та засоби для видалення запахів")</f>
        <v>обладнання та засоби для видалення запахів</v>
      </c>
      <c r="E1195" s="15" t="str">
        <f>IFERROR(__xludf.DUMMYFUNCTION("""COMPUTED_VALUE"""),"обладнання та засоби для видалення запахів")</f>
        <v>обладнання та засоби для видалення запахів</v>
      </c>
      <c r="F1195" s="17">
        <f>IFERROR(__xludf.DUMMYFUNCTION("""COMPUTED_VALUE"""),3.0)</f>
        <v>3</v>
      </c>
      <c r="G1195" s="17">
        <f>IFERROR(__xludf.DUMMYFUNCTION("""COMPUTED_VALUE"""),283095.0)</f>
        <v>283095</v>
      </c>
      <c r="H1195" s="17" t="str">
        <f>IFERROR(__xludf.DUMMYFUNCTION("""COMPUTED_VALUE"""),"обладнання та засоби для видалення запахів")</f>
        <v>обладнання та засоби для видалення запахів</v>
      </c>
      <c r="I1195" s="18">
        <f>IFERROR(__xludf.DUMMYFUNCTION("""COMPUTED_VALUE"""),0.86)</f>
        <v>0.86</v>
      </c>
      <c r="J1195" s="18">
        <f>IFERROR(__xludf.DUMMYFUNCTION("""COMPUTED_VALUE"""),1.71)</f>
        <v>1.71</v>
      </c>
      <c r="K1195" s="18">
        <f>IFERROR(__xludf.DUMMYFUNCTION("""COMPUTED_VALUE"""),2.14)</f>
        <v>2.14</v>
      </c>
      <c r="L1195" s="18">
        <f>IFERROR(__xludf.DUMMYFUNCTION("""COMPUTED_VALUE"""),3.43)</f>
        <v>3.43</v>
      </c>
    </row>
    <row r="1196">
      <c r="A1196" s="13" t="str">
        <f>IFERROR(__xludf.DUMMYFUNCTION("""COMPUTED_VALUE"""),"товари")</f>
        <v>товари</v>
      </c>
      <c r="B1196" s="13" t="str">
        <f>IFERROR(__xludf.DUMMYFUNCTION("""COMPUTED_VALUE"""),"обладнання та товари для надання послуг")</f>
        <v>обладнання та товари для надання послуг</v>
      </c>
      <c r="C1196" s="15" t="str">
        <f>IFERROR(__xludf.DUMMYFUNCTION("""COMPUTED_VALUE"""),"обладнання та засоби для клінінгу")</f>
        <v>обладнання та засоби для клінінгу</v>
      </c>
      <c r="D1196" s="15" t="str">
        <f>IFERROR(__xludf.DUMMYFUNCTION("""COMPUTED_VALUE"""),"обладнання та засоби для прибирання, загальне")</f>
        <v>обладнання та засоби для прибирання, загальне</v>
      </c>
      <c r="E1196" s="15" t="str">
        <f>IFERROR(__xludf.DUMMYFUNCTION("""COMPUTED_VALUE"""),"обладнання та засоби для прибирання, загальне")</f>
        <v>обладнання та засоби для прибирання, загальне</v>
      </c>
      <c r="F1196" s="17">
        <f>IFERROR(__xludf.DUMMYFUNCTION("""COMPUTED_VALUE"""),3.0)</f>
        <v>3</v>
      </c>
      <c r="G1196" s="17">
        <f>IFERROR(__xludf.DUMMYFUNCTION("""COMPUTED_VALUE"""),283031.0)</f>
        <v>283031</v>
      </c>
      <c r="H1196" s="17" t="str">
        <f>IFERROR(__xludf.DUMMYFUNCTION("""COMPUTED_VALUE"""),"обладнання та засоби для прибирання, загальне")</f>
        <v>обладнання та засоби для прибирання, загальне</v>
      </c>
      <c r="I1196" s="18">
        <f>IFERROR(__xludf.DUMMYFUNCTION("""COMPUTED_VALUE"""),2.16)</f>
        <v>2.16</v>
      </c>
      <c r="J1196" s="18">
        <f>IFERROR(__xludf.DUMMYFUNCTION("""COMPUTED_VALUE"""),4.33)</f>
        <v>4.33</v>
      </c>
      <c r="K1196" s="18">
        <f>IFERROR(__xludf.DUMMYFUNCTION("""COMPUTED_VALUE"""),5.41)</f>
        <v>5.41</v>
      </c>
      <c r="L1196" s="18">
        <f>IFERROR(__xludf.DUMMYFUNCTION("""COMPUTED_VALUE"""),8.65)</f>
        <v>8.65</v>
      </c>
    </row>
    <row r="1197">
      <c r="A1197" s="13" t="str">
        <f>IFERROR(__xludf.DUMMYFUNCTION("""COMPUTED_VALUE"""),"товари")</f>
        <v>товари</v>
      </c>
      <c r="B1197" s="13" t="str">
        <f>IFERROR(__xludf.DUMMYFUNCTION("""COMPUTED_VALUE"""),"обладнання та товари для надання послуг")</f>
        <v>обладнання та товари для надання послуг</v>
      </c>
      <c r="C1197" s="15" t="str">
        <f>IFERROR(__xludf.DUMMYFUNCTION("""COMPUTED_VALUE"""),"обладнання для автосервісу")</f>
        <v>обладнання для автосервісу</v>
      </c>
      <c r="D1197" s="15" t="str">
        <f>IFERROR(__xludf.DUMMYFUNCTION("""COMPUTED_VALUE"""),"шиномонтажне обладнання")</f>
        <v>шиномонтажне обладнання</v>
      </c>
      <c r="E1197" s="15" t="str">
        <f>IFERROR(__xludf.DUMMYFUNCTION("""COMPUTED_VALUE"""),"обладнання та комплектуючі для відновлення шин")</f>
        <v>обладнання та комплектуючі для відновлення шин</v>
      </c>
      <c r="F1197" s="17">
        <f>IFERROR(__xludf.DUMMYFUNCTION("""COMPUTED_VALUE"""),4.0)</f>
        <v>4</v>
      </c>
      <c r="G1197" s="17">
        <f>IFERROR(__xludf.DUMMYFUNCTION("""COMPUTED_VALUE"""),1.2110114E7)</f>
        <v>12110114</v>
      </c>
      <c r="H1197" s="17" t="str">
        <f>IFERROR(__xludf.DUMMYFUNCTION("""COMPUTED_VALUE"""),"обладнання та комплектуючі для відновлення шин")</f>
        <v>обладнання та комплектуючі для відновлення шин</v>
      </c>
      <c r="I1197" s="18">
        <f>IFERROR(__xludf.DUMMYFUNCTION("""COMPUTED_VALUE"""),1.62)</f>
        <v>1.62</v>
      </c>
      <c r="J1197" s="18">
        <f>IFERROR(__xludf.DUMMYFUNCTION("""COMPUTED_VALUE"""),3.24)</f>
        <v>3.24</v>
      </c>
      <c r="K1197" s="18">
        <f>IFERROR(__xludf.DUMMYFUNCTION("""COMPUTED_VALUE"""),4.05)</f>
        <v>4.05</v>
      </c>
      <c r="L1197" s="18">
        <f>IFERROR(__xludf.DUMMYFUNCTION("""COMPUTED_VALUE"""),6.48)</f>
        <v>6.48</v>
      </c>
    </row>
    <row r="1198">
      <c r="A1198" s="13" t="str">
        <f>IFERROR(__xludf.DUMMYFUNCTION("""COMPUTED_VALUE"""),"товари")</f>
        <v>товари</v>
      </c>
      <c r="B1198" s="13" t="str">
        <f>IFERROR(__xludf.DUMMYFUNCTION("""COMPUTED_VALUE"""),"обладнання та товари для надання послуг")</f>
        <v>обладнання та товари для надання послуг</v>
      </c>
      <c r="C1198" s="15" t="str">
        <f>IFERROR(__xludf.DUMMYFUNCTION("""COMPUTED_VALUE"""),"обладнання та матеріали для друкарні")</f>
        <v>обладнання та матеріали для друкарні</v>
      </c>
      <c r="D1198" s="15" t="str">
        <f>IFERROR(__xludf.DUMMYFUNCTION("""COMPUTED_VALUE"""),"обладнання та матеріали для друкарні, загальне")</f>
        <v>обладнання та матеріали для друкарні, загальне</v>
      </c>
      <c r="E1198" s="15" t="str">
        <f>IFERROR(__xludf.DUMMYFUNCTION("""COMPUTED_VALUE"""),"обладнання та матеріали для друкарні, загальне")</f>
        <v>обладнання та матеріали для друкарні, загальне</v>
      </c>
      <c r="F1198" s="17">
        <f>IFERROR(__xludf.DUMMYFUNCTION("""COMPUTED_VALUE"""),3.0)</f>
        <v>3</v>
      </c>
      <c r="G1198" s="17">
        <f>IFERROR(__xludf.DUMMYFUNCTION("""COMPUTED_VALUE"""),230904.0)</f>
        <v>230904</v>
      </c>
      <c r="H1198" s="17" t="str">
        <f>IFERROR(__xludf.DUMMYFUNCTION("""COMPUTED_VALUE"""),"обладнання та матеріали для друкарні, загальне")</f>
        <v>обладнання та матеріали для друкарні, загальне</v>
      </c>
      <c r="I1198" s="18">
        <f>IFERROR(__xludf.DUMMYFUNCTION("""COMPUTED_VALUE"""),2.16)</f>
        <v>2.16</v>
      </c>
      <c r="J1198" s="18">
        <f>IFERROR(__xludf.DUMMYFUNCTION("""COMPUTED_VALUE"""),4.33)</f>
        <v>4.33</v>
      </c>
      <c r="K1198" s="18">
        <f>IFERROR(__xludf.DUMMYFUNCTION("""COMPUTED_VALUE"""),5.41)</f>
        <v>5.41</v>
      </c>
      <c r="L1198" s="18">
        <f>IFERROR(__xludf.DUMMYFUNCTION("""COMPUTED_VALUE"""),8.65)</f>
        <v>8.65</v>
      </c>
    </row>
    <row r="1199">
      <c r="A1199" s="13" t="str">
        <f>IFERROR(__xludf.DUMMYFUNCTION("""COMPUTED_VALUE"""),"товари")</f>
        <v>товари</v>
      </c>
      <c r="B1199" s="13" t="str">
        <f>IFERROR(__xludf.DUMMYFUNCTION("""COMPUTED_VALUE"""),"обладнання та товари для надання послуг")</f>
        <v>обладнання та товари для надання послуг</v>
      </c>
      <c r="C1199" s="15" t="str">
        <f>IFERROR(__xludf.DUMMYFUNCTION("""COMPUTED_VALUE"""),"horeca&amp;fast-food")</f>
        <v>horeca&amp;fast-food</v>
      </c>
      <c r="D1199" s="15" t="str">
        <f>IFERROR(__xludf.DUMMYFUNCTION("""COMPUTED_VALUE"""),"електромеханічне обладнання horeca&amp;fast-food")</f>
        <v>електромеханічне обладнання horeca&amp;fast-food</v>
      </c>
      <c r="E1199" s="15" t="str">
        <f>IFERROR(__xludf.DUMMYFUNCTION("""COMPUTED_VALUE"""),"овочерізки та овочечистки професійні")</f>
        <v>овочерізки та овочечистки професійні</v>
      </c>
      <c r="F1199" s="17">
        <f>IFERROR(__xludf.DUMMYFUNCTION("""COMPUTED_VALUE"""),4.0)</f>
        <v>4</v>
      </c>
      <c r="G1199" s="17">
        <f>IFERROR(__xludf.DUMMYFUNCTION("""COMPUTED_VALUE"""),240650.0)</f>
        <v>240650</v>
      </c>
      <c r="H1199" s="17" t="str">
        <f>IFERROR(__xludf.DUMMYFUNCTION("""COMPUTED_VALUE"""),"овочерізки та овочечистки професійні")</f>
        <v>овочерізки та овочечистки професійні</v>
      </c>
      <c r="I1199" s="18">
        <f>IFERROR(__xludf.DUMMYFUNCTION("""COMPUTED_VALUE"""),1.8)</f>
        <v>1.8</v>
      </c>
      <c r="J1199" s="18">
        <f>IFERROR(__xludf.DUMMYFUNCTION("""COMPUTED_VALUE"""),3.6)</f>
        <v>3.6</v>
      </c>
      <c r="K1199" s="18">
        <f>IFERROR(__xludf.DUMMYFUNCTION("""COMPUTED_VALUE"""),4.5)</f>
        <v>4.5</v>
      </c>
      <c r="L1199" s="18">
        <f>IFERROR(__xludf.DUMMYFUNCTION("""COMPUTED_VALUE"""),7.2)</f>
        <v>7.2</v>
      </c>
    </row>
    <row r="1200">
      <c r="A1200" s="13" t="str">
        <f>IFERROR(__xludf.DUMMYFUNCTION("""COMPUTED_VALUE"""),"товари")</f>
        <v>товари</v>
      </c>
      <c r="B1200" s="13" t="str">
        <f>IFERROR(__xludf.DUMMYFUNCTION("""COMPUTED_VALUE"""),"обладнання та товари для надання послуг")</f>
        <v>обладнання та товари для надання послуг</v>
      </c>
      <c r="C1200" s="15" t="str">
        <f>IFERROR(__xludf.DUMMYFUNCTION("""COMPUTED_VALUE"""),"комерційні меблі")</f>
        <v>комерційні меблі</v>
      </c>
      <c r="D1200" s="15" t="str">
        <f>IFERROR(__xludf.DUMMYFUNCTION("""COMPUTED_VALUE"""),"медичні меблі")</f>
        <v>медичні меблі</v>
      </c>
      <c r="E1200" s="15" t="str">
        <f>IFERROR(__xludf.DUMMYFUNCTION("""COMPUTED_VALUE"""),"операційні столи")</f>
        <v>операційні столи</v>
      </c>
      <c r="F1200" s="17">
        <f>IFERROR(__xludf.DUMMYFUNCTION("""COMPUTED_VALUE"""),4.0)</f>
        <v>4</v>
      </c>
      <c r="G1200" s="17">
        <f>IFERROR(__xludf.DUMMYFUNCTION("""COMPUTED_VALUE"""),3.7021006E7)</f>
        <v>37021006</v>
      </c>
      <c r="H1200" s="17" t="str">
        <f>IFERROR(__xludf.DUMMYFUNCTION("""COMPUTED_VALUE"""),"операційні столи")</f>
        <v>операційні столи</v>
      </c>
      <c r="I1200" s="18">
        <f>IFERROR(__xludf.DUMMYFUNCTION("""COMPUTED_VALUE"""),2.7)</f>
        <v>2.7</v>
      </c>
      <c r="J1200" s="18">
        <f>IFERROR(__xludf.DUMMYFUNCTION("""COMPUTED_VALUE"""),5.4)</f>
        <v>5.4</v>
      </c>
      <c r="K1200" s="18">
        <f>IFERROR(__xludf.DUMMYFUNCTION("""COMPUTED_VALUE"""),6.75)</f>
        <v>6.75</v>
      </c>
      <c r="L1200" s="18">
        <f>IFERROR(__xludf.DUMMYFUNCTION("""COMPUTED_VALUE"""),10.8)</f>
        <v>10.8</v>
      </c>
    </row>
    <row r="1201">
      <c r="A1201" s="13" t="str">
        <f>IFERROR(__xludf.DUMMYFUNCTION("""COMPUTED_VALUE"""),"товари")</f>
        <v>товари</v>
      </c>
      <c r="B1201" s="13" t="str">
        <f>IFERROR(__xludf.DUMMYFUNCTION("""COMPUTED_VALUE"""),"обладнання та товари для надання послуг")</f>
        <v>обладнання та товари для надання послуг</v>
      </c>
      <c r="C1201" s="15" t="str">
        <f>IFERROR(__xludf.DUMMYFUNCTION("""COMPUTED_VALUE"""),"обладнання для автосервісу")</f>
        <v>обладнання для автосервісу</v>
      </c>
      <c r="D1201" s="15" t="str">
        <f>IFERROR(__xludf.DUMMYFUNCTION("""COMPUTED_VALUE"""),"інструменти для автосервісу")</f>
        <v>інструменти для автосервісу</v>
      </c>
      <c r="E1201" s="15" t="str">
        <f>IFERROR(__xludf.DUMMYFUNCTION("""COMPUTED_VALUE"""),"оправлення для випрессовкі/запрессовки")</f>
        <v>оправлення для випрессовкі/запрессовки</v>
      </c>
      <c r="F1201" s="17">
        <f>IFERROR(__xludf.DUMMYFUNCTION("""COMPUTED_VALUE"""),4.0)</f>
        <v>4</v>
      </c>
      <c r="G1201" s="17">
        <f>IFERROR(__xludf.DUMMYFUNCTION("""COMPUTED_VALUE"""),1.2110208E7)</f>
        <v>12110208</v>
      </c>
      <c r="H1201" s="17" t="str">
        <f>IFERROR(__xludf.DUMMYFUNCTION("""COMPUTED_VALUE"""),"оправлення для випрессовкі/запрессовки")</f>
        <v>оправлення для випрессовкі/запрессовки</v>
      </c>
      <c r="I1201" s="18">
        <f>IFERROR(__xludf.DUMMYFUNCTION("""COMPUTED_VALUE"""),1.08)</f>
        <v>1.08</v>
      </c>
      <c r="J1201" s="18">
        <f>IFERROR(__xludf.DUMMYFUNCTION("""COMPUTED_VALUE"""),2.16)</f>
        <v>2.16</v>
      </c>
      <c r="K1201" s="18">
        <f>IFERROR(__xludf.DUMMYFUNCTION("""COMPUTED_VALUE"""),2.7)</f>
        <v>2.7</v>
      </c>
      <c r="L1201" s="18">
        <f>IFERROR(__xludf.DUMMYFUNCTION("""COMPUTED_VALUE"""),4.33)</f>
        <v>4.33</v>
      </c>
    </row>
    <row r="1202">
      <c r="A1202" s="13" t="str">
        <f>IFERROR(__xludf.DUMMYFUNCTION("""COMPUTED_VALUE"""),"товари")</f>
        <v>товари</v>
      </c>
      <c r="B1202" s="13" t="str">
        <f>IFERROR(__xludf.DUMMYFUNCTION("""COMPUTED_VALUE"""),"обладнання та товари для надання послуг")</f>
        <v>обладнання та товари для надання послуг</v>
      </c>
      <c r="C1202" s="15" t="str">
        <f>IFERROR(__xludf.DUMMYFUNCTION("""COMPUTED_VALUE"""),"horeca&amp;fast-food")</f>
        <v>horeca&amp;fast-food</v>
      </c>
      <c r="D1202" s="15" t="str">
        <f>IFERROR(__xludf.DUMMYFUNCTION("""COMPUTED_VALUE"""),"опромінювачі та рециркулятори приміщень")</f>
        <v>опромінювачі та рециркулятори приміщень</v>
      </c>
      <c r="E1202" s="15" t="str">
        <f>IFERROR(__xludf.DUMMYFUNCTION("""COMPUTED_VALUE"""),"опромінювачі та рециркулятори приміщень")</f>
        <v>опромінювачі та рециркулятори приміщень</v>
      </c>
      <c r="F1202" s="17">
        <f>IFERROR(__xludf.DUMMYFUNCTION("""COMPUTED_VALUE"""),3.0)</f>
        <v>3</v>
      </c>
      <c r="G1202" s="17">
        <f>IFERROR(__xludf.DUMMYFUNCTION("""COMPUTED_VALUE"""),240663.0)</f>
        <v>240663</v>
      </c>
      <c r="H1202" s="17" t="str">
        <f>IFERROR(__xludf.DUMMYFUNCTION("""COMPUTED_VALUE"""),"опромінювачі та рециркулятори приміщень")</f>
        <v>опромінювачі та рециркулятори приміщень</v>
      </c>
      <c r="I1202" s="18">
        <f>IFERROR(__xludf.DUMMYFUNCTION("""COMPUTED_VALUE"""),0.76)</f>
        <v>0.76</v>
      </c>
      <c r="J1202" s="18">
        <f>IFERROR(__xludf.DUMMYFUNCTION("""COMPUTED_VALUE"""),1.53)</f>
        <v>1.53</v>
      </c>
      <c r="K1202" s="18">
        <f>IFERROR(__xludf.DUMMYFUNCTION("""COMPUTED_VALUE"""),1.91)</f>
        <v>1.91</v>
      </c>
      <c r="L1202" s="18">
        <f>IFERROR(__xludf.DUMMYFUNCTION("""COMPUTED_VALUE"""),3.05)</f>
        <v>3.05</v>
      </c>
    </row>
    <row r="1203">
      <c r="A1203" s="13" t="str">
        <f>IFERROR(__xludf.DUMMYFUNCTION("""COMPUTED_VALUE"""),"товари")</f>
        <v>товари</v>
      </c>
      <c r="B1203" s="13" t="str">
        <f>IFERROR(__xludf.DUMMYFUNCTION("""COMPUTED_VALUE"""),"обладнання та товари для надання послуг")</f>
        <v>обладнання та товари для надання послуг</v>
      </c>
      <c r="C1203" s="15" t="str">
        <f>IFERROR(__xludf.DUMMYFUNCTION("""COMPUTED_VALUE"""),"комерційні меблі")</f>
        <v>комерційні меблі</v>
      </c>
      <c r="D1203" s="15" t="str">
        <f>IFERROR(__xludf.DUMMYFUNCTION("""COMPUTED_VALUE"""),"офісні меблі")</f>
        <v>офісні меблі</v>
      </c>
      <c r="E1203" s="15" t="str">
        <f>IFERROR(__xludf.DUMMYFUNCTION("""COMPUTED_VALUE"""),"перегородки для офісу та дому")</f>
        <v>перегородки для офісу та дому</v>
      </c>
      <c r="F1203" s="17">
        <f>IFERROR(__xludf.DUMMYFUNCTION("""COMPUTED_VALUE"""),4.0)</f>
        <v>4</v>
      </c>
      <c r="G1203" s="17">
        <f>IFERROR(__xludf.DUMMYFUNCTION("""COMPUTED_VALUE"""),3.7013007E7)</f>
        <v>37013007</v>
      </c>
      <c r="H1203" s="17" t="str">
        <f>IFERROR(__xludf.DUMMYFUNCTION("""COMPUTED_VALUE"""),"перегородки для офісу та дому")</f>
        <v>перегородки для офісу та дому</v>
      </c>
      <c r="I1203" s="18">
        <f>IFERROR(__xludf.DUMMYFUNCTION("""COMPUTED_VALUE"""),2.07)</f>
        <v>2.07</v>
      </c>
      <c r="J1203" s="18">
        <f>IFERROR(__xludf.DUMMYFUNCTION("""COMPUTED_VALUE"""),4.14)</f>
        <v>4.14</v>
      </c>
      <c r="K1203" s="18">
        <f>IFERROR(__xludf.DUMMYFUNCTION("""COMPUTED_VALUE"""),5.17)</f>
        <v>5.17</v>
      </c>
      <c r="L1203" s="18">
        <f>IFERROR(__xludf.DUMMYFUNCTION("""COMPUTED_VALUE"""),8.28)</f>
        <v>8.28</v>
      </c>
    </row>
    <row r="1204">
      <c r="A1204" s="13" t="str">
        <f>IFERROR(__xludf.DUMMYFUNCTION("""COMPUTED_VALUE"""),"товари")</f>
        <v>товари</v>
      </c>
      <c r="B1204" s="13" t="str">
        <f>IFERROR(__xludf.DUMMYFUNCTION("""COMPUTED_VALUE"""),"обладнання та товари для надання послуг")</f>
        <v>обладнання та товари для надання послуг</v>
      </c>
      <c r="C1204" s="15" t="str">
        <f>IFERROR(__xludf.DUMMYFUNCTION("""COMPUTED_VALUE"""),"horeca&amp;fast-food")</f>
        <v>horeca&amp;fast-food</v>
      </c>
      <c r="D1204" s="15" t="str">
        <f>IFERROR(__xludf.DUMMYFUNCTION("""COMPUTED_VALUE"""),"теплове обладнання horeca&amp;fast-food")</f>
        <v>теплове обладнання horeca&amp;fast-food</v>
      </c>
      <c r="E1204" s="15" t="str">
        <f>IFERROR(__xludf.DUMMYFUNCTION("""COMPUTED_VALUE"""),"печі ротаційні")</f>
        <v>печі ротаційні</v>
      </c>
      <c r="F1204" s="17">
        <f>IFERROR(__xludf.DUMMYFUNCTION("""COMPUTED_VALUE"""),4.0)</f>
        <v>4</v>
      </c>
      <c r="G1204" s="17">
        <f>IFERROR(__xludf.DUMMYFUNCTION("""COMPUTED_VALUE"""),240682.0)</f>
        <v>240682</v>
      </c>
      <c r="H1204" s="17" t="str">
        <f>IFERROR(__xludf.DUMMYFUNCTION("""COMPUTED_VALUE"""),"печі ротаційні")</f>
        <v>печі ротаційні</v>
      </c>
      <c r="I1204" s="18">
        <f>IFERROR(__xludf.DUMMYFUNCTION("""COMPUTED_VALUE"""),1.98)</f>
        <v>1.98</v>
      </c>
      <c r="J1204" s="18">
        <f>IFERROR(__xludf.DUMMYFUNCTION("""COMPUTED_VALUE"""),3.96)</f>
        <v>3.96</v>
      </c>
      <c r="K1204" s="18">
        <f>IFERROR(__xludf.DUMMYFUNCTION("""COMPUTED_VALUE"""),4.95)</f>
        <v>4.95</v>
      </c>
      <c r="L1204" s="18">
        <f>IFERROR(__xludf.DUMMYFUNCTION("""COMPUTED_VALUE"""),7.93)</f>
        <v>7.93</v>
      </c>
    </row>
    <row r="1205">
      <c r="A1205" s="13" t="str">
        <f>IFERROR(__xludf.DUMMYFUNCTION("""COMPUTED_VALUE"""),"товари")</f>
        <v>товари</v>
      </c>
      <c r="B1205" s="13" t="str">
        <f>IFERROR(__xludf.DUMMYFUNCTION("""COMPUTED_VALUE"""),"обладнання та товари для надання послуг")</f>
        <v>обладнання та товари для надання послуг</v>
      </c>
      <c r="C1205" s="15" t="str">
        <f>IFERROR(__xludf.DUMMYFUNCTION("""COMPUTED_VALUE"""),"horeca&amp;fast-food")</f>
        <v>horeca&amp;fast-food</v>
      </c>
      <c r="D1205" s="15" t="str">
        <f>IFERROR(__xludf.DUMMYFUNCTION("""COMPUTED_VALUE"""),"пивоварні для horeca")</f>
        <v>пивоварні для horeca</v>
      </c>
      <c r="E1205" s="15" t="str">
        <f>IFERROR(__xludf.DUMMYFUNCTION("""COMPUTED_VALUE"""),"пивоварні для horeca")</f>
        <v>пивоварні для horeca</v>
      </c>
      <c r="F1205" s="17">
        <f>IFERROR(__xludf.DUMMYFUNCTION("""COMPUTED_VALUE"""),3.0)</f>
        <v>3</v>
      </c>
      <c r="G1205" s="17">
        <f>IFERROR(__xludf.DUMMYFUNCTION("""COMPUTED_VALUE"""),240660.0)</f>
        <v>240660</v>
      </c>
      <c r="H1205" s="17" t="str">
        <f>IFERROR(__xludf.DUMMYFUNCTION("""COMPUTED_VALUE"""),"пивоварні для horeca")</f>
        <v>пивоварні для horeca</v>
      </c>
      <c r="I1205" s="18">
        <f>IFERROR(__xludf.DUMMYFUNCTION("""COMPUTED_VALUE"""),1.44)</f>
        <v>1.44</v>
      </c>
      <c r="J1205" s="18">
        <f>IFERROR(__xludf.DUMMYFUNCTION("""COMPUTED_VALUE"""),2.88)</f>
        <v>2.88</v>
      </c>
      <c r="K1205" s="18">
        <f>IFERROR(__xludf.DUMMYFUNCTION("""COMPUTED_VALUE"""),3.59)</f>
        <v>3.59</v>
      </c>
      <c r="L1205" s="18">
        <f>IFERROR(__xludf.DUMMYFUNCTION("""COMPUTED_VALUE"""),5.75)</f>
        <v>5.75</v>
      </c>
    </row>
    <row r="1206">
      <c r="A1206" s="13" t="str">
        <f>IFERROR(__xludf.DUMMYFUNCTION("""COMPUTED_VALUE"""),"товари")</f>
        <v>товари</v>
      </c>
      <c r="B1206" s="13" t="str">
        <f>IFERROR(__xludf.DUMMYFUNCTION("""COMPUTED_VALUE"""),"обладнання та товари для надання послуг")</f>
        <v>обладнання та товари для надання послуг</v>
      </c>
      <c r="C1206" s="15" t="str">
        <f>IFERROR(__xludf.DUMMYFUNCTION("""COMPUTED_VALUE"""),"horeca&amp;fast-food")</f>
        <v>horeca&amp;fast-food</v>
      </c>
      <c r="D1206" s="15" t="str">
        <f>IFERROR(__xludf.DUMMYFUNCTION("""COMPUTED_VALUE"""),"електромеханічне обладнання horeca&amp;fast-food")</f>
        <v>електромеханічне обладнання horeca&amp;fast-food</v>
      </c>
      <c r="E1206" s="15" t="str">
        <f>IFERROR(__xludf.DUMMYFUNCTION("""COMPUTED_VALUE"""),"пилососи центральні")</f>
        <v>пилососи центральні</v>
      </c>
      <c r="F1206" s="17">
        <f>IFERROR(__xludf.DUMMYFUNCTION("""COMPUTED_VALUE"""),4.0)</f>
        <v>4</v>
      </c>
      <c r="G1206" s="17">
        <f>IFERROR(__xludf.DUMMYFUNCTION("""COMPUTED_VALUE"""),62710.0)</f>
        <v>62710</v>
      </c>
      <c r="H1206" s="17" t="str">
        <f>IFERROR(__xludf.DUMMYFUNCTION("""COMPUTED_VALUE"""),"пилососи центральні")</f>
        <v>пилососи центральні</v>
      </c>
      <c r="I1206" s="18">
        <f>IFERROR(__xludf.DUMMYFUNCTION("""COMPUTED_VALUE"""),1.8)</f>
        <v>1.8</v>
      </c>
      <c r="J1206" s="18">
        <f>IFERROR(__xludf.DUMMYFUNCTION("""COMPUTED_VALUE"""),3.6)</f>
        <v>3.6</v>
      </c>
      <c r="K1206" s="18">
        <f>IFERROR(__xludf.DUMMYFUNCTION("""COMPUTED_VALUE"""),4.5)</f>
        <v>4.5</v>
      </c>
      <c r="L1206" s="18">
        <f>IFERROR(__xludf.DUMMYFUNCTION("""COMPUTED_VALUE"""),7.2)</f>
        <v>7.2</v>
      </c>
    </row>
    <row r="1207">
      <c r="A1207" s="13" t="str">
        <f>IFERROR(__xludf.DUMMYFUNCTION("""COMPUTED_VALUE"""),"товари")</f>
        <v>товари</v>
      </c>
      <c r="B1207" s="13" t="str">
        <f>IFERROR(__xludf.DUMMYFUNCTION("""COMPUTED_VALUE"""),"обладнання та товари для надання послуг")</f>
        <v>обладнання та товари для надання послуг</v>
      </c>
      <c r="C1207" s="15" t="str">
        <f>IFERROR(__xludf.DUMMYFUNCTION("""COMPUTED_VALUE"""),"обладнання для автосервісу")</f>
        <v>обладнання для автосервісу</v>
      </c>
      <c r="D1207" s="15" t="str">
        <f>IFERROR(__xludf.DUMMYFUNCTION("""COMPUTED_VALUE"""),"підйомне устаткування")</f>
        <v>підйомне устаткування</v>
      </c>
      <c r="E1207" s="15" t="str">
        <f>IFERROR(__xludf.DUMMYFUNCTION("""COMPUTED_VALUE"""),"підйомне устаткування, загальне")</f>
        <v>підйомне устаткування, загальне</v>
      </c>
      <c r="F1207" s="17">
        <f>IFERROR(__xludf.DUMMYFUNCTION("""COMPUTED_VALUE"""),4.0)</f>
        <v>4</v>
      </c>
      <c r="G1207" s="17">
        <f>IFERROR(__xludf.DUMMYFUNCTION("""COMPUTED_VALUE"""),1.2110305E7)</f>
        <v>12110305</v>
      </c>
      <c r="H1207" s="17" t="str">
        <f>IFERROR(__xludf.DUMMYFUNCTION("""COMPUTED_VALUE"""),"підйомне устаткування, загальне")</f>
        <v>підйомне устаткування, загальне</v>
      </c>
      <c r="I1207" s="18">
        <f>IFERROR(__xludf.DUMMYFUNCTION("""COMPUTED_VALUE"""),2.16)</f>
        <v>2.16</v>
      </c>
      <c r="J1207" s="18">
        <f>IFERROR(__xludf.DUMMYFUNCTION("""COMPUTED_VALUE"""),4.33)</f>
        <v>4.33</v>
      </c>
      <c r="K1207" s="18">
        <f>IFERROR(__xludf.DUMMYFUNCTION("""COMPUTED_VALUE"""),5.41)</f>
        <v>5.41</v>
      </c>
      <c r="L1207" s="18">
        <f>IFERROR(__xludf.DUMMYFUNCTION("""COMPUTED_VALUE"""),8.65)</f>
        <v>8.65</v>
      </c>
    </row>
    <row r="1208">
      <c r="A1208" s="13" t="str">
        <f>IFERROR(__xludf.DUMMYFUNCTION("""COMPUTED_VALUE"""),"товари")</f>
        <v>товари</v>
      </c>
      <c r="B1208" s="13" t="str">
        <f>IFERROR(__xludf.DUMMYFUNCTION("""COMPUTED_VALUE"""),"обладнання та товари для надання послуг")</f>
        <v>обладнання та товари для надання послуг</v>
      </c>
      <c r="C1208" s="15" t="str">
        <f>IFERROR(__xludf.DUMMYFUNCTION("""COMPUTED_VALUE"""),"обладнання для автосервісу")</f>
        <v>обладнання для автосервісу</v>
      </c>
      <c r="D1208" s="15" t="str">
        <f>IFERROR(__xludf.DUMMYFUNCTION("""COMPUTED_VALUE"""),"підйомне устаткування")</f>
        <v>підйомне устаткування</v>
      </c>
      <c r="E1208" s="15" t="str">
        <f>IFERROR(__xludf.DUMMYFUNCTION("""COMPUTED_VALUE"""),"підйомники автомобільні")</f>
        <v>підйомники автомобільні</v>
      </c>
      <c r="F1208" s="17">
        <f>IFERROR(__xludf.DUMMYFUNCTION("""COMPUTED_VALUE"""),4.0)</f>
        <v>4</v>
      </c>
      <c r="G1208" s="17">
        <f>IFERROR(__xludf.DUMMYFUNCTION("""COMPUTED_VALUE"""),1.2110301E7)</f>
        <v>12110301</v>
      </c>
      <c r="H1208" s="17" t="str">
        <f>IFERROR(__xludf.DUMMYFUNCTION("""COMPUTED_VALUE"""),"підйомники автомобільні")</f>
        <v>підйомники автомобільні</v>
      </c>
      <c r="I1208" s="18">
        <f>IFERROR(__xludf.DUMMYFUNCTION("""COMPUTED_VALUE"""),2.25)</f>
        <v>2.25</v>
      </c>
      <c r="J1208" s="18">
        <f>IFERROR(__xludf.DUMMYFUNCTION("""COMPUTED_VALUE"""),4.5)</f>
        <v>4.5</v>
      </c>
      <c r="K1208" s="18">
        <f>IFERROR(__xludf.DUMMYFUNCTION("""COMPUTED_VALUE"""),5.63)</f>
        <v>5.63</v>
      </c>
      <c r="L1208" s="18">
        <f>IFERROR(__xludf.DUMMYFUNCTION("""COMPUTED_VALUE"""),9.0)</f>
        <v>9</v>
      </c>
    </row>
    <row r="1209">
      <c r="A1209" s="13" t="str">
        <f>IFERROR(__xludf.DUMMYFUNCTION("""COMPUTED_VALUE"""),"товари")</f>
        <v>товари</v>
      </c>
      <c r="B1209" s="13" t="str">
        <f>IFERROR(__xludf.DUMMYFUNCTION("""COMPUTED_VALUE"""),"обладнання та товари для надання послуг")</f>
        <v>обладнання та товари для надання послуг</v>
      </c>
      <c r="C1209" s="15" t="str">
        <f>IFERROR(__xludf.DUMMYFUNCTION("""COMPUTED_VALUE"""),"обладнання та засоби для клінінгу")</f>
        <v>обладнання та засоби для клінінгу</v>
      </c>
      <c r="D1209" s="15" t="str">
        <f>IFERROR(__xludf.DUMMYFUNCTION("""COMPUTED_VALUE"""),"підлогонатирачі")</f>
        <v>підлогонатирачі</v>
      </c>
      <c r="E1209" s="15" t="str">
        <f>IFERROR(__xludf.DUMMYFUNCTION("""COMPUTED_VALUE"""),"підлогонатирачі")</f>
        <v>підлогонатирачі</v>
      </c>
      <c r="F1209" s="17">
        <f>IFERROR(__xludf.DUMMYFUNCTION("""COMPUTED_VALUE"""),3.0)</f>
        <v>3</v>
      </c>
      <c r="G1209" s="17">
        <f>IFERROR(__xludf.DUMMYFUNCTION("""COMPUTED_VALUE"""),147004.0)</f>
        <v>147004</v>
      </c>
      <c r="H1209" s="17" t="str">
        <f>IFERROR(__xludf.DUMMYFUNCTION("""COMPUTED_VALUE"""),"підлогонатирачі")</f>
        <v>підлогонатирачі</v>
      </c>
      <c r="I1209" s="18">
        <f>IFERROR(__xludf.DUMMYFUNCTION("""COMPUTED_VALUE"""),0.76)</f>
        <v>0.76</v>
      </c>
      <c r="J1209" s="18">
        <f>IFERROR(__xludf.DUMMYFUNCTION("""COMPUTED_VALUE"""),1.53)</f>
        <v>1.53</v>
      </c>
      <c r="K1209" s="18">
        <f>IFERROR(__xludf.DUMMYFUNCTION("""COMPUTED_VALUE"""),1.91)</f>
        <v>1.91</v>
      </c>
      <c r="L1209" s="18">
        <f>IFERROR(__xludf.DUMMYFUNCTION("""COMPUTED_VALUE"""),3.05)</f>
        <v>3.05</v>
      </c>
    </row>
    <row r="1210">
      <c r="A1210" s="13" t="str">
        <f>IFERROR(__xludf.DUMMYFUNCTION("""COMPUTED_VALUE"""),"товари")</f>
        <v>товари</v>
      </c>
      <c r="B1210" s="13" t="str">
        <f>IFERROR(__xludf.DUMMYFUNCTION("""COMPUTED_VALUE"""),"обладнання та товари для надання послуг")</f>
        <v>обладнання та товари для надання послуг</v>
      </c>
      <c r="C1210" s="15" t="str">
        <f>IFERROR(__xludf.DUMMYFUNCTION("""COMPUTED_VALUE"""),"банківське обладнання")</f>
        <v>банківське обладнання</v>
      </c>
      <c r="D1210" s="15" t="str">
        <f>IFERROR(__xludf.DUMMYFUNCTION("""COMPUTED_VALUE"""),"платіжні термінали")</f>
        <v>платіжні термінали</v>
      </c>
      <c r="E1210" s="15" t="str">
        <f>IFERROR(__xludf.DUMMYFUNCTION("""COMPUTED_VALUE"""),"платіжні термінали")</f>
        <v>платіжні термінали</v>
      </c>
      <c r="F1210" s="17">
        <f>IFERROR(__xludf.DUMMYFUNCTION("""COMPUTED_VALUE"""),3.0)</f>
        <v>3</v>
      </c>
      <c r="G1210" s="17">
        <f>IFERROR(__xludf.DUMMYFUNCTION("""COMPUTED_VALUE"""),51007.0)</f>
        <v>51007</v>
      </c>
      <c r="H1210" s="17" t="str">
        <f>IFERROR(__xludf.DUMMYFUNCTION("""COMPUTED_VALUE"""),"платіжні термінали")</f>
        <v>платіжні термінали</v>
      </c>
      <c r="I1210" s="18">
        <f>IFERROR(__xludf.DUMMYFUNCTION("""COMPUTED_VALUE"""),0.76)</f>
        <v>0.76</v>
      </c>
      <c r="J1210" s="18">
        <f>IFERROR(__xludf.DUMMYFUNCTION("""COMPUTED_VALUE"""),1.53)</f>
        <v>1.53</v>
      </c>
      <c r="K1210" s="18">
        <f>IFERROR(__xludf.DUMMYFUNCTION("""COMPUTED_VALUE"""),1.91)</f>
        <v>1.91</v>
      </c>
      <c r="L1210" s="18">
        <f>IFERROR(__xludf.DUMMYFUNCTION("""COMPUTED_VALUE"""),3.05)</f>
        <v>3.05</v>
      </c>
    </row>
    <row r="1211">
      <c r="A1211" s="13" t="str">
        <f>IFERROR(__xludf.DUMMYFUNCTION("""COMPUTED_VALUE"""),"товари")</f>
        <v>товари</v>
      </c>
      <c r="B1211" s="13" t="str">
        <f>IFERROR(__xludf.DUMMYFUNCTION("""COMPUTED_VALUE"""),"обладнання та товари для надання послуг")</f>
        <v>обладнання та товари для надання послуг</v>
      </c>
      <c r="C1211" s="15" t="str">
        <f>IFERROR(__xludf.DUMMYFUNCTION("""COMPUTED_VALUE"""),"обладнання для торгівлі")</f>
        <v>обладнання для торгівлі</v>
      </c>
      <c r="D1211" s="15" t="str">
        <f>IFERROR(__xludf.DUMMYFUNCTION("""COMPUTED_VALUE"""),"теплове обладнання для вуличної торгівлі")</f>
        <v>теплове обладнання для вуличної торгівлі</v>
      </c>
      <c r="E1211" s="15" t="str">
        <f>IFERROR(__xludf.DUMMYFUNCTION("""COMPUTED_VALUE"""),"пончикові апарати професійні")</f>
        <v>пончикові апарати професійні</v>
      </c>
      <c r="F1211" s="17">
        <f>IFERROR(__xludf.DUMMYFUNCTION("""COMPUTED_VALUE"""),4.0)</f>
        <v>4</v>
      </c>
      <c r="G1211" s="17">
        <f>IFERROR(__xludf.DUMMYFUNCTION("""COMPUTED_VALUE"""),2200911.0)</f>
        <v>2200911</v>
      </c>
      <c r="H1211" s="17" t="str">
        <f>IFERROR(__xludf.DUMMYFUNCTION("""COMPUTED_VALUE"""),"пончикові апарати професійні")</f>
        <v>пончикові апарати професійні</v>
      </c>
      <c r="I1211" s="18">
        <f>IFERROR(__xludf.DUMMYFUNCTION("""COMPUTED_VALUE"""),0.99)</f>
        <v>0.99</v>
      </c>
      <c r="J1211" s="18">
        <f>IFERROR(__xludf.DUMMYFUNCTION("""COMPUTED_VALUE"""),1.98)</f>
        <v>1.98</v>
      </c>
      <c r="K1211" s="18">
        <f>IFERROR(__xludf.DUMMYFUNCTION("""COMPUTED_VALUE"""),2.47)</f>
        <v>2.47</v>
      </c>
      <c r="L1211" s="18">
        <f>IFERROR(__xludf.DUMMYFUNCTION("""COMPUTED_VALUE"""),3.95)</f>
        <v>3.95</v>
      </c>
    </row>
    <row r="1212">
      <c r="A1212" s="13" t="str">
        <f>IFERROR(__xludf.DUMMYFUNCTION("""COMPUTED_VALUE"""),"товари")</f>
        <v>товари</v>
      </c>
      <c r="B1212" s="13" t="str">
        <f>IFERROR(__xludf.DUMMYFUNCTION("""COMPUTED_VALUE"""),"обладнання та товари для надання послуг")</f>
        <v>обладнання та товари для надання послуг</v>
      </c>
      <c r="C1212" s="15" t="str">
        <f>IFERROR(__xludf.DUMMYFUNCTION("""COMPUTED_VALUE"""),"horeca&amp;fast-food")</f>
        <v>horeca&amp;fast-food</v>
      </c>
      <c r="D1212" s="15" t="str">
        <f>IFERROR(__xludf.DUMMYFUNCTION("""COMPUTED_VALUE"""),"електромеханічне обладнання horeca&amp;fast-food")</f>
        <v>електромеханічне обладнання horeca&amp;fast-food</v>
      </c>
      <c r="E1212" s="15" t="str">
        <f>IFERROR(__xludf.DUMMYFUNCTION("""COMPUTED_VALUE"""),"прес для піци")</f>
        <v>прес для піци</v>
      </c>
      <c r="F1212" s="17">
        <f>IFERROR(__xludf.DUMMYFUNCTION("""COMPUTED_VALUE"""),4.0)</f>
        <v>4</v>
      </c>
      <c r="G1212" s="17">
        <f>IFERROR(__xludf.DUMMYFUNCTION("""COMPUTED_VALUE"""),2200904.0)</f>
        <v>2200904</v>
      </c>
      <c r="H1212" s="17" t="str">
        <f>IFERROR(__xludf.DUMMYFUNCTION("""COMPUTED_VALUE"""),"прес для піци")</f>
        <v>прес для піци</v>
      </c>
      <c r="I1212" s="18">
        <f>IFERROR(__xludf.DUMMYFUNCTION("""COMPUTED_VALUE"""),1.8)</f>
        <v>1.8</v>
      </c>
      <c r="J1212" s="18">
        <f>IFERROR(__xludf.DUMMYFUNCTION("""COMPUTED_VALUE"""),3.6)</f>
        <v>3.6</v>
      </c>
      <c r="K1212" s="18">
        <f>IFERROR(__xludf.DUMMYFUNCTION("""COMPUTED_VALUE"""),4.5)</f>
        <v>4.5</v>
      </c>
      <c r="L1212" s="18">
        <f>IFERROR(__xludf.DUMMYFUNCTION("""COMPUTED_VALUE"""),7.2)</f>
        <v>7.2</v>
      </c>
    </row>
    <row r="1213">
      <c r="A1213" s="13" t="str">
        <f>IFERROR(__xludf.DUMMYFUNCTION("""COMPUTED_VALUE"""),"товари")</f>
        <v>товари</v>
      </c>
      <c r="B1213" s="13" t="str">
        <f>IFERROR(__xludf.DUMMYFUNCTION("""COMPUTED_VALUE"""),"обладнання та товари для надання послуг")</f>
        <v>обладнання та товари для надання послуг</v>
      </c>
      <c r="C1213" s="15" t="str">
        <f>IFERROR(__xludf.DUMMYFUNCTION("""COMPUTED_VALUE"""),"обладнання для автосервісу")</f>
        <v>обладнання для автосервісу</v>
      </c>
      <c r="D1213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1213" s="15" t="str">
        <f>IFERROR(__xludf.DUMMYFUNCTION("""COMPUTED_VALUE"""),"прилади для перевірки і регулювання світла фар")</f>
        <v>прилади для перевірки і регулювання світла фар</v>
      </c>
      <c r="F1213" s="17">
        <f>IFERROR(__xludf.DUMMYFUNCTION("""COMPUTED_VALUE"""),4.0)</f>
        <v>4</v>
      </c>
      <c r="G1213" s="17">
        <f>IFERROR(__xludf.DUMMYFUNCTION("""COMPUTED_VALUE"""),1.2110608E7)</f>
        <v>12110608</v>
      </c>
      <c r="H1213" s="17" t="str">
        <f>IFERROR(__xludf.DUMMYFUNCTION("""COMPUTED_VALUE"""),"прилади для перевірки і регулювання світла фар")</f>
        <v>прилади для перевірки і регулювання світла фар</v>
      </c>
      <c r="I1213" s="18">
        <f>IFERROR(__xludf.DUMMYFUNCTION("""COMPUTED_VALUE"""),1.95)</f>
        <v>1.95</v>
      </c>
      <c r="J1213" s="18">
        <f>IFERROR(__xludf.DUMMYFUNCTION("""COMPUTED_VALUE"""),3.9)</f>
        <v>3.9</v>
      </c>
      <c r="K1213" s="18">
        <f>IFERROR(__xludf.DUMMYFUNCTION("""COMPUTED_VALUE"""),4.88)</f>
        <v>4.88</v>
      </c>
      <c r="L1213" s="18">
        <f>IFERROR(__xludf.DUMMYFUNCTION("""COMPUTED_VALUE"""),7.8)</f>
        <v>7.8</v>
      </c>
    </row>
    <row r="1214">
      <c r="A1214" s="13" t="str">
        <f>IFERROR(__xludf.DUMMYFUNCTION("""COMPUTED_VALUE"""),"товари")</f>
        <v>товари</v>
      </c>
      <c r="B1214" s="13" t="str">
        <f>IFERROR(__xludf.DUMMYFUNCTION("""COMPUTED_VALUE"""),"обладнання та товари для надання послуг")</f>
        <v>обладнання та товари для надання послуг</v>
      </c>
      <c r="C1214" s="15" t="str">
        <f>IFERROR(__xludf.DUMMYFUNCTION("""COMPUTED_VALUE"""),"обладнання та матеріали для друкарні")</f>
        <v>обладнання та матеріали для друкарні</v>
      </c>
      <c r="D1214" s="15" t="str">
        <f>IFERROR(__xludf.DUMMYFUNCTION("""COMPUTED_VALUE"""),"друкарське устаткування")</f>
        <v>друкарське устаткування</v>
      </c>
      <c r="E1214" s="15" t="str">
        <f>IFERROR(__xludf.DUMMYFUNCTION("""COMPUTED_VALUE"""),"принтери пластикових карт")</f>
        <v>принтери пластикових карт</v>
      </c>
      <c r="F1214" s="17">
        <f>IFERROR(__xludf.DUMMYFUNCTION("""COMPUTED_VALUE"""),4.0)</f>
        <v>4</v>
      </c>
      <c r="G1214" s="17">
        <f>IFERROR(__xludf.DUMMYFUNCTION("""COMPUTED_VALUE"""),230929.0)</f>
        <v>230929</v>
      </c>
      <c r="H1214" s="17" t="str">
        <f>IFERROR(__xludf.DUMMYFUNCTION("""COMPUTED_VALUE"""),"принтери пластикових карт")</f>
        <v>принтери пластикових карт</v>
      </c>
      <c r="I1214" s="18">
        <f>IFERROR(__xludf.DUMMYFUNCTION("""COMPUTED_VALUE"""),1.17)</f>
        <v>1.17</v>
      </c>
      <c r="J1214" s="18">
        <f>IFERROR(__xludf.DUMMYFUNCTION("""COMPUTED_VALUE"""),2.34)</f>
        <v>2.34</v>
      </c>
      <c r="K1214" s="18">
        <f>IFERROR(__xludf.DUMMYFUNCTION("""COMPUTED_VALUE"""),2.92)</f>
        <v>2.92</v>
      </c>
      <c r="L1214" s="18">
        <f>IFERROR(__xludf.DUMMYFUNCTION("""COMPUTED_VALUE"""),4.68)</f>
        <v>4.68</v>
      </c>
    </row>
    <row r="1215">
      <c r="A1215" s="13" t="str">
        <f>IFERROR(__xludf.DUMMYFUNCTION("""COMPUTED_VALUE"""),"товари")</f>
        <v>товари</v>
      </c>
      <c r="B1215" s="13" t="str">
        <f>IFERROR(__xludf.DUMMYFUNCTION("""COMPUTED_VALUE"""),"обладнання та товари для надання послуг")</f>
        <v>обладнання та товари для надання послуг</v>
      </c>
      <c r="C1215" s="15" t="str">
        <f>IFERROR(__xludf.DUMMYFUNCTION("""COMPUTED_VALUE"""),"пральне обладнання")</f>
        <v>пральне обладнання</v>
      </c>
      <c r="D1215" s="15" t="str">
        <f>IFERROR(__xludf.DUMMYFUNCTION("""COMPUTED_VALUE"""),"промислове прасувальне обладнання")</f>
        <v>промислове прасувальне обладнання</v>
      </c>
      <c r="E1215" s="15" t="str">
        <f>IFERROR(__xludf.DUMMYFUNCTION("""COMPUTED_VALUE"""),"промислове прасувальне обладнання")</f>
        <v>промислове прасувальне обладнання</v>
      </c>
      <c r="F1215" s="17">
        <f>IFERROR(__xludf.DUMMYFUNCTION("""COMPUTED_VALUE"""),3.0)</f>
        <v>3</v>
      </c>
      <c r="G1215" s="17">
        <f>IFERROR(__xludf.DUMMYFUNCTION("""COMPUTED_VALUE"""),282921.0)</f>
        <v>282921</v>
      </c>
      <c r="H1215" s="17" t="str">
        <f>IFERROR(__xludf.DUMMYFUNCTION("""COMPUTED_VALUE"""),"промислове прасувальне обладнання")</f>
        <v>промислове прасувальне обладнання</v>
      </c>
      <c r="I1215" s="18">
        <f>IFERROR(__xludf.DUMMYFUNCTION("""COMPUTED_VALUE"""),1.71)</f>
        <v>1.71</v>
      </c>
      <c r="J1215" s="18">
        <f>IFERROR(__xludf.DUMMYFUNCTION("""COMPUTED_VALUE"""),3.43)</f>
        <v>3.43</v>
      </c>
      <c r="K1215" s="18">
        <f>IFERROR(__xludf.DUMMYFUNCTION("""COMPUTED_VALUE"""),4.28)</f>
        <v>4.28</v>
      </c>
      <c r="L1215" s="18">
        <f>IFERROR(__xludf.DUMMYFUNCTION("""COMPUTED_VALUE"""),6.85)</f>
        <v>6.85</v>
      </c>
    </row>
    <row r="1216">
      <c r="A1216" s="13" t="str">
        <f>IFERROR(__xludf.DUMMYFUNCTION("""COMPUTED_VALUE"""),"товари")</f>
        <v>товари</v>
      </c>
      <c r="B1216" s="13" t="str">
        <f>IFERROR(__xludf.DUMMYFUNCTION("""COMPUTED_VALUE"""),"обладнання та товари для надання послуг")</f>
        <v>обладнання та товари для надання послуг</v>
      </c>
      <c r="C1216" s="15" t="str">
        <f>IFERROR(__xludf.DUMMYFUNCTION("""COMPUTED_VALUE"""),"комерційні меблі")</f>
        <v>комерційні меблі</v>
      </c>
      <c r="D1216" s="15" t="str">
        <f>IFERROR(__xludf.DUMMYFUNCTION("""COMPUTED_VALUE"""),"промислові меблі")</f>
        <v>промислові меблі</v>
      </c>
      <c r="E1216" s="15" t="str">
        <f>IFERROR(__xludf.DUMMYFUNCTION("""COMPUTED_VALUE"""),"промислові меблі, загальне")</f>
        <v>промислові меблі, загальне</v>
      </c>
      <c r="F1216" s="17">
        <f>IFERROR(__xludf.DUMMYFUNCTION("""COMPUTED_VALUE"""),4.0)</f>
        <v>4</v>
      </c>
      <c r="G1216" s="17">
        <f>IFERROR(__xludf.DUMMYFUNCTION("""COMPUTED_VALUE"""),1.5030121E7)</f>
        <v>15030121</v>
      </c>
      <c r="H1216" s="17" t="str">
        <f>IFERROR(__xludf.DUMMYFUNCTION("""COMPUTED_VALUE"""),"промислові меблі, загальне")</f>
        <v>промислові меблі, загальне</v>
      </c>
      <c r="I1216" s="18">
        <f>IFERROR(__xludf.DUMMYFUNCTION("""COMPUTED_VALUE"""),2.16)</f>
        <v>2.16</v>
      </c>
      <c r="J1216" s="18">
        <f>IFERROR(__xludf.DUMMYFUNCTION("""COMPUTED_VALUE"""),4.33)</f>
        <v>4.33</v>
      </c>
      <c r="K1216" s="18">
        <f>IFERROR(__xludf.DUMMYFUNCTION("""COMPUTED_VALUE"""),5.41)</f>
        <v>5.41</v>
      </c>
      <c r="L1216" s="18">
        <f>IFERROR(__xludf.DUMMYFUNCTION("""COMPUTED_VALUE"""),8.65)</f>
        <v>8.65</v>
      </c>
    </row>
    <row r="1217">
      <c r="A1217" s="13" t="str">
        <f>IFERROR(__xludf.DUMMYFUNCTION("""COMPUTED_VALUE"""),"товари")</f>
        <v>товари</v>
      </c>
      <c r="B1217" s="13" t="str">
        <f>IFERROR(__xludf.DUMMYFUNCTION("""COMPUTED_VALUE"""),"обладнання та товари для надання послуг")</f>
        <v>обладнання та товари для надання послуг</v>
      </c>
      <c r="C1217" s="15" t="str">
        <f>IFERROR(__xludf.DUMMYFUNCTION("""COMPUTED_VALUE"""),"професійне аудіо-, відео-, фото обладнання")</f>
        <v>професійне аудіо-, відео-, фото обладнання</v>
      </c>
      <c r="D1217" s="15" t="str">
        <f>IFERROR(__xludf.DUMMYFUNCTION("""COMPUTED_VALUE"""),"професійні рекордери")</f>
        <v>професійні рекордери</v>
      </c>
      <c r="E1217" s="15" t="str">
        <f>IFERROR(__xludf.DUMMYFUNCTION("""COMPUTED_VALUE"""),"професійні рекордери")</f>
        <v>професійні рекордери</v>
      </c>
      <c r="F1217" s="17">
        <f>IFERROR(__xludf.DUMMYFUNCTION("""COMPUTED_VALUE"""),3.0)</f>
        <v>3</v>
      </c>
      <c r="G1217" s="17">
        <f>IFERROR(__xludf.DUMMYFUNCTION("""COMPUTED_VALUE"""),6371812.0)</f>
        <v>6371812</v>
      </c>
      <c r="H1217" s="17" t="str">
        <f>IFERROR(__xludf.DUMMYFUNCTION("""COMPUTED_VALUE"""),"професійні рекордери")</f>
        <v>професійні рекордери</v>
      </c>
      <c r="I1217" s="18">
        <f>IFERROR(__xludf.DUMMYFUNCTION("""COMPUTED_VALUE"""),0.86)</f>
        <v>0.86</v>
      </c>
      <c r="J1217" s="18">
        <f>IFERROR(__xludf.DUMMYFUNCTION("""COMPUTED_VALUE"""),1.71)</f>
        <v>1.71</v>
      </c>
      <c r="K1217" s="18">
        <f>IFERROR(__xludf.DUMMYFUNCTION("""COMPUTED_VALUE"""),2.14)</f>
        <v>2.14</v>
      </c>
      <c r="L1217" s="18">
        <f>IFERROR(__xludf.DUMMYFUNCTION("""COMPUTED_VALUE"""),3.43)</f>
        <v>3.43</v>
      </c>
    </row>
    <row r="1218">
      <c r="A1218" s="13" t="str">
        <f>IFERROR(__xludf.DUMMYFUNCTION("""COMPUTED_VALUE"""),"товари")</f>
        <v>товари</v>
      </c>
      <c r="B1218" s="13" t="str">
        <f>IFERROR(__xludf.DUMMYFUNCTION("""COMPUTED_VALUE"""),"обладнання та товари для надання послуг")</f>
        <v>обладнання та товари для надання послуг</v>
      </c>
      <c r="C1218" s="15" t="str">
        <f>IFERROR(__xludf.DUMMYFUNCTION("""COMPUTED_VALUE"""),"товари для спортивної інфраструктури")</f>
        <v>товари для спортивної інфраструктури</v>
      </c>
      <c r="D1218" s="15" t="str">
        <f>IFERROR(__xludf.DUMMYFUNCTION("""COMPUTED_VALUE"""),"професійні тренажери")</f>
        <v>професійні тренажери</v>
      </c>
      <c r="E1218" s="15" t="str">
        <f>IFERROR(__xludf.DUMMYFUNCTION("""COMPUTED_VALUE"""),"професійні тренажери, загальне")</f>
        <v>професійні тренажери, загальне</v>
      </c>
      <c r="F1218" s="17">
        <f>IFERROR(__xludf.DUMMYFUNCTION("""COMPUTED_VALUE"""),4.0)</f>
        <v>4</v>
      </c>
      <c r="G1218" s="17">
        <f>IFERROR(__xludf.DUMMYFUNCTION("""COMPUTED_VALUE"""),283067.0)</f>
        <v>283067</v>
      </c>
      <c r="H1218" s="17" t="str">
        <f>IFERROR(__xludf.DUMMYFUNCTION("""COMPUTED_VALUE"""),"професійні тренажери, загальне")</f>
        <v>професійні тренажери, загальне</v>
      </c>
      <c r="I1218" s="18">
        <f>IFERROR(__xludf.DUMMYFUNCTION("""COMPUTED_VALUE"""),2.16)</f>
        <v>2.16</v>
      </c>
      <c r="J1218" s="18">
        <f>IFERROR(__xludf.DUMMYFUNCTION("""COMPUTED_VALUE"""),4.33)</f>
        <v>4.33</v>
      </c>
      <c r="K1218" s="18">
        <f>IFERROR(__xludf.DUMMYFUNCTION("""COMPUTED_VALUE"""),5.41)</f>
        <v>5.41</v>
      </c>
      <c r="L1218" s="18">
        <f>IFERROR(__xludf.DUMMYFUNCTION("""COMPUTED_VALUE"""),8.65)</f>
        <v>8.65</v>
      </c>
    </row>
    <row r="1219">
      <c r="A1219" s="13" t="str">
        <f>IFERROR(__xludf.DUMMYFUNCTION("""COMPUTED_VALUE"""),"товари")</f>
        <v>товари</v>
      </c>
      <c r="B1219" s="13" t="str">
        <f>IFERROR(__xludf.DUMMYFUNCTION("""COMPUTED_VALUE"""),"обладнання та товари для надання послуг")</f>
        <v>обладнання та товари для надання послуг</v>
      </c>
      <c r="C1219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219" s="15" t="str">
        <f>IFERROR(__xludf.DUMMYFUNCTION("""COMPUTED_VALUE"""),"рекламні екрани")</f>
        <v>рекламні екрани</v>
      </c>
      <c r="E1219" s="15" t="str">
        <f>IFERROR(__xludf.DUMMYFUNCTION("""COMPUTED_VALUE"""),"рекламні екрани")</f>
        <v>рекламні екрани</v>
      </c>
      <c r="F1219" s="17">
        <f>IFERROR(__xludf.DUMMYFUNCTION("""COMPUTED_VALUE"""),3.0)</f>
        <v>3</v>
      </c>
      <c r="G1219" s="17">
        <f>IFERROR(__xludf.DUMMYFUNCTION("""COMPUTED_VALUE"""),4004.0)</f>
        <v>4004</v>
      </c>
      <c r="H1219" s="17" t="str">
        <f>IFERROR(__xludf.DUMMYFUNCTION("""COMPUTED_VALUE"""),"рекламні екрани")</f>
        <v>рекламні екрани</v>
      </c>
      <c r="I1219" s="18">
        <f>IFERROR(__xludf.DUMMYFUNCTION("""COMPUTED_VALUE"""),1.53)</f>
        <v>1.53</v>
      </c>
      <c r="J1219" s="18">
        <f>IFERROR(__xludf.DUMMYFUNCTION("""COMPUTED_VALUE"""),3.06)</f>
        <v>3.06</v>
      </c>
      <c r="K1219" s="18">
        <f>IFERROR(__xludf.DUMMYFUNCTION("""COMPUTED_VALUE"""),3.83)</f>
        <v>3.83</v>
      </c>
      <c r="L1219" s="18">
        <f>IFERROR(__xludf.DUMMYFUNCTION("""COMPUTED_VALUE"""),6.13)</f>
        <v>6.13</v>
      </c>
    </row>
    <row r="1220">
      <c r="A1220" s="13" t="str">
        <f>IFERROR(__xludf.DUMMYFUNCTION("""COMPUTED_VALUE"""),"товари")</f>
        <v>товари</v>
      </c>
      <c r="B1220" s="13" t="str">
        <f>IFERROR(__xludf.DUMMYFUNCTION("""COMPUTED_VALUE"""),"обладнання та товари для надання послуг")</f>
        <v>обладнання та товари для надання послуг</v>
      </c>
      <c r="C1220" s="15" t="str">
        <f>IFERROR(__xludf.DUMMYFUNCTION("""COMPUTED_VALUE"""),"релігійні і езотеричні товари")</f>
        <v>релігійні і езотеричні товари</v>
      </c>
      <c r="D1220" s="15" t="str">
        <f>IFERROR(__xludf.DUMMYFUNCTION("""COMPUTED_VALUE"""),"релігійні товари для буддистів і індуїстів")</f>
        <v>релігійні товари для буддистів і індуїстів</v>
      </c>
      <c r="E1220" s="15" t="str">
        <f>IFERROR(__xludf.DUMMYFUNCTION("""COMPUTED_VALUE"""),"релігійні товари для буддистів і індуїстів")</f>
        <v>релігійні товари для буддистів і індуїстів</v>
      </c>
      <c r="F1220" s="17">
        <f>IFERROR(__xludf.DUMMYFUNCTION("""COMPUTED_VALUE"""),3.0)</f>
        <v>3</v>
      </c>
      <c r="G1220" s="17">
        <f>IFERROR(__xludf.DUMMYFUNCTION("""COMPUTED_VALUE"""),172412.0)</f>
        <v>172412</v>
      </c>
      <c r="H1220" s="17" t="str">
        <f>IFERROR(__xludf.DUMMYFUNCTION("""COMPUTED_VALUE"""),"релігійні товари для буддистів і індуїстів")</f>
        <v>релігійні товари для буддистів і індуїстів</v>
      </c>
      <c r="I1220" s="18">
        <f>IFERROR(__xludf.DUMMYFUNCTION("""COMPUTED_VALUE"""),0.53)</f>
        <v>0.53</v>
      </c>
      <c r="J1220" s="18">
        <f>IFERROR(__xludf.DUMMYFUNCTION("""COMPUTED_VALUE"""),1.05)</f>
        <v>1.05</v>
      </c>
      <c r="K1220" s="18">
        <f>IFERROR(__xludf.DUMMYFUNCTION("""COMPUTED_VALUE"""),1.31)</f>
        <v>1.31</v>
      </c>
      <c r="L1220" s="18">
        <f>IFERROR(__xludf.DUMMYFUNCTION("""COMPUTED_VALUE"""),2.1)</f>
        <v>2.1</v>
      </c>
    </row>
    <row r="1221">
      <c r="A1221" s="13" t="str">
        <f>IFERROR(__xludf.DUMMYFUNCTION("""COMPUTED_VALUE"""),"товари")</f>
        <v>товари</v>
      </c>
      <c r="B1221" s="13" t="str">
        <f>IFERROR(__xludf.DUMMYFUNCTION("""COMPUTED_VALUE"""),"обладнання та товари для надання послуг")</f>
        <v>обладнання та товари для надання послуг</v>
      </c>
      <c r="C1221" s="15" t="str">
        <f>IFERROR(__xludf.DUMMYFUNCTION("""COMPUTED_VALUE"""),"релігійні і езотеричні товари")</f>
        <v>релігійні і езотеричні товари</v>
      </c>
      <c r="D1221" s="15" t="str">
        <f>IFERROR(__xludf.DUMMYFUNCTION("""COMPUTED_VALUE"""),"релігійні товари для юдеїв")</f>
        <v>релігійні товари для юдеїв</v>
      </c>
      <c r="E1221" s="15" t="str">
        <f>IFERROR(__xludf.DUMMYFUNCTION("""COMPUTED_VALUE"""),"релігійні товари для юдеїв")</f>
        <v>релігійні товари для юдеїв</v>
      </c>
      <c r="F1221" s="17">
        <f>IFERROR(__xludf.DUMMYFUNCTION("""COMPUTED_VALUE"""),3.0)</f>
        <v>3</v>
      </c>
      <c r="G1221" s="17">
        <f>IFERROR(__xludf.DUMMYFUNCTION("""COMPUTED_VALUE"""),172411.0)</f>
        <v>172411</v>
      </c>
      <c r="H1221" s="17" t="str">
        <f>IFERROR(__xludf.DUMMYFUNCTION("""COMPUTED_VALUE"""),"релігійні товари для юдеїв")</f>
        <v>релігійні товари для юдеїв</v>
      </c>
      <c r="I1221" s="18">
        <f>IFERROR(__xludf.DUMMYFUNCTION("""COMPUTED_VALUE"""),0.76)</f>
        <v>0.76</v>
      </c>
      <c r="J1221" s="18">
        <f>IFERROR(__xludf.DUMMYFUNCTION("""COMPUTED_VALUE"""),1.53)</f>
        <v>1.53</v>
      </c>
      <c r="K1221" s="18">
        <f>IFERROR(__xludf.DUMMYFUNCTION("""COMPUTED_VALUE"""),1.91)</f>
        <v>1.91</v>
      </c>
      <c r="L1221" s="18">
        <f>IFERROR(__xludf.DUMMYFUNCTION("""COMPUTED_VALUE"""),3.05)</f>
        <v>3.05</v>
      </c>
    </row>
    <row r="1222">
      <c r="A1222" s="13" t="str">
        <f>IFERROR(__xludf.DUMMYFUNCTION("""COMPUTED_VALUE"""),"товари")</f>
        <v>товари</v>
      </c>
      <c r="B1222" s="13" t="str">
        <f>IFERROR(__xludf.DUMMYFUNCTION("""COMPUTED_VALUE"""),"обладнання та товари для надання послуг")</f>
        <v>обладнання та товари для надання послуг</v>
      </c>
      <c r="C1222" s="15" t="str">
        <f>IFERROR(__xludf.DUMMYFUNCTION("""COMPUTED_VALUE"""),"релігійні і езотеричні товари")</f>
        <v>релігійні і езотеричні товари</v>
      </c>
      <c r="D1222" s="15" t="str">
        <f>IFERROR(__xludf.DUMMYFUNCTION("""COMPUTED_VALUE"""),"релігійні товари, загальне")</f>
        <v>релігійні товари, загальне</v>
      </c>
      <c r="E1222" s="15" t="str">
        <f>IFERROR(__xludf.DUMMYFUNCTION("""COMPUTED_VALUE"""),"релігійні товари, загальне")</f>
        <v>релігійні товари, загальне</v>
      </c>
      <c r="F1222" s="17">
        <f>IFERROR(__xludf.DUMMYFUNCTION("""COMPUTED_VALUE"""),3.0)</f>
        <v>3</v>
      </c>
      <c r="G1222" s="17">
        <f>IFERROR(__xludf.DUMMYFUNCTION("""COMPUTED_VALUE"""),172401.0)</f>
        <v>172401</v>
      </c>
      <c r="H1222" s="17" t="str">
        <f>IFERROR(__xludf.DUMMYFUNCTION("""COMPUTED_VALUE"""),"релігійні товари, загальне")</f>
        <v>релігійні товари, загальне</v>
      </c>
      <c r="I1222" s="18">
        <f>IFERROR(__xludf.DUMMYFUNCTION("""COMPUTED_VALUE"""),2.16)</f>
        <v>2.16</v>
      </c>
      <c r="J1222" s="18">
        <f>IFERROR(__xludf.DUMMYFUNCTION("""COMPUTED_VALUE"""),4.33)</f>
        <v>4.33</v>
      </c>
      <c r="K1222" s="18">
        <f>IFERROR(__xludf.DUMMYFUNCTION("""COMPUTED_VALUE"""),5.41)</f>
        <v>5.41</v>
      </c>
      <c r="L1222" s="18">
        <f>IFERROR(__xludf.DUMMYFUNCTION("""COMPUTED_VALUE"""),8.65)</f>
        <v>8.65</v>
      </c>
    </row>
    <row r="1223">
      <c r="A1223" s="13" t="str">
        <f>IFERROR(__xludf.DUMMYFUNCTION("""COMPUTED_VALUE"""),"товари")</f>
        <v>товари</v>
      </c>
      <c r="B1223" s="13" t="str">
        <f>IFERROR(__xludf.DUMMYFUNCTION("""COMPUTED_VALUE"""),"обладнання та товари для надання послуг")</f>
        <v>обладнання та товари для надання послуг</v>
      </c>
      <c r="C1223" s="15" t="str">
        <f>IFERROR(__xludf.DUMMYFUNCTION("""COMPUTED_VALUE"""),"релігійні і езотеричні товари")</f>
        <v>релігійні і езотеричні товари</v>
      </c>
      <c r="D1223" s="15" t="str">
        <f>IFERROR(__xludf.DUMMYFUNCTION("""COMPUTED_VALUE"""),"ритуальні товари")</f>
        <v>ритуальні товари</v>
      </c>
      <c r="E1223" s="15" t="str">
        <f>IFERROR(__xludf.DUMMYFUNCTION("""COMPUTED_VALUE"""),"ритуальна фурнітура")</f>
        <v>ритуальна фурнітура</v>
      </c>
      <c r="F1223" s="17">
        <f>IFERROR(__xludf.DUMMYFUNCTION("""COMPUTED_VALUE"""),4.0)</f>
        <v>4</v>
      </c>
      <c r="G1223" s="17">
        <f>IFERROR(__xludf.DUMMYFUNCTION("""COMPUTED_VALUE"""),282614.0)</f>
        <v>282614</v>
      </c>
      <c r="H1223" s="17" t="str">
        <f>IFERROR(__xludf.DUMMYFUNCTION("""COMPUTED_VALUE"""),"ритуальна фурнітура")</f>
        <v>ритуальна фурнітура</v>
      </c>
      <c r="I1223" s="18">
        <f>IFERROR(__xludf.DUMMYFUNCTION("""COMPUTED_VALUE"""),0.86)</f>
        <v>0.86</v>
      </c>
      <c r="J1223" s="18">
        <f>IFERROR(__xludf.DUMMYFUNCTION("""COMPUTED_VALUE"""),1.71)</f>
        <v>1.71</v>
      </c>
      <c r="K1223" s="18">
        <f>IFERROR(__xludf.DUMMYFUNCTION("""COMPUTED_VALUE"""),2.14)</f>
        <v>2.14</v>
      </c>
      <c r="L1223" s="18">
        <f>IFERROR(__xludf.DUMMYFUNCTION("""COMPUTED_VALUE"""),3.43)</f>
        <v>3.43</v>
      </c>
    </row>
    <row r="1224">
      <c r="A1224" s="13" t="str">
        <f>IFERROR(__xludf.DUMMYFUNCTION("""COMPUTED_VALUE"""),"товари")</f>
        <v>товари</v>
      </c>
      <c r="B1224" s="13" t="str">
        <f>IFERROR(__xludf.DUMMYFUNCTION("""COMPUTED_VALUE"""),"обладнання та товари для надання послуг")</f>
        <v>обладнання та товари для надання послуг</v>
      </c>
      <c r="C1224" s="15" t="str">
        <f>IFERROR(__xludf.DUMMYFUNCTION("""COMPUTED_VALUE"""),"horeca&amp;fast-food")</f>
        <v>horeca&amp;fast-food</v>
      </c>
      <c r="D1224" s="15" t="str">
        <f>IFERROR(__xludf.DUMMYFUNCTION("""COMPUTED_VALUE"""),"теплове обладнання horeca&amp;fast-food")</f>
        <v>теплове обладнання horeca&amp;fast-food</v>
      </c>
      <c r="E1224" s="15" t="str">
        <f>IFERROR(__xludf.DUMMYFUNCTION("""COMPUTED_VALUE"""),"розстоєчні шафи")</f>
        <v>розстоєчні шафи</v>
      </c>
      <c r="F1224" s="17">
        <f>IFERROR(__xludf.DUMMYFUNCTION("""COMPUTED_VALUE"""),4.0)</f>
        <v>4</v>
      </c>
      <c r="G1224" s="17">
        <f>IFERROR(__xludf.DUMMYFUNCTION("""COMPUTED_VALUE"""),2200926.0)</f>
        <v>2200926</v>
      </c>
      <c r="H1224" s="17" t="str">
        <f>IFERROR(__xludf.DUMMYFUNCTION("""COMPUTED_VALUE"""),"розстоєчні шафи")</f>
        <v>розстоєчні шафи</v>
      </c>
      <c r="I1224" s="18">
        <f>IFERROR(__xludf.DUMMYFUNCTION("""COMPUTED_VALUE"""),1.98)</f>
        <v>1.98</v>
      </c>
      <c r="J1224" s="18">
        <f>IFERROR(__xludf.DUMMYFUNCTION("""COMPUTED_VALUE"""),3.96)</f>
        <v>3.96</v>
      </c>
      <c r="K1224" s="18">
        <f>IFERROR(__xludf.DUMMYFUNCTION("""COMPUTED_VALUE"""),4.95)</f>
        <v>4.95</v>
      </c>
      <c r="L1224" s="18">
        <f>IFERROR(__xludf.DUMMYFUNCTION("""COMPUTED_VALUE"""),7.93)</f>
        <v>7.93</v>
      </c>
    </row>
    <row r="1225">
      <c r="A1225" s="13" t="str">
        <f>IFERROR(__xludf.DUMMYFUNCTION("""COMPUTED_VALUE"""),"товари")</f>
        <v>товари</v>
      </c>
      <c r="B1225" s="13" t="str">
        <f>IFERROR(__xludf.DUMMYFUNCTION("""COMPUTED_VALUE"""),"обладнання та товари для надання послуг")</f>
        <v>обладнання та товари для надання послуг</v>
      </c>
      <c r="C1225" s="15" t="str">
        <f>IFERROR(__xludf.DUMMYFUNCTION("""COMPUTED_VALUE"""),"обладнання для автосервісу")</f>
        <v>обладнання для автосервісу</v>
      </c>
      <c r="D1225" s="15" t="str">
        <f>IFERROR(__xludf.DUMMYFUNCTION("""COMPUTED_VALUE"""),"системи видалення вихлопних газів")</f>
        <v>системи видалення вихлопних газів</v>
      </c>
      <c r="E1225" s="15" t="str">
        <f>IFERROR(__xludf.DUMMYFUNCTION("""COMPUTED_VALUE"""),"системи видалення вихлопних газів")</f>
        <v>системи видалення вихлопних газів</v>
      </c>
      <c r="F1225" s="17">
        <f>IFERROR(__xludf.DUMMYFUNCTION("""COMPUTED_VALUE"""),3.0)</f>
        <v>3</v>
      </c>
      <c r="G1225" s="17">
        <f>IFERROR(__xludf.DUMMYFUNCTION("""COMPUTED_VALUE"""),121113.0)</f>
        <v>121113</v>
      </c>
      <c r="H1225" s="17" t="str">
        <f>IFERROR(__xludf.DUMMYFUNCTION("""COMPUTED_VALUE"""),"системи видалення вихлопних газів")</f>
        <v>системи видалення вихлопних газів</v>
      </c>
      <c r="I1225" s="18">
        <f>IFERROR(__xludf.DUMMYFUNCTION("""COMPUTED_VALUE"""),1.26)</f>
        <v>1.26</v>
      </c>
      <c r="J1225" s="18">
        <f>IFERROR(__xludf.DUMMYFUNCTION("""COMPUTED_VALUE"""),2.53)</f>
        <v>2.53</v>
      </c>
      <c r="K1225" s="18">
        <f>IFERROR(__xludf.DUMMYFUNCTION("""COMPUTED_VALUE"""),3.16)</f>
        <v>3.16</v>
      </c>
      <c r="L1225" s="18">
        <f>IFERROR(__xludf.DUMMYFUNCTION("""COMPUTED_VALUE"""),5.05)</f>
        <v>5.05</v>
      </c>
    </row>
    <row r="1226">
      <c r="A1226" s="13" t="str">
        <f>IFERROR(__xludf.DUMMYFUNCTION("""COMPUTED_VALUE"""),"товари")</f>
        <v>товари</v>
      </c>
      <c r="B1226" s="13" t="str">
        <f>IFERROR(__xludf.DUMMYFUNCTION("""COMPUTED_VALUE"""),"обладнання та товари для надання послуг")</f>
        <v>обладнання та товари для надання послуг</v>
      </c>
      <c r="C1226" s="15" t="str">
        <f>IFERROR(__xludf.DUMMYFUNCTION("""COMPUTED_VALUE"""),"horeca&amp;fast-food")</f>
        <v>horeca&amp;fast-food</v>
      </c>
      <c r="D1226" s="15" t="str">
        <f>IFERROR(__xludf.DUMMYFUNCTION("""COMPUTED_VALUE"""),"системи виклику персоналу")</f>
        <v>системи виклику персоналу</v>
      </c>
      <c r="E1226" s="15" t="str">
        <f>IFERROR(__xludf.DUMMYFUNCTION("""COMPUTED_VALUE"""),"системи виклику персоналу")</f>
        <v>системи виклику персоналу</v>
      </c>
      <c r="F1226" s="17">
        <f>IFERROR(__xludf.DUMMYFUNCTION("""COMPUTED_VALUE"""),3.0)</f>
        <v>3</v>
      </c>
      <c r="G1226" s="17">
        <f>IFERROR(__xludf.DUMMYFUNCTION("""COMPUTED_VALUE"""),240604.0)</f>
        <v>240604</v>
      </c>
      <c r="H1226" s="17" t="str">
        <f>IFERROR(__xludf.DUMMYFUNCTION("""COMPUTED_VALUE"""),"системи виклику персоналу")</f>
        <v>системи виклику персоналу</v>
      </c>
      <c r="I1226" s="18">
        <f>IFERROR(__xludf.DUMMYFUNCTION("""COMPUTED_VALUE"""),2.7)</f>
        <v>2.7</v>
      </c>
      <c r="J1226" s="18">
        <f>IFERROR(__xludf.DUMMYFUNCTION("""COMPUTED_VALUE"""),5.4)</f>
        <v>5.4</v>
      </c>
      <c r="K1226" s="18">
        <f>IFERROR(__xludf.DUMMYFUNCTION("""COMPUTED_VALUE"""),6.75)</f>
        <v>6.75</v>
      </c>
      <c r="L1226" s="18">
        <f>IFERROR(__xludf.DUMMYFUNCTION("""COMPUTED_VALUE"""),10.8)</f>
        <v>10.8</v>
      </c>
    </row>
    <row r="1227">
      <c r="A1227" s="13" t="str">
        <f>IFERROR(__xludf.DUMMYFUNCTION("""COMPUTED_VALUE"""),"товари")</f>
        <v>товари</v>
      </c>
      <c r="B1227" s="13" t="str">
        <f>IFERROR(__xludf.DUMMYFUNCTION("""COMPUTED_VALUE"""),"обладнання та товари для надання послуг")</f>
        <v>обладнання та товари для надання послуг</v>
      </c>
      <c r="C1227" s="15" t="str">
        <f>IFERROR(__xludf.DUMMYFUNCTION("""COMPUTED_VALUE"""),"товари для офісу")</f>
        <v>товари для офісу</v>
      </c>
      <c r="D1227" s="15" t="str">
        <f>IFERROR(__xludf.DUMMYFUNCTION("""COMPUTED_VALUE"""),"обладнання для презентацій і конференцій")</f>
        <v>обладнання для презентацій і конференцій</v>
      </c>
      <c r="E1227" s="15" t="str">
        <f>IFERROR(__xludf.DUMMYFUNCTION("""COMPUTED_VALUE"""),"системи для конференц-зв'язку")</f>
        <v>системи для конференц-зв'язку</v>
      </c>
      <c r="F1227" s="17">
        <f>IFERROR(__xludf.DUMMYFUNCTION("""COMPUTED_VALUE"""),4.0)</f>
        <v>4</v>
      </c>
      <c r="G1227" s="17">
        <f>IFERROR(__xludf.DUMMYFUNCTION("""COMPUTED_VALUE"""),212008.0)</f>
        <v>212008</v>
      </c>
      <c r="H1227" s="17" t="str">
        <f>IFERROR(__xludf.DUMMYFUNCTION("""COMPUTED_VALUE"""),"системи для конференц-зв'язку")</f>
        <v>системи для конференц-зв'язку</v>
      </c>
      <c r="I1227" s="18">
        <f>IFERROR(__xludf.DUMMYFUNCTION("""COMPUTED_VALUE"""),1.31)</f>
        <v>1.31</v>
      </c>
      <c r="J1227" s="18">
        <f>IFERROR(__xludf.DUMMYFUNCTION("""COMPUTED_VALUE"""),2.61)</f>
        <v>2.61</v>
      </c>
      <c r="K1227" s="18">
        <f>IFERROR(__xludf.DUMMYFUNCTION("""COMPUTED_VALUE"""),3.27)</f>
        <v>3.27</v>
      </c>
      <c r="L1227" s="18">
        <f>IFERROR(__xludf.DUMMYFUNCTION("""COMPUTED_VALUE"""),5.23)</f>
        <v>5.23</v>
      </c>
    </row>
    <row r="1228">
      <c r="A1228" s="13" t="str">
        <f>IFERROR(__xludf.DUMMYFUNCTION("""COMPUTED_VALUE"""),"товари")</f>
        <v>товари</v>
      </c>
      <c r="B1228" s="13" t="str">
        <f>IFERROR(__xludf.DUMMYFUNCTION("""COMPUTED_VALUE"""),"обладнання та товари для надання послуг")</f>
        <v>обладнання та товари для надання послуг</v>
      </c>
      <c r="C1228" s="15" t="str">
        <f>IFERROR(__xludf.DUMMYFUNCTION("""COMPUTED_VALUE"""),"horeca&amp;fast-food")</f>
        <v>horeca&amp;fast-food</v>
      </c>
      <c r="D1228" s="15" t="str">
        <f>IFERROR(__xludf.DUMMYFUNCTION("""COMPUTED_VALUE"""),"санітарно-гігієнічне обладнання")</f>
        <v>санітарно-гігієнічне обладнання</v>
      </c>
      <c r="E1228" s="15" t="str">
        <f>IFERROR(__xludf.DUMMYFUNCTION("""COMPUTED_VALUE"""),"станції гігієни")</f>
        <v>станції гігієни</v>
      </c>
      <c r="F1228" s="17">
        <f>IFERROR(__xludf.DUMMYFUNCTION("""COMPUTED_VALUE"""),4.0)</f>
        <v>4</v>
      </c>
      <c r="G1228" s="17">
        <f>IFERROR(__xludf.DUMMYFUNCTION("""COMPUTED_VALUE"""),240669.0)</f>
        <v>240669</v>
      </c>
      <c r="H1228" s="17" t="str">
        <f>IFERROR(__xludf.DUMMYFUNCTION("""COMPUTED_VALUE"""),"станції гігієни")</f>
        <v>станції гігієни</v>
      </c>
      <c r="I1228" s="18">
        <f>IFERROR(__xludf.DUMMYFUNCTION("""COMPUTED_VALUE"""),1.04)</f>
        <v>1.04</v>
      </c>
      <c r="J1228" s="18">
        <f>IFERROR(__xludf.DUMMYFUNCTION("""COMPUTED_VALUE"""),2.08)</f>
        <v>2.08</v>
      </c>
      <c r="K1228" s="18">
        <f>IFERROR(__xludf.DUMMYFUNCTION("""COMPUTED_VALUE"""),2.59)</f>
        <v>2.59</v>
      </c>
      <c r="L1228" s="18">
        <f>IFERROR(__xludf.DUMMYFUNCTION("""COMPUTED_VALUE"""),4.15)</f>
        <v>4.15</v>
      </c>
    </row>
    <row r="1229">
      <c r="A1229" s="13" t="str">
        <f>IFERROR(__xludf.DUMMYFUNCTION("""COMPUTED_VALUE"""),"товари")</f>
        <v>товари</v>
      </c>
      <c r="B1229" s="24" t="str">
        <f>IFERROR(__xludf.DUMMYFUNCTION("""COMPUTED_VALUE"""),"обладнання та товари для надання послуг")</f>
        <v>обладнання та товари для надання послуг</v>
      </c>
      <c r="C1229" s="15" t="str">
        <f>IFERROR(__xludf.DUMMYFUNCTION("""COMPUTED_VALUE"""),"horeca&amp;fast-food")</f>
        <v>horeca&amp;fast-food</v>
      </c>
      <c r="D1229" s="15" t="str">
        <f>IFERROR(__xludf.DUMMYFUNCTION("""COMPUTED_VALUE"""),"теплове обладнання horeca&amp;fast-food")</f>
        <v>теплове обладнання horeca&amp;fast-food</v>
      </c>
      <c r="E1229" s="15" t="str">
        <f>IFERROR(__xludf.DUMMYFUNCTION("""COMPUTED_VALUE"""),"стерилізатори і шафи для підігріву посуду")</f>
        <v>стерилізатори і шафи для підігріву посуду</v>
      </c>
      <c r="F1229" s="17">
        <f>IFERROR(__xludf.DUMMYFUNCTION("""COMPUTED_VALUE"""),4.0)</f>
        <v>4</v>
      </c>
      <c r="G1229" s="17">
        <f>IFERROR(__xludf.DUMMYFUNCTION("""COMPUTED_VALUE"""),240631.0)</f>
        <v>240631</v>
      </c>
      <c r="H1229" s="17" t="str">
        <f>IFERROR(__xludf.DUMMYFUNCTION("""COMPUTED_VALUE"""),"стерилізатори і шафи для підігріву посуду")</f>
        <v>стерилізатори і шафи для підігріву посуду</v>
      </c>
      <c r="I1229" s="18">
        <f>IFERROR(__xludf.DUMMYFUNCTION("""COMPUTED_VALUE"""),1.98)</f>
        <v>1.98</v>
      </c>
      <c r="J1229" s="18">
        <f>IFERROR(__xludf.DUMMYFUNCTION("""COMPUTED_VALUE"""),3.96)</f>
        <v>3.96</v>
      </c>
      <c r="K1229" s="18">
        <f>IFERROR(__xludf.DUMMYFUNCTION("""COMPUTED_VALUE"""),4.95)</f>
        <v>4.95</v>
      </c>
      <c r="L1229" s="18">
        <f>IFERROR(__xludf.DUMMYFUNCTION("""COMPUTED_VALUE"""),7.93)</f>
        <v>7.93</v>
      </c>
    </row>
    <row r="1230">
      <c r="A1230" s="13" t="str">
        <f>IFERROR(__xludf.DUMMYFUNCTION("""COMPUTED_VALUE"""),"товари")</f>
        <v>товари</v>
      </c>
      <c r="B1230" s="13" t="str">
        <f>IFERROR(__xludf.DUMMYFUNCTION("""COMPUTED_VALUE"""),"обладнання та товари для надання послуг")</f>
        <v>обладнання та товари для надання послуг</v>
      </c>
      <c r="C1230" s="15" t="str">
        <f>IFERROR(__xludf.DUMMYFUNCTION("""COMPUTED_VALUE"""),"комерційні меблі")</f>
        <v>комерційні меблі</v>
      </c>
      <c r="D1230" s="15" t="str">
        <f>IFERROR(__xludf.DUMMYFUNCTION("""COMPUTED_VALUE"""),"меблі для horeca")</f>
        <v>меблі для horeca</v>
      </c>
      <c r="E1230" s="15" t="str">
        <f>IFERROR(__xludf.DUMMYFUNCTION("""COMPUTED_VALUE"""),"стійки барні")</f>
        <v>стійки барні</v>
      </c>
      <c r="F1230" s="17">
        <f>IFERROR(__xludf.DUMMYFUNCTION("""COMPUTED_VALUE"""),4.0)</f>
        <v>4</v>
      </c>
      <c r="G1230" s="17">
        <f>IFERROR(__xludf.DUMMYFUNCTION("""COMPUTED_VALUE"""),3.7011001E7)</f>
        <v>37011001</v>
      </c>
      <c r="H1230" s="17" t="str">
        <f>IFERROR(__xludf.DUMMYFUNCTION("""COMPUTED_VALUE"""),"стійки барні")</f>
        <v>стійки барні</v>
      </c>
      <c r="I1230" s="18">
        <f>IFERROR(__xludf.DUMMYFUNCTION("""COMPUTED_VALUE"""),2.06)</f>
        <v>2.06</v>
      </c>
      <c r="J1230" s="18">
        <f>IFERROR(__xludf.DUMMYFUNCTION("""COMPUTED_VALUE"""),4.13)</f>
        <v>4.13</v>
      </c>
      <c r="K1230" s="18">
        <f>IFERROR(__xludf.DUMMYFUNCTION("""COMPUTED_VALUE"""),5.16)</f>
        <v>5.16</v>
      </c>
      <c r="L1230" s="18">
        <f>IFERROR(__xludf.DUMMYFUNCTION("""COMPUTED_VALUE"""),8.25)</f>
        <v>8.25</v>
      </c>
    </row>
    <row r="1231">
      <c r="A1231" s="13" t="str">
        <f>IFERROR(__xludf.DUMMYFUNCTION("""COMPUTED_VALUE"""),"товари")</f>
        <v>товари</v>
      </c>
      <c r="B1231" s="13" t="str">
        <f>IFERROR(__xludf.DUMMYFUNCTION("""COMPUTED_VALUE"""),"обладнання та товари для надання послуг")</f>
        <v>обладнання та товари для надання послуг</v>
      </c>
      <c r="C1231" s="15" t="str">
        <f>IFERROR(__xludf.DUMMYFUNCTION("""COMPUTED_VALUE"""),"професійне аудіо-, відео-, фото обладнання")</f>
        <v>професійне аудіо-, відео-, фото обладнання</v>
      </c>
      <c r="D1231" s="15" t="str">
        <f>IFERROR(__xludf.DUMMYFUNCTION("""COMPUTED_VALUE"""),"стійки для світлових приладів")</f>
        <v>стійки для світлових приладів</v>
      </c>
      <c r="E1231" s="15" t="str">
        <f>IFERROR(__xludf.DUMMYFUNCTION("""COMPUTED_VALUE"""),"стійки для світлових приладів")</f>
        <v>стійки для світлових приладів</v>
      </c>
      <c r="F1231" s="17">
        <f>IFERROR(__xludf.DUMMYFUNCTION("""COMPUTED_VALUE"""),3.0)</f>
        <v>3</v>
      </c>
      <c r="G1231" s="17">
        <f>IFERROR(__xludf.DUMMYFUNCTION("""COMPUTED_VALUE"""),6371822.0)</f>
        <v>6371822</v>
      </c>
      <c r="H1231" s="17" t="str">
        <f>IFERROR(__xludf.DUMMYFUNCTION("""COMPUTED_VALUE"""),"стійки для світлових приладів")</f>
        <v>стійки для світлових приладів</v>
      </c>
      <c r="I1231" s="18">
        <f>IFERROR(__xludf.DUMMYFUNCTION("""COMPUTED_VALUE"""),0.53)</f>
        <v>0.53</v>
      </c>
      <c r="J1231" s="18">
        <f>IFERROR(__xludf.DUMMYFUNCTION("""COMPUTED_VALUE"""),1.05)</f>
        <v>1.05</v>
      </c>
      <c r="K1231" s="18">
        <f>IFERROR(__xludf.DUMMYFUNCTION("""COMPUTED_VALUE"""),1.31)</f>
        <v>1.31</v>
      </c>
      <c r="L1231" s="18">
        <f>IFERROR(__xludf.DUMMYFUNCTION("""COMPUTED_VALUE"""),2.1)</f>
        <v>2.1</v>
      </c>
    </row>
    <row r="1232">
      <c r="A1232" s="13" t="str">
        <f>IFERROR(__xludf.DUMMYFUNCTION("""COMPUTED_VALUE"""),"товари")</f>
        <v>товари</v>
      </c>
      <c r="B1232" s="13" t="str">
        <f>IFERROR(__xludf.DUMMYFUNCTION("""COMPUTED_VALUE"""),"обладнання та товари для надання послуг")</f>
        <v>обладнання та товари для надання послуг</v>
      </c>
      <c r="C1232" s="15" t="str">
        <f>IFERROR(__xludf.DUMMYFUNCTION("""COMPUTED_VALUE"""),"комерційні меблі")</f>
        <v>комерційні меблі</v>
      </c>
      <c r="D1232" s="15" t="str">
        <f>IFERROR(__xludf.DUMMYFUNCTION("""COMPUTED_VALUE"""),"медичні меблі")</f>
        <v>медичні меблі</v>
      </c>
      <c r="E1232" s="15" t="str">
        <f>IFERROR(__xludf.DUMMYFUNCTION("""COMPUTED_VALUE"""),"стільці донорські")</f>
        <v>стільці донорські</v>
      </c>
      <c r="F1232" s="17">
        <f>IFERROR(__xludf.DUMMYFUNCTION("""COMPUTED_VALUE"""),4.0)</f>
        <v>4</v>
      </c>
      <c r="G1232" s="17">
        <f>IFERROR(__xludf.DUMMYFUNCTION("""COMPUTED_VALUE"""),1.5030813E7)</f>
        <v>15030813</v>
      </c>
      <c r="H1232" s="17" t="str">
        <f>IFERROR(__xludf.DUMMYFUNCTION("""COMPUTED_VALUE"""),"стільці донорські")</f>
        <v>стільці донорські</v>
      </c>
      <c r="I1232" s="18">
        <f>IFERROR(__xludf.DUMMYFUNCTION("""COMPUTED_VALUE"""),2.7)</f>
        <v>2.7</v>
      </c>
      <c r="J1232" s="18">
        <f>IFERROR(__xludf.DUMMYFUNCTION("""COMPUTED_VALUE"""),5.4)</f>
        <v>5.4</v>
      </c>
      <c r="K1232" s="18">
        <f>IFERROR(__xludf.DUMMYFUNCTION("""COMPUTED_VALUE"""),6.75)</f>
        <v>6.75</v>
      </c>
      <c r="L1232" s="18">
        <f>IFERROR(__xludf.DUMMYFUNCTION("""COMPUTED_VALUE"""),10.8)</f>
        <v>10.8</v>
      </c>
    </row>
    <row r="1233">
      <c r="A1233" s="13" t="str">
        <f>IFERROR(__xludf.DUMMYFUNCTION("""COMPUTED_VALUE"""),"товари")</f>
        <v>товари</v>
      </c>
      <c r="B1233" s="13" t="str">
        <f>IFERROR(__xludf.DUMMYFUNCTION("""COMPUTED_VALUE"""),"обладнання та товари для надання послуг")</f>
        <v>обладнання та товари для надання послуг</v>
      </c>
      <c r="C1233" s="15" t="str">
        <f>IFERROR(__xludf.DUMMYFUNCTION("""COMPUTED_VALUE"""),"комерційні меблі")</f>
        <v>комерційні меблі</v>
      </c>
      <c r="D1233" s="15" t="str">
        <f>IFERROR(__xludf.DUMMYFUNCTION("""COMPUTED_VALUE"""),"меблі для horeca")</f>
        <v>меблі для horeca</v>
      </c>
      <c r="E1233" s="15" t="str">
        <f>IFERROR(__xludf.DUMMYFUNCTION("""COMPUTED_VALUE"""),"столи, шафи, стелажі виробничі")</f>
        <v>столи, шафи, стелажі виробничі</v>
      </c>
      <c r="F1233" s="17">
        <f>IFERROR(__xludf.DUMMYFUNCTION("""COMPUTED_VALUE"""),4.0)</f>
        <v>4</v>
      </c>
      <c r="G1233" s="17">
        <f>IFERROR(__xludf.DUMMYFUNCTION("""COMPUTED_VALUE"""),240608.0)</f>
        <v>240608</v>
      </c>
      <c r="H1233" s="17" t="str">
        <f>IFERROR(__xludf.DUMMYFUNCTION("""COMPUTED_VALUE"""),"столи, шафи, стелажі виробничі")</f>
        <v>столи, шафи, стелажі виробничі</v>
      </c>
      <c r="I1233" s="18">
        <f>IFERROR(__xludf.DUMMYFUNCTION("""COMPUTED_VALUE"""),2.06)</f>
        <v>2.06</v>
      </c>
      <c r="J1233" s="18">
        <f>IFERROR(__xludf.DUMMYFUNCTION("""COMPUTED_VALUE"""),4.13)</f>
        <v>4.13</v>
      </c>
      <c r="K1233" s="18">
        <f>IFERROR(__xludf.DUMMYFUNCTION("""COMPUTED_VALUE"""),5.16)</f>
        <v>5.16</v>
      </c>
      <c r="L1233" s="18">
        <f>IFERROR(__xludf.DUMMYFUNCTION("""COMPUTED_VALUE"""),8.25)</f>
        <v>8.25</v>
      </c>
    </row>
    <row r="1234">
      <c r="A1234" s="13" t="str">
        <f>IFERROR(__xludf.DUMMYFUNCTION("""COMPUTED_VALUE"""),"товари")</f>
        <v>товари</v>
      </c>
      <c r="B1234" s="13" t="str">
        <f>IFERROR(__xludf.DUMMYFUNCTION("""COMPUTED_VALUE"""),"обладнання та товари для надання послуг")</f>
        <v>обладнання та товари для надання послуг</v>
      </c>
      <c r="C1234" s="15" t="str">
        <f>IFERROR(__xludf.DUMMYFUNCTION("""COMPUTED_VALUE"""),"пральне обладнання")</f>
        <v>пральне обладнання</v>
      </c>
      <c r="D1234" s="15" t="str">
        <f>IFERROR(__xludf.DUMMYFUNCTION("""COMPUTED_VALUE"""),"сушильне обладнання для одягу")</f>
        <v>сушильне обладнання для одягу</v>
      </c>
      <c r="E1234" s="15" t="str">
        <f>IFERROR(__xludf.DUMMYFUNCTION("""COMPUTED_VALUE"""),"сушильне обладнання для одягу")</f>
        <v>сушильне обладнання для одягу</v>
      </c>
      <c r="F1234" s="17">
        <f>IFERROR(__xludf.DUMMYFUNCTION("""COMPUTED_VALUE"""),3.0)</f>
        <v>3</v>
      </c>
      <c r="G1234" s="17">
        <f>IFERROR(__xludf.DUMMYFUNCTION("""COMPUTED_VALUE"""),282920.0)</f>
        <v>282920</v>
      </c>
      <c r="H1234" s="17" t="str">
        <f>IFERROR(__xludf.DUMMYFUNCTION("""COMPUTED_VALUE"""),"сушильне обладнання для одягу")</f>
        <v>сушильне обладнання для одягу</v>
      </c>
      <c r="I1234" s="18">
        <f>IFERROR(__xludf.DUMMYFUNCTION("""COMPUTED_VALUE"""),1.98)</f>
        <v>1.98</v>
      </c>
      <c r="J1234" s="18">
        <f>IFERROR(__xludf.DUMMYFUNCTION("""COMPUTED_VALUE"""),3.96)</f>
        <v>3.96</v>
      </c>
      <c r="K1234" s="18">
        <f>IFERROR(__xludf.DUMMYFUNCTION("""COMPUTED_VALUE"""),4.95)</f>
        <v>4.95</v>
      </c>
      <c r="L1234" s="18">
        <f>IFERROR(__xludf.DUMMYFUNCTION("""COMPUTED_VALUE"""),7.93)</f>
        <v>7.93</v>
      </c>
    </row>
    <row r="1235">
      <c r="A1235" s="13" t="str">
        <f>IFERROR(__xludf.DUMMYFUNCTION("""COMPUTED_VALUE"""),"товари")</f>
        <v>товари</v>
      </c>
      <c r="B1235" s="13" t="str">
        <f>IFERROR(__xludf.DUMMYFUNCTION("""COMPUTED_VALUE"""),"обладнання та товари для надання послуг")</f>
        <v>обладнання та товари для надання послуг</v>
      </c>
      <c r="C1235" s="15" t="str">
        <f>IFERROR(__xludf.DUMMYFUNCTION("""COMPUTED_VALUE"""),"обладнання для торгівлі")</f>
        <v>обладнання для торгівлі</v>
      </c>
      <c r="D1235" s="15" t="str">
        <f>IFERROR(__xludf.DUMMYFUNCTION("""COMPUTED_VALUE"""),"касове/прикасове обладнання")</f>
        <v>касове/прикасове обладнання</v>
      </c>
      <c r="E1235" s="15" t="str">
        <f>IFERROR(__xludf.DUMMYFUNCTION("""COMPUTED_VALUE"""),"термінали збору даних")</f>
        <v>термінали збору даних</v>
      </c>
      <c r="F1235" s="17">
        <f>IFERROR(__xludf.DUMMYFUNCTION("""COMPUTED_VALUE"""),4.0)</f>
        <v>4</v>
      </c>
      <c r="G1235" s="17">
        <f>IFERROR(__xludf.DUMMYFUNCTION("""COMPUTED_VALUE"""),282959.0)</f>
        <v>282959</v>
      </c>
      <c r="H1235" s="17" t="str">
        <f>IFERROR(__xludf.DUMMYFUNCTION("""COMPUTED_VALUE"""),"термінали збору даних")</f>
        <v>термінали збору даних</v>
      </c>
      <c r="I1235" s="18">
        <f>IFERROR(__xludf.DUMMYFUNCTION("""COMPUTED_VALUE"""),2.21)</f>
        <v>2.21</v>
      </c>
      <c r="J1235" s="18">
        <f>IFERROR(__xludf.DUMMYFUNCTION("""COMPUTED_VALUE"""),4.43)</f>
        <v>4.43</v>
      </c>
      <c r="K1235" s="18">
        <f>IFERROR(__xludf.DUMMYFUNCTION("""COMPUTED_VALUE"""),5.53)</f>
        <v>5.53</v>
      </c>
      <c r="L1235" s="18">
        <f>IFERROR(__xludf.DUMMYFUNCTION("""COMPUTED_VALUE"""),8.85)</f>
        <v>8.85</v>
      </c>
    </row>
    <row r="1236">
      <c r="A1236" s="13" t="str">
        <f>IFERROR(__xludf.DUMMYFUNCTION("""COMPUTED_VALUE"""),"товари")</f>
        <v>товари</v>
      </c>
      <c r="B1236" s="13" t="str">
        <f>IFERROR(__xludf.DUMMYFUNCTION("""COMPUTED_VALUE"""),"обладнання та товари для надання послуг")</f>
        <v>обладнання та товари для надання послуг</v>
      </c>
      <c r="C1236" s="15" t="str">
        <f>IFERROR(__xludf.DUMMYFUNCTION("""COMPUTED_VALUE"""),"обладнання та матеріали для друкарні")</f>
        <v>обладнання та матеріали для друкарні</v>
      </c>
      <c r="D1236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1236" s="15" t="str">
        <f>IFERROR(__xludf.DUMMYFUNCTION("""COMPUTED_VALUE"""),"термобіндери")</f>
        <v>термобіндери</v>
      </c>
      <c r="F1236" s="17">
        <f>IFERROR(__xludf.DUMMYFUNCTION("""COMPUTED_VALUE"""),4.0)</f>
        <v>4</v>
      </c>
      <c r="G1236" s="17">
        <f>IFERROR(__xludf.DUMMYFUNCTION("""COMPUTED_VALUE"""),230914.0)</f>
        <v>230914</v>
      </c>
      <c r="H1236" s="17" t="str">
        <f>IFERROR(__xludf.DUMMYFUNCTION("""COMPUTED_VALUE"""),"термобіндери")</f>
        <v>термобіндери</v>
      </c>
      <c r="I1236" s="18">
        <f>IFERROR(__xludf.DUMMYFUNCTION("""COMPUTED_VALUE"""),1.62)</f>
        <v>1.62</v>
      </c>
      <c r="J1236" s="18">
        <f>IFERROR(__xludf.DUMMYFUNCTION("""COMPUTED_VALUE"""),3.24)</f>
        <v>3.24</v>
      </c>
      <c r="K1236" s="18">
        <f>IFERROR(__xludf.DUMMYFUNCTION("""COMPUTED_VALUE"""),4.05)</f>
        <v>4.05</v>
      </c>
      <c r="L1236" s="18">
        <f>IFERROR(__xludf.DUMMYFUNCTION("""COMPUTED_VALUE"""),6.48)</f>
        <v>6.48</v>
      </c>
    </row>
    <row r="1237">
      <c r="A1237" s="13" t="str">
        <f>IFERROR(__xludf.DUMMYFUNCTION("""COMPUTED_VALUE"""),"товари")</f>
        <v>товари</v>
      </c>
      <c r="B1237" s="13" t="str">
        <f>IFERROR(__xludf.DUMMYFUNCTION("""COMPUTED_VALUE"""),"обладнання та товари для надання послуг")</f>
        <v>обладнання та товари для надання послуг</v>
      </c>
      <c r="C1237" s="15" t="str">
        <f>IFERROR(__xludf.DUMMYFUNCTION("""COMPUTED_VALUE"""),"обладнання та матеріали для друкарні")</f>
        <v>обладнання та матеріали для друкарні</v>
      </c>
      <c r="D1237" s="15" t="str">
        <f>IFERROR(__xludf.DUMMYFUNCTION("""COMPUTED_VALUE"""),"технічні засоби управління кольором")</f>
        <v>технічні засоби управління кольором</v>
      </c>
      <c r="E1237" s="15" t="str">
        <f>IFERROR(__xludf.DUMMYFUNCTION("""COMPUTED_VALUE"""),"технічні засоби управління кольором, загальне")</f>
        <v>технічні засоби управління кольором, загальне</v>
      </c>
      <c r="F1237" s="17">
        <f>IFERROR(__xludf.DUMMYFUNCTION("""COMPUTED_VALUE"""),4.0)</f>
        <v>4</v>
      </c>
      <c r="G1237" s="17">
        <f>IFERROR(__xludf.DUMMYFUNCTION("""COMPUTED_VALUE"""),6370609.0)</f>
        <v>6370609</v>
      </c>
      <c r="H1237" s="17" t="str">
        <f>IFERROR(__xludf.DUMMYFUNCTION("""COMPUTED_VALUE"""),"технічні засоби управління кольором, загальне")</f>
        <v>технічні засоби управління кольором, загальне</v>
      </c>
      <c r="I1237" s="18">
        <f>IFERROR(__xludf.DUMMYFUNCTION("""COMPUTED_VALUE"""),2.16)</f>
        <v>2.16</v>
      </c>
      <c r="J1237" s="18">
        <f>IFERROR(__xludf.DUMMYFUNCTION("""COMPUTED_VALUE"""),4.33)</f>
        <v>4.33</v>
      </c>
      <c r="K1237" s="18">
        <f>IFERROR(__xludf.DUMMYFUNCTION("""COMPUTED_VALUE"""),5.41)</f>
        <v>5.41</v>
      </c>
      <c r="L1237" s="18">
        <f>IFERROR(__xludf.DUMMYFUNCTION("""COMPUTED_VALUE"""),8.65)</f>
        <v>8.65</v>
      </c>
    </row>
    <row r="1238">
      <c r="A1238" s="13" t="str">
        <f>IFERROR(__xludf.DUMMYFUNCTION("""COMPUTED_VALUE"""),"товари")</f>
        <v>товари</v>
      </c>
      <c r="B1238" s="13" t="str">
        <f>IFERROR(__xludf.DUMMYFUNCTION("""COMPUTED_VALUE"""),"обладнання та товари для надання послуг")</f>
        <v>обладнання та товари для надання послуг</v>
      </c>
      <c r="C1238" s="15" t="str">
        <f>IFERROR(__xludf.DUMMYFUNCTION("""COMPUTED_VALUE"""),"товари для офісу")</f>
        <v>товари для офісу</v>
      </c>
      <c r="D1238" s="15" t="str">
        <f>IFERROR(__xludf.DUMMYFUNCTION("""COMPUTED_VALUE"""),"товари для офісу, загальне")</f>
        <v>товари для офісу, загальне</v>
      </c>
      <c r="E1238" s="15" t="str">
        <f>IFERROR(__xludf.DUMMYFUNCTION("""COMPUTED_VALUE"""),"товари для офісу, загальне")</f>
        <v>товари для офісу, загальне</v>
      </c>
      <c r="F1238" s="17">
        <f>IFERROR(__xludf.DUMMYFUNCTION("""COMPUTED_VALUE"""),3.0)</f>
        <v>3</v>
      </c>
      <c r="G1238" s="17">
        <f>IFERROR(__xludf.DUMMYFUNCTION("""COMPUTED_VALUE"""),2115.0)</f>
        <v>2115</v>
      </c>
      <c r="H1238" s="17" t="str">
        <f>IFERROR(__xludf.DUMMYFUNCTION("""COMPUTED_VALUE"""),"товари для офісу, загальне")</f>
        <v>товари для офісу, загальне</v>
      </c>
      <c r="I1238" s="18">
        <f>IFERROR(__xludf.DUMMYFUNCTION("""COMPUTED_VALUE"""),2.16)</f>
        <v>2.16</v>
      </c>
      <c r="J1238" s="18">
        <f>IFERROR(__xludf.DUMMYFUNCTION("""COMPUTED_VALUE"""),4.33)</f>
        <v>4.33</v>
      </c>
      <c r="K1238" s="18">
        <f>IFERROR(__xludf.DUMMYFUNCTION("""COMPUTED_VALUE"""),5.41)</f>
        <v>5.41</v>
      </c>
      <c r="L1238" s="18">
        <f>IFERROR(__xludf.DUMMYFUNCTION("""COMPUTED_VALUE"""),8.65)</f>
        <v>8.65</v>
      </c>
    </row>
    <row r="1239">
      <c r="A1239" s="13" t="str">
        <f>IFERROR(__xludf.DUMMYFUNCTION("""COMPUTED_VALUE"""),"товари")</f>
        <v>товари</v>
      </c>
      <c r="B1239" s="13" t="str">
        <f>IFERROR(__xludf.DUMMYFUNCTION("""COMPUTED_VALUE"""),"обладнання та товари для надання послуг")</f>
        <v>обладнання та товари для надання послуг</v>
      </c>
      <c r="C1239" s="15" t="str">
        <f>IFERROR(__xludf.DUMMYFUNCTION("""COMPUTED_VALUE"""),"обладнання для торгівлі")</f>
        <v>обладнання для торгівлі</v>
      </c>
      <c r="D1239" s="15" t="str">
        <f>IFERROR(__xludf.DUMMYFUNCTION("""COMPUTED_VALUE"""),"презентаційне обладнання для торгівлі")</f>
        <v>презентаційне обладнання для торгівлі</v>
      </c>
      <c r="E1239" s="15" t="str">
        <f>IFERROR(__xludf.DUMMYFUNCTION("""COMPUTED_VALUE"""),"торгові акваріуми")</f>
        <v>торгові акваріуми</v>
      </c>
      <c r="F1239" s="17">
        <f>IFERROR(__xludf.DUMMYFUNCTION("""COMPUTED_VALUE"""),4.0)</f>
        <v>4</v>
      </c>
      <c r="G1239" s="17">
        <f>IFERROR(__xludf.DUMMYFUNCTION("""COMPUTED_VALUE"""),283000.0)</f>
        <v>283000</v>
      </c>
      <c r="H1239" s="17" t="str">
        <f>IFERROR(__xludf.DUMMYFUNCTION("""COMPUTED_VALUE"""),"торгові акваріуми")</f>
        <v>торгові акваріуми</v>
      </c>
      <c r="I1239" s="18">
        <f>IFERROR(__xludf.DUMMYFUNCTION("""COMPUTED_VALUE"""),1.62)</f>
        <v>1.62</v>
      </c>
      <c r="J1239" s="18">
        <f>IFERROR(__xludf.DUMMYFUNCTION("""COMPUTED_VALUE"""),3.24)</f>
        <v>3.24</v>
      </c>
      <c r="K1239" s="18">
        <f>IFERROR(__xludf.DUMMYFUNCTION("""COMPUTED_VALUE"""),4.05)</f>
        <v>4.05</v>
      </c>
      <c r="L1239" s="18">
        <f>IFERROR(__xludf.DUMMYFUNCTION("""COMPUTED_VALUE"""),6.48)</f>
        <v>6.48</v>
      </c>
    </row>
    <row r="1240">
      <c r="A1240" s="13" t="str">
        <f>IFERROR(__xludf.DUMMYFUNCTION("""COMPUTED_VALUE"""),"товари")</f>
        <v>товари</v>
      </c>
      <c r="B1240" s="13" t="str">
        <f>IFERROR(__xludf.DUMMYFUNCTION("""COMPUTED_VALUE"""),"обладнання та товари для надання послуг")</f>
        <v>обладнання та товари для надання послуг</v>
      </c>
      <c r="C1240" s="15" t="str">
        <f>IFERROR(__xludf.DUMMYFUNCTION("""COMPUTED_VALUE"""),"комерційні меблі")</f>
        <v>комерційні меблі</v>
      </c>
      <c r="D1240" s="15" t="str">
        <f>IFERROR(__xludf.DUMMYFUNCTION("""COMPUTED_VALUE"""),"торгові меблі")</f>
        <v>торгові меблі</v>
      </c>
      <c r="E1240" s="15" t="str">
        <f>IFERROR(__xludf.DUMMYFUNCTION("""COMPUTED_VALUE"""),"торгові меблі, загальне")</f>
        <v>торгові меблі, загальне</v>
      </c>
      <c r="F1240" s="17">
        <f>IFERROR(__xludf.DUMMYFUNCTION("""COMPUTED_VALUE"""),4.0)</f>
        <v>4</v>
      </c>
      <c r="G1240" s="17">
        <f>IFERROR(__xludf.DUMMYFUNCTION("""COMPUTED_VALUE"""),1.5030111E7)</f>
        <v>15030111</v>
      </c>
      <c r="H1240" s="17" t="str">
        <f>IFERROR(__xludf.DUMMYFUNCTION("""COMPUTED_VALUE"""),"торгові меблі, загальне")</f>
        <v>торгові меблі, загальне</v>
      </c>
      <c r="I1240" s="18">
        <f>IFERROR(__xludf.DUMMYFUNCTION("""COMPUTED_VALUE"""),2.16)</f>
        <v>2.16</v>
      </c>
      <c r="J1240" s="18">
        <f>IFERROR(__xludf.DUMMYFUNCTION("""COMPUTED_VALUE"""),4.33)</f>
        <v>4.33</v>
      </c>
      <c r="K1240" s="18">
        <f>IFERROR(__xludf.DUMMYFUNCTION("""COMPUTED_VALUE"""),5.41)</f>
        <v>5.41</v>
      </c>
      <c r="L1240" s="18">
        <f>IFERROR(__xludf.DUMMYFUNCTION("""COMPUTED_VALUE"""),8.65)</f>
        <v>8.65</v>
      </c>
    </row>
    <row r="1241">
      <c r="A1241" s="13" t="str">
        <f>IFERROR(__xludf.DUMMYFUNCTION("""COMPUTED_VALUE"""),"товари")</f>
        <v>товари</v>
      </c>
      <c r="B1241" s="13" t="str">
        <f>IFERROR(__xludf.DUMMYFUNCTION("""COMPUTED_VALUE"""),"обладнання та товари для надання послуг")</f>
        <v>обладнання та товари для надання послуг</v>
      </c>
      <c r="C1241" s="15" t="str">
        <f>IFERROR(__xludf.DUMMYFUNCTION("""COMPUTED_VALUE"""),"обладнання для торгівлі")</f>
        <v>обладнання для торгівлі</v>
      </c>
      <c r="D1241" s="15" t="str">
        <f>IFERROR(__xludf.DUMMYFUNCTION("""COMPUTED_VALUE"""),"презентаційне обладнання для торгівлі")</f>
        <v>презентаційне обладнання для торгівлі</v>
      </c>
      <c r="E1241" s="15" t="str">
        <f>IFERROR(__xludf.DUMMYFUNCTION("""COMPUTED_VALUE"""),"торгові стенди та аксесуари")</f>
        <v>торгові стенди та аксесуари</v>
      </c>
      <c r="F1241" s="17">
        <f>IFERROR(__xludf.DUMMYFUNCTION("""COMPUTED_VALUE"""),4.0)</f>
        <v>4</v>
      </c>
      <c r="G1241" s="17">
        <f>IFERROR(__xludf.DUMMYFUNCTION("""COMPUTED_VALUE"""),282912.0)</f>
        <v>282912</v>
      </c>
      <c r="H1241" s="17" t="str">
        <f>IFERROR(__xludf.DUMMYFUNCTION("""COMPUTED_VALUE"""),"торгові стенди та аксесуари")</f>
        <v>торгові стенди та аксесуари</v>
      </c>
      <c r="I1241" s="18">
        <f>IFERROR(__xludf.DUMMYFUNCTION("""COMPUTED_VALUE"""),1.62)</f>
        <v>1.62</v>
      </c>
      <c r="J1241" s="18">
        <f>IFERROR(__xludf.DUMMYFUNCTION("""COMPUTED_VALUE"""),3.24)</f>
        <v>3.24</v>
      </c>
      <c r="K1241" s="18">
        <f>IFERROR(__xludf.DUMMYFUNCTION("""COMPUTED_VALUE"""),4.05)</f>
        <v>4.05</v>
      </c>
      <c r="L1241" s="18">
        <f>IFERROR(__xludf.DUMMYFUNCTION("""COMPUTED_VALUE"""),6.48)</f>
        <v>6.48</v>
      </c>
    </row>
    <row r="1242">
      <c r="A1242" s="13" t="str">
        <f>IFERROR(__xludf.DUMMYFUNCTION("""COMPUTED_VALUE"""),"товари")</f>
        <v>товари</v>
      </c>
      <c r="B1242" s="13" t="str">
        <f>IFERROR(__xludf.DUMMYFUNCTION("""COMPUTED_VALUE"""),"обладнання та товари для надання послуг")</f>
        <v>обладнання та товари для надання послуг</v>
      </c>
      <c r="C1242" s="15" t="str">
        <f>IFERROR(__xludf.DUMMYFUNCTION("""COMPUTED_VALUE"""),"horeca&amp;fast-food")</f>
        <v>horeca&amp;fast-food</v>
      </c>
      <c r="D1242" s="15" t="str">
        <f>IFERROR(__xludf.DUMMYFUNCTION("""COMPUTED_VALUE"""),"електромеханічне обладнання horeca&amp;fast-food")</f>
        <v>електромеханічне обладнання horeca&amp;fast-food</v>
      </c>
      <c r="E1242" s="15" t="str">
        <f>IFERROR(__xludf.DUMMYFUNCTION("""COMPUTED_VALUE"""),"хліборізки професійні")</f>
        <v>хліборізки професійні</v>
      </c>
      <c r="F1242" s="17">
        <f>IFERROR(__xludf.DUMMYFUNCTION("""COMPUTED_VALUE"""),4.0)</f>
        <v>4</v>
      </c>
      <c r="G1242" s="17">
        <f>IFERROR(__xludf.DUMMYFUNCTION("""COMPUTED_VALUE"""),240648.0)</f>
        <v>240648</v>
      </c>
      <c r="H1242" s="17" t="str">
        <f>IFERROR(__xludf.DUMMYFUNCTION("""COMPUTED_VALUE"""),"хліборізки професійні")</f>
        <v>хліборізки професійні</v>
      </c>
      <c r="I1242" s="18">
        <f>IFERROR(__xludf.DUMMYFUNCTION("""COMPUTED_VALUE"""),1.8)</f>
        <v>1.8</v>
      </c>
      <c r="J1242" s="18">
        <f>IFERROR(__xludf.DUMMYFUNCTION("""COMPUTED_VALUE"""),3.6)</f>
        <v>3.6</v>
      </c>
      <c r="K1242" s="18">
        <f>IFERROR(__xludf.DUMMYFUNCTION("""COMPUTED_VALUE"""),4.5)</f>
        <v>4.5</v>
      </c>
      <c r="L1242" s="18">
        <f>IFERROR(__xludf.DUMMYFUNCTION("""COMPUTED_VALUE"""),7.2)</f>
        <v>7.2</v>
      </c>
    </row>
    <row r="1243">
      <c r="A1243" s="13" t="str">
        <f>IFERROR(__xludf.DUMMYFUNCTION("""COMPUTED_VALUE"""),"товари")</f>
        <v>товари</v>
      </c>
      <c r="B1243" s="13" t="str">
        <f>IFERROR(__xludf.DUMMYFUNCTION("""COMPUTED_VALUE"""),"обладнання та товари для надання послуг")</f>
        <v>обладнання та товари для надання послуг</v>
      </c>
      <c r="C1243" s="15" t="str">
        <f>IFERROR(__xludf.DUMMYFUNCTION("""COMPUTED_VALUE"""),"horeca&amp;fast-food")</f>
        <v>horeca&amp;fast-food</v>
      </c>
      <c r="D1243" s="15" t="str">
        <f>IFERROR(__xludf.DUMMYFUNCTION("""COMPUTED_VALUE"""),"холодильне обладнання horeca&amp;fast-food")</f>
        <v>холодильне обладнання horeca&amp;fast-food</v>
      </c>
      <c r="E1243" s="15" t="str">
        <f>IFERROR(__xludf.DUMMYFUNCTION("""COMPUTED_VALUE"""),"холодильне обладнання horeca&amp;fast-food, загальне")</f>
        <v>холодильне обладнання horeca&amp;fast-food, загальне</v>
      </c>
      <c r="F1243" s="17">
        <f>IFERROR(__xludf.DUMMYFUNCTION("""COMPUTED_VALUE"""),4.0)</f>
        <v>4</v>
      </c>
      <c r="G1243" s="17">
        <f>IFERROR(__xludf.DUMMYFUNCTION("""COMPUTED_VALUE"""),240656.0)</f>
        <v>240656</v>
      </c>
      <c r="H1243" s="17" t="str">
        <f>IFERROR(__xludf.DUMMYFUNCTION("""COMPUTED_VALUE"""),"холодильне обладнання horeca&amp;fast-food, загальне")</f>
        <v>холодильне обладнання horeca&amp;fast-food, загальне</v>
      </c>
      <c r="I1243" s="18">
        <f>IFERROR(__xludf.DUMMYFUNCTION("""COMPUTED_VALUE"""),2.16)</f>
        <v>2.16</v>
      </c>
      <c r="J1243" s="18">
        <f>IFERROR(__xludf.DUMMYFUNCTION("""COMPUTED_VALUE"""),4.33)</f>
        <v>4.33</v>
      </c>
      <c r="K1243" s="18">
        <f>IFERROR(__xludf.DUMMYFUNCTION("""COMPUTED_VALUE"""),5.41)</f>
        <v>5.41</v>
      </c>
      <c r="L1243" s="18">
        <f>IFERROR(__xludf.DUMMYFUNCTION("""COMPUTED_VALUE"""),8.65)</f>
        <v>8.65</v>
      </c>
    </row>
    <row r="1244">
      <c r="A1244" s="13" t="str">
        <f>IFERROR(__xludf.DUMMYFUNCTION("""COMPUTED_VALUE"""),"товари")</f>
        <v>товари</v>
      </c>
      <c r="B1244" s="13" t="str">
        <f>IFERROR(__xludf.DUMMYFUNCTION("""COMPUTED_VALUE"""),"обладнання та товари для надання послуг")</f>
        <v>обладнання та товари для надання послуг</v>
      </c>
      <c r="C1244" s="15" t="str">
        <f>IFERROR(__xludf.DUMMYFUNCTION("""COMPUTED_VALUE"""),"horeca&amp;fast-food")</f>
        <v>horeca&amp;fast-food</v>
      </c>
      <c r="D1244" s="15" t="str">
        <f>IFERROR(__xludf.DUMMYFUNCTION("""COMPUTED_VALUE"""),"холодильне обладнання horeca&amp;fast-food")</f>
        <v>холодильне обладнання horeca&amp;fast-food</v>
      </c>
      <c r="E1244" s="15" t="str">
        <f>IFERROR(__xludf.DUMMYFUNCTION("""COMPUTED_VALUE"""),"холодильне обладнання для horeca і торгівлі")</f>
        <v>холодильне обладнання для horeca і торгівлі</v>
      </c>
      <c r="F1244" s="17">
        <f>IFERROR(__xludf.DUMMYFUNCTION("""COMPUTED_VALUE"""),4.0)</f>
        <v>4</v>
      </c>
      <c r="G1244" s="17">
        <f>IFERROR(__xludf.DUMMYFUNCTION("""COMPUTED_VALUE"""),2200902.0)</f>
        <v>2200902</v>
      </c>
      <c r="H1244" s="17" t="str">
        <f>IFERROR(__xludf.DUMMYFUNCTION("""COMPUTED_VALUE"""),"холодильне обладнання для horeca і торгівлі")</f>
        <v>холодильне обладнання для horeca і торгівлі</v>
      </c>
      <c r="I1244" s="18">
        <f>IFERROR(__xludf.DUMMYFUNCTION("""COMPUTED_VALUE"""),1.8)</f>
        <v>1.8</v>
      </c>
      <c r="J1244" s="18">
        <f>IFERROR(__xludf.DUMMYFUNCTION("""COMPUTED_VALUE"""),3.6)</f>
        <v>3.6</v>
      </c>
      <c r="K1244" s="18">
        <f>IFERROR(__xludf.DUMMYFUNCTION("""COMPUTED_VALUE"""),4.5)</f>
        <v>4.5</v>
      </c>
      <c r="L1244" s="18">
        <f>IFERROR(__xludf.DUMMYFUNCTION("""COMPUTED_VALUE"""),7.2)</f>
        <v>7.2</v>
      </c>
    </row>
    <row r="1245">
      <c r="A1245" s="13" t="str">
        <f>IFERROR(__xludf.DUMMYFUNCTION("""COMPUTED_VALUE"""),"товари")</f>
        <v>товари</v>
      </c>
      <c r="B1245" s="13" t="str">
        <f>IFERROR(__xludf.DUMMYFUNCTION("""COMPUTED_VALUE"""),"обладнання та товари для надання послуг")</f>
        <v>обладнання та товари для надання послуг</v>
      </c>
      <c r="C1245" s="15" t="str">
        <f>IFERROR(__xludf.DUMMYFUNCTION("""COMPUTED_VALUE"""),"вендінгове і розважальне обладнання")</f>
        <v>вендінгове і розважальне обладнання</v>
      </c>
      <c r="D1245" s="15" t="str">
        <f>IFERROR(__xludf.DUMMYFUNCTION("""COMPUTED_VALUE"""),"інвентар для більярду")</f>
        <v>інвентар для більярду</v>
      </c>
      <c r="E1245" s="15" t="str">
        <f>IFERROR(__xludf.DUMMYFUNCTION("""COMPUTED_VALUE"""),"чистячі засоби і інструменти для більярдного інвентарю")</f>
        <v>чистячі засоби і інструменти для більярдного інвентарю</v>
      </c>
      <c r="F1245" s="17">
        <f>IFERROR(__xludf.DUMMYFUNCTION("""COMPUTED_VALUE"""),4.0)</f>
        <v>4</v>
      </c>
      <c r="G1245" s="17">
        <f>IFERROR(__xludf.DUMMYFUNCTION("""COMPUTED_VALUE"""),203214.0)</f>
        <v>203214</v>
      </c>
      <c r="H1245" s="17" t="str">
        <f>IFERROR(__xludf.DUMMYFUNCTION("""COMPUTED_VALUE"""),"чистячі засоби і інструменти для більярдного інвентарю")</f>
        <v>чистячі засоби і інструменти для більярдного інвентарю</v>
      </c>
      <c r="I1245" s="18">
        <f>IFERROR(__xludf.DUMMYFUNCTION("""COMPUTED_VALUE"""),1.17)</f>
        <v>1.17</v>
      </c>
      <c r="J1245" s="18">
        <f>IFERROR(__xludf.DUMMYFUNCTION("""COMPUTED_VALUE"""),2.34)</f>
        <v>2.34</v>
      </c>
      <c r="K1245" s="18">
        <f>IFERROR(__xludf.DUMMYFUNCTION("""COMPUTED_VALUE"""),2.92)</f>
        <v>2.92</v>
      </c>
      <c r="L1245" s="18">
        <f>IFERROR(__xludf.DUMMYFUNCTION("""COMPUTED_VALUE"""),4.68)</f>
        <v>4.68</v>
      </c>
    </row>
    <row r="1246">
      <c r="A1246" s="13" t="str">
        <f>IFERROR(__xludf.DUMMYFUNCTION("""COMPUTED_VALUE"""),"товари")</f>
        <v>товари</v>
      </c>
      <c r="B1246" s="13" t="str">
        <f>IFERROR(__xludf.DUMMYFUNCTION("""COMPUTED_VALUE"""),"обладнання та товари для надання послуг")</f>
        <v>обладнання та товари для надання послуг</v>
      </c>
      <c r="C1246" s="15" t="str">
        <f>IFERROR(__xludf.DUMMYFUNCTION("""COMPUTED_VALUE"""),"комерційні меблі")</f>
        <v>комерційні меблі</v>
      </c>
      <c r="D1246" s="15" t="str">
        <f>IFERROR(__xludf.DUMMYFUNCTION("""COMPUTED_VALUE"""),"меблі для дошкільних установ")</f>
        <v>меблі для дошкільних установ</v>
      </c>
      <c r="E1246" s="15" t="str">
        <f>IFERROR(__xludf.DUMMYFUNCTION("""COMPUTED_VALUE"""),"шафи і стелажі для дитячих садків")</f>
        <v>шафи і стелажі для дитячих садків</v>
      </c>
      <c r="F1246" s="17">
        <f>IFERROR(__xludf.DUMMYFUNCTION("""COMPUTED_VALUE"""),4.0)</f>
        <v>4</v>
      </c>
      <c r="G1246" s="17">
        <f>IFERROR(__xludf.DUMMYFUNCTION("""COMPUTED_VALUE"""),1.5030807E7)</f>
        <v>15030807</v>
      </c>
      <c r="H1246" s="17" t="str">
        <f>IFERROR(__xludf.DUMMYFUNCTION("""COMPUTED_VALUE"""),"шафи і стелажі для дитячих садків")</f>
        <v>шафи і стелажі для дитячих садків</v>
      </c>
      <c r="I1246" s="18">
        <f>IFERROR(__xludf.DUMMYFUNCTION("""COMPUTED_VALUE"""),1.35)</f>
        <v>1.35</v>
      </c>
      <c r="J1246" s="18">
        <f>IFERROR(__xludf.DUMMYFUNCTION("""COMPUTED_VALUE"""),2.7)</f>
        <v>2.7</v>
      </c>
      <c r="K1246" s="18">
        <f>IFERROR(__xludf.DUMMYFUNCTION("""COMPUTED_VALUE"""),3.38)</f>
        <v>3.38</v>
      </c>
      <c r="L1246" s="18">
        <f>IFERROR(__xludf.DUMMYFUNCTION("""COMPUTED_VALUE"""),5.4)</f>
        <v>5.4</v>
      </c>
    </row>
    <row r="1247">
      <c r="A1247" s="13" t="str">
        <f>IFERROR(__xludf.DUMMYFUNCTION("""COMPUTED_VALUE"""),"товари")</f>
        <v>товари</v>
      </c>
      <c r="B1247" s="13" t="str">
        <f>IFERROR(__xludf.DUMMYFUNCTION("""COMPUTED_VALUE"""),"обладнання та товари для надання послуг")</f>
        <v>обладнання та товари для надання послуг</v>
      </c>
      <c r="C1247" s="15" t="str">
        <f>IFERROR(__xludf.DUMMYFUNCTION("""COMPUTED_VALUE"""),"обладнання для автосервісу")</f>
        <v>обладнання для автосервісу</v>
      </c>
      <c r="D1247" s="15" t="str">
        <f>IFERROR(__xludf.DUMMYFUNCTION("""COMPUTED_VALUE"""),"шиномонтажне обладнання")</f>
        <v>шиномонтажне обладнання</v>
      </c>
      <c r="E1247" s="15" t="str">
        <f>IFERROR(__xludf.DUMMYFUNCTION("""COMPUTED_VALUE"""),"шиномонтажні верстати")</f>
        <v>шиномонтажні верстати</v>
      </c>
      <c r="F1247" s="17">
        <f>IFERROR(__xludf.DUMMYFUNCTION("""COMPUTED_VALUE"""),4.0)</f>
        <v>4</v>
      </c>
      <c r="G1247" s="17">
        <f>IFERROR(__xludf.DUMMYFUNCTION("""COMPUTED_VALUE"""),1.2110101E7)</f>
        <v>12110101</v>
      </c>
      <c r="H1247" s="17" t="str">
        <f>IFERROR(__xludf.DUMMYFUNCTION("""COMPUTED_VALUE"""),"шиномонтажні верстати")</f>
        <v>шиномонтажні верстати</v>
      </c>
      <c r="I1247" s="18">
        <f>IFERROR(__xludf.DUMMYFUNCTION("""COMPUTED_VALUE"""),1.62)</f>
        <v>1.62</v>
      </c>
      <c r="J1247" s="18">
        <f>IFERROR(__xludf.DUMMYFUNCTION("""COMPUTED_VALUE"""),3.24)</f>
        <v>3.24</v>
      </c>
      <c r="K1247" s="18">
        <f>IFERROR(__xludf.DUMMYFUNCTION("""COMPUTED_VALUE"""),4.05)</f>
        <v>4.05</v>
      </c>
      <c r="L1247" s="18">
        <f>IFERROR(__xludf.DUMMYFUNCTION("""COMPUTED_VALUE"""),6.48)</f>
        <v>6.48</v>
      </c>
    </row>
    <row r="1248">
      <c r="A1248" s="13" t="str">
        <f>IFERROR(__xludf.DUMMYFUNCTION("""COMPUTED_VALUE"""),"товари")</f>
        <v>товари</v>
      </c>
      <c r="B1248" s="13" t="str">
        <f>IFERROR(__xludf.DUMMYFUNCTION("""COMPUTED_VALUE"""),"обладнання та товари для надання послуг")</f>
        <v>обладнання та товари для надання послуг</v>
      </c>
      <c r="C1248" s="15" t="str">
        <f>IFERROR(__xludf.DUMMYFUNCTION("""COMPUTED_VALUE"""),"комерційні меблі")</f>
        <v>комерційні меблі</v>
      </c>
      <c r="D1248" s="15" t="str">
        <f>IFERROR(__xludf.DUMMYFUNCTION("""COMPUTED_VALUE"""),"медичні меблі")</f>
        <v>медичні меблі</v>
      </c>
      <c r="E1248" s="15" t="str">
        <f>IFERROR(__xludf.DUMMYFUNCTION("""COMPUTED_VALUE"""),"ширми медичні")</f>
        <v>ширми медичні</v>
      </c>
      <c r="F1248" s="17">
        <f>IFERROR(__xludf.DUMMYFUNCTION("""COMPUTED_VALUE"""),4.0)</f>
        <v>4</v>
      </c>
      <c r="G1248" s="17">
        <f>IFERROR(__xludf.DUMMYFUNCTION("""COMPUTED_VALUE"""),1.5030803E7)</f>
        <v>15030803</v>
      </c>
      <c r="H1248" s="17" t="str">
        <f>IFERROR(__xludf.DUMMYFUNCTION("""COMPUTED_VALUE"""),"ширми медичні")</f>
        <v>ширми медичні</v>
      </c>
      <c r="I1248" s="18">
        <f>IFERROR(__xludf.DUMMYFUNCTION("""COMPUTED_VALUE"""),2.7)</f>
        <v>2.7</v>
      </c>
      <c r="J1248" s="18">
        <f>IFERROR(__xludf.DUMMYFUNCTION("""COMPUTED_VALUE"""),5.4)</f>
        <v>5.4</v>
      </c>
      <c r="K1248" s="18">
        <f>IFERROR(__xludf.DUMMYFUNCTION("""COMPUTED_VALUE"""),6.75)</f>
        <v>6.75</v>
      </c>
      <c r="L1248" s="18">
        <f>IFERROR(__xludf.DUMMYFUNCTION("""COMPUTED_VALUE"""),10.8)</f>
        <v>10.8</v>
      </c>
    </row>
    <row r="1249">
      <c r="A1249" s="13" t="str">
        <f>IFERROR(__xludf.DUMMYFUNCTION("""COMPUTED_VALUE"""),"товари")</f>
        <v>товари</v>
      </c>
      <c r="B1249" s="13" t="str">
        <f>IFERROR(__xludf.DUMMYFUNCTION("""COMPUTED_VALUE"""),"опалення")</f>
        <v>опалення</v>
      </c>
      <c r="C1249" s="15" t="str">
        <f>IFERROR(__xludf.DUMMYFUNCTION("""COMPUTED_VALUE"""),"теплові насоси")</f>
        <v>теплові насоси</v>
      </c>
      <c r="D1249" s="15" t="str">
        <f>IFERROR(__xludf.DUMMYFUNCTION("""COMPUTED_VALUE"""),"теплові насоси")</f>
        <v>теплові насоси</v>
      </c>
      <c r="E1249" s="15" t="str">
        <f>IFERROR(__xludf.DUMMYFUNCTION("""COMPUTED_VALUE"""),"теплові насоси")</f>
        <v>теплові насоси</v>
      </c>
      <c r="F1249" s="17">
        <f>IFERROR(__xludf.DUMMYFUNCTION("""COMPUTED_VALUE"""),2.0)</f>
        <v>2</v>
      </c>
      <c r="G1249" s="17">
        <f>IFERROR(__xludf.DUMMYFUNCTION("""COMPUTED_VALUE"""),141506.0)</f>
        <v>141506</v>
      </c>
      <c r="H1249" s="17" t="str">
        <f>IFERROR(__xludf.DUMMYFUNCTION("""COMPUTED_VALUE"""),"теплові насоси")</f>
        <v>теплові насоси</v>
      </c>
      <c r="I1249" s="18">
        <f>IFERROR(__xludf.DUMMYFUNCTION("""COMPUTED_VALUE"""),1.88)</f>
        <v>1.88</v>
      </c>
      <c r="J1249" s="18">
        <f>IFERROR(__xludf.DUMMYFUNCTION("""COMPUTED_VALUE"""),3.75)</f>
        <v>3.75</v>
      </c>
      <c r="K1249" s="18">
        <f>IFERROR(__xludf.DUMMYFUNCTION("""COMPUTED_VALUE"""),4.69)</f>
        <v>4.69</v>
      </c>
      <c r="L1249" s="18">
        <f>IFERROR(__xludf.DUMMYFUNCTION("""COMPUTED_VALUE"""),7.5)</f>
        <v>7.5</v>
      </c>
    </row>
    <row r="1250">
      <c r="A1250" s="13" t="str">
        <f>IFERROR(__xludf.DUMMYFUNCTION("""COMPUTED_VALUE"""),"послуги")</f>
        <v>послуги</v>
      </c>
      <c r="B1250" s="13" t="str">
        <f>IFERROR(__xludf.DUMMYFUNCTION("""COMPUTED_VALUE"""),"охоронні, аварійні і екстрені служби")</f>
        <v>охоронні, аварійні і екстрені служби</v>
      </c>
      <c r="C1250" s="15" t="str">
        <f>IFERROR(__xludf.DUMMYFUNCTION("""COMPUTED_VALUE"""),"аварійні та екстрені служби")</f>
        <v>аварійні та екстрені служби</v>
      </c>
      <c r="D1250" s="15" t="str">
        <f>IFERROR(__xludf.DUMMYFUNCTION("""COMPUTED_VALUE"""),"аварійні та екстрені служби")</f>
        <v>аварійні та екстрені служби</v>
      </c>
      <c r="E1250" s="15" t="str">
        <f>IFERROR(__xludf.DUMMYFUNCTION("""COMPUTED_VALUE"""),"аварійні та екстрені служби")</f>
        <v>аварійні та екстрені служби</v>
      </c>
      <c r="F1250" s="17">
        <f>IFERROR(__xludf.DUMMYFUNCTION("""COMPUTED_VALUE"""),2.0)</f>
        <v>2</v>
      </c>
      <c r="G1250" s="17">
        <f>IFERROR(__xludf.DUMMYFUNCTION("""COMPUTED_VALUE"""),301406.0)</f>
        <v>301406</v>
      </c>
      <c r="H1250" s="17" t="str">
        <f>IFERROR(__xludf.DUMMYFUNCTION("""COMPUTED_VALUE"""),"аварійні та екстрені служби")</f>
        <v>аварійні та екстрені служби</v>
      </c>
      <c r="I1250" s="18">
        <f>IFERROR(__xludf.DUMMYFUNCTION("""COMPUTED_VALUE"""),0.9)</f>
        <v>0.9</v>
      </c>
      <c r="J1250" s="18">
        <f>IFERROR(__xludf.DUMMYFUNCTION("""COMPUTED_VALUE"""),1.8)</f>
        <v>1.8</v>
      </c>
      <c r="K1250" s="18">
        <f>IFERROR(__xludf.DUMMYFUNCTION("""COMPUTED_VALUE"""),2.25)</f>
        <v>2.25</v>
      </c>
      <c r="L1250" s="18">
        <f>IFERROR(__xludf.DUMMYFUNCTION("""COMPUTED_VALUE"""),3.6)</f>
        <v>3.6</v>
      </c>
    </row>
    <row r="1251">
      <c r="A1251" s="13" t="str">
        <f>IFERROR(__xludf.DUMMYFUNCTION("""COMPUTED_VALUE"""),"послуги")</f>
        <v>послуги</v>
      </c>
      <c r="B1251" s="13" t="str">
        <f>IFERROR(__xludf.DUMMYFUNCTION("""COMPUTED_VALUE"""),"охоронні, аварійні і екстрені служби")</f>
        <v>охоронні, аварійні і екстрені служби</v>
      </c>
      <c r="C1251" s="15" t="str">
        <f>IFERROR(__xludf.DUMMYFUNCTION("""COMPUTED_VALUE"""),"охоронні послуги, загальне")</f>
        <v>охоронні послуги, загальне</v>
      </c>
      <c r="D1251" s="15" t="str">
        <f>IFERROR(__xludf.DUMMYFUNCTION("""COMPUTED_VALUE"""),"охоронні послуги, загальне")</f>
        <v>охоронні послуги, загальне</v>
      </c>
      <c r="E1251" s="15" t="str">
        <f>IFERROR(__xludf.DUMMYFUNCTION("""COMPUTED_VALUE"""),"охоронні послуги, загальне")</f>
        <v>охоронні послуги, загальне</v>
      </c>
      <c r="F1251" s="17">
        <f>IFERROR(__xludf.DUMMYFUNCTION("""COMPUTED_VALUE"""),2.0)</f>
        <v>2</v>
      </c>
      <c r="G1251" s="17">
        <f>IFERROR(__xludf.DUMMYFUNCTION("""COMPUTED_VALUE"""),301405.0)</f>
        <v>301405</v>
      </c>
      <c r="H1251" s="17" t="str">
        <f>IFERROR(__xludf.DUMMYFUNCTION("""COMPUTED_VALUE"""),"охоронні послуги, загальне")</f>
        <v>охоронні послуги, загальне</v>
      </c>
      <c r="I1251" s="18">
        <f>IFERROR(__xludf.DUMMYFUNCTION("""COMPUTED_VALUE"""),2.16)</f>
        <v>2.16</v>
      </c>
      <c r="J1251" s="18">
        <f>IFERROR(__xludf.DUMMYFUNCTION("""COMPUTED_VALUE"""),4.33)</f>
        <v>4.33</v>
      </c>
      <c r="K1251" s="18">
        <f>IFERROR(__xludf.DUMMYFUNCTION("""COMPUTED_VALUE"""),5.41)</f>
        <v>5.41</v>
      </c>
      <c r="L1251" s="18">
        <f>IFERROR(__xludf.DUMMYFUNCTION("""COMPUTED_VALUE"""),8.65)</f>
        <v>8.65</v>
      </c>
    </row>
    <row r="1252">
      <c r="A1252" s="13" t="str">
        <f>IFERROR(__xludf.DUMMYFUNCTION("""COMPUTED_VALUE"""),"послуги")</f>
        <v>послуги</v>
      </c>
      <c r="B1252" s="13" t="str">
        <f>IFERROR(__xludf.DUMMYFUNCTION("""COMPUTED_VALUE"""),"охоронні, аварійні і екстрені служби")</f>
        <v>охоронні, аварійні і екстрені служби</v>
      </c>
      <c r="C1252" s="15" t="str">
        <f>IFERROR(__xludf.DUMMYFUNCTION("""COMPUTED_VALUE"""),"послуги охорони та забезпечення безпеки")</f>
        <v>послуги охорони та забезпечення безпеки</v>
      </c>
      <c r="D1252" s="15" t="str">
        <f>IFERROR(__xludf.DUMMYFUNCTION("""COMPUTED_VALUE"""),"послуги охорони та забезпечення безпеки")</f>
        <v>послуги охорони та забезпечення безпеки</v>
      </c>
      <c r="E1252" s="15" t="str">
        <f>IFERROR(__xludf.DUMMYFUNCTION("""COMPUTED_VALUE"""),"послуги охорони та забезпечення безпеки")</f>
        <v>послуги охорони та забезпечення безпеки</v>
      </c>
      <c r="F1252" s="17">
        <f>IFERROR(__xludf.DUMMYFUNCTION("""COMPUTED_VALUE"""),2.0)</f>
        <v>2</v>
      </c>
      <c r="G1252" s="17">
        <f>IFERROR(__xludf.DUMMYFUNCTION("""COMPUTED_VALUE"""),301411.0)</f>
        <v>301411</v>
      </c>
      <c r="H1252" s="17" t="str">
        <f>IFERROR(__xludf.DUMMYFUNCTION("""COMPUTED_VALUE"""),"послуги охорони та забезпечення безпеки")</f>
        <v>послуги охорони та забезпечення безпеки</v>
      </c>
      <c r="I1252" s="18">
        <f>IFERROR(__xludf.DUMMYFUNCTION("""COMPUTED_VALUE"""),0.53)</f>
        <v>0.53</v>
      </c>
      <c r="J1252" s="18">
        <f>IFERROR(__xludf.DUMMYFUNCTION("""COMPUTED_VALUE"""),1.05)</f>
        <v>1.05</v>
      </c>
      <c r="K1252" s="18">
        <f>IFERROR(__xludf.DUMMYFUNCTION("""COMPUTED_VALUE"""),1.31)</f>
        <v>1.31</v>
      </c>
      <c r="L1252" s="18">
        <f>IFERROR(__xludf.DUMMYFUNCTION("""COMPUTED_VALUE"""),2.1)</f>
        <v>2.1</v>
      </c>
    </row>
    <row r="1253">
      <c r="A1253" s="13" t="str">
        <f>IFERROR(__xludf.DUMMYFUNCTION("""COMPUTED_VALUE"""),"послуги")</f>
        <v>послуги</v>
      </c>
      <c r="B1253" s="13" t="str">
        <f>IFERROR(__xludf.DUMMYFUNCTION("""COMPUTED_VALUE"""),"охоронні, аварійні і екстрені служби")</f>
        <v>охоронні, аварійні і екстрені служби</v>
      </c>
      <c r="C1253" s="15" t="str">
        <f>IFERROR(__xludf.DUMMYFUNCTION("""COMPUTED_VALUE"""),"проектування, монтаж та обслуговування систем безпеки")</f>
        <v>проектування, монтаж та обслуговування систем безпеки</v>
      </c>
      <c r="D1253" s="15" t="str">
        <f>IFERROR(__xludf.DUMMYFUNCTION("""COMPUTED_VALUE"""),"проектування, монтаж та обслуговування систем безпеки")</f>
        <v>проектування, монтаж та обслуговування систем безпеки</v>
      </c>
      <c r="E1253" s="15" t="str">
        <f>IFERROR(__xludf.DUMMYFUNCTION("""COMPUTED_VALUE"""),"проектування, монтаж та обслуговування систем безпеки")</f>
        <v>проектування, монтаж та обслуговування систем безпеки</v>
      </c>
      <c r="F1253" s="17">
        <f>IFERROR(__xludf.DUMMYFUNCTION("""COMPUTED_VALUE"""),2.0)</f>
        <v>2</v>
      </c>
      <c r="G1253" s="17">
        <f>IFERROR(__xludf.DUMMYFUNCTION("""COMPUTED_VALUE"""),301402.0)</f>
        <v>301402</v>
      </c>
      <c r="H1253" s="17" t="str">
        <f>IFERROR(__xludf.DUMMYFUNCTION("""COMPUTED_VALUE"""),"проектування, монтаж та обслуговування систем безпеки")</f>
        <v>проектування, монтаж та обслуговування систем безпеки</v>
      </c>
      <c r="I1253" s="18">
        <f>IFERROR(__xludf.DUMMYFUNCTION("""COMPUTED_VALUE"""),2.21)</f>
        <v>2.21</v>
      </c>
      <c r="J1253" s="18">
        <f>IFERROR(__xludf.DUMMYFUNCTION("""COMPUTED_VALUE"""),4.43)</f>
        <v>4.43</v>
      </c>
      <c r="K1253" s="18">
        <f>IFERROR(__xludf.DUMMYFUNCTION("""COMPUTED_VALUE"""),5.53)</f>
        <v>5.53</v>
      </c>
      <c r="L1253" s="18">
        <f>IFERROR(__xludf.DUMMYFUNCTION("""COMPUTED_VALUE"""),8.85)</f>
        <v>8.85</v>
      </c>
    </row>
    <row r="1254">
      <c r="A1254" s="13" t="str">
        <f>IFERROR(__xludf.DUMMYFUNCTION("""COMPUTED_VALUE"""),"послуги")</f>
        <v>послуги</v>
      </c>
      <c r="B1254" s="13" t="str">
        <f>IFERROR(__xludf.DUMMYFUNCTION("""COMPUTED_VALUE"""),"побутові послуги")</f>
        <v>побутові послуги</v>
      </c>
      <c r="C1254" s="15" t="str">
        <f>IFERROR(__xludf.DUMMYFUNCTION("""COMPUTED_VALUE"""),"побутові послуги, загальне")</f>
        <v>побутові послуги, загальне</v>
      </c>
      <c r="D1254" s="15" t="str">
        <f>IFERROR(__xludf.DUMMYFUNCTION("""COMPUTED_VALUE"""),"побутові послуги, загальне")</f>
        <v>побутові послуги, загальне</v>
      </c>
      <c r="E1254" s="15" t="str">
        <f>IFERROR(__xludf.DUMMYFUNCTION("""COMPUTED_VALUE"""),"побутові послуги, загальне")</f>
        <v>побутові послуги, загальне</v>
      </c>
      <c r="F1254" s="17">
        <f>IFERROR(__xludf.DUMMYFUNCTION("""COMPUTED_VALUE"""),2.0)</f>
        <v>2</v>
      </c>
      <c r="G1254" s="17">
        <f>IFERROR(__xludf.DUMMYFUNCTION("""COMPUTED_VALUE"""),280108.0)</f>
        <v>280108</v>
      </c>
      <c r="H1254" s="17" t="str">
        <f>IFERROR(__xludf.DUMMYFUNCTION("""COMPUTED_VALUE"""),"побутові послуги, загальне")</f>
        <v>побутові послуги, загальне</v>
      </c>
      <c r="I1254" s="18">
        <f>IFERROR(__xludf.DUMMYFUNCTION("""COMPUTED_VALUE"""),2.16)</f>
        <v>2.16</v>
      </c>
      <c r="J1254" s="18">
        <f>IFERROR(__xludf.DUMMYFUNCTION("""COMPUTED_VALUE"""),4.33)</f>
        <v>4.33</v>
      </c>
      <c r="K1254" s="18">
        <f>IFERROR(__xludf.DUMMYFUNCTION("""COMPUTED_VALUE"""),5.41)</f>
        <v>5.41</v>
      </c>
      <c r="L1254" s="18">
        <f>IFERROR(__xludf.DUMMYFUNCTION("""COMPUTED_VALUE"""),8.65)</f>
        <v>8.65</v>
      </c>
    </row>
    <row r="1255">
      <c r="A1255" s="13" t="str">
        <f>IFERROR(__xludf.DUMMYFUNCTION("""COMPUTED_VALUE"""),"послуги")</f>
        <v>послуги</v>
      </c>
      <c r="B1255" s="13" t="str">
        <f>IFERROR(__xludf.DUMMYFUNCTION("""COMPUTED_VALUE"""),"побутові послуги")</f>
        <v>побутові послуги</v>
      </c>
      <c r="C1255" s="15" t="str">
        <f>IFERROR(__xludf.DUMMYFUNCTION("""COMPUTED_VALUE"""),"послуги фото- відеозйомки")</f>
        <v>послуги фото- відеозйомки</v>
      </c>
      <c r="D1255" s="15" t="str">
        <f>IFERROR(__xludf.DUMMYFUNCTION("""COMPUTED_VALUE"""),"послуги фото- відеозйомки")</f>
        <v>послуги фото- відеозйомки</v>
      </c>
      <c r="E1255" s="15" t="str">
        <f>IFERROR(__xludf.DUMMYFUNCTION("""COMPUTED_VALUE"""),"послуги фото- відеозйомки")</f>
        <v>послуги фото- відеозйомки</v>
      </c>
      <c r="F1255" s="17">
        <f>IFERROR(__xludf.DUMMYFUNCTION("""COMPUTED_VALUE"""),2.0)</f>
        <v>2</v>
      </c>
      <c r="G1255" s="17">
        <f>IFERROR(__xludf.DUMMYFUNCTION("""COMPUTED_VALUE"""),280149.0)</f>
        <v>280149</v>
      </c>
      <c r="H1255" s="17" t="str">
        <f>IFERROR(__xludf.DUMMYFUNCTION("""COMPUTED_VALUE"""),"послуги фото- відеозйомки")</f>
        <v>послуги фото- відеозйомки</v>
      </c>
      <c r="I1255" s="18">
        <f>IFERROR(__xludf.DUMMYFUNCTION("""COMPUTED_VALUE"""),0.76)</f>
        <v>0.76</v>
      </c>
      <c r="J1255" s="18">
        <f>IFERROR(__xludf.DUMMYFUNCTION("""COMPUTED_VALUE"""),1.53)</f>
        <v>1.53</v>
      </c>
      <c r="K1255" s="18">
        <f>IFERROR(__xludf.DUMMYFUNCTION("""COMPUTED_VALUE"""),1.91)</f>
        <v>1.91</v>
      </c>
      <c r="L1255" s="18">
        <f>IFERROR(__xludf.DUMMYFUNCTION("""COMPUTED_VALUE"""),3.05)</f>
        <v>3.05</v>
      </c>
    </row>
    <row r="1256">
      <c r="A1256" s="13" t="str">
        <f>IFERROR(__xludf.DUMMYFUNCTION("""COMPUTED_VALUE"""),"послуги")</f>
        <v>послуги</v>
      </c>
      <c r="B1256" s="13" t="str">
        <f>IFERROR(__xludf.DUMMYFUNCTION("""COMPUTED_VALUE"""),"поліграфічні та дизайнерські послуги")</f>
        <v>поліграфічні та дизайнерські послуги</v>
      </c>
      <c r="C1256" s="15" t="str">
        <f>IFERROR(__xludf.DUMMYFUNCTION("""COMPUTED_VALUE"""),"поліграфічні послуги")</f>
        <v>поліграфічні послуги</v>
      </c>
      <c r="D1256" s="15" t="str">
        <f>IFERROR(__xludf.DUMMYFUNCTION("""COMPUTED_VALUE"""),"багатостороння поліграфія")</f>
        <v>багатостороння поліграфія</v>
      </c>
      <c r="E1256" s="15" t="str">
        <f>IFERROR(__xludf.DUMMYFUNCTION("""COMPUTED_VALUE"""),"багатостороння поліграфія")</f>
        <v>багатостороння поліграфія</v>
      </c>
      <c r="F1256" s="17">
        <f>IFERROR(__xludf.DUMMYFUNCTION("""COMPUTED_VALUE"""),3.0)</f>
        <v>3</v>
      </c>
      <c r="G1256" s="17">
        <f>IFERROR(__xludf.DUMMYFUNCTION("""COMPUTED_VALUE"""),2.8080606E7)</f>
        <v>28080606</v>
      </c>
      <c r="H1256" s="17" t="str">
        <f>IFERROR(__xludf.DUMMYFUNCTION("""COMPUTED_VALUE"""),"багатостороння поліграфія")</f>
        <v>багатостороння поліграфія</v>
      </c>
      <c r="I1256" s="18">
        <f>IFERROR(__xludf.DUMMYFUNCTION("""COMPUTED_VALUE"""),1.84)</f>
        <v>1.84</v>
      </c>
      <c r="J1256" s="18">
        <f>IFERROR(__xludf.DUMMYFUNCTION("""COMPUTED_VALUE"""),3.69)</f>
        <v>3.69</v>
      </c>
      <c r="K1256" s="18">
        <f>IFERROR(__xludf.DUMMYFUNCTION("""COMPUTED_VALUE"""),4.61)</f>
        <v>4.61</v>
      </c>
      <c r="L1256" s="18">
        <f>IFERROR(__xludf.DUMMYFUNCTION("""COMPUTED_VALUE"""),7.38)</f>
        <v>7.38</v>
      </c>
    </row>
    <row r="1257">
      <c r="A1257" s="13" t="str">
        <f>IFERROR(__xludf.DUMMYFUNCTION("""COMPUTED_VALUE"""),"послуги")</f>
        <v>послуги</v>
      </c>
      <c r="B1257" s="13" t="str">
        <f>IFERROR(__xludf.DUMMYFUNCTION("""COMPUTED_VALUE"""),"поліграфічні та дизайнерські послуги")</f>
        <v>поліграфічні та дизайнерські послуги</v>
      </c>
      <c r="C1257" s="15" t="str">
        <f>IFERROR(__xludf.DUMMYFUNCTION("""COMPUTED_VALUE"""),"порізка та перемотування рулонних матеріалів")</f>
        <v>порізка та перемотування рулонних матеріалів</v>
      </c>
      <c r="D1257" s="15" t="str">
        <f>IFERROR(__xludf.DUMMYFUNCTION("""COMPUTED_VALUE"""),"порізка та перемотування рулонних матеріалів")</f>
        <v>порізка та перемотування рулонних матеріалів</v>
      </c>
      <c r="E1257" s="15" t="str">
        <f>IFERROR(__xludf.DUMMYFUNCTION("""COMPUTED_VALUE"""),"порізка та перемотування рулонних матеріалів")</f>
        <v>порізка та перемотування рулонних матеріалів</v>
      </c>
      <c r="F1257" s="17">
        <f>IFERROR(__xludf.DUMMYFUNCTION("""COMPUTED_VALUE"""),2.0)</f>
        <v>2</v>
      </c>
      <c r="G1257" s="17">
        <f>IFERROR(__xludf.DUMMYFUNCTION("""COMPUTED_VALUE"""),283101.0)</f>
        <v>283101</v>
      </c>
      <c r="H1257" s="17" t="str">
        <f>IFERROR(__xludf.DUMMYFUNCTION("""COMPUTED_VALUE"""),"порізка та перемотування рулонних матеріалів")</f>
        <v>порізка та перемотування рулонних матеріалів</v>
      </c>
      <c r="I1257" s="18">
        <f>IFERROR(__xludf.DUMMYFUNCTION("""COMPUTED_VALUE"""),1.04)</f>
        <v>1.04</v>
      </c>
      <c r="J1257" s="18">
        <f>IFERROR(__xludf.DUMMYFUNCTION("""COMPUTED_VALUE"""),2.08)</f>
        <v>2.08</v>
      </c>
      <c r="K1257" s="18">
        <f>IFERROR(__xludf.DUMMYFUNCTION("""COMPUTED_VALUE"""),2.59)</f>
        <v>2.59</v>
      </c>
      <c r="L1257" s="18">
        <f>IFERROR(__xludf.DUMMYFUNCTION("""COMPUTED_VALUE"""),4.15)</f>
        <v>4.15</v>
      </c>
    </row>
    <row r="1258">
      <c r="A1258" s="13" t="str">
        <f>IFERROR(__xludf.DUMMYFUNCTION("""COMPUTED_VALUE"""),"послуги")</f>
        <v>послуги</v>
      </c>
      <c r="B1258" s="13" t="str">
        <f>IFERROR(__xludf.DUMMYFUNCTION("""COMPUTED_VALUE"""),"поліграфічні та дизайнерські послуги")</f>
        <v>поліграфічні та дизайнерські послуги</v>
      </c>
      <c r="C1258" s="15" t="str">
        <f>IFERROR(__xludf.DUMMYFUNCTION("""COMPUTED_VALUE"""),"поліграфічні послуги")</f>
        <v>поліграфічні послуги</v>
      </c>
      <c r="D1258" s="15" t="str">
        <f>IFERROR(__xludf.DUMMYFUNCTION("""COMPUTED_VALUE"""),"послуги ксерокопіювання та сканування")</f>
        <v>послуги ксерокопіювання та сканування</v>
      </c>
      <c r="E1258" s="15" t="str">
        <f>IFERROR(__xludf.DUMMYFUNCTION("""COMPUTED_VALUE"""),"послуги ксерокопіювання та сканування")</f>
        <v>послуги ксерокопіювання та сканування</v>
      </c>
      <c r="F1258" s="17">
        <f>IFERROR(__xludf.DUMMYFUNCTION("""COMPUTED_VALUE"""),3.0)</f>
        <v>3</v>
      </c>
      <c r="G1258" s="17">
        <f>IFERROR(__xludf.DUMMYFUNCTION("""COMPUTED_VALUE"""),280810.0)</f>
        <v>280810</v>
      </c>
      <c r="H1258" s="17" t="str">
        <f>IFERROR(__xludf.DUMMYFUNCTION("""COMPUTED_VALUE"""),"послуги ксерокопіювання та сканування")</f>
        <v>послуги ксерокопіювання та сканування</v>
      </c>
      <c r="I1258" s="18">
        <f>IFERROR(__xludf.DUMMYFUNCTION("""COMPUTED_VALUE"""),0.63)</f>
        <v>0.63</v>
      </c>
      <c r="J1258" s="18">
        <f>IFERROR(__xludf.DUMMYFUNCTION("""COMPUTED_VALUE"""),1.26)</f>
        <v>1.26</v>
      </c>
      <c r="K1258" s="18">
        <f>IFERROR(__xludf.DUMMYFUNCTION("""COMPUTED_VALUE"""),1.58)</f>
        <v>1.58</v>
      </c>
      <c r="L1258" s="18">
        <f>IFERROR(__xludf.DUMMYFUNCTION("""COMPUTED_VALUE"""),2.53)</f>
        <v>2.53</v>
      </c>
    </row>
    <row r="1259">
      <c r="A1259" s="13" t="str">
        <f>IFERROR(__xludf.DUMMYFUNCTION("""COMPUTED_VALUE"""),"послуги")</f>
        <v>послуги</v>
      </c>
      <c r="B1259" s="13" t="str">
        <f>IFERROR(__xludf.DUMMYFUNCTION("""COMPUTED_VALUE"""),"послуги дозвілля, відпочинку, культури")</f>
        <v>послуги дозвілля, відпочинку, культури</v>
      </c>
      <c r="C1259" s="15" t="str">
        <f>IFERROR(__xludf.DUMMYFUNCTION("""COMPUTED_VALUE"""),"туристичні послуги")</f>
        <v>туристичні послуги</v>
      </c>
      <c r="D1259" s="15" t="str">
        <f>IFERROR(__xludf.DUMMYFUNCTION("""COMPUTED_VALUE"""),"туристичні послуги")</f>
        <v>туристичні послуги</v>
      </c>
      <c r="E1259" s="15" t="str">
        <f>IFERROR(__xludf.DUMMYFUNCTION("""COMPUTED_VALUE"""),"туристичні послуги")</f>
        <v>туристичні послуги</v>
      </c>
      <c r="F1259" s="17">
        <f>IFERROR(__xludf.DUMMYFUNCTION("""COMPUTED_VALUE"""),2.0)</f>
        <v>2</v>
      </c>
      <c r="G1259" s="17">
        <f>IFERROR(__xludf.DUMMYFUNCTION("""COMPUTED_VALUE"""),281004.0)</f>
        <v>281004</v>
      </c>
      <c r="H1259" s="17" t="str">
        <f>IFERROR(__xludf.DUMMYFUNCTION("""COMPUTED_VALUE"""),"туристичні послуги")</f>
        <v>туристичні послуги</v>
      </c>
      <c r="I1259" s="18">
        <f>IFERROR(__xludf.DUMMYFUNCTION("""COMPUTED_VALUE"""),0.63)</f>
        <v>0.63</v>
      </c>
      <c r="J1259" s="18">
        <f>IFERROR(__xludf.DUMMYFUNCTION("""COMPUTED_VALUE"""),1.26)</f>
        <v>1.26</v>
      </c>
      <c r="K1259" s="18">
        <f>IFERROR(__xludf.DUMMYFUNCTION("""COMPUTED_VALUE"""),1.58)</f>
        <v>1.58</v>
      </c>
      <c r="L1259" s="18">
        <f>IFERROR(__xludf.DUMMYFUNCTION("""COMPUTED_VALUE"""),2.53)</f>
        <v>2.53</v>
      </c>
    </row>
    <row r="1260">
      <c r="A1260" s="13" t="str">
        <f>IFERROR(__xludf.DUMMYFUNCTION("""COMPUTED_VALUE"""),"послуги")</f>
        <v>послуги</v>
      </c>
      <c r="B1260" s="13" t="str">
        <f>IFERROR(__xludf.DUMMYFUNCTION("""COMPUTED_VALUE"""),"послуги прокату і оренди")</f>
        <v>послуги прокату і оренди</v>
      </c>
      <c r="C1260" s="15" t="str">
        <f>IFERROR(__xludf.DUMMYFUNCTION("""COMPUTED_VALUE"""),"оренда медичної техніки та обладнання")</f>
        <v>оренда медичної техніки та обладнання</v>
      </c>
      <c r="D1260" s="15" t="str">
        <f>IFERROR(__xludf.DUMMYFUNCTION("""COMPUTED_VALUE"""),"оренда медичної техніки та обладнання")</f>
        <v>оренда медичної техніки та обладнання</v>
      </c>
      <c r="E1260" s="15" t="str">
        <f>IFERROR(__xludf.DUMMYFUNCTION("""COMPUTED_VALUE"""),"оренда медичної техніки та обладнання")</f>
        <v>оренда медичної техніки та обладнання</v>
      </c>
      <c r="F1260" s="17">
        <f>IFERROR(__xludf.DUMMYFUNCTION("""COMPUTED_VALUE"""),2.0)</f>
        <v>2</v>
      </c>
      <c r="G1260" s="17">
        <f>IFERROR(__xludf.DUMMYFUNCTION("""COMPUTED_VALUE"""),282490.0)</f>
        <v>282490</v>
      </c>
      <c r="H1260" s="17" t="str">
        <f>IFERROR(__xludf.DUMMYFUNCTION("""COMPUTED_VALUE"""),"оренда медичної техніки та обладнання")</f>
        <v>оренда медичної техніки та обладнання</v>
      </c>
      <c r="I1260" s="18">
        <f>IFERROR(__xludf.DUMMYFUNCTION("""COMPUTED_VALUE"""),1.8)</f>
        <v>1.8</v>
      </c>
      <c r="J1260" s="18">
        <f>IFERROR(__xludf.DUMMYFUNCTION("""COMPUTED_VALUE"""),3.6)</f>
        <v>3.6</v>
      </c>
      <c r="K1260" s="18">
        <f>IFERROR(__xludf.DUMMYFUNCTION("""COMPUTED_VALUE"""),4.5)</f>
        <v>4.5</v>
      </c>
      <c r="L1260" s="18">
        <f>IFERROR(__xludf.DUMMYFUNCTION("""COMPUTED_VALUE"""),7.2)</f>
        <v>7.2</v>
      </c>
    </row>
    <row r="1261">
      <c r="A1261" s="13" t="str">
        <f>IFERROR(__xludf.DUMMYFUNCTION("""COMPUTED_VALUE"""),"послуги")</f>
        <v>послуги</v>
      </c>
      <c r="B1261" s="13" t="str">
        <f>IFERROR(__xludf.DUMMYFUNCTION("""COMPUTED_VALUE"""),"послуги прокату і оренди")</f>
        <v>послуги прокату і оренди</v>
      </c>
      <c r="C1261" s="15" t="str">
        <f>IFERROR(__xludf.DUMMYFUNCTION("""COMPUTED_VALUE"""),"оренда одягу")</f>
        <v>оренда одягу</v>
      </c>
      <c r="D1261" s="15" t="str">
        <f>IFERROR(__xludf.DUMMYFUNCTION("""COMPUTED_VALUE"""),"оренда одягу")</f>
        <v>оренда одягу</v>
      </c>
      <c r="E1261" s="15" t="str">
        <f>IFERROR(__xludf.DUMMYFUNCTION("""COMPUTED_VALUE"""),"оренда одягу")</f>
        <v>оренда одягу</v>
      </c>
      <c r="F1261" s="17">
        <f>IFERROR(__xludf.DUMMYFUNCTION("""COMPUTED_VALUE"""),2.0)</f>
        <v>2</v>
      </c>
      <c r="G1261" s="17">
        <f>IFERROR(__xludf.DUMMYFUNCTION("""COMPUTED_VALUE"""),282438.0)</f>
        <v>282438</v>
      </c>
      <c r="H1261" s="17" t="str">
        <f>IFERROR(__xludf.DUMMYFUNCTION("""COMPUTED_VALUE"""),"оренда одягу")</f>
        <v>оренда одягу</v>
      </c>
      <c r="I1261" s="18">
        <f>IFERROR(__xludf.DUMMYFUNCTION("""COMPUTED_VALUE"""),0.81)</f>
        <v>0.81</v>
      </c>
      <c r="J1261" s="18">
        <f>IFERROR(__xludf.DUMMYFUNCTION("""COMPUTED_VALUE"""),1.63)</f>
        <v>1.63</v>
      </c>
      <c r="K1261" s="18">
        <f>IFERROR(__xludf.DUMMYFUNCTION("""COMPUTED_VALUE"""),2.03)</f>
        <v>2.03</v>
      </c>
      <c r="L1261" s="18">
        <f>IFERROR(__xludf.DUMMYFUNCTION("""COMPUTED_VALUE"""),3.25)</f>
        <v>3.25</v>
      </c>
    </row>
    <row r="1262">
      <c r="A1262" s="13" t="str">
        <f>IFERROR(__xludf.DUMMYFUNCTION("""COMPUTED_VALUE"""),"послуги")</f>
        <v>послуги</v>
      </c>
      <c r="B1262" s="13" t="str">
        <f>IFERROR(__xludf.DUMMYFUNCTION("""COMPUTED_VALUE"""),"послуги прокату і оренди")</f>
        <v>послуги прокату і оренди</v>
      </c>
      <c r="C1262" s="15" t="str">
        <f>IFERROR(__xludf.DUMMYFUNCTION("""COMPUTED_VALUE"""),"оренда спецтехніки")</f>
        <v>оренда спецтехніки</v>
      </c>
      <c r="D1262" s="15" t="str">
        <f>IFERROR(__xludf.DUMMYFUNCTION("""COMPUTED_VALUE"""),"оренда спецтехніки")</f>
        <v>оренда спецтехніки</v>
      </c>
      <c r="E1262" s="15" t="str">
        <f>IFERROR(__xludf.DUMMYFUNCTION("""COMPUTED_VALUE"""),"оренда спецтехніки")</f>
        <v>оренда спецтехніки</v>
      </c>
      <c r="F1262" s="17">
        <f>IFERROR(__xludf.DUMMYFUNCTION("""COMPUTED_VALUE"""),2.0)</f>
        <v>2</v>
      </c>
      <c r="G1262" s="17">
        <f>IFERROR(__xludf.DUMMYFUNCTION("""COMPUTED_VALUE"""),282414.0)</f>
        <v>282414</v>
      </c>
      <c r="H1262" s="17" t="str">
        <f>IFERROR(__xludf.DUMMYFUNCTION("""COMPUTED_VALUE"""),"оренда спецтехніки")</f>
        <v>оренда спецтехніки</v>
      </c>
      <c r="I1262" s="18">
        <f>IFERROR(__xludf.DUMMYFUNCTION("""COMPUTED_VALUE"""),2.7)</f>
        <v>2.7</v>
      </c>
      <c r="J1262" s="18">
        <f>IFERROR(__xludf.DUMMYFUNCTION("""COMPUTED_VALUE"""),5.4)</f>
        <v>5.4</v>
      </c>
      <c r="K1262" s="18">
        <f>IFERROR(__xludf.DUMMYFUNCTION("""COMPUTED_VALUE"""),6.75)</f>
        <v>6.75</v>
      </c>
      <c r="L1262" s="18">
        <f>IFERROR(__xludf.DUMMYFUNCTION("""COMPUTED_VALUE"""),10.8)</f>
        <v>10.8</v>
      </c>
    </row>
    <row r="1263">
      <c r="A1263" s="13" t="str">
        <f>IFERROR(__xludf.DUMMYFUNCTION("""COMPUTED_VALUE"""),"послуги")</f>
        <v>послуги</v>
      </c>
      <c r="B1263" s="13" t="str">
        <f>IFERROR(__xludf.DUMMYFUNCTION("""COMPUTED_VALUE"""),"послуги прокату і оренди")</f>
        <v>послуги прокату і оренди</v>
      </c>
      <c r="C1263" s="15" t="str">
        <f>IFERROR(__xludf.DUMMYFUNCTION("""COMPUTED_VALUE"""),"оренда товарів сфери обслуговування")</f>
        <v>оренда товарів сфери обслуговування</v>
      </c>
      <c r="D1263" s="15" t="str">
        <f>IFERROR(__xludf.DUMMYFUNCTION("""COMPUTED_VALUE"""),"оренда товарів сфери обслуговування")</f>
        <v>оренда товарів сфери обслуговування</v>
      </c>
      <c r="E1263" s="15" t="str">
        <f>IFERROR(__xludf.DUMMYFUNCTION("""COMPUTED_VALUE"""),"оренда товарів сфери обслуговування")</f>
        <v>оренда товарів сфери обслуговування</v>
      </c>
      <c r="F1263" s="17">
        <f>IFERROR(__xludf.DUMMYFUNCTION("""COMPUTED_VALUE"""),2.0)</f>
        <v>2</v>
      </c>
      <c r="G1263" s="17">
        <f>IFERROR(__xludf.DUMMYFUNCTION("""COMPUTED_VALUE"""),280106.0)</f>
        <v>280106</v>
      </c>
      <c r="H1263" s="17" t="str">
        <f>IFERROR(__xludf.DUMMYFUNCTION("""COMPUTED_VALUE"""),"оренда товарів сфери обслуговування")</f>
        <v>оренда товарів сфери обслуговування</v>
      </c>
      <c r="I1263" s="18">
        <f>IFERROR(__xludf.DUMMYFUNCTION("""COMPUTED_VALUE"""),2.16)</f>
        <v>2.16</v>
      </c>
      <c r="J1263" s="18">
        <f>IFERROR(__xludf.DUMMYFUNCTION("""COMPUTED_VALUE"""),4.33)</f>
        <v>4.33</v>
      </c>
      <c r="K1263" s="18">
        <f>IFERROR(__xludf.DUMMYFUNCTION("""COMPUTED_VALUE"""),5.41)</f>
        <v>5.41</v>
      </c>
      <c r="L1263" s="18">
        <f>IFERROR(__xludf.DUMMYFUNCTION("""COMPUTED_VALUE"""),8.65)</f>
        <v>8.65</v>
      </c>
    </row>
    <row r="1264">
      <c r="A1264" s="13" t="str">
        <f>IFERROR(__xludf.DUMMYFUNCTION("""COMPUTED_VALUE"""),"послуги")</f>
        <v>послуги</v>
      </c>
      <c r="B1264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1264" s="15" t="str">
        <f>IFERROR(__xludf.DUMMYFUNCTION("""COMPUTED_VALUE"""),"медичні послуги")</f>
        <v>медичні послуги</v>
      </c>
      <c r="D1264" s="15" t="str">
        <f>IFERROR(__xludf.DUMMYFUNCTION("""COMPUTED_VALUE"""),"масаж")</f>
        <v>масаж</v>
      </c>
      <c r="E1264" s="15" t="str">
        <f>IFERROR(__xludf.DUMMYFUNCTION("""COMPUTED_VALUE"""),"масаж")</f>
        <v>масаж</v>
      </c>
      <c r="F1264" s="17">
        <f>IFERROR(__xludf.DUMMYFUNCTION("""COMPUTED_VALUE"""),3.0)</f>
        <v>3</v>
      </c>
      <c r="G1264" s="17">
        <f>IFERROR(__xludf.DUMMYFUNCTION("""COMPUTED_VALUE"""),280915.0)</f>
        <v>280915</v>
      </c>
      <c r="H1264" s="17" t="str">
        <f>IFERROR(__xludf.DUMMYFUNCTION("""COMPUTED_VALUE"""),"масаж")</f>
        <v>масаж</v>
      </c>
      <c r="I1264" s="18">
        <f>IFERROR(__xludf.DUMMYFUNCTION("""COMPUTED_VALUE"""),0.9)</f>
        <v>0.9</v>
      </c>
      <c r="J1264" s="18">
        <f>IFERROR(__xludf.DUMMYFUNCTION("""COMPUTED_VALUE"""),1.8)</f>
        <v>1.8</v>
      </c>
      <c r="K1264" s="18">
        <f>IFERROR(__xludf.DUMMYFUNCTION("""COMPUTED_VALUE"""),2.25)</f>
        <v>2.25</v>
      </c>
      <c r="L1264" s="18">
        <f>IFERROR(__xludf.DUMMYFUNCTION("""COMPUTED_VALUE"""),3.6)</f>
        <v>3.6</v>
      </c>
    </row>
    <row r="1265">
      <c r="A1265" s="13" t="str">
        <f>IFERROR(__xludf.DUMMYFUNCTION("""COMPUTED_VALUE"""),"послуги")</f>
        <v>послуги</v>
      </c>
      <c r="B1265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1265" s="15" t="str">
        <f>IFERROR(__xludf.DUMMYFUNCTION("""COMPUTED_VALUE"""),"медичні послуги")</f>
        <v>медичні послуги</v>
      </c>
      <c r="D1265" s="15" t="str">
        <f>IFERROR(__xludf.DUMMYFUNCTION("""COMPUTED_VALUE"""),"послуги профільних лікарів")</f>
        <v>послуги профільних лікарів</v>
      </c>
      <c r="E1265" s="15" t="str">
        <f>IFERROR(__xludf.DUMMYFUNCTION("""COMPUTED_VALUE"""),"послуги профільних лікарів")</f>
        <v>послуги профільних лікарів</v>
      </c>
      <c r="F1265" s="17">
        <f>IFERROR(__xludf.DUMMYFUNCTION("""COMPUTED_VALUE"""),3.0)</f>
        <v>3</v>
      </c>
      <c r="G1265" s="17">
        <f>IFERROR(__xludf.DUMMYFUNCTION("""COMPUTED_VALUE"""),2.8090105E7)</f>
        <v>28090105</v>
      </c>
      <c r="H1265" s="17" t="str">
        <f>IFERROR(__xludf.DUMMYFUNCTION("""COMPUTED_VALUE"""),"послуги профільних лікарів")</f>
        <v>послуги профільних лікарів</v>
      </c>
      <c r="I1265" s="18">
        <f>IFERROR(__xludf.DUMMYFUNCTION("""COMPUTED_VALUE"""),0.76)</f>
        <v>0.76</v>
      </c>
      <c r="J1265" s="18">
        <f>IFERROR(__xludf.DUMMYFUNCTION("""COMPUTED_VALUE"""),1.53)</f>
        <v>1.53</v>
      </c>
      <c r="K1265" s="18">
        <f>IFERROR(__xludf.DUMMYFUNCTION("""COMPUTED_VALUE"""),1.91)</f>
        <v>1.91</v>
      </c>
      <c r="L1265" s="18">
        <f>IFERROR(__xludf.DUMMYFUNCTION("""COMPUTED_VALUE"""),3.05)</f>
        <v>3.05</v>
      </c>
    </row>
    <row r="1266">
      <c r="A1266" s="13" t="str">
        <f>IFERROR(__xludf.DUMMYFUNCTION("""COMPUTED_VALUE"""),"послуги")</f>
        <v>послуги</v>
      </c>
      <c r="B1266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1266" s="15" t="str">
        <f>IFERROR(__xludf.DUMMYFUNCTION("""COMPUTED_VALUE"""),"послуги спортивних установ")</f>
        <v>послуги спортивних установ</v>
      </c>
      <c r="D1266" s="15" t="str">
        <f>IFERROR(__xludf.DUMMYFUNCTION("""COMPUTED_VALUE"""),"послуги спортивних установ")</f>
        <v>послуги спортивних установ</v>
      </c>
      <c r="E1266" s="15" t="str">
        <f>IFERROR(__xludf.DUMMYFUNCTION("""COMPUTED_VALUE"""),"послуги спортивних установ")</f>
        <v>послуги спортивних установ</v>
      </c>
      <c r="F1266" s="17">
        <f>IFERROR(__xludf.DUMMYFUNCTION("""COMPUTED_VALUE"""),2.0)</f>
        <v>2</v>
      </c>
      <c r="G1266" s="17">
        <f>IFERROR(__xludf.DUMMYFUNCTION("""COMPUTED_VALUE"""),280905.0)</f>
        <v>280905</v>
      </c>
      <c r="H1266" s="17" t="str">
        <f>IFERROR(__xludf.DUMMYFUNCTION("""COMPUTED_VALUE"""),"послуги спортивних установ")</f>
        <v>послуги спортивних установ</v>
      </c>
      <c r="I1266" s="18">
        <f>IFERROR(__xludf.DUMMYFUNCTION("""COMPUTED_VALUE"""),0.76)</f>
        <v>0.76</v>
      </c>
      <c r="J1266" s="18">
        <f>IFERROR(__xludf.DUMMYFUNCTION("""COMPUTED_VALUE"""),1.53)</f>
        <v>1.53</v>
      </c>
      <c r="K1266" s="18">
        <f>IFERROR(__xludf.DUMMYFUNCTION("""COMPUTED_VALUE"""),1.91)</f>
        <v>1.91</v>
      </c>
      <c r="L1266" s="18">
        <f>IFERROR(__xludf.DUMMYFUNCTION("""COMPUTED_VALUE"""),3.05)</f>
        <v>3.05</v>
      </c>
    </row>
    <row r="1267">
      <c r="A1267" s="13" t="str">
        <f>IFERROR(__xludf.DUMMYFUNCTION("""COMPUTED_VALUE"""),"послуги")</f>
        <v>послуги</v>
      </c>
      <c r="B1267" s="13" t="str">
        <f>IFERROR(__xludf.DUMMYFUNCTION("""COMPUTED_VALUE"""),"послуги у сфері освіти, тренінги")</f>
        <v>послуги у сфері освіти, тренінги</v>
      </c>
      <c r="C1267" s="15" t="str">
        <f>IFERROR(__xludf.DUMMYFUNCTION("""COMPUTED_VALUE"""),"курси")</f>
        <v>курси</v>
      </c>
      <c r="D1267" s="15" t="str">
        <f>IFERROR(__xludf.DUMMYFUNCTION("""COMPUTED_VALUE"""),"курси з хобі")</f>
        <v>курси з хобі</v>
      </c>
      <c r="E1267" s="15" t="str">
        <f>IFERROR(__xludf.DUMMYFUNCTION("""COMPUTED_VALUE"""),"курси з хобі")</f>
        <v>курси з хобі</v>
      </c>
      <c r="F1267" s="17">
        <f>IFERROR(__xludf.DUMMYFUNCTION("""COMPUTED_VALUE"""),3.0)</f>
        <v>3</v>
      </c>
      <c r="G1267" s="17">
        <f>IFERROR(__xludf.DUMMYFUNCTION("""COMPUTED_VALUE"""),281637.0)</f>
        <v>281637</v>
      </c>
      <c r="H1267" s="17" t="str">
        <f>IFERROR(__xludf.DUMMYFUNCTION("""COMPUTED_VALUE"""),"курси з хобі")</f>
        <v>курси з хобі</v>
      </c>
      <c r="I1267" s="18">
        <f>IFERROR(__xludf.DUMMYFUNCTION("""COMPUTED_VALUE"""),0.53)</f>
        <v>0.53</v>
      </c>
      <c r="J1267" s="18">
        <f>IFERROR(__xludf.DUMMYFUNCTION("""COMPUTED_VALUE"""),1.05)</f>
        <v>1.05</v>
      </c>
      <c r="K1267" s="18">
        <f>IFERROR(__xludf.DUMMYFUNCTION("""COMPUTED_VALUE"""),1.31)</f>
        <v>1.31</v>
      </c>
      <c r="L1267" s="18">
        <f>IFERROR(__xludf.DUMMYFUNCTION("""COMPUTED_VALUE"""),2.1)</f>
        <v>2.1</v>
      </c>
    </row>
    <row r="1268">
      <c r="A1268" s="13" t="str">
        <f>IFERROR(__xludf.DUMMYFUNCTION("""COMPUTED_VALUE"""),"послуги")</f>
        <v>послуги</v>
      </c>
      <c r="B1268" s="13" t="str">
        <f>IFERROR(__xludf.DUMMYFUNCTION("""COMPUTED_VALUE"""),"послуги у сфері освіти, тренінги")</f>
        <v>послуги у сфері освіти, тренінги</v>
      </c>
      <c r="C1268" s="15" t="str">
        <f>IFERROR(__xludf.DUMMYFUNCTION("""COMPUTED_VALUE"""),"курси")</f>
        <v>курси</v>
      </c>
      <c r="D1268" s="15" t="str">
        <f>IFERROR(__xludf.DUMMYFUNCTION("""COMPUTED_VALUE"""),"курси, загальне")</f>
        <v>курси, загальне</v>
      </c>
      <c r="E1268" s="15" t="str">
        <f>IFERROR(__xludf.DUMMYFUNCTION("""COMPUTED_VALUE"""),"курси, загальне")</f>
        <v>курси, загальне</v>
      </c>
      <c r="F1268" s="17">
        <f>IFERROR(__xludf.DUMMYFUNCTION("""COMPUTED_VALUE"""),3.0)</f>
        <v>3</v>
      </c>
      <c r="G1268" s="17">
        <f>IFERROR(__xludf.DUMMYFUNCTION("""COMPUTED_VALUE"""),281525.0)</f>
        <v>281525</v>
      </c>
      <c r="H1268" s="17" t="str">
        <f>IFERROR(__xludf.DUMMYFUNCTION("""COMPUTED_VALUE"""),"курси, загальне")</f>
        <v>курси, загальне</v>
      </c>
      <c r="I1268" s="18">
        <f>IFERROR(__xludf.DUMMYFUNCTION("""COMPUTED_VALUE"""),2.16)</f>
        <v>2.16</v>
      </c>
      <c r="J1268" s="18">
        <f>IFERROR(__xludf.DUMMYFUNCTION("""COMPUTED_VALUE"""),4.33)</f>
        <v>4.33</v>
      </c>
      <c r="K1268" s="18">
        <f>IFERROR(__xludf.DUMMYFUNCTION("""COMPUTED_VALUE"""),5.41)</f>
        <v>5.41</v>
      </c>
      <c r="L1268" s="18">
        <f>IFERROR(__xludf.DUMMYFUNCTION("""COMPUTED_VALUE"""),8.65)</f>
        <v>8.65</v>
      </c>
    </row>
    <row r="1269">
      <c r="A1269" s="13" t="str">
        <f>IFERROR(__xludf.DUMMYFUNCTION("""COMPUTED_VALUE"""),"послуги")</f>
        <v>послуги</v>
      </c>
      <c r="B1269" s="13" t="str">
        <f>IFERROR(__xludf.DUMMYFUNCTION("""COMPUTED_VALUE"""),"послуги у сфері освіти, тренінги")</f>
        <v>послуги у сфері освіти, тренінги</v>
      </c>
      <c r="C1269" s="15" t="str">
        <f>IFERROR(__xludf.DUMMYFUNCTION("""COMPUTED_VALUE"""),"курси")</f>
        <v>курси</v>
      </c>
      <c r="D1269" s="15" t="str">
        <f>IFERROR(__xludf.DUMMYFUNCTION("""COMPUTED_VALUE"""),"освітні курси")</f>
        <v>освітні курси</v>
      </c>
      <c r="E1269" s="15" t="str">
        <f>IFERROR(__xludf.DUMMYFUNCTION("""COMPUTED_VALUE"""),"освітні курси")</f>
        <v>освітні курси</v>
      </c>
      <c r="F1269" s="17">
        <f>IFERROR(__xludf.DUMMYFUNCTION("""COMPUTED_VALUE"""),3.0)</f>
        <v>3</v>
      </c>
      <c r="G1269" s="17">
        <f>IFERROR(__xludf.DUMMYFUNCTION("""COMPUTED_VALUE"""),281585.0)</f>
        <v>281585</v>
      </c>
      <c r="H1269" s="17" t="str">
        <f>IFERROR(__xludf.DUMMYFUNCTION("""COMPUTED_VALUE"""),"освітні курси")</f>
        <v>освітні курси</v>
      </c>
      <c r="I1269" s="18">
        <f>IFERROR(__xludf.DUMMYFUNCTION("""COMPUTED_VALUE"""),0.9)</f>
        <v>0.9</v>
      </c>
      <c r="J1269" s="18">
        <f>IFERROR(__xludf.DUMMYFUNCTION("""COMPUTED_VALUE"""),1.8)</f>
        <v>1.8</v>
      </c>
      <c r="K1269" s="18">
        <f>IFERROR(__xludf.DUMMYFUNCTION("""COMPUTED_VALUE"""),2.25)</f>
        <v>2.25</v>
      </c>
      <c r="L1269" s="18">
        <f>IFERROR(__xludf.DUMMYFUNCTION("""COMPUTED_VALUE"""),3.6)</f>
        <v>3.6</v>
      </c>
    </row>
    <row r="1270">
      <c r="A1270" s="13" t="str">
        <f>IFERROR(__xludf.DUMMYFUNCTION("""COMPUTED_VALUE"""),"послуги")</f>
        <v>послуги</v>
      </c>
      <c r="B1270" s="13" t="str">
        <f>IFERROR(__xludf.DUMMYFUNCTION("""COMPUTED_VALUE"""),"послуги у сфері освіти, тренінги")</f>
        <v>послуги у сфері освіти, тренінги</v>
      </c>
      <c r="C1270" s="15" t="str">
        <f>IFERROR(__xludf.DUMMYFUNCTION("""COMPUTED_VALUE"""),"курси")</f>
        <v>курси</v>
      </c>
      <c r="D1270" s="15" t="str">
        <f>IFERROR(__xludf.DUMMYFUNCTION("""COMPUTED_VALUE"""),"послуги навчальних закладів")</f>
        <v>послуги навчальних закладів</v>
      </c>
      <c r="E1270" s="15" t="str">
        <f>IFERROR(__xludf.DUMMYFUNCTION("""COMPUTED_VALUE"""),"послуги навчальних закладів")</f>
        <v>послуги навчальних закладів</v>
      </c>
      <c r="F1270" s="17">
        <f>IFERROR(__xludf.DUMMYFUNCTION("""COMPUTED_VALUE"""),3.0)</f>
        <v>3</v>
      </c>
      <c r="G1270" s="17">
        <f>IFERROR(__xludf.DUMMYFUNCTION("""COMPUTED_VALUE"""),281506.0)</f>
        <v>281506</v>
      </c>
      <c r="H1270" s="17" t="str">
        <f>IFERROR(__xludf.DUMMYFUNCTION("""COMPUTED_VALUE"""),"послуги навчальних закладів")</f>
        <v>послуги навчальних закладів</v>
      </c>
      <c r="I1270" s="18">
        <f>IFERROR(__xludf.DUMMYFUNCTION("""COMPUTED_VALUE"""),0.76)</f>
        <v>0.76</v>
      </c>
      <c r="J1270" s="18">
        <f>IFERROR(__xludf.DUMMYFUNCTION("""COMPUTED_VALUE"""),1.53)</f>
        <v>1.53</v>
      </c>
      <c r="K1270" s="18">
        <f>IFERROR(__xludf.DUMMYFUNCTION("""COMPUTED_VALUE"""),1.91)</f>
        <v>1.91</v>
      </c>
      <c r="L1270" s="18">
        <f>IFERROR(__xludf.DUMMYFUNCTION("""COMPUTED_VALUE"""),3.05)</f>
        <v>3.05</v>
      </c>
    </row>
    <row r="1271">
      <c r="A1271" s="13" t="str">
        <f>IFERROR(__xludf.DUMMYFUNCTION("""COMPUTED_VALUE"""),"послуги")</f>
        <v>послуги</v>
      </c>
      <c r="B1271" s="13" t="str">
        <f>IFERROR(__xludf.DUMMYFUNCTION("""COMPUTED_VALUE"""),"послуги у сфері освіти, тренінги")</f>
        <v>послуги у сфері освіти, тренінги</v>
      </c>
      <c r="C1271" s="15" t="str">
        <f>IFERROR(__xludf.DUMMYFUNCTION("""COMPUTED_VALUE"""),"курси")</f>
        <v>курси</v>
      </c>
      <c r="D1271" s="15" t="str">
        <f>IFERROR(__xludf.DUMMYFUNCTION("""COMPUTED_VALUE"""),"професійні курси")</f>
        <v>професійні курси</v>
      </c>
      <c r="E1271" s="15" t="str">
        <f>IFERROR(__xludf.DUMMYFUNCTION("""COMPUTED_VALUE"""),"професійні курси")</f>
        <v>професійні курси</v>
      </c>
      <c r="F1271" s="17">
        <f>IFERROR(__xludf.DUMMYFUNCTION("""COMPUTED_VALUE"""),3.0)</f>
        <v>3</v>
      </c>
      <c r="G1271" s="17">
        <f>IFERROR(__xludf.DUMMYFUNCTION("""COMPUTED_VALUE"""),281582.0)</f>
        <v>281582</v>
      </c>
      <c r="H1271" s="17" t="str">
        <f>IFERROR(__xludf.DUMMYFUNCTION("""COMPUTED_VALUE"""),"професійні курси")</f>
        <v>професійні курси</v>
      </c>
      <c r="I1271" s="18">
        <f>IFERROR(__xludf.DUMMYFUNCTION("""COMPUTED_VALUE"""),1.13)</f>
        <v>1.13</v>
      </c>
      <c r="J1271" s="18">
        <f>IFERROR(__xludf.DUMMYFUNCTION("""COMPUTED_VALUE"""),2.25)</f>
        <v>2.25</v>
      </c>
      <c r="K1271" s="18">
        <f>IFERROR(__xludf.DUMMYFUNCTION("""COMPUTED_VALUE"""),2.81)</f>
        <v>2.81</v>
      </c>
      <c r="L1271" s="18">
        <f>IFERROR(__xludf.DUMMYFUNCTION("""COMPUTED_VALUE"""),4.5)</f>
        <v>4.5</v>
      </c>
    </row>
    <row r="1272">
      <c r="A1272" s="13" t="str">
        <f>IFERROR(__xludf.DUMMYFUNCTION("""COMPUTED_VALUE"""),"послуги")</f>
        <v>послуги</v>
      </c>
      <c r="B1272" s="13" t="str">
        <f>IFERROR(__xludf.DUMMYFUNCTION("""COMPUTED_VALUE"""),"послуги, загальне")</f>
        <v>послуги, загальне</v>
      </c>
      <c r="C1272" s="15" t="str">
        <f>IFERROR(__xludf.DUMMYFUNCTION("""COMPUTED_VALUE"""),"послуги, загальне")</f>
        <v>послуги, загальне</v>
      </c>
      <c r="D1272" s="15" t="str">
        <f>IFERROR(__xludf.DUMMYFUNCTION("""COMPUTED_VALUE"""),"послуги, загальне")</f>
        <v>послуги, загальне</v>
      </c>
      <c r="E1272" s="15" t="str">
        <f>IFERROR(__xludf.DUMMYFUNCTION("""COMPUTED_VALUE"""),"послуги, загальне")</f>
        <v>послуги, загальне</v>
      </c>
      <c r="F1272" s="17">
        <f>IFERROR(__xludf.DUMMYFUNCTION("""COMPUTED_VALUE"""),1.0)</f>
        <v>1</v>
      </c>
      <c r="G1272" s="17">
        <f>IFERROR(__xludf.DUMMYFUNCTION("""COMPUTED_VALUE"""),2825.0)</f>
        <v>2825</v>
      </c>
      <c r="H1272" s="17" t="str">
        <f>IFERROR(__xludf.DUMMYFUNCTION("""COMPUTED_VALUE"""),"послуги, загальне")</f>
        <v>послуги, загальне</v>
      </c>
      <c r="I1272" s="18">
        <f>IFERROR(__xludf.DUMMYFUNCTION("""COMPUTED_VALUE"""),2.16)</f>
        <v>2.16</v>
      </c>
      <c r="J1272" s="18">
        <f>IFERROR(__xludf.DUMMYFUNCTION("""COMPUTED_VALUE"""),4.33)</f>
        <v>4.33</v>
      </c>
      <c r="K1272" s="18">
        <f>IFERROR(__xludf.DUMMYFUNCTION("""COMPUTED_VALUE"""),5.41)</f>
        <v>5.41</v>
      </c>
      <c r="L1272" s="18">
        <f>IFERROR(__xludf.DUMMYFUNCTION("""COMPUTED_VALUE"""),8.65)</f>
        <v>8.65</v>
      </c>
    </row>
    <row r="1273">
      <c r="A1273" s="13" t="str">
        <f>IFERROR(__xludf.DUMMYFUNCTION("""COMPUTED_VALUE"""),"товари")</f>
        <v>товари</v>
      </c>
      <c r="B1273" s="13" t="str">
        <f>IFERROR(__xludf.DUMMYFUNCTION("""COMPUTED_VALUE"""),"продукти харчування, напої")</f>
        <v>продукти харчування, напої</v>
      </c>
      <c r="C1273" s="15" t="str">
        <f>IFERROR(__xludf.DUMMYFUNCTION("""COMPUTED_VALUE"""),"бакалія")</f>
        <v>бакалія</v>
      </c>
      <c r="D1273" s="15" t="str">
        <f>IFERROR(__xludf.DUMMYFUNCTION("""COMPUTED_VALUE"""),"харчові інгредієнти")</f>
        <v>харчові інгредієнти</v>
      </c>
      <c r="E1273" s="15" t="str">
        <f>IFERROR(__xludf.DUMMYFUNCTION("""COMPUTED_VALUE"""),"екстракти для харчової промисловості")</f>
        <v>екстракти для харчової промисловості</v>
      </c>
      <c r="F1273" s="17">
        <f>IFERROR(__xludf.DUMMYFUNCTION("""COMPUTED_VALUE"""),4.0)</f>
        <v>4</v>
      </c>
      <c r="G1273" s="17">
        <f>IFERROR(__xludf.DUMMYFUNCTION("""COMPUTED_VALUE"""),81913.0)</f>
        <v>81913</v>
      </c>
      <c r="H1273" s="17" t="str">
        <f>IFERROR(__xludf.DUMMYFUNCTION("""COMPUTED_VALUE"""),"екстракти для харчової промисловості")</f>
        <v>екстракти для харчової промисловості</v>
      </c>
      <c r="I1273" s="18">
        <f>IFERROR(__xludf.DUMMYFUNCTION("""COMPUTED_VALUE"""),1.94)</f>
        <v>1.94</v>
      </c>
      <c r="J1273" s="18">
        <f>IFERROR(__xludf.DUMMYFUNCTION("""COMPUTED_VALUE"""),3.88)</f>
        <v>3.88</v>
      </c>
      <c r="K1273" s="18">
        <f>IFERROR(__xludf.DUMMYFUNCTION("""COMPUTED_VALUE"""),4.84)</f>
        <v>4.84</v>
      </c>
      <c r="L1273" s="18">
        <f>IFERROR(__xludf.DUMMYFUNCTION("""COMPUTED_VALUE"""),7.75)</f>
        <v>7.75</v>
      </c>
    </row>
    <row r="1274">
      <c r="A1274" s="13" t="str">
        <f>IFERROR(__xludf.DUMMYFUNCTION("""COMPUTED_VALUE"""),"товари")</f>
        <v>товари</v>
      </c>
      <c r="B1274" s="13" t="str">
        <f>IFERROR(__xludf.DUMMYFUNCTION("""COMPUTED_VALUE"""),"продукти харчування, напої")</f>
        <v>продукти харчування, напої</v>
      </c>
      <c r="C1274" s="15" t="str">
        <f>IFERROR(__xludf.DUMMYFUNCTION("""COMPUTED_VALUE"""),"бакалія")</f>
        <v>бакалія</v>
      </c>
      <c r="D1274" s="15" t="str">
        <f>IFERROR(__xludf.DUMMYFUNCTION("""COMPUTED_VALUE"""),"харчові інгредієнти")</f>
        <v>харчові інгредієнти</v>
      </c>
      <c r="E1274" s="15" t="str">
        <f>IFERROR(__xludf.DUMMYFUNCTION("""COMPUTED_VALUE"""),"регулятори кислотності")</f>
        <v>регулятори кислотності</v>
      </c>
      <c r="F1274" s="17">
        <f>IFERROR(__xludf.DUMMYFUNCTION("""COMPUTED_VALUE"""),4.0)</f>
        <v>4</v>
      </c>
      <c r="G1274" s="17">
        <f>IFERROR(__xludf.DUMMYFUNCTION("""COMPUTED_VALUE"""),81901.0)</f>
        <v>81901</v>
      </c>
      <c r="H1274" s="17" t="str">
        <f>IFERROR(__xludf.DUMMYFUNCTION("""COMPUTED_VALUE"""),"регулятори кислотності")</f>
        <v>регулятори кислотності</v>
      </c>
      <c r="I1274" s="18">
        <f>IFERROR(__xludf.DUMMYFUNCTION("""COMPUTED_VALUE"""),1.94)</f>
        <v>1.94</v>
      </c>
      <c r="J1274" s="18">
        <f>IFERROR(__xludf.DUMMYFUNCTION("""COMPUTED_VALUE"""),3.88)</f>
        <v>3.88</v>
      </c>
      <c r="K1274" s="18">
        <f>IFERROR(__xludf.DUMMYFUNCTION("""COMPUTED_VALUE"""),4.84)</f>
        <v>4.84</v>
      </c>
      <c r="L1274" s="18">
        <f>IFERROR(__xludf.DUMMYFUNCTION("""COMPUTED_VALUE"""),7.75)</f>
        <v>7.75</v>
      </c>
    </row>
    <row r="1275">
      <c r="A1275" s="13" t="str">
        <f>IFERROR(__xludf.DUMMYFUNCTION("""COMPUTED_VALUE"""),"товари")</f>
        <v>товари</v>
      </c>
      <c r="B1275" s="13" t="str">
        <f>IFERROR(__xludf.DUMMYFUNCTION("""COMPUTED_VALUE"""),"продукти харчування, напої")</f>
        <v>продукти харчування, напої</v>
      </c>
      <c r="C1275" s="15" t="str">
        <f>IFERROR(__xludf.DUMMYFUNCTION("""COMPUTED_VALUE"""),"бакалія")</f>
        <v>бакалія</v>
      </c>
      <c r="D1275" s="15" t="str">
        <f>IFERROR(__xludf.DUMMYFUNCTION("""COMPUTED_VALUE"""),"харчові інгредієнти")</f>
        <v>харчові інгредієнти</v>
      </c>
      <c r="E1275" s="15" t="str">
        <f>IFERROR(__xludf.DUMMYFUNCTION("""COMPUTED_VALUE"""),"ферменти")</f>
        <v>ферменти</v>
      </c>
      <c r="F1275" s="17">
        <f>IFERROR(__xludf.DUMMYFUNCTION("""COMPUTED_VALUE"""),4.0)</f>
        <v>4</v>
      </c>
      <c r="G1275" s="17">
        <f>IFERROR(__xludf.DUMMYFUNCTION("""COMPUTED_VALUE"""),1605.0)</f>
        <v>1605</v>
      </c>
      <c r="H1275" s="17" t="str">
        <f>IFERROR(__xludf.DUMMYFUNCTION("""COMPUTED_VALUE"""),"ферменти")</f>
        <v>ферменти</v>
      </c>
      <c r="I1275" s="18">
        <f>IFERROR(__xludf.DUMMYFUNCTION("""COMPUTED_VALUE"""),1.94)</f>
        <v>1.94</v>
      </c>
      <c r="J1275" s="18">
        <f>IFERROR(__xludf.DUMMYFUNCTION("""COMPUTED_VALUE"""),3.88)</f>
        <v>3.88</v>
      </c>
      <c r="K1275" s="18">
        <f>IFERROR(__xludf.DUMMYFUNCTION("""COMPUTED_VALUE"""),4.84)</f>
        <v>4.84</v>
      </c>
      <c r="L1275" s="18">
        <f>IFERROR(__xludf.DUMMYFUNCTION("""COMPUTED_VALUE"""),7.75)</f>
        <v>7.75</v>
      </c>
    </row>
    <row r="1276">
      <c r="A1276" s="13" t="str">
        <f>IFERROR(__xludf.DUMMYFUNCTION("""COMPUTED_VALUE"""),"товари")</f>
        <v>товари</v>
      </c>
      <c r="B1276" s="13" t="str">
        <f>IFERROR(__xludf.DUMMYFUNCTION("""COMPUTED_VALUE"""),"промислова хімія")</f>
        <v>промислова хімія</v>
      </c>
      <c r="C1276" s="15" t="str">
        <f>IFERROR(__xludf.DUMMYFUNCTION("""COMPUTED_VALUE"""),"колоїдна хімія")</f>
        <v>колоїдна хімія</v>
      </c>
      <c r="D1276" s="15" t="str">
        <f>IFERROR(__xludf.DUMMYFUNCTION("""COMPUTED_VALUE"""),"адсорбенти")</f>
        <v>адсорбенти</v>
      </c>
      <c r="E1276" s="15" t="str">
        <f>IFERROR(__xludf.DUMMYFUNCTION("""COMPUTED_VALUE"""),"адсорбенти, загальне")</f>
        <v>адсорбенти, загальне</v>
      </c>
      <c r="F1276" s="17">
        <f>IFERROR(__xludf.DUMMYFUNCTION("""COMPUTED_VALUE"""),4.0)</f>
        <v>4</v>
      </c>
      <c r="G1276" s="17">
        <f>IFERROR(__xludf.DUMMYFUNCTION("""COMPUTED_VALUE"""),8320199.0)</f>
        <v>8320199</v>
      </c>
      <c r="H1276" s="17" t="str">
        <f>IFERROR(__xludf.DUMMYFUNCTION("""COMPUTED_VALUE"""),"адсорбенти, загальне")</f>
        <v>адсорбенти, загальне</v>
      </c>
      <c r="I1276" s="18">
        <f>IFERROR(__xludf.DUMMYFUNCTION("""COMPUTED_VALUE"""),2.16)</f>
        <v>2.16</v>
      </c>
      <c r="J1276" s="18">
        <f>IFERROR(__xludf.DUMMYFUNCTION("""COMPUTED_VALUE"""),4.33)</f>
        <v>4.33</v>
      </c>
      <c r="K1276" s="18">
        <f>IFERROR(__xludf.DUMMYFUNCTION("""COMPUTED_VALUE"""),5.41)</f>
        <v>5.41</v>
      </c>
      <c r="L1276" s="18">
        <f>IFERROR(__xludf.DUMMYFUNCTION("""COMPUTED_VALUE"""),8.65)</f>
        <v>8.65</v>
      </c>
    </row>
    <row r="1277">
      <c r="A1277" s="13" t="str">
        <f>IFERROR(__xludf.DUMMYFUNCTION("""COMPUTED_VALUE"""),"товари")</f>
        <v>товари</v>
      </c>
      <c r="B1277" s="13" t="str">
        <f>IFERROR(__xludf.DUMMYFUNCTION("""COMPUTED_VALUE"""),"промислова хімія")</f>
        <v>промислова хімія</v>
      </c>
      <c r="C1277" s="15" t="str">
        <f>IFERROR(__xludf.DUMMYFUNCTION("""COMPUTED_VALUE"""),"біопрепарати для очищення стічних вод")</f>
        <v>біопрепарати для очищення стічних вод</v>
      </c>
      <c r="D1277" s="15" t="str">
        <f>IFERROR(__xludf.DUMMYFUNCTION("""COMPUTED_VALUE"""),"біопрепарати для очищення стічних вод")</f>
        <v>біопрепарати для очищення стічних вод</v>
      </c>
      <c r="E1277" s="15" t="str">
        <f>IFERROR(__xludf.DUMMYFUNCTION("""COMPUTED_VALUE"""),"біопрепарати для очищення стічних вод")</f>
        <v>біопрепарати для очищення стічних вод</v>
      </c>
      <c r="F1277" s="17">
        <f>IFERROR(__xludf.DUMMYFUNCTION("""COMPUTED_VALUE"""),2.0)</f>
        <v>2</v>
      </c>
      <c r="G1277" s="17">
        <f>IFERROR(__xludf.DUMMYFUNCTION("""COMPUTED_VALUE"""),80329.0)</f>
        <v>80329</v>
      </c>
      <c r="H1277" s="17" t="str">
        <f>IFERROR(__xludf.DUMMYFUNCTION("""COMPUTED_VALUE"""),"біопрепарати для очищення стічних вод")</f>
        <v>біопрепарати для очищення стічних вод</v>
      </c>
      <c r="I1277" s="18">
        <f>IFERROR(__xludf.DUMMYFUNCTION("""COMPUTED_VALUE"""),1.13)</f>
        <v>1.13</v>
      </c>
      <c r="J1277" s="18">
        <f>IFERROR(__xludf.DUMMYFUNCTION("""COMPUTED_VALUE"""),2.25)</f>
        <v>2.25</v>
      </c>
      <c r="K1277" s="18">
        <f>IFERROR(__xludf.DUMMYFUNCTION("""COMPUTED_VALUE"""),2.81)</f>
        <v>2.81</v>
      </c>
      <c r="L1277" s="18">
        <f>IFERROR(__xludf.DUMMYFUNCTION("""COMPUTED_VALUE"""),4.5)</f>
        <v>4.5</v>
      </c>
    </row>
    <row r="1278">
      <c r="A1278" s="13" t="str">
        <f>IFERROR(__xludf.DUMMYFUNCTION("""COMPUTED_VALUE"""),"товари")</f>
        <v>товари</v>
      </c>
      <c r="B1278" s="13" t="str">
        <f>IFERROR(__xludf.DUMMYFUNCTION("""COMPUTED_VALUE"""),"промислова хімія")</f>
        <v>промислова хімія</v>
      </c>
      <c r="C1278" s="15" t="str">
        <f>IFERROR(__xludf.DUMMYFUNCTION("""COMPUTED_VALUE"""),"біохімія")</f>
        <v>біохімія</v>
      </c>
      <c r="D1278" s="15" t="str">
        <f>IFERROR(__xludf.DUMMYFUNCTION("""COMPUTED_VALUE"""),"біохімія")</f>
        <v>біохімія</v>
      </c>
      <c r="E1278" s="15" t="str">
        <f>IFERROR(__xludf.DUMMYFUNCTION("""COMPUTED_VALUE"""),"біохімія")</f>
        <v>біохімія</v>
      </c>
      <c r="F1278" s="17">
        <f>IFERROR(__xludf.DUMMYFUNCTION("""COMPUTED_VALUE"""),2.0)</f>
        <v>2</v>
      </c>
      <c r="G1278" s="17">
        <f>IFERROR(__xludf.DUMMYFUNCTION("""COMPUTED_VALUE"""),1606.0)</f>
        <v>1606</v>
      </c>
      <c r="H1278" s="17" t="str">
        <f>IFERROR(__xludf.DUMMYFUNCTION("""COMPUTED_VALUE"""),"біохімія")</f>
        <v>біохімія</v>
      </c>
      <c r="I1278" s="18">
        <f>IFERROR(__xludf.DUMMYFUNCTION("""COMPUTED_VALUE"""),0.86)</f>
        <v>0.86</v>
      </c>
      <c r="J1278" s="18">
        <f>IFERROR(__xludf.DUMMYFUNCTION("""COMPUTED_VALUE"""),1.71)</f>
        <v>1.71</v>
      </c>
      <c r="K1278" s="18">
        <f>IFERROR(__xludf.DUMMYFUNCTION("""COMPUTED_VALUE"""),2.14)</f>
        <v>2.14</v>
      </c>
      <c r="L1278" s="18">
        <f>IFERROR(__xludf.DUMMYFUNCTION("""COMPUTED_VALUE"""),3.43)</f>
        <v>3.43</v>
      </c>
    </row>
    <row r="1279">
      <c r="A1279" s="13" t="str">
        <f>IFERROR(__xludf.DUMMYFUNCTION("""COMPUTED_VALUE"""),"товари")</f>
        <v>товари</v>
      </c>
      <c r="B1279" s="13" t="str">
        <f>IFERROR(__xludf.DUMMYFUNCTION("""COMPUTED_VALUE"""),"промислова хімія")</f>
        <v>промислова хімія</v>
      </c>
      <c r="C1279" s="15" t="str">
        <f>IFERROR(__xludf.DUMMYFUNCTION("""COMPUTED_VALUE"""),"неорганічні сполуки")</f>
        <v>неорганічні сполуки</v>
      </c>
      <c r="D1279" s="15" t="str">
        <f>IFERROR(__xludf.DUMMYFUNCTION("""COMPUTED_VALUE"""),"карбід кальцію")</f>
        <v>карбід кальцію</v>
      </c>
      <c r="E1279" s="15" t="str">
        <f>IFERROR(__xludf.DUMMYFUNCTION("""COMPUTED_VALUE"""),"карбід кальцію")</f>
        <v>карбід кальцію</v>
      </c>
      <c r="F1279" s="17">
        <f>IFERROR(__xludf.DUMMYFUNCTION("""COMPUTED_VALUE"""),3.0)</f>
        <v>3</v>
      </c>
      <c r="G1279" s="17">
        <f>IFERROR(__xludf.DUMMYFUNCTION("""COMPUTED_VALUE"""),80101.0)</f>
        <v>80101</v>
      </c>
      <c r="H1279" s="17" t="str">
        <f>IFERROR(__xludf.DUMMYFUNCTION("""COMPUTED_VALUE"""),"карбід кальцію")</f>
        <v>карбід кальцію</v>
      </c>
      <c r="I1279" s="18">
        <f>IFERROR(__xludf.DUMMYFUNCTION("""COMPUTED_VALUE"""),1.08)</f>
        <v>1.08</v>
      </c>
      <c r="J1279" s="18">
        <f>IFERROR(__xludf.DUMMYFUNCTION("""COMPUTED_VALUE"""),2.16)</f>
        <v>2.16</v>
      </c>
      <c r="K1279" s="18">
        <f>IFERROR(__xludf.DUMMYFUNCTION("""COMPUTED_VALUE"""),2.7)</f>
        <v>2.7</v>
      </c>
      <c r="L1279" s="18">
        <f>IFERROR(__xludf.DUMMYFUNCTION("""COMPUTED_VALUE"""),4.33)</f>
        <v>4.33</v>
      </c>
    </row>
    <row r="1280">
      <c r="A1280" s="13" t="str">
        <f>IFERROR(__xludf.DUMMYFUNCTION("""COMPUTED_VALUE"""),"товари")</f>
        <v>товари</v>
      </c>
      <c r="B1280" s="13" t="str">
        <f>IFERROR(__xludf.DUMMYFUNCTION("""COMPUTED_VALUE"""),"промислова хімія")</f>
        <v>промислова хімія</v>
      </c>
      <c r="C1280" s="15" t="str">
        <f>IFERROR(__xludf.DUMMYFUNCTION("""COMPUTED_VALUE"""),"хімічні реактиви")</f>
        <v>хімічні реактиви</v>
      </c>
      <c r="D1280" s="15" t="str">
        <f>IFERROR(__xludf.DUMMYFUNCTION("""COMPUTED_VALUE"""),"каталізатори, інгібітори")</f>
        <v>каталізатори, інгібітори</v>
      </c>
      <c r="E1280" s="15" t="str">
        <f>IFERROR(__xludf.DUMMYFUNCTION("""COMPUTED_VALUE"""),"каталізатори, інгібітори")</f>
        <v>каталізатори, інгібітори</v>
      </c>
      <c r="F1280" s="17">
        <f>IFERROR(__xludf.DUMMYFUNCTION("""COMPUTED_VALUE"""),3.0)</f>
        <v>3</v>
      </c>
      <c r="G1280" s="17">
        <f>IFERROR(__xludf.DUMMYFUNCTION("""COMPUTED_VALUE"""),831.0)</f>
        <v>831</v>
      </c>
      <c r="H1280" s="17" t="str">
        <f>IFERROR(__xludf.DUMMYFUNCTION("""COMPUTED_VALUE"""),"каталізатори, інгібітори")</f>
        <v>каталізатори, інгібітори</v>
      </c>
      <c r="I1280" s="18">
        <f>IFERROR(__xludf.DUMMYFUNCTION("""COMPUTED_VALUE"""),0.99)</f>
        <v>0.99</v>
      </c>
      <c r="J1280" s="18">
        <f>IFERROR(__xludf.DUMMYFUNCTION("""COMPUTED_VALUE"""),1.98)</f>
        <v>1.98</v>
      </c>
      <c r="K1280" s="18">
        <f>IFERROR(__xludf.DUMMYFUNCTION("""COMPUTED_VALUE"""),2.47)</f>
        <v>2.47</v>
      </c>
      <c r="L1280" s="18">
        <f>IFERROR(__xludf.DUMMYFUNCTION("""COMPUTED_VALUE"""),3.95)</f>
        <v>3.95</v>
      </c>
    </row>
    <row r="1281">
      <c r="A1281" s="13" t="str">
        <f>IFERROR(__xludf.DUMMYFUNCTION("""COMPUTED_VALUE"""),"товари")</f>
        <v>товари</v>
      </c>
      <c r="B1281" s="13" t="str">
        <f>IFERROR(__xludf.DUMMYFUNCTION("""COMPUTED_VALUE"""),"промислова хімія")</f>
        <v>промислова хімія</v>
      </c>
      <c r="C1281" s="15" t="str">
        <f>IFERROR(__xludf.DUMMYFUNCTION("""COMPUTED_VALUE"""),"неорганічні сполуки")</f>
        <v>неорганічні сполуки</v>
      </c>
      <c r="D1281" s="15" t="str">
        <f>IFERROR(__xludf.DUMMYFUNCTION("""COMPUTED_VALUE"""),"луги")</f>
        <v>луги</v>
      </c>
      <c r="E1281" s="15" t="str">
        <f>IFERROR(__xludf.DUMMYFUNCTION("""COMPUTED_VALUE"""),"луги")</f>
        <v>луги</v>
      </c>
      <c r="F1281" s="17">
        <f>IFERROR(__xludf.DUMMYFUNCTION("""COMPUTED_VALUE"""),3.0)</f>
        <v>3</v>
      </c>
      <c r="G1281" s="17">
        <f>IFERROR(__xludf.DUMMYFUNCTION("""COMPUTED_VALUE"""),80202.0)</f>
        <v>80202</v>
      </c>
      <c r="H1281" s="17" t="str">
        <f>IFERROR(__xludf.DUMMYFUNCTION("""COMPUTED_VALUE"""),"луги")</f>
        <v>луги</v>
      </c>
      <c r="I1281" s="18">
        <f>IFERROR(__xludf.DUMMYFUNCTION("""COMPUTED_VALUE"""),2.7)</f>
        <v>2.7</v>
      </c>
      <c r="J1281" s="18">
        <f>IFERROR(__xludf.DUMMYFUNCTION("""COMPUTED_VALUE"""),5.4)</f>
        <v>5.4</v>
      </c>
      <c r="K1281" s="18">
        <f>IFERROR(__xludf.DUMMYFUNCTION("""COMPUTED_VALUE"""),6.75)</f>
        <v>6.75</v>
      </c>
      <c r="L1281" s="18">
        <f>IFERROR(__xludf.DUMMYFUNCTION("""COMPUTED_VALUE"""),10.8)</f>
        <v>10.8</v>
      </c>
    </row>
    <row r="1282">
      <c r="A1282" s="13" t="str">
        <f>IFERROR(__xludf.DUMMYFUNCTION("""COMPUTED_VALUE"""),"товари")</f>
        <v>товари</v>
      </c>
      <c r="B1282" s="13" t="str">
        <f>IFERROR(__xludf.DUMMYFUNCTION("""COMPUTED_VALUE"""),"промислова хімія")</f>
        <v>промислова хімія</v>
      </c>
      <c r="C1282" s="15" t="str">
        <f>IFERROR(__xludf.DUMMYFUNCTION("""COMPUTED_VALUE"""),"лакофарбові матеріали та покриття")</f>
        <v>лакофарбові матеріали та покриття</v>
      </c>
      <c r="D1282" s="15" t="str">
        <f>IFERROR(__xludf.DUMMYFUNCTION("""COMPUTED_VALUE"""),"матеріали для гумових покриттів")</f>
        <v>матеріали для гумових покриттів</v>
      </c>
      <c r="E1282" s="15" t="str">
        <f>IFERROR(__xludf.DUMMYFUNCTION("""COMPUTED_VALUE"""),"матеріали для гумових покриттів")</f>
        <v>матеріали для гумових покриттів</v>
      </c>
      <c r="F1282" s="17">
        <f>IFERROR(__xludf.DUMMYFUNCTION("""COMPUTED_VALUE"""),3.0)</f>
        <v>3</v>
      </c>
      <c r="G1282" s="17">
        <f>IFERROR(__xludf.DUMMYFUNCTION("""COMPUTED_VALUE"""),81109.0)</f>
        <v>81109</v>
      </c>
      <c r="H1282" s="17" t="str">
        <f>IFERROR(__xludf.DUMMYFUNCTION("""COMPUTED_VALUE"""),"матеріали для гумових покриттів")</f>
        <v>матеріали для гумових покриттів</v>
      </c>
      <c r="I1282" s="18">
        <f>IFERROR(__xludf.DUMMYFUNCTION("""COMPUTED_VALUE"""),0.76)</f>
        <v>0.76</v>
      </c>
      <c r="J1282" s="18">
        <f>IFERROR(__xludf.DUMMYFUNCTION("""COMPUTED_VALUE"""),1.53)</f>
        <v>1.53</v>
      </c>
      <c r="K1282" s="18">
        <f>IFERROR(__xludf.DUMMYFUNCTION("""COMPUTED_VALUE"""),1.91)</f>
        <v>1.91</v>
      </c>
      <c r="L1282" s="18">
        <f>IFERROR(__xludf.DUMMYFUNCTION("""COMPUTED_VALUE"""),3.05)</f>
        <v>3.05</v>
      </c>
    </row>
    <row r="1283">
      <c r="A1283" s="13" t="str">
        <f>IFERROR(__xludf.DUMMYFUNCTION("""COMPUTED_VALUE"""),"товари")</f>
        <v>товари</v>
      </c>
      <c r="B1283" s="13" t="str">
        <f>IFERROR(__xludf.DUMMYFUNCTION("""COMPUTED_VALUE"""),"промислова хімія")</f>
        <v>промислова хімія</v>
      </c>
      <c r="C1283" s="15" t="str">
        <f>IFERROR(__xludf.DUMMYFUNCTION("""COMPUTED_VALUE"""),"органічні сполуки")</f>
        <v>органічні сполуки</v>
      </c>
      <c r="D1283" s="15" t="str">
        <f>IFERROR(__xludf.DUMMYFUNCTION("""COMPUTED_VALUE"""),"меламін")</f>
        <v>меламін</v>
      </c>
      <c r="E1283" s="15" t="str">
        <f>IFERROR(__xludf.DUMMYFUNCTION("""COMPUTED_VALUE"""),"меламін")</f>
        <v>меламін</v>
      </c>
      <c r="F1283" s="17">
        <f>IFERROR(__xludf.DUMMYFUNCTION("""COMPUTED_VALUE"""),3.0)</f>
        <v>3</v>
      </c>
      <c r="G1283" s="17">
        <f>IFERROR(__xludf.DUMMYFUNCTION("""COMPUTED_VALUE"""),80210.0)</f>
        <v>80210</v>
      </c>
      <c r="H1283" s="17" t="str">
        <f>IFERROR(__xludf.DUMMYFUNCTION("""COMPUTED_VALUE"""),"меламін")</f>
        <v>меламін</v>
      </c>
      <c r="I1283" s="18">
        <f>IFERROR(__xludf.DUMMYFUNCTION("""COMPUTED_VALUE"""),0.76)</f>
        <v>0.76</v>
      </c>
      <c r="J1283" s="18">
        <f>IFERROR(__xludf.DUMMYFUNCTION("""COMPUTED_VALUE"""),1.53)</f>
        <v>1.53</v>
      </c>
      <c r="K1283" s="18">
        <f>IFERROR(__xludf.DUMMYFUNCTION("""COMPUTED_VALUE"""),1.91)</f>
        <v>1.91</v>
      </c>
      <c r="L1283" s="18">
        <f>IFERROR(__xludf.DUMMYFUNCTION("""COMPUTED_VALUE"""),3.05)</f>
        <v>3.05</v>
      </c>
    </row>
    <row r="1284">
      <c r="A1284" s="13" t="str">
        <f>IFERROR(__xludf.DUMMYFUNCTION("""COMPUTED_VALUE"""),"товари")</f>
        <v>товари</v>
      </c>
      <c r="B1284" s="13" t="str">
        <f>IFERROR(__xludf.DUMMYFUNCTION("""COMPUTED_VALUE"""),"промислова хімія")</f>
        <v>промислова хімія</v>
      </c>
      <c r="C1284" s="15" t="str">
        <f>IFERROR(__xludf.DUMMYFUNCTION("""COMPUTED_VALUE"""),"неорганічні сполуки")</f>
        <v>неорганічні сполуки</v>
      </c>
      <c r="D1284" s="15" t="str">
        <f>IFERROR(__xludf.DUMMYFUNCTION("""COMPUTED_VALUE"""),"неорганічні кислоти")</f>
        <v>неорганічні кислоти</v>
      </c>
      <c r="E1284" s="15" t="str">
        <f>IFERROR(__xludf.DUMMYFUNCTION("""COMPUTED_VALUE"""),"неорганічні кислоти")</f>
        <v>неорганічні кислоти</v>
      </c>
      <c r="F1284" s="17">
        <f>IFERROR(__xludf.DUMMYFUNCTION("""COMPUTED_VALUE"""),3.0)</f>
        <v>3</v>
      </c>
      <c r="G1284" s="17">
        <f>IFERROR(__xludf.DUMMYFUNCTION("""COMPUTED_VALUE"""),80201.0)</f>
        <v>80201</v>
      </c>
      <c r="H1284" s="17" t="str">
        <f>IFERROR(__xludf.DUMMYFUNCTION("""COMPUTED_VALUE"""),"неорганічні кислоти")</f>
        <v>неорганічні кислоти</v>
      </c>
      <c r="I1284" s="18">
        <f>IFERROR(__xludf.DUMMYFUNCTION("""COMPUTED_VALUE"""),2.7)</f>
        <v>2.7</v>
      </c>
      <c r="J1284" s="18">
        <f>IFERROR(__xludf.DUMMYFUNCTION("""COMPUTED_VALUE"""),5.4)</f>
        <v>5.4</v>
      </c>
      <c r="K1284" s="18">
        <f>IFERROR(__xludf.DUMMYFUNCTION("""COMPUTED_VALUE"""),6.75)</f>
        <v>6.75</v>
      </c>
      <c r="L1284" s="18">
        <f>IFERROR(__xludf.DUMMYFUNCTION("""COMPUTED_VALUE"""),10.8)</f>
        <v>10.8</v>
      </c>
    </row>
    <row r="1285">
      <c r="A1285" s="13" t="str">
        <f>IFERROR(__xludf.DUMMYFUNCTION("""COMPUTED_VALUE"""),"товари")</f>
        <v>товари</v>
      </c>
      <c r="B1285" s="13" t="str">
        <f>IFERROR(__xludf.DUMMYFUNCTION("""COMPUTED_VALUE"""),"промислова хімія")</f>
        <v>промислова хімія</v>
      </c>
      <c r="C1285" s="15" t="str">
        <f>IFERROR(__xludf.DUMMYFUNCTION("""COMPUTED_VALUE"""),"неорганічні сполуки")</f>
        <v>неорганічні сполуки</v>
      </c>
      <c r="D1285" s="15" t="str">
        <f>IFERROR(__xludf.DUMMYFUNCTION("""COMPUTED_VALUE"""),"оксиди")</f>
        <v>оксиди</v>
      </c>
      <c r="E1285" s="15" t="str">
        <f>IFERROR(__xludf.DUMMYFUNCTION("""COMPUTED_VALUE"""),"оксиди")</f>
        <v>оксиди</v>
      </c>
      <c r="F1285" s="17">
        <f>IFERROR(__xludf.DUMMYFUNCTION("""COMPUTED_VALUE"""),3.0)</f>
        <v>3</v>
      </c>
      <c r="G1285" s="17">
        <f>IFERROR(__xludf.DUMMYFUNCTION("""COMPUTED_VALUE"""),8020410.0)</f>
        <v>8020410</v>
      </c>
      <c r="H1285" s="17" t="str">
        <f>IFERROR(__xludf.DUMMYFUNCTION("""COMPUTED_VALUE"""),"оксиди")</f>
        <v>оксиди</v>
      </c>
      <c r="I1285" s="18">
        <f>IFERROR(__xludf.DUMMYFUNCTION("""COMPUTED_VALUE"""),1.53)</f>
        <v>1.53</v>
      </c>
      <c r="J1285" s="18">
        <f>IFERROR(__xludf.DUMMYFUNCTION("""COMPUTED_VALUE"""),3.06)</f>
        <v>3.06</v>
      </c>
      <c r="K1285" s="18">
        <f>IFERROR(__xludf.DUMMYFUNCTION("""COMPUTED_VALUE"""),3.83)</f>
        <v>3.83</v>
      </c>
      <c r="L1285" s="18">
        <f>IFERROR(__xludf.DUMMYFUNCTION("""COMPUTED_VALUE"""),6.13)</f>
        <v>6.13</v>
      </c>
    </row>
    <row r="1286">
      <c r="A1286" s="13" t="str">
        <f>IFERROR(__xludf.DUMMYFUNCTION("""COMPUTED_VALUE"""),"товари")</f>
        <v>товари</v>
      </c>
      <c r="B1286" s="13" t="str">
        <f>IFERROR(__xludf.DUMMYFUNCTION("""COMPUTED_VALUE"""),"промислова хімія")</f>
        <v>промислова хімія</v>
      </c>
      <c r="C1286" s="15" t="str">
        <f>IFERROR(__xludf.DUMMYFUNCTION("""COMPUTED_VALUE"""),"органічні сполуки")</f>
        <v>органічні сполуки</v>
      </c>
      <c r="D1286" s="15" t="str">
        <f>IFERROR(__xludf.DUMMYFUNCTION("""COMPUTED_VALUE"""),"органічні солі")</f>
        <v>органічні солі</v>
      </c>
      <c r="E1286" s="15" t="str">
        <f>IFERROR(__xludf.DUMMYFUNCTION("""COMPUTED_VALUE"""),"органічні солі")</f>
        <v>органічні солі</v>
      </c>
      <c r="F1286" s="17">
        <f>IFERROR(__xludf.DUMMYFUNCTION("""COMPUTED_VALUE"""),3.0)</f>
        <v>3</v>
      </c>
      <c r="G1286" s="17">
        <f>IFERROR(__xludf.DUMMYFUNCTION("""COMPUTED_VALUE"""),80301.0)</f>
        <v>80301</v>
      </c>
      <c r="H1286" s="17" t="str">
        <f>IFERROR(__xludf.DUMMYFUNCTION("""COMPUTED_VALUE"""),"органічні солі")</f>
        <v>органічні солі</v>
      </c>
      <c r="I1286" s="18">
        <f>IFERROR(__xludf.DUMMYFUNCTION("""COMPUTED_VALUE"""),2.7)</f>
        <v>2.7</v>
      </c>
      <c r="J1286" s="18">
        <f>IFERROR(__xludf.DUMMYFUNCTION("""COMPUTED_VALUE"""),5.4)</f>
        <v>5.4</v>
      </c>
      <c r="K1286" s="18">
        <f>IFERROR(__xludf.DUMMYFUNCTION("""COMPUTED_VALUE"""),6.75)</f>
        <v>6.75</v>
      </c>
      <c r="L1286" s="18">
        <f>IFERROR(__xludf.DUMMYFUNCTION("""COMPUTED_VALUE"""),10.8)</f>
        <v>10.8</v>
      </c>
    </row>
    <row r="1287">
      <c r="A1287" s="13" t="str">
        <f>IFERROR(__xludf.DUMMYFUNCTION("""COMPUTED_VALUE"""),"товари")</f>
        <v>товари</v>
      </c>
      <c r="B1287" s="13" t="str">
        <f>IFERROR(__xludf.DUMMYFUNCTION("""COMPUTED_VALUE"""),"промислова хімія")</f>
        <v>промислова хімія</v>
      </c>
      <c r="C1287" s="15" t="str">
        <f>IFERROR(__xludf.DUMMYFUNCTION("""COMPUTED_VALUE"""),"органічні сполуки")</f>
        <v>органічні сполуки</v>
      </c>
      <c r="D1287" s="15" t="str">
        <f>IFERROR(__xludf.DUMMYFUNCTION("""COMPUTED_VALUE"""),"органічні хімічні сполуки, загальне")</f>
        <v>органічні хімічні сполуки, загальне</v>
      </c>
      <c r="E1287" s="15" t="str">
        <f>IFERROR(__xludf.DUMMYFUNCTION("""COMPUTED_VALUE"""),"органічні хімічні сполуки, загальне")</f>
        <v>органічні хімічні сполуки, загальне</v>
      </c>
      <c r="F1287" s="17">
        <f>IFERROR(__xludf.DUMMYFUNCTION("""COMPUTED_VALUE"""),3.0)</f>
        <v>3</v>
      </c>
      <c r="G1287" s="17">
        <f>IFERROR(__xludf.DUMMYFUNCTION("""COMPUTED_VALUE"""),80312.0)</f>
        <v>80312</v>
      </c>
      <c r="H1287" s="17" t="str">
        <f>IFERROR(__xludf.DUMMYFUNCTION("""COMPUTED_VALUE"""),"органічні хімічні сполуки, загальне")</f>
        <v>органічні хімічні сполуки, загальне</v>
      </c>
      <c r="I1287" s="18">
        <f>IFERROR(__xludf.DUMMYFUNCTION("""COMPUTED_VALUE"""),2.16)</f>
        <v>2.16</v>
      </c>
      <c r="J1287" s="18">
        <f>IFERROR(__xludf.DUMMYFUNCTION("""COMPUTED_VALUE"""),4.33)</f>
        <v>4.33</v>
      </c>
      <c r="K1287" s="18">
        <f>IFERROR(__xludf.DUMMYFUNCTION("""COMPUTED_VALUE"""),5.41)</f>
        <v>5.41</v>
      </c>
      <c r="L1287" s="18">
        <f>IFERROR(__xludf.DUMMYFUNCTION("""COMPUTED_VALUE"""),8.65)</f>
        <v>8.65</v>
      </c>
    </row>
    <row r="1288">
      <c r="A1288" s="13" t="str">
        <f>IFERROR(__xludf.DUMMYFUNCTION("""COMPUTED_VALUE"""),"товари")</f>
        <v>товари</v>
      </c>
      <c r="B1288" s="13" t="str">
        <f>IFERROR(__xludf.DUMMYFUNCTION("""COMPUTED_VALUE"""),"промислова хімія")</f>
        <v>промислова хімія</v>
      </c>
      <c r="C1288" s="15" t="str">
        <f>IFERROR(__xludf.DUMMYFUNCTION("""COMPUTED_VALUE"""),"пігменти, барвники")</f>
        <v>пігменти, барвники</v>
      </c>
      <c r="D1288" s="15" t="str">
        <f>IFERROR(__xludf.DUMMYFUNCTION("""COMPUTED_VALUE"""),"пігменти, барвники, загальне")</f>
        <v>пігменти, барвники, загальне</v>
      </c>
      <c r="E1288" s="15" t="str">
        <f>IFERROR(__xludf.DUMMYFUNCTION("""COMPUTED_VALUE"""),"пігменти, барвники, загальне")</f>
        <v>пігменти, барвники, загальне</v>
      </c>
      <c r="F1288" s="17">
        <f>IFERROR(__xludf.DUMMYFUNCTION("""COMPUTED_VALUE"""),3.0)</f>
        <v>3</v>
      </c>
      <c r="G1288" s="17">
        <f>IFERROR(__xludf.DUMMYFUNCTION("""COMPUTED_VALUE"""),8032201.0)</f>
        <v>8032201</v>
      </c>
      <c r="H1288" s="17" t="str">
        <f>IFERROR(__xludf.DUMMYFUNCTION("""COMPUTED_VALUE"""),"пігменти, барвники, загальне")</f>
        <v>пігменти, барвники, загальне</v>
      </c>
      <c r="I1288" s="18">
        <f>IFERROR(__xludf.DUMMYFUNCTION("""COMPUTED_VALUE"""),2.16)</f>
        <v>2.16</v>
      </c>
      <c r="J1288" s="18">
        <f>IFERROR(__xludf.DUMMYFUNCTION("""COMPUTED_VALUE"""),4.33)</f>
        <v>4.33</v>
      </c>
      <c r="K1288" s="18">
        <f>IFERROR(__xludf.DUMMYFUNCTION("""COMPUTED_VALUE"""),5.41)</f>
        <v>5.41</v>
      </c>
      <c r="L1288" s="18">
        <f>IFERROR(__xludf.DUMMYFUNCTION("""COMPUTED_VALUE"""),8.65)</f>
        <v>8.65</v>
      </c>
    </row>
    <row r="1289">
      <c r="A1289" s="13" t="str">
        <f>IFERROR(__xludf.DUMMYFUNCTION("""COMPUTED_VALUE"""),"товари")</f>
        <v>товари</v>
      </c>
      <c r="B1289" s="13" t="str">
        <f>IFERROR(__xludf.DUMMYFUNCTION("""COMPUTED_VALUE"""),"промислова хімія")</f>
        <v>промислова хімія</v>
      </c>
      <c r="C1289" s="15" t="str">
        <f>IFERROR(__xludf.DUMMYFUNCTION("""COMPUTED_VALUE"""),"лакофарбові матеріали та покриття")</f>
        <v>лакофарбові матеріали та покриття</v>
      </c>
      <c r="D1289" s="15" t="str">
        <f>IFERROR(__xludf.DUMMYFUNCTION("""COMPUTED_VALUE"""),"промислові фарби")</f>
        <v>промислові фарби</v>
      </c>
      <c r="E1289" s="15" t="str">
        <f>IFERROR(__xludf.DUMMYFUNCTION("""COMPUTED_VALUE"""),"промислові фарби")</f>
        <v>промислові фарби</v>
      </c>
      <c r="F1289" s="17">
        <f>IFERROR(__xludf.DUMMYFUNCTION("""COMPUTED_VALUE"""),3.0)</f>
        <v>3</v>
      </c>
      <c r="G1289" s="17">
        <f>IFERROR(__xludf.DUMMYFUNCTION("""COMPUTED_VALUE"""),81120.0)</f>
        <v>81120</v>
      </c>
      <c r="H1289" s="17" t="str">
        <f>IFERROR(__xludf.DUMMYFUNCTION("""COMPUTED_VALUE"""),"промислові фарби")</f>
        <v>промислові фарби</v>
      </c>
      <c r="I1289" s="18">
        <f>IFERROR(__xludf.DUMMYFUNCTION("""COMPUTED_VALUE"""),1.71)</f>
        <v>1.71</v>
      </c>
      <c r="J1289" s="18">
        <f>IFERROR(__xludf.DUMMYFUNCTION("""COMPUTED_VALUE"""),3.43)</f>
        <v>3.43</v>
      </c>
      <c r="K1289" s="18">
        <f>IFERROR(__xludf.DUMMYFUNCTION("""COMPUTED_VALUE"""),4.28)</f>
        <v>4.28</v>
      </c>
      <c r="L1289" s="18">
        <f>IFERROR(__xludf.DUMMYFUNCTION("""COMPUTED_VALUE"""),6.85)</f>
        <v>6.85</v>
      </c>
    </row>
    <row r="1290">
      <c r="A1290" s="13" t="str">
        <f>IFERROR(__xludf.DUMMYFUNCTION("""COMPUTED_VALUE"""),"товари")</f>
        <v>товари</v>
      </c>
      <c r="B1290" s="13" t="str">
        <f>IFERROR(__xludf.DUMMYFUNCTION("""COMPUTED_VALUE"""),"промислова хімія")</f>
        <v>промислова хімія</v>
      </c>
      <c r="C1290" s="15" t="str">
        <f>IFERROR(__xludf.DUMMYFUNCTION("""COMPUTED_VALUE"""),"сировина для лакофарбових матеріалів")</f>
        <v>сировина для лакофарбових матеріалів</v>
      </c>
      <c r="D1290" s="15" t="str">
        <f>IFERROR(__xludf.DUMMYFUNCTION("""COMPUTED_VALUE"""),"сировина для лакофарбових матеріалів")</f>
        <v>сировина для лакофарбових матеріалів</v>
      </c>
      <c r="E1290" s="15" t="str">
        <f>IFERROR(__xludf.DUMMYFUNCTION("""COMPUTED_VALUE"""),"сировина для лакофарбових матеріалів")</f>
        <v>сировина для лакофарбових матеріалів</v>
      </c>
      <c r="F1290" s="17">
        <f>IFERROR(__xludf.DUMMYFUNCTION("""COMPUTED_VALUE"""),2.0)</f>
        <v>2</v>
      </c>
      <c r="G1290" s="17">
        <f>IFERROR(__xludf.DUMMYFUNCTION("""COMPUTED_VALUE"""),80326.0)</f>
        <v>80326</v>
      </c>
      <c r="H1290" s="17" t="str">
        <f>IFERROR(__xludf.DUMMYFUNCTION("""COMPUTED_VALUE"""),"сировина для лакофарбових матеріалів")</f>
        <v>сировина для лакофарбових матеріалів</v>
      </c>
      <c r="I1290" s="18">
        <f>IFERROR(__xludf.DUMMYFUNCTION("""COMPUTED_VALUE"""),1.13)</f>
        <v>1.13</v>
      </c>
      <c r="J1290" s="18">
        <f>IFERROR(__xludf.DUMMYFUNCTION("""COMPUTED_VALUE"""),2.25)</f>
        <v>2.25</v>
      </c>
      <c r="K1290" s="18">
        <f>IFERROR(__xludf.DUMMYFUNCTION("""COMPUTED_VALUE"""),2.81)</f>
        <v>2.81</v>
      </c>
      <c r="L1290" s="18">
        <f>IFERROR(__xludf.DUMMYFUNCTION("""COMPUTED_VALUE"""),4.5)</f>
        <v>4.5</v>
      </c>
    </row>
    <row r="1291">
      <c r="A1291" s="13" t="str">
        <f>IFERROR(__xludf.DUMMYFUNCTION("""COMPUTED_VALUE"""),"товари")</f>
        <v>товари</v>
      </c>
      <c r="B1291" s="13" t="str">
        <f>IFERROR(__xludf.DUMMYFUNCTION("""COMPUTED_VALUE"""),"промислова хімія")</f>
        <v>промислова хімія</v>
      </c>
      <c r="C1291" s="15" t="str">
        <f>IFERROR(__xludf.DUMMYFUNCTION("""COMPUTED_VALUE"""),"хімічні реактиви")</f>
        <v>хімічні реактиви</v>
      </c>
      <c r="D1291" s="15" t="str">
        <f>IFERROR(__xludf.DUMMYFUNCTION("""COMPUTED_VALUE"""),"тверді органічні та неорганічні реактиви")</f>
        <v>тверді органічні та неорганічні реактиви</v>
      </c>
      <c r="E1291" s="15" t="str">
        <f>IFERROR(__xludf.DUMMYFUNCTION("""COMPUTED_VALUE"""),"тверді органічні та неорганічні реактиви")</f>
        <v>тверді органічні та неорганічні реактиви</v>
      </c>
      <c r="F1291" s="17">
        <f>IFERROR(__xludf.DUMMYFUNCTION("""COMPUTED_VALUE"""),3.0)</f>
        <v>3</v>
      </c>
      <c r="G1291" s="17">
        <f>IFERROR(__xludf.DUMMYFUNCTION("""COMPUTED_VALUE"""),81704.0)</f>
        <v>81704</v>
      </c>
      <c r="H1291" s="17" t="str">
        <f>IFERROR(__xludf.DUMMYFUNCTION("""COMPUTED_VALUE"""),"тверді органічні та неорганічні реактиви")</f>
        <v>тверді органічні та неорганічні реактиви</v>
      </c>
      <c r="I1291" s="18">
        <f>IFERROR(__xludf.DUMMYFUNCTION("""COMPUTED_VALUE"""),1.89)</f>
        <v>1.89</v>
      </c>
      <c r="J1291" s="18">
        <f>IFERROR(__xludf.DUMMYFUNCTION("""COMPUTED_VALUE"""),3.78)</f>
        <v>3.78</v>
      </c>
      <c r="K1291" s="18">
        <f>IFERROR(__xludf.DUMMYFUNCTION("""COMPUTED_VALUE"""),4.72)</f>
        <v>4.72</v>
      </c>
      <c r="L1291" s="18">
        <f>IFERROR(__xludf.DUMMYFUNCTION("""COMPUTED_VALUE"""),7.55)</f>
        <v>7.55</v>
      </c>
    </row>
    <row r="1292">
      <c r="A1292" s="13" t="str">
        <f>IFERROR(__xludf.DUMMYFUNCTION("""COMPUTED_VALUE"""),"товари")</f>
        <v>товари</v>
      </c>
      <c r="B1292" s="13" t="str">
        <f>IFERROR(__xludf.DUMMYFUNCTION("""COMPUTED_VALUE"""),"промислова хімія")</f>
        <v>промислова хімія</v>
      </c>
      <c r="C1292" s="15" t="str">
        <f>IFERROR(__xludf.DUMMYFUNCTION("""COMPUTED_VALUE"""),"неорганічні сполуки")</f>
        <v>неорганічні сполуки</v>
      </c>
      <c r="D1292" s="15" t="str">
        <f>IFERROR(__xludf.DUMMYFUNCTION("""COMPUTED_VALUE"""),"технічний вуглець")</f>
        <v>технічний вуглець</v>
      </c>
      <c r="E1292" s="15" t="str">
        <f>IFERROR(__xludf.DUMMYFUNCTION("""COMPUTED_VALUE"""),"технічний вуглець")</f>
        <v>технічний вуглець</v>
      </c>
      <c r="F1292" s="17">
        <f>IFERROR(__xludf.DUMMYFUNCTION("""COMPUTED_VALUE"""),3.0)</f>
        <v>3</v>
      </c>
      <c r="G1292" s="17">
        <f>IFERROR(__xludf.DUMMYFUNCTION("""COMPUTED_VALUE"""),83211.0)</f>
        <v>83211</v>
      </c>
      <c r="H1292" s="17" t="str">
        <f>IFERROR(__xludf.DUMMYFUNCTION("""COMPUTED_VALUE"""),"технічний вуглець")</f>
        <v>технічний вуглець</v>
      </c>
      <c r="I1292" s="18">
        <f>IFERROR(__xludf.DUMMYFUNCTION("""COMPUTED_VALUE"""),0.99)</f>
        <v>0.99</v>
      </c>
      <c r="J1292" s="18">
        <f>IFERROR(__xludf.DUMMYFUNCTION("""COMPUTED_VALUE"""),1.98)</f>
        <v>1.98</v>
      </c>
      <c r="K1292" s="18">
        <f>IFERROR(__xludf.DUMMYFUNCTION("""COMPUTED_VALUE"""),2.47)</f>
        <v>2.47</v>
      </c>
      <c r="L1292" s="18">
        <f>IFERROR(__xludf.DUMMYFUNCTION("""COMPUTED_VALUE"""),3.95)</f>
        <v>3.95</v>
      </c>
    </row>
    <row r="1293">
      <c r="A1293" s="13" t="str">
        <f>IFERROR(__xludf.DUMMYFUNCTION("""COMPUTED_VALUE"""),"товари")</f>
        <v>товари</v>
      </c>
      <c r="B1293" s="13" t="str">
        <f>IFERROR(__xludf.DUMMYFUNCTION("""COMPUTED_VALUE"""),"промислова хімія")</f>
        <v>промислова хімія</v>
      </c>
      <c r="C1293" s="15" t="str">
        <f>IFERROR(__xludf.DUMMYFUNCTION("""COMPUTED_VALUE"""),"технічні гази")</f>
        <v>технічні гази</v>
      </c>
      <c r="D1293" s="15" t="str">
        <f>IFERROR(__xludf.DUMMYFUNCTION("""COMPUTED_VALUE"""),"технічні гази")</f>
        <v>технічні гази</v>
      </c>
      <c r="E1293" s="15" t="str">
        <f>IFERROR(__xludf.DUMMYFUNCTION("""COMPUTED_VALUE"""),"технічні гази")</f>
        <v>технічні гази</v>
      </c>
      <c r="F1293" s="17">
        <f>IFERROR(__xludf.DUMMYFUNCTION("""COMPUTED_VALUE"""),2.0)</f>
        <v>2</v>
      </c>
      <c r="G1293" s="17">
        <f>IFERROR(__xludf.DUMMYFUNCTION("""COMPUTED_VALUE"""),80320.0)</f>
        <v>80320</v>
      </c>
      <c r="H1293" s="17" t="str">
        <f>IFERROR(__xludf.DUMMYFUNCTION("""COMPUTED_VALUE"""),"технічні гази")</f>
        <v>технічні гази</v>
      </c>
      <c r="I1293" s="18">
        <f>IFERROR(__xludf.DUMMYFUNCTION("""COMPUTED_VALUE"""),1.08)</f>
        <v>1.08</v>
      </c>
      <c r="J1293" s="18">
        <f>IFERROR(__xludf.DUMMYFUNCTION("""COMPUTED_VALUE"""),2.16)</f>
        <v>2.16</v>
      </c>
      <c r="K1293" s="18">
        <f>IFERROR(__xludf.DUMMYFUNCTION("""COMPUTED_VALUE"""),2.7)</f>
        <v>2.7</v>
      </c>
      <c r="L1293" s="18">
        <f>IFERROR(__xludf.DUMMYFUNCTION("""COMPUTED_VALUE"""),4.33)</f>
        <v>4.33</v>
      </c>
    </row>
    <row r="1294">
      <c r="A1294" s="13" t="str">
        <f>IFERROR(__xludf.DUMMYFUNCTION("""COMPUTED_VALUE"""),"товари")</f>
        <v>товари</v>
      </c>
      <c r="B1294" s="13" t="str">
        <f>IFERROR(__xludf.DUMMYFUNCTION("""COMPUTED_VALUE"""),"промислова хімія")</f>
        <v>промислова хімія</v>
      </c>
      <c r="C1294" s="15" t="str">
        <f>IFERROR(__xludf.DUMMYFUNCTION("""COMPUTED_VALUE"""),"технічні миючі та дезінфікуючі засоби")</f>
        <v>технічні миючі та дезінфікуючі засоби</v>
      </c>
      <c r="D1294" s="15" t="str">
        <f>IFERROR(__xludf.DUMMYFUNCTION("""COMPUTED_VALUE"""),"технічні миючі та дезінфікуючі засоби")</f>
        <v>технічні миючі та дезінфікуючі засоби</v>
      </c>
      <c r="E1294" s="15" t="str">
        <f>IFERROR(__xludf.DUMMYFUNCTION("""COMPUTED_VALUE"""),"технічні миючі та дезінфікуючі засоби")</f>
        <v>технічні миючі та дезінфікуючі засоби</v>
      </c>
      <c r="F1294" s="17">
        <f>IFERROR(__xludf.DUMMYFUNCTION("""COMPUTED_VALUE"""),2.0)</f>
        <v>2</v>
      </c>
      <c r="G1294" s="17">
        <f>IFERROR(__xludf.DUMMYFUNCTION("""COMPUTED_VALUE"""),80314.0)</f>
        <v>80314</v>
      </c>
      <c r="H1294" s="17" t="str">
        <f>IFERROR(__xludf.DUMMYFUNCTION("""COMPUTED_VALUE"""),"технічні миючі та дезінфікуючі засоби")</f>
        <v>технічні миючі та дезінфікуючі засоби</v>
      </c>
      <c r="I1294" s="18">
        <f>IFERROR(__xludf.DUMMYFUNCTION("""COMPUTED_VALUE"""),1.94)</f>
        <v>1.94</v>
      </c>
      <c r="J1294" s="18">
        <f>IFERROR(__xludf.DUMMYFUNCTION("""COMPUTED_VALUE"""),3.88)</f>
        <v>3.88</v>
      </c>
      <c r="K1294" s="18">
        <f>IFERROR(__xludf.DUMMYFUNCTION("""COMPUTED_VALUE"""),4.84)</f>
        <v>4.84</v>
      </c>
      <c r="L1294" s="18">
        <f>IFERROR(__xludf.DUMMYFUNCTION("""COMPUTED_VALUE"""),7.75)</f>
        <v>7.75</v>
      </c>
    </row>
    <row r="1295">
      <c r="A1295" s="13" t="str">
        <f>IFERROR(__xludf.DUMMYFUNCTION("""COMPUTED_VALUE"""),"товари")</f>
        <v>товари</v>
      </c>
      <c r="B1295" s="13" t="str">
        <f>IFERROR(__xludf.DUMMYFUNCTION("""COMPUTED_VALUE"""),"промислове обладнання та верстати")</f>
        <v>промислове обладнання та верстати</v>
      </c>
      <c r="C1295" s="15" t="str">
        <f>IFERROR(__xludf.DUMMYFUNCTION("""COMPUTED_VALUE"""),"виробниче обладнання")</f>
        <v>виробниче обладнання</v>
      </c>
      <c r="D1295" s="15" t="str">
        <f>IFERROR(__xludf.DUMMYFUNCTION("""COMPUTED_VALUE"""),"допоміжне обладнання")</f>
        <v>допоміжне обладнання</v>
      </c>
      <c r="E1295" s="15" t="str">
        <f>IFERROR(__xludf.DUMMYFUNCTION("""COMPUTED_VALUE"""),"автоподавачі")</f>
        <v>автоподавачі</v>
      </c>
      <c r="F1295" s="17">
        <f>IFERROR(__xludf.DUMMYFUNCTION("""COMPUTED_VALUE"""),4.0)</f>
        <v>4</v>
      </c>
      <c r="G1295" s="17">
        <f>IFERROR(__xludf.DUMMYFUNCTION("""COMPUTED_VALUE"""),143126.0)</f>
        <v>143126</v>
      </c>
      <c r="H1295" s="17" t="str">
        <f>IFERROR(__xludf.DUMMYFUNCTION("""COMPUTED_VALUE"""),"автоподавачі")</f>
        <v>автоподавачі</v>
      </c>
      <c r="I1295" s="18">
        <f>IFERROR(__xludf.DUMMYFUNCTION("""COMPUTED_VALUE"""),1.26)</f>
        <v>1.26</v>
      </c>
      <c r="J1295" s="18">
        <f>IFERROR(__xludf.DUMMYFUNCTION("""COMPUTED_VALUE"""),2.53)</f>
        <v>2.53</v>
      </c>
      <c r="K1295" s="18">
        <f>IFERROR(__xludf.DUMMYFUNCTION("""COMPUTED_VALUE"""),3.16)</f>
        <v>3.16</v>
      </c>
      <c r="L1295" s="18">
        <f>IFERROR(__xludf.DUMMYFUNCTION("""COMPUTED_VALUE"""),5.05)</f>
        <v>5.05</v>
      </c>
    </row>
    <row r="1296">
      <c r="A1296" s="13" t="str">
        <f>IFERROR(__xludf.DUMMYFUNCTION("""COMPUTED_VALUE"""),"товари")</f>
        <v>товари</v>
      </c>
      <c r="B1296" s="13" t="str">
        <f>IFERROR(__xludf.DUMMYFUNCTION("""COMPUTED_VALUE"""),"промислове обладнання та верстати")</f>
        <v>промислове обладнання та верстати</v>
      </c>
      <c r="C1296" s="15" t="str">
        <f>IFERROR(__xludf.DUMMYFUNCTION("""COMPUTED_VALUE"""),"пакувальне та фасувальне обладнання")</f>
        <v>пакувальне та фасувальне обладнання</v>
      </c>
      <c r="D1296" s="15" t="str">
        <f>IFERROR(__xludf.DUMMYFUNCTION("""COMPUTED_VALUE"""),"аксесуари для пакування")</f>
        <v>аксесуари для пакування</v>
      </c>
      <c r="E1296" s="15" t="str">
        <f>IFERROR(__xludf.DUMMYFUNCTION("""COMPUTED_VALUE"""),"аксесуари для пакування")</f>
        <v>аксесуари для пакування</v>
      </c>
      <c r="F1296" s="17">
        <f>IFERROR(__xludf.DUMMYFUNCTION("""COMPUTED_VALUE"""),3.0)</f>
        <v>3</v>
      </c>
      <c r="G1296" s="17">
        <f>IFERROR(__xludf.DUMMYFUNCTION("""COMPUTED_VALUE"""),230716.0)</f>
        <v>230716</v>
      </c>
      <c r="H1296" s="17" t="str">
        <f>IFERROR(__xludf.DUMMYFUNCTION("""COMPUTED_VALUE"""),"аксесуари для пакування")</f>
        <v>аксесуари для пакування</v>
      </c>
      <c r="I1296" s="18">
        <f>IFERROR(__xludf.DUMMYFUNCTION("""COMPUTED_VALUE"""),1.66)</f>
        <v>1.66</v>
      </c>
      <c r="J1296" s="18">
        <f>IFERROR(__xludf.DUMMYFUNCTION("""COMPUTED_VALUE"""),3.33)</f>
        <v>3.33</v>
      </c>
      <c r="K1296" s="18">
        <f>IFERROR(__xludf.DUMMYFUNCTION("""COMPUTED_VALUE"""),4.16)</f>
        <v>4.16</v>
      </c>
      <c r="L1296" s="18">
        <f>IFERROR(__xludf.DUMMYFUNCTION("""COMPUTED_VALUE"""),6.65)</f>
        <v>6.65</v>
      </c>
    </row>
    <row r="1297">
      <c r="A1297" s="13" t="str">
        <f>IFERROR(__xludf.DUMMYFUNCTION("""COMPUTED_VALUE"""),"товари")</f>
        <v>товари</v>
      </c>
      <c r="B1297" s="13" t="str">
        <f>IFERROR(__xludf.DUMMYFUNCTION("""COMPUTED_VALUE"""),"промислове обладнання та верстати")</f>
        <v>промислове обладнання та верстати</v>
      </c>
      <c r="C1297" s="15" t="str">
        <f>IFERROR(__xludf.DUMMYFUNCTION("""COMPUTED_VALUE"""),"промислове кліматичне обладнання")</f>
        <v>промислове кліматичне обладнання</v>
      </c>
      <c r="D1297" s="15" t="str">
        <f>IFERROR(__xludf.DUMMYFUNCTION("""COMPUTED_VALUE"""),"теплові гармати та нагрівачі")</f>
        <v>теплові гармати та нагрівачі</v>
      </c>
      <c r="E1297" s="15" t="str">
        <f>IFERROR(__xludf.DUMMYFUNCTION("""COMPUTED_VALUE"""),"аксесуари для теплових гармат")</f>
        <v>аксесуари для теплових гармат</v>
      </c>
      <c r="F1297" s="17">
        <f>IFERROR(__xludf.DUMMYFUNCTION("""COMPUTED_VALUE"""),4.0)</f>
        <v>4</v>
      </c>
      <c r="G1297" s="17">
        <f>IFERROR(__xludf.DUMMYFUNCTION("""COMPUTED_VALUE"""),1.4150504E7)</f>
        <v>14150504</v>
      </c>
      <c r="H1297" s="17" t="str">
        <f>IFERROR(__xludf.DUMMYFUNCTION("""COMPUTED_VALUE"""),"аксесуари для теплових гармат")</f>
        <v>аксесуари для теплових гармат</v>
      </c>
      <c r="I1297" s="18">
        <f>IFERROR(__xludf.DUMMYFUNCTION("""COMPUTED_VALUE"""),0.86)</f>
        <v>0.86</v>
      </c>
      <c r="J1297" s="18">
        <f>IFERROR(__xludf.DUMMYFUNCTION("""COMPUTED_VALUE"""),1.71)</f>
        <v>1.71</v>
      </c>
      <c r="K1297" s="18">
        <f>IFERROR(__xludf.DUMMYFUNCTION("""COMPUTED_VALUE"""),2.14)</f>
        <v>2.14</v>
      </c>
      <c r="L1297" s="18">
        <f>IFERROR(__xludf.DUMMYFUNCTION("""COMPUTED_VALUE"""),3.43)</f>
        <v>3.43</v>
      </c>
    </row>
    <row r="1298">
      <c r="A1298" s="13" t="str">
        <f>IFERROR(__xludf.DUMMYFUNCTION("""COMPUTED_VALUE"""),"товари")</f>
        <v>товари</v>
      </c>
      <c r="B1298" s="13" t="str">
        <f>IFERROR(__xludf.DUMMYFUNCTION("""COMPUTED_VALUE"""),"промислове обладнання та верстати")</f>
        <v>промислове обладнання та верстати</v>
      </c>
      <c r="C1298" s="15" t="str">
        <f>IFERROR(__xludf.DUMMYFUNCTION("""COMPUTED_VALUE"""),"гідрообладнання")</f>
        <v>гідрообладнання</v>
      </c>
      <c r="D1298" s="15" t="str">
        <f>IFERROR(__xludf.DUMMYFUNCTION("""COMPUTED_VALUE"""),"апарати надвисокого тиску")</f>
        <v>апарати надвисокого тиску</v>
      </c>
      <c r="E1298" s="15" t="str">
        <f>IFERROR(__xludf.DUMMYFUNCTION("""COMPUTED_VALUE"""),"апарати надвисокого тиску")</f>
        <v>апарати надвисокого тиску</v>
      </c>
      <c r="F1298" s="17">
        <f>IFERROR(__xludf.DUMMYFUNCTION("""COMPUTED_VALUE"""),3.0)</f>
        <v>3</v>
      </c>
      <c r="G1298" s="17">
        <f>IFERROR(__xludf.DUMMYFUNCTION("""COMPUTED_VALUE"""),140316.0)</f>
        <v>140316</v>
      </c>
      <c r="H1298" s="17" t="str">
        <f>IFERROR(__xludf.DUMMYFUNCTION("""COMPUTED_VALUE"""),"апарати надвисокого тиску")</f>
        <v>апарати надвисокого тиску</v>
      </c>
      <c r="I1298" s="18">
        <f>IFERROR(__xludf.DUMMYFUNCTION("""COMPUTED_VALUE"""),0.53)</f>
        <v>0.53</v>
      </c>
      <c r="J1298" s="18">
        <f>IFERROR(__xludf.DUMMYFUNCTION("""COMPUTED_VALUE"""),1.05)</f>
        <v>1.05</v>
      </c>
      <c r="K1298" s="18">
        <f>IFERROR(__xludf.DUMMYFUNCTION("""COMPUTED_VALUE"""),1.31)</f>
        <v>1.31</v>
      </c>
      <c r="L1298" s="18">
        <f>IFERROR(__xludf.DUMMYFUNCTION("""COMPUTED_VALUE"""),2.1)</f>
        <v>2.1</v>
      </c>
    </row>
    <row r="1299">
      <c r="A1299" s="13" t="str">
        <f>IFERROR(__xludf.DUMMYFUNCTION("""COMPUTED_VALUE"""),"товари")</f>
        <v>товари</v>
      </c>
      <c r="B1299" s="13" t="str">
        <f>IFERROR(__xludf.DUMMYFUNCTION("""COMPUTED_VALUE"""),"промислове обладнання та верстати")</f>
        <v>промислове обладнання та верстати</v>
      </c>
      <c r="C1299" s="15" t="str">
        <f>IFERROR(__xludf.DUMMYFUNCTION("""COMPUTED_VALUE"""),"обладнання для харчової промисловості")</f>
        <v>обладнання для харчової промисловості</v>
      </c>
      <c r="D1299" s="15" t="str">
        <f>IFERROR(__xludf.DUMMYFUNCTION("""COMPUTED_VALUE"""),"апарати шокового заморожування")</f>
        <v>апарати шокового заморожування</v>
      </c>
      <c r="E1299" s="15" t="str">
        <f>IFERROR(__xludf.DUMMYFUNCTION("""COMPUTED_VALUE"""),"апарати шокового заморожування")</f>
        <v>апарати шокового заморожування</v>
      </c>
      <c r="F1299" s="17">
        <f>IFERROR(__xludf.DUMMYFUNCTION("""COMPUTED_VALUE"""),3.0)</f>
        <v>3</v>
      </c>
      <c r="G1299" s="17">
        <f>IFERROR(__xludf.DUMMYFUNCTION("""COMPUTED_VALUE"""),145708.0)</f>
        <v>145708</v>
      </c>
      <c r="H1299" s="17" t="str">
        <f>IFERROR(__xludf.DUMMYFUNCTION("""COMPUTED_VALUE"""),"апарати шокового заморожування")</f>
        <v>апарати шокового заморожування</v>
      </c>
      <c r="I1299" s="18">
        <f>IFERROR(__xludf.DUMMYFUNCTION("""COMPUTED_VALUE"""),0.76)</f>
        <v>0.76</v>
      </c>
      <c r="J1299" s="18">
        <f>IFERROR(__xludf.DUMMYFUNCTION("""COMPUTED_VALUE"""),1.53)</f>
        <v>1.53</v>
      </c>
      <c r="K1299" s="18">
        <f>IFERROR(__xludf.DUMMYFUNCTION("""COMPUTED_VALUE"""),1.91)</f>
        <v>1.91</v>
      </c>
      <c r="L1299" s="18">
        <f>IFERROR(__xludf.DUMMYFUNCTION("""COMPUTED_VALUE"""),3.05)</f>
        <v>3.05</v>
      </c>
    </row>
    <row r="1300">
      <c r="A1300" s="13" t="str">
        <f>IFERROR(__xludf.DUMMYFUNCTION("""COMPUTED_VALUE"""),"товари")</f>
        <v>товари</v>
      </c>
      <c r="B1300" s="13" t="str">
        <f>IFERROR(__xludf.DUMMYFUNCTION("""COMPUTED_VALUE"""),"промислове обладнання та верстати")</f>
        <v>промислове обладнання та верстати</v>
      </c>
      <c r="C1300" s="15" t="str">
        <f>IFERROR(__xludf.DUMMYFUNCTION("""COMPUTED_VALUE"""),"маркувальне обладнання")</f>
        <v>маркувальне обладнання</v>
      </c>
      <c r="D1300" s="15" t="str">
        <f>IFERROR(__xludf.DUMMYFUNCTION("""COMPUTED_VALUE"""),"етикетувальне обладнання")</f>
        <v>етикетувальне обладнання</v>
      </c>
      <c r="E1300" s="15" t="str">
        <f>IFERROR(__xludf.DUMMYFUNCTION("""COMPUTED_VALUE"""),"аплікатори етикеток")</f>
        <v>аплікатори етикеток</v>
      </c>
      <c r="F1300" s="17">
        <f>IFERROR(__xludf.DUMMYFUNCTION("""COMPUTED_VALUE"""),4.0)</f>
        <v>4</v>
      </c>
      <c r="G1300" s="17">
        <f>IFERROR(__xludf.DUMMYFUNCTION("""COMPUTED_VALUE"""),1.4320402E7)</f>
        <v>14320402</v>
      </c>
      <c r="H1300" s="17" t="str">
        <f>IFERROR(__xludf.DUMMYFUNCTION("""COMPUTED_VALUE"""),"аплікатори етикеток")</f>
        <v>аплікатори етикеток</v>
      </c>
      <c r="I1300" s="18">
        <f>IFERROR(__xludf.DUMMYFUNCTION("""COMPUTED_VALUE"""),1.66)</f>
        <v>1.66</v>
      </c>
      <c r="J1300" s="18">
        <f>IFERROR(__xludf.DUMMYFUNCTION("""COMPUTED_VALUE"""),3.33)</f>
        <v>3.33</v>
      </c>
      <c r="K1300" s="18">
        <f>IFERROR(__xludf.DUMMYFUNCTION("""COMPUTED_VALUE"""),4.16)</f>
        <v>4.16</v>
      </c>
      <c r="L1300" s="18">
        <f>IFERROR(__xludf.DUMMYFUNCTION("""COMPUTED_VALUE"""),6.65)</f>
        <v>6.65</v>
      </c>
    </row>
    <row r="1301">
      <c r="A1301" s="13" t="str">
        <f>IFERROR(__xludf.DUMMYFUNCTION("""COMPUTED_VALUE"""),"товари")</f>
        <v>товари</v>
      </c>
      <c r="B1301" s="13" t="str">
        <f>IFERROR(__xludf.DUMMYFUNCTION("""COMPUTED_VALUE"""),"промислове обладнання та верстати")</f>
        <v>промислове обладнання та верстати</v>
      </c>
      <c r="C1301" s="15" t="str">
        <f>IFERROR(__xludf.DUMMYFUNCTION("""COMPUTED_VALUE"""),"альтернативні джерела енергії")</f>
        <v>альтернативні джерела енергії</v>
      </c>
      <c r="D1301" s="15" t="str">
        <f>IFERROR(__xludf.DUMMYFUNCTION("""COMPUTED_VALUE"""),"біогазові установки")</f>
        <v>біогазові установки</v>
      </c>
      <c r="E1301" s="15" t="str">
        <f>IFERROR(__xludf.DUMMYFUNCTION("""COMPUTED_VALUE"""),"біогазові установки для переробки органічних відходів")</f>
        <v>біогазові установки для переробки органічних відходів</v>
      </c>
      <c r="F1301" s="17">
        <f>IFERROR(__xludf.DUMMYFUNCTION("""COMPUTED_VALUE"""),4.0)</f>
        <v>4</v>
      </c>
      <c r="G1301" s="17">
        <f>IFERROR(__xludf.DUMMYFUNCTION("""COMPUTED_VALUE"""),1.0100102E7)</f>
        <v>10100102</v>
      </c>
      <c r="H1301" s="17" t="str">
        <f>IFERROR(__xludf.DUMMYFUNCTION("""COMPUTED_VALUE"""),"біогазові установки для переробки органічних відходів")</f>
        <v>біогазові установки для переробки органічних відходів</v>
      </c>
      <c r="I1301" s="18">
        <f>IFERROR(__xludf.DUMMYFUNCTION("""COMPUTED_VALUE"""),0.86)</f>
        <v>0.86</v>
      </c>
      <c r="J1301" s="18">
        <f>IFERROR(__xludf.DUMMYFUNCTION("""COMPUTED_VALUE"""),1.71)</f>
        <v>1.71</v>
      </c>
      <c r="K1301" s="18">
        <f>IFERROR(__xludf.DUMMYFUNCTION("""COMPUTED_VALUE"""),2.14)</f>
        <v>2.14</v>
      </c>
      <c r="L1301" s="18">
        <f>IFERROR(__xludf.DUMMYFUNCTION("""COMPUTED_VALUE"""),3.43)</f>
        <v>3.43</v>
      </c>
    </row>
    <row r="1302">
      <c r="A1302" s="13" t="str">
        <f>IFERROR(__xludf.DUMMYFUNCTION("""COMPUTED_VALUE"""),"товари")</f>
        <v>товари</v>
      </c>
      <c r="B1302" s="13" t="str">
        <f>IFERROR(__xludf.DUMMYFUNCTION("""COMPUTED_VALUE"""),"промислове обладнання та верстати")</f>
        <v>промислове обладнання та верстати</v>
      </c>
      <c r="C1302" s="15" t="str">
        <f>IFERROR(__xludf.DUMMYFUNCTION("""COMPUTED_VALUE"""),"обладнання для харчової промисловості")</f>
        <v>обладнання для харчової промисловості</v>
      </c>
      <c r="D1302" s="15" t="str">
        <f>IFERROR(__xludf.DUMMYFUNCTION("""COMPUTED_VALUE"""),"обладнання для виробництва борошномельно-круп'яної продукції")</f>
        <v>обладнання для виробництва борошномельно-круп'яної продукції</v>
      </c>
      <c r="E1302" s="15" t="str">
        <f>IFERROR(__xludf.DUMMYFUNCTION("""COMPUTED_VALUE"""),"борошнопросіювачі")</f>
        <v>борошнопросіювачі</v>
      </c>
      <c r="F1302" s="17">
        <f>IFERROR(__xludf.DUMMYFUNCTION("""COMPUTED_VALUE"""),4.0)</f>
        <v>4</v>
      </c>
      <c r="G1302" s="17">
        <f>IFERROR(__xludf.DUMMYFUNCTION("""COMPUTED_VALUE"""),2200702.0)</f>
        <v>2200702</v>
      </c>
      <c r="H1302" s="17" t="str">
        <f>IFERROR(__xludf.DUMMYFUNCTION("""COMPUTED_VALUE"""),"борошнопросіювачі")</f>
        <v>борошнопросіювачі</v>
      </c>
      <c r="I1302" s="18">
        <f>IFERROR(__xludf.DUMMYFUNCTION("""COMPUTED_VALUE"""),0.86)</f>
        <v>0.86</v>
      </c>
      <c r="J1302" s="18">
        <f>IFERROR(__xludf.DUMMYFUNCTION("""COMPUTED_VALUE"""),1.71)</f>
        <v>1.71</v>
      </c>
      <c r="K1302" s="18">
        <f>IFERROR(__xludf.DUMMYFUNCTION("""COMPUTED_VALUE"""),2.14)</f>
        <v>2.14</v>
      </c>
      <c r="L1302" s="18">
        <f>IFERROR(__xludf.DUMMYFUNCTION("""COMPUTED_VALUE"""),3.43)</f>
        <v>3.43</v>
      </c>
    </row>
    <row r="1303">
      <c r="A1303" s="13" t="str">
        <f>IFERROR(__xludf.DUMMYFUNCTION("""COMPUTED_VALUE"""),"товари")</f>
        <v>товари</v>
      </c>
      <c r="B1303" s="13" t="str">
        <f>IFERROR(__xludf.DUMMYFUNCTION("""COMPUTED_VALUE"""),"промислове обладнання та верстати")</f>
        <v>промислове обладнання та верстати</v>
      </c>
      <c r="C1303" s="15" t="str">
        <f>IFERROR(__xludf.DUMMYFUNCTION("""COMPUTED_VALUE"""),"кранове обладнання")</f>
        <v>кранове обладнання</v>
      </c>
      <c r="D1303" s="15" t="str">
        <f>IFERROR(__xludf.DUMMYFUNCTION("""COMPUTED_VALUE"""),"будівельно-монтажні крани")</f>
        <v>будівельно-монтажні крани</v>
      </c>
      <c r="E1303" s="15" t="str">
        <f>IFERROR(__xludf.DUMMYFUNCTION("""COMPUTED_VALUE"""),"будівельно-монтажні крани")</f>
        <v>будівельно-монтажні крани</v>
      </c>
      <c r="F1303" s="17">
        <f>IFERROR(__xludf.DUMMYFUNCTION("""COMPUTED_VALUE"""),3.0)</f>
        <v>3</v>
      </c>
      <c r="G1303" s="17">
        <f>IFERROR(__xludf.DUMMYFUNCTION("""COMPUTED_VALUE"""),1.3040203E7)</f>
        <v>13040203</v>
      </c>
      <c r="H1303" s="17" t="str">
        <f>IFERROR(__xludf.DUMMYFUNCTION("""COMPUTED_VALUE"""),"будівельно-монтажні крани")</f>
        <v>будівельно-монтажні крани</v>
      </c>
      <c r="I1303" s="18">
        <f>IFERROR(__xludf.DUMMYFUNCTION("""COMPUTED_VALUE"""),2.7)</f>
        <v>2.7</v>
      </c>
      <c r="J1303" s="18">
        <f>IFERROR(__xludf.DUMMYFUNCTION("""COMPUTED_VALUE"""),5.4)</f>
        <v>5.4</v>
      </c>
      <c r="K1303" s="18">
        <f>IFERROR(__xludf.DUMMYFUNCTION("""COMPUTED_VALUE"""),6.75)</f>
        <v>6.75</v>
      </c>
      <c r="L1303" s="18">
        <f>IFERROR(__xludf.DUMMYFUNCTION("""COMPUTED_VALUE"""),10.8)</f>
        <v>10.8</v>
      </c>
    </row>
    <row r="1304">
      <c r="A1304" s="13" t="str">
        <f>IFERROR(__xludf.DUMMYFUNCTION("""COMPUTED_VALUE"""),"товари")</f>
        <v>товари</v>
      </c>
      <c r="B1304" s="13" t="str">
        <f>IFERROR(__xludf.DUMMYFUNCTION("""COMPUTED_VALUE"""),"промислове обладнання та верстати")</f>
        <v>промислове обладнання та верстати</v>
      </c>
      <c r="C1304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304" s="15" t="str">
        <f>IFERROR(__xludf.DUMMYFUNCTION("""COMPUTED_VALUE"""),"бурове обладнання")</f>
        <v>бурове обладнання</v>
      </c>
      <c r="E1304" s="15" t="str">
        <f>IFERROR(__xludf.DUMMYFUNCTION("""COMPUTED_VALUE"""),"бурові коронки")</f>
        <v>бурові коронки</v>
      </c>
      <c r="F1304" s="17">
        <f>IFERROR(__xludf.DUMMYFUNCTION("""COMPUTED_VALUE"""),4.0)</f>
        <v>4</v>
      </c>
      <c r="G1304" s="17">
        <f>IFERROR(__xludf.DUMMYFUNCTION("""COMPUTED_VALUE"""),9150407.0)</f>
        <v>9150407</v>
      </c>
      <c r="H1304" s="17" t="str">
        <f>IFERROR(__xludf.DUMMYFUNCTION("""COMPUTED_VALUE"""),"бурові коронки")</f>
        <v>бурові коронки</v>
      </c>
      <c r="I1304" s="18">
        <f>IFERROR(__xludf.DUMMYFUNCTION("""COMPUTED_VALUE"""),0.86)</f>
        <v>0.86</v>
      </c>
      <c r="J1304" s="18">
        <f>IFERROR(__xludf.DUMMYFUNCTION("""COMPUTED_VALUE"""),1.71)</f>
        <v>1.71</v>
      </c>
      <c r="K1304" s="18">
        <f>IFERROR(__xludf.DUMMYFUNCTION("""COMPUTED_VALUE"""),2.14)</f>
        <v>2.14</v>
      </c>
      <c r="L1304" s="18">
        <f>IFERROR(__xludf.DUMMYFUNCTION("""COMPUTED_VALUE"""),3.43)</f>
        <v>3.43</v>
      </c>
    </row>
    <row r="1305">
      <c r="A1305" s="13" t="str">
        <f>IFERROR(__xludf.DUMMYFUNCTION("""COMPUTED_VALUE"""),"товари")</f>
        <v>товари</v>
      </c>
      <c r="B1305" s="13" t="str">
        <f>IFERROR(__xludf.DUMMYFUNCTION("""COMPUTED_VALUE"""),"промислове обладнання та верстати")</f>
        <v>промислове обладнання та верстати</v>
      </c>
      <c r="C1305" s="15" t="str">
        <f>IFERROR(__xludf.DUMMYFUNCTION("""COMPUTED_VALUE"""),"пакувальне та фасувальне обладнання")</f>
        <v>пакувальне та фасувальне обладнання</v>
      </c>
      <c r="D1305" s="15" t="str">
        <f>IFERROR(__xludf.DUMMYFUNCTION("""COMPUTED_VALUE"""),"вакуумне пакувальне обладнання")</f>
        <v>вакуумне пакувальне обладнання</v>
      </c>
      <c r="E1305" s="15" t="str">
        <f>IFERROR(__xludf.DUMMYFUNCTION("""COMPUTED_VALUE"""),"вакуумне пакувальне обладнання")</f>
        <v>вакуумне пакувальне обладнання</v>
      </c>
      <c r="F1305" s="17">
        <f>IFERROR(__xludf.DUMMYFUNCTION("""COMPUTED_VALUE"""),3.0)</f>
        <v>3</v>
      </c>
      <c r="G1305" s="17">
        <f>IFERROR(__xludf.DUMMYFUNCTION("""COMPUTED_VALUE"""),230733.0)</f>
        <v>230733</v>
      </c>
      <c r="H1305" s="17" t="str">
        <f>IFERROR(__xludf.DUMMYFUNCTION("""COMPUTED_VALUE"""),"вакуумне пакувальне обладнання")</f>
        <v>вакуумне пакувальне обладнання</v>
      </c>
      <c r="I1305" s="18">
        <f>IFERROR(__xludf.DUMMYFUNCTION("""COMPUTED_VALUE"""),1.99)</f>
        <v>1.99</v>
      </c>
      <c r="J1305" s="18">
        <f>IFERROR(__xludf.DUMMYFUNCTION("""COMPUTED_VALUE"""),3.98)</f>
        <v>3.98</v>
      </c>
      <c r="K1305" s="18">
        <f>IFERROR(__xludf.DUMMYFUNCTION("""COMPUTED_VALUE"""),4.97)</f>
        <v>4.97</v>
      </c>
      <c r="L1305" s="18">
        <f>IFERROR(__xludf.DUMMYFUNCTION("""COMPUTED_VALUE"""),7.95)</f>
        <v>7.95</v>
      </c>
    </row>
    <row r="1306">
      <c r="A1306" s="13" t="str">
        <f>IFERROR(__xludf.DUMMYFUNCTION("""COMPUTED_VALUE"""),"товари")</f>
        <v>товари</v>
      </c>
      <c r="B1306" s="13" t="str">
        <f>IFERROR(__xludf.DUMMYFUNCTION("""COMPUTED_VALUE"""),"промислове обладнання та верстати")</f>
        <v>промислове обладнання та верстати</v>
      </c>
      <c r="C1306" s="15" t="str">
        <f>IFERROR(__xludf.DUMMYFUNCTION("""COMPUTED_VALUE"""),"виробниче обладнання")</f>
        <v>виробниче обладнання</v>
      </c>
      <c r="D1306" s="15" t="str">
        <f>IFERROR(__xludf.DUMMYFUNCTION("""COMPUTED_VALUE"""),"обладнання для виробництва меблів")</f>
        <v>обладнання для виробництва меблів</v>
      </c>
      <c r="E1306" s="15" t="str">
        <f>IFERROR(__xludf.DUMMYFUNCTION("""COMPUTED_VALUE"""),"вакуумні преси")</f>
        <v>вакуумні преси</v>
      </c>
      <c r="F1306" s="17">
        <f>IFERROR(__xludf.DUMMYFUNCTION("""COMPUTED_VALUE"""),4.0)</f>
        <v>4</v>
      </c>
      <c r="G1306" s="17">
        <f>IFERROR(__xludf.DUMMYFUNCTION("""COMPUTED_VALUE"""),370906.0)</f>
        <v>370906</v>
      </c>
      <c r="H1306" s="17" t="str">
        <f>IFERROR(__xludf.DUMMYFUNCTION("""COMPUTED_VALUE"""),"вакуумні преси")</f>
        <v>вакуумні преси</v>
      </c>
      <c r="I1306" s="18">
        <f>IFERROR(__xludf.DUMMYFUNCTION("""COMPUTED_VALUE"""),1.53)</f>
        <v>1.53</v>
      </c>
      <c r="J1306" s="18">
        <f>IFERROR(__xludf.DUMMYFUNCTION("""COMPUTED_VALUE"""),3.06)</f>
        <v>3.06</v>
      </c>
      <c r="K1306" s="18">
        <f>IFERROR(__xludf.DUMMYFUNCTION("""COMPUTED_VALUE"""),3.83)</f>
        <v>3.83</v>
      </c>
      <c r="L1306" s="18">
        <f>IFERROR(__xludf.DUMMYFUNCTION("""COMPUTED_VALUE"""),6.13)</f>
        <v>6.13</v>
      </c>
    </row>
    <row r="1307">
      <c r="A1307" s="13" t="str">
        <f>IFERROR(__xludf.DUMMYFUNCTION("""COMPUTED_VALUE"""),"товари")</f>
        <v>товари</v>
      </c>
      <c r="B1307" s="13" t="str">
        <f>IFERROR(__xludf.DUMMYFUNCTION("""COMPUTED_VALUE"""),"промислове обладнання та верстати")</f>
        <v>промислове обладнання та верстати</v>
      </c>
      <c r="C1307" s="15" t="str">
        <f>IFERROR(__xludf.DUMMYFUNCTION("""COMPUTED_VALUE"""),"технологічне обладнання")</f>
        <v>технологічне обладнання</v>
      </c>
      <c r="D1307" s="15" t="str">
        <f>IFERROR(__xludf.DUMMYFUNCTION("""COMPUTED_VALUE"""),"вакуумне обладнання")</f>
        <v>вакуумне обладнання</v>
      </c>
      <c r="E1307" s="15" t="str">
        <f>IFERROR(__xludf.DUMMYFUNCTION("""COMPUTED_VALUE"""),"вакуумні прилади")</f>
        <v>вакуумні прилади</v>
      </c>
      <c r="F1307" s="17">
        <f>IFERROR(__xludf.DUMMYFUNCTION("""COMPUTED_VALUE"""),4.0)</f>
        <v>4</v>
      </c>
      <c r="G1307" s="17">
        <f>IFERROR(__xludf.DUMMYFUNCTION("""COMPUTED_VALUE"""),142502.0)</f>
        <v>142502</v>
      </c>
      <c r="H1307" s="17" t="str">
        <f>IFERROR(__xludf.DUMMYFUNCTION("""COMPUTED_VALUE"""),"вакуумні прилади")</f>
        <v>вакуумні прилади</v>
      </c>
      <c r="I1307" s="18">
        <f>IFERROR(__xludf.DUMMYFUNCTION("""COMPUTED_VALUE"""),1.08)</f>
        <v>1.08</v>
      </c>
      <c r="J1307" s="18">
        <f>IFERROR(__xludf.DUMMYFUNCTION("""COMPUTED_VALUE"""),2.16)</f>
        <v>2.16</v>
      </c>
      <c r="K1307" s="18">
        <f>IFERROR(__xludf.DUMMYFUNCTION("""COMPUTED_VALUE"""),2.7)</f>
        <v>2.7</v>
      </c>
      <c r="L1307" s="18">
        <f>IFERROR(__xludf.DUMMYFUNCTION("""COMPUTED_VALUE"""),4.33)</f>
        <v>4.33</v>
      </c>
    </row>
    <row r="1308">
      <c r="A1308" s="13" t="str">
        <f>IFERROR(__xludf.DUMMYFUNCTION("""COMPUTED_VALUE"""),"товари")</f>
        <v>товари</v>
      </c>
      <c r="B1308" s="13" t="str">
        <f>IFERROR(__xludf.DUMMYFUNCTION("""COMPUTED_VALUE"""),"промислове обладнання та верстати")</f>
        <v>промислове обладнання та верстати</v>
      </c>
      <c r="C1308" s="15" t="str">
        <f>IFERROR(__xludf.DUMMYFUNCTION("""COMPUTED_VALUE"""),"промислові насоси")</f>
        <v>промислові насоси</v>
      </c>
      <c r="D1308" s="15" t="str">
        <f>IFERROR(__xludf.DUMMYFUNCTION("""COMPUTED_VALUE"""),"вакуумні промислові насоси")</f>
        <v>вакуумні промислові насоси</v>
      </c>
      <c r="E1308" s="15" t="str">
        <f>IFERROR(__xludf.DUMMYFUNCTION("""COMPUTED_VALUE"""),"вакуумні промислові насоси")</f>
        <v>вакуумні промислові насоси</v>
      </c>
      <c r="F1308" s="17">
        <f>IFERROR(__xludf.DUMMYFUNCTION("""COMPUTED_VALUE"""),3.0)</f>
        <v>3</v>
      </c>
      <c r="G1308" s="17">
        <f>IFERROR(__xludf.DUMMYFUNCTION("""COMPUTED_VALUE"""),142501.0)</f>
        <v>142501</v>
      </c>
      <c r="H1308" s="17" t="str">
        <f>IFERROR(__xludf.DUMMYFUNCTION("""COMPUTED_VALUE"""),"вакуумні промислові насоси")</f>
        <v>вакуумні промислові насоси</v>
      </c>
      <c r="I1308" s="18">
        <f>IFERROR(__xludf.DUMMYFUNCTION("""COMPUTED_VALUE"""),2.18)</f>
        <v>2.18</v>
      </c>
      <c r="J1308" s="18">
        <f>IFERROR(__xludf.DUMMYFUNCTION("""COMPUTED_VALUE"""),4.35)</f>
        <v>4.35</v>
      </c>
      <c r="K1308" s="18">
        <f>IFERROR(__xludf.DUMMYFUNCTION("""COMPUTED_VALUE"""),5.44)</f>
        <v>5.44</v>
      </c>
      <c r="L1308" s="18">
        <f>IFERROR(__xludf.DUMMYFUNCTION("""COMPUTED_VALUE"""),8.7)</f>
        <v>8.7</v>
      </c>
    </row>
    <row r="1309">
      <c r="A1309" s="13" t="str">
        <f>IFERROR(__xludf.DUMMYFUNCTION("""COMPUTED_VALUE"""),"товари")</f>
        <v>товари</v>
      </c>
      <c r="B1309" s="13" t="str">
        <f>IFERROR(__xludf.DUMMYFUNCTION("""COMPUTED_VALUE"""),"промислове обладнання та верстати")</f>
        <v>промислове обладнання та верстати</v>
      </c>
      <c r="C1309" s="15" t="str">
        <f>IFERROR(__xludf.DUMMYFUNCTION("""COMPUTED_VALUE"""),"виробниче обладнання")</f>
        <v>виробниче обладнання</v>
      </c>
      <c r="D1309" s="15" t="str">
        <f>IFERROR(__xludf.DUMMYFUNCTION("""COMPUTED_VALUE"""),"обладнання для виробництва меблів")</f>
        <v>обладнання для виробництва меблів</v>
      </c>
      <c r="E1309" s="15" t="str">
        <f>IFERROR(__xludf.DUMMYFUNCTION("""COMPUTED_VALUE"""),"верстати для виробництва постформінгу")</f>
        <v>верстати для виробництва постформінгу</v>
      </c>
      <c r="F1309" s="17">
        <f>IFERROR(__xludf.DUMMYFUNCTION("""COMPUTED_VALUE"""),4.0)</f>
        <v>4</v>
      </c>
      <c r="G1309" s="17">
        <f>IFERROR(__xludf.DUMMYFUNCTION("""COMPUTED_VALUE"""),370904.0)</f>
        <v>370904</v>
      </c>
      <c r="H1309" s="17" t="str">
        <f>IFERROR(__xludf.DUMMYFUNCTION("""COMPUTED_VALUE"""),"верстати для виробництва постформінгу")</f>
        <v>верстати для виробництва постформінгу</v>
      </c>
      <c r="I1309" s="18">
        <f>IFERROR(__xludf.DUMMYFUNCTION("""COMPUTED_VALUE"""),1.53)</f>
        <v>1.53</v>
      </c>
      <c r="J1309" s="18">
        <f>IFERROR(__xludf.DUMMYFUNCTION("""COMPUTED_VALUE"""),3.06)</f>
        <v>3.06</v>
      </c>
      <c r="K1309" s="18">
        <f>IFERROR(__xludf.DUMMYFUNCTION("""COMPUTED_VALUE"""),3.83)</f>
        <v>3.83</v>
      </c>
      <c r="L1309" s="18">
        <f>IFERROR(__xludf.DUMMYFUNCTION("""COMPUTED_VALUE"""),6.13)</f>
        <v>6.13</v>
      </c>
    </row>
    <row r="1310">
      <c r="A1310" s="13" t="str">
        <f>IFERROR(__xludf.DUMMYFUNCTION("""COMPUTED_VALUE"""),"товари")</f>
        <v>товари</v>
      </c>
      <c r="B1310" s="13" t="str">
        <f>IFERROR(__xludf.DUMMYFUNCTION("""COMPUTED_VALUE"""),"промислове обладнання та верстати")</f>
        <v>промислове обладнання та верстати</v>
      </c>
      <c r="C1310" s="15" t="str">
        <f>IFERROR(__xludf.DUMMYFUNCTION("""COMPUTED_VALUE"""),"виробниче обладнання")</f>
        <v>виробниче обладнання</v>
      </c>
      <c r="D1310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10" s="15" t="str">
        <f>IFERROR(__xludf.DUMMYFUNCTION("""COMPUTED_VALUE"""),"верстати для перемотування кабелю")</f>
        <v>верстати для перемотування кабелю</v>
      </c>
      <c r="F1310" s="17">
        <f>IFERROR(__xludf.DUMMYFUNCTION("""COMPUTED_VALUE"""),4.0)</f>
        <v>4</v>
      </c>
      <c r="G1310" s="17">
        <f>IFERROR(__xludf.DUMMYFUNCTION("""COMPUTED_VALUE"""),1.4190411E7)</f>
        <v>14190411</v>
      </c>
      <c r="H1310" s="17" t="str">
        <f>IFERROR(__xludf.DUMMYFUNCTION("""COMPUTED_VALUE"""),"верстати для перемотування кабелю")</f>
        <v>верстати для перемотування кабелю</v>
      </c>
      <c r="I1310" s="18">
        <f>IFERROR(__xludf.DUMMYFUNCTION("""COMPUTED_VALUE"""),1.04)</f>
        <v>1.04</v>
      </c>
      <c r="J1310" s="18">
        <f>IFERROR(__xludf.DUMMYFUNCTION("""COMPUTED_VALUE"""),2.08)</f>
        <v>2.08</v>
      </c>
      <c r="K1310" s="18">
        <f>IFERROR(__xludf.DUMMYFUNCTION("""COMPUTED_VALUE"""),2.59)</f>
        <v>2.59</v>
      </c>
      <c r="L1310" s="18">
        <f>IFERROR(__xludf.DUMMYFUNCTION("""COMPUTED_VALUE"""),4.15)</f>
        <v>4.15</v>
      </c>
    </row>
    <row r="1311">
      <c r="A1311" s="13" t="str">
        <f>IFERROR(__xludf.DUMMYFUNCTION("""COMPUTED_VALUE"""),"товари")</f>
        <v>товари</v>
      </c>
      <c r="B1311" s="13" t="str">
        <f>IFERROR(__xludf.DUMMYFUNCTION("""COMPUTED_VALUE"""),"промислове обладнання та верстати")</f>
        <v>промислове обладнання та верстати</v>
      </c>
      <c r="C1311" s="15" t="str">
        <f>IFERROR(__xludf.DUMMYFUNCTION("""COMPUTED_VALUE"""),"верстати")</f>
        <v>верстати</v>
      </c>
      <c r="D1311" s="15" t="str">
        <f>IFERROR(__xludf.DUMMYFUNCTION("""COMPUTED_VALUE"""),"металообробні верстати")</f>
        <v>металообробні верстати</v>
      </c>
      <c r="E1311" s="15" t="str">
        <f>IFERROR(__xludf.DUMMYFUNCTION("""COMPUTED_VALUE"""),"верстати для різання та згинання арматури")</f>
        <v>верстати для різання та згинання арматури</v>
      </c>
      <c r="F1311" s="17">
        <f>IFERROR(__xludf.DUMMYFUNCTION("""COMPUTED_VALUE"""),4.0)</f>
        <v>4</v>
      </c>
      <c r="G1311" s="17">
        <f>IFERROR(__xludf.DUMMYFUNCTION("""COMPUTED_VALUE"""),142601.0)</f>
        <v>142601</v>
      </c>
      <c r="H1311" s="17" t="str">
        <f>IFERROR(__xludf.DUMMYFUNCTION("""COMPUTED_VALUE"""),"верстати для різання та згинання арматури")</f>
        <v>верстати для різання та згинання арматури</v>
      </c>
      <c r="I1311" s="18">
        <f>IFERROR(__xludf.DUMMYFUNCTION("""COMPUTED_VALUE"""),2.07)</f>
        <v>2.07</v>
      </c>
      <c r="J1311" s="18">
        <f>IFERROR(__xludf.DUMMYFUNCTION("""COMPUTED_VALUE"""),4.14)</f>
        <v>4.14</v>
      </c>
      <c r="K1311" s="18">
        <f>IFERROR(__xludf.DUMMYFUNCTION("""COMPUTED_VALUE"""),5.17)</f>
        <v>5.17</v>
      </c>
      <c r="L1311" s="18">
        <f>IFERROR(__xludf.DUMMYFUNCTION("""COMPUTED_VALUE"""),8.28)</f>
        <v>8.28</v>
      </c>
    </row>
    <row r="1312">
      <c r="A1312" s="13" t="str">
        <f>IFERROR(__xludf.DUMMYFUNCTION("""COMPUTED_VALUE"""),"товари")</f>
        <v>товари</v>
      </c>
      <c r="B1312" s="13" t="str">
        <f>IFERROR(__xludf.DUMMYFUNCTION("""COMPUTED_VALUE"""),"промислове обладнання та верстати")</f>
        <v>промислове обладнання та верстати</v>
      </c>
      <c r="C1312" s="15" t="str">
        <f>IFERROR(__xludf.DUMMYFUNCTION("""COMPUTED_VALUE"""),"зварювальне та паяльне обладнання")</f>
        <v>зварювальне та паяльне обладнання</v>
      </c>
      <c r="D1312" s="15" t="str">
        <f>IFERROR(__xludf.DUMMYFUNCTION("""COMPUTED_VALUE"""),"випрямлячі зварювальні")</f>
        <v>випрямлячі зварювальні</v>
      </c>
      <c r="E1312" s="15" t="str">
        <f>IFERROR(__xludf.DUMMYFUNCTION("""COMPUTED_VALUE"""),"випрямлячі зварювальні")</f>
        <v>випрямлячі зварювальні</v>
      </c>
      <c r="F1312" s="17">
        <f>IFERROR(__xludf.DUMMYFUNCTION("""COMPUTED_VALUE"""),3.0)</f>
        <v>3</v>
      </c>
      <c r="G1312" s="17">
        <f>IFERROR(__xludf.DUMMYFUNCTION("""COMPUTED_VALUE"""),1.4400102E7)</f>
        <v>14400102</v>
      </c>
      <c r="H1312" s="17" t="str">
        <f>IFERROR(__xludf.DUMMYFUNCTION("""COMPUTED_VALUE"""),"випрямлячі зварювальні")</f>
        <v>випрямлячі зварювальні</v>
      </c>
      <c r="I1312" s="18">
        <f>IFERROR(__xludf.DUMMYFUNCTION("""COMPUTED_VALUE"""),0.76)</f>
        <v>0.76</v>
      </c>
      <c r="J1312" s="18">
        <f>IFERROR(__xludf.DUMMYFUNCTION("""COMPUTED_VALUE"""),1.53)</f>
        <v>1.53</v>
      </c>
      <c r="K1312" s="18">
        <f>IFERROR(__xludf.DUMMYFUNCTION("""COMPUTED_VALUE"""),1.91)</f>
        <v>1.91</v>
      </c>
      <c r="L1312" s="18">
        <f>IFERROR(__xludf.DUMMYFUNCTION("""COMPUTED_VALUE"""),3.05)</f>
        <v>3.05</v>
      </c>
    </row>
    <row r="1313">
      <c r="A1313" s="13" t="str">
        <f>IFERROR(__xludf.DUMMYFUNCTION("""COMPUTED_VALUE"""),"товари")</f>
        <v>товари</v>
      </c>
      <c r="B1313" s="13" t="str">
        <f>IFERROR(__xludf.DUMMYFUNCTION("""COMPUTED_VALUE"""),"промислове обладнання та верстати")</f>
        <v>промислове обладнання та верстати</v>
      </c>
      <c r="C1313" s="15" t="str">
        <f>IFERROR(__xludf.DUMMYFUNCTION("""COMPUTED_VALUE"""),"компресори")</f>
        <v>компресори</v>
      </c>
      <c r="D1313" s="15" t="str">
        <f>IFERROR(__xludf.DUMMYFUNCTION("""COMPUTED_VALUE"""),"відцентрові компресори")</f>
        <v>відцентрові компресори</v>
      </c>
      <c r="E1313" s="15" t="str">
        <f>IFERROR(__xludf.DUMMYFUNCTION("""COMPUTED_VALUE"""),"відцентрові компресори")</f>
        <v>відцентрові компресори</v>
      </c>
      <c r="F1313" s="17">
        <f>IFERROR(__xludf.DUMMYFUNCTION("""COMPUTED_VALUE"""),3.0)</f>
        <v>3</v>
      </c>
      <c r="G1313" s="17">
        <f>IFERROR(__xludf.DUMMYFUNCTION("""COMPUTED_VALUE"""),141006.0)</f>
        <v>141006</v>
      </c>
      <c r="H1313" s="17" t="str">
        <f>IFERROR(__xludf.DUMMYFUNCTION("""COMPUTED_VALUE"""),"відцентрові компресори")</f>
        <v>відцентрові компресори</v>
      </c>
      <c r="I1313" s="18">
        <f>IFERROR(__xludf.DUMMYFUNCTION("""COMPUTED_VALUE"""),0.81)</f>
        <v>0.81</v>
      </c>
      <c r="J1313" s="18">
        <f>IFERROR(__xludf.DUMMYFUNCTION("""COMPUTED_VALUE"""),1.63)</f>
        <v>1.63</v>
      </c>
      <c r="K1313" s="18">
        <f>IFERROR(__xludf.DUMMYFUNCTION("""COMPUTED_VALUE"""),2.03)</f>
        <v>2.03</v>
      </c>
      <c r="L1313" s="18">
        <f>IFERROR(__xludf.DUMMYFUNCTION("""COMPUTED_VALUE"""),3.25)</f>
        <v>3.25</v>
      </c>
    </row>
    <row r="1314">
      <c r="A1314" s="13" t="str">
        <f>IFERROR(__xludf.DUMMYFUNCTION("""COMPUTED_VALUE"""),"товари")</f>
        <v>товари</v>
      </c>
      <c r="B1314" s="13" t="str">
        <f>IFERROR(__xludf.DUMMYFUNCTION("""COMPUTED_VALUE"""),"промислове обладнання та верстати")</f>
        <v>промислове обладнання та верстати</v>
      </c>
      <c r="C1314" s="15" t="str">
        <f>IFERROR(__xludf.DUMMYFUNCTION("""COMPUTED_VALUE"""),"обладнання для харчової промисловості")</f>
        <v>обладнання для харчової промисловості</v>
      </c>
      <c r="D1314" s="15" t="str">
        <f>IFERROR(__xludf.DUMMYFUNCTION("""COMPUTED_VALUE"""),"візки-шпильки")</f>
        <v>візки-шпильки</v>
      </c>
      <c r="E1314" s="15" t="str">
        <f>IFERROR(__xludf.DUMMYFUNCTION("""COMPUTED_VALUE"""),"візки-шпильки")</f>
        <v>візки-шпильки</v>
      </c>
      <c r="F1314" s="17">
        <f>IFERROR(__xludf.DUMMYFUNCTION("""COMPUTED_VALUE"""),3.0)</f>
        <v>3</v>
      </c>
      <c r="G1314" s="17">
        <f>IFERROR(__xludf.DUMMYFUNCTION("""COMPUTED_VALUE"""),1.5031605E7)</f>
        <v>15031605</v>
      </c>
      <c r="H1314" s="17" t="str">
        <f>IFERROR(__xludf.DUMMYFUNCTION("""COMPUTED_VALUE"""),"візки-шпильки")</f>
        <v>візки-шпильки</v>
      </c>
      <c r="I1314" s="18">
        <f>IFERROR(__xludf.DUMMYFUNCTION("""COMPUTED_VALUE"""),1.58)</f>
        <v>1.58</v>
      </c>
      <c r="J1314" s="18">
        <f>IFERROR(__xludf.DUMMYFUNCTION("""COMPUTED_VALUE"""),3.15)</f>
        <v>3.15</v>
      </c>
      <c r="K1314" s="18">
        <f>IFERROR(__xludf.DUMMYFUNCTION("""COMPUTED_VALUE"""),3.94)</f>
        <v>3.94</v>
      </c>
      <c r="L1314" s="18">
        <f>IFERROR(__xludf.DUMMYFUNCTION("""COMPUTED_VALUE"""),6.3)</f>
        <v>6.3</v>
      </c>
    </row>
    <row r="1315">
      <c r="A1315" s="13" t="str">
        <f>IFERROR(__xludf.DUMMYFUNCTION("""COMPUTED_VALUE"""),"товари")</f>
        <v>товари</v>
      </c>
      <c r="B1315" s="13" t="str">
        <f>IFERROR(__xludf.DUMMYFUNCTION("""COMPUTED_VALUE"""),"промислове обладнання та верстати")</f>
        <v>промислове обладнання та верстати</v>
      </c>
      <c r="C1315" s="15" t="str">
        <f>IFERROR(__xludf.DUMMYFUNCTION("""COMPUTED_VALUE"""),"альтернативні джерела енергії")</f>
        <v>альтернативні джерела енергії</v>
      </c>
      <c r="D1315" s="15" t="str">
        <f>IFERROR(__xludf.DUMMYFUNCTION("""COMPUTED_VALUE"""),"вітряні електростанції")</f>
        <v>вітряні електростанції</v>
      </c>
      <c r="E1315" s="15" t="str">
        <f>IFERROR(__xludf.DUMMYFUNCTION("""COMPUTED_VALUE"""),"вітряні електростанції")</f>
        <v>вітряні електростанції</v>
      </c>
      <c r="F1315" s="17">
        <f>IFERROR(__xludf.DUMMYFUNCTION("""COMPUTED_VALUE"""),3.0)</f>
        <v>3</v>
      </c>
      <c r="G1315" s="17">
        <f>IFERROR(__xludf.DUMMYFUNCTION("""COMPUTED_VALUE"""),1.4190201E7)</f>
        <v>14190201</v>
      </c>
      <c r="H1315" s="17" t="str">
        <f>IFERROR(__xludf.DUMMYFUNCTION("""COMPUTED_VALUE"""),"вітряні електростанції")</f>
        <v>вітряні електростанції</v>
      </c>
      <c r="I1315" s="18">
        <f>IFERROR(__xludf.DUMMYFUNCTION("""COMPUTED_VALUE"""),0.76)</f>
        <v>0.76</v>
      </c>
      <c r="J1315" s="18">
        <f>IFERROR(__xludf.DUMMYFUNCTION("""COMPUTED_VALUE"""),1.53)</f>
        <v>1.53</v>
      </c>
      <c r="K1315" s="18">
        <f>IFERROR(__xludf.DUMMYFUNCTION("""COMPUTED_VALUE"""),1.91)</f>
        <v>1.91</v>
      </c>
      <c r="L1315" s="18">
        <f>IFERROR(__xludf.DUMMYFUNCTION("""COMPUTED_VALUE"""),3.05)</f>
        <v>3.05</v>
      </c>
    </row>
    <row r="1316">
      <c r="A1316" s="13" t="str">
        <f>IFERROR(__xludf.DUMMYFUNCTION("""COMPUTED_VALUE"""),"товари")</f>
        <v>товари</v>
      </c>
      <c r="B1316" s="13" t="str">
        <f>IFERROR(__xludf.DUMMYFUNCTION("""COMPUTED_VALUE"""),"промислове обладнання та верстати")</f>
        <v>промислове обладнання та верстати</v>
      </c>
      <c r="C1316" s="15" t="str">
        <f>IFERROR(__xludf.DUMMYFUNCTION("""COMPUTED_VALUE"""),"водопідготовка")</f>
        <v>водопідготовка</v>
      </c>
      <c r="D1316" s="15" t="str">
        <f>IFERROR(__xludf.DUMMYFUNCTION("""COMPUTED_VALUE"""),"водопідготовка")</f>
        <v>водопідготовка</v>
      </c>
      <c r="E1316" s="15" t="str">
        <f>IFERROR(__xludf.DUMMYFUNCTION("""COMPUTED_VALUE"""),"водопідготовка")</f>
        <v>водопідготовка</v>
      </c>
      <c r="F1316" s="17">
        <f>IFERROR(__xludf.DUMMYFUNCTION("""COMPUTED_VALUE"""),2.0)</f>
        <v>2</v>
      </c>
      <c r="G1316" s="17">
        <f>IFERROR(__xludf.DUMMYFUNCTION("""COMPUTED_VALUE"""),1.6151306E7)</f>
        <v>16151306</v>
      </c>
      <c r="H1316" s="17" t="str">
        <f>IFERROR(__xludf.DUMMYFUNCTION("""COMPUTED_VALUE"""),"водопідготовка")</f>
        <v>водопідготовка</v>
      </c>
      <c r="I1316" s="18">
        <f>IFERROR(__xludf.DUMMYFUNCTION("""COMPUTED_VALUE"""),2.25)</f>
        <v>2.25</v>
      </c>
      <c r="J1316" s="18">
        <f>IFERROR(__xludf.DUMMYFUNCTION("""COMPUTED_VALUE"""),4.5)</f>
        <v>4.5</v>
      </c>
      <c r="K1316" s="18">
        <f>IFERROR(__xludf.DUMMYFUNCTION("""COMPUTED_VALUE"""),5.63)</f>
        <v>5.63</v>
      </c>
      <c r="L1316" s="18">
        <f>IFERROR(__xludf.DUMMYFUNCTION("""COMPUTED_VALUE"""),9.0)</f>
        <v>9</v>
      </c>
    </row>
    <row r="1317">
      <c r="A1317" s="13" t="str">
        <f>IFERROR(__xludf.DUMMYFUNCTION("""COMPUTED_VALUE"""),"товари")</f>
        <v>товари</v>
      </c>
      <c r="B1317" s="13" t="str">
        <f>IFERROR(__xludf.DUMMYFUNCTION("""COMPUTED_VALUE"""),"промислове обладнання та верстати")</f>
        <v>промислове обладнання та верстати</v>
      </c>
      <c r="C1317" s="15" t="str">
        <f>IFERROR(__xludf.DUMMYFUNCTION("""COMPUTED_VALUE"""),"галтувальне обладнання")</f>
        <v>галтувальне обладнання</v>
      </c>
      <c r="D1317" s="15" t="str">
        <f>IFERROR(__xludf.DUMMYFUNCTION("""COMPUTED_VALUE"""),"галтувальне обладнання")</f>
        <v>галтувальне обладнання</v>
      </c>
      <c r="E1317" s="15" t="str">
        <f>IFERROR(__xludf.DUMMYFUNCTION("""COMPUTED_VALUE"""),"галтувальне обладнання")</f>
        <v>галтувальне обладнання</v>
      </c>
      <c r="F1317" s="17">
        <f>IFERROR(__xludf.DUMMYFUNCTION("""COMPUTED_VALUE"""),2.0)</f>
        <v>2</v>
      </c>
      <c r="G1317" s="17">
        <f>IFERROR(__xludf.DUMMYFUNCTION("""COMPUTED_VALUE"""),1475.0)</f>
        <v>1475</v>
      </c>
      <c r="H1317" s="17" t="str">
        <f>IFERROR(__xludf.DUMMYFUNCTION("""COMPUTED_VALUE"""),"галтувальне обладнання")</f>
        <v>галтувальне обладнання</v>
      </c>
      <c r="I1317" s="18">
        <f>IFERROR(__xludf.DUMMYFUNCTION("""COMPUTED_VALUE"""),1.84)</f>
        <v>1.84</v>
      </c>
      <c r="J1317" s="18">
        <f>IFERROR(__xludf.DUMMYFUNCTION("""COMPUTED_VALUE"""),3.69)</f>
        <v>3.69</v>
      </c>
      <c r="K1317" s="18">
        <f>IFERROR(__xludf.DUMMYFUNCTION("""COMPUTED_VALUE"""),4.61)</f>
        <v>4.61</v>
      </c>
      <c r="L1317" s="18">
        <f>IFERROR(__xludf.DUMMYFUNCTION("""COMPUTED_VALUE"""),7.38)</f>
        <v>7.38</v>
      </c>
    </row>
    <row r="1318">
      <c r="A1318" s="13" t="str">
        <f>IFERROR(__xludf.DUMMYFUNCTION("""COMPUTED_VALUE"""),"товари")</f>
        <v>товари</v>
      </c>
      <c r="B1318" s="13" t="str">
        <f>IFERROR(__xludf.DUMMYFUNCTION("""COMPUTED_VALUE"""),"промислове обладнання та верстати")</f>
        <v>промислове обладнання та верстати</v>
      </c>
      <c r="C1318" s="15" t="str">
        <f>IFERROR(__xludf.DUMMYFUNCTION("""COMPUTED_VALUE"""),"технологічне обладнання")</f>
        <v>технологічне обладнання</v>
      </c>
      <c r="D1318" s="15" t="str">
        <f>IFERROR(__xludf.DUMMYFUNCTION("""COMPUTED_VALUE"""),"гідропневмоабразивне обладнання, загальне")</f>
        <v>гідропневмоабразивне обладнання, загальне</v>
      </c>
      <c r="E1318" s="15" t="str">
        <f>IFERROR(__xludf.DUMMYFUNCTION("""COMPUTED_VALUE"""),"гідропневмоабразивне обладнання, загальне")</f>
        <v>гідропневмоабразивне обладнання, загальне</v>
      </c>
      <c r="F1318" s="17">
        <f>IFERROR(__xludf.DUMMYFUNCTION("""COMPUTED_VALUE"""),3.0)</f>
        <v>3</v>
      </c>
      <c r="G1318" s="17">
        <f>IFERROR(__xludf.DUMMYFUNCTION("""COMPUTED_VALUE"""),1443.0)</f>
        <v>1443</v>
      </c>
      <c r="H1318" s="17" t="str">
        <f>IFERROR(__xludf.DUMMYFUNCTION("""COMPUTED_VALUE"""),"гідропневмоабразивне обладнання, загальне")</f>
        <v>гідропневмоабразивне обладнання, загальне</v>
      </c>
      <c r="I1318" s="18">
        <f>IFERROR(__xludf.DUMMYFUNCTION("""COMPUTED_VALUE"""),2.16)</f>
        <v>2.16</v>
      </c>
      <c r="J1318" s="18">
        <f>IFERROR(__xludf.DUMMYFUNCTION("""COMPUTED_VALUE"""),4.33)</f>
        <v>4.33</v>
      </c>
      <c r="K1318" s="18">
        <f>IFERROR(__xludf.DUMMYFUNCTION("""COMPUTED_VALUE"""),5.41)</f>
        <v>5.41</v>
      </c>
      <c r="L1318" s="18">
        <f>IFERROR(__xludf.DUMMYFUNCTION("""COMPUTED_VALUE"""),8.65)</f>
        <v>8.65</v>
      </c>
    </row>
    <row r="1319">
      <c r="A1319" s="13" t="str">
        <f>IFERROR(__xludf.DUMMYFUNCTION("""COMPUTED_VALUE"""),"товари")</f>
        <v>товари</v>
      </c>
      <c r="B1319" s="13" t="str">
        <f>IFERROR(__xludf.DUMMYFUNCTION("""COMPUTED_VALUE"""),"промислове обладнання та верстати")</f>
        <v>промислове обладнання та верстати</v>
      </c>
      <c r="C1319" s="15" t="str">
        <f>IFERROR(__xludf.DUMMYFUNCTION("""COMPUTED_VALUE"""),"технологічне обладнання")</f>
        <v>технологічне обладнання</v>
      </c>
      <c r="D1319" s="15" t="str">
        <f>IFERROR(__xludf.DUMMYFUNCTION("""COMPUTED_VALUE"""),"гранулятори")</f>
        <v>гранулятори</v>
      </c>
      <c r="E1319" s="15" t="str">
        <f>IFERROR(__xludf.DUMMYFUNCTION("""COMPUTED_VALUE"""),"гранулятори")</f>
        <v>гранулятори</v>
      </c>
      <c r="F1319" s="17">
        <f>IFERROR(__xludf.DUMMYFUNCTION("""COMPUTED_VALUE"""),3.0)</f>
        <v>3</v>
      </c>
      <c r="G1319" s="17">
        <f>IFERROR(__xludf.DUMMYFUNCTION("""COMPUTED_VALUE"""),147105.0)</f>
        <v>147105</v>
      </c>
      <c r="H1319" s="17" t="str">
        <f>IFERROR(__xludf.DUMMYFUNCTION("""COMPUTED_VALUE"""),"гранулятори")</f>
        <v>гранулятори</v>
      </c>
      <c r="I1319" s="18">
        <f>IFERROR(__xludf.DUMMYFUNCTION("""COMPUTED_VALUE"""),2.7)</f>
        <v>2.7</v>
      </c>
      <c r="J1319" s="18">
        <f>IFERROR(__xludf.DUMMYFUNCTION("""COMPUTED_VALUE"""),5.4)</f>
        <v>5.4</v>
      </c>
      <c r="K1319" s="18">
        <f>IFERROR(__xludf.DUMMYFUNCTION("""COMPUTED_VALUE"""),6.75)</f>
        <v>6.75</v>
      </c>
      <c r="L1319" s="18">
        <f>IFERROR(__xludf.DUMMYFUNCTION("""COMPUTED_VALUE"""),10.8)</f>
        <v>10.8</v>
      </c>
    </row>
    <row r="1320">
      <c r="A1320" s="13" t="str">
        <f>IFERROR(__xludf.DUMMYFUNCTION("""COMPUTED_VALUE"""),"товари")</f>
        <v>товари</v>
      </c>
      <c r="B1320" s="13" t="str">
        <f>IFERROR(__xludf.DUMMYFUNCTION("""COMPUTED_VALUE"""),"промислове обладнання та верстати")</f>
        <v>промислове обладнання та верстати</v>
      </c>
      <c r="C1320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320" s="15" t="str">
        <f>IFERROR(__xludf.DUMMYFUNCTION("""COMPUTED_VALUE"""),"гірниче обладнання")</f>
        <v>гірниче обладнання</v>
      </c>
      <c r="E1320" s="15" t="str">
        <f>IFERROR(__xludf.DUMMYFUNCTION("""COMPUTED_VALUE"""),"грохоти")</f>
        <v>грохоти</v>
      </c>
      <c r="F1320" s="17">
        <f>IFERROR(__xludf.DUMMYFUNCTION("""COMPUTED_VALUE"""),4.0)</f>
        <v>4</v>
      </c>
      <c r="G1320" s="17">
        <f>IFERROR(__xludf.DUMMYFUNCTION("""COMPUTED_VALUE"""),91505.0)</f>
        <v>91505</v>
      </c>
      <c r="H1320" s="17" t="str">
        <f>IFERROR(__xludf.DUMMYFUNCTION("""COMPUTED_VALUE"""),"грохоти")</f>
        <v>грохоти</v>
      </c>
      <c r="I1320" s="18">
        <f>IFERROR(__xludf.DUMMYFUNCTION("""COMPUTED_VALUE"""),1.98)</f>
        <v>1.98</v>
      </c>
      <c r="J1320" s="18">
        <f>IFERROR(__xludf.DUMMYFUNCTION("""COMPUTED_VALUE"""),3.96)</f>
        <v>3.96</v>
      </c>
      <c r="K1320" s="18">
        <f>IFERROR(__xludf.DUMMYFUNCTION("""COMPUTED_VALUE"""),4.95)</f>
        <v>4.95</v>
      </c>
      <c r="L1320" s="18">
        <f>IFERROR(__xludf.DUMMYFUNCTION("""COMPUTED_VALUE"""),7.93)</f>
        <v>7.93</v>
      </c>
    </row>
    <row r="1321">
      <c r="A1321" s="13" t="str">
        <f>IFERROR(__xludf.DUMMYFUNCTION("""COMPUTED_VALUE"""),"товари")</f>
        <v>товари</v>
      </c>
      <c r="B1321" s="13" t="str">
        <f>IFERROR(__xludf.DUMMYFUNCTION("""COMPUTED_VALUE"""),"промислове обладнання та верстати")</f>
        <v>промислове обладнання та верстати</v>
      </c>
      <c r="C1321" s="15" t="str">
        <f>IFERROR(__xludf.DUMMYFUNCTION("""COMPUTED_VALUE"""),"промислове кліматичне обладнання")</f>
        <v>промислове кліматичне обладнання</v>
      </c>
      <c r="D1321" s="15" t="str">
        <f>IFERROR(__xludf.DUMMYFUNCTION("""COMPUTED_VALUE"""),"промислові кондиціонери")</f>
        <v>промислові кондиціонери</v>
      </c>
      <c r="E1321" s="15" t="str">
        <f>IFERROR(__xludf.DUMMYFUNCTION("""COMPUTED_VALUE"""),"дахові кондиціонери")</f>
        <v>дахові кондиціонери</v>
      </c>
      <c r="F1321" s="17">
        <f>IFERROR(__xludf.DUMMYFUNCTION("""COMPUTED_VALUE"""),4.0)</f>
        <v>4</v>
      </c>
      <c r="G1321" s="17">
        <f>IFERROR(__xludf.DUMMYFUNCTION("""COMPUTED_VALUE"""),1.4650202E7)</f>
        <v>14650202</v>
      </c>
      <c r="H1321" s="17" t="str">
        <f>IFERROR(__xludf.DUMMYFUNCTION("""COMPUTED_VALUE"""),"дахові кондиціонери")</f>
        <v>дахові кондиціонери</v>
      </c>
      <c r="I1321" s="18">
        <f>IFERROR(__xludf.DUMMYFUNCTION("""COMPUTED_VALUE"""),2.7)</f>
        <v>2.7</v>
      </c>
      <c r="J1321" s="18">
        <f>IFERROR(__xludf.DUMMYFUNCTION("""COMPUTED_VALUE"""),5.4)</f>
        <v>5.4</v>
      </c>
      <c r="K1321" s="18">
        <f>IFERROR(__xludf.DUMMYFUNCTION("""COMPUTED_VALUE"""),6.75)</f>
        <v>6.75</v>
      </c>
      <c r="L1321" s="18">
        <f>IFERROR(__xludf.DUMMYFUNCTION("""COMPUTED_VALUE"""),10.8)</f>
        <v>10.8</v>
      </c>
    </row>
    <row r="1322">
      <c r="A1322" s="13" t="str">
        <f>IFERROR(__xludf.DUMMYFUNCTION("""COMPUTED_VALUE"""),"товари")</f>
        <v>товари</v>
      </c>
      <c r="B1322" s="13" t="str">
        <f>IFERROR(__xludf.DUMMYFUNCTION("""COMPUTED_VALUE"""),"промислове обладнання та верстати")</f>
        <v>промислове обладнання та верстати</v>
      </c>
      <c r="C1322" s="15" t="str">
        <f>IFERROR(__xludf.DUMMYFUNCTION("""COMPUTED_VALUE"""),"резервуари та баки")</f>
        <v>резервуари та баки</v>
      </c>
      <c r="D1322" s="15" t="str">
        <f>IFERROR(__xludf.DUMMYFUNCTION("""COMPUTED_VALUE"""),"деаераторні баки")</f>
        <v>деаераторні баки</v>
      </c>
      <c r="E1322" s="15" t="str">
        <f>IFERROR(__xludf.DUMMYFUNCTION("""COMPUTED_VALUE"""),"деаераторні баки")</f>
        <v>деаераторні баки</v>
      </c>
      <c r="F1322" s="17">
        <f>IFERROR(__xludf.DUMMYFUNCTION("""COMPUTED_VALUE"""),3.0)</f>
        <v>3</v>
      </c>
      <c r="G1322" s="17">
        <f>IFERROR(__xludf.DUMMYFUNCTION("""COMPUTED_VALUE"""),145004.0)</f>
        <v>145004</v>
      </c>
      <c r="H1322" s="17" t="str">
        <f>IFERROR(__xludf.DUMMYFUNCTION("""COMPUTED_VALUE"""),"деаераторні баки")</f>
        <v>деаераторні баки</v>
      </c>
      <c r="I1322" s="18">
        <f>IFERROR(__xludf.DUMMYFUNCTION("""COMPUTED_VALUE"""),1.98)</f>
        <v>1.98</v>
      </c>
      <c r="J1322" s="18">
        <f>IFERROR(__xludf.DUMMYFUNCTION("""COMPUTED_VALUE"""),3.96)</f>
        <v>3.96</v>
      </c>
      <c r="K1322" s="18">
        <f>IFERROR(__xludf.DUMMYFUNCTION("""COMPUTED_VALUE"""),4.95)</f>
        <v>4.95</v>
      </c>
      <c r="L1322" s="18">
        <f>IFERROR(__xludf.DUMMYFUNCTION("""COMPUTED_VALUE"""),7.93)</f>
        <v>7.93</v>
      </c>
    </row>
    <row r="1323">
      <c r="A1323" s="13" t="str">
        <f>IFERROR(__xludf.DUMMYFUNCTION("""COMPUTED_VALUE"""),"товари")</f>
        <v>товари</v>
      </c>
      <c r="B1323" s="13" t="str">
        <f>IFERROR(__xludf.DUMMYFUNCTION("""COMPUTED_VALUE"""),"промислове обладнання та верстати")</f>
        <v>промислове обладнання та верстати</v>
      </c>
      <c r="C1323" s="15" t="str">
        <f>IFERROR(__xludf.DUMMYFUNCTION("""COMPUTED_VALUE"""),"кранове обладнання")</f>
        <v>кранове обладнання</v>
      </c>
      <c r="D1323" s="15" t="str">
        <f>IFERROR(__xludf.DUMMYFUNCTION("""COMPUTED_VALUE"""),"дистанційне керування кранами")</f>
        <v>дистанційне керування кранами</v>
      </c>
      <c r="E1323" s="15" t="str">
        <f>IFERROR(__xludf.DUMMYFUNCTION("""COMPUTED_VALUE"""),"дистанційне керування кранами")</f>
        <v>дистанційне керування кранами</v>
      </c>
      <c r="F1323" s="17">
        <f>IFERROR(__xludf.DUMMYFUNCTION("""COMPUTED_VALUE"""),3.0)</f>
        <v>3</v>
      </c>
      <c r="G1323" s="17">
        <f>IFERROR(__xludf.DUMMYFUNCTION("""COMPUTED_VALUE"""),141103.0)</f>
        <v>141103</v>
      </c>
      <c r="H1323" s="17" t="str">
        <f>IFERROR(__xludf.DUMMYFUNCTION("""COMPUTED_VALUE"""),"дистанційне керування кранами")</f>
        <v>дистанційне керування кранами</v>
      </c>
      <c r="I1323" s="18">
        <f>IFERROR(__xludf.DUMMYFUNCTION("""COMPUTED_VALUE"""),0.53)</f>
        <v>0.53</v>
      </c>
      <c r="J1323" s="18">
        <f>IFERROR(__xludf.DUMMYFUNCTION("""COMPUTED_VALUE"""),1.05)</f>
        <v>1.05</v>
      </c>
      <c r="K1323" s="18">
        <f>IFERROR(__xludf.DUMMYFUNCTION("""COMPUTED_VALUE"""),1.31)</f>
        <v>1.31</v>
      </c>
      <c r="L1323" s="18">
        <f>IFERROR(__xludf.DUMMYFUNCTION("""COMPUTED_VALUE"""),2.1)</f>
        <v>2.1</v>
      </c>
    </row>
    <row r="1324">
      <c r="A1324" s="13" t="str">
        <f>IFERROR(__xludf.DUMMYFUNCTION("""COMPUTED_VALUE"""),"товари")</f>
        <v>товари</v>
      </c>
      <c r="B1324" s="13" t="str">
        <f>IFERROR(__xludf.DUMMYFUNCTION("""COMPUTED_VALUE"""),"промислове обладнання та верстати")</f>
        <v>промислове обладнання та верстати</v>
      </c>
      <c r="C1324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324" s="15" t="str">
        <f>IFERROR(__xludf.DUMMYFUNCTION("""COMPUTED_VALUE"""),"гірниче обладнання")</f>
        <v>гірниче обладнання</v>
      </c>
      <c r="E1324" s="15" t="str">
        <f>IFERROR(__xludf.DUMMYFUNCTION("""COMPUTED_VALUE"""),"дробильне обладнання")</f>
        <v>дробильне обладнання</v>
      </c>
      <c r="F1324" s="17">
        <f>IFERROR(__xludf.DUMMYFUNCTION("""COMPUTED_VALUE"""),4.0)</f>
        <v>4</v>
      </c>
      <c r="G1324" s="17">
        <f>IFERROR(__xludf.DUMMYFUNCTION("""COMPUTED_VALUE"""),91506.0)</f>
        <v>91506</v>
      </c>
      <c r="H1324" s="17" t="str">
        <f>IFERROR(__xludf.DUMMYFUNCTION("""COMPUTED_VALUE"""),"дробильне обладнання")</f>
        <v>дробильне обладнання</v>
      </c>
      <c r="I1324" s="18">
        <f>IFERROR(__xludf.DUMMYFUNCTION("""COMPUTED_VALUE"""),1.98)</f>
        <v>1.98</v>
      </c>
      <c r="J1324" s="18">
        <f>IFERROR(__xludf.DUMMYFUNCTION("""COMPUTED_VALUE"""),3.96)</f>
        <v>3.96</v>
      </c>
      <c r="K1324" s="18">
        <f>IFERROR(__xludf.DUMMYFUNCTION("""COMPUTED_VALUE"""),4.95)</f>
        <v>4.95</v>
      </c>
      <c r="L1324" s="18">
        <f>IFERROR(__xludf.DUMMYFUNCTION("""COMPUTED_VALUE"""),7.93)</f>
        <v>7.93</v>
      </c>
    </row>
    <row r="1325">
      <c r="A1325" s="13" t="str">
        <f>IFERROR(__xludf.DUMMYFUNCTION("""COMPUTED_VALUE"""),"товари")</f>
        <v>товари</v>
      </c>
      <c r="B1325" s="13" t="str">
        <f>IFERROR(__xludf.DUMMYFUNCTION("""COMPUTED_VALUE"""),"промислове обладнання та верстати")</f>
        <v>промислове обладнання та верстати</v>
      </c>
      <c r="C1325" s="15" t="str">
        <f>IFERROR(__xludf.DUMMYFUNCTION("""COMPUTED_VALUE"""),"маркувальне обладнання")</f>
        <v>маркувальне обладнання</v>
      </c>
      <c r="D1325" s="15" t="str">
        <f>IFERROR(__xludf.DUMMYFUNCTION("""COMPUTED_VALUE"""),"етикетувальне обладнання")</f>
        <v>етикетувальне обладнання</v>
      </c>
      <c r="E1325" s="15" t="str">
        <f>IFERROR(__xludf.DUMMYFUNCTION("""COMPUTED_VALUE"""),"етикетувальні машини")</f>
        <v>етикетувальні машини</v>
      </c>
      <c r="F1325" s="17">
        <f>IFERROR(__xludf.DUMMYFUNCTION("""COMPUTED_VALUE"""),4.0)</f>
        <v>4</v>
      </c>
      <c r="G1325" s="17">
        <f>IFERROR(__xludf.DUMMYFUNCTION("""COMPUTED_VALUE"""),1.4320401E7)</f>
        <v>14320401</v>
      </c>
      <c r="H1325" s="17" t="str">
        <f>IFERROR(__xludf.DUMMYFUNCTION("""COMPUTED_VALUE"""),"етикетувальні машини")</f>
        <v>етикетувальні машини</v>
      </c>
      <c r="I1325" s="18">
        <f>IFERROR(__xludf.DUMMYFUNCTION("""COMPUTED_VALUE"""),1.66)</f>
        <v>1.66</v>
      </c>
      <c r="J1325" s="18">
        <f>IFERROR(__xludf.DUMMYFUNCTION("""COMPUTED_VALUE"""),3.33)</f>
        <v>3.33</v>
      </c>
      <c r="K1325" s="18">
        <f>IFERROR(__xludf.DUMMYFUNCTION("""COMPUTED_VALUE"""),4.16)</f>
        <v>4.16</v>
      </c>
      <c r="L1325" s="18">
        <f>IFERROR(__xludf.DUMMYFUNCTION("""COMPUTED_VALUE"""),6.65)</f>
        <v>6.65</v>
      </c>
    </row>
    <row r="1326">
      <c r="A1326" s="13" t="str">
        <f>IFERROR(__xludf.DUMMYFUNCTION("""COMPUTED_VALUE"""),"товари")</f>
        <v>товари</v>
      </c>
      <c r="B1326" s="13" t="str">
        <f>IFERROR(__xludf.DUMMYFUNCTION("""COMPUTED_VALUE"""),"промислове обладнання та верстати")</f>
        <v>промислове обладнання та верстати</v>
      </c>
      <c r="C1326" s="15" t="str">
        <f>IFERROR(__xludf.DUMMYFUNCTION("""COMPUTED_VALUE"""),"кранове обладнання")</f>
        <v>кранове обладнання</v>
      </c>
      <c r="D1326" s="15" t="str">
        <f>IFERROR(__xludf.DUMMYFUNCTION("""COMPUTED_VALUE"""),"запасні частини та комплектуючі до кранового обладнання")</f>
        <v>запасні частини та комплектуючі до кранового обладнання</v>
      </c>
      <c r="E1326" s="15" t="str">
        <f>IFERROR(__xludf.DUMMYFUNCTION("""COMPUTED_VALUE"""),"запасні частини та комплектуючі до кранового обладнання")</f>
        <v>запасні частини та комплектуючі до кранового обладнання</v>
      </c>
      <c r="F1326" s="17">
        <f>IFERROR(__xludf.DUMMYFUNCTION("""COMPUTED_VALUE"""),3.0)</f>
        <v>3</v>
      </c>
      <c r="G1326" s="17">
        <f>IFERROR(__xludf.DUMMYFUNCTION("""COMPUTED_VALUE"""),341517.0)</f>
        <v>341517</v>
      </c>
      <c r="H1326" s="17" t="str">
        <f>IFERROR(__xludf.DUMMYFUNCTION("""COMPUTED_VALUE"""),"запасні частини та комплектуючі до кранового обладнання")</f>
        <v>запасні частини та комплектуючі до кранового обладнання</v>
      </c>
      <c r="I1326" s="18">
        <f>IFERROR(__xludf.DUMMYFUNCTION("""COMPUTED_VALUE"""),2.21)</f>
        <v>2.21</v>
      </c>
      <c r="J1326" s="18">
        <f>IFERROR(__xludf.DUMMYFUNCTION("""COMPUTED_VALUE"""),4.41)</f>
        <v>4.41</v>
      </c>
      <c r="K1326" s="18">
        <f>IFERROR(__xludf.DUMMYFUNCTION("""COMPUTED_VALUE"""),5.52)</f>
        <v>5.52</v>
      </c>
      <c r="L1326" s="18">
        <f>IFERROR(__xludf.DUMMYFUNCTION("""COMPUTED_VALUE"""),8.83)</f>
        <v>8.83</v>
      </c>
    </row>
    <row r="1327">
      <c r="A1327" s="13" t="str">
        <f>IFERROR(__xludf.DUMMYFUNCTION("""COMPUTED_VALUE"""),"товари")</f>
        <v>товари</v>
      </c>
      <c r="B1327" s="13" t="str">
        <f>IFERROR(__xludf.DUMMYFUNCTION("""COMPUTED_VALUE"""),"промислове обладнання та верстати")</f>
        <v>промислове обладнання та верстати</v>
      </c>
      <c r="C1327" s="15" t="str">
        <f>IFERROR(__xludf.DUMMYFUNCTION("""COMPUTED_VALUE"""),"верстати")</f>
        <v>верстати</v>
      </c>
      <c r="D1327" s="15" t="str">
        <f>IFERROR(__xludf.DUMMYFUNCTION("""COMPUTED_VALUE"""),"запчастини та оснащення для верстатів")</f>
        <v>запчастини та оснащення для верстатів</v>
      </c>
      <c r="E1327" s="15" t="str">
        <f>IFERROR(__xludf.DUMMYFUNCTION("""COMPUTED_VALUE"""),"запчастини та оснащення для верстатів")</f>
        <v>запчастини та оснащення для верстатів</v>
      </c>
      <c r="F1327" s="17">
        <f>IFERROR(__xludf.DUMMYFUNCTION("""COMPUTED_VALUE"""),3.0)</f>
        <v>3</v>
      </c>
      <c r="G1327" s="17">
        <f>IFERROR(__xludf.DUMMYFUNCTION("""COMPUTED_VALUE"""),432436.0)</f>
        <v>432436</v>
      </c>
      <c r="H1327" s="17" t="str">
        <f>IFERROR(__xludf.DUMMYFUNCTION("""COMPUTED_VALUE"""),"запчастини та оснащення для верстатів")</f>
        <v>запчастини та оснащення для верстатів</v>
      </c>
      <c r="I1327" s="18">
        <f>IFERROR(__xludf.DUMMYFUNCTION("""COMPUTED_VALUE"""),1.8)</f>
        <v>1.8</v>
      </c>
      <c r="J1327" s="18">
        <f>IFERROR(__xludf.DUMMYFUNCTION("""COMPUTED_VALUE"""),3.6)</f>
        <v>3.6</v>
      </c>
      <c r="K1327" s="18">
        <f>IFERROR(__xludf.DUMMYFUNCTION("""COMPUTED_VALUE"""),4.5)</f>
        <v>4.5</v>
      </c>
      <c r="L1327" s="18">
        <f>IFERROR(__xludf.DUMMYFUNCTION("""COMPUTED_VALUE"""),7.2)</f>
        <v>7.2</v>
      </c>
    </row>
    <row r="1328">
      <c r="A1328" s="13" t="str">
        <f>IFERROR(__xludf.DUMMYFUNCTION("""COMPUTED_VALUE"""),"товари")</f>
        <v>товари</v>
      </c>
      <c r="B1328" s="13" t="str">
        <f>IFERROR(__xludf.DUMMYFUNCTION("""COMPUTED_VALUE"""),"промислове обладнання та верстати")</f>
        <v>промислове обладнання та верстати</v>
      </c>
      <c r="C1328" s="15" t="str">
        <f>IFERROR(__xludf.DUMMYFUNCTION("""COMPUTED_VALUE"""),"зварювальне та паяльне обладнання")</f>
        <v>зварювальне та паяльне обладнання</v>
      </c>
      <c r="D1328" s="15" t="str">
        <f>IFERROR(__xludf.DUMMYFUNCTION("""COMPUTED_VALUE"""),"захист при зварюванні")</f>
        <v>захист при зварюванні</v>
      </c>
      <c r="E1328" s="15" t="str">
        <f>IFERROR(__xludf.DUMMYFUNCTION("""COMPUTED_VALUE"""),"захист при зварюванні, загальне")</f>
        <v>захист при зварюванні, загальне</v>
      </c>
      <c r="F1328" s="17">
        <f>IFERROR(__xludf.DUMMYFUNCTION("""COMPUTED_VALUE"""),4.0)</f>
        <v>4</v>
      </c>
      <c r="G1328" s="17">
        <f>IFERROR(__xludf.DUMMYFUNCTION("""COMPUTED_VALUE"""),1.4401101E7)</f>
        <v>14401101</v>
      </c>
      <c r="H1328" s="17" t="str">
        <f>IFERROR(__xludf.DUMMYFUNCTION("""COMPUTED_VALUE"""),"захист при зварюванні, загальне")</f>
        <v>захист при зварюванні, загальне</v>
      </c>
      <c r="I1328" s="18">
        <f>IFERROR(__xludf.DUMMYFUNCTION("""COMPUTED_VALUE"""),2.16)</f>
        <v>2.16</v>
      </c>
      <c r="J1328" s="18">
        <f>IFERROR(__xludf.DUMMYFUNCTION("""COMPUTED_VALUE"""),4.33)</f>
        <v>4.33</v>
      </c>
      <c r="K1328" s="18">
        <f>IFERROR(__xludf.DUMMYFUNCTION("""COMPUTED_VALUE"""),5.41)</f>
        <v>5.41</v>
      </c>
      <c r="L1328" s="18">
        <f>IFERROR(__xludf.DUMMYFUNCTION("""COMPUTED_VALUE"""),8.65)</f>
        <v>8.65</v>
      </c>
    </row>
    <row r="1329">
      <c r="A1329" s="13" t="str">
        <f>IFERROR(__xludf.DUMMYFUNCTION("""COMPUTED_VALUE"""),"товари")</f>
        <v>товари</v>
      </c>
      <c r="B1329" s="13" t="str">
        <f>IFERROR(__xludf.DUMMYFUNCTION("""COMPUTED_VALUE"""),"промислове обладнання та верстати")</f>
        <v>промислове обладнання та верстати</v>
      </c>
      <c r="C1329" s="15" t="str">
        <f>IFERROR(__xludf.DUMMYFUNCTION("""COMPUTED_VALUE"""),"зварювальне та паяльне обладнання")</f>
        <v>зварювальне та паяльне обладнання</v>
      </c>
      <c r="D1329" s="15" t="str">
        <f>IFERROR(__xludf.DUMMYFUNCTION("""COMPUTED_VALUE"""),"зварювальні апарати гарячого повітря")</f>
        <v>зварювальні апарати гарячого повітря</v>
      </c>
      <c r="E1329" s="15" t="str">
        <f>IFERROR(__xludf.DUMMYFUNCTION("""COMPUTED_VALUE"""),"зварювальні апарати гарячого повітря")</f>
        <v>зварювальні апарати гарячого повітря</v>
      </c>
      <c r="F1329" s="17">
        <f>IFERROR(__xludf.DUMMYFUNCTION("""COMPUTED_VALUE"""),3.0)</f>
        <v>3</v>
      </c>
      <c r="G1329" s="17">
        <f>IFERROR(__xludf.DUMMYFUNCTION("""COMPUTED_VALUE"""),147104.0)</f>
        <v>147104</v>
      </c>
      <c r="H1329" s="17" t="str">
        <f>IFERROR(__xludf.DUMMYFUNCTION("""COMPUTED_VALUE"""),"зварювальні апарати гарячого повітря")</f>
        <v>зварювальні апарати гарячого повітря</v>
      </c>
      <c r="I1329" s="18">
        <f>IFERROR(__xludf.DUMMYFUNCTION("""COMPUTED_VALUE"""),1.95)</f>
        <v>1.95</v>
      </c>
      <c r="J1329" s="18">
        <f>IFERROR(__xludf.DUMMYFUNCTION("""COMPUTED_VALUE"""),3.9)</f>
        <v>3.9</v>
      </c>
      <c r="K1329" s="18">
        <f>IFERROR(__xludf.DUMMYFUNCTION("""COMPUTED_VALUE"""),4.88)</f>
        <v>4.88</v>
      </c>
      <c r="L1329" s="18">
        <f>IFERROR(__xludf.DUMMYFUNCTION("""COMPUTED_VALUE"""),7.8)</f>
        <v>7.8</v>
      </c>
    </row>
    <row r="1330">
      <c r="A1330" s="13" t="str">
        <f>IFERROR(__xludf.DUMMYFUNCTION("""COMPUTED_VALUE"""),"товари")</f>
        <v>товари</v>
      </c>
      <c r="B1330" s="13" t="str">
        <f>IFERROR(__xludf.DUMMYFUNCTION("""COMPUTED_VALUE"""),"промислове обладнання та верстати")</f>
        <v>промислове обладнання та верстати</v>
      </c>
      <c r="C1330" s="15" t="str">
        <f>IFERROR(__xludf.DUMMYFUNCTION("""COMPUTED_VALUE"""),"зварювальне та паяльне обладнання")</f>
        <v>зварювальне та паяльне обладнання</v>
      </c>
      <c r="D1330" s="15" t="str">
        <f>IFERROR(__xludf.DUMMYFUNCTION("""COMPUTED_VALUE"""),"зварювальні генератори")</f>
        <v>зварювальні генератори</v>
      </c>
      <c r="E1330" s="15" t="str">
        <f>IFERROR(__xludf.DUMMYFUNCTION("""COMPUTED_VALUE"""),"зварювальні генератори")</f>
        <v>зварювальні генератори</v>
      </c>
      <c r="F1330" s="17">
        <f>IFERROR(__xludf.DUMMYFUNCTION("""COMPUTED_VALUE"""),3.0)</f>
        <v>3</v>
      </c>
      <c r="G1330" s="17">
        <f>IFERROR(__xludf.DUMMYFUNCTION("""COMPUTED_VALUE"""),1.4400107E7)</f>
        <v>14400107</v>
      </c>
      <c r="H1330" s="17" t="str">
        <f>IFERROR(__xludf.DUMMYFUNCTION("""COMPUTED_VALUE"""),"зварювальні генератори")</f>
        <v>зварювальні генератори</v>
      </c>
      <c r="I1330" s="18">
        <f>IFERROR(__xludf.DUMMYFUNCTION("""COMPUTED_VALUE"""),0.72)</f>
        <v>0.72</v>
      </c>
      <c r="J1330" s="18">
        <f>IFERROR(__xludf.DUMMYFUNCTION("""COMPUTED_VALUE"""),1.44)</f>
        <v>1.44</v>
      </c>
      <c r="K1330" s="18">
        <f>IFERROR(__xludf.DUMMYFUNCTION("""COMPUTED_VALUE"""),1.8)</f>
        <v>1.8</v>
      </c>
      <c r="L1330" s="18">
        <f>IFERROR(__xludf.DUMMYFUNCTION("""COMPUTED_VALUE"""),2.88)</f>
        <v>2.88</v>
      </c>
    </row>
    <row r="1331">
      <c r="A1331" s="13" t="str">
        <f>IFERROR(__xludf.DUMMYFUNCTION("""COMPUTED_VALUE"""),"товари")</f>
        <v>товари</v>
      </c>
      <c r="B1331" s="13" t="str">
        <f>IFERROR(__xludf.DUMMYFUNCTION("""COMPUTED_VALUE"""),"промислове обладнання та верстати")</f>
        <v>промислове обладнання та верстати</v>
      </c>
      <c r="C1331" s="15" t="str">
        <f>IFERROR(__xludf.DUMMYFUNCTION("""COMPUTED_VALUE"""),"зварювальне та паяльне обладнання")</f>
        <v>зварювальне та паяльне обладнання</v>
      </c>
      <c r="D1331" s="15" t="str">
        <f>IFERROR(__xludf.DUMMYFUNCTION("""COMPUTED_VALUE"""),"захист при зварюванні")</f>
        <v>захист при зварюванні</v>
      </c>
      <c r="E1331" s="15" t="str">
        <f>IFERROR(__xludf.DUMMYFUNCTION("""COMPUTED_VALUE"""),"зварювальні намети та штори")</f>
        <v>зварювальні намети та штори</v>
      </c>
      <c r="F1331" s="17">
        <f>IFERROR(__xludf.DUMMYFUNCTION("""COMPUTED_VALUE"""),4.0)</f>
        <v>4</v>
      </c>
      <c r="G1331" s="17">
        <f>IFERROR(__xludf.DUMMYFUNCTION("""COMPUTED_VALUE"""),144010.0)</f>
        <v>144010</v>
      </c>
      <c r="H1331" s="17" t="str">
        <f>IFERROR(__xludf.DUMMYFUNCTION("""COMPUTED_VALUE"""),"зварювальні намети та штори")</f>
        <v>зварювальні намети та штори</v>
      </c>
      <c r="I1331" s="18">
        <f>IFERROR(__xludf.DUMMYFUNCTION("""COMPUTED_VALUE"""),0.86)</f>
        <v>0.86</v>
      </c>
      <c r="J1331" s="18">
        <f>IFERROR(__xludf.DUMMYFUNCTION("""COMPUTED_VALUE"""),1.71)</f>
        <v>1.71</v>
      </c>
      <c r="K1331" s="18">
        <f>IFERROR(__xludf.DUMMYFUNCTION("""COMPUTED_VALUE"""),2.14)</f>
        <v>2.14</v>
      </c>
      <c r="L1331" s="18">
        <f>IFERROR(__xludf.DUMMYFUNCTION("""COMPUTED_VALUE"""),3.43)</f>
        <v>3.43</v>
      </c>
    </row>
    <row r="1332">
      <c r="A1332" s="13" t="str">
        <f>IFERROR(__xludf.DUMMYFUNCTION("""COMPUTED_VALUE"""),"товари")</f>
        <v>товари</v>
      </c>
      <c r="B1332" s="13" t="str">
        <f>IFERROR(__xludf.DUMMYFUNCTION("""COMPUTED_VALUE"""),"промислове обладнання та верстати")</f>
        <v>промислове обладнання та верстати</v>
      </c>
      <c r="C1332" s="15" t="str">
        <f>IFERROR(__xludf.DUMMYFUNCTION("""COMPUTED_VALUE"""),"зварювальне та паяльне обладнання")</f>
        <v>зварювальне та паяльне обладнання</v>
      </c>
      <c r="D1332" s="15" t="str">
        <f>IFERROR(__xludf.DUMMYFUNCTION("""COMPUTED_VALUE"""),"зварювальні осцилятори")</f>
        <v>зварювальні осцилятори</v>
      </c>
      <c r="E1332" s="15" t="str">
        <f>IFERROR(__xludf.DUMMYFUNCTION("""COMPUTED_VALUE"""),"зварювальні осцилятори")</f>
        <v>зварювальні осцилятори</v>
      </c>
      <c r="F1332" s="17">
        <f>IFERROR(__xludf.DUMMYFUNCTION("""COMPUTED_VALUE"""),3.0)</f>
        <v>3</v>
      </c>
      <c r="G1332" s="17">
        <f>IFERROR(__xludf.DUMMYFUNCTION("""COMPUTED_VALUE"""),400104.0)</f>
        <v>400104</v>
      </c>
      <c r="H1332" s="17" t="str">
        <f>IFERROR(__xludf.DUMMYFUNCTION("""COMPUTED_VALUE"""),"зварювальні осцилятори")</f>
        <v>зварювальні осцилятори</v>
      </c>
      <c r="I1332" s="18">
        <f>IFERROR(__xludf.DUMMYFUNCTION("""COMPUTED_VALUE"""),0.72)</f>
        <v>0.72</v>
      </c>
      <c r="J1332" s="18">
        <f>IFERROR(__xludf.DUMMYFUNCTION("""COMPUTED_VALUE"""),1.44)</f>
        <v>1.44</v>
      </c>
      <c r="K1332" s="18">
        <f>IFERROR(__xludf.DUMMYFUNCTION("""COMPUTED_VALUE"""),1.8)</f>
        <v>1.8</v>
      </c>
      <c r="L1332" s="18">
        <f>IFERROR(__xludf.DUMMYFUNCTION("""COMPUTED_VALUE"""),2.88)</f>
        <v>2.88</v>
      </c>
    </row>
    <row r="1333">
      <c r="A1333" s="13" t="str">
        <f>IFERROR(__xludf.DUMMYFUNCTION("""COMPUTED_VALUE"""),"товари")</f>
        <v>товари</v>
      </c>
      <c r="B1333" s="13" t="str">
        <f>IFERROR(__xludf.DUMMYFUNCTION("""COMPUTED_VALUE"""),"промислове обладнання та верстати")</f>
        <v>промислове обладнання та верстати</v>
      </c>
      <c r="C1333" s="15" t="str">
        <f>IFERROR(__xludf.DUMMYFUNCTION("""COMPUTED_VALUE"""),"зварювальне та паяльне обладнання")</f>
        <v>зварювальне та паяльне обладнання</v>
      </c>
      <c r="D1333" s="15" t="str">
        <f>IFERROR(__xludf.DUMMYFUNCTION("""COMPUTED_VALUE"""),"зварювальні реостати")</f>
        <v>зварювальні реостати</v>
      </c>
      <c r="E1333" s="15" t="str">
        <f>IFERROR(__xludf.DUMMYFUNCTION("""COMPUTED_VALUE"""),"зварювальні реостати")</f>
        <v>зварювальні реостати</v>
      </c>
      <c r="F1333" s="17">
        <f>IFERROR(__xludf.DUMMYFUNCTION("""COMPUTED_VALUE"""),3.0)</f>
        <v>3</v>
      </c>
      <c r="G1333" s="17">
        <f>IFERROR(__xludf.DUMMYFUNCTION("""COMPUTED_VALUE"""),1.4400104E7)</f>
        <v>14400104</v>
      </c>
      <c r="H1333" s="17" t="str">
        <f>IFERROR(__xludf.DUMMYFUNCTION("""COMPUTED_VALUE"""),"зварювальні реостати")</f>
        <v>зварювальні реостати</v>
      </c>
      <c r="I1333" s="18">
        <f>IFERROR(__xludf.DUMMYFUNCTION("""COMPUTED_VALUE"""),0.76)</f>
        <v>0.76</v>
      </c>
      <c r="J1333" s="18">
        <f>IFERROR(__xludf.DUMMYFUNCTION("""COMPUTED_VALUE"""),1.53)</f>
        <v>1.53</v>
      </c>
      <c r="K1333" s="18">
        <f>IFERROR(__xludf.DUMMYFUNCTION("""COMPUTED_VALUE"""),1.91)</f>
        <v>1.91</v>
      </c>
      <c r="L1333" s="18">
        <f>IFERROR(__xludf.DUMMYFUNCTION("""COMPUTED_VALUE"""),3.05)</f>
        <v>3.05</v>
      </c>
    </row>
    <row r="1334">
      <c r="A1334" s="13" t="str">
        <f>IFERROR(__xludf.DUMMYFUNCTION("""COMPUTED_VALUE"""),"товари")</f>
        <v>товари</v>
      </c>
      <c r="B1334" s="13" t="str">
        <f>IFERROR(__xludf.DUMMYFUNCTION("""COMPUTED_VALUE"""),"промислове обладнання та верстати")</f>
        <v>промислове обладнання та верстати</v>
      </c>
      <c r="C1334" s="15" t="str">
        <f>IFERROR(__xludf.DUMMYFUNCTION("""COMPUTED_VALUE"""),"зварювальне та паяльне обладнання")</f>
        <v>зварювальне та паяльне обладнання</v>
      </c>
      <c r="D1334" s="15" t="str">
        <f>IFERROR(__xludf.DUMMYFUNCTION("""COMPUTED_VALUE"""),"зварювальні столи")</f>
        <v>зварювальні столи</v>
      </c>
      <c r="E1334" s="15" t="str">
        <f>IFERROR(__xludf.DUMMYFUNCTION("""COMPUTED_VALUE"""),"зварювальні столи")</f>
        <v>зварювальні столи</v>
      </c>
      <c r="F1334" s="17">
        <f>IFERROR(__xludf.DUMMYFUNCTION("""COMPUTED_VALUE"""),3.0)</f>
        <v>3</v>
      </c>
      <c r="G1334" s="17">
        <f>IFERROR(__xludf.DUMMYFUNCTION("""COMPUTED_VALUE"""),144015.0)</f>
        <v>144015</v>
      </c>
      <c r="H1334" s="17" t="str">
        <f>IFERROR(__xludf.DUMMYFUNCTION("""COMPUTED_VALUE"""),"зварювальні столи")</f>
        <v>зварювальні столи</v>
      </c>
      <c r="I1334" s="18">
        <f>IFERROR(__xludf.DUMMYFUNCTION("""COMPUTED_VALUE"""),1.58)</f>
        <v>1.58</v>
      </c>
      <c r="J1334" s="18">
        <f>IFERROR(__xludf.DUMMYFUNCTION("""COMPUTED_VALUE"""),3.15)</f>
        <v>3.15</v>
      </c>
      <c r="K1334" s="18">
        <f>IFERROR(__xludf.DUMMYFUNCTION("""COMPUTED_VALUE"""),3.94)</f>
        <v>3.94</v>
      </c>
      <c r="L1334" s="18">
        <f>IFERROR(__xludf.DUMMYFUNCTION("""COMPUTED_VALUE"""),6.3)</f>
        <v>6.3</v>
      </c>
    </row>
    <row r="1335">
      <c r="A1335" s="13" t="str">
        <f>IFERROR(__xludf.DUMMYFUNCTION("""COMPUTED_VALUE"""),"товари")</f>
        <v>товари</v>
      </c>
      <c r="B1335" s="13" t="str">
        <f>IFERROR(__xludf.DUMMYFUNCTION("""COMPUTED_VALUE"""),"промислове обладнання та верстати")</f>
        <v>промислове обладнання та верстати</v>
      </c>
      <c r="C1335" s="15" t="str">
        <f>IFERROR(__xludf.DUMMYFUNCTION("""COMPUTED_VALUE"""),"зварювальне та паяльне обладнання")</f>
        <v>зварювальне та паяльне обладнання</v>
      </c>
      <c r="D1335" s="15" t="str">
        <f>IFERROR(__xludf.DUMMYFUNCTION("""COMPUTED_VALUE"""),"зварювальні трансформатори")</f>
        <v>зварювальні трансформатори</v>
      </c>
      <c r="E1335" s="15" t="str">
        <f>IFERROR(__xludf.DUMMYFUNCTION("""COMPUTED_VALUE"""),"зварювальні трансформатори")</f>
        <v>зварювальні трансформатори</v>
      </c>
      <c r="F1335" s="17">
        <f>IFERROR(__xludf.DUMMYFUNCTION("""COMPUTED_VALUE"""),3.0)</f>
        <v>3</v>
      </c>
      <c r="G1335" s="17">
        <f>IFERROR(__xludf.DUMMYFUNCTION("""COMPUTED_VALUE"""),1.4400103E7)</f>
        <v>14400103</v>
      </c>
      <c r="H1335" s="17" t="str">
        <f>IFERROR(__xludf.DUMMYFUNCTION("""COMPUTED_VALUE"""),"зварювальні трансформатори")</f>
        <v>зварювальні трансформатори</v>
      </c>
      <c r="I1335" s="18">
        <f>IFERROR(__xludf.DUMMYFUNCTION("""COMPUTED_VALUE"""),0.72)</f>
        <v>0.72</v>
      </c>
      <c r="J1335" s="18">
        <f>IFERROR(__xludf.DUMMYFUNCTION("""COMPUTED_VALUE"""),1.44)</f>
        <v>1.44</v>
      </c>
      <c r="K1335" s="18">
        <f>IFERROR(__xludf.DUMMYFUNCTION("""COMPUTED_VALUE"""),1.8)</f>
        <v>1.8</v>
      </c>
      <c r="L1335" s="18">
        <f>IFERROR(__xludf.DUMMYFUNCTION("""COMPUTED_VALUE"""),2.88)</f>
        <v>2.88</v>
      </c>
    </row>
    <row r="1336">
      <c r="A1336" s="13" t="str">
        <f>IFERROR(__xludf.DUMMYFUNCTION("""COMPUTED_VALUE"""),"товари")</f>
        <v>товари</v>
      </c>
      <c r="B1336" s="13" t="str">
        <f>IFERROR(__xludf.DUMMYFUNCTION("""COMPUTED_VALUE"""),"промислове обладнання та верстати")</f>
        <v>промислове обладнання та верстати</v>
      </c>
      <c r="C1336" s="15" t="str">
        <f>IFERROR(__xludf.DUMMYFUNCTION("""COMPUTED_VALUE"""),"технологічне обладнання")</f>
        <v>технологічне обладнання</v>
      </c>
      <c r="D1336" s="15" t="str">
        <f>IFERROR(__xludf.DUMMYFUNCTION("""COMPUTED_VALUE"""),"сепаратори")</f>
        <v>сепаратори</v>
      </c>
      <c r="E1336" s="15" t="str">
        <f>IFERROR(__xludf.DUMMYFUNCTION("""COMPUTED_VALUE"""),"зерноочисні сепаратори")</f>
        <v>зерноочисні сепаратори</v>
      </c>
      <c r="F1336" s="17">
        <f>IFERROR(__xludf.DUMMYFUNCTION("""COMPUTED_VALUE"""),4.0)</f>
        <v>4</v>
      </c>
      <c r="G1336" s="17">
        <f>IFERROR(__xludf.DUMMYFUNCTION("""COMPUTED_VALUE"""),142303.0)</f>
        <v>142303</v>
      </c>
      <c r="H1336" s="17" t="str">
        <f>IFERROR(__xludf.DUMMYFUNCTION("""COMPUTED_VALUE"""),"зерноочисні сепаратори")</f>
        <v>зерноочисні сепаратори</v>
      </c>
      <c r="I1336" s="18">
        <f>IFERROR(__xludf.DUMMYFUNCTION("""COMPUTED_VALUE"""),2.7)</f>
        <v>2.7</v>
      </c>
      <c r="J1336" s="18">
        <f>IFERROR(__xludf.DUMMYFUNCTION("""COMPUTED_VALUE"""),5.4)</f>
        <v>5.4</v>
      </c>
      <c r="K1336" s="18">
        <f>IFERROR(__xludf.DUMMYFUNCTION("""COMPUTED_VALUE"""),6.75)</f>
        <v>6.75</v>
      </c>
      <c r="L1336" s="18">
        <f>IFERROR(__xludf.DUMMYFUNCTION("""COMPUTED_VALUE"""),10.8)</f>
        <v>10.8</v>
      </c>
    </row>
    <row r="1337">
      <c r="A1337" s="13" t="str">
        <f>IFERROR(__xludf.DUMMYFUNCTION("""COMPUTED_VALUE"""),"товари")</f>
        <v>товари</v>
      </c>
      <c r="B1337" s="13" t="str">
        <f>IFERROR(__xludf.DUMMYFUNCTION("""COMPUTED_VALUE"""),"промислове обладнання та верстати")</f>
        <v>промислове обладнання та верстати</v>
      </c>
      <c r="C1337" s="15" t="str">
        <f>IFERROR(__xludf.DUMMYFUNCTION("""COMPUTED_VALUE"""),"хімічне обладнання")</f>
        <v>хімічне обладнання</v>
      </c>
      <c r="D1337" s="15" t="str">
        <f>IFERROR(__xludf.DUMMYFUNCTION("""COMPUTED_VALUE"""),"змішувальне обладнання")</f>
        <v>змішувальне обладнання</v>
      </c>
      <c r="E1337" s="15" t="str">
        <f>IFERROR(__xludf.DUMMYFUNCTION("""COMPUTED_VALUE"""),"змішувальне обладнання")</f>
        <v>змішувальне обладнання</v>
      </c>
      <c r="F1337" s="17">
        <f>IFERROR(__xludf.DUMMYFUNCTION("""COMPUTED_VALUE"""),3.0)</f>
        <v>3</v>
      </c>
      <c r="G1337" s="17">
        <f>IFERROR(__xludf.DUMMYFUNCTION("""COMPUTED_VALUE"""),141607.0)</f>
        <v>141607</v>
      </c>
      <c r="H1337" s="17" t="str">
        <f>IFERROR(__xludf.DUMMYFUNCTION("""COMPUTED_VALUE"""),"змішувальне обладнання")</f>
        <v>змішувальне обладнання</v>
      </c>
      <c r="I1337" s="18">
        <f>IFERROR(__xludf.DUMMYFUNCTION("""COMPUTED_VALUE"""),1.35)</f>
        <v>1.35</v>
      </c>
      <c r="J1337" s="18">
        <f>IFERROR(__xludf.DUMMYFUNCTION("""COMPUTED_VALUE"""),2.7)</f>
        <v>2.7</v>
      </c>
      <c r="K1337" s="18">
        <f>IFERROR(__xludf.DUMMYFUNCTION("""COMPUTED_VALUE"""),3.38)</f>
        <v>3.38</v>
      </c>
      <c r="L1337" s="18">
        <f>IFERROR(__xludf.DUMMYFUNCTION("""COMPUTED_VALUE"""),5.4)</f>
        <v>5.4</v>
      </c>
    </row>
    <row r="1338">
      <c r="A1338" s="13" t="str">
        <f>IFERROR(__xludf.DUMMYFUNCTION("""COMPUTED_VALUE"""),"товари")</f>
        <v>товари</v>
      </c>
      <c r="B1338" s="13" t="str">
        <f>IFERROR(__xludf.DUMMYFUNCTION("""COMPUTED_VALUE"""),"промислове обладнання та верстати")</f>
        <v>промислове обладнання та верстати</v>
      </c>
      <c r="C1338" s="15" t="str">
        <f>IFERROR(__xludf.DUMMYFUNCTION("""COMPUTED_VALUE"""),"виробниче обладнання")</f>
        <v>виробниче обладнання</v>
      </c>
      <c r="D1338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38" s="15" t="str">
        <f>IFERROR(__xludf.DUMMYFUNCTION("""COMPUTED_VALUE"""),"кабельні домкрати")</f>
        <v>кабельні домкрати</v>
      </c>
      <c r="F1338" s="17">
        <f>IFERROR(__xludf.DUMMYFUNCTION("""COMPUTED_VALUE"""),4.0)</f>
        <v>4</v>
      </c>
      <c r="G1338" s="17">
        <f>IFERROR(__xludf.DUMMYFUNCTION("""COMPUTED_VALUE"""),1.4190434E7)</f>
        <v>14190434</v>
      </c>
      <c r="H1338" s="17" t="str">
        <f>IFERROR(__xludf.DUMMYFUNCTION("""COMPUTED_VALUE"""),"кабельні домкрати")</f>
        <v>кабельні домкрати</v>
      </c>
      <c r="I1338" s="18">
        <f>IFERROR(__xludf.DUMMYFUNCTION("""COMPUTED_VALUE"""),1.04)</f>
        <v>1.04</v>
      </c>
      <c r="J1338" s="18">
        <f>IFERROR(__xludf.DUMMYFUNCTION("""COMPUTED_VALUE"""),2.08)</f>
        <v>2.08</v>
      </c>
      <c r="K1338" s="18">
        <f>IFERROR(__xludf.DUMMYFUNCTION("""COMPUTED_VALUE"""),2.59)</f>
        <v>2.59</v>
      </c>
      <c r="L1338" s="18">
        <f>IFERROR(__xludf.DUMMYFUNCTION("""COMPUTED_VALUE"""),4.15)</f>
        <v>4.15</v>
      </c>
    </row>
    <row r="1339">
      <c r="A1339" s="13" t="str">
        <f>IFERROR(__xludf.DUMMYFUNCTION("""COMPUTED_VALUE"""),"товари")</f>
        <v>товари</v>
      </c>
      <c r="B1339" s="13" t="str">
        <f>IFERROR(__xludf.DUMMYFUNCTION("""COMPUTED_VALUE"""),"промислове обладнання та верстати")</f>
        <v>промислове обладнання та верстати</v>
      </c>
      <c r="C1339" s="15" t="str">
        <f>IFERROR(__xludf.DUMMYFUNCTION("""COMPUTED_VALUE"""),"виробниче обладнання")</f>
        <v>виробниче обладнання</v>
      </c>
      <c r="D1339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39" s="15" t="str">
        <f>IFERROR(__xludf.DUMMYFUNCTION("""COMPUTED_VALUE"""),"кабельні панчохи")</f>
        <v>кабельні панчохи</v>
      </c>
      <c r="F1339" s="17">
        <f>IFERROR(__xludf.DUMMYFUNCTION("""COMPUTED_VALUE"""),4.0)</f>
        <v>4</v>
      </c>
      <c r="G1339" s="17">
        <f>IFERROR(__xludf.DUMMYFUNCTION("""COMPUTED_VALUE"""),1.4190437E7)</f>
        <v>14190437</v>
      </c>
      <c r="H1339" s="17" t="str">
        <f>IFERROR(__xludf.DUMMYFUNCTION("""COMPUTED_VALUE"""),"кабельні панчохи")</f>
        <v>кабельні панчохи</v>
      </c>
      <c r="I1339" s="18">
        <f>IFERROR(__xludf.DUMMYFUNCTION("""COMPUTED_VALUE"""),1.04)</f>
        <v>1.04</v>
      </c>
      <c r="J1339" s="18">
        <f>IFERROR(__xludf.DUMMYFUNCTION("""COMPUTED_VALUE"""),2.08)</f>
        <v>2.08</v>
      </c>
      <c r="K1339" s="18">
        <f>IFERROR(__xludf.DUMMYFUNCTION("""COMPUTED_VALUE"""),2.59)</f>
        <v>2.59</v>
      </c>
      <c r="L1339" s="18">
        <f>IFERROR(__xludf.DUMMYFUNCTION("""COMPUTED_VALUE"""),4.15)</f>
        <v>4.15</v>
      </c>
    </row>
    <row r="1340">
      <c r="A1340" s="13" t="str">
        <f>IFERROR(__xludf.DUMMYFUNCTION("""COMPUTED_VALUE"""),"товари")</f>
        <v>товари</v>
      </c>
      <c r="B1340" s="13" t="str">
        <f>IFERROR(__xludf.DUMMYFUNCTION("""COMPUTED_VALUE"""),"промислове обладнання та верстати")</f>
        <v>промислове обладнання та верстати</v>
      </c>
      <c r="C1340" s="15" t="str">
        <f>IFERROR(__xludf.DUMMYFUNCTION("""COMPUTED_VALUE"""),"технологічне обладнання")</f>
        <v>технологічне обладнання</v>
      </c>
      <c r="D1340" s="15" t="str">
        <f>IFERROR(__xludf.DUMMYFUNCTION("""COMPUTED_VALUE"""),"кантувачі")</f>
        <v>кантувачі</v>
      </c>
      <c r="E1340" s="15" t="str">
        <f>IFERROR(__xludf.DUMMYFUNCTION("""COMPUTED_VALUE"""),"кантувачі")</f>
        <v>кантувачі</v>
      </c>
      <c r="F1340" s="17">
        <f>IFERROR(__xludf.DUMMYFUNCTION("""COMPUTED_VALUE"""),3.0)</f>
        <v>3</v>
      </c>
      <c r="G1340" s="17">
        <f>IFERROR(__xludf.DUMMYFUNCTION("""COMPUTED_VALUE"""),4316.0)</f>
        <v>4316</v>
      </c>
      <c r="H1340" s="17" t="str">
        <f>IFERROR(__xludf.DUMMYFUNCTION("""COMPUTED_VALUE"""),"кантувачі")</f>
        <v>кантувачі</v>
      </c>
      <c r="I1340" s="18">
        <f>IFERROR(__xludf.DUMMYFUNCTION("""COMPUTED_VALUE"""),0.76)</f>
        <v>0.76</v>
      </c>
      <c r="J1340" s="18">
        <f>IFERROR(__xludf.DUMMYFUNCTION("""COMPUTED_VALUE"""),1.53)</f>
        <v>1.53</v>
      </c>
      <c r="K1340" s="18">
        <f>IFERROR(__xludf.DUMMYFUNCTION("""COMPUTED_VALUE"""),1.91)</f>
        <v>1.91</v>
      </c>
      <c r="L1340" s="18">
        <f>IFERROR(__xludf.DUMMYFUNCTION("""COMPUTED_VALUE"""),3.05)</f>
        <v>3.05</v>
      </c>
    </row>
    <row r="1341">
      <c r="A1341" s="13" t="str">
        <f>IFERROR(__xludf.DUMMYFUNCTION("""COMPUTED_VALUE"""),"товари")</f>
        <v>товари</v>
      </c>
      <c r="B1341" s="13" t="str">
        <f>IFERROR(__xludf.DUMMYFUNCTION("""COMPUTED_VALUE"""),"промислове обладнання та верстати")</f>
        <v>промислове обладнання та верстати</v>
      </c>
      <c r="C1341" s="15" t="str">
        <f>IFERROR(__xludf.DUMMYFUNCTION("""COMPUTED_VALUE"""),"альтернативні джерела енергії")</f>
        <v>альтернативні джерела енергії</v>
      </c>
      <c r="D1341" s="15" t="str">
        <f>IFERROR(__xludf.DUMMYFUNCTION("""COMPUTED_VALUE"""),"біогазові установки")</f>
        <v>біогазові установки</v>
      </c>
      <c r="E1341" s="15" t="str">
        <f>IFERROR(__xludf.DUMMYFUNCTION("""COMPUTED_VALUE"""),"когенераційні установки")</f>
        <v>когенераційні установки</v>
      </c>
      <c r="F1341" s="17">
        <f>IFERROR(__xludf.DUMMYFUNCTION("""COMPUTED_VALUE"""),4.0)</f>
        <v>4</v>
      </c>
      <c r="G1341" s="17">
        <f>IFERROR(__xludf.DUMMYFUNCTION("""COMPUTED_VALUE"""),1.0100103E7)</f>
        <v>10100103</v>
      </c>
      <c r="H1341" s="17" t="str">
        <f>IFERROR(__xludf.DUMMYFUNCTION("""COMPUTED_VALUE"""),"когенераційні установки")</f>
        <v>когенераційні установки</v>
      </c>
      <c r="I1341" s="18">
        <f>IFERROR(__xludf.DUMMYFUNCTION("""COMPUTED_VALUE"""),0.86)</f>
        <v>0.86</v>
      </c>
      <c r="J1341" s="18">
        <f>IFERROR(__xludf.DUMMYFUNCTION("""COMPUTED_VALUE"""),1.71)</f>
        <v>1.71</v>
      </c>
      <c r="K1341" s="18">
        <f>IFERROR(__xludf.DUMMYFUNCTION("""COMPUTED_VALUE"""),2.14)</f>
        <v>2.14</v>
      </c>
      <c r="L1341" s="18">
        <f>IFERROR(__xludf.DUMMYFUNCTION("""COMPUTED_VALUE"""),3.43)</f>
        <v>3.43</v>
      </c>
    </row>
    <row r="1342">
      <c r="A1342" s="13" t="str">
        <f>IFERROR(__xludf.DUMMYFUNCTION("""COMPUTED_VALUE"""),"товари")</f>
        <v>товари</v>
      </c>
      <c r="B1342" s="13" t="str">
        <f>IFERROR(__xludf.DUMMYFUNCTION("""COMPUTED_VALUE"""),"промислове обладнання та верстати")</f>
        <v>промислове обладнання та верстати</v>
      </c>
      <c r="C1342" s="15" t="str">
        <f>IFERROR(__xludf.DUMMYFUNCTION("""COMPUTED_VALUE"""),"кранове обладнання")</f>
        <v>кранове обладнання</v>
      </c>
      <c r="D1342" s="15" t="str">
        <f>IFERROR(__xludf.DUMMYFUNCTION("""COMPUTED_VALUE"""),"козлові крани")</f>
        <v>козлові крани</v>
      </c>
      <c r="E1342" s="15" t="str">
        <f>IFERROR(__xludf.DUMMYFUNCTION("""COMPUTED_VALUE"""),"козлові крани")</f>
        <v>козлові крани</v>
      </c>
      <c r="F1342" s="17">
        <f>IFERROR(__xludf.DUMMYFUNCTION("""COMPUTED_VALUE"""),3.0)</f>
        <v>3</v>
      </c>
      <c r="G1342" s="17">
        <f>IFERROR(__xludf.DUMMYFUNCTION("""COMPUTED_VALUE"""),1.3040208E7)</f>
        <v>13040208</v>
      </c>
      <c r="H1342" s="17" t="str">
        <f>IFERROR(__xludf.DUMMYFUNCTION("""COMPUTED_VALUE"""),"козлові крани")</f>
        <v>козлові крани</v>
      </c>
      <c r="I1342" s="18">
        <f>IFERROR(__xludf.DUMMYFUNCTION("""COMPUTED_VALUE"""),1.13)</f>
        <v>1.13</v>
      </c>
      <c r="J1342" s="18">
        <f>IFERROR(__xludf.DUMMYFUNCTION("""COMPUTED_VALUE"""),2.25)</f>
        <v>2.25</v>
      </c>
      <c r="K1342" s="18">
        <f>IFERROR(__xludf.DUMMYFUNCTION("""COMPUTED_VALUE"""),2.81)</f>
        <v>2.81</v>
      </c>
      <c r="L1342" s="18">
        <f>IFERROR(__xludf.DUMMYFUNCTION("""COMPUTED_VALUE"""),4.5)</f>
        <v>4.5</v>
      </c>
    </row>
    <row r="1343">
      <c r="A1343" s="13" t="str">
        <f>IFERROR(__xludf.DUMMYFUNCTION("""COMPUTED_VALUE"""),"товари")</f>
        <v>товари</v>
      </c>
      <c r="B1343" s="13" t="str">
        <f>IFERROR(__xludf.DUMMYFUNCTION("""COMPUTED_VALUE"""),"промислове обладнання та верстати")</f>
        <v>промислове обладнання та верстати</v>
      </c>
      <c r="C1343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3" s="15" t="str">
        <f>IFERROR(__xludf.DUMMYFUNCTION("""COMPUTED_VALUE"""),"комплектуючі для гальванічного обладнання")</f>
        <v>комплектуючі для гальванічного обладнання</v>
      </c>
      <c r="E1343" s="15" t="str">
        <f>IFERROR(__xludf.DUMMYFUNCTION("""COMPUTED_VALUE"""),"комплектуючі для гальванічного обладнання")</f>
        <v>комплектуючі для гальванічного обладнання</v>
      </c>
      <c r="F1343" s="17">
        <f>IFERROR(__xludf.DUMMYFUNCTION("""COMPUTED_VALUE"""),3.0)</f>
        <v>3</v>
      </c>
      <c r="G1343" s="17">
        <f>IFERROR(__xludf.DUMMYFUNCTION("""COMPUTED_VALUE"""),140113.0)</f>
        <v>140113</v>
      </c>
      <c r="H1343" s="17" t="str">
        <f>IFERROR(__xludf.DUMMYFUNCTION("""COMPUTED_VALUE"""),"комплектуючі для гальванічного обладнання")</f>
        <v>комплектуючі для гальванічного обладнання</v>
      </c>
      <c r="I1343" s="18">
        <f>IFERROR(__xludf.DUMMYFUNCTION("""COMPUTED_VALUE"""),1.04)</f>
        <v>1.04</v>
      </c>
      <c r="J1343" s="18">
        <f>IFERROR(__xludf.DUMMYFUNCTION("""COMPUTED_VALUE"""),2.08)</f>
        <v>2.08</v>
      </c>
      <c r="K1343" s="18">
        <f>IFERROR(__xludf.DUMMYFUNCTION("""COMPUTED_VALUE"""),2.59)</f>
        <v>2.59</v>
      </c>
      <c r="L1343" s="18">
        <f>IFERROR(__xludf.DUMMYFUNCTION("""COMPUTED_VALUE"""),4.15)</f>
        <v>4.15</v>
      </c>
    </row>
    <row r="1344">
      <c r="A1344" s="13" t="str">
        <f>IFERROR(__xludf.DUMMYFUNCTION("""COMPUTED_VALUE"""),"товари")</f>
        <v>товари</v>
      </c>
      <c r="B1344" s="13" t="str">
        <f>IFERROR(__xludf.DUMMYFUNCTION("""COMPUTED_VALUE"""),"промислове обладнання та верстати")</f>
        <v>промислове обладнання та верстати</v>
      </c>
      <c r="C1344" s="15" t="str">
        <f>IFERROR(__xludf.DUMMYFUNCTION("""COMPUTED_VALUE"""),"гідрообладнання")</f>
        <v>гідрообладнання</v>
      </c>
      <c r="D1344" s="15" t="str">
        <f>IFERROR(__xludf.DUMMYFUNCTION("""COMPUTED_VALUE"""),"комплектуючі для гідрообладнання")</f>
        <v>комплектуючі для гідрообладнання</v>
      </c>
      <c r="E1344" s="15" t="str">
        <f>IFERROR(__xludf.DUMMYFUNCTION("""COMPUTED_VALUE"""),"комплектуючі для гідрообладнання")</f>
        <v>комплектуючі для гідрообладнання</v>
      </c>
      <c r="F1344" s="17">
        <f>IFERROR(__xludf.DUMMYFUNCTION("""COMPUTED_VALUE"""),3.0)</f>
        <v>3</v>
      </c>
      <c r="G1344" s="17">
        <f>IFERROR(__xludf.DUMMYFUNCTION("""COMPUTED_VALUE"""),140105.0)</f>
        <v>140105</v>
      </c>
      <c r="H1344" s="17" t="str">
        <f>IFERROR(__xludf.DUMMYFUNCTION("""COMPUTED_VALUE"""),"комплектуючі для гідрообладнання")</f>
        <v>комплектуючі для гідрообладнання</v>
      </c>
      <c r="I1344" s="18">
        <f>IFERROR(__xludf.DUMMYFUNCTION("""COMPUTED_VALUE"""),1.94)</f>
        <v>1.94</v>
      </c>
      <c r="J1344" s="18">
        <f>IFERROR(__xludf.DUMMYFUNCTION("""COMPUTED_VALUE"""),3.88)</f>
        <v>3.88</v>
      </c>
      <c r="K1344" s="18">
        <f>IFERROR(__xludf.DUMMYFUNCTION("""COMPUTED_VALUE"""),4.84)</f>
        <v>4.84</v>
      </c>
      <c r="L1344" s="18">
        <f>IFERROR(__xludf.DUMMYFUNCTION("""COMPUTED_VALUE"""),7.75)</f>
        <v>7.75</v>
      </c>
    </row>
    <row r="1345">
      <c r="A1345" s="13" t="str">
        <f>IFERROR(__xludf.DUMMYFUNCTION("""COMPUTED_VALUE"""),"товари")</f>
        <v>товари</v>
      </c>
      <c r="B1345" s="13" t="str">
        <f>IFERROR(__xludf.DUMMYFUNCTION("""COMPUTED_VALUE"""),"промислове обладнання та верстати")</f>
        <v>промислове обладнання та верстати</v>
      </c>
      <c r="C1345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5" s="15" t="str">
        <f>IFERROR(__xludf.DUMMYFUNCTION("""COMPUTED_VALUE"""),"комплектуючі для гірничого обладнання")</f>
        <v>комплектуючі для гірничого обладнання</v>
      </c>
      <c r="E1345" s="15" t="str">
        <f>IFERROR(__xludf.DUMMYFUNCTION("""COMPUTED_VALUE"""),"комплектуючі для гірничого обладнання")</f>
        <v>комплектуючі для гірничого обладнання</v>
      </c>
      <c r="F1345" s="17">
        <f>IFERROR(__xludf.DUMMYFUNCTION("""COMPUTED_VALUE"""),3.0)</f>
        <v>3</v>
      </c>
      <c r="G1345" s="17">
        <f>IFERROR(__xludf.DUMMYFUNCTION("""COMPUTED_VALUE"""),432420.0)</f>
        <v>432420</v>
      </c>
      <c r="H1345" s="17" t="str">
        <f>IFERROR(__xludf.DUMMYFUNCTION("""COMPUTED_VALUE"""),"комплектуючі для гірничого обладнання")</f>
        <v>комплектуючі для гірничого обладнання</v>
      </c>
      <c r="I1345" s="18">
        <f>IFERROR(__xludf.DUMMYFUNCTION("""COMPUTED_VALUE"""),0.9)</f>
        <v>0.9</v>
      </c>
      <c r="J1345" s="18">
        <f>IFERROR(__xludf.DUMMYFUNCTION("""COMPUTED_VALUE"""),1.8)</f>
        <v>1.8</v>
      </c>
      <c r="K1345" s="18">
        <f>IFERROR(__xludf.DUMMYFUNCTION("""COMPUTED_VALUE"""),2.25)</f>
        <v>2.25</v>
      </c>
      <c r="L1345" s="18">
        <f>IFERROR(__xludf.DUMMYFUNCTION("""COMPUTED_VALUE"""),3.6)</f>
        <v>3.6</v>
      </c>
    </row>
    <row r="1346">
      <c r="A1346" s="13" t="str">
        <f>IFERROR(__xludf.DUMMYFUNCTION("""COMPUTED_VALUE"""),"товари")</f>
        <v>товари</v>
      </c>
      <c r="B1346" s="13" t="str">
        <f>IFERROR(__xludf.DUMMYFUNCTION("""COMPUTED_VALUE"""),"промислове обладнання та верстати")</f>
        <v>промислове обладнання та верстати</v>
      </c>
      <c r="C1346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6" s="15" t="str">
        <f>IFERROR(__xludf.DUMMYFUNCTION("""COMPUTED_VALUE"""),"комплектуючі для енергообладнання")</f>
        <v>комплектуючі для енергообладнання</v>
      </c>
      <c r="E1346" s="15" t="str">
        <f>IFERROR(__xludf.DUMMYFUNCTION("""COMPUTED_VALUE"""),"комплектуючі для енергообладнання")</f>
        <v>комплектуючі для енергообладнання</v>
      </c>
      <c r="F1346" s="17">
        <f>IFERROR(__xludf.DUMMYFUNCTION("""COMPUTED_VALUE"""),3.0)</f>
        <v>3</v>
      </c>
      <c r="G1346" s="17">
        <f>IFERROR(__xludf.DUMMYFUNCTION("""COMPUTED_VALUE"""),140110.0)</f>
        <v>140110</v>
      </c>
      <c r="H1346" s="17" t="str">
        <f>IFERROR(__xludf.DUMMYFUNCTION("""COMPUTED_VALUE"""),"комплектуючі для енергообладнання")</f>
        <v>комплектуючі для енергообладнання</v>
      </c>
      <c r="I1346" s="18">
        <f>IFERROR(__xludf.DUMMYFUNCTION("""COMPUTED_VALUE"""),0.63)</f>
        <v>0.63</v>
      </c>
      <c r="J1346" s="18">
        <f>IFERROR(__xludf.DUMMYFUNCTION("""COMPUTED_VALUE"""),1.26)</f>
        <v>1.26</v>
      </c>
      <c r="K1346" s="18">
        <f>IFERROR(__xludf.DUMMYFUNCTION("""COMPUTED_VALUE"""),1.58)</f>
        <v>1.58</v>
      </c>
      <c r="L1346" s="18">
        <f>IFERROR(__xludf.DUMMYFUNCTION("""COMPUTED_VALUE"""),2.53)</f>
        <v>2.53</v>
      </c>
    </row>
    <row r="1347">
      <c r="A1347" s="13" t="str">
        <f>IFERROR(__xludf.DUMMYFUNCTION("""COMPUTED_VALUE"""),"товари")</f>
        <v>товари</v>
      </c>
      <c r="B1347" s="13" t="str">
        <f>IFERROR(__xludf.DUMMYFUNCTION("""COMPUTED_VALUE"""),"промислове обладнання та верстати")</f>
        <v>промислове обладнання та верстати</v>
      </c>
      <c r="C1347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7" s="15" t="str">
        <f>IFERROR(__xludf.DUMMYFUNCTION("""COMPUTED_VALUE"""),"комплектуючі для ковальсько-пресового обладнання")</f>
        <v>комплектуючі для ковальсько-пресового обладнання</v>
      </c>
      <c r="E1347" s="15" t="str">
        <f>IFERROR(__xludf.DUMMYFUNCTION("""COMPUTED_VALUE"""),"комплектуючі для ковальсько-пресового обладнання")</f>
        <v>комплектуючі для ковальсько-пресового обладнання</v>
      </c>
      <c r="F1347" s="17">
        <f>IFERROR(__xludf.DUMMYFUNCTION("""COMPUTED_VALUE"""),3.0)</f>
        <v>3</v>
      </c>
      <c r="G1347" s="17">
        <f>IFERROR(__xludf.DUMMYFUNCTION("""COMPUTED_VALUE"""),1.4260606E7)</f>
        <v>14260606</v>
      </c>
      <c r="H1347" s="17" t="str">
        <f>IFERROR(__xludf.DUMMYFUNCTION("""COMPUTED_VALUE"""),"комплектуючі для ковальсько-пресового обладнання")</f>
        <v>комплектуючі для ковальсько-пресового обладнання</v>
      </c>
      <c r="I1347" s="18">
        <f>IFERROR(__xludf.DUMMYFUNCTION("""COMPUTED_VALUE"""),1.08)</f>
        <v>1.08</v>
      </c>
      <c r="J1347" s="18">
        <f>IFERROR(__xludf.DUMMYFUNCTION("""COMPUTED_VALUE"""),2.16)</f>
        <v>2.16</v>
      </c>
      <c r="K1347" s="18">
        <f>IFERROR(__xludf.DUMMYFUNCTION("""COMPUTED_VALUE"""),2.7)</f>
        <v>2.7</v>
      </c>
      <c r="L1347" s="18">
        <f>IFERROR(__xludf.DUMMYFUNCTION("""COMPUTED_VALUE"""),4.33)</f>
        <v>4.33</v>
      </c>
    </row>
    <row r="1348">
      <c r="A1348" s="13" t="str">
        <f>IFERROR(__xludf.DUMMYFUNCTION("""COMPUTED_VALUE"""),"товари")</f>
        <v>товари</v>
      </c>
      <c r="B1348" s="13" t="str">
        <f>IFERROR(__xludf.DUMMYFUNCTION("""COMPUTED_VALUE"""),"промислове обладнання та верстати")</f>
        <v>промислове обладнання та верстати</v>
      </c>
      <c r="C134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8" s="15" t="str">
        <f>IFERROR(__xludf.DUMMYFUNCTION("""COMPUTED_VALUE"""),"комплектуючі для компресорів")</f>
        <v>комплектуючі для компресорів</v>
      </c>
      <c r="E1348" s="15" t="str">
        <f>IFERROR(__xludf.DUMMYFUNCTION("""COMPUTED_VALUE"""),"комплектуючі для компресорів")</f>
        <v>комплектуючі для компресорів</v>
      </c>
      <c r="F1348" s="17">
        <f>IFERROR(__xludf.DUMMYFUNCTION("""COMPUTED_VALUE"""),3.0)</f>
        <v>3</v>
      </c>
      <c r="G1348" s="17">
        <f>IFERROR(__xludf.DUMMYFUNCTION("""COMPUTED_VALUE"""),140109.0)</f>
        <v>140109</v>
      </c>
      <c r="H1348" s="17" t="str">
        <f>IFERROR(__xludf.DUMMYFUNCTION("""COMPUTED_VALUE"""),"комплектуючі для компресорів")</f>
        <v>комплектуючі для компресорів</v>
      </c>
      <c r="I1348" s="18">
        <f>IFERROR(__xludf.DUMMYFUNCTION("""COMPUTED_VALUE"""),1.44)</f>
        <v>1.44</v>
      </c>
      <c r="J1348" s="18">
        <f>IFERROR(__xludf.DUMMYFUNCTION("""COMPUTED_VALUE"""),2.88)</f>
        <v>2.88</v>
      </c>
      <c r="K1348" s="18">
        <f>IFERROR(__xludf.DUMMYFUNCTION("""COMPUTED_VALUE"""),3.59)</f>
        <v>3.59</v>
      </c>
      <c r="L1348" s="18">
        <f>IFERROR(__xludf.DUMMYFUNCTION("""COMPUTED_VALUE"""),5.75)</f>
        <v>5.75</v>
      </c>
    </row>
    <row r="1349">
      <c r="A1349" s="13" t="str">
        <f>IFERROR(__xludf.DUMMYFUNCTION("""COMPUTED_VALUE"""),"товари")</f>
        <v>товари</v>
      </c>
      <c r="B1349" s="13" t="str">
        <f>IFERROR(__xludf.DUMMYFUNCTION("""COMPUTED_VALUE"""),"промислове обладнання та верстати")</f>
        <v>промислове обладнання та верстати</v>
      </c>
      <c r="C1349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9" s="15" t="str">
        <f>IFERROR(__xludf.DUMMYFUNCTION("""COMPUTED_VALUE"""),"комплектуючі для конвеєрів і транспортерів")</f>
        <v>комплектуючі для конвеєрів і транспортерів</v>
      </c>
      <c r="E1349" s="15" t="str">
        <f>IFERROR(__xludf.DUMMYFUNCTION("""COMPUTED_VALUE"""),"комплектуючі для конвеєрів і транспортерів")</f>
        <v>комплектуючі для конвеєрів і транспортерів</v>
      </c>
      <c r="F1349" s="17">
        <f>IFERROR(__xludf.DUMMYFUNCTION("""COMPUTED_VALUE"""),3.0)</f>
        <v>3</v>
      </c>
      <c r="G1349" s="17">
        <f>IFERROR(__xludf.DUMMYFUNCTION("""COMPUTED_VALUE"""),140106.0)</f>
        <v>140106</v>
      </c>
      <c r="H1349" s="17" t="str">
        <f>IFERROR(__xludf.DUMMYFUNCTION("""COMPUTED_VALUE"""),"комплектуючі для конвеєрів і транспортерів")</f>
        <v>комплектуючі для конвеєрів і транспортерів</v>
      </c>
      <c r="I1349" s="18">
        <f>IFERROR(__xludf.DUMMYFUNCTION("""COMPUTED_VALUE"""),2.7)</f>
        <v>2.7</v>
      </c>
      <c r="J1349" s="18">
        <f>IFERROR(__xludf.DUMMYFUNCTION("""COMPUTED_VALUE"""),5.4)</f>
        <v>5.4</v>
      </c>
      <c r="K1349" s="18">
        <f>IFERROR(__xludf.DUMMYFUNCTION("""COMPUTED_VALUE"""),6.75)</f>
        <v>6.75</v>
      </c>
      <c r="L1349" s="18">
        <f>IFERROR(__xludf.DUMMYFUNCTION("""COMPUTED_VALUE"""),10.8)</f>
        <v>10.8</v>
      </c>
    </row>
    <row r="1350">
      <c r="A1350" s="13" t="str">
        <f>IFERROR(__xludf.DUMMYFUNCTION("""COMPUTED_VALUE"""),"товари")</f>
        <v>товари</v>
      </c>
      <c r="B1350" s="13" t="str">
        <f>IFERROR(__xludf.DUMMYFUNCTION("""COMPUTED_VALUE"""),"промислове обладнання та верстати")</f>
        <v>промислове обладнання та верстати</v>
      </c>
      <c r="C1350" s="15" t="str">
        <f>IFERROR(__xludf.DUMMYFUNCTION("""COMPUTED_VALUE"""),"пакувальне та фасувальне обладнання")</f>
        <v>пакувальне та фасувальне обладнання</v>
      </c>
      <c r="D1350" s="15" t="str">
        <f>IFERROR(__xludf.DUMMYFUNCTION("""COMPUTED_VALUE"""),"комплектуючі для пакувального обладнання")</f>
        <v>комплектуючі для пакувального обладнання</v>
      </c>
      <c r="E1350" s="15" t="str">
        <f>IFERROR(__xludf.DUMMYFUNCTION("""COMPUTED_VALUE"""),"комплектуючі для пакувального обладнання")</f>
        <v>комплектуючі для пакувального обладнання</v>
      </c>
      <c r="F1350" s="17">
        <f>IFERROR(__xludf.DUMMYFUNCTION("""COMPUTED_VALUE"""),3.0)</f>
        <v>3</v>
      </c>
      <c r="G1350" s="17">
        <f>IFERROR(__xludf.DUMMYFUNCTION("""COMPUTED_VALUE"""),432421.0)</f>
        <v>432421</v>
      </c>
      <c r="H1350" s="17" t="str">
        <f>IFERROR(__xludf.DUMMYFUNCTION("""COMPUTED_VALUE"""),"комплектуючі для пакувального обладнання")</f>
        <v>комплектуючі для пакувального обладнання</v>
      </c>
      <c r="I1350" s="18">
        <f>IFERROR(__xludf.DUMMYFUNCTION("""COMPUTED_VALUE"""),0.86)</f>
        <v>0.86</v>
      </c>
      <c r="J1350" s="18">
        <f>IFERROR(__xludf.DUMMYFUNCTION("""COMPUTED_VALUE"""),1.71)</f>
        <v>1.71</v>
      </c>
      <c r="K1350" s="18">
        <f>IFERROR(__xludf.DUMMYFUNCTION("""COMPUTED_VALUE"""),2.14)</f>
        <v>2.14</v>
      </c>
      <c r="L1350" s="18">
        <f>IFERROR(__xludf.DUMMYFUNCTION("""COMPUTED_VALUE"""),3.43)</f>
        <v>3.43</v>
      </c>
    </row>
    <row r="1351">
      <c r="A1351" s="13" t="str">
        <f>IFERROR(__xludf.DUMMYFUNCTION("""COMPUTED_VALUE"""),"товари")</f>
        <v>товари</v>
      </c>
      <c r="B1351" s="13" t="str">
        <f>IFERROR(__xludf.DUMMYFUNCTION("""COMPUTED_VALUE"""),"промислове обладнання та верстати")</f>
        <v>промислове обладнання та верстати</v>
      </c>
      <c r="C1351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1" s="15" t="str">
        <f>IFERROR(__xludf.DUMMYFUNCTION("""COMPUTED_VALUE"""),"комплектуючі для промислових водонагрівачів")</f>
        <v>комплектуючі для промислових водонагрівачів</v>
      </c>
      <c r="E1351" s="15" t="str">
        <f>IFERROR(__xludf.DUMMYFUNCTION("""COMPUTED_VALUE"""),"комплектуючі для промислових водонагрівачів")</f>
        <v>комплектуючі для промислових водонагрівачів</v>
      </c>
      <c r="F1351" s="17">
        <f>IFERROR(__xludf.DUMMYFUNCTION("""COMPUTED_VALUE"""),3.0)</f>
        <v>3</v>
      </c>
      <c r="G1351" s="17">
        <f>IFERROR(__xludf.DUMMYFUNCTION("""COMPUTED_VALUE"""),140114.0)</f>
        <v>140114</v>
      </c>
      <c r="H1351" s="17" t="str">
        <f>IFERROR(__xludf.DUMMYFUNCTION("""COMPUTED_VALUE"""),"комплектуючі для промислових водонагрівачів")</f>
        <v>комплектуючі для промислових водонагрівачів</v>
      </c>
      <c r="I1351" s="18">
        <f>IFERROR(__xludf.DUMMYFUNCTION("""COMPUTED_VALUE"""),1.71)</f>
        <v>1.71</v>
      </c>
      <c r="J1351" s="18">
        <f>IFERROR(__xludf.DUMMYFUNCTION("""COMPUTED_VALUE"""),3.43)</f>
        <v>3.43</v>
      </c>
      <c r="K1351" s="18">
        <f>IFERROR(__xludf.DUMMYFUNCTION("""COMPUTED_VALUE"""),4.28)</f>
        <v>4.28</v>
      </c>
      <c r="L1351" s="18">
        <f>IFERROR(__xludf.DUMMYFUNCTION("""COMPUTED_VALUE"""),6.85)</f>
        <v>6.85</v>
      </c>
    </row>
    <row r="1352">
      <c r="A1352" s="13" t="str">
        <f>IFERROR(__xludf.DUMMYFUNCTION("""COMPUTED_VALUE"""),"товари")</f>
        <v>товари</v>
      </c>
      <c r="B1352" s="13" t="str">
        <f>IFERROR(__xludf.DUMMYFUNCTION("""COMPUTED_VALUE"""),"промислове обладнання та верстати")</f>
        <v>промислове обладнання та верстати</v>
      </c>
      <c r="C1352" s="15" t="str">
        <f>IFERROR(__xludf.DUMMYFUNCTION("""COMPUTED_VALUE"""),"промислове кліматичне обладнання")</f>
        <v>промислове кліматичне обладнання</v>
      </c>
      <c r="D1352" s="15" t="str">
        <f>IFERROR(__xludf.DUMMYFUNCTION("""COMPUTED_VALUE"""),"комплектуючі для промислового кліматичного обладнання")</f>
        <v>комплектуючі для промислового кліматичного обладнання</v>
      </c>
      <c r="E1352" s="15" t="str">
        <f>IFERROR(__xludf.DUMMYFUNCTION("""COMPUTED_VALUE"""),"комплектуючі для промислового кліматичного обладнання")</f>
        <v>комплектуючі для промислового кліматичного обладнання</v>
      </c>
      <c r="F1352" s="17">
        <f>IFERROR(__xludf.DUMMYFUNCTION("""COMPUTED_VALUE"""),3.0)</f>
        <v>3</v>
      </c>
      <c r="G1352" s="17">
        <f>IFERROR(__xludf.DUMMYFUNCTION("""COMPUTED_VALUE"""),140103.0)</f>
        <v>140103</v>
      </c>
      <c r="H1352" s="17" t="str">
        <f>IFERROR(__xludf.DUMMYFUNCTION("""COMPUTED_VALUE"""),"комплектуючі для промислового кліматичного обладнання")</f>
        <v>комплектуючі для промислового кліматичного обладнання</v>
      </c>
      <c r="I1352" s="18">
        <f>IFERROR(__xludf.DUMMYFUNCTION("""COMPUTED_VALUE"""),0.76)</f>
        <v>0.76</v>
      </c>
      <c r="J1352" s="18">
        <f>IFERROR(__xludf.DUMMYFUNCTION("""COMPUTED_VALUE"""),1.53)</f>
        <v>1.53</v>
      </c>
      <c r="K1352" s="18">
        <f>IFERROR(__xludf.DUMMYFUNCTION("""COMPUTED_VALUE"""),1.91)</f>
        <v>1.91</v>
      </c>
      <c r="L1352" s="18">
        <f>IFERROR(__xludf.DUMMYFUNCTION("""COMPUTED_VALUE"""),3.05)</f>
        <v>3.05</v>
      </c>
    </row>
    <row r="1353">
      <c r="A1353" s="13" t="str">
        <f>IFERROR(__xludf.DUMMYFUNCTION("""COMPUTED_VALUE"""),"товари")</f>
        <v>товари</v>
      </c>
      <c r="B1353" s="13" t="str">
        <f>IFERROR(__xludf.DUMMYFUNCTION("""COMPUTED_VALUE"""),"промислове обладнання та верстати")</f>
        <v>промислове обладнання та верстати</v>
      </c>
      <c r="C1353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3" s="15" t="str">
        <f>IFERROR(__xludf.DUMMYFUNCTION("""COMPUTED_VALUE"""),"комплектуючі для промислового прибирального обладнання")</f>
        <v>комплектуючі для промислового прибирального обладнання</v>
      </c>
      <c r="E1353" s="15" t="str">
        <f>IFERROR(__xludf.DUMMYFUNCTION("""COMPUTED_VALUE"""),"комплектуючі для промислового прибирального обладнання")</f>
        <v>комплектуючі для промислового прибирального обладнання</v>
      </c>
      <c r="F1353" s="17">
        <f>IFERROR(__xludf.DUMMYFUNCTION("""COMPUTED_VALUE"""),3.0)</f>
        <v>3</v>
      </c>
      <c r="G1353" s="17">
        <f>IFERROR(__xludf.DUMMYFUNCTION("""COMPUTED_VALUE"""),140118.0)</f>
        <v>140118</v>
      </c>
      <c r="H1353" s="17" t="str">
        <f>IFERROR(__xludf.DUMMYFUNCTION("""COMPUTED_VALUE"""),"комплектуючі для промислового прибирального обладнання")</f>
        <v>комплектуючі для промислового прибирального обладнання</v>
      </c>
      <c r="I1353" s="18">
        <f>IFERROR(__xludf.DUMMYFUNCTION("""COMPUTED_VALUE"""),0.63)</f>
        <v>0.63</v>
      </c>
      <c r="J1353" s="18">
        <f>IFERROR(__xludf.DUMMYFUNCTION("""COMPUTED_VALUE"""),1.26)</f>
        <v>1.26</v>
      </c>
      <c r="K1353" s="18">
        <f>IFERROR(__xludf.DUMMYFUNCTION("""COMPUTED_VALUE"""),1.58)</f>
        <v>1.58</v>
      </c>
      <c r="L1353" s="18">
        <f>IFERROR(__xludf.DUMMYFUNCTION("""COMPUTED_VALUE"""),2.53)</f>
        <v>2.53</v>
      </c>
    </row>
    <row r="1354">
      <c r="A1354" s="13" t="str">
        <f>IFERROR(__xludf.DUMMYFUNCTION("""COMPUTED_VALUE"""),"товари")</f>
        <v>товари</v>
      </c>
      <c r="B1354" s="13" t="str">
        <f>IFERROR(__xludf.DUMMYFUNCTION("""COMPUTED_VALUE"""),"промислове обладнання та верстати")</f>
        <v>промислове обладнання та верстати</v>
      </c>
      <c r="C1354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4" s="15" t="str">
        <f>IFERROR(__xludf.DUMMYFUNCTION("""COMPUTED_VALUE"""),"комплектуючі для складського обладнання")</f>
        <v>комплектуючі для складського обладнання</v>
      </c>
      <c r="E1354" s="15" t="str">
        <f>IFERROR(__xludf.DUMMYFUNCTION("""COMPUTED_VALUE"""),"комплектуючі для складського обладнання")</f>
        <v>комплектуючі для складського обладнання</v>
      </c>
      <c r="F1354" s="17">
        <f>IFERROR(__xludf.DUMMYFUNCTION("""COMPUTED_VALUE"""),3.0)</f>
        <v>3</v>
      </c>
      <c r="G1354" s="17">
        <f>IFERROR(__xludf.DUMMYFUNCTION("""COMPUTED_VALUE"""),140135.0)</f>
        <v>140135</v>
      </c>
      <c r="H1354" s="17" t="str">
        <f>IFERROR(__xludf.DUMMYFUNCTION("""COMPUTED_VALUE"""),"комплектуючі для складського обладнання")</f>
        <v>комплектуючі для складського обладнання</v>
      </c>
      <c r="I1354" s="18">
        <f>IFERROR(__xludf.DUMMYFUNCTION("""COMPUTED_VALUE"""),1.26)</f>
        <v>1.26</v>
      </c>
      <c r="J1354" s="18">
        <f>IFERROR(__xludf.DUMMYFUNCTION("""COMPUTED_VALUE"""),2.53)</f>
        <v>2.53</v>
      </c>
      <c r="K1354" s="18">
        <f>IFERROR(__xludf.DUMMYFUNCTION("""COMPUTED_VALUE"""),3.16)</f>
        <v>3.16</v>
      </c>
      <c r="L1354" s="18">
        <f>IFERROR(__xludf.DUMMYFUNCTION("""COMPUTED_VALUE"""),5.05)</f>
        <v>5.05</v>
      </c>
    </row>
    <row r="1355">
      <c r="A1355" s="13" t="str">
        <f>IFERROR(__xludf.DUMMYFUNCTION("""COMPUTED_VALUE"""),"товари")</f>
        <v>товари</v>
      </c>
      <c r="B1355" s="13" t="str">
        <f>IFERROR(__xludf.DUMMYFUNCTION("""COMPUTED_VALUE"""),"промислове обладнання та верстати")</f>
        <v>промислове обладнання та верстати</v>
      </c>
      <c r="C1355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5" s="15" t="str">
        <f>IFERROR(__xludf.DUMMYFUNCTION("""COMPUTED_VALUE"""),"комплектуючі для текстильного обладнання")</f>
        <v>комплектуючі для текстильного обладнання</v>
      </c>
      <c r="E1355" s="15" t="str">
        <f>IFERROR(__xludf.DUMMYFUNCTION("""COMPUTED_VALUE"""),"комплектуючі для текстильного обладнання")</f>
        <v>комплектуючі для текстильного обладнання</v>
      </c>
      <c r="F1355" s="17">
        <f>IFERROR(__xludf.DUMMYFUNCTION("""COMPUTED_VALUE"""),3.0)</f>
        <v>3</v>
      </c>
      <c r="G1355" s="17">
        <f>IFERROR(__xludf.DUMMYFUNCTION("""COMPUTED_VALUE"""),432411.0)</f>
        <v>432411</v>
      </c>
      <c r="H1355" s="17" t="str">
        <f>IFERROR(__xludf.DUMMYFUNCTION("""COMPUTED_VALUE"""),"комплектуючі для текстильного обладнання")</f>
        <v>комплектуючі для текстильного обладнання</v>
      </c>
      <c r="I1355" s="18">
        <f>IFERROR(__xludf.DUMMYFUNCTION("""COMPUTED_VALUE"""),1.04)</f>
        <v>1.04</v>
      </c>
      <c r="J1355" s="18">
        <f>IFERROR(__xludf.DUMMYFUNCTION("""COMPUTED_VALUE"""),2.08)</f>
        <v>2.08</v>
      </c>
      <c r="K1355" s="18">
        <f>IFERROR(__xludf.DUMMYFUNCTION("""COMPUTED_VALUE"""),2.59)</f>
        <v>2.59</v>
      </c>
      <c r="L1355" s="18">
        <f>IFERROR(__xludf.DUMMYFUNCTION("""COMPUTED_VALUE"""),4.15)</f>
        <v>4.15</v>
      </c>
    </row>
    <row r="1356">
      <c r="A1356" s="13" t="str">
        <f>IFERROR(__xludf.DUMMYFUNCTION("""COMPUTED_VALUE"""),"товари")</f>
        <v>товари</v>
      </c>
      <c r="B1356" s="13" t="str">
        <f>IFERROR(__xludf.DUMMYFUNCTION("""COMPUTED_VALUE"""),"промислове обладнання та верстати")</f>
        <v>промислове обладнання та верстати</v>
      </c>
      <c r="C1356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6" s="15" t="str">
        <f>IFERROR(__xludf.DUMMYFUNCTION("""COMPUTED_VALUE"""),"комплектуючі для целюлозно-паперового обладнання")</f>
        <v>комплектуючі для целюлозно-паперового обладнання</v>
      </c>
      <c r="E1356" s="15" t="str">
        <f>IFERROR(__xludf.DUMMYFUNCTION("""COMPUTED_VALUE"""),"комплектуючі для целюлозно-паперового обладнання")</f>
        <v>комплектуючі для целюлозно-паперового обладнання</v>
      </c>
      <c r="F1356" s="17">
        <f>IFERROR(__xludf.DUMMYFUNCTION("""COMPUTED_VALUE"""),3.0)</f>
        <v>3</v>
      </c>
      <c r="G1356" s="17">
        <f>IFERROR(__xludf.DUMMYFUNCTION("""COMPUTED_VALUE"""),432428.0)</f>
        <v>432428</v>
      </c>
      <c r="H1356" s="17" t="str">
        <f>IFERROR(__xludf.DUMMYFUNCTION("""COMPUTED_VALUE"""),"комплектуючі для целюлозно-паперового обладнання")</f>
        <v>комплектуючі для целюлозно-паперового обладнання</v>
      </c>
      <c r="I1356" s="18">
        <f>IFERROR(__xludf.DUMMYFUNCTION("""COMPUTED_VALUE"""),1.04)</f>
        <v>1.04</v>
      </c>
      <c r="J1356" s="18">
        <f>IFERROR(__xludf.DUMMYFUNCTION("""COMPUTED_VALUE"""),2.08)</f>
        <v>2.08</v>
      </c>
      <c r="K1356" s="18">
        <f>IFERROR(__xludf.DUMMYFUNCTION("""COMPUTED_VALUE"""),2.59)</f>
        <v>2.59</v>
      </c>
      <c r="L1356" s="18">
        <f>IFERROR(__xludf.DUMMYFUNCTION("""COMPUTED_VALUE"""),4.15)</f>
        <v>4.15</v>
      </c>
    </row>
    <row r="1357">
      <c r="A1357" s="13" t="str">
        <f>IFERROR(__xludf.DUMMYFUNCTION("""COMPUTED_VALUE"""),"товари")</f>
        <v>товари</v>
      </c>
      <c r="B1357" s="13" t="str">
        <f>IFERROR(__xludf.DUMMYFUNCTION("""COMPUTED_VALUE"""),"промислове обладнання та верстати")</f>
        <v>промислове обладнання та верстати</v>
      </c>
      <c r="C1357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7" s="15" t="str">
        <f>IFERROR(__xludf.DUMMYFUNCTION("""COMPUTED_VALUE"""),"комплектуючі для штампувального обладнання")</f>
        <v>комплектуючі для штампувального обладнання</v>
      </c>
      <c r="E1357" s="15" t="str">
        <f>IFERROR(__xludf.DUMMYFUNCTION("""COMPUTED_VALUE"""),"комплектуючі для штампувального обладнання")</f>
        <v>комплектуючі для штампувального обладнання</v>
      </c>
      <c r="F1357" s="17">
        <f>IFERROR(__xludf.DUMMYFUNCTION("""COMPUTED_VALUE"""),3.0)</f>
        <v>3</v>
      </c>
      <c r="G1357" s="17">
        <f>IFERROR(__xludf.DUMMYFUNCTION("""COMPUTED_VALUE"""),1.4201513E7)</f>
        <v>14201513</v>
      </c>
      <c r="H1357" s="17" t="str">
        <f>IFERROR(__xludf.DUMMYFUNCTION("""COMPUTED_VALUE"""),"комплектуючі для штампувального обладнання")</f>
        <v>комплектуючі для штампувального обладнання</v>
      </c>
      <c r="I1357" s="18">
        <f>IFERROR(__xludf.DUMMYFUNCTION("""COMPUTED_VALUE"""),0.81)</f>
        <v>0.81</v>
      </c>
      <c r="J1357" s="18">
        <f>IFERROR(__xludf.DUMMYFUNCTION("""COMPUTED_VALUE"""),1.63)</f>
        <v>1.63</v>
      </c>
      <c r="K1357" s="18">
        <f>IFERROR(__xludf.DUMMYFUNCTION("""COMPUTED_VALUE"""),2.03)</f>
        <v>2.03</v>
      </c>
      <c r="L1357" s="18">
        <f>IFERROR(__xludf.DUMMYFUNCTION("""COMPUTED_VALUE"""),3.25)</f>
        <v>3.25</v>
      </c>
    </row>
    <row r="1358">
      <c r="A1358" s="13" t="str">
        <f>IFERROR(__xludf.DUMMYFUNCTION("""COMPUTED_VALUE"""),"товари")</f>
        <v>товари</v>
      </c>
      <c r="B1358" s="13" t="str">
        <f>IFERROR(__xludf.DUMMYFUNCTION("""COMPUTED_VALUE"""),"промислове обладнання та верстати")</f>
        <v>промислове обладнання та верстати</v>
      </c>
      <c r="C135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8" s="15" t="str">
        <f>IFERROR(__xludf.DUMMYFUNCTION("""COMPUTED_VALUE"""),"комплектуючі обладнання для виробництва паперових виробів")</f>
        <v>комплектуючі обладнання для виробництва паперових виробів</v>
      </c>
      <c r="E1358" s="15" t="str">
        <f>IFERROR(__xludf.DUMMYFUNCTION("""COMPUTED_VALUE"""),"комплектуючі обладнання для виробництва паперових виробів")</f>
        <v>комплектуючі обладнання для виробництва паперових виробів</v>
      </c>
      <c r="F1358" s="17">
        <f>IFERROR(__xludf.DUMMYFUNCTION("""COMPUTED_VALUE"""),3.0)</f>
        <v>3</v>
      </c>
      <c r="G1358" s="17">
        <f>IFERROR(__xludf.DUMMYFUNCTION("""COMPUTED_VALUE"""),432429.0)</f>
        <v>432429</v>
      </c>
      <c r="H1358" s="17" t="str">
        <f>IFERROR(__xludf.DUMMYFUNCTION("""COMPUTED_VALUE"""),"комплектуючі обладнання для виробництва паперових виробів")</f>
        <v>комплектуючі обладнання для виробництва паперових виробів</v>
      </c>
      <c r="I1358" s="18">
        <f>IFERROR(__xludf.DUMMYFUNCTION("""COMPUTED_VALUE"""),0.81)</f>
        <v>0.81</v>
      </c>
      <c r="J1358" s="18">
        <f>IFERROR(__xludf.DUMMYFUNCTION("""COMPUTED_VALUE"""),1.63)</f>
        <v>1.63</v>
      </c>
      <c r="K1358" s="18">
        <f>IFERROR(__xludf.DUMMYFUNCTION("""COMPUTED_VALUE"""),2.03)</f>
        <v>2.03</v>
      </c>
      <c r="L1358" s="18">
        <f>IFERROR(__xludf.DUMMYFUNCTION("""COMPUTED_VALUE"""),3.25)</f>
        <v>3.25</v>
      </c>
    </row>
    <row r="1359">
      <c r="A1359" s="13" t="str">
        <f>IFERROR(__xludf.DUMMYFUNCTION("""COMPUTED_VALUE"""),"товари")</f>
        <v>товари</v>
      </c>
      <c r="B1359" s="13" t="str">
        <f>IFERROR(__xludf.DUMMYFUNCTION("""COMPUTED_VALUE"""),"промислове обладнання та верстати")</f>
        <v>промислове обладнання та верстати</v>
      </c>
      <c r="C1359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9" s="15" t="str">
        <f>IFERROR(__xludf.DUMMYFUNCTION("""COMPUTED_VALUE"""),"комплектуючі обладнання для виробництва пластикових виробів")</f>
        <v>комплектуючі обладнання для виробництва пластикових виробів</v>
      </c>
      <c r="E1359" s="15" t="str">
        <f>IFERROR(__xludf.DUMMYFUNCTION("""COMPUTED_VALUE"""),"комплектуючі обладнання для виробництва пластикових виробів")</f>
        <v>комплектуючі обладнання для виробництва пластикових виробів</v>
      </c>
      <c r="F1359" s="17">
        <f>IFERROR(__xludf.DUMMYFUNCTION("""COMPUTED_VALUE"""),3.0)</f>
        <v>3</v>
      </c>
      <c r="G1359" s="17">
        <f>IFERROR(__xludf.DUMMYFUNCTION("""COMPUTED_VALUE"""),432432.0)</f>
        <v>432432</v>
      </c>
      <c r="H1359" s="17" t="str">
        <f>IFERROR(__xludf.DUMMYFUNCTION("""COMPUTED_VALUE"""),"комплектуючі обладнання для виробництва пластикових виробів")</f>
        <v>комплектуючі обладнання для виробництва пластикових виробів</v>
      </c>
      <c r="I1359" s="18">
        <f>IFERROR(__xludf.DUMMYFUNCTION("""COMPUTED_VALUE"""),1.39)</f>
        <v>1.39</v>
      </c>
      <c r="J1359" s="18">
        <f>IFERROR(__xludf.DUMMYFUNCTION("""COMPUTED_VALUE"""),2.79)</f>
        <v>2.79</v>
      </c>
      <c r="K1359" s="18">
        <f>IFERROR(__xludf.DUMMYFUNCTION("""COMPUTED_VALUE"""),3.48)</f>
        <v>3.48</v>
      </c>
      <c r="L1359" s="18">
        <f>IFERROR(__xludf.DUMMYFUNCTION("""COMPUTED_VALUE"""),5.58)</f>
        <v>5.58</v>
      </c>
    </row>
    <row r="1360">
      <c r="A1360" s="13" t="str">
        <f>IFERROR(__xludf.DUMMYFUNCTION("""COMPUTED_VALUE"""),"товари")</f>
        <v>товари</v>
      </c>
      <c r="B1360" s="13" t="str">
        <f>IFERROR(__xludf.DUMMYFUNCTION("""COMPUTED_VALUE"""),"промислове обладнання та верстати")</f>
        <v>промислове обладнання та верстати</v>
      </c>
      <c r="C1360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60" s="15" t="str">
        <f>IFERROR(__xludf.DUMMYFUNCTION("""COMPUTED_VALUE"""),"комплектуючі обладнання для обробки скла")</f>
        <v>комплектуючі обладнання для обробки скла</v>
      </c>
      <c r="E1360" s="15" t="str">
        <f>IFERROR(__xludf.DUMMYFUNCTION("""COMPUTED_VALUE"""),"комплектуючі обладнання для обробки скла")</f>
        <v>комплектуючі обладнання для обробки скла</v>
      </c>
      <c r="F1360" s="17">
        <f>IFERROR(__xludf.DUMMYFUNCTION("""COMPUTED_VALUE"""),3.0)</f>
        <v>3</v>
      </c>
      <c r="G1360" s="17">
        <f>IFERROR(__xludf.DUMMYFUNCTION("""COMPUTED_VALUE"""),432426.0)</f>
        <v>432426</v>
      </c>
      <c r="H1360" s="17" t="str">
        <f>IFERROR(__xludf.DUMMYFUNCTION("""COMPUTED_VALUE"""),"комплектуючі обладнання для обробки скла")</f>
        <v>комплектуючі обладнання для обробки скла</v>
      </c>
      <c r="I1360" s="18">
        <f>IFERROR(__xludf.DUMMYFUNCTION("""COMPUTED_VALUE"""),0.63)</f>
        <v>0.63</v>
      </c>
      <c r="J1360" s="18">
        <f>IFERROR(__xludf.DUMMYFUNCTION("""COMPUTED_VALUE"""),1.26)</f>
        <v>1.26</v>
      </c>
      <c r="K1360" s="18">
        <f>IFERROR(__xludf.DUMMYFUNCTION("""COMPUTED_VALUE"""),1.58)</f>
        <v>1.58</v>
      </c>
      <c r="L1360" s="18">
        <f>IFERROR(__xludf.DUMMYFUNCTION("""COMPUTED_VALUE"""),2.53)</f>
        <v>2.53</v>
      </c>
    </row>
    <row r="1361">
      <c r="A1361" s="13" t="str">
        <f>IFERROR(__xludf.DUMMYFUNCTION("""COMPUTED_VALUE"""),"товари")</f>
        <v>товари</v>
      </c>
      <c r="B1361" s="13" t="str">
        <f>IFERROR(__xludf.DUMMYFUNCTION("""COMPUTED_VALUE"""),"промислове обладнання та верстати")</f>
        <v>промислове обладнання та верстати</v>
      </c>
      <c r="C1361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61" s="15" t="str">
        <f>IFERROR(__xludf.DUMMYFUNCTION("""COMPUTED_VALUE"""),"комплектуючі обладнання для роботи з гумою")</f>
        <v>комплектуючі обладнання для роботи з гумою</v>
      </c>
      <c r="E1361" s="15" t="str">
        <f>IFERROR(__xludf.DUMMYFUNCTION("""COMPUTED_VALUE"""),"комплектуючі обладнання для роботи з гумою")</f>
        <v>комплектуючі обладнання для роботи з гумою</v>
      </c>
      <c r="F1361" s="17">
        <f>IFERROR(__xludf.DUMMYFUNCTION("""COMPUTED_VALUE"""),3.0)</f>
        <v>3</v>
      </c>
      <c r="G1361" s="17">
        <f>IFERROR(__xludf.DUMMYFUNCTION("""COMPUTED_VALUE"""),432433.0)</f>
        <v>432433</v>
      </c>
      <c r="H1361" s="17" t="str">
        <f>IFERROR(__xludf.DUMMYFUNCTION("""COMPUTED_VALUE"""),"комплектуючі обладнання для роботи з гумою")</f>
        <v>комплектуючі обладнання для роботи з гумою</v>
      </c>
      <c r="I1361" s="18">
        <f>IFERROR(__xludf.DUMMYFUNCTION("""COMPUTED_VALUE"""),0.76)</f>
        <v>0.76</v>
      </c>
      <c r="J1361" s="18">
        <f>IFERROR(__xludf.DUMMYFUNCTION("""COMPUTED_VALUE"""),1.53)</f>
        <v>1.53</v>
      </c>
      <c r="K1361" s="18">
        <f>IFERROR(__xludf.DUMMYFUNCTION("""COMPUTED_VALUE"""),1.91)</f>
        <v>1.91</v>
      </c>
      <c r="L1361" s="18">
        <f>IFERROR(__xludf.DUMMYFUNCTION("""COMPUTED_VALUE"""),3.05)</f>
        <v>3.05</v>
      </c>
    </row>
    <row r="1362">
      <c r="A1362" s="13" t="str">
        <f>IFERROR(__xludf.DUMMYFUNCTION("""COMPUTED_VALUE"""),"товари")</f>
        <v>товари</v>
      </c>
      <c r="B1362" s="13" t="str">
        <f>IFERROR(__xludf.DUMMYFUNCTION("""COMPUTED_VALUE"""),"промислове обладнання та верстати")</f>
        <v>промислове обладнання та верстати</v>
      </c>
      <c r="C1362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62" s="15" t="str">
        <f>IFERROR(__xludf.DUMMYFUNCTION("""COMPUTED_VALUE"""),"комплектуючі обладнання для харчової промисловості")</f>
        <v>комплектуючі обладнання для харчової промисловості</v>
      </c>
      <c r="E1362" s="15" t="str">
        <f>IFERROR(__xludf.DUMMYFUNCTION("""COMPUTED_VALUE"""),"комплектуючі обладнання для харчової промисловості")</f>
        <v>комплектуючі обладнання для харчової промисловості</v>
      </c>
      <c r="F1362" s="17">
        <f>IFERROR(__xludf.DUMMYFUNCTION("""COMPUTED_VALUE"""),3.0)</f>
        <v>3</v>
      </c>
      <c r="G1362" s="17">
        <f>IFERROR(__xludf.DUMMYFUNCTION("""COMPUTED_VALUE"""),432417.0)</f>
        <v>432417</v>
      </c>
      <c r="H1362" s="17" t="str">
        <f>IFERROR(__xludf.DUMMYFUNCTION("""COMPUTED_VALUE"""),"комплектуючі обладнання для харчової промисловості")</f>
        <v>комплектуючі обладнання для харчової промисловості</v>
      </c>
      <c r="I1362" s="18">
        <f>IFERROR(__xludf.DUMMYFUNCTION("""COMPUTED_VALUE"""),2.25)</f>
        <v>2.25</v>
      </c>
      <c r="J1362" s="18">
        <f>IFERROR(__xludf.DUMMYFUNCTION("""COMPUTED_VALUE"""),4.5)</f>
        <v>4.5</v>
      </c>
      <c r="K1362" s="18">
        <f>IFERROR(__xludf.DUMMYFUNCTION("""COMPUTED_VALUE"""),5.63)</f>
        <v>5.63</v>
      </c>
      <c r="L1362" s="18">
        <f>IFERROR(__xludf.DUMMYFUNCTION("""COMPUTED_VALUE"""),9.0)</f>
        <v>9</v>
      </c>
    </row>
    <row r="1363">
      <c r="A1363" s="13" t="str">
        <f>IFERROR(__xludf.DUMMYFUNCTION("""COMPUTED_VALUE"""),"товари")</f>
        <v>товари</v>
      </c>
      <c r="B1363" s="13" t="str">
        <f>IFERROR(__xludf.DUMMYFUNCTION("""COMPUTED_VALUE"""),"промислове обладнання та верстати")</f>
        <v>промислове обладнання та верстати</v>
      </c>
      <c r="C1363" s="15" t="str">
        <f>IFERROR(__xludf.DUMMYFUNCTION("""COMPUTED_VALUE"""),"компресори")</f>
        <v>компресори</v>
      </c>
      <c r="D1363" s="15" t="str">
        <f>IFERROR(__xludf.DUMMYFUNCTION("""COMPUTED_VALUE"""),"компресори високого тиску")</f>
        <v>компресори високого тиску</v>
      </c>
      <c r="E1363" s="15" t="str">
        <f>IFERROR(__xludf.DUMMYFUNCTION("""COMPUTED_VALUE"""),"компресори високого тиску")</f>
        <v>компресори високого тиску</v>
      </c>
      <c r="F1363" s="17">
        <f>IFERROR(__xludf.DUMMYFUNCTION("""COMPUTED_VALUE"""),3.0)</f>
        <v>3</v>
      </c>
      <c r="G1363" s="17">
        <f>IFERROR(__xludf.DUMMYFUNCTION("""COMPUTED_VALUE"""),141012.0)</f>
        <v>141012</v>
      </c>
      <c r="H1363" s="17" t="str">
        <f>IFERROR(__xludf.DUMMYFUNCTION("""COMPUTED_VALUE"""),"компресори високого тиску")</f>
        <v>компресори високого тиску</v>
      </c>
      <c r="I1363" s="18">
        <f>IFERROR(__xludf.DUMMYFUNCTION("""COMPUTED_VALUE"""),0.76)</f>
        <v>0.76</v>
      </c>
      <c r="J1363" s="18">
        <f>IFERROR(__xludf.DUMMYFUNCTION("""COMPUTED_VALUE"""),1.53)</f>
        <v>1.53</v>
      </c>
      <c r="K1363" s="18">
        <f>IFERROR(__xludf.DUMMYFUNCTION("""COMPUTED_VALUE"""),1.91)</f>
        <v>1.91</v>
      </c>
      <c r="L1363" s="18">
        <f>IFERROR(__xludf.DUMMYFUNCTION("""COMPUTED_VALUE"""),3.05)</f>
        <v>3.05</v>
      </c>
    </row>
    <row r="1364">
      <c r="A1364" s="13" t="str">
        <f>IFERROR(__xludf.DUMMYFUNCTION("""COMPUTED_VALUE"""),"товари")</f>
        <v>товари</v>
      </c>
      <c r="B1364" s="13" t="str">
        <f>IFERROR(__xludf.DUMMYFUNCTION("""COMPUTED_VALUE"""),"промислове обладнання та верстати")</f>
        <v>промислове обладнання та верстати</v>
      </c>
      <c r="C1364" s="15" t="str">
        <f>IFERROR(__xludf.DUMMYFUNCTION("""COMPUTED_VALUE"""),"компресори")</f>
        <v>компресори</v>
      </c>
      <c r="D1364" s="15" t="str">
        <f>IFERROR(__xludf.DUMMYFUNCTION("""COMPUTED_VALUE"""),"компресорні станції")</f>
        <v>компресорні станції</v>
      </c>
      <c r="E1364" s="15" t="str">
        <f>IFERROR(__xludf.DUMMYFUNCTION("""COMPUTED_VALUE"""),"компресорні станції")</f>
        <v>компресорні станції</v>
      </c>
      <c r="F1364" s="17">
        <f>IFERROR(__xludf.DUMMYFUNCTION("""COMPUTED_VALUE"""),3.0)</f>
        <v>3</v>
      </c>
      <c r="G1364" s="17">
        <f>IFERROR(__xludf.DUMMYFUNCTION("""COMPUTED_VALUE"""),141004.0)</f>
        <v>141004</v>
      </c>
      <c r="H1364" s="17" t="str">
        <f>IFERROR(__xludf.DUMMYFUNCTION("""COMPUTED_VALUE"""),"компресорні станції")</f>
        <v>компресорні станції</v>
      </c>
      <c r="I1364" s="18">
        <f>IFERROR(__xludf.DUMMYFUNCTION("""COMPUTED_VALUE"""),1.98)</f>
        <v>1.98</v>
      </c>
      <c r="J1364" s="18">
        <f>IFERROR(__xludf.DUMMYFUNCTION("""COMPUTED_VALUE"""),3.96)</f>
        <v>3.96</v>
      </c>
      <c r="K1364" s="18">
        <f>IFERROR(__xludf.DUMMYFUNCTION("""COMPUTED_VALUE"""),4.95)</f>
        <v>4.95</v>
      </c>
      <c r="L1364" s="18">
        <f>IFERROR(__xludf.DUMMYFUNCTION("""COMPUTED_VALUE"""),7.93)</f>
        <v>7.93</v>
      </c>
    </row>
    <row r="1365">
      <c r="A1365" s="13" t="str">
        <f>IFERROR(__xludf.DUMMYFUNCTION("""COMPUTED_VALUE"""),"товари")</f>
        <v>товари</v>
      </c>
      <c r="B1365" s="13" t="str">
        <f>IFERROR(__xludf.DUMMYFUNCTION("""COMPUTED_VALUE"""),"промислове обладнання та верстати")</f>
        <v>промислове обладнання та верстати</v>
      </c>
      <c r="C1365" s="15" t="str">
        <f>IFERROR(__xludf.DUMMYFUNCTION("""COMPUTED_VALUE"""),"технологічне обладнання")</f>
        <v>технологічне обладнання</v>
      </c>
      <c r="D1365" s="15" t="str">
        <f>IFERROR(__xludf.DUMMYFUNCTION("""COMPUTED_VALUE"""),"конвеєрні стрічки")</f>
        <v>конвеєрні стрічки</v>
      </c>
      <c r="E1365" s="15" t="str">
        <f>IFERROR(__xludf.DUMMYFUNCTION("""COMPUTED_VALUE"""),"конвеєрні стрічки")</f>
        <v>конвеєрні стрічки</v>
      </c>
      <c r="F1365" s="17">
        <f>IFERROR(__xludf.DUMMYFUNCTION("""COMPUTED_VALUE"""),3.0)</f>
        <v>3</v>
      </c>
      <c r="G1365" s="17">
        <f>IFERROR(__xludf.DUMMYFUNCTION("""COMPUTED_VALUE"""),145709.0)</f>
        <v>145709</v>
      </c>
      <c r="H1365" s="17" t="str">
        <f>IFERROR(__xludf.DUMMYFUNCTION("""COMPUTED_VALUE"""),"конвеєрні стрічки")</f>
        <v>конвеєрні стрічки</v>
      </c>
      <c r="I1365" s="18">
        <f>IFERROR(__xludf.DUMMYFUNCTION("""COMPUTED_VALUE"""),2.7)</f>
        <v>2.7</v>
      </c>
      <c r="J1365" s="18">
        <f>IFERROR(__xludf.DUMMYFUNCTION("""COMPUTED_VALUE"""),5.4)</f>
        <v>5.4</v>
      </c>
      <c r="K1365" s="18">
        <f>IFERROR(__xludf.DUMMYFUNCTION("""COMPUTED_VALUE"""),6.75)</f>
        <v>6.75</v>
      </c>
      <c r="L1365" s="18">
        <f>IFERROR(__xludf.DUMMYFUNCTION("""COMPUTED_VALUE"""),10.8)</f>
        <v>10.8</v>
      </c>
    </row>
    <row r="1366">
      <c r="A1366" s="13" t="str">
        <f>IFERROR(__xludf.DUMMYFUNCTION("""COMPUTED_VALUE"""),"товари")</f>
        <v>товари</v>
      </c>
      <c r="B1366" s="13" t="str">
        <f>IFERROR(__xludf.DUMMYFUNCTION("""COMPUTED_VALUE"""),"промислове обладнання та верстати")</f>
        <v>промислове обладнання та верстати</v>
      </c>
      <c r="C1366" s="15" t="str">
        <f>IFERROR(__xludf.DUMMYFUNCTION("""COMPUTED_VALUE"""),"кранове обладнання")</f>
        <v>кранове обладнання</v>
      </c>
      <c r="D1366" s="15" t="str">
        <f>IFERROR(__xludf.DUMMYFUNCTION("""COMPUTED_VALUE"""),"консольні крани")</f>
        <v>консольні крани</v>
      </c>
      <c r="E1366" s="15" t="str">
        <f>IFERROR(__xludf.DUMMYFUNCTION("""COMPUTED_VALUE"""),"консольні крани")</f>
        <v>консольні крани</v>
      </c>
      <c r="F1366" s="17">
        <f>IFERROR(__xludf.DUMMYFUNCTION("""COMPUTED_VALUE"""),3.0)</f>
        <v>3</v>
      </c>
      <c r="G1366" s="17">
        <f>IFERROR(__xludf.DUMMYFUNCTION("""COMPUTED_VALUE"""),142901.0)</f>
        <v>142901</v>
      </c>
      <c r="H1366" s="17" t="str">
        <f>IFERROR(__xludf.DUMMYFUNCTION("""COMPUTED_VALUE"""),"консольні крани")</f>
        <v>консольні крани</v>
      </c>
      <c r="I1366" s="18">
        <f>IFERROR(__xludf.DUMMYFUNCTION("""COMPUTED_VALUE"""),1.17)</f>
        <v>1.17</v>
      </c>
      <c r="J1366" s="18">
        <f>IFERROR(__xludf.DUMMYFUNCTION("""COMPUTED_VALUE"""),2.34)</f>
        <v>2.34</v>
      </c>
      <c r="K1366" s="18">
        <f>IFERROR(__xludf.DUMMYFUNCTION("""COMPUTED_VALUE"""),2.92)</f>
        <v>2.92</v>
      </c>
      <c r="L1366" s="18">
        <f>IFERROR(__xludf.DUMMYFUNCTION("""COMPUTED_VALUE"""),4.68)</f>
        <v>4.68</v>
      </c>
    </row>
    <row r="1367">
      <c r="A1367" s="13" t="str">
        <f>IFERROR(__xludf.DUMMYFUNCTION("""COMPUTED_VALUE"""),"товари")</f>
        <v>товари</v>
      </c>
      <c r="B1367" s="13" t="str">
        <f>IFERROR(__xludf.DUMMYFUNCTION("""COMPUTED_VALUE"""),"промислове обладнання та верстати")</f>
        <v>промислове обладнання та верстати</v>
      </c>
      <c r="C1367" s="15" t="str">
        <f>IFERROR(__xludf.DUMMYFUNCTION("""COMPUTED_VALUE"""),"виробниче обладнання")</f>
        <v>виробниче обладнання</v>
      </c>
      <c r="D1367" s="15" t="str">
        <f>IFERROR(__xludf.DUMMYFUNCTION("""COMPUTED_VALUE"""),"обладнання для виробництва меблів")</f>
        <v>обладнання для виробництва меблів</v>
      </c>
      <c r="E1367" s="15" t="str">
        <f>IFERROR(__xludf.DUMMYFUNCTION("""COMPUTED_VALUE"""),"кромкооблицювальні верстати")</f>
        <v>кромкооблицювальні верстати</v>
      </c>
      <c r="F1367" s="17">
        <f>IFERROR(__xludf.DUMMYFUNCTION("""COMPUTED_VALUE"""),4.0)</f>
        <v>4</v>
      </c>
      <c r="G1367" s="17">
        <f>IFERROR(__xludf.DUMMYFUNCTION("""COMPUTED_VALUE"""),370902.0)</f>
        <v>370902</v>
      </c>
      <c r="H1367" s="17" t="str">
        <f>IFERROR(__xludf.DUMMYFUNCTION("""COMPUTED_VALUE"""),"кромкооблицювальні верстати")</f>
        <v>кромкооблицювальні верстати</v>
      </c>
      <c r="I1367" s="18">
        <f>IFERROR(__xludf.DUMMYFUNCTION("""COMPUTED_VALUE"""),1.53)</f>
        <v>1.53</v>
      </c>
      <c r="J1367" s="18">
        <f>IFERROR(__xludf.DUMMYFUNCTION("""COMPUTED_VALUE"""),3.06)</f>
        <v>3.06</v>
      </c>
      <c r="K1367" s="18">
        <f>IFERROR(__xludf.DUMMYFUNCTION("""COMPUTED_VALUE"""),3.83)</f>
        <v>3.83</v>
      </c>
      <c r="L1367" s="18">
        <f>IFERROR(__xludf.DUMMYFUNCTION("""COMPUTED_VALUE"""),6.13)</f>
        <v>6.13</v>
      </c>
    </row>
    <row r="1368">
      <c r="A1368" s="13" t="str">
        <f>IFERROR(__xludf.DUMMYFUNCTION("""COMPUTED_VALUE"""),"товари")</f>
        <v>товари</v>
      </c>
      <c r="B1368" s="13" t="str">
        <f>IFERROR(__xludf.DUMMYFUNCTION("""COMPUTED_VALUE"""),"промислове обладнання та верстати")</f>
        <v>промислове обладнання та верстати</v>
      </c>
      <c r="C1368" s="15" t="str">
        <f>IFERROR(__xludf.DUMMYFUNCTION("""COMPUTED_VALUE"""),"технологічне обладнання")</f>
        <v>технологічне обладнання</v>
      </c>
      <c r="D1368" s="15" t="str">
        <f>IFERROR(__xludf.DUMMYFUNCTION("""COMPUTED_VALUE"""),"лазерне обладнання")</f>
        <v>лазерне обладнання</v>
      </c>
      <c r="E1368" s="15" t="str">
        <f>IFERROR(__xludf.DUMMYFUNCTION("""COMPUTED_VALUE"""),"лазерне обладнання, загальне")</f>
        <v>лазерне обладнання, загальне</v>
      </c>
      <c r="F1368" s="17">
        <f>IFERROR(__xludf.DUMMYFUNCTION("""COMPUTED_VALUE"""),4.0)</f>
        <v>4</v>
      </c>
      <c r="G1368" s="17">
        <f>IFERROR(__xludf.DUMMYFUNCTION("""COMPUTED_VALUE"""),1447.0)</f>
        <v>1447</v>
      </c>
      <c r="H1368" s="17" t="str">
        <f>IFERROR(__xludf.DUMMYFUNCTION("""COMPUTED_VALUE"""),"лазерне обладнання, загальне")</f>
        <v>лазерне обладнання, загальне</v>
      </c>
      <c r="I1368" s="18">
        <f>IFERROR(__xludf.DUMMYFUNCTION("""COMPUTED_VALUE"""),2.16)</f>
        <v>2.16</v>
      </c>
      <c r="J1368" s="18">
        <f>IFERROR(__xludf.DUMMYFUNCTION("""COMPUTED_VALUE"""),4.33)</f>
        <v>4.33</v>
      </c>
      <c r="K1368" s="18">
        <f>IFERROR(__xludf.DUMMYFUNCTION("""COMPUTED_VALUE"""),5.41)</f>
        <v>5.41</v>
      </c>
      <c r="L1368" s="18">
        <f>IFERROR(__xludf.DUMMYFUNCTION("""COMPUTED_VALUE"""),8.65)</f>
        <v>8.65</v>
      </c>
    </row>
    <row r="1369">
      <c r="A1369" s="13" t="str">
        <f>IFERROR(__xludf.DUMMYFUNCTION("""COMPUTED_VALUE"""),"товари")</f>
        <v>товари</v>
      </c>
      <c r="B1369" s="13" t="str">
        <f>IFERROR(__xludf.DUMMYFUNCTION("""COMPUTED_VALUE"""),"промислове обладнання та верстати")</f>
        <v>промислове обладнання та верстати</v>
      </c>
      <c r="C1369" s="15" t="str">
        <f>IFERROR(__xludf.DUMMYFUNCTION("""COMPUTED_VALUE"""),"обладнання для харчової промисловості")</f>
        <v>обладнання для харчової промисловості</v>
      </c>
      <c r="D1369" s="15" t="str">
        <f>IFERROR(__xludf.DUMMYFUNCTION("""COMPUTED_VALUE"""),"обладнання для переробки овочів та фруктів")</f>
        <v>обладнання для переробки овочів та фруктів</v>
      </c>
      <c r="E1369" s="15" t="str">
        <f>IFERROR(__xludf.DUMMYFUNCTION("""COMPUTED_VALUE"""),"лінії з передпродажної підготовки овочів, ягід, фруктів")</f>
        <v>лінії з передпродажної підготовки овочів, ягід, фруктів</v>
      </c>
      <c r="F1369" s="17">
        <f>IFERROR(__xludf.DUMMYFUNCTION("""COMPUTED_VALUE"""),4.0)</f>
        <v>4</v>
      </c>
      <c r="G1369" s="17">
        <f>IFERROR(__xludf.DUMMYFUNCTION("""COMPUTED_VALUE"""),2200103.0)</f>
        <v>2200103</v>
      </c>
      <c r="H1369" s="17" t="str">
        <f>IFERROR(__xludf.DUMMYFUNCTION("""COMPUTED_VALUE"""),"лінії з передпродажної підготовки овочів, ягід, фруктів")</f>
        <v>лінії з передпродажної підготовки овочів, ягід, фруктів</v>
      </c>
      <c r="I1369" s="18">
        <f>IFERROR(__xludf.DUMMYFUNCTION("""COMPUTED_VALUE"""),0.86)</f>
        <v>0.86</v>
      </c>
      <c r="J1369" s="18">
        <f>IFERROR(__xludf.DUMMYFUNCTION("""COMPUTED_VALUE"""),1.71)</f>
        <v>1.71</v>
      </c>
      <c r="K1369" s="18">
        <f>IFERROR(__xludf.DUMMYFUNCTION("""COMPUTED_VALUE"""),2.14)</f>
        <v>2.14</v>
      </c>
      <c r="L1369" s="18">
        <f>IFERROR(__xludf.DUMMYFUNCTION("""COMPUTED_VALUE"""),3.43)</f>
        <v>3.43</v>
      </c>
    </row>
    <row r="1370">
      <c r="A1370" s="13" t="str">
        <f>IFERROR(__xludf.DUMMYFUNCTION("""COMPUTED_VALUE"""),"товари")</f>
        <v>товари</v>
      </c>
      <c r="B1370" s="13" t="str">
        <f>IFERROR(__xludf.DUMMYFUNCTION("""COMPUTED_VALUE"""),"промислове обладнання та верстати")</f>
        <v>промислове обладнання та верстати</v>
      </c>
      <c r="C1370" s="15" t="str">
        <f>IFERROR(__xludf.DUMMYFUNCTION("""COMPUTED_VALUE"""),"обладнання для харчової промисловості")</f>
        <v>обладнання для харчової промисловості</v>
      </c>
      <c r="D1370" s="15" t="str">
        <f>IFERROR(__xludf.DUMMYFUNCTION("""COMPUTED_VALUE"""),"обладнання для миття, розливу, фасувально-пакувальних і складських операцій")</f>
        <v>обладнання для миття, розливу, фасувально-пакувальних і складських операцій</v>
      </c>
      <c r="E1370" s="15" t="str">
        <f>IFERROR(__xludf.DUMMYFUNCTION("""COMPUTED_VALUE"""),"лінії розливу харчових рідин")</f>
        <v>лінії розливу харчових рідин</v>
      </c>
      <c r="F1370" s="17">
        <f>IFERROR(__xludf.DUMMYFUNCTION("""COMPUTED_VALUE"""),4.0)</f>
        <v>4</v>
      </c>
      <c r="G1370" s="17">
        <f>IFERROR(__xludf.DUMMYFUNCTION("""COMPUTED_VALUE"""),2201803.0)</f>
        <v>2201803</v>
      </c>
      <c r="H1370" s="17" t="str">
        <f>IFERROR(__xludf.DUMMYFUNCTION("""COMPUTED_VALUE"""),"лінії розливу харчових рідин")</f>
        <v>лінії розливу харчових рідин</v>
      </c>
      <c r="I1370" s="18">
        <f>IFERROR(__xludf.DUMMYFUNCTION("""COMPUTED_VALUE"""),1.08)</f>
        <v>1.08</v>
      </c>
      <c r="J1370" s="18">
        <f>IFERROR(__xludf.DUMMYFUNCTION("""COMPUTED_VALUE"""),2.16)</f>
        <v>2.16</v>
      </c>
      <c r="K1370" s="18">
        <f>IFERROR(__xludf.DUMMYFUNCTION("""COMPUTED_VALUE"""),2.7)</f>
        <v>2.7</v>
      </c>
      <c r="L1370" s="18">
        <f>IFERROR(__xludf.DUMMYFUNCTION("""COMPUTED_VALUE"""),4.33)</f>
        <v>4.33</v>
      </c>
    </row>
    <row r="1371">
      <c r="A1371" s="13" t="str">
        <f>IFERROR(__xludf.DUMMYFUNCTION("""COMPUTED_VALUE"""),"товари")</f>
        <v>товари</v>
      </c>
      <c r="B1371" s="13" t="str">
        <f>IFERROR(__xludf.DUMMYFUNCTION("""COMPUTED_VALUE"""),"промислове обладнання та верстати")</f>
        <v>промислове обладнання та верстати</v>
      </c>
      <c r="C1371" s="15" t="str">
        <f>IFERROR(__xludf.DUMMYFUNCTION("""COMPUTED_VALUE"""),"технологічне обладнання")</f>
        <v>технологічне обладнання</v>
      </c>
      <c r="D1371" s="15" t="str">
        <f>IFERROR(__xludf.DUMMYFUNCTION("""COMPUTED_VALUE"""),"сепаратори")</f>
        <v>сепаратори</v>
      </c>
      <c r="E1371" s="15" t="str">
        <f>IFERROR(__xludf.DUMMYFUNCTION("""COMPUTED_VALUE"""),"магнітні сепаратори")</f>
        <v>магнітні сепаратори</v>
      </c>
      <c r="F1371" s="17">
        <f>IFERROR(__xludf.DUMMYFUNCTION("""COMPUTED_VALUE"""),4.0)</f>
        <v>4</v>
      </c>
      <c r="G1371" s="17">
        <f>IFERROR(__xludf.DUMMYFUNCTION("""COMPUTED_VALUE"""),142302.0)</f>
        <v>142302</v>
      </c>
      <c r="H1371" s="17" t="str">
        <f>IFERROR(__xludf.DUMMYFUNCTION("""COMPUTED_VALUE"""),"магнітні сепаратори")</f>
        <v>магнітні сепаратори</v>
      </c>
      <c r="I1371" s="18">
        <f>IFERROR(__xludf.DUMMYFUNCTION("""COMPUTED_VALUE"""),2.7)</f>
        <v>2.7</v>
      </c>
      <c r="J1371" s="18">
        <f>IFERROR(__xludf.DUMMYFUNCTION("""COMPUTED_VALUE"""),5.4)</f>
        <v>5.4</v>
      </c>
      <c r="K1371" s="18">
        <f>IFERROR(__xludf.DUMMYFUNCTION("""COMPUTED_VALUE"""),6.75)</f>
        <v>6.75</v>
      </c>
      <c r="L1371" s="18">
        <f>IFERROR(__xludf.DUMMYFUNCTION("""COMPUTED_VALUE"""),10.8)</f>
        <v>10.8</v>
      </c>
    </row>
    <row r="1372">
      <c r="A1372" s="13" t="str">
        <f>IFERROR(__xludf.DUMMYFUNCTION("""COMPUTED_VALUE"""),"товари")</f>
        <v>товари</v>
      </c>
      <c r="B1372" s="13" t="str">
        <f>IFERROR(__xludf.DUMMYFUNCTION("""COMPUTED_VALUE"""),"промислове обладнання та верстати")</f>
        <v>промислове обладнання та верстати</v>
      </c>
      <c r="C1372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372" s="15" t="str">
        <f>IFERROR(__xludf.DUMMYFUNCTION("""COMPUTED_VALUE"""),"машини для миття підлоги")</f>
        <v>машини для миття підлоги</v>
      </c>
      <c r="E1372" s="15" t="str">
        <f>IFERROR(__xludf.DUMMYFUNCTION("""COMPUTED_VALUE"""),"машини для миття підлоги")</f>
        <v>машини для миття підлоги</v>
      </c>
      <c r="F1372" s="17">
        <f>IFERROR(__xludf.DUMMYFUNCTION("""COMPUTED_VALUE"""),3.0)</f>
        <v>3</v>
      </c>
      <c r="G1372" s="17">
        <f>IFERROR(__xludf.DUMMYFUNCTION("""COMPUTED_VALUE"""),147003.0)</f>
        <v>147003</v>
      </c>
      <c r="H1372" s="17" t="str">
        <f>IFERROR(__xludf.DUMMYFUNCTION("""COMPUTED_VALUE"""),"машини для миття підлоги")</f>
        <v>машини для миття підлоги</v>
      </c>
      <c r="I1372" s="18">
        <f>IFERROR(__xludf.DUMMYFUNCTION("""COMPUTED_VALUE"""),2.16)</f>
        <v>2.16</v>
      </c>
      <c r="J1372" s="18">
        <f>IFERROR(__xludf.DUMMYFUNCTION("""COMPUTED_VALUE"""),4.33)</f>
        <v>4.33</v>
      </c>
      <c r="K1372" s="18">
        <f>IFERROR(__xludf.DUMMYFUNCTION("""COMPUTED_VALUE"""),5.41)</f>
        <v>5.41</v>
      </c>
      <c r="L1372" s="18">
        <f>IFERROR(__xludf.DUMMYFUNCTION("""COMPUTED_VALUE"""),8.65)</f>
        <v>8.65</v>
      </c>
    </row>
    <row r="1373">
      <c r="A1373" s="13" t="str">
        <f>IFERROR(__xludf.DUMMYFUNCTION("""COMPUTED_VALUE"""),"товари")</f>
        <v>товари</v>
      </c>
      <c r="B1373" s="13" t="str">
        <f>IFERROR(__xludf.DUMMYFUNCTION("""COMPUTED_VALUE"""),"промислове обладнання та верстати")</f>
        <v>промислове обладнання та верстати</v>
      </c>
      <c r="C1373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373" s="15" t="str">
        <f>IFERROR(__xludf.DUMMYFUNCTION("""COMPUTED_VALUE"""),"машини для прочищення труб")</f>
        <v>машини для прочищення труб</v>
      </c>
      <c r="E1373" s="15" t="str">
        <f>IFERROR(__xludf.DUMMYFUNCTION("""COMPUTED_VALUE"""),"машини для прочищення труб")</f>
        <v>машини для прочищення труб</v>
      </c>
      <c r="F1373" s="17">
        <f>IFERROR(__xludf.DUMMYFUNCTION("""COMPUTED_VALUE"""),3.0)</f>
        <v>3</v>
      </c>
      <c r="G1373" s="17">
        <f>IFERROR(__xludf.DUMMYFUNCTION("""COMPUTED_VALUE"""),144803.0)</f>
        <v>144803</v>
      </c>
      <c r="H1373" s="17" t="str">
        <f>IFERROR(__xludf.DUMMYFUNCTION("""COMPUTED_VALUE"""),"машини для прочищення труб")</f>
        <v>машини для прочищення труб</v>
      </c>
      <c r="I1373" s="18">
        <f>IFERROR(__xludf.DUMMYFUNCTION("""COMPUTED_VALUE"""),0.81)</f>
        <v>0.81</v>
      </c>
      <c r="J1373" s="18">
        <f>IFERROR(__xludf.DUMMYFUNCTION("""COMPUTED_VALUE"""),1.63)</f>
        <v>1.63</v>
      </c>
      <c r="K1373" s="18">
        <f>IFERROR(__xludf.DUMMYFUNCTION("""COMPUTED_VALUE"""),2.03)</f>
        <v>2.03</v>
      </c>
      <c r="L1373" s="18">
        <f>IFERROR(__xludf.DUMMYFUNCTION("""COMPUTED_VALUE"""),3.25)</f>
        <v>3.25</v>
      </c>
    </row>
    <row r="1374">
      <c r="A1374" s="13" t="str">
        <f>IFERROR(__xludf.DUMMYFUNCTION("""COMPUTED_VALUE"""),"товари")</f>
        <v>товари</v>
      </c>
      <c r="B1374" s="13" t="str">
        <f>IFERROR(__xludf.DUMMYFUNCTION("""COMPUTED_VALUE"""),"промислове обладнання та верстати")</f>
        <v>промислове обладнання та верстати</v>
      </c>
      <c r="C1374" s="15" t="str">
        <f>IFERROR(__xludf.DUMMYFUNCTION("""COMPUTED_VALUE"""),"металургійне обладнання")</f>
        <v>металургійне обладнання</v>
      </c>
      <c r="D1374" s="15" t="str">
        <f>IFERROR(__xludf.DUMMYFUNCTION("""COMPUTED_VALUE"""),"металургійне обладнання, загальне")</f>
        <v>металургійне обладнання, загальне</v>
      </c>
      <c r="E1374" s="15" t="str">
        <f>IFERROR(__xludf.DUMMYFUNCTION("""COMPUTED_VALUE"""),"металургійне обладнання, загальне")</f>
        <v>металургійне обладнання, загальне</v>
      </c>
      <c r="F1374" s="17">
        <f>IFERROR(__xludf.DUMMYFUNCTION("""COMPUTED_VALUE"""),3.0)</f>
        <v>3</v>
      </c>
      <c r="G1374" s="17">
        <f>IFERROR(__xludf.DUMMYFUNCTION("""COMPUTED_VALUE"""),91401.0)</f>
        <v>91401</v>
      </c>
      <c r="H1374" s="17" t="str">
        <f>IFERROR(__xludf.DUMMYFUNCTION("""COMPUTED_VALUE"""),"металургійне обладнання, загальне")</f>
        <v>металургійне обладнання, загальне</v>
      </c>
      <c r="I1374" s="18">
        <f>IFERROR(__xludf.DUMMYFUNCTION("""COMPUTED_VALUE"""),2.16)</f>
        <v>2.16</v>
      </c>
      <c r="J1374" s="18">
        <f>IFERROR(__xludf.DUMMYFUNCTION("""COMPUTED_VALUE"""),4.33)</f>
        <v>4.33</v>
      </c>
      <c r="K1374" s="18">
        <f>IFERROR(__xludf.DUMMYFUNCTION("""COMPUTED_VALUE"""),5.41)</f>
        <v>5.41</v>
      </c>
      <c r="L1374" s="18">
        <f>IFERROR(__xludf.DUMMYFUNCTION("""COMPUTED_VALUE"""),8.65)</f>
        <v>8.65</v>
      </c>
    </row>
    <row r="1375">
      <c r="A1375" s="13" t="str">
        <f>IFERROR(__xludf.DUMMYFUNCTION("""COMPUTED_VALUE"""),"товари")</f>
        <v>товари</v>
      </c>
      <c r="B1375" s="13" t="str">
        <f>IFERROR(__xludf.DUMMYFUNCTION("""COMPUTED_VALUE"""),"промислове обладнання та верстати")</f>
        <v>промислове обладнання та верстати</v>
      </c>
      <c r="C1375" s="15" t="str">
        <f>IFERROR(__xludf.DUMMYFUNCTION("""COMPUTED_VALUE"""),"виробниче обладнання")</f>
        <v>виробниче обладнання</v>
      </c>
      <c r="D1375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75" s="15" t="str">
        <f>IFERROR(__xludf.DUMMYFUNCTION("""COMPUTED_VALUE"""),"міні узк")</f>
        <v>міні узк</v>
      </c>
      <c r="F1375" s="17">
        <f>IFERROR(__xludf.DUMMYFUNCTION("""COMPUTED_VALUE"""),4.0)</f>
        <v>4</v>
      </c>
      <c r="G1375" s="17">
        <f>IFERROR(__xludf.DUMMYFUNCTION("""COMPUTED_VALUE"""),1.4190438E7)</f>
        <v>14190438</v>
      </c>
      <c r="H1375" s="17" t="str">
        <f>IFERROR(__xludf.DUMMYFUNCTION("""COMPUTED_VALUE"""),"міні узк")</f>
        <v>міні узк</v>
      </c>
      <c r="I1375" s="18">
        <f>IFERROR(__xludf.DUMMYFUNCTION("""COMPUTED_VALUE"""),1.04)</f>
        <v>1.04</v>
      </c>
      <c r="J1375" s="18">
        <f>IFERROR(__xludf.DUMMYFUNCTION("""COMPUTED_VALUE"""),2.08)</f>
        <v>2.08</v>
      </c>
      <c r="K1375" s="18">
        <f>IFERROR(__xludf.DUMMYFUNCTION("""COMPUTED_VALUE"""),2.59)</f>
        <v>2.59</v>
      </c>
      <c r="L1375" s="18">
        <f>IFERROR(__xludf.DUMMYFUNCTION("""COMPUTED_VALUE"""),4.15)</f>
        <v>4.15</v>
      </c>
    </row>
    <row r="1376">
      <c r="A1376" s="13" t="str">
        <f>IFERROR(__xludf.DUMMYFUNCTION("""COMPUTED_VALUE"""),"товари")</f>
        <v>товари</v>
      </c>
      <c r="B1376" s="13" t="str">
        <f>IFERROR(__xludf.DUMMYFUNCTION("""COMPUTED_VALUE"""),"промислове обладнання та верстати")</f>
        <v>промислове обладнання та верстати</v>
      </c>
      <c r="C1376" s="15" t="str">
        <f>IFERROR(__xludf.DUMMYFUNCTION("""COMPUTED_VALUE"""),"кранове обладнання")</f>
        <v>кранове обладнання</v>
      </c>
      <c r="D1376" s="15" t="str">
        <f>IFERROR(__xludf.DUMMYFUNCTION("""COMPUTED_VALUE"""),"мостові крани")</f>
        <v>мостові крани</v>
      </c>
      <c r="E1376" s="15" t="str">
        <f>IFERROR(__xludf.DUMMYFUNCTION("""COMPUTED_VALUE"""),"мостові крани")</f>
        <v>мостові крани</v>
      </c>
      <c r="F1376" s="17">
        <f>IFERROR(__xludf.DUMMYFUNCTION("""COMPUTED_VALUE"""),3.0)</f>
        <v>3</v>
      </c>
      <c r="G1376" s="17">
        <f>IFERROR(__xludf.DUMMYFUNCTION("""COMPUTED_VALUE"""),1.3040209E7)</f>
        <v>13040209</v>
      </c>
      <c r="H1376" s="17" t="str">
        <f>IFERROR(__xludf.DUMMYFUNCTION("""COMPUTED_VALUE"""),"мостові крани")</f>
        <v>мостові крани</v>
      </c>
      <c r="I1376" s="18">
        <f>IFERROR(__xludf.DUMMYFUNCTION("""COMPUTED_VALUE"""),1.84)</f>
        <v>1.84</v>
      </c>
      <c r="J1376" s="18">
        <f>IFERROR(__xludf.DUMMYFUNCTION("""COMPUTED_VALUE"""),3.69)</f>
        <v>3.69</v>
      </c>
      <c r="K1376" s="18">
        <f>IFERROR(__xludf.DUMMYFUNCTION("""COMPUTED_VALUE"""),4.61)</f>
        <v>4.61</v>
      </c>
      <c r="L1376" s="18">
        <f>IFERROR(__xludf.DUMMYFUNCTION("""COMPUTED_VALUE"""),7.38)</f>
        <v>7.38</v>
      </c>
    </row>
    <row r="1377">
      <c r="A1377" s="13" t="str">
        <f>IFERROR(__xludf.DUMMYFUNCTION("""COMPUTED_VALUE"""),"товари")</f>
        <v>товари</v>
      </c>
      <c r="B1377" s="13" t="str">
        <f>IFERROR(__xludf.DUMMYFUNCTION("""COMPUTED_VALUE"""),"промислове обладнання та верстати")</f>
        <v>промислове обладнання та верстати</v>
      </c>
      <c r="C1377" s="15" t="str">
        <f>IFERROR(__xludf.DUMMYFUNCTION("""COMPUTED_VALUE"""),"промислове кліматичне обладнання")</f>
        <v>промислове кліматичне обладнання</v>
      </c>
      <c r="D1377" s="15" t="str">
        <f>IFERROR(__xludf.DUMMYFUNCTION("""COMPUTED_VALUE"""),"промислові кондиціонери")</f>
        <v>промислові кондиціонери</v>
      </c>
      <c r="E1377" s="15" t="str">
        <f>IFERROR(__xludf.DUMMYFUNCTION("""COMPUTED_VALUE"""),"мультизональні системи")</f>
        <v>мультизональні системи</v>
      </c>
      <c r="F1377" s="17">
        <f>IFERROR(__xludf.DUMMYFUNCTION("""COMPUTED_VALUE"""),4.0)</f>
        <v>4</v>
      </c>
      <c r="G1377" s="17">
        <f>IFERROR(__xludf.DUMMYFUNCTION("""COMPUTED_VALUE"""),1.4650207E7)</f>
        <v>14650207</v>
      </c>
      <c r="H1377" s="17" t="str">
        <f>IFERROR(__xludf.DUMMYFUNCTION("""COMPUTED_VALUE"""),"мультизональні системи")</f>
        <v>мультизональні системи</v>
      </c>
      <c r="I1377" s="18">
        <f>IFERROR(__xludf.DUMMYFUNCTION("""COMPUTED_VALUE"""),2.7)</f>
        <v>2.7</v>
      </c>
      <c r="J1377" s="18">
        <f>IFERROR(__xludf.DUMMYFUNCTION("""COMPUTED_VALUE"""),5.4)</f>
        <v>5.4</v>
      </c>
      <c r="K1377" s="18">
        <f>IFERROR(__xludf.DUMMYFUNCTION("""COMPUTED_VALUE"""),6.75)</f>
        <v>6.75</v>
      </c>
      <c r="L1377" s="18">
        <f>IFERROR(__xludf.DUMMYFUNCTION("""COMPUTED_VALUE"""),10.8)</f>
        <v>10.8</v>
      </c>
    </row>
    <row r="1378">
      <c r="A1378" s="13" t="str">
        <f>IFERROR(__xludf.DUMMYFUNCTION("""COMPUTED_VALUE"""),"товари")</f>
        <v>товари</v>
      </c>
      <c r="B1378" s="13" t="str">
        <f>IFERROR(__xludf.DUMMYFUNCTION("""COMPUTED_VALUE"""),"промислове обладнання та верстати")</f>
        <v>промислове обладнання та верстати</v>
      </c>
      <c r="C137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78" s="15" t="str">
        <f>IFERROR(__xludf.DUMMYFUNCTION("""COMPUTED_VALUE"""),"муфти мпвп та комплектуючі до них")</f>
        <v>муфти мпвп та комплектуючі до них</v>
      </c>
      <c r="E1378" s="15" t="str">
        <f>IFERROR(__xludf.DUMMYFUNCTION("""COMPUTED_VALUE"""),"муфти мпвп та комплектуючі до них")</f>
        <v>муфти мпвп та комплектуючі до них</v>
      </c>
      <c r="F1378" s="17">
        <f>IFERROR(__xludf.DUMMYFUNCTION("""COMPUTED_VALUE"""),3.0)</f>
        <v>3</v>
      </c>
      <c r="G1378" s="17">
        <f>IFERROR(__xludf.DUMMYFUNCTION("""COMPUTED_VALUE"""),140116.0)</f>
        <v>140116</v>
      </c>
      <c r="H1378" s="17" t="str">
        <f>IFERROR(__xludf.DUMMYFUNCTION("""COMPUTED_VALUE"""),"муфти мпвп та комплектуючі до них")</f>
        <v>муфти мпвп та комплектуючі до них</v>
      </c>
      <c r="I1378" s="18">
        <f>IFERROR(__xludf.DUMMYFUNCTION("""COMPUTED_VALUE"""),0.76)</f>
        <v>0.76</v>
      </c>
      <c r="J1378" s="18">
        <f>IFERROR(__xludf.DUMMYFUNCTION("""COMPUTED_VALUE"""),1.53)</f>
        <v>1.53</v>
      </c>
      <c r="K1378" s="18">
        <f>IFERROR(__xludf.DUMMYFUNCTION("""COMPUTED_VALUE"""),1.91)</f>
        <v>1.91</v>
      </c>
      <c r="L1378" s="18">
        <f>IFERROR(__xludf.DUMMYFUNCTION("""COMPUTED_VALUE"""),3.05)</f>
        <v>3.05</v>
      </c>
    </row>
    <row r="1379">
      <c r="A1379" s="13" t="str">
        <f>IFERROR(__xludf.DUMMYFUNCTION("""COMPUTED_VALUE"""),"товари")</f>
        <v>товари</v>
      </c>
      <c r="B1379" s="13" t="str">
        <f>IFERROR(__xludf.DUMMYFUNCTION("""COMPUTED_VALUE"""),"промислове обладнання та верстати")</f>
        <v>промислове обладнання та верстати</v>
      </c>
      <c r="C1379" s="15" t="str">
        <f>IFERROR(__xludf.DUMMYFUNCTION("""COMPUTED_VALUE"""),"промислові насоси")</f>
        <v>промислові насоси</v>
      </c>
      <c r="D1379" s="15" t="str">
        <f>IFERROR(__xludf.DUMMYFUNCTION("""COMPUTED_VALUE"""),"насоси-дозатори")</f>
        <v>насоси-дозатори</v>
      </c>
      <c r="E1379" s="15" t="str">
        <f>IFERROR(__xludf.DUMMYFUNCTION("""COMPUTED_VALUE"""),"насоси-дозатори")</f>
        <v>насоси-дозатори</v>
      </c>
      <c r="F1379" s="17">
        <f>IFERROR(__xludf.DUMMYFUNCTION("""COMPUTED_VALUE"""),3.0)</f>
        <v>3</v>
      </c>
      <c r="G1379" s="17">
        <f>IFERROR(__xludf.DUMMYFUNCTION("""COMPUTED_VALUE"""),147603.0)</f>
        <v>147603</v>
      </c>
      <c r="H1379" s="17" t="str">
        <f>IFERROR(__xludf.DUMMYFUNCTION("""COMPUTED_VALUE"""),"насоси-дозатори")</f>
        <v>насоси-дозатори</v>
      </c>
      <c r="I1379" s="18">
        <f>IFERROR(__xludf.DUMMYFUNCTION("""COMPUTED_VALUE"""),2.55)</f>
        <v>2.55</v>
      </c>
      <c r="J1379" s="18">
        <f>IFERROR(__xludf.DUMMYFUNCTION("""COMPUTED_VALUE"""),5.1)</f>
        <v>5.1</v>
      </c>
      <c r="K1379" s="18">
        <f>IFERROR(__xludf.DUMMYFUNCTION("""COMPUTED_VALUE"""),6.38)</f>
        <v>6.38</v>
      </c>
      <c r="L1379" s="18">
        <f>IFERROR(__xludf.DUMMYFUNCTION("""COMPUTED_VALUE"""),10.2)</f>
        <v>10.2</v>
      </c>
    </row>
    <row r="1380">
      <c r="A1380" s="13" t="str">
        <f>IFERROR(__xludf.DUMMYFUNCTION("""COMPUTED_VALUE"""),"товари")</f>
        <v>товари</v>
      </c>
      <c r="B1380" s="13" t="str">
        <f>IFERROR(__xludf.DUMMYFUNCTION("""COMPUTED_VALUE"""),"промислове обладнання та верстати")</f>
        <v>промислове обладнання та верстати</v>
      </c>
      <c r="C1380" s="15" t="str">
        <f>IFERROR(__xludf.DUMMYFUNCTION("""COMPUTED_VALUE"""),"виробниче обладнання")</f>
        <v>виробниче обладнання</v>
      </c>
      <c r="D1380" s="15" t="str">
        <f>IFERROR(__xludf.DUMMYFUNCTION("""COMPUTED_VALUE"""),"обладнання для обробки пластику та гуми")</f>
        <v>обладнання для обробки пластику та гуми</v>
      </c>
      <c r="E1380" s="15" t="str">
        <f>IFERROR(__xludf.DUMMYFUNCTION("""COMPUTED_VALUE"""),"обладнання для видування пет тари")</f>
        <v>обладнання для видування пет тари</v>
      </c>
      <c r="F1380" s="17">
        <f>IFERROR(__xludf.DUMMYFUNCTION("""COMPUTED_VALUE"""),4.0)</f>
        <v>4</v>
      </c>
      <c r="G1380" s="17">
        <f>IFERROR(__xludf.DUMMYFUNCTION("""COMPUTED_VALUE"""),147108.0)</f>
        <v>147108</v>
      </c>
      <c r="H1380" s="17" t="str">
        <f>IFERROR(__xludf.DUMMYFUNCTION("""COMPUTED_VALUE"""),"обладнання для видування пет тари")</f>
        <v>обладнання для видування пет тари</v>
      </c>
      <c r="I1380" s="18">
        <f>IFERROR(__xludf.DUMMYFUNCTION("""COMPUTED_VALUE"""),1.53)</f>
        <v>1.53</v>
      </c>
      <c r="J1380" s="18">
        <f>IFERROR(__xludf.DUMMYFUNCTION("""COMPUTED_VALUE"""),3.06)</f>
        <v>3.06</v>
      </c>
      <c r="K1380" s="18">
        <f>IFERROR(__xludf.DUMMYFUNCTION("""COMPUTED_VALUE"""),3.83)</f>
        <v>3.83</v>
      </c>
      <c r="L1380" s="18">
        <f>IFERROR(__xludf.DUMMYFUNCTION("""COMPUTED_VALUE"""),6.13)</f>
        <v>6.13</v>
      </c>
    </row>
    <row r="1381">
      <c r="A1381" s="13" t="str">
        <f>IFERROR(__xludf.DUMMYFUNCTION("""COMPUTED_VALUE"""),"товари")</f>
        <v>товари</v>
      </c>
      <c r="B1381" s="13" t="str">
        <f>IFERROR(__xludf.DUMMYFUNCTION("""COMPUTED_VALUE"""),"промислове обладнання та верстати")</f>
        <v>промислове обладнання та верстати</v>
      </c>
      <c r="C1381" s="15" t="str">
        <f>IFERROR(__xludf.DUMMYFUNCTION("""COMPUTED_VALUE"""),"обладнання для харчової промисловості")</f>
        <v>обладнання для харчової промисловості</v>
      </c>
      <c r="D1381" s="15" t="str">
        <f>IFERROR(__xludf.DUMMYFUNCTION("""COMPUTED_VALUE"""),"обладнання для хлібобулочних та кондитерських виробів")</f>
        <v>обладнання для хлібобулочних та кондитерських виробів</v>
      </c>
      <c r="E1381" s="15" t="str">
        <f>IFERROR(__xludf.DUMMYFUNCTION("""COMPUTED_VALUE"""),"обладнання для виробництва борошняних виробів")</f>
        <v>обладнання для виробництва борошняних виробів</v>
      </c>
      <c r="F1381" s="17">
        <f>IFERROR(__xludf.DUMMYFUNCTION("""COMPUTED_VALUE"""),4.0)</f>
        <v>4</v>
      </c>
      <c r="G1381" s="17">
        <f>IFERROR(__xludf.DUMMYFUNCTION("""COMPUTED_VALUE"""),6430502.0)</f>
        <v>6430502</v>
      </c>
      <c r="H1381" s="17" t="str">
        <f>IFERROR(__xludf.DUMMYFUNCTION("""COMPUTED_VALUE"""),"обладнання для виробництва борошняних виробів")</f>
        <v>обладнання для виробництва борошняних виробів</v>
      </c>
      <c r="I1381" s="18">
        <f>IFERROR(__xludf.DUMMYFUNCTION("""COMPUTED_VALUE"""),0.9)</f>
        <v>0.9</v>
      </c>
      <c r="J1381" s="18">
        <f>IFERROR(__xludf.DUMMYFUNCTION("""COMPUTED_VALUE"""),1.8)</f>
        <v>1.8</v>
      </c>
      <c r="K1381" s="18">
        <f>IFERROR(__xludf.DUMMYFUNCTION("""COMPUTED_VALUE"""),2.25)</f>
        <v>2.25</v>
      </c>
      <c r="L1381" s="18">
        <f>IFERROR(__xludf.DUMMYFUNCTION("""COMPUTED_VALUE"""),3.6)</f>
        <v>3.6</v>
      </c>
    </row>
    <row r="1382">
      <c r="A1382" s="13" t="str">
        <f>IFERROR(__xludf.DUMMYFUNCTION("""COMPUTED_VALUE"""),"товари")</f>
        <v>товари</v>
      </c>
      <c r="B1382" s="13" t="str">
        <f>IFERROR(__xludf.DUMMYFUNCTION("""COMPUTED_VALUE"""),"промислове обладнання та верстати")</f>
        <v>промислове обладнання та верстати</v>
      </c>
      <c r="C1382" s="15" t="str">
        <f>IFERROR(__xludf.DUMMYFUNCTION("""COMPUTED_VALUE"""),"виробниче обладнання")</f>
        <v>виробниче обладнання</v>
      </c>
      <c r="D1382" s="15" t="str">
        <f>IFERROR(__xludf.DUMMYFUNCTION("""COMPUTED_VALUE"""),"обладнання для виробництва будівельних сумішей")</f>
        <v>обладнання для виробництва будівельних сумішей</v>
      </c>
      <c r="E1382" s="15" t="str">
        <f>IFERROR(__xludf.DUMMYFUNCTION("""COMPUTED_VALUE"""),"обладнання для виробництва будівельних сумішей")</f>
        <v>обладнання для виробництва будівельних сумішей</v>
      </c>
      <c r="F1382" s="17">
        <f>IFERROR(__xludf.DUMMYFUNCTION("""COMPUTED_VALUE"""),3.0)</f>
        <v>3</v>
      </c>
      <c r="G1382" s="17">
        <f>IFERROR(__xludf.DUMMYFUNCTION("""COMPUTED_VALUE"""),431417.0)</f>
        <v>431417</v>
      </c>
      <c r="H1382" s="17" t="str">
        <f>IFERROR(__xludf.DUMMYFUNCTION("""COMPUTED_VALUE"""),"обладнання для виробництва будівельних сумішей")</f>
        <v>обладнання для виробництва будівельних сумішей</v>
      </c>
      <c r="I1382" s="18">
        <f>IFERROR(__xludf.DUMMYFUNCTION("""COMPUTED_VALUE"""),1.13)</f>
        <v>1.13</v>
      </c>
      <c r="J1382" s="18">
        <f>IFERROR(__xludf.DUMMYFUNCTION("""COMPUTED_VALUE"""),2.25)</f>
        <v>2.25</v>
      </c>
      <c r="K1382" s="18">
        <f>IFERROR(__xludf.DUMMYFUNCTION("""COMPUTED_VALUE"""),2.81)</f>
        <v>2.81</v>
      </c>
      <c r="L1382" s="18">
        <f>IFERROR(__xludf.DUMMYFUNCTION("""COMPUTED_VALUE"""),4.5)</f>
        <v>4.5</v>
      </c>
    </row>
    <row r="1383">
      <c r="A1383" s="13" t="str">
        <f>IFERROR(__xludf.DUMMYFUNCTION("""COMPUTED_VALUE"""),"товари")</f>
        <v>товари</v>
      </c>
      <c r="B1383" s="13" t="str">
        <f>IFERROR(__xludf.DUMMYFUNCTION("""COMPUTED_VALUE"""),"промислове обладнання та верстати")</f>
        <v>промислове обладнання та верстати</v>
      </c>
      <c r="C1383" s="15" t="str">
        <f>IFERROR(__xludf.DUMMYFUNCTION("""COMPUTED_VALUE"""),"обладнання для легкої промисловості")</f>
        <v>обладнання для легкої промисловості</v>
      </c>
      <c r="D1383" s="15" t="str">
        <f>IFERROR(__xludf.DUMMYFUNCTION("""COMPUTED_VALUE"""),"обладнання для виробництва взуття")</f>
        <v>обладнання для виробництва взуття</v>
      </c>
      <c r="E1383" s="15" t="str">
        <f>IFERROR(__xludf.DUMMYFUNCTION("""COMPUTED_VALUE"""),"устаткування для виготовлення взуття")</f>
        <v>устаткування для виготовлення взуття</v>
      </c>
      <c r="F1383" s="17">
        <f>IFERROR(__xludf.DUMMYFUNCTION("""COMPUTED_VALUE"""),4.0)</f>
        <v>4</v>
      </c>
      <c r="G1383" s="17">
        <f>IFERROR(__xludf.DUMMYFUNCTION("""COMPUTED_VALUE"""),34404.0)</f>
        <v>34404</v>
      </c>
      <c r="H1383" s="17" t="str">
        <f>IFERROR(__xludf.DUMMYFUNCTION("""COMPUTED_VALUE"""),"устаткування для виготовлення взуття")</f>
        <v>устаткування для виготовлення взуття</v>
      </c>
      <c r="I1383" s="18">
        <f>IFERROR(__xludf.DUMMYFUNCTION("""COMPUTED_VALUE"""),0.86)</f>
        <v>0.86</v>
      </c>
      <c r="J1383" s="18">
        <f>IFERROR(__xludf.DUMMYFUNCTION("""COMPUTED_VALUE"""),1.71)</f>
        <v>1.71</v>
      </c>
      <c r="K1383" s="18">
        <f>IFERROR(__xludf.DUMMYFUNCTION("""COMPUTED_VALUE"""),2.14)</f>
        <v>2.14</v>
      </c>
      <c r="L1383" s="18">
        <f>IFERROR(__xludf.DUMMYFUNCTION("""COMPUTED_VALUE"""),3.43)</f>
        <v>3.43</v>
      </c>
    </row>
    <row r="1384">
      <c r="A1384" s="13" t="str">
        <f>IFERROR(__xludf.DUMMYFUNCTION("""COMPUTED_VALUE"""),"товари")</f>
        <v>товари</v>
      </c>
      <c r="B1384" s="13" t="str">
        <f>IFERROR(__xludf.DUMMYFUNCTION("""COMPUTED_VALUE"""),"промислове обладнання та верстати")</f>
        <v>промислове обладнання та верстати</v>
      </c>
      <c r="C1384" s="15" t="str">
        <f>IFERROR(__xludf.DUMMYFUNCTION("""COMPUTED_VALUE"""),"виробниче обладнання")</f>
        <v>виробниче обладнання</v>
      </c>
      <c r="D1384" s="15" t="str">
        <f>IFERROR(__xludf.DUMMYFUNCTION("""COMPUTED_VALUE"""),"обладнання для виробництва вікон")</f>
        <v>обладнання для виробництва вікон</v>
      </c>
      <c r="E1384" s="15" t="str">
        <f>IFERROR(__xludf.DUMMYFUNCTION("""COMPUTED_VALUE"""),"обладнання для виробництва вікон")</f>
        <v>обладнання для виробництва вікон</v>
      </c>
      <c r="F1384" s="17">
        <f>IFERROR(__xludf.DUMMYFUNCTION("""COMPUTED_VALUE"""),3.0)</f>
        <v>3</v>
      </c>
      <c r="G1384" s="17">
        <f>IFERROR(__xludf.DUMMYFUNCTION("""COMPUTED_VALUE"""),1.4312102E7)</f>
        <v>14312102</v>
      </c>
      <c r="H1384" s="17" t="str">
        <f>IFERROR(__xludf.DUMMYFUNCTION("""COMPUTED_VALUE"""),"обладнання для виробництва вікон")</f>
        <v>обладнання для виробництва вікон</v>
      </c>
      <c r="I1384" s="18">
        <f>IFERROR(__xludf.DUMMYFUNCTION("""COMPUTED_VALUE"""),1.04)</f>
        <v>1.04</v>
      </c>
      <c r="J1384" s="18">
        <f>IFERROR(__xludf.DUMMYFUNCTION("""COMPUTED_VALUE"""),2.08)</f>
        <v>2.08</v>
      </c>
      <c r="K1384" s="18">
        <f>IFERROR(__xludf.DUMMYFUNCTION("""COMPUTED_VALUE"""),2.59)</f>
        <v>2.59</v>
      </c>
      <c r="L1384" s="18">
        <f>IFERROR(__xludf.DUMMYFUNCTION("""COMPUTED_VALUE"""),4.15)</f>
        <v>4.15</v>
      </c>
    </row>
    <row r="1385">
      <c r="A1385" s="13" t="str">
        <f>IFERROR(__xludf.DUMMYFUNCTION("""COMPUTED_VALUE"""),"товари")</f>
        <v>товари</v>
      </c>
      <c r="B1385" s="13" t="str">
        <f>IFERROR(__xludf.DUMMYFUNCTION("""COMPUTED_VALUE"""),"промислове обладнання та верстати")</f>
        <v>промислове обладнання та верстати</v>
      </c>
      <c r="C1385" s="15" t="str">
        <f>IFERROR(__xludf.DUMMYFUNCTION("""COMPUTED_VALUE"""),"виробниче обладнання")</f>
        <v>виробниче обладнання</v>
      </c>
      <c r="D1385" s="15" t="str">
        <f>IFERROR(__xludf.DUMMYFUNCTION("""COMPUTED_VALUE"""),"обладнання для обробки пластику та гуми")</f>
        <v>обладнання для обробки пластику та гуми</v>
      </c>
      <c r="E1385" s="15" t="str">
        <f>IFERROR(__xludf.DUMMYFUNCTION("""COMPUTED_VALUE"""),"обладнання для виробництва вікон пвх")</f>
        <v>обладнання для виробництва вікон пвх</v>
      </c>
      <c r="F1385" s="17">
        <f>IFERROR(__xludf.DUMMYFUNCTION("""COMPUTED_VALUE"""),4.0)</f>
        <v>4</v>
      </c>
      <c r="G1385" s="17">
        <f>IFERROR(__xludf.DUMMYFUNCTION("""COMPUTED_VALUE"""),4307.0)</f>
        <v>4307</v>
      </c>
      <c r="H1385" s="17" t="str">
        <f>IFERROR(__xludf.DUMMYFUNCTION("""COMPUTED_VALUE"""),"обладнання для виробництва вікон пвх")</f>
        <v>обладнання для виробництва вікон пвх</v>
      </c>
      <c r="I1385" s="18">
        <f>IFERROR(__xludf.DUMMYFUNCTION("""COMPUTED_VALUE"""),1.53)</f>
        <v>1.53</v>
      </c>
      <c r="J1385" s="18">
        <f>IFERROR(__xludf.DUMMYFUNCTION("""COMPUTED_VALUE"""),3.06)</f>
        <v>3.06</v>
      </c>
      <c r="K1385" s="18">
        <f>IFERROR(__xludf.DUMMYFUNCTION("""COMPUTED_VALUE"""),3.83)</f>
        <v>3.83</v>
      </c>
      <c r="L1385" s="18">
        <f>IFERROR(__xludf.DUMMYFUNCTION("""COMPUTED_VALUE"""),6.13)</f>
        <v>6.13</v>
      </c>
    </row>
    <row r="1386">
      <c r="A1386" s="13" t="str">
        <f>IFERROR(__xludf.DUMMYFUNCTION("""COMPUTED_VALUE"""),"товари")</f>
        <v>товари</v>
      </c>
      <c r="B1386" s="13" t="str">
        <f>IFERROR(__xludf.DUMMYFUNCTION("""COMPUTED_VALUE"""),"промислове обладнання та верстати")</f>
        <v>промислове обладнання та верстати</v>
      </c>
      <c r="C1386" s="15" t="str">
        <f>IFERROR(__xludf.DUMMYFUNCTION("""COMPUTED_VALUE"""),"виробниче обладнання")</f>
        <v>виробниче обладнання</v>
      </c>
      <c r="D1386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86" s="15" t="str">
        <f>IFERROR(__xludf.DUMMYFUNCTION("""COMPUTED_VALUE"""),"обладнання для виробництва кабелю та дроту")</f>
        <v>обладнання для виробництва кабелю та дроту</v>
      </c>
      <c r="F1386" s="17">
        <f>IFERROR(__xludf.DUMMYFUNCTION("""COMPUTED_VALUE"""),4.0)</f>
        <v>4</v>
      </c>
      <c r="G1386" s="17">
        <f>IFERROR(__xludf.DUMMYFUNCTION("""COMPUTED_VALUE"""),1.4190404E7)</f>
        <v>14190404</v>
      </c>
      <c r="H1386" s="17" t="str">
        <f>IFERROR(__xludf.DUMMYFUNCTION("""COMPUTED_VALUE"""),"обладнання для виробництва кабелю та дроту")</f>
        <v>обладнання для виробництва кабелю та дроту</v>
      </c>
      <c r="I1386" s="18">
        <f>IFERROR(__xludf.DUMMYFUNCTION("""COMPUTED_VALUE"""),1.04)</f>
        <v>1.04</v>
      </c>
      <c r="J1386" s="18">
        <f>IFERROR(__xludf.DUMMYFUNCTION("""COMPUTED_VALUE"""),2.08)</f>
        <v>2.08</v>
      </c>
      <c r="K1386" s="18">
        <f>IFERROR(__xludf.DUMMYFUNCTION("""COMPUTED_VALUE"""),2.59)</f>
        <v>2.59</v>
      </c>
      <c r="L1386" s="18">
        <f>IFERROR(__xludf.DUMMYFUNCTION("""COMPUTED_VALUE"""),4.15)</f>
        <v>4.15</v>
      </c>
    </row>
    <row r="1387">
      <c r="A1387" s="13" t="str">
        <f>IFERROR(__xludf.DUMMYFUNCTION("""COMPUTED_VALUE"""),"товари")</f>
        <v>товари</v>
      </c>
      <c r="B1387" s="13" t="str">
        <f>IFERROR(__xludf.DUMMYFUNCTION("""COMPUTED_VALUE"""),"промислове обладнання та верстати")</f>
        <v>промислове обладнання та верстати</v>
      </c>
      <c r="C1387" s="15" t="str">
        <f>IFERROR(__xludf.DUMMYFUNCTION("""COMPUTED_VALUE"""),"обладнання для харчової промисловості")</f>
        <v>обладнання для харчової промисловості</v>
      </c>
      <c r="D1387" s="15" t="str">
        <f>IFERROR(__xludf.DUMMYFUNCTION("""COMPUTED_VALUE"""),"обладнання для виробництва напівфабрикатів")</f>
        <v>обладнання для виробництва напівфабрикатів</v>
      </c>
      <c r="E1387" s="15" t="str">
        <f>IFERROR(__xludf.DUMMYFUNCTION("""COMPUTED_VALUE"""),"обладнання для виробництва напівфабрикатів")</f>
        <v>обладнання для виробництва напівфабрикатів</v>
      </c>
      <c r="F1387" s="17">
        <f>IFERROR(__xludf.DUMMYFUNCTION("""COMPUTED_VALUE"""),3.0)</f>
        <v>3</v>
      </c>
      <c r="G1387" s="17">
        <f>IFERROR(__xludf.DUMMYFUNCTION("""COMPUTED_VALUE"""),22020.0)</f>
        <v>22020</v>
      </c>
      <c r="H1387" s="17" t="str">
        <f>IFERROR(__xludf.DUMMYFUNCTION("""COMPUTED_VALUE"""),"обладнання для виробництва напівфабрикатів")</f>
        <v>обладнання для виробництва напівфабрикатів</v>
      </c>
      <c r="I1387" s="18">
        <f>IFERROR(__xludf.DUMMYFUNCTION("""COMPUTED_VALUE"""),1.08)</f>
        <v>1.08</v>
      </c>
      <c r="J1387" s="18">
        <f>IFERROR(__xludf.DUMMYFUNCTION("""COMPUTED_VALUE"""),2.16)</f>
        <v>2.16</v>
      </c>
      <c r="K1387" s="18">
        <f>IFERROR(__xludf.DUMMYFUNCTION("""COMPUTED_VALUE"""),2.7)</f>
        <v>2.7</v>
      </c>
      <c r="L1387" s="18">
        <f>IFERROR(__xludf.DUMMYFUNCTION("""COMPUTED_VALUE"""),4.33)</f>
        <v>4.33</v>
      </c>
    </row>
    <row r="1388">
      <c r="A1388" s="13" t="str">
        <f>IFERROR(__xludf.DUMMYFUNCTION("""COMPUTED_VALUE"""),"товари")</f>
        <v>товари</v>
      </c>
      <c r="B1388" s="13" t="str">
        <f>IFERROR(__xludf.DUMMYFUNCTION("""COMPUTED_VALUE"""),"промислове обладнання та верстати")</f>
        <v>промислове обладнання та верстати</v>
      </c>
      <c r="C1388" s="15" t="str">
        <f>IFERROR(__xludf.DUMMYFUNCTION("""COMPUTED_VALUE"""),"обладнання для харчової промисловості")</f>
        <v>обладнання для харчової промисловості</v>
      </c>
      <c r="D1388" s="15" t="str">
        <f>IFERROR(__xludf.DUMMYFUNCTION("""COMPUTED_VALUE"""),"обладнання для виробництва олійно-жирової та крохмале-патокової продукції")</f>
        <v>обладнання для виробництва олійно-жирової та крохмале-патокової продукції</v>
      </c>
      <c r="E1388" s="15" t="str">
        <f>IFERROR(__xludf.DUMMYFUNCTION("""COMPUTED_VALUE"""),"обладнання для виробництва олійно-жирової та крохмале-патокової продукції")</f>
        <v>обладнання для виробництва олійно-жирової та крохмале-патокової продукції</v>
      </c>
      <c r="F1388" s="17">
        <f>IFERROR(__xludf.DUMMYFUNCTION("""COMPUTED_VALUE"""),3.0)</f>
        <v>3</v>
      </c>
      <c r="G1388" s="17">
        <f>IFERROR(__xludf.DUMMYFUNCTION("""COMPUTED_VALUE"""),22003.0)</f>
        <v>22003</v>
      </c>
      <c r="H1388" s="17" t="str">
        <f>IFERROR(__xludf.DUMMYFUNCTION("""COMPUTED_VALUE"""),"обладнання для виробництва олійно-жирової та крохмале-патокової продукції")</f>
        <v>обладнання для виробництва олійно-жирової та крохмале-патокової продукції</v>
      </c>
      <c r="I1388" s="18">
        <f>IFERROR(__xludf.DUMMYFUNCTION("""COMPUTED_VALUE"""),1.8)</f>
        <v>1.8</v>
      </c>
      <c r="J1388" s="18">
        <f>IFERROR(__xludf.DUMMYFUNCTION("""COMPUTED_VALUE"""),3.6)</f>
        <v>3.6</v>
      </c>
      <c r="K1388" s="18">
        <f>IFERROR(__xludf.DUMMYFUNCTION("""COMPUTED_VALUE"""),4.5)</f>
        <v>4.5</v>
      </c>
      <c r="L1388" s="18">
        <f>IFERROR(__xludf.DUMMYFUNCTION("""COMPUTED_VALUE"""),7.2)</f>
        <v>7.2</v>
      </c>
    </row>
    <row r="1389">
      <c r="A1389" s="13" t="str">
        <f>IFERROR(__xludf.DUMMYFUNCTION("""COMPUTED_VALUE"""),"товари")</f>
        <v>товари</v>
      </c>
      <c r="B1389" s="13" t="str">
        <f>IFERROR(__xludf.DUMMYFUNCTION("""COMPUTED_VALUE"""),"промислове обладнання та верстати")</f>
        <v>промислове обладнання та верстати</v>
      </c>
      <c r="C1389" s="15" t="str">
        <f>IFERROR(__xludf.DUMMYFUNCTION("""COMPUTED_VALUE"""),"виробниче обладнання")</f>
        <v>виробниче обладнання</v>
      </c>
      <c r="D1389" s="15" t="str">
        <f>IFERROR(__xludf.DUMMYFUNCTION("""COMPUTED_VALUE"""),"обладнання для виробництва профілів, профнастилу та сендвіч-панелей")</f>
        <v>обладнання для виробництва профілів, профнастилу та сендвіч-панелей</v>
      </c>
      <c r="E1389" s="15" t="str">
        <f>IFERROR(__xludf.DUMMYFUNCTION("""COMPUTED_VALUE"""),"обладнання для виробництва профілів, профнастилу та сендвіч-панелей")</f>
        <v>обладнання для виробництва профілів, профнастилу та сендвіч-панелей</v>
      </c>
      <c r="F1389" s="17">
        <f>IFERROR(__xludf.DUMMYFUNCTION("""COMPUTED_VALUE"""),3.0)</f>
        <v>3</v>
      </c>
      <c r="G1389" s="17">
        <f>IFERROR(__xludf.DUMMYFUNCTION("""COMPUTED_VALUE"""),431424.0)</f>
        <v>431424</v>
      </c>
      <c r="H1389" s="17" t="str">
        <f>IFERROR(__xludf.DUMMYFUNCTION("""COMPUTED_VALUE"""),"обладнання для виробництва профілів, профнастилу та сендвіч-панелей")</f>
        <v>обладнання для виробництва профілів, профнастилу та сендвіч-панелей</v>
      </c>
      <c r="I1389" s="18">
        <f>IFERROR(__xludf.DUMMYFUNCTION("""COMPUTED_VALUE"""),1.04)</f>
        <v>1.04</v>
      </c>
      <c r="J1389" s="18">
        <f>IFERROR(__xludf.DUMMYFUNCTION("""COMPUTED_VALUE"""),2.08)</f>
        <v>2.08</v>
      </c>
      <c r="K1389" s="18">
        <f>IFERROR(__xludf.DUMMYFUNCTION("""COMPUTED_VALUE"""),2.59)</f>
        <v>2.59</v>
      </c>
      <c r="L1389" s="18">
        <f>IFERROR(__xludf.DUMMYFUNCTION("""COMPUTED_VALUE"""),4.15)</f>
        <v>4.15</v>
      </c>
    </row>
    <row r="1390">
      <c r="A1390" s="13" t="str">
        <f>IFERROR(__xludf.DUMMYFUNCTION("""COMPUTED_VALUE"""),"товари")</f>
        <v>товари</v>
      </c>
      <c r="B1390" s="13" t="str">
        <f>IFERROR(__xludf.DUMMYFUNCTION("""COMPUTED_VALUE"""),"промислове обладнання та верстати")</f>
        <v>промислове обладнання та верстати</v>
      </c>
      <c r="C1390" s="15" t="str">
        <f>IFERROR(__xludf.DUMMYFUNCTION("""COMPUTED_VALUE"""),"виробниче обладнання")</f>
        <v>виробниче обладнання</v>
      </c>
      <c r="D1390" s="15" t="str">
        <f>IFERROR(__xludf.DUMMYFUNCTION("""COMPUTED_VALUE"""),"обладнання для виробництва тепло-, звуко-, шумо-, гідроізоляційних матеріалів")</f>
        <v>обладнання для виробництва тепло-, звуко-, шумо-, гідроізоляційних матеріалів</v>
      </c>
      <c r="E1390" s="15" t="str">
        <f>IFERROR(__xludf.DUMMYFUNCTION("""COMPUTED_VALUE"""),"обладнання для виробництва тепло-, звуко-, шумо-, гідроізоляційних матеріалів")</f>
        <v>обладнання для виробництва тепло-, звуко-, шумо-, гідроізоляційних матеріалів</v>
      </c>
      <c r="F1390" s="17">
        <f>IFERROR(__xludf.DUMMYFUNCTION("""COMPUTED_VALUE"""),3.0)</f>
        <v>3</v>
      </c>
      <c r="G1390" s="17">
        <f>IFERROR(__xludf.DUMMYFUNCTION("""COMPUTED_VALUE"""),431418.0)</f>
        <v>431418</v>
      </c>
      <c r="H1390" s="17" t="str">
        <f>IFERROR(__xludf.DUMMYFUNCTION("""COMPUTED_VALUE"""),"обладнання для виробництва тепло-, звуко-, шумо-, гідроізоляційних матеріалів")</f>
        <v>обладнання для виробництва тепло-, звуко-, шумо-, гідроізоляційних матеріалів</v>
      </c>
      <c r="I1390" s="18">
        <f>IFERROR(__xludf.DUMMYFUNCTION("""COMPUTED_VALUE"""),1.17)</f>
        <v>1.17</v>
      </c>
      <c r="J1390" s="18">
        <f>IFERROR(__xludf.DUMMYFUNCTION("""COMPUTED_VALUE"""),2.34)</f>
        <v>2.34</v>
      </c>
      <c r="K1390" s="18">
        <f>IFERROR(__xludf.DUMMYFUNCTION("""COMPUTED_VALUE"""),2.92)</f>
        <v>2.92</v>
      </c>
      <c r="L1390" s="18">
        <f>IFERROR(__xludf.DUMMYFUNCTION("""COMPUTED_VALUE"""),4.68)</f>
        <v>4.68</v>
      </c>
    </row>
    <row r="1391">
      <c r="A1391" s="13" t="str">
        <f>IFERROR(__xludf.DUMMYFUNCTION("""COMPUTED_VALUE"""),"товари")</f>
        <v>товари</v>
      </c>
      <c r="B1391" s="13" t="str">
        <f>IFERROR(__xludf.DUMMYFUNCTION("""COMPUTED_VALUE"""),"промислове обладнання та верстати")</f>
        <v>промислове обладнання та верстати</v>
      </c>
      <c r="C1391" s="15" t="str">
        <f>IFERROR(__xludf.DUMMYFUNCTION("""COMPUTED_VALUE"""),"виробниче обладнання")</f>
        <v>виробниче обладнання</v>
      </c>
      <c r="D1391" s="15" t="str">
        <f>IFERROR(__xludf.DUMMYFUNCTION("""COMPUTED_VALUE"""),"обладнання для виробництва, загальне")</f>
        <v>обладнання для виробництва, загальне</v>
      </c>
      <c r="E1391" s="15" t="str">
        <f>IFERROR(__xludf.DUMMYFUNCTION("""COMPUTED_VALUE"""),"обладнання для виробництва, загальне")</f>
        <v>обладнання для виробництва, загальне</v>
      </c>
      <c r="F1391" s="17">
        <f>IFERROR(__xludf.DUMMYFUNCTION("""COMPUTED_VALUE"""),3.0)</f>
        <v>3</v>
      </c>
      <c r="G1391" s="17">
        <f>IFERROR(__xludf.DUMMYFUNCTION("""COMPUTED_VALUE"""),431499.0)</f>
        <v>431499</v>
      </c>
      <c r="H1391" s="17" t="str">
        <f>IFERROR(__xludf.DUMMYFUNCTION("""COMPUTED_VALUE"""),"обладнання для виробництва, загальне")</f>
        <v>обладнання для виробництва, загальне</v>
      </c>
      <c r="I1391" s="18">
        <f>IFERROR(__xludf.DUMMYFUNCTION("""COMPUTED_VALUE"""),2.16)</f>
        <v>2.16</v>
      </c>
      <c r="J1391" s="18">
        <f>IFERROR(__xludf.DUMMYFUNCTION("""COMPUTED_VALUE"""),4.33)</f>
        <v>4.33</v>
      </c>
      <c r="K1391" s="18">
        <f>IFERROR(__xludf.DUMMYFUNCTION("""COMPUTED_VALUE"""),5.41)</f>
        <v>5.41</v>
      </c>
      <c r="L1391" s="18">
        <f>IFERROR(__xludf.DUMMYFUNCTION("""COMPUTED_VALUE"""),8.65)</f>
        <v>8.65</v>
      </c>
    </row>
    <row r="1392">
      <c r="A1392" s="13" t="str">
        <f>IFERROR(__xludf.DUMMYFUNCTION("""COMPUTED_VALUE"""),"товари")</f>
        <v>товари</v>
      </c>
      <c r="B1392" s="13" t="str">
        <f>IFERROR(__xludf.DUMMYFUNCTION("""COMPUTED_VALUE"""),"промислове обладнання та верстати")</f>
        <v>промислове обладнання та верстати</v>
      </c>
      <c r="C1392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392" s="15" t="str">
        <f>IFERROR(__xludf.DUMMYFUNCTION("""COMPUTED_VALUE"""),"обладнання для газовидобутку")</f>
        <v>обладнання для газовидобутку</v>
      </c>
      <c r="E1392" s="15" t="str">
        <f>IFERROR(__xludf.DUMMYFUNCTION("""COMPUTED_VALUE"""),"обладнання для газовидобутку, загальне")</f>
        <v>обладнання для газовидобутку, загальне</v>
      </c>
      <c r="F1392" s="17">
        <f>IFERROR(__xludf.DUMMYFUNCTION("""COMPUTED_VALUE"""),4.0)</f>
        <v>4</v>
      </c>
      <c r="G1392" s="17">
        <f>IFERROR(__xludf.DUMMYFUNCTION("""COMPUTED_VALUE"""),1.4620201E7)</f>
        <v>14620201</v>
      </c>
      <c r="H1392" s="17" t="str">
        <f>IFERROR(__xludf.DUMMYFUNCTION("""COMPUTED_VALUE"""),"обладнання для газовидобутку, загальне")</f>
        <v>обладнання для газовидобутку, загальне</v>
      </c>
      <c r="I1392" s="18">
        <f>IFERROR(__xludf.DUMMYFUNCTION("""COMPUTED_VALUE"""),2.16)</f>
        <v>2.16</v>
      </c>
      <c r="J1392" s="18">
        <f>IFERROR(__xludf.DUMMYFUNCTION("""COMPUTED_VALUE"""),4.33)</f>
        <v>4.33</v>
      </c>
      <c r="K1392" s="18">
        <f>IFERROR(__xludf.DUMMYFUNCTION("""COMPUTED_VALUE"""),5.41)</f>
        <v>5.41</v>
      </c>
      <c r="L1392" s="18">
        <f>IFERROR(__xludf.DUMMYFUNCTION("""COMPUTED_VALUE"""),8.65)</f>
        <v>8.65</v>
      </c>
    </row>
    <row r="1393">
      <c r="A1393" s="13" t="str">
        <f>IFERROR(__xludf.DUMMYFUNCTION("""COMPUTED_VALUE"""),"товари")</f>
        <v>товари</v>
      </c>
      <c r="B1393" s="13" t="str">
        <f>IFERROR(__xludf.DUMMYFUNCTION("""COMPUTED_VALUE"""),"промислове обладнання та верстати")</f>
        <v>промислове обладнання та верстати</v>
      </c>
      <c r="C1393" s="15" t="str">
        <f>IFERROR(__xludf.DUMMYFUNCTION("""COMPUTED_VALUE"""),"технологічне обладнання")</f>
        <v>технологічне обладнання</v>
      </c>
      <c r="D1393" s="15" t="str">
        <f>IFERROR(__xludf.DUMMYFUNCTION("""COMPUTED_VALUE"""),"лазерне обладнання")</f>
        <v>лазерне обладнання</v>
      </c>
      <c r="E1393" s="15" t="str">
        <f>IFERROR(__xludf.DUMMYFUNCTION("""COMPUTED_VALUE"""),"обладнання для лазерного різання")</f>
        <v>обладнання для лазерного різання</v>
      </c>
      <c r="F1393" s="17">
        <f>IFERROR(__xludf.DUMMYFUNCTION("""COMPUTED_VALUE"""),4.0)</f>
        <v>4</v>
      </c>
      <c r="G1393" s="17">
        <f>IFERROR(__xludf.DUMMYFUNCTION("""COMPUTED_VALUE"""),52001.0)</f>
        <v>52001</v>
      </c>
      <c r="H1393" s="17" t="str">
        <f>IFERROR(__xludf.DUMMYFUNCTION("""COMPUTED_VALUE"""),"обладнання для лазерного різання")</f>
        <v>обладнання для лазерного різання</v>
      </c>
      <c r="I1393" s="18">
        <f>IFERROR(__xludf.DUMMYFUNCTION("""COMPUTED_VALUE"""),2.21)</f>
        <v>2.21</v>
      </c>
      <c r="J1393" s="18">
        <f>IFERROR(__xludf.DUMMYFUNCTION("""COMPUTED_VALUE"""),4.41)</f>
        <v>4.41</v>
      </c>
      <c r="K1393" s="18">
        <f>IFERROR(__xludf.DUMMYFUNCTION("""COMPUTED_VALUE"""),5.52)</f>
        <v>5.52</v>
      </c>
      <c r="L1393" s="18">
        <f>IFERROR(__xludf.DUMMYFUNCTION("""COMPUTED_VALUE"""),8.83)</f>
        <v>8.83</v>
      </c>
    </row>
    <row r="1394">
      <c r="A1394" s="13" t="str">
        <f>IFERROR(__xludf.DUMMYFUNCTION("""COMPUTED_VALUE"""),"товари")</f>
        <v>товари</v>
      </c>
      <c r="B1394" s="13" t="str">
        <f>IFERROR(__xludf.DUMMYFUNCTION("""COMPUTED_VALUE"""),"промислове обладнання та верстати")</f>
        <v>промислове обладнання та верстати</v>
      </c>
      <c r="C1394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394" s="15" t="str">
        <f>IFERROR(__xludf.DUMMYFUNCTION("""COMPUTED_VALUE"""),"обладнання для миття деталей")</f>
        <v>обладнання для миття деталей</v>
      </c>
      <c r="E1394" s="15" t="str">
        <f>IFERROR(__xludf.DUMMYFUNCTION("""COMPUTED_VALUE"""),"обладнання для миття деталей")</f>
        <v>обладнання для миття деталей</v>
      </c>
      <c r="F1394" s="17">
        <f>IFERROR(__xludf.DUMMYFUNCTION("""COMPUTED_VALUE"""),3.0)</f>
        <v>3</v>
      </c>
      <c r="G1394" s="17">
        <f>IFERROR(__xludf.DUMMYFUNCTION("""COMPUTED_VALUE"""),147011.0)</f>
        <v>147011</v>
      </c>
      <c r="H1394" s="17" t="str">
        <f>IFERROR(__xludf.DUMMYFUNCTION("""COMPUTED_VALUE"""),"обладнання для миття деталей")</f>
        <v>обладнання для миття деталей</v>
      </c>
      <c r="I1394" s="18">
        <f>IFERROR(__xludf.DUMMYFUNCTION("""COMPUTED_VALUE"""),1.58)</f>
        <v>1.58</v>
      </c>
      <c r="J1394" s="18">
        <f>IFERROR(__xludf.DUMMYFUNCTION("""COMPUTED_VALUE"""),3.15)</f>
        <v>3.15</v>
      </c>
      <c r="K1394" s="18">
        <f>IFERROR(__xludf.DUMMYFUNCTION("""COMPUTED_VALUE"""),3.94)</f>
        <v>3.94</v>
      </c>
      <c r="L1394" s="18">
        <f>IFERROR(__xludf.DUMMYFUNCTION("""COMPUTED_VALUE"""),6.3)</f>
        <v>6.3</v>
      </c>
    </row>
    <row r="1395">
      <c r="A1395" s="13" t="str">
        <f>IFERROR(__xludf.DUMMYFUNCTION("""COMPUTED_VALUE"""),"товари")</f>
        <v>товари</v>
      </c>
      <c r="B1395" s="13" t="str">
        <f>IFERROR(__xludf.DUMMYFUNCTION("""COMPUTED_VALUE"""),"промислове обладнання та верстати")</f>
        <v>промислове обладнання та верстати</v>
      </c>
      <c r="C1395" s="15" t="str">
        <f>IFERROR(__xludf.DUMMYFUNCTION("""COMPUTED_VALUE"""),"обладнання для харчової промисловості")</f>
        <v>обладнання для харчової промисловості</v>
      </c>
      <c r="D1395" s="15" t="str">
        <f>IFERROR(__xludf.DUMMYFUNCTION("""COMPUTED_VALUE"""),"обладнання для миття, розливу, фасувально-пакувальних і складських операцій")</f>
        <v>обладнання для миття, розливу, фасувально-пакувальних і складських операцій</v>
      </c>
      <c r="E1395" s="15" t="str">
        <f>IFERROR(__xludf.DUMMYFUNCTION("""COMPUTED_VALUE"""),"обладнання для миття тари")</f>
        <v>обладнання для миття тари</v>
      </c>
      <c r="F1395" s="17">
        <f>IFERROR(__xludf.DUMMYFUNCTION("""COMPUTED_VALUE"""),4.0)</f>
        <v>4</v>
      </c>
      <c r="G1395" s="17">
        <f>IFERROR(__xludf.DUMMYFUNCTION("""COMPUTED_VALUE"""),2201802.0)</f>
        <v>2201802</v>
      </c>
      <c r="H1395" s="17" t="str">
        <f>IFERROR(__xludf.DUMMYFUNCTION("""COMPUTED_VALUE"""),"обладнання для миття тари")</f>
        <v>обладнання для миття тари</v>
      </c>
      <c r="I1395" s="18">
        <f>IFERROR(__xludf.DUMMYFUNCTION("""COMPUTED_VALUE"""),1.08)</f>
        <v>1.08</v>
      </c>
      <c r="J1395" s="18">
        <f>IFERROR(__xludf.DUMMYFUNCTION("""COMPUTED_VALUE"""),2.16)</f>
        <v>2.16</v>
      </c>
      <c r="K1395" s="18">
        <f>IFERROR(__xludf.DUMMYFUNCTION("""COMPUTED_VALUE"""),2.7)</f>
        <v>2.7</v>
      </c>
      <c r="L1395" s="18">
        <f>IFERROR(__xludf.DUMMYFUNCTION("""COMPUTED_VALUE"""),4.33)</f>
        <v>4.33</v>
      </c>
    </row>
    <row r="1396">
      <c r="A1396" s="13" t="str">
        <f>IFERROR(__xludf.DUMMYFUNCTION("""COMPUTED_VALUE"""),"товари")</f>
        <v>товари</v>
      </c>
      <c r="B1396" s="13" t="str">
        <f>IFERROR(__xludf.DUMMYFUNCTION("""COMPUTED_VALUE"""),"промислове обладнання та верстати")</f>
        <v>промислове обладнання та верстати</v>
      </c>
      <c r="C1396" s="15" t="str">
        <f>IFERROR(__xludf.DUMMYFUNCTION("""COMPUTED_VALUE"""),"обладнання для харчової промисловості")</f>
        <v>обладнання для харчової промисловості</v>
      </c>
      <c r="D1396" s="15" t="str">
        <f>IFERROR(__xludf.DUMMYFUNCTION("""COMPUTED_VALUE"""),"обладнання для миття, розливу, фасувально-пакувальних і складських операцій")</f>
        <v>обладнання для миття, розливу, фасувально-пакувальних і складських операцій</v>
      </c>
      <c r="E1396" s="15" t="str">
        <f>IFERROR(__xludf.DUMMYFUNCTION("""COMPUTED_VALUE"""),"обладнання для миття, розливу, фасувально-пакувальних і складських операцій, загальне")</f>
        <v>обладнання для миття, розливу, фасувально-пакувальних і складських операцій, загальне</v>
      </c>
      <c r="F1396" s="17">
        <f>IFERROR(__xludf.DUMMYFUNCTION("""COMPUTED_VALUE"""),4.0)</f>
        <v>4</v>
      </c>
      <c r="G1396" s="17">
        <f>IFERROR(__xludf.DUMMYFUNCTION("""COMPUTED_VALUE"""),2201801.0)</f>
        <v>2201801</v>
      </c>
      <c r="H1396" s="17" t="str">
        <f>IFERROR(__xludf.DUMMYFUNCTION("""COMPUTED_VALUE"""),"обладнання для миття, розливу, фасувально-пакувальних і складських операцій, загальне")</f>
        <v>обладнання для миття, розливу, фасувально-пакувальних і складських операцій, загальне</v>
      </c>
      <c r="I1396" s="18">
        <f>IFERROR(__xludf.DUMMYFUNCTION("""COMPUTED_VALUE"""),2.16)</f>
        <v>2.16</v>
      </c>
      <c r="J1396" s="18">
        <f>IFERROR(__xludf.DUMMYFUNCTION("""COMPUTED_VALUE"""),4.33)</f>
        <v>4.33</v>
      </c>
      <c r="K1396" s="18">
        <f>IFERROR(__xludf.DUMMYFUNCTION("""COMPUTED_VALUE"""),5.41)</f>
        <v>5.41</v>
      </c>
      <c r="L1396" s="18">
        <f>IFERROR(__xludf.DUMMYFUNCTION("""COMPUTED_VALUE"""),8.65)</f>
        <v>8.65</v>
      </c>
    </row>
    <row r="1397">
      <c r="A1397" s="13" t="str">
        <f>IFERROR(__xludf.DUMMYFUNCTION("""COMPUTED_VALUE"""),"товари")</f>
        <v>товари</v>
      </c>
      <c r="B1397" s="13" t="str">
        <f>IFERROR(__xludf.DUMMYFUNCTION("""COMPUTED_VALUE"""),"промислове обладнання та верстати")</f>
        <v>промислове обладнання та верстати</v>
      </c>
      <c r="C1397" s="15" t="str">
        <f>IFERROR(__xludf.DUMMYFUNCTION("""COMPUTED_VALUE"""),"виробниче обладнання")</f>
        <v>виробниче обладнання</v>
      </c>
      <c r="D1397" s="15" t="str">
        <f>IFERROR(__xludf.DUMMYFUNCTION("""COMPUTED_VALUE"""),"обладнання для обробки металів")</f>
        <v>обладнання для обробки металів</v>
      </c>
      <c r="E1397" s="15" t="str">
        <f>IFERROR(__xludf.DUMMYFUNCTION("""COMPUTED_VALUE"""),"обладнання для обробки металів")</f>
        <v>обладнання для обробки металів</v>
      </c>
      <c r="F1397" s="17">
        <f>IFERROR(__xludf.DUMMYFUNCTION("""COMPUTED_VALUE"""),3.0)</f>
        <v>3</v>
      </c>
      <c r="G1397" s="17">
        <f>IFERROR(__xludf.DUMMYFUNCTION("""COMPUTED_VALUE"""),142603.0)</f>
        <v>142603</v>
      </c>
      <c r="H1397" s="17" t="str">
        <f>IFERROR(__xludf.DUMMYFUNCTION("""COMPUTED_VALUE"""),"обладнання для обробки металів")</f>
        <v>обладнання для обробки металів</v>
      </c>
      <c r="I1397" s="18">
        <f>IFERROR(__xludf.DUMMYFUNCTION("""COMPUTED_VALUE"""),1.04)</f>
        <v>1.04</v>
      </c>
      <c r="J1397" s="18">
        <f>IFERROR(__xludf.DUMMYFUNCTION("""COMPUTED_VALUE"""),2.08)</f>
        <v>2.08</v>
      </c>
      <c r="K1397" s="18">
        <f>IFERROR(__xludf.DUMMYFUNCTION("""COMPUTED_VALUE"""),2.59)</f>
        <v>2.59</v>
      </c>
      <c r="L1397" s="18">
        <f>IFERROR(__xludf.DUMMYFUNCTION("""COMPUTED_VALUE"""),4.15)</f>
        <v>4.15</v>
      </c>
    </row>
    <row r="1398">
      <c r="A1398" s="13" t="str">
        <f>IFERROR(__xludf.DUMMYFUNCTION("""COMPUTED_VALUE"""),"товари")</f>
        <v>товари</v>
      </c>
      <c r="B1398" s="13" t="str">
        <f>IFERROR(__xludf.DUMMYFUNCTION("""COMPUTED_VALUE"""),"промислове обладнання та верстати")</f>
        <v>промислове обладнання та верстати</v>
      </c>
      <c r="C1398" s="15" t="str">
        <f>IFERROR(__xludf.DUMMYFUNCTION("""COMPUTED_VALUE"""),"обладнання для харчової промисловості")</f>
        <v>обладнання для харчової промисловості</v>
      </c>
      <c r="D1398" s="15" t="str">
        <f>IFERROR(__xludf.DUMMYFUNCTION("""COMPUTED_VALUE"""),"обладнання для переробки відходів птахофабрик і тваринництва")</f>
        <v>обладнання для переробки відходів птахофабрик і тваринництва</v>
      </c>
      <c r="E1398" s="15" t="str">
        <f>IFERROR(__xludf.DUMMYFUNCTION("""COMPUTED_VALUE"""),"обладнання для переробки відходів птахофабрик і тваринництва")</f>
        <v>обладнання для переробки відходів птахофабрик і тваринництва</v>
      </c>
      <c r="F1398" s="17">
        <f>IFERROR(__xludf.DUMMYFUNCTION("""COMPUTED_VALUE"""),3.0)</f>
        <v>3</v>
      </c>
      <c r="G1398" s="17">
        <f>IFERROR(__xludf.DUMMYFUNCTION("""COMPUTED_VALUE"""),22016.0)</f>
        <v>22016</v>
      </c>
      <c r="H1398" s="17" t="str">
        <f>IFERROR(__xludf.DUMMYFUNCTION("""COMPUTED_VALUE"""),"обладнання для переробки відходів птахофабрик і тваринництва")</f>
        <v>обладнання для переробки відходів птахофабрик і тваринництва</v>
      </c>
      <c r="I1398" s="18">
        <f>IFERROR(__xludf.DUMMYFUNCTION("""COMPUTED_VALUE"""),2.07)</f>
        <v>2.07</v>
      </c>
      <c r="J1398" s="18">
        <f>IFERROR(__xludf.DUMMYFUNCTION("""COMPUTED_VALUE"""),4.14)</f>
        <v>4.14</v>
      </c>
      <c r="K1398" s="18">
        <f>IFERROR(__xludf.DUMMYFUNCTION("""COMPUTED_VALUE"""),5.17)</f>
        <v>5.17</v>
      </c>
      <c r="L1398" s="18">
        <f>IFERROR(__xludf.DUMMYFUNCTION("""COMPUTED_VALUE"""),8.28)</f>
        <v>8.28</v>
      </c>
    </row>
    <row r="1399">
      <c r="A1399" s="13" t="str">
        <f>IFERROR(__xludf.DUMMYFUNCTION("""COMPUTED_VALUE"""),"товари")</f>
        <v>товари</v>
      </c>
      <c r="B1399" s="13" t="str">
        <f>IFERROR(__xludf.DUMMYFUNCTION("""COMPUTED_VALUE"""),"промислове обладнання та верстати")</f>
        <v>промислове обладнання та верстати</v>
      </c>
      <c r="C1399" s="15" t="str">
        <f>IFERROR(__xludf.DUMMYFUNCTION("""COMPUTED_VALUE"""),"обладнання для харчової промисловості")</f>
        <v>обладнання для харчової промисловості</v>
      </c>
      <c r="D1399" s="15" t="str">
        <f>IFERROR(__xludf.DUMMYFUNCTION("""COMPUTED_VALUE"""),"обладнання для переробки молока, виробництва молокопродуктів")</f>
        <v>обладнання для переробки молока, виробництва молокопродуктів</v>
      </c>
      <c r="E1399" s="15" t="str">
        <f>IFERROR(__xludf.DUMMYFUNCTION("""COMPUTED_VALUE"""),"обладнання для переробки молока, виробництва молокопродуктів")</f>
        <v>обладнання для переробки молока, виробництва молокопродуктів</v>
      </c>
      <c r="F1399" s="17">
        <f>IFERROR(__xludf.DUMMYFUNCTION("""COMPUTED_VALUE"""),3.0)</f>
        <v>3</v>
      </c>
      <c r="G1399" s="17">
        <f>IFERROR(__xludf.DUMMYFUNCTION("""COMPUTED_VALUE"""),2200402.0)</f>
        <v>2200402</v>
      </c>
      <c r="H1399" s="17" t="str">
        <f>IFERROR(__xludf.DUMMYFUNCTION("""COMPUTED_VALUE"""),"обладнання для переробки молока, виробництва молокопродуктів")</f>
        <v>обладнання для переробки молока, виробництва молокопродуктів</v>
      </c>
      <c r="I1399" s="18">
        <f>IFERROR(__xludf.DUMMYFUNCTION("""COMPUTED_VALUE"""),1.08)</f>
        <v>1.08</v>
      </c>
      <c r="J1399" s="18">
        <f>IFERROR(__xludf.DUMMYFUNCTION("""COMPUTED_VALUE"""),2.16)</f>
        <v>2.16</v>
      </c>
      <c r="K1399" s="18">
        <f>IFERROR(__xludf.DUMMYFUNCTION("""COMPUTED_VALUE"""),2.7)</f>
        <v>2.7</v>
      </c>
      <c r="L1399" s="18">
        <f>IFERROR(__xludf.DUMMYFUNCTION("""COMPUTED_VALUE"""),4.33)</f>
        <v>4.33</v>
      </c>
    </row>
    <row r="1400">
      <c r="A1400" s="13" t="str">
        <f>IFERROR(__xludf.DUMMYFUNCTION("""COMPUTED_VALUE"""),"товари")</f>
        <v>товари</v>
      </c>
      <c r="B1400" s="13" t="str">
        <f>IFERROR(__xludf.DUMMYFUNCTION("""COMPUTED_VALUE"""),"промислове обладнання та верстати")</f>
        <v>промислове обладнання та верстати</v>
      </c>
      <c r="C1400" s="15" t="str">
        <f>IFERROR(__xludf.DUMMYFUNCTION("""COMPUTED_VALUE"""),"обладнання для харчової промисловості")</f>
        <v>обладнання для харчової промисловості</v>
      </c>
      <c r="D1400" s="15" t="str">
        <f>IFERROR(__xludf.DUMMYFUNCTION("""COMPUTED_VALUE"""),"обладнання для переробки м'яса, виробництва м'ясопродуктів")</f>
        <v>обладнання для переробки м'яса, виробництва м'ясопродуктів</v>
      </c>
      <c r="E1400" s="15" t="str">
        <f>IFERROR(__xludf.DUMMYFUNCTION("""COMPUTED_VALUE"""),"обладнання для переробки птиці")</f>
        <v>обладнання для переробки птиці</v>
      </c>
      <c r="F1400" s="17">
        <f>IFERROR(__xludf.DUMMYFUNCTION("""COMPUTED_VALUE"""),4.0)</f>
        <v>4</v>
      </c>
      <c r="G1400" s="17">
        <f>IFERROR(__xludf.DUMMYFUNCTION("""COMPUTED_VALUE"""),2200605.0)</f>
        <v>2200605</v>
      </c>
      <c r="H1400" s="17" t="str">
        <f>IFERROR(__xludf.DUMMYFUNCTION("""COMPUTED_VALUE"""),"обладнання для переробки птиці")</f>
        <v>обладнання для переробки птиці</v>
      </c>
      <c r="I1400" s="18">
        <f>IFERROR(__xludf.DUMMYFUNCTION("""COMPUTED_VALUE"""),1.31)</f>
        <v>1.31</v>
      </c>
      <c r="J1400" s="18">
        <f>IFERROR(__xludf.DUMMYFUNCTION("""COMPUTED_VALUE"""),2.61)</f>
        <v>2.61</v>
      </c>
      <c r="K1400" s="18">
        <f>IFERROR(__xludf.DUMMYFUNCTION("""COMPUTED_VALUE"""),3.27)</f>
        <v>3.27</v>
      </c>
      <c r="L1400" s="18">
        <f>IFERROR(__xludf.DUMMYFUNCTION("""COMPUTED_VALUE"""),5.23)</f>
        <v>5.23</v>
      </c>
    </row>
    <row r="1401">
      <c r="A1401" s="13" t="str">
        <f>IFERROR(__xludf.DUMMYFUNCTION("""COMPUTED_VALUE"""),"товари")</f>
        <v>товари</v>
      </c>
      <c r="B1401" s="13" t="str">
        <f>IFERROR(__xludf.DUMMYFUNCTION("""COMPUTED_VALUE"""),"промислове обладнання та верстати")</f>
        <v>промислове обладнання та верстати</v>
      </c>
      <c r="C1401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01" s="15" t="str">
        <f>IFERROR(__xludf.DUMMYFUNCTION("""COMPUTED_VALUE"""),"обладнання для переробки та утилізації відходів")</f>
        <v>обладнання для переробки та утилізації відходів</v>
      </c>
      <c r="E1401" s="15" t="str">
        <f>IFERROR(__xludf.DUMMYFUNCTION("""COMPUTED_VALUE"""),"обладнання для переробки та утилізації відходів")</f>
        <v>обладнання для переробки та утилізації відходів</v>
      </c>
      <c r="F1401" s="17">
        <f>IFERROR(__xludf.DUMMYFUNCTION("""COMPUTED_VALUE"""),3.0)</f>
        <v>3</v>
      </c>
      <c r="G1401" s="17">
        <f>IFERROR(__xludf.DUMMYFUNCTION("""COMPUTED_VALUE"""),110402.0)</f>
        <v>110402</v>
      </c>
      <c r="H1401" s="17" t="str">
        <f>IFERROR(__xludf.DUMMYFUNCTION("""COMPUTED_VALUE"""),"обладнання для переробки та утилізації відходів")</f>
        <v>обладнання для переробки та утилізації відходів</v>
      </c>
      <c r="I1401" s="18">
        <f>IFERROR(__xludf.DUMMYFUNCTION("""COMPUTED_VALUE"""),0.53)</f>
        <v>0.53</v>
      </c>
      <c r="J1401" s="18">
        <f>IFERROR(__xludf.DUMMYFUNCTION("""COMPUTED_VALUE"""),1.05)</f>
        <v>1.05</v>
      </c>
      <c r="K1401" s="18">
        <f>IFERROR(__xludf.DUMMYFUNCTION("""COMPUTED_VALUE"""),1.31)</f>
        <v>1.31</v>
      </c>
      <c r="L1401" s="18">
        <f>IFERROR(__xludf.DUMMYFUNCTION("""COMPUTED_VALUE"""),2.1)</f>
        <v>2.1</v>
      </c>
    </row>
    <row r="1402">
      <c r="A1402" s="13" t="str">
        <f>IFERROR(__xludf.DUMMYFUNCTION("""COMPUTED_VALUE"""),"товари")</f>
        <v>товари</v>
      </c>
      <c r="B1402" s="13" t="str">
        <f>IFERROR(__xludf.DUMMYFUNCTION("""COMPUTED_VALUE"""),"промислове обладнання та верстати")</f>
        <v>промислове обладнання та верстати</v>
      </c>
      <c r="C1402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402" s="15" t="str">
        <f>IFERROR(__xludf.DUMMYFUNCTION("""COMPUTED_VALUE"""),"обладнання для газовидобутку")</f>
        <v>обладнання для газовидобутку</v>
      </c>
      <c r="E1402" s="15" t="str">
        <f>IFERROR(__xludf.DUMMYFUNCTION("""COMPUTED_VALUE"""),"обладнання для підігріву газу")</f>
        <v>обладнання для підігріву газу</v>
      </c>
      <c r="F1402" s="17">
        <f>IFERROR(__xludf.DUMMYFUNCTION("""COMPUTED_VALUE"""),4.0)</f>
        <v>4</v>
      </c>
      <c r="G1402" s="17">
        <f>IFERROR(__xludf.DUMMYFUNCTION("""COMPUTED_VALUE"""),1.3240603E7)</f>
        <v>13240603</v>
      </c>
      <c r="H1402" s="17" t="str">
        <f>IFERROR(__xludf.DUMMYFUNCTION("""COMPUTED_VALUE"""),"обладнання для підігріву газу")</f>
        <v>обладнання для підігріву газу</v>
      </c>
      <c r="I1402" s="18">
        <f>IFERROR(__xludf.DUMMYFUNCTION("""COMPUTED_VALUE"""),0.86)</f>
        <v>0.86</v>
      </c>
      <c r="J1402" s="18">
        <f>IFERROR(__xludf.DUMMYFUNCTION("""COMPUTED_VALUE"""),1.71)</f>
        <v>1.71</v>
      </c>
      <c r="K1402" s="18">
        <f>IFERROR(__xludf.DUMMYFUNCTION("""COMPUTED_VALUE"""),2.14)</f>
        <v>2.14</v>
      </c>
      <c r="L1402" s="18">
        <f>IFERROR(__xludf.DUMMYFUNCTION("""COMPUTED_VALUE"""),3.43)</f>
        <v>3.43</v>
      </c>
    </row>
    <row r="1403">
      <c r="A1403" s="13" t="str">
        <f>IFERROR(__xludf.DUMMYFUNCTION("""COMPUTED_VALUE"""),"товари")</f>
        <v>товари</v>
      </c>
      <c r="B1403" s="13" t="str">
        <f>IFERROR(__xludf.DUMMYFUNCTION("""COMPUTED_VALUE"""),"промислове обладнання та верстати")</f>
        <v>промислове обладнання та верстати</v>
      </c>
      <c r="C1403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403" s="15" t="str">
        <f>IFERROR(__xludf.DUMMYFUNCTION("""COMPUTED_VALUE"""),"гірниче обладнання")</f>
        <v>гірниче обладнання</v>
      </c>
      <c r="E1403" s="15" t="str">
        <f>IFERROR(__xludf.DUMMYFUNCTION("""COMPUTED_VALUE"""),"обладнання для промивання та обробки відсівів дроблення")</f>
        <v>обладнання для промивання та обробки відсівів дроблення</v>
      </c>
      <c r="F1403" s="17">
        <f>IFERROR(__xludf.DUMMYFUNCTION("""COMPUTED_VALUE"""),4.0)</f>
        <v>4</v>
      </c>
      <c r="G1403" s="17">
        <f>IFERROR(__xludf.DUMMYFUNCTION("""COMPUTED_VALUE"""),91509.0)</f>
        <v>91509</v>
      </c>
      <c r="H1403" s="17" t="str">
        <f>IFERROR(__xludf.DUMMYFUNCTION("""COMPUTED_VALUE"""),"обладнання для промивання та обробки відсівів дроблення")</f>
        <v>обладнання для промивання та обробки відсівів дроблення</v>
      </c>
      <c r="I1403" s="18">
        <f>IFERROR(__xludf.DUMMYFUNCTION("""COMPUTED_VALUE"""),1.98)</f>
        <v>1.98</v>
      </c>
      <c r="J1403" s="18">
        <f>IFERROR(__xludf.DUMMYFUNCTION("""COMPUTED_VALUE"""),3.96)</f>
        <v>3.96</v>
      </c>
      <c r="K1403" s="18">
        <f>IFERROR(__xludf.DUMMYFUNCTION("""COMPUTED_VALUE"""),4.95)</f>
        <v>4.95</v>
      </c>
      <c r="L1403" s="18">
        <f>IFERROR(__xludf.DUMMYFUNCTION("""COMPUTED_VALUE"""),7.93)</f>
        <v>7.93</v>
      </c>
    </row>
    <row r="1404">
      <c r="A1404" s="13" t="str">
        <f>IFERROR(__xludf.DUMMYFUNCTION("""COMPUTED_VALUE"""),"товари")</f>
        <v>товари</v>
      </c>
      <c r="B1404" s="13" t="str">
        <f>IFERROR(__xludf.DUMMYFUNCTION("""COMPUTED_VALUE"""),"промислове обладнання та верстати")</f>
        <v>промислове обладнання та верстати</v>
      </c>
      <c r="C1404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04" s="15" t="str">
        <f>IFERROR(__xludf.DUMMYFUNCTION("""COMPUTED_VALUE"""),"обладнання для сортування та переробки вторсировини")</f>
        <v>обладнання для сортування та переробки вторсировини</v>
      </c>
      <c r="E1404" s="15" t="str">
        <f>IFERROR(__xludf.DUMMYFUNCTION("""COMPUTED_VALUE"""),"обладнання для сортування та переробки вторсировини")</f>
        <v>обладнання для сортування та переробки вторсировини</v>
      </c>
      <c r="F1404" s="17">
        <f>IFERROR(__xludf.DUMMYFUNCTION("""COMPUTED_VALUE"""),3.0)</f>
        <v>3</v>
      </c>
      <c r="G1404" s="17">
        <f>IFERROR(__xludf.DUMMYFUNCTION("""COMPUTED_VALUE"""),147010.0)</f>
        <v>147010</v>
      </c>
      <c r="H1404" s="17" t="str">
        <f>IFERROR(__xludf.DUMMYFUNCTION("""COMPUTED_VALUE"""),"обладнання для сортування та переробки вторсировини")</f>
        <v>обладнання для сортування та переробки вторсировини</v>
      </c>
      <c r="I1404" s="18">
        <f>IFERROR(__xludf.DUMMYFUNCTION("""COMPUTED_VALUE"""),1.63)</f>
        <v>1.63</v>
      </c>
      <c r="J1404" s="18">
        <f>IFERROR(__xludf.DUMMYFUNCTION("""COMPUTED_VALUE"""),3.26)</f>
        <v>3.26</v>
      </c>
      <c r="K1404" s="18">
        <f>IFERROR(__xludf.DUMMYFUNCTION("""COMPUTED_VALUE"""),4.08)</f>
        <v>4.08</v>
      </c>
      <c r="L1404" s="18">
        <f>IFERROR(__xludf.DUMMYFUNCTION("""COMPUTED_VALUE"""),6.53)</f>
        <v>6.53</v>
      </c>
    </row>
    <row r="1405">
      <c r="A1405" s="13" t="str">
        <f>IFERROR(__xludf.DUMMYFUNCTION("""COMPUTED_VALUE"""),"товари")</f>
        <v>товари</v>
      </c>
      <c r="B1405" s="13" t="str">
        <f>IFERROR(__xludf.DUMMYFUNCTION("""COMPUTED_VALUE"""),"промислове обладнання та верстати")</f>
        <v>промислове обладнання та верстати</v>
      </c>
      <c r="C1405" s="15" t="str">
        <f>IFERROR(__xludf.DUMMYFUNCTION("""COMPUTED_VALUE"""),"хімічне обладнання")</f>
        <v>хімічне обладнання</v>
      </c>
      <c r="D1405" s="15" t="str">
        <f>IFERROR(__xludf.DUMMYFUNCTION("""COMPUTED_VALUE"""),"обладнання для сушіння хімічних сполук")</f>
        <v>обладнання для сушіння хімічних сполук</v>
      </c>
      <c r="E1405" s="15" t="str">
        <f>IFERROR(__xludf.DUMMYFUNCTION("""COMPUTED_VALUE"""),"обладнання для сушіння хімічних сполук")</f>
        <v>обладнання для сушіння хімічних сполук</v>
      </c>
      <c r="F1405" s="17">
        <f>IFERROR(__xludf.DUMMYFUNCTION("""COMPUTED_VALUE"""),3.0)</f>
        <v>3</v>
      </c>
      <c r="G1405" s="17">
        <f>IFERROR(__xludf.DUMMYFUNCTION("""COMPUTED_VALUE"""),141603.0)</f>
        <v>141603</v>
      </c>
      <c r="H1405" s="17" t="str">
        <f>IFERROR(__xludf.DUMMYFUNCTION("""COMPUTED_VALUE"""),"обладнання для сушіння хімічних сполук")</f>
        <v>обладнання для сушіння хімічних сполук</v>
      </c>
      <c r="I1405" s="18">
        <f>IFERROR(__xludf.DUMMYFUNCTION("""COMPUTED_VALUE"""),1.26)</f>
        <v>1.26</v>
      </c>
      <c r="J1405" s="18">
        <f>IFERROR(__xludf.DUMMYFUNCTION("""COMPUTED_VALUE"""),2.53)</f>
        <v>2.53</v>
      </c>
      <c r="K1405" s="18">
        <f>IFERROR(__xludf.DUMMYFUNCTION("""COMPUTED_VALUE"""),3.16)</f>
        <v>3.16</v>
      </c>
      <c r="L1405" s="18">
        <f>IFERROR(__xludf.DUMMYFUNCTION("""COMPUTED_VALUE"""),5.05)</f>
        <v>5.05</v>
      </c>
    </row>
    <row r="1406">
      <c r="A1406" s="13" t="str">
        <f>IFERROR(__xludf.DUMMYFUNCTION("""COMPUTED_VALUE"""),"товари")</f>
        <v>товари</v>
      </c>
      <c r="B1406" s="13" t="str">
        <f>IFERROR(__xludf.DUMMYFUNCTION("""COMPUTED_VALUE"""),"промислове обладнання та верстати")</f>
        <v>промислове обладнання та верстати</v>
      </c>
      <c r="C1406" s="15" t="str">
        <f>IFERROR(__xludf.DUMMYFUNCTION("""COMPUTED_VALUE"""),"хімічне обладнання")</f>
        <v>хімічне обладнання</v>
      </c>
      <c r="D1406" s="15" t="str">
        <f>IFERROR(__xludf.DUMMYFUNCTION("""COMPUTED_VALUE"""),"обладнання для сховищ хімреактивів")</f>
        <v>обладнання для сховищ хімреактивів</v>
      </c>
      <c r="E1406" s="15" t="str">
        <f>IFERROR(__xludf.DUMMYFUNCTION("""COMPUTED_VALUE"""),"обладнання для сховищ хімреактивів")</f>
        <v>обладнання для сховищ хімреактивів</v>
      </c>
      <c r="F1406" s="17">
        <f>IFERROR(__xludf.DUMMYFUNCTION("""COMPUTED_VALUE"""),3.0)</f>
        <v>3</v>
      </c>
      <c r="G1406" s="17">
        <f>IFERROR(__xludf.DUMMYFUNCTION("""COMPUTED_VALUE"""),141601.0)</f>
        <v>141601</v>
      </c>
      <c r="H1406" s="17" t="str">
        <f>IFERROR(__xludf.DUMMYFUNCTION("""COMPUTED_VALUE"""),"обладнання для сховищ хімреактивів")</f>
        <v>обладнання для сховищ хімреактивів</v>
      </c>
      <c r="I1406" s="18">
        <f>IFERROR(__xludf.DUMMYFUNCTION("""COMPUTED_VALUE"""),1.13)</f>
        <v>1.13</v>
      </c>
      <c r="J1406" s="18">
        <f>IFERROR(__xludf.DUMMYFUNCTION("""COMPUTED_VALUE"""),2.25)</f>
        <v>2.25</v>
      </c>
      <c r="K1406" s="18">
        <f>IFERROR(__xludf.DUMMYFUNCTION("""COMPUTED_VALUE"""),2.81)</f>
        <v>2.81</v>
      </c>
      <c r="L1406" s="18">
        <f>IFERROR(__xludf.DUMMYFUNCTION("""COMPUTED_VALUE"""),4.5)</f>
        <v>4.5</v>
      </c>
    </row>
    <row r="1407">
      <c r="A1407" s="13" t="str">
        <f>IFERROR(__xludf.DUMMYFUNCTION("""COMPUTED_VALUE"""),"товари")</f>
        <v>товари</v>
      </c>
      <c r="B1407" s="13" t="str">
        <f>IFERROR(__xludf.DUMMYFUNCTION("""COMPUTED_VALUE"""),"промислове обладнання та верстати")</f>
        <v>промислове обладнання та верстати</v>
      </c>
      <c r="C1407" s="15" t="str">
        <f>IFERROR(__xludf.DUMMYFUNCTION("""COMPUTED_VALUE"""),"обладнання для фарбування та нанесення покриттів")</f>
        <v>обладнання для фарбування та нанесення покриттів</v>
      </c>
      <c r="D1407" s="15" t="str">
        <f>IFERROR(__xludf.DUMMYFUNCTION("""COMPUTED_VALUE"""),"обладнання для фарбування та нанесення покриттів")</f>
        <v>обладнання для фарбування та нанесення покриттів</v>
      </c>
      <c r="E1407" s="15" t="str">
        <f>IFERROR(__xludf.DUMMYFUNCTION("""COMPUTED_VALUE"""),"обладнання для фарбування та нанесення покриттів")</f>
        <v>обладнання для фарбування та нанесення покриттів</v>
      </c>
      <c r="F1407" s="17">
        <f>IFERROR(__xludf.DUMMYFUNCTION("""COMPUTED_VALUE"""),2.0)</f>
        <v>2</v>
      </c>
      <c r="G1407" s="17">
        <f>IFERROR(__xludf.DUMMYFUNCTION("""COMPUTED_VALUE"""),81101.0)</f>
        <v>81101</v>
      </c>
      <c r="H1407" s="17" t="str">
        <f>IFERROR(__xludf.DUMMYFUNCTION("""COMPUTED_VALUE"""),"обладнання для фарбування та нанесення покриттів")</f>
        <v>обладнання для фарбування та нанесення покриттів</v>
      </c>
      <c r="I1407" s="18">
        <f>IFERROR(__xludf.DUMMYFUNCTION("""COMPUTED_VALUE"""),0.76)</f>
        <v>0.76</v>
      </c>
      <c r="J1407" s="18">
        <f>IFERROR(__xludf.DUMMYFUNCTION("""COMPUTED_VALUE"""),1.53)</f>
        <v>1.53</v>
      </c>
      <c r="K1407" s="18">
        <f>IFERROR(__xludf.DUMMYFUNCTION("""COMPUTED_VALUE"""),1.91)</f>
        <v>1.91</v>
      </c>
      <c r="L1407" s="18">
        <f>IFERROR(__xludf.DUMMYFUNCTION("""COMPUTED_VALUE"""),3.05)</f>
        <v>3.05</v>
      </c>
    </row>
    <row r="1408">
      <c r="A1408" s="13" t="str">
        <f>IFERROR(__xludf.DUMMYFUNCTION("""COMPUTED_VALUE"""),"товари")</f>
        <v>товари</v>
      </c>
      <c r="B1408" s="13" t="str">
        <f>IFERROR(__xludf.DUMMYFUNCTION("""COMPUTED_VALUE"""),"промислове обладнання та верстати")</f>
        <v>промислове обладнання та верстати</v>
      </c>
      <c r="C1408" s="15" t="str">
        <f>IFERROR(__xludf.DUMMYFUNCTION("""COMPUTED_VALUE"""),"виробниче обладнання")</f>
        <v>виробниче обладнання</v>
      </c>
      <c r="D1408" s="15" t="str">
        <f>IFERROR(__xludf.DUMMYFUNCTION("""COMPUTED_VALUE"""),"ковальсько-пресове обладнання")</f>
        <v>ковальсько-пресове обладнання</v>
      </c>
      <c r="E1408" s="15" t="str">
        <f>IFERROR(__xludf.DUMMYFUNCTION("""COMPUTED_VALUE"""),"обтискні преси")</f>
        <v>обтискні преси</v>
      </c>
      <c r="F1408" s="17">
        <f>IFERROR(__xludf.DUMMYFUNCTION("""COMPUTED_VALUE"""),4.0)</f>
        <v>4</v>
      </c>
      <c r="G1408" s="17">
        <f>IFERROR(__xludf.DUMMYFUNCTION("""COMPUTED_VALUE"""),1.4260607E7)</f>
        <v>14260607</v>
      </c>
      <c r="H1408" s="17" t="str">
        <f>IFERROR(__xludf.DUMMYFUNCTION("""COMPUTED_VALUE"""),"обтискні преси")</f>
        <v>обтискні преси</v>
      </c>
      <c r="I1408" s="18">
        <f>IFERROR(__xludf.DUMMYFUNCTION("""COMPUTED_VALUE"""),1.26)</f>
        <v>1.26</v>
      </c>
      <c r="J1408" s="18">
        <f>IFERROR(__xludf.DUMMYFUNCTION("""COMPUTED_VALUE"""),2.53)</f>
        <v>2.53</v>
      </c>
      <c r="K1408" s="18">
        <f>IFERROR(__xludf.DUMMYFUNCTION("""COMPUTED_VALUE"""),3.16)</f>
        <v>3.16</v>
      </c>
      <c r="L1408" s="18">
        <f>IFERROR(__xludf.DUMMYFUNCTION("""COMPUTED_VALUE"""),5.05)</f>
        <v>5.05</v>
      </c>
    </row>
    <row r="1409">
      <c r="A1409" s="13" t="str">
        <f>IFERROR(__xludf.DUMMYFUNCTION("""COMPUTED_VALUE"""),"товари")</f>
        <v>товари</v>
      </c>
      <c r="B1409" s="13" t="str">
        <f>IFERROR(__xludf.DUMMYFUNCTION("""COMPUTED_VALUE"""),"промислове обладнання та верстати")</f>
        <v>промислове обладнання та верстати</v>
      </c>
      <c r="C1409" s="15" t="str">
        <f>IFERROR(__xludf.DUMMYFUNCTION("""COMPUTED_VALUE"""),"енергообладнання")</f>
        <v>енергообладнання</v>
      </c>
      <c r="D1409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1409" s="15" t="str">
        <f>IFERROR(__xludf.DUMMYFUNCTION("""COMPUTED_VALUE"""),"опалювальне та водонагрівальне обладнання, загальне")</f>
        <v>опалювальне та водонагрівальне обладнання, загальне</v>
      </c>
      <c r="F1409" s="17">
        <f>IFERROR(__xludf.DUMMYFUNCTION("""COMPUTED_VALUE"""),4.0)</f>
        <v>4</v>
      </c>
      <c r="G1409" s="17">
        <f>IFERROR(__xludf.DUMMYFUNCTION("""COMPUTED_VALUE"""),142107.0)</f>
        <v>142107</v>
      </c>
      <c r="H1409" s="17" t="str">
        <f>IFERROR(__xludf.DUMMYFUNCTION("""COMPUTED_VALUE"""),"опалювальне та водонагрівальне обладнання, загальне")</f>
        <v>опалювальне та водонагрівальне обладнання, загальне</v>
      </c>
      <c r="I1409" s="18">
        <f>IFERROR(__xludf.DUMMYFUNCTION("""COMPUTED_VALUE"""),2.16)</f>
        <v>2.16</v>
      </c>
      <c r="J1409" s="18">
        <f>IFERROR(__xludf.DUMMYFUNCTION("""COMPUTED_VALUE"""),4.33)</f>
        <v>4.33</v>
      </c>
      <c r="K1409" s="18">
        <f>IFERROR(__xludf.DUMMYFUNCTION("""COMPUTED_VALUE"""),5.41)</f>
        <v>5.41</v>
      </c>
      <c r="L1409" s="18">
        <f>IFERROR(__xludf.DUMMYFUNCTION("""COMPUTED_VALUE"""),8.65)</f>
        <v>8.65</v>
      </c>
    </row>
    <row r="1410">
      <c r="A1410" s="13" t="str">
        <f>IFERROR(__xludf.DUMMYFUNCTION("""COMPUTED_VALUE"""),"товари")</f>
        <v>товари</v>
      </c>
      <c r="B1410" s="13" t="str">
        <f>IFERROR(__xludf.DUMMYFUNCTION("""COMPUTED_VALUE"""),"промислове обладнання та верстати")</f>
        <v>промислове обладнання та верстати</v>
      </c>
      <c r="C1410" s="15" t="str">
        <f>IFERROR(__xludf.DUMMYFUNCTION("""COMPUTED_VALUE"""),"пакувальне та фасувальне обладнання")</f>
        <v>пакувальне та фасувальне обладнання</v>
      </c>
      <c r="D1410" s="15" t="str">
        <f>IFERROR(__xludf.DUMMYFUNCTION("""COMPUTED_VALUE"""),"пакувальне та фасувальне обладнання, загальне")</f>
        <v>пакувальне та фасувальне обладнання, загальне</v>
      </c>
      <c r="E1410" s="15" t="str">
        <f>IFERROR(__xludf.DUMMYFUNCTION("""COMPUTED_VALUE"""),"пакувальне та фасувальне обладнання, загальне")</f>
        <v>пакувальне та фасувальне обладнання, загальне</v>
      </c>
      <c r="F1410" s="17">
        <f>IFERROR(__xludf.DUMMYFUNCTION("""COMPUTED_VALUE"""),3.0)</f>
        <v>3</v>
      </c>
      <c r="G1410" s="17">
        <f>IFERROR(__xludf.DUMMYFUNCTION("""COMPUTED_VALUE"""),230705.0)</f>
        <v>230705</v>
      </c>
      <c r="H1410" s="17" t="str">
        <f>IFERROR(__xludf.DUMMYFUNCTION("""COMPUTED_VALUE"""),"пакувальне та фасувальне обладнання, загальне")</f>
        <v>пакувальне та фасувальне обладнання, загальне</v>
      </c>
      <c r="I1410" s="18">
        <f>IFERROR(__xludf.DUMMYFUNCTION("""COMPUTED_VALUE"""),2.16)</f>
        <v>2.16</v>
      </c>
      <c r="J1410" s="18">
        <f>IFERROR(__xludf.DUMMYFUNCTION("""COMPUTED_VALUE"""),4.33)</f>
        <v>4.33</v>
      </c>
      <c r="K1410" s="18">
        <f>IFERROR(__xludf.DUMMYFUNCTION("""COMPUTED_VALUE"""),5.41)</f>
        <v>5.41</v>
      </c>
      <c r="L1410" s="18">
        <f>IFERROR(__xludf.DUMMYFUNCTION("""COMPUTED_VALUE"""),8.65)</f>
        <v>8.65</v>
      </c>
    </row>
    <row r="1411">
      <c r="A1411" s="13" t="str">
        <f>IFERROR(__xludf.DUMMYFUNCTION("""COMPUTED_VALUE"""),"товари")</f>
        <v>товари</v>
      </c>
      <c r="B1411" s="13" t="str">
        <f>IFERROR(__xludf.DUMMYFUNCTION("""COMPUTED_VALUE"""),"промислове обладнання та верстати")</f>
        <v>промислове обладнання та верстати</v>
      </c>
      <c r="C1411" s="15" t="str">
        <f>IFERROR(__xludf.DUMMYFUNCTION("""COMPUTED_VALUE"""),"технологічне обладнання")</f>
        <v>технологічне обладнання</v>
      </c>
      <c r="D1411" s="15" t="str">
        <f>IFERROR(__xludf.DUMMYFUNCTION("""COMPUTED_VALUE"""),"панелі оператора")</f>
        <v>панелі оператора</v>
      </c>
      <c r="E1411" s="15" t="str">
        <f>IFERROR(__xludf.DUMMYFUNCTION("""COMPUTED_VALUE"""),"панелі оператора")</f>
        <v>панелі оператора</v>
      </c>
      <c r="F1411" s="17">
        <f>IFERROR(__xludf.DUMMYFUNCTION("""COMPUTED_VALUE"""),3.0)</f>
        <v>3</v>
      </c>
      <c r="G1411" s="17">
        <f>IFERROR(__xludf.DUMMYFUNCTION("""COMPUTED_VALUE"""),1414.0)</f>
        <v>1414</v>
      </c>
      <c r="H1411" s="17" t="str">
        <f>IFERROR(__xludf.DUMMYFUNCTION("""COMPUTED_VALUE"""),"панелі оператора")</f>
        <v>панелі оператора</v>
      </c>
      <c r="I1411" s="18">
        <f>IFERROR(__xludf.DUMMYFUNCTION("""COMPUTED_VALUE"""),1.17)</f>
        <v>1.17</v>
      </c>
      <c r="J1411" s="18">
        <f>IFERROR(__xludf.DUMMYFUNCTION("""COMPUTED_VALUE"""),2.34)</f>
        <v>2.34</v>
      </c>
      <c r="K1411" s="18">
        <f>IFERROR(__xludf.DUMMYFUNCTION("""COMPUTED_VALUE"""),2.92)</f>
        <v>2.92</v>
      </c>
      <c r="L1411" s="18">
        <f>IFERROR(__xludf.DUMMYFUNCTION("""COMPUTED_VALUE"""),4.68)</f>
        <v>4.68</v>
      </c>
    </row>
    <row r="1412">
      <c r="A1412" s="13" t="str">
        <f>IFERROR(__xludf.DUMMYFUNCTION("""COMPUTED_VALUE"""),"товари")</f>
        <v>товари</v>
      </c>
      <c r="B1412" s="13" t="str">
        <f>IFERROR(__xludf.DUMMYFUNCTION("""COMPUTED_VALUE"""),"промислове обладнання та верстати")</f>
        <v>промислове обладнання та верстати</v>
      </c>
      <c r="C1412" s="15" t="str">
        <f>IFERROR(__xludf.DUMMYFUNCTION("""COMPUTED_VALUE"""),"обладнання для харчової промисловості")</f>
        <v>обладнання для харчової промисловості</v>
      </c>
      <c r="D1412" s="15" t="str">
        <f>IFERROR(__xludf.DUMMYFUNCTION("""COMPUTED_VALUE"""),"пастеризаційно-охолоджувальне обладнання для харчових продуктів")</f>
        <v>пастеризаційно-охолоджувальне обладнання для харчових продуктів</v>
      </c>
      <c r="E1412" s="15" t="str">
        <f>IFERROR(__xludf.DUMMYFUNCTION("""COMPUTED_VALUE"""),"пастеризаційно-охолоджувальне обладнання для харчових продуктів")</f>
        <v>пастеризаційно-охолоджувальне обладнання для харчових продуктів</v>
      </c>
      <c r="F1412" s="17">
        <f>IFERROR(__xludf.DUMMYFUNCTION("""COMPUTED_VALUE"""),3.0)</f>
        <v>3</v>
      </c>
      <c r="G1412" s="17">
        <f>IFERROR(__xludf.DUMMYFUNCTION("""COMPUTED_VALUE"""),22022.0)</f>
        <v>22022</v>
      </c>
      <c r="H1412" s="17" t="str">
        <f>IFERROR(__xludf.DUMMYFUNCTION("""COMPUTED_VALUE"""),"пастеризаційно-охолоджувальне обладнання для харчових продуктів")</f>
        <v>пастеризаційно-охолоджувальне обладнання для харчових продуктів</v>
      </c>
      <c r="I1412" s="18">
        <f>IFERROR(__xludf.DUMMYFUNCTION("""COMPUTED_VALUE"""),1.17)</f>
        <v>1.17</v>
      </c>
      <c r="J1412" s="18">
        <f>IFERROR(__xludf.DUMMYFUNCTION("""COMPUTED_VALUE"""),2.34)</f>
        <v>2.34</v>
      </c>
      <c r="K1412" s="18">
        <f>IFERROR(__xludf.DUMMYFUNCTION("""COMPUTED_VALUE"""),2.92)</f>
        <v>2.92</v>
      </c>
      <c r="L1412" s="18">
        <f>IFERROR(__xludf.DUMMYFUNCTION("""COMPUTED_VALUE"""),4.68)</f>
        <v>4.68</v>
      </c>
    </row>
    <row r="1413">
      <c r="A1413" s="13" t="str">
        <f>IFERROR(__xludf.DUMMYFUNCTION("""COMPUTED_VALUE"""),"товари")</f>
        <v>товари</v>
      </c>
      <c r="B1413" s="13" t="str">
        <f>IFERROR(__xludf.DUMMYFUNCTION("""COMPUTED_VALUE"""),"промислове обладнання та верстати")</f>
        <v>промислове обладнання та верстати</v>
      </c>
      <c r="C1413" s="15" t="str">
        <f>IFERROR(__xludf.DUMMYFUNCTION("""COMPUTED_VALUE"""),"зварювальне та паяльне обладнання")</f>
        <v>зварювальне та паяльне обладнання</v>
      </c>
      <c r="D1413" s="15" t="str">
        <f>IFERROR(__xludf.DUMMYFUNCTION("""COMPUTED_VALUE"""),"паяльне обладнання")</f>
        <v>паяльне обладнання</v>
      </c>
      <c r="E1413" s="15" t="str">
        <f>IFERROR(__xludf.DUMMYFUNCTION("""COMPUTED_VALUE"""),"паяльні печі")</f>
        <v>паяльні печі</v>
      </c>
      <c r="F1413" s="17">
        <f>IFERROR(__xludf.DUMMYFUNCTION("""COMPUTED_VALUE"""),4.0)</f>
        <v>4</v>
      </c>
      <c r="G1413" s="17">
        <f>IFERROR(__xludf.DUMMYFUNCTION("""COMPUTED_VALUE"""),1.4400805E7)</f>
        <v>14400805</v>
      </c>
      <c r="H1413" s="17" t="str">
        <f>IFERROR(__xludf.DUMMYFUNCTION("""COMPUTED_VALUE"""),"паяльні печі")</f>
        <v>паяльні печі</v>
      </c>
      <c r="I1413" s="18">
        <f>IFERROR(__xludf.DUMMYFUNCTION("""COMPUTED_VALUE"""),0.53)</f>
        <v>0.53</v>
      </c>
      <c r="J1413" s="18">
        <f>IFERROR(__xludf.DUMMYFUNCTION("""COMPUTED_VALUE"""),1.05)</f>
        <v>1.05</v>
      </c>
      <c r="K1413" s="18">
        <f>IFERROR(__xludf.DUMMYFUNCTION("""COMPUTED_VALUE"""),1.31)</f>
        <v>1.31</v>
      </c>
      <c r="L1413" s="18">
        <f>IFERROR(__xludf.DUMMYFUNCTION("""COMPUTED_VALUE"""),2.1)</f>
        <v>2.1</v>
      </c>
    </row>
    <row r="1414">
      <c r="A1414" s="13" t="str">
        <f>IFERROR(__xludf.DUMMYFUNCTION("""COMPUTED_VALUE"""),"товари")</f>
        <v>товари</v>
      </c>
      <c r="B1414" s="13" t="str">
        <f>IFERROR(__xludf.DUMMYFUNCTION("""COMPUTED_VALUE"""),"промислове обладнання та верстати")</f>
        <v>промислове обладнання та верстати</v>
      </c>
      <c r="C1414" s="15" t="str">
        <f>IFERROR(__xludf.DUMMYFUNCTION("""COMPUTED_VALUE"""),"складське обладнання")</f>
        <v>складське обладнання</v>
      </c>
      <c r="D1414" s="15" t="str">
        <f>IFERROR(__xludf.DUMMYFUNCTION("""COMPUTED_VALUE"""),"перевантажувальне обладнання")</f>
        <v>перевантажувальне обладнання</v>
      </c>
      <c r="E1414" s="15" t="str">
        <f>IFERROR(__xludf.DUMMYFUNCTION("""COMPUTED_VALUE"""),"перевантажувальне обладнання")</f>
        <v>перевантажувальне обладнання</v>
      </c>
      <c r="F1414" s="17">
        <f>IFERROR(__xludf.DUMMYFUNCTION("""COMPUTED_VALUE"""),4.0)</f>
        <v>4</v>
      </c>
      <c r="G1414" s="17">
        <f>IFERROR(__xludf.DUMMYFUNCTION("""COMPUTED_VALUE"""),1.4291804E7)</f>
        <v>14291804</v>
      </c>
      <c r="H1414" s="17" t="str">
        <f>IFERROR(__xludf.DUMMYFUNCTION("""COMPUTED_VALUE"""),"перевантажувальне обладнання")</f>
        <v>перевантажувальне обладнання</v>
      </c>
      <c r="I1414" s="18">
        <f>IFERROR(__xludf.DUMMYFUNCTION("""COMPUTED_VALUE"""),2.25)</f>
        <v>2.25</v>
      </c>
      <c r="J1414" s="18">
        <f>IFERROR(__xludf.DUMMYFUNCTION("""COMPUTED_VALUE"""),4.5)</f>
        <v>4.5</v>
      </c>
      <c r="K1414" s="18">
        <f>IFERROR(__xludf.DUMMYFUNCTION("""COMPUTED_VALUE"""),5.63)</f>
        <v>5.63</v>
      </c>
      <c r="L1414" s="18">
        <f>IFERROR(__xludf.DUMMYFUNCTION("""COMPUTED_VALUE"""),9.0)</f>
        <v>9</v>
      </c>
    </row>
    <row r="1415">
      <c r="A1415" s="13" t="str">
        <f>IFERROR(__xludf.DUMMYFUNCTION("""COMPUTED_VALUE"""),"товари")</f>
        <v>товари</v>
      </c>
      <c r="B1415" s="13" t="str">
        <f>IFERROR(__xludf.DUMMYFUNCTION("""COMPUTED_VALUE"""),"промислове обладнання та верстати")</f>
        <v>промислове обладнання та верстати</v>
      </c>
      <c r="C1415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15" s="15" t="str">
        <f>IFERROR(__xludf.DUMMYFUNCTION("""COMPUTED_VALUE"""),"промислові очищувачі повітря")</f>
        <v>промислові очищувачі повітря</v>
      </c>
      <c r="E1415" s="15" t="str">
        <f>IFERROR(__xludf.DUMMYFUNCTION("""COMPUTED_VALUE"""),"пиловловлювачі, аспіраційні установки")</f>
        <v>пиловловлювачі, аспіраційні установки</v>
      </c>
      <c r="F1415" s="17">
        <f>IFERROR(__xludf.DUMMYFUNCTION("""COMPUTED_VALUE"""),4.0)</f>
        <v>4</v>
      </c>
      <c r="G1415" s="17">
        <f>IFERROR(__xludf.DUMMYFUNCTION("""COMPUTED_VALUE"""),142212.0)</f>
        <v>142212</v>
      </c>
      <c r="H1415" s="17" t="str">
        <f>IFERROR(__xludf.DUMMYFUNCTION("""COMPUTED_VALUE"""),"пиловловлювачі, аспіраційні установки")</f>
        <v>пиловловлювачі, аспіраційні установки</v>
      </c>
      <c r="I1415" s="18">
        <f>IFERROR(__xludf.DUMMYFUNCTION("""COMPUTED_VALUE"""),2.11)</f>
        <v>2.11</v>
      </c>
      <c r="J1415" s="18">
        <f>IFERROR(__xludf.DUMMYFUNCTION("""COMPUTED_VALUE"""),4.23)</f>
        <v>4.23</v>
      </c>
      <c r="K1415" s="18">
        <f>IFERROR(__xludf.DUMMYFUNCTION("""COMPUTED_VALUE"""),5.28)</f>
        <v>5.28</v>
      </c>
      <c r="L1415" s="18">
        <f>IFERROR(__xludf.DUMMYFUNCTION("""COMPUTED_VALUE"""),8.45)</f>
        <v>8.45</v>
      </c>
    </row>
    <row r="1416">
      <c r="A1416" s="13" t="str">
        <f>IFERROR(__xludf.DUMMYFUNCTION("""COMPUTED_VALUE"""),"товари")</f>
        <v>товари</v>
      </c>
      <c r="B1416" s="13" t="str">
        <f>IFERROR(__xludf.DUMMYFUNCTION("""COMPUTED_VALUE"""),"промислове обладнання та верстати")</f>
        <v>промислове обладнання та верстати</v>
      </c>
      <c r="C1416" s="15" t="str">
        <f>IFERROR(__xludf.DUMMYFUNCTION("""COMPUTED_VALUE"""),"кранове обладнання")</f>
        <v>кранове обладнання</v>
      </c>
      <c r="D1416" s="15" t="str">
        <f>IFERROR(__xludf.DUMMYFUNCTION("""COMPUTED_VALUE"""),"підйомники, лебідки, талі")</f>
        <v>підйомники, лебідки, талі</v>
      </c>
      <c r="E1416" s="15" t="str">
        <f>IFERROR(__xludf.DUMMYFUNCTION("""COMPUTED_VALUE"""),"підйомники, лебідки, талі")</f>
        <v>підйомники, лебідки, талі</v>
      </c>
      <c r="F1416" s="17">
        <f>IFERROR(__xludf.DUMMYFUNCTION("""COMPUTED_VALUE"""),3.0)</f>
        <v>3</v>
      </c>
      <c r="G1416" s="17">
        <f>IFERROR(__xludf.DUMMYFUNCTION("""COMPUTED_VALUE"""),142907.0)</f>
        <v>142907</v>
      </c>
      <c r="H1416" s="17" t="str">
        <f>IFERROR(__xludf.DUMMYFUNCTION("""COMPUTED_VALUE"""),"підйомники, лебідки, талі")</f>
        <v>підйомники, лебідки, талі</v>
      </c>
      <c r="I1416" s="18">
        <f>IFERROR(__xludf.DUMMYFUNCTION("""COMPUTED_VALUE"""),2.7)</f>
        <v>2.7</v>
      </c>
      <c r="J1416" s="18">
        <f>IFERROR(__xludf.DUMMYFUNCTION("""COMPUTED_VALUE"""),5.4)</f>
        <v>5.4</v>
      </c>
      <c r="K1416" s="18">
        <f>IFERROR(__xludf.DUMMYFUNCTION("""COMPUTED_VALUE"""),6.75)</f>
        <v>6.75</v>
      </c>
      <c r="L1416" s="18">
        <f>IFERROR(__xludf.DUMMYFUNCTION("""COMPUTED_VALUE"""),10.8)</f>
        <v>10.8</v>
      </c>
    </row>
    <row r="1417">
      <c r="A1417" s="13" t="str">
        <f>IFERROR(__xludf.DUMMYFUNCTION("""COMPUTED_VALUE"""),"товари")</f>
        <v>товари</v>
      </c>
      <c r="B1417" s="13" t="str">
        <f>IFERROR(__xludf.DUMMYFUNCTION("""COMPUTED_VALUE"""),"промислове обладнання та верстати")</f>
        <v>промислове обладнання та верстати</v>
      </c>
      <c r="C1417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17" s="15" t="str">
        <f>IFERROR(__xludf.DUMMYFUNCTION("""COMPUTED_VALUE"""),"підмітальні машини")</f>
        <v>підмітальні машини</v>
      </c>
      <c r="E1417" s="15" t="str">
        <f>IFERROR(__xludf.DUMMYFUNCTION("""COMPUTED_VALUE"""),"підмітальні машини")</f>
        <v>підмітальні машини</v>
      </c>
      <c r="F1417" s="17">
        <f>IFERROR(__xludf.DUMMYFUNCTION("""COMPUTED_VALUE"""),3.0)</f>
        <v>3</v>
      </c>
      <c r="G1417" s="17">
        <f>IFERROR(__xludf.DUMMYFUNCTION("""COMPUTED_VALUE"""),147006.0)</f>
        <v>147006</v>
      </c>
      <c r="H1417" s="17" t="str">
        <f>IFERROR(__xludf.DUMMYFUNCTION("""COMPUTED_VALUE"""),"підмітальні машини")</f>
        <v>підмітальні машини</v>
      </c>
      <c r="I1417" s="18">
        <f>IFERROR(__xludf.DUMMYFUNCTION("""COMPUTED_VALUE"""),0.81)</f>
        <v>0.81</v>
      </c>
      <c r="J1417" s="18">
        <f>IFERROR(__xludf.DUMMYFUNCTION("""COMPUTED_VALUE"""),1.63)</f>
        <v>1.63</v>
      </c>
      <c r="K1417" s="18">
        <f>IFERROR(__xludf.DUMMYFUNCTION("""COMPUTED_VALUE"""),2.03)</f>
        <v>2.03</v>
      </c>
      <c r="L1417" s="18">
        <f>IFERROR(__xludf.DUMMYFUNCTION("""COMPUTED_VALUE"""),3.25)</f>
        <v>3.25</v>
      </c>
    </row>
    <row r="1418">
      <c r="A1418" s="13" t="str">
        <f>IFERROR(__xludf.DUMMYFUNCTION("""COMPUTED_VALUE"""),"товари")</f>
        <v>товари</v>
      </c>
      <c r="B1418" s="13" t="str">
        <f>IFERROR(__xludf.DUMMYFUNCTION("""COMPUTED_VALUE"""),"промислове обладнання та верстати")</f>
        <v>промислове обладнання та верстати</v>
      </c>
      <c r="C1418" s="15" t="str">
        <f>IFERROR(__xludf.DUMMYFUNCTION("""COMPUTED_VALUE"""),"технологічне обладнання")</f>
        <v>технологічне обладнання</v>
      </c>
      <c r="D1418" s="15" t="str">
        <f>IFERROR(__xludf.DUMMYFUNCTION("""COMPUTED_VALUE"""),"піскоструминне обладнання")</f>
        <v>піскоструминне обладнання</v>
      </c>
      <c r="E1418" s="15" t="str">
        <f>IFERROR(__xludf.DUMMYFUNCTION("""COMPUTED_VALUE"""),"піскоструминні камери")</f>
        <v>піскоструминні камери</v>
      </c>
      <c r="F1418" s="17">
        <f>IFERROR(__xludf.DUMMYFUNCTION("""COMPUTED_VALUE"""),4.0)</f>
        <v>4</v>
      </c>
      <c r="G1418" s="17">
        <f>IFERROR(__xludf.DUMMYFUNCTION("""COMPUTED_VALUE"""),1.4171601E7)</f>
        <v>14171601</v>
      </c>
      <c r="H1418" s="17" t="str">
        <f>IFERROR(__xludf.DUMMYFUNCTION("""COMPUTED_VALUE"""),"піскоструминні камери")</f>
        <v>піскоструминні камери</v>
      </c>
      <c r="I1418" s="18">
        <f>IFERROR(__xludf.DUMMYFUNCTION("""COMPUTED_VALUE"""),1.44)</f>
        <v>1.44</v>
      </c>
      <c r="J1418" s="18">
        <f>IFERROR(__xludf.DUMMYFUNCTION("""COMPUTED_VALUE"""),2.88)</f>
        <v>2.88</v>
      </c>
      <c r="K1418" s="18">
        <f>IFERROR(__xludf.DUMMYFUNCTION("""COMPUTED_VALUE"""),3.59)</f>
        <v>3.59</v>
      </c>
      <c r="L1418" s="18">
        <f>IFERROR(__xludf.DUMMYFUNCTION("""COMPUTED_VALUE"""),5.75)</f>
        <v>5.75</v>
      </c>
    </row>
    <row r="1419">
      <c r="A1419" s="13" t="str">
        <f>IFERROR(__xludf.DUMMYFUNCTION("""COMPUTED_VALUE"""),"товари")</f>
        <v>товари</v>
      </c>
      <c r="B1419" s="13" t="str">
        <f>IFERROR(__xludf.DUMMYFUNCTION("""COMPUTED_VALUE"""),"промислове обладнання та верстати")</f>
        <v>промислове обладнання та верстати</v>
      </c>
      <c r="C1419" s="15" t="str">
        <f>IFERROR(__xludf.DUMMYFUNCTION("""COMPUTED_VALUE"""),"промислові насоси")</f>
        <v>промислові насоси</v>
      </c>
      <c r="D1419" s="15" t="str">
        <f>IFERROR(__xludf.DUMMYFUNCTION("""COMPUTED_VALUE"""),"пластинчасті промислові насоси")</f>
        <v>пластинчасті промислові насоси</v>
      </c>
      <c r="E1419" s="15" t="str">
        <f>IFERROR(__xludf.DUMMYFUNCTION("""COMPUTED_VALUE"""),"пластинчасті промислові насоси")</f>
        <v>пластинчасті промислові насоси</v>
      </c>
      <c r="F1419" s="17">
        <f>IFERROR(__xludf.DUMMYFUNCTION("""COMPUTED_VALUE"""),3.0)</f>
        <v>3</v>
      </c>
      <c r="G1419" s="17">
        <f>IFERROR(__xludf.DUMMYFUNCTION("""COMPUTED_VALUE"""),1.4030104E7)</f>
        <v>14030104</v>
      </c>
      <c r="H1419" s="17" t="str">
        <f>IFERROR(__xludf.DUMMYFUNCTION("""COMPUTED_VALUE"""),"пластинчасті промислові насоси")</f>
        <v>пластинчасті промислові насоси</v>
      </c>
      <c r="I1419" s="18">
        <f>IFERROR(__xludf.DUMMYFUNCTION("""COMPUTED_VALUE"""),2.03)</f>
        <v>2.03</v>
      </c>
      <c r="J1419" s="18">
        <f>IFERROR(__xludf.DUMMYFUNCTION("""COMPUTED_VALUE"""),4.05)</f>
        <v>4.05</v>
      </c>
      <c r="K1419" s="18">
        <f>IFERROR(__xludf.DUMMYFUNCTION("""COMPUTED_VALUE"""),5.06)</f>
        <v>5.06</v>
      </c>
      <c r="L1419" s="18">
        <f>IFERROR(__xludf.DUMMYFUNCTION("""COMPUTED_VALUE"""),8.1)</f>
        <v>8.1</v>
      </c>
    </row>
    <row r="1420">
      <c r="A1420" s="13" t="str">
        <f>IFERROR(__xludf.DUMMYFUNCTION("""COMPUTED_VALUE"""),"товари")</f>
        <v>товари</v>
      </c>
      <c r="B1420" s="13" t="str">
        <f>IFERROR(__xludf.DUMMYFUNCTION("""COMPUTED_VALUE"""),"промислове обладнання та верстати")</f>
        <v>промислове обладнання та верстати</v>
      </c>
      <c r="C1420" s="15" t="str">
        <f>IFERROR(__xludf.DUMMYFUNCTION("""COMPUTED_VALUE"""),"верстати")</f>
        <v>верстати</v>
      </c>
      <c r="D1420" s="15" t="str">
        <f>IFERROR(__xludf.DUMMYFUNCTION("""COMPUTED_VALUE"""),"деревообробні верстати")</f>
        <v>деревообробні верстати</v>
      </c>
      <c r="E1420" s="15" t="str">
        <f>IFERROR(__xludf.DUMMYFUNCTION("""COMPUTED_VALUE"""),"побутові верстати")</f>
        <v>побутові верстати</v>
      </c>
      <c r="F1420" s="17">
        <f>IFERROR(__xludf.DUMMYFUNCTION("""COMPUTED_VALUE"""),4.0)</f>
        <v>4</v>
      </c>
      <c r="G1420" s="17">
        <f>IFERROR(__xludf.DUMMYFUNCTION("""COMPUTED_VALUE"""),143118.0)</f>
        <v>143118</v>
      </c>
      <c r="H1420" s="17" t="str">
        <f>IFERROR(__xludf.DUMMYFUNCTION("""COMPUTED_VALUE"""),"побутові верстати")</f>
        <v>побутові верстати</v>
      </c>
      <c r="I1420" s="18">
        <f>IFERROR(__xludf.DUMMYFUNCTION("""COMPUTED_VALUE"""),1.26)</f>
        <v>1.26</v>
      </c>
      <c r="J1420" s="18">
        <f>IFERROR(__xludf.DUMMYFUNCTION("""COMPUTED_VALUE"""),2.53)</f>
        <v>2.53</v>
      </c>
      <c r="K1420" s="18">
        <f>IFERROR(__xludf.DUMMYFUNCTION("""COMPUTED_VALUE"""),3.16)</f>
        <v>3.16</v>
      </c>
      <c r="L1420" s="18">
        <f>IFERROR(__xludf.DUMMYFUNCTION("""COMPUTED_VALUE"""),5.05)</f>
        <v>5.05</v>
      </c>
    </row>
    <row r="1421">
      <c r="A1421" s="13" t="str">
        <f>IFERROR(__xludf.DUMMYFUNCTION("""COMPUTED_VALUE"""),"товари")</f>
        <v>товари</v>
      </c>
      <c r="B1421" s="13" t="str">
        <f>IFERROR(__xludf.DUMMYFUNCTION("""COMPUTED_VALUE"""),"промислове обладнання та верстати")</f>
        <v>промислове обладнання та верстати</v>
      </c>
      <c r="C1421" s="15" t="str">
        <f>IFERROR(__xludf.DUMMYFUNCTION("""COMPUTED_VALUE"""),"енергообладнання")</f>
        <v>енергообладнання</v>
      </c>
      <c r="D1421" s="15" t="str">
        <f>IFERROR(__xludf.DUMMYFUNCTION("""COMPUTED_VALUE"""),"охолоджувачі")</f>
        <v>охолоджувачі</v>
      </c>
      <c r="E1421" s="15" t="str">
        <f>IFERROR(__xludf.DUMMYFUNCTION("""COMPUTED_VALUE"""),"повітроохолоджувачі")</f>
        <v>повітроохолоджувачі</v>
      </c>
      <c r="F1421" s="17">
        <f>IFERROR(__xludf.DUMMYFUNCTION("""COMPUTED_VALUE"""),4.0)</f>
        <v>4</v>
      </c>
      <c r="G1421" s="17">
        <f>IFERROR(__xludf.DUMMYFUNCTION("""COMPUTED_VALUE"""),1.4240104E7)</f>
        <v>14240104</v>
      </c>
      <c r="H1421" s="17" t="str">
        <f>IFERROR(__xludf.DUMMYFUNCTION("""COMPUTED_VALUE"""),"повітроохолоджувачі")</f>
        <v>повітроохолоджувачі</v>
      </c>
      <c r="I1421" s="18">
        <f>IFERROR(__xludf.DUMMYFUNCTION("""COMPUTED_VALUE"""),1.58)</f>
        <v>1.58</v>
      </c>
      <c r="J1421" s="18">
        <f>IFERROR(__xludf.DUMMYFUNCTION("""COMPUTED_VALUE"""),3.15)</f>
        <v>3.15</v>
      </c>
      <c r="K1421" s="18">
        <f>IFERROR(__xludf.DUMMYFUNCTION("""COMPUTED_VALUE"""),3.94)</f>
        <v>3.94</v>
      </c>
      <c r="L1421" s="18">
        <f>IFERROR(__xludf.DUMMYFUNCTION("""COMPUTED_VALUE"""),6.3)</f>
        <v>6.3</v>
      </c>
    </row>
    <row r="1422">
      <c r="A1422" s="13" t="str">
        <f>IFERROR(__xludf.DUMMYFUNCTION("""COMPUTED_VALUE"""),"товари")</f>
        <v>товари</v>
      </c>
      <c r="B1422" s="13" t="str">
        <f>IFERROR(__xludf.DUMMYFUNCTION("""COMPUTED_VALUE"""),"промислове обладнання та верстати")</f>
        <v>промислове обладнання та верстати</v>
      </c>
      <c r="C1422" s="15" t="str">
        <f>IFERROR(__xludf.DUMMYFUNCTION("""COMPUTED_VALUE"""),"промислове кліматичне обладнання")</f>
        <v>промислове кліматичне обладнання</v>
      </c>
      <c r="D1422" s="15" t="str">
        <f>IFERROR(__xludf.DUMMYFUNCTION("""COMPUTED_VALUE"""),"повітряні теплові завіси")</f>
        <v>повітряні теплові завіси</v>
      </c>
      <c r="E1422" s="15" t="str">
        <f>IFERROR(__xludf.DUMMYFUNCTION("""COMPUTED_VALUE"""),"повітряні теплові завіси")</f>
        <v>повітряні теплові завіси</v>
      </c>
      <c r="F1422" s="17">
        <f>IFERROR(__xludf.DUMMYFUNCTION("""COMPUTED_VALUE"""),3.0)</f>
        <v>3</v>
      </c>
      <c r="G1422" s="17">
        <f>IFERROR(__xludf.DUMMYFUNCTION("""COMPUTED_VALUE"""),1.4240203E7)</f>
        <v>14240203</v>
      </c>
      <c r="H1422" s="17" t="str">
        <f>IFERROR(__xludf.DUMMYFUNCTION("""COMPUTED_VALUE"""),"повітряні теплові завіси")</f>
        <v>повітряні теплові завіси</v>
      </c>
      <c r="I1422" s="18">
        <f>IFERROR(__xludf.DUMMYFUNCTION("""COMPUTED_VALUE"""),1.53)</f>
        <v>1.53</v>
      </c>
      <c r="J1422" s="18">
        <f>IFERROR(__xludf.DUMMYFUNCTION("""COMPUTED_VALUE"""),3.06)</f>
        <v>3.06</v>
      </c>
      <c r="K1422" s="18">
        <f>IFERROR(__xludf.DUMMYFUNCTION("""COMPUTED_VALUE"""),3.83)</f>
        <v>3.83</v>
      </c>
      <c r="L1422" s="18">
        <f>IFERROR(__xludf.DUMMYFUNCTION("""COMPUTED_VALUE"""),6.13)</f>
        <v>6.13</v>
      </c>
    </row>
    <row r="1423">
      <c r="A1423" s="13" t="str">
        <f>IFERROR(__xludf.DUMMYFUNCTION("""COMPUTED_VALUE"""),"товари")</f>
        <v>товари</v>
      </c>
      <c r="B1423" s="13" t="str">
        <f>IFERROR(__xludf.DUMMYFUNCTION("""COMPUTED_VALUE"""),"промислове обладнання та верстати")</f>
        <v>промислове обладнання та верстати</v>
      </c>
      <c r="C1423" s="15" t="str">
        <f>IFERROR(__xludf.DUMMYFUNCTION("""COMPUTED_VALUE"""),"кранове обладнання")</f>
        <v>кранове обладнання</v>
      </c>
      <c r="D1423" s="15" t="str">
        <f>IFERROR(__xludf.DUMMYFUNCTION("""COMPUTED_VALUE"""),"портальні крани")</f>
        <v>портальні крани</v>
      </c>
      <c r="E1423" s="15" t="str">
        <f>IFERROR(__xludf.DUMMYFUNCTION("""COMPUTED_VALUE"""),"портальні крани")</f>
        <v>портальні крани</v>
      </c>
      <c r="F1423" s="17">
        <f>IFERROR(__xludf.DUMMYFUNCTION("""COMPUTED_VALUE"""),3.0)</f>
        <v>3</v>
      </c>
      <c r="G1423" s="17">
        <f>IFERROR(__xludf.DUMMYFUNCTION("""COMPUTED_VALUE"""),141101.0)</f>
        <v>141101</v>
      </c>
      <c r="H1423" s="17" t="str">
        <f>IFERROR(__xludf.DUMMYFUNCTION("""COMPUTED_VALUE"""),"портальні крани")</f>
        <v>портальні крани</v>
      </c>
      <c r="I1423" s="18">
        <f>IFERROR(__xludf.DUMMYFUNCTION("""COMPUTED_VALUE"""),1.39)</f>
        <v>1.39</v>
      </c>
      <c r="J1423" s="18">
        <f>IFERROR(__xludf.DUMMYFUNCTION("""COMPUTED_VALUE"""),2.79)</f>
        <v>2.79</v>
      </c>
      <c r="K1423" s="18">
        <f>IFERROR(__xludf.DUMMYFUNCTION("""COMPUTED_VALUE"""),3.48)</f>
        <v>3.48</v>
      </c>
      <c r="L1423" s="18">
        <f>IFERROR(__xludf.DUMMYFUNCTION("""COMPUTED_VALUE"""),5.58)</f>
        <v>5.58</v>
      </c>
    </row>
    <row r="1424">
      <c r="A1424" s="13" t="str">
        <f>IFERROR(__xludf.DUMMYFUNCTION("""COMPUTED_VALUE"""),"товари")</f>
        <v>товари</v>
      </c>
      <c r="B1424" s="13" t="str">
        <f>IFERROR(__xludf.DUMMYFUNCTION("""COMPUTED_VALUE"""),"промислове обладнання та верстати")</f>
        <v>промислове обладнання та верстати</v>
      </c>
      <c r="C1424" s="15" t="str">
        <f>IFERROR(__xludf.DUMMYFUNCTION("""COMPUTED_VALUE"""),"промислові насоси")</f>
        <v>промислові насоси</v>
      </c>
      <c r="D1424" s="15" t="str">
        <f>IFERROR(__xludf.DUMMYFUNCTION("""COMPUTED_VALUE"""),"поршневі та плунжерні насоси")</f>
        <v>поршневі та плунжерні насоси</v>
      </c>
      <c r="E1424" s="15" t="str">
        <f>IFERROR(__xludf.DUMMYFUNCTION("""COMPUTED_VALUE"""),"поршневі та плунжерні насоси")</f>
        <v>поршневі та плунжерні насоси</v>
      </c>
      <c r="F1424" s="17">
        <f>IFERROR(__xludf.DUMMYFUNCTION("""COMPUTED_VALUE"""),3.0)</f>
        <v>3</v>
      </c>
      <c r="G1424" s="17">
        <f>IFERROR(__xludf.DUMMYFUNCTION("""COMPUTED_VALUE"""),1.4030103E7)</f>
        <v>14030103</v>
      </c>
      <c r="H1424" s="17" t="str">
        <f>IFERROR(__xludf.DUMMYFUNCTION("""COMPUTED_VALUE"""),"поршневі та плунжерні насоси")</f>
        <v>поршневі та плунжерні насоси</v>
      </c>
      <c r="I1424" s="18">
        <f>IFERROR(__xludf.DUMMYFUNCTION("""COMPUTED_VALUE"""),2.7)</f>
        <v>2.7</v>
      </c>
      <c r="J1424" s="18">
        <f>IFERROR(__xludf.DUMMYFUNCTION("""COMPUTED_VALUE"""),5.4)</f>
        <v>5.4</v>
      </c>
      <c r="K1424" s="18">
        <f>IFERROR(__xludf.DUMMYFUNCTION("""COMPUTED_VALUE"""),6.75)</f>
        <v>6.75</v>
      </c>
      <c r="L1424" s="18">
        <f>IFERROR(__xludf.DUMMYFUNCTION("""COMPUTED_VALUE"""),10.8)</f>
        <v>10.8</v>
      </c>
    </row>
    <row r="1425">
      <c r="A1425" s="13" t="str">
        <f>IFERROR(__xludf.DUMMYFUNCTION("""COMPUTED_VALUE"""),"товари")</f>
        <v>товари</v>
      </c>
      <c r="B1425" s="13" t="str">
        <f>IFERROR(__xludf.DUMMYFUNCTION("""COMPUTED_VALUE"""),"промислове обладнання та верстати")</f>
        <v>промислове обладнання та верстати</v>
      </c>
      <c r="C1425" s="15" t="str">
        <f>IFERROR(__xludf.DUMMYFUNCTION("""COMPUTED_VALUE"""),"верстати")</f>
        <v>верстати</v>
      </c>
      <c r="D1425" s="15" t="str">
        <f>IFERROR(__xludf.DUMMYFUNCTION("""COMPUTED_VALUE"""),"деревообробні верстати")</f>
        <v>деревообробні верстати</v>
      </c>
      <c r="E1425" s="15" t="str">
        <f>IFERROR(__xludf.DUMMYFUNCTION("""COMPUTED_VALUE"""),"пресові верстати")</f>
        <v>пресові верстати</v>
      </c>
      <c r="F1425" s="17">
        <f>IFERROR(__xludf.DUMMYFUNCTION("""COMPUTED_VALUE"""),4.0)</f>
        <v>4</v>
      </c>
      <c r="G1425" s="17">
        <f>IFERROR(__xludf.DUMMYFUNCTION("""COMPUTED_VALUE"""),1.4310307E7)</f>
        <v>14310307</v>
      </c>
      <c r="H1425" s="17" t="str">
        <f>IFERROR(__xludf.DUMMYFUNCTION("""COMPUTED_VALUE"""),"пресові верстати")</f>
        <v>пресові верстати</v>
      </c>
      <c r="I1425" s="18">
        <f>IFERROR(__xludf.DUMMYFUNCTION("""COMPUTED_VALUE"""),1.26)</f>
        <v>1.26</v>
      </c>
      <c r="J1425" s="18">
        <f>IFERROR(__xludf.DUMMYFUNCTION("""COMPUTED_VALUE"""),2.53)</f>
        <v>2.53</v>
      </c>
      <c r="K1425" s="18">
        <f>IFERROR(__xludf.DUMMYFUNCTION("""COMPUTED_VALUE"""),3.16)</f>
        <v>3.16</v>
      </c>
      <c r="L1425" s="18">
        <f>IFERROR(__xludf.DUMMYFUNCTION("""COMPUTED_VALUE"""),5.05)</f>
        <v>5.05</v>
      </c>
    </row>
    <row r="1426">
      <c r="A1426" s="13" t="str">
        <f>IFERROR(__xludf.DUMMYFUNCTION("""COMPUTED_VALUE"""),"товари")</f>
        <v>товари</v>
      </c>
      <c r="B1426" s="13" t="str">
        <f>IFERROR(__xludf.DUMMYFUNCTION("""COMPUTED_VALUE"""),"промислове обладнання та верстати")</f>
        <v>промислове обладнання та верстати</v>
      </c>
      <c r="C1426" s="15" t="str">
        <f>IFERROR(__xludf.DUMMYFUNCTION("""COMPUTED_VALUE"""),"промислове кліматичне обладнання")</f>
        <v>промислове кліматичне обладнання</v>
      </c>
      <c r="D1426" s="15" t="str">
        <f>IFERROR(__xludf.DUMMYFUNCTION("""COMPUTED_VALUE"""),"промислові кондиціонери")</f>
        <v>промислові кондиціонери</v>
      </c>
      <c r="E1426" s="15" t="str">
        <f>IFERROR(__xludf.DUMMYFUNCTION("""COMPUTED_VALUE"""),"прецизійні кондиціонери")</f>
        <v>прецизійні кондиціонери</v>
      </c>
      <c r="F1426" s="17">
        <f>IFERROR(__xludf.DUMMYFUNCTION("""COMPUTED_VALUE"""),4.0)</f>
        <v>4</v>
      </c>
      <c r="G1426" s="17">
        <f>IFERROR(__xludf.DUMMYFUNCTION("""COMPUTED_VALUE"""),1.4650201E7)</f>
        <v>14650201</v>
      </c>
      <c r="H1426" s="17" t="str">
        <f>IFERROR(__xludf.DUMMYFUNCTION("""COMPUTED_VALUE"""),"прецизійні кондиціонери")</f>
        <v>прецизійні кондиціонери</v>
      </c>
      <c r="I1426" s="18">
        <f>IFERROR(__xludf.DUMMYFUNCTION("""COMPUTED_VALUE"""),2.7)</f>
        <v>2.7</v>
      </c>
      <c r="J1426" s="18">
        <f>IFERROR(__xludf.DUMMYFUNCTION("""COMPUTED_VALUE"""),5.4)</f>
        <v>5.4</v>
      </c>
      <c r="K1426" s="18">
        <f>IFERROR(__xludf.DUMMYFUNCTION("""COMPUTED_VALUE"""),6.75)</f>
        <v>6.75</v>
      </c>
      <c r="L1426" s="18">
        <f>IFERROR(__xludf.DUMMYFUNCTION("""COMPUTED_VALUE"""),10.8)</f>
        <v>10.8</v>
      </c>
    </row>
    <row r="1427">
      <c r="A1427" s="13" t="str">
        <f>IFERROR(__xludf.DUMMYFUNCTION("""COMPUTED_VALUE"""),"товари")</f>
        <v>товари</v>
      </c>
      <c r="B1427" s="13" t="str">
        <f>IFERROR(__xludf.DUMMYFUNCTION("""COMPUTED_VALUE"""),"промислове обладнання та верстати")</f>
        <v>промислове обладнання та верстати</v>
      </c>
      <c r="C1427" s="15" t="str">
        <f>IFERROR(__xludf.DUMMYFUNCTION("""COMPUTED_VALUE"""),"верстати")</f>
        <v>верстати</v>
      </c>
      <c r="D1427" s="15" t="str">
        <f>IFERROR(__xludf.DUMMYFUNCTION("""COMPUTED_VALUE"""),"деревообробні верстати")</f>
        <v>деревообробні верстати</v>
      </c>
      <c r="E1427" s="15" t="str">
        <f>IFERROR(__xludf.DUMMYFUNCTION("""COMPUTED_VALUE"""),"пристосування для деревообробних верстатів")</f>
        <v>пристосування для деревообробних верстатів</v>
      </c>
      <c r="F1427" s="17">
        <f>IFERROR(__xludf.DUMMYFUNCTION("""COMPUTED_VALUE"""),4.0)</f>
        <v>4</v>
      </c>
      <c r="G1427" s="17">
        <f>IFERROR(__xludf.DUMMYFUNCTION("""COMPUTED_VALUE"""),1.4310322E7)</f>
        <v>14310322</v>
      </c>
      <c r="H1427" s="17" t="str">
        <f>IFERROR(__xludf.DUMMYFUNCTION("""COMPUTED_VALUE"""),"пристосування для деревообробних верстатів")</f>
        <v>пристосування для деревообробних верстатів</v>
      </c>
      <c r="I1427" s="18">
        <f>IFERROR(__xludf.DUMMYFUNCTION("""COMPUTED_VALUE"""),1.26)</f>
        <v>1.26</v>
      </c>
      <c r="J1427" s="18">
        <f>IFERROR(__xludf.DUMMYFUNCTION("""COMPUTED_VALUE"""),2.53)</f>
        <v>2.53</v>
      </c>
      <c r="K1427" s="18">
        <f>IFERROR(__xludf.DUMMYFUNCTION("""COMPUTED_VALUE"""),3.16)</f>
        <v>3.16</v>
      </c>
      <c r="L1427" s="18">
        <f>IFERROR(__xludf.DUMMYFUNCTION("""COMPUTED_VALUE"""),5.05)</f>
        <v>5.05</v>
      </c>
    </row>
    <row r="1428">
      <c r="A1428" s="13" t="str">
        <f>IFERROR(__xludf.DUMMYFUNCTION("""COMPUTED_VALUE"""),"товари")</f>
        <v>товари</v>
      </c>
      <c r="B1428" s="13" t="str">
        <f>IFERROR(__xludf.DUMMYFUNCTION("""COMPUTED_VALUE"""),"промислове обладнання та верстати")</f>
        <v>промислове обладнання та верстати</v>
      </c>
      <c r="C1428" s="15" t="str">
        <f>IFERROR(__xludf.DUMMYFUNCTION("""COMPUTED_VALUE"""),"промислове кліматичне обладнання")</f>
        <v>промислове кліматичне обладнання</v>
      </c>
      <c r="D1428" s="15" t="str">
        <f>IFERROR(__xludf.DUMMYFUNCTION("""COMPUTED_VALUE"""),"промислове кліматичне обладнання, загальне")</f>
        <v>промислове кліматичне обладнання, загальне</v>
      </c>
      <c r="E1428" s="15" t="str">
        <f>IFERROR(__xludf.DUMMYFUNCTION("""COMPUTED_VALUE"""),"промислове кліматичне обладнання, загальне")</f>
        <v>промислове кліматичне обладнання, загальне</v>
      </c>
      <c r="F1428" s="17">
        <f>IFERROR(__xludf.DUMMYFUNCTION("""COMPUTED_VALUE"""),3.0)</f>
        <v>3</v>
      </c>
      <c r="G1428" s="17">
        <f>IFERROR(__xludf.DUMMYFUNCTION("""COMPUTED_VALUE"""),145301.0)</f>
        <v>145301</v>
      </c>
      <c r="H1428" s="17" t="str">
        <f>IFERROR(__xludf.DUMMYFUNCTION("""COMPUTED_VALUE"""),"промислове кліматичне обладнання, загальне")</f>
        <v>промислове кліматичне обладнання, загальне</v>
      </c>
      <c r="I1428" s="18">
        <f>IFERROR(__xludf.DUMMYFUNCTION("""COMPUTED_VALUE"""),2.16)</f>
        <v>2.16</v>
      </c>
      <c r="J1428" s="18">
        <f>IFERROR(__xludf.DUMMYFUNCTION("""COMPUTED_VALUE"""),4.33)</f>
        <v>4.33</v>
      </c>
      <c r="K1428" s="18">
        <f>IFERROR(__xludf.DUMMYFUNCTION("""COMPUTED_VALUE"""),5.41)</f>
        <v>5.41</v>
      </c>
      <c r="L1428" s="18">
        <f>IFERROR(__xludf.DUMMYFUNCTION("""COMPUTED_VALUE"""),8.65)</f>
        <v>8.65</v>
      </c>
    </row>
    <row r="1429">
      <c r="A1429" s="13" t="str">
        <f>IFERROR(__xludf.DUMMYFUNCTION("""COMPUTED_VALUE"""),"товари")</f>
        <v>товари</v>
      </c>
      <c r="B1429" s="13" t="str">
        <f>IFERROR(__xludf.DUMMYFUNCTION("""COMPUTED_VALUE"""),"промислове обладнання та верстати")</f>
        <v>промислове обладнання та верстати</v>
      </c>
      <c r="C1429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29" s="15" t="str">
        <f>IFERROR(__xludf.DUMMYFUNCTION("""COMPUTED_VALUE"""),"промислове прибиральне та очисне обладнання, загальне")</f>
        <v>промислове прибиральне та очисне обладнання, загальне</v>
      </c>
      <c r="E1429" s="15" t="str">
        <f>IFERROR(__xludf.DUMMYFUNCTION("""COMPUTED_VALUE"""),"промислове прибиральне та очисне обладнання, загальне")</f>
        <v>промислове прибиральне та очисне обладнання, загальне</v>
      </c>
      <c r="F1429" s="17">
        <f>IFERROR(__xludf.DUMMYFUNCTION("""COMPUTED_VALUE"""),3.0)</f>
        <v>3</v>
      </c>
      <c r="G1429" s="17">
        <f>IFERROR(__xludf.DUMMYFUNCTION("""COMPUTED_VALUE"""),144801.0)</f>
        <v>144801</v>
      </c>
      <c r="H1429" s="17" t="str">
        <f>IFERROR(__xludf.DUMMYFUNCTION("""COMPUTED_VALUE"""),"промислове прибиральне та очисне обладнання, загальне")</f>
        <v>промислове прибиральне та очисне обладнання, загальне</v>
      </c>
      <c r="I1429" s="18">
        <f>IFERROR(__xludf.DUMMYFUNCTION("""COMPUTED_VALUE"""),2.16)</f>
        <v>2.16</v>
      </c>
      <c r="J1429" s="18">
        <f>IFERROR(__xludf.DUMMYFUNCTION("""COMPUTED_VALUE"""),4.33)</f>
        <v>4.33</v>
      </c>
      <c r="K1429" s="18">
        <f>IFERROR(__xludf.DUMMYFUNCTION("""COMPUTED_VALUE"""),5.41)</f>
        <v>5.41</v>
      </c>
      <c r="L1429" s="18">
        <f>IFERROR(__xludf.DUMMYFUNCTION("""COMPUTED_VALUE"""),8.65)</f>
        <v>8.65</v>
      </c>
    </row>
    <row r="1430">
      <c r="A1430" s="13" t="str">
        <f>IFERROR(__xludf.DUMMYFUNCTION("""COMPUTED_VALUE"""),"товари")</f>
        <v>товари</v>
      </c>
      <c r="B1430" s="13" t="str">
        <f>IFERROR(__xludf.DUMMYFUNCTION("""COMPUTED_VALUE"""),"промислове обладнання та верстати")</f>
        <v>промислове обладнання та верстати</v>
      </c>
      <c r="C1430" s="15" t="str">
        <f>IFERROR(__xludf.DUMMYFUNCTION("""COMPUTED_VALUE"""),"енергообладнання")</f>
        <v>енергообладнання</v>
      </c>
      <c r="D1430" s="15" t="str">
        <f>IFERROR(__xludf.DUMMYFUNCTION("""COMPUTED_VALUE"""),"промислові вибухозахищені нагрівачі")</f>
        <v>промислові вибухозахищені нагрівачі</v>
      </c>
      <c r="E1430" s="15" t="str">
        <f>IFERROR(__xludf.DUMMYFUNCTION("""COMPUTED_VALUE"""),"промислові вибухозахищені нагрівачі")</f>
        <v>промислові вибухозахищені нагрівачі</v>
      </c>
      <c r="F1430" s="17">
        <f>IFERROR(__xludf.DUMMYFUNCTION("""COMPUTED_VALUE"""),3.0)</f>
        <v>3</v>
      </c>
      <c r="G1430" s="17">
        <f>IFERROR(__xludf.DUMMYFUNCTION("""COMPUTED_VALUE"""),142403.0)</f>
        <v>142403</v>
      </c>
      <c r="H1430" s="17" t="str">
        <f>IFERROR(__xludf.DUMMYFUNCTION("""COMPUTED_VALUE"""),"промислові вибухозахищені нагрівачі")</f>
        <v>промислові вибухозахищені нагрівачі</v>
      </c>
      <c r="I1430" s="18">
        <f>IFERROR(__xludf.DUMMYFUNCTION("""COMPUTED_VALUE"""),0.53)</f>
        <v>0.53</v>
      </c>
      <c r="J1430" s="18">
        <f>IFERROR(__xludf.DUMMYFUNCTION("""COMPUTED_VALUE"""),1.05)</f>
        <v>1.05</v>
      </c>
      <c r="K1430" s="18">
        <f>IFERROR(__xludf.DUMMYFUNCTION("""COMPUTED_VALUE"""),1.31)</f>
        <v>1.31</v>
      </c>
      <c r="L1430" s="18">
        <f>IFERROR(__xludf.DUMMYFUNCTION("""COMPUTED_VALUE"""),2.1)</f>
        <v>2.1</v>
      </c>
    </row>
    <row r="1431">
      <c r="A1431" s="13" t="str">
        <f>IFERROR(__xludf.DUMMYFUNCTION("""COMPUTED_VALUE"""),"товари")</f>
        <v>товари</v>
      </c>
      <c r="B1431" s="13" t="str">
        <f>IFERROR(__xludf.DUMMYFUNCTION("""COMPUTED_VALUE"""),"промислове обладнання та верстати")</f>
        <v>промислове обладнання та верстати</v>
      </c>
      <c r="C1431" s="15" t="str">
        <f>IFERROR(__xludf.DUMMYFUNCTION("""COMPUTED_VALUE"""),"енергообладнання")</f>
        <v>енергообладнання</v>
      </c>
      <c r="D1431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1431" s="15" t="str">
        <f>IFERROR(__xludf.DUMMYFUNCTION("""COMPUTED_VALUE"""),"промислові водонагрівачі")</f>
        <v>промислові водонагрівачі</v>
      </c>
      <c r="F1431" s="17">
        <f>IFERROR(__xludf.DUMMYFUNCTION("""COMPUTED_VALUE"""),4.0)</f>
        <v>4</v>
      </c>
      <c r="G1431" s="17">
        <f>IFERROR(__xludf.DUMMYFUNCTION("""COMPUTED_VALUE"""),142105.0)</f>
        <v>142105</v>
      </c>
      <c r="H1431" s="17" t="str">
        <f>IFERROR(__xludf.DUMMYFUNCTION("""COMPUTED_VALUE"""),"промислові водонагрівачі")</f>
        <v>промислові водонагрівачі</v>
      </c>
      <c r="I1431" s="18">
        <f>IFERROR(__xludf.DUMMYFUNCTION("""COMPUTED_VALUE"""),2.7)</f>
        <v>2.7</v>
      </c>
      <c r="J1431" s="18">
        <f>IFERROR(__xludf.DUMMYFUNCTION("""COMPUTED_VALUE"""),5.4)</f>
        <v>5.4</v>
      </c>
      <c r="K1431" s="18">
        <f>IFERROR(__xludf.DUMMYFUNCTION("""COMPUTED_VALUE"""),6.75)</f>
        <v>6.75</v>
      </c>
      <c r="L1431" s="18">
        <f>IFERROR(__xludf.DUMMYFUNCTION("""COMPUTED_VALUE"""),10.8)</f>
        <v>10.8</v>
      </c>
    </row>
    <row r="1432">
      <c r="A1432" s="13" t="str">
        <f>IFERROR(__xludf.DUMMYFUNCTION("""COMPUTED_VALUE"""),"товари")</f>
        <v>товари</v>
      </c>
      <c r="B1432" s="13" t="str">
        <f>IFERROR(__xludf.DUMMYFUNCTION("""COMPUTED_VALUE"""),"промислове обладнання та верстати")</f>
        <v>промислове обладнання та верстати</v>
      </c>
      <c r="C1432" s="15" t="str">
        <f>IFERROR(__xludf.DUMMYFUNCTION("""COMPUTED_VALUE"""),"гідрообладнання")</f>
        <v>гідрообладнання</v>
      </c>
      <c r="D1432" s="15" t="str">
        <f>IFERROR(__xludf.DUMMYFUNCTION("""COMPUTED_VALUE"""),"промислові гідроциліндри")</f>
        <v>промислові гідроциліндри</v>
      </c>
      <c r="E1432" s="15" t="str">
        <f>IFERROR(__xludf.DUMMYFUNCTION("""COMPUTED_VALUE"""),"промислові гідроциліндри")</f>
        <v>промислові гідроциліндри</v>
      </c>
      <c r="F1432" s="17">
        <f>IFERROR(__xludf.DUMMYFUNCTION("""COMPUTED_VALUE"""),3.0)</f>
        <v>3</v>
      </c>
      <c r="G1432" s="17">
        <f>IFERROR(__xludf.DUMMYFUNCTION("""COMPUTED_VALUE"""),140318.0)</f>
        <v>140318</v>
      </c>
      <c r="H1432" s="17" t="str">
        <f>IFERROR(__xludf.DUMMYFUNCTION("""COMPUTED_VALUE"""),"промислові гідроциліндри")</f>
        <v>промислові гідроциліндри</v>
      </c>
      <c r="I1432" s="18">
        <f>IFERROR(__xludf.DUMMYFUNCTION("""COMPUTED_VALUE"""),1.39)</f>
        <v>1.39</v>
      </c>
      <c r="J1432" s="18">
        <f>IFERROR(__xludf.DUMMYFUNCTION("""COMPUTED_VALUE"""),2.79)</f>
        <v>2.79</v>
      </c>
      <c r="K1432" s="18">
        <f>IFERROR(__xludf.DUMMYFUNCTION("""COMPUTED_VALUE"""),3.48)</f>
        <v>3.48</v>
      </c>
      <c r="L1432" s="18">
        <f>IFERROR(__xludf.DUMMYFUNCTION("""COMPUTED_VALUE"""),5.58)</f>
        <v>5.58</v>
      </c>
    </row>
    <row r="1433">
      <c r="A1433" s="13" t="str">
        <f>IFERROR(__xludf.DUMMYFUNCTION("""COMPUTED_VALUE"""),"товари")</f>
        <v>товари</v>
      </c>
      <c r="B1433" s="13" t="str">
        <f>IFERROR(__xludf.DUMMYFUNCTION("""COMPUTED_VALUE"""),"промислове обладнання та верстати")</f>
        <v>промислове обладнання та верстати</v>
      </c>
      <c r="C1433" s="15" t="str">
        <f>IFERROR(__xludf.DUMMYFUNCTION("""COMPUTED_VALUE"""),"енергообладнання")</f>
        <v>енергообладнання</v>
      </c>
      <c r="D1433" s="15" t="str">
        <f>IFERROR(__xludf.DUMMYFUNCTION("""COMPUTED_VALUE"""),"промислові димові труби")</f>
        <v>промислові димові труби</v>
      </c>
      <c r="E1433" s="15" t="str">
        <f>IFERROR(__xludf.DUMMYFUNCTION("""COMPUTED_VALUE"""),"промислові димові труби")</f>
        <v>промислові димові труби</v>
      </c>
      <c r="F1433" s="17">
        <f>IFERROR(__xludf.DUMMYFUNCTION("""COMPUTED_VALUE"""),3.0)</f>
        <v>3</v>
      </c>
      <c r="G1433" s="17">
        <f>IFERROR(__xludf.DUMMYFUNCTION("""COMPUTED_VALUE"""),142108.0)</f>
        <v>142108</v>
      </c>
      <c r="H1433" s="17" t="str">
        <f>IFERROR(__xludf.DUMMYFUNCTION("""COMPUTED_VALUE"""),"промислові димові труби")</f>
        <v>промислові димові труби</v>
      </c>
      <c r="I1433" s="18">
        <f>IFERROR(__xludf.DUMMYFUNCTION("""COMPUTED_VALUE"""),1.84)</f>
        <v>1.84</v>
      </c>
      <c r="J1433" s="18">
        <f>IFERROR(__xludf.DUMMYFUNCTION("""COMPUTED_VALUE"""),3.69)</f>
        <v>3.69</v>
      </c>
      <c r="K1433" s="18">
        <f>IFERROR(__xludf.DUMMYFUNCTION("""COMPUTED_VALUE"""),4.61)</f>
        <v>4.61</v>
      </c>
      <c r="L1433" s="18">
        <f>IFERROR(__xludf.DUMMYFUNCTION("""COMPUTED_VALUE"""),7.38)</f>
        <v>7.38</v>
      </c>
    </row>
    <row r="1434">
      <c r="A1434" s="13" t="str">
        <f>IFERROR(__xludf.DUMMYFUNCTION("""COMPUTED_VALUE"""),"товари")</f>
        <v>товари</v>
      </c>
      <c r="B1434" s="13" t="str">
        <f>IFERROR(__xludf.DUMMYFUNCTION("""COMPUTED_VALUE"""),"промислове обладнання та верстати")</f>
        <v>промислове обладнання та верстати</v>
      </c>
      <c r="C1434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34" s="15" t="str">
        <f>IFERROR(__xludf.DUMMYFUNCTION("""COMPUTED_VALUE"""),"промислові очищувачі повітря")</f>
        <v>промислові очищувачі повітря</v>
      </c>
      <c r="E1434" s="15" t="str">
        <f>IFERROR(__xludf.DUMMYFUNCTION("""COMPUTED_VALUE"""),"промислові зволожувачі повітря")</f>
        <v>промислові зволожувачі повітря</v>
      </c>
      <c r="F1434" s="17">
        <f>IFERROR(__xludf.DUMMYFUNCTION("""COMPUTED_VALUE"""),4.0)</f>
        <v>4</v>
      </c>
      <c r="G1434" s="17">
        <f>IFERROR(__xludf.DUMMYFUNCTION("""COMPUTED_VALUE"""),140202.0)</f>
        <v>140202</v>
      </c>
      <c r="H1434" s="17" t="str">
        <f>IFERROR(__xludf.DUMMYFUNCTION("""COMPUTED_VALUE"""),"промислові зволожувачі повітря")</f>
        <v>промислові зволожувачі повітря</v>
      </c>
      <c r="I1434" s="18">
        <f>IFERROR(__xludf.DUMMYFUNCTION("""COMPUTED_VALUE"""),2.11)</f>
        <v>2.11</v>
      </c>
      <c r="J1434" s="18">
        <f>IFERROR(__xludf.DUMMYFUNCTION("""COMPUTED_VALUE"""),4.23)</f>
        <v>4.23</v>
      </c>
      <c r="K1434" s="18">
        <f>IFERROR(__xludf.DUMMYFUNCTION("""COMPUTED_VALUE"""),5.28)</f>
        <v>5.28</v>
      </c>
      <c r="L1434" s="18">
        <f>IFERROR(__xludf.DUMMYFUNCTION("""COMPUTED_VALUE"""),8.45)</f>
        <v>8.45</v>
      </c>
    </row>
    <row r="1435">
      <c r="A1435" s="13" t="str">
        <f>IFERROR(__xludf.DUMMYFUNCTION("""COMPUTED_VALUE"""),"товари")</f>
        <v>товари</v>
      </c>
      <c r="B1435" s="13" t="str">
        <f>IFERROR(__xludf.DUMMYFUNCTION("""COMPUTED_VALUE"""),"промислове обладнання та верстати")</f>
        <v>промислове обладнання та верстати</v>
      </c>
      <c r="C1435" s="15" t="str">
        <f>IFERROR(__xludf.DUMMYFUNCTION("""COMPUTED_VALUE"""),"промислове кліматичне обладнання")</f>
        <v>промислове кліматичне обладнання</v>
      </c>
      <c r="D1435" s="15" t="str">
        <f>IFERROR(__xludf.DUMMYFUNCTION("""COMPUTED_VALUE"""),"промислові кондиціонери")</f>
        <v>промислові кондиціонери</v>
      </c>
      <c r="E1435" s="15" t="str">
        <f>IFERROR(__xludf.DUMMYFUNCTION("""COMPUTED_VALUE"""),"промислові кондиціонери, загальне")</f>
        <v>промислові кондиціонери, загальне</v>
      </c>
      <c r="F1435" s="17">
        <f>IFERROR(__xludf.DUMMYFUNCTION("""COMPUTED_VALUE"""),4.0)</f>
        <v>4</v>
      </c>
      <c r="G1435" s="17">
        <f>IFERROR(__xludf.DUMMYFUNCTION("""COMPUTED_VALUE"""),1.4650208E7)</f>
        <v>14650208</v>
      </c>
      <c r="H1435" s="17" t="str">
        <f>IFERROR(__xludf.DUMMYFUNCTION("""COMPUTED_VALUE"""),"промислові кондиціонери, загальне")</f>
        <v>промислові кондиціонери, загальне</v>
      </c>
      <c r="I1435" s="18">
        <f>IFERROR(__xludf.DUMMYFUNCTION("""COMPUTED_VALUE"""),2.16)</f>
        <v>2.16</v>
      </c>
      <c r="J1435" s="18">
        <f>IFERROR(__xludf.DUMMYFUNCTION("""COMPUTED_VALUE"""),4.33)</f>
        <v>4.33</v>
      </c>
      <c r="K1435" s="18">
        <f>IFERROR(__xludf.DUMMYFUNCTION("""COMPUTED_VALUE"""),5.41)</f>
        <v>5.41</v>
      </c>
      <c r="L1435" s="18">
        <f>IFERROR(__xludf.DUMMYFUNCTION("""COMPUTED_VALUE"""),8.65)</f>
        <v>8.65</v>
      </c>
    </row>
    <row r="1436">
      <c r="A1436" s="13" t="str">
        <f>IFERROR(__xludf.DUMMYFUNCTION("""COMPUTED_VALUE"""),"товари")</f>
        <v>товари</v>
      </c>
      <c r="B1436" s="13" t="str">
        <f>IFERROR(__xludf.DUMMYFUNCTION("""COMPUTED_VALUE"""),"промислове обладнання та верстати")</f>
        <v>промислове обладнання та верстати</v>
      </c>
      <c r="C1436" s="15" t="str">
        <f>IFERROR(__xludf.DUMMYFUNCTION("""COMPUTED_VALUE"""),"енергообладнання")</f>
        <v>енергообладнання</v>
      </c>
      <c r="D1436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1436" s="15" t="str">
        <f>IFERROR(__xludf.DUMMYFUNCTION("""COMPUTED_VALUE"""),"промислові котли")</f>
        <v>промислові котли</v>
      </c>
      <c r="F1436" s="17">
        <f>IFERROR(__xludf.DUMMYFUNCTION("""COMPUTED_VALUE"""),4.0)</f>
        <v>4</v>
      </c>
      <c r="G1436" s="17">
        <f>IFERROR(__xludf.DUMMYFUNCTION("""COMPUTED_VALUE"""),142101.0)</f>
        <v>142101</v>
      </c>
      <c r="H1436" s="17" t="str">
        <f>IFERROR(__xludf.DUMMYFUNCTION("""COMPUTED_VALUE"""),"промислові котли")</f>
        <v>промислові котли</v>
      </c>
      <c r="I1436" s="18">
        <f>IFERROR(__xludf.DUMMYFUNCTION("""COMPUTED_VALUE"""),2.7)</f>
        <v>2.7</v>
      </c>
      <c r="J1436" s="18">
        <f>IFERROR(__xludf.DUMMYFUNCTION("""COMPUTED_VALUE"""),5.4)</f>
        <v>5.4</v>
      </c>
      <c r="K1436" s="18">
        <f>IFERROR(__xludf.DUMMYFUNCTION("""COMPUTED_VALUE"""),6.75)</f>
        <v>6.75</v>
      </c>
      <c r="L1436" s="18">
        <f>IFERROR(__xludf.DUMMYFUNCTION("""COMPUTED_VALUE"""),10.8)</f>
        <v>10.8</v>
      </c>
    </row>
    <row r="1437">
      <c r="A1437" s="13" t="str">
        <f>IFERROR(__xludf.DUMMYFUNCTION("""COMPUTED_VALUE"""),"товари")</f>
        <v>товари</v>
      </c>
      <c r="B1437" s="13" t="str">
        <f>IFERROR(__xludf.DUMMYFUNCTION("""COMPUTED_VALUE"""),"промислове обладнання та верстати")</f>
        <v>промислове обладнання та верстати</v>
      </c>
      <c r="C1437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37" s="15" t="str">
        <f>IFERROR(__xludf.DUMMYFUNCTION("""COMPUTED_VALUE"""),"промислові очищувачі повітря")</f>
        <v>промислові очищувачі повітря</v>
      </c>
      <c r="E1437" s="15" t="str">
        <f>IFERROR(__xludf.DUMMYFUNCTION("""COMPUTED_VALUE"""),"промислові очищувачі повітря, загальне")</f>
        <v>промислові очищувачі повітря, загальне</v>
      </c>
      <c r="F1437" s="17">
        <f>IFERROR(__xludf.DUMMYFUNCTION("""COMPUTED_VALUE"""),4.0)</f>
        <v>4</v>
      </c>
      <c r="G1437" s="17">
        <f>IFERROR(__xludf.DUMMYFUNCTION("""COMPUTED_VALUE"""),1.4020103E7)</f>
        <v>14020103</v>
      </c>
      <c r="H1437" s="17" t="str">
        <f>IFERROR(__xludf.DUMMYFUNCTION("""COMPUTED_VALUE"""),"промислові очищувачі повітря, загальне")</f>
        <v>промислові очищувачі повітря, загальне</v>
      </c>
      <c r="I1437" s="18">
        <f>IFERROR(__xludf.DUMMYFUNCTION("""COMPUTED_VALUE"""),2.16)</f>
        <v>2.16</v>
      </c>
      <c r="J1437" s="18">
        <f>IFERROR(__xludf.DUMMYFUNCTION("""COMPUTED_VALUE"""),4.33)</f>
        <v>4.33</v>
      </c>
      <c r="K1437" s="18">
        <f>IFERROR(__xludf.DUMMYFUNCTION("""COMPUTED_VALUE"""),5.41)</f>
        <v>5.41</v>
      </c>
      <c r="L1437" s="18">
        <f>IFERROR(__xludf.DUMMYFUNCTION("""COMPUTED_VALUE"""),8.65)</f>
        <v>8.65</v>
      </c>
    </row>
    <row r="1438">
      <c r="A1438" s="13" t="str">
        <f>IFERROR(__xludf.DUMMYFUNCTION("""COMPUTED_VALUE"""),"товари")</f>
        <v>товари</v>
      </c>
      <c r="B1438" s="13" t="str">
        <f>IFERROR(__xludf.DUMMYFUNCTION("""COMPUTED_VALUE"""),"промислове обладнання та верстати")</f>
        <v>промислове обладнання та верстати</v>
      </c>
      <c r="C1438" s="15" t="str">
        <f>IFERROR(__xludf.DUMMYFUNCTION("""COMPUTED_VALUE"""),"енергообладнання")</f>
        <v>енергообладнання</v>
      </c>
      <c r="D1438" s="15" t="str">
        <f>IFERROR(__xludf.DUMMYFUNCTION("""COMPUTED_VALUE"""),"промислові парогенератори")</f>
        <v>промислові парогенератори</v>
      </c>
      <c r="E1438" s="15" t="str">
        <f>IFERROR(__xludf.DUMMYFUNCTION("""COMPUTED_VALUE"""),"промислові парогенератори")</f>
        <v>промислові парогенератори</v>
      </c>
      <c r="F1438" s="17">
        <f>IFERROR(__xludf.DUMMYFUNCTION("""COMPUTED_VALUE"""),3.0)</f>
        <v>3</v>
      </c>
      <c r="G1438" s="17">
        <f>IFERROR(__xludf.DUMMYFUNCTION("""COMPUTED_VALUE"""),145905.0)</f>
        <v>145905</v>
      </c>
      <c r="H1438" s="17" t="str">
        <f>IFERROR(__xludf.DUMMYFUNCTION("""COMPUTED_VALUE"""),"промислові парогенератори")</f>
        <v>промислові парогенератори</v>
      </c>
      <c r="I1438" s="18">
        <f>IFERROR(__xludf.DUMMYFUNCTION("""COMPUTED_VALUE"""),2.21)</f>
        <v>2.21</v>
      </c>
      <c r="J1438" s="18">
        <f>IFERROR(__xludf.DUMMYFUNCTION("""COMPUTED_VALUE"""),4.43)</f>
        <v>4.43</v>
      </c>
      <c r="K1438" s="18">
        <f>IFERROR(__xludf.DUMMYFUNCTION("""COMPUTED_VALUE"""),5.53)</f>
        <v>5.53</v>
      </c>
      <c r="L1438" s="18">
        <f>IFERROR(__xludf.DUMMYFUNCTION("""COMPUTED_VALUE"""),8.85)</f>
        <v>8.85</v>
      </c>
    </row>
    <row r="1439">
      <c r="A1439" s="13" t="str">
        <f>IFERROR(__xludf.DUMMYFUNCTION("""COMPUTED_VALUE"""),"товари")</f>
        <v>товари</v>
      </c>
      <c r="B1439" s="13" t="str">
        <f>IFERROR(__xludf.DUMMYFUNCTION("""COMPUTED_VALUE"""),"промислове обладнання та верстати")</f>
        <v>промислове обладнання та верстати</v>
      </c>
      <c r="C1439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39" s="15" t="str">
        <f>IFERROR(__xludf.DUMMYFUNCTION("""COMPUTED_VALUE"""),"промислові пилососи")</f>
        <v>промислові пилососи</v>
      </c>
      <c r="E1439" s="15" t="str">
        <f>IFERROR(__xludf.DUMMYFUNCTION("""COMPUTED_VALUE"""),"промислові пилососи")</f>
        <v>промислові пилососи</v>
      </c>
      <c r="F1439" s="17">
        <f>IFERROR(__xludf.DUMMYFUNCTION("""COMPUTED_VALUE"""),3.0)</f>
        <v>3</v>
      </c>
      <c r="G1439" s="17">
        <f>IFERROR(__xludf.DUMMYFUNCTION("""COMPUTED_VALUE"""),147002.0)</f>
        <v>147002</v>
      </c>
      <c r="H1439" s="17" t="str">
        <f>IFERROR(__xludf.DUMMYFUNCTION("""COMPUTED_VALUE"""),"промислові пилососи")</f>
        <v>промислові пилососи</v>
      </c>
      <c r="I1439" s="18">
        <f>IFERROR(__xludf.DUMMYFUNCTION("""COMPUTED_VALUE"""),2.16)</f>
        <v>2.16</v>
      </c>
      <c r="J1439" s="18">
        <f>IFERROR(__xludf.DUMMYFUNCTION("""COMPUTED_VALUE"""),4.33)</f>
        <v>4.33</v>
      </c>
      <c r="K1439" s="18">
        <f>IFERROR(__xludf.DUMMYFUNCTION("""COMPUTED_VALUE"""),5.41)</f>
        <v>5.41</v>
      </c>
      <c r="L1439" s="18">
        <f>IFERROR(__xludf.DUMMYFUNCTION("""COMPUTED_VALUE"""),8.65)</f>
        <v>8.65</v>
      </c>
    </row>
    <row r="1440">
      <c r="A1440" s="13" t="str">
        <f>IFERROR(__xludf.DUMMYFUNCTION("""COMPUTED_VALUE"""),"товари")</f>
        <v>товари</v>
      </c>
      <c r="B1440" s="13" t="str">
        <f>IFERROR(__xludf.DUMMYFUNCTION("""COMPUTED_VALUE"""),"промислове обладнання та верстати")</f>
        <v>промислове обладнання та верстати</v>
      </c>
      <c r="C1440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40" s="15" t="str">
        <f>IFERROR(__xludf.DUMMYFUNCTION("""COMPUTED_VALUE"""),"промислові системи туманоутворення")</f>
        <v>промислові системи туманоутворення</v>
      </c>
      <c r="E1440" s="15" t="str">
        <f>IFERROR(__xludf.DUMMYFUNCTION("""COMPUTED_VALUE"""),"промислові системи туманоутворення")</f>
        <v>промислові системи туманоутворення</v>
      </c>
      <c r="F1440" s="17">
        <f>IFERROR(__xludf.DUMMYFUNCTION("""COMPUTED_VALUE"""),3.0)</f>
        <v>3</v>
      </c>
      <c r="G1440" s="17">
        <f>IFERROR(__xludf.DUMMYFUNCTION("""COMPUTED_VALUE"""),147007.0)</f>
        <v>147007</v>
      </c>
      <c r="H1440" s="17" t="str">
        <f>IFERROR(__xludf.DUMMYFUNCTION("""COMPUTED_VALUE"""),"промислові системи туманоутворення")</f>
        <v>промислові системи туманоутворення</v>
      </c>
      <c r="I1440" s="18">
        <f>IFERROR(__xludf.DUMMYFUNCTION("""COMPUTED_VALUE"""),1.71)</f>
        <v>1.71</v>
      </c>
      <c r="J1440" s="18">
        <f>IFERROR(__xludf.DUMMYFUNCTION("""COMPUTED_VALUE"""),3.43)</f>
        <v>3.43</v>
      </c>
      <c r="K1440" s="18">
        <f>IFERROR(__xludf.DUMMYFUNCTION("""COMPUTED_VALUE"""),4.28)</f>
        <v>4.28</v>
      </c>
      <c r="L1440" s="18">
        <f>IFERROR(__xludf.DUMMYFUNCTION("""COMPUTED_VALUE"""),6.85)</f>
        <v>6.85</v>
      </c>
    </row>
    <row r="1441">
      <c r="A1441" s="13" t="str">
        <f>IFERROR(__xludf.DUMMYFUNCTION("""COMPUTED_VALUE"""),"товари")</f>
        <v>товари</v>
      </c>
      <c r="B1441" s="13" t="str">
        <f>IFERROR(__xludf.DUMMYFUNCTION("""COMPUTED_VALUE"""),"промислове обладнання та верстати")</f>
        <v>промислове обладнання та верстати</v>
      </c>
      <c r="C1441" s="15" t="str">
        <f>IFERROR(__xludf.DUMMYFUNCTION("""COMPUTED_VALUE"""),"технологічне обладнання")</f>
        <v>технологічне обладнання</v>
      </c>
      <c r="D1441" s="15" t="str">
        <f>IFERROR(__xludf.DUMMYFUNCTION("""COMPUTED_VALUE"""),"промислові установки для вирощування кристалів")</f>
        <v>промислові установки для вирощування кристалів</v>
      </c>
      <c r="E1441" s="15" t="str">
        <f>IFERROR(__xludf.DUMMYFUNCTION("""COMPUTED_VALUE"""),"промислові установки для вирощування кристалів")</f>
        <v>промислові установки для вирощування кристалів</v>
      </c>
      <c r="F1441" s="17">
        <f>IFERROR(__xludf.DUMMYFUNCTION("""COMPUTED_VALUE"""),3.0)</f>
        <v>3</v>
      </c>
      <c r="G1441" s="17">
        <f>IFERROR(__xludf.DUMMYFUNCTION("""COMPUTED_VALUE"""),1464.0)</f>
        <v>1464</v>
      </c>
      <c r="H1441" s="17" t="str">
        <f>IFERROR(__xludf.DUMMYFUNCTION("""COMPUTED_VALUE"""),"промислові установки для вирощування кристалів")</f>
        <v>промислові установки для вирощування кристалів</v>
      </c>
      <c r="I1441" s="18">
        <f>IFERROR(__xludf.DUMMYFUNCTION("""COMPUTED_VALUE"""),1.89)</f>
        <v>1.89</v>
      </c>
      <c r="J1441" s="18">
        <f>IFERROR(__xludf.DUMMYFUNCTION("""COMPUTED_VALUE"""),3.79)</f>
        <v>3.79</v>
      </c>
      <c r="K1441" s="18">
        <f>IFERROR(__xludf.DUMMYFUNCTION("""COMPUTED_VALUE"""),4.73)</f>
        <v>4.73</v>
      </c>
      <c r="L1441" s="18">
        <f>IFERROR(__xludf.DUMMYFUNCTION("""COMPUTED_VALUE"""),7.58)</f>
        <v>7.58</v>
      </c>
    </row>
    <row r="1442">
      <c r="A1442" s="13" t="str">
        <f>IFERROR(__xludf.DUMMYFUNCTION("""COMPUTED_VALUE"""),"товари")</f>
        <v>товари</v>
      </c>
      <c r="B1442" s="13" t="str">
        <f>IFERROR(__xludf.DUMMYFUNCTION("""COMPUTED_VALUE"""),"промислове обладнання та верстати")</f>
        <v>промислове обладнання та верстати</v>
      </c>
      <c r="C1442" s="15" t="str">
        <f>IFERROR(__xludf.DUMMYFUNCTION("""COMPUTED_VALUE"""),"енергообладнання")</f>
        <v>енергообладнання</v>
      </c>
      <c r="D1442" s="15" t="str">
        <f>IFERROR(__xludf.DUMMYFUNCTION("""COMPUTED_VALUE"""),"холодильне промислове обладнання")</f>
        <v>холодильне промислове обладнання</v>
      </c>
      <c r="E1442" s="15" t="str">
        <f>IFERROR(__xludf.DUMMYFUNCTION("""COMPUTED_VALUE"""),"промислові холодильні та морозильні камери")</f>
        <v>промислові холодильні та морозильні камери</v>
      </c>
      <c r="F1442" s="17">
        <f>IFERROR(__xludf.DUMMYFUNCTION("""COMPUTED_VALUE"""),4.0)</f>
        <v>4</v>
      </c>
      <c r="G1442" s="17">
        <f>IFERROR(__xludf.DUMMYFUNCTION("""COMPUTED_VALUE"""),1.4240102E7)</f>
        <v>14240102</v>
      </c>
      <c r="H1442" s="17" t="str">
        <f>IFERROR(__xludf.DUMMYFUNCTION("""COMPUTED_VALUE"""),"промислові холодильні та морозильні камери")</f>
        <v>промислові холодильні та морозильні камери</v>
      </c>
      <c r="I1442" s="18">
        <f>IFERROR(__xludf.DUMMYFUNCTION("""COMPUTED_VALUE"""),1.39)</f>
        <v>1.39</v>
      </c>
      <c r="J1442" s="18">
        <f>IFERROR(__xludf.DUMMYFUNCTION("""COMPUTED_VALUE"""),2.79)</f>
        <v>2.79</v>
      </c>
      <c r="K1442" s="18">
        <f>IFERROR(__xludf.DUMMYFUNCTION("""COMPUTED_VALUE"""),3.48)</f>
        <v>3.48</v>
      </c>
      <c r="L1442" s="18">
        <f>IFERROR(__xludf.DUMMYFUNCTION("""COMPUTED_VALUE"""),5.58)</f>
        <v>5.58</v>
      </c>
    </row>
    <row r="1443">
      <c r="A1443" s="13" t="str">
        <f>IFERROR(__xludf.DUMMYFUNCTION("""COMPUTED_VALUE"""),"товари")</f>
        <v>товари</v>
      </c>
      <c r="B1443" s="13" t="str">
        <f>IFERROR(__xludf.DUMMYFUNCTION("""COMPUTED_VALUE"""),"промислове обладнання та верстати")</f>
        <v>промислове обладнання та верстати</v>
      </c>
      <c r="C1443" s="15" t="str">
        <f>IFERROR(__xludf.DUMMYFUNCTION("""COMPUTED_VALUE"""),"обладнання для легкої промисловості")</f>
        <v>обладнання для легкої промисловості</v>
      </c>
      <c r="D1443" s="15" t="str">
        <f>IFERROR(__xludf.DUMMYFUNCTION("""COMPUTED_VALUE"""),"швейне обладнання")</f>
        <v>швейне обладнання</v>
      </c>
      <c r="E1443" s="15" t="str">
        <f>IFERROR(__xludf.DUMMYFUNCTION("""COMPUTED_VALUE"""),"промислові швейні та вишивальні машини")</f>
        <v>промислові швейні та вишивальні машини</v>
      </c>
      <c r="F1443" s="17">
        <f>IFERROR(__xludf.DUMMYFUNCTION("""COMPUTED_VALUE"""),4.0)</f>
        <v>4</v>
      </c>
      <c r="G1443" s="17">
        <f>IFERROR(__xludf.DUMMYFUNCTION("""COMPUTED_VALUE"""),329.0)</f>
        <v>329</v>
      </c>
      <c r="H1443" s="17" t="str">
        <f>IFERROR(__xludf.DUMMYFUNCTION("""COMPUTED_VALUE"""),"промислові швейні та вишивальні машини")</f>
        <v>промислові швейні та вишивальні машини</v>
      </c>
      <c r="I1443" s="18">
        <f>IFERROR(__xludf.DUMMYFUNCTION("""COMPUTED_VALUE"""),1.58)</f>
        <v>1.58</v>
      </c>
      <c r="J1443" s="18">
        <f>IFERROR(__xludf.DUMMYFUNCTION("""COMPUTED_VALUE"""),3.15)</f>
        <v>3.15</v>
      </c>
      <c r="K1443" s="18">
        <f>IFERROR(__xludf.DUMMYFUNCTION("""COMPUTED_VALUE"""),3.94)</f>
        <v>3.94</v>
      </c>
      <c r="L1443" s="18">
        <f>IFERROR(__xludf.DUMMYFUNCTION("""COMPUTED_VALUE"""),6.3)</f>
        <v>6.3</v>
      </c>
    </row>
    <row r="1444">
      <c r="A1444" s="13" t="str">
        <f>IFERROR(__xludf.DUMMYFUNCTION("""COMPUTED_VALUE"""),"товари")</f>
        <v>товари</v>
      </c>
      <c r="B1444" s="13" t="str">
        <f>IFERROR(__xludf.DUMMYFUNCTION("""COMPUTED_VALUE"""),"промислове обладнання та верстати")</f>
        <v>промислове обладнання та верстати</v>
      </c>
      <c r="C1444" s="15" t="str">
        <f>IFERROR(__xludf.DUMMYFUNCTION("""COMPUTED_VALUE"""),"складське обладнання")</f>
        <v>складське обладнання</v>
      </c>
      <c r="D1444" s="15" t="str">
        <f>IFERROR(__xludf.DUMMYFUNCTION("""COMPUTED_VALUE"""),"промислово-складські ваги")</f>
        <v>промислово-складські ваги</v>
      </c>
      <c r="E1444" s="15" t="str">
        <f>IFERROR(__xludf.DUMMYFUNCTION("""COMPUTED_VALUE"""),"промислово-складські ваги, загальне")</f>
        <v>промислово-складські ваги, загальне</v>
      </c>
      <c r="F1444" s="17">
        <f>IFERROR(__xludf.DUMMYFUNCTION("""COMPUTED_VALUE"""),4.0)</f>
        <v>4</v>
      </c>
      <c r="G1444" s="17">
        <f>IFERROR(__xludf.DUMMYFUNCTION("""COMPUTED_VALUE"""),1.4292001E7)</f>
        <v>14292001</v>
      </c>
      <c r="H1444" s="17" t="str">
        <f>IFERROR(__xludf.DUMMYFUNCTION("""COMPUTED_VALUE"""),"промислово-складські ваги, загальне")</f>
        <v>промислово-складські ваги, загальне</v>
      </c>
      <c r="I1444" s="18">
        <f>IFERROR(__xludf.DUMMYFUNCTION("""COMPUTED_VALUE"""),2.16)</f>
        <v>2.16</v>
      </c>
      <c r="J1444" s="18">
        <f>IFERROR(__xludf.DUMMYFUNCTION("""COMPUTED_VALUE"""),4.33)</f>
        <v>4.33</v>
      </c>
      <c r="K1444" s="18">
        <f>IFERROR(__xludf.DUMMYFUNCTION("""COMPUTED_VALUE"""),5.41)</f>
        <v>5.41</v>
      </c>
      <c r="L1444" s="18">
        <f>IFERROR(__xludf.DUMMYFUNCTION("""COMPUTED_VALUE"""),8.65)</f>
        <v>8.65</v>
      </c>
    </row>
    <row r="1445">
      <c r="A1445" s="13" t="str">
        <f>IFERROR(__xludf.DUMMYFUNCTION("""COMPUTED_VALUE"""),"товари")</f>
        <v>товари</v>
      </c>
      <c r="B1445" s="13" t="str">
        <f>IFERROR(__xludf.DUMMYFUNCTION("""COMPUTED_VALUE"""),"промислове обладнання та верстати")</f>
        <v>промислове обладнання та верстати</v>
      </c>
      <c r="C1445" s="15" t="str">
        <f>IFERROR(__xludf.DUMMYFUNCTION("""COMPUTED_VALUE"""),"резервуари та баки")</f>
        <v>резервуари та баки</v>
      </c>
      <c r="D1445" s="15" t="str">
        <f>IFERROR(__xludf.DUMMYFUNCTION("""COMPUTED_VALUE"""),"резервуари для зберігання води")</f>
        <v>резервуари для зберігання води</v>
      </c>
      <c r="E1445" s="15" t="str">
        <f>IFERROR(__xludf.DUMMYFUNCTION("""COMPUTED_VALUE"""),"резервуари для зберігання води")</f>
        <v>резервуари для зберігання води</v>
      </c>
      <c r="F1445" s="17">
        <f>IFERROR(__xludf.DUMMYFUNCTION("""COMPUTED_VALUE"""),3.0)</f>
        <v>3</v>
      </c>
      <c r="G1445" s="17">
        <f>IFERROR(__xludf.DUMMYFUNCTION("""COMPUTED_VALUE"""),1430.0)</f>
        <v>1430</v>
      </c>
      <c r="H1445" s="17" t="str">
        <f>IFERROR(__xludf.DUMMYFUNCTION("""COMPUTED_VALUE"""),"резервуари для зберігання води")</f>
        <v>резервуари для зберігання води</v>
      </c>
      <c r="I1445" s="18">
        <f>IFERROR(__xludf.DUMMYFUNCTION("""COMPUTED_VALUE"""),1.71)</f>
        <v>1.71</v>
      </c>
      <c r="J1445" s="18">
        <f>IFERROR(__xludf.DUMMYFUNCTION("""COMPUTED_VALUE"""),3.43)</f>
        <v>3.43</v>
      </c>
      <c r="K1445" s="18">
        <f>IFERROR(__xludf.DUMMYFUNCTION("""COMPUTED_VALUE"""),4.28)</f>
        <v>4.28</v>
      </c>
      <c r="L1445" s="18">
        <f>IFERROR(__xludf.DUMMYFUNCTION("""COMPUTED_VALUE"""),6.85)</f>
        <v>6.85</v>
      </c>
    </row>
    <row r="1446">
      <c r="A1446" s="13" t="str">
        <f>IFERROR(__xludf.DUMMYFUNCTION("""COMPUTED_VALUE"""),"товари")</f>
        <v>товари</v>
      </c>
      <c r="B1446" s="13" t="str">
        <f>IFERROR(__xludf.DUMMYFUNCTION("""COMPUTED_VALUE"""),"промислове обладнання та верстати")</f>
        <v>промислове обладнання та верстати</v>
      </c>
      <c r="C1446" s="15" t="str">
        <f>IFERROR(__xludf.DUMMYFUNCTION("""COMPUTED_VALUE"""),"резервуари та баки")</f>
        <v>резервуари та баки</v>
      </c>
      <c r="D1446" s="15" t="str">
        <f>IFERROR(__xludf.DUMMYFUNCTION("""COMPUTED_VALUE"""),"резервуари для зберігання пмм")</f>
        <v>резервуари для зберігання пмм</v>
      </c>
      <c r="E1446" s="15" t="str">
        <f>IFERROR(__xludf.DUMMYFUNCTION("""COMPUTED_VALUE"""),"резервуари для зберігання пмм")</f>
        <v>резервуари для зберігання пмм</v>
      </c>
      <c r="F1446" s="17">
        <f>IFERROR(__xludf.DUMMYFUNCTION("""COMPUTED_VALUE"""),3.0)</f>
        <v>3</v>
      </c>
      <c r="G1446" s="17">
        <f>IFERROR(__xludf.DUMMYFUNCTION("""COMPUTED_VALUE"""),1419.0)</f>
        <v>1419</v>
      </c>
      <c r="H1446" s="17" t="str">
        <f>IFERROR(__xludf.DUMMYFUNCTION("""COMPUTED_VALUE"""),"резервуари для зберігання пмм")</f>
        <v>резервуари для зберігання пмм</v>
      </c>
      <c r="I1446" s="18">
        <f>IFERROR(__xludf.DUMMYFUNCTION("""COMPUTED_VALUE"""),2.7)</f>
        <v>2.7</v>
      </c>
      <c r="J1446" s="18">
        <f>IFERROR(__xludf.DUMMYFUNCTION("""COMPUTED_VALUE"""),5.4)</f>
        <v>5.4</v>
      </c>
      <c r="K1446" s="18">
        <f>IFERROR(__xludf.DUMMYFUNCTION("""COMPUTED_VALUE"""),6.75)</f>
        <v>6.75</v>
      </c>
      <c r="L1446" s="18">
        <f>IFERROR(__xludf.DUMMYFUNCTION("""COMPUTED_VALUE"""),10.8)</f>
        <v>10.8</v>
      </c>
    </row>
    <row r="1447">
      <c r="A1447" s="13" t="str">
        <f>IFERROR(__xludf.DUMMYFUNCTION("""COMPUTED_VALUE"""),"товари")</f>
        <v>товари</v>
      </c>
      <c r="B1447" s="13" t="str">
        <f>IFERROR(__xludf.DUMMYFUNCTION("""COMPUTED_VALUE"""),"промислове обладнання та верстати")</f>
        <v>промислове обладнання та верстати</v>
      </c>
      <c r="C1447" s="15" t="str">
        <f>IFERROR(__xludf.DUMMYFUNCTION("""COMPUTED_VALUE"""),"резервуари та баки")</f>
        <v>резервуари та баки</v>
      </c>
      <c r="D1447" s="15" t="str">
        <f>IFERROR(__xludf.DUMMYFUNCTION("""COMPUTED_VALUE"""),"резервуари та баки для харчової промисловості")</f>
        <v>резервуари та баки для харчової промисловості</v>
      </c>
      <c r="E1447" s="15" t="str">
        <f>IFERROR(__xludf.DUMMYFUNCTION("""COMPUTED_VALUE"""),"резервуари та баки для харчової промисловості")</f>
        <v>резервуари та баки для харчової промисловості</v>
      </c>
      <c r="F1447" s="17">
        <f>IFERROR(__xludf.DUMMYFUNCTION("""COMPUTED_VALUE"""),3.0)</f>
        <v>3</v>
      </c>
      <c r="G1447" s="17">
        <f>IFERROR(__xludf.DUMMYFUNCTION("""COMPUTED_VALUE"""),145002.0)</f>
        <v>145002</v>
      </c>
      <c r="H1447" s="17" t="str">
        <f>IFERROR(__xludf.DUMMYFUNCTION("""COMPUTED_VALUE"""),"резервуари та баки для харчової промисловості")</f>
        <v>резервуари та баки для харчової промисловості</v>
      </c>
      <c r="I1447" s="18">
        <f>IFERROR(__xludf.DUMMYFUNCTION("""COMPUTED_VALUE"""),1.17)</f>
        <v>1.17</v>
      </c>
      <c r="J1447" s="18">
        <f>IFERROR(__xludf.DUMMYFUNCTION("""COMPUTED_VALUE"""),2.34)</f>
        <v>2.34</v>
      </c>
      <c r="K1447" s="18">
        <f>IFERROR(__xludf.DUMMYFUNCTION("""COMPUTED_VALUE"""),2.92)</f>
        <v>2.92</v>
      </c>
      <c r="L1447" s="18">
        <f>IFERROR(__xludf.DUMMYFUNCTION("""COMPUTED_VALUE"""),4.68)</f>
        <v>4.68</v>
      </c>
    </row>
    <row r="1448">
      <c r="A1448" s="13" t="str">
        <f>IFERROR(__xludf.DUMMYFUNCTION("""COMPUTED_VALUE"""),"товари")</f>
        <v>товари</v>
      </c>
      <c r="B1448" s="13" t="str">
        <f>IFERROR(__xludf.DUMMYFUNCTION("""COMPUTED_VALUE"""),"промислове обладнання та верстати")</f>
        <v>промислове обладнання та верстати</v>
      </c>
      <c r="C1448" s="15" t="str">
        <f>IFERROR(__xludf.DUMMYFUNCTION("""COMPUTED_VALUE"""),"резервуари та баки")</f>
        <v>резервуари та баки</v>
      </c>
      <c r="D1448" s="15" t="str">
        <f>IFERROR(__xludf.DUMMYFUNCTION("""COMPUTED_VALUE"""),"резервуари та баки, загальне")</f>
        <v>резервуари та баки, загальне</v>
      </c>
      <c r="E1448" s="15" t="str">
        <f>IFERROR(__xludf.DUMMYFUNCTION("""COMPUTED_VALUE"""),"резервуари та баки, загальне")</f>
        <v>резервуари та баки, загальне</v>
      </c>
      <c r="F1448" s="17">
        <f>IFERROR(__xludf.DUMMYFUNCTION("""COMPUTED_VALUE"""),3.0)</f>
        <v>3</v>
      </c>
      <c r="G1448" s="17">
        <f>IFERROR(__xludf.DUMMYFUNCTION("""COMPUTED_VALUE"""),145001.0)</f>
        <v>145001</v>
      </c>
      <c r="H1448" s="17" t="str">
        <f>IFERROR(__xludf.DUMMYFUNCTION("""COMPUTED_VALUE"""),"резервуари та баки, загальне")</f>
        <v>резервуари та баки, загальне</v>
      </c>
      <c r="I1448" s="18">
        <f>IFERROR(__xludf.DUMMYFUNCTION("""COMPUTED_VALUE"""),2.16)</f>
        <v>2.16</v>
      </c>
      <c r="J1448" s="18">
        <f>IFERROR(__xludf.DUMMYFUNCTION("""COMPUTED_VALUE"""),4.33)</f>
        <v>4.33</v>
      </c>
      <c r="K1448" s="18">
        <f>IFERROR(__xludf.DUMMYFUNCTION("""COMPUTED_VALUE"""),5.41)</f>
        <v>5.41</v>
      </c>
      <c r="L1448" s="18">
        <f>IFERROR(__xludf.DUMMYFUNCTION("""COMPUTED_VALUE"""),8.65)</f>
        <v>8.65</v>
      </c>
    </row>
    <row r="1449">
      <c r="A1449" s="13" t="str">
        <f>IFERROR(__xludf.DUMMYFUNCTION("""COMPUTED_VALUE"""),"товари")</f>
        <v>товари</v>
      </c>
      <c r="B1449" s="13" t="str">
        <f>IFERROR(__xludf.DUMMYFUNCTION("""COMPUTED_VALUE"""),"промислове обладнання та верстати")</f>
        <v>промислове обладнання та верстати</v>
      </c>
      <c r="C1449" s="15" t="str">
        <f>IFERROR(__xludf.DUMMYFUNCTION("""COMPUTED_VALUE"""),"промислові насоси")</f>
        <v>промислові насоси</v>
      </c>
      <c r="D1449" s="15" t="str">
        <f>IFERROR(__xludf.DUMMYFUNCTION("""COMPUTED_VALUE"""),"роторно-поршневі промислові насоси")</f>
        <v>роторно-поршневі промислові насоси</v>
      </c>
      <c r="E1449" s="15" t="str">
        <f>IFERROR(__xludf.DUMMYFUNCTION("""COMPUTED_VALUE"""),"роторно-поршневі промислові насоси")</f>
        <v>роторно-поршневі промислові насоси</v>
      </c>
      <c r="F1449" s="17">
        <f>IFERROR(__xludf.DUMMYFUNCTION("""COMPUTED_VALUE"""),3.0)</f>
        <v>3</v>
      </c>
      <c r="G1449" s="17">
        <f>IFERROR(__xludf.DUMMYFUNCTION("""COMPUTED_VALUE"""),1.4030107E7)</f>
        <v>14030107</v>
      </c>
      <c r="H1449" s="17" t="str">
        <f>IFERROR(__xludf.DUMMYFUNCTION("""COMPUTED_VALUE"""),"роторно-поршневі промислові насоси")</f>
        <v>роторно-поршневі промислові насоси</v>
      </c>
      <c r="I1449" s="18">
        <f>IFERROR(__xludf.DUMMYFUNCTION("""COMPUTED_VALUE"""),1.89)</f>
        <v>1.89</v>
      </c>
      <c r="J1449" s="18">
        <f>IFERROR(__xludf.DUMMYFUNCTION("""COMPUTED_VALUE"""),3.78)</f>
        <v>3.78</v>
      </c>
      <c r="K1449" s="18">
        <f>IFERROR(__xludf.DUMMYFUNCTION("""COMPUTED_VALUE"""),4.72)</f>
        <v>4.72</v>
      </c>
      <c r="L1449" s="18">
        <f>IFERROR(__xludf.DUMMYFUNCTION("""COMPUTED_VALUE"""),7.55)</f>
        <v>7.55</v>
      </c>
    </row>
    <row r="1450">
      <c r="A1450" s="13" t="str">
        <f>IFERROR(__xludf.DUMMYFUNCTION("""COMPUTED_VALUE"""),"товари")</f>
        <v>товари</v>
      </c>
      <c r="B1450" s="13" t="str">
        <f>IFERROR(__xludf.DUMMYFUNCTION("""COMPUTED_VALUE"""),"промислове обладнання та верстати")</f>
        <v>промислове обладнання та верстати</v>
      </c>
      <c r="C1450" s="15" t="str">
        <f>IFERROR(__xludf.DUMMYFUNCTION("""COMPUTED_VALUE"""),"обладнання для харчової промисловості")</f>
        <v>обладнання для харчової промисловості</v>
      </c>
      <c r="D1450" s="15" t="str">
        <f>IFERROR(__xludf.DUMMYFUNCTION("""COMPUTED_VALUE"""),"обладнання для виробництва напоїв")</f>
        <v>обладнання для виробництва напоїв</v>
      </c>
      <c r="E1450" s="15" t="str">
        <f>IFERROR(__xludf.DUMMYFUNCTION("""COMPUTED_VALUE"""),"сатуратори")</f>
        <v>сатуратори</v>
      </c>
      <c r="F1450" s="17">
        <f>IFERROR(__xludf.DUMMYFUNCTION("""COMPUTED_VALUE"""),4.0)</f>
        <v>4</v>
      </c>
      <c r="G1450" s="17">
        <f>IFERROR(__xludf.DUMMYFUNCTION("""COMPUTED_VALUE"""),23102.0)</f>
        <v>23102</v>
      </c>
      <c r="H1450" s="17" t="str">
        <f>IFERROR(__xludf.DUMMYFUNCTION("""COMPUTED_VALUE"""),"сатуратори")</f>
        <v>сатуратори</v>
      </c>
      <c r="I1450" s="18">
        <f>IFERROR(__xludf.DUMMYFUNCTION("""COMPUTED_VALUE"""),1.13)</f>
        <v>1.13</v>
      </c>
      <c r="J1450" s="18">
        <f>IFERROR(__xludf.DUMMYFUNCTION("""COMPUTED_VALUE"""),2.25)</f>
        <v>2.25</v>
      </c>
      <c r="K1450" s="18">
        <f>IFERROR(__xludf.DUMMYFUNCTION("""COMPUTED_VALUE"""),2.81)</f>
        <v>2.81</v>
      </c>
      <c r="L1450" s="18">
        <f>IFERROR(__xludf.DUMMYFUNCTION("""COMPUTED_VALUE"""),4.5)</f>
        <v>4.5</v>
      </c>
    </row>
    <row r="1451">
      <c r="A1451" s="13" t="str">
        <f>IFERROR(__xludf.DUMMYFUNCTION("""COMPUTED_VALUE"""),"товари")</f>
        <v>товари</v>
      </c>
      <c r="B1451" s="13" t="str">
        <f>IFERROR(__xludf.DUMMYFUNCTION("""COMPUTED_VALUE"""),"промислове обладнання та верстати")</f>
        <v>промислове обладнання та верстати</v>
      </c>
      <c r="C1451" s="15" t="str">
        <f>IFERROR(__xludf.DUMMYFUNCTION("""COMPUTED_VALUE"""),"верстати")</f>
        <v>верстати</v>
      </c>
      <c r="D1451" s="15" t="str">
        <f>IFERROR(__xludf.DUMMYFUNCTION("""COMPUTED_VALUE"""),"деревообробні верстати")</f>
        <v>деревообробні верстати</v>
      </c>
      <c r="E1451" s="15" t="str">
        <f>IFERROR(__xludf.DUMMYFUNCTION("""COMPUTED_VALUE"""),"свердлильні та довбальні верстати по дереву")</f>
        <v>свердлильні та довбальні верстати по дереву</v>
      </c>
      <c r="F1451" s="17">
        <f>IFERROR(__xludf.DUMMYFUNCTION("""COMPUTED_VALUE"""),4.0)</f>
        <v>4</v>
      </c>
      <c r="G1451" s="17">
        <f>IFERROR(__xludf.DUMMYFUNCTION("""COMPUTED_VALUE"""),1.4310303E7)</f>
        <v>14310303</v>
      </c>
      <c r="H1451" s="17" t="str">
        <f>IFERROR(__xludf.DUMMYFUNCTION("""COMPUTED_VALUE"""),"свердлильні та довбальні верстати по дереву")</f>
        <v>свердлильні та довбальні верстати по дереву</v>
      </c>
      <c r="I1451" s="18">
        <f>IFERROR(__xludf.DUMMYFUNCTION("""COMPUTED_VALUE"""),1.26)</f>
        <v>1.26</v>
      </c>
      <c r="J1451" s="18">
        <f>IFERROR(__xludf.DUMMYFUNCTION("""COMPUTED_VALUE"""),2.53)</f>
        <v>2.53</v>
      </c>
      <c r="K1451" s="18">
        <f>IFERROR(__xludf.DUMMYFUNCTION("""COMPUTED_VALUE"""),3.16)</f>
        <v>3.16</v>
      </c>
      <c r="L1451" s="18">
        <f>IFERROR(__xludf.DUMMYFUNCTION("""COMPUTED_VALUE"""),5.05)</f>
        <v>5.05</v>
      </c>
    </row>
    <row r="1452">
      <c r="A1452" s="13" t="str">
        <f>IFERROR(__xludf.DUMMYFUNCTION("""COMPUTED_VALUE"""),"товари")</f>
        <v>товари</v>
      </c>
      <c r="B1452" s="13" t="str">
        <f>IFERROR(__xludf.DUMMYFUNCTION("""COMPUTED_VALUE"""),"промислове обладнання та верстати")</f>
        <v>промислове обладнання та верстати</v>
      </c>
      <c r="C1452" s="15" t="str">
        <f>IFERROR(__xludf.DUMMYFUNCTION("""COMPUTED_VALUE"""),"енергообладнання")</f>
        <v>енергообладнання</v>
      </c>
      <c r="D1452" s="15" t="str">
        <f>IFERROR(__xludf.DUMMYFUNCTION("""COMPUTED_VALUE"""),"холодильне промислове обладнання")</f>
        <v>холодильне промислове обладнання</v>
      </c>
      <c r="E1452" s="15" t="str">
        <f>IFERROR(__xludf.DUMMYFUNCTION("""COMPUTED_VALUE"""),"сервісне обладнання та аксесуари для холодильної техніки")</f>
        <v>сервісне обладнання та аксесуари для холодильної техніки</v>
      </c>
      <c r="F1452" s="17">
        <f>IFERROR(__xludf.DUMMYFUNCTION("""COMPUTED_VALUE"""),4.0)</f>
        <v>4</v>
      </c>
      <c r="G1452" s="17">
        <f>IFERROR(__xludf.DUMMYFUNCTION("""COMPUTED_VALUE"""),1.4590301E7)</f>
        <v>14590301</v>
      </c>
      <c r="H1452" s="17" t="str">
        <f>IFERROR(__xludf.DUMMYFUNCTION("""COMPUTED_VALUE"""),"сервісне обладнання та аксесуари для холодильної техніки")</f>
        <v>сервісне обладнання та аксесуари для холодильної техніки</v>
      </c>
      <c r="I1452" s="18">
        <f>IFERROR(__xludf.DUMMYFUNCTION("""COMPUTED_VALUE"""),1.39)</f>
        <v>1.39</v>
      </c>
      <c r="J1452" s="18">
        <f>IFERROR(__xludf.DUMMYFUNCTION("""COMPUTED_VALUE"""),2.79)</f>
        <v>2.79</v>
      </c>
      <c r="K1452" s="18">
        <f>IFERROR(__xludf.DUMMYFUNCTION("""COMPUTED_VALUE"""),3.48)</f>
        <v>3.48</v>
      </c>
      <c r="L1452" s="18">
        <f>IFERROR(__xludf.DUMMYFUNCTION("""COMPUTED_VALUE"""),5.58)</f>
        <v>5.58</v>
      </c>
    </row>
    <row r="1453">
      <c r="A1453" s="13" t="str">
        <f>IFERROR(__xludf.DUMMYFUNCTION("""COMPUTED_VALUE"""),"товари")</f>
        <v>товари</v>
      </c>
      <c r="B1453" s="13" t="str">
        <f>IFERROR(__xludf.DUMMYFUNCTION("""COMPUTED_VALUE"""),"промислове обладнання та верстати")</f>
        <v>промислове обладнання та верстати</v>
      </c>
      <c r="C1453" s="15" t="str">
        <f>IFERROR(__xludf.DUMMYFUNCTION("""COMPUTED_VALUE"""),"електрогенератори та електродвигуни")</f>
        <v>електрогенератори та електродвигуни</v>
      </c>
      <c r="D1453" s="15" t="str">
        <f>IFERROR(__xludf.DUMMYFUNCTION("""COMPUTED_VALUE"""),"синхронні генератори")</f>
        <v>синхронні генератори</v>
      </c>
      <c r="E1453" s="15" t="str">
        <f>IFERROR(__xludf.DUMMYFUNCTION("""COMPUTED_VALUE"""),"синхронні генератори")</f>
        <v>синхронні генератори</v>
      </c>
      <c r="F1453" s="17">
        <f>IFERROR(__xludf.DUMMYFUNCTION("""COMPUTED_VALUE"""),3.0)</f>
        <v>3</v>
      </c>
      <c r="G1453" s="17">
        <f>IFERROR(__xludf.DUMMYFUNCTION("""COMPUTED_VALUE"""),1.4190206E7)</f>
        <v>14190206</v>
      </c>
      <c r="H1453" s="17" t="str">
        <f>IFERROR(__xludf.DUMMYFUNCTION("""COMPUTED_VALUE"""),"синхронні генератори")</f>
        <v>синхронні генератори</v>
      </c>
      <c r="I1453" s="18">
        <f>IFERROR(__xludf.DUMMYFUNCTION("""COMPUTED_VALUE"""),0.76)</f>
        <v>0.76</v>
      </c>
      <c r="J1453" s="18">
        <f>IFERROR(__xludf.DUMMYFUNCTION("""COMPUTED_VALUE"""),1.53)</f>
        <v>1.53</v>
      </c>
      <c r="K1453" s="18">
        <f>IFERROR(__xludf.DUMMYFUNCTION("""COMPUTED_VALUE"""),1.91)</f>
        <v>1.91</v>
      </c>
      <c r="L1453" s="18">
        <f>IFERROR(__xludf.DUMMYFUNCTION("""COMPUTED_VALUE"""),3.05)</f>
        <v>3.05</v>
      </c>
    </row>
    <row r="1454">
      <c r="A1454" s="13" t="str">
        <f>IFERROR(__xludf.DUMMYFUNCTION("""COMPUTED_VALUE"""),"товари")</f>
        <v>товари</v>
      </c>
      <c r="B1454" s="13" t="str">
        <f>IFERROR(__xludf.DUMMYFUNCTION("""COMPUTED_VALUE"""),"промислове обладнання та верстати")</f>
        <v>промислове обладнання та верстати</v>
      </c>
      <c r="C1454" s="15" t="str">
        <f>IFERROR(__xludf.DUMMYFUNCTION("""COMPUTED_VALUE"""),"зварювальне та паяльне обладнання")</f>
        <v>зварювальне та паяльне обладнання</v>
      </c>
      <c r="D1454" s="15" t="str">
        <f>IFERROR(__xludf.DUMMYFUNCTION("""COMPUTED_VALUE"""),"системи видалення зварювальних газів")</f>
        <v>системи видалення зварювальних газів</v>
      </c>
      <c r="E1454" s="15" t="str">
        <f>IFERROR(__xludf.DUMMYFUNCTION("""COMPUTED_VALUE"""),"системи видалення зварювальних газів")</f>
        <v>системи видалення зварювальних газів</v>
      </c>
      <c r="F1454" s="17">
        <f>IFERROR(__xludf.DUMMYFUNCTION("""COMPUTED_VALUE"""),3.0)</f>
        <v>3</v>
      </c>
      <c r="G1454" s="17">
        <f>IFERROR(__xludf.DUMMYFUNCTION("""COMPUTED_VALUE"""),144012.0)</f>
        <v>144012</v>
      </c>
      <c r="H1454" s="17" t="str">
        <f>IFERROR(__xludf.DUMMYFUNCTION("""COMPUTED_VALUE"""),"системи видалення зварювальних газів")</f>
        <v>системи видалення зварювальних газів</v>
      </c>
      <c r="I1454" s="18">
        <f>IFERROR(__xludf.DUMMYFUNCTION("""COMPUTED_VALUE"""),1.8)</f>
        <v>1.8</v>
      </c>
      <c r="J1454" s="18">
        <f>IFERROR(__xludf.DUMMYFUNCTION("""COMPUTED_VALUE"""),3.6)</f>
        <v>3.6</v>
      </c>
      <c r="K1454" s="18">
        <f>IFERROR(__xludf.DUMMYFUNCTION("""COMPUTED_VALUE"""),4.5)</f>
        <v>4.5</v>
      </c>
      <c r="L1454" s="18">
        <f>IFERROR(__xludf.DUMMYFUNCTION("""COMPUTED_VALUE"""),7.2)</f>
        <v>7.2</v>
      </c>
    </row>
    <row r="1455">
      <c r="A1455" s="13" t="str">
        <f>IFERROR(__xludf.DUMMYFUNCTION("""COMPUTED_VALUE"""),"товари")</f>
        <v>товари</v>
      </c>
      <c r="B1455" s="13" t="str">
        <f>IFERROR(__xludf.DUMMYFUNCTION("""COMPUTED_VALUE"""),"промислове обладнання та верстати")</f>
        <v>промислове обладнання та верстати</v>
      </c>
      <c r="C1455" s="15" t="str">
        <f>IFERROR(__xludf.DUMMYFUNCTION("""COMPUTED_VALUE"""),"складське обладнання")</f>
        <v>складське обладнання</v>
      </c>
      <c r="D1455" s="15" t="str">
        <f>IFERROR(__xludf.DUMMYFUNCTION("""COMPUTED_VALUE"""),"складські контейнери")</f>
        <v>складські контейнери</v>
      </c>
      <c r="E1455" s="15" t="str">
        <f>IFERROR(__xludf.DUMMYFUNCTION("""COMPUTED_VALUE"""),"складські контейнери")</f>
        <v>складські контейнери</v>
      </c>
      <c r="F1455" s="17">
        <f>IFERROR(__xludf.DUMMYFUNCTION("""COMPUTED_VALUE"""),3.0)</f>
        <v>3</v>
      </c>
      <c r="G1455" s="17">
        <f>IFERROR(__xludf.DUMMYFUNCTION("""COMPUTED_VALUE"""),142909.0)</f>
        <v>142909</v>
      </c>
      <c r="H1455" s="17" t="str">
        <f>IFERROR(__xludf.DUMMYFUNCTION("""COMPUTED_VALUE"""),"складські контейнери")</f>
        <v>складські контейнери</v>
      </c>
      <c r="I1455" s="18">
        <f>IFERROR(__xludf.DUMMYFUNCTION("""COMPUTED_VALUE"""),1.13)</f>
        <v>1.13</v>
      </c>
      <c r="J1455" s="18">
        <f>IFERROR(__xludf.DUMMYFUNCTION("""COMPUTED_VALUE"""),2.25)</f>
        <v>2.25</v>
      </c>
      <c r="K1455" s="18">
        <f>IFERROR(__xludf.DUMMYFUNCTION("""COMPUTED_VALUE"""),2.81)</f>
        <v>2.81</v>
      </c>
      <c r="L1455" s="18">
        <f>IFERROR(__xludf.DUMMYFUNCTION("""COMPUTED_VALUE"""),4.5)</f>
        <v>4.5</v>
      </c>
    </row>
    <row r="1456">
      <c r="A1456" s="13" t="str">
        <f>IFERROR(__xludf.DUMMYFUNCTION("""COMPUTED_VALUE"""),"товари")</f>
        <v>товари</v>
      </c>
      <c r="B1456" s="13" t="str">
        <f>IFERROR(__xludf.DUMMYFUNCTION("""COMPUTED_VALUE"""),"промислове обладнання та верстати")</f>
        <v>промислове обладнання та верстати</v>
      </c>
      <c r="C1456" s="15" t="str">
        <f>IFERROR(__xludf.DUMMYFUNCTION("""COMPUTED_VALUE"""),"складське обладнання")</f>
        <v>складське обладнання</v>
      </c>
      <c r="D1456" s="15" t="str">
        <f>IFERROR(__xludf.DUMMYFUNCTION("""COMPUTED_VALUE"""),"складські навантажувачі")</f>
        <v>складські навантажувачі</v>
      </c>
      <c r="E1456" s="15" t="str">
        <f>IFERROR(__xludf.DUMMYFUNCTION("""COMPUTED_VALUE"""),"складські навантажувачі")</f>
        <v>складські навантажувачі</v>
      </c>
      <c r="F1456" s="17">
        <f>IFERROR(__xludf.DUMMYFUNCTION("""COMPUTED_VALUE"""),3.0)</f>
        <v>3</v>
      </c>
      <c r="G1456" s="17">
        <f>IFERROR(__xludf.DUMMYFUNCTION("""COMPUTED_VALUE"""),142913.0)</f>
        <v>142913</v>
      </c>
      <c r="H1456" s="17" t="str">
        <f>IFERROR(__xludf.DUMMYFUNCTION("""COMPUTED_VALUE"""),"складські навантажувачі")</f>
        <v>складські навантажувачі</v>
      </c>
      <c r="I1456" s="18">
        <f>IFERROR(__xludf.DUMMYFUNCTION("""COMPUTED_VALUE"""),2.7)</f>
        <v>2.7</v>
      </c>
      <c r="J1456" s="18">
        <f>IFERROR(__xludf.DUMMYFUNCTION("""COMPUTED_VALUE"""),5.4)</f>
        <v>5.4</v>
      </c>
      <c r="K1456" s="18">
        <f>IFERROR(__xludf.DUMMYFUNCTION("""COMPUTED_VALUE"""),6.75)</f>
        <v>6.75</v>
      </c>
      <c r="L1456" s="18">
        <f>IFERROR(__xludf.DUMMYFUNCTION("""COMPUTED_VALUE"""),10.8)</f>
        <v>10.8</v>
      </c>
    </row>
    <row r="1457">
      <c r="A1457" s="13" t="str">
        <f>IFERROR(__xludf.DUMMYFUNCTION("""COMPUTED_VALUE"""),"товари")</f>
        <v>товари</v>
      </c>
      <c r="B1457" s="13" t="str">
        <f>IFERROR(__xludf.DUMMYFUNCTION("""COMPUTED_VALUE"""),"промислове обладнання та верстати")</f>
        <v>промислове обладнання та верстати</v>
      </c>
      <c r="C1457" s="15" t="str">
        <f>IFERROR(__xludf.DUMMYFUNCTION("""COMPUTED_VALUE"""),"альтернативні джерела енергії")</f>
        <v>альтернативні джерела енергії</v>
      </c>
      <c r="D1457" s="15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1457" s="15" t="str">
        <f>IFERROR(__xludf.DUMMYFUNCTION("""COMPUTED_VALUE"""),"сонячні водонагрівальні спліт-системи")</f>
        <v>сонячні водонагрівальні спліт-системи</v>
      </c>
      <c r="F1457" s="17">
        <f>IFERROR(__xludf.DUMMYFUNCTION("""COMPUTED_VALUE"""),4.0)</f>
        <v>4</v>
      </c>
      <c r="G1457" s="17">
        <f>IFERROR(__xludf.DUMMYFUNCTION("""COMPUTED_VALUE"""),100701.0)</f>
        <v>100701</v>
      </c>
      <c r="H1457" s="17" t="str">
        <f>IFERROR(__xludf.DUMMYFUNCTION("""COMPUTED_VALUE"""),"сонячні водонагрівальні спліт-системи")</f>
        <v>сонячні водонагрівальні спліт-системи</v>
      </c>
      <c r="I1457" s="18">
        <f>IFERROR(__xludf.DUMMYFUNCTION("""COMPUTED_VALUE"""),0.76)</f>
        <v>0.76</v>
      </c>
      <c r="J1457" s="18">
        <f>IFERROR(__xludf.DUMMYFUNCTION("""COMPUTED_VALUE"""),1.53)</f>
        <v>1.53</v>
      </c>
      <c r="K1457" s="18">
        <f>IFERROR(__xludf.DUMMYFUNCTION("""COMPUTED_VALUE"""),1.91)</f>
        <v>1.91</v>
      </c>
      <c r="L1457" s="18">
        <f>IFERROR(__xludf.DUMMYFUNCTION("""COMPUTED_VALUE"""),3.05)</f>
        <v>3.05</v>
      </c>
    </row>
    <row r="1458">
      <c r="A1458" s="13" t="str">
        <f>IFERROR(__xludf.DUMMYFUNCTION("""COMPUTED_VALUE"""),"товари")</f>
        <v>товари</v>
      </c>
      <c r="B1458" s="13" t="str">
        <f>IFERROR(__xludf.DUMMYFUNCTION("""COMPUTED_VALUE"""),"промислове обладнання та верстати")</f>
        <v>промислове обладнання та верстати</v>
      </c>
      <c r="C1458" s="15" t="str">
        <f>IFERROR(__xludf.DUMMYFUNCTION("""COMPUTED_VALUE"""),"компресори")</f>
        <v>компресори</v>
      </c>
      <c r="D1458" s="15" t="str">
        <f>IFERROR(__xludf.DUMMYFUNCTION("""COMPUTED_VALUE"""),"спіральні компресори")</f>
        <v>спіральні компресори</v>
      </c>
      <c r="E1458" s="15" t="str">
        <f>IFERROR(__xludf.DUMMYFUNCTION("""COMPUTED_VALUE"""),"спіральні компресори")</f>
        <v>спіральні компресори</v>
      </c>
      <c r="F1458" s="17">
        <f>IFERROR(__xludf.DUMMYFUNCTION("""COMPUTED_VALUE"""),3.0)</f>
        <v>3</v>
      </c>
      <c r="G1458" s="17">
        <f>IFERROR(__xludf.DUMMYFUNCTION("""COMPUTED_VALUE"""),141011.0)</f>
        <v>141011</v>
      </c>
      <c r="H1458" s="17" t="str">
        <f>IFERROR(__xludf.DUMMYFUNCTION("""COMPUTED_VALUE"""),"спіральні компресори")</f>
        <v>спіральні компресори</v>
      </c>
      <c r="I1458" s="18">
        <f>IFERROR(__xludf.DUMMYFUNCTION("""COMPUTED_VALUE"""),0.76)</f>
        <v>0.76</v>
      </c>
      <c r="J1458" s="18">
        <f>IFERROR(__xludf.DUMMYFUNCTION("""COMPUTED_VALUE"""),1.53)</f>
        <v>1.53</v>
      </c>
      <c r="K1458" s="18">
        <f>IFERROR(__xludf.DUMMYFUNCTION("""COMPUTED_VALUE"""),1.91)</f>
        <v>1.91</v>
      </c>
      <c r="L1458" s="18">
        <f>IFERROR(__xludf.DUMMYFUNCTION("""COMPUTED_VALUE"""),3.05)</f>
        <v>3.05</v>
      </c>
    </row>
    <row r="1459">
      <c r="A1459" s="13" t="str">
        <f>IFERROR(__xludf.DUMMYFUNCTION("""COMPUTED_VALUE"""),"товари")</f>
        <v>товари</v>
      </c>
      <c r="B1459" s="13" t="str">
        <f>IFERROR(__xludf.DUMMYFUNCTION("""COMPUTED_VALUE"""),"промислове обладнання та верстати")</f>
        <v>промислове обладнання та верстати</v>
      </c>
      <c r="C1459" s="15" t="str">
        <f>IFERROR(__xludf.DUMMYFUNCTION("""COMPUTED_VALUE"""),"верстати")</f>
        <v>верстати</v>
      </c>
      <c r="D1459" s="15" t="str">
        <f>IFERROR(__xludf.DUMMYFUNCTION("""COMPUTED_VALUE"""),"металообробні верстати")</f>
        <v>металообробні верстати</v>
      </c>
      <c r="E1459" s="15" t="str">
        <f>IFERROR(__xludf.DUMMYFUNCTION("""COMPUTED_VALUE"""),"стрічкопильні верстати по металу та комплектуючі до них")</f>
        <v>стрічкопильні верстати по металу та комплектуючі до них</v>
      </c>
      <c r="F1459" s="17">
        <f>IFERROR(__xludf.DUMMYFUNCTION("""COMPUTED_VALUE"""),4.0)</f>
        <v>4</v>
      </c>
      <c r="G1459" s="17">
        <f>IFERROR(__xludf.DUMMYFUNCTION("""COMPUTED_VALUE"""),142613.0)</f>
        <v>142613</v>
      </c>
      <c r="H1459" s="17" t="str">
        <f>IFERROR(__xludf.DUMMYFUNCTION("""COMPUTED_VALUE"""),"стрічкопильні верстати по металу та комплектуючі до них")</f>
        <v>стрічкопильні верстати по металу та комплектуючі до них</v>
      </c>
      <c r="I1459" s="18">
        <f>IFERROR(__xludf.DUMMYFUNCTION("""COMPUTED_VALUE"""),2.07)</f>
        <v>2.07</v>
      </c>
      <c r="J1459" s="18">
        <f>IFERROR(__xludf.DUMMYFUNCTION("""COMPUTED_VALUE"""),4.14)</f>
        <v>4.14</v>
      </c>
      <c r="K1459" s="18">
        <f>IFERROR(__xludf.DUMMYFUNCTION("""COMPUTED_VALUE"""),5.17)</f>
        <v>5.17</v>
      </c>
      <c r="L1459" s="18">
        <f>IFERROR(__xludf.DUMMYFUNCTION("""COMPUTED_VALUE"""),8.28)</f>
        <v>8.28</v>
      </c>
    </row>
    <row r="1460">
      <c r="A1460" s="13" t="str">
        <f>IFERROR(__xludf.DUMMYFUNCTION("""COMPUTED_VALUE"""),"товари")</f>
        <v>товари</v>
      </c>
      <c r="B1460" s="13" t="str">
        <f>IFERROR(__xludf.DUMMYFUNCTION("""COMPUTED_VALUE"""),"промислове обладнання та верстати")</f>
        <v>промислове обладнання та верстати</v>
      </c>
      <c r="C1460" s="15" t="str">
        <f>IFERROR(__xludf.DUMMYFUNCTION("""COMPUTED_VALUE"""),"обладнання для харчової промисловості")</f>
        <v>обладнання для харчової промисловості</v>
      </c>
      <c r="D1460" s="15" t="str">
        <f>IFERROR(__xludf.DUMMYFUNCTION("""COMPUTED_VALUE"""),"сушильне обладнання для харчової промисловості")</f>
        <v>сушильне обладнання для харчової промисловості</v>
      </c>
      <c r="E1460" s="15" t="str">
        <f>IFERROR(__xludf.DUMMYFUNCTION("""COMPUTED_VALUE"""),"сушильне обладнання для харчової промисловості")</f>
        <v>сушильне обладнання для харчової промисловості</v>
      </c>
      <c r="F1460" s="17">
        <f>IFERROR(__xludf.DUMMYFUNCTION("""COMPUTED_VALUE"""),3.0)</f>
        <v>3</v>
      </c>
      <c r="G1460" s="17">
        <f>IFERROR(__xludf.DUMMYFUNCTION("""COMPUTED_VALUE"""),22011.0)</f>
        <v>22011</v>
      </c>
      <c r="H1460" s="17" t="str">
        <f>IFERROR(__xludf.DUMMYFUNCTION("""COMPUTED_VALUE"""),"сушильне обладнання для харчової промисловості")</f>
        <v>сушильне обладнання для харчової промисловості</v>
      </c>
      <c r="I1460" s="18">
        <f>IFERROR(__xludf.DUMMYFUNCTION("""COMPUTED_VALUE"""),1.58)</f>
        <v>1.58</v>
      </c>
      <c r="J1460" s="18">
        <f>IFERROR(__xludf.DUMMYFUNCTION("""COMPUTED_VALUE"""),3.15)</f>
        <v>3.15</v>
      </c>
      <c r="K1460" s="18">
        <f>IFERROR(__xludf.DUMMYFUNCTION("""COMPUTED_VALUE"""),3.94)</f>
        <v>3.94</v>
      </c>
      <c r="L1460" s="18">
        <f>IFERROR(__xludf.DUMMYFUNCTION("""COMPUTED_VALUE"""),6.3)</f>
        <v>6.3</v>
      </c>
    </row>
    <row r="1461">
      <c r="A1461" s="13" t="str">
        <f>IFERROR(__xludf.DUMMYFUNCTION("""COMPUTED_VALUE"""),"товари")</f>
        <v>товари</v>
      </c>
      <c r="B1461" s="13" t="str">
        <f>IFERROR(__xludf.DUMMYFUNCTION("""COMPUTED_VALUE"""),"промислове обладнання та верстати")</f>
        <v>промислове обладнання та верстати</v>
      </c>
      <c r="C1461" s="15" t="str">
        <f>IFERROR(__xludf.DUMMYFUNCTION("""COMPUTED_VALUE"""),"енергообладнання")</f>
        <v>енергообладнання</v>
      </c>
      <c r="D1461" s="15" t="str">
        <f>IFERROR(__xludf.DUMMYFUNCTION("""COMPUTED_VALUE"""),"теплові пункти")</f>
        <v>теплові пункти</v>
      </c>
      <c r="E1461" s="15" t="str">
        <f>IFERROR(__xludf.DUMMYFUNCTION("""COMPUTED_VALUE"""),"теплові пункти")</f>
        <v>теплові пункти</v>
      </c>
      <c r="F1461" s="17">
        <f>IFERROR(__xludf.DUMMYFUNCTION("""COMPUTED_VALUE"""),3.0)</f>
        <v>3</v>
      </c>
      <c r="G1461" s="17">
        <f>IFERROR(__xludf.DUMMYFUNCTION("""COMPUTED_VALUE"""),145907.0)</f>
        <v>145907</v>
      </c>
      <c r="H1461" s="17" t="str">
        <f>IFERROR(__xludf.DUMMYFUNCTION("""COMPUTED_VALUE"""),"теплові пункти")</f>
        <v>теплові пункти</v>
      </c>
      <c r="I1461" s="18">
        <f>IFERROR(__xludf.DUMMYFUNCTION("""COMPUTED_VALUE"""),1.31)</f>
        <v>1.31</v>
      </c>
      <c r="J1461" s="18">
        <f>IFERROR(__xludf.DUMMYFUNCTION("""COMPUTED_VALUE"""),2.61)</f>
        <v>2.61</v>
      </c>
      <c r="K1461" s="18">
        <f>IFERROR(__xludf.DUMMYFUNCTION("""COMPUTED_VALUE"""),3.27)</f>
        <v>3.27</v>
      </c>
      <c r="L1461" s="18">
        <f>IFERROR(__xludf.DUMMYFUNCTION("""COMPUTED_VALUE"""),5.23)</f>
        <v>5.23</v>
      </c>
    </row>
    <row r="1462">
      <c r="A1462" s="13" t="str">
        <f>IFERROR(__xludf.DUMMYFUNCTION("""COMPUTED_VALUE"""),"товари")</f>
        <v>товари</v>
      </c>
      <c r="B1462" s="13" t="str">
        <f>IFERROR(__xludf.DUMMYFUNCTION("""COMPUTED_VALUE"""),"промислове обладнання та верстати")</f>
        <v>промислове обладнання та верстати</v>
      </c>
      <c r="C1462" s="15" t="str">
        <f>IFERROR(__xludf.DUMMYFUNCTION("""COMPUTED_VALUE"""),"енергообладнання")</f>
        <v>енергообладнання</v>
      </c>
      <c r="D1462" s="15" t="str">
        <f>IFERROR(__xludf.DUMMYFUNCTION("""COMPUTED_VALUE"""),"теплообмінне обладнання")</f>
        <v>теплообмінне обладнання</v>
      </c>
      <c r="E1462" s="15" t="str">
        <f>IFERROR(__xludf.DUMMYFUNCTION("""COMPUTED_VALUE"""),"теплообмінники")</f>
        <v>теплообмінники</v>
      </c>
      <c r="F1462" s="17">
        <f>IFERROR(__xludf.DUMMYFUNCTION("""COMPUTED_VALUE"""),4.0)</f>
        <v>4</v>
      </c>
      <c r="G1462" s="17">
        <f>IFERROR(__xludf.DUMMYFUNCTION("""COMPUTED_VALUE"""),1.4240201E7)</f>
        <v>14240201</v>
      </c>
      <c r="H1462" s="17" t="str">
        <f>IFERROR(__xludf.DUMMYFUNCTION("""COMPUTED_VALUE"""),"теплообмінники")</f>
        <v>теплообмінники</v>
      </c>
      <c r="I1462" s="18">
        <f>IFERROR(__xludf.DUMMYFUNCTION("""COMPUTED_VALUE"""),1.94)</f>
        <v>1.94</v>
      </c>
      <c r="J1462" s="18">
        <f>IFERROR(__xludf.DUMMYFUNCTION("""COMPUTED_VALUE"""),3.88)</f>
        <v>3.88</v>
      </c>
      <c r="K1462" s="18">
        <f>IFERROR(__xludf.DUMMYFUNCTION("""COMPUTED_VALUE"""),4.84)</f>
        <v>4.84</v>
      </c>
      <c r="L1462" s="18">
        <f>IFERROR(__xludf.DUMMYFUNCTION("""COMPUTED_VALUE"""),7.75)</f>
        <v>7.75</v>
      </c>
    </row>
    <row r="1463">
      <c r="A1463" s="13" t="str">
        <f>IFERROR(__xludf.DUMMYFUNCTION("""COMPUTED_VALUE"""),"товари")</f>
        <v>товари</v>
      </c>
      <c r="B1463" s="13" t="str">
        <f>IFERROR(__xludf.DUMMYFUNCTION("""COMPUTED_VALUE"""),"промислове обладнання та верстати")</f>
        <v>промислове обладнання та верстати</v>
      </c>
      <c r="C1463" s="15" t="str">
        <f>IFERROR(__xludf.DUMMYFUNCTION("""COMPUTED_VALUE"""),"технологічне обладнання")</f>
        <v>технологічне обладнання</v>
      </c>
      <c r="D1463" s="15" t="str">
        <f>IFERROR(__xludf.DUMMYFUNCTION("""COMPUTED_VALUE"""),"технологічне обладнання, загальне")</f>
        <v>технологічне обладнання, загальне</v>
      </c>
      <c r="E1463" s="15" t="str">
        <f>IFERROR(__xludf.DUMMYFUNCTION("""COMPUTED_VALUE"""),"технологічне обладнання, загальне")</f>
        <v>технологічне обладнання, загальне</v>
      </c>
      <c r="F1463" s="17">
        <f>IFERROR(__xludf.DUMMYFUNCTION("""COMPUTED_VALUE"""),3.0)</f>
        <v>3</v>
      </c>
      <c r="G1463" s="17">
        <f>IFERROR(__xludf.DUMMYFUNCTION("""COMPUTED_VALUE"""),144502.0)</f>
        <v>144502</v>
      </c>
      <c r="H1463" s="17" t="str">
        <f>IFERROR(__xludf.DUMMYFUNCTION("""COMPUTED_VALUE"""),"технологічне обладнання, загальне")</f>
        <v>технологічне обладнання, загальне</v>
      </c>
      <c r="I1463" s="18">
        <f>IFERROR(__xludf.DUMMYFUNCTION("""COMPUTED_VALUE"""),2.16)</f>
        <v>2.16</v>
      </c>
      <c r="J1463" s="18">
        <f>IFERROR(__xludf.DUMMYFUNCTION("""COMPUTED_VALUE"""),4.33)</f>
        <v>4.33</v>
      </c>
      <c r="K1463" s="18">
        <f>IFERROR(__xludf.DUMMYFUNCTION("""COMPUTED_VALUE"""),5.41)</f>
        <v>5.41</v>
      </c>
      <c r="L1463" s="18">
        <f>IFERROR(__xludf.DUMMYFUNCTION("""COMPUTED_VALUE"""),8.65)</f>
        <v>8.65</v>
      </c>
    </row>
    <row r="1464">
      <c r="A1464" s="13" t="str">
        <f>IFERROR(__xludf.DUMMYFUNCTION("""COMPUTED_VALUE"""),"товари")</f>
        <v>товари</v>
      </c>
      <c r="B1464" s="13" t="str">
        <f>IFERROR(__xludf.DUMMYFUNCTION("""COMPUTED_VALUE"""),"промислове обладнання та верстати")</f>
        <v>промислове обладнання та верстати</v>
      </c>
      <c r="C1464" s="15" t="str">
        <f>IFERROR(__xludf.DUMMYFUNCTION("""COMPUTED_VALUE"""),"верстати")</f>
        <v>верстати</v>
      </c>
      <c r="D1464" s="15" t="str">
        <f>IFERROR(__xludf.DUMMYFUNCTION("""COMPUTED_VALUE"""),"металообробні верстати")</f>
        <v>металообробні верстати</v>
      </c>
      <c r="E1464" s="15" t="str">
        <f>IFERROR(__xludf.DUMMYFUNCTION("""COMPUTED_VALUE"""),"токарні верстати")</f>
        <v>токарні верстати</v>
      </c>
      <c r="F1464" s="17">
        <f>IFERROR(__xludf.DUMMYFUNCTION("""COMPUTED_VALUE"""),4.0)</f>
        <v>4</v>
      </c>
      <c r="G1464" s="17">
        <f>IFERROR(__xludf.DUMMYFUNCTION("""COMPUTED_VALUE"""),1.4209802E7)</f>
        <v>14209802</v>
      </c>
      <c r="H1464" s="17" t="str">
        <f>IFERROR(__xludf.DUMMYFUNCTION("""COMPUTED_VALUE"""),"токарні верстати")</f>
        <v>токарні верстати</v>
      </c>
      <c r="I1464" s="18">
        <f>IFERROR(__xludf.DUMMYFUNCTION("""COMPUTED_VALUE"""),2.07)</f>
        <v>2.07</v>
      </c>
      <c r="J1464" s="18">
        <f>IFERROR(__xludf.DUMMYFUNCTION("""COMPUTED_VALUE"""),4.14)</f>
        <v>4.14</v>
      </c>
      <c r="K1464" s="18">
        <f>IFERROR(__xludf.DUMMYFUNCTION("""COMPUTED_VALUE"""),5.17)</f>
        <v>5.17</v>
      </c>
      <c r="L1464" s="18">
        <f>IFERROR(__xludf.DUMMYFUNCTION("""COMPUTED_VALUE"""),8.28)</f>
        <v>8.28</v>
      </c>
    </row>
    <row r="1465">
      <c r="A1465" s="13" t="str">
        <f>IFERROR(__xludf.DUMMYFUNCTION("""COMPUTED_VALUE"""),"товари")</f>
        <v>товари</v>
      </c>
      <c r="B1465" s="13" t="str">
        <f>IFERROR(__xludf.DUMMYFUNCTION("""COMPUTED_VALUE"""),"промислове обладнання та верстати")</f>
        <v>промислове обладнання та верстати</v>
      </c>
      <c r="C1465" s="15" t="str">
        <f>IFERROR(__xludf.DUMMYFUNCTION("""COMPUTED_VALUE"""),"верстати")</f>
        <v>верстати</v>
      </c>
      <c r="D1465" s="15" t="str">
        <f>IFERROR(__xludf.DUMMYFUNCTION("""COMPUTED_VALUE"""),"деревообробні верстати")</f>
        <v>деревообробні верстати</v>
      </c>
      <c r="E1465" s="15" t="str">
        <f>IFERROR(__xludf.DUMMYFUNCTION("""COMPUTED_VALUE"""),"торцювальні верстати")</f>
        <v>торцювальні верстати</v>
      </c>
      <c r="F1465" s="17">
        <f>IFERROR(__xludf.DUMMYFUNCTION("""COMPUTED_VALUE"""),4.0)</f>
        <v>4</v>
      </c>
      <c r="G1465" s="17">
        <f>IFERROR(__xludf.DUMMYFUNCTION("""COMPUTED_VALUE"""),143108.0)</f>
        <v>143108</v>
      </c>
      <c r="H1465" s="17" t="str">
        <f>IFERROR(__xludf.DUMMYFUNCTION("""COMPUTED_VALUE"""),"торцювальні верстати")</f>
        <v>торцювальні верстати</v>
      </c>
      <c r="I1465" s="18">
        <f>IFERROR(__xludf.DUMMYFUNCTION("""COMPUTED_VALUE"""),1.26)</f>
        <v>1.26</v>
      </c>
      <c r="J1465" s="18">
        <f>IFERROR(__xludf.DUMMYFUNCTION("""COMPUTED_VALUE"""),2.53)</f>
        <v>2.53</v>
      </c>
      <c r="K1465" s="18">
        <f>IFERROR(__xludf.DUMMYFUNCTION("""COMPUTED_VALUE"""),3.16)</f>
        <v>3.16</v>
      </c>
      <c r="L1465" s="18">
        <f>IFERROR(__xludf.DUMMYFUNCTION("""COMPUTED_VALUE"""),5.05)</f>
        <v>5.05</v>
      </c>
    </row>
    <row r="1466">
      <c r="A1466" s="13" t="str">
        <f>IFERROR(__xludf.DUMMYFUNCTION("""COMPUTED_VALUE"""),"товари")</f>
        <v>товари</v>
      </c>
      <c r="B1466" s="13" t="str">
        <f>IFERROR(__xludf.DUMMYFUNCTION("""COMPUTED_VALUE"""),"промислове обладнання та верстати")</f>
        <v>промислове обладнання та верстати</v>
      </c>
      <c r="C1466" s="15" t="str">
        <f>IFERROR(__xludf.DUMMYFUNCTION("""COMPUTED_VALUE"""),"верстати")</f>
        <v>верстати</v>
      </c>
      <c r="D1466" s="15" t="str">
        <f>IFERROR(__xludf.DUMMYFUNCTION("""COMPUTED_VALUE"""),"металообробні верстати")</f>
        <v>металообробні верстати</v>
      </c>
      <c r="E1466" s="15" t="str">
        <f>IFERROR(__xludf.DUMMYFUNCTION("""COMPUTED_VALUE"""),"трубонарізні верстати")</f>
        <v>трубонарізні верстати</v>
      </c>
      <c r="F1466" s="17">
        <f>IFERROR(__xludf.DUMMYFUNCTION("""COMPUTED_VALUE"""),4.0)</f>
        <v>4</v>
      </c>
      <c r="G1466" s="17">
        <f>IFERROR(__xludf.DUMMYFUNCTION("""COMPUTED_VALUE"""),141708.0)</f>
        <v>141708</v>
      </c>
      <c r="H1466" s="17" t="str">
        <f>IFERROR(__xludf.DUMMYFUNCTION("""COMPUTED_VALUE"""),"трубонарізні верстати")</f>
        <v>трубонарізні верстати</v>
      </c>
      <c r="I1466" s="18">
        <f>IFERROR(__xludf.DUMMYFUNCTION("""COMPUTED_VALUE"""),2.07)</f>
        <v>2.07</v>
      </c>
      <c r="J1466" s="18">
        <f>IFERROR(__xludf.DUMMYFUNCTION("""COMPUTED_VALUE"""),4.14)</f>
        <v>4.14</v>
      </c>
      <c r="K1466" s="18">
        <f>IFERROR(__xludf.DUMMYFUNCTION("""COMPUTED_VALUE"""),5.17)</f>
        <v>5.17</v>
      </c>
      <c r="L1466" s="18">
        <f>IFERROR(__xludf.DUMMYFUNCTION("""COMPUTED_VALUE"""),8.28)</f>
        <v>8.28</v>
      </c>
    </row>
    <row r="1467">
      <c r="A1467" s="13" t="str">
        <f>IFERROR(__xludf.DUMMYFUNCTION("""COMPUTED_VALUE"""),"товари")</f>
        <v>товари</v>
      </c>
      <c r="B1467" s="13" t="str">
        <f>IFERROR(__xludf.DUMMYFUNCTION("""COMPUTED_VALUE"""),"промислове обладнання та верстати")</f>
        <v>промислове обладнання та верстати</v>
      </c>
      <c r="C1467" s="15" t="str">
        <f>IFERROR(__xludf.DUMMYFUNCTION("""COMPUTED_VALUE"""),"виробниче обладнання")</f>
        <v>виробниче обладнання</v>
      </c>
      <c r="D1467" s="15" t="str">
        <f>IFERROR(__xludf.DUMMYFUNCTION("""COMPUTED_VALUE"""),"універсальні дробарки для малих виробництв")</f>
        <v>універсальні дробарки для малих виробництв</v>
      </c>
      <c r="E1467" s="15" t="str">
        <f>IFERROR(__xludf.DUMMYFUNCTION("""COMPUTED_VALUE"""),"універсальні дробарки для малих виробництв")</f>
        <v>універсальні дробарки для малих виробництв</v>
      </c>
      <c r="F1467" s="17">
        <f>IFERROR(__xludf.DUMMYFUNCTION("""COMPUTED_VALUE"""),3.0)</f>
        <v>3</v>
      </c>
      <c r="G1467" s="17">
        <f>IFERROR(__xludf.DUMMYFUNCTION("""COMPUTED_VALUE"""),431433.0)</f>
        <v>431433</v>
      </c>
      <c r="H1467" s="17" t="str">
        <f>IFERROR(__xludf.DUMMYFUNCTION("""COMPUTED_VALUE"""),"універсальні дробарки для малих виробництв")</f>
        <v>універсальні дробарки для малих виробництв</v>
      </c>
      <c r="I1467" s="18">
        <f>IFERROR(__xludf.DUMMYFUNCTION("""COMPUTED_VALUE"""),1.35)</f>
        <v>1.35</v>
      </c>
      <c r="J1467" s="18">
        <f>IFERROR(__xludf.DUMMYFUNCTION("""COMPUTED_VALUE"""),2.7)</f>
        <v>2.7</v>
      </c>
      <c r="K1467" s="18">
        <f>IFERROR(__xludf.DUMMYFUNCTION("""COMPUTED_VALUE"""),3.38)</f>
        <v>3.38</v>
      </c>
      <c r="L1467" s="18">
        <f>IFERROR(__xludf.DUMMYFUNCTION("""COMPUTED_VALUE"""),5.4)</f>
        <v>5.4</v>
      </c>
    </row>
    <row r="1468">
      <c r="A1468" s="13" t="str">
        <f>IFERROR(__xludf.DUMMYFUNCTION("""COMPUTED_VALUE"""),"товари")</f>
        <v>товари</v>
      </c>
      <c r="B1468" s="13" t="str">
        <f>IFERROR(__xludf.DUMMYFUNCTION("""COMPUTED_VALUE"""),"промислове обладнання та верстати")</f>
        <v>промислове обладнання та верстати</v>
      </c>
      <c r="C1468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468" s="15" t="str">
        <f>IFERROR(__xludf.DUMMYFUNCTION("""COMPUTED_VALUE"""),"обладнання для газовидобутку")</f>
        <v>обладнання для газовидобутку</v>
      </c>
      <c r="E1468" s="15" t="str">
        <f>IFERROR(__xludf.DUMMYFUNCTION("""COMPUTED_VALUE"""),"установки випарні для скрапленого газу")</f>
        <v>установки випарні для скрапленого газу</v>
      </c>
      <c r="F1468" s="17">
        <f>IFERROR(__xludf.DUMMYFUNCTION("""COMPUTED_VALUE"""),4.0)</f>
        <v>4</v>
      </c>
      <c r="G1468" s="17">
        <f>IFERROR(__xludf.DUMMYFUNCTION("""COMPUTED_VALUE"""),1.4620204E7)</f>
        <v>14620204</v>
      </c>
      <c r="H1468" s="17" t="str">
        <f>IFERROR(__xludf.DUMMYFUNCTION("""COMPUTED_VALUE"""),"установки випарні для скрапленого газу")</f>
        <v>установки випарні для скрапленого газу</v>
      </c>
      <c r="I1468" s="18">
        <f>IFERROR(__xludf.DUMMYFUNCTION("""COMPUTED_VALUE"""),0.86)</f>
        <v>0.86</v>
      </c>
      <c r="J1468" s="18">
        <f>IFERROR(__xludf.DUMMYFUNCTION("""COMPUTED_VALUE"""),1.71)</f>
        <v>1.71</v>
      </c>
      <c r="K1468" s="18">
        <f>IFERROR(__xludf.DUMMYFUNCTION("""COMPUTED_VALUE"""),2.14)</f>
        <v>2.14</v>
      </c>
      <c r="L1468" s="18">
        <f>IFERROR(__xludf.DUMMYFUNCTION("""COMPUTED_VALUE"""),3.43)</f>
        <v>3.43</v>
      </c>
    </row>
    <row r="1469">
      <c r="A1469" s="13" t="str">
        <f>IFERROR(__xludf.DUMMYFUNCTION("""COMPUTED_VALUE"""),"товари")</f>
        <v>товари</v>
      </c>
      <c r="B1469" s="13" t="str">
        <f>IFERROR(__xludf.DUMMYFUNCTION("""COMPUTED_VALUE"""),"промислове обладнання та верстати")</f>
        <v>промислове обладнання та верстати</v>
      </c>
      <c r="C1469" s="15" t="str">
        <f>IFERROR(__xludf.DUMMYFUNCTION("""COMPUTED_VALUE"""),"пакувальне та фасувальне обладнання")</f>
        <v>пакувальне та фасувальне обладнання</v>
      </c>
      <c r="D1469" s="15" t="str">
        <f>IFERROR(__xludf.DUMMYFUNCTION("""COMPUTED_VALUE"""),"фасувально-дозувальне обладнання")</f>
        <v>фасувально-дозувальне обладнання</v>
      </c>
      <c r="E1469" s="15" t="str">
        <f>IFERROR(__xludf.DUMMYFUNCTION("""COMPUTED_VALUE"""),"фасувально-дозувальне обладнання")</f>
        <v>фасувально-дозувальне обладнання</v>
      </c>
      <c r="F1469" s="17">
        <f>IFERROR(__xludf.DUMMYFUNCTION("""COMPUTED_VALUE"""),3.0)</f>
        <v>3</v>
      </c>
      <c r="G1469" s="17">
        <f>IFERROR(__xludf.DUMMYFUNCTION("""COMPUTED_VALUE"""),230709.0)</f>
        <v>230709</v>
      </c>
      <c r="H1469" s="17" t="str">
        <f>IFERROR(__xludf.DUMMYFUNCTION("""COMPUTED_VALUE"""),"фасувально-дозувальне обладнання")</f>
        <v>фасувально-дозувальне обладнання</v>
      </c>
      <c r="I1469" s="18">
        <f>IFERROR(__xludf.DUMMYFUNCTION("""COMPUTED_VALUE"""),2.7)</f>
        <v>2.7</v>
      </c>
      <c r="J1469" s="18">
        <f>IFERROR(__xludf.DUMMYFUNCTION("""COMPUTED_VALUE"""),5.4)</f>
        <v>5.4</v>
      </c>
      <c r="K1469" s="18">
        <f>IFERROR(__xludf.DUMMYFUNCTION("""COMPUTED_VALUE"""),6.75)</f>
        <v>6.75</v>
      </c>
      <c r="L1469" s="18">
        <f>IFERROR(__xludf.DUMMYFUNCTION("""COMPUTED_VALUE"""),10.8)</f>
        <v>10.8</v>
      </c>
    </row>
    <row r="1470">
      <c r="A1470" s="13" t="str">
        <f>IFERROR(__xludf.DUMMYFUNCTION("""COMPUTED_VALUE"""),"товари")</f>
        <v>товари</v>
      </c>
      <c r="B1470" s="13" t="str">
        <f>IFERROR(__xludf.DUMMYFUNCTION("""COMPUTED_VALUE"""),"промислове обладнання та верстати")</f>
        <v>промислове обладнання та верстати</v>
      </c>
      <c r="C1470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70" s="15" t="str">
        <f>IFERROR(__xludf.DUMMYFUNCTION("""COMPUTED_VALUE"""),"фільтрувальні матеріали")</f>
        <v>фільтрувальні матеріали</v>
      </c>
      <c r="E1470" s="15" t="str">
        <f>IFERROR(__xludf.DUMMYFUNCTION("""COMPUTED_VALUE"""),"фільтрувальні матеріали, загальне")</f>
        <v>фільтрувальні матеріали, загальне</v>
      </c>
      <c r="F1470" s="17">
        <f>IFERROR(__xludf.DUMMYFUNCTION("""COMPUTED_VALUE"""),4.0)</f>
        <v>4</v>
      </c>
      <c r="G1470" s="17">
        <f>IFERROR(__xludf.DUMMYFUNCTION("""COMPUTED_VALUE"""),143399.0)</f>
        <v>143399</v>
      </c>
      <c r="H1470" s="17" t="str">
        <f>IFERROR(__xludf.DUMMYFUNCTION("""COMPUTED_VALUE"""),"фільтрувальні матеріали, загальне")</f>
        <v>фільтрувальні матеріали, загальне</v>
      </c>
      <c r="I1470" s="18">
        <f>IFERROR(__xludf.DUMMYFUNCTION("""COMPUTED_VALUE"""),2.16)</f>
        <v>2.16</v>
      </c>
      <c r="J1470" s="18">
        <f>IFERROR(__xludf.DUMMYFUNCTION("""COMPUTED_VALUE"""),4.33)</f>
        <v>4.33</v>
      </c>
      <c r="K1470" s="18">
        <f>IFERROR(__xludf.DUMMYFUNCTION("""COMPUTED_VALUE"""),5.41)</f>
        <v>5.41</v>
      </c>
      <c r="L1470" s="18">
        <f>IFERROR(__xludf.DUMMYFUNCTION("""COMPUTED_VALUE"""),8.65)</f>
        <v>8.65</v>
      </c>
    </row>
    <row r="1471">
      <c r="A1471" s="13" t="str">
        <f>IFERROR(__xludf.DUMMYFUNCTION("""COMPUTED_VALUE"""),"товари")</f>
        <v>товари</v>
      </c>
      <c r="B1471" s="13" t="str">
        <f>IFERROR(__xludf.DUMMYFUNCTION("""COMPUTED_VALUE"""),"промислове обладнання та верстати")</f>
        <v>промислове обладнання та верстати</v>
      </c>
      <c r="C1471" s="15" t="str">
        <f>IFERROR(__xludf.DUMMYFUNCTION("""COMPUTED_VALUE"""),"виробниче обладнання")</f>
        <v>виробниче обладнання</v>
      </c>
      <c r="D1471" s="15" t="str">
        <f>IFERROR(__xludf.DUMMYFUNCTION("""COMPUTED_VALUE"""),"обладнання для виробництва меблів")</f>
        <v>обладнання для виробництва меблів</v>
      </c>
      <c r="E1471" s="15" t="str">
        <f>IFERROR(__xludf.DUMMYFUNCTION("""COMPUTED_VALUE"""),"форматно-розкрійні верстати")</f>
        <v>форматно-розкрійні верстати</v>
      </c>
      <c r="F1471" s="17">
        <f>IFERROR(__xludf.DUMMYFUNCTION("""COMPUTED_VALUE"""),4.0)</f>
        <v>4</v>
      </c>
      <c r="G1471" s="17">
        <f>IFERROR(__xludf.DUMMYFUNCTION("""COMPUTED_VALUE"""),370901.0)</f>
        <v>370901</v>
      </c>
      <c r="H1471" s="17" t="str">
        <f>IFERROR(__xludf.DUMMYFUNCTION("""COMPUTED_VALUE"""),"форматно-розкрійні верстати")</f>
        <v>форматно-розкрійні верстати</v>
      </c>
      <c r="I1471" s="18">
        <f>IFERROR(__xludf.DUMMYFUNCTION("""COMPUTED_VALUE"""),1.53)</f>
        <v>1.53</v>
      </c>
      <c r="J1471" s="18">
        <f>IFERROR(__xludf.DUMMYFUNCTION("""COMPUTED_VALUE"""),3.06)</f>
        <v>3.06</v>
      </c>
      <c r="K1471" s="18">
        <f>IFERROR(__xludf.DUMMYFUNCTION("""COMPUTED_VALUE"""),3.83)</f>
        <v>3.83</v>
      </c>
      <c r="L1471" s="18">
        <f>IFERROR(__xludf.DUMMYFUNCTION("""COMPUTED_VALUE"""),6.13)</f>
        <v>6.13</v>
      </c>
    </row>
    <row r="1472">
      <c r="A1472" s="13" t="str">
        <f>IFERROR(__xludf.DUMMYFUNCTION("""COMPUTED_VALUE"""),"товари")</f>
        <v>товари</v>
      </c>
      <c r="B1472" s="13" t="str">
        <f>IFERROR(__xludf.DUMMYFUNCTION("""COMPUTED_VALUE"""),"промислове обладнання та верстати")</f>
        <v>промислове обладнання та верстати</v>
      </c>
      <c r="C1472" s="15" t="str">
        <f>IFERROR(__xludf.DUMMYFUNCTION("""COMPUTED_VALUE"""),"технологічне обладнання")</f>
        <v>технологічне обладнання</v>
      </c>
      <c r="D1472" s="15" t="str">
        <f>IFERROR(__xludf.DUMMYFUNCTION("""COMPUTED_VALUE"""),"форсунки для промислового обладнання")</f>
        <v>форсунки для промислового обладнання</v>
      </c>
      <c r="E1472" s="15" t="str">
        <f>IFERROR(__xludf.DUMMYFUNCTION("""COMPUTED_VALUE"""),"форсунки для промислового обладнання")</f>
        <v>форсунки для промислового обладнання</v>
      </c>
      <c r="F1472" s="17">
        <f>IFERROR(__xludf.DUMMYFUNCTION("""COMPUTED_VALUE"""),3.0)</f>
        <v>3</v>
      </c>
      <c r="G1472" s="17">
        <f>IFERROR(__xludf.DUMMYFUNCTION("""COMPUTED_VALUE"""),141804.0)</f>
        <v>141804</v>
      </c>
      <c r="H1472" s="17" t="str">
        <f>IFERROR(__xludf.DUMMYFUNCTION("""COMPUTED_VALUE"""),"форсунки для промислового обладнання")</f>
        <v>форсунки для промислового обладнання</v>
      </c>
      <c r="I1472" s="18">
        <f>IFERROR(__xludf.DUMMYFUNCTION("""COMPUTED_VALUE"""),1.13)</f>
        <v>1.13</v>
      </c>
      <c r="J1472" s="18">
        <f>IFERROR(__xludf.DUMMYFUNCTION("""COMPUTED_VALUE"""),2.25)</f>
        <v>2.25</v>
      </c>
      <c r="K1472" s="18">
        <f>IFERROR(__xludf.DUMMYFUNCTION("""COMPUTED_VALUE"""),2.81)</f>
        <v>2.81</v>
      </c>
      <c r="L1472" s="18">
        <f>IFERROR(__xludf.DUMMYFUNCTION("""COMPUTED_VALUE"""),4.5)</f>
        <v>4.5</v>
      </c>
    </row>
    <row r="1473">
      <c r="A1473" s="13" t="str">
        <f>IFERROR(__xludf.DUMMYFUNCTION("""COMPUTED_VALUE"""),"товари")</f>
        <v>товари</v>
      </c>
      <c r="B1473" s="13" t="str">
        <f>IFERROR(__xludf.DUMMYFUNCTION("""COMPUTED_VALUE"""),"промислове обладнання та верстати")</f>
        <v>промислове обладнання та верстати</v>
      </c>
      <c r="C1473" s="15" t="str">
        <f>IFERROR(__xludf.DUMMYFUNCTION("""COMPUTED_VALUE"""),"верстати")</f>
        <v>верстати</v>
      </c>
      <c r="D1473" s="15" t="str">
        <f>IFERROR(__xludf.DUMMYFUNCTION("""COMPUTED_VALUE"""),"деревообробні верстати")</f>
        <v>деревообробні верстати</v>
      </c>
      <c r="E1473" s="15" t="str">
        <f>IFERROR(__xludf.DUMMYFUNCTION("""COMPUTED_VALUE"""),"фугувально-рейсмусові верстати")</f>
        <v>фугувально-рейсмусові верстати</v>
      </c>
      <c r="F1473" s="17">
        <f>IFERROR(__xludf.DUMMYFUNCTION("""COMPUTED_VALUE"""),4.0)</f>
        <v>4</v>
      </c>
      <c r="G1473" s="17">
        <f>IFERROR(__xludf.DUMMYFUNCTION("""COMPUTED_VALUE"""),4305.0)</f>
        <v>4305</v>
      </c>
      <c r="H1473" s="17" t="str">
        <f>IFERROR(__xludf.DUMMYFUNCTION("""COMPUTED_VALUE"""),"фугувально-рейсмусові верстати")</f>
        <v>фугувально-рейсмусові верстати</v>
      </c>
      <c r="I1473" s="18">
        <f>IFERROR(__xludf.DUMMYFUNCTION("""COMPUTED_VALUE"""),1.26)</f>
        <v>1.26</v>
      </c>
      <c r="J1473" s="18">
        <f>IFERROR(__xludf.DUMMYFUNCTION("""COMPUTED_VALUE"""),2.53)</f>
        <v>2.53</v>
      </c>
      <c r="K1473" s="18">
        <f>IFERROR(__xludf.DUMMYFUNCTION("""COMPUTED_VALUE"""),3.16)</f>
        <v>3.16</v>
      </c>
      <c r="L1473" s="18">
        <f>IFERROR(__xludf.DUMMYFUNCTION("""COMPUTED_VALUE"""),5.05)</f>
        <v>5.05</v>
      </c>
    </row>
    <row r="1474">
      <c r="A1474" s="13" t="str">
        <f>IFERROR(__xludf.DUMMYFUNCTION("""COMPUTED_VALUE"""),"товари")</f>
        <v>товари</v>
      </c>
      <c r="B1474" s="13" t="str">
        <f>IFERROR(__xludf.DUMMYFUNCTION("""COMPUTED_VALUE"""),"промислове обладнання та верстати")</f>
        <v>промислове обладнання та верстати</v>
      </c>
      <c r="C1474" s="15" t="str">
        <f>IFERROR(__xludf.DUMMYFUNCTION("""COMPUTED_VALUE"""),"промислові насоси")</f>
        <v>промислові насоси</v>
      </c>
      <c r="D1474" s="15" t="str">
        <f>IFERROR(__xludf.DUMMYFUNCTION("""COMPUTED_VALUE"""),"харчові насоси")</f>
        <v>харчові насоси</v>
      </c>
      <c r="E1474" s="15" t="str">
        <f>IFERROR(__xludf.DUMMYFUNCTION("""COMPUTED_VALUE"""),"харчові насоси")</f>
        <v>харчові насоси</v>
      </c>
      <c r="F1474" s="17">
        <f>IFERROR(__xludf.DUMMYFUNCTION("""COMPUTED_VALUE"""),3.0)</f>
        <v>3</v>
      </c>
      <c r="G1474" s="17">
        <f>IFERROR(__xludf.DUMMYFUNCTION("""COMPUTED_VALUE"""),147602.0)</f>
        <v>147602</v>
      </c>
      <c r="H1474" s="17" t="str">
        <f>IFERROR(__xludf.DUMMYFUNCTION("""COMPUTED_VALUE"""),"харчові насоси")</f>
        <v>харчові насоси</v>
      </c>
      <c r="I1474" s="18">
        <f>IFERROR(__xludf.DUMMYFUNCTION("""COMPUTED_VALUE"""),1.44)</f>
        <v>1.44</v>
      </c>
      <c r="J1474" s="18">
        <f>IFERROR(__xludf.DUMMYFUNCTION("""COMPUTED_VALUE"""),2.88)</f>
        <v>2.88</v>
      </c>
      <c r="K1474" s="18">
        <f>IFERROR(__xludf.DUMMYFUNCTION("""COMPUTED_VALUE"""),3.59)</f>
        <v>3.59</v>
      </c>
      <c r="L1474" s="18">
        <f>IFERROR(__xludf.DUMMYFUNCTION("""COMPUTED_VALUE"""),5.75)</f>
        <v>5.75</v>
      </c>
    </row>
    <row r="1475">
      <c r="A1475" s="13" t="str">
        <f>IFERROR(__xludf.DUMMYFUNCTION("""COMPUTED_VALUE"""),"товари")</f>
        <v>товари</v>
      </c>
      <c r="B1475" s="13" t="str">
        <f>IFERROR(__xludf.DUMMYFUNCTION("""COMPUTED_VALUE"""),"промислове обладнання та верстати")</f>
        <v>промислове обладнання та верстати</v>
      </c>
      <c r="C1475" s="15" t="str">
        <f>IFERROR(__xludf.DUMMYFUNCTION("""COMPUTED_VALUE"""),"енергообладнання")</f>
        <v>енергообладнання</v>
      </c>
      <c r="D1475" s="15" t="str">
        <f>IFERROR(__xludf.DUMMYFUNCTION("""COMPUTED_VALUE"""),"холодильне промислове обладнання")</f>
        <v>холодильне промислове обладнання</v>
      </c>
      <c r="E1475" s="15" t="str">
        <f>IFERROR(__xludf.DUMMYFUNCTION("""COMPUTED_VALUE"""),"холодильне промислове обладнання, загальне")</f>
        <v>холодильне промислове обладнання, загальне</v>
      </c>
      <c r="F1475" s="17">
        <f>IFERROR(__xludf.DUMMYFUNCTION("""COMPUTED_VALUE"""),4.0)</f>
        <v>4</v>
      </c>
      <c r="G1475" s="17">
        <f>IFERROR(__xludf.DUMMYFUNCTION("""COMPUTED_VALUE"""),1.4240108E7)</f>
        <v>14240108</v>
      </c>
      <c r="H1475" s="17" t="str">
        <f>IFERROR(__xludf.DUMMYFUNCTION("""COMPUTED_VALUE"""),"холодильне промислове обладнання, загальне")</f>
        <v>холодильне промислове обладнання, загальне</v>
      </c>
      <c r="I1475" s="18">
        <f>IFERROR(__xludf.DUMMYFUNCTION("""COMPUTED_VALUE"""),2.16)</f>
        <v>2.16</v>
      </c>
      <c r="J1475" s="18">
        <f>IFERROR(__xludf.DUMMYFUNCTION("""COMPUTED_VALUE"""),4.33)</f>
        <v>4.33</v>
      </c>
      <c r="K1475" s="18">
        <f>IFERROR(__xludf.DUMMYFUNCTION("""COMPUTED_VALUE"""),5.41)</f>
        <v>5.41</v>
      </c>
      <c r="L1475" s="18">
        <f>IFERROR(__xludf.DUMMYFUNCTION("""COMPUTED_VALUE"""),8.65)</f>
        <v>8.65</v>
      </c>
    </row>
    <row r="1476">
      <c r="A1476" s="13" t="str">
        <f>IFERROR(__xludf.DUMMYFUNCTION("""COMPUTED_VALUE"""),"товари")</f>
        <v>товари</v>
      </c>
      <c r="B1476" s="13" t="str">
        <f>IFERROR(__xludf.DUMMYFUNCTION("""COMPUTED_VALUE"""),"промислове обладнання та верстати")</f>
        <v>промислове обладнання та верстати</v>
      </c>
      <c r="C1476" s="15" t="str">
        <f>IFERROR(__xludf.DUMMYFUNCTION("""COMPUTED_VALUE"""),"енергообладнання")</f>
        <v>енергообладнання</v>
      </c>
      <c r="D1476" s="15" t="str">
        <f>IFERROR(__xludf.DUMMYFUNCTION("""COMPUTED_VALUE"""),"холодильне промислове обладнання")</f>
        <v>холодильне промислове обладнання</v>
      </c>
      <c r="E1476" s="15" t="str">
        <f>IFERROR(__xludf.DUMMYFUNCTION("""COMPUTED_VALUE"""),"холодильні агрегати")</f>
        <v>холодильні агрегати</v>
      </c>
      <c r="F1476" s="17">
        <f>IFERROR(__xludf.DUMMYFUNCTION("""COMPUTED_VALUE"""),4.0)</f>
        <v>4</v>
      </c>
      <c r="G1476" s="17">
        <f>IFERROR(__xludf.DUMMYFUNCTION("""COMPUTED_VALUE"""),1.4240101E7)</f>
        <v>14240101</v>
      </c>
      <c r="H1476" s="17" t="str">
        <f>IFERROR(__xludf.DUMMYFUNCTION("""COMPUTED_VALUE"""),"холодильні агрегати")</f>
        <v>холодильні агрегати</v>
      </c>
      <c r="I1476" s="18">
        <f>IFERROR(__xludf.DUMMYFUNCTION("""COMPUTED_VALUE"""),1.39)</f>
        <v>1.39</v>
      </c>
      <c r="J1476" s="18">
        <f>IFERROR(__xludf.DUMMYFUNCTION("""COMPUTED_VALUE"""),2.79)</f>
        <v>2.79</v>
      </c>
      <c r="K1476" s="18">
        <f>IFERROR(__xludf.DUMMYFUNCTION("""COMPUTED_VALUE"""),3.48)</f>
        <v>3.48</v>
      </c>
      <c r="L1476" s="18">
        <f>IFERROR(__xludf.DUMMYFUNCTION("""COMPUTED_VALUE"""),5.58)</f>
        <v>5.58</v>
      </c>
    </row>
    <row r="1477">
      <c r="A1477" s="13" t="str">
        <f>IFERROR(__xludf.DUMMYFUNCTION("""COMPUTED_VALUE"""),"товари")</f>
        <v>товари</v>
      </c>
      <c r="B1477" s="13" t="str">
        <f>IFERROR(__xludf.DUMMYFUNCTION("""COMPUTED_VALUE"""),"промислове обладнання та верстати")</f>
        <v>промислове обладнання та верстати</v>
      </c>
      <c r="C1477" s="15" t="str">
        <f>IFERROR(__xludf.DUMMYFUNCTION("""COMPUTED_VALUE"""),"промислові насоси")</f>
        <v>промислові насоси</v>
      </c>
      <c r="D1477" s="15" t="str">
        <f>IFERROR(__xludf.DUMMYFUNCTION("""COMPUTED_VALUE"""),"циркуляційні промислові насоси")</f>
        <v>циркуляційні промислові насоси</v>
      </c>
      <c r="E1477" s="15" t="str">
        <f>IFERROR(__xludf.DUMMYFUNCTION("""COMPUTED_VALUE"""),"циркуляційні промислові насоси")</f>
        <v>циркуляційні промислові насоси</v>
      </c>
      <c r="F1477" s="17">
        <f>IFERROR(__xludf.DUMMYFUNCTION("""COMPUTED_VALUE"""),3.0)</f>
        <v>3</v>
      </c>
      <c r="G1477" s="17">
        <f>IFERROR(__xludf.DUMMYFUNCTION("""COMPUTED_VALUE"""),140307.0)</f>
        <v>140307</v>
      </c>
      <c r="H1477" s="17" t="str">
        <f>IFERROR(__xludf.DUMMYFUNCTION("""COMPUTED_VALUE"""),"циркуляційні промислові насоси")</f>
        <v>циркуляційні промислові насоси</v>
      </c>
      <c r="I1477" s="18">
        <f>IFERROR(__xludf.DUMMYFUNCTION("""COMPUTED_VALUE"""),1.44)</f>
        <v>1.44</v>
      </c>
      <c r="J1477" s="18">
        <f>IFERROR(__xludf.DUMMYFUNCTION("""COMPUTED_VALUE"""),2.88)</f>
        <v>2.88</v>
      </c>
      <c r="K1477" s="18">
        <f>IFERROR(__xludf.DUMMYFUNCTION("""COMPUTED_VALUE"""),3.59)</f>
        <v>3.59</v>
      </c>
      <c r="L1477" s="18">
        <f>IFERROR(__xludf.DUMMYFUNCTION("""COMPUTED_VALUE"""),5.75)</f>
        <v>5.75</v>
      </c>
    </row>
    <row r="1478">
      <c r="A1478" s="13" t="str">
        <f>IFERROR(__xludf.DUMMYFUNCTION("""COMPUTED_VALUE"""),"товари")</f>
        <v>товари</v>
      </c>
      <c r="B1478" s="13" t="str">
        <f>IFERROR(__xludf.DUMMYFUNCTION("""COMPUTED_VALUE"""),"промислове обладнання та верстати")</f>
        <v>промислове обладнання та верстати</v>
      </c>
      <c r="C1478" s="15" t="str">
        <f>IFERROR(__xludf.DUMMYFUNCTION("""COMPUTED_VALUE"""),"промислове кліматичне обладнання")</f>
        <v>промислове кліматичне обладнання</v>
      </c>
      <c r="D1478" s="15" t="str">
        <f>IFERROR(__xludf.DUMMYFUNCTION("""COMPUTED_VALUE"""),"промислові кондиціонери")</f>
        <v>промислові кондиціонери</v>
      </c>
      <c r="E1478" s="15" t="str">
        <f>IFERROR(__xludf.DUMMYFUNCTION("""COMPUTED_VALUE"""),"чилери")</f>
        <v>чилери</v>
      </c>
      <c r="F1478" s="17">
        <f>IFERROR(__xludf.DUMMYFUNCTION("""COMPUTED_VALUE"""),4.0)</f>
        <v>4</v>
      </c>
      <c r="G1478" s="17">
        <f>IFERROR(__xludf.DUMMYFUNCTION("""COMPUTED_VALUE"""),1.4650205E7)</f>
        <v>14650205</v>
      </c>
      <c r="H1478" s="17" t="str">
        <f>IFERROR(__xludf.DUMMYFUNCTION("""COMPUTED_VALUE"""),"чилери")</f>
        <v>чилери</v>
      </c>
      <c r="I1478" s="18">
        <f>IFERROR(__xludf.DUMMYFUNCTION("""COMPUTED_VALUE"""),2.7)</f>
        <v>2.7</v>
      </c>
      <c r="J1478" s="18">
        <f>IFERROR(__xludf.DUMMYFUNCTION("""COMPUTED_VALUE"""),5.4)</f>
        <v>5.4</v>
      </c>
      <c r="K1478" s="18">
        <f>IFERROR(__xludf.DUMMYFUNCTION("""COMPUTED_VALUE"""),6.75)</f>
        <v>6.75</v>
      </c>
      <c r="L1478" s="18">
        <f>IFERROR(__xludf.DUMMYFUNCTION("""COMPUTED_VALUE"""),10.8)</f>
        <v>10.8</v>
      </c>
    </row>
    <row r="1479">
      <c r="A1479" s="13" t="str">
        <f>IFERROR(__xludf.DUMMYFUNCTION("""COMPUTED_VALUE"""),"товари")</f>
        <v>товари</v>
      </c>
      <c r="B1479" s="13" t="str">
        <f>IFERROR(__xludf.DUMMYFUNCTION("""COMPUTED_VALUE"""),"промислове обладнання та верстати")</f>
        <v>промислове обладнання та верстати</v>
      </c>
      <c r="C1479" s="15" t="str">
        <f>IFERROR(__xludf.DUMMYFUNCTION("""COMPUTED_VALUE"""),"верстати")</f>
        <v>верстати</v>
      </c>
      <c r="D1479" s="15" t="str">
        <f>IFERROR(__xludf.DUMMYFUNCTION("""COMPUTED_VALUE"""),"деревообробні верстати")</f>
        <v>деревообробні верстати</v>
      </c>
      <c r="E1479" s="15" t="str">
        <f>IFERROR(__xludf.DUMMYFUNCTION("""COMPUTED_VALUE"""),"чотиристоронні верстати")</f>
        <v>чотиристоронні верстати</v>
      </c>
      <c r="F1479" s="17">
        <f>IFERROR(__xludf.DUMMYFUNCTION("""COMPUTED_VALUE"""),4.0)</f>
        <v>4</v>
      </c>
      <c r="G1479" s="17">
        <f>IFERROR(__xludf.DUMMYFUNCTION("""COMPUTED_VALUE"""),143107.0)</f>
        <v>143107</v>
      </c>
      <c r="H1479" s="17" t="str">
        <f>IFERROR(__xludf.DUMMYFUNCTION("""COMPUTED_VALUE"""),"чотиристоронні верстати")</f>
        <v>чотиристоронні верстати</v>
      </c>
      <c r="I1479" s="18">
        <f>IFERROR(__xludf.DUMMYFUNCTION("""COMPUTED_VALUE"""),1.26)</f>
        <v>1.26</v>
      </c>
      <c r="J1479" s="18">
        <f>IFERROR(__xludf.DUMMYFUNCTION("""COMPUTED_VALUE"""),2.53)</f>
        <v>2.53</v>
      </c>
      <c r="K1479" s="18">
        <f>IFERROR(__xludf.DUMMYFUNCTION("""COMPUTED_VALUE"""),3.16)</f>
        <v>3.16</v>
      </c>
      <c r="L1479" s="18">
        <f>IFERROR(__xludf.DUMMYFUNCTION("""COMPUTED_VALUE"""),5.05)</f>
        <v>5.05</v>
      </c>
    </row>
    <row r="1480">
      <c r="A1480" s="13" t="str">
        <f>IFERROR(__xludf.DUMMYFUNCTION("""COMPUTED_VALUE"""),"товари")</f>
        <v>товари</v>
      </c>
      <c r="B1480" s="13" t="str">
        <f>IFERROR(__xludf.DUMMYFUNCTION("""COMPUTED_VALUE"""),"промислове обладнання та верстати")</f>
        <v>промислове обладнання та верстати</v>
      </c>
      <c r="C1480" s="15" t="str">
        <f>IFERROR(__xludf.DUMMYFUNCTION("""COMPUTED_VALUE"""),"промислове кліматичне обладнання")</f>
        <v>промислове кліматичне обладнання</v>
      </c>
      <c r="D1480" s="15" t="str">
        <f>IFERROR(__xludf.DUMMYFUNCTION("""COMPUTED_VALUE"""),"промислові кондиціонери")</f>
        <v>промислові кондиціонери</v>
      </c>
      <c r="E1480" s="15" t="str">
        <f>IFERROR(__xludf.DUMMYFUNCTION("""COMPUTED_VALUE"""),"шафові кондиціонери")</f>
        <v>шафові кондиціонери</v>
      </c>
      <c r="F1480" s="17">
        <f>IFERROR(__xludf.DUMMYFUNCTION("""COMPUTED_VALUE"""),4.0)</f>
        <v>4</v>
      </c>
      <c r="G1480" s="17">
        <f>IFERROR(__xludf.DUMMYFUNCTION("""COMPUTED_VALUE"""),1.4650203E7)</f>
        <v>14650203</v>
      </c>
      <c r="H1480" s="17" t="str">
        <f>IFERROR(__xludf.DUMMYFUNCTION("""COMPUTED_VALUE"""),"шафові кондиціонери")</f>
        <v>шафові кондиціонери</v>
      </c>
      <c r="I1480" s="18">
        <f>IFERROR(__xludf.DUMMYFUNCTION("""COMPUTED_VALUE"""),2.7)</f>
        <v>2.7</v>
      </c>
      <c r="J1480" s="18">
        <f>IFERROR(__xludf.DUMMYFUNCTION("""COMPUTED_VALUE"""),5.4)</f>
        <v>5.4</v>
      </c>
      <c r="K1480" s="18">
        <f>IFERROR(__xludf.DUMMYFUNCTION("""COMPUTED_VALUE"""),6.75)</f>
        <v>6.75</v>
      </c>
      <c r="L1480" s="18">
        <f>IFERROR(__xludf.DUMMYFUNCTION("""COMPUTED_VALUE"""),10.8)</f>
        <v>10.8</v>
      </c>
    </row>
    <row r="1481">
      <c r="A1481" s="13" t="str">
        <f>IFERROR(__xludf.DUMMYFUNCTION("""COMPUTED_VALUE"""),"товари")</f>
        <v>товари</v>
      </c>
      <c r="B1481" s="13" t="str">
        <f>IFERROR(__xludf.DUMMYFUNCTION("""COMPUTED_VALUE"""),"промислове обладнання та верстати")</f>
        <v>промислове обладнання та верстати</v>
      </c>
      <c r="C1481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481" s="15" t="str">
        <f>IFERROR(__xludf.DUMMYFUNCTION("""COMPUTED_VALUE"""),"гірниче обладнання")</f>
        <v>гірниче обладнання</v>
      </c>
      <c r="E1481" s="15" t="str">
        <f>IFERROR(__xludf.DUMMYFUNCTION("""COMPUTED_VALUE"""),"шахтна автоматика")</f>
        <v>шахтна автоматика</v>
      </c>
      <c r="F1481" s="17">
        <f>IFERROR(__xludf.DUMMYFUNCTION("""COMPUTED_VALUE"""),4.0)</f>
        <v>4</v>
      </c>
      <c r="G1481" s="17">
        <f>IFERROR(__xludf.DUMMYFUNCTION("""COMPUTED_VALUE"""),91502.0)</f>
        <v>91502</v>
      </c>
      <c r="H1481" s="17" t="str">
        <f>IFERROR(__xludf.DUMMYFUNCTION("""COMPUTED_VALUE"""),"шахтна автоматика")</f>
        <v>шахтна автоматика</v>
      </c>
      <c r="I1481" s="18">
        <f>IFERROR(__xludf.DUMMYFUNCTION("""COMPUTED_VALUE"""),1.98)</f>
        <v>1.98</v>
      </c>
      <c r="J1481" s="18">
        <f>IFERROR(__xludf.DUMMYFUNCTION("""COMPUTED_VALUE"""),3.96)</f>
        <v>3.96</v>
      </c>
      <c r="K1481" s="18">
        <f>IFERROR(__xludf.DUMMYFUNCTION("""COMPUTED_VALUE"""),4.95)</f>
        <v>4.95</v>
      </c>
      <c r="L1481" s="18">
        <f>IFERROR(__xludf.DUMMYFUNCTION("""COMPUTED_VALUE"""),7.93)</f>
        <v>7.93</v>
      </c>
    </row>
    <row r="1482">
      <c r="A1482" s="13" t="str">
        <f>IFERROR(__xludf.DUMMYFUNCTION("""COMPUTED_VALUE"""),"товари")</f>
        <v>товари</v>
      </c>
      <c r="B1482" s="13" t="str">
        <f>IFERROR(__xludf.DUMMYFUNCTION("""COMPUTED_VALUE"""),"промислове обладнання та верстати")</f>
        <v>промислове обладнання та верстати</v>
      </c>
      <c r="C1482" s="15" t="str">
        <f>IFERROR(__xludf.DUMMYFUNCTION("""COMPUTED_VALUE"""),"верстати")</f>
        <v>верстати</v>
      </c>
      <c r="D1482" s="15" t="str">
        <f>IFERROR(__xludf.DUMMYFUNCTION("""COMPUTED_VALUE"""),"металообробні верстати")</f>
        <v>металообробні верстати</v>
      </c>
      <c r="E1482" s="15" t="str">
        <f>IFERROR(__xludf.DUMMYFUNCTION("""COMPUTED_VALUE"""),"шліфувальні верстати по металу")</f>
        <v>шліфувальні верстати по металу</v>
      </c>
      <c r="F1482" s="17">
        <f>IFERROR(__xludf.DUMMYFUNCTION("""COMPUTED_VALUE"""),4.0)</f>
        <v>4</v>
      </c>
      <c r="G1482" s="17">
        <f>IFERROR(__xludf.DUMMYFUNCTION("""COMPUTED_VALUE"""),1.4209822E7)</f>
        <v>14209822</v>
      </c>
      <c r="H1482" s="17" t="str">
        <f>IFERROR(__xludf.DUMMYFUNCTION("""COMPUTED_VALUE"""),"шліфувальні верстати по металу")</f>
        <v>шліфувальні верстати по металу</v>
      </c>
      <c r="I1482" s="18">
        <f>IFERROR(__xludf.DUMMYFUNCTION("""COMPUTED_VALUE"""),2.07)</f>
        <v>2.07</v>
      </c>
      <c r="J1482" s="18">
        <f>IFERROR(__xludf.DUMMYFUNCTION("""COMPUTED_VALUE"""),4.14)</f>
        <v>4.14</v>
      </c>
      <c r="K1482" s="18">
        <f>IFERROR(__xludf.DUMMYFUNCTION("""COMPUTED_VALUE"""),5.17)</f>
        <v>5.17</v>
      </c>
      <c r="L1482" s="18">
        <f>IFERROR(__xludf.DUMMYFUNCTION("""COMPUTED_VALUE"""),8.28)</f>
        <v>8.28</v>
      </c>
    </row>
    <row r="1483">
      <c r="A1483" s="13" t="str">
        <f>IFERROR(__xludf.DUMMYFUNCTION("""COMPUTED_VALUE"""),"товари")</f>
        <v>товари</v>
      </c>
      <c r="B1483" s="13" t="str">
        <f>IFERROR(__xludf.DUMMYFUNCTION("""COMPUTED_VALUE"""),"промислове обладнання та верстати")</f>
        <v>промислове обладнання та верстати</v>
      </c>
      <c r="C1483" s="15" t="str">
        <f>IFERROR(__xludf.DUMMYFUNCTION("""COMPUTED_VALUE"""),"виробниче обладнання")</f>
        <v>виробниче обладнання</v>
      </c>
      <c r="D1483" s="15" t="str">
        <f>IFERROR(__xludf.DUMMYFUNCTION("""COMPUTED_VALUE"""),"ковальсько-пресове обладнання")</f>
        <v>ковальсько-пресове обладнання</v>
      </c>
      <c r="E1483" s="15" t="str">
        <f>IFERROR(__xludf.DUMMYFUNCTION("""COMPUTED_VALUE"""),"штампувальне обладнання, преси")</f>
        <v>штампувальне обладнання, преси</v>
      </c>
      <c r="F1483" s="17">
        <f>IFERROR(__xludf.DUMMYFUNCTION("""COMPUTED_VALUE"""),4.0)</f>
        <v>4</v>
      </c>
      <c r="G1483" s="17">
        <f>IFERROR(__xludf.DUMMYFUNCTION("""COMPUTED_VALUE"""),1.4260602E7)</f>
        <v>14260602</v>
      </c>
      <c r="H1483" s="17" t="str">
        <f>IFERROR(__xludf.DUMMYFUNCTION("""COMPUTED_VALUE"""),"штампувальне обладнання, преси")</f>
        <v>штампувальне обладнання, преси</v>
      </c>
      <c r="I1483" s="18">
        <f>IFERROR(__xludf.DUMMYFUNCTION("""COMPUTED_VALUE"""),1.26)</f>
        <v>1.26</v>
      </c>
      <c r="J1483" s="18">
        <f>IFERROR(__xludf.DUMMYFUNCTION("""COMPUTED_VALUE"""),2.53)</f>
        <v>2.53</v>
      </c>
      <c r="K1483" s="18">
        <f>IFERROR(__xludf.DUMMYFUNCTION("""COMPUTED_VALUE"""),3.16)</f>
        <v>3.16</v>
      </c>
      <c r="L1483" s="18">
        <f>IFERROR(__xludf.DUMMYFUNCTION("""COMPUTED_VALUE"""),5.05)</f>
        <v>5.05</v>
      </c>
    </row>
    <row r="1484">
      <c r="A1484" s="13" t="str">
        <f>IFERROR(__xludf.DUMMYFUNCTION("""COMPUTED_VALUE"""),"послуги")</f>
        <v>послуги</v>
      </c>
      <c r="B1484" s="13" t="str">
        <f>IFERROR(__xludf.DUMMYFUNCTION("""COMPUTED_VALUE"""),"промислові послуги")</f>
        <v>промислові послуги</v>
      </c>
      <c r="C1484" s="15" t="str">
        <f>IFERROR(__xludf.DUMMYFUNCTION("""COMPUTED_VALUE"""),"виробництво гумотехнічних виробів")</f>
        <v>виробництво гумотехнічних виробів</v>
      </c>
      <c r="D1484" s="15" t="str">
        <f>IFERROR(__xludf.DUMMYFUNCTION("""COMPUTED_VALUE"""),"виробництво гумотехнічних виробів")</f>
        <v>виробництво гумотехнічних виробів</v>
      </c>
      <c r="E1484" s="15" t="str">
        <f>IFERROR(__xludf.DUMMYFUNCTION("""COMPUTED_VALUE"""),"виробництво гумотехнічних виробів")</f>
        <v>виробництво гумотехнічних виробів</v>
      </c>
      <c r="F1484" s="17">
        <f>IFERROR(__xludf.DUMMYFUNCTION("""COMPUTED_VALUE"""),2.0)</f>
        <v>2</v>
      </c>
      <c r="G1484" s="17">
        <f>IFERROR(__xludf.DUMMYFUNCTION("""COMPUTED_VALUE"""),282090.0)</f>
        <v>282090</v>
      </c>
      <c r="H1484" s="17" t="str">
        <f>IFERROR(__xludf.DUMMYFUNCTION("""COMPUTED_VALUE"""),"виробництво гумотехнічних виробів")</f>
        <v>виробництво гумотехнічних виробів</v>
      </c>
      <c r="I1484" s="18">
        <f>IFERROR(__xludf.DUMMYFUNCTION("""COMPUTED_VALUE"""),0.53)</f>
        <v>0.53</v>
      </c>
      <c r="J1484" s="18">
        <f>IFERROR(__xludf.DUMMYFUNCTION("""COMPUTED_VALUE"""),1.05)</f>
        <v>1.05</v>
      </c>
      <c r="K1484" s="18">
        <f>IFERROR(__xludf.DUMMYFUNCTION("""COMPUTED_VALUE"""),1.31)</f>
        <v>1.31</v>
      </c>
      <c r="L1484" s="18">
        <f>IFERROR(__xludf.DUMMYFUNCTION("""COMPUTED_VALUE"""),2.1)</f>
        <v>2.1</v>
      </c>
    </row>
    <row r="1485">
      <c r="A1485" s="13" t="str">
        <f>IFERROR(__xludf.DUMMYFUNCTION("""COMPUTED_VALUE"""),"послуги")</f>
        <v>послуги</v>
      </c>
      <c r="B1485" s="13" t="str">
        <f>IFERROR(__xludf.DUMMYFUNCTION("""COMPUTED_VALUE"""),"промислові послуги")</f>
        <v>промислові послуги</v>
      </c>
      <c r="C1485" s="15" t="str">
        <f>IFERROR(__xludf.DUMMYFUNCTION("""COMPUTED_VALUE"""),"гравірувальні роботи")</f>
        <v>гравірувальні роботи</v>
      </c>
      <c r="D1485" s="15" t="str">
        <f>IFERROR(__xludf.DUMMYFUNCTION("""COMPUTED_VALUE"""),"гравірувальні роботи")</f>
        <v>гравірувальні роботи</v>
      </c>
      <c r="E1485" s="15" t="str">
        <f>IFERROR(__xludf.DUMMYFUNCTION("""COMPUTED_VALUE"""),"гравірувальні роботи")</f>
        <v>гравірувальні роботи</v>
      </c>
      <c r="F1485" s="17">
        <f>IFERROR(__xludf.DUMMYFUNCTION("""COMPUTED_VALUE"""),2.0)</f>
        <v>2</v>
      </c>
      <c r="G1485" s="17">
        <f>IFERROR(__xludf.DUMMYFUNCTION("""COMPUTED_VALUE"""),282034.0)</f>
        <v>282034</v>
      </c>
      <c r="H1485" s="17" t="str">
        <f>IFERROR(__xludf.DUMMYFUNCTION("""COMPUTED_VALUE"""),"гравірувальні роботи")</f>
        <v>гравірувальні роботи</v>
      </c>
      <c r="I1485" s="18">
        <f>IFERROR(__xludf.DUMMYFUNCTION("""COMPUTED_VALUE"""),1.66)</f>
        <v>1.66</v>
      </c>
      <c r="J1485" s="18">
        <f>IFERROR(__xludf.DUMMYFUNCTION("""COMPUTED_VALUE"""),3.33)</f>
        <v>3.33</v>
      </c>
      <c r="K1485" s="18">
        <f>IFERROR(__xludf.DUMMYFUNCTION("""COMPUTED_VALUE"""),4.16)</f>
        <v>4.16</v>
      </c>
      <c r="L1485" s="18">
        <f>IFERROR(__xludf.DUMMYFUNCTION("""COMPUTED_VALUE"""),6.65)</f>
        <v>6.65</v>
      </c>
    </row>
    <row r="1486">
      <c r="A1486" s="13" t="str">
        <f>IFERROR(__xludf.DUMMYFUNCTION("""COMPUTED_VALUE"""),"послуги")</f>
        <v>послуги</v>
      </c>
      <c r="B1486" s="13" t="str">
        <f>IFERROR(__xludf.DUMMYFUNCTION("""COMPUTED_VALUE"""),"промислові послуги")</f>
        <v>промислові послуги</v>
      </c>
      <c r="C1486" s="15" t="str">
        <f>IFERROR(__xludf.DUMMYFUNCTION("""COMPUTED_VALUE"""),"послуги деревообробки")</f>
        <v>послуги деревообробки</v>
      </c>
      <c r="D1486" s="15" t="str">
        <f>IFERROR(__xludf.DUMMYFUNCTION("""COMPUTED_VALUE"""),"послуги деревообробки")</f>
        <v>послуги деревообробки</v>
      </c>
      <c r="E1486" s="15" t="str">
        <f>IFERROR(__xludf.DUMMYFUNCTION("""COMPUTED_VALUE"""),"послуги деревообробки")</f>
        <v>послуги деревообробки</v>
      </c>
      <c r="F1486" s="17">
        <f>IFERROR(__xludf.DUMMYFUNCTION("""COMPUTED_VALUE"""),2.0)</f>
        <v>2</v>
      </c>
      <c r="G1486" s="17">
        <f>IFERROR(__xludf.DUMMYFUNCTION("""COMPUTED_VALUE"""),282031.0)</f>
        <v>282031</v>
      </c>
      <c r="H1486" s="17" t="str">
        <f>IFERROR(__xludf.DUMMYFUNCTION("""COMPUTED_VALUE"""),"послуги деревообробки")</f>
        <v>послуги деревообробки</v>
      </c>
      <c r="I1486" s="18">
        <f>IFERROR(__xludf.DUMMYFUNCTION("""COMPUTED_VALUE"""),1.35)</f>
        <v>1.35</v>
      </c>
      <c r="J1486" s="18">
        <f>IFERROR(__xludf.DUMMYFUNCTION("""COMPUTED_VALUE"""),2.7)</f>
        <v>2.7</v>
      </c>
      <c r="K1486" s="18">
        <f>IFERROR(__xludf.DUMMYFUNCTION("""COMPUTED_VALUE"""),3.38)</f>
        <v>3.38</v>
      </c>
      <c r="L1486" s="18">
        <f>IFERROR(__xludf.DUMMYFUNCTION("""COMPUTED_VALUE"""),5.4)</f>
        <v>5.4</v>
      </c>
    </row>
    <row r="1487">
      <c r="A1487" s="13" t="str">
        <f>IFERROR(__xludf.DUMMYFUNCTION("""COMPUTED_VALUE"""),"послуги")</f>
        <v>послуги</v>
      </c>
      <c r="B1487" s="13" t="str">
        <f>IFERROR(__xludf.DUMMYFUNCTION("""COMPUTED_VALUE"""),"промислові послуги")</f>
        <v>промислові послуги</v>
      </c>
      <c r="C1487" s="15" t="str">
        <f>IFERROR(__xludf.DUMMYFUNCTION("""COMPUTED_VALUE"""),"послуги з обробки каменю")</f>
        <v>послуги з обробки каменю</v>
      </c>
      <c r="D1487" s="15" t="str">
        <f>IFERROR(__xludf.DUMMYFUNCTION("""COMPUTED_VALUE"""),"послуги з обробки каменю")</f>
        <v>послуги з обробки каменю</v>
      </c>
      <c r="E1487" s="15" t="str">
        <f>IFERROR(__xludf.DUMMYFUNCTION("""COMPUTED_VALUE"""),"послуги з обробки каменю")</f>
        <v>послуги з обробки каменю</v>
      </c>
      <c r="F1487" s="17">
        <f>IFERROR(__xludf.DUMMYFUNCTION("""COMPUTED_VALUE"""),2.0)</f>
        <v>2</v>
      </c>
      <c r="G1487" s="17">
        <f>IFERROR(__xludf.DUMMYFUNCTION("""COMPUTED_VALUE"""),284220.0)</f>
        <v>284220</v>
      </c>
      <c r="H1487" s="17" t="str">
        <f>IFERROR(__xludf.DUMMYFUNCTION("""COMPUTED_VALUE"""),"послуги з обробки каменю")</f>
        <v>послуги з обробки каменю</v>
      </c>
      <c r="I1487" s="18">
        <f>IFERROR(__xludf.DUMMYFUNCTION("""COMPUTED_VALUE"""),1.13)</f>
        <v>1.13</v>
      </c>
      <c r="J1487" s="18">
        <f>IFERROR(__xludf.DUMMYFUNCTION("""COMPUTED_VALUE"""),2.25)</f>
        <v>2.25</v>
      </c>
      <c r="K1487" s="18">
        <f>IFERROR(__xludf.DUMMYFUNCTION("""COMPUTED_VALUE"""),2.81)</f>
        <v>2.81</v>
      </c>
      <c r="L1487" s="18">
        <f>IFERROR(__xludf.DUMMYFUNCTION("""COMPUTED_VALUE"""),4.5)</f>
        <v>4.5</v>
      </c>
    </row>
    <row r="1488">
      <c r="A1488" s="13" t="str">
        <f>IFERROR(__xludf.DUMMYFUNCTION("""COMPUTED_VALUE"""),"послуги")</f>
        <v>послуги</v>
      </c>
      <c r="B1488" s="13" t="str">
        <f>IFERROR(__xludf.DUMMYFUNCTION("""COMPUTED_VALUE"""),"промислові послуги")</f>
        <v>промислові послуги</v>
      </c>
      <c r="C1488" s="15" t="str">
        <f>IFERROR(__xludf.DUMMYFUNCTION("""COMPUTED_VALUE"""),"послуги обробки композитних матеріалів")</f>
        <v>послуги обробки композитних матеріалів</v>
      </c>
      <c r="D1488" s="15" t="str">
        <f>IFERROR(__xludf.DUMMYFUNCTION("""COMPUTED_VALUE"""),"послуги обробки композитних матеріалів")</f>
        <v>послуги обробки композитних матеріалів</v>
      </c>
      <c r="E1488" s="15" t="str">
        <f>IFERROR(__xludf.DUMMYFUNCTION("""COMPUTED_VALUE"""),"послуги обробки композитних матеріалів")</f>
        <v>послуги обробки композитних матеріалів</v>
      </c>
      <c r="F1488" s="17">
        <f>IFERROR(__xludf.DUMMYFUNCTION("""COMPUTED_VALUE"""),2.0)</f>
        <v>2</v>
      </c>
      <c r="G1488" s="17">
        <f>IFERROR(__xludf.DUMMYFUNCTION("""COMPUTED_VALUE"""),282041.0)</f>
        <v>282041</v>
      </c>
      <c r="H1488" s="17" t="str">
        <f>IFERROR(__xludf.DUMMYFUNCTION("""COMPUTED_VALUE"""),"послуги обробки композитних матеріалів")</f>
        <v>послуги обробки композитних матеріалів</v>
      </c>
      <c r="I1488" s="18">
        <f>IFERROR(__xludf.DUMMYFUNCTION("""COMPUTED_VALUE"""),1.08)</f>
        <v>1.08</v>
      </c>
      <c r="J1488" s="18">
        <f>IFERROR(__xludf.DUMMYFUNCTION("""COMPUTED_VALUE"""),2.16)</f>
        <v>2.16</v>
      </c>
      <c r="K1488" s="18">
        <f>IFERROR(__xludf.DUMMYFUNCTION("""COMPUTED_VALUE"""),2.7)</f>
        <v>2.7</v>
      </c>
      <c r="L1488" s="18">
        <f>IFERROR(__xludf.DUMMYFUNCTION("""COMPUTED_VALUE"""),4.33)</f>
        <v>4.33</v>
      </c>
    </row>
    <row r="1489">
      <c r="A1489" s="13" t="str">
        <f>IFERROR(__xludf.DUMMYFUNCTION("""COMPUTED_VALUE"""),"послуги")</f>
        <v>послуги</v>
      </c>
      <c r="B1489" s="13" t="str">
        <f>IFERROR(__xludf.DUMMYFUNCTION("""COMPUTED_VALUE"""),"промислові послуги")</f>
        <v>промислові послуги</v>
      </c>
      <c r="C1489" s="15" t="str">
        <f>IFERROR(__xludf.DUMMYFUNCTION("""COMPUTED_VALUE"""),"послуги обробки пластмас")</f>
        <v>послуги обробки пластмас</v>
      </c>
      <c r="D1489" s="15" t="str">
        <f>IFERROR(__xludf.DUMMYFUNCTION("""COMPUTED_VALUE"""),"послуги обробки пластмас")</f>
        <v>послуги обробки пластмас</v>
      </c>
      <c r="E1489" s="15" t="str">
        <f>IFERROR(__xludf.DUMMYFUNCTION("""COMPUTED_VALUE"""),"послуги обробки пластмас")</f>
        <v>послуги обробки пластмас</v>
      </c>
      <c r="F1489" s="17">
        <f>IFERROR(__xludf.DUMMYFUNCTION("""COMPUTED_VALUE"""),2.0)</f>
        <v>2</v>
      </c>
      <c r="G1489" s="17">
        <f>IFERROR(__xludf.DUMMYFUNCTION("""COMPUTED_VALUE"""),282039.0)</f>
        <v>282039</v>
      </c>
      <c r="H1489" s="17" t="str">
        <f>IFERROR(__xludf.DUMMYFUNCTION("""COMPUTED_VALUE"""),"послуги обробки пластмас")</f>
        <v>послуги обробки пластмас</v>
      </c>
      <c r="I1489" s="18">
        <f>IFERROR(__xludf.DUMMYFUNCTION("""COMPUTED_VALUE"""),1.53)</f>
        <v>1.53</v>
      </c>
      <c r="J1489" s="18">
        <f>IFERROR(__xludf.DUMMYFUNCTION("""COMPUTED_VALUE"""),3.06)</f>
        <v>3.06</v>
      </c>
      <c r="K1489" s="18">
        <f>IFERROR(__xludf.DUMMYFUNCTION("""COMPUTED_VALUE"""),3.83)</f>
        <v>3.83</v>
      </c>
      <c r="L1489" s="18">
        <f>IFERROR(__xludf.DUMMYFUNCTION("""COMPUTED_VALUE"""),6.13)</f>
        <v>6.13</v>
      </c>
    </row>
    <row r="1490">
      <c r="A1490" s="13" t="str">
        <f>IFERROR(__xludf.DUMMYFUNCTION("""COMPUTED_VALUE"""),"послуги")</f>
        <v>послуги</v>
      </c>
      <c r="B1490" s="13" t="str">
        <f>IFERROR(__xludf.DUMMYFUNCTION("""COMPUTED_VALUE"""),"промислові послуги")</f>
        <v>промислові послуги</v>
      </c>
      <c r="C1490" s="15" t="str">
        <f>IFERROR(__xludf.DUMMYFUNCTION("""COMPUTED_VALUE"""),"послуги обробки скла")</f>
        <v>послуги обробки скла</v>
      </c>
      <c r="D1490" s="15" t="str">
        <f>IFERROR(__xludf.DUMMYFUNCTION("""COMPUTED_VALUE"""),"послуги обробки скла")</f>
        <v>послуги обробки скла</v>
      </c>
      <c r="E1490" s="15" t="str">
        <f>IFERROR(__xludf.DUMMYFUNCTION("""COMPUTED_VALUE"""),"послуги обробки скла")</f>
        <v>послуги обробки скла</v>
      </c>
      <c r="F1490" s="17">
        <f>IFERROR(__xludf.DUMMYFUNCTION("""COMPUTED_VALUE"""),2.0)</f>
        <v>2</v>
      </c>
      <c r="G1490" s="17">
        <f>IFERROR(__xludf.DUMMYFUNCTION("""COMPUTED_VALUE"""),282067.0)</f>
        <v>282067</v>
      </c>
      <c r="H1490" s="17" t="str">
        <f>IFERROR(__xludf.DUMMYFUNCTION("""COMPUTED_VALUE"""),"послуги обробки скла")</f>
        <v>послуги обробки скла</v>
      </c>
      <c r="I1490" s="18">
        <f>IFERROR(__xludf.DUMMYFUNCTION("""COMPUTED_VALUE"""),0.9)</f>
        <v>0.9</v>
      </c>
      <c r="J1490" s="18">
        <f>IFERROR(__xludf.DUMMYFUNCTION("""COMPUTED_VALUE"""),1.8)</f>
        <v>1.8</v>
      </c>
      <c r="K1490" s="18">
        <f>IFERROR(__xludf.DUMMYFUNCTION("""COMPUTED_VALUE"""),2.25)</f>
        <v>2.25</v>
      </c>
      <c r="L1490" s="18">
        <f>IFERROR(__xludf.DUMMYFUNCTION("""COMPUTED_VALUE"""),3.6)</f>
        <v>3.6</v>
      </c>
    </row>
    <row r="1491">
      <c r="A1491" s="13" t="str">
        <f>IFERROR(__xludf.DUMMYFUNCTION("""COMPUTED_VALUE"""),"послуги")</f>
        <v>послуги</v>
      </c>
      <c r="B1491" s="13" t="str">
        <f>IFERROR(__xludf.DUMMYFUNCTION("""COMPUTED_VALUE"""),"промислові послуги")</f>
        <v>промислові послуги</v>
      </c>
      <c r="C1491" s="15" t="str">
        <f>IFERROR(__xludf.DUMMYFUNCTION("""COMPUTED_VALUE"""),"послуги підприємств харчової промисловості")</f>
        <v>послуги підприємств харчової промисловості</v>
      </c>
      <c r="D1491" s="15" t="str">
        <f>IFERROR(__xludf.DUMMYFUNCTION("""COMPUTED_VALUE"""),"послуги підприємств харчової промисловості")</f>
        <v>послуги підприємств харчової промисловості</v>
      </c>
      <c r="E1491" s="15" t="str">
        <f>IFERROR(__xludf.DUMMYFUNCTION("""COMPUTED_VALUE"""),"послуги підприємств харчової промисловості")</f>
        <v>послуги підприємств харчової промисловості</v>
      </c>
      <c r="F1491" s="17">
        <f>IFERROR(__xludf.DUMMYFUNCTION("""COMPUTED_VALUE"""),2.0)</f>
        <v>2</v>
      </c>
      <c r="G1491" s="17">
        <f>IFERROR(__xludf.DUMMYFUNCTION("""COMPUTED_VALUE"""),282071.0)</f>
        <v>282071</v>
      </c>
      <c r="H1491" s="17" t="str">
        <f>IFERROR(__xludf.DUMMYFUNCTION("""COMPUTED_VALUE"""),"послуги підприємств харчової промисловості")</f>
        <v>послуги підприємств харчової промисловості</v>
      </c>
      <c r="I1491" s="18">
        <f>IFERROR(__xludf.DUMMYFUNCTION("""COMPUTED_VALUE"""),0.86)</f>
        <v>0.86</v>
      </c>
      <c r="J1491" s="18">
        <f>IFERROR(__xludf.DUMMYFUNCTION("""COMPUTED_VALUE"""),1.71)</f>
        <v>1.71</v>
      </c>
      <c r="K1491" s="18">
        <f>IFERROR(__xludf.DUMMYFUNCTION("""COMPUTED_VALUE"""),2.14)</f>
        <v>2.14</v>
      </c>
      <c r="L1491" s="18">
        <f>IFERROR(__xludf.DUMMYFUNCTION("""COMPUTED_VALUE"""),3.43)</f>
        <v>3.43</v>
      </c>
    </row>
    <row r="1492">
      <c r="A1492" s="13" t="str">
        <f>IFERROR(__xludf.DUMMYFUNCTION("""COMPUTED_VALUE"""),"послуги")</f>
        <v>послуги</v>
      </c>
      <c r="B1492" s="13" t="str">
        <f>IFERROR(__xludf.DUMMYFUNCTION("""COMPUTED_VALUE"""),"промислові послуги")</f>
        <v>промислові послуги</v>
      </c>
      <c r="C1492" s="15" t="str">
        <f>IFERROR(__xludf.DUMMYFUNCTION("""COMPUTED_VALUE"""),"послуги піскоструминної і гідроструменевої обробки поверхонь")</f>
        <v>послуги піскоструминної і гідроструменевої обробки поверхонь</v>
      </c>
      <c r="D1492" s="15" t="str">
        <f>IFERROR(__xludf.DUMMYFUNCTION("""COMPUTED_VALUE"""),"послуги піскоструминної і гідроструменевої обробки поверхонь")</f>
        <v>послуги піскоструминної і гідроструменевої обробки поверхонь</v>
      </c>
      <c r="E1492" s="15" t="str">
        <f>IFERROR(__xludf.DUMMYFUNCTION("""COMPUTED_VALUE"""),"послуги піскоструминної і гідроструменевої обробки поверхонь")</f>
        <v>послуги піскоструминної і гідроструменевої обробки поверхонь</v>
      </c>
      <c r="F1492" s="17">
        <f>IFERROR(__xludf.DUMMYFUNCTION("""COMPUTED_VALUE"""),2.0)</f>
        <v>2</v>
      </c>
      <c r="G1492" s="17">
        <f>IFERROR(__xludf.DUMMYFUNCTION("""COMPUTED_VALUE"""),280259.0)</f>
        <v>280259</v>
      </c>
      <c r="H1492" s="17" t="str">
        <f>IFERROR(__xludf.DUMMYFUNCTION("""COMPUTED_VALUE"""),"послуги піскоструминної і гідроструменевої обробки поверхонь")</f>
        <v>послуги піскоструминної і гідроструменевої обробки поверхонь</v>
      </c>
      <c r="I1492" s="18">
        <f>IFERROR(__xludf.DUMMYFUNCTION("""COMPUTED_VALUE"""),2.21)</f>
        <v>2.21</v>
      </c>
      <c r="J1492" s="18">
        <f>IFERROR(__xludf.DUMMYFUNCTION("""COMPUTED_VALUE"""),4.41)</f>
        <v>4.41</v>
      </c>
      <c r="K1492" s="18">
        <f>IFERROR(__xludf.DUMMYFUNCTION("""COMPUTED_VALUE"""),5.52)</f>
        <v>5.52</v>
      </c>
      <c r="L1492" s="18">
        <f>IFERROR(__xludf.DUMMYFUNCTION("""COMPUTED_VALUE"""),8.83)</f>
        <v>8.83</v>
      </c>
    </row>
    <row r="1493">
      <c r="A1493" s="13" t="str">
        <f>IFERROR(__xludf.DUMMYFUNCTION("""COMPUTED_VALUE"""),"послуги")</f>
        <v>послуги</v>
      </c>
      <c r="B1493" s="13" t="str">
        <f>IFERROR(__xludf.DUMMYFUNCTION("""COMPUTED_VALUE"""),"промислові послуги")</f>
        <v>промислові послуги</v>
      </c>
      <c r="C1493" s="15" t="str">
        <f>IFERROR(__xludf.DUMMYFUNCTION("""COMPUTED_VALUE"""),"токарно-фрезерні роботи по металу")</f>
        <v>токарно-фрезерні роботи по металу</v>
      </c>
      <c r="D1493" s="15" t="str">
        <f>IFERROR(__xludf.DUMMYFUNCTION("""COMPUTED_VALUE"""),"токарно-фрезерні роботи по металу")</f>
        <v>токарно-фрезерні роботи по металу</v>
      </c>
      <c r="E1493" s="15" t="str">
        <f>IFERROR(__xludf.DUMMYFUNCTION("""COMPUTED_VALUE"""),"токарно-фрезерні роботи по металу")</f>
        <v>токарно-фрезерні роботи по металу</v>
      </c>
      <c r="F1493" s="17">
        <f>IFERROR(__xludf.DUMMYFUNCTION("""COMPUTED_VALUE"""),2.0)</f>
        <v>2</v>
      </c>
      <c r="G1493" s="17">
        <f>IFERROR(__xludf.DUMMYFUNCTION("""COMPUTED_VALUE"""),282012.0)</f>
        <v>282012</v>
      </c>
      <c r="H1493" s="17" t="str">
        <f>IFERROR(__xludf.DUMMYFUNCTION("""COMPUTED_VALUE"""),"токарно-фрезерні роботи по металу")</f>
        <v>токарно-фрезерні роботи по металу</v>
      </c>
      <c r="I1493" s="18">
        <f>IFERROR(__xludf.DUMMYFUNCTION("""COMPUTED_VALUE"""),2.7)</f>
        <v>2.7</v>
      </c>
      <c r="J1493" s="18">
        <f>IFERROR(__xludf.DUMMYFUNCTION("""COMPUTED_VALUE"""),5.4)</f>
        <v>5.4</v>
      </c>
      <c r="K1493" s="18">
        <f>IFERROR(__xludf.DUMMYFUNCTION("""COMPUTED_VALUE"""),6.75)</f>
        <v>6.75</v>
      </c>
      <c r="L1493" s="18">
        <f>IFERROR(__xludf.DUMMYFUNCTION("""COMPUTED_VALUE"""),10.8)</f>
        <v>10.8</v>
      </c>
    </row>
    <row r="1494">
      <c r="A1494" s="13" t="str">
        <f>IFERROR(__xludf.DUMMYFUNCTION("""COMPUTED_VALUE"""),"послуги")</f>
        <v>послуги</v>
      </c>
      <c r="B1494" s="13" t="str">
        <f>IFERROR(__xludf.DUMMYFUNCTION("""COMPUTED_VALUE"""),"реклама, маркетинг, pr")</f>
        <v>реклама, маркетинг, pr</v>
      </c>
      <c r="C1494" s="15" t="str">
        <f>IFERROR(__xludf.DUMMYFUNCTION("""COMPUTED_VALUE"""),"копірайтинг і рерайтинг")</f>
        <v>копірайтинг і рерайтинг</v>
      </c>
      <c r="D1494" s="15" t="str">
        <f>IFERROR(__xludf.DUMMYFUNCTION("""COMPUTED_VALUE"""),"копірайтинг і рерайтинг")</f>
        <v>копірайтинг і рерайтинг</v>
      </c>
      <c r="E1494" s="15" t="str">
        <f>IFERROR(__xludf.DUMMYFUNCTION("""COMPUTED_VALUE"""),"копірайтинг і рерайтинг")</f>
        <v>копірайтинг і рерайтинг</v>
      </c>
      <c r="F1494" s="17">
        <f>IFERROR(__xludf.DUMMYFUNCTION("""COMPUTED_VALUE"""),2.0)</f>
        <v>2</v>
      </c>
      <c r="G1494" s="17">
        <f>IFERROR(__xludf.DUMMYFUNCTION("""COMPUTED_VALUE"""),281964.0)</f>
        <v>281964</v>
      </c>
      <c r="H1494" s="17" t="str">
        <f>IFERROR(__xludf.DUMMYFUNCTION("""COMPUTED_VALUE"""),"копірайтинг і рерайтинг")</f>
        <v>копірайтинг і рерайтинг</v>
      </c>
      <c r="I1494" s="18">
        <f>IFERROR(__xludf.DUMMYFUNCTION("""COMPUTED_VALUE"""),1.31)</f>
        <v>1.31</v>
      </c>
      <c r="J1494" s="18">
        <f>IFERROR(__xludf.DUMMYFUNCTION("""COMPUTED_VALUE"""),2.61)</f>
        <v>2.61</v>
      </c>
      <c r="K1494" s="18">
        <f>IFERROR(__xludf.DUMMYFUNCTION("""COMPUTED_VALUE"""),3.27)</f>
        <v>3.27</v>
      </c>
      <c r="L1494" s="18">
        <f>IFERROR(__xludf.DUMMYFUNCTION("""COMPUTED_VALUE"""),5.23)</f>
        <v>5.23</v>
      </c>
    </row>
    <row r="1495">
      <c r="A1495" s="13" t="str">
        <f>IFERROR(__xludf.DUMMYFUNCTION("""COMPUTED_VALUE"""),"послуги")</f>
        <v>послуги</v>
      </c>
      <c r="B1495" s="13" t="str">
        <f>IFERROR(__xludf.DUMMYFUNCTION("""COMPUTED_VALUE"""),"реклама, маркетинг, pr")</f>
        <v>реклама, маркетинг, pr</v>
      </c>
      <c r="C1495" s="15" t="str">
        <f>IFERROR(__xludf.DUMMYFUNCTION("""COMPUTED_VALUE"""),"рекламні послуги, загальне")</f>
        <v>рекламні послуги, загальне</v>
      </c>
      <c r="D1495" s="15" t="str">
        <f>IFERROR(__xludf.DUMMYFUNCTION("""COMPUTED_VALUE"""),"рекламні послуги, загальне")</f>
        <v>рекламні послуги, загальне</v>
      </c>
      <c r="E1495" s="15" t="str">
        <f>IFERROR(__xludf.DUMMYFUNCTION("""COMPUTED_VALUE"""),"рекламні послуги, загальне")</f>
        <v>рекламні послуги, загальне</v>
      </c>
      <c r="F1495" s="17">
        <f>IFERROR(__xludf.DUMMYFUNCTION("""COMPUTED_VALUE"""),2.0)</f>
        <v>2</v>
      </c>
      <c r="G1495" s="17">
        <f>IFERROR(__xludf.DUMMYFUNCTION("""COMPUTED_VALUE"""),281918.0)</f>
        <v>281918</v>
      </c>
      <c r="H1495" s="17" t="str">
        <f>IFERROR(__xludf.DUMMYFUNCTION("""COMPUTED_VALUE"""),"рекламні послуги, загальне")</f>
        <v>рекламні послуги, загальне</v>
      </c>
      <c r="I1495" s="18">
        <f>IFERROR(__xludf.DUMMYFUNCTION("""COMPUTED_VALUE"""),2.16)</f>
        <v>2.16</v>
      </c>
      <c r="J1495" s="18">
        <f>IFERROR(__xludf.DUMMYFUNCTION("""COMPUTED_VALUE"""),4.33)</f>
        <v>4.33</v>
      </c>
      <c r="K1495" s="18">
        <f>IFERROR(__xludf.DUMMYFUNCTION("""COMPUTED_VALUE"""),5.41)</f>
        <v>5.41</v>
      </c>
      <c r="L1495" s="18">
        <f>IFERROR(__xludf.DUMMYFUNCTION("""COMPUTED_VALUE"""),8.65)</f>
        <v>8.65</v>
      </c>
    </row>
    <row r="1496">
      <c r="A1496" s="13" t="str">
        <f>IFERROR(__xludf.DUMMYFUNCTION("""COMPUTED_VALUE"""),"послуги")</f>
        <v>послуги</v>
      </c>
      <c r="B1496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496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496" s="15" t="str">
        <f>IFERROR(__xludf.DUMMYFUNCTION("""COMPUTED_VALUE"""),"діагностика та ремонт двигуна")</f>
        <v>діагностика та ремонт двигуна</v>
      </c>
      <c r="E1496" s="15" t="str">
        <f>IFERROR(__xludf.DUMMYFUNCTION("""COMPUTED_VALUE"""),"діагностика та ремонт двигуна")</f>
        <v>діагностика та ремонт двигуна</v>
      </c>
      <c r="F1496" s="17">
        <f>IFERROR(__xludf.DUMMYFUNCTION("""COMPUTED_VALUE"""),3.0)</f>
        <v>3</v>
      </c>
      <c r="G1496" s="17">
        <f>IFERROR(__xludf.DUMMYFUNCTION("""COMPUTED_VALUE"""),282310.0)</f>
        <v>282310</v>
      </c>
      <c r="H1496" s="17" t="str">
        <f>IFERROR(__xludf.DUMMYFUNCTION("""COMPUTED_VALUE"""),"діагностика та ремонт двигуна")</f>
        <v>діагностика та ремонт двигуна</v>
      </c>
      <c r="I1496" s="18">
        <f>IFERROR(__xludf.DUMMYFUNCTION("""COMPUTED_VALUE"""),1.39)</f>
        <v>1.39</v>
      </c>
      <c r="J1496" s="18">
        <f>IFERROR(__xludf.DUMMYFUNCTION("""COMPUTED_VALUE"""),2.79)</f>
        <v>2.79</v>
      </c>
      <c r="K1496" s="18">
        <f>IFERROR(__xludf.DUMMYFUNCTION("""COMPUTED_VALUE"""),3.48)</f>
        <v>3.48</v>
      </c>
      <c r="L1496" s="18">
        <f>IFERROR(__xludf.DUMMYFUNCTION("""COMPUTED_VALUE"""),5.58)</f>
        <v>5.58</v>
      </c>
    </row>
    <row r="1497">
      <c r="A1497" s="13" t="str">
        <f>IFERROR(__xludf.DUMMYFUNCTION("""COMPUTED_VALUE"""),"послуги")</f>
        <v>послуги</v>
      </c>
      <c r="B1497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497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497" s="15" t="str">
        <f>IFERROR(__xludf.DUMMYFUNCTION("""COMPUTED_VALUE"""),"діагностика та ремонт ходової")</f>
        <v>діагностика та ремонт ходової</v>
      </c>
      <c r="E1497" s="15" t="str">
        <f>IFERROR(__xludf.DUMMYFUNCTION("""COMPUTED_VALUE"""),"діагностика та ремонт ходової")</f>
        <v>діагностика та ремонт ходової</v>
      </c>
      <c r="F1497" s="17">
        <f>IFERROR(__xludf.DUMMYFUNCTION("""COMPUTED_VALUE"""),3.0)</f>
        <v>3</v>
      </c>
      <c r="G1497" s="17">
        <f>IFERROR(__xludf.DUMMYFUNCTION("""COMPUTED_VALUE"""),282313.0)</f>
        <v>282313</v>
      </c>
      <c r="H1497" s="17" t="str">
        <f>IFERROR(__xludf.DUMMYFUNCTION("""COMPUTED_VALUE"""),"діагностика та ремонт ходової")</f>
        <v>діагностика та ремонт ходової</v>
      </c>
      <c r="I1497" s="18">
        <f>IFERROR(__xludf.DUMMYFUNCTION("""COMPUTED_VALUE"""),1.94)</f>
        <v>1.94</v>
      </c>
      <c r="J1497" s="18">
        <f>IFERROR(__xludf.DUMMYFUNCTION("""COMPUTED_VALUE"""),3.88)</f>
        <v>3.88</v>
      </c>
      <c r="K1497" s="18">
        <f>IFERROR(__xludf.DUMMYFUNCTION("""COMPUTED_VALUE"""),4.84)</f>
        <v>4.84</v>
      </c>
      <c r="L1497" s="18">
        <f>IFERROR(__xludf.DUMMYFUNCTION("""COMPUTED_VALUE"""),7.75)</f>
        <v>7.75</v>
      </c>
    </row>
    <row r="1498">
      <c r="A1498" s="13" t="str">
        <f>IFERROR(__xludf.DUMMYFUNCTION("""COMPUTED_VALUE"""),"послуги")</f>
        <v>послуги</v>
      </c>
      <c r="B1498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498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498" s="15" t="str">
        <f>IFERROR(__xludf.DUMMYFUNCTION("""COMPUTED_VALUE"""),"кузовні та малярні роботи")</f>
        <v>кузовні та малярні роботи</v>
      </c>
      <c r="E1498" s="15" t="str">
        <f>IFERROR(__xludf.DUMMYFUNCTION("""COMPUTED_VALUE"""),"кузовні та малярні роботи")</f>
        <v>кузовні та малярні роботи</v>
      </c>
      <c r="F1498" s="17">
        <f>IFERROR(__xludf.DUMMYFUNCTION("""COMPUTED_VALUE"""),3.0)</f>
        <v>3</v>
      </c>
      <c r="G1498" s="17">
        <f>IFERROR(__xludf.DUMMYFUNCTION("""COMPUTED_VALUE"""),282311.0)</f>
        <v>282311</v>
      </c>
      <c r="H1498" s="17" t="str">
        <f>IFERROR(__xludf.DUMMYFUNCTION("""COMPUTED_VALUE"""),"кузовні та малярні роботи")</f>
        <v>кузовні та малярні роботи</v>
      </c>
      <c r="I1498" s="18">
        <f>IFERROR(__xludf.DUMMYFUNCTION("""COMPUTED_VALUE"""),1.44)</f>
        <v>1.44</v>
      </c>
      <c r="J1498" s="18">
        <f>IFERROR(__xludf.DUMMYFUNCTION("""COMPUTED_VALUE"""),2.88)</f>
        <v>2.88</v>
      </c>
      <c r="K1498" s="18">
        <f>IFERROR(__xludf.DUMMYFUNCTION("""COMPUTED_VALUE"""),3.59)</f>
        <v>3.59</v>
      </c>
      <c r="L1498" s="18">
        <f>IFERROR(__xludf.DUMMYFUNCTION("""COMPUTED_VALUE"""),5.75)</f>
        <v>5.75</v>
      </c>
    </row>
    <row r="1499">
      <c r="A1499" s="13" t="str">
        <f>IFERROR(__xludf.DUMMYFUNCTION("""COMPUTED_VALUE"""),"послуги")</f>
        <v>послуги</v>
      </c>
      <c r="B1499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499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499" s="15" t="str">
        <f>IFERROR(__xludf.DUMMYFUNCTION("""COMPUTED_VALUE"""),"мийка автомобілів")</f>
        <v>мийка автомобілів</v>
      </c>
      <c r="E1499" s="15" t="str">
        <f>IFERROR(__xludf.DUMMYFUNCTION("""COMPUTED_VALUE"""),"мийка автомобілів")</f>
        <v>мийка автомобілів</v>
      </c>
      <c r="F1499" s="17">
        <f>IFERROR(__xludf.DUMMYFUNCTION("""COMPUTED_VALUE"""),3.0)</f>
        <v>3</v>
      </c>
      <c r="G1499" s="17">
        <f>IFERROR(__xludf.DUMMYFUNCTION("""COMPUTED_VALUE"""),282319.0)</f>
        <v>282319</v>
      </c>
      <c r="H1499" s="17" t="str">
        <f>IFERROR(__xludf.DUMMYFUNCTION("""COMPUTED_VALUE"""),"мийка автомобілів")</f>
        <v>мийка автомобілів</v>
      </c>
      <c r="I1499" s="18">
        <f>IFERROR(__xludf.DUMMYFUNCTION("""COMPUTED_VALUE"""),0.9)</f>
        <v>0.9</v>
      </c>
      <c r="J1499" s="18">
        <f>IFERROR(__xludf.DUMMYFUNCTION("""COMPUTED_VALUE"""),1.8)</f>
        <v>1.8</v>
      </c>
      <c r="K1499" s="18">
        <f>IFERROR(__xludf.DUMMYFUNCTION("""COMPUTED_VALUE"""),2.25)</f>
        <v>2.25</v>
      </c>
      <c r="L1499" s="18">
        <f>IFERROR(__xludf.DUMMYFUNCTION("""COMPUTED_VALUE"""),3.6)</f>
        <v>3.6</v>
      </c>
    </row>
    <row r="1500">
      <c r="A1500" s="13" t="str">
        <f>IFERROR(__xludf.DUMMYFUNCTION("""COMPUTED_VALUE"""),"послуги")</f>
        <v>послуги</v>
      </c>
      <c r="B1500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0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0" s="15" t="str">
        <f>IFERROR(__xludf.DUMMYFUNCTION("""COMPUTED_VALUE"""),"послуги автоелектрика")</f>
        <v>послуги автоелектрика</v>
      </c>
      <c r="E1500" s="15" t="str">
        <f>IFERROR(__xludf.DUMMYFUNCTION("""COMPUTED_VALUE"""),"послуги автоелектрика")</f>
        <v>послуги автоелектрика</v>
      </c>
      <c r="F1500" s="17">
        <f>IFERROR(__xludf.DUMMYFUNCTION("""COMPUTED_VALUE"""),3.0)</f>
        <v>3</v>
      </c>
      <c r="G1500" s="17">
        <f>IFERROR(__xludf.DUMMYFUNCTION("""COMPUTED_VALUE"""),282379.0)</f>
        <v>282379</v>
      </c>
      <c r="H1500" s="17" t="str">
        <f>IFERROR(__xludf.DUMMYFUNCTION("""COMPUTED_VALUE"""),"послуги автоелектрика")</f>
        <v>послуги автоелектрика</v>
      </c>
      <c r="I1500" s="18">
        <f>IFERROR(__xludf.DUMMYFUNCTION("""COMPUTED_VALUE"""),1.31)</f>
        <v>1.31</v>
      </c>
      <c r="J1500" s="18">
        <f>IFERROR(__xludf.DUMMYFUNCTION("""COMPUTED_VALUE"""),2.61)</f>
        <v>2.61</v>
      </c>
      <c r="K1500" s="18">
        <f>IFERROR(__xludf.DUMMYFUNCTION("""COMPUTED_VALUE"""),3.27)</f>
        <v>3.27</v>
      </c>
      <c r="L1500" s="18">
        <f>IFERROR(__xludf.DUMMYFUNCTION("""COMPUTED_VALUE"""),5.23)</f>
        <v>5.23</v>
      </c>
    </row>
    <row r="1501">
      <c r="A1501" s="13" t="str">
        <f>IFERROR(__xludf.DUMMYFUNCTION("""COMPUTED_VALUE"""),"послуги")</f>
        <v>послуги</v>
      </c>
      <c r="B1501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1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1" s="15" t="str">
        <f>IFERROR(__xludf.DUMMYFUNCTION("""COMPUTED_VALUE"""),"ремонт автомобільної паливної системи")</f>
        <v>ремонт автомобільної паливної системи</v>
      </c>
      <c r="E1501" s="15" t="str">
        <f>IFERROR(__xludf.DUMMYFUNCTION("""COMPUTED_VALUE"""),"ремонт автомобільної паливної системи")</f>
        <v>ремонт автомобільної паливної системи</v>
      </c>
      <c r="F1501" s="17">
        <f>IFERROR(__xludf.DUMMYFUNCTION("""COMPUTED_VALUE"""),3.0)</f>
        <v>3</v>
      </c>
      <c r="G1501" s="17">
        <f>IFERROR(__xludf.DUMMYFUNCTION("""COMPUTED_VALUE"""),282377.0)</f>
        <v>282377</v>
      </c>
      <c r="H1501" s="17" t="str">
        <f>IFERROR(__xludf.DUMMYFUNCTION("""COMPUTED_VALUE"""),"ремонт автомобільної паливної системи")</f>
        <v>ремонт автомобільної паливної системи</v>
      </c>
      <c r="I1501" s="18">
        <f>IFERROR(__xludf.DUMMYFUNCTION("""COMPUTED_VALUE"""),1.94)</f>
        <v>1.94</v>
      </c>
      <c r="J1501" s="18">
        <f>IFERROR(__xludf.DUMMYFUNCTION("""COMPUTED_VALUE"""),3.88)</f>
        <v>3.88</v>
      </c>
      <c r="K1501" s="18">
        <f>IFERROR(__xludf.DUMMYFUNCTION("""COMPUTED_VALUE"""),4.84)</f>
        <v>4.84</v>
      </c>
      <c r="L1501" s="18">
        <f>IFERROR(__xludf.DUMMYFUNCTION("""COMPUTED_VALUE"""),7.75)</f>
        <v>7.75</v>
      </c>
    </row>
    <row r="1502">
      <c r="A1502" s="13" t="str">
        <f>IFERROR(__xludf.DUMMYFUNCTION("""COMPUTED_VALUE"""),"послуги")</f>
        <v>послуги</v>
      </c>
      <c r="B1502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2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2" s="15" t="str">
        <f>IFERROR(__xludf.DUMMYFUNCTION("""COMPUTED_VALUE"""),"ремонт вихлопної системи")</f>
        <v>ремонт вихлопної системи</v>
      </c>
      <c r="E1502" s="15" t="str">
        <f>IFERROR(__xludf.DUMMYFUNCTION("""COMPUTED_VALUE"""),"ремонт вихлопної системи")</f>
        <v>ремонт вихлопної системи</v>
      </c>
      <c r="F1502" s="17">
        <f>IFERROR(__xludf.DUMMYFUNCTION("""COMPUTED_VALUE"""),3.0)</f>
        <v>3</v>
      </c>
      <c r="G1502" s="17">
        <f>IFERROR(__xludf.DUMMYFUNCTION("""COMPUTED_VALUE"""),282390.0)</f>
        <v>282390</v>
      </c>
      <c r="H1502" s="17" t="str">
        <f>IFERROR(__xludf.DUMMYFUNCTION("""COMPUTED_VALUE"""),"ремонт вихлопної системи")</f>
        <v>ремонт вихлопної системи</v>
      </c>
      <c r="I1502" s="18">
        <f>IFERROR(__xludf.DUMMYFUNCTION("""COMPUTED_VALUE"""),1.08)</f>
        <v>1.08</v>
      </c>
      <c r="J1502" s="18">
        <f>IFERROR(__xludf.DUMMYFUNCTION("""COMPUTED_VALUE"""),2.16)</f>
        <v>2.16</v>
      </c>
      <c r="K1502" s="18">
        <f>IFERROR(__xludf.DUMMYFUNCTION("""COMPUTED_VALUE"""),2.7)</f>
        <v>2.7</v>
      </c>
      <c r="L1502" s="18">
        <f>IFERROR(__xludf.DUMMYFUNCTION("""COMPUTED_VALUE"""),4.33)</f>
        <v>4.33</v>
      </c>
    </row>
    <row r="1503">
      <c r="A1503" s="13" t="str">
        <f>IFERROR(__xludf.DUMMYFUNCTION("""COMPUTED_VALUE"""),"послуги")</f>
        <v>послуги</v>
      </c>
      <c r="B1503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3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3" s="15" t="str">
        <f>IFERROR(__xludf.DUMMYFUNCTION("""COMPUTED_VALUE"""),"ремонт гальмівної системи")</f>
        <v>ремонт гальмівної системи</v>
      </c>
      <c r="E1503" s="15" t="str">
        <f>IFERROR(__xludf.DUMMYFUNCTION("""COMPUTED_VALUE"""),"ремонт гальмівної системи")</f>
        <v>ремонт гальмівної системи</v>
      </c>
      <c r="F1503" s="17">
        <f>IFERROR(__xludf.DUMMYFUNCTION("""COMPUTED_VALUE"""),3.0)</f>
        <v>3</v>
      </c>
      <c r="G1503" s="17">
        <f>IFERROR(__xludf.DUMMYFUNCTION("""COMPUTED_VALUE"""),282393.0)</f>
        <v>282393</v>
      </c>
      <c r="H1503" s="17" t="str">
        <f>IFERROR(__xludf.DUMMYFUNCTION("""COMPUTED_VALUE"""),"ремонт гальмівної системи")</f>
        <v>ремонт гальмівної системи</v>
      </c>
      <c r="I1503" s="18">
        <f>IFERROR(__xludf.DUMMYFUNCTION("""COMPUTED_VALUE"""),1.13)</f>
        <v>1.13</v>
      </c>
      <c r="J1503" s="18">
        <f>IFERROR(__xludf.DUMMYFUNCTION("""COMPUTED_VALUE"""),2.25)</f>
        <v>2.25</v>
      </c>
      <c r="K1503" s="18">
        <f>IFERROR(__xludf.DUMMYFUNCTION("""COMPUTED_VALUE"""),2.81)</f>
        <v>2.81</v>
      </c>
      <c r="L1503" s="18">
        <f>IFERROR(__xludf.DUMMYFUNCTION("""COMPUTED_VALUE"""),4.5)</f>
        <v>4.5</v>
      </c>
    </row>
    <row r="1504">
      <c r="A1504" s="13" t="str">
        <f>IFERROR(__xludf.DUMMYFUNCTION("""COMPUTED_VALUE"""),"послуги")</f>
        <v>послуги</v>
      </c>
      <c r="B1504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4" s="15" t="str">
        <f>IFERROR(__xludf.DUMMYFUNCTION("""COMPUTED_VALUE"""),"ремонт і обслуговування побутової техніки")</f>
        <v>ремонт і обслуговування побутової техніки</v>
      </c>
      <c r="D1504" s="15" t="str">
        <f>IFERROR(__xludf.DUMMYFUNCTION("""COMPUTED_VALUE"""),"ремонт і обслуговування побутової техніки")</f>
        <v>ремонт і обслуговування побутової техніки</v>
      </c>
      <c r="E1504" s="15" t="str">
        <f>IFERROR(__xludf.DUMMYFUNCTION("""COMPUTED_VALUE"""),"ремонт і обслуговування побутової техніки")</f>
        <v>ремонт і обслуговування побутової техніки</v>
      </c>
      <c r="F1504" s="17">
        <f>IFERROR(__xludf.DUMMYFUNCTION("""COMPUTED_VALUE"""),2.0)</f>
        <v>2</v>
      </c>
      <c r="G1504" s="17">
        <f>IFERROR(__xludf.DUMMYFUNCTION("""COMPUTED_VALUE"""),282326.0)</f>
        <v>282326</v>
      </c>
      <c r="H1504" s="17" t="str">
        <f>IFERROR(__xludf.DUMMYFUNCTION("""COMPUTED_VALUE"""),"ремонт і обслуговування побутової техніки")</f>
        <v>ремонт і обслуговування побутової техніки</v>
      </c>
      <c r="I1504" s="18">
        <f>IFERROR(__xludf.DUMMYFUNCTION("""COMPUTED_VALUE"""),2.11)</f>
        <v>2.11</v>
      </c>
      <c r="J1504" s="18">
        <f>IFERROR(__xludf.DUMMYFUNCTION("""COMPUTED_VALUE"""),4.23)</f>
        <v>4.23</v>
      </c>
      <c r="K1504" s="18">
        <f>IFERROR(__xludf.DUMMYFUNCTION("""COMPUTED_VALUE"""),5.28)</f>
        <v>5.28</v>
      </c>
      <c r="L1504" s="18">
        <f>IFERROR(__xludf.DUMMYFUNCTION("""COMPUTED_VALUE"""),8.45)</f>
        <v>8.45</v>
      </c>
    </row>
    <row r="1505">
      <c r="A1505" s="13" t="str">
        <f>IFERROR(__xludf.DUMMYFUNCTION("""COMPUTED_VALUE"""),"послуги")</f>
        <v>послуги</v>
      </c>
      <c r="B1505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5" s="15" t="str">
        <f>IFERROR(__xludf.DUMMYFUNCTION("""COMPUTED_VALUE"""),"ремонт і технічне обслуговування мото-вело транспорту")</f>
        <v>ремонт і технічне обслуговування мото-вело транспорту</v>
      </c>
      <c r="D1505" s="15" t="str">
        <f>IFERROR(__xludf.DUMMYFUNCTION("""COMPUTED_VALUE"""),"ремонт і технічне обслуговування мото-вело транспорту")</f>
        <v>ремонт і технічне обслуговування мото-вело транспорту</v>
      </c>
      <c r="E1505" s="15" t="str">
        <f>IFERROR(__xludf.DUMMYFUNCTION("""COMPUTED_VALUE"""),"ремонт і технічне обслуговування мото-вело транспорту")</f>
        <v>ремонт і технічне обслуговування мото-вело транспорту</v>
      </c>
      <c r="F1505" s="17">
        <f>IFERROR(__xludf.DUMMYFUNCTION("""COMPUTED_VALUE"""),2.0)</f>
        <v>2</v>
      </c>
      <c r="G1505" s="17">
        <f>IFERROR(__xludf.DUMMYFUNCTION("""COMPUTED_VALUE"""),282302.0)</f>
        <v>282302</v>
      </c>
      <c r="H1505" s="17" t="str">
        <f>IFERROR(__xludf.DUMMYFUNCTION("""COMPUTED_VALUE"""),"ремонт і технічне обслуговування мото-вело транспорту")</f>
        <v>ремонт і технічне обслуговування мото-вело транспорту</v>
      </c>
      <c r="I1505" s="18">
        <f>IFERROR(__xludf.DUMMYFUNCTION("""COMPUTED_VALUE"""),0.72)</f>
        <v>0.72</v>
      </c>
      <c r="J1505" s="18">
        <f>IFERROR(__xludf.DUMMYFUNCTION("""COMPUTED_VALUE"""),1.44)</f>
        <v>1.44</v>
      </c>
      <c r="K1505" s="18">
        <f>IFERROR(__xludf.DUMMYFUNCTION("""COMPUTED_VALUE"""),1.8)</f>
        <v>1.8</v>
      </c>
      <c r="L1505" s="18">
        <f>IFERROR(__xludf.DUMMYFUNCTION("""COMPUTED_VALUE"""),2.88)</f>
        <v>2.88</v>
      </c>
    </row>
    <row r="1506">
      <c r="A1506" s="13" t="str">
        <f>IFERROR(__xludf.DUMMYFUNCTION("""COMPUTED_VALUE"""),"послуги")</f>
        <v>послуги</v>
      </c>
      <c r="B1506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6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6" s="15" t="str">
        <f>IFERROR(__xludf.DUMMYFUNCTION("""COMPUTED_VALUE"""),"ремонт систем охолодження та опалення автотранспорту")</f>
        <v>ремонт систем охолодження та опалення автотранспорту</v>
      </c>
      <c r="E1506" s="15" t="str">
        <f>IFERROR(__xludf.DUMMYFUNCTION("""COMPUTED_VALUE"""),"ремонт систем охолодження та опалення автотранспорту")</f>
        <v>ремонт систем охолодження та опалення автотранспорту</v>
      </c>
      <c r="F1506" s="17">
        <f>IFERROR(__xludf.DUMMYFUNCTION("""COMPUTED_VALUE"""),3.0)</f>
        <v>3</v>
      </c>
      <c r="G1506" s="17">
        <f>IFERROR(__xludf.DUMMYFUNCTION("""COMPUTED_VALUE"""),282509.0)</f>
        <v>282509</v>
      </c>
      <c r="H1506" s="17" t="str">
        <f>IFERROR(__xludf.DUMMYFUNCTION("""COMPUTED_VALUE"""),"ремонт систем охолодження та опалення автотранспорту")</f>
        <v>ремонт систем охолодження та опалення автотранспорту</v>
      </c>
      <c r="I1506" s="18">
        <f>IFERROR(__xludf.DUMMYFUNCTION("""COMPUTED_VALUE"""),0.53)</f>
        <v>0.53</v>
      </c>
      <c r="J1506" s="18">
        <f>IFERROR(__xludf.DUMMYFUNCTION("""COMPUTED_VALUE"""),1.05)</f>
        <v>1.05</v>
      </c>
      <c r="K1506" s="18">
        <f>IFERROR(__xludf.DUMMYFUNCTION("""COMPUTED_VALUE"""),1.31)</f>
        <v>1.31</v>
      </c>
      <c r="L1506" s="18">
        <f>IFERROR(__xludf.DUMMYFUNCTION("""COMPUTED_VALUE"""),2.1)</f>
        <v>2.1</v>
      </c>
    </row>
    <row r="1507">
      <c r="A1507" s="13" t="str">
        <f>IFERROR(__xludf.DUMMYFUNCTION("""COMPUTED_VALUE"""),"послуги")</f>
        <v>послуги</v>
      </c>
      <c r="B1507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7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7" s="15" t="str">
        <f>IFERROR(__xludf.DUMMYFUNCTION("""COMPUTED_VALUE"""),"ремонт трансмісії та кпп")</f>
        <v>ремонт трансмісії та кпп</v>
      </c>
      <c r="E1507" s="15" t="str">
        <f>IFERROR(__xludf.DUMMYFUNCTION("""COMPUTED_VALUE"""),"ремонт трансмісії та кпп")</f>
        <v>ремонт трансмісії та кпп</v>
      </c>
      <c r="F1507" s="17">
        <f>IFERROR(__xludf.DUMMYFUNCTION("""COMPUTED_VALUE"""),3.0)</f>
        <v>3</v>
      </c>
      <c r="G1507" s="17">
        <f>IFERROR(__xludf.DUMMYFUNCTION("""COMPUTED_VALUE"""),282315.0)</f>
        <v>282315</v>
      </c>
      <c r="H1507" s="17" t="str">
        <f>IFERROR(__xludf.DUMMYFUNCTION("""COMPUTED_VALUE"""),"ремонт трансмісії та кпп")</f>
        <v>ремонт трансмісії та кпп</v>
      </c>
      <c r="I1507" s="18">
        <f>IFERROR(__xludf.DUMMYFUNCTION("""COMPUTED_VALUE"""),2.7)</f>
        <v>2.7</v>
      </c>
      <c r="J1507" s="18">
        <f>IFERROR(__xludf.DUMMYFUNCTION("""COMPUTED_VALUE"""),5.4)</f>
        <v>5.4</v>
      </c>
      <c r="K1507" s="18">
        <f>IFERROR(__xludf.DUMMYFUNCTION("""COMPUTED_VALUE"""),6.75)</f>
        <v>6.75</v>
      </c>
      <c r="L1507" s="18">
        <f>IFERROR(__xludf.DUMMYFUNCTION("""COMPUTED_VALUE"""),10.8)</f>
        <v>10.8</v>
      </c>
    </row>
    <row r="1508">
      <c r="A1508" s="13" t="str">
        <f>IFERROR(__xludf.DUMMYFUNCTION("""COMPUTED_VALUE"""),"товари")</f>
        <v>товари</v>
      </c>
      <c r="B1508" s="13" t="str">
        <f>IFERROR(__xludf.DUMMYFUNCTION("""COMPUTED_VALUE"""),"сировина та матеріали")</f>
        <v>сировина та матеріали</v>
      </c>
      <c r="C1508" s="15" t="str">
        <f>IFERROR(__xludf.DUMMYFUNCTION("""COMPUTED_VALUE"""),"паливно-енергетична сировина")</f>
        <v>паливно-енергетична сировина</v>
      </c>
      <c r="D1508" s="15" t="str">
        <f>IFERROR(__xludf.DUMMYFUNCTION("""COMPUTED_VALUE"""),"нафта та нафтопродукти")</f>
        <v>нафта та нафтопродукти</v>
      </c>
      <c r="E1508" s="15" t="str">
        <f>IFERROR(__xludf.DUMMYFUNCTION("""COMPUTED_VALUE"""),"бітум")</f>
        <v>бітум</v>
      </c>
      <c r="F1508" s="17">
        <f>IFERROR(__xludf.DUMMYFUNCTION("""COMPUTED_VALUE"""),4.0)</f>
        <v>4</v>
      </c>
      <c r="G1508" s="17">
        <f>IFERROR(__xludf.DUMMYFUNCTION("""COMPUTED_VALUE"""),100105.0)</f>
        <v>100105</v>
      </c>
      <c r="H1508" s="17" t="str">
        <f>IFERROR(__xludf.DUMMYFUNCTION("""COMPUTED_VALUE"""),"бітум")</f>
        <v>бітум</v>
      </c>
      <c r="I1508" s="18">
        <f>IFERROR(__xludf.DUMMYFUNCTION("""COMPUTED_VALUE"""),0.99)</f>
        <v>0.99</v>
      </c>
      <c r="J1508" s="18">
        <f>IFERROR(__xludf.DUMMYFUNCTION("""COMPUTED_VALUE"""),1.98)</f>
        <v>1.98</v>
      </c>
      <c r="K1508" s="18">
        <f>IFERROR(__xludf.DUMMYFUNCTION("""COMPUTED_VALUE"""),2.47)</f>
        <v>2.47</v>
      </c>
      <c r="L1508" s="18">
        <f>IFERROR(__xludf.DUMMYFUNCTION("""COMPUTED_VALUE"""),3.95)</f>
        <v>3.95</v>
      </c>
    </row>
    <row r="1509">
      <c r="A1509" s="13" t="str">
        <f>IFERROR(__xludf.DUMMYFUNCTION("""COMPUTED_VALUE"""),"товари")</f>
        <v>товари</v>
      </c>
      <c r="B1509" s="13" t="str">
        <f>IFERROR(__xludf.DUMMYFUNCTION("""COMPUTED_VALUE"""),"сировина та матеріали")</f>
        <v>сировина та матеріали</v>
      </c>
      <c r="C1509" s="15" t="str">
        <f>IFERROR(__xludf.DUMMYFUNCTION("""COMPUTED_VALUE"""),"сировина для важкої промисловості")</f>
        <v>сировина для важкої промисловості</v>
      </c>
      <c r="D1509" s="15" t="str">
        <f>IFERROR(__xludf.DUMMYFUNCTION("""COMPUTED_VALUE"""),"гумова сировина")</f>
        <v>гумова сировина</v>
      </c>
      <c r="E1509" s="15" t="str">
        <f>IFERROR(__xludf.DUMMYFUNCTION("""COMPUTED_VALUE"""),"гумова сировина")</f>
        <v>гумова сировина</v>
      </c>
      <c r="F1509" s="17">
        <f>IFERROR(__xludf.DUMMYFUNCTION("""COMPUTED_VALUE"""),3.0)</f>
        <v>3</v>
      </c>
      <c r="G1509" s="17">
        <f>IFERROR(__xludf.DUMMYFUNCTION("""COMPUTED_VALUE"""),80809.0)</f>
        <v>80809</v>
      </c>
      <c r="H1509" s="17" t="str">
        <f>IFERROR(__xludf.DUMMYFUNCTION("""COMPUTED_VALUE"""),"гумова сировина")</f>
        <v>гумова сировина</v>
      </c>
      <c r="I1509" s="18">
        <f>IFERROR(__xludf.DUMMYFUNCTION("""COMPUTED_VALUE"""),2.11)</f>
        <v>2.11</v>
      </c>
      <c r="J1509" s="18">
        <f>IFERROR(__xludf.DUMMYFUNCTION("""COMPUTED_VALUE"""),4.23)</f>
        <v>4.23</v>
      </c>
      <c r="K1509" s="18">
        <f>IFERROR(__xludf.DUMMYFUNCTION("""COMPUTED_VALUE"""),5.28)</f>
        <v>5.28</v>
      </c>
      <c r="L1509" s="18">
        <f>IFERROR(__xludf.DUMMYFUNCTION("""COMPUTED_VALUE"""),8.45)</f>
        <v>8.45</v>
      </c>
    </row>
    <row r="1510">
      <c r="A1510" s="13" t="str">
        <f>IFERROR(__xludf.DUMMYFUNCTION("""COMPUTED_VALUE"""),"товари")</f>
        <v>товари</v>
      </c>
      <c r="B1510" s="13" t="str">
        <f>IFERROR(__xludf.DUMMYFUNCTION("""COMPUTED_VALUE"""),"сировина та матеріали")</f>
        <v>сировина та матеріали</v>
      </c>
      <c r="C1510" s="15" t="str">
        <f>IFERROR(__xludf.DUMMYFUNCTION("""COMPUTED_VALUE"""),"паливно-енергетична сировина")</f>
        <v>паливно-енергетична сировина</v>
      </c>
      <c r="D1510" s="15" t="str">
        <f>IFERROR(__xludf.DUMMYFUNCTION("""COMPUTED_VALUE"""),"тверде паливо")</f>
        <v>тверде паливо</v>
      </c>
      <c r="E1510" s="15" t="str">
        <f>IFERROR(__xludf.DUMMYFUNCTION("""COMPUTED_VALUE"""),"паливні пелети та брикети")</f>
        <v>паливні пелети та брикети</v>
      </c>
      <c r="F1510" s="17">
        <f>IFERROR(__xludf.DUMMYFUNCTION("""COMPUTED_VALUE"""),4.0)</f>
        <v>4</v>
      </c>
      <c r="G1510" s="17">
        <f>IFERROR(__xludf.DUMMYFUNCTION("""COMPUTED_VALUE"""),1006.0)</f>
        <v>1006</v>
      </c>
      <c r="H1510" s="17" t="str">
        <f>IFERROR(__xludf.DUMMYFUNCTION("""COMPUTED_VALUE"""),"паливні пелети та брикети")</f>
        <v>паливні пелети та брикети</v>
      </c>
      <c r="I1510" s="18">
        <f>IFERROR(__xludf.DUMMYFUNCTION("""COMPUTED_VALUE"""),2.7)</f>
        <v>2.7</v>
      </c>
      <c r="J1510" s="18">
        <f>IFERROR(__xludf.DUMMYFUNCTION("""COMPUTED_VALUE"""),5.4)</f>
        <v>5.4</v>
      </c>
      <c r="K1510" s="18">
        <f>IFERROR(__xludf.DUMMYFUNCTION("""COMPUTED_VALUE"""),6.75)</f>
        <v>6.75</v>
      </c>
      <c r="L1510" s="18">
        <f>IFERROR(__xludf.DUMMYFUNCTION("""COMPUTED_VALUE"""),10.8)</f>
        <v>10.8</v>
      </c>
    </row>
    <row r="1511">
      <c r="A1511" s="13" t="str">
        <f>IFERROR(__xludf.DUMMYFUNCTION("""COMPUTED_VALUE"""),"товари")</f>
        <v>товари</v>
      </c>
      <c r="B1511" s="13" t="str">
        <f>IFERROR(__xludf.DUMMYFUNCTION("""COMPUTED_VALUE"""),"сировина та матеріали")</f>
        <v>сировина та матеріали</v>
      </c>
      <c r="C1511" s="15" t="str">
        <f>IFERROR(__xludf.DUMMYFUNCTION("""COMPUTED_VALUE"""),"сировина для важкої промисловості")</f>
        <v>сировина для важкої промисловості</v>
      </c>
      <c r="D1511" s="15" t="str">
        <f>IFERROR(__xludf.DUMMYFUNCTION("""COMPUTED_VALUE"""),"полімерна сировина")</f>
        <v>полімерна сировина</v>
      </c>
      <c r="E1511" s="15" t="str">
        <f>IFERROR(__xludf.DUMMYFUNCTION("""COMPUTED_VALUE"""),"полівінілхлорид")</f>
        <v>полівінілхлорид</v>
      </c>
      <c r="F1511" s="17">
        <f>IFERROR(__xludf.DUMMYFUNCTION("""COMPUTED_VALUE"""),4.0)</f>
        <v>4</v>
      </c>
      <c r="G1511" s="17">
        <f>IFERROR(__xludf.DUMMYFUNCTION("""COMPUTED_VALUE"""),807020.0)</f>
        <v>807020</v>
      </c>
      <c r="H1511" s="17" t="str">
        <f>IFERROR(__xludf.DUMMYFUNCTION("""COMPUTED_VALUE"""),"полівінілхлорид")</f>
        <v>полівінілхлорид</v>
      </c>
      <c r="I1511" s="18">
        <f>IFERROR(__xludf.DUMMYFUNCTION("""COMPUTED_VALUE"""),2.11)</f>
        <v>2.11</v>
      </c>
      <c r="J1511" s="18">
        <f>IFERROR(__xludf.DUMMYFUNCTION("""COMPUTED_VALUE"""),4.23)</f>
        <v>4.23</v>
      </c>
      <c r="K1511" s="18">
        <f>IFERROR(__xludf.DUMMYFUNCTION("""COMPUTED_VALUE"""),5.28)</f>
        <v>5.28</v>
      </c>
      <c r="L1511" s="18">
        <f>IFERROR(__xludf.DUMMYFUNCTION("""COMPUTED_VALUE"""),8.45)</f>
        <v>8.45</v>
      </c>
    </row>
    <row r="1512">
      <c r="A1512" s="13" t="str">
        <f>IFERROR(__xludf.DUMMYFUNCTION("""COMPUTED_VALUE"""),"товари")</f>
        <v>товари</v>
      </c>
      <c r="B1512" s="13" t="str">
        <f>IFERROR(__xludf.DUMMYFUNCTION("""COMPUTED_VALUE"""),"сировина та матеріали")</f>
        <v>сировина та матеріали</v>
      </c>
      <c r="C1512" s="15" t="str">
        <f>IFERROR(__xludf.DUMMYFUNCTION("""COMPUTED_VALUE"""),"сировина для важкої промисловості")</f>
        <v>сировина для важкої промисловості</v>
      </c>
      <c r="D1512" s="15" t="str">
        <f>IFERROR(__xludf.DUMMYFUNCTION("""COMPUTED_VALUE"""),"полімерна сировина")</f>
        <v>полімерна сировина</v>
      </c>
      <c r="E1512" s="15" t="str">
        <f>IFERROR(__xludf.DUMMYFUNCTION("""COMPUTED_VALUE"""),"полімерна сировина, загальне")</f>
        <v>полімерна сировина, загальне</v>
      </c>
      <c r="F1512" s="17">
        <f>IFERROR(__xludf.DUMMYFUNCTION("""COMPUTED_VALUE"""),4.0)</f>
        <v>4</v>
      </c>
      <c r="G1512" s="17">
        <f>IFERROR(__xludf.DUMMYFUNCTION("""COMPUTED_VALUE"""),807099.0)</f>
        <v>807099</v>
      </c>
      <c r="H1512" s="17" t="str">
        <f>IFERROR(__xludf.DUMMYFUNCTION("""COMPUTED_VALUE"""),"полімерна сировина, загальне")</f>
        <v>полімерна сировина, загальне</v>
      </c>
      <c r="I1512" s="18">
        <f>IFERROR(__xludf.DUMMYFUNCTION("""COMPUTED_VALUE"""),2.16)</f>
        <v>2.16</v>
      </c>
      <c r="J1512" s="18">
        <f>IFERROR(__xludf.DUMMYFUNCTION("""COMPUTED_VALUE"""),4.33)</f>
        <v>4.33</v>
      </c>
      <c r="K1512" s="18">
        <f>IFERROR(__xludf.DUMMYFUNCTION("""COMPUTED_VALUE"""),5.41)</f>
        <v>5.41</v>
      </c>
      <c r="L1512" s="18">
        <f>IFERROR(__xludf.DUMMYFUNCTION("""COMPUTED_VALUE"""),8.65)</f>
        <v>8.65</v>
      </c>
    </row>
    <row r="1513">
      <c r="A1513" s="13" t="str">
        <f>IFERROR(__xludf.DUMMYFUNCTION("""COMPUTED_VALUE"""),"товари")</f>
        <v>товари</v>
      </c>
      <c r="B1513" s="13" t="str">
        <f>IFERROR(__xludf.DUMMYFUNCTION("""COMPUTED_VALUE"""),"сировина та матеріали")</f>
        <v>сировина та матеріали</v>
      </c>
      <c r="C1513" s="15" t="str">
        <f>IFERROR(__xludf.DUMMYFUNCTION("""COMPUTED_VALUE"""),"сировина для важкої промисловості")</f>
        <v>сировина для важкої промисловості</v>
      </c>
      <c r="D1513" s="15" t="str">
        <f>IFERROR(__xludf.DUMMYFUNCTION("""COMPUTED_VALUE"""),"полімерна сировина")</f>
        <v>полімерна сировина</v>
      </c>
      <c r="E1513" s="15" t="str">
        <f>IFERROR(__xludf.DUMMYFUNCTION("""COMPUTED_VALUE"""),"поліпропілен")</f>
        <v>поліпропілен</v>
      </c>
      <c r="F1513" s="17">
        <f>IFERROR(__xludf.DUMMYFUNCTION("""COMPUTED_VALUE"""),4.0)</f>
        <v>4</v>
      </c>
      <c r="G1513" s="17">
        <f>IFERROR(__xludf.DUMMYFUNCTION("""COMPUTED_VALUE"""),807015.0)</f>
        <v>807015</v>
      </c>
      <c r="H1513" s="17" t="str">
        <f>IFERROR(__xludf.DUMMYFUNCTION("""COMPUTED_VALUE"""),"поліпропілен")</f>
        <v>поліпропілен</v>
      </c>
      <c r="I1513" s="18">
        <f>IFERROR(__xludf.DUMMYFUNCTION("""COMPUTED_VALUE"""),2.11)</f>
        <v>2.11</v>
      </c>
      <c r="J1513" s="18">
        <f>IFERROR(__xludf.DUMMYFUNCTION("""COMPUTED_VALUE"""),4.23)</f>
        <v>4.23</v>
      </c>
      <c r="K1513" s="18">
        <f>IFERROR(__xludf.DUMMYFUNCTION("""COMPUTED_VALUE"""),5.28)</f>
        <v>5.28</v>
      </c>
      <c r="L1513" s="18">
        <f>IFERROR(__xludf.DUMMYFUNCTION("""COMPUTED_VALUE"""),8.45)</f>
        <v>8.45</v>
      </c>
    </row>
    <row r="1514">
      <c r="A1514" s="13" t="str">
        <f>IFERROR(__xludf.DUMMYFUNCTION("""COMPUTED_VALUE"""),"товари")</f>
        <v>товари</v>
      </c>
      <c r="B1514" s="13" t="str">
        <f>IFERROR(__xludf.DUMMYFUNCTION("""COMPUTED_VALUE"""),"сировина та матеріали")</f>
        <v>сировина та матеріали</v>
      </c>
      <c r="C1514" s="15" t="str">
        <f>IFERROR(__xludf.DUMMYFUNCTION("""COMPUTED_VALUE"""),"шпонкові матеріали")</f>
        <v>шпонкові матеріали</v>
      </c>
      <c r="D1514" s="15" t="str">
        <f>IFERROR(__xludf.DUMMYFUNCTION("""COMPUTED_VALUE"""),"шпонкові матеріали")</f>
        <v>шпонкові матеріали</v>
      </c>
      <c r="E1514" s="15" t="str">
        <f>IFERROR(__xludf.DUMMYFUNCTION("""COMPUTED_VALUE"""),"шпонкові матеріали")</f>
        <v>шпонкові матеріали</v>
      </c>
      <c r="F1514" s="17">
        <f>IFERROR(__xludf.DUMMYFUNCTION("""COMPUTED_VALUE"""),2.0)</f>
        <v>2</v>
      </c>
      <c r="G1514" s="17">
        <f>IFERROR(__xludf.DUMMYFUNCTION("""COMPUTED_VALUE"""),421007.0)</f>
        <v>421007</v>
      </c>
      <c r="H1514" s="17" t="str">
        <f>IFERROR(__xludf.DUMMYFUNCTION("""COMPUTED_VALUE"""),"шпонкові матеріали")</f>
        <v>шпонкові матеріали</v>
      </c>
      <c r="I1514" s="18">
        <f>IFERROR(__xludf.DUMMYFUNCTION("""COMPUTED_VALUE"""),2.48)</f>
        <v>2.48</v>
      </c>
      <c r="J1514" s="18">
        <f>IFERROR(__xludf.DUMMYFUNCTION("""COMPUTED_VALUE"""),4.95)</f>
        <v>4.95</v>
      </c>
      <c r="K1514" s="18">
        <f>IFERROR(__xludf.DUMMYFUNCTION("""COMPUTED_VALUE"""),6.19)</f>
        <v>6.19</v>
      </c>
      <c r="L1514" s="18">
        <f>IFERROR(__xludf.DUMMYFUNCTION("""COMPUTED_VALUE"""),9.9)</f>
        <v>9.9</v>
      </c>
    </row>
    <row r="1515">
      <c r="A1515" s="13" t="str">
        <f>IFERROR(__xludf.DUMMYFUNCTION("""COMPUTED_VALUE"""),"товари")</f>
        <v>товари</v>
      </c>
      <c r="B151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5" s="15" t="str">
        <f>IFERROR(__xludf.DUMMYFUNCTION("""COMPUTED_VALUE"""),"сільськогосподарське обладнання")</f>
        <v>сільськогосподарське обладнання</v>
      </c>
      <c r="D1515" s="15" t="str">
        <f>IFERROR(__xludf.DUMMYFUNCTION("""COMPUTED_VALUE"""),"обладнання для тваринництва")</f>
        <v>обладнання для тваринництва</v>
      </c>
      <c r="E1515" s="15" t="str">
        <f>IFERROR(__xludf.DUMMYFUNCTION("""COMPUTED_VALUE"""),"аналізатори молока")</f>
        <v>аналізатори молока</v>
      </c>
      <c r="F1515" s="17">
        <f>IFERROR(__xludf.DUMMYFUNCTION("""COMPUTED_VALUE"""),4.0)</f>
        <v>4</v>
      </c>
      <c r="G1515" s="17">
        <f>IFERROR(__xludf.DUMMYFUNCTION("""COMPUTED_VALUE"""),1.5370108E7)</f>
        <v>15370108</v>
      </c>
      <c r="H1515" s="17" t="str">
        <f>IFERROR(__xludf.DUMMYFUNCTION("""COMPUTED_VALUE"""),"аналізатори молока")</f>
        <v>аналізатори молока</v>
      </c>
      <c r="I1515" s="18">
        <f>IFERROR(__xludf.DUMMYFUNCTION("""COMPUTED_VALUE"""),1.94)</f>
        <v>1.94</v>
      </c>
      <c r="J1515" s="18">
        <f>IFERROR(__xludf.DUMMYFUNCTION("""COMPUTED_VALUE"""),3.88)</f>
        <v>3.88</v>
      </c>
      <c r="K1515" s="18">
        <f>IFERROR(__xludf.DUMMYFUNCTION("""COMPUTED_VALUE"""),4.84)</f>
        <v>4.84</v>
      </c>
      <c r="L1515" s="18">
        <f>IFERROR(__xludf.DUMMYFUNCTION("""COMPUTED_VALUE"""),7.75)</f>
        <v>7.75</v>
      </c>
    </row>
    <row r="1516">
      <c r="A1516" s="13" t="str">
        <f>IFERROR(__xludf.DUMMYFUNCTION("""COMPUTED_VALUE"""),"товари")</f>
        <v>товари</v>
      </c>
      <c r="B151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6" s="15" t="str">
        <f>IFERROR(__xludf.DUMMYFUNCTION("""COMPUTED_VALUE"""),"тваринництво")</f>
        <v>тваринництво</v>
      </c>
      <c r="D1516" s="15" t="str">
        <f>IFERROR(__xludf.DUMMYFUNCTION("""COMPUTED_VALUE"""),"вермікультура")</f>
        <v>вермікультура</v>
      </c>
      <c r="E1516" s="15" t="str">
        <f>IFERROR(__xludf.DUMMYFUNCTION("""COMPUTED_VALUE"""),"вермікультура")</f>
        <v>вермікультура</v>
      </c>
      <c r="F1516" s="17">
        <f>IFERROR(__xludf.DUMMYFUNCTION("""COMPUTED_VALUE"""),3.0)</f>
        <v>3</v>
      </c>
      <c r="G1516" s="17">
        <f>IFERROR(__xludf.DUMMYFUNCTION("""COMPUTED_VALUE"""),127.0)</f>
        <v>127</v>
      </c>
      <c r="H1516" s="17" t="str">
        <f>IFERROR(__xludf.DUMMYFUNCTION("""COMPUTED_VALUE"""),"вермікультура")</f>
        <v>вермікультура</v>
      </c>
      <c r="I1516" s="18">
        <f>IFERROR(__xludf.DUMMYFUNCTION("""COMPUTED_VALUE"""),0.53)</f>
        <v>0.53</v>
      </c>
      <c r="J1516" s="18">
        <f>IFERROR(__xludf.DUMMYFUNCTION("""COMPUTED_VALUE"""),1.05)</f>
        <v>1.05</v>
      </c>
      <c r="K1516" s="18">
        <f>IFERROR(__xludf.DUMMYFUNCTION("""COMPUTED_VALUE"""),1.31)</f>
        <v>1.31</v>
      </c>
      <c r="L1516" s="18">
        <f>IFERROR(__xludf.DUMMYFUNCTION("""COMPUTED_VALUE"""),2.1)</f>
        <v>2.1</v>
      </c>
    </row>
    <row r="1517">
      <c r="A1517" s="13" t="str">
        <f>IFERROR(__xludf.DUMMYFUNCTION("""COMPUTED_VALUE"""),"товари")</f>
        <v>товари</v>
      </c>
      <c r="B151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7" s="15" t="str">
        <f>IFERROR(__xludf.DUMMYFUNCTION("""COMPUTED_VALUE"""),"сільськогосподарське обладнання")</f>
        <v>сільськогосподарське обладнання</v>
      </c>
      <c r="D1517" s="15" t="str">
        <f>IFERROR(__xludf.DUMMYFUNCTION("""COMPUTED_VALUE"""),"обладнання для рослинництва")</f>
        <v>обладнання для рослинництва</v>
      </c>
      <c r="E1517" s="15" t="str">
        <f>IFERROR(__xludf.DUMMYFUNCTION("""COMPUTED_VALUE"""),"гідропонні установки")</f>
        <v>гідропонні установки</v>
      </c>
      <c r="F1517" s="17">
        <f>IFERROR(__xludf.DUMMYFUNCTION("""COMPUTED_VALUE"""),4.0)</f>
        <v>4</v>
      </c>
      <c r="G1517" s="17">
        <f>IFERROR(__xludf.DUMMYFUNCTION("""COMPUTED_VALUE"""),12821.0)</f>
        <v>12821</v>
      </c>
      <c r="H1517" s="17" t="str">
        <f>IFERROR(__xludf.DUMMYFUNCTION("""COMPUTED_VALUE"""),"гідропонні установки")</f>
        <v>гідропонні установки</v>
      </c>
      <c r="I1517" s="18">
        <f>IFERROR(__xludf.DUMMYFUNCTION("""COMPUTED_VALUE"""),1.71)</f>
        <v>1.71</v>
      </c>
      <c r="J1517" s="18">
        <f>IFERROR(__xludf.DUMMYFUNCTION("""COMPUTED_VALUE"""),3.43)</f>
        <v>3.43</v>
      </c>
      <c r="K1517" s="18">
        <f>IFERROR(__xludf.DUMMYFUNCTION("""COMPUTED_VALUE"""),4.28)</f>
        <v>4.28</v>
      </c>
      <c r="L1517" s="18">
        <f>IFERROR(__xludf.DUMMYFUNCTION("""COMPUTED_VALUE"""),6.85)</f>
        <v>6.85</v>
      </c>
    </row>
    <row r="1518">
      <c r="A1518" s="13" t="str">
        <f>IFERROR(__xludf.DUMMYFUNCTION("""COMPUTED_VALUE"""),"товари")</f>
        <v>товари</v>
      </c>
      <c r="B151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8" s="15" t="str">
        <f>IFERROR(__xludf.DUMMYFUNCTION("""COMPUTED_VALUE"""),"сільськогосподарське обладнання")</f>
        <v>сільськогосподарське обладнання</v>
      </c>
      <c r="D1518" s="15" t="str">
        <f>IFERROR(__xludf.DUMMYFUNCTION("""COMPUTED_VALUE"""),"обладнання для тваринництва")</f>
        <v>обладнання для тваринництва</v>
      </c>
      <c r="E1518" s="15" t="str">
        <f>IFERROR(__xludf.DUMMYFUNCTION("""COMPUTED_VALUE"""),"гноєзбиральні транспортери")</f>
        <v>гноєзбиральні транспортери</v>
      </c>
      <c r="F1518" s="17">
        <f>IFERROR(__xludf.DUMMYFUNCTION("""COMPUTED_VALUE"""),4.0)</f>
        <v>4</v>
      </c>
      <c r="G1518" s="17">
        <f>IFERROR(__xludf.DUMMYFUNCTION("""COMPUTED_VALUE"""),13121.0)</f>
        <v>13121</v>
      </c>
      <c r="H1518" s="17" t="str">
        <f>IFERROR(__xludf.DUMMYFUNCTION("""COMPUTED_VALUE"""),"гноєзбиральні транспортери")</f>
        <v>гноєзбиральні транспортери</v>
      </c>
      <c r="I1518" s="18">
        <f>IFERROR(__xludf.DUMMYFUNCTION("""COMPUTED_VALUE"""),1.94)</f>
        <v>1.94</v>
      </c>
      <c r="J1518" s="18">
        <f>IFERROR(__xludf.DUMMYFUNCTION("""COMPUTED_VALUE"""),3.88)</f>
        <v>3.88</v>
      </c>
      <c r="K1518" s="18">
        <f>IFERROR(__xludf.DUMMYFUNCTION("""COMPUTED_VALUE"""),4.84)</f>
        <v>4.84</v>
      </c>
      <c r="L1518" s="18">
        <f>IFERROR(__xludf.DUMMYFUNCTION("""COMPUTED_VALUE"""),7.75)</f>
        <v>7.75</v>
      </c>
    </row>
    <row r="1519">
      <c r="A1519" s="13" t="str">
        <f>IFERROR(__xludf.DUMMYFUNCTION("""COMPUTED_VALUE"""),"товари")</f>
        <v>товари</v>
      </c>
      <c r="B151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9" s="15" t="str">
        <f>IFERROR(__xludf.DUMMYFUNCTION("""COMPUTED_VALUE"""),"сільськогосподарська техніка")</f>
        <v>сільськогосподарська техніка</v>
      </c>
      <c r="D1519" s="15" t="str">
        <f>IFERROR(__xludf.DUMMYFUNCTION("""COMPUTED_VALUE"""),"навісне та причіпне сільгоспобладнання")</f>
        <v>навісне та причіпне сільгоспобладнання</v>
      </c>
      <c r="E1519" s="15" t="str">
        <f>IFERROR(__xludf.DUMMYFUNCTION("""COMPUTED_VALUE"""),"грунтообробні котки")</f>
        <v>грунтообробні котки</v>
      </c>
      <c r="F1519" s="17">
        <f>IFERROR(__xludf.DUMMYFUNCTION("""COMPUTED_VALUE"""),4.0)</f>
        <v>4</v>
      </c>
      <c r="G1519" s="17">
        <f>IFERROR(__xludf.DUMMYFUNCTION("""COMPUTED_VALUE"""),1280806.0)</f>
        <v>1280806</v>
      </c>
      <c r="H1519" s="17" t="str">
        <f>IFERROR(__xludf.DUMMYFUNCTION("""COMPUTED_VALUE"""),"грунтообробні котки")</f>
        <v>грунтообробні котки</v>
      </c>
      <c r="I1519" s="18">
        <f>IFERROR(__xludf.DUMMYFUNCTION("""COMPUTED_VALUE"""),1.88)</f>
        <v>1.88</v>
      </c>
      <c r="J1519" s="18">
        <f>IFERROR(__xludf.DUMMYFUNCTION("""COMPUTED_VALUE"""),3.75)</f>
        <v>3.75</v>
      </c>
      <c r="K1519" s="18">
        <f>IFERROR(__xludf.DUMMYFUNCTION("""COMPUTED_VALUE"""),4.69)</f>
        <v>4.69</v>
      </c>
      <c r="L1519" s="18">
        <f>IFERROR(__xludf.DUMMYFUNCTION("""COMPUTED_VALUE"""),7.5)</f>
        <v>7.5</v>
      </c>
    </row>
    <row r="1520">
      <c r="A1520" s="13" t="str">
        <f>IFERROR(__xludf.DUMMYFUNCTION("""COMPUTED_VALUE"""),"товари")</f>
        <v>товари</v>
      </c>
      <c r="B152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0" s="15" t="str">
        <f>IFERROR(__xludf.DUMMYFUNCTION("""COMPUTED_VALUE"""),"сільськогосподарське обладнання")</f>
        <v>сільськогосподарське обладнання</v>
      </c>
      <c r="D1520" s="15" t="str">
        <f>IFERROR(__xludf.DUMMYFUNCTION("""COMPUTED_VALUE"""),"елеватори та зерносховища")</f>
        <v>елеватори та зерносховища</v>
      </c>
      <c r="E1520" s="15" t="str">
        <f>IFERROR(__xludf.DUMMYFUNCTION("""COMPUTED_VALUE"""),"елеватори")</f>
        <v>елеватори</v>
      </c>
      <c r="F1520" s="17">
        <f>IFERROR(__xludf.DUMMYFUNCTION("""COMPUTED_VALUE"""),4.0)</f>
        <v>4</v>
      </c>
      <c r="G1520" s="17">
        <f>IFERROR(__xludf.DUMMYFUNCTION("""COMPUTED_VALUE"""),120801.0)</f>
        <v>120801</v>
      </c>
      <c r="H1520" s="17" t="str">
        <f>IFERROR(__xludf.DUMMYFUNCTION("""COMPUTED_VALUE"""),"елеватори")</f>
        <v>елеватори</v>
      </c>
      <c r="I1520" s="18">
        <f>IFERROR(__xludf.DUMMYFUNCTION("""COMPUTED_VALUE"""),2.7)</f>
        <v>2.7</v>
      </c>
      <c r="J1520" s="18">
        <f>IFERROR(__xludf.DUMMYFUNCTION("""COMPUTED_VALUE"""),5.4)</f>
        <v>5.4</v>
      </c>
      <c r="K1520" s="18">
        <f>IFERROR(__xludf.DUMMYFUNCTION("""COMPUTED_VALUE"""),6.75)</f>
        <v>6.75</v>
      </c>
      <c r="L1520" s="18">
        <f>IFERROR(__xludf.DUMMYFUNCTION("""COMPUTED_VALUE"""),10.8)</f>
        <v>10.8</v>
      </c>
    </row>
    <row r="1521">
      <c r="A1521" s="13" t="str">
        <f>IFERROR(__xludf.DUMMYFUNCTION("""COMPUTED_VALUE"""),"товари")</f>
        <v>товари</v>
      </c>
      <c r="B152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1" s="15" t="str">
        <f>IFERROR(__xludf.DUMMYFUNCTION("""COMPUTED_VALUE"""),"сільськогосподарське обладнання")</f>
        <v>сільськогосподарське обладнання</v>
      </c>
      <c r="D1521" s="15" t="str">
        <f>IFERROR(__xludf.DUMMYFUNCTION("""COMPUTED_VALUE"""),"елеватори та зерносховища")</f>
        <v>елеватори та зерносховища</v>
      </c>
      <c r="E1521" s="15" t="str">
        <f>IFERROR(__xludf.DUMMYFUNCTION("""COMPUTED_VALUE"""),"елеватори та зерносховища, загальне")</f>
        <v>елеватори та зерносховища, загальне</v>
      </c>
      <c r="F1521" s="17">
        <f>IFERROR(__xludf.DUMMYFUNCTION("""COMPUTED_VALUE"""),4.0)</f>
        <v>4</v>
      </c>
      <c r="G1521" s="17">
        <f>IFERROR(__xludf.DUMMYFUNCTION("""COMPUTED_VALUE"""),120805.0)</f>
        <v>120805</v>
      </c>
      <c r="H1521" s="17" t="str">
        <f>IFERROR(__xludf.DUMMYFUNCTION("""COMPUTED_VALUE"""),"елеватори та зерносховища, загальне")</f>
        <v>елеватори та зерносховища, загальне</v>
      </c>
      <c r="I1521" s="18">
        <f>IFERROR(__xludf.DUMMYFUNCTION("""COMPUTED_VALUE"""),2.16)</f>
        <v>2.16</v>
      </c>
      <c r="J1521" s="18">
        <f>IFERROR(__xludf.DUMMYFUNCTION("""COMPUTED_VALUE"""),4.33)</f>
        <v>4.33</v>
      </c>
      <c r="K1521" s="18">
        <f>IFERROR(__xludf.DUMMYFUNCTION("""COMPUTED_VALUE"""),5.41)</f>
        <v>5.41</v>
      </c>
      <c r="L1521" s="18">
        <f>IFERROR(__xludf.DUMMYFUNCTION("""COMPUTED_VALUE"""),8.65)</f>
        <v>8.65</v>
      </c>
    </row>
    <row r="1522">
      <c r="A1522" s="13" t="str">
        <f>IFERROR(__xludf.DUMMYFUNCTION("""COMPUTED_VALUE"""),"товари")</f>
        <v>товари</v>
      </c>
      <c r="B152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2" s="15" t="str">
        <f>IFERROR(__xludf.DUMMYFUNCTION("""COMPUTED_VALUE"""),"сільськогосподарське обладнання")</f>
        <v>сільськогосподарське обладнання</v>
      </c>
      <c r="D1522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1522" s="15" t="str">
        <f>IFERROR(__xludf.DUMMYFUNCTION("""COMPUTED_VALUE"""),"запчастини до зерноочисної техніки")</f>
        <v>запчастини до зерноочисної техніки</v>
      </c>
      <c r="F1522" s="17">
        <f>IFERROR(__xludf.DUMMYFUNCTION("""COMPUTED_VALUE"""),4.0)</f>
        <v>4</v>
      </c>
      <c r="G1522" s="17">
        <f>IFERROR(__xludf.DUMMYFUNCTION("""COMPUTED_VALUE"""),1281005.0)</f>
        <v>1281005</v>
      </c>
      <c r="H1522" s="17" t="str">
        <f>IFERROR(__xludf.DUMMYFUNCTION("""COMPUTED_VALUE"""),"запчастини до зерноочисної техніки")</f>
        <v>запчастини до зерноочисної техніки</v>
      </c>
      <c r="I1522" s="18">
        <f>IFERROR(__xludf.DUMMYFUNCTION("""COMPUTED_VALUE"""),2.48)</f>
        <v>2.48</v>
      </c>
      <c r="J1522" s="18">
        <f>IFERROR(__xludf.DUMMYFUNCTION("""COMPUTED_VALUE"""),4.95)</f>
        <v>4.95</v>
      </c>
      <c r="K1522" s="18">
        <f>IFERROR(__xludf.DUMMYFUNCTION("""COMPUTED_VALUE"""),6.19)</f>
        <v>6.19</v>
      </c>
      <c r="L1522" s="18">
        <f>IFERROR(__xludf.DUMMYFUNCTION("""COMPUTED_VALUE"""),9.9)</f>
        <v>9.9</v>
      </c>
    </row>
    <row r="1523">
      <c r="A1523" s="13" t="str">
        <f>IFERROR(__xludf.DUMMYFUNCTION("""COMPUTED_VALUE"""),"товари")</f>
        <v>товари</v>
      </c>
      <c r="B152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3" s="15" t="str">
        <f>IFERROR(__xludf.DUMMYFUNCTION("""COMPUTED_VALUE"""),"сільськогосподарське обладнання")</f>
        <v>сільськогосподарське обладнання</v>
      </c>
      <c r="D1523" s="15" t="str">
        <f>IFERROR(__xludf.DUMMYFUNCTION("""COMPUTED_VALUE"""),"елеватори та зерносховища")</f>
        <v>елеватори та зерносховища</v>
      </c>
      <c r="E1523" s="15" t="str">
        <f>IFERROR(__xludf.DUMMYFUNCTION("""COMPUTED_VALUE"""),"зерносушарки")</f>
        <v>зерносушарки</v>
      </c>
      <c r="F1523" s="17">
        <f>IFERROR(__xludf.DUMMYFUNCTION("""COMPUTED_VALUE"""),4.0)</f>
        <v>4</v>
      </c>
      <c r="G1523" s="17">
        <f>IFERROR(__xludf.DUMMYFUNCTION("""COMPUTED_VALUE"""),120804.0)</f>
        <v>120804</v>
      </c>
      <c r="H1523" s="17" t="str">
        <f>IFERROR(__xludf.DUMMYFUNCTION("""COMPUTED_VALUE"""),"зерносушарки")</f>
        <v>зерносушарки</v>
      </c>
      <c r="I1523" s="18">
        <f>IFERROR(__xludf.DUMMYFUNCTION("""COMPUTED_VALUE"""),2.7)</f>
        <v>2.7</v>
      </c>
      <c r="J1523" s="18">
        <f>IFERROR(__xludf.DUMMYFUNCTION("""COMPUTED_VALUE"""),5.4)</f>
        <v>5.4</v>
      </c>
      <c r="K1523" s="18">
        <f>IFERROR(__xludf.DUMMYFUNCTION("""COMPUTED_VALUE"""),6.75)</f>
        <v>6.75</v>
      </c>
      <c r="L1523" s="18">
        <f>IFERROR(__xludf.DUMMYFUNCTION("""COMPUTED_VALUE"""),10.8)</f>
        <v>10.8</v>
      </c>
    </row>
    <row r="1524">
      <c r="A1524" s="13" t="str">
        <f>IFERROR(__xludf.DUMMYFUNCTION("""COMPUTED_VALUE"""),"товари")</f>
        <v>товари</v>
      </c>
      <c r="B152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4" s="15" t="str">
        <f>IFERROR(__xludf.DUMMYFUNCTION("""COMPUTED_VALUE"""),"сільськогосподарське обладнання")</f>
        <v>сільськогосподарське обладнання</v>
      </c>
      <c r="D1524" s="15" t="str">
        <f>IFERROR(__xludf.DUMMYFUNCTION("""COMPUTED_VALUE"""),"елеватори та зерносховища")</f>
        <v>елеватори та зерносховища</v>
      </c>
      <c r="E1524" s="15" t="str">
        <f>IFERROR(__xludf.DUMMYFUNCTION("""COMPUTED_VALUE"""),"зерносховища")</f>
        <v>зерносховища</v>
      </c>
      <c r="F1524" s="17">
        <f>IFERROR(__xludf.DUMMYFUNCTION("""COMPUTED_VALUE"""),4.0)</f>
        <v>4</v>
      </c>
      <c r="G1524" s="17">
        <f>IFERROR(__xludf.DUMMYFUNCTION("""COMPUTED_VALUE"""),120802.0)</f>
        <v>120802</v>
      </c>
      <c r="H1524" s="17" t="str">
        <f>IFERROR(__xludf.DUMMYFUNCTION("""COMPUTED_VALUE"""),"зерносховища")</f>
        <v>зерносховища</v>
      </c>
      <c r="I1524" s="18">
        <f>IFERROR(__xludf.DUMMYFUNCTION("""COMPUTED_VALUE"""),2.7)</f>
        <v>2.7</v>
      </c>
      <c r="J1524" s="18">
        <f>IFERROR(__xludf.DUMMYFUNCTION("""COMPUTED_VALUE"""),5.4)</f>
        <v>5.4</v>
      </c>
      <c r="K1524" s="18">
        <f>IFERROR(__xludf.DUMMYFUNCTION("""COMPUTED_VALUE"""),6.75)</f>
        <v>6.75</v>
      </c>
      <c r="L1524" s="18">
        <f>IFERROR(__xludf.DUMMYFUNCTION("""COMPUTED_VALUE"""),10.8)</f>
        <v>10.8</v>
      </c>
    </row>
    <row r="1525">
      <c r="A1525" s="13" t="str">
        <f>IFERROR(__xludf.DUMMYFUNCTION("""COMPUTED_VALUE"""),"товари")</f>
        <v>товари</v>
      </c>
      <c r="B152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5" s="15" t="str">
        <f>IFERROR(__xludf.DUMMYFUNCTION("""COMPUTED_VALUE"""),"сільськогосподарська техніка")</f>
        <v>сільськогосподарська техніка</v>
      </c>
      <c r="D1525" s="15" t="str">
        <f>IFERROR(__xludf.DUMMYFUNCTION("""COMPUTED_VALUE"""),"навісне та причіпне сільгоспобладнання")</f>
        <v>навісне та причіпне сільгоспобладнання</v>
      </c>
      <c r="E1525" s="15" t="str">
        <f>IFERROR(__xludf.DUMMYFUNCTION("""COMPUTED_VALUE"""),"картоплекопалки")</f>
        <v>картоплекопалки</v>
      </c>
      <c r="F1525" s="17">
        <f>IFERROR(__xludf.DUMMYFUNCTION("""COMPUTED_VALUE"""),4.0)</f>
        <v>4</v>
      </c>
      <c r="G1525" s="17">
        <f>IFERROR(__xludf.DUMMYFUNCTION("""COMPUTED_VALUE"""),1280504.0)</f>
        <v>1280504</v>
      </c>
      <c r="H1525" s="17" t="str">
        <f>IFERROR(__xludf.DUMMYFUNCTION("""COMPUTED_VALUE"""),"картоплекопалки")</f>
        <v>картоплекопалки</v>
      </c>
      <c r="I1525" s="18">
        <f>IFERROR(__xludf.DUMMYFUNCTION("""COMPUTED_VALUE"""),1.88)</f>
        <v>1.88</v>
      </c>
      <c r="J1525" s="18">
        <f>IFERROR(__xludf.DUMMYFUNCTION("""COMPUTED_VALUE"""),3.75)</f>
        <v>3.75</v>
      </c>
      <c r="K1525" s="18">
        <f>IFERROR(__xludf.DUMMYFUNCTION("""COMPUTED_VALUE"""),4.69)</f>
        <v>4.69</v>
      </c>
      <c r="L1525" s="18">
        <f>IFERROR(__xludf.DUMMYFUNCTION("""COMPUTED_VALUE"""),7.5)</f>
        <v>7.5</v>
      </c>
    </row>
    <row r="1526">
      <c r="A1526" s="13" t="str">
        <f>IFERROR(__xludf.DUMMYFUNCTION("""COMPUTED_VALUE"""),"товари")</f>
        <v>товари</v>
      </c>
      <c r="B152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6" s="15" t="str">
        <f>IFERROR(__xludf.DUMMYFUNCTION("""COMPUTED_VALUE"""),"сільськогосподарське обладнання")</f>
        <v>сільськогосподарське обладнання</v>
      </c>
      <c r="D1526" s="15" t="str">
        <f>IFERROR(__xludf.DUMMYFUNCTION("""COMPUTED_VALUE"""),"обладнання для тваринництва")</f>
        <v>обладнання для тваринництва</v>
      </c>
      <c r="E1526" s="15" t="str">
        <f>IFERROR(__xludf.DUMMYFUNCTION("""COMPUTED_VALUE"""),"керування мікрокліматом на фермах")</f>
        <v>керування мікрокліматом на фермах</v>
      </c>
      <c r="F1526" s="17">
        <f>IFERROR(__xludf.DUMMYFUNCTION("""COMPUTED_VALUE"""),4.0)</f>
        <v>4</v>
      </c>
      <c r="G1526" s="17">
        <f>IFERROR(__xludf.DUMMYFUNCTION("""COMPUTED_VALUE"""),13110.0)</f>
        <v>13110</v>
      </c>
      <c r="H1526" s="17" t="str">
        <f>IFERROR(__xludf.DUMMYFUNCTION("""COMPUTED_VALUE"""),"керування мікрокліматом на фермах")</f>
        <v>керування мікрокліматом на фермах</v>
      </c>
      <c r="I1526" s="18">
        <f>IFERROR(__xludf.DUMMYFUNCTION("""COMPUTED_VALUE"""),1.94)</f>
        <v>1.94</v>
      </c>
      <c r="J1526" s="18">
        <f>IFERROR(__xludf.DUMMYFUNCTION("""COMPUTED_VALUE"""),3.88)</f>
        <v>3.88</v>
      </c>
      <c r="K1526" s="18">
        <f>IFERROR(__xludf.DUMMYFUNCTION("""COMPUTED_VALUE"""),4.84)</f>
        <v>4.84</v>
      </c>
      <c r="L1526" s="18">
        <f>IFERROR(__xludf.DUMMYFUNCTION("""COMPUTED_VALUE"""),7.75)</f>
        <v>7.75</v>
      </c>
    </row>
    <row r="1527">
      <c r="A1527" s="13" t="str">
        <f>IFERROR(__xludf.DUMMYFUNCTION("""COMPUTED_VALUE"""),"товари")</f>
        <v>товари</v>
      </c>
      <c r="B152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7" s="15" t="str">
        <f>IFERROR(__xludf.DUMMYFUNCTION("""COMPUTED_VALUE"""),"компостне обладнання")</f>
        <v>компостне обладнання</v>
      </c>
      <c r="D1527" s="15" t="str">
        <f>IFERROR(__xludf.DUMMYFUNCTION("""COMPUTED_VALUE"""),"компостне обладнання")</f>
        <v>компостне обладнання</v>
      </c>
      <c r="E1527" s="15" t="str">
        <f>IFERROR(__xludf.DUMMYFUNCTION("""COMPUTED_VALUE"""),"компостне обладнання")</f>
        <v>компостне обладнання</v>
      </c>
      <c r="F1527" s="17">
        <f>IFERROR(__xludf.DUMMYFUNCTION("""COMPUTED_VALUE"""),2.0)</f>
        <v>2</v>
      </c>
      <c r="G1527" s="17">
        <f>IFERROR(__xludf.DUMMYFUNCTION("""COMPUTED_VALUE"""),169.0)</f>
        <v>169</v>
      </c>
      <c r="H1527" s="17" t="str">
        <f>IFERROR(__xludf.DUMMYFUNCTION("""COMPUTED_VALUE"""),"компостне обладнання")</f>
        <v>компостне обладнання</v>
      </c>
      <c r="I1527" s="18">
        <f>IFERROR(__xludf.DUMMYFUNCTION("""COMPUTED_VALUE"""),1.08)</f>
        <v>1.08</v>
      </c>
      <c r="J1527" s="18">
        <f>IFERROR(__xludf.DUMMYFUNCTION("""COMPUTED_VALUE"""),2.16)</f>
        <v>2.16</v>
      </c>
      <c r="K1527" s="18">
        <f>IFERROR(__xludf.DUMMYFUNCTION("""COMPUTED_VALUE"""),2.7)</f>
        <v>2.7</v>
      </c>
      <c r="L1527" s="18">
        <f>IFERROR(__xludf.DUMMYFUNCTION("""COMPUTED_VALUE"""),4.33)</f>
        <v>4.33</v>
      </c>
    </row>
    <row r="1528">
      <c r="A1528" s="13" t="str">
        <f>IFERROR(__xludf.DUMMYFUNCTION("""COMPUTED_VALUE"""),"товари")</f>
        <v>товари</v>
      </c>
      <c r="B152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8" s="15" t="str">
        <f>IFERROR(__xludf.DUMMYFUNCTION("""COMPUTED_VALUE"""),"тваринництво")</f>
        <v>тваринництво</v>
      </c>
      <c r="D1528" s="15" t="str">
        <f>IFERROR(__xludf.DUMMYFUNCTION("""COMPUTED_VALUE"""),"сільськогосподарські корми")</f>
        <v>сільськогосподарські корми</v>
      </c>
      <c r="E1528" s="15" t="str">
        <f>IFERROR(__xludf.DUMMYFUNCTION("""COMPUTED_VALUE"""),"корми рослинного походження")</f>
        <v>корми рослинного походження</v>
      </c>
      <c r="F1528" s="17">
        <f>IFERROR(__xludf.DUMMYFUNCTION("""COMPUTED_VALUE"""),4.0)</f>
        <v>4</v>
      </c>
      <c r="G1528" s="17">
        <f>IFERROR(__xludf.DUMMYFUNCTION("""COMPUTED_VALUE"""),11308.0)</f>
        <v>11308</v>
      </c>
      <c r="H1528" s="17" t="str">
        <f>IFERROR(__xludf.DUMMYFUNCTION("""COMPUTED_VALUE"""),"корми рослинного походження")</f>
        <v>корми рослинного походження</v>
      </c>
      <c r="I1528" s="18">
        <f>IFERROR(__xludf.DUMMYFUNCTION("""COMPUTED_VALUE"""),0.76)</f>
        <v>0.76</v>
      </c>
      <c r="J1528" s="18">
        <f>IFERROR(__xludf.DUMMYFUNCTION("""COMPUTED_VALUE"""),1.53)</f>
        <v>1.53</v>
      </c>
      <c r="K1528" s="18">
        <f>IFERROR(__xludf.DUMMYFUNCTION("""COMPUTED_VALUE"""),1.91)</f>
        <v>1.91</v>
      </c>
      <c r="L1528" s="18">
        <f>IFERROR(__xludf.DUMMYFUNCTION("""COMPUTED_VALUE"""),3.05)</f>
        <v>3.05</v>
      </c>
    </row>
    <row r="1529">
      <c r="A1529" s="13" t="str">
        <f>IFERROR(__xludf.DUMMYFUNCTION("""COMPUTED_VALUE"""),"товари")</f>
        <v>товари</v>
      </c>
      <c r="B152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9" s="15" t="str">
        <f>IFERROR(__xludf.DUMMYFUNCTION("""COMPUTED_VALUE"""),"тваринництво")</f>
        <v>тваринництво</v>
      </c>
      <c r="D1529" s="15" t="str">
        <f>IFERROR(__xludf.DUMMYFUNCTION("""COMPUTED_VALUE"""),"сільськогосподарські корми")</f>
        <v>сільськогосподарські корми</v>
      </c>
      <c r="E1529" s="15" t="str">
        <f>IFERROR(__xludf.DUMMYFUNCTION("""COMPUTED_VALUE"""),"корми тваринного походження")</f>
        <v>корми тваринного походження</v>
      </c>
      <c r="F1529" s="17">
        <f>IFERROR(__xludf.DUMMYFUNCTION("""COMPUTED_VALUE"""),4.0)</f>
        <v>4</v>
      </c>
      <c r="G1529" s="17">
        <f>IFERROR(__xludf.DUMMYFUNCTION("""COMPUTED_VALUE"""),11301.0)</f>
        <v>11301</v>
      </c>
      <c r="H1529" s="17" t="str">
        <f>IFERROR(__xludf.DUMMYFUNCTION("""COMPUTED_VALUE"""),"корми тваринного походження")</f>
        <v>корми тваринного походження</v>
      </c>
      <c r="I1529" s="18">
        <f>IFERROR(__xludf.DUMMYFUNCTION("""COMPUTED_VALUE"""),0.76)</f>
        <v>0.76</v>
      </c>
      <c r="J1529" s="18">
        <f>IFERROR(__xludf.DUMMYFUNCTION("""COMPUTED_VALUE"""),1.53)</f>
        <v>1.53</v>
      </c>
      <c r="K1529" s="18">
        <f>IFERROR(__xludf.DUMMYFUNCTION("""COMPUTED_VALUE"""),1.91)</f>
        <v>1.91</v>
      </c>
      <c r="L1529" s="18">
        <f>IFERROR(__xludf.DUMMYFUNCTION("""COMPUTED_VALUE"""),3.05)</f>
        <v>3.05</v>
      </c>
    </row>
    <row r="1530">
      <c r="A1530" s="13" t="str">
        <f>IFERROR(__xludf.DUMMYFUNCTION("""COMPUTED_VALUE"""),"товари")</f>
        <v>товари</v>
      </c>
      <c r="B153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0" s="15" t="str">
        <f>IFERROR(__xludf.DUMMYFUNCTION("""COMPUTED_VALUE"""),"сільськогосподарська техніка")</f>
        <v>сільськогосподарська техніка</v>
      </c>
      <c r="D1530" s="15" t="str">
        <f>IFERROR(__xludf.DUMMYFUNCTION("""COMPUTED_VALUE"""),"навісне та причіпне сільгоспобладнання")</f>
        <v>навісне та причіпне сільгоспобладнання</v>
      </c>
      <c r="E1530" s="15" t="str">
        <f>IFERROR(__xludf.DUMMYFUNCTION("""COMPUTED_VALUE"""),"кормороздавачі")</f>
        <v>кормороздавачі</v>
      </c>
      <c r="F1530" s="17">
        <f>IFERROR(__xludf.DUMMYFUNCTION("""COMPUTED_VALUE"""),4.0)</f>
        <v>4</v>
      </c>
      <c r="G1530" s="17">
        <f>IFERROR(__xludf.DUMMYFUNCTION("""COMPUTED_VALUE"""),13114.0)</f>
        <v>13114</v>
      </c>
      <c r="H1530" s="17" t="str">
        <f>IFERROR(__xludf.DUMMYFUNCTION("""COMPUTED_VALUE"""),"кормороздавачі")</f>
        <v>кормороздавачі</v>
      </c>
      <c r="I1530" s="18">
        <f>IFERROR(__xludf.DUMMYFUNCTION("""COMPUTED_VALUE"""),1.88)</f>
        <v>1.88</v>
      </c>
      <c r="J1530" s="18">
        <f>IFERROR(__xludf.DUMMYFUNCTION("""COMPUTED_VALUE"""),3.75)</f>
        <v>3.75</v>
      </c>
      <c r="K1530" s="18">
        <f>IFERROR(__xludf.DUMMYFUNCTION("""COMPUTED_VALUE"""),4.69)</f>
        <v>4.69</v>
      </c>
      <c r="L1530" s="18">
        <f>IFERROR(__xludf.DUMMYFUNCTION("""COMPUTED_VALUE"""),7.5)</f>
        <v>7.5</v>
      </c>
    </row>
    <row r="1531">
      <c r="A1531" s="13" t="str">
        <f>IFERROR(__xludf.DUMMYFUNCTION("""COMPUTED_VALUE"""),"товари")</f>
        <v>товари</v>
      </c>
      <c r="B153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1" s="15" t="str">
        <f>IFERROR(__xludf.DUMMYFUNCTION("""COMPUTED_VALUE"""),"сільськогосподарське обладнання")</f>
        <v>сільськогосподарське обладнання</v>
      </c>
      <c r="D1531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1531" s="15" t="str">
        <f>IFERROR(__xludf.DUMMYFUNCTION("""COMPUTED_VALUE"""),"лабораторне обладнання для зернової промисловості")</f>
        <v>лабораторне обладнання для зернової промисловості</v>
      </c>
      <c r="F1531" s="17">
        <f>IFERROR(__xludf.DUMMYFUNCTION("""COMPUTED_VALUE"""),4.0)</f>
        <v>4</v>
      </c>
      <c r="G1531" s="17">
        <f>IFERROR(__xludf.DUMMYFUNCTION("""COMPUTED_VALUE"""),120806.0)</f>
        <v>120806</v>
      </c>
      <c r="H1531" s="17" t="str">
        <f>IFERROR(__xludf.DUMMYFUNCTION("""COMPUTED_VALUE"""),"лабораторне обладнання для зернової промисловості")</f>
        <v>лабораторне обладнання для зернової промисловості</v>
      </c>
      <c r="I1531" s="18">
        <f>IFERROR(__xludf.DUMMYFUNCTION("""COMPUTED_VALUE"""),2.48)</f>
        <v>2.48</v>
      </c>
      <c r="J1531" s="18">
        <f>IFERROR(__xludf.DUMMYFUNCTION("""COMPUTED_VALUE"""),4.95)</f>
        <v>4.95</v>
      </c>
      <c r="K1531" s="18">
        <f>IFERROR(__xludf.DUMMYFUNCTION("""COMPUTED_VALUE"""),6.19)</f>
        <v>6.19</v>
      </c>
      <c r="L1531" s="18">
        <f>IFERROR(__xludf.DUMMYFUNCTION("""COMPUTED_VALUE"""),9.9)</f>
        <v>9.9</v>
      </c>
    </row>
    <row r="1532">
      <c r="A1532" s="13" t="str">
        <f>IFERROR(__xludf.DUMMYFUNCTION("""COMPUTED_VALUE"""),"товари")</f>
        <v>товари</v>
      </c>
      <c r="B153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2" s="15" t="str">
        <f>IFERROR(__xludf.DUMMYFUNCTION("""COMPUTED_VALUE"""),"сільськогосподарська техніка")</f>
        <v>сільськогосподарська техніка</v>
      </c>
      <c r="D1532" s="15" t="str">
        <f>IFERROR(__xludf.DUMMYFUNCTION("""COMPUTED_VALUE"""),"навісне та причіпне сільгоспобладнання")</f>
        <v>навісне та причіпне сільгоспобладнання</v>
      </c>
      <c r="E1532" s="15" t="str">
        <f>IFERROR(__xludf.DUMMYFUNCTION("""COMPUTED_VALUE"""),"лущильники")</f>
        <v>лущильники</v>
      </c>
      <c r="F1532" s="17">
        <f>IFERROR(__xludf.DUMMYFUNCTION("""COMPUTED_VALUE"""),4.0)</f>
        <v>4</v>
      </c>
      <c r="G1532" s="17">
        <f>IFERROR(__xludf.DUMMYFUNCTION("""COMPUTED_VALUE"""),1280804.0)</f>
        <v>1280804</v>
      </c>
      <c r="H1532" s="17" t="str">
        <f>IFERROR(__xludf.DUMMYFUNCTION("""COMPUTED_VALUE"""),"лущильники")</f>
        <v>лущильники</v>
      </c>
      <c r="I1532" s="18">
        <f>IFERROR(__xludf.DUMMYFUNCTION("""COMPUTED_VALUE"""),1.88)</f>
        <v>1.88</v>
      </c>
      <c r="J1532" s="18">
        <f>IFERROR(__xludf.DUMMYFUNCTION("""COMPUTED_VALUE"""),3.75)</f>
        <v>3.75</v>
      </c>
      <c r="K1532" s="18">
        <f>IFERROR(__xludf.DUMMYFUNCTION("""COMPUTED_VALUE"""),4.69)</f>
        <v>4.69</v>
      </c>
      <c r="L1532" s="18">
        <f>IFERROR(__xludf.DUMMYFUNCTION("""COMPUTED_VALUE"""),7.5)</f>
        <v>7.5</v>
      </c>
    </row>
    <row r="1533">
      <c r="A1533" s="13" t="str">
        <f>IFERROR(__xludf.DUMMYFUNCTION("""COMPUTED_VALUE"""),"товари")</f>
        <v>товари</v>
      </c>
      <c r="B153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3" s="15" t="str">
        <f>IFERROR(__xludf.DUMMYFUNCTION("""COMPUTED_VALUE"""),"сільськогосподарська техніка")</f>
        <v>сільськогосподарська техніка</v>
      </c>
      <c r="D1533" s="15" t="str">
        <f>IFERROR(__xludf.DUMMYFUNCTION("""COMPUTED_VALUE"""),"навісне та причіпне сільгоспобладнання")</f>
        <v>навісне та причіпне сільгоспобладнання</v>
      </c>
      <c r="E1533" s="15" t="str">
        <f>IFERROR(__xludf.DUMMYFUNCTION("""COMPUTED_VALUE"""),"навісні культиватори")</f>
        <v>навісні культиватори</v>
      </c>
      <c r="F1533" s="17">
        <f>IFERROR(__xludf.DUMMYFUNCTION("""COMPUTED_VALUE"""),4.0)</f>
        <v>4</v>
      </c>
      <c r="G1533" s="17">
        <f>IFERROR(__xludf.DUMMYFUNCTION("""COMPUTED_VALUE"""),1280802.0)</f>
        <v>1280802</v>
      </c>
      <c r="H1533" s="17" t="str">
        <f>IFERROR(__xludf.DUMMYFUNCTION("""COMPUTED_VALUE"""),"навісні культиватори")</f>
        <v>навісні культиватори</v>
      </c>
      <c r="I1533" s="18">
        <f>IFERROR(__xludf.DUMMYFUNCTION("""COMPUTED_VALUE"""),1.88)</f>
        <v>1.88</v>
      </c>
      <c r="J1533" s="18">
        <f>IFERROR(__xludf.DUMMYFUNCTION("""COMPUTED_VALUE"""),3.75)</f>
        <v>3.75</v>
      </c>
      <c r="K1533" s="18">
        <f>IFERROR(__xludf.DUMMYFUNCTION("""COMPUTED_VALUE"""),4.69)</f>
        <v>4.69</v>
      </c>
      <c r="L1533" s="18">
        <f>IFERROR(__xludf.DUMMYFUNCTION("""COMPUTED_VALUE"""),7.5)</f>
        <v>7.5</v>
      </c>
    </row>
    <row r="1534">
      <c r="A1534" s="13" t="str">
        <f>IFERROR(__xludf.DUMMYFUNCTION("""COMPUTED_VALUE"""),"товари")</f>
        <v>товари</v>
      </c>
      <c r="B153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4" s="15" t="str">
        <f>IFERROR(__xludf.DUMMYFUNCTION("""COMPUTED_VALUE"""),"сільськогосподарська техніка")</f>
        <v>сільськогосподарська техніка</v>
      </c>
      <c r="D1534" s="15" t="str">
        <f>IFERROR(__xludf.DUMMYFUNCTION("""COMPUTED_VALUE"""),"навісне та причіпне сільгоспобладнання")</f>
        <v>навісне та причіпне сільгоспобладнання</v>
      </c>
      <c r="E1534" s="15" t="str">
        <f>IFERROR(__xludf.DUMMYFUNCTION("""COMPUTED_VALUE"""),"навісні та причіпні сівалки")</f>
        <v>навісні та причіпні сівалки</v>
      </c>
      <c r="F1534" s="17">
        <f>IFERROR(__xludf.DUMMYFUNCTION("""COMPUTED_VALUE"""),4.0)</f>
        <v>4</v>
      </c>
      <c r="G1534" s="17">
        <f>IFERROR(__xludf.DUMMYFUNCTION("""COMPUTED_VALUE"""),1280901.0)</f>
        <v>1280901</v>
      </c>
      <c r="H1534" s="17" t="str">
        <f>IFERROR(__xludf.DUMMYFUNCTION("""COMPUTED_VALUE"""),"навісні та причіпні сівалки")</f>
        <v>навісні та причіпні сівалки</v>
      </c>
      <c r="I1534" s="18">
        <f>IFERROR(__xludf.DUMMYFUNCTION("""COMPUTED_VALUE"""),1.88)</f>
        <v>1.88</v>
      </c>
      <c r="J1534" s="18">
        <f>IFERROR(__xludf.DUMMYFUNCTION("""COMPUTED_VALUE"""),3.75)</f>
        <v>3.75</v>
      </c>
      <c r="K1534" s="18">
        <f>IFERROR(__xludf.DUMMYFUNCTION("""COMPUTED_VALUE"""),4.69)</f>
        <v>4.69</v>
      </c>
      <c r="L1534" s="18">
        <f>IFERROR(__xludf.DUMMYFUNCTION("""COMPUTED_VALUE"""),7.5)</f>
        <v>7.5</v>
      </c>
    </row>
    <row r="1535">
      <c r="A1535" s="13" t="str">
        <f>IFERROR(__xludf.DUMMYFUNCTION("""COMPUTED_VALUE"""),"товари")</f>
        <v>товари</v>
      </c>
      <c r="B153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5" s="15" t="str">
        <f>IFERROR(__xludf.DUMMYFUNCTION("""COMPUTED_VALUE"""),"рослинництво")</f>
        <v>рослинництво</v>
      </c>
      <c r="D1535" s="15" t="str">
        <f>IFERROR(__xludf.DUMMYFUNCTION("""COMPUTED_VALUE"""),"польові культури")</f>
        <v>польові культури</v>
      </c>
      <c r="E1535" s="15" t="str">
        <f>IFERROR(__xludf.DUMMYFUNCTION("""COMPUTED_VALUE"""),"насіння бобових культур")</f>
        <v>насіння бобових культур</v>
      </c>
      <c r="F1535" s="17">
        <f>IFERROR(__xludf.DUMMYFUNCTION("""COMPUTED_VALUE"""),4.0)</f>
        <v>4</v>
      </c>
      <c r="G1535" s="17">
        <f>IFERROR(__xludf.DUMMYFUNCTION("""COMPUTED_VALUE"""),10101.0)</f>
        <v>10101</v>
      </c>
      <c r="H1535" s="17" t="str">
        <f>IFERROR(__xludf.DUMMYFUNCTION("""COMPUTED_VALUE"""),"насіння бобових культур")</f>
        <v>насіння бобових культур</v>
      </c>
      <c r="I1535" s="18">
        <f>IFERROR(__xludf.DUMMYFUNCTION("""COMPUTED_VALUE"""),0.76)</f>
        <v>0.76</v>
      </c>
      <c r="J1535" s="18">
        <f>IFERROR(__xludf.DUMMYFUNCTION("""COMPUTED_VALUE"""),1.53)</f>
        <v>1.53</v>
      </c>
      <c r="K1535" s="18">
        <f>IFERROR(__xludf.DUMMYFUNCTION("""COMPUTED_VALUE"""),1.91)</f>
        <v>1.91</v>
      </c>
      <c r="L1535" s="18">
        <f>IFERROR(__xludf.DUMMYFUNCTION("""COMPUTED_VALUE"""),3.05)</f>
        <v>3.05</v>
      </c>
    </row>
    <row r="1536">
      <c r="A1536" s="13" t="str">
        <f>IFERROR(__xludf.DUMMYFUNCTION("""COMPUTED_VALUE"""),"товари")</f>
        <v>товари</v>
      </c>
      <c r="B153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6" s="15" t="str">
        <f>IFERROR(__xludf.DUMMYFUNCTION("""COMPUTED_VALUE"""),"сільськогосподарське обладнання")</f>
        <v>сільськогосподарське обладнання</v>
      </c>
      <c r="D1536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1536" s="15" t="str">
        <f>IFERROR(__xludf.DUMMYFUNCTION("""COMPUTED_VALUE"""),"обладнання для вирощування та переробки зерна, загальне")</f>
        <v>обладнання для вирощування та переробки зерна, загальне</v>
      </c>
      <c r="F1536" s="17">
        <f>IFERROR(__xludf.DUMMYFUNCTION("""COMPUTED_VALUE"""),4.0)</f>
        <v>4</v>
      </c>
      <c r="G1536" s="17">
        <f>IFERROR(__xludf.DUMMYFUNCTION("""COMPUTED_VALUE"""),1281002.0)</f>
        <v>1281002</v>
      </c>
      <c r="H1536" s="17" t="str">
        <f>IFERROR(__xludf.DUMMYFUNCTION("""COMPUTED_VALUE"""),"обладнання для вирощування та переробки зерна, загальне")</f>
        <v>обладнання для вирощування та переробки зерна, загальне</v>
      </c>
      <c r="I1536" s="18">
        <f>IFERROR(__xludf.DUMMYFUNCTION("""COMPUTED_VALUE"""),2.16)</f>
        <v>2.16</v>
      </c>
      <c r="J1536" s="18">
        <f>IFERROR(__xludf.DUMMYFUNCTION("""COMPUTED_VALUE"""),4.33)</f>
        <v>4.33</v>
      </c>
      <c r="K1536" s="18">
        <f>IFERROR(__xludf.DUMMYFUNCTION("""COMPUTED_VALUE"""),5.41)</f>
        <v>5.41</v>
      </c>
      <c r="L1536" s="18">
        <f>IFERROR(__xludf.DUMMYFUNCTION("""COMPUTED_VALUE"""),8.65)</f>
        <v>8.65</v>
      </c>
    </row>
    <row r="1537">
      <c r="A1537" s="13" t="str">
        <f>IFERROR(__xludf.DUMMYFUNCTION("""COMPUTED_VALUE"""),"товари")</f>
        <v>товари</v>
      </c>
      <c r="B153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7" s="15" t="str">
        <f>IFERROR(__xludf.DUMMYFUNCTION("""COMPUTED_VALUE"""),"сільськогосподарське обладнання")</f>
        <v>сільськогосподарське обладнання</v>
      </c>
      <c r="D1537" s="15" t="str">
        <f>IFERROR(__xludf.DUMMYFUNCTION("""COMPUTED_VALUE"""),"обладнання для тваринництва")</f>
        <v>обладнання для тваринництва</v>
      </c>
      <c r="E1537" s="15" t="str">
        <f>IFERROR(__xludf.DUMMYFUNCTION("""COMPUTED_VALUE"""),"обладнання для птахівництва")</f>
        <v>обладнання для птахівництва</v>
      </c>
      <c r="F1537" s="17">
        <f>IFERROR(__xludf.DUMMYFUNCTION("""COMPUTED_VALUE"""),4.0)</f>
        <v>4</v>
      </c>
      <c r="G1537" s="17">
        <f>IFERROR(__xludf.DUMMYFUNCTION("""COMPUTED_VALUE"""),11101.0)</f>
        <v>11101</v>
      </c>
      <c r="H1537" s="17" t="str">
        <f>IFERROR(__xludf.DUMMYFUNCTION("""COMPUTED_VALUE"""),"обладнання для птахівництва")</f>
        <v>обладнання для птахівництва</v>
      </c>
      <c r="I1537" s="18">
        <f>IFERROR(__xludf.DUMMYFUNCTION("""COMPUTED_VALUE"""),1.94)</f>
        <v>1.94</v>
      </c>
      <c r="J1537" s="18">
        <f>IFERROR(__xludf.DUMMYFUNCTION("""COMPUTED_VALUE"""),3.88)</f>
        <v>3.88</v>
      </c>
      <c r="K1537" s="18">
        <f>IFERROR(__xludf.DUMMYFUNCTION("""COMPUTED_VALUE"""),4.84)</f>
        <v>4.84</v>
      </c>
      <c r="L1537" s="18">
        <f>IFERROR(__xludf.DUMMYFUNCTION("""COMPUTED_VALUE"""),7.75)</f>
        <v>7.75</v>
      </c>
    </row>
    <row r="1538">
      <c r="A1538" s="13" t="str">
        <f>IFERROR(__xludf.DUMMYFUNCTION("""COMPUTED_VALUE"""),"товари")</f>
        <v>товари</v>
      </c>
      <c r="B153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8" s="15" t="str">
        <f>IFERROR(__xludf.DUMMYFUNCTION("""COMPUTED_VALUE"""),"сільськогосподарське обладнання")</f>
        <v>сільськогосподарське обладнання</v>
      </c>
      <c r="D1538" s="15" t="str">
        <f>IFERROR(__xludf.DUMMYFUNCTION("""COMPUTED_VALUE"""),"обладнання для рибних господарств")</f>
        <v>обладнання для рибних господарств</v>
      </c>
      <c r="E1538" s="15" t="str">
        <f>IFERROR(__xludf.DUMMYFUNCTION("""COMPUTED_VALUE"""),"обладнання для рибних господарств")</f>
        <v>обладнання для рибних господарств</v>
      </c>
      <c r="F1538" s="17">
        <f>IFERROR(__xludf.DUMMYFUNCTION("""COMPUTED_VALUE"""),3.0)</f>
        <v>3</v>
      </c>
      <c r="G1538" s="17">
        <f>IFERROR(__xludf.DUMMYFUNCTION("""COMPUTED_VALUE"""),13006.0)</f>
        <v>13006</v>
      </c>
      <c r="H1538" s="17" t="str">
        <f>IFERROR(__xludf.DUMMYFUNCTION("""COMPUTED_VALUE"""),"обладнання для рибних господарств")</f>
        <v>обладнання для рибних господарств</v>
      </c>
      <c r="I1538" s="18">
        <f>IFERROR(__xludf.DUMMYFUNCTION("""COMPUTED_VALUE"""),1.31)</f>
        <v>1.31</v>
      </c>
      <c r="J1538" s="18">
        <f>IFERROR(__xludf.DUMMYFUNCTION("""COMPUTED_VALUE"""),2.61)</f>
        <v>2.61</v>
      </c>
      <c r="K1538" s="18">
        <f>IFERROR(__xludf.DUMMYFUNCTION("""COMPUTED_VALUE"""),3.27)</f>
        <v>3.27</v>
      </c>
      <c r="L1538" s="18">
        <f>IFERROR(__xludf.DUMMYFUNCTION("""COMPUTED_VALUE"""),5.23)</f>
        <v>5.23</v>
      </c>
    </row>
    <row r="1539">
      <c r="A1539" s="13" t="str">
        <f>IFERROR(__xludf.DUMMYFUNCTION("""COMPUTED_VALUE"""),"товари")</f>
        <v>товари</v>
      </c>
      <c r="B153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9" s="15" t="str">
        <f>IFERROR(__xludf.DUMMYFUNCTION("""COMPUTED_VALUE"""),"сільськогосподарська техніка")</f>
        <v>сільськогосподарська техніка</v>
      </c>
      <c r="D1539" s="15" t="str">
        <f>IFERROR(__xludf.DUMMYFUNCTION("""COMPUTED_VALUE"""),"навісне та причіпне сільгоспобладнання")</f>
        <v>навісне та причіпне сільгоспобладнання</v>
      </c>
      <c r="E1539" s="15" t="str">
        <f>IFERROR(__xludf.DUMMYFUNCTION("""COMPUTED_VALUE"""),"обладнання для розчищення посівних площ")</f>
        <v>обладнання для розчищення посівних площ</v>
      </c>
      <c r="F1539" s="17">
        <f>IFERROR(__xludf.DUMMYFUNCTION("""COMPUTED_VALUE"""),4.0)</f>
        <v>4</v>
      </c>
      <c r="G1539" s="17">
        <f>IFERROR(__xludf.DUMMYFUNCTION("""COMPUTED_VALUE"""),1281106.0)</f>
        <v>1281106</v>
      </c>
      <c r="H1539" s="17" t="str">
        <f>IFERROR(__xludf.DUMMYFUNCTION("""COMPUTED_VALUE"""),"обладнання для розчищення посівних площ")</f>
        <v>обладнання для розчищення посівних площ</v>
      </c>
      <c r="I1539" s="18">
        <f>IFERROR(__xludf.DUMMYFUNCTION("""COMPUTED_VALUE"""),1.88)</f>
        <v>1.88</v>
      </c>
      <c r="J1539" s="18">
        <f>IFERROR(__xludf.DUMMYFUNCTION("""COMPUTED_VALUE"""),3.75)</f>
        <v>3.75</v>
      </c>
      <c r="K1539" s="18">
        <f>IFERROR(__xludf.DUMMYFUNCTION("""COMPUTED_VALUE"""),4.69)</f>
        <v>4.69</v>
      </c>
      <c r="L1539" s="18">
        <f>IFERROR(__xludf.DUMMYFUNCTION("""COMPUTED_VALUE"""),7.5)</f>
        <v>7.5</v>
      </c>
    </row>
    <row r="1540">
      <c r="A1540" s="13" t="str">
        <f>IFERROR(__xludf.DUMMYFUNCTION("""COMPUTED_VALUE"""),"товари")</f>
        <v>товари</v>
      </c>
      <c r="B154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0" s="15" t="str">
        <f>IFERROR(__xludf.DUMMYFUNCTION("""COMPUTED_VALUE"""),"сільськогосподарське обладнання")</f>
        <v>сільськогосподарське обладнання</v>
      </c>
      <c r="D1540" s="15" t="str">
        <f>IFERROR(__xludf.DUMMYFUNCTION("""COMPUTED_VALUE"""),"обладнання для тваринництва")</f>
        <v>обладнання для тваринництва</v>
      </c>
      <c r="E1540" s="15" t="str">
        <f>IFERROR(__xludf.DUMMYFUNCTION("""COMPUTED_VALUE"""),"обладнання для свинарства")</f>
        <v>обладнання для свинарства</v>
      </c>
      <c r="F1540" s="17">
        <f>IFERROR(__xludf.DUMMYFUNCTION("""COMPUTED_VALUE"""),4.0)</f>
        <v>4</v>
      </c>
      <c r="G1540" s="17">
        <f>IFERROR(__xludf.DUMMYFUNCTION("""COMPUTED_VALUE"""),13105.0)</f>
        <v>13105</v>
      </c>
      <c r="H1540" s="17" t="str">
        <f>IFERROR(__xludf.DUMMYFUNCTION("""COMPUTED_VALUE"""),"обладнання для свинарства")</f>
        <v>обладнання для свинарства</v>
      </c>
      <c r="I1540" s="18">
        <f>IFERROR(__xludf.DUMMYFUNCTION("""COMPUTED_VALUE"""),1.94)</f>
        <v>1.94</v>
      </c>
      <c r="J1540" s="18">
        <f>IFERROR(__xludf.DUMMYFUNCTION("""COMPUTED_VALUE"""),3.88)</f>
        <v>3.88</v>
      </c>
      <c r="K1540" s="18">
        <f>IFERROR(__xludf.DUMMYFUNCTION("""COMPUTED_VALUE"""),4.84)</f>
        <v>4.84</v>
      </c>
      <c r="L1540" s="18">
        <f>IFERROR(__xludf.DUMMYFUNCTION("""COMPUTED_VALUE"""),7.75)</f>
        <v>7.75</v>
      </c>
    </row>
    <row r="1541">
      <c r="A1541" s="13" t="str">
        <f>IFERROR(__xludf.DUMMYFUNCTION("""COMPUTED_VALUE"""),"товари")</f>
        <v>товари</v>
      </c>
      <c r="B154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1" s="15" t="str">
        <f>IFERROR(__xludf.DUMMYFUNCTION("""COMPUTED_VALUE"""),"сільськогосподарська техніка")</f>
        <v>сільськогосподарська техніка</v>
      </c>
      <c r="D1541" s="15" t="str">
        <f>IFERROR(__xludf.DUMMYFUNCTION("""COMPUTED_VALUE"""),"навісне та причіпне сільгоспобладнання")</f>
        <v>навісне та причіпне сільгоспобладнання</v>
      </c>
      <c r="E1541" s="15" t="str">
        <f>IFERROR(__xludf.DUMMYFUNCTION("""COMPUTED_VALUE"""),"обмотувачі рулонів для заготівлі кормів")</f>
        <v>обмотувачі рулонів для заготівлі кормів</v>
      </c>
      <c r="F1541" s="17">
        <f>IFERROR(__xludf.DUMMYFUNCTION("""COMPUTED_VALUE"""),4.0)</f>
        <v>4</v>
      </c>
      <c r="G1541" s="17">
        <f>IFERROR(__xludf.DUMMYFUNCTION("""COMPUTED_VALUE"""),1280605.0)</f>
        <v>1280605</v>
      </c>
      <c r="H1541" s="17" t="str">
        <f>IFERROR(__xludf.DUMMYFUNCTION("""COMPUTED_VALUE"""),"обмотувачі рулонів для заготівлі кормів")</f>
        <v>обмотувачі рулонів для заготівлі кормів</v>
      </c>
      <c r="I1541" s="18">
        <f>IFERROR(__xludf.DUMMYFUNCTION("""COMPUTED_VALUE"""),1.88)</f>
        <v>1.88</v>
      </c>
      <c r="J1541" s="18">
        <f>IFERROR(__xludf.DUMMYFUNCTION("""COMPUTED_VALUE"""),3.75)</f>
        <v>3.75</v>
      </c>
      <c r="K1541" s="18">
        <f>IFERROR(__xludf.DUMMYFUNCTION("""COMPUTED_VALUE"""),4.69)</f>
        <v>4.69</v>
      </c>
      <c r="L1541" s="18">
        <f>IFERROR(__xludf.DUMMYFUNCTION("""COMPUTED_VALUE"""),7.5)</f>
        <v>7.5</v>
      </c>
    </row>
    <row r="1542">
      <c r="A1542" s="13" t="str">
        <f>IFERROR(__xludf.DUMMYFUNCTION("""COMPUTED_VALUE"""),"товари")</f>
        <v>товари</v>
      </c>
      <c r="B154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2" s="15" t="str">
        <f>IFERROR(__xludf.DUMMYFUNCTION("""COMPUTED_VALUE"""),"сільськогосподарське обладнання")</f>
        <v>сільськогосподарське обладнання</v>
      </c>
      <c r="D1542" s="15" t="str">
        <f>IFERROR(__xludf.DUMMYFUNCTION("""COMPUTED_VALUE"""),"обладнання для тваринництва")</f>
        <v>обладнання для тваринництва</v>
      </c>
      <c r="E1542" s="15" t="str">
        <f>IFERROR(__xludf.DUMMYFUNCTION("""COMPUTED_VALUE"""),"опалення та системи мікроклімату для тваринництва і птахівництва")</f>
        <v>опалення та системи мікроклімату для тваринництва і птахівництва</v>
      </c>
      <c r="F1542" s="17">
        <f>IFERROR(__xludf.DUMMYFUNCTION("""COMPUTED_VALUE"""),4.0)</f>
        <v>4</v>
      </c>
      <c r="G1542" s="17">
        <f>IFERROR(__xludf.DUMMYFUNCTION("""COMPUTED_VALUE"""),12815.0)</f>
        <v>12815</v>
      </c>
      <c r="H1542" s="17" t="str">
        <f>IFERROR(__xludf.DUMMYFUNCTION("""COMPUTED_VALUE"""),"опалення та системи мікроклімату для тваринництва і птахівництва")</f>
        <v>опалення та системи мікроклімату для тваринництва і птахівництва</v>
      </c>
      <c r="I1542" s="18">
        <f>IFERROR(__xludf.DUMMYFUNCTION("""COMPUTED_VALUE"""),1.94)</f>
        <v>1.94</v>
      </c>
      <c r="J1542" s="18">
        <f>IFERROR(__xludf.DUMMYFUNCTION("""COMPUTED_VALUE"""),3.88)</f>
        <v>3.88</v>
      </c>
      <c r="K1542" s="18">
        <f>IFERROR(__xludf.DUMMYFUNCTION("""COMPUTED_VALUE"""),4.84)</f>
        <v>4.84</v>
      </c>
      <c r="L1542" s="18">
        <f>IFERROR(__xludf.DUMMYFUNCTION("""COMPUTED_VALUE"""),7.75)</f>
        <v>7.75</v>
      </c>
    </row>
    <row r="1543">
      <c r="A1543" s="13" t="str">
        <f>IFERROR(__xludf.DUMMYFUNCTION("""COMPUTED_VALUE"""),"товари")</f>
        <v>товари</v>
      </c>
      <c r="B154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3" s="15" t="str">
        <f>IFERROR(__xludf.DUMMYFUNCTION("""COMPUTED_VALUE"""),"сільськогосподарська техніка")</f>
        <v>сільськогосподарська техніка</v>
      </c>
      <c r="D1543" s="15" t="str">
        <f>IFERROR(__xludf.DUMMYFUNCTION("""COMPUTED_VALUE"""),"навісне та причіпне сільгоспобладнання")</f>
        <v>навісне та причіпне сільгоспобладнання</v>
      </c>
      <c r="E1543" s="15" t="str">
        <f>IFERROR(__xludf.DUMMYFUNCTION("""COMPUTED_VALUE"""),"посівні комплекси")</f>
        <v>посівні комплекси</v>
      </c>
      <c r="F1543" s="17">
        <f>IFERROR(__xludf.DUMMYFUNCTION("""COMPUTED_VALUE"""),4.0)</f>
        <v>4</v>
      </c>
      <c r="G1543" s="17">
        <f>IFERROR(__xludf.DUMMYFUNCTION("""COMPUTED_VALUE"""),1280903.0)</f>
        <v>1280903</v>
      </c>
      <c r="H1543" s="17" t="str">
        <f>IFERROR(__xludf.DUMMYFUNCTION("""COMPUTED_VALUE"""),"посівні комплекси")</f>
        <v>посівні комплекси</v>
      </c>
      <c r="I1543" s="18">
        <f>IFERROR(__xludf.DUMMYFUNCTION("""COMPUTED_VALUE"""),1.88)</f>
        <v>1.88</v>
      </c>
      <c r="J1543" s="18">
        <f>IFERROR(__xludf.DUMMYFUNCTION("""COMPUTED_VALUE"""),3.75)</f>
        <v>3.75</v>
      </c>
      <c r="K1543" s="18">
        <f>IFERROR(__xludf.DUMMYFUNCTION("""COMPUTED_VALUE"""),4.69)</f>
        <v>4.69</v>
      </c>
      <c r="L1543" s="18">
        <f>IFERROR(__xludf.DUMMYFUNCTION("""COMPUTED_VALUE"""),7.5)</f>
        <v>7.5</v>
      </c>
    </row>
    <row r="1544">
      <c r="A1544" s="13" t="str">
        <f>IFERROR(__xludf.DUMMYFUNCTION("""COMPUTED_VALUE"""),"товари")</f>
        <v>товари</v>
      </c>
      <c r="B154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4" s="15" t="str">
        <f>IFERROR(__xludf.DUMMYFUNCTION("""COMPUTED_VALUE"""),"рибництво")</f>
        <v>рибництво</v>
      </c>
      <c r="D1544" s="15" t="str">
        <f>IFERROR(__xludf.DUMMYFUNCTION("""COMPUTED_VALUE"""),"рибництво, загальне")</f>
        <v>рибництво, загальне</v>
      </c>
      <c r="E1544" s="15" t="str">
        <f>IFERROR(__xludf.DUMMYFUNCTION("""COMPUTED_VALUE"""),"рибництво, загальне")</f>
        <v>рибництво, загальне</v>
      </c>
      <c r="F1544" s="17">
        <f>IFERROR(__xludf.DUMMYFUNCTION("""COMPUTED_VALUE"""),3.0)</f>
        <v>3</v>
      </c>
      <c r="G1544" s="17">
        <f>IFERROR(__xludf.DUMMYFUNCTION("""COMPUTED_VALUE"""),12601.0)</f>
        <v>12601</v>
      </c>
      <c r="H1544" s="17" t="str">
        <f>IFERROR(__xludf.DUMMYFUNCTION("""COMPUTED_VALUE"""),"рибництво, загальне")</f>
        <v>рибництво, загальне</v>
      </c>
      <c r="I1544" s="18">
        <f>IFERROR(__xludf.DUMMYFUNCTION("""COMPUTED_VALUE"""),2.16)</f>
        <v>2.16</v>
      </c>
      <c r="J1544" s="18">
        <f>IFERROR(__xludf.DUMMYFUNCTION("""COMPUTED_VALUE"""),4.33)</f>
        <v>4.33</v>
      </c>
      <c r="K1544" s="18">
        <f>IFERROR(__xludf.DUMMYFUNCTION("""COMPUTED_VALUE"""),5.41)</f>
        <v>5.41</v>
      </c>
      <c r="L1544" s="18">
        <f>IFERROR(__xludf.DUMMYFUNCTION("""COMPUTED_VALUE"""),8.65)</f>
        <v>8.65</v>
      </c>
    </row>
    <row r="1545">
      <c r="A1545" s="13" t="str">
        <f>IFERROR(__xludf.DUMMYFUNCTION("""COMPUTED_VALUE"""),"товари")</f>
        <v>товари</v>
      </c>
      <c r="B154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5" s="15" t="str">
        <f>IFERROR(__xludf.DUMMYFUNCTION("""COMPUTED_VALUE"""),"сільськогосподарська техніка")</f>
        <v>сільськогосподарська техніка</v>
      </c>
      <c r="D1545" s="15" t="str">
        <f>IFERROR(__xludf.DUMMYFUNCTION("""COMPUTED_VALUE"""),"навісне та причіпне сільгоспобладнання")</f>
        <v>навісне та причіпне сільгоспобладнання</v>
      </c>
      <c r="E1545" s="15" t="str">
        <f>IFERROR(__xludf.DUMMYFUNCTION("""COMPUTED_VALUE"""),"розкидачі добрив")</f>
        <v>розкидачі добрив</v>
      </c>
      <c r="F1545" s="17">
        <f>IFERROR(__xludf.DUMMYFUNCTION("""COMPUTED_VALUE"""),4.0)</f>
        <v>4</v>
      </c>
      <c r="G1545" s="17">
        <f>IFERROR(__xludf.DUMMYFUNCTION("""COMPUTED_VALUE"""),1281107.0)</f>
        <v>1281107</v>
      </c>
      <c r="H1545" s="17" t="str">
        <f>IFERROR(__xludf.DUMMYFUNCTION("""COMPUTED_VALUE"""),"розкидачі добрив")</f>
        <v>розкидачі добрив</v>
      </c>
      <c r="I1545" s="18">
        <f>IFERROR(__xludf.DUMMYFUNCTION("""COMPUTED_VALUE"""),1.88)</f>
        <v>1.88</v>
      </c>
      <c r="J1545" s="18">
        <f>IFERROR(__xludf.DUMMYFUNCTION("""COMPUTED_VALUE"""),3.75)</f>
        <v>3.75</v>
      </c>
      <c r="K1545" s="18">
        <f>IFERROR(__xludf.DUMMYFUNCTION("""COMPUTED_VALUE"""),4.69)</f>
        <v>4.69</v>
      </c>
      <c r="L1545" s="18">
        <f>IFERROR(__xludf.DUMMYFUNCTION("""COMPUTED_VALUE"""),7.5)</f>
        <v>7.5</v>
      </c>
    </row>
    <row r="1546">
      <c r="A1546" s="13" t="str">
        <f>IFERROR(__xludf.DUMMYFUNCTION("""COMPUTED_VALUE"""),"товари")</f>
        <v>товари</v>
      </c>
      <c r="B154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6" s="15" t="str">
        <f>IFERROR(__xludf.DUMMYFUNCTION("""COMPUTED_VALUE"""),"сільськогосподарське обладнання")</f>
        <v>сільськогосподарське обладнання</v>
      </c>
      <c r="D1546" s="15" t="str">
        <f>IFERROR(__xludf.DUMMYFUNCTION("""COMPUTED_VALUE"""),"елеватори та зерносховища")</f>
        <v>елеватори та зерносховища</v>
      </c>
      <c r="E1546" s="15" t="str">
        <f>IFERROR(__xludf.DUMMYFUNCTION("""COMPUTED_VALUE"""),"самопливне обладнання")</f>
        <v>самопливне обладнання</v>
      </c>
      <c r="F1546" s="17">
        <f>IFERROR(__xludf.DUMMYFUNCTION("""COMPUTED_VALUE"""),4.0)</f>
        <v>4</v>
      </c>
      <c r="G1546" s="17">
        <f>IFERROR(__xludf.DUMMYFUNCTION("""COMPUTED_VALUE"""),120809.0)</f>
        <v>120809</v>
      </c>
      <c r="H1546" s="17" t="str">
        <f>IFERROR(__xludf.DUMMYFUNCTION("""COMPUTED_VALUE"""),"самопливне обладнання")</f>
        <v>самопливне обладнання</v>
      </c>
      <c r="I1546" s="18">
        <f>IFERROR(__xludf.DUMMYFUNCTION("""COMPUTED_VALUE"""),2.7)</f>
        <v>2.7</v>
      </c>
      <c r="J1546" s="18">
        <f>IFERROR(__xludf.DUMMYFUNCTION("""COMPUTED_VALUE"""),5.4)</f>
        <v>5.4</v>
      </c>
      <c r="K1546" s="18">
        <f>IFERROR(__xludf.DUMMYFUNCTION("""COMPUTED_VALUE"""),6.75)</f>
        <v>6.75</v>
      </c>
      <c r="L1546" s="18">
        <f>IFERROR(__xludf.DUMMYFUNCTION("""COMPUTED_VALUE"""),10.8)</f>
        <v>10.8</v>
      </c>
    </row>
    <row r="1547">
      <c r="A1547" s="13" t="str">
        <f>IFERROR(__xludf.DUMMYFUNCTION("""COMPUTED_VALUE"""),"товари")</f>
        <v>товари</v>
      </c>
      <c r="B154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7" s="15" t="str">
        <f>IFERROR(__xludf.DUMMYFUNCTION("""COMPUTED_VALUE"""),"сільськогосподарська техніка")</f>
        <v>сільськогосподарська техніка</v>
      </c>
      <c r="D1547" s="15" t="str">
        <f>IFERROR(__xludf.DUMMYFUNCTION("""COMPUTED_VALUE"""),"навісне та причіпне сільгоспобладнання")</f>
        <v>навісне та причіпне сільгоспобладнання</v>
      </c>
      <c r="E1547" s="15" t="str">
        <f>IFERROR(__xludf.DUMMYFUNCTION("""COMPUTED_VALUE"""),"системи контролю висіву")</f>
        <v>системи контролю висіву</v>
      </c>
      <c r="F1547" s="17">
        <f>IFERROR(__xludf.DUMMYFUNCTION("""COMPUTED_VALUE"""),4.0)</f>
        <v>4</v>
      </c>
      <c r="G1547" s="17">
        <f>IFERROR(__xludf.DUMMYFUNCTION("""COMPUTED_VALUE"""),1280905.0)</f>
        <v>1280905</v>
      </c>
      <c r="H1547" s="17" t="str">
        <f>IFERROR(__xludf.DUMMYFUNCTION("""COMPUTED_VALUE"""),"системи контролю висіву")</f>
        <v>системи контролю висіву</v>
      </c>
      <c r="I1547" s="18">
        <f>IFERROR(__xludf.DUMMYFUNCTION("""COMPUTED_VALUE"""),1.88)</f>
        <v>1.88</v>
      </c>
      <c r="J1547" s="18">
        <f>IFERROR(__xludf.DUMMYFUNCTION("""COMPUTED_VALUE"""),3.75)</f>
        <v>3.75</v>
      </c>
      <c r="K1547" s="18">
        <f>IFERROR(__xludf.DUMMYFUNCTION("""COMPUTED_VALUE"""),4.69)</f>
        <v>4.69</v>
      </c>
      <c r="L1547" s="18">
        <f>IFERROR(__xludf.DUMMYFUNCTION("""COMPUTED_VALUE"""),7.5)</f>
        <v>7.5</v>
      </c>
    </row>
    <row r="1548">
      <c r="A1548" s="13" t="str">
        <f>IFERROR(__xludf.DUMMYFUNCTION("""COMPUTED_VALUE"""),"товари")</f>
        <v>товари</v>
      </c>
      <c r="B154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8" s="15" t="str">
        <f>IFERROR(__xludf.DUMMYFUNCTION("""COMPUTED_VALUE"""),"сільськогосподарська техніка")</f>
        <v>сільськогосподарська техніка</v>
      </c>
      <c r="D1548" s="15" t="str">
        <f>IFERROR(__xludf.DUMMYFUNCTION("""COMPUTED_VALUE"""),"системи точного землеробства")</f>
        <v>системи точного землеробства</v>
      </c>
      <c r="E1548" s="15" t="str">
        <f>IFERROR(__xludf.DUMMYFUNCTION("""COMPUTED_VALUE"""),"системи точного землеробства")</f>
        <v>системи точного землеробства</v>
      </c>
      <c r="F1548" s="17">
        <f>IFERROR(__xludf.DUMMYFUNCTION("""COMPUTED_VALUE"""),3.0)</f>
        <v>3</v>
      </c>
      <c r="G1548" s="17">
        <f>IFERROR(__xludf.DUMMYFUNCTION("""COMPUTED_VALUE"""),12818.0)</f>
        <v>12818</v>
      </c>
      <c r="H1548" s="17" t="str">
        <f>IFERROR(__xludf.DUMMYFUNCTION("""COMPUTED_VALUE"""),"системи точного землеробства")</f>
        <v>системи точного землеробства</v>
      </c>
      <c r="I1548" s="18">
        <f>IFERROR(__xludf.DUMMYFUNCTION("""COMPUTED_VALUE"""),0.76)</f>
        <v>0.76</v>
      </c>
      <c r="J1548" s="18">
        <f>IFERROR(__xludf.DUMMYFUNCTION("""COMPUTED_VALUE"""),1.53)</f>
        <v>1.53</v>
      </c>
      <c r="K1548" s="18">
        <f>IFERROR(__xludf.DUMMYFUNCTION("""COMPUTED_VALUE"""),1.91)</f>
        <v>1.91</v>
      </c>
      <c r="L1548" s="18">
        <f>IFERROR(__xludf.DUMMYFUNCTION("""COMPUTED_VALUE"""),3.05)</f>
        <v>3.05</v>
      </c>
    </row>
    <row r="1549">
      <c r="A1549" s="13" t="str">
        <f>IFERROR(__xludf.DUMMYFUNCTION("""COMPUTED_VALUE"""),"товари")</f>
        <v>товари</v>
      </c>
      <c r="B154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9" s="15" t="str">
        <f>IFERROR(__xludf.DUMMYFUNCTION("""COMPUTED_VALUE"""),"сільськогосподарська техніка")</f>
        <v>сільськогосподарська техніка</v>
      </c>
      <c r="D1549" s="15" t="str">
        <f>IFERROR(__xludf.DUMMYFUNCTION("""COMPUTED_VALUE"""),"сільськогосподарські напівпричепи та причепи")</f>
        <v>сільськогосподарські напівпричепи та причепи</v>
      </c>
      <c r="E1549" s="15" t="str">
        <f>IFERROR(__xludf.DUMMYFUNCTION("""COMPUTED_VALUE"""),"сільськогосподарські напівпричепи та причепи")</f>
        <v>сільськогосподарські напівпричепи та причепи</v>
      </c>
      <c r="F1549" s="17">
        <f>IFERROR(__xludf.DUMMYFUNCTION("""COMPUTED_VALUE"""),3.0)</f>
        <v>3</v>
      </c>
      <c r="G1549" s="17">
        <f>IFERROR(__xludf.DUMMYFUNCTION("""COMPUTED_VALUE"""),1281103.0)</f>
        <v>1281103</v>
      </c>
      <c r="H1549" s="17" t="str">
        <f>IFERROR(__xludf.DUMMYFUNCTION("""COMPUTED_VALUE"""),"сільськогосподарські напівпричепи та причепи")</f>
        <v>сільськогосподарські напівпричепи та причепи</v>
      </c>
      <c r="I1549" s="18">
        <f>IFERROR(__xludf.DUMMYFUNCTION("""COMPUTED_VALUE"""),0.76)</f>
        <v>0.76</v>
      </c>
      <c r="J1549" s="18">
        <f>IFERROR(__xludf.DUMMYFUNCTION("""COMPUTED_VALUE"""),1.53)</f>
        <v>1.53</v>
      </c>
      <c r="K1549" s="18">
        <f>IFERROR(__xludf.DUMMYFUNCTION("""COMPUTED_VALUE"""),1.91)</f>
        <v>1.91</v>
      </c>
      <c r="L1549" s="18">
        <f>IFERROR(__xludf.DUMMYFUNCTION("""COMPUTED_VALUE"""),3.05)</f>
        <v>3.05</v>
      </c>
    </row>
    <row r="1550">
      <c r="A1550" s="13" t="str">
        <f>IFERROR(__xludf.DUMMYFUNCTION("""COMPUTED_VALUE"""),"товари")</f>
        <v>товари</v>
      </c>
      <c r="B155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50" s="15" t="str">
        <f>IFERROR(__xludf.DUMMYFUNCTION("""COMPUTED_VALUE"""),"сільськогосподарське обладнання")</f>
        <v>сільськогосподарське обладнання</v>
      </c>
      <c r="D1550" s="15" t="str">
        <f>IFERROR(__xludf.DUMMYFUNCTION("""COMPUTED_VALUE"""),"сортувальне сільськогосподарське обладнання")</f>
        <v>сортувальне сільськогосподарське обладнання</v>
      </c>
      <c r="E1550" s="15" t="str">
        <f>IFERROR(__xludf.DUMMYFUNCTION("""COMPUTED_VALUE"""),"сортувальне сільськогосподарське обладнання")</f>
        <v>сортувальне сільськогосподарське обладнання</v>
      </c>
      <c r="F1550" s="17">
        <f>IFERROR(__xludf.DUMMYFUNCTION("""COMPUTED_VALUE"""),3.0)</f>
        <v>3</v>
      </c>
      <c r="G1550" s="17">
        <f>IFERROR(__xludf.DUMMYFUNCTION("""COMPUTED_VALUE"""),12817.0)</f>
        <v>12817</v>
      </c>
      <c r="H1550" s="17" t="str">
        <f>IFERROR(__xludf.DUMMYFUNCTION("""COMPUTED_VALUE"""),"сортувальне сільськогосподарське обладнання")</f>
        <v>сортувальне сільськогосподарське обладнання</v>
      </c>
      <c r="I1550" s="18">
        <f>IFERROR(__xludf.DUMMYFUNCTION("""COMPUTED_VALUE"""),1.66)</f>
        <v>1.66</v>
      </c>
      <c r="J1550" s="18">
        <f>IFERROR(__xludf.DUMMYFUNCTION("""COMPUTED_VALUE"""),3.33)</f>
        <v>3.33</v>
      </c>
      <c r="K1550" s="18">
        <f>IFERROR(__xludf.DUMMYFUNCTION("""COMPUTED_VALUE"""),4.16)</f>
        <v>4.16</v>
      </c>
      <c r="L1550" s="18">
        <f>IFERROR(__xludf.DUMMYFUNCTION("""COMPUTED_VALUE"""),6.65)</f>
        <v>6.65</v>
      </c>
    </row>
    <row r="1551">
      <c r="A1551" s="13" t="str">
        <f>IFERROR(__xludf.DUMMYFUNCTION("""COMPUTED_VALUE"""),"послуги")</f>
        <v>послуги</v>
      </c>
      <c r="B1551" s="13" t="str">
        <f>IFERROR(__xludf.DUMMYFUNCTION("""COMPUTED_VALUE"""),"сільськогосподарські послуги")</f>
        <v>сільськогосподарські послуги</v>
      </c>
      <c r="C1551" s="15" t="str">
        <f>IFERROR(__xludf.DUMMYFUNCTION("""COMPUTED_VALUE"""),"сільськогосподарські послуги")</f>
        <v>сільськогосподарські послуги</v>
      </c>
      <c r="D1551" s="15" t="str">
        <f>IFERROR(__xludf.DUMMYFUNCTION("""COMPUTED_VALUE"""),"сільськогосподарські послуги")</f>
        <v>сільськогосподарські послуги</v>
      </c>
      <c r="E1551" s="15" t="str">
        <f>IFERROR(__xludf.DUMMYFUNCTION("""COMPUTED_VALUE"""),"сільськогосподарські послуги")</f>
        <v>сільськогосподарські послуги</v>
      </c>
      <c r="F1551" s="17">
        <f>IFERROR(__xludf.DUMMYFUNCTION("""COMPUTED_VALUE"""),1.0)</f>
        <v>1</v>
      </c>
      <c r="G1551" s="17">
        <f>IFERROR(__xludf.DUMMYFUNCTION("""COMPUTED_VALUE"""),2851.0)</f>
        <v>2851</v>
      </c>
      <c r="H1551" s="17" t="str">
        <f>IFERROR(__xludf.DUMMYFUNCTION("""COMPUTED_VALUE"""),"сільськогосподарські послуги")</f>
        <v>сільськогосподарські послуги</v>
      </c>
      <c r="I1551" s="18">
        <f>IFERROR(__xludf.DUMMYFUNCTION("""COMPUTED_VALUE"""),1.49)</f>
        <v>1.49</v>
      </c>
      <c r="J1551" s="18">
        <f>IFERROR(__xludf.DUMMYFUNCTION("""COMPUTED_VALUE"""),2.99)</f>
        <v>2.99</v>
      </c>
      <c r="K1551" s="18">
        <f>IFERROR(__xludf.DUMMYFUNCTION("""COMPUTED_VALUE"""),3.73)</f>
        <v>3.73</v>
      </c>
      <c r="L1551" s="18">
        <f>IFERROR(__xludf.DUMMYFUNCTION("""COMPUTED_VALUE"""),5.98)</f>
        <v>5.98</v>
      </c>
    </row>
    <row r="1552">
      <c r="A1552" s="13" t="str">
        <f>IFERROR(__xludf.DUMMYFUNCTION("""COMPUTED_VALUE"""),"товари")</f>
        <v>товари</v>
      </c>
      <c r="B1552" s="13" t="str">
        <f>IFERROR(__xludf.DUMMYFUNCTION("""COMPUTED_VALUE"""),"спорт і відпочинок")</f>
        <v>спорт і відпочинок</v>
      </c>
      <c r="C1552" s="15" t="str">
        <f>IFERROR(__xludf.DUMMYFUNCTION("""COMPUTED_VALUE"""),"велосипеди та аксесуари")</f>
        <v>велосипеди та аксесуари</v>
      </c>
      <c r="D1552" s="15" t="str">
        <f>IFERROR(__xludf.DUMMYFUNCTION("""COMPUTED_VALUE"""),"електровелосипеди")</f>
        <v>електровелосипеди</v>
      </c>
      <c r="E1552" s="15" t="str">
        <f>IFERROR(__xludf.DUMMYFUNCTION("""COMPUTED_VALUE"""),"електровелосипеди")</f>
        <v>електровелосипеди</v>
      </c>
      <c r="F1552" s="17">
        <f>IFERROR(__xludf.DUMMYFUNCTION("""COMPUTED_VALUE"""),3.0)</f>
        <v>3</v>
      </c>
      <c r="G1552" s="17">
        <f>IFERROR(__xludf.DUMMYFUNCTION("""COMPUTED_VALUE"""),182104.0)</f>
        <v>182104</v>
      </c>
      <c r="H1552" s="17" t="str">
        <f>IFERROR(__xludf.DUMMYFUNCTION("""COMPUTED_VALUE"""),"електровелосипеди")</f>
        <v>електровелосипеди</v>
      </c>
      <c r="I1552" s="18">
        <f>IFERROR(__xludf.DUMMYFUNCTION("""COMPUTED_VALUE"""),2.33)</f>
        <v>2.33</v>
      </c>
      <c r="J1552" s="18">
        <f>IFERROR(__xludf.DUMMYFUNCTION("""COMPUTED_VALUE"""),4.65)</f>
        <v>4.65</v>
      </c>
      <c r="K1552" s="18">
        <f>IFERROR(__xludf.DUMMYFUNCTION("""COMPUTED_VALUE"""),5.81)</f>
        <v>5.81</v>
      </c>
      <c r="L1552" s="18">
        <f>IFERROR(__xludf.DUMMYFUNCTION("""COMPUTED_VALUE"""),9.3)</f>
        <v>9.3</v>
      </c>
    </row>
    <row r="1553">
      <c r="A1553" s="13" t="str">
        <f>IFERROR(__xludf.DUMMYFUNCTION("""COMPUTED_VALUE"""),"товари")</f>
        <v>товари</v>
      </c>
      <c r="B1553" s="13" t="str">
        <f>IFERROR(__xludf.DUMMYFUNCTION("""COMPUTED_VALUE"""),"тара та упаковка")</f>
        <v>тара та упаковка</v>
      </c>
      <c r="C1553" s="15" t="str">
        <f>IFERROR(__xludf.DUMMYFUNCTION("""COMPUTED_VALUE"""),"пакувальні матеріали")</f>
        <v>пакувальні матеріали</v>
      </c>
      <c r="D1553" s="15" t="str">
        <f>IFERROR(__xludf.DUMMYFUNCTION("""COMPUTED_VALUE"""),"металеві пакувальні матеріали")</f>
        <v>металеві пакувальні матеріали</v>
      </c>
      <c r="E1553" s="15" t="str">
        <f>IFERROR(__xludf.DUMMYFUNCTION("""COMPUTED_VALUE"""),"аерозольні балони")</f>
        <v>аерозольні балони</v>
      </c>
      <c r="F1553" s="17">
        <f>IFERROR(__xludf.DUMMYFUNCTION("""COMPUTED_VALUE"""),4.0)</f>
        <v>4</v>
      </c>
      <c r="G1553" s="17">
        <f>IFERROR(__xludf.DUMMYFUNCTION("""COMPUTED_VALUE"""),230601.0)</f>
        <v>230601</v>
      </c>
      <c r="H1553" s="17" t="str">
        <f>IFERROR(__xludf.DUMMYFUNCTION("""COMPUTED_VALUE"""),"аерозольні балони")</f>
        <v>аерозольні балони</v>
      </c>
      <c r="I1553" s="18">
        <f>IFERROR(__xludf.DUMMYFUNCTION("""COMPUTED_VALUE"""),0.86)</f>
        <v>0.86</v>
      </c>
      <c r="J1553" s="18">
        <f>IFERROR(__xludf.DUMMYFUNCTION("""COMPUTED_VALUE"""),1.71)</f>
        <v>1.71</v>
      </c>
      <c r="K1553" s="18">
        <f>IFERROR(__xludf.DUMMYFUNCTION("""COMPUTED_VALUE"""),2.14)</f>
        <v>2.14</v>
      </c>
      <c r="L1553" s="18">
        <f>IFERROR(__xludf.DUMMYFUNCTION("""COMPUTED_VALUE"""),3.43)</f>
        <v>3.43</v>
      </c>
    </row>
    <row r="1554">
      <c r="A1554" s="13" t="str">
        <f>IFERROR(__xludf.DUMMYFUNCTION("""COMPUTED_VALUE"""),"товари")</f>
        <v>товари</v>
      </c>
      <c r="B1554" s="13" t="str">
        <f>IFERROR(__xludf.DUMMYFUNCTION("""COMPUTED_VALUE"""),"тара та упаковка")</f>
        <v>тара та упаковка</v>
      </c>
      <c r="C1554" s="15" t="str">
        <f>IFERROR(__xludf.DUMMYFUNCTION("""COMPUTED_VALUE"""),"упаковка для транспортування")</f>
        <v>упаковка для транспортування</v>
      </c>
      <c r="D1554" s="15" t="str">
        <f>IFERROR(__xludf.DUMMYFUNCTION("""COMPUTED_VALUE"""),"бочки та кеги")</f>
        <v>бочки та кеги</v>
      </c>
      <c r="E1554" s="15" t="str">
        <f>IFERROR(__xludf.DUMMYFUNCTION("""COMPUTED_VALUE"""),"бочки та кеги")</f>
        <v>бочки та кеги</v>
      </c>
      <c r="F1554" s="17">
        <f>IFERROR(__xludf.DUMMYFUNCTION("""COMPUTED_VALUE"""),3.0)</f>
        <v>3</v>
      </c>
      <c r="G1554" s="17">
        <f>IFERROR(__xludf.DUMMYFUNCTION("""COMPUTED_VALUE"""),232009.0)</f>
        <v>232009</v>
      </c>
      <c r="H1554" s="17" t="str">
        <f>IFERROR(__xludf.DUMMYFUNCTION("""COMPUTED_VALUE"""),"бочки та кеги")</f>
        <v>бочки та кеги</v>
      </c>
      <c r="I1554" s="18">
        <f>IFERROR(__xludf.DUMMYFUNCTION("""COMPUTED_VALUE"""),0.76)</f>
        <v>0.76</v>
      </c>
      <c r="J1554" s="18">
        <f>IFERROR(__xludf.DUMMYFUNCTION("""COMPUTED_VALUE"""),1.53)</f>
        <v>1.53</v>
      </c>
      <c r="K1554" s="18">
        <f>IFERROR(__xludf.DUMMYFUNCTION("""COMPUTED_VALUE"""),1.91)</f>
        <v>1.91</v>
      </c>
      <c r="L1554" s="18">
        <f>IFERROR(__xludf.DUMMYFUNCTION("""COMPUTED_VALUE"""),3.05)</f>
        <v>3.05</v>
      </c>
    </row>
    <row r="1555">
      <c r="A1555" s="13" t="str">
        <f>IFERROR(__xludf.DUMMYFUNCTION("""COMPUTED_VALUE"""),"товари")</f>
        <v>товари</v>
      </c>
      <c r="B1555" s="13" t="str">
        <f>IFERROR(__xludf.DUMMYFUNCTION("""COMPUTED_VALUE"""),"тара та упаковка")</f>
        <v>тара та упаковка</v>
      </c>
      <c r="C1555" s="15" t="str">
        <f>IFERROR(__xludf.DUMMYFUNCTION("""COMPUTED_VALUE"""),"пакувальні матеріали")</f>
        <v>пакувальні матеріали</v>
      </c>
      <c r="D1555" s="15" t="str">
        <f>IFERROR(__xludf.DUMMYFUNCTION("""COMPUTED_VALUE"""),"мотузкові вироби")</f>
        <v>мотузкові вироби</v>
      </c>
      <c r="E1555" s="15" t="str">
        <f>IFERROR(__xludf.DUMMYFUNCTION("""COMPUTED_VALUE"""),"будівельні шнури")</f>
        <v>будівельні шнури</v>
      </c>
      <c r="F1555" s="17">
        <f>IFERROR(__xludf.DUMMYFUNCTION("""COMPUTED_VALUE"""),4.0)</f>
        <v>4</v>
      </c>
      <c r="G1555" s="17">
        <f>IFERROR(__xludf.DUMMYFUNCTION("""COMPUTED_VALUE"""),230657.0)</f>
        <v>230657</v>
      </c>
      <c r="H1555" s="17" t="str">
        <f>IFERROR(__xludf.DUMMYFUNCTION("""COMPUTED_VALUE"""),"будівельні шнури")</f>
        <v>будівельні шнури</v>
      </c>
      <c r="I1555" s="18">
        <f>IFERROR(__xludf.DUMMYFUNCTION("""COMPUTED_VALUE"""),1.26)</f>
        <v>1.26</v>
      </c>
      <c r="J1555" s="18">
        <f>IFERROR(__xludf.DUMMYFUNCTION("""COMPUTED_VALUE"""),2.53)</f>
        <v>2.53</v>
      </c>
      <c r="K1555" s="18">
        <f>IFERROR(__xludf.DUMMYFUNCTION("""COMPUTED_VALUE"""),3.16)</f>
        <v>3.16</v>
      </c>
      <c r="L1555" s="18">
        <f>IFERROR(__xludf.DUMMYFUNCTION("""COMPUTED_VALUE"""),5.05)</f>
        <v>5.05</v>
      </c>
    </row>
    <row r="1556">
      <c r="A1556" s="13" t="str">
        <f>IFERROR(__xludf.DUMMYFUNCTION("""COMPUTED_VALUE"""),"товари")</f>
        <v>товари</v>
      </c>
      <c r="B1556" s="13" t="str">
        <f>IFERROR(__xludf.DUMMYFUNCTION("""COMPUTED_VALUE"""),"тара та упаковка")</f>
        <v>тара та упаковка</v>
      </c>
      <c r="C1556" s="15" t="str">
        <f>IFERROR(__xludf.DUMMYFUNCTION("""COMPUTED_VALUE"""),"етикетки та бирки")</f>
        <v>етикетки та бирки</v>
      </c>
      <c r="D1556" s="15" t="str">
        <f>IFERROR(__xludf.DUMMYFUNCTION("""COMPUTED_VALUE"""),"етикетки та бирки")</f>
        <v>етикетки та бирки</v>
      </c>
      <c r="E1556" s="15" t="str">
        <f>IFERROR(__xludf.DUMMYFUNCTION("""COMPUTED_VALUE"""),"етикетки та бирки")</f>
        <v>етикетки та бирки</v>
      </c>
      <c r="F1556" s="17">
        <f>IFERROR(__xludf.DUMMYFUNCTION("""COMPUTED_VALUE"""),2.0)</f>
        <v>2</v>
      </c>
      <c r="G1556" s="17">
        <f>IFERROR(__xludf.DUMMYFUNCTION("""COMPUTED_VALUE"""),2305.0)</f>
        <v>2305</v>
      </c>
      <c r="H1556" s="17" t="str">
        <f>IFERROR(__xludf.DUMMYFUNCTION("""COMPUTED_VALUE"""),"етикетки та бирки")</f>
        <v>етикетки та бирки</v>
      </c>
      <c r="I1556" s="18">
        <f>IFERROR(__xludf.DUMMYFUNCTION("""COMPUTED_VALUE"""),2.11)</f>
        <v>2.11</v>
      </c>
      <c r="J1556" s="18">
        <f>IFERROR(__xludf.DUMMYFUNCTION("""COMPUTED_VALUE"""),4.23)</f>
        <v>4.23</v>
      </c>
      <c r="K1556" s="18">
        <f>IFERROR(__xludf.DUMMYFUNCTION("""COMPUTED_VALUE"""),5.28)</f>
        <v>5.28</v>
      </c>
      <c r="L1556" s="18">
        <f>IFERROR(__xludf.DUMMYFUNCTION("""COMPUTED_VALUE"""),8.45)</f>
        <v>8.45</v>
      </c>
    </row>
    <row r="1557">
      <c r="A1557" s="13" t="str">
        <f>IFERROR(__xludf.DUMMYFUNCTION("""COMPUTED_VALUE"""),"товари")</f>
        <v>товари</v>
      </c>
      <c r="B1557" s="13" t="str">
        <f>IFERROR(__xludf.DUMMYFUNCTION("""COMPUTED_VALUE"""),"тара та упаковка")</f>
        <v>тара та упаковка</v>
      </c>
      <c r="C1557" s="15" t="str">
        <f>IFERROR(__xludf.DUMMYFUNCTION("""COMPUTED_VALUE"""),"контейнери морські та комплектуючі до них")</f>
        <v>контейнери морські та комплектуючі до них</v>
      </c>
      <c r="D1557" s="15" t="str">
        <f>IFERROR(__xludf.DUMMYFUNCTION("""COMPUTED_VALUE"""),"контейнери морські та комплектуючі до них")</f>
        <v>контейнери морські та комплектуючі до них</v>
      </c>
      <c r="E1557" s="15" t="str">
        <f>IFERROR(__xludf.DUMMYFUNCTION("""COMPUTED_VALUE"""),"контейнери морські та комплектуючі до них")</f>
        <v>контейнери морські та комплектуючі до них</v>
      </c>
      <c r="F1557" s="17">
        <f>IFERROR(__xludf.DUMMYFUNCTION("""COMPUTED_VALUE"""),2.0)</f>
        <v>2</v>
      </c>
      <c r="G1557" s="17">
        <f>IFERROR(__xludf.DUMMYFUNCTION("""COMPUTED_VALUE"""),1205.0)</f>
        <v>1205</v>
      </c>
      <c r="H1557" s="17" t="str">
        <f>IFERROR(__xludf.DUMMYFUNCTION("""COMPUTED_VALUE"""),"контейнери морські та комплектуючі до них")</f>
        <v>контейнери морські та комплектуючі до них</v>
      </c>
      <c r="I1557" s="18">
        <f>IFERROR(__xludf.DUMMYFUNCTION("""COMPUTED_VALUE"""),1.08)</f>
        <v>1.08</v>
      </c>
      <c r="J1557" s="18">
        <f>IFERROR(__xludf.DUMMYFUNCTION("""COMPUTED_VALUE"""),2.16)</f>
        <v>2.16</v>
      </c>
      <c r="K1557" s="18">
        <f>IFERROR(__xludf.DUMMYFUNCTION("""COMPUTED_VALUE"""),2.7)</f>
        <v>2.7</v>
      </c>
      <c r="L1557" s="18">
        <f>IFERROR(__xludf.DUMMYFUNCTION("""COMPUTED_VALUE"""),4.33)</f>
        <v>4.33</v>
      </c>
    </row>
    <row r="1558">
      <c r="A1558" s="13" t="str">
        <f>IFERROR(__xludf.DUMMYFUNCTION("""COMPUTED_VALUE"""),"товари")</f>
        <v>товари</v>
      </c>
      <c r="B1558" s="13" t="str">
        <f>IFERROR(__xludf.DUMMYFUNCTION("""COMPUTED_VALUE"""),"тара та упаковка")</f>
        <v>тара та упаковка</v>
      </c>
      <c r="C1558" s="15" t="str">
        <f>IFERROR(__xludf.DUMMYFUNCTION("""COMPUTED_VALUE"""),"пакувальні матеріали")</f>
        <v>пакувальні матеріали</v>
      </c>
      <c r="D1558" s="15" t="str">
        <f>IFERROR(__xludf.DUMMYFUNCTION("""COMPUTED_VALUE"""),"металеві пакувальні матеріали")</f>
        <v>металеві пакувальні матеріали</v>
      </c>
      <c r="E1558" s="15" t="str">
        <f>IFERROR(__xludf.DUMMYFUNCTION("""COMPUTED_VALUE"""),"металеві пакувальні матеріали, загальне")</f>
        <v>металеві пакувальні матеріали, загальне</v>
      </c>
      <c r="F1558" s="17">
        <f>IFERROR(__xludf.DUMMYFUNCTION("""COMPUTED_VALUE"""),4.0)</f>
        <v>4</v>
      </c>
      <c r="G1558" s="17">
        <f>IFERROR(__xludf.DUMMYFUNCTION("""COMPUTED_VALUE"""),230630.0)</f>
        <v>230630</v>
      </c>
      <c r="H1558" s="17" t="str">
        <f>IFERROR(__xludf.DUMMYFUNCTION("""COMPUTED_VALUE"""),"металеві пакувальні матеріали, загальне")</f>
        <v>металеві пакувальні матеріали, загальне</v>
      </c>
      <c r="I1558" s="18">
        <f>IFERROR(__xludf.DUMMYFUNCTION("""COMPUTED_VALUE"""),2.16)</f>
        <v>2.16</v>
      </c>
      <c r="J1558" s="18">
        <f>IFERROR(__xludf.DUMMYFUNCTION("""COMPUTED_VALUE"""),4.33)</f>
        <v>4.33</v>
      </c>
      <c r="K1558" s="18">
        <f>IFERROR(__xludf.DUMMYFUNCTION("""COMPUTED_VALUE"""),5.41)</f>
        <v>5.41</v>
      </c>
      <c r="L1558" s="18">
        <f>IFERROR(__xludf.DUMMYFUNCTION("""COMPUTED_VALUE"""),8.65)</f>
        <v>8.65</v>
      </c>
    </row>
    <row r="1559">
      <c r="A1559" s="13" t="str">
        <f>IFERROR(__xludf.DUMMYFUNCTION("""COMPUTED_VALUE"""),"товари")</f>
        <v>товари</v>
      </c>
      <c r="B1559" s="13" t="str">
        <f>IFERROR(__xludf.DUMMYFUNCTION("""COMPUTED_VALUE"""),"тара та упаковка")</f>
        <v>тара та упаковка</v>
      </c>
      <c r="C1559" s="15" t="str">
        <f>IFERROR(__xludf.DUMMYFUNCTION("""COMPUTED_VALUE"""),"упаковка для транспортування")</f>
        <v>упаковка для транспортування</v>
      </c>
      <c r="D1559" s="15" t="str">
        <f>IFERROR(__xludf.DUMMYFUNCTION("""COMPUTED_VALUE"""),"палети")</f>
        <v>палети</v>
      </c>
      <c r="E1559" s="15" t="str">
        <f>IFERROR(__xludf.DUMMYFUNCTION("""COMPUTED_VALUE"""),"палети")</f>
        <v>палети</v>
      </c>
      <c r="F1559" s="17">
        <f>IFERROR(__xludf.DUMMYFUNCTION("""COMPUTED_VALUE"""),3.0)</f>
        <v>3</v>
      </c>
      <c r="G1559" s="17">
        <f>IFERROR(__xludf.DUMMYFUNCTION("""COMPUTED_VALUE"""),232003.0)</f>
        <v>232003</v>
      </c>
      <c r="H1559" s="17" t="str">
        <f>IFERROR(__xludf.DUMMYFUNCTION("""COMPUTED_VALUE"""),"палети")</f>
        <v>палети</v>
      </c>
      <c r="I1559" s="18">
        <f>IFERROR(__xludf.DUMMYFUNCTION("""COMPUTED_VALUE"""),2.21)</f>
        <v>2.21</v>
      </c>
      <c r="J1559" s="18">
        <f>IFERROR(__xludf.DUMMYFUNCTION("""COMPUTED_VALUE"""),4.43)</f>
        <v>4.43</v>
      </c>
      <c r="K1559" s="18">
        <f>IFERROR(__xludf.DUMMYFUNCTION("""COMPUTED_VALUE"""),5.53)</f>
        <v>5.53</v>
      </c>
      <c r="L1559" s="18">
        <f>IFERROR(__xludf.DUMMYFUNCTION("""COMPUTED_VALUE"""),8.85)</f>
        <v>8.85</v>
      </c>
    </row>
    <row r="1560">
      <c r="A1560" s="13" t="str">
        <f>IFERROR(__xludf.DUMMYFUNCTION("""COMPUTED_VALUE"""),"товари")</f>
        <v>товари</v>
      </c>
      <c r="B1560" s="13" t="str">
        <f>IFERROR(__xludf.DUMMYFUNCTION("""COMPUTED_VALUE"""),"тара та упаковка")</f>
        <v>тара та упаковка</v>
      </c>
      <c r="C1560" s="15" t="str">
        <f>IFERROR(__xludf.DUMMYFUNCTION("""COMPUTED_VALUE"""),"паперова продукція та упаковка")</f>
        <v>паперова продукція та упаковка</v>
      </c>
      <c r="D1560" s="15" t="str">
        <f>IFERROR(__xludf.DUMMYFUNCTION("""COMPUTED_VALUE"""),"папір, загальне")</f>
        <v>папір, загальне</v>
      </c>
      <c r="E1560" s="15" t="str">
        <f>IFERROR(__xludf.DUMMYFUNCTION("""COMPUTED_VALUE"""),"папір, загальне")</f>
        <v>папір, загальне</v>
      </c>
      <c r="F1560" s="17">
        <f>IFERROR(__xludf.DUMMYFUNCTION("""COMPUTED_VALUE"""),3.0)</f>
        <v>3</v>
      </c>
      <c r="G1560" s="17">
        <f>IFERROR(__xludf.DUMMYFUNCTION("""COMPUTED_VALUE"""),230108.0)</f>
        <v>230108</v>
      </c>
      <c r="H1560" s="17" t="str">
        <f>IFERROR(__xludf.DUMMYFUNCTION("""COMPUTED_VALUE"""),"папір, загальне")</f>
        <v>папір, загальне</v>
      </c>
      <c r="I1560" s="18">
        <f>IFERROR(__xludf.DUMMYFUNCTION("""COMPUTED_VALUE"""),2.16)</f>
        <v>2.16</v>
      </c>
      <c r="J1560" s="18">
        <f>IFERROR(__xludf.DUMMYFUNCTION("""COMPUTED_VALUE"""),4.33)</f>
        <v>4.33</v>
      </c>
      <c r="K1560" s="18">
        <f>IFERROR(__xludf.DUMMYFUNCTION("""COMPUTED_VALUE"""),5.41)</f>
        <v>5.41</v>
      </c>
      <c r="L1560" s="18">
        <f>IFERROR(__xludf.DUMMYFUNCTION("""COMPUTED_VALUE"""),8.65)</f>
        <v>8.65</v>
      </c>
    </row>
    <row r="1561">
      <c r="A1561" s="13" t="str">
        <f>IFERROR(__xludf.DUMMYFUNCTION("""COMPUTED_VALUE"""),"товари")</f>
        <v>товари</v>
      </c>
      <c r="B1561" s="13" t="str">
        <f>IFERROR(__xludf.DUMMYFUNCTION("""COMPUTED_VALUE"""),"тара та упаковка")</f>
        <v>тара та упаковка</v>
      </c>
      <c r="C1561" s="15" t="str">
        <f>IFERROR(__xludf.DUMMYFUNCTION("""COMPUTED_VALUE"""),"пакувальні матеріали")</f>
        <v>пакувальні матеріали</v>
      </c>
      <c r="D1561" s="15" t="str">
        <f>IFERROR(__xludf.DUMMYFUNCTION("""COMPUTED_VALUE"""),"пластикові ємності")</f>
        <v>пластикові ємності</v>
      </c>
      <c r="E1561" s="15" t="str">
        <f>IFERROR(__xludf.DUMMYFUNCTION("""COMPUTED_VALUE"""),"пластикові ємності, загальне")</f>
        <v>пластикові ємності, загальне</v>
      </c>
      <c r="F1561" s="17">
        <f>IFERROR(__xludf.DUMMYFUNCTION("""COMPUTED_VALUE"""),4.0)</f>
        <v>4</v>
      </c>
      <c r="G1561" s="17">
        <f>IFERROR(__xludf.DUMMYFUNCTION("""COMPUTED_VALUE"""),230612.0)</f>
        <v>230612</v>
      </c>
      <c r="H1561" s="17" t="str">
        <f>IFERROR(__xludf.DUMMYFUNCTION("""COMPUTED_VALUE"""),"пластикові ємності, загальне")</f>
        <v>пластикові ємності, загальне</v>
      </c>
      <c r="I1561" s="18">
        <f>IFERROR(__xludf.DUMMYFUNCTION("""COMPUTED_VALUE"""),2.16)</f>
        <v>2.16</v>
      </c>
      <c r="J1561" s="18">
        <f>IFERROR(__xludf.DUMMYFUNCTION("""COMPUTED_VALUE"""),4.33)</f>
        <v>4.33</v>
      </c>
      <c r="K1561" s="18">
        <f>IFERROR(__xludf.DUMMYFUNCTION("""COMPUTED_VALUE"""),5.41)</f>
        <v>5.41</v>
      </c>
      <c r="L1561" s="18">
        <f>IFERROR(__xludf.DUMMYFUNCTION("""COMPUTED_VALUE"""),8.65)</f>
        <v>8.65</v>
      </c>
    </row>
    <row r="1562">
      <c r="A1562" s="13" t="str">
        <f>IFERROR(__xludf.DUMMYFUNCTION("""COMPUTED_VALUE"""),"товари")</f>
        <v>товари</v>
      </c>
      <c r="B1562" s="13" t="str">
        <f>IFERROR(__xludf.DUMMYFUNCTION("""COMPUTED_VALUE"""),"тара та упаковка")</f>
        <v>тара та упаковка</v>
      </c>
      <c r="C1562" s="15" t="str">
        <f>IFERROR(__xludf.DUMMYFUNCTION("""COMPUTED_VALUE"""),"пакувальні матеріали")</f>
        <v>пакувальні матеріали</v>
      </c>
      <c r="D1562" s="15" t="str">
        <f>IFERROR(__xludf.DUMMYFUNCTION("""COMPUTED_VALUE"""),"пакувальні плівки")</f>
        <v>пакувальні плівки</v>
      </c>
      <c r="E1562" s="15" t="str">
        <f>IFERROR(__xludf.DUMMYFUNCTION("""COMPUTED_VALUE"""),"повітряно-пухирчаста плівка")</f>
        <v>повітряно-пухирчаста плівка</v>
      </c>
      <c r="F1562" s="17">
        <f>IFERROR(__xludf.DUMMYFUNCTION("""COMPUTED_VALUE"""),4.0)</f>
        <v>4</v>
      </c>
      <c r="G1562" s="17">
        <f>IFERROR(__xludf.DUMMYFUNCTION("""COMPUTED_VALUE"""),230647.0)</f>
        <v>230647</v>
      </c>
      <c r="H1562" s="17" t="str">
        <f>IFERROR(__xludf.DUMMYFUNCTION("""COMPUTED_VALUE"""),"повітряно-пухирчаста плівка")</f>
        <v>повітряно-пухирчаста плівка</v>
      </c>
      <c r="I1562" s="18">
        <f>IFERROR(__xludf.DUMMYFUNCTION("""COMPUTED_VALUE"""),1.35)</f>
        <v>1.35</v>
      </c>
      <c r="J1562" s="18">
        <f>IFERROR(__xludf.DUMMYFUNCTION("""COMPUTED_VALUE"""),2.7)</f>
        <v>2.7</v>
      </c>
      <c r="K1562" s="18">
        <f>IFERROR(__xludf.DUMMYFUNCTION("""COMPUTED_VALUE"""),3.38)</f>
        <v>3.38</v>
      </c>
      <c r="L1562" s="18">
        <f>IFERROR(__xludf.DUMMYFUNCTION("""COMPUTED_VALUE"""),5.4)</f>
        <v>5.4</v>
      </c>
    </row>
    <row r="1563">
      <c r="A1563" s="13" t="str">
        <f>IFERROR(__xludf.DUMMYFUNCTION("""COMPUTED_VALUE"""),"товари")</f>
        <v>товари</v>
      </c>
      <c r="B1563" s="13" t="str">
        <f>IFERROR(__xludf.DUMMYFUNCTION("""COMPUTED_VALUE"""),"тара та упаковка")</f>
        <v>тара та упаковка</v>
      </c>
      <c r="C1563" s="15" t="str">
        <f>IFERROR(__xludf.DUMMYFUNCTION("""COMPUTED_VALUE"""),"тара та упаковка, загальне")</f>
        <v>тара та упаковка, загальне</v>
      </c>
      <c r="D1563" s="15" t="str">
        <f>IFERROR(__xludf.DUMMYFUNCTION("""COMPUTED_VALUE"""),"тара та упаковка, загальне")</f>
        <v>тара та упаковка, загальне</v>
      </c>
      <c r="E1563" s="15" t="str">
        <f>IFERROR(__xludf.DUMMYFUNCTION("""COMPUTED_VALUE"""),"тара та упаковка, загальне")</f>
        <v>тара та упаковка, загальне</v>
      </c>
      <c r="F1563" s="17">
        <f>IFERROR(__xludf.DUMMYFUNCTION("""COMPUTED_VALUE"""),2.0)</f>
        <v>2</v>
      </c>
      <c r="G1563" s="17">
        <f>IFERROR(__xludf.DUMMYFUNCTION("""COMPUTED_VALUE"""),2313.0)</f>
        <v>2313</v>
      </c>
      <c r="H1563" s="17" t="str">
        <f>IFERROR(__xludf.DUMMYFUNCTION("""COMPUTED_VALUE"""),"тара та упаковка, загальне")</f>
        <v>тара та упаковка, загальне</v>
      </c>
      <c r="I1563" s="18">
        <f>IFERROR(__xludf.DUMMYFUNCTION("""COMPUTED_VALUE"""),2.16)</f>
        <v>2.16</v>
      </c>
      <c r="J1563" s="18">
        <f>IFERROR(__xludf.DUMMYFUNCTION("""COMPUTED_VALUE"""),4.33)</f>
        <v>4.33</v>
      </c>
      <c r="K1563" s="18">
        <f>IFERROR(__xludf.DUMMYFUNCTION("""COMPUTED_VALUE"""),5.41)</f>
        <v>5.41</v>
      </c>
      <c r="L1563" s="18">
        <f>IFERROR(__xludf.DUMMYFUNCTION("""COMPUTED_VALUE"""),8.65)</f>
        <v>8.65</v>
      </c>
    </row>
    <row r="1564">
      <c r="A1564" s="13" t="str">
        <f>IFERROR(__xludf.DUMMYFUNCTION("""COMPUTED_VALUE"""),"товари")</f>
        <v>товари</v>
      </c>
      <c r="B1564" s="13" t="str">
        <f>IFERROR(__xludf.DUMMYFUNCTION("""COMPUTED_VALUE"""),"тара та упаковка")</f>
        <v>тара та упаковка</v>
      </c>
      <c r="C1564" s="15" t="str">
        <f>IFERROR(__xludf.DUMMYFUNCTION("""COMPUTED_VALUE"""),"промислова упаковка")</f>
        <v>промислова упаковка</v>
      </c>
      <c r="D1564" s="15" t="str">
        <f>IFERROR(__xludf.DUMMYFUNCTION("""COMPUTED_VALUE"""),"упаковка для медичних товарів")</f>
        <v>упаковка для медичних товарів</v>
      </c>
      <c r="E1564" s="15" t="str">
        <f>IFERROR(__xludf.DUMMYFUNCTION("""COMPUTED_VALUE"""),"упаковка для медичних товарів")</f>
        <v>упаковка для медичних товарів</v>
      </c>
      <c r="F1564" s="17">
        <f>IFERROR(__xludf.DUMMYFUNCTION("""COMPUTED_VALUE"""),3.0)</f>
        <v>3</v>
      </c>
      <c r="G1564" s="17">
        <f>IFERROR(__xludf.DUMMYFUNCTION("""COMPUTED_VALUE"""),231904.0)</f>
        <v>231904</v>
      </c>
      <c r="H1564" s="17" t="str">
        <f>IFERROR(__xludf.DUMMYFUNCTION("""COMPUTED_VALUE"""),"упаковка для медичних товарів")</f>
        <v>упаковка для медичних товарів</v>
      </c>
      <c r="I1564" s="18">
        <f>IFERROR(__xludf.DUMMYFUNCTION("""COMPUTED_VALUE"""),0.72)</f>
        <v>0.72</v>
      </c>
      <c r="J1564" s="18">
        <f>IFERROR(__xludf.DUMMYFUNCTION("""COMPUTED_VALUE"""),1.44)</f>
        <v>1.44</v>
      </c>
      <c r="K1564" s="18">
        <f>IFERROR(__xludf.DUMMYFUNCTION("""COMPUTED_VALUE"""),1.8)</f>
        <v>1.8</v>
      </c>
      <c r="L1564" s="18">
        <f>IFERROR(__xludf.DUMMYFUNCTION("""COMPUTED_VALUE"""),2.88)</f>
        <v>2.88</v>
      </c>
    </row>
    <row r="1565">
      <c r="A1565" s="13" t="str">
        <f>IFERROR(__xludf.DUMMYFUNCTION("""COMPUTED_VALUE"""),"товари")</f>
        <v>товари</v>
      </c>
      <c r="B1565" s="13" t="str">
        <f>IFERROR(__xludf.DUMMYFUNCTION("""COMPUTED_VALUE"""),"тара та упаковка")</f>
        <v>тара та упаковка</v>
      </c>
      <c r="C1565" s="15" t="str">
        <f>IFERROR(__xludf.DUMMYFUNCTION("""COMPUTED_VALUE"""),"упаковка для транспортування")</f>
        <v>упаковка для транспортування</v>
      </c>
      <c r="D1565" s="15" t="str">
        <f>IFERROR(__xludf.DUMMYFUNCTION("""COMPUTED_VALUE"""),"упаковка для транспортування, загальне")</f>
        <v>упаковка для транспортування, загальне</v>
      </c>
      <c r="E1565" s="15" t="str">
        <f>IFERROR(__xludf.DUMMYFUNCTION("""COMPUTED_VALUE"""),"упаковка для транспортування, загальне")</f>
        <v>упаковка для транспортування, загальне</v>
      </c>
      <c r="F1565" s="17">
        <f>IFERROR(__xludf.DUMMYFUNCTION("""COMPUTED_VALUE"""),3.0)</f>
        <v>3</v>
      </c>
      <c r="G1565" s="17">
        <f>IFERROR(__xludf.DUMMYFUNCTION("""COMPUTED_VALUE"""),232011.0)</f>
        <v>232011</v>
      </c>
      <c r="H1565" s="17" t="str">
        <f>IFERROR(__xludf.DUMMYFUNCTION("""COMPUTED_VALUE"""),"упаковка для транспортування, загальне")</f>
        <v>упаковка для транспортування, загальне</v>
      </c>
      <c r="I1565" s="18">
        <f>IFERROR(__xludf.DUMMYFUNCTION("""COMPUTED_VALUE"""),2.16)</f>
        <v>2.16</v>
      </c>
      <c r="J1565" s="18">
        <f>IFERROR(__xludf.DUMMYFUNCTION("""COMPUTED_VALUE"""),4.33)</f>
        <v>4.33</v>
      </c>
      <c r="K1565" s="18">
        <f>IFERROR(__xludf.DUMMYFUNCTION("""COMPUTED_VALUE"""),5.41)</f>
        <v>5.41</v>
      </c>
      <c r="L1565" s="18">
        <f>IFERROR(__xludf.DUMMYFUNCTION("""COMPUTED_VALUE"""),8.65)</f>
        <v>8.65</v>
      </c>
    </row>
    <row r="1566">
      <c r="A1566" s="13" t="str">
        <f>IFERROR(__xludf.DUMMYFUNCTION("""COMPUTED_VALUE"""),"товари")</f>
        <v>товари</v>
      </c>
      <c r="B1566" s="13" t="str">
        <f>IFERROR(__xludf.DUMMYFUNCTION("""COMPUTED_VALUE"""),"телекомунікації та зв'язок")</f>
        <v>телекомунікації та зв'язок</v>
      </c>
      <c r="C1566" s="15" t="str">
        <f>IFERROR(__xludf.DUMMYFUNCTION("""COMPUTED_VALUE"""),"серверне обладнання")</f>
        <v>серверне обладнання</v>
      </c>
      <c r="D1566" s="15" t="str">
        <f>IFERROR(__xludf.DUMMYFUNCTION("""COMPUTED_VALUE"""),"аксесуари та комплектуючі для серверного обладнання")</f>
        <v>аксесуари та комплектуючі для серверного обладнання</v>
      </c>
      <c r="E1566" s="15" t="str">
        <f>IFERROR(__xludf.DUMMYFUNCTION("""COMPUTED_VALUE"""),"аксесуари та комплектуючі для серверного обладнання")</f>
        <v>аксесуари та комплектуючі для серверного обладнання</v>
      </c>
      <c r="F1566" s="17">
        <f>IFERROR(__xludf.DUMMYFUNCTION("""COMPUTED_VALUE"""),3.0)</f>
        <v>3</v>
      </c>
      <c r="G1566" s="17">
        <f>IFERROR(__xludf.DUMMYFUNCTION("""COMPUTED_VALUE"""),70308.0)</f>
        <v>70308</v>
      </c>
      <c r="H1566" s="17" t="str">
        <f>IFERROR(__xludf.DUMMYFUNCTION("""COMPUTED_VALUE"""),"аксесуари та комплектуючі для серверного обладнання")</f>
        <v>аксесуари та комплектуючі для серверного обладнання</v>
      </c>
      <c r="I1566" s="18">
        <f>IFERROR(__xludf.DUMMYFUNCTION("""COMPUTED_VALUE"""),0.76)</f>
        <v>0.76</v>
      </c>
      <c r="J1566" s="18">
        <f>IFERROR(__xludf.DUMMYFUNCTION("""COMPUTED_VALUE"""),1.53)</f>
        <v>1.53</v>
      </c>
      <c r="K1566" s="18">
        <f>IFERROR(__xludf.DUMMYFUNCTION("""COMPUTED_VALUE"""),1.91)</f>
        <v>1.91</v>
      </c>
      <c r="L1566" s="18">
        <f>IFERROR(__xludf.DUMMYFUNCTION("""COMPUTED_VALUE"""),3.05)</f>
        <v>3.05</v>
      </c>
    </row>
    <row r="1567">
      <c r="A1567" s="13" t="str">
        <f>IFERROR(__xludf.DUMMYFUNCTION("""COMPUTED_VALUE"""),"товари")</f>
        <v>товари</v>
      </c>
      <c r="B1567" s="13" t="str">
        <f>IFERROR(__xludf.DUMMYFUNCTION("""COMPUTED_VALUE"""),"телекомунікації та зв'язок")</f>
        <v>телекомунікації та зв'язок</v>
      </c>
      <c r="C1567" s="15" t="str">
        <f>IFERROR(__xludf.DUMMYFUNCTION("""COMPUTED_VALUE"""),"телефонія")</f>
        <v>телефонія</v>
      </c>
      <c r="D1567" s="15" t="str">
        <f>IFERROR(__xludf.DUMMYFUNCTION("""COMPUTED_VALUE"""),"атс, міні-атс")</f>
        <v>атс, міні-атс</v>
      </c>
      <c r="E1567" s="15" t="str">
        <f>IFERROR(__xludf.DUMMYFUNCTION("""COMPUTED_VALUE"""),"атс, міні-атс")</f>
        <v>атс, міні-атс</v>
      </c>
      <c r="F1567" s="17">
        <f>IFERROR(__xludf.DUMMYFUNCTION("""COMPUTED_VALUE"""),3.0)</f>
        <v>3</v>
      </c>
      <c r="G1567" s="17">
        <f>IFERROR(__xludf.DUMMYFUNCTION("""COMPUTED_VALUE"""),5090102.0)</f>
        <v>5090102</v>
      </c>
      <c r="H1567" s="17" t="str">
        <f>IFERROR(__xludf.DUMMYFUNCTION("""COMPUTED_VALUE"""),"атс, міні-атс")</f>
        <v>атс, міні-атс</v>
      </c>
      <c r="I1567" s="18">
        <f>IFERROR(__xludf.DUMMYFUNCTION("""COMPUTED_VALUE"""),0.53)</f>
        <v>0.53</v>
      </c>
      <c r="J1567" s="18">
        <f>IFERROR(__xludf.DUMMYFUNCTION("""COMPUTED_VALUE"""),1.05)</f>
        <v>1.05</v>
      </c>
      <c r="K1567" s="18">
        <f>IFERROR(__xludf.DUMMYFUNCTION("""COMPUTED_VALUE"""),1.31)</f>
        <v>1.31</v>
      </c>
      <c r="L1567" s="18">
        <f>IFERROR(__xludf.DUMMYFUNCTION("""COMPUTED_VALUE"""),2.1)</f>
        <v>2.1</v>
      </c>
    </row>
    <row r="1568">
      <c r="A1568" s="13" t="str">
        <f>IFERROR(__xludf.DUMMYFUNCTION("""COMPUTED_VALUE"""),"товари")</f>
        <v>товари</v>
      </c>
      <c r="B1568" s="13" t="str">
        <f>IFERROR(__xludf.DUMMYFUNCTION("""COMPUTED_VALUE"""),"телекомунікації та зв'язок")</f>
        <v>телекомунікації та зв'язок</v>
      </c>
      <c r="C1568" s="15" t="str">
        <f>IFERROR(__xludf.DUMMYFUNCTION("""COMPUTED_VALUE"""),"багатофункціональні апаратні")</f>
        <v>багатофункціональні апаратні</v>
      </c>
      <c r="D1568" s="15" t="str">
        <f>IFERROR(__xludf.DUMMYFUNCTION("""COMPUTED_VALUE"""),"багатофункціональні апаратні, загальне")</f>
        <v>багатофункціональні апаратні, загальне</v>
      </c>
      <c r="E1568" s="15" t="str">
        <f>IFERROR(__xludf.DUMMYFUNCTION("""COMPUTED_VALUE"""),"багатофункціональні апаратні, загальне")</f>
        <v>багатофункціональні апаратні, загальне</v>
      </c>
      <c r="F1568" s="17">
        <f>IFERROR(__xludf.DUMMYFUNCTION("""COMPUTED_VALUE"""),3.0)</f>
        <v>3</v>
      </c>
      <c r="G1568" s="17">
        <f>IFERROR(__xludf.DUMMYFUNCTION("""COMPUTED_VALUE"""),5090901.0)</f>
        <v>5090901</v>
      </c>
      <c r="H1568" s="17" t="str">
        <f>IFERROR(__xludf.DUMMYFUNCTION("""COMPUTED_VALUE"""),"багатофункціональні апаратні, загальне")</f>
        <v>багатофункціональні апаратні, загальне</v>
      </c>
      <c r="I1568" s="18">
        <f>IFERROR(__xludf.DUMMYFUNCTION("""COMPUTED_VALUE"""),2.16)</f>
        <v>2.16</v>
      </c>
      <c r="J1568" s="18">
        <f>IFERROR(__xludf.DUMMYFUNCTION("""COMPUTED_VALUE"""),4.33)</f>
        <v>4.33</v>
      </c>
      <c r="K1568" s="18">
        <f>IFERROR(__xludf.DUMMYFUNCTION("""COMPUTED_VALUE"""),5.41)</f>
        <v>5.41</v>
      </c>
      <c r="L1568" s="18">
        <f>IFERROR(__xludf.DUMMYFUNCTION("""COMPUTED_VALUE"""),8.65)</f>
        <v>8.65</v>
      </c>
    </row>
    <row r="1569">
      <c r="A1569" s="13" t="str">
        <f>IFERROR(__xludf.DUMMYFUNCTION("""COMPUTED_VALUE"""),"товари")</f>
        <v>товари</v>
      </c>
      <c r="B1569" s="13" t="str">
        <f>IFERROR(__xludf.DUMMYFUNCTION("""COMPUTED_VALUE"""),"телекомунікації та зв'язок")</f>
        <v>телекомунікації та зв'язок</v>
      </c>
      <c r="C1569" s="15" t="str">
        <f>IFERROR(__xludf.DUMMYFUNCTION("""COMPUTED_VALUE"""),"пасивне мережеве обладнання")</f>
        <v>пасивне мережеве обладнання</v>
      </c>
      <c r="D1569" s="15" t="str">
        <f>IFERROR(__xludf.DUMMYFUNCTION("""COMPUTED_VALUE"""),"оптоволоконне обладнання")</f>
        <v>оптоволоконне обладнання</v>
      </c>
      <c r="E1569" s="15" t="str">
        <f>IFERROR(__xludf.DUMMYFUNCTION("""COMPUTED_VALUE"""),"витратні матеріали та інструменти для оптоволокна")</f>
        <v>витратні матеріали та інструменти для оптоволокна</v>
      </c>
      <c r="F1569" s="17">
        <f>IFERROR(__xludf.DUMMYFUNCTION("""COMPUTED_VALUE"""),4.0)</f>
        <v>4</v>
      </c>
      <c r="G1569" s="17">
        <f>IFERROR(__xludf.DUMMYFUNCTION("""COMPUTED_VALUE"""),5092009.0)</f>
        <v>5092009</v>
      </c>
      <c r="H1569" s="17" t="str">
        <f>IFERROR(__xludf.DUMMYFUNCTION("""COMPUTED_VALUE"""),"витратні матеріали та інструменти для оптоволокна")</f>
        <v>витратні матеріали та інструменти для оптоволокна</v>
      </c>
      <c r="I1569" s="18">
        <f>IFERROR(__xludf.DUMMYFUNCTION("""COMPUTED_VALUE"""),0.86)</f>
        <v>0.86</v>
      </c>
      <c r="J1569" s="18">
        <f>IFERROR(__xludf.DUMMYFUNCTION("""COMPUTED_VALUE"""),1.71)</f>
        <v>1.71</v>
      </c>
      <c r="K1569" s="18">
        <f>IFERROR(__xludf.DUMMYFUNCTION("""COMPUTED_VALUE"""),2.14)</f>
        <v>2.14</v>
      </c>
      <c r="L1569" s="18">
        <f>IFERROR(__xludf.DUMMYFUNCTION("""COMPUTED_VALUE"""),3.43)</f>
        <v>3.43</v>
      </c>
    </row>
    <row r="1570">
      <c r="A1570" s="13" t="str">
        <f>IFERROR(__xludf.DUMMYFUNCTION("""COMPUTED_VALUE"""),"товари")</f>
        <v>товари</v>
      </c>
      <c r="B1570" s="13" t="str">
        <f>IFERROR(__xludf.DUMMYFUNCTION("""COMPUTED_VALUE"""),"телекомунікації та зв'язок")</f>
        <v>телекомунікації та зв'язок</v>
      </c>
      <c r="C1570" s="15" t="str">
        <f>IFERROR(__xludf.DUMMYFUNCTION("""COMPUTED_VALUE"""),"телефонія")</f>
        <v>телефонія</v>
      </c>
      <c r="D1570" s="15" t="str">
        <f>IFERROR(__xludf.DUMMYFUNCTION("""COMPUTED_VALUE"""),"відеофони та комплектуючі")</f>
        <v>відеофони та комплектуючі</v>
      </c>
      <c r="E1570" s="15" t="str">
        <f>IFERROR(__xludf.DUMMYFUNCTION("""COMPUTED_VALUE"""),"відеофони та комплектуючі")</f>
        <v>відеофони та комплектуючі</v>
      </c>
      <c r="F1570" s="17">
        <f>IFERROR(__xludf.DUMMYFUNCTION("""COMPUTED_VALUE"""),3.0)</f>
        <v>3</v>
      </c>
      <c r="G1570" s="17">
        <f>IFERROR(__xludf.DUMMYFUNCTION("""COMPUTED_VALUE"""),50917.0)</f>
        <v>50917</v>
      </c>
      <c r="H1570" s="17" t="str">
        <f>IFERROR(__xludf.DUMMYFUNCTION("""COMPUTED_VALUE"""),"відеофони та комплектуючі")</f>
        <v>відеофони та комплектуючі</v>
      </c>
      <c r="I1570" s="18">
        <f>IFERROR(__xludf.DUMMYFUNCTION("""COMPUTED_VALUE"""),0.76)</f>
        <v>0.76</v>
      </c>
      <c r="J1570" s="18">
        <f>IFERROR(__xludf.DUMMYFUNCTION("""COMPUTED_VALUE"""),1.53)</f>
        <v>1.53</v>
      </c>
      <c r="K1570" s="18">
        <f>IFERROR(__xludf.DUMMYFUNCTION("""COMPUTED_VALUE"""),1.91)</f>
        <v>1.91</v>
      </c>
      <c r="L1570" s="18">
        <f>IFERROR(__xludf.DUMMYFUNCTION("""COMPUTED_VALUE"""),3.05)</f>
        <v>3.05</v>
      </c>
    </row>
    <row r="1571">
      <c r="A1571" s="13" t="str">
        <f>IFERROR(__xludf.DUMMYFUNCTION("""COMPUTED_VALUE"""),"товари")</f>
        <v>товари</v>
      </c>
      <c r="B1571" s="13" t="str">
        <f>IFERROR(__xludf.DUMMYFUNCTION("""COMPUTED_VALUE"""),"телекомунікації та зв'язок")</f>
        <v>телекомунікації та зв'язок</v>
      </c>
      <c r="C1571" s="15" t="str">
        <f>IFERROR(__xludf.DUMMYFUNCTION("""COMPUTED_VALUE"""),"активне мережеве обладнання")</f>
        <v>активне мережеве обладнання</v>
      </c>
      <c r="D1571" s="15" t="str">
        <f>IFERROR(__xludf.DUMMYFUNCTION("""COMPUTED_VALUE"""),"генератори шуму")</f>
        <v>генератори шуму</v>
      </c>
      <c r="E1571" s="15" t="str">
        <f>IFERROR(__xludf.DUMMYFUNCTION("""COMPUTED_VALUE"""),"генератори шуму")</f>
        <v>генератори шуму</v>
      </c>
      <c r="F1571" s="17">
        <f>IFERROR(__xludf.DUMMYFUNCTION("""COMPUTED_VALUE"""),3.0)</f>
        <v>3</v>
      </c>
      <c r="G1571" s="17">
        <f>IFERROR(__xludf.DUMMYFUNCTION("""COMPUTED_VALUE"""),300407.0)</f>
        <v>300407</v>
      </c>
      <c r="H1571" s="17" t="str">
        <f>IFERROR(__xludf.DUMMYFUNCTION("""COMPUTED_VALUE"""),"генератори шуму")</f>
        <v>генератори шуму</v>
      </c>
      <c r="I1571" s="18">
        <f>IFERROR(__xludf.DUMMYFUNCTION("""COMPUTED_VALUE"""),0.53)</f>
        <v>0.53</v>
      </c>
      <c r="J1571" s="18">
        <f>IFERROR(__xludf.DUMMYFUNCTION("""COMPUTED_VALUE"""),1.05)</f>
        <v>1.05</v>
      </c>
      <c r="K1571" s="18">
        <f>IFERROR(__xludf.DUMMYFUNCTION("""COMPUTED_VALUE"""),1.31)</f>
        <v>1.31</v>
      </c>
      <c r="L1571" s="18">
        <f>IFERROR(__xludf.DUMMYFUNCTION("""COMPUTED_VALUE"""),2.1)</f>
        <v>2.1</v>
      </c>
    </row>
    <row r="1572">
      <c r="A1572" s="13" t="str">
        <f>IFERROR(__xludf.DUMMYFUNCTION("""COMPUTED_VALUE"""),"товари")</f>
        <v>товари</v>
      </c>
      <c r="B1572" s="13" t="str">
        <f>IFERROR(__xludf.DUMMYFUNCTION("""COMPUTED_VALUE"""),"телекомунікації та зв'язок")</f>
        <v>телекомунікації та зв'язок</v>
      </c>
      <c r="C1572" s="15" t="str">
        <f>IFERROR(__xludf.DUMMYFUNCTION("""COMPUTED_VALUE"""),"обладнання для телебачення")</f>
        <v>обладнання для телебачення</v>
      </c>
      <c r="D1572" s="15" t="str">
        <f>IFERROR(__xludf.DUMMYFUNCTION("""COMPUTED_VALUE"""),"головні станції кабельного телебачення")</f>
        <v>головні станції кабельного телебачення</v>
      </c>
      <c r="E1572" s="15" t="str">
        <f>IFERROR(__xludf.DUMMYFUNCTION("""COMPUTED_VALUE"""),"головні станції кабельного телебачення")</f>
        <v>головні станції кабельного телебачення</v>
      </c>
      <c r="F1572" s="17">
        <f>IFERROR(__xludf.DUMMYFUNCTION("""COMPUTED_VALUE"""),3.0)</f>
        <v>3</v>
      </c>
      <c r="G1572" s="17">
        <f>IFERROR(__xludf.DUMMYFUNCTION("""COMPUTED_VALUE"""),5093602.0)</f>
        <v>5093602</v>
      </c>
      <c r="H1572" s="17" t="str">
        <f>IFERROR(__xludf.DUMMYFUNCTION("""COMPUTED_VALUE"""),"головні станції кабельного телебачення")</f>
        <v>головні станції кабельного телебачення</v>
      </c>
      <c r="I1572" s="18">
        <f>IFERROR(__xludf.DUMMYFUNCTION("""COMPUTED_VALUE"""),0.76)</f>
        <v>0.76</v>
      </c>
      <c r="J1572" s="18">
        <f>IFERROR(__xludf.DUMMYFUNCTION("""COMPUTED_VALUE"""),1.53)</f>
        <v>1.53</v>
      </c>
      <c r="K1572" s="18">
        <f>IFERROR(__xludf.DUMMYFUNCTION("""COMPUTED_VALUE"""),1.91)</f>
        <v>1.91</v>
      </c>
      <c r="L1572" s="18">
        <f>IFERROR(__xludf.DUMMYFUNCTION("""COMPUTED_VALUE"""),3.05)</f>
        <v>3.05</v>
      </c>
    </row>
    <row r="1573">
      <c r="A1573" s="13" t="str">
        <f>IFERROR(__xludf.DUMMYFUNCTION("""COMPUTED_VALUE"""),"товари")</f>
        <v>товари</v>
      </c>
      <c r="B1573" s="13" t="str">
        <f>IFERROR(__xludf.DUMMYFUNCTION("""COMPUTED_VALUE"""),"телекомунікації та зв'язок")</f>
        <v>телекомунікації та зв'язок</v>
      </c>
      <c r="C1573" s="15" t="str">
        <f>IFERROR(__xludf.DUMMYFUNCTION("""COMPUTED_VALUE"""),"телефонія")</f>
        <v>телефонія</v>
      </c>
      <c r="D1573" s="15" t="str">
        <f>IFERROR(__xludf.DUMMYFUNCTION("""COMPUTED_VALUE"""),"комплектуючі для атс, міні-атс")</f>
        <v>комплектуючі для атс, міні-атс</v>
      </c>
      <c r="E1573" s="15" t="str">
        <f>IFERROR(__xludf.DUMMYFUNCTION("""COMPUTED_VALUE"""),"комплектуючі для атс, міні-атс")</f>
        <v>комплектуючі для атс, міні-атс</v>
      </c>
      <c r="F1573" s="17">
        <f>IFERROR(__xludf.DUMMYFUNCTION("""COMPUTED_VALUE"""),3.0)</f>
        <v>3</v>
      </c>
      <c r="G1573" s="17">
        <f>IFERROR(__xludf.DUMMYFUNCTION("""COMPUTED_VALUE"""),5090106.0)</f>
        <v>5090106</v>
      </c>
      <c r="H1573" s="17" t="str">
        <f>IFERROR(__xludf.DUMMYFUNCTION("""COMPUTED_VALUE"""),"комплектуючі для атс, міні-атс")</f>
        <v>комплектуючі для атс, міні-атс</v>
      </c>
      <c r="I1573" s="18">
        <f>IFERROR(__xludf.DUMMYFUNCTION("""COMPUTED_VALUE"""),0.53)</f>
        <v>0.53</v>
      </c>
      <c r="J1573" s="18">
        <f>IFERROR(__xludf.DUMMYFUNCTION("""COMPUTED_VALUE"""),1.05)</f>
        <v>1.05</v>
      </c>
      <c r="K1573" s="18">
        <f>IFERROR(__xludf.DUMMYFUNCTION("""COMPUTED_VALUE"""),1.31)</f>
        <v>1.31</v>
      </c>
      <c r="L1573" s="18">
        <f>IFERROR(__xludf.DUMMYFUNCTION("""COMPUTED_VALUE"""),2.1)</f>
        <v>2.1</v>
      </c>
    </row>
    <row r="1574">
      <c r="A1574" s="13" t="str">
        <f>IFERROR(__xludf.DUMMYFUNCTION("""COMPUTED_VALUE"""),"товари")</f>
        <v>товари</v>
      </c>
      <c r="B1574" s="13" t="str">
        <f>IFERROR(__xludf.DUMMYFUNCTION("""COMPUTED_VALUE"""),"телекомунікації та зв'язок")</f>
        <v>телекомунікації та зв'язок</v>
      </c>
      <c r="C1574" s="15" t="str">
        <f>IFERROR(__xludf.DUMMYFUNCTION("""COMPUTED_VALUE"""),"пасивне мережеве обладнання")</f>
        <v>пасивне мережеве обладнання</v>
      </c>
      <c r="D1574" s="15" t="str">
        <f>IFERROR(__xludf.DUMMYFUNCTION("""COMPUTED_VALUE"""),"оптоволоконне обладнання")</f>
        <v>оптоволоконне обладнання</v>
      </c>
      <c r="E1574" s="15" t="str">
        <f>IFERROR(__xludf.DUMMYFUNCTION("""COMPUTED_VALUE"""),"модулі gbic та sfp")</f>
        <v>модулі gbic та sfp</v>
      </c>
      <c r="F1574" s="17">
        <f>IFERROR(__xludf.DUMMYFUNCTION("""COMPUTED_VALUE"""),4.0)</f>
        <v>4</v>
      </c>
      <c r="G1574" s="17">
        <f>IFERROR(__xludf.DUMMYFUNCTION("""COMPUTED_VALUE"""),5092007.0)</f>
        <v>5092007</v>
      </c>
      <c r="H1574" s="17" t="str">
        <f>IFERROR(__xludf.DUMMYFUNCTION("""COMPUTED_VALUE"""),"модулі gbic та sfp")</f>
        <v>модулі gbic та sfp</v>
      </c>
      <c r="I1574" s="18">
        <f>IFERROR(__xludf.DUMMYFUNCTION("""COMPUTED_VALUE"""),0.86)</f>
        <v>0.86</v>
      </c>
      <c r="J1574" s="18">
        <f>IFERROR(__xludf.DUMMYFUNCTION("""COMPUTED_VALUE"""),1.71)</f>
        <v>1.71</v>
      </c>
      <c r="K1574" s="18">
        <f>IFERROR(__xludf.DUMMYFUNCTION("""COMPUTED_VALUE"""),2.14)</f>
        <v>2.14</v>
      </c>
      <c r="L1574" s="18">
        <f>IFERROR(__xludf.DUMMYFUNCTION("""COMPUTED_VALUE"""),3.43)</f>
        <v>3.43</v>
      </c>
    </row>
    <row r="1575">
      <c r="A1575" s="13" t="str">
        <f>IFERROR(__xludf.DUMMYFUNCTION("""COMPUTED_VALUE"""),"товари")</f>
        <v>товари</v>
      </c>
      <c r="B1575" s="13" t="str">
        <f>IFERROR(__xludf.DUMMYFUNCTION("""COMPUTED_VALUE"""),"телекомунікації та зв'язок")</f>
        <v>телекомунікації та зв'язок</v>
      </c>
      <c r="C1575" s="15" t="str">
        <f>IFERROR(__xludf.DUMMYFUNCTION("""COMPUTED_VALUE"""),"багатофункціональні апаратні")</f>
        <v>багатофункціональні апаратні</v>
      </c>
      <c r="D1575" s="15" t="str">
        <f>IFERROR(__xludf.DUMMYFUNCTION("""COMPUTED_VALUE"""),"модулі, плати вводу/виводу")</f>
        <v>модулі, плати вводу/виводу</v>
      </c>
      <c r="E1575" s="15" t="str">
        <f>IFERROR(__xludf.DUMMYFUNCTION("""COMPUTED_VALUE"""),"модулі, плати вводу/виводу")</f>
        <v>модулі, плати вводу/виводу</v>
      </c>
      <c r="F1575" s="17">
        <f>IFERROR(__xludf.DUMMYFUNCTION("""COMPUTED_VALUE"""),3.0)</f>
        <v>3</v>
      </c>
      <c r="G1575" s="17">
        <f>IFERROR(__xludf.DUMMYFUNCTION("""COMPUTED_VALUE"""),5090903.0)</f>
        <v>5090903</v>
      </c>
      <c r="H1575" s="17" t="str">
        <f>IFERROR(__xludf.DUMMYFUNCTION("""COMPUTED_VALUE"""),"модулі, плати вводу/виводу")</f>
        <v>модулі, плати вводу/виводу</v>
      </c>
      <c r="I1575" s="18">
        <f>IFERROR(__xludf.DUMMYFUNCTION("""COMPUTED_VALUE"""),0.76)</f>
        <v>0.76</v>
      </c>
      <c r="J1575" s="18">
        <f>IFERROR(__xludf.DUMMYFUNCTION("""COMPUTED_VALUE"""),1.53)</f>
        <v>1.53</v>
      </c>
      <c r="K1575" s="18">
        <f>IFERROR(__xludf.DUMMYFUNCTION("""COMPUTED_VALUE"""),1.91)</f>
        <v>1.91</v>
      </c>
      <c r="L1575" s="18">
        <f>IFERROR(__xludf.DUMMYFUNCTION("""COMPUTED_VALUE"""),3.05)</f>
        <v>3.05</v>
      </c>
    </row>
    <row r="1576">
      <c r="A1576" s="13" t="str">
        <f>IFERROR(__xludf.DUMMYFUNCTION("""COMPUTED_VALUE"""),"товари")</f>
        <v>товари</v>
      </c>
      <c r="B1576" s="13" t="str">
        <f>IFERROR(__xludf.DUMMYFUNCTION("""COMPUTED_VALUE"""),"телекомунікації та зв'язок")</f>
        <v>телекомунікації та зв'язок</v>
      </c>
      <c r="C1576" s="15" t="str">
        <f>IFERROR(__xludf.DUMMYFUNCTION("""COMPUTED_VALUE"""),"активне мережеве обладнання")</f>
        <v>активне мережеве обладнання</v>
      </c>
      <c r="D1576" s="15" t="str">
        <f>IFERROR(__xludf.DUMMYFUNCTION("""COMPUTED_VALUE"""),"мультиплексори")</f>
        <v>мультиплексори</v>
      </c>
      <c r="E1576" s="15" t="str">
        <f>IFERROR(__xludf.DUMMYFUNCTION("""COMPUTED_VALUE"""),"мультиплексори")</f>
        <v>мультиплексори</v>
      </c>
      <c r="F1576" s="17">
        <f>IFERROR(__xludf.DUMMYFUNCTION("""COMPUTED_VALUE"""),3.0)</f>
        <v>3</v>
      </c>
      <c r="G1576" s="17">
        <f>IFERROR(__xludf.DUMMYFUNCTION("""COMPUTED_VALUE"""),50923.0)</f>
        <v>50923</v>
      </c>
      <c r="H1576" s="17" t="str">
        <f>IFERROR(__xludf.DUMMYFUNCTION("""COMPUTED_VALUE"""),"мультиплексори")</f>
        <v>мультиплексори</v>
      </c>
      <c r="I1576" s="18">
        <f>IFERROR(__xludf.DUMMYFUNCTION("""COMPUTED_VALUE"""),0.76)</f>
        <v>0.76</v>
      </c>
      <c r="J1576" s="18">
        <f>IFERROR(__xludf.DUMMYFUNCTION("""COMPUTED_VALUE"""),1.53)</f>
        <v>1.53</v>
      </c>
      <c r="K1576" s="18">
        <f>IFERROR(__xludf.DUMMYFUNCTION("""COMPUTED_VALUE"""),1.91)</f>
        <v>1.91</v>
      </c>
      <c r="L1576" s="18">
        <f>IFERROR(__xludf.DUMMYFUNCTION("""COMPUTED_VALUE"""),3.05)</f>
        <v>3.05</v>
      </c>
    </row>
    <row r="1577">
      <c r="A1577" s="13" t="str">
        <f>IFERROR(__xludf.DUMMYFUNCTION("""COMPUTED_VALUE"""),"товари")</f>
        <v>товари</v>
      </c>
      <c r="B1577" s="13" t="str">
        <f>IFERROR(__xludf.DUMMYFUNCTION("""COMPUTED_VALUE"""),"телекомунікації та зв'язок")</f>
        <v>телекомунікації та зв'язок</v>
      </c>
      <c r="C1577" s="15" t="str">
        <f>IFERROR(__xludf.DUMMYFUNCTION("""COMPUTED_VALUE"""),"активне мережеве обладнання")</f>
        <v>активне мережеве обладнання</v>
      </c>
      <c r="D1577" s="15" t="str">
        <f>IFERROR(__xludf.DUMMYFUNCTION("""COMPUTED_VALUE"""),"обладнання для мереж isdn")</f>
        <v>обладнання для мереж isdn</v>
      </c>
      <c r="E1577" s="15" t="str">
        <f>IFERROR(__xludf.DUMMYFUNCTION("""COMPUTED_VALUE"""),"обладнання для мереж isdn")</f>
        <v>обладнання для мереж isdn</v>
      </c>
      <c r="F1577" s="17">
        <f>IFERROR(__xludf.DUMMYFUNCTION("""COMPUTED_VALUE"""),3.0)</f>
        <v>3</v>
      </c>
      <c r="G1577" s="17">
        <f>IFERROR(__xludf.DUMMYFUNCTION("""COMPUTED_VALUE"""),50926.0)</f>
        <v>50926</v>
      </c>
      <c r="H1577" s="17" t="str">
        <f>IFERROR(__xludf.DUMMYFUNCTION("""COMPUTED_VALUE"""),"обладнання для мереж isdn")</f>
        <v>обладнання для мереж isdn</v>
      </c>
      <c r="I1577" s="18">
        <f>IFERROR(__xludf.DUMMYFUNCTION("""COMPUTED_VALUE"""),0.76)</f>
        <v>0.76</v>
      </c>
      <c r="J1577" s="18">
        <f>IFERROR(__xludf.DUMMYFUNCTION("""COMPUTED_VALUE"""),1.53)</f>
        <v>1.53</v>
      </c>
      <c r="K1577" s="18">
        <f>IFERROR(__xludf.DUMMYFUNCTION("""COMPUTED_VALUE"""),1.91)</f>
        <v>1.91</v>
      </c>
      <c r="L1577" s="18">
        <f>IFERROR(__xludf.DUMMYFUNCTION("""COMPUTED_VALUE"""),3.05)</f>
        <v>3.05</v>
      </c>
    </row>
    <row r="1578">
      <c r="A1578" s="13" t="str">
        <f>IFERROR(__xludf.DUMMYFUNCTION("""COMPUTED_VALUE"""),"товари")</f>
        <v>товари</v>
      </c>
      <c r="B1578" s="13" t="str">
        <f>IFERROR(__xludf.DUMMYFUNCTION("""COMPUTED_VALUE"""),"телекомунікації та зв'язок")</f>
        <v>телекомунікації та зв'язок</v>
      </c>
      <c r="C1578" s="15" t="str">
        <f>IFERROR(__xludf.DUMMYFUNCTION("""COMPUTED_VALUE"""),"обладнання для телебачення")</f>
        <v>обладнання для телебачення</v>
      </c>
      <c r="D1578" s="15" t="str">
        <f>IFERROR(__xludf.DUMMYFUNCTION("""COMPUTED_VALUE"""),"обладнання для телебачення, загальне")</f>
        <v>обладнання для телебачення, загальне</v>
      </c>
      <c r="E1578" s="15" t="str">
        <f>IFERROR(__xludf.DUMMYFUNCTION("""COMPUTED_VALUE"""),"обладнання для телебачення, загальне")</f>
        <v>обладнання для телебачення, загальне</v>
      </c>
      <c r="F1578" s="17">
        <f>IFERROR(__xludf.DUMMYFUNCTION("""COMPUTED_VALUE"""),3.0)</f>
        <v>3</v>
      </c>
      <c r="G1578" s="17">
        <f>IFERROR(__xludf.DUMMYFUNCTION("""COMPUTED_VALUE"""),5093601.0)</f>
        <v>5093601</v>
      </c>
      <c r="H1578" s="17" t="str">
        <f>IFERROR(__xludf.DUMMYFUNCTION("""COMPUTED_VALUE"""),"обладнання для телебачення, загальне")</f>
        <v>обладнання для телебачення, загальне</v>
      </c>
      <c r="I1578" s="18">
        <f>IFERROR(__xludf.DUMMYFUNCTION("""COMPUTED_VALUE"""),2.16)</f>
        <v>2.16</v>
      </c>
      <c r="J1578" s="18">
        <f>IFERROR(__xludf.DUMMYFUNCTION("""COMPUTED_VALUE"""),4.33)</f>
        <v>4.33</v>
      </c>
      <c r="K1578" s="18">
        <f>IFERROR(__xludf.DUMMYFUNCTION("""COMPUTED_VALUE"""),5.41)</f>
        <v>5.41</v>
      </c>
      <c r="L1578" s="18">
        <f>IFERROR(__xludf.DUMMYFUNCTION("""COMPUTED_VALUE"""),8.65)</f>
        <v>8.65</v>
      </c>
    </row>
    <row r="1579">
      <c r="A1579" s="13" t="str">
        <f>IFERROR(__xludf.DUMMYFUNCTION("""COMPUTED_VALUE"""),"товари")</f>
        <v>товари</v>
      </c>
      <c r="B1579" s="13" t="str">
        <f>IFERROR(__xludf.DUMMYFUNCTION("""COMPUTED_VALUE"""),"телекомунікації та зв'язок")</f>
        <v>телекомунікації та зв'язок</v>
      </c>
      <c r="C1579" s="15" t="str">
        <f>IFERROR(__xludf.DUMMYFUNCTION("""COMPUTED_VALUE"""),"пасивне мережеве обладнання")</f>
        <v>пасивне мережеве обладнання</v>
      </c>
      <c r="D1579" s="15" t="str">
        <f>IFERROR(__xludf.DUMMYFUNCTION("""COMPUTED_VALUE"""),"оптоволоконне обладнання")</f>
        <v>оптоволоконне обладнання</v>
      </c>
      <c r="E1579" s="15" t="str">
        <f>IFERROR(__xludf.DUMMYFUNCTION("""COMPUTED_VALUE"""),"оптико-волоконні адаптери та конектори")</f>
        <v>оптико-волоконні адаптери та конектори</v>
      </c>
      <c r="F1579" s="17">
        <f>IFERROR(__xludf.DUMMYFUNCTION("""COMPUTED_VALUE"""),4.0)</f>
        <v>4</v>
      </c>
      <c r="G1579" s="17">
        <f>IFERROR(__xludf.DUMMYFUNCTION("""COMPUTED_VALUE"""),5092003.0)</f>
        <v>5092003</v>
      </c>
      <c r="H1579" s="17" t="str">
        <f>IFERROR(__xludf.DUMMYFUNCTION("""COMPUTED_VALUE"""),"оптико-волоконні адаптери та конектори")</f>
        <v>оптико-волоконні адаптери та конектори</v>
      </c>
      <c r="I1579" s="18">
        <f>IFERROR(__xludf.DUMMYFUNCTION("""COMPUTED_VALUE"""),0.86)</f>
        <v>0.86</v>
      </c>
      <c r="J1579" s="18">
        <f>IFERROR(__xludf.DUMMYFUNCTION("""COMPUTED_VALUE"""),1.71)</f>
        <v>1.71</v>
      </c>
      <c r="K1579" s="18">
        <f>IFERROR(__xludf.DUMMYFUNCTION("""COMPUTED_VALUE"""),2.14)</f>
        <v>2.14</v>
      </c>
      <c r="L1579" s="18">
        <f>IFERROR(__xludf.DUMMYFUNCTION("""COMPUTED_VALUE"""),3.43)</f>
        <v>3.43</v>
      </c>
    </row>
    <row r="1580">
      <c r="A1580" s="13" t="str">
        <f>IFERROR(__xludf.DUMMYFUNCTION("""COMPUTED_VALUE"""),"товари")</f>
        <v>товари</v>
      </c>
      <c r="B1580" s="13" t="str">
        <f>IFERROR(__xludf.DUMMYFUNCTION("""COMPUTED_VALUE"""),"телекомунікації та зв'язок")</f>
        <v>телекомунікації та зв'язок</v>
      </c>
      <c r="C1580" s="15" t="str">
        <f>IFERROR(__xludf.DUMMYFUNCTION("""COMPUTED_VALUE"""),"пасивне мережеве обладнання")</f>
        <v>пасивне мережеве обладнання</v>
      </c>
      <c r="D1580" s="15" t="str">
        <f>IFERROR(__xludf.DUMMYFUNCTION("""COMPUTED_VALUE"""),"оптоволоконне обладнання")</f>
        <v>оптоволоконне обладнання</v>
      </c>
      <c r="E1580" s="15" t="str">
        <f>IFERROR(__xludf.DUMMYFUNCTION("""COMPUTED_VALUE"""),"оптико-волоконні муфти")</f>
        <v>оптико-волоконні муфти</v>
      </c>
      <c r="F1580" s="17">
        <f>IFERROR(__xludf.DUMMYFUNCTION("""COMPUTED_VALUE"""),4.0)</f>
        <v>4</v>
      </c>
      <c r="G1580" s="17">
        <f>IFERROR(__xludf.DUMMYFUNCTION("""COMPUTED_VALUE"""),5092005.0)</f>
        <v>5092005</v>
      </c>
      <c r="H1580" s="17" t="str">
        <f>IFERROR(__xludf.DUMMYFUNCTION("""COMPUTED_VALUE"""),"оптико-волоконні муфти")</f>
        <v>оптико-волоконні муфти</v>
      </c>
      <c r="I1580" s="18">
        <f>IFERROR(__xludf.DUMMYFUNCTION("""COMPUTED_VALUE"""),0.86)</f>
        <v>0.86</v>
      </c>
      <c r="J1580" s="18">
        <f>IFERROR(__xludf.DUMMYFUNCTION("""COMPUTED_VALUE"""),1.71)</f>
        <v>1.71</v>
      </c>
      <c r="K1580" s="18">
        <f>IFERROR(__xludf.DUMMYFUNCTION("""COMPUTED_VALUE"""),2.14)</f>
        <v>2.14</v>
      </c>
      <c r="L1580" s="18">
        <f>IFERROR(__xludf.DUMMYFUNCTION("""COMPUTED_VALUE"""),3.43)</f>
        <v>3.43</v>
      </c>
    </row>
    <row r="1581">
      <c r="A1581" s="13" t="str">
        <f>IFERROR(__xludf.DUMMYFUNCTION("""COMPUTED_VALUE"""),"товари")</f>
        <v>товари</v>
      </c>
      <c r="B1581" s="13" t="str">
        <f>IFERROR(__xludf.DUMMYFUNCTION("""COMPUTED_VALUE"""),"телекомунікації та зв'язок")</f>
        <v>телекомунікації та зв'язок</v>
      </c>
      <c r="C1581" s="15" t="str">
        <f>IFERROR(__xludf.DUMMYFUNCTION("""COMPUTED_VALUE"""),"пасивне мережеве обладнання")</f>
        <v>пасивне мережеве обладнання</v>
      </c>
      <c r="D1581" s="15" t="str">
        <f>IFERROR(__xludf.DUMMYFUNCTION("""COMPUTED_VALUE"""),"оптоволоконне обладнання")</f>
        <v>оптоволоконне обладнання</v>
      </c>
      <c r="E1581" s="15" t="str">
        <f>IFERROR(__xludf.DUMMYFUNCTION("""COMPUTED_VALUE"""),"оптичні панелі та бокси")</f>
        <v>оптичні панелі та бокси</v>
      </c>
      <c r="F1581" s="17">
        <f>IFERROR(__xludf.DUMMYFUNCTION("""COMPUTED_VALUE"""),4.0)</f>
        <v>4</v>
      </c>
      <c r="G1581" s="17">
        <f>IFERROR(__xludf.DUMMYFUNCTION("""COMPUTED_VALUE"""),5092004.0)</f>
        <v>5092004</v>
      </c>
      <c r="H1581" s="17" t="str">
        <f>IFERROR(__xludf.DUMMYFUNCTION("""COMPUTED_VALUE"""),"оптичні панелі та бокси")</f>
        <v>оптичні панелі та бокси</v>
      </c>
      <c r="I1581" s="18">
        <f>IFERROR(__xludf.DUMMYFUNCTION("""COMPUTED_VALUE"""),0.86)</f>
        <v>0.86</v>
      </c>
      <c r="J1581" s="18">
        <f>IFERROR(__xludf.DUMMYFUNCTION("""COMPUTED_VALUE"""),1.71)</f>
        <v>1.71</v>
      </c>
      <c r="K1581" s="18">
        <f>IFERROR(__xludf.DUMMYFUNCTION("""COMPUTED_VALUE"""),2.14)</f>
        <v>2.14</v>
      </c>
      <c r="L1581" s="18">
        <f>IFERROR(__xludf.DUMMYFUNCTION("""COMPUTED_VALUE"""),3.43)</f>
        <v>3.43</v>
      </c>
    </row>
    <row r="1582">
      <c r="A1582" s="13" t="str">
        <f>IFERROR(__xludf.DUMMYFUNCTION("""COMPUTED_VALUE"""),"товари")</f>
        <v>товари</v>
      </c>
      <c r="B1582" s="13" t="str">
        <f>IFERROR(__xludf.DUMMYFUNCTION("""COMPUTED_VALUE"""),"телекомунікації та зв'язок")</f>
        <v>телекомунікації та зв'язок</v>
      </c>
      <c r="C1582" s="15" t="str">
        <f>IFERROR(__xludf.DUMMYFUNCTION("""COMPUTED_VALUE"""),"пасивне мережеве обладнання")</f>
        <v>пасивне мережеве обладнання</v>
      </c>
      <c r="D1582" s="15" t="str">
        <f>IFERROR(__xludf.DUMMYFUNCTION("""COMPUTED_VALUE"""),"оптоволоконне обладнання")</f>
        <v>оптоволоконне обладнання</v>
      </c>
      <c r="E1582" s="15" t="str">
        <f>IFERROR(__xludf.DUMMYFUNCTION("""COMPUTED_VALUE"""),"оптоволоконне обладнання, загальне")</f>
        <v>оптоволоконне обладнання, загальне</v>
      </c>
      <c r="F1582" s="17">
        <f>IFERROR(__xludf.DUMMYFUNCTION("""COMPUTED_VALUE"""),4.0)</f>
        <v>4</v>
      </c>
      <c r="G1582" s="17">
        <f>IFERROR(__xludf.DUMMYFUNCTION("""COMPUTED_VALUE"""),5092002.0)</f>
        <v>5092002</v>
      </c>
      <c r="H1582" s="17" t="str">
        <f>IFERROR(__xludf.DUMMYFUNCTION("""COMPUTED_VALUE"""),"оптоволоконне обладнання, загальне")</f>
        <v>оптоволоконне обладнання, загальне</v>
      </c>
      <c r="I1582" s="18">
        <f>IFERROR(__xludf.DUMMYFUNCTION("""COMPUTED_VALUE"""),2.16)</f>
        <v>2.16</v>
      </c>
      <c r="J1582" s="18">
        <f>IFERROR(__xludf.DUMMYFUNCTION("""COMPUTED_VALUE"""),4.33)</f>
        <v>4.33</v>
      </c>
      <c r="K1582" s="18">
        <f>IFERROR(__xludf.DUMMYFUNCTION("""COMPUTED_VALUE"""),5.41)</f>
        <v>5.41</v>
      </c>
      <c r="L1582" s="18">
        <f>IFERROR(__xludf.DUMMYFUNCTION("""COMPUTED_VALUE"""),8.65)</f>
        <v>8.65</v>
      </c>
    </row>
    <row r="1583">
      <c r="A1583" s="13" t="str">
        <f>IFERROR(__xludf.DUMMYFUNCTION("""COMPUTED_VALUE"""),"товари")</f>
        <v>товари</v>
      </c>
      <c r="B1583" s="13" t="str">
        <f>IFERROR(__xludf.DUMMYFUNCTION("""COMPUTED_VALUE"""),"телекомунікації та зв'язок")</f>
        <v>телекомунікації та зв'язок</v>
      </c>
      <c r="C1583" s="15" t="str">
        <f>IFERROR(__xludf.DUMMYFUNCTION("""COMPUTED_VALUE"""),"серверне обладнання")</f>
        <v>серверне обладнання</v>
      </c>
      <c r="D1583" s="15" t="str">
        <f>IFERROR(__xludf.DUMMYFUNCTION("""COMPUTED_VALUE"""),"промислові комп'ютери")</f>
        <v>промислові комп'ютери</v>
      </c>
      <c r="E1583" s="15" t="str">
        <f>IFERROR(__xludf.DUMMYFUNCTION("""COMPUTED_VALUE"""),"промислові комп'ютери")</f>
        <v>промислові комп'ютери</v>
      </c>
      <c r="F1583" s="17">
        <f>IFERROR(__xludf.DUMMYFUNCTION("""COMPUTED_VALUE"""),3.0)</f>
        <v>3</v>
      </c>
      <c r="G1583" s="17">
        <f>IFERROR(__xludf.DUMMYFUNCTION("""COMPUTED_VALUE"""),70307.0)</f>
        <v>70307</v>
      </c>
      <c r="H1583" s="17" t="str">
        <f>IFERROR(__xludf.DUMMYFUNCTION("""COMPUTED_VALUE"""),"промислові комп'ютери")</f>
        <v>промислові комп'ютери</v>
      </c>
      <c r="I1583" s="18">
        <f>IFERROR(__xludf.DUMMYFUNCTION("""COMPUTED_VALUE"""),1.08)</f>
        <v>1.08</v>
      </c>
      <c r="J1583" s="18">
        <f>IFERROR(__xludf.DUMMYFUNCTION("""COMPUTED_VALUE"""),2.16)</f>
        <v>2.16</v>
      </c>
      <c r="K1583" s="18">
        <f>IFERROR(__xludf.DUMMYFUNCTION("""COMPUTED_VALUE"""),2.7)</f>
        <v>2.7</v>
      </c>
      <c r="L1583" s="18">
        <f>IFERROR(__xludf.DUMMYFUNCTION("""COMPUTED_VALUE"""),4.33)</f>
        <v>4.33</v>
      </c>
    </row>
    <row r="1584">
      <c r="A1584" s="13" t="str">
        <f>IFERROR(__xludf.DUMMYFUNCTION("""COMPUTED_VALUE"""),"товари")</f>
        <v>товари</v>
      </c>
      <c r="B1584" s="13" t="str">
        <f>IFERROR(__xludf.DUMMYFUNCTION("""COMPUTED_VALUE"""),"телекомунікації та зв'язок")</f>
        <v>телекомунікації та зв'язок</v>
      </c>
      <c r="C1584" s="15" t="str">
        <f>IFERROR(__xludf.DUMMYFUNCTION("""COMPUTED_VALUE"""),"серверне обладнання")</f>
        <v>серверне обладнання</v>
      </c>
      <c r="D1584" s="15" t="str">
        <f>IFERROR(__xludf.DUMMYFUNCTION("""COMPUTED_VALUE"""),"сервери")</f>
        <v>сервери</v>
      </c>
      <c r="E1584" s="15" t="str">
        <f>IFERROR(__xludf.DUMMYFUNCTION("""COMPUTED_VALUE"""),"сервери")</f>
        <v>сервери</v>
      </c>
      <c r="F1584" s="17">
        <f>IFERROR(__xludf.DUMMYFUNCTION("""COMPUTED_VALUE"""),3.0)</f>
        <v>3</v>
      </c>
      <c r="G1584" s="17">
        <f>IFERROR(__xludf.DUMMYFUNCTION("""COMPUTED_VALUE"""),70302.0)</f>
        <v>70302</v>
      </c>
      <c r="H1584" s="17" t="str">
        <f>IFERROR(__xludf.DUMMYFUNCTION("""COMPUTED_VALUE"""),"сервери")</f>
        <v>сервери</v>
      </c>
      <c r="I1584" s="18">
        <f>IFERROR(__xludf.DUMMYFUNCTION("""COMPUTED_VALUE"""),1.58)</f>
        <v>1.58</v>
      </c>
      <c r="J1584" s="18">
        <f>IFERROR(__xludf.DUMMYFUNCTION("""COMPUTED_VALUE"""),3.15)</f>
        <v>3.15</v>
      </c>
      <c r="K1584" s="18">
        <f>IFERROR(__xludf.DUMMYFUNCTION("""COMPUTED_VALUE"""),3.94)</f>
        <v>3.94</v>
      </c>
      <c r="L1584" s="18">
        <f>IFERROR(__xludf.DUMMYFUNCTION("""COMPUTED_VALUE"""),6.3)</f>
        <v>6.3</v>
      </c>
    </row>
    <row r="1585">
      <c r="A1585" s="13" t="str">
        <f>IFERROR(__xludf.DUMMYFUNCTION("""COMPUTED_VALUE"""),"товари")</f>
        <v>товари</v>
      </c>
      <c r="B1585" s="13" t="str">
        <f>IFERROR(__xludf.DUMMYFUNCTION("""COMPUTED_VALUE"""),"техніка та електроніка")</f>
        <v>техніка та електроніка</v>
      </c>
      <c r="C1585" s="15" t="str">
        <f>IFERROR(__xludf.DUMMYFUNCTION("""COMPUTED_VALUE"""),"комп'ютерна техніка та пз")</f>
        <v>комп'ютерна техніка та пз</v>
      </c>
      <c r="D1585" s="15" t="str">
        <f>IFERROR(__xludf.DUMMYFUNCTION("""COMPUTED_VALUE"""),"програмне забезпечення (пз)")</f>
        <v>програмне забезпечення (пз)</v>
      </c>
      <c r="E1585" s="15" t="str">
        <f>IFERROR(__xludf.DUMMYFUNCTION("""COMPUTED_VALUE"""),"науково-технічне пз")</f>
        <v>науково-технічне пз</v>
      </c>
      <c r="F1585" s="17">
        <f>IFERROR(__xludf.DUMMYFUNCTION("""COMPUTED_VALUE"""),4.0)</f>
        <v>4</v>
      </c>
      <c r="G1585" s="17">
        <f>IFERROR(__xludf.DUMMYFUNCTION("""COMPUTED_VALUE"""),2.8420307E7)</f>
        <v>28420307</v>
      </c>
      <c r="H1585" s="17" t="str">
        <f>IFERROR(__xludf.DUMMYFUNCTION("""COMPUTED_VALUE"""),"науково-технічне пз")</f>
        <v>науково-технічне пз</v>
      </c>
      <c r="I1585" s="18">
        <f>IFERROR(__xludf.DUMMYFUNCTION("""COMPUTED_VALUE"""),1.98)</f>
        <v>1.98</v>
      </c>
      <c r="J1585" s="18">
        <f>IFERROR(__xludf.DUMMYFUNCTION("""COMPUTED_VALUE"""),3.96)</f>
        <v>3.96</v>
      </c>
      <c r="K1585" s="18">
        <f>IFERROR(__xludf.DUMMYFUNCTION("""COMPUTED_VALUE"""),4.95)</f>
        <v>4.95</v>
      </c>
      <c r="L1585" s="18">
        <f>IFERROR(__xludf.DUMMYFUNCTION("""COMPUTED_VALUE"""),7.93)</f>
        <v>7.93</v>
      </c>
    </row>
    <row r="1586">
      <c r="A1586" s="13" t="str">
        <f>IFERROR(__xludf.DUMMYFUNCTION("""COMPUTED_VALUE"""),"товари")</f>
        <v>товари</v>
      </c>
      <c r="B1586" s="13" t="str">
        <f>IFERROR(__xludf.DUMMYFUNCTION("""COMPUTED_VALUE"""),"техніка та електроніка")</f>
        <v>техніка та електроніка</v>
      </c>
      <c r="C1586" s="15" t="str">
        <f>IFERROR(__xludf.DUMMYFUNCTION("""COMPUTED_VALUE"""),"tv та відеотехніка")</f>
        <v>tv та відеотехніка</v>
      </c>
      <c r="D1586" s="15" t="str">
        <f>IFERROR(__xludf.DUMMYFUNCTION("""COMPUTED_VALUE"""),"супутникове, кабельне телебачення")</f>
        <v>супутникове, кабельне телебачення</v>
      </c>
      <c r="E1586" s="15" t="str">
        <f>IFERROR(__xludf.DUMMYFUNCTION("""COMPUTED_VALUE"""),"супутникові антени")</f>
        <v>супутникові антени</v>
      </c>
      <c r="F1586" s="17">
        <f>IFERROR(__xludf.DUMMYFUNCTION("""COMPUTED_VALUE"""),4.0)</f>
        <v>4</v>
      </c>
      <c r="G1586" s="17">
        <f>IFERROR(__xludf.DUMMYFUNCTION("""COMPUTED_VALUE"""),6371704.0)</f>
        <v>6371704</v>
      </c>
      <c r="H1586" s="17" t="str">
        <f>IFERROR(__xludf.DUMMYFUNCTION("""COMPUTED_VALUE"""),"супутникові антени")</f>
        <v>супутникові антени</v>
      </c>
      <c r="I1586" s="18">
        <f>IFERROR(__xludf.DUMMYFUNCTION("""COMPUTED_VALUE"""),0.76)</f>
        <v>0.76</v>
      </c>
      <c r="J1586" s="18">
        <f>IFERROR(__xludf.DUMMYFUNCTION("""COMPUTED_VALUE"""),1.53)</f>
        <v>1.53</v>
      </c>
      <c r="K1586" s="18">
        <f>IFERROR(__xludf.DUMMYFUNCTION("""COMPUTED_VALUE"""),1.91)</f>
        <v>1.91</v>
      </c>
      <c r="L1586" s="18">
        <f>IFERROR(__xludf.DUMMYFUNCTION("""COMPUTED_VALUE"""),3.05)</f>
        <v>3.05</v>
      </c>
    </row>
    <row r="1587">
      <c r="A1587" s="13" t="str">
        <f>IFERROR(__xludf.DUMMYFUNCTION("""COMPUTED_VALUE"""),"товари")</f>
        <v>товари</v>
      </c>
      <c r="B1587" s="13" t="str">
        <f>IFERROR(__xludf.DUMMYFUNCTION("""COMPUTED_VALUE"""),"товари для дітей")</f>
        <v>товари для дітей</v>
      </c>
      <c r="C1587" s="15" t="str">
        <f>IFERROR(__xludf.DUMMYFUNCTION("""COMPUTED_VALUE"""),"дитячі меблі")</f>
        <v>дитячі меблі</v>
      </c>
      <c r="D1587" s="15" t="str">
        <f>IFERROR(__xludf.DUMMYFUNCTION("""COMPUTED_VALUE"""),"дитячі та підліткові ліжка")</f>
        <v>дитячі та підліткові ліжка</v>
      </c>
      <c r="E1587" s="15" t="str">
        <f>IFERROR(__xludf.DUMMYFUNCTION("""COMPUTED_VALUE"""),"дитячі та підліткові ліжка")</f>
        <v>дитячі та підліткові ліжка</v>
      </c>
      <c r="F1587" s="17">
        <f>IFERROR(__xludf.DUMMYFUNCTION("""COMPUTED_VALUE"""),3.0)</f>
        <v>3</v>
      </c>
      <c r="G1587" s="17">
        <f>IFERROR(__xludf.DUMMYFUNCTION("""COMPUTED_VALUE"""),371301.0)</f>
        <v>371301</v>
      </c>
      <c r="H1587" s="17" t="str">
        <f>IFERROR(__xludf.DUMMYFUNCTION("""COMPUTED_VALUE"""),"дитячі та підліткові ліжка")</f>
        <v>дитячі та підліткові ліжка</v>
      </c>
      <c r="I1587" s="18">
        <f>IFERROR(__xludf.DUMMYFUNCTION("""COMPUTED_VALUE"""),1.94)</f>
        <v>1.94</v>
      </c>
      <c r="J1587" s="18">
        <f>IFERROR(__xludf.DUMMYFUNCTION("""COMPUTED_VALUE"""),3.88)</f>
        <v>3.88</v>
      </c>
      <c r="K1587" s="18">
        <f>IFERROR(__xludf.DUMMYFUNCTION("""COMPUTED_VALUE"""),4.84)</f>
        <v>4.84</v>
      </c>
      <c r="L1587" s="18">
        <f>IFERROR(__xludf.DUMMYFUNCTION("""COMPUTED_VALUE"""),7.75)</f>
        <v>7.75</v>
      </c>
    </row>
    <row r="1588">
      <c r="A1588" s="13"/>
      <c r="B1588" s="13"/>
      <c r="C1588" s="15"/>
      <c r="D1588" s="15"/>
      <c r="E1588" s="15"/>
      <c r="F1588" s="17"/>
      <c r="G1588" s="17"/>
      <c r="H1588" s="17"/>
      <c r="I1588" s="18"/>
      <c r="J1588" s="18"/>
      <c r="K1588" s="18"/>
      <c r="L1588" s="18"/>
    </row>
    <row r="1589">
      <c r="A1589" s="13"/>
      <c r="B1589" s="13"/>
      <c r="C1589" s="15"/>
      <c r="D1589" s="15"/>
      <c r="E1589" s="15"/>
      <c r="F1589" s="17"/>
      <c r="G1589" s="17"/>
      <c r="H1589" s="17"/>
      <c r="I1589" s="18"/>
      <c r="J1589" s="18"/>
      <c r="K1589" s="18"/>
      <c r="L1589" s="18"/>
    </row>
    <row r="1590">
      <c r="A1590" s="13"/>
      <c r="B1590" s="13"/>
      <c r="C1590" s="15"/>
      <c r="D1590" s="15"/>
      <c r="E1590" s="15"/>
      <c r="F1590" s="17"/>
      <c r="G1590" s="17"/>
      <c r="H1590" s="17"/>
      <c r="I1590" s="18"/>
      <c r="J1590" s="18"/>
      <c r="K1590" s="18"/>
      <c r="L1590" s="18"/>
    </row>
    <row r="1591">
      <c r="A1591" s="13"/>
      <c r="B1591" s="13"/>
      <c r="C1591" s="15"/>
      <c r="D1591" s="15"/>
      <c r="E1591" s="15"/>
      <c r="F1591" s="17"/>
      <c r="G1591" s="17"/>
      <c r="H1591" s="17"/>
      <c r="I1591" s="18"/>
      <c r="J1591" s="18"/>
      <c r="K1591" s="18"/>
      <c r="L1591" s="18"/>
    </row>
    <row r="1592">
      <c r="A1592" s="13"/>
      <c r="B1592" s="13"/>
      <c r="C1592" s="15"/>
      <c r="D1592" s="15"/>
      <c r="E1592" s="15"/>
      <c r="F1592" s="17"/>
      <c r="G1592" s="17"/>
      <c r="H1592" s="17"/>
      <c r="I1592" s="18"/>
      <c r="J1592" s="18"/>
      <c r="K1592" s="18"/>
      <c r="L1592" s="18"/>
    </row>
    <row r="1593">
      <c r="A1593" s="13"/>
      <c r="B1593" s="13"/>
      <c r="C1593" s="15"/>
      <c r="D1593" s="15"/>
      <c r="E1593" s="15"/>
      <c r="F1593" s="17"/>
      <c r="G1593" s="17"/>
      <c r="H1593" s="17"/>
      <c r="I1593" s="18"/>
      <c r="J1593" s="18"/>
      <c r="K1593" s="18"/>
      <c r="L1593" s="18"/>
    </row>
    <row r="1594">
      <c r="A1594" s="13"/>
      <c r="B1594" s="13"/>
      <c r="C1594" s="15"/>
      <c r="D1594" s="15"/>
      <c r="E1594" s="15"/>
      <c r="F1594" s="17"/>
      <c r="G1594" s="17"/>
      <c r="H1594" s="17"/>
      <c r="I1594" s="18"/>
      <c r="J1594" s="18"/>
      <c r="K1594" s="18"/>
      <c r="L1594" s="18"/>
    </row>
    <row r="1595">
      <c r="A1595" s="13"/>
      <c r="B1595" s="13"/>
      <c r="C1595" s="15"/>
      <c r="D1595" s="15"/>
      <c r="E1595" s="15"/>
      <c r="F1595" s="17"/>
      <c r="G1595" s="17"/>
      <c r="H1595" s="17"/>
      <c r="I1595" s="18"/>
      <c r="J1595" s="18"/>
      <c r="K1595" s="18"/>
      <c r="L1595" s="18"/>
    </row>
    <row r="1596">
      <c r="A1596" s="13"/>
      <c r="B1596" s="13"/>
      <c r="C1596" s="15"/>
      <c r="D1596" s="15"/>
      <c r="E1596" s="15"/>
      <c r="F1596" s="17"/>
      <c r="G1596" s="17"/>
      <c r="H1596" s="17"/>
      <c r="I1596" s="18"/>
      <c r="J1596" s="18"/>
      <c r="K1596" s="18"/>
      <c r="L1596" s="18"/>
    </row>
    <row r="1597">
      <c r="A1597" s="13"/>
      <c r="B1597" s="13"/>
      <c r="C1597" s="15"/>
      <c r="D1597" s="15"/>
      <c r="E1597" s="15"/>
      <c r="F1597" s="17"/>
      <c r="G1597" s="17"/>
      <c r="H1597" s="17"/>
      <c r="I1597" s="18"/>
      <c r="J1597" s="18"/>
      <c r="K1597" s="18"/>
      <c r="L1597" s="18"/>
    </row>
    <row r="1598">
      <c r="A1598" s="13"/>
      <c r="B1598" s="13"/>
      <c r="C1598" s="15"/>
      <c r="D1598" s="15"/>
      <c r="E1598" s="15"/>
      <c r="F1598" s="17"/>
      <c r="G1598" s="17"/>
      <c r="H1598" s="17"/>
      <c r="I1598" s="18"/>
      <c r="J1598" s="18"/>
      <c r="K1598" s="18"/>
      <c r="L1598" s="18"/>
    </row>
    <row r="1599">
      <c r="A1599" s="13"/>
      <c r="B1599" s="13"/>
      <c r="C1599" s="15"/>
      <c r="D1599" s="15"/>
      <c r="E1599" s="15"/>
      <c r="F1599" s="17"/>
      <c r="G1599" s="17"/>
      <c r="H1599" s="17"/>
      <c r="I1599" s="18"/>
      <c r="J1599" s="18"/>
      <c r="K1599" s="18"/>
      <c r="L1599" s="18"/>
    </row>
    <row r="1600">
      <c r="A1600" s="13"/>
      <c r="B1600" s="13"/>
      <c r="C1600" s="15"/>
      <c r="D1600" s="15"/>
      <c r="E1600" s="15"/>
      <c r="F1600" s="17"/>
      <c r="G1600" s="17"/>
      <c r="H1600" s="17"/>
      <c r="I1600" s="18"/>
      <c r="J1600" s="18"/>
      <c r="K1600" s="18"/>
      <c r="L1600" s="18"/>
    </row>
    <row r="1601">
      <c r="A1601" s="13"/>
      <c r="B1601" s="13"/>
      <c r="C1601" s="15"/>
      <c r="D1601" s="15"/>
      <c r="E1601" s="15"/>
      <c r="F1601" s="17"/>
      <c r="G1601" s="17"/>
      <c r="H1601" s="17"/>
      <c r="I1601" s="18"/>
      <c r="J1601" s="18"/>
      <c r="K1601" s="18"/>
      <c r="L1601" s="18"/>
    </row>
    <row r="1602">
      <c r="A1602" s="13"/>
      <c r="B1602" s="13"/>
      <c r="C1602" s="15"/>
      <c r="D1602" s="15"/>
      <c r="E1602" s="15"/>
      <c r="F1602" s="17"/>
      <c r="G1602" s="17"/>
      <c r="H1602" s="17"/>
      <c r="I1602" s="18"/>
      <c r="J1602" s="18"/>
      <c r="K1602" s="18"/>
      <c r="L1602" s="18"/>
    </row>
    <row r="1603">
      <c r="A1603" s="13"/>
      <c r="B1603" s="13"/>
      <c r="C1603" s="15"/>
      <c r="D1603" s="15"/>
      <c r="E1603" s="15"/>
      <c r="F1603" s="17"/>
      <c r="G1603" s="17"/>
      <c r="H1603" s="17"/>
      <c r="I1603" s="18"/>
      <c r="J1603" s="18"/>
      <c r="K1603" s="18"/>
      <c r="L1603" s="18"/>
    </row>
    <row r="1604">
      <c r="A1604" s="13"/>
      <c r="B1604" s="13"/>
      <c r="C1604" s="15"/>
      <c r="D1604" s="15"/>
      <c r="E1604" s="15"/>
      <c r="F1604" s="17"/>
      <c r="G1604" s="17"/>
      <c r="H1604" s="17"/>
      <c r="I1604" s="18"/>
      <c r="J1604" s="18"/>
      <c r="K1604" s="18"/>
      <c r="L1604" s="18"/>
    </row>
    <row r="1605">
      <c r="A1605" s="13"/>
      <c r="B1605" s="13"/>
      <c r="C1605" s="15"/>
      <c r="D1605" s="15"/>
      <c r="E1605" s="15"/>
      <c r="F1605" s="17"/>
      <c r="G1605" s="17"/>
      <c r="H1605" s="17"/>
      <c r="I1605" s="18"/>
      <c r="J1605" s="18"/>
      <c r="K1605" s="18"/>
      <c r="L1605" s="18"/>
    </row>
    <row r="1606">
      <c r="A1606" s="13"/>
      <c r="B1606" s="13"/>
      <c r="C1606" s="15"/>
      <c r="D1606" s="15"/>
      <c r="E1606" s="15"/>
      <c r="F1606" s="17"/>
      <c r="G1606" s="17"/>
      <c r="H1606" s="17"/>
      <c r="I1606" s="18"/>
      <c r="J1606" s="18"/>
      <c r="K1606" s="18"/>
      <c r="L1606" s="18"/>
    </row>
    <row r="1607">
      <c r="A1607" s="13"/>
      <c r="B1607" s="13"/>
      <c r="C1607" s="15"/>
      <c r="D1607" s="15"/>
      <c r="E1607" s="15"/>
      <c r="F1607" s="17"/>
      <c r="G1607" s="17"/>
      <c r="H1607" s="17"/>
      <c r="I1607" s="18"/>
      <c r="J1607" s="18"/>
      <c r="K1607" s="18"/>
      <c r="L1607" s="18"/>
    </row>
    <row r="1608">
      <c r="A1608" s="13"/>
      <c r="B1608" s="13"/>
      <c r="C1608" s="15"/>
      <c r="D1608" s="15"/>
      <c r="E1608" s="15"/>
      <c r="F1608" s="17"/>
      <c r="G1608" s="17"/>
      <c r="H1608" s="17"/>
      <c r="I1608" s="18"/>
      <c r="J1608" s="18"/>
      <c r="K1608" s="18"/>
      <c r="L1608" s="18"/>
    </row>
    <row r="1609">
      <c r="A1609" s="13"/>
      <c r="B1609" s="13"/>
      <c r="C1609" s="15"/>
      <c r="D1609" s="15"/>
      <c r="E1609" s="15"/>
      <c r="F1609" s="17"/>
      <c r="G1609" s="17"/>
      <c r="H1609" s="17"/>
      <c r="I1609" s="18"/>
      <c r="J1609" s="18"/>
      <c r="K1609" s="18"/>
      <c r="L1609" s="18"/>
    </row>
    <row r="1610">
      <c r="A1610" s="13"/>
      <c r="B1610" s="13"/>
      <c r="C1610" s="15"/>
      <c r="D1610" s="15"/>
      <c r="E1610" s="15"/>
      <c r="F1610" s="17"/>
      <c r="G1610" s="17"/>
      <c r="H1610" s="17"/>
      <c r="I1610" s="18"/>
      <c r="J1610" s="18"/>
      <c r="K1610" s="18"/>
      <c r="L1610" s="18"/>
    </row>
    <row r="1611">
      <c r="A1611" s="13"/>
      <c r="B1611" s="13"/>
      <c r="C1611" s="15"/>
      <c r="D1611" s="15"/>
      <c r="E1611" s="15"/>
      <c r="F1611" s="17"/>
      <c r="G1611" s="17"/>
      <c r="H1611" s="17"/>
      <c r="I1611" s="18"/>
      <c r="J1611" s="18"/>
      <c r="K1611" s="18"/>
      <c r="L1611" s="18"/>
    </row>
    <row r="1612">
      <c r="A1612" s="13"/>
      <c r="B1612" s="13"/>
      <c r="C1612" s="15"/>
      <c r="D1612" s="15"/>
      <c r="E1612" s="15"/>
      <c r="F1612" s="17"/>
      <c r="G1612" s="17"/>
      <c r="H1612" s="17"/>
      <c r="I1612" s="18"/>
      <c r="J1612" s="18"/>
      <c r="K1612" s="18"/>
      <c r="L1612" s="18"/>
    </row>
    <row r="1613">
      <c r="A1613" s="13"/>
      <c r="B1613" s="13"/>
      <c r="C1613" s="15"/>
      <c r="D1613" s="15"/>
      <c r="E1613" s="15"/>
      <c r="F1613" s="17"/>
      <c r="G1613" s="17"/>
      <c r="H1613" s="17"/>
      <c r="I1613" s="18"/>
      <c r="J1613" s="18"/>
      <c r="K1613" s="18"/>
      <c r="L1613" s="18"/>
    </row>
    <row r="1614">
      <c r="A1614" s="13"/>
      <c r="B1614" s="13"/>
      <c r="C1614" s="15"/>
      <c r="D1614" s="15"/>
      <c r="E1614" s="15"/>
      <c r="F1614" s="17"/>
      <c r="G1614" s="17"/>
      <c r="H1614" s="17"/>
      <c r="I1614" s="18"/>
      <c r="J1614" s="18"/>
      <c r="K1614" s="18"/>
      <c r="L1614" s="18"/>
    </row>
    <row r="1615">
      <c r="A1615" s="13"/>
      <c r="B1615" s="13"/>
      <c r="C1615" s="15"/>
      <c r="D1615" s="15"/>
      <c r="E1615" s="15"/>
      <c r="F1615" s="17"/>
      <c r="G1615" s="17"/>
      <c r="H1615" s="17"/>
      <c r="I1615" s="18"/>
      <c r="J1615" s="18"/>
      <c r="K1615" s="18"/>
      <c r="L1615" s="18"/>
    </row>
    <row r="1616">
      <c r="A1616" s="13"/>
      <c r="B1616" s="13"/>
      <c r="C1616" s="15"/>
      <c r="D1616" s="15"/>
      <c r="E1616" s="15"/>
      <c r="F1616" s="17"/>
      <c r="G1616" s="17"/>
      <c r="H1616" s="17"/>
      <c r="I1616" s="18"/>
      <c r="J1616" s="18"/>
      <c r="K1616" s="18"/>
      <c r="L1616" s="18"/>
    </row>
    <row r="1617">
      <c r="A1617" s="13"/>
      <c r="B1617" s="13"/>
      <c r="C1617" s="15"/>
      <c r="D1617" s="15"/>
      <c r="E1617" s="15"/>
      <c r="F1617" s="17"/>
      <c r="G1617" s="17"/>
      <c r="H1617" s="17"/>
      <c r="I1617" s="18"/>
      <c r="J1617" s="18"/>
      <c r="K1617" s="18"/>
      <c r="L1617" s="18"/>
    </row>
    <row r="1618">
      <c r="A1618" s="13"/>
      <c r="B1618" s="13"/>
      <c r="C1618" s="15"/>
      <c r="D1618" s="15"/>
      <c r="E1618" s="15"/>
      <c r="F1618" s="17"/>
      <c r="G1618" s="17"/>
      <c r="H1618" s="17"/>
      <c r="I1618" s="18"/>
      <c r="J1618" s="18"/>
      <c r="K1618" s="18"/>
      <c r="L1618" s="18"/>
    </row>
    <row r="1619">
      <c r="A1619" s="13"/>
      <c r="B1619" s="13"/>
      <c r="C1619" s="15"/>
      <c r="D1619" s="15"/>
      <c r="E1619" s="15"/>
      <c r="F1619" s="17"/>
      <c r="G1619" s="17"/>
      <c r="H1619" s="17"/>
      <c r="I1619" s="18"/>
      <c r="J1619" s="18"/>
      <c r="K1619" s="18"/>
      <c r="L1619" s="18"/>
    </row>
    <row r="1620">
      <c r="A1620" s="13"/>
      <c r="B1620" s="13"/>
      <c r="C1620" s="15"/>
      <c r="D1620" s="15"/>
      <c r="E1620" s="15"/>
      <c r="F1620" s="17"/>
      <c r="G1620" s="17"/>
      <c r="H1620" s="17"/>
      <c r="I1620" s="18"/>
      <c r="J1620" s="18"/>
      <c r="K1620" s="18"/>
      <c r="L1620" s="18"/>
    </row>
    <row r="1621">
      <c r="A1621" s="13"/>
      <c r="B1621" s="13"/>
      <c r="C1621" s="15"/>
      <c r="D1621" s="15"/>
      <c r="E1621" s="15"/>
      <c r="F1621" s="17"/>
      <c r="G1621" s="17"/>
      <c r="H1621" s="17"/>
      <c r="I1621" s="18"/>
      <c r="J1621" s="18"/>
      <c r="K1621" s="18"/>
      <c r="L1621" s="18"/>
    </row>
    <row r="1622">
      <c r="A1622" s="13"/>
      <c r="B1622" s="13"/>
      <c r="C1622" s="15"/>
      <c r="D1622" s="15"/>
      <c r="E1622" s="15"/>
      <c r="F1622" s="17"/>
      <c r="G1622" s="17"/>
      <c r="H1622" s="17"/>
      <c r="I1622" s="18"/>
      <c r="J1622" s="18"/>
      <c r="K1622" s="18"/>
      <c r="L1622" s="18"/>
    </row>
    <row r="1623">
      <c r="A1623" s="13"/>
      <c r="B1623" s="13"/>
      <c r="C1623" s="15"/>
      <c r="D1623" s="15"/>
      <c r="E1623" s="15"/>
      <c r="F1623" s="17"/>
      <c r="G1623" s="17"/>
      <c r="H1623" s="17"/>
      <c r="I1623" s="18"/>
      <c r="J1623" s="18"/>
      <c r="K1623" s="18"/>
      <c r="L1623" s="18"/>
    </row>
    <row r="1624">
      <c r="A1624" s="13"/>
      <c r="B1624" s="13"/>
      <c r="C1624" s="15"/>
      <c r="D1624" s="15"/>
      <c r="E1624" s="15"/>
      <c r="F1624" s="17"/>
      <c r="G1624" s="17"/>
      <c r="H1624" s="17"/>
      <c r="I1624" s="18"/>
      <c r="J1624" s="18"/>
      <c r="K1624" s="18"/>
      <c r="L1624" s="18"/>
    </row>
    <row r="1625">
      <c r="A1625" s="13"/>
      <c r="B1625" s="13"/>
      <c r="C1625" s="15"/>
      <c r="D1625" s="15"/>
      <c r="E1625" s="15"/>
      <c r="F1625" s="17"/>
      <c r="G1625" s="17"/>
      <c r="H1625" s="17"/>
      <c r="I1625" s="18"/>
      <c r="J1625" s="18"/>
      <c r="K1625" s="18"/>
      <c r="L1625" s="18"/>
    </row>
    <row r="1626">
      <c r="A1626" s="13"/>
      <c r="B1626" s="13"/>
      <c r="C1626" s="15"/>
      <c r="D1626" s="15"/>
      <c r="E1626" s="15"/>
      <c r="F1626" s="17"/>
      <c r="G1626" s="17"/>
      <c r="H1626" s="17"/>
      <c r="I1626" s="18"/>
      <c r="J1626" s="18"/>
      <c r="K1626" s="18"/>
      <c r="L1626" s="18"/>
    </row>
    <row r="1627">
      <c r="A1627" s="13"/>
      <c r="B1627" s="13"/>
      <c r="C1627" s="15"/>
      <c r="D1627" s="15"/>
      <c r="E1627" s="15"/>
      <c r="F1627" s="17"/>
      <c r="G1627" s="17"/>
      <c r="H1627" s="17"/>
      <c r="I1627" s="18"/>
      <c r="J1627" s="18"/>
      <c r="K1627" s="18"/>
      <c r="L1627" s="18"/>
    </row>
    <row r="1628">
      <c r="A1628" s="13"/>
      <c r="B1628" s="13"/>
      <c r="C1628" s="15"/>
      <c r="D1628" s="15"/>
      <c r="E1628" s="15"/>
      <c r="F1628" s="17"/>
      <c r="G1628" s="17"/>
      <c r="H1628" s="17"/>
      <c r="I1628" s="18"/>
      <c r="J1628" s="18"/>
      <c r="K1628" s="18"/>
      <c r="L1628" s="18"/>
    </row>
    <row r="1629">
      <c r="A1629" s="13"/>
      <c r="B1629" s="13"/>
      <c r="C1629" s="15"/>
      <c r="D1629" s="15"/>
      <c r="E1629" s="15"/>
      <c r="F1629" s="17"/>
      <c r="G1629" s="17"/>
      <c r="H1629" s="17"/>
      <c r="I1629" s="18"/>
      <c r="J1629" s="18"/>
      <c r="K1629" s="18"/>
      <c r="L1629" s="18"/>
    </row>
    <row r="1630">
      <c r="A1630" s="13"/>
      <c r="B1630" s="13"/>
      <c r="C1630" s="15"/>
      <c r="D1630" s="15"/>
      <c r="E1630" s="15"/>
      <c r="F1630" s="17"/>
      <c r="G1630" s="17"/>
      <c r="H1630" s="17"/>
      <c r="I1630" s="18"/>
      <c r="J1630" s="18"/>
      <c r="K1630" s="18"/>
      <c r="L1630" s="18"/>
    </row>
    <row r="1631">
      <c r="A1631" s="13"/>
      <c r="B1631" s="13"/>
      <c r="C1631" s="15"/>
      <c r="D1631" s="15"/>
      <c r="E1631" s="15"/>
      <c r="F1631" s="17"/>
      <c r="G1631" s="17"/>
      <c r="H1631" s="17"/>
      <c r="I1631" s="18"/>
      <c r="J1631" s="18"/>
      <c r="K1631" s="18"/>
      <c r="L1631" s="18"/>
    </row>
    <row r="1632">
      <c r="A1632" s="13"/>
      <c r="B1632" s="13"/>
      <c r="C1632" s="15"/>
      <c r="D1632" s="15"/>
      <c r="E1632" s="15"/>
      <c r="F1632" s="17"/>
      <c r="G1632" s="17"/>
      <c r="H1632" s="17"/>
      <c r="I1632" s="18"/>
      <c r="J1632" s="18"/>
      <c r="K1632" s="18"/>
      <c r="L1632" s="18"/>
    </row>
    <row r="1633">
      <c r="A1633" s="13"/>
      <c r="B1633" s="13"/>
      <c r="C1633" s="15"/>
      <c r="D1633" s="15"/>
      <c r="E1633" s="15"/>
      <c r="F1633" s="17"/>
      <c r="G1633" s="17"/>
      <c r="H1633" s="17"/>
      <c r="I1633" s="18"/>
      <c r="J1633" s="18"/>
      <c r="K1633" s="18"/>
      <c r="L1633" s="18"/>
    </row>
    <row r="1634">
      <c r="A1634" s="13"/>
      <c r="B1634" s="13"/>
      <c r="C1634" s="15"/>
      <c r="D1634" s="15"/>
      <c r="E1634" s="15"/>
      <c r="F1634" s="17"/>
      <c r="G1634" s="17"/>
      <c r="H1634" s="17"/>
      <c r="I1634" s="18"/>
      <c r="J1634" s="18"/>
      <c r="K1634" s="18"/>
      <c r="L1634" s="18"/>
    </row>
    <row r="1635">
      <c r="A1635" s="13"/>
      <c r="B1635" s="13"/>
      <c r="C1635" s="15"/>
      <c r="D1635" s="15"/>
      <c r="E1635" s="15"/>
      <c r="F1635" s="17"/>
      <c r="G1635" s="17"/>
      <c r="H1635" s="17"/>
      <c r="I1635" s="18"/>
      <c r="J1635" s="18"/>
      <c r="K1635" s="18"/>
      <c r="L1635" s="18"/>
    </row>
    <row r="1636">
      <c r="A1636" s="13"/>
      <c r="B1636" s="13"/>
      <c r="C1636" s="15"/>
      <c r="D1636" s="15"/>
      <c r="E1636" s="15"/>
      <c r="F1636" s="17"/>
      <c r="G1636" s="17"/>
      <c r="H1636" s="17"/>
      <c r="I1636" s="18"/>
      <c r="J1636" s="18"/>
      <c r="K1636" s="18"/>
      <c r="L1636" s="18"/>
    </row>
    <row r="1637">
      <c r="A1637" s="13"/>
      <c r="B1637" s="13"/>
      <c r="C1637" s="15"/>
      <c r="D1637" s="15"/>
      <c r="E1637" s="15"/>
      <c r="F1637" s="17"/>
      <c r="G1637" s="17"/>
      <c r="H1637" s="17"/>
      <c r="I1637" s="18"/>
      <c r="J1637" s="18"/>
      <c r="K1637" s="18"/>
      <c r="L1637" s="18"/>
    </row>
    <row r="1638">
      <c r="A1638" s="13"/>
      <c r="B1638" s="13"/>
      <c r="C1638" s="15"/>
      <c r="D1638" s="15"/>
      <c r="E1638" s="15"/>
      <c r="F1638" s="17"/>
      <c r="G1638" s="17"/>
      <c r="H1638" s="17"/>
      <c r="I1638" s="18"/>
      <c r="J1638" s="18"/>
      <c r="K1638" s="18"/>
      <c r="L1638" s="18"/>
    </row>
    <row r="1639">
      <c r="A1639" s="13"/>
      <c r="B1639" s="13"/>
      <c r="C1639" s="15"/>
      <c r="D1639" s="15"/>
      <c r="E1639" s="15"/>
      <c r="F1639" s="17"/>
      <c r="G1639" s="17"/>
      <c r="H1639" s="17"/>
      <c r="I1639" s="18"/>
      <c r="J1639" s="18"/>
      <c r="K1639" s="18"/>
      <c r="L1639" s="18"/>
    </row>
    <row r="1640">
      <c r="A1640" s="13"/>
      <c r="B1640" s="13"/>
      <c r="C1640" s="15"/>
      <c r="D1640" s="15"/>
      <c r="E1640" s="15"/>
      <c r="F1640" s="17"/>
      <c r="G1640" s="17"/>
      <c r="H1640" s="17"/>
      <c r="I1640" s="18"/>
      <c r="J1640" s="18"/>
      <c r="K1640" s="18"/>
      <c r="L1640" s="18"/>
    </row>
    <row r="1641">
      <c r="A1641" s="13"/>
      <c r="B1641" s="13"/>
      <c r="C1641" s="15"/>
      <c r="D1641" s="15"/>
      <c r="E1641" s="15"/>
      <c r="F1641" s="17"/>
      <c r="G1641" s="17"/>
      <c r="H1641" s="17"/>
      <c r="I1641" s="18"/>
      <c r="J1641" s="18"/>
      <c r="K1641" s="18"/>
      <c r="L1641" s="18"/>
    </row>
    <row r="1642">
      <c r="A1642" s="13"/>
      <c r="B1642" s="13"/>
      <c r="C1642" s="15"/>
      <c r="D1642" s="15"/>
      <c r="E1642" s="15"/>
      <c r="F1642" s="17"/>
      <c r="G1642" s="17"/>
      <c r="H1642" s="17"/>
      <c r="I1642" s="18"/>
      <c r="J1642" s="18"/>
      <c r="K1642" s="18"/>
      <c r="L1642" s="18"/>
    </row>
    <row r="1643">
      <c r="A1643" s="13"/>
      <c r="B1643" s="13"/>
      <c r="C1643" s="15"/>
      <c r="D1643" s="15"/>
      <c r="E1643" s="15"/>
      <c r="F1643" s="17"/>
      <c r="G1643" s="17"/>
      <c r="H1643" s="17"/>
      <c r="I1643" s="18"/>
      <c r="J1643" s="18"/>
      <c r="K1643" s="18"/>
      <c r="L1643" s="18"/>
    </row>
    <row r="1644">
      <c r="A1644" s="13"/>
      <c r="B1644" s="13"/>
      <c r="C1644" s="15"/>
      <c r="D1644" s="15"/>
      <c r="E1644" s="15"/>
      <c r="F1644" s="17"/>
      <c r="G1644" s="17"/>
      <c r="H1644" s="17"/>
      <c r="I1644" s="18"/>
      <c r="J1644" s="18"/>
      <c r="K1644" s="18"/>
      <c r="L1644" s="18"/>
    </row>
    <row r="1645">
      <c r="A1645" s="13"/>
      <c r="B1645" s="13"/>
      <c r="C1645" s="15"/>
      <c r="D1645" s="15"/>
      <c r="E1645" s="15"/>
      <c r="F1645" s="17"/>
      <c r="G1645" s="17"/>
      <c r="H1645" s="17"/>
      <c r="I1645" s="18"/>
      <c r="J1645" s="18"/>
      <c r="K1645" s="18"/>
      <c r="L1645" s="18"/>
    </row>
    <row r="1646">
      <c r="A1646" s="13"/>
      <c r="B1646" s="13"/>
      <c r="C1646" s="15"/>
      <c r="D1646" s="15"/>
      <c r="E1646" s="15"/>
      <c r="F1646" s="17"/>
      <c r="G1646" s="17"/>
      <c r="H1646" s="17"/>
      <c r="I1646" s="18"/>
      <c r="J1646" s="18"/>
      <c r="K1646" s="18"/>
      <c r="L1646" s="18"/>
    </row>
    <row r="1647">
      <c r="A1647" s="13"/>
      <c r="B1647" s="13"/>
      <c r="C1647" s="15"/>
      <c r="D1647" s="15"/>
      <c r="E1647" s="15"/>
      <c r="F1647" s="17"/>
      <c r="G1647" s="17"/>
      <c r="H1647" s="17"/>
      <c r="I1647" s="18"/>
      <c r="J1647" s="18"/>
      <c r="K1647" s="18"/>
      <c r="L1647" s="18"/>
    </row>
    <row r="1648">
      <c r="A1648" s="13"/>
      <c r="B1648" s="13"/>
      <c r="C1648" s="15"/>
      <c r="D1648" s="15"/>
      <c r="E1648" s="15"/>
      <c r="F1648" s="17"/>
      <c r="G1648" s="17"/>
      <c r="H1648" s="17"/>
      <c r="I1648" s="18"/>
      <c r="J1648" s="18"/>
      <c r="K1648" s="18"/>
      <c r="L1648" s="18"/>
    </row>
    <row r="1649">
      <c r="A1649" s="13"/>
      <c r="B1649" s="13"/>
      <c r="C1649" s="15"/>
      <c r="D1649" s="15"/>
      <c r="E1649" s="15"/>
      <c r="F1649" s="17"/>
      <c r="G1649" s="17"/>
      <c r="H1649" s="17"/>
      <c r="I1649" s="18"/>
      <c r="J1649" s="18"/>
      <c r="K1649" s="18"/>
      <c r="L1649" s="18"/>
    </row>
    <row r="1650">
      <c r="A1650" s="13"/>
      <c r="B1650" s="13"/>
      <c r="C1650" s="15"/>
      <c r="D1650" s="15"/>
      <c r="E1650" s="15"/>
      <c r="F1650" s="17"/>
      <c r="G1650" s="17"/>
      <c r="H1650" s="17"/>
      <c r="I1650" s="18"/>
      <c r="J1650" s="18"/>
      <c r="K1650" s="18"/>
      <c r="L1650" s="18"/>
    </row>
    <row r="1651">
      <c r="A1651" s="13"/>
      <c r="B1651" s="13"/>
      <c r="C1651" s="15"/>
      <c r="D1651" s="15"/>
      <c r="E1651" s="15"/>
      <c r="F1651" s="17"/>
      <c r="G1651" s="17"/>
      <c r="H1651" s="17"/>
      <c r="I1651" s="18"/>
      <c r="J1651" s="18"/>
      <c r="K1651" s="18"/>
      <c r="L1651" s="18"/>
    </row>
    <row r="1652">
      <c r="A1652" s="13"/>
      <c r="B1652" s="13"/>
      <c r="C1652" s="15"/>
      <c r="D1652" s="15"/>
      <c r="E1652" s="15"/>
      <c r="F1652" s="17"/>
      <c r="G1652" s="17"/>
      <c r="H1652" s="17"/>
      <c r="I1652" s="18"/>
      <c r="J1652" s="18"/>
      <c r="K1652" s="18"/>
      <c r="L1652" s="18"/>
    </row>
    <row r="1653">
      <c r="A1653" s="13"/>
      <c r="B1653" s="13"/>
      <c r="C1653" s="15"/>
      <c r="D1653" s="15"/>
      <c r="E1653" s="15"/>
      <c r="F1653" s="17"/>
      <c r="G1653" s="17"/>
      <c r="H1653" s="17"/>
      <c r="I1653" s="18"/>
      <c r="J1653" s="18"/>
      <c r="K1653" s="18"/>
      <c r="L1653" s="18"/>
    </row>
    <row r="1654">
      <c r="A1654" s="13"/>
      <c r="B1654" s="13"/>
      <c r="C1654" s="15"/>
      <c r="D1654" s="15"/>
      <c r="E1654" s="15"/>
      <c r="F1654" s="17"/>
      <c r="G1654" s="17"/>
      <c r="H1654" s="17"/>
      <c r="I1654" s="18"/>
      <c r="J1654" s="18"/>
      <c r="K1654" s="18"/>
      <c r="L1654" s="18"/>
    </row>
    <row r="1655">
      <c r="A1655" s="13"/>
      <c r="B1655" s="13"/>
      <c r="C1655" s="15"/>
      <c r="D1655" s="15"/>
      <c r="E1655" s="15"/>
      <c r="F1655" s="17"/>
      <c r="G1655" s="17"/>
      <c r="H1655" s="17"/>
      <c r="I1655" s="18"/>
      <c r="J1655" s="18"/>
      <c r="K1655" s="18"/>
      <c r="L1655" s="18"/>
    </row>
    <row r="1656">
      <c r="A1656" s="13"/>
      <c r="B1656" s="13"/>
      <c r="C1656" s="15"/>
      <c r="D1656" s="15"/>
      <c r="E1656" s="15"/>
      <c r="F1656" s="17"/>
      <c r="G1656" s="17"/>
      <c r="H1656" s="17"/>
      <c r="I1656" s="18"/>
      <c r="J1656" s="18"/>
      <c r="K1656" s="18"/>
      <c r="L1656" s="18"/>
    </row>
    <row r="1657">
      <c r="A1657" s="13"/>
      <c r="B1657" s="13"/>
      <c r="C1657" s="15"/>
      <c r="D1657" s="15"/>
      <c r="E1657" s="15"/>
      <c r="F1657" s="17"/>
      <c r="G1657" s="17"/>
      <c r="H1657" s="17"/>
      <c r="I1657" s="18"/>
      <c r="J1657" s="18"/>
      <c r="K1657" s="18"/>
      <c r="L1657" s="18"/>
    </row>
    <row r="1658">
      <c r="A1658" s="13"/>
      <c r="B1658" s="13"/>
      <c r="C1658" s="15"/>
      <c r="D1658" s="15"/>
      <c r="E1658" s="15"/>
      <c r="F1658" s="17"/>
      <c r="G1658" s="17"/>
      <c r="H1658" s="17"/>
      <c r="I1658" s="18"/>
      <c r="J1658" s="18"/>
      <c r="K1658" s="18"/>
      <c r="L1658" s="18"/>
    </row>
    <row r="1659">
      <c r="A1659" s="13"/>
      <c r="B1659" s="13"/>
      <c r="C1659" s="15"/>
      <c r="D1659" s="15"/>
      <c r="E1659" s="15"/>
      <c r="F1659" s="17"/>
      <c r="G1659" s="17"/>
      <c r="H1659" s="17"/>
      <c r="I1659" s="18"/>
      <c r="J1659" s="18"/>
      <c r="K1659" s="18"/>
      <c r="L1659" s="18"/>
    </row>
    <row r="1660">
      <c r="A1660" s="13"/>
      <c r="B1660" s="13"/>
      <c r="C1660" s="15"/>
      <c r="D1660" s="15"/>
      <c r="E1660" s="15"/>
      <c r="F1660" s="17"/>
      <c r="G1660" s="17"/>
      <c r="H1660" s="17"/>
      <c r="I1660" s="18"/>
      <c r="J1660" s="18"/>
      <c r="K1660" s="18"/>
      <c r="L1660" s="18"/>
    </row>
    <row r="1661">
      <c r="A1661" s="13"/>
      <c r="B1661" s="13"/>
      <c r="C1661" s="15"/>
      <c r="D1661" s="15"/>
      <c r="E1661" s="15"/>
      <c r="F1661" s="17"/>
      <c r="G1661" s="17"/>
      <c r="H1661" s="17"/>
      <c r="I1661" s="18"/>
      <c r="J1661" s="18"/>
      <c r="K1661" s="18"/>
      <c r="L1661" s="18"/>
    </row>
    <row r="1662">
      <c r="A1662" s="13"/>
      <c r="B1662" s="13"/>
      <c r="C1662" s="15"/>
      <c r="D1662" s="15"/>
      <c r="E1662" s="15"/>
      <c r="F1662" s="17"/>
      <c r="G1662" s="17"/>
      <c r="H1662" s="17"/>
      <c r="I1662" s="18"/>
      <c r="J1662" s="18"/>
      <c r="K1662" s="18"/>
      <c r="L1662" s="18"/>
    </row>
    <row r="1663">
      <c r="A1663" s="13"/>
      <c r="B1663" s="13"/>
      <c r="C1663" s="15"/>
      <c r="D1663" s="15"/>
      <c r="E1663" s="15"/>
      <c r="F1663" s="17"/>
      <c r="G1663" s="17"/>
      <c r="H1663" s="17"/>
      <c r="I1663" s="18"/>
      <c r="J1663" s="18"/>
      <c r="K1663" s="18"/>
      <c r="L1663" s="18"/>
    </row>
    <row r="1664">
      <c r="A1664" s="13"/>
      <c r="B1664" s="13"/>
      <c r="C1664" s="15"/>
      <c r="D1664" s="15"/>
      <c r="E1664" s="15"/>
      <c r="F1664" s="17"/>
      <c r="G1664" s="17"/>
      <c r="H1664" s="17"/>
      <c r="I1664" s="18"/>
      <c r="J1664" s="18"/>
      <c r="K1664" s="18"/>
      <c r="L1664" s="18"/>
    </row>
    <row r="1665">
      <c r="A1665" s="13"/>
      <c r="B1665" s="13"/>
      <c r="C1665" s="15"/>
      <c r="D1665" s="15"/>
      <c r="E1665" s="15"/>
      <c r="F1665" s="17"/>
      <c r="G1665" s="17"/>
      <c r="H1665" s="17"/>
      <c r="I1665" s="18"/>
      <c r="J1665" s="18"/>
      <c r="K1665" s="18"/>
      <c r="L1665" s="18"/>
    </row>
    <row r="1666">
      <c r="A1666" s="13"/>
      <c r="B1666" s="13"/>
      <c r="C1666" s="15"/>
      <c r="D1666" s="15"/>
      <c r="E1666" s="15"/>
      <c r="F1666" s="17"/>
      <c r="G1666" s="17"/>
      <c r="H1666" s="17"/>
      <c r="I1666" s="18"/>
      <c r="J1666" s="18"/>
      <c r="K1666" s="18"/>
      <c r="L1666" s="18"/>
    </row>
    <row r="1667">
      <c r="A1667" s="13"/>
      <c r="B1667" s="13"/>
      <c r="C1667" s="15"/>
      <c r="D1667" s="15"/>
      <c r="E1667" s="15"/>
      <c r="F1667" s="17"/>
      <c r="G1667" s="17"/>
      <c r="H1667" s="17"/>
      <c r="I1667" s="18"/>
      <c r="J1667" s="18"/>
      <c r="K1667" s="18"/>
      <c r="L1667" s="18"/>
    </row>
    <row r="1668">
      <c r="A1668" s="13"/>
      <c r="B1668" s="13"/>
      <c r="C1668" s="15"/>
      <c r="D1668" s="15"/>
      <c r="E1668" s="15"/>
      <c r="F1668" s="17"/>
      <c r="G1668" s="17"/>
      <c r="H1668" s="17"/>
      <c r="I1668" s="18"/>
      <c r="J1668" s="18"/>
      <c r="K1668" s="18"/>
      <c r="L1668" s="18"/>
    </row>
    <row r="1669">
      <c r="A1669" s="13"/>
      <c r="B1669" s="13"/>
      <c r="C1669" s="15"/>
      <c r="D1669" s="15"/>
      <c r="E1669" s="15"/>
      <c r="F1669" s="17"/>
      <c r="G1669" s="17"/>
      <c r="H1669" s="17"/>
      <c r="I1669" s="18"/>
      <c r="J1669" s="18"/>
      <c r="K1669" s="18"/>
      <c r="L1669" s="18"/>
    </row>
    <row r="1670">
      <c r="A1670" s="13"/>
      <c r="B1670" s="13"/>
      <c r="C1670" s="15"/>
      <c r="D1670" s="15"/>
      <c r="E1670" s="15"/>
      <c r="F1670" s="17"/>
      <c r="G1670" s="17"/>
      <c r="H1670" s="17"/>
      <c r="I1670" s="18"/>
      <c r="J1670" s="18"/>
      <c r="K1670" s="18"/>
      <c r="L1670" s="18"/>
    </row>
    <row r="1671">
      <c r="A1671" s="13"/>
      <c r="B1671" s="13"/>
      <c r="C1671" s="15"/>
      <c r="D1671" s="15"/>
      <c r="E1671" s="15"/>
      <c r="F1671" s="17"/>
      <c r="G1671" s="17"/>
      <c r="H1671" s="17"/>
      <c r="I1671" s="18"/>
      <c r="J1671" s="18"/>
      <c r="K1671" s="18"/>
      <c r="L1671" s="18"/>
    </row>
    <row r="1672">
      <c r="A1672" s="13"/>
      <c r="B1672" s="13"/>
      <c r="C1672" s="15"/>
      <c r="D1672" s="15"/>
      <c r="E1672" s="15"/>
      <c r="F1672" s="17"/>
      <c r="G1672" s="17"/>
      <c r="H1672" s="17"/>
      <c r="I1672" s="18"/>
      <c r="J1672" s="18"/>
      <c r="K1672" s="18"/>
      <c r="L1672" s="18"/>
    </row>
    <row r="1673">
      <c r="A1673" s="13"/>
      <c r="B1673" s="13"/>
      <c r="C1673" s="15"/>
      <c r="D1673" s="15"/>
      <c r="E1673" s="15"/>
      <c r="F1673" s="17"/>
      <c r="G1673" s="17"/>
      <c r="H1673" s="17"/>
      <c r="I1673" s="28"/>
      <c r="J1673" s="18"/>
      <c r="K1673" s="28"/>
      <c r="L1673" s="28"/>
    </row>
    <row r="1674">
      <c r="A1674" s="13"/>
      <c r="B1674" s="13"/>
      <c r="C1674" s="15"/>
      <c r="D1674" s="15"/>
      <c r="E1674" s="15"/>
      <c r="F1674" s="17"/>
      <c r="G1674" s="17"/>
      <c r="H1674" s="17"/>
      <c r="I1674" s="18"/>
      <c r="J1674" s="18"/>
      <c r="K1674" s="18"/>
      <c r="L1674" s="18"/>
    </row>
    <row r="1675">
      <c r="A1675" s="13"/>
      <c r="B1675" s="13"/>
      <c r="C1675" s="15"/>
      <c r="D1675" s="15"/>
      <c r="E1675" s="15"/>
      <c r="F1675" s="17"/>
      <c r="G1675" s="17"/>
      <c r="H1675" s="17"/>
      <c r="I1675" s="18"/>
      <c r="J1675" s="18"/>
      <c r="K1675" s="18"/>
      <c r="L1675" s="18"/>
    </row>
    <row r="1676">
      <c r="A1676" s="13"/>
      <c r="B1676" s="13"/>
      <c r="C1676" s="15"/>
      <c r="D1676" s="15"/>
      <c r="E1676" s="15"/>
      <c r="F1676" s="17"/>
      <c r="G1676" s="17"/>
      <c r="H1676" s="17"/>
      <c r="I1676" s="18"/>
      <c r="J1676" s="18"/>
      <c r="K1676" s="18"/>
      <c r="L1676" s="18"/>
    </row>
    <row r="1677">
      <c r="A1677" s="13"/>
      <c r="B1677" s="13"/>
      <c r="C1677" s="15"/>
      <c r="D1677" s="15"/>
      <c r="E1677" s="15"/>
      <c r="F1677" s="17"/>
      <c r="G1677" s="17"/>
      <c r="H1677" s="17"/>
      <c r="I1677" s="18"/>
      <c r="J1677" s="18"/>
      <c r="K1677" s="18"/>
      <c r="L1677" s="18"/>
    </row>
    <row r="1678">
      <c r="A1678" s="13"/>
      <c r="B1678" s="13"/>
      <c r="C1678" s="15"/>
      <c r="D1678" s="15"/>
      <c r="E1678" s="15"/>
      <c r="F1678" s="17"/>
      <c r="G1678" s="17"/>
      <c r="H1678" s="17"/>
      <c r="I1678" s="18"/>
      <c r="J1678" s="18"/>
      <c r="K1678" s="18"/>
      <c r="L1678" s="18"/>
    </row>
    <row r="1679">
      <c r="A1679" s="13"/>
      <c r="B1679" s="13"/>
      <c r="C1679" s="15"/>
      <c r="D1679" s="15"/>
      <c r="E1679" s="15"/>
      <c r="F1679" s="17"/>
      <c r="G1679" s="17"/>
      <c r="H1679" s="17"/>
      <c r="I1679" s="18"/>
      <c r="J1679" s="18"/>
      <c r="K1679" s="18"/>
      <c r="L1679" s="18"/>
    </row>
    <row r="1680">
      <c r="A1680" s="13"/>
      <c r="B1680" s="13"/>
      <c r="C1680" s="15"/>
      <c r="D1680" s="15"/>
      <c r="E1680" s="15"/>
      <c r="F1680" s="17"/>
      <c r="G1680" s="17"/>
      <c r="H1680" s="17"/>
      <c r="I1680" s="18"/>
      <c r="J1680" s="18"/>
      <c r="K1680" s="18"/>
      <c r="L1680" s="18"/>
    </row>
    <row r="1681">
      <c r="A1681" s="13"/>
      <c r="B1681" s="13"/>
      <c r="C1681" s="15"/>
      <c r="D1681" s="15"/>
      <c r="E1681" s="15"/>
      <c r="F1681" s="17"/>
      <c r="G1681" s="17"/>
      <c r="H1681" s="17"/>
      <c r="I1681" s="18"/>
      <c r="J1681" s="18"/>
      <c r="K1681" s="18"/>
      <c r="L1681" s="18"/>
    </row>
    <row r="1682">
      <c r="A1682" s="13"/>
      <c r="B1682" s="13"/>
      <c r="C1682" s="15"/>
      <c r="D1682" s="15"/>
      <c r="E1682" s="15"/>
      <c r="F1682" s="17"/>
      <c r="G1682" s="17"/>
      <c r="H1682" s="17"/>
      <c r="I1682" s="18"/>
      <c r="J1682" s="18"/>
      <c r="K1682" s="18"/>
      <c r="L1682" s="18"/>
    </row>
    <row r="1683">
      <c r="A1683" s="13"/>
      <c r="B1683" s="13"/>
      <c r="C1683" s="15"/>
      <c r="D1683" s="15"/>
      <c r="E1683" s="15"/>
      <c r="F1683" s="17"/>
      <c r="G1683" s="17"/>
      <c r="H1683" s="17"/>
      <c r="I1683" s="18"/>
      <c r="J1683" s="18"/>
      <c r="K1683" s="18"/>
      <c r="L1683" s="18"/>
    </row>
    <row r="1684">
      <c r="A1684" s="13"/>
      <c r="B1684" s="13"/>
      <c r="C1684" s="15"/>
      <c r="D1684" s="15"/>
      <c r="E1684" s="15"/>
      <c r="F1684" s="17"/>
      <c r="G1684" s="17"/>
      <c r="H1684" s="17"/>
      <c r="I1684" s="18"/>
      <c r="J1684" s="18"/>
      <c r="K1684" s="18"/>
      <c r="L1684" s="18"/>
    </row>
    <row r="1685">
      <c r="A1685" s="13"/>
      <c r="B1685" s="13"/>
      <c r="C1685" s="15"/>
      <c r="D1685" s="15"/>
      <c r="E1685" s="15"/>
      <c r="F1685" s="17"/>
      <c r="G1685" s="17"/>
      <c r="H1685" s="17"/>
      <c r="I1685" s="18"/>
      <c r="J1685" s="18"/>
      <c r="K1685" s="18"/>
      <c r="L1685" s="18"/>
    </row>
    <row r="1686">
      <c r="A1686" s="13"/>
      <c r="B1686" s="13"/>
      <c r="C1686" s="15"/>
      <c r="D1686" s="15"/>
      <c r="E1686" s="15"/>
      <c r="F1686" s="17"/>
      <c r="G1686" s="17"/>
      <c r="H1686" s="17"/>
      <c r="I1686" s="18"/>
      <c r="J1686" s="18"/>
      <c r="K1686" s="18"/>
      <c r="L1686" s="18"/>
    </row>
    <row r="1687">
      <c r="A1687" s="13"/>
      <c r="B1687" s="13"/>
      <c r="C1687" s="15"/>
      <c r="D1687" s="15"/>
      <c r="E1687" s="15"/>
      <c r="F1687" s="17"/>
      <c r="G1687" s="17"/>
      <c r="H1687" s="17"/>
      <c r="I1687" s="18"/>
      <c r="J1687" s="18"/>
      <c r="K1687" s="18"/>
      <c r="L1687" s="18"/>
    </row>
    <row r="1688">
      <c r="A1688" s="13"/>
      <c r="B1688" s="13"/>
      <c r="C1688" s="15"/>
      <c r="D1688" s="15"/>
      <c r="E1688" s="15"/>
      <c r="F1688" s="17"/>
      <c r="G1688" s="17"/>
      <c r="H1688" s="17"/>
      <c r="I1688" s="18"/>
      <c r="J1688" s="18"/>
      <c r="K1688" s="18"/>
      <c r="L1688" s="18"/>
    </row>
    <row r="1689">
      <c r="A1689" s="13"/>
      <c r="B1689" s="13"/>
      <c r="C1689" s="15"/>
      <c r="D1689" s="15"/>
      <c r="E1689" s="15"/>
      <c r="F1689" s="17"/>
      <c r="G1689" s="17"/>
      <c r="H1689" s="17"/>
      <c r="I1689" s="18"/>
      <c r="J1689" s="18"/>
      <c r="K1689" s="18"/>
      <c r="L1689" s="18"/>
    </row>
    <row r="1690">
      <c r="A1690" s="13"/>
      <c r="B1690" s="13"/>
      <c r="C1690" s="15"/>
      <c r="D1690" s="15"/>
      <c r="E1690" s="15"/>
      <c r="F1690" s="17"/>
      <c r="G1690" s="17"/>
      <c r="H1690" s="17"/>
      <c r="I1690" s="18"/>
      <c r="J1690" s="18"/>
      <c r="K1690" s="18"/>
      <c r="L1690" s="18"/>
    </row>
    <row r="1691">
      <c r="A1691" s="13"/>
      <c r="B1691" s="13"/>
      <c r="C1691" s="15"/>
      <c r="D1691" s="15"/>
      <c r="E1691" s="15"/>
      <c r="F1691" s="17"/>
      <c r="G1691" s="17"/>
      <c r="H1691" s="17"/>
      <c r="I1691" s="18"/>
      <c r="J1691" s="18"/>
      <c r="K1691" s="18"/>
      <c r="L1691" s="18"/>
    </row>
    <row r="1692">
      <c r="A1692" s="13"/>
      <c r="B1692" s="13"/>
      <c r="C1692" s="15"/>
      <c r="D1692" s="15"/>
      <c r="E1692" s="15"/>
      <c r="F1692" s="17"/>
      <c r="G1692" s="17"/>
      <c r="H1692" s="17"/>
      <c r="I1692" s="18"/>
      <c r="J1692" s="18"/>
      <c r="K1692" s="18"/>
      <c r="L1692" s="18"/>
    </row>
    <row r="1693">
      <c r="A1693" s="13"/>
      <c r="B1693" s="13"/>
      <c r="C1693" s="15"/>
      <c r="D1693" s="15"/>
      <c r="E1693" s="15"/>
      <c r="F1693" s="17"/>
      <c r="G1693" s="17"/>
      <c r="H1693" s="17"/>
      <c r="I1693" s="18"/>
      <c r="J1693" s="18"/>
      <c r="K1693" s="18"/>
      <c r="L1693" s="18"/>
    </row>
    <row r="1694">
      <c r="A1694" s="13"/>
      <c r="B1694" s="13"/>
      <c r="C1694" s="15"/>
      <c r="D1694" s="15"/>
      <c r="E1694" s="15"/>
      <c r="F1694" s="17"/>
      <c r="G1694" s="17"/>
      <c r="H1694" s="17"/>
      <c r="I1694" s="18"/>
      <c r="J1694" s="18"/>
      <c r="K1694" s="18"/>
      <c r="L1694" s="18"/>
    </row>
    <row r="1695">
      <c r="A1695" s="13"/>
      <c r="B1695" s="13"/>
      <c r="C1695" s="15"/>
      <c r="D1695" s="15"/>
      <c r="E1695" s="15"/>
      <c r="F1695" s="17"/>
      <c r="G1695" s="17"/>
      <c r="H1695" s="17"/>
      <c r="I1695" s="18"/>
      <c r="J1695" s="18"/>
      <c r="K1695" s="18"/>
      <c r="L1695" s="18"/>
    </row>
    <row r="1696">
      <c r="A1696" s="13"/>
      <c r="B1696" s="13"/>
      <c r="C1696" s="15"/>
      <c r="D1696" s="15"/>
      <c r="E1696" s="15"/>
      <c r="F1696" s="17"/>
      <c r="G1696" s="17"/>
      <c r="H1696" s="17"/>
      <c r="I1696" s="18"/>
      <c r="J1696" s="18"/>
      <c r="K1696" s="18"/>
      <c r="L1696" s="18"/>
    </row>
    <row r="1697">
      <c r="A1697" s="13"/>
      <c r="B1697" s="13"/>
      <c r="C1697" s="15"/>
      <c r="D1697" s="15"/>
      <c r="E1697" s="15"/>
      <c r="F1697" s="17"/>
      <c r="G1697" s="17"/>
      <c r="H1697" s="17"/>
      <c r="I1697" s="18"/>
      <c r="J1697" s="18"/>
      <c r="K1697" s="18"/>
      <c r="L1697" s="18"/>
    </row>
    <row r="1698">
      <c r="A1698" s="13"/>
      <c r="B1698" s="13"/>
      <c r="C1698" s="15"/>
      <c r="D1698" s="15"/>
      <c r="E1698" s="15"/>
      <c r="F1698" s="17"/>
      <c r="G1698" s="17"/>
      <c r="H1698" s="17"/>
      <c r="I1698" s="18"/>
      <c r="J1698" s="18"/>
      <c r="K1698" s="18"/>
      <c r="L1698" s="18"/>
    </row>
    <row r="1699">
      <c r="A1699" s="13"/>
      <c r="B1699" s="13"/>
      <c r="C1699" s="15"/>
      <c r="D1699" s="15"/>
      <c r="E1699" s="15"/>
      <c r="F1699" s="17"/>
      <c r="G1699" s="17"/>
      <c r="H1699" s="17"/>
      <c r="I1699" s="18"/>
      <c r="J1699" s="18"/>
      <c r="K1699" s="18"/>
      <c r="L1699" s="18"/>
    </row>
    <row r="1700">
      <c r="A1700" s="13"/>
      <c r="B1700" s="13"/>
      <c r="C1700" s="15"/>
      <c r="D1700" s="15"/>
      <c r="E1700" s="15"/>
      <c r="F1700" s="17"/>
      <c r="G1700" s="17"/>
      <c r="H1700" s="17"/>
      <c r="I1700" s="18"/>
      <c r="J1700" s="18"/>
      <c r="K1700" s="18"/>
      <c r="L1700" s="18"/>
    </row>
    <row r="1701">
      <c r="A1701" s="13"/>
      <c r="B1701" s="13"/>
      <c r="C1701" s="15"/>
      <c r="D1701" s="15"/>
      <c r="E1701" s="15"/>
      <c r="F1701" s="17"/>
      <c r="G1701" s="17"/>
      <c r="H1701" s="17"/>
      <c r="I1701" s="18"/>
      <c r="J1701" s="18"/>
      <c r="K1701" s="18"/>
      <c r="L1701" s="18"/>
    </row>
    <row r="1702">
      <c r="A1702" s="13"/>
      <c r="B1702" s="13"/>
      <c r="C1702" s="15"/>
      <c r="D1702" s="15"/>
      <c r="E1702" s="15"/>
      <c r="F1702" s="17"/>
      <c r="G1702" s="17"/>
      <c r="H1702" s="17"/>
      <c r="I1702" s="18"/>
      <c r="J1702" s="18"/>
      <c r="K1702" s="18"/>
      <c r="L1702" s="18"/>
    </row>
    <row r="1703">
      <c r="A1703" s="13"/>
      <c r="B1703" s="13"/>
      <c r="C1703" s="15"/>
      <c r="D1703" s="15"/>
      <c r="E1703" s="15"/>
      <c r="F1703" s="17"/>
      <c r="G1703" s="17"/>
      <c r="H1703" s="17"/>
      <c r="I1703" s="18"/>
      <c r="J1703" s="18"/>
      <c r="K1703" s="18"/>
      <c r="L1703" s="18"/>
    </row>
    <row r="1704">
      <c r="A1704" s="13"/>
      <c r="B1704" s="13"/>
      <c r="C1704" s="15"/>
      <c r="D1704" s="15"/>
      <c r="E1704" s="15"/>
      <c r="F1704" s="17"/>
      <c r="G1704" s="17"/>
      <c r="H1704" s="17"/>
      <c r="I1704" s="18"/>
      <c r="J1704" s="18"/>
      <c r="K1704" s="18"/>
      <c r="L1704" s="18"/>
    </row>
    <row r="1705">
      <c r="A1705" s="13"/>
      <c r="B1705" s="13"/>
      <c r="C1705" s="15"/>
      <c r="D1705" s="15"/>
      <c r="E1705" s="15"/>
      <c r="F1705" s="17"/>
      <c r="G1705" s="17"/>
      <c r="H1705" s="17"/>
      <c r="I1705" s="18"/>
      <c r="J1705" s="18"/>
      <c r="K1705" s="18"/>
      <c r="L1705" s="18"/>
    </row>
    <row r="1706">
      <c r="A1706" s="13"/>
      <c r="B1706" s="13"/>
      <c r="C1706" s="15"/>
      <c r="D1706" s="15"/>
      <c r="E1706" s="15"/>
      <c r="F1706" s="17"/>
      <c r="G1706" s="17"/>
      <c r="H1706" s="17"/>
      <c r="I1706" s="18"/>
      <c r="J1706" s="18"/>
      <c r="K1706" s="18"/>
      <c r="L1706" s="18"/>
    </row>
    <row r="1707">
      <c r="A1707" s="13"/>
      <c r="B1707" s="13"/>
      <c r="C1707" s="15"/>
      <c r="D1707" s="15"/>
      <c r="E1707" s="15"/>
      <c r="F1707" s="17"/>
      <c r="G1707" s="17"/>
      <c r="H1707" s="17"/>
      <c r="I1707" s="18"/>
      <c r="J1707" s="18"/>
      <c r="K1707" s="18"/>
      <c r="L1707" s="18"/>
    </row>
    <row r="1708">
      <c r="A1708" s="13"/>
      <c r="B1708" s="13"/>
      <c r="C1708" s="15"/>
      <c r="D1708" s="15"/>
      <c r="E1708" s="15"/>
      <c r="F1708" s="17"/>
      <c r="G1708" s="17"/>
      <c r="H1708" s="17"/>
      <c r="I1708" s="18"/>
      <c r="J1708" s="18"/>
      <c r="K1708" s="18"/>
      <c r="L1708" s="18"/>
    </row>
    <row r="1709">
      <c r="A1709" s="13"/>
      <c r="B1709" s="13"/>
      <c r="C1709" s="15"/>
      <c r="D1709" s="15"/>
      <c r="E1709" s="15"/>
      <c r="F1709" s="17"/>
      <c r="G1709" s="17"/>
      <c r="H1709" s="17"/>
      <c r="I1709" s="18"/>
      <c r="J1709" s="18"/>
      <c r="K1709" s="18"/>
      <c r="L1709" s="18"/>
    </row>
    <row r="1710">
      <c r="A1710" s="13"/>
      <c r="B1710" s="13"/>
      <c r="C1710" s="15"/>
      <c r="D1710" s="15"/>
      <c r="E1710" s="15"/>
      <c r="F1710" s="17"/>
      <c r="G1710" s="17"/>
      <c r="H1710" s="17"/>
      <c r="I1710" s="18"/>
      <c r="J1710" s="18"/>
      <c r="K1710" s="18"/>
      <c r="L1710" s="18"/>
    </row>
    <row r="1711">
      <c r="A1711" s="13"/>
      <c r="B1711" s="13"/>
      <c r="C1711" s="15"/>
      <c r="D1711" s="15"/>
      <c r="E1711" s="15"/>
      <c r="F1711" s="17"/>
      <c r="G1711" s="17"/>
      <c r="H1711" s="17"/>
      <c r="I1711" s="18"/>
      <c r="J1711" s="18"/>
      <c r="K1711" s="18"/>
      <c r="L1711" s="18"/>
    </row>
    <row r="1712">
      <c r="A1712" s="13"/>
      <c r="B1712" s="13"/>
      <c r="C1712" s="15"/>
      <c r="D1712" s="15"/>
      <c r="E1712" s="15"/>
      <c r="F1712" s="17"/>
      <c r="G1712" s="17"/>
      <c r="H1712" s="17"/>
      <c r="I1712" s="18"/>
      <c r="J1712" s="18"/>
      <c r="K1712" s="18"/>
      <c r="L1712" s="18"/>
    </row>
    <row r="1713">
      <c r="A1713" s="13"/>
      <c r="B1713" s="13"/>
      <c r="C1713" s="15"/>
      <c r="D1713" s="15"/>
      <c r="E1713" s="15"/>
      <c r="F1713" s="17"/>
      <c r="G1713" s="17"/>
      <c r="H1713" s="17"/>
      <c r="I1713" s="18"/>
      <c r="J1713" s="18"/>
      <c r="K1713" s="18"/>
      <c r="L1713" s="18"/>
    </row>
    <row r="1714">
      <c r="A1714" s="13"/>
      <c r="B1714" s="13"/>
      <c r="C1714" s="15"/>
      <c r="D1714" s="15"/>
      <c r="E1714" s="15"/>
      <c r="F1714" s="17"/>
      <c r="G1714" s="17"/>
      <c r="H1714" s="17"/>
      <c r="I1714" s="18"/>
      <c r="J1714" s="18"/>
      <c r="K1714" s="18"/>
      <c r="L1714" s="18"/>
    </row>
    <row r="1715">
      <c r="A1715" s="13"/>
      <c r="B1715" s="13"/>
      <c r="C1715" s="15"/>
      <c r="D1715" s="15"/>
      <c r="E1715" s="15"/>
      <c r="F1715" s="17"/>
      <c r="G1715" s="17"/>
      <c r="H1715" s="17"/>
      <c r="I1715" s="18"/>
      <c r="J1715" s="18"/>
      <c r="K1715" s="18"/>
      <c r="L1715" s="18"/>
    </row>
    <row r="1716">
      <c r="A1716" s="13"/>
      <c r="B1716" s="13"/>
      <c r="C1716" s="15"/>
      <c r="D1716" s="15"/>
      <c r="E1716" s="15"/>
      <c r="F1716" s="17"/>
      <c r="G1716" s="17"/>
      <c r="H1716" s="17"/>
      <c r="I1716" s="18"/>
      <c r="J1716" s="18"/>
      <c r="K1716" s="18"/>
      <c r="L1716" s="18"/>
    </row>
    <row r="1717">
      <c r="A1717" s="13"/>
      <c r="B1717" s="13"/>
      <c r="C1717" s="15"/>
      <c r="D1717" s="15"/>
      <c r="E1717" s="15"/>
      <c r="F1717" s="17"/>
      <c r="G1717" s="17"/>
      <c r="H1717" s="17"/>
      <c r="I1717" s="18"/>
      <c r="J1717" s="18"/>
      <c r="K1717" s="18"/>
      <c r="L1717" s="18"/>
    </row>
    <row r="1718">
      <c r="A1718" s="13"/>
      <c r="B1718" s="13"/>
      <c r="C1718" s="15"/>
      <c r="D1718" s="15"/>
      <c r="E1718" s="15"/>
      <c r="F1718" s="17"/>
      <c r="G1718" s="17"/>
      <c r="H1718" s="17"/>
      <c r="I1718" s="18"/>
      <c r="J1718" s="18"/>
      <c r="K1718" s="18"/>
      <c r="L1718" s="18"/>
    </row>
    <row r="1719">
      <c r="A1719" s="13"/>
      <c r="B1719" s="13"/>
      <c r="C1719" s="15"/>
      <c r="D1719" s="15"/>
      <c r="E1719" s="15"/>
      <c r="F1719" s="17"/>
      <c r="G1719" s="17"/>
      <c r="H1719" s="17"/>
      <c r="I1719" s="18"/>
      <c r="J1719" s="18"/>
      <c r="K1719" s="18"/>
      <c r="L1719" s="18"/>
    </row>
    <row r="1720">
      <c r="A1720" s="13"/>
      <c r="B1720" s="13"/>
      <c r="C1720" s="15"/>
      <c r="D1720" s="15"/>
      <c r="E1720" s="15"/>
      <c r="F1720" s="17"/>
      <c r="G1720" s="17"/>
      <c r="H1720" s="17"/>
      <c r="I1720" s="18"/>
      <c r="J1720" s="18"/>
      <c r="K1720" s="18"/>
      <c r="L1720" s="18"/>
    </row>
    <row r="1721">
      <c r="A1721" s="13"/>
      <c r="B1721" s="13"/>
      <c r="C1721" s="15"/>
      <c r="D1721" s="15"/>
      <c r="E1721" s="15"/>
      <c r="F1721" s="17"/>
      <c r="G1721" s="17"/>
      <c r="H1721" s="17"/>
      <c r="I1721" s="18"/>
      <c r="J1721" s="18"/>
      <c r="K1721" s="18"/>
      <c r="L1721" s="18"/>
    </row>
    <row r="1722">
      <c r="A1722" s="13"/>
      <c r="B1722" s="13"/>
      <c r="C1722" s="15"/>
      <c r="D1722" s="15"/>
      <c r="E1722" s="15"/>
      <c r="F1722" s="17"/>
      <c r="G1722" s="17"/>
      <c r="H1722" s="17"/>
      <c r="I1722" s="18"/>
      <c r="J1722" s="18"/>
      <c r="K1722" s="18"/>
      <c r="L1722" s="18"/>
    </row>
    <row r="1723">
      <c r="A1723" s="13"/>
      <c r="B1723" s="13"/>
      <c r="C1723" s="15"/>
      <c r="D1723" s="15"/>
      <c r="E1723" s="15"/>
      <c r="F1723" s="17"/>
      <c r="G1723" s="17"/>
      <c r="H1723" s="17"/>
      <c r="I1723" s="18"/>
      <c r="J1723" s="18"/>
      <c r="K1723" s="18"/>
      <c r="L1723" s="18"/>
    </row>
    <row r="1724">
      <c r="A1724" s="13"/>
      <c r="B1724" s="13"/>
      <c r="C1724" s="15"/>
      <c r="D1724" s="15"/>
      <c r="E1724" s="15"/>
      <c r="F1724" s="17"/>
      <c r="G1724" s="17"/>
      <c r="H1724" s="17"/>
      <c r="I1724" s="18"/>
      <c r="J1724" s="18"/>
      <c r="K1724" s="18"/>
      <c r="L1724" s="18"/>
    </row>
    <row r="1725">
      <c r="A1725" s="13"/>
      <c r="B1725" s="13"/>
      <c r="C1725" s="15"/>
      <c r="D1725" s="15"/>
      <c r="E1725" s="15"/>
      <c r="F1725" s="17"/>
      <c r="G1725" s="17"/>
      <c r="H1725" s="17"/>
      <c r="I1725" s="18"/>
      <c r="J1725" s="18"/>
      <c r="K1725" s="18"/>
      <c r="L1725" s="18"/>
    </row>
    <row r="1726">
      <c r="A1726" s="13"/>
      <c r="B1726" s="13"/>
      <c r="C1726" s="15"/>
      <c r="D1726" s="15"/>
      <c r="E1726" s="15"/>
      <c r="F1726" s="17"/>
      <c r="G1726" s="17"/>
      <c r="H1726" s="17"/>
      <c r="I1726" s="18"/>
      <c r="J1726" s="18"/>
      <c r="K1726" s="18"/>
      <c r="L1726" s="18"/>
    </row>
    <row r="1727">
      <c r="A1727" s="13"/>
      <c r="B1727" s="13"/>
      <c r="C1727" s="15"/>
      <c r="D1727" s="15"/>
      <c r="E1727" s="15"/>
      <c r="F1727" s="17"/>
      <c r="G1727" s="17"/>
      <c r="H1727" s="17"/>
      <c r="I1727" s="18"/>
      <c r="J1727" s="18"/>
      <c r="K1727" s="18"/>
      <c r="L1727" s="18"/>
    </row>
    <row r="1728">
      <c r="A1728" s="13"/>
      <c r="B1728" s="13"/>
      <c r="C1728" s="15"/>
      <c r="D1728" s="15"/>
      <c r="E1728" s="15"/>
      <c r="F1728" s="17"/>
      <c r="G1728" s="17"/>
      <c r="H1728" s="17"/>
      <c r="I1728" s="18"/>
      <c r="J1728" s="18"/>
      <c r="K1728" s="18"/>
      <c r="L1728" s="18"/>
    </row>
    <row r="1729">
      <c r="A1729" s="13"/>
      <c r="B1729" s="13"/>
      <c r="C1729" s="15"/>
      <c r="D1729" s="15"/>
      <c r="E1729" s="15"/>
      <c r="F1729" s="17"/>
      <c r="G1729" s="17"/>
      <c r="H1729" s="17"/>
      <c r="I1729" s="18"/>
      <c r="J1729" s="18"/>
      <c r="K1729" s="18"/>
      <c r="L1729" s="18"/>
    </row>
    <row r="1730">
      <c r="A1730" s="13"/>
      <c r="B1730" s="13"/>
      <c r="C1730" s="15"/>
      <c r="D1730" s="15"/>
      <c r="E1730" s="15"/>
      <c r="F1730" s="17"/>
      <c r="G1730" s="17"/>
      <c r="H1730" s="17"/>
      <c r="I1730" s="18"/>
      <c r="J1730" s="18"/>
      <c r="K1730" s="18"/>
      <c r="L1730" s="18"/>
    </row>
    <row r="1731">
      <c r="A1731" s="13"/>
      <c r="B1731" s="13"/>
      <c r="C1731" s="15"/>
      <c r="D1731" s="15"/>
      <c r="E1731" s="15"/>
      <c r="F1731" s="17"/>
      <c r="G1731" s="17"/>
      <c r="H1731" s="17"/>
      <c r="I1731" s="18"/>
      <c r="J1731" s="18"/>
      <c r="K1731" s="18"/>
      <c r="L1731" s="18"/>
    </row>
    <row r="1732">
      <c r="A1732" s="13"/>
      <c r="B1732" s="13"/>
      <c r="C1732" s="15"/>
      <c r="D1732" s="15"/>
      <c r="E1732" s="15"/>
      <c r="F1732" s="17"/>
      <c r="G1732" s="17"/>
      <c r="H1732" s="17"/>
      <c r="I1732" s="18"/>
      <c r="J1732" s="18"/>
      <c r="K1732" s="18"/>
      <c r="L1732" s="18"/>
    </row>
    <row r="1733">
      <c r="A1733" s="13"/>
      <c r="B1733" s="13"/>
      <c r="C1733" s="15"/>
      <c r="D1733" s="15"/>
      <c r="E1733" s="15"/>
      <c r="F1733" s="17"/>
      <c r="G1733" s="17"/>
      <c r="H1733" s="17"/>
      <c r="I1733" s="18"/>
      <c r="J1733" s="18"/>
      <c r="K1733" s="18"/>
      <c r="L1733" s="18"/>
    </row>
    <row r="1734">
      <c r="A1734" s="13"/>
      <c r="B1734" s="13"/>
      <c r="C1734" s="15"/>
      <c r="D1734" s="15"/>
      <c r="E1734" s="15"/>
      <c r="F1734" s="17"/>
      <c r="G1734" s="17"/>
      <c r="H1734" s="17"/>
      <c r="I1734" s="18"/>
      <c r="J1734" s="18"/>
      <c r="K1734" s="18"/>
      <c r="L1734" s="18"/>
    </row>
    <row r="1735">
      <c r="A1735" s="13"/>
      <c r="B1735" s="13"/>
      <c r="C1735" s="15"/>
      <c r="D1735" s="15"/>
      <c r="E1735" s="15"/>
      <c r="F1735" s="17"/>
      <c r="G1735" s="17"/>
      <c r="H1735" s="17"/>
      <c r="I1735" s="18"/>
      <c r="J1735" s="18"/>
      <c r="K1735" s="18"/>
      <c r="L1735" s="18"/>
    </row>
    <row r="1736">
      <c r="A1736" s="13"/>
      <c r="B1736" s="13"/>
      <c r="C1736" s="15"/>
      <c r="D1736" s="15"/>
      <c r="E1736" s="15"/>
      <c r="F1736" s="17"/>
      <c r="G1736" s="17"/>
      <c r="H1736" s="17"/>
      <c r="I1736" s="18"/>
      <c r="J1736" s="18"/>
      <c r="K1736" s="18"/>
      <c r="L1736" s="18"/>
    </row>
    <row r="1737">
      <c r="A1737" s="13"/>
      <c r="B1737" s="13"/>
      <c r="C1737" s="15"/>
      <c r="D1737" s="15"/>
      <c r="E1737" s="15"/>
      <c r="F1737" s="17"/>
      <c r="G1737" s="17"/>
      <c r="H1737" s="17"/>
      <c r="I1737" s="18"/>
      <c r="J1737" s="18"/>
      <c r="K1737" s="18"/>
      <c r="L1737" s="18"/>
    </row>
    <row r="1738">
      <c r="A1738" s="13"/>
      <c r="B1738" s="13"/>
      <c r="C1738" s="15"/>
      <c r="D1738" s="15"/>
      <c r="E1738" s="15"/>
      <c r="F1738" s="17"/>
      <c r="G1738" s="17"/>
      <c r="H1738" s="17"/>
      <c r="I1738" s="18"/>
      <c r="J1738" s="18"/>
      <c r="K1738" s="18"/>
      <c r="L1738" s="18"/>
    </row>
    <row r="1739">
      <c r="A1739" s="13"/>
      <c r="B1739" s="13"/>
      <c r="C1739" s="15"/>
      <c r="D1739" s="15"/>
      <c r="E1739" s="15"/>
      <c r="F1739" s="17"/>
      <c r="G1739" s="17"/>
      <c r="H1739" s="17"/>
      <c r="I1739" s="18"/>
      <c r="J1739" s="18"/>
      <c r="K1739" s="18"/>
      <c r="L1739" s="18"/>
    </row>
    <row r="1740">
      <c r="A1740" s="13"/>
      <c r="B1740" s="13"/>
      <c r="C1740" s="15"/>
      <c r="D1740" s="15"/>
      <c r="E1740" s="15"/>
      <c r="F1740" s="17"/>
      <c r="G1740" s="17"/>
      <c r="H1740" s="17"/>
      <c r="I1740" s="18"/>
      <c r="J1740" s="18"/>
      <c r="K1740" s="18"/>
      <c r="L1740" s="18"/>
    </row>
    <row r="1741">
      <c r="A1741" s="13"/>
      <c r="B1741" s="13"/>
      <c r="C1741" s="15"/>
      <c r="D1741" s="15"/>
      <c r="E1741" s="15"/>
      <c r="F1741" s="17"/>
      <c r="G1741" s="17"/>
      <c r="H1741" s="17"/>
      <c r="I1741" s="18"/>
      <c r="J1741" s="18"/>
      <c r="K1741" s="18"/>
      <c r="L1741" s="18"/>
    </row>
    <row r="1742">
      <c r="A1742" s="13"/>
      <c r="B1742" s="13"/>
      <c r="C1742" s="15"/>
      <c r="D1742" s="15"/>
      <c r="E1742" s="15"/>
      <c r="F1742" s="17"/>
      <c r="G1742" s="17"/>
      <c r="H1742" s="17"/>
      <c r="I1742" s="18"/>
      <c r="J1742" s="18"/>
      <c r="K1742" s="18"/>
      <c r="L1742" s="18"/>
    </row>
    <row r="1743">
      <c r="A1743" s="13"/>
      <c r="B1743" s="13"/>
      <c r="C1743" s="15"/>
      <c r="D1743" s="15"/>
      <c r="E1743" s="15"/>
      <c r="F1743" s="17"/>
      <c r="G1743" s="17"/>
      <c r="H1743" s="17"/>
      <c r="I1743" s="18"/>
      <c r="J1743" s="18"/>
      <c r="K1743" s="18"/>
      <c r="L1743" s="18"/>
    </row>
    <row r="1744">
      <c r="A1744" s="13"/>
      <c r="B1744" s="13"/>
      <c r="C1744" s="15"/>
      <c r="D1744" s="15"/>
      <c r="E1744" s="15"/>
      <c r="F1744" s="17"/>
      <c r="G1744" s="17"/>
      <c r="H1744" s="17"/>
      <c r="I1744" s="18"/>
      <c r="J1744" s="18"/>
      <c r="K1744" s="18"/>
      <c r="L1744" s="18"/>
    </row>
    <row r="1745">
      <c r="A1745" s="13"/>
      <c r="B1745" s="13"/>
      <c r="C1745" s="15"/>
      <c r="D1745" s="15"/>
      <c r="E1745" s="15"/>
      <c r="F1745" s="17"/>
      <c r="G1745" s="17"/>
      <c r="H1745" s="17"/>
      <c r="I1745" s="18"/>
      <c r="J1745" s="18"/>
      <c r="K1745" s="18"/>
      <c r="L1745" s="18"/>
    </row>
    <row r="1746">
      <c r="A1746" s="13"/>
      <c r="B1746" s="13"/>
      <c r="C1746" s="15"/>
      <c r="D1746" s="15"/>
      <c r="E1746" s="15"/>
      <c r="F1746" s="17"/>
      <c r="G1746" s="17"/>
      <c r="H1746" s="17"/>
      <c r="I1746" s="18"/>
      <c r="J1746" s="18"/>
      <c r="K1746" s="18"/>
      <c r="L1746" s="18"/>
    </row>
    <row r="1747">
      <c r="A1747" s="13"/>
      <c r="B1747" s="13"/>
      <c r="C1747" s="15"/>
      <c r="D1747" s="15"/>
      <c r="E1747" s="15"/>
      <c r="F1747" s="17"/>
      <c r="G1747" s="17"/>
      <c r="H1747" s="17"/>
      <c r="I1747" s="18"/>
      <c r="J1747" s="18"/>
      <c r="K1747" s="18"/>
      <c r="L1747" s="18"/>
    </row>
    <row r="1748">
      <c r="A1748" s="13"/>
      <c r="B1748" s="13"/>
      <c r="C1748" s="15"/>
      <c r="D1748" s="15"/>
      <c r="E1748" s="15"/>
      <c r="F1748" s="17"/>
      <c r="G1748" s="17"/>
      <c r="H1748" s="17"/>
      <c r="I1748" s="18"/>
      <c r="J1748" s="18"/>
      <c r="K1748" s="18"/>
      <c r="L1748" s="18"/>
    </row>
    <row r="1749">
      <c r="A1749" s="13"/>
      <c r="B1749" s="13"/>
      <c r="C1749" s="15"/>
      <c r="D1749" s="15"/>
      <c r="E1749" s="15"/>
      <c r="F1749" s="17"/>
      <c r="G1749" s="17"/>
      <c r="H1749" s="17"/>
      <c r="I1749" s="18"/>
      <c r="J1749" s="18"/>
      <c r="K1749" s="18"/>
      <c r="L1749" s="18"/>
    </row>
    <row r="1750">
      <c r="A1750" s="13"/>
      <c r="B1750" s="13"/>
      <c r="C1750" s="15"/>
      <c r="D1750" s="15"/>
      <c r="E1750" s="15"/>
      <c r="F1750" s="17"/>
      <c r="G1750" s="17"/>
      <c r="H1750" s="17"/>
      <c r="I1750" s="18"/>
      <c r="J1750" s="18"/>
      <c r="K1750" s="18"/>
      <c r="L1750" s="18"/>
    </row>
    <row r="1751">
      <c r="A1751" s="13"/>
      <c r="B1751" s="13"/>
      <c r="C1751" s="15"/>
      <c r="D1751" s="15"/>
      <c r="E1751" s="15"/>
      <c r="F1751" s="17"/>
      <c r="G1751" s="17"/>
      <c r="H1751" s="17"/>
      <c r="I1751" s="18"/>
      <c r="J1751" s="18"/>
      <c r="K1751" s="18"/>
      <c r="L1751" s="18"/>
    </row>
    <row r="1752">
      <c r="A1752" s="13"/>
      <c r="B1752" s="13"/>
      <c r="C1752" s="15"/>
      <c r="D1752" s="15"/>
      <c r="E1752" s="15"/>
      <c r="F1752" s="17"/>
      <c r="G1752" s="17"/>
      <c r="H1752" s="17"/>
      <c r="I1752" s="18"/>
      <c r="J1752" s="18"/>
      <c r="K1752" s="18"/>
      <c r="L1752" s="18"/>
    </row>
    <row r="1753">
      <c r="A1753" s="13"/>
      <c r="B1753" s="13"/>
      <c r="C1753" s="15"/>
      <c r="D1753" s="15"/>
      <c r="E1753" s="15"/>
      <c r="F1753" s="17"/>
      <c r="G1753" s="17"/>
      <c r="H1753" s="17"/>
      <c r="I1753" s="18"/>
      <c r="J1753" s="18"/>
      <c r="K1753" s="18"/>
      <c r="L1753" s="18"/>
    </row>
    <row r="1754">
      <c r="A1754" s="13"/>
      <c r="B1754" s="13"/>
      <c r="C1754" s="15"/>
      <c r="D1754" s="15"/>
      <c r="E1754" s="15"/>
      <c r="F1754" s="17"/>
      <c r="G1754" s="17"/>
      <c r="H1754" s="17"/>
      <c r="I1754" s="18"/>
      <c r="J1754" s="18"/>
      <c r="K1754" s="18"/>
      <c r="L1754" s="18"/>
    </row>
    <row r="1755">
      <c r="A1755" s="13"/>
      <c r="B1755" s="13"/>
      <c r="C1755" s="15"/>
      <c r="D1755" s="15"/>
      <c r="E1755" s="15"/>
      <c r="F1755" s="17"/>
      <c r="G1755" s="17"/>
      <c r="H1755" s="17"/>
      <c r="I1755" s="18"/>
      <c r="J1755" s="18"/>
      <c r="K1755" s="18"/>
      <c r="L1755" s="18"/>
    </row>
    <row r="1756">
      <c r="A1756" s="13"/>
      <c r="B1756" s="13"/>
      <c r="C1756" s="15"/>
      <c r="D1756" s="15"/>
      <c r="E1756" s="15"/>
      <c r="F1756" s="17"/>
      <c r="G1756" s="17"/>
      <c r="H1756" s="17"/>
      <c r="I1756" s="18"/>
      <c r="J1756" s="18"/>
      <c r="K1756" s="18"/>
      <c r="L1756" s="18"/>
    </row>
    <row r="1757">
      <c r="A1757" s="13"/>
      <c r="B1757" s="13"/>
      <c r="C1757" s="15"/>
      <c r="D1757" s="15"/>
      <c r="E1757" s="15"/>
      <c r="F1757" s="17"/>
      <c r="G1757" s="17"/>
      <c r="H1757" s="17"/>
      <c r="I1757" s="18"/>
      <c r="J1757" s="18"/>
      <c r="K1757" s="18"/>
      <c r="L1757" s="18"/>
    </row>
    <row r="1758">
      <c r="A1758" s="13"/>
      <c r="B1758" s="13"/>
      <c r="C1758" s="15"/>
      <c r="D1758" s="15"/>
      <c r="E1758" s="15"/>
      <c r="F1758" s="17"/>
      <c r="G1758" s="17"/>
      <c r="H1758" s="17"/>
      <c r="I1758" s="18"/>
      <c r="J1758" s="18"/>
      <c r="K1758" s="18"/>
      <c r="L1758" s="18"/>
    </row>
    <row r="1759">
      <c r="A1759" s="13"/>
      <c r="B1759" s="13"/>
      <c r="C1759" s="15"/>
      <c r="D1759" s="15"/>
      <c r="E1759" s="15"/>
      <c r="F1759" s="17"/>
      <c r="G1759" s="17"/>
      <c r="H1759" s="17"/>
      <c r="I1759" s="18"/>
      <c r="J1759" s="18"/>
      <c r="K1759" s="18"/>
      <c r="L1759" s="18"/>
    </row>
    <row r="1760">
      <c r="A1760" s="13"/>
      <c r="B1760" s="13"/>
      <c r="C1760" s="15"/>
      <c r="D1760" s="15"/>
      <c r="E1760" s="15"/>
      <c r="F1760" s="17"/>
      <c r="G1760" s="17"/>
      <c r="H1760" s="17"/>
      <c r="I1760" s="18"/>
      <c r="J1760" s="18"/>
      <c r="K1760" s="18"/>
      <c r="L1760" s="18"/>
    </row>
    <row r="1761">
      <c r="A1761" s="13"/>
      <c r="B1761" s="13"/>
      <c r="C1761" s="16"/>
      <c r="D1761" s="16"/>
      <c r="E1761" s="16"/>
      <c r="F1761" s="17"/>
      <c r="G1761" s="17"/>
      <c r="H1761" s="17"/>
      <c r="I1761" s="18"/>
      <c r="J1761" s="18"/>
      <c r="K1761" s="18"/>
      <c r="L1761" s="18"/>
    </row>
    <row r="1762">
      <c r="A1762" s="13"/>
      <c r="B1762" s="13"/>
      <c r="C1762" s="15"/>
      <c r="D1762" s="15"/>
      <c r="E1762" s="15"/>
      <c r="F1762" s="17"/>
      <c r="G1762" s="17"/>
      <c r="H1762" s="17"/>
      <c r="I1762" s="18"/>
      <c r="J1762" s="18"/>
      <c r="K1762" s="18"/>
      <c r="L1762" s="18"/>
    </row>
    <row r="1763">
      <c r="A1763" s="13"/>
      <c r="B1763" s="13"/>
      <c r="C1763" s="15"/>
      <c r="D1763" s="15"/>
      <c r="E1763" s="15"/>
      <c r="F1763" s="17"/>
      <c r="G1763" s="17"/>
      <c r="H1763" s="17"/>
      <c r="I1763" s="18"/>
      <c r="J1763" s="18"/>
      <c r="K1763" s="18"/>
      <c r="L1763" s="18"/>
    </row>
    <row r="1764">
      <c r="A1764" s="13"/>
      <c r="B1764" s="13"/>
      <c r="C1764" s="15"/>
      <c r="D1764" s="15"/>
      <c r="E1764" s="15"/>
      <c r="F1764" s="17"/>
      <c r="G1764" s="17"/>
      <c r="H1764" s="17"/>
      <c r="I1764" s="18"/>
      <c r="J1764" s="18"/>
      <c r="K1764" s="18"/>
      <c r="L1764" s="18"/>
    </row>
    <row r="1765">
      <c r="A1765" s="13"/>
      <c r="B1765" s="13"/>
      <c r="C1765" s="15"/>
      <c r="D1765" s="15"/>
      <c r="E1765" s="15"/>
      <c r="F1765" s="17"/>
      <c r="G1765" s="17"/>
      <c r="H1765" s="17"/>
      <c r="I1765" s="18"/>
      <c r="J1765" s="18"/>
      <c r="K1765" s="18"/>
      <c r="L1765" s="18"/>
    </row>
    <row r="1766">
      <c r="A1766" s="13"/>
      <c r="B1766" s="13"/>
      <c r="C1766" s="15"/>
      <c r="D1766" s="15"/>
      <c r="E1766" s="15"/>
      <c r="F1766" s="17"/>
      <c r="G1766" s="17"/>
      <c r="H1766" s="17"/>
      <c r="I1766" s="18"/>
      <c r="J1766" s="18"/>
      <c r="K1766" s="18"/>
      <c r="L1766" s="18"/>
    </row>
    <row r="1767">
      <c r="A1767" s="13"/>
      <c r="B1767" s="13"/>
      <c r="C1767" s="15"/>
      <c r="D1767" s="15"/>
      <c r="E1767" s="15"/>
      <c r="F1767" s="17"/>
      <c r="G1767" s="17"/>
      <c r="H1767" s="17"/>
      <c r="I1767" s="18"/>
      <c r="J1767" s="18"/>
      <c r="K1767" s="18"/>
      <c r="L1767" s="18"/>
    </row>
    <row r="1768">
      <c r="A1768" s="13"/>
      <c r="B1768" s="13"/>
      <c r="C1768" s="15"/>
      <c r="D1768" s="15"/>
      <c r="E1768" s="15"/>
      <c r="F1768" s="17"/>
      <c r="G1768" s="17"/>
      <c r="H1768" s="17"/>
      <c r="I1768" s="18"/>
      <c r="J1768" s="18"/>
      <c r="K1768" s="18"/>
      <c r="L1768" s="18"/>
    </row>
    <row r="1769">
      <c r="A1769" s="13"/>
      <c r="B1769" s="13"/>
      <c r="C1769" s="15"/>
      <c r="D1769" s="15"/>
      <c r="E1769" s="15"/>
      <c r="F1769" s="17"/>
      <c r="G1769" s="17"/>
      <c r="H1769" s="17"/>
      <c r="I1769" s="18"/>
      <c r="J1769" s="18"/>
      <c r="K1769" s="18"/>
      <c r="L1769" s="18"/>
    </row>
    <row r="1770">
      <c r="A1770" s="13"/>
      <c r="B1770" s="13"/>
      <c r="C1770" s="15"/>
      <c r="D1770" s="15"/>
      <c r="E1770" s="15"/>
      <c r="F1770" s="17"/>
      <c r="G1770" s="17"/>
      <c r="H1770" s="17"/>
      <c r="I1770" s="18"/>
      <c r="J1770" s="18"/>
      <c r="K1770" s="18"/>
      <c r="L1770" s="18"/>
    </row>
    <row r="1771">
      <c r="A1771" s="13"/>
      <c r="B1771" s="13"/>
      <c r="C1771" s="15"/>
      <c r="D1771" s="15"/>
      <c r="E1771" s="15"/>
      <c r="F1771" s="17"/>
      <c r="G1771" s="17"/>
      <c r="H1771" s="17"/>
      <c r="I1771" s="18"/>
      <c r="J1771" s="18"/>
      <c r="K1771" s="18"/>
      <c r="L1771" s="18"/>
    </row>
    <row r="1772">
      <c r="A1772" s="13"/>
      <c r="B1772" s="13"/>
      <c r="C1772" s="15"/>
      <c r="D1772" s="15"/>
      <c r="E1772" s="15"/>
      <c r="F1772" s="17"/>
      <c r="G1772" s="17"/>
      <c r="H1772" s="17"/>
      <c r="I1772" s="18"/>
      <c r="J1772" s="18"/>
      <c r="K1772" s="18"/>
      <c r="L1772" s="18"/>
    </row>
    <row r="1773">
      <c r="A1773" s="13"/>
      <c r="B1773" s="13"/>
      <c r="C1773" s="15"/>
      <c r="D1773" s="15"/>
      <c r="E1773" s="15"/>
      <c r="F1773" s="17"/>
      <c r="G1773" s="17"/>
      <c r="H1773" s="17"/>
      <c r="I1773" s="18"/>
      <c r="J1773" s="18"/>
      <c r="K1773" s="18"/>
      <c r="L1773" s="18"/>
    </row>
    <row r="1774">
      <c r="A1774" s="13"/>
      <c r="B1774" s="13"/>
      <c r="C1774" s="15"/>
      <c r="D1774" s="15"/>
      <c r="E1774" s="15"/>
      <c r="F1774" s="17"/>
      <c r="G1774" s="17"/>
      <c r="H1774" s="17"/>
      <c r="I1774" s="18"/>
      <c r="J1774" s="18"/>
      <c r="K1774" s="18"/>
      <c r="L1774" s="18"/>
    </row>
    <row r="1775">
      <c r="A1775" s="13"/>
      <c r="B1775" s="13"/>
      <c r="C1775" s="15"/>
      <c r="D1775" s="15"/>
      <c r="E1775" s="15"/>
      <c r="F1775" s="17"/>
      <c r="G1775" s="17"/>
      <c r="H1775" s="17"/>
      <c r="I1775" s="18"/>
      <c r="J1775" s="18"/>
      <c r="K1775" s="18"/>
      <c r="L1775" s="18"/>
    </row>
    <row r="1776">
      <c r="A1776" s="13"/>
      <c r="B1776" s="13"/>
      <c r="C1776" s="15"/>
      <c r="D1776" s="15"/>
      <c r="E1776" s="15"/>
      <c r="F1776" s="17"/>
      <c r="G1776" s="17"/>
      <c r="H1776" s="17"/>
      <c r="I1776" s="18"/>
      <c r="J1776" s="18"/>
      <c r="K1776" s="18"/>
      <c r="L1776" s="18"/>
    </row>
    <row r="1777">
      <c r="A1777" s="13"/>
      <c r="B1777" s="13"/>
      <c r="C1777" s="15"/>
      <c r="D1777" s="15"/>
      <c r="E1777" s="15"/>
      <c r="F1777" s="17"/>
      <c r="G1777" s="17"/>
      <c r="H1777" s="17"/>
      <c r="I1777" s="18"/>
      <c r="J1777" s="18"/>
      <c r="K1777" s="18"/>
      <c r="L1777" s="18"/>
    </row>
    <row r="1778">
      <c r="A1778" s="13"/>
      <c r="B1778" s="13"/>
      <c r="C1778" s="15"/>
      <c r="D1778" s="15"/>
      <c r="E1778" s="15"/>
      <c r="F1778" s="17"/>
      <c r="G1778" s="17"/>
      <c r="H1778" s="17"/>
      <c r="I1778" s="18"/>
      <c r="J1778" s="18"/>
      <c r="K1778" s="18"/>
      <c r="L1778" s="18"/>
    </row>
    <row r="1779">
      <c r="A1779" s="13"/>
      <c r="B1779" s="13"/>
      <c r="C1779" s="15"/>
      <c r="D1779" s="15"/>
      <c r="E1779" s="15"/>
      <c r="F1779" s="17"/>
      <c r="G1779" s="17"/>
      <c r="H1779" s="17"/>
      <c r="I1779" s="18"/>
      <c r="J1779" s="18"/>
      <c r="K1779" s="18"/>
      <c r="L1779" s="18"/>
    </row>
    <row r="1780">
      <c r="A1780" s="13"/>
      <c r="B1780" s="13"/>
      <c r="C1780" s="15"/>
      <c r="D1780" s="15"/>
      <c r="E1780" s="15"/>
      <c r="F1780" s="17"/>
      <c r="G1780" s="17"/>
      <c r="H1780" s="17"/>
      <c r="I1780" s="18"/>
      <c r="J1780" s="18"/>
      <c r="K1780" s="18"/>
      <c r="L1780" s="18"/>
    </row>
    <row r="1781">
      <c r="A1781" s="13"/>
      <c r="B1781" s="13"/>
      <c r="C1781" s="15"/>
      <c r="D1781" s="15"/>
      <c r="E1781" s="15"/>
      <c r="F1781" s="17"/>
      <c r="G1781" s="17"/>
      <c r="H1781" s="17"/>
      <c r="I1781" s="18"/>
      <c r="J1781" s="18"/>
      <c r="K1781" s="18"/>
      <c r="L1781" s="18"/>
    </row>
    <row r="1782">
      <c r="A1782" s="13"/>
      <c r="B1782" s="13"/>
      <c r="C1782" s="15"/>
      <c r="D1782" s="15"/>
      <c r="E1782" s="15"/>
      <c r="F1782" s="17"/>
      <c r="G1782" s="17"/>
      <c r="H1782" s="17"/>
      <c r="I1782" s="18"/>
      <c r="J1782" s="18"/>
      <c r="K1782" s="18"/>
      <c r="L1782" s="18"/>
    </row>
    <row r="1783">
      <c r="A1783" s="13"/>
      <c r="B1783" s="13"/>
      <c r="C1783" s="15"/>
      <c r="D1783" s="15"/>
      <c r="E1783" s="15"/>
      <c r="F1783" s="17"/>
      <c r="G1783" s="17"/>
      <c r="H1783" s="17"/>
      <c r="I1783" s="18"/>
      <c r="J1783" s="18"/>
      <c r="K1783" s="18"/>
      <c r="L1783" s="18"/>
    </row>
    <row r="1784">
      <c r="A1784" s="13"/>
      <c r="B1784" s="13"/>
      <c r="C1784" s="15"/>
      <c r="D1784" s="15"/>
      <c r="E1784" s="15"/>
      <c r="F1784" s="17"/>
      <c r="G1784" s="17"/>
      <c r="H1784" s="17"/>
      <c r="I1784" s="18"/>
      <c r="J1784" s="18"/>
      <c r="K1784" s="18"/>
      <c r="L1784" s="18"/>
    </row>
    <row r="1785">
      <c r="A1785" s="13"/>
      <c r="B1785" s="13"/>
      <c r="C1785" s="15"/>
      <c r="D1785" s="15"/>
      <c r="E1785" s="15"/>
      <c r="F1785" s="17"/>
      <c r="G1785" s="17"/>
      <c r="H1785" s="17"/>
      <c r="I1785" s="18"/>
      <c r="J1785" s="18"/>
      <c r="K1785" s="18"/>
      <c r="L1785" s="18"/>
    </row>
    <row r="1786">
      <c r="A1786" s="13"/>
      <c r="B1786" s="13"/>
      <c r="C1786" s="15"/>
      <c r="D1786" s="15"/>
      <c r="E1786" s="15"/>
      <c r="F1786" s="17"/>
      <c r="G1786" s="17"/>
      <c r="H1786" s="17"/>
      <c r="I1786" s="18"/>
      <c r="J1786" s="18"/>
      <c r="K1786" s="18"/>
      <c r="L1786" s="18"/>
    </row>
    <row r="1787">
      <c r="A1787" s="13"/>
      <c r="B1787" s="13"/>
      <c r="C1787" s="15"/>
      <c r="D1787" s="15"/>
      <c r="E1787" s="15"/>
      <c r="F1787" s="17"/>
      <c r="G1787" s="17"/>
      <c r="H1787" s="17"/>
      <c r="I1787" s="18"/>
      <c r="J1787" s="18"/>
      <c r="K1787" s="18"/>
      <c r="L1787" s="18"/>
    </row>
    <row r="1788">
      <c r="A1788" s="13"/>
      <c r="B1788" s="13"/>
      <c r="C1788" s="15"/>
      <c r="D1788" s="15"/>
      <c r="E1788" s="15"/>
      <c r="F1788" s="17"/>
      <c r="G1788" s="17"/>
      <c r="H1788" s="17"/>
      <c r="I1788" s="18"/>
      <c r="J1788" s="18"/>
      <c r="K1788" s="18"/>
      <c r="L1788" s="18"/>
    </row>
    <row r="1789">
      <c r="A1789" s="13"/>
      <c r="B1789" s="13"/>
      <c r="C1789" s="15"/>
      <c r="D1789" s="15"/>
      <c r="E1789" s="15"/>
      <c r="F1789" s="17"/>
      <c r="G1789" s="17"/>
      <c r="H1789" s="17"/>
      <c r="I1789" s="18"/>
      <c r="J1789" s="18"/>
      <c r="K1789" s="18"/>
      <c r="L1789" s="18"/>
    </row>
    <row r="1790">
      <c r="A1790" s="13"/>
      <c r="B1790" s="13"/>
      <c r="C1790" s="15"/>
      <c r="D1790" s="15"/>
      <c r="E1790" s="15"/>
      <c r="F1790" s="17"/>
      <c r="G1790" s="17"/>
      <c r="H1790" s="17"/>
      <c r="I1790" s="18"/>
      <c r="J1790" s="18"/>
      <c r="K1790" s="18"/>
      <c r="L1790" s="18"/>
    </row>
    <row r="1791">
      <c r="A1791" s="13"/>
      <c r="B1791" s="13"/>
      <c r="C1791" s="15"/>
      <c r="D1791" s="15"/>
      <c r="E1791" s="15"/>
      <c r="F1791" s="17"/>
      <c r="G1791" s="17"/>
      <c r="H1791" s="17"/>
      <c r="I1791" s="18"/>
      <c r="J1791" s="18"/>
      <c r="K1791" s="18"/>
      <c r="L1791" s="18"/>
    </row>
    <row r="1792">
      <c r="A1792" s="13"/>
      <c r="B1792" s="13"/>
      <c r="C1792" s="15"/>
      <c r="D1792" s="15"/>
      <c r="E1792" s="15"/>
      <c r="F1792" s="17"/>
      <c r="G1792" s="17"/>
      <c r="H1792" s="17"/>
      <c r="I1792" s="18"/>
      <c r="J1792" s="18"/>
      <c r="K1792" s="18"/>
      <c r="L1792" s="18"/>
    </row>
    <row r="1793">
      <c r="A1793" s="13"/>
      <c r="B1793" s="13"/>
      <c r="C1793" s="15"/>
      <c r="D1793" s="15"/>
      <c r="E1793" s="15"/>
      <c r="F1793" s="17"/>
      <c r="G1793" s="17"/>
      <c r="H1793" s="17"/>
      <c r="I1793" s="18"/>
      <c r="J1793" s="18"/>
      <c r="K1793" s="18"/>
      <c r="L1793" s="18"/>
    </row>
    <row r="1794">
      <c r="A1794" s="13"/>
      <c r="B1794" s="13"/>
      <c r="C1794" s="15"/>
      <c r="D1794" s="15"/>
      <c r="E1794" s="15"/>
      <c r="F1794" s="17"/>
      <c r="G1794" s="17"/>
      <c r="H1794" s="17"/>
      <c r="I1794" s="18"/>
      <c r="J1794" s="18"/>
      <c r="K1794" s="18"/>
      <c r="L1794" s="18"/>
    </row>
    <row r="1795">
      <c r="A1795" s="13"/>
      <c r="B1795" s="13"/>
      <c r="C1795" s="15"/>
      <c r="D1795" s="15"/>
      <c r="E1795" s="15"/>
      <c r="F1795" s="17"/>
      <c r="G1795" s="17"/>
      <c r="H1795" s="17"/>
      <c r="I1795" s="18"/>
      <c r="J1795" s="18"/>
      <c r="K1795" s="18"/>
      <c r="L1795" s="18"/>
    </row>
    <row r="1796">
      <c r="A1796" s="13"/>
      <c r="B1796" s="13"/>
      <c r="C1796" s="15"/>
      <c r="D1796" s="15"/>
      <c r="E1796" s="15"/>
      <c r="F1796" s="17"/>
      <c r="G1796" s="17"/>
      <c r="H1796" s="17"/>
      <c r="I1796" s="18"/>
      <c r="J1796" s="18"/>
      <c r="K1796" s="18"/>
      <c r="L1796" s="18"/>
    </row>
    <row r="1797">
      <c r="A1797" s="13"/>
      <c r="B1797" s="13"/>
      <c r="C1797" s="15"/>
      <c r="D1797" s="15"/>
      <c r="E1797" s="15"/>
      <c r="F1797" s="17"/>
      <c r="G1797" s="17"/>
      <c r="H1797" s="17"/>
      <c r="I1797" s="18"/>
      <c r="J1797" s="18"/>
      <c r="K1797" s="18"/>
      <c r="L1797" s="18"/>
    </row>
    <row r="1798">
      <c r="A1798" s="13"/>
      <c r="B1798" s="13"/>
      <c r="C1798" s="15"/>
      <c r="D1798" s="15"/>
      <c r="E1798" s="15"/>
      <c r="F1798" s="17"/>
      <c r="G1798" s="17"/>
      <c r="H1798" s="17"/>
      <c r="I1798" s="18"/>
      <c r="J1798" s="18"/>
      <c r="K1798" s="18"/>
      <c r="L1798" s="18"/>
    </row>
    <row r="1799">
      <c r="A1799" s="13"/>
      <c r="B1799" s="13"/>
      <c r="C1799" s="15"/>
      <c r="D1799" s="15"/>
      <c r="E1799" s="15"/>
      <c r="F1799" s="17"/>
      <c r="G1799" s="17"/>
      <c r="H1799" s="17"/>
      <c r="I1799" s="18"/>
      <c r="J1799" s="18"/>
      <c r="K1799" s="18"/>
      <c r="L1799" s="18"/>
    </row>
    <row r="1800">
      <c r="A1800" s="13"/>
      <c r="B1800" s="13"/>
      <c r="C1800" s="15"/>
      <c r="D1800" s="15"/>
      <c r="E1800" s="15"/>
      <c r="F1800" s="17"/>
      <c r="G1800" s="17"/>
      <c r="H1800" s="17"/>
      <c r="I1800" s="18"/>
      <c r="J1800" s="18"/>
      <c r="K1800" s="18"/>
      <c r="L1800" s="18"/>
    </row>
    <row r="1801">
      <c r="A1801" s="13"/>
      <c r="B1801" s="13"/>
      <c r="C1801" s="15"/>
      <c r="D1801" s="15"/>
      <c r="E1801" s="15"/>
      <c r="F1801" s="17"/>
      <c r="G1801" s="17"/>
      <c r="H1801" s="17"/>
      <c r="I1801" s="18"/>
      <c r="J1801" s="18"/>
      <c r="K1801" s="18"/>
      <c r="L1801" s="18"/>
    </row>
    <row r="1802">
      <c r="A1802" s="13"/>
      <c r="B1802" s="13"/>
      <c r="C1802" s="15"/>
      <c r="D1802" s="15"/>
      <c r="E1802" s="15"/>
      <c r="F1802" s="17"/>
      <c r="G1802" s="17"/>
      <c r="H1802" s="17"/>
      <c r="I1802" s="18"/>
      <c r="J1802" s="18"/>
      <c r="K1802" s="18"/>
      <c r="L1802" s="18"/>
    </row>
    <row r="1803">
      <c r="A1803" s="13"/>
      <c r="B1803" s="13"/>
      <c r="C1803" s="15"/>
      <c r="D1803" s="15"/>
      <c r="E1803" s="15"/>
      <c r="F1803" s="17"/>
      <c r="G1803" s="17"/>
      <c r="H1803" s="17"/>
      <c r="I1803" s="18"/>
      <c r="J1803" s="18"/>
      <c r="K1803" s="18"/>
      <c r="L1803" s="18"/>
    </row>
    <row r="1804">
      <c r="A1804" s="13"/>
      <c r="B1804" s="13"/>
      <c r="C1804" s="15"/>
      <c r="D1804" s="15"/>
      <c r="E1804" s="15"/>
      <c r="F1804" s="17"/>
      <c r="G1804" s="17"/>
      <c r="H1804" s="17"/>
      <c r="I1804" s="18"/>
      <c r="J1804" s="18"/>
      <c r="K1804" s="18"/>
      <c r="L1804" s="18"/>
    </row>
    <row r="1805">
      <c r="A1805" s="13"/>
      <c r="B1805" s="13"/>
      <c r="C1805" s="15"/>
      <c r="D1805" s="15"/>
      <c r="E1805" s="15"/>
      <c r="F1805" s="17"/>
      <c r="G1805" s="17"/>
      <c r="H1805" s="17"/>
      <c r="I1805" s="18"/>
      <c r="J1805" s="18"/>
      <c r="K1805" s="18"/>
      <c r="L1805" s="18"/>
    </row>
    <row r="1806">
      <c r="A1806" s="13"/>
      <c r="B1806" s="13"/>
      <c r="C1806" s="15"/>
      <c r="D1806" s="15"/>
      <c r="E1806" s="15"/>
      <c r="F1806" s="17"/>
      <c r="G1806" s="17"/>
      <c r="H1806" s="17"/>
      <c r="I1806" s="18"/>
      <c r="J1806" s="18"/>
      <c r="K1806" s="18"/>
      <c r="L1806" s="18"/>
    </row>
    <row r="1807">
      <c r="A1807" s="13"/>
      <c r="B1807" s="13"/>
      <c r="C1807" s="15"/>
      <c r="D1807" s="15"/>
      <c r="E1807" s="15"/>
      <c r="F1807" s="17"/>
      <c r="G1807" s="17"/>
      <c r="H1807" s="17"/>
      <c r="I1807" s="18"/>
      <c r="J1807" s="18"/>
      <c r="K1807" s="18"/>
      <c r="L1807" s="18"/>
    </row>
    <row r="1808">
      <c r="A1808" s="13"/>
      <c r="B1808" s="13"/>
      <c r="C1808" s="15"/>
      <c r="D1808" s="15"/>
      <c r="E1808" s="15"/>
      <c r="F1808" s="17"/>
      <c r="G1808" s="17"/>
      <c r="H1808" s="17"/>
      <c r="I1808" s="18"/>
      <c r="J1808" s="18"/>
      <c r="K1808" s="18"/>
      <c r="L1808" s="18"/>
    </row>
    <row r="1809">
      <c r="A1809" s="13"/>
      <c r="B1809" s="13"/>
      <c r="C1809" s="15"/>
      <c r="D1809" s="15"/>
      <c r="E1809" s="15"/>
      <c r="F1809" s="17"/>
      <c r="G1809" s="17"/>
      <c r="H1809" s="17"/>
      <c r="I1809" s="18"/>
      <c r="J1809" s="18"/>
      <c r="K1809" s="18"/>
      <c r="L1809" s="18"/>
    </row>
    <row r="1810">
      <c r="A1810" s="13"/>
      <c r="B1810" s="13"/>
      <c r="C1810" s="15"/>
      <c r="D1810" s="15"/>
      <c r="E1810" s="15"/>
      <c r="F1810" s="17"/>
      <c r="G1810" s="17"/>
      <c r="H1810" s="17"/>
      <c r="I1810" s="18"/>
      <c r="J1810" s="18"/>
      <c r="K1810" s="18"/>
      <c r="L1810" s="18"/>
    </row>
    <row r="1811">
      <c r="A1811" s="13"/>
      <c r="B1811" s="13"/>
      <c r="C1811" s="15"/>
      <c r="D1811" s="15"/>
      <c r="E1811" s="15"/>
      <c r="F1811" s="17"/>
      <c r="G1811" s="17"/>
      <c r="H1811" s="17"/>
      <c r="I1811" s="18"/>
      <c r="J1811" s="18"/>
      <c r="K1811" s="18"/>
      <c r="L1811" s="18"/>
    </row>
    <row r="1812">
      <c r="A1812" s="13"/>
      <c r="B1812" s="13"/>
      <c r="C1812" s="15"/>
      <c r="D1812" s="15"/>
      <c r="E1812" s="15"/>
      <c r="F1812" s="17"/>
      <c r="G1812" s="17"/>
      <c r="H1812" s="17"/>
      <c r="I1812" s="18"/>
      <c r="J1812" s="18"/>
      <c r="K1812" s="18"/>
      <c r="L1812" s="18"/>
    </row>
    <row r="1813">
      <c r="A1813" s="13"/>
      <c r="B1813" s="13"/>
      <c r="C1813" s="15"/>
      <c r="D1813" s="15"/>
      <c r="E1813" s="15"/>
      <c r="F1813" s="17"/>
      <c r="G1813" s="17"/>
      <c r="H1813" s="17"/>
      <c r="I1813" s="18"/>
      <c r="J1813" s="18"/>
      <c r="K1813" s="18"/>
      <c r="L1813" s="18"/>
    </row>
    <row r="1814">
      <c r="A1814" s="13"/>
      <c r="B1814" s="13"/>
      <c r="C1814" s="15"/>
      <c r="D1814" s="15"/>
      <c r="E1814" s="15"/>
      <c r="F1814" s="17"/>
      <c r="G1814" s="17"/>
      <c r="H1814" s="17"/>
      <c r="I1814" s="18"/>
      <c r="J1814" s="18"/>
      <c r="K1814" s="18"/>
      <c r="L1814" s="18"/>
    </row>
    <row r="1815">
      <c r="A1815" s="13"/>
      <c r="B1815" s="13"/>
      <c r="C1815" s="15"/>
      <c r="D1815" s="15"/>
      <c r="E1815" s="15"/>
      <c r="F1815" s="17"/>
      <c r="G1815" s="17"/>
      <c r="H1815" s="17"/>
      <c r="I1815" s="18"/>
      <c r="J1815" s="18"/>
      <c r="K1815" s="18"/>
      <c r="L1815" s="18"/>
    </row>
    <row r="1816">
      <c r="A1816" s="13"/>
      <c r="B1816" s="13"/>
      <c r="C1816" s="15"/>
      <c r="D1816" s="15"/>
      <c r="E1816" s="15"/>
      <c r="F1816" s="17"/>
      <c r="G1816" s="17"/>
      <c r="H1816" s="17"/>
      <c r="I1816" s="18"/>
      <c r="J1816" s="18"/>
      <c r="K1816" s="18"/>
      <c r="L1816" s="18"/>
    </row>
    <row r="1817">
      <c r="A1817" s="13"/>
      <c r="B1817" s="13"/>
      <c r="C1817" s="15"/>
      <c r="D1817" s="15"/>
      <c r="E1817" s="15"/>
      <c r="F1817" s="17"/>
      <c r="G1817" s="17"/>
      <c r="H1817" s="17"/>
      <c r="I1817" s="18"/>
      <c r="J1817" s="18"/>
      <c r="K1817" s="18"/>
      <c r="L1817" s="18"/>
    </row>
    <row r="1818">
      <c r="A1818" s="13"/>
      <c r="B1818" s="13"/>
      <c r="C1818" s="15"/>
      <c r="D1818" s="15"/>
      <c r="E1818" s="15"/>
      <c r="F1818" s="17"/>
      <c r="G1818" s="17"/>
      <c r="H1818" s="17"/>
      <c r="I1818" s="18"/>
      <c r="J1818" s="18"/>
      <c r="K1818" s="18"/>
      <c r="L1818" s="18"/>
    </row>
    <row r="1819">
      <c r="A1819" s="13"/>
      <c r="B1819" s="13"/>
      <c r="C1819" s="15"/>
      <c r="D1819" s="15"/>
      <c r="E1819" s="15"/>
      <c r="F1819" s="17"/>
      <c r="G1819" s="17"/>
      <c r="H1819" s="17"/>
      <c r="I1819" s="18"/>
      <c r="J1819" s="18"/>
      <c r="K1819" s="18"/>
      <c r="L1819" s="18"/>
    </row>
    <row r="1820">
      <c r="A1820" s="13"/>
      <c r="B1820" s="13"/>
      <c r="C1820" s="15"/>
      <c r="D1820" s="15"/>
      <c r="E1820" s="15"/>
      <c r="F1820" s="17"/>
      <c r="G1820" s="17"/>
      <c r="H1820" s="17"/>
      <c r="I1820" s="18"/>
      <c r="J1820" s="18"/>
      <c r="K1820" s="18"/>
      <c r="L1820" s="18"/>
    </row>
    <row r="1821">
      <c r="A1821" s="13"/>
      <c r="B1821" s="13"/>
      <c r="C1821" s="15"/>
      <c r="D1821" s="15"/>
      <c r="E1821" s="15"/>
      <c r="F1821" s="17"/>
      <c r="G1821" s="17"/>
      <c r="H1821" s="17"/>
      <c r="I1821" s="18"/>
      <c r="J1821" s="18"/>
      <c r="K1821" s="18"/>
      <c r="L1821" s="18"/>
    </row>
    <row r="1822">
      <c r="A1822" s="13"/>
      <c r="B1822" s="13"/>
      <c r="C1822" s="15"/>
      <c r="D1822" s="15"/>
      <c r="E1822" s="15"/>
      <c r="F1822" s="17"/>
      <c r="G1822" s="17"/>
      <c r="H1822" s="17"/>
      <c r="I1822" s="18"/>
      <c r="J1822" s="18"/>
      <c r="K1822" s="18"/>
      <c r="L1822" s="18"/>
    </row>
    <row r="1823">
      <c r="A1823" s="13"/>
      <c r="B1823" s="13"/>
      <c r="C1823" s="15"/>
      <c r="D1823" s="15"/>
      <c r="E1823" s="15"/>
      <c r="F1823" s="17"/>
      <c r="G1823" s="17"/>
      <c r="H1823" s="17"/>
      <c r="I1823" s="18"/>
      <c r="J1823" s="18"/>
      <c r="K1823" s="18"/>
      <c r="L1823" s="18"/>
    </row>
    <row r="1824">
      <c r="A1824" s="13"/>
      <c r="B1824" s="13"/>
      <c r="C1824" s="15"/>
      <c r="D1824" s="15"/>
      <c r="E1824" s="15"/>
      <c r="F1824" s="17"/>
      <c r="G1824" s="17"/>
      <c r="H1824" s="17"/>
      <c r="I1824" s="18"/>
      <c r="J1824" s="18"/>
      <c r="K1824" s="18"/>
      <c r="L1824" s="18"/>
    </row>
    <row r="1825">
      <c r="A1825" s="13"/>
      <c r="B1825" s="13"/>
      <c r="C1825" s="15"/>
      <c r="D1825" s="15"/>
      <c r="E1825" s="15"/>
      <c r="F1825" s="17"/>
      <c r="G1825" s="17"/>
      <c r="H1825" s="17"/>
      <c r="I1825" s="18"/>
      <c r="J1825" s="18"/>
      <c r="K1825" s="18"/>
      <c r="L1825" s="18"/>
    </row>
    <row r="1826">
      <c r="A1826" s="13"/>
      <c r="B1826" s="13"/>
      <c r="C1826" s="16"/>
      <c r="D1826" s="16"/>
      <c r="E1826" s="16"/>
      <c r="F1826" s="17"/>
      <c r="G1826" s="17"/>
      <c r="H1826" s="17"/>
      <c r="I1826" s="18"/>
      <c r="J1826" s="18"/>
      <c r="K1826" s="18"/>
      <c r="L1826" s="18"/>
    </row>
    <row r="1827">
      <c r="A1827" s="13"/>
      <c r="B1827" s="13"/>
      <c r="C1827" s="15"/>
      <c r="D1827" s="15"/>
      <c r="E1827" s="15"/>
      <c r="F1827" s="17"/>
      <c r="G1827" s="17"/>
      <c r="H1827" s="17"/>
      <c r="I1827" s="18"/>
      <c r="J1827" s="18"/>
      <c r="K1827" s="18"/>
      <c r="L1827" s="18"/>
    </row>
    <row r="1828">
      <c r="A1828" s="13"/>
      <c r="B1828" s="13"/>
      <c r="C1828" s="15"/>
      <c r="D1828" s="15"/>
      <c r="E1828" s="15"/>
      <c r="F1828" s="17"/>
      <c r="G1828" s="17"/>
      <c r="H1828" s="17"/>
      <c r="I1828" s="18"/>
      <c r="J1828" s="18"/>
      <c r="K1828" s="18"/>
      <c r="L1828" s="18"/>
    </row>
    <row r="1829">
      <c r="A1829" s="13"/>
      <c r="B1829" s="13"/>
      <c r="C1829" s="15"/>
      <c r="D1829" s="15"/>
      <c r="E1829" s="15"/>
      <c r="F1829" s="17"/>
      <c r="G1829" s="17"/>
      <c r="H1829" s="17"/>
      <c r="I1829" s="18"/>
      <c r="J1829" s="18"/>
      <c r="K1829" s="18"/>
      <c r="L1829" s="18"/>
    </row>
    <row r="1830">
      <c r="A1830" s="13"/>
      <c r="B1830" s="13"/>
      <c r="C1830" s="15"/>
      <c r="D1830" s="15"/>
      <c r="E1830" s="15"/>
      <c r="F1830" s="17"/>
      <c r="G1830" s="17"/>
      <c r="H1830" s="17"/>
      <c r="I1830" s="18"/>
      <c r="J1830" s="18"/>
      <c r="K1830" s="18"/>
      <c r="L1830" s="18"/>
    </row>
    <row r="1831">
      <c r="A1831" s="13"/>
      <c r="B1831" s="13"/>
      <c r="C1831" s="15"/>
      <c r="D1831" s="15"/>
      <c r="E1831" s="15"/>
      <c r="F1831" s="17"/>
      <c r="G1831" s="17"/>
      <c r="H1831" s="17"/>
      <c r="I1831" s="18"/>
      <c r="J1831" s="18"/>
      <c r="K1831" s="18"/>
      <c r="L1831" s="18"/>
    </row>
    <row r="1832">
      <c r="A1832" s="13"/>
      <c r="B1832" s="13"/>
      <c r="C1832" s="15"/>
      <c r="D1832" s="15"/>
      <c r="E1832" s="15"/>
      <c r="F1832" s="17"/>
      <c r="G1832" s="17"/>
      <c r="H1832" s="17"/>
      <c r="I1832" s="18"/>
      <c r="J1832" s="18"/>
      <c r="K1832" s="18"/>
      <c r="L1832" s="18"/>
    </row>
    <row r="1833">
      <c r="A1833" s="13"/>
      <c r="B1833" s="13"/>
      <c r="C1833" s="15"/>
      <c r="D1833" s="15"/>
      <c r="E1833" s="15"/>
      <c r="F1833" s="17"/>
      <c r="G1833" s="17"/>
      <c r="H1833" s="17"/>
      <c r="I1833" s="18"/>
      <c r="J1833" s="18"/>
      <c r="K1833" s="18"/>
      <c r="L1833" s="18"/>
    </row>
    <row r="1834">
      <c r="A1834" s="13"/>
      <c r="B1834" s="13"/>
      <c r="C1834" s="15"/>
      <c r="D1834" s="15"/>
      <c r="E1834" s="15"/>
      <c r="F1834" s="17"/>
      <c r="G1834" s="17"/>
      <c r="H1834" s="17"/>
      <c r="I1834" s="18"/>
      <c r="J1834" s="18"/>
      <c r="K1834" s="18"/>
      <c r="L1834" s="18"/>
    </row>
    <row r="1835">
      <c r="A1835" s="13"/>
      <c r="B1835" s="13"/>
      <c r="C1835" s="15"/>
      <c r="D1835" s="15"/>
      <c r="E1835" s="15"/>
      <c r="F1835" s="17"/>
      <c r="G1835" s="17"/>
      <c r="H1835" s="17"/>
      <c r="I1835" s="18"/>
      <c r="J1835" s="18"/>
      <c r="K1835" s="18"/>
      <c r="L1835" s="18"/>
    </row>
    <row r="1836">
      <c r="A1836" s="13"/>
      <c r="B1836" s="13"/>
      <c r="C1836" s="15"/>
      <c r="D1836" s="15"/>
      <c r="E1836" s="15"/>
      <c r="F1836" s="17"/>
      <c r="G1836" s="17"/>
      <c r="H1836" s="17"/>
      <c r="I1836" s="18"/>
      <c r="J1836" s="18"/>
      <c r="K1836" s="18"/>
      <c r="L1836" s="18"/>
    </row>
    <row r="1837">
      <c r="A1837" s="13"/>
      <c r="B1837" s="13"/>
      <c r="C1837" s="15"/>
      <c r="D1837" s="15"/>
      <c r="E1837" s="15"/>
      <c r="F1837" s="17"/>
      <c r="G1837" s="17"/>
      <c r="H1837" s="17"/>
      <c r="I1837" s="18"/>
      <c r="J1837" s="18"/>
      <c r="K1837" s="18"/>
      <c r="L1837" s="18"/>
    </row>
    <row r="1838">
      <c r="A1838" s="13"/>
      <c r="B1838" s="13"/>
      <c r="C1838" s="15"/>
      <c r="D1838" s="15"/>
      <c r="E1838" s="15"/>
      <c r="F1838" s="17"/>
      <c r="G1838" s="17"/>
      <c r="H1838" s="17"/>
      <c r="I1838" s="18"/>
      <c r="J1838" s="18"/>
      <c r="K1838" s="18"/>
      <c r="L1838" s="18"/>
    </row>
    <row r="1839">
      <c r="A1839" s="13"/>
      <c r="B1839" s="13"/>
      <c r="C1839" s="15"/>
      <c r="D1839" s="15"/>
      <c r="E1839" s="15"/>
      <c r="F1839" s="17"/>
      <c r="G1839" s="17"/>
      <c r="H1839" s="17"/>
      <c r="I1839" s="18"/>
      <c r="J1839" s="18"/>
      <c r="K1839" s="18"/>
      <c r="L1839" s="18"/>
    </row>
    <row r="1840">
      <c r="A1840" s="13"/>
      <c r="B1840" s="13"/>
      <c r="C1840" s="15"/>
      <c r="D1840" s="15"/>
      <c r="E1840" s="15"/>
      <c r="F1840" s="17"/>
      <c r="G1840" s="17"/>
      <c r="H1840" s="17"/>
      <c r="I1840" s="18"/>
      <c r="J1840" s="18"/>
      <c r="K1840" s="18"/>
      <c r="L1840" s="18"/>
    </row>
    <row r="1841">
      <c r="A1841" s="13"/>
      <c r="B1841" s="13"/>
      <c r="C1841" s="15"/>
      <c r="D1841" s="15"/>
      <c r="E1841" s="15"/>
      <c r="F1841" s="17"/>
      <c r="G1841" s="17"/>
      <c r="H1841" s="17"/>
      <c r="I1841" s="18"/>
      <c r="J1841" s="18"/>
      <c r="K1841" s="18"/>
      <c r="L1841" s="18"/>
    </row>
    <row r="1842">
      <c r="A1842" s="13"/>
      <c r="B1842" s="13"/>
      <c r="C1842" s="15"/>
      <c r="D1842" s="15"/>
      <c r="E1842" s="15"/>
      <c r="F1842" s="17"/>
      <c r="G1842" s="17"/>
      <c r="H1842" s="17"/>
      <c r="I1842" s="18"/>
      <c r="J1842" s="18"/>
      <c r="K1842" s="18"/>
      <c r="L1842" s="18"/>
    </row>
    <row r="1843">
      <c r="A1843" s="13"/>
      <c r="B1843" s="13"/>
      <c r="C1843" s="15"/>
      <c r="D1843" s="15"/>
      <c r="E1843" s="15"/>
      <c r="F1843" s="17"/>
      <c r="G1843" s="17"/>
      <c r="H1843" s="17"/>
      <c r="I1843" s="18"/>
      <c r="J1843" s="18"/>
      <c r="K1843" s="18"/>
      <c r="L1843" s="18"/>
    </row>
    <row r="1844">
      <c r="A1844" s="13"/>
      <c r="B1844" s="13"/>
      <c r="C1844" s="15"/>
      <c r="D1844" s="15"/>
      <c r="E1844" s="15"/>
      <c r="F1844" s="17"/>
      <c r="G1844" s="17"/>
      <c r="H1844" s="17"/>
      <c r="I1844" s="18"/>
      <c r="J1844" s="18"/>
      <c r="K1844" s="18"/>
      <c r="L1844" s="18"/>
    </row>
    <row r="1845">
      <c r="A1845" s="13"/>
      <c r="B1845" s="13"/>
      <c r="C1845" s="15"/>
      <c r="D1845" s="15"/>
      <c r="E1845" s="15"/>
      <c r="F1845" s="17"/>
      <c r="G1845" s="17"/>
      <c r="H1845" s="17"/>
      <c r="I1845" s="18"/>
      <c r="J1845" s="18"/>
      <c r="K1845" s="18"/>
      <c r="L1845" s="18"/>
    </row>
    <row r="1846">
      <c r="A1846" s="13"/>
      <c r="B1846" s="13"/>
      <c r="C1846" s="15"/>
      <c r="D1846" s="15"/>
      <c r="E1846" s="15"/>
      <c r="F1846" s="17"/>
      <c r="G1846" s="17"/>
      <c r="H1846" s="17"/>
      <c r="I1846" s="18"/>
      <c r="J1846" s="18"/>
      <c r="K1846" s="18"/>
      <c r="L1846" s="18"/>
    </row>
    <row r="1847">
      <c r="A1847" s="13"/>
      <c r="B1847" s="13"/>
      <c r="C1847" s="15"/>
      <c r="D1847" s="15"/>
      <c r="E1847" s="15"/>
      <c r="F1847" s="17"/>
      <c r="G1847" s="17"/>
      <c r="H1847" s="17"/>
      <c r="I1847" s="18"/>
      <c r="J1847" s="18"/>
      <c r="K1847" s="18"/>
      <c r="L1847" s="18"/>
    </row>
    <row r="1848">
      <c r="A1848" s="13"/>
      <c r="B1848" s="13"/>
      <c r="C1848" s="15"/>
      <c r="D1848" s="15"/>
      <c r="E1848" s="15"/>
      <c r="F1848" s="17"/>
      <c r="G1848" s="17"/>
      <c r="H1848" s="17"/>
      <c r="I1848" s="18"/>
      <c r="J1848" s="18"/>
      <c r="K1848" s="18"/>
      <c r="L1848" s="18"/>
    </row>
    <row r="1849">
      <c r="A1849" s="13"/>
      <c r="B1849" s="13"/>
      <c r="C1849" s="15"/>
      <c r="D1849" s="15"/>
      <c r="E1849" s="15"/>
      <c r="F1849" s="17"/>
      <c r="G1849" s="17"/>
      <c r="H1849" s="17"/>
      <c r="I1849" s="18"/>
      <c r="J1849" s="18"/>
      <c r="K1849" s="18"/>
      <c r="L1849" s="18"/>
    </row>
    <row r="1850">
      <c r="A1850" s="13"/>
      <c r="B1850" s="13"/>
      <c r="C1850" s="15"/>
      <c r="D1850" s="15"/>
      <c r="E1850" s="15"/>
      <c r="F1850" s="17"/>
      <c r="G1850" s="17"/>
      <c r="H1850" s="17"/>
      <c r="I1850" s="18"/>
      <c r="J1850" s="18"/>
      <c r="K1850" s="18"/>
      <c r="L1850" s="18"/>
    </row>
    <row r="1851">
      <c r="A1851" s="13"/>
      <c r="B1851" s="13"/>
      <c r="C1851" s="15"/>
      <c r="D1851" s="15"/>
      <c r="E1851" s="15"/>
      <c r="F1851" s="17"/>
      <c r="G1851" s="17"/>
      <c r="H1851" s="17"/>
      <c r="I1851" s="18"/>
      <c r="J1851" s="18"/>
      <c r="K1851" s="18"/>
      <c r="L1851" s="18"/>
    </row>
    <row r="1852">
      <c r="A1852" s="13"/>
      <c r="B1852" s="13"/>
      <c r="C1852" s="15"/>
      <c r="D1852" s="15"/>
      <c r="E1852" s="15"/>
      <c r="F1852" s="17"/>
      <c r="G1852" s="17"/>
      <c r="H1852" s="17"/>
      <c r="I1852" s="18"/>
      <c r="J1852" s="18"/>
      <c r="K1852" s="18"/>
      <c r="L1852" s="18"/>
    </row>
    <row r="1853">
      <c r="A1853" s="13"/>
      <c r="B1853" s="13"/>
      <c r="C1853" s="15"/>
      <c r="D1853" s="15"/>
      <c r="E1853" s="15"/>
      <c r="F1853" s="17"/>
      <c r="G1853" s="17"/>
      <c r="H1853" s="17"/>
      <c r="I1853" s="18"/>
      <c r="J1853" s="18"/>
      <c r="K1853" s="18"/>
      <c r="L1853" s="18"/>
    </row>
    <row r="1854">
      <c r="A1854" s="13"/>
      <c r="B1854" s="13"/>
      <c r="C1854" s="15"/>
      <c r="D1854" s="15"/>
      <c r="E1854" s="15"/>
      <c r="F1854" s="17"/>
      <c r="G1854" s="17"/>
      <c r="H1854" s="17"/>
      <c r="I1854" s="18"/>
      <c r="J1854" s="18"/>
      <c r="K1854" s="18"/>
      <c r="L1854" s="18"/>
    </row>
    <row r="1855">
      <c r="A1855" s="13"/>
      <c r="B1855" s="13"/>
      <c r="C1855" s="15"/>
      <c r="D1855" s="15"/>
      <c r="E1855" s="15"/>
      <c r="F1855" s="17"/>
      <c r="G1855" s="17"/>
      <c r="H1855" s="17"/>
      <c r="I1855" s="18"/>
      <c r="J1855" s="18"/>
      <c r="K1855" s="18"/>
      <c r="L1855" s="18"/>
    </row>
    <row r="1856">
      <c r="A1856" s="13"/>
      <c r="B1856" s="13"/>
      <c r="C1856" s="15"/>
      <c r="D1856" s="15"/>
      <c r="E1856" s="15"/>
      <c r="F1856" s="17"/>
      <c r="G1856" s="17"/>
      <c r="H1856" s="17"/>
      <c r="I1856" s="18"/>
      <c r="J1856" s="18"/>
      <c r="K1856" s="18"/>
      <c r="L1856" s="18"/>
    </row>
    <row r="1857">
      <c r="A1857" s="13"/>
      <c r="B1857" s="13"/>
      <c r="C1857" s="15"/>
      <c r="D1857" s="15"/>
      <c r="E1857" s="15"/>
      <c r="F1857" s="17"/>
      <c r="G1857" s="17"/>
      <c r="H1857" s="17"/>
      <c r="I1857" s="18"/>
      <c r="J1857" s="18"/>
      <c r="K1857" s="18"/>
      <c r="L1857" s="18"/>
    </row>
    <row r="1858">
      <c r="A1858" s="13"/>
      <c r="B1858" s="13"/>
      <c r="C1858" s="15"/>
      <c r="D1858" s="15"/>
      <c r="E1858" s="15"/>
      <c r="F1858" s="17"/>
      <c r="G1858" s="17"/>
      <c r="H1858" s="17"/>
      <c r="I1858" s="18"/>
      <c r="J1858" s="18"/>
      <c r="K1858" s="18"/>
      <c r="L1858" s="18"/>
    </row>
    <row r="1859">
      <c r="A1859" s="13"/>
      <c r="B1859" s="13"/>
      <c r="C1859" s="15"/>
      <c r="D1859" s="15"/>
      <c r="E1859" s="15"/>
      <c r="F1859" s="17"/>
      <c r="G1859" s="17"/>
      <c r="H1859" s="17"/>
      <c r="I1859" s="18"/>
      <c r="J1859" s="18"/>
      <c r="K1859" s="18"/>
      <c r="L1859" s="18"/>
    </row>
    <row r="1860">
      <c r="A1860" s="13"/>
      <c r="B1860" s="13"/>
      <c r="C1860" s="15"/>
      <c r="D1860" s="15"/>
      <c r="E1860" s="15"/>
      <c r="F1860" s="17"/>
      <c r="G1860" s="17"/>
      <c r="H1860" s="17"/>
      <c r="I1860" s="18"/>
      <c r="J1860" s="18"/>
      <c r="K1860" s="18"/>
      <c r="L1860" s="18"/>
    </row>
    <row r="1861">
      <c r="A1861" s="13"/>
      <c r="B1861" s="13"/>
      <c r="C1861" s="15"/>
      <c r="D1861" s="15"/>
      <c r="E1861" s="15"/>
      <c r="F1861" s="17"/>
      <c r="G1861" s="17"/>
      <c r="H1861" s="17"/>
      <c r="I1861" s="18"/>
      <c r="J1861" s="18"/>
      <c r="K1861" s="18"/>
      <c r="L1861" s="18"/>
    </row>
    <row r="1862">
      <c r="A1862" s="13"/>
      <c r="B1862" s="13"/>
      <c r="C1862" s="15"/>
      <c r="D1862" s="15"/>
      <c r="E1862" s="15"/>
      <c r="F1862" s="17"/>
      <c r="G1862" s="17"/>
      <c r="H1862" s="17"/>
      <c r="I1862" s="18"/>
      <c r="J1862" s="18"/>
      <c r="K1862" s="18"/>
      <c r="L1862" s="18"/>
    </row>
    <row r="1863">
      <c r="A1863" s="13"/>
      <c r="B1863" s="13"/>
      <c r="C1863" s="15"/>
      <c r="D1863" s="15"/>
      <c r="E1863" s="15"/>
      <c r="F1863" s="17"/>
      <c r="G1863" s="17"/>
      <c r="H1863" s="17"/>
      <c r="I1863" s="18"/>
      <c r="J1863" s="18"/>
      <c r="K1863" s="18"/>
      <c r="L1863" s="18"/>
    </row>
    <row r="1864">
      <c r="A1864" s="13"/>
      <c r="B1864" s="13"/>
      <c r="C1864" s="15"/>
      <c r="D1864" s="15"/>
      <c r="E1864" s="15"/>
      <c r="F1864" s="17"/>
      <c r="G1864" s="17"/>
      <c r="H1864" s="17"/>
      <c r="I1864" s="18"/>
      <c r="J1864" s="18"/>
      <c r="K1864" s="18"/>
      <c r="L1864" s="18"/>
    </row>
    <row r="1865">
      <c r="A1865" s="13"/>
      <c r="B1865" s="13"/>
      <c r="C1865" s="15"/>
      <c r="D1865" s="15"/>
      <c r="E1865" s="15"/>
      <c r="F1865" s="17"/>
      <c r="G1865" s="17"/>
      <c r="H1865" s="17"/>
      <c r="I1865" s="18"/>
      <c r="J1865" s="18"/>
      <c r="K1865" s="18"/>
      <c r="L1865" s="18"/>
    </row>
    <row r="1866">
      <c r="A1866" s="13"/>
      <c r="B1866" s="13"/>
      <c r="C1866" s="15"/>
      <c r="D1866" s="15"/>
      <c r="E1866" s="15"/>
      <c r="F1866" s="17"/>
      <c r="G1866" s="17"/>
      <c r="H1866" s="17"/>
      <c r="I1866" s="18"/>
      <c r="J1866" s="18"/>
      <c r="K1866" s="18"/>
      <c r="L1866" s="18"/>
    </row>
    <row r="1867">
      <c r="A1867" s="13"/>
      <c r="B1867" s="13"/>
      <c r="C1867" s="15"/>
      <c r="D1867" s="15"/>
      <c r="E1867" s="15"/>
      <c r="F1867" s="17"/>
      <c r="G1867" s="17"/>
      <c r="H1867" s="17"/>
      <c r="I1867" s="18"/>
      <c r="J1867" s="18"/>
      <c r="K1867" s="18"/>
      <c r="L1867" s="18"/>
    </row>
    <row r="1868">
      <c r="A1868" s="13"/>
      <c r="B1868" s="13"/>
      <c r="C1868" s="15"/>
      <c r="D1868" s="15"/>
      <c r="E1868" s="15"/>
      <c r="F1868" s="17"/>
      <c r="G1868" s="17"/>
      <c r="H1868" s="17"/>
      <c r="I1868" s="18"/>
      <c r="J1868" s="18"/>
      <c r="K1868" s="18"/>
      <c r="L1868" s="18"/>
    </row>
    <row r="1869">
      <c r="A1869" s="13"/>
      <c r="B1869" s="13"/>
      <c r="C1869" s="15"/>
      <c r="D1869" s="15"/>
      <c r="E1869" s="15"/>
      <c r="F1869" s="17"/>
      <c r="G1869" s="17"/>
      <c r="H1869" s="17"/>
      <c r="I1869" s="18"/>
      <c r="J1869" s="18"/>
      <c r="K1869" s="18"/>
      <c r="L1869" s="18"/>
    </row>
    <row r="1870">
      <c r="A1870" s="13"/>
      <c r="B1870" s="13"/>
      <c r="C1870" s="15"/>
      <c r="D1870" s="15"/>
      <c r="E1870" s="15"/>
      <c r="F1870" s="17"/>
      <c r="G1870" s="17"/>
      <c r="H1870" s="17"/>
      <c r="I1870" s="18"/>
      <c r="J1870" s="18"/>
      <c r="K1870" s="18"/>
      <c r="L1870" s="18"/>
    </row>
    <row r="1871">
      <c r="A1871" s="13"/>
      <c r="B1871" s="13"/>
      <c r="C1871" s="15"/>
      <c r="D1871" s="15"/>
      <c r="E1871" s="15"/>
      <c r="F1871" s="17"/>
      <c r="G1871" s="17"/>
      <c r="H1871" s="17"/>
      <c r="I1871" s="18"/>
      <c r="J1871" s="18"/>
      <c r="K1871" s="18"/>
      <c r="L1871" s="18"/>
    </row>
    <row r="1872">
      <c r="A1872" s="13"/>
      <c r="B1872" s="13"/>
      <c r="C1872" s="15"/>
      <c r="D1872" s="15"/>
      <c r="E1872" s="15"/>
      <c r="F1872" s="17"/>
      <c r="G1872" s="17"/>
      <c r="H1872" s="17"/>
      <c r="I1872" s="18"/>
      <c r="J1872" s="18"/>
      <c r="K1872" s="18"/>
      <c r="L1872" s="18"/>
    </row>
    <row r="1873">
      <c r="A1873" s="13"/>
      <c r="B1873" s="13"/>
      <c r="C1873" s="15"/>
      <c r="D1873" s="15"/>
      <c r="E1873" s="15"/>
      <c r="F1873" s="17"/>
      <c r="G1873" s="17"/>
      <c r="H1873" s="17"/>
      <c r="I1873" s="18"/>
      <c r="J1873" s="18"/>
      <c r="K1873" s="18"/>
      <c r="L1873" s="18"/>
    </row>
    <row r="1874">
      <c r="A1874" s="13"/>
      <c r="B1874" s="13"/>
      <c r="C1874" s="15"/>
      <c r="D1874" s="15"/>
      <c r="E1874" s="15"/>
      <c r="F1874" s="17"/>
      <c r="G1874" s="17"/>
      <c r="H1874" s="17"/>
      <c r="I1874" s="18"/>
      <c r="J1874" s="18"/>
      <c r="K1874" s="18"/>
      <c r="L1874" s="18"/>
    </row>
    <row r="1875">
      <c r="A1875" s="13"/>
      <c r="B1875" s="13"/>
      <c r="C1875" s="15"/>
      <c r="D1875" s="15"/>
      <c r="E1875" s="15"/>
      <c r="F1875" s="17"/>
      <c r="G1875" s="17"/>
      <c r="H1875" s="17"/>
      <c r="I1875" s="18"/>
      <c r="J1875" s="18"/>
      <c r="K1875" s="18"/>
      <c r="L1875" s="18"/>
    </row>
    <row r="1876">
      <c r="A1876" s="13"/>
      <c r="B1876" s="13"/>
      <c r="C1876" s="15"/>
      <c r="D1876" s="15"/>
      <c r="E1876" s="15"/>
      <c r="F1876" s="17"/>
      <c r="G1876" s="17"/>
      <c r="H1876" s="17"/>
      <c r="I1876" s="18"/>
      <c r="J1876" s="18"/>
      <c r="K1876" s="18"/>
      <c r="L1876" s="18"/>
    </row>
    <row r="1877">
      <c r="A1877" s="13"/>
      <c r="B1877" s="13"/>
      <c r="C1877" s="15"/>
      <c r="D1877" s="15"/>
      <c r="E1877" s="15"/>
      <c r="F1877" s="17"/>
      <c r="G1877" s="17"/>
      <c r="H1877" s="17"/>
      <c r="I1877" s="18"/>
      <c r="J1877" s="18"/>
      <c r="K1877" s="18"/>
      <c r="L1877" s="18"/>
    </row>
    <row r="1878">
      <c r="A1878" s="13"/>
      <c r="B1878" s="13"/>
      <c r="C1878" s="15"/>
      <c r="D1878" s="15"/>
      <c r="E1878" s="15"/>
      <c r="F1878" s="17"/>
      <c r="G1878" s="17"/>
      <c r="H1878" s="17"/>
      <c r="I1878" s="18"/>
      <c r="J1878" s="18"/>
      <c r="K1878" s="18"/>
      <c r="L1878" s="18"/>
    </row>
    <row r="1879">
      <c r="A1879" s="13"/>
      <c r="B1879" s="13"/>
      <c r="C1879" s="15"/>
      <c r="D1879" s="15"/>
      <c r="E1879" s="15"/>
      <c r="F1879" s="17"/>
      <c r="G1879" s="17"/>
      <c r="H1879" s="17"/>
      <c r="I1879" s="18"/>
      <c r="J1879" s="18"/>
      <c r="K1879" s="18"/>
      <c r="L1879" s="18"/>
    </row>
    <row r="1880">
      <c r="A1880" s="13"/>
      <c r="B1880" s="13"/>
      <c r="C1880" s="15"/>
      <c r="D1880" s="15"/>
      <c r="E1880" s="15"/>
      <c r="F1880" s="17"/>
      <c r="G1880" s="17"/>
      <c r="H1880" s="17"/>
      <c r="I1880" s="18"/>
      <c r="J1880" s="18"/>
      <c r="K1880" s="18"/>
      <c r="L1880" s="18"/>
    </row>
    <row r="1881">
      <c r="A1881" s="13"/>
      <c r="B1881" s="13"/>
      <c r="C1881" s="15"/>
      <c r="D1881" s="15"/>
      <c r="E1881" s="15"/>
      <c r="F1881" s="17"/>
      <c r="G1881" s="17"/>
      <c r="H1881" s="17"/>
      <c r="I1881" s="18"/>
      <c r="J1881" s="18"/>
      <c r="K1881" s="18"/>
      <c r="L1881" s="18"/>
    </row>
    <row r="1882">
      <c r="A1882" s="13"/>
      <c r="B1882" s="13"/>
      <c r="C1882" s="15"/>
      <c r="D1882" s="15"/>
      <c r="E1882" s="15"/>
      <c r="F1882" s="17"/>
      <c r="G1882" s="17"/>
      <c r="H1882" s="17"/>
      <c r="I1882" s="18"/>
      <c r="J1882" s="18"/>
      <c r="K1882" s="18"/>
      <c r="L1882" s="18"/>
    </row>
    <row r="1883">
      <c r="A1883" s="13"/>
      <c r="B1883" s="13"/>
      <c r="C1883" s="15"/>
      <c r="D1883" s="15"/>
      <c r="E1883" s="15"/>
      <c r="F1883" s="17"/>
      <c r="G1883" s="17"/>
      <c r="H1883" s="17"/>
      <c r="I1883" s="18"/>
      <c r="J1883" s="18"/>
      <c r="K1883" s="18"/>
      <c r="L1883" s="18"/>
    </row>
    <row r="1884">
      <c r="A1884" s="13"/>
      <c r="B1884" s="13"/>
      <c r="C1884" s="15"/>
      <c r="D1884" s="15"/>
      <c r="E1884" s="15"/>
      <c r="F1884" s="17"/>
      <c r="G1884" s="17"/>
      <c r="H1884" s="17"/>
      <c r="I1884" s="18"/>
      <c r="J1884" s="18"/>
      <c r="K1884" s="18"/>
      <c r="L1884" s="18"/>
    </row>
    <row r="1885">
      <c r="A1885" s="13"/>
      <c r="B1885" s="13"/>
      <c r="C1885" s="15"/>
      <c r="D1885" s="15"/>
      <c r="E1885" s="15"/>
      <c r="F1885" s="17"/>
      <c r="G1885" s="17"/>
      <c r="H1885" s="17"/>
      <c r="I1885" s="18"/>
      <c r="J1885" s="18"/>
      <c r="K1885" s="18"/>
      <c r="L1885" s="18"/>
    </row>
    <row r="1886">
      <c r="A1886" s="13"/>
      <c r="B1886" s="13"/>
      <c r="C1886" s="15"/>
      <c r="D1886" s="15"/>
      <c r="E1886" s="15"/>
      <c r="F1886" s="17"/>
      <c r="G1886" s="17"/>
      <c r="H1886" s="17"/>
      <c r="I1886" s="29"/>
      <c r="J1886" s="29"/>
      <c r="K1886" s="29"/>
      <c r="L1886" s="29"/>
    </row>
    <row r="1887">
      <c r="A1887" s="13"/>
      <c r="B1887" s="13"/>
      <c r="C1887" s="15"/>
      <c r="D1887" s="15"/>
      <c r="E1887" s="15"/>
      <c r="F1887" s="17"/>
      <c r="G1887" s="17"/>
      <c r="H1887" s="17"/>
      <c r="I1887" s="29"/>
      <c r="J1887" s="29"/>
      <c r="K1887" s="29"/>
      <c r="L1887" s="29"/>
    </row>
    <row r="1888">
      <c r="A1888" s="13"/>
      <c r="B1888" s="13"/>
      <c r="C1888" s="15"/>
      <c r="D1888" s="15"/>
      <c r="E1888" s="15"/>
      <c r="F1888" s="17"/>
      <c r="G1888" s="17"/>
      <c r="H1888" s="17"/>
      <c r="I1888" s="29"/>
      <c r="J1888" s="29"/>
      <c r="K1888" s="29"/>
      <c r="L1888" s="29"/>
    </row>
    <row r="1889">
      <c r="A1889" s="13"/>
      <c r="B1889" s="13"/>
      <c r="C1889" s="15"/>
      <c r="D1889" s="15"/>
      <c r="E1889" s="15"/>
      <c r="F1889" s="17"/>
      <c r="G1889" s="17"/>
      <c r="H1889" s="17"/>
      <c r="I1889" s="29"/>
      <c r="J1889" s="29"/>
      <c r="K1889" s="29"/>
      <c r="L1889" s="29"/>
    </row>
    <row r="1890">
      <c r="A1890" s="13"/>
      <c r="B1890" s="13"/>
      <c r="C1890" s="15"/>
      <c r="D1890" s="15"/>
      <c r="E1890" s="15"/>
      <c r="F1890" s="17"/>
      <c r="G1890" s="17"/>
      <c r="H1890" s="17"/>
      <c r="I1890" s="29"/>
      <c r="J1890" s="29"/>
      <c r="K1890" s="29"/>
      <c r="L1890" s="29"/>
    </row>
    <row r="1891">
      <c r="A1891" s="13"/>
      <c r="B1891" s="13"/>
      <c r="C1891" s="15"/>
      <c r="D1891" s="15"/>
      <c r="E1891" s="15"/>
      <c r="F1891" s="17"/>
      <c r="G1891" s="17"/>
      <c r="H1891" s="17"/>
      <c r="I1891" s="29"/>
      <c r="J1891" s="29"/>
      <c r="K1891" s="29"/>
      <c r="L1891" s="29"/>
    </row>
    <row r="1892">
      <c r="A1892" s="13"/>
      <c r="B1892" s="13"/>
      <c r="C1892" s="15"/>
      <c r="D1892" s="15"/>
      <c r="E1892" s="15"/>
      <c r="F1892" s="17"/>
      <c r="G1892" s="17"/>
      <c r="H1892" s="17"/>
      <c r="I1892" s="29"/>
      <c r="J1892" s="29"/>
      <c r="K1892" s="29"/>
      <c r="L1892" s="29"/>
    </row>
    <row r="1893">
      <c r="A1893" s="13"/>
      <c r="B1893" s="13"/>
      <c r="C1893" s="15"/>
      <c r="D1893" s="15"/>
      <c r="E1893" s="15"/>
      <c r="F1893" s="17"/>
      <c r="G1893" s="17"/>
      <c r="H1893" s="17"/>
      <c r="I1893" s="29"/>
      <c r="J1893" s="29"/>
      <c r="K1893" s="29"/>
      <c r="L1893" s="29"/>
    </row>
    <row r="1894">
      <c r="A1894" s="13"/>
      <c r="B1894" s="13"/>
      <c r="C1894" s="15"/>
      <c r="D1894" s="15"/>
      <c r="E1894" s="15"/>
      <c r="F1894" s="17"/>
      <c r="G1894" s="17"/>
      <c r="H1894" s="17"/>
      <c r="I1894" s="29"/>
      <c r="J1894" s="29"/>
      <c r="K1894" s="29"/>
      <c r="L1894" s="29"/>
    </row>
    <row r="1895">
      <c r="A1895" s="13"/>
      <c r="B1895" s="13"/>
      <c r="C1895" s="15"/>
      <c r="D1895" s="15"/>
      <c r="E1895" s="15"/>
      <c r="F1895" s="17"/>
      <c r="G1895" s="17"/>
      <c r="H1895" s="17"/>
      <c r="I1895" s="29"/>
      <c r="J1895" s="29"/>
      <c r="K1895" s="29"/>
      <c r="L1895" s="29"/>
    </row>
    <row r="1896">
      <c r="A1896" s="13"/>
      <c r="B1896" s="13"/>
      <c r="C1896" s="15"/>
      <c r="D1896" s="15"/>
      <c r="E1896" s="15"/>
      <c r="F1896" s="17"/>
      <c r="G1896" s="17"/>
      <c r="H1896" s="17"/>
      <c r="I1896" s="29"/>
      <c r="J1896" s="29"/>
      <c r="K1896" s="29"/>
      <c r="L1896" s="29"/>
    </row>
    <row r="1897">
      <c r="A1897" s="13"/>
      <c r="B1897" s="13"/>
      <c r="C1897" s="15"/>
      <c r="D1897" s="15"/>
      <c r="E1897" s="15"/>
      <c r="F1897" s="17"/>
      <c r="G1897" s="17"/>
      <c r="H1897" s="17"/>
      <c r="I1897" s="29"/>
      <c r="J1897" s="29"/>
      <c r="K1897" s="29"/>
      <c r="L1897" s="29"/>
    </row>
    <row r="1898">
      <c r="A1898" s="13"/>
      <c r="B1898" s="13"/>
      <c r="C1898" s="15"/>
      <c r="D1898" s="15"/>
      <c r="E1898" s="15"/>
      <c r="F1898" s="17"/>
      <c r="G1898" s="17"/>
      <c r="H1898" s="17"/>
      <c r="I1898" s="29"/>
      <c r="J1898" s="29"/>
      <c r="K1898" s="29"/>
      <c r="L1898" s="29"/>
    </row>
    <row r="1899">
      <c r="A1899" s="13"/>
      <c r="B1899" s="13"/>
      <c r="C1899" s="15"/>
      <c r="D1899" s="15"/>
      <c r="E1899" s="15"/>
      <c r="F1899" s="17"/>
      <c r="G1899" s="17"/>
      <c r="H1899" s="17"/>
      <c r="I1899" s="29"/>
      <c r="J1899" s="29"/>
      <c r="K1899" s="29"/>
      <c r="L1899" s="29"/>
    </row>
    <row r="1900">
      <c r="A1900" s="13"/>
      <c r="B1900" s="13"/>
      <c r="C1900" s="15"/>
      <c r="D1900" s="15"/>
      <c r="E1900" s="15"/>
      <c r="F1900" s="17"/>
      <c r="G1900" s="17"/>
      <c r="H1900" s="17"/>
      <c r="I1900" s="29"/>
      <c r="J1900" s="29"/>
      <c r="K1900" s="29"/>
      <c r="L1900" s="29"/>
    </row>
    <row r="1901">
      <c r="A1901" s="13"/>
      <c r="B1901" s="13"/>
      <c r="C1901" s="15"/>
      <c r="D1901" s="15"/>
      <c r="E1901" s="15"/>
      <c r="F1901" s="17"/>
      <c r="G1901" s="17"/>
      <c r="H1901" s="17"/>
      <c r="I1901" s="29"/>
      <c r="J1901" s="29"/>
      <c r="K1901" s="29"/>
      <c r="L1901" s="29"/>
    </row>
    <row r="1902">
      <c r="A1902" s="13"/>
      <c r="B1902" s="13"/>
      <c r="C1902" s="15"/>
      <c r="D1902" s="15"/>
      <c r="E1902" s="15"/>
      <c r="F1902" s="17"/>
      <c r="G1902" s="17"/>
      <c r="H1902" s="17"/>
      <c r="I1902" s="29"/>
      <c r="J1902" s="29"/>
      <c r="K1902" s="29"/>
      <c r="L1902" s="29"/>
    </row>
    <row r="1903">
      <c r="A1903" s="13"/>
      <c r="B1903" s="13"/>
      <c r="C1903" s="15"/>
      <c r="D1903" s="15"/>
      <c r="E1903" s="15"/>
      <c r="F1903" s="17"/>
      <c r="G1903" s="17"/>
      <c r="H1903" s="17"/>
      <c r="I1903" s="29"/>
      <c r="J1903" s="29"/>
      <c r="K1903" s="29"/>
      <c r="L1903" s="29"/>
    </row>
    <row r="1904">
      <c r="A1904" s="13"/>
      <c r="B1904" s="13"/>
      <c r="C1904" s="15"/>
      <c r="D1904" s="15"/>
      <c r="E1904" s="15"/>
      <c r="F1904" s="17"/>
      <c r="G1904" s="17"/>
      <c r="H1904" s="17"/>
      <c r="I1904" s="29"/>
      <c r="J1904" s="29"/>
      <c r="K1904" s="29"/>
      <c r="L1904" s="29"/>
    </row>
    <row r="1905">
      <c r="A1905" s="13"/>
      <c r="B1905" s="13"/>
      <c r="C1905" s="15"/>
      <c r="D1905" s="15"/>
      <c r="E1905" s="15"/>
      <c r="F1905" s="17"/>
      <c r="G1905" s="17"/>
      <c r="H1905" s="17"/>
      <c r="I1905" s="29"/>
      <c r="J1905" s="29"/>
      <c r="K1905" s="29"/>
      <c r="L1905" s="29"/>
    </row>
    <row r="1906">
      <c r="A1906" s="13"/>
      <c r="B1906" s="13"/>
      <c r="C1906" s="15"/>
      <c r="D1906" s="15"/>
      <c r="E1906" s="15"/>
      <c r="F1906" s="17"/>
      <c r="G1906" s="17"/>
      <c r="H1906" s="17"/>
      <c r="I1906" s="29"/>
      <c r="J1906" s="29"/>
      <c r="K1906" s="29"/>
      <c r="L1906" s="29"/>
    </row>
    <row r="1907">
      <c r="A1907" s="13"/>
      <c r="B1907" s="13"/>
      <c r="C1907" s="15"/>
      <c r="D1907" s="15"/>
      <c r="E1907" s="15"/>
      <c r="F1907" s="17"/>
      <c r="G1907" s="17"/>
      <c r="H1907" s="17"/>
      <c r="I1907" s="29"/>
      <c r="J1907" s="29"/>
      <c r="K1907" s="29"/>
      <c r="L1907" s="29"/>
    </row>
    <row r="1908">
      <c r="A1908" s="13"/>
      <c r="B1908" s="13"/>
      <c r="C1908" s="15"/>
      <c r="D1908" s="15"/>
      <c r="E1908" s="15"/>
      <c r="F1908" s="17"/>
      <c r="G1908" s="17"/>
      <c r="H1908" s="17"/>
      <c r="I1908" s="29"/>
      <c r="J1908" s="29"/>
      <c r="K1908" s="29"/>
      <c r="L1908" s="29"/>
    </row>
    <row r="1909">
      <c r="A1909" s="13"/>
      <c r="B1909" s="13"/>
      <c r="C1909" s="15"/>
      <c r="D1909" s="15"/>
      <c r="E1909" s="15"/>
      <c r="F1909" s="17"/>
      <c r="G1909" s="17"/>
      <c r="H1909" s="17"/>
      <c r="I1909" s="29"/>
      <c r="J1909" s="29"/>
      <c r="K1909" s="29"/>
      <c r="L1909" s="29"/>
    </row>
    <row r="1910">
      <c r="A1910" s="13"/>
      <c r="B1910" s="13"/>
      <c r="C1910" s="15"/>
      <c r="D1910" s="15"/>
      <c r="E1910" s="15"/>
      <c r="F1910" s="17"/>
      <c r="G1910" s="17"/>
      <c r="H1910" s="17"/>
      <c r="I1910" s="29"/>
      <c r="J1910" s="29"/>
      <c r="K1910" s="29"/>
      <c r="L1910" s="29"/>
    </row>
    <row r="1911">
      <c r="A1911" s="13"/>
      <c r="B1911" s="13"/>
      <c r="C1911" s="15"/>
      <c r="D1911" s="15"/>
      <c r="E1911" s="15"/>
      <c r="F1911" s="17"/>
      <c r="G1911" s="17"/>
      <c r="H1911" s="17"/>
      <c r="I1911" s="29"/>
      <c r="J1911" s="29"/>
      <c r="K1911" s="29"/>
      <c r="L1911" s="29"/>
    </row>
    <row r="1912">
      <c r="A1912" s="13"/>
      <c r="B1912" s="13"/>
      <c r="C1912" s="15"/>
      <c r="D1912" s="15"/>
      <c r="E1912" s="15"/>
      <c r="F1912" s="17"/>
      <c r="G1912" s="17"/>
      <c r="H1912" s="17"/>
      <c r="I1912" s="29"/>
      <c r="J1912" s="29"/>
      <c r="K1912" s="29"/>
      <c r="L1912" s="29"/>
    </row>
    <row r="1913">
      <c r="A1913" s="13"/>
      <c r="B1913" s="13"/>
      <c r="C1913" s="15"/>
      <c r="D1913" s="15"/>
      <c r="E1913" s="15"/>
      <c r="F1913" s="17"/>
      <c r="G1913" s="17"/>
      <c r="H1913" s="17"/>
      <c r="I1913" s="29"/>
      <c r="J1913" s="29"/>
      <c r="K1913" s="29"/>
      <c r="L1913" s="29"/>
    </row>
    <row r="1914">
      <c r="A1914" s="13"/>
      <c r="B1914" s="13"/>
      <c r="C1914" s="15"/>
      <c r="D1914" s="15"/>
      <c r="E1914" s="15"/>
      <c r="F1914" s="17"/>
      <c r="G1914" s="17"/>
      <c r="H1914" s="17"/>
      <c r="I1914" s="29"/>
      <c r="J1914" s="29"/>
      <c r="K1914" s="29"/>
      <c r="L1914" s="29"/>
    </row>
    <row r="1915">
      <c r="A1915" s="13"/>
      <c r="B1915" s="13"/>
      <c r="C1915" s="15"/>
      <c r="D1915" s="15"/>
      <c r="E1915" s="15"/>
      <c r="F1915" s="17"/>
      <c r="G1915" s="17"/>
      <c r="H1915" s="17"/>
      <c r="I1915" s="29"/>
      <c r="J1915" s="29"/>
      <c r="K1915" s="29"/>
      <c r="L1915" s="29"/>
    </row>
    <row r="1916">
      <c r="A1916" s="13"/>
      <c r="B1916" s="13"/>
      <c r="C1916" s="15"/>
      <c r="D1916" s="15"/>
      <c r="E1916" s="15"/>
      <c r="F1916" s="17"/>
      <c r="G1916" s="17"/>
      <c r="H1916" s="17"/>
      <c r="I1916" s="29"/>
      <c r="J1916" s="29"/>
      <c r="K1916" s="29"/>
      <c r="L1916" s="29"/>
    </row>
    <row r="1917">
      <c r="A1917" s="13"/>
      <c r="B1917" s="13"/>
      <c r="C1917" s="15"/>
      <c r="D1917" s="15"/>
      <c r="E1917" s="15"/>
      <c r="F1917" s="17"/>
      <c r="G1917" s="17"/>
      <c r="H1917" s="17"/>
      <c r="I1917" s="29"/>
      <c r="J1917" s="29"/>
      <c r="K1917" s="29"/>
      <c r="L1917" s="29"/>
    </row>
    <row r="1918">
      <c r="A1918" s="13"/>
      <c r="B1918" s="13"/>
      <c r="C1918" s="15"/>
      <c r="D1918" s="15"/>
      <c r="E1918" s="15"/>
      <c r="F1918" s="17"/>
      <c r="G1918" s="17"/>
      <c r="H1918" s="17"/>
      <c r="I1918" s="29"/>
      <c r="J1918" s="29"/>
      <c r="K1918" s="29"/>
      <c r="L1918" s="29"/>
    </row>
    <row r="1919">
      <c r="A1919" s="13"/>
      <c r="B1919" s="13"/>
      <c r="C1919" s="15"/>
      <c r="D1919" s="15"/>
      <c r="E1919" s="15"/>
      <c r="F1919" s="17"/>
      <c r="G1919" s="17"/>
      <c r="H1919" s="17"/>
      <c r="I1919" s="29"/>
      <c r="J1919" s="29"/>
      <c r="K1919" s="29"/>
      <c r="L1919" s="29"/>
    </row>
    <row r="1920">
      <c r="A1920" s="13"/>
      <c r="B1920" s="13"/>
      <c r="C1920" s="15"/>
      <c r="D1920" s="15"/>
      <c r="E1920" s="15"/>
      <c r="F1920" s="17"/>
      <c r="G1920" s="17"/>
      <c r="H1920" s="17"/>
      <c r="I1920" s="29"/>
      <c r="J1920" s="29"/>
      <c r="K1920" s="29"/>
      <c r="L1920" s="29"/>
    </row>
    <row r="1921">
      <c r="A1921" s="13"/>
      <c r="B1921" s="13"/>
      <c r="C1921" s="15"/>
      <c r="D1921" s="15"/>
      <c r="E1921" s="15"/>
      <c r="F1921" s="17"/>
      <c r="G1921" s="17"/>
      <c r="H1921" s="17"/>
      <c r="I1921" s="29"/>
      <c r="J1921" s="29"/>
      <c r="K1921" s="29"/>
      <c r="L1921" s="29"/>
    </row>
    <row r="1922">
      <c r="A1922" s="13"/>
      <c r="B1922" s="13"/>
      <c r="C1922" s="15"/>
      <c r="D1922" s="15"/>
      <c r="E1922" s="15"/>
      <c r="F1922" s="17"/>
      <c r="G1922" s="17"/>
      <c r="H1922" s="17"/>
      <c r="I1922" s="29"/>
      <c r="J1922" s="29"/>
      <c r="K1922" s="29"/>
      <c r="L1922" s="29"/>
    </row>
    <row r="1923">
      <c r="A1923" s="13"/>
      <c r="B1923" s="13"/>
      <c r="C1923" s="15"/>
      <c r="D1923" s="15"/>
      <c r="E1923" s="15"/>
      <c r="F1923" s="17"/>
      <c r="G1923" s="17"/>
      <c r="H1923" s="17"/>
      <c r="I1923" s="29"/>
      <c r="J1923" s="29"/>
      <c r="K1923" s="29"/>
      <c r="L1923" s="29"/>
    </row>
    <row r="1924">
      <c r="A1924" s="13"/>
      <c r="B1924" s="13"/>
      <c r="C1924" s="15"/>
      <c r="D1924" s="15"/>
      <c r="E1924" s="15"/>
      <c r="F1924" s="17"/>
      <c r="G1924" s="17"/>
      <c r="H1924" s="17"/>
      <c r="I1924" s="29"/>
      <c r="J1924" s="29"/>
      <c r="K1924" s="29"/>
      <c r="L1924" s="29"/>
    </row>
    <row r="1925">
      <c r="A1925" s="13"/>
      <c r="B1925" s="13"/>
      <c r="C1925" s="15"/>
      <c r="D1925" s="15"/>
      <c r="E1925" s="15"/>
      <c r="F1925" s="17"/>
      <c r="G1925" s="17"/>
      <c r="H1925" s="17"/>
      <c r="I1925" s="29"/>
      <c r="J1925" s="29"/>
      <c r="K1925" s="29"/>
      <c r="L1925" s="29"/>
    </row>
    <row r="1926">
      <c r="A1926" s="13"/>
      <c r="B1926" s="13"/>
      <c r="C1926" s="15"/>
      <c r="D1926" s="15"/>
      <c r="E1926" s="15"/>
      <c r="F1926" s="17"/>
      <c r="G1926" s="17"/>
      <c r="H1926" s="17"/>
      <c r="I1926" s="29"/>
      <c r="J1926" s="29"/>
      <c r="K1926" s="29"/>
      <c r="L1926" s="29"/>
    </row>
    <row r="1927">
      <c r="A1927" s="13"/>
      <c r="B1927" s="13"/>
      <c r="C1927" s="15"/>
      <c r="D1927" s="15"/>
      <c r="E1927" s="15"/>
      <c r="F1927" s="17"/>
      <c r="G1927" s="17"/>
      <c r="H1927" s="17"/>
      <c r="I1927" s="29"/>
      <c r="J1927" s="29"/>
      <c r="K1927" s="29"/>
      <c r="L1927" s="29"/>
    </row>
    <row r="1928">
      <c r="A1928" s="13"/>
      <c r="B1928" s="13"/>
      <c r="C1928" s="15"/>
      <c r="D1928" s="15"/>
      <c r="E1928" s="15"/>
      <c r="F1928" s="17"/>
      <c r="G1928" s="17"/>
      <c r="H1928" s="17"/>
      <c r="I1928" s="29"/>
      <c r="J1928" s="29"/>
      <c r="K1928" s="29"/>
      <c r="L1928" s="29"/>
    </row>
    <row r="1929">
      <c r="A1929" s="13"/>
      <c r="B1929" s="13"/>
      <c r="C1929" s="15"/>
      <c r="D1929" s="15"/>
      <c r="E1929" s="15"/>
      <c r="F1929" s="17"/>
      <c r="G1929" s="17"/>
      <c r="H1929" s="17"/>
      <c r="I1929" s="29"/>
      <c r="J1929" s="29"/>
      <c r="K1929" s="29"/>
      <c r="L1929" s="29"/>
    </row>
    <row r="1930">
      <c r="A1930" s="13"/>
      <c r="B1930" s="13"/>
      <c r="C1930" s="15"/>
      <c r="D1930" s="15"/>
      <c r="E1930" s="15"/>
      <c r="F1930" s="17"/>
      <c r="G1930" s="17"/>
      <c r="H1930" s="17"/>
      <c r="I1930" s="29"/>
      <c r="J1930" s="29"/>
      <c r="K1930" s="29"/>
      <c r="L1930" s="29"/>
    </row>
    <row r="1931">
      <c r="A1931" s="13"/>
      <c r="B1931" s="13"/>
      <c r="C1931" s="15"/>
      <c r="D1931" s="15"/>
      <c r="E1931" s="15"/>
      <c r="F1931" s="17"/>
      <c r="G1931" s="17"/>
      <c r="H1931" s="17"/>
      <c r="I1931" s="29"/>
      <c r="J1931" s="29"/>
      <c r="K1931" s="29"/>
      <c r="L1931" s="29"/>
    </row>
    <row r="1932">
      <c r="A1932" s="13"/>
      <c r="B1932" s="13"/>
      <c r="C1932" s="15"/>
      <c r="D1932" s="15"/>
      <c r="E1932" s="15"/>
      <c r="F1932" s="17"/>
      <c r="G1932" s="17"/>
      <c r="H1932" s="17"/>
      <c r="I1932" s="29"/>
      <c r="J1932" s="29"/>
      <c r="K1932" s="29"/>
      <c r="L1932" s="29"/>
    </row>
    <row r="1933">
      <c r="A1933" s="13"/>
      <c r="B1933" s="13"/>
      <c r="C1933" s="15"/>
      <c r="D1933" s="15"/>
      <c r="E1933" s="15"/>
      <c r="F1933" s="17"/>
      <c r="G1933" s="17"/>
      <c r="H1933" s="17"/>
      <c r="I1933" s="29"/>
      <c r="J1933" s="29"/>
      <c r="K1933" s="29"/>
      <c r="L1933" s="29"/>
    </row>
    <row r="1934">
      <c r="A1934" s="13"/>
      <c r="B1934" s="13"/>
      <c r="C1934" s="15"/>
      <c r="D1934" s="15"/>
      <c r="E1934" s="15"/>
      <c r="F1934" s="17"/>
      <c r="G1934" s="17"/>
      <c r="H1934" s="17"/>
      <c r="I1934" s="29"/>
      <c r="J1934" s="29"/>
      <c r="K1934" s="29"/>
      <c r="L1934" s="29"/>
    </row>
    <row r="1935">
      <c r="A1935" s="13"/>
      <c r="B1935" s="13"/>
      <c r="C1935" s="15"/>
      <c r="D1935" s="15"/>
      <c r="E1935" s="15"/>
      <c r="F1935" s="17"/>
      <c r="G1935" s="17"/>
      <c r="H1935" s="17"/>
      <c r="I1935" s="29"/>
      <c r="J1935" s="29"/>
      <c r="K1935" s="29"/>
      <c r="L1935" s="29"/>
    </row>
    <row r="1936">
      <c r="A1936" s="13"/>
      <c r="B1936" s="13"/>
      <c r="C1936" s="15"/>
      <c r="D1936" s="15"/>
      <c r="E1936" s="15"/>
      <c r="F1936" s="17"/>
      <c r="G1936" s="17"/>
      <c r="H1936" s="17"/>
      <c r="I1936" s="29"/>
      <c r="J1936" s="29"/>
      <c r="K1936" s="29"/>
      <c r="L1936" s="29"/>
    </row>
    <row r="1937">
      <c r="A1937" s="13"/>
      <c r="B1937" s="13"/>
      <c r="C1937" s="15"/>
      <c r="D1937" s="15"/>
      <c r="E1937" s="15"/>
      <c r="F1937" s="17"/>
      <c r="G1937" s="17"/>
      <c r="H1937" s="17"/>
      <c r="I1937" s="29"/>
      <c r="J1937" s="29"/>
      <c r="K1937" s="29"/>
      <c r="L1937" s="29"/>
    </row>
    <row r="1938">
      <c r="A1938" s="13"/>
      <c r="B1938" s="13"/>
      <c r="C1938" s="15"/>
      <c r="D1938" s="15"/>
      <c r="E1938" s="15"/>
      <c r="F1938" s="17"/>
      <c r="G1938" s="17"/>
      <c r="H1938" s="17"/>
      <c r="I1938" s="29"/>
      <c r="J1938" s="29"/>
      <c r="K1938" s="29"/>
      <c r="L1938" s="29"/>
    </row>
    <row r="1939">
      <c r="A1939" s="13"/>
      <c r="B1939" s="13"/>
      <c r="C1939" s="15"/>
      <c r="D1939" s="15"/>
      <c r="E1939" s="15"/>
      <c r="F1939" s="17"/>
      <c r="G1939" s="17"/>
      <c r="H1939" s="17"/>
      <c r="I1939" s="29"/>
      <c r="J1939" s="29"/>
      <c r="K1939" s="29"/>
      <c r="L1939" s="29"/>
    </row>
    <row r="1940">
      <c r="A1940" s="13"/>
      <c r="B1940" s="13"/>
      <c r="C1940" s="15"/>
      <c r="D1940" s="15"/>
      <c r="E1940" s="15"/>
      <c r="F1940" s="17"/>
      <c r="G1940" s="17"/>
      <c r="H1940" s="17"/>
      <c r="I1940" s="29"/>
      <c r="J1940" s="29"/>
      <c r="K1940" s="29"/>
      <c r="L1940" s="29"/>
    </row>
    <row r="1941">
      <c r="A1941" s="13"/>
      <c r="B1941" s="13"/>
      <c r="C1941" s="15"/>
      <c r="D1941" s="15"/>
      <c r="E1941" s="15"/>
      <c r="F1941" s="17"/>
      <c r="G1941" s="17"/>
      <c r="H1941" s="17"/>
      <c r="I1941" s="29"/>
      <c r="J1941" s="29"/>
      <c r="K1941" s="29"/>
      <c r="L1941" s="29"/>
    </row>
    <row r="1942">
      <c r="A1942" s="13"/>
      <c r="B1942" s="13"/>
      <c r="C1942" s="15"/>
      <c r="D1942" s="15"/>
      <c r="E1942" s="15"/>
      <c r="F1942" s="17"/>
      <c r="G1942" s="17"/>
      <c r="H1942" s="17"/>
      <c r="I1942" s="29"/>
      <c r="J1942" s="29"/>
      <c r="K1942" s="29"/>
      <c r="L1942" s="29"/>
    </row>
    <row r="1943">
      <c r="A1943" s="13"/>
      <c r="B1943" s="13"/>
      <c r="C1943" s="15"/>
      <c r="D1943" s="15"/>
      <c r="E1943" s="15"/>
      <c r="F1943" s="17"/>
      <c r="G1943" s="17"/>
      <c r="H1943" s="17"/>
      <c r="I1943" s="29"/>
      <c r="J1943" s="29"/>
      <c r="K1943" s="29"/>
      <c r="L1943" s="29"/>
    </row>
    <row r="1944">
      <c r="A1944" s="13"/>
      <c r="B1944" s="13"/>
      <c r="C1944" s="15"/>
      <c r="D1944" s="15"/>
      <c r="E1944" s="15"/>
      <c r="F1944" s="17"/>
      <c r="G1944" s="17"/>
      <c r="H1944" s="17"/>
      <c r="I1944" s="29"/>
      <c r="J1944" s="29"/>
      <c r="K1944" s="29"/>
      <c r="L1944" s="29"/>
    </row>
    <row r="1945">
      <c r="A1945" s="13"/>
      <c r="B1945" s="13"/>
      <c r="C1945" s="15"/>
      <c r="D1945" s="15"/>
      <c r="E1945" s="15"/>
      <c r="F1945" s="17"/>
      <c r="G1945" s="17"/>
      <c r="H1945" s="17"/>
      <c r="I1945" s="29"/>
      <c r="J1945" s="29"/>
      <c r="K1945" s="29"/>
      <c r="L1945" s="29"/>
    </row>
    <row r="1946">
      <c r="A1946" s="13"/>
      <c r="B1946" s="13"/>
      <c r="C1946" s="15"/>
      <c r="D1946" s="15"/>
      <c r="E1946" s="15"/>
      <c r="F1946" s="17"/>
      <c r="G1946" s="17"/>
      <c r="H1946" s="17"/>
      <c r="I1946" s="29"/>
      <c r="J1946" s="29"/>
      <c r="K1946" s="29"/>
      <c r="L1946" s="29"/>
    </row>
    <row r="1947">
      <c r="A1947" s="13"/>
      <c r="B1947" s="13"/>
      <c r="C1947" s="15"/>
      <c r="D1947" s="15"/>
      <c r="E1947" s="15"/>
      <c r="F1947" s="17"/>
      <c r="G1947" s="17"/>
      <c r="H1947" s="17"/>
      <c r="I1947" s="29"/>
      <c r="J1947" s="29"/>
      <c r="K1947" s="29"/>
      <c r="L1947" s="29"/>
    </row>
    <row r="1948">
      <c r="A1948" s="13"/>
      <c r="B1948" s="13"/>
      <c r="C1948" s="15"/>
      <c r="D1948" s="15"/>
      <c r="E1948" s="15"/>
      <c r="F1948" s="17"/>
      <c r="G1948" s="17"/>
      <c r="H1948" s="17"/>
      <c r="I1948" s="29"/>
      <c r="J1948" s="29"/>
      <c r="K1948" s="29"/>
      <c r="L1948" s="29"/>
    </row>
    <row r="1949">
      <c r="A1949" s="13"/>
      <c r="B1949" s="13"/>
      <c r="C1949" s="15"/>
      <c r="D1949" s="15"/>
      <c r="E1949" s="15"/>
      <c r="F1949" s="17"/>
      <c r="G1949" s="17"/>
      <c r="H1949" s="17"/>
      <c r="I1949" s="29"/>
      <c r="J1949" s="29"/>
      <c r="K1949" s="29"/>
      <c r="L1949" s="29"/>
    </row>
    <row r="1950">
      <c r="A1950" s="13"/>
      <c r="B1950" s="13"/>
      <c r="C1950" s="15"/>
      <c r="D1950" s="15"/>
      <c r="E1950" s="15"/>
      <c r="F1950" s="17"/>
      <c r="G1950" s="17"/>
      <c r="H1950" s="17"/>
      <c r="I1950" s="29"/>
      <c r="J1950" s="29"/>
      <c r="K1950" s="29"/>
      <c r="L1950" s="29"/>
    </row>
    <row r="1951">
      <c r="A1951" s="13"/>
      <c r="B1951" s="13"/>
      <c r="C1951" s="15"/>
      <c r="D1951" s="15"/>
      <c r="E1951" s="15"/>
      <c r="F1951" s="17"/>
      <c r="G1951" s="17"/>
      <c r="H1951" s="17"/>
      <c r="I1951" s="29"/>
      <c r="J1951" s="29"/>
      <c r="K1951" s="29"/>
      <c r="L1951" s="29"/>
    </row>
    <row r="1952">
      <c r="A1952" s="13"/>
      <c r="B1952" s="13"/>
      <c r="C1952" s="15"/>
      <c r="D1952" s="15"/>
      <c r="E1952" s="15"/>
      <c r="F1952" s="17"/>
      <c r="G1952" s="17"/>
      <c r="H1952" s="17"/>
      <c r="I1952" s="29"/>
      <c r="J1952" s="29"/>
      <c r="K1952" s="29"/>
      <c r="L1952" s="29"/>
    </row>
    <row r="1953">
      <c r="A1953" s="13"/>
      <c r="B1953" s="13"/>
      <c r="C1953" s="15"/>
      <c r="D1953" s="15"/>
      <c r="E1953" s="15"/>
      <c r="F1953" s="17"/>
      <c r="G1953" s="17"/>
      <c r="H1953" s="17"/>
      <c r="I1953" s="29"/>
      <c r="J1953" s="29"/>
      <c r="K1953" s="29"/>
      <c r="L1953" s="29"/>
    </row>
    <row r="1954">
      <c r="A1954" s="13"/>
      <c r="B1954" s="13"/>
      <c r="C1954" s="15"/>
      <c r="D1954" s="15"/>
      <c r="E1954" s="15"/>
      <c r="F1954" s="17"/>
      <c r="G1954" s="17"/>
      <c r="H1954" s="17"/>
      <c r="I1954" s="29"/>
      <c r="J1954" s="29"/>
      <c r="K1954" s="29"/>
      <c r="L1954" s="29"/>
    </row>
    <row r="1955">
      <c r="A1955" s="13"/>
      <c r="B1955" s="13"/>
      <c r="C1955" s="15"/>
      <c r="D1955" s="15"/>
      <c r="E1955" s="15"/>
      <c r="F1955" s="17"/>
      <c r="G1955" s="17"/>
      <c r="H1955" s="17"/>
      <c r="I1955" s="29"/>
      <c r="J1955" s="29"/>
      <c r="K1955" s="29"/>
      <c r="L1955" s="29"/>
    </row>
    <row r="1956">
      <c r="A1956" s="13"/>
      <c r="B1956" s="13"/>
      <c r="C1956" s="15"/>
      <c r="D1956" s="15"/>
      <c r="E1956" s="15"/>
      <c r="F1956" s="17"/>
      <c r="G1956" s="17"/>
      <c r="H1956" s="17"/>
      <c r="I1956" s="29"/>
      <c r="J1956" s="29"/>
      <c r="K1956" s="29"/>
      <c r="L1956" s="29"/>
    </row>
    <row r="1957">
      <c r="A1957" s="13"/>
      <c r="B1957" s="13"/>
      <c r="C1957" s="15"/>
      <c r="D1957" s="15"/>
      <c r="E1957" s="15"/>
      <c r="F1957" s="17"/>
      <c r="G1957" s="17"/>
      <c r="H1957" s="17"/>
      <c r="I1957" s="29"/>
      <c r="J1957" s="29"/>
      <c r="K1957" s="29"/>
      <c r="L1957" s="29"/>
    </row>
    <row r="1958">
      <c r="A1958" s="13"/>
      <c r="B1958" s="13"/>
      <c r="C1958" s="15"/>
      <c r="D1958" s="15"/>
      <c r="E1958" s="15"/>
      <c r="F1958" s="17"/>
      <c r="G1958" s="17"/>
      <c r="H1958" s="17"/>
      <c r="I1958" s="29"/>
      <c r="J1958" s="29"/>
      <c r="K1958" s="29"/>
      <c r="L1958" s="29"/>
    </row>
    <row r="1959">
      <c r="A1959" s="13"/>
      <c r="B1959" s="13"/>
      <c r="C1959" s="15"/>
      <c r="D1959" s="15"/>
      <c r="E1959" s="15"/>
      <c r="F1959" s="17"/>
      <c r="G1959" s="17"/>
      <c r="H1959" s="17"/>
      <c r="I1959" s="29"/>
      <c r="J1959" s="29"/>
      <c r="K1959" s="29"/>
      <c r="L1959" s="29"/>
    </row>
    <row r="1960">
      <c r="A1960" s="13"/>
      <c r="B1960" s="13"/>
      <c r="C1960" s="15"/>
      <c r="D1960" s="15"/>
      <c r="E1960" s="15"/>
      <c r="F1960" s="17"/>
      <c r="G1960" s="17"/>
      <c r="H1960" s="17"/>
      <c r="I1960" s="29"/>
      <c r="J1960" s="29"/>
      <c r="K1960" s="29"/>
      <c r="L1960" s="29"/>
    </row>
    <row r="1961">
      <c r="A1961" s="13"/>
      <c r="B1961" s="13"/>
      <c r="C1961" s="15"/>
      <c r="D1961" s="15"/>
      <c r="E1961" s="15"/>
      <c r="F1961" s="17"/>
      <c r="G1961" s="17"/>
      <c r="H1961" s="17"/>
      <c r="I1961" s="29"/>
      <c r="J1961" s="29"/>
      <c r="K1961" s="29"/>
      <c r="L1961" s="29"/>
    </row>
    <row r="1962">
      <c r="A1962" s="13"/>
      <c r="B1962" s="13"/>
      <c r="C1962" s="15"/>
      <c r="D1962" s="15"/>
      <c r="E1962" s="15"/>
      <c r="F1962" s="17"/>
      <c r="G1962" s="17"/>
      <c r="H1962" s="17"/>
      <c r="I1962" s="29"/>
      <c r="J1962" s="29"/>
      <c r="K1962" s="29"/>
      <c r="L1962" s="29"/>
    </row>
    <row r="1963">
      <c r="A1963" s="13"/>
      <c r="B1963" s="13"/>
      <c r="C1963" s="15"/>
      <c r="D1963" s="15"/>
      <c r="E1963" s="15"/>
      <c r="F1963" s="17"/>
      <c r="G1963" s="17"/>
      <c r="H1963" s="17"/>
      <c r="I1963" s="29"/>
      <c r="J1963" s="29"/>
      <c r="K1963" s="29"/>
      <c r="L1963" s="29"/>
    </row>
    <row r="1964">
      <c r="A1964" s="13"/>
      <c r="B1964" s="13"/>
      <c r="C1964" s="15"/>
      <c r="D1964" s="15"/>
      <c r="E1964" s="15"/>
      <c r="F1964" s="17"/>
      <c r="G1964" s="17"/>
      <c r="H1964" s="17"/>
      <c r="I1964" s="29"/>
      <c r="J1964" s="29"/>
      <c r="K1964" s="29"/>
      <c r="L1964" s="29"/>
    </row>
    <row r="1965">
      <c r="A1965" s="13"/>
      <c r="B1965" s="13"/>
      <c r="C1965" s="15"/>
      <c r="D1965" s="15"/>
      <c r="E1965" s="15"/>
      <c r="F1965" s="17"/>
      <c r="G1965" s="17"/>
      <c r="H1965" s="17"/>
      <c r="I1965" s="29"/>
      <c r="J1965" s="29"/>
      <c r="K1965" s="29"/>
      <c r="L1965" s="29"/>
    </row>
    <row r="1966">
      <c r="A1966" s="13"/>
      <c r="B1966" s="13"/>
      <c r="C1966" s="15"/>
      <c r="D1966" s="15"/>
      <c r="E1966" s="15"/>
      <c r="F1966" s="17"/>
      <c r="G1966" s="17"/>
      <c r="H1966" s="17"/>
      <c r="I1966" s="29"/>
      <c r="J1966" s="29"/>
      <c r="K1966" s="29"/>
      <c r="L1966" s="29"/>
    </row>
    <row r="1967">
      <c r="A1967" s="13"/>
      <c r="B1967" s="13"/>
      <c r="C1967" s="15"/>
      <c r="D1967" s="15"/>
      <c r="E1967" s="15"/>
      <c r="F1967" s="17"/>
      <c r="G1967" s="17"/>
      <c r="H1967" s="17"/>
      <c r="I1967" s="29"/>
      <c r="J1967" s="29"/>
      <c r="K1967" s="29"/>
      <c r="L1967" s="29"/>
    </row>
    <row r="1968">
      <c r="A1968" s="13"/>
      <c r="B1968" s="13"/>
      <c r="C1968" s="15"/>
      <c r="D1968" s="15"/>
      <c r="E1968" s="15"/>
      <c r="F1968" s="17"/>
      <c r="G1968" s="17"/>
      <c r="H1968" s="17"/>
      <c r="I1968" s="29"/>
      <c r="J1968" s="29"/>
      <c r="K1968" s="29"/>
      <c r="L1968" s="29"/>
    </row>
    <row r="1969">
      <c r="A1969" s="13"/>
      <c r="B1969" s="13"/>
      <c r="C1969" s="15"/>
      <c r="D1969" s="15"/>
      <c r="E1969" s="15"/>
      <c r="F1969" s="17"/>
      <c r="G1969" s="17"/>
      <c r="H1969" s="17"/>
      <c r="I1969" s="29"/>
      <c r="J1969" s="29"/>
      <c r="K1969" s="29"/>
      <c r="L1969" s="29"/>
    </row>
    <row r="1970">
      <c r="A1970" s="13"/>
      <c r="B1970" s="13"/>
      <c r="C1970" s="15"/>
      <c r="D1970" s="15"/>
      <c r="E1970" s="15"/>
      <c r="F1970" s="17"/>
      <c r="G1970" s="17"/>
      <c r="H1970" s="17"/>
      <c r="I1970" s="29"/>
      <c r="J1970" s="29"/>
      <c r="K1970" s="29"/>
      <c r="L1970" s="29"/>
    </row>
    <row r="1971">
      <c r="A1971" s="13"/>
      <c r="B1971" s="13"/>
      <c r="C1971" s="15"/>
      <c r="D1971" s="15"/>
      <c r="E1971" s="15"/>
      <c r="F1971" s="17"/>
      <c r="G1971" s="17"/>
      <c r="H1971" s="17"/>
      <c r="I1971" s="29"/>
      <c r="J1971" s="29"/>
      <c r="K1971" s="29"/>
      <c r="L1971" s="29"/>
    </row>
    <row r="1972">
      <c r="A1972" s="13"/>
      <c r="B1972" s="13"/>
      <c r="C1972" s="15"/>
      <c r="D1972" s="15"/>
      <c r="E1972" s="15"/>
      <c r="F1972" s="17"/>
      <c r="G1972" s="17"/>
      <c r="H1972" s="17"/>
      <c r="I1972" s="29"/>
      <c r="J1972" s="29"/>
      <c r="K1972" s="29"/>
      <c r="L1972" s="29"/>
    </row>
    <row r="1973">
      <c r="A1973" s="13"/>
      <c r="B1973" s="13"/>
      <c r="C1973" s="15"/>
      <c r="D1973" s="15"/>
      <c r="E1973" s="15"/>
      <c r="F1973" s="17"/>
      <c r="G1973" s="17"/>
      <c r="H1973" s="17"/>
      <c r="I1973" s="29"/>
      <c r="J1973" s="29"/>
      <c r="K1973" s="29"/>
      <c r="L1973" s="29"/>
    </row>
    <row r="1974">
      <c r="A1974" s="13"/>
      <c r="B1974" s="13"/>
      <c r="C1974" s="15"/>
      <c r="D1974" s="15"/>
      <c r="E1974" s="15"/>
      <c r="F1974" s="17"/>
      <c r="G1974" s="17"/>
      <c r="H1974" s="17"/>
      <c r="I1974" s="29"/>
      <c r="J1974" s="29"/>
      <c r="K1974" s="29"/>
      <c r="L1974" s="29"/>
    </row>
    <row r="1975">
      <c r="A1975" s="13"/>
      <c r="B1975" s="13"/>
      <c r="C1975" s="15"/>
      <c r="D1975" s="15"/>
      <c r="E1975" s="15"/>
      <c r="F1975" s="17"/>
      <c r="G1975" s="17"/>
      <c r="H1975" s="17"/>
      <c r="I1975" s="29"/>
      <c r="J1975" s="29"/>
      <c r="K1975" s="29"/>
      <c r="L1975" s="29"/>
    </row>
    <row r="1976">
      <c r="A1976" s="13"/>
      <c r="B1976" s="13"/>
      <c r="C1976" s="15"/>
      <c r="D1976" s="15"/>
      <c r="E1976" s="15"/>
      <c r="F1976" s="17"/>
      <c r="G1976" s="17"/>
      <c r="H1976" s="17"/>
      <c r="I1976" s="29"/>
      <c r="J1976" s="29"/>
      <c r="K1976" s="29"/>
      <c r="L1976" s="29"/>
    </row>
    <row r="1977">
      <c r="A1977" s="13"/>
      <c r="B1977" s="13"/>
      <c r="C1977" s="15"/>
      <c r="D1977" s="15"/>
      <c r="E1977" s="15"/>
      <c r="F1977" s="17"/>
      <c r="G1977" s="17"/>
      <c r="H1977" s="17"/>
      <c r="I1977" s="29"/>
      <c r="J1977" s="29"/>
      <c r="K1977" s="29"/>
      <c r="L1977" s="29"/>
    </row>
    <row r="1978">
      <c r="A1978" s="13"/>
      <c r="B1978" s="13"/>
      <c r="C1978" s="15"/>
      <c r="D1978" s="15"/>
      <c r="E1978" s="15"/>
      <c r="F1978" s="17"/>
      <c r="G1978" s="22"/>
      <c r="H1978" s="22"/>
      <c r="I1978" s="29"/>
      <c r="J1978" s="29"/>
      <c r="K1978" s="29"/>
      <c r="L1978" s="29"/>
    </row>
    <row r="1979">
      <c r="A1979" s="13"/>
      <c r="B1979" s="13"/>
      <c r="C1979" s="15"/>
      <c r="D1979" s="15"/>
      <c r="E1979" s="15"/>
      <c r="F1979" s="17"/>
      <c r="G1979" s="22"/>
      <c r="H1979" s="22"/>
      <c r="I1979" s="29"/>
      <c r="J1979" s="29"/>
      <c r="K1979" s="29"/>
      <c r="L1979" s="29"/>
    </row>
    <row r="1980">
      <c r="A1980" s="13"/>
      <c r="B1980" s="13"/>
      <c r="C1980" s="15"/>
      <c r="D1980" s="15"/>
      <c r="E1980" s="15"/>
      <c r="F1980" s="17"/>
      <c r="G1980" s="22"/>
      <c r="H1980" s="22"/>
      <c r="I1980" s="29"/>
      <c r="J1980" s="29"/>
      <c r="K1980" s="29"/>
      <c r="L1980" s="29"/>
    </row>
    <row r="1981">
      <c r="A1981" s="13"/>
      <c r="B1981" s="13"/>
      <c r="C1981" s="15"/>
      <c r="D1981" s="15"/>
      <c r="E1981" s="15"/>
      <c r="F1981" s="17"/>
      <c r="G1981" s="22"/>
      <c r="H1981" s="22"/>
      <c r="I1981" s="29"/>
      <c r="J1981" s="29"/>
      <c r="K1981" s="29"/>
      <c r="L1981" s="29"/>
    </row>
    <row r="1982">
      <c r="A1982" s="13"/>
      <c r="B1982" s="13"/>
      <c r="C1982" s="15"/>
      <c r="D1982" s="15"/>
      <c r="E1982" s="15"/>
      <c r="F1982" s="17"/>
      <c r="G1982" s="22"/>
      <c r="H1982" s="22"/>
      <c r="I1982" s="29"/>
      <c r="J1982" s="29"/>
      <c r="K1982" s="29"/>
      <c r="L1982" s="29"/>
    </row>
    <row r="1983">
      <c r="A1983" s="13"/>
      <c r="B1983" s="13"/>
      <c r="C1983" s="15"/>
      <c r="D1983" s="15"/>
      <c r="E1983" s="15"/>
      <c r="F1983" s="17"/>
      <c r="G1983" s="22"/>
      <c r="H1983" s="22"/>
      <c r="I1983" s="29"/>
      <c r="J1983" s="29"/>
      <c r="K1983" s="29"/>
      <c r="L1983" s="29"/>
    </row>
    <row r="1984">
      <c r="A1984" s="13"/>
      <c r="B1984" s="13"/>
      <c r="C1984" s="15"/>
      <c r="D1984" s="15"/>
      <c r="E1984" s="15"/>
      <c r="F1984" s="17"/>
      <c r="G1984" s="22"/>
      <c r="H1984" s="22"/>
      <c r="I1984" s="29"/>
      <c r="J1984" s="29"/>
      <c r="K1984" s="29"/>
      <c r="L1984" s="29"/>
    </row>
    <row r="1985">
      <c r="A1985" s="13"/>
      <c r="B1985" s="13"/>
      <c r="C1985" s="15"/>
      <c r="D1985" s="15"/>
      <c r="E1985" s="15"/>
      <c r="F1985" s="17"/>
      <c r="G1985" s="22"/>
      <c r="H1985" s="22"/>
      <c r="I1985" s="29"/>
      <c r="J1985" s="29"/>
      <c r="K1985" s="29"/>
      <c r="L1985" s="29"/>
    </row>
    <row r="1986">
      <c r="A1986" s="13"/>
      <c r="B1986" s="13"/>
      <c r="C1986" s="15"/>
      <c r="D1986" s="15"/>
      <c r="E1986" s="15"/>
      <c r="F1986" s="17"/>
      <c r="G1986" s="22"/>
      <c r="H1986" s="22"/>
      <c r="I1986" s="29"/>
      <c r="J1986" s="29"/>
      <c r="K1986" s="29"/>
      <c r="L1986" s="29"/>
    </row>
    <row r="1987">
      <c r="A1987" s="13"/>
      <c r="B1987" s="13"/>
      <c r="C1987" s="15"/>
      <c r="D1987" s="15"/>
      <c r="E1987" s="15"/>
      <c r="F1987" s="17"/>
      <c r="G1987" s="22"/>
      <c r="H1987" s="22"/>
      <c r="I1987" s="29"/>
      <c r="J1987" s="29"/>
      <c r="K1987" s="29"/>
      <c r="L1987" s="29"/>
    </row>
    <row r="1988">
      <c r="A1988" s="13"/>
      <c r="B1988" s="13"/>
      <c r="C1988" s="15"/>
      <c r="D1988" s="15"/>
      <c r="E1988" s="15"/>
      <c r="F1988" s="17"/>
      <c r="G1988" s="22"/>
      <c r="H1988" s="22"/>
      <c r="I1988" s="29"/>
      <c r="J1988" s="29"/>
      <c r="K1988" s="29"/>
      <c r="L1988" s="29"/>
    </row>
    <row r="1989">
      <c r="A1989" s="13"/>
      <c r="B1989" s="13"/>
      <c r="C1989" s="15"/>
      <c r="D1989" s="15"/>
      <c r="E1989" s="15"/>
      <c r="F1989" s="17"/>
      <c r="G1989" s="22"/>
      <c r="H1989" s="22"/>
      <c r="I1989" s="29"/>
      <c r="J1989" s="29"/>
      <c r="K1989" s="29"/>
      <c r="L1989" s="29"/>
    </row>
    <row r="1990">
      <c r="A1990" s="13"/>
      <c r="B1990" s="13"/>
      <c r="C1990" s="15"/>
      <c r="D1990" s="15"/>
      <c r="E1990" s="15"/>
      <c r="F1990" s="17"/>
      <c r="G1990" s="22"/>
      <c r="H1990" s="22"/>
      <c r="I1990" s="29"/>
      <c r="J1990" s="29"/>
      <c r="K1990" s="29"/>
      <c r="L1990" s="29"/>
    </row>
    <row r="1991">
      <c r="A1991" s="13"/>
      <c r="B1991" s="13"/>
      <c r="C1991" s="15"/>
      <c r="D1991" s="15"/>
      <c r="E1991" s="15"/>
      <c r="F1991" s="17"/>
      <c r="G1991" s="22"/>
      <c r="H1991" s="22"/>
      <c r="I1991" s="29"/>
      <c r="J1991" s="29"/>
      <c r="K1991" s="29"/>
      <c r="L1991" s="29"/>
    </row>
    <row r="1992">
      <c r="A1992" s="13"/>
      <c r="B1992" s="13"/>
      <c r="C1992" s="15"/>
      <c r="D1992" s="15"/>
      <c r="E1992" s="15"/>
      <c r="F1992" s="17"/>
      <c r="G1992" s="22"/>
      <c r="H1992" s="22"/>
      <c r="I1992" s="29"/>
      <c r="J1992" s="29"/>
      <c r="K1992" s="29"/>
      <c r="L1992" s="29"/>
    </row>
    <row r="1993">
      <c r="A1993" s="13"/>
      <c r="B1993" s="13"/>
      <c r="C1993" s="15"/>
      <c r="D1993" s="15"/>
      <c r="E1993" s="15"/>
      <c r="F1993" s="17"/>
      <c r="G1993" s="22"/>
      <c r="H1993" s="22"/>
      <c r="I1993" s="29"/>
      <c r="J1993" s="29"/>
      <c r="K1993" s="29"/>
      <c r="L1993" s="29"/>
    </row>
    <row r="1994">
      <c r="A1994" s="13"/>
      <c r="B1994" s="13"/>
      <c r="C1994" s="15"/>
      <c r="D1994" s="15"/>
      <c r="E1994" s="15"/>
      <c r="F1994" s="17"/>
      <c r="G1994" s="22"/>
      <c r="H1994" s="22"/>
      <c r="I1994" s="29"/>
      <c r="J1994" s="29"/>
      <c r="K1994" s="29"/>
      <c r="L1994" s="29"/>
    </row>
    <row r="1995">
      <c r="A1995" s="13"/>
      <c r="B1995" s="13"/>
      <c r="C1995" s="15"/>
      <c r="D1995" s="15"/>
      <c r="E1995" s="15"/>
      <c r="F1995" s="17"/>
      <c r="G1995" s="22"/>
      <c r="H1995" s="22"/>
      <c r="I1995" s="29"/>
      <c r="J1995" s="29"/>
      <c r="K1995" s="29"/>
      <c r="L1995" s="29"/>
    </row>
    <row r="1996">
      <c r="A1996" s="13"/>
      <c r="B1996" s="13"/>
      <c r="C1996" s="15"/>
      <c r="D1996" s="15"/>
      <c r="E1996" s="15"/>
      <c r="F1996" s="17"/>
      <c r="G1996" s="22"/>
      <c r="H1996" s="22"/>
      <c r="I1996" s="29"/>
      <c r="J1996" s="29"/>
      <c r="K1996" s="29"/>
      <c r="L1996" s="29"/>
    </row>
    <row r="1997">
      <c r="A1997" s="13"/>
      <c r="B1997" s="13"/>
      <c r="C1997" s="15"/>
      <c r="D1997" s="15"/>
      <c r="E1997" s="15"/>
      <c r="F1997" s="17"/>
      <c r="G1997" s="22"/>
      <c r="H1997" s="22"/>
      <c r="I1997" s="29"/>
      <c r="J1997" s="29"/>
      <c r="K1997" s="29"/>
      <c r="L1997" s="29"/>
    </row>
    <row r="1998">
      <c r="A1998" s="13"/>
      <c r="B1998" s="13"/>
      <c r="C1998" s="15"/>
      <c r="D1998" s="15"/>
      <c r="E1998" s="15"/>
      <c r="F1998" s="17"/>
      <c r="G1998" s="22"/>
      <c r="H1998" s="22"/>
      <c r="I1998" s="29"/>
      <c r="J1998" s="29"/>
      <c r="K1998" s="29"/>
      <c r="L1998" s="29"/>
    </row>
    <row r="1999">
      <c r="A1999" s="13"/>
      <c r="B1999" s="13"/>
      <c r="C1999" s="15"/>
      <c r="D1999" s="15"/>
      <c r="E1999" s="15"/>
      <c r="F1999" s="17"/>
      <c r="G1999" s="22"/>
      <c r="H1999" s="22"/>
      <c r="I1999" s="29"/>
      <c r="J1999" s="29"/>
      <c r="K1999" s="29"/>
      <c r="L1999" s="29"/>
    </row>
    <row r="2000">
      <c r="A2000" s="13"/>
      <c r="B2000" s="13"/>
      <c r="C2000" s="15"/>
      <c r="D2000" s="15"/>
      <c r="E2000" s="15"/>
      <c r="F2000" s="17"/>
      <c r="G2000" s="22"/>
      <c r="H2000" s="22"/>
      <c r="I2000" s="29"/>
      <c r="J2000" s="29"/>
      <c r="K2000" s="29"/>
      <c r="L2000" s="29"/>
    </row>
    <row r="2001">
      <c r="A2001" s="13"/>
      <c r="B2001" s="13"/>
      <c r="C2001" s="15"/>
      <c r="D2001" s="15"/>
      <c r="E2001" s="15"/>
      <c r="F2001" s="17"/>
      <c r="G2001" s="22"/>
      <c r="H2001" s="22"/>
      <c r="I2001" s="29"/>
      <c r="J2001" s="29"/>
      <c r="K2001" s="29"/>
      <c r="L2001" s="29"/>
    </row>
    <row r="2002">
      <c r="A2002" s="13"/>
      <c r="B2002" s="13"/>
      <c r="C2002" s="15"/>
      <c r="D2002" s="15"/>
      <c r="E2002" s="15"/>
      <c r="F2002" s="17"/>
      <c r="G2002" s="22"/>
      <c r="H2002" s="22"/>
      <c r="I2002" s="29"/>
      <c r="J2002" s="29"/>
      <c r="K2002" s="29"/>
      <c r="L2002" s="29"/>
    </row>
    <row r="2003">
      <c r="A2003" s="13"/>
      <c r="B2003" s="13"/>
      <c r="C2003" s="15"/>
      <c r="D2003" s="15"/>
      <c r="E2003" s="15"/>
      <c r="F2003" s="17"/>
      <c r="G2003" s="22"/>
      <c r="H2003" s="22"/>
      <c r="I2003" s="29"/>
      <c r="J2003" s="29"/>
      <c r="K2003" s="29"/>
      <c r="L2003" s="29"/>
    </row>
    <row r="2004">
      <c r="A2004" s="13"/>
      <c r="B2004" s="13"/>
      <c r="C2004" s="15"/>
      <c r="D2004" s="15"/>
      <c r="E2004" s="15"/>
      <c r="F2004" s="17"/>
      <c r="G2004" s="22"/>
      <c r="H2004" s="22"/>
      <c r="I2004" s="29"/>
      <c r="J2004" s="29"/>
      <c r="K2004" s="29"/>
      <c r="L2004" s="29"/>
    </row>
    <row r="2005">
      <c r="A2005" s="13"/>
      <c r="B2005" s="13"/>
      <c r="C2005" s="15"/>
      <c r="D2005" s="15"/>
      <c r="E2005" s="15"/>
      <c r="F2005" s="17"/>
      <c r="G2005" s="22"/>
      <c r="H2005" s="22"/>
      <c r="I2005" s="29"/>
      <c r="J2005" s="29"/>
      <c r="K2005" s="29"/>
      <c r="L2005" s="29"/>
    </row>
    <row r="2006">
      <c r="A2006" s="13"/>
      <c r="B2006" s="13"/>
      <c r="C2006" s="15"/>
      <c r="D2006" s="15"/>
      <c r="E2006" s="15"/>
      <c r="F2006" s="17"/>
      <c r="G2006" s="22"/>
      <c r="H2006" s="22"/>
      <c r="I2006" s="29"/>
      <c r="J2006" s="29"/>
      <c r="K2006" s="29"/>
      <c r="L2006" s="29"/>
    </row>
    <row r="2007">
      <c r="A2007" s="13"/>
      <c r="B2007" s="13"/>
      <c r="C2007" s="15"/>
      <c r="D2007" s="15"/>
      <c r="E2007" s="15"/>
      <c r="F2007" s="17"/>
      <c r="G2007" s="22"/>
      <c r="H2007" s="22"/>
      <c r="I2007" s="29"/>
      <c r="J2007" s="29"/>
      <c r="K2007" s="29"/>
      <c r="L2007" s="29"/>
    </row>
    <row r="2008">
      <c r="A2008" s="13"/>
      <c r="B2008" s="13"/>
      <c r="C2008" s="15"/>
      <c r="D2008" s="15"/>
      <c r="E2008" s="15"/>
      <c r="F2008" s="17"/>
      <c r="G2008" s="22"/>
      <c r="H2008" s="22"/>
      <c r="I2008" s="29"/>
      <c r="J2008" s="29"/>
      <c r="K2008" s="29"/>
      <c r="L2008" s="29"/>
    </row>
    <row r="2009">
      <c r="A2009" s="13"/>
      <c r="B2009" s="13"/>
      <c r="C2009" s="15"/>
      <c r="D2009" s="15"/>
      <c r="E2009" s="15"/>
      <c r="F2009" s="17"/>
      <c r="G2009" s="22"/>
      <c r="H2009" s="22"/>
      <c r="I2009" s="29"/>
      <c r="J2009" s="29"/>
      <c r="K2009" s="29"/>
      <c r="L2009" s="29"/>
    </row>
    <row r="2010">
      <c r="A2010" s="13"/>
      <c r="B2010" s="13"/>
      <c r="C2010" s="15"/>
      <c r="D2010" s="15"/>
      <c r="E2010" s="15"/>
      <c r="F2010" s="17"/>
      <c r="G2010" s="22"/>
      <c r="H2010" s="22"/>
      <c r="I2010" s="29"/>
      <c r="J2010" s="29"/>
      <c r="K2010" s="29"/>
      <c r="L2010" s="29"/>
    </row>
    <row r="2011">
      <c r="A2011" s="13"/>
      <c r="B2011" s="13"/>
      <c r="C2011" s="15"/>
      <c r="D2011" s="15"/>
      <c r="E2011" s="15"/>
      <c r="F2011" s="17"/>
      <c r="G2011" s="22"/>
      <c r="H2011" s="22"/>
      <c r="I2011" s="29"/>
      <c r="J2011" s="29"/>
      <c r="K2011" s="29"/>
      <c r="L2011" s="29"/>
    </row>
    <row r="2012">
      <c r="A2012" s="13"/>
      <c r="B2012" s="13"/>
      <c r="C2012" s="15"/>
      <c r="D2012" s="15"/>
      <c r="E2012" s="15"/>
      <c r="F2012" s="17"/>
      <c r="G2012" s="22"/>
      <c r="H2012" s="22"/>
      <c r="I2012" s="29"/>
      <c r="J2012" s="29"/>
      <c r="K2012" s="29"/>
      <c r="L2012" s="29"/>
    </row>
    <row r="2013">
      <c r="A2013" s="13"/>
      <c r="B2013" s="13"/>
      <c r="C2013" s="15"/>
      <c r="D2013" s="15"/>
      <c r="E2013" s="15"/>
      <c r="F2013" s="17"/>
      <c r="G2013" s="22"/>
      <c r="H2013" s="22"/>
      <c r="I2013" s="29"/>
      <c r="J2013" s="29"/>
      <c r="K2013" s="29"/>
      <c r="L2013" s="29"/>
    </row>
    <row r="2014">
      <c r="A2014" s="13"/>
      <c r="B2014" s="13"/>
      <c r="C2014" s="15"/>
      <c r="D2014" s="15"/>
      <c r="E2014" s="15"/>
      <c r="F2014" s="17"/>
      <c r="G2014" s="22"/>
      <c r="H2014" s="22"/>
      <c r="I2014" s="29"/>
      <c r="J2014" s="29"/>
      <c r="K2014" s="29"/>
      <c r="L2014" s="15"/>
    </row>
    <row r="2015">
      <c r="A2015" s="13"/>
      <c r="B2015" s="13"/>
      <c r="C2015" s="15"/>
      <c r="D2015" s="15"/>
      <c r="E2015" s="15"/>
      <c r="F2015" s="17"/>
      <c r="G2015" s="22"/>
      <c r="H2015" s="22"/>
      <c r="I2015" s="29"/>
      <c r="J2015" s="29"/>
      <c r="K2015" s="29"/>
      <c r="L2015" s="29"/>
    </row>
    <row r="2016">
      <c r="A2016" s="13"/>
      <c r="B2016" s="13"/>
      <c r="C2016" s="15"/>
      <c r="D2016" s="15"/>
      <c r="E2016" s="15"/>
      <c r="F2016" s="17"/>
      <c r="G2016" s="22"/>
      <c r="H2016" s="22"/>
      <c r="I2016" s="29"/>
      <c r="J2016" s="29"/>
      <c r="K2016" s="29"/>
      <c r="L2016" s="29"/>
    </row>
    <row r="2017">
      <c r="A2017" s="13"/>
      <c r="B2017" s="13"/>
      <c r="C2017" s="15"/>
      <c r="D2017" s="15"/>
      <c r="E2017" s="15"/>
      <c r="F2017" s="17"/>
      <c r="G2017" s="22"/>
      <c r="H2017" s="22"/>
      <c r="I2017" s="29"/>
      <c r="J2017" s="29"/>
      <c r="K2017" s="29"/>
      <c r="L2017" s="29"/>
    </row>
    <row r="2018">
      <c r="A2018" s="13"/>
      <c r="B2018" s="13"/>
      <c r="C2018" s="15"/>
      <c r="D2018" s="15"/>
      <c r="E2018" s="15"/>
      <c r="F2018" s="17"/>
      <c r="G2018" s="22"/>
      <c r="H2018" s="22"/>
      <c r="I2018" s="29"/>
      <c r="J2018" s="29"/>
      <c r="K2018" s="29"/>
      <c r="L2018" s="29"/>
    </row>
    <row r="2019">
      <c r="A2019" s="13"/>
      <c r="B2019" s="13"/>
      <c r="C2019" s="15"/>
      <c r="D2019" s="15"/>
      <c r="E2019" s="15"/>
      <c r="F2019" s="17"/>
      <c r="G2019" s="22"/>
      <c r="H2019" s="22"/>
      <c r="I2019" s="29"/>
      <c r="J2019" s="29"/>
      <c r="K2019" s="29"/>
      <c r="L2019" s="29"/>
    </row>
    <row r="2020">
      <c r="A2020" s="13"/>
      <c r="B2020" s="13"/>
      <c r="C2020" s="15"/>
      <c r="D2020" s="15"/>
      <c r="E2020" s="15"/>
      <c r="F2020" s="17"/>
      <c r="G2020" s="22"/>
      <c r="H2020" s="22"/>
      <c r="I2020" s="29"/>
      <c r="J2020" s="29"/>
      <c r="K2020" s="29"/>
      <c r="L2020" s="29"/>
    </row>
    <row r="2021">
      <c r="A2021" s="13"/>
      <c r="B2021" s="13"/>
      <c r="C2021" s="15"/>
      <c r="D2021" s="15"/>
      <c r="E2021" s="15"/>
      <c r="F2021" s="17"/>
      <c r="G2021" s="22"/>
      <c r="H2021" s="22"/>
      <c r="I2021" s="29"/>
      <c r="J2021" s="29"/>
      <c r="K2021" s="29"/>
      <c r="L2021" s="29"/>
    </row>
    <row r="2022">
      <c r="A2022" s="13"/>
      <c r="B2022" s="13"/>
      <c r="C2022" s="15"/>
      <c r="D2022" s="15"/>
      <c r="E2022" s="15"/>
      <c r="F2022" s="17"/>
      <c r="G2022" s="22"/>
      <c r="H2022" s="22"/>
      <c r="I2022" s="29"/>
      <c r="J2022" s="29"/>
      <c r="K2022" s="29"/>
      <c r="L2022" s="29"/>
    </row>
    <row r="2023">
      <c r="A2023" s="13"/>
      <c r="B2023" s="13"/>
      <c r="C2023" s="15"/>
      <c r="D2023" s="15"/>
      <c r="E2023" s="15"/>
      <c r="F2023" s="17"/>
      <c r="G2023" s="22"/>
      <c r="H2023" s="22"/>
      <c r="I2023" s="29"/>
      <c r="J2023" s="29"/>
      <c r="K2023" s="29"/>
      <c r="L2023" s="29"/>
    </row>
    <row r="2024">
      <c r="A2024" s="13"/>
      <c r="B2024" s="13"/>
      <c r="C2024" s="15"/>
      <c r="D2024" s="15"/>
      <c r="E2024" s="15"/>
      <c r="F2024" s="17"/>
      <c r="G2024" s="22"/>
      <c r="H2024" s="22"/>
      <c r="I2024" s="29"/>
      <c r="J2024" s="29"/>
      <c r="K2024" s="29"/>
      <c r="L2024" s="29"/>
    </row>
    <row r="2025">
      <c r="A2025" s="13"/>
      <c r="B2025" s="13"/>
      <c r="C2025" s="15"/>
      <c r="D2025" s="15"/>
      <c r="E2025" s="15"/>
      <c r="F2025" s="17"/>
      <c r="G2025" s="22"/>
      <c r="H2025" s="22"/>
      <c r="I2025" s="29"/>
      <c r="J2025" s="29"/>
      <c r="K2025" s="29"/>
      <c r="L2025" s="29"/>
    </row>
    <row r="2026">
      <c r="A2026" s="13"/>
      <c r="B2026" s="13"/>
      <c r="C2026" s="15"/>
      <c r="D2026" s="15"/>
      <c r="E2026" s="15"/>
      <c r="F2026" s="17"/>
      <c r="G2026" s="22"/>
      <c r="H2026" s="22"/>
      <c r="I2026" s="29"/>
      <c r="J2026" s="29"/>
      <c r="K2026" s="29"/>
      <c r="L2026" s="29"/>
    </row>
    <row r="2027">
      <c r="A2027" s="13"/>
      <c r="B2027" s="13"/>
      <c r="C2027" s="15"/>
      <c r="D2027" s="15"/>
      <c r="E2027" s="15"/>
      <c r="F2027" s="17"/>
      <c r="G2027" s="22"/>
      <c r="H2027" s="22"/>
      <c r="I2027" s="29"/>
      <c r="J2027" s="29"/>
      <c r="K2027" s="29"/>
      <c r="L2027" s="29"/>
    </row>
    <row r="2028">
      <c r="A2028" s="13"/>
      <c r="B2028" s="13"/>
      <c r="C2028" s="15"/>
      <c r="D2028" s="15"/>
      <c r="E2028" s="15"/>
      <c r="F2028" s="17"/>
      <c r="G2028" s="22"/>
      <c r="H2028" s="22"/>
      <c r="I2028" s="29"/>
      <c r="J2028" s="29"/>
      <c r="K2028" s="29"/>
      <c r="L2028" s="29"/>
    </row>
    <row r="2029">
      <c r="A2029" s="13"/>
      <c r="B2029" s="13"/>
      <c r="C2029" s="15"/>
      <c r="D2029" s="15"/>
      <c r="E2029" s="15"/>
      <c r="F2029" s="17"/>
      <c r="G2029" s="22"/>
      <c r="H2029" s="22"/>
      <c r="I2029" s="29"/>
      <c r="J2029" s="29"/>
      <c r="K2029" s="29"/>
      <c r="L2029" s="29"/>
    </row>
    <row r="2030">
      <c r="A2030" s="13"/>
      <c r="B2030" s="13"/>
      <c r="C2030" s="15"/>
      <c r="D2030" s="15"/>
      <c r="E2030" s="15"/>
      <c r="F2030" s="17"/>
      <c r="G2030" s="22"/>
      <c r="H2030" s="22"/>
      <c r="I2030" s="29"/>
      <c r="J2030" s="29"/>
      <c r="K2030" s="29"/>
      <c r="L2030" s="29"/>
    </row>
    <row r="2031">
      <c r="A2031" s="13"/>
      <c r="B2031" s="13"/>
      <c r="C2031" s="15"/>
      <c r="D2031" s="15"/>
      <c r="E2031" s="15"/>
      <c r="F2031" s="17"/>
      <c r="G2031" s="22"/>
      <c r="H2031" s="22"/>
      <c r="I2031" s="29"/>
      <c r="J2031" s="29"/>
      <c r="K2031" s="29"/>
      <c r="L2031" s="29"/>
    </row>
    <row r="2032">
      <c r="A2032" s="13"/>
      <c r="B2032" s="13"/>
      <c r="C2032" s="15"/>
      <c r="D2032" s="15"/>
      <c r="E2032" s="15"/>
      <c r="F2032" s="17"/>
      <c r="G2032" s="22"/>
      <c r="H2032" s="22"/>
      <c r="I2032" s="29"/>
      <c r="J2032" s="29"/>
      <c r="K2032" s="29"/>
      <c r="L2032" s="29"/>
    </row>
    <row r="2033">
      <c r="A2033" s="13"/>
      <c r="B2033" s="13"/>
      <c r="C2033" s="15"/>
      <c r="D2033" s="15"/>
      <c r="E2033" s="15"/>
      <c r="F2033" s="17"/>
      <c r="G2033" s="22"/>
      <c r="H2033" s="22"/>
      <c r="I2033" s="29"/>
      <c r="J2033" s="29"/>
      <c r="K2033" s="29"/>
      <c r="L2033" s="29"/>
    </row>
    <row r="2034">
      <c r="A2034" s="13"/>
      <c r="B2034" s="13"/>
      <c r="C2034" s="15"/>
      <c r="D2034" s="15"/>
      <c r="E2034" s="15"/>
      <c r="F2034" s="17"/>
      <c r="G2034" s="22"/>
      <c r="H2034" s="22"/>
      <c r="I2034" s="29"/>
      <c r="J2034" s="29"/>
      <c r="K2034" s="29"/>
      <c r="L2034" s="29"/>
    </row>
    <row r="2035">
      <c r="A2035" s="13"/>
      <c r="B2035" s="13"/>
      <c r="C2035" s="15"/>
      <c r="D2035" s="15"/>
      <c r="E2035" s="15"/>
      <c r="F2035" s="17"/>
      <c r="G2035" s="22"/>
      <c r="H2035" s="22"/>
      <c r="I2035" s="29"/>
      <c r="J2035" s="29"/>
      <c r="K2035" s="29"/>
      <c r="L2035" s="29"/>
    </row>
    <row r="2036">
      <c r="A2036" s="13"/>
      <c r="B2036" s="13"/>
      <c r="C2036" s="15"/>
      <c r="D2036" s="15"/>
      <c r="E2036" s="15"/>
      <c r="F2036" s="17"/>
      <c r="G2036" s="22"/>
      <c r="H2036" s="22"/>
      <c r="I2036" s="29"/>
      <c r="J2036" s="29"/>
      <c r="K2036" s="29"/>
      <c r="L2036" s="29"/>
    </row>
    <row r="2037">
      <c r="A2037" s="13"/>
      <c r="B2037" s="13"/>
      <c r="C2037" s="15"/>
      <c r="D2037" s="15"/>
      <c r="E2037" s="15"/>
      <c r="F2037" s="17"/>
      <c r="G2037" s="22"/>
      <c r="H2037" s="22"/>
      <c r="I2037" s="29"/>
      <c r="J2037" s="29"/>
      <c r="K2037" s="29"/>
      <c r="L2037" s="29"/>
    </row>
    <row r="2038">
      <c r="A2038" s="13"/>
      <c r="B2038" s="13"/>
      <c r="C2038" s="15"/>
      <c r="D2038" s="15"/>
      <c r="E2038" s="15"/>
      <c r="F2038" s="17"/>
      <c r="G2038" s="22"/>
      <c r="H2038" s="22"/>
      <c r="I2038" s="29"/>
      <c r="J2038" s="29"/>
      <c r="K2038" s="29"/>
      <c r="L2038" s="29"/>
    </row>
    <row r="2039">
      <c r="A2039" s="13"/>
      <c r="B2039" s="13"/>
      <c r="C2039" s="15"/>
      <c r="D2039" s="15"/>
      <c r="E2039" s="15"/>
      <c r="F2039" s="17"/>
      <c r="G2039" s="22"/>
      <c r="H2039" s="22"/>
      <c r="I2039" s="29"/>
      <c r="J2039" s="29"/>
      <c r="K2039" s="29"/>
      <c r="L2039" s="29"/>
    </row>
    <row r="2040">
      <c r="A2040" s="13"/>
      <c r="B2040" s="13"/>
      <c r="C2040" s="15"/>
      <c r="D2040" s="15"/>
      <c r="E2040" s="15"/>
      <c r="F2040" s="17"/>
      <c r="G2040" s="22"/>
      <c r="H2040" s="22"/>
      <c r="I2040" s="29"/>
      <c r="J2040" s="29"/>
      <c r="K2040" s="29"/>
      <c r="L2040" s="29"/>
    </row>
    <row r="2041">
      <c r="A2041" s="13"/>
      <c r="B2041" s="13"/>
      <c r="C2041" s="15"/>
      <c r="D2041" s="15"/>
      <c r="E2041" s="15"/>
      <c r="F2041" s="17"/>
      <c r="G2041" s="22"/>
      <c r="H2041" s="22"/>
      <c r="I2041" s="29"/>
      <c r="J2041" s="29"/>
      <c r="K2041" s="29"/>
      <c r="L2041" s="29"/>
    </row>
    <row r="2042">
      <c r="A2042" s="13"/>
      <c r="B2042" s="13"/>
      <c r="C2042" s="15"/>
      <c r="D2042" s="15"/>
      <c r="E2042" s="15"/>
      <c r="F2042" s="17"/>
      <c r="G2042" s="22"/>
      <c r="H2042" s="22"/>
      <c r="I2042" s="29"/>
      <c r="J2042" s="29"/>
      <c r="K2042" s="29"/>
      <c r="L2042" s="29"/>
    </row>
    <row r="2043">
      <c r="A2043" s="13"/>
      <c r="B2043" s="13"/>
      <c r="C2043" s="15"/>
      <c r="D2043" s="15"/>
      <c r="E2043" s="15"/>
      <c r="F2043" s="17"/>
      <c r="G2043" s="22"/>
      <c r="H2043" s="22"/>
      <c r="I2043" s="29"/>
      <c r="J2043" s="29"/>
      <c r="K2043" s="29"/>
      <c r="L2043" s="29"/>
    </row>
    <row r="2044">
      <c r="A2044" s="13"/>
      <c r="B2044" s="13"/>
      <c r="C2044" s="15"/>
      <c r="D2044" s="15"/>
      <c r="E2044" s="15"/>
      <c r="F2044" s="17"/>
      <c r="G2044" s="22"/>
      <c r="H2044" s="22"/>
      <c r="I2044" s="29"/>
      <c r="J2044" s="29"/>
      <c r="K2044" s="29"/>
      <c r="L2044" s="29"/>
    </row>
    <row r="2045">
      <c r="A2045" s="13"/>
      <c r="B2045" s="13"/>
      <c r="C2045" s="15"/>
      <c r="D2045" s="15"/>
      <c r="E2045" s="15"/>
      <c r="F2045" s="17"/>
      <c r="G2045" s="22"/>
      <c r="H2045" s="22"/>
      <c r="I2045" s="29"/>
      <c r="J2045" s="29"/>
      <c r="K2045" s="29"/>
      <c r="L2045" s="29"/>
    </row>
    <row r="2046">
      <c r="A2046" s="13"/>
      <c r="B2046" s="13"/>
      <c r="C2046" s="15"/>
      <c r="D2046" s="15"/>
      <c r="E2046" s="15"/>
      <c r="F2046" s="17"/>
      <c r="G2046" s="22"/>
      <c r="H2046" s="22"/>
      <c r="I2046" s="29"/>
      <c r="J2046" s="29"/>
      <c r="K2046" s="29"/>
      <c r="L2046" s="29"/>
    </row>
    <row r="2047">
      <c r="A2047" s="13"/>
      <c r="B2047" s="13"/>
      <c r="C2047" s="15"/>
      <c r="D2047" s="15"/>
      <c r="E2047" s="15"/>
      <c r="F2047" s="17"/>
      <c r="G2047" s="22"/>
      <c r="H2047" s="22"/>
      <c r="I2047" s="29"/>
      <c r="J2047" s="29"/>
      <c r="K2047" s="29"/>
      <c r="L2047" s="29"/>
    </row>
    <row r="2048">
      <c r="A2048" s="13"/>
      <c r="B2048" s="13"/>
      <c r="C2048" s="15"/>
      <c r="D2048" s="15"/>
      <c r="E2048" s="15"/>
      <c r="F2048" s="17"/>
      <c r="G2048" s="22"/>
      <c r="H2048" s="22"/>
      <c r="I2048" s="29"/>
      <c r="J2048" s="29"/>
      <c r="K2048" s="29"/>
      <c r="L2048" s="29"/>
    </row>
    <row r="2049">
      <c r="A2049" s="13"/>
      <c r="B2049" s="13"/>
      <c r="C2049" s="15"/>
      <c r="D2049" s="15"/>
      <c r="E2049" s="15"/>
      <c r="F2049" s="17"/>
      <c r="G2049" s="22"/>
      <c r="H2049" s="22"/>
      <c r="I2049" s="29"/>
      <c r="J2049" s="29"/>
      <c r="K2049" s="29"/>
      <c r="L2049" s="29"/>
    </row>
    <row r="2050">
      <c r="A2050" s="13"/>
      <c r="B2050" s="13"/>
      <c r="C2050" s="15"/>
      <c r="D2050" s="15"/>
      <c r="E2050" s="15"/>
      <c r="F2050" s="17"/>
      <c r="G2050" s="22"/>
      <c r="H2050" s="22"/>
      <c r="I2050" s="29"/>
      <c r="J2050" s="29"/>
      <c r="K2050" s="29"/>
      <c r="L2050" s="29"/>
    </row>
    <row r="2051">
      <c r="A2051" s="13"/>
      <c r="B2051" s="13"/>
      <c r="C2051" s="15"/>
      <c r="D2051" s="15"/>
      <c r="E2051" s="15"/>
      <c r="F2051" s="17"/>
      <c r="G2051" s="22"/>
      <c r="H2051" s="22"/>
      <c r="I2051" s="29"/>
      <c r="J2051" s="29"/>
      <c r="K2051" s="29"/>
      <c r="L2051" s="29"/>
    </row>
    <row r="2052">
      <c r="A2052" s="13"/>
      <c r="B2052" s="13"/>
      <c r="C2052" s="15"/>
      <c r="D2052" s="15"/>
      <c r="E2052" s="15"/>
      <c r="F2052" s="17"/>
      <c r="G2052" s="22"/>
      <c r="H2052" s="22"/>
      <c r="I2052" s="29"/>
      <c r="J2052" s="29"/>
      <c r="K2052" s="29"/>
      <c r="L2052" s="29"/>
    </row>
    <row r="2053">
      <c r="A2053" s="13"/>
      <c r="B2053" s="13"/>
      <c r="C2053" s="15"/>
      <c r="D2053" s="15"/>
      <c r="E2053" s="15"/>
      <c r="F2053" s="17"/>
      <c r="G2053" s="22"/>
      <c r="H2053" s="22"/>
      <c r="I2053" s="29"/>
      <c r="J2053" s="29"/>
      <c r="K2053" s="29"/>
      <c r="L2053" s="29"/>
    </row>
    <row r="2054">
      <c r="A2054" s="13"/>
      <c r="B2054" s="13"/>
      <c r="C2054" s="15"/>
      <c r="D2054" s="15"/>
      <c r="E2054" s="15"/>
      <c r="F2054" s="17"/>
      <c r="G2054" s="22"/>
      <c r="H2054" s="22"/>
      <c r="I2054" s="29"/>
      <c r="J2054" s="29"/>
      <c r="K2054" s="29"/>
      <c r="L2054" s="29"/>
    </row>
    <row r="2055">
      <c r="A2055" s="13"/>
      <c r="B2055" s="13"/>
      <c r="C2055" s="15"/>
      <c r="D2055" s="15"/>
      <c r="E2055" s="15"/>
      <c r="F2055" s="17"/>
      <c r="G2055" s="22"/>
      <c r="H2055" s="22"/>
      <c r="I2055" s="29"/>
      <c r="J2055" s="29"/>
      <c r="K2055" s="29"/>
      <c r="L2055" s="29"/>
    </row>
    <row r="2056">
      <c r="A2056" s="13"/>
      <c r="B2056" s="13"/>
      <c r="C2056" s="15"/>
      <c r="D2056" s="15"/>
      <c r="E2056" s="15"/>
      <c r="F2056" s="17"/>
      <c r="G2056" s="22"/>
      <c r="H2056" s="22"/>
      <c r="I2056" s="29"/>
      <c r="J2056" s="29"/>
      <c r="K2056" s="29"/>
      <c r="L2056" s="29"/>
    </row>
    <row r="2057">
      <c r="A2057" s="13"/>
      <c r="B2057" s="13"/>
      <c r="C2057" s="15"/>
      <c r="D2057" s="15"/>
      <c r="E2057" s="15"/>
      <c r="F2057" s="17"/>
      <c r="G2057" s="22"/>
      <c r="H2057" s="22"/>
      <c r="I2057" s="29"/>
      <c r="J2057" s="29"/>
      <c r="K2057" s="29"/>
      <c r="L2057" s="29"/>
    </row>
    <row r="2058">
      <c r="A2058" s="13"/>
      <c r="B2058" s="13"/>
      <c r="C2058" s="15"/>
      <c r="D2058" s="15"/>
      <c r="E2058" s="15"/>
      <c r="F2058" s="17"/>
      <c r="G2058" s="22"/>
      <c r="H2058" s="22"/>
      <c r="I2058" s="29"/>
      <c r="J2058" s="29"/>
      <c r="K2058" s="29"/>
      <c r="L2058" s="29"/>
    </row>
    <row r="2059">
      <c r="A2059" s="13"/>
      <c r="B2059" s="13"/>
      <c r="C2059" s="15"/>
      <c r="D2059" s="15"/>
      <c r="E2059" s="15"/>
      <c r="F2059" s="17"/>
      <c r="G2059" s="22"/>
      <c r="H2059" s="22"/>
      <c r="I2059" s="29"/>
      <c r="J2059" s="29"/>
      <c r="K2059" s="29"/>
      <c r="L2059" s="29"/>
    </row>
    <row r="2060">
      <c r="A2060" s="13"/>
      <c r="B2060" s="13"/>
      <c r="C2060" s="15"/>
      <c r="D2060" s="15"/>
      <c r="E2060" s="15"/>
      <c r="F2060" s="17"/>
      <c r="G2060" s="22"/>
      <c r="H2060" s="22"/>
      <c r="I2060" s="29"/>
      <c r="J2060" s="29"/>
      <c r="K2060" s="29"/>
      <c r="L2060" s="29"/>
    </row>
    <row r="2061">
      <c r="A2061" s="13"/>
      <c r="B2061" s="13"/>
      <c r="C2061" s="15"/>
      <c r="D2061" s="15"/>
      <c r="E2061" s="15"/>
      <c r="F2061" s="17"/>
      <c r="G2061" s="22"/>
      <c r="H2061" s="22"/>
      <c r="I2061" s="29"/>
      <c r="J2061" s="29"/>
      <c r="K2061" s="29"/>
      <c r="L2061" s="29"/>
    </row>
    <row r="2062">
      <c r="A2062" s="13"/>
      <c r="B2062" s="13"/>
      <c r="C2062" s="15"/>
      <c r="D2062" s="15"/>
      <c r="E2062" s="15"/>
      <c r="F2062" s="17"/>
      <c r="G2062" s="22"/>
      <c r="H2062" s="22"/>
      <c r="I2062" s="29"/>
      <c r="J2062" s="29"/>
      <c r="K2062" s="29"/>
      <c r="L2062" s="29"/>
    </row>
    <row r="2063">
      <c r="A2063" s="13"/>
      <c r="B2063" s="13"/>
      <c r="C2063" s="15"/>
      <c r="D2063" s="15"/>
      <c r="E2063" s="15"/>
      <c r="F2063" s="17"/>
      <c r="G2063" s="22"/>
      <c r="H2063" s="22"/>
      <c r="I2063" s="29"/>
      <c r="J2063" s="29"/>
      <c r="K2063" s="29"/>
      <c r="L2063" s="29"/>
    </row>
    <row r="2064">
      <c r="A2064" s="13"/>
      <c r="B2064" s="13"/>
      <c r="C2064" s="15"/>
      <c r="D2064" s="15"/>
      <c r="E2064" s="15"/>
      <c r="F2064" s="17"/>
      <c r="G2064" s="22"/>
      <c r="H2064" s="22"/>
      <c r="I2064" s="29"/>
      <c r="J2064" s="29"/>
      <c r="K2064" s="29"/>
      <c r="L2064" s="29"/>
    </row>
    <row r="2065">
      <c r="A2065" s="13"/>
      <c r="B2065" s="13"/>
      <c r="C2065" s="15"/>
      <c r="D2065" s="15"/>
      <c r="E2065" s="15"/>
      <c r="F2065" s="17"/>
      <c r="G2065" s="22"/>
      <c r="H2065" s="22"/>
      <c r="I2065" s="29"/>
      <c r="J2065" s="29"/>
      <c r="K2065" s="29"/>
      <c r="L2065" s="29"/>
    </row>
    <row r="2066">
      <c r="A2066" s="13"/>
      <c r="B2066" s="13"/>
      <c r="C2066" s="15"/>
      <c r="D2066" s="15"/>
      <c r="E2066" s="15"/>
      <c r="F2066" s="17"/>
      <c r="G2066" s="22"/>
      <c r="H2066" s="22"/>
      <c r="I2066" s="29"/>
      <c r="J2066" s="29"/>
      <c r="K2066" s="29"/>
      <c r="L2066" s="29"/>
    </row>
    <row r="2067">
      <c r="A2067" s="13"/>
      <c r="B2067" s="13"/>
      <c r="C2067" s="15"/>
      <c r="D2067" s="15"/>
      <c r="E2067" s="15"/>
      <c r="F2067" s="17"/>
      <c r="G2067" s="22"/>
      <c r="H2067" s="22"/>
      <c r="I2067" s="29"/>
      <c r="J2067" s="29"/>
      <c r="K2067" s="29"/>
      <c r="L2067" s="29"/>
    </row>
    <row r="2068">
      <c r="A2068" s="13"/>
      <c r="B2068" s="13"/>
      <c r="C2068" s="15"/>
      <c r="D2068" s="15"/>
      <c r="E2068" s="15"/>
      <c r="F2068" s="17"/>
      <c r="G2068" s="22"/>
      <c r="H2068" s="22"/>
      <c r="I2068" s="29"/>
      <c r="J2068" s="29"/>
      <c r="K2068" s="29"/>
      <c r="L2068" s="29"/>
    </row>
    <row r="2069">
      <c r="A2069" s="13"/>
      <c r="B2069" s="13"/>
      <c r="C2069" s="15"/>
      <c r="D2069" s="15"/>
      <c r="E2069" s="15"/>
      <c r="F2069" s="17"/>
      <c r="G2069" s="22"/>
      <c r="H2069" s="22"/>
      <c r="I2069" s="29"/>
      <c r="J2069" s="29"/>
      <c r="K2069" s="29"/>
      <c r="L2069" s="29"/>
    </row>
    <row r="2070">
      <c r="A2070" s="13"/>
      <c r="B2070" s="13"/>
      <c r="C2070" s="15"/>
      <c r="D2070" s="15"/>
      <c r="E2070" s="15"/>
      <c r="F2070" s="17"/>
      <c r="G2070" s="22"/>
      <c r="H2070" s="22"/>
      <c r="I2070" s="29"/>
      <c r="J2070" s="29"/>
      <c r="K2070" s="29"/>
      <c r="L2070" s="29"/>
    </row>
    <row r="2071">
      <c r="A2071" s="13"/>
      <c r="B2071" s="13"/>
      <c r="C2071" s="15"/>
      <c r="D2071" s="15"/>
      <c r="E2071" s="15"/>
      <c r="F2071" s="17"/>
      <c r="G2071" s="22"/>
      <c r="H2071" s="22"/>
      <c r="I2071" s="29"/>
      <c r="J2071" s="29"/>
      <c r="K2071" s="29"/>
      <c r="L2071" s="29"/>
    </row>
    <row r="2072">
      <c r="A2072" s="13"/>
      <c r="B2072" s="13"/>
      <c r="C2072" s="15"/>
      <c r="D2072" s="15"/>
      <c r="E2072" s="15"/>
      <c r="F2072" s="17"/>
      <c r="G2072" s="22"/>
      <c r="H2072" s="22"/>
      <c r="I2072" s="29"/>
      <c r="J2072" s="29"/>
      <c r="K2072" s="29"/>
      <c r="L2072" s="29"/>
    </row>
    <row r="2073">
      <c r="A2073" s="13"/>
      <c r="B2073" s="13"/>
      <c r="C2073" s="15"/>
      <c r="D2073" s="15"/>
      <c r="E2073" s="15"/>
      <c r="F2073" s="17"/>
      <c r="G2073" s="22"/>
      <c r="H2073" s="22"/>
      <c r="I2073" s="29"/>
      <c r="J2073" s="29"/>
      <c r="K2073" s="29"/>
      <c r="L2073" s="29"/>
    </row>
    <row r="2074">
      <c r="A2074" s="13"/>
      <c r="B2074" s="13"/>
      <c r="C2074" s="15"/>
      <c r="D2074" s="15"/>
      <c r="E2074" s="15"/>
      <c r="F2074" s="17"/>
      <c r="G2074" s="22"/>
      <c r="H2074" s="22"/>
      <c r="I2074" s="29"/>
      <c r="J2074" s="29"/>
      <c r="K2074" s="29"/>
      <c r="L2074" s="29"/>
    </row>
    <row r="2075">
      <c r="A2075" s="13"/>
      <c r="B2075" s="13"/>
      <c r="C2075" s="15"/>
      <c r="D2075" s="15"/>
      <c r="E2075" s="15"/>
      <c r="F2075" s="17"/>
      <c r="G2075" s="22"/>
      <c r="H2075" s="22"/>
      <c r="I2075" s="29"/>
      <c r="J2075" s="29"/>
      <c r="K2075" s="29"/>
      <c r="L2075" s="29"/>
    </row>
    <row r="2076">
      <c r="A2076" s="13"/>
      <c r="B2076" s="13"/>
      <c r="C2076" s="15"/>
      <c r="D2076" s="15"/>
      <c r="E2076" s="15"/>
      <c r="F2076" s="17"/>
      <c r="G2076" s="22"/>
      <c r="H2076" s="22"/>
      <c r="I2076" s="29"/>
      <c r="J2076" s="29"/>
      <c r="K2076" s="29"/>
      <c r="L2076" s="29"/>
    </row>
    <row r="2077">
      <c r="A2077" s="13"/>
      <c r="B2077" s="13"/>
      <c r="C2077" s="15"/>
      <c r="D2077" s="15"/>
      <c r="E2077" s="15"/>
      <c r="F2077" s="17"/>
      <c r="G2077" s="22"/>
      <c r="H2077" s="22"/>
      <c r="I2077" s="29"/>
      <c r="J2077" s="29"/>
      <c r="K2077" s="29"/>
      <c r="L2077" s="29"/>
    </row>
    <row r="2078">
      <c r="A2078" s="13"/>
      <c r="B2078" s="13"/>
      <c r="C2078" s="15"/>
      <c r="D2078" s="15"/>
      <c r="E2078" s="15"/>
      <c r="F2078" s="17"/>
      <c r="G2078" s="22"/>
      <c r="H2078" s="22"/>
      <c r="I2078" s="29"/>
      <c r="J2078" s="29"/>
      <c r="K2078" s="29"/>
      <c r="L2078" s="29"/>
    </row>
    <row r="2079">
      <c r="A2079" s="13"/>
      <c r="B2079" s="13"/>
      <c r="C2079" s="15"/>
      <c r="D2079" s="15"/>
      <c r="E2079" s="15"/>
      <c r="F2079" s="17"/>
      <c r="G2079" s="22"/>
      <c r="H2079" s="22"/>
      <c r="I2079" s="29"/>
      <c r="J2079" s="29"/>
      <c r="K2079" s="29"/>
      <c r="L2079" s="29"/>
    </row>
    <row r="2080">
      <c r="A2080" s="13"/>
      <c r="B2080" s="13"/>
      <c r="C2080" s="15"/>
      <c r="D2080" s="15"/>
      <c r="E2080" s="15"/>
      <c r="F2080" s="17"/>
      <c r="G2080" s="22"/>
      <c r="H2080" s="22"/>
      <c r="I2080" s="29"/>
      <c r="J2080" s="29"/>
      <c r="K2080" s="29"/>
      <c r="L2080" s="29"/>
    </row>
    <row r="2081">
      <c r="A2081" s="13"/>
      <c r="B2081" s="13"/>
      <c r="C2081" s="15"/>
      <c r="D2081" s="15"/>
      <c r="E2081" s="15"/>
      <c r="F2081" s="17"/>
      <c r="G2081" s="22"/>
      <c r="H2081" s="22"/>
      <c r="I2081" s="29"/>
      <c r="J2081" s="29"/>
      <c r="K2081" s="29"/>
      <c r="L2081" s="29"/>
    </row>
    <row r="2082">
      <c r="A2082" s="13"/>
      <c r="B2082" s="13"/>
      <c r="C2082" s="15"/>
      <c r="D2082" s="15"/>
      <c r="E2082" s="15"/>
      <c r="F2082" s="17"/>
      <c r="G2082" s="22"/>
      <c r="H2082" s="22"/>
      <c r="I2082" s="29"/>
      <c r="J2082" s="29"/>
      <c r="K2082" s="29"/>
      <c r="L2082" s="29"/>
    </row>
    <row r="2083">
      <c r="A2083" s="13"/>
      <c r="B2083" s="13"/>
      <c r="C2083" s="15"/>
      <c r="D2083" s="15"/>
      <c r="E2083" s="15"/>
      <c r="F2083" s="17"/>
      <c r="G2083" s="22"/>
      <c r="H2083" s="22"/>
      <c r="I2083" s="29"/>
      <c r="J2083" s="29"/>
      <c r="K2083" s="29"/>
      <c r="L2083" s="29"/>
    </row>
    <row r="2084">
      <c r="A2084" s="13"/>
      <c r="B2084" s="13"/>
      <c r="C2084" s="15"/>
      <c r="D2084" s="15"/>
      <c r="E2084" s="15"/>
      <c r="F2084" s="17"/>
      <c r="G2084" s="22"/>
      <c r="H2084" s="22"/>
      <c r="I2084" s="29"/>
      <c r="J2084" s="29"/>
      <c r="K2084" s="29"/>
      <c r="L2084" s="29"/>
    </row>
    <row r="2085">
      <c r="A2085" s="13"/>
      <c r="B2085" s="13"/>
      <c r="C2085" s="15"/>
      <c r="D2085" s="15"/>
      <c r="E2085" s="15"/>
      <c r="F2085" s="17"/>
      <c r="G2085" s="22"/>
      <c r="H2085" s="22"/>
      <c r="I2085" s="29"/>
      <c r="J2085" s="29"/>
      <c r="K2085" s="29"/>
      <c r="L2085" s="29"/>
    </row>
    <row r="2086">
      <c r="A2086" s="13"/>
      <c r="B2086" s="13"/>
      <c r="C2086" s="15"/>
      <c r="D2086" s="15"/>
      <c r="E2086" s="15"/>
      <c r="F2086" s="17"/>
      <c r="G2086" s="22"/>
      <c r="H2086" s="22"/>
      <c r="I2086" s="29"/>
      <c r="J2086" s="29"/>
      <c r="K2086" s="29"/>
      <c r="L2086" s="29"/>
    </row>
    <row r="2087">
      <c r="A2087" s="13"/>
      <c r="B2087" s="13"/>
      <c r="C2087" s="15"/>
      <c r="D2087" s="15"/>
      <c r="E2087" s="15"/>
      <c r="F2087" s="17"/>
      <c r="G2087" s="22"/>
      <c r="H2087" s="22"/>
      <c r="I2087" s="29"/>
      <c r="J2087" s="29"/>
      <c r="K2087" s="29"/>
      <c r="L2087" s="29"/>
    </row>
    <row r="2088">
      <c r="A2088" s="13"/>
      <c r="B2088" s="13"/>
      <c r="C2088" s="15"/>
      <c r="D2088" s="15"/>
      <c r="E2088" s="15"/>
      <c r="F2088" s="17"/>
      <c r="G2088" s="22"/>
      <c r="H2088" s="22"/>
      <c r="I2088" s="29"/>
      <c r="J2088" s="29"/>
      <c r="K2088" s="29"/>
      <c r="L2088" s="29"/>
    </row>
    <row r="2089">
      <c r="A2089" s="13"/>
      <c r="B2089" s="13"/>
      <c r="C2089" s="15"/>
      <c r="D2089" s="15"/>
      <c r="E2089" s="15"/>
      <c r="F2089" s="17"/>
      <c r="G2089" s="22"/>
      <c r="H2089" s="22"/>
      <c r="I2089" s="29"/>
      <c r="J2089" s="29"/>
      <c r="K2089" s="29"/>
      <c r="L2089" s="29"/>
    </row>
    <row r="2090">
      <c r="A2090" s="13"/>
      <c r="B2090" s="13"/>
      <c r="C2090" s="15"/>
      <c r="D2090" s="15"/>
      <c r="E2090" s="15"/>
      <c r="F2090" s="17"/>
      <c r="G2090" s="22"/>
      <c r="H2090" s="22"/>
      <c r="I2090" s="29"/>
      <c r="J2090" s="29"/>
      <c r="K2090" s="29"/>
      <c r="L2090" s="29"/>
    </row>
    <row r="2091">
      <c r="A2091" s="13"/>
      <c r="B2091" s="13"/>
      <c r="C2091" s="15"/>
      <c r="D2091" s="15"/>
      <c r="E2091" s="15"/>
      <c r="F2091" s="17"/>
      <c r="G2091" s="22"/>
      <c r="H2091" s="22"/>
      <c r="I2091" s="29"/>
      <c r="J2091" s="29"/>
      <c r="K2091" s="29"/>
      <c r="L2091" s="29"/>
    </row>
    <row r="2092">
      <c r="A2092" s="13"/>
      <c r="B2092" s="13"/>
      <c r="C2092" s="15"/>
      <c r="D2092" s="15"/>
      <c r="E2092" s="15"/>
      <c r="F2092" s="17"/>
      <c r="G2092" s="22"/>
      <c r="H2092" s="22"/>
      <c r="I2092" s="29"/>
      <c r="J2092" s="29"/>
      <c r="K2092" s="29"/>
      <c r="L2092" s="29"/>
    </row>
    <row r="2093">
      <c r="A2093" s="13"/>
      <c r="B2093" s="13"/>
      <c r="C2093" s="15"/>
      <c r="D2093" s="15"/>
      <c r="E2093" s="15"/>
      <c r="F2093" s="17"/>
      <c r="G2093" s="22"/>
      <c r="H2093" s="22"/>
      <c r="I2093" s="29"/>
      <c r="J2093" s="29"/>
      <c r="K2093" s="29"/>
      <c r="L2093" s="29"/>
    </row>
    <row r="2094">
      <c r="A2094" s="13"/>
      <c r="B2094" s="13"/>
      <c r="C2094" s="15"/>
      <c r="D2094" s="15"/>
      <c r="E2094" s="15"/>
      <c r="F2094" s="17"/>
      <c r="G2094" s="22"/>
      <c r="H2094" s="22"/>
      <c r="I2094" s="29"/>
      <c r="J2094" s="29"/>
      <c r="K2094" s="29"/>
      <c r="L2094" s="29"/>
    </row>
    <row r="2095">
      <c r="A2095" s="13"/>
      <c r="B2095" s="13"/>
      <c r="C2095" s="15"/>
      <c r="D2095" s="15"/>
      <c r="E2095" s="15"/>
      <c r="F2095" s="17"/>
      <c r="G2095" s="22"/>
      <c r="H2095" s="22"/>
      <c r="I2095" s="29"/>
      <c r="J2095" s="29"/>
      <c r="K2095" s="29"/>
      <c r="L2095" s="29"/>
    </row>
    <row r="2096">
      <c r="A2096" s="13"/>
      <c r="B2096" s="13"/>
      <c r="C2096" s="15"/>
      <c r="D2096" s="15"/>
      <c r="E2096" s="15"/>
      <c r="F2096" s="17"/>
      <c r="G2096" s="22"/>
      <c r="H2096" s="22"/>
      <c r="I2096" s="29"/>
      <c r="J2096" s="29"/>
      <c r="K2096" s="29"/>
      <c r="L2096" s="29"/>
    </row>
    <row r="2097">
      <c r="A2097" s="13"/>
      <c r="B2097" s="13"/>
      <c r="C2097" s="15"/>
      <c r="D2097" s="15"/>
      <c r="E2097" s="15"/>
      <c r="F2097" s="17"/>
      <c r="G2097" s="22"/>
      <c r="H2097" s="22"/>
      <c r="I2097" s="29"/>
      <c r="J2097" s="29"/>
      <c r="K2097" s="29"/>
      <c r="L2097" s="29"/>
    </row>
    <row r="2098">
      <c r="A2098" s="13"/>
      <c r="B2098" s="13"/>
      <c r="C2098" s="15"/>
      <c r="D2098" s="15"/>
      <c r="E2098" s="15"/>
      <c r="F2098" s="17"/>
      <c r="G2098" s="22"/>
      <c r="H2098" s="22"/>
      <c r="I2098" s="29"/>
      <c r="J2098" s="29"/>
      <c r="K2098" s="29"/>
      <c r="L2098" s="29"/>
    </row>
    <row r="2099">
      <c r="A2099" s="13"/>
      <c r="B2099" s="13"/>
      <c r="C2099" s="15"/>
      <c r="D2099" s="15"/>
      <c r="E2099" s="15"/>
      <c r="F2099" s="17"/>
      <c r="G2099" s="22"/>
      <c r="H2099" s="22"/>
      <c r="I2099" s="29"/>
      <c r="J2099" s="29"/>
      <c r="K2099" s="29"/>
      <c r="L2099" s="29"/>
    </row>
    <row r="2100">
      <c r="A2100" s="13"/>
      <c r="B2100" s="13"/>
      <c r="C2100" s="15"/>
      <c r="D2100" s="15"/>
      <c r="E2100" s="15"/>
      <c r="F2100" s="17"/>
      <c r="G2100" s="22"/>
      <c r="H2100" s="22"/>
      <c r="I2100" s="29"/>
      <c r="J2100" s="29"/>
      <c r="K2100" s="29"/>
      <c r="L2100" s="29"/>
    </row>
    <row r="2101">
      <c r="A2101" s="13"/>
      <c r="B2101" s="13"/>
      <c r="C2101" s="15"/>
      <c r="D2101" s="15"/>
      <c r="E2101" s="15"/>
      <c r="F2101" s="17"/>
      <c r="G2101" s="22"/>
      <c r="H2101" s="22"/>
      <c r="I2101" s="29"/>
      <c r="J2101" s="29"/>
      <c r="K2101" s="29"/>
      <c r="L2101" s="29"/>
    </row>
    <row r="2102">
      <c r="A2102" s="13"/>
      <c r="B2102" s="13"/>
      <c r="C2102" s="15"/>
      <c r="D2102" s="15"/>
      <c r="E2102" s="15"/>
      <c r="F2102" s="17"/>
      <c r="G2102" s="17"/>
      <c r="H2102" s="17"/>
      <c r="I2102" s="15"/>
      <c r="J2102" s="15"/>
      <c r="K2102" s="29"/>
      <c r="L2102" s="29"/>
    </row>
    <row r="2103">
      <c r="A2103" s="13"/>
      <c r="B2103" s="13"/>
      <c r="C2103" s="15"/>
      <c r="D2103" s="15"/>
      <c r="E2103" s="15"/>
      <c r="F2103" s="17"/>
      <c r="G2103" s="17"/>
      <c r="H2103" s="17"/>
      <c r="I2103" s="15"/>
      <c r="J2103" s="15"/>
      <c r="K2103" s="29"/>
      <c r="L2103" s="29"/>
    </row>
    <row r="2104">
      <c r="A2104" s="13"/>
      <c r="B2104" s="13"/>
      <c r="C2104" s="15"/>
      <c r="D2104" s="15"/>
      <c r="E2104" s="15"/>
      <c r="F2104" s="17"/>
      <c r="G2104" s="17"/>
      <c r="H2104" s="17"/>
      <c r="I2104" s="15"/>
      <c r="J2104" s="15"/>
      <c r="K2104" s="29"/>
      <c r="L2104" s="29"/>
    </row>
    <row r="2105">
      <c r="A2105" s="13"/>
      <c r="B2105" s="13"/>
      <c r="C2105" s="15"/>
      <c r="D2105" s="15"/>
      <c r="E2105" s="15"/>
      <c r="F2105" s="17"/>
      <c r="G2105" s="17"/>
      <c r="H2105" s="17"/>
      <c r="I2105" s="15"/>
      <c r="J2105" s="15"/>
      <c r="K2105" s="29"/>
      <c r="L2105" s="29"/>
    </row>
    <row r="2106">
      <c r="A2106" s="13"/>
      <c r="B2106" s="13"/>
      <c r="C2106" s="15"/>
      <c r="D2106" s="15"/>
      <c r="E2106" s="15"/>
      <c r="F2106" s="17"/>
      <c r="G2106" s="17"/>
      <c r="H2106" s="17"/>
      <c r="I2106" s="15"/>
      <c r="J2106" s="15"/>
      <c r="K2106" s="29"/>
      <c r="L2106" s="29"/>
    </row>
    <row r="2107">
      <c r="A2107" s="13"/>
      <c r="B2107" s="13"/>
      <c r="C2107" s="15"/>
      <c r="D2107" s="15"/>
      <c r="E2107" s="15"/>
      <c r="F2107" s="17"/>
      <c r="G2107" s="17"/>
      <c r="H2107" s="17"/>
      <c r="I2107" s="15"/>
      <c r="J2107" s="15"/>
      <c r="K2107" s="29"/>
      <c r="L2107" s="29"/>
    </row>
    <row r="2108">
      <c r="A2108" s="13"/>
      <c r="B2108" s="13"/>
      <c r="C2108" s="15"/>
      <c r="D2108" s="15"/>
      <c r="E2108" s="15"/>
      <c r="F2108" s="17"/>
      <c r="G2108" s="17"/>
      <c r="H2108" s="17"/>
      <c r="I2108" s="15"/>
      <c r="J2108" s="15"/>
      <c r="K2108" s="29"/>
      <c r="L2108" s="29"/>
    </row>
    <row r="2109">
      <c r="A2109" s="13"/>
      <c r="B2109" s="13"/>
      <c r="C2109" s="15"/>
      <c r="D2109" s="15"/>
      <c r="E2109" s="15"/>
      <c r="F2109" s="17"/>
      <c r="G2109" s="17"/>
      <c r="H2109" s="17"/>
      <c r="I2109" s="15"/>
      <c r="J2109" s="15"/>
      <c r="K2109" s="29"/>
      <c r="L2109" s="29"/>
    </row>
    <row r="2110">
      <c r="A2110" s="13"/>
      <c r="B2110" s="13"/>
      <c r="C2110" s="15"/>
      <c r="D2110" s="15"/>
      <c r="E2110" s="15"/>
      <c r="F2110" s="17"/>
      <c r="G2110" s="17"/>
      <c r="H2110" s="17"/>
      <c r="I2110" s="15"/>
      <c r="J2110" s="15"/>
      <c r="K2110" s="29"/>
      <c r="L2110" s="29"/>
    </row>
    <row r="2111">
      <c r="A2111" s="13"/>
      <c r="B2111" s="13"/>
      <c r="C2111" s="15"/>
      <c r="D2111" s="15"/>
      <c r="E2111" s="15"/>
      <c r="F2111" s="17"/>
      <c r="G2111" s="17"/>
      <c r="H2111" s="17"/>
      <c r="I2111" s="15"/>
      <c r="J2111" s="15"/>
      <c r="K2111" s="29"/>
      <c r="L2111" s="29"/>
    </row>
    <row r="2112">
      <c r="A2112" s="13"/>
      <c r="B2112" s="13"/>
      <c r="C2112" s="15"/>
      <c r="D2112" s="15"/>
      <c r="E2112" s="15"/>
      <c r="F2112" s="17"/>
      <c r="G2112" s="17"/>
      <c r="H2112" s="17"/>
      <c r="I2112" s="15"/>
      <c r="J2112" s="15"/>
      <c r="K2112" s="29"/>
      <c r="L2112" s="29"/>
    </row>
    <row r="2113">
      <c r="A2113" s="13"/>
      <c r="B2113" s="13"/>
      <c r="C2113" s="15"/>
      <c r="D2113" s="15"/>
      <c r="E2113" s="15"/>
      <c r="F2113" s="17"/>
      <c r="G2113" s="17"/>
      <c r="H2113" s="17"/>
      <c r="I2113" s="15"/>
      <c r="J2113" s="15"/>
      <c r="K2113" s="29"/>
      <c r="L2113" s="29"/>
    </row>
    <row r="2114">
      <c r="A2114" s="13"/>
      <c r="B2114" s="13"/>
      <c r="C2114" s="15"/>
      <c r="D2114" s="15"/>
      <c r="E2114" s="15"/>
      <c r="F2114" s="17"/>
      <c r="G2114" s="17"/>
      <c r="H2114" s="17"/>
      <c r="I2114" s="15"/>
      <c r="J2114" s="15"/>
      <c r="K2114" s="29"/>
      <c r="L2114" s="29"/>
    </row>
    <row r="2115">
      <c r="A2115" s="13"/>
      <c r="B2115" s="13"/>
      <c r="C2115" s="15"/>
      <c r="D2115" s="15"/>
      <c r="E2115" s="15"/>
      <c r="F2115" s="17"/>
      <c r="G2115" s="17"/>
      <c r="H2115" s="17"/>
      <c r="I2115" s="15"/>
      <c r="J2115" s="15"/>
      <c r="K2115" s="29"/>
      <c r="L2115" s="29"/>
    </row>
    <row r="2116">
      <c r="A2116" s="13"/>
      <c r="B2116" s="13"/>
      <c r="C2116" s="15"/>
      <c r="D2116" s="15"/>
      <c r="E2116" s="15"/>
      <c r="F2116" s="17"/>
      <c r="G2116" s="22"/>
      <c r="H2116" s="22"/>
      <c r="I2116" s="29"/>
      <c r="J2116" s="29"/>
      <c r="K2116" s="29"/>
      <c r="L2116" s="29"/>
    </row>
    <row r="2117">
      <c r="A2117" s="13"/>
      <c r="B2117" s="13"/>
      <c r="C2117" s="15"/>
      <c r="D2117" s="15"/>
      <c r="E2117" s="15"/>
      <c r="F2117" s="17"/>
      <c r="G2117" s="22"/>
      <c r="H2117" s="22"/>
      <c r="I2117" s="29"/>
      <c r="J2117" s="29"/>
      <c r="K2117" s="29"/>
      <c r="L2117" s="29"/>
    </row>
    <row r="2118">
      <c r="A2118" s="13"/>
      <c r="B2118" s="13"/>
      <c r="C2118" s="15"/>
      <c r="D2118" s="15"/>
      <c r="E2118" s="15"/>
      <c r="F2118" s="17"/>
      <c r="G2118" s="22"/>
      <c r="H2118" s="22"/>
      <c r="I2118" s="29"/>
      <c r="J2118" s="29"/>
      <c r="K2118" s="29"/>
      <c r="L2118" s="29"/>
    </row>
    <row r="2119">
      <c r="A2119" s="13"/>
      <c r="B2119" s="13"/>
      <c r="C2119" s="15"/>
      <c r="D2119" s="15"/>
      <c r="E2119" s="15"/>
      <c r="F2119" s="17"/>
      <c r="G2119" s="22"/>
      <c r="H2119" s="22"/>
      <c r="I2119" s="29"/>
      <c r="J2119" s="29"/>
      <c r="K2119" s="29"/>
      <c r="L2119" s="29"/>
    </row>
    <row r="2120">
      <c r="A2120" s="13"/>
      <c r="B2120" s="13"/>
      <c r="C2120" s="15"/>
      <c r="D2120" s="15"/>
      <c r="E2120" s="15"/>
      <c r="F2120" s="17"/>
      <c r="G2120" s="22"/>
      <c r="H2120" s="22"/>
      <c r="I2120" s="29"/>
      <c r="J2120" s="29"/>
      <c r="K2120" s="29"/>
      <c r="L2120" s="29"/>
    </row>
    <row r="2121">
      <c r="A2121" s="13"/>
      <c r="B2121" s="13"/>
      <c r="C2121" s="15"/>
      <c r="D2121" s="15"/>
      <c r="E2121" s="15"/>
      <c r="F2121" s="17"/>
      <c r="G2121" s="22"/>
      <c r="H2121" s="22"/>
      <c r="I2121" s="29"/>
      <c r="J2121" s="29"/>
      <c r="K2121" s="29"/>
      <c r="L2121" s="29"/>
    </row>
    <row r="2122">
      <c r="A2122" s="13"/>
      <c r="B2122" s="13"/>
      <c r="C2122" s="15"/>
      <c r="D2122" s="15"/>
      <c r="E2122" s="15"/>
      <c r="F2122" s="17"/>
      <c r="G2122" s="22"/>
      <c r="H2122" s="22"/>
      <c r="I2122" s="29"/>
      <c r="J2122" s="29"/>
      <c r="K2122" s="29"/>
      <c r="L2122" s="29"/>
    </row>
    <row r="2123">
      <c r="A2123" s="13"/>
      <c r="B2123" s="13"/>
      <c r="C2123" s="15"/>
      <c r="D2123" s="15"/>
      <c r="E2123" s="15"/>
      <c r="F2123" s="17"/>
      <c r="G2123" s="22"/>
      <c r="H2123" s="22"/>
      <c r="I2123" s="29"/>
      <c r="J2123" s="29"/>
      <c r="K2123" s="29"/>
      <c r="L2123" s="29"/>
    </row>
    <row r="2124">
      <c r="A2124" s="13"/>
      <c r="B2124" s="13"/>
      <c r="C2124" s="15"/>
      <c r="D2124" s="15"/>
      <c r="E2124" s="15"/>
      <c r="F2124" s="17"/>
      <c r="G2124" s="22"/>
      <c r="H2124" s="22"/>
      <c r="I2124" s="29"/>
      <c r="J2124" s="29"/>
      <c r="K2124" s="29"/>
      <c r="L2124" s="29"/>
    </row>
    <row r="2125">
      <c r="A2125" s="13"/>
      <c r="B2125" s="13"/>
      <c r="C2125" s="15"/>
      <c r="D2125" s="15"/>
      <c r="E2125" s="15"/>
      <c r="F2125" s="17"/>
      <c r="G2125" s="22"/>
      <c r="H2125" s="22"/>
      <c r="I2125" s="29"/>
      <c r="J2125" s="29"/>
      <c r="K2125" s="29"/>
      <c r="L2125" s="29"/>
    </row>
    <row r="2126">
      <c r="A2126" s="13"/>
      <c r="B2126" s="13"/>
      <c r="C2126" s="15"/>
      <c r="D2126" s="15"/>
      <c r="E2126" s="15"/>
      <c r="F2126" s="17"/>
      <c r="G2126" s="22"/>
      <c r="H2126" s="22"/>
      <c r="I2126" s="29"/>
      <c r="J2126" s="29"/>
      <c r="K2126" s="29"/>
      <c r="L2126" s="29"/>
    </row>
    <row r="2127">
      <c r="A2127" s="13"/>
      <c r="B2127" s="13"/>
      <c r="C2127" s="15"/>
      <c r="D2127" s="15"/>
      <c r="E2127" s="15"/>
      <c r="F2127" s="17"/>
      <c r="G2127" s="22"/>
      <c r="H2127" s="22"/>
      <c r="I2127" s="29"/>
      <c r="J2127" s="29"/>
      <c r="K2127" s="29"/>
      <c r="L2127" s="29"/>
    </row>
    <row r="2128">
      <c r="A2128" s="13"/>
      <c r="B2128" s="13"/>
      <c r="C2128" s="15"/>
      <c r="D2128" s="15"/>
      <c r="E2128" s="15"/>
      <c r="F2128" s="17"/>
      <c r="G2128" s="22"/>
      <c r="H2128" s="22"/>
      <c r="I2128" s="29"/>
      <c r="J2128" s="29"/>
      <c r="K2128" s="29"/>
      <c r="L2128" s="29"/>
    </row>
    <row r="2129">
      <c r="A2129" s="13"/>
      <c r="B2129" s="13"/>
      <c r="C2129" s="15"/>
      <c r="D2129" s="15"/>
      <c r="E2129" s="15"/>
      <c r="F2129" s="17"/>
      <c r="G2129" s="22"/>
      <c r="H2129" s="22"/>
      <c r="I2129" s="29"/>
      <c r="J2129" s="29"/>
      <c r="K2129" s="29"/>
      <c r="L2129" s="29"/>
    </row>
    <row r="2130">
      <c r="A2130" s="13"/>
      <c r="B2130" s="13"/>
      <c r="C2130" s="15"/>
      <c r="D2130" s="15"/>
      <c r="E2130" s="15"/>
      <c r="F2130" s="17"/>
      <c r="G2130" s="22"/>
      <c r="H2130" s="22"/>
      <c r="I2130" s="29"/>
      <c r="J2130" s="29"/>
      <c r="K2130" s="29"/>
      <c r="L2130" s="29"/>
    </row>
    <row r="2131">
      <c r="A2131" s="13"/>
      <c r="B2131" s="13"/>
      <c r="C2131" s="15"/>
      <c r="D2131" s="15"/>
      <c r="E2131" s="15"/>
      <c r="F2131" s="17"/>
      <c r="G2131" s="22"/>
      <c r="H2131" s="22"/>
      <c r="I2131" s="29"/>
      <c r="J2131" s="29"/>
      <c r="K2131" s="29"/>
      <c r="L2131" s="29"/>
    </row>
    <row r="2132">
      <c r="A2132" s="13"/>
      <c r="B2132" s="13"/>
      <c r="C2132" s="15"/>
      <c r="D2132" s="15"/>
      <c r="E2132" s="15"/>
      <c r="F2132" s="17"/>
      <c r="G2132" s="22"/>
      <c r="H2132" s="22"/>
      <c r="I2132" s="29"/>
      <c r="J2132" s="29"/>
      <c r="K2132" s="29"/>
      <c r="L2132" s="29"/>
    </row>
    <row r="2133">
      <c r="A2133" s="13"/>
      <c r="B2133" s="13"/>
      <c r="C2133" s="15"/>
      <c r="D2133" s="15"/>
      <c r="E2133" s="15"/>
      <c r="F2133" s="17"/>
      <c r="G2133" s="22"/>
      <c r="H2133" s="22"/>
      <c r="I2133" s="29"/>
      <c r="J2133" s="29"/>
      <c r="K2133" s="29"/>
      <c r="L2133" s="29"/>
    </row>
    <row r="2134">
      <c r="A2134" s="13"/>
      <c r="B2134" s="13"/>
      <c r="C2134" s="15"/>
      <c r="D2134" s="15"/>
      <c r="E2134" s="15"/>
      <c r="F2134" s="17"/>
      <c r="G2134" s="22"/>
      <c r="H2134" s="22"/>
      <c r="I2134" s="29"/>
      <c r="J2134" s="29"/>
      <c r="K2134" s="29"/>
      <c r="L2134" s="29"/>
    </row>
    <row r="2135">
      <c r="A2135" s="13"/>
      <c r="B2135" s="13"/>
      <c r="C2135" s="15"/>
      <c r="D2135" s="15"/>
      <c r="E2135" s="15"/>
      <c r="F2135" s="17"/>
      <c r="G2135" s="22"/>
      <c r="H2135" s="22"/>
      <c r="I2135" s="29"/>
      <c r="J2135" s="29"/>
      <c r="K2135" s="29"/>
      <c r="L2135" s="29"/>
    </row>
    <row r="2136">
      <c r="A2136" s="13"/>
      <c r="B2136" s="13"/>
      <c r="C2136" s="15"/>
      <c r="D2136" s="15"/>
      <c r="E2136" s="15"/>
      <c r="F2136" s="17"/>
      <c r="G2136" s="22"/>
      <c r="H2136" s="22"/>
      <c r="I2136" s="29"/>
      <c r="J2136" s="29"/>
      <c r="K2136" s="29"/>
      <c r="L2136" s="29"/>
    </row>
    <row r="2137">
      <c r="A2137" s="13"/>
      <c r="B2137" s="13"/>
      <c r="C2137" s="15"/>
      <c r="D2137" s="15"/>
      <c r="E2137" s="15"/>
      <c r="F2137" s="17"/>
      <c r="G2137" s="22"/>
      <c r="H2137" s="22"/>
      <c r="I2137" s="29"/>
      <c r="J2137" s="29"/>
      <c r="K2137" s="29"/>
      <c r="L2137" s="29"/>
    </row>
    <row r="2138">
      <c r="A2138" s="13"/>
      <c r="B2138" s="13"/>
      <c r="C2138" s="15"/>
      <c r="D2138" s="15"/>
      <c r="E2138" s="15"/>
      <c r="F2138" s="17"/>
      <c r="G2138" s="22"/>
      <c r="H2138" s="22"/>
      <c r="I2138" s="29"/>
      <c r="J2138" s="29"/>
      <c r="K2138" s="29"/>
      <c r="L2138" s="29"/>
    </row>
    <row r="2139">
      <c r="A2139" s="13"/>
      <c r="B2139" s="13"/>
      <c r="C2139" s="15"/>
      <c r="D2139" s="15"/>
      <c r="E2139" s="15"/>
      <c r="F2139" s="17"/>
      <c r="G2139" s="22"/>
      <c r="H2139" s="22"/>
      <c r="I2139" s="29"/>
      <c r="J2139" s="29"/>
      <c r="K2139" s="29"/>
      <c r="L2139" s="29"/>
    </row>
    <row r="2140">
      <c r="A2140" s="13"/>
      <c r="B2140" s="13"/>
      <c r="C2140" s="15"/>
      <c r="D2140" s="15"/>
      <c r="E2140" s="15"/>
      <c r="F2140" s="17"/>
      <c r="G2140" s="22"/>
      <c r="H2140" s="22"/>
      <c r="I2140" s="29"/>
      <c r="J2140" s="29"/>
      <c r="K2140" s="29"/>
      <c r="L2140" s="29"/>
    </row>
    <row r="2141">
      <c r="A2141" s="13"/>
      <c r="B2141" s="13"/>
      <c r="C2141" s="15"/>
      <c r="D2141" s="15"/>
      <c r="E2141" s="15"/>
      <c r="F2141" s="17"/>
      <c r="G2141" s="22"/>
      <c r="H2141" s="22"/>
      <c r="I2141" s="29"/>
      <c r="J2141" s="29"/>
      <c r="K2141" s="29"/>
      <c r="L2141" s="29"/>
    </row>
    <row r="2142">
      <c r="A2142" s="13"/>
      <c r="B2142" s="13"/>
      <c r="C2142" s="15"/>
      <c r="D2142" s="15"/>
      <c r="E2142" s="15"/>
      <c r="F2142" s="17"/>
      <c r="G2142" s="22"/>
      <c r="H2142" s="22"/>
      <c r="I2142" s="29"/>
      <c r="J2142" s="29"/>
      <c r="K2142" s="29"/>
      <c r="L2142" s="29"/>
    </row>
    <row r="2143">
      <c r="A2143" s="13"/>
      <c r="B2143" s="13"/>
      <c r="C2143" s="15"/>
      <c r="D2143" s="15"/>
      <c r="E2143" s="15"/>
      <c r="F2143" s="17"/>
      <c r="G2143" s="22"/>
      <c r="H2143" s="22"/>
      <c r="I2143" s="29"/>
      <c r="J2143" s="29"/>
      <c r="K2143" s="29"/>
      <c r="L2143" s="29"/>
    </row>
    <row r="2144">
      <c r="A2144" s="13"/>
      <c r="B2144" s="13"/>
      <c r="C2144" s="15"/>
      <c r="D2144" s="15"/>
      <c r="E2144" s="15"/>
      <c r="F2144" s="17"/>
      <c r="G2144" s="22"/>
      <c r="H2144" s="22"/>
      <c r="I2144" s="29"/>
      <c r="J2144" s="29"/>
      <c r="K2144" s="29"/>
      <c r="L2144" s="29"/>
    </row>
    <row r="2145">
      <c r="A2145" s="13"/>
      <c r="B2145" s="13"/>
      <c r="C2145" s="15"/>
      <c r="D2145" s="15"/>
      <c r="E2145" s="15"/>
      <c r="F2145" s="17"/>
      <c r="G2145" s="22"/>
      <c r="H2145" s="22"/>
      <c r="I2145" s="29"/>
      <c r="J2145" s="29"/>
      <c r="K2145" s="29"/>
      <c r="L2145" s="29"/>
    </row>
    <row r="2146">
      <c r="A2146" s="13"/>
      <c r="B2146" s="13"/>
      <c r="C2146" s="15"/>
      <c r="D2146" s="15"/>
      <c r="E2146" s="15"/>
      <c r="F2146" s="17"/>
      <c r="G2146" s="22"/>
      <c r="H2146" s="22"/>
      <c r="I2146" s="29"/>
      <c r="J2146" s="29"/>
      <c r="K2146" s="29"/>
      <c r="L2146" s="29"/>
    </row>
    <row r="2147">
      <c r="A2147" s="13"/>
      <c r="B2147" s="13"/>
      <c r="C2147" s="15"/>
      <c r="D2147" s="15"/>
      <c r="E2147" s="15"/>
      <c r="F2147" s="17"/>
      <c r="G2147" s="22"/>
      <c r="H2147" s="22"/>
      <c r="I2147" s="29"/>
      <c r="J2147" s="29"/>
      <c r="K2147" s="29"/>
      <c r="L2147" s="29"/>
    </row>
    <row r="2148">
      <c r="A2148" s="13"/>
      <c r="B2148" s="13"/>
      <c r="C2148" s="15"/>
      <c r="D2148" s="15"/>
      <c r="E2148" s="15"/>
      <c r="F2148" s="17"/>
      <c r="G2148" s="22"/>
      <c r="H2148" s="22"/>
      <c r="I2148" s="29"/>
      <c r="J2148" s="29"/>
      <c r="K2148" s="29"/>
      <c r="L2148" s="29"/>
    </row>
    <row r="2149">
      <c r="A2149" s="13"/>
      <c r="B2149" s="13"/>
      <c r="C2149" s="15"/>
      <c r="D2149" s="15"/>
      <c r="E2149" s="15"/>
      <c r="F2149" s="17"/>
      <c r="G2149" s="22"/>
      <c r="H2149" s="22"/>
      <c r="I2149" s="29"/>
      <c r="J2149" s="29"/>
      <c r="K2149" s="29"/>
      <c r="L2149" s="29"/>
    </row>
    <row r="2150">
      <c r="A2150" s="13"/>
      <c r="B2150" s="13"/>
      <c r="C2150" s="15"/>
      <c r="D2150" s="15"/>
      <c r="E2150" s="15"/>
      <c r="F2150" s="17"/>
      <c r="G2150" s="22"/>
      <c r="H2150" s="22"/>
      <c r="I2150" s="29"/>
      <c r="J2150" s="29"/>
      <c r="K2150" s="29"/>
      <c r="L2150" s="29"/>
    </row>
    <row r="2151">
      <c r="A2151" s="13"/>
      <c r="B2151" s="13"/>
      <c r="C2151" s="15"/>
      <c r="D2151" s="15"/>
      <c r="E2151" s="15"/>
      <c r="F2151" s="17"/>
      <c r="G2151" s="22"/>
      <c r="H2151" s="22"/>
      <c r="I2151" s="29"/>
      <c r="J2151" s="29"/>
      <c r="K2151" s="29"/>
      <c r="L2151" s="29"/>
    </row>
    <row r="2152">
      <c r="A2152" s="13"/>
      <c r="B2152" s="13"/>
      <c r="C2152" s="15"/>
      <c r="D2152" s="15"/>
      <c r="E2152" s="15"/>
      <c r="F2152" s="17"/>
      <c r="G2152" s="22"/>
      <c r="H2152" s="22"/>
      <c r="I2152" s="29"/>
      <c r="J2152" s="29"/>
      <c r="K2152" s="29"/>
      <c r="L2152" s="29"/>
    </row>
    <row r="2153">
      <c r="A2153" s="13"/>
      <c r="B2153" s="13"/>
      <c r="C2153" s="15"/>
      <c r="D2153" s="15"/>
      <c r="E2153" s="15"/>
      <c r="F2153" s="17"/>
      <c r="G2153" s="22"/>
      <c r="H2153" s="22"/>
      <c r="I2153" s="29"/>
      <c r="J2153" s="29"/>
      <c r="K2153" s="29"/>
      <c r="L2153" s="29"/>
    </row>
    <row r="2154">
      <c r="A2154" s="13"/>
      <c r="B2154" s="13"/>
      <c r="C2154" s="15"/>
      <c r="D2154" s="15"/>
      <c r="E2154" s="15"/>
      <c r="F2154" s="17"/>
      <c r="G2154" s="22"/>
      <c r="H2154" s="22"/>
      <c r="I2154" s="29"/>
      <c r="J2154" s="29"/>
      <c r="K2154" s="29"/>
      <c r="L2154" s="29"/>
    </row>
    <row r="2155">
      <c r="A2155" s="13"/>
      <c r="B2155" s="13"/>
      <c r="C2155" s="15"/>
      <c r="D2155" s="15"/>
      <c r="E2155" s="15"/>
      <c r="F2155" s="17"/>
      <c r="G2155" s="22"/>
      <c r="H2155" s="22"/>
      <c r="I2155" s="29"/>
      <c r="J2155" s="29"/>
      <c r="K2155" s="29"/>
      <c r="L2155" s="29"/>
    </row>
    <row r="2156">
      <c r="A2156" s="13"/>
      <c r="B2156" s="13"/>
      <c r="C2156" s="15"/>
      <c r="D2156" s="15"/>
      <c r="E2156" s="15"/>
      <c r="F2156" s="17"/>
      <c r="G2156" s="22"/>
      <c r="H2156" s="22"/>
      <c r="I2156" s="29"/>
      <c r="J2156" s="29"/>
      <c r="K2156" s="29"/>
      <c r="L2156" s="29"/>
    </row>
    <row r="2157">
      <c r="A2157" s="13"/>
      <c r="B2157" s="13"/>
      <c r="C2157" s="15"/>
      <c r="D2157" s="15"/>
      <c r="E2157" s="15"/>
      <c r="F2157" s="17"/>
      <c r="G2157" s="22"/>
      <c r="H2157" s="22"/>
      <c r="I2157" s="29"/>
      <c r="J2157" s="29"/>
      <c r="K2157" s="29"/>
      <c r="L2157" s="29"/>
    </row>
    <row r="2158">
      <c r="A2158" s="13"/>
      <c r="B2158" s="13"/>
      <c r="C2158" s="15"/>
      <c r="D2158" s="15"/>
      <c r="E2158" s="15"/>
      <c r="F2158" s="17"/>
      <c r="G2158" s="22"/>
      <c r="H2158" s="22"/>
      <c r="I2158" s="29"/>
      <c r="J2158" s="29"/>
      <c r="K2158" s="29"/>
      <c r="L2158" s="29"/>
    </row>
    <row r="2159">
      <c r="A2159" s="13"/>
      <c r="B2159" s="13"/>
      <c r="C2159" s="15"/>
      <c r="D2159" s="15"/>
      <c r="E2159" s="15"/>
      <c r="F2159" s="17"/>
      <c r="G2159" s="22"/>
      <c r="H2159" s="22"/>
      <c r="I2159" s="29"/>
      <c r="J2159" s="29"/>
      <c r="K2159" s="29"/>
      <c r="L2159" s="29"/>
    </row>
    <row r="2160">
      <c r="A2160" s="13"/>
      <c r="B2160" s="13"/>
      <c r="C2160" s="15"/>
      <c r="D2160" s="15"/>
      <c r="E2160" s="15"/>
      <c r="F2160" s="17"/>
      <c r="G2160" s="22"/>
      <c r="H2160" s="22"/>
      <c r="I2160" s="29"/>
      <c r="J2160" s="29"/>
      <c r="K2160" s="29"/>
      <c r="L2160" s="29"/>
    </row>
    <row r="2161">
      <c r="A2161" s="13"/>
      <c r="B2161" s="13"/>
      <c r="C2161" s="15"/>
      <c r="D2161" s="15"/>
      <c r="E2161" s="15"/>
      <c r="F2161" s="17"/>
      <c r="G2161" s="22"/>
      <c r="H2161" s="22"/>
      <c r="I2161" s="29"/>
      <c r="J2161" s="29"/>
      <c r="K2161" s="29"/>
      <c r="L2161" s="29"/>
    </row>
    <row r="2162">
      <c r="A2162" s="13"/>
      <c r="B2162" s="13"/>
      <c r="C2162" s="15"/>
      <c r="D2162" s="15"/>
      <c r="E2162" s="15"/>
      <c r="F2162" s="17"/>
      <c r="G2162" s="22"/>
      <c r="H2162" s="22"/>
      <c r="I2162" s="29"/>
      <c r="J2162" s="29"/>
      <c r="K2162" s="29"/>
      <c r="L2162" s="29"/>
    </row>
    <row r="2163">
      <c r="A2163" s="13"/>
      <c r="B2163" s="13"/>
      <c r="C2163" s="15"/>
      <c r="D2163" s="15"/>
      <c r="E2163" s="15"/>
      <c r="F2163" s="17"/>
      <c r="G2163" s="22"/>
      <c r="H2163" s="22"/>
      <c r="I2163" s="29"/>
      <c r="J2163" s="29"/>
      <c r="K2163" s="29"/>
      <c r="L2163" s="29"/>
    </row>
    <row r="2164">
      <c r="A2164" s="13"/>
      <c r="B2164" s="13"/>
      <c r="C2164" s="15"/>
      <c r="D2164" s="15"/>
      <c r="E2164" s="15"/>
      <c r="F2164" s="17"/>
      <c r="G2164" s="22"/>
      <c r="H2164" s="22"/>
      <c r="I2164" s="29"/>
      <c r="J2164" s="29"/>
      <c r="K2164" s="29"/>
      <c r="L2164" s="29"/>
    </row>
    <row r="2165">
      <c r="A2165" s="13"/>
      <c r="B2165" s="13"/>
      <c r="C2165" s="15"/>
      <c r="D2165" s="15"/>
      <c r="E2165" s="15"/>
      <c r="F2165" s="17"/>
      <c r="G2165" s="22"/>
      <c r="H2165" s="22"/>
      <c r="I2165" s="29"/>
      <c r="J2165" s="29"/>
      <c r="K2165" s="29"/>
      <c r="L2165" s="29"/>
    </row>
    <row r="2166">
      <c r="A2166" s="13"/>
      <c r="B2166" s="13"/>
      <c r="C2166" s="15"/>
      <c r="D2166" s="15"/>
      <c r="E2166" s="15"/>
      <c r="F2166" s="17"/>
      <c r="G2166" s="22"/>
      <c r="H2166" s="22"/>
      <c r="I2166" s="29"/>
      <c r="J2166" s="29"/>
      <c r="K2166" s="29"/>
      <c r="L2166" s="29"/>
    </row>
    <row r="2167">
      <c r="A2167" s="13"/>
      <c r="B2167" s="13"/>
      <c r="C2167" s="15"/>
      <c r="D2167" s="15"/>
      <c r="E2167" s="15"/>
      <c r="F2167" s="17"/>
      <c r="G2167" s="22"/>
      <c r="H2167" s="22"/>
      <c r="I2167" s="29"/>
      <c r="J2167" s="29"/>
      <c r="K2167" s="29"/>
      <c r="L2167" s="29"/>
    </row>
    <row r="2168">
      <c r="A2168" s="13"/>
      <c r="B2168" s="13"/>
      <c r="C2168" s="15"/>
      <c r="D2168" s="15"/>
      <c r="E2168" s="15"/>
      <c r="F2168" s="17"/>
      <c r="G2168" s="22"/>
      <c r="H2168" s="22"/>
      <c r="I2168" s="29"/>
      <c r="J2168" s="29"/>
      <c r="K2168" s="29"/>
      <c r="L2168" s="29"/>
    </row>
    <row r="2169">
      <c r="A2169" s="13"/>
      <c r="B2169" s="13"/>
      <c r="C2169" s="15"/>
      <c r="D2169" s="15"/>
      <c r="E2169" s="15"/>
      <c r="F2169" s="17"/>
      <c r="G2169" s="22"/>
      <c r="H2169" s="22"/>
      <c r="I2169" s="29"/>
      <c r="J2169" s="29"/>
      <c r="K2169" s="29"/>
      <c r="L2169" s="29"/>
    </row>
    <row r="2170">
      <c r="A2170" s="13"/>
      <c r="B2170" s="13"/>
      <c r="C2170" s="15"/>
      <c r="D2170" s="15"/>
      <c r="E2170" s="15"/>
      <c r="F2170" s="17"/>
      <c r="G2170" s="22"/>
      <c r="H2170" s="22"/>
      <c r="I2170" s="29"/>
      <c r="J2170" s="29"/>
      <c r="K2170" s="29"/>
      <c r="L2170" s="29"/>
    </row>
    <row r="2171">
      <c r="A2171" s="13"/>
      <c r="B2171" s="13"/>
      <c r="C2171" s="15"/>
      <c r="D2171" s="15"/>
      <c r="E2171" s="15"/>
      <c r="F2171" s="17"/>
      <c r="G2171" s="22"/>
      <c r="H2171" s="22"/>
      <c r="I2171" s="29"/>
      <c r="J2171" s="29"/>
      <c r="K2171" s="29"/>
      <c r="L2171" s="29"/>
    </row>
    <row r="2172">
      <c r="A2172" s="13"/>
      <c r="B2172" s="13"/>
      <c r="C2172" s="15"/>
      <c r="D2172" s="15"/>
      <c r="E2172" s="15"/>
      <c r="F2172" s="17"/>
      <c r="G2172" s="22"/>
      <c r="H2172" s="22"/>
      <c r="I2172" s="29"/>
      <c r="J2172" s="29"/>
      <c r="K2172" s="29"/>
      <c r="L2172" s="29"/>
    </row>
    <row r="2173">
      <c r="A2173" s="13"/>
      <c r="B2173" s="13"/>
      <c r="C2173" s="15"/>
      <c r="D2173" s="15"/>
      <c r="E2173" s="15"/>
      <c r="F2173" s="17"/>
      <c r="G2173" s="22"/>
      <c r="H2173" s="22"/>
      <c r="I2173" s="29"/>
      <c r="J2173" s="29"/>
      <c r="K2173" s="29"/>
      <c r="L2173" s="29"/>
    </row>
    <row r="2174">
      <c r="A2174" s="13"/>
      <c r="B2174" s="13"/>
      <c r="C2174" s="15"/>
      <c r="D2174" s="15"/>
      <c r="E2174" s="15"/>
      <c r="F2174" s="17"/>
      <c r="G2174" s="22"/>
      <c r="H2174" s="22"/>
      <c r="I2174" s="29"/>
      <c r="J2174" s="29"/>
      <c r="K2174" s="29"/>
      <c r="L2174" s="29"/>
    </row>
    <row r="2175">
      <c r="A2175" s="13"/>
      <c r="B2175" s="13"/>
      <c r="C2175" s="15"/>
      <c r="D2175" s="15"/>
      <c r="E2175" s="15"/>
      <c r="F2175" s="17"/>
      <c r="G2175" s="22"/>
      <c r="H2175" s="22"/>
      <c r="I2175" s="29"/>
      <c r="J2175" s="29"/>
      <c r="K2175" s="29"/>
      <c r="L2175" s="29"/>
    </row>
    <row r="2176">
      <c r="A2176" s="13"/>
      <c r="B2176" s="13"/>
      <c r="C2176" s="15"/>
      <c r="D2176" s="15"/>
      <c r="E2176" s="15"/>
      <c r="F2176" s="17"/>
      <c r="G2176" s="22"/>
      <c r="H2176" s="22"/>
      <c r="I2176" s="29"/>
      <c r="J2176" s="29"/>
      <c r="K2176" s="29"/>
      <c r="L2176" s="29"/>
    </row>
    <row r="2177">
      <c r="A2177" s="13"/>
      <c r="B2177" s="13"/>
      <c r="C2177" s="15"/>
      <c r="D2177" s="15"/>
      <c r="E2177" s="15"/>
      <c r="F2177" s="17"/>
      <c r="G2177" s="22"/>
      <c r="H2177" s="22"/>
      <c r="I2177" s="29"/>
      <c r="J2177" s="29"/>
      <c r="K2177" s="29"/>
      <c r="L2177" s="29"/>
    </row>
    <row r="2178">
      <c r="A2178" s="13"/>
      <c r="B2178" s="13"/>
      <c r="C2178" s="15"/>
      <c r="D2178" s="15"/>
      <c r="E2178" s="15"/>
      <c r="F2178" s="17"/>
      <c r="G2178" s="22"/>
      <c r="H2178" s="22"/>
      <c r="I2178" s="29"/>
      <c r="J2178" s="29"/>
      <c r="K2178" s="29"/>
      <c r="L2178" s="29"/>
    </row>
    <row r="2179">
      <c r="A2179" s="13"/>
      <c r="B2179" s="13"/>
      <c r="C2179" s="15"/>
      <c r="D2179" s="15"/>
      <c r="E2179" s="15"/>
      <c r="F2179" s="17"/>
      <c r="G2179" s="22"/>
      <c r="H2179" s="22"/>
      <c r="I2179" s="29"/>
      <c r="J2179" s="29"/>
      <c r="K2179" s="29"/>
      <c r="L2179" s="29"/>
    </row>
    <row r="2180">
      <c r="A2180" s="13"/>
      <c r="B2180" s="13"/>
      <c r="C2180" s="15"/>
      <c r="D2180" s="15"/>
      <c r="E2180" s="15"/>
      <c r="F2180" s="17"/>
      <c r="G2180" s="22"/>
      <c r="H2180" s="22"/>
      <c r="I2180" s="29"/>
      <c r="J2180" s="29"/>
      <c r="K2180" s="29"/>
      <c r="L2180" s="29"/>
    </row>
    <row r="2181">
      <c r="A2181" s="13"/>
      <c r="B2181" s="13"/>
      <c r="C2181" s="15"/>
      <c r="D2181" s="15"/>
      <c r="E2181" s="15"/>
      <c r="F2181" s="17"/>
      <c r="G2181" s="22"/>
      <c r="H2181" s="22"/>
      <c r="I2181" s="29"/>
      <c r="J2181" s="29"/>
      <c r="K2181" s="29"/>
      <c r="L2181" s="29"/>
    </row>
    <row r="2182">
      <c r="A2182" s="13"/>
      <c r="B2182" s="13"/>
      <c r="C2182" s="15"/>
      <c r="D2182" s="15"/>
      <c r="E2182" s="15"/>
      <c r="F2182" s="17"/>
      <c r="G2182" s="22"/>
      <c r="H2182" s="22"/>
      <c r="I2182" s="29"/>
      <c r="J2182" s="29"/>
      <c r="K2182" s="29"/>
      <c r="L2182" s="29"/>
    </row>
    <row r="2183">
      <c r="A2183" s="13"/>
      <c r="B2183" s="13"/>
      <c r="C2183" s="15"/>
      <c r="D2183" s="15"/>
      <c r="E2183" s="15"/>
      <c r="F2183" s="17"/>
      <c r="G2183" s="22"/>
      <c r="H2183" s="22"/>
      <c r="I2183" s="29"/>
      <c r="J2183" s="29"/>
      <c r="K2183" s="29"/>
      <c r="L2183" s="29"/>
    </row>
    <row r="2184">
      <c r="A2184" s="13"/>
      <c r="B2184" s="13"/>
      <c r="C2184" s="15"/>
      <c r="D2184" s="15"/>
      <c r="E2184" s="15"/>
      <c r="F2184" s="17"/>
      <c r="G2184" s="22"/>
      <c r="H2184" s="22"/>
      <c r="I2184" s="29"/>
      <c r="J2184" s="29"/>
      <c r="K2184" s="29"/>
      <c r="L2184" s="29"/>
    </row>
    <row r="2185">
      <c r="A2185" s="13"/>
      <c r="B2185" s="13"/>
      <c r="C2185" s="15"/>
      <c r="D2185" s="15"/>
      <c r="E2185" s="15"/>
      <c r="F2185" s="17"/>
      <c r="G2185" s="22"/>
      <c r="H2185" s="22"/>
      <c r="I2185" s="29"/>
      <c r="J2185" s="29"/>
      <c r="K2185" s="29"/>
      <c r="L2185" s="29"/>
    </row>
    <row r="2186">
      <c r="A2186" s="13"/>
      <c r="B2186" s="13"/>
      <c r="C2186" s="15"/>
      <c r="D2186" s="15"/>
      <c r="E2186" s="15"/>
      <c r="F2186" s="17"/>
      <c r="G2186" s="22"/>
      <c r="H2186" s="22"/>
      <c r="I2186" s="29"/>
      <c r="J2186" s="29"/>
      <c r="K2186" s="29"/>
      <c r="L2186" s="29"/>
    </row>
    <row r="2187">
      <c r="A2187" s="13"/>
      <c r="B2187" s="13"/>
      <c r="C2187" s="15"/>
      <c r="D2187" s="15"/>
      <c r="E2187" s="15"/>
      <c r="F2187" s="17"/>
      <c r="G2187" s="22"/>
      <c r="H2187" s="22"/>
      <c r="I2187" s="29"/>
      <c r="J2187" s="29"/>
      <c r="K2187" s="29"/>
      <c r="L2187" s="29"/>
    </row>
    <row r="2188">
      <c r="A2188" s="13"/>
      <c r="B2188" s="13"/>
      <c r="C2188" s="15"/>
      <c r="D2188" s="15"/>
      <c r="E2188" s="15"/>
      <c r="F2188" s="17"/>
      <c r="G2188" s="22"/>
      <c r="H2188" s="22"/>
      <c r="I2188" s="29"/>
      <c r="J2188" s="29"/>
      <c r="K2188" s="29"/>
      <c r="L2188" s="29"/>
    </row>
    <row r="2189">
      <c r="A2189" s="13"/>
      <c r="B2189" s="13"/>
      <c r="C2189" s="15"/>
      <c r="D2189" s="15"/>
      <c r="E2189" s="15"/>
      <c r="F2189" s="17"/>
      <c r="G2189" s="22"/>
      <c r="H2189" s="22"/>
      <c r="I2189" s="29"/>
      <c r="J2189" s="29"/>
      <c r="K2189" s="29"/>
      <c r="L2189" s="29"/>
    </row>
    <row r="2190">
      <c r="A2190" s="13"/>
      <c r="B2190" s="13"/>
      <c r="C2190" s="15"/>
      <c r="D2190" s="15"/>
      <c r="E2190" s="15"/>
      <c r="F2190" s="17"/>
      <c r="G2190" s="22"/>
      <c r="H2190" s="22"/>
      <c r="I2190" s="29"/>
      <c r="J2190" s="29"/>
      <c r="K2190" s="29"/>
      <c r="L2190" s="29"/>
    </row>
    <row r="2191">
      <c r="A2191" s="13"/>
      <c r="B2191" s="13"/>
      <c r="C2191" s="15"/>
      <c r="D2191" s="15"/>
      <c r="E2191" s="15"/>
      <c r="F2191" s="17"/>
      <c r="G2191" s="22"/>
      <c r="H2191" s="22"/>
      <c r="I2191" s="29"/>
      <c r="J2191" s="29"/>
      <c r="K2191" s="29"/>
      <c r="L2191" s="29"/>
    </row>
    <row r="2192">
      <c r="A2192" s="13"/>
      <c r="B2192" s="13"/>
      <c r="C2192" s="15"/>
      <c r="D2192" s="15"/>
      <c r="E2192" s="15"/>
      <c r="F2192" s="17"/>
      <c r="G2192" s="22"/>
      <c r="H2192" s="22"/>
      <c r="I2192" s="29"/>
      <c r="J2192" s="29"/>
      <c r="K2192" s="29"/>
      <c r="L2192" s="29"/>
    </row>
    <row r="2193">
      <c r="A2193" s="13"/>
      <c r="B2193" s="13"/>
      <c r="C2193" s="15"/>
      <c r="D2193" s="15"/>
      <c r="E2193" s="15"/>
      <c r="F2193" s="17"/>
      <c r="G2193" s="22"/>
      <c r="H2193" s="22"/>
      <c r="I2193" s="29"/>
      <c r="J2193" s="29"/>
      <c r="K2193" s="29"/>
      <c r="L2193" s="29"/>
    </row>
    <row r="2194">
      <c r="A2194" s="13"/>
      <c r="B2194" s="13"/>
      <c r="C2194" s="15"/>
      <c r="D2194" s="15"/>
      <c r="E2194" s="15"/>
      <c r="F2194" s="17"/>
      <c r="G2194" s="22"/>
      <c r="H2194" s="22"/>
      <c r="I2194" s="29"/>
      <c r="J2194" s="29"/>
      <c r="K2194" s="29"/>
      <c r="L2194" s="29"/>
    </row>
    <row r="2195">
      <c r="A2195" s="13"/>
      <c r="B2195" s="13"/>
      <c r="C2195" s="15"/>
      <c r="D2195" s="15"/>
      <c r="E2195" s="15"/>
      <c r="F2195" s="17"/>
      <c r="G2195" s="22"/>
      <c r="H2195" s="22"/>
      <c r="I2195" s="29"/>
      <c r="J2195" s="29"/>
      <c r="K2195" s="29"/>
      <c r="L2195" s="29"/>
    </row>
    <row r="2196">
      <c r="A2196" s="13"/>
      <c r="B2196" s="13"/>
      <c r="C2196" s="15"/>
      <c r="D2196" s="15"/>
      <c r="E2196" s="15"/>
      <c r="F2196" s="17"/>
      <c r="G2196" s="22"/>
      <c r="H2196" s="22"/>
      <c r="I2196" s="29"/>
      <c r="J2196" s="29"/>
      <c r="K2196" s="29"/>
      <c r="L2196" s="29"/>
    </row>
    <row r="2197">
      <c r="A2197" s="13"/>
      <c r="B2197" s="13"/>
      <c r="C2197" s="15"/>
      <c r="D2197" s="15"/>
      <c r="E2197" s="15"/>
      <c r="F2197" s="17"/>
      <c r="G2197" s="22"/>
      <c r="H2197" s="22"/>
      <c r="I2197" s="29"/>
      <c r="J2197" s="29"/>
      <c r="K2197" s="29"/>
      <c r="L2197" s="29"/>
    </row>
    <row r="2198">
      <c r="A2198" s="13"/>
      <c r="B2198" s="13"/>
      <c r="C2198" s="15"/>
      <c r="D2198" s="15"/>
      <c r="E2198" s="15"/>
      <c r="F2198" s="17"/>
      <c r="G2198" s="22"/>
      <c r="H2198" s="22"/>
      <c r="I2198" s="29"/>
      <c r="J2198" s="29"/>
      <c r="K2198" s="29"/>
      <c r="L2198" s="29"/>
    </row>
    <row r="2199">
      <c r="A2199" s="13"/>
      <c r="B2199" s="13"/>
      <c r="C2199" s="15"/>
      <c r="D2199" s="15"/>
      <c r="E2199" s="15"/>
      <c r="F2199" s="17"/>
      <c r="G2199" s="22"/>
      <c r="H2199" s="22"/>
      <c r="I2199" s="29"/>
      <c r="J2199" s="29"/>
      <c r="K2199" s="29"/>
      <c r="L2199" s="29"/>
    </row>
    <row r="2200">
      <c r="A2200" s="13"/>
      <c r="B2200" s="13"/>
      <c r="C2200" s="15"/>
      <c r="D2200" s="15"/>
      <c r="E2200" s="15"/>
      <c r="F2200" s="17"/>
      <c r="G2200" s="22"/>
      <c r="H2200" s="22"/>
      <c r="I2200" s="29"/>
      <c r="J2200" s="29"/>
      <c r="K2200" s="29"/>
      <c r="L2200" s="29"/>
    </row>
    <row r="2201">
      <c r="A2201" s="13"/>
      <c r="B2201" s="13"/>
      <c r="C2201" s="15"/>
      <c r="D2201" s="15"/>
      <c r="E2201" s="15"/>
      <c r="F2201" s="17"/>
      <c r="G2201" s="22"/>
      <c r="H2201" s="22"/>
      <c r="I2201" s="29"/>
      <c r="J2201" s="29"/>
      <c r="K2201" s="29"/>
      <c r="L2201" s="29"/>
    </row>
    <row r="2202">
      <c r="A2202" s="13"/>
      <c r="B2202" s="13"/>
      <c r="C2202" s="15"/>
      <c r="D2202" s="15"/>
      <c r="E2202" s="15"/>
      <c r="F2202" s="17"/>
      <c r="G2202" s="22"/>
      <c r="H2202" s="22"/>
      <c r="I2202" s="29"/>
      <c r="J2202" s="29"/>
      <c r="K2202" s="29"/>
      <c r="L2202" s="29"/>
    </row>
    <row r="2203">
      <c r="A2203" s="13"/>
      <c r="B2203" s="13"/>
      <c r="C2203" s="15"/>
      <c r="D2203" s="15"/>
      <c r="E2203" s="15"/>
      <c r="F2203" s="17"/>
      <c r="G2203" s="22"/>
      <c r="H2203" s="22"/>
      <c r="I2203" s="29"/>
      <c r="J2203" s="29"/>
      <c r="K2203" s="29"/>
      <c r="L2203" s="29"/>
    </row>
    <row r="2204">
      <c r="A2204" s="13"/>
      <c r="B2204" s="13"/>
      <c r="C2204" s="15"/>
      <c r="D2204" s="15"/>
      <c r="E2204" s="15"/>
      <c r="F2204" s="17"/>
      <c r="G2204" s="22"/>
      <c r="H2204" s="22"/>
      <c r="I2204" s="29"/>
      <c r="J2204" s="29"/>
      <c r="K2204" s="29"/>
      <c r="L2204" s="29"/>
    </row>
    <row r="2205">
      <c r="A2205" s="13"/>
      <c r="B2205" s="13"/>
      <c r="C2205" s="15"/>
      <c r="D2205" s="15"/>
      <c r="E2205" s="15"/>
      <c r="F2205" s="17"/>
      <c r="G2205" s="22"/>
      <c r="H2205" s="22"/>
      <c r="I2205" s="29"/>
      <c r="J2205" s="29"/>
      <c r="K2205" s="29"/>
      <c r="L2205" s="29"/>
    </row>
    <row r="2206">
      <c r="A2206" s="13"/>
      <c r="B2206" s="13"/>
      <c r="C2206" s="15"/>
      <c r="D2206" s="15"/>
      <c r="E2206" s="15"/>
      <c r="F2206" s="17"/>
      <c r="G2206" s="22"/>
      <c r="H2206" s="22"/>
      <c r="I2206" s="29"/>
      <c r="J2206" s="29"/>
      <c r="K2206" s="29"/>
      <c r="L2206" s="29"/>
    </row>
    <row r="2207">
      <c r="A2207" s="13"/>
      <c r="B2207" s="13"/>
      <c r="C2207" s="15"/>
      <c r="D2207" s="15"/>
      <c r="E2207" s="15"/>
      <c r="F2207" s="17"/>
      <c r="G2207" s="22"/>
      <c r="H2207" s="22"/>
      <c r="I2207" s="29"/>
      <c r="J2207" s="29"/>
      <c r="K2207" s="29"/>
      <c r="L2207" s="29"/>
    </row>
    <row r="2208">
      <c r="A2208" s="13"/>
      <c r="B2208" s="13"/>
      <c r="C2208" s="15"/>
      <c r="D2208" s="15"/>
      <c r="E2208" s="15"/>
      <c r="F2208" s="17"/>
      <c r="G2208" s="22"/>
      <c r="H2208" s="22"/>
      <c r="I2208" s="29"/>
      <c r="J2208" s="29"/>
      <c r="K2208" s="29"/>
      <c r="L2208" s="29"/>
    </row>
    <row r="2209">
      <c r="A2209" s="13"/>
      <c r="B2209" s="13"/>
      <c r="C2209" s="15"/>
      <c r="D2209" s="15"/>
      <c r="E2209" s="15"/>
      <c r="F2209" s="17"/>
      <c r="G2209" s="22"/>
      <c r="H2209" s="22"/>
      <c r="I2209" s="29"/>
      <c r="J2209" s="29"/>
      <c r="K2209" s="29"/>
      <c r="L2209" s="29"/>
    </row>
    <row r="2210">
      <c r="A2210" s="13"/>
      <c r="B2210" s="13"/>
      <c r="C2210" s="15"/>
      <c r="D2210" s="15"/>
      <c r="E2210" s="15"/>
      <c r="F2210" s="17"/>
      <c r="G2210" s="22"/>
      <c r="H2210" s="22"/>
      <c r="I2210" s="29"/>
      <c r="J2210" s="29"/>
      <c r="K2210" s="29"/>
      <c r="L2210" s="29"/>
    </row>
    <row r="2211">
      <c r="A2211" s="13"/>
      <c r="B2211" s="13"/>
      <c r="C2211" s="15"/>
      <c r="D2211" s="15"/>
      <c r="E2211" s="15"/>
      <c r="F2211" s="17"/>
      <c r="G2211" s="22"/>
      <c r="H2211" s="22"/>
      <c r="I2211" s="29"/>
      <c r="J2211" s="29"/>
      <c r="K2211" s="29"/>
      <c r="L2211" s="29"/>
    </row>
    <row r="2212">
      <c r="A2212" s="13"/>
      <c r="B2212" s="13"/>
      <c r="C2212" s="15"/>
      <c r="D2212" s="15"/>
      <c r="E2212" s="15"/>
      <c r="F2212" s="17"/>
      <c r="G2212" s="22"/>
      <c r="H2212" s="22"/>
      <c r="I2212" s="29"/>
      <c r="J2212" s="29"/>
      <c r="K2212" s="29"/>
      <c r="L2212" s="29"/>
    </row>
    <row r="2213">
      <c r="A2213" s="13"/>
      <c r="B2213" s="13"/>
      <c r="C2213" s="15"/>
      <c r="D2213" s="15"/>
      <c r="E2213" s="15"/>
      <c r="F2213" s="17"/>
      <c r="G2213" s="22"/>
      <c r="H2213" s="22"/>
      <c r="I2213" s="29"/>
      <c r="J2213" s="29"/>
      <c r="K2213" s="29"/>
      <c r="L2213" s="29"/>
    </row>
    <row r="2214">
      <c r="A2214" s="13"/>
      <c r="B2214" s="13"/>
      <c r="C2214" s="15"/>
      <c r="D2214" s="15"/>
      <c r="E2214" s="15"/>
      <c r="F2214" s="17"/>
      <c r="G2214" s="22"/>
      <c r="H2214" s="22"/>
      <c r="I2214" s="29"/>
      <c r="J2214" s="29"/>
      <c r="K2214" s="29"/>
      <c r="L2214" s="29"/>
    </row>
    <row r="2215">
      <c r="A2215" s="13"/>
      <c r="B2215" s="13"/>
      <c r="C2215" s="15"/>
      <c r="D2215" s="15"/>
      <c r="E2215" s="15"/>
      <c r="F2215" s="17"/>
      <c r="G2215" s="22"/>
      <c r="H2215" s="22"/>
      <c r="I2215" s="29"/>
      <c r="J2215" s="29"/>
      <c r="K2215" s="29"/>
      <c r="L2215" s="29"/>
    </row>
    <row r="2216">
      <c r="A2216" s="13"/>
      <c r="B2216" s="13"/>
      <c r="C2216" s="15"/>
      <c r="D2216" s="15"/>
      <c r="E2216" s="15"/>
      <c r="F2216" s="17"/>
      <c r="G2216" s="22"/>
      <c r="H2216" s="22"/>
      <c r="I2216" s="29"/>
      <c r="J2216" s="29"/>
      <c r="K2216" s="29"/>
      <c r="L2216" s="29"/>
    </row>
    <row r="2217">
      <c r="A2217" s="13"/>
      <c r="B2217" s="13"/>
      <c r="C2217" s="15"/>
      <c r="D2217" s="15"/>
      <c r="E2217" s="15"/>
      <c r="F2217" s="17"/>
      <c r="G2217" s="22"/>
      <c r="H2217" s="22"/>
      <c r="I2217" s="29"/>
      <c r="J2217" s="29"/>
      <c r="K2217" s="29"/>
      <c r="L2217" s="29"/>
    </row>
    <row r="2218">
      <c r="A2218" s="13"/>
      <c r="B2218" s="13"/>
      <c r="C2218" s="15"/>
      <c r="D2218" s="15"/>
      <c r="E2218" s="15"/>
      <c r="F2218" s="17"/>
      <c r="G2218" s="22"/>
      <c r="H2218" s="22"/>
      <c r="I2218" s="29"/>
      <c r="J2218" s="29"/>
      <c r="K2218" s="29"/>
      <c r="L2218" s="29"/>
    </row>
    <row r="2219">
      <c r="A2219" s="13"/>
      <c r="B2219" s="13"/>
      <c r="C2219" s="15"/>
      <c r="D2219" s="15"/>
      <c r="E2219" s="15"/>
      <c r="F2219" s="17"/>
      <c r="G2219" s="22"/>
      <c r="H2219" s="22"/>
      <c r="I2219" s="29"/>
      <c r="J2219" s="29"/>
      <c r="K2219" s="29"/>
      <c r="L2219" s="29"/>
    </row>
    <row r="2220">
      <c r="A2220" s="13"/>
      <c r="B2220" s="13"/>
      <c r="C2220" s="15"/>
      <c r="D2220" s="15"/>
      <c r="E2220" s="15"/>
      <c r="F2220" s="17"/>
      <c r="G2220" s="22"/>
      <c r="H2220" s="22"/>
      <c r="I2220" s="29"/>
      <c r="J2220" s="29"/>
      <c r="K2220" s="29"/>
      <c r="L2220" s="29"/>
    </row>
    <row r="2221">
      <c r="A2221" s="13"/>
      <c r="B2221" s="13"/>
      <c r="C2221" s="15"/>
      <c r="D2221" s="15"/>
      <c r="E2221" s="15"/>
      <c r="F2221" s="17"/>
      <c r="G2221" s="22"/>
      <c r="H2221" s="22"/>
      <c r="I2221" s="29"/>
      <c r="J2221" s="29"/>
      <c r="K2221" s="29"/>
      <c r="L2221" s="29"/>
    </row>
    <row r="2222">
      <c r="A2222" s="13"/>
      <c r="B2222" s="13"/>
      <c r="C2222" s="15"/>
      <c r="D2222" s="15"/>
      <c r="E2222" s="15"/>
      <c r="F2222" s="17"/>
      <c r="G2222" s="22"/>
      <c r="H2222" s="22"/>
      <c r="I2222" s="29"/>
      <c r="J2222" s="29"/>
      <c r="K2222" s="29"/>
      <c r="L2222" s="29"/>
    </row>
    <row r="2223">
      <c r="A2223" s="13"/>
      <c r="B2223" s="13"/>
      <c r="C2223" s="15"/>
      <c r="D2223" s="15"/>
      <c r="E2223" s="15"/>
      <c r="F2223" s="17"/>
      <c r="G2223" s="22"/>
      <c r="H2223" s="22"/>
      <c r="I2223" s="29"/>
      <c r="J2223" s="29"/>
      <c r="K2223" s="29"/>
      <c r="L2223" s="29"/>
    </row>
    <row r="2224">
      <c r="A2224" s="13"/>
      <c r="B2224" s="13"/>
      <c r="C2224" s="15"/>
      <c r="D2224" s="15"/>
      <c r="E2224" s="15"/>
      <c r="F2224" s="17"/>
      <c r="G2224" s="22"/>
      <c r="H2224" s="22"/>
      <c r="I2224" s="29"/>
      <c r="J2224" s="29"/>
      <c r="K2224" s="29"/>
      <c r="L2224" s="29"/>
    </row>
    <row r="2225">
      <c r="A2225" s="13"/>
      <c r="B2225" s="13"/>
      <c r="C2225" s="15"/>
      <c r="D2225" s="15"/>
      <c r="E2225" s="15"/>
      <c r="F2225" s="17"/>
      <c r="G2225" s="22"/>
      <c r="H2225" s="22"/>
      <c r="I2225" s="29"/>
      <c r="J2225" s="29"/>
      <c r="K2225" s="29"/>
      <c r="L2225" s="29"/>
    </row>
    <row r="2226">
      <c r="A2226" s="13"/>
      <c r="B2226" s="13"/>
      <c r="C2226" s="15"/>
      <c r="D2226" s="15"/>
      <c r="E2226" s="15"/>
      <c r="F2226" s="17"/>
      <c r="G2226" s="22"/>
      <c r="H2226" s="22"/>
      <c r="I2226" s="29"/>
      <c r="J2226" s="29"/>
      <c r="K2226" s="29"/>
      <c r="L2226" s="29"/>
    </row>
    <row r="2227">
      <c r="A2227" s="13"/>
      <c r="B2227" s="13"/>
      <c r="C2227" s="15"/>
      <c r="D2227" s="15"/>
      <c r="E2227" s="15"/>
      <c r="F2227" s="17"/>
      <c r="G2227" s="22"/>
      <c r="H2227" s="22"/>
      <c r="I2227" s="29"/>
      <c r="J2227" s="29"/>
      <c r="K2227" s="29"/>
      <c r="L2227" s="29"/>
    </row>
    <row r="2228">
      <c r="A2228" s="13"/>
      <c r="B2228" s="13"/>
      <c r="C2228" s="15"/>
      <c r="D2228" s="15"/>
      <c r="E2228" s="15"/>
      <c r="F2228" s="17"/>
      <c r="G2228" s="22"/>
      <c r="H2228" s="22"/>
      <c r="I2228" s="29"/>
      <c r="J2228" s="29"/>
      <c r="K2228" s="29"/>
      <c r="L2228" s="29"/>
    </row>
    <row r="2229">
      <c r="A2229" s="13"/>
      <c r="B2229" s="13"/>
      <c r="C2229" s="15"/>
      <c r="D2229" s="15"/>
      <c r="E2229" s="15"/>
      <c r="F2229" s="17"/>
      <c r="G2229" s="22"/>
      <c r="H2229" s="22"/>
      <c r="I2229" s="29"/>
      <c r="J2229" s="29"/>
      <c r="K2229" s="29"/>
      <c r="L2229" s="29"/>
    </row>
    <row r="2230">
      <c r="A2230" s="13"/>
      <c r="B2230" s="13"/>
      <c r="C2230" s="15"/>
      <c r="D2230" s="15"/>
      <c r="E2230" s="15"/>
      <c r="F2230" s="17"/>
      <c r="G2230" s="22"/>
      <c r="H2230" s="22"/>
      <c r="I2230" s="29"/>
      <c r="J2230" s="29"/>
      <c r="K2230" s="29"/>
      <c r="L2230" s="29"/>
    </row>
    <row r="2231">
      <c r="A2231" s="13"/>
      <c r="B2231" s="13"/>
      <c r="C2231" s="15"/>
      <c r="D2231" s="15"/>
      <c r="E2231" s="15"/>
      <c r="F2231" s="17"/>
      <c r="G2231" s="22"/>
      <c r="H2231" s="22"/>
      <c r="I2231" s="29"/>
      <c r="J2231" s="29"/>
      <c r="K2231" s="29"/>
      <c r="L2231" s="29"/>
    </row>
    <row r="2232">
      <c r="A2232" s="13"/>
      <c r="B2232" s="13"/>
      <c r="C2232" s="15"/>
      <c r="D2232" s="15"/>
      <c r="E2232" s="15"/>
      <c r="F2232" s="17"/>
      <c r="G2232" s="22"/>
      <c r="H2232" s="22"/>
      <c r="I2232" s="29"/>
      <c r="J2232" s="29"/>
      <c r="K2232" s="29"/>
      <c r="L2232" s="29"/>
    </row>
    <row r="2233">
      <c r="A2233" s="13"/>
      <c r="B2233" s="13"/>
      <c r="C2233" s="15"/>
      <c r="D2233" s="15"/>
      <c r="E2233" s="15"/>
      <c r="F2233" s="17"/>
      <c r="G2233" s="22"/>
      <c r="H2233" s="22"/>
      <c r="I2233" s="29"/>
      <c r="J2233" s="29"/>
      <c r="K2233" s="29"/>
      <c r="L2233" s="29"/>
    </row>
    <row r="2234">
      <c r="A2234" s="13"/>
      <c r="B2234" s="13"/>
      <c r="C2234" s="15"/>
      <c r="D2234" s="15"/>
      <c r="E2234" s="15"/>
      <c r="F2234" s="17"/>
      <c r="G2234" s="22"/>
      <c r="H2234" s="22"/>
      <c r="I2234" s="29"/>
      <c r="J2234" s="29"/>
      <c r="K2234" s="29"/>
      <c r="L2234" s="29"/>
    </row>
    <row r="2235">
      <c r="A2235" s="13"/>
      <c r="B2235" s="13"/>
      <c r="C2235" s="15"/>
      <c r="D2235" s="15"/>
      <c r="E2235" s="15"/>
      <c r="F2235" s="17"/>
      <c r="G2235" s="22"/>
      <c r="H2235" s="22"/>
      <c r="I2235" s="29"/>
      <c r="J2235" s="29"/>
      <c r="K2235" s="29"/>
      <c r="L2235" s="29"/>
    </row>
    <row r="2236">
      <c r="A2236" s="13"/>
      <c r="B2236" s="13"/>
      <c r="C2236" s="15"/>
      <c r="D2236" s="15"/>
      <c r="E2236" s="15"/>
      <c r="F2236" s="17"/>
      <c r="G2236" s="22"/>
      <c r="H2236" s="22"/>
      <c r="I2236" s="29"/>
      <c r="J2236" s="29"/>
      <c r="K2236" s="29"/>
      <c r="L2236" s="29"/>
    </row>
    <row r="2237">
      <c r="A2237" s="13"/>
      <c r="B2237" s="13"/>
      <c r="C2237" s="15"/>
      <c r="D2237" s="15"/>
      <c r="E2237" s="15"/>
      <c r="F2237" s="17"/>
      <c r="G2237" s="22"/>
      <c r="H2237" s="22"/>
      <c r="I2237" s="29"/>
      <c r="J2237" s="29"/>
      <c r="K2237" s="29"/>
      <c r="L2237" s="29"/>
    </row>
    <row r="2238">
      <c r="A2238" s="13"/>
      <c r="B2238" s="13"/>
      <c r="C2238" s="15"/>
      <c r="D2238" s="15"/>
      <c r="E2238" s="15"/>
      <c r="F2238" s="17"/>
      <c r="G2238" s="22"/>
      <c r="H2238" s="22"/>
      <c r="I2238" s="29"/>
      <c r="J2238" s="29"/>
      <c r="K2238" s="29"/>
      <c r="L2238" s="29"/>
    </row>
    <row r="2239">
      <c r="A2239" s="13"/>
      <c r="B2239" s="13"/>
      <c r="C2239" s="15"/>
      <c r="D2239" s="15"/>
      <c r="E2239" s="15"/>
      <c r="F2239" s="17"/>
      <c r="G2239" s="22"/>
      <c r="H2239" s="22"/>
      <c r="I2239" s="29"/>
      <c r="J2239" s="29"/>
      <c r="K2239" s="29"/>
      <c r="L2239" s="29"/>
    </row>
    <row r="2240">
      <c r="A2240" s="13"/>
      <c r="B2240" s="13"/>
      <c r="C2240" s="15"/>
      <c r="D2240" s="15"/>
      <c r="E2240" s="15"/>
      <c r="F2240" s="17"/>
      <c r="G2240" s="22"/>
      <c r="H2240" s="22"/>
      <c r="I2240" s="29"/>
      <c r="J2240" s="29"/>
      <c r="K2240" s="29"/>
      <c r="L2240" s="29"/>
    </row>
    <row r="2241">
      <c r="A2241" s="13"/>
      <c r="B2241" s="13"/>
      <c r="C2241" s="15"/>
      <c r="D2241" s="15"/>
      <c r="E2241" s="15"/>
      <c r="F2241" s="17"/>
      <c r="G2241" s="22"/>
      <c r="H2241" s="22"/>
      <c r="I2241" s="29"/>
      <c r="J2241" s="29"/>
      <c r="K2241" s="29"/>
      <c r="L2241" s="29"/>
    </row>
    <row r="2242">
      <c r="A2242" s="13"/>
      <c r="B2242" s="13"/>
      <c r="C2242" s="15"/>
      <c r="D2242" s="15"/>
      <c r="E2242" s="15"/>
      <c r="F2242" s="17"/>
      <c r="G2242" s="22"/>
      <c r="H2242" s="22"/>
      <c r="I2242" s="29"/>
      <c r="J2242" s="29"/>
      <c r="K2242" s="29"/>
      <c r="L2242" s="29"/>
    </row>
    <row r="2243">
      <c r="A2243" s="13"/>
      <c r="B2243" s="13"/>
      <c r="C2243" s="15"/>
      <c r="D2243" s="15"/>
      <c r="E2243" s="15"/>
      <c r="F2243" s="17"/>
      <c r="G2243" s="22"/>
      <c r="H2243" s="22"/>
      <c r="I2243" s="29"/>
      <c r="J2243" s="29"/>
      <c r="K2243" s="29"/>
      <c r="L2243" s="29"/>
    </row>
    <row r="2244">
      <c r="A2244" s="13"/>
      <c r="B2244" s="13"/>
      <c r="C2244" s="15"/>
      <c r="D2244" s="15"/>
      <c r="E2244" s="15"/>
      <c r="F2244" s="17"/>
      <c r="G2244" s="22"/>
      <c r="H2244" s="22"/>
      <c r="I2244" s="29"/>
      <c r="J2244" s="29"/>
      <c r="K2244" s="29"/>
      <c r="L2244" s="29"/>
    </row>
    <row r="2245">
      <c r="A2245" s="13"/>
      <c r="B2245" s="13"/>
      <c r="C2245" s="15"/>
      <c r="D2245" s="15"/>
      <c r="E2245" s="15"/>
      <c r="F2245" s="17"/>
      <c r="G2245" s="22"/>
      <c r="H2245" s="22"/>
      <c r="I2245" s="29"/>
      <c r="J2245" s="29"/>
      <c r="K2245" s="29"/>
      <c r="L2245" s="29"/>
    </row>
    <row r="2246">
      <c r="A2246" s="13"/>
      <c r="B2246" s="13"/>
      <c r="C2246" s="15"/>
      <c r="D2246" s="15"/>
      <c r="E2246" s="15"/>
      <c r="F2246" s="17"/>
      <c r="G2246" s="22"/>
      <c r="H2246" s="22"/>
      <c r="I2246" s="29"/>
      <c r="J2246" s="29"/>
      <c r="K2246" s="29"/>
      <c r="L2246" s="29"/>
    </row>
    <row r="2247">
      <c r="A2247" s="13"/>
      <c r="B2247" s="13"/>
      <c r="C2247" s="15"/>
      <c r="D2247" s="15"/>
      <c r="E2247" s="15"/>
      <c r="F2247" s="17"/>
      <c r="G2247" s="22"/>
      <c r="H2247" s="22"/>
      <c r="I2247" s="29"/>
      <c r="J2247" s="29"/>
      <c r="K2247" s="29"/>
      <c r="L2247" s="29"/>
    </row>
    <row r="2248">
      <c r="A2248" s="13"/>
      <c r="B2248" s="13"/>
      <c r="C2248" s="15"/>
      <c r="D2248" s="15"/>
      <c r="E2248" s="15"/>
      <c r="F2248" s="17"/>
      <c r="G2248" s="22"/>
      <c r="H2248" s="22"/>
      <c r="I2248" s="29"/>
      <c r="J2248" s="29"/>
      <c r="K2248" s="29"/>
      <c r="L2248" s="29"/>
    </row>
    <row r="2249">
      <c r="A2249" s="13"/>
      <c r="B2249" s="13"/>
      <c r="C2249" s="15"/>
      <c r="D2249" s="15"/>
      <c r="E2249" s="15"/>
      <c r="F2249" s="17"/>
      <c r="G2249" s="22"/>
      <c r="H2249" s="22"/>
      <c r="I2249" s="29"/>
      <c r="J2249" s="29"/>
      <c r="K2249" s="29"/>
      <c r="L2249" s="29"/>
    </row>
    <row r="2250">
      <c r="A2250" s="13"/>
      <c r="B2250" s="13"/>
      <c r="C2250" s="15"/>
      <c r="D2250" s="15"/>
      <c r="E2250" s="15"/>
      <c r="F2250" s="17"/>
      <c r="G2250" s="22"/>
      <c r="H2250" s="22"/>
      <c r="I2250" s="29"/>
      <c r="J2250" s="29"/>
      <c r="K2250" s="29"/>
      <c r="L2250" s="29"/>
    </row>
    <row r="2251">
      <c r="A2251" s="13"/>
      <c r="B2251" s="13"/>
      <c r="C2251" s="15"/>
      <c r="D2251" s="15"/>
      <c r="E2251" s="15"/>
      <c r="F2251" s="17"/>
      <c r="G2251" s="22"/>
      <c r="H2251" s="22"/>
      <c r="I2251" s="29"/>
      <c r="J2251" s="29"/>
      <c r="K2251" s="29"/>
      <c r="L2251" s="29"/>
    </row>
    <row r="2252">
      <c r="A2252" s="13"/>
      <c r="B2252" s="13"/>
      <c r="C2252" s="15"/>
      <c r="D2252" s="15"/>
      <c r="E2252" s="15"/>
      <c r="F2252" s="17"/>
      <c r="G2252" s="22"/>
      <c r="H2252" s="22"/>
      <c r="I2252" s="29"/>
      <c r="J2252" s="29"/>
      <c r="K2252" s="29"/>
      <c r="L2252" s="29"/>
    </row>
    <row r="2253">
      <c r="A2253" s="13"/>
      <c r="B2253" s="13"/>
      <c r="C2253" s="15"/>
      <c r="D2253" s="15"/>
      <c r="E2253" s="15"/>
      <c r="F2253" s="17"/>
      <c r="G2253" s="22"/>
      <c r="H2253" s="22"/>
      <c r="I2253" s="29"/>
      <c r="J2253" s="29"/>
      <c r="K2253" s="29"/>
      <c r="L2253" s="29"/>
    </row>
    <row r="2254">
      <c r="A2254" s="13"/>
      <c r="B2254" s="13"/>
      <c r="C2254" s="15"/>
      <c r="D2254" s="15"/>
      <c r="E2254" s="15"/>
      <c r="F2254" s="17"/>
      <c r="G2254" s="22"/>
      <c r="H2254" s="22"/>
      <c r="I2254" s="29"/>
      <c r="J2254" s="29"/>
      <c r="K2254" s="29"/>
      <c r="L2254" s="29"/>
    </row>
    <row r="2255">
      <c r="A2255" s="13"/>
      <c r="B2255" s="13"/>
      <c r="C2255" s="15"/>
      <c r="D2255" s="15"/>
      <c r="E2255" s="15"/>
      <c r="F2255" s="17"/>
      <c r="G2255" s="22"/>
      <c r="H2255" s="22"/>
      <c r="I2255" s="29"/>
      <c r="J2255" s="29"/>
      <c r="K2255" s="29"/>
      <c r="L2255" s="29"/>
    </row>
    <row r="2256">
      <c r="A2256" s="13"/>
      <c r="B2256" s="13"/>
      <c r="C2256" s="15"/>
      <c r="D2256" s="15"/>
      <c r="E2256" s="15"/>
      <c r="F2256" s="17"/>
      <c r="G2256" s="22"/>
      <c r="H2256" s="22"/>
      <c r="I2256" s="29"/>
      <c r="J2256" s="29"/>
      <c r="K2256" s="29"/>
      <c r="L2256" s="29"/>
    </row>
    <row r="2257">
      <c r="A2257" s="13"/>
      <c r="B2257" s="13"/>
      <c r="C2257" s="15"/>
      <c r="D2257" s="15"/>
      <c r="E2257" s="15"/>
      <c r="F2257" s="17"/>
      <c r="G2257" s="22"/>
      <c r="H2257" s="22"/>
      <c r="I2257" s="29"/>
      <c r="J2257" s="29"/>
      <c r="K2257" s="29"/>
      <c r="L2257" s="29"/>
    </row>
    <row r="2258">
      <c r="A2258" s="13"/>
      <c r="B2258" s="13"/>
      <c r="C2258" s="15"/>
      <c r="D2258" s="15"/>
      <c r="E2258" s="15"/>
      <c r="F2258" s="17"/>
      <c r="G2258" s="22"/>
      <c r="H2258" s="22"/>
      <c r="I2258" s="29"/>
      <c r="J2258" s="29"/>
      <c r="K2258" s="29"/>
      <c r="L2258" s="29"/>
    </row>
    <row r="2259">
      <c r="A2259" s="13"/>
      <c r="B2259" s="13"/>
      <c r="C2259" s="15"/>
      <c r="D2259" s="15"/>
      <c r="E2259" s="15"/>
      <c r="F2259" s="17"/>
      <c r="G2259" s="22"/>
      <c r="H2259" s="22"/>
      <c r="I2259" s="29"/>
      <c r="J2259" s="29"/>
      <c r="K2259" s="29"/>
      <c r="L2259" s="29"/>
    </row>
    <row r="2260">
      <c r="A2260" s="13"/>
      <c r="B2260" s="13"/>
      <c r="C2260" s="15"/>
      <c r="D2260" s="15"/>
      <c r="E2260" s="15"/>
      <c r="F2260" s="17"/>
      <c r="G2260" s="22"/>
      <c r="H2260" s="22"/>
      <c r="I2260" s="29"/>
      <c r="J2260" s="29"/>
      <c r="K2260" s="29"/>
      <c r="L2260" s="29"/>
    </row>
    <row r="2261">
      <c r="A2261" s="13"/>
      <c r="B2261" s="13"/>
      <c r="C2261" s="15"/>
      <c r="D2261" s="15"/>
      <c r="E2261" s="15"/>
      <c r="F2261" s="17"/>
      <c r="G2261" s="22"/>
      <c r="H2261" s="22"/>
      <c r="I2261" s="29"/>
      <c r="J2261" s="29"/>
      <c r="K2261" s="29"/>
      <c r="L2261" s="29"/>
    </row>
    <row r="2262">
      <c r="A2262" s="13"/>
      <c r="B2262" s="13"/>
      <c r="C2262" s="15"/>
      <c r="D2262" s="15"/>
      <c r="E2262" s="15"/>
      <c r="F2262" s="17"/>
      <c r="G2262" s="22"/>
      <c r="H2262" s="22"/>
      <c r="I2262" s="29"/>
      <c r="J2262" s="29"/>
      <c r="K2262" s="29"/>
      <c r="L2262" s="29"/>
    </row>
    <row r="2263">
      <c r="A2263" s="13"/>
      <c r="B2263" s="13"/>
      <c r="C2263" s="15"/>
      <c r="D2263" s="15"/>
      <c r="E2263" s="15"/>
      <c r="F2263" s="17"/>
      <c r="G2263" s="22"/>
      <c r="H2263" s="22"/>
      <c r="I2263" s="29"/>
      <c r="J2263" s="29"/>
      <c r="K2263" s="29"/>
      <c r="L2263" s="29"/>
    </row>
    <row r="2264">
      <c r="A2264" s="13"/>
      <c r="B2264" s="13"/>
      <c r="C2264" s="15"/>
      <c r="D2264" s="15"/>
      <c r="E2264" s="15"/>
      <c r="F2264" s="17"/>
      <c r="G2264" s="22"/>
      <c r="H2264" s="22"/>
      <c r="I2264" s="29"/>
      <c r="J2264" s="29"/>
      <c r="K2264" s="29"/>
      <c r="L2264" s="29"/>
    </row>
    <row r="2265">
      <c r="A2265" s="13"/>
      <c r="B2265" s="13"/>
      <c r="C2265" s="15"/>
      <c r="D2265" s="15"/>
      <c r="E2265" s="15"/>
      <c r="F2265" s="17"/>
      <c r="G2265" s="22"/>
      <c r="H2265" s="22"/>
      <c r="I2265" s="29"/>
      <c r="J2265" s="29"/>
      <c r="K2265" s="29"/>
      <c r="L2265" s="29"/>
    </row>
    <row r="2266">
      <c r="A2266" s="13"/>
      <c r="B2266" s="13"/>
      <c r="C2266" s="15"/>
      <c r="D2266" s="15"/>
      <c r="E2266" s="15"/>
      <c r="F2266" s="17"/>
      <c r="G2266" s="22"/>
      <c r="H2266" s="22"/>
      <c r="I2266" s="29"/>
      <c r="J2266" s="29"/>
      <c r="K2266" s="29"/>
      <c r="L2266" s="29"/>
    </row>
    <row r="2267">
      <c r="A2267" s="13"/>
      <c r="B2267" s="13"/>
      <c r="C2267" s="15"/>
      <c r="D2267" s="15"/>
      <c r="E2267" s="15"/>
      <c r="F2267" s="17"/>
      <c r="G2267" s="22"/>
      <c r="H2267" s="22"/>
      <c r="I2267" s="29"/>
      <c r="J2267" s="29"/>
      <c r="K2267" s="29"/>
      <c r="L2267" s="29"/>
    </row>
    <row r="2268">
      <c r="A2268" s="13"/>
      <c r="B2268" s="13"/>
      <c r="C2268" s="15"/>
      <c r="D2268" s="15"/>
      <c r="E2268" s="15"/>
      <c r="F2268" s="17"/>
      <c r="G2268" s="22"/>
      <c r="H2268" s="22"/>
      <c r="I2268" s="29"/>
      <c r="J2268" s="29"/>
      <c r="K2268" s="29"/>
      <c r="L2268" s="29"/>
    </row>
    <row r="2269">
      <c r="A2269" s="13"/>
      <c r="B2269" s="13"/>
      <c r="C2269" s="15"/>
      <c r="D2269" s="15"/>
      <c r="E2269" s="15"/>
      <c r="F2269" s="17"/>
      <c r="G2269" s="22"/>
      <c r="H2269" s="22"/>
      <c r="I2269" s="29"/>
      <c r="J2269" s="29"/>
      <c r="K2269" s="29"/>
      <c r="L2269" s="29"/>
    </row>
    <row r="2270">
      <c r="A2270" s="13"/>
      <c r="B2270" s="13"/>
      <c r="C2270" s="15"/>
      <c r="D2270" s="15"/>
      <c r="E2270" s="15"/>
      <c r="F2270" s="17"/>
      <c r="G2270" s="22"/>
      <c r="H2270" s="22"/>
      <c r="I2270" s="29"/>
      <c r="J2270" s="29"/>
      <c r="K2270" s="29"/>
      <c r="L2270" s="29"/>
    </row>
    <row r="2271">
      <c r="A2271" s="13"/>
      <c r="B2271" s="13"/>
      <c r="C2271" s="15"/>
      <c r="D2271" s="15"/>
      <c r="E2271" s="15"/>
      <c r="F2271" s="17"/>
      <c r="G2271" s="22"/>
      <c r="H2271" s="22"/>
      <c r="I2271" s="29"/>
      <c r="J2271" s="29"/>
      <c r="K2271" s="29"/>
      <c r="L2271" s="29"/>
    </row>
    <row r="2272">
      <c r="A2272" s="13"/>
      <c r="B2272" s="13"/>
      <c r="C2272" s="15"/>
      <c r="D2272" s="15"/>
      <c r="E2272" s="15"/>
      <c r="F2272" s="17"/>
      <c r="G2272" s="22"/>
      <c r="H2272" s="22"/>
      <c r="I2272" s="29"/>
      <c r="J2272" s="29"/>
      <c r="K2272" s="29"/>
      <c r="L2272" s="29"/>
    </row>
    <row r="2273">
      <c r="A2273" s="13"/>
      <c r="B2273" s="13"/>
      <c r="C2273" s="15"/>
      <c r="D2273" s="15"/>
      <c r="E2273" s="15"/>
      <c r="F2273" s="17"/>
      <c r="G2273" s="22"/>
      <c r="H2273" s="22"/>
      <c r="I2273" s="29"/>
      <c r="J2273" s="29"/>
      <c r="K2273" s="29"/>
      <c r="L2273" s="29"/>
    </row>
    <row r="2274">
      <c r="A2274" s="13"/>
      <c r="B2274" s="13"/>
      <c r="C2274" s="15"/>
      <c r="D2274" s="15"/>
      <c r="E2274" s="15"/>
      <c r="F2274" s="17"/>
      <c r="G2274" s="22"/>
      <c r="H2274" s="22"/>
      <c r="I2274" s="29"/>
      <c r="J2274" s="29"/>
      <c r="K2274" s="29"/>
      <c r="L2274" s="29"/>
    </row>
    <row r="2275">
      <c r="A2275" s="13"/>
      <c r="B2275" s="13"/>
      <c r="C2275" s="15"/>
      <c r="D2275" s="15"/>
      <c r="E2275" s="15"/>
      <c r="F2275" s="17"/>
      <c r="G2275" s="22"/>
      <c r="H2275" s="22"/>
      <c r="I2275" s="29"/>
      <c r="J2275" s="29"/>
      <c r="K2275" s="29"/>
      <c r="L2275" s="29"/>
    </row>
    <row r="2276">
      <c r="A2276" s="13"/>
      <c r="B2276" s="13"/>
      <c r="C2276" s="15"/>
      <c r="D2276" s="15"/>
      <c r="E2276" s="15"/>
      <c r="F2276" s="17"/>
      <c r="G2276" s="22"/>
      <c r="H2276" s="22"/>
      <c r="I2276" s="29"/>
      <c r="J2276" s="29"/>
      <c r="K2276" s="29"/>
      <c r="L2276" s="29"/>
    </row>
    <row r="2277">
      <c r="A2277" s="13"/>
      <c r="B2277" s="13"/>
      <c r="C2277" s="15"/>
      <c r="D2277" s="15"/>
      <c r="E2277" s="15"/>
      <c r="F2277" s="17"/>
      <c r="G2277" s="22"/>
      <c r="H2277" s="22"/>
      <c r="I2277" s="29"/>
      <c r="J2277" s="29"/>
      <c r="K2277" s="29"/>
      <c r="L2277" s="29"/>
    </row>
    <row r="2278">
      <c r="A2278" s="13"/>
      <c r="B2278" s="13"/>
      <c r="C2278" s="15"/>
      <c r="D2278" s="15"/>
      <c r="E2278" s="15"/>
      <c r="F2278" s="17"/>
      <c r="G2278" s="22"/>
      <c r="H2278" s="22"/>
      <c r="I2278" s="29"/>
      <c r="J2278" s="29"/>
      <c r="K2278" s="29"/>
      <c r="L2278" s="29"/>
    </row>
    <row r="2279">
      <c r="A2279" s="13"/>
      <c r="B2279" s="13"/>
      <c r="C2279" s="15"/>
      <c r="D2279" s="15"/>
      <c r="E2279" s="15"/>
      <c r="F2279" s="17"/>
      <c r="G2279" s="22"/>
      <c r="H2279" s="22"/>
      <c r="I2279" s="29"/>
      <c r="J2279" s="29"/>
      <c r="K2279" s="29"/>
      <c r="L2279" s="29"/>
    </row>
    <row r="2280">
      <c r="A2280" s="13"/>
      <c r="B2280" s="13"/>
      <c r="C2280" s="15"/>
      <c r="D2280" s="15"/>
      <c r="E2280" s="15"/>
      <c r="F2280" s="17"/>
      <c r="G2280" s="22"/>
      <c r="H2280" s="22"/>
      <c r="I2280" s="29"/>
      <c r="J2280" s="29"/>
      <c r="K2280" s="29"/>
      <c r="L2280" s="29"/>
    </row>
    <row r="2281">
      <c r="A2281" s="13"/>
      <c r="B2281" s="13"/>
      <c r="C2281" s="15"/>
      <c r="D2281" s="15"/>
      <c r="E2281" s="15"/>
      <c r="F2281" s="17"/>
      <c r="G2281" s="22"/>
      <c r="H2281" s="22"/>
      <c r="I2281" s="29"/>
      <c r="J2281" s="29"/>
      <c r="K2281" s="29"/>
      <c r="L2281" s="29"/>
    </row>
    <row r="2282">
      <c r="A2282" s="13"/>
      <c r="B2282" s="13"/>
      <c r="C2282" s="15"/>
      <c r="D2282" s="15"/>
      <c r="E2282" s="15"/>
      <c r="F2282" s="17"/>
      <c r="G2282" s="22"/>
      <c r="H2282" s="22"/>
      <c r="I2282" s="29"/>
      <c r="J2282" s="29"/>
      <c r="K2282" s="29"/>
      <c r="L2282" s="29"/>
    </row>
    <row r="2283">
      <c r="A2283" s="13"/>
      <c r="B2283" s="13"/>
      <c r="C2283" s="15"/>
      <c r="D2283" s="15"/>
      <c r="E2283" s="15"/>
      <c r="F2283" s="17"/>
      <c r="G2283" s="22"/>
      <c r="H2283" s="22"/>
      <c r="I2283" s="29"/>
      <c r="J2283" s="29"/>
      <c r="K2283" s="29"/>
      <c r="L2283" s="29"/>
    </row>
    <row r="2284">
      <c r="A2284" s="13"/>
      <c r="B2284" s="13"/>
      <c r="C2284" s="15"/>
      <c r="D2284" s="15"/>
      <c r="E2284" s="15"/>
      <c r="F2284" s="17"/>
      <c r="G2284" s="22"/>
      <c r="H2284" s="22"/>
      <c r="I2284" s="29"/>
      <c r="J2284" s="29"/>
      <c r="K2284" s="29"/>
      <c r="L2284" s="29"/>
    </row>
    <row r="2285">
      <c r="A2285" s="13"/>
      <c r="B2285" s="13"/>
      <c r="C2285" s="15"/>
      <c r="D2285" s="15"/>
      <c r="E2285" s="15"/>
      <c r="F2285" s="17"/>
      <c r="G2285" s="22"/>
      <c r="H2285" s="22"/>
      <c r="I2285" s="29"/>
      <c r="J2285" s="29"/>
      <c r="K2285" s="29"/>
      <c r="L2285" s="29"/>
    </row>
    <row r="2286">
      <c r="A2286" s="13"/>
      <c r="B2286" s="13"/>
      <c r="C2286" s="15"/>
      <c r="D2286" s="15"/>
      <c r="E2286" s="15"/>
      <c r="F2286" s="17"/>
      <c r="G2286" s="22"/>
      <c r="H2286" s="22"/>
      <c r="I2286" s="29"/>
      <c r="J2286" s="29"/>
      <c r="K2286" s="29"/>
      <c r="L2286" s="29"/>
    </row>
    <row r="2287">
      <c r="A2287" s="13"/>
      <c r="B2287" s="13"/>
      <c r="C2287" s="15"/>
      <c r="D2287" s="15"/>
      <c r="E2287" s="15"/>
      <c r="F2287" s="17"/>
      <c r="G2287" s="22"/>
      <c r="H2287" s="22"/>
      <c r="I2287" s="29"/>
      <c r="J2287" s="29"/>
      <c r="K2287" s="29"/>
      <c r="L2287" s="29"/>
    </row>
    <row r="2288">
      <c r="A2288" s="13"/>
      <c r="B2288" s="13"/>
      <c r="C2288" s="15"/>
      <c r="D2288" s="15"/>
      <c r="E2288" s="15"/>
      <c r="F2288" s="17"/>
      <c r="G2288" s="22"/>
      <c r="H2288" s="22"/>
      <c r="I2288" s="29"/>
      <c r="J2288" s="29"/>
      <c r="K2288" s="29"/>
      <c r="L2288" s="29"/>
    </row>
    <row r="2289">
      <c r="A2289" s="13"/>
      <c r="B2289" s="13"/>
      <c r="C2289" s="15"/>
      <c r="D2289" s="15"/>
      <c r="E2289" s="15"/>
      <c r="F2289" s="17"/>
      <c r="G2289" s="22"/>
      <c r="H2289" s="22"/>
      <c r="I2289" s="29"/>
      <c r="J2289" s="29"/>
      <c r="K2289" s="29"/>
      <c r="L2289" s="29"/>
    </row>
    <row r="2290">
      <c r="A2290" s="13"/>
      <c r="B2290" s="13"/>
      <c r="C2290" s="15"/>
      <c r="D2290" s="15"/>
      <c r="E2290" s="15"/>
      <c r="F2290" s="17"/>
      <c r="G2290" s="22"/>
      <c r="H2290" s="22"/>
      <c r="I2290" s="29"/>
      <c r="J2290" s="29"/>
      <c r="K2290" s="29"/>
      <c r="L2290" s="29"/>
    </row>
    <row r="2291">
      <c r="A2291" s="13"/>
      <c r="B2291" s="13"/>
      <c r="C2291" s="15"/>
      <c r="D2291" s="15"/>
      <c r="E2291" s="15"/>
      <c r="F2291" s="17"/>
      <c r="G2291" s="22"/>
      <c r="H2291" s="22"/>
      <c r="I2291" s="29"/>
      <c r="J2291" s="29"/>
      <c r="K2291" s="29"/>
      <c r="L2291" s="29"/>
    </row>
    <row r="2292">
      <c r="A2292" s="13"/>
      <c r="B2292" s="13"/>
      <c r="C2292" s="15"/>
      <c r="D2292" s="15"/>
      <c r="E2292" s="15"/>
      <c r="F2292" s="17"/>
      <c r="G2292" s="22"/>
      <c r="H2292" s="22"/>
      <c r="I2292" s="29"/>
      <c r="J2292" s="29"/>
      <c r="K2292" s="29"/>
      <c r="L2292" s="29"/>
    </row>
    <row r="2293">
      <c r="A2293" s="13"/>
      <c r="B2293" s="13"/>
      <c r="C2293" s="15"/>
      <c r="D2293" s="15"/>
      <c r="E2293" s="15"/>
      <c r="F2293" s="17"/>
      <c r="G2293" s="22"/>
      <c r="H2293" s="22"/>
      <c r="I2293" s="29"/>
      <c r="J2293" s="29"/>
      <c r="K2293" s="29"/>
      <c r="L2293" s="29"/>
    </row>
    <row r="2294">
      <c r="A2294" s="13"/>
      <c r="B2294" s="13"/>
      <c r="C2294" s="15"/>
      <c r="D2294" s="15"/>
      <c r="E2294" s="15"/>
      <c r="F2294" s="17"/>
      <c r="G2294" s="22"/>
      <c r="H2294" s="22"/>
      <c r="I2294" s="29"/>
      <c r="J2294" s="29"/>
      <c r="K2294" s="29"/>
      <c r="L2294" s="29"/>
    </row>
    <row r="2295">
      <c r="A2295" s="13"/>
      <c r="B2295" s="13"/>
      <c r="C2295" s="15"/>
      <c r="D2295" s="15"/>
      <c r="E2295" s="15"/>
      <c r="F2295" s="17"/>
      <c r="G2295" s="22"/>
      <c r="H2295" s="22"/>
      <c r="I2295" s="29"/>
      <c r="J2295" s="29"/>
      <c r="K2295" s="29"/>
      <c r="L2295" s="29"/>
    </row>
    <row r="2296">
      <c r="A2296" s="13"/>
      <c r="B2296" s="13"/>
      <c r="C2296" s="15"/>
      <c r="D2296" s="15"/>
      <c r="E2296" s="15"/>
      <c r="F2296" s="17"/>
      <c r="G2296" s="22"/>
      <c r="H2296" s="22"/>
      <c r="I2296" s="29"/>
      <c r="J2296" s="29"/>
      <c r="K2296" s="29"/>
      <c r="L2296" s="29"/>
    </row>
    <row r="2297">
      <c r="A2297" s="13"/>
      <c r="B2297" s="13"/>
      <c r="C2297" s="15"/>
      <c r="D2297" s="15"/>
      <c r="E2297" s="15"/>
      <c r="F2297" s="17"/>
      <c r="G2297" s="22"/>
      <c r="H2297" s="22"/>
      <c r="I2297" s="29"/>
      <c r="J2297" s="29"/>
      <c r="K2297" s="29"/>
      <c r="L2297" s="29"/>
    </row>
    <row r="2298">
      <c r="A2298" s="13"/>
      <c r="B2298" s="13"/>
      <c r="C2298" s="15"/>
      <c r="D2298" s="15"/>
      <c r="E2298" s="15"/>
      <c r="F2298" s="17"/>
      <c r="G2298" s="22"/>
      <c r="H2298" s="22"/>
      <c r="I2298" s="29"/>
      <c r="J2298" s="29"/>
      <c r="K2298" s="29"/>
      <c r="L2298" s="29"/>
    </row>
    <row r="2299">
      <c r="A2299" s="13"/>
      <c r="B2299" s="13"/>
      <c r="C2299" s="15"/>
      <c r="D2299" s="15"/>
      <c r="E2299" s="15"/>
      <c r="F2299" s="17"/>
      <c r="G2299" s="22"/>
      <c r="H2299" s="22"/>
      <c r="I2299" s="29"/>
      <c r="J2299" s="29"/>
      <c r="K2299" s="29"/>
      <c r="L2299" s="29"/>
    </row>
    <row r="2300">
      <c r="A2300" s="13"/>
      <c r="B2300" s="13"/>
      <c r="C2300" s="15"/>
      <c r="D2300" s="15"/>
      <c r="E2300" s="15"/>
      <c r="F2300" s="17"/>
      <c r="G2300" s="22"/>
      <c r="H2300" s="22"/>
      <c r="I2300" s="29"/>
      <c r="J2300" s="29"/>
      <c r="K2300" s="29"/>
      <c r="L2300" s="29"/>
    </row>
    <row r="2301">
      <c r="A2301" s="13"/>
      <c r="B2301" s="13"/>
      <c r="C2301" s="15"/>
      <c r="D2301" s="15"/>
      <c r="E2301" s="15"/>
      <c r="F2301" s="17"/>
      <c r="G2301" s="22"/>
      <c r="H2301" s="22"/>
      <c r="I2301" s="29"/>
      <c r="J2301" s="29"/>
      <c r="K2301" s="29"/>
      <c r="L2301" s="29"/>
    </row>
    <row r="2302">
      <c r="A2302" s="13"/>
      <c r="B2302" s="13"/>
      <c r="C2302" s="15"/>
      <c r="D2302" s="15"/>
      <c r="E2302" s="15"/>
      <c r="F2302" s="17"/>
      <c r="G2302" s="22"/>
      <c r="H2302" s="22"/>
      <c r="I2302" s="29"/>
      <c r="J2302" s="29"/>
      <c r="K2302" s="29"/>
      <c r="L2302" s="29"/>
    </row>
    <row r="2303">
      <c r="A2303" s="13"/>
      <c r="B2303" s="13"/>
      <c r="C2303" s="15"/>
      <c r="D2303" s="15"/>
      <c r="E2303" s="15"/>
      <c r="F2303" s="17"/>
      <c r="G2303" s="22"/>
      <c r="H2303" s="22"/>
      <c r="I2303" s="29"/>
      <c r="J2303" s="29"/>
      <c r="K2303" s="29"/>
      <c r="L2303" s="29"/>
    </row>
    <row r="2304">
      <c r="A2304" s="13"/>
      <c r="B2304" s="13"/>
      <c r="C2304" s="15"/>
      <c r="D2304" s="15"/>
      <c r="E2304" s="15"/>
      <c r="F2304" s="17"/>
      <c r="G2304" s="22"/>
      <c r="H2304" s="22"/>
      <c r="I2304" s="29"/>
      <c r="J2304" s="29"/>
      <c r="K2304" s="29"/>
      <c r="L2304" s="29"/>
    </row>
    <row r="2305">
      <c r="A2305" s="13"/>
      <c r="B2305" s="13"/>
      <c r="C2305" s="15"/>
      <c r="D2305" s="15"/>
      <c r="E2305" s="15"/>
      <c r="F2305" s="17"/>
      <c r="G2305" s="22"/>
      <c r="H2305" s="22"/>
      <c r="I2305" s="29"/>
      <c r="J2305" s="29"/>
      <c r="K2305" s="29"/>
      <c r="L2305" s="29"/>
    </row>
    <row r="2306">
      <c r="A2306" s="13"/>
      <c r="B2306" s="13"/>
      <c r="C2306" s="15"/>
      <c r="D2306" s="15"/>
      <c r="E2306" s="15"/>
      <c r="F2306" s="17"/>
      <c r="G2306" s="22"/>
      <c r="H2306" s="22"/>
      <c r="I2306" s="29"/>
      <c r="J2306" s="29"/>
      <c r="K2306" s="29"/>
      <c r="L2306" s="29"/>
    </row>
    <row r="2307">
      <c r="A2307" s="13"/>
      <c r="B2307" s="13"/>
      <c r="C2307" s="15"/>
      <c r="D2307" s="15"/>
      <c r="E2307" s="15"/>
      <c r="F2307" s="17"/>
      <c r="G2307" s="22"/>
      <c r="H2307" s="22"/>
      <c r="I2307" s="29"/>
      <c r="J2307" s="29"/>
      <c r="K2307" s="29"/>
      <c r="L2307" s="29"/>
    </row>
    <row r="2308">
      <c r="A2308" s="13"/>
      <c r="B2308" s="13"/>
      <c r="C2308" s="15"/>
      <c r="D2308" s="15"/>
      <c r="E2308" s="15"/>
      <c r="F2308" s="17"/>
      <c r="G2308" s="22"/>
      <c r="H2308" s="22"/>
      <c r="I2308" s="29"/>
      <c r="J2308" s="29"/>
      <c r="K2308" s="29"/>
      <c r="L2308" s="29"/>
    </row>
    <row r="2309">
      <c r="A2309" s="13"/>
      <c r="B2309" s="13"/>
      <c r="C2309" s="15"/>
      <c r="D2309" s="15"/>
      <c r="E2309" s="15"/>
      <c r="F2309" s="17"/>
      <c r="G2309" s="22"/>
      <c r="H2309" s="22"/>
      <c r="I2309" s="29"/>
      <c r="J2309" s="29"/>
      <c r="K2309" s="29"/>
      <c r="L2309" s="29"/>
    </row>
    <row r="2310">
      <c r="A2310" s="13"/>
      <c r="B2310" s="13"/>
      <c r="C2310" s="15"/>
      <c r="D2310" s="15"/>
      <c r="E2310" s="15"/>
      <c r="F2310" s="17"/>
      <c r="G2310" s="22"/>
      <c r="H2310" s="22"/>
      <c r="I2310" s="29"/>
      <c r="J2310" s="29"/>
      <c r="K2310" s="29"/>
      <c r="L2310" s="29"/>
    </row>
    <row r="2311">
      <c r="A2311" s="13"/>
      <c r="B2311" s="13"/>
      <c r="C2311" s="15"/>
      <c r="D2311" s="15"/>
      <c r="E2311" s="15"/>
      <c r="F2311" s="17"/>
      <c r="G2311" s="22"/>
      <c r="H2311" s="22"/>
      <c r="I2311" s="29"/>
      <c r="J2311" s="29"/>
      <c r="K2311" s="29"/>
      <c r="L2311" s="29"/>
    </row>
    <row r="2312">
      <c r="A2312" s="13"/>
      <c r="B2312" s="13"/>
      <c r="C2312" s="15"/>
      <c r="D2312" s="15"/>
      <c r="E2312" s="15"/>
      <c r="F2312" s="17"/>
      <c r="G2312" s="22"/>
      <c r="H2312" s="22"/>
      <c r="I2312" s="29"/>
      <c r="J2312" s="29"/>
      <c r="K2312" s="29"/>
      <c r="L2312" s="29"/>
    </row>
    <row r="2313">
      <c r="A2313" s="13"/>
      <c r="B2313" s="13"/>
      <c r="C2313" s="15"/>
      <c r="D2313" s="15"/>
      <c r="E2313" s="15"/>
      <c r="F2313" s="17"/>
      <c r="G2313" s="22"/>
      <c r="H2313" s="22"/>
      <c r="I2313" s="29"/>
      <c r="J2313" s="29"/>
      <c r="K2313" s="29"/>
      <c r="L2313" s="29"/>
    </row>
    <row r="2314">
      <c r="A2314" s="13"/>
      <c r="B2314" s="13"/>
      <c r="C2314" s="15"/>
      <c r="D2314" s="15"/>
      <c r="E2314" s="15"/>
      <c r="F2314" s="17"/>
      <c r="G2314" s="22"/>
      <c r="H2314" s="22"/>
      <c r="I2314" s="29"/>
      <c r="J2314" s="29"/>
      <c r="K2314" s="29"/>
      <c r="L2314" s="29"/>
    </row>
    <row r="2315">
      <c r="A2315" s="13"/>
      <c r="B2315" s="13"/>
      <c r="C2315" s="15"/>
      <c r="D2315" s="15"/>
      <c r="E2315" s="15"/>
      <c r="F2315" s="17"/>
      <c r="G2315" s="22"/>
      <c r="H2315" s="22"/>
      <c r="I2315" s="29"/>
      <c r="J2315" s="29"/>
      <c r="K2315" s="29"/>
      <c r="L2315" s="29"/>
    </row>
    <row r="2316">
      <c r="A2316" s="13"/>
      <c r="B2316" s="13"/>
      <c r="C2316" s="15"/>
      <c r="D2316" s="15"/>
      <c r="E2316" s="15"/>
      <c r="F2316" s="17"/>
      <c r="G2316" s="22"/>
      <c r="H2316" s="22"/>
      <c r="I2316" s="29"/>
      <c r="J2316" s="29"/>
      <c r="K2316" s="29"/>
      <c r="L2316" s="29"/>
    </row>
    <row r="2317">
      <c r="A2317" s="13"/>
      <c r="B2317" s="13"/>
      <c r="C2317" s="15"/>
      <c r="D2317" s="15"/>
      <c r="E2317" s="15"/>
      <c r="F2317" s="17"/>
      <c r="G2317" s="22"/>
      <c r="H2317" s="22"/>
      <c r="I2317" s="29"/>
      <c r="J2317" s="29"/>
      <c r="K2317" s="29"/>
      <c r="L2317" s="29"/>
    </row>
    <row r="2318">
      <c r="A2318" s="13"/>
      <c r="B2318" s="13"/>
      <c r="C2318" s="15"/>
      <c r="D2318" s="15"/>
      <c r="E2318" s="15"/>
      <c r="F2318" s="17"/>
      <c r="G2318" s="22"/>
      <c r="H2318" s="22"/>
      <c r="I2318" s="29"/>
      <c r="J2318" s="29"/>
      <c r="K2318" s="29"/>
      <c r="L2318" s="29"/>
    </row>
    <row r="2319">
      <c r="A2319" s="13"/>
      <c r="B2319" s="13"/>
      <c r="C2319" s="15"/>
      <c r="D2319" s="15"/>
      <c r="E2319" s="15"/>
      <c r="F2319" s="17"/>
      <c r="G2319" s="22"/>
      <c r="H2319" s="22"/>
      <c r="I2319" s="29"/>
      <c r="J2319" s="29"/>
      <c r="K2319" s="29"/>
      <c r="L2319" s="29"/>
    </row>
    <row r="2320">
      <c r="A2320" s="13"/>
      <c r="B2320" s="13"/>
      <c r="C2320" s="15"/>
      <c r="D2320" s="15"/>
      <c r="E2320" s="15"/>
      <c r="F2320" s="17"/>
      <c r="G2320" s="22"/>
      <c r="H2320" s="22"/>
      <c r="I2320" s="29"/>
      <c r="J2320" s="29"/>
      <c r="K2320" s="29"/>
      <c r="L2320" s="29"/>
    </row>
    <row r="2321">
      <c r="A2321" s="13"/>
      <c r="B2321" s="13"/>
      <c r="C2321" s="15"/>
      <c r="D2321" s="15"/>
      <c r="E2321" s="15"/>
      <c r="F2321" s="17"/>
      <c r="G2321" s="22"/>
      <c r="H2321" s="22"/>
      <c r="I2321" s="29"/>
      <c r="J2321" s="29"/>
      <c r="K2321" s="29"/>
      <c r="L2321" s="29"/>
    </row>
    <row r="2322">
      <c r="A2322" s="13"/>
      <c r="B2322" s="13"/>
      <c r="C2322" s="15"/>
      <c r="D2322" s="15"/>
      <c r="E2322" s="15"/>
      <c r="F2322" s="17"/>
      <c r="G2322" s="22"/>
      <c r="H2322" s="22"/>
      <c r="I2322" s="29"/>
      <c r="J2322" s="29"/>
      <c r="K2322" s="29"/>
      <c r="L2322" s="29"/>
    </row>
    <row r="2323">
      <c r="A2323" s="13"/>
      <c r="B2323" s="13"/>
      <c r="C2323" s="15"/>
      <c r="D2323" s="15"/>
      <c r="E2323" s="15"/>
      <c r="F2323" s="17"/>
      <c r="G2323" s="22"/>
      <c r="H2323" s="22"/>
      <c r="I2323" s="29"/>
      <c r="J2323" s="29"/>
      <c r="K2323" s="29"/>
      <c r="L2323" s="29"/>
    </row>
    <row r="2324">
      <c r="A2324" s="13"/>
      <c r="B2324" s="13"/>
      <c r="C2324" s="15"/>
      <c r="D2324" s="15"/>
      <c r="E2324" s="15"/>
      <c r="F2324" s="17"/>
      <c r="G2324" s="22"/>
      <c r="H2324" s="22"/>
      <c r="I2324" s="29"/>
      <c r="J2324" s="29"/>
      <c r="K2324" s="29"/>
      <c r="L2324" s="29"/>
    </row>
    <row r="2325">
      <c r="A2325" s="13"/>
      <c r="B2325" s="13"/>
      <c r="C2325" s="15"/>
      <c r="D2325" s="15"/>
      <c r="E2325" s="15"/>
      <c r="F2325" s="17"/>
      <c r="G2325" s="22"/>
      <c r="H2325" s="22"/>
      <c r="I2325" s="29"/>
      <c r="J2325" s="29"/>
      <c r="K2325" s="29"/>
      <c r="L2325" s="29"/>
    </row>
    <row r="2326">
      <c r="A2326" s="13"/>
      <c r="B2326" s="13"/>
      <c r="C2326" s="15"/>
      <c r="D2326" s="15"/>
      <c r="E2326" s="15"/>
      <c r="F2326" s="17"/>
      <c r="G2326" s="22"/>
      <c r="H2326" s="22"/>
      <c r="I2326" s="29"/>
      <c r="J2326" s="29"/>
      <c r="K2326" s="29"/>
      <c r="L2326" s="29"/>
    </row>
    <row r="2327">
      <c r="A2327" s="13"/>
      <c r="B2327" s="13"/>
      <c r="C2327" s="15"/>
      <c r="D2327" s="15"/>
      <c r="E2327" s="15"/>
      <c r="F2327" s="17"/>
      <c r="G2327" s="22"/>
      <c r="H2327" s="22"/>
      <c r="I2327" s="29"/>
      <c r="J2327" s="29"/>
      <c r="K2327" s="29"/>
      <c r="L2327" s="29"/>
    </row>
    <row r="2328">
      <c r="A2328" s="13"/>
      <c r="B2328" s="13"/>
      <c r="C2328" s="15"/>
      <c r="D2328" s="15"/>
      <c r="E2328" s="15"/>
      <c r="F2328" s="17"/>
      <c r="G2328" s="22"/>
      <c r="H2328" s="22"/>
      <c r="I2328" s="29"/>
      <c r="J2328" s="29"/>
      <c r="K2328" s="29"/>
      <c r="L2328" s="29"/>
    </row>
    <row r="2329">
      <c r="A2329" s="13"/>
      <c r="B2329" s="13"/>
      <c r="C2329" s="15"/>
      <c r="D2329" s="15"/>
      <c r="E2329" s="15"/>
      <c r="F2329" s="17"/>
      <c r="G2329" s="22"/>
      <c r="H2329" s="22"/>
      <c r="I2329" s="29"/>
      <c r="J2329" s="29"/>
      <c r="K2329" s="29"/>
      <c r="L2329" s="29"/>
    </row>
    <row r="2330">
      <c r="A2330" s="13"/>
      <c r="B2330" s="13"/>
      <c r="C2330" s="15"/>
      <c r="D2330" s="15"/>
      <c r="E2330" s="15"/>
      <c r="F2330" s="17"/>
      <c r="G2330" s="22"/>
      <c r="H2330" s="22"/>
      <c r="I2330" s="29"/>
      <c r="J2330" s="29"/>
      <c r="K2330" s="29"/>
      <c r="L2330" s="29"/>
    </row>
    <row r="2331">
      <c r="A2331" s="13"/>
      <c r="B2331" s="13"/>
      <c r="C2331" s="15"/>
      <c r="D2331" s="15"/>
      <c r="E2331" s="15"/>
      <c r="F2331" s="17"/>
      <c r="G2331" s="22"/>
      <c r="H2331" s="22"/>
      <c r="I2331" s="29"/>
      <c r="J2331" s="29"/>
      <c r="K2331" s="29"/>
      <c r="L2331" s="29"/>
    </row>
    <row r="2332">
      <c r="A2332" s="13"/>
      <c r="B2332" s="13"/>
      <c r="C2332" s="15"/>
      <c r="D2332" s="15"/>
      <c r="E2332" s="15"/>
      <c r="F2332" s="17"/>
      <c r="G2332" s="22"/>
      <c r="H2332" s="22"/>
      <c r="I2332" s="29"/>
      <c r="J2332" s="29"/>
      <c r="K2332" s="29"/>
      <c r="L2332" s="29"/>
    </row>
    <row r="2333">
      <c r="A2333" s="13"/>
      <c r="B2333" s="13"/>
      <c r="C2333" s="15"/>
      <c r="D2333" s="15"/>
      <c r="E2333" s="15"/>
      <c r="F2333" s="17"/>
      <c r="G2333" s="22"/>
      <c r="H2333" s="22"/>
      <c r="I2333" s="29"/>
      <c r="J2333" s="29"/>
      <c r="K2333" s="29"/>
      <c r="L2333" s="29"/>
    </row>
    <row r="2334">
      <c r="A2334" s="13"/>
      <c r="B2334" s="13"/>
      <c r="C2334" s="15"/>
      <c r="D2334" s="15"/>
      <c r="E2334" s="15"/>
      <c r="F2334" s="17"/>
      <c r="G2334" s="22"/>
      <c r="H2334" s="22"/>
      <c r="I2334" s="29"/>
      <c r="J2334" s="29"/>
      <c r="K2334" s="29"/>
      <c r="L2334" s="29"/>
    </row>
    <row r="2335">
      <c r="A2335" s="13"/>
      <c r="B2335" s="13"/>
      <c r="C2335" s="15"/>
      <c r="D2335" s="15"/>
      <c r="E2335" s="15"/>
      <c r="F2335" s="17"/>
      <c r="G2335" s="22"/>
      <c r="H2335" s="22"/>
      <c r="I2335" s="29"/>
      <c r="J2335" s="29"/>
      <c r="K2335" s="29"/>
      <c r="L2335" s="29"/>
    </row>
    <row r="2336">
      <c r="A2336" s="13"/>
      <c r="B2336" s="13"/>
      <c r="C2336" s="15"/>
      <c r="D2336" s="15"/>
      <c r="E2336" s="15"/>
      <c r="F2336" s="17"/>
      <c r="G2336" s="22"/>
      <c r="H2336" s="22"/>
      <c r="I2336" s="29"/>
      <c r="J2336" s="29"/>
      <c r="K2336" s="29"/>
      <c r="L2336" s="29"/>
    </row>
    <row r="2337">
      <c r="A2337" s="13"/>
      <c r="B2337" s="13"/>
      <c r="C2337" s="15"/>
      <c r="D2337" s="15"/>
      <c r="E2337" s="15"/>
      <c r="F2337" s="17"/>
      <c r="G2337" s="22"/>
      <c r="H2337" s="22"/>
      <c r="I2337" s="29"/>
      <c r="J2337" s="29"/>
      <c r="K2337" s="29"/>
      <c r="L2337" s="29"/>
    </row>
    <row r="2338">
      <c r="A2338" s="13"/>
      <c r="B2338" s="13"/>
      <c r="C2338" s="15"/>
      <c r="D2338" s="15"/>
      <c r="E2338" s="15"/>
      <c r="F2338" s="17"/>
      <c r="G2338" s="22"/>
      <c r="H2338" s="22"/>
      <c r="I2338" s="29"/>
      <c r="J2338" s="29"/>
      <c r="K2338" s="29"/>
      <c r="L2338" s="29"/>
    </row>
    <row r="2339">
      <c r="A2339" s="13"/>
      <c r="B2339" s="13"/>
      <c r="C2339" s="15"/>
      <c r="D2339" s="15"/>
      <c r="E2339" s="15"/>
      <c r="F2339" s="17"/>
      <c r="G2339" s="22"/>
      <c r="H2339" s="22"/>
      <c r="I2339" s="29"/>
      <c r="J2339" s="29"/>
      <c r="K2339" s="29"/>
      <c r="L2339" s="29"/>
    </row>
    <row r="2340">
      <c r="A2340" s="13"/>
      <c r="B2340" s="13"/>
      <c r="C2340" s="15"/>
      <c r="D2340" s="15"/>
      <c r="E2340" s="15"/>
      <c r="F2340" s="17"/>
      <c r="G2340" s="22"/>
      <c r="H2340" s="22"/>
      <c r="I2340" s="29"/>
      <c r="J2340" s="29"/>
      <c r="K2340" s="29"/>
      <c r="L2340" s="29"/>
    </row>
    <row r="2341">
      <c r="A2341" s="13"/>
      <c r="B2341" s="13"/>
      <c r="C2341" s="15"/>
      <c r="D2341" s="15"/>
      <c r="E2341" s="15"/>
      <c r="F2341" s="17"/>
      <c r="G2341" s="22"/>
      <c r="H2341" s="22"/>
      <c r="I2341" s="29"/>
      <c r="J2341" s="29"/>
      <c r="K2341" s="29"/>
      <c r="L2341" s="29"/>
    </row>
    <row r="2342">
      <c r="A2342" s="13"/>
      <c r="B2342" s="13"/>
      <c r="C2342" s="15"/>
      <c r="D2342" s="15"/>
      <c r="E2342" s="15"/>
      <c r="F2342" s="17"/>
      <c r="G2342" s="22"/>
      <c r="H2342" s="22"/>
      <c r="I2342" s="29"/>
      <c r="J2342" s="29"/>
      <c r="K2342" s="29"/>
      <c r="L2342" s="29"/>
    </row>
    <row r="2343">
      <c r="A2343" s="13"/>
      <c r="B2343" s="13"/>
      <c r="C2343" s="15"/>
      <c r="D2343" s="15"/>
      <c r="E2343" s="15"/>
      <c r="F2343" s="17"/>
      <c r="G2343" s="22"/>
      <c r="H2343" s="22"/>
      <c r="I2343" s="29"/>
      <c r="J2343" s="29"/>
      <c r="K2343" s="29"/>
      <c r="L2343" s="29"/>
    </row>
    <row r="2344">
      <c r="A2344" s="13"/>
      <c r="B2344" s="13"/>
      <c r="C2344" s="15"/>
      <c r="D2344" s="15"/>
      <c r="E2344" s="15"/>
      <c r="F2344" s="17"/>
      <c r="G2344" s="22"/>
      <c r="H2344" s="22"/>
      <c r="I2344" s="29"/>
      <c r="J2344" s="29"/>
      <c r="K2344" s="29"/>
      <c r="L2344" s="29"/>
    </row>
    <row r="2345">
      <c r="A2345" s="13"/>
      <c r="B2345" s="13"/>
      <c r="C2345" s="15"/>
      <c r="D2345" s="15"/>
      <c r="E2345" s="15"/>
      <c r="F2345" s="17"/>
      <c r="G2345" s="22"/>
      <c r="H2345" s="22"/>
      <c r="I2345" s="29"/>
      <c r="J2345" s="29"/>
      <c r="K2345" s="29"/>
      <c r="L2345" s="29"/>
    </row>
    <row r="2346">
      <c r="A2346" s="13"/>
      <c r="B2346" s="13"/>
      <c r="C2346" s="15"/>
      <c r="D2346" s="15"/>
      <c r="E2346" s="15"/>
      <c r="F2346" s="17"/>
      <c r="G2346" s="22"/>
      <c r="H2346" s="22"/>
      <c r="I2346" s="29"/>
      <c r="J2346" s="29"/>
      <c r="K2346" s="29"/>
      <c r="L2346" s="29"/>
    </row>
    <row r="2347">
      <c r="A2347" s="13"/>
      <c r="B2347" s="13"/>
      <c r="C2347" s="15"/>
      <c r="D2347" s="15"/>
      <c r="E2347" s="15"/>
      <c r="F2347" s="17"/>
      <c r="G2347" s="22"/>
      <c r="H2347" s="22"/>
      <c r="I2347" s="29"/>
      <c r="J2347" s="29"/>
      <c r="K2347" s="29"/>
      <c r="L2347" s="29"/>
    </row>
    <row r="2348">
      <c r="A2348" s="13"/>
      <c r="B2348" s="13"/>
      <c r="C2348" s="15"/>
      <c r="D2348" s="15"/>
      <c r="E2348" s="15"/>
      <c r="F2348" s="17"/>
      <c r="G2348" s="22"/>
      <c r="H2348" s="22"/>
      <c r="I2348" s="29"/>
      <c r="J2348" s="29"/>
      <c r="K2348" s="29"/>
      <c r="L2348" s="29"/>
    </row>
    <row r="2349">
      <c r="A2349" s="13"/>
      <c r="B2349" s="13"/>
      <c r="C2349" s="15"/>
      <c r="D2349" s="15"/>
      <c r="E2349" s="15"/>
      <c r="F2349" s="17"/>
      <c r="G2349" s="22"/>
      <c r="H2349" s="22"/>
      <c r="I2349" s="29"/>
      <c r="J2349" s="29"/>
      <c r="K2349" s="29"/>
      <c r="L2349" s="29"/>
    </row>
    <row r="2350">
      <c r="A2350" s="13"/>
      <c r="B2350" s="13"/>
      <c r="C2350" s="15"/>
      <c r="D2350" s="15"/>
      <c r="E2350" s="15"/>
      <c r="F2350" s="17"/>
      <c r="G2350" s="22"/>
      <c r="H2350" s="22"/>
      <c r="I2350" s="29"/>
      <c r="J2350" s="29"/>
      <c r="K2350" s="29"/>
      <c r="L2350" s="29"/>
    </row>
    <row r="2351">
      <c r="A2351" s="13"/>
      <c r="B2351" s="13"/>
      <c r="C2351" s="15"/>
      <c r="D2351" s="15"/>
      <c r="E2351" s="15"/>
      <c r="F2351" s="17"/>
      <c r="G2351" s="22"/>
      <c r="H2351" s="22"/>
      <c r="I2351" s="29"/>
      <c r="J2351" s="29"/>
      <c r="K2351" s="29"/>
      <c r="L2351" s="29"/>
    </row>
    <row r="2352">
      <c r="A2352" s="13"/>
      <c r="B2352" s="13"/>
      <c r="C2352" s="15"/>
      <c r="D2352" s="15"/>
      <c r="E2352" s="15"/>
      <c r="F2352" s="17"/>
      <c r="G2352" s="22"/>
      <c r="H2352" s="22"/>
      <c r="I2352" s="29"/>
      <c r="J2352" s="29"/>
      <c r="K2352" s="29"/>
      <c r="L2352" s="29"/>
    </row>
    <row r="2353">
      <c r="A2353" s="13"/>
      <c r="B2353" s="13"/>
      <c r="C2353" s="15"/>
      <c r="D2353" s="15"/>
      <c r="E2353" s="15"/>
      <c r="F2353" s="17"/>
      <c r="G2353" s="22"/>
      <c r="H2353" s="22"/>
      <c r="I2353" s="29"/>
      <c r="J2353" s="29"/>
      <c r="K2353" s="29"/>
      <c r="L2353" s="29"/>
    </row>
    <row r="2354">
      <c r="A2354" s="13"/>
      <c r="B2354" s="13"/>
      <c r="C2354" s="15"/>
      <c r="D2354" s="15"/>
      <c r="E2354" s="15"/>
      <c r="F2354" s="17"/>
      <c r="G2354" s="22"/>
      <c r="H2354" s="22"/>
      <c r="I2354" s="29"/>
      <c r="J2354" s="29"/>
      <c r="K2354" s="29"/>
      <c r="L2354" s="29"/>
    </row>
    <row r="2355">
      <c r="A2355" s="13"/>
      <c r="B2355" s="13"/>
      <c r="C2355" s="15"/>
      <c r="D2355" s="15"/>
      <c r="E2355" s="15"/>
      <c r="F2355" s="17"/>
      <c r="G2355" s="22"/>
      <c r="H2355" s="22"/>
      <c r="I2355" s="29"/>
      <c r="J2355" s="29"/>
      <c r="K2355" s="29"/>
      <c r="L2355" s="29"/>
    </row>
    <row r="2356">
      <c r="A2356" s="13"/>
      <c r="B2356" s="13"/>
      <c r="C2356" s="15"/>
      <c r="D2356" s="15"/>
      <c r="E2356" s="15"/>
      <c r="F2356" s="17"/>
      <c r="G2356" s="22"/>
      <c r="H2356" s="22"/>
      <c r="I2356" s="29"/>
      <c r="J2356" s="29"/>
      <c r="K2356" s="29"/>
      <c r="L2356" s="29"/>
    </row>
    <row r="2357">
      <c r="A2357" s="13"/>
      <c r="B2357" s="13"/>
      <c r="C2357" s="15"/>
      <c r="D2357" s="15"/>
      <c r="E2357" s="15"/>
      <c r="F2357" s="17"/>
      <c r="G2357" s="22"/>
      <c r="H2357" s="22"/>
      <c r="I2357" s="29"/>
      <c r="J2357" s="29"/>
      <c r="K2357" s="29"/>
      <c r="L2357" s="29"/>
    </row>
    <row r="2358">
      <c r="A2358" s="13"/>
      <c r="B2358" s="13"/>
      <c r="C2358" s="15"/>
      <c r="D2358" s="15"/>
      <c r="E2358" s="15"/>
      <c r="F2358" s="17"/>
      <c r="G2358" s="22"/>
      <c r="H2358" s="22"/>
      <c r="I2358" s="29"/>
      <c r="J2358" s="29"/>
      <c r="K2358" s="29"/>
      <c r="L2358" s="29"/>
    </row>
    <row r="2359">
      <c r="A2359" s="13"/>
      <c r="B2359" s="13"/>
      <c r="C2359" s="15"/>
      <c r="D2359" s="15"/>
      <c r="E2359" s="15"/>
      <c r="F2359" s="17"/>
      <c r="G2359" s="22"/>
      <c r="H2359" s="22"/>
      <c r="I2359" s="29"/>
      <c r="J2359" s="29"/>
      <c r="K2359" s="29"/>
      <c r="L2359" s="29"/>
    </row>
    <row r="2360">
      <c r="A2360" s="13"/>
      <c r="B2360" s="13"/>
      <c r="C2360" s="15"/>
      <c r="D2360" s="15"/>
      <c r="E2360" s="15"/>
      <c r="F2360" s="17"/>
      <c r="G2360" s="22"/>
      <c r="H2360" s="22"/>
      <c r="I2360" s="29"/>
      <c r="J2360" s="29"/>
      <c r="K2360" s="29"/>
      <c r="L2360" s="29"/>
    </row>
    <row r="2361">
      <c r="A2361" s="13"/>
      <c r="B2361" s="13"/>
      <c r="C2361" s="15"/>
      <c r="D2361" s="15"/>
      <c r="E2361" s="15"/>
      <c r="F2361" s="17"/>
      <c r="G2361" s="22"/>
      <c r="H2361" s="22"/>
      <c r="I2361" s="29"/>
      <c r="J2361" s="29"/>
      <c r="K2361" s="29"/>
      <c r="L2361" s="29"/>
    </row>
    <row r="2362">
      <c r="A2362" s="13"/>
      <c r="B2362" s="13"/>
      <c r="C2362" s="15"/>
      <c r="D2362" s="15"/>
      <c r="E2362" s="15"/>
      <c r="F2362" s="17"/>
      <c r="G2362" s="22"/>
      <c r="H2362" s="22"/>
      <c r="I2362" s="29"/>
      <c r="J2362" s="29"/>
      <c r="K2362" s="29"/>
      <c r="L2362" s="29"/>
    </row>
    <row r="2363">
      <c r="A2363" s="13"/>
      <c r="B2363" s="13"/>
      <c r="C2363" s="15"/>
      <c r="D2363" s="15"/>
      <c r="E2363" s="15"/>
      <c r="F2363" s="17"/>
      <c r="G2363" s="22"/>
      <c r="H2363" s="22"/>
      <c r="I2363" s="29"/>
      <c r="J2363" s="29"/>
      <c r="K2363" s="29"/>
      <c r="L2363" s="29"/>
    </row>
    <row r="2364">
      <c r="A2364" s="13"/>
      <c r="B2364" s="13"/>
      <c r="C2364" s="15"/>
      <c r="D2364" s="15"/>
      <c r="E2364" s="15"/>
      <c r="F2364" s="17"/>
      <c r="G2364" s="22"/>
      <c r="H2364" s="22"/>
      <c r="I2364" s="29"/>
      <c r="J2364" s="29"/>
      <c r="K2364" s="29"/>
      <c r="L2364" s="29"/>
    </row>
    <row r="2365">
      <c r="A2365" s="13"/>
      <c r="B2365" s="13"/>
      <c r="C2365" s="15"/>
      <c r="D2365" s="15"/>
      <c r="E2365" s="15"/>
      <c r="F2365" s="17"/>
      <c r="G2365" s="22"/>
      <c r="H2365" s="22"/>
      <c r="I2365" s="29"/>
      <c r="J2365" s="29"/>
      <c r="K2365" s="29"/>
      <c r="L2365" s="29"/>
    </row>
    <row r="2366">
      <c r="A2366" s="13"/>
      <c r="B2366" s="13"/>
      <c r="C2366" s="15"/>
      <c r="D2366" s="15"/>
      <c r="E2366" s="15"/>
      <c r="F2366" s="17"/>
      <c r="G2366" s="22"/>
      <c r="H2366" s="22"/>
      <c r="I2366" s="29"/>
      <c r="J2366" s="29"/>
      <c r="K2366" s="29"/>
      <c r="L2366" s="29"/>
    </row>
    <row r="2367">
      <c r="A2367" s="13"/>
      <c r="B2367" s="13"/>
      <c r="C2367" s="15"/>
      <c r="D2367" s="15"/>
      <c r="E2367" s="15"/>
      <c r="F2367" s="17"/>
      <c r="G2367" s="22"/>
      <c r="H2367" s="22"/>
      <c r="I2367" s="29"/>
      <c r="J2367" s="29"/>
      <c r="K2367" s="29"/>
      <c r="L2367" s="29"/>
    </row>
    <row r="2368">
      <c r="A2368" s="13"/>
      <c r="B2368" s="13"/>
      <c r="C2368" s="15"/>
      <c r="D2368" s="15"/>
      <c r="E2368" s="15"/>
      <c r="F2368" s="17"/>
      <c r="G2368" s="22"/>
      <c r="H2368" s="22"/>
      <c r="I2368" s="29"/>
      <c r="J2368" s="29"/>
      <c r="K2368" s="29"/>
      <c r="L2368" s="29"/>
    </row>
    <row r="2369">
      <c r="A2369" s="13"/>
      <c r="B2369" s="13"/>
      <c r="C2369" s="15"/>
      <c r="D2369" s="15"/>
      <c r="E2369" s="15"/>
      <c r="F2369" s="17"/>
      <c r="G2369" s="22"/>
      <c r="H2369" s="22"/>
      <c r="I2369" s="29"/>
      <c r="J2369" s="29"/>
      <c r="K2369" s="29"/>
      <c r="L2369" s="29"/>
    </row>
    <row r="2370">
      <c r="A2370" s="13"/>
      <c r="B2370" s="13"/>
      <c r="C2370" s="15"/>
      <c r="D2370" s="15"/>
      <c r="E2370" s="15"/>
      <c r="F2370" s="17"/>
      <c r="G2370" s="22"/>
      <c r="H2370" s="22"/>
      <c r="I2370" s="29"/>
      <c r="J2370" s="29"/>
      <c r="K2370" s="29"/>
      <c r="L2370" s="29"/>
    </row>
    <row r="2371">
      <c r="A2371" s="13"/>
      <c r="B2371" s="13"/>
      <c r="C2371" s="15"/>
      <c r="D2371" s="15"/>
      <c r="E2371" s="15"/>
      <c r="F2371" s="17"/>
      <c r="G2371" s="22"/>
      <c r="H2371" s="22"/>
      <c r="I2371" s="29"/>
      <c r="J2371" s="29"/>
      <c r="K2371" s="29"/>
      <c r="L2371" s="29"/>
    </row>
    <row r="2372">
      <c r="A2372" s="13"/>
      <c r="B2372" s="13"/>
      <c r="C2372" s="15"/>
      <c r="D2372" s="15"/>
      <c r="E2372" s="15"/>
      <c r="F2372" s="17"/>
      <c r="G2372" s="22"/>
      <c r="H2372" s="22"/>
      <c r="I2372" s="29"/>
      <c r="J2372" s="29"/>
      <c r="K2372" s="29"/>
      <c r="L2372" s="29"/>
    </row>
    <row r="2373">
      <c r="A2373" s="13"/>
      <c r="B2373" s="13"/>
      <c r="C2373" s="15"/>
      <c r="D2373" s="15"/>
      <c r="E2373" s="15"/>
      <c r="F2373" s="17"/>
      <c r="G2373" s="22"/>
      <c r="H2373" s="22"/>
      <c r="I2373" s="29"/>
      <c r="J2373" s="29"/>
      <c r="K2373" s="29"/>
      <c r="L2373" s="29"/>
    </row>
    <row r="2374">
      <c r="A2374" s="13"/>
      <c r="B2374" s="13"/>
      <c r="C2374" s="15"/>
      <c r="D2374" s="15"/>
      <c r="E2374" s="15"/>
      <c r="F2374" s="17"/>
      <c r="G2374" s="22"/>
      <c r="H2374" s="22"/>
      <c r="I2374" s="29"/>
      <c r="J2374" s="29"/>
      <c r="K2374" s="29"/>
      <c r="L2374" s="29"/>
    </row>
    <row r="2375">
      <c r="A2375" s="13"/>
      <c r="B2375" s="13"/>
      <c r="C2375" s="15"/>
      <c r="D2375" s="15"/>
      <c r="E2375" s="15"/>
      <c r="F2375" s="17"/>
      <c r="G2375" s="22"/>
      <c r="H2375" s="22"/>
      <c r="I2375" s="29"/>
      <c r="J2375" s="29"/>
      <c r="K2375" s="29"/>
      <c r="L2375" s="29"/>
    </row>
    <row r="2376">
      <c r="A2376" s="13"/>
      <c r="B2376" s="13"/>
      <c r="C2376" s="15"/>
      <c r="D2376" s="15"/>
      <c r="E2376" s="15"/>
      <c r="F2376" s="17"/>
      <c r="G2376" s="22"/>
      <c r="H2376" s="22"/>
      <c r="I2376" s="29"/>
      <c r="J2376" s="29"/>
      <c r="K2376" s="29"/>
      <c r="L2376" s="29"/>
    </row>
    <row r="2377">
      <c r="A2377" s="13"/>
      <c r="B2377" s="13"/>
      <c r="C2377" s="15"/>
      <c r="D2377" s="15"/>
      <c r="E2377" s="15"/>
      <c r="F2377" s="17"/>
      <c r="G2377" s="22"/>
      <c r="H2377" s="22"/>
      <c r="I2377" s="29"/>
      <c r="J2377" s="29"/>
      <c r="K2377" s="29"/>
      <c r="L2377" s="29"/>
    </row>
    <row r="2378">
      <c r="A2378" s="13"/>
      <c r="B2378" s="13"/>
      <c r="C2378" s="15"/>
      <c r="D2378" s="15"/>
      <c r="E2378" s="15"/>
      <c r="F2378" s="17"/>
      <c r="G2378" s="22"/>
      <c r="H2378" s="22"/>
      <c r="I2378" s="29"/>
      <c r="J2378" s="29"/>
      <c r="K2378" s="29"/>
      <c r="L2378" s="29"/>
    </row>
    <row r="2379">
      <c r="A2379" s="13"/>
      <c r="B2379" s="13"/>
      <c r="C2379" s="15"/>
      <c r="D2379" s="15"/>
      <c r="E2379" s="15"/>
      <c r="F2379" s="17"/>
      <c r="G2379" s="22"/>
      <c r="H2379" s="22"/>
      <c r="I2379" s="29"/>
      <c r="J2379" s="29"/>
      <c r="K2379" s="29"/>
      <c r="L2379" s="29"/>
    </row>
    <row r="2380">
      <c r="A2380" s="13"/>
      <c r="B2380" s="13"/>
      <c r="C2380" s="15"/>
      <c r="D2380" s="15"/>
      <c r="E2380" s="15"/>
      <c r="F2380" s="17"/>
      <c r="G2380" s="22"/>
      <c r="H2380" s="22"/>
      <c r="I2380" s="29"/>
      <c r="J2380" s="29"/>
      <c r="K2380" s="29"/>
      <c r="L2380" s="29"/>
    </row>
    <row r="2381">
      <c r="A2381" s="13"/>
      <c r="B2381" s="13"/>
      <c r="C2381" s="15"/>
      <c r="D2381" s="15"/>
      <c r="E2381" s="15"/>
      <c r="F2381" s="17"/>
      <c r="G2381" s="22"/>
      <c r="H2381" s="22"/>
      <c r="I2381" s="29"/>
      <c r="J2381" s="29"/>
      <c r="K2381" s="29"/>
      <c r="L2381" s="29"/>
    </row>
    <row r="2382">
      <c r="A2382" s="13"/>
      <c r="B2382" s="13"/>
      <c r="C2382" s="15"/>
      <c r="D2382" s="15"/>
      <c r="E2382" s="15"/>
      <c r="F2382" s="17"/>
      <c r="G2382" s="22"/>
      <c r="H2382" s="22"/>
      <c r="I2382" s="29"/>
      <c r="J2382" s="29"/>
      <c r="K2382" s="29"/>
      <c r="L2382" s="29"/>
    </row>
    <row r="2383">
      <c r="A2383" s="13"/>
      <c r="B2383" s="13"/>
      <c r="C2383" s="15"/>
      <c r="D2383" s="15"/>
      <c r="E2383" s="15"/>
      <c r="F2383" s="17"/>
      <c r="G2383" s="22"/>
      <c r="H2383" s="22"/>
      <c r="I2383" s="29"/>
      <c r="J2383" s="29"/>
      <c r="K2383" s="29"/>
      <c r="L2383" s="29"/>
    </row>
    <row r="2384">
      <c r="A2384" s="13"/>
      <c r="B2384" s="13"/>
      <c r="C2384" s="15"/>
      <c r="D2384" s="15"/>
      <c r="E2384" s="15"/>
      <c r="F2384" s="17"/>
      <c r="G2384" s="22"/>
      <c r="H2384" s="22"/>
      <c r="I2384" s="29"/>
      <c r="J2384" s="29"/>
      <c r="K2384" s="29"/>
      <c r="L2384" s="29"/>
    </row>
    <row r="2385">
      <c r="A2385" s="13"/>
      <c r="B2385" s="13"/>
      <c r="C2385" s="15"/>
      <c r="D2385" s="15"/>
      <c r="E2385" s="15"/>
      <c r="F2385" s="17"/>
      <c r="G2385" s="22"/>
      <c r="H2385" s="22"/>
      <c r="I2385" s="29"/>
      <c r="J2385" s="29"/>
      <c r="K2385" s="29"/>
      <c r="L2385" s="29"/>
    </row>
    <row r="2386">
      <c r="A2386" s="13"/>
      <c r="B2386" s="13"/>
      <c r="C2386" s="15"/>
      <c r="D2386" s="15"/>
      <c r="E2386" s="15"/>
      <c r="F2386" s="17"/>
      <c r="G2386" s="22"/>
      <c r="H2386" s="22"/>
      <c r="I2386" s="29"/>
      <c r="J2386" s="29"/>
      <c r="K2386" s="29"/>
      <c r="L2386" s="29"/>
    </row>
    <row r="2387">
      <c r="A2387" s="13"/>
      <c r="B2387" s="13"/>
      <c r="C2387" s="15"/>
      <c r="D2387" s="15"/>
      <c r="E2387" s="15"/>
      <c r="F2387" s="17"/>
      <c r="G2387" s="22"/>
      <c r="H2387" s="22"/>
      <c r="I2387" s="29"/>
      <c r="J2387" s="29"/>
      <c r="K2387" s="29"/>
      <c r="L2387" s="29"/>
    </row>
    <row r="2388">
      <c r="A2388" s="13"/>
      <c r="B2388" s="13"/>
      <c r="C2388" s="15"/>
      <c r="D2388" s="15"/>
      <c r="E2388" s="15"/>
      <c r="F2388" s="17"/>
      <c r="G2388" s="22"/>
      <c r="H2388" s="22"/>
      <c r="I2388" s="29"/>
      <c r="J2388" s="29"/>
      <c r="K2388" s="29"/>
      <c r="L2388" s="29"/>
    </row>
    <row r="2389">
      <c r="A2389" s="13"/>
      <c r="B2389" s="13"/>
      <c r="C2389" s="15"/>
      <c r="D2389" s="15"/>
      <c r="E2389" s="15"/>
      <c r="F2389" s="17"/>
      <c r="G2389" s="22"/>
      <c r="H2389" s="22"/>
      <c r="I2389" s="29"/>
      <c r="J2389" s="29"/>
      <c r="K2389" s="29"/>
      <c r="L2389" s="29"/>
    </row>
    <row r="2390">
      <c r="A2390" s="13"/>
      <c r="B2390" s="13"/>
      <c r="C2390" s="15"/>
      <c r="D2390" s="15"/>
      <c r="E2390" s="15"/>
      <c r="F2390" s="17"/>
      <c r="G2390" s="22"/>
      <c r="H2390" s="22"/>
      <c r="I2390" s="29"/>
      <c r="J2390" s="29"/>
      <c r="K2390" s="29"/>
      <c r="L2390" s="29"/>
    </row>
    <row r="2391">
      <c r="A2391" s="13"/>
      <c r="B2391" s="13"/>
      <c r="C2391" s="15"/>
      <c r="D2391" s="15"/>
      <c r="E2391" s="15"/>
      <c r="F2391" s="17"/>
      <c r="G2391" s="22"/>
      <c r="H2391" s="22"/>
      <c r="I2391" s="29"/>
      <c r="J2391" s="29"/>
      <c r="K2391" s="29"/>
      <c r="L2391" s="29"/>
    </row>
    <row r="2392">
      <c r="A2392" s="13"/>
      <c r="B2392" s="13"/>
      <c r="C2392" s="15"/>
      <c r="D2392" s="15"/>
      <c r="E2392" s="15"/>
      <c r="F2392" s="17"/>
      <c r="G2392" s="22"/>
      <c r="H2392" s="22"/>
      <c r="I2392" s="29"/>
      <c r="J2392" s="29"/>
      <c r="K2392" s="29"/>
      <c r="L2392" s="29"/>
    </row>
    <row r="2393">
      <c r="A2393" s="13"/>
      <c r="B2393" s="13"/>
      <c r="C2393" s="15"/>
      <c r="D2393" s="15"/>
      <c r="E2393" s="15"/>
      <c r="F2393" s="17"/>
      <c r="G2393" s="22"/>
      <c r="H2393" s="22"/>
      <c r="I2393" s="29"/>
      <c r="J2393" s="29"/>
      <c r="K2393" s="29"/>
      <c r="L2393" s="29"/>
    </row>
    <row r="2394">
      <c r="A2394" s="13"/>
      <c r="B2394" s="13"/>
      <c r="C2394" s="15"/>
      <c r="D2394" s="15"/>
      <c r="E2394" s="15"/>
      <c r="F2394" s="17"/>
      <c r="G2394" s="22"/>
      <c r="H2394" s="22"/>
      <c r="I2394" s="29"/>
      <c r="J2394" s="29"/>
      <c r="K2394" s="29"/>
      <c r="L2394" s="29"/>
    </row>
    <row r="2395">
      <c r="A2395" s="13"/>
      <c r="B2395" s="13"/>
      <c r="C2395" s="15"/>
      <c r="D2395" s="15"/>
      <c r="E2395" s="15"/>
      <c r="F2395" s="17"/>
      <c r="G2395" s="22"/>
      <c r="H2395" s="22"/>
      <c r="I2395" s="29"/>
      <c r="J2395" s="29"/>
      <c r="K2395" s="29"/>
      <c r="L2395" s="29"/>
    </row>
    <row r="2396">
      <c r="A2396" s="13"/>
      <c r="B2396" s="13"/>
      <c r="C2396" s="15"/>
      <c r="D2396" s="15"/>
      <c r="E2396" s="15"/>
      <c r="F2396" s="17"/>
      <c r="G2396" s="22"/>
      <c r="H2396" s="22"/>
      <c r="I2396" s="29"/>
      <c r="J2396" s="29"/>
      <c r="K2396" s="29"/>
      <c r="L2396" s="29"/>
    </row>
    <row r="2397">
      <c r="A2397" s="13"/>
      <c r="B2397" s="13"/>
      <c r="C2397" s="15"/>
      <c r="D2397" s="15"/>
      <c r="E2397" s="15"/>
      <c r="F2397" s="17"/>
      <c r="G2397" s="22"/>
      <c r="H2397" s="22"/>
      <c r="I2397" s="29"/>
      <c r="J2397" s="29"/>
      <c r="K2397" s="29"/>
      <c r="L2397" s="29"/>
    </row>
    <row r="2398">
      <c r="A2398" s="13"/>
      <c r="B2398" s="13"/>
      <c r="C2398" s="15"/>
      <c r="D2398" s="15"/>
      <c r="E2398" s="15"/>
      <c r="F2398" s="17"/>
      <c r="G2398" s="22"/>
      <c r="H2398" s="22"/>
      <c r="I2398" s="29"/>
      <c r="J2398" s="29"/>
      <c r="K2398" s="29"/>
      <c r="L2398" s="29"/>
    </row>
    <row r="2399">
      <c r="A2399" s="13"/>
      <c r="B2399" s="13"/>
      <c r="C2399" s="15"/>
      <c r="D2399" s="15"/>
      <c r="E2399" s="15"/>
      <c r="F2399" s="17"/>
      <c r="G2399" s="22"/>
      <c r="H2399" s="22"/>
      <c r="I2399" s="29"/>
      <c r="J2399" s="29"/>
      <c r="K2399" s="29"/>
      <c r="L2399" s="29"/>
    </row>
    <row r="2400">
      <c r="A2400" s="13"/>
      <c r="B2400" s="13"/>
      <c r="C2400" s="15"/>
      <c r="D2400" s="15"/>
      <c r="E2400" s="15"/>
      <c r="F2400" s="17"/>
      <c r="G2400" s="22"/>
      <c r="H2400" s="22"/>
      <c r="I2400" s="29"/>
      <c r="J2400" s="29"/>
      <c r="K2400" s="29"/>
      <c r="L2400" s="29"/>
    </row>
    <row r="2401">
      <c r="A2401" s="13"/>
      <c r="B2401" s="13"/>
      <c r="C2401" s="15"/>
      <c r="D2401" s="15"/>
      <c r="E2401" s="15"/>
      <c r="F2401" s="17"/>
      <c r="G2401" s="22"/>
      <c r="H2401" s="22"/>
      <c r="I2401" s="29"/>
      <c r="J2401" s="29"/>
      <c r="K2401" s="29"/>
      <c r="L2401" s="29"/>
    </row>
    <row r="2402">
      <c r="A2402" s="13"/>
      <c r="B2402" s="13"/>
      <c r="C2402" s="15"/>
      <c r="D2402" s="15"/>
      <c r="E2402" s="15"/>
      <c r="F2402" s="17"/>
      <c r="G2402" s="22"/>
      <c r="H2402" s="22"/>
      <c r="I2402" s="29"/>
      <c r="J2402" s="29"/>
      <c r="K2402" s="29"/>
      <c r="L2402" s="29"/>
    </row>
    <row r="2403">
      <c r="A2403" s="13"/>
      <c r="B2403" s="13"/>
      <c r="C2403" s="15"/>
      <c r="D2403" s="15"/>
      <c r="E2403" s="15"/>
      <c r="F2403" s="17"/>
      <c r="G2403" s="22"/>
      <c r="H2403" s="22"/>
      <c r="I2403" s="29"/>
      <c r="J2403" s="29"/>
      <c r="K2403" s="29"/>
      <c r="L2403" s="29"/>
    </row>
    <row r="2404">
      <c r="A2404" s="13"/>
      <c r="B2404" s="13"/>
      <c r="C2404" s="15"/>
      <c r="D2404" s="15"/>
      <c r="E2404" s="15"/>
      <c r="F2404" s="17"/>
      <c r="G2404" s="22"/>
      <c r="H2404" s="22"/>
      <c r="I2404" s="29"/>
      <c r="J2404" s="29"/>
      <c r="K2404" s="29"/>
      <c r="L2404" s="29"/>
    </row>
    <row r="2405">
      <c r="A2405" s="13"/>
      <c r="B2405" s="13"/>
      <c r="C2405" s="15"/>
      <c r="D2405" s="15"/>
      <c r="E2405" s="15"/>
      <c r="F2405" s="17"/>
      <c r="G2405" s="22"/>
      <c r="H2405" s="22"/>
      <c r="I2405" s="29"/>
      <c r="J2405" s="29"/>
      <c r="K2405" s="29"/>
      <c r="L2405" s="29"/>
    </row>
    <row r="2406">
      <c r="A2406" s="13"/>
      <c r="B2406" s="13"/>
      <c r="C2406" s="15"/>
      <c r="D2406" s="15"/>
      <c r="E2406" s="15"/>
      <c r="F2406" s="17"/>
      <c r="G2406" s="22"/>
      <c r="H2406" s="22"/>
      <c r="I2406" s="29"/>
      <c r="J2406" s="29"/>
      <c r="K2406" s="29"/>
      <c r="L2406" s="29"/>
    </row>
    <row r="2407">
      <c r="A2407" s="13"/>
      <c r="B2407" s="13"/>
      <c r="C2407" s="15"/>
      <c r="D2407" s="15"/>
      <c r="E2407" s="15"/>
      <c r="F2407" s="17"/>
      <c r="G2407" s="22"/>
      <c r="H2407" s="22"/>
      <c r="I2407" s="29"/>
      <c r="J2407" s="29"/>
      <c r="K2407" s="29"/>
      <c r="L2407" s="29"/>
    </row>
    <row r="2408">
      <c r="A2408" s="13"/>
      <c r="B2408" s="13"/>
      <c r="C2408" s="15"/>
      <c r="D2408" s="15"/>
      <c r="E2408" s="15"/>
      <c r="F2408" s="17"/>
      <c r="G2408" s="22"/>
      <c r="H2408" s="22"/>
      <c r="I2408" s="29"/>
      <c r="J2408" s="29"/>
      <c r="K2408" s="29"/>
      <c r="L2408" s="29"/>
    </row>
    <row r="2409">
      <c r="A2409" s="13"/>
      <c r="B2409" s="13"/>
      <c r="C2409" s="15"/>
      <c r="D2409" s="15"/>
      <c r="E2409" s="15"/>
      <c r="F2409" s="17"/>
      <c r="G2409" s="22"/>
      <c r="H2409" s="22"/>
      <c r="I2409" s="29"/>
      <c r="J2409" s="29"/>
      <c r="K2409" s="29"/>
      <c r="L2409" s="29"/>
    </row>
    <row r="2410">
      <c r="A2410" s="13"/>
      <c r="B2410" s="13"/>
      <c r="C2410" s="15"/>
      <c r="D2410" s="15"/>
      <c r="E2410" s="15"/>
      <c r="F2410" s="17"/>
      <c r="G2410" s="22"/>
      <c r="H2410" s="22"/>
      <c r="I2410" s="29"/>
      <c r="J2410" s="29"/>
      <c r="K2410" s="29"/>
      <c r="L2410" s="29"/>
    </row>
    <row r="2411">
      <c r="A2411" s="13"/>
      <c r="B2411" s="13"/>
      <c r="C2411" s="15"/>
      <c r="D2411" s="15"/>
      <c r="E2411" s="15"/>
      <c r="F2411" s="17"/>
      <c r="G2411" s="22"/>
      <c r="H2411" s="22"/>
      <c r="I2411" s="29"/>
      <c r="J2411" s="29"/>
      <c r="K2411" s="29"/>
      <c r="L2411" s="29"/>
    </row>
    <row r="2412">
      <c r="A2412" s="13"/>
      <c r="B2412" s="13"/>
      <c r="C2412" s="15"/>
      <c r="D2412" s="15"/>
      <c r="E2412" s="15"/>
      <c r="F2412" s="17"/>
      <c r="G2412" s="22"/>
      <c r="H2412" s="22"/>
      <c r="I2412" s="29"/>
      <c r="J2412" s="29"/>
      <c r="K2412" s="29"/>
      <c r="L2412" s="29"/>
    </row>
    <row r="2413">
      <c r="A2413" s="13"/>
      <c r="B2413" s="13"/>
      <c r="C2413" s="15"/>
      <c r="D2413" s="15"/>
      <c r="E2413" s="15"/>
      <c r="F2413" s="17"/>
      <c r="G2413" s="22"/>
      <c r="H2413" s="22"/>
      <c r="I2413" s="29"/>
      <c r="J2413" s="29"/>
      <c r="K2413" s="29"/>
      <c r="L2413" s="29"/>
    </row>
    <row r="2414">
      <c r="A2414" s="13"/>
      <c r="B2414" s="13"/>
      <c r="C2414" s="15"/>
      <c r="D2414" s="15"/>
      <c r="E2414" s="15"/>
      <c r="F2414" s="17"/>
      <c r="G2414" s="22"/>
      <c r="H2414" s="22"/>
      <c r="I2414" s="29"/>
      <c r="J2414" s="29"/>
      <c r="K2414" s="29"/>
      <c r="L2414" s="29"/>
    </row>
    <row r="2415">
      <c r="A2415" s="13"/>
      <c r="B2415" s="13"/>
      <c r="C2415" s="15"/>
      <c r="D2415" s="15"/>
      <c r="E2415" s="15"/>
      <c r="F2415" s="17"/>
      <c r="G2415" s="22"/>
      <c r="H2415" s="22"/>
      <c r="I2415" s="29"/>
      <c r="J2415" s="29"/>
      <c r="K2415" s="29"/>
      <c r="L2415" s="29"/>
    </row>
    <row r="2416">
      <c r="A2416" s="13"/>
      <c r="B2416" s="13"/>
      <c r="C2416" s="15"/>
      <c r="D2416" s="15"/>
      <c r="E2416" s="15"/>
      <c r="F2416" s="17"/>
      <c r="G2416" s="22"/>
      <c r="H2416" s="22"/>
      <c r="I2416" s="29"/>
      <c r="J2416" s="29"/>
      <c r="K2416" s="29"/>
      <c r="L2416" s="29"/>
    </row>
    <row r="2417">
      <c r="A2417" s="13"/>
      <c r="B2417" s="13"/>
      <c r="C2417" s="15"/>
      <c r="D2417" s="15"/>
      <c r="E2417" s="15"/>
      <c r="F2417" s="17"/>
      <c r="G2417" s="22"/>
      <c r="H2417" s="22"/>
      <c r="I2417" s="29"/>
      <c r="J2417" s="29"/>
      <c r="K2417" s="29"/>
      <c r="L2417" s="29"/>
    </row>
    <row r="2418">
      <c r="A2418" s="13"/>
      <c r="B2418" s="13"/>
      <c r="C2418" s="15"/>
      <c r="D2418" s="15"/>
      <c r="E2418" s="15"/>
      <c r="F2418" s="17"/>
      <c r="G2418" s="22"/>
      <c r="H2418" s="22"/>
      <c r="I2418" s="29"/>
      <c r="J2418" s="29"/>
      <c r="K2418" s="29"/>
      <c r="L2418" s="29"/>
    </row>
    <row r="2419">
      <c r="A2419" s="13"/>
      <c r="B2419" s="13"/>
      <c r="C2419" s="15"/>
      <c r="D2419" s="15"/>
      <c r="E2419" s="15"/>
      <c r="F2419" s="17"/>
      <c r="G2419" s="22"/>
      <c r="H2419" s="22"/>
      <c r="I2419" s="29"/>
      <c r="J2419" s="29"/>
      <c r="K2419" s="29"/>
      <c r="L2419" s="29"/>
    </row>
    <row r="2420">
      <c r="A2420" s="13"/>
      <c r="B2420" s="13"/>
      <c r="C2420" s="15"/>
      <c r="D2420" s="15"/>
      <c r="E2420" s="15"/>
      <c r="F2420" s="17"/>
      <c r="G2420" s="22"/>
      <c r="H2420" s="22"/>
      <c r="I2420" s="29"/>
      <c r="J2420" s="29"/>
      <c r="K2420" s="29"/>
      <c r="L2420" s="29"/>
    </row>
    <row r="2421">
      <c r="A2421" s="13"/>
      <c r="B2421" s="13"/>
      <c r="C2421" s="15"/>
      <c r="D2421" s="15"/>
      <c r="E2421" s="15"/>
      <c r="F2421" s="17"/>
      <c r="G2421" s="22"/>
      <c r="H2421" s="22"/>
      <c r="I2421" s="29"/>
      <c r="J2421" s="29"/>
      <c r="K2421" s="29"/>
      <c r="L2421" s="29"/>
    </row>
    <row r="2422">
      <c r="A2422" s="13"/>
      <c r="B2422" s="13"/>
      <c r="C2422" s="15"/>
      <c r="D2422" s="15"/>
      <c r="E2422" s="15"/>
      <c r="F2422" s="17"/>
      <c r="G2422" s="22"/>
      <c r="H2422" s="22"/>
      <c r="I2422" s="29"/>
      <c r="J2422" s="29"/>
      <c r="K2422" s="29"/>
      <c r="L2422" s="29"/>
    </row>
    <row r="2423">
      <c r="A2423" s="13"/>
      <c r="B2423" s="13"/>
      <c r="C2423" s="15"/>
      <c r="D2423" s="15"/>
      <c r="E2423" s="15"/>
      <c r="F2423" s="17"/>
      <c r="G2423" s="22"/>
      <c r="H2423" s="22"/>
      <c r="I2423" s="29"/>
      <c r="J2423" s="29"/>
      <c r="K2423" s="29"/>
      <c r="L2423" s="29"/>
    </row>
    <row r="2424">
      <c r="A2424" s="13"/>
      <c r="B2424" s="13"/>
      <c r="C2424" s="15"/>
      <c r="D2424" s="15"/>
      <c r="E2424" s="15"/>
      <c r="F2424" s="17"/>
      <c r="G2424" s="22"/>
      <c r="H2424" s="22"/>
      <c r="I2424" s="29"/>
      <c r="J2424" s="29"/>
      <c r="K2424" s="29"/>
      <c r="L2424" s="29"/>
    </row>
    <row r="2425">
      <c r="A2425" s="13"/>
      <c r="B2425" s="13"/>
      <c r="C2425" s="15"/>
      <c r="D2425" s="15"/>
      <c r="E2425" s="15"/>
      <c r="F2425" s="17"/>
      <c r="G2425" s="22"/>
      <c r="H2425" s="22"/>
      <c r="I2425" s="29"/>
      <c r="J2425" s="29"/>
      <c r="K2425" s="29"/>
      <c r="L2425" s="29"/>
    </row>
    <row r="2426">
      <c r="A2426" s="13"/>
      <c r="B2426" s="13"/>
      <c r="C2426" s="15"/>
      <c r="D2426" s="15"/>
      <c r="E2426" s="15"/>
      <c r="F2426" s="17"/>
      <c r="G2426" s="22"/>
      <c r="H2426" s="22"/>
      <c r="I2426" s="29"/>
      <c r="J2426" s="29"/>
      <c r="K2426" s="29"/>
      <c r="L2426" s="29"/>
    </row>
    <row r="2427">
      <c r="A2427" s="13"/>
      <c r="B2427" s="13"/>
      <c r="C2427" s="15"/>
      <c r="D2427" s="15"/>
      <c r="E2427" s="15"/>
      <c r="F2427" s="17"/>
      <c r="G2427" s="22"/>
      <c r="H2427" s="22"/>
      <c r="I2427" s="29"/>
      <c r="J2427" s="29"/>
      <c r="K2427" s="29"/>
      <c r="L2427" s="29"/>
    </row>
    <row r="2428">
      <c r="A2428" s="13"/>
      <c r="B2428" s="13"/>
      <c r="C2428" s="15"/>
      <c r="D2428" s="15"/>
      <c r="E2428" s="15"/>
      <c r="F2428" s="17"/>
      <c r="G2428" s="22"/>
      <c r="H2428" s="22"/>
      <c r="I2428" s="29"/>
      <c r="J2428" s="29"/>
      <c r="K2428" s="29"/>
      <c r="L2428" s="29"/>
    </row>
    <row r="2429">
      <c r="A2429" s="13"/>
      <c r="B2429" s="13"/>
      <c r="C2429" s="15"/>
      <c r="D2429" s="15"/>
      <c r="E2429" s="15"/>
      <c r="F2429" s="17"/>
      <c r="G2429" s="22"/>
      <c r="H2429" s="22"/>
      <c r="I2429" s="29"/>
      <c r="J2429" s="29"/>
      <c r="K2429" s="29"/>
      <c r="L2429" s="29"/>
    </row>
    <row r="2430">
      <c r="A2430" s="13"/>
      <c r="B2430" s="13"/>
      <c r="C2430" s="15"/>
      <c r="D2430" s="15"/>
      <c r="E2430" s="15"/>
      <c r="F2430" s="17"/>
      <c r="G2430" s="22"/>
      <c r="H2430" s="22"/>
      <c r="I2430" s="29"/>
      <c r="J2430" s="29"/>
      <c r="K2430" s="29"/>
      <c r="L2430" s="29"/>
    </row>
    <row r="2431">
      <c r="A2431" s="13"/>
      <c r="B2431" s="13"/>
      <c r="C2431" s="15"/>
      <c r="D2431" s="15"/>
      <c r="E2431" s="15"/>
      <c r="F2431" s="17"/>
      <c r="G2431" s="22"/>
      <c r="H2431" s="22"/>
      <c r="I2431" s="29"/>
      <c r="J2431" s="29"/>
      <c r="K2431" s="29"/>
      <c r="L2431" s="29"/>
    </row>
    <row r="2432">
      <c r="A2432" s="13"/>
      <c r="B2432" s="13"/>
      <c r="C2432" s="15"/>
      <c r="D2432" s="15"/>
      <c r="E2432" s="15"/>
      <c r="F2432" s="17"/>
      <c r="G2432" s="22"/>
      <c r="H2432" s="22"/>
      <c r="I2432" s="29"/>
      <c r="J2432" s="29"/>
      <c r="K2432" s="29"/>
      <c r="L2432" s="29"/>
    </row>
    <row r="2433">
      <c r="A2433" s="13"/>
      <c r="B2433" s="13"/>
      <c r="C2433" s="15"/>
      <c r="D2433" s="15"/>
      <c r="E2433" s="15"/>
      <c r="F2433" s="17"/>
      <c r="G2433" s="22"/>
      <c r="H2433" s="22"/>
      <c r="I2433" s="29"/>
      <c r="J2433" s="29"/>
      <c r="K2433" s="29"/>
      <c r="L2433" s="29"/>
    </row>
    <row r="2434">
      <c r="A2434" s="13"/>
      <c r="B2434" s="13"/>
      <c r="C2434" s="15"/>
      <c r="D2434" s="15"/>
      <c r="E2434" s="15"/>
      <c r="F2434" s="17"/>
      <c r="G2434" s="22"/>
      <c r="H2434" s="22"/>
      <c r="I2434" s="29"/>
      <c r="J2434" s="29"/>
      <c r="K2434" s="29"/>
      <c r="L2434" s="29"/>
    </row>
    <row r="2435">
      <c r="A2435" s="13"/>
      <c r="B2435" s="13"/>
      <c r="C2435" s="15"/>
      <c r="D2435" s="15"/>
      <c r="E2435" s="15"/>
      <c r="F2435" s="17"/>
      <c r="G2435" s="22"/>
      <c r="H2435" s="22"/>
      <c r="I2435" s="29"/>
      <c r="J2435" s="29"/>
      <c r="K2435" s="29"/>
      <c r="L2435" s="29"/>
    </row>
    <row r="2436">
      <c r="A2436" s="13"/>
      <c r="B2436" s="13"/>
      <c r="C2436" s="15"/>
      <c r="D2436" s="15"/>
      <c r="E2436" s="15"/>
      <c r="F2436" s="17"/>
      <c r="G2436" s="22"/>
      <c r="H2436" s="22"/>
      <c r="I2436" s="29"/>
      <c r="J2436" s="29"/>
      <c r="K2436" s="29"/>
      <c r="L2436" s="29"/>
    </row>
    <row r="2437">
      <c r="A2437" s="13"/>
      <c r="B2437" s="13"/>
      <c r="C2437" s="15"/>
      <c r="D2437" s="15"/>
      <c r="E2437" s="15"/>
      <c r="F2437" s="17"/>
      <c r="G2437" s="22"/>
      <c r="H2437" s="22"/>
      <c r="I2437" s="29"/>
      <c r="J2437" s="29"/>
      <c r="K2437" s="29"/>
      <c r="L2437" s="29"/>
    </row>
    <row r="2438">
      <c r="A2438" s="13"/>
      <c r="B2438" s="13"/>
      <c r="C2438" s="15"/>
      <c r="D2438" s="15"/>
      <c r="E2438" s="15"/>
      <c r="F2438" s="17"/>
      <c r="G2438" s="22"/>
      <c r="H2438" s="22"/>
      <c r="I2438" s="29"/>
      <c r="J2438" s="29"/>
      <c r="K2438" s="29"/>
      <c r="L2438" s="29"/>
    </row>
    <row r="2439">
      <c r="A2439" s="13"/>
      <c r="B2439" s="13"/>
      <c r="C2439" s="15"/>
      <c r="D2439" s="15"/>
      <c r="E2439" s="15"/>
      <c r="F2439" s="17"/>
      <c r="G2439" s="22"/>
      <c r="H2439" s="22"/>
      <c r="I2439" s="29"/>
      <c r="J2439" s="29"/>
      <c r="K2439" s="29"/>
      <c r="L2439" s="29"/>
    </row>
    <row r="2440">
      <c r="A2440" s="13"/>
      <c r="B2440" s="13"/>
      <c r="C2440" s="15"/>
      <c r="D2440" s="15"/>
      <c r="E2440" s="15"/>
      <c r="F2440" s="17"/>
      <c r="G2440" s="22"/>
      <c r="H2440" s="22"/>
      <c r="I2440" s="29"/>
      <c r="J2440" s="29"/>
      <c r="K2440" s="29"/>
      <c r="L2440" s="29"/>
    </row>
    <row r="2441">
      <c r="A2441" s="13"/>
      <c r="B2441" s="13"/>
      <c r="C2441" s="15"/>
      <c r="D2441" s="15"/>
      <c r="E2441" s="15"/>
      <c r="F2441" s="17"/>
      <c r="G2441" s="22"/>
      <c r="H2441" s="22"/>
      <c r="I2441" s="29"/>
      <c r="J2441" s="29"/>
      <c r="K2441" s="29"/>
      <c r="L2441" s="29"/>
    </row>
    <row r="2442">
      <c r="A2442" s="13"/>
      <c r="B2442" s="13"/>
      <c r="C2442" s="15"/>
      <c r="D2442" s="15"/>
      <c r="E2442" s="15"/>
      <c r="F2442" s="17"/>
      <c r="G2442" s="22"/>
      <c r="H2442" s="22"/>
      <c r="I2442" s="29"/>
      <c r="J2442" s="29"/>
      <c r="K2442" s="29"/>
      <c r="L2442" s="29"/>
    </row>
    <row r="2443">
      <c r="A2443" s="13"/>
      <c r="B2443" s="13"/>
      <c r="C2443" s="15"/>
      <c r="D2443" s="15"/>
      <c r="E2443" s="15"/>
      <c r="F2443" s="17"/>
      <c r="G2443" s="22"/>
      <c r="H2443" s="22"/>
      <c r="I2443" s="29"/>
      <c r="J2443" s="29"/>
      <c r="K2443" s="29"/>
      <c r="L2443" s="29"/>
    </row>
    <row r="2444">
      <c r="A2444" s="13"/>
      <c r="B2444" s="13"/>
      <c r="C2444" s="15"/>
      <c r="D2444" s="15"/>
      <c r="E2444" s="15"/>
      <c r="F2444" s="17"/>
      <c r="G2444" s="22"/>
      <c r="H2444" s="22"/>
      <c r="I2444" s="29"/>
      <c r="J2444" s="29"/>
      <c r="K2444" s="29"/>
      <c r="L2444" s="29"/>
    </row>
    <row r="2445">
      <c r="A2445" s="13"/>
      <c r="B2445" s="13"/>
      <c r="C2445" s="15"/>
      <c r="D2445" s="15"/>
      <c r="E2445" s="15"/>
      <c r="F2445" s="17"/>
      <c r="G2445" s="22"/>
      <c r="H2445" s="22"/>
      <c r="I2445" s="29"/>
      <c r="J2445" s="29"/>
      <c r="K2445" s="29"/>
      <c r="L2445" s="29"/>
    </row>
    <row r="2446">
      <c r="A2446" s="13"/>
      <c r="B2446" s="13"/>
      <c r="C2446" s="15"/>
      <c r="D2446" s="15"/>
      <c r="E2446" s="15"/>
      <c r="F2446" s="17"/>
      <c r="G2446" s="22"/>
      <c r="H2446" s="22"/>
      <c r="I2446" s="29"/>
      <c r="J2446" s="29"/>
      <c r="K2446" s="29"/>
      <c r="L2446" s="29"/>
    </row>
    <row r="2447">
      <c r="A2447" s="13"/>
      <c r="B2447" s="13"/>
      <c r="C2447" s="15"/>
      <c r="D2447" s="15"/>
      <c r="E2447" s="15"/>
      <c r="F2447" s="17"/>
      <c r="G2447" s="22"/>
      <c r="H2447" s="22"/>
      <c r="I2447" s="29"/>
      <c r="J2447" s="29"/>
      <c r="K2447" s="29"/>
      <c r="L2447" s="29"/>
    </row>
    <row r="2448">
      <c r="A2448" s="13"/>
      <c r="B2448" s="13"/>
      <c r="C2448" s="15"/>
      <c r="D2448" s="15"/>
      <c r="E2448" s="15"/>
      <c r="F2448" s="17"/>
      <c r="G2448" s="22"/>
      <c r="H2448" s="22"/>
      <c r="I2448" s="29"/>
      <c r="J2448" s="29"/>
      <c r="K2448" s="29"/>
      <c r="L2448" s="29"/>
    </row>
    <row r="2449">
      <c r="A2449" s="13"/>
      <c r="B2449" s="13"/>
      <c r="C2449" s="15"/>
      <c r="D2449" s="15"/>
      <c r="E2449" s="15"/>
      <c r="F2449" s="17"/>
      <c r="G2449" s="22"/>
      <c r="H2449" s="22"/>
      <c r="I2449" s="29"/>
      <c r="J2449" s="29"/>
      <c r="K2449" s="29"/>
      <c r="L2449" s="29"/>
    </row>
    <row r="2450">
      <c r="A2450" s="13"/>
      <c r="B2450" s="13"/>
      <c r="C2450" s="15"/>
      <c r="D2450" s="15"/>
      <c r="E2450" s="15"/>
      <c r="F2450" s="17"/>
      <c r="G2450" s="22"/>
      <c r="H2450" s="22"/>
      <c r="I2450" s="29"/>
      <c r="J2450" s="29"/>
      <c r="K2450" s="29"/>
      <c r="L2450" s="29"/>
    </row>
    <row r="2451">
      <c r="A2451" s="13"/>
      <c r="B2451" s="13"/>
      <c r="C2451" s="15"/>
      <c r="D2451" s="15"/>
      <c r="E2451" s="15"/>
      <c r="F2451" s="17"/>
      <c r="G2451" s="22"/>
      <c r="H2451" s="22"/>
      <c r="I2451" s="29"/>
      <c r="J2451" s="29"/>
      <c r="K2451" s="29"/>
      <c r="L2451" s="29"/>
    </row>
    <row r="2452">
      <c r="A2452" s="13"/>
      <c r="B2452" s="13"/>
      <c r="C2452" s="15"/>
      <c r="D2452" s="15"/>
      <c r="E2452" s="15"/>
      <c r="F2452" s="17"/>
      <c r="G2452" s="22"/>
      <c r="H2452" s="22"/>
      <c r="I2452" s="29"/>
      <c r="J2452" s="29"/>
      <c r="K2452" s="29"/>
      <c r="L2452" s="29"/>
    </row>
    <row r="2453">
      <c r="A2453" s="13"/>
      <c r="B2453" s="13"/>
      <c r="C2453" s="15"/>
      <c r="D2453" s="15"/>
      <c r="E2453" s="15"/>
      <c r="F2453" s="17"/>
      <c r="G2453" s="22"/>
      <c r="H2453" s="22"/>
      <c r="I2453" s="29"/>
      <c r="J2453" s="29"/>
      <c r="K2453" s="29"/>
      <c r="L2453" s="29"/>
    </row>
    <row r="2454">
      <c r="A2454" s="13"/>
      <c r="B2454" s="13"/>
      <c r="C2454" s="15"/>
      <c r="D2454" s="15"/>
      <c r="E2454" s="15"/>
      <c r="F2454" s="17"/>
      <c r="G2454" s="22"/>
      <c r="H2454" s="22"/>
      <c r="I2454" s="29"/>
      <c r="J2454" s="29"/>
      <c r="K2454" s="29"/>
      <c r="L2454" s="29"/>
    </row>
    <row r="2455">
      <c r="A2455" s="13"/>
      <c r="B2455" s="13"/>
      <c r="C2455" s="15"/>
      <c r="D2455" s="15"/>
      <c r="E2455" s="15"/>
      <c r="F2455" s="17"/>
      <c r="G2455" s="22"/>
      <c r="H2455" s="22"/>
      <c r="I2455" s="29"/>
      <c r="J2455" s="29"/>
      <c r="K2455" s="29"/>
      <c r="L2455" s="29"/>
    </row>
    <row r="2456">
      <c r="A2456" s="13"/>
      <c r="B2456" s="13"/>
      <c r="C2456" s="15"/>
      <c r="D2456" s="15"/>
      <c r="E2456" s="15"/>
      <c r="F2456" s="17"/>
      <c r="G2456" s="22"/>
      <c r="H2456" s="22"/>
      <c r="I2456" s="29"/>
      <c r="J2456" s="29"/>
      <c r="K2456" s="29"/>
      <c r="L2456" s="29"/>
    </row>
    <row r="2457">
      <c r="A2457" s="13"/>
      <c r="B2457" s="13"/>
      <c r="C2457" s="15"/>
      <c r="D2457" s="15"/>
      <c r="E2457" s="15"/>
      <c r="F2457" s="17"/>
      <c r="G2457" s="22"/>
      <c r="H2457" s="22"/>
      <c r="I2457" s="29"/>
      <c r="J2457" s="29"/>
      <c r="K2457" s="29"/>
      <c r="L2457" s="29"/>
    </row>
    <row r="2458">
      <c r="A2458" s="13"/>
      <c r="B2458" s="13"/>
      <c r="C2458" s="15"/>
      <c r="D2458" s="15"/>
      <c r="E2458" s="15"/>
      <c r="F2458" s="17"/>
      <c r="G2458" s="22"/>
      <c r="H2458" s="22"/>
      <c r="I2458" s="29"/>
      <c r="J2458" s="29"/>
      <c r="K2458" s="29"/>
      <c r="L2458" s="29"/>
    </row>
    <row r="2459">
      <c r="A2459" s="13"/>
      <c r="B2459" s="13"/>
      <c r="C2459" s="15"/>
      <c r="D2459" s="15"/>
      <c r="E2459" s="15"/>
      <c r="F2459" s="17"/>
      <c r="G2459" s="22"/>
      <c r="H2459" s="22"/>
      <c r="I2459" s="29"/>
      <c r="J2459" s="29"/>
      <c r="K2459" s="29"/>
      <c r="L2459" s="29"/>
    </row>
    <row r="2460">
      <c r="A2460" s="13"/>
      <c r="B2460" s="13"/>
      <c r="C2460" s="15"/>
      <c r="D2460" s="15"/>
      <c r="E2460" s="15"/>
      <c r="F2460" s="17"/>
      <c r="G2460" s="22"/>
      <c r="H2460" s="22"/>
      <c r="I2460" s="29"/>
      <c r="J2460" s="29"/>
      <c r="K2460" s="29"/>
      <c r="L2460" s="29"/>
    </row>
    <row r="2461">
      <c r="A2461" s="13"/>
      <c r="B2461" s="13"/>
      <c r="C2461" s="15"/>
      <c r="D2461" s="15"/>
      <c r="E2461" s="15"/>
      <c r="F2461" s="17"/>
      <c r="G2461" s="22"/>
      <c r="H2461" s="22"/>
      <c r="I2461" s="29"/>
      <c r="J2461" s="29"/>
      <c r="K2461" s="29"/>
      <c r="L2461" s="29"/>
    </row>
    <row r="2462">
      <c r="A2462" s="13"/>
      <c r="B2462" s="13"/>
      <c r="C2462" s="15"/>
      <c r="D2462" s="15"/>
      <c r="E2462" s="15"/>
      <c r="F2462" s="17"/>
      <c r="G2462" s="22"/>
      <c r="H2462" s="22"/>
      <c r="I2462" s="29"/>
      <c r="J2462" s="29"/>
      <c r="K2462" s="29"/>
      <c r="L2462" s="29"/>
    </row>
    <row r="2463">
      <c r="A2463" s="13"/>
      <c r="B2463" s="13"/>
      <c r="C2463" s="15"/>
      <c r="D2463" s="15"/>
      <c r="E2463" s="15"/>
      <c r="F2463" s="17"/>
      <c r="G2463" s="22"/>
      <c r="H2463" s="22"/>
      <c r="I2463" s="29"/>
      <c r="J2463" s="29"/>
      <c r="K2463" s="29"/>
      <c r="L2463" s="29"/>
    </row>
    <row r="2464">
      <c r="A2464" s="13"/>
      <c r="B2464" s="13"/>
      <c r="C2464" s="15"/>
      <c r="D2464" s="15"/>
      <c r="E2464" s="15"/>
      <c r="F2464" s="17"/>
      <c r="G2464" s="22"/>
      <c r="H2464" s="22"/>
      <c r="I2464" s="29"/>
      <c r="J2464" s="29"/>
      <c r="K2464" s="29"/>
      <c r="L2464" s="29"/>
    </row>
    <row r="2465">
      <c r="A2465" s="13"/>
      <c r="B2465" s="13"/>
      <c r="C2465" s="15"/>
      <c r="D2465" s="15"/>
      <c r="E2465" s="15"/>
      <c r="F2465" s="17"/>
      <c r="G2465" s="22"/>
      <c r="H2465" s="22"/>
      <c r="I2465" s="29"/>
      <c r="J2465" s="29"/>
      <c r="K2465" s="29"/>
      <c r="L2465" s="29"/>
    </row>
    <row r="2466">
      <c r="A2466" s="13"/>
      <c r="B2466" s="13"/>
      <c r="C2466" s="15"/>
      <c r="D2466" s="15"/>
      <c r="E2466" s="15"/>
      <c r="F2466" s="17"/>
      <c r="G2466" s="22"/>
      <c r="H2466" s="22"/>
      <c r="I2466" s="29"/>
      <c r="J2466" s="29"/>
      <c r="K2466" s="29"/>
      <c r="L2466" s="29"/>
    </row>
    <row r="2467">
      <c r="A2467" s="13"/>
      <c r="B2467" s="13"/>
      <c r="C2467" s="15"/>
      <c r="D2467" s="15"/>
      <c r="E2467" s="15"/>
      <c r="F2467" s="17"/>
      <c r="G2467" s="22"/>
      <c r="H2467" s="22"/>
      <c r="I2467" s="29"/>
      <c r="J2467" s="29"/>
      <c r="K2467" s="29"/>
      <c r="L2467" s="29"/>
    </row>
    <row r="2468">
      <c r="A2468" s="13"/>
      <c r="B2468" s="13"/>
      <c r="C2468" s="15"/>
      <c r="D2468" s="15"/>
      <c r="E2468" s="15"/>
      <c r="F2468" s="17"/>
      <c r="G2468" s="22"/>
      <c r="H2468" s="22"/>
      <c r="I2468" s="29"/>
      <c r="J2468" s="29"/>
      <c r="K2468" s="29"/>
      <c r="L2468" s="29"/>
    </row>
    <row r="2469">
      <c r="A2469" s="13"/>
      <c r="B2469" s="13"/>
      <c r="C2469" s="15"/>
      <c r="D2469" s="15"/>
      <c r="E2469" s="15"/>
      <c r="F2469" s="17"/>
      <c r="G2469" s="22"/>
      <c r="H2469" s="22"/>
      <c r="I2469" s="29"/>
      <c r="J2469" s="29"/>
      <c r="K2469" s="29"/>
      <c r="L2469" s="29"/>
    </row>
    <row r="2470">
      <c r="A2470" s="13"/>
      <c r="B2470" s="13"/>
      <c r="C2470" s="15"/>
      <c r="D2470" s="15"/>
      <c r="E2470" s="15"/>
      <c r="F2470" s="17"/>
      <c r="G2470" s="22"/>
      <c r="H2470" s="22"/>
      <c r="I2470" s="29"/>
      <c r="J2470" s="29"/>
      <c r="K2470" s="29"/>
      <c r="L2470" s="29"/>
    </row>
    <row r="2471">
      <c r="A2471" s="13"/>
      <c r="B2471" s="13"/>
      <c r="C2471" s="15"/>
      <c r="D2471" s="15"/>
      <c r="E2471" s="15"/>
      <c r="F2471" s="17"/>
      <c r="G2471" s="22"/>
      <c r="H2471" s="22"/>
      <c r="I2471" s="29"/>
      <c r="J2471" s="29"/>
      <c r="K2471" s="29"/>
      <c r="L2471" s="29"/>
    </row>
    <row r="2472">
      <c r="A2472" s="13"/>
      <c r="B2472" s="13"/>
      <c r="C2472" s="15"/>
      <c r="D2472" s="15"/>
      <c r="E2472" s="15"/>
      <c r="F2472" s="17"/>
      <c r="G2472" s="22"/>
      <c r="H2472" s="22"/>
      <c r="I2472" s="29"/>
      <c r="J2472" s="29"/>
      <c r="K2472" s="29"/>
      <c r="L2472" s="29"/>
    </row>
    <row r="2473">
      <c r="A2473" s="13"/>
      <c r="B2473" s="13"/>
      <c r="C2473" s="15"/>
      <c r="D2473" s="15"/>
      <c r="E2473" s="15"/>
      <c r="F2473" s="17"/>
      <c r="G2473" s="22"/>
      <c r="H2473" s="22"/>
      <c r="I2473" s="29"/>
      <c r="J2473" s="29"/>
      <c r="K2473" s="29"/>
      <c r="L2473" s="29"/>
    </row>
    <row r="2474">
      <c r="A2474" s="13"/>
      <c r="B2474" s="13"/>
      <c r="C2474" s="15"/>
      <c r="D2474" s="15"/>
      <c r="E2474" s="15"/>
      <c r="F2474" s="17"/>
      <c r="G2474" s="22"/>
      <c r="H2474" s="22"/>
      <c r="I2474" s="29"/>
      <c r="J2474" s="29"/>
      <c r="K2474" s="29"/>
      <c r="L2474" s="29"/>
    </row>
    <row r="2475">
      <c r="A2475" s="13"/>
      <c r="B2475" s="13"/>
      <c r="C2475" s="15"/>
      <c r="D2475" s="15"/>
      <c r="E2475" s="15"/>
      <c r="F2475" s="17"/>
      <c r="G2475" s="22"/>
      <c r="H2475" s="22"/>
      <c r="I2475" s="29"/>
      <c r="J2475" s="29"/>
      <c r="K2475" s="29"/>
      <c r="L2475" s="29"/>
    </row>
    <row r="2476">
      <c r="A2476" s="13"/>
      <c r="B2476" s="13"/>
      <c r="C2476" s="15"/>
      <c r="D2476" s="15"/>
      <c r="E2476" s="15"/>
      <c r="F2476" s="17"/>
      <c r="G2476" s="22"/>
      <c r="H2476" s="22"/>
      <c r="I2476" s="29"/>
      <c r="J2476" s="29"/>
      <c r="K2476" s="29"/>
      <c r="L2476" s="29"/>
    </row>
    <row r="2477">
      <c r="A2477" s="13"/>
      <c r="B2477" s="13"/>
      <c r="C2477" s="15"/>
      <c r="D2477" s="15"/>
      <c r="E2477" s="15"/>
      <c r="F2477" s="17"/>
      <c r="G2477" s="22"/>
      <c r="H2477" s="22"/>
      <c r="I2477" s="29"/>
      <c r="J2477" s="29"/>
      <c r="K2477" s="29"/>
      <c r="L2477" s="29"/>
    </row>
    <row r="2478">
      <c r="A2478" s="13"/>
      <c r="B2478" s="13"/>
      <c r="C2478" s="15"/>
      <c r="D2478" s="15"/>
      <c r="E2478" s="15"/>
      <c r="F2478" s="17"/>
      <c r="G2478" s="22"/>
      <c r="H2478" s="22"/>
      <c r="I2478" s="29"/>
      <c r="J2478" s="29"/>
      <c r="K2478" s="29"/>
      <c r="L2478" s="29"/>
    </row>
    <row r="2479">
      <c r="A2479" s="13"/>
      <c r="B2479" s="13"/>
      <c r="C2479" s="15"/>
      <c r="D2479" s="15"/>
      <c r="E2479" s="15"/>
      <c r="F2479" s="17"/>
      <c r="G2479" s="22"/>
      <c r="H2479" s="22"/>
      <c r="I2479" s="29"/>
      <c r="J2479" s="29"/>
      <c r="K2479" s="29"/>
      <c r="L2479" s="29"/>
    </row>
    <row r="2480">
      <c r="A2480" s="13"/>
      <c r="B2480" s="13"/>
      <c r="C2480" s="15"/>
      <c r="D2480" s="15"/>
      <c r="E2480" s="15"/>
      <c r="F2480" s="17"/>
      <c r="G2480" s="22"/>
      <c r="H2480" s="22"/>
      <c r="I2480" s="29"/>
      <c r="J2480" s="29"/>
      <c r="K2480" s="29"/>
      <c r="L2480" s="29"/>
    </row>
    <row r="2481">
      <c r="A2481" s="13"/>
      <c r="B2481" s="13"/>
      <c r="C2481" s="15"/>
      <c r="D2481" s="15"/>
      <c r="E2481" s="15"/>
      <c r="F2481" s="17"/>
      <c r="G2481" s="22"/>
      <c r="H2481" s="22"/>
      <c r="I2481" s="29"/>
      <c r="J2481" s="29"/>
      <c r="K2481" s="29"/>
      <c r="L2481" s="29"/>
    </row>
    <row r="2482">
      <c r="A2482" s="13"/>
      <c r="B2482" s="13"/>
      <c r="C2482" s="15"/>
      <c r="D2482" s="15"/>
      <c r="E2482" s="15"/>
      <c r="F2482" s="17"/>
      <c r="G2482" s="22"/>
      <c r="H2482" s="22"/>
      <c r="I2482" s="29"/>
      <c r="J2482" s="29"/>
      <c r="K2482" s="29"/>
      <c r="L2482" s="29"/>
    </row>
    <row r="2483">
      <c r="A2483" s="13"/>
      <c r="B2483" s="13"/>
      <c r="C2483" s="15"/>
      <c r="D2483" s="15"/>
      <c r="E2483" s="15"/>
      <c r="F2483" s="17"/>
      <c r="G2483" s="22"/>
      <c r="H2483" s="22"/>
      <c r="I2483" s="29"/>
      <c r="J2483" s="29"/>
      <c r="K2483" s="29"/>
      <c r="L2483" s="29"/>
    </row>
    <row r="2484">
      <c r="A2484" s="13"/>
      <c r="B2484" s="13"/>
      <c r="C2484" s="15"/>
      <c r="D2484" s="15"/>
      <c r="E2484" s="15"/>
      <c r="F2484" s="17"/>
      <c r="G2484" s="22"/>
      <c r="H2484" s="22"/>
      <c r="I2484" s="29"/>
      <c r="J2484" s="29"/>
      <c r="K2484" s="29"/>
      <c r="L2484" s="29"/>
    </row>
    <row r="2485">
      <c r="A2485" s="13"/>
      <c r="B2485" s="13"/>
      <c r="C2485" s="15"/>
      <c r="D2485" s="15"/>
      <c r="E2485" s="15"/>
      <c r="F2485" s="17"/>
      <c r="G2485" s="22"/>
      <c r="H2485" s="22"/>
      <c r="I2485" s="29"/>
      <c r="J2485" s="29"/>
      <c r="K2485" s="29"/>
      <c r="L2485" s="29"/>
    </row>
    <row r="2486">
      <c r="A2486" s="13"/>
      <c r="B2486" s="13"/>
      <c r="C2486" s="15"/>
      <c r="D2486" s="15"/>
      <c r="E2486" s="15"/>
      <c r="F2486" s="17"/>
      <c r="G2486" s="22"/>
      <c r="H2486" s="22"/>
      <c r="I2486" s="29"/>
      <c r="J2486" s="29"/>
      <c r="K2486" s="29"/>
      <c r="L2486" s="29"/>
    </row>
    <row r="2487">
      <c r="A2487" s="13"/>
      <c r="B2487" s="13"/>
      <c r="C2487" s="15"/>
      <c r="D2487" s="15"/>
      <c r="E2487" s="15"/>
      <c r="F2487" s="17"/>
      <c r="G2487" s="22"/>
      <c r="H2487" s="22"/>
      <c r="I2487" s="29"/>
      <c r="J2487" s="29"/>
      <c r="K2487" s="29"/>
      <c r="L2487" s="29"/>
    </row>
    <row r="2488">
      <c r="A2488" s="13"/>
      <c r="B2488" s="13"/>
      <c r="C2488" s="15"/>
      <c r="D2488" s="15"/>
      <c r="E2488" s="15"/>
      <c r="F2488" s="17"/>
      <c r="G2488" s="22"/>
      <c r="H2488" s="22"/>
      <c r="I2488" s="29"/>
      <c r="J2488" s="29"/>
      <c r="K2488" s="29"/>
      <c r="L2488" s="29"/>
    </row>
    <row r="2489">
      <c r="A2489" s="13"/>
      <c r="B2489" s="13"/>
      <c r="C2489" s="15"/>
      <c r="D2489" s="15"/>
      <c r="E2489" s="15"/>
      <c r="F2489" s="17"/>
      <c r="G2489" s="22"/>
      <c r="H2489" s="22"/>
      <c r="I2489" s="29"/>
      <c r="J2489" s="29"/>
      <c r="K2489" s="29"/>
      <c r="L2489" s="29"/>
    </row>
    <row r="2490">
      <c r="A2490" s="13"/>
      <c r="B2490" s="13"/>
      <c r="C2490" s="15"/>
      <c r="D2490" s="15"/>
      <c r="E2490" s="15"/>
      <c r="F2490" s="17"/>
      <c r="G2490" s="22"/>
      <c r="H2490" s="22"/>
      <c r="I2490" s="29"/>
      <c r="J2490" s="29"/>
      <c r="K2490" s="29"/>
      <c r="L2490" s="29"/>
    </row>
    <row r="2491">
      <c r="A2491" s="13"/>
      <c r="B2491" s="13"/>
      <c r="C2491" s="15"/>
      <c r="D2491" s="15"/>
      <c r="E2491" s="15"/>
      <c r="F2491" s="17"/>
      <c r="G2491" s="22"/>
      <c r="H2491" s="22"/>
      <c r="I2491" s="29"/>
      <c r="J2491" s="29"/>
      <c r="K2491" s="29"/>
      <c r="L2491" s="29"/>
    </row>
    <row r="2492">
      <c r="A2492" s="13"/>
      <c r="B2492" s="13"/>
      <c r="C2492" s="15"/>
      <c r="D2492" s="15"/>
      <c r="E2492" s="15"/>
      <c r="F2492" s="17"/>
      <c r="G2492" s="22"/>
      <c r="H2492" s="22"/>
      <c r="I2492" s="29"/>
      <c r="J2492" s="29"/>
      <c r="K2492" s="29"/>
      <c r="L2492" s="29"/>
    </row>
    <row r="2493">
      <c r="A2493" s="13"/>
      <c r="B2493" s="13"/>
      <c r="C2493" s="15"/>
      <c r="D2493" s="15"/>
      <c r="E2493" s="15"/>
      <c r="F2493" s="17"/>
      <c r="G2493" s="22"/>
      <c r="H2493" s="22"/>
      <c r="I2493" s="29"/>
      <c r="J2493" s="29"/>
      <c r="K2493" s="29"/>
      <c r="L2493" s="29"/>
    </row>
    <row r="2494">
      <c r="A2494" s="13"/>
      <c r="B2494" s="13"/>
      <c r="C2494" s="15"/>
      <c r="D2494" s="15"/>
      <c r="E2494" s="15"/>
      <c r="F2494" s="17"/>
      <c r="G2494" s="22"/>
      <c r="H2494" s="22"/>
      <c r="I2494" s="29"/>
      <c r="J2494" s="29"/>
      <c r="K2494" s="29"/>
      <c r="L2494" s="29"/>
    </row>
    <row r="2495">
      <c r="A2495" s="13"/>
      <c r="B2495" s="13"/>
      <c r="C2495" s="15"/>
      <c r="D2495" s="15"/>
      <c r="E2495" s="15"/>
      <c r="F2495" s="17"/>
      <c r="G2495" s="22"/>
      <c r="H2495" s="22"/>
      <c r="I2495" s="29"/>
      <c r="J2495" s="29"/>
      <c r="K2495" s="29"/>
      <c r="L2495" s="29"/>
    </row>
    <row r="2496">
      <c r="A2496" s="13"/>
      <c r="B2496" s="13"/>
      <c r="C2496" s="15"/>
      <c r="D2496" s="15"/>
      <c r="E2496" s="15"/>
      <c r="F2496" s="17"/>
      <c r="G2496" s="22"/>
      <c r="H2496" s="22"/>
      <c r="I2496" s="29"/>
      <c r="J2496" s="29"/>
      <c r="K2496" s="29"/>
      <c r="L2496" s="29"/>
    </row>
    <row r="2497">
      <c r="A2497" s="13"/>
      <c r="B2497" s="13"/>
      <c r="C2497" s="15"/>
      <c r="D2497" s="15"/>
      <c r="E2497" s="15"/>
      <c r="F2497" s="17"/>
      <c r="G2497" s="22"/>
      <c r="H2497" s="22"/>
      <c r="I2497" s="29"/>
      <c r="J2497" s="29"/>
      <c r="K2497" s="29"/>
      <c r="L2497" s="29"/>
    </row>
    <row r="2498">
      <c r="A2498" s="13"/>
      <c r="B2498" s="13"/>
      <c r="C2498" s="15"/>
      <c r="D2498" s="15"/>
      <c r="E2498" s="15"/>
      <c r="F2498" s="17"/>
      <c r="G2498" s="22"/>
      <c r="H2498" s="22"/>
      <c r="I2498" s="29"/>
      <c r="J2498" s="29"/>
      <c r="K2498" s="29"/>
      <c r="L2498" s="29"/>
    </row>
    <row r="2499">
      <c r="A2499" s="13"/>
      <c r="B2499" s="13"/>
      <c r="C2499" s="15"/>
      <c r="D2499" s="15"/>
      <c r="E2499" s="15"/>
      <c r="F2499" s="17"/>
      <c r="G2499" s="22"/>
      <c r="H2499" s="22"/>
      <c r="I2499" s="29"/>
      <c r="J2499" s="29"/>
      <c r="K2499" s="29"/>
      <c r="L2499" s="29"/>
    </row>
    <row r="2500">
      <c r="A2500" s="13"/>
      <c r="B2500" s="13"/>
      <c r="C2500" s="15"/>
      <c r="D2500" s="15"/>
      <c r="E2500" s="15"/>
      <c r="F2500" s="17"/>
      <c r="G2500" s="22"/>
      <c r="H2500" s="22"/>
      <c r="I2500" s="29"/>
      <c r="J2500" s="29"/>
      <c r="K2500" s="29"/>
      <c r="L2500" s="29"/>
    </row>
    <row r="2501">
      <c r="A2501" s="13"/>
      <c r="B2501" s="13"/>
      <c r="C2501" s="15"/>
      <c r="D2501" s="15"/>
      <c r="E2501" s="15"/>
      <c r="F2501" s="17"/>
      <c r="G2501" s="22"/>
      <c r="H2501" s="22"/>
      <c r="I2501" s="29"/>
      <c r="J2501" s="29"/>
      <c r="K2501" s="29"/>
      <c r="L2501" s="29"/>
    </row>
    <row r="2502">
      <c r="A2502" s="13"/>
      <c r="B2502" s="13"/>
      <c r="C2502" s="15"/>
      <c r="D2502" s="15"/>
      <c r="E2502" s="15"/>
      <c r="F2502" s="17"/>
      <c r="G2502" s="22"/>
      <c r="H2502" s="22"/>
      <c r="I2502" s="29"/>
      <c r="J2502" s="29"/>
      <c r="K2502" s="29"/>
      <c r="L2502" s="29"/>
    </row>
    <row r="2503">
      <c r="A2503" s="13"/>
      <c r="B2503" s="13"/>
      <c r="C2503" s="15"/>
      <c r="D2503" s="15"/>
      <c r="E2503" s="15"/>
      <c r="F2503" s="17"/>
      <c r="G2503" s="22"/>
      <c r="H2503" s="22"/>
      <c r="I2503" s="29"/>
      <c r="J2503" s="29"/>
      <c r="K2503" s="29"/>
      <c r="L2503" s="29"/>
    </row>
    <row r="2504">
      <c r="A2504" s="13"/>
      <c r="B2504" s="13"/>
      <c r="C2504" s="15"/>
      <c r="D2504" s="15"/>
      <c r="E2504" s="15"/>
      <c r="F2504" s="17"/>
      <c r="G2504" s="22"/>
      <c r="H2504" s="22"/>
      <c r="I2504" s="29"/>
      <c r="J2504" s="29"/>
      <c r="K2504" s="29"/>
      <c r="L2504" s="29"/>
    </row>
    <row r="2505">
      <c r="A2505" s="13"/>
      <c r="B2505" s="13"/>
      <c r="C2505" s="15"/>
      <c r="D2505" s="15"/>
      <c r="E2505" s="15"/>
      <c r="F2505" s="17"/>
      <c r="G2505" s="22"/>
      <c r="H2505" s="22"/>
      <c r="I2505" s="29"/>
      <c r="J2505" s="29"/>
      <c r="K2505" s="29"/>
      <c r="L2505" s="29"/>
    </row>
    <row r="2506">
      <c r="A2506" s="13"/>
      <c r="B2506" s="13"/>
      <c r="C2506" s="15"/>
      <c r="D2506" s="15"/>
      <c r="E2506" s="15"/>
      <c r="F2506" s="17"/>
      <c r="G2506" s="22"/>
      <c r="H2506" s="22"/>
      <c r="I2506" s="29"/>
      <c r="J2506" s="29"/>
      <c r="K2506" s="29"/>
      <c r="L2506" s="29"/>
    </row>
    <row r="2507">
      <c r="A2507" s="13"/>
      <c r="B2507" s="13"/>
      <c r="C2507" s="15"/>
      <c r="D2507" s="15"/>
      <c r="E2507" s="15"/>
      <c r="F2507" s="17"/>
      <c r="G2507" s="22"/>
      <c r="H2507" s="22"/>
      <c r="I2507" s="29"/>
      <c r="J2507" s="29"/>
      <c r="K2507" s="29"/>
      <c r="L2507" s="29"/>
    </row>
    <row r="2508">
      <c r="A2508" s="13"/>
      <c r="B2508" s="13"/>
      <c r="C2508" s="15"/>
      <c r="D2508" s="15"/>
      <c r="E2508" s="15"/>
      <c r="F2508" s="17"/>
      <c r="G2508" s="22"/>
      <c r="H2508" s="22"/>
      <c r="I2508" s="29"/>
      <c r="J2508" s="29"/>
      <c r="K2508" s="29"/>
      <c r="L2508" s="29"/>
    </row>
    <row r="2509">
      <c r="A2509" s="13"/>
      <c r="B2509" s="13"/>
      <c r="C2509" s="15"/>
      <c r="D2509" s="15"/>
      <c r="E2509" s="15"/>
      <c r="F2509" s="17"/>
      <c r="G2509" s="22"/>
      <c r="H2509" s="22"/>
      <c r="I2509" s="29"/>
      <c r="J2509" s="29"/>
      <c r="K2509" s="29"/>
      <c r="L2509" s="29"/>
    </row>
    <row r="2510">
      <c r="A2510" s="13"/>
      <c r="B2510" s="13"/>
      <c r="C2510" s="15"/>
      <c r="D2510" s="15"/>
      <c r="E2510" s="15"/>
      <c r="F2510" s="17"/>
      <c r="G2510" s="22"/>
      <c r="H2510" s="22"/>
      <c r="I2510" s="29"/>
      <c r="J2510" s="29"/>
      <c r="K2510" s="29"/>
      <c r="L2510" s="29"/>
    </row>
    <row r="2511">
      <c r="A2511" s="13"/>
      <c r="B2511" s="13"/>
      <c r="C2511" s="15"/>
      <c r="D2511" s="15"/>
      <c r="E2511" s="15"/>
      <c r="F2511" s="17"/>
      <c r="G2511" s="22"/>
      <c r="H2511" s="22"/>
      <c r="I2511" s="29"/>
      <c r="J2511" s="29"/>
      <c r="K2511" s="29"/>
      <c r="L2511" s="29"/>
    </row>
    <row r="2512">
      <c r="A2512" s="13"/>
      <c r="B2512" s="13"/>
      <c r="C2512" s="15"/>
      <c r="D2512" s="15"/>
      <c r="E2512" s="15"/>
      <c r="F2512" s="17"/>
      <c r="G2512" s="22"/>
      <c r="H2512" s="22"/>
      <c r="I2512" s="29"/>
      <c r="J2512" s="29"/>
      <c r="K2512" s="29"/>
      <c r="L2512" s="29"/>
    </row>
    <row r="2513">
      <c r="A2513" s="13"/>
      <c r="B2513" s="13"/>
      <c r="C2513" s="15"/>
      <c r="D2513" s="15"/>
      <c r="E2513" s="15"/>
      <c r="F2513" s="17"/>
      <c r="G2513" s="22"/>
      <c r="H2513" s="22"/>
      <c r="I2513" s="29"/>
      <c r="J2513" s="29"/>
      <c r="K2513" s="29"/>
      <c r="L2513" s="29"/>
    </row>
    <row r="2514">
      <c r="A2514" s="13"/>
      <c r="B2514" s="13"/>
      <c r="C2514" s="15"/>
      <c r="D2514" s="15"/>
      <c r="E2514" s="15"/>
      <c r="F2514" s="17"/>
      <c r="G2514" s="22"/>
      <c r="H2514" s="22"/>
      <c r="I2514" s="29"/>
      <c r="J2514" s="29"/>
      <c r="K2514" s="29"/>
      <c r="L2514" s="29"/>
    </row>
    <row r="2515">
      <c r="A2515" s="13"/>
      <c r="B2515" s="13"/>
      <c r="C2515" s="15"/>
      <c r="D2515" s="15"/>
      <c r="E2515" s="15"/>
      <c r="F2515" s="17"/>
      <c r="G2515" s="22"/>
      <c r="H2515" s="22"/>
      <c r="I2515" s="29"/>
      <c r="J2515" s="29"/>
      <c r="K2515" s="29"/>
      <c r="L2515" s="29"/>
    </row>
    <row r="2516">
      <c r="A2516" s="13"/>
      <c r="B2516" s="13"/>
      <c r="C2516" s="15"/>
      <c r="D2516" s="15"/>
      <c r="E2516" s="15"/>
      <c r="F2516" s="17"/>
      <c r="G2516" s="22"/>
      <c r="H2516" s="22"/>
      <c r="I2516" s="29"/>
      <c r="J2516" s="29"/>
      <c r="K2516" s="29"/>
      <c r="L2516" s="29"/>
    </row>
    <row r="2517">
      <c r="A2517" s="13"/>
      <c r="B2517" s="13"/>
      <c r="C2517" s="15"/>
      <c r="D2517" s="15"/>
      <c r="E2517" s="15"/>
      <c r="F2517" s="17"/>
      <c r="G2517" s="22"/>
      <c r="H2517" s="22"/>
      <c r="I2517" s="29"/>
      <c r="J2517" s="29"/>
      <c r="K2517" s="29"/>
      <c r="L2517" s="29"/>
    </row>
    <row r="2518">
      <c r="A2518" s="13"/>
      <c r="B2518" s="13"/>
      <c r="C2518" s="15"/>
      <c r="D2518" s="15"/>
      <c r="E2518" s="15"/>
      <c r="F2518" s="17"/>
      <c r="G2518" s="22"/>
      <c r="H2518" s="22"/>
      <c r="I2518" s="29"/>
      <c r="J2518" s="29"/>
      <c r="K2518" s="29"/>
      <c r="L2518" s="29"/>
    </row>
    <row r="2519">
      <c r="A2519" s="13"/>
      <c r="B2519" s="13"/>
      <c r="C2519" s="15"/>
      <c r="D2519" s="15"/>
      <c r="E2519" s="15"/>
      <c r="F2519" s="17"/>
      <c r="G2519" s="22"/>
      <c r="H2519" s="22"/>
      <c r="I2519" s="29"/>
      <c r="J2519" s="29"/>
      <c r="K2519" s="29"/>
      <c r="L2519" s="29"/>
    </row>
    <row r="2520">
      <c r="A2520" s="13"/>
      <c r="B2520" s="13"/>
      <c r="C2520" s="15"/>
      <c r="D2520" s="15"/>
      <c r="E2520" s="15"/>
      <c r="F2520" s="17"/>
      <c r="G2520" s="22"/>
      <c r="H2520" s="22"/>
      <c r="I2520" s="29"/>
      <c r="J2520" s="29"/>
      <c r="K2520" s="29"/>
      <c r="L2520" s="29"/>
    </row>
    <row r="2521">
      <c r="A2521" s="13"/>
      <c r="B2521" s="13"/>
      <c r="C2521" s="15"/>
      <c r="D2521" s="15"/>
      <c r="E2521" s="15"/>
      <c r="F2521" s="17"/>
      <c r="G2521" s="22"/>
      <c r="H2521" s="22"/>
      <c r="I2521" s="29"/>
      <c r="J2521" s="29"/>
      <c r="K2521" s="29"/>
      <c r="L2521" s="29"/>
    </row>
    <row r="2522">
      <c r="A2522" s="13"/>
      <c r="B2522" s="13"/>
      <c r="C2522" s="15"/>
      <c r="D2522" s="15"/>
      <c r="E2522" s="15"/>
      <c r="F2522" s="17"/>
      <c r="G2522" s="22"/>
      <c r="H2522" s="22"/>
      <c r="I2522" s="29"/>
      <c r="J2522" s="29"/>
      <c r="K2522" s="29"/>
      <c r="L2522" s="29"/>
    </row>
    <row r="2523">
      <c r="A2523" s="13"/>
      <c r="B2523" s="13"/>
      <c r="C2523" s="15"/>
      <c r="D2523" s="15"/>
      <c r="E2523" s="15"/>
      <c r="F2523" s="17"/>
      <c r="G2523" s="22"/>
      <c r="H2523" s="22"/>
      <c r="I2523" s="29"/>
      <c r="J2523" s="29"/>
      <c r="K2523" s="29"/>
      <c r="L2523" s="29"/>
    </row>
    <row r="2524">
      <c r="A2524" s="13"/>
      <c r="B2524" s="13"/>
      <c r="C2524" s="15"/>
      <c r="D2524" s="15"/>
      <c r="E2524" s="15"/>
      <c r="F2524" s="17"/>
      <c r="G2524" s="22"/>
      <c r="H2524" s="22"/>
      <c r="I2524" s="29"/>
      <c r="J2524" s="29"/>
      <c r="K2524" s="29"/>
      <c r="L2524" s="29"/>
    </row>
    <row r="2525">
      <c r="A2525" s="13"/>
      <c r="B2525" s="13"/>
      <c r="C2525" s="15"/>
      <c r="D2525" s="15"/>
      <c r="E2525" s="15"/>
      <c r="F2525" s="17"/>
      <c r="G2525" s="22"/>
      <c r="H2525" s="22"/>
      <c r="I2525" s="29"/>
      <c r="J2525" s="29"/>
      <c r="K2525" s="29"/>
      <c r="L2525" s="29"/>
    </row>
    <row r="2526">
      <c r="A2526" s="13"/>
      <c r="B2526" s="13"/>
      <c r="C2526" s="15"/>
      <c r="D2526" s="15"/>
      <c r="E2526" s="15"/>
      <c r="F2526" s="17"/>
      <c r="G2526" s="22"/>
      <c r="H2526" s="22"/>
      <c r="I2526" s="29"/>
      <c r="J2526" s="29"/>
      <c r="K2526" s="29"/>
      <c r="L2526" s="29"/>
    </row>
    <row r="2527">
      <c r="A2527" s="13"/>
      <c r="B2527" s="13"/>
      <c r="C2527" s="15"/>
      <c r="D2527" s="15"/>
      <c r="E2527" s="15"/>
      <c r="F2527" s="17"/>
      <c r="G2527" s="22"/>
      <c r="H2527" s="22"/>
      <c r="I2527" s="29"/>
      <c r="J2527" s="29"/>
      <c r="K2527" s="29"/>
      <c r="L2527" s="29"/>
    </row>
    <row r="2528">
      <c r="A2528" s="13"/>
      <c r="B2528" s="13"/>
      <c r="C2528" s="15"/>
      <c r="D2528" s="15"/>
      <c r="E2528" s="15"/>
      <c r="F2528" s="17"/>
      <c r="G2528" s="22"/>
      <c r="H2528" s="22"/>
      <c r="I2528" s="29"/>
      <c r="J2528" s="29"/>
      <c r="K2528" s="29"/>
      <c r="L2528" s="29"/>
    </row>
    <row r="2529">
      <c r="A2529" s="13"/>
      <c r="B2529" s="13"/>
      <c r="C2529" s="15"/>
      <c r="D2529" s="15"/>
      <c r="E2529" s="15"/>
      <c r="F2529" s="17"/>
      <c r="G2529" s="22"/>
      <c r="H2529" s="22"/>
      <c r="I2529" s="29"/>
      <c r="J2529" s="29"/>
      <c r="K2529" s="29"/>
      <c r="L2529" s="29"/>
    </row>
    <row r="2530">
      <c r="A2530" s="13"/>
      <c r="B2530" s="13"/>
      <c r="C2530" s="15"/>
      <c r="D2530" s="15"/>
      <c r="E2530" s="15"/>
      <c r="F2530" s="17"/>
      <c r="G2530" s="22"/>
      <c r="H2530" s="22"/>
      <c r="I2530" s="29"/>
      <c r="J2530" s="29"/>
      <c r="K2530" s="29"/>
      <c r="L2530" s="29"/>
    </row>
    <row r="2531">
      <c r="A2531" s="13"/>
      <c r="B2531" s="13"/>
      <c r="C2531" s="15"/>
      <c r="D2531" s="15"/>
      <c r="E2531" s="15"/>
      <c r="F2531" s="17"/>
      <c r="G2531" s="22"/>
      <c r="H2531" s="22"/>
      <c r="I2531" s="29"/>
      <c r="J2531" s="29"/>
      <c r="K2531" s="29"/>
      <c r="L2531" s="29"/>
    </row>
    <row r="2532">
      <c r="A2532" s="13"/>
      <c r="B2532" s="13"/>
      <c r="C2532" s="15"/>
      <c r="D2532" s="15"/>
      <c r="E2532" s="15"/>
      <c r="F2532" s="17"/>
      <c r="G2532" s="22"/>
      <c r="H2532" s="22"/>
      <c r="I2532" s="29"/>
      <c r="J2532" s="29"/>
      <c r="K2532" s="29"/>
      <c r="L2532" s="29"/>
    </row>
    <row r="2533">
      <c r="A2533" s="13"/>
      <c r="B2533" s="13"/>
      <c r="C2533" s="15"/>
      <c r="D2533" s="15"/>
      <c r="E2533" s="15"/>
      <c r="F2533" s="17"/>
      <c r="G2533" s="22"/>
      <c r="H2533" s="22"/>
      <c r="I2533" s="29"/>
      <c r="J2533" s="29"/>
      <c r="K2533" s="29"/>
      <c r="L2533" s="29"/>
    </row>
    <row r="2534">
      <c r="A2534" s="13"/>
      <c r="B2534" s="13"/>
      <c r="C2534" s="15"/>
      <c r="D2534" s="15"/>
      <c r="E2534" s="15"/>
      <c r="F2534" s="17"/>
      <c r="G2534" s="22"/>
      <c r="H2534" s="22"/>
      <c r="I2534" s="29"/>
      <c r="J2534" s="29"/>
      <c r="K2534" s="29"/>
      <c r="L2534" s="29"/>
    </row>
    <row r="2535">
      <c r="A2535" s="13"/>
      <c r="B2535" s="13"/>
      <c r="C2535" s="15"/>
      <c r="D2535" s="15"/>
      <c r="E2535" s="15"/>
      <c r="F2535" s="17"/>
      <c r="G2535" s="22"/>
      <c r="H2535" s="22"/>
      <c r="I2535" s="29"/>
      <c r="J2535" s="29"/>
      <c r="K2535" s="29"/>
      <c r="L2535" s="29"/>
    </row>
    <row r="2536">
      <c r="A2536" s="13"/>
      <c r="B2536" s="13"/>
      <c r="C2536" s="15"/>
      <c r="D2536" s="15"/>
      <c r="E2536" s="15"/>
      <c r="F2536" s="17"/>
      <c r="G2536" s="22"/>
      <c r="H2536" s="22"/>
      <c r="I2536" s="29"/>
      <c r="J2536" s="29"/>
      <c r="K2536" s="29"/>
      <c r="L2536" s="29"/>
    </row>
    <row r="2537">
      <c r="A2537" s="13"/>
      <c r="B2537" s="13"/>
      <c r="C2537" s="15"/>
      <c r="D2537" s="15"/>
      <c r="E2537" s="15"/>
      <c r="F2537" s="17"/>
      <c r="G2537" s="22"/>
      <c r="H2537" s="22"/>
      <c r="I2537" s="29"/>
      <c r="J2537" s="29"/>
      <c r="K2537" s="29"/>
      <c r="L2537" s="29"/>
    </row>
    <row r="2538">
      <c r="A2538" s="13"/>
      <c r="B2538" s="13"/>
      <c r="C2538" s="15"/>
      <c r="D2538" s="15"/>
      <c r="E2538" s="15"/>
      <c r="F2538" s="17"/>
      <c r="G2538" s="22"/>
      <c r="H2538" s="22"/>
      <c r="I2538" s="29"/>
      <c r="J2538" s="29"/>
      <c r="K2538" s="29"/>
      <c r="L2538" s="29"/>
    </row>
    <row r="2539">
      <c r="A2539" s="13"/>
      <c r="B2539" s="13"/>
      <c r="C2539" s="15"/>
      <c r="D2539" s="15"/>
      <c r="E2539" s="15"/>
      <c r="F2539" s="17"/>
      <c r="G2539" s="22"/>
      <c r="H2539" s="22"/>
      <c r="I2539" s="29"/>
      <c r="J2539" s="29"/>
      <c r="K2539" s="29"/>
      <c r="L2539" s="29"/>
    </row>
    <row r="2540">
      <c r="A2540" s="13"/>
      <c r="B2540" s="13"/>
      <c r="C2540" s="15"/>
      <c r="D2540" s="15"/>
      <c r="E2540" s="15"/>
      <c r="F2540" s="17"/>
      <c r="G2540" s="22"/>
      <c r="H2540" s="22"/>
      <c r="I2540" s="29"/>
      <c r="J2540" s="29"/>
      <c r="K2540" s="29"/>
      <c r="L2540" s="29"/>
    </row>
    <row r="2541">
      <c r="A2541" s="13"/>
      <c r="B2541" s="13"/>
      <c r="C2541" s="15"/>
      <c r="D2541" s="15"/>
      <c r="E2541" s="15"/>
      <c r="F2541" s="17"/>
      <c r="G2541" s="22"/>
      <c r="H2541" s="22"/>
      <c r="I2541" s="29"/>
      <c r="J2541" s="29"/>
      <c r="K2541" s="29"/>
      <c r="L2541" s="29"/>
    </row>
    <row r="2542">
      <c r="A2542" s="13"/>
      <c r="B2542" s="13"/>
      <c r="C2542" s="15"/>
      <c r="D2542" s="15"/>
      <c r="E2542" s="15"/>
      <c r="F2542" s="17"/>
      <c r="G2542" s="22"/>
      <c r="H2542" s="22"/>
      <c r="I2542" s="29"/>
      <c r="J2542" s="29"/>
      <c r="K2542" s="29"/>
      <c r="L2542" s="29"/>
    </row>
    <row r="2543">
      <c r="A2543" s="13"/>
      <c r="B2543" s="13"/>
      <c r="C2543" s="15"/>
      <c r="D2543" s="15"/>
      <c r="E2543" s="15"/>
      <c r="F2543" s="17"/>
      <c r="G2543" s="22"/>
      <c r="H2543" s="22"/>
      <c r="I2543" s="29"/>
      <c r="J2543" s="29"/>
      <c r="K2543" s="29"/>
      <c r="L2543" s="29"/>
    </row>
    <row r="2544">
      <c r="A2544" s="13"/>
      <c r="B2544" s="13"/>
      <c r="C2544" s="15"/>
      <c r="D2544" s="15"/>
      <c r="E2544" s="15"/>
      <c r="F2544" s="17"/>
      <c r="G2544" s="22"/>
      <c r="H2544" s="22"/>
      <c r="I2544" s="29"/>
      <c r="J2544" s="29"/>
      <c r="K2544" s="29"/>
      <c r="L2544" s="29"/>
    </row>
    <row r="2545">
      <c r="A2545" s="13"/>
      <c r="B2545" s="13"/>
      <c r="C2545" s="15"/>
      <c r="D2545" s="15"/>
      <c r="E2545" s="15"/>
      <c r="F2545" s="17"/>
      <c r="G2545" s="22"/>
      <c r="H2545" s="22"/>
      <c r="I2545" s="29"/>
      <c r="J2545" s="29"/>
      <c r="K2545" s="29"/>
      <c r="L2545" s="29"/>
    </row>
    <row r="2546">
      <c r="A2546" s="13"/>
      <c r="B2546" s="13"/>
      <c r="C2546" s="15"/>
      <c r="D2546" s="15"/>
      <c r="E2546" s="15"/>
      <c r="F2546" s="17"/>
      <c r="G2546" s="22"/>
      <c r="H2546" s="22"/>
      <c r="I2546" s="29"/>
      <c r="J2546" s="29"/>
      <c r="K2546" s="29"/>
      <c r="L2546" s="29"/>
    </row>
    <row r="2547">
      <c r="A2547" s="13"/>
      <c r="B2547" s="13"/>
      <c r="C2547" s="15"/>
      <c r="D2547" s="15"/>
      <c r="E2547" s="15"/>
      <c r="F2547" s="17"/>
      <c r="G2547" s="22"/>
      <c r="H2547" s="22"/>
      <c r="I2547" s="29"/>
      <c r="J2547" s="29"/>
      <c r="K2547" s="29"/>
      <c r="L2547" s="29"/>
    </row>
    <row r="2548">
      <c r="A2548" s="13"/>
      <c r="B2548" s="13"/>
      <c r="C2548" s="15"/>
      <c r="D2548" s="15"/>
      <c r="E2548" s="15"/>
      <c r="F2548" s="17"/>
      <c r="G2548" s="22"/>
      <c r="H2548" s="22"/>
      <c r="I2548" s="29"/>
      <c r="J2548" s="29"/>
      <c r="K2548" s="29"/>
      <c r="L2548" s="29"/>
    </row>
    <row r="2549">
      <c r="A2549" s="13"/>
      <c r="B2549" s="13"/>
      <c r="C2549" s="15"/>
      <c r="D2549" s="15"/>
      <c r="E2549" s="15"/>
      <c r="F2549" s="17"/>
      <c r="G2549" s="22"/>
      <c r="H2549" s="22"/>
      <c r="I2549" s="29"/>
      <c r="J2549" s="29"/>
      <c r="K2549" s="29"/>
      <c r="L2549" s="29"/>
    </row>
    <row r="2550">
      <c r="A2550" s="13"/>
      <c r="B2550" s="13"/>
      <c r="C2550" s="15"/>
      <c r="D2550" s="15"/>
      <c r="E2550" s="15"/>
      <c r="F2550" s="17"/>
      <c r="G2550" s="22"/>
      <c r="H2550" s="22"/>
      <c r="I2550" s="29"/>
      <c r="J2550" s="29"/>
      <c r="K2550" s="29"/>
      <c r="L2550" s="29"/>
    </row>
    <row r="2551">
      <c r="A2551" s="13"/>
      <c r="B2551" s="13"/>
      <c r="C2551" s="15"/>
      <c r="D2551" s="15"/>
      <c r="E2551" s="15"/>
      <c r="F2551" s="17"/>
      <c r="G2551" s="22"/>
      <c r="H2551" s="22"/>
      <c r="I2551" s="29"/>
      <c r="J2551" s="29"/>
      <c r="K2551" s="29"/>
      <c r="L2551" s="29"/>
    </row>
    <row r="2552">
      <c r="A2552" s="13"/>
      <c r="B2552" s="13"/>
      <c r="C2552" s="15"/>
      <c r="D2552" s="15"/>
      <c r="E2552" s="15"/>
      <c r="F2552" s="17"/>
      <c r="G2552" s="22"/>
      <c r="H2552" s="22"/>
      <c r="I2552" s="29"/>
      <c r="J2552" s="29"/>
      <c r="K2552" s="29"/>
      <c r="L2552" s="29"/>
    </row>
    <row r="2553">
      <c r="A2553" s="13"/>
      <c r="B2553" s="13"/>
      <c r="C2553" s="15"/>
      <c r="D2553" s="15"/>
      <c r="E2553" s="15"/>
      <c r="F2553" s="17"/>
      <c r="G2553" s="22"/>
      <c r="H2553" s="22"/>
      <c r="I2553" s="29"/>
      <c r="J2553" s="29"/>
      <c r="K2553" s="29"/>
      <c r="L2553" s="29"/>
    </row>
    <row r="2554">
      <c r="A2554" s="13"/>
      <c r="B2554" s="13"/>
      <c r="C2554" s="15"/>
      <c r="D2554" s="15"/>
      <c r="E2554" s="15"/>
      <c r="F2554" s="17"/>
      <c r="G2554" s="22"/>
      <c r="H2554" s="22"/>
      <c r="I2554" s="29"/>
      <c r="J2554" s="29"/>
      <c r="K2554" s="29"/>
      <c r="L2554" s="29"/>
    </row>
    <row r="2555">
      <c r="A2555" s="13"/>
      <c r="B2555" s="13"/>
      <c r="C2555" s="15"/>
      <c r="D2555" s="15"/>
      <c r="E2555" s="15"/>
      <c r="F2555" s="17"/>
      <c r="G2555" s="22"/>
      <c r="H2555" s="22"/>
      <c r="I2555" s="29"/>
      <c r="J2555" s="29"/>
      <c r="K2555" s="29"/>
      <c r="L2555" s="29"/>
    </row>
    <row r="2556">
      <c r="A2556" s="13"/>
      <c r="B2556" s="13"/>
      <c r="C2556" s="15"/>
      <c r="D2556" s="15"/>
      <c r="E2556" s="15"/>
      <c r="F2556" s="17"/>
      <c r="G2556" s="22"/>
      <c r="H2556" s="22"/>
      <c r="I2556" s="29"/>
      <c r="J2556" s="29"/>
      <c r="K2556" s="29"/>
      <c r="L2556" s="29"/>
    </row>
    <row r="2557">
      <c r="A2557" s="13"/>
      <c r="B2557" s="13"/>
      <c r="C2557" s="15"/>
      <c r="D2557" s="15"/>
      <c r="E2557" s="15"/>
      <c r="F2557" s="17"/>
      <c r="G2557" s="22"/>
      <c r="H2557" s="22"/>
      <c r="I2557" s="29"/>
      <c r="J2557" s="29"/>
      <c r="K2557" s="29"/>
      <c r="L2557" s="29"/>
    </row>
    <row r="2558">
      <c r="A2558" s="13"/>
      <c r="B2558" s="13"/>
      <c r="C2558" s="15"/>
      <c r="D2558" s="15"/>
      <c r="E2558" s="15"/>
      <c r="F2558" s="17"/>
      <c r="G2558" s="22"/>
      <c r="H2558" s="22"/>
      <c r="I2558" s="29"/>
      <c r="J2558" s="29"/>
      <c r="K2558" s="29"/>
      <c r="L2558" s="29"/>
    </row>
    <row r="2559">
      <c r="A2559" s="13"/>
      <c r="B2559" s="13"/>
      <c r="C2559" s="15"/>
      <c r="D2559" s="15"/>
      <c r="E2559" s="15"/>
      <c r="F2559" s="17"/>
      <c r="G2559" s="22"/>
      <c r="H2559" s="22"/>
      <c r="I2559" s="29"/>
      <c r="J2559" s="29"/>
      <c r="K2559" s="29"/>
      <c r="L2559" s="29"/>
    </row>
    <row r="2560">
      <c r="A2560" s="13"/>
      <c r="B2560" s="13"/>
      <c r="C2560" s="15"/>
      <c r="D2560" s="15"/>
      <c r="E2560" s="15"/>
      <c r="F2560" s="17"/>
      <c r="G2560" s="22"/>
      <c r="H2560" s="22"/>
      <c r="I2560" s="29"/>
      <c r="J2560" s="29"/>
      <c r="K2560" s="29"/>
      <c r="L2560" s="29"/>
    </row>
    <row r="2561">
      <c r="A2561" s="13"/>
      <c r="B2561" s="13"/>
      <c r="C2561" s="15"/>
      <c r="D2561" s="15"/>
      <c r="E2561" s="15"/>
      <c r="F2561" s="17"/>
      <c r="G2561" s="22"/>
      <c r="H2561" s="22"/>
      <c r="I2561" s="29"/>
      <c r="J2561" s="29"/>
      <c r="K2561" s="29"/>
      <c r="L2561" s="29"/>
    </row>
    <row r="2562">
      <c r="A2562" s="13"/>
      <c r="B2562" s="13"/>
      <c r="C2562" s="15"/>
      <c r="D2562" s="15"/>
      <c r="E2562" s="15"/>
      <c r="F2562" s="17"/>
      <c r="G2562" s="22"/>
      <c r="H2562" s="22"/>
      <c r="I2562" s="29"/>
      <c r="J2562" s="29"/>
      <c r="K2562" s="29"/>
      <c r="L2562" s="29"/>
    </row>
    <row r="2563">
      <c r="A2563" s="13"/>
      <c r="B2563" s="13"/>
      <c r="C2563" s="15"/>
      <c r="D2563" s="15"/>
      <c r="E2563" s="15"/>
      <c r="F2563" s="17"/>
      <c r="G2563" s="22"/>
      <c r="H2563" s="22"/>
      <c r="I2563" s="29"/>
      <c r="J2563" s="29"/>
      <c r="K2563" s="29"/>
      <c r="L2563" s="29"/>
    </row>
    <row r="2564">
      <c r="A2564" s="13"/>
      <c r="B2564" s="13"/>
      <c r="C2564" s="15"/>
      <c r="D2564" s="15"/>
      <c r="E2564" s="15"/>
      <c r="F2564" s="17"/>
      <c r="G2564" s="22"/>
      <c r="H2564" s="22"/>
      <c r="I2564" s="29"/>
      <c r="J2564" s="29"/>
      <c r="K2564" s="29"/>
      <c r="L2564" s="29"/>
    </row>
    <row r="2565">
      <c r="A2565" s="13"/>
      <c r="B2565" s="13"/>
      <c r="C2565" s="15"/>
      <c r="D2565" s="15"/>
      <c r="E2565" s="15"/>
      <c r="F2565" s="17"/>
      <c r="G2565" s="22"/>
      <c r="H2565" s="22"/>
      <c r="I2565" s="29"/>
      <c r="J2565" s="29"/>
      <c r="K2565" s="29"/>
      <c r="L2565" s="29"/>
    </row>
    <row r="2566">
      <c r="A2566" s="13"/>
      <c r="B2566" s="13"/>
      <c r="C2566" s="15"/>
      <c r="D2566" s="15"/>
      <c r="E2566" s="15"/>
      <c r="F2566" s="17"/>
      <c r="G2566" s="22"/>
      <c r="H2566" s="22"/>
      <c r="I2566" s="29"/>
      <c r="J2566" s="29"/>
      <c r="K2566" s="29"/>
      <c r="L2566" s="29"/>
    </row>
    <row r="2567">
      <c r="A2567" s="13"/>
      <c r="B2567" s="13"/>
      <c r="C2567" s="15"/>
      <c r="D2567" s="15"/>
      <c r="E2567" s="15"/>
      <c r="F2567" s="17"/>
      <c r="G2567" s="22"/>
      <c r="H2567" s="22"/>
      <c r="I2567" s="29"/>
      <c r="J2567" s="29"/>
      <c r="K2567" s="29"/>
      <c r="L2567" s="29"/>
    </row>
    <row r="2568">
      <c r="A2568" s="13"/>
      <c r="B2568" s="13"/>
      <c r="C2568" s="15"/>
      <c r="D2568" s="15"/>
      <c r="E2568" s="15"/>
      <c r="F2568" s="17"/>
      <c r="G2568" s="22"/>
      <c r="H2568" s="22"/>
      <c r="I2568" s="29"/>
      <c r="J2568" s="29"/>
      <c r="K2568" s="29"/>
      <c r="L2568" s="29"/>
    </row>
    <row r="2569">
      <c r="A2569" s="13"/>
      <c r="B2569" s="13"/>
      <c r="C2569" s="15"/>
      <c r="D2569" s="15"/>
      <c r="E2569" s="15"/>
      <c r="F2569" s="17"/>
      <c r="G2569" s="22"/>
      <c r="H2569" s="22"/>
      <c r="I2569" s="29"/>
      <c r="J2569" s="29"/>
      <c r="K2569" s="29"/>
      <c r="L2569" s="29"/>
    </row>
    <row r="2570">
      <c r="A2570" s="13"/>
      <c r="B2570" s="13"/>
      <c r="C2570" s="15"/>
      <c r="D2570" s="15"/>
      <c r="E2570" s="15"/>
      <c r="F2570" s="17"/>
      <c r="G2570" s="22"/>
      <c r="H2570" s="22"/>
      <c r="I2570" s="29"/>
      <c r="J2570" s="29"/>
      <c r="K2570" s="29"/>
      <c r="L2570" s="29"/>
    </row>
    <row r="2571">
      <c r="A2571" s="13"/>
      <c r="B2571" s="13"/>
      <c r="C2571" s="15"/>
      <c r="D2571" s="15"/>
      <c r="E2571" s="15"/>
      <c r="F2571" s="17"/>
      <c r="G2571" s="22"/>
      <c r="H2571" s="22"/>
      <c r="I2571" s="29"/>
      <c r="J2571" s="29"/>
      <c r="K2571" s="29"/>
      <c r="L2571" s="29"/>
    </row>
    <row r="2572">
      <c r="A2572" s="13"/>
      <c r="B2572" s="13"/>
      <c r="C2572" s="15"/>
      <c r="D2572" s="15"/>
      <c r="E2572" s="15"/>
      <c r="F2572" s="17"/>
      <c r="G2572" s="22"/>
      <c r="H2572" s="22"/>
      <c r="I2572" s="29"/>
      <c r="J2572" s="29"/>
      <c r="K2572" s="29"/>
      <c r="L2572" s="29"/>
    </row>
    <row r="2573">
      <c r="A2573" s="13"/>
      <c r="B2573" s="13"/>
      <c r="C2573" s="15"/>
      <c r="D2573" s="15"/>
      <c r="E2573" s="15"/>
      <c r="F2573" s="17"/>
      <c r="G2573" s="22"/>
      <c r="H2573" s="22"/>
      <c r="I2573" s="29"/>
      <c r="J2573" s="29"/>
      <c r="K2573" s="29"/>
      <c r="L2573" s="29"/>
    </row>
    <row r="2574">
      <c r="A2574" s="13"/>
      <c r="B2574" s="13"/>
      <c r="C2574" s="15"/>
      <c r="D2574" s="15"/>
      <c r="E2574" s="15"/>
      <c r="F2574" s="17"/>
      <c r="G2574" s="22"/>
      <c r="H2574" s="22"/>
      <c r="I2574" s="29"/>
      <c r="J2574" s="29"/>
      <c r="K2574" s="29"/>
      <c r="L2574" s="29"/>
    </row>
    <row r="2575">
      <c r="A2575" s="13"/>
      <c r="B2575" s="13"/>
      <c r="C2575" s="15"/>
      <c r="D2575" s="15"/>
      <c r="E2575" s="15"/>
      <c r="F2575" s="17"/>
      <c r="G2575" s="22"/>
      <c r="H2575" s="22"/>
      <c r="I2575" s="29"/>
      <c r="J2575" s="29"/>
      <c r="K2575" s="29"/>
      <c r="L2575" s="29"/>
    </row>
    <row r="2576">
      <c r="A2576" s="13"/>
      <c r="B2576" s="13"/>
      <c r="C2576" s="15"/>
      <c r="D2576" s="15"/>
      <c r="E2576" s="15"/>
      <c r="F2576" s="17"/>
      <c r="G2576" s="22"/>
      <c r="H2576" s="22"/>
      <c r="I2576" s="29"/>
      <c r="J2576" s="29"/>
      <c r="K2576" s="29"/>
      <c r="L2576" s="29"/>
    </row>
    <row r="2577">
      <c r="A2577" s="13"/>
      <c r="B2577" s="13"/>
      <c r="C2577" s="15"/>
      <c r="D2577" s="15"/>
      <c r="E2577" s="15"/>
      <c r="F2577" s="17"/>
      <c r="G2577" s="22"/>
      <c r="H2577" s="22"/>
      <c r="I2577" s="29"/>
      <c r="J2577" s="29"/>
      <c r="K2577" s="29"/>
      <c r="L2577" s="29"/>
    </row>
    <row r="2578">
      <c r="A2578" s="13"/>
      <c r="B2578" s="13"/>
      <c r="C2578" s="15"/>
      <c r="D2578" s="15"/>
      <c r="E2578" s="15"/>
      <c r="F2578" s="17"/>
      <c r="G2578" s="22"/>
      <c r="H2578" s="22"/>
      <c r="I2578" s="29"/>
      <c r="J2578" s="29"/>
      <c r="K2578" s="29"/>
      <c r="L2578" s="29"/>
    </row>
    <row r="2579">
      <c r="A2579" s="13"/>
      <c r="B2579" s="13"/>
      <c r="C2579" s="15"/>
      <c r="D2579" s="15"/>
      <c r="E2579" s="15"/>
      <c r="F2579" s="17"/>
      <c r="G2579" s="22"/>
      <c r="H2579" s="22"/>
      <c r="I2579" s="29"/>
      <c r="J2579" s="29"/>
      <c r="K2579" s="29"/>
      <c r="L2579" s="29"/>
    </row>
    <row r="2580">
      <c r="A2580" s="13"/>
      <c r="B2580" s="13"/>
      <c r="C2580" s="15"/>
      <c r="D2580" s="15"/>
      <c r="E2580" s="15"/>
      <c r="F2580" s="17"/>
      <c r="G2580" s="22"/>
      <c r="H2580" s="22"/>
      <c r="I2580" s="29"/>
      <c r="J2580" s="29"/>
      <c r="K2580" s="29"/>
      <c r="L2580" s="29"/>
    </row>
    <row r="2581">
      <c r="A2581" s="13"/>
      <c r="B2581" s="13"/>
      <c r="C2581" s="15"/>
      <c r="D2581" s="15"/>
      <c r="E2581" s="15"/>
      <c r="F2581" s="17"/>
      <c r="G2581" s="22"/>
      <c r="H2581" s="22"/>
      <c r="I2581" s="29"/>
      <c r="J2581" s="29"/>
      <c r="K2581" s="29"/>
      <c r="L2581" s="29"/>
    </row>
    <row r="2582">
      <c r="A2582" s="13"/>
      <c r="B2582" s="13"/>
      <c r="C2582" s="15"/>
      <c r="D2582" s="15"/>
      <c r="E2582" s="15"/>
      <c r="F2582" s="17"/>
      <c r="G2582" s="22"/>
      <c r="H2582" s="22"/>
      <c r="I2582" s="29"/>
      <c r="J2582" s="29"/>
      <c r="K2582" s="29"/>
      <c r="L2582" s="29"/>
    </row>
    <row r="2583">
      <c r="A2583" s="13"/>
      <c r="B2583" s="13"/>
      <c r="C2583" s="15"/>
      <c r="D2583" s="15"/>
      <c r="E2583" s="15"/>
      <c r="F2583" s="17"/>
      <c r="G2583" s="22"/>
      <c r="H2583" s="22"/>
      <c r="I2583" s="29"/>
      <c r="J2583" s="29"/>
      <c r="K2583" s="29"/>
      <c r="L2583" s="29"/>
    </row>
    <row r="2584">
      <c r="A2584" s="13"/>
      <c r="B2584" s="13"/>
      <c r="C2584" s="15"/>
      <c r="D2584" s="15"/>
      <c r="E2584" s="15"/>
      <c r="F2584" s="17"/>
      <c r="G2584" s="22"/>
      <c r="H2584" s="22"/>
      <c r="I2584" s="29"/>
      <c r="J2584" s="29"/>
      <c r="K2584" s="29"/>
      <c r="L2584" s="29"/>
    </row>
    <row r="2585">
      <c r="A2585" s="13"/>
      <c r="B2585" s="13"/>
      <c r="C2585" s="15"/>
      <c r="D2585" s="15"/>
      <c r="E2585" s="15"/>
      <c r="F2585" s="17"/>
      <c r="G2585" s="22"/>
      <c r="H2585" s="22"/>
      <c r="I2585" s="29"/>
      <c r="J2585" s="29"/>
      <c r="K2585" s="29"/>
      <c r="L2585" s="29"/>
    </row>
    <row r="2586">
      <c r="A2586" s="13"/>
      <c r="B2586" s="13"/>
      <c r="C2586" s="15"/>
      <c r="D2586" s="15"/>
      <c r="E2586" s="15"/>
      <c r="F2586" s="17"/>
      <c r="G2586" s="22"/>
      <c r="H2586" s="22"/>
      <c r="I2586" s="29"/>
      <c r="J2586" s="29"/>
      <c r="K2586" s="29"/>
      <c r="L2586" s="29"/>
    </row>
    <row r="2587">
      <c r="A2587" s="13"/>
      <c r="B2587" s="13"/>
      <c r="C2587" s="15"/>
      <c r="D2587" s="15"/>
      <c r="E2587" s="15"/>
      <c r="F2587" s="17"/>
      <c r="G2587" s="22"/>
      <c r="H2587" s="22"/>
      <c r="I2587" s="29"/>
      <c r="J2587" s="29"/>
      <c r="K2587" s="29"/>
      <c r="L2587" s="29"/>
    </row>
    <row r="2588">
      <c r="A2588" s="13"/>
      <c r="B2588" s="13"/>
      <c r="C2588" s="15"/>
      <c r="D2588" s="15"/>
      <c r="E2588" s="15"/>
      <c r="F2588" s="17"/>
      <c r="G2588" s="22"/>
      <c r="H2588" s="22"/>
      <c r="I2588" s="29"/>
      <c r="J2588" s="29"/>
      <c r="K2588" s="29"/>
      <c r="L2588" s="29"/>
    </row>
    <row r="2589">
      <c r="A2589" s="13"/>
      <c r="B2589" s="13"/>
      <c r="C2589" s="15"/>
      <c r="D2589" s="15"/>
      <c r="E2589" s="15"/>
      <c r="F2589" s="17"/>
      <c r="G2589" s="22"/>
      <c r="H2589" s="22"/>
      <c r="I2589" s="29"/>
      <c r="J2589" s="29"/>
      <c r="K2589" s="29"/>
      <c r="L2589" s="29"/>
    </row>
    <row r="2590">
      <c r="A2590" s="13"/>
      <c r="B2590" s="13"/>
      <c r="C2590" s="15"/>
      <c r="D2590" s="15"/>
      <c r="E2590" s="15"/>
      <c r="F2590" s="17"/>
      <c r="G2590" s="22"/>
      <c r="H2590" s="22"/>
      <c r="I2590" s="29"/>
      <c r="J2590" s="29"/>
      <c r="K2590" s="29"/>
      <c r="L2590" s="29"/>
    </row>
    <row r="2591">
      <c r="A2591" s="13"/>
      <c r="B2591" s="13"/>
      <c r="C2591" s="15"/>
      <c r="D2591" s="15"/>
      <c r="E2591" s="15"/>
      <c r="F2591" s="17"/>
      <c r="G2591" s="22"/>
      <c r="H2591" s="22"/>
      <c r="I2591" s="29"/>
      <c r="J2591" s="29"/>
      <c r="K2591" s="29"/>
      <c r="L2591" s="29"/>
    </row>
    <row r="2592">
      <c r="A2592" s="13"/>
      <c r="B2592" s="13"/>
      <c r="C2592" s="15"/>
      <c r="D2592" s="15"/>
      <c r="E2592" s="15"/>
      <c r="F2592" s="17"/>
      <c r="G2592" s="22"/>
      <c r="H2592" s="22"/>
      <c r="I2592" s="29"/>
      <c r="J2592" s="29"/>
      <c r="K2592" s="29"/>
      <c r="L2592" s="29"/>
    </row>
    <row r="2593">
      <c r="A2593" s="13"/>
      <c r="B2593" s="13"/>
      <c r="C2593" s="15"/>
      <c r="D2593" s="15"/>
      <c r="E2593" s="15"/>
      <c r="F2593" s="17"/>
      <c r="G2593" s="22"/>
      <c r="H2593" s="22"/>
      <c r="I2593" s="29"/>
      <c r="J2593" s="29"/>
      <c r="K2593" s="29"/>
      <c r="L2593" s="29"/>
    </row>
    <row r="2594">
      <c r="A2594" s="13"/>
      <c r="B2594" s="13"/>
      <c r="C2594" s="15"/>
      <c r="D2594" s="15"/>
      <c r="E2594" s="15"/>
      <c r="F2594" s="17"/>
      <c r="G2594" s="22"/>
      <c r="H2594" s="22"/>
      <c r="I2594" s="29"/>
      <c r="J2594" s="29"/>
      <c r="K2594" s="29"/>
      <c r="L2594" s="29"/>
    </row>
    <row r="2595">
      <c r="A2595" s="13"/>
      <c r="B2595" s="13"/>
      <c r="C2595" s="15"/>
      <c r="D2595" s="15"/>
      <c r="E2595" s="15"/>
      <c r="F2595" s="17"/>
      <c r="G2595" s="22"/>
      <c r="H2595" s="22"/>
      <c r="I2595" s="29"/>
      <c r="J2595" s="29"/>
      <c r="K2595" s="29"/>
      <c r="L2595" s="29"/>
    </row>
    <row r="2596">
      <c r="A2596" s="13"/>
      <c r="B2596" s="13"/>
      <c r="C2596" s="15"/>
      <c r="D2596" s="15"/>
      <c r="E2596" s="15"/>
      <c r="F2596" s="17"/>
      <c r="G2596" s="22"/>
      <c r="H2596" s="22"/>
      <c r="I2596" s="29"/>
      <c r="J2596" s="29"/>
      <c r="K2596" s="29"/>
      <c r="L2596" s="29"/>
    </row>
    <row r="2597">
      <c r="A2597" s="13"/>
      <c r="B2597" s="13"/>
      <c r="C2597" s="15"/>
      <c r="D2597" s="15"/>
      <c r="E2597" s="15"/>
      <c r="F2597" s="17"/>
      <c r="G2597" s="22"/>
      <c r="H2597" s="22"/>
      <c r="I2597" s="29"/>
      <c r="J2597" s="29"/>
      <c r="K2597" s="29"/>
      <c r="L2597" s="29"/>
    </row>
    <row r="2598">
      <c r="A2598" s="13"/>
      <c r="B2598" s="13"/>
      <c r="C2598" s="15"/>
      <c r="D2598" s="15"/>
      <c r="E2598" s="15"/>
      <c r="F2598" s="17"/>
      <c r="G2598" s="22"/>
      <c r="H2598" s="22"/>
      <c r="I2598" s="29"/>
      <c r="J2598" s="29"/>
      <c r="K2598" s="29"/>
      <c r="L2598" s="29"/>
    </row>
    <row r="2599">
      <c r="A2599" s="13"/>
      <c r="B2599" s="13"/>
      <c r="C2599" s="15"/>
      <c r="D2599" s="15"/>
      <c r="E2599" s="15"/>
      <c r="F2599" s="17"/>
      <c r="G2599" s="22"/>
      <c r="H2599" s="22"/>
      <c r="I2599" s="29"/>
      <c r="J2599" s="29"/>
      <c r="K2599" s="29"/>
      <c r="L2599" s="29"/>
    </row>
    <row r="2600">
      <c r="A2600" s="13"/>
      <c r="B2600" s="13"/>
      <c r="C2600" s="15"/>
      <c r="D2600" s="15"/>
      <c r="E2600" s="15"/>
      <c r="F2600" s="17"/>
      <c r="G2600" s="22"/>
      <c r="H2600" s="22"/>
      <c r="I2600" s="29"/>
      <c r="J2600" s="29"/>
      <c r="K2600" s="29"/>
      <c r="L2600" s="29"/>
    </row>
    <row r="2601">
      <c r="A2601" s="13"/>
      <c r="B2601" s="13"/>
      <c r="C2601" s="15"/>
      <c r="D2601" s="15"/>
      <c r="E2601" s="15"/>
      <c r="F2601" s="17"/>
      <c r="G2601" s="22"/>
      <c r="H2601" s="22"/>
      <c r="I2601" s="29"/>
      <c r="J2601" s="29"/>
      <c r="K2601" s="29"/>
      <c r="L2601" s="29"/>
    </row>
    <row r="2602">
      <c r="A2602" s="13"/>
      <c r="B2602" s="13"/>
      <c r="C2602" s="15"/>
      <c r="D2602" s="15"/>
      <c r="E2602" s="15"/>
      <c r="F2602" s="17"/>
      <c r="G2602" s="22"/>
      <c r="H2602" s="22"/>
      <c r="I2602" s="29"/>
      <c r="J2602" s="29"/>
      <c r="K2602" s="29"/>
      <c r="L2602" s="29"/>
    </row>
    <row r="2603">
      <c r="A2603" s="13"/>
      <c r="B2603" s="13"/>
      <c r="C2603" s="15"/>
      <c r="D2603" s="15"/>
      <c r="E2603" s="15"/>
      <c r="F2603" s="17"/>
      <c r="G2603" s="22"/>
      <c r="H2603" s="22"/>
      <c r="I2603" s="29"/>
      <c r="J2603" s="29"/>
      <c r="K2603" s="29"/>
      <c r="L2603" s="29"/>
    </row>
    <row r="2604">
      <c r="A2604" s="13"/>
      <c r="B2604" s="13"/>
      <c r="C2604" s="15"/>
      <c r="D2604" s="15"/>
      <c r="E2604" s="15"/>
      <c r="F2604" s="17"/>
      <c r="G2604" s="22"/>
      <c r="H2604" s="22"/>
      <c r="I2604" s="29"/>
      <c r="J2604" s="29"/>
      <c r="K2604" s="29"/>
      <c r="L2604" s="29"/>
    </row>
    <row r="2605">
      <c r="A2605" s="13"/>
      <c r="B2605" s="13"/>
      <c r="C2605" s="15"/>
      <c r="D2605" s="15"/>
      <c r="E2605" s="15"/>
      <c r="F2605" s="17"/>
      <c r="G2605" s="22"/>
      <c r="H2605" s="22"/>
      <c r="I2605" s="29"/>
      <c r="J2605" s="29"/>
      <c r="K2605" s="29"/>
      <c r="L2605" s="29"/>
    </row>
    <row r="2606">
      <c r="A2606" s="13"/>
      <c r="B2606" s="13"/>
      <c r="C2606" s="15"/>
      <c r="D2606" s="15"/>
      <c r="E2606" s="15"/>
      <c r="F2606" s="17"/>
      <c r="G2606" s="22"/>
      <c r="H2606" s="22"/>
      <c r="I2606" s="29"/>
      <c r="J2606" s="29"/>
      <c r="K2606" s="29"/>
      <c r="L2606" s="29"/>
    </row>
    <row r="2607">
      <c r="A2607" s="13"/>
      <c r="B2607" s="13"/>
      <c r="C2607" s="15"/>
      <c r="D2607" s="15"/>
      <c r="E2607" s="15"/>
      <c r="F2607" s="17"/>
      <c r="G2607" s="22"/>
      <c r="H2607" s="22"/>
      <c r="I2607" s="29"/>
      <c r="J2607" s="29"/>
      <c r="K2607" s="29"/>
      <c r="L2607" s="29"/>
    </row>
    <row r="2608">
      <c r="A2608" s="13"/>
      <c r="B2608" s="13"/>
      <c r="C2608" s="15"/>
      <c r="D2608" s="15"/>
      <c r="E2608" s="15"/>
      <c r="F2608" s="17"/>
      <c r="G2608" s="22"/>
      <c r="H2608" s="22"/>
      <c r="I2608" s="29"/>
      <c r="J2608" s="29"/>
      <c r="K2608" s="29"/>
      <c r="L2608" s="29"/>
    </row>
    <row r="2609">
      <c r="A2609" s="13"/>
      <c r="B2609" s="13"/>
      <c r="C2609" s="15"/>
      <c r="D2609" s="15"/>
      <c r="E2609" s="15"/>
      <c r="F2609" s="17"/>
      <c r="G2609" s="22"/>
      <c r="H2609" s="22"/>
      <c r="I2609" s="29"/>
      <c r="J2609" s="29"/>
      <c r="K2609" s="29"/>
      <c r="L2609" s="29"/>
    </row>
    <row r="2610">
      <c r="A2610" s="13"/>
      <c r="B2610" s="13"/>
      <c r="C2610" s="15"/>
      <c r="D2610" s="15"/>
      <c r="E2610" s="15"/>
      <c r="F2610" s="17"/>
      <c r="G2610" s="22"/>
      <c r="H2610" s="22"/>
      <c r="I2610" s="29"/>
      <c r="J2610" s="29"/>
      <c r="K2610" s="29"/>
      <c r="L2610" s="29"/>
    </row>
    <row r="2611">
      <c r="A2611" s="13"/>
      <c r="B2611" s="13"/>
      <c r="C2611" s="15"/>
      <c r="D2611" s="15"/>
      <c r="E2611" s="15"/>
      <c r="F2611" s="17"/>
      <c r="G2611" s="22"/>
      <c r="H2611" s="22"/>
      <c r="I2611" s="29"/>
      <c r="J2611" s="29"/>
      <c r="K2611" s="29"/>
      <c r="L2611" s="29"/>
    </row>
    <row r="2612">
      <c r="A2612" s="13"/>
      <c r="B2612" s="13"/>
      <c r="C2612" s="15"/>
      <c r="D2612" s="15"/>
      <c r="E2612" s="15"/>
      <c r="F2612" s="17"/>
      <c r="G2612" s="22"/>
      <c r="H2612" s="22"/>
      <c r="I2612" s="29"/>
      <c r="J2612" s="29"/>
      <c r="K2612" s="29"/>
      <c r="L2612" s="29"/>
    </row>
    <row r="2613">
      <c r="A2613" s="13"/>
      <c r="B2613" s="13"/>
      <c r="C2613" s="15"/>
      <c r="D2613" s="15"/>
      <c r="E2613" s="15"/>
      <c r="F2613" s="17"/>
      <c r="G2613" s="22"/>
      <c r="H2613" s="22"/>
      <c r="I2613" s="29"/>
      <c r="J2613" s="29"/>
      <c r="K2613" s="29"/>
      <c r="L2613" s="29"/>
    </row>
    <row r="2614">
      <c r="A2614" s="13"/>
      <c r="B2614" s="13"/>
      <c r="C2614" s="15"/>
      <c r="D2614" s="15"/>
      <c r="E2614" s="15"/>
      <c r="F2614" s="17"/>
      <c r="G2614" s="22"/>
      <c r="H2614" s="22"/>
      <c r="I2614" s="29"/>
      <c r="J2614" s="29"/>
      <c r="K2614" s="29"/>
      <c r="L2614" s="29"/>
    </row>
    <row r="2615">
      <c r="A2615" s="13"/>
      <c r="B2615" s="13"/>
      <c r="C2615" s="15"/>
      <c r="D2615" s="15"/>
      <c r="E2615" s="15"/>
      <c r="F2615" s="17"/>
      <c r="G2615" s="22"/>
      <c r="H2615" s="22"/>
      <c r="I2615" s="29"/>
      <c r="J2615" s="29"/>
      <c r="K2615" s="29"/>
      <c r="L2615" s="29"/>
    </row>
    <row r="2616">
      <c r="A2616" s="13"/>
      <c r="B2616" s="13"/>
      <c r="C2616" s="15"/>
      <c r="D2616" s="15"/>
      <c r="E2616" s="15"/>
      <c r="F2616" s="17"/>
      <c r="G2616" s="22"/>
      <c r="H2616" s="22"/>
      <c r="I2616" s="29"/>
      <c r="J2616" s="29"/>
      <c r="K2616" s="29"/>
      <c r="L2616" s="29"/>
    </row>
    <row r="2617">
      <c r="A2617" s="13"/>
      <c r="B2617" s="13"/>
      <c r="C2617" s="15"/>
      <c r="D2617" s="15"/>
      <c r="E2617" s="15"/>
      <c r="F2617" s="17"/>
      <c r="G2617" s="22"/>
      <c r="H2617" s="22"/>
      <c r="I2617" s="29"/>
      <c r="J2617" s="29"/>
      <c r="K2617" s="29"/>
      <c r="L2617" s="29"/>
    </row>
    <row r="2618">
      <c r="A2618" s="13"/>
      <c r="B2618" s="13"/>
      <c r="C2618" s="15"/>
      <c r="D2618" s="15"/>
      <c r="E2618" s="15"/>
      <c r="F2618" s="17"/>
      <c r="G2618" s="22"/>
      <c r="H2618" s="22"/>
      <c r="I2618" s="29"/>
      <c r="J2618" s="29"/>
      <c r="K2618" s="29"/>
      <c r="L2618" s="29"/>
    </row>
    <row r="2619">
      <c r="A2619" s="13"/>
      <c r="B2619" s="13"/>
      <c r="C2619" s="15"/>
      <c r="D2619" s="15"/>
      <c r="E2619" s="15"/>
      <c r="F2619" s="17"/>
      <c r="G2619" s="22"/>
      <c r="H2619" s="22"/>
      <c r="I2619" s="29"/>
      <c r="J2619" s="29"/>
      <c r="K2619" s="29"/>
      <c r="L2619" s="29"/>
    </row>
    <row r="2620">
      <c r="A2620" s="13"/>
      <c r="B2620" s="13"/>
      <c r="C2620" s="15"/>
      <c r="D2620" s="15"/>
      <c r="E2620" s="15"/>
      <c r="F2620" s="17"/>
      <c r="G2620" s="22"/>
      <c r="H2620" s="22"/>
      <c r="I2620" s="29"/>
      <c r="J2620" s="29"/>
      <c r="K2620" s="29"/>
      <c r="L2620" s="29"/>
    </row>
    <row r="2621">
      <c r="A2621" s="13"/>
      <c r="B2621" s="13"/>
      <c r="C2621" s="15"/>
      <c r="D2621" s="15"/>
      <c r="E2621" s="15"/>
      <c r="F2621" s="17"/>
      <c r="G2621" s="22"/>
      <c r="H2621" s="22"/>
      <c r="I2621" s="29"/>
      <c r="J2621" s="29"/>
      <c r="K2621" s="29"/>
      <c r="L2621" s="29"/>
    </row>
    <row r="2622">
      <c r="A2622" s="13"/>
      <c r="B2622" s="13"/>
      <c r="C2622" s="15"/>
      <c r="D2622" s="15"/>
      <c r="E2622" s="15"/>
      <c r="F2622" s="17"/>
      <c r="G2622" s="22"/>
      <c r="H2622" s="22"/>
      <c r="I2622" s="29"/>
      <c r="J2622" s="29"/>
      <c r="K2622" s="29"/>
      <c r="L2622" s="29"/>
    </row>
    <row r="2623">
      <c r="A2623" s="13"/>
      <c r="B2623" s="13"/>
      <c r="C2623" s="15"/>
      <c r="D2623" s="15"/>
      <c r="E2623" s="15"/>
      <c r="F2623" s="17"/>
      <c r="G2623" s="22"/>
      <c r="H2623" s="22"/>
      <c r="I2623" s="29"/>
      <c r="J2623" s="29"/>
      <c r="K2623" s="29"/>
      <c r="L2623" s="29"/>
    </row>
    <row r="2624">
      <c r="A2624" s="13"/>
      <c r="B2624" s="13"/>
      <c r="C2624" s="15"/>
      <c r="D2624" s="15"/>
      <c r="E2624" s="15"/>
      <c r="F2624" s="17"/>
      <c r="G2624" s="22"/>
      <c r="H2624" s="22"/>
      <c r="I2624" s="29"/>
      <c r="J2624" s="29"/>
      <c r="K2624" s="29"/>
      <c r="L2624" s="29"/>
    </row>
    <row r="2625">
      <c r="A2625" s="13"/>
      <c r="B2625" s="13"/>
      <c r="C2625" s="15"/>
      <c r="D2625" s="15"/>
      <c r="E2625" s="15"/>
      <c r="F2625" s="17"/>
      <c r="G2625" s="22"/>
      <c r="H2625" s="22"/>
      <c r="I2625" s="29"/>
      <c r="J2625" s="29"/>
      <c r="K2625" s="29"/>
      <c r="L2625" s="29"/>
    </row>
    <row r="2626">
      <c r="A2626" s="13"/>
      <c r="B2626" s="13"/>
      <c r="C2626" s="15"/>
      <c r="D2626" s="15"/>
      <c r="E2626" s="15"/>
      <c r="F2626" s="17"/>
      <c r="G2626" s="22"/>
      <c r="H2626" s="22"/>
      <c r="I2626" s="29"/>
      <c r="J2626" s="29"/>
      <c r="K2626" s="29"/>
      <c r="L2626" s="29"/>
    </row>
    <row r="2627">
      <c r="A2627" s="13"/>
      <c r="B2627" s="13"/>
      <c r="C2627" s="15"/>
      <c r="D2627" s="15"/>
      <c r="E2627" s="15"/>
      <c r="F2627" s="17"/>
      <c r="G2627" s="22"/>
      <c r="H2627" s="22"/>
      <c r="I2627" s="29"/>
      <c r="J2627" s="29"/>
      <c r="K2627" s="29"/>
      <c r="L2627" s="29"/>
    </row>
    <row r="2628">
      <c r="A2628" s="13"/>
      <c r="B2628" s="13"/>
      <c r="C2628" s="15"/>
      <c r="D2628" s="15"/>
      <c r="E2628" s="15"/>
      <c r="F2628" s="17"/>
      <c r="G2628" s="22"/>
      <c r="H2628" s="22"/>
      <c r="I2628" s="29"/>
      <c r="J2628" s="29"/>
      <c r="K2628" s="29"/>
      <c r="L2628" s="29"/>
    </row>
    <row r="2629">
      <c r="A2629" s="13"/>
      <c r="B2629" s="13"/>
      <c r="C2629" s="15"/>
      <c r="D2629" s="15"/>
      <c r="E2629" s="15"/>
      <c r="F2629" s="17"/>
      <c r="G2629" s="22"/>
      <c r="H2629" s="22"/>
      <c r="I2629" s="29"/>
      <c r="J2629" s="29"/>
      <c r="K2629" s="29"/>
      <c r="L2629" s="29"/>
    </row>
    <row r="2630">
      <c r="A2630" s="13"/>
      <c r="B2630" s="13"/>
      <c r="C2630" s="15"/>
      <c r="D2630" s="15"/>
      <c r="E2630" s="15"/>
      <c r="F2630" s="17"/>
      <c r="G2630" s="22"/>
      <c r="H2630" s="22"/>
      <c r="I2630" s="29"/>
      <c r="J2630" s="29"/>
      <c r="K2630" s="29"/>
      <c r="L2630" s="29"/>
    </row>
    <row r="2631">
      <c r="A2631" s="13"/>
      <c r="B2631" s="13"/>
      <c r="C2631" s="15"/>
      <c r="D2631" s="15"/>
      <c r="E2631" s="15"/>
      <c r="F2631" s="17"/>
      <c r="G2631" s="22"/>
      <c r="H2631" s="22"/>
      <c r="I2631" s="29"/>
      <c r="J2631" s="29"/>
      <c r="K2631" s="29"/>
      <c r="L2631" s="29"/>
    </row>
    <row r="2632">
      <c r="A2632" s="13"/>
      <c r="B2632" s="13"/>
      <c r="C2632" s="15"/>
      <c r="D2632" s="15"/>
      <c r="E2632" s="15"/>
      <c r="F2632" s="17"/>
      <c r="G2632" s="22"/>
      <c r="H2632" s="22"/>
      <c r="I2632" s="29"/>
      <c r="J2632" s="29"/>
      <c r="K2632" s="29"/>
      <c r="L2632" s="29"/>
    </row>
    <row r="2633">
      <c r="A2633" s="13"/>
      <c r="B2633" s="13"/>
      <c r="C2633" s="15"/>
      <c r="D2633" s="15"/>
      <c r="E2633" s="15"/>
      <c r="F2633" s="17"/>
      <c r="G2633" s="22"/>
      <c r="H2633" s="22"/>
      <c r="I2633" s="29"/>
      <c r="J2633" s="29"/>
      <c r="K2633" s="29"/>
      <c r="L2633" s="29"/>
    </row>
    <row r="2634">
      <c r="A2634" s="13"/>
      <c r="B2634" s="13"/>
      <c r="C2634" s="15"/>
      <c r="D2634" s="15"/>
      <c r="E2634" s="15"/>
      <c r="F2634" s="17"/>
      <c r="G2634" s="22"/>
      <c r="H2634" s="22"/>
      <c r="I2634" s="29"/>
      <c r="J2634" s="29"/>
      <c r="K2634" s="29"/>
      <c r="L2634" s="29"/>
    </row>
    <row r="2635">
      <c r="A2635" s="13"/>
      <c r="B2635" s="13"/>
      <c r="C2635" s="15"/>
      <c r="D2635" s="15"/>
      <c r="E2635" s="15"/>
      <c r="F2635" s="17"/>
      <c r="G2635" s="22"/>
      <c r="H2635" s="22"/>
      <c r="I2635" s="29"/>
      <c r="J2635" s="29"/>
      <c r="K2635" s="29"/>
      <c r="L2635" s="29"/>
    </row>
    <row r="2636">
      <c r="A2636" s="13"/>
      <c r="B2636" s="13"/>
      <c r="C2636" s="15"/>
      <c r="D2636" s="15"/>
      <c r="E2636" s="15"/>
      <c r="F2636" s="17"/>
      <c r="G2636" s="22"/>
      <c r="H2636" s="22"/>
      <c r="I2636" s="29"/>
      <c r="J2636" s="29"/>
      <c r="K2636" s="29"/>
      <c r="L2636" s="29"/>
    </row>
    <row r="2637">
      <c r="A2637" s="13"/>
      <c r="B2637" s="13"/>
      <c r="C2637" s="15"/>
      <c r="D2637" s="15"/>
      <c r="E2637" s="15"/>
      <c r="F2637" s="17"/>
      <c r="G2637" s="22"/>
      <c r="H2637" s="22"/>
      <c r="I2637" s="29"/>
      <c r="J2637" s="29"/>
      <c r="K2637" s="29"/>
      <c r="L2637" s="29"/>
    </row>
    <row r="2638">
      <c r="A2638" s="13"/>
      <c r="B2638" s="13"/>
      <c r="C2638" s="15"/>
      <c r="D2638" s="15"/>
      <c r="E2638" s="15"/>
      <c r="F2638" s="17"/>
      <c r="G2638" s="22"/>
      <c r="H2638" s="22"/>
      <c r="I2638" s="29"/>
      <c r="J2638" s="29"/>
      <c r="K2638" s="29"/>
      <c r="L2638" s="29"/>
    </row>
    <row r="2639">
      <c r="A2639" s="13"/>
      <c r="B2639" s="13"/>
      <c r="C2639" s="15"/>
      <c r="D2639" s="15"/>
      <c r="E2639" s="15"/>
      <c r="F2639" s="17"/>
      <c r="G2639" s="22"/>
      <c r="H2639" s="22"/>
      <c r="I2639" s="29"/>
      <c r="J2639" s="29"/>
      <c r="K2639" s="29"/>
      <c r="L2639" s="29"/>
    </row>
    <row r="2640">
      <c r="A2640" s="13"/>
      <c r="B2640" s="13"/>
      <c r="C2640" s="15"/>
      <c r="D2640" s="15"/>
      <c r="E2640" s="15"/>
      <c r="F2640" s="17"/>
      <c r="G2640" s="22"/>
      <c r="H2640" s="22"/>
      <c r="I2640" s="29"/>
      <c r="J2640" s="29"/>
      <c r="K2640" s="29"/>
      <c r="L2640" s="29"/>
    </row>
    <row r="2641">
      <c r="A2641" s="13"/>
      <c r="B2641" s="13"/>
      <c r="C2641" s="15"/>
      <c r="D2641" s="15"/>
      <c r="E2641" s="15"/>
      <c r="F2641" s="17"/>
      <c r="G2641" s="22"/>
      <c r="H2641" s="22"/>
      <c r="I2641" s="29"/>
      <c r="J2641" s="29"/>
      <c r="K2641" s="29"/>
      <c r="L2641" s="29"/>
    </row>
    <row r="2642">
      <c r="A2642" s="13"/>
      <c r="B2642" s="13"/>
      <c r="C2642" s="15"/>
      <c r="D2642" s="15"/>
      <c r="E2642" s="15"/>
      <c r="F2642" s="17"/>
      <c r="G2642" s="22"/>
      <c r="H2642" s="22"/>
      <c r="I2642" s="29"/>
      <c r="J2642" s="29"/>
      <c r="K2642" s="29"/>
      <c r="L2642" s="29"/>
    </row>
    <row r="2643">
      <c r="A2643" s="13"/>
      <c r="B2643" s="13"/>
      <c r="C2643" s="15"/>
      <c r="D2643" s="15"/>
      <c r="E2643" s="15"/>
      <c r="F2643" s="17"/>
      <c r="G2643" s="22"/>
      <c r="H2643" s="22"/>
      <c r="I2643" s="29"/>
      <c r="J2643" s="29"/>
      <c r="K2643" s="29"/>
      <c r="L2643" s="29"/>
    </row>
    <row r="2644">
      <c r="A2644" s="13"/>
      <c r="B2644" s="13"/>
      <c r="C2644" s="15"/>
      <c r="D2644" s="15"/>
      <c r="E2644" s="15"/>
      <c r="F2644" s="17"/>
      <c r="G2644" s="22"/>
      <c r="H2644" s="22"/>
      <c r="I2644" s="29"/>
      <c r="J2644" s="29"/>
      <c r="K2644" s="29"/>
      <c r="L2644" s="29"/>
    </row>
    <row r="2645">
      <c r="A2645" s="13"/>
      <c r="B2645" s="13"/>
      <c r="C2645" s="15"/>
      <c r="D2645" s="15"/>
      <c r="E2645" s="15"/>
      <c r="F2645" s="17"/>
      <c r="G2645" s="22"/>
      <c r="H2645" s="22"/>
      <c r="I2645" s="29"/>
      <c r="J2645" s="29"/>
      <c r="K2645" s="29"/>
      <c r="L2645" s="29"/>
    </row>
    <row r="2646">
      <c r="A2646" s="13"/>
      <c r="B2646" s="13"/>
      <c r="C2646" s="15"/>
      <c r="D2646" s="15"/>
      <c r="E2646" s="15"/>
      <c r="F2646" s="17"/>
      <c r="G2646" s="22"/>
      <c r="H2646" s="22"/>
      <c r="I2646" s="29"/>
      <c r="J2646" s="29"/>
      <c r="K2646" s="29"/>
      <c r="L2646" s="29"/>
    </row>
    <row r="2647">
      <c r="A2647" s="13"/>
      <c r="B2647" s="13"/>
      <c r="C2647" s="15"/>
      <c r="D2647" s="15"/>
      <c r="E2647" s="15"/>
      <c r="F2647" s="17"/>
      <c r="G2647" s="22"/>
      <c r="H2647" s="22"/>
      <c r="I2647" s="29"/>
      <c r="J2647" s="29"/>
      <c r="K2647" s="29"/>
      <c r="L2647" s="29"/>
    </row>
    <row r="2648">
      <c r="A2648" s="13"/>
      <c r="B2648" s="13"/>
      <c r="C2648" s="15"/>
      <c r="D2648" s="15"/>
      <c r="E2648" s="15"/>
      <c r="F2648" s="17"/>
      <c r="G2648" s="22"/>
      <c r="H2648" s="22"/>
      <c r="I2648" s="29"/>
      <c r="J2648" s="29"/>
      <c r="K2648" s="29"/>
      <c r="L2648" s="29"/>
    </row>
    <row r="2649">
      <c r="A2649" s="13"/>
      <c r="B2649" s="13"/>
      <c r="C2649" s="15"/>
      <c r="D2649" s="15"/>
      <c r="E2649" s="15"/>
      <c r="F2649" s="17"/>
      <c r="G2649" s="22"/>
      <c r="H2649" s="22"/>
      <c r="I2649" s="29"/>
      <c r="J2649" s="29"/>
      <c r="K2649" s="29"/>
      <c r="L2649" s="29"/>
    </row>
    <row r="2650">
      <c r="A2650" s="13"/>
      <c r="B2650" s="13"/>
      <c r="C2650" s="15"/>
      <c r="D2650" s="15"/>
      <c r="E2650" s="15"/>
      <c r="F2650" s="17"/>
      <c r="G2650" s="22"/>
      <c r="H2650" s="22"/>
      <c r="I2650" s="29"/>
      <c r="J2650" s="29"/>
      <c r="K2650" s="29"/>
      <c r="L2650" s="29"/>
    </row>
    <row r="2651">
      <c r="A2651" s="13"/>
      <c r="B2651" s="13"/>
      <c r="C2651" s="15"/>
      <c r="D2651" s="15"/>
      <c r="E2651" s="15"/>
      <c r="F2651" s="17"/>
      <c r="G2651" s="22"/>
      <c r="H2651" s="22"/>
      <c r="I2651" s="29"/>
      <c r="J2651" s="29"/>
      <c r="K2651" s="29"/>
      <c r="L2651" s="29"/>
    </row>
    <row r="2652">
      <c r="A2652" s="13"/>
      <c r="B2652" s="13"/>
      <c r="C2652" s="15"/>
      <c r="D2652" s="15"/>
      <c r="E2652" s="15"/>
      <c r="F2652" s="17"/>
      <c r="G2652" s="22"/>
      <c r="H2652" s="22"/>
      <c r="I2652" s="29"/>
      <c r="J2652" s="29"/>
      <c r="K2652" s="29"/>
      <c r="L2652" s="29"/>
    </row>
    <row r="2653">
      <c r="A2653" s="13"/>
      <c r="B2653" s="13"/>
      <c r="C2653" s="15"/>
      <c r="D2653" s="15"/>
      <c r="E2653" s="15"/>
      <c r="F2653" s="17"/>
      <c r="G2653" s="22"/>
      <c r="H2653" s="22"/>
      <c r="I2653" s="29"/>
      <c r="J2653" s="29"/>
      <c r="K2653" s="29"/>
      <c r="L2653" s="29"/>
    </row>
    <row r="2654">
      <c r="A2654" s="13"/>
      <c r="B2654" s="13"/>
      <c r="C2654" s="15"/>
      <c r="D2654" s="15"/>
      <c r="E2654" s="15"/>
      <c r="F2654" s="17"/>
      <c r="G2654" s="22"/>
      <c r="H2654" s="22"/>
      <c r="I2654" s="29"/>
      <c r="J2654" s="29"/>
      <c r="K2654" s="29"/>
      <c r="L2654" s="29"/>
    </row>
    <row r="2655">
      <c r="A2655" s="13"/>
      <c r="B2655" s="13"/>
      <c r="C2655" s="15"/>
      <c r="D2655" s="15"/>
      <c r="E2655" s="15"/>
      <c r="F2655" s="17"/>
      <c r="G2655" s="22"/>
      <c r="H2655" s="22"/>
      <c r="I2655" s="29"/>
      <c r="J2655" s="29"/>
      <c r="K2655" s="29"/>
      <c r="L2655" s="29"/>
    </row>
    <row r="2656">
      <c r="A2656" s="13"/>
      <c r="B2656" s="13"/>
      <c r="C2656" s="15"/>
      <c r="D2656" s="15"/>
      <c r="E2656" s="15"/>
      <c r="F2656" s="17"/>
      <c r="G2656" s="22"/>
      <c r="H2656" s="22"/>
      <c r="I2656" s="29"/>
      <c r="J2656" s="29"/>
      <c r="K2656" s="29"/>
      <c r="L2656" s="29"/>
    </row>
    <row r="2657">
      <c r="A2657" s="13"/>
      <c r="B2657" s="13"/>
      <c r="C2657" s="15"/>
      <c r="D2657" s="15"/>
      <c r="E2657" s="15"/>
      <c r="F2657" s="17"/>
      <c r="G2657" s="22"/>
      <c r="H2657" s="22"/>
      <c r="I2657" s="29"/>
      <c r="J2657" s="29"/>
      <c r="K2657" s="29"/>
      <c r="L2657" s="29"/>
    </row>
    <row r="2658">
      <c r="A2658" s="13"/>
      <c r="B2658" s="13"/>
      <c r="C2658" s="15"/>
      <c r="D2658" s="15"/>
      <c r="E2658" s="15"/>
      <c r="F2658" s="17"/>
      <c r="G2658" s="22"/>
      <c r="H2658" s="22"/>
      <c r="I2658" s="29"/>
      <c r="J2658" s="29"/>
      <c r="K2658" s="29"/>
      <c r="L2658" s="29"/>
    </row>
    <row r="2659">
      <c r="A2659" s="13"/>
      <c r="B2659" s="13"/>
      <c r="C2659" s="15"/>
      <c r="D2659" s="15"/>
      <c r="E2659" s="15"/>
      <c r="F2659" s="17"/>
      <c r="G2659" s="22"/>
      <c r="H2659" s="22"/>
      <c r="I2659" s="29"/>
      <c r="J2659" s="29"/>
      <c r="K2659" s="29"/>
      <c r="L2659" s="29"/>
    </row>
    <row r="2660">
      <c r="A2660" s="13"/>
      <c r="B2660" s="13"/>
      <c r="C2660" s="15"/>
      <c r="D2660" s="15"/>
      <c r="E2660" s="15"/>
      <c r="F2660" s="17"/>
      <c r="G2660" s="22"/>
      <c r="H2660" s="22"/>
      <c r="I2660" s="29"/>
      <c r="J2660" s="29"/>
      <c r="K2660" s="29"/>
      <c r="L2660" s="29"/>
    </row>
    <row r="2661">
      <c r="A2661" s="13"/>
      <c r="B2661" s="13"/>
      <c r="C2661" s="15"/>
      <c r="D2661" s="15"/>
      <c r="E2661" s="15"/>
      <c r="F2661" s="17"/>
      <c r="G2661" s="22"/>
      <c r="H2661" s="22"/>
      <c r="I2661" s="29"/>
      <c r="J2661" s="29"/>
      <c r="K2661" s="29"/>
      <c r="L2661" s="29"/>
    </row>
    <row r="2662">
      <c r="A2662" s="13"/>
      <c r="B2662" s="13"/>
      <c r="C2662" s="15"/>
      <c r="D2662" s="15"/>
      <c r="E2662" s="15"/>
      <c r="F2662" s="17"/>
      <c r="G2662" s="22"/>
      <c r="H2662" s="22"/>
      <c r="I2662" s="29"/>
      <c r="J2662" s="29"/>
      <c r="K2662" s="29"/>
      <c r="L2662" s="29"/>
    </row>
    <row r="2663">
      <c r="A2663" s="13"/>
      <c r="B2663" s="13"/>
      <c r="C2663" s="15"/>
      <c r="D2663" s="15"/>
      <c r="E2663" s="15"/>
      <c r="F2663" s="17"/>
      <c r="G2663" s="22"/>
      <c r="H2663" s="22"/>
      <c r="I2663" s="29"/>
      <c r="J2663" s="29"/>
      <c r="K2663" s="29"/>
      <c r="L2663" s="29"/>
    </row>
    <row r="2664">
      <c r="A2664" s="13"/>
      <c r="B2664" s="13"/>
      <c r="C2664" s="15"/>
      <c r="D2664" s="15"/>
      <c r="E2664" s="15"/>
      <c r="F2664" s="17"/>
      <c r="G2664" s="22"/>
      <c r="H2664" s="22"/>
      <c r="I2664" s="29"/>
      <c r="J2664" s="29"/>
      <c r="K2664" s="29"/>
      <c r="L2664" s="29"/>
    </row>
    <row r="2665">
      <c r="A2665" s="13"/>
      <c r="B2665" s="13"/>
      <c r="C2665" s="15"/>
      <c r="D2665" s="15"/>
      <c r="E2665" s="15"/>
      <c r="F2665" s="17"/>
      <c r="G2665" s="22"/>
      <c r="H2665" s="22"/>
      <c r="I2665" s="29"/>
      <c r="J2665" s="29"/>
      <c r="K2665" s="29"/>
      <c r="L2665" s="29"/>
    </row>
    <row r="2666">
      <c r="A2666" s="13"/>
      <c r="B2666" s="13"/>
      <c r="C2666" s="15"/>
      <c r="D2666" s="15"/>
      <c r="E2666" s="15"/>
      <c r="F2666" s="17"/>
      <c r="G2666" s="22"/>
      <c r="H2666" s="22"/>
      <c r="I2666" s="29"/>
      <c r="J2666" s="29"/>
      <c r="K2666" s="29"/>
      <c r="L2666" s="29"/>
    </row>
    <row r="2667">
      <c r="A2667" s="13"/>
      <c r="B2667" s="13"/>
      <c r="C2667" s="15"/>
      <c r="D2667" s="15"/>
      <c r="E2667" s="15"/>
      <c r="F2667" s="17"/>
      <c r="G2667" s="22"/>
      <c r="H2667" s="22"/>
      <c r="I2667" s="29"/>
      <c r="J2667" s="29"/>
      <c r="K2667" s="29"/>
      <c r="L2667" s="29"/>
    </row>
    <row r="2668">
      <c r="A2668" s="13"/>
      <c r="B2668" s="13"/>
      <c r="C2668" s="15"/>
      <c r="D2668" s="15"/>
      <c r="E2668" s="15"/>
      <c r="F2668" s="17"/>
      <c r="G2668" s="22"/>
      <c r="H2668" s="22"/>
      <c r="I2668" s="29"/>
      <c r="J2668" s="29"/>
      <c r="K2668" s="29"/>
      <c r="L2668" s="29"/>
    </row>
    <row r="2669">
      <c r="A2669" s="13"/>
      <c r="B2669" s="13"/>
      <c r="C2669" s="15"/>
      <c r="D2669" s="15"/>
      <c r="E2669" s="15"/>
      <c r="F2669" s="17"/>
      <c r="G2669" s="22"/>
      <c r="H2669" s="22"/>
      <c r="I2669" s="29"/>
      <c r="J2669" s="29"/>
      <c r="K2669" s="29"/>
      <c r="L2669" s="29"/>
    </row>
    <row r="2670">
      <c r="A2670" s="13"/>
      <c r="B2670" s="13"/>
      <c r="C2670" s="15"/>
      <c r="D2670" s="15"/>
      <c r="E2670" s="15"/>
      <c r="F2670" s="17"/>
      <c r="G2670" s="22"/>
      <c r="H2670" s="22"/>
      <c r="I2670" s="29"/>
      <c r="J2670" s="29"/>
      <c r="K2670" s="29"/>
      <c r="L2670" s="29"/>
    </row>
    <row r="2671">
      <c r="A2671" s="13"/>
      <c r="B2671" s="13"/>
      <c r="C2671" s="15"/>
      <c r="D2671" s="15"/>
      <c r="E2671" s="15"/>
      <c r="F2671" s="17"/>
      <c r="G2671" s="22"/>
      <c r="H2671" s="22"/>
      <c r="I2671" s="29"/>
      <c r="J2671" s="29"/>
      <c r="K2671" s="29"/>
      <c r="L2671" s="29"/>
    </row>
    <row r="2672">
      <c r="A2672" s="13"/>
      <c r="B2672" s="13"/>
      <c r="C2672" s="15"/>
      <c r="D2672" s="15"/>
      <c r="E2672" s="15"/>
      <c r="F2672" s="17"/>
      <c r="G2672" s="22"/>
      <c r="H2672" s="22"/>
      <c r="I2672" s="29"/>
      <c r="J2672" s="29"/>
      <c r="K2672" s="29"/>
      <c r="L2672" s="29"/>
    </row>
    <row r="2673">
      <c r="A2673" s="13"/>
      <c r="B2673" s="13"/>
      <c r="C2673" s="15"/>
      <c r="D2673" s="15"/>
      <c r="E2673" s="15"/>
      <c r="F2673" s="17"/>
      <c r="G2673" s="22"/>
      <c r="H2673" s="22"/>
      <c r="I2673" s="29"/>
      <c r="J2673" s="29"/>
      <c r="K2673" s="29"/>
      <c r="L2673" s="29"/>
    </row>
    <row r="2674">
      <c r="A2674" s="13"/>
      <c r="B2674" s="13"/>
      <c r="C2674" s="15"/>
      <c r="D2674" s="15"/>
      <c r="E2674" s="15"/>
      <c r="F2674" s="17"/>
      <c r="G2674" s="22"/>
      <c r="H2674" s="22"/>
      <c r="I2674" s="29"/>
      <c r="J2674" s="29"/>
      <c r="K2674" s="29"/>
      <c r="L2674" s="29"/>
    </row>
    <row r="2675">
      <c r="A2675" s="13"/>
      <c r="B2675" s="13"/>
      <c r="C2675" s="15"/>
      <c r="D2675" s="15"/>
      <c r="E2675" s="15"/>
      <c r="F2675" s="17"/>
      <c r="G2675" s="22"/>
      <c r="H2675" s="22"/>
      <c r="I2675" s="29"/>
      <c r="J2675" s="29"/>
      <c r="K2675" s="29"/>
      <c r="L2675" s="29"/>
    </row>
    <row r="2676">
      <c r="A2676" s="13"/>
      <c r="B2676" s="13"/>
      <c r="C2676" s="15"/>
      <c r="D2676" s="15"/>
      <c r="E2676" s="15"/>
      <c r="F2676" s="17"/>
      <c r="G2676" s="22"/>
      <c r="H2676" s="22"/>
      <c r="I2676" s="29"/>
      <c r="J2676" s="29"/>
      <c r="K2676" s="29"/>
      <c r="L2676" s="29"/>
    </row>
    <row r="2677">
      <c r="A2677" s="13"/>
      <c r="B2677" s="13"/>
      <c r="C2677" s="15"/>
      <c r="D2677" s="15"/>
      <c r="E2677" s="15"/>
      <c r="F2677" s="17"/>
      <c r="G2677" s="22"/>
      <c r="H2677" s="22"/>
      <c r="I2677" s="29"/>
      <c r="J2677" s="29"/>
      <c r="K2677" s="29"/>
      <c r="L2677" s="29"/>
    </row>
    <row r="2678">
      <c r="A2678" s="13"/>
      <c r="B2678" s="13"/>
      <c r="C2678" s="15"/>
      <c r="D2678" s="15"/>
      <c r="E2678" s="15"/>
      <c r="F2678" s="17"/>
      <c r="G2678" s="22"/>
      <c r="H2678" s="22"/>
      <c r="I2678" s="29"/>
      <c r="J2678" s="29"/>
      <c r="K2678" s="29"/>
      <c r="L2678" s="29"/>
    </row>
    <row r="2679">
      <c r="A2679" s="13"/>
      <c r="B2679" s="13"/>
      <c r="C2679" s="15"/>
      <c r="D2679" s="15"/>
      <c r="E2679" s="15"/>
      <c r="F2679" s="17"/>
      <c r="G2679" s="22"/>
      <c r="H2679" s="22"/>
      <c r="I2679" s="29"/>
      <c r="J2679" s="29"/>
      <c r="K2679" s="29"/>
      <c r="L2679" s="29"/>
    </row>
    <row r="2680">
      <c r="A2680" s="13"/>
      <c r="B2680" s="13"/>
      <c r="C2680" s="15"/>
      <c r="D2680" s="15"/>
      <c r="E2680" s="15"/>
      <c r="F2680" s="17"/>
      <c r="G2680" s="22"/>
      <c r="H2680" s="22"/>
      <c r="I2680" s="29"/>
      <c r="J2680" s="29"/>
      <c r="K2680" s="29"/>
      <c r="L2680" s="29"/>
    </row>
    <row r="2681">
      <c r="A2681" s="13"/>
      <c r="B2681" s="13"/>
      <c r="C2681" s="15"/>
      <c r="D2681" s="15"/>
      <c r="E2681" s="15"/>
      <c r="F2681" s="17"/>
      <c r="G2681" s="22"/>
      <c r="H2681" s="22"/>
      <c r="I2681" s="29"/>
      <c r="J2681" s="29"/>
      <c r="K2681" s="29"/>
      <c r="L2681" s="29"/>
    </row>
    <row r="2682">
      <c r="A2682" s="13"/>
      <c r="B2682" s="13"/>
      <c r="C2682" s="15"/>
      <c r="D2682" s="15"/>
      <c r="E2682" s="15"/>
      <c r="F2682" s="17"/>
      <c r="G2682" s="22"/>
      <c r="H2682" s="22"/>
      <c r="I2682" s="29"/>
      <c r="J2682" s="29"/>
      <c r="K2682" s="29"/>
      <c r="L2682" s="29"/>
    </row>
    <row r="2683">
      <c r="A2683" s="13"/>
      <c r="B2683" s="13"/>
      <c r="C2683" s="15"/>
      <c r="D2683" s="15"/>
      <c r="E2683" s="15"/>
      <c r="F2683" s="17"/>
      <c r="G2683" s="22"/>
      <c r="H2683" s="22"/>
      <c r="I2683" s="29"/>
      <c r="J2683" s="29"/>
      <c r="K2683" s="29"/>
      <c r="L2683" s="29"/>
    </row>
    <row r="2684">
      <c r="A2684" s="13"/>
      <c r="B2684" s="13"/>
      <c r="C2684" s="15"/>
      <c r="D2684" s="15"/>
      <c r="E2684" s="15"/>
      <c r="F2684" s="17"/>
      <c r="G2684" s="22"/>
      <c r="H2684" s="22"/>
      <c r="I2684" s="29"/>
      <c r="J2684" s="29"/>
      <c r="K2684" s="29"/>
      <c r="L2684" s="29"/>
    </row>
    <row r="2685">
      <c r="A2685" s="13"/>
      <c r="B2685" s="13"/>
      <c r="C2685" s="15"/>
      <c r="D2685" s="15"/>
      <c r="E2685" s="15"/>
      <c r="F2685" s="17"/>
      <c r="G2685" s="22"/>
      <c r="H2685" s="22"/>
      <c r="I2685" s="29"/>
      <c r="J2685" s="29"/>
      <c r="K2685" s="29"/>
      <c r="L2685" s="29"/>
    </row>
    <row r="2686">
      <c r="A2686" s="13"/>
      <c r="B2686" s="13"/>
      <c r="C2686" s="15"/>
      <c r="D2686" s="15"/>
      <c r="E2686" s="15"/>
      <c r="F2686" s="17"/>
      <c r="G2686" s="22"/>
      <c r="H2686" s="22"/>
      <c r="I2686" s="29"/>
      <c r="J2686" s="29"/>
      <c r="K2686" s="29"/>
      <c r="L2686" s="29"/>
    </row>
    <row r="2687">
      <c r="A2687" s="13"/>
      <c r="B2687" s="13"/>
      <c r="C2687" s="15"/>
      <c r="D2687" s="15"/>
      <c r="E2687" s="15"/>
      <c r="F2687" s="17"/>
      <c r="G2687" s="22"/>
      <c r="H2687" s="22"/>
      <c r="I2687" s="29"/>
      <c r="J2687" s="29"/>
      <c r="K2687" s="29"/>
      <c r="L2687" s="29"/>
    </row>
    <row r="2688">
      <c r="A2688" s="13"/>
      <c r="B2688" s="13"/>
      <c r="C2688" s="15"/>
      <c r="D2688" s="15"/>
      <c r="E2688" s="15"/>
      <c r="F2688" s="17"/>
      <c r="G2688" s="22"/>
      <c r="H2688" s="22"/>
      <c r="I2688" s="29"/>
      <c r="J2688" s="29"/>
      <c r="K2688" s="29"/>
      <c r="L2688" s="29"/>
    </row>
    <row r="2689">
      <c r="A2689" s="13"/>
      <c r="B2689" s="13"/>
      <c r="C2689" s="15"/>
      <c r="D2689" s="15"/>
      <c r="E2689" s="15"/>
      <c r="F2689" s="17"/>
      <c r="G2689" s="22"/>
      <c r="H2689" s="22"/>
      <c r="I2689" s="29"/>
      <c r="J2689" s="29"/>
      <c r="K2689" s="29"/>
      <c r="L2689" s="29"/>
    </row>
    <row r="2690">
      <c r="A2690" s="13"/>
      <c r="B2690" s="13"/>
      <c r="C2690" s="15"/>
      <c r="D2690" s="15"/>
      <c r="E2690" s="15"/>
      <c r="F2690" s="17"/>
      <c r="G2690" s="22"/>
      <c r="H2690" s="22"/>
      <c r="I2690" s="29"/>
      <c r="J2690" s="29"/>
      <c r="K2690" s="29"/>
      <c r="L2690" s="29"/>
    </row>
    <row r="2691">
      <c r="A2691" s="13"/>
      <c r="B2691" s="13"/>
      <c r="C2691" s="15"/>
      <c r="D2691" s="15"/>
      <c r="E2691" s="15"/>
      <c r="F2691" s="17"/>
      <c r="G2691" s="22"/>
      <c r="H2691" s="22"/>
      <c r="I2691" s="29"/>
      <c r="J2691" s="29"/>
      <c r="K2691" s="29"/>
      <c r="L2691" s="29"/>
    </row>
    <row r="2692">
      <c r="A2692" s="13"/>
      <c r="B2692" s="13"/>
      <c r="C2692" s="15"/>
      <c r="D2692" s="15"/>
      <c r="E2692" s="15"/>
      <c r="F2692" s="17"/>
      <c r="G2692" s="22"/>
      <c r="H2692" s="22"/>
      <c r="I2692" s="29"/>
      <c r="J2692" s="29"/>
      <c r="K2692" s="29"/>
      <c r="L2692" s="29"/>
    </row>
    <row r="2693">
      <c r="A2693" s="13"/>
      <c r="B2693" s="13"/>
      <c r="C2693" s="15"/>
      <c r="D2693" s="15"/>
      <c r="E2693" s="15"/>
      <c r="F2693" s="17"/>
      <c r="G2693" s="22"/>
      <c r="H2693" s="22"/>
      <c r="I2693" s="29"/>
      <c r="J2693" s="29"/>
      <c r="K2693" s="29"/>
      <c r="L2693" s="29"/>
    </row>
    <row r="2694">
      <c r="A2694" s="13"/>
      <c r="B2694" s="13"/>
      <c r="C2694" s="15"/>
      <c r="D2694" s="15"/>
      <c r="E2694" s="15"/>
      <c r="F2694" s="17"/>
      <c r="G2694" s="22"/>
      <c r="H2694" s="22"/>
      <c r="I2694" s="29"/>
      <c r="J2694" s="29"/>
      <c r="K2694" s="29"/>
      <c r="L2694" s="29"/>
    </row>
    <row r="2695">
      <c r="A2695" s="13"/>
      <c r="B2695" s="13"/>
      <c r="C2695" s="15"/>
      <c r="D2695" s="15"/>
      <c r="E2695" s="15"/>
      <c r="F2695" s="17"/>
      <c r="G2695" s="22"/>
      <c r="H2695" s="22"/>
      <c r="I2695" s="29"/>
      <c r="J2695" s="29"/>
      <c r="K2695" s="29"/>
      <c r="L2695" s="29"/>
    </row>
    <row r="2696">
      <c r="A2696" s="13"/>
      <c r="B2696" s="13"/>
      <c r="C2696" s="15"/>
      <c r="D2696" s="15"/>
      <c r="E2696" s="15"/>
      <c r="F2696" s="17"/>
      <c r="G2696" s="22"/>
      <c r="H2696" s="22"/>
      <c r="I2696" s="29"/>
      <c r="J2696" s="29"/>
      <c r="K2696" s="29"/>
      <c r="L2696" s="29"/>
    </row>
    <row r="2697">
      <c r="A2697" s="13"/>
      <c r="B2697" s="13"/>
      <c r="C2697" s="15"/>
      <c r="D2697" s="15"/>
      <c r="E2697" s="15"/>
      <c r="F2697" s="17"/>
      <c r="G2697" s="22"/>
      <c r="H2697" s="22"/>
      <c r="I2697" s="29"/>
      <c r="J2697" s="29"/>
      <c r="K2697" s="29"/>
      <c r="L2697" s="29"/>
    </row>
    <row r="2698">
      <c r="A2698" s="13"/>
      <c r="B2698" s="13"/>
      <c r="C2698" s="15"/>
      <c r="D2698" s="15"/>
      <c r="E2698" s="15"/>
      <c r="F2698" s="17"/>
      <c r="G2698" s="22"/>
      <c r="H2698" s="22"/>
      <c r="I2698" s="29"/>
      <c r="J2698" s="29"/>
      <c r="K2698" s="29"/>
      <c r="L2698" s="29"/>
    </row>
    <row r="2699">
      <c r="A2699" s="13"/>
      <c r="B2699" s="13"/>
      <c r="C2699" s="15"/>
      <c r="D2699" s="15"/>
      <c r="E2699" s="15"/>
      <c r="F2699" s="17"/>
      <c r="G2699" s="22"/>
      <c r="H2699" s="22"/>
      <c r="I2699" s="29"/>
      <c r="J2699" s="29"/>
      <c r="K2699" s="29"/>
      <c r="L2699" s="29"/>
    </row>
    <row r="2700">
      <c r="A2700" s="13"/>
      <c r="B2700" s="13"/>
      <c r="C2700" s="15"/>
      <c r="D2700" s="15"/>
      <c r="E2700" s="15"/>
      <c r="F2700" s="17"/>
      <c r="G2700" s="22"/>
      <c r="H2700" s="22"/>
      <c r="I2700" s="29"/>
      <c r="J2700" s="29"/>
      <c r="K2700" s="29"/>
      <c r="L2700" s="29"/>
    </row>
    <row r="2701">
      <c r="A2701" s="13"/>
      <c r="B2701" s="13"/>
      <c r="C2701" s="15"/>
      <c r="D2701" s="15"/>
      <c r="E2701" s="15"/>
      <c r="F2701" s="17"/>
      <c r="G2701" s="22"/>
      <c r="H2701" s="22"/>
      <c r="I2701" s="29"/>
      <c r="J2701" s="29"/>
      <c r="K2701" s="29"/>
      <c r="L2701" s="29"/>
    </row>
    <row r="2702">
      <c r="A2702" s="13"/>
      <c r="B2702" s="13"/>
      <c r="C2702" s="15"/>
      <c r="D2702" s="15"/>
      <c r="E2702" s="15"/>
      <c r="F2702" s="17"/>
      <c r="G2702" s="22"/>
      <c r="H2702" s="22"/>
      <c r="I2702" s="29"/>
      <c r="J2702" s="29"/>
      <c r="K2702" s="29"/>
      <c r="L2702" s="29"/>
    </row>
    <row r="2703">
      <c r="A2703" s="13"/>
      <c r="B2703" s="13"/>
      <c r="C2703" s="15"/>
      <c r="D2703" s="15"/>
      <c r="E2703" s="15"/>
      <c r="F2703" s="17"/>
      <c r="G2703" s="22"/>
      <c r="H2703" s="22"/>
      <c r="I2703" s="29"/>
      <c r="J2703" s="29"/>
      <c r="K2703" s="29"/>
      <c r="L2703" s="29"/>
    </row>
    <row r="2704">
      <c r="A2704" s="13"/>
      <c r="B2704" s="13"/>
      <c r="C2704" s="15"/>
      <c r="D2704" s="15"/>
      <c r="E2704" s="15"/>
      <c r="F2704" s="17"/>
      <c r="G2704" s="22"/>
      <c r="H2704" s="22"/>
      <c r="I2704" s="29"/>
      <c r="J2704" s="29"/>
      <c r="K2704" s="29"/>
      <c r="L2704" s="29"/>
    </row>
    <row r="2705">
      <c r="A2705" s="13"/>
      <c r="B2705" s="13"/>
      <c r="C2705" s="15"/>
      <c r="D2705" s="15"/>
      <c r="E2705" s="15"/>
      <c r="F2705" s="17"/>
      <c r="G2705" s="22"/>
      <c r="H2705" s="22"/>
      <c r="I2705" s="29"/>
      <c r="J2705" s="29"/>
      <c r="K2705" s="29"/>
      <c r="L2705" s="29"/>
    </row>
    <row r="2706">
      <c r="A2706" s="13"/>
      <c r="B2706" s="13"/>
      <c r="C2706" s="15"/>
      <c r="D2706" s="15"/>
      <c r="E2706" s="15"/>
      <c r="F2706" s="17"/>
      <c r="G2706" s="22"/>
      <c r="H2706" s="22"/>
      <c r="I2706" s="29"/>
      <c r="J2706" s="29"/>
      <c r="K2706" s="29"/>
      <c r="L2706" s="29"/>
    </row>
    <row r="2707">
      <c r="A2707" s="13"/>
      <c r="B2707" s="13"/>
      <c r="C2707" s="15"/>
      <c r="D2707" s="15"/>
      <c r="E2707" s="15"/>
      <c r="F2707" s="17"/>
      <c r="G2707" s="22"/>
      <c r="H2707" s="22"/>
      <c r="I2707" s="29"/>
      <c r="J2707" s="29"/>
      <c r="K2707" s="29"/>
      <c r="L2707" s="29"/>
    </row>
    <row r="2708">
      <c r="A2708" s="13"/>
      <c r="B2708" s="13"/>
      <c r="C2708" s="15"/>
      <c r="D2708" s="15"/>
      <c r="E2708" s="15"/>
      <c r="F2708" s="17"/>
      <c r="G2708" s="22"/>
      <c r="H2708" s="22"/>
      <c r="I2708" s="29"/>
      <c r="J2708" s="29"/>
      <c r="K2708" s="29"/>
      <c r="L2708" s="29"/>
    </row>
    <row r="2709">
      <c r="A2709" s="13"/>
      <c r="B2709" s="13"/>
      <c r="C2709" s="15"/>
      <c r="D2709" s="15"/>
      <c r="E2709" s="15"/>
      <c r="F2709" s="17"/>
      <c r="G2709" s="22"/>
      <c r="H2709" s="22"/>
      <c r="I2709" s="29"/>
      <c r="J2709" s="29"/>
      <c r="K2709" s="29"/>
      <c r="L2709" s="29"/>
    </row>
    <row r="2710">
      <c r="A2710" s="13"/>
      <c r="B2710" s="13"/>
      <c r="C2710" s="15"/>
      <c r="D2710" s="15"/>
      <c r="E2710" s="15"/>
      <c r="F2710" s="17"/>
      <c r="G2710" s="22"/>
      <c r="H2710" s="22"/>
      <c r="I2710" s="29"/>
      <c r="J2710" s="29"/>
      <c r="K2710" s="29"/>
      <c r="L2710" s="29"/>
    </row>
    <row r="2711">
      <c r="A2711" s="13"/>
      <c r="B2711" s="13"/>
      <c r="C2711" s="15"/>
      <c r="D2711" s="15"/>
      <c r="E2711" s="15"/>
      <c r="F2711" s="17"/>
      <c r="G2711" s="22"/>
      <c r="H2711" s="22"/>
      <c r="I2711" s="29"/>
      <c r="J2711" s="29"/>
      <c r="K2711" s="29"/>
      <c r="L2711" s="29"/>
    </row>
    <row r="2712">
      <c r="A2712" s="13"/>
      <c r="B2712" s="13"/>
      <c r="C2712" s="15"/>
      <c r="D2712" s="15"/>
      <c r="E2712" s="15"/>
      <c r="F2712" s="17"/>
      <c r="G2712" s="22"/>
      <c r="H2712" s="22"/>
      <c r="I2712" s="29"/>
      <c r="J2712" s="29"/>
      <c r="K2712" s="29"/>
      <c r="L2712" s="29"/>
    </row>
    <row r="2713">
      <c r="A2713" s="13"/>
      <c r="B2713" s="13"/>
      <c r="C2713" s="15"/>
      <c r="D2713" s="15"/>
      <c r="E2713" s="15"/>
      <c r="F2713" s="17"/>
      <c r="G2713" s="22"/>
      <c r="H2713" s="22"/>
      <c r="I2713" s="29"/>
      <c r="J2713" s="29"/>
      <c r="K2713" s="29"/>
      <c r="L2713" s="29"/>
    </row>
    <row r="2714">
      <c r="A2714" s="13"/>
      <c r="B2714" s="13"/>
      <c r="C2714" s="15"/>
      <c r="D2714" s="15"/>
      <c r="E2714" s="15"/>
      <c r="F2714" s="17"/>
      <c r="G2714" s="22"/>
      <c r="H2714" s="22"/>
      <c r="I2714" s="29"/>
      <c r="J2714" s="29"/>
      <c r="K2714" s="29"/>
      <c r="L2714" s="29"/>
    </row>
    <row r="2715">
      <c r="A2715" s="13"/>
      <c r="B2715" s="13"/>
      <c r="C2715" s="15"/>
      <c r="D2715" s="15"/>
      <c r="E2715" s="15"/>
      <c r="F2715" s="17"/>
      <c r="G2715" s="22"/>
      <c r="H2715" s="22"/>
      <c r="I2715" s="29"/>
      <c r="J2715" s="29"/>
      <c r="K2715" s="29"/>
      <c r="L2715" s="29"/>
    </row>
    <row r="2716">
      <c r="A2716" s="13"/>
      <c r="B2716" s="13"/>
      <c r="C2716" s="15"/>
      <c r="D2716" s="15"/>
      <c r="E2716" s="15"/>
      <c r="F2716" s="17"/>
      <c r="G2716" s="22"/>
      <c r="H2716" s="22"/>
      <c r="I2716" s="29"/>
      <c r="J2716" s="29"/>
      <c r="K2716" s="29"/>
      <c r="L2716" s="29"/>
    </row>
    <row r="2717">
      <c r="A2717" s="13"/>
      <c r="B2717" s="13"/>
      <c r="C2717" s="15"/>
      <c r="D2717" s="15"/>
      <c r="E2717" s="15"/>
      <c r="F2717" s="17"/>
      <c r="G2717" s="22"/>
      <c r="H2717" s="22"/>
      <c r="I2717" s="29"/>
      <c r="J2717" s="29"/>
      <c r="K2717" s="29"/>
      <c r="L2717" s="29"/>
    </row>
    <row r="2718">
      <c r="A2718" s="13"/>
      <c r="B2718" s="13"/>
      <c r="C2718" s="15"/>
      <c r="D2718" s="15"/>
      <c r="E2718" s="15"/>
      <c r="F2718" s="17"/>
      <c r="G2718" s="22"/>
      <c r="H2718" s="22"/>
      <c r="I2718" s="29"/>
      <c r="J2718" s="29"/>
      <c r="K2718" s="29"/>
      <c r="L2718" s="29"/>
    </row>
    <row r="2719">
      <c r="A2719" s="13"/>
      <c r="B2719" s="13"/>
      <c r="C2719" s="15"/>
      <c r="D2719" s="15"/>
      <c r="E2719" s="15"/>
      <c r="F2719" s="17"/>
      <c r="G2719" s="22"/>
      <c r="H2719" s="22"/>
      <c r="I2719" s="29"/>
      <c r="J2719" s="29"/>
      <c r="K2719" s="29"/>
      <c r="L2719" s="29"/>
    </row>
    <row r="2720">
      <c r="A2720" s="13"/>
      <c r="B2720" s="13"/>
      <c r="C2720" s="15"/>
      <c r="D2720" s="15"/>
      <c r="E2720" s="15"/>
      <c r="F2720" s="17"/>
      <c r="G2720" s="22"/>
      <c r="H2720" s="22"/>
      <c r="I2720" s="29"/>
      <c r="J2720" s="29"/>
      <c r="K2720" s="29"/>
      <c r="L2720" s="29"/>
    </row>
    <row r="2721">
      <c r="A2721" s="13"/>
      <c r="B2721" s="13"/>
      <c r="C2721" s="15"/>
      <c r="D2721" s="15"/>
      <c r="E2721" s="15"/>
      <c r="F2721" s="17"/>
      <c r="G2721" s="22"/>
      <c r="H2721" s="22"/>
      <c r="I2721" s="29"/>
      <c r="J2721" s="29"/>
      <c r="K2721" s="29"/>
      <c r="L2721" s="29"/>
    </row>
    <row r="2722">
      <c r="A2722" s="13"/>
      <c r="B2722" s="13"/>
      <c r="C2722" s="15"/>
      <c r="D2722" s="15"/>
      <c r="E2722" s="15"/>
      <c r="F2722" s="17"/>
      <c r="G2722" s="22"/>
      <c r="H2722" s="22"/>
      <c r="I2722" s="29"/>
      <c r="J2722" s="29"/>
      <c r="K2722" s="29"/>
      <c r="L2722" s="29"/>
    </row>
    <row r="2723">
      <c r="A2723" s="13"/>
      <c r="B2723" s="13"/>
      <c r="C2723" s="15"/>
      <c r="D2723" s="15"/>
      <c r="E2723" s="15"/>
      <c r="F2723" s="17"/>
      <c r="G2723" s="22"/>
      <c r="H2723" s="22"/>
      <c r="I2723" s="29"/>
      <c r="J2723" s="29"/>
      <c r="K2723" s="29"/>
      <c r="L2723" s="29"/>
    </row>
    <row r="2724">
      <c r="A2724" s="13"/>
      <c r="B2724" s="13"/>
      <c r="C2724" s="15"/>
      <c r="D2724" s="15"/>
      <c r="E2724" s="15"/>
      <c r="F2724" s="17"/>
      <c r="G2724" s="22"/>
      <c r="H2724" s="22"/>
      <c r="I2724" s="29"/>
      <c r="J2724" s="29"/>
      <c r="K2724" s="29"/>
      <c r="L2724" s="29"/>
    </row>
    <row r="2725">
      <c r="A2725" s="13"/>
      <c r="B2725" s="13"/>
      <c r="C2725" s="15"/>
      <c r="D2725" s="15"/>
      <c r="E2725" s="15"/>
      <c r="F2725" s="17"/>
      <c r="G2725" s="22"/>
      <c r="H2725" s="22"/>
      <c r="I2725" s="29"/>
      <c r="J2725" s="29"/>
      <c r="K2725" s="29"/>
      <c r="L2725" s="29"/>
    </row>
    <row r="2726">
      <c r="A2726" s="13"/>
      <c r="B2726" s="13"/>
      <c r="C2726" s="15"/>
      <c r="D2726" s="15"/>
      <c r="E2726" s="15"/>
      <c r="F2726" s="17"/>
      <c r="G2726" s="22"/>
      <c r="H2726" s="22"/>
      <c r="I2726" s="29"/>
      <c r="J2726" s="29"/>
      <c r="K2726" s="29"/>
      <c r="L2726" s="29"/>
    </row>
    <row r="2727">
      <c r="A2727" s="13"/>
      <c r="B2727" s="13"/>
      <c r="C2727" s="15"/>
      <c r="D2727" s="15"/>
      <c r="E2727" s="15"/>
      <c r="F2727" s="17"/>
      <c r="G2727" s="22"/>
      <c r="H2727" s="22"/>
      <c r="I2727" s="29"/>
      <c r="J2727" s="29"/>
      <c r="K2727" s="29"/>
      <c r="L2727" s="29"/>
    </row>
    <row r="2728">
      <c r="A2728" s="13"/>
      <c r="B2728" s="13"/>
      <c r="C2728" s="15"/>
      <c r="D2728" s="15"/>
      <c r="E2728" s="15"/>
      <c r="F2728" s="17"/>
      <c r="G2728" s="22"/>
      <c r="H2728" s="22"/>
      <c r="I2728" s="29"/>
      <c r="J2728" s="29"/>
      <c r="K2728" s="29"/>
      <c r="L2728" s="29"/>
    </row>
    <row r="2729">
      <c r="A2729" s="13"/>
      <c r="B2729" s="13"/>
      <c r="C2729" s="15"/>
      <c r="D2729" s="15"/>
      <c r="E2729" s="15"/>
      <c r="F2729" s="17"/>
      <c r="G2729" s="22"/>
      <c r="H2729" s="22"/>
      <c r="I2729" s="29"/>
      <c r="J2729" s="29"/>
      <c r="K2729" s="29"/>
      <c r="L2729" s="29"/>
    </row>
    <row r="2730">
      <c r="A2730" s="13"/>
      <c r="B2730" s="13"/>
      <c r="C2730" s="15"/>
      <c r="D2730" s="15"/>
      <c r="E2730" s="15"/>
      <c r="F2730" s="17"/>
      <c r="G2730" s="22"/>
      <c r="H2730" s="22"/>
      <c r="I2730" s="29"/>
      <c r="J2730" s="29"/>
      <c r="K2730" s="29"/>
      <c r="L2730" s="29"/>
    </row>
    <row r="2731">
      <c r="A2731" s="13"/>
      <c r="B2731" s="13"/>
      <c r="C2731" s="15"/>
      <c r="D2731" s="15"/>
      <c r="E2731" s="15"/>
      <c r="F2731" s="17"/>
      <c r="G2731" s="22"/>
      <c r="H2731" s="22"/>
      <c r="I2731" s="29"/>
      <c r="J2731" s="29"/>
      <c r="K2731" s="29"/>
      <c r="L2731" s="29"/>
    </row>
    <row r="2732">
      <c r="A2732" s="13"/>
      <c r="B2732" s="13"/>
      <c r="C2732" s="15"/>
      <c r="D2732" s="15"/>
      <c r="E2732" s="15"/>
      <c r="F2732" s="17"/>
      <c r="G2732" s="22"/>
      <c r="H2732" s="22"/>
      <c r="I2732" s="29"/>
      <c r="J2732" s="29"/>
      <c r="K2732" s="29"/>
      <c r="L2732" s="29"/>
    </row>
    <row r="2733">
      <c r="A2733" s="13"/>
      <c r="B2733" s="13"/>
      <c r="C2733" s="15"/>
      <c r="D2733" s="15"/>
      <c r="E2733" s="15"/>
      <c r="F2733" s="17"/>
      <c r="G2733" s="22"/>
      <c r="H2733" s="22"/>
      <c r="I2733" s="29"/>
      <c r="J2733" s="29"/>
      <c r="K2733" s="29"/>
      <c r="L2733" s="29"/>
    </row>
    <row r="2734">
      <c r="A2734" s="13"/>
      <c r="B2734" s="13"/>
      <c r="C2734" s="15"/>
      <c r="D2734" s="15"/>
      <c r="E2734" s="15"/>
      <c r="F2734" s="17"/>
      <c r="G2734" s="22"/>
      <c r="H2734" s="22"/>
      <c r="I2734" s="29"/>
      <c r="J2734" s="29"/>
      <c r="K2734" s="29"/>
      <c r="L2734" s="29"/>
    </row>
    <row r="2735">
      <c r="A2735" s="13"/>
      <c r="B2735" s="13"/>
      <c r="C2735" s="15"/>
      <c r="D2735" s="15"/>
      <c r="E2735" s="15"/>
      <c r="F2735" s="17"/>
      <c r="G2735" s="22"/>
      <c r="H2735" s="22"/>
      <c r="I2735" s="29"/>
      <c r="J2735" s="29"/>
      <c r="K2735" s="29"/>
      <c r="L2735" s="29"/>
    </row>
    <row r="2736">
      <c r="A2736" s="13"/>
      <c r="B2736" s="13"/>
      <c r="C2736" s="15"/>
      <c r="D2736" s="15"/>
      <c r="E2736" s="15"/>
      <c r="F2736" s="17"/>
      <c r="G2736" s="22"/>
      <c r="H2736" s="22"/>
      <c r="I2736" s="29"/>
      <c r="J2736" s="29"/>
      <c r="K2736" s="29"/>
      <c r="L2736" s="29"/>
    </row>
    <row r="2737">
      <c r="A2737" s="13"/>
      <c r="B2737" s="13"/>
      <c r="C2737" s="15"/>
      <c r="D2737" s="15"/>
      <c r="E2737" s="15"/>
      <c r="F2737" s="17"/>
      <c r="G2737" s="22"/>
      <c r="H2737" s="22"/>
      <c r="I2737" s="29"/>
      <c r="J2737" s="29"/>
      <c r="K2737" s="29"/>
      <c r="L2737" s="29"/>
    </row>
    <row r="2738">
      <c r="A2738" s="13"/>
      <c r="B2738" s="13"/>
      <c r="C2738" s="15"/>
      <c r="D2738" s="15"/>
      <c r="E2738" s="15"/>
      <c r="F2738" s="17"/>
      <c r="G2738" s="22"/>
      <c r="H2738" s="22"/>
      <c r="I2738" s="29"/>
      <c r="J2738" s="29"/>
      <c r="K2738" s="29"/>
      <c r="L2738" s="29"/>
    </row>
    <row r="2739">
      <c r="A2739" s="13"/>
      <c r="B2739" s="13"/>
      <c r="C2739" s="15"/>
      <c r="D2739" s="15"/>
      <c r="E2739" s="15"/>
      <c r="F2739" s="17"/>
      <c r="G2739" s="22"/>
      <c r="H2739" s="22"/>
      <c r="I2739" s="29"/>
      <c r="J2739" s="29"/>
      <c r="K2739" s="29"/>
      <c r="L2739" s="29"/>
    </row>
    <row r="2740">
      <c r="A2740" s="13"/>
      <c r="B2740" s="13"/>
      <c r="C2740" s="15"/>
      <c r="D2740" s="15"/>
      <c r="E2740" s="15"/>
      <c r="F2740" s="17"/>
      <c r="G2740" s="22"/>
      <c r="H2740" s="22"/>
      <c r="I2740" s="29"/>
      <c r="J2740" s="29"/>
      <c r="K2740" s="29"/>
      <c r="L2740" s="29"/>
    </row>
    <row r="2741">
      <c r="A2741" s="13"/>
      <c r="B2741" s="13"/>
      <c r="C2741" s="15"/>
      <c r="D2741" s="15"/>
      <c r="E2741" s="15"/>
      <c r="F2741" s="17"/>
      <c r="G2741" s="22"/>
      <c r="H2741" s="22"/>
      <c r="I2741" s="29"/>
      <c r="J2741" s="29"/>
      <c r="K2741" s="29"/>
      <c r="L2741" s="29"/>
    </row>
    <row r="2742">
      <c r="A2742" s="13"/>
      <c r="B2742" s="13"/>
      <c r="C2742" s="15"/>
      <c r="D2742" s="15"/>
      <c r="E2742" s="15"/>
      <c r="F2742" s="17"/>
      <c r="G2742" s="22"/>
      <c r="H2742" s="22"/>
      <c r="I2742" s="29"/>
      <c r="J2742" s="29"/>
      <c r="K2742" s="29"/>
      <c r="L2742" s="29"/>
    </row>
    <row r="2743">
      <c r="A2743" s="13"/>
      <c r="B2743" s="13"/>
      <c r="C2743" s="15"/>
      <c r="D2743" s="15"/>
      <c r="E2743" s="15"/>
      <c r="F2743" s="17"/>
      <c r="G2743" s="22"/>
      <c r="H2743" s="22"/>
      <c r="I2743" s="29"/>
      <c r="J2743" s="29"/>
      <c r="K2743" s="29"/>
      <c r="L2743" s="29"/>
    </row>
    <row r="2744">
      <c r="A2744" s="13"/>
      <c r="B2744" s="13"/>
      <c r="C2744" s="15"/>
      <c r="D2744" s="15"/>
      <c r="E2744" s="15"/>
      <c r="F2744" s="17"/>
      <c r="G2744" s="22"/>
      <c r="H2744" s="22"/>
      <c r="I2744" s="29"/>
      <c r="J2744" s="29"/>
      <c r="K2744" s="29"/>
      <c r="L2744" s="29"/>
    </row>
    <row r="2745">
      <c r="A2745" s="13"/>
      <c r="B2745" s="13"/>
      <c r="C2745" s="15"/>
      <c r="D2745" s="15"/>
      <c r="E2745" s="15"/>
      <c r="F2745" s="17"/>
      <c r="G2745" s="22"/>
      <c r="H2745" s="22"/>
      <c r="I2745" s="29"/>
      <c r="J2745" s="29"/>
      <c r="K2745" s="29"/>
      <c r="L2745" s="29"/>
    </row>
    <row r="2746">
      <c r="A2746" s="13"/>
      <c r="B2746" s="13"/>
      <c r="C2746" s="15"/>
      <c r="D2746" s="15"/>
      <c r="E2746" s="15"/>
      <c r="F2746" s="17"/>
      <c r="G2746" s="22"/>
      <c r="H2746" s="22"/>
      <c r="I2746" s="29"/>
      <c r="J2746" s="29"/>
      <c r="K2746" s="29"/>
      <c r="L2746" s="29"/>
    </row>
    <row r="2747">
      <c r="A2747" s="13"/>
      <c r="B2747" s="13"/>
      <c r="C2747" s="15"/>
      <c r="D2747" s="15"/>
      <c r="E2747" s="15"/>
      <c r="F2747" s="17"/>
      <c r="G2747" s="22"/>
      <c r="H2747" s="22"/>
      <c r="I2747" s="29"/>
      <c r="J2747" s="29"/>
      <c r="K2747" s="29"/>
      <c r="L2747" s="29"/>
    </row>
    <row r="2748">
      <c r="A2748" s="13"/>
      <c r="B2748" s="13"/>
      <c r="C2748" s="15"/>
      <c r="D2748" s="15"/>
      <c r="E2748" s="15"/>
      <c r="F2748" s="17"/>
      <c r="G2748" s="22"/>
      <c r="H2748" s="22"/>
      <c r="I2748" s="29"/>
      <c r="J2748" s="29"/>
      <c r="K2748" s="29"/>
      <c r="L2748" s="29"/>
    </row>
    <row r="2749">
      <c r="A2749" s="13"/>
      <c r="B2749" s="13"/>
      <c r="C2749" s="15"/>
      <c r="D2749" s="15"/>
      <c r="E2749" s="15"/>
      <c r="F2749" s="17"/>
      <c r="G2749" s="22"/>
      <c r="H2749" s="22"/>
      <c r="I2749" s="29"/>
      <c r="J2749" s="29"/>
      <c r="K2749" s="29"/>
      <c r="L2749" s="29"/>
    </row>
    <row r="2750">
      <c r="A2750" s="13"/>
      <c r="B2750" s="13"/>
      <c r="C2750" s="15"/>
      <c r="D2750" s="15"/>
      <c r="E2750" s="15"/>
      <c r="F2750" s="17"/>
      <c r="G2750" s="22"/>
      <c r="H2750" s="22"/>
      <c r="I2750" s="29"/>
      <c r="J2750" s="29"/>
      <c r="K2750" s="29"/>
      <c r="L2750" s="29"/>
    </row>
    <row r="2751">
      <c r="A2751" s="13"/>
      <c r="B2751" s="13"/>
      <c r="C2751" s="15"/>
      <c r="D2751" s="15"/>
      <c r="E2751" s="15"/>
      <c r="F2751" s="17"/>
      <c r="G2751" s="22"/>
      <c r="H2751" s="22"/>
      <c r="I2751" s="29"/>
      <c r="J2751" s="29"/>
      <c r="K2751" s="29"/>
      <c r="L2751" s="29"/>
    </row>
    <row r="2752">
      <c r="A2752" s="13"/>
      <c r="B2752" s="13"/>
      <c r="C2752" s="15"/>
      <c r="D2752" s="15"/>
      <c r="E2752" s="15"/>
      <c r="F2752" s="17"/>
      <c r="G2752" s="22"/>
      <c r="H2752" s="22"/>
      <c r="I2752" s="29"/>
      <c r="J2752" s="29"/>
      <c r="K2752" s="29"/>
      <c r="L2752" s="29"/>
    </row>
    <row r="2753">
      <c r="A2753" s="13"/>
      <c r="B2753" s="13"/>
      <c r="C2753" s="15"/>
      <c r="D2753" s="15"/>
      <c r="E2753" s="15"/>
      <c r="F2753" s="17"/>
      <c r="G2753" s="22"/>
      <c r="H2753" s="22"/>
      <c r="I2753" s="29"/>
      <c r="J2753" s="29"/>
      <c r="K2753" s="29"/>
      <c r="L2753" s="29"/>
    </row>
    <row r="2754">
      <c r="A2754" s="13"/>
      <c r="B2754" s="13"/>
      <c r="C2754" s="15"/>
      <c r="D2754" s="15"/>
      <c r="E2754" s="15"/>
      <c r="F2754" s="17"/>
      <c r="G2754" s="22"/>
      <c r="H2754" s="22"/>
      <c r="I2754" s="29"/>
      <c r="J2754" s="29"/>
      <c r="K2754" s="29"/>
      <c r="L2754" s="29"/>
    </row>
    <row r="2755">
      <c r="A2755" s="13"/>
      <c r="B2755" s="13"/>
      <c r="C2755" s="15"/>
      <c r="D2755" s="15"/>
      <c r="E2755" s="15"/>
      <c r="F2755" s="17"/>
      <c r="G2755" s="22"/>
      <c r="H2755" s="22"/>
      <c r="I2755" s="29"/>
      <c r="J2755" s="29"/>
      <c r="K2755" s="29"/>
      <c r="L2755" s="29"/>
    </row>
    <row r="2756">
      <c r="A2756" s="13"/>
      <c r="B2756" s="13"/>
      <c r="C2756" s="15"/>
      <c r="D2756" s="15"/>
      <c r="E2756" s="15"/>
      <c r="F2756" s="17"/>
      <c r="G2756" s="22"/>
      <c r="H2756" s="22"/>
      <c r="I2756" s="29"/>
      <c r="J2756" s="29"/>
      <c r="K2756" s="29"/>
      <c r="L2756" s="29"/>
    </row>
    <row r="2757">
      <c r="A2757" s="13"/>
      <c r="B2757" s="13"/>
      <c r="C2757" s="15"/>
      <c r="D2757" s="15"/>
      <c r="E2757" s="15"/>
      <c r="F2757" s="17"/>
      <c r="G2757" s="22"/>
      <c r="H2757" s="22"/>
      <c r="I2757" s="29"/>
      <c r="J2757" s="29"/>
      <c r="K2757" s="29"/>
      <c r="L2757" s="29"/>
    </row>
    <row r="2758">
      <c r="A2758" s="13"/>
      <c r="B2758" s="13"/>
      <c r="C2758" s="15"/>
      <c r="D2758" s="15"/>
      <c r="E2758" s="15"/>
      <c r="F2758" s="17"/>
      <c r="G2758" s="22"/>
      <c r="H2758" s="22"/>
      <c r="I2758" s="29"/>
      <c r="J2758" s="29"/>
      <c r="K2758" s="29"/>
      <c r="L2758" s="29"/>
    </row>
    <row r="2759">
      <c r="A2759" s="13"/>
      <c r="B2759" s="13"/>
      <c r="C2759" s="15"/>
      <c r="D2759" s="15"/>
      <c r="E2759" s="15"/>
      <c r="F2759" s="17"/>
      <c r="G2759" s="22"/>
      <c r="H2759" s="22"/>
      <c r="I2759" s="29"/>
      <c r="J2759" s="29"/>
      <c r="K2759" s="29"/>
      <c r="L2759" s="29"/>
    </row>
    <row r="2760">
      <c r="A2760" s="13"/>
      <c r="B2760" s="13"/>
      <c r="C2760" s="15"/>
      <c r="D2760" s="15"/>
      <c r="E2760" s="15"/>
      <c r="F2760" s="17"/>
      <c r="G2760" s="22"/>
      <c r="H2760" s="22"/>
      <c r="I2760" s="29"/>
      <c r="J2760" s="29"/>
      <c r="K2760" s="29"/>
      <c r="L2760" s="29"/>
    </row>
    <row r="2761">
      <c r="A2761" s="13"/>
      <c r="B2761" s="13"/>
      <c r="C2761" s="15"/>
      <c r="D2761" s="15"/>
      <c r="E2761" s="15"/>
      <c r="F2761" s="17"/>
      <c r="G2761" s="22"/>
      <c r="H2761" s="22"/>
      <c r="I2761" s="29"/>
      <c r="J2761" s="29"/>
      <c r="K2761" s="29"/>
      <c r="L2761" s="29"/>
    </row>
    <row r="2762">
      <c r="A2762" s="13"/>
      <c r="B2762" s="13"/>
      <c r="C2762" s="15"/>
      <c r="D2762" s="15"/>
      <c r="E2762" s="15"/>
      <c r="F2762" s="17"/>
      <c r="G2762" s="22"/>
      <c r="H2762" s="22"/>
      <c r="I2762" s="29"/>
      <c r="J2762" s="29"/>
      <c r="K2762" s="29"/>
      <c r="L2762" s="29"/>
    </row>
    <row r="2763">
      <c r="A2763" s="13"/>
      <c r="B2763" s="13"/>
      <c r="C2763" s="15"/>
      <c r="D2763" s="15"/>
      <c r="E2763" s="15"/>
      <c r="F2763" s="17"/>
      <c r="G2763" s="22"/>
      <c r="H2763" s="22"/>
      <c r="I2763" s="29"/>
      <c r="J2763" s="29"/>
      <c r="K2763" s="29"/>
      <c r="L2763" s="29"/>
    </row>
    <row r="2764">
      <c r="A2764" s="13"/>
      <c r="B2764" s="13"/>
      <c r="C2764" s="15"/>
      <c r="D2764" s="15"/>
      <c r="E2764" s="15"/>
      <c r="F2764" s="17"/>
      <c r="G2764" s="22"/>
      <c r="H2764" s="22"/>
      <c r="I2764" s="29"/>
      <c r="J2764" s="29"/>
      <c r="K2764" s="29"/>
      <c r="L2764" s="29"/>
    </row>
    <row r="2765">
      <c r="A2765" s="13"/>
      <c r="B2765" s="13"/>
      <c r="C2765" s="15"/>
      <c r="D2765" s="15"/>
      <c r="E2765" s="15"/>
      <c r="F2765" s="17"/>
      <c r="G2765" s="22"/>
      <c r="H2765" s="22"/>
      <c r="I2765" s="29"/>
      <c r="J2765" s="29"/>
      <c r="K2765" s="29"/>
      <c r="L2765" s="29"/>
    </row>
    <row r="2766">
      <c r="A2766" s="13"/>
      <c r="B2766" s="13"/>
      <c r="C2766" s="15"/>
      <c r="D2766" s="15"/>
      <c r="E2766" s="15"/>
      <c r="F2766" s="17"/>
      <c r="G2766" s="22"/>
      <c r="H2766" s="22"/>
      <c r="I2766" s="29"/>
      <c r="J2766" s="29"/>
      <c r="K2766" s="29"/>
      <c r="L2766" s="29"/>
    </row>
    <row r="2767">
      <c r="A2767" s="13"/>
      <c r="B2767" s="13"/>
      <c r="C2767" s="15"/>
      <c r="D2767" s="15"/>
      <c r="E2767" s="15"/>
      <c r="F2767" s="17"/>
      <c r="G2767" s="22"/>
      <c r="H2767" s="22"/>
      <c r="I2767" s="29"/>
      <c r="J2767" s="29"/>
      <c r="K2767" s="29"/>
      <c r="L2767" s="29"/>
    </row>
    <row r="2768">
      <c r="A2768" s="13"/>
      <c r="B2768" s="13"/>
      <c r="C2768" s="15"/>
      <c r="D2768" s="15"/>
      <c r="E2768" s="15"/>
      <c r="F2768" s="17"/>
      <c r="G2768" s="22"/>
      <c r="H2768" s="22"/>
      <c r="I2768" s="29"/>
      <c r="J2768" s="29"/>
      <c r="K2768" s="29"/>
      <c r="L2768" s="29"/>
    </row>
    <row r="2769">
      <c r="A2769" s="13"/>
      <c r="B2769" s="13"/>
      <c r="C2769" s="15"/>
      <c r="D2769" s="15"/>
      <c r="E2769" s="15"/>
      <c r="F2769" s="17"/>
      <c r="G2769" s="22"/>
      <c r="H2769" s="22"/>
      <c r="I2769" s="29"/>
      <c r="J2769" s="29"/>
      <c r="K2769" s="29"/>
      <c r="L2769" s="29"/>
    </row>
    <row r="2770">
      <c r="A2770" s="13"/>
      <c r="B2770" s="13"/>
      <c r="C2770" s="15"/>
      <c r="D2770" s="15"/>
      <c r="E2770" s="15"/>
      <c r="F2770" s="17"/>
      <c r="G2770" s="22"/>
      <c r="H2770" s="22"/>
      <c r="I2770" s="29"/>
      <c r="J2770" s="29"/>
      <c r="K2770" s="29"/>
      <c r="L2770" s="29"/>
    </row>
    <row r="2771">
      <c r="A2771" s="13"/>
      <c r="B2771" s="13"/>
      <c r="C2771" s="15"/>
      <c r="D2771" s="15"/>
      <c r="E2771" s="15"/>
      <c r="F2771" s="17"/>
      <c r="G2771" s="22"/>
      <c r="H2771" s="22"/>
      <c r="I2771" s="29"/>
      <c r="J2771" s="29"/>
      <c r="K2771" s="29"/>
      <c r="L2771" s="29"/>
    </row>
    <row r="2772">
      <c r="A2772" s="13"/>
      <c r="B2772" s="13"/>
      <c r="C2772" s="15"/>
      <c r="D2772" s="15"/>
      <c r="E2772" s="15"/>
      <c r="F2772" s="17"/>
      <c r="G2772" s="22"/>
      <c r="H2772" s="22"/>
      <c r="I2772" s="29"/>
      <c r="J2772" s="29"/>
      <c r="K2772" s="29"/>
      <c r="L2772" s="29"/>
    </row>
    <row r="2773">
      <c r="A2773" s="13"/>
      <c r="B2773" s="13"/>
      <c r="C2773" s="15"/>
      <c r="D2773" s="15"/>
      <c r="E2773" s="15"/>
      <c r="F2773" s="17"/>
      <c r="G2773" s="22"/>
      <c r="H2773" s="22"/>
      <c r="I2773" s="29"/>
      <c r="J2773" s="29"/>
      <c r="K2773" s="29"/>
      <c r="L2773" s="29"/>
    </row>
    <row r="2774">
      <c r="A2774" s="13"/>
      <c r="B2774" s="13"/>
      <c r="C2774" s="15"/>
      <c r="D2774" s="15"/>
      <c r="E2774" s="15"/>
      <c r="F2774" s="17"/>
      <c r="G2774" s="22"/>
      <c r="H2774" s="22"/>
      <c r="I2774" s="29"/>
      <c r="J2774" s="29"/>
      <c r="K2774" s="29"/>
      <c r="L2774" s="29"/>
    </row>
    <row r="2775">
      <c r="A2775" s="13"/>
      <c r="B2775" s="13"/>
      <c r="C2775" s="15"/>
      <c r="D2775" s="15"/>
      <c r="E2775" s="15"/>
      <c r="F2775" s="17"/>
      <c r="G2775" s="22"/>
      <c r="H2775" s="22"/>
      <c r="I2775" s="29"/>
      <c r="J2775" s="29"/>
      <c r="K2775" s="29"/>
      <c r="L2775" s="29"/>
    </row>
    <row r="2776">
      <c r="A2776" s="13"/>
      <c r="B2776" s="13"/>
      <c r="C2776" s="15"/>
      <c r="D2776" s="15"/>
      <c r="E2776" s="15"/>
      <c r="F2776" s="17"/>
      <c r="G2776" s="22"/>
      <c r="H2776" s="22"/>
      <c r="I2776" s="29"/>
      <c r="J2776" s="29"/>
      <c r="K2776" s="29"/>
      <c r="L2776" s="29"/>
    </row>
    <row r="2777">
      <c r="A2777" s="13"/>
      <c r="B2777" s="13"/>
      <c r="C2777" s="15"/>
      <c r="D2777" s="15"/>
      <c r="E2777" s="15"/>
      <c r="F2777" s="17"/>
      <c r="G2777" s="22"/>
      <c r="H2777" s="22"/>
      <c r="I2777" s="29"/>
      <c r="J2777" s="29"/>
      <c r="K2777" s="29"/>
      <c r="L2777" s="29"/>
    </row>
    <row r="2778">
      <c r="A2778" s="13"/>
      <c r="B2778" s="13"/>
      <c r="C2778" s="15"/>
      <c r="D2778" s="15"/>
      <c r="E2778" s="15"/>
      <c r="F2778" s="17"/>
      <c r="G2778" s="22"/>
      <c r="H2778" s="22"/>
      <c r="I2778" s="29"/>
      <c r="J2778" s="29"/>
      <c r="K2778" s="29"/>
      <c r="L2778" s="29"/>
    </row>
    <row r="2779">
      <c r="A2779" s="13"/>
      <c r="B2779" s="13"/>
      <c r="C2779" s="15"/>
      <c r="D2779" s="15"/>
      <c r="E2779" s="15"/>
      <c r="F2779" s="17"/>
      <c r="G2779" s="22"/>
      <c r="H2779" s="22"/>
      <c r="I2779" s="29"/>
      <c r="J2779" s="29"/>
      <c r="K2779" s="29"/>
      <c r="L2779" s="29"/>
    </row>
    <row r="2780">
      <c r="A2780" s="13"/>
      <c r="B2780" s="13"/>
      <c r="C2780" s="15"/>
      <c r="D2780" s="15"/>
      <c r="E2780" s="15"/>
      <c r="F2780" s="17"/>
      <c r="G2780" s="22"/>
      <c r="H2780" s="22"/>
      <c r="I2780" s="29"/>
      <c r="J2780" s="29"/>
      <c r="K2780" s="29"/>
      <c r="L2780" s="29"/>
    </row>
    <row r="2781">
      <c r="A2781" s="13"/>
      <c r="B2781" s="13"/>
      <c r="C2781" s="15"/>
      <c r="D2781" s="15"/>
      <c r="E2781" s="15"/>
      <c r="F2781" s="17"/>
      <c r="G2781" s="22"/>
      <c r="H2781" s="22"/>
      <c r="I2781" s="29"/>
      <c r="J2781" s="29"/>
      <c r="K2781" s="29"/>
      <c r="L2781" s="29"/>
    </row>
    <row r="2782">
      <c r="A2782" s="13"/>
      <c r="B2782" s="13"/>
      <c r="C2782" s="15"/>
      <c r="D2782" s="15"/>
      <c r="E2782" s="15"/>
      <c r="F2782" s="17"/>
      <c r="G2782" s="22"/>
      <c r="H2782" s="22"/>
      <c r="I2782" s="29"/>
      <c r="J2782" s="29"/>
      <c r="K2782" s="29"/>
      <c r="L2782" s="29"/>
    </row>
    <row r="2783">
      <c r="A2783" s="13"/>
      <c r="B2783" s="13"/>
      <c r="C2783" s="15"/>
      <c r="D2783" s="15"/>
      <c r="E2783" s="15"/>
      <c r="F2783" s="17"/>
      <c r="G2783" s="22"/>
      <c r="H2783" s="22"/>
      <c r="I2783" s="29"/>
      <c r="J2783" s="29"/>
      <c r="K2783" s="29"/>
      <c r="L2783" s="29"/>
    </row>
    <row r="2784">
      <c r="A2784" s="13"/>
      <c r="B2784" s="13"/>
      <c r="C2784" s="15"/>
      <c r="D2784" s="15"/>
      <c r="E2784" s="15"/>
      <c r="F2784" s="17"/>
      <c r="G2784" s="22"/>
      <c r="H2784" s="22"/>
      <c r="I2784" s="29"/>
      <c r="J2784" s="29"/>
      <c r="K2784" s="29"/>
      <c r="L2784" s="29"/>
    </row>
    <row r="2785">
      <c r="A2785" s="13"/>
      <c r="B2785" s="13"/>
      <c r="C2785" s="15"/>
      <c r="D2785" s="15"/>
      <c r="E2785" s="15"/>
      <c r="F2785" s="17"/>
      <c r="G2785" s="22"/>
      <c r="H2785" s="22"/>
      <c r="I2785" s="29"/>
      <c r="J2785" s="29"/>
      <c r="K2785" s="29"/>
      <c r="L2785" s="29"/>
    </row>
    <row r="2786">
      <c r="A2786" s="13"/>
      <c r="B2786" s="13"/>
      <c r="C2786" s="15"/>
      <c r="D2786" s="15"/>
      <c r="E2786" s="15"/>
      <c r="F2786" s="17"/>
      <c r="G2786" s="22"/>
      <c r="H2786" s="22"/>
      <c r="I2786" s="29"/>
      <c r="J2786" s="29"/>
      <c r="K2786" s="29"/>
      <c r="L2786" s="29"/>
    </row>
    <row r="2787">
      <c r="A2787" s="13"/>
      <c r="B2787" s="13"/>
      <c r="C2787" s="15"/>
      <c r="D2787" s="15"/>
      <c r="E2787" s="15"/>
      <c r="F2787" s="17"/>
      <c r="G2787" s="22"/>
      <c r="H2787" s="22"/>
      <c r="I2787" s="29"/>
      <c r="J2787" s="29"/>
      <c r="K2787" s="29"/>
      <c r="L2787" s="29"/>
    </row>
    <row r="2788">
      <c r="A2788" s="13"/>
      <c r="B2788" s="13"/>
      <c r="C2788" s="15"/>
      <c r="D2788" s="15"/>
      <c r="E2788" s="15"/>
      <c r="F2788" s="17"/>
      <c r="G2788" s="22"/>
      <c r="H2788" s="22"/>
      <c r="I2788" s="29"/>
      <c r="J2788" s="29"/>
      <c r="K2788" s="29"/>
      <c r="L2788" s="29"/>
    </row>
    <row r="2789">
      <c r="A2789" s="13"/>
      <c r="B2789" s="13"/>
      <c r="C2789" s="15"/>
      <c r="D2789" s="15"/>
      <c r="E2789" s="15"/>
      <c r="F2789" s="17"/>
      <c r="G2789" s="22"/>
      <c r="H2789" s="22"/>
      <c r="I2789" s="29"/>
      <c r="J2789" s="29"/>
      <c r="K2789" s="29"/>
      <c r="L2789" s="29"/>
    </row>
    <row r="2790">
      <c r="A2790" s="13"/>
      <c r="B2790" s="13"/>
      <c r="C2790" s="15"/>
      <c r="D2790" s="15"/>
      <c r="E2790" s="15"/>
      <c r="F2790" s="17"/>
      <c r="G2790" s="22"/>
      <c r="H2790" s="22"/>
      <c r="I2790" s="29"/>
      <c r="J2790" s="29"/>
      <c r="K2790" s="29"/>
      <c r="L2790" s="29"/>
    </row>
    <row r="2791">
      <c r="A2791" s="13"/>
      <c r="B2791" s="13"/>
      <c r="C2791" s="15"/>
      <c r="D2791" s="15"/>
      <c r="E2791" s="15"/>
      <c r="F2791" s="17"/>
      <c r="G2791" s="22"/>
      <c r="H2791" s="22"/>
      <c r="I2791" s="29"/>
      <c r="J2791" s="29"/>
      <c r="K2791" s="29"/>
      <c r="L2791" s="29"/>
    </row>
    <row r="2792">
      <c r="A2792" s="13"/>
      <c r="B2792" s="13"/>
      <c r="C2792" s="15"/>
      <c r="D2792" s="15"/>
      <c r="E2792" s="15"/>
      <c r="F2792" s="17"/>
      <c r="G2792" s="22"/>
      <c r="H2792" s="22"/>
      <c r="I2792" s="29"/>
      <c r="J2792" s="29"/>
      <c r="K2792" s="29"/>
      <c r="L2792" s="29"/>
    </row>
    <row r="2793">
      <c r="A2793" s="13"/>
      <c r="B2793" s="13"/>
      <c r="C2793" s="15"/>
      <c r="D2793" s="15"/>
      <c r="E2793" s="15"/>
      <c r="F2793" s="17"/>
      <c r="G2793" s="22"/>
      <c r="H2793" s="22"/>
      <c r="I2793" s="29"/>
      <c r="J2793" s="29"/>
      <c r="K2793" s="29"/>
      <c r="L2793" s="29"/>
    </row>
    <row r="2794">
      <c r="A2794" s="13"/>
      <c r="B2794" s="13"/>
      <c r="C2794" s="15"/>
      <c r="D2794" s="15"/>
      <c r="E2794" s="15"/>
      <c r="F2794" s="17"/>
      <c r="G2794" s="22"/>
      <c r="H2794" s="22"/>
      <c r="I2794" s="29"/>
      <c r="J2794" s="29"/>
      <c r="K2794" s="29"/>
      <c r="L2794" s="29"/>
    </row>
    <row r="2795">
      <c r="A2795" s="13"/>
      <c r="B2795" s="13"/>
      <c r="C2795" s="15"/>
      <c r="D2795" s="15"/>
      <c r="E2795" s="15"/>
      <c r="F2795" s="17"/>
      <c r="G2795" s="22"/>
      <c r="H2795" s="22"/>
      <c r="I2795" s="29"/>
      <c r="J2795" s="29"/>
      <c r="K2795" s="29"/>
      <c r="L2795" s="29"/>
    </row>
    <row r="2796">
      <c r="A2796" s="13"/>
      <c r="B2796" s="13"/>
      <c r="C2796" s="15"/>
      <c r="D2796" s="15"/>
      <c r="E2796" s="15"/>
      <c r="F2796" s="17"/>
      <c r="G2796" s="22"/>
      <c r="H2796" s="22"/>
      <c r="I2796" s="29"/>
      <c r="J2796" s="29"/>
      <c r="K2796" s="29"/>
      <c r="L2796" s="29"/>
    </row>
    <row r="2797">
      <c r="A2797" s="13"/>
      <c r="B2797" s="13"/>
      <c r="C2797" s="15"/>
      <c r="D2797" s="15"/>
      <c r="E2797" s="15"/>
      <c r="F2797" s="17"/>
      <c r="G2797" s="22"/>
      <c r="H2797" s="22"/>
      <c r="I2797" s="29"/>
      <c r="J2797" s="29"/>
      <c r="K2797" s="29"/>
      <c r="L2797" s="29"/>
    </row>
    <row r="2798">
      <c r="A2798" s="13"/>
      <c r="B2798" s="13"/>
      <c r="C2798" s="15"/>
      <c r="D2798" s="15"/>
      <c r="E2798" s="15"/>
      <c r="F2798" s="17"/>
      <c r="G2798" s="22"/>
      <c r="H2798" s="22"/>
      <c r="I2798" s="29"/>
      <c r="J2798" s="29"/>
      <c r="K2798" s="29"/>
      <c r="L2798" s="29"/>
    </row>
    <row r="2799">
      <c r="A2799" s="13"/>
      <c r="B2799" s="13"/>
      <c r="C2799" s="15"/>
      <c r="D2799" s="15"/>
      <c r="E2799" s="15"/>
      <c r="F2799" s="17"/>
      <c r="G2799" s="22"/>
      <c r="H2799" s="22"/>
      <c r="I2799" s="29"/>
      <c r="J2799" s="29"/>
      <c r="K2799" s="29"/>
      <c r="L2799" s="29"/>
    </row>
    <row r="2800">
      <c r="A2800" s="13"/>
      <c r="B2800" s="13"/>
      <c r="C2800" s="15"/>
      <c r="D2800" s="15"/>
      <c r="E2800" s="15"/>
      <c r="F2800" s="17"/>
      <c r="G2800" s="22"/>
      <c r="H2800" s="22"/>
      <c r="I2800" s="29"/>
      <c r="J2800" s="29"/>
      <c r="K2800" s="29"/>
      <c r="L2800" s="29"/>
    </row>
    <row r="2801">
      <c r="A2801" s="13"/>
      <c r="B2801" s="13"/>
      <c r="C2801" s="15"/>
      <c r="D2801" s="15"/>
      <c r="E2801" s="15"/>
      <c r="F2801" s="17"/>
      <c r="G2801" s="22"/>
      <c r="H2801" s="22"/>
      <c r="I2801" s="29"/>
      <c r="J2801" s="29"/>
      <c r="K2801" s="29"/>
      <c r="L2801" s="29"/>
    </row>
    <row r="2802">
      <c r="A2802" s="13"/>
      <c r="B2802" s="13"/>
      <c r="C2802" s="15"/>
      <c r="D2802" s="15"/>
      <c r="E2802" s="15"/>
      <c r="F2802" s="17"/>
      <c r="G2802" s="22"/>
      <c r="H2802" s="22"/>
      <c r="I2802" s="29"/>
      <c r="J2802" s="29"/>
      <c r="K2802" s="29"/>
      <c r="L2802" s="29"/>
    </row>
    <row r="2803">
      <c r="A2803" s="13"/>
      <c r="B2803" s="13"/>
      <c r="C2803" s="15"/>
      <c r="D2803" s="15"/>
      <c r="E2803" s="15"/>
      <c r="F2803" s="17"/>
      <c r="G2803" s="22"/>
      <c r="H2803" s="22"/>
      <c r="I2803" s="29"/>
      <c r="J2803" s="29"/>
      <c r="K2803" s="29"/>
      <c r="L2803" s="29"/>
    </row>
    <row r="2804">
      <c r="A2804" s="13"/>
      <c r="B2804" s="13"/>
      <c r="C2804" s="15"/>
      <c r="D2804" s="15"/>
      <c r="E2804" s="15"/>
      <c r="F2804" s="17"/>
      <c r="G2804" s="22"/>
      <c r="H2804" s="22"/>
      <c r="I2804" s="29"/>
      <c r="J2804" s="29"/>
      <c r="K2804" s="29"/>
      <c r="L2804" s="29"/>
    </row>
    <row r="2805">
      <c r="A2805" s="13"/>
      <c r="B2805" s="13"/>
      <c r="C2805" s="15"/>
      <c r="D2805" s="15"/>
      <c r="E2805" s="15"/>
      <c r="F2805" s="17"/>
      <c r="G2805" s="22"/>
      <c r="H2805" s="22"/>
      <c r="I2805" s="29"/>
      <c r="J2805" s="29"/>
      <c r="K2805" s="29"/>
      <c r="L2805" s="29"/>
    </row>
    <row r="2806">
      <c r="A2806" s="13"/>
      <c r="B2806" s="13"/>
      <c r="C2806" s="15"/>
      <c r="D2806" s="15"/>
      <c r="E2806" s="15"/>
      <c r="F2806" s="17"/>
      <c r="G2806" s="22"/>
      <c r="H2806" s="22"/>
      <c r="I2806" s="29"/>
      <c r="J2806" s="29"/>
      <c r="K2806" s="29"/>
      <c r="L2806" s="29"/>
    </row>
    <row r="2807">
      <c r="A2807" s="13"/>
      <c r="B2807" s="13"/>
      <c r="C2807" s="15"/>
      <c r="D2807" s="15"/>
      <c r="E2807" s="15"/>
      <c r="F2807" s="17"/>
      <c r="G2807" s="22"/>
      <c r="H2807" s="22"/>
      <c r="I2807" s="29"/>
      <c r="J2807" s="29"/>
      <c r="K2807" s="29"/>
      <c r="L2807" s="29"/>
    </row>
    <row r="2808">
      <c r="A2808" s="13"/>
      <c r="B2808" s="13"/>
      <c r="C2808" s="15"/>
      <c r="D2808" s="15"/>
      <c r="E2808" s="15"/>
      <c r="F2808" s="17"/>
      <c r="G2808" s="22"/>
      <c r="H2808" s="22"/>
      <c r="I2808" s="29"/>
      <c r="J2808" s="29"/>
      <c r="K2808" s="29"/>
      <c r="L2808" s="29"/>
    </row>
    <row r="2809">
      <c r="A2809" s="13"/>
      <c r="B2809" s="13"/>
      <c r="C2809" s="15"/>
      <c r="D2809" s="15"/>
      <c r="E2809" s="15"/>
      <c r="F2809" s="17"/>
      <c r="G2809" s="22"/>
      <c r="H2809" s="22"/>
      <c r="I2809" s="29"/>
      <c r="J2809" s="29"/>
      <c r="K2809" s="29"/>
      <c r="L2809" s="29"/>
    </row>
    <row r="2810">
      <c r="A2810" s="13"/>
      <c r="B2810" s="13"/>
      <c r="C2810" s="15"/>
      <c r="D2810" s="15"/>
      <c r="E2810" s="15"/>
      <c r="F2810" s="17"/>
      <c r="G2810" s="22"/>
      <c r="H2810" s="22"/>
      <c r="I2810" s="29"/>
      <c r="J2810" s="29"/>
      <c r="K2810" s="29"/>
      <c r="L2810" s="29"/>
    </row>
    <row r="2811">
      <c r="A2811" s="13"/>
      <c r="B2811" s="13"/>
      <c r="C2811" s="15"/>
      <c r="D2811" s="15"/>
      <c r="E2811" s="15"/>
      <c r="F2811" s="17"/>
      <c r="G2811" s="22"/>
      <c r="H2811" s="22"/>
      <c r="I2811" s="29"/>
      <c r="J2811" s="29"/>
      <c r="K2811" s="29"/>
      <c r="L2811" s="29"/>
    </row>
    <row r="2812">
      <c r="A2812" s="13"/>
      <c r="B2812" s="13"/>
      <c r="C2812" s="15"/>
      <c r="D2812" s="15"/>
      <c r="E2812" s="15"/>
      <c r="F2812" s="17"/>
      <c r="G2812" s="22"/>
      <c r="H2812" s="22"/>
      <c r="I2812" s="29"/>
      <c r="J2812" s="29"/>
      <c r="K2812" s="29"/>
      <c r="L2812" s="29"/>
    </row>
    <row r="2813">
      <c r="A2813" s="13"/>
      <c r="B2813" s="13"/>
      <c r="C2813" s="15"/>
      <c r="D2813" s="15"/>
      <c r="E2813" s="15"/>
      <c r="F2813" s="17"/>
      <c r="G2813" s="22"/>
      <c r="H2813" s="22"/>
      <c r="I2813" s="29"/>
      <c r="J2813" s="29"/>
      <c r="K2813" s="29"/>
      <c r="L2813" s="29"/>
    </row>
    <row r="2814">
      <c r="A2814" s="13"/>
      <c r="B2814" s="13"/>
      <c r="C2814" s="15"/>
      <c r="D2814" s="15"/>
      <c r="E2814" s="15"/>
      <c r="F2814" s="17"/>
      <c r="G2814" s="22"/>
      <c r="H2814" s="22"/>
      <c r="I2814" s="29"/>
      <c r="J2814" s="29"/>
      <c r="K2814" s="29"/>
      <c r="L2814" s="29"/>
    </row>
    <row r="2815">
      <c r="A2815" s="13"/>
      <c r="B2815" s="13"/>
      <c r="C2815" s="15"/>
      <c r="D2815" s="15"/>
      <c r="E2815" s="15"/>
      <c r="F2815" s="17"/>
      <c r="G2815" s="22"/>
      <c r="H2815" s="22"/>
      <c r="I2815" s="29"/>
      <c r="J2815" s="29"/>
      <c r="K2815" s="29"/>
      <c r="L2815" s="29"/>
    </row>
    <row r="2816">
      <c r="A2816" s="13"/>
      <c r="B2816" s="13"/>
      <c r="C2816" s="15"/>
      <c r="D2816" s="15"/>
      <c r="E2816" s="15"/>
      <c r="F2816" s="17"/>
      <c r="G2816" s="22"/>
      <c r="H2816" s="22"/>
      <c r="I2816" s="29"/>
      <c r="J2816" s="29"/>
      <c r="K2816" s="29"/>
      <c r="L2816" s="29"/>
    </row>
    <row r="2817">
      <c r="A2817" s="13"/>
      <c r="B2817" s="13"/>
      <c r="C2817" s="15"/>
      <c r="D2817" s="15"/>
      <c r="E2817" s="15"/>
      <c r="F2817" s="17"/>
      <c r="G2817" s="22"/>
      <c r="H2817" s="22"/>
      <c r="I2817" s="29"/>
      <c r="J2817" s="29"/>
      <c r="K2817" s="29"/>
      <c r="L2817" s="29"/>
    </row>
    <row r="2818">
      <c r="A2818" s="13"/>
      <c r="B2818" s="13"/>
      <c r="C2818" s="15"/>
      <c r="D2818" s="15"/>
      <c r="E2818" s="15"/>
      <c r="F2818" s="17"/>
      <c r="G2818" s="22"/>
      <c r="H2818" s="22"/>
      <c r="I2818" s="29"/>
      <c r="J2818" s="29"/>
      <c r="K2818" s="29"/>
      <c r="L2818" s="29"/>
    </row>
    <row r="2819">
      <c r="A2819" s="13"/>
      <c r="B2819" s="13"/>
      <c r="C2819" s="15"/>
      <c r="D2819" s="15"/>
      <c r="E2819" s="15"/>
      <c r="F2819" s="17"/>
      <c r="G2819" s="22"/>
      <c r="H2819" s="22"/>
      <c r="I2819" s="29"/>
      <c r="J2819" s="29"/>
      <c r="K2819" s="29"/>
      <c r="L2819" s="29"/>
    </row>
    <row r="2820">
      <c r="A2820" s="13"/>
      <c r="B2820" s="13"/>
      <c r="C2820" s="15"/>
      <c r="D2820" s="15"/>
      <c r="E2820" s="15"/>
      <c r="F2820" s="17"/>
      <c r="G2820" s="22"/>
      <c r="H2820" s="22"/>
      <c r="I2820" s="29"/>
      <c r="J2820" s="29"/>
      <c r="K2820" s="29"/>
      <c r="L2820" s="29"/>
    </row>
    <row r="2821">
      <c r="A2821" s="13"/>
      <c r="B2821" s="13"/>
      <c r="C2821" s="15"/>
      <c r="D2821" s="15"/>
      <c r="E2821" s="15"/>
      <c r="F2821" s="17"/>
      <c r="G2821" s="22"/>
      <c r="H2821" s="22"/>
      <c r="I2821" s="29"/>
      <c r="J2821" s="29"/>
      <c r="K2821" s="29"/>
      <c r="L2821" s="29"/>
    </row>
    <row r="2822">
      <c r="A2822" s="13"/>
      <c r="B2822" s="13"/>
      <c r="C2822" s="15"/>
      <c r="D2822" s="15"/>
      <c r="E2822" s="15"/>
      <c r="F2822" s="17"/>
      <c r="G2822" s="22"/>
      <c r="H2822" s="22"/>
      <c r="I2822" s="29"/>
      <c r="J2822" s="29"/>
      <c r="K2822" s="29"/>
      <c r="L2822" s="29"/>
    </row>
    <row r="2823">
      <c r="A2823" s="13"/>
      <c r="B2823" s="13"/>
      <c r="C2823" s="15"/>
      <c r="D2823" s="15"/>
      <c r="E2823" s="15"/>
      <c r="F2823" s="17"/>
      <c r="G2823" s="22"/>
      <c r="H2823" s="22"/>
      <c r="I2823" s="29"/>
      <c r="J2823" s="29"/>
      <c r="K2823" s="29"/>
      <c r="L2823" s="29"/>
    </row>
    <row r="2824">
      <c r="A2824" s="13"/>
      <c r="B2824" s="13"/>
      <c r="C2824" s="15"/>
      <c r="D2824" s="15"/>
      <c r="E2824" s="15"/>
      <c r="F2824" s="17"/>
      <c r="G2824" s="22"/>
      <c r="H2824" s="22"/>
      <c r="I2824" s="29"/>
      <c r="J2824" s="29"/>
      <c r="K2824" s="29"/>
      <c r="L2824" s="29"/>
    </row>
    <row r="2825">
      <c r="A2825" s="13"/>
      <c r="B2825" s="13"/>
      <c r="C2825" s="15"/>
      <c r="D2825" s="15"/>
      <c r="E2825" s="15"/>
      <c r="F2825" s="17"/>
      <c r="G2825" s="22"/>
      <c r="H2825" s="22"/>
      <c r="I2825" s="29"/>
      <c r="J2825" s="29"/>
      <c r="K2825" s="29"/>
      <c r="L2825" s="29"/>
    </row>
    <row r="2826">
      <c r="A2826" s="13"/>
      <c r="B2826" s="13"/>
      <c r="C2826" s="15"/>
      <c r="D2826" s="15"/>
      <c r="E2826" s="15"/>
      <c r="F2826" s="17"/>
      <c r="G2826" s="22"/>
      <c r="H2826" s="22"/>
      <c r="I2826" s="29"/>
      <c r="J2826" s="29"/>
      <c r="K2826" s="29"/>
      <c r="L2826" s="29"/>
    </row>
    <row r="2827">
      <c r="A2827" s="13"/>
      <c r="B2827" s="13"/>
      <c r="C2827" s="15"/>
      <c r="D2827" s="15"/>
      <c r="E2827" s="15"/>
      <c r="F2827" s="17"/>
      <c r="G2827" s="22"/>
      <c r="H2827" s="22"/>
      <c r="I2827" s="29"/>
      <c r="J2827" s="29"/>
      <c r="K2827" s="29"/>
      <c r="L2827" s="29"/>
    </row>
    <row r="2828">
      <c r="A2828" s="13"/>
      <c r="B2828" s="13"/>
      <c r="C2828" s="15"/>
      <c r="D2828" s="15"/>
      <c r="E2828" s="15"/>
      <c r="F2828" s="17"/>
      <c r="G2828" s="22"/>
      <c r="H2828" s="22"/>
      <c r="I2828" s="29"/>
      <c r="J2828" s="29"/>
      <c r="K2828" s="29"/>
      <c r="L2828" s="29"/>
    </row>
    <row r="2829">
      <c r="A2829" s="13"/>
      <c r="B2829" s="13"/>
      <c r="C2829" s="15"/>
      <c r="D2829" s="15"/>
      <c r="E2829" s="15"/>
      <c r="F2829" s="17"/>
      <c r="G2829" s="22"/>
      <c r="H2829" s="22"/>
      <c r="I2829" s="29"/>
      <c r="J2829" s="29"/>
      <c r="K2829" s="29"/>
      <c r="L2829" s="29"/>
    </row>
    <row r="2830">
      <c r="A2830" s="13"/>
      <c r="B2830" s="13"/>
      <c r="C2830" s="15"/>
      <c r="D2830" s="15"/>
      <c r="E2830" s="15"/>
      <c r="F2830" s="17"/>
      <c r="G2830" s="22"/>
      <c r="H2830" s="22"/>
      <c r="I2830" s="29"/>
      <c r="J2830" s="29"/>
      <c r="K2830" s="29"/>
      <c r="L2830" s="29"/>
    </row>
    <row r="2831">
      <c r="A2831" s="13"/>
      <c r="B2831" s="13"/>
      <c r="C2831" s="15"/>
      <c r="D2831" s="15"/>
      <c r="E2831" s="15"/>
      <c r="F2831" s="17"/>
      <c r="G2831" s="22"/>
      <c r="H2831" s="22"/>
      <c r="I2831" s="29"/>
      <c r="J2831" s="29"/>
      <c r="K2831" s="29"/>
      <c r="L2831" s="29"/>
    </row>
    <row r="2832">
      <c r="A2832" s="13"/>
      <c r="B2832" s="13"/>
      <c r="C2832" s="15"/>
      <c r="D2832" s="15"/>
      <c r="E2832" s="15"/>
      <c r="F2832" s="17"/>
      <c r="G2832" s="22"/>
      <c r="H2832" s="22"/>
      <c r="I2832" s="29"/>
      <c r="J2832" s="29"/>
      <c r="K2832" s="29"/>
      <c r="L2832" s="29"/>
    </row>
    <row r="2833">
      <c r="A2833" s="13"/>
      <c r="B2833" s="13"/>
      <c r="C2833" s="15"/>
      <c r="D2833" s="15"/>
      <c r="E2833" s="15"/>
      <c r="F2833" s="17"/>
      <c r="G2833" s="22"/>
      <c r="H2833" s="22"/>
      <c r="I2833" s="29"/>
      <c r="J2833" s="29"/>
      <c r="K2833" s="29"/>
      <c r="L2833" s="29"/>
    </row>
    <row r="2834">
      <c r="A2834" s="13"/>
      <c r="B2834" s="13"/>
      <c r="C2834" s="15"/>
      <c r="D2834" s="15"/>
      <c r="E2834" s="15"/>
      <c r="F2834" s="17"/>
      <c r="G2834" s="22"/>
      <c r="H2834" s="22"/>
      <c r="I2834" s="29"/>
      <c r="J2834" s="29"/>
      <c r="K2834" s="29"/>
      <c r="L2834" s="29"/>
    </row>
    <row r="2835">
      <c r="A2835" s="13"/>
      <c r="B2835" s="13"/>
      <c r="C2835" s="15"/>
      <c r="D2835" s="15"/>
      <c r="E2835" s="15"/>
      <c r="F2835" s="17"/>
      <c r="G2835" s="22"/>
      <c r="H2835" s="22"/>
      <c r="I2835" s="29"/>
      <c r="J2835" s="29"/>
      <c r="K2835" s="29"/>
      <c r="L2835" s="29"/>
    </row>
    <row r="2836">
      <c r="A2836" s="13"/>
      <c r="B2836" s="13"/>
      <c r="C2836" s="15"/>
      <c r="D2836" s="15"/>
      <c r="E2836" s="15"/>
      <c r="F2836" s="17"/>
      <c r="G2836" s="22"/>
      <c r="H2836" s="22"/>
      <c r="I2836" s="29"/>
      <c r="J2836" s="29"/>
      <c r="K2836" s="29"/>
      <c r="L2836" s="29"/>
    </row>
    <row r="2837">
      <c r="A2837" s="13"/>
      <c r="B2837" s="13"/>
      <c r="C2837" s="15"/>
      <c r="D2837" s="15"/>
      <c r="E2837" s="15"/>
      <c r="F2837" s="17"/>
      <c r="G2837" s="22"/>
      <c r="H2837" s="22"/>
      <c r="I2837" s="29"/>
      <c r="J2837" s="29"/>
      <c r="K2837" s="29"/>
      <c r="L2837" s="29"/>
    </row>
    <row r="2838">
      <c r="A2838" s="13"/>
      <c r="B2838" s="13"/>
      <c r="C2838" s="15"/>
      <c r="D2838" s="15"/>
      <c r="E2838" s="15"/>
      <c r="F2838" s="17"/>
      <c r="G2838" s="22"/>
      <c r="H2838" s="22"/>
      <c r="I2838" s="29"/>
      <c r="J2838" s="29"/>
      <c r="K2838" s="29"/>
      <c r="L2838" s="29"/>
    </row>
    <row r="2839">
      <c r="A2839" s="13"/>
      <c r="B2839" s="13"/>
      <c r="C2839" s="15"/>
      <c r="D2839" s="15"/>
      <c r="E2839" s="15"/>
      <c r="F2839" s="17"/>
      <c r="G2839" s="22"/>
      <c r="H2839" s="22"/>
      <c r="I2839" s="29"/>
      <c r="J2839" s="29"/>
      <c r="K2839" s="29"/>
      <c r="L2839" s="29"/>
    </row>
    <row r="2840">
      <c r="A2840" s="13"/>
      <c r="B2840" s="13"/>
      <c r="C2840" s="15"/>
      <c r="D2840" s="15"/>
      <c r="E2840" s="15"/>
      <c r="F2840" s="17"/>
      <c r="G2840" s="22"/>
      <c r="H2840" s="22"/>
      <c r="I2840" s="29"/>
      <c r="J2840" s="29"/>
      <c r="K2840" s="29"/>
      <c r="L2840" s="29"/>
    </row>
    <row r="2841">
      <c r="A2841" s="13"/>
      <c r="B2841" s="13"/>
      <c r="C2841" s="15"/>
      <c r="D2841" s="15"/>
      <c r="E2841" s="15"/>
      <c r="F2841" s="17"/>
      <c r="G2841" s="22"/>
      <c r="H2841" s="22"/>
      <c r="I2841" s="29"/>
      <c r="J2841" s="29"/>
      <c r="K2841" s="29"/>
      <c r="L2841" s="29"/>
    </row>
    <row r="2842">
      <c r="A2842" s="13"/>
      <c r="B2842" s="13"/>
      <c r="C2842" s="15"/>
      <c r="D2842" s="15"/>
      <c r="E2842" s="15"/>
      <c r="F2842" s="17"/>
      <c r="G2842" s="22"/>
      <c r="H2842" s="22"/>
      <c r="I2842" s="29"/>
      <c r="J2842" s="29"/>
      <c r="K2842" s="29"/>
      <c r="L2842" s="29"/>
    </row>
    <row r="2843">
      <c r="A2843" s="13"/>
      <c r="B2843" s="13"/>
      <c r="C2843" s="15"/>
      <c r="D2843" s="15"/>
      <c r="E2843" s="15"/>
      <c r="F2843" s="17"/>
      <c r="G2843" s="22"/>
      <c r="H2843" s="22"/>
      <c r="I2843" s="29"/>
      <c r="J2843" s="29"/>
      <c r="K2843" s="29"/>
      <c r="L2843" s="29"/>
    </row>
    <row r="2844">
      <c r="A2844" s="13"/>
      <c r="B2844" s="13"/>
      <c r="C2844" s="15"/>
      <c r="D2844" s="15"/>
      <c r="E2844" s="15"/>
      <c r="F2844" s="17"/>
      <c r="G2844" s="22"/>
      <c r="H2844" s="22"/>
      <c r="I2844" s="29"/>
      <c r="J2844" s="29"/>
      <c r="K2844" s="29"/>
      <c r="L2844" s="29"/>
    </row>
    <row r="2845">
      <c r="A2845" s="13"/>
      <c r="B2845" s="13"/>
      <c r="C2845" s="15"/>
      <c r="D2845" s="15"/>
      <c r="E2845" s="15"/>
      <c r="F2845" s="17"/>
      <c r="G2845" s="22"/>
      <c r="H2845" s="22"/>
      <c r="I2845" s="29"/>
      <c r="J2845" s="29"/>
      <c r="K2845" s="29"/>
      <c r="L2845" s="29"/>
    </row>
    <row r="2846">
      <c r="A2846" s="13"/>
      <c r="B2846" s="13"/>
      <c r="C2846" s="15"/>
      <c r="D2846" s="15"/>
      <c r="E2846" s="15"/>
      <c r="F2846" s="17"/>
      <c r="G2846" s="22"/>
      <c r="H2846" s="22"/>
      <c r="I2846" s="29"/>
      <c r="J2846" s="29"/>
      <c r="K2846" s="29"/>
      <c r="L2846" s="29"/>
    </row>
    <row r="2847">
      <c r="A2847" s="13"/>
      <c r="B2847" s="13"/>
      <c r="C2847" s="15"/>
      <c r="D2847" s="15"/>
      <c r="E2847" s="15"/>
      <c r="F2847" s="17"/>
      <c r="G2847" s="22"/>
      <c r="H2847" s="22"/>
      <c r="I2847" s="29"/>
      <c r="J2847" s="29"/>
      <c r="K2847" s="29"/>
      <c r="L2847" s="29"/>
    </row>
    <row r="2848">
      <c r="A2848" s="13"/>
      <c r="B2848" s="13"/>
      <c r="C2848" s="15"/>
      <c r="D2848" s="15"/>
      <c r="E2848" s="15"/>
      <c r="F2848" s="17"/>
      <c r="G2848" s="22"/>
      <c r="H2848" s="22"/>
      <c r="I2848" s="29"/>
      <c r="J2848" s="29"/>
      <c r="K2848" s="29"/>
      <c r="L2848" s="29"/>
    </row>
    <row r="2849">
      <c r="A2849" s="13"/>
      <c r="B2849" s="13"/>
      <c r="C2849" s="15"/>
      <c r="D2849" s="15"/>
      <c r="E2849" s="15"/>
      <c r="F2849" s="17"/>
      <c r="G2849" s="22"/>
      <c r="H2849" s="22"/>
      <c r="I2849" s="29"/>
      <c r="J2849" s="29"/>
      <c r="K2849" s="29"/>
      <c r="L2849" s="29"/>
    </row>
    <row r="2850">
      <c r="A2850" s="13"/>
      <c r="B2850" s="13"/>
      <c r="C2850" s="15"/>
      <c r="D2850" s="15"/>
      <c r="E2850" s="15"/>
      <c r="F2850" s="17"/>
      <c r="G2850" s="22"/>
      <c r="H2850" s="22"/>
      <c r="I2850" s="29"/>
      <c r="J2850" s="29"/>
      <c r="K2850" s="29"/>
      <c r="L2850" s="29"/>
    </row>
    <row r="2851">
      <c r="A2851" s="13"/>
      <c r="B2851" s="13"/>
      <c r="C2851" s="15"/>
      <c r="D2851" s="15"/>
      <c r="E2851" s="15"/>
      <c r="F2851" s="17"/>
      <c r="G2851" s="22"/>
      <c r="H2851" s="22"/>
      <c r="I2851" s="29"/>
      <c r="J2851" s="29"/>
      <c r="K2851" s="29"/>
      <c r="L2851" s="29"/>
    </row>
    <row r="2852">
      <c r="A2852" s="13"/>
      <c r="B2852" s="13"/>
      <c r="C2852" s="15"/>
      <c r="D2852" s="15"/>
      <c r="E2852" s="15"/>
      <c r="F2852" s="17"/>
      <c r="G2852" s="22"/>
      <c r="H2852" s="22"/>
      <c r="I2852" s="29"/>
      <c r="J2852" s="29"/>
      <c r="K2852" s="29"/>
      <c r="L2852" s="29"/>
    </row>
    <row r="2853">
      <c r="A2853" s="13"/>
      <c r="B2853" s="13"/>
      <c r="C2853" s="15"/>
      <c r="D2853" s="15"/>
      <c r="E2853" s="15"/>
      <c r="F2853" s="17"/>
      <c r="G2853" s="22"/>
      <c r="H2853" s="22"/>
      <c r="I2853" s="29"/>
      <c r="J2853" s="29"/>
      <c r="K2853" s="29"/>
      <c r="L2853" s="29"/>
    </row>
    <row r="2854">
      <c r="A2854" s="13"/>
      <c r="B2854" s="13"/>
      <c r="C2854" s="15"/>
      <c r="D2854" s="15"/>
      <c r="E2854" s="15"/>
      <c r="F2854" s="17"/>
      <c r="G2854" s="22"/>
      <c r="H2854" s="22"/>
      <c r="I2854" s="29"/>
      <c r="J2854" s="29"/>
      <c r="K2854" s="29"/>
      <c r="L2854" s="29"/>
    </row>
    <row r="2855">
      <c r="A2855" s="13"/>
      <c r="B2855" s="13"/>
      <c r="C2855" s="15"/>
      <c r="D2855" s="15"/>
      <c r="E2855" s="15"/>
      <c r="F2855" s="17"/>
      <c r="G2855" s="22"/>
      <c r="H2855" s="22"/>
      <c r="I2855" s="29"/>
      <c r="J2855" s="29"/>
      <c r="K2855" s="29"/>
      <c r="L2855" s="29"/>
    </row>
    <row r="2856">
      <c r="A2856" s="13"/>
      <c r="B2856" s="13"/>
      <c r="C2856" s="15"/>
      <c r="D2856" s="15"/>
      <c r="E2856" s="15"/>
      <c r="F2856" s="17"/>
      <c r="G2856" s="22"/>
      <c r="H2856" s="22"/>
      <c r="I2856" s="29"/>
      <c r="J2856" s="29"/>
      <c r="K2856" s="29"/>
      <c r="L2856" s="29"/>
    </row>
    <row r="2857">
      <c r="A2857" s="13"/>
      <c r="B2857" s="13"/>
      <c r="C2857" s="15"/>
      <c r="D2857" s="15"/>
      <c r="E2857" s="15"/>
      <c r="F2857" s="17"/>
      <c r="G2857" s="22"/>
      <c r="H2857" s="22"/>
      <c r="I2857" s="29"/>
      <c r="J2857" s="29"/>
      <c r="K2857" s="29"/>
      <c r="L2857" s="29"/>
    </row>
    <row r="2858">
      <c r="A2858" s="13"/>
      <c r="B2858" s="13"/>
      <c r="C2858" s="15"/>
      <c r="D2858" s="15"/>
      <c r="E2858" s="15"/>
      <c r="F2858" s="17"/>
      <c r="G2858" s="22"/>
      <c r="H2858" s="22"/>
      <c r="I2858" s="29"/>
      <c r="J2858" s="29"/>
      <c r="K2858" s="29"/>
      <c r="L2858" s="29"/>
    </row>
    <row r="2859">
      <c r="A2859" s="13"/>
      <c r="B2859" s="13"/>
      <c r="C2859" s="15"/>
      <c r="D2859" s="15"/>
      <c r="E2859" s="15"/>
      <c r="F2859" s="17"/>
      <c r="G2859" s="22"/>
      <c r="H2859" s="22"/>
      <c r="I2859" s="29"/>
      <c r="J2859" s="29"/>
      <c r="K2859" s="29"/>
      <c r="L2859" s="29"/>
    </row>
    <row r="2860">
      <c r="A2860" s="13"/>
      <c r="B2860" s="13"/>
      <c r="C2860" s="15"/>
      <c r="D2860" s="15"/>
      <c r="E2860" s="15"/>
      <c r="F2860" s="17"/>
      <c r="G2860" s="22"/>
      <c r="H2860" s="22"/>
      <c r="I2860" s="29"/>
      <c r="J2860" s="29"/>
      <c r="K2860" s="29"/>
      <c r="L2860" s="29"/>
    </row>
    <row r="2861">
      <c r="A2861" s="13"/>
      <c r="B2861" s="13"/>
      <c r="C2861" s="15"/>
      <c r="D2861" s="15"/>
      <c r="E2861" s="15"/>
      <c r="F2861" s="17"/>
      <c r="G2861" s="22"/>
      <c r="H2861" s="22"/>
      <c r="I2861" s="29"/>
      <c r="J2861" s="29"/>
      <c r="K2861" s="29"/>
      <c r="L2861" s="29"/>
    </row>
    <row r="2862">
      <c r="A2862" s="13"/>
      <c r="B2862" s="13"/>
      <c r="C2862" s="15"/>
      <c r="D2862" s="15"/>
      <c r="E2862" s="15"/>
      <c r="F2862" s="17"/>
      <c r="G2862" s="22"/>
      <c r="H2862" s="22"/>
      <c r="I2862" s="29"/>
      <c r="J2862" s="29"/>
      <c r="K2862" s="29"/>
      <c r="L2862" s="29"/>
    </row>
    <row r="2863">
      <c r="A2863" s="13"/>
      <c r="B2863" s="13"/>
      <c r="C2863" s="15"/>
      <c r="D2863" s="15"/>
      <c r="E2863" s="15"/>
      <c r="F2863" s="17"/>
      <c r="G2863" s="22"/>
      <c r="H2863" s="22"/>
      <c r="I2863" s="29"/>
      <c r="J2863" s="29"/>
      <c r="K2863" s="29"/>
      <c r="L2863" s="29"/>
    </row>
    <row r="2864">
      <c r="A2864" s="13"/>
      <c r="B2864" s="13"/>
      <c r="C2864" s="15"/>
      <c r="D2864" s="15"/>
      <c r="E2864" s="15"/>
      <c r="F2864" s="17"/>
      <c r="G2864" s="22"/>
      <c r="H2864" s="22"/>
      <c r="I2864" s="29"/>
      <c r="J2864" s="29"/>
      <c r="K2864" s="29"/>
      <c r="L2864" s="29"/>
    </row>
    <row r="2865">
      <c r="A2865" s="13"/>
      <c r="B2865" s="13"/>
      <c r="C2865" s="15"/>
      <c r="D2865" s="15"/>
      <c r="E2865" s="15"/>
      <c r="F2865" s="17"/>
      <c r="G2865" s="22"/>
      <c r="H2865" s="22"/>
      <c r="I2865" s="29"/>
      <c r="J2865" s="29"/>
      <c r="K2865" s="29"/>
      <c r="L2865" s="29"/>
    </row>
    <row r="2866">
      <c r="A2866" s="13"/>
      <c r="B2866" s="13"/>
      <c r="C2866" s="15"/>
      <c r="D2866" s="15"/>
      <c r="E2866" s="15"/>
      <c r="F2866" s="17"/>
      <c r="G2866" s="22"/>
      <c r="H2866" s="22"/>
      <c r="I2866" s="29"/>
      <c r="J2866" s="29"/>
      <c r="K2866" s="29"/>
      <c r="L2866" s="29"/>
    </row>
    <row r="2867">
      <c r="A2867" s="13"/>
      <c r="B2867" s="13"/>
      <c r="C2867" s="15"/>
      <c r="D2867" s="15"/>
      <c r="E2867" s="15"/>
      <c r="F2867" s="17"/>
      <c r="G2867" s="22"/>
      <c r="H2867" s="22"/>
      <c r="I2867" s="29"/>
      <c r="J2867" s="29"/>
      <c r="K2867" s="29"/>
      <c r="L2867" s="29"/>
    </row>
    <row r="2868">
      <c r="A2868" s="13"/>
      <c r="B2868" s="13"/>
      <c r="C2868" s="15"/>
      <c r="D2868" s="15"/>
      <c r="E2868" s="15"/>
      <c r="F2868" s="17"/>
      <c r="G2868" s="22"/>
      <c r="H2868" s="22"/>
      <c r="I2868" s="29"/>
      <c r="J2868" s="29"/>
      <c r="K2868" s="29"/>
      <c r="L2868" s="29"/>
    </row>
    <row r="2869">
      <c r="A2869" s="13"/>
      <c r="B2869" s="13"/>
      <c r="C2869" s="15"/>
      <c r="D2869" s="15"/>
      <c r="E2869" s="15"/>
      <c r="F2869" s="17"/>
      <c r="G2869" s="22"/>
      <c r="H2869" s="22"/>
      <c r="I2869" s="29"/>
      <c r="J2869" s="29"/>
      <c r="K2869" s="29"/>
      <c r="L2869" s="29"/>
    </row>
    <row r="2870">
      <c r="A2870" s="13"/>
      <c r="B2870" s="13"/>
      <c r="C2870" s="15"/>
      <c r="D2870" s="15"/>
      <c r="E2870" s="15"/>
      <c r="F2870" s="17"/>
      <c r="G2870" s="22"/>
      <c r="H2870" s="22"/>
      <c r="I2870" s="29"/>
      <c r="J2870" s="29"/>
      <c r="K2870" s="29"/>
      <c r="L2870" s="29"/>
    </row>
    <row r="2871">
      <c r="A2871" s="13"/>
      <c r="B2871" s="13"/>
      <c r="C2871" s="15"/>
      <c r="D2871" s="15"/>
      <c r="E2871" s="15"/>
      <c r="F2871" s="17"/>
      <c r="G2871" s="22"/>
      <c r="H2871" s="22"/>
      <c r="I2871" s="29"/>
      <c r="J2871" s="29"/>
      <c r="K2871" s="29"/>
      <c r="L2871" s="29"/>
    </row>
    <row r="2872">
      <c r="A2872" s="13"/>
      <c r="B2872" s="13"/>
      <c r="C2872" s="15"/>
      <c r="D2872" s="15"/>
      <c r="E2872" s="15"/>
      <c r="F2872" s="17"/>
      <c r="G2872" s="22"/>
      <c r="H2872" s="22"/>
      <c r="I2872" s="29"/>
      <c r="J2872" s="29"/>
      <c r="K2872" s="29"/>
      <c r="L2872" s="29"/>
    </row>
    <row r="2873">
      <c r="A2873" s="13"/>
      <c r="B2873" s="13"/>
      <c r="C2873" s="15"/>
      <c r="D2873" s="15"/>
      <c r="E2873" s="15"/>
      <c r="F2873" s="17"/>
      <c r="G2873" s="22"/>
      <c r="H2873" s="22"/>
      <c r="I2873" s="29"/>
      <c r="J2873" s="29"/>
      <c r="K2873" s="29"/>
      <c r="L2873" s="29"/>
    </row>
    <row r="2874">
      <c r="A2874" s="13"/>
      <c r="B2874" s="13"/>
      <c r="C2874" s="15"/>
      <c r="D2874" s="15"/>
      <c r="E2874" s="15"/>
      <c r="F2874" s="17"/>
      <c r="G2874" s="22"/>
      <c r="H2874" s="22"/>
      <c r="I2874" s="29"/>
      <c r="J2874" s="29"/>
      <c r="K2874" s="29"/>
      <c r="L2874" s="29"/>
    </row>
    <row r="2875">
      <c r="A2875" s="13"/>
      <c r="B2875" s="13"/>
      <c r="C2875" s="15"/>
      <c r="D2875" s="15"/>
      <c r="E2875" s="15"/>
      <c r="F2875" s="17"/>
      <c r="G2875" s="22"/>
      <c r="H2875" s="22"/>
      <c r="I2875" s="29"/>
      <c r="J2875" s="29"/>
      <c r="K2875" s="29"/>
      <c r="L2875" s="29"/>
    </row>
    <row r="2876">
      <c r="A2876" s="13"/>
      <c r="B2876" s="13"/>
      <c r="C2876" s="15"/>
      <c r="D2876" s="15"/>
      <c r="E2876" s="15"/>
      <c r="F2876" s="17"/>
      <c r="G2876" s="22"/>
      <c r="H2876" s="22"/>
      <c r="I2876" s="29"/>
      <c r="J2876" s="29"/>
      <c r="K2876" s="29"/>
      <c r="L2876" s="29"/>
    </row>
    <row r="2877">
      <c r="A2877" s="13"/>
      <c r="B2877" s="13"/>
      <c r="C2877" s="15"/>
      <c r="D2877" s="15"/>
      <c r="E2877" s="15"/>
      <c r="F2877" s="17"/>
      <c r="G2877" s="22"/>
      <c r="H2877" s="22"/>
      <c r="I2877" s="29"/>
      <c r="J2877" s="29"/>
      <c r="K2877" s="29"/>
      <c r="L2877" s="29"/>
    </row>
    <row r="2878">
      <c r="A2878" s="13"/>
      <c r="B2878" s="13"/>
      <c r="C2878" s="15"/>
      <c r="D2878" s="15"/>
      <c r="E2878" s="15"/>
      <c r="F2878" s="17"/>
      <c r="G2878" s="22"/>
      <c r="H2878" s="22"/>
      <c r="I2878" s="29"/>
      <c r="J2878" s="29"/>
      <c r="K2878" s="29"/>
      <c r="L2878" s="29"/>
    </row>
    <row r="2879">
      <c r="A2879" s="13"/>
      <c r="B2879" s="13"/>
      <c r="C2879" s="15"/>
      <c r="D2879" s="15"/>
      <c r="E2879" s="15"/>
      <c r="F2879" s="17"/>
      <c r="G2879" s="22"/>
      <c r="H2879" s="22"/>
      <c r="I2879" s="29"/>
      <c r="J2879" s="29"/>
      <c r="K2879" s="29"/>
      <c r="L2879" s="29"/>
    </row>
    <row r="2880">
      <c r="A2880" s="13"/>
      <c r="B2880" s="13"/>
      <c r="C2880" s="15"/>
      <c r="D2880" s="15"/>
      <c r="E2880" s="15"/>
      <c r="F2880" s="17"/>
      <c r="G2880" s="22"/>
      <c r="H2880" s="22"/>
      <c r="I2880" s="29"/>
      <c r="J2880" s="29"/>
      <c r="K2880" s="29"/>
      <c r="L2880" s="29"/>
    </row>
    <row r="2881">
      <c r="A2881" s="13"/>
      <c r="B2881" s="13"/>
      <c r="C2881" s="15"/>
      <c r="D2881" s="15"/>
      <c r="E2881" s="15"/>
      <c r="F2881" s="17"/>
      <c r="G2881" s="22"/>
      <c r="H2881" s="22"/>
      <c r="I2881" s="29"/>
      <c r="J2881" s="29"/>
      <c r="K2881" s="29"/>
      <c r="L2881" s="29"/>
    </row>
    <row r="2882">
      <c r="A2882" s="13"/>
      <c r="B2882" s="13"/>
      <c r="C2882" s="15"/>
      <c r="D2882" s="15"/>
      <c r="E2882" s="15"/>
      <c r="F2882" s="17"/>
      <c r="G2882" s="22"/>
      <c r="H2882" s="22"/>
      <c r="I2882" s="29"/>
      <c r="J2882" s="29"/>
      <c r="K2882" s="29"/>
      <c r="L2882" s="29"/>
    </row>
    <row r="2883">
      <c r="A2883" s="13"/>
      <c r="B2883" s="13"/>
      <c r="C2883" s="15"/>
      <c r="D2883" s="15"/>
      <c r="E2883" s="15"/>
      <c r="F2883" s="17"/>
      <c r="G2883" s="22"/>
      <c r="H2883" s="22"/>
      <c r="I2883" s="29"/>
      <c r="J2883" s="29"/>
      <c r="K2883" s="29"/>
      <c r="L2883" s="29"/>
    </row>
    <row r="2884">
      <c r="A2884" s="13"/>
      <c r="B2884" s="13"/>
      <c r="C2884" s="15"/>
      <c r="D2884" s="15"/>
      <c r="E2884" s="15"/>
      <c r="F2884" s="17"/>
      <c r="G2884" s="22"/>
      <c r="H2884" s="22"/>
      <c r="I2884" s="29"/>
      <c r="J2884" s="29"/>
      <c r="K2884" s="29"/>
      <c r="L2884" s="29"/>
    </row>
    <row r="2885">
      <c r="A2885" s="13"/>
      <c r="B2885" s="13"/>
      <c r="C2885" s="15"/>
      <c r="D2885" s="15"/>
      <c r="E2885" s="15"/>
      <c r="F2885" s="17"/>
      <c r="G2885" s="22"/>
      <c r="H2885" s="22"/>
      <c r="I2885" s="29"/>
      <c r="J2885" s="29"/>
      <c r="K2885" s="29"/>
      <c r="L2885" s="29"/>
    </row>
    <row r="2886">
      <c r="A2886" s="13"/>
      <c r="B2886" s="13"/>
      <c r="C2886" s="15"/>
      <c r="D2886" s="15"/>
      <c r="E2886" s="15"/>
      <c r="F2886" s="17"/>
      <c r="G2886" s="22"/>
      <c r="H2886" s="22"/>
      <c r="I2886" s="29"/>
      <c r="J2886" s="29"/>
      <c r="K2886" s="29"/>
      <c r="L2886" s="29"/>
    </row>
    <row r="2887">
      <c r="A2887" s="13"/>
      <c r="B2887" s="13"/>
      <c r="C2887" s="15"/>
      <c r="D2887" s="15"/>
      <c r="E2887" s="15"/>
      <c r="F2887" s="17"/>
      <c r="G2887" s="22"/>
      <c r="H2887" s="22"/>
      <c r="I2887" s="29"/>
      <c r="J2887" s="29"/>
      <c r="K2887" s="29"/>
      <c r="L2887" s="29"/>
    </row>
    <row r="2888">
      <c r="A2888" s="13"/>
      <c r="B2888" s="13"/>
      <c r="C2888" s="15"/>
      <c r="D2888" s="15"/>
      <c r="E2888" s="15"/>
      <c r="F2888" s="17"/>
      <c r="G2888" s="22"/>
      <c r="H2888" s="22"/>
      <c r="I2888" s="29"/>
      <c r="J2888" s="29"/>
      <c r="K2888" s="29"/>
      <c r="L2888" s="29"/>
    </row>
    <row r="2889">
      <c r="A2889" s="13"/>
      <c r="B2889" s="13"/>
      <c r="C2889" s="15"/>
      <c r="D2889" s="15"/>
      <c r="E2889" s="15"/>
      <c r="F2889" s="17"/>
      <c r="G2889" s="22"/>
      <c r="H2889" s="22"/>
      <c r="I2889" s="29"/>
      <c r="J2889" s="29"/>
      <c r="K2889" s="29"/>
      <c r="L2889" s="29"/>
    </row>
    <row r="2890">
      <c r="A2890" s="13"/>
      <c r="B2890" s="13"/>
      <c r="C2890" s="15"/>
      <c r="D2890" s="15"/>
      <c r="E2890" s="15"/>
      <c r="F2890" s="17"/>
      <c r="G2890" s="22"/>
      <c r="H2890" s="22"/>
      <c r="I2890" s="29"/>
      <c r="J2890" s="29"/>
      <c r="K2890" s="29"/>
      <c r="L2890" s="29"/>
    </row>
    <row r="2891">
      <c r="A2891" s="13"/>
      <c r="B2891" s="13"/>
      <c r="C2891" s="15"/>
      <c r="D2891" s="15"/>
      <c r="E2891" s="15"/>
      <c r="F2891" s="17"/>
      <c r="G2891" s="22"/>
      <c r="H2891" s="22"/>
      <c r="I2891" s="29"/>
      <c r="J2891" s="29"/>
      <c r="K2891" s="29"/>
      <c r="L2891" s="29"/>
    </row>
    <row r="2892">
      <c r="A2892" s="13"/>
      <c r="B2892" s="13"/>
      <c r="C2892" s="15"/>
      <c r="D2892" s="15"/>
      <c r="E2892" s="15"/>
      <c r="F2892" s="17"/>
      <c r="G2892" s="22"/>
      <c r="H2892" s="22"/>
      <c r="I2892" s="29"/>
      <c r="J2892" s="29"/>
      <c r="K2892" s="29"/>
      <c r="L2892" s="29"/>
    </row>
    <row r="2893">
      <c r="A2893" s="13"/>
      <c r="B2893" s="13"/>
      <c r="C2893" s="15"/>
      <c r="D2893" s="15"/>
      <c r="E2893" s="15"/>
      <c r="F2893" s="17"/>
      <c r="G2893" s="22"/>
      <c r="H2893" s="22"/>
      <c r="I2893" s="29"/>
      <c r="J2893" s="29"/>
      <c r="K2893" s="29"/>
      <c r="L2893" s="29"/>
    </row>
    <row r="2894">
      <c r="A2894" s="13"/>
      <c r="B2894" s="13"/>
      <c r="C2894" s="15"/>
      <c r="D2894" s="15"/>
      <c r="E2894" s="15"/>
      <c r="F2894" s="17"/>
      <c r="G2894" s="22"/>
      <c r="H2894" s="22"/>
      <c r="I2894" s="29"/>
      <c r="J2894" s="29"/>
      <c r="K2894" s="29"/>
      <c r="L2894" s="29"/>
    </row>
    <row r="2895">
      <c r="A2895" s="13"/>
      <c r="B2895" s="13"/>
      <c r="C2895" s="15"/>
      <c r="D2895" s="15"/>
      <c r="E2895" s="15"/>
      <c r="F2895" s="17"/>
      <c r="G2895" s="22"/>
      <c r="H2895" s="22"/>
      <c r="I2895" s="29"/>
      <c r="J2895" s="29"/>
      <c r="K2895" s="29"/>
      <c r="L2895" s="29"/>
    </row>
    <row r="2896">
      <c r="A2896" s="13"/>
      <c r="B2896" s="13"/>
      <c r="C2896" s="15"/>
      <c r="D2896" s="15"/>
      <c r="E2896" s="15"/>
      <c r="F2896" s="17"/>
      <c r="G2896" s="22"/>
      <c r="H2896" s="22"/>
      <c r="I2896" s="29"/>
      <c r="J2896" s="29"/>
      <c r="K2896" s="29"/>
      <c r="L2896" s="29"/>
    </row>
    <row r="2897">
      <c r="A2897" s="13"/>
      <c r="B2897" s="13"/>
      <c r="C2897" s="15"/>
      <c r="D2897" s="15"/>
      <c r="E2897" s="15"/>
      <c r="F2897" s="17"/>
      <c r="G2897" s="22"/>
      <c r="H2897" s="22"/>
      <c r="I2897" s="29"/>
      <c r="J2897" s="29"/>
      <c r="K2897" s="29"/>
      <c r="L2897" s="29"/>
    </row>
    <row r="2898">
      <c r="A2898" s="13"/>
      <c r="B2898" s="13"/>
      <c r="C2898" s="15"/>
      <c r="D2898" s="15"/>
      <c r="E2898" s="15"/>
      <c r="F2898" s="17"/>
      <c r="G2898" s="22"/>
      <c r="H2898" s="22"/>
      <c r="I2898" s="29"/>
      <c r="J2898" s="29"/>
      <c r="K2898" s="29"/>
      <c r="L2898" s="29"/>
    </row>
    <row r="2899">
      <c r="A2899" s="13"/>
      <c r="B2899" s="13"/>
      <c r="C2899" s="15"/>
      <c r="D2899" s="15"/>
      <c r="E2899" s="15"/>
      <c r="F2899" s="17"/>
      <c r="G2899" s="22"/>
      <c r="H2899" s="22"/>
      <c r="I2899" s="29"/>
      <c r="J2899" s="29"/>
      <c r="K2899" s="29"/>
      <c r="L2899" s="29"/>
    </row>
    <row r="2900">
      <c r="A2900" s="13"/>
      <c r="B2900" s="13"/>
      <c r="C2900" s="15"/>
      <c r="D2900" s="15"/>
      <c r="E2900" s="15"/>
      <c r="F2900" s="17"/>
      <c r="G2900" s="22"/>
      <c r="H2900" s="22"/>
      <c r="I2900" s="29"/>
      <c r="J2900" s="29"/>
      <c r="K2900" s="29"/>
      <c r="L2900" s="29"/>
    </row>
    <row r="2901">
      <c r="A2901" s="13"/>
      <c r="B2901" s="13"/>
      <c r="C2901" s="15"/>
      <c r="D2901" s="15"/>
      <c r="E2901" s="15"/>
      <c r="F2901" s="17"/>
      <c r="G2901" s="22"/>
      <c r="H2901" s="22"/>
      <c r="I2901" s="29"/>
      <c r="J2901" s="29"/>
      <c r="K2901" s="29"/>
      <c r="L2901" s="29"/>
    </row>
    <row r="2902">
      <c r="A2902" s="13"/>
      <c r="B2902" s="13"/>
      <c r="C2902" s="15"/>
      <c r="D2902" s="15"/>
      <c r="E2902" s="15"/>
      <c r="F2902" s="17"/>
      <c r="G2902" s="22"/>
      <c r="H2902" s="22"/>
      <c r="I2902" s="29"/>
      <c r="J2902" s="29"/>
      <c r="K2902" s="29"/>
      <c r="L2902" s="29"/>
    </row>
    <row r="2903">
      <c r="A2903" s="13"/>
      <c r="B2903" s="13"/>
      <c r="C2903" s="15"/>
      <c r="D2903" s="15"/>
      <c r="E2903" s="15"/>
      <c r="F2903" s="17"/>
      <c r="G2903" s="22"/>
      <c r="H2903" s="22"/>
      <c r="I2903" s="29"/>
      <c r="J2903" s="29"/>
      <c r="K2903" s="29"/>
      <c r="L2903" s="29"/>
    </row>
    <row r="2904">
      <c r="A2904" s="13"/>
      <c r="B2904" s="13"/>
      <c r="C2904" s="15"/>
      <c r="D2904" s="15"/>
      <c r="E2904" s="15"/>
      <c r="F2904" s="17"/>
      <c r="G2904" s="22"/>
      <c r="H2904" s="22"/>
      <c r="I2904" s="29"/>
      <c r="J2904" s="29"/>
      <c r="K2904" s="29"/>
      <c r="L2904" s="29"/>
    </row>
    <row r="2905">
      <c r="A2905" s="13"/>
      <c r="B2905" s="13"/>
      <c r="C2905" s="15"/>
      <c r="D2905" s="15"/>
      <c r="E2905" s="15"/>
      <c r="F2905" s="17"/>
      <c r="G2905" s="22"/>
      <c r="H2905" s="22"/>
      <c r="I2905" s="29"/>
      <c r="J2905" s="29"/>
      <c r="K2905" s="29"/>
      <c r="L2905" s="29"/>
    </row>
    <row r="2906">
      <c r="A2906" s="13"/>
      <c r="B2906" s="13"/>
      <c r="C2906" s="15"/>
      <c r="D2906" s="15"/>
      <c r="E2906" s="15"/>
      <c r="F2906" s="17"/>
      <c r="G2906" s="22"/>
      <c r="H2906" s="22"/>
      <c r="I2906" s="29"/>
      <c r="J2906" s="29"/>
      <c r="K2906" s="29"/>
      <c r="L2906" s="29"/>
    </row>
    <row r="2907">
      <c r="A2907" s="13"/>
      <c r="B2907" s="13"/>
      <c r="C2907" s="15"/>
      <c r="D2907" s="15"/>
      <c r="E2907" s="15"/>
      <c r="F2907" s="17"/>
      <c r="G2907" s="22"/>
      <c r="H2907" s="22"/>
      <c r="I2907" s="29"/>
      <c r="J2907" s="29"/>
      <c r="K2907" s="29"/>
      <c r="L2907" s="29"/>
    </row>
    <row r="2908">
      <c r="A2908" s="13"/>
      <c r="B2908" s="13"/>
      <c r="C2908" s="15"/>
      <c r="D2908" s="15"/>
      <c r="E2908" s="15"/>
      <c r="F2908" s="17"/>
      <c r="G2908" s="22"/>
      <c r="H2908" s="22"/>
      <c r="I2908" s="29"/>
      <c r="J2908" s="29"/>
      <c r="K2908" s="29"/>
      <c r="L2908" s="29"/>
    </row>
    <row r="2909">
      <c r="A2909" s="13"/>
      <c r="B2909" s="13"/>
      <c r="C2909" s="15"/>
      <c r="D2909" s="15"/>
      <c r="E2909" s="15"/>
      <c r="F2909" s="17"/>
      <c r="G2909" s="22"/>
      <c r="H2909" s="22"/>
      <c r="I2909" s="29"/>
      <c r="J2909" s="29"/>
      <c r="K2909" s="29"/>
      <c r="L2909" s="29"/>
    </row>
    <row r="2910">
      <c r="A2910" s="13"/>
      <c r="B2910" s="13"/>
      <c r="C2910" s="15"/>
      <c r="D2910" s="15"/>
      <c r="E2910" s="15"/>
      <c r="F2910" s="17"/>
      <c r="G2910" s="22"/>
      <c r="H2910" s="22"/>
      <c r="I2910" s="29"/>
      <c r="J2910" s="29"/>
      <c r="K2910" s="29"/>
      <c r="L2910" s="29"/>
    </row>
    <row r="2911">
      <c r="A2911" s="13"/>
      <c r="B2911" s="13"/>
      <c r="C2911" s="15"/>
      <c r="D2911" s="15"/>
      <c r="E2911" s="15"/>
      <c r="F2911" s="17"/>
      <c r="G2911" s="22"/>
      <c r="H2911" s="22"/>
      <c r="I2911" s="29"/>
      <c r="J2911" s="29"/>
      <c r="K2911" s="29"/>
      <c r="L2911" s="29"/>
    </row>
    <row r="2912">
      <c r="A2912" s="13"/>
      <c r="B2912" s="13"/>
      <c r="C2912" s="15"/>
      <c r="D2912" s="15"/>
      <c r="E2912" s="15"/>
      <c r="F2912" s="17"/>
      <c r="G2912" s="22"/>
      <c r="H2912" s="22"/>
      <c r="I2912" s="29"/>
      <c r="J2912" s="29"/>
      <c r="K2912" s="29"/>
      <c r="L2912" s="29"/>
    </row>
    <row r="2913">
      <c r="A2913" s="13"/>
      <c r="B2913" s="13"/>
      <c r="C2913" s="15"/>
      <c r="D2913" s="15"/>
      <c r="E2913" s="15"/>
      <c r="F2913" s="17"/>
      <c r="G2913" s="22"/>
      <c r="H2913" s="22"/>
      <c r="I2913" s="29"/>
      <c r="J2913" s="29"/>
      <c r="K2913" s="29"/>
      <c r="L2913" s="29"/>
    </row>
    <row r="2914">
      <c r="A2914" s="13"/>
      <c r="B2914" s="13"/>
      <c r="C2914" s="15"/>
      <c r="D2914" s="15"/>
      <c r="E2914" s="15"/>
      <c r="F2914" s="17"/>
      <c r="G2914" s="22"/>
      <c r="H2914" s="22"/>
      <c r="I2914" s="29"/>
      <c r="J2914" s="29"/>
      <c r="K2914" s="29"/>
      <c r="L2914" s="29"/>
    </row>
    <row r="2915">
      <c r="A2915" s="13"/>
      <c r="B2915" s="13"/>
      <c r="C2915" s="15"/>
      <c r="D2915" s="15"/>
      <c r="E2915" s="15"/>
      <c r="F2915" s="17"/>
      <c r="G2915" s="22"/>
      <c r="H2915" s="22"/>
      <c r="I2915" s="29"/>
      <c r="J2915" s="29"/>
      <c r="K2915" s="29"/>
      <c r="L2915" s="29"/>
    </row>
    <row r="2916">
      <c r="A2916" s="13"/>
      <c r="B2916" s="13"/>
      <c r="C2916" s="15"/>
      <c r="D2916" s="15"/>
      <c r="E2916" s="15"/>
      <c r="F2916" s="17"/>
      <c r="G2916" s="22"/>
      <c r="H2916" s="22"/>
      <c r="I2916" s="29"/>
      <c r="J2916" s="29"/>
      <c r="K2916" s="29"/>
      <c r="L2916" s="29"/>
    </row>
    <row r="2917">
      <c r="A2917" s="13"/>
      <c r="B2917" s="13"/>
      <c r="C2917" s="15"/>
      <c r="D2917" s="15"/>
      <c r="E2917" s="15"/>
      <c r="F2917" s="17"/>
      <c r="G2917" s="22"/>
      <c r="H2917" s="22"/>
      <c r="I2917" s="29"/>
      <c r="J2917" s="29"/>
      <c r="K2917" s="29"/>
      <c r="L2917" s="29"/>
    </row>
    <row r="2918">
      <c r="A2918" s="13"/>
      <c r="B2918" s="13"/>
      <c r="C2918" s="15"/>
      <c r="D2918" s="15"/>
      <c r="E2918" s="15"/>
      <c r="F2918" s="17"/>
      <c r="G2918" s="22"/>
      <c r="H2918" s="22"/>
      <c r="I2918" s="29"/>
      <c r="J2918" s="29"/>
      <c r="K2918" s="29"/>
      <c r="L2918" s="29"/>
    </row>
    <row r="2919">
      <c r="A2919" s="13"/>
      <c r="B2919" s="13"/>
      <c r="C2919" s="15"/>
      <c r="D2919" s="15"/>
      <c r="E2919" s="15"/>
      <c r="F2919" s="17"/>
      <c r="G2919" s="22"/>
      <c r="H2919" s="22"/>
      <c r="I2919" s="29"/>
      <c r="J2919" s="29"/>
      <c r="K2919" s="29"/>
      <c r="L2919" s="29"/>
    </row>
    <row r="2920">
      <c r="A2920" s="13"/>
      <c r="B2920" s="13"/>
      <c r="C2920" s="15"/>
      <c r="D2920" s="15"/>
      <c r="E2920" s="15"/>
      <c r="F2920" s="17"/>
      <c r="G2920" s="22"/>
      <c r="H2920" s="22"/>
      <c r="I2920" s="29"/>
      <c r="J2920" s="29"/>
      <c r="K2920" s="29"/>
      <c r="L2920" s="29"/>
    </row>
    <row r="2921">
      <c r="A2921" s="13"/>
      <c r="B2921" s="13"/>
      <c r="C2921" s="15"/>
      <c r="D2921" s="15"/>
      <c r="E2921" s="15"/>
      <c r="F2921" s="17"/>
      <c r="G2921" s="22"/>
      <c r="H2921" s="22"/>
      <c r="I2921" s="29"/>
      <c r="J2921" s="29"/>
      <c r="K2921" s="29"/>
      <c r="L2921" s="29"/>
    </row>
    <row r="2922">
      <c r="A2922" s="13"/>
      <c r="B2922" s="13"/>
      <c r="C2922" s="15"/>
      <c r="D2922" s="15"/>
      <c r="E2922" s="15"/>
      <c r="F2922" s="17"/>
      <c r="G2922" s="22"/>
      <c r="H2922" s="22"/>
      <c r="I2922" s="29"/>
      <c r="J2922" s="29"/>
      <c r="K2922" s="29"/>
      <c r="L2922" s="29"/>
    </row>
    <row r="2923">
      <c r="A2923" s="13"/>
      <c r="B2923" s="13"/>
      <c r="C2923" s="15"/>
      <c r="D2923" s="15"/>
      <c r="E2923" s="15"/>
      <c r="F2923" s="17"/>
      <c r="G2923" s="22"/>
      <c r="H2923" s="22"/>
      <c r="I2923" s="29"/>
      <c r="J2923" s="29"/>
      <c r="K2923" s="29"/>
      <c r="L2923" s="29"/>
    </row>
    <row r="2924">
      <c r="A2924" s="13"/>
      <c r="B2924" s="13"/>
      <c r="C2924" s="15"/>
      <c r="D2924" s="15"/>
      <c r="E2924" s="15"/>
      <c r="F2924" s="17"/>
      <c r="G2924" s="22"/>
      <c r="H2924" s="22"/>
      <c r="I2924" s="29"/>
      <c r="J2924" s="29"/>
      <c r="K2924" s="29"/>
      <c r="L2924" s="29"/>
    </row>
    <row r="2925">
      <c r="A2925" s="13"/>
      <c r="B2925" s="13"/>
      <c r="C2925" s="15"/>
      <c r="D2925" s="15"/>
      <c r="E2925" s="15"/>
      <c r="F2925" s="17"/>
      <c r="G2925" s="22"/>
      <c r="H2925" s="22"/>
      <c r="I2925" s="29"/>
      <c r="J2925" s="29"/>
      <c r="K2925" s="29"/>
      <c r="L2925" s="29"/>
    </row>
    <row r="2926">
      <c r="A2926" s="13"/>
      <c r="B2926" s="13"/>
      <c r="C2926" s="15"/>
      <c r="D2926" s="15"/>
      <c r="E2926" s="15"/>
      <c r="F2926" s="17"/>
      <c r="G2926" s="22"/>
      <c r="H2926" s="22"/>
      <c r="I2926" s="29"/>
      <c r="J2926" s="29"/>
      <c r="K2926" s="29"/>
      <c r="L2926" s="29"/>
    </row>
    <row r="2927">
      <c r="A2927" s="13"/>
      <c r="B2927" s="13"/>
      <c r="C2927" s="15"/>
      <c r="D2927" s="15"/>
      <c r="E2927" s="15"/>
      <c r="F2927" s="17"/>
      <c r="G2927" s="22"/>
      <c r="H2927" s="22"/>
      <c r="I2927" s="29"/>
      <c r="J2927" s="29"/>
      <c r="K2927" s="29"/>
      <c r="L2927" s="29"/>
    </row>
    <row r="2928">
      <c r="A2928" s="13"/>
      <c r="B2928" s="13"/>
      <c r="C2928" s="15"/>
      <c r="D2928" s="15"/>
      <c r="E2928" s="15"/>
      <c r="F2928" s="17"/>
      <c r="G2928" s="22"/>
      <c r="H2928" s="22"/>
      <c r="I2928" s="29"/>
      <c r="J2928" s="29"/>
      <c r="K2928" s="29"/>
      <c r="L2928" s="29"/>
    </row>
    <row r="2929">
      <c r="A2929" s="13"/>
      <c r="B2929" s="13"/>
      <c r="C2929" s="15"/>
      <c r="D2929" s="15"/>
      <c r="E2929" s="15"/>
      <c r="F2929" s="17"/>
      <c r="G2929" s="22"/>
      <c r="H2929" s="22"/>
      <c r="I2929" s="29"/>
      <c r="J2929" s="29"/>
      <c r="K2929" s="29"/>
      <c r="L2929" s="29"/>
    </row>
    <row r="2930">
      <c r="A2930" s="13"/>
      <c r="B2930" s="13"/>
      <c r="C2930" s="15"/>
      <c r="D2930" s="15"/>
      <c r="E2930" s="15"/>
      <c r="F2930" s="17"/>
      <c r="G2930" s="22"/>
      <c r="H2930" s="22"/>
      <c r="I2930" s="29"/>
      <c r="J2930" s="29"/>
      <c r="K2930" s="29"/>
      <c r="L2930" s="29"/>
    </row>
    <row r="2931">
      <c r="A2931" s="13"/>
      <c r="B2931" s="13"/>
      <c r="C2931" s="15"/>
      <c r="D2931" s="15"/>
      <c r="E2931" s="15"/>
      <c r="F2931" s="17"/>
      <c r="G2931" s="22"/>
      <c r="H2931" s="22"/>
      <c r="I2931" s="29"/>
      <c r="J2931" s="29"/>
      <c r="K2931" s="29"/>
      <c r="L2931" s="29"/>
    </row>
    <row r="2932">
      <c r="A2932" s="13"/>
      <c r="B2932" s="13"/>
      <c r="C2932" s="15"/>
      <c r="D2932" s="15"/>
      <c r="E2932" s="15"/>
      <c r="F2932" s="17"/>
      <c r="G2932" s="22"/>
      <c r="H2932" s="22"/>
      <c r="I2932" s="29"/>
      <c r="J2932" s="29"/>
      <c r="K2932" s="29"/>
      <c r="L2932" s="29"/>
    </row>
    <row r="2933">
      <c r="A2933" s="13"/>
      <c r="B2933" s="13"/>
      <c r="C2933" s="15"/>
      <c r="D2933" s="15"/>
      <c r="E2933" s="15"/>
      <c r="F2933" s="17"/>
      <c r="G2933" s="22"/>
      <c r="H2933" s="22"/>
      <c r="I2933" s="29"/>
      <c r="J2933" s="29"/>
      <c r="K2933" s="29"/>
      <c r="L2933" s="29"/>
    </row>
    <row r="2934">
      <c r="A2934" s="13"/>
      <c r="B2934" s="13"/>
      <c r="C2934" s="15"/>
      <c r="D2934" s="15"/>
      <c r="E2934" s="15"/>
      <c r="F2934" s="17"/>
      <c r="G2934" s="22"/>
      <c r="H2934" s="22"/>
      <c r="I2934" s="29"/>
      <c r="J2934" s="29"/>
      <c r="K2934" s="29"/>
      <c r="L2934" s="29"/>
    </row>
    <row r="2935">
      <c r="A2935" s="13"/>
      <c r="B2935" s="13"/>
      <c r="C2935" s="15"/>
      <c r="D2935" s="15"/>
      <c r="E2935" s="15"/>
      <c r="F2935" s="17"/>
      <c r="G2935" s="22"/>
      <c r="H2935" s="22"/>
      <c r="I2935" s="29"/>
      <c r="J2935" s="29"/>
      <c r="K2935" s="29"/>
      <c r="L2935" s="29"/>
    </row>
    <row r="2936">
      <c r="A2936" s="13"/>
      <c r="B2936" s="13"/>
      <c r="C2936" s="15"/>
      <c r="D2936" s="15"/>
      <c r="E2936" s="15"/>
      <c r="F2936" s="17"/>
      <c r="G2936" s="22"/>
      <c r="H2936" s="22"/>
      <c r="I2936" s="29"/>
      <c r="J2936" s="29"/>
      <c r="K2936" s="29"/>
      <c r="L2936" s="29"/>
    </row>
    <row r="2937">
      <c r="A2937" s="13"/>
      <c r="B2937" s="13"/>
      <c r="C2937" s="15"/>
      <c r="D2937" s="15"/>
      <c r="E2937" s="15"/>
      <c r="F2937" s="17"/>
      <c r="G2937" s="22"/>
      <c r="H2937" s="22"/>
      <c r="I2937" s="29"/>
      <c r="J2937" s="29"/>
      <c r="K2937" s="29"/>
      <c r="L2937" s="29"/>
    </row>
    <row r="2938">
      <c r="A2938" s="13"/>
      <c r="B2938" s="13"/>
      <c r="C2938" s="15"/>
      <c r="D2938" s="15"/>
      <c r="E2938" s="15"/>
      <c r="F2938" s="17"/>
      <c r="G2938" s="22"/>
      <c r="H2938" s="22"/>
      <c r="I2938" s="29"/>
      <c r="J2938" s="29"/>
      <c r="K2938" s="29"/>
      <c r="L2938" s="29"/>
    </row>
    <row r="2939">
      <c r="A2939" s="13"/>
      <c r="B2939" s="13"/>
      <c r="C2939" s="15"/>
      <c r="D2939" s="15"/>
      <c r="E2939" s="15"/>
      <c r="F2939" s="17"/>
      <c r="G2939" s="22"/>
      <c r="H2939" s="22"/>
      <c r="I2939" s="29"/>
      <c r="J2939" s="29"/>
      <c r="K2939" s="29"/>
      <c r="L2939" s="29"/>
    </row>
    <row r="2940">
      <c r="A2940" s="13"/>
      <c r="B2940" s="13"/>
      <c r="C2940" s="15"/>
      <c r="D2940" s="15"/>
      <c r="E2940" s="15"/>
      <c r="F2940" s="17"/>
      <c r="G2940" s="22"/>
      <c r="H2940" s="22"/>
      <c r="I2940" s="29"/>
      <c r="J2940" s="29"/>
      <c r="K2940" s="29"/>
      <c r="L2940" s="29"/>
    </row>
    <row r="2941">
      <c r="A2941" s="13"/>
      <c r="B2941" s="13"/>
      <c r="C2941" s="15"/>
      <c r="D2941" s="15"/>
      <c r="E2941" s="15"/>
      <c r="F2941" s="17"/>
      <c r="G2941" s="22"/>
      <c r="H2941" s="22"/>
      <c r="I2941" s="29"/>
      <c r="J2941" s="29"/>
      <c r="K2941" s="29"/>
      <c r="L2941" s="29"/>
    </row>
    <row r="2942">
      <c r="A2942" s="13"/>
      <c r="B2942" s="13"/>
      <c r="C2942" s="15"/>
      <c r="D2942" s="15"/>
      <c r="E2942" s="15"/>
      <c r="F2942" s="17"/>
      <c r="G2942" s="22"/>
      <c r="H2942" s="22"/>
      <c r="I2942" s="29"/>
      <c r="J2942" s="29"/>
      <c r="K2942" s="29"/>
      <c r="L2942" s="29"/>
    </row>
    <row r="2943">
      <c r="A2943" s="13"/>
      <c r="B2943" s="13"/>
      <c r="C2943" s="15"/>
      <c r="D2943" s="15"/>
      <c r="E2943" s="15"/>
      <c r="F2943" s="17"/>
      <c r="G2943" s="22"/>
      <c r="H2943" s="22"/>
      <c r="I2943" s="29"/>
      <c r="J2943" s="29"/>
      <c r="K2943" s="29"/>
      <c r="L2943" s="29"/>
    </row>
    <row r="2944">
      <c r="A2944" s="13"/>
      <c r="B2944" s="13"/>
      <c r="C2944" s="15"/>
      <c r="D2944" s="15"/>
      <c r="E2944" s="15"/>
      <c r="F2944" s="17"/>
      <c r="G2944" s="22"/>
      <c r="H2944" s="22"/>
      <c r="I2944" s="29"/>
      <c r="J2944" s="29"/>
      <c r="K2944" s="29"/>
      <c r="L2944" s="29"/>
    </row>
    <row r="2945">
      <c r="A2945" s="13"/>
      <c r="B2945" s="13"/>
      <c r="C2945" s="15"/>
      <c r="D2945" s="15"/>
      <c r="E2945" s="15"/>
      <c r="F2945" s="17"/>
      <c r="G2945" s="22"/>
      <c r="H2945" s="22"/>
      <c r="I2945" s="29"/>
      <c r="J2945" s="29"/>
      <c r="K2945" s="29"/>
      <c r="L2945" s="29"/>
    </row>
    <row r="2946">
      <c r="A2946" s="13"/>
      <c r="B2946" s="13"/>
      <c r="C2946" s="15"/>
      <c r="D2946" s="15"/>
      <c r="E2946" s="15"/>
      <c r="F2946" s="17"/>
      <c r="G2946" s="22"/>
      <c r="H2946" s="22"/>
      <c r="I2946" s="29"/>
      <c r="J2946" s="29"/>
      <c r="K2946" s="29"/>
      <c r="L2946" s="29"/>
    </row>
    <row r="2947">
      <c r="A2947" s="13"/>
      <c r="B2947" s="13"/>
      <c r="C2947" s="15"/>
      <c r="D2947" s="15"/>
      <c r="E2947" s="15"/>
      <c r="F2947" s="17"/>
      <c r="G2947" s="22"/>
      <c r="H2947" s="22"/>
      <c r="I2947" s="29"/>
      <c r="J2947" s="29"/>
      <c r="K2947" s="29"/>
      <c r="L2947" s="29"/>
    </row>
    <row r="2948">
      <c r="A2948" s="13"/>
      <c r="B2948" s="13"/>
      <c r="C2948" s="15"/>
      <c r="D2948" s="15"/>
      <c r="E2948" s="15"/>
      <c r="F2948" s="17"/>
      <c r="G2948" s="22"/>
      <c r="H2948" s="22"/>
      <c r="I2948" s="29"/>
      <c r="J2948" s="29"/>
      <c r="K2948" s="29"/>
      <c r="L2948" s="29"/>
    </row>
    <row r="2949">
      <c r="A2949" s="13"/>
      <c r="B2949" s="13"/>
      <c r="C2949" s="15"/>
      <c r="D2949" s="15"/>
      <c r="E2949" s="15"/>
      <c r="F2949" s="17"/>
      <c r="G2949" s="22"/>
      <c r="H2949" s="22"/>
      <c r="I2949" s="29"/>
      <c r="J2949" s="29"/>
      <c r="K2949" s="29"/>
      <c r="L2949" s="29"/>
    </row>
    <row r="2950">
      <c r="A2950" s="13"/>
      <c r="B2950" s="13"/>
      <c r="C2950" s="15"/>
      <c r="D2950" s="15"/>
      <c r="E2950" s="15"/>
      <c r="F2950" s="17"/>
      <c r="G2950" s="22"/>
      <c r="H2950" s="22"/>
      <c r="I2950" s="29"/>
      <c r="J2950" s="29"/>
      <c r="K2950" s="29"/>
      <c r="L2950" s="29"/>
    </row>
    <row r="2951">
      <c r="A2951" s="13"/>
      <c r="B2951" s="13"/>
      <c r="C2951" s="15"/>
      <c r="D2951" s="15"/>
      <c r="E2951" s="15"/>
      <c r="F2951" s="17"/>
      <c r="G2951" s="22"/>
      <c r="H2951" s="22"/>
      <c r="I2951" s="29"/>
      <c r="J2951" s="29"/>
      <c r="K2951" s="29"/>
      <c r="L2951" s="29"/>
    </row>
    <row r="2952">
      <c r="A2952" s="13"/>
      <c r="B2952" s="13"/>
      <c r="C2952" s="15"/>
      <c r="D2952" s="15"/>
      <c r="E2952" s="15"/>
      <c r="F2952" s="17"/>
      <c r="G2952" s="22"/>
      <c r="H2952" s="22"/>
      <c r="I2952" s="29"/>
      <c r="J2952" s="29"/>
      <c r="K2952" s="29"/>
      <c r="L2952" s="29"/>
    </row>
    <row r="2953">
      <c r="A2953" s="13"/>
      <c r="B2953" s="13"/>
      <c r="C2953" s="15"/>
      <c r="D2953" s="15"/>
      <c r="E2953" s="15"/>
      <c r="F2953" s="17"/>
      <c r="G2953" s="22"/>
      <c r="H2953" s="22"/>
      <c r="I2953" s="29"/>
      <c r="J2953" s="29"/>
      <c r="K2953" s="29"/>
      <c r="L2953" s="29"/>
    </row>
    <row r="2954">
      <c r="A2954" s="13"/>
      <c r="B2954" s="13"/>
      <c r="C2954" s="15"/>
      <c r="D2954" s="15"/>
      <c r="E2954" s="15"/>
      <c r="F2954" s="17"/>
      <c r="G2954" s="22"/>
      <c r="H2954" s="22"/>
      <c r="I2954" s="29"/>
      <c r="J2954" s="29"/>
      <c r="K2954" s="29"/>
      <c r="L2954" s="29"/>
    </row>
    <row r="2955">
      <c r="A2955" s="13"/>
      <c r="B2955" s="13"/>
      <c r="C2955" s="15"/>
      <c r="D2955" s="15"/>
      <c r="E2955" s="15"/>
      <c r="F2955" s="17"/>
      <c r="G2955" s="22"/>
      <c r="H2955" s="22"/>
      <c r="I2955" s="29"/>
      <c r="J2955" s="29"/>
      <c r="K2955" s="29"/>
      <c r="L2955" s="29"/>
    </row>
    <row r="2956">
      <c r="A2956" s="13"/>
      <c r="B2956" s="13"/>
      <c r="C2956" s="15"/>
      <c r="D2956" s="15"/>
      <c r="E2956" s="15"/>
      <c r="F2956" s="17"/>
      <c r="G2956" s="22"/>
      <c r="H2956" s="22"/>
      <c r="I2956" s="29"/>
      <c r="J2956" s="29"/>
      <c r="K2956" s="29"/>
      <c r="L2956" s="29"/>
    </row>
    <row r="2957">
      <c r="A2957" s="13"/>
      <c r="B2957" s="13"/>
      <c r="C2957" s="15"/>
      <c r="D2957" s="15"/>
      <c r="E2957" s="15"/>
      <c r="F2957" s="17"/>
      <c r="G2957" s="22"/>
      <c r="H2957" s="22"/>
      <c r="I2957" s="29"/>
      <c r="J2957" s="29"/>
      <c r="K2957" s="29"/>
      <c r="L2957" s="29"/>
    </row>
    <row r="2958">
      <c r="A2958" s="13"/>
      <c r="B2958" s="13"/>
      <c r="C2958" s="15"/>
      <c r="D2958" s="15"/>
      <c r="E2958" s="15"/>
      <c r="F2958" s="17"/>
      <c r="G2958" s="22"/>
      <c r="H2958" s="22"/>
      <c r="I2958" s="29"/>
      <c r="J2958" s="29"/>
      <c r="K2958" s="29"/>
      <c r="L2958" s="29"/>
    </row>
    <row r="2959">
      <c r="A2959" s="13"/>
      <c r="B2959" s="13"/>
      <c r="C2959" s="15"/>
      <c r="D2959" s="15"/>
      <c r="E2959" s="15"/>
      <c r="F2959" s="17"/>
      <c r="G2959" s="22"/>
      <c r="H2959" s="22"/>
      <c r="I2959" s="29"/>
      <c r="J2959" s="29"/>
      <c r="K2959" s="29"/>
      <c r="L2959" s="29"/>
    </row>
    <row r="2960">
      <c r="A2960" s="13"/>
      <c r="B2960" s="13"/>
      <c r="C2960" s="15"/>
      <c r="D2960" s="15"/>
      <c r="E2960" s="15"/>
      <c r="F2960" s="17"/>
      <c r="G2960" s="22"/>
      <c r="H2960" s="22"/>
      <c r="I2960" s="29"/>
      <c r="J2960" s="29"/>
      <c r="K2960" s="29"/>
      <c r="L2960" s="29"/>
    </row>
    <row r="2961">
      <c r="A2961" s="13"/>
      <c r="B2961" s="13"/>
      <c r="C2961" s="15"/>
      <c r="D2961" s="15"/>
      <c r="E2961" s="15"/>
      <c r="F2961" s="17"/>
      <c r="G2961" s="22"/>
      <c r="H2961" s="22"/>
      <c r="I2961" s="29"/>
      <c r="J2961" s="29"/>
      <c r="K2961" s="29"/>
      <c r="L2961" s="29"/>
    </row>
    <row r="2962">
      <c r="A2962" s="13"/>
      <c r="B2962" s="13"/>
      <c r="C2962" s="15"/>
      <c r="D2962" s="15"/>
      <c r="E2962" s="15"/>
      <c r="F2962" s="17"/>
      <c r="G2962" s="22"/>
      <c r="H2962" s="22"/>
      <c r="I2962" s="29"/>
      <c r="J2962" s="29"/>
      <c r="K2962" s="29"/>
      <c r="L2962" s="29"/>
    </row>
    <row r="2963">
      <c r="A2963" s="13"/>
      <c r="B2963" s="13"/>
      <c r="C2963" s="15"/>
      <c r="D2963" s="15"/>
      <c r="E2963" s="15"/>
      <c r="F2963" s="17"/>
      <c r="G2963" s="22"/>
      <c r="H2963" s="22"/>
      <c r="I2963" s="29"/>
      <c r="J2963" s="29"/>
      <c r="K2963" s="29"/>
      <c r="L2963" s="29"/>
    </row>
    <row r="2964">
      <c r="A2964" s="13"/>
      <c r="B2964" s="13"/>
      <c r="C2964" s="15"/>
      <c r="D2964" s="15"/>
      <c r="E2964" s="15"/>
      <c r="F2964" s="17"/>
      <c r="G2964" s="22"/>
      <c r="H2964" s="22"/>
      <c r="I2964" s="29"/>
      <c r="J2964" s="29"/>
      <c r="K2964" s="29"/>
      <c r="L2964" s="29"/>
    </row>
    <row r="2965">
      <c r="A2965" s="13"/>
      <c r="B2965" s="13"/>
      <c r="C2965" s="15"/>
      <c r="D2965" s="15"/>
      <c r="E2965" s="15"/>
      <c r="F2965" s="17"/>
      <c r="G2965" s="22"/>
      <c r="H2965" s="22"/>
      <c r="I2965" s="29"/>
      <c r="J2965" s="29"/>
      <c r="K2965" s="29"/>
      <c r="L2965" s="29"/>
    </row>
    <row r="2966">
      <c r="A2966" s="13"/>
      <c r="B2966" s="13"/>
      <c r="C2966" s="15"/>
      <c r="D2966" s="15"/>
      <c r="E2966" s="15"/>
      <c r="F2966" s="17"/>
      <c r="G2966" s="22"/>
      <c r="H2966" s="22"/>
      <c r="I2966" s="29"/>
      <c r="J2966" s="29"/>
      <c r="K2966" s="29"/>
      <c r="L2966" s="29"/>
    </row>
    <row r="2967">
      <c r="A2967" s="13"/>
      <c r="B2967" s="13"/>
      <c r="C2967" s="15"/>
      <c r="D2967" s="15"/>
      <c r="E2967" s="15"/>
      <c r="F2967" s="17"/>
      <c r="G2967" s="22"/>
      <c r="H2967" s="22"/>
      <c r="I2967" s="29"/>
      <c r="J2967" s="29"/>
      <c r="K2967" s="29"/>
      <c r="L2967" s="29"/>
    </row>
    <row r="2968">
      <c r="A2968" s="13"/>
      <c r="B2968" s="13"/>
      <c r="C2968" s="15"/>
      <c r="D2968" s="15"/>
      <c r="E2968" s="15"/>
      <c r="F2968" s="17"/>
      <c r="G2968" s="22"/>
      <c r="H2968" s="22"/>
      <c r="I2968" s="29"/>
      <c r="J2968" s="29"/>
      <c r="K2968" s="29"/>
      <c r="L2968" s="29"/>
    </row>
    <row r="2969">
      <c r="A2969" s="13"/>
      <c r="B2969" s="13"/>
      <c r="C2969" s="15"/>
      <c r="D2969" s="15"/>
      <c r="E2969" s="15"/>
      <c r="F2969" s="17"/>
      <c r="G2969" s="22"/>
      <c r="H2969" s="22"/>
      <c r="I2969" s="29"/>
      <c r="J2969" s="29"/>
      <c r="K2969" s="29"/>
      <c r="L2969" s="29"/>
    </row>
    <row r="2970">
      <c r="A2970" s="13"/>
      <c r="B2970" s="13"/>
      <c r="C2970" s="15"/>
      <c r="D2970" s="15"/>
      <c r="E2970" s="15"/>
      <c r="F2970" s="17"/>
      <c r="G2970" s="22"/>
      <c r="H2970" s="22"/>
      <c r="I2970" s="29"/>
      <c r="J2970" s="29"/>
      <c r="K2970" s="29"/>
      <c r="L2970" s="29"/>
    </row>
    <row r="2971">
      <c r="A2971" s="13"/>
      <c r="B2971" s="13"/>
      <c r="C2971" s="15"/>
      <c r="D2971" s="15"/>
      <c r="E2971" s="15"/>
      <c r="F2971" s="17"/>
      <c r="G2971" s="22"/>
      <c r="H2971" s="22"/>
      <c r="I2971" s="29"/>
      <c r="J2971" s="29"/>
      <c r="K2971" s="29"/>
      <c r="L2971" s="29"/>
    </row>
    <row r="2972">
      <c r="A2972" s="13"/>
      <c r="B2972" s="13"/>
      <c r="C2972" s="15"/>
      <c r="D2972" s="15"/>
      <c r="E2972" s="15"/>
      <c r="F2972" s="17"/>
      <c r="G2972" s="22"/>
      <c r="H2972" s="22"/>
      <c r="I2972" s="29"/>
      <c r="J2972" s="29"/>
      <c r="K2972" s="29"/>
      <c r="L2972" s="29"/>
    </row>
    <row r="2973">
      <c r="A2973" s="13"/>
      <c r="B2973" s="13"/>
      <c r="C2973" s="15"/>
      <c r="D2973" s="15"/>
      <c r="E2973" s="15"/>
      <c r="F2973" s="17"/>
      <c r="G2973" s="22"/>
      <c r="H2973" s="22"/>
      <c r="I2973" s="29"/>
      <c r="J2973" s="29"/>
      <c r="K2973" s="29"/>
      <c r="L2973" s="29"/>
    </row>
    <row r="2974">
      <c r="A2974" s="13"/>
      <c r="B2974" s="13"/>
      <c r="C2974" s="15"/>
      <c r="D2974" s="15"/>
      <c r="E2974" s="15"/>
      <c r="F2974" s="17"/>
      <c r="G2974" s="22"/>
      <c r="H2974" s="22"/>
      <c r="I2974" s="29"/>
      <c r="J2974" s="29"/>
      <c r="K2974" s="29"/>
      <c r="L2974" s="29"/>
    </row>
    <row r="2975">
      <c r="A2975" s="13"/>
      <c r="B2975" s="13"/>
      <c r="C2975" s="15"/>
      <c r="D2975" s="15"/>
      <c r="E2975" s="15"/>
      <c r="F2975" s="17"/>
      <c r="G2975" s="22"/>
      <c r="H2975" s="22"/>
      <c r="I2975" s="29"/>
      <c r="J2975" s="29"/>
      <c r="K2975" s="29"/>
      <c r="L2975" s="29"/>
    </row>
    <row r="2976">
      <c r="A2976" s="13"/>
      <c r="B2976" s="13"/>
      <c r="C2976" s="15"/>
      <c r="D2976" s="15"/>
      <c r="E2976" s="15"/>
      <c r="F2976" s="17"/>
      <c r="G2976" s="22"/>
      <c r="H2976" s="22"/>
      <c r="I2976" s="29"/>
      <c r="J2976" s="29"/>
      <c r="K2976" s="29"/>
      <c r="L2976" s="29"/>
    </row>
    <row r="2977">
      <c r="A2977" s="13"/>
      <c r="B2977" s="13"/>
      <c r="C2977" s="15"/>
      <c r="D2977" s="15"/>
      <c r="E2977" s="15"/>
      <c r="F2977" s="17"/>
      <c r="G2977" s="22"/>
      <c r="H2977" s="22"/>
      <c r="I2977" s="29"/>
      <c r="J2977" s="29"/>
      <c r="K2977" s="29"/>
      <c r="L2977" s="29"/>
    </row>
    <row r="2978">
      <c r="A2978" s="13"/>
      <c r="B2978" s="13"/>
      <c r="C2978" s="15"/>
      <c r="D2978" s="15"/>
      <c r="E2978" s="15"/>
      <c r="F2978" s="17"/>
      <c r="G2978" s="22"/>
      <c r="H2978" s="22"/>
      <c r="I2978" s="29"/>
      <c r="J2978" s="29"/>
      <c r="K2978" s="29"/>
      <c r="L2978" s="29"/>
    </row>
    <row r="2979">
      <c r="A2979" s="13"/>
      <c r="B2979" s="13"/>
      <c r="C2979" s="15"/>
      <c r="D2979" s="15"/>
      <c r="E2979" s="15"/>
      <c r="F2979" s="17"/>
      <c r="G2979" s="22"/>
      <c r="H2979" s="22"/>
      <c r="I2979" s="29"/>
      <c r="J2979" s="29"/>
      <c r="K2979" s="29"/>
      <c r="L2979" s="29"/>
    </row>
    <row r="2980">
      <c r="A2980" s="13"/>
      <c r="B2980" s="13"/>
      <c r="C2980" s="15"/>
      <c r="D2980" s="15"/>
      <c r="E2980" s="15"/>
      <c r="F2980" s="17"/>
      <c r="G2980" s="22"/>
      <c r="H2980" s="22"/>
      <c r="I2980" s="29"/>
      <c r="J2980" s="29"/>
      <c r="K2980" s="29"/>
      <c r="L2980" s="29"/>
    </row>
    <row r="2981">
      <c r="A2981" s="13"/>
      <c r="B2981" s="13"/>
      <c r="C2981" s="15"/>
      <c r="D2981" s="15"/>
      <c r="E2981" s="15"/>
      <c r="F2981" s="17"/>
      <c r="G2981" s="22"/>
      <c r="H2981" s="22"/>
      <c r="I2981" s="29"/>
      <c r="J2981" s="29"/>
      <c r="K2981" s="29"/>
      <c r="L2981" s="29"/>
    </row>
    <row r="2982">
      <c r="A2982" s="13"/>
      <c r="B2982" s="13"/>
      <c r="C2982" s="15"/>
      <c r="D2982" s="15"/>
      <c r="E2982" s="15"/>
      <c r="F2982" s="17"/>
      <c r="G2982" s="22"/>
      <c r="H2982" s="22"/>
      <c r="I2982" s="29"/>
      <c r="J2982" s="29"/>
      <c r="K2982" s="29"/>
      <c r="L2982" s="29"/>
    </row>
    <row r="2983">
      <c r="A2983" s="13"/>
      <c r="B2983" s="13"/>
      <c r="C2983" s="15"/>
      <c r="D2983" s="15"/>
      <c r="E2983" s="15"/>
      <c r="F2983" s="17"/>
      <c r="G2983" s="22"/>
      <c r="H2983" s="22"/>
      <c r="I2983" s="29"/>
      <c r="J2983" s="29"/>
      <c r="K2983" s="29"/>
      <c r="L2983" s="29"/>
    </row>
    <row r="2984">
      <c r="A2984" s="13"/>
      <c r="B2984" s="13"/>
      <c r="C2984" s="15"/>
      <c r="D2984" s="15"/>
      <c r="E2984" s="15"/>
      <c r="F2984" s="17"/>
      <c r="G2984" s="22"/>
      <c r="H2984" s="22"/>
      <c r="I2984" s="29"/>
      <c r="J2984" s="29"/>
      <c r="K2984" s="29"/>
      <c r="L2984" s="29"/>
    </row>
    <row r="2985">
      <c r="A2985" s="13"/>
      <c r="B2985" s="13"/>
      <c r="C2985" s="15"/>
      <c r="D2985" s="15"/>
      <c r="E2985" s="15"/>
      <c r="F2985" s="17"/>
      <c r="G2985" s="22"/>
      <c r="H2985" s="22"/>
      <c r="I2985" s="29"/>
      <c r="J2985" s="29"/>
      <c r="K2985" s="29"/>
      <c r="L2985" s="29"/>
    </row>
    <row r="2986">
      <c r="A2986" s="13"/>
      <c r="B2986" s="13"/>
      <c r="C2986" s="15"/>
      <c r="D2986" s="15"/>
      <c r="E2986" s="15"/>
      <c r="F2986" s="17"/>
      <c r="G2986" s="22"/>
      <c r="H2986" s="22"/>
      <c r="I2986" s="29"/>
      <c r="J2986" s="29"/>
      <c r="K2986" s="29"/>
      <c r="L2986" s="29"/>
    </row>
    <row r="2987">
      <c r="A2987" s="13"/>
      <c r="B2987" s="13"/>
      <c r="C2987" s="15"/>
      <c r="D2987" s="15"/>
      <c r="E2987" s="15"/>
      <c r="F2987" s="17"/>
      <c r="G2987" s="22"/>
      <c r="H2987" s="22"/>
      <c r="I2987" s="29"/>
      <c r="J2987" s="29"/>
      <c r="K2987" s="29"/>
      <c r="L2987" s="29"/>
    </row>
    <row r="2988">
      <c r="A2988" s="13"/>
      <c r="B2988" s="13"/>
      <c r="C2988" s="15"/>
      <c r="D2988" s="15"/>
      <c r="E2988" s="15"/>
      <c r="F2988" s="17"/>
      <c r="G2988" s="22"/>
      <c r="H2988" s="22"/>
      <c r="I2988" s="29"/>
      <c r="J2988" s="29"/>
      <c r="K2988" s="29"/>
      <c r="L2988" s="29"/>
    </row>
    <row r="2989">
      <c r="A2989" s="13"/>
      <c r="B2989" s="13"/>
      <c r="C2989" s="15"/>
      <c r="D2989" s="15"/>
      <c r="E2989" s="15"/>
      <c r="F2989" s="17"/>
      <c r="G2989" s="22"/>
      <c r="H2989" s="22"/>
      <c r="I2989" s="29"/>
      <c r="J2989" s="29"/>
      <c r="K2989" s="29"/>
      <c r="L2989" s="29"/>
    </row>
    <row r="2990">
      <c r="A2990" s="13"/>
      <c r="B2990" s="13"/>
      <c r="C2990" s="15"/>
      <c r="D2990" s="15"/>
      <c r="E2990" s="15"/>
      <c r="F2990" s="17"/>
      <c r="G2990" s="22"/>
      <c r="H2990" s="22"/>
      <c r="I2990" s="29"/>
      <c r="J2990" s="29"/>
      <c r="K2990" s="29"/>
      <c r="L2990" s="29"/>
    </row>
    <row r="2991">
      <c r="A2991" s="13"/>
      <c r="B2991" s="13"/>
      <c r="C2991" s="15"/>
      <c r="D2991" s="15"/>
      <c r="E2991" s="15"/>
      <c r="F2991" s="17"/>
      <c r="G2991" s="22"/>
      <c r="H2991" s="22"/>
      <c r="I2991" s="29"/>
      <c r="J2991" s="29"/>
      <c r="K2991" s="29"/>
      <c r="L2991" s="29"/>
    </row>
    <row r="2992">
      <c r="A2992" s="13"/>
      <c r="B2992" s="13"/>
      <c r="C2992" s="15"/>
      <c r="D2992" s="15"/>
      <c r="E2992" s="15"/>
      <c r="F2992" s="17"/>
      <c r="G2992" s="22"/>
      <c r="H2992" s="22"/>
      <c r="I2992" s="29"/>
      <c r="J2992" s="29"/>
      <c r="K2992" s="29"/>
      <c r="L2992" s="29"/>
    </row>
    <row r="2993">
      <c r="A2993" s="13"/>
      <c r="B2993" s="13"/>
      <c r="C2993" s="15"/>
      <c r="D2993" s="15"/>
      <c r="E2993" s="15"/>
      <c r="F2993" s="17"/>
      <c r="G2993" s="22"/>
      <c r="H2993" s="22"/>
      <c r="I2993" s="29"/>
      <c r="J2993" s="29"/>
      <c r="K2993" s="29"/>
      <c r="L2993" s="29"/>
    </row>
    <row r="2994">
      <c r="A2994" s="13"/>
      <c r="B2994" s="13"/>
      <c r="C2994" s="15"/>
      <c r="D2994" s="15"/>
      <c r="E2994" s="15"/>
      <c r="F2994" s="17"/>
      <c r="G2994" s="22"/>
      <c r="H2994" s="22"/>
      <c r="I2994" s="29"/>
      <c r="J2994" s="29"/>
      <c r="K2994" s="29"/>
      <c r="L2994" s="29"/>
    </row>
    <row r="2995">
      <c r="A2995" s="13"/>
      <c r="B2995" s="13"/>
      <c r="C2995" s="15"/>
      <c r="D2995" s="15"/>
      <c r="E2995" s="15"/>
      <c r="F2995" s="17"/>
      <c r="G2995" s="22"/>
      <c r="H2995" s="22"/>
      <c r="I2995" s="29"/>
      <c r="J2995" s="29"/>
      <c r="K2995" s="29"/>
      <c r="L2995" s="29"/>
    </row>
    <row r="2996">
      <c r="A2996" s="13"/>
      <c r="B2996" s="13"/>
      <c r="C2996" s="15"/>
      <c r="D2996" s="15"/>
      <c r="E2996" s="15"/>
      <c r="F2996" s="17"/>
      <c r="G2996" s="22"/>
      <c r="H2996" s="22"/>
      <c r="I2996" s="29"/>
      <c r="J2996" s="29"/>
      <c r="K2996" s="29"/>
      <c r="L2996" s="29"/>
    </row>
    <row r="2997">
      <c r="A2997" s="13"/>
      <c r="B2997" s="13"/>
      <c r="C2997" s="15"/>
      <c r="D2997" s="15"/>
      <c r="E2997" s="15"/>
      <c r="F2997" s="17"/>
      <c r="G2997" s="22"/>
      <c r="H2997" s="22"/>
      <c r="I2997" s="29"/>
      <c r="J2997" s="29"/>
      <c r="K2997" s="29"/>
      <c r="L2997" s="29"/>
    </row>
    <row r="2998">
      <c r="A2998" s="13"/>
      <c r="B2998" s="13"/>
      <c r="C2998" s="15"/>
      <c r="D2998" s="15"/>
      <c r="E2998" s="15"/>
      <c r="F2998" s="17"/>
      <c r="G2998" s="22"/>
      <c r="H2998" s="22"/>
      <c r="I2998" s="29"/>
      <c r="J2998" s="29"/>
      <c r="K2998" s="29"/>
      <c r="L2998" s="29"/>
    </row>
    <row r="2999">
      <c r="A2999" s="13"/>
      <c r="B2999" s="13"/>
      <c r="C2999" s="15"/>
      <c r="D2999" s="15"/>
      <c r="E2999" s="15"/>
      <c r="F2999" s="17"/>
      <c r="G2999" s="22"/>
      <c r="H2999" s="22"/>
      <c r="I2999" s="29"/>
      <c r="J2999" s="29"/>
      <c r="K2999" s="29"/>
      <c r="L2999" s="29"/>
    </row>
    <row r="3000">
      <c r="A3000" s="13"/>
      <c r="B3000" s="13"/>
      <c r="C3000" s="15"/>
      <c r="D3000" s="15"/>
      <c r="E3000" s="15"/>
      <c r="F3000" s="17"/>
      <c r="G3000" s="22"/>
      <c r="H3000" s="22"/>
      <c r="I3000" s="29"/>
      <c r="J3000" s="29"/>
      <c r="K3000" s="29"/>
      <c r="L3000" s="29"/>
    </row>
    <row r="3001">
      <c r="A3001" s="13"/>
      <c r="B3001" s="13"/>
      <c r="C3001" s="15"/>
      <c r="D3001" s="15"/>
      <c r="E3001" s="15"/>
      <c r="F3001" s="17"/>
      <c r="G3001" s="22"/>
      <c r="H3001" s="22"/>
      <c r="I3001" s="29"/>
      <c r="J3001" s="29"/>
      <c r="K3001" s="29"/>
      <c r="L3001" s="29"/>
    </row>
    <row r="3002">
      <c r="A3002" s="13"/>
      <c r="B3002" s="13"/>
      <c r="C3002" s="15"/>
      <c r="D3002" s="15"/>
      <c r="E3002" s="15"/>
      <c r="F3002" s="17"/>
      <c r="G3002" s="22"/>
      <c r="H3002" s="22"/>
      <c r="I3002" s="29"/>
      <c r="J3002" s="29"/>
      <c r="K3002" s="29"/>
      <c r="L3002" s="29"/>
    </row>
    <row r="3003">
      <c r="A3003" s="13"/>
      <c r="B3003" s="13"/>
      <c r="C3003" s="15"/>
      <c r="D3003" s="15"/>
      <c r="E3003" s="15"/>
      <c r="F3003" s="17"/>
      <c r="G3003" s="22"/>
      <c r="H3003" s="22"/>
      <c r="I3003" s="29"/>
      <c r="J3003" s="29"/>
      <c r="K3003" s="29"/>
      <c r="L3003" s="29"/>
    </row>
    <row r="3004">
      <c r="A3004" s="13"/>
      <c r="B3004" s="13"/>
      <c r="C3004" s="15"/>
      <c r="D3004" s="15"/>
      <c r="E3004" s="15"/>
      <c r="F3004" s="17"/>
      <c r="G3004" s="22"/>
      <c r="H3004" s="22"/>
      <c r="I3004" s="29"/>
      <c r="J3004" s="29"/>
      <c r="K3004" s="29"/>
      <c r="L3004" s="29"/>
    </row>
    <row r="3005">
      <c r="A3005" s="13"/>
      <c r="B3005" s="13"/>
      <c r="C3005" s="15"/>
      <c r="D3005" s="15"/>
      <c r="E3005" s="15"/>
      <c r="F3005" s="17"/>
      <c r="G3005" s="22"/>
      <c r="H3005" s="22"/>
      <c r="I3005" s="29"/>
      <c r="J3005" s="29"/>
      <c r="K3005" s="29"/>
      <c r="L3005" s="29"/>
    </row>
    <row r="3006">
      <c r="A3006" s="13"/>
      <c r="B3006" s="13"/>
      <c r="C3006" s="15"/>
      <c r="D3006" s="15"/>
      <c r="E3006" s="15"/>
      <c r="F3006" s="17"/>
      <c r="G3006" s="22"/>
      <c r="H3006" s="22"/>
      <c r="I3006" s="29"/>
      <c r="J3006" s="29"/>
      <c r="K3006" s="29"/>
      <c r="L3006" s="29"/>
    </row>
    <row r="3007">
      <c r="A3007" s="13"/>
      <c r="B3007" s="13"/>
      <c r="C3007" s="15"/>
      <c r="D3007" s="15"/>
      <c r="E3007" s="15"/>
      <c r="F3007" s="17"/>
      <c r="G3007" s="22"/>
      <c r="H3007" s="22"/>
      <c r="I3007" s="29"/>
      <c r="J3007" s="29"/>
      <c r="K3007" s="29"/>
      <c r="L3007" s="29"/>
    </row>
    <row r="3008">
      <c r="A3008" s="13"/>
      <c r="B3008" s="13"/>
      <c r="C3008" s="15"/>
      <c r="D3008" s="15"/>
      <c r="E3008" s="15"/>
      <c r="F3008" s="17"/>
      <c r="G3008" s="22"/>
      <c r="H3008" s="22"/>
      <c r="I3008" s="29"/>
      <c r="J3008" s="29"/>
      <c r="K3008" s="29"/>
      <c r="L3008" s="29"/>
    </row>
    <row r="3009">
      <c r="A3009" s="13"/>
      <c r="B3009" s="13"/>
      <c r="C3009" s="15"/>
      <c r="D3009" s="15"/>
      <c r="E3009" s="15"/>
      <c r="F3009" s="17"/>
      <c r="G3009" s="22"/>
      <c r="H3009" s="22"/>
      <c r="I3009" s="29"/>
      <c r="J3009" s="29"/>
      <c r="K3009" s="29"/>
      <c r="L3009" s="29"/>
    </row>
    <row r="3010">
      <c r="A3010" s="13"/>
      <c r="B3010" s="13"/>
      <c r="C3010" s="15"/>
      <c r="D3010" s="15"/>
      <c r="E3010" s="15"/>
      <c r="F3010" s="17"/>
      <c r="G3010" s="22"/>
      <c r="H3010" s="22"/>
      <c r="I3010" s="29"/>
      <c r="J3010" s="29"/>
      <c r="K3010" s="29"/>
      <c r="L3010" s="29"/>
    </row>
    <row r="3011">
      <c r="A3011" s="13"/>
      <c r="B3011" s="13"/>
      <c r="C3011" s="15"/>
      <c r="D3011" s="15"/>
      <c r="E3011" s="15"/>
      <c r="F3011" s="17"/>
      <c r="G3011" s="22"/>
      <c r="H3011" s="22"/>
      <c r="I3011" s="29"/>
      <c r="J3011" s="29"/>
      <c r="K3011" s="29"/>
      <c r="L3011" s="29"/>
    </row>
    <row r="3012">
      <c r="A3012" s="13"/>
      <c r="B3012" s="13"/>
      <c r="C3012" s="15"/>
      <c r="D3012" s="15"/>
      <c r="E3012" s="15"/>
      <c r="F3012" s="17"/>
      <c r="G3012" s="22"/>
      <c r="H3012" s="22"/>
      <c r="I3012" s="29"/>
      <c r="J3012" s="29"/>
      <c r="K3012" s="29"/>
      <c r="L3012" s="29"/>
    </row>
    <row r="3013">
      <c r="A3013" s="13"/>
      <c r="B3013" s="13"/>
      <c r="C3013" s="15"/>
      <c r="D3013" s="15"/>
      <c r="E3013" s="15"/>
      <c r="F3013" s="17"/>
      <c r="G3013" s="22"/>
      <c r="H3013" s="22"/>
      <c r="I3013" s="29"/>
      <c r="J3013" s="29"/>
      <c r="K3013" s="29"/>
      <c r="L3013" s="29"/>
    </row>
    <row r="3014">
      <c r="A3014" s="13"/>
      <c r="B3014" s="13"/>
      <c r="C3014" s="15"/>
      <c r="D3014" s="15"/>
      <c r="E3014" s="15"/>
      <c r="F3014" s="17"/>
      <c r="G3014" s="22"/>
      <c r="H3014" s="22"/>
      <c r="I3014" s="29"/>
      <c r="J3014" s="29"/>
      <c r="K3014" s="29"/>
      <c r="L3014" s="29"/>
    </row>
    <row r="3015">
      <c r="A3015" s="13"/>
      <c r="B3015" s="13"/>
      <c r="C3015" s="15"/>
      <c r="D3015" s="15"/>
      <c r="E3015" s="15"/>
      <c r="F3015" s="17"/>
      <c r="G3015" s="22"/>
      <c r="H3015" s="22"/>
      <c r="I3015" s="29"/>
      <c r="J3015" s="29"/>
      <c r="K3015" s="29"/>
      <c r="L3015" s="29"/>
    </row>
    <row r="3016">
      <c r="A3016" s="13"/>
      <c r="B3016" s="13"/>
      <c r="C3016" s="15"/>
      <c r="D3016" s="15"/>
      <c r="E3016" s="15"/>
      <c r="F3016" s="17"/>
      <c r="G3016" s="22"/>
      <c r="H3016" s="22"/>
      <c r="I3016" s="29"/>
      <c r="J3016" s="29"/>
      <c r="K3016" s="29"/>
      <c r="L3016" s="29"/>
    </row>
    <row r="3017">
      <c r="A3017" s="13"/>
      <c r="B3017" s="13"/>
      <c r="C3017" s="15"/>
      <c r="D3017" s="15"/>
      <c r="E3017" s="15"/>
      <c r="F3017" s="17"/>
      <c r="G3017" s="22"/>
      <c r="H3017" s="22"/>
      <c r="I3017" s="29"/>
      <c r="J3017" s="29"/>
      <c r="K3017" s="29"/>
      <c r="L3017" s="29"/>
    </row>
    <row r="3018">
      <c r="A3018" s="13"/>
      <c r="B3018" s="13"/>
      <c r="C3018" s="15"/>
      <c r="D3018" s="15"/>
      <c r="E3018" s="15"/>
      <c r="F3018" s="17"/>
      <c r="G3018" s="22"/>
      <c r="H3018" s="22"/>
      <c r="I3018" s="29"/>
      <c r="J3018" s="29"/>
      <c r="K3018" s="29"/>
      <c r="L3018" s="29"/>
    </row>
    <row r="3019">
      <c r="A3019" s="13"/>
      <c r="B3019" s="13"/>
      <c r="C3019" s="15"/>
      <c r="D3019" s="15"/>
      <c r="E3019" s="15"/>
      <c r="F3019" s="17"/>
      <c r="G3019" s="22"/>
      <c r="H3019" s="22"/>
      <c r="I3019" s="29"/>
      <c r="J3019" s="29"/>
      <c r="K3019" s="29"/>
      <c r="L3019" s="29"/>
    </row>
    <row r="3020">
      <c r="A3020" s="13"/>
      <c r="B3020" s="13"/>
      <c r="C3020" s="15"/>
      <c r="D3020" s="15"/>
      <c r="E3020" s="15"/>
      <c r="F3020" s="17"/>
      <c r="G3020" s="22"/>
      <c r="H3020" s="22"/>
      <c r="I3020" s="29"/>
      <c r="J3020" s="29"/>
      <c r="K3020" s="29"/>
      <c r="L3020" s="29"/>
    </row>
    <row r="3021">
      <c r="A3021" s="13"/>
      <c r="B3021" s="13"/>
      <c r="C3021" s="15"/>
      <c r="D3021" s="15"/>
      <c r="E3021" s="15"/>
      <c r="F3021" s="17"/>
      <c r="G3021" s="22"/>
      <c r="H3021" s="22"/>
      <c r="I3021" s="29"/>
      <c r="J3021" s="29"/>
      <c r="K3021" s="29"/>
      <c r="L3021" s="29"/>
    </row>
    <row r="3022">
      <c r="A3022" s="13"/>
      <c r="B3022" s="13"/>
      <c r="C3022" s="15"/>
      <c r="D3022" s="15"/>
      <c r="E3022" s="15"/>
      <c r="F3022" s="17"/>
      <c r="G3022" s="22"/>
      <c r="H3022" s="22"/>
      <c r="I3022" s="29"/>
      <c r="J3022" s="29"/>
      <c r="K3022" s="29"/>
      <c r="L3022" s="29"/>
    </row>
    <row r="3023">
      <c r="A3023" s="13"/>
      <c r="B3023" s="13"/>
      <c r="C3023" s="15"/>
      <c r="D3023" s="15"/>
      <c r="E3023" s="15"/>
      <c r="F3023" s="17"/>
      <c r="G3023" s="22"/>
      <c r="H3023" s="22"/>
      <c r="I3023" s="29"/>
      <c r="J3023" s="29"/>
      <c r="K3023" s="29"/>
      <c r="L3023" s="29"/>
    </row>
    <row r="3024">
      <c r="A3024" s="13"/>
      <c r="B3024" s="13"/>
      <c r="C3024" s="15"/>
      <c r="D3024" s="15"/>
      <c r="E3024" s="15"/>
      <c r="F3024" s="17"/>
      <c r="G3024" s="22"/>
      <c r="H3024" s="22"/>
      <c r="I3024" s="29"/>
      <c r="J3024" s="29"/>
      <c r="K3024" s="29"/>
      <c r="L3024" s="29"/>
    </row>
    <row r="3025">
      <c r="A3025" s="13"/>
      <c r="B3025" s="13"/>
      <c r="C3025" s="15"/>
      <c r="D3025" s="15"/>
      <c r="E3025" s="15"/>
      <c r="F3025" s="17"/>
      <c r="G3025" s="22"/>
      <c r="H3025" s="22"/>
      <c r="I3025" s="29"/>
      <c r="J3025" s="29"/>
      <c r="K3025" s="29"/>
      <c r="L3025" s="29"/>
    </row>
    <row r="3026">
      <c r="A3026" s="13"/>
      <c r="B3026" s="13"/>
      <c r="C3026" s="15"/>
      <c r="D3026" s="15"/>
      <c r="E3026" s="15"/>
      <c r="F3026" s="17"/>
      <c r="G3026" s="22"/>
      <c r="H3026" s="22"/>
      <c r="I3026" s="29"/>
      <c r="J3026" s="29"/>
      <c r="K3026" s="29"/>
      <c r="L3026" s="29"/>
    </row>
    <row r="3027">
      <c r="A3027" s="13"/>
      <c r="B3027" s="13"/>
      <c r="C3027" s="15"/>
      <c r="D3027" s="15"/>
      <c r="E3027" s="15"/>
      <c r="F3027" s="17"/>
      <c r="G3027" s="22"/>
      <c r="H3027" s="22"/>
      <c r="I3027" s="29"/>
      <c r="J3027" s="29"/>
      <c r="K3027" s="29"/>
      <c r="L3027" s="29"/>
    </row>
    <row r="3028">
      <c r="A3028" s="13"/>
      <c r="B3028" s="13"/>
      <c r="C3028" s="15"/>
      <c r="D3028" s="15"/>
      <c r="E3028" s="15"/>
      <c r="F3028" s="17"/>
      <c r="G3028" s="22"/>
      <c r="H3028" s="22"/>
      <c r="I3028" s="29"/>
      <c r="J3028" s="29"/>
      <c r="K3028" s="29"/>
      <c r="L3028" s="29"/>
    </row>
    <row r="3029">
      <c r="A3029" s="13"/>
      <c r="B3029" s="13"/>
      <c r="C3029" s="15"/>
      <c r="D3029" s="15"/>
      <c r="E3029" s="15"/>
      <c r="F3029" s="17"/>
      <c r="G3029" s="22"/>
      <c r="H3029" s="22"/>
      <c r="I3029" s="29"/>
      <c r="J3029" s="29"/>
      <c r="K3029" s="29"/>
      <c r="L3029" s="29"/>
    </row>
    <row r="3030">
      <c r="A3030" s="13"/>
      <c r="B3030" s="13"/>
      <c r="C3030" s="15"/>
      <c r="D3030" s="15"/>
      <c r="E3030" s="15"/>
      <c r="F3030" s="17"/>
      <c r="G3030" s="22"/>
      <c r="H3030" s="22"/>
      <c r="I3030" s="29"/>
      <c r="J3030" s="29"/>
      <c r="K3030" s="29"/>
      <c r="L3030" s="29"/>
    </row>
    <row r="3031">
      <c r="A3031" s="13"/>
      <c r="B3031" s="13"/>
      <c r="C3031" s="15"/>
      <c r="D3031" s="15"/>
      <c r="E3031" s="15"/>
      <c r="F3031" s="17"/>
      <c r="G3031" s="22"/>
      <c r="H3031" s="22"/>
      <c r="I3031" s="29"/>
      <c r="J3031" s="29"/>
      <c r="K3031" s="29"/>
      <c r="L3031" s="29"/>
    </row>
    <row r="3032">
      <c r="A3032" s="13"/>
      <c r="B3032" s="13"/>
      <c r="C3032" s="15"/>
      <c r="D3032" s="15"/>
      <c r="E3032" s="15"/>
      <c r="F3032" s="17"/>
      <c r="G3032" s="22"/>
      <c r="H3032" s="22"/>
      <c r="I3032" s="29"/>
      <c r="J3032" s="29"/>
      <c r="K3032" s="29"/>
      <c r="L3032" s="29"/>
    </row>
    <row r="3033">
      <c r="A3033" s="13"/>
      <c r="B3033" s="13"/>
      <c r="C3033" s="15"/>
      <c r="D3033" s="15"/>
      <c r="E3033" s="15"/>
      <c r="F3033" s="17"/>
      <c r="G3033" s="22"/>
      <c r="H3033" s="22"/>
      <c r="I3033" s="29"/>
      <c r="J3033" s="29"/>
      <c r="K3033" s="29"/>
      <c r="L3033" s="29"/>
    </row>
    <row r="3034">
      <c r="A3034" s="13"/>
      <c r="B3034" s="13"/>
      <c r="C3034" s="15"/>
      <c r="D3034" s="15"/>
      <c r="E3034" s="15"/>
      <c r="F3034" s="17"/>
      <c r="G3034" s="22"/>
      <c r="H3034" s="22"/>
      <c r="I3034" s="29"/>
      <c r="J3034" s="29"/>
      <c r="K3034" s="29"/>
      <c r="L3034" s="29"/>
    </row>
    <row r="3035">
      <c r="A3035" s="13"/>
      <c r="B3035" s="13"/>
      <c r="C3035" s="15"/>
      <c r="D3035" s="15"/>
      <c r="E3035" s="15"/>
      <c r="F3035" s="17"/>
      <c r="G3035" s="22"/>
      <c r="H3035" s="22"/>
      <c r="I3035" s="29"/>
      <c r="J3035" s="29"/>
      <c r="K3035" s="29"/>
      <c r="L3035" s="29"/>
    </row>
    <row r="3036">
      <c r="A3036" s="13"/>
      <c r="B3036" s="13"/>
      <c r="C3036" s="15"/>
      <c r="D3036" s="15"/>
      <c r="E3036" s="15"/>
      <c r="F3036" s="17"/>
      <c r="G3036" s="22"/>
      <c r="H3036" s="22"/>
      <c r="I3036" s="29"/>
      <c r="J3036" s="29"/>
      <c r="K3036" s="29"/>
      <c r="L3036" s="29"/>
    </row>
    <row r="3037">
      <c r="A3037" s="13"/>
      <c r="B3037" s="13"/>
      <c r="C3037" s="15"/>
      <c r="D3037" s="15"/>
      <c r="E3037" s="15"/>
      <c r="F3037" s="17"/>
      <c r="G3037" s="22"/>
      <c r="H3037" s="22"/>
      <c r="I3037" s="29"/>
      <c r="J3037" s="29"/>
      <c r="K3037" s="29"/>
      <c r="L3037" s="29"/>
    </row>
    <row r="3038">
      <c r="A3038" s="13"/>
      <c r="B3038" s="13"/>
      <c r="C3038" s="15"/>
      <c r="D3038" s="15"/>
      <c r="E3038" s="15"/>
      <c r="F3038" s="17"/>
      <c r="G3038" s="22"/>
      <c r="H3038" s="22"/>
      <c r="I3038" s="29"/>
      <c r="J3038" s="29"/>
      <c r="K3038" s="29"/>
      <c r="L3038" s="29"/>
    </row>
    <row r="3039">
      <c r="A3039" s="13"/>
      <c r="B3039" s="13"/>
      <c r="C3039" s="15"/>
      <c r="D3039" s="15"/>
      <c r="E3039" s="15"/>
      <c r="F3039" s="17"/>
      <c r="G3039" s="22"/>
      <c r="H3039" s="22"/>
      <c r="I3039" s="29"/>
      <c r="J3039" s="29"/>
      <c r="K3039" s="29"/>
      <c r="L3039" s="29"/>
    </row>
    <row r="3040">
      <c r="A3040" s="13"/>
      <c r="B3040" s="13"/>
      <c r="C3040" s="15"/>
      <c r="D3040" s="15"/>
      <c r="E3040" s="15"/>
      <c r="F3040" s="17"/>
      <c r="G3040" s="22"/>
      <c r="H3040" s="22"/>
      <c r="I3040" s="29"/>
      <c r="J3040" s="29"/>
      <c r="K3040" s="29"/>
      <c r="L3040" s="29"/>
    </row>
    <row r="3041">
      <c r="A3041" s="13"/>
      <c r="B3041" s="13"/>
      <c r="C3041" s="15"/>
      <c r="D3041" s="15"/>
      <c r="E3041" s="15"/>
      <c r="F3041" s="17"/>
      <c r="G3041" s="22"/>
      <c r="H3041" s="22"/>
      <c r="I3041" s="29"/>
      <c r="J3041" s="29"/>
      <c r="K3041" s="29"/>
      <c r="L3041" s="29"/>
    </row>
    <row r="3042">
      <c r="A3042" s="13"/>
      <c r="B3042" s="13"/>
      <c r="C3042" s="15"/>
      <c r="D3042" s="15"/>
      <c r="E3042" s="15"/>
      <c r="F3042" s="17"/>
      <c r="G3042" s="22"/>
      <c r="H3042" s="22"/>
      <c r="I3042" s="29"/>
      <c r="J3042" s="29"/>
      <c r="K3042" s="29"/>
      <c r="L3042" s="29"/>
    </row>
    <row r="3043">
      <c r="A3043" s="13"/>
      <c r="B3043" s="13"/>
      <c r="C3043" s="15"/>
      <c r="D3043" s="15"/>
      <c r="E3043" s="15"/>
      <c r="F3043" s="17"/>
      <c r="G3043" s="22"/>
      <c r="H3043" s="22"/>
      <c r="I3043" s="29"/>
      <c r="J3043" s="29"/>
      <c r="K3043" s="29"/>
      <c r="L3043" s="29"/>
    </row>
    <row r="3044">
      <c r="A3044" s="13"/>
      <c r="B3044" s="13"/>
      <c r="C3044" s="15"/>
      <c r="D3044" s="15"/>
      <c r="E3044" s="15"/>
      <c r="F3044" s="17"/>
      <c r="G3044" s="22"/>
      <c r="H3044" s="22"/>
      <c r="I3044" s="29"/>
      <c r="J3044" s="29"/>
      <c r="K3044" s="29"/>
      <c r="L3044" s="29"/>
    </row>
    <row r="3045">
      <c r="A3045" s="13"/>
      <c r="B3045" s="13"/>
      <c r="C3045" s="15"/>
      <c r="D3045" s="15"/>
      <c r="E3045" s="15"/>
      <c r="F3045" s="17"/>
      <c r="G3045" s="22"/>
      <c r="H3045" s="22"/>
      <c r="I3045" s="29"/>
      <c r="J3045" s="29"/>
      <c r="K3045" s="29"/>
      <c r="L3045" s="29"/>
    </row>
    <row r="3046">
      <c r="A3046" s="13"/>
      <c r="B3046" s="13"/>
      <c r="C3046" s="15"/>
      <c r="D3046" s="15"/>
      <c r="E3046" s="15"/>
      <c r="F3046" s="17"/>
      <c r="G3046" s="22"/>
      <c r="H3046" s="22"/>
      <c r="I3046" s="29"/>
      <c r="J3046" s="29"/>
      <c r="K3046" s="29"/>
      <c r="L3046" s="29"/>
    </row>
    <row r="3047">
      <c r="A3047" s="13"/>
      <c r="B3047" s="13"/>
      <c r="C3047" s="15"/>
      <c r="D3047" s="15"/>
      <c r="E3047" s="15"/>
      <c r="F3047" s="17"/>
      <c r="G3047" s="22"/>
      <c r="H3047" s="22"/>
      <c r="I3047" s="29"/>
      <c r="J3047" s="29"/>
      <c r="K3047" s="29"/>
      <c r="L3047" s="29"/>
    </row>
    <row r="3048">
      <c r="A3048" s="13"/>
      <c r="B3048" s="13"/>
      <c r="C3048" s="15"/>
      <c r="D3048" s="15"/>
      <c r="E3048" s="15"/>
      <c r="F3048" s="17"/>
      <c r="G3048" s="22"/>
      <c r="H3048" s="22"/>
      <c r="I3048" s="29"/>
      <c r="J3048" s="29"/>
      <c r="K3048" s="29"/>
      <c r="L3048" s="29"/>
    </row>
    <row r="3049">
      <c r="A3049" s="13"/>
      <c r="B3049" s="13"/>
      <c r="C3049" s="15"/>
      <c r="D3049" s="15"/>
      <c r="E3049" s="15"/>
      <c r="F3049" s="17"/>
      <c r="G3049" s="22"/>
      <c r="H3049" s="22"/>
      <c r="I3049" s="29"/>
      <c r="J3049" s="29"/>
      <c r="K3049" s="29"/>
      <c r="L3049" s="29"/>
    </row>
    <row r="3050">
      <c r="A3050" s="13"/>
      <c r="B3050" s="13"/>
      <c r="C3050" s="15"/>
      <c r="D3050" s="15"/>
      <c r="E3050" s="15"/>
      <c r="F3050" s="17"/>
      <c r="G3050" s="22"/>
      <c r="H3050" s="22"/>
      <c r="I3050" s="29"/>
      <c r="J3050" s="29"/>
      <c r="K3050" s="29"/>
      <c r="L3050" s="29"/>
    </row>
    <row r="3051">
      <c r="A3051" s="13"/>
      <c r="B3051" s="13"/>
      <c r="C3051" s="15"/>
      <c r="D3051" s="15"/>
      <c r="E3051" s="15"/>
      <c r="F3051" s="17"/>
      <c r="G3051" s="22"/>
      <c r="H3051" s="22"/>
      <c r="I3051" s="29"/>
      <c r="J3051" s="29"/>
      <c r="K3051" s="29"/>
      <c r="L3051" s="29"/>
    </row>
    <row r="3052">
      <c r="A3052" s="13"/>
      <c r="B3052" s="13"/>
      <c r="C3052" s="15"/>
      <c r="D3052" s="15"/>
      <c r="E3052" s="15"/>
      <c r="F3052" s="17"/>
      <c r="G3052" s="22"/>
      <c r="H3052" s="22"/>
      <c r="I3052" s="29"/>
      <c r="J3052" s="29"/>
      <c r="K3052" s="29"/>
      <c r="L3052" s="29"/>
    </row>
    <row r="3053">
      <c r="A3053" s="13"/>
      <c r="B3053" s="13"/>
      <c r="C3053" s="15"/>
      <c r="D3053" s="15"/>
      <c r="E3053" s="15"/>
      <c r="F3053" s="17"/>
      <c r="G3053" s="22"/>
      <c r="H3053" s="22"/>
      <c r="I3053" s="29"/>
      <c r="J3053" s="29"/>
      <c r="K3053" s="29"/>
      <c r="L3053" s="29"/>
    </row>
    <row r="3054">
      <c r="A3054" s="13"/>
      <c r="B3054" s="13"/>
      <c r="C3054" s="15"/>
      <c r="D3054" s="15"/>
      <c r="E3054" s="15"/>
      <c r="F3054" s="17"/>
      <c r="G3054" s="22"/>
      <c r="H3054" s="22"/>
      <c r="I3054" s="29"/>
      <c r="J3054" s="29"/>
      <c r="K3054" s="29"/>
      <c r="L3054" s="29"/>
    </row>
    <row r="3055">
      <c r="A3055" s="13"/>
      <c r="B3055" s="13"/>
      <c r="C3055" s="15"/>
      <c r="D3055" s="15"/>
      <c r="E3055" s="15"/>
      <c r="F3055" s="17"/>
      <c r="G3055" s="22"/>
      <c r="H3055" s="22"/>
      <c r="I3055" s="29"/>
      <c r="J3055" s="29"/>
      <c r="K3055" s="29"/>
      <c r="L3055" s="29"/>
    </row>
    <row r="3056">
      <c r="A3056" s="13"/>
      <c r="B3056" s="13"/>
      <c r="C3056" s="15"/>
      <c r="D3056" s="15"/>
      <c r="E3056" s="15"/>
      <c r="F3056" s="17"/>
      <c r="G3056" s="22"/>
      <c r="H3056" s="22"/>
      <c r="I3056" s="29"/>
      <c r="J3056" s="29"/>
      <c r="K3056" s="29"/>
      <c r="L3056" s="29"/>
    </row>
    <row r="3057">
      <c r="A3057" s="13"/>
      <c r="B3057" s="13"/>
      <c r="C3057" s="15"/>
      <c r="D3057" s="15"/>
      <c r="E3057" s="15"/>
      <c r="F3057" s="17"/>
      <c r="G3057" s="22"/>
      <c r="H3057" s="22"/>
      <c r="I3057" s="29"/>
      <c r="J3057" s="29"/>
      <c r="K3057" s="29"/>
      <c r="L3057" s="29"/>
    </row>
    <row r="3058">
      <c r="A3058" s="13"/>
      <c r="B3058" s="13"/>
      <c r="C3058" s="15"/>
      <c r="D3058" s="15"/>
      <c r="E3058" s="15"/>
      <c r="F3058" s="17"/>
      <c r="G3058" s="22"/>
      <c r="H3058" s="22"/>
      <c r="I3058" s="29"/>
      <c r="J3058" s="29"/>
      <c r="K3058" s="29"/>
      <c r="L3058" s="29"/>
    </row>
    <row r="3059">
      <c r="A3059" s="13"/>
      <c r="B3059" s="13"/>
      <c r="C3059" s="15"/>
      <c r="D3059" s="15"/>
      <c r="E3059" s="15"/>
      <c r="F3059" s="17"/>
      <c r="G3059" s="22"/>
      <c r="H3059" s="22"/>
      <c r="I3059" s="29"/>
      <c r="J3059" s="29"/>
      <c r="K3059" s="29"/>
      <c r="L3059" s="29"/>
    </row>
    <row r="3060">
      <c r="A3060" s="13"/>
      <c r="B3060" s="13"/>
      <c r="C3060" s="15"/>
      <c r="D3060" s="15"/>
      <c r="E3060" s="15"/>
      <c r="F3060" s="17"/>
      <c r="G3060" s="22"/>
      <c r="H3060" s="22"/>
      <c r="I3060" s="29"/>
      <c r="J3060" s="29"/>
      <c r="K3060" s="29"/>
      <c r="L3060" s="29"/>
    </row>
    <row r="3061">
      <c r="A3061" s="13"/>
      <c r="B3061" s="13"/>
      <c r="C3061" s="15"/>
      <c r="D3061" s="15"/>
      <c r="E3061" s="15"/>
      <c r="F3061" s="17"/>
      <c r="G3061" s="22"/>
      <c r="H3061" s="22"/>
      <c r="I3061" s="29"/>
      <c r="J3061" s="29"/>
      <c r="K3061" s="29"/>
      <c r="L3061" s="29"/>
    </row>
    <row r="3062">
      <c r="A3062" s="13"/>
      <c r="B3062" s="13"/>
      <c r="C3062" s="15"/>
      <c r="D3062" s="15"/>
      <c r="E3062" s="15"/>
      <c r="F3062" s="17"/>
      <c r="G3062" s="22"/>
      <c r="H3062" s="22"/>
      <c r="I3062" s="29"/>
      <c r="J3062" s="29"/>
      <c r="K3062" s="29"/>
      <c r="L3062" s="29"/>
    </row>
    <row r="3063">
      <c r="A3063" s="13"/>
      <c r="B3063" s="13"/>
      <c r="C3063" s="15"/>
      <c r="D3063" s="15"/>
      <c r="E3063" s="15"/>
      <c r="F3063" s="17"/>
      <c r="G3063" s="22"/>
      <c r="H3063" s="22"/>
      <c r="I3063" s="29"/>
      <c r="J3063" s="29"/>
      <c r="K3063" s="29"/>
      <c r="L3063" s="29"/>
    </row>
    <row r="3064">
      <c r="A3064" s="13"/>
      <c r="B3064" s="13"/>
      <c r="C3064" s="15"/>
      <c r="D3064" s="15"/>
      <c r="E3064" s="15"/>
      <c r="F3064" s="17"/>
      <c r="G3064" s="22"/>
      <c r="H3064" s="22"/>
      <c r="I3064" s="29"/>
      <c r="J3064" s="29"/>
      <c r="K3064" s="29"/>
      <c r="L3064" s="29"/>
    </row>
    <row r="3065">
      <c r="A3065" s="13"/>
      <c r="B3065" s="13"/>
      <c r="C3065" s="15"/>
      <c r="D3065" s="15"/>
      <c r="E3065" s="15"/>
      <c r="F3065" s="17"/>
      <c r="G3065" s="22"/>
      <c r="H3065" s="22"/>
      <c r="I3065" s="29"/>
      <c r="J3065" s="29"/>
      <c r="K3065" s="29"/>
      <c r="L3065" s="29"/>
    </row>
    <row r="3066">
      <c r="A3066" s="13"/>
      <c r="B3066" s="13"/>
      <c r="C3066" s="15"/>
      <c r="D3066" s="15"/>
      <c r="E3066" s="15"/>
      <c r="F3066" s="17"/>
      <c r="G3066" s="22"/>
      <c r="H3066" s="22"/>
      <c r="I3066" s="29"/>
      <c r="J3066" s="29"/>
      <c r="K3066" s="29"/>
      <c r="L3066" s="29"/>
    </row>
    <row r="3067">
      <c r="A3067" s="13"/>
      <c r="B3067" s="13"/>
      <c r="C3067" s="15"/>
      <c r="D3067" s="15"/>
      <c r="E3067" s="15"/>
      <c r="F3067" s="17"/>
      <c r="G3067" s="22"/>
      <c r="H3067" s="22"/>
      <c r="I3067" s="29"/>
      <c r="J3067" s="29"/>
      <c r="K3067" s="29"/>
      <c r="L3067" s="29"/>
    </row>
    <row r="3068">
      <c r="A3068" s="13"/>
      <c r="B3068" s="13"/>
      <c r="C3068" s="15"/>
      <c r="D3068" s="15"/>
      <c r="E3068" s="15"/>
      <c r="F3068" s="17"/>
      <c r="G3068" s="22"/>
      <c r="H3068" s="22"/>
      <c r="I3068" s="29"/>
      <c r="J3068" s="29"/>
      <c r="K3068" s="29"/>
      <c r="L3068" s="29"/>
    </row>
    <row r="3069">
      <c r="A3069" s="13"/>
      <c r="B3069" s="13"/>
      <c r="C3069" s="15"/>
      <c r="D3069" s="15"/>
      <c r="E3069" s="15"/>
      <c r="F3069" s="17"/>
      <c r="G3069" s="22"/>
      <c r="H3069" s="22"/>
      <c r="I3069" s="29"/>
      <c r="J3069" s="29"/>
      <c r="K3069" s="29"/>
      <c r="L3069" s="29"/>
    </row>
    <row r="3070">
      <c r="A3070" s="13"/>
      <c r="B3070" s="13"/>
      <c r="C3070" s="15"/>
      <c r="D3070" s="15"/>
      <c r="E3070" s="15"/>
      <c r="F3070" s="17"/>
      <c r="G3070" s="22"/>
      <c r="H3070" s="22"/>
      <c r="I3070" s="29"/>
      <c r="J3070" s="29"/>
      <c r="K3070" s="29"/>
      <c r="L3070" s="29"/>
    </row>
    <row r="3071">
      <c r="A3071" s="13"/>
      <c r="B3071" s="13"/>
      <c r="C3071" s="15"/>
      <c r="D3071" s="15"/>
      <c r="E3071" s="15"/>
      <c r="F3071" s="17"/>
      <c r="G3071" s="22"/>
      <c r="H3071" s="22"/>
      <c r="I3071" s="29"/>
      <c r="J3071" s="29"/>
      <c r="K3071" s="29"/>
      <c r="L3071" s="29"/>
    </row>
    <row r="3072">
      <c r="A3072" s="13"/>
      <c r="B3072" s="13"/>
      <c r="C3072" s="15"/>
      <c r="D3072" s="15"/>
      <c r="E3072" s="15"/>
      <c r="F3072" s="17"/>
      <c r="G3072" s="22"/>
      <c r="H3072" s="22"/>
      <c r="I3072" s="29"/>
      <c r="J3072" s="29"/>
      <c r="K3072" s="29"/>
      <c r="L3072" s="29"/>
    </row>
    <row r="3073">
      <c r="A3073" s="13"/>
      <c r="B3073" s="13"/>
      <c r="C3073" s="15"/>
      <c r="D3073" s="15"/>
      <c r="E3073" s="15"/>
      <c r="F3073" s="17"/>
      <c r="G3073" s="22"/>
      <c r="H3073" s="22"/>
      <c r="I3073" s="29"/>
      <c r="J3073" s="29"/>
      <c r="K3073" s="29"/>
      <c r="L3073" s="29"/>
    </row>
    <row r="3074">
      <c r="A3074" s="13"/>
      <c r="B3074" s="13"/>
      <c r="C3074" s="15"/>
      <c r="D3074" s="15"/>
      <c r="E3074" s="15"/>
      <c r="F3074" s="17"/>
      <c r="G3074" s="22"/>
      <c r="H3074" s="22"/>
      <c r="I3074" s="29"/>
      <c r="J3074" s="29"/>
      <c r="K3074" s="29"/>
      <c r="L3074" s="29"/>
    </row>
    <row r="3075">
      <c r="A3075" s="13"/>
      <c r="B3075" s="13"/>
      <c r="C3075" s="15"/>
      <c r="D3075" s="15"/>
      <c r="E3075" s="15"/>
      <c r="F3075" s="17"/>
      <c r="G3075" s="22"/>
      <c r="H3075" s="22"/>
      <c r="I3075" s="29"/>
      <c r="J3075" s="29"/>
      <c r="K3075" s="29"/>
      <c r="L3075" s="29"/>
    </row>
    <row r="3076">
      <c r="A3076" s="13"/>
      <c r="B3076" s="13"/>
      <c r="C3076" s="15"/>
      <c r="D3076" s="15"/>
      <c r="E3076" s="15"/>
      <c r="F3076" s="17"/>
      <c r="G3076" s="22"/>
      <c r="H3076" s="22"/>
      <c r="I3076" s="29"/>
      <c r="J3076" s="29"/>
      <c r="K3076" s="29"/>
      <c r="L3076" s="29"/>
    </row>
    <row r="3077">
      <c r="A3077" s="13"/>
      <c r="B3077" s="13"/>
      <c r="C3077" s="15"/>
      <c r="D3077" s="15"/>
      <c r="E3077" s="15"/>
      <c r="F3077" s="17"/>
      <c r="G3077" s="22"/>
      <c r="H3077" s="22"/>
      <c r="I3077" s="29"/>
      <c r="J3077" s="29"/>
      <c r="K3077" s="29"/>
      <c r="L3077" s="29"/>
    </row>
    <row r="3078">
      <c r="A3078" s="13"/>
      <c r="B3078" s="13"/>
      <c r="C3078" s="15"/>
      <c r="D3078" s="15"/>
      <c r="E3078" s="15"/>
      <c r="F3078" s="17"/>
      <c r="G3078" s="22"/>
      <c r="H3078" s="22"/>
      <c r="I3078" s="29"/>
      <c r="J3078" s="29"/>
      <c r="K3078" s="29"/>
      <c r="L3078" s="29"/>
    </row>
    <row r="3079">
      <c r="A3079" s="13"/>
      <c r="B3079" s="13"/>
      <c r="C3079" s="15"/>
      <c r="D3079" s="15"/>
      <c r="E3079" s="15"/>
      <c r="F3079" s="17"/>
      <c r="G3079" s="22"/>
      <c r="H3079" s="22"/>
      <c r="I3079" s="29"/>
      <c r="J3079" s="29"/>
      <c r="K3079" s="29"/>
      <c r="L3079" s="29"/>
    </row>
    <row r="3080">
      <c r="A3080" s="13"/>
      <c r="B3080" s="13"/>
      <c r="C3080" s="15"/>
      <c r="D3080" s="15"/>
      <c r="E3080" s="15"/>
      <c r="F3080" s="17"/>
      <c r="G3080" s="22"/>
      <c r="H3080" s="22"/>
      <c r="I3080" s="29"/>
      <c r="J3080" s="29"/>
      <c r="K3080" s="29"/>
      <c r="L3080" s="29"/>
    </row>
    <row r="3081">
      <c r="A3081" s="13"/>
      <c r="B3081" s="13"/>
      <c r="C3081" s="15"/>
      <c r="D3081" s="15"/>
      <c r="E3081" s="15"/>
      <c r="F3081" s="17"/>
      <c r="G3081" s="22"/>
      <c r="H3081" s="22"/>
      <c r="I3081" s="29"/>
      <c r="J3081" s="29"/>
      <c r="K3081" s="29"/>
      <c r="L3081" s="29"/>
    </row>
    <row r="3082">
      <c r="A3082" s="13"/>
      <c r="B3082" s="13"/>
      <c r="C3082" s="15"/>
      <c r="D3082" s="15"/>
      <c r="E3082" s="15"/>
      <c r="F3082" s="17"/>
      <c r="G3082" s="22"/>
      <c r="H3082" s="22"/>
      <c r="I3082" s="29"/>
      <c r="J3082" s="29"/>
      <c r="K3082" s="29"/>
      <c r="L3082" s="29"/>
    </row>
    <row r="3083">
      <c r="A3083" s="13"/>
      <c r="B3083" s="13"/>
      <c r="C3083" s="15"/>
      <c r="D3083" s="15"/>
      <c r="E3083" s="15"/>
      <c r="F3083" s="17"/>
      <c r="G3083" s="22"/>
      <c r="H3083" s="22"/>
      <c r="I3083" s="29"/>
      <c r="J3083" s="29"/>
      <c r="K3083" s="29"/>
      <c r="L3083" s="29"/>
    </row>
    <row r="3084">
      <c r="A3084" s="13"/>
      <c r="B3084" s="13"/>
      <c r="C3084" s="15"/>
      <c r="D3084" s="15"/>
      <c r="E3084" s="15"/>
      <c r="F3084" s="17"/>
      <c r="G3084" s="22"/>
      <c r="H3084" s="22"/>
      <c r="I3084" s="29"/>
      <c r="J3084" s="29"/>
      <c r="K3084" s="29"/>
      <c r="L3084" s="29"/>
    </row>
    <row r="3085">
      <c r="A3085" s="13"/>
      <c r="B3085" s="13"/>
      <c r="C3085" s="15"/>
      <c r="D3085" s="15"/>
      <c r="E3085" s="15"/>
      <c r="F3085" s="17"/>
      <c r="G3085" s="22"/>
      <c r="H3085" s="22"/>
      <c r="I3085" s="29"/>
      <c r="J3085" s="29"/>
      <c r="K3085" s="29"/>
      <c r="L3085" s="29"/>
    </row>
    <row r="3086">
      <c r="A3086" s="13"/>
      <c r="B3086" s="13"/>
      <c r="C3086" s="15"/>
      <c r="D3086" s="15"/>
      <c r="E3086" s="15"/>
      <c r="F3086" s="17"/>
      <c r="G3086" s="22"/>
      <c r="H3086" s="22"/>
      <c r="I3086" s="29"/>
      <c r="J3086" s="29"/>
      <c r="K3086" s="29"/>
      <c r="L3086" s="29"/>
    </row>
    <row r="3087">
      <c r="A3087" s="13"/>
      <c r="B3087" s="13"/>
      <c r="C3087" s="15"/>
      <c r="D3087" s="15"/>
      <c r="E3087" s="15"/>
      <c r="F3087" s="17"/>
      <c r="G3087" s="22"/>
      <c r="H3087" s="22"/>
      <c r="I3087" s="29"/>
      <c r="J3087" s="29"/>
      <c r="K3087" s="29"/>
      <c r="L3087" s="29"/>
    </row>
    <row r="3088">
      <c r="A3088" s="13"/>
      <c r="B3088" s="13"/>
      <c r="C3088" s="15"/>
      <c r="D3088" s="15"/>
      <c r="E3088" s="15"/>
      <c r="F3088" s="17"/>
      <c r="G3088" s="22"/>
      <c r="H3088" s="22"/>
      <c r="I3088" s="29"/>
      <c r="J3088" s="29"/>
      <c r="K3088" s="29"/>
      <c r="L3088" s="29"/>
    </row>
    <row r="3089">
      <c r="A3089" s="13"/>
      <c r="B3089" s="13"/>
      <c r="C3089" s="15"/>
      <c r="D3089" s="15"/>
      <c r="E3089" s="15"/>
      <c r="F3089" s="17"/>
      <c r="G3089" s="22"/>
      <c r="H3089" s="22"/>
      <c r="I3089" s="29"/>
      <c r="J3089" s="29"/>
      <c r="K3089" s="29"/>
      <c r="L3089" s="29"/>
    </row>
    <row r="3090">
      <c r="A3090" s="13"/>
      <c r="B3090" s="13"/>
      <c r="C3090" s="15"/>
      <c r="D3090" s="15"/>
      <c r="E3090" s="15"/>
      <c r="F3090" s="17"/>
      <c r="G3090" s="22"/>
      <c r="H3090" s="22"/>
      <c r="I3090" s="29"/>
      <c r="J3090" s="29"/>
      <c r="K3090" s="29"/>
      <c r="L3090" s="29"/>
    </row>
    <row r="3091">
      <c r="A3091" s="13"/>
      <c r="B3091" s="13"/>
      <c r="C3091" s="15"/>
      <c r="D3091" s="15"/>
      <c r="E3091" s="15"/>
      <c r="F3091" s="17"/>
      <c r="G3091" s="22"/>
      <c r="H3091" s="22"/>
      <c r="I3091" s="29"/>
      <c r="J3091" s="29"/>
      <c r="K3091" s="29"/>
      <c r="L3091" s="29"/>
    </row>
    <row r="3092">
      <c r="A3092" s="13"/>
      <c r="B3092" s="13"/>
      <c r="C3092" s="15"/>
      <c r="D3092" s="15"/>
      <c r="E3092" s="15"/>
      <c r="F3092" s="17"/>
      <c r="G3092" s="22"/>
      <c r="H3092" s="22"/>
      <c r="I3092" s="29"/>
      <c r="J3092" s="29"/>
      <c r="K3092" s="29"/>
      <c r="L3092" s="29"/>
    </row>
    <row r="3093">
      <c r="A3093" s="13"/>
      <c r="B3093" s="13"/>
      <c r="C3093" s="15"/>
      <c r="D3093" s="15"/>
      <c r="E3093" s="15"/>
      <c r="F3093" s="17"/>
      <c r="G3093" s="22"/>
      <c r="H3093" s="22"/>
      <c r="I3093" s="29"/>
      <c r="J3093" s="29"/>
      <c r="K3093" s="29"/>
      <c r="L3093" s="29"/>
    </row>
    <row r="3094">
      <c r="A3094" s="13"/>
      <c r="B3094" s="13"/>
      <c r="C3094" s="15"/>
      <c r="D3094" s="15"/>
      <c r="E3094" s="15"/>
      <c r="F3094" s="17"/>
      <c r="G3094" s="22"/>
      <c r="H3094" s="22"/>
      <c r="I3094" s="29"/>
      <c r="J3094" s="29"/>
      <c r="K3094" s="29"/>
      <c r="L3094" s="29"/>
    </row>
    <row r="3095">
      <c r="A3095" s="13"/>
      <c r="B3095" s="13"/>
      <c r="C3095" s="15"/>
      <c r="D3095" s="15"/>
      <c r="E3095" s="15"/>
      <c r="F3095" s="17"/>
      <c r="G3095" s="22"/>
      <c r="H3095" s="22"/>
      <c r="I3095" s="29"/>
      <c r="J3095" s="29"/>
      <c r="K3095" s="29"/>
      <c r="L3095" s="29"/>
    </row>
    <row r="3096">
      <c r="A3096" s="13"/>
      <c r="B3096" s="13"/>
      <c r="C3096" s="15"/>
      <c r="D3096" s="15"/>
      <c r="E3096" s="15"/>
      <c r="F3096" s="17"/>
      <c r="G3096" s="22"/>
      <c r="H3096" s="22"/>
      <c r="I3096" s="29"/>
      <c r="J3096" s="29"/>
      <c r="K3096" s="29"/>
      <c r="L3096" s="29"/>
    </row>
    <row r="3097">
      <c r="A3097" s="13"/>
      <c r="B3097" s="13"/>
      <c r="C3097" s="15"/>
      <c r="D3097" s="15"/>
      <c r="E3097" s="15"/>
      <c r="F3097" s="17"/>
      <c r="G3097" s="22"/>
      <c r="H3097" s="22"/>
      <c r="I3097" s="29"/>
      <c r="J3097" s="29"/>
      <c r="K3097" s="29"/>
      <c r="L3097" s="29"/>
    </row>
    <row r="3098">
      <c r="A3098" s="13"/>
      <c r="B3098" s="13"/>
      <c r="C3098" s="15"/>
      <c r="D3098" s="15"/>
      <c r="E3098" s="15"/>
      <c r="F3098" s="17"/>
      <c r="G3098" s="22"/>
      <c r="H3098" s="22"/>
      <c r="I3098" s="29"/>
      <c r="J3098" s="29"/>
      <c r="K3098" s="29"/>
      <c r="L3098" s="29"/>
    </row>
    <row r="3099">
      <c r="A3099" s="13"/>
      <c r="B3099" s="13"/>
      <c r="C3099" s="15"/>
      <c r="D3099" s="15"/>
      <c r="E3099" s="15"/>
      <c r="F3099" s="17"/>
      <c r="G3099" s="22"/>
      <c r="H3099" s="22"/>
      <c r="I3099" s="29"/>
      <c r="J3099" s="29"/>
      <c r="K3099" s="29"/>
      <c r="L3099" s="29"/>
    </row>
    <row r="3100">
      <c r="A3100" s="13"/>
      <c r="B3100" s="13"/>
      <c r="C3100" s="15"/>
      <c r="D3100" s="15"/>
      <c r="E3100" s="15"/>
      <c r="F3100" s="17"/>
      <c r="G3100" s="22"/>
      <c r="H3100" s="22"/>
      <c r="I3100" s="29"/>
      <c r="J3100" s="29"/>
      <c r="K3100" s="29"/>
      <c r="L3100" s="29"/>
    </row>
    <row r="3101">
      <c r="A3101" s="13"/>
      <c r="B3101" s="13"/>
      <c r="C3101" s="15"/>
      <c r="D3101" s="15"/>
      <c r="E3101" s="15"/>
      <c r="F3101" s="17"/>
      <c r="G3101" s="22"/>
      <c r="H3101" s="22"/>
      <c r="I3101" s="29"/>
      <c r="J3101" s="29"/>
      <c r="K3101" s="29"/>
      <c r="L3101" s="29"/>
    </row>
    <row r="3102">
      <c r="A3102" s="13"/>
      <c r="B3102" s="13"/>
      <c r="C3102" s="15"/>
      <c r="D3102" s="15"/>
      <c r="E3102" s="15"/>
      <c r="F3102" s="17"/>
      <c r="G3102" s="22"/>
      <c r="H3102" s="22"/>
      <c r="I3102" s="29"/>
      <c r="J3102" s="29"/>
      <c r="K3102" s="29"/>
      <c r="L3102" s="29"/>
    </row>
    <row r="3103">
      <c r="A3103" s="13"/>
      <c r="B3103" s="13"/>
      <c r="C3103" s="15"/>
      <c r="D3103" s="15"/>
      <c r="E3103" s="15"/>
      <c r="F3103" s="17"/>
      <c r="G3103" s="22"/>
      <c r="H3103" s="22"/>
      <c r="I3103" s="29"/>
      <c r="J3103" s="29"/>
      <c r="K3103" s="29"/>
      <c r="L3103" s="29"/>
    </row>
    <row r="3104">
      <c r="A3104" s="13"/>
      <c r="B3104" s="13"/>
      <c r="C3104" s="15"/>
      <c r="D3104" s="15"/>
      <c r="E3104" s="15"/>
      <c r="F3104" s="17"/>
      <c r="G3104" s="22"/>
      <c r="H3104" s="22"/>
      <c r="I3104" s="29"/>
      <c r="J3104" s="29"/>
      <c r="K3104" s="29"/>
      <c r="L3104" s="29"/>
    </row>
    <row r="3105">
      <c r="A3105" s="13"/>
      <c r="B3105" s="13"/>
      <c r="C3105" s="15"/>
      <c r="D3105" s="15"/>
      <c r="E3105" s="15"/>
      <c r="F3105" s="17"/>
      <c r="G3105" s="22"/>
      <c r="H3105" s="22"/>
      <c r="I3105" s="29"/>
      <c r="J3105" s="29"/>
      <c r="K3105" s="29"/>
      <c r="L3105" s="29"/>
    </row>
    <row r="3106">
      <c r="A3106" s="13"/>
      <c r="B3106" s="13"/>
      <c r="C3106" s="15"/>
      <c r="D3106" s="15"/>
      <c r="E3106" s="15"/>
      <c r="F3106" s="17"/>
      <c r="G3106" s="22"/>
      <c r="H3106" s="22"/>
      <c r="I3106" s="29"/>
      <c r="J3106" s="29"/>
      <c r="K3106" s="29"/>
      <c r="L3106" s="29"/>
    </row>
    <row r="3107">
      <c r="A3107" s="13"/>
      <c r="B3107" s="13"/>
      <c r="C3107" s="15"/>
      <c r="D3107" s="15"/>
      <c r="E3107" s="15"/>
      <c r="F3107" s="17"/>
      <c r="G3107" s="22"/>
      <c r="H3107" s="22"/>
      <c r="I3107" s="29"/>
      <c r="J3107" s="29"/>
      <c r="K3107" s="29"/>
      <c r="L3107" s="29"/>
    </row>
    <row r="3108">
      <c r="A3108" s="13"/>
      <c r="B3108" s="13"/>
      <c r="C3108" s="15"/>
      <c r="D3108" s="15"/>
      <c r="E3108" s="15"/>
      <c r="F3108" s="17"/>
      <c r="G3108" s="22"/>
      <c r="H3108" s="22"/>
      <c r="I3108" s="29"/>
      <c r="J3108" s="29"/>
      <c r="K3108" s="29"/>
      <c r="L3108" s="29"/>
    </row>
    <row r="3109">
      <c r="A3109" s="13"/>
      <c r="B3109" s="13"/>
      <c r="C3109" s="15"/>
      <c r="D3109" s="15"/>
      <c r="E3109" s="15"/>
      <c r="F3109" s="17"/>
      <c r="G3109" s="22"/>
      <c r="H3109" s="22"/>
      <c r="I3109" s="29"/>
      <c r="J3109" s="29"/>
      <c r="K3109" s="29"/>
      <c r="L3109" s="29"/>
    </row>
    <row r="3110">
      <c r="A3110" s="13"/>
      <c r="B3110" s="13"/>
      <c r="C3110" s="15"/>
      <c r="D3110" s="15"/>
      <c r="E3110" s="15"/>
      <c r="F3110" s="17"/>
      <c r="G3110" s="22"/>
      <c r="H3110" s="22"/>
      <c r="I3110" s="29"/>
      <c r="J3110" s="29"/>
      <c r="K3110" s="29"/>
      <c r="L3110" s="29"/>
    </row>
    <row r="3111">
      <c r="A3111" s="13"/>
      <c r="B3111" s="13"/>
      <c r="C3111" s="15"/>
      <c r="D3111" s="15"/>
      <c r="E3111" s="15"/>
      <c r="F3111" s="17"/>
      <c r="G3111" s="22"/>
      <c r="H3111" s="22"/>
      <c r="I3111" s="29"/>
      <c r="J3111" s="29"/>
      <c r="K3111" s="29"/>
      <c r="L3111" s="29"/>
    </row>
    <row r="3112">
      <c r="A3112" s="13"/>
      <c r="B3112" s="13"/>
      <c r="C3112" s="15"/>
      <c r="D3112" s="15"/>
      <c r="E3112" s="15"/>
      <c r="F3112" s="17"/>
      <c r="G3112" s="22"/>
      <c r="H3112" s="22"/>
      <c r="I3112" s="29"/>
      <c r="J3112" s="29"/>
      <c r="K3112" s="29"/>
      <c r="L3112" s="29"/>
    </row>
    <row r="3113">
      <c r="A3113" s="13"/>
      <c r="B3113" s="13"/>
      <c r="C3113" s="15"/>
      <c r="D3113" s="15"/>
      <c r="E3113" s="15"/>
      <c r="F3113" s="17"/>
      <c r="G3113" s="22"/>
      <c r="H3113" s="22"/>
      <c r="I3113" s="29"/>
      <c r="J3113" s="29"/>
      <c r="K3113" s="29"/>
      <c r="L3113" s="29"/>
    </row>
    <row r="3114">
      <c r="A3114" s="13"/>
      <c r="B3114" s="13"/>
      <c r="C3114" s="15"/>
      <c r="D3114" s="15"/>
      <c r="E3114" s="15"/>
      <c r="F3114" s="17"/>
      <c r="G3114" s="22"/>
      <c r="H3114" s="22"/>
      <c r="I3114" s="29"/>
      <c r="J3114" s="29"/>
      <c r="K3114" s="29"/>
      <c r="L3114" s="29"/>
    </row>
    <row r="3115">
      <c r="A3115" s="13"/>
      <c r="B3115" s="13"/>
      <c r="C3115" s="15"/>
      <c r="D3115" s="15"/>
      <c r="E3115" s="15"/>
      <c r="F3115" s="17"/>
      <c r="G3115" s="22"/>
      <c r="H3115" s="22"/>
      <c r="I3115" s="29"/>
      <c r="J3115" s="29"/>
      <c r="K3115" s="29"/>
      <c r="L3115" s="29"/>
    </row>
    <row r="3116">
      <c r="A3116" s="13"/>
      <c r="B3116" s="13"/>
      <c r="C3116" s="15"/>
      <c r="D3116" s="15"/>
      <c r="E3116" s="15"/>
      <c r="F3116" s="17"/>
      <c r="G3116" s="22"/>
      <c r="H3116" s="22"/>
      <c r="I3116" s="29"/>
      <c r="J3116" s="29"/>
      <c r="K3116" s="29"/>
      <c r="L3116" s="29"/>
    </row>
    <row r="3117">
      <c r="A3117" s="13"/>
      <c r="B3117" s="13"/>
      <c r="C3117" s="15"/>
      <c r="D3117" s="15"/>
      <c r="E3117" s="15"/>
      <c r="F3117" s="17"/>
      <c r="G3117" s="22"/>
      <c r="H3117" s="22"/>
      <c r="I3117" s="29"/>
      <c r="J3117" s="29"/>
      <c r="K3117" s="29"/>
      <c r="L3117" s="29"/>
    </row>
    <row r="3118">
      <c r="A3118" s="13"/>
      <c r="B3118" s="13"/>
      <c r="C3118" s="15"/>
      <c r="D3118" s="15"/>
      <c r="E3118" s="15"/>
      <c r="F3118" s="17"/>
      <c r="G3118" s="22"/>
      <c r="H3118" s="22"/>
      <c r="I3118" s="29"/>
      <c r="J3118" s="29"/>
      <c r="K3118" s="29"/>
      <c r="L3118" s="29"/>
    </row>
    <row r="3119">
      <c r="A3119" s="13"/>
      <c r="B3119" s="13"/>
      <c r="C3119" s="15"/>
      <c r="D3119" s="15"/>
      <c r="E3119" s="15"/>
      <c r="F3119" s="17"/>
      <c r="G3119" s="22"/>
      <c r="H3119" s="22"/>
      <c r="I3119" s="29"/>
      <c r="J3119" s="29"/>
      <c r="K3119" s="29"/>
      <c r="L3119" s="29"/>
    </row>
    <row r="3120">
      <c r="A3120" s="13"/>
      <c r="B3120" s="13"/>
      <c r="C3120" s="15"/>
      <c r="D3120" s="15"/>
      <c r="E3120" s="15"/>
      <c r="F3120" s="17"/>
      <c r="G3120" s="22"/>
      <c r="H3120" s="22"/>
      <c r="I3120" s="29"/>
      <c r="J3120" s="29"/>
      <c r="K3120" s="29"/>
      <c r="L3120" s="29"/>
    </row>
    <row r="3121">
      <c r="A3121" s="13"/>
      <c r="B3121" s="13"/>
      <c r="C3121" s="15"/>
      <c r="D3121" s="15"/>
      <c r="E3121" s="15"/>
      <c r="F3121" s="17"/>
      <c r="G3121" s="22"/>
      <c r="H3121" s="22"/>
      <c r="I3121" s="29"/>
      <c r="J3121" s="29"/>
      <c r="K3121" s="29"/>
      <c r="L3121" s="29"/>
    </row>
    <row r="3122">
      <c r="A3122" s="13"/>
      <c r="B3122" s="13"/>
      <c r="C3122" s="15"/>
      <c r="D3122" s="15"/>
      <c r="E3122" s="15"/>
      <c r="F3122" s="17"/>
      <c r="G3122" s="22"/>
      <c r="H3122" s="22"/>
      <c r="I3122" s="29"/>
      <c r="J3122" s="29"/>
      <c r="K3122" s="29"/>
      <c r="L3122" s="29"/>
    </row>
    <row r="3123">
      <c r="A3123" s="13"/>
      <c r="B3123" s="13"/>
      <c r="C3123" s="15"/>
      <c r="D3123" s="15"/>
      <c r="E3123" s="15"/>
      <c r="F3123" s="17"/>
      <c r="G3123" s="22"/>
      <c r="H3123" s="22"/>
      <c r="I3123" s="29"/>
      <c r="J3123" s="29"/>
      <c r="K3123" s="29"/>
      <c r="L3123" s="29"/>
    </row>
    <row r="3124">
      <c r="A3124" s="13"/>
      <c r="B3124" s="13"/>
      <c r="C3124" s="15"/>
      <c r="D3124" s="15"/>
      <c r="E3124" s="15"/>
      <c r="F3124" s="17"/>
      <c r="G3124" s="22"/>
      <c r="H3124" s="22"/>
      <c r="I3124" s="29"/>
      <c r="J3124" s="29"/>
      <c r="K3124" s="29"/>
      <c r="L3124" s="29"/>
    </row>
    <row r="3125">
      <c r="A3125" s="13"/>
      <c r="B3125" s="13"/>
      <c r="C3125" s="15"/>
      <c r="D3125" s="15"/>
      <c r="E3125" s="15"/>
      <c r="F3125" s="17"/>
      <c r="G3125" s="22"/>
      <c r="H3125" s="22"/>
      <c r="I3125" s="29"/>
      <c r="J3125" s="29"/>
      <c r="K3125" s="29"/>
      <c r="L3125" s="29"/>
    </row>
    <row r="3126">
      <c r="A3126" s="13"/>
      <c r="B3126" s="13"/>
      <c r="C3126" s="15"/>
      <c r="D3126" s="15"/>
      <c r="E3126" s="15"/>
      <c r="F3126" s="17"/>
      <c r="G3126" s="22"/>
      <c r="H3126" s="22"/>
      <c r="I3126" s="29"/>
      <c r="J3126" s="29"/>
      <c r="K3126" s="29"/>
      <c r="L3126" s="29"/>
    </row>
    <row r="3127">
      <c r="A3127" s="13"/>
      <c r="B3127" s="13"/>
      <c r="C3127" s="15"/>
      <c r="D3127" s="15"/>
      <c r="E3127" s="15"/>
      <c r="F3127" s="17"/>
      <c r="G3127" s="22"/>
      <c r="H3127" s="22"/>
      <c r="I3127" s="29"/>
      <c r="J3127" s="29"/>
      <c r="K3127" s="29"/>
      <c r="L3127" s="29"/>
    </row>
    <row r="3128">
      <c r="A3128" s="13"/>
      <c r="B3128" s="13"/>
      <c r="C3128" s="15"/>
      <c r="D3128" s="15"/>
      <c r="E3128" s="15"/>
      <c r="F3128" s="17"/>
      <c r="G3128" s="22"/>
      <c r="H3128" s="22"/>
      <c r="I3128" s="29"/>
      <c r="J3128" s="29"/>
      <c r="K3128" s="29"/>
      <c r="L3128" s="29"/>
    </row>
    <row r="3129">
      <c r="A3129" s="13"/>
      <c r="B3129" s="13"/>
      <c r="C3129" s="15"/>
      <c r="D3129" s="15"/>
      <c r="E3129" s="15"/>
      <c r="F3129" s="17"/>
      <c r="G3129" s="22"/>
      <c r="H3129" s="22"/>
      <c r="I3129" s="29"/>
      <c r="J3129" s="29"/>
      <c r="K3129" s="29"/>
      <c r="L3129" s="29"/>
    </row>
    <row r="3130">
      <c r="A3130" s="13"/>
      <c r="B3130" s="13"/>
      <c r="C3130" s="15"/>
      <c r="D3130" s="15"/>
      <c r="E3130" s="15"/>
      <c r="F3130" s="17"/>
      <c r="G3130" s="22"/>
      <c r="H3130" s="22"/>
      <c r="I3130" s="29"/>
      <c r="J3130" s="29"/>
      <c r="K3130" s="29"/>
      <c r="L3130" s="29"/>
    </row>
    <row r="3131">
      <c r="A3131" s="13"/>
      <c r="B3131" s="13"/>
      <c r="C3131" s="15"/>
      <c r="D3131" s="15"/>
      <c r="E3131" s="15"/>
      <c r="F3131" s="17"/>
      <c r="G3131" s="22"/>
      <c r="H3131" s="22"/>
      <c r="I3131" s="29"/>
      <c r="J3131" s="29"/>
      <c r="K3131" s="29"/>
      <c r="L3131" s="29"/>
    </row>
    <row r="3132">
      <c r="A3132" s="13"/>
      <c r="B3132" s="13"/>
      <c r="C3132" s="15"/>
      <c r="D3132" s="15"/>
      <c r="E3132" s="15"/>
      <c r="F3132" s="17"/>
      <c r="G3132" s="22"/>
      <c r="H3132" s="22"/>
      <c r="I3132" s="29"/>
      <c r="J3132" s="29"/>
      <c r="K3132" s="29"/>
      <c r="L3132" s="29"/>
    </row>
    <row r="3133">
      <c r="A3133" s="13"/>
      <c r="B3133" s="13"/>
      <c r="C3133" s="15"/>
      <c r="D3133" s="15"/>
      <c r="E3133" s="15"/>
      <c r="F3133" s="17"/>
      <c r="G3133" s="22"/>
      <c r="H3133" s="22"/>
      <c r="I3133" s="29"/>
      <c r="J3133" s="29"/>
      <c r="K3133" s="29"/>
      <c r="L3133" s="29"/>
    </row>
    <row r="3134">
      <c r="A3134" s="13"/>
      <c r="B3134" s="13"/>
      <c r="C3134" s="15"/>
      <c r="D3134" s="15"/>
      <c r="E3134" s="15"/>
      <c r="F3134" s="17"/>
      <c r="G3134" s="22"/>
      <c r="H3134" s="22"/>
      <c r="I3134" s="29"/>
      <c r="J3134" s="29"/>
      <c r="K3134" s="29"/>
      <c r="L3134" s="29"/>
    </row>
    <row r="3135">
      <c r="A3135" s="13"/>
      <c r="B3135" s="13"/>
      <c r="C3135" s="15"/>
      <c r="D3135" s="15"/>
      <c r="E3135" s="15"/>
      <c r="F3135" s="17"/>
      <c r="G3135" s="22"/>
      <c r="H3135" s="22"/>
      <c r="I3135" s="29"/>
      <c r="J3135" s="29"/>
      <c r="K3135" s="29"/>
      <c r="L3135" s="29"/>
    </row>
    <row r="3136">
      <c r="A3136" s="13"/>
      <c r="B3136" s="13"/>
      <c r="C3136" s="15"/>
      <c r="D3136" s="15"/>
      <c r="E3136" s="15"/>
      <c r="F3136" s="17"/>
      <c r="G3136" s="22"/>
      <c r="H3136" s="22"/>
      <c r="I3136" s="29"/>
      <c r="J3136" s="29"/>
      <c r="K3136" s="29"/>
      <c r="L3136" s="29"/>
    </row>
    <row r="3137">
      <c r="A3137" s="13"/>
      <c r="B3137" s="13"/>
      <c r="C3137" s="15"/>
      <c r="D3137" s="15"/>
      <c r="E3137" s="15"/>
      <c r="F3137" s="17"/>
      <c r="G3137" s="22"/>
      <c r="H3137" s="22"/>
      <c r="I3137" s="29"/>
      <c r="J3137" s="29"/>
      <c r="K3137" s="29"/>
      <c r="L3137" s="29"/>
    </row>
    <row r="3138">
      <c r="A3138" s="13"/>
      <c r="B3138" s="13"/>
      <c r="C3138" s="15"/>
      <c r="D3138" s="15"/>
      <c r="E3138" s="15"/>
      <c r="F3138" s="17"/>
      <c r="G3138" s="22"/>
      <c r="H3138" s="22"/>
      <c r="I3138" s="29"/>
      <c r="J3138" s="29"/>
      <c r="K3138" s="29"/>
      <c r="L3138" s="29"/>
    </row>
    <row r="3139">
      <c r="A3139" s="13"/>
      <c r="B3139" s="13"/>
      <c r="C3139" s="15"/>
      <c r="D3139" s="15"/>
      <c r="E3139" s="15"/>
      <c r="F3139" s="17"/>
      <c r="G3139" s="22"/>
      <c r="H3139" s="22"/>
      <c r="I3139" s="29"/>
      <c r="J3139" s="29"/>
      <c r="K3139" s="29"/>
      <c r="L3139" s="29"/>
    </row>
    <row r="3140">
      <c r="A3140" s="13"/>
      <c r="B3140" s="13"/>
      <c r="C3140" s="15"/>
      <c r="D3140" s="15"/>
      <c r="E3140" s="15"/>
      <c r="F3140" s="17"/>
      <c r="G3140" s="22"/>
      <c r="H3140" s="22"/>
      <c r="I3140" s="29"/>
      <c r="J3140" s="29"/>
      <c r="K3140" s="29"/>
      <c r="L3140" s="29"/>
    </row>
    <row r="3141">
      <c r="A3141" s="13"/>
      <c r="B3141" s="13"/>
      <c r="C3141" s="15"/>
      <c r="D3141" s="15"/>
      <c r="E3141" s="15"/>
      <c r="F3141" s="17"/>
      <c r="G3141" s="22"/>
      <c r="H3141" s="22"/>
      <c r="I3141" s="29"/>
      <c r="J3141" s="29"/>
      <c r="K3141" s="29"/>
      <c r="L3141" s="29"/>
    </row>
    <row r="3142">
      <c r="A3142" s="13"/>
      <c r="B3142" s="13"/>
      <c r="C3142" s="15"/>
      <c r="D3142" s="15"/>
      <c r="E3142" s="15"/>
      <c r="F3142" s="17"/>
      <c r="G3142" s="22"/>
      <c r="H3142" s="22"/>
      <c r="I3142" s="29"/>
      <c r="J3142" s="29"/>
      <c r="K3142" s="29"/>
      <c r="L3142" s="29"/>
    </row>
    <row r="3143">
      <c r="A3143" s="13"/>
      <c r="B3143" s="13"/>
      <c r="C3143" s="15"/>
      <c r="D3143" s="15"/>
      <c r="E3143" s="15"/>
      <c r="F3143" s="17"/>
      <c r="G3143" s="22"/>
      <c r="H3143" s="22"/>
      <c r="I3143" s="29"/>
      <c r="J3143" s="29"/>
      <c r="K3143" s="29"/>
      <c r="L3143" s="29"/>
    </row>
    <row r="3144">
      <c r="A3144" s="13"/>
      <c r="B3144" s="13"/>
      <c r="C3144" s="15"/>
      <c r="D3144" s="15"/>
      <c r="E3144" s="15"/>
      <c r="F3144" s="17"/>
      <c r="G3144" s="22"/>
      <c r="H3144" s="22"/>
      <c r="I3144" s="29"/>
      <c r="J3144" s="29"/>
      <c r="K3144" s="29"/>
      <c r="L3144" s="29"/>
    </row>
    <row r="3145">
      <c r="A3145" s="13"/>
      <c r="B3145" s="13"/>
      <c r="C3145" s="15"/>
      <c r="D3145" s="15"/>
      <c r="E3145" s="15"/>
      <c r="F3145" s="17"/>
      <c r="G3145" s="22"/>
      <c r="H3145" s="22"/>
      <c r="I3145" s="29"/>
      <c r="J3145" s="29"/>
      <c r="K3145" s="29"/>
      <c r="L3145" s="29"/>
    </row>
    <row r="3146">
      <c r="A3146" s="13"/>
      <c r="B3146" s="13"/>
      <c r="C3146" s="15"/>
      <c r="D3146" s="15"/>
      <c r="E3146" s="15"/>
      <c r="F3146" s="17"/>
      <c r="G3146" s="22"/>
      <c r="H3146" s="22"/>
      <c r="I3146" s="29"/>
      <c r="J3146" s="29"/>
      <c r="K3146" s="29"/>
      <c r="L3146" s="29"/>
    </row>
    <row r="3147">
      <c r="A3147" s="13"/>
      <c r="B3147" s="13"/>
      <c r="C3147" s="15"/>
      <c r="D3147" s="15"/>
      <c r="E3147" s="15"/>
      <c r="F3147" s="17"/>
      <c r="G3147" s="22"/>
      <c r="H3147" s="22"/>
      <c r="I3147" s="29"/>
      <c r="J3147" s="29"/>
      <c r="K3147" s="29"/>
      <c r="L3147" s="29"/>
    </row>
    <row r="3148">
      <c r="A3148" s="13"/>
      <c r="B3148" s="13"/>
      <c r="C3148" s="15"/>
      <c r="D3148" s="15"/>
      <c r="E3148" s="15"/>
      <c r="F3148" s="17"/>
      <c r="G3148" s="22"/>
      <c r="H3148" s="22"/>
      <c r="I3148" s="29"/>
      <c r="J3148" s="29"/>
      <c r="K3148" s="29"/>
      <c r="L3148" s="29"/>
    </row>
    <row r="3149">
      <c r="A3149" s="13"/>
      <c r="B3149" s="13"/>
      <c r="C3149" s="15"/>
      <c r="D3149" s="15"/>
      <c r="E3149" s="15"/>
      <c r="F3149" s="17"/>
      <c r="G3149" s="22"/>
      <c r="H3149" s="22"/>
      <c r="I3149" s="29"/>
      <c r="J3149" s="29"/>
      <c r="K3149" s="29"/>
      <c r="L3149" s="29"/>
    </row>
    <row r="3150">
      <c r="A3150" s="13"/>
      <c r="B3150" s="13"/>
      <c r="C3150" s="15"/>
      <c r="D3150" s="15"/>
      <c r="E3150" s="15"/>
      <c r="F3150" s="17"/>
      <c r="G3150" s="22"/>
      <c r="H3150" s="22"/>
      <c r="I3150" s="29"/>
      <c r="J3150" s="29"/>
      <c r="K3150" s="29"/>
      <c r="L3150" s="29"/>
    </row>
    <row r="3151">
      <c r="A3151" s="13"/>
      <c r="B3151" s="13"/>
      <c r="C3151" s="15"/>
      <c r="D3151" s="15"/>
      <c r="E3151" s="15"/>
      <c r="F3151" s="17"/>
      <c r="G3151" s="22"/>
      <c r="H3151" s="22"/>
      <c r="I3151" s="29"/>
      <c r="J3151" s="29"/>
      <c r="K3151" s="29"/>
      <c r="L3151" s="29"/>
    </row>
    <row r="3152">
      <c r="A3152" s="13"/>
      <c r="B3152" s="13"/>
      <c r="C3152" s="15"/>
      <c r="D3152" s="15"/>
      <c r="E3152" s="15"/>
      <c r="F3152" s="17"/>
      <c r="G3152" s="22"/>
      <c r="H3152" s="22"/>
      <c r="I3152" s="29"/>
      <c r="J3152" s="29"/>
      <c r="K3152" s="29"/>
      <c r="L3152" s="29"/>
    </row>
    <row r="3153">
      <c r="A3153" s="13"/>
      <c r="B3153" s="13"/>
      <c r="C3153" s="15"/>
      <c r="D3153" s="15"/>
      <c r="E3153" s="15"/>
      <c r="F3153" s="17"/>
      <c r="G3153" s="22"/>
      <c r="H3153" s="22"/>
      <c r="I3153" s="29"/>
      <c r="J3153" s="29"/>
      <c r="K3153" s="29"/>
      <c r="L3153" s="29"/>
    </row>
    <row r="3154">
      <c r="A3154" s="13"/>
      <c r="B3154" s="13"/>
      <c r="C3154" s="15"/>
      <c r="D3154" s="15"/>
      <c r="E3154" s="15"/>
      <c r="F3154" s="17"/>
      <c r="G3154" s="22"/>
      <c r="H3154" s="22"/>
      <c r="I3154" s="29"/>
      <c r="J3154" s="29"/>
      <c r="K3154" s="29"/>
      <c r="L3154" s="29"/>
    </row>
    <row r="3155">
      <c r="A3155" s="13"/>
      <c r="B3155" s="13"/>
      <c r="C3155" s="15"/>
      <c r="D3155" s="15"/>
      <c r="E3155" s="15"/>
      <c r="F3155" s="17"/>
      <c r="G3155" s="22"/>
      <c r="H3155" s="22"/>
      <c r="I3155" s="29"/>
      <c r="J3155" s="29"/>
      <c r="K3155" s="29"/>
      <c r="L3155" s="29"/>
    </row>
    <row r="3156">
      <c r="A3156" s="13"/>
      <c r="B3156" s="13"/>
      <c r="C3156" s="15"/>
      <c r="D3156" s="15"/>
      <c r="E3156" s="15"/>
      <c r="F3156" s="17"/>
      <c r="G3156" s="22"/>
      <c r="H3156" s="22"/>
      <c r="I3156" s="29"/>
      <c r="J3156" s="29"/>
      <c r="K3156" s="29"/>
      <c r="L3156" s="29"/>
    </row>
    <row r="3157">
      <c r="A3157" s="13"/>
      <c r="B3157" s="13"/>
      <c r="C3157" s="15"/>
      <c r="D3157" s="15"/>
      <c r="E3157" s="15"/>
      <c r="F3157" s="17"/>
      <c r="G3157" s="22"/>
      <c r="H3157" s="22"/>
      <c r="I3157" s="29"/>
      <c r="J3157" s="29"/>
      <c r="K3157" s="29"/>
      <c r="L3157" s="29"/>
    </row>
    <row r="3158">
      <c r="A3158" s="13"/>
      <c r="B3158" s="13"/>
      <c r="C3158" s="15"/>
      <c r="D3158" s="15"/>
      <c r="E3158" s="15"/>
      <c r="F3158" s="17"/>
      <c r="G3158" s="22"/>
      <c r="H3158" s="22"/>
      <c r="I3158" s="29"/>
      <c r="J3158" s="29"/>
      <c r="K3158" s="29"/>
      <c r="L3158" s="29"/>
    </row>
    <row r="3159">
      <c r="A3159" s="13"/>
      <c r="B3159" s="13"/>
      <c r="C3159" s="15"/>
      <c r="D3159" s="15"/>
      <c r="E3159" s="15"/>
      <c r="F3159" s="17"/>
      <c r="G3159" s="22"/>
      <c r="H3159" s="22"/>
      <c r="I3159" s="29"/>
      <c r="J3159" s="29"/>
      <c r="K3159" s="29"/>
      <c r="L3159" s="29"/>
    </row>
    <row r="3160">
      <c r="A3160" s="13"/>
      <c r="B3160" s="13"/>
      <c r="C3160" s="15"/>
      <c r="D3160" s="15"/>
      <c r="E3160" s="15"/>
      <c r="F3160" s="17"/>
      <c r="G3160" s="22"/>
      <c r="H3160" s="22"/>
      <c r="I3160" s="29"/>
      <c r="J3160" s="29"/>
      <c r="K3160" s="29"/>
      <c r="L3160" s="29"/>
    </row>
    <row r="3161">
      <c r="A3161" s="13"/>
      <c r="B3161" s="13"/>
      <c r="C3161" s="15"/>
      <c r="D3161" s="15"/>
      <c r="E3161" s="15"/>
      <c r="F3161" s="17"/>
      <c r="G3161" s="22"/>
      <c r="H3161" s="22"/>
      <c r="I3161" s="29"/>
      <c r="J3161" s="29"/>
      <c r="K3161" s="29"/>
      <c r="L3161" s="29"/>
    </row>
    <row r="3162">
      <c r="A3162" s="13"/>
      <c r="B3162" s="13"/>
      <c r="C3162" s="15"/>
      <c r="D3162" s="15"/>
      <c r="E3162" s="15"/>
      <c r="F3162" s="17"/>
      <c r="G3162" s="22"/>
      <c r="H3162" s="22"/>
      <c r="I3162" s="29"/>
      <c r="J3162" s="29"/>
      <c r="K3162" s="29"/>
      <c r="L3162" s="29"/>
    </row>
    <row r="3163">
      <c r="A3163" s="13"/>
      <c r="B3163" s="13"/>
      <c r="C3163" s="15"/>
      <c r="D3163" s="15"/>
      <c r="E3163" s="15"/>
      <c r="F3163" s="17"/>
      <c r="G3163" s="22"/>
      <c r="H3163" s="22"/>
      <c r="I3163" s="29"/>
      <c r="J3163" s="29"/>
      <c r="K3163" s="29"/>
      <c r="L3163" s="29"/>
    </row>
    <row r="3164">
      <c r="A3164" s="13"/>
      <c r="B3164" s="13"/>
      <c r="C3164" s="15"/>
      <c r="D3164" s="15"/>
      <c r="E3164" s="15"/>
      <c r="F3164" s="17"/>
      <c r="G3164" s="22"/>
      <c r="H3164" s="22"/>
      <c r="I3164" s="29"/>
      <c r="J3164" s="29"/>
      <c r="K3164" s="29"/>
      <c r="L3164" s="29"/>
    </row>
    <row r="3165">
      <c r="A3165" s="13"/>
      <c r="B3165" s="13"/>
      <c r="C3165" s="15"/>
      <c r="D3165" s="15"/>
      <c r="E3165" s="15"/>
      <c r="F3165" s="17"/>
      <c r="G3165" s="22"/>
      <c r="H3165" s="22"/>
      <c r="I3165" s="29"/>
      <c r="J3165" s="29"/>
      <c r="K3165" s="29"/>
      <c r="L3165" s="29"/>
    </row>
    <row r="3166">
      <c r="A3166" s="13"/>
      <c r="B3166" s="13"/>
      <c r="C3166" s="15"/>
      <c r="D3166" s="15"/>
      <c r="E3166" s="15"/>
      <c r="F3166" s="17"/>
      <c r="G3166" s="22"/>
      <c r="H3166" s="22"/>
      <c r="I3166" s="29"/>
      <c r="J3166" s="29"/>
      <c r="K3166" s="29"/>
      <c r="L3166" s="29"/>
    </row>
    <row r="3167">
      <c r="A3167" s="13"/>
      <c r="B3167" s="13"/>
      <c r="C3167" s="15"/>
      <c r="D3167" s="15"/>
      <c r="E3167" s="15"/>
      <c r="F3167" s="17"/>
      <c r="G3167" s="22"/>
      <c r="H3167" s="22"/>
      <c r="I3167" s="29"/>
      <c r="J3167" s="29"/>
      <c r="K3167" s="29"/>
      <c r="L3167" s="29"/>
    </row>
    <row r="3168">
      <c r="A3168" s="13"/>
      <c r="B3168" s="13"/>
      <c r="C3168" s="15"/>
      <c r="D3168" s="15"/>
      <c r="E3168" s="15"/>
      <c r="F3168" s="17"/>
      <c r="G3168" s="22"/>
      <c r="H3168" s="22"/>
      <c r="I3168" s="29"/>
      <c r="J3168" s="29"/>
      <c r="K3168" s="29"/>
      <c r="L3168" s="29"/>
    </row>
    <row r="3169">
      <c r="A3169" s="13"/>
      <c r="B3169" s="13"/>
      <c r="C3169" s="15"/>
      <c r="D3169" s="15"/>
      <c r="E3169" s="15"/>
      <c r="F3169" s="17"/>
      <c r="G3169" s="22"/>
      <c r="H3169" s="22"/>
      <c r="I3169" s="29"/>
      <c r="J3169" s="29"/>
      <c r="K3169" s="29"/>
      <c r="L3169" s="29"/>
    </row>
    <row r="3170">
      <c r="A3170" s="13"/>
      <c r="B3170" s="13"/>
      <c r="C3170" s="15"/>
      <c r="D3170" s="15"/>
      <c r="E3170" s="15"/>
      <c r="F3170" s="17"/>
      <c r="G3170" s="22"/>
      <c r="H3170" s="22"/>
      <c r="I3170" s="29"/>
      <c r="J3170" s="29"/>
      <c r="K3170" s="29"/>
      <c r="L3170" s="29"/>
    </row>
    <row r="3171">
      <c r="A3171" s="13"/>
      <c r="B3171" s="13"/>
      <c r="C3171" s="15"/>
      <c r="D3171" s="15"/>
      <c r="E3171" s="15"/>
      <c r="F3171" s="17"/>
      <c r="G3171" s="22"/>
      <c r="H3171" s="22"/>
      <c r="I3171" s="29"/>
      <c r="J3171" s="29"/>
      <c r="K3171" s="29"/>
      <c r="L3171" s="29"/>
    </row>
    <row r="3172">
      <c r="A3172" s="13"/>
      <c r="B3172" s="13"/>
      <c r="C3172" s="15"/>
      <c r="D3172" s="15"/>
      <c r="E3172" s="15"/>
      <c r="F3172" s="17"/>
      <c r="G3172" s="22"/>
      <c r="H3172" s="22"/>
      <c r="I3172" s="29"/>
      <c r="J3172" s="29"/>
      <c r="K3172" s="29"/>
      <c r="L3172" s="29"/>
    </row>
    <row r="3173">
      <c r="A3173" s="13"/>
      <c r="B3173" s="13"/>
      <c r="C3173" s="15"/>
      <c r="D3173" s="15"/>
      <c r="E3173" s="15"/>
      <c r="F3173" s="17"/>
      <c r="G3173" s="22"/>
      <c r="H3173" s="22"/>
      <c r="I3173" s="29"/>
      <c r="J3173" s="29"/>
      <c r="K3173" s="29"/>
      <c r="L3173" s="29"/>
    </row>
    <row r="3174">
      <c r="A3174" s="13"/>
      <c r="B3174" s="13"/>
      <c r="C3174" s="15"/>
      <c r="D3174" s="15"/>
      <c r="E3174" s="15"/>
      <c r="F3174" s="17"/>
      <c r="G3174" s="22"/>
      <c r="H3174" s="22"/>
      <c r="I3174" s="29"/>
      <c r="J3174" s="29"/>
      <c r="K3174" s="29"/>
      <c r="L3174" s="29"/>
    </row>
    <row r="3175">
      <c r="A3175" s="13"/>
      <c r="B3175" s="13"/>
      <c r="C3175" s="15"/>
      <c r="D3175" s="15"/>
      <c r="E3175" s="15"/>
      <c r="F3175" s="17"/>
      <c r="G3175" s="22"/>
      <c r="H3175" s="22"/>
      <c r="I3175" s="29"/>
      <c r="J3175" s="29"/>
      <c r="K3175" s="29"/>
      <c r="L3175" s="29"/>
    </row>
    <row r="3176">
      <c r="A3176" s="13"/>
      <c r="B3176" s="13"/>
      <c r="C3176" s="15"/>
      <c r="D3176" s="15"/>
      <c r="E3176" s="15"/>
      <c r="F3176" s="17"/>
      <c r="G3176" s="22"/>
      <c r="H3176" s="22"/>
      <c r="I3176" s="29"/>
      <c r="J3176" s="29"/>
      <c r="K3176" s="29"/>
      <c r="L3176" s="29"/>
    </row>
    <row r="3177">
      <c r="A3177" s="13"/>
      <c r="B3177" s="13"/>
      <c r="C3177" s="15"/>
      <c r="D3177" s="15"/>
      <c r="E3177" s="15"/>
      <c r="F3177" s="17"/>
      <c r="G3177" s="22"/>
      <c r="H3177" s="22"/>
      <c r="I3177" s="29"/>
      <c r="J3177" s="29"/>
      <c r="K3177" s="29"/>
      <c r="L3177" s="29"/>
    </row>
    <row r="3178">
      <c r="A3178" s="13"/>
      <c r="B3178" s="13"/>
      <c r="C3178" s="15"/>
      <c r="D3178" s="15"/>
      <c r="E3178" s="15"/>
      <c r="F3178" s="17"/>
      <c r="G3178" s="22"/>
      <c r="H3178" s="22"/>
      <c r="I3178" s="29"/>
      <c r="J3178" s="29"/>
      <c r="K3178" s="29"/>
      <c r="L3178" s="29"/>
    </row>
    <row r="3179">
      <c r="A3179" s="13"/>
      <c r="B3179" s="13"/>
      <c r="C3179" s="15"/>
      <c r="D3179" s="15"/>
      <c r="E3179" s="15"/>
      <c r="F3179" s="17"/>
      <c r="G3179" s="22"/>
      <c r="H3179" s="22"/>
      <c r="I3179" s="29"/>
      <c r="J3179" s="29"/>
      <c r="K3179" s="29"/>
      <c r="L3179" s="29"/>
    </row>
    <row r="3180">
      <c r="A3180" s="13"/>
      <c r="B3180" s="13"/>
      <c r="C3180" s="15"/>
      <c r="D3180" s="15"/>
      <c r="E3180" s="15"/>
      <c r="F3180" s="17"/>
      <c r="G3180" s="22"/>
      <c r="H3180" s="22"/>
      <c r="I3180" s="29"/>
      <c r="J3180" s="29"/>
      <c r="K3180" s="29"/>
      <c r="L3180" s="29"/>
    </row>
    <row r="3181">
      <c r="A3181" s="13"/>
      <c r="B3181" s="13"/>
      <c r="C3181" s="15"/>
      <c r="D3181" s="15"/>
      <c r="E3181" s="15"/>
      <c r="F3181" s="17"/>
      <c r="G3181" s="22"/>
      <c r="H3181" s="22"/>
      <c r="I3181" s="29"/>
      <c r="J3181" s="29"/>
      <c r="K3181" s="29"/>
      <c r="L3181" s="29"/>
    </row>
    <row r="3182">
      <c r="A3182" s="13"/>
      <c r="B3182" s="13"/>
      <c r="C3182" s="15"/>
      <c r="D3182" s="15"/>
      <c r="E3182" s="15"/>
      <c r="F3182" s="17"/>
      <c r="G3182" s="22"/>
      <c r="H3182" s="22"/>
      <c r="I3182" s="29"/>
      <c r="J3182" s="29"/>
      <c r="K3182" s="29"/>
      <c r="L3182" s="29"/>
    </row>
    <row r="3183">
      <c r="A3183" s="13"/>
      <c r="B3183" s="13"/>
      <c r="C3183" s="15"/>
      <c r="D3183" s="15"/>
      <c r="E3183" s="15"/>
      <c r="F3183" s="17"/>
      <c r="G3183" s="22"/>
      <c r="H3183" s="22"/>
      <c r="I3183" s="29"/>
      <c r="J3183" s="29"/>
      <c r="K3183" s="29"/>
      <c r="L3183" s="29"/>
    </row>
    <row r="3184">
      <c r="A3184" s="13"/>
      <c r="B3184" s="13"/>
      <c r="C3184" s="15"/>
      <c r="D3184" s="15"/>
      <c r="E3184" s="15"/>
      <c r="F3184" s="17"/>
      <c r="G3184" s="22"/>
      <c r="H3184" s="22"/>
      <c r="I3184" s="29"/>
      <c r="J3184" s="29"/>
      <c r="K3184" s="29"/>
      <c r="L3184" s="29"/>
    </row>
    <row r="3185">
      <c r="A3185" s="13"/>
      <c r="B3185" s="13"/>
      <c r="C3185" s="15"/>
      <c r="D3185" s="15"/>
      <c r="E3185" s="15"/>
      <c r="F3185" s="17"/>
      <c r="G3185" s="22"/>
      <c r="H3185" s="22"/>
      <c r="I3185" s="29"/>
      <c r="J3185" s="29"/>
      <c r="K3185" s="29"/>
      <c r="L3185" s="29"/>
    </row>
    <row r="3186">
      <c r="A3186" s="13"/>
      <c r="B3186" s="13"/>
      <c r="C3186" s="15"/>
      <c r="D3186" s="15"/>
      <c r="E3186" s="15"/>
      <c r="F3186" s="17"/>
      <c r="G3186" s="22"/>
      <c r="H3186" s="22"/>
      <c r="I3186" s="29"/>
      <c r="J3186" s="29"/>
      <c r="K3186" s="29"/>
      <c r="L3186" s="29"/>
    </row>
    <row r="3187">
      <c r="A3187" s="13"/>
      <c r="B3187" s="13"/>
      <c r="C3187" s="15"/>
      <c r="D3187" s="15"/>
      <c r="E3187" s="15"/>
      <c r="F3187" s="17"/>
      <c r="G3187" s="22"/>
      <c r="H3187" s="22"/>
      <c r="I3187" s="29"/>
      <c r="J3187" s="29"/>
      <c r="K3187" s="29"/>
      <c r="L3187" s="29"/>
    </row>
    <row r="3188">
      <c r="A3188" s="13"/>
      <c r="B3188" s="13"/>
      <c r="C3188" s="15"/>
      <c r="D3188" s="15"/>
      <c r="E3188" s="15"/>
      <c r="F3188" s="17"/>
      <c r="G3188" s="22"/>
      <c r="H3188" s="22"/>
      <c r="I3188" s="29"/>
      <c r="J3188" s="29"/>
      <c r="K3188" s="29"/>
      <c r="L3188" s="29"/>
    </row>
    <row r="3189">
      <c r="A3189" s="13"/>
      <c r="B3189" s="13"/>
      <c r="C3189" s="15"/>
      <c r="D3189" s="15"/>
      <c r="E3189" s="15"/>
      <c r="F3189" s="17"/>
      <c r="G3189" s="22"/>
      <c r="H3189" s="22"/>
      <c r="I3189" s="29"/>
      <c r="J3189" s="29"/>
      <c r="K3189" s="29"/>
      <c r="L3189" s="29"/>
    </row>
    <row r="3190">
      <c r="A3190" s="13"/>
      <c r="B3190" s="13"/>
      <c r="C3190" s="15"/>
      <c r="D3190" s="15"/>
      <c r="E3190" s="15"/>
      <c r="F3190" s="17"/>
      <c r="G3190" s="22"/>
      <c r="H3190" s="22"/>
      <c r="I3190" s="29"/>
      <c r="J3190" s="29"/>
      <c r="K3190" s="29"/>
      <c r="L3190" s="29"/>
    </row>
    <row r="3191">
      <c r="A3191" s="13"/>
      <c r="B3191" s="13"/>
      <c r="C3191" s="15"/>
      <c r="D3191" s="15"/>
      <c r="E3191" s="15"/>
      <c r="F3191" s="17"/>
      <c r="G3191" s="22"/>
      <c r="H3191" s="22"/>
      <c r="I3191" s="29"/>
      <c r="J3191" s="29"/>
      <c r="K3191" s="29"/>
      <c r="L3191" s="29"/>
    </row>
    <row r="3192">
      <c r="A3192" s="13"/>
      <c r="B3192" s="13"/>
      <c r="C3192" s="15"/>
      <c r="D3192" s="15"/>
      <c r="E3192" s="15"/>
      <c r="F3192" s="17"/>
      <c r="G3192" s="22"/>
      <c r="H3192" s="22"/>
      <c r="I3192" s="29"/>
      <c r="J3192" s="29"/>
      <c r="K3192" s="29"/>
      <c r="L3192" s="29"/>
    </row>
    <row r="3193">
      <c r="A3193" s="13"/>
      <c r="B3193" s="13"/>
      <c r="C3193" s="15"/>
      <c r="D3193" s="15"/>
      <c r="E3193" s="15"/>
      <c r="F3193" s="17"/>
      <c r="G3193" s="22"/>
      <c r="H3193" s="22"/>
      <c r="I3193" s="29"/>
      <c r="J3193" s="29"/>
      <c r="K3193" s="29"/>
      <c r="L3193" s="29"/>
    </row>
    <row r="3194">
      <c r="A3194" s="13"/>
      <c r="B3194" s="13"/>
      <c r="C3194" s="15"/>
      <c r="D3194" s="15"/>
      <c r="E3194" s="15"/>
      <c r="F3194" s="17"/>
      <c r="G3194" s="22"/>
      <c r="H3194" s="22"/>
      <c r="I3194" s="29"/>
      <c r="J3194" s="29"/>
      <c r="K3194" s="29"/>
      <c r="L3194" s="29"/>
    </row>
    <row r="3195">
      <c r="A3195" s="13"/>
      <c r="B3195" s="13"/>
      <c r="C3195" s="15"/>
      <c r="D3195" s="15"/>
      <c r="E3195" s="15"/>
      <c r="F3195" s="17"/>
      <c r="G3195" s="22"/>
      <c r="H3195" s="22"/>
      <c r="I3195" s="29"/>
      <c r="J3195" s="29"/>
      <c r="K3195" s="29"/>
      <c r="L3195" s="29"/>
    </row>
    <row r="3196">
      <c r="A3196" s="13"/>
      <c r="B3196" s="13"/>
      <c r="C3196" s="15"/>
      <c r="D3196" s="15"/>
      <c r="E3196" s="15"/>
      <c r="F3196" s="17"/>
      <c r="G3196" s="22"/>
      <c r="H3196" s="22"/>
      <c r="I3196" s="29"/>
      <c r="J3196" s="29"/>
      <c r="K3196" s="29"/>
      <c r="L3196" s="29"/>
    </row>
    <row r="3197">
      <c r="A3197" s="13"/>
      <c r="B3197" s="13"/>
      <c r="C3197" s="15"/>
      <c r="D3197" s="15"/>
      <c r="E3197" s="15"/>
      <c r="F3197" s="17"/>
      <c r="G3197" s="22"/>
      <c r="H3197" s="22"/>
      <c r="I3197" s="29"/>
      <c r="J3197" s="29"/>
      <c r="K3197" s="29"/>
      <c r="L3197" s="29"/>
    </row>
    <row r="3198">
      <c r="A3198" s="13"/>
      <c r="B3198" s="13"/>
      <c r="C3198" s="15"/>
      <c r="D3198" s="15"/>
      <c r="E3198" s="15"/>
      <c r="F3198" s="17"/>
      <c r="G3198" s="22"/>
      <c r="H3198" s="22"/>
      <c r="I3198" s="29"/>
      <c r="J3198" s="29"/>
      <c r="K3198" s="29"/>
      <c r="L3198" s="29"/>
    </row>
    <row r="3199">
      <c r="A3199" s="13"/>
      <c r="B3199" s="13"/>
      <c r="C3199" s="15"/>
      <c r="D3199" s="15"/>
      <c r="E3199" s="15"/>
      <c r="F3199" s="17"/>
      <c r="G3199" s="22"/>
      <c r="H3199" s="22"/>
      <c r="I3199" s="29"/>
      <c r="J3199" s="29"/>
      <c r="K3199" s="29"/>
      <c r="L3199" s="29"/>
    </row>
    <row r="3200">
      <c r="A3200" s="13"/>
      <c r="B3200" s="13"/>
      <c r="C3200" s="15"/>
      <c r="D3200" s="15"/>
      <c r="E3200" s="15"/>
      <c r="F3200" s="17"/>
      <c r="G3200" s="22"/>
      <c r="H3200" s="22"/>
      <c r="I3200" s="29"/>
      <c r="J3200" s="29"/>
      <c r="K3200" s="29"/>
      <c r="L3200" s="29"/>
    </row>
    <row r="3201">
      <c r="A3201" s="13"/>
      <c r="B3201" s="13"/>
      <c r="C3201" s="15"/>
      <c r="D3201" s="15"/>
      <c r="E3201" s="15"/>
      <c r="F3201" s="17"/>
      <c r="G3201" s="22"/>
      <c r="H3201" s="22"/>
      <c r="I3201" s="29"/>
      <c r="J3201" s="29"/>
      <c r="K3201" s="29"/>
      <c r="L3201" s="29"/>
    </row>
    <row r="3202">
      <c r="A3202" s="13"/>
      <c r="B3202" s="13"/>
      <c r="C3202" s="15"/>
      <c r="D3202" s="15"/>
      <c r="E3202" s="15"/>
      <c r="F3202" s="17"/>
      <c r="G3202" s="22"/>
      <c r="H3202" s="22"/>
      <c r="I3202" s="29"/>
      <c r="J3202" s="29"/>
      <c r="K3202" s="29"/>
      <c r="L3202" s="29"/>
    </row>
    <row r="3203">
      <c r="A3203" s="13"/>
      <c r="B3203" s="13"/>
      <c r="C3203" s="15"/>
      <c r="D3203" s="15"/>
      <c r="E3203" s="15"/>
      <c r="F3203" s="17"/>
      <c r="G3203" s="22"/>
      <c r="H3203" s="22"/>
      <c r="I3203" s="29"/>
      <c r="J3203" s="29"/>
      <c r="K3203" s="29"/>
      <c r="L3203" s="29"/>
    </row>
    <row r="3204">
      <c r="A3204" s="13"/>
      <c r="B3204" s="13"/>
      <c r="C3204" s="15"/>
      <c r="D3204" s="15"/>
      <c r="E3204" s="15"/>
      <c r="F3204" s="17"/>
      <c r="G3204" s="22"/>
      <c r="H3204" s="22"/>
      <c r="I3204" s="29"/>
      <c r="J3204" s="29"/>
      <c r="K3204" s="29"/>
      <c r="L3204" s="29"/>
    </row>
    <row r="3205">
      <c r="A3205" s="13"/>
      <c r="B3205" s="13"/>
      <c r="C3205" s="15"/>
      <c r="D3205" s="15"/>
      <c r="E3205" s="15"/>
      <c r="F3205" s="17"/>
      <c r="G3205" s="22"/>
      <c r="H3205" s="22"/>
      <c r="I3205" s="29"/>
      <c r="J3205" s="29"/>
      <c r="K3205" s="29"/>
      <c r="L3205" s="29"/>
    </row>
    <row r="3206">
      <c r="A3206" s="13"/>
      <c r="B3206" s="13"/>
      <c r="C3206" s="15"/>
      <c r="D3206" s="15"/>
      <c r="E3206" s="15"/>
      <c r="F3206" s="17"/>
      <c r="G3206" s="22"/>
      <c r="H3206" s="22"/>
      <c r="I3206" s="29"/>
      <c r="J3206" s="29"/>
      <c r="K3206" s="29"/>
      <c r="L3206" s="29"/>
    </row>
    <row r="3207">
      <c r="A3207" s="13"/>
      <c r="B3207" s="13"/>
      <c r="C3207" s="15"/>
      <c r="D3207" s="15"/>
      <c r="E3207" s="15"/>
      <c r="F3207" s="17"/>
      <c r="G3207" s="22"/>
      <c r="H3207" s="22"/>
      <c r="I3207" s="29"/>
      <c r="J3207" s="29"/>
      <c r="K3207" s="29"/>
      <c r="L3207" s="29"/>
    </row>
    <row r="3208">
      <c r="A3208" s="13"/>
      <c r="B3208" s="13"/>
      <c r="C3208" s="15"/>
      <c r="D3208" s="15"/>
      <c r="E3208" s="15"/>
      <c r="F3208" s="17"/>
      <c r="G3208" s="22"/>
      <c r="H3208" s="22"/>
      <c r="I3208" s="29"/>
      <c r="J3208" s="29"/>
      <c r="K3208" s="29"/>
      <c r="L3208" s="29"/>
    </row>
    <row r="3209">
      <c r="A3209" s="13"/>
      <c r="B3209" s="13"/>
      <c r="C3209" s="15"/>
      <c r="D3209" s="15"/>
      <c r="E3209" s="15"/>
      <c r="F3209" s="17"/>
      <c r="G3209" s="22"/>
      <c r="H3209" s="22"/>
      <c r="I3209" s="29"/>
      <c r="J3209" s="29"/>
      <c r="K3209" s="29"/>
      <c r="L3209" s="29"/>
    </row>
    <row r="3210">
      <c r="A3210" s="13"/>
      <c r="B3210" s="13"/>
      <c r="C3210" s="15"/>
      <c r="D3210" s="15"/>
      <c r="E3210" s="15"/>
      <c r="F3210" s="17"/>
      <c r="G3210" s="22"/>
      <c r="H3210" s="22"/>
      <c r="I3210" s="29"/>
      <c r="J3210" s="29"/>
      <c r="K3210" s="29"/>
      <c r="L3210" s="29"/>
    </row>
    <row r="3211">
      <c r="A3211" s="13"/>
      <c r="B3211" s="13"/>
      <c r="C3211" s="15"/>
      <c r="D3211" s="15"/>
      <c r="E3211" s="15"/>
      <c r="F3211" s="17"/>
      <c r="G3211" s="22"/>
      <c r="H3211" s="22"/>
      <c r="I3211" s="29"/>
      <c r="J3211" s="29"/>
      <c r="K3211" s="29"/>
      <c r="L3211" s="29"/>
    </row>
    <row r="3212">
      <c r="A3212" s="13"/>
      <c r="B3212" s="13"/>
      <c r="C3212" s="15"/>
      <c r="D3212" s="15"/>
      <c r="E3212" s="15"/>
      <c r="F3212" s="17"/>
      <c r="G3212" s="22"/>
      <c r="H3212" s="22"/>
      <c r="I3212" s="29"/>
      <c r="J3212" s="29"/>
      <c r="K3212" s="29"/>
      <c r="L3212" s="29"/>
    </row>
    <row r="3213">
      <c r="A3213" s="13"/>
      <c r="B3213" s="13"/>
      <c r="C3213" s="15"/>
      <c r="D3213" s="15"/>
      <c r="E3213" s="15"/>
      <c r="F3213" s="17"/>
      <c r="G3213" s="22"/>
      <c r="H3213" s="22"/>
      <c r="I3213" s="29"/>
      <c r="J3213" s="29"/>
      <c r="K3213" s="29"/>
      <c r="L3213" s="29"/>
    </row>
    <row r="3214">
      <c r="A3214" s="13"/>
      <c r="B3214" s="13"/>
      <c r="C3214" s="15"/>
      <c r="D3214" s="15"/>
      <c r="E3214" s="15"/>
      <c r="F3214" s="17"/>
      <c r="G3214" s="22"/>
      <c r="H3214" s="22"/>
      <c r="I3214" s="29"/>
      <c r="J3214" s="29"/>
      <c r="K3214" s="29"/>
      <c r="L3214" s="29"/>
    </row>
    <row r="3215">
      <c r="A3215" s="13"/>
      <c r="B3215" s="13"/>
      <c r="C3215" s="15"/>
      <c r="D3215" s="15"/>
      <c r="E3215" s="15"/>
      <c r="F3215" s="17"/>
      <c r="G3215" s="22"/>
      <c r="H3215" s="22"/>
      <c r="I3215" s="29"/>
      <c r="J3215" s="29"/>
      <c r="K3215" s="29"/>
      <c r="L3215" s="29"/>
    </row>
    <row r="3216">
      <c r="A3216" s="13"/>
      <c r="B3216" s="13"/>
      <c r="C3216" s="15"/>
      <c r="D3216" s="15"/>
      <c r="E3216" s="15"/>
      <c r="F3216" s="17"/>
      <c r="G3216" s="22"/>
      <c r="H3216" s="22"/>
      <c r="I3216" s="29"/>
      <c r="J3216" s="29"/>
      <c r="K3216" s="29"/>
      <c r="L3216" s="29"/>
    </row>
    <row r="3217">
      <c r="A3217" s="13"/>
      <c r="B3217" s="13"/>
      <c r="C3217" s="15"/>
      <c r="D3217" s="15"/>
      <c r="E3217" s="15"/>
      <c r="F3217" s="17"/>
      <c r="G3217" s="22"/>
      <c r="H3217" s="22"/>
      <c r="I3217" s="29"/>
      <c r="J3217" s="29"/>
      <c r="K3217" s="29"/>
      <c r="L3217" s="29"/>
    </row>
    <row r="3218">
      <c r="A3218" s="13"/>
      <c r="B3218" s="13"/>
      <c r="C3218" s="15"/>
      <c r="D3218" s="15"/>
      <c r="E3218" s="15"/>
      <c r="F3218" s="17"/>
      <c r="G3218" s="22"/>
      <c r="H3218" s="22"/>
      <c r="I3218" s="29"/>
      <c r="J3218" s="29"/>
      <c r="K3218" s="29"/>
      <c r="L3218" s="29"/>
    </row>
    <row r="3219">
      <c r="A3219" s="13"/>
      <c r="B3219" s="13"/>
      <c r="C3219" s="15"/>
      <c r="D3219" s="15"/>
      <c r="E3219" s="15"/>
      <c r="F3219" s="17"/>
      <c r="G3219" s="22"/>
      <c r="H3219" s="22"/>
      <c r="I3219" s="29"/>
      <c r="J3219" s="29"/>
      <c r="K3219" s="29"/>
      <c r="L3219" s="29"/>
    </row>
    <row r="3220">
      <c r="A3220" s="13"/>
      <c r="B3220" s="13"/>
      <c r="C3220" s="15"/>
      <c r="D3220" s="15"/>
      <c r="E3220" s="15"/>
      <c r="F3220" s="17"/>
      <c r="G3220" s="22"/>
      <c r="H3220" s="22"/>
      <c r="I3220" s="29"/>
      <c r="J3220" s="29"/>
      <c r="K3220" s="29"/>
      <c r="L3220" s="29"/>
    </row>
    <row r="3221">
      <c r="A3221" s="13"/>
      <c r="B3221" s="13"/>
      <c r="C3221" s="15"/>
      <c r="D3221" s="15"/>
      <c r="E3221" s="15"/>
      <c r="F3221" s="17"/>
      <c r="G3221" s="22"/>
      <c r="H3221" s="22"/>
      <c r="I3221" s="29"/>
      <c r="J3221" s="29"/>
      <c r="K3221" s="29"/>
      <c r="L3221" s="29"/>
    </row>
    <row r="3222">
      <c r="A3222" s="13"/>
      <c r="B3222" s="13"/>
      <c r="C3222" s="15"/>
      <c r="D3222" s="15"/>
      <c r="E3222" s="15"/>
      <c r="F3222" s="17"/>
      <c r="G3222" s="22"/>
      <c r="H3222" s="22"/>
      <c r="I3222" s="29"/>
      <c r="J3222" s="29"/>
      <c r="K3222" s="29"/>
      <c r="L3222" s="29"/>
    </row>
    <row r="3223">
      <c r="A3223" s="13"/>
      <c r="B3223" s="13"/>
      <c r="C3223" s="15"/>
      <c r="D3223" s="15"/>
      <c r="E3223" s="15"/>
      <c r="F3223" s="17"/>
      <c r="G3223" s="22"/>
      <c r="H3223" s="22"/>
      <c r="I3223" s="29"/>
      <c r="J3223" s="29"/>
      <c r="K3223" s="29"/>
      <c r="L3223" s="29"/>
    </row>
    <row r="3224">
      <c r="A3224" s="13"/>
      <c r="B3224" s="13"/>
      <c r="C3224" s="15"/>
      <c r="D3224" s="15"/>
      <c r="E3224" s="15"/>
      <c r="F3224" s="17"/>
      <c r="G3224" s="22"/>
      <c r="H3224" s="22"/>
      <c r="I3224" s="29"/>
      <c r="J3224" s="29"/>
      <c r="K3224" s="29"/>
      <c r="L3224" s="29"/>
    </row>
    <row r="3225">
      <c r="A3225" s="13"/>
      <c r="B3225" s="13"/>
      <c r="C3225" s="15"/>
      <c r="D3225" s="15"/>
      <c r="E3225" s="15"/>
      <c r="F3225" s="17"/>
      <c r="G3225" s="22"/>
      <c r="H3225" s="22"/>
      <c r="I3225" s="29"/>
      <c r="J3225" s="29"/>
      <c r="K3225" s="29"/>
      <c r="L3225" s="29"/>
    </row>
    <row r="3226">
      <c r="A3226" s="13"/>
      <c r="B3226" s="13"/>
      <c r="C3226" s="15"/>
      <c r="D3226" s="15"/>
      <c r="E3226" s="15"/>
      <c r="F3226" s="17"/>
      <c r="G3226" s="22"/>
      <c r="H3226" s="22"/>
      <c r="I3226" s="29"/>
      <c r="J3226" s="29"/>
      <c r="K3226" s="29"/>
      <c r="L3226" s="29"/>
    </row>
    <row r="3227">
      <c r="A3227" s="13"/>
      <c r="B3227" s="13"/>
      <c r="C3227" s="15"/>
      <c r="D3227" s="15"/>
      <c r="E3227" s="15"/>
      <c r="F3227" s="17"/>
      <c r="G3227" s="22"/>
      <c r="H3227" s="22"/>
      <c r="I3227" s="29"/>
      <c r="J3227" s="29"/>
      <c r="K3227" s="29"/>
      <c r="L3227" s="29"/>
    </row>
    <row r="3228">
      <c r="A3228" s="13"/>
      <c r="B3228" s="13"/>
      <c r="C3228" s="15"/>
      <c r="D3228" s="15"/>
      <c r="E3228" s="15"/>
      <c r="F3228" s="17"/>
      <c r="G3228" s="22"/>
      <c r="H3228" s="22"/>
      <c r="I3228" s="29"/>
      <c r="J3228" s="29"/>
      <c r="K3228" s="29"/>
      <c r="L3228" s="29"/>
    </row>
    <row r="3229">
      <c r="A3229" s="13"/>
      <c r="B3229" s="13"/>
      <c r="C3229" s="15"/>
      <c r="D3229" s="15"/>
      <c r="E3229" s="15"/>
      <c r="F3229" s="17"/>
      <c r="G3229" s="22"/>
      <c r="H3229" s="22"/>
      <c r="I3229" s="29"/>
      <c r="J3229" s="29"/>
      <c r="K3229" s="29"/>
      <c r="L3229" s="29"/>
    </row>
    <row r="3230">
      <c r="A3230" s="13"/>
      <c r="B3230" s="13"/>
      <c r="C3230" s="15"/>
      <c r="D3230" s="15"/>
      <c r="E3230" s="15"/>
      <c r="F3230" s="17"/>
      <c r="G3230" s="22"/>
      <c r="H3230" s="22"/>
      <c r="I3230" s="29"/>
      <c r="J3230" s="29"/>
      <c r="K3230" s="29"/>
      <c r="L3230" s="29"/>
    </row>
    <row r="3231">
      <c r="A3231" s="13"/>
      <c r="B3231" s="13"/>
      <c r="C3231" s="15"/>
      <c r="D3231" s="15"/>
      <c r="E3231" s="15"/>
      <c r="F3231" s="17"/>
      <c r="G3231" s="22"/>
      <c r="H3231" s="22"/>
      <c r="I3231" s="29"/>
      <c r="J3231" s="29"/>
      <c r="K3231" s="29"/>
      <c r="L3231" s="29"/>
    </row>
    <row r="3232">
      <c r="A3232" s="13"/>
      <c r="B3232" s="13"/>
      <c r="C3232" s="15"/>
      <c r="D3232" s="15"/>
      <c r="E3232" s="15"/>
      <c r="F3232" s="17"/>
      <c r="G3232" s="22"/>
      <c r="H3232" s="22"/>
      <c r="I3232" s="29"/>
      <c r="J3232" s="29"/>
      <c r="K3232" s="29"/>
      <c r="L3232" s="29"/>
    </row>
    <row r="3233">
      <c r="A3233" s="13"/>
      <c r="B3233" s="13"/>
      <c r="C3233" s="15"/>
      <c r="D3233" s="15"/>
      <c r="E3233" s="15"/>
      <c r="F3233" s="17"/>
      <c r="G3233" s="22"/>
      <c r="H3233" s="22"/>
      <c r="I3233" s="29"/>
      <c r="J3233" s="29"/>
      <c r="K3233" s="29"/>
      <c r="L3233" s="29"/>
    </row>
    <row r="3234">
      <c r="A3234" s="13"/>
      <c r="B3234" s="13"/>
      <c r="C3234" s="15"/>
      <c r="D3234" s="15"/>
      <c r="E3234" s="15"/>
      <c r="F3234" s="17"/>
      <c r="G3234" s="22"/>
      <c r="H3234" s="22"/>
      <c r="I3234" s="29"/>
      <c r="J3234" s="29"/>
      <c r="K3234" s="29"/>
      <c r="L3234" s="29"/>
    </row>
    <row r="3235">
      <c r="A3235" s="13"/>
      <c r="B3235" s="13"/>
      <c r="C3235" s="15"/>
      <c r="D3235" s="15"/>
      <c r="E3235" s="15"/>
      <c r="F3235" s="17"/>
      <c r="G3235" s="22"/>
      <c r="H3235" s="22"/>
      <c r="I3235" s="29"/>
      <c r="J3235" s="29"/>
      <c r="K3235" s="29"/>
      <c r="L3235" s="29"/>
    </row>
    <row r="3236">
      <c r="A3236" s="13"/>
      <c r="B3236" s="13"/>
      <c r="C3236" s="15"/>
      <c r="D3236" s="15"/>
      <c r="E3236" s="15"/>
      <c r="F3236" s="17"/>
      <c r="G3236" s="22"/>
      <c r="H3236" s="22"/>
      <c r="I3236" s="29"/>
      <c r="J3236" s="29"/>
      <c r="K3236" s="29"/>
      <c r="L3236" s="29"/>
    </row>
    <row r="3237">
      <c r="A3237" s="13"/>
      <c r="B3237" s="13"/>
      <c r="C3237" s="15"/>
      <c r="D3237" s="15"/>
      <c r="E3237" s="15"/>
      <c r="F3237" s="17"/>
      <c r="G3237" s="22"/>
      <c r="H3237" s="22"/>
      <c r="I3237" s="29"/>
      <c r="J3237" s="29"/>
      <c r="K3237" s="29"/>
      <c r="L3237" s="29"/>
    </row>
    <row r="3238">
      <c r="A3238" s="13"/>
      <c r="B3238" s="13"/>
      <c r="C3238" s="15"/>
      <c r="D3238" s="15"/>
      <c r="E3238" s="15"/>
      <c r="F3238" s="17"/>
      <c r="G3238" s="22"/>
      <c r="H3238" s="22"/>
      <c r="I3238" s="29"/>
      <c r="J3238" s="29"/>
      <c r="K3238" s="29"/>
      <c r="L3238" s="29"/>
    </row>
    <row r="3239">
      <c r="A3239" s="13"/>
      <c r="B3239" s="13"/>
      <c r="C3239" s="15"/>
      <c r="D3239" s="15"/>
      <c r="E3239" s="15"/>
      <c r="F3239" s="17"/>
      <c r="G3239" s="22"/>
      <c r="H3239" s="22"/>
      <c r="I3239" s="29"/>
      <c r="J3239" s="29"/>
      <c r="K3239" s="29"/>
      <c r="L3239" s="29"/>
    </row>
    <row r="3240">
      <c r="A3240" s="13"/>
      <c r="B3240" s="13"/>
      <c r="C3240" s="15"/>
      <c r="D3240" s="15"/>
      <c r="E3240" s="15"/>
      <c r="F3240" s="17"/>
      <c r="G3240" s="22"/>
      <c r="H3240" s="22"/>
      <c r="I3240" s="29"/>
      <c r="J3240" s="29"/>
      <c r="K3240" s="29"/>
      <c r="L3240" s="29"/>
    </row>
    <row r="3241">
      <c r="A3241" s="13"/>
      <c r="B3241" s="13"/>
      <c r="C3241" s="15"/>
      <c r="D3241" s="15"/>
      <c r="E3241" s="15"/>
      <c r="F3241" s="17"/>
      <c r="G3241" s="22"/>
      <c r="H3241" s="22"/>
      <c r="I3241" s="29"/>
      <c r="J3241" s="29"/>
      <c r="K3241" s="29"/>
      <c r="L3241" s="29"/>
    </row>
    <row r="3242">
      <c r="A3242" s="13"/>
      <c r="B3242" s="13"/>
      <c r="C3242" s="15"/>
      <c r="D3242" s="15"/>
      <c r="E3242" s="15"/>
      <c r="F3242" s="17"/>
      <c r="G3242" s="22"/>
      <c r="H3242" s="22"/>
      <c r="I3242" s="29"/>
      <c r="J3242" s="29"/>
      <c r="K3242" s="29"/>
      <c r="L3242" s="29"/>
    </row>
    <row r="3243">
      <c r="A3243" s="13"/>
      <c r="B3243" s="13"/>
      <c r="C3243" s="15"/>
      <c r="D3243" s="15"/>
      <c r="E3243" s="15"/>
      <c r="F3243" s="17"/>
      <c r="G3243" s="22"/>
      <c r="H3243" s="22"/>
      <c r="I3243" s="29"/>
      <c r="J3243" s="29"/>
      <c r="K3243" s="29"/>
      <c r="L3243" s="29"/>
    </row>
    <row r="3244">
      <c r="A3244" s="13"/>
      <c r="B3244" s="13"/>
      <c r="C3244" s="15"/>
      <c r="D3244" s="15"/>
      <c r="E3244" s="15"/>
      <c r="F3244" s="17"/>
      <c r="G3244" s="22"/>
      <c r="H3244" s="22"/>
      <c r="I3244" s="29"/>
      <c r="J3244" s="29"/>
      <c r="K3244" s="29"/>
      <c r="L3244" s="29"/>
    </row>
    <row r="3245">
      <c r="A3245" s="13"/>
      <c r="B3245" s="13"/>
      <c r="C3245" s="15"/>
      <c r="D3245" s="15"/>
      <c r="E3245" s="15"/>
      <c r="F3245" s="17"/>
      <c r="G3245" s="22"/>
      <c r="H3245" s="22"/>
      <c r="I3245" s="29"/>
      <c r="J3245" s="29"/>
      <c r="K3245" s="29"/>
      <c r="L3245" s="29"/>
    </row>
    <row r="3246">
      <c r="A3246" s="13"/>
      <c r="B3246" s="13"/>
      <c r="C3246" s="15"/>
      <c r="D3246" s="15"/>
      <c r="E3246" s="15"/>
      <c r="F3246" s="17"/>
      <c r="G3246" s="22"/>
      <c r="H3246" s="22"/>
      <c r="I3246" s="29"/>
      <c r="J3246" s="29"/>
      <c r="K3246" s="29"/>
      <c r="L3246" s="29"/>
    </row>
    <row r="3247">
      <c r="A3247" s="13"/>
      <c r="B3247" s="13"/>
      <c r="C3247" s="15"/>
      <c r="D3247" s="15"/>
      <c r="E3247" s="15"/>
      <c r="F3247" s="17"/>
      <c r="G3247" s="22"/>
      <c r="H3247" s="22"/>
      <c r="I3247" s="29"/>
      <c r="J3247" s="29"/>
      <c r="K3247" s="29"/>
      <c r="L3247" s="29"/>
    </row>
    <row r="3248">
      <c r="A3248" s="13"/>
      <c r="B3248" s="13"/>
      <c r="C3248" s="15"/>
      <c r="D3248" s="15"/>
      <c r="E3248" s="15"/>
      <c r="F3248" s="17"/>
      <c r="G3248" s="22"/>
      <c r="H3248" s="22"/>
      <c r="I3248" s="29"/>
      <c r="J3248" s="29"/>
      <c r="K3248" s="29"/>
      <c r="L3248" s="29"/>
    </row>
    <row r="3249">
      <c r="A3249" s="13"/>
      <c r="B3249" s="13"/>
      <c r="C3249" s="15"/>
      <c r="D3249" s="15"/>
      <c r="E3249" s="15"/>
      <c r="F3249" s="17"/>
      <c r="G3249" s="22"/>
      <c r="H3249" s="22"/>
      <c r="I3249" s="29"/>
      <c r="J3249" s="29"/>
      <c r="K3249" s="29"/>
      <c r="L3249" s="29"/>
    </row>
    <row r="3250">
      <c r="A3250" s="13"/>
      <c r="B3250" s="13"/>
      <c r="C3250" s="15"/>
      <c r="D3250" s="15"/>
      <c r="E3250" s="15"/>
      <c r="F3250" s="17"/>
      <c r="G3250" s="22"/>
      <c r="H3250" s="22"/>
      <c r="I3250" s="29"/>
      <c r="J3250" s="29"/>
      <c r="K3250" s="29"/>
      <c r="L3250" s="29"/>
    </row>
    <row r="3251">
      <c r="A3251" s="13"/>
      <c r="B3251" s="13"/>
      <c r="C3251" s="15"/>
      <c r="D3251" s="15"/>
      <c r="E3251" s="15"/>
      <c r="F3251" s="17"/>
      <c r="G3251" s="22"/>
      <c r="H3251" s="22"/>
      <c r="I3251" s="29"/>
      <c r="J3251" s="29"/>
      <c r="K3251" s="29"/>
      <c r="L3251" s="29"/>
    </row>
    <row r="3252">
      <c r="A3252" s="13"/>
      <c r="B3252" s="13"/>
      <c r="C3252" s="15"/>
      <c r="D3252" s="15"/>
      <c r="E3252" s="15"/>
      <c r="F3252" s="17"/>
      <c r="G3252" s="22"/>
      <c r="H3252" s="22"/>
      <c r="I3252" s="29"/>
      <c r="J3252" s="29"/>
      <c r="K3252" s="29"/>
      <c r="L3252" s="29"/>
    </row>
    <row r="3253">
      <c r="A3253" s="13"/>
      <c r="B3253" s="13"/>
      <c r="C3253" s="15"/>
      <c r="D3253" s="15"/>
      <c r="E3253" s="15"/>
      <c r="F3253" s="17"/>
      <c r="G3253" s="22"/>
      <c r="H3253" s="22"/>
      <c r="I3253" s="29"/>
      <c r="J3253" s="29"/>
      <c r="K3253" s="29"/>
      <c r="L3253" s="29"/>
    </row>
    <row r="3254">
      <c r="A3254" s="13"/>
      <c r="B3254" s="13"/>
      <c r="C3254" s="15"/>
      <c r="D3254" s="15"/>
      <c r="E3254" s="15"/>
      <c r="F3254" s="17"/>
      <c r="G3254" s="22"/>
      <c r="H3254" s="22"/>
      <c r="I3254" s="29"/>
      <c r="J3254" s="29"/>
      <c r="K3254" s="29"/>
      <c r="L3254" s="29"/>
    </row>
    <row r="3255">
      <c r="A3255" s="13"/>
      <c r="B3255" s="13"/>
      <c r="C3255" s="15"/>
      <c r="D3255" s="15"/>
      <c r="E3255" s="15"/>
      <c r="F3255" s="17"/>
      <c r="G3255" s="22"/>
      <c r="H3255" s="22"/>
      <c r="I3255" s="29"/>
      <c r="J3255" s="29"/>
      <c r="K3255" s="29"/>
      <c r="L3255" s="29"/>
    </row>
    <row r="3256">
      <c r="A3256" s="13"/>
      <c r="B3256" s="13"/>
      <c r="C3256" s="15"/>
      <c r="D3256" s="15"/>
      <c r="E3256" s="15"/>
      <c r="F3256" s="17"/>
      <c r="G3256" s="22"/>
      <c r="H3256" s="22"/>
      <c r="I3256" s="29"/>
      <c r="J3256" s="29"/>
      <c r="K3256" s="29"/>
      <c r="L3256" s="29"/>
    </row>
    <row r="3257">
      <c r="A3257" s="13"/>
      <c r="B3257" s="13"/>
      <c r="C3257" s="15"/>
      <c r="D3257" s="15"/>
      <c r="E3257" s="15"/>
      <c r="F3257" s="17"/>
      <c r="G3257" s="22"/>
      <c r="H3257" s="22"/>
      <c r="I3257" s="29"/>
      <c r="J3257" s="29"/>
      <c r="K3257" s="29"/>
      <c r="L3257" s="29"/>
    </row>
    <row r="3258">
      <c r="A3258" s="13"/>
      <c r="B3258" s="13"/>
      <c r="C3258" s="15"/>
      <c r="D3258" s="15"/>
      <c r="E3258" s="15"/>
      <c r="F3258" s="17"/>
      <c r="G3258" s="22"/>
      <c r="H3258" s="22"/>
      <c r="I3258" s="29"/>
      <c r="J3258" s="29"/>
      <c r="K3258" s="29"/>
      <c r="L3258" s="29"/>
    </row>
    <row r="3259">
      <c r="A3259" s="13"/>
      <c r="B3259" s="13"/>
      <c r="C3259" s="15"/>
      <c r="D3259" s="15"/>
      <c r="E3259" s="15"/>
      <c r="F3259" s="17"/>
      <c r="G3259" s="22"/>
      <c r="H3259" s="22"/>
      <c r="I3259" s="29"/>
      <c r="J3259" s="29"/>
      <c r="K3259" s="29"/>
      <c r="L3259" s="29"/>
    </row>
    <row r="3260">
      <c r="A3260" s="13"/>
      <c r="B3260" s="13"/>
      <c r="C3260" s="15"/>
      <c r="D3260" s="15"/>
      <c r="E3260" s="15"/>
      <c r="F3260" s="17"/>
      <c r="G3260" s="22"/>
      <c r="H3260" s="22"/>
      <c r="I3260" s="29"/>
      <c r="J3260" s="29"/>
      <c r="K3260" s="29"/>
      <c r="L3260" s="29"/>
    </row>
    <row r="3261">
      <c r="A3261" s="13"/>
      <c r="B3261" s="13"/>
      <c r="C3261" s="15"/>
      <c r="D3261" s="15"/>
      <c r="E3261" s="15"/>
      <c r="F3261" s="17"/>
      <c r="G3261" s="22"/>
      <c r="H3261" s="22"/>
      <c r="I3261" s="29"/>
      <c r="J3261" s="29"/>
      <c r="K3261" s="29"/>
      <c r="L3261" s="29"/>
    </row>
    <row r="3262">
      <c r="A3262" s="13"/>
      <c r="B3262" s="13"/>
      <c r="C3262" s="15"/>
      <c r="D3262" s="15"/>
      <c r="E3262" s="15"/>
      <c r="F3262" s="17"/>
      <c r="G3262" s="22"/>
      <c r="H3262" s="22"/>
      <c r="I3262" s="29"/>
      <c r="J3262" s="29"/>
      <c r="K3262" s="29"/>
      <c r="L3262" s="29"/>
    </row>
    <row r="3263">
      <c r="A3263" s="13"/>
      <c r="B3263" s="13"/>
      <c r="C3263" s="15"/>
      <c r="D3263" s="15"/>
      <c r="E3263" s="15"/>
      <c r="F3263" s="17"/>
      <c r="G3263" s="22"/>
      <c r="H3263" s="22"/>
      <c r="I3263" s="29"/>
      <c r="J3263" s="29"/>
      <c r="K3263" s="29"/>
      <c r="L3263" s="29"/>
    </row>
    <row r="3264">
      <c r="A3264" s="13"/>
      <c r="B3264" s="13"/>
      <c r="C3264" s="15"/>
      <c r="D3264" s="15"/>
      <c r="E3264" s="15"/>
      <c r="F3264" s="17"/>
      <c r="G3264" s="22"/>
      <c r="H3264" s="22"/>
      <c r="I3264" s="29"/>
      <c r="J3264" s="29"/>
      <c r="K3264" s="29"/>
      <c r="L3264" s="29"/>
    </row>
    <row r="3265">
      <c r="A3265" s="13"/>
      <c r="B3265" s="13"/>
      <c r="C3265" s="15"/>
      <c r="D3265" s="15"/>
      <c r="E3265" s="15"/>
      <c r="F3265" s="17"/>
      <c r="G3265" s="22"/>
      <c r="H3265" s="22"/>
      <c r="I3265" s="29"/>
      <c r="J3265" s="29"/>
      <c r="K3265" s="29"/>
      <c r="L3265" s="29"/>
    </row>
    <row r="3266">
      <c r="A3266" s="13"/>
      <c r="B3266" s="13"/>
      <c r="C3266" s="15"/>
      <c r="D3266" s="15"/>
      <c r="E3266" s="15"/>
      <c r="F3266" s="17"/>
      <c r="G3266" s="22"/>
      <c r="H3266" s="22"/>
      <c r="I3266" s="29"/>
      <c r="J3266" s="29"/>
      <c r="K3266" s="29"/>
      <c r="L3266" s="29"/>
    </row>
    <row r="3267">
      <c r="A3267" s="13"/>
      <c r="B3267" s="13"/>
      <c r="C3267" s="15"/>
      <c r="D3267" s="15"/>
      <c r="E3267" s="15"/>
      <c r="F3267" s="17"/>
      <c r="G3267" s="22"/>
      <c r="H3267" s="22"/>
      <c r="I3267" s="29"/>
      <c r="J3267" s="29"/>
      <c r="K3267" s="29"/>
      <c r="L3267" s="29"/>
    </row>
    <row r="3268">
      <c r="A3268" s="13"/>
      <c r="B3268" s="13"/>
      <c r="C3268" s="15"/>
      <c r="D3268" s="15"/>
      <c r="E3268" s="15"/>
      <c r="F3268" s="17"/>
      <c r="G3268" s="22"/>
      <c r="H3268" s="22"/>
      <c r="I3268" s="29"/>
      <c r="J3268" s="29"/>
      <c r="K3268" s="29"/>
      <c r="L3268" s="29"/>
    </row>
    <row r="3269">
      <c r="A3269" s="13"/>
      <c r="B3269" s="13"/>
      <c r="C3269" s="15"/>
      <c r="D3269" s="15"/>
      <c r="E3269" s="15"/>
      <c r="F3269" s="17"/>
      <c r="G3269" s="22"/>
      <c r="H3269" s="22"/>
      <c r="I3269" s="29"/>
      <c r="J3269" s="29"/>
      <c r="K3269" s="29"/>
      <c r="L3269" s="29"/>
    </row>
    <row r="3270">
      <c r="A3270" s="13"/>
      <c r="B3270" s="13"/>
      <c r="C3270" s="15"/>
      <c r="D3270" s="15"/>
      <c r="E3270" s="15"/>
      <c r="F3270" s="17"/>
      <c r="G3270" s="22"/>
      <c r="H3270" s="22"/>
      <c r="I3270" s="29"/>
      <c r="J3270" s="29"/>
      <c r="K3270" s="29"/>
      <c r="L3270" s="29"/>
    </row>
    <row r="3271">
      <c r="A3271" s="13"/>
      <c r="B3271" s="13"/>
      <c r="C3271" s="15"/>
      <c r="D3271" s="15"/>
      <c r="E3271" s="15"/>
      <c r="F3271" s="17"/>
      <c r="G3271" s="22"/>
      <c r="H3271" s="22"/>
      <c r="I3271" s="29"/>
      <c r="J3271" s="29"/>
      <c r="K3271" s="29"/>
      <c r="L3271" s="29"/>
    </row>
    <row r="3272">
      <c r="A3272" s="13"/>
      <c r="B3272" s="13"/>
      <c r="C3272" s="15"/>
      <c r="D3272" s="15"/>
      <c r="E3272" s="15"/>
      <c r="F3272" s="17"/>
      <c r="G3272" s="22"/>
      <c r="H3272" s="22"/>
      <c r="I3272" s="29"/>
      <c r="J3272" s="29"/>
      <c r="K3272" s="29"/>
      <c r="L3272" s="29"/>
    </row>
    <row r="3273">
      <c r="A3273" s="13"/>
      <c r="B3273" s="13"/>
      <c r="C3273" s="15"/>
      <c r="D3273" s="15"/>
      <c r="E3273" s="15"/>
      <c r="F3273" s="17"/>
      <c r="G3273" s="22"/>
      <c r="H3273" s="22"/>
      <c r="I3273" s="29"/>
      <c r="J3273" s="29"/>
      <c r="K3273" s="29"/>
      <c r="L3273" s="29"/>
    </row>
    <row r="3274">
      <c r="A3274" s="13"/>
      <c r="B3274" s="13"/>
      <c r="C3274" s="15"/>
      <c r="D3274" s="15"/>
      <c r="E3274" s="15"/>
      <c r="F3274" s="17"/>
      <c r="G3274" s="22"/>
      <c r="H3274" s="22"/>
      <c r="I3274" s="29"/>
      <c r="J3274" s="29"/>
      <c r="K3274" s="29"/>
      <c r="L3274" s="29"/>
    </row>
    <row r="3275">
      <c r="A3275" s="13"/>
      <c r="B3275" s="13"/>
      <c r="C3275" s="15"/>
      <c r="D3275" s="15"/>
      <c r="E3275" s="15"/>
      <c r="F3275" s="17"/>
      <c r="G3275" s="22"/>
      <c r="H3275" s="22"/>
      <c r="I3275" s="29"/>
      <c r="J3275" s="29"/>
      <c r="K3275" s="29"/>
      <c r="L3275" s="29"/>
    </row>
    <row r="3276">
      <c r="A3276" s="13"/>
      <c r="B3276" s="13"/>
      <c r="C3276" s="15"/>
      <c r="D3276" s="15"/>
      <c r="E3276" s="15"/>
      <c r="F3276" s="17"/>
      <c r="G3276" s="22"/>
      <c r="H3276" s="22"/>
      <c r="I3276" s="29"/>
      <c r="J3276" s="29"/>
      <c r="K3276" s="29"/>
      <c r="L3276" s="29"/>
    </row>
    <row r="3277">
      <c r="A3277" s="13"/>
      <c r="B3277" s="13"/>
      <c r="C3277" s="15"/>
      <c r="D3277" s="15"/>
      <c r="E3277" s="15"/>
      <c r="F3277" s="17"/>
      <c r="G3277" s="22"/>
      <c r="H3277" s="22"/>
      <c r="I3277" s="29"/>
      <c r="J3277" s="29"/>
      <c r="K3277" s="29"/>
      <c r="L3277" s="29"/>
    </row>
    <row r="3278">
      <c r="A3278" s="13"/>
      <c r="B3278" s="13"/>
      <c r="C3278" s="15"/>
      <c r="D3278" s="15"/>
      <c r="E3278" s="15"/>
      <c r="F3278" s="17"/>
      <c r="G3278" s="22"/>
      <c r="H3278" s="22"/>
      <c r="I3278" s="29"/>
      <c r="J3278" s="29"/>
      <c r="K3278" s="29"/>
      <c r="L3278" s="29"/>
    </row>
    <row r="3279">
      <c r="A3279" s="13"/>
      <c r="B3279" s="13"/>
      <c r="C3279" s="15"/>
      <c r="D3279" s="15"/>
      <c r="E3279" s="15"/>
      <c r="F3279" s="17"/>
      <c r="G3279" s="22"/>
      <c r="H3279" s="22"/>
      <c r="I3279" s="29"/>
      <c r="J3279" s="29"/>
      <c r="K3279" s="29"/>
      <c r="L3279" s="29"/>
    </row>
    <row r="3280">
      <c r="A3280" s="13"/>
      <c r="B3280" s="13"/>
      <c r="C3280" s="15"/>
      <c r="D3280" s="15"/>
      <c r="E3280" s="15"/>
      <c r="F3280" s="17"/>
      <c r="G3280" s="22"/>
      <c r="H3280" s="22"/>
      <c r="I3280" s="29"/>
      <c r="J3280" s="29"/>
      <c r="K3280" s="29"/>
      <c r="L3280" s="29"/>
    </row>
    <row r="3281">
      <c r="A3281" s="13"/>
      <c r="B3281" s="13"/>
      <c r="C3281" s="15"/>
      <c r="D3281" s="15"/>
      <c r="E3281" s="15"/>
      <c r="F3281" s="17"/>
      <c r="G3281" s="22"/>
      <c r="H3281" s="22"/>
      <c r="I3281" s="29"/>
      <c r="J3281" s="29"/>
      <c r="K3281" s="29"/>
      <c r="L3281" s="29"/>
    </row>
    <row r="3282">
      <c r="A3282" s="13"/>
      <c r="B3282" s="13"/>
      <c r="C3282" s="15"/>
      <c r="D3282" s="15"/>
      <c r="E3282" s="15"/>
      <c r="F3282" s="17"/>
      <c r="G3282" s="22"/>
      <c r="H3282" s="22"/>
      <c r="I3282" s="29"/>
      <c r="J3282" s="29"/>
      <c r="K3282" s="29"/>
      <c r="L3282" s="29"/>
    </row>
    <row r="3283">
      <c r="A3283" s="13"/>
      <c r="B3283" s="13"/>
      <c r="C3283" s="15"/>
      <c r="D3283" s="15"/>
      <c r="E3283" s="15"/>
      <c r="F3283" s="17"/>
      <c r="G3283" s="22"/>
      <c r="H3283" s="22"/>
      <c r="I3283" s="29"/>
      <c r="J3283" s="29"/>
      <c r="K3283" s="29"/>
      <c r="L3283" s="29"/>
    </row>
    <row r="3284">
      <c r="A3284" s="13"/>
      <c r="B3284" s="13"/>
      <c r="C3284" s="15"/>
      <c r="D3284" s="15"/>
      <c r="E3284" s="15"/>
      <c r="F3284" s="17"/>
      <c r="G3284" s="22"/>
      <c r="H3284" s="22"/>
      <c r="I3284" s="29"/>
      <c r="J3284" s="29"/>
      <c r="K3284" s="29"/>
      <c r="L3284" s="29"/>
    </row>
    <row r="3285">
      <c r="A3285" s="13"/>
      <c r="B3285" s="13"/>
      <c r="C3285" s="15"/>
      <c r="D3285" s="15"/>
      <c r="E3285" s="15"/>
      <c r="F3285" s="17"/>
      <c r="G3285" s="17"/>
      <c r="H3285" s="17"/>
      <c r="I3285" s="15"/>
      <c r="J3285" s="15"/>
      <c r="K3285" s="15"/>
      <c r="L3285" s="15"/>
    </row>
    <row r="3286">
      <c r="A3286" s="13"/>
      <c r="B3286" s="13"/>
      <c r="C3286" s="15"/>
      <c r="D3286" s="15"/>
      <c r="E3286" s="15"/>
      <c r="F3286" s="17"/>
      <c r="G3286" s="17"/>
      <c r="H3286" s="17"/>
      <c r="I3286" s="15"/>
      <c r="J3286" s="15"/>
      <c r="K3286" s="15"/>
      <c r="L3286" s="15"/>
    </row>
    <row r="3287">
      <c r="A3287" s="13"/>
      <c r="B3287" s="13"/>
      <c r="C3287" s="15"/>
      <c r="D3287" s="15"/>
      <c r="E3287" s="15"/>
      <c r="F3287" s="17"/>
      <c r="G3287" s="17"/>
      <c r="H3287" s="17"/>
      <c r="I3287" s="15"/>
      <c r="J3287" s="15"/>
      <c r="K3287" s="15"/>
      <c r="L3287" s="15"/>
    </row>
    <row r="3288">
      <c r="A3288" s="13"/>
      <c r="B3288" s="13"/>
      <c r="C3288" s="15"/>
      <c r="D3288" s="15"/>
      <c r="E3288" s="15"/>
      <c r="F3288" s="17"/>
      <c r="G3288" s="17"/>
      <c r="H3288" s="17"/>
      <c r="I3288" s="15"/>
      <c r="J3288" s="15"/>
      <c r="K3288" s="15"/>
      <c r="L3288" s="15"/>
    </row>
    <row r="3289">
      <c r="A3289" s="13"/>
      <c r="B3289" s="13"/>
      <c r="C3289" s="15"/>
      <c r="D3289" s="15"/>
      <c r="E3289" s="15"/>
      <c r="F3289" s="17"/>
      <c r="G3289" s="17"/>
      <c r="H3289" s="17"/>
      <c r="I3289" s="15"/>
      <c r="J3289" s="15"/>
      <c r="K3289" s="15"/>
      <c r="L3289" s="15"/>
    </row>
    <row r="3290">
      <c r="A3290" s="13"/>
      <c r="B3290" s="13"/>
      <c r="C3290" s="15"/>
      <c r="D3290" s="15"/>
      <c r="E3290" s="15"/>
      <c r="F3290" s="17"/>
      <c r="G3290" s="17"/>
      <c r="H3290" s="17"/>
      <c r="I3290" s="15"/>
      <c r="J3290" s="15"/>
      <c r="K3290" s="15"/>
      <c r="L3290" s="15"/>
    </row>
    <row r="3291">
      <c r="A3291" s="13"/>
      <c r="B3291" s="13"/>
      <c r="C3291" s="15"/>
      <c r="D3291" s="15"/>
      <c r="E3291" s="15"/>
      <c r="F3291" s="17"/>
      <c r="G3291" s="17"/>
      <c r="H3291" s="17"/>
      <c r="I3291" s="15"/>
      <c r="J3291" s="15"/>
      <c r="K3291" s="15"/>
      <c r="L3291" s="15"/>
    </row>
    <row r="3292">
      <c r="A3292" s="13"/>
      <c r="B3292" s="13"/>
      <c r="C3292" s="15"/>
      <c r="D3292" s="15"/>
      <c r="E3292" s="15"/>
      <c r="F3292" s="17"/>
      <c r="G3292" s="17"/>
      <c r="H3292" s="17"/>
      <c r="I3292" s="15"/>
      <c r="J3292" s="15"/>
      <c r="K3292" s="15"/>
      <c r="L3292" s="15"/>
    </row>
    <row r="3293">
      <c r="A3293" s="13"/>
      <c r="B3293" s="13"/>
      <c r="C3293" s="15"/>
      <c r="D3293" s="15"/>
      <c r="E3293" s="15"/>
      <c r="F3293" s="17"/>
      <c r="G3293" s="17"/>
      <c r="H3293" s="17"/>
      <c r="I3293" s="15"/>
      <c r="J3293" s="15"/>
      <c r="K3293" s="15"/>
      <c r="L3293" s="15"/>
    </row>
    <row r="3294">
      <c r="A3294" s="13"/>
      <c r="B3294" s="13"/>
      <c r="C3294" s="15"/>
      <c r="D3294" s="15"/>
      <c r="E3294" s="15"/>
      <c r="F3294" s="17"/>
      <c r="G3294" s="17"/>
      <c r="H3294" s="17"/>
      <c r="I3294" s="15"/>
      <c r="J3294" s="15"/>
      <c r="K3294" s="15"/>
      <c r="L3294" s="15"/>
    </row>
    <row r="3295">
      <c r="A3295" s="13"/>
      <c r="B3295" s="13"/>
      <c r="C3295" s="15"/>
      <c r="D3295" s="15"/>
      <c r="E3295" s="15"/>
      <c r="F3295" s="17"/>
      <c r="G3295" s="17"/>
      <c r="H3295" s="17"/>
      <c r="I3295" s="15"/>
      <c r="J3295" s="15"/>
      <c r="K3295" s="15"/>
      <c r="L3295" s="15"/>
    </row>
    <row r="3296">
      <c r="A3296" s="13"/>
      <c r="B3296" s="13"/>
      <c r="C3296" s="15"/>
      <c r="D3296" s="15"/>
      <c r="E3296" s="15"/>
      <c r="F3296" s="17"/>
      <c r="G3296" s="17"/>
      <c r="H3296" s="17"/>
      <c r="I3296" s="15"/>
      <c r="J3296" s="15"/>
      <c r="K3296" s="15"/>
      <c r="L3296" s="15"/>
    </row>
  </sheetData>
  <mergeCells count="1">
    <mergeCell ref="A1:L3"/>
  </mergeCells>
  <hyperlinks>
    <hyperlink r:id="rId1" ref="A1"/>
  </hyperlinks>
  <drawing r:id="rId2"/>
</worksheet>
</file>